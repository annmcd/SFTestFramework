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0.xml"/>
  <Override ContentType="application/vnd.openxmlformats-officedocument.spreadsheetml.worksheet+xml" PartName="/xl/worksheets/sheet31.xml"/>
  <Override ContentType="application/vnd.openxmlformats-officedocument.spreadsheetml.worksheet+xml" PartName="/xl/worksheets/sheet32.xml"/>
  <Override ContentType="application/vnd.openxmlformats-officedocument.spreadsheetml.worksheet+xml" PartName="/xl/worksheets/sheet33.xml"/>
  <Override ContentType="application/vnd.openxmlformats-officedocument.spreadsheetml.worksheet+xml" PartName="/xl/worksheets/sheet34.xml"/>
  <Override ContentType="application/vnd.openxmlformats-officedocument.spreadsheetml.worksheet+xml" PartName="/xl/worksheets/sheet35.xml"/>
  <Override ContentType="application/vnd.openxmlformats-officedocument.spreadsheetml.worksheet+xml" PartName="/xl/worksheets/sheet36.xml"/>
  <Override ContentType="application/vnd.openxmlformats-officedocument.spreadsheetml.worksheet+xml" PartName="/xl/worksheets/sheet37.xml"/>
  <Override ContentType="application/vnd.openxmlformats-officedocument.spreadsheetml.worksheet+xml" PartName="/xl/worksheets/sheet3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fileVersion appName="xl" lastEdited="4" lowestEdited="5" rupBuild="4505" codeName="{37E998C4-C9E5-D4B9-71C8-EB1FF731991C}"/>
  <workbookPr codeName="ThisWorkbook" defaultThemeVersion="124226"/>
  <bookViews>
    <workbookView xWindow="240" yWindow="250" windowWidth="20110" windowHeight="7810" firstSheet="9" activeTab="15"/>
  </bookViews>
  <sheets>
    <sheet name="Reference Fields" sheetId="2" r:id="rId1"/>
    <sheet name="Account" sheetId="3" r:id="rId2"/>
    <sheet name="AccountContactRelation" sheetId="1" r:id="rId3"/>
    <sheet name="AccountTeamMember" sheetId="4" r:id="rId4"/>
    <sheet name="Agreement_Line_Item__c" sheetId="5" r:id="rId5"/>
    <sheet name="Broker_Consultant_Account__c" sheetId="6" r:id="rId6"/>
    <sheet name="Campaign" sheetId="7" r:id="rId7"/>
    <sheet name="CampaignEventSession__c" sheetId="29" r:id="rId8"/>
    <sheet name="CampaignEventSessionRegistratio" sheetId="31" r:id="rId9"/>
    <sheet name="CampaignEventSlot__c" sheetId="30" r:id="rId10"/>
    <sheet name="CampaignMember" sheetId="32" r:id="rId11"/>
    <sheet name="Commission_Agreement__c" sheetId="8" r:id="rId12"/>
    <sheet name="Commission_Payment__c" sheetId="9" r:id="rId13"/>
    <sheet name="Competitors__c" sheetId="10" r:id="rId14"/>
    <sheet name="Contact" sheetId="11" r:id="rId15"/>
    <sheet name="Contract" sheetId="12" r:id="rId16"/>
    <sheet name="Event" sheetId="39" r:id="rId17"/>
    <sheet name="GoToWebinarRequestJob__c" sheetId="33" r:id="rId18"/>
    <sheet name="GoToWebinarSession__c" sheetId="34" r:id="rId19"/>
    <sheet name="IHK_Number__c" sheetId="13" r:id="rId20"/>
    <sheet name="Individual" sheetId="35" r:id="rId21"/>
    <sheet name="iSuite_Task__c" sheetId="23" r:id="rId22"/>
    <sheet name="Lead" sheetId="15" r:id="rId23"/>
    <sheet name="Opportunity" sheetId="16" r:id="rId24"/>
    <sheet name="OpportunityLineItem" sheetId="17" r:id="rId25"/>
    <sheet name="OrgControlPanel__c" sheetId="36" r:id="rId26"/>
    <sheet name="Policy_Application__c" sheetId="18" r:id="rId27"/>
    <sheet name="Policy_Contact_Relationship__c" sheetId="19" r:id="rId28"/>
    <sheet name="Pricebook2" sheetId="20" r:id="rId29"/>
    <sheet name="PricebookEntry" sheetId="21" r:id="rId30"/>
    <sheet name="Product2" sheetId="22" r:id="rId31"/>
    <sheet name="Region__c" sheetId="24" r:id="rId32"/>
    <sheet name="SalesReport__c" sheetId="37" r:id="rId33"/>
    <sheet name="SalesReportTarget__c" sheetId="38" r:id="rId34"/>
    <sheet name="Statement_Broker__c" sheetId="25" r:id="rId35"/>
    <sheet name="Strategic_Data__c" sheetId="26" r:id="rId36"/>
    <sheet name="Target__c" sheetId="27" r:id="rId37"/>
    <sheet name="User" sheetId="28" r:id="rId38"/>
  </sheets>
  <functionGroups/>
  <calcPr calcId="124519"/>
</workbook>
</file>

<file path=xl/calcChain.xml><?xml version="1.0" encoding="utf-8"?>
<calcChain xmlns="http://schemas.openxmlformats.org/spreadsheetml/2006/main">
  <c r="D193" i="39"/>
  <c r="D185"/>
  <c r="D177"/>
  <c r="D169"/>
  <c r="D161"/>
  <c r="D153"/>
  <c r="D145"/>
  <c r="D137"/>
  <c r="D129"/>
  <c r="D121"/>
  <c r="D113"/>
  <c r="D105"/>
  <c r="D97"/>
  <c r="D89"/>
  <c r="D81"/>
  <c r="D73"/>
  <c r="D65"/>
  <c r="D57"/>
  <c r="D49"/>
  <c r="D41"/>
  <c r="D33"/>
  <c r="D25"/>
  <c r="D17"/>
  <c r="D9"/>
  <c r="D3"/>
  <c r="D194"/>
  <c r="D186"/>
  <c r="D178"/>
  <c r="D170"/>
  <c r="D162"/>
  <c r="D154"/>
  <c r="D146"/>
  <c r="D138"/>
  <c r="D130"/>
  <c r="D122"/>
  <c r="D114"/>
  <c r="D106"/>
  <c r="D98"/>
  <c r="D90"/>
  <c r="D82"/>
  <c r="D74"/>
  <c r="D66"/>
  <c r="D58"/>
  <c r="D50"/>
  <c r="D42"/>
  <c r="D34"/>
  <c r="D26"/>
  <c r="D18"/>
  <c r="D10"/>
  <c r="D195"/>
  <c r="D187"/>
  <c r="D179"/>
  <c r="D171"/>
  <c r="D163"/>
  <c r="D155"/>
  <c r="D147"/>
  <c r="D139"/>
  <c r="D131"/>
  <c r="D123"/>
  <c r="D115"/>
  <c r="D107"/>
  <c r="D99"/>
  <c r="D91"/>
  <c r="D83"/>
  <c r="D75"/>
  <c r="D67"/>
  <c r="D59"/>
  <c r="D51"/>
  <c r="D43"/>
  <c r="D35"/>
  <c r="D27"/>
  <c r="D19"/>
  <c r="D11"/>
  <c r="D196"/>
  <c r="D188"/>
  <c r="D180"/>
  <c r="D172"/>
  <c r="D164"/>
  <c r="D156"/>
  <c r="D148"/>
  <c r="D140"/>
  <c r="D132"/>
  <c r="D124"/>
  <c r="D116"/>
  <c r="D108"/>
  <c r="D100"/>
  <c r="D92"/>
  <c r="D84"/>
  <c r="D76"/>
  <c r="D68"/>
  <c r="D60"/>
  <c r="D52"/>
  <c r="D44"/>
  <c r="D36"/>
  <c r="D28"/>
  <c r="D20"/>
  <c r="D12"/>
  <c r="D4"/>
  <c r="D197"/>
  <c r="D189"/>
  <c r="D181"/>
  <c r="D173"/>
  <c r="D165"/>
  <c r="D157"/>
  <c r="D149"/>
  <c r="D141"/>
  <c r="D133"/>
  <c r="D125"/>
  <c r="D117"/>
  <c r="D109"/>
  <c r="D101"/>
  <c r="D93"/>
  <c r="D85"/>
  <c r="D77"/>
  <c r="D69"/>
  <c r="D61"/>
  <c r="D53"/>
  <c r="D45"/>
  <c r="D37"/>
  <c r="D29"/>
  <c r="D21"/>
  <c r="D13"/>
  <c r="D5"/>
  <c r="D198"/>
  <c r="D190"/>
  <c r="D182"/>
  <c r="D174"/>
  <c r="D166"/>
  <c r="D158"/>
  <c r="D150"/>
  <c r="D142"/>
  <c r="D134"/>
  <c r="D126"/>
  <c r="D118"/>
  <c r="D110"/>
  <c r="D102"/>
  <c r="D94"/>
  <c r="D86"/>
  <c r="D78"/>
  <c r="D70"/>
  <c r="D62"/>
  <c r="D54"/>
  <c r="D46"/>
  <c r="D38"/>
  <c r="D30"/>
  <c r="D22"/>
  <c r="D14"/>
  <c r="D6"/>
  <c r="D199"/>
  <c r="D191"/>
  <c r="D183"/>
  <c r="D175"/>
  <c r="D167"/>
  <c r="D159"/>
  <c r="D151"/>
  <c r="D143"/>
  <c r="D135"/>
  <c r="D127"/>
  <c r="D119"/>
  <c r="D111"/>
  <c r="D103"/>
  <c r="D95"/>
  <c r="D87"/>
  <c r="D79"/>
  <c r="D71"/>
  <c r="D63"/>
  <c r="D55"/>
  <c r="D47"/>
  <c r="D39"/>
  <c r="D31"/>
  <c r="D23"/>
  <c r="D15"/>
  <c r="D7"/>
  <c r="D200"/>
  <c r="D192"/>
  <c r="D184"/>
  <c r="D176"/>
  <c r="D168"/>
  <c r="D160"/>
  <c r="D152"/>
  <c r="D144"/>
  <c r="D136"/>
  <c r="D128"/>
  <c r="D120"/>
  <c r="D112"/>
  <c r="D104"/>
  <c r="D96"/>
  <c r="D88"/>
  <c r="D80"/>
  <c r="D72"/>
  <c r="D64"/>
  <c r="D56"/>
  <c r="D48"/>
  <c r="D40"/>
  <c r="D32"/>
  <c r="D24"/>
  <c r="D16"/>
  <c r="D8"/>
  <c r="D2"/>
  <c r="D144" i="4"/>
  <c r="D80"/>
  <c r="D178"/>
  <c r="D167"/>
  <c r="D103"/>
  <c r="D39"/>
  <c r="D190"/>
  <c r="D126"/>
  <c r="D62"/>
  <c r="D197"/>
  <c r="D133"/>
  <c r="D69"/>
  <c r="D114"/>
  <c r="D148"/>
  <c r="D84"/>
  <c r="D194"/>
  <c r="D163"/>
  <c r="D99"/>
  <c r="D35"/>
  <c r="D177"/>
  <c r="D113"/>
  <c r="D49"/>
  <c r="D184" i="1"/>
  <c r="D120"/>
  <c r="D56"/>
  <c r="D43"/>
  <c r="D191"/>
  <c r="D127"/>
  <c r="D63"/>
  <c r="D38"/>
  <c r="D41"/>
  <c r="D142"/>
  <c r="D46"/>
  <c r="D197"/>
  <c r="D133"/>
  <c r="D69"/>
  <c r="D131"/>
  <c r="D129"/>
  <c r="D148"/>
  <c r="D84"/>
  <c r="D139"/>
  <c r="D121"/>
  <c r="D147"/>
  <c r="D81"/>
  <c r="D137"/>
  <c r="D50" i="17"/>
  <c r="D8" i="20"/>
  <c r="D41" i="27"/>
  <c r="D4" i="31"/>
  <c r="D8" i="34"/>
  <c r="D54" i="17"/>
  <c r="D20" i="21"/>
  <c r="D67" i="27"/>
  <c r="D9" i="32"/>
  <c r="D14" i="22"/>
  <c r="D20" i="23"/>
  <c r="D42" i="3"/>
  <c r="D18"/>
  <c r="D52" i="15"/>
  <c r="D49" i="12"/>
  <c r="D2" i="11"/>
  <c r="D19" i="23"/>
  <c r="D97" i="17"/>
  <c r="D5" i="22"/>
  <c r="D9" i="1"/>
  <c r="D36" i="8"/>
  <c r="D23" i="23"/>
  <c r="D33" i="18"/>
  <c r="D7" i="24"/>
  <c r="D13" i="1"/>
  <c r="D21" i="27"/>
  <c r="D32" i="26"/>
  <c r="D7" i="16"/>
  <c r="D10" i="5"/>
  <c r="D44" i="15"/>
  <c r="D41" i="12"/>
  <c r="D64" i="27"/>
  <c r="D2" i="30"/>
  <c r="D14" i="10"/>
  <c r="D16" i="17"/>
  <c r="D7" i="19"/>
  <c r="D66" i="27"/>
  <c r="D3" i="32"/>
  <c r="D6" i="34"/>
  <c r="D28" i="17"/>
  <c r="D34" i="27"/>
  <c r="D7" i="18"/>
  <c r="D25" i="16"/>
  <c r="D90" i="3"/>
  <c r="D10" i="28"/>
  <c r="D6" i="15"/>
  <c r="D31" i="12"/>
  <c r="D22" i="19"/>
  <c r="D27" i="26"/>
  <c r="D3" i="6"/>
  <c r="D5" i="10"/>
  <c r="D15" i="17"/>
  <c r="D20" i="19"/>
  <c r="D42" i="27"/>
  <c r="D5" i="29"/>
  <c r="D17" i="10"/>
  <c r="D19" i="37"/>
  <c r="D5" i="27"/>
  <c r="D82" i="3"/>
  <c r="D94"/>
  <c r="D2" i="38"/>
  <c r="D37" i="12"/>
  <c r="D18" i="11"/>
  <c r="D82" i="17"/>
  <c r="D10" i="22"/>
  <c r="D52" i="27"/>
  <c r="D5" i="8"/>
  <c r="D4" i="13"/>
  <c r="D86" i="17"/>
  <c r="D22" i="22"/>
  <c r="D6" i="1"/>
  <c r="D17" i="8"/>
  <c r="D18" i="37"/>
  <c r="D2" i="25"/>
  <c r="D13" i="3"/>
  <c r="D4" i="16"/>
  <c r="D3" i="38"/>
  <c r="D29" i="12"/>
  <c r="D21" i="11"/>
  <c r="D7" i="13"/>
  <c r="D65" i="17"/>
  <c r="D9" i="21"/>
  <c r="D20" i="27"/>
  <c r="D4" i="8"/>
  <c r="D11" i="13"/>
  <c r="D77" i="17"/>
  <c r="D4" i="21"/>
  <c r="D47" i="27"/>
  <c r="D7" i="37"/>
  <c r="D18" i="18"/>
  <c r="D100" i="3"/>
  <c r="D6"/>
  <c r="D20" i="15"/>
  <c r="D30" i="12"/>
  <c r="D21" i="9"/>
  <c r="D26" i="23"/>
  <c r="D9" i="18"/>
  <c r="D7" i="25"/>
  <c r="D5" i="5"/>
  <c r="D3" i="10"/>
  <c r="D5" i="17"/>
  <c r="D37" i="18"/>
  <c r="D4" i="23"/>
  <c r="D75" i="17"/>
  <c r="D76" i="3"/>
  <c r="D52"/>
  <c r="D29" i="28"/>
  <c r="D45" i="15"/>
  <c r="D47" i="12"/>
  <c r="D13" i="9"/>
  <c r="D18" i="23"/>
  <c r="D104" i="17"/>
  <c r="D17" i="24"/>
  <c r="D15" i="4"/>
  <c r="D17" i="9"/>
  <c r="D38" i="23"/>
  <c r="D38" i="18"/>
  <c r="D6" i="33"/>
  <c r="D11" i="17"/>
  <c r="D58" i="3"/>
  <c r="D23"/>
  <c r="D20" i="28"/>
  <c r="D30" i="15"/>
  <c r="D22" i="12"/>
  <c r="D23" i="7"/>
  <c r="D174" i="3"/>
  <c r="D167"/>
  <c r="D6" i="7"/>
  <c r="D187" i="3"/>
  <c r="D101"/>
  <c r="D14" i="7"/>
  <c r="D117" i="3"/>
  <c r="D44" i="7"/>
  <c r="D194" i="3"/>
  <c r="D102"/>
  <c r="D29" i="7"/>
  <c r="D142" i="3"/>
  <c r="D109"/>
  <c r="D9" i="7"/>
  <c r="D141" i="3"/>
  <c r="D12" i="7"/>
  <c r="D190" i="3"/>
  <c r="D112"/>
  <c r="D7" i="7"/>
  <c r="D157" i="3"/>
  <c r="D176" i="28"/>
  <c r="D112"/>
  <c r="D48"/>
  <c r="D175"/>
  <c r="D111"/>
  <c r="D47"/>
  <c r="D174"/>
  <c r="D110"/>
  <c r="D46"/>
  <c r="D173"/>
  <c r="D109"/>
  <c r="D45"/>
  <c r="D172"/>
  <c r="D108"/>
  <c r="D44"/>
  <c r="D163"/>
  <c r="D99"/>
  <c r="D35"/>
  <c r="D162"/>
  <c r="D98"/>
  <c r="D34"/>
  <c r="D176" i="27"/>
  <c r="D112"/>
  <c r="D199"/>
  <c r="D135"/>
  <c r="D145"/>
  <c r="D150"/>
  <c r="D86"/>
  <c r="D165"/>
  <c r="D101"/>
  <c r="D180"/>
  <c r="D116"/>
  <c r="D113"/>
  <c r="D139"/>
  <c r="D169"/>
  <c r="D154"/>
  <c r="D90"/>
  <c r="D69"/>
  <c r="D144" i="26"/>
  <c r="D80"/>
  <c r="D199"/>
  <c r="D135"/>
  <c r="D71"/>
  <c r="D182"/>
  <c r="D118"/>
  <c r="D54"/>
  <c r="D189"/>
  <c r="D125"/>
  <c r="D53"/>
  <c r="D164"/>
  <c r="D100"/>
  <c r="D145"/>
  <c r="D155"/>
  <c r="D91"/>
  <c r="D177"/>
  <c r="D162"/>
  <c r="D98"/>
  <c r="D185"/>
  <c r="D184" i="25"/>
  <c r="D120"/>
  <c r="D152" i="4"/>
  <c r="D88"/>
  <c r="D24"/>
  <c r="D175"/>
  <c r="D111"/>
  <c r="D47"/>
  <c r="D198"/>
  <c r="D134"/>
  <c r="D70"/>
  <c r="D74"/>
  <c r="D141"/>
  <c r="D77"/>
  <c r="D162"/>
  <c r="D156"/>
  <c r="D92"/>
  <c r="D28"/>
  <c r="D171"/>
  <c r="D107"/>
  <c r="D43"/>
  <c r="D185"/>
  <c r="D121"/>
  <c r="D57"/>
  <c r="D192" i="1"/>
  <c r="D128"/>
  <c r="D64"/>
  <c r="D30"/>
  <c r="D199"/>
  <c r="D135"/>
  <c r="D71"/>
  <c r="D62"/>
  <c r="D97"/>
  <c r="D150"/>
  <c r="D70"/>
  <c r="D57"/>
  <c r="D141"/>
  <c r="D77"/>
  <c r="D20"/>
  <c r="D58"/>
  <c r="D156"/>
  <c r="D92"/>
  <c r="D28"/>
  <c r="D50"/>
  <c r="D155"/>
  <c r="D145"/>
  <c r="D153"/>
  <c r="D32" i="18"/>
  <c r="D13" i="24"/>
  <c r="D18" i="1"/>
  <c r="D37" i="8"/>
  <c r="D16" i="23"/>
  <c r="D22" i="18"/>
  <c r="D9" i="25"/>
  <c r="D3" i="5"/>
  <c r="D49" i="8"/>
  <c r="D22" i="26"/>
  <c r="D14" i="27"/>
  <c r="D35" i="3"/>
  <c r="D49"/>
  <c r="D11" i="38"/>
  <c r="D40" i="12"/>
  <c r="D11" i="11"/>
  <c r="D42" i="17"/>
  <c r="D19" i="19"/>
  <c r="D25" i="26"/>
  <c r="D18" i="6"/>
  <c r="D10" i="33"/>
  <c r="D46" i="17"/>
  <c r="D15" i="20"/>
  <c r="D63" i="27"/>
  <c r="D4" i="30"/>
  <c r="D16" i="19"/>
  <c r="D12" i="34"/>
  <c r="D63" i="3"/>
  <c r="D53"/>
  <c r="D51" i="15"/>
  <c r="D24" i="12"/>
  <c r="D40" i="11"/>
  <c r="D39" i="8"/>
  <c r="D14" i="13"/>
  <c r="D80" i="17"/>
  <c r="D13" i="22"/>
  <c r="D8" i="1"/>
  <c r="D43" i="8"/>
  <c r="D14" i="23"/>
  <c r="D92" i="17"/>
  <c r="D13" i="6"/>
  <c r="D8" i="8"/>
  <c r="D30" i="3"/>
  <c r="D10" i="16"/>
  <c r="D17" i="28"/>
  <c r="D13" i="15"/>
  <c r="D25" i="12"/>
  <c r="D4" i="22"/>
  <c r="D11" i="1"/>
  <c r="D14" i="8"/>
  <c r="D5" i="13"/>
  <c r="D79" i="17"/>
  <c r="D18" i="24"/>
  <c r="D15" i="1"/>
  <c r="D34" i="8"/>
  <c r="D17" i="13"/>
  <c r="D16"/>
  <c r="D3" i="17"/>
  <c r="D38" i="3"/>
  <c r="D24" i="16"/>
  <c r="D6" i="28"/>
  <c r="D46" i="15"/>
  <c r="D26" i="11"/>
  <c r="D10" i="19"/>
  <c r="D21" i="26"/>
  <c r="D15" i="5"/>
  <c r="D19" i="9"/>
  <c r="D7" i="17"/>
  <c r="D15" i="19"/>
  <c r="D26" i="26"/>
  <c r="D15" i="6"/>
  <c r="D9" i="10"/>
  <c r="D13" i="37"/>
  <c r="D11" i="25"/>
  <c r="D30" i="16"/>
  <c r="D14" i="3"/>
  <c r="D7" i="38"/>
  <c r="D36" i="12"/>
  <c r="D17" i="11"/>
  <c r="D10" i="17"/>
  <c r="D16" i="18"/>
  <c r="D15" i="25"/>
  <c r="D6" i="5"/>
  <c r="D18" i="9"/>
  <c r="D14" i="17"/>
  <c r="D11" i="18"/>
  <c r="D33" i="26"/>
  <c r="D18" i="5"/>
  <c r="D8" i="10"/>
  <c r="D33" i="27"/>
  <c r="D59" i="3"/>
  <c r="D39"/>
  <c r="D4" i="15"/>
  <c r="D20" i="12"/>
  <c r="D35" i="34"/>
  <c r="D57" i="17"/>
  <c r="D12" i="20"/>
  <c r="D12" i="27"/>
  <c r="D20" i="32"/>
  <c r="D3" i="13"/>
  <c r="D69" i="17"/>
  <c r="D15" i="21"/>
  <c r="D35" i="27"/>
  <c r="D21" i="37"/>
  <c r="D17" i="3"/>
  <c r="D21"/>
  <c r="D5"/>
  <c r="D47" i="15"/>
  <c r="D12" i="12"/>
  <c r="D27" i="34"/>
  <c r="D49" i="17"/>
  <c r="D16" i="20"/>
  <c r="D27" i="27"/>
  <c r="D12" i="32"/>
  <c r="D31" i="34"/>
  <c r="D61" i="17"/>
  <c r="D2" i="21"/>
  <c r="D24" i="27"/>
  <c r="D59" i="17"/>
  <c r="D14" i="16"/>
  <c r="D85" i="3"/>
  <c r="D7"/>
  <c r="D18" i="15"/>
  <c r="D11" i="12"/>
  <c r="D20" i="11"/>
  <c r="D161" i="3"/>
  <c r="D152"/>
  <c r="D10" i="7"/>
  <c r="D123" i="3"/>
  <c r="D110"/>
  <c r="D3" i="7"/>
  <c r="D140" i="3"/>
  <c r="D48" i="7"/>
  <c r="D122" i="3"/>
  <c r="D191"/>
  <c r="D28" i="7"/>
  <c r="D147" i="3"/>
  <c r="D108"/>
  <c r="D53" i="7"/>
  <c r="D164" i="3"/>
  <c r="D15" i="7"/>
  <c r="D146" i="3"/>
  <c r="D128"/>
  <c r="D5" i="7"/>
  <c r="D158" i="3"/>
  <c r="D184" i="28"/>
  <c r="D120"/>
  <c r="D56"/>
  <c r="D183"/>
  <c r="D119"/>
  <c r="D55"/>
  <c r="D182"/>
  <c r="D118"/>
  <c r="D54"/>
  <c r="D181"/>
  <c r="D117"/>
  <c r="D53"/>
  <c r="D180"/>
  <c r="D116"/>
  <c r="D52"/>
  <c r="D171"/>
  <c r="D107"/>
  <c r="D43"/>
  <c r="D170"/>
  <c r="D106"/>
  <c r="D42"/>
  <c r="D184" i="27"/>
  <c r="D120"/>
  <c r="D105"/>
  <c r="D143"/>
  <c r="D79"/>
  <c r="D158"/>
  <c r="D94"/>
  <c r="D173"/>
  <c r="D109"/>
  <c r="D188"/>
  <c r="D124"/>
  <c r="D153"/>
  <c r="D147"/>
  <c r="D83"/>
  <c r="D162"/>
  <c r="D98"/>
  <c r="D121"/>
  <c r="D152" i="26"/>
  <c r="D88"/>
  <c r="D73"/>
  <c r="D143"/>
  <c r="D79"/>
  <c r="D190"/>
  <c r="D126"/>
  <c r="D62"/>
  <c r="D197"/>
  <c r="D133"/>
  <c r="D69"/>
  <c r="D172"/>
  <c r="D108"/>
  <c r="D44"/>
  <c r="D163"/>
  <c r="D99"/>
  <c r="D193"/>
  <c r="D170"/>
  <c r="D106"/>
  <c r="D42"/>
  <c r="D192" i="25"/>
  <c r="D160" i="4"/>
  <c r="D96"/>
  <c r="D32"/>
  <c r="D183"/>
  <c r="D119"/>
  <c r="D55"/>
  <c r="D50"/>
  <c r="D142"/>
  <c r="D78"/>
  <c r="D122"/>
  <c r="D149"/>
  <c r="D85"/>
  <c r="D21"/>
  <c r="D164"/>
  <c r="D100"/>
  <c r="D36"/>
  <c r="D179"/>
  <c r="D115"/>
  <c r="D51"/>
  <c r="D193"/>
  <c r="D129"/>
  <c r="D65"/>
  <c r="D200" i="1"/>
  <c r="D136"/>
  <c r="D72"/>
  <c r="D54"/>
  <c r="D49"/>
  <c r="D143"/>
  <c r="D79"/>
  <c r="D86"/>
  <c r="D26"/>
  <c r="D158"/>
  <c r="D94"/>
  <c r="D113"/>
  <c r="D149"/>
  <c r="D85"/>
  <c r="D21"/>
  <c r="D106"/>
  <c r="D164"/>
  <c r="D100"/>
  <c r="D36"/>
  <c r="D90"/>
  <c r="D163"/>
  <c r="D66"/>
  <c r="D161"/>
  <c r="D11" i="20"/>
  <c r="D61" i="27"/>
  <c r="D5" i="31"/>
  <c r="D11" i="33"/>
  <c r="D39" i="17"/>
  <c r="D10" i="21"/>
  <c r="D18" i="27"/>
  <c r="D18" i="32"/>
  <c r="D13" i="34"/>
  <c r="D22" i="27"/>
  <c r="D19" i="4"/>
  <c r="D89" i="3"/>
  <c r="D60"/>
  <c r="D7" i="28"/>
  <c r="D19" i="15"/>
  <c r="D43" i="11"/>
  <c r="D2" i="18"/>
  <c r="D9" i="24"/>
  <c r="D10" i="1"/>
  <c r="D29" i="8"/>
  <c r="D8" i="23"/>
  <c r="D25" i="18"/>
  <c r="D12" i="24"/>
  <c r="D13" i="4"/>
  <c r="D41" i="8"/>
  <c r="D18" i="25"/>
  <c r="D30" i="26"/>
  <c r="D99" i="3"/>
  <c r="D13" i="16"/>
  <c r="D9" i="38"/>
  <c r="D34" i="12"/>
  <c r="D10" i="11"/>
  <c r="D3" i="34"/>
  <c r="D25" i="17"/>
  <c r="D18" i="19"/>
  <c r="D6" i="26"/>
  <c r="D17" i="6"/>
  <c r="D7" i="34"/>
  <c r="D37" i="17"/>
  <c r="D13" i="19"/>
  <c r="D15" i="24"/>
  <c r="D15" i="37"/>
  <c r="D12" i="16"/>
  <c r="D74" i="3"/>
  <c r="D5" i="36"/>
  <c r="D35" i="15"/>
  <c r="D33" i="12"/>
  <c r="D4" i="26"/>
  <c r="D2" i="29"/>
  <c r="D6" i="10"/>
  <c r="D8" i="17"/>
  <c r="D2" i="19"/>
  <c r="D65" i="27"/>
  <c r="D2" i="31"/>
  <c r="D8" i="33"/>
  <c r="D20" i="17"/>
  <c r="D12" i="23"/>
  <c r="D28"/>
  <c r="D28" i="16"/>
  <c r="D62" i="3"/>
  <c r="D22" i="28"/>
  <c r="D33" i="15"/>
  <c r="D42" i="12"/>
  <c r="D7" i="22"/>
  <c r="D3" i="1"/>
  <c r="D6" i="8"/>
  <c r="D33" i="34"/>
  <c r="D71" i="17"/>
  <c r="D21" i="22"/>
  <c r="D7" i="1"/>
  <c r="D26" i="8"/>
  <c r="D9" i="13"/>
  <c r="D16" i="10"/>
  <c r="D36" i="23"/>
  <c r="D88" i="3"/>
  <c r="D27" i="16"/>
  <c r="D3" i="28"/>
  <c r="D23" i="15"/>
  <c r="D25" i="11"/>
  <c r="D74" i="17"/>
  <c r="D13" i="21"/>
  <c r="D56" i="27"/>
  <c r="D21" i="32"/>
  <c r="D32" i="34"/>
  <c r="D78" i="17"/>
  <c r="D18" i="22"/>
  <c r="D3" i="37"/>
  <c r="D9" i="8"/>
  <c r="D4" i="34"/>
  <c r="D3" i="20"/>
  <c r="D77" i="3"/>
  <c r="D11"/>
  <c r="D8" i="38"/>
  <c r="D28" i="12"/>
  <c r="D2" i="17"/>
  <c r="D24" i="18"/>
  <c r="D19" i="24"/>
  <c r="D16" i="4"/>
  <c r="D10" i="9"/>
  <c r="D6" i="17"/>
  <c r="D20" i="18"/>
  <c r="D8" i="25"/>
  <c r="D2" i="5"/>
  <c r="D16" i="8"/>
  <c r="D13" i="27"/>
  <c r="D15" i="16"/>
  <c r="D48" i="3"/>
  <c r="D39" i="15"/>
  <c r="D19" i="12"/>
  <c r="D35" i="23"/>
  <c r="D26" i="18"/>
  <c r="D21" i="24"/>
  <c r="D8" i="4"/>
  <c r="D2" i="9"/>
  <c r="D39" i="23"/>
  <c r="D29" i="18"/>
  <c r="D17" i="25"/>
  <c r="D12" i="4"/>
  <c r="D17" i="5"/>
  <c r="D3" i="27"/>
  <c r="D26" i="16"/>
  <c r="D57" i="3"/>
  <c r="D24" i="15"/>
  <c r="D10" i="12"/>
  <c r="D8"/>
  <c r="D50" i="7"/>
  <c r="D165" i="3"/>
  <c r="D46" i="7"/>
  <c r="D170" i="3"/>
  <c r="D176"/>
  <c r="D47" i="7"/>
  <c r="D195" i="3"/>
  <c r="D34" i="11"/>
  <c r="D185" i="3"/>
  <c r="D127"/>
  <c r="D36" i="7"/>
  <c r="D180" i="3"/>
  <c r="D103"/>
  <c r="D21" i="7"/>
  <c r="D182" i="3"/>
  <c r="D31" i="11"/>
  <c r="D172" i="3"/>
  <c r="D151"/>
  <c r="D18" i="7"/>
  <c r="D116" i="3"/>
  <c r="D192" i="28"/>
  <c r="D128"/>
  <c r="D64"/>
  <c r="D191"/>
  <c r="D127"/>
  <c r="D63"/>
  <c r="D190"/>
  <c r="D126"/>
  <c r="D62"/>
  <c r="D189"/>
  <c r="D125"/>
  <c r="D61"/>
  <c r="D188"/>
  <c r="D124"/>
  <c r="D60"/>
  <c r="D179"/>
  <c r="D115"/>
  <c r="D51"/>
  <c r="D178"/>
  <c r="D114"/>
  <c r="D50"/>
  <c r="D192" i="27"/>
  <c r="D128"/>
  <c r="D71"/>
  <c r="D151"/>
  <c r="D87"/>
  <c r="D166"/>
  <c r="D102"/>
  <c r="D181"/>
  <c r="D117"/>
  <c r="D196"/>
  <c r="D132"/>
  <c r="D75"/>
  <c r="D155"/>
  <c r="D91"/>
  <c r="D170"/>
  <c r="D106"/>
  <c r="D161"/>
  <c r="D160" i="26"/>
  <c r="D96"/>
  <c r="D39"/>
  <c r="D151"/>
  <c r="D87"/>
  <c r="D198"/>
  <c r="D134"/>
  <c r="D70"/>
  <c r="D89"/>
  <c r="D141"/>
  <c r="D77"/>
  <c r="D180"/>
  <c r="D116"/>
  <c r="D52"/>
  <c r="D171"/>
  <c r="D107"/>
  <c r="D43"/>
  <c r="D178"/>
  <c r="D114"/>
  <c r="D50"/>
  <c r="D200" i="25"/>
  <c r="D136"/>
  <c r="D72"/>
  <c r="D123"/>
  <c r="D151"/>
  <c r="D87"/>
  <c r="D23"/>
  <c r="D174"/>
  <c r="D168" i="4"/>
  <c r="D104"/>
  <c r="D40"/>
  <c r="D191"/>
  <c r="D127"/>
  <c r="D63"/>
  <c r="D90"/>
  <c r="D150"/>
  <c r="D86"/>
  <c r="D170"/>
  <c r="D157"/>
  <c r="D93"/>
  <c r="D29"/>
  <c r="D172"/>
  <c r="D108"/>
  <c r="D44"/>
  <c r="D187"/>
  <c r="D123"/>
  <c r="D59"/>
  <c r="D42"/>
  <c r="D137"/>
  <c r="D73"/>
  <c r="D20"/>
  <c r="D144" i="1"/>
  <c r="D80"/>
  <c r="D78"/>
  <c r="D105"/>
  <c r="D151"/>
  <c r="D87"/>
  <c r="D23"/>
  <c r="D74"/>
  <c r="D166"/>
  <c r="D102"/>
  <c r="D42"/>
  <c r="D157"/>
  <c r="D93"/>
  <c r="D29"/>
  <c r="D146"/>
  <c r="D172"/>
  <c r="D108"/>
  <c r="D44"/>
  <c r="D138"/>
  <c r="D171"/>
  <c r="D122"/>
  <c r="D169"/>
  <c r="D3" i="24"/>
  <c r="D18" i="4"/>
  <c r="D38" i="8"/>
  <c r="D9" i="23"/>
  <c r="D103" i="17"/>
  <c r="D16" i="25"/>
  <c r="D4" i="5"/>
  <c r="D8" i="9"/>
  <c r="D21" i="23"/>
  <c r="D21" i="19"/>
  <c r="D12" i="21"/>
  <c r="D84" i="3"/>
  <c r="D37"/>
  <c r="D32" i="28"/>
  <c r="D26" i="15"/>
  <c r="D14" i="11"/>
  <c r="D7" i="20"/>
  <c r="D25" i="27"/>
  <c r="D19" i="6"/>
  <c r="D3" i="33"/>
  <c r="D31" i="17"/>
  <c r="D13" i="20"/>
  <c r="D59" i="27"/>
  <c r="D10" i="32"/>
  <c r="D5" i="34"/>
  <c r="D8" i="27"/>
  <c r="D36"/>
  <c r="D64" i="3"/>
  <c r="D96"/>
  <c r="D4" i="28"/>
  <c r="D41" i="15"/>
  <c r="D30" i="11"/>
  <c r="D11" i="23"/>
  <c r="D89" i="17"/>
  <c r="D23" i="22"/>
  <c r="D51" i="27"/>
  <c r="D28" i="8"/>
  <c r="D15" i="23"/>
  <c r="D101" i="17"/>
  <c r="D3" i="22"/>
  <c r="D5" i="1"/>
  <c r="D7" i="27"/>
  <c r="D60"/>
  <c r="D43" i="3"/>
  <c r="D2"/>
  <c r="D43" i="15"/>
  <c r="D15" i="12"/>
  <c r="D4" i="11"/>
  <c r="D31" i="8"/>
  <c r="D6" i="13"/>
  <c r="D72" i="17"/>
  <c r="D8" i="22"/>
  <c r="D2" i="37"/>
  <c r="D35" i="8"/>
  <c r="D6" i="23"/>
  <c r="D84" i="17"/>
  <c r="D4" i="1"/>
  <c r="D9" i="5"/>
  <c r="D32" i="3"/>
  <c r="D8" i="16"/>
  <c r="D26" i="28"/>
  <c r="D40" i="15"/>
  <c r="D5" i="12"/>
  <c r="D17" i="26"/>
  <c r="D12" i="6"/>
  <c r="D20" i="9"/>
  <c r="D41" i="23"/>
  <c r="D4" i="18"/>
  <c r="D15" i="26"/>
  <c r="D16" i="6"/>
  <c r="D18" i="10"/>
  <c r="D12" i="17"/>
  <c r="D28" i="27"/>
  <c r="D4"/>
  <c r="D5" i="16"/>
  <c r="D79" i="3"/>
  <c r="D24" i="28"/>
  <c r="D17" i="15"/>
  <c r="D45" i="12"/>
  <c r="D35" i="18"/>
  <c r="D4" i="25"/>
  <c r="D7" i="5"/>
  <c r="D11" i="9"/>
  <c r="D40" i="23"/>
  <c r="D3" i="18"/>
  <c r="D28" i="26"/>
  <c r="D7" i="6"/>
  <c r="D23" i="9"/>
  <c r="D14" i="26"/>
  <c r="D8" i="37"/>
  <c r="D18" i="16"/>
  <c r="D86" i="3"/>
  <c r="D5" i="38"/>
  <c r="D27" i="12"/>
  <c r="D66" i="17"/>
  <c r="D18" i="21"/>
  <c r="D32" i="27"/>
  <c r="D13" i="32"/>
  <c r="D24" i="34"/>
  <c r="D70" i="17"/>
  <c r="D11" i="21"/>
  <c r="D58" i="27"/>
  <c r="D25" i="32"/>
  <c r="D10" i="27"/>
  <c r="D23" i="18"/>
  <c r="D72" i="3"/>
  <c r="D75"/>
  <c r="D32" i="15"/>
  <c r="D18" i="12"/>
  <c r="D58" i="17"/>
  <c r="D4" i="20"/>
  <c r="D62" i="27"/>
  <c r="D5" i="32"/>
  <c r="D16" i="34"/>
  <c r="D62" i="17"/>
  <c r="D7" i="21"/>
  <c r="D48" i="27"/>
  <c r="D17" i="32"/>
  <c r="D7" i="26"/>
  <c r="D51" i="17"/>
  <c r="D46" i="3"/>
  <c r="D68"/>
  <c r="D9" i="15"/>
  <c r="D17" i="12"/>
  <c r="D3" i="11"/>
  <c r="D49" i="7"/>
  <c r="D198" i="3"/>
  <c r="D51" i="7"/>
  <c r="D160" i="3"/>
  <c r="D175"/>
  <c r="D19" i="7"/>
  <c r="D131" i="3"/>
  <c r="D8" i="11"/>
  <c r="D121" i="3"/>
  <c r="D189"/>
  <c r="D32" i="7"/>
  <c r="D130" i="3"/>
  <c r="D199"/>
  <c r="D20" i="7"/>
  <c r="D155" i="3"/>
  <c r="D36" i="11"/>
  <c r="D145" i="3"/>
  <c r="D126"/>
  <c r="D25" i="7"/>
  <c r="D171" i="3"/>
  <c r="D200" i="28"/>
  <c r="D136"/>
  <c r="D72"/>
  <c r="D199"/>
  <c r="D135"/>
  <c r="D71"/>
  <c r="D198"/>
  <c r="D134"/>
  <c r="D70"/>
  <c r="D197"/>
  <c r="D133"/>
  <c r="D69"/>
  <c r="D196"/>
  <c r="D132"/>
  <c r="D68"/>
  <c r="D187"/>
  <c r="D123"/>
  <c r="D59"/>
  <c r="D186"/>
  <c r="D122"/>
  <c r="D58"/>
  <c r="D200" i="27"/>
  <c r="D136"/>
  <c r="D72"/>
  <c r="D159"/>
  <c r="D95"/>
  <c r="D174"/>
  <c r="D110"/>
  <c r="D189"/>
  <c r="D125"/>
  <c r="D73"/>
  <c r="D140"/>
  <c r="D76"/>
  <c r="D163"/>
  <c r="D99"/>
  <c r="D178"/>
  <c r="D114"/>
  <c r="D177"/>
  <c r="D168" i="26"/>
  <c r="D104"/>
  <c r="D40"/>
  <c r="D159"/>
  <c r="D95"/>
  <c r="D41"/>
  <c r="D142"/>
  <c r="D78"/>
  <c r="D137"/>
  <c r="D149"/>
  <c r="D85"/>
  <c r="D188"/>
  <c r="D124"/>
  <c r="D60"/>
  <c r="D179"/>
  <c r="D115"/>
  <c r="D51"/>
  <c r="D186"/>
  <c r="D122"/>
  <c r="D58"/>
  <c r="D36"/>
  <c r="D144" i="25"/>
  <c r="D80"/>
  <c r="D171"/>
  <c r="D159"/>
  <c r="D95"/>
  <c r="D31"/>
  <c r="D182"/>
  <c r="D176" i="4"/>
  <c r="D112"/>
  <c r="D48"/>
  <c r="D199"/>
  <c r="D135"/>
  <c r="D71"/>
  <c r="D138"/>
  <c r="D158"/>
  <c r="D94"/>
  <c r="D30"/>
  <c r="D165"/>
  <c r="D101"/>
  <c r="D37"/>
  <c r="D180"/>
  <c r="D116"/>
  <c r="D52"/>
  <c r="D195"/>
  <c r="D131"/>
  <c r="D67"/>
  <c r="D98"/>
  <c r="D145"/>
  <c r="D81"/>
  <c r="D26"/>
  <c r="D152" i="1"/>
  <c r="D88"/>
  <c r="D24"/>
  <c r="D34"/>
  <c r="D159"/>
  <c r="D95"/>
  <c r="D31"/>
  <c r="D114"/>
  <c r="D174"/>
  <c r="D110"/>
  <c r="D98"/>
  <c r="D165"/>
  <c r="D101"/>
  <c r="D37"/>
  <c r="D186"/>
  <c r="D180"/>
  <c r="D116"/>
  <c r="D52"/>
  <c r="D194"/>
  <c r="D179"/>
  <c r="D170"/>
  <c r="D177"/>
  <c r="D15" i="3"/>
  <c r="D15" i="32"/>
  <c r="D2" i="34"/>
  <c r="D32" i="17"/>
  <c r="D10" i="20"/>
  <c r="D11" i="27"/>
  <c r="D19" i="32"/>
  <c r="D22" i="34"/>
  <c r="D44" i="17"/>
  <c r="D5" i="26"/>
  <c r="D6" i="37"/>
  <c r="D78" i="3"/>
  <c r="D29"/>
  <c r="D27" i="28"/>
  <c r="D22" i="15"/>
  <c r="D13" i="12"/>
  <c r="D5" i="24"/>
  <c r="D10" i="4"/>
  <c r="D30" i="8"/>
  <c r="D4" i="35"/>
  <c r="D95" i="17"/>
  <c r="D4" i="24"/>
  <c r="D14" i="4"/>
  <c r="D50" i="8"/>
  <c r="D13" i="23"/>
  <c r="D91" i="17"/>
  <c r="D36" i="18"/>
  <c r="D69" i="3"/>
  <c r="D87"/>
  <c r="D16" i="28"/>
  <c r="D11" i="15"/>
  <c r="D5" i="11"/>
  <c r="D34" i="17"/>
  <c r="D6" i="19"/>
  <c r="D35" i="26"/>
  <c r="D10" i="6"/>
  <c r="D2" i="33"/>
  <c r="D38" i="17"/>
  <c r="D17" i="20"/>
  <c r="D3" i="26"/>
  <c r="D4" i="29"/>
  <c r="D83" i="17"/>
  <c r="D48" i="8"/>
  <c r="D9" i="3"/>
  <c r="D16"/>
  <c r="D50" i="15"/>
  <c r="D32" i="12"/>
  <c r="D35" i="11"/>
  <c r="D5" i="33"/>
  <c r="D17" i="17"/>
  <c r="D34" i="18"/>
  <c r="D8" i="26"/>
  <c r="D9" i="6"/>
  <c r="D9" i="33"/>
  <c r="D29" i="17"/>
  <c r="D8" i="19"/>
  <c r="D3"/>
  <c r="D19" i="26"/>
  <c r="D19" i="3"/>
  <c r="D71"/>
  <c r="D6" i="36"/>
  <c r="D28" i="15"/>
  <c r="D51" i="12"/>
  <c r="D42" i="7"/>
  <c r="D23" i="8"/>
  <c r="D34" i="34"/>
  <c r="D64" i="17"/>
  <c r="D2" i="22"/>
  <c r="D50" i="27"/>
  <c r="D27" i="8"/>
  <c r="D18" i="13"/>
  <c r="D76" i="17"/>
  <c r="D23" i="27"/>
  <c r="D46"/>
  <c r="D47" i="3"/>
  <c r="D51"/>
  <c r="D28" i="28"/>
  <c r="D25" i="15"/>
  <c r="D43" i="12"/>
  <c r="D17" i="22"/>
  <c r="D9" i="37"/>
  <c r="D22" i="32"/>
  <c r="D25" i="34"/>
  <c r="D63" i="17"/>
  <c r="D16" i="22"/>
  <c r="D49" i="27"/>
  <c r="D18" i="8"/>
  <c r="D37" i="34"/>
  <c r="D24" i="8"/>
  <c r="D28" i="34"/>
  <c r="D55" i="3"/>
  <c r="D11" i="16"/>
  <c r="D15" i="28"/>
  <c r="D8" i="15"/>
  <c r="D15" i="18"/>
  <c r="D14" i="25"/>
  <c r="D17" i="4"/>
  <c r="D3" i="9"/>
  <c r="D32" i="23"/>
  <c r="D12" i="18"/>
  <c r="D31" i="26"/>
  <c r="D19" i="5"/>
  <c r="D15" i="9"/>
  <c r="D10" i="37"/>
  <c r="D8" i="21"/>
  <c r="D21" i="16"/>
  <c r="D31" i="3"/>
  <c r="D10" i="38"/>
  <c r="D26" i="12"/>
  <c r="D31" i="18"/>
  <c r="D11" i="24"/>
  <c r="D9" i="4"/>
  <c r="D45" i="8"/>
  <c r="D24" i="23"/>
  <c r="D21" i="18"/>
  <c r="D13" i="25"/>
  <c r="D11" i="5"/>
  <c r="D7" i="9"/>
  <c r="D16" i="26"/>
  <c r="D16" i="32"/>
  <c r="D6" i="16"/>
  <c r="D95" i="3"/>
  <c r="D6" i="38"/>
  <c r="D50" i="12"/>
  <c r="D27" i="11"/>
  <c r="D11" i="7"/>
  <c r="D124" i="3"/>
  <c r="D7" i="11"/>
  <c r="D169" i="3"/>
  <c r="D200"/>
  <c r="D8" i="7"/>
  <c r="D178" i="3"/>
  <c r="D111"/>
  <c r="D35" i="7"/>
  <c r="D125" i="3"/>
  <c r="D28" i="11"/>
  <c r="D193" i="3"/>
  <c r="D135"/>
  <c r="D27" i="7"/>
  <c r="D150" i="3"/>
  <c r="D104"/>
  <c r="D30" i="7"/>
  <c r="D149" i="3"/>
  <c r="D33" i="7"/>
  <c r="D184" i="3"/>
  <c r="D105"/>
  <c r="D144" i="28"/>
  <c r="D80"/>
  <c r="D49"/>
  <c r="D143"/>
  <c r="D79"/>
  <c r="D65"/>
  <c r="D142"/>
  <c r="D78"/>
  <c r="D81"/>
  <c r="D141"/>
  <c r="D77"/>
  <c r="D57"/>
  <c r="D140"/>
  <c r="D76"/>
  <c r="D195"/>
  <c r="D131"/>
  <c r="D67"/>
  <c r="D194"/>
  <c r="D130"/>
  <c r="D66"/>
  <c r="D33"/>
  <c r="D144" i="27"/>
  <c r="D80"/>
  <c r="D167"/>
  <c r="D103"/>
  <c r="D182"/>
  <c r="D118"/>
  <c r="D197"/>
  <c r="D133"/>
  <c r="D129"/>
  <c r="D148"/>
  <c r="D84"/>
  <c r="D171"/>
  <c r="D107"/>
  <c r="D186"/>
  <c r="D122"/>
  <c r="D185"/>
  <c r="D176" i="26"/>
  <c r="D112"/>
  <c r="D48"/>
  <c r="D167"/>
  <c r="D103"/>
  <c r="D97"/>
  <c r="D150"/>
  <c r="D86"/>
  <c r="D45"/>
  <c r="D157"/>
  <c r="D93"/>
  <c r="D196"/>
  <c r="D132"/>
  <c r="D68"/>
  <c r="D187"/>
  <c r="D123"/>
  <c r="D59"/>
  <c r="D194"/>
  <c r="D130"/>
  <c r="D66"/>
  <c r="D57"/>
  <c r="D184" i="4"/>
  <c r="D120"/>
  <c r="D56"/>
  <c r="D34"/>
  <c r="D143"/>
  <c r="D79"/>
  <c r="D22"/>
  <c r="D166"/>
  <c r="D102"/>
  <c r="D38"/>
  <c r="D173"/>
  <c r="D109"/>
  <c r="D45"/>
  <c r="D188"/>
  <c r="D124"/>
  <c r="D60"/>
  <c r="D58"/>
  <c r="D139"/>
  <c r="D75"/>
  <c r="D146"/>
  <c r="D153"/>
  <c r="D89"/>
  <c r="D25"/>
  <c r="D160" i="1"/>
  <c r="D96"/>
  <c r="D32"/>
  <c r="D82"/>
  <c r="D167"/>
  <c r="D103"/>
  <c r="D39"/>
  <c r="D162"/>
  <c r="D182"/>
  <c r="D118"/>
  <c r="D154"/>
  <c r="D173"/>
  <c r="D109"/>
  <c r="D45"/>
  <c r="D59"/>
  <c r="D188"/>
  <c r="D124"/>
  <c r="D60"/>
  <c r="D67"/>
  <c r="D187"/>
  <c r="D51"/>
  <c r="D185"/>
  <c r="D19"/>
  <c r="D5" i="9"/>
  <c r="D10" i="23"/>
  <c r="D96" i="17"/>
  <c r="D6" i="24"/>
  <c r="D7" i="4"/>
  <c r="D9" i="9"/>
  <c r="D30" i="23"/>
  <c r="D10" i="18"/>
  <c r="D32" i="8"/>
  <c r="D36" i="34"/>
  <c r="D61" i="3"/>
  <c r="D23" i="16"/>
  <c r="D23" i="28"/>
  <c r="D29" i="15"/>
  <c r="D4" i="12"/>
  <c r="D68" i="27"/>
  <c r="D7" i="32"/>
  <c r="D4" i="33"/>
  <c r="D24" i="17"/>
  <c r="D12" i="19"/>
  <c r="D43" i="27"/>
  <c r="D11" i="32"/>
  <c r="D14" i="34"/>
  <c r="D36" i="17"/>
  <c r="D11" i="37"/>
  <c r="D23" i="26"/>
  <c r="D22" i="16"/>
  <c r="D93" i="3"/>
  <c r="D25" i="28"/>
  <c r="D14" i="15"/>
  <c r="D16" i="12"/>
  <c r="D98" i="17"/>
  <c r="D12" i="22"/>
  <c r="D2" i="1"/>
  <c r="D21" i="8"/>
  <c r="D3" i="35"/>
  <c r="D102" i="17"/>
  <c r="D22" i="24"/>
  <c r="D5" i="4"/>
  <c r="D33" i="8"/>
  <c r="D20" i="34"/>
  <c r="D40" i="8"/>
  <c r="D28" i="3"/>
  <c r="D32" i="16"/>
  <c r="D4" i="38"/>
  <c r="D6" i="12"/>
  <c r="D9" i="11"/>
  <c r="D3" i="23"/>
  <c r="D81" i="17"/>
  <c r="D20" i="22"/>
  <c r="D44" i="27"/>
  <c r="D20" i="8"/>
  <c r="D7" i="23"/>
  <c r="D93" i="17"/>
  <c r="D6" i="22"/>
  <c r="D4" i="37"/>
  <c r="D12" i="25"/>
  <c r="D10" i="24"/>
  <c r="D80" i="3"/>
  <c r="D4"/>
  <c r="D42" i="15"/>
  <c r="D48" i="12"/>
  <c r="D42" i="11"/>
  <c r="D15" i="10"/>
  <c r="D9" i="17"/>
  <c r="D5" i="18"/>
  <c r="D20" i="26"/>
  <c r="D21" i="5"/>
  <c r="D19" i="10"/>
  <c r="D21" i="17"/>
  <c r="D19" i="18"/>
  <c r="D99" i="17"/>
  <c r="D9" i="22"/>
  <c r="D83" i="3"/>
  <c r="D25"/>
  <c r="D3" i="36"/>
  <c r="D48" i="15"/>
  <c r="D23" i="12"/>
  <c r="D29" i="26"/>
  <c r="D4" i="6"/>
  <c r="D12" i="9"/>
  <c r="D33" i="23"/>
  <c r="D13" i="18"/>
  <c r="D18" i="26"/>
  <c r="D8" i="6"/>
  <c r="D10" i="10"/>
  <c r="D4" i="17"/>
  <c r="D12" i="37"/>
  <c r="D43" i="17"/>
  <c r="D27" i="3"/>
  <c r="D33"/>
  <c r="D5" i="28"/>
  <c r="D31" i="15"/>
  <c r="D5" i="21"/>
  <c r="D53" i="27"/>
  <c r="D14" i="32"/>
  <c r="D17" i="34"/>
  <c r="D55" i="17"/>
  <c r="D3" i="21"/>
  <c r="D37" i="27"/>
  <c r="D10" i="8"/>
  <c r="D29" i="34"/>
  <c r="D5" i="6"/>
  <c r="D14" i="9"/>
  <c r="D50" i="3"/>
  <c r="D67"/>
  <c r="D31" i="28"/>
  <c r="D7" i="15"/>
  <c r="D16" i="21"/>
  <c r="D45" i="27"/>
  <c r="D6" i="32"/>
  <c r="D9" i="34"/>
  <c r="D47" i="17"/>
  <c r="D14" i="21"/>
  <c r="D29" i="27"/>
  <c r="D2" i="8"/>
  <c r="D21" i="34"/>
  <c r="D5" i="37"/>
  <c r="D24" i="32"/>
  <c r="D73" i="3"/>
  <c r="D98"/>
  <c r="D19" i="28"/>
  <c r="D49" i="15"/>
  <c r="D22" i="11"/>
  <c r="D17" i="7"/>
  <c r="D179" i="3"/>
  <c r="D13" i="11"/>
  <c r="D34" i="7"/>
  <c r="D173" i="3"/>
  <c r="D26" i="7"/>
  <c r="D114" i="3"/>
  <c r="D183"/>
  <c r="D40" i="7"/>
  <c r="D148" i="3"/>
  <c r="D32" i="11"/>
  <c r="D129" i="3"/>
  <c r="D197"/>
  <c r="D2" i="7"/>
  <c r="D138" i="3"/>
  <c r="D120"/>
  <c r="D22" i="7"/>
  <c r="D196" i="3"/>
  <c r="D52" i="7"/>
  <c r="D154" i="3"/>
  <c r="D136"/>
  <c r="D152" i="28"/>
  <c r="D88"/>
  <c r="D105"/>
  <c r="D151"/>
  <c r="D87"/>
  <c r="D121"/>
  <c r="D150"/>
  <c r="D86"/>
  <c r="D137"/>
  <c r="D149"/>
  <c r="D85"/>
  <c r="D113"/>
  <c r="D148"/>
  <c r="D84"/>
  <c r="D89"/>
  <c r="D139"/>
  <c r="D75"/>
  <c r="D73"/>
  <c r="D138"/>
  <c r="D74"/>
  <c r="D41"/>
  <c r="D152" i="27"/>
  <c r="D88"/>
  <c r="D175"/>
  <c r="D111"/>
  <c r="D190"/>
  <c r="D126"/>
  <c r="D97"/>
  <c r="D141"/>
  <c r="D77"/>
  <c r="D156"/>
  <c r="D92"/>
  <c r="D179"/>
  <c r="D115"/>
  <c r="D194"/>
  <c r="D130"/>
  <c r="D193"/>
  <c r="D184" i="26"/>
  <c r="D120"/>
  <c r="D56"/>
  <c r="D175"/>
  <c r="D111"/>
  <c r="D47"/>
  <c r="D158"/>
  <c r="D94"/>
  <c r="D61"/>
  <c r="D165"/>
  <c r="D101"/>
  <c r="D65"/>
  <c r="D140"/>
  <c r="D76"/>
  <c r="D195"/>
  <c r="D131"/>
  <c r="D192" i="4"/>
  <c r="D128"/>
  <c r="D64"/>
  <c r="D82"/>
  <c r="D151"/>
  <c r="D87"/>
  <c r="D23"/>
  <c r="D174"/>
  <c r="D110"/>
  <c r="D46"/>
  <c r="D181"/>
  <c r="D117"/>
  <c r="D53"/>
  <c r="D196"/>
  <c r="D132"/>
  <c r="D68"/>
  <c r="D106"/>
  <c r="D147"/>
  <c r="D83"/>
  <c r="D186"/>
  <c r="D161"/>
  <c r="D97"/>
  <c r="D33"/>
  <c r="D168" i="1"/>
  <c r="D104"/>
  <c r="D40"/>
  <c r="D130"/>
  <c r="D175"/>
  <c r="D111"/>
  <c r="D47"/>
  <c r="D35"/>
  <c r="D190"/>
  <c r="D126"/>
  <c r="D27"/>
  <c r="D181"/>
  <c r="D117"/>
  <c r="D53"/>
  <c r="D91"/>
  <c r="D196"/>
  <c r="D132"/>
  <c r="D68"/>
  <c r="D99"/>
  <c r="D195"/>
  <c r="D83"/>
  <c r="D193"/>
  <c r="D33"/>
  <c r="D19" i="34"/>
  <c r="D41" i="17"/>
  <c r="D4" i="19"/>
  <c r="D26" i="27"/>
  <c r="D4" i="32"/>
  <c r="D23" i="34"/>
  <c r="D53" i="17"/>
  <c r="D6" i="20"/>
  <c r="D16" i="27"/>
  <c r="D6" i="9"/>
  <c r="D17" i="16"/>
  <c r="D10" i="3"/>
  <c r="D2" i="36"/>
  <c r="D53" i="15"/>
  <c r="D2" i="12"/>
  <c r="D38" i="7"/>
  <c r="D47" i="8"/>
  <c r="D2" i="23"/>
  <c r="D88" i="17"/>
  <c r="D16" i="24"/>
  <c r="D16" i="1"/>
  <c r="D51" i="8"/>
  <c r="D22" i="23"/>
  <c r="D100" i="17"/>
  <c r="D3" i="29"/>
  <c r="D22" i="9"/>
  <c r="D40" i="3"/>
  <c r="D31" i="16"/>
  <c r="D11" i="28"/>
  <c r="D21" i="15"/>
  <c r="D3" i="12"/>
  <c r="D11" i="19"/>
  <c r="D13" i="26"/>
  <c r="D11" i="6"/>
  <c r="D13" i="10"/>
  <c r="D23" i="17"/>
  <c r="D9" i="20"/>
  <c r="D39" i="27"/>
  <c r="D2" i="32"/>
  <c r="D7" i="33"/>
  <c r="D2" i="26"/>
  <c r="D15" i="27"/>
  <c r="D70" i="3"/>
  <c r="D45"/>
  <c r="D18" i="28"/>
  <c r="D14" i="12"/>
  <c r="D19" i="11"/>
  <c r="D26" i="17"/>
  <c r="D9" i="19"/>
  <c r="D10" i="26"/>
  <c r="D2" i="6"/>
  <c r="D12" i="10"/>
  <c r="D30" i="17"/>
  <c r="D5" i="19"/>
  <c r="D34" i="26"/>
  <c r="D14" i="6"/>
  <c r="D19" i="17"/>
  <c r="D8" i="32"/>
  <c r="D81" i="3"/>
  <c r="D22"/>
  <c r="D34" i="15"/>
  <c r="D52" i="12"/>
  <c r="D12" i="11"/>
  <c r="D15" i="13"/>
  <c r="D73" i="17"/>
  <c r="D19" i="21"/>
  <c r="D31" i="27"/>
  <c r="D12" i="8"/>
  <c r="D2" i="35"/>
  <c r="D85" i="17"/>
  <c r="D19" i="22"/>
  <c r="D55" i="27"/>
  <c r="D20" i="37"/>
  <c r="D14" i="20"/>
  <c r="D36" i="3"/>
  <c r="D3"/>
  <c r="D27" i="15"/>
  <c r="D35" i="12"/>
  <c r="D41" i="11"/>
  <c r="D15" i="8"/>
  <c r="D26" i="34"/>
  <c r="D56" i="17"/>
  <c r="D6" i="21"/>
  <c r="D38" i="27"/>
  <c r="D19" i="8"/>
  <c r="D10" i="13"/>
  <c r="D68" i="17"/>
  <c r="D9" i="27"/>
  <c r="D17"/>
  <c r="D97" i="3"/>
  <c r="D26"/>
  <c r="D30" i="28"/>
  <c r="D12" i="15"/>
  <c r="D19" i="25"/>
  <c r="D16" i="5"/>
  <c r="D4" i="9"/>
  <c r="D25" i="23"/>
  <c r="D14" i="18"/>
  <c r="D11" i="26"/>
  <c r="D20" i="5"/>
  <c r="D2" i="10"/>
  <c r="D37" i="23"/>
  <c r="D12" i="26"/>
  <c r="D12" i="1"/>
  <c r="D91" i="3"/>
  <c r="D34"/>
  <c r="D21" i="28"/>
  <c r="D16" i="15"/>
  <c r="D6" i="25"/>
  <c r="D8" i="5"/>
  <c r="D46" i="8"/>
  <c r="D17" i="23"/>
  <c r="D17" i="18"/>
  <c r="D5" i="25"/>
  <c r="D12" i="5"/>
  <c r="D16" i="9"/>
  <c r="D29" i="23"/>
  <c r="D11" i="22"/>
  <c r="D3" i="25"/>
  <c r="D20" i="3"/>
  <c r="D19" i="16"/>
  <c r="D14" i="28"/>
  <c r="D15" i="15"/>
  <c r="D39" i="11"/>
  <c r="D39" i="7"/>
  <c r="D115" i="3"/>
  <c r="D106"/>
  <c r="D45" i="7"/>
  <c r="D192" i="3"/>
  <c r="D29" i="11"/>
  <c r="D177" i="3"/>
  <c r="D119"/>
  <c r="D31" i="7"/>
  <c r="D188" i="3"/>
  <c r="D9" i="28"/>
  <c r="D16" i="7"/>
  <c r="D133" i="3"/>
  <c r="D44" i="11"/>
  <c r="D186" i="3"/>
  <c r="D143"/>
  <c r="D13" i="7"/>
  <c r="D168" i="3"/>
  <c r="D24" i="11"/>
  <c r="D134" i="3"/>
  <c r="D159"/>
  <c r="D160" i="28"/>
  <c r="D96"/>
  <c r="D161"/>
  <c r="D159"/>
  <c r="D95"/>
  <c r="D177"/>
  <c r="D158"/>
  <c r="D94"/>
  <c r="D185"/>
  <c r="D157"/>
  <c r="D93"/>
  <c r="D169"/>
  <c r="D156"/>
  <c r="D92"/>
  <c r="D145"/>
  <c r="D147"/>
  <c r="D83"/>
  <c r="D129"/>
  <c r="D146"/>
  <c r="D82"/>
  <c r="D97"/>
  <c r="D160" i="27"/>
  <c r="D96"/>
  <c r="D183"/>
  <c r="D119"/>
  <c r="D198"/>
  <c r="D134"/>
  <c r="D70"/>
  <c r="D149"/>
  <c r="D85"/>
  <c r="D164"/>
  <c r="D100"/>
  <c r="D187"/>
  <c r="D123"/>
  <c r="D81"/>
  <c r="D138"/>
  <c r="D74"/>
  <c r="D192" i="26"/>
  <c r="D128"/>
  <c r="D64"/>
  <c r="D183"/>
  <c r="D119"/>
  <c r="D55"/>
  <c r="D166"/>
  <c r="D102"/>
  <c r="D38"/>
  <c r="D173"/>
  <c r="D109"/>
  <c r="D121"/>
  <c r="D148"/>
  <c r="D84"/>
  <c r="D49"/>
  <c r="D139"/>
  <c r="D75"/>
  <c r="D129"/>
  <c r="D146"/>
  <c r="D82"/>
  <c r="D153"/>
  <c r="D200" i="4"/>
  <c r="D136"/>
  <c r="D72"/>
  <c r="D130"/>
  <c r="D159"/>
  <c r="D95"/>
  <c r="D31"/>
  <c r="D182"/>
  <c r="D118"/>
  <c r="D54"/>
  <c r="D189"/>
  <c r="D125"/>
  <c r="D61"/>
  <c r="D66"/>
  <c r="D140"/>
  <c r="D76"/>
  <c r="D154"/>
  <c r="D155"/>
  <c r="D91"/>
  <c r="D27"/>
  <c r="D169"/>
  <c r="D105"/>
  <c r="D41"/>
  <c r="D176" i="1"/>
  <c r="D112"/>
  <c r="D48"/>
  <c r="D178"/>
  <c r="D183"/>
  <c r="D119"/>
  <c r="D55"/>
  <c r="D22"/>
  <c r="D198"/>
  <c r="D134"/>
  <c r="D75"/>
  <c r="D189"/>
  <c r="D125"/>
  <c r="D61"/>
  <c r="D107"/>
  <c r="D73"/>
  <c r="D140"/>
  <c r="D76"/>
  <c r="D123"/>
  <c r="D65"/>
  <c r="D115"/>
  <c r="D25"/>
  <c r="D89"/>
  <c r="D27" i="23"/>
  <c r="D105" i="17"/>
  <c r="D8" i="24"/>
  <c r="D17" i="1"/>
  <c r="D44" i="8"/>
  <c r="D31" i="23"/>
  <c r="D30" i="18"/>
  <c r="D20" i="24"/>
  <c r="D4" i="4"/>
  <c r="D54" i="27"/>
  <c r="D17" i="37"/>
  <c r="D2" i="16"/>
  <c r="D41" i="3"/>
  <c r="D2" i="15"/>
  <c r="D9" i="12"/>
  <c r="D6" i="11"/>
  <c r="D11" i="34"/>
  <c r="D33" i="17"/>
  <c r="D14" i="19"/>
  <c r="D57" i="27"/>
  <c r="D3" i="31"/>
  <c r="D15" i="34"/>
  <c r="D45" i="17"/>
  <c r="D2" i="20"/>
  <c r="D40" i="27"/>
  <c r="D3" i="30"/>
  <c r="D20" i="16"/>
  <c r="D54" i="3"/>
  <c r="D4" i="36"/>
  <c r="D36" i="15"/>
  <c r="D53" i="12"/>
  <c r="D23" i="24"/>
  <c r="D2" i="4"/>
  <c r="D22" i="8"/>
  <c r="D13" i="13"/>
  <c r="D87" i="17"/>
  <c r="D14" i="24"/>
  <c r="D6" i="4"/>
  <c r="D42" i="8"/>
  <c r="D5" i="23"/>
  <c r="D27" i="17"/>
  <c r="D67"/>
  <c r="D56" i="3"/>
  <c r="D16" i="16"/>
  <c r="D13" i="28"/>
  <c r="D38" i="15"/>
  <c r="D37" i="11"/>
  <c r="D90" i="17"/>
  <c r="D15" i="22"/>
  <c r="D16" i="37"/>
  <c r="D13" i="8"/>
  <c r="D12" i="13"/>
  <c r="D94" i="17"/>
  <c r="D2" i="24"/>
  <c r="D14" i="1"/>
  <c r="D25" i="8"/>
  <c r="D11" i="4"/>
  <c r="D2" i="27"/>
  <c r="D92" i="3"/>
  <c r="D29" i="16"/>
  <c r="D12" i="38"/>
  <c r="D46" i="12"/>
  <c r="D23" i="11"/>
  <c r="D18" i="17"/>
  <c r="D8" i="18"/>
  <c r="D20" i="25"/>
  <c r="D14" i="5"/>
  <c r="D4" i="10"/>
  <c r="D22" i="17"/>
  <c r="D17" i="19"/>
  <c r="D9" i="26"/>
  <c r="D6" i="6"/>
  <c r="D8" i="13"/>
  <c r="D3" i="4"/>
  <c r="D3" i="16"/>
  <c r="D8" i="3"/>
  <c r="D5" i="15"/>
  <c r="D38" i="12"/>
  <c r="D33" i="11"/>
  <c r="D7" i="10"/>
  <c r="D34" i="23"/>
  <c r="D6" i="18"/>
  <c r="D10" i="25"/>
  <c r="D13" i="5"/>
  <c r="D11" i="10"/>
  <c r="D13" i="17"/>
  <c r="D28" i="18"/>
  <c r="D35" i="17"/>
  <c r="D27" i="18"/>
  <c r="D12" i="3"/>
  <c r="D9" i="16"/>
  <c r="D2" i="28"/>
  <c r="D10" i="15"/>
  <c r="D7" i="12"/>
  <c r="D7" i="8"/>
  <c r="D18" i="34"/>
  <c r="D48" i="17"/>
  <c r="D17" i="21"/>
  <c r="D30" i="27"/>
  <c r="D11" i="8"/>
  <c r="D2" i="13"/>
  <c r="D60" i="17"/>
  <c r="D24" i="26"/>
  <c r="D6" i="27"/>
  <c r="D65" i="3"/>
  <c r="D44"/>
  <c r="D8" i="28"/>
  <c r="D3" i="15"/>
  <c r="D44" i="12"/>
  <c r="D23" i="32"/>
  <c r="D10" i="34"/>
  <c r="D40" i="17"/>
  <c r="D5" i="20"/>
  <c r="D19" i="27"/>
  <c r="D3" i="8"/>
  <c r="D30" i="34"/>
  <c r="D52" i="17"/>
  <c r="D14" i="37"/>
  <c r="D22"/>
  <c r="D66" i="3"/>
  <c r="D24"/>
  <c r="D12" i="28"/>
  <c r="D37" i="15"/>
  <c r="D39" i="12"/>
  <c r="D43" i="7"/>
  <c r="D162" i="3"/>
  <c r="D144"/>
  <c r="D41" i="7"/>
  <c r="D132" i="3"/>
  <c r="D16" i="11"/>
  <c r="D113" i="3"/>
  <c r="D181"/>
  <c r="D37" i="7"/>
  <c r="D139" i="3"/>
  <c r="D107"/>
  <c r="D24" i="7"/>
  <c r="D156" i="3"/>
  <c r="D15" i="11"/>
  <c r="D137" i="3"/>
  <c r="D118"/>
  <c r="D4" i="7"/>
  <c r="D163" i="3"/>
  <c r="D38" i="11"/>
  <c r="D153" i="3"/>
  <c r="D166"/>
  <c r="D168" i="28"/>
  <c r="D104"/>
  <c r="D40"/>
  <c r="D167"/>
  <c r="D103"/>
  <c r="D39"/>
  <c r="D166"/>
  <c r="D102"/>
  <c r="D38"/>
  <c r="D165"/>
  <c r="D101"/>
  <c r="D37"/>
  <c r="D164"/>
  <c r="D100"/>
  <c r="D36"/>
  <c r="D155"/>
  <c r="D91"/>
  <c r="D193"/>
  <c r="D154"/>
  <c r="D90"/>
  <c r="D153"/>
  <c r="D168" i="27"/>
  <c r="D104"/>
  <c r="D191"/>
  <c r="D127"/>
  <c r="D89"/>
  <c r="D142"/>
  <c r="D78"/>
  <c r="D157"/>
  <c r="D93"/>
  <c r="D172"/>
  <c r="D108"/>
  <c r="D195"/>
  <c r="D131"/>
  <c r="D127" i="26"/>
  <c r="D156"/>
  <c r="D154"/>
  <c r="D160" i="25"/>
  <c r="D56"/>
  <c r="D183"/>
  <c r="D103"/>
  <c r="D139"/>
  <c r="D142"/>
  <c r="D78"/>
  <c r="D163"/>
  <c r="D157"/>
  <c r="D93"/>
  <c r="D29"/>
  <c r="D172"/>
  <c r="D108"/>
  <c r="D44"/>
  <c r="D186"/>
  <c r="D122"/>
  <c r="D58"/>
  <c r="D193"/>
  <c r="D129"/>
  <c r="D65"/>
  <c r="D200" i="38"/>
  <c r="D136"/>
  <c r="D72"/>
  <c r="D199"/>
  <c r="D135"/>
  <c r="D71"/>
  <c r="D182"/>
  <c r="D118"/>
  <c r="D54"/>
  <c r="D181"/>
  <c r="D117"/>
  <c r="D53"/>
  <c r="D180"/>
  <c r="D116"/>
  <c r="D52"/>
  <c r="D179"/>
  <c r="D115"/>
  <c r="D51"/>
  <c r="D154"/>
  <c r="D90"/>
  <c r="D26"/>
  <c r="D153"/>
  <c r="D89"/>
  <c r="D25"/>
  <c r="D168" i="37"/>
  <c r="D104"/>
  <c r="D40"/>
  <c r="D81"/>
  <c r="D151"/>
  <c r="D87"/>
  <c r="D178"/>
  <c r="D198"/>
  <c r="D134"/>
  <c r="D70"/>
  <c r="D106"/>
  <c r="D181"/>
  <c r="D117"/>
  <c r="D53"/>
  <c r="D26"/>
  <c r="D164"/>
  <c r="D100"/>
  <c r="D36"/>
  <c r="D41"/>
  <c r="D139"/>
  <c r="D75"/>
  <c r="D82"/>
  <c r="D184" i="24"/>
  <c r="D120"/>
  <c r="D56"/>
  <c r="D191"/>
  <c r="D127"/>
  <c r="D63"/>
  <c r="D198"/>
  <c r="D134"/>
  <c r="D70"/>
  <c r="D81"/>
  <c r="D149"/>
  <c r="D85"/>
  <c r="D193"/>
  <c r="D156"/>
  <c r="D92"/>
  <c r="D28"/>
  <c r="D163"/>
  <c r="D99"/>
  <c r="D35"/>
  <c r="D170"/>
  <c r="D106"/>
  <c r="D42"/>
  <c r="D192" i="22"/>
  <c r="D128"/>
  <c r="D64"/>
  <c r="D41"/>
  <c r="D143"/>
  <c r="D79"/>
  <c r="D46"/>
  <c r="D158"/>
  <c r="D94"/>
  <c r="D165"/>
  <c r="D101"/>
  <c r="D37"/>
  <c r="D196"/>
  <c r="D132"/>
  <c r="D68"/>
  <c r="D81"/>
  <c r="D147"/>
  <c r="D83"/>
  <c r="D169"/>
  <c r="D162"/>
  <c r="D98"/>
  <c r="D34"/>
  <c r="D200" i="21"/>
  <c r="D136"/>
  <c r="D72"/>
  <c r="D183"/>
  <c r="D119"/>
  <c r="D55"/>
  <c r="D166"/>
  <c r="D102"/>
  <c r="D38"/>
  <c r="D157"/>
  <c r="D93"/>
  <c r="D196"/>
  <c r="D132"/>
  <c r="D68"/>
  <c r="D179"/>
  <c r="D115"/>
  <c r="D51"/>
  <c r="D170"/>
  <c r="D106"/>
  <c r="D42"/>
  <c r="D161"/>
  <c r="D97"/>
  <c r="D33"/>
  <c r="D168" i="20"/>
  <c r="D104"/>
  <c r="D40"/>
  <c r="D26"/>
  <c r="D167"/>
  <c r="D103"/>
  <c r="D39"/>
  <c r="D83"/>
  <c r="D198"/>
  <c r="D134"/>
  <c r="D70"/>
  <c r="D131"/>
  <c r="D197"/>
  <c r="D133"/>
  <c r="D69"/>
  <c r="D99"/>
  <c r="D196"/>
  <c r="D132"/>
  <c r="D68"/>
  <c r="D107"/>
  <c r="D194"/>
  <c r="D130"/>
  <c r="D89"/>
  <c r="D160" i="19"/>
  <c r="D96"/>
  <c r="D32"/>
  <c r="D199"/>
  <c r="D135"/>
  <c r="D71"/>
  <c r="D106"/>
  <c r="D174"/>
  <c r="D110"/>
  <c r="D46"/>
  <c r="D137"/>
  <c r="D157"/>
  <c r="D93"/>
  <c r="D169"/>
  <c r="D156"/>
  <c r="D92"/>
  <c r="D28"/>
  <c r="D187"/>
  <c r="D123"/>
  <c r="D59"/>
  <c r="D145"/>
  <c r="D42"/>
  <c r="D176" i="18"/>
  <c r="D112"/>
  <c r="D48"/>
  <c r="D175"/>
  <c r="D111"/>
  <c r="D47"/>
  <c r="D174"/>
  <c r="D110"/>
  <c r="D145"/>
  <c r="D149"/>
  <c r="D85"/>
  <c r="D97"/>
  <c r="D148"/>
  <c r="D84"/>
  <c r="D129"/>
  <c r="D147"/>
  <c r="D83"/>
  <c r="D113"/>
  <c r="D146"/>
  <c r="D82"/>
  <c r="D192" i="36"/>
  <c r="D128"/>
  <c r="D64"/>
  <c r="D97"/>
  <c r="D151"/>
  <c r="D87"/>
  <c r="D23"/>
  <c r="D182"/>
  <c r="D118"/>
  <c r="D54"/>
  <c r="D73"/>
  <c r="D149"/>
  <c r="D85"/>
  <c r="D21"/>
  <c r="D180"/>
  <c r="D116"/>
  <c r="D52"/>
  <c r="D57"/>
  <c r="D139"/>
  <c r="D75"/>
  <c r="D11"/>
  <c r="D170"/>
  <c r="D106"/>
  <c r="D42"/>
  <c r="D7"/>
  <c r="D144" i="17"/>
  <c r="D183"/>
  <c r="D119"/>
  <c r="D166"/>
  <c r="D185"/>
  <c r="D149"/>
  <c r="D188"/>
  <c r="D124"/>
  <c r="D163"/>
  <c r="D169"/>
  <c r="D146"/>
  <c r="D200" i="16"/>
  <c r="D136"/>
  <c r="D72"/>
  <c r="D138"/>
  <c r="D199"/>
  <c r="D135"/>
  <c r="D71"/>
  <c r="D50"/>
  <c r="D166"/>
  <c r="D102"/>
  <c r="D178"/>
  <c r="D181"/>
  <c r="D117"/>
  <c r="D53"/>
  <c r="D196"/>
  <c r="D132"/>
  <c r="D68"/>
  <c r="D161"/>
  <c r="D155"/>
  <c r="D191" i="26"/>
  <c r="D37"/>
  <c r="D81"/>
  <c r="D168" i="25"/>
  <c r="D64"/>
  <c r="D191"/>
  <c r="D111"/>
  <c r="D179"/>
  <c r="D150"/>
  <c r="D86"/>
  <c r="D22"/>
  <c r="D165"/>
  <c r="D101"/>
  <c r="D37"/>
  <c r="D180"/>
  <c r="D116"/>
  <c r="D52"/>
  <c r="D194"/>
  <c r="D130"/>
  <c r="D66"/>
  <c r="D75"/>
  <c r="D137"/>
  <c r="D73"/>
  <c r="D21"/>
  <c r="D144" i="38"/>
  <c r="D80"/>
  <c r="D16"/>
  <c r="D143"/>
  <c r="D79"/>
  <c r="D190"/>
  <c r="D126"/>
  <c r="D62"/>
  <c r="D189"/>
  <c r="D125"/>
  <c r="D61"/>
  <c r="D188"/>
  <c r="D124"/>
  <c r="D60"/>
  <c r="D187"/>
  <c r="D123"/>
  <c r="D59"/>
  <c r="D162"/>
  <c r="D98"/>
  <c r="D34"/>
  <c r="D161"/>
  <c r="D97"/>
  <c r="D33"/>
  <c r="D176" i="37"/>
  <c r="D112"/>
  <c r="D48"/>
  <c r="D129"/>
  <c r="D159"/>
  <c r="D95"/>
  <c r="D31"/>
  <c r="D25"/>
  <c r="D142"/>
  <c r="D78"/>
  <c r="D154"/>
  <c r="D189"/>
  <c r="D125"/>
  <c r="D61"/>
  <c r="D74"/>
  <c r="D172"/>
  <c r="D108"/>
  <c r="D44"/>
  <c r="D89"/>
  <c r="D147"/>
  <c r="D83"/>
  <c r="D130"/>
  <c r="D192" i="24"/>
  <c r="D128"/>
  <c r="D64"/>
  <c r="D199"/>
  <c r="D135"/>
  <c r="D71"/>
  <c r="D65"/>
  <c r="D142"/>
  <c r="D78"/>
  <c r="D137"/>
  <c r="D157"/>
  <c r="D93"/>
  <c r="D29"/>
  <c r="D164"/>
  <c r="D100"/>
  <c r="D36"/>
  <c r="D171"/>
  <c r="D107"/>
  <c r="D43"/>
  <c r="D178"/>
  <c r="D114"/>
  <c r="D50"/>
  <c r="D200" i="22"/>
  <c r="D136"/>
  <c r="D72"/>
  <c r="D89"/>
  <c r="D151"/>
  <c r="D87"/>
  <c r="D62"/>
  <c r="D166"/>
  <c r="D102"/>
  <c r="D173"/>
  <c r="D109"/>
  <c r="D45"/>
  <c r="D33"/>
  <c r="D140"/>
  <c r="D76"/>
  <c r="D121"/>
  <c r="D155"/>
  <c r="D91"/>
  <c r="D27"/>
  <c r="D170"/>
  <c r="D106"/>
  <c r="D42"/>
  <c r="D24"/>
  <c r="D144" i="21"/>
  <c r="D80"/>
  <c r="D191"/>
  <c r="D127"/>
  <c r="D63"/>
  <c r="D174"/>
  <c r="D110"/>
  <c r="D46"/>
  <c r="D165"/>
  <c r="D101"/>
  <c r="D37"/>
  <c r="D140"/>
  <c r="D76"/>
  <c r="D187"/>
  <c r="D123"/>
  <c r="D59"/>
  <c r="D178"/>
  <c r="D114"/>
  <c r="D50"/>
  <c r="D169"/>
  <c r="D105"/>
  <c r="D41"/>
  <c r="D176" i="20"/>
  <c r="D112"/>
  <c r="D48"/>
  <c r="D74"/>
  <c r="D175"/>
  <c r="D111"/>
  <c r="D47"/>
  <c r="D115"/>
  <c r="D65"/>
  <c r="D142"/>
  <c r="D78"/>
  <c r="D171"/>
  <c r="D57"/>
  <c r="D141"/>
  <c r="D77"/>
  <c r="D139"/>
  <c r="D25"/>
  <c r="D140"/>
  <c r="D76"/>
  <c r="D147"/>
  <c r="D33"/>
  <c r="D138"/>
  <c r="D137"/>
  <c r="D168" i="19"/>
  <c r="D104"/>
  <c r="D40"/>
  <c r="D33"/>
  <c r="D143"/>
  <c r="D79"/>
  <c r="D162"/>
  <c r="D182"/>
  <c r="D118"/>
  <c r="D54"/>
  <c r="D193"/>
  <c r="D165"/>
  <c r="D101"/>
  <c r="D58"/>
  <c r="D164"/>
  <c r="D100"/>
  <c r="D36"/>
  <c r="D195"/>
  <c r="D131"/>
  <c r="D67"/>
  <c r="D26"/>
  <c r="D98"/>
  <c r="D184" i="18"/>
  <c r="D120"/>
  <c r="D56"/>
  <c r="D183"/>
  <c r="D119"/>
  <c r="D55"/>
  <c r="D182"/>
  <c r="D118"/>
  <c r="D46"/>
  <c r="D157"/>
  <c r="D93"/>
  <c r="D153"/>
  <c r="D156"/>
  <c r="D92"/>
  <c r="D185"/>
  <c r="D155"/>
  <c r="D91"/>
  <c r="D169"/>
  <c r="D154"/>
  <c r="D90"/>
  <c r="D200" i="36"/>
  <c r="D136"/>
  <c r="D72"/>
  <c r="D8"/>
  <c r="D159"/>
  <c r="D95"/>
  <c r="D31"/>
  <c r="D190"/>
  <c r="D126"/>
  <c r="D62"/>
  <c r="D129"/>
  <c r="D157"/>
  <c r="D93"/>
  <c r="D29"/>
  <c r="D188"/>
  <c r="D124"/>
  <c r="D60"/>
  <c r="D113"/>
  <c r="D147"/>
  <c r="D83"/>
  <c r="D19"/>
  <c r="D178"/>
  <c r="D114"/>
  <c r="D50"/>
  <c r="D41"/>
  <c r="D152" i="17"/>
  <c r="D191"/>
  <c r="D127"/>
  <c r="D174"/>
  <c r="D110"/>
  <c r="D157"/>
  <c r="D196"/>
  <c r="D132"/>
  <c r="D171"/>
  <c r="D107"/>
  <c r="D154"/>
  <c r="D106"/>
  <c r="D144" i="16"/>
  <c r="D80"/>
  <c r="D186"/>
  <c r="D49"/>
  <c r="D143"/>
  <c r="D79"/>
  <c r="D90"/>
  <c r="D174"/>
  <c r="D110"/>
  <c r="D38"/>
  <c r="D189"/>
  <c r="D125"/>
  <c r="D61"/>
  <c r="D73"/>
  <c r="D140"/>
  <c r="D76"/>
  <c r="D42"/>
  <c r="D163"/>
  <c r="D72" i="26"/>
  <c r="D117"/>
  <c r="D161"/>
  <c r="D176" i="25"/>
  <c r="D88"/>
  <c r="D199"/>
  <c r="D119"/>
  <c r="D39"/>
  <c r="D158"/>
  <c r="D94"/>
  <c r="D30"/>
  <c r="D173"/>
  <c r="D109"/>
  <c r="D45"/>
  <c r="D188"/>
  <c r="D124"/>
  <c r="D60"/>
  <c r="D43"/>
  <c r="D138"/>
  <c r="D74"/>
  <c r="D131"/>
  <c r="D145"/>
  <c r="D81"/>
  <c r="D51"/>
  <c r="D152" i="38"/>
  <c r="D88"/>
  <c r="D24"/>
  <c r="D151"/>
  <c r="D87"/>
  <c r="D198"/>
  <c r="D134"/>
  <c r="D70"/>
  <c r="D197"/>
  <c r="D133"/>
  <c r="D69"/>
  <c r="D196"/>
  <c r="D132"/>
  <c r="D68"/>
  <c r="D195"/>
  <c r="D131"/>
  <c r="D67"/>
  <c r="D170"/>
  <c r="D106"/>
  <c r="D42"/>
  <c r="D169"/>
  <c r="D105"/>
  <c r="D41"/>
  <c r="D184" i="37"/>
  <c r="D120"/>
  <c r="D56"/>
  <c r="D177"/>
  <c r="D167"/>
  <c r="D103"/>
  <c r="D39"/>
  <c r="D65"/>
  <c r="D150"/>
  <c r="D86"/>
  <c r="D194"/>
  <c r="D197"/>
  <c r="D133"/>
  <c r="D69"/>
  <c r="D122"/>
  <c r="D180"/>
  <c r="D116"/>
  <c r="D52"/>
  <c r="D137"/>
  <c r="D155"/>
  <c r="D91"/>
  <c r="D186"/>
  <c r="D200" i="24"/>
  <c r="D136"/>
  <c r="D72"/>
  <c r="D33"/>
  <c r="D143"/>
  <c r="D79"/>
  <c r="D121"/>
  <c r="D150"/>
  <c r="D86"/>
  <c r="D185"/>
  <c r="D165"/>
  <c r="D101"/>
  <c r="D37"/>
  <c r="D172"/>
  <c r="D108"/>
  <c r="D44"/>
  <c r="D179"/>
  <c r="D115"/>
  <c r="D51"/>
  <c r="D186"/>
  <c r="D122"/>
  <c r="D58"/>
  <c r="D24"/>
  <c r="D144" i="22"/>
  <c r="D80"/>
  <c r="D38"/>
  <c r="D159"/>
  <c r="D95"/>
  <c r="D31"/>
  <c r="D174"/>
  <c r="D110"/>
  <c r="D181"/>
  <c r="D117"/>
  <c r="D53"/>
  <c r="D73"/>
  <c r="D148"/>
  <c r="D84"/>
  <c r="D153"/>
  <c r="D163"/>
  <c r="D99"/>
  <c r="D35"/>
  <c r="D178"/>
  <c r="D114"/>
  <c r="D50"/>
  <c r="D57"/>
  <c r="D152" i="21"/>
  <c r="D88"/>
  <c r="D199"/>
  <c r="D135"/>
  <c r="D71"/>
  <c r="D182"/>
  <c r="D118"/>
  <c r="D54"/>
  <c r="D173"/>
  <c r="D109"/>
  <c r="D45"/>
  <c r="D148"/>
  <c r="D84"/>
  <c r="D195"/>
  <c r="D131"/>
  <c r="D67"/>
  <c r="D186"/>
  <c r="D122"/>
  <c r="D58"/>
  <c r="D177"/>
  <c r="D113"/>
  <c r="D49"/>
  <c r="D184" i="20"/>
  <c r="D120"/>
  <c r="D56"/>
  <c r="D35"/>
  <c r="D183"/>
  <c r="D119"/>
  <c r="D55"/>
  <c r="D155"/>
  <c r="D105"/>
  <c r="D150"/>
  <c r="D86"/>
  <c r="D20"/>
  <c r="D113"/>
  <c r="D149"/>
  <c r="D85"/>
  <c r="D195"/>
  <c r="D73"/>
  <c r="D148"/>
  <c r="D84"/>
  <c r="D187"/>
  <c r="D81"/>
  <c r="D146"/>
  <c r="D185"/>
  <c r="D176" i="19"/>
  <c r="D112"/>
  <c r="D48"/>
  <c r="D97"/>
  <c r="D151"/>
  <c r="D87"/>
  <c r="D45"/>
  <c r="D190"/>
  <c r="D126"/>
  <c r="D62"/>
  <c r="D74"/>
  <c r="D173"/>
  <c r="D109"/>
  <c r="D114"/>
  <c r="D172"/>
  <c r="D108"/>
  <c r="D44"/>
  <c r="D65"/>
  <c r="D139"/>
  <c r="D75"/>
  <c r="D82"/>
  <c r="D154"/>
  <c r="D192" i="18"/>
  <c r="D128"/>
  <c r="D64"/>
  <c r="D191"/>
  <c r="D127"/>
  <c r="D63"/>
  <c r="D190"/>
  <c r="D126"/>
  <c r="D62"/>
  <c r="D165"/>
  <c r="D101"/>
  <c r="D42"/>
  <c r="D164"/>
  <c r="D100"/>
  <c r="D58"/>
  <c r="D163"/>
  <c r="D99"/>
  <c r="D50"/>
  <c r="D162"/>
  <c r="D98"/>
  <c r="D39"/>
  <c r="D144" i="36"/>
  <c r="D80"/>
  <c r="D16"/>
  <c r="D167"/>
  <c r="D103"/>
  <c r="D39"/>
  <c r="D198"/>
  <c r="D134"/>
  <c r="D70"/>
  <c r="D177"/>
  <c r="D165"/>
  <c r="D101"/>
  <c r="D37"/>
  <c r="D196"/>
  <c r="D132"/>
  <c r="D68"/>
  <c r="D161"/>
  <c r="D155"/>
  <c r="D91"/>
  <c r="D27"/>
  <c r="D186"/>
  <c r="D122"/>
  <c r="D58"/>
  <c r="D105"/>
  <c r="D160" i="17"/>
  <c r="D199"/>
  <c r="D135"/>
  <c r="D182"/>
  <c r="D118"/>
  <c r="D165"/>
  <c r="D137"/>
  <c r="D140"/>
  <c r="D179"/>
  <c r="D115"/>
  <c r="D162"/>
  <c r="D145"/>
  <c r="D152" i="16"/>
  <c r="D88"/>
  <c r="D45"/>
  <c r="D89"/>
  <c r="D151"/>
  <c r="D87"/>
  <c r="D146"/>
  <c r="D182"/>
  <c r="D118"/>
  <c r="D54"/>
  <c r="D197"/>
  <c r="D133"/>
  <c r="D69"/>
  <c r="D129"/>
  <c r="D148"/>
  <c r="D84"/>
  <c r="D98"/>
  <c r="D171"/>
  <c r="D136" i="26"/>
  <c r="D181"/>
  <c r="D67"/>
  <c r="D113"/>
  <c r="D96" i="25"/>
  <c r="D59"/>
  <c r="D127"/>
  <c r="D47"/>
  <c r="D166"/>
  <c r="D102"/>
  <c r="D38"/>
  <c r="D181"/>
  <c r="D117"/>
  <c r="D53"/>
  <c r="D196"/>
  <c r="D132"/>
  <c r="D68"/>
  <c r="D91"/>
  <c r="D146"/>
  <c r="D82"/>
  <c r="D33"/>
  <c r="D153"/>
  <c r="D89"/>
  <c r="D107"/>
  <c r="D160" i="38"/>
  <c r="D96"/>
  <c r="D32"/>
  <c r="D159"/>
  <c r="D95"/>
  <c r="D15"/>
  <c r="D142"/>
  <c r="D78"/>
  <c r="D14"/>
  <c r="D141"/>
  <c r="D77"/>
  <c r="D27"/>
  <c r="D140"/>
  <c r="D76"/>
  <c r="D19"/>
  <c r="D139"/>
  <c r="D75"/>
  <c r="D178"/>
  <c r="D114"/>
  <c r="D50"/>
  <c r="D177"/>
  <c r="D113"/>
  <c r="D49"/>
  <c r="D192" i="37"/>
  <c r="D128"/>
  <c r="D64"/>
  <c r="D50"/>
  <c r="D175"/>
  <c r="D111"/>
  <c r="D47"/>
  <c r="D113"/>
  <c r="D158"/>
  <c r="D94"/>
  <c r="D30"/>
  <c r="D49"/>
  <c r="D141"/>
  <c r="D77"/>
  <c r="D170"/>
  <c r="D188"/>
  <c r="D124"/>
  <c r="D60"/>
  <c r="D193"/>
  <c r="D163"/>
  <c r="D99"/>
  <c r="D35"/>
  <c r="D23"/>
  <c r="D144" i="24"/>
  <c r="D80"/>
  <c r="D89"/>
  <c r="D151"/>
  <c r="D87"/>
  <c r="D177"/>
  <c r="D158"/>
  <c r="D94"/>
  <c r="D30"/>
  <c r="D173"/>
  <c r="D109"/>
  <c r="D45"/>
  <c r="D180"/>
  <c r="D116"/>
  <c r="D52"/>
  <c r="D187"/>
  <c r="D123"/>
  <c r="D59"/>
  <c r="D194"/>
  <c r="D130"/>
  <c r="D66"/>
  <c r="D49"/>
  <c r="D152" i="22"/>
  <c r="D88"/>
  <c r="D54"/>
  <c r="D167"/>
  <c r="D103"/>
  <c r="D39"/>
  <c r="D182"/>
  <c r="D118"/>
  <c r="D189"/>
  <c r="D125"/>
  <c r="D61"/>
  <c r="D113"/>
  <c r="D156"/>
  <c r="D92"/>
  <c r="D185"/>
  <c r="D171"/>
  <c r="D107"/>
  <c r="D43"/>
  <c r="D186"/>
  <c r="D122"/>
  <c r="D58"/>
  <c r="D105"/>
  <c r="D160" i="21"/>
  <c r="D96"/>
  <c r="D29"/>
  <c r="D143"/>
  <c r="D79"/>
  <c r="D190"/>
  <c r="D126"/>
  <c r="D62"/>
  <c r="D181"/>
  <c r="D117"/>
  <c r="D53"/>
  <c r="D156"/>
  <c r="D92"/>
  <c r="D28"/>
  <c r="D139"/>
  <c r="D75"/>
  <c r="D194"/>
  <c r="D130"/>
  <c r="D66"/>
  <c r="D185"/>
  <c r="D121"/>
  <c r="D57"/>
  <c r="D192" i="20"/>
  <c r="D128"/>
  <c r="D64"/>
  <c r="D75"/>
  <c r="D191"/>
  <c r="D127"/>
  <c r="D63"/>
  <c r="D179"/>
  <c r="D145"/>
  <c r="D158"/>
  <c r="D94"/>
  <c r="D22"/>
  <c r="D161"/>
  <c r="D157"/>
  <c r="D93"/>
  <c r="D29"/>
  <c r="D121"/>
  <c r="D156"/>
  <c r="D92"/>
  <c r="D28"/>
  <c r="D129"/>
  <c r="D154"/>
  <c r="D42"/>
  <c r="D184" i="19"/>
  <c r="D120"/>
  <c r="D56"/>
  <c r="D153"/>
  <c r="D159"/>
  <c r="D95"/>
  <c r="D31"/>
  <c r="D198"/>
  <c r="D134"/>
  <c r="D70"/>
  <c r="D130"/>
  <c r="D181"/>
  <c r="D117"/>
  <c r="D29"/>
  <c r="D180"/>
  <c r="D116"/>
  <c r="D52"/>
  <c r="D129"/>
  <c r="D147"/>
  <c r="D83"/>
  <c r="D138"/>
  <c r="D178"/>
  <c r="D200" i="18"/>
  <c r="D136"/>
  <c r="D72"/>
  <c r="D199"/>
  <c r="D135"/>
  <c r="D71"/>
  <c r="D198"/>
  <c r="D134"/>
  <c r="D70"/>
  <c r="D173"/>
  <c r="D109"/>
  <c r="D45"/>
  <c r="D172"/>
  <c r="D108"/>
  <c r="D44"/>
  <c r="D171"/>
  <c r="D107"/>
  <c r="D43"/>
  <c r="D170"/>
  <c r="D106"/>
  <c r="D89"/>
  <c r="D152" i="36"/>
  <c r="D88"/>
  <c r="D24"/>
  <c r="D175"/>
  <c r="D111"/>
  <c r="D47"/>
  <c r="D25"/>
  <c r="D142"/>
  <c r="D78"/>
  <c r="D14"/>
  <c r="D173"/>
  <c r="D109"/>
  <c r="D45"/>
  <c r="D33"/>
  <c r="D140"/>
  <c r="D76"/>
  <c r="D12"/>
  <c r="D163"/>
  <c r="D99"/>
  <c r="D35"/>
  <c r="D194"/>
  <c r="D130"/>
  <c r="D66"/>
  <c r="D153"/>
  <c r="D168" i="17"/>
  <c r="D153"/>
  <c r="D143"/>
  <c r="D190"/>
  <c r="D126"/>
  <c r="D173"/>
  <c r="D109"/>
  <c r="D148"/>
  <c r="D187"/>
  <c r="D123"/>
  <c r="D170"/>
  <c r="D193"/>
  <c r="D160" i="16"/>
  <c r="D96"/>
  <c r="D39"/>
  <c r="D113"/>
  <c r="D159"/>
  <c r="D95"/>
  <c r="D194"/>
  <c r="D190"/>
  <c r="D126"/>
  <c r="D62"/>
  <c r="D81"/>
  <c r="D141"/>
  <c r="D77"/>
  <c r="D177"/>
  <c r="D156"/>
  <c r="D92"/>
  <c r="D154"/>
  <c r="D179"/>
  <c r="D200" i="26"/>
  <c r="D46"/>
  <c r="D83"/>
  <c r="D169"/>
  <c r="D104" i="25"/>
  <c r="D24"/>
  <c r="D135"/>
  <c r="D55"/>
  <c r="D190"/>
  <c r="D110"/>
  <c r="D46"/>
  <c r="D189"/>
  <c r="D125"/>
  <c r="D61"/>
  <c r="D35"/>
  <c r="D140"/>
  <c r="D76"/>
  <c r="D147"/>
  <c r="D154"/>
  <c r="D90"/>
  <c r="D26"/>
  <c r="D161"/>
  <c r="D97"/>
  <c r="D25"/>
  <c r="D168" i="38"/>
  <c r="D104"/>
  <c r="D40"/>
  <c r="D167"/>
  <c r="D103"/>
  <c r="D39"/>
  <c r="D150"/>
  <c r="D86"/>
  <c r="D22"/>
  <c r="D149"/>
  <c r="D85"/>
  <c r="D21"/>
  <c r="D148"/>
  <c r="D84"/>
  <c r="D20"/>
  <c r="D147"/>
  <c r="D83"/>
  <c r="D186"/>
  <c r="D122"/>
  <c r="D58"/>
  <c r="D185"/>
  <c r="D121"/>
  <c r="D57"/>
  <c r="D200" i="37"/>
  <c r="D136"/>
  <c r="D72"/>
  <c r="D98"/>
  <c r="D183"/>
  <c r="D119"/>
  <c r="D55"/>
  <c r="D161"/>
  <c r="D166"/>
  <c r="D102"/>
  <c r="D38"/>
  <c r="D97"/>
  <c r="D149"/>
  <c r="D85"/>
  <c r="D28"/>
  <c r="D196"/>
  <c r="D132"/>
  <c r="D68"/>
  <c r="D66"/>
  <c r="D171"/>
  <c r="D107"/>
  <c r="D43"/>
  <c r="D73"/>
  <c r="D152" i="24"/>
  <c r="D88"/>
  <c r="D153"/>
  <c r="D159"/>
  <c r="D95"/>
  <c r="D31"/>
  <c r="D166"/>
  <c r="D102"/>
  <c r="D38"/>
  <c r="D181"/>
  <c r="D117"/>
  <c r="D53"/>
  <c r="D188"/>
  <c r="D124"/>
  <c r="D60"/>
  <c r="D195"/>
  <c r="D131"/>
  <c r="D67"/>
  <c r="D57"/>
  <c r="D138"/>
  <c r="D74"/>
  <c r="D105"/>
  <c r="D160" i="22"/>
  <c r="D96"/>
  <c r="D32"/>
  <c r="D175"/>
  <c r="D111"/>
  <c r="D47"/>
  <c r="D190"/>
  <c r="D126"/>
  <c r="D197"/>
  <c r="D133"/>
  <c r="D69"/>
  <c r="D145"/>
  <c r="D164"/>
  <c r="D100"/>
  <c r="D36"/>
  <c r="D179"/>
  <c r="D115"/>
  <c r="D51"/>
  <c r="D194"/>
  <c r="D130"/>
  <c r="D66"/>
  <c r="D137"/>
  <c r="D168" i="21"/>
  <c r="D104"/>
  <c r="D40"/>
  <c r="D151"/>
  <c r="D87"/>
  <c r="D198"/>
  <c r="D134"/>
  <c r="D70"/>
  <c r="D189"/>
  <c r="D125"/>
  <c r="D61"/>
  <c r="D164"/>
  <c r="D100"/>
  <c r="D36"/>
  <c r="D147"/>
  <c r="D83"/>
  <c r="D24"/>
  <c r="D138"/>
  <c r="D74"/>
  <c r="D193"/>
  <c r="D129"/>
  <c r="D65"/>
  <c r="D200" i="20"/>
  <c r="D136"/>
  <c r="D72"/>
  <c r="D123"/>
  <c r="D199"/>
  <c r="D135"/>
  <c r="D71"/>
  <c r="D21"/>
  <c r="D193"/>
  <c r="D166"/>
  <c r="D102"/>
  <c r="D38"/>
  <c r="D34"/>
  <c r="D165"/>
  <c r="D101"/>
  <c r="D37"/>
  <c r="D169"/>
  <c r="D164"/>
  <c r="D100"/>
  <c r="D36"/>
  <c r="D177"/>
  <c r="D162"/>
  <c r="D98"/>
  <c r="D192" i="19"/>
  <c r="D128"/>
  <c r="D64"/>
  <c r="D34"/>
  <c r="D167"/>
  <c r="D103"/>
  <c r="D39"/>
  <c r="D73"/>
  <c r="D142"/>
  <c r="D78"/>
  <c r="D37"/>
  <c r="D189"/>
  <c r="D125"/>
  <c r="D53"/>
  <c r="D188"/>
  <c r="D124"/>
  <c r="D60"/>
  <c r="D185"/>
  <c r="D155"/>
  <c r="D91"/>
  <c r="D27"/>
  <c r="D186"/>
  <c r="D23"/>
  <c r="D144" i="18"/>
  <c r="D80"/>
  <c r="D49"/>
  <c r="D143"/>
  <c r="D79"/>
  <c r="D65"/>
  <c r="D142"/>
  <c r="D78"/>
  <c r="D181"/>
  <c r="D117"/>
  <c r="D53"/>
  <c r="D180"/>
  <c r="D116"/>
  <c r="D52"/>
  <c r="D179"/>
  <c r="D115"/>
  <c r="D51"/>
  <c r="D178"/>
  <c r="D114"/>
  <c r="D137"/>
  <c r="D160" i="36"/>
  <c r="D96"/>
  <c r="D32"/>
  <c r="D183"/>
  <c r="D119"/>
  <c r="D55"/>
  <c r="D81"/>
  <c r="D150"/>
  <c r="D86"/>
  <c r="D22"/>
  <c r="D181"/>
  <c r="D117"/>
  <c r="D53"/>
  <c r="D89"/>
  <c r="D148"/>
  <c r="D84"/>
  <c r="D20"/>
  <c r="D171"/>
  <c r="D107"/>
  <c r="D43"/>
  <c r="D9"/>
  <c r="D138"/>
  <c r="D74"/>
  <c r="D10"/>
  <c r="D176" i="17"/>
  <c r="D112"/>
  <c r="D151"/>
  <c r="D198"/>
  <c r="D134"/>
  <c r="D181"/>
  <c r="D117"/>
  <c r="D156"/>
  <c r="D195"/>
  <c r="D131"/>
  <c r="D178"/>
  <c r="D114"/>
  <c r="D168" i="16"/>
  <c r="D104"/>
  <c r="D40"/>
  <c r="D153"/>
  <c r="D167"/>
  <c r="D103"/>
  <c r="D46"/>
  <c r="D198"/>
  <c r="D134"/>
  <c r="D70"/>
  <c r="D137"/>
  <c r="D149"/>
  <c r="D85"/>
  <c r="D58"/>
  <c r="D164"/>
  <c r="D100"/>
  <c r="D36"/>
  <c r="D187"/>
  <c r="D82" i="27"/>
  <c r="D110" i="26"/>
  <c r="D147"/>
  <c r="D74"/>
  <c r="D112" i="25"/>
  <c r="D32"/>
  <c r="D143"/>
  <c r="D63"/>
  <c r="D198"/>
  <c r="D118"/>
  <c r="D54"/>
  <c r="D197"/>
  <c r="D133"/>
  <c r="D69"/>
  <c r="D99"/>
  <c r="D148"/>
  <c r="D84"/>
  <c r="D187"/>
  <c r="D162"/>
  <c r="D98"/>
  <c r="D34"/>
  <c r="D169"/>
  <c r="D105"/>
  <c r="D41"/>
  <c r="D176" i="38"/>
  <c r="D112"/>
  <c r="D48"/>
  <c r="D175"/>
  <c r="D111"/>
  <c r="D47"/>
  <c r="D158"/>
  <c r="D94"/>
  <c r="D30"/>
  <c r="D157"/>
  <c r="D93"/>
  <c r="D29"/>
  <c r="D156"/>
  <c r="D92"/>
  <c r="D28"/>
  <c r="D155"/>
  <c r="D91"/>
  <c r="D194"/>
  <c r="D130"/>
  <c r="D66"/>
  <c r="D193"/>
  <c r="D129"/>
  <c r="D65"/>
  <c r="D13"/>
  <c r="D144" i="37"/>
  <c r="D80"/>
  <c r="D146"/>
  <c r="D191"/>
  <c r="D127"/>
  <c r="D63"/>
  <c r="D34"/>
  <c r="D174"/>
  <c r="D110"/>
  <c r="D46"/>
  <c r="D145"/>
  <c r="D157"/>
  <c r="D93"/>
  <c r="D29"/>
  <c r="D57"/>
  <c r="D140"/>
  <c r="D76"/>
  <c r="D114"/>
  <c r="D179"/>
  <c r="D115"/>
  <c r="D51"/>
  <c r="D121"/>
  <c r="D160" i="24"/>
  <c r="D96"/>
  <c r="D32"/>
  <c r="D167"/>
  <c r="D103"/>
  <c r="D39"/>
  <c r="D174"/>
  <c r="D110"/>
  <c r="D46"/>
  <c r="D189"/>
  <c r="D125"/>
  <c r="D61"/>
  <c r="D196"/>
  <c r="D132"/>
  <c r="D68"/>
  <c r="D41"/>
  <c r="D139"/>
  <c r="D75"/>
  <c r="D113"/>
  <c r="D146"/>
  <c r="D82"/>
  <c r="D145"/>
  <c r="D168" i="22"/>
  <c r="D104"/>
  <c r="D40"/>
  <c r="D183"/>
  <c r="D119"/>
  <c r="D55"/>
  <c r="D198"/>
  <c r="D134"/>
  <c r="D70"/>
  <c r="D141"/>
  <c r="D77"/>
  <c r="D177"/>
  <c r="D172"/>
  <c r="D108"/>
  <c r="D44"/>
  <c r="D187"/>
  <c r="D123"/>
  <c r="D59"/>
  <c r="D49"/>
  <c r="D138"/>
  <c r="D74"/>
  <c r="D161"/>
  <c r="D176" i="21"/>
  <c r="D112"/>
  <c r="D48"/>
  <c r="D159"/>
  <c r="D95"/>
  <c r="D23"/>
  <c r="D142"/>
  <c r="D78"/>
  <c r="D197"/>
  <c r="D133"/>
  <c r="D69"/>
  <c r="D172"/>
  <c r="D108"/>
  <c r="D44"/>
  <c r="D155"/>
  <c r="D91"/>
  <c r="D27"/>
  <c r="D146"/>
  <c r="D82"/>
  <c r="D31"/>
  <c r="D137"/>
  <c r="D73"/>
  <c r="D21"/>
  <c r="D144" i="20"/>
  <c r="D80"/>
  <c r="D163"/>
  <c r="D49"/>
  <c r="D143"/>
  <c r="D79"/>
  <c r="D30"/>
  <c r="D66"/>
  <c r="D174"/>
  <c r="D110"/>
  <c r="D46"/>
  <c r="D82"/>
  <c r="D173"/>
  <c r="D109"/>
  <c r="D45"/>
  <c r="D58"/>
  <c r="D172"/>
  <c r="D108"/>
  <c r="D44"/>
  <c r="D50"/>
  <c r="D170"/>
  <c r="D106"/>
  <c r="D200" i="19"/>
  <c r="D136"/>
  <c r="D72"/>
  <c r="D90"/>
  <c r="D175"/>
  <c r="D111"/>
  <c r="D47"/>
  <c r="D121"/>
  <c r="D150"/>
  <c r="D86"/>
  <c r="D61"/>
  <c r="D197"/>
  <c r="D133"/>
  <c r="D69"/>
  <c r="D196"/>
  <c r="D132"/>
  <c r="D68"/>
  <c r="D66"/>
  <c r="D163"/>
  <c r="D99"/>
  <c r="D35"/>
  <c r="D194"/>
  <c r="D49"/>
  <c r="D152" i="18"/>
  <c r="D88"/>
  <c r="D105"/>
  <c r="D151"/>
  <c r="D87"/>
  <c r="D121"/>
  <c r="D150"/>
  <c r="D86"/>
  <c r="D189"/>
  <c r="D125"/>
  <c r="D61"/>
  <c r="D188"/>
  <c r="D124"/>
  <c r="D60"/>
  <c r="D187"/>
  <c r="D123"/>
  <c r="D59"/>
  <c r="D186"/>
  <c r="D122"/>
  <c r="D193"/>
  <c r="D168" i="36"/>
  <c r="D104"/>
  <c r="D40"/>
  <c r="D191"/>
  <c r="D127"/>
  <c r="D63"/>
  <c r="D137"/>
  <c r="D158"/>
  <c r="D94"/>
  <c r="D30"/>
  <c r="D189"/>
  <c r="D125"/>
  <c r="D61"/>
  <c r="D145"/>
  <c r="D156"/>
  <c r="D92"/>
  <c r="D28"/>
  <c r="D179"/>
  <c r="D115"/>
  <c r="D51"/>
  <c r="D65"/>
  <c r="D146"/>
  <c r="D82"/>
  <c r="D18"/>
  <c r="D184" i="17"/>
  <c r="D120"/>
  <c r="D159"/>
  <c r="D113"/>
  <c r="D142"/>
  <c r="D189"/>
  <c r="D125"/>
  <c r="D164"/>
  <c r="D161"/>
  <c r="D139"/>
  <c r="D186"/>
  <c r="D122"/>
  <c r="D176" i="16"/>
  <c r="D112"/>
  <c r="D48"/>
  <c r="D34"/>
  <c r="D175"/>
  <c r="D111"/>
  <c r="D47"/>
  <c r="D65"/>
  <c r="D142"/>
  <c r="D78"/>
  <c r="D193"/>
  <c r="D157"/>
  <c r="D93"/>
  <c r="D114"/>
  <c r="D172"/>
  <c r="D108"/>
  <c r="D44"/>
  <c r="D195"/>
  <c r="D146" i="27"/>
  <c r="D174" i="26"/>
  <c r="D105"/>
  <c r="D90"/>
  <c r="D128" i="25"/>
  <c r="D40"/>
  <c r="D167"/>
  <c r="D71"/>
  <c r="D27"/>
  <c r="D126"/>
  <c r="D62"/>
  <c r="D67"/>
  <c r="D141"/>
  <c r="D77"/>
  <c r="D155"/>
  <c r="D156"/>
  <c r="D92"/>
  <c r="D28"/>
  <c r="D170"/>
  <c r="D106"/>
  <c r="D42"/>
  <c r="D177"/>
  <c r="D113"/>
  <c r="D49"/>
  <c r="D184" i="38"/>
  <c r="D120"/>
  <c r="D56"/>
  <c r="D183"/>
  <c r="D119"/>
  <c r="D55"/>
  <c r="D166"/>
  <c r="D102"/>
  <c r="D38"/>
  <c r="D165"/>
  <c r="D101"/>
  <c r="D37"/>
  <c r="D164"/>
  <c r="D100"/>
  <c r="D36"/>
  <c r="D163"/>
  <c r="D99"/>
  <c r="D35"/>
  <c r="D138"/>
  <c r="D74"/>
  <c r="D31"/>
  <c r="D137"/>
  <c r="D73"/>
  <c r="D23"/>
  <c r="D152" i="37"/>
  <c r="D88"/>
  <c r="D24"/>
  <c r="D199"/>
  <c r="D135"/>
  <c r="D71"/>
  <c r="D90"/>
  <c r="D182"/>
  <c r="D118"/>
  <c r="D54"/>
  <c r="D185"/>
  <c r="D165"/>
  <c r="D101"/>
  <c r="D37"/>
  <c r="D105"/>
  <c r="D148"/>
  <c r="D84"/>
  <c r="D162"/>
  <c r="D187"/>
  <c r="D123"/>
  <c r="D59"/>
  <c r="D169"/>
  <c r="D168" i="24"/>
  <c r="D104"/>
  <c r="D40"/>
  <c r="D175"/>
  <c r="D111"/>
  <c r="D47"/>
  <c r="D182"/>
  <c r="D118"/>
  <c r="D54"/>
  <c r="D197"/>
  <c r="D133"/>
  <c r="D69"/>
  <c r="D73"/>
  <c r="D140"/>
  <c r="D76"/>
  <c r="D97"/>
  <c r="D147"/>
  <c r="D83"/>
  <c r="D169"/>
  <c r="D154"/>
  <c r="D90"/>
  <c r="D26"/>
  <c r="D176" i="22"/>
  <c r="D112"/>
  <c r="D48"/>
  <c r="D191"/>
  <c r="D127"/>
  <c r="D63"/>
  <c r="D65"/>
  <c r="D142"/>
  <c r="D78"/>
  <c r="D149"/>
  <c r="D85"/>
  <c r="D28"/>
  <c r="D180"/>
  <c r="D116"/>
  <c r="D52"/>
  <c r="D195"/>
  <c r="D131"/>
  <c r="D67"/>
  <c r="D97"/>
  <c r="D146"/>
  <c r="D82"/>
  <c r="D193"/>
  <c r="D184" i="21"/>
  <c r="D120"/>
  <c r="D56"/>
  <c r="D167"/>
  <c r="D103"/>
  <c r="D39"/>
  <c r="D150"/>
  <c r="D86"/>
  <c r="D22"/>
  <c r="D141"/>
  <c r="D77"/>
  <c r="D180"/>
  <c r="D116"/>
  <c r="D52"/>
  <c r="D163"/>
  <c r="D99"/>
  <c r="D35"/>
  <c r="D154"/>
  <c r="D90"/>
  <c r="D26"/>
  <c r="D145"/>
  <c r="D81"/>
  <c r="D32"/>
  <c r="D152" i="20"/>
  <c r="D88"/>
  <c r="D24"/>
  <c r="D97"/>
  <c r="D151"/>
  <c r="D87"/>
  <c r="D23"/>
  <c r="D90"/>
  <c r="D182"/>
  <c r="D118"/>
  <c r="D54"/>
  <c r="D43"/>
  <c r="D181"/>
  <c r="D117"/>
  <c r="D53"/>
  <c r="D27"/>
  <c r="D180"/>
  <c r="D116"/>
  <c r="D52"/>
  <c r="D19"/>
  <c r="D178"/>
  <c r="D114"/>
  <c r="D18"/>
  <c r="D144" i="19"/>
  <c r="D80"/>
  <c r="D146"/>
  <c r="D183"/>
  <c r="D119"/>
  <c r="D55"/>
  <c r="D177"/>
  <c r="D158"/>
  <c r="D94"/>
  <c r="D30"/>
  <c r="D25"/>
  <c r="D141"/>
  <c r="D77"/>
  <c r="D57"/>
  <c r="D140"/>
  <c r="D76"/>
  <c r="D122"/>
  <c r="D171"/>
  <c r="D107"/>
  <c r="D43"/>
  <c r="D41"/>
  <c r="D105"/>
  <c r="D160" i="18"/>
  <c r="D96"/>
  <c r="D161"/>
  <c r="D159"/>
  <c r="D95"/>
  <c r="D177"/>
  <c r="D158"/>
  <c r="D94"/>
  <c r="D197"/>
  <c r="D133"/>
  <c r="D69"/>
  <c r="D196"/>
  <c r="D132"/>
  <c r="D68"/>
  <c r="D195"/>
  <c r="D131"/>
  <c r="D67"/>
  <c r="D194"/>
  <c r="D130"/>
  <c r="D66"/>
  <c r="D176" i="36"/>
  <c r="D112"/>
  <c r="D48"/>
  <c r="D199"/>
  <c r="D135"/>
  <c r="D71"/>
  <c r="D185"/>
  <c r="D166"/>
  <c r="D102"/>
  <c r="D38"/>
  <c r="D197"/>
  <c r="D133"/>
  <c r="D69"/>
  <c r="D193"/>
  <c r="D164"/>
  <c r="D100"/>
  <c r="D36"/>
  <c r="D187"/>
  <c r="D123"/>
  <c r="D59"/>
  <c r="D121"/>
  <c r="D154"/>
  <c r="D90"/>
  <c r="D26"/>
  <c r="D192" i="17"/>
  <c r="D128"/>
  <c r="D167"/>
  <c r="D177"/>
  <c r="D150"/>
  <c r="D197"/>
  <c r="D133"/>
  <c r="D172"/>
  <c r="D108"/>
  <c r="D147"/>
  <c r="D194"/>
  <c r="D130"/>
  <c r="D184" i="16"/>
  <c r="D120"/>
  <c r="D56"/>
  <c r="D66"/>
  <c r="D183"/>
  <c r="D119"/>
  <c r="D55"/>
  <c r="D121"/>
  <c r="D150"/>
  <c r="D86"/>
  <c r="D82"/>
  <c r="D165"/>
  <c r="D101"/>
  <c r="D162"/>
  <c r="D180"/>
  <c r="D116"/>
  <c r="D52"/>
  <c r="D57"/>
  <c r="D137" i="27"/>
  <c r="D63" i="26"/>
  <c r="D92"/>
  <c r="D138"/>
  <c r="D152" i="25"/>
  <c r="D48"/>
  <c r="D175"/>
  <c r="D79"/>
  <c r="D83"/>
  <c r="D134"/>
  <c r="D70"/>
  <c r="D115"/>
  <c r="D149"/>
  <c r="D85"/>
  <c r="D195"/>
  <c r="D164"/>
  <c r="D100"/>
  <c r="D36"/>
  <c r="D178"/>
  <c r="D114"/>
  <c r="D50"/>
  <c r="D185"/>
  <c r="D121"/>
  <c r="D57"/>
  <c r="D192" i="38"/>
  <c r="D128"/>
  <c r="D64"/>
  <c r="D191"/>
  <c r="D127"/>
  <c r="D63"/>
  <c r="D174"/>
  <c r="D110"/>
  <c r="D46"/>
  <c r="D173"/>
  <c r="D109"/>
  <c r="D45"/>
  <c r="D172"/>
  <c r="D108"/>
  <c r="D44"/>
  <c r="D171"/>
  <c r="D107"/>
  <c r="D43"/>
  <c r="D146"/>
  <c r="D82"/>
  <c r="D18"/>
  <c r="D145"/>
  <c r="D81"/>
  <c r="D17"/>
  <c r="D160" i="37"/>
  <c r="D96"/>
  <c r="D32"/>
  <c r="D33"/>
  <c r="D143"/>
  <c r="D79"/>
  <c r="D138"/>
  <c r="D190"/>
  <c r="D126"/>
  <c r="D62"/>
  <c r="D58"/>
  <c r="D173"/>
  <c r="D109"/>
  <c r="D45"/>
  <c r="D153"/>
  <c r="D156"/>
  <c r="D92"/>
  <c r="D27"/>
  <c r="D195"/>
  <c r="D131"/>
  <c r="D67"/>
  <c r="D42"/>
  <c r="D176" i="24"/>
  <c r="D112"/>
  <c r="D48"/>
  <c r="D183"/>
  <c r="D119"/>
  <c r="D55"/>
  <c r="D190"/>
  <c r="D126"/>
  <c r="D62"/>
  <c r="D25"/>
  <c r="D141"/>
  <c r="D77"/>
  <c r="D129"/>
  <c r="D148"/>
  <c r="D84"/>
  <c r="D161"/>
  <c r="D155"/>
  <c r="D91"/>
  <c r="D27"/>
  <c r="D162"/>
  <c r="D98"/>
  <c r="D34"/>
  <c r="D184" i="22"/>
  <c r="D120"/>
  <c r="D56"/>
  <c r="D199"/>
  <c r="D135"/>
  <c r="D71"/>
  <c r="D30"/>
  <c r="D150"/>
  <c r="D86"/>
  <c r="D157"/>
  <c r="D93"/>
  <c r="D29"/>
  <c r="D188"/>
  <c r="D124"/>
  <c r="D60"/>
  <c r="D25"/>
  <c r="D139"/>
  <c r="D75"/>
  <c r="D129"/>
  <c r="D154"/>
  <c r="D90"/>
  <c r="D26"/>
  <c r="D192" i="21"/>
  <c r="D128"/>
  <c r="D64"/>
  <c r="D175"/>
  <c r="D111"/>
  <c r="D47"/>
  <c r="D158"/>
  <c r="D94"/>
  <c r="D30"/>
  <c r="D149"/>
  <c r="D85"/>
  <c r="D188"/>
  <c r="D124"/>
  <c r="D60"/>
  <c r="D171"/>
  <c r="D107"/>
  <c r="D43"/>
  <c r="D162"/>
  <c r="D98"/>
  <c r="D34"/>
  <c r="D153"/>
  <c r="D89"/>
  <c r="D25"/>
  <c r="D160" i="20"/>
  <c r="D96"/>
  <c r="D32"/>
  <c r="D153"/>
  <c r="D159"/>
  <c r="D95"/>
  <c r="D31"/>
  <c r="D51"/>
  <c r="D190"/>
  <c r="D126"/>
  <c r="D62"/>
  <c r="D91"/>
  <c r="D189"/>
  <c r="D125"/>
  <c r="D61"/>
  <c r="D59"/>
  <c r="D188"/>
  <c r="D124"/>
  <c r="D60"/>
  <c r="D67"/>
  <c r="D186"/>
  <c r="D122"/>
  <c r="D41"/>
  <c r="D152" i="19"/>
  <c r="D88"/>
  <c r="D24"/>
  <c r="D191"/>
  <c r="D127"/>
  <c r="D63"/>
  <c r="D50"/>
  <c r="D166"/>
  <c r="D102"/>
  <c r="D38"/>
  <c r="D81"/>
  <c r="D149"/>
  <c r="D85"/>
  <c r="D113"/>
  <c r="D148"/>
  <c r="D84"/>
  <c r="D170"/>
  <c r="D179"/>
  <c r="D115"/>
  <c r="D51"/>
  <c r="D89"/>
  <c r="D161"/>
  <c r="D168" i="18"/>
  <c r="D104"/>
  <c r="D40"/>
  <c r="D167"/>
  <c r="D103"/>
  <c r="D54"/>
  <c r="D166"/>
  <c r="D102"/>
  <c r="D81"/>
  <c r="D141"/>
  <c r="D77"/>
  <c r="D41"/>
  <c r="D140"/>
  <c r="D76"/>
  <c r="D73"/>
  <c r="D139"/>
  <c r="D75"/>
  <c r="D57"/>
  <c r="D138"/>
  <c r="D74"/>
  <c r="D184" i="36"/>
  <c r="D120"/>
  <c r="D56"/>
  <c r="D49"/>
  <c r="D143"/>
  <c r="D79"/>
  <c r="D15"/>
  <c r="D174"/>
  <c r="D110"/>
  <c r="D46"/>
  <c r="D17"/>
  <c r="D141"/>
  <c r="D77"/>
  <c r="D13"/>
  <c r="D172"/>
  <c r="D108"/>
  <c r="D44"/>
  <c r="D195"/>
  <c r="D131"/>
  <c r="D67"/>
  <c r="D169"/>
  <c r="D162"/>
  <c r="D98"/>
  <c r="D34"/>
  <c r="D200" i="17"/>
  <c r="D136"/>
  <c r="D175"/>
  <c r="D111"/>
  <c r="D158"/>
  <c r="D129"/>
  <c r="D141"/>
  <c r="D180"/>
  <c r="D106" i="16"/>
  <c r="D173"/>
  <c r="D139"/>
  <c r="D75"/>
  <c r="D74"/>
  <c r="D184" i="15"/>
  <c r="D120"/>
  <c r="D56"/>
  <c r="D151"/>
  <c r="D87"/>
  <c r="D182"/>
  <c r="D118"/>
  <c r="D193"/>
  <c r="D165"/>
  <c r="D101"/>
  <c r="D97"/>
  <c r="D140"/>
  <c r="D76"/>
  <c r="D179"/>
  <c r="D115"/>
  <c r="D185"/>
  <c r="D154"/>
  <c r="D90"/>
  <c r="D54"/>
  <c r="D144" i="23"/>
  <c r="D80"/>
  <c r="D183"/>
  <c r="D119"/>
  <c r="D55"/>
  <c r="D174"/>
  <c r="D110"/>
  <c r="D46"/>
  <c r="D165"/>
  <c r="D101"/>
  <c r="D97"/>
  <c r="D140"/>
  <c r="D76"/>
  <c r="D195"/>
  <c r="D131"/>
  <c r="D67"/>
  <c r="D186"/>
  <c r="D122"/>
  <c r="D58"/>
  <c r="D200" i="35"/>
  <c r="D136"/>
  <c r="D72"/>
  <c r="D171"/>
  <c r="D159"/>
  <c r="D95"/>
  <c r="D31"/>
  <c r="D190"/>
  <c r="D126"/>
  <c r="D62"/>
  <c r="D155"/>
  <c r="D157"/>
  <c r="D93"/>
  <c r="D29"/>
  <c r="D180"/>
  <c r="D116"/>
  <c r="D52"/>
  <c r="D11"/>
  <c r="D138"/>
  <c r="D74"/>
  <c r="D10"/>
  <c r="D185"/>
  <c r="D121"/>
  <c r="D57"/>
  <c r="D139"/>
  <c r="D168" i="13"/>
  <c r="D104"/>
  <c r="D40"/>
  <c r="D191"/>
  <c r="D127"/>
  <c r="D63"/>
  <c r="D51"/>
  <c r="D142"/>
  <c r="D78"/>
  <c r="D171"/>
  <c r="D157"/>
  <c r="D93"/>
  <c r="D29"/>
  <c r="D172"/>
  <c r="D108"/>
  <c r="D44"/>
  <c r="D186"/>
  <c r="D122"/>
  <c r="D58"/>
  <c r="D193"/>
  <c r="D129"/>
  <c r="D65"/>
  <c r="D75"/>
  <c r="D152" i="34"/>
  <c r="D88"/>
  <c r="D153"/>
  <c r="D159"/>
  <c r="D95"/>
  <c r="D145"/>
  <c r="D150"/>
  <c r="D86"/>
  <c r="D49"/>
  <c r="D141"/>
  <c r="D77"/>
  <c r="D196"/>
  <c r="D132"/>
  <c r="D68"/>
  <c r="D187"/>
  <c r="D123"/>
  <c r="D59"/>
  <c r="D178"/>
  <c r="D114"/>
  <c r="D50"/>
  <c r="D176" i="33"/>
  <c r="D112"/>
  <c r="D48"/>
  <c r="D175"/>
  <c r="D111"/>
  <c r="D47"/>
  <c r="D182"/>
  <c r="D118"/>
  <c r="D54"/>
  <c r="D189"/>
  <c r="D125"/>
  <c r="D61"/>
  <c r="D188"/>
  <c r="D124"/>
  <c r="D60"/>
  <c r="D187"/>
  <c r="D123"/>
  <c r="D59"/>
  <c r="D194"/>
  <c r="D130"/>
  <c r="D66"/>
  <c r="D193"/>
  <c r="D129"/>
  <c r="D49"/>
  <c r="D153" i="12"/>
  <c r="D89"/>
  <c r="D192"/>
  <c r="D128"/>
  <c r="D64"/>
  <c r="D167"/>
  <c r="D103"/>
  <c r="D106"/>
  <c r="D142"/>
  <c r="D78"/>
  <c r="D181"/>
  <c r="D117"/>
  <c r="D170"/>
  <c r="D156"/>
  <c r="D92"/>
  <c r="D195"/>
  <c r="D131"/>
  <c r="D67"/>
  <c r="D184" i="11"/>
  <c r="D120"/>
  <c r="D56"/>
  <c r="D183"/>
  <c r="D119"/>
  <c r="D55"/>
  <c r="D65"/>
  <c r="D142"/>
  <c r="D78"/>
  <c r="D75"/>
  <c r="D165"/>
  <c r="D101"/>
  <c r="D179"/>
  <c r="D188"/>
  <c r="D124"/>
  <c r="D52"/>
  <c r="D194"/>
  <c r="D130"/>
  <c r="D66"/>
  <c r="D57"/>
  <c r="D152" i="10"/>
  <c r="D88"/>
  <c r="D171"/>
  <c r="D159"/>
  <c r="D95"/>
  <c r="D155"/>
  <c r="D158"/>
  <c r="D94"/>
  <c r="D30"/>
  <c r="D189"/>
  <c r="D125"/>
  <c r="D61"/>
  <c r="D27"/>
  <c r="D140"/>
  <c r="D76"/>
  <c r="D194"/>
  <c r="D130"/>
  <c r="D66"/>
  <c r="D179"/>
  <c r="D153"/>
  <c r="D89"/>
  <c r="D25"/>
  <c r="D192" i="9"/>
  <c r="D128"/>
  <c r="D64"/>
  <c r="D159"/>
  <c r="D95"/>
  <c r="D31"/>
  <c r="D150"/>
  <c r="D86"/>
  <c r="D36"/>
  <c r="D141"/>
  <c r="D77"/>
  <c r="D188"/>
  <c r="D124"/>
  <c r="D60"/>
  <c r="D155"/>
  <c r="D91"/>
  <c r="D27"/>
  <c r="D146"/>
  <c r="D82"/>
  <c r="D193"/>
  <c r="D129"/>
  <c r="D65"/>
  <c r="D200" i="8"/>
  <c r="D136"/>
  <c r="D68"/>
  <c r="D143"/>
  <c r="D79"/>
  <c r="D166"/>
  <c r="D102"/>
  <c r="D189"/>
  <c r="D125"/>
  <c r="D61"/>
  <c r="D148"/>
  <c r="D84"/>
  <c r="D155"/>
  <c r="D91"/>
  <c r="D178"/>
  <c r="D114"/>
  <c r="D64"/>
  <c r="D137"/>
  <c r="D73"/>
  <c r="D176" i="32"/>
  <c r="D112"/>
  <c r="D156"/>
  <c r="D191"/>
  <c r="D127"/>
  <c r="D63"/>
  <c r="D59"/>
  <c r="D142"/>
  <c r="D78"/>
  <c r="D188"/>
  <c r="D67"/>
  <c r="D141"/>
  <c r="D77"/>
  <c r="D164"/>
  <c r="D186"/>
  <c r="D122"/>
  <c r="D58"/>
  <c r="D92"/>
  <c r="D177"/>
  <c r="D113"/>
  <c r="D49"/>
  <c r="D163"/>
  <c r="D168" i="30"/>
  <c r="D104"/>
  <c r="D40"/>
  <c r="D191"/>
  <c r="D127"/>
  <c r="D63"/>
  <c r="D198"/>
  <c r="D134"/>
  <c r="D70"/>
  <c r="D6"/>
  <c r="D181"/>
  <c r="D117"/>
  <c r="D53"/>
  <c r="D188"/>
  <c r="D124"/>
  <c r="D60"/>
  <c r="D89"/>
  <c r="D147"/>
  <c r="D83"/>
  <c r="D19"/>
  <c r="D9"/>
  <c r="D138"/>
  <c r="D74"/>
  <c r="D10"/>
  <c r="D200" i="31"/>
  <c r="D136"/>
  <c r="D72"/>
  <c r="D8"/>
  <c r="D159"/>
  <c r="D95"/>
  <c r="D64" i="16"/>
  <c r="D130"/>
  <c r="D147"/>
  <c r="D83"/>
  <c r="D122"/>
  <c r="D192" i="15"/>
  <c r="D128"/>
  <c r="D64"/>
  <c r="D159"/>
  <c r="D95"/>
  <c r="D190"/>
  <c r="D126"/>
  <c r="D62"/>
  <c r="D173"/>
  <c r="D109"/>
  <c r="D137"/>
  <c r="D148"/>
  <c r="D84"/>
  <c r="D187"/>
  <c r="D123"/>
  <c r="D59"/>
  <c r="D162"/>
  <c r="D98"/>
  <c r="D81"/>
  <c r="D152" i="23"/>
  <c r="D88"/>
  <c r="D191"/>
  <c r="D127"/>
  <c r="D63"/>
  <c r="D182"/>
  <c r="D118"/>
  <c r="D54"/>
  <c r="D173"/>
  <c r="D109"/>
  <c r="D145"/>
  <c r="D148"/>
  <c r="D84"/>
  <c r="D65"/>
  <c r="D139"/>
  <c r="D75"/>
  <c r="D194"/>
  <c r="D130"/>
  <c r="D66"/>
  <c r="D42"/>
  <c r="D144" i="35"/>
  <c r="D80"/>
  <c r="D7"/>
  <c r="D167"/>
  <c r="D103"/>
  <c r="D39"/>
  <c r="D198"/>
  <c r="D134"/>
  <c r="D70"/>
  <c r="D6"/>
  <c r="D165"/>
  <c r="D101"/>
  <c r="D37"/>
  <c r="D188"/>
  <c r="D124"/>
  <c r="D60"/>
  <c r="D67"/>
  <c r="D146"/>
  <c r="D82"/>
  <c r="D18"/>
  <c r="D193"/>
  <c r="D129"/>
  <c r="D65"/>
  <c r="D195"/>
  <c r="D176" i="13"/>
  <c r="D112"/>
  <c r="D48"/>
  <c r="D199"/>
  <c r="D135"/>
  <c r="D71"/>
  <c r="D107"/>
  <c r="D150"/>
  <c r="D86"/>
  <c r="D22"/>
  <c r="D165"/>
  <c r="D101"/>
  <c r="D37"/>
  <c r="D180"/>
  <c r="D116"/>
  <c r="D52"/>
  <c r="D194"/>
  <c r="D130"/>
  <c r="D66"/>
  <c r="D67"/>
  <c r="D137"/>
  <c r="D73"/>
  <c r="D131"/>
  <c r="D160" i="34"/>
  <c r="D96"/>
  <c r="D39"/>
  <c r="D167"/>
  <c r="D103"/>
  <c r="D42"/>
  <c r="D158"/>
  <c r="D94"/>
  <c r="D105"/>
  <c r="D149"/>
  <c r="D85"/>
  <c r="D73"/>
  <c r="D140"/>
  <c r="D76"/>
  <c r="D195"/>
  <c r="D131"/>
  <c r="D67"/>
  <c r="D186"/>
  <c r="D122"/>
  <c r="D58"/>
  <c r="D184" i="33"/>
  <c r="D120"/>
  <c r="D56"/>
  <c r="D183"/>
  <c r="D119"/>
  <c r="D55"/>
  <c r="D190"/>
  <c r="D126"/>
  <c r="D62"/>
  <c r="D197"/>
  <c r="D133"/>
  <c r="D69"/>
  <c r="D196"/>
  <c r="D132"/>
  <c r="D68"/>
  <c r="D195"/>
  <c r="D131"/>
  <c r="D67"/>
  <c r="D25"/>
  <c r="D138"/>
  <c r="D74"/>
  <c r="D17"/>
  <c r="D137"/>
  <c r="D73"/>
  <c r="D161" i="12"/>
  <c r="D97"/>
  <c r="D200"/>
  <c r="D136"/>
  <c r="D72"/>
  <c r="D175"/>
  <c r="D111"/>
  <c r="D162"/>
  <c r="D150"/>
  <c r="D86"/>
  <c r="D189"/>
  <c r="D125"/>
  <c r="D61"/>
  <c r="D164"/>
  <c r="D100"/>
  <c r="D90"/>
  <c r="D139"/>
  <c r="D75"/>
  <c r="D192" i="11"/>
  <c r="D128"/>
  <c r="D64"/>
  <c r="D191"/>
  <c r="D127"/>
  <c r="D63"/>
  <c r="D121"/>
  <c r="D150"/>
  <c r="D86"/>
  <c r="D115"/>
  <c r="D173"/>
  <c r="D109"/>
  <c r="D60"/>
  <c r="D196"/>
  <c r="D132"/>
  <c r="D68"/>
  <c r="D49"/>
  <c r="D138"/>
  <c r="D74"/>
  <c r="D105"/>
  <c r="D160" i="10"/>
  <c r="D96"/>
  <c r="D31"/>
  <c r="D167"/>
  <c r="D103"/>
  <c r="D36"/>
  <c r="D166"/>
  <c r="D102"/>
  <c r="D38"/>
  <c r="D197"/>
  <c r="D133"/>
  <c r="D69"/>
  <c r="D83"/>
  <c r="D148"/>
  <c r="D84"/>
  <c r="D75"/>
  <c r="D138"/>
  <c r="D74"/>
  <c r="D39"/>
  <c r="D161"/>
  <c r="D97"/>
  <c r="D33"/>
  <c r="D200" i="9"/>
  <c r="D136"/>
  <c r="D72"/>
  <c r="D167"/>
  <c r="D103"/>
  <c r="D39"/>
  <c r="D158"/>
  <c r="D94"/>
  <c r="D30"/>
  <c r="D149"/>
  <c r="D85"/>
  <c r="D196"/>
  <c r="D132"/>
  <c r="D68"/>
  <c r="D163"/>
  <c r="D99"/>
  <c r="D35"/>
  <c r="D154"/>
  <c r="D90"/>
  <c r="D26"/>
  <c r="D137"/>
  <c r="D73"/>
  <c r="D24"/>
  <c r="D144" i="8"/>
  <c r="D80"/>
  <c r="D151"/>
  <c r="D87"/>
  <c r="D174"/>
  <c r="D110"/>
  <c r="D197"/>
  <c r="D133"/>
  <c r="D69"/>
  <c r="D156"/>
  <c r="D92"/>
  <c r="D163"/>
  <c r="D99"/>
  <c r="D186"/>
  <c r="D122"/>
  <c r="D58"/>
  <c r="D145"/>
  <c r="D81"/>
  <c r="D184" i="32"/>
  <c r="D120"/>
  <c r="D32"/>
  <c r="D199"/>
  <c r="D135"/>
  <c r="D71"/>
  <c r="D107"/>
  <c r="D150"/>
  <c r="D86"/>
  <c r="D29"/>
  <c r="D99"/>
  <c r="D149"/>
  <c r="D85"/>
  <c r="D180"/>
  <c r="D194"/>
  <c r="D130"/>
  <c r="D66"/>
  <c r="D140"/>
  <c r="D185"/>
  <c r="D121"/>
  <c r="D57"/>
  <c r="D36"/>
  <c r="D176" i="30"/>
  <c r="D112"/>
  <c r="D48"/>
  <c r="D199"/>
  <c r="D135"/>
  <c r="D71"/>
  <c r="D57"/>
  <c r="D142"/>
  <c r="D78"/>
  <c r="D14"/>
  <c r="D189"/>
  <c r="D125"/>
  <c r="D61"/>
  <c r="D196"/>
  <c r="D132"/>
  <c r="D68"/>
  <c r="D137"/>
  <c r="D155"/>
  <c r="D91"/>
  <c r="D27"/>
  <c r="D65"/>
  <c r="D146"/>
  <c r="D82"/>
  <c r="D18"/>
  <c r="D5"/>
  <c r="D144" i="31"/>
  <c r="D80"/>
  <c r="D16"/>
  <c r="D167"/>
  <c r="D103"/>
  <c r="D39"/>
  <c r="D128" i="16"/>
  <c r="D94"/>
  <c r="D105"/>
  <c r="D91"/>
  <c r="D170"/>
  <c r="D200" i="15"/>
  <c r="D136"/>
  <c r="D72"/>
  <c r="D167"/>
  <c r="D103"/>
  <c r="D198"/>
  <c r="D134"/>
  <c r="D70"/>
  <c r="D181"/>
  <c r="D117"/>
  <c r="D177"/>
  <c r="D156"/>
  <c r="D92"/>
  <c r="D195"/>
  <c r="D131"/>
  <c r="D67"/>
  <c r="D170"/>
  <c r="D106"/>
  <c r="D121"/>
  <c r="D160" i="23"/>
  <c r="D96"/>
  <c r="D199"/>
  <c r="D135"/>
  <c r="D71"/>
  <c r="D190"/>
  <c r="D126"/>
  <c r="D62"/>
  <c r="D181"/>
  <c r="D117"/>
  <c r="D53"/>
  <c r="D156"/>
  <c r="D92"/>
  <c r="D129"/>
  <c r="D147"/>
  <c r="D83"/>
  <c r="D57"/>
  <c r="D138"/>
  <c r="D74"/>
  <c r="D49"/>
  <c r="D152" i="35"/>
  <c r="D88"/>
  <c r="D24"/>
  <c r="D175"/>
  <c r="D111"/>
  <c r="D47"/>
  <c r="D35"/>
  <c r="D142"/>
  <c r="D78"/>
  <c r="D14"/>
  <c r="D173"/>
  <c r="D109"/>
  <c r="D45"/>
  <c r="D196"/>
  <c r="D132"/>
  <c r="D68"/>
  <c r="D123"/>
  <c r="D154"/>
  <c r="D90"/>
  <c r="D26"/>
  <c r="D27"/>
  <c r="D137"/>
  <c r="D73"/>
  <c r="D16"/>
  <c r="D184" i="13"/>
  <c r="D120"/>
  <c r="D56"/>
  <c r="D27"/>
  <c r="D143"/>
  <c r="D79"/>
  <c r="D163"/>
  <c r="D158"/>
  <c r="D94"/>
  <c r="D30"/>
  <c r="D173"/>
  <c r="D109"/>
  <c r="D45"/>
  <c r="D188"/>
  <c r="D124"/>
  <c r="D60"/>
  <c r="D35"/>
  <c r="D138"/>
  <c r="D74"/>
  <c r="D123"/>
  <c r="D145"/>
  <c r="D81"/>
  <c r="D195"/>
  <c r="D168" i="34"/>
  <c r="D104"/>
  <c r="D40"/>
  <c r="D175"/>
  <c r="D111"/>
  <c r="D47"/>
  <c r="D166"/>
  <c r="D102"/>
  <c r="D161"/>
  <c r="D157"/>
  <c r="D93"/>
  <c r="D129"/>
  <c r="D148"/>
  <c r="D84"/>
  <c r="D65"/>
  <c r="D139"/>
  <c r="D75"/>
  <c r="D194"/>
  <c r="D130"/>
  <c r="D66"/>
  <c r="D192" i="33"/>
  <c r="D128"/>
  <c r="D64"/>
  <c r="D191"/>
  <c r="D127"/>
  <c r="D63"/>
  <c r="D198"/>
  <c r="D134"/>
  <c r="D70"/>
  <c r="D41"/>
  <c r="D141"/>
  <c r="D77"/>
  <c r="D13"/>
  <c r="D140"/>
  <c r="D76"/>
  <c r="D57"/>
  <c r="D139"/>
  <c r="D75"/>
  <c r="D65"/>
  <c r="D146"/>
  <c r="D82"/>
  <c r="D18"/>
  <c r="D145"/>
  <c r="D81"/>
  <c r="D169" i="12"/>
  <c r="D105"/>
  <c r="D82"/>
  <c r="D144"/>
  <c r="D80"/>
  <c r="D183"/>
  <c r="D119"/>
  <c r="D55"/>
  <c r="D158"/>
  <c r="D94"/>
  <c r="D197"/>
  <c r="D133"/>
  <c r="D69"/>
  <c r="D172"/>
  <c r="D108"/>
  <c r="D138"/>
  <c r="D147"/>
  <c r="D83"/>
  <c r="D200" i="11"/>
  <c r="D136"/>
  <c r="D72"/>
  <c r="D199"/>
  <c r="D135"/>
  <c r="D71"/>
  <c r="D169"/>
  <c r="D158"/>
  <c r="D94"/>
  <c r="D147"/>
  <c r="D181"/>
  <c r="D117"/>
  <c r="D53"/>
  <c r="D81"/>
  <c r="D140"/>
  <c r="D76"/>
  <c r="D97"/>
  <c r="D146"/>
  <c r="D82"/>
  <c r="D153"/>
  <c r="D168" i="10"/>
  <c r="D104"/>
  <c r="D32"/>
  <c r="D175"/>
  <c r="D111"/>
  <c r="D47"/>
  <c r="D174"/>
  <c r="D110"/>
  <c r="D46"/>
  <c r="D35"/>
  <c r="D141"/>
  <c r="D77"/>
  <c r="D139"/>
  <c r="D156"/>
  <c r="D92"/>
  <c r="D131"/>
  <c r="D146"/>
  <c r="D82"/>
  <c r="D40"/>
  <c r="D169"/>
  <c r="D105"/>
  <c r="D41"/>
  <c r="D20"/>
  <c r="D144" i="9"/>
  <c r="D80"/>
  <c r="D175"/>
  <c r="D111"/>
  <c r="D47"/>
  <c r="D166"/>
  <c r="D102"/>
  <c r="D38"/>
  <c r="D157"/>
  <c r="D93"/>
  <c r="D29"/>
  <c r="D140"/>
  <c r="D76"/>
  <c r="D171"/>
  <c r="D107"/>
  <c r="D43"/>
  <c r="D162"/>
  <c r="D98"/>
  <c r="D34"/>
  <c r="D145"/>
  <c r="D81"/>
  <c r="D32"/>
  <c r="D152" i="8"/>
  <c r="D88"/>
  <c r="D159"/>
  <c r="D95"/>
  <c r="D182"/>
  <c r="D118"/>
  <c r="D54"/>
  <c r="D141"/>
  <c r="D77"/>
  <c r="D164"/>
  <c r="D100"/>
  <c r="D171"/>
  <c r="D107"/>
  <c r="D194"/>
  <c r="D130"/>
  <c r="D66"/>
  <c r="D153"/>
  <c r="D89"/>
  <c r="D192" i="32"/>
  <c r="D128"/>
  <c r="D56"/>
  <c r="D27"/>
  <c r="D143"/>
  <c r="D79"/>
  <c r="D155"/>
  <c r="D158"/>
  <c r="D94"/>
  <c r="D30"/>
  <c r="D131"/>
  <c r="D157"/>
  <c r="D93"/>
  <c r="D196"/>
  <c r="D35"/>
  <c r="D138"/>
  <c r="D74"/>
  <c r="D47"/>
  <c r="D193"/>
  <c r="D129"/>
  <c r="D65"/>
  <c r="D84"/>
  <c r="D184" i="30"/>
  <c r="D120"/>
  <c r="D56"/>
  <c r="D33"/>
  <c r="D143"/>
  <c r="D79"/>
  <c r="D15"/>
  <c r="D150"/>
  <c r="D86"/>
  <c r="D22"/>
  <c r="D197"/>
  <c r="D133"/>
  <c r="D69"/>
  <c r="D25"/>
  <c r="D140"/>
  <c r="D76"/>
  <c r="D12"/>
  <c r="D163"/>
  <c r="D99"/>
  <c r="D35"/>
  <c r="D105"/>
  <c r="D154"/>
  <c r="D90"/>
  <c r="D26"/>
  <c r="D17"/>
  <c r="D152" i="31"/>
  <c r="D88"/>
  <c r="D24"/>
  <c r="D175"/>
  <c r="D111"/>
  <c r="D47"/>
  <c r="D192" i="16"/>
  <c r="D158"/>
  <c r="D60"/>
  <c r="D99"/>
  <c r="D35"/>
  <c r="D33"/>
  <c r="D144" i="15"/>
  <c r="D80"/>
  <c r="D175"/>
  <c r="D111"/>
  <c r="D65"/>
  <c r="D142"/>
  <c r="D78"/>
  <c r="D189"/>
  <c r="D125"/>
  <c r="D61"/>
  <c r="D164"/>
  <c r="D100"/>
  <c r="D89"/>
  <c r="D139"/>
  <c r="D75"/>
  <c r="D178"/>
  <c r="D114"/>
  <c r="D161"/>
  <c r="D168" i="23"/>
  <c r="D104"/>
  <c r="D89"/>
  <c r="D143"/>
  <c r="D79"/>
  <c r="D198"/>
  <c r="D134"/>
  <c r="D70"/>
  <c r="D189"/>
  <c r="D125"/>
  <c r="D61"/>
  <c r="D164"/>
  <c r="D100"/>
  <c r="D177"/>
  <c r="D155"/>
  <c r="D91"/>
  <c r="D113"/>
  <c r="D146"/>
  <c r="D82"/>
  <c r="D105"/>
  <c r="D160" i="35"/>
  <c r="D96"/>
  <c r="D32"/>
  <c r="D183"/>
  <c r="D119"/>
  <c r="D55"/>
  <c r="D91"/>
  <c r="D150"/>
  <c r="D86"/>
  <c r="D22"/>
  <c r="D181"/>
  <c r="D117"/>
  <c r="D53"/>
  <c r="D51"/>
  <c r="D140"/>
  <c r="D76"/>
  <c r="D187"/>
  <c r="D162"/>
  <c r="D98"/>
  <c r="D34"/>
  <c r="D83"/>
  <c r="D145"/>
  <c r="D81"/>
  <c r="D17"/>
  <c r="D192" i="13"/>
  <c r="D128"/>
  <c r="D64"/>
  <c r="D83"/>
  <c r="D151"/>
  <c r="D87"/>
  <c r="D23"/>
  <c r="D166"/>
  <c r="D102"/>
  <c r="D38"/>
  <c r="D181"/>
  <c r="D117"/>
  <c r="D53"/>
  <c r="D196"/>
  <c r="D132"/>
  <c r="D68"/>
  <c r="D91"/>
  <c r="D146"/>
  <c r="D82"/>
  <c r="D187"/>
  <c r="D153"/>
  <c r="D89"/>
  <c r="D25"/>
  <c r="D176" i="34"/>
  <c r="D112"/>
  <c r="D48"/>
  <c r="D183"/>
  <c r="D119"/>
  <c r="D55"/>
  <c r="D174"/>
  <c r="D110"/>
  <c r="D46"/>
  <c r="D165"/>
  <c r="D101"/>
  <c r="D185"/>
  <c r="D156"/>
  <c r="D92"/>
  <c r="D121"/>
  <c r="D147"/>
  <c r="D83"/>
  <c r="D81"/>
  <c r="D138"/>
  <c r="D74"/>
  <c r="D200" i="33"/>
  <c r="D136"/>
  <c r="D72"/>
  <c r="D199"/>
  <c r="D135"/>
  <c r="D71"/>
  <c r="D33"/>
  <c r="D142"/>
  <c r="D78"/>
  <c r="D14"/>
  <c r="D149"/>
  <c r="D85"/>
  <c r="D21"/>
  <c r="D148"/>
  <c r="D84"/>
  <c r="D20"/>
  <c r="D147"/>
  <c r="D83"/>
  <c r="D19"/>
  <c r="D154"/>
  <c r="D90"/>
  <c r="D26"/>
  <c r="D153"/>
  <c r="D89"/>
  <c r="D177" i="12"/>
  <c r="D113"/>
  <c r="D146"/>
  <c r="D152"/>
  <c r="D88"/>
  <c r="D191"/>
  <c r="D127"/>
  <c r="D63"/>
  <c r="D166"/>
  <c r="D102"/>
  <c r="D74"/>
  <c r="D141"/>
  <c r="D77"/>
  <c r="D180"/>
  <c r="D116"/>
  <c r="D194"/>
  <c r="D155"/>
  <c r="D91"/>
  <c r="D54"/>
  <c r="D144" i="11"/>
  <c r="D80"/>
  <c r="D89"/>
  <c r="D143"/>
  <c r="D79"/>
  <c r="D83"/>
  <c r="D166"/>
  <c r="D102"/>
  <c r="D187"/>
  <c r="D189"/>
  <c r="D125"/>
  <c r="D61"/>
  <c r="D129"/>
  <c r="D148"/>
  <c r="D84"/>
  <c r="D145"/>
  <c r="D154"/>
  <c r="D90"/>
  <c r="D177"/>
  <c r="D176" i="10"/>
  <c r="D112"/>
  <c r="D48"/>
  <c r="D183"/>
  <c r="D119"/>
  <c r="D55"/>
  <c r="D182"/>
  <c r="D118"/>
  <c r="D54"/>
  <c r="D91"/>
  <c r="D149"/>
  <c r="D85"/>
  <c r="D187"/>
  <c r="D164"/>
  <c r="D100"/>
  <c r="D195"/>
  <c r="D154"/>
  <c r="D90"/>
  <c r="D26"/>
  <c r="D177"/>
  <c r="D113"/>
  <c r="D49"/>
  <c r="D59"/>
  <c r="D152" i="9"/>
  <c r="D88"/>
  <c r="D183"/>
  <c r="D119"/>
  <c r="D55"/>
  <c r="D174"/>
  <c r="D110"/>
  <c r="D46"/>
  <c r="D165"/>
  <c r="D101"/>
  <c r="D37"/>
  <c r="D148"/>
  <c r="D84"/>
  <c r="D179"/>
  <c r="D115"/>
  <c r="D51"/>
  <c r="D170"/>
  <c r="D106"/>
  <c r="D42"/>
  <c r="D153"/>
  <c r="D89"/>
  <c r="D25"/>
  <c r="D160" i="8"/>
  <c r="D96"/>
  <c r="D167"/>
  <c r="D103"/>
  <c r="D190"/>
  <c r="D126"/>
  <c r="D62"/>
  <c r="D149"/>
  <c r="D85"/>
  <c r="D172"/>
  <c r="D108"/>
  <c r="D179"/>
  <c r="D115"/>
  <c r="D72"/>
  <c r="D138"/>
  <c r="D74"/>
  <c r="D161"/>
  <c r="D97"/>
  <c r="D200" i="32"/>
  <c r="D136"/>
  <c r="D72"/>
  <c r="D75"/>
  <c r="D151"/>
  <c r="D87"/>
  <c r="D28"/>
  <c r="D166"/>
  <c r="D102"/>
  <c r="D38"/>
  <c r="D179"/>
  <c r="D165"/>
  <c r="D101"/>
  <c r="D37"/>
  <c r="D91"/>
  <c r="D146"/>
  <c r="D82"/>
  <c r="D40"/>
  <c r="D43"/>
  <c r="D137"/>
  <c r="D138" i="17"/>
  <c r="D169" i="16"/>
  <c r="D124"/>
  <c r="D107"/>
  <c r="D43"/>
  <c r="D41"/>
  <c r="D152" i="15"/>
  <c r="D88"/>
  <c r="D183"/>
  <c r="D119"/>
  <c r="D55"/>
  <c r="D150"/>
  <c r="D86"/>
  <c r="D197"/>
  <c r="D133"/>
  <c r="D69"/>
  <c r="D172"/>
  <c r="D108"/>
  <c r="D129"/>
  <c r="D147"/>
  <c r="D83"/>
  <c r="D186"/>
  <c r="D122"/>
  <c r="D58"/>
  <c r="D176" i="23"/>
  <c r="D112"/>
  <c r="D48"/>
  <c r="D151"/>
  <c r="D87"/>
  <c r="D73"/>
  <c r="D142"/>
  <c r="D78"/>
  <c r="D197"/>
  <c r="D133"/>
  <c r="D69"/>
  <c r="D172"/>
  <c r="D108"/>
  <c r="D44"/>
  <c r="D163"/>
  <c r="D99"/>
  <c r="D169"/>
  <c r="D154"/>
  <c r="D90"/>
  <c r="D153"/>
  <c r="D168" i="35"/>
  <c r="D104"/>
  <c r="D40"/>
  <c r="D191"/>
  <c r="D127"/>
  <c r="D63"/>
  <c r="D147"/>
  <c r="D158"/>
  <c r="D94"/>
  <c r="D30"/>
  <c r="D189"/>
  <c r="D125"/>
  <c r="D61"/>
  <c r="D107"/>
  <c r="D148"/>
  <c r="D84"/>
  <c r="D20"/>
  <c r="D170"/>
  <c r="D106"/>
  <c r="D42"/>
  <c r="D131"/>
  <c r="D153"/>
  <c r="D89"/>
  <c r="D25"/>
  <c r="D200" i="13"/>
  <c r="D136"/>
  <c r="D72"/>
  <c r="D139"/>
  <c r="D159"/>
  <c r="D95"/>
  <c r="D31"/>
  <c r="D174"/>
  <c r="D110"/>
  <c r="D46"/>
  <c r="D189"/>
  <c r="D125"/>
  <c r="D61"/>
  <c r="D43"/>
  <c r="D140"/>
  <c r="D76"/>
  <c r="D147"/>
  <c r="D154"/>
  <c r="D90"/>
  <c r="D26"/>
  <c r="D161"/>
  <c r="D97"/>
  <c r="D33"/>
  <c r="D184" i="34"/>
  <c r="D120"/>
  <c r="D56"/>
  <c r="D191"/>
  <c r="D127"/>
  <c r="D63"/>
  <c r="D182"/>
  <c r="D118"/>
  <c r="D54"/>
  <c r="D173"/>
  <c r="D109"/>
  <c r="D45"/>
  <c r="D164"/>
  <c r="D100"/>
  <c r="D177"/>
  <c r="D155"/>
  <c r="D91"/>
  <c r="D137"/>
  <c r="D146"/>
  <c r="D82"/>
  <c r="D38"/>
  <c r="D144" i="33"/>
  <c r="D80"/>
  <c r="D16"/>
  <c r="D143"/>
  <c r="D79"/>
  <c r="D15"/>
  <c r="D150"/>
  <c r="D86"/>
  <c r="D22"/>
  <c r="D157"/>
  <c r="D93"/>
  <c r="D29"/>
  <c r="D156"/>
  <c r="D92"/>
  <c r="D28"/>
  <c r="D155"/>
  <c r="D91"/>
  <c r="D27"/>
  <c r="D162"/>
  <c r="D98"/>
  <c r="D34"/>
  <c r="D161"/>
  <c r="D97"/>
  <c r="D185" i="12"/>
  <c r="D121"/>
  <c r="D57"/>
  <c r="D160"/>
  <c r="D96"/>
  <c r="D199"/>
  <c r="D135"/>
  <c r="D71"/>
  <c r="D174"/>
  <c r="D110"/>
  <c r="D130"/>
  <c r="D149"/>
  <c r="D85"/>
  <c r="D188"/>
  <c r="D124"/>
  <c r="D60"/>
  <c r="D163"/>
  <c r="D99"/>
  <c r="D66"/>
  <c r="D152" i="11"/>
  <c r="D88"/>
  <c r="D137"/>
  <c r="D151"/>
  <c r="D87"/>
  <c r="D123"/>
  <c r="D174"/>
  <c r="D110"/>
  <c r="D46"/>
  <c r="D197"/>
  <c r="D133"/>
  <c r="D69"/>
  <c r="D51"/>
  <c r="D156"/>
  <c r="D92"/>
  <c r="D67"/>
  <c r="D162"/>
  <c r="D98"/>
  <c r="D185"/>
  <c r="D184" i="10"/>
  <c r="D120"/>
  <c r="D56"/>
  <c r="D191"/>
  <c r="D127"/>
  <c r="D63"/>
  <c r="D190"/>
  <c r="D126"/>
  <c r="D62"/>
  <c r="D147"/>
  <c r="D157"/>
  <c r="D93"/>
  <c r="D21"/>
  <c r="D172"/>
  <c r="D108"/>
  <c r="D44"/>
  <c r="D162"/>
  <c r="D98"/>
  <c r="D34"/>
  <c r="D185"/>
  <c r="D121"/>
  <c r="D57"/>
  <c r="D115"/>
  <c r="D160" i="9"/>
  <c r="D96"/>
  <c r="D191"/>
  <c r="D127"/>
  <c r="D63"/>
  <c r="D182"/>
  <c r="D118"/>
  <c r="D54"/>
  <c r="D173"/>
  <c r="D109"/>
  <c r="D45"/>
  <c r="D156"/>
  <c r="D92"/>
  <c r="D187"/>
  <c r="D123"/>
  <c r="D59"/>
  <c r="D178"/>
  <c r="D114"/>
  <c r="D50"/>
  <c r="D161"/>
  <c r="D97"/>
  <c r="D33"/>
  <c r="D168" i="8"/>
  <c r="D104"/>
  <c r="D175"/>
  <c r="D111"/>
  <c r="D198"/>
  <c r="D134"/>
  <c r="D70"/>
  <c r="D157"/>
  <c r="D93"/>
  <c r="D180"/>
  <c r="D116"/>
  <c r="D187"/>
  <c r="D123"/>
  <c r="D59"/>
  <c r="D146"/>
  <c r="D82"/>
  <c r="D169"/>
  <c r="D105"/>
  <c r="D52"/>
  <c r="D144" i="32"/>
  <c r="D80"/>
  <c r="D123"/>
  <c r="D159"/>
  <c r="D95"/>
  <c r="D68"/>
  <c r="D174"/>
  <c r="D110"/>
  <c r="D46"/>
  <c r="D52"/>
  <c r="D173"/>
  <c r="D109"/>
  <c r="D45"/>
  <c r="D147"/>
  <c r="D154"/>
  <c r="D90"/>
  <c r="D64"/>
  <c r="D83"/>
  <c r="D145"/>
  <c r="D81"/>
  <c r="D39"/>
  <c r="D200" i="30"/>
  <c r="D136"/>
  <c r="D72"/>
  <c r="D8"/>
  <c r="D159"/>
  <c r="D95"/>
  <c r="D31"/>
  <c r="D166"/>
  <c r="D102"/>
  <c r="D38"/>
  <c r="D97"/>
  <c r="D149"/>
  <c r="D85"/>
  <c r="D121"/>
  <c r="D156"/>
  <c r="D92"/>
  <c r="D28"/>
  <c r="D179"/>
  <c r="D115"/>
  <c r="D51"/>
  <c r="D161"/>
  <c r="D170"/>
  <c r="D106"/>
  <c r="D42"/>
  <c r="D113"/>
  <c r="D168" i="31"/>
  <c r="D104"/>
  <c r="D40"/>
  <c r="D191"/>
  <c r="D127"/>
  <c r="D63"/>
  <c r="D121" i="17"/>
  <c r="D63" i="16"/>
  <c r="D188"/>
  <c r="D115"/>
  <c r="D51"/>
  <c r="D97"/>
  <c r="D160" i="15"/>
  <c r="D96"/>
  <c r="D191"/>
  <c r="D127"/>
  <c r="D63"/>
  <c r="D158"/>
  <c r="D94"/>
  <c r="D73"/>
  <c r="D141"/>
  <c r="D77"/>
  <c r="D180"/>
  <c r="D116"/>
  <c r="D169"/>
  <c r="D155"/>
  <c r="D91"/>
  <c r="D194"/>
  <c r="D130"/>
  <c r="D66"/>
  <c r="D184" i="23"/>
  <c r="D120"/>
  <c r="D56"/>
  <c r="D159"/>
  <c r="D95"/>
  <c r="D121"/>
  <c r="D150"/>
  <c r="D86"/>
  <c r="D81"/>
  <c r="D141"/>
  <c r="D77"/>
  <c r="D180"/>
  <c r="D116"/>
  <c r="D52"/>
  <c r="D171"/>
  <c r="D107"/>
  <c r="D43"/>
  <c r="D162"/>
  <c r="D98"/>
  <c r="D185"/>
  <c r="D176" i="35"/>
  <c r="D112"/>
  <c r="D48"/>
  <c r="D199"/>
  <c r="D135"/>
  <c r="D71"/>
  <c r="D12"/>
  <c r="D166"/>
  <c r="D102"/>
  <c r="D38"/>
  <c r="D197"/>
  <c r="D133"/>
  <c r="D69"/>
  <c r="D163"/>
  <c r="D156"/>
  <c r="D92"/>
  <c r="D28"/>
  <c r="D178"/>
  <c r="D114"/>
  <c r="D50"/>
  <c r="D179"/>
  <c r="D161"/>
  <c r="D97"/>
  <c r="D33"/>
  <c r="D5"/>
  <c r="D144" i="13"/>
  <c r="D80"/>
  <c r="D179"/>
  <c r="D167"/>
  <c r="D103"/>
  <c r="D39"/>
  <c r="D182"/>
  <c r="D118"/>
  <c r="D54"/>
  <c r="D197"/>
  <c r="D133"/>
  <c r="D69"/>
  <c r="D99"/>
  <c r="D148"/>
  <c r="D84"/>
  <c r="D20"/>
  <c r="D162"/>
  <c r="D98"/>
  <c r="D34"/>
  <c r="D169"/>
  <c r="D105"/>
  <c r="D41"/>
  <c r="D192" i="34"/>
  <c r="D128"/>
  <c r="D64"/>
  <c r="D199"/>
  <c r="D135"/>
  <c r="D71"/>
  <c r="D190"/>
  <c r="D126"/>
  <c r="D62"/>
  <c r="D181"/>
  <c r="D117"/>
  <c r="D53"/>
  <c r="D172"/>
  <c r="D108"/>
  <c r="D44"/>
  <c r="D163"/>
  <c r="D99"/>
  <c r="D193"/>
  <c r="D154"/>
  <c r="D90"/>
  <c r="D57"/>
  <c r="D152" i="33"/>
  <c r="D88"/>
  <c r="D24"/>
  <c r="D151"/>
  <c r="D87"/>
  <c r="D23"/>
  <c r="D158"/>
  <c r="D94"/>
  <c r="D30"/>
  <c r="D165"/>
  <c r="D101"/>
  <c r="D37"/>
  <c r="D164"/>
  <c r="D100"/>
  <c r="D36"/>
  <c r="D163"/>
  <c r="D99"/>
  <c r="D35"/>
  <c r="D170"/>
  <c r="D106"/>
  <c r="D42"/>
  <c r="D169"/>
  <c r="D105"/>
  <c r="D193" i="12"/>
  <c r="D129"/>
  <c r="D65"/>
  <c r="D168"/>
  <c r="D104"/>
  <c r="D98"/>
  <c r="D143"/>
  <c r="D79"/>
  <c r="D182"/>
  <c r="D118"/>
  <c r="D186"/>
  <c r="D157"/>
  <c r="D93"/>
  <c r="D196"/>
  <c r="D132"/>
  <c r="D68"/>
  <c r="D171"/>
  <c r="D107"/>
  <c r="D122"/>
  <c r="D160" i="11"/>
  <c r="D96"/>
  <c r="D59"/>
  <c r="D159"/>
  <c r="D95"/>
  <c r="D155"/>
  <c r="D182"/>
  <c r="D118"/>
  <c r="D54"/>
  <c r="D73"/>
  <c r="D141"/>
  <c r="D77"/>
  <c r="D91"/>
  <c r="D164"/>
  <c r="D100"/>
  <c r="D107"/>
  <c r="D170"/>
  <c r="D106"/>
  <c r="D193"/>
  <c r="D192" i="10"/>
  <c r="D128"/>
  <c r="D64"/>
  <c r="D199"/>
  <c r="D135"/>
  <c r="D71"/>
  <c r="D198"/>
  <c r="D134"/>
  <c r="D70"/>
  <c r="D28"/>
  <c r="D165"/>
  <c r="D101"/>
  <c r="D37"/>
  <c r="D180"/>
  <c r="D116"/>
  <c r="D52"/>
  <c r="D170"/>
  <c r="D106"/>
  <c r="D42"/>
  <c r="D193"/>
  <c r="D129"/>
  <c r="D65"/>
  <c r="D163"/>
  <c r="D168" i="9"/>
  <c r="D104"/>
  <c r="D199"/>
  <c r="D135"/>
  <c r="D71"/>
  <c r="D190"/>
  <c r="D126"/>
  <c r="D62"/>
  <c r="D181"/>
  <c r="D117"/>
  <c r="D53"/>
  <c r="D164"/>
  <c r="D100"/>
  <c r="D195"/>
  <c r="D131"/>
  <c r="D67"/>
  <c r="D186"/>
  <c r="D122"/>
  <c r="D58"/>
  <c r="D169"/>
  <c r="D105"/>
  <c r="D41"/>
  <c r="D176" i="8"/>
  <c r="D112"/>
  <c r="D183"/>
  <c r="D119"/>
  <c r="D55"/>
  <c r="D142"/>
  <c r="D78"/>
  <c r="D165"/>
  <c r="D101"/>
  <c r="D188"/>
  <c r="D124"/>
  <c r="D195"/>
  <c r="D131"/>
  <c r="D67"/>
  <c r="D154"/>
  <c r="D90"/>
  <c r="D177"/>
  <c r="D113"/>
  <c r="D56"/>
  <c r="D152" i="32"/>
  <c r="D88"/>
  <c r="D171"/>
  <c r="D167"/>
  <c r="D103"/>
  <c r="D124"/>
  <c r="D182"/>
  <c r="D118"/>
  <c r="D54"/>
  <c r="D100"/>
  <c r="D181"/>
  <c r="D117"/>
  <c r="D53"/>
  <c r="D195"/>
  <c r="D162"/>
  <c r="D98"/>
  <c r="D34"/>
  <c r="D139"/>
  <c r="D153"/>
  <c r="D89"/>
  <c r="D48"/>
  <c r="D26"/>
  <c r="D144" i="30"/>
  <c r="D80"/>
  <c r="D16"/>
  <c r="D167"/>
  <c r="D103"/>
  <c r="D39"/>
  <c r="D174"/>
  <c r="D110"/>
  <c r="D46"/>
  <c r="D129"/>
  <c r="D157"/>
  <c r="D93"/>
  <c r="D13"/>
  <c r="D164"/>
  <c r="D100"/>
  <c r="D36"/>
  <c r="D187"/>
  <c r="D123"/>
  <c r="D59"/>
  <c r="D177"/>
  <c r="D178"/>
  <c r="D114"/>
  <c r="D50"/>
  <c r="D153"/>
  <c r="D176" i="31"/>
  <c r="D112"/>
  <c r="D48"/>
  <c r="D199"/>
  <c r="D135"/>
  <c r="D71"/>
  <c r="D155" i="17"/>
  <c r="D127" i="16"/>
  <c r="D37"/>
  <c r="D123"/>
  <c r="D59"/>
  <c r="D145"/>
  <c r="D168" i="15"/>
  <c r="D104"/>
  <c r="D199"/>
  <c r="D135"/>
  <c r="D71"/>
  <c r="D166"/>
  <c r="D102"/>
  <c r="D113"/>
  <c r="D149"/>
  <c r="D85"/>
  <c r="D188"/>
  <c r="D124"/>
  <c r="D60"/>
  <c r="D163"/>
  <c r="D99"/>
  <c r="D105"/>
  <c r="D138"/>
  <c r="D74"/>
  <c r="D192" i="23"/>
  <c r="D128"/>
  <c r="D64"/>
  <c r="D167"/>
  <c r="D103"/>
  <c r="D161"/>
  <c r="D158"/>
  <c r="D94"/>
  <c r="D137"/>
  <c r="D149"/>
  <c r="D85"/>
  <c r="D188"/>
  <c r="D124"/>
  <c r="D60"/>
  <c r="D179"/>
  <c r="D115"/>
  <c r="D51"/>
  <c r="D170"/>
  <c r="D106"/>
  <c r="D193"/>
  <c r="D184" i="35"/>
  <c r="D120"/>
  <c r="D56"/>
  <c r="D59"/>
  <c r="D143"/>
  <c r="D79"/>
  <c r="D15"/>
  <c r="D174"/>
  <c r="D110"/>
  <c r="D46"/>
  <c r="D43"/>
  <c r="D141"/>
  <c r="D77"/>
  <c r="D13"/>
  <c r="D164"/>
  <c r="D100"/>
  <c r="D36"/>
  <c r="D186"/>
  <c r="D122"/>
  <c r="D58"/>
  <c r="D8"/>
  <c r="D169"/>
  <c r="D105"/>
  <c r="D41"/>
  <c r="D19"/>
  <c r="D152" i="13"/>
  <c r="D88"/>
  <c r="D24"/>
  <c r="D175"/>
  <c r="D111"/>
  <c r="D47"/>
  <c r="D190"/>
  <c r="D126"/>
  <c r="D62"/>
  <c r="D59"/>
  <c r="D141"/>
  <c r="D77"/>
  <c r="D155"/>
  <c r="D156"/>
  <c r="D92"/>
  <c r="D28"/>
  <c r="D170"/>
  <c r="D106"/>
  <c r="D42"/>
  <c r="D177"/>
  <c r="D113"/>
  <c r="D49"/>
  <c r="D200" i="34"/>
  <c r="D136"/>
  <c r="D72"/>
  <c r="D41"/>
  <c r="D143"/>
  <c r="D79"/>
  <c r="D198"/>
  <c r="D134"/>
  <c r="D70"/>
  <c r="D189"/>
  <c r="D125"/>
  <c r="D61"/>
  <c r="D180"/>
  <c r="D116"/>
  <c r="D52"/>
  <c r="D171"/>
  <c r="D107"/>
  <c r="D43"/>
  <c r="D162"/>
  <c r="D98"/>
  <c r="D113"/>
  <c r="D160" i="33"/>
  <c r="D96"/>
  <c r="D32"/>
  <c r="D159"/>
  <c r="D95"/>
  <c r="D31"/>
  <c r="D166"/>
  <c r="D102"/>
  <c r="D38"/>
  <c r="D173"/>
  <c r="D109"/>
  <c r="D45"/>
  <c r="D172"/>
  <c r="D108"/>
  <c r="D44"/>
  <c r="D171"/>
  <c r="D107"/>
  <c r="D43"/>
  <c r="D178"/>
  <c r="D114"/>
  <c r="D50"/>
  <c r="D177"/>
  <c r="D113"/>
  <c r="D201" i="12"/>
  <c r="D137"/>
  <c r="D73"/>
  <c r="D176"/>
  <c r="D112"/>
  <c r="D154"/>
  <c r="D151"/>
  <c r="D87"/>
  <c r="D190"/>
  <c r="D126"/>
  <c r="D62"/>
  <c r="D165"/>
  <c r="D101"/>
  <c r="D58"/>
  <c r="D140"/>
  <c r="D76"/>
  <c r="D179"/>
  <c r="D115"/>
  <c r="D178"/>
  <c r="D168" i="11"/>
  <c r="D104"/>
  <c r="D99"/>
  <c r="D167"/>
  <c r="D103"/>
  <c r="D195"/>
  <c r="D190"/>
  <c r="D126"/>
  <c r="D62"/>
  <c r="D113"/>
  <c r="D149"/>
  <c r="D85"/>
  <c r="D131"/>
  <c r="D172"/>
  <c r="D108"/>
  <c r="D139"/>
  <c r="D178"/>
  <c r="D114"/>
  <c r="D50"/>
  <c r="D200" i="10"/>
  <c r="D136"/>
  <c r="D72"/>
  <c r="D51"/>
  <c r="D143"/>
  <c r="D79"/>
  <c r="D43"/>
  <c r="D142"/>
  <c r="D78"/>
  <c r="D29"/>
  <c r="D173"/>
  <c r="D109"/>
  <c r="D45"/>
  <c r="D188"/>
  <c r="D124"/>
  <c r="D60"/>
  <c r="D178"/>
  <c r="D114"/>
  <c r="D50"/>
  <c r="D67"/>
  <c r="D137"/>
  <c r="D73"/>
  <c r="D23"/>
  <c r="D176" i="9"/>
  <c r="D112"/>
  <c r="D48"/>
  <c r="D143"/>
  <c r="D79"/>
  <c r="D198"/>
  <c r="D134"/>
  <c r="D70"/>
  <c r="D189"/>
  <c r="D125"/>
  <c r="D61"/>
  <c r="D172"/>
  <c r="D108"/>
  <c r="D44"/>
  <c r="D139"/>
  <c r="D75"/>
  <c r="D194"/>
  <c r="D130"/>
  <c r="D66"/>
  <c r="D177"/>
  <c r="D113"/>
  <c r="D49"/>
  <c r="D184" i="8"/>
  <c r="D120"/>
  <c r="D191"/>
  <c r="D127"/>
  <c r="D63"/>
  <c r="D150"/>
  <c r="D86"/>
  <c r="D173"/>
  <c r="D109"/>
  <c r="D196"/>
  <c r="D132"/>
  <c r="D60"/>
  <c r="D139"/>
  <c r="D75"/>
  <c r="D162"/>
  <c r="D98"/>
  <c r="D185"/>
  <c r="D121"/>
  <c r="D57"/>
  <c r="D160" i="32"/>
  <c r="D96"/>
  <c r="D44"/>
  <c r="D175"/>
  <c r="D111"/>
  <c r="D31"/>
  <c r="D190"/>
  <c r="D126"/>
  <c r="D62"/>
  <c r="D148"/>
  <c r="D189"/>
  <c r="D125"/>
  <c r="D61"/>
  <c r="D76"/>
  <c r="D170"/>
  <c r="D106"/>
  <c r="D42"/>
  <c r="D187"/>
  <c r="D161"/>
  <c r="D97"/>
  <c r="D33"/>
  <c r="D51"/>
  <c r="D152" i="30"/>
  <c r="D88"/>
  <c r="D24"/>
  <c r="D175"/>
  <c r="D111"/>
  <c r="D47"/>
  <c r="D182"/>
  <c r="D118"/>
  <c r="D54"/>
  <c r="D21"/>
  <c r="D165"/>
  <c r="D101"/>
  <c r="D29"/>
  <c r="D172"/>
  <c r="D108"/>
  <c r="D44"/>
  <c r="D195"/>
  <c r="D131"/>
  <c r="D67"/>
  <c r="D193"/>
  <c r="D186"/>
  <c r="D122"/>
  <c r="D58"/>
  <c r="D169"/>
  <c r="D184" i="31"/>
  <c r="D120"/>
  <c r="D56"/>
  <c r="D57"/>
  <c r="D143"/>
  <c r="D79"/>
  <c r="D116" i="17"/>
  <c r="D191" i="16"/>
  <c r="D109"/>
  <c r="D131"/>
  <c r="D67"/>
  <c r="D185"/>
  <c r="D176" i="15"/>
  <c r="D112"/>
  <c r="D57"/>
  <c r="D143"/>
  <c r="D79"/>
  <c r="D174"/>
  <c r="D110"/>
  <c r="D153"/>
  <c r="D157"/>
  <c r="D93"/>
  <c r="D196"/>
  <c r="D132"/>
  <c r="D68"/>
  <c r="D171"/>
  <c r="D107"/>
  <c r="D145"/>
  <c r="D146"/>
  <c r="D82"/>
  <c r="D200" i="23"/>
  <c r="D136"/>
  <c r="D72"/>
  <c r="D175"/>
  <c r="D111"/>
  <c r="D47"/>
  <c r="D166"/>
  <c r="D102"/>
  <c r="D45"/>
  <c r="D157"/>
  <c r="D93"/>
  <c r="D196"/>
  <c r="D132"/>
  <c r="D68"/>
  <c r="D187"/>
  <c r="D123"/>
  <c r="D59"/>
  <c r="D178"/>
  <c r="D114"/>
  <c r="D50"/>
  <c r="D192" i="35"/>
  <c r="D128"/>
  <c r="D64"/>
  <c r="D115"/>
  <c r="D151"/>
  <c r="D87"/>
  <c r="D23"/>
  <c r="D182"/>
  <c r="D118"/>
  <c r="D54"/>
  <c r="D99"/>
  <c r="D149"/>
  <c r="D85"/>
  <c r="D21"/>
  <c r="D172"/>
  <c r="D108"/>
  <c r="D44"/>
  <c r="D194"/>
  <c r="D130"/>
  <c r="D66"/>
  <c r="D9"/>
  <c r="D177"/>
  <c r="D113"/>
  <c r="D49"/>
  <c r="D75"/>
  <c r="D160" i="13"/>
  <c r="D96"/>
  <c r="D32"/>
  <c r="D183"/>
  <c r="D119"/>
  <c r="D55"/>
  <c r="D198"/>
  <c r="D134"/>
  <c r="D70"/>
  <c r="D115"/>
  <c r="D149"/>
  <c r="D85"/>
  <c r="D21"/>
  <c r="D164"/>
  <c r="D100"/>
  <c r="D36"/>
  <c r="D178"/>
  <c r="D114"/>
  <c r="D50"/>
  <c r="D185"/>
  <c r="D121"/>
  <c r="D57"/>
  <c r="D19"/>
  <c r="D144" i="34"/>
  <c r="D80"/>
  <c r="D97"/>
  <c r="D151"/>
  <c r="D87"/>
  <c r="D89"/>
  <c r="D142"/>
  <c r="D78"/>
  <c r="D197"/>
  <c r="D133"/>
  <c r="D69"/>
  <c r="D188"/>
  <c r="D124"/>
  <c r="D60"/>
  <c r="D179"/>
  <c r="D115"/>
  <c r="D51"/>
  <c r="D170"/>
  <c r="D106"/>
  <c r="D169"/>
  <c r="D168" i="33"/>
  <c r="D104"/>
  <c r="D40"/>
  <c r="D167"/>
  <c r="D103"/>
  <c r="D39"/>
  <c r="D174"/>
  <c r="D110"/>
  <c r="D46"/>
  <c r="D181"/>
  <c r="D117"/>
  <c r="D53"/>
  <c r="D180"/>
  <c r="D116"/>
  <c r="D52"/>
  <c r="D179"/>
  <c r="D115"/>
  <c r="D51"/>
  <c r="D186"/>
  <c r="D122"/>
  <c r="D58"/>
  <c r="D185"/>
  <c r="D121"/>
  <c r="D12"/>
  <c r="D145" i="12"/>
  <c r="D81"/>
  <c r="D184"/>
  <c r="D120"/>
  <c r="D56"/>
  <c r="D159"/>
  <c r="D95"/>
  <c r="D198"/>
  <c r="D134"/>
  <c r="D70"/>
  <c r="D173"/>
  <c r="D109"/>
  <c r="D114"/>
  <c r="D148"/>
  <c r="D84"/>
  <c r="D187"/>
  <c r="D123"/>
  <c r="D59"/>
  <c r="D176" i="11"/>
  <c r="D112"/>
  <c r="D48"/>
  <c r="D175"/>
  <c r="D111"/>
  <c r="D47"/>
  <c r="D198"/>
  <c r="D134"/>
  <c r="D70"/>
  <c r="D161"/>
  <c r="D157"/>
  <c r="D93"/>
  <c r="D163"/>
  <c r="D180"/>
  <c r="D116"/>
  <c r="D171"/>
  <c r="D186"/>
  <c r="D122"/>
  <c r="D58"/>
  <c r="D45"/>
  <c r="D144" i="10"/>
  <c r="D80"/>
  <c r="D107"/>
  <c r="D151"/>
  <c r="D87"/>
  <c r="D99"/>
  <c r="D150"/>
  <c r="D86"/>
  <c r="D22"/>
  <c r="D181"/>
  <c r="D117"/>
  <c r="D53"/>
  <c r="D196"/>
  <c r="D132"/>
  <c r="D68"/>
  <c r="D186"/>
  <c r="D122"/>
  <c r="D58"/>
  <c r="D123"/>
  <c r="D145"/>
  <c r="D81"/>
  <c r="D24"/>
  <c r="D184" i="9"/>
  <c r="D120"/>
  <c r="D56"/>
  <c r="D151"/>
  <c r="D87"/>
  <c r="D28"/>
  <c r="D142"/>
  <c r="D78"/>
  <c r="D197"/>
  <c r="D133"/>
  <c r="D69"/>
  <c r="D180"/>
  <c r="D116"/>
  <c r="D52"/>
  <c r="D147"/>
  <c r="D83"/>
  <c r="D40"/>
  <c r="D138"/>
  <c r="D74"/>
  <c r="D185"/>
  <c r="D121"/>
  <c r="D57"/>
  <c r="D192" i="8"/>
  <c r="D128"/>
  <c r="D199"/>
  <c r="D135"/>
  <c r="D71"/>
  <c r="D158"/>
  <c r="D94"/>
  <c r="D181"/>
  <c r="D117"/>
  <c r="D53"/>
  <c r="D140"/>
  <c r="D76"/>
  <c r="D147"/>
  <c r="D83"/>
  <c r="D170"/>
  <c r="D106"/>
  <c r="D193"/>
  <c r="D129"/>
  <c r="D65"/>
  <c r="D168" i="32"/>
  <c r="D104"/>
  <c r="D108"/>
  <c r="D183"/>
  <c r="D119"/>
  <c r="D55"/>
  <c r="D198"/>
  <c r="D134"/>
  <c r="D70"/>
  <c r="D172"/>
  <c r="D197"/>
  <c r="D133"/>
  <c r="D69"/>
  <c r="D116"/>
  <c r="D178"/>
  <c r="D114"/>
  <c r="D50"/>
  <c r="D60"/>
  <c r="D169"/>
  <c r="D128" i="30"/>
  <c r="D87"/>
  <c r="D30"/>
  <c r="D81"/>
  <c r="D171"/>
  <c r="D162"/>
  <c r="D160" i="31"/>
  <c r="D119"/>
  <c r="D137"/>
  <c r="D158"/>
  <c r="D94"/>
  <c r="D30"/>
  <c r="D189"/>
  <c r="D125"/>
  <c r="D61"/>
  <c r="D105"/>
  <c r="D156"/>
  <c r="D92"/>
  <c r="D28"/>
  <c r="D179"/>
  <c r="D115"/>
  <c r="D51"/>
  <c r="D73"/>
  <c r="D146"/>
  <c r="D82"/>
  <c r="D18"/>
  <c r="D184" i="29"/>
  <c r="D120"/>
  <c r="D56"/>
  <c r="D49"/>
  <c r="D143"/>
  <c r="D79"/>
  <c r="D15"/>
  <c r="D182"/>
  <c r="D118"/>
  <c r="D54"/>
  <c r="D89"/>
  <c r="D149"/>
  <c r="D85"/>
  <c r="D21"/>
  <c r="D180"/>
  <c r="D116"/>
  <c r="D52"/>
  <c r="D57"/>
  <c r="D139"/>
  <c r="D75"/>
  <c r="D11"/>
  <c r="D170"/>
  <c r="D106"/>
  <c r="D42"/>
  <c r="D6"/>
  <c r="D144" i="7"/>
  <c r="D80"/>
  <c r="D199"/>
  <c r="D135"/>
  <c r="D71"/>
  <c r="D190"/>
  <c r="D126"/>
  <c r="D62"/>
  <c r="D197"/>
  <c r="D133"/>
  <c r="D69"/>
  <c r="D65"/>
  <c r="D140"/>
  <c r="D76"/>
  <c r="D105"/>
  <c r="D146"/>
  <c r="D82"/>
  <c r="D161"/>
  <c r="D168" i="6"/>
  <c r="D104"/>
  <c r="D40"/>
  <c r="D183"/>
  <c r="D119"/>
  <c r="D55"/>
  <c r="D198"/>
  <c r="D134"/>
  <c r="D70"/>
  <c r="D105"/>
  <c r="D149"/>
  <c r="D85"/>
  <c r="D21"/>
  <c r="D164"/>
  <c r="D100"/>
  <c r="D36"/>
  <c r="D171"/>
  <c r="D107"/>
  <c r="D43"/>
  <c r="D186"/>
  <c r="D122"/>
  <c r="D58"/>
  <c r="D20"/>
  <c r="D144" i="5"/>
  <c r="D80"/>
  <c r="D127"/>
  <c r="D131"/>
  <c r="D94"/>
  <c r="D189"/>
  <c r="D140"/>
  <c r="D121"/>
  <c r="D134" i="7"/>
  <c r="D154"/>
  <c r="D57" i="6"/>
  <c r="D179"/>
  <c r="D152" i="5"/>
  <c r="D38"/>
  <c r="D170"/>
  <c r="D160" i="30"/>
  <c r="D119"/>
  <c r="D62"/>
  <c r="D45"/>
  <c r="D41"/>
  <c r="D194"/>
  <c r="D192" i="31"/>
  <c r="D151"/>
  <c r="D161"/>
  <c r="D166"/>
  <c r="D102"/>
  <c r="D38"/>
  <c r="D197"/>
  <c r="D133"/>
  <c r="D69"/>
  <c r="D177"/>
  <c r="D164"/>
  <c r="D100"/>
  <c r="D36"/>
  <c r="D187"/>
  <c r="D123"/>
  <c r="D59"/>
  <c r="D129"/>
  <c r="D154"/>
  <c r="D90"/>
  <c r="D26"/>
  <c r="D192" i="29"/>
  <c r="D128"/>
  <c r="D64"/>
  <c r="D105"/>
  <c r="D151"/>
  <c r="D87"/>
  <c r="D23"/>
  <c r="D190"/>
  <c r="D126"/>
  <c r="D62"/>
  <c r="D145"/>
  <c r="D157"/>
  <c r="D93"/>
  <c r="D29"/>
  <c r="D188"/>
  <c r="D124"/>
  <c r="D60"/>
  <c r="D113"/>
  <c r="D147"/>
  <c r="D83"/>
  <c r="D19"/>
  <c r="D178"/>
  <c r="D114"/>
  <c r="D50"/>
  <c r="D41"/>
  <c r="D152" i="7"/>
  <c r="D88"/>
  <c r="D45" i="5"/>
  <c r="D192" i="30"/>
  <c r="D151"/>
  <c r="D94"/>
  <c r="D77"/>
  <c r="D20"/>
  <c r="D145"/>
  <c r="D73"/>
  <c r="D183" i="31"/>
  <c r="D7"/>
  <c r="D174"/>
  <c r="D110"/>
  <c r="D46"/>
  <c r="D33"/>
  <c r="D141"/>
  <c r="D77"/>
  <c r="D13"/>
  <c r="D172"/>
  <c r="D108"/>
  <c r="D44"/>
  <c r="D195"/>
  <c r="D131"/>
  <c r="D67"/>
  <c r="D185"/>
  <c r="D162"/>
  <c r="D98"/>
  <c r="D34"/>
  <c r="D200" i="29"/>
  <c r="D136"/>
  <c r="D72"/>
  <c r="D8"/>
  <c r="D159"/>
  <c r="D95"/>
  <c r="D31"/>
  <c r="D198"/>
  <c r="D134"/>
  <c r="D70"/>
  <c r="D193"/>
  <c r="D165"/>
  <c r="D101"/>
  <c r="D37"/>
  <c r="D196"/>
  <c r="D132"/>
  <c r="D68"/>
  <c r="D161"/>
  <c r="D155"/>
  <c r="D91"/>
  <c r="D27"/>
  <c r="D186"/>
  <c r="D122"/>
  <c r="D58"/>
  <c r="D97"/>
  <c r="D160" i="7"/>
  <c r="D96"/>
  <c r="D137"/>
  <c r="D151"/>
  <c r="D87"/>
  <c r="D97"/>
  <c r="D142"/>
  <c r="D78"/>
  <c r="D121"/>
  <c r="D149"/>
  <c r="D85"/>
  <c r="D59"/>
  <c r="D156"/>
  <c r="D92"/>
  <c r="D91"/>
  <c r="D162"/>
  <c r="D98"/>
  <c r="D177"/>
  <c r="D184" i="6"/>
  <c r="D120"/>
  <c r="D56"/>
  <c r="D199"/>
  <c r="D135"/>
  <c r="D71"/>
  <c r="D113"/>
  <c r="D150"/>
  <c r="D86"/>
  <c r="D22"/>
  <c r="D165"/>
  <c r="D101"/>
  <c r="D37"/>
  <c r="D180"/>
  <c r="D116"/>
  <c r="D52"/>
  <c r="D187"/>
  <c r="D123"/>
  <c r="D59"/>
  <c r="D33"/>
  <c r="D138"/>
  <c r="D74"/>
  <c r="D121"/>
  <c r="D160" i="5"/>
  <c r="D96"/>
  <c r="D67"/>
  <c r="D143"/>
  <c r="D79"/>
  <c r="D69"/>
  <c r="D174"/>
  <c r="D110"/>
  <c r="D46"/>
  <c r="D51"/>
  <c r="D141"/>
  <c r="D155"/>
  <c r="D156"/>
  <c r="D92"/>
  <c r="D28"/>
  <c r="D178"/>
  <c r="D114"/>
  <c r="D50"/>
  <c r="D59"/>
  <c r="D137"/>
  <c r="D73"/>
  <c r="D40"/>
  <c r="D194"/>
  <c r="D171"/>
  <c r="D25"/>
  <c r="D109"/>
  <c r="D139"/>
  <c r="D169"/>
  <c r="D76"/>
  <c r="D57"/>
  <c r="D70" i="7"/>
  <c r="D148"/>
  <c r="D169"/>
  <c r="D127" i="6"/>
  <c r="D93"/>
  <c r="D115"/>
  <c r="D65"/>
  <c r="D37" i="5"/>
  <c r="D99"/>
  <c r="D193"/>
  <c r="D115" i="32"/>
  <c r="D183" i="30"/>
  <c r="D126"/>
  <c r="D109"/>
  <c r="D52"/>
  <c r="D11"/>
  <c r="D185"/>
  <c r="D121" i="31"/>
  <c r="D15"/>
  <c r="D182"/>
  <c r="D118"/>
  <c r="D54"/>
  <c r="D89"/>
  <c r="D149"/>
  <c r="D85"/>
  <c r="D21"/>
  <c r="D180"/>
  <c r="D116"/>
  <c r="D52"/>
  <c r="D49"/>
  <c r="D139"/>
  <c r="D75"/>
  <c r="D11"/>
  <c r="D170"/>
  <c r="D106"/>
  <c r="D42"/>
  <c r="D6"/>
  <c r="D144" i="29"/>
  <c r="D80"/>
  <c r="D16"/>
  <c r="D167"/>
  <c r="D103"/>
  <c r="D39"/>
  <c r="D25"/>
  <c r="D142"/>
  <c r="D78"/>
  <c r="D14"/>
  <c r="D173"/>
  <c r="D109"/>
  <c r="D45"/>
  <c r="D9"/>
  <c r="D140"/>
  <c r="D76"/>
  <c r="D12"/>
  <c r="D163"/>
  <c r="D99"/>
  <c r="D35"/>
  <c r="D194"/>
  <c r="D130"/>
  <c r="D66"/>
  <c r="D153"/>
  <c r="D168" i="7"/>
  <c r="D104"/>
  <c r="D75"/>
  <c r="D159"/>
  <c r="D95"/>
  <c r="D145"/>
  <c r="D150"/>
  <c r="D86"/>
  <c r="D67"/>
  <c r="D157"/>
  <c r="D93"/>
  <c r="D99"/>
  <c r="D164"/>
  <c r="D100"/>
  <c r="D131"/>
  <c r="D170"/>
  <c r="D106"/>
  <c r="D185"/>
  <c r="D192" i="6"/>
  <c r="D128"/>
  <c r="D64"/>
  <c r="D25"/>
  <c r="D143"/>
  <c r="D79"/>
  <c r="D169"/>
  <c r="D158"/>
  <c r="D94"/>
  <c r="D30"/>
  <c r="D173"/>
  <c r="D109"/>
  <c r="D45"/>
  <c r="D188"/>
  <c r="D124"/>
  <c r="D60"/>
  <c r="D195"/>
  <c r="D131"/>
  <c r="D67"/>
  <c r="D89"/>
  <c r="D146"/>
  <c r="D82"/>
  <c r="D177"/>
  <c r="D168" i="5"/>
  <c r="D104"/>
  <c r="D123"/>
  <c r="D151"/>
  <c r="D87"/>
  <c r="D23"/>
  <c r="D182"/>
  <c r="D118"/>
  <c r="D54"/>
  <c r="D107"/>
  <c r="D149"/>
  <c r="D53"/>
  <c r="D164"/>
  <c r="D100"/>
  <c r="D36"/>
  <c r="D186"/>
  <c r="D122"/>
  <c r="D58"/>
  <c r="D115"/>
  <c r="D145"/>
  <c r="D81"/>
  <c r="D64"/>
  <c r="D66"/>
  <c r="D153"/>
  <c r="D85"/>
  <c r="D124"/>
  <c r="D48"/>
  <c r="D35"/>
  <c r="D98"/>
  <c r="D143" i="7"/>
  <c r="D77"/>
  <c r="D90"/>
  <c r="D191" i="6"/>
  <c r="D161"/>
  <c r="D108"/>
  <c r="D66"/>
  <c r="D71" i="5"/>
  <c r="D197"/>
  <c r="D195"/>
  <c r="D65"/>
  <c r="D132" i="32"/>
  <c r="D7" i="30"/>
  <c r="D158"/>
  <c r="D141"/>
  <c r="D84"/>
  <c r="D43"/>
  <c r="D34"/>
  <c r="D32" i="31"/>
  <c r="D23"/>
  <c r="D190"/>
  <c r="D126"/>
  <c r="D62"/>
  <c r="D145"/>
  <c r="D157"/>
  <c r="D93"/>
  <c r="D29"/>
  <c r="D188"/>
  <c r="D124"/>
  <c r="D60"/>
  <c r="D113"/>
  <c r="D147"/>
  <c r="D83"/>
  <c r="D19"/>
  <c r="D178"/>
  <c r="D114"/>
  <c r="D50"/>
  <c r="D41"/>
  <c r="D152" i="29"/>
  <c r="D88"/>
  <c r="D24"/>
  <c r="D175"/>
  <c r="D111"/>
  <c r="D47"/>
  <c r="D81"/>
  <c r="D150"/>
  <c r="D86"/>
  <c r="D22"/>
  <c r="D181"/>
  <c r="D117"/>
  <c r="D53"/>
  <c r="D65"/>
  <c r="D148"/>
  <c r="D84"/>
  <c r="D20"/>
  <c r="D171"/>
  <c r="D107"/>
  <c r="D43"/>
  <c r="D17"/>
  <c r="D138"/>
  <c r="D74"/>
  <c r="D10"/>
  <c r="D176" i="7"/>
  <c r="D112"/>
  <c r="D115"/>
  <c r="D167"/>
  <c r="D103"/>
  <c r="D83"/>
  <c r="D158"/>
  <c r="D94"/>
  <c r="D107"/>
  <c r="D165"/>
  <c r="D101"/>
  <c r="D139"/>
  <c r="D172"/>
  <c r="D108"/>
  <c r="D155"/>
  <c r="D178"/>
  <c r="D114"/>
  <c r="D193"/>
  <c r="D200" i="6"/>
  <c r="D136"/>
  <c r="D72"/>
  <c r="D81"/>
  <c r="D151"/>
  <c r="D87"/>
  <c r="D23"/>
  <c r="D166"/>
  <c r="D102"/>
  <c r="D38"/>
  <c r="D181"/>
  <c r="D117"/>
  <c r="D53"/>
  <c r="D196"/>
  <c r="D132"/>
  <c r="D68"/>
  <c r="D73"/>
  <c r="D139"/>
  <c r="D75"/>
  <c r="D137"/>
  <c r="D154"/>
  <c r="D90"/>
  <c r="D26"/>
  <c r="D176" i="5"/>
  <c r="D112"/>
  <c r="D29"/>
  <c r="D159"/>
  <c r="D95"/>
  <c r="D31"/>
  <c r="D190"/>
  <c r="D126"/>
  <c r="D62"/>
  <c r="D163"/>
  <c r="D157"/>
  <c r="D77"/>
  <c r="D172"/>
  <c r="D108"/>
  <c r="D44"/>
  <c r="D130"/>
  <c r="D89"/>
  <c r="D173"/>
  <c r="D82"/>
  <c r="D41"/>
  <c r="D34"/>
  <c r="D79" i="7"/>
  <c r="D84"/>
  <c r="D48" i="6"/>
  <c r="D157"/>
  <c r="D51"/>
  <c r="D199" i="5"/>
  <c r="D133"/>
  <c r="D42"/>
  <c r="D41" i="32"/>
  <c r="D32" i="30"/>
  <c r="D190"/>
  <c r="D173"/>
  <c r="D116"/>
  <c r="D75"/>
  <c r="D66"/>
  <c r="D64" i="31"/>
  <c r="D31"/>
  <c r="D198"/>
  <c r="D134"/>
  <c r="D70"/>
  <c r="D193"/>
  <c r="D165"/>
  <c r="D101"/>
  <c r="D37"/>
  <c r="D196"/>
  <c r="D132"/>
  <c r="D68"/>
  <c r="D169"/>
  <c r="D155"/>
  <c r="D91"/>
  <c r="D27"/>
  <c r="D186"/>
  <c r="D122"/>
  <c r="D58"/>
  <c r="D97"/>
  <c r="D160" i="29"/>
  <c r="D96"/>
  <c r="D32"/>
  <c r="D183"/>
  <c r="D119"/>
  <c r="D55"/>
  <c r="D137"/>
  <c r="D158"/>
  <c r="D94"/>
  <c r="D30"/>
  <c r="D189"/>
  <c r="D125"/>
  <c r="D61"/>
  <c r="D129"/>
  <c r="D156"/>
  <c r="D92"/>
  <c r="D28"/>
  <c r="D179"/>
  <c r="D115"/>
  <c r="D51"/>
  <c r="D73"/>
  <c r="D146"/>
  <c r="D82"/>
  <c r="D18"/>
  <c r="D184" i="7"/>
  <c r="D120"/>
  <c r="D56"/>
  <c r="D175"/>
  <c r="D111"/>
  <c r="D123"/>
  <c r="D166"/>
  <c r="D102"/>
  <c r="D147"/>
  <c r="D173"/>
  <c r="D109"/>
  <c r="D163"/>
  <c r="D180"/>
  <c r="D116"/>
  <c r="D179"/>
  <c r="D186"/>
  <c r="D122"/>
  <c r="D58"/>
  <c r="D54"/>
  <c r="D144" i="6"/>
  <c r="D80"/>
  <c r="D145"/>
  <c r="D159"/>
  <c r="D95"/>
  <c r="D31"/>
  <c r="D174"/>
  <c r="D110"/>
  <c r="D46"/>
  <c r="D189"/>
  <c r="D125"/>
  <c r="D61"/>
  <c r="D41"/>
  <c r="D140"/>
  <c r="D76"/>
  <c r="D129"/>
  <c r="D147"/>
  <c r="D83"/>
  <c r="D193"/>
  <c r="D162"/>
  <c r="D98"/>
  <c r="D34"/>
  <c r="D184" i="5"/>
  <c r="D120"/>
  <c r="D32"/>
  <c r="D167"/>
  <c r="D103"/>
  <c r="D39"/>
  <c r="D198"/>
  <c r="D134"/>
  <c r="D70"/>
  <c r="D61"/>
  <c r="D165"/>
  <c r="D93"/>
  <c r="D180"/>
  <c r="D116"/>
  <c r="D52"/>
  <c r="D83"/>
  <c r="D138"/>
  <c r="D74"/>
  <c r="D24"/>
  <c r="D161"/>
  <c r="D97"/>
  <c r="D33"/>
  <c r="D22"/>
  <c r="D27"/>
  <c r="D142"/>
  <c r="D188"/>
  <c r="D146"/>
  <c r="D105"/>
  <c r="D162"/>
  <c r="D89" i="7"/>
  <c r="D141"/>
  <c r="D153"/>
  <c r="D112" i="6"/>
  <c r="D78"/>
  <c r="D172"/>
  <c r="D130"/>
  <c r="D135" i="5"/>
  <c r="D102"/>
  <c r="D84"/>
  <c r="D129"/>
  <c r="D73" i="32"/>
  <c r="D64" i="30"/>
  <c r="D23"/>
  <c r="D49"/>
  <c r="D148"/>
  <c r="D107"/>
  <c r="D98"/>
  <c r="D96" i="31"/>
  <c r="D55"/>
  <c r="D25"/>
  <c r="D142"/>
  <c r="D78"/>
  <c r="D14"/>
  <c r="D173"/>
  <c r="D109"/>
  <c r="D45"/>
  <c r="D9"/>
  <c r="D140"/>
  <c r="D76"/>
  <c r="D12"/>
  <c r="D163"/>
  <c r="D99"/>
  <c r="D35"/>
  <c r="D194"/>
  <c r="D130"/>
  <c r="D66"/>
  <c r="D153"/>
  <c r="D168" i="29"/>
  <c r="D104"/>
  <c r="D40"/>
  <c r="D191"/>
  <c r="D127"/>
  <c r="D63"/>
  <c r="D185"/>
  <c r="D166"/>
  <c r="D102"/>
  <c r="D38"/>
  <c r="D197"/>
  <c r="D133"/>
  <c r="D69"/>
  <c r="D177"/>
  <c r="D164"/>
  <c r="D100"/>
  <c r="D36"/>
  <c r="D187"/>
  <c r="D123"/>
  <c r="D59"/>
  <c r="D121"/>
  <c r="D154"/>
  <c r="D90"/>
  <c r="D26"/>
  <c r="D192" i="7"/>
  <c r="D128"/>
  <c r="D64"/>
  <c r="D183"/>
  <c r="D119"/>
  <c r="D55"/>
  <c r="D174"/>
  <c r="D110"/>
  <c r="D171"/>
  <c r="D181"/>
  <c r="D117"/>
  <c r="D187"/>
  <c r="D188"/>
  <c r="D124"/>
  <c r="D60"/>
  <c r="D194"/>
  <c r="D130"/>
  <c r="D66"/>
  <c r="D81"/>
  <c r="D152" i="6"/>
  <c r="D88"/>
  <c r="D24"/>
  <c r="D167"/>
  <c r="D103"/>
  <c r="D39"/>
  <c r="D182"/>
  <c r="D118"/>
  <c r="D54"/>
  <c r="D197"/>
  <c r="D133"/>
  <c r="D69"/>
  <c r="D97"/>
  <c r="D148"/>
  <c r="D84"/>
  <c r="D185"/>
  <c r="D155"/>
  <c r="D91"/>
  <c r="D27"/>
  <c r="D170"/>
  <c r="D106"/>
  <c r="D42"/>
  <c r="D192" i="5"/>
  <c r="D128"/>
  <c r="D56"/>
  <c r="D175"/>
  <c r="D111"/>
  <c r="D47"/>
  <c r="D78"/>
  <c r="D60"/>
  <c r="D185"/>
  <c r="D198" i="7"/>
  <c r="D142" i="6"/>
  <c r="D44"/>
  <c r="D105" i="32"/>
  <c r="D96" i="30"/>
  <c r="D55"/>
  <c r="D37"/>
  <c r="D180"/>
  <c r="D139"/>
  <c r="D130"/>
  <c r="D128" i="31"/>
  <c r="D87"/>
  <c r="D81"/>
  <c r="D150"/>
  <c r="D86"/>
  <c r="D22"/>
  <c r="D181"/>
  <c r="D117"/>
  <c r="D53"/>
  <c r="D65"/>
  <c r="D148"/>
  <c r="D84"/>
  <c r="D20"/>
  <c r="D171"/>
  <c r="D107"/>
  <c r="D43"/>
  <c r="D17"/>
  <c r="D138"/>
  <c r="D74"/>
  <c r="D10"/>
  <c r="D176" i="29"/>
  <c r="D112"/>
  <c r="D48"/>
  <c r="D199"/>
  <c r="D135"/>
  <c r="D71"/>
  <c r="D7"/>
  <c r="D174"/>
  <c r="D110"/>
  <c r="D46"/>
  <c r="D33"/>
  <c r="D141"/>
  <c r="D77"/>
  <c r="D13"/>
  <c r="D172"/>
  <c r="D108"/>
  <c r="D44"/>
  <c r="D195"/>
  <c r="D131"/>
  <c r="D67"/>
  <c r="D169"/>
  <c r="D162"/>
  <c r="D98"/>
  <c r="D34"/>
  <c r="D200" i="7"/>
  <c r="D136"/>
  <c r="D72"/>
  <c r="D191"/>
  <c r="D127"/>
  <c r="D63"/>
  <c r="D182"/>
  <c r="D118"/>
  <c r="D195"/>
  <c r="D189"/>
  <c r="D125"/>
  <c r="D61"/>
  <c r="D196"/>
  <c r="D132"/>
  <c r="D68"/>
  <c r="D57"/>
  <c r="D138"/>
  <c r="D74"/>
  <c r="D129"/>
  <c r="D160" i="6"/>
  <c r="D96"/>
  <c r="D32"/>
  <c r="D175"/>
  <c r="D111"/>
  <c r="D47"/>
  <c r="D190"/>
  <c r="D126"/>
  <c r="D62"/>
  <c r="D49"/>
  <c r="D141"/>
  <c r="D77"/>
  <c r="D153"/>
  <c r="D156"/>
  <c r="D92"/>
  <c r="D28"/>
  <c r="D163"/>
  <c r="D99"/>
  <c r="D35"/>
  <c r="D178"/>
  <c r="D114"/>
  <c r="D50"/>
  <c r="D200" i="5"/>
  <c r="D136"/>
  <c r="D72"/>
  <c r="D183"/>
  <c r="D119"/>
  <c r="D55"/>
  <c r="D75"/>
  <c r="D150"/>
  <c r="D86"/>
  <c r="D101"/>
  <c r="D181"/>
  <c r="D117"/>
  <c r="D196"/>
  <c r="D132"/>
  <c r="D68"/>
  <c r="D179"/>
  <c r="D154"/>
  <c r="D90"/>
  <c r="D26"/>
  <c r="D177"/>
  <c r="D113"/>
  <c r="D49"/>
  <c r="D91"/>
  <c r="D191"/>
  <c r="D63"/>
  <c r="D158"/>
  <c r="D30"/>
  <c r="D125"/>
  <c r="D43"/>
  <c r="D187"/>
  <c r="D147"/>
  <c r="D73" i="7"/>
  <c r="D113"/>
  <c r="D176" i="6"/>
  <c r="D63"/>
  <c r="D29"/>
  <c r="D194"/>
  <c r="D88" i="5"/>
  <c r="D166"/>
  <c r="D148"/>
  <c r="D106"/>
  <c r="D21" i="12"/>
</calcChain>
</file>

<file path=xl/sharedStrings.xml><?xml version="1.0" encoding="utf-8"?>
<sst xmlns="http://schemas.openxmlformats.org/spreadsheetml/2006/main" count="127994" uniqueCount="1813">
  <si>
    <t>DataType</t>
  </si>
  <si>
    <t>Reference</t>
  </si>
  <si>
    <t>Name</t>
  </si>
  <si>
    <t>AccountId</t>
  </si>
  <si>
    <t>References</t>
  </si>
  <si>
    <t>Account</t>
  </si>
  <si>
    <t>Contact</t>
  </si>
  <si>
    <t>User</t>
  </si>
  <si>
    <t>RecordType</t>
  </si>
  <si>
    <t>BatchId__c</t>
  </si>
  <si>
    <t>ContactId</t>
  </si>
  <si>
    <t>DataSource__c</t>
  </si>
  <si>
    <t>EndDate</t>
  </si>
  <si>
    <t>ETLVersion__c</t>
  </si>
  <si>
    <t>MarkForDeletion__c</t>
  </si>
  <si>
    <t>RelationshipKey__c</t>
  </si>
  <si>
    <t>Roles</t>
  </si>
  <si>
    <t>Account ID</t>
  </si>
  <si>
    <t>BatchId</t>
  </si>
  <si>
    <t>Contact ID</t>
  </si>
  <si>
    <t>DataSource</t>
  </si>
  <si>
    <t>LabelsEN</t>
  </si>
  <si>
    <t>LabelsDE</t>
  </si>
  <si>
    <t>End Date</t>
  </si>
  <si>
    <t>ETLVersion</t>
  </si>
  <si>
    <t>Mark For Deletion</t>
  </si>
  <si>
    <t>Relationship Key</t>
  </si>
  <si>
    <t>Mandatory</t>
  </si>
  <si>
    <t>Yes</t>
  </si>
  <si>
    <t>No</t>
  </si>
  <si>
    <t>LabelEN</t>
  </si>
  <si>
    <t>LabelDE</t>
  </si>
  <si>
    <t>IsDirect</t>
  </si>
  <si>
    <t>IsActive</t>
  </si>
  <si>
    <t>IsDeleted</t>
  </si>
  <si>
    <t>CreatedDate</t>
  </si>
  <si>
    <t>CreatedById</t>
  </si>
  <si>
    <t>LastModifiedDate</t>
  </si>
  <si>
    <t>LastModifiedById</t>
  </si>
  <si>
    <t>SystemModstamp</t>
  </si>
  <si>
    <t>2nd Managing Director,Head of Department,Agency Head,Contact person,Assistant,Executive Assistant,Assistant to the Board,Adviser,Divisional Manager,Office Administration Manager,Area Manager,Director,Consultant,Financial Advisor,Managing Director,Branch Manager,Proprietor,Managing Proprietor,Managing Limited Partner,Managing Partner,Limited Partner,Manager,Employee,Authorised Representative,Representative,Administrator,Team leader,unknown,Sales,Board of Directors,Supervisory Board,Specialist Lawyer,Owner,General Partner,Broker Consultant,Referent,Trainer,Submediaries,Regional Director</t>
  </si>
  <si>
    <t>Central Key Account,Regional Key Account,Major Account,Premium Partner Program,Tandem Partner</t>
  </si>
  <si>
    <t>Active,Inactive</t>
  </si>
  <si>
    <t>A,B,C,D</t>
  </si>
  <si>
    <t>ISuite,Salesforce,Betreuungskompass,Outlook</t>
  </si>
  <si>
    <t>male,female</t>
  </si>
  <si>
    <t>Mr.,Ms.,Mrs.,Dr.,Prof.</t>
  </si>
  <si>
    <t>None,VIP,Secured Client,Employee</t>
  </si>
  <si>
    <t>PickListDE</t>
  </si>
  <si>
    <t>PickListEN</t>
  </si>
  <si>
    <t>Zentraler Key Account,Major Account,Premium Partner Programm,Regionaler Key Account,Tandem Partner</t>
  </si>
  <si>
    <t>Aktiv,Inaktiv</t>
  </si>
  <si>
    <t>Dr.,Herr,Frau,Frau,Prof.</t>
  </si>
  <si>
    <t>keine,VIP,gesicherter Partner,CLE Mitarbeiter</t>
  </si>
  <si>
    <t>MultiPickListEN</t>
  </si>
  <si>
    <t>MultiPickListDE</t>
  </si>
  <si>
    <t>FieldName</t>
  </si>
  <si>
    <t>AccountHasOptedOutOfEmail__c</t>
  </si>
  <si>
    <t>AccountHasOptedOutOfFax__c</t>
  </si>
  <si>
    <t>AccountHasOptedOutOfPhone__c</t>
  </si>
  <si>
    <t>AccountId__c</t>
  </si>
  <si>
    <t>AccountType__c</t>
  </si>
  <si>
    <t>AnnualCaseCountFactor__c</t>
  </si>
  <si>
    <t>BatchId__pc</t>
  </si>
  <si>
    <t>BillingCity</t>
  </si>
  <si>
    <t>BillingCountry</t>
  </si>
  <si>
    <t>BillingPostalCode</t>
  </si>
  <si>
    <t>BillingState</t>
  </si>
  <si>
    <t>BillingStreet</t>
  </si>
  <si>
    <t>BrokerConsultantAccount__c</t>
  </si>
  <si>
    <t>BrokerStatus__c</t>
  </si>
  <si>
    <t>BusinessEmail__c</t>
  </si>
  <si>
    <t>BusinessMobile__c</t>
  </si>
  <si>
    <t>BusinessResponsible__c</t>
  </si>
  <si>
    <t>Classification__c</t>
  </si>
  <si>
    <t>ContactId__pc</t>
  </si>
  <si>
    <t>ContactSource__pc</t>
  </si>
  <si>
    <t>DataSource__pc</t>
  </si>
  <si>
    <t>ETLVersion__pc</t>
  </si>
  <si>
    <t>Fax</t>
  </si>
  <si>
    <t>FirstName</t>
  </si>
  <si>
    <t>Gender__pc</t>
  </si>
  <si>
    <t>HeadAccount__c</t>
  </si>
  <si>
    <t>IHKNumber__c</t>
  </si>
  <si>
    <t>IsProductive__c</t>
  </si>
  <si>
    <t>LastName</t>
  </si>
  <si>
    <t>OfficeNumber__c</t>
  </si>
  <si>
    <t>OwnerId</t>
  </si>
  <si>
    <t>ParagraphNumber__c</t>
  </si>
  <si>
    <t>ParentId</t>
  </si>
  <si>
    <t>PartnerNumber__c</t>
  </si>
  <si>
    <t>PersonContactId</t>
  </si>
  <si>
    <t>PersonEmail</t>
  </si>
  <si>
    <t>PersonMobilePhone</t>
  </si>
  <si>
    <t>PersonTitle</t>
  </si>
  <si>
    <t>Phone</t>
  </si>
  <si>
    <t>PolicyContactId__c</t>
  </si>
  <si>
    <t>RecordTypeId</t>
  </si>
  <si>
    <t>Region__c</t>
  </si>
  <si>
    <t>Salutation__c</t>
  </si>
  <si>
    <t>SecurityIndicator__c</t>
  </si>
  <si>
    <t>Website</t>
  </si>
  <si>
    <t>BankGP__c</t>
  </si>
  <si>
    <t>CommissionAgreement__c</t>
  </si>
  <si>
    <t>BrokerType__c</t>
  </si>
  <si>
    <t>AccountNo__c</t>
  </si>
  <si>
    <t>IsPersonAccount</t>
  </si>
  <si>
    <t>MarkForDeletion__pc</t>
  </si>
  <si>
    <t>Outdated__pc</t>
  </si>
  <si>
    <t>PersonDoNotCall</t>
  </si>
  <si>
    <t>PersonHasOptedOutOfEmail</t>
  </si>
  <si>
    <t>PersonHasOptedOutOfFax</t>
  </si>
  <si>
    <t>Email Opt Out</t>
  </si>
  <si>
    <t>Fax Opt Out</t>
  </si>
  <si>
    <t>Phone Opt Out</t>
  </si>
  <si>
    <t>Account Type</t>
  </si>
  <si>
    <t>Annual Case Count Factor</t>
  </si>
  <si>
    <t>Billing City</t>
  </si>
  <si>
    <t>Billing Country</t>
  </si>
  <si>
    <t>Billing Zip/Postal Code</t>
  </si>
  <si>
    <t>Billing State/Province</t>
  </si>
  <si>
    <t>Billing Street</t>
  </si>
  <si>
    <t>Broker Consultant Account</t>
  </si>
  <si>
    <t>Broker Status</t>
  </si>
  <si>
    <t>Business Email</t>
  </si>
  <si>
    <t>Business Mobile</t>
  </si>
  <si>
    <t>Broker Consultant</t>
  </si>
  <si>
    <t>Classification</t>
  </si>
  <si>
    <t>Contact Source</t>
  </si>
  <si>
    <t>Account Fax</t>
  </si>
  <si>
    <t>First Name</t>
  </si>
  <si>
    <t>Gender</t>
  </si>
  <si>
    <t>Head Account</t>
  </si>
  <si>
    <t>IHK Number</t>
  </si>
  <si>
    <t>Is Productive</t>
  </si>
  <si>
    <t>Last Name</t>
  </si>
  <si>
    <t>Account Name</t>
  </si>
  <si>
    <t>Office Number</t>
  </si>
  <si>
    <t>Owner ID</t>
  </si>
  <si>
    <t>Paragraph Number</t>
  </si>
  <si>
    <t>Parent Account ID</t>
  </si>
  <si>
    <t>Partner Number</t>
  </si>
  <si>
    <t>Email</t>
  </si>
  <si>
    <t>Mobile</t>
  </si>
  <si>
    <t>Title</t>
  </si>
  <si>
    <t>Account Phone</t>
  </si>
  <si>
    <t>Policy Contact Id</t>
  </si>
  <si>
    <t>Record Type ID</t>
  </si>
  <si>
    <t>Region</t>
  </si>
  <si>
    <t>Salutation</t>
  </si>
  <si>
    <t>Security Indicator</t>
  </si>
  <si>
    <t>Keine E-Mails</t>
  </si>
  <si>
    <t>Kein Fax</t>
  </si>
  <si>
    <t>Nicht anrufen</t>
  </si>
  <si>
    <t>Geschäftspartner ID</t>
  </si>
  <si>
    <t>GP Typ</t>
  </si>
  <si>
    <t>GP-Status</t>
  </si>
  <si>
    <t>Mobil</t>
  </si>
  <si>
    <t>VL/BD</t>
  </si>
  <si>
    <t>ABC Status</t>
  </si>
  <si>
    <t>ETL Version</t>
  </si>
  <si>
    <t>Kopfvermittler</t>
  </si>
  <si>
    <t>IHK Nummer</t>
  </si>
  <si>
    <t>Makler Name</t>
  </si>
  <si>
    <t>Büro Nummer</t>
  </si>
  <si>
    <t>Accountinhaber</t>
  </si>
  <si>
    <t>Paragraphennummer</t>
  </si>
  <si>
    <t>Partner Nummer</t>
  </si>
  <si>
    <t>E-Mail</t>
  </si>
  <si>
    <t>Titel</t>
  </si>
  <si>
    <t>Telefon</t>
  </si>
  <si>
    <t>Kunden ID</t>
  </si>
  <si>
    <t>Anrede</t>
  </si>
  <si>
    <t>Sicherheitsindikator</t>
  </si>
  <si>
    <t>Homepage</t>
  </si>
  <si>
    <t>Removals</t>
  </si>
  <si>
    <t>AccountTeamMemberId__c</t>
  </si>
  <si>
    <t>AccountAccessLevel</t>
  </si>
  <si>
    <t>CaseAccessLevel</t>
  </si>
  <si>
    <t>ContactAccessLevel</t>
  </si>
  <si>
    <t>OpportunityAccessLevel</t>
  </si>
  <si>
    <t>TeamMemberRole</t>
  </si>
  <si>
    <t>UserId</t>
  </si>
  <si>
    <t>Private,Read Only,Read/Write,Owner</t>
  </si>
  <si>
    <t>Private,Read Only,Read/Write,Controlled By Parent</t>
  </si>
  <si>
    <t>Account Manager,Channel Manager,Executive Sponsor,Lead Qualifier,Pre-Sales Consultant,Sales Manager,Sales Rep,Policy Manager,Commission Agreement Manager</t>
  </si>
  <si>
    <t>Account Team Member Id</t>
  </si>
  <si>
    <t>Account Access</t>
  </si>
  <si>
    <t>Case Access</t>
  </si>
  <si>
    <t>Contact Access</t>
  </si>
  <si>
    <t>Opportunity Access</t>
  </si>
  <si>
    <t>Team Role</t>
  </si>
  <si>
    <t>Yes/No Flag</t>
  </si>
  <si>
    <t>CommentOut</t>
  </si>
  <si>
    <t>AccountID__c</t>
  </si>
  <si>
    <t>na</t>
  </si>
  <si>
    <t>AgreementLineItemId__c</t>
  </si>
  <si>
    <t>GISProductCode__c</t>
  </si>
  <si>
    <t>InitialRate__c</t>
  </si>
  <si>
    <t>ProductId__c</t>
  </si>
  <si>
    <t>RenewalRate__c</t>
  </si>
  <si>
    <t>AgreementLineItemId</t>
  </si>
  <si>
    <t>Commission Agreement</t>
  </si>
  <si>
    <t>GIS Product</t>
  </si>
  <si>
    <t>Initial Commission Rate</t>
  </si>
  <si>
    <t>Agreement Line Item Name</t>
  </si>
  <si>
    <t>Salesforce Product</t>
  </si>
  <si>
    <t>Renewal Commission Rate</t>
  </si>
  <si>
    <t>Courtagevereinbarungs-Nr.</t>
  </si>
  <si>
    <t>Abschlussprovision</t>
  </si>
  <si>
    <t>Bestandsprovision</t>
  </si>
  <si>
    <t>Produkt</t>
  </si>
  <si>
    <t>GIS Produkt</t>
  </si>
  <si>
    <t>Courtagesatz Name</t>
  </si>
  <si>
    <t>CommissionRate__c</t>
  </si>
  <si>
    <t>CommissionType__c</t>
  </si>
  <si>
    <t>BrokerConsultant__c</t>
  </si>
  <si>
    <t>BrokerConsultantAccountId__c</t>
  </si>
  <si>
    <t>BrokerConsultantName__c</t>
  </si>
  <si>
    <t>BrokerAccountRegion__c</t>
  </si>
  <si>
    <t>Broker Consultant Account ID</t>
  </si>
  <si>
    <t>Broker Consultant Name</t>
  </si>
  <si>
    <t>Broker Consultant Account Name</t>
  </si>
  <si>
    <t>CampagneContent__c</t>
  </si>
  <si>
    <t>ContactOnQuestions__c</t>
  </si>
  <si>
    <t>FADbTransaction__c</t>
  </si>
  <si>
    <t>Goal__c</t>
  </si>
  <si>
    <t>IsRegConfirmationRequired</t>
  </si>
  <si>
    <t>PointsEarning</t>
  </si>
  <si>
    <t>TrainerEMail__c</t>
  </si>
  <si>
    <t>TrainerFirstName__c</t>
  </si>
  <si>
    <t>TrainerLastName__c</t>
  </si>
  <si>
    <t>TrainerPhone__c</t>
  </si>
  <si>
    <t>TrainerSalutation__c</t>
  </si>
  <si>
    <t>TrainingType__c</t>
  </si>
  <si>
    <t>Type</t>
  </si>
  <si>
    <t>WBINumber__c</t>
  </si>
  <si>
    <t>Privat-Vorsorge - Lebens-/Rentenversicherung,Privat-Vorsorge - Kranken-/Pflegeversicherung,Privat - Sach-/Schadenversicherung,Firmenkunden - Vorsorge (bAV/Personenversicherung),Firmenkunden - Sach-/Schadenversicherung,Spartenübergreifend,Beratungskompetenz</t>
  </si>
  <si>
    <t>Präsenzveranstaltung,Einzeltraining,Blended Learning,gesteuertes E-Learning,selbstgesteuertes E-Learning,Lernen am Arbeitsplatz</t>
  </si>
  <si>
    <t>Workshops (einzelne Termine),Webinare,Roadshows (Veranstaltungsreihen),Dublinreisen,Sportveranstaltung,Messen,Endkundenveranstaltungen</t>
  </si>
  <si>
    <t>Campagne Content</t>
  </si>
  <si>
    <t>Contact On Questions</t>
  </si>
  <si>
    <t>FA-DB Transaction</t>
  </si>
  <si>
    <t>Goal</t>
  </si>
  <si>
    <t>Confirm Registration</t>
  </si>
  <si>
    <t>Campaign Name</t>
  </si>
  <si>
    <t>Campaign Owner</t>
  </si>
  <si>
    <t>Points Earning</t>
  </si>
  <si>
    <t>Trainer EMail</t>
  </si>
  <si>
    <t>Trainer First Name</t>
  </si>
  <si>
    <t>Trainer Last Name</t>
  </si>
  <si>
    <t>Trainer Phone</t>
  </si>
  <si>
    <t>Trainer Salutation</t>
  </si>
  <si>
    <t>Training Type</t>
  </si>
  <si>
    <t>WBI Number</t>
  </si>
  <si>
    <t>Inhalt</t>
  </si>
  <si>
    <t>Kontakt bei Rückfragen</t>
  </si>
  <si>
    <t>FA-DB Vorgangsnr.</t>
  </si>
  <si>
    <t>Ziel</t>
  </si>
  <si>
    <t>Registrierung bestätigen</t>
  </si>
  <si>
    <t>Trainer Vorname</t>
  </si>
  <si>
    <t>Trainer Telefon</t>
  </si>
  <si>
    <t>Trainer Anrede</t>
  </si>
  <si>
    <t>Durchführungsweg</t>
  </si>
  <si>
    <t>Typ</t>
  </si>
  <si>
    <t>WBI Nummer</t>
  </si>
  <si>
    <t>NumberOfLeads</t>
  </si>
  <si>
    <t>NumberOfConvertedLeads</t>
  </si>
  <si>
    <t>NumberOfContacts</t>
  </si>
  <si>
    <t>NumberOfResponses</t>
  </si>
  <si>
    <t>NumberOfOpportunities</t>
  </si>
  <si>
    <t>NumberOfWonOpportunities</t>
  </si>
  <si>
    <t>AmountAllOpportunities</t>
  </si>
  <si>
    <t>AmountWonOpportunities</t>
  </si>
  <si>
    <t>Trainer Nachame</t>
  </si>
  <si>
    <t>ApplicationCZvonGP__c</t>
  </si>
  <si>
    <t>ApplicationGPanCZ__c</t>
  </si>
  <si>
    <t>ApplicationReceived__c</t>
  </si>
  <si>
    <t>BookOfBusinessExport__c</t>
  </si>
  <si>
    <t>BusinessAccount__c</t>
  </si>
  <si>
    <t>Cancellation__c</t>
  </si>
  <si>
    <t>CareIndicator__c</t>
  </si>
  <si>
    <t>CommissionAgreementId__c</t>
  </si>
  <si>
    <t>CommissionAgreementStatus__c</t>
  </si>
  <si>
    <t>CommissionAgreementType__c</t>
  </si>
  <si>
    <t>CommissionLiability__c</t>
  </si>
  <si>
    <t>FirstApplicationReceived__c</t>
  </si>
  <si>
    <t>KeyAccountNumber__c</t>
  </si>
  <si>
    <t>LapsAmount__c</t>
  </si>
  <si>
    <t>LapsLiability__c</t>
  </si>
  <si>
    <t>LapsPercent__c</t>
  </si>
  <si>
    <t>LastApplicationReceived__c</t>
  </si>
  <si>
    <t>LastPolicyDate__c</t>
  </si>
  <si>
    <t>ParentCommissionAgreement__c</t>
  </si>
  <si>
    <t>Partnernet__c</t>
  </si>
  <si>
    <t>PortalStatementBroker__c</t>
  </si>
  <si>
    <t>Proportional__c</t>
  </si>
  <si>
    <t>ProtectionOfTrustAmount__c</t>
  </si>
  <si>
    <t>ProtectionOfTrustStatus__c</t>
  </si>
  <si>
    <t>StatementBroker__c</t>
  </si>
  <si>
    <t>VTOComment__c</t>
  </si>
  <si>
    <t>CZ from GP</t>
  </si>
  <si>
    <t>CZ to GP</t>
  </si>
  <si>
    <t>Application Received</t>
  </si>
  <si>
    <t>Bank Account</t>
  </si>
  <si>
    <t>Cancellation</t>
  </si>
  <si>
    <t>Care Indicator</t>
  </si>
  <si>
    <t>Commission Agreement ID</t>
  </si>
  <si>
    <t>Status</t>
  </si>
  <si>
    <t>Commission Agreement Type</t>
  </si>
  <si>
    <t>Commission Liable</t>
  </si>
  <si>
    <t>First Application Received</t>
  </si>
  <si>
    <t>Key Account Number</t>
  </si>
  <si>
    <t>Laps Amount</t>
  </si>
  <si>
    <t>Laps Liability</t>
  </si>
  <si>
    <t>Laps Percent</t>
  </si>
  <si>
    <t>Last Application Received</t>
  </si>
  <si>
    <t>Last Policy Issued</t>
  </si>
  <si>
    <t>Commission Agreement Name</t>
  </si>
  <si>
    <t>Member of Network</t>
  </si>
  <si>
    <t>Partnernet</t>
  </si>
  <si>
    <t>Portal Broker</t>
  </si>
  <si>
    <t>Commission Payment Type</t>
  </si>
  <si>
    <t>VSH Amount</t>
  </si>
  <si>
    <t>VSH Status</t>
  </si>
  <si>
    <t>H-Number</t>
  </si>
  <si>
    <t>Comment</t>
  </si>
  <si>
    <t>CZ von GP</t>
  </si>
  <si>
    <t>CZ an GP</t>
  </si>
  <si>
    <t>Bewerbungseingang</t>
  </si>
  <si>
    <t>Bank GP</t>
  </si>
  <si>
    <t>BoB / IBFR Code</t>
  </si>
  <si>
    <t>VL/BD-Konto</t>
  </si>
  <si>
    <t>Kündigung</t>
  </si>
  <si>
    <t>Betreuungsgruppe</t>
  </si>
  <si>
    <t>Provisionsvereinbarungs ID</t>
  </si>
  <si>
    <t>Makler Typ</t>
  </si>
  <si>
    <t>Haftung AP</t>
  </si>
  <si>
    <t>Erster Antrag eingegangen</t>
  </si>
  <si>
    <t>KA Nummer</t>
  </si>
  <si>
    <t>Stornoreserve</t>
  </si>
  <si>
    <t>Haftung Stornoreserve</t>
  </si>
  <si>
    <t>Stornoreservesatz</t>
  </si>
  <si>
    <t>Letzter Antrag eingegangen</t>
  </si>
  <si>
    <t>Letzter Antrag policiert</t>
  </si>
  <si>
    <t>Provisionsvereinbarung Name</t>
  </si>
  <si>
    <t>Mitglied des Netzwerks</t>
  </si>
  <si>
    <t>Provisionszahlungsart</t>
  </si>
  <si>
    <t>VSH Betrag</t>
  </si>
  <si>
    <t>H-Nummer</t>
  </si>
  <si>
    <t>Bemerkung</t>
  </si>
  <si>
    <t>MFA,Broker,No Contract,No Info,Special agreement</t>
  </si>
  <si>
    <t>Portal Access,Correspondence Post,Correspondence Online,Commission Statement Post,Commission Statement Online,Application Queries Post,Application Queries Online</t>
  </si>
  <si>
    <t>Makler,MFA,Kein Vertrag,Keine Information,Sondervereinbarung</t>
  </si>
  <si>
    <t>CommissionPaid__c</t>
  </si>
  <si>
    <t>MainAccount__c</t>
  </si>
  <si>
    <t>MemberOfNetwork__c</t>
  </si>
  <si>
    <t>ParentContract__c</t>
  </si>
  <si>
    <t>PortalBroker__c</t>
  </si>
  <si>
    <t>GPIHKNumber__c</t>
  </si>
  <si>
    <t>Top-5</t>
  </si>
  <si>
    <t>CommissionPaymentId__c</t>
  </si>
  <si>
    <t>DebtAmount__c</t>
  </si>
  <si>
    <t>LiabilityAmount__c</t>
  </si>
  <si>
    <t>PaidOutAmount__c</t>
  </si>
  <si>
    <t>PayholdAmount__c</t>
  </si>
  <si>
    <t>PaymentAmount__c</t>
  </si>
  <si>
    <t>StatementDate__c</t>
  </si>
  <si>
    <t>Commission Payment ID</t>
  </si>
  <si>
    <t>Debt Amount</t>
  </si>
  <si>
    <t>Liability Amount</t>
  </si>
  <si>
    <t>Commission Payment Name</t>
  </si>
  <si>
    <t>Paid Out Amount</t>
  </si>
  <si>
    <t>Payhold Amount</t>
  </si>
  <si>
    <t>Payment Amount</t>
  </si>
  <si>
    <t>Statement Broker</t>
  </si>
  <si>
    <t>StatementDate</t>
  </si>
  <si>
    <t>Provisionsvereinbarung</t>
  </si>
  <si>
    <t>Courtagezahlung ID</t>
  </si>
  <si>
    <t>Sollsaldo</t>
  </si>
  <si>
    <t>Haftungsbetrag</t>
  </si>
  <si>
    <t>Courtagezahlung Name</t>
  </si>
  <si>
    <t>Auszahlbetrag</t>
  </si>
  <si>
    <t>Payhold</t>
  </si>
  <si>
    <t>Zahlbetrag</t>
  </si>
  <si>
    <t>Abrechnungs-GP</t>
  </si>
  <si>
    <t>Date</t>
  </si>
  <si>
    <t>PaymentDate__c</t>
  </si>
  <si>
    <t>AddressAddition1__c</t>
  </si>
  <si>
    <t>AddressAddition2__c</t>
  </si>
  <si>
    <t>ContactId__c</t>
  </si>
  <si>
    <t>ContactSource__c</t>
  </si>
  <si>
    <t>DoNotCall</t>
  </si>
  <si>
    <t>HasOptedOutOfEmail</t>
  </si>
  <si>
    <t>HasOptedOutOfFax</t>
  </si>
  <si>
    <t>Housenumber__c</t>
  </si>
  <si>
    <t>ISuitePartnerId__c</t>
  </si>
  <si>
    <t>MailingCity</t>
  </si>
  <si>
    <t>MailingCountry</t>
  </si>
  <si>
    <t>MailingPostalCode</t>
  </si>
  <si>
    <t>MailingState</t>
  </si>
  <si>
    <t>MailingStreet</t>
  </si>
  <si>
    <t>MiddleName</t>
  </si>
  <si>
    <t>MobilePhone</t>
  </si>
  <si>
    <t>Outdated__c</t>
  </si>
  <si>
    <t>PaxusPartnerId__c</t>
  </si>
  <si>
    <t>Suffix</t>
  </si>
  <si>
    <t>Address Addition 1</t>
  </si>
  <si>
    <t>Address Addition 2</t>
  </si>
  <si>
    <t>Do Not Call</t>
  </si>
  <si>
    <t>Has opted out of Email</t>
  </si>
  <si>
    <t>Has opted out of Fax</t>
  </si>
  <si>
    <t>Housenumber</t>
  </si>
  <si>
    <t>ISuitePartnerId</t>
  </si>
  <si>
    <t>Mailing City</t>
  </si>
  <si>
    <t>Mailing Country</t>
  </si>
  <si>
    <t>Mailing Zip/Postal Code</t>
  </si>
  <si>
    <t>Mailing State/Province</t>
  </si>
  <si>
    <t>Mailing Street</t>
  </si>
  <si>
    <t>Middle Name</t>
  </si>
  <si>
    <t>Mobile Phone</t>
  </si>
  <si>
    <t>Outdated</t>
  </si>
  <si>
    <t>Paxus Partner ID</t>
  </si>
  <si>
    <t>Adresszusatz 1</t>
  </si>
  <si>
    <t>Adresszusatz 2</t>
  </si>
  <si>
    <t>Datenquelle</t>
  </si>
  <si>
    <t>Nicht Mailen</t>
  </si>
  <si>
    <t>Nicht Faxen</t>
  </si>
  <si>
    <t>Hausnummer</t>
  </si>
  <si>
    <t>veraltet</t>
  </si>
  <si>
    <t>ExternalPartnerId__c</t>
  </si>
  <si>
    <t>IsEmailBounced</t>
  </si>
  <si>
    <t>AdvisingBrokerIHK__c</t>
  </si>
  <si>
    <t>AdvisingBrokerNumber__c</t>
  </si>
  <si>
    <t>AdvisingBusinessAccount__c</t>
  </si>
  <si>
    <t>AnnualOrSinglePremium__c</t>
  </si>
  <si>
    <t>AnnualPremiumAmount__c</t>
  </si>
  <si>
    <t>APE__c</t>
  </si>
  <si>
    <t>BAVType__c</t>
  </si>
  <si>
    <t>BrokerReferenceNumber__c</t>
  </si>
  <si>
    <t>Cobe__c</t>
  </si>
  <si>
    <t>CommissionOption__c</t>
  </si>
  <si>
    <t>ContractTerm</t>
  </si>
  <si>
    <t>CurrentServicingBroker__c</t>
  </si>
  <si>
    <t>Indexation__c</t>
  </si>
  <si>
    <t>InputDate__c</t>
  </si>
  <si>
    <t>IsSinglePremium__c</t>
  </si>
  <si>
    <t>IssueDate__c</t>
  </si>
  <si>
    <t>LastActivityDate</t>
  </si>
  <si>
    <t>NumberLifesAssured__c</t>
  </si>
  <si>
    <t>OutstandingBillAmount__c</t>
  </si>
  <si>
    <t>OutstandingBillCount__c</t>
  </si>
  <si>
    <t>PaidToDate__c</t>
  </si>
  <si>
    <t>PolicyId__c</t>
  </si>
  <si>
    <t>PolicyNumber__c</t>
  </si>
  <si>
    <t>PolicyStatus__c</t>
  </si>
  <si>
    <t>PremiumFrequency__c</t>
  </si>
  <si>
    <t>Pricebook2Id</t>
  </si>
  <si>
    <t>ProductClass__c</t>
  </si>
  <si>
    <t>ProductCode__c</t>
  </si>
  <si>
    <t>ProductGroup__c</t>
  </si>
  <si>
    <t>RegularPremium__c</t>
  </si>
  <si>
    <t>SinglePremium__c</t>
  </si>
  <si>
    <t>StartDate</t>
  </si>
  <si>
    <t>SumAssured1__c</t>
  </si>
  <si>
    <t>SumAssured2__c</t>
  </si>
  <si>
    <t>Ukasse,Pensionszusage,Direktversicherung,Übertragsabkommen</t>
  </si>
  <si>
    <t>BBG,0,3,5,7,10</t>
  </si>
  <si>
    <t>Error,Cancel From Inception(NPW),Death,Expiry,Paid Up Premium,Premium Ceased,Premium Holiday,In Force,Grp Conv,Cancel,Lapse,Proposal Pending Conversion,Not Taken Up Proposal,Maturity,Death Notify,Surrender</t>
  </si>
  <si>
    <t>one off,yearly,half yearly,quarterly,monthly</t>
  </si>
  <si>
    <t>Basis,bAV,Privat,Risiko</t>
  </si>
  <si>
    <t>0,1,2,3</t>
  </si>
  <si>
    <t>In Approval Process,Activated,Draft</t>
  </si>
  <si>
    <t>Account IDc</t>
  </si>
  <si>
    <t>Advising Broker IHK</t>
  </si>
  <si>
    <t>Advising Broker Number</t>
  </si>
  <si>
    <t>Advising Business Account</t>
  </si>
  <si>
    <t>Annual or Single Premium</t>
  </si>
  <si>
    <t>Annual Premium</t>
  </si>
  <si>
    <t>APE</t>
  </si>
  <si>
    <t>bAV Type</t>
  </si>
  <si>
    <t>Broker Reference Number</t>
  </si>
  <si>
    <t>COBE</t>
  </si>
  <si>
    <t>Commission Option</t>
  </si>
  <si>
    <t>Policy Term</t>
  </si>
  <si>
    <t>Current Servicing Broker</t>
  </si>
  <si>
    <t>Policy End Date</t>
  </si>
  <si>
    <t>Indexation in %</t>
  </si>
  <si>
    <t>Entry Date</t>
  </si>
  <si>
    <t>Is Single Premium</t>
  </si>
  <si>
    <t>Date Issued</t>
  </si>
  <si>
    <t>Last Activity</t>
  </si>
  <si>
    <t>Policy Name</t>
  </si>
  <si>
    <t>Number Lifes Assured</t>
  </si>
  <si>
    <t>Outstanding Bill Amount</t>
  </si>
  <si>
    <t>Outstanding Bill Count</t>
  </si>
  <si>
    <t>Policy Owner</t>
  </si>
  <si>
    <t>Paid To Date</t>
  </si>
  <si>
    <t>Policy Id</t>
  </si>
  <si>
    <t>CLE Policy Number</t>
  </si>
  <si>
    <t>Policy Status</t>
  </si>
  <si>
    <t>Premium Frequency</t>
  </si>
  <si>
    <t>Price Book ID</t>
  </si>
  <si>
    <t>Product Class</t>
  </si>
  <si>
    <t>Product Code (iSuite)</t>
  </si>
  <si>
    <t>Product Group</t>
  </si>
  <si>
    <t>Product</t>
  </si>
  <si>
    <t>Regular Premium</t>
  </si>
  <si>
    <t>Single Premium</t>
  </si>
  <si>
    <t>Policy Start Date</t>
  </si>
  <si>
    <t>Sum Assured LA1</t>
  </si>
  <si>
    <t>Sum Assured LA2</t>
  </si>
  <si>
    <t>IHK-Nummer beratender GP</t>
  </si>
  <si>
    <t>beratende GP-Nr.</t>
  </si>
  <si>
    <t>beratender GP</t>
  </si>
  <si>
    <t>Jahres- oder Einmalbeitrag</t>
  </si>
  <si>
    <t>Jahresbeitrag</t>
  </si>
  <si>
    <t>bAV Typ</t>
  </si>
  <si>
    <t>GP-Referenz</t>
  </si>
  <si>
    <t>Courtagevereinbarung</t>
  </si>
  <si>
    <t>Provisions-Option</t>
  </si>
  <si>
    <t>Laufzeit</t>
  </si>
  <si>
    <t>aktueller GP</t>
  </si>
  <si>
    <t>Policen Enddatum</t>
  </si>
  <si>
    <t>Dynamik in %</t>
  </si>
  <si>
    <t>Datum der Eingabe</t>
  </si>
  <si>
    <t>Produkt Ist Einmalbeitrag</t>
  </si>
  <si>
    <t>Police ausgestellt am</t>
  </si>
  <si>
    <t>Policenname</t>
  </si>
  <si>
    <t>Anzahl versicherte Personen</t>
  </si>
  <si>
    <t>Summe offener Beiträge</t>
  </si>
  <si>
    <t>Anzahl offener Beiträge</t>
  </si>
  <si>
    <t>Beitrag gezahlt bis</t>
  </si>
  <si>
    <t>Policen ID</t>
  </si>
  <si>
    <t>CLE Policen Nummer</t>
  </si>
  <si>
    <t>Policenstatus</t>
  </si>
  <si>
    <t>Anzahl Prämien p.a.</t>
  </si>
  <si>
    <t>Produkt Klasse</t>
  </si>
  <si>
    <t>Produkt Code</t>
  </si>
  <si>
    <t>Produkt Gruppe</t>
  </si>
  <si>
    <t>Laufender Beitrag</t>
  </si>
  <si>
    <t>Einmalbeitrag</t>
  </si>
  <si>
    <t>Policen Startdatum</t>
  </si>
  <si>
    <t>Versicherungssumme VP1</t>
  </si>
  <si>
    <t>CreatedBy</t>
  </si>
  <si>
    <t>RecordTypeId__c</t>
  </si>
  <si>
    <t>ServiceingBrokerIHK__c</t>
  </si>
  <si>
    <t>ServiceingBrokerNumber__c</t>
  </si>
  <si>
    <t>ServicingBUsinessAccoun</t>
  </si>
  <si>
    <t>ServicingBUsinessAccount</t>
  </si>
  <si>
    <t>ContractNumber</t>
  </si>
  <si>
    <t>Account__c</t>
  </si>
  <si>
    <t>EndDate__c</t>
  </si>
  <si>
    <t>IsRegistered__c</t>
  </si>
  <si>
    <t>Batch ID</t>
  </si>
  <si>
    <t>Data Source</t>
  </si>
  <si>
    <t>Valid until</t>
  </si>
  <si>
    <t>Registered</t>
  </si>
  <si>
    <t>IHK Number Name</t>
  </si>
  <si>
    <t>Geschäftspartner</t>
  </si>
  <si>
    <t>Registriert</t>
  </si>
  <si>
    <t>IHK Nummer Name</t>
  </si>
  <si>
    <t>AdvisingProduct__c</t>
  </si>
  <si>
    <t>AdvisingTopic__c</t>
  </si>
  <si>
    <t>City</t>
  </si>
  <si>
    <t>CommentBroker__c</t>
  </si>
  <si>
    <t>CommentCLE__c</t>
  </si>
  <si>
    <t>Company</t>
  </si>
  <si>
    <t>ConfirmEmailAddress__c</t>
  </si>
  <si>
    <t>ContactableFromTo__c</t>
  </si>
  <si>
    <t>DateOfBirth__c</t>
  </si>
  <si>
    <t>DietaryRequirement__c</t>
  </si>
  <si>
    <t>EndAge__c</t>
  </si>
  <si>
    <t>EventId__c</t>
  </si>
  <si>
    <t>GDPROptIn__c</t>
  </si>
  <si>
    <t>HasContractWithCLE__c</t>
  </si>
  <si>
    <t>IndividualId</t>
  </si>
  <si>
    <t>Leadsource</t>
  </si>
  <si>
    <t>Leadtype__c</t>
  </si>
  <si>
    <t>NeedHotelroom__c</t>
  </si>
  <si>
    <t>PreferredContactType__c</t>
  </si>
  <si>
    <t>PrivacyPolicy__c</t>
  </si>
  <si>
    <t>StartdateLead__c</t>
  </si>
  <si>
    <t>Street</t>
  </si>
  <si>
    <t>SumInsured__c</t>
  </si>
  <si>
    <t>SumPension__c</t>
  </si>
  <si>
    <t>ToBeDeleted__c</t>
  </si>
  <si>
    <t>VVIDNumber__c</t>
  </si>
  <si>
    <t>GENERATION basic,GENERATION business,GENERATION private,Flexibler Kapitalplan,Garantie Investment Rente,Schwere Krankheiten Vorsorge,RISIKOLEBEN komfort,RISIKOLEBEN optimal,Berufsunfähigkeitsschutz,Grundfähigkeitsversicherung,Premium Grundfähigkeitsversicherung</t>
  </si>
  <si>
    <t>Basisrente,Betriebliche Altersversorgung,Private Rente,Sofortrente,Berufsunfähigkeitsversicherung,Grundfähigkeitsabsicherung,Dread Disease/Schwere Krankheiten Vorsorge,Risikolebensversicherung</t>
  </si>
  <si>
    <t>Website,Commercial,Customer event,Employee referral,Google AdWords,others,Partner,Acquired list,Webinar,Trade Fair</t>
  </si>
  <si>
    <t>Customer,Broker</t>
  </si>
  <si>
    <t>email,phone,mobile</t>
  </si>
  <si>
    <t>New Lead,Pre-Qualification,Lead RD,Lead BC,Lead Broker,Lead CLE,Application In Work,Rejection,No Further Interest,Contract,Invitation sent,registered,participated,failed to appear,unannounced participation,registration cancelled (internal reasons),registration cancelled by attendee,Converted,No Response To Invitation,To Be Invited,Cancelled</t>
  </si>
  <si>
    <t>Individual</t>
  </si>
  <si>
    <t>Advising Product</t>
  </si>
  <si>
    <t>Advising Topic</t>
  </si>
  <si>
    <t>Broker Comment</t>
  </si>
  <si>
    <t>Comment CLE</t>
  </si>
  <si>
    <t>Confirm Email Address</t>
  </si>
  <si>
    <t>Contactable From To</t>
  </si>
  <si>
    <t>Date Of Birth</t>
  </si>
  <si>
    <t>Dietary Requirement</t>
  </si>
  <si>
    <t>EndAge</t>
  </si>
  <si>
    <t>Event ID</t>
  </si>
  <si>
    <t>GDPR Opt In</t>
  </si>
  <si>
    <t>Has Contract with CLE</t>
  </si>
  <si>
    <t>Individual ID</t>
  </si>
  <si>
    <t>Need Hotelroom</t>
  </si>
  <si>
    <t>Lead Source</t>
  </si>
  <si>
    <t>Lead Type</t>
  </si>
  <si>
    <t>Preferred Contact Type</t>
  </si>
  <si>
    <t>Privacy Policy</t>
  </si>
  <si>
    <t>Startdate Lead</t>
  </si>
  <si>
    <t>Sum Insured</t>
  </si>
  <si>
    <t>Sum Pension</t>
  </si>
  <si>
    <t>VVID Number</t>
  </si>
  <si>
    <t>Thema</t>
  </si>
  <si>
    <t>Stadt</t>
  </si>
  <si>
    <t>Anmerkung Broker</t>
  </si>
  <si>
    <t>Anmerkung CLE</t>
  </si>
  <si>
    <t>GP Nr.</t>
  </si>
  <si>
    <t>Firma</t>
  </si>
  <si>
    <t>Erreichbar zwischen</t>
  </si>
  <si>
    <t>Geburtsdatum</t>
  </si>
  <si>
    <t>Besondere Lebensmittel</t>
  </si>
  <si>
    <t>Endalter</t>
  </si>
  <si>
    <t>Event Nr.</t>
  </si>
  <si>
    <t>Vorname</t>
  </si>
  <si>
    <t>Vertrag mit CLE</t>
  </si>
  <si>
    <t>Nachname</t>
  </si>
  <si>
    <t>Lead-Quelle</t>
  </si>
  <si>
    <t>Lead-Typ</t>
  </si>
  <si>
    <t>Benötigt Hotelzimmer</t>
  </si>
  <si>
    <t>Bevorzugte Kontaktmethode</t>
  </si>
  <si>
    <t>Startdatum</t>
  </si>
  <si>
    <t>Strasse</t>
  </si>
  <si>
    <t>Versicherungssumme</t>
  </si>
  <si>
    <t>Rentenbetrag</t>
  </si>
  <si>
    <t>VVID Nummer</t>
  </si>
  <si>
    <t>Profession__c</t>
  </si>
  <si>
    <t>IsConverted</t>
  </si>
  <si>
    <t>IsUnreadByOwner</t>
  </si>
  <si>
    <t>AccountTarget__c</t>
  </si>
  <si>
    <t>BrokerConsultantTarget__c</t>
  </si>
  <si>
    <t>CloseDate</t>
  </si>
  <si>
    <t>CLETarget__c</t>
  </si>
  <si>
    <t>OpportunityId__c</t>
  </si>
  <si>
    <t>RegionalDirectorTarget__c</t>
  </si>
  <si>
    <t>SalesDirectorTarget__c</t>
  </si>
  <si>
    <t>Stagename</t>
  </si>
  <si>
    <t>Qualification,Needs Analysis,Proposal,Negotiation,Closed Won,Closed Lost</t>
  </si>
  <si>
    <t>Account Target</t>
  </si>
  <si>
    <t>Broker Consultant Target</t>
  </si>
  <si>
    <t>Close Date</t>
  </si>
  <si>
    <t>CLE Target</t>
  </si>
  <si>
    <t>Opportunity ID</t>
  </si>
  <si>
    <t>Regional Director Target</t>
  </si>
  <si>
    <t>Sales Director Target</t>
  </si>
  <si>
    <t>Stage</t>
  </si>
  <si>
    <t>IsClosed</t>
  </si>
  <si>
    <t>IsWon</t>
  </si>
  <si>
    <t>ForecastCategory</t>
  </si>
  <si>
    <t>HasOpportunityLineItem</t>
  </si>
  <si>
    <t>HasOpenActivity</t>
  </si>
  <si>
    <t>HasOverdueTask</t>
  </si>
  <si>
    <t>APEGross__c</t>
  </si>
  <si>
    <t>APEGrossNewBusiness__c</t>
  </si>
  <si>
    <t>APEInvestmentFund__c</t>
  </si>
  <si>
    <t>APEItemId__c</t>
  </si>
  <si>
    <t>APENet__c</t>
  </si>
  <si>
    <t>APERuleCode__c</t>
  </si>
  <si>
    <t>APERuleDescription__c</t>
  </si>
  <si>
    <t>BrokerConsultantAccountRegionId__c</t>
  </si>
  <si>
    <t>BrokerConsultantId__c</t>
  </si>
  <si>
    <t>BrokerConsultantRegion__c</t>
  </si>
  <si>
    <t>BWSAmount__c</t>
  </si>
  <si>
    <t>CasesCountFactor__c</t>
  </si>
  <si>
    <t>CLEPolicyNumber__c</t>
  </si>
  <si>
    <t>CoverType__c</t>
  </si>
  <si>
    <t>EffectiveDate__c</t>
  </si>
  <si>
    <t>GrossIssued__c</t>
  </si>
  <si>
    <t>IsCancellation__c</t>
  </si>
  <si>
    <t>IsCFI__c</t>
  </si>
  <si>
    <t>IsGross__c</t>
  </si>
  <si>
    <t>IsGrossCLE__c</t>
  </si>
  <si>
    <t>IsGrossNewBusiness__c</t>
  </si>
  <si>
    <t>IsIncrease__c</t>
  </si>
  <si>
    <t>IsIndexation__c</t>
  </si>
  <si>
    <t>IsIssued__c</t>
  </si>
  <si>
    <t>IsIsuite__c</t>
  </si>
  <si>
    <t>IsNet__c</t>
  </si>
  <si>
    <t>IsNewBusiness__c</t>
  </si>
  <si>
    <t>IsNewIncrease__c</t>
  </si>
  <si>
    <t>IsNewIndexation__c</t>
  </si>
  <si>
    <t>IsProposal__c</t>
  </si>
  <si>
    <t>IsReduction__c</t>
  </si>
  <si>
    <t>IsReincrease__c</t>
  </si>
  <si>
    <t>IsReindexation__c</t>
  </si>
  <si>
    <t>IsReversal__c</t>
  </si>
  <si>
    <t>IsTotal__c</t>
  </si>
  <si>
    <t>OpportunityId</t>
  </si>
  <si>
    <t>OriginalTransactionDescription__c</t>
  </si>
  <si>
    <t>PremiumChangeValue__c</t>
  </si>
  <si>
    <t>PremiumType__c</t>
  </si>
  <si>
    <t>Product2Id</t>
  </si>
  <si>
    <t>ProductCode</t>
  </si>
  <si>
    <t>SalesEventId__c</t>
  </si>
  <si>
    <t>SalesPersonId__c</t>
  </si>
  <si>
    <t>ServiceDate</t>
  </si>
  <si>
    <t>SumOfPremiums__c</t>
  </si>
  <si>
    <t>TransactionCode__c</t>
  </si>
  <si>
    <t>TransactionDescription__c</t>
  </si>
  <si>
    <t>UnitPrice</t>
  </si>
  <si>
    <t>Opportunity</t>
  </si>
  <si>
    <t>APE Gross</t>
  </si>
  <si>
    <t>APE Gross New Business</t>
  </si>
  <si>
    <t>APE (Investment or Fund)</t>
  </si>
  <si>
    <t>APE Item ID</t>
  </si>
  <si>
    <t>APE Net</t>
  </si>
  <si>
    <t>APE Rule Code</t>
  </si>
  <si>
    <t>APE Rule Description</t>
  </si>
  <si>
    <t>Broker Consultant Account Region</t>
  </si>
  <si>
    <t>Broker Consultant Region</t>
  </si>
  <si>
    <t>BWS Amount</t>
  </si>
  <si>
    <t>Cases Count Factor</t>
  </si>
  <si>
    <t>Cover Type</t>
  </si>
  <si>
    <t>Transaction Effective date</t>
  </si>
  <si>
    <t>Gross Issued</t>
  </si>
  <si>
    <t>Cancelled</t>
  </si>
  <si>
    <t>CFI</t>
  </si>
  <si>
    <t>Gross</t>
  </si>
  <si>
    <t>Gross CLE</t>
  </si>
  <si>
    <t>New Business (gross)</t>
  </si>
  <si>
    <t>Increase</t>
  </si>
  <si>
    <t>Is Indexation</t>
  </si>
  <si>
    <t>Issued</t>
  </si>
  <si>
    <t>iSuite</t>
  </si>
  <si>
    <t>Net</t>
  </si>
  <si>
    <t>New Business</t>
  </si>
  <si>
    <t>New Increase</t>
  </si>
  <si>
    <t>New Indexation</t>
  </si>
  <si>
    <t>Proposal</t>
  </si>
  <si>
    <t>Reduction</t>
  </si>
  <si>
    <t>Reincrease</t>
  </si>
  <si>
    <t>Reindexation</t>
  </si>
  <si>
    <t>Reversal</t>
  </si>
  <si>
    <t>Total</t>
  </si>
  <si>
    <t>Original Transaction Description</t>
  </si>
  <si>
    <t>Policy Number</t>
  </si>
  <si>
    <t>Premium Change</t>
  </si>
  <si>
    <t>Premium Type</t>
  </si>
  <si>
    <t>Product ID</t>
  </si>
  <si>
    <t>Product Code</t>
  </si>
  <si>
    <t>Sales Event</t>
  </si>
  <si>
    <t>Sold By</t>
  </si>
  <si>
    <t>Sum of Premiums (Term)</t>
  </si>
  <si>
    <t>Transaction Code</t>
  </si>
  <si>
    <t>Transaction Description</t>
  </si>
  <si>
    <t>Sales Price</t>
  </si>
  <si>
    <t>Prämie</t>
  </si>
  <si>
    <t>Beitragsweise</t>
  </si>
  <si>
    <t>ActualValue__c</t>
  </si>
  <si>
    <t>APEValue__c</t>
  </si>
  <si>
    <t>BusinessSegment__c</t>
  </si>
  <si>
    <t>CommissionAgreementTarget__c</t>
  </si>
  <si>
    <t>OwnerId__c</t>
  </si>
  <si>
    <t>ProductSegment__c</t>
  </si>
  <si>
    <t>ProductTarget__c</t>
  </si>
  <si>
    <t>RegionTarget__c</t>
  </si>
  <si>
    <t>TransactionCreationDate__c</t>
  </si>
  <si>
    <t>TransactionId__c</t>
  </si>
  <si>
    <t>TransactionName__c</t>
  </si>
  <si>
    <t>Quantity</t>
  </si>
  <si>
    <t>BiPROPartner__c</t>
  </si>
  <si>
    <t>ClientZIPCode__c</t>
  </si>
  <si>
    <t>ContainsHandwriting__c</t>
  </si>
  <si>
    <t>CreationTimeStamp__c</t>
  </si>
  <si>
    <t>DeletionDateTime__c</t>
  </si>
  <si>
    <t>ExternalId__c</t>
  </si>
  <si>
    <t>FilenetDocId__c</t>
  </si>
  <si>
    <t>IsBiPRO__c</t>
  </si>
  <si>
    <t>IsEncrypted__c</t>
  </si>
  <si>
    <t>IsESignature__c</t>
  </si>
  <si>
    <t>IsGFV__c</t>
  </si>
  <si>
    <t>IsGFVShortHealthQuestions__c</t>
  </si>
  <si>
    <t>IsGroupApplication__c</t>
  </si>
  <si>
    <t>IsMagnum__c</t>
  </si>
  <si>
    <t>IsOnlineQuotes__c</t>
  </si>
  <si>
    <t>IsPaper__c</t>
  </si>
  <si>
    <t>IsPDF__c</t>
  </si>
  <si>
    <t>IsTopUp__c</t>
  </si>
  <si>
    <t>NumberOfProposals__c</t>
  </si>
  <si>
    <t>PolicyApplication__c</t>
  </si>
  <si>
    <t>PolicyApplicationIsDeleted__c</t>
  </si>
  <si>
    <t>PolicyApplicationProduct__c</t>
  </si>
  <si>
    <t>ProposalEnteredBy__c</t>
  </si>
  <si>
    <t>SalesforceProduct__c</t>
  </si>
  <si>
    <t>SinglePremiumAmount__c</t>
  </si>
  <si>
    <t>(0) - Canada Life,(1) - Swiss Life Select,(2) - BlauDirekt,(3) - SoftFair,(4) - Telis,(5) - horbach,(6) - Jung DMS &amp; Cie,(7) - maklersoftware,(8) - morgen &amp; morgen,(9) - Franke &amp; Bornberg,(16) - SBL,(22) - INVERS,(42) - xbAV Berater</t>
  </si>
  <si>
    <t>BiPRO Partner</t>
  </si>
  <si>
    <t>Client ZIP Code</t>
  </si>
  <si>
    <t>Contains Handwriting</t>
  </si>
  <si>
    <t>Created By ID</t>
  </si>
  <si>
    <t>Created</t>
  </si>
  <si>
    <t>Deletion Date/Time</t>
  </si>
  <si>
    <t>External ID</t>
  </si>
  <si>
    <t>Filenet Document ID</t>
  </si>
  <si>
    <t>BiPRO</t>
  </si>
  <si>
    <t>Encrypted</t>
  </si>
  <si>
    <t>E-Signature</t>
  </si>
  <si>
    <t>GFV</t>
  </si>
  <si>
    <t>GFV (Short-Health-Questions)</t>
  </si>
  <si>
    <t>Group-Application</t>
  </si>
  <si>
    <t>Magnum</t>
  </si>
  <si>
    <t>Online Quotes</t>
  </si>
  <si>
    <t>Paper</t>
  </si>
  <si>
    <t>PDF</t>
  </si>
  <si>
    <t>Top-Up</t>
  </si>
  <si>
    <t>Number of Proposals</t>
  </si>
  <si>
    <t>Policy Application</t>
  </si>
  <si>
    <t>Deleted</t>
  </si>
  <si>
    <t>Policy Application Product</t>
  </si>
  <si>
    <t>Entered by</t>
  </si>
  <si>
    <t>Single Premium Amount</t>
  </si>
  <si>
    <t>PLZ der Vers. Person</t>
  </si>
  <si>
    <t>Handschrift</t>
  </si>
  <si>
    <t>Angelegt</t>
  </si>
  <si>
    <t>Löschzeitpunkt</t>
  </si>
  <si>
    <t>Filenet Dokumenten-Nr.</t>
  </si>
  <si>
    <t>Verschlüsselt</t>
  </si>
  <si>
    <t>E-Signatur</t>
  </si>
  <si>
    <t>GFV (Kurzantrag)</t>
  </si>
  <si>
    <t>Gruppen-Antrag</t>
  </si>
  <si>
    <t>Online-Quotes</t>
  </si>
  <si>
    <t>Papierantrag</t>
  </si>
  <si>
    <t>Zuzahlung</t>
  </si>
  <si>
    <t>Anzahl Anträge</t>
  </si>
  <si>
    <t>Neuantrag</t>
  </si>
  <si>
    <t>Gelöscht</t>
  </si>
  <si>
    <t>Produkt (Eingangsbuch)</t>
  </si>
  <si>
    <t>Eingegeben durch</t>
  </si>
  <si>
    <t>ContactRole__c</t>
  </si>
  <si>
    <t>Contract__c</t>
  </si>
  <si>
    <t>Beneficiary 1,Beneficiary 2,Beneficiary 3,Life Assured 1,Life Assured 2,Policy Holder 1,Policy Holder 2,Premium Payor</t>
  </si>
  <si>
    <t>Policy Member</t>
  </si>
  <si>
    <t>Role</t>
  </si>
  <si>
    <t>Policy Contact Relationship Name</t>
  </si>
  <si>
    <t>Policenbeteiligte</t>
  </si>
  <si>
    <t>Rolle</t>
  </si>
  <si>
    <t>Policennummer</t>
  </si>
  <si>
    <t>Beziehungsschlüssel</t>
  </si>
  <si>
    <t>PolicyID__c</t>
  </si>
  <si>
    <t>ContractId__c</t>
  </si>
  <si>
    <t>Description</t>
  </si>
  <si>
    <t>IsArchived</t>
  </si>
  <si>
    <t>IsStandard</t>
  </si>
  <si>
    <t>PriceBookId__c</t>
  </si>
  <si>
    <t>Active</t>
  </si>
  <si>
    <t>Archived</t>
  </si>
  <si>
    <t>Is Standard Price Book</t>
  </si>
  <si>
    <t>Price Book Name</t>
  </si>
  <si>
    <t>ID</t>
  </si>
  <si>
    <t>PriceBook2Id</t>
  </si>
  <si>
    <t>Product Name</t>
  </si>
  <si>
    <t>UseStandardPrice</t>
  </si>
  <si>
    <t>Family</t>
  </si>
  <si>
    <t>ProductID__c</t>
  </si>
  <si>
    <t>Pension,Protection</t>
  </si>
  <si>
    <t>Arbeitskraft</t>
  </si>
  <si>
    <t>ALR,CBU,CGN,FDS,FKP,FRP,GAK,GFP,GFV,GIR,GNB,GNP,GNR,GRB,GRP,GRR,PFL,PFS,PFV,PGR,PKP,PMK,PRR,RLV,SFP,SKS,SKV,XRP</t>
  </si>
  <si>
    <t>Product Family</t>
  </si>
  <si>
    <t>Absicherungstyp</t>
  </si>
  <si>
    <t>Aktiv</t>
  </si>
  <si>
    <t>Produktname</t>
  </si>
  <si>
    <t>Produktcode</t>
  </si>
  <si>
    <t>Produkt ID</t>
  </si>
  <si>
    <t>Rente,Risiko</t>
  </si>
  <si>
    <t>CurrentlyOffered__c</t>
  </si>
  <si>
    <t>AllowedForScanning__c</t>
  </si>
  <si>
    <t>CallAttempts__c</t>
  </si>
  <si>
    <t>Closed__c</t>
  </si>
  <si>
    <t>Comment__c</t>
  </si>
  <si>
    <t>Description__c</t>
  </si>
  <si>
    <t>InternalStatus__c</t>
  </si>
  <si>
    <t>IsAgreementViaPhone__c</t>
  </si>
  <si>
    <t>IsAlternative__c</t>
  </si>
  <si>
    <t>IsCheckWithSME__c</t>
  </si>
  <si>
    <t>ISuiteTaskId__c</t>
  </si>
  <si>
    <t>LastModified__c</t>
  </si>
  <si>
    <t>ParentTaskId__c</t>
  </si>
  <si>
    <t>Partner__c</t>
  </si>
  <si>
    <t>Priority__c</t>
  </si>
  <si>
    <t>SourceTaskId__c</t>
  </si>
  <si>
    <t>Suggestion__c</t>
  </si>
  <si>
    <t>SuspensionReason__c</t>
  </si>
  <si>
    <t>TargetDate__c</t>
  </si>
  <si>
    <t>TaskCreationDate__c</t>
  </si>
  <si>
    <t>TaskLastModified__c</t>
  </si>
  <si>
    <t>TaskStatus__c</t>
  </si>
  <si>
    <t>Team__c</t>
  </si>
  <si>
    <t>TeamMember__c</t>
  </si>
  <si>
    <t>Type__c</t>
  </si>
  <si>
    <t>WeeksInQueue__c</t>
  </si>
  <si>
    <t>Open,On Hold,Cancelled,Closed</t>
  </si>
  <si>
    <t>Low,Medium,High,Unknown</t>
  </si>
  <si>
    <t>New,Open,Closed</t>
  </si>
  <si>
    <t>Call Attempts</t>
  </si>
  <si>
    <t>Closed Date</t>
  </si>
  <si>
    <t>Internal Status</t>
  </si>
  <si>
    <t>Agreement via Phone</t>
  </si>
  <si>
    <t>Alternative</t>
  </si>
  <si>
    <t>Check with Internal</t>
  </si>
  <si>
    <t>iSuite Task ID</t>
  </si>
  <si>
    <t>Last Modified</t>
  </si>
  <si>
    <t>iSuite_Task Name</t>
  </si>
  <si>
    <t>Parent Task ID</t>
  </si>
  <si>
    <t>Partner</t>
  </si>
  <si>
    <t>Priority</t>
  </si>
  <si>
    <t>Suggestion</t>
  </si>
  <si>
    <t>Suspension Reason</t>
  </si>
  <si>
    <t>Target Date</t>
  </si>
  <si>
    <t>Task Creation Date</t>
  </si>
  <si>
    <t>Task Last Modified</t>
  </si>
  <si>
    <t>Task Status</t>
  </si>
  <si>
    <t>Team</t>
  </si>
  <si>
    <t>Member</t>
  </si>
  <si>
    <t>Weeks In Queue</t>
  </si>
  <si>
    <t>Berater</t>
  </si>
  <si>
    <t>Anrufversuche</t>
  </si>
  <si>
    <t>Geschlossen am</t>
  </si>
  <si>
    <t>Beschreibung</t>
  </si>
  <si>
    <t>Interner Status</t>
  </si>
  <si>
    <t>Annahme per Telefon</t>
  </si>
  <si>
    <t>Alternativen</t>
  </si>
  <si>
    <t>Rückfrage Fachabteilung</t>
  </si>
  <si>
    <t>Zuletzt Aktualisiert</t>
  </si>
  <si>
    <t>Bearbeiter</t>
  </si>
  <si>
    <t>Übergeordnete Task-ID</t>
  </si>
  <si>
    <t>Policen Nummer</t>
  </si>
  <si>
    <t>Priorität</t>
  </si>
  <si>
    <t>Vorschlag</t>
  </si>
  <si>
    <t>Verspätungsgrund</t>
  </si>
  <si>
    <t>Zieldatum</t>
  </si>
  <si>
    <t>Task erstellt am</t>
  </si>
  <si>
    <t>zuletzt bearbeitet</t>
  </si>
  <si>
    <t>Gruppe</t>
  </si>
  <si>
    <t>Mitglied</t>
  </si>
  <si>
    <t>Wochen in Liste</t>
  </si>
  <si>
    <t>Geschlossen,Neu,Offen</t>
  </si>
  <si>
    <t>storniert,geschlossen,wartend,offen</t>
  </si>
  <si>
    <t>Name__c</t>
  </si>
  <si>
    <t>ActiveFrom__c</t>
  </si>
  <si>
    <t>ActiveTo__c</t>
  </si>
  <si>
    <t>IsActive__c</t>
  </si>
  <si>
    <t>RegionalDirector__c</t>
  </si>
  <si>
    <t>RegionCode__c</t>
  </si>
  <si>
    <t>RegionID__c</t>
  </si>
  <si>
    <t>ReportGroup1__c</t>
  </si>
  <si>
    <t>SalesDirector__c</t>
  </si>
  <si>
    <t>SalesGroup__c</t>
  </si>
  <si>
    <t>Key Account,Broker,Direct</t>
  </si>
  <si>
    <t>Active From</t>
  </si>
  <si>
    <t>Active To</t>
  </si>
  <si>
    <t>Region Name</t>
  </si>
  <si>
    <t>Regional Director</t>
  </si>
  <si>
    <t>Region Code</t>
  </si>
  <si>
    <t>Region ID</t>
  </si>
  <si>
    <t>Reporting Group</t>
  </si>
  <si>
    <t>Sales Director</t>
  </si>
  <si>
    <t>Sales Group</t>
  </si>
  <si>
    <t>Gültig von</t>
  </si>
  <si>
    <t>Gültig bis</t>
  </si>
  <si>
    <t>Regional Direktor</t>
  </si>
  <si>
    <t>Regionscode</t>
  </si>
  <si>
    <t>Reporting Gruppe</t>
  </si>
  <si>
    <t>Vertriebsweg</t>
  </si>
  <si>
    <t>Vertriebsgruppe</t>
  </si>
  <si>
    <t>StatementBrokerId__c</t>
  </si>
  <si>
    <t>StatementBrokerStatus__c</t>
  </si>
  <si>
    <t>active,application,NTU,Payhold,revocation,revocation (Payhold without IHK),revocation (Payhold),revocation (without IHK),Sali,Sali(Payhold without IHK),Sali(Payhold),termination,termination (Payhold),Sali(without IHK)</t>
  </si>
  <si>
    <t>Business Account</t>
  </si>
  <si>
    <t>Last Modified By ID</t>
  </si>
  <si>
    <t>StatementBrokerId</t>
  </si>
  <si>
    <t>VL/BD Konto</t>
  </si>
  <si>
    <t>Abrechnungs-GP ID</t>
  </si>
  <si>
    <t>NTU,Payhold,Sali,Sali(Payhold ohne IHK),Sali(Payhold),Sali(ohne IHK),Aktiv,Bewerbung,Widerruf,Widerruf (Payhold ohne IHK),Widerruf (Payhold),Widerruf(ohne IHK),Kündigung,Kündigung (Payhold)</t>
  </si>
  <si>
    <t>AccountName__c</t>
  </si>
  <si>
    <t>HNumber__c</t>
  </si>
  <si>
    <t>CLE VorsorgePlaner,Morgen &amp; Morgen,softfair,FinanzPlaner 24,Dr. Kriebel Rechner,FB-xpert (Franke &amp; Bornberg),Haufe AltersvorsorgePlaner,Other,eVorsorge,xbAV</t>
  </si>
  <si>
    <t>AMS (AssFinet),b-tix Client (b-tix),CASA (CHARTA),Easy client (easy login GmbH),FinanceOffice (IWM),Finass (Frank Weber Softwareentwicklung),InfoAgent (Buchholz),OASIS (NKK),serviceOFFICE (Mapware),VENTA (C1FinCon),VIAS (LUTRONIK),Other</t>
  </si>
  <si>
    <t>No communication desired,Communication via EMail,Communication via Phone,Communication via Post,Applications to Broker Consultant,Applications to Broker CLE,Send Policy to Broker,Send Policy to Policy-Holder</t>
  </si>
  <si>
    <t>Commission Sacrifice Tariffs,Re-Investment-Manager received,Re-Investment-Manager in use,Maturing Policies,Poolmember,Additional Info Sheet filled</t>
  </si>
  <si>
    <t>Broker-Portal,Support on Salesactivities,Advisorytool,Support on Cancellations,Support- and Sales-Concept for Client Contact,Online Fundinformation,Incentives,SME Support for Client Appointments,Telephonetraining,External Consultancy,Call Center,Advanced (Product-)Training,Tele-Interview,Local Marketing,Client Activity,Support on Client Appointments,Clear Sales-Approach,Valuable Presentation Materials,DMA Inhouse-Trainings,Seminars / Workshops,Online-Presentations,Support getting new clients,Preliminary Risk-Assecssment,Leads,Kompetence-Support,Webinars</t>
  </si>
  <si>
    <t>Singles,Young Families,Children,Entrants and Students,Generation 50+,Companies,Selfemployed,Freelancer,Executives,Associations,Employees,Doctors and  Pharmacists,Athletes,Private Clients,Business Clients</t>
  </si>
  <si>
    <t>very low,low,middle,high,very high</t>
  </si>
  <si>
    <t>DEMV,Keasy,Mr Money,Zeitsprung,Salia,Vivofinanz,Fondskonzept,Finanzoffice,AMS,VIAS,b-Tix,other,VEMA,IWM,NKK,smartinsurtech</t>
  </si>
  <si>
    <t>AdvisorySoftware__c</t>
  </si>
  <si>
    <t>BiPRO__c</t>
  </si>
  <si>
    <t>BiPROSystem__c</t>
  </si>
  <si>
    <t>BusinessAreaCapital__c</t>
  </si>
  <si>
    <t>BusinessAreaHealth__c</t>
  </si>
  <si>
    <t>BusinessAreaLife__c</t>
  </si>
  <si>
    <t>BusinessAreaProperties__c</t>
  </si>
  <si>
    <t>ClientManagementSystem__c</t>
  </si>
  <si>
    <t>Communication__c</t>
  </si>
  <si>
    <t>GeneralInformation__c</t>
  </si>
  <si>
    <t>PotentialClass__c</t>
  </si>
  <si>
    <t>StrategicDataID__c</t>
  </si>
  <si>
    <t>SupportProfile__c</t>
  </si>
  <si>
    <t>TargetGroup__c</t>
  </si>
  <si>
    <t>AccountID</t>
  </si>
  <si>
    <t>Advisory Software</t>
  </si>
  <si>
    <t>BiPRO System</t>
  </si>
  <si>
    <t>Business Area Capital</t>
  </si>
  <si>
    <t>Business Area Health</t>
  </si>
  <si>
    <t>Business Area Life</t>
  </si>
  <si>
    <t>Business Area Properties</t>
  </si>
  <si>
    <t>Client Management System</t>
  </si>
  <si>
    <t>Communication</t>
  </si>
  <si>
    <t>General Information</t>
  </si>
  <si>
    <t>Strategic Data Name</t>
  </si>
  <si>
    <t>Potential Class</t>
  </si>
  <si>
    <t>StrategicDataID</t>
  </si>
  <si>
    <t>Support Profile</t>
  </si>
  <si>
    <t>Target Group</t>
  </si>
  <si>
    <t>Beratungssoftware</t>
  </si>
  <si>
    <t>Geschäftsfeld Kapital</t>
  </si>
  <si>
    <t>Geschäftsfeld Kranken</t>
  </si>
  <si>
    <t>Geschäftsfeld Leben</t>
  </si>
  <si>
    <t>Geschäftsfeld Sach</t>
  </si>
  <si>
    <t>Kundenverwaltungssysteme</t>
  </si>
  <si>
    <t>Kommunikation</t>
  </si>
  <si>
    <t>Allgemeine Informationen</t>
  </si>
  <si>
    <t>Potentialstufe</t>
  </si>
  <si>
    <t>Unterstützungsprofil</t>
  </si>
  <si>
    <t>Zielgruppe</t>
  </si>
  <si>
    <t>APEGrossCoverTypePension__c</t>
  </si>
  <si>
    <t>APEGrossCoverTypeProtection__c</t>
  </si>
  <si>
    <t>APEGrossInvestment__c</t>
  </si>
  <si>
    <t>APEGrossManpower__c</t>
  </si>
  <si>
    <t>APEGrossPremiumTypeRP__c</t>
  </si>
  <si>
    <t>APEGrossPremiumTypeSP__c</t>
  </si>
  <si>
    <t>APEGrossProductClassBasic__c</t>
  </si>
  <si>
    <t>APEGrossProductClassBAV__c</t>
  </si>
  <si>
    <t>APEGrossProductClassPrivate__c</t>
  </si>
  <si>
    <t>APEGrossProductClassRisk__c</t>
  </si>
  <si>
    <t>APEGrossVariableAnnuity__c</t>
  </si>
  <si>
    <t>APENetCoverTypePension__c</t>
  </si>
  <si>
    <t>APENetCoverTypeProtection__c</t>
  </si>
  <si>
    <t>APENetManpower__c</t>
  </si>
  <si>
    <t>APENetPremiumTypeRP__c</t>
  </si>
  <si>
    <t>APENetPremiumTypeSP__c</t>
  </si>
  <si>
    <t>APENetProductClassBasic__c</t>
  </si>
  <si>
    <t>APENetProductClassBAV__c</t>
  </si>
  <si>
    <t>APENetProductClassPrivate__c</t>
  </si>
  <si>
    <t>APENetProductClassRisk__c</t>
  </si>
  <si>
    <t>APENetVariableAnnuity__c</t>
  </si>
  <si>
    <t>CasesCoverTypePension__c</t>
  </si>
  <si>
    <t>CasesCoverTypeProtection__c</t>
  </si>
  <si>
    <t>CasesManpower__c</t>
  </si>
  <si>
    <t>CasesNewBusiness__c</t>
  </si>
  <si>
    <t>CasesPremiumTypeRP__c</t>
  </si>
  <si>
    <t>CasesPremiumTypeSP__c</t>
  </si>
  <si>
    <t>CasesProductClassBasic__c</t>
  </si>
  <si>
    <t>CasesProductClassBAV__c</t>
  </si>
  <si>
    <t>CasesProductClassPrivate__c</t>
  </si>
  <si>
    <t>CasesProductClassRisk__c</t>
  </si>
  <si>
    <t>CasesVariableAnnuity__c</t>
  </si>
  <si>
    <t>Date__c</t>
  </si>
  <si>
    <t>Premium__c</t>
  </si>
  <si>
    <t>PremiumCoverTypePension__c</t>
  </si>
  <si>
    <t>PremiumCoverTypeProtection__c</t>
  </si>
  <si>
    <t>PremiumManpower__c</t>
  </si>
  <si>
    <t>PremiumPremiumTypeRP__c</t>
  </si>
  <si>
    <t>PremiumPremiumTypeSP__c</t>
  </si>
  <si>
    <t>PremiumProductClassBasic__c</t>
  </si>
  <si>
    <t>PremiumProductClassBAV__c</t>
  </si>
  <si>
    <t>PremiumProductClassPrivate__c</t>
  </si>
  <si>
    <t>PremiumProductClassRisk__c</t>
  </si>
  <si>
    <t>PremiumVariableAnnuity__c</t>
  </si>
  <si>
    <t>Productivity__c</t>
  </si>
  <si>
    <t>SalesPerson__c</t>
  </si>
  <si>
    <t>TargetId__c</t>
  </si>
  <si>
    <t>TargetType__c</t>
  </si>
  <si>
    <t>Broker Consultant,Sales Director,Regional Director,Broker,CLE</t>
  </si>
  <si>
    <t>APE Gross Cover Type Pension</t>
  </si>
  <si>
    <t>APE Gross Cover Type Protection</t>
  </si>
  <si>
    <t>APE Gross Investment</t>
  </si>
  <si>
    <t>APE Gross Manpower</t>
  </si>
  <si>
    <t>APE Gross Premium Type RP</t>
  </si>
  <si>
    <t>APE Gross Premium Type SP</t>
  </si>
  <si>
    <t>APE Gross Product Class Basic</t>
  </si>
  <si>
    <t>APE Gross Product Class BAV</t>
  </si>
  <si>
    <t>APE Gross Product Class Private</t>
  </si>
  <si>
    <t>APE Gross Product Class Risk</t>
  </si>
  <si>
    <t>APE Gross Variable Annuity</t>
  </si>
  <si>
    <t>APE Net Cover Type Pension</t>
  </si>
  <si>
    <t>APE Net Cover Type Protection</t>
  </si>
  <si>
    <t>APE Net Manpower</t>
  </si>
  <si>
    <t>APE Net Premium Type RP</t>
  </si>
  <si>
    <t>APE Net Premium Type SP</t>
  </si>
  <si>
    <t>APE Net Product Class Basic</t>
  </si>
  <si>
    <t>APE Net Product Class BAV</t>
  </si>
  <si>
    <t>APE Net Product Class Private</t>
  </si>
  <si>
    <t>APE Net Product Class Risk</t>
  </si>
  <si>
    <t>APE Net Variable Annuity</t>
  </si>
  <si>
    <t>Cases Cover Type Pension</t>
  </si>
  <si>
    <t>Cases Cover Type Protection</t>
  </si>
  <si>
    <t>Cases Manpower</t>
  </si>
  <si>
    <t>Cases New Business</t>
  </si>
  <si>
    <t>Cases Premium Type RP</t>
  </si>
  <si>
    <t>Cases Premium Type SP</t>
  </si>
  <si>
    <t>Cases Product Class Basic</t>
  </si>
  <si>
    <t>Cases Product Class BAV</t>
  </si>
  <si>
    <t>Cases Product Class Private</t>
  </si>
  <si>
    <t>Cases Product Class Risk</t>
  </si>
  <si>
    <t>Cases Variable Annuity</t>
  </si>
  <si>
    <t>Target Name</t>
  </si>
  <si>
    <t>Premium</t>
  </si>
  <si>
    <t>Premium Cover Type Pension</t>
  </si>
  <si>
    <t>Premium Cover Type Protection</t>
  </si>
  <si>
    <t>Premium Manpower</t>
  </si>
  <si>
    <t>Premium Premium TypeRP</t>
  </si>
  <si>
    <t>Premium Premium TypeSP</t>
  </si>
  <si>
    <t>Premium Product Class Basic</t>
  </si>
  <si>
    <t>Premium Product Class BAV</t>
  </si>
  <si>
    <t>Premium Product Class Private</t>
  </si>
  <si>
    <t>Premium Product Class Risk</t>
  </si>
  <si>
    <t>Premium Variable Annuity</t>
  </si>
  <si>
    <t>Productivity</t>
  </si>
  <si>
    <t>Target ID</t>
  </si>
  <si>
    <t>Target Type</t>
  </si>
  <si>
    <t>Plan Brutto APE</t>
  </si>
  <si>
    <t>Plan Brutto APE Absicherungstyp Risiko</t>
  </si>
  <si>
    <t>Plan Brutto APE Investment</t>
  </si>
  <si>
    <t>Plan Brutto APE Arbeitskraft</t>
  </si>
  <si>
    <t>Plan Brutto APE Beitragsart LB</t>
  </si>
  <si>
    <t>Plan Brutto APE Beitragsart EB</t>
  </si>
  <si>
    <t>Plan Brutto APE Produktklasse Basic</t>
  </si>
  <si>
    <t>Plan Brutto APE Produktklasse BAV</t>
  </si>
  <si>
    <t>Plan Brutto APE Produktklasse Privat</t>
  </si>
  <si>
    <t>Plan Brutto APE Produktklasse Risiko</t>
  </si>
  <si>
    <t>Plan Brutto APE Variable Annuity</t>
  </si>
  <si>
    <t>Plan Netto APE</t>
  </si>
  <si>
    <t>Plan Netto APE Absicherungstyp Risiko</t>
  </si>
  <si>
    <t>Plan Netto APE Arbeitskraft</t>
  </si>
  <si>
    <t>Plan Netto APE Beitragsart LB</t>
  </si>
  <si>
    <t>Plan Netto APE Beitragsart EB</t>
  </si>
  <si>
    <t>Plan Netto APE Produktklasse Basic</t>
  </si>
  <si>
    <t>Plan Netto APE Produktklasse BAV</t>
  </si>
  <si>
    <t>Plan Netto APE Produktklasse Privat</t>
  </si>
  <si>
    <t>Plan Netto APE Produktklasse Risiko</t>
  </si>
  <si>
    <t>Plan Netto APE Variable Annuity</t>
  </si>
  <si>
    <t>Plan Brutto Stück Absicherungstyp Risiko</t>
  </si>
  <si>
    <t>Plan Brutto Stück Arbeitskraft</t>
  </si>
  <si>
    <t>Plan Brutto Stück</t>
  </si>
  <si>
    <t>Plan Brutto Stück Beitragsart LB</t>
  </si>
  <si>
    <t>Plan Brutto Stück Beitragsart EB</t>
  </si>
  <si>
    <t>Plan Brutto Stück Produktklasse Basic</t>
  </si>
  <si>
    <t>Plan Brutto Stück Produktklasse BAV</t>
  </si>
  <si>
    <t>Plan Brutto Stück Produktklasse Privat</t>
  </si>
  <si>
    <t>Plan Brutto Stück Produktklasse Risiko</t>
  </si>
  <si>
    <t>Plan Brutto Stück Variable Annuity</t>
  </si>
  <si>
    <t>Datum</t>
  </si>
  <si>
    <t>Plan Beiträge</t>
  </si>
  <si>
    <t>Plan Beiträge Absicherungstyp Risiko</t>
  </si>
  <si>
    <t>Plan Beiträge Arbeitskraft</t>
  </si>
  <si>
    <t>Plan Beiträge Beitragsart LB</t>
  </si>
  <si>
    <t>Plan Beiträge Beitragsart EB</t>
  </si>
  <si>
    <t>Plan Beiträge Produktklasse Basic</t>
  </si>
  <si>
    <t>Plan Beiträge Produktklasse BAV</t>
  </si>
  <si>
    <t>Plan Beiträge Produktklasse Privat</t>
  </si>
  <si>
    <t>Plan Beiträge Produktklasse Risiko</t>
  </si>
  <si>
    <t>Plan Beiträge Variable Annuity</t>
  </si>
  <si>
    <t>Plan Produktivität</t>
  </si>
  <si>
    <t>APENetNewBusiness__c</t>
  </si>
  <si>
    <t>PremiumNewBusiness__c</t>
  </si>
  <si>
    <t>SalesRegion__c</t>
  </si>
  <si>
    <t>Department</t>
  </si>
  <si>
    <t>Sales Region</t>
  </si>
  <si>
    <t>Vertriebs Region</t>
  </si>
  <si>
    <t>Alias</t>
  </si>
  <si>
    <t>CommunityNickname</t>
  </si>
  <si>
    <t>DefaultGroupNotificationFrequency</t>
  </si>
  <si>
    <t>DigestFrequency</t>
  </si>
  <si>
    <t>EmailEncodingKey</t>
  </si>
  <si>
    <t>ForecastEnabled</t>
  </si>
  <si>
    <t>Id</t>
  </si>
  <si>
    <t>IsExtIndicatorVisible</t>
  </si>
  <si>
    <t>IsProfilePhotoActive</t>
  </si>
  <si>
    <t>LanguageLocaleKey</t>
  </si>
  <si>
    <t>LocaleSidKey</t>
  </si>
  <si>
    <t>ProfileId</t>
  </si>
  <si>
    <t>ReceivesAdminInfoEmails</t>
  </si>
  <si>
    <t>ReceivesInfoEmails</t>
  </si>
  <si>
    <t>TimeZoneSidKey</t>
  </si>
  <si>
    <t>Username</t>
  </si>
  <si>
    <t>RawType</t>
  </si>
  <si>
    <t>numSum</t>
  </si>
  <si>
    <t>MasterRecordId</t>
  </si>
  <si>
    <t>PersonIndividualId</t>
  </si>
  <si>
    <t>UserRecordAccessId</t>
  </si>
  <si>
    <t>Address</t>
  </si>
  <si>
    <t>Checkbox</t>
  </si>
  <si>
    <t>Content</t>
  </si>
  <si>
    <t>Currency</t>
  </si>
  <si>
    <t>Date/Time</t>
  </si>
  <si>
    <t>External Lookup</t>
  </si>
  <si>
    <t>Formula</t>
  </si>
  <si>
    <t>Hierarchy</t>
  </si>
  <si>
    <t>Lookup</t>
  </si>
  <si>
    <t>Master-Detail</t>
  </si>
  <si>
    <t>Number</t>
  </si>
  <si>
    <t>Percent</t>
  </si>
  <si>
    <t>Picklist</t>
  </si>
  <si>
    <t>Picklist (Multi-Select)</t>
  </si>
  <si>
    <t>Record Type</t>
  </si>
  <si>
    <t>Text</t>
  </si>
  <si>
    <t>URL</t>
  </si>
  <si>
    <t>Url</t>
  </si>
  <si>
    <t>IsEncrypted</t>
  </si>
  <si>
    <t>AddressAddition2__pc</t>
  </si>
  <si>
    <t>AddressAddition1__pc</t>
  </si>
  <si>
    <t>AdvisingProduct__pc</t>
  </si>
  <si>
    <t>AdvisingTopic__pc</t>
  </si>
  <si>
    <t>BrokerComment__pc</t>
  </si>
  <si>
    <t>CommentCLE__pc</t>
  </si>
  <si>
    <t>CommissionAgreement__pc</t>
  </si>
  <si>
    <t>CompanyName__pc</t>
  </si>
  <si>
    <t>ContactableFromTo__pc</t>
  </si>
  <si>
    <t>DateOfBirth__pc</t>
  </si>
  <si>
    <t>DietaryRequirement__pc</t>
  </si>
  <si>
    <t>EndAge__pc</t>
  </si>
  <si>
    <t>EventId__pc</t>
  </si>
  <si>
    <t>HasContractWithCLE__pc</t>
  </si>
  <si>
    <t>HeadAccountName__c</t>
  </si>
  <si>
    <t>Housenumber__pc</t>
  </si>
  <si>
    <t>ISuitePartnerId__pc</t>
  </si>
  <si>
    <t>LeadSource__pc</t>
  </si>
  <si>
    <t>LeadType__pc</t>
  </si>
  <si>
    <t>LongAddress__pc</t>
  </si>
  <si>
    <t>NeedHotelroom__pc</t>
  </si>
  <si>
    <t>PaxusPartnerId__pc</t>
  </si>
  <si>
    <t>PersonEmail__c</t>
  </si>
  <si>
    <t>PreferredContactType__pc</t>
  </si>
  <si>
    <t>StartdateLead__pc</t>
  </si>
  <si>
    <t>SumInsured__pc</t>
  </si>
  <si>
    <t>SumPension__pc</t>
  </si>
  <si>
    <t>VVIDNumber__pc</t>
  </si>
  <si>
    <t>18, 0</t>
  </si>
  <si>
    <t>2, 0</t>
  </si>
  <si>
    <t>Company Name</t>
  </si>
  <si>
    <t>Created By</t>
  </si>
  <si>
    <t>Created Date</t>
  </si>
  <si>
    <t>Head Account Name</t>
  </si>
  <si>
    <t>Is Person Account</t>
  </si>
  <si>
    <t>Last Modified By</t>
  </si>
  <si>
    <t>Last Modified Date</t>
  </si>
  <si>
    <t>Account Owner</t>
  </si>
  <si>
    <t>System Modstamp</t>
  </si>
  <si>
    <t>Object Access Level</t>
  </si>
  <si>
    <t>PickListWorkbench</t>
  </si>
  <si>
    <t>IsUnique</t>
  </si>
  <si>
    <t>IsRestrictedPickList</t>
  </si>
  <si>
    <t>IsExternalId</t>
  </si>
  <si>
    <t>12, 0</t>
  </si>
  <si>
    <t>6, 0</t>
  </si>
  <si>
    <t>User Record Access</t>
  </si>
  <si>
    <t>EventID__pc</t>
  </si>
  <si>
    <t>Unique</t>
  </si>
  <si>
    <t>Unique Case Insensitive</t>
  </si>
  <si>
    <t>Policen aktuelles Jahr</t>
  </si>
  <si>
    <t>Sic</t>
  </si>
  <si>
    <t>SicDesc</t>
  </si>
  <si>
    <t>SIC Code</t>
  </si>
  <si>
    <t>SIC Description</t>
  </si>
  <si>
    <t>PersonMailingAddress</t>
  </si>
  <si>
    <t>PersonMailingCity</t>
  </si>
  <si>
    <t>PersonMailingStreet</t>
  </si>
  <si>
    <t>BillingGeocodeAccuracy</t>
  </si>
  <si>
    <t>ShippingGeocodeAccuracy</t>
  </si>
  <si>
    <t>PersonMailingGeocodeAccuracy</t>
  </si>
  <si>
    <t>PersonOtherGeocodeAccuracy</t>
  </si>
  <si>
    <t>Parent Account</t>
  </si>
  <si>
    <t>Person Account</t>
  </si>
  <si>
    <t>Account Record Type</t>
  </si>
  <si>
    <t>Address,NearAddress,Block,Street,ExtendedZip,Zip,Neighborhood,City,County,State,Unknown</t>
  </si>
  <si>
    <t>Commercial,Customer Event,Employee Referral,Google AdWords,Others,Partner,Acquired List,Trade Fair,Webinar,Website</t>
  </si>
  <si>
    <t>16, 2</t>
  </si>
  <si>
    <t>User,Group</t>
  </si>
  <si>
    <t>Group</t>
  </si>
  <si>
    <t>Owner</t>
  </si>
  <si>
    <t>Privat-- Life-/Pension Coverage,Privat-- Health-/Long-Term-Care coverage,Privat - Property-/Indemnity Coverage,Business Clients - Precaution (bAV/Personenversicherung),Business Clients - Property-/Indemnity Coverage,Cross-Category,Advisory skills</t>
  </si>
  <si>
    <t>BoB / IBFR</t>
  </si>
  <si>
    <t>APE,Image / Brand,Product presentations/strengthening,New Broker Leads,New Customer Leads</t>
  </si>
  <si>
    <t>Classroom Training,Individual Training,Blended Learning,Guided E-Learning,Self-paced E-Learning,Learning at the Desk</t>
  </si>
  <si>
    <t>Workshops (single event),Webinars,Roadshows (several events),Dublin-Journeys,Sport Events,Conventions,Customer Events (local Events),Sales Campaign</t>
  </si>
  <si>
    <t>APE,Image / Brand,neue GP gewinnen (Leads),neue Endkunden gewinnen,Produktvorstellungen/-stärkung</t>
  </si>
  <si>
    <t>Blended Learning,Präsenzveranstaltung,gesteuertes E-Learning,Einzeltraining,Lernen am Arbeitsplatz,selbstgesteuertes E-Learning</t>
  </si>
  <si>
    <t>CampaignEventSlot__c</t>
  </si>
  <si>
    <t>Campaign Event Slot</t>
  </si>
  <si>
    <t>Capacity__c</t>
  </si>
  <si>
    <t>Details__c</t>
  </si>
  <si>
    <t>RoomName__c</t>
  </si>
  <si>
    <t>5, 0</t>
  </si>
  <si>
    <t>Text Area</t>
  </si>
  <si>
    <t>Capacity</t>
  </si>
  <si>
    <t>Details</t>
  </si>
  <si>
    <t>Room Name</t>
  </si>
  <si>
    <t>Session Kapazität</t>
  </si>
  <si>
    <t>Slot</t>
  </si>
  <si>
    <t>Name des Raums</t>
  </si>
  <si>
    <t>Raum</t>
  </si>
  <si>
    <t>SlotOrder__c</t>
  </si>
  <si>
    <t>Slot Order</t>
  </si>
  <si>
    <t>Slot Reihenfolge</t>
  </si>
  <si>
    <t>CampaignEventSession__c</t>
  </si>
  <si>
    <t>Lead</t>
  </si>
  <si>
    <t>CampaignMemberID__c</t>
  </si>
  <si>
    <t>CampaignMemberName__c</t>
  </si>
  <si>
    <t>Lead__c</t>
  </si>
  <si>
    <t>Campaign Event Session</t>
  </si>
  <si>
    <t>Campaign Member ID</t>
  </si>
  <si>
    <t>Campaign Member Name</t>
  </si>
  <si>
    <t>Kampagnenevent Session</t>
  </si>
  <si>
    <t>Name Lead</t>
  </si>
  <si>
    <t>ID Kampagnenmitglied</t>
  </si>
  <si>
    <t>Name Kampagnenmitglied</t>
  </si>
  <si>
    <t>Unique Case Sensitive</t>
  </si>
  <si>
    <t>2, 9</t>
  </si>
  <si>
    <t>2, 10</t>
  </si>
  <si>
    <t>CalcParticipationHours__c</t>
  </si>
  <si>
    <t>CalcParticipationMins__c</t>
  </si>
  <si>
    <t>CampaignName__c</t>
  </si>
  <si>
    <t>DurationofParticipation__c</t>
  </si>
  <si>
    <t>GutBeratenPoints__c</t>
  </si>
  <si>
    <t>MinsofParticipation__c</t>
  </si>
  <si>
    <t>RegistrationURL__c</t>
  </si>
  <si>
    <t>RegistrationURLParameters__c</t>
  </si>
  <si>
    <t>StartDate__c</t>
  </si>
  <si>
    <t>WebinarStart__c</t>
  </si>
  <si>
    <t>Calc Participation Hours</t>
  </si>
  <si>
    <t>Calc Participation Mins</t>
  </si>
  <si>
    <t>Duration of Participation</t>
  </si>
  <si>
    <t>Gut Beraten Points</t>
  </si>
  <si>
    <t>Mins of Participation</t>
  </si>
  <si>
    <t>Is Hotel Room Needed</t>
  </si>
  <si>
    <t>Registration URL</t>
  </si>
  <si>
    <t>Registration URL Parameters</t>
  </si>
  <si>
    <t>Start Date</t>
  </si>
  <si>
    <t>Webinar Start</t>
  </si>
  <si>
    <t>Berechnete Teilnahmedauer (Std.)</t>
  </si>
  <si>
    <t>Berechnete Teilnahmedauer (Min.)</t>
  </si>
  <si>
    <t>Gut beraten Punkte</t>
  </si>
  <si>
    <t>Teilnahmedauer</t>
  </si>
  <si>
    <t>Minuten der Teilnahme</t>
  </si>
  <si>
    <t>NeedHotelRoom__c</t>
  </si>
  <si>
    <t>CompetitionArea__c</t>
  </si>
  <si>
    <t>CompetitorID__c</t>
  </si>
  <si>
    <t>CompetitorRanking__c</t>
  </si>
  <si>
    <t>RankingAreaCombination__c</t>
  </si>
  <si>
    <t>Reason__c</t>
  </si>
  <si>
    <t>CompetitorID</t>
  </si>
  <si>
    <t>Competitor</t>
  </si>
  <si>
    <t>Ranking and Area Combination</t>
  </si>
  <si>
    <t>Reason</t>
  </si>
  <si>
    <t>Ranking</t>
  </si>
  <si>
    <t>Wettbewerber</t>
  </si>
  <si>
    <t>Produktbereich</t>
  </si>
  <si>
    <t>Position</t>
  </si>
  <si>
    <t>Grund</t>
  </si>
  <si>
    <t>Bereich private Rente,Bereich Riester,Bereich Risiko BU,Bereich Risiko Kombiprodukte,Bereich Risiko GFV,Bereich Risiko Pflege,Bereich Risiko RLV,Bereich Risiko SKV,Bereich Rürup,Bereich Einmalbeitrag,Bereich bAV,Beliebte Gesellschaft</t>
  </si>
  <si>
    <t>erster,vierter,zweiter,dritter</t>
  </si>
  <si>
    <t>Area bAV,Area Riskcover Combined Products,Area Privat Pension,Area Riester,Area Riskcover BU,Area Riskcover GFV,Area Riskcover Long Term Care,Area Riskcover RLV,Area Riskcover SKV,Area Rürup,Area Single Premium,Popular Company</t>
  </si>
  <si>
    <t>Premium &lt; 50 Euro,Premium &lt; 10.000 Euro,Premiuim Stability,Participations,Fund Variety,optional BU Cover,Commission Rates,Easy and understandable,Start-Up Premiums,Flexebility,Funds,Fundbased Tariffs,Low Net Premiums,Structure with low costs,Benefitial Rates,Good Acceptance Policies,High Maturity Values,High Guarantees,High Surrender Value,High Productrating,Commission Sacrifice Tariffs,Classic Coverage,Salesfriendly Presentation of Costs,Online Application,Fast Processing,Tariffs with guaranteed maturity value,Tariffs with extra Options,Tele-Interview,Competitor with highest revenue,Availability,Asset Management</t>
  </si>
  <si>
    <t>Product Area</t>
  </si>
  <si>
    <t>CompetitorName__c</t>
  </si>
  <si>
    <t>first,second,third,fourth</t>
  </si>
  <si>
    <t>Auto Number</t>
  </si>
  <si>
    <t>Contact Owner</t>
  </si>
  <si>
    <t>4, 0</t>
  </si>
  <si>
    <t>3, 0</t>
  </si>
  <si>
    <t>Price Book</t>
  </si>
  <si>
    <t>Policy Term (months)</t>
  </si>
  <si>
    <t>Versicherungssumme VP2</t>
  </si>
  <si>
    <t>Policy Number Link</t>
  </si>
  <si>
    <t>PolicyNumberLink__c</t>
  </si>
  <si>
    <t>OwnerExpirationNotice</t>
  </si>
  <si>
    <t>StatusCode</t>
  </si>
  <si>
    <t>Gender__c</t>
  </si>
  <si>
    <t>LongAddress__c</t>
  </si>
  <si>
    <t>BrokerComment__c</t>
  </si>
  <si>
    <t>CompanyName__c</t>
  </si>
  <si>
    <t>EventID__c</t>
  </si>
  <si>
    <t>LeadSource__c</t>
  </si>
  <si>
    <t>LeadType__c</t>
  </si>
  <si>
    <t>Adresse</t>
  </si>
  <si>
    <t>Geschlecht</t>
  </si>
  <si>
    <t>OtherGeocodeAccuracy</t>
  </si>
  <si>
    <t>MailingGeocodeAccuracy</t>
  </si>
  <si>
    <t>LapsPercentDisplay__c</t>
  </si>
  <si>
    <t>CampaignContent__c</t>
  </si>
  <si>
    <t>IsRegConfirmationRequired__c</t>
  </si>
  <si>
    <t>PointsEarning__c</t>
  </si>
  <si>
    <t>WebinarMinAttendanceDuration__c</t>
  </si>
  <si>
    <t>DietaryRequirementForRegistration__c</t>
  </si>
  <si>
    <t>DisplayVVIDNumberForRegistration__c</t>
  </si>
  <si>
    <t>EventCapacity__c</t>
  </si>
  <si>
    <t>EventCommonName__c</t>
  </si>
  <si>
    <t>IsCommonName__c</t>
  </si>
  <si>
    <t>IsRestrictedCampaign__c</t>
  </si>
  <si>
    <t>NeedHotelRoomAvailabilityForRegistration__c</t>
  </si>
  <si>
    <t>VVIDNumberForRegistration__c</t>
  </si>
  <si>
    <t>LocationName__c</t>
  </si>
  <si>
    <t>LocationNameExtension__c</t>
  </si>
  <si>
    <t>LocationStreet__c</t>
  </si>
  <si>
    <t>LocationZip__c</t>
  </si>
  <si>
    <t>LocationCity__c</t>
  </si>
  <si>
    <t>LocationUrl__c</t>
  </si>
  <si>
    <t>SurveyURL__c</t>
  </si>
  <si>
    <t>GTWSessionID__c</t>
  </si>
  <si>
    <t>DocumentURL__c</t>
  </si>
  <si>
    <t>DurationOfParticipation__c</t>
  </si>
  <si>
    <t>Campaign Content</t>
  </si>
  <si>
    <t>Duration Of Participation</t>
  </si>
  <si>
    <t>Webinar Min Attendance Duration</t>
  </si>
  <si>
    <t>Dietary Requirement For Registration</t>
  </si>
  <si>
    <t>Display VVIDNumber For Registration</t>
  </si>
  <si>
    <t>Event Capacity</t>
  </si>
  <si>
    <t>Event Common Name</t>
  </si>
  <si>
    <t>Is Restricted Campaign</t>
  </si>
  <si>
    <t>Need Hotel Room Avail For Registration</t>
  </si>
  <si>
    <t>Location Name</t>
  </si>
  <si>
    <t>Address Extension</t>
  </si>
  <si>
    <t>Zip Code</t>
  </si>
  <si>
    <t>Survey URL</t>
  </si>
  <si>
    <t>Document URL</t>
  </si>
  <si>
    <t>GoToWebinar Session ID</t>
  </si>
  <si>
    <t>Event Gruppenname</t>
  </si>
  <si>
    <t>Benötigt Besondere Lebensmittel</t>
  </si>
  <si>
    <t>Anzeige der VVID</t>
  </si>
  <si>
    <t>Dokumentenlink</t>
  </si>
  <si>
    <t>Anzahl Teilnehmer</t>
  </si>
  <si>
    <t>Registrierung manuell bestätigen</t>
  </si>
  <si>
    <t>Nur Für Eingeladene Teilnehmer</t>
  </si>
  <si>
    <t>Ort</t>
  </si>
  <si>
    <t>Adresszusatz</t>
  </si>
  <si>
    <t>Veranstaltungsort</t>
  </si>
  <si>
    <t>Straße und Hausnummer</t>
  </si>
  <si>
    <t>PLZ</t>
  </si>
  <si>
    <t>Registrierungslink</t>
  </si>
  <si>
    <t>Umfragelink</t>
  </si>
  <si>
    <t>Min. Teilnahmedauer</t>
  </si>
  <si>
    <t>ZIP Code</t>
  </si>
  <si>
    <t>Gut Beraten Punkte</t>
  </si>
  <si>
    <t>Campaign__c</t>
  </si>
  <si>
    <t>Campaign</t>
  </si>
  <si>
    <t>Kampagne</t>
  </si>
  <si>
    <t>GTWAttendanceTimeInSeconds__c</t>
  </si>
  <si>
    <t>GTWCurrentErrorMessage__c</t>
  </si>
  <si>
    <t>GTWJoinDateTime__c</t>
  </si>
  <si>
    <t>GTWJoinURL__c</t>
  </si>
  <si>
    <t>GTWLeaveDateTime__c</t>
  </si>
  <si>
    <t>GTWRegistrantID__c</t>
  </si>
  <si>
    <t>GoToWebinar Current Error Message</t>
  </si>
  <si>
    <t>GoToWebinar Join URL</t>
  </si>
  <si>
    <t>GoToWebinar Session</t>
  </si>
  <si>
    <t>GoToWebinar Registrant ID</t>
  </si>
  <si>
    <t>GoToWebinar Joined Time</t>
  </si>
  <si>
    <t>GoToWebinar Leave Time</t>
  </si>
  <si>
    <t>GoToWebinar Attendee Time in Seconds</t>
  </si>
  <si>
    <t>GoTo Webinar Teilnahmezeit</t>
  </si>
  <si>
    <t>GoTo Webinar Teilnahmezeit in Sekunden</t>
  </si>
  <si>
    <t>GoTo Webinar Teilnehmer ID</t>
  </si>
  <si>
    <t>GoTo Webinar Zeitpunkt des Verlassens</t>
  </si>
  <si>
    <t>Long Text Area</t>
  </si>
  <si>
    <t>GTWSession__c</t>
  </si>
  <si>
    <t>Draft,In Approval Process,Activated,Terminated,Expired</t>
  </si>
  <si>
    <t>15 Days,30 Days,45 Days,60 Days,90 Days,120 Days</t>
  </si>
  <si>
    <t>Vermögensverwaltung,Verfügbarkeit,Günstige Prämien,Klassischer Deckungsstock,Courtage/Bewertung,Honorartarife,Umsatzstärkster Mitbewerber,Einfach und Verständlich,Schnelle Abwicklung,Flexibilität,Breite Fondsauswahl,Fondsbasierte Tarife,Fonds,Gute Annahmepolitik,Hohe Garantien,Hohe Ablaufleistung,Hohes Produktrating,Hohe RKW,Geringe Netto-Prämie,Online-Antrag,Beteiligungen,Beitragsstabilität,Beiträge &lt; 10.000 Euro,Beitrag &lt; 50 Euro,Kostenausweis vertriebsfreundlich,Einsteigertarife (Start-Up-Prämie),Günstige Kostenstruktur,Tarif-Extraoptionen,Tarife endfällige Garantien,Teleinterview,BU-Rente möglich</t>
  </si>
  <si>
    <t>.,&lt;keine Auswahl&gt;,123 Bank,AachenMünchener,ablehnend,Ageas,Alle Gesellschaften,Allianz,Alpeco,Alte Leipziger,Altersvorsorge,Analysetool,ARAG,asc,Assecuradeur,ASSTEL  AG,Atlantic Lux,auf Anfrage,Augsburger Aktienbank,AXA,AXA/Allianz,Baloise,Bankprodukte,Barmenia,Basler,Bayerische (ehem. BBV),Bayern Versicherung,Bayrische,bBeteiligungen/Vermögensverwaltung,BBV,BCA,Beteiligung,Beteiligung Rohstoffe,Beteiligungen,Beteiligungen / VVW,Beteiligungen und Fonds,Beteiligungen und Immobilien,bisher nicht,Blockheizkraftwerke,BSV,Bundesversorgungswerk,Canada Life,Canada Life/BBV,Captura,Central,Central Kranken,CiV,Clerical Medical,Concordia,Condor,Container,Container Leasing,Continentale,Cosmos,C-Quadrat,DAB,DBV Winterthur,Debeka,Debi Select,Delta Direkt,Delta Lloyd,Depots,Depots, geschl. Fonds,Deutsche,Deutsche Ärzte,Deutsche Familien Versicherung,Deutsche Gesellschaften,Deutscher Ring,DEVK,Dialog,Dienstunfähigkeitsversicherung für Soldaten,Direktanlage,DIREKTANLAGE FÜRST FUGGER,Direktinvestments,diverse,DKV,DLV AG,Düsseldorfer,DWS,DWS (Zürich D. H.),DWS Premium,DWS Riester,Eagle Star,ebase,Edelmetalle,eher selten vorhanden,eigene Fonds,Eigene Vermögensverwaltung,eigenes Produkt,entfällt,Ergo,Europa,Excalibur,F + P,FiGo,Finance Life,Firends,Flex Fonds,Fonds,Fortis Deutschland,Freie Kapitalanlage,Friends Provident,Fürst Fugger Bank,Geldanlage,Gelegentlich,Generali,Geschlossene Fonds,geschlossene Immofonds,gibt es nicht,Gip,Gold,Gold sparen,Gold, Fonds, Infius,Gold/Silber,Goldsparpläne,Gothaer,Gothaer  AG (Sach),Gothaer Kranken,Gothaer/Skandia,Haig Vermögensverwaltung,Hallesche Leben,Hallesche Nat.,Hamburg-Mannheimer,Hannoversche  AG,HanseMerkur,HDI,Heidelberger,Helvetia,HLCM,Honorarkonzept,Ideal,Iduna,IMMO,Immobilien,Infinius AG,Inter,InterLloyd,InterRisk,Invers Ima Protokoll,Invest Produkt,Investmentfonds,ja,Janitos,Kapitalanlagen,Karlsruher,Kein BAV,kein Potential,kein Riester,kein Rürup,keine,keine Präferenzen,keiner,Kurzfristige Anlagen,Legal&amp;General,Level 9 Vergl. Software,Liberty,Logi Invest,LV 1871,LVM,maklermanagement,mamax,Mannheimer,Mecklenburgische,MoneyMaxx,Monuta,Morgen &amp; Morgen,mpc,Multilnvest,Münchener Verein,mylife,nach Rating,nein,neue Leben,nicht genannt,NN,noch nicht,noch wenig,Nordea,nur KV,Nürnberger,Nürnberger (BU),oeco capital,offene Immobilienfonds,Öko Fonds,Ökocapital,ÖkoRenta,Ölfonds,Optima,OWS,Performance AG,Perikon,Prisma Life,PrismaLife,Projektgruppe,Provinzial Hannover,Provinzial NordWest,Provinzial Rheinland,Prudentia,Quantum Leben,R+V,reines Investment,Rohstoffe, Edelmetalle,Rothschild,Royal London,RWB,RWB u. Gold,s,Saarland,Sachversicherer,Sachwete,Sanitas Multirente,Schweizer Kapitalanlagen,SDK,si,Signal,signal Iduna,Silber/Beteiligungen, LV Ankauf,Skandia,Sparkassen Versicherung,Sparkassenversicherung,Standard Life,Stiftungen,Strixner,Stuttgarter,Süddeutsche,Swiss Life,Thomas Lloyd,Tools,ü. DL Schulte,über Invers,ukasse,uniqua,Universa,v,vbk,vdsw,Vermögensverwaltung,Versicherungskammer Bayern,VGH,VHV,via Immobilien,Vienna Life,Volksfürsorge,Volkswohlbund,Volkswohl-Bund, Stuttgarter,Vorsorge,Vorsorge Lux,VPV,VV,VWB,Wechselt,Wechselt nach Rating,wenig,Württembergische,Würzburger,WWF,WWK,Zurich</t>
  </si>
  <si>
    <t>Nachbearbeitung Anträge Online,Nachbearbeitung Anträge per Post,CCV Abrechnung Online,CCV Abrechnung per Post,Schriftverkehr Online,Schriftverkehr per Post,Zugang BrokerPortal</t>
  </si>
  <si>
    <t>Beratungskompetenz,Firmenkunden - Vorsorge (bAV/Personenversicherung),Firmenkunden - Sach-/Schadenversicherung,Spartenübergreifend,Privat - Sach-/Schadenversicherung,Privat-Vorsorge - Kranken-/Pflegeversicherung,Privat-Vorsorge - Lebens-/Rentenversicherung</t>
  </si>
  <si>
    <t>VVIDNumber For Registration</t>
  </si>
  <si>
    <t>GDPRDoubleOptIn__c</t>
  </si>
  <si>
    <t>GDPRDoubleOptInDate__c</t>
  </si>
  <si>
    <t>GDPR Double Opt In</t>
  </si>
  <si>
    <t>GDPR Double Opt In Date</t>
  </si>
  <si>
    <t>Status__c</t>
  </si>
  <si>
    <t>RequestType__c</t>
  </si>
  <si>
    <t>GTWUsername__c</t>
  </si>
  <si>
    <t>GTWPassword__c</t>
  </si>
  <si>
    <t>GoToWebinarWebinarKey__c</t>
  </si>
  <si>
    <t>GoToWebinarRegistrantKey__c</t>
  </si>
  <si>
    <t>GoToWebinarSessionID__c</t>
  </si>
  <si>
    <t>GoToWebinar Webinar Key</t>
  </si>
  <si>
    <t>GTW Password</t>
  </si>
  <si>
    <t>GTW Username</t>
  </si>
  <si>
    <t>Job Number</t>
  </si>
  <si>
    <t>Request Type</t>
  </si>
  <si>
    <t>GoToWebinar Registrant Key</t>
  </si>
  <si>
    <t>To Be Processed,Processed Successfully,Error Occurred</t>
  </si>
  <si>
    <t>Delete Registrant,Create Registrant</t>
  </si>
  <si>
    <t>GTWAbsenteeFollowUpEmail__c</t>
  </si>
  <si>
    <t>GTWAccountKey__c</t>
  </si>
  <si>
    <t>GTWAttendeeFollowUpEmail__c</t>
  </si>
  <si>
    <t>GTWConfirmationEmail__c</t>
  </si>
  <si>
    <t>GTWBroadcast__c</t>
  </si>
  <si>
    <t>GTWCurrentStatus__c</t>
  </si>
  <si>
    <t>GTWDeniedRegistrants__c</t>
  </si>
  <si>
    <t>GTWDescription__c</t>
  </si>
  <si>
    <t>GTWExperienceType__c</t>
  </si>
  <si>
    <t>GTWHasDisclaimer__c</t>
  </si>
  <si>
    <t>GTWImpromptu__c</t>
  </si>
  <si>
    <t>GTWInSession__c</t>
  </si>
  <si>
    <t>GTWIsMainOrganizerActive__c</t>
  </si>
  <si>
    <t>GTWIsPasswordProtected__c</t>
  </si>
  <si>
    <t>GTWIsOndemand__c</t>
  </si>
  <si>
    <t>GTWLocale__c</t>
  </si>
  <si>
    <t>GTWNumberOfRegistrants__c</t>
  </si>
  <si>
    <t>GTWOrganiser__c</t>
  </si>
  <si>
    <t>GTWOrganiserKey__c</t>
  </si>
  <si>
    <t>GTWPendingRegistrants__c</t>
  </si>
  <si>
    <t>GTWRecurrencePeriod__c</t>
  </si>
  <si>
    <t>GTWRegistrationLimit__c</t>
  </si>
  <si>
    <t>GTWDate__c</t>
  </si>
  <si>
    <t>GTWEndTime__c</t>
  </si>
  <si>
    <t>GTWReminderEmail__c</t>
  </si>
  <si>
    <t>GTWStartTime__c</t>
  </si>
  <si>
    <t>GTWStatus__c</t>
  </si>
  <si>
    <t>GTWSubject__c</t>
  </si>
  <si>
    <t>GTWTimezone__c</t>
  </si>
  <si>
    <t>GTWType__c</t>
  </si>
  <si>
    <t>GTWVerifyHumanRegistrant__c</t>
  </si>
  <si>
    <t>GTWWebinarID__c</t>
  </si>
  <si>
    <t>single_session,series,sequence</t>
  </si>
  <si>
    <t>geplant,Fehler bei der Erstellung,Fehler bei Löschung,Fehler beim Update,erstellt,Sitzung gelöscht,Update der Sitzung</t>
  </si>
  <si>
    <t>Absentee Follow Up Email</t>
  </si>
  <si>
    <t>Account Key</t>
  </si>
  <si>
    <t>Attendee Follow Up Email</t>
  </si>
  <si>
    <t>Confirmation Email</t>
  </si>
  <si>
    <t>Broadcast</t>
  </si>
  <si>
    <t>Current Error Message</t>
  </si>
  <si>
    <t>Current Status</t>
  </si>
  <si>
    <t>Denied Registrants</t>
  </si>
  <si>
    <t>Experience Type</t>
  </si>
  <si>
    <t>Has Disclaimer</t>
  </si>
  <si>
    <t>Impromptu</t>
  </si>
  <si>
    <t>In Session</t>
  </si>
  <si>
    <t>Is Main Organizer Active</t>
  </si>
  <si>
    <t>Is Password Protected?</t>
  </si>
  <si>
    <t>IsOndemand</t>
  </si>
  <si>
    <t>Locale</t>
  </si>
  <si>
    <t>Number Of Registrants</t>
  </si>
  <si>
    <t>Organiser</t>
  </si>
  <si>
    <t>Organiser Key</t>
  </si>
  <si>
    <t>Pending Registrants</t>
  </si>
  <si>
    <t>Recurrence Period</t>
  </si>
  <si>
    <t>Registration Limit</t>
  </si>
  <si>
    <t>Session Date</t>
  </si>
  <si>
    <t>Session End Time</t>
  </si>
  <si>
    <t>Session ID</t>
  </si>
  <si>
    <t>Session Name</t>
  </si>
  <si>
    <t>Session Reminder Email</t>
  </si>
  <si>
    <t>Session Start Time</t>
  </si>
  <si>
    <t>Subject</t>
  </si>
  <si>
    <t>Timezone</t>
  </si>
  <si>
    <t>Verify Human Registrant</t>
  </si>
  <si>
    <t>WebinarID</t>
  </si>
  <si>
    <t>Follow Up Email für Abwesende</t>
  </si>
  <si>
    <t>Follow Up Email für Teilnehmer</t>
  </si>
  <si>
    <t>Betätigungsemail</t>
  </si>
  <si>
    <t>Broadcast möglich</t>
  </si>
  <si>
    <t>aktuelle Fehlermeldung</t>
  </si>
  <si>
    <t>aktueller Status</t>
  </si>
  <si>
    <t>abgelehnte Teilnehmer</t>
  </si>
  <si>
    <t>Erfahrungstyp</t>
  </si>
  <si>
    <t>hat Disclaimer</t>
  </si>
  <si>
    <t>in der Stitzung</t>
  </si>
  <si>
    <t>Ist Hauptorganisator aktiv</t>
  </si>
  <si>
    <t>ist Passwort geschützt</t>
  </si>
  <si>
    <t>in Anfrage</t>
  </si>
  <si>
    <t>Lokal</t>
  </si>
  <si>
    <t>aktuelle. Anzahl der Teiilnehmer</t>
  </si>
  <si>
    <t>Organisator</t>
  </si>
  <si>
    <t>Organisator Key (Schlüssel)</t>
  </si>
  <si>
    <t>wartende Teilnehmer</t>
  </si>
  <si>
    <t>Wiederholungszeitraum</t>
  </si>
  <si>
    <t>max. Anzahl der Teiilnehmer</t>
  </si>
  <si>
    <t>Datum der Sitzung</t>
  </si>
  <si>
    <t>Endzeit der Sitzung</t>
  </si>
  <si>
    <t>Sitzungs ID</t>
  </si>
  <si>
    <t>Sitzungsname</t>
  </si>
  <si>
    <t>Startzeit der Stitzung</t>
  </si>
  <si>
    <t>Erinnerungsemail</t>
  </si>
  <si>
    <t>Betreff</t>
  </si>
  <si>
    <t>Zeitzone</t>
  </si>
  <si>
    <t>Verifizierung natürlich Person (Chapcha)</t>
  </si>
  <si>
    <t>Webinar ID</t>
  </si>
  <si>
    <t>Deutschland</t>
  </si>
  <si>
    <t>IHKChecksumStatus__c</t>
  </si>
  <si>
    <t>IHK Checksum Status</t>
  </si>
  <si>
    <t>Status IHK Prüfsumme</t>
  </si>
  <si>
    <t>Invalid Checksum,Valid</t>
  </si>
  <si>
    <t>Prüfsumme ungültig,gültig</t>
  </si>
  <si>
    <t>Time</t>
  </si>
  <si>
    <t>Impromtu</t>
  </si>
  <si>
    <t>iSuite Task</t>
  </si>
  <si>
    <t>Policy</t>
  </si>
  <si>
    <t>Source Task ID</t>
  </si>
  <si>
    <t>Lead Record Type</t>
  </si>
  <si>
    <t>Lead Status</t>
  </si>
  <si>
    <t>Target</t>
  </si>
  <si>
    <t>Opportunity Name</t>
  </si>
  <si>
    <t>1, 0</t>
  </si>
  <si>
    <t>LeadSource</t>
  </si>
  <si>
    <t>StageName</t>
  </si>
  <si>
    <t>bAVType__c</t>
  </si>
  <si>
    <t>Gross_APE_BAV__c</t>
  </si>
  <si>
    <t>Gross_APE_Basis__c</t>
  </si>
  <si>
    <t>Gross_APE_Privat__c</t>
  </si>
  <si>
    <t>Gross_APE_Risiko__c</t>
  </si>
  <si>
    <t>CasesCountBAV__c</t>
  </si>
  <si>
    <t>CasesCountBasis__c</t>
  </si>
  <si>
    <t>CasesCountPension__c</t>
  </si>
  <si>
    <t>CasesCountPrivat__c</t>
  </si>
  <si>
    <t>CasesCountProtection__c</t>
  </si>
  <si>
    <t>CasesCountRP__c</t>
  </si>
  <si>
    <t>CasesCountRisiko__c</t>
  </si>
  <si>
    <t>CasesCountSP__c</t>
  </si>
  <si>
    <t>GrossAPEBAV__c</t>
  </si>
  <si>
    <t>GrossAPEBasis__c</t>
  </si>
  <si>
    <t>GrossAPEPension__c</t>
  </si>
  <si>
    <t>GrossAPEPrivat__c</t>
  </si>
  <si>
    <t>GrossAPEProtection__c</t>
  </si>
  <si>
    <t>GrossAPERP__c</t>
  </si>
  <si>
    <t>GrossAPERisiko__c</t>
  </si>
  <si>
    <t>GrossAPESP__c</t>
  </si>
  <si>
    <t>NetAPEBAV__c</t>
  </si>
  <si>
    <t>NetAPEBasis__c</t>
  </si>
  <si>
    <t>NetAPEPension__c</t>
  </si>
  <si>
    <t>NetAPEPrivat__c</t>
  </si>
  <si>
    <t>NetAPEProtection__c</t>
  </si>
  <si>
    <t>NetAPERP__c</t>
  </si>
  <si>
    <t>NetAPERisiko__c</t>
  </si>
  <si>
    <t>NetAPESP__c</t>
  </si>
  <si>
    <t>Gross APE BAV</t>
  </si>
  <si>
    <t>Gross APE Basis</t>
  </si>
  <si>
    <t>Gross APE Privat</t>
  </si>
  <si>
    <t>Gross APE Risiko</t>
  </si>
  <si>
    <t>Cases Count BAV</t>
  </si>
  <si>
    <t>Cases Count Basis</t>
  </si>
  <si>
    <t>Cases Count Pension</t>
  </si>
  <si>
    <t>Cases Count Privat</t>
  </si>
  <si>
    <t>Cases Count Protection</t>
  </si>
  <si>
    <t>Cases Count RP</t>
  </si>
  <si>
    <t>Cases Count Risiko</t>
  </si>
  <si>
    <t>Cases Count SP</t>
  </si>
  <si>
    <t>Gross APE Pension</t>
  </si>
  <si>
    <t>Gross APE Protection</t>
  </si>
  <si>
    <t>Gross APE RP</t>
  </si>
  <si>
    <t>Gross APE SP</t>
  </si>
  <si>
    <t>Net APE BAV</t>
  </si>
  <si>
    <t>Net APE Basis</t>
  </si>
  <si>
    <t>Net APE Pension</t>
  </si>
  <si>
    <t>Net APE Privat</t>
  </si>
  <si>
    <t>Net APE Protection</t>
  </si>
  <si>
    <t>Net APE RP</t>
  </si>
  <si>
    <t>Net APE Risiko</t>
  </si>
  <si>
    <t>Net APE SP</t>
  </si>
  <si>
    <t>Strategiedaten ID</t>
  </si>
  <si>
    <t>Date_of_Issue__c</t>
  </si>
  <si>
    <t>Date of Issue</t>
  </si>
  <si>
    <t>CampaignMemberID</t>
  </si>
  <si>
    <t>HasContractwithCLE__c</t>
  </si>
  <si>
    <t>CampaignRegisteredTo__c</t>
  </si>
  <si>
    <t>MatchedSalesContactID__c</t>
  </si>
  <si>
    <t>LeadEventStatus__c</t>
  </si>
  <si>
    <t>RegisteredSessionsJSON__c</t>
  </si>
  <si>
    <t>gpno__c</t>
  </si>
  <si>
    <t>Campaign Registered to</t>
  </si>
  <si>
    <t>Matched Sales Contact ID</t>
  </si>
  <si>
    <t>To Be Deleted</t>
  </si>
  <si>
    <t>Lead Event Status</t>
  </si>
  <si>
    <t>Registered Sessions (JSON)</t>
  </si>
  <si>
    <t>dietaryrequired__c</t>
  </si>
  <si>
    <t>ForecastCategoryName</t>
  </si>
  <si>
    <t>SUM Transaction</t>
  </si>
  <si>
    <t>NetAPE</t>
  </si>
  <si>
    <t>IsUsingConferencingTool__c</t>
  </si>
  <si>
    <t>HasTLSEncryption__c</t>
  </si>
  <si>
    <t>NetAPE__c</t>
  </si>
  <si>
    <t>Roll-Up Summary</t>
  </si>
  <si>
    <t>isPDF__c</t>
  </si>
  <si>
    <t>PolicyApplicationId__c</t>
  </si>
  <si>
    <t>PolicyApplicationId</t>
  </si>
  <si>
    <t>GeocodeAccuracy</t>
  </si>
  <si>
    <t>Omitted,Pipeline,Best Case,Commit,Closed</t>
  </si>
  <si>
    <t>LeadCampaign</t>
  </si>
  <si>
    <t>Year__c</t>
  </si>
  <si>
    <t>Month__c</t>
  </si>
  <si>
    <t>RegionName__c</t>
  </si>
  <si>
    <t>SalesRole__c</t>
  </si>
  <si>
    <t>APEbAV__c</t>
  </si>
  <si>
    <t>APEWorkingAbilityCover__c</t>
  </si>
  <si>
    <t>APEbAVLastYear__c</t>
  </si>
  <si>
    <t>APEGrossLastYear__c</t>
  </si>
  <si>
    <t>APEWorkingAbilityCoverLastYear__c</t>
  </si>
  <si>
    <t>APEGrossNewBusinessTarget__c</t>
  </si>
  <si>
    <t>APEbAVTarget__c</t>
  </si>
  <si>
    <t>APEWorkingAbilityCoverTarget__c</t>
  </si>
  <si>
    <t>APE bAV</t>
  </si>
  <si>
    <t>APE Working Ability Cover</t>
  </si>
  <si>
    <t>APE Gross Last Year</t>
  </si>
  <si>
    <t>APE bAV Last Year</t>
  </si>
  <si>
    <t>APE Working Ability Cover Last Year</t>
  </si>
  <si>
    <t>APE Working Ability Cover Target</t>
  </si>
  <si>
    <t>APE bAV Target</t>
  </si>
  <si>
    <t>APE Gross New Business Target</t>
  </si>
  <si>
    <t>APE Arbeitskraft</t>
  </si>
  <si>
    <t>Jahr</t>
  </si>
  <si>
    <t>Monat</t>
  </si>
  <si>
    <t>Year</t>
  </si>
  <si>
    <t>Month</t>
  </si>
  <si>
    <t>Sales Role</t>
  </si>
  <si>
    <t>9, 0</t>
  </si>
  <si>
    <t>Baden-Württemberg,Bayern,Kooperationen 1,Mitte,Nord,Nordrhein-Westfalen,Zentrale KA 1,Zentrale KA 2,Zentrale KA 3,Zentrale Vertrieb,Regionale KA</t>
  </si>
  <si>
    <t>AMS,b-Tix,DEMV,Finanzoffice,Fondskonzept,IWM,Keasy,Mr Money,NKK,other,Salia,smartinsurtech,VEMA,VIAS,Vivofinanz,Zeitsprung</t>
  </si>
  <si>
    <t>UserType</t>
  </si>
  <si>
    <t>GoToWebinar Username</t>
  </si>
  <si>
    <t>GoToWebinar Password</t>
  </si>
  <si>
    <t>GoTo Webinar Passwort</t>
  </si>
  <si>
    <t>GoTo Webinar Benutzername</t>
  </si>
  <si>
    <t>SalesReportDate__c</t>
  </si>
  <si>
    <t>SalesReportId__c</t>
  </si>
  <si>
    <t>Sales Report Date</t>
  </si>
  <si>
    <t>Sales Report ID</t>
  </si>
  <si>
    <t>Use Conferencing Tool</t>
  </si>
  <si>
    <t>bAVPlatform__c</t>
  </si>
  <si>
    <t>ConferencingTool__c</t>
  </si>
  <si>
    <t>ESignaturePlatform__c</t>
  </si>
  <si>
    <t>RiskAssessmentPlatform__c</t>
  </si>
  <si>
    <t>SocialMediaPlatform__c</t>
  </si>
  <si>
    <t>Platform</t>
  </si>
  <si>
    <t>Risk Assessment Platform</t>
  </si>
  <si>
    <t>Social Media</t>
  </si>
  <si>
    <t>TLS Encryption</t>
  </si>
  <si>
    <t>ESignature Platform</t>
  </si>
  <si>
    <t>Conferencing Tool</t>
  </si>
  <si>
    <t>bAV Platform</t>
  </si>
  <si>
    <t>Portallösung</t>
  </si>
  <si>
    <t>Konferenz-Software</t>
  </si>
  <si>
    <t>E-Signatur-Lösung</t>
  </si>
  <si>
    <t>TLS Verschlüsselung</t>
  </si>
  <si>
    <t>TLS Verschlüsselung+F187</t>
  </si>
  <si>
    <t>Onlineberatung</t>
  </si>
  <si>
    <t>Risikovoranfrage</t>
  </si>
  <si>
    <t>bAV Portallösung</t>
  </si>
  <si>
    <t>Email on Each Post,Daily Digests,Weekly Digests,Never</t>
  </si>
  <si>
    <t>Daily,Weekly,Never</t>
  </si>
  <si>
    <t>English,German,Spanish,French,Italian,Japanese,Swedish,Korean,Chinese (Traditional),Chinese (Simplified),Portuguese (Brazil),Dutch,Danish,Thai,Finnish,Russian,Spanish (Mexico),Norwegian,Hungarian,Polish,Czech,Turkish,Indonesian,Romanian,Vietnamese,Ukrainian,Hebrew,Greek,Bulgarian,English (UK),Arabic,Slovak,Portuguese (European),Croatian,Slovene,French (Canadian),Georgian,Serbian (Cyrillic),Serbian (Latin),English (Australian),English (Malaysian),English (Indian),English (Phillipines),English (Canadian),Romanian (Moldova),Bosnian,Macedonian,Latvian,Lithuanian,Estonian,Albanian,Montenegrin,Maltese,Irish,Basque,Welsh,Icelandic,Malay,Tagalog,Luxembourgish,Romansh,Armenian,Hindi,Urdu,Bengali,German (Austria),German (Switzerland),Tamil,Arabic (Algeria),Arabic (Bahrain),Arabic (Egypt),Arabic (Iraq),Arabic (Jordan),Arabic (Kuwait),Arabic (Lebanon),Arabic (Libya),Arabic (Morocco),Arabic (Oman),Arabic (Qatar),Arabic (Saudi Arabia),Arabic (Sudan),Arabic (Syria),Arabic (Tunisia),Arabic (United Arab Emirates),Arabic (Yemen),Chinese (Singapore),Chinese (Hong Kong),English (Hong Kong),English (Ireland),English (Singapore),English (South Africa),French (Belgium),French (Luxembourg),French (Switzerland),German (Belgium),German (Luxembourg),Italian (Switzerland),Dutch (Belgium),Spanish (Argentina),Spanish (Bolivia),Spanish (Chile),Spanish (Colombia),Spanish (Costa Rica),Spanish (Dominican Republic),Spanish (Ecuador),Spanish (El Salvador),Spanish (Guatemala),Spanish (Honduras),Spanish (Nicaragua),Spanish (Panama),Spanish (Paraguay),Spanish (Peru),Spanish (Puerto Rico),Spanish (United States),Spanish (Uruguay),Spanish (Venezuela),Catalan,Afrikaans,Swahili,Zulu,Xhosa,Telugu,Malayalam,Kannada,Marathi,Gujarati,English (New Zealand),Te reo,Burmese</t>
  </si>
  <si>
    <t>Standard,Partner,Customer Portal Manager,Customer Portal User,Guest,High Volume Portal,CSN Only,Self Service</t>
  </si>
  <si>
    <t>Unicode (UTF-8),General US &amp; Western Europe (ISO-8859-1, ISO-LATIN-1),Japanese (Shift-JIS),Japanese (JIS),Japanese (EUC),Korean (ks_c_5601-1987),Traditional Chinese (Big5),Simplified Chinese (GB2312),Traditional Chinese Hong Kong (Big5-HKSCS),Japanese (Shift-JIS_2004)</t>
  </si>
  <si>
    <t>Afrikaans (South Africa),Albanian (Albania),Arabic (Algeria),Arabic (Bahrain),Arabic (Egypt),Arabic (Iraq),Arabic (Jordan),Arabic (Kuwait),Arabic (Lebanon),Arabic (Libya),Arabic (Morocco),Arabic (Oman),Arabic (Qatar),Arabic (Saudi Arabia),Arabic (Sudan),Arabic (Syria),Arabic (Tunisia),Arabic (United Arab Emirates),Arabic (Yemen),Armenian (Armenia),Azerbaijani (Azerbaijan),Bangla (Bangladesh),Bangla (India),Basque (Spain),Belarusian (Belarus),Bosnian (Bosnia &amp; Herzegovina),Bulgarian (Bulgaria),Burmese (Myanmar (Burma)),Catalan (Spain),Chinese (China, Pinyin Ordering),Chinese (China, Stroke Ordering),Chinese (China),Chinese (Hong Kong SAR China, Stroke Ordering),Chinese (Hong Kong SAR China),Chinese (Macao SAR China),Chinese (Singapore),Chinese (Taiwan, Stroke Ordering),Chinese (Taiwan),Croatian (Croatia),Czech (Czechia),Danish (Denmark),Dutch (Aruba),Dutch (Belgium),Dutch (Netherlands),Dutch (Suriname),Dzongkha (Bhutan),English (Antigua &amp; Barbuda),English (Australia),English (Bahamas),English (Barbados),English (Belize),English (Bermuda),English (Botswana),English (Cameroon),English (Canada),English (Cayman Islands),English (Eritrea),English (Eswatini),English (Falkland Islands),English (Fiji),English (Gambia),English (Ghana),English (Gibraltar),English (Guyana),English (Hong Kong SAR China),English (India),English (Indonesia),English (Ireland),English (Jamaica),English (Kenya),English (Liberia),English (Madagascar),English (Malawi),English (Malaysia),English (Mauritius),English (Namibia),English (New Zealand),English (Nigeria),English (Pakistan),English (Papua New Guinea),English (Philippines),English (Rwanda),English (Samoa),English (Seychelles),English (Sierra Leone),English (Singapore),English (Sint Maarten),English (Solomon Islands),English (South Africa),English (St. Helena),English (Tanzania),English (Tonga),English (Trinidad &amp; Tobago),English (Uganda),English (United Kingdom),English (United States),English (Vanuatu),Estonian (Estonia),Finnish (Finland),French (Belgium),French (Canada),French (Comoros),French (France),French (Guinea),French (Haiti),French (Luxembourg),French (Mauritania),French (Monaco),French (Switzerland),French (Wallis &amp; Futuna),Georgian (Georgia),German (Austria),German (Belgium),German (Germany),German (Luxembourg),German (Switzerland),Greek (Greece),Gujarati (India),Hebrew (Israel),Hindi (India),Hungarian (Hungary),Icelandic (Iceland),Indonesian (Indonesia),Irish (Ireland),Italian (Italy),Italian (Switzerland),Japanese (Japan),Kannada (India),Kazakh (Kazakhstan),Khmer (Cambodia),Korean (North Korea),Korean (South Korea),Kyrgyz (Kyrgyzstan),Lao (Laos),Latvian (Latvia),Lithuanian (Lithuania),Luba-Katanga (Congo - Kinshasa),Luxembourgish (Luxembourg),Macedonian (North Macedonia),Malay (Brunei),Malay (Malaysia),Malayalam (India),Maltese (Malta),Marathi (India),Montenegrin (Montenegro, USD),Montenegrin (Montenegro),Nepali (Nepal),Norwegian (Norway),Pashto (Afghanistan),Persian (Iran),Polish (Poland),Portuguese (Angola),Portuguese (Brazil),Portuguese (Cape Verde),Portuguese (Mozambique),Portuguese (Portugal),Portuguese (São Tomé &amp; Príncipe),Romanian (Moldova),Romanian (Romania),Romansh (Switzerland),Rundi (Burundi),Russian (Kazakhstan),Russian (Russia),Serbian (Cyrillic) (Bosnia and Herzegovina),Serbian (Cyrillic) (Serbia),Serbian (Latin) (Bosnia and Herzegovina),Serbian (Latin) (Serbia),Serbian (Serbia),Slovak (Slovakia),Slovenian (Slovenia),Somali (Djibouti),Somali (Somalia),Spanish (Argentina),Spanish (Bolivia),Spanish (Chile),Spanish (Colombia),Spanish (Costa Rica),Spanish (Cuba),Spanish (Dominican Republic),Spanish (Ecuador),Spanish (El Salvador),Spanish (Guatemala),Spanish (Honduras),Spanish (Mexico),Spanish (Nicaragua),Spanish (Panama),Spanish (Paraguay),Spanish (Peru),Spanish (Puerto Rico),Spanish (Spain),Spanish (United States),Spanish (Uruguay),Spanish (Venezuela),Swahili (Kenya),Swedish (Sweden),Tagalog (Philippines),Tajik (Tajikistan),Tamil (India),Tamil (Sri Lanka),Telugu (India),Te reo (New Zealand),Thai (Thailand),Tigrinya (Ethiopia),Turkish (Turkey),Ukrainian (Ukraine),Urdu (Pakistan),Uzbek (LATN,UZ),Vietnamese (Vietnam),Welsh (United Kingdom),Xhosa (South Africa),Yoruba (Benin),Zulu (South Africa)</t>
  </si>
  <si>
    <t>(GMT+14:00) Line Islands Time (Pacific/Kiritimati),(GMT+13:00) Phoenix Islands Time (Pacific/Enderbury),(GMT+13:00) Tonga Standard Time (Pacific/Tongatapu),(GMT+12:45) Chatham Standard Time (Pacific/Chatham),(GMT+12:00) Petropavlovsk-Kamchatski Standard Time (Asia/Kamchatka),(GMT+12:00) New Zealand Standard Time (Pacific/Auckland),(GMT+12:00) Fiji Standard Time (Pacific/Fiji),(GMT+11:00) Solomon Islands Time (Pacific/Guadalcanal),(GMT+11:00) Norfolk Island Time (Pacific/Norfolk),(GMT+10:30) Lord Howe Standard Time (Australia/Lord_Howe),(GMT+10:00) Australian Eastern Standard Time (Australia/Brisbane),(GMT+10:00) Australian Eastern Standard Time (Australia/Sydney),(GMT+09:30) Australian Central Standard Time (Australia/Adelaide),(GMT+09:30) Australian Central Standard Time (Australia/Darwin),(GMT+09:00) Korean Standard Time (Asia/Seoul),(GMT+09:00) Japan Standard Time (Asia/Tokyo),(GMT+08:00) Hong Kong Standard Time (Asia/Hong_Kong),(GMT+08:00) Malaysia Time (Asia/Kuala_Lumpur),(GMT+08:00) Philippine Standard Time (Asia/Manila),(GMT+08:00) China Standard Time (Asia/Shanghai),(GMT+08:00) Singapore Standard Time (Asia/Singapore),(GMT+08:00) Taipei Standard Time (Asia/Taipei),(GMT+08:00) Australian Western Standard Time (Australia/Perth),(GMT+07:00) Indochina Time (Asia/Bangkok),(GMT+07:00) Indochina Time (Asia/Ho_Chi_Minh),(GMT+07:00) Western Indonesia Time (Asia/Jakarta),(GMT+06:30) Myanmar Time (Asia/Rangoon),(GMT+06:00) Bangladesh Standard Time (Asia/Dhaka),(GMT+05:45) Nepal Time (Asia/Kathmandu),(GMT+05:30) India Standard Time (Asia/Colombo),(GMT+05:30) India Standard Time (Asia/Kolkata),(GMT+05:00) Pakistan Standard Time (Asia/Karachi),(GMT+05:00) Uzbekistan Standard Time (Asia/Tashkent),(GMT+05:00) Yekaterinburg Standard Time (Asia/Yekaterinburg),(GMT+04:30) Afghanistan Time (Asia/Kabul),(GMT+04:30) Iran Daylight Time (Asia/Tehran),(GMT+04:00) Azerbaijan Standard Time (Asia/Baku),(GMT+04:00) Gulf Standard Time (Asia/Dubai),(GMT+04:00) Georgia Standard Time (Asia/Tbilisi),(GMT+04:00) Armenia Standard Time (Asia/Yerevan),(GMT+03:00) East Africa Time (Africa/Nairobi),(GMT+03:00) Arabian Standard Time (Asia/Baghdad),(GMT+03:00) Eastern European Summer Time (Asia/Beirut),(GMT+03:00) Israel Daylight Time (Asia/Jerusalem),(GMT+03:00) Arabian Standard Time (Asia/Kuwait),(GMT+03:00) Arabian Standard Time (Asia/Riyadh),(GMT+03:00) Eastern European Summer Time (Europe/Athens),(GMT+03:00) Eastern European Summer Time (Europe/Bucharest),(GMT+03:00) Eastern European Summer Time (Europe/Helsinki),(GMT+03:00) Eastern European Standard Time (Europe/Istanbul),(GMT+03:00) Moscow Standard Time (Europe/Minsk),(GMT+03:00) Moscow Standard Time (Europe/Moscow),(GMT+02:00) Eastern European Standard Time (Africa/Cairo),(GMT+02:00) South Africa Standard Time (Africa/Johannesburg),(GMT+02:00) Central European Summer Time (Europe/Amsterdam),(GMT+02:00) Central European Summer Time (Europe/Berlin),(GMT+02:00) Central European Summer Time (Europe/Brussels),(GMT+02:00) Central European Summer Time (Europe/Paris),(GMT+02:00) Central European Summer Time (Europe/Prague),(GMT+02:00) Central European Summer Time (Europe/Rome),(GMT+01:00) Central European Standard Time (Africa/Algiers),(GMT+01:00) Western European Summer Time (Africa/Casablanca),(GMT+01:00) Irish Standard Time (Europe/Dublin),(GMT+01:00) Western European Summer Time (Europe/Lisbon),(GMT+01:00) British Summer Time (Europe/London),(GMT+00:00) East Greenland Summer Time (America/Scoresbysund),(GMT+00:00) Azores Summer Time (Atlantic/Azores),(GMT+00:00) Greenwich Mean Time (GMT),(GMT-01:00) Cape Verde Standard Time (Atlantic/Cape_Verde),(GMT-02:00) South Georgia Time (Atlantic/South_Georgia),(GMT-02:30) Newfoundland Daylight Time (America/St_Johns),(GMT-03:00) Argentina Standard Time (America/Argentina/Buenos_Aires),(GMT-03:00) Atlantic Daylight Time (America/Halifax),(GMT-03:00) Brasilia Standard Time (America/Sao_Paulo),(GMT-03:00) Atlantic Daylight Time (Atlantic/Bermuda),(GMT-04:00) Venezuela Time (America/Caracas),(GMT-04:00) Eastern Daylight Time (America/Indiana/Indianapolis),(GMT-04:00) Eastern Daylight Time (America/New_York),(GMT-04:00) Atlantic Standard Time (America/Puerto_Rico),(GMT-04:00) Chile Standard Time (America/Santiago),(GMT-05:00) Colombia Standard Time (America/Bogota),(GMT-05:00) Central Daylight Time (America/Chicago),(GMT-05:00) Peru Standard Time (America/Lima),(GMT-05:00) Central Daylight Time (America/Mexico_City),(GMT-05:00) Eastern Standard Time (America/Panama),(GMT-06:00) Mountain Daylight Time (America/Denver),(GMT-06:00) Central Standard Time (America/El_Salvador),(GMT-06:00) Mexican Pacific Daylight Time (America/Mazatlan),(GMT-07:00) Pacific Daylight Time (America/Los_Angeles),(GMT-07:00) Mountain Standard Time (America/Phoenix),(GMT-07:00) Pacific Daylight Time (America/Tijuana),(GMT-08:00) Alaska Daylight Time (America/Anchorage),(GMT-08:00) Pitcairn Time (Pacific/Pitcairn),(GMT-09:00) Hawaii-Aleutian Daylight Time (America/Adak),(GMT-09:00) Gambier Time (Pacific/Gambier),(GMT-09:30) Marquesas Time (Pacific/Marquesas),(GMT-10:00) Hawaii-Aleutian Standard Time (Pacific/Honolulu),(GMT-11:00) Niue Time (Pacific/Niue),(GMT-11:00) Samoa Standard Time (Pacific/Pago_Pago)</t>
  </si>
  <si>
    <t>e-pension,e-Vorsorge,none,other,x-bav</t>
  </si>
  <si>
    <t>Facebook,Instagram,Linkedin,none,other,TikTok,Twitter,Xing,YouTube</t>
  </si>
  <si>
    <t>Canada Life Magnum,none,other,Riva (über Leveline oder Softfair),vers.diagnose</t>
  </si>
  <si>
    <t>Adobe Sign,Canada Life Angebotssoftware (edocbox),edocbox (Nepatec),E-Signatur mit Franke &amp; Bornberg,E-Signatur mit Morgen &amp; Morgen,E-Signatur mit Softfair,E-Signatur mit vers.diagnose,Insign (IS2),none,other</t>
  </si>
  <si>
    <t>Advanced (Product-)Training,Advisorytool,Broker-Portal,Call Center,Clear Sales-Approach,Client Activity,DMA Inhouse-Trainings,External Consultancy,Incentives,Kompetence-Support,Leads,Local Marketing,Online Fundinformation,Online-Presentations,Preliminary Risk-Assecssment,Seminars / Workshops,SME Support for Client Appointments,Support- and Sales-Concept for Client Contact,Support getting new clients,Support on Cancellations,Support on Client Appointments,Support on Salesactivities,Tele-Interview,Telephonetraining,Valuable Presentation Materials,Webinars</t>
  </si>
  <si>
    <t>Facetime,Flexperto,Go To Meeting/Webinar,Microsoft Teams,none,other,Skype,Snapview,Teamviewer,VEMALife,Zoom</t>
  </si>
  <si>
    <t>Additional Info Sheet filled,Commission Sacrifice Tariffs,Maturing Policies,Poolmember,Re-Investment-Manager in use,Re-Investment-Manager received</t>
  </si>
  <si>
    <t>Applications to Broker CLE,Applications to Broker Consultant,Communication via EMail,Communication via Phone,Communication via Post,No communication desired,Send Policy to Broker,Send Policy to Policy-Holder</t>
  </si>
  <si>
    <t>ab-Agenta (artBASE),AGENTURA (ASAsoft GmbH),Akquise-Center (Softfair),Ameise (blau direkt),AMS (AssFinet),Apella MSC (Apella),Aperco Makleroffice (Aperco),Avario CRM (Avario),BiPRO-Box (Mr. Money),b-tix Client (b-tix),CASA (CHARTA),CORPIT VS (Corpi),Dokumentenservice (i-planner),Dokumentenservice (VEMA),Dokumenten-Service (zeitsprung),Easy client (easy login GmbH),eigenes MVP (Check24),eigenes MVP (pma),eigenes MVP (VVH),FinanceOffice (IWM),FinanzProfiT (Implanium),Finass (Frank Weber Softwareentwicklung),GIN-AX (K2-Consult),IMA (Inveda),InfoAgent (Buchholz),Inopool (ino24),IVM (Holl &amp; Partner),Keasy (vfm),KVV (eZ Software),LISA (wmLISA Software),Makler Jeannie (Balk &amp; Braun),Maklerservicecenter (FondsKonzept),Moneycheck-CRM (Finanzsystemhaus),myVast (Volz),none,OASIS (NKK),openVIVA c2 (mb Support),Other,Polaris (Gallwitz),Power Weiss (Weiss),Professional Works (DEMV),SALIA (SQL Projekt),Scan2find (ASPOA),serviceOFFICE (Mapware),U-Makler (Novosys),VENTA (C1FinCon),VENTA KVM (Fonds Finanz),VIAS (LUTRONIK)</t>
  </si>
  <si>
    <t>CLE VorsorgePlaner,Dr. Kriebel Rechner,eVorsorge,FB-xpert (Franke &amp; Bornberg),FinanzPlaner 24,Haufe AltersvorsorgePlaner,Levelnine,Morgen &amp; Morgen,none,Other,softfair,xbAV</t>
  </si>
  <si>
    <t>GPNo__c</t>
  </si>
  <si>
    <t>DietaryRequired__c</t>
  </si>
  <si>
    <t>Enable_Outbound_Messages__c</t>
  </si>
  <si>
    <t>Enable_Process_Builder_Flow__c</t>
  </si>
  <si>
    <t>Enable_Triggers__c</t>
  </si>
  <si>
    <t>Enable_Validation_Rules__c</t>
  </si>
  <si>
    <t>Enable_Workflow_Rules__c</t>
  </si>
  <si>
    <t>Enable Outbound Messages</t>
  </si>
  <si>
    <t>Enable Process Builder/Flow</t>
  </si>
  <si>
    <t>Enable Triggers</t>
  </si>
  <si>
    <t>Enable Validation Rules</t>
  </si>
  <si>
    <t>Enable Workflow Rules</t>
  </si>
  <si>
    <t>Aktiv,Bewerbung,Bewerbung (CNB),CNB,Kündigung,NZG,Sali,Sali(ohne IHK),Widerruf,Widerruf(ohne IHK),PoolGP,PoolGP (IHK gelöscht),PoolGP (CLE GP)</t>
  </si>
  <si>
    <t>Draft,Session Created,Error Creating Session,Session Updated,Error Updating Session,Session Deleted,Error Deleting Session,Session Completed,Session Attendees Processed</t>
  </si>
  <si>
    <t>IsAllDayEvent</t>
  </si>
  <si>
    <t>StartDateTime</t>
  </si>
  <si>
    <t>EndDateTime</t>
  </si>
  <si>
    <t>ActivityDate</t>
  </si>
  <si>
    <t>ActivityDateTime</t>
  </si>
  <si>
    <t>Location</t>
  </si>
  <si>
    <t>ShowAs</t>
  </si>
  <si>
    <t>WhatId</t>
  </si>
  <si>
    <t>User,Calendar</t>
  </si>
  <si>
    <t>End</t>
  </si>
  <si>
    <t>All-Day Event</t>
  </si>
  <si>
    <t>Start</t>
  </si>
  <si>
    <t>Assigned To</t>
  </si>
  <si>
    <t>Show Time As</t>
  </si>
  <si>
    <t>Relates To</t>
  </si>
  <si>
    <t>Ende</t>
  </si>
  <si>
    <t>Zugeordnet zu</t>
  </si>
  <si>
    <t>Ganztägiges Ereignis</t>
  </si>
  <si>
    <t>Maklergespräch,Strategiegespräch,Schulung,Workshop,Roadshow,Webinar,Sonstiges,Telefongespräch,Outlooktermin,Seminar,Messe</t>
  </si>
  <si>
    <t>Busy,Out of Office,Free</t>
  </si>
  <si>
    <t>HasISuiteTask__c</t>
  </si>
  <si>
    <t>Has ISuite Task</t>
  </si>
  <si>
    <t>Hat Pipeline Task</t>
  </si>
</sst>
</file>

<file path=xl/styles.xml><?xml version="1.0" encoding="utf-8"?>
<styleSheet xmlns="http://schemas.openxmlformats.org/spreadsheetml/2006/main">
  <fonts count="3">
    <font>
      <sz val="11"/>
      <color theme="1"/>
      <name val="Calibri"/>
      <family val="2"/>
      <scheme val="minor"/>
    </font>
    <font>
      <b/>
      <sz val="11"/>
      <color theme="1"/>
      <name val="Calibri"/>
      <family val="2"/>
      <scheme val="minor"/>
    </font>
    <font>
      <sz val="11"/>
      <color theme="1"/>
      <name val="Calibri"/>
      <family val="2"/>
      <scheme val="minor"/>
    </font>
  </fonts>
  <fills count="3">
    <fill>
      <patternFill patternType="none"/>
    </fill>
    <fill>
      <patternFill patternType="gray125"/>
    </fill>
    <fill>
      <patternFill patternType="solid">
        <fgColor theme="6" tint="0.59999389629810485"/>
        <bgColor indexed="65"/>
      </patternFill>
    </fill>
  </fills>
  <borders count="2">
    <border>
      <left/>
      <right/>
      <top/>
      <bottom/>
      <diagonal/>
    </border>
    <border>
      <left style="thin">
        <color auto="1"/>
      </left>
      <right style="thin">
        <color auto="1"/>
      </right>
      <top style="thin">
        <color auto="1"/>
      </top>
      <bottom style="thin">
        <color auto="1"/>
      </bottom>
      <diagonal/>
    </border>
  </borders>
  <cellStyleXfs count="2">
    <xf numFmtId="0" fontId="0" fillId="0" borderId="0"/>
    <xf numFmtId="0" fontId="2" fillId="2" borderId="0" applyNumberFormat="0" applyBorder="0" applyAlignment="0" applyProtection="0"/>
  </cellStyleXfs>
  <cellXfs count="12">
    <xf numFmtId="0" fontId="0" fillId="0" borderId="0" xfId="0"/>
    <xf numFmtId="0" fontId="1" fillId="0" borderId="0" xfId="0" applyFont="1"/>
    <xf numFmtId="0" fontId="1" fillId="0" borderId="1" xfId="0" applyFont="1" applyBorder="1" applyAlignment="1">
      <alignment wrapText="1"/>
    </xf>
    <xf numFmtId="0" fontId="0" fillId="0" borderId="1" xfId="0" applyBorder="1" applyAlignment="1">
      <alignment wrapText="1"/>
    </xf>
    <xf numFmtId="0" fontId="0" fillId="0" borderId="1" xfId="0" applyFont="1" applyBorder="1" applyAlignment="1">
      <alignment wrapText="1"/>
    </xf>
    <xf numFmtId="0" fontId="2" fillId="2" borderId="0" xfId="1" applyProtection="1"/>
    <xf numFmtId="1" fontId="2" fillId="2" borderId="0" xfId="1" applyNumberFormat="1" applyProtection="1"/>
    <xf numFmtId="0" fontId="0" fillId="0" borderId="0" xfId="0" applyProtection="1">
      <protection locked="0"/>
    </xf>
    <xf numFmtId="1" fontId="0" fillId="0" borderId="0" xfId="0" applyNumberFormat="1" applyProtection="1">
      <protection locked="0"/>
    </xf>
    <xf numFmtId="0" fontId="0" fillId="0" borderId="0" xfId="0" applyFont="1" applyProtection="1">
      <protection locked="0"/>
    </xf>
    <xf numFmtId="0" fontId="0" fillId="0" borderId="0" xfId="0" applyFill="1" applyProtection="1">
      <protection locked="0"/>
    </xf>
    <xf numFmtId="0" fontId="0" fillId="0" borderId="0" xfId="0" applyProtection="1"/>
  </cellXfs>
  <cellStyles count="2">
    <cellStyle name="40% - Accent3" xfId="1" builtinId="39"/>
    <cellStyle name="Normal" xfId="0" builtinId="0"/>
  </cellStyles>
  <dxfs count="113">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fgColor indexed="64"/>
          <bgColor theme="9"/>
        </patternFill>
      </fill>
    </dxf>
    <dxf>
      <fill>
        <patternFill>
          <bgColor theme="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worksheets/sheet15.xml" Type="http://schemas.openxmlformats.org/officeDocument/2006/relationships/worksheet"/><Relationship Id="rId16" Target="worksheets/sheet16.xml" Type="http://schemas.openxmlformats.org/officeDocument/2006/relationships/worksheet"/><Relationship Id="rId17" Target="worksheets/sheet17.xml" Type="http://schemas.openxmlformats.org/officeDocument/2006/relationships/worksheet"/><Relationship Id="rId18" Target="worksheets/sheet18.xml" Type="http://schemas.openxmlformats.org/officeDocument/2006/relationships/worksheet"/><Relationship Id="rId19" Target="worksheets/sheet19.xml" Type="http://schemas.openxmlformats.org/officeDocument/2006/relationships/worksheet"/><Relationship Id="rId2" Target="worksheets/sheet2.xml" Type="http://schemas.openxmlformats.org/officeDocument/2006/relationships/worksheet"/><Relationship Id="rId20" Target="worksheets/sheet20.xml" Type="http://schemas.openxmlformats.org/officeDocument/2006/relationships/worksheet"/><Relationship Id="rId21" Target="worksheets/sheet21.xml" Type="http://schemas.openxmlformats.org/officeDocument/2006/relationships/worksheet"/><Relationship Id="rId22" Target="worksheets/sheet22.xml" Type="http://schemas.openxmlformats.org/officeDocument/2006/relationships/worksheet"/><Relationship Id="rId23" Target="worksheets/sheet23.xml" Type="http://schemas.openxmlformats.org/officeDocument/2006/relationships/worksheet"/><Relationship Id="rId24" Target="worksheets/sheet24.xml" Type="http://schemas.openxmlformats.org/officeDocument/2006/relationships/worksheet"/><Relationship Id="rId25" Target="worksheets/sheet25.xml" Type="http://schemas.openxmlformats.org/officeDocument/2006/relationships/worksheet"/><Relationship Id="rId26" Target="worksheets/sheet26.xml" Type="http://schemas.openxmlformats.org/officeDocument/2006/relationships/worksheet"/><Relationship Id="rId27" Target="worksheets/sheet27.xml" Type="http://schemas.openxmlformats.org/officeDocument/2006/relationships/worksheet"/><Relationship Id="rId28" Target="worksheets/sheet28.xml" Type="http://schemas.openxmlformats.org/officeDocument/2006/relationships/worksheet"/><Relationship Id="rId29" Target="worksheets/sheet29.xml" Type="http://schemas.openxmlformats.org/officeDocument/2006/relationships/worksheet"/><Relationship Id="rId3" Target="worksheets/sheet3.xml" Type="http://schemas.openxmlformats.org/officeDocument/2006/relationships/worksheet"/><Relationship Id="rId30" Target="worksheets/sheet30.xml" Type="http://schemas.openxmlformats.org/officeDocument/2006/relationships/worksheet"/><Relationship Id="rId31" Target="worksheets/sheet31.xml" Type="http://schemas.openxmlformats.org/officeDocument/2006/relationships/worksheet"/><Relationship Id="rId32" Target="worksheets/sheet32.xml" Type="http://schemas.openxmlformats.org/officeDocument/2006/relationships/worksheet"/><Relationship Id="rId33" Target="worksheets/sheet33.xml" Type="http://schemas.openxmlformats.org/officeDocument/2006/relationships/worksheet"/><Relationship Id="rId34" Target="worksheets/sheet34.xml" Type="http://schemas.openxmlformats.org/officeDocument/2006/relationships/worksheet"/><Relationship Id="rId35" Target="worksheets/sheet35.xml" Type="http://schemas.openxmlformats.org/officeDocument/2006/relationships/worksheet"/><Relationship Id="rId36" Target="worksheets/sheet36.xml" Type="http://schemas.openxmlformats.org/officeDocument/2006/relationships/worksheet"/><Relationship Id="rId37" Target="worksheets/sheet37.xml" Type="http://schemas.openxmlformats.org/officeDocument/2006/relationships/worksheet"/><Relationship Id="rId38" Target="worksheets/sheet38.xml" Type="http://schemas.openxmlformats.org/officeDocument/2006/relationships/worksheet"/><Relationship Id="rId39" Target="theme/theme1.xml" Type="http://schemas.openxmlformats.org/officeDocument/2006/relationships/theme"/><Relationship Id="rId4" Target="worksheets/sheet4.xml" Type="http://schemas.openxmlformats.org/officeDocument/2006/relationships/worksheet"/><Relationship Id="rId40" Target="styles.xml" Type="http://schemas.openxmlformats.org/officeDocument/2006/relationships/styles"/><Relationship Id="rId41" Target="sharedStrings.xml" Type="http://schemas.openxmlformats.org/officeDocument/2006/relationships/sharedStrings"/><Relationship Id="rId42" Target="calcChain.xml" Type="http://schemas.openxmlformats.org/officeDocument/2006/relationships/calcChain"/><Relationship Id="rId43" Target="vbaProject.bin" Type="http://schemas.microsoft.com/office/2006/relationships/vbaProjec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s>
</file>

<file path=xl/worksheets/_rels/sheet8.xml.rels><?xml version="1.0" encoding="UTF-8" standalone="no"?><Relationships xmlns="http://schemas.openxmlformats.org/package/2006/relationships"><Relationship Id="rId1" Target="../printerSettings/printerSettings4.bin" Type="http://schemas.openxmlformats.org/officeDocument/2006/relationships/printerSettings"/></Relationships>
</file>

<file path=xl/worksheets/_rels/sheet10.xml.rels><?xml version="1.0" encoding="UTF-8" standalone="no"?><Relationships xmlns="http://schemas.openxmlformats.org/package/2006/relationships"><Relationship Id="rId1" Target="../printerSettings/printerSettings5.bin" Type="http://schemas.openxmlformats.org/officeDocument/2006/relationships/printerSettings"/></Relationships>
</file>

<file path=xl/worksheets/_rels/sheet31.xml.rels><?xml version="1.0" encoding="UTF-8" standalone="no"?><Relationships xmlns="http://schemas.openxmlformats.org/package/2006/relationships"><Relationship Id="rId1" Target="../printerSettings/printerSettings6.bin" Type="http://schemas.openxmlformats.org/officeDocument/2006/relationships/printerSettings"/></Relationships>
</file>

<file path=xl/worksheets/sheet1.xml><?xml version="1.0" encoding="utf-8"?>
<worksheet xmlns="http://schemas.openxmlformats.org/spreadsheetml/2006/main" xmlns:r="http://schemas.openxmlformats.org/officeDocument/2006/relationships">
  <sheetPr codeName="Sheet1"/>
  <dimension ref="A1:K682"/>
  <sheetViews>
    <sheetView topLeftCell="D1" workbookViewId="0">
      <pane ySplit="1" topLeftCell="A545" activePane="bottomLeft" state="frozen"/>
      <selection pane="bottomLeft" activeCell="D2" sqref="D2"/>
    </sheetView>
  </sheetViews>
  <sheetFormatPr defaultColWidth="8.90625" defaultRowHeight="14.5"/>
  <cols>
    <col min="1" max="1" width="38.36328125" style="3" customWidth="1"/>
    <col min="2" max="2" width="70.453125" style="3" customWidth="1"/>
    <col min="3" max="3" width="27.36328125" style="3" bestFit="1" customWidth="1"/>
    <col min="4" max="4" width="34.54296875" style="3" bestFit="1" customWidth="1"/>
    <col min="5" max="5" width="34.6328125" style="3" bestFit="1" customWidth="1"/>
    <col min="6" max="6" width="44" style="3" customWidth="1"/>
    <col min="7" max="7" width="40.36328125" style="3" customWidth="1"/>
    <col min="8" max="9" width="41.08984375" style="3" customWidth="1"/>
    <col min="10" max="10" width="11.08984375" style="3" bestFit="1" customWidth="1"/>
    <col min="11" max="11" width="8.90625" style="3"/>
    <col min="12" max="12" width="13.90625" style="3" customWidth="1"/>
    <col min="13" max="16384" width="8.90625" style="3"/>
  </cols>
  <sheetData>
    <row r="1" spans="1:11" s="2" customFormat="1">
      <c r="A1" s="2" t="s">
        <v>56</v>
      </c>
      <c r="B1" s="2" t="s">
        <v>0</v>
      </c>
      <c r="C1" s="2" t="s">
        <v>4</v>
      </c>
      <c r="D1" s="2" t="s">
        <v>21</v>
      </c>
      <c r="E1" s="2" t="s">
        <v>22</v>
      </c>
      <c r="F1" s="2" t="s">
        <v>49</v>
      </c>
      <c r="G1" s="2" t="s">
        <v>48</v>
      </c>
      <c r="H1" s="2" t="s">
        <v>54</v>
      </c>
      <c r="I1" s="2" t="s">
        <v>55</v>
      </c>
      <c r="J1" s="2" t="s">
        <v>192</v>
      </c>
      <c r="K1" s="2" t="s">
        <v>1263</v>
      </c>
    </row>
    <row r="2" spans="1:11">
      <c r="A2" s="3" t="s">
        <v>551</v>
      </c>
      <c r="B2" s="4" t="s">
        <v>195</v>
      </c>
      <c r="C2" s="4" t="s">
        <v>195</v>
      </c>
      <c r="D2" s="4" t="s">
        <v>195</v>
      </c>
      <c r="E2" s="4" t="s">
        <v>195</v>
      </c>
      <c r="F2" s="3" t="s">
        <v>195</v>
      </c>
      <c r="G2" s="4" t="s">
        <v>195</v>
      </c>
      <c r="H2" s="4" t="s">
        <v>195</v>
      </c>
      <c r="I2" s="4" t="s">
        <v>195</v>
      </c>
      <c r="J2" s="3" t="s">
        <v>28</v>
      </c>
      <c r="K2" s="3" t="s">
        <v>29</v>
      </c>
    </row>
    <row r="3" spans="1:11" ht="246.5">
      <c r="A3" s="3" t="s">
        <v>177</v>
      </c>
      <c r="B3" s="3" t="s">
        <v>1203</v>
      </c>
      <c r="C3" s="4" t="s">
        <v>5</v>
      </c>
      <c r="D3" s="4" t="s">
        <v>1538</v>
      </c>
      <c r="E3" s="3" t="s">
        <v>159</v>
      </c>
      <c r="F3" s="3" t="s">
        <v>43</v>
      </c>
      <c r="G3" s="3" t="s">
        <v>43</v>
      </c>
      <c r="H3" s="3" t="s">
        <v>40</v>
      </c>
      <c r="J3" s="3" t="s">
        <v>29</v>
      </c>
      <c r="K3" s="3" t="s">
        <v>1270</v>
      </c>
    </row>
    <row r="4" spans="1:11" ht="101.5">
      <c r="A4" s="3" t="s">
        <v>57</v>
      </c>
      <c r="B4" s="3" t="s">
        <v>1379</v>
      </c>
      <c r="C4" s="4" t="s">
        <v>122</v>
      </c>
      <c r="D4" s="3" t="s">
        <v>5</v>
      </c>
      <c r="E4" s="3" t="s">
        <v>1576</v>
      </c>
      <c r="F4" s="3" t="s">
        <v>799</v>
      </c>
      <c r="G4" s="3" t="s">
        <v>51</v>
      </c>
      <c r="H4" s="3" t="s">
        <v>990</v>
      </c>
      <c r="K4" s="3" t="s">
        <v>1271</v>
      </c>
    </row>
    <row r="5" spans="1:11" ht="391.5">
      <c r="A5" s="3" t="s">
        <v>58</v>
      </c>
      <c r="B5" s="3" t="s">
        <v>1204</v>
      </c>
      <c r="C5" s="4" t="s">
        <v>1457</v>
      </c>
      <c r="D5" s="3" t="s">
        <v>187</v>
      </c>
      <c r="E5" s="3" t="s">
        <v>385</v>
      </c>
      <c r="F5" s="3" t="s">
        <v>1765</v>
      </c>
      <c r="G5" s="3" t="s">
        <v>1298</v>
      </c>
      <c r="H5" s="3" t="s">
        <v>993</v>
      </c>
      <c r="K5" s="3" t="s">
        <v>1329</v>
      </c>
    </row>
    <row r="6" spans="1:11" ht="406">
      <c r="A6" s="3" t="s">
        <v>59</v>
      </c>
      <c r="B6" s="3" t="s">
        <v>1205</v>
      </c>
      <c r="C6" s="4" t="s">
        <v>1322</v>
      </c>
      <c r="D6" s="3" t="s">
        <v>129</v>
      </c>
      <c r="E6" s="3" t="s">
        <v>985</v>
      </c>
      <c r="F6" s="3" t="s">
        <v>1481</v>
      </c>
      <c r="G6" s="3" t="s">
        <v>589</v>
      </c>
      <c r="H6" s="3" t="s">
        <v>989</v>
      </c>
    </row>
    <row r="7" spans="1:11" ht="116">
      <c r="A7" s="3" t="s">
        <v>3</v>
      </c>
      <c r="B7" s="3" t="s">
        <v>1206</v>
      </c>
      <c r="C7" s="4" t="s">
        <v>1301</v>
      </c>
      <c r="D7" s="3" t="s">
        <v>17</v>
      </c>
      <c r="E7" s="3" t="s">
        <v>209</v>
      </c>
      <c r="F7" s="3" t="s">
        <v>471</v>
      </c>
      <c r="G7" s="3" t="s">
        <v>1483</v>
      </c>
      <c r="H7" s="3" t="s">
        <v>992</v>
      </c>
    </row>
    <row r="8" spans="1:11" ht="101.5">
      <c r="A8" s="3" t="s">
        <v>194</v>
      </c>
      <c r="B8" s="3" t="s">
        <v>386</v>
      </c>
      <c r="C8" s="4" t="s">
        <v>1323</v>
      </c>
      <c r="D8" s="3" t="s">
        <v>473</v>
      </c>
      <c r="E8" s="3" t="s">
        <v>872</v>
      </c>
      <c r="F8" s="3" t="s">
        <v>1479</v>
      </c>
      <c r="G8" s="3" t="s">
        <v>1372</v>
      </c>
      <c r="H8" s="3" t="s">
        <v>991</v>
      </c>
    </row>
    <row r="9" spans="1:11" ht="72.5">
      <c r="A9" s="3" t="s">
        <v>987</v>
      </c>
      <c r="B9" s="3" t="s">
        <v>1207</v>
      </c>
      <c r="C9" s="3" t="s">
        <v>1324</v>
      </c>
      <c r="D9" s="3" t="s">
        <v>1539</v>
      </c>
      <c r="E9" s="3" t="s">
        <v>165</v>
      </c>
      <c r="F9" s="3" t="s">
        <v>43</v>
      </c>
      <c r="G9" s="3" t="s">
        <v>1299</v>
      </c>
      <c r="H9" s="3" t="s">
        <v>352</v>
      </c>
    </row>
    <row r="10" spans="1:11" ht="362.5">
      <c r="A10" s="3" t="s">
        <v>105</v>
      </c>
      <c r="B10" s="3" t="s">
        <v>142</v>
      </c>
      <c r="C10" s="3" t="s">
        <v>202</v>
      </c>
      <c r="D10" s="3" t="s">
        <v>136</v>
      </c>
      <c r="E10" s="3" t="s">
        <v>858</v>
      </c>
      <c r="F10" s="3" t="s">
        <v>1774</v>
      </c>
      <c r="G10" s="3" t="s">
        <v>52</v>
      </c>
      <c r="H10" s="3" t="s">
        <v>994</v>
      </c>
    </row>
    <row r="11" spans="1:11" ht="58">
      <c r="A11" s="3" t="s">
        <v>643</v>
      </c>
      <c r="B11" s="3" t="s">
        <v>1208</v>
      </c>
      <c r="C11" s="4" t="s">
        <v>6</v>
      </c>
      <c r="D11" s="3" t="s">
        <v>1259</v>
      </c>
      <c r="E11" s="3" t="s">
        <v>1397</v>
      </c>
      <c r="F11" s="3" t="s">
        <v>185</v>
      </c>
      <c r="G11" s="3" t="s">
        <v>1373</v>
      </c>
      <c r="H11" s="3" t="s">
        <v>360</v>
      </c>
    </row>
    <row r="12" spans="1:11" ht="72.5">
      <c r="A12" s="3" t="s">
        <v>176</v>
      </c>
      <c r="B12" s="3" t="s">
        <v>79</v>
      </c>
      <c r="C12" s="3" t="s">
        <v>1206</v>
      </c>
      <c r="D12" s="3" t="s">
        <v>145</v>
      </c>
      <c r="E12" s="3" t="s">
        <v>1447</v>
      </c>
      <c r="F12" s="3" t="s">
        <v>980</v>
      </c>
      <c r="G12" s="3" t="s">
        <v>1537</v>
      </c>
    </row>
    <row r="13" spans="1:11">
      <c r="A13" s="3" t="s">
        <v>61</v>
      </c>
      <c r="B13" s="3" t="s">
        <v>1209</v>
      </c>
      <c r="C13" s="3" t="s">
        <v>386</v>
      </c>
      <c r="D13" s="3" t="s">
        <v>1286</v>
      </c>
      <c r="E13" s="3" t="s">
        <v>423</v>
      </c>
      <c r="F13" s="3" t="s">
        <v>42</v>
      </c>
      <c r="G13" s="3" t="s">
        <v>949</v>
      </c>
    </row>
    <row r="14" spans="1:11" ht="58">
      <c r="A14" s="3" t="s">
        <v>952</v>
      </c>
      <c r="B14" s="3" t="s">
        <v>1210</v>
      </c>
      <c r="C14" s="3" t="s">
        <v>1207</v>
      </c>
      <c r="D14" s="3" t="s">
        <v>652</v>
      </c>
      <c r="E14" s="3" t="s">
        <v>424</v>
      </c>
      <c r="F14" s="3" t="s">
        <v>1772</v>
      </c>
      <c r="G14" s="3" t="s">
        <v>44</v>
      </c>
    </row>
    <row r="15" spans="1:11" ht="29">
      <c r="A15" s="3" t="s">
        <v>953</v>
      </c>
      <c r="B15" s="3" t="s">
        <v>1476</v>
      </c>
      <c r="C15" s="3" t="s">
        <v>1467</v>
      </c>
      <c r="D15" s="3" t="s">
        <v>186</v>
      </c>
      <c r="E15" s="3" t="s">
        <v>873</v>
      </c>
      <c r="F15" s="3" t="s">
        <v>1287</v>
      </c>
      <c r="G15" s="3" t="s">
        <v>53</v>
      </c>
    </row>
    <row r="16" spans="1:11" ht="72.5">
      <c r="A16" s="3" t="s">
        <v>762</v>
      </c>
      <c r="B16" s="3" t="s">
        <v>1211</v>
      </c>
      <c r="C16" s="3" t="s">
        <v>1291</v>
      </c>
      <c r="D16" s="3" t="s">
        <v>115</v>
      </c>
      <c r="E16" s="3" t="s">
        <v>1574</v>
      </c>
      <c r="F16" s="3" t="s">
        <v>1769</v>
      </c>
      <c r="G16" s="3" t="s">
        <v>353</v>
      </c>
    </row>
    <row r="17" spans="1:7" ht="188.5">
      <c r="A17" s="3" t="s">
        <v>388</v>
      </c>
      <c r="B17" s="3" t="s">
        <v>1212</v>
      </c>
      <c r="C17" s="3" t="s">
        <v>133</v>
      </c>
      <c r="D17" s="3" t="s">
        <v>1011</v>
      </c>
      <c r="E17" s="3" t="s">
        <v>1584</v>
      </c>
      <c r="F17" s="3" t="s">
        <v>1770</v>
      </c>
      <c r="G17" s="3" t="s">
        <v>45</v>
      </c>
    </row>
    <row r="18" spans="1:7" ht="362.5">
      <c r="A18" s="3" t="s">
        <v>1223</v>
      </c>
      <c r="B18" s="3" t="s">
        <v>2</v>
      </c>
      <c r="C18" s="3" t="s">
        <v>594</v>
      </c>
      <c r="D18" s="3" t="s">
        <v>858</v>
      </c>
      <c r="E18" s="3" t="s">
        <v>522</v>
      </c>
      <c r="F18" s="3" t="s">
        <v>1764</v>
      </c>
      <c r="G18" s="3" t="s">
        <v>1482</v>
      </c>
    </row>
    <row r="19" spans="1:7" ht="87">
      <c r="A19" s="3" t="s">
        <v>389</v>
      </c>
      <c r="B19" s="3" t="s">
        <v>1213</v>
      </c>
      <c r="C19" s="3" t="s">
        <v>1608</v>
      </c>
      <c r="D19" s="3" t="s">
        <v>962</v>
      </c>
      <c r="E19" s="3" t="s">
        <v>1575</v>
      </c>
      <c r="F19" s="3" t="s">
        <v>1788</v>
      </c>
      <c r="G19" s="3" t="s">
        <v>986</v>
      </c>
    </row>
    <row r="20" spans="1:7" ht="58">
      <c r="A20" s="3" t="s">
        <v>1222</v>
      </c>
      <c r="B20" s="3" t="s">
        <v>1214</v>
      </c>
      <c r="C20" s="3" t="s">
        <v>1318</v>
      </c>
      <c r="D20" s="3" t="s">
        <v>963</v>
      </c>
      <c r="E20" s="3" t="s">
        <v>1033</v>
      </c>
      <c r="F20" s="3" t="s">
        <v>870</v>
      </c>
      <c r="G20" s="3" t="s">
        <v>238</v>
      </c>
    </row>
    <row r="21" spans="1:7" ht="130.5">
      <c r="A21" s="3" t="s">
        <v>432</v>
      </c>
      <c r="B21" s="3" t="s">
        <v>95</v>
      </c>
      <c r="C21" s="3" t="s">
        <v>1699</v>
      </c>
      <c r="D21" s="3" t="s">
        <v>1203</v>
      </c>
      <c r="E21" s="3" t="s">
        <v>934</v>
      </c>
      <c r="F21" s="3" t="s">
        <v>1728</v>
      </c>
      <c r="G21" s="3" t="s">
        <v>237</v>
      </c>
    </row>
    <row r="22" spans="1:7" ht="43.5">
      <c r="A22" s="3" t="s">
        <v>433</v>
      </c>
      <c r="B22" s="3" t="s">
        <v>1215</v>
      </c>
      <c r="C22" s="3" t="s">
        <v>1213</v>
      </c>
      <c r="D22" s="3" t="s">
        <v>407</v>
      </c>
      <c r="E22" s="3" t="s">
        <v>827</v>
      </c>
      <c r="F22" s="3" t="s">
        <v>1295</v>
      </c>
      <c r="G22" s="3" t="s">
        <v>1605</v>
      </c>
    </row>
    <row r="23" spans="1:7" ht="72.5">
      <c r="A23" s="3" t="s">
        <v>434</v>
      </c>
      <c r="B23" s="3" t="s">
        <v>1216</v>
      </c>
      <c r="C23" s="4" t="s">
        <v>714</v>
      </c>
      <c r="D23" s="3" t="s">
        <v>408</v>
      </c>
      <c r="E23" s="3" t="s">
        <v>619</v>
      </c>
      <c r="F23" s="3" t="s">
        <v>1773</v>
      </c>
      <c r="G23" s="3" t="s">
        <v>877</v>
      </c>
    </row>
    <row r="24" spans="1:7">
      <c r="A24" s="3" t="s">
        <v>562</v>
      </c>
      <c r="B24" s="3" t="s">
        <v>1217</v>
      </c>
      <c r="C24" s="4" t="s">
        <v>1214</v>
      </c>
      <c r="D24" s="3" t="s">
        <v>1434</v>
      </c>
      <c r="E24" s="3" t="s">
        <v>620</v>
      </c>
      <c r="F24" s="3" t="s">
        <v>869</v>
      </c>
      <c r="G24" s="3" t="s">
        <v>950</v>
      </c>
    </row>
    <row r="25" spans="1:7" ht="72.5">
      <c r="A25" s="3" t="s">
        <v>1224</v>
      </c>
      <c r="B25" s="3" t="s">
        <v>1693</v>
      </c>
      <c r="C25" s="4" t="s">
        <v>1609</v>
      </c>
      <c r="D25" s="3" t="s">
        <v>474</v>
      </c>
      <c r="E25" s="3" t="s">
        <v>933</v>
      </c>
      <c r="F25" s="3" t="s">
        <v>1374</v>
      </c>
      <c r="G25" s="3" t="s">
        <v>466</v>
      </c>
    </row>
    <row r="26" spans="1:7" ht="246.5">
      <c r="A26" s="3" t="s">
        <v>563</v>
      </c>
      <c r="B26" s="3" t="s">
        <v>1218</v>
      </c>
      <c r="C26" s="3" t="s">
        <v>1383</v>
      </c>
      <c r="D26" s="3" t="s">
        <v>475</v>
      </c>
      <c r="E26" s="3" t="s">
        <v>172</v>
      </c>
      <c r="F26" s="3" t="s">
        <v>1727</v>
      </c>
      <c r="G26" s="3" t="s">
        <v>1480</v>
      </c>
    </row>
    <row r="27" spans="1:7" ht="58">
      <c r="A27" s="3" t="s">
        <v>1225</v>
      </c>
      <c r="B27" s="3" t="s">
        <v>1306</v>
      </c>
      <c r="C27" s="3" t="s">
        <v>506</v>
      </c>
      <c r="D27" s="3" t="s">
        <v>476</v>
      </c>
      <c r="E27" s="3" t="s">
        <v>929</v>
      </c>
      <c r="F27" s="3" t="s">
        <v>470</v>
      </c>
      <c r="G27" s="3" t="s">
        <v>239</v>
      </c>
    </row>
    <row r="28" spans="1:7" ht="72.5">
      <c r="A28" s="3" t="s">
        <v>997</v>
      </c>
      <c r="B28" s="3" t="s">
        <v>1606</v>
      </c>
      <c r="C28" s="3" t="s">
        <v>8</v>
      </c>
      <c r="D28" s="3" t="s">
        <v>595</v>
      </c>
      <c r="E28" s="3" t="s">
        <v>837</v>
      </c>
      <c r="F28" s="3" t="s">
        <v>589</v>
      </c>
      <c r="G28" s="3" t="s">
        <v>50</v>
      </c>
    </row>
    <row r="29" spans="1:7">
      <c r="A29" s="3" t="s">
        <v>196</v>
      </c>
      <c r="B29" s="3" t="s">
        <v>1219</v>
      </c>
      <c r="C29" s="3" t="s">
        <v>148</v>
      </c>
      <c r="D29" s="3" t="s">
        <v>596</v>
      </c>
      <c r="E29" s="3" t="s">
        <v>531</v>
      </c>
      <c r="F29" s="3" t="s">
        <v>467</v>
      </c>
    </row>
    <row r="30" spans="1:7" ht="43.5">
      <c r="A30" s="3" t="s">
        <v>879</v>
      </c>
      <c r="C30" s="4" t="s">
        <v>375</v>
      </c>
      <c r="D30" s="3" t="s">
        <v>1012</v>
      </c>
      <c r="E30" s="3" t="s">
        <v>536</v>
      </c>
      <c r="F30" s="3" t="s">
        <v>844</v>
      </c>
    </row>
    <row r="31" spans="1:7" ht="58">
      <c r="A31" s="3" t="s">
        <v>272</v>
      </c>
      <c r="C31" s="3" t="s">
        <v>1688</v>
      </c>
      <c r="D31" s="3" t="s">
        <v>205</v>
      </c>
      <c r="E31" s="3" t="s">
        <v>1443</v>
      </c>
      <c r="F31" s="3" t="s">
        <v>1299</v>
      </c>
    </row>
    <row r="32" spans="1:7" ht="29">
      <c r="A32" s="3" t="s">
        <v>273</v>
      </c>
      <c r="C32" s="3" t="s">
        <v>1613</v>
      </c>
      <c r="D32" s="3" t="s">
        <v>910</v>
      </c>
      <c r="E32" s="3" t="s">
        <v>529</v>
      </c>
      <c r="F32" s="3" t="s">
        <v>1085</v>
      </c>
    </row>
    <row r="33" spans="1:6" ht="29">
      <c r="A33" s="3" t="s">
        <v>62</v>
      </c>
      <c r="C33" s="3" t="s">
        <v>1218</v>
      </c>
      <c r="D33" s="3" t="s">
        <v>201</v>
      </c>
      <c r="E33" s="3" t="s">
        <v>1441</v>
      </c>
      <c r="F33" s="3" t="s">
        <v>1768</v>
      </c>
    </row>
    <row r="34" spans="1:6" ht="43.5">
      <c r="A34" s="3" t="s">
        <v>435</v>
      </c>
      <c r="C34" s="3" t="s">
        <v>7</v>
      </c>
      <c r="D34" s="3" t="s">
        <v>911</v>
      </c>
      <c r="E34" s="3" t="s">
        <v>479</v>
      </c>
      <c r="F34" s="3" t="s">
        <v>41</v>
      </c>
    </row>
    <row r="35" spans="1:6" ht="43.5">
      <c r="A35" s="3" t="s">
        <v>436</v>
      </c>
      <c r="C35" s="3" t="s">
        <v>1268</v>
      </c>
      <c r="D35" s="3" t="s">
        <v>116</v>
      </c>
      <c r="E35" s="3" t="s">
        <v>1720</v>
      </c>
      <c r="F35" s="3" t="s">
        <v>1296</v>
      </c>
    </row>
    <row r="36" spans="1:6" ht="72.5">
      <c r="A36" s="3" t="s">
        <v>437</v>
      </c>
      <c r="D36" s="3" t="s">
        <v>477</v>
      </c>
      <c r="E36" s="3" t="s">
        <v>859</v>
      </c>
      <c r="F36" s="3" t="s">
        <v>1775</v>
      </c>
    </row>
    <row r="37" spans="1:6" ht="43.5">
      <c r="A37" s="3" t="s">
        <v>1704</v>
      </c>
      <c r="D37" s="3" t="s">
        <v>478</v>
      </c>
      <c r="E37" s="3" t="s">
        <v>382</v>
      </c>
      <c r="F37" s="3" t="s">
        <v>1288</v>
      </c>
    </row>
    <row r="38" spans="1:6">
      <c r="A38" s="3" t="s">
        <v>1706</v>
      </c>
      <c r="D38" s="3" t="s">
        <v>479</v>
      </c>
      <c r="E38" s="3" t="s">
        <v>330</v>
      </c>
      <c r="F38" s="3" t="s">
        <v>591</v>
      </c>
    </row>
    <row r="39" spans="1:6">
      <c r="A39" s="3" t="s">
        <v>1710</v>
      </c>
      <c r="D39" s="3" t="s">
        <v>717</v>
      </c>
      <c r="E39" s="3" t="s">
        <v>554</v>
      </c>
      <c r="F39" s="3" t="s">
        <v>1760</v>
      </c>
    </row>
    <row r="40" spans="1:6">
      <c r="A40" s="3" t="s">
        <v>666</v>
      </c>
      <c r="D40" s="3" t="s">
        <v>1712</v>
      </c>
      <c r="E40" s="3" t="s">
        <v>517</v>
      </c>
      <c r="F40" s="3" t="s">
        <v>1503</v>
      </c>
    </row>
    <row r="41" spans="1:6" ht="58">
      <c r="A41" s="3" t="s">
        <v>1037</v>
      </c>
      <c r="D41" s="3" t="s">
        <v>1715</v>
      </c>
      <c r="E41" s="3" t="s">
        <v>937</v>
      </c>
      <c r="F41" s="3" t="s">
        <v>996</v>
      </c>
    </row>
    <row r="42" spans="1:6">
      <c r="A42" s="3" t="s">
        <v>1038</v>
      </c>
      <c r="D42" s="3" t="s">
        <v>1718</v>
      </c>
      <c r="E42" s="3" t="s">
        <v>532</v>
      </c>
      <c r="F42" s="3" t="s">
        <v>1600</v>
      </c>
    </row>
    <row r="43" spans="1:6" ht="29">
      <c r="A43" s="3" t="s">
        <v>1039</v>
      </c>
      <c r="D43" s="3" t="s">
        <v>715</v>
      </c>
      <c r="E43" s="3" t="s">
        <v>761</v>
      </c>
      <c r="F43" s="3" t="s">
        <v>1478</v>
      </c>
    </row>
    <row r="44" spans="1:6" ht="72.5">
      <c r="A44" s="3" t="s">
        <v>1707</v>
      </c>
      <c r="D44" s="3" t="s">
        <v>1086</v>
      </c>
      <c r="E44" s="3" t="s">
        <v>350</v>
      </c>
      <c r="F44" s="3" t="s">
        <v>1789</v>
      </c>
    </row>
    <row r="45" spans="1:6" ht="29">
      <c r="A45" s="3" t="s">
        <v>1040</v>
      </c>
      <c r="D45" s="3" t="s">
        <v>1087</v>
      </c>
      <c r="E45" s="3" t="s">
        <v>1440</v>
      </c>
      <c r="F45" s="3" t="s">
        <v>1759</v>
      </c>
    </row>
    <row r="46" spans="1:6">
      <c r="A46" s="3" t="s">
        <v>667</v>
      </c>
      <c r="D46" s="3" t="s">
        <v>1088</v>
      </c>
      <c r="E46" s="3" t="s">
        <v>633</v>
      </c>
      <c r="F46" s="3" t="s">
        <v>592</v>
      </c>
    </row>
    <row r="47" spans="1:6" ht="362.5">
      <c r="A47" s="3" t="s">
        <v>1709</v>
      </c>
      <c r="D47" s="3" t="s">
        <v>1714</v>
      </c>
      <c r="E47" s="3" t="s">
        <v>513</v>
      </c>
      <c r="F47" s="3" t="s">
        <v>1761</v>
      </c>
    </row>
    <row r="48" spans="1:6">
      <c r="A48" s="3" t="s">
        <v>1041</v>
      </c>
      <c r="D48" s="3" t="s">
        <v>1089</v>
      </c>
      <c r="E48" s="3" t="s">
        <v>514</v>
      </c>
      <c r="F48" s="3" t="s">
        <v>1766</v>
      </c>
    </row>
    <row r="49" spans="1:6" ht="87">
      <c r="A49" s="3" t="s">
        <v>1042</v>
      </c>
      <c r="D49" s="3" t="s">
        <v>716</v>
      </c>
      <c r="E49" s="3" t="s">
        <v>928</v>
      </c>
      <c r="F49" s="3" t="s">
        <v>468</v>
      </c>
    </row>
    <row r="50" spans="1:6" ht="29">
      <c r="A50" s="3" t="s">
        <v>1043</v>
      </c>
      <c r="D50" s="3" t="s">
        <v>1719</v>
      </c>
      <c r="E50" s="3" t="s">
        <v>1026</v>
      </c>
      <c r="F50" s="3" t="s">
        <v>1767</v>
      </c>
    </row>
    <row r="51" spans="1:6" ht="58">
      <c r="A51" s="3" t="s">
        <v>1044</v>
      </c>
      <c r="D51" s="3" t="s">
        <v>1090</v>
      </c>
      <c r="E51" s="3" t="s">
        <v>1353</v>
      </c>
      <c r="F51" s="3" t="s">
        <v>1771</v>
      </c>
    </row>
    <row r="52" spans="1:6">
      <c r="A52" s="3" t="s">
        <v>1045</v>
      </c>
      <c r="D52" s="3" t="s">
        <v>1091</v>
      </c>
      <c r="E52" s="3" t="s">
        <v>1352</v>
      </c>
      <c r="F52" s="3" t="s">
        <v>1378</v>
      </c>
    </row>
    <row r="53" spans="1:6" ht="101.5">
      <c r="A53" s="3" t="s">
        <v>1046</v>
      </c>
      <c r="D53" s="3" t="s">
        <v>1092</v>
      </c>
      <c r="E53" s="3" t="s">
        <v>931</v>
      </c>
      <c r="F53" s="3" t="s">
        <v>588</v>
      </c>
    </row>
    <row r="54" spans="1:6">
      <c r="A54" s="3" t="s">
        <v>1047</v>
      </c>
      <c r="D54" s="3" t="s">
        <v>1093</v>
      </c>
      <c r="E54" s="3" t="s">
        <v>625</v>
      </c>
      <c r="F54" s="3" t="s">
        <v>472</v>
      </c>
    </row>
    <row r="55" spans="1:6">
      <c r="A55" s="3" t="s">
        <v>668</v>
      </c>
      <c r="D55" s="3" t="s">
        <v>1094</v>
      </c>
      <c r="E55" s="3" t="s">
        <v>210</v>
      </c>
      <c r="F55" s="3" t="s">
        <v>1604</v>
      </c>
    </row>
    <row r="56" spans="1:6">
      <c r="A56" s="3" t="s">
        <v>669</v>
      </c>
      <c r="D56" s="3" t="s">
        <v>1095</v>
      </c>
      <c r="E56" s="3" t="s">
        <v>1572</v>
      </c>
      <c r="F56" s="3" t="s">
        <v>44</v>
      </c>
    </row>
    <row r="57" spans="1:6">
      <c r="A57" s="3" t="s">
        <v>670</v>
      </c>
      <c r="D57" s="3" t="s">
        <v>1096</v>
      </c>
      <c r="E57" s="3" t="s">
        <v>1596</v>
      </c>
      <c r="F57" s="3" t="s">
        <v>961</v>
      </c>
    </row>
    <row r="58" spans="1:6">
      <c r="A58" s="3" t="s">
        <v>1048</v>
      </c>
      <c r="D58" s="3" t="s">
        <v>718</v>
      </c>
      <c r="E58" s="3" t="s">
        <v>334</v>
      </c>
      <c r="F58" s="3" t="s">
        <v>905</v>
      </c>
    </row>
    <row r="59" spans="1:6">
      <c r="A59" s="3" t="s">
        <v>1049</v>
      </c>
      <c r="D59" s="3" t="s">
        <v>719</v>
      </c>
      <c r="E59" s="3" t="s">
        <v>634</v>
      </c>
      <c r="F59" s="3" t="s">
        <v>45</v>
      </c>
    </row>
    <row r="60" spans="1:6">
      <c r="A60" s="3" t="s">
        <v>1050</v>
      </c>
      <c r="D60" s="3" t="s">
        <v>1097</v>
      </c>
      <c r="E60" s="3" t="s">
        <v>329</v>
      </c>
      <c r="F60" s="3" t="s">
        <v>351</v>
      </c>
    </row>
    <row r="61" spans="1:6">
      <c r="A61" s="3" t="s">
        <v>1176</v>
      </c>
      <c r="D61" s="3" t="s">
        <v>1098</v>
      </c>
      <c r="E61" s="3" t="s">
        <v>851</v>
      </c>
      <c r="F61" s="3" t="s">
        <v>46</v>
      </c>
    </row>
    <row r="62" spans="1:6" ht="116">
      <c r="A62" s="3" t="s">
        <v>1051</v>
      </c>
      <c r="D62" s="3" t="s">
        <v>1099</v>
      </c>
      <c r="E62" s="3" t="s">
        <v>808</v>
      </c>
      <c r="F62" s="3" t="s">
        <v>593</v>
      </c>
    </row>
    <row r="63" spans="1:6">
      <c r="A63" s="3" t="s">
        <v>1052</v>
      </c>
      <c r="D63" s="3" t="s">
        <v>1100</v>
      </c>
      <c r="E63" s="3" t="s">
        <v>800</v>
      </c>
      <c r="F63" s="3" t="s">
        <v>906</v>
      </c>
    </row>
    <row r="64" spans="1:6">
      <c r="A64" s="3" t="s">
        <v>1053</v>
      </c>
      <c r="D64" s="3" t="s">
        <v>1101</v>
      </c>
      <c r="E64" s="3" t="s">
        <v>1013</v>
      </c>
      <c r="F64" s="3" t="s">
        <v>47</v>
      </c>
    </row>
    <row r="65" spans="1:6">
      <c r="A65" s="3" t="s">
        <v>1054</v>
      </c>
      <c r="D65" s="3" t="s">
        <v>1102</v>
      </c>
      <c r="E65" s="3" t="s">
        <v>331</v>
      </c>
      <c r="F65" s="3" t="s">
        <v>1698</v>
      </c>
    </row>
    <row r="66" spans="1:6">
      <c r="A66" s="3" t="s">
        <v>1055</v>
      </c>
      <c r="D66" s="3" t="s">
        <v>1103</v>
      </c>
      <c r="E66" s="3" t="s">
        <v>1573</v>
      </c>
      <c r="F66" s="3" t="s">
        <v>469</v>
      </c>
    </row>
    <row r="67" spans="1:6">
      <c r="A67" s="3" t="s">
        <v>1056</v>
      </c>
      <c r="D67" s="3" t="s">
        <v>1104</v>
      </c>
      <c r="E67" s="3" t="s">
        <v>164</v>
      </c>
      <c r="F67" s="3" t="s">
        <v>904</v>
      </c>
    </row>
    <row r="68" spans="1:6">
      <c r="A68" s="3" t="s">
        <v>1057</v>
      </c>
      <c r="D68" s="3" t="s">
        <v>1105</v>
      </c>
      <c r="E68" s="3" t="s">
        <v>534</v>
      </c>
      <c r="F68" s="3" t="s">
        <v>868</v>
      </c>
    </row>
    <row r="69" spans="1:6" ht="72.5">
      <c r="A69" s="3" t="s">
        <v>671</v>
      </c>
      <c r="D69" s="3" t="s">
        <v>1106</v>
      </c>
      <c r="E69" s="3" t="s">
        <v>482</v>
      </c>
      <c r="F69" s="3" t="s">
        <v>352</v>
      </c>
    </row>
    <row r="70" spans="1:6" ht="203">
      <c r="A70" s="3" t="s">
        <v>672</v>
      </c>
      <c r="D70" s="3" t="s">
        <v>720</v>
      </c>
      <c r="E70" s="3" t="s">
        <v>213</v>
      </c>
      <c r="F70" s="3" t="s">
        <v>1375</v>
      </c>
    </row>
    <row r="71" spans="1:6" ht="87">
      <c r="A71" s="3" t="s">
        <v>763</v>
      </c>
      <c r="D71" s="3" t="s">
        <v>721</v>
      </c>
      <c r="E71" s="3" t="s">
        <v>519</v>
      </c>
      <c r="F71" s="3" t="s">
        <v>1293</v>
      </c>
    </row>
    <row r="72" spans="1:6" ht="87">
      <c r="A72" s="3" t="s">
        <v>1705</v>
      </c>
      <c r="D72" s="3" t="s">
        <v>1713</v>
      </c>
      <c r="E72" s="3" t="s">
        <v>208</v>
      </c>
      <c r="F72" s="3" t="s">
        <v>1293</v>
      </c>
    </row>
    <row r="73" spans="1:6">
      <c r="A73" s="3" t="s">
        <v>1708</v>
      </c>
      <c r="D73" s="3" t="s">
        <v>1716</v>
      </c>
      <c r="E73" s="3" t="s">
        <v>378</v>
      </c>
      <c r="F73" s="3" t="s">
        <v>184</v>
      </c>
    </row>
    <row r="74" spans="1:6">
      <c r="A74" s="3" t="s">
        <v>1711</v>
      </c>
      <c r="D74" s="3" t="s">
        <v>1717</v>
      </c>
      <c r="E74" s="3" t="s">
        <v>381</v>
      </c>
      <c r="F74" s="3" t="s">
        <v>183</v>
      </c>
    </row>
    <row r="75" spans="1:6" ht="43.5">
      <c r="A75" s="3" t="s">
        <v>275</v>
      </c>
      <c r="D75" s="3" t="s">
        <v>303</v>
      </c>
      <c r="E75" s="3" t="s">
        <v>328</v>
      </c>
      <c r="F75" s="3" t="s">
        <v>651</v>
      </c>
    </row>
    <row r="76" spans="1:6">
      <c r="A76" s="3" t="s">
        <v>276</v>
      </c>
      <c r="D76" s="3" t="s">
        <v>1540</v>
      </c>
      <c r="E76" s="3" t="s">
        <v>327</v>
      </c>
      <c r="F76" s="3" t="s">
        <v>1536</v>
      </c>
    </row>
    <row r="77" spans="1:6" ht="87">
      <c r="A77" s="3" t="s">
        <v>277</v>
      </c>
      <c r="D77" s="3" t="s">
        <v>304</v>
      </c>
      <c r="E77" s="3" t="s">
        <v>386</v>
      </c>
      <c r="F77" s="3" t="s">
        <v>994</v>
      </c>
    </row>
    <row r="78" spans="1:6" ht="43.5">
      <c r="A78" s="3" t="s">
        <v>102</v>
      </c>
      <c r="D78" s="3" t="s">
        <v>554</v>
      </c>
      <c r="E78" s="3" t="s">
        <v>425</v>
      </c>
      <c r="F78" s="3" t="s">
        <v>1762</v>
      </c>
    </row>
    <row r="79" spans="1:6" ht="29">
      <c r="A79" s="3" t="s">
        <v>9</v>
      </c>
      <c r="D79" s="3" t="s">
        <v>18</v>
      </c>
      <c r="E79" s="3" t="s">
        <v>1164</v>
      </c>
      <c r="F79" s="3" t="s">
        <v>1502</v>
      </c>
    </row>
    <row r="80" spans="1:6">
      <c r="A80" s="3" t="s">
        <v>63</v>
      </c>
      <c r="D80" s="3" t="s">
        <v>1750</v>
      </c>
      <c r="E80" s="3" t="s">
        <v>525</v>
      </c>
      <c r="F80" s="3" t="s">
        <v>360</v>
      </c>
    </row>
    <row r="81" spans="1:6" ht="29">
      <c r="A81" s="3" t="s">
        <v>1739</v>
      </c>
      <c r="D81" s="3" t="s">
        <v>480</v>
      </c>
      <c r="E81" s="3" t="s">
        <v>1590</v>
      </c>
      <c r="F81" s="3" t="s">
        <v>466</v>
      </c>
    </row>
    <row r="82" spans="1:6" ht="101.5">
      <c r="A82" s="3" t="s">
        <v>438</v>
      </c>
      <c r="D82" s="3" t="s">
        <v>117</v>
      </c>
      <c r="E82" s="3" t="s">
        <v>821</v>
      </c>
      <c r="F82" s="3" t="s">
        <v>1763</v>
      </c>
    </row>
    <row r="83" spans="1:6">
      <c r="A83" s="3" t="s">
        <v>64</v>
      </c>
      <c r="D83" s="3" t="s">
        <v>118</v>
      </c>
      <c r="E83" s="3" t="s">
        <v>854</v>
      </c>
      <c r="F83" s="3" t="s">
        <v>995</v>
      </c>
    </row>
    <row r="84" spans="1:6" ht="43.5">
      <c r="A84" s="3" t="s">
        <v>65</v>
      </c>
      <c r="D84" s="3" t="s">
        <v>120</v>
      </c>
      <c r="E84" s="3" t="s">
        <v>1442</v>
      </c>
      <c r="F84" s="3" t="s">
        <v>590</v>
      </c>
    </row>
    <row r="85" spans="1:6" ht="58">
      <c r="A85" s="3" t="s">
        <v>1280</v>
      </c>
      <c r="D85" s="3" t="s">
        <v>121</v>
      </c>
      <c r="E85" s="3" t="s">
        <v>263</v>
      </c>
      <c r="F85" s="3" t="s">
        <v>1297</v>
      </c>
    </row>
    <row r="86" spans="1:6">
      <c r="A86" s="3" t="s">
        <v>66</v>
      </c>
      <c r="D86" s="3" t="s">
        <v>119</v>
      </c>
      <c r="E86" s="3" t="s">
        <v>524</v>
      </c>
    </row>
    <row r="87" spans="1:6">
      <c r="A87" s="3" t="s">
        <v>67</v>
      </c>
      <c r="D87" s="3" t="s">
        <v>808</v>
      </c>
      <c r="E87" s="3" t="s">
        <v>841</v>
      </c>
    </row>
    <row r="88" spans="1:6">
      <c r="A88" s="3" t="s">
        <v>68</v>
      </c>
      <c r="D88" s="3" t="s">
        <v>800</v>
      </c>
      <c r="E88" s="3" t="s">
        <v>541</v>
      </c>
    </row>
    <row r="89" spans="1:6">
      <c r="A89" s="3" t="s">
        <v>998</v>
      </c>
      <c r="D89" s="3" t="s">
        <v>1013</v>
      </c>
      <c r="E89" s="3" t="s">
        <v>142</v>
      </c>
    </row>
    <row r="90" spans="1:6">
      <c r="A90" s="3" t="s">
        <v>774</v>
      </c>
      <c r="D90" s="3" t="s">
        <v>1294</v>
      </c>
      <c r="E90" s="3" t="s">
        <v>168</v>
      </c>
    </row>
    <row r="91" spans="1:6">
      <c r="A91" s="3" t="s">
        <v>999</v>
      </c>
      <c r="D91" s="3" t="s">
        <v>1542</v>
      </c>
      <c r="E91" s="3" t="s">
        <v>626</v>
      </c>
    </row>
    <row r="92" spans="1:6">
      <c r="A92" s="3" t="s">
        <v>278</v>
      </c>
      <c r="D92" s="3" t="s">
        <v>597</v>
      </c>
      <c r="E92" s="3" t="s">
        <v>1591</v>
      </c>
    </row>
    <row r="93" spans="1:6">
      <c r="A93" s="3" t="s">
        <v>219</v>
      </c>
      <c r="D93" s="3" t="s">
        <v>126</v>
      </c>
      <c r="E93" s="3" t="s">
        <v>1577</v>
      </c>
    </row>
    <row r="94" spans="1:6">
      <c r="A94" s="3" t="s">
        <v>1392</v>
      </c>
      <c r="D94" s="3" t="s">
        <v>122</v>
      </c>
      <c r="E94" s="3" t="s">
        <v>1595</v>
      </c>
    </row>
    <row r="95" spans="1:6">
      <c r="A95" s="3" t="s">
        <v>1226</v>
      </c>
      <c r="D95" s="3" t="s">
        <v>220</v>
      </c>
      <c r="E95" s="3" t="s">
        <v>623</v>
      </c>
    </row>
    <row r="96" spans="1:6">
      <c r="A96" s="3" t="s">
        <v>216</v>
      </c>
      <c r="D96" s="3" t="s">
        <v>222</v>
      </c>
      <c r="E96" s="3" t="s">
        <v>338</v>
      </c>
    </row>
    <row r="97" spans="1:5">
      <c r="A97" s="3" t="s">
        <v>69</v>
      </c>
      <c r="D97" s="3" t="s">
        <v>722</v>
      </c>
      <c r="E97" s="3" t="s">
        <v>831</v>
      </c>
    </row>
    <row r="98" spans="1:5">
      <c r="A98" s="3" t="s">
        <v>217</v>
      </c>
      <c r="D98" s="3" t="s">
        <v>221</v>
      </c>
      <c r="E98" s="3" t="s">
        <v>1753</v>
      </c>
    </row>
    <row r="99" spans="1:5">
      <c r="A99" s="3" t="s">
        <v>673</v>
      </c>
      <c r="D99" s="3" t="s">
        <v>723</v>
      </c>
      <c r="E99" s="3" t="s">
        <v>160</v>
      </c>
    </row>
    <row r="100" spans="1:5">
      <c r="A100" s="3" t="s">
        <v>674</v>
      </c>
      <c r="D100" s="3" t="s">
        <v>653</v>
      </c>
      <c r="E100" s="3" t="s">
        <v>24</v>
      </c>
    </row>
    <row r="101" spans="1:5">
      <c r="A101" s="3" t="s">
        <v>218</v>
      </c>
      <c r="D101" s="3" t="s">
        <v>481</v>
      </c>
      <c r="E101" s="3" t="s">
        <v>1439</v>
      </c>
    </row>
    <row r="102" spans="1:5">
      <c r="A102" s="3" t="s">
        <v>675</v>
      </c>
      <c r="D102" s="3" t="s">
        <v>123</v>
      </c>
      <c r="E102" s="3" t="s">
        <v>627</v>
      </c>
    </row>
    <row r="103" spans="1:5">
      <c r="A103" s="3" t="s">
        <v>644</v>
      </c>
      <c r="D103" s="3" t="s">
        <v>981</v>
      </c>
      <c r="E103" s="3" t="s">
        <v>806</v>
      </c>
    </row>
    <row r="104" spans="1:5">
      <c r="A104" s="3" t="s">
        <v>439</v>
      </c>
      <c r="D104" s="3" t="s">
        <v>1014</v>
      </c>
      <c r="E104" s="3" t="s">
        <v>257</v>
      </c>
    </row>
    <row r="105" spans="1:5">
      <c r="A105" s="3" t="s">
        <v>70</v>
      </c>
      <c r="D105" s="3" t="s">
        <v>1015</v>
      </c>
      <c r="E105" s="3" t="s">
        <v>829</v>
      </c>
    </row>
    <row r="106" spans="1:5">
      <c r="A106" s="3" t="s">
        <v>104</v>
      </c>
      <c r="D106" s="3" t="s">
        <v>1016</v>
      </c>
      <c r="E106" s="3" t="s">
        <v>622</v>
      </c>
    </row>
    <row r="107" spans="1:5">
      <c r="A107" s="3" t="s">
        <v>279</v>
      </c>
      <c r="D107" s="3" t="s">
        <v>1017</v>
      </c>
      <c r="E107" s="3" t="s">
        <v>1570</v>
      </c>
    </row>
    <row r="108" spans="1:5">
      <c r="A108" s="3" t="s">
        <v>1000</v>
      </c>
      <c r="D108" s="3" t="s">
        <v>124</v>
      </c>
      <c r="E108" s="3" t="s">
        <v>1571</v>
      </c>
    </row>
    <row r="109" spans="1:5">
      <c r="A109" s="3" t="s">
        <v>1001</v>
      </c>
      <c r="D109" s="3" t="s">
        <v>125</v>
      </c>
      <c r="E109" s="3" t="s">
        <v>624</v>
      </c>
    </row>
    <row r="110" spans="1:5">
      <c r="A110" s="3" t="s">
        <v>1002</v>
      </c>
      <c r="D110" s="3" t="s">
        <v>724</v>
      </c>
      <c r="E110" s="3" t="s">
        <v>839</v>
      </c>
    </row>
    <row r="111" spans="1:5">
      <c r="A111" s="3" t="s">
        <v>1003</v>
      </c>
      <c r="D111" s="3" t="s">
        <v>1342</v>
      </c>
      <c r="E111" s="3" t="s">
        <v>1027</v>
      </c>
    </row>
    <row r="112" spans="1:5">
      <c r="A112" s="3" t="s">
        <v>71</v>
      </c>
      <c r="D112" s="3" t="s">
        <v>1343</v>
      </c>
      <c r="E112" s="3" t="s">
        <v>1028</v>
      </c>
    </row>
    <row r="113" spans="1:5">
      <c r="A113" s="3" t="s">
        <v>72</v>
      </c>
      <c r="D113" s="3" t="s">
        <v>907</v>
      </c>
      <c r="E113" s="3" t="s">
        <v>1029</v>
      </c>
    </row>
    <row r="114" spans="1:5">
      <c r="A114" s="3" t="s">
        <v>73</v>
      </c>
      <c r="D114" s="3" t="s">
        <v>240</v>
      </c>
      <c r="E114" s="3" t="s">
        <v>1030</v>
      </c>
    </row>
    <row r="115" spans="1:5">
      <c r="A115" s="3" t="s">
        <v>764</v>
      </c>
      <c r="D115" s="3" t="s">
        <v>1457</v>
      </c>
      <c r="E115" s="3" t="s">
        <v>559</v>
      </c>
    </row>
    <row r="116" spans="1:5">
      <c r="A116" s="3" t="s">
        <v>676</v>
      </c>
      <c r="D116" s="3" t="s">
        <v>1424</v>
      </c>
      <c r="E116" s="3" t="s">
        <v>154</v>
      </c>
    </row>
    <row r="117" spans="1:5">
      <c r="A117" s="3" t="s">
        <v>1332</v>
      </c>
      <c r="D117" s="3" t="s">
        <v>1322</v>
      </c>
      <c r="E117" s="3" t="s">
        <v>1398</v>
      </c>
    </row>
    <row r="118" spans="1:5">
      <c r="A118" s="3" t="s">
        <v>1333</v>
      </c>
      <c r="D118" s="3" t="s">
        <v>1301</v>
      </c>
      <c r="E118" s="3" t="s">
        <v>930</v>
      </c>
    </row>
    <row r="119" spans="1:5">
      <c r="A119" s="3" t="s">
        <v>880</v>
      </c>
      <c r="D119" s="3" t="s">
        <v>1323</v>
      </c>
      <c r="E119" s="3" t="s">
        <v>811</v>
      </c>
    </row>
    <row r="120" spans="1:5">
      <c r="A120" s="3" t="s">
        <v>223</v>
      </c>
      <c r="D120" s="3" t="s">
        <v>1324</v>
      </c>
      <c r="E120" s="3" t="s">
        <v>832</v>
      </c>
    </row>
    <row r="121" spans="1:5">
      <c r="A121" s="3" t="s">
        <v>1456</v>
      </c>
      <c r="D121" s="3" t="s">
        <v>245</v>
      </c>
      <c r="E121" s="3" t="s">
        <v>212</v>
      </c>
    </row>
    <row r="122" spans="1:5">
      <c r="A122" s="3" t="s">
        <v>1402</v>
      </c>
      <c r="D122" s="3" t="s">
        <v>246</v>
      </c>
      <c r="E122" s="3" t="s">
        <v>1733</v>
      </c>
    </row>
    <row r="123" spans="1:5">
      <c r="A123" s="3" t="s">
        <v>1317</v>
      </c>
      <c r="D123" s="3" t="s">
        <v>1681</v>
      </c>
      <c r="E123" s="3" t="s">
        <v>1732</v>
      </c>
    </row>
    <row r="124" spans="1:5">
      <c r="A124" s="3" t="s">
        <v>1300</v>
      </c>
      <c r="D124" s="3" t="s">
        <v>1674</v>
      </c>
      <c r="E124" s="3" t="s">
        <v>1472</v>
      </c>
    </row>
    <row r="125" spans="1:5" ht="29">
      <c r="A125" s="3" t="s">
        <v>1319</v>
      </c>
      <c r="D125" s="3" t="s">
        <v>305</v>
      </c>
      <c r="E125" s="3" t="s">
        <v>1473</v>
      </c>
    </row>
    <row r="126" spans="1:5">
      <c r="A126" s="3" t="s">
        <v>1320</v>
      </c>
      <c r="D126" s="3" t="s">
        <v>729</v>
      </c>
      <c r="E126" s="3" t="s">
        <v>1474</v>
      </c>
    </row>
    <row r="127" spans="1:5">
      <c r="A127" s="3" t="s">
        <v>1334</v>
      </c>
      <c r="D127" s="3" t="s">
        <v>1307</v>
      </c>
      <c r="E127" s="3" t="s">
        <v>1475</v>
      </c>
    </row>
    <row r="128" spans="1:5">
      <c r="A128" s="3" t="s">
        <v>1676</v>
      </c>
      <c r="D128" s="3" t="s">
        <v>306</v>
      </c>
      <c r="E128" s="3" t="s">
        <v>621</v>
      </c>
    </row>
    <row r="129" spans="1:5">
      <c r="A129" s="3" t="s">
        <v>280</v>
      </c>
      <c r="D129" s="3" t="s">
        <v>188</v>
      </c>
      <c r="E129" s="3" t="s">
        <v>155</v>
      </c>
    </row>
    <row r="130" spans="1:5">
      <c r="A130" s="3" t="s">
        <v>1302</v>
      </c>
      <c r="D130" s="3" t="s">
        <v>1652</v>
      </c>
      <c r="E130" s="3" t="s">
        <v>518</v>
      </c>
    </row>
    <row r="131" spans="1:5">
      <c r="A131" s="3" t="s">
        <v>281</v>
      </c>
      <c r="D131" s="3" t="s">
        <v>1651</v>
      </c>
      <c r="E131" s="3" t="s">
        <v>156</v>
      </c>
    </row>
    <row r="132" spans="1:5">
      <c r="A132" s="3" t="s">
        <v>178</v>
      </c>
      <c r="D132" s="3" t="s">
        <v>725</v>
      </c>
      <c r="E132" s="3" t="s">
        <v>1371</v>
      </c>
    </row>
    <row r="133" spans="1:5">
      <c r="A133" s="3" t="s">
        <v>1624</v>
      </c>
      <c r="D133" s="3" t="s">
        <v>1653</v>
      </c>
      <c r="E133" s="3" t="s">
        <v>946</v>
      </c>
    </row>
    <row r="134" spans="1:5">
      <c r="A134" s="3" t="s">
        <v>1623</v>
      </c>
      <c r="D134" s="3" t="s">
        <v>1654</v>
      </c>
      <c r="E134" s="3" t="s">
        <v>833</v>
      </c>
    </row>
    <row r="135" spans="1:5">
      <c r="A135" s="3" t="s">
        <v>677</v>
      </c>
      <c r="D135" s="3" t="s">
        <v>1655</v>
      </c>
      <c r="E135" s="3" t="s">
        <v>972</v>
      </c>
    </row>
    <row r="136" spans="1:5">
      <c r="A136" s="3" t="s">
        <v>1625</v>
      </c>
      <c r="D136" s="3" t="s">
        <v>1657</v>
      </c>
      <c r="E136" s="3" t="s">
        <v>971</v>
      </c>
    </row>
    <row r="137" spans="1:5">
      <c r="A137" s="3" t="s">
        <v>1626</v>
      </c>
      <c r="D137" s="3" t="s">
        <v>1656</v>
      </c>
      <c r="E137" s="3" t="s">
        <v>1354</v>
      </c>
    </row>
    <row r="138" spans="1:5">
      <c r="A138" s="3" t="s">
        <v>1627</v>
      </c>
      <c r="D138" s="3" t="s">
        <v>1658</v>
      </c>
      <c r="E138" s="3" t="s">
        <v>337</v>
      </c>
    </row>
    <row r="139" spans="1:5">
      <c r="A139" s="3" t="s">
        <v>1629</v>
      </c>
      <c r="D139" s="3" t="s">
        <v>1107</v>
      </c>
      <c r="E139" s="3" t="s">
        <v>341</v>
      </c>
    </row>
    <row r="140" spans="1:5">
      <c r="A140" s="3" t="s">
        <v>1628</v>
      </c>
      <c r="D140" s="3" t="s">
        <v>1108</v>
      </c>
      <c r="E140" s="3" t="s">
        <v>380</v>
      </c>
    </row>
    <row r="141" spans="1:5">
      <c r="A141" s="3" t="s">
        <v>1630</v>
      </c>
      <c r="D141" s="3" t="s">
        <v>1109</v>
      </c>
      <c r="E141" s="3" t="s">
        <v>826</v>
      </c>
    </row>
    <row r="142" spans="1:5">
      <c r="A142" s="3" t="s">
        <v>1058</v>
      </c>
      <c r="D142" s="3" t="s">
        <v>1110</v>
      </c>
      <c r="E142" s="3" t="s">
        <v>1578</v>
      </c>
    </row>
    <row r="143" spans="1:5">
      <c r="A143" s="3" t="s">
        <v>1059</v>
      </c>
      <c r="D143" s="3" t="s">
        <v>1111</v>
      </c>
      <c r="E143" s="3" t="s">
        <v>428</v>
      </c>
    </row>
    <row r="144" spans="1:5">
      <c r="A144" s="3" t="s">
        <v>1060</v>
      </c>
      <c r="D144" s="3" t="s">
        <v>1112</v>
      </c>
      <c r="E144" s="3" t="s">
        <v>349</v>
      </c>
    </row>
    <row r="145" spans="1:5">
      <c r="A145" s="3" t="s">
        <v>1061</v>
      </c>
      <c r="D145" s="3" t="s">
        <v>1113</v>
      </c>
      <c r="E145" s="3" t="s">
        <v>174</v>
      </c>
    </row>
    <row r="146" spans="1:5">
      <c r="A146" s="3" t="s">
        <v>1062</v>
      </c>
      <c r="D146" s="3" t="s">
        <v>1114</v>
      </c>
      <c r="E146" s="3" t="s">
        <v>862</v>
      </c>
    </row>
    <row r="147" spans="1:5">
      <c r="A147" s="3" t="s">
        <v>1063</v>
      </c>
      <c r="D147" s="3" t="s">
        <v>1115</v>
      </c>
      <c r="E147" s="3" t="s">
        <v>1327</v>
      </c>
    </row>
    <row r="148" spans="1:5">
      <c r="A148" s="3" t="s">
        <v>1064</v>
      </c>
      <c r="D148" s="3" t="s">
        <v>1116</v>
      </c>
      <c r="E148" s="3" t="s">
        <v>162</v>
      </c>
    </row>
    <row r="149" spans="1:5">
      <c r="A149" s="3" t="s">
        <v>1065</v>
      </c>
      <c r="D149" s="3" t="s">
        <v>1117</v>
      </c>
      <c r="E149" s="3" t="s">
        <v>561</v>
      </c>
    </row>
    <row r="150" spans="1:5">
      <c r="A150" s="3" t="s">
        <v>1066</v>
      </c>
      <c r="D150" s="3" t="s">
        <v>730</v>
      </c>
      <c r="E150" s="3" t="s">
        <v>512</v>
      </c>
    </row>
    <row r="151" spans="1:5">
      <c r="A151" s="3" t="s">
        <v>1067</v>
      </c>
      <c r="D151" s="3" t="s">
        <v>912</v>
      </c>
      <c r="E151" s="3" t="s">
        <v>1607</v>
      </c>
    </row>
    <row r="152" spans="1:5">
      <c r="A152" s="3" t="s">
        <v>1068</v>
      </c>
      <c r="D152" s="3" t="s">
        <v>564</v>
      </c>
      <c r="E152" s="3" t="s">
        <v>1582</v>
      </c>
    </row>
    <row r="153" spans="1:5">
      <c r="A153" s="3" t="s">
        <v>564</v>
      </c>
      <c r="D153" s="3" t="s">
        <v>127</v>
      </c>
      <c r="E153" s="3" t="s">
        <v>1579</v>
      </c>
    </row>
    <row r="154" spans="1:5">
      <c r="A154" s="3" t="s">
        <v>74</v>
      </c>
      <c r="D154" s="3" t="s">
        <v>499</v>
      </c>
      <c r="E154" s="3" t="s">
        <v>255</v>
      </c>
    </row>
    <row r="155" spans="1:5">
      <c r="A155" s="3" t="s">
        <v>678</v>
      </c>
      <c r="D155" s="3" t="s">
        <v>655</v>
      </c>
      <c r="E155" s="3" t="s">
        <v>932</v>
      </c>
    </row>
    <row r="156" spans="1:5">
      <c r="A156" s="3" t="s">
        <v>646</v>
      </c>
      <c r="D156" s="3" t="s">
        <v>1018</v>
      </c>
      <c r="E156" s="3" t="s">
        <v>860</v>
      </c>
    </row>
    <row r="157" spans="1:5">
      <c r="A157" s="3" t="s">
        <v>1004</v>
      </c>
      <c r="D157" s="3" t="s">
        <v>801</v>
      </c>
      <c r="E157" s="3" t="s">
        <v>1580</v>
      </c>
    </row>
    <row r="158" spans="1:5">
      <c r="A158" s="3" t="s">
        <v>775</v>
      </c>
      <c r="D158" s="3" t="s">
        <v>654</v>
      </c>
      <c r="E158" s="3" t="s">
        <v>1581</v>
      </c>
    </row>
    <row r="159" spans="1:5">
      <c r="A159" s="3" t="s">
        <v>881</v>
      </c>
      <c r="D159" s="3" t="s">
        <v>908</v>
      </c>
      <c r="E159" s="3" t="s">
        <v>1721</v>
      </c>
    </row>
    <row r="160" spans="1:5">
      <c r="A160" s="3" t="s">
        <v>645</v>
      </c>
      <c r="D160" s="3" t="s">
        <v>482</v>
      </c>
      <c r="E160" s="3" t="s">
        <v>515</v>
      </c>
    </row>
    <row r="161" spans="1:5">
      <c r="A161" s="3" t="s">
        <v>440</v>
      </c>
      <c r="D161" s="3" t="s">
        <v>326</v>
      </c>
      <c r="E161" s="3" t="s">
        <v>516</v>
      </c>
    </row>
    <row r="162" spans="1:5">
      <c r="A162" s="3" t="s">
        <v>882</v>
      </c>
      <c r="D162" s="3" t="s">
        <v>598</v>
      </c>
      <c r="E162" s="3" t="s">
        <v>339</v>
      </c>
    </row>
    <row r="163" spans="1:5">
      <c r="A163" s="3" t="s">
        <v>565</v>
      </c>
      <c r="D163" s="3" t="s">
        <v>202</v>
      </c>
      <c r="E163" s="3" t="s">
        <v>1458</v>
      </c>
    </row>
    <row r="164" spans="1:5">
      <c r="A164" s="3" t="s">
        <v>566</v>
      </c>
      <c r="D164" s="3" t="s">
        <v>307</v>
      </c>
      <c r="E164" s="3" t="s">
        <v>1325</v>
      </c>
    </row>
    <row r="165" spans="1:5">
      <c r="A165" s="3" t="s">
        <v>1227</v>
      </c>
      <c r="D165" s="3" t="s">
        <v>318</v>
      </c>
      <c r="E165" s="3" t="s">
        <v>152</v>
      </c>
    </row>
    <row r="166" spans="1:5">
      <c r="A166" s="3" t="s">
        <v>103</v>
      </c>
      <c r="D166" s="3" t="s">
        <v>309</v>
      </c>
      <c r="E166" s="3" t="s">
        <v>151</v>
      </c>
    </row>
    <row r="167" spans="1:5">
      <c r="A167" s="3" t="s">
        <v>1228</v>
      </c>
      <c r="D167" s="3" t="s">
        <v>310</v>
      </c>
      <c r="E167" s="3" t="s">
        <v>1032</v>
      </c>
    </row>
    <row r="168" spans="1:5">
      <c r="A168" s="3" t="s">
        <v>282</v>
      </c>
      <c r="D168" s="3" t="s">
        <v>483</v>
      </c>
      <c r="E168" s="3" t="s">
        <v>1752</v>
      </c>
    </row>
    <row r="169" spans="1:5">
      <c r="A169" s="3" t="s">
        <v>283</v>
      </c>
      <c r="D169" s="3" t="s">
        <v>368</v>
      </c>
      <c r="E169" s="3" t="s">
        <v>256</v>
      </c>
    </row>
    <row r="170" spans="1:5">
      <c r="A170" s="3" t="s">
        <v>765</v>
      </c>
      <c r="D170" s="3" t="s">
        <v>371</v>
      </c>
      <c r="E170" s="3" t="s">
        <v>161</v>
      </c>
    </row>
    <row r="171" spans="1:5">
      <c r="A171" s="3" t="s">
        <v>284</v>
      </c>
      <c r="D171" s="3" t="s">
        <v>322</v>
      </c>
      <c r="E171" s="3" t="s">
        <v>171</v>
      </c>
    </row>
    <row r="172" spans="1:5">
      <c r="A172" s="3" t="s">
        <v>285</v>
      </c>
      <c r="D172" s="3" t="s">
        <v>1019</v>
      </c>
      <c r="E172" s="3" t="s">
        <v>1031</v>
      </c>
    </row>
    <row r="173" spans="1:5">
      <c r="A173" s="3" t="s">
        <v>441</v>
      </c>
      <c r="D173" s="3" t="s">
        <v>567</v>
      </c>
      <c r="E173" s="3" t="s">
        <v>333</v>
      </c>
    </row>
    <row r="174" spans="1:5">
      <c r="A174" s="3" t="s">
        <v>354</v>
      </c>
      <c r="D174" s="3" t="s">
        <v>1252</v>
      </c>
      <c r="E174" s="3" t="s">
        <v>540</v>
      </c>
    </row>
    <row r="175" spans="1:5">
      <c r="A175" s="3" t="s">
        <v>361</v>
      </c>
      <c r="D175" s="3" t="s">
        <v>1364</v>
      </c>
      <c r="E175" s="3" t="s">
        <v>521</v>
      </c>
    </row>
    <row r="176" spans="1:5">
      <c r="A176" s="3" t="s">
        <v>214</v>
      </c>
      <c r="D176" s="3" t="s">
        <v>1363</v>
      </c>
      <c r="E176" s="3" t="s">
        <v>631</v>
      </c>
    </row>
    <row r="177" spans="1:5">
      <c r="A177" s="3" t="s">
        <v>215</v>
      </c>
      <c r="D177" s="3" t="s">
        <v>1749</v>
      </c>
      <c r="E177" s="3" t="s">
        <v>632</v>
      </c>
    </row>
    <row r="178" spans="1:5">
      <c r="A178" s="3" t="s">
        <v>1005</v>
      </c>
      <c r="D178" s="3" t="s">
        <v>599</v>
      </c>
      <c r="E178" s="3" t="s">
        <v>343</v>
      </c>
    </row>
    <row r="179" spans="1:5">
      <c r="A179" s="3" t="s">
        <v>567</v>
      </c>
      <c r="D179" s="3" t="s">
        <v>244</v>
      </c>
      <c r="E179" s="3" t="s">
        <v>344</v>
      </c>
    </row>
    <row r="180" spans="1:5">
      <c r="A180" s="3" t="s">
        <v>1393</v>
      </c>
      <c r="D180" s="3" t="s">
        <v>1541</v>
      </c>
      <c r="E180" s="3" t="s">
        <v>1583</v>
      </c>
    </row>
    <row r="181" spans="1:5">
      <c r="A181" s="3" t="s">
        <v>1229</v>
      </c>
      <c r="D181" s="3" t="s">
        <v>6</v>
      </c>
      <c r="E181" s="3" t="s">
        <v>828</v>
      </c>
    </row>
    <row r="182" spans="1:5">
      <c r="A182" s="3" t="s">
        <v>1358</v>
      </c>
      <c r="D182" s="3" t="s">
        <v>189</v>
      </c>
      <c r="E182" s="3" t="s">
        <v>814</v>
      </c>
    </row>
    <row r="183" spans="1:5">
      <c r="A183" s="3" t="s">
        <v>1359</v>
      </c>
      <c r="D183" s="3" t="s">
        <v>19</v>
      </c>
      <c r="E183" s="3" t="s">
        <v>163</v>
      </c>
    </row>
    <row r="184" spans="1:5">
      <c r="A184" s="3" t="s">
        <v>1377</v>
      </c>
      <c r="D184" s="3" t="s">
        <v>241</v>
      </c>
      <c r="E184" s="3" t="s">
        <v>336</v>
      </c>
    </row>
    <row r="185" spans="1:5">
      <c r="A185" s="3" t="s">
        <v>1360</v>
      </c>
      <c r="D185" s="3" t="s">
        <v>1380</v>
      </c>
      <c r="E185" s="3" t="s">
        <v>25</v>
      </c>
    </row>
    <row r="186" spans="1:5">
      <c r="A186" s="3" t="s">
        <v>1740</v>
      </c>
      <c r="D186" s="3" t="s">
        <v>128</v>
      </c>
      <c r="E186" s="3" t="s">
        <v>1589</v>
      </c>
    </row>
    <row r="187" spans="1:5">
      <c r="A187" s="3" t="s">
        <v>568</v>
      </c>
      <c r="D187" s="3" t="s">
        <v>600</v>
      </c>
      <c r="E187" s="3" t="s">
        <v>1453</v>
      </c>
    </row>
    <row r="188" spans="1:5">
      <c r="A188" s="3" t="s">
        <v>569</v>
      </c>
      <c r="D188" s="3" t="s">
        <v>802</v>
      </c>
      <c r="E188" s="3" t="s">
        <v>1356</v>
      </c>
    </row>
    <row r="189" spans="1:5">
      <c r="A189" s="3" t="s">
        <v>1230</v>
      </c>
      <c r="D189" s="3" t="s">
        <v>726</v>
      </c>
      <c r="E189" s="3" t="s">
        <v>947</v>
      </c>
    </row>
    <row r="190" spans="1:5">
      <c r="A190" s="3" t="s">
        <v>179</v>
      </c>
      <c r="D190" s="3" t="s">
        <v>804</v>
      </c>
      <c r="E190" s="3" t="s">
        <v>346</v>
      </c>
    </row>
    <row r="191" spans="1:5">
      <c r="A191" s="3" t="s">
        <v>10</v>
      </c>
      <c r="D191" s="3" t="s">
        <v>1253</v>
      </c>
      <c r="E191" s="3" t="s">
        <v>157</v>
      </c>
    </row>
    <row r="192" spans="1:5">
      <c r="A192" s="3" t="s">
        <v>390</v>
      </c>
      <c r="D192" s="3" t="s">
        <v>803</v>
      </c>
      <c r="E192" s="3" t="s">
        <v>1722</v>
      </c>
    </row>
    <row r="193" spans="1:5">
      <c r="A193" s="3" t="s">
        <v>75</v>
      </c>
      <c r="D193" s="3" t="s">
        <v>1254</v>
      </c>
      <c r="E193" s="3" t="s">
        <v>630</v>
      </c>
    </row>
    <row r="194" spans="1:5">
      <c r="A194" s="3" t="s">
        <v>224</v>
      </c>
      <c r="D194" s="3" t="s">
        <v>1543</v>
      </c>
      <c r="E194" s="3" t="s">
        <v>2</v>
      </c>
    </row>
    <row r="195" spans="1:5">
      <c r="A195" s="3" t="s">
        <v>842</v>
      </c>
      <c r="D195" s="3" t="s">
        <v>485</v>
      </c>
      <c r="E195" s="3" t="s">
        <v>1312</v>
      </c>
    </row>
    <row r="196" spans="1:5">
      <c r="A196" s="3" t="s">
        <v>391</v>
      </c>
      <c r="D196" s="3" t="s">
        <v>1544</v>
      </c>
      <c r="E196" s="3" t="s">
        <v>1328</v>
      </c>
    </row>
    <row r="197" spans="1:5">
      <c r="A197" s="3" t="s">
        <v>76</v>
      </c>
      <c r="D197" s="3" t="s">
        <v>301</v>
      </c>
      <c r="E197" s="3" t="s">
        <v>1326</v>
      </c>
    </row>
    <row r="198" spans="1:5">
      <c r="A198" s="3" t="s">
        <v>776</v>
      </c>
      <c r="D198" s="3" t="s">
        <v>302</v>
      </c>
      <c r="E198" s="3" t="s">
        <v>838</v>
      </c>
    </row>
    <row r="199" spans="1:5">
      <c r="A199" s="3" t="s">
        <v>843</v>
      </c>
      <c r="D199" s="3" t="s">
        <v>555</v>
      </c>
      <c r="E199" s="3" t="s">
        <v>153</v>
      </c>
    </row>
    <row r="200" spans="1:5">
      <c r="A200" s="3" t="s">
        <v>853</v>
      </c>
      <c r="D200" s="3" t="s">
        <v>20</v>
      </c>
      <c r="E200" s="3" t="s">
        <v>427</v>
      </c>
    </row>
    <row r="201" spans="1:5">
      <c r="A201" s="3" t="s">
        <v>550</v>
      </c>
      <c r="D201" s="3" t="s">
        <v>386</v>
      </c>
      <c r="E201" s="3" t="s">
        <v>426</v>
      </c>
    </row>
    <row r="202" spans="1:5">
      <c r="A202" s="3" t="s">
        <v>442</v>
      </c>
      <c r="D202" s="3" t="s">
        <v>490</v>
      </c>
      <c r="E202" s="3" t="s">
        <v>1445</v>
      </c>
    </row>
    <row r="203" spans="1:5">
      <c r="A203" s="3" t="s">
        <v>679</v>
      </c>
      <c r="D203" s="3" t="s">
        <v>601</v>
      </c>
      <c r="E203" s="3" t="s">
        <v>1756</v>
      </c>
    </row>
    <row r="204" spans="1:5">
      <c r="A204" s="3" t="s">
        <v>544</v>
      </c>
      <c r="D204" s="3" t="s">
        <v>1673</v>
      </c>
      <c r="E204" s="3" t="s">
        <v>834</v>
      </c>
    </row>
    <row r="205" spans="1:5">
      <c r="A205" s="3" t="s">
        <v>36</v>
      </c>
      <c r="D205" s="3" t="s">
        <v>369</v>
      </c>
      <c r="E205" s="3" t="s">
        <v>1585</v>
      </c>
    </row>
    <row r="206" spans="1:5">
      <c r="A206" s="3" t="s">
        <v>35</v>
      </c>
      <c r="D206" s="3" t="s">
        <v>821</v>
      </c>
      <c r="E206" s="3" t="s">
        <v>1586</v>
      </c>
    </row>
    <row r="207" spans="1:5">
      <c r="A207" s="3" t="s">
        <v>777</v>
      </c>
      <c r="D207" s="3" t="s">
        <v>805</v>
      </c>
      <c r="E207" s="3" t="s">
        <v>1446</v>
      </c>
    </row>
    <row r="208" spans="1:5">
      <c r="A208" s="3" t="s">
        <v>878</v>
      </c>
      <c r="D208" s="3" t="s">
        <v>1545</v>
      </c>
      <c r="E208" s="3" t="s">
        <v>835</v>
      </c>
    </row>
    <row r="209" spans="1:5">
      <c r="A209" s="3" t="s">
        <v>443</v>
      </c>
      <c r="D209" s="3" t="s">
        <v>854</v>
      </c>
      <c r="E209" s="3" t="s">
        <v>166</v>
      </c>
    </row>
    <row r="210" spans="1:5">
      <c r="A210" s="3" t="s">
        <v>11</v>
      </c>
      <c r="D210" s="3" t="s">
        <v>1308</v>
      </c>
      <c r="E210" s="3" t="s">
        <v>917</v>
      </c>
    </row>
    <row r="211" spans="1:5">
      <c r="A211" s="3" t="s">
        <v>77</v>
      </c>
      <c r="D211" s="3" t="s">
        <v>602</v>
      </c>
      <c r="E211" s="3" t="s">
        <v>167</v>
      </c>
    </row>
    <row r="212" spans="1:5">
      <c r="A212" s="3" t="s">
        <v>1069</v>
      </c>
      <c r="D212" s="3" t="s">
        <v>1427</v>
      </c>
      <c r="E212" s="3" t="s">
        <v>383</v>
      </c>
    </row>
    <row r="213" spans="1:5">
      <c r="A213" s="3" t="s">
        <v>1672</v>
      </c>
      <c r="D213" s="3" t="s">
        <v>1428</v>
      </c>
      <c r="E213" s="3" t="s">
        <v>817</v>
      </c>
    </row>
    <row r="214" spans="1:5">
      <c r="A214" s="3" t="s">
        <v>570</v>
      </c>
      <c r="D214" s="3" t="s">
        <v>409</v>
      </c>
      <c r="E214" s="3" t="s">
        <v>1165</v>
      </c>
    </row>
    <row r="215" spans="1:5">
      <c r="A215" s="3" t="s">
        <v>1231</v>
      </c>
      <c r="D215" s="3" t="s">
        <v>1437</v>
      </c>
      <c r="E215" s="3" t="s">
        <v>1166</v>
      </c>
    </row>
    <row r="216" spans="1:5">
      <c r="A216" s="3" t="s">
        <v>362</v>
      </c>
      <c r="D216" s="3" t="s">
        <v>1344</v>
      </c>
      <c r="E216" s="3" t="s">
        <v>1167</v>
      </c>
    </row>
    <row r="217" spans="1:5">
      <c r="A217" s="3" t="s">
        <v>1184</v>
      </c>
      <c r="D217" s="3" t="s">
        <v>142</v>
      </c>
      <c r="E217" s="3" t="s">
        <v>1169</v>
      </c>
    </row>
    <row r="218" spans="1:5">
      <c r="A218" s="3" t="s">
        <v>778</v>
      </c>
      <c r="D218" s="3" t="s">
        <v>112</v>
      </c>
      <c r="E218" s="3" t="s">
        <v>1168</v>
      </c>
    </row>
    <row r="219" spans="1:5">
      <c r="A219" s="3" t="s">
        <v>1179</v>
      </c>
      <c r="D219" s="3" t="s">
        <v>809</v>
      </c>
      <c r="E219" s="3" t="s">
        <v>1170</v>
      </c>
    </row>
    <row r="220" spans="1:5">
      <c r="A220" s="3" t="s">
        <v>854</v>
      </c>
      <c r="D220" s="3" t="s">
        <v>23</v>
      </c>
      <c r="E220" s="3" t="s">
        <v>1171</v>
      </c>
    </row>
    <row r="221" spans="1:5">
      <c r="A221" s="3" t="s">
        <v>883</v>
      </c>
      <c r="D221" s="3" t="s">
        <v>1783</v>
      </c>
      <c r="E221" s="3" t="s">
        <v>1172</v>
      </c>
    </row>
    <row r="222" spans="1:5">
      <c r="A222" s="3" t="s">
        <v>1303</v>
      </c>
      <c r="D222" s="3" t="s">
        <v>1784</v>
      </c>
      <c r="E222" s="3" t="s">
        <v>1173</v>
      </c>
    </row>
    <row r="223" spans="1:5">
      <c r="A223" s="3" t="s">
        <v>1686</v>
      </c>
      <c r="D223" s="3" t="s">
        <v>1785</v>
      </c>
      <c r="E223" s="3" t="s">
        <v>1174</v>
      </c>
    </row>
    <row r="224" spans="1:5">
      <c r="A224" s="3" t="s">
        <v>571</v>
      </c>
      <c r="D224" s="3" t="s">
        <v>1786</v>
      </c>
      <c r="E224" s="3" t="s">
        <v>1133</v>
      </c>
    </row>
    <row r="225" spans="1:5">
      <c r="A225" s="3" t="s">
        <v>1232</v>
      </c>
      <c r="D225" s="3" t="s">
        <v>1787</v>
      </c>
      <c r="E225" s="3" t="s">
        <v>1134</v>
      </c>
    </row>
    <row r="226" spans="1:5">
      <c r="A226" s="3" t="s">
        <v>1406</v>
      </c>
      <c r="D226" s="3" t="s">
        <v>603</v>
      </c>
      <c r="E226" s="3" t="s">
        <v>1136</v>
      </c>
    </row>
    <row r="227" spans="1:5">
      <c r="A227" s="3" t="s">
        <v>1185</v>
      </c>
      <c r="D227" s="3" t="s">
        <v>823</v>
      </c>
      <c r="E227" s="3" t="s">
        <v>1138</v>
      </c>
    </row>
    <row r="228" spans="1:5">
      <c r="A228" s="3" t="s">
        <v>1407</v>
      </c>
      <c r="D228" s="3" t="s">
        <v>488</v>
      </c>
      <c r="E228" s="3" t="s">
        <v>1137</v>
      </c>
    </row>
    <row r="229" spans="1:5">
      <c r="A229" s="3" t="s">
        <v>1422</v>
      </c>
      <c r="D229" s="3" t="s">
        <v>810</v>
      </c>
      <c r="E229" s="3" t="s">
        <v>1135</v>
      </c>
    </row>
    <row r="230" spans="1:5">
      <c r="A230" s="3" t="s">
        <v>392</v>
      </c>
      <c r="D230" s="3" t="s">
        <v>1748</v>
      </c>
      <c r="E230" s="3" t="s">
        <v>1139</v>
      </c>
    </row>
    <row r="231" spans="1:5">
      <c r="A231" s="3" t="s">
        <v>1335</v>
      </c>
      <c r="D231" s="3" t="s">
        <v>160</v>
      </c>
      <c r="E231" s="3" t="s">
        <v>1140</v>
      </c>
    </row>
    <row r="232" spans="1:5">
      <c r="A232" s="3" t="s">
        <v>680</v>
      </c>
      <c r="D232" s="3" t="s">
        <v>24</v>
      </c>
      <c r="E232" s="3" t="s">
        <v>1141</v>
      </c>
    </row>
    <row r="233" spans="1:5">
      <c r="A233" s="3" t="s">
        <v>142</v>
      </c>
      <c r="D233" s="3" t="s">
        <v>1429</v>
      </c>
      <c r="E233" s="3" t="s">
        <v>1142</v>
      </c>
    </row>
    <row r="234" spans="1:5">
      <c r="A234" s="3" t="s">
        <v>1186</v>
      </c>
      <c r="D234" s="3" t="s">
        <v>1430</v>
      </c>
      <c r="E234" s="3" t="s">
        <v>1143</v>
      </c>
    </row>
    <row r="235" spans="1:5">
      <c r="A235" s="3" t="s">
        <v>1778</v>
      </c>
      <c r="D235" s="3" t="s">
        <v>604</v>
      </c>
      <c r="E235" s="3" t="s">
        <v>1156</v>
      </c>
    </row>
    <row r="236" spans="1:5" ht="29">
      <c r="A236" s="3" t="s">
        <v>1779</v>
      </c>
      <c r="D236" s="3" t="s">
        <v>1546</v>
      </c>
      <c r="E236" s="3" t="s">
        <v>1154</v>
      </c>
    </row>
    <row r="237" spans="1:5">
      <c r="A237" s="3" t="s">
        <v>1780</v>
      </c>
      <c r="D237" s="3" t="s">
        <v>806</v>
      </c>
      <c r="E237" s="3" t="s">
        <v>1155</v>
      </c>
    </row>
    <row r="238" spans="1:5">
      <c r="A238" s="3" t="s">
        <v>1781</v>
      </c>
      <c r="D238" s="3" t="s">
        <v>242</v>
      </c>
      <c r="E238" s="3" t="s">
        <v>1158</v>
      </c>
    </row>
    <row r="239" spans="1:5">
      <c r="A239" s="3" t="s">
        <v>1782</v>
      </c>
      <c r="D239" s="3" t="s">
        <v>79</v>
      </c>
      <c r="E239" s="3" t="s">
        <v>1157</v>
      </c>
    </row>
    <row r="240" spans="1:5">
      <c r="A240" s="3" t="s">
        <v>572</v>
      </c>
      <c r="D240" s="3" t="s">
        <v>113</v>
      </c>
      <c r="E240" s="3" t="s">
        <v>1159</v>
      </c>
    </row>
    <row r="241" spans="1:5">
      <c r="A241" s="3" t="s">
        <v>1233</v>
      </c>
      <c r="D241" s="3" t="s">
        <v>807</v>
      </c>
      <c r="E241" s="3" t="s">
        <v>1160</v>
      </c>
    </row>
    <row r="242" spans="1:5">
      <c r="A242" s="3" t="s">
        <v>12</v>
      </c>
      <c r="D242" s="3" t="s">
        <v>311</v>
      </c>
      <c r="E242" s="3" t="s">
        <v>1161</v>
      </c>
    </row>
    <row r="243" spans="1:5">
      <c r="A243" s="3" t="s">
        <v>552</v>
      </c>
      <c r="D243" s="3" t="s">
        <v>130</v>
      </c>
      <c r="E243" s="3" t="s">
        <v>1162</v>
      </c>
    </row>
    <row r="244" spans="1:5">
      <c r="A244" s="3" t="s">
        <v>1741</v>
      </c>
      <c r="D244" s="3" t="s">
        <v>1487</v>
      </c>
      <c r="E244" s="3" t="s">
        <v>1163</v>
      </c>
    </row>
    <row r="245" spans="1:5">
      <c r="A245" s="3" t="s">
        <v>13</v>
      </c>
      <c r="D245" s="3" t="s">
        <v>1488</v>
      </c>
      <c r="E245" s="3" t="s">
        <v>1144</v>
      </c>
    </row>
    <row r="246" spans="1:5">
      <c r="A246" s="3" t="s">
        <v>78</v>
      </c>
      <c r="D246" s="3" t="s">
        <v>605</v>
      </c>
      <c r="E246" s="3" t="s">
        <v>1145</v>
      </c>
    </row>
    <row r="247" spans="1:5">
      <c r="A247" s="3" t="s">
        <v>1408</v>
      </c>
      <c r="D247" s="3" t="s">
        <v>131</v>
      </c>
      <c r="E247" s="3" t="s">
        <v>1146</v>
      </c>
    </row>
    <row r="248" spans="1:5">
      <c r="A248" s="3" t="s">
        <v>1409</v>
      </c>
      <c r="D248" s="3" t="s">
        <v>1020</v>
      </c>
      <c r="E248" s="3" t="s">
        <v>1148</v>
      </c>
    </row>
    <row r="249" spans="1:5">
      <c r="A249" s="3" t="s">
        <v>573</v>
      </c>
      <c r="D249" s="3" t="s">
        <v>811</v>
      </c>
      <c r="E249" s="3" t="s">
        <v>1147</v>
      </c>
    </row>
    <row r="250" spans="1:5">
      <c r="A250" s="3" t="s">
        <v>1234</v>
      </c>
      <c r="D250" s="3" t="s">
        <v>812</v>
      </c>
      <c r="E250" s="3" t="s">
        <v>1149</v>
      </c>
    </row>
    <row r="251" spans="1:5">
      <c r="A251" s="3" t="s">
        <v>779</v>
      </c>
      <c r="D251" s="3" t="s">
        <v>203</v>
      </c>
      <c r="E251" s="3" t="s">
        <v>1150</v>
      </c>
    </row>
    <row r="252" spans="1:5">
      <c r="A252" s="3" t="s">
        <v>430</v>
      </c>
      <c r="D252" s="3" t="s">
        <v>243</v>
      </c>
      <c r="E252" s="3" t="s">
        <v>1151</v>
      </c>
    </row>
    <row r="253" spans="1:5" ht="29">
      <c r="A253" s="3" t="s">
        <v>225</v>
      </c>
      <c r="D253" s="3" t="s">
        <v>1471</v>
      </c>
      <c r="E253" s="3" t="s">
        <v>1152</v>
      </c>
    </row>
    <row r="254" spans="1:5">
      <c r="A254" s="3" t="s">
        <v>866</v>
      </c>
      <c r="D254" s="3" t="s">
        <v>1465</v>
      </c>
      <c r="E254" s="3" t="s">
        <v>1153</v>
      </c>
    </row>
    <row r="255" spans="1:5">
      <c r="A255" s="3" t="s">
        <v>79</v>
      </c>
      <c r="D255" s="3" t="s">
        <v>1466</v>
      </c>
      <c r="E255" s="3" t="s">
        <v>1175</v>
      </c>
    </row>
    <row r="256" spans="1:5">
      <c r="A256" s="3" t="s">
        <v>780</v>
      </c>
      <c r="D256" s="3" t="s">
        <v>1469</v>
      </c>
      <c r="E256" s="3" t="s">
        <v>1450</v>
      </c>
    </row>
    <row r="257" spans="1:5">
      <c r="A257" s="3" t="s">
        <v>286</v>
      </c>
      <c r="D257" s="3" t="s">
        <v>1470</v>
      </c>
      <c r="E257" s="3" t="s">
        <v>825</v>
      </c>
    </row>
    <row r="258" spans="1:5">
      <c r="A258" s="3" t="s">
        <v>80</v>
      </c>
      <c r="D258" s="3" t="s">
        <v>1731</v>
      </c>
      <c r="E258" s="3" t="s">
        <v>527</v>
      </c>
    </row>
    <row r="259" spans="1:5">
      <c r="A259" s="3" t="s">
        <v>662</v>
      </c>
      <c r="D259" s="3" t="s">
        <v>1468</v>
      </c>
      <c r="E259" s="3" t="s">
        <v>1272</v>
      </c>
    </row>
    <row r="260" spans="1:5">
      <c r="A260" s="3" t="s">
        <v>1687</v>
      </c>
      <c r="D260" s="3" t="s">
        <v>1501</v>
      </c>
      <c r="E260" s="3" t="s">
        <v>523</v>
      </c>
    </row>
    <row r="261" spans="1:5">
      <c r="A261" s="3" t="s">
        <v>1485</v>
      </c>
      <c r="D261" s="3" t="s">
        <v>1467</v>
      </c>
      <c r="E261" s="3" t="s">
        <v>533</v>
      </c>
    </row>
    <row r="262" spans="1:5">
      <c r="A262" s="3" t="s">
        <v>1486</v>
      </c>
      <c r="D262" s="3" t="s">
        <v>1438</v>
      </c>
      <c r="E262" s="3" t="s">
        <v>939</v>
      </c>
    </row>
    <row r="263" spans="1:5">
      <c r="A263" s="3" t="s">
        <v>574</v>
      </c>
      <c r="D263" s="3" t="s">
        <v>1730</v>
      </c>
      <c r="E263" s="3" t="s">
        <v>542</v>
      </c>
    </row>
    <row r="264" spans="1:5">
      <c r="A264" s="3" t="s">
        <v>1390</v>
      </c>
      <c r="D264" s="3" t="s">
        <v>1496</v>
      </c>
      <c r="E264" s="3" t="s">
        <v>848</v>
      </c>
    </row>
    <row r="265" spans="1:5">
      <c r="A265" s="3" t="s">
        <v>81</v>
      </c>
      <c r="D265" s="3" t="s">
        <v>731</v>
      </c>
      <c r="E265" s="3" t="s">
        <v>528</v>
      </c>
    </row>
    <row r="266" spans="1:5">
      <c r="A266" s="3" t="s">
        <v>1006</v>
      </c>
      <c r="D266" s="3" t="s">
        <v>1648</v>
      </c>
      <c r="E266" s="3" t="s">
        <v>850</v>
      </c>
    </row>
    <row r="267" spans="1:5">
      <c r="A267" s="3" t="s">
        <v>1697</v>
      </c>
      <c r="D267" s="3" t="s">
        <v>1647</v>
      </c>
      <c r="E267" s="3" t="s">
        <v>535</v>
      </c>
    </row>
    <row r="268" spans="1:5">
      <c r="A268" s="3" t="s">
        <v>197</v>
      </c>
      <c r="D268" s="3" t="s">
        <v>1659</v>
      </c>
      <c r="E268" s="3" t="s">
        <v>321</v>
      </c>
    </row>
    <row r="269" spans="1:5">
      <c r="A269" s="3" t="s">
        <v>226</v>
      </c>
      <c r="D269" s="3" t="s">
        <v>1649</v>
      </c>
      <c r="E269" s="3" t="s">
        <v>1751</v>
      </c>
    </row>
    <row r="270" spans="1:5">
      <c r="A270" s="3" t="s">
        <v>1494</v>
      </c>
      <c r="D270" s="3" t="s">
        <v>1660</v>
      </c>
      <c r="E270" s="3" t="s">
        <v>1370</v>
      </c>
    </row>
    <row r="271" spans="1:5">
      <c r="A271" s="3" t="s">
        <v>1495</v>
      </c>
      <c r="D271" s="3" t="s">
        <v>1650</v>
      </c>
      <c r="E271" s="3" t="s">
        <v>1034</v>
      </c>
    </row>
    <row r="272" spans="1:5">
      <c r="A272" s="3" t="s">
        <v>1493</v>
      </c>
      <c r="D272" s="3" t="s">
        <v>1661</v>
      </c>
      <c r="E272" s="3" t="s">
        <v>760</v>
      </c>
    </row>
    <row r="273" spans="1:5">
      <c r="A273" s="3" t="s">
        <v>359</v>
      </c>
      <c r="D273" s="3" t="s">
        <v>1662</v>
      </c>
      <c r="E273" s="3" t="s">
        <v>861</v>
      </c>
    </row>
    <row r="274" spans="1:5">
      <c r="A274" s="3" t="s">
        <v>1680</v>
      </c>
      <c r="D274" s="3" t="s">
        <v>732</v>
      </c>
      <c r="E274" s="3" t="s">
        <v>940</v>
      </c>
    </row>
    <row r="275" spans="1:5">
      <c r="A275" s="3" t="s">
        <v>1620</v>
      </c>
      <c r="D275" s="3" t="s">
        <v>728</v>
      </c>
      <c r="E275" s="3" t="s">
        <v>211</v>
      </c>
    </row>
    <row r="276" spans="1:5">
      <c r="A276" s="3" t="s">
        <v>1619</v>
      </c>
      <c r="D276" s="3" t="s">
        <v>813</v>
      </c>
      <c r="E276" s="3" t="s">
        <v>840</v>
      </c>
    </row>
    <row r="277" spans="1:5">
      <c r="A277" s="3" t="s">
        <v>1621</v>
      </c>
      <c r="D277" s="3" t="s">
        <v>1497</v>
      </c>
      <c r="E277" s="3" t="s">
        <v>538</v>
      </c>
    </row>
    <row r="278" spans="1:5">
      <c r="A278" s="3" t="s">
        <v>1622</v>
      </c>
      <c r="D278" s="3" t="s">
        <v>1498</v>
      </c>
      <c r="E278" s="3" t="s">
        <v>539</v>
      </c>
    </row>
    <row r="279" spans="1:5">
      <c r="A279" s="3" t="s">
        <v>1632</v>
      </c>
      <c r="D279" s="3" t="s">
        <v>1345</v>
      </c>
      <c r="E279" s="3" t="s">
        <v>876</v>
      </c>
    </row>
    <row r="280" spans="1:5">
      <c r="A280" s="3" t="s">
        <v>1631</v>
      </c>
      <c r="D280" s="3" t="s">
        <v>606</v>
      </c>
      <c r="E280" s="3" t="s">
        <v>526</v>
      </c>
    </row>
    <row r="281" spans="1:5">
      <c r="A281" s="3" t="s">
        <v>1633</v>
      </c>
      <c r="D281" s="3" t="s">
        <v>1547</v>
      </c>
      <c r="E281" s="3" t="s">
        <v>537</v>
      </c>
    </row>
    <row r="282" spans="1:5">
      <c r="A282" s="3" t="s">
        <v>1634</v>
      </c>
      <c r="D282" s="3" t="s">
        <v>410</v>
      </c>
      <c r="E282" s="3" t="s">
        <v>1369</v>
      </c>
    </row>
    <row r="283" spans="1:5">
      <c r="A283" s="3" t="s">
        <v>1635</v>
      </c>
      <c r="D283" s="3" t="s">
        <v>411</v>
      </c>
      <c r="E283" s="3" t="s">
        <v>875</v>
      </c>
    </row>
    <row r="284" spans="1:5">
      <c r="A284" s="3" t="s">
        <v>1637</v>
      </c>
      <c r="D284" s="3" t="s">
        <v>132</v>
      </c>
      <c r="E284" s="3" t="s">
        <v>874</v>
      </c>
    </row>
    <row r="285" spans="1:5">
      <c r="A285" s="3" t="s">
        <v>1636</v>
      </c>
      <c r="D285" s="3" t="s">
        <v>1255</v>
      </c>
      <c r="E285" s="3" t="s">
        <v>520</v>
      </c>
    </row>
    <row r="286" spans="1:5">
      <c r="A286" s="3" t="s">
        <v>1638</v>
      </c>
      <c r="D286" s="3" t="s">
        <v>325</v>
      </c>
      <c r="E286" s="3" t="s">
        <v>377</v>
      </c>
    </row>
    <row r="287" spans="1:5">
      <c r="A287" s="3" t="s">
        <v>681</v>
      </c>
      <c r="D287" s="3" t="s">
        <v>412</v>
      </c>
      <c r="E287" s="3" t="s">
        <v>345</v>
      </c>
    </row>
    <row r="288" spans="1:5">
      <c r="A288" s="3" t="s">
        <v>1504</v>
      </c>
      <c r="D288" s="3" t="s">
        <v>1602</v>
      </c>
      <c r="E288" s="3" t="s">
        <v>335</v>
      </c>
    </row>
    <row r="289" spans="1:5">
      <c r="A289" s="3" t="s">
        <v>1505</v>
      </c>
      <c r="D289" s="3" t="s">
        <v>133</v>
      </c>
      <c r="E289" s="3" t="s">
        <v>347</v>
      </c>
    </row>
    <row r="290" spans="1:5">
      <c r="A290" s="3" t="s">
        <v>1459</v>
      </c>
      <c r="D290" s="3" t="s">
        <v>558</v>
      </c>
      <c r="E290" s="3" t="s">
        <v>1313</v>
      </c>
    </row>
    <row r="291" spans="1:5">
      <c r="A291" s="3" t="s">
        <v>1506</v>
      </c>
      <c r="D291" s="3" t="s">
        <v>1548</v>
      </c>
      <c r="E291" s="3" t="s">
        <v>148</v>
      </c>
    </row>
    <row r="292" spans="1:5">
      <c r="A292" s="3" t="s">
        <v>1508</v>
      </c>
      <c r="D292" s="3" t="s">
        <v>1549</v>
      </c>
      <c r="E292" s="3" t="s">
        <v>964</v>
      </c>
    </row>
    <row r="293" spans="1:5">
      <c r="A293" s="3" t="s">
        <v>1507</v>
      </c>
      <c r="D293" s="3" t="s">
        <v>734</v>
      </c>
      <c r="E293" s="3" t="s">
        <v>973</v>
      </c>
    </row>
    <row r="294" spans="1:5">
      <c r="A294" s="3" t="s">
        <v>1460</v>
      </c>
      <c r="D294" s="3" t="s">
        <v>487</v>
      </c>
      <c r="E294" s="3" t="s">
        <v>974</v>
      </c>
    </row>
    <row r="295" spans="1:5">
      <c r="A295" s="3" t="s">
        <v>1509</v>
      </c>
      <c r="D295" s="3" t="s">
        <v>594</v>
      </c>
      <c r="E295" s="3" t="s">
        <v>560</v>
      </c>
    </row>
    <row r="296" spans="1:5">
      <c r="A296" s="3" t="s">
        <v>1526</v>
      </c>
      <c r="D296" s="3" t="s">
        <v>607</v>
      </c>
      <c r="E296" s="3" t="s">
        <v>259</v>
      </c>
    </row>
    <row r="297" spans="1:5">
      <c r="A297" s="3" t="s">
        <v>1510</v>
      </c>
      <c r="D297" s="3" t="s">
        <v>204</v>
      </c>
      <c r="E297" s="3" t="s">
        <v>1444</v>
      </c>
    </row>
    <row r="298" spans="1:5">
      <c r="A298" s="3" t="s">
        <v>1511</v>
      </c>
      <c r="D298" s="3" t="s">
        <v>909</v>
      </c>
      <c r="E298" s="3" t="s">
        <v>1451</v>
      </c>
    </row>
    <row r="299" spans="1:5">
      <c r="A299" s="3" t="s">
        <v>1527</v>
      </c>
      <c r="D299" s="3" t="s">
        <v>1347</v>
      </c>
      <c r="E299" s="3" t="s">
        <v>638</v>
      </c>
    </row>
    <row r="300" spans="1:5">
      <c r="A300" s="3" t="s">
        <v>1512</v>
      </c>
      <c r="D300" s="3" t="s">
        <v>735</v>
      </c>
      <c r="E300" s="3" t="s">
        <v>975</v>
      </c>
    </row>
    <row r="301" spans="1:5">
      <c r="A301" s="3" t="s">
        <v>1513</v>
      </c>
      <c r="D301" s="3" t="s">
        <v>1550</v>
      </c>
      <c r="E301" s="3" t="s">
        <v>1757</v>
      </c>
    </row>
    <row r="302" spans="1:5">
      <c r="A302" s="3" t="s">
        <v>1514</v>
      </c>
      <c r="D302" s="3" t="s">
        <v>1551</v>
      </c>
      <c r="E302" s="3" t="s">
        <v>849</v>
      </c>
    </row>
    <row r="303" spans="1:5">
      <c r="A303" s="3" t="s">
        <v>1515</v>
      </c>
      <c r="D303" s="3" t="s">
        <v>1256</v>
      </c>
      <c r="E303" s="3" t="s">
        <v>935</v>
      </c>
    </row>
    <row r="304" spans="1:5">
      <c r="A304" s="3" t="s">
        <v>1516</v>
      </c>
      <c r="D304" s="3" t="s">
        <v>134</v>
      </c>
      <c r="E304" s="3" t="s">
        <v>1310</v>
      </c>
    </row>
    <row r="305" spans="1:5">
      <c r="A305" s="3" t="s">
        <v>1518</v>
      </c>
      <c r="D305" s="3" t="s">
        <v>1431</v>
      </c>
      <c r="E305" s="3" t="s">
        <v>173</v>
      </c>
    </row>
    <row r="306" spans="1:5">
      <c r="A306" s="3" t="s">
        <v>1517</v>
      </c>
      <c r="D306" s="3" t="s">
        <v>489</v>
      </c>
      <c r="E306" s="3" t="s">
        <v>1592</v>
      </c>
    </row>
    <row r="307" spans="1:5">
      <c r="A307" s="3" t="s">
        <v>1461</v>
      </c>
      <c r="D307" s="3" t="s">
        <v>1552</v>
      </c>
      <c r="E307" s="3" t="s">
        <v>1593</v>
      </c>
    </row>
    <row r="308" spans="1:5">
      <c r="A308" s="3" t="s">
        <v>1462</v>
      </c>
      <c r="D308" s="3" t="s">
        <v>736</v>
      </c>
      <c r="E308" s="3" t="s">
        <v>1311</v>
      </c>
    </row>
    <row r="309" spans="1:5">
      <c r="A309" s="3" t="s">
        <v>1463</v>
      </c>
      <c r="D309" s="3" t="s">
        <v>737</v>
      </c>
      <c r="E309" s="3" t="s">
        <v>1316</v>
      </c>
    </row>
    <row r="310" spans="1:5">
      <c r="A310" s="3" t="s">
        <v>1519</v>
      </c>
      <c r="D310" s="3" t="s">
        <v>913</v>
      </c>
      <c r="E310" s="3" t="s">
        <v>379</v>
      </c>
    </row>
    <row r="311" spans="1:5">
      <c r="A311" s="3" t="s">
        <v>1520</v>
      </c>
      <c r="D311" s="3" t="s">
        <v>915</v>
      </c>
      <c r="E311" s="3" t="s">
        <v>618</v>
      </c>
    </row>
    <row r="312" spans="1:5">
      <c r="A312" s="3" t="s">
        <v>1521</v>
      </c>
      <c r="D312" s="3" t="s">
        <v>413</v>
      </c>
      <c r="E312" s="3" t="s">
        <v>635</v>
      </c>
    </row>
    <row r="313" spans="1:5">
      <c r="A313" s="3" t="s">
        <v>1522</v>
      </c>
      <c r="D313" s="3" t="s">
        <v>1499</v>
      </c>
      <c r="E313" s="3" t="s">
        <v>1594</v>
      </c>
    </row>
    <row r="314" spans="1:5">
      <c r="A314" s="3" t="s">
        <v>1492</v>
      </c>
      <c r="D314" s="3" t="s">
        <v>312</v>
      </c>
      <c r="E314" s="3" t="s">
        <v>308</v>
      </c>
    </row>
    <row r="315" spans="1:5">
      <c r="A315" s="3" t="s">
        <v>1523</v>
      </c>
      <c r="D315" s="3" t="s">
        <v>313</v>
      </c>
      <c r="E315" s="3" t="s">
        <v>1603</v>
      </c>
    </row>
    <row r="316" spans="1:5">
      <c r="A316" s="3" t="s">
        <v>1524</v>
      </c>
      <c r="D316" s="3" t="s">
        <v>314</v>
      </c>
      <c r="E316" s="3" t="s">
        <v>340</v>
      </c>
    </row>
    <row r="317" spans="1:5">
      <c r="A317" s="3" t="s">
        <v>1464</v>
      </c>
      <c r="D317" s="3" t="s">
        <v>315</v>
      </c>
      <c r="E317" s="3" t="s">
        <v>342</v>
      </c>
    </row>
    <row r="318" spans="1:5">
      <c r="A318" s="3" t="s">
        <v>1525</v>
      </c>
      <c r="D318" s="3" t="s">
        <v>491</v>
      </c>
      <c r="E318" s="3" t="s">
        <v>636</v>
      </c>
    </row>
    <row r="319" spans="1:5">
      <c r="A319" s="3" t="s">
        <v>1528</v>
      </c>
      <c r="D319" s="3" t="s">
        <v>316</v>
      </c>
      <c r="E319" s="3" t="s">
        <v>1449</v>
      </c>
    </row>
    <row r="320" spans="1:5">
      <c r="A320" s="3" t="s">
        <v>1421</v>
      </c>
      <c r="D320" s="3" t="s">
        <v>914</v>
      </c>
      <c r="E320" s="3" t="s">
        <v>1671</v>
      </c>
    </row>
    <row r="321" spans="1:5">
      <c r="A321" s="3" t="s">
        <v>1529</v>
      </c>
      <c r="D321" s="3" t="s">
        <v>1257</v>
      </c>
      <c r="E321" s="3" t="s">
        <v>530</v>
      </c>
    </row>
    <row r="322" spans="1:5">
      <c r="A322" s="3" t="s">
        <v>1530</v>
      </c>
      <c r="D322" s="3" t="s">
        <v>982</v>
      </c>
      <c r="E322" s="3" t="s">
        <v>944</v>
      </c>
    </row>
    <row r="323" spans="1:5">
      <c r="A323" s="3" t="s">
        <v>1531</v>
      </c>
      <c r="D323" s="3" t="s">
        <v>1258</v>
      </c>
      <c r="E323" s="3" t="s">
        <v>1355</v>
      </c>
    </row>
    <row r="324" spans="1:5">
      <c r="A324" s="3" t="s">
        <v>1532</v>
      </c>
      <c r="D324" s="3" t="s">
        <v>135</v>
      </c>
      <c r="E324" s="3" t="s">
        <v>170</v>
      </c>
    </row>
    <row r="325" spans="1:5">
      <c r="A325" s="3" t="s">
        <v>1533</v>
      </c>
      <c r="D325" s="3" t="s">
        <v>317</v>
      </c>
      <c r="E325" s="3" t="s">
        <v>617</v>
      </c>
    </row>
    <row r="326" spans="1:5">
      <c r="A326" s="3" t="s">
        <v>1491</v>
      </c>
      <c r="D326" s="3" t="s">
        <v>1318</v>
      </c>
      <c r="E326" s="3" t="s">
        <v>169</v>
      </c>
    </row>
    <row r="327" spans="1:5">
      <c r="A327" s="3" t="s">
        <v>1534</v>
      </c>
      <c r="D327" s="3" t="s">
        <v>1684</v>
      </c>
      <c r="E327" s="3" t="s">
        <v>1755</v>
      </c>
    </row>
    <row r="328" spans="1:5">
      <c r="A328" s="3" t="s">
        <v>1535</v>
      </c>
      <c r="D328" s="3" t="s">
        <v>1611</v>
      </c>
      <c r="E328" s="3" t="s">
        <v>262</v>
      </c>
    </row>
    <row r="329" spans="1:5">
      <c r="A329" s="3" t="s">
        <v>1336</v>
      </c>
      <c r="D329" s="3" t="s">
        <v>609</v>
      </c>
      <c r="E329" s="3" t="s">
        <v>248</v>
      </c>
    </row>
    <row r="330" spans="1:5">
      <c r="A330" s="3" t="s">
        <v>575</v>
      </c>
      <c r="D330" s="3" t="s">
        <v>1612</v>
      </c>
      <c r="E330" s="3" t="s">
        <v>274</v>
      </c>
    </row>
    <row r="331" spans="1:5">
      <c r="A331" s="3" t="s">
        <v>1235</v>
      </c>
      <c r="D331" s="3" t="s">
        <v>610</v>
      </c>
      <c r="E331" s="3" t="s">
        <v>261</v>
      </c>
    </row>
    <row r="332" spans="1:5">
      <c r="A332" s="3" t="s">
        <v>664</v>
      </c>
      <c r="D332" s="3" t="s">
        <v>370</v>
      </c>
      <c r="E332" s="3" t="s">
        <v>260</v>
      </c>
    </row>
    <row r="333" spans="1:5">
      <c r="A333" s="3" t="s">
        <v>663</v>
      </c>
      <c r="D333" s="3" t="s">
        <v>1553</v>
      </c>
      <c r="E333" s="3" t="s">
        <v>264</v>
      </c>
    </row>
    <row r="334" spans="1:5">
      <c r="A334" s="3" t="s">
        <v>393</v>
      </c>
      <c r="D334" s="3" t="s">
        <v>1433</v>
      </c>
      <c r="E334" s="3" t="s">
        <v>938</v>
      </c>
    </row>
    <row r="335" spans="1:5">
      <c r="A335" s="3" t="s">
        <v>394</v>
      </c>
      <c r="D335" s="3" t="s">
        <v>814</v>
      </c>
      <c r="E335" s="3" t="s">
        <v>1452</v>
      </c>
    </row>
    <row r="336" spans="1:5">
      <c r="A336" s="3" t="s">
        <v>665</v>
      </c>
      <c r="D336" s="3" t="s">
        <v>414</v>
      </c>
      <c r="E336" s="3" t="s">
        <v>1035</v>
      </c>
    </row>
    <row r="337" spans="1:5">
      <c r="A337" s="3" t="s">
        <v>1691</v>
      </c>
      <c r="D337" s="3" t="s">
        <v>415</v>
      </c>
      <c r="E337" s="3" t="s">
        <v>429</v>
      </c>
    </row>
    <row r="338" spans="1:5">
      <c r="A338" s="3" t="s">
        <v>82</v>
      </c>
      <c r="D338" s="3" t="s">
        <v>417</v>
      </c>
      <c r="E338" s="3" t="s">
        <v>1448</v>
      </c>
    </row>
    <row r="339" spans="1:5" ht="29">
      <c r="A339" s="3" t="s">
        <v>1236</v>
      </c>
      <c r="D339" s="3" t="s">
        <v>418</v>
      </c>
      <c r="E339" s="3" t="s">
        <v>1598</v>
      </c>
    </row>
    <row r="340" spans="1:5">
      <c r="A340" s="3" t="s">
        <v>988</v>
      </c>
      <c r="D340" s="3" t="s">
        <v>416</v>
      </c>
      <c r="E340" s="3" t="s">
        <v>830</v>
      </c>
    </row>
    <row r="341" spans="1:5">
      <c r="A341" s="3" t="s">
        <v>395</v>
      </c>
      <c r="D341" s="3" t="s">
        <v>25</v>
      </c>
      <c r="E341" s="3" t="s">
        <v>637</v>
      </c>
    </row>
    <row r="342" spans="1:5">
      <c r="A342" s="3" t="s">
        <v>1237</v>
      </c>
      <c r="D342" s="3" t="s">
        <v>1682</v>
      </c>
      <c r="E342" s="3" t="s">
        <v>543</v>
      </c>
    </row>
    <row r="343" spans="1:5">
      <c r="A343" s="3" t="s">
        <v>1601</v>
      </c>
      <c r="D343" s="3" t="s">
        <v>926</v>
      </c>
      <c r="E343" s="3" t="s">
        <v>1385</v>
      </c>
    </row>
    <row r="344" spans="1:5">
      <c r="A344" s="3" t="s">
        <v>83</v>
      </c>
      <c r="D344" s="3" t="s">
        <v>319</v>
      </c>
      <c r="E344" s="3" t="s">
        <v>942</v>
      </c>
    </row>
    <row r="345" spans="1:5">
      <c r="A345" s="3" t="s">
        <v>444</v>
      </c>
      <c r="D345" s="3" t="s">
        <v>419</v>
      </c>
      <c r="E345" s="3" t="s">
        <v>629</v>
      </c>
    </row>
    <row r="346" spans="1:5">
      <c r="A346" s="3" t="s">
        <v>576</v>
      </c>
      <c r="D346" s="3" t="s">
        <v>1346</v>
      </c>
      <c r="E346" s="3" t="s">
        <v>1181</v>
      </c>
    </row>
    <row r="347" spans="1:5">
      <c r="A347" s="3" t="s">
        <v>198</v>
      </c>
      <c r="D347" s="3" t="s">
        <v>143</v>
      </c>
      <c r="E347" s="3" t="s">
        <v>977</v>
      </c>
    </row>
    <row r="348" spans="1:5">
      <c r="A348" s="3" t="s">
        <v>445</v>
      </c>
      <c r="D348" s="3" t="s">
        <v>420</v>
      </c>
      <c r="E348" s="3" t="s">
        <v>976</v>
      </c>
    </row>
    <row r="349" spans="1:5">
      <c r="A349" s="3" t="s">
        <v>884</v>
      </c>
      <c r="D349" s="3" t="s">
        <v>2</v>
      </c>
      <c r="E349" s="3" t="s">
        <v>158</v>
      </c>
    </row>
    <row r="350" spans="1:5">
      <c r="A350" s="3" t="s">
        <v>33</v>
      </c>
      <c r="D350" s="3" t="s">
        <v>1432</v>
      </c>
      <c r="E350" s="3" t="s">
        <v>984</v>
      </c>
    </row>
    <row r="351" spans="1:5">
      <c r="A351" s="3" t="s">
        <v>954</v>
      </c>
      <c r="D351" s="3" t="s">
        <v>608</v>
      </c>
      <c r="E351" s="3" t="s">
        <v>332</v>
      </c>
    </row>
    <row r="352" spans="1:5">
      <c r="A352" s="3" t="s">
        <v>885</v>
      </c>
      <c r="D352" s="3" t="s">
        <v>738</v>
      </c>
      <c r="E352" s="3" t="s">
        <v>628</v>
      </c>
    </row>
    <row r="353" spans="1:5">
      <c r="A353" s="3" t="s">
        <v>886</v>
      </c>
      <c r="D353" s="3" t="s">
        <v>1664</v>
      </c>
      <c r="E353" s="3" t="s">
        <v>941</v>
      </c>
    </row>
    <row r="354" spans="1:5">
      <c r="A354" s="3" t="s">
        <v>855</v>
      </c>
      <c r="D354" s="3" t="s">
        <v>1663</v>
      </c>
      <c r="E354" s="3" t="s">
        <v>348</v>
      </c>
    </row>
    <row r="355" spans="1:5">
      <c r="A355" s="3" t="s">
        <v>781</v>
      </c>
      <c r="D355" s="3" t="s">
        <v>1665</v>
      </c>
      <c r="E355" s="3" t="s">
        <v>324</v>
      </c>
    </row>
    <row r="356" spans="1:5">
      <c r="A356" s="3" t="s">
        <v>682</v>
      </c>
      <c r="D356" s="3" t="s">
        <v>1666</v>
      </c>
      <c r="E356" s="3" t="s">
        <v>639</v>
      </c>
    </row>
    <row r="357" spans="1:5">
      <c r="A357" s="3" t="s">
        <v>683</v>
      </c>
      <c r="D357" s="3" t="s">
        <v>1667</v>
      </c>
      <c r="E357" s="3" t="s">
        <v>1587</v>
      </c>
    </row>
    <row r="358" spans="1:5">
      <c r="A358" s="3" t="s">
        <v>887</v>
      </c>
      <c r="D358" s="3" t="s">
        <v>1669</v>
      </c>
      <c r="E358" s="3" t="s">
        <v>265</v>
      </c>
    </row>
    <row r="359" spans="1:5">
      <c r="A359" s="3" t="s">
        <v>660</v>
      </c>
      <c r="D359" s="3" t="s">
        <v>1668</v>
      </c>
      <c r="E359" s="3" t="s">
        <v>1599</v>
      </c>
    </row>
    <row r="360" spans="1:5">
      <c r="A360" s="3" t="s">
        <v>1410</v>
      </c>
      <c r="D360" s="3" t="s">
        <v>1670</v>
      </c>
      <c r="E360" s="3" t="s">
        <v>1368</v>
      </c>
    </row>
    <row r="361" spans="1:5">
      <c r="A361" s="3" t="s">
        <v>641</v>
      </c>
      <c r="D361" s="3" t="s">
        <v>1689</v>
      </c>
      <c r="E361" s="3" t="s">
        <v>1588</v>
      </c>
    </row>
    <row r="362" spans="1:5">
      <c r="A362" s="3" t="s">
        <v>34</v>
      </c>
      <c r="D362" s="3" t="s">
        <v>739</v>
      </c>
      <c r="E362" s="3" t="s">
        <v>948</v>
      </c>
    </row>
    <row r="363" spans="1:5">
      <c r="A363" s="3" t="s">
        <v>32</v>
      </c>
      <c r="D363" s="3" t="s">
        <v>733</v>
      </c>
      <c r="E363" s="3" t="s">
        <v>384</v>
      </c>
    </row>
    <row r="364" spans="1:5">
      <c r="A364" s="3" t="s">
        <v>431</v>
      </c>
      <c r="D364" s="3" t="s">
        <v>740</v>
      </c>
      <c r="E364" s="3" t="s">
        <v>1597</v>
      </c>
    </row>
    <row r="365" spans="1:5">
      <c r="A365" s="3" t="s">
        <v>782</v>
      </c>
      <c r="D365" s="3" t="s">
        <v>741</v>
      </c>
      <c r="E365" s="3" t="s">
        <v>258</v>
      </c>
    </row>
    <row r="366" spans="1:5">
      <c r="A366" s="3" t="s">
        <v>783</v>
      </c>
      <c r="D366" s="3" t="s">
        <v>493</v>
      </c>
      <c r="E366" s="3" t="s">
        <v>943</v>
      </c>
    </row>
    <row r="367" spans="1:5">
      <c r="A367" s="3" t="s">
        <v>784</v>
      </c>
      <c r="D367" s="3" t="s">
        <v>819</v>
      </c>
      <c r="E367" s="3" t="s">
        <v>1036</v>
      </c>
    </row>
    <row r="368" spans="1:5">
      <c r="A368" s="3" t="s">
        <v>785</v>
      </c>
      <c r="D368" s="3" t="s">
        <v>1554</v>
      </c>
      <c r="E368" s="3" t="s">
        <v>936</v>
      </c>
    </row>
    <row r="369" spans="1:5">
      <c r="A369" s="3" t="s">
        <v>684</v>
      </c>
      <c r="D369" s="3" t="s">
        <v>1261</v>
      </c>
      <c r="E369" s="3" t="s">
        <v>945</v>
      </c>
    </row>
    <row r="370" spans="1:5">
      <c r="A370" s="3" t="s">
        <v>685</v>
      </c>
      <c r="D370" s="3" t="s">
        <v>137</v>
      </c>
      <c r="E370" s="3" t="s">
        <v>836</v>
      </c>
    </row>
    <row r="371" spans="1:5">
      <c r="A371" s="3" t="s">
        <v>686</v>
      </c>
      <c r="D371" s="3" t="s">
        <v>815</v>
      </c>
    </row>
    <row r="372" spans="1:5">
      <c r="A372" s="3" t="s">
        <v>786</v>
      </c>
      <c r="D372" s="3" t="s">
        <v>714</v>
      </c>
    </row>
    <row r="373" spans="1:5">
      <c r="A373" s="3" t="s">
        <v>687</v>
      </c>
      <c r="D373" s="3" t="s">
        <v>190</v>
      </c>
    </row>
    <row r="374" spans="1:5">
      <c r="A374" s="3" t="s">
        <v>688</v>
      </c>
      <c r="D374" s="3" t="s">
        <v>656</v>
      </c>
    </row>
    <row r="375" spans="1:5">
      <c r="A375" s="3" t="s">
        <v>689</v>
      </c>
      <c r="D375" s="3" t="s">
        <v>1614</v>
      </c>
    </row>
    <row r="376" spans="1:5">
      <c r="A376" s="3" t="s">
        <v>690</v>
      </c>
      <c r="D376" s="3" t="s">
        <v>1555</v>
      </c>
    </row>
    <row r="377" spans="1:5">
      <c r="A377" s="3" t="s">
        <v>787</v>
      </c>
      <c r="D377" s="3" t="s">
        <v>1556</v>
      </c>
    </row>
    <row r="378" spans="1:5">
      <c r="A378" s="3" t="s">
        <v>691</v>
      </c>
      <c r="D378" s="3" t="s">
        <v>748</v>
      </c>
    </row>
    <row r="379" spans="1:5">
      <c r="A379" s="3" t="s">
        <v>692</v>
      </c>
      <c r="D379" s="3" t="s">
        <v>421</v>
      </c>
    </row>
    <row r="380" spans="1:5">
      <c r="A380" s="3" t="s">
        <v>693</v>
      </c>
      <c r="D380" s="3" t="s">
        <v>494</v>
      </c>
    </row>
    <row r="381" spans="1:5">
      <c r="A381" s="3" t="s">
        <v>694</v>
      </c>
      <c r="D381" s="3" t="s">
        <v>495</v>
      </c>
    </row>
    <row r="382" spans="1:5">
      <c r="A382" s="3" t="s">
        <v>788</v>
      </c>
      <c r="D382" s="3" t="s">
        <v>1292</v>
      </c>
    </row>
    <row r="383" spans="1:5">
      <c r="A383" s="3" t="s">
        <v>789</v>
      </c>
      <c r="D383" s="3" t="s">
        <v>138</v>
      </c>
    </row>
    <row r="384" spans="1:5">
      <c r="A384" s="3" t="s">
        <v>790</v>
      </c>
      <c r="D384" s="3" t="s">
        <v>372</v>
      </c>
    </row>
    <row r="385" spans="1:4">
      <c r="A385" s="3" t="s">
        <v>106</v>
      </c>
      <c r="D385" s="3" t="s">
        <v>497</v>
      </c>
    </row>
    <row r="386" spans="1:4">
      <c r="A386" s="3" t="s">
        <v>84</v>
      </c>
      <c r="D386" s="3" t="s">
        <v>816</v>
      </c>
    </row>
    <row r="387" spans="1:4">
      <c r="A387" s="3" t="s">
        <v>695</v>
      </c>
      <c r="D387" s="3" t="s">
        <v>139</v>
      </c>
    </row>
    <row r="388" spans="1:4">
      <c r="A388" s="3" t="s">
        <v>696</v>
      </c>
      <c r="D388" s="3" t="s">
        <v>1284</v>
      </c>
    </row>
    <row r="389" spans="1:4">
      <c r="A389" s="3" t="s">
        <v>227</v>
      </c>
      <c r="D389" s="3" t="s">
        <v>140</v>
      </c>
    </row>
    <row r="390" spans="1:4">
      <c r="A390" s="3" t="s">
        <v>1403</v>
      </c>
      <c r="D390" s="3" t="s">
        <v>916</v>
      </c>
    </row>
    <row r="391" spans="1:4">
      <c r="A391" s="3" t="s">
        <v>553</v>
      </c>
      <c r="D391" s="3" t="s">
        <v>917</v>
      </c>
    </row>
    <row r="392" spans="1:4">
      <c r="A392" s="3" t="s">
        <v>697</v>
      </c>
      <c r="D392" s="3" t="s">
        <v>141</v>
      </c>
    </row>
    <row r="393" spans="1:4">
      <c r="A393" s="3" t="s">
        <v>698</v>
      </c>
      <c r="D393" s="3" t="s">
        <v>320</v>
      </c>
    </row>
    <row r="394" spans="1:4">
      <c r="A394" s="3" t="s">
        <v>1411</v>
      </c>
      <c r="D394" s="3" t="s">
        <v>422</v>
      </c>
    </row>
    <row r="395" spans="1:4">
      <c r="A395" s="3" t="s">
        <v>699</v>
      </c>
      <c r="D395" s="3" t="s">
        <v>373</v>
      </c>
    </row>
    <row r="396" spans="1:4">
      <c r="A396" s="3" t="s">
        <v>446</v>
      </c>
      <c r="D396" s="3" t="s">
        <v>374</v>
      </c>
    </row>
    <row r="397" spans="1:4">
      <c r="A397" s="3" t="s">
        <v>856</v>
      </c>
      <c r="D397" s="3" t="s">
        <v>817</v>
      </c>
    </row>
    <row r="398" spans="1:4">
      <c r="A398" s="3" t="s">
        <v>447</v>
      </c>
      <c r="D398" s="3" t="s">
        <v>1557</v>
      </c>
    </row>
    <row r="399" spans="1:4">
      <c r="A399" s="3" t="s">
        <v>791</v>
      </c>
      <c r="D399" s="3" t="s">
        <v>1285</v>
      </c>
    </row>
    <row r="400" spans="1:4">
      <c r="A400" s="3" t="s">
        <v>700</v>
      </c>
      <c r="D400" s="3" t="s">
        <v>92</v>
      </c>
    </row>
    <row r="401" spans="1:4">
      <c r="A401" s="3" t="s">
        <v>396</v>
      </c>
      <c r="D401" s="3" t="s">
        <v>95</v>
      </c>
    </row>
    <row r="402" spans="1:4">
      <c r="A402" s="3" t="s">
        <v>1238</v>
      </c>
      <c r="D402" s="3" t="s">
        <v>114</v>
      </c>
    </row>
    <row r="403" spans="1:4">
      <c r="A403" s="3" t="s">
        <v>888</v>
      </c>
      <c r="D403" s="3" t="s">
        <v>1744</v>
      </c>
    </row>
    <row r="404" spans="1:4">
      <c r="A404" s="3" t="s">
        <v>642</v>
      </c>
      <c r="D404" s="3" t="s">
        <v>247</v>
      </c>
    </row>
    <row r="405" spans="1:4">
      <c r="A405" s="3" t="s">
        <v>1690</v>
      </c>
      <c r="D405" s="3" t="s">
        <v>820</v>
      </c>
    </row>
    <row r="406" spans="1:4">
      <c r="A406" s="3" t="s">
        <v>661</v>
      </c>
      <c r="D406" s="3" t="s">
        <v>822</v>
      </c>
    </row>
    <row r="407" spans="1:4">
      <c r="A407" s="3" t="s">
        <v>287</v>
      </c>
      <c r="D407" s="3" t="s">
        <v>146</v>
      </c>
    </row>
    <row r="408" spans="1:4">
      <c r="A408" s="3" t="s">
        <v>1191</v>
      </c>
      <c r="D408" s="3" t="s">
        <v>847</v>
      </c>
    </row>
    <row r="409" spans="1:4">
      <c r="A409" s="3" t="s">
        <v>288</v>
      </c>
      <c r="D409" s="3" t="s">
        <v>486</v>
      </c>
    </row>
    <row r="410" spans="1:4">
      <c r="A410" s="3" t="s">
        <v>289</v>
      </c>
      <c r="D410" s="3" t="s">
        <v>498</v>
      </c>
    </row>
    <row r="411" spans="1:4">
      <c r="A411" s="3" t="s">
        <v>290</v>
      </c>
      <c r="D411" s="3" t="s">
        <v>845</v>
      </c>
    </row>
    <row r="412" spans="1:4">
      <c r="A412" s="3" t="s">
        <v>1401</v>
      </c>
      <c r="D412" s="3" t="s">
        <v>492</v>
      </c>
    </row>
    <row r="413" spans="1:4">
      <c r="A413" s="3" t="s">
        <v>448</v>
      </c>
      <c r="D413" s="3" t="s">
        <v>749</v>
      </c>
    </row>
    <row r="414" spans="1:4">
      <c r="A414" s="3" t="s">
        <v>291</v>
      </c>
      <c r="D414" s="3" t="s">
        <v>1386</v>
      </c>
    </row>
    <row r="415" spans="1:4">
      <c r="A415" s="3" t="s">
        <v>889</v>
      </c>
      <c r="D415" s="3" t="s">
        <v>496</v>
      </c>
    </row>
    <row r="416" spans="1:4">
      <c r="A416" s="3" t="s">
        <v>38</v>
      </c>
      <c r="D416" s="3" t="s">
        <v>509</v>
      </c>
    </row>
    <row r="417" spans="1:4">
      <c r="A417" s="3" t="s">
        <v>37</v>
      </c>
      <c r="D417" s="3" t="s">
        <v>500</v>
      </c>
    </row>
    <row r="418" spans="1:4">
      <c r="A418" s="3" t="s">
        <v>85</v>
      </c>
      <c r="D418" s="3" t="s">
        <v>484</v>
      </c>
    </row>
    <row r="419" spans="1:4">
      <c r="A419" s="3" t="s">
        <v>292</v>
      </c>
      <c r="D419" s="3" t="s">
        <v>1384</v>
      </c>
    </row>
    <row r="420" spans="1:4">
      <c r="A420" s="3" t="s">
        <v>1321</v>
      </c>
      <c r="D420" s="3" t="s">
        <v>1696</v>
      </c>
    </row>
    <row r="421" spans="1:4">
      <c r="A421" s="3" t="s">
        <v>1678</v>
      </c>
      <c r="D421" s="3" t="s">
        <v>321</v>
      </c>
    </row>
    <row r="422" spans="1:4">
      <c r="A422" s="3" t="s">
        <v>577</v>
      </c>
      <c r="D422" s="3" t="s">
        <v>1022</v>
      </c>
    </row>
    <row r="423" spans="1:4">
      <c r="A423" s="3" t="s">
        <v>1395</v>
      </c>
      <c r="D423" s="3" t="s">
        <v>611</v>
      </c>
    </row>
    <row r="424" spans="1:4">
      <c r="A424" s="3" t="s">
        <v>1239</v>
      </c>
      <c r="D424" s="3" t="s">
        <v>1119</v>
      </c>
    </row>
    <row r="425" spans="1:4">
      <c r="A425" s="3" t="s">
        <v>578</v>
      </c>
      <c r="D425" s="3" t="s">
        <v>750</v>
      </c>
    </row>
    <row r="426" spans="1:4">
      <c r="A426" s="3" t="s">
        <v>1240</v>
      </c>
      <c r="D426" s="3" t="s">
        <v>1120</v>
      </c>
    </row>
    <row r="427" spans="1:4">
      <c r="A427" s="3" t="s">
        <v>363</v>
      </c>
      <c r="D427" s="3" t="s">
        <v>1121</v>
      </c>
    </row>
    <row r="428" spans="1:4">
      <c r="A428" s="3" t="s">
        <v>1192</v>
      </c>
      <c r="D428" s="3" t="s">
        <v>501</v>
      </c>
    </row>
    <row r="429" spans="1:4">
      <c r="A429" s="3" t="s">
        <v>1418</v>
      </c>
      <c r="D429" s="3" t="s">
        <v>1122</v>
      </c>
    </row>
    <row r="430" spans="1:4">
      <c r="A430" s="3" t="s">
        <v>1414</v>
      </c>
      <c r="D430" s="3" t="s">
        <v>1123</v>
      </c>
    </row>
    <row r="431" spans="1:4">
      <c r="A431" s="3" t="s">
        <v>1415</v>
      </c>
      <c r="D431" s="3" t="s">
        <v>1124</v>
      </c>
    </row>
    <row r="432" spans="1:4">
      <c r="A432" s="3" t="s">
        <v>1416</v>
      </c>
      <c r="D432" s="3" t="s">
        <v>1125</v>
      </c>
    </row>
    <row r="433" spans="1:4">
      <c r="A433" s="3" t="s">
        <v>1419</v>
      </c>
      <c r="D433" s="3" t="s">
        <v>1126</v>
      </c>
    </row>
    <row r="434" spans="1:4">
      <c r="A434" s="3" t="s">
        <v>1417</v>
      </c>
      <c r="D434" s="3" t="s">
        <v>1127</v>
      </c>
    </row>
    <row r="435" spans="1:4">
      <c r="A435" s="3" t="s">
        <v>1391</v>
      </c>
      <c r="D435" s="3" t="s">
        <v>1128</v>
      </c>
    </row>
    <row r="436" spans="1:4">
      <c r="A436" s="3" t="s">
        <v>1241</v>
      </c>
      <c r="D436" s="3" t="s">
        <v>751</v>
      </c>
    </row>
    <row r="437" spans="1:4">
      <c r="A437" s="3" t="s">
        <v>397</v>
      </c>
      <c r="D437" s="3" t="s">
        <v>1129</v>
      </c>
    </row>
    <row r="438" spans="1:4">
      <c r="A438" s="3" t="s">
        <v>398</v>
      </c>
      <c r="D438" s="3" t="s">
        <v>1383</v>
      </c>
    </row>
    <row r="439" spans="1:4">
      <c r="A439" s="3" t="s">
        <v>1400</v>
      </c>
      <c r="D439" s="3" t="s">
        <v>502</v>
      </c>
    </row>
    <row r="440" spans="1:4">
      <c r="A440" s="3" t="s">
        <v>399</v>
      </c>
      <c r="D440" s="3" t="s">
        <v>918</v>
      </c>
    </row>
    <row r="441" spans="1:4">
      <c r="A441" s="3" t="s">
        <v>400</v>
      </c>
      <c r="D441" s="3" t="s">
        <v>612</v>
      </c>
    </row>
    <row r="442" spans="1:4">
      <c r="A442" s="3" t="s">
        <v>401</v>
      </c>
      <c r="D442" s="3" t="s">
        <v>506</v>
      </c>
    </row>
    <row r="443" spans="1:4">
      <c r="A443" s="3" t="s">
        <v>355</v>
      </c>
      <c r="D443" s="3" t="s">
        <v>1376</v>
      </c>
    </row>
    <row r="444" spans="1:4">
      <c r="A444" s="3" t="s">
        <v>14</v>
      </c>
      <c r="D444" s="3" t="s">
        <v>503</v>
      </c>
    </row>
    <row r="445" spans="1:4">
      <c r="A445" s="3" t="s">
        <v>107</v>
      </c>
      <c r="D445" s="3" t="s">
        <v>753</v>
      </c>
    </row>
    <row r="446" spans="1:4">
      <c r="A446" s="3" t="s">
        <v>1200</v>
      </c>
      <c r="D446" s="3" t="s">
        <v>504</v>
      </c>
    </row>
    <row r="447" spans="1:4">
      <c r="A447" s="3" t="s">
        <v>1677</v>
      </c>
      <c r="D447" s="3" t="s">
        <v>871</v>
      </c>
    </row>
    <row r="448" spans="1:4">
      <c r="A448" s="3" t="s">
        <v>356</v>
      </c>
      <c r="D448" s="3" t="s">
        <v>505</v>
      </c>
    </row>
    <row r="449" spans="1:4">
      <c r="A449" s="3" t="s">
        <v>402</v>
      </c>
      <c r="D449" s="3" t="s">
        <v>752</v>
      </c>
    </row>
    <row r="450" spans="1:4">
      <c r="A450" s="3" t="s">
        <v>1337</v>
      </c>
      <c r="D450" s="3" t="s">
        <v>864</v>
      </c>
    </row>
    <row r="451" spans="1:4">
      <c r="A451" s="3" t="s">
        <v>403</v>
      </c>
      <c r="D451" s="3" t="s">
        <v>1130</v>
      </c>
    </row>
    <row r="452" spans="1:4">
      <c r="A452" s="3" t="s">
        <v>1701</v>
      </c>
      <c r="D452" s="3" t="s">
        <v>742</v>
      </c>
    </row>
    <row r="453" spans="1:4">
      <c r="A453" s="3" t="s">
        <v>2</v>
      </c>
      <c r="D453" s="3" t="s">
        <v>1367</v>
      </c>
    </row>
    <row r="454" spans="1:4">
      <c r="A454" s="3" t="s">
        <v>951</v>
      </c>
      <c r="D454" s="3" t="s">
        <v>1365</v>
      </c>
    </row>
    <row r="455" spans="1:4">
      <c r="A455" s="3" t="s">
        <v>579</v>
      </c>
      <c r="D455" s="3" t="s">
        <v>1366</v>
      </c>
    </row>
    <row r="456" spans="1:4">
      <c r="A456" s="3" t="s">
        <v>1242</v>
      </c>
      <c r="D456" s="3" t="s">
        <v>147</v>
      </c>
    </row>
    <row r="457" spans="1:4" ht="29">
      <c r="A457" s="3" t="s">
        <v>1412</v>
      </c>
      <c r="D457" s="3" t="s">
        <v>1558</v>
      </c>
    </row>
    <row r="458" spans="1:4">
      <c r="A458" s="3" t="s">
        <v>1640</v>
      </c>
      <c r="D458" s="3" t="s">
        <v>743</v>
      </c>
    </row>
    <row r="459" spans="1:4">
      <c r="A459" s="3" t="s">
        <v>1639</v>
      </c>
      <c r="D459" s="3" t="s">
        <v>148</v>
      </c>
    </row>
    <row r="460" spans="1:4">
      <c r="A460" s="3" t="s">
        <v>1641</v>
      </c>
      <c r="D460" s="3" t="s">
        <v>966</v>
      </c>
    </row>
    <row r="461" spans="1:4">
      <c r="A461" s="3" t="s">
        <v>1642</v>
      </c>
      <c r="D461" s="3" t="s">
        <v>967</v>
      </c>
    </row>
    <row r="462" spans="1:4">
      <c r="A462" s="3" t="s">
        <v>1643</v>
      </c>
      <c r="D462" s="3" t="s">
        <v>964</v>
      </c>
    </row>
    <row r="463" spans="1:4">
      <c r="A463" s="3" t="s">
        <v>1645</v>
      </c>
      <c r="D463" s="3" t="s">
        <v>965</v>
      </c>
    </row>
    <row r="464" spans="1:4">
      <c r="A464" s="3" t="s">
        <v>1644</v>
      </c>
      <c r="D464" s="3" t="s">
        <v>657</v>
      </c>
    </row>
    <row r="465" spans="1:4">
      <c r="A465" s="3" t="s">
        <v>1646</v>
      </c>
      <c r="D465" s="3" t="s">
        <v>557</v>
      </c>
    </row>
    <row r="466" spans="1:4">
      <c r="A466" s="3" t="s">
        <v>449</v>
      </c>
      <c r="D466" s="3" t="s">
        <v>1685</v>
      </c>
    </row>
    <row r="467" spans="1:4">
      <c r="A467" s="3" t="s">
        <v>268</v>
      </c>
      <c r="D467" s="3" t="s">
        <v>1559</v>
      </c>
    </row>
    <row r="468" spans="1:4">
      <c r="A468" s="3" t="s">
        <v>267</v>
      </c>
      <c r="D468" s="3" t="s">
        <v>1348</v>
      </c>
    </row>
    <row r="469" spans="1:4">
      <c r="A469" s="3" t="s">
        <v>266</v>
      </c>
      <c r="D469" s="3" t="s">
        <v>1349</v>
      </c>
    </row>
    <row r="470" spans="1:4">
      <c r="A470" s="3" t="s">
        <v>270</v>
      </c>
      <c r="D470" s="3" t="s">
        <v>507</v>
      </c>
    </row>
    <row r="471" spans="1:4">
      <c r="A471" s="3" t="s">
        <v>792</v>
      </c>
      <c r="D471" s="3" t="s">
        <v>744</v>
      </c>
    </row>
    <row r="472" spans="1:4">
      <c r="A472" s="3" t="s">
        <v>269</v>
      </c>
      <c r="D472" s="3" t="s">
        <v>745</v>
      </c>
    </row>
    <row r="473" spans="1:4">
      <c r="A473" s="3" t="s">
        <v>271</v>
      </c>
      <c r="D473" s="3" t="s">
        <v>26</v>
      </c>
    </row>
    <row r="474" spans="1:4">
      <c r="A474" s="3" t="s">
        <v>86</v>
      </c>
      <c r="D474" s="3" t="s">
        <v>207</v>
      </c>
    </row>
    <row r="475" spans="1:4">
      <c r="A475" s="3" t="s">
        <v>180</v>
      </c>
      <c r="D475" s="3" t="s">
        <v>968</v>
      </c>
    </row>
    <row r="476" spans="1:4">
      <c r="A476" s="3" t="s">
        <v>701</v>
      </c>
      <c r="D476" s="3" t="s">
        <v>1500</v>
      </c>
    </row>
    <row r="477" spans="1:4">
      <c r="A477" s="3" t="s">
        <v>647</v>
      </c>
      <c r="D477" s="3" t="s">
        <v>746</v>
      </c>
    </row>
    <row r="478" spans="1:4">
      <c r="A478" s="3" t="s">
        <v>702</v>
      </c>
      <c r="D478" s="3" t="s">
        <v>1745</v>
      </c>
    </row>
    <row r="479" spans="1:4">
      <c r="A479" s="3" t="s">
        <v>1399</v>
      </c>
      <c r="D479" s="3" t="s">
        <v>846</v>
      </c>
    </row>
    <row r="480" spans="1:4">
      <c r="A480" s="3" t="s">
        <v>404</v>
      </c>
      <c r="D480" s="3" t="s">
        <v>16</v>
      </c>
    </row>
    <row r="481" spans="1:4">
      <c r="A481" s="3" t="s">
        <v>108</v>
      </c>
      <c r="D481" s="3" t="s">
        <v>1309</v>
      </c>
    </row>
    <row r="482" spans="1:4">
      <c r="A482" s="3" t="s">
        <v>450</v>
      </c>
      <c r="D482" s="3" t="s">
        <v>969</v>
      </c>
    </row>
    <row r="483" spans="1:4">
      <c r="A483" s="3" t="s">
        <v>451</v>
      </c>
      <c r="D483" s="3" t="s">
        <v>658</v>
      </c>
    </row>
    <row r="484" spans="1:4">
      <c r="A484" s="3" t="s">
        <v>1388</v>
      </c>
      <c r="D484" s="3" t="s">
        <v>754</v>
      </c>
    </row>
    <row r="485" spans="1:4">
      <c r="A485" s="3" t="s">
        <v>87</v>
      </c>
      <c r="D485" s="3" t="s">
        <v>970</v>
      </c>
    </row>
    <row r="486" spans="1:4">
      <c r="A486" s="3" t="s">
        <v>766</v>
      </c>
      <c r="D486" s="3" t="s">
        <v>759</v>
      </c>
    </row>
    <row r="487" spans="1:4">
      <c r="A487" s="3" t="s">
        <v>364</v>
      </c>
      <c r="D487" s="3" t="s">
        <v>1180</v>
      </c>
    </row>
    <row r="488" spans="1:4">
      <c r="A488" s="3" t="s">
        <v>452</v>
      </c>
      <c r="D488" s="3" t="s">
        <v>1736</v>
      </c>
    </row>
    <row r="489" spans="1:4">
      <c r="A489" s="3" t="s">
        <v>88</v>
      </c>
      <c r="D489" s="3" t="s">
        <v>1737</v>
      </c>
    </row>
    <row r="490" spans="1:4">
      <c r="A490" s="3" t="s">
        <v>293</v>
      </c>
      <c r="D490" s="3" t="s">
        <v>206</v>
      </c>
    </row>
    <row r="491" spans="1:4">
      <c r="A491" s="3" t="s">
        <v>357</v>
      </c>
      <c r="D491" s="3" t="s">
        <v>149</v>
      </c>
    </row>
    <row r="492" spans="1:4">
      <c r="A492" s="3" t="s">
        <v>89</v>
      </c>
      <c r="D492" s="3" t="s">
        <v>150</v>
      </c>
    </row>
    <row r="493" spans="1:4">
      <c r="A493" s="3" t="s">
        <v>890</v>
      </c>
      <c r="D493" s="3" t="s">
        <v>1560</v>
      </c>
    </row>
    <row r="494" spans="1:4">
      <c r="A494" s="3" t="s">
        <v>891</v>
      </c>
      <c r="D494" s="3" t="s">
        <v>1561</v>
      </c>
    </row>
    <row r="495" spans="1:4">
      <c r="A495" s="3" t="s">
        <v>294</v>
      </c>
      <c r="D495" s="3" t="s">
        <v>1562</v>
      </c>
    </row>
    <row r="496" spans="1:4">
      <c r="A496" s="3" t="s">
        <v>90</v>
      </c>
      <c r="D496" s="3" t="s">
        <v>1563</v>
      </c>
    </row>
    <row r="497" spans="1:4">
      <c r="A497" s="3" t="s">
        <v>405</v>
      </c>
      <c r="D497" s="3" t="s">
        <v>1564</v>
      </c>
    </row>
    <row r="498" spans="1:4">
      <c r="A498" s="3" t="s">
        <v>1243</v>
      </c>
      <c r="D498" s="3" t="s">
        <v>1565</v>
      </c>
    </row>
    <row r="499" spans="1:4">
      <c r="A499" s="3" t="s">
        <v>365</v>
      </c>
      <c r="D499" s="3" t="s">
        <v>1275</v>
      </c>
    </row>
    <row r="500" spans="1:4">
      <c r="A500" s="3" t="s">
        <v>366</v>
      </c>
      <c r="D500" s="3" t="s">
        <v>1276</v>
      </c>
    </row>
    <row r="501" spans="1:4">
      <c r="A501" s="3" t="s">
        <v>387</v>
      </c>
      <c r="D501" s="3" t="s">
        <v>508</v>
      </c>
    </row>
    <row r="502" spans="1:4">
      <c r="A502" s="3" t="s">
        <v>91</v>
      </c>
      <c r="D502" s="3" t="s">
        <v>824</v>
      </c>
    </row>
    <row r="503" spans="1:4">
      <c r="A503" s="3" t="s">
        <v>109</v>
      </c>
      <c r="D503" s="3" t="s">
        <v>1315</v>
      </c>
    </row>
    <row r="504" spans="1:4">
      <c r="A504" s="3" t="s">
        <v>92</v>
      </c>
      <c r="D504" s="3" t="s">
        <v>1746</v>
      </c>
    </row>
    <row r="505" spans="1:4">
      <c r="A505" s="3" t="s">
        <v>1244</v>
      </c>
      <c r="D505" s="3" t="s">
        <v>755</v>
      </c>
    </row>
    <row r="506" spans="1:4">
      <c r="A506" s="3" t="s">
        <v>110</v>
      </c>
      <c r="D506" s="3" t="s">
        <v>1610</v>
      </c>
    </row>
    <row r="507" spans="1:4">
      <c r="A507" s="3" t="s">
        <v>111</v>
      </c>
      <c r="D507" s="3" t="s">
        <v>659</v>
      </c>
    </row>
    <row r="508" spans="1:4">
      <c r="A508" s="3" t="s">
        <v>1201</v>
      </c>
      <c r="D508" s="3" t="s">
        <v>1350</v>
      </c>
    </row>
    <row r="509" spans="1:4">
      <c r="A509" s="3" t="s">
        <v>1277</v>
      </c>
      <c r="D509" s="3" t="s">
        <v>613</v>
      </c>
    </row>
    <row r="510" spans="1:4">
      <c r="A510" s="3" t="s">
        <v>1278</v>
      </c>
      <c r="D510" s="3" t="s">
        <v>375</v>
      </c>
    </row>
    <row r="511" spans="1:4">
      <c r="A511" s="3" t="s">
        <v>1282</v>
      </c>
      <c r="D511" s="3" t="s">
        <v>983</v>
      </c>
    </row>
    <row r="512" spans="1:4">
      <c r="A512" s="3" t="s">
        <v>1279</v>
      </c>
      <c r="D512" s="3" t="s">
        <v>376</v>
      </c>
    </row>
    <row r="513" spans="1:4">
      <c r="A513" s="3" t="s">
        <v>93</v>
      </c>
      <c r="D513" s="3" t="s">
        <v>308</v>
      </c>
    </row>
    <row r="514" spans="1:4">
      <c r="A514" s="3" t="s">
        <v>1283</v>
      </c>
      <c r="D514" s="3" t="s">
        <v>1021</v>
      </c>
    </row>
    <row r="515" spans="1:4">
      <c r="A515" s="3" t="s">
        <v>94</v>
      </c>
      <c r="D515" s="3" t="s">
        <v>1023</v>
      </c>
    </row>
    <row r="516" spans="1:4">
      <c r="A516" s="3" t="s">
        <v>95</v>
      </c>
      <c r="D516" s="3" t="s">
        <v>583</v>
      </c>
    </row>
    <row r="517" spans="1:4">
      <c r="A517" s="3" t="s">
        <v>228</v>
      </c>
      <c r="D517" s="3" t="s">
        <v>1566</v>
      </c>
    </row>
    <row r="518" spans="1:4">
      <c r="A518" s="3" t="s">
        <v>1404</v>
      </c>
      <c r="D518" s="3" t="s">
        <v>406</v>
      </c>
    </row>
    <row r="519" spans="1:4">
      <c r="A519" s="3" t="s">
        <v>793</v>
      </c>
      <c r="D519" s="3" t="s">
        <v>919</v>
      </c>
    </row>
    <row r="520" spans="1:4">
      <c r="A520" s="3" t="s">
        <v>1695</v>
      </c>
      <c r="D520" s="3" t="s">
        <v>510</v>
      </c>
    </row>
    <row r="521" spans="1:4">
      <c r="A521" s="3" t="s">
        <v>794</v>
      </c>
      <c r="D521" s="3" t="s">
        <v>511</v>
      </c>
    </row>
    <row r="522" spans="1:4">
      <c r="A522" s="3" t="s">
        <v>795</v>
      </c>
      <c r="D522" s="3" t="s">
        <v>614</v>
      </c>
    </row>
    <row r="523" spans="1:4">
      <c r="A523" s="3" t="s">
        <v>96</v>
      </c>
      <c r="D523" s="3" t="s">
        <v>756</v>
      </c>
    </row>
    <row r="524" spans="1:4">
      <c r="A524" s="3" t="s">
        <v>453</v>
      </c>
      <c r="D524" s="3" t="s">
        <v>615</v>
      </c>
    </row>
    <row r="525" spans="1:4">
      <c r="A525" s="3" t="s">
        <v>454</v>
      </c>
      <c r="D525" s="3" t="s">
        <v>1024</v>
      </c>
    </row>
    <row r="526" spans="1:4">
      <c r="A526" s="3" t="s">
        <v>1387</v>
      </c>
      <c r="D526" s="3" t="s">
        <v>1436</v>
      </c>
    </row>
    <row r="527" spans="1:4">
      <c r="A527" s="3" t="s">
        <v>455</v>
      </c>
      <c r="D527" s="3" t="s">
        <v>920</v>
      </c>
    </row>
    <row r="528" spans="1:4">
      <c r="A528" s="3" t="s">
        <v>358</v>
      </c>
      <c r="D528" s="3" t="s">
        <v>1260</v>
      </c>
    </row>
    <row r="529" spans="1:4">
      <c r="A529" s="3" t="s">
        <v>295</v>
      </c>
      <c r="D529" s="3" t="s">
        <v>921</v>
      </c>
    </row>
    <row r="530" spans="1:4">
      <c r="A530" s="3" t="s">
        <v>1007</v>
      </c>
      <c r="D530" s="3" t="s">
        <v>1025</v>
      </c>
    </row>
    <row r="531" spans="1:4">
      <c r="A531" s="3" t="s">
        <v>580</v>
      </c>
      <c r="D531" s="3" t="s">
        <v>1131</v>
      </c>
    </row>
    <row r="532" spans="1:4">
      <c r="A532" s="3" t="s">
        <v>1245</v>
      </c>
      <c r="D532" s="3" t="s">
        <v>1118</v>
      </c>
    </row>
    <row r="533" spans="1:4">
      <c r="A533" s="3" t="s">
        <v>1070</v>
      </c>
      <c r="D533" s="3" t="s">
        <v>1132</v>
      </c>
    </row>
    <row r="534" spans="1:4">
      <c r="A534" s="3" t="s">
        <v>703</v>
      </c>
      <c r="D534" s="3" t="s">
        <v>922</v>
      </c>
    </row>
    <row r="535" spans="1:4">
      <c r="A535" s="3" t="s">
        <v>1071</v>
      </c>
      <c r="D535" s="3" t="s">
        <v>923</v>
      </c>
    </row>
    <row r="536" spans="1:4">
      <c r="A536" s="3" t="s">
        <v>1072</v>
      </c>
      <c r="D536" s="3" t="s">
        <v>924</v>
      </c>
    </row>
    <row r="537" spans="1:4">
      <c r="A537" s="3" t="s">
        <v>456</v>
      </c>
      <c r="D537" s="3" t="s">
        <v>925</v>
      </c>
    </row>
    <row r="538" spans="1:4">
      <c r="A538" s="3" t="s">
        <v>1073</v>
      </c>
      <c r="D538" s="3" t="s">
        <v>191</v>
      </c>
    </row>
    <row r="539" spans="1:4">
      <c r="A539" s="3" t="s">
        <v>1177</v>
      </c>
      <c r="D539" s="3" t="s">
        <v>1567</v>
      </c>
    </row>
    <row r="540" spans="1:4">
      <c r="A540" s="3" t="s">
        <v>1074</v>
      </c>
      <c r="D540" s="3" t="s">
        <v>144</v>
      </c>
    </row>
    <row r="541" spans="1:4">
      <c r="A541" s="3" t="s">
        <v>1075</v>
      </c>
      <c r="D541" s="3" t="s">
        <v>1747</v>
      </c>
    </row>
    <row r="542" spans="1:4">
      <c r="A542" s="3" t="s">
        <v>1076</v>
      </c>
      <c r="D542" s="3" t="s">
        <v>1683</v>
      </c>
    </row>
    <row r="543" spans="1:4">
      <c r="A543" s="3" t="s">
        <v>1077</v>
      </c>
      <c r="D543" s="3" t="s">
        <v>818</v>
      </c>
    </row>
    <row r="544" spans="1:4">
      <c r="A544" s="3" t="s">
        <v>1078</v>
      </c>
      <c r="D544" s="3" t="s">
        <v>747</v>
      </c>
    </row>
    <row r="545" spans="1:4">
      <c r="A545" s="3" t="s">
        <v>1079</v>
      </c>
      <c r="D545" s="3" t="s">
        <v>248</v>
      </c>
    </row>
    <row r="546" spans="1:4">
      <c r="A546" s="3" t="s">
        <v>704</v>
      </c>
      <c r="D546" s="3" t="s">
        <v>249</v>
      </c>
    </row>
    <row r="547" spans="1:4">
      <c r="A547" s="3" t="s">
        <v>1080</v>
      </c>
      <c r="D547" s="3" t="s">
        <v>250</v>
      </c>
    </row>
    <row r="548" spans="1:4">
      <c r="A548" s="3" t="s">
        <v>457</v>
      </c>
      <c r="D548" s="3" t="s">
        <v>251</v>
      </c>
    </row>
    <row r="549" spans="1:4">
      <c r="A549" s="3" t="s">
        <v>857</v>
      </c>
      <c r="D549" s="3" t="s">
        <v>252</v>
      </c>
    </row>
    <row r="550" spans="1:4">
      <c r="A550" s="3" t="s">
        <v>892</v>
      </c>
      <c r="D550" s="3" t="s">
        <v>253</v>
      </c>
    </row>
    <row r="551" spans="1:4">
      <c r="A551" s="3" t="s">
        <v>581</v>
      </c>
      <c r="D551" s="3" t="s">
        <v>757</v>
      </c>
    </row>
    <row r="552" spans="1:4">
      <c r="A552" s="3" t="s">
        <v>705</v>
      </c>
      <c r="D552" s="3" t="s">
        <v>758</v>
      </c>
    </row>
    <row r="553" spans="1:4">
      <c r="A553" s="3" t="s">
        <v>458</v>
      </c>
      <c r="D553" s="3" t="s">
        <v>727</v>
      </c>
    </row>
    <row r="554" spans="1:4">
      <c r="A554" s="3" t="s">
        <v>706</v>
      </c>
      <c r="D554" s="3" t="s">
        <v>235</v>
      </c>
    </row>
    <row r="555" spans="1:4">
      <c r="A555" s="3" t="s">
        <v>459</v>
      </c>
      <c r="D555" s="3" t="s">
        <v>1738</v>
      </c>
    </row>
    <row r="556" spans="1:4">
      <c r="A556" s="3" t="s">
        <v>460</v>
      </c>
      <c r="D556" s="3" t="s">
        <v>556</v>
      </c>
    </row>
    <row r="557" spans="1:4">
      <c r="A557" s="3" t="s">
        <v>199</v>
      </c>
      <c r="D557" s="3" t="s">
        <v>1568</v>
      </c>
    </row>
    <row r="558" spans="1:4">
      <c r="A558" s="3" t="s">
        <v>1081</v>
      </c>
      <c r="D558" s="3" t="s">
        <v>323</v>
      </c>
    </row>
    <row r="559" spans="1:4">
      <c r="A559" s="3" t="s">
        <v>767</v>
      </c>
      <c r="D559" s="3" t="s">
        <v>324</v>
      </c>
    </row>
    <row r="560" spans="1:4">
      <c r="A560" s="3" t="s">
        <v>768</v>
      </c>
      <c r="D560" s="3" t="s">
        <v>616</v>
      </c>
    </row>
    <row r="561" spans="1:4">
      <c r="A561" s="3" t="s">
        <v>640</v>
      </c>
      <c r="D561" s="3" t="s">
        <v>1484</v>
      </c>
    </row>
    <row r="562" spans="1:4">
      <c r="A562" s="3" t="s">
        <v>296</v>
      </c>
      <c r="D562" s="3" t="s">
        <v>254</v>
      </c>
    </row>
    <row r="563" spans="1:4">
      <c r="A563" s="3" t="s">
        <v>796</v>
      </c>
      <c r="D563" s="3" t="s">
        <v>1426</v>
      </c>
    </row>
    <row r="564" spans="1:4">
      <c r="A564" s="3" t="s">
        <v>297</v>
      </c>
      <c r="D564" s="3" t="s">
        <v>1351</v>
      </c>
    </row>
    <row r="565" spans="1:4">
      <c r="A565" s="3" t="s">
        <v>298</v>
      </c>
      <c r="D565" s="3" t="s">
        <v>1569</v>
      </c>
    </row>
    <row r="566" spans="1:4">
      <c r="A566" s="3" t="s">
        <v>1361</v>
      </c>
      <c r="D566" s="3" t="s">
        <v>101</v>
      </c>
    </row>
    <row r="567" spans="1:4">
      <c r="A567" s="3" t="s">
        <v>1362</v>
      </c>
      <c r="D567" s="3" t="s">
        <v>927</v>
      </c>
    </row>
    <row r="568" spans="1:4">
      <c r="A568" s="3" t="s">
        <v>97</v>
      </c>
      <c r="D568" s="3" t="s">
        <v>1454</v>
      </c>
    </row>
    <row r="569" spans="1:4">
      <c r="A569" s="3" t="s">
        <v>545</v>
      </c>
    </row>
    <row r="570" spans="1:4">
      <c r="A570" s="3" t="s">
        <v>98</v>
      </c>
    </row>
    <row r="571" spans="1:4">
      <c r="A571" s="3" t="s">
        <v>955</v>
      </c>
    </row>
    <row r="572" spans="1:4">
      <c r="A572" s="3" t="s">
        <v>648</v>
      </c>
    </row>
    <row r="573" spans="1:4">
      <c r="A573" s="3" t="s">
        <v>956</v>
      </c>
    </row>
    <row r="574" spans="1:4">
      <c r="A574" s="3" t="s">
        <v>957</v>
      </c>
    </row>
    <row r="575" spans="1:4">
      <c r="A575" s="3" t="s">
        <v>1702</v>
      </c>
    </row>
    <row r="576" spans="1:4">
      <c r="A576" s="3" t="s">
        <v>769</v>
      </c>
    </row>
    <row r="577" spans="1:1">
      <c r="A577" s="3" t="s">
        <v>1679</v>
      </c>
    </row>
    <row r="578" spans="1:1">
      <c r="A578" s="3" t="s">
        <v>1338</v>
      </c>
    </row>
    <row r="579" spans="1:1">
      <c r="A579" s="3" t="s">
        <v>1339</v>
      </c>
    </row>
    <row r="580" spans="1:1">
      <c r="A580" s="3" t="s">
        <v>461</v>
      </c>
    </row>
    <row r="581" spans="1:1">
      <c r="A581" s="3" t="s">
        <v>15</v>
      </c>
    </row>
    <row r="582" spans="1:1">
      <c r="A582" s="3" t="s">
        <v>200</v>
      </c>
    </row>
    <row r="583" spans="1:1">
      <c r="A583" s="3" t="s">
        <v>958</v>
      </c>
    </row>
    <row r="584" spans="1:1">
      <c r="A584" s="3" t="s">
        <v>1490</v>
      </c>
    </row>
    <row r="585" spans="1:1">
      <c r="A585" s="3" t="s">
        <v>1742</v>
      </c>
    </row>
    <row r="586" spans="1:1">
      <c r="A586" s="3" t="s">
        <v>16</v>
      </c>
    </row>
    <row r="587" spans="1:1">
      <c r="A587" s="3" t="s">
        <v>1304</v>
      </c>
    </row>
    <row r="588" spans="1:1">
      <c r="A588" s="3" t="s">
        <v>959</v>
      </c>
    </row>
    <row r="589" spans="1:1">
      <c r="A589" s="3" t="s">
        <v>649</v>
      </c>
    </row>
    <row r="590" spans="1:1">
      <c r="A590" s="3" t="s">
        <v>707</v>
      </c>
    </row>
    <row r="591" spans="1:1">
      <c r="A591" s="3" t="s">
        <v>797</v>
      </c>
    </row>
    <row r="592" spans="1:1">
      <c r="A592" s="3" t="s">
        <v>960</v>
      </c>
    </row>
    <row r="593" spans="1:1">
      <c r="A593" s="3" t="s">
        <v>1082</v>
      </c>
    </row>
    <row r="594" spans="1:1">
      <c r="A594" s="3" t="s">
        <v>708</v>
      </c>
    </row>
    <row r="595" spans="1:1">
      <c r="A595" s="3" t="s">
        <v>1178</v>
      </c>
    </row>
    <row r="596" spans="1:1">
      <c r="A596" s="3" t="s">
        <v>1734</v>
      </c>
    </row>
    <row r="597" spans="1:1">
      <c r="A597" s="3" t="s">
        <v>1735</v>
      </c>
    </row>
    <row r="598" spans="1:1">
      <c r="A598" s="3" t="s">
        <v>1703</v>
      </c>
    </row>
    <row r="599" spans="1:1">
      <c r="A599" s="3" t="s">
        <v>149</v>
      </c>
    </row>
    <row r="600" spans="1:1">
      <c r="A600" s="3" t="s">
        <v>99</v>
      </c>
    </row>
    <row r="601" spans="1:1">
      <c r="A601" s="3" t="s">
        <v>100</v>
      </c>
    </row>
    <row r="602" spans="1:1">
      <c r="A602" s="3" t="s">
        <v>709</v>
      </c>
    </row>
    <row r="603" spans="1:1">
      <c r="A603" s="3" t="s">
        <v>546</v>
      </c>
    </row>
    <row r="604" spans="1:1">
      <c r="A604" s="3" t="s">
        <v>547</v>
      </c>
    </row>
    <row r="605" spans="1:1">
      <c r="A605" s="3" t="s">
        <v>548</v>
      </c>
    </row>
    <row r="606" spans="1:1">
      <c r="A606" s="3" t="s">
        <v>549</v>
      </c>
    </row>
    <row r="607" spans="1:1">
      <c r="A607" s="3" t="s">
        <v>1281</v>
      </c>
    </row>
    <row r="608" spans="1:1">
      <c r="A608" s="3" t="s">
        <v>1273</v>
      </c>
    </row>
    <row r="609" spans="1:1">
      <c r="A609" s="3" t="s">
        <v>1274</v>
      </c>
    </row>
    <row r="610" spans="1:1">
      <c r="A610" s="3" t="s">
        <v>462</v>
      </c>
    </row>
    <row r="611" spans="1:1">
      <c r="A611" s="3" t="s">
        <v>798</v>
      </c>
    </row>
    <row r="612" spans="1:1">
      <c r="A612" s="3" t="s">
        <v>1314</v>
      </c>
    </row>
    <row r="613" spans="1:1">
      <c r="A613" s="3" t="s">
        <v>1743</v>
      </c>
    </row>
    <row r="614" spans="1:1">
      <c r="A614" s="3" t="s">
        <v>893</v>
      </c>
    </row>
    <row r="615" spans="1:1">
      <c r="A615" s="3" t="s">
        <v>650</v>
      </c>
    </row>
    <row r="616" spans="1:1">
      <c r="A616" s="3" t="s">
        <v>463</v>
      </c>
    </row>
    <row r="617" spans="1:1">
      <c r="A617" s="3" t="s">
        <v>1340</v>
      </c>
    </row>
    <row r="618" spans="1:1">
      <c r="A618" s="3" t="s">
        <v>582</v>
      </c>
    </row>
    <row r="619" spans="1:1">
      <c r="A619" s="3" t="s">
        <v>1246</v>
      </c>
    </row>
    <row r="620" spans="1:1">
      <c r="A620" s="3" t="s">
        <v>299</v>
      </c>
    </row>
    <row r="621" spans="1:1">
      <c r="A621" s="3" t="s">
        <v>978</v>
      </c>
    </row>
    <row r="622" spans="1:1">
      <c r="A622" s="3" t="s">
        <v>979</v>
      </c>
    </row>
    <row r="623" spans="1:1">
      <c r="A623" s="3" t="s">
        <v>367</v>
      </c>
    </row>
    <row r="624" spans="1:1">
      <c r="A624" s="3" t="s">
        <v>308</v>
      </c>
    </row>
    <row r="625" spans="1:1">
      <c r="A625" s="3" t="s">
        <v>1489</v>
      </c>
    </row>
    <row r="626" spans="1:1">
      <c r="A626" s="3" t="s">
        <v>1389</v>
      </c>
    </row>
    <row r="627" spans="1:1">
      <c r="A627" s="3" t="s">
        <v>1008</v>
      </c>
    </row>
    <row r="628" spans="1:1">
      <c r="A628" s="3" t="s">
        <v>583</v>
      </c>
    </row>
    <row r="629" spans="1:1">
      <c r="A629" s="3" t="s">
        <v>406</v>
      </c>
    </row>
    <row r="630" spans="1:1">
      <c r="A630" s="3" t="s">
        <v>894</v>
      </c>
    </row>
    <row r="631" spans="1:1">
      <c r="A631" s="3" t="s">
        <v>464</v>
      </c>
    </row>
    <row r="632" spans="1:1">
      <c r="A632" s="3" t="s">
        <v>465</v>
      </c>
    </row>
    <row r="633" spans="1:1">
      <c r="A633" s="3" t="s">
        <v>584</v>
      </c>
    </row>
    <row r="634" spans="1:1">
      <c r="A634" s="3" t="s">
        <v>1247</v>
      </c>
    </row>
    <row r="635" spans="1:1">
      <c r="A635" s="3" t="s">
        <v>710</v>
      </c>
    </row>
    <row r="636" spans="1:1">
      <c r="A636" s="3" t="s">
        <v>585</v>
      </c>
    </row>
    <row r="637" spans="1:1">
      <c r="A637" s="3" t="s">
        <v>1248</v>
      </c>
    </row>
    <row r="638" spans="1:1">
      <c r="A638" s="3" t="s">
        <v>1009</v>
      </c>
    </row>
    <row r="639" spans="1:1">
      <c r="A639" s="3" t="s">
        <v>1420</v>
      </c>
    </row>
    <row r="640" spans="1:1">
      <c r="A640" s="3" t="s">
        <v>895</v>
      </c>
    </row>
    <row r="641" spans="1:1">
      <c r="A641" s="3" t="s">
        <v>39</v>
      </c>
    </row>
    <row r="642" spans="1:1">
      <c r="A642" s="3" t="s">
        <v>896</v>
      </c>
    </row>
    <row r="643" spans="1:1">
      <c r="A643" s="3" t="s">
        <v>1010</v>
      </c>
    </row>
    <row r="644" spans="1:1">
      <c r="A644" s="3" t="s">
        <v>1083</v>
      </c>
    </row>
    <row r="645" spans="1:1">
      <c r="A645" s="3" t="s">
        <v>1084</v>
      </c>
    </row>
    <row r="646" spans="1:1">
      <c r="A646" s="3" t="s">
        <v>897</v>
      </c>
    </row>
    <row r="647" spans="1:1">
      <c r="A647" s="3" t="s">
        <v>898</v>
      </c>
    </row>
    <row r="648" spans="1:1">
      <c r="A648" s="3" t="s">
        <v>899</v>
      </c>
    </row>
    <row r="649" spans="1:1">
      <c r="A649" s="3" t="s">
        <v>900</v>
      </c>
    </row>
    <row r="650" spans="1:1">
      <c r="A650" s="3" t="s">
        <v>901</v>
      </c>
    </row>
    <row r="651" spans="1:1">
      <c r="A651" s="3" t="s">
        <v>181</v>
      </c>
    </row>
    <row r="652" spans="1:1">
      <c r="A652" s="3" t="s">
        <v>1196</v>
      </c>
    </row>
    <row r="653" spans="1:1">
      <c r="A653" s="3" t="s">
        <v>144</v>
      </c>
    </row>
    <row r="654" spans="1:1">
      <c r="A654" s="3" t="s">
        <v>586</v>
      </c>
    </row>
    <row r="655" spans="1:1">
      <c r="A655" s="3" t="s">
        <v>229</v>
      </c>
    </row>
    <row r="656" spans="1:1">
      <c r="A656" s="3" t="s">
        <v>230</v>
      </c>
    </row>
    <row r="657" spans="1:1">
      <c r="A657" s="3" t="s">
        <v>231</v>
      </c>
    </row>
    <row r="658" spans="1:1">
      <c r="A658" s="3" t="s">
        <v>232</v>
      </c>
    </row>
    <row r="659" spans="1:1">
      <c r="A659" s="3" t="s">
        <v>233</v>
      </c>
    </row>
    <row r="660" spans="1:1">
      <c r="A660" s="3" t="s">
        <v>234</v>
      </c>
    </row>
    <row r="661" spans="1:1">
      <c r="A661" s="3" t="s">
        <v>711</v>
      </c>
    </row>
    <row r="662" spans="1:1">
      <c r="A662" s="3" t="s">
        <v>770</v>
      </c>
    </row>
    <row r="663" spans="1:1">
      <c r="A663" s="3" t="s">
        <v>712</v>
      </c>
    </row>
    <row r="664" spans="1:1">
      <c r="A664" s="3" t="s">
        <v>771</v>
      </c>
    </row>
    <row r="665" spans="1:1">
      <c r="A665" s="3" t="s">
        <v>772</v>
      </c>
    </row>
    <row r="666" spans="1:1">
      <c r="A666" s="3" t="s">
        <v>235</v>
      </c>
    </row>
    <row r="667" spans="1:1">
      <c r="A667" s="3" t="s">
        <v>902</v>
      </c>
    </row>
    <row r="668" spans="1:1">
      <c r="A668" s="3" t="s">
        <v>713</v>
      </c>
    </row>
    <row r="669" spans="1:1">
      <c r="A669" s="3" t="s">
        <v>182</v>
      </c>
    </row>
    <row r="670" spans="1:1">
      <c r="A670" s="3" t="s">
        <v>1202</v>
      </c>
    </row>
    <row r="671" spans="1:1">
      <c r="A671" s="3" t="s">
        <v>1729</v>
      </c>
    </row>
    <row r="672" spans="1:1">
      <c r="A672" s="3" t="s">
        <v>865</v>
      </c>
    </row>
    <row r="673" spans="1:1">
      <c r="A673" s="3" t="s">
        <v>300</v>
      </c>
    </row>
    <row r="674" spans="1:1">
      <c r="A674" s="3" t="s">
        <v>587</v>
      </c>
    </row>
    <row r="675" spans="1:1">
      <c r="A675" s="3" t="s">
        <v>1249</v>
      </c>
    </row>
    <row r="676" spans="1:1">
      <c r="A676" s="3" t="s">
        <v>1413</v>
      </c>
    </row>
    <row r="677" spans="1:1">
      <c r="A677" s="3" t="s">
        <v>236</v>
      </c>
    </row>
    <row r="678" spans="1:1">
      <c r="A678" s="3" t="s">
        <v>1405</v>
      </c>
    </row>
    <row r="679" spans="1:1">
      <c r="A679" s="3" t="s">
        <v>1341</v>
      </c>
    </row>
    <row r="680" spans="1:1">
      <c r="A680" s="3" t="s">
        <v>101</v>
      </c>
    </row>
    <row r="681" spans="1:1">
      <c r="A681" s="3" t="s">
        <v>903</v>
      </c>
    </row>
    <row r="682" spans="1:1">
      <c r="A682" s="3" t="s">
        <v>1700</v>
      </c>
    </row>
  </sheetData>
  <sortState ref="A3:A677">
    <sortCondition ref="A3"/>
  </sortState>
  <dataValidations count="1">
    <dataValidation type="list" allowBlank="1" showInputMessage="1" showErrorMessage="1" sqref="A351:A354">
      <formula1>OFFSET($A$2,0,0,COUNTA(A:A)-1)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sheetPr codeName="Sheet2"/>
  <dimension ref="A1:S200"/>
  <sheetViews>
    <sheetView topLeftCell="D1" workbookViewId="0">
      <pane ySplit="1" topLeftCell="A20" activePane="bottomLeft" state="frozen"/>
      <selection pane="bottomLeft" activeCell="P30" sqref="P30"/>
    </sheetView>
  </sheetViews>
  <sheetFormatPr defaultRowHeight="14.5"/>
  <cols>
    <col min="1" max="1" width="26.453125" customWidth="1"/>
    <col min="2" max="2" width="11" customWidth="1"/>
    <col min="3" max="4" width="16" customWidth="1"/>
    <col min="5" max="5" width="11.453125" customWidth="1"/>
    <col min="6" max="6" width="24.90625" bestFit="1" customWidth="1"/>
    <col min="7" max="7" width="15.453125" customWidth="1"/>
    <col min="8" max="8" width="19.36328125" customWidth="1"/>
    <col min="9" max="9" width="22.6328125" customWidth="1"/>
    <col min="10" max="10" width="23.36328125" customWidth="1"/>
    <col min="11" max="11" width="17.54296875" customWidth="1"/>
    <col min="12" max="12" width="14.08984375" customWidth="1"/>
    <col min="13" max="13" width="10.453125" bestFit="1" customWidth="1"/>
    <col min="14" max="14" width="10.453125" customWidth="1"/>
    <col min="15" max="15" width="12.453125" bestFit="1" customWidth="1"/>
    <col min="17" max="17" width="17" bestFit="1" customWidth="1"/>
  </cols>
  <sheetData>
    <row r="1" spans="1:19" s="1" customFormat="1">
      <c r="A1" s="1" t="s">
        <v>2</v>
      </c>
      <c r="B1" s="1" t="s">
        <v>1198</v>
      </c>
      <c r="C1" s="1" t="s">
        <v>1199</v>
      </c>
      <c r="D1" s="1" t="s">
        <v>0</v>
      </c>
      <c r="E1" s="1" t="s">
        <v>1</v>
      </c>
      <c r="F1" s="1" t="s">
        <v>30</v>
      </c>
      <c r="G1" s="1" t="s">
        <v>31</v>
      </c>
      <c r="H1" s="1" t="s">
        <v>1262</v>
      </c>
      <c r="I1" s="1" t="s">
        <v>49</v>
      </c>
      <c r="J1" s="1" t="s">
        <v>48</v>
      </c>
      <c r="K1" s="1" t="s">
        <v>54</v>
      </c>
      <c r="L1" s="1" t="s">
        <v>55</v>
      </c>
      <c r="M1" s="1" t="s">
        <v>27</v>
      </c>
      <c r="N1" s="1" t="s">
        <v>175</v>
      </c>
      <c r="O1" s="1" t="s">
        <v>193</v>
      </c>
      <c r="P1" s="1" t="s">
        <v>1221</v>
      </c>
      <c r="Q1" s="1" t="s">
        <v>1264</v>
      </c>
      <c r="R1" s="1" t="s">
        <v>1263</v>
      </c>
      <c r="S1" s="1" t="s">
        <v>1265</v>
      </c>
    </row>
    <row r="2" spans="1:19">
      <c r="A2" s="7" t="s">
        <v>57</v>
      </c>
      <c r="B2" s="7" t="s">
        <v>1204</v>
      </c>
      <c r="C2" s="8">
        <v>0</v>
      </c>
      <c r="D2" s="5" t="str">
        <f>LRTRIM(CONCATENATE(IF(SUMPRODUCT(-- ISNUMBER(SEARCH({"Auto Number"}, $B2))) &gt; 0, $B2, IF(SUMPRODUCT(-- ISNUMBER(SEARCH({"Lookup","Master-Detail"}, $B2))) &gt; 0,$B2 &amp; "(" &amp; $E2 &amp; ")",IF(SUMPRODUCT(-- ISNUMBER(SEARCH({"Formula","Roll-Up Summary"}, $B2))) &gt; 0,$B2 &amp; " (" &amp; $E2 &amp; ")",IF(SUMPRODUCT(-- ISNUMBER(SEARCH({"Content","Currency","Number","Percent","Text","URL"}, $B2))) &gt; 0,$B2 &amp; "(" &amp; $C2 &amp; ")",$B2)))), "  ", TRIM(IF($S2 = "YES", "(External ID)", "") &amp; " " &amp; IF(SUMPRODUCT(-- ISNUMBER(SEARCH({"Unique","Unique Case Insensitive"}, $R2))) &gt; 0, "(" &amp; $R2 &amp; ")", ""))))</f>
        <v>Checkbox</v>
      </c>
      <c r="E2" s="7" t="s">
        <v>195</v>
      </c>
      <c r="F2" s="7" t="s">
        <v>112</v>
      </c>
      <c r="G2" s="7" t="s">
        <v>151</v>
      </c>
      <c r="H2" s="7" t="s">
        <v>195</v>
      </c>
      <c r="I2" s="7" t="s">
        <v>195</v>
      </c>
      <c r="J2" s="7" t="s">
        <v>195</v>
      </c>
      <c r="K2" s="7" t="s">
        <v>195</v>
      </c>
      <c r="L2" s="7" t="s">
        <v>195</v>
      </c>
      <c r="M2" s="7" t="s">
        <v>28</v>
      </c>
      <c r="N2" s="7" t="s">
        <v>29</v>
      </c>
      <c r="O2" s="7" t="s">
        <v>29</v>
      </c>
      <c r="P2" s="7" t="s">
        <v>29</v>
      </c>
      <c r="Q2" s="7" t="s">
        <v>29</v>
      </c>
      <c r="R2" s="7" t="s">
        <v>29</v>
      </c>
      <c r="S2" s="7" t="s">
        <v>29</v>
      </c>
    </row>
    <row r="3" spans="1:19">
      <c r="A3" s="7" t="s">
        <v>58</v>
      </c>
      <c r="B3" s="7" t="s">
        <v>1204</v>
      </c>
      <c r="C3" s="8">
        <v>0</v>
      </c>
      <c r="D3" s="5" t="str">
        <f>LRTRIM(CONCATENATE(IF(SUMPRODUCT(-- ISNUMBER(SEARCH({"Auto Number"}, $B3))) &gt; 0, $B3, IF(SUMPRODUCT(-- ISNUMBER(SEARCH({"Lookup","Master-Detail"}, $B3))) &gt; 0,$B3 &amp; "(" &amp; $E3 &amp; ")",IF(SUMPRODUCT(-- ISNUMBER(SEARCH({"Formula","Roll-Up Summary"}, $B3))) &gt; 0,$B3 &amp; " (" &amp; $E3 &amp; ")",IF(SUMPRODUCT(-- ISNUMBER(SEARCH({"Content","Currency","Number","Percent","Text","URL"}, $B3))) &gt; 0,$B3 &amp; "(" &amp; $C3 &amp; ")",$B3)))), "  ", TRIM(IF($S3 = "YES", "(External ID)", "") &amp; " " &amp; IF(SUMPRODUCT(-- ISNUMBER(SEARCH({"Unique","Unique Case Insensitive"}, $R3))) &gt; 0, "(" &amp; $R3 &amp; ")", ""))))</f>
        <v>Checkbox</v>
      </c>
      <c r="E3" s="7" t="s">
        <v>195</v>
      </c>
      <c r="F3" s="7" t="s">
        <v>113</v>
      </c>
      <c r="G3" s="7" t="s">
        <v>152</v>
      </c>
      <c r="H3" s="7" t="s">
        <v>195</v>
      </c>
      <c r="I3" s="7" t="s">
        <v>195</v>
      </c>
      <c r="J3" s="7" t="s">
        <v>195</v>
      </c>
      <c r="K3" s="7" t="s">
        <v>195</v>
      </c>
      <c r="L3" s="7" t="s">
        <v>195</v>
      </c>
      <c r="M3" s="7" t="s">
        <v>28</v>
      </c>
      <c r="N3" s="7" t="s">
        <v>29</v>
      </c>
      <c r="O3" s="7" t="s">
        <v>29</v>
      </c>
      <c r="P3" s="7" t="s">
        <v>29</v>
      </c>
      <c r="Q3" s="7" t="s">
        <v>29</v>
      </c>
      <c r="R3" s="7" t="s">
        <v>29</v>
      </c>
      <c r="S3" s="7" t="s">
        <v>29</v>
      </c>
    </row>
    <row r="4" spans="1:19">
      <c r="A4" s="7" t="s">
        <v>59</v>
      </c>
      <c r="B4" s="7" t="s">
        <v>1204</v>
      </c>
      <c r="C4" s="8">
        <v>0</v>
      </c>
      <c r="D4" s="5" t="str">
        <f>LRTRIM(CONCATENATE(IF(SUMPRODUCT(-- ISNUMBER(SEARCH({"Auto Number"}, $B4))) &gt; 0, $B4, IF(SUMPRODUCT(-- ISNUMBER(SEARCH({"Lookup","Master-Detail"}, $B4))) &gt; 0,$B4 &amp; "(" &amp; $E4 &amp; ")",IF(SUMPRODUCT(-- ISNUMBER(SEARCH({"Formula","Roll-Up Summary"}, $B4))) &gt; 0,$B4 &amp; " (" &amp; $E4 &amp; ")",IF(SUMPRODUCT(-- ISNUMBER(SEARCH({"Content","Currency","Number","Percent","Text","URL"}, $B4))) &gt; 0,$B4 &amp; "(" &amp; $C4 &amp; ")",$B4)))), "  ", TRIM(IF($S4 = "YES", "(External ID)", "") &amp; " " &amp; IF(SUMPRODUCT(-- ISNUMBER(SEARCH({"Unique","Unique Case Insensitive"}, $R4))) &gt; 0, "(" &amp; $R4 &amp; ")", ""))))</f>
        <v>Checkbox</v>
      </c>
      <c r="E4" s="7" t="s">
        <v>195</v>
      </c>
      <c r="F4" s="7" t="s">
        <v>114</v>
      </c>
      <c r="G4" s="7" t="s">
        <v>153</v>
      </c>
      <c r="H4" s="7" t="s">
        <v>195</v>
      </c>
      <c r="I4" s="7" t="s">
        <v>195</v>
      </c>
      <c r="J4" s="7" t="s">
        <v>195</v>
      </c>
      <c r="K4" s="7" t="s">
        <v>195</v>
      </c>
      <c r="L4" s="7" t="s">
        <v>195</v>
      </c>
      <c r="M4" s="7" t="s">
        <v>28</v>
      </c>
      <c r="N4" s="7" t="s">
        <v>29</v>
      </c>
      <c r="O4" s="7" t="s">
        <v>29</v>
      </c>
      <c r="P4" s="7" t="s">
        <v>29</v>
      </c>
      <c r="Q4" s="7" t="s">
        <v>29</v>
      </c>
      <c r="R4" s="7" t="s">
        <v>29</v>
      </c>
      <c r="S4" s="7" t="s">
        <v>29</v>
      </c>
    </row>
    <row r="5" spans="1:19">
      <c r="A5" s="7" t="s">
        <v>60</v>
      </c>
      <c r="B5" s="7" t="s">
        <v>1213</v>
      </c>
      <c r="C5" s="8" t="s">
        <v>1266</v>
      </c>
      <c r="D5" s="5" t="str">
        <f>LRTRIM(CONCATENATE(IF(SUMPRODUCT(-- ISNUMBER(SEARCH({"Auto Number"}, $B5))) &gt; 0, $B5, IF(SUMPRODUCT(-- ISNUMBER(SEARCH({"Lookup","Master-Detail"}, $B5))) &gt; 0,$B5 &amp; "(" &amp; $E5 &amp; ")",IF(SUMPRODUCT(-- ISNUMBER(SEARCH({"Formula","Roll-Up Summary"}, $B5))) &gt; 0,$B5 &amp; " (" &amp; $E5 &amp; ")",IF(SUMPRODUCT(-- ISNUMBER(SEARCH({"Content","Currency","Number","Percent","Text","URL"}, $B5))) &gt; 0,$B5 &amp; "(" &amp; $C5 &amp; ")",$B5)))), "  ", TRIM(IF($S5 = "YES", "(External ID)", "") &amp; " " &amp; IF(SUMPRODUCT(-- ISNUMBER(SEARCH({"Unique","Unique Case Insensitive"}, $R5))) &gt; 0, "(" &amp; $R5 &amp; ")", ""))))</f>
        <v>Number(12, 0)  (External ID)</v>
      </c>
      <c r="E5" s="7" t="s">
        <v>195</v>
      </c>
      <c r="F5" s="7" t="s">
        <v>17</v>
      </c>
      <c r="G5" s="7" t="s">
        <v>154</v>
      </c>
      <c r="H5" s="7" t="s">
        <v>195</v>
      </c>
      <c r="I5" s="7" t="s">
        <v>195</v>
      </c>
      <c r="J5" s="7" t="s">
        <v>195</v>
      </c>
      <c r="K5" s="7" t="s">
        <v>195</v>
      </c>
      <c r="L5" s="7" t="s">
        <v>195</v>
      </c>
      <c r="M5" s="7" t="s">
        <v>29</v>
      </c>
      <c r="N5" s="7" t="s">
        <v>29</v>
      </c>
      <c r="O5" s="7" t="s">
        <v>29</v>
      </c>
      <c r="P5" s="7" t="s">
        <v>29</v>
      </c>
      <c r="Q5" s="7" t="s">
        <v>29</v>
      </c>
      <c r="R5" s="7" t="s">
        <v>29</v>
      </c>
      <c r="S5" s="7" t="s">
        <v>28</v>
      </c>
    </row>
    <row r="6" spans="1:19">
      <c r="A6" s="7" t="s">
        <v>61</v>
      </c>
      <c r="B6" s="7" t="s">
        <v>1215</v>
      </c>
      <c r="C6" s="8">
        <v>255</v>
      </c>
      <c r="D6" s="5" t="str">
        <f>LRTRIM(CONCATENATE(IF(SUMPRODUCT(-- ISNUMBER(SEARCH({"Auto Number"}, $B6))) &gt; 0, $B6, IF(SUMPRODUCT(-- ISNUMBER(SEARCH({"Lookup","Master-Detail"}, $B6))) &gt; 0,$B6 &amp; "(" &amp; $E6 &amp; ")",IF(SUMPRODUCT(-- ISNUMBER(SEARCH({"Formula","Roll-Up Summary"}, $B6))) &gt; 0,$B6 &amp; " (" &amp; $E6 &amp; ")",IF(SUMPRODUCT(-- ISNUMBER(SEARCH({"Content","Currency","Number","Percent","Text","URL"}, $B6))) &gt; 0,$B6 &amp; "(" &amp; $C6 &amp; ")",$B6)))), "  ", TRIM(IF($S6 = "YES", "(External ID)", "") &amp; " " &amp; IF(SUMPRODUCT(-- ISNUMBER(SEARCH({"Unique","Unique Case Insensitive"}, $R6))) &gt; 0, "(" &amp; $R6 &amp; ")", ""))))</f>
        <v>Picklist</v>
      </c>
      <c r="E6" s="7" t="s">
        <v>195</v>
      </c>
      <c r="F6" s="7" t="s">
        <v>115</v>
      </c>
      <c r="G6" s="7" t="s">
        <v>155</v>
      </c>
      <c r="H6" s="7" t="s">
        <v>195</v>
      </c>
      <c r="I6" s="7" t="s">
        <v>41</v>
      </c>
      <c r="J6" s="7" t="s">
        <v>50</v>
      </c>
      <c r="K6" s="7" t="s">
        <v>195</v>
      </c>
      <c r="L6" s="7" t="s">
        <v>195</v>
      </c>
      <c r="M6" s="7" t="s">
        <v>29</v>
      </c>
      <c r="N6" s="7" t="s">
        <v>29</v>
      </c>
      <c r="O6" s="7" t="s">
        <v>29</v>
      </c>
      <c r="P6" s="7" t="s">
        <v>29</v>
      </c>
      <c r="Q6" s="7" t="s">
        <v>29</v>
      </c>
      <c r="R6" s="7" t="s">
        <v>29</v>
      </c>
      <c r="S6" s="7" t="s">
        <v>29</v>
      </c>
    </row>
    <row r="7" spans="1:19">
      <c r="A7" s="7" t="s">
        <v>1223</v>
      </c>
      <c r="B7" s="7" t="s">
        <v>1218</v>
      </c>
      <c r="C7" s="8">
        <v>40</v>
      </c>
      <c r="D7" s="5" t="str">
        <f>LRTRIM(CONCATENATE(IF(SUMPRODUCT(-- ISNUMBER(SEARCH({"Auto Number"}, $B7))) &gt; 0, $B7, IF(SUMPRODUCT(-- ISNUMBER(SEARCH({"Lookup","Master-Detail"}, $B7))) &gt; 0,$B7 &amp; "(" &amp; $E7 &amp; ")",IF(SUMPRODUCT(-- ISNUMBER(SEARCH({"Formula","Roll-Up Summary"}, $B7))) &gt; 0,$B7 &amp; " (" &amp; $E7 &amp; ")",IF(SUMPRODUCT(-- ISNUMBER(SEARCH({"Content","Currency","Number","Percent","Text","URL"}, $B7))) &gt; 0,$B7 &amp; "(" &amp; $C7 &amp; ")",$B7)))), "  ", TRIM(IF($S7 = "YES", "(External ID)", "") &amp; " " &amp; IF(SUMPRODUCT(-- ISNUMBER(SEARCH({"Unique","Unique Case Insensitive"}, $R7))) &gt; 0, "(" &amp; $R7 &amp; ")", ""))))</f>
        <v>Text(40)</v>
      </c>
      <c r="E7" s="7" t="s">
        <v>195</v>
      </c>
      <c r="F7" s="7" t="s">
        <v>407</v>
      </c>
      <c r="G7" s="7" t="s">
        <v>195</v>
      </c>
      <c r="H7" s="7" t="s">
        <v>195</v>
      </c>
      <c r="I7" s="7" t="s">
        <v>195</v>
      </c>
      <c r="J7" s="7" t="s">
        <v>195</v>
      </c>
      <c r="K7" s="7" t="s">
        <v>195</v>
      </c>
      <c r="L7" s="7" t="s">
        <v>195</v>
      </c>
      <c r="M7" s="7" t="s">
        <v>29</v>
      </c>
      <c r="N7" s="7" t="s">
        <v>29</v>
      </c>
      <c r="O7" s="7" t="s">
        <v>29</v>
      </c>
      <c r="P7" s="7" t="s">
        <v>29</v>
      </c>
      <c r="Q7" s="7" t="s">
        <v>29</v>
      </c>
      <c r="R7" s="7" t="s">
        <v>29</v>
      </c>
      <c r="S7" s="7" t="s">
        <v>29</v>
      </c>
    </row>
    <row r="8" spans="1:19">
      <c r="A8" s="7" t="s">
        <v>1222</v>
      </c>
      <c r="B8" s="7" t="s">
        <v>1218</v>
      </c>
      <c r="C8" s="8">
        <v>40</v>
      </c>
      <c r="D8" s="5" t="str">
        <f>LRTRIM(CONCATENATE(IF(SUMPRODUCT(-- ISNUMBER(SEARCH({"Auto Number"}, $B8))) &gt; 0, $B8, IF(SUMPRODUCT(-- ISNUMBER(SEARCH({"Lookup","Master-Detail"}, $B8))) &gt; 0,$B8 &amp; "(" &amp; $E8 &amp; ")",IF(SUMPRODUCT(-- ISNUMBER(SEARCH({"Formula","Roll-Up Summary"}, $B8))) &gt; 0,$B8 &amp; " (" &amp; $E8 &amp; ")",IF(SUMPRODUCT(-- ISNUMBER(SEARCH({"Content","Currency","Number","Percent","Text","URL"}, $B8))) &gt; 0,$B8 &amp; "(" &amp; $C8 &amp; ")",$B8)))), "  ", TRIM(IF($S8 = "YES", "(External ID)", "") &amp; " " &amp; IF(SUMPRODUCT(-- ISNUMBER(SEARCH({"Unique","Unique Case Insensitive"}, $R8))) &gt; 0, "(" &amp; $R8 &amp; ")", ""))))</f>
        <v>Text(40)</v>
      </c>
      <c r="E8" s="7" t="s">
        <v>195</v>
      </c>
      <c r="F8" s="7" t="s">
        <v>408</v>
      </c>
      <c r="G8" s="7" t="s">
        <v>195</v>
      </c>
      <c r="H8" s="7" t="s">
        <v>195</v>
      </c>
      <c r="I8" s="7" t="s">
        <v>195</v>
      </c>
      <c r="J8" s="7" t="s">
        <v>195</v>
      </c>
      <c r="K8" s="7" t="s">
        <v>195</v>
      </c>
      <c r="L8" s="7" t="s">
        <v>195</v>
      </c>
      <c r="M8" s="7" t="s">
        <v>29</v>
      </c>
      <c r="N8" s="7" t="s">
        <v>29</v>
      </c>
      <c r="O8" s="7" t="s">
        <v>29</v>
      </c>
      <c r="P8" s="7" t="s">
        <v>29</v>
      </c>
      <c r="Q8" s="7" t="s">
        <v>29</v>
      </c>
      <c r="R8" s="7" t="s">
        <v>29</v>
      </c>
      <c r="S8" s="7" t="s">
        <v>29</v>
      </c>
    </row>
    <row r="9" spans="1:19">
      <c r="A9" s="7" t="s">
        <v>1224</v>
      </c>
      <c r="B9" s="7" t="s">
        <v>1215</v>
      </c>
      <c r="C9" s="8">
        <v>0</v>
      </c>
      <c r="D9" s="5" t="str">
        <f>LRTRIM(CONCATENATE(IF(SUMPRODUCT(-- ISNUMBER(SEARCH({"Auto Number"}, $B9))) &gt; 0, $B9, IF(SUMPRODUCT(-- ISNUMBER(SEARCH({"Lookup","Master-Detail"}, $B9))) &gt; 0,$B9 &amp; "(" &amp; $E9 &amp; ")",IF(SUMPRODUCT(-- ISNUMBER(SEARCH({"Formula","Roll-Up Summary"}, $B9))) &gt; 0,$B9 &amp; " (" &amp; $E9 &amp; ")",IF(SUMPRODUCT(-- ISNUMBER(SEARCH({"Content","Currency","Number","Percent","Text","URL"}, $B9))) &gt; 0,$B9 &amp; "(" &amp; $C9 &amp; ")",$B9)))), "  ", TRIM(IF($S9 = "YES", "(External ID)", "") &amp; " " &amp; IF(SUMPRODUCT(-- ISNUMBER(SEARCH({"Unique","Unique Case Insensitive"}, $R9))) &gt; 0, "(" &amp; $R9 &amp; ")", ""))))</f>
        <v>Picklist</v>
      </c>
      <c r="E9" s="7" t="s">
        <v>195</v>
      </c>
      <c r="F9" s="7" t="s">
        <v>595</v>
      </c>
      <c r="G9" s="7" t="s">
        <v>195</v>
      </c>
      <c r="H9" s="7" t="s">
        <v>195</v>
      </c>
      <c r="I9" s="7" t="s">
        <v>588</v>
      </c>
      <c r="J9" s="7" t="s">
        <v>195</v>
      </c>
      <c r="K9" s="7" t="s">
        <v>195</v>
      </c>
      <c r="L9" s="7" t="s">
        <v>195</v>
      </c>
      <c r="M9" s="7" t="s">
        <v>29</v>
      </c>
      <c r="N9" s="7" t="s">
        <v>29</v>
      </c>
      <c r="O9" s="7" t="s">
        <v>29</v>
      </c>
      <c r="P9" s="7" t="s">
        <v>29</v>
      </c>
      <c r="Q9" s="7" t="s">
        <v>29</v>
      </c>
      <c r="R9" s="7" t="s">
        <v>29</v>
      </c>
      <c r="S9" s="7" t="s">
        <v>29</v>
      </c>
    </row>
    <row r="10" spans="1:19">
      <c r="A10" s="7" t="s">
        <v>1225</v>
      </c>
      <c r="B10" s="7" t="s">
        <v>1215</v>
      </c>
      <c r="C10" s="8">
        <v>0</v>
      </c>
      <c r="D10" s="5" t="str">
        <f>LRTRIM(CONCATENATE(IF(SUMPRODUCT(-- ISNUMBER(SEARCH({"Auto Number"}, $B10))) &gt; 0, $B10, IF(SUMPRODUCT(-- ISNUMBER(SEARCH({"Lookup","Master-Detail"}, $B10))) &gt; 0,$B10 &amp; "(" &amp; $E10 &amp; ")",IF(SUMPRODUCT(-- ISNUMBER(SEARCH({"Formula","Roll-Up Summary"}, $B10))) &gt; 0,$B10 &amp; " (" &amp; $E10 &amp; ")",IF(SUMPRODUCT(-- ISNUMBER(SEARCH({"Content","Currency","Number","Percent","Text","URL"}, $B10))) &gt; 0,$B10 &amp; "(" &amp; $C10 &amp; ")",$B10)))), "  ", TRIM(IF($S10 = "YES", "(External ID)", "") &amp; " " &amp; IF(SUMPRODUCT(-- ISNUMBER(SEARCH({"Unique","Unique Case Insensitive"}, $R10))) &gt; 0, "(" &amp; $R10 &amp; ")", ""))))</f>
        <v>Picklist</v>
      </c>
      <c r="E10" s="7" t="s">
        <v>195</v>
      </c>
      <c r="F10" s="7" t="s">
        <v>596</v>
      </c>
      <c r="G10" s="7" t="s">
        <v>195</v>
      </c>
      <c r="H10" s="7" t="s">
        <v>195</v>
      </c>
      <c r="I10" s="7" t="s">
        <v>589</v>
      </c>
      <c r="J10" s="7" t="s">
        <v>195</v>
      </c>
      <c r="K10" s="7" t="s">
        <v>195</v>
      </c>
      <c r="L10" s="7" t="s">
        <v>195</v>
      </c>
      <c r="M10" s="7" t="s">
        <v>29</v>
      </c>
      <c r="N10" s="7" t="s">
        <v>29</v>
      </c>
      <c r="O10" s="7" t="s">
        <v>29</v>
      </c>
      <c r="P10" s="7" t="s">
        <v>29</v>
      </c>
      <c r="Q10" s="7" t="s">
        <v>29</v>
      </c>
      <c r="R10" s="7" t="s">
        <v>29</v>
      </c>
      <c r="S10" s="7" t="s">
        <v>29</v>
      </c>
    </row>
    <row r="11" spans="1:19">
      <c r="A11" s="7" t="s">
        <v>62</v>
      </c>
      <c r="B11" s="7" t="s">
        <v>1213</v>
      </c>
      <c r="C11" s="8" t="s">
        <v>1267</v>
      </c>
      <c r="D11" s="5" t="str">
        <f>LRTRIM(CONCATENATE(IF(SUMPRODUCT(-- ISNUMBER(SEARCH({"Auto Number"}, $B11))) &gt; 0, $B11, IF(SUMPRODUCT(-- ISNUMBER(SEARCH({"Lookup","Master-Detail"}, $B11))) &gt; 0,$B11 &amp; "(" &amp; $E11 &amp; ")",IF(SUMPRODUCT(-- ISNUMBER(SEARCH({"Formula","Roll-Up Summary"}, $B11))) &gt; 0,$B11 &amp; " (" &amp; $E11 &amp; ")",IF(SUMPRODUCT(-- ISNUMBER(SEARCH({"Content","Currency","Number","Percent","Text","URL"}, $B11))) &gt; 0,$B11 &amp; "(" &amp; $C11 &amp; ")",$B11)))), "  ", TRIM(IF($S11 = "YES", "(External ID)", "") &amp; " " &amp; IF(SUMPRODUCT(-- ISNUMBER(SEARCH({"Unique","Unique Case Insensitive"}, $R11))) &gt; 0, "(" &amp; $R11 &amp; ")", ""))))</f>
        <v>Number(6, 0)</v>
      </c>
      <c r="E11" s="7" t="s">
        <v>195</v>
      </c>
      <c r="F11" s="7" t="s">
        <v>116</v>
      </c>
      <c r="G11" s="7" t="s">
        <v>1272</v>
      </c>
      <c r="H11" s="7" t="s">
        <v>195</v>
      </c>
      <c r="I11" s="7" t="s">
        <v>195</v>
      </c>
      <c r="J11" s="7" t="s">
        <v>195</v>
      </c>
      <c r="K11" s="7" t="s">
        <v>195</v>
      </c>
      <c r="L11" s="7" t="s">
        <v>195</v>
      </c>
      <c r="M11" s="7" t="s">
        <v>29</v>
      </c>
      <c r="N11" s="7" t="s">
        <v>29</v>
      </c>
      <c r="O11" s="7" t="s">
        <v>29</v>
      </c>
      <c r="P11" s="7" t="s">
        <v>29</v>
      </c>
      <c r="Q11" s="7" t="s">
        <v>29</v>
      </c>
      <c r="R11" s="7" t="s">
        <v>29</v>
      </c>
      <c r="S11" s="7" t="s">
        <v>29</v>
      </c>
    </row>
    <row r="12" spans="1:19">
      <c r="A12" s="7" t="s">
        <v>9</v>
      </c>
      <c r="B12" s="7" t="s">
        <v>1218</v>
      </c>
      <c r="C12" s="8">
        <v>50</v>
      </c>
      <c r="D12" s="5" t="str">
        <f>LRTRIM(CONCATENATE(IF(SUMPRODUCT(-- ISNUMBER(SEARCH({"Auto Number"}, $B12))) &gt; 0, $B12, IF(SUMPRODUCT(-- ISNUMBER(SEARCH({"Lookup","Master-Detail"}, $B12))) &gt; 0,$B12 &amp; "(" &amp; $E12 &amp; ")",IF(SUMPRODUCT(-- ISNUMBER(SEARCH({"Formula","Roll-Up Summary"}, $B12))) &gt; 0,$B12 &amp; " (" &amp; $E12 &amp; ")",IF(SUMPRODUCT(-- ISNUMBER(SEARCH({"Content","Currency","Number","Percent","Text","URL"}, $B12))) &gt; 0,$B12 &amp; "(" &amp; $C12 &amp; ")",$B12)))), "  ", TRIM(IF($S12 = "YES", "(External ID)", "") &amp; " " &amp; IF(SUMPRODUCT(-- ISNUMBER(SEARCH({"Unique","Unique Case Insensitive"}, $R12))) &gt; 0, "(" &amp; $R12 &amp; ")", ""))))</f>
        <v>Text(50)</v>
      </c>
      <c r="E12" s="7" t="s">
        <v>195</v>
      </c>
      <c r="F12" s="7" t="s">
        <v>18</v>
      </c>
      <c r="G12" s="7" t="s">
        <v>195</v>
      </c>
      <c r="H12" s="7" t="s">
        <v>195</v>
      </c>
      <c r="I12" s="7" t="s">
        <v>195</v>
      </c>
      <c r="J12" s="7" t="s">
        <v>195</v>
      </c>
      <c r="K12" s="7" t="s">
        <v>195</v>
      </c>
      <c r="L12" s="7" t="s">
        <v>195</v>
      </c>
      <c r="M12" s="7" t="s">
        <v>29</v>
      </c>
      <c r="N12" s="7" t="s">
        <v>29</v>
      </c>
      <c r="O12" s="7" t="s">
        <v>29</v>
      </c>
      <c r="P12" s="7" t="s">
        <v>29</v>
      </c>
      <c r="Q12" s="7" t="s">
        <v>29</v>
      </c>
      <c r="R12" s="7" t="s">
        <v>29</v>
      </c>
      <c r="S12" s="7" t="s">
        <v>29</v>
      </c>
    </row>
    <row r="13" spans="1:19">
      <c r="A13" s="7" t="s">
        <v>63</v>
      </c>
      <c r="B13" s="7" t="s">
        <v>1218</v>
      </c>
      <c r="C13" s="8">
        <v>50</v>
      </c>
      <c r="D13" s="5" t="str">
        <f>LRTRIM(CONCATENATE(IF(SUMPRODUCT(-- ISNUMBER(SEARCH({"Auto Number"}, $B13))) &gt; 0, $B13, IF(SUMPRODUCT(-- ISNUMBER(SEARCH({"Lookup","Master-Detail"}, $B13))) &gt; 0,$B13 &amp; "(" &amp; $E13 &amp; ")",IF(SUMPRODUCT(-- ISNUMBER(SEARCH({"Formula","Roll-Up Summary"}, $B13))) &gt; 0,$B13 &amp; " (" &amp; $E13 &amp; ")",IF(SUMPRODUCT(-- ISNUMBER(SEARCH({"Content","Currency","Number","Percent","Text","URL"}, $B13))) &gt; 0,$B13 &amp; "(" &amp; $C13 &amp; ")",$B13)))), "  ", TRIM(IF($S13 = "YES", "(External ID)", "") &amp; " " &amp; IF(SUMPRODUCT(-- ISNUMBER(SEARCH({"Unique","Unique Case Insensitive"}, $R13))) &gt; 0, "(" &amp; $R13 &amp; ")", ""))))</f>
        <v>Text(50)</v>
      </c>
      <c r="E13" s="7" t="s">
        <v>195</v>
      </c>
      <c r="F13" s="7" t="s">
        <v>18</v>
      </c>
      <c r="G13" s="7" t="s">
        <v>195</v>
      </c>
      <c r="H13" s="7" t="s">
        <v>195</v>
      </c>
      <c r="I13" s="7" t="s">
        <v>195</v>
      </c>
      <c r="J13" s="7" t="s">
        <v>195</v>
      </c>
      <c r="K13" s="7" t="s">
        <v>195</v>
      </c>
      <c r="L13" s="7" t="s">
        <v>195</v>
      </c>
      <c r="M13" s="7" t="s">
        <v>29</v>
      </c>
      <c r="N13" s="7" t="s">
        <v>29</v>
      </c>
      <c r="O13" s="7" t="s">
        <v>29</v>
      </c>
      <c r="P13" s="7" t="s">
        <v>29</v>
      </c>
      <c r="Q13" s="7" t="s">
        <v>29</v>
      </c>
      <c r="R13" s="7" t="s">
        <v>29</v>
      </c>
      <c r="S13" s="7" t="s">
        <v>29</v>
      </c>
    </row>
    <row r="14" spans="1:19">
      <c r="A14" s="7" t="s">
        <v>1280</v>
      </c>
      <c r="B14" s="7" t="s">
        <v>195</v>
      </c>
      <c r="C14" s="8">
        <v>0</v>
      </c>
      <c r="D14" s="5" t="str">
        <f>LRTRIM(CONCATENATE(IF(SUMPRODUCT(-- ISNUMBER(SEARCH({"Auto Number"}, $B14))) &gt; 0, $B14, IF(SUMPRODUCT(-- ISNUMBER(SEARCH({"Lookup","Master-Detail"}, $B14))) &gt; 0,$B14 &amp; "(" &amp; $E14 &amp; ")",IF(SUMPRODUCT(-- ISNUMBER(SEARCH({"Formula","Roll-Up Summary"}, $B14))) &gt; 0,$B14 &amp; " (" &amp; $E14 &amp; ")",IF(SUMPRODUCT(-- ISNUMBER(SEARCH({"Content","Currency","Number","Percent","Text","URL"}, $B14))) &gt; 0,$B14 &amp; "(" &amp; $C14 &amp; ")",$B14)))), "  ", TRIM(IF($S14 = "YES", "(External ID)", "") &amp; " " &amp; IF(SUMPRODUCT(-- ISNUMBER(SEARCH({"Unique","Unique Case Insensitive"}, $R14))) &gt; 0, "(" &amp; $R14 &amp; ")", ""))))</f>
        <v>na</v>
      </c>
      <c r="E14" s="7" t="s">
        <v>195</v>
      </c>
      <c r="F14" s="7" t="s">
        <v>195</v>
      </c>
      <c r="G14" s="7" t="s">
        <v>195</v>
      </c>
      <c r="H14" s="7" t="s">
        <v>195</v>
      </c>
      <c r="I14" s="7" t="s">
        <v>1287</v>
      </c>
      <c r="J14" s="7" t="s">
        <v>195</v>
      </c>
      <c r="K14" s="7" t="s">
        <v>195</v>
      </c>
      <c r="L14" s="7" t="s">
        <v>195</v>
      </c>
      <c r="M14" s="7" t="s">
        <v>29</v>
      </c>
      <c r="N14" s="7" t="s">
        <v>29</v>
      </c>
      <c r="O14" s="7" t="s">
        <v>29</v>
      </c>
      <c r="P14" s="7" t="s">
        <v>29</v>
      </c>
      <c r="Q14" s="7" t="s">
        <v>29</v>
      </c>
      <c r="R14" s="7" t="s">
        <v>29</v>
      </c>
      <c r="S14" s="7" t="s">
        <v>29</v>
      </c>
    </row>
    <row r="15" spans="1:19">
      <c r="A15" s="7" t="s">
        <v>1226</v>
      </c>
      <c r="B15" s="7" t="s">
        <v>1218</v>
      </c>
      <c r="C15" s="8">
        <v>255</v>
      </c>
      <c r="D15" s="5" t="str">
        <f>LRTRIM(CONCATENATE(IF(SUMPRODUCT(-- ISNUMBER(SEARCH({"Auto Number"}, $B15))) &gt; 0, $B15, IF(SUMPRODUCT(-- ISNUMBER(SEARCH({"Lookup","Master-Detail"}, $B15))) &gt; 0,$B15 &amp; "(" &amp; $E15 &amp; ")",IF(SUMPRODUCT(-- ISNUMBER(SEARCH({"Formula","Roll-Up Summary"}, $B15))) &gt; 0,$B15 &amp; " (" &amp; $E15 &amp; ")",IF(SUMPRODUCT(-- ISNUMBER(SEARCH({"Content","Currency","Number","Percent","Text","URL"}, $B15))) &gt; 0,$B15 &amp; "(" &amp; $C15 &amp; ")",$B15)))), "  ", TRIM(IF($S15 = "YES", "(External ID)", "") &amp; " " &amp; IF(SUMPRODUCT(-- ISNUMBER(SEARCH({"Unique","Unique Case Insensitive"}, $R15))) &gt; 0, "(" &amp; $R15 &amp; ")", ""))))</f>
        <v>Text(255)</v>
      </c>
      <c r="E15" s="7" t="s">
        <v>195</v>
      </c>
      <c r="F15" s="7" t="s">
        <v>597</v>
      </c>
      <c r="G15" s="7" t="s">
        <v>195</v>
      </c>
      <c r="H15" s="7" t="s">
        <v>195</v>
      </c>
      <c r="I15" s="7" t="s">
        <v>195</v>
      </c>
      <c r="J15" s="7" t="s">
        <v>195</v>
      </c>
      <c r="K15" s="7" t="s">
        <v>195</v>
      </c>
      <c r="L15" s="7" t="s">
        <v>195</v>
      </c>
      <c r="M15" s="7" t="s">
        <v>29</v>
      </c>
      <c r="N15" s="7" t="s">
        <v>29</v>
      </c>
      <c r="O15" s="7" t="s">
        <v>29</v>
      </c>
      <c r="P15" s="7" t="s">
        <v>29</v>
      </c>
      <c r="Q15" s="7" t="s">
        <v>29</v>
      </c>
      <c r="R15" s="7" t="s">
        <v>29</v>
      </c>
      <c r="S15" s="7" t="s">
        <v>29</v>
      </c>
    </row>
    <row r="16" spans="1:19">
      <c r="A16" s="7" t="s">
        <v>69</v>
      </c>
      <c r="B16" s="7" t="s">
        <v>1211</v>
      </c>
      <c r="C16" s="8">
        <v>18</v>
      </c>
      <c r="D16" s="5" t="str">
        <f>LRTRIM(CONCATENATE(IF(SUMPRODUCT(-- ISNUMBER(SEARCH({"Auto Number"}, $B16))) &gt; 0, $B16, IF(SUMPRODUCT(-- ISNUMBER(SEARCH({"Lookup","Master-Detail"}, $B16))) &gt; 0,$B16 &amp; "(" &amp; $E16 &amp; ")",IF(SUMPRODUCT(-- ISNUMBER(SEARCH({"Formula","Roll-Up Summary"}, $B16))) &gt; 0,$B16 &amp; " (" &amp; $E16 &amp; ")",IF(SUMPRODUCT(-- ISNUMBER(SEARCH({"Content","Currency","Number","Percent","Text","URL"}, $B16))) &gt; 0,$B16 &amp; "(" &amp; $C16 &amp; ")",$B16)))), "  ", TRIM(IF($S16 = "YES", "(External ID)", "") &amp; " " &amp; IF(SUMPRODUCT(-- ISNUMBER(SEARCH({"Unique","Unique Case Insensitive"}, $R16))) &gt; 0, "(" &amp; $R16 &amp; ")", ""))))</f>
        <v>Lookup(Broker Consultant Account)</v>
      </c>
      <c r="E16" s="7" t="s">
        <v>122</v>
      </c>
      <c r="F16" s="7" t="s">
        <v>122</v>
      </c>
      <c r="G16" s="7" t="s">
        <v>984</v>
      </c>
      <c r="H16" s="7" t="s">
        <v>195</v>
      </c>
      <c r="I16" s="7" t="s">
        <v>195</v>
      </c>
      <c r="J16" s="7" t="s">
        <v>195</v>
      </c>
      <c r="K16" s="7" t="s">
        <v>195</v>
      </c>
      <c r="L16" s="7" t="s">
        <v>195</v>
      </c>
      <c r="M16" s="7" t="s">
        <v>29</v>
      </c>
      <c r="N16" s="7" t="s">
        <v>29</v>
      </c>
      <c r="O16" s="7" t="s">
        <v>29</v>
      </c>
      <c r="P16" s="7" t="s">
        <v>29</v>
      </c>
      <c r="Q16" s="7" t="s">
        <v>29</v>
      </c>
      <c r="R16" s="7" t="s">
        <v>29</v>
      </c>
      <c r="S16" s="7" t="s">
        <v>29</v>
      </c>
    </row>
    <row r="17" spans="1:19">
      <c r="A17" s="7" t="s">
        <v>70</v>
      </c>
      <c r="B17" s="7" t="s">
        <v>1215</v>
      </c>
      <c r="C17" s="8">
        <v>255</v>
      </c>
      <c r="D17" s="5" t="str">
        <f>LRTRIM(CONCATENATE(IF(SUMPRODUCT(-- ISNUMBER(SEARCH({"Auto Number"}, $B17))) &gt; 0, $B17, IF(SUMPRODUCT(-- ISNUMBER(SEARCH({"Lookup","Master-Detail"}, $B17))) &gt; 0,$B17 &amp; "(" &amp; $E17 &amp; ")",IF(SUMPRODUCT(-- ISNUMBER(SEARCH({"Formula","Roll-Up Summary"}, $B17))) &gt; 0,$B17 &amp; " (" &amp; $E17 &amp; ")",IF(SUMPRODUCT(-- ISNUMBER(SEARCH({"Content","Currency","Number","Percent","Text","URL"}, $B17))) &gt; 0,$B17 &amp; "(" &amp; $C17 &amp; ")",$B17)))), "  ", TRIM(IF($S17 = "YES", "(External ID)", "") &amp; " " &amp; IF(SUMPRODUCT(-- ISNUMBER(SEARCH({"Unique","Unique Case Insensitive"}, $R17))) &gt; 0, "(" &amp; $R17 &amp; ")", ""))))</f>
        <v>Picklist</v>
      </c>
      <c r="E17" s="7" t="s">
        <v>195</v>
      </c>
      <c r="F17" s="7" t="s">
        <v>123</v>
      </c>
      <c r="G17" s="7" t="s">
        <v>156</v>
      </c>
      <c r="H17" s="7" t="s">
        <v>42</v>
      </c>
      <c r="I17" s="7" t="s">
        <v>42</v>
      </c>
      <c r="J17" s="7" t="s">
        <v>51</v>
      </c>
      <c r="K17" s="7" t="s">
        <v>195</v>
      </c>
      <c r="L17" s="7" t="s">
        <v>195</v>
      </c>
      <c r="M17" s="7" t="s">
        <v>29</v>
      </c>
      <c r="N17" s="7" t="s">
        <v>29</v>
      </c>
      <c r="O17" s="7" t="s">
        <v>29</v>
      </c>
      <c r="P17" s="7" t="s">
        <v>29</v>
      </c>
      <c r="Q17" s="7" t="s">
        <v>29</v>
      </c>
      <c r="R17" s="7" t="s">
        <v>29</v>
      </c>
      <c r="S17" s="7" t="s">
        <v>29</v>
      </c>
    </row>
    <row r="18" spans="1:19">
      <c r="A18" s="7" t="s">
        <v>71</v>
      </c>
      <c r="B18" s="7" t="s">
        <v>1218</v>
      </c>
      <c r="C18" s="8">
        <v>80</v>
      </c>
      <c r="D18" s="5" t="str">
        <f>LRTRIM(CONCATENATE(IF(SUMPRODUCT(-- ISNUMBER(SEARCH({"Auto Number"}, $B18))) &gt; 0, $B18, IF(SUMPRODUCT(-- ISNUMBER(SEARCH({"Lookup","Master-Detail"}, $B18))) &gt; 0,$B18 &amp; "(" &amp; $E18 &amp; ")",IF(SUMPRODUCT(-- ISNUMBER(SEARCH({"Formula","Roll-Up Summary"}, $B18))) &gt; 0,$B18 &amp; " (" &amp; $E18 &amp; ")",IF(SUMPRODUCT(-- ISNUMBER(SEARCH({"Content","Currency","Number","Percent","Text","URL"}, $B18))) &gt; 0,$B18 &amp; "(" &amp; $C18 &amp; ")",$B18)))), "  ", TRIM(IF($S18 = "YES", "(External ID)", "") &amp; " " &amp; IF(SUMPRODUCT(-- ISNUMBER(SEARCH({"Unique","Unique Case Insensitive"}, $R18))) &gt; 0, "(" &amp; $R18 &amp; ")", ""))))</f>
        <v>Text(80)</v>
      </c>
      <c r="E18" s="7" t="s">
        <v>195</v>
      </c>
      <c r="F18" s="7" t="s">
        <v>124</v>
      </c>
      <c r="G18" s="7" t="s">
        <v>142</v>
      </c>
      <c r="H18" s="7" t="s">
        <v>195</v>
      </c>
      <c r="I18" s="7" t="s">
        <v>195</v>
      </c>
      <c r="J18" s="7" t="s">
        <v>195</v>
      </c>
      <c r="K18" s="7" t="s">
        <v>195</v>
      </c>
      <c r="L18" s="7" t="s">
        <v>195</v>
      </c>
      <c r="M18" s="7" t="s">
        <v>29</v>
      </c>
      <c r="N18" s="7" t="s">
        <v>29</v>
      </c>
      <c r="O18" s="7" t="s">
        <v>29</v>
      </c>
      <c r="P18" s="7" t="s">
        <v>29</v>
      </c>
      <c r="Q18" s="7" t="s">
        <v>29</v>
      </c>
      <c r="R18" s="7" t="s">
        <v>29</v>
      </c>
      <c r="S18" s="7" t="s">
        <v>29</v>
      </c>
    </row>
    <row r="19" spans="1:19">
      <c r="A19" s="7" t="s">
        <v>72</v>
      </c>
      <c r="B19" s="7" t="s">
        <v>95</v>
      </c>
      <c r="C19" s="8">
        <v>40</v>
      </c>
      <c r="D19" s="5" t="str">
        <f>LRTRIM(CONCATENATE(IF(SUMPRODUCT(-- ISNUMBER(SEARCH({"Auto Number"}, $B19))) &gt; 0, $B19, IF(SUMPRODUCT(-- ISNUMBER(SEARCH({"Lookup","Master-Detail"}, $B19))) &gt; 0,$B19 &amp; "(" &amp; $E19 &amp; ")",IF(SUMPRODUCT(-- ISNUMBER(SEARCH({"Formula","Roll-Up Summary"}, $B19))) &gt; 0,$B19 &amp; " (" &amp; $E19 &amp; ")",IF(SUMPRODUCT(-- ISNUMBER(SEARCH({"Content","Currency","Number","Percent","Text","URL"}, $B19))) &gt; 0,$B19 &amp; "(" &amp; $C19 &amp; ")",$B19)))), "  ", TRIM(IF($S19 = "YES", "(External ID)", "") &amp; " " &amp; IF(SUMPRODUCT(-- ISNUMBER(SEARCH({"Unique","Unique Case Insensitive"}, $R19))) &gt; 0, "(" &amp; $R19 &amp; ")", ""))))</f>
        <v>Phone</v>
      </c>
      <c r="E19" s="7" t="s">
        <v>195</v>
      </c>
      <c r="F19" s="7" t="s">
        <v>125</v>
      </c>
      <c r="G19" s="7" t="s">
        <v>157</v>
      </c>
      <c r="H19" s="7" t="s">
        <v>195</v>
      </c>
      <c r="I19" s="7" t="s">
        <v>195</v>
      </c>
      <c r="J19" s="7" t="s">
        <v>195</v>
      </c>
      <c r="K19" s="7" t="s">
        <v>195</v>
      </c>
      <c r="L19" s="7" t="s">
        <v>195</v>
      </c>
      <c r="M19" s="7" t="s">
        <v>29</v>
      </c>
      <c r="N19" s="7" t="s">
        <v>29</v>
      </c>
      <c r="O19" s="7" t="s">
        <v>29</v>
      </c>
      <c r="P19" s="7" t="s">
        <v>29</v>
      </c>
      <c r="Q19" s="7" t="s">
        <v>29</v>
      </c>
      <c r="R19" s="7" t="s">
        <v>29</v>
      </c>
      <c r="S19" s="7" t="s">
        <v>29</v>
      </c>
    </row>
    <row r="20" spans="1:19">
      <c r="A20" s="7" t="s">
        <v>73</v>
      </c>
      <c r="B20" s="7" t="s">
        <v>1211</v>
      </c>
      <c r="C20" s="8">
        <v>18</v>
      </c>
      <c r="D20" s="5" t="str">
        <f>LRTRIM(CONCATENATE(IF(SUMPRODUCT(-- ISNUMBER(SEARCH({"Auto Number"}, $B20))) &gt; 0, $B20, IF(SUMPRODUCT(-- ISNUMBER(SEARCH({"Lookup","Master-Detail"}, $B20))) &gt; 0,$B20 &amp; "(" &amp; $E20 &amp; ")",IF(SUMPRODUCT(-- ISNUMBER(SEARCH({"Formula","Roll-Up Summary"}, $B20))) &gt; 0,$B20 &amp; " (" &amp; $E20 &amp; ")",IF(SUMPRODUCT(-- ISNUMBER(SEARCH({"Content","Currency","Number","Percent","Text","URL"}, $B20))) &gt; 0,$B20 &amp; "(" &amp; $C20 &amp; ")",$B20)))), "  ", TRIM(IF($S20 = "YES", "(External ID)", "") &amp; " " &amp; IF(SUMPRODUCT(-- ISNUMBER(SEARCH({"Unique","Unique Case Insensitive"}, $R20))) &gt; 0, "(" &amp; $R20 &amp; ")", ""))))</f>
        <v>Lookup(User)</v>
      </c>
      <c r="E20" s="7" t="s">
        <v>7</v>
      </c>
      <c r="F20" s="7" t="s">
        <v>126</v>
      </c>
      <c r="G20" s="7" t="s">
        <v>158</v>
      </c>
      <c r="H20" s="7" t="s">
        <v>195</v>
      </c>
      <c r="I20" s="7" t="s">
        <v>195</v>
      </c>
      <c r="J20" s="7" t="s">
        <v>195</v>
      </c>
      <c r="K20" s="7" t="s">
        <v>195</v>
      </c>
      <c r="L20" s="7" t="s">
        <v>195</v>
      </c>
      <c r="M20" s="7" t="s">
        <v>29</v>
      </c>
      <c r="N20" s="7" t="s">
        <v>29</v>
      </c>
      <c r="O20" s="7" t="s">
        <v>29</v>
      </c>
      <c r="P20" s="7" t="s">
        <v>29</v>
      </c>
      <c r="Q20" s="7" t="s">
        <v>29</v>
      </c>
      <c r="R20" s="7" t="s">
        <v>29</v>
      </c>
      <c r="S20" s="7" t="s">
        <v>29</v>
      </c>
    </row>
    <row r="21" spans="1:19">
      <c r="A21" s="7" t="s">
        <v>74</v>
      </c>
      <c r="B21" s="7" t="s">
        <v>1215</v>
      </c>
      <c r="C21" s="8">
        <v>255</v>
      </c>
      <c r="D21" s="5" t="str">
        <f>LRTRIM(CONCATENATE(IF(SUMPRODUCT(-- ISNUMBER(SEARCH({"Auto Number"}, $B21))) &gt; 0, $B21, IF(SUMPRODUCT(-- ISNUMBER(SEARCH({"Lookup","Master-Detail"}, $B21))) &gt; 0,$B21 &amp; "(" &amp; $E21 &amp; ")",IF(SUMPRODUCT(-- ISNUMBER(SEARCH({"Formula","Roll-Up Summary"}, $B21))) &gt; 0,$B21 &amp; " (" &amp; $E21 &amp; ")",IF(SUMPRODUCT(-- ISNUMBER(SEARCH({"Content","Currency","Number","Percent","Text","URL"}, $B21))) &gt; 0,$B21 &amp; "(" &amp; $C21 &amp; ")",$B21)))), "  ", TRIM(IF($S21 = "YES", "(External ID)", "") &amp; " " &amp; IF(SUMPRODUCT(-- ISNUMBER(SEARCH({"Unique","Unique Case Insensitive"}, $R21))) &gt; 0, "(" &amp; $R21 &amp; ")", ""))))</f>
        <v>Picklist</v>
      </c>
      <c r="E21" s="7" t="s">
        <v>195</v>
      </c>
      <c r="F21" s="7" t="s">
        <v>127</v>
      </c>
      <c r="G21" s="7" t="s">
        <v>159</v>
      </c>
      <c r="H21" s="7" t="s">
        <v>43</v>
      </c>
      <c r="I21" s="7" t="s">
        <v>43</v>
      </c>
      <c r="J21" s="7" t="s">
        <v>195</v>
      </c>
      <c r="K21" s="7" t="s">
        <v>195</v>
      </c>
      <c r="L21" s="7" t="s">
        <v>195</v>
      </c>
      <c r="M21" s="7" t="s">
        <v>29</v>
      </c>
      <c r="N21" s="7" t="s">
        <v>29</v>
      </c>
      <c r="O21" s="7" t="s">
        <v>29</v>
      </c>
      <c r="P21" s="7" t="s">
        <v>29</v>
      </c>
      <c r="Q21" s="7" t="s">
        <v>29</v>
      </c>
      <c r="R21" s="7" t="s">
        <v>29</v>
      </c>
      <c r="S21" s="7" t="s">
        <v>29</v>
      </c>
    </row>
    <row r="22" spans="1:19">
      <c r="A22" s="7" t="s">
        <v>1227</v>
      </c>
      <c r="B22" s="7" t="s">
        <v>1218</v>
      </c>
      <c r="C22" s="8">
        <v>255</v>
      </c>
      <c r="D22" s="5" t="str">
        <f>LRTRIM(CONCATENATE(IF(SUMPRODUCT(-- ISNUMBER(SEARCH({"Auto Number"}, $B22))) &gt; 0, $B22, IF(SUMPRODUCT(-- ISNUMBER(SEARCH({"Lookup","Master-Detail"}, $B22))) &gt; 0,$B22 &amp; "(" &amp; $E22 &amp; ")",IF(SUMPRODUCT(-- ISNUMBER(SEARCH({"Formula","Roll-Up Summary"}, $B22))) &gt; 0,$B22 &amp; " (" &amp; $E22 &amp; ")",IF(SUMPRODUCT(-- ISNUMBER(SEARCH({"Content","Currency","Number","Percent","Text","URL"}, $B22))) &gt; 0,$B22 &amp; "(" &amp; $C22 &amp; ")",$B22)))), "  ", TRIM(IF($S22 = "YES", "(External ID)", "") &amp; " " &amp; IF(SUMPRODUCT(-- ISNUMBER(SEARCH({"Unique","Unique Case Insensitive"}, $R22))) &gt; 0, "(" &amp; $R22 &amp; ")", ""))))</f>
        <v>Text(255)</v>
      </c>
      <c r="E22" s="7" t="s">
        <v>195</v>
      </c>
      <c r="F22" s="7" t="s">
        <v>598</v>
      </c>
      <c r="G22" s="7" t="s">
        <v>195</v>
      </c>
      <c r="H22" s="7" t="s">
        <v>195</v>
      </c>
      <c r="I22" s="7" t="s">
        <v>195</v>
      </c>
      <c r="J22" s="7" t="s">
        <v>195</v>
      </c>
      <c r="K22" s="7" t="s">
        <v>195</v>
      </c>
      <c r="L22" s="7" t="s">
        <v>195</v>
      </c>
      <c r="M22" s="7" t="s">
        <v>29</v>
      </c>
      <c r="N22" s="7" t="s">
        <v>29</v>
      </c>
      <c r="O22" s="7" t="s">
        <v>29</v>
      </c>
      <c r="P22" s="7" t="s">
        <v>29</v>
      </c>
      <c r="Q22" s="7" t="s">
        <v>29</v>
      </c>
      <c r="R22" s="7" t="s">
        <v>29</v>
      </c>
      <c r="S22" s="7" t="s">
        <v>29</v>
      </c>
    </row>
    <row r="23" spans="1:19">
      <c r="A23" s="7" t="s">
        <v>1228</v>
      </c>
      <c r="B23" s="7" t="s">
        <v>1218</v>
      </c>
      <c r="C23" s="8">
        <v>80</v>
      </c>
      <c r="D23" s="5" t="str">
        <f>LRTRIM(CONCATENATE(IF(SUMPRODUCT(-- ISNUMBER(SEARCH({"Auto Number"}, $B23))) &gt; 0, $B23, IF(SUMPRODUCT(-- ISNUMBER(SEARCH({"Lookup","Master-Detail"}, $B23))) &gt; 0,$B23 &amp; "(" &amp; $E23 &amp; ")",IF(SUMPRODUCT(-- ISNUMBER(SEARCH({"Formula","Roll-Up Summary"}, $B23))) &gt; 0,$B23 &amp; " (" &amp; $E23 &amp; ")",IF(SUMPRODUCT(-- ISNUMBER(SEARCH({"Content","Currency","Number","Percent","Text","URL"}, $B23))) &gt; 0,$B23 &amp; "(" &amp; $C23 &amp; ")",$B23)))), "  ", TRIM(IF($S23 = "YES", "(External ID)", "") &amp; " " &amp; IF(SUMPRODUCT(-- ISNUMBER(SEARCH({"Unique","Unique Case Insensitive"}, $R23))) &gt; 0, "(" &amp; $R23 &amp; ")", ""))))</f>
        <v>Text(80)</v>
      </c>
      <c r="E23" s="7" t="s">
        <v>195</v>
      </c>
      <c r="F23" s="7" t="s">
        <v>202</v>
      </c>
      <c r="G23" s="7" t="s">
        <v>195</v>
      </c>
      <c r="H23" s="7" t="s">
        <v>195</v>
      </c>
      <c r="I23" s="7" t="s">
        <v>195</v>
      </c>
      <c r="J23" s="7" t="s">
        <v>195</v>
      </c>
      <c r="K23" s="7" t="s">
        <v>195</v>
      </c>
      <c r="L23" s="7" t="s">
        <v>195</v>
      </c>
      <c r="M23" s="7" t="s">
        <v>29</v>
      </c>
      <c r="N23" s="7" t="s">
        <v>29</v>
      </c>
      <c r="O23" s="7" t="s">
        <v>29</v>
      </c>
      <c r="P23" s="7" t="s">
        <v>29</v>
      </c>
      <c r="Q23" s="7" t="s">
        <v>29</v>
      </c>
      <c r="R23" s="7" t="s">
        <v>29</v>
      </c>
      <c r="S23" s="7" t="s">
        <v>29</v>
      </c>
    </row>
    <row r="24" spans="1:19">
      <c r="A24" s="7" t="s">
        <v>1229</v>
      </c>
      <c r="B24" s="7" t="s">
        <v>1218</v>
      </c>
      <c r="C24" s="8">
        <v>255</v>
      </c>
      <c r="D24" s="5" t="str">
        <f>LRTRIM(CONCATENATE(IF(SUMPRODUCT(-- ISNUMBER(SEARCH({"Auto Number"}, $B24))) &gt; 0, $B24, IF(SUMPRODUCT(-- ISNUMBER(SEARCH({"Lookup","Master-Detail"}, $B24))) &gt; 0,$B24 &amp; "(" &amp; $E24 &amp; ")",IF(SUMPRODUCT(-- ISNUMBER(SEARCH({"Formula","Roll-Up Summary"}, $B24))) &gt; 0,$B24 &amp; " (" &amp; $E24 &amp; ")",IF(SUMPRODUCT(-- ISNUMBER(SEARCH({"Content","Currency","Number","Percent","Text","URL"}, $B24))) &gt; 0,$B24 &amp; "(" &amp; $C24 &amp; ")",$B24)))), "  ", TRIM(IF($S24 = "YES", "(External ID)", "") &amp; " " &amp; IF(SUMPRODUCT(-- ISNUMBER(SEARCH({"Unique","Unique Case Insensitive"}, $R24))) &gt; 0, "(" &amp; $R24 &amp; ")", ""))))</f>
        <v>Text(255)</v>
      </c>
      <c r="E24" s="7" t="s">
        <v>195</v>
      </c>
      <c r="F24" s="7" t="s">
        <v>1252</v>
      </c>
      <c r="G24" s="7" t="s">
        <v>195</v>
      </c>
      <c r="H24" s="7" t="s">
        <v>195</v>
      </c>
      <c r="I24" s="7" t="s">
        <v>195</v>
      </c>
      <c r="J24" s="7" t="s">
        <v>195</v>
      </c>
      <c r="K24" s="7" t="s">
        <v>195</v>
      </c>
      <c r="L24" s="7" t="s">
        <v>195</v>
      </c>
      <c r="M24" s="7" t="s">
        <v>29</v>
      </c>
      <c r="N24" s="7" t="s">
        <v>29</v>
      </c>
      <c r="O24" s="7" t="s">
        <v>29</v>
      </c>
      <c r="P24" s="7" t="s">
        <v>29</v>
      </c>
      <c r="Q24" s="7" t="s">
        <v>29</v>
      </c>
      <c r="R24" s="7" t="s">
        <v>29</v>
      </c>
      <c r="S24" s="7" t="s">
        <v>29</v>
      </c>
    </row>
    <row r="25" spans="1:19">
      <c r="A25" s="7" t="s">
        <v>1230</v>
      </c>
      <c r="B25" s="7" t="s">
        <v>1218</v>
      </c>
      <c r="C25" s="8">
        <v>80</v>
      </c>
      <c r="D25" s="5" t="str">
        <f>LRTRIM(CONCATENATE(IF(SUMPRODUCT(-- ISNUMBER(SEARCH({"Auto Number"}, $B25))) &gt; 0, $B25, IF(SUMPRODUCT(-- ISNUMBER(SEARCH({"Lookup","Master-Detail"}, $B25))) &gt; 0,$B25 &amp; "(" &amp; $E25 &amp; ")",IF(SUMPRODUCT(-- ISNUMBER(SEARCH({"Formula","Roll-Up Summary"}, $B25))) &gt; 0,$B25 &amp; " (" &amp; $E25 &amp; ")",IF(SUMPRODUCT(-- ISNUMBER(SEARCH({"Content","Currency","Number","Percent","Text","URL"}, $B25))) &gt; 0,$B25 &amp; "(" &amp; $C25 &amp; ")",$B25)))), "  ", TRIM(IF($S25 = "YES", "(External ID)", "") &amp; " " &amp; IF(SUMPRODUCT(-- ISNUMBER(SEARCH({"Unique","Unique Case Insensitive"}, $R25))) &gt; 0, "(" &amp; $R25 &amp; ")", ""))))</f>
        <v>Text(80)</v>
      </c>
      <c r="E25" s="7" t="s">
        <v>195</v>
      </c>
      <c r="F25" s="7" t="s">
        <v>600</v>
      </c>
      <c r="G25" s="7" t="s">
        <v>195</v>
      </c>
      <c r="H25" s="7" t="s">
        <v>195</v>
      </c>
      <c r="I25" s="7" t="s">
        <v>195</v>
      </c>
      <c r="J25" s="7" t="s">
        <v>195</v>
      </c>
      <c r="K25" s="7" t="s">
        <v>195</v>
      </c>
      <c r="L25" s="7" t="s">
        <v>195</v>
      </c>
      <c r="M25" s="7" t="s">
        <v>29</v>
      </c>
      <c r="N25" s="7" t="s">
        <v>29</v>
      </c>
      <c r="O25" s="7" t="s">
        <v>29</v>
      </c>
      <c r="P25" s="7" t="s">
        <v>29</v>
      </c>
      <c r="Q25" s="7" t="s">
        <v>29</v>
      </c>
      <c r="R25" s="7" t="s">
        <v>29</v>
      </c>
      <c r="S25" s="7" t="s">
        <v>29</v>
      </c>
    </row>
    <row r="26" spans="1:19">
      <c r="A26" s="7" t="s">
        <v>75</v>
      </c>
      <c r="B26" s="7" t="s">
        <v>1218</v>
      </c>
      <c r="C26" s="8">
        <v>255</v>
      </c>
      <c r="D26" s="5" t="str">
        <f>LRTRIM(CONCATENATE(IF(SUMPRODUCT(-- ISNUMBER(SEARCH({"Auto Number"}, $B26))) &gt; 0, $B26, IF(SUMPRODUCT(-- ISNUMBER(SEARCH({"Lookup","Master-Detail"}, $B26))) &gt; 0,$B26 &amp; "(" &amp; $E26 &amp; ")",IF(SUMPRODUCT(-- ISNUMBER(SEARCH({"Formula","Roll-Up Summary"}, $B26))) &gt; 0,$B26 &amp; " (" &amp; $E26 &amp; ")",IF(SUMPRODUCT(-- ISNUMBER(SEARCH({"Content","Currency","Number","Percent","Text","URL"}, $B26))) &gt; 0,$B26 &amp; "(" &amp; $C26 &amp; ")",$B26)))), "  ", TRIM(IF($S26 = "YES", "(External ID)", "") &amp; " " &amp; IF(SUMPRODUCT(-- ISNUMBER(SEARCH({"Unique","Unique Case Insensitive"}, $R26))) &gt; 0, "(" &amp; $R26 &amp; ")", ""))))</f>
        <v>Text(255)</v>
      </c>
      <c r="E26" s="7" t="s">
        <v>195</v>
      </c>
      <c r="F26" s="7" t="s">
        <v>19</v>
      </c>
      <c r="G26" s="7" t="s">
        <v>195</v>
      </c>
      <c r="H26" s="7" t="s">
        <v>195</v>
      </c>
      <c r="I26" s="7" t="s">
        <v>195</v>
      </c>
      <c r="J26" s="7" t="s">
        <v>195</v>
      </c>
      <c r="K26" s="7" t="s">
        <v>195</v>
      </c>
      <c r="L26" s="7" t="s">
        <v>195</v>
      </c>
      <c r="M26" s="7" t="s">
        <v>29</v>
      </c>
      <c r="N26" s="7" t="s">
        <v>29</v>
      </c>
      <c r="O26" s="7" t="s">
        <v>29</v>
      </c>
      <c r="P26" s="7" t="s">
        <v>29</v>
      </c>
      <c r="Q26" s="7" t="s">
        <v>29</v>
      </c>
      <c r="R26" s="7" t="s">
        <v>29</v>
      </c>
      <c r="S26" s="7" t="s">
        <v>29</v>
      </c>
    </row>
    <row r="27" spans="1:19">
      <c r="A27" s="7" t="s">
        <v>76</v>
      </c>
      <c r="B27" s="7" t="s">
        <v>1215</v>
      </c>
      <c r="C27" s="8">
        <v>255</v>
      </c>
      <c r="D27" s="5" t="str">
        <f>LRTRIM(CONCATENATE(IF(SUMPRODUCT(-- ISNUMBER(SEARCH({"Auto Number"}, $B27))) &gt; 0, $B27, IF(SUMPRODUCT(-- ISNUMBER(SEARCH({"Lookup","Master-Detail"}, $B27))) &gt; 0,$B27 &amp; "(" &amp; $E27 &amp; ")",IF(SUMPRODUCT(-- ISNUMBER(SEARCH({"Formula","Roll-Up Summary"}, $B27))) &gt; 0,$B27 &amp; " (" &amp; $E27 &amp; ")",IF(SUMPRODUCT(-- ISNUMBER(SEARCH({"Content","Currency","Number","Percent","Text","URL"}, $B27))) &gt; 0,$B27 &amp; "(" &amp; $C27 &amp; ")",$B27)))), "  ", TRIM(IF($S27 = "YES", "(External ID)", "") &amp; " " &amp; IF(SUMPRODUCT(-- ISNUMBER(SEARCH({"Unique","Unique Case Insensitive"}, $R27))) &gt; 0, "(" &amp; $R27 &amp; ")", ""))))</f>
        <v>Picklist</v>
      </c>
      <c r="E27" s="7" t="s">
        <v>195</v>
      </c>
      <c r="F27" s="7" t="s">
        <v>128</v>
      </c>
      <c r="G27" s="7" t="s">
        <v>195</v>
      </c>
      <c r="H27" s="7" t="s">
        <v>44</v>
      </c>
      <c r="I27" s="7" t="s">
        <v>44</v>
      </c>
      <c r="J27" s="7" t="s">
        <v>195</v>
      </c>
      <c r="K27" s="7" t="s">
        <v>195</v>
      </c>
      <c r="L27" s="7" t="s">
        <v>195</v>
      </c>
      <c r="M27" s="7" t="s">
        <v>29</v>
      </c>
      <c r="N27" s="7" t="s">
        <v>29</v>
      </c>
      <c r="O27" s="7" t="s">
        <v>29</v>
      </c>
      <c r="P27" s="7" t="s">
        <v>29</v>
      </c>
      <c r="Q27" s="7" t="s">
        <v>29</v>
      </c>
      <c r="R27" s="7" t="s">
        <v>29</v>
      </c>
      <c r="S27" s="7" t="s">
        <v>29</v>
      </c>
    </row>
    <row r="28" spans="1:19">
      <c r="A28" s="7" t="s">
        <v>11</v>
      </c>
      <c r="B28" s="7" t="s">
        <v>1218</v>
      </c>
      <c r="C28" s="8">
        <v>200</v>
      </c>
      <c r="D28" s="5" t="str">
        <f>LRTRIM(CONCATENATE(IF(SUMPRODUCT(-- ISNUMBER(SEARCH({"Auto Number"}, $B28))) &gt; 0, $B28, IF(SUMPRODUCT(-- ISNUMBER(SEARCH({"Lookup","Master-Detail"}, $B28))) &gt; 0,$B28 &amp; "(" &amp; $E28 &amp; ")",IF(SUMPRODUCT(-- ISNUMBER(SEARCH({"Formula","Roll-Up Summary"}, $B28))) &gt; 0,$B28 &amp; " (" &amp; $E28 &amp; ")",IF(SUMPRODUCT(-- ISNUMBER(SEARCH({"Content","Currency","Number","Percent","Text","URL"}, $B28))) &gt; 0,$B28 &amp; "(" &amp; $C28 &amp; ")",$B28)))), "  ", TRIM(IF($S28 = "YES", "(External ID)", "") &amp; " " &amp; IF(SUMPRODUCT(-- ISNUMBER(SEARCH({"Unique","Unique Case Insensitive"}, $R28))) &gt; 0, "(" &amp; $R28 &amp; ")", ""))))</f>
        <v>Text(200)</v>
      </c>
      <c r="E28" s="7" t="s">
        <v>195</v>
      </c>
      <c r="F28" s="7" t="s">
        <v>20</v>
      </c>
      <c r="G28" s="7" t="s">
        <v>425</v>
      </c>
      <c r="H28" s="7" t="s">
        <v>195</v>
      </c>
      <c r="I28" s="7" t="s">
        <v>195</v>
      </c>
      <c r="J28" s="7" t="s">
        <v>195</v>
      </c>
      <c r="K28" s="7" t="s">
        <v>195</v>
      </c>
      <c r="L28" s="7" t="s">
        <v>195</v>
      </c>
      <c r="M28" s="7" t="s">
        <v>29</v>
      </c>
      <c r="N28" s="7" t="s">
        <v>29</v>
      </c>
      <c r="O28" s="7" t="s">
        <v>29</v>
      </c>
      <c r="P28" s="7" t="s">
        <v>29</v>
      </c>
      <c r="Q28" s="7" t="s">
        <v>29</v>
      </c>
      <c r="R28" s="7" t="s">
        <v>29</v>
      </c>
      <c r="S28" s="7" t="s">
        <v>29</v>
      </c>
    </row>
    <row r="29" spans="1:19">
      <c r="A29" s="7" t="s">
        <v>77</v>
      </c>
      <c r="B29" s="7" t="s">
        <v>1218</v>
      </c>
      <c r="C29" s="8">
        <v>200</v>
      </c>
      <c r="D29" s="5" t="str">
        <f>LRTRIM(CONCATENATE(IF(SUMPRODUCT(-- ISNUMBER(SEARCH({"Auto Number"}, $B29))) &gt; 0, $B29, IF(SUMPRODUCT(-- ISNUMBER(SEARCH({"Lookup","Master-Detail"}, $B29))) &gt; 0,$B29 &amp; "(" &amp; $E29 &amp; ")",IF(SUMPRODUCT(-- ISNUMBER(SEARCH({"Formula","Roll-Up Summary"}, $B29))) &gt; 0,$B29 &amp; " (" &amp; $E29 &amp; ")",IF(SUMPRODUCT(-- ISNUMBER(SEARCH({"Content","Currency","Number","Percent","Text","URL"}, $B29))) &gt; 0,$B29 &amp; "(" &amp; $C29 &amp; ")",$B29)))), "  ", TRIM(IF($S29 = "YES", "(External ID)", "") &amp; " " &amp; IF(SUMPRODUCT(-- ISNUMBER(SEARCH({"Unique","Unique Case Insensitive"}, $R29))) &gt; 0, "(" &amp; $R29 &amp; ")", ""))))</f>
        <v>Text(200)</v>
      </c>
      <c r="E29" s="7" t="s">
        <v>195</v>
      </c>
      <c r="F29" s="7" t="s">
        <v>20</v>
      </c>
      <c r="G29" s="7" t="s">
        <v>195</v>
      </c>
      <c r="H29" s="7" t="s">
        <v>195</v>
      </c>
      <c r="I29" s="7" t="s">
        <v>195</v>
      </c>
      <c r="J29" s="7" t="s">
        <v>195</v>
      </c>
      <c r="K29" s="7" t="s">
        <v>195</v>
      </c>
      <c r="L29" s="7" t="s">
        <v>195</v>
      </c>
      <c r="M29" s="7" t="s">
        <v>29</v>
      </c>
      <c r="N29" s="7" t="s">
        <v>29</v>
      </c>
      <c r="O29" s="7" t="s">
        <v>29</v>
      </c>
      <c r="P29" s="7" t="s">
        <v>29</v>
      </c>
      <c r="Q29" s="7" t="s">
        <v>29</v>
      </c>
      <c r="R29" s="7" t="s">
        <v>29</v>
      </c>
      <c r="S29" s="7" t="s">
        <v>29</v>
      </c>
    </row>
    <row r="30" spans="1:19">
      <c r="A30" s="7" t="s">
        <v>1231</v>
      </c>
      <c r="B30" s="7" t="s">
        <v>386</v>
      </c>
      <c r="C30" s="8">
        <v>0</v>
      </c>
      <c r="D30" s="5" t="str">
        <f>LRTRIM(CONCATENATE(IF(SUMPRODUCT(-- ISNUMBER(SEARCH({"Auto Number"}, $B30))) &gt; 0, $B30, IF(SUMPRODUCT(-- ISNUMBER(SEARCH({"Lookup","Master-Detail"}, $B30))) &gt; 0,$B30 &amp; "(" &amp; $E30 &amp; ")",IF(SUMPRODUCT(-- ISNUMBER(SEARCH({"Formula","Roll-Up Summary"}, $B30))) &gt; 0,$B30 &amp; " (" &amp; $E30 &amp; ")",IF(SUMPRODUCT(-- ISNUMBER(SEARCH({"Content","Currency","Number","Percent","Text","URL"}, $B30))) &gt; 0,$B30 &amp; "(" &amp; $C30 &amp; ")",$B30)))), "  ", TRIM(IF($S30 = "YES", "(External ID)", "") &amp; " " &amp; IF(SUMPRODUCT(-- ISNUMBER(SEARCH({"Unique","Unique Case Insensitive"}, $R30))) &gt; 0, "(" &amp; $R30 &amp; ")", ""))))</f>
        <v>Date</v>
      </c>
      <c r="E30" s="7" t="s">
        <v>195</v>
      </c>
      <c r="F30" s="7" t="s">
        <v>601</v>
      </c>
      <c r="G30" s="7" t="s">
        <v>195</v>
      </c>
      <c r="H30" s="7" t="s">
        <v>195</v>
      </c>
      <c r="I30" s="7" t="s">
        <v>195</v>
      </c>
      <c r="J30" s="7" t="s">
        <v>195</v>
      </c>
      <c r="K30" s="7" t="s">
        <v>195</v>
      </c>
      <c r="L30" s="7" t="s">
        <v>195</v>
      </c>
      <c r="M30" s="7" t="s">
        <v>29</v>
      </c>
      <c r="N30" s="7" t="s">
        <v>29</v>
      </c>
      <c r="O30" s="7" t="s">
        <v>29</v>
      </c>
      <c r="P30" s="7" t="s">
        <v>28</v>
      </c>
      <c r="Q30" s="7" t="s">
        <v>29</v>
      </c>
      <c r="R30" s="7" t="s">
        <v>29</v>
      </c>
      <c r="S30" s="7" t="s">
        <v>29</v>
      </c>
    </row>
    <row r="31" spans="1:19">
      <c r="A31" s="7" t="s">
        <v>1232</v>
      </c>
      <c r="B31" s="7" t="s">
        <v>1218</v>
      </c>
      <c r="C31" s="8">
        <v>200</v>
      </c>
      <c r="D31" s="5" t="str">
        <f>LRTRIM(CONCATENATE(IF(SUMPRODUCT(-- ISNUMBER(SEARCH({"Auto Number"}, $B31))) &gt; 0, $B31, IF(SUMPRODUCT(-- ISNUMBER(SEARCH({"Lookup","Master-Detail"}, $B31))) &gt; 0,$B31 &amp; "(" &amp; $E31 &amp; ")",IF(SUMPRODUCT(-- ISNUMBER(SEARCH({"Formula","Roll-Up Summary"}, $B31))) &gt; 0,$B31 &amp; " (" &amp; $E31 &amp; ")",IF(SUMPRODUCT(-- ISNUMBER(SEARCH({"Content","Currency","Number","Percent","Text","URL"}, $B31))) &gt; 0,$B31 &amp; "(" &amp; $C31 &amp; ")",$B31)))), "  ", TRIM(IF($S31 = "YES", "(External ID)", "") &amp; " " &amp; IF(SUMPRODUCT(-- ISNUMBER(SEARCH({"Unique","Unique Case Insensitive"}, $R31))) &gt; 0, "(" &amp; $R31 &amp; ")", ""))))</f>
        <v>Text(200)</v>
      </c>
      <c r="E31" s="7" t="s">
        <v>195</v>
      </c>
      <c r="F31" s="7" t="s">
        <v>602</v>
      </c>
      <c r="G31" s="7" t="s">
        <v>195</v>
      </c>
      <c r="H31" s="7" t="s">
        <v>195</v>
      </c>
      <c r="I31" s="7" t="s">
        <v>195</v>
      </c>
      <c r="J31" s="7" t="s">
        <v>195</v>
      </c>
      <c r="K31" s="7" t="s">
        <v>195</v>
      </c>
      <c r="L31" s="7" t="s">
        <v>195</v>
      </c>
      <c r="M31" s="7" t="s">
        <v>29</v>
      </c>
      <c r="N31" s="7" t="s">
        <v>29</v>
      </c>
      <c r="O31" s="7" t="s">
        <v>29</v>
      </c>
      <c r="P31" s="7" t="s">
        <v>29</v>
      </c>
      <c r="Q31" s="7" t="s">
        <v>29</v>
      </c>
      <c r="R31" s="7" t="s">
        <v>29</v>
      </c>
      <c r="S31" s="7" t="s">
        <v>29</v>
      </c>
    </row>
    <row r="32" spans="1:19">
      <c r="A32" s="7" t="s">
        <v>1233</v>
      </c>
      <c r="B32" s="7" t="s">
        <v>1213</v>
      </c>
      <c r="C32" s="8" t="s">
        <v>1251</v>
      </c>
      <c r="D32" s="5" t="str">
        <f>LRTRIM(CONCATENATE(IF(SUMPRODUCT(-- ISNUMBER(SEARCH({"Auto Number"}, $B32))) &gt; 0, $B32, IF(SUMPRODUCT(-- ISNUMBER(SEARCH({"Lookup","Master-Detail"}, $B32))) &gt; 0,$B32 &amp; "(" &amp; $E32 &amp; ")",IF(SUMPRODUCT(-- ISNUMBER(SEARCH({"Formula","Roll-Up Summary"}, $B32))) &gt; 0,$B32 &amp; " (" &amp; $E32 &amp; ")",IF(SUMPRODUCT(-- ISNUMBER(SEARCH({"Content","Currency","Number","Percent","Text","URL"}, $B32))) &gt; 0,$B32 &amp; "(" &amp; $C32 &amp; ")",$B32)))), "  ", TRIM(IF($S32 = "YES", "(External ID)", "") &amp; " " &amp; IF(SUMPRODUCT(-- ISNUMBER(SEARCH({"Unique","Unique Case Insensitive"}, $R32))) &gt; 0, "(" &amp; $R32 &amp; ")", ""))))</f>
        <v>Number(2, 0)</v>
      </c>
      <c r="E32" s="7" t="s">
        <v>195</v>
      </c>
      <c r="F32" s="7" t="s">
        <v>603</v>
      </c>
      <c r="G32" s="7" t="s">
        <v>195</v>
      </c>
      <c r="H32" s="7" t="s">
        <v>195</v>
      </c>
      <c r="I32" s="7" t="s">
        <v>195</v>
      </c>
      <c r="J32" s="7" t="s">
        <v>195</v>
      </c>
      <c r="K32" s="7" t="s">
        <v>195</v>
      </c>
      <c r="L32" s="7" t="s">
        <v>195</v>
      </c>
      <c r="M32" s="7" t="s">
        <v>29</v>
      </c>
      <c r="N32" s="7" t="s">
        <v>29</v>
      </c>
      <c r="O32" s="7" t="s">
        <v>29</v>
      </c>
      <c r="P32" s="7" t="s">
        <v>29</v>
      </c>
      <c r="Q32" s="7" t="s">
        <v>29</v>
      </c>
      <c r="R32" s="7" t="s">
        <v>29</v>
      </c>
      <c r="S32" s="7" t="s">
        <v>29</v>
      </c>
    </row>
    <row r="33" spans="1:19">
      <c r="A33" s="7" t="s">
        <v>13</v>
      </c>
      <c r="B33" s="7" t="s">
        <v>1218</v>
      </c>
      <c r="C33" s="8">
        <v>10</v>
      </c>
      <c r="D33" s="5" t="str">
        <f>LRTRIM(CONCATENATE(IF(SUMPRODUCT(-- ISNUMBER(SEARCH({"Auto Number"}, $B33))) &gt; 0, $B33, IF(SUMPRODUCT(-- ISNUMBER(SEARCH({"Lookup","Master-Detail"}, $B33))) &gt; 0,$B33 &amp; "(" &amp; $E33 &amp; ")",IF(SUMPRODUCT(-- ISNUMBER(SEARCH({"Formula","Roll-Up Summary"}, $B33))) &gt; 0,$B33 &amp; " (" &amp; $E33 &amp; ")",IF(SUMPRODUCT(-- ISNUMBER(SEARCH({"Content","Currency","Number","Percent","Text","URL"}, $B33))) &gt; 0,$B33 &amp; "(" &amp; $C33 &amp; ")",$B33)))), "  ", TRIM(IF($S33 = "YES", "(External ID)", "") &amp; " " &amp; IF(SUMPRODUCT(-- ISNUMBER(SEARCH({"Unique","Unique Case Insensitive"}, $R33))) &gt; 0, "(" &amp; $R33 &amp; ")", ""))))</f>
        <v>Text(10)</v>
      </c>
      <c r="E33" s="7" t="s">
        <v>195</v>
      </c>
      <c r="F33" s="7" t="s">
        <v>24</v>
      </c>
      <c r="G33" s="7" t="s">
        <v>160</v>
      </c>
      <c r="H33" s="7" t="s">
        <v>195</v>
      </c>
      <c r="I33" s="7" t="s">
        <v>195</v>
      </c>
      <c r="J33" s="7" t="s">
        <v>195</v>
      </c>
      <c r="K33" s="7" t="s">
        <v>195</v>
      </c>
      <c r="L33" s="7" t="s">
        <v>195</v>
      </c>
      <c r="M33" s="7" t="s">
        <v>29</v>
      </c>
      <c r="N33" s="7" t="s">
        <v>29</v>
      </c>
      <c r="O33" s="7" t="s">
        <v>29</v>
      </c>
      <c r="P33" s="7" t="s">
        <v>29</v>
      </c>
      <c r="Q33" s="7" t="s">
        <v>29</v>
      </c>
      <c r="R33" s="7" t="s">
        <v>29</v>
      </c>
      <c r="S33" s="7" t="s">
        <v>29</v>
      </c>
    </row>
    <row r="34" spans="1:19">
      <c r="A34" s="7" t="s">
        <v>78</v>
      </c>
      <c r="B34" s="7" t="s">
        <v>1218</v>
      </c>
      <c r="C34" s="8">
        <v>10</v>
      </c>
      <c r="D34" s="5" t="str">
        <f>LRTRIM(CONCATENATE(IF(SUMPRODUCT(-- ISNUMBER(SEARCH({"Auto Number"}, $B34))) &gt; 0, $B34, IF(SUMPRODUCT(-- ISNUMBER(SEARCH({"Lookup","Master-Detail"}, $B34))) &gt; 0,$B34 &amp; "(" &amp; $E34 &amp; ")",IF(SUMPRODUCT(-- ISNUMBER(SEARCH({"Formula","Roll-Up Summary"}, $B34))) &gt; 0,$B34 &amp; " (" &amp; $E34 &amp; ")",IF(SUMPRODUCT(-- ISNUMBER(SEARCH({"Content","Currency","Number","Percent","Text","URL"}, $B34))) &gt; 0,$B34 &amp; "(" &amp; $C34 &amp; ")",$B34)))), "  ", TRIM(IF($S34 = "YES", "(External ID)", "") &amp; " " &amp; IF(SUMPRODUCT(-- ISNUMBER(SEARCH({"Unique","Unique Case Insensitive"}, $R34))) &gt; 0, "(" &amp; $R34 &amp; ")", ""))))</f>
        <v>Text(10)</v>
      </c>
      <c r="E34" s="7" t="s">
        <v>195</v>
      </c>
      <c r="F34" s="7" t="s">
        <v>24</v>
      </c>
      <c r="G34" s="7" t="s">
        <v>195</v>
      </c>
      <c r="H34" s="7" t="s">
        <v>195</v>
      </c>
      <c r="I34" s="7" t="s">
        <v>195</v>
      </c>
      <c r="J34" s="7" t="s">
        <v>195</v>
      </c>
      <c r="K34" s="7" t="s">
        <v>195</v>
      </c>
      <c r="L34" s="7" t="s">
        <v>195</v>
      </c>
      <c r="M34" s="7" t="s">
        <v>29</v>
      </c>
      <c r="N34" s="7" t="s">
        <v>29</v>
      </c>
      <c r="O34" s="7" t="s">
        <v>29</v>
      </c>
      <c r="P34" s="7" t="s">
        <v>29</v>
      </c>
      <c r="Q34" s="7" t="s">
        <v>29</v>
      </c>
      <c r="R34" s="7" t="s">
        <v>29</v>
      </c>
      <c r="S34" s="7" t="s">
        <v>29</v>
      </c>
    </row>
    <row r="35" spans="1:19">
      <c r="A35" s="7" t="s">
        <v>1269</v>
      </c>
      <c r="B35" s="7" t="s">
        <v>1218</v>
      </c>
      <c r="C35" s="8">
        <v>20</v>
      </c>
      <c r="D35" s="5" t="str">
        <f>LRTRIM(CONCATENATE(IF(SUMPRODUCT(-- ISNUMBER(SEARCH({"Auto Number"}, $B35))) &gt; 0, $B35, IF(SUMPRODUCT(-- ISNUMBER(SEARCH({"Lookup","Master-Detail"}, $B35))) &gt; 0,$B35 &amp; "(" &amp; $E35 &amp; ")",IF(SUMPRODUCT(-- ISNUMBER(SEARCH({"Formula","Roll-Up Summary"}, $B35))) &gt; 0,$B35 &amp; " (" &amp; $E35 &amp; ")",IF(SUMPRODUCT(-- ISNUMBER(SEARCH({"Content","Currency","Number","Percent","Text","URL"}, $B35))) &gt; 0,$B35 &amp; "(" &amp; $C35 &amp; ")",$B35)))), "  ", TRIM(IF($S35 = "YES", "(External ID)", "") &amp; " " &amp; IF(SUMPRODUCT(-- ISNUMBER(SEARCH({"Unique","Unique Case Insensitive"}, $R35))) &gt; 0, "(" &amp; $R35 &amp; ")", ""))))</f>
        <v>Text(20)</v>
      </c>
      <c r="E35" s="7" t="s">
        <v>195</v>
      </c>
      <c r="F35" s="7" t="s">
        <v>604</v>
      </c>
      <c r="G35" s="7" t="s">
        <v>195</v>
      </c>
      <c r="H35" s="7" t="s">
        <v>195</v>
      </c>
      <c r="I35" s="7" t="s">
        <v>195</v>
      </c>
      <c r="J35" s="7" t="s">
        <v>195</v>
      </c>
      <c r="K35" s="7" t="s">
        <v>195</v>
      </c>
      <c r="L35" s="7" t="s">
        <v>195</v>
      </c>
      <c r="M35" s="7" t="s">
        <v>29</v>
      </c>
      <c r="N35" s="7" t="s">
        <v>29</v>
      </c>
      <c r="O35" s="7" t="s">
        <v>29</v>
      </c>
      <c r="P35" s="7" t="s">
        <v>29</v>
      </c>
      <c r="Q35" s="7" t="s">
        <v>29</v>
      </c>
      <c r="R35" s="7" t="s">
        <v>29</v>
      </c>
      <c r="S35" s="7" t="s">
        <v>29</v>
      </c>
    </row>
    <row r="36" spans="1:19">
      <c r="A36" s="7" t="s">
        <v>79</v>
      </c>
      <c r="B36" s="7" t="s">
        <v>79</v>
      </c>
      <c r="C36" s="8">
        <v>40</v>
      </c>
      <c r="D36" s="5" t="str">
        <f>LRTRIM(CONCATENATE(IF(SUMPRODUCT(-- ISNUMBER(SEARCH({"Auto Number"}, $B36))) &gt; 0, $B36, IF(SUMPRODUCT(-- ISNUMBER(SEARCH({"Lookup","Master-Detail"}, $B36))) &gt; 0,$B36 &amp; "(" &amp; $E36 &amp; ")",IF(SUMPRODUCT(-- ISNUMBER(SEARCH({"Formula","Roll-Up Summary"}, $B36))) &gt; 0,$B36 &amp; " (" &amp; $E36 &amp; ")",IF(SUMPRODUCT(-- ISNUMBER(SEARCH({"Content","Currency","Number","Percent","Text","URL"}, $B36))) &gt; 0,$B36 &amp; "(" &amp; $C36 &amp; ")",$B36)))), "  ", TRIM(IF($S36 = "YES", "(External ID)", "") &amp; " " &amp; IF(SUMPRODUCT(-- ISNUMBER(SEARCH({"Unique","Unique Case Insensitive"}, $R36))) &gt; 0, "(" &amp; $R36 &amp; ")", ""))))</f>
        <v>Fax</v>
      </c>
      <c r="E36" s="7" t="s">
        <v>195</v>
      </c>
      <c r="F36" s="7" t="s">
        <v>79</v>
      </c>
      <c r="G36" s="7" t="s">
        <v>195</v>
      </c>
      <c r="H36" s="7" t="s">
        <v>195</v>
      </c>
      <c r="I36" s="7" t="s">
        <v>195</v>
      </c>
      <c r="J36" s="7" t="s">
        <v>195</v>
      </c>
      <c r="K36" s="7" t="s">
        <v>195</v>
      </c>
      <c r="L36" s="7" t="s">
        <v>195</v>
      </c>
      <c r="M36" s="7" t="s">
        <v>29</v>
      </c>
      <c r="N36" s="7" t="s">
        <v>29</v>
      </c>
      <c r="O36" s="7" t="s">
        <v>29</v>
      </c>
      <c r="P36" s="7" t="s">
        <v>29</v>
      </c>
      <c r="Q36" s="7" t="s">
        <v>29</v>
      </c>
      <c r="R36" s="7" t="s">
        <v>29</v>
      </c>
      <c r="S36" s="7" t="s">
        <v>29</v>
      </c>
    </row>
    <row r="37" spans="1:19">
      <c r="A37" s="7" t="s">
        <v>80</v>
      </c>
      <c r="B37" s="7" t="s">
        <v>195</v>
      </c>
      <c r="C37" s="8">
        <v>0</v>
      </c>
      <c r="D37" s="5" t="str">
        <f>LRTRIM(CONCATENATE(IF(SUMPRODUCT(-- ISNUMBER(SEARCH({"Auto Number"}, $B37))) &gt; 0, $B37, IF(SUMPRODUCT(-- ISNUMBER(SEARCH({"Lookup","Master-Detail"}, $B37))) &gt; 0,$B37 &amp; "(" &amp; $E37 &amp; ")",IF(SUMPRODUCT(-- ISNUMBER(SEARCH({"Formula","Roll-Up Summary"}, $B37))) &gt; 0,$B37 &amp; " (" &amp; $E37 &amp; ")",IF(SUMPRODUCT(-- ISNUMBER(SEARCH({"Content","Currency","Number","Percent","Text","URL"}, $B37))) &gt; 0,$B37 &amp; "(" &amp; $C37 &amp; ")",$B37)))), "  ", TRIM(IF($S37 = "YES", "(External ID)", "") &amp; " " &amp; IF(SUMPRODUCT(-- ISNUMBER(SEARCH({"Unique","Unique Case Insensitive"}, $R37))) &gt; 0, "(" &amp; $R37 &amp; ")", ""))))</f>
        <v>na</v>
      </c>
      <c r="E37" s="7" t="s">
        <v>195</v>
      </c>
      <c r="F37" s="7" t="s">
        <v>195</v>
      </c>
      <c r="G37" s="7" t="s">
        <v>195</v>
      </c>
      <c r="H37" s="7" t="s">
        <v>195</v>
      </c>
      <c r="I37" s="7" t="s">
        <v>195</v>
      </c>
      <c r="J37" s="7" t="s">
        <v>195</v>
      </c>
      <c r="K37" s="7" t="s">
        <v>195</v>
      </c>
      <c r="L37" s="7" t="s">
        <v>195</v>
      </c>
      <c r="M37" s="7" t="s">
        <v>29</v>
      </c>
      <c r="N37" s="7" t="s">
        <v>29</v>
      </c>
      <c r="O37" s="7" t="s">
        <v>29</v>
      </c>
      <c r="P37" s="7" t="s">
        <v>28</v>
      </c>
      <c r="Q37" s="7" t="s">
        <v>29</v>
      </c>
      <c r="R37" s="7" t="s">
        <v>29</v>
      </c>
      <c r="S37" s="7" t="s">
        <v>29</v>
      </c>
    </row>
    <row r="38" spans="1:19">
      <c r="A38" s="7" t="s">
        <v>81</v>
      </c>
      <c r="B38" s="7" t="s">
        <v>1215</v>
      </c>
      <c r="C38" s="8">
        <v>255</v>
      </c>
      <c r="D38" s="5" t="str">
        <f>LRTRIM(CONCATENATE(IF(SUMPRODUCT(-- ISNUMBER(SEARCH({"Auto Number"}, $B38))) &gt; 0, $B38, IF(SUMPRODUCT(-- ISNUMBER(SEARCH({"Lookup","Master-Detail"}, $B38))) &gt; 0,$B38 &amp; "(" &amp; $E38 &amp; ")",IF(SUMPRODUCT(-- ISNUMBER(SEARCH({"Formula","Roll-Up Summary"}, $B38))) &gt; 0,$B38 &amp; " (" &amp; $E38 &amp; ")",IF(SUMPRODUCT(-- ISNUMBER(SEARCH({"Content","Currency","Number","Percent","Text","URL"}, $B38))) &gt; 0,$B38 &amp; "(" &amp; $C38 &amp; ")",$B38)))), "  ", TRIM(IF($S38 = "YES", "(External ID)", "") &amp; " " &amp; IF(SUMPRODUCT(-- ISNUMBER(SEARCH({"Unique","Unique Case Insensitive"}, $R38))) &gt; 0, "(" &amp; $R38 &amp; ")", ""))))</f>
        <v>Picklist</v>
      </c>
      <c r="E38" s="7" t="s">
        <v>195</v>
      </c>
      <c r="F38" s="7" t="s">
        <v>131</v>
      </c>
      <c r="G38" s="7" t="s">
        <v>195</v>
      </c>
      <c r="H38" s="7" t="s">
        <v>45</v>
      </c>
      <c r="I38" s="7" t="s">
        <v>45</v>
      </c>
      <c r="J38" s="7" t="s">
        <v>195</v>
      </c>
      <c r="K38" s="7" t="s">
        <v>195</v>
      </c>
      <c r="L38" s="7" t="s">
        <v>195</v>
      </c>
      <c r="M38" s="7" t="s">
        <v>29</v>
      </c>
      <c r="N38" s="7" t="s">
        <v>29</v>
      </c>
      <c r="O38" s="7" t="s">
        <v>29</v>
      </c>
      <c r="P38" s="7" t="s">
        <v>29</v>
      </c>
      <c r="Q38" s="7" t="s">
        <v>29</v>
      </c>
      <c r="R38" s="7" t="s">
        <v>29</v>
      </c>
      <c r="S38" s="7" t="s">
        <v>29</v>
      </c>
    </row>
    <row r="39" spans="1:19">
      <c r="A39" s="7" t="s">
        <v>1235</v>
      </c>
      <c r="B39" s="7" t="s">
        <v>1204</v>
      </c>
      <c r="C39" s="8">
        <v>0</v>
      </c>
      <c r="D39" s="5" t="str">
        <f>LRTRIM(CONCATENATE(IF(SUMPRODUCT(-- ISNUMBER(SEARCH({"Auto Number"}, $B39))) &gt; 0, $B39, IF(SUMPRODUCT(-- ISNUMBER(SEARCH({"Lookup","Master-Detail"}, $B39))) &gt; 0,$B39 &amp; "(" &amp; $E39 &amp; ")",IF(SUMPRODUCT(-- ISNUMBER(SEARCH({"Formula","Roll-Up Summary"}, $B39))) &gt; 0,$B39 &amp; " (" &amp; $E39 &amp; ")",IF(SUMPRODUCT(-- ISNUMBER(SEARCH({"Content","Currency","Number","Percent","Text","URL"}, $B39))) &gt; 0,$B39 &amp; "(" &amp; $C39 &amp; ")",$B39)))), "  ", TRIM(IF($S39 = "YES", "(External ID)", "") &amp; " " &amp; IF(SUMPRODUCT(-- ISNUMBER(SEARCH({"Unique","Unique Case Insensitive"}, $R39))) &gt; 0, "(" &amp; $R39 &amp; ")", ""))))</f>
        <v>Checkbox</v>
      </c>
      <c r="E39" s="7" t="s">
        <v>195</v>
      </c>
      <c r="F39" s="7" t="s">
        <v>606</v>
      </c>
      <c r="G39" s="7" t="s">
        <v>195</v>
      </c>
      <c r="H39" s="7" t="s">
        <v>195</v>
      </c>
      <c r="I39" s="7" t="s">
        <v>195</v>
      </c>
      <c r="J39" s="7" t="s">
        <v>195</v>
      </c>
      <c r="K39" s="7" t="s">
        <v>195</v>
      </c>
      <c r="L39" s="7" t="s">
        <v>195</v>
      </c>
      <c r="M39" s="7" t="s">
        <v>28</v>
      </c>
      <c r="N39" s="7" t="s">
        <v>29</v>
      </c>
      <c r="O39" s="7" t="s">
        <v>29</v>
      </c>
      <c r="P39" s="7" t="s">
        <v>29</v>
      </c>
      <c r="Q39" s="7" t="s">
        <v>29</v>
      </c>
      <c r="R39" s="7" t="s">
        <v>29</v>
      </c>
      <c r="S39" s="7" t="s">
        <v>29</v>
      </c>
    </row>
    <row r="40" spans="1:19">
      <c r="A40" s="7" t="s">
        <v>82</v>
      </c>
      <c r="B40" s="7" t="s">
        <v>1211</v>
      </c>
      <c r="C40" s="8">
        <v>18</v>
      </c>
      <c r="D40" s="5" t="str">
        <f>LRTRIM(CONCATENATE(IF(SUMPRODUCT(-- ISNUMBER(SEARCH({"Auto Number"}, $B40))) &gt; 0, $B40, IF(SUMPRODUCT(-- ISNUMBER(SEARCH({"Lookup","Master-Detail"}, $B40))) &gt; 0,$B40 &amp; "(" &amp; $E40 &amp; ")",IF(SUMPRODUCT(-- ISNUMBER(SEARCH({"Formula","Roll-Up Summary"}, $B40))) &gt; 0,$B40 &amp; " (" &amp; $E40 &amp; ")",IF(SUMPRODUCT(-- ISNUMBER(SEARCH({"Content","Currency","Number","Percent","Text","URL"}, $B40))) &gt; 0,$B40 &amp; "(" &amp; $C40 &amp; ")",$B40)))), "  ", TRIM(IF($S40 = "YES", "(External ID)", "") &amp; " " &amp; IF(SUMPRODUCT(-- ISNUMBER(SEARCH({"Unique","Unique Case Insensitive"}, $R40))) &gt; 0, "(" &amp; $R40 &amp; ")", ""))))</f>
        <v>Lookup(Account)</v>
      </c>
      <c r="E40" s="7" t="s">
        <v>5</v>
      </c>
      <c r="F40" s="7" t="s">
        <v>132</v>
      </c>
      <c r="G40" s="7" t="s">
        <v>161</v>
      </c>
      <c r="H40" s="7" t="s">
        <v>195</v>
      </c>
      <c r="I40" s="7" t="s">
        <v>195</v>
      </c>
      <c r="J40" s="7" t="s">
        <v>195</v>
      </c>
      <c r="K40" s="7" t="s">
        <v>195</v>
      </c>
      <c r="L40" s="7" t="s">
        <v>195</v>
      </c>
      <c r="M40" s="7" t="s">
        <v>29</v>
      </c>
      <c r="N40" s="7" t="s">
        <v>29</v>
      </c>
      <c r="O40" s="7" t="s">
        <v>29</v>
      </c>
      <c r="P40" s="7" t="s">
        <v>29</v>
      </c>
      <c r="Q40" s="7" t="s">
        <v>29</v>
      </c>
      <c r="R40" s="7" t="s">
        <v>29</v>
      </c>
      <c r="S40" s="7" t="s">
        <v>29</v>
      </c>
    </row>
    <row r="41" spans="1:19">
      <c r="A41" s="7" t="s">
        <v>1236</v>
      </c>
      <c r="B41" s="7" t="s">
        <v>1209</v>
      </c>
      <c r="C41" s="8">
        <v>0</v>
      </c>
      <c r="D41" s="5" t="str">
        <f>LRTRIM(CONCATENATE(IF(SUMPRODUCT(-- ISNUMBER(SEARCH({"Auto Number"}, $B41))) &gt; 0, $B41, IF(SUMPRODUCT(-- ISNUMBER(SEARCH({"Lookup","Master-Detail"}, $B41))) &gt; 0,$B41 &amp; "(" &amp; $E41 &amp; ")",IF(SUMPRODUCT(-- ISNUMBER(SEARCH({"Formula","Roll-Up Summary"}, $B41))) &gt; 0,$B41 &amp; " (" &amp; $E41 &amp; ")",IF(SUMPRODUCT(-- ISNUMBER(SEARCH({"Content","Currency","Number","Percent","Text","URL"}, $B41))) &gt; 0,$B41 &amp; "(" &amp; $C41 &amp; ")",$B41)))), "  ", TRIM(IF($S41 = "YES", "(External ID)", "") &amp; " " &amp; IF(SUMPRODUCT(-- ISNUMBER(SEARCH({"Unique","Unique Case Insensitive"}, $R41))) &gt; 0, "(" &amp; $R41 &amp; ")", ""))))</f>
        <v>Formula (Text)</v>
      </c>
      <c r="E41" s="7" t="s">
        <v>1218</v>
      </c>
      <c r="F41" s="7" t="s">
        <v>1255</v>
      </c>
      <c r="G41" s="7" t="s">
        <v>161</v>
      </c>
      <c r="H41" s="7" t="s">
        <v>195</v>
      </c>
      <c r="I41" s="7" t="s">
        <v>195</v>
      </c>
      <c r="J41" s="7" t="s">
        <v>195</v>
      </c>
      <c r="K41" s="7" t="s">
        <v>195</v>
      </c>
      <c r="L41" s="7" t="s">
        <v>195</v>
      </c>
      <c r="M41" s="7" t="s">
        <v>29</v>
      </c>
      <c r="N41" s="7" t="s">
        <v>29</v>
      </c>
      <c r="O41" s="7" t="s">
        <v>29</v>
      </c>
      <c r="P41" s="7" t="s">
        <v>29</v>
      </c>
      <c r="Q41" s="7" t="s">
        <v>29</v>
      </c>
      <c r="R41" s="7" t="s">
        <v>29</v>
      </c>
      <c r="S41" s="7" t="s">
        <v>29</v>
      </c>
    </row>
    <row r="42" spans="1:19">
      <c r="A42" s="7" t="s">
        <v>1237</v>
      </c>
      <c r="B42" s="7" t="s">
        <v>1218</v>
      </c>
      <c r="C42" s="8">
        <v>10</v>
      </c>
      <c r="D42" s="5" t="str">
        <f>LRTRIM(CONCATENATE(IF(SUMPRODUCT(-- ISNUMBER(SEARCH({"Auto Number"}, $B42))) &gt; 0, $B42, IF(SUMPRODUCT(-- ISNUMBER(SEARCH({"Lookup","Master-Detail"}, $B42))) &gt; 0,$B42 &amp; "(" &amp; $E42 &amp; ")",IF(SUMPRODUCT(-- ISNUMBER(SEARCH({"Formula","Roll-Up Summary"}, $B42))) &gt; 0,$B42 &amp; " (" &amp; $E42 &amp; ")",IF(SUMPRODUCT(-- ISNUMBER(SEARCH({"Content","Currency","Number","Percent","Text","URL"}, $B42))) &gt; 0,$B42 &amp; "(" &amp; $C42 &amp; ")",$B42)))), "  ", TRIM(IF($S42 = "YES", "(External ID)", "") &amp; " " &amp; IF(SUMPRODUCT(-- ISNUMBER(SEARCH({"Unique","Unique Case Insensitive"}, $R42))) &gt; 0, "(" &amp; $R42 &amp; ")", ""))))</f>
        <v>Text(10)</v>
      </c>
      <c r="E42" s="7" t="s">
        <v>195</v>
      </c>
      <c r="F42" s="7" t="s">
        <v>412</v>
      </c>
      <c r="G42" s="7" t="s">
        <v>195</v>
      </c>
      <c r="H42" s="7" t="s">
        <v>195</v>
      </c>
      <c r="I42" s="7" t="s">
        <v>195</v>
      </c>
      <c r="J42" s="7" t="s">
        <v>195</v>
      </c>
      <c r="K42" s="7" t="s">
        <v>195</v>
      </c>
      <c r="L42" s="7" t="s">
        <v>195</v>
      </c>
      <c r="M42" s="7" t="s">
        <v>29</v>
      </c>
      <c r="N42" s="7" t="s">
        <v>29</v>
      </c>
      <c r="O42" s="7" t="s">
        <v>29</v>
      </c>
      <c r="P42" s="7" t="s">
        <v>29</v>
      </c>
      <c r="Q42" s="7" t="s">
        <v>29</v>
      </c>
      <c r="R42" s="7" t="s">
        <v>29</v>
      </c>
      <c r="S42" s="7" t="s">
        <v>29</v>
      </c>
    </row>
    <row r="43" spans="1:19">
      <c r="A43" s="7" t="s">
        <v>83</v>
      </c>
      <c r="B43" s="7" t="s">
        <v>1218</v>
      </c>
      <c r="C43" s="8">
        <v>80</v>
      </c>
      <c r="D43" s="5" t="str">
        <f>LRTRIM(CONCATENATE(IF(SUMPRODUCT(-- ISNUMBER(SEARCH({"Auto Number"}, $B43))) &gt; 0, $B43, IF(SUMPRODUCT(-- ISNUMBER(SEARCH({"Lookup","Master-Detail"}, $B43))) &gt; 0,$B43 &amp; "(" &amp; $E43 &amp; ")",IF(SUMPRODUCT(-- ISNUMBER(SEARCH({"Formula","Roll-Up Summary"}, $B43))) &gt; 0,$B43 &amp; " (" &amp; $E43 &amp; ")",IF(SUMPRODUCT(-- ISNUMBER(SEARCH({"Content","Currency","Number","Percent","Text","URL"}, $B43))) &gt; 0,$B43 &amp; "(" &amp; $C43 &amp; ")",$B43)))), "  ", TRIM(IF($S43 = "YES", "(External ID)", "") &amp; " " &amp; IF(SUMPRODUCT(-- ISNUMBER(SEARCH({"Unique","Unique Case Insensitive"}, $R43))) &gt; 0, "(" &amp; $R43 &amp; ")", ""))))</f>
        <v>Text(80)</v>
      </c>
      <c r="E43" s="7" t="s">
        <v>195</v>
      </c>
      <c r="F43" s="7" t="s">
        <v>133</v>
      </c>
      <c r="G43" s="7" t="s">
        <v>162</v>
      </c>
      <c r="H43" s="7" t="s">
        <v>195</v>
      </c>
      <c r="I43" s="7" t="s">
        <v>195</v>
      </c>
      <c r="J43" s="7" t="s">
        <v>195</v>
      </c>
      <c r="K43" s="7" t="s">
        <v>195</v>
      </c>
      <c r="L43" s="7" t="s">
        <v>195</v>
      </c>
      <c r="M43" s="7" t="s">
        <v>29</v>
      </c>
      <c r="N43" s="7" t="s">
        <v>29</v>
      </c>
      <c r="O43" s="7" t="s">
        <v>29</v>
      </c>
      <c r="P43" s="7" t="s">
        <v>29</v>
      </c>
      <c r="Q43" s="7" t="s">
        <v>29</v>
      </c>
      <c r="R43" s="7" t="s">
        <v>29</v>
      </c>
      <c r="S43" s="7" t="s">
        <v>29</v>
      </c>
    </row>
    <row r="44" spans="1:19">
      <c r="A44" s="7" t="s">
        <v>84</v>
      </c>
      <c r="B44" s="7" t="s">
        <v>1209</v>
      </c>
      <c r="C44" s="8">
        <v>0</v>
      </c>
      <c r="D44" s="5" t="str">
        <f>LRTRIM(CONCATENATE(IF(SUMPRODUCT(-- ISNUMBER(SEARCH({"Auto Number"}, $B44))) &gt; 0, $B44, IF(SUMPRODUCT(-- ISNUMBER(SEARCH({"Lookup","Master-Detail"}, $B44))) &gt; 0,$B44 &amp; "(" &amp; $E44 &amp; ")",IF(SUMPRODUCT(-- ISNUMBER(SEARCH({"Formula","Roll-Up Summary"}, $B44))) &gt; 0,$B44 &amp; " (" &amp; $E44 &amp; ")",IF(SUMPRODUCT(-- ISNUMBER(SEARCH({"Content","Currency","Number","Percent","Text","URL"}, $B44))) &gt; 0,$B44 &amp; "(" &amp; $C44 &amp; ")",$B44)))), "  ", TRIM(IF($S44 = "YES", "(External ID)", "") &amp; " " &amp; IF(SUMPRODUCT(-- ISNUMBER(SEARCH({"Unique","Unique Case Insensitive"}, $R44))) &gt; 0, "(" &amp; $R44 &amp; ")", ""))))</f>
        <v>Formula (Number)</v>
      </c>
      <c r="E44" s="7" t="s">
        <v>1213</v>
      </c>
      <c r="F44" s="7" t="s">
        <v>134</v>
      </c>
      <c r="G44" s="7" t="s">
        <v>195</v>
      </c>
      <c r="H44" s="7" t="s">
        <v>195</v>
      </c>
      <c r="I44" s="7" t="s">
        <v>195</v>
      </c>
      <c r="J44" s="7" t="s">
        <v>195</v>
      </c>
      <c r="K44" s="7" t="s">
        <v>195</v>
      </c>
      <c r="L44" s="7" t="s">
        <v>195</v>
      </c>
      <c r="M44" s="7" t="s">
        <v>29</v>
      </c>
      <c r="N44" s="7" t="s">
        <v>29</v>
      </c>
      <c r="O44" s="7" t="s">
        <v>29</v>
      </c>
      <c r="P44" s="7" t="s">
        <v>29</v>
      </c>
      <c r="Q44" s="7" t="s">
        <v>29</v>
      </c>
      <c r="R44" s="7" t="s">
        <v>29</v>
      </c>
      <c r="S44" s="7" t="s">
        <v>29</v>
      </c>
    </row>
    <row r="45" spans="1:19">
      <c r="A45" s="7" t="s">
        <v>1238</v>
      </c>
      <c r="B45" s="7" t="s">
        <v>1218</v>
      </c>
      <c r="C45" s="8">
        <v>20</v>
      </c>
      <c r="D45" s="5" t="str">
        <f>LRTRIM(CONCATENATE(IF(SUMPRODUCT(-- ISNUMBER(SEARCH({"Auto Number"}, $B45))) &gt; 0, $B45, IF(SUMPRODUCT(-- ISNUMBER(SEARCH({"Lookup","Master-Detail"}, $B45))) &gt; 0,$B45 &amp; "(" &amp; $E45 &amp; ")",IF(SUMPRODUCT(-- ISNUMBER(SEARCH({"Formula","Roll-Up Summary"}, $B45))) &gt; 0,$B45 &amp; " (" &amp; $E45 &amp; ")",IF(SUMPRODUCT(-- ISNUMBER(SEARCH({"Content","Currency","Number","Percent","Text","URL"}, $B45))) &gt; 0,$B45 &amp; "(" &amp; $C45 &amp; ")",$B45)))), "  ", TRIM(IF($S45 = "YES", "(External ID)", "") &amp; " " &amp; IF(SUMPRODUCT(-- ISNUMBER(SEARCH({"Unique","Unique Case Insensitive"}, $R45))) &gt; 0, "(" &amp; $R45 &amp; ")", ""))))</f>
        <v>Text(20)</v>
      </c>
      <c r="E45" s="7" t="s">
        <v>195</v>
      </c>
      <c r="F45" s="7" t="s">
        <v>413</v>
      </c>
      <c r="G45" s="7" t="s">
        <v>195</v>
      </c>
      <c r="H45" s="7" t="s">
        <v>195</v>
      </c>
      <c r="I45" s="7" t="s">
        <v>195</v>
      </c>
      <c r="J45" s="7" t="s">
        <v>195</v>
      </c>
      <c r="K45" s="7" t="s">
        <v>195</v>
      </c>
      <c r="L45" s="7" t="s">
        <v>195</v>
      </c>
      <c r="M45" s="7" t="s">
        <v>29</v>
      </c>
      <c r="N45" s="7" t="s">
        <v>29</v>
      </c>
      <c r="O45" s="7" t="s">
        <v>29</v>
      </c>
      <c r="P45" s="7" t="s">
        <v>29</v>
      </c>
      <c r="Q45" s="7" t="s">
        <v>29</v>
      </c>
      <c r="R45" s="7" t="s">
        <v>29</v>
      </c>
      <c r="S45" s="7" t="s">
        <v>29</v>
      </c>
    </row>
    <row r="46" spans="1:19">
      <c r="A46" s="7" t="s">
        <v>85</v>
      </c>
      <c r="B46" s="7" t="s">
        <v>195</v>
      </c>
      <c r="C46" s="8">
        <v>0</v>
      </c>
      <c r="D46" s="5" t="str">
        <f>LRTRIM(CONCATENATE(IF(SUMPRODUCT(-- ISNUMBER(SEARCH({"Auto Number"}, $B46))) &gt; 0, $B46, IF(SUMPRODUCT(-- ISNUMBER(SEARCH({"Lookup","Master-Detail"}, $B46))) &gt; 0,$B46 &amp; "(" &amp; $E46 &amp; ")",IF(SUMPRODUCT(-- ISNUMBER(SEARCH({"Formula","Roll-Up Summary"}, $B46))) &gt; 0,$B46 &amp; " (" &amp; $E46 &amp; ")",IF(SUMPRODUCT(-- ISNUMBER(SEARCH({"Content","Currency","Number","Percent","Text","URL"}, $B46))) &gt; 0,$B46 &amp; "(" &amp; $C46 &amp; ")",$B46)))), "  ", TRIM(IF($S46 = "YES", "(External ID)", "") &amp; " " &amp; IF(SUMPRODUCT(-- ISNUMBER(SEARCH({"Unique","Unique Case Insensitive"}, $R46))) &gt; 0, "(" &amp; $R46 &amp; ")", ""))))</f>
        <v>na</v>
      </c>
      <c r="E46" s="7" t="s">
        <v>195</v>
      </c>
      <c r="F46" s="7" t="s">
        <v>195</v>
      </c>
      <c r="G46" s="7" t="s">
        <v>195</v>
      </c>
      <c r="H46" s="7" t="s">
        <v>195</v>
      </c>
      <c r="I46" s="7" t="s">
        <v>195</v>
      </c>
      <c r="J46" s="7" t="s">
        <v>195</v>
      </c>
      <c r="K46" s="7" t="s">
        <v>195</v>
      </c>
      <c r="L46" s="7" t="s">
        <v>195</v>
      </c>
      <c r="M46" s="7" t="s">
        <v>29</v>
      </c>
      <c r="N46" s="7" t="s">
        <v>29</v>
      </c>
      <c r="O46" s="7" t="s">
        <v>29</v>
      </c>
      <c r="P46" s="7" t="s">
        <v>28</v>
      </c>
      <c r="Q46" s="7" t="s">
        <v>29</v>
      </c>
      <c r="R46" s="7" t="s">
        <v>29</v>
      </c>
      <c r="S46" s="7" t="s">
        <v>29</v>
      </c>
    </row>
    <row r="47" spans="1:19">
      <c r="A47" s="7" t="s">
        <v>1239</v>
      </c>
      <c r="B47" s="7" t="s">
        <v>1215</v>
      </c>
      <c r="C47" s="8">
        <v>0</v>
      </c>
      <c r="D47" s="5" t="str">
        <f>LRTRIM(CONCATENATE(IF(SUMPRODUCT(-- ISNUMBER(SEARCH({"Auto Number"}, $B47))) &gt; 0, $B47, IF(SUMPRODUCT(-- ISNUMBER(SEARCH({"Lookup","Master-Detail"}, $B47))) &gt; 0,$B47 &amp; "(" &amp; $E47 &amp; ")",IF(SUMPRODUCT(-- ISNUMBER(SEARCH({"Formula","Roll-Up Summary"}, $B47))) &gt; 0,$B47 &amp; " (" &amp; $E47 &amp; ")",IF(SUMPRODUCT(-- ISNUMBER(SEARCH({"Content","Currency","Number","Percent","Text","URL"}, $B47))) &gt; 0,$B47 &amp; "(" &amp; $C47 &amp; ")",$B47)))), "  ", TRIM(IF($S47 = "YES", "(External ID)", "") &amp; " " &amp; IF(SUMPRODUCT(-- ISNUMBER(SEARCH({"Unique","Unique Case Insensitive"}, $R47))) &gt; 0, "(" &amp; $R47 &amp; ")", ""))))</f>
        <v>Picklist</v>
      </c>
      <c r="E47" s="7" t="s">
        <v>195</v>
      </c>
      <c r="F47" s="7" t="s">
        <v>609</v>
      </c>
      <c r="G47" s="7" t="s">
        <v>195</v>
      </c>
      <c r="H47" s="7" t="s">
        <v>195</v>
      </c>
      <c r="I47" s="7" t="s">
        <v>1288</v>
      </c>
      <c r="J47" s="7" t="s">
        <v>195</v>
      </c>
      <c r="K47" s="7" t="s">
        <v>195</v>
      </c>
      <c r="L47" s="7" t="s">
        <v>195</v>
      </c>
      <c r="M47" s="7" t="s">
        <v>29</v>
      </c>
      <c r="N47" s="7" t="s">
        <v>29</v>
      </c>
      <c r="O47" s="7" t="s">
        <v>29</v>
      </c>
      <c r="P47" s="7" t="s">
        <v>29</v>
      </c>
      <c r="Q47" s="7" t="s">
        <v>29</v>
      </c>
      <c r="R47" s="7" t="s">
        <v>29</v>
      </c>
      <c r="S47" s="7" t="s">
        <v>29</v>
      </c>
    </row>
    <row r="48" spans="1:19">
      <c r="A48" s="7" t="s">
        <v>1240</v>
      </c>
      <c r="B48" s="7" t="s">
        <v>1215</v>
      </c>
      <c r="C48" s="8">
        <v>0</v>
      </c>
      <c r="D48" s="5" t="str">
        <f>LRTRIM(CONCATENATE(IF(SUMPRODUCT(-- ISNUMBER(SEARCH({"Auto Number"}, $B48))) &gt; 0, $B48, IF(SUMPRODUCT(-- ISNUMBER(SEARCH({"Lookup","Master-Detail"}, $B48))) &gt; 0,$B48 &amp; "(" &amp; $E48 &amp; ")",IF(SUMPRODUCT(-- ISNUMBER(SEARCH({"Formula","Roll-Up Summary"}, $B48))) &gt; 0,$B48 &amp; " (" &amp; $E48 &amp; ")",IF(SUMPRODUCT(-- ISNUMBER(SEARCH({"Content","Currency","Number","Percent","Text","URL"}, $B48))) &gt; 0,$B48 &amp; "(" &amp; $C48 &amp; ")",$B48)))), "  ", TRIM(IF($S48 = "YES", "(External ID)", "") &amp; " " &amp; IF(SUMPRODUCT(-- ISNUMBER(SEARCH({"Unique","Unique Case Insensitive"}, $R48))) &gt; 0, "(" &amp; $R48 &amp; ")", ""))))</f>
        <v>Picklist</v>
      </c>
      <c r="E48" s="7" t="s">
        <v>195</v>
      </c>
      <c r="F48" s="7" t="s">
        <v>610</v>
      </c>
      <c r="G48" s="7" t="s">
        <v>195</v>
      </c>
      <c r="H48" s="7" t="s">
        <v>195</v>
      </c>
      <c r="I48" s="7" t="s">
        <v>591</v>
      </c>
      <c r="J48" s="7" t="s">
        <v>195</v>
      </c>
      <c r="K48" s="7" t="s">
        <v>195</v>
      </c>
      <c r="L48" s="7" t="s">
        <v>195</v>
      </c>
      <c r="M48" s="7" t="s">
        <v>29</v>
      </c>
      <c r="N48" s="7" t="s">
        <v>29</v>
      </c>
      <c r="O48" s="7" t="s">
        <v>29</v>
      </c>
      <c r="P48" s="7" t="s">
        <v>29</v>
      </c>
      <c r="Q48" s="7" t="s">
        <v>29</v>
      </c>
      <c r="R48" s="7" t="s">
        <v>29</v>
      </c>
      <c r="S48" s="7" t="s">
        <v>29</v>
      </c>
    </row>
    <row r="49" spans="1:19">
      <c r="A49" s="7" t="s">
        <v>1241</v>
      </c>
      <c r="B49" s="7" t="s">
        <v>1218</v>
      </c>
      <c r="C49" s="8">
        <v>255</v>
      </c>
      <c r="D49" s="5" t="str">
        <f>LRTRIM(CONCATENATE(IF(SUMPRODUCT(-- ISNUMBER(SEARCH({"Auto Number"}, $B49))) &gt; 0, $B49, IF(SUMPRODUCT(-- ISNUMBER(SEARCH({"Lookup","Master-Detail"}, $B49))) &gt; 0,$B49 &amp; "(" &amp; $E49 &amp; ")",IF(SUMPRODUCT(-- ISNUMBER(SEARCH({"Formula","Roll-Up Summary"}, $B49))) &gt; 0,$B49 &amp; " (" &amp; $E49 &amp; ")",IF(SUMPRODUCT(-- ISNUMBER(SEARCH({"Content","Currency","Number","Percent","Text","URL"}, $B49))) &gt; 0,$B49 &amp; "(" &amp; $C49 &amp; ")",$B49)))), "  ", TRIM(IF($S49 = "YES", "(External ID)", "") &amp; " " &amp; IF(SUMPRODUCT(-- ISNUMBER(SEARCH({"Unique","Unique Case Insensitive"}, $R49))) &gt; 0, "(" &amp; $R49 &amp; ")", ""))))</f>
        <v>Text(255)</v>
      </c>
      <c r="E49" s="7" t="s">
        <v>195</v>
      </c>
      <c r="F49" s="7" t="s">
        <v>1203</v>
      </c>
      <c r="G49" s="7" t="s">
        <v>195</v>
      </c>
      <c r="H49" s="7" t="s">
        <v>195</v>
      </c>
      <c r="I49" s="7" t="s">
        <v>195</v>
      </c>
      <c r="J49" s="7" t="s">
        <v>195</v>
      </c>
      <c r="K49" s="7" t="s">
        <v>195</v>
      </c>
      <c r="L49" s="7" t="s">
        <v>195</v>
      </c>
      <c r="M49" s="7" t="s">
        <v>29</v>
      </c>
      <c r="N49" s="7" t="s">
        <v>29</v>
      </c>
      <c r="O49" s="7" t="s">
        <v>29</v>
      </c>
      <c r="P49" s="7" t="s">
        <v>29</v>
      </c>
      <c r="Q49" s="7" t="s">
        <v>29</v>
      </c>
      <c r="R49" s="7" t="s">
        <v>29</v>
      </c>
      <c r="S49" s="7" t="s">
        <v>29</v>
      </c>
    </row>
    <row r="50" spans="1:19">
      <c r="A50" s="7" t="s">
        <v>14</v>
      </c>
      <c r="B50" s="7" t="s">
        <v>1204</v>
      </c>
      <c r="C50" s="8">
        <v>0</v>
      </c>
      <c r="D50" s="5" t="str">
        <f>LRTRIM(CONCATENATE(IF(SUMPRODUCT(-- ISNUMBER(SEARCH({"Auto Number"}, $B50))) &gt; 0, $B50, IF(SUMPRODUCT(-- ISNUMBER(SEARCH({"Lookup","Master-Detail"}, $B50))) &gt; 0,$B50 &amp; "(" &amp; $E50 &amp; ")",IF(SUMPRODUCT(-- ISNUMBER(SEARCH({"Formula","Roll-Up Summary"}, $B50))) &gt; 0,$B50 &amp; " (" &amp; $E50 &amp; ")",IF(SUMPRODUCT(-- ISNUMBER(SEARCH({"Content","Currency","Number","Percent","Text","URL"}, $B50))) &gt; 0,$B50 &amp; "(" &amp; $C50 &amp; ")",$B50)))), "  ", TRIM(IF($S50 = "YES", "(External ID)", "") &amp; " " &amp; IF(SUMPRODUCT(-- ISNUMBER(SEARCH({"Unique","Unique Case Insensitive"}, $R50))) &gt; 0, "(" &amp; $R50 &amp; ")", ""))))</f>
        <v>Checkbox</v>
      </c>
      <c r="E50" s="7" t="s">
        <v>195</v>
      </c>
      <c r="F50" s="7" t="s">
        <v>25</v>
      </c>
      <c r="G50" s="7" t="s">
        <v>195</v>
      </c>
      <c r="H50" s="7" t="s">
        <v>195</v>
      </c>
      <c r="I50" s="7" t="s">
        <v>195</v>
      </c>
      <c r="J50" s="7" t="s">
        <v>195</v>
      </c>
      <c r="K50" s="7" t="s">
        <v>195</v>
      </c>
      <c r="L50" s="7" t="s">
        <v>195</v>
      </c>
      <c r="M50" s="7" t="s">
        <v>28</v>
      </c>
      <c r="N50" s="7" t="s">
        <v>29</v>
      </c>
      <c r="O50" s="7" t="s">
        <v>29</v>
      </c>
      <c r="P50" s="7" t="s">
        <v>29</v>
      </c>
      <c r="Q50" s="7" t="s">
        <v>29</v>
      </c>
      <c r="R50" s="7" t="s">
        <v>29</v>
      </c>
      <c r="S50" s="7" t="s">
        <v>29</v>
      </c>
    </row>
    <row r="51" spans="1:19">
      <c r="A51" s="7" t="s">
        <v>1200</v>
      </c>
      <c r="B51" s="7" t="s">
        <v>1211</v>
      </c>
      <c r="C51" s="8">
        <v>18</v>
      </c>
      <c r="D51" s="5" t="str">
        <f>LRTRIM(CONCATENATE(IF(SUMPRODUCT(-- ISNUMBER(SEARCH({"Auto Number"}, $B51))) &gt; 0, $B51, IF(SUMPRODUCT(-- ISNUMBER(SEARCH({"Lookup","Master-Detail"}, $B51))) &gt; 0,$B51 &amp; "(" &amp; $E51 &amp; ")",IF(SUMPRODUCT(-- ISNUMBER(SEARCH({"Formula","Roll-Up Summary"}, $B51))) &gt; 0,$B51 &amp; " (" &amp; $E51 &amp; ")",IF(SUMPRODUCT(-- ISNUMBER(SEARCH({"Content","Currency","Number","Percent","Text","URL"}, $B51))) &gt; 0,$B51 &amp; "(" &amp; $C51 &amp; ")",$B51)))), "  ", TRIM(IF($S51 = "YES", "(External ID)", "") &amp; " " &amp; IF(SUMPRODUCT(-- ISNUMBER(SEARCH({"Unique","Unique Case Insensitive"}, $R51))) &gt; 0, "(" &amp; $R51 &amp; ")", ""))))</f>
        <v>Lookup(Account)</v>
      </c>
      <c r="E51" s="7" t="s">
        <v>5</v>
      </c>
      <c r="F51" s="7" t="s">
        <v>5</v>
      </c>
      <c r="G51" s="7" t="s">
        <v>195</v>
      </c>
      <c r="H51" s="7" t="s">
        <v>195</v>
      </c>
      <c r="I51" s="7" t="s">
        <v>195</v>
      </c>
      <c r="J51" s="7" t="s">
        <v>195</v>
      </c>
      <c r="K51" s="7" t="s">
        <v>195</v>
      </c>
      <c r="L51" s="7" t="s">
        <v>195</v>
      </c>
      <c r="M51" s="7" t="s">
        <v>29</v>
      </c>
      <c r="N51" s="7" t="s">
        <v>29</v>
      </c>
      <c r="O51" s="7" t="s">
        <v>29</v>
      </c>
      <c r="P51" s="7" t="s">
        <v>29</v>
      </c>
      <c r="Q51" s="7" t="s">
        <v>29</v>
      </c>
      <c r="R51" s="7" t="s">
        <v>29</v>
      </c>
      <c r="S51" s="7" t="s">
        <v>29</v>
      </c>
    </row>
    <row r="52" spans="1:19">
      <c r="A52" s="7" t="s">
        <v>402</v>
      </c>
      <c r="B52" s="7" t="s">
        <v>195</v>
      </c>
      <c r="C52" s="8">
        <v>0</v>
      </c>
      <c r="D52" s="5" t="str">
        <f>LRTRIM(CONCATENATE(IF(SUMPRODUCT(-- ISNUMBER(SEARCH({"Auto Number"}, $B52))) &gt; 0, $B52, IF(SUMPRODUCT(-- ISNUMBER(SEARCH({"Lookup","Master-Detail"}, $B52))) &gt; 0,$B52 &amp; "(" &amp; $E52 &amp; ")",IF(SUMPRODUCT(-- ISNUMBER(SEARCH({"Formula","Roll-Up Summary"}, $B52))) &gt; 0,$B52 &amp; " (" &amp; $E52 &amp; ")",IF(SUMPRODUCT(-- ISNUMBER(SEARCH({"Content","Currency","Number","Percent","Text","URL"}, $B52))) &gt; 0,$B52 &amp; "(" &amp; $C52 &amp; ")",$B52)))), "  ", TRIM(IF($S52 = "YES", "(External ID)", "") &amp; " " &amp; IF(SUMPRODUCT(-- ISNUMBER(SEARCH({"Unique","Unique Case Insensitive"}, $R52))) &gt; 0, "(" &amp; $R52 &amp; ")", ""))))</f>
        <v>na</v>
      </c>
      <c r="E52" s="7" t="s">
        <v>195</v>
      </c>
      <c r="F52" s="7" t="s">
        <v>195</v>
      </c>
      <c r="G52" s="7" t="s">
        <v>195</v>
      </c>
      <c r="H52" s="7" t="s">
        <v>195</v>
      </c>
      <c r="I52" s="7" t="s">
        <v>195</v>
      </c>
      <c r="J52" s="7" t="s">
        <v>195</v>
      </c>
      <c r="K52" s="7" t="s">
        <v>195</v>
      </c>
      <c r="L52" s="7" t="s">
        <v>195</v>
      </c>
      <c r="M52" s="7" t="s">
        <v>29</v>
      </c>
      <c r="N52" s="7" t="s">
        <v>29</v>
      </c>
      <c r="O52" s="7" t="s">
        <v>29</v>
      </c>
      <c r="P52" s="7" t="s">
        <v>28</v>
      </c>
      <c r="Q52" s="7" t="s">
        <v>29</v>
      </c>
      <c r="R52" s="7" t="s">
        <v>29</v>
      </c>
      <c r="S52" s="7" t="s">
        <v>29</v>
      </c>
    </row>
    <row r="53" spans="1:19">
      <c r="A53" s="7" t="s">
        <v>2</v>
      </c>
      <c r="B53" s="7" t="s">
        <v>2</v>
      </c>
      <c r="C53" s="8">
        <v>255</v>
      </c>
      <c r="D53" s="5" t="str">
        <f>LRTRIM(CONCATENATE(IF(SUMPRODUCT(-- ISNUMBER(SEARCH({"Auto Number"}, $B53))) &gt; 0, $B53, IF(SUMPRODUCT(-- ISNUMBER(SEARCH({"Lookup","Master-Detail"}, $B53))) &gt; 0,$B53 &amp; "(" &amp; $E53 &amp; ")",IF(SUMPRODUCT(-- ISNUMBER(SEARCH({"Formula","Roll-Up Summary"}, $B53))) &gt; 0,$B53 &amp; " (" &amp; $E53 &amp; ")",IF(SUMPRODUCT(-- ISNUMBER(SEARCH({"Content","Currency","Number","Percent","Text","URL"}, $B53))) &gt; 0,$B53 &amp; "(" &amp; $C53 &amp; ")",$B53)))), "  ", TRIM(IF($S53 = "YES", "(External ID)", "") &amp; " " &amp; IF(SUMPRODUCT(-- ISNUMBER(SEARCH({"Unique","Unique Case Insensitive"}, $R53))) &gt; 0, "(" &amp; $R53 &amp; ")", ""))))</f>
        <v>Name</v>
      </c>
      <c r="E53" s="7" t="s">
        <v>195</v>
      </c>
      <c r="F53" s="7" t="s">
        <v>136</v>
      </c>
      <c r="G53" s="7" t="s">
        <v>195</v>
      </c>
      <c r="H53" s="7" t="s">
        <v>195</v>
      </c>
      <c r="I53" s="7" t="s">
        <v>195</v>
      </c>
      <c r="J53" s="7" t="s">
        <v>195</v>
      </c>
      <c r="K53" s="7" t="s">
        <v>195</v>
      </c>
      <c r="L53" s="7" t="s">
        <v>195</v>
      </c>
      <c r="M53" s="7" t="s">
        <v>29</v>
      </c>
      <c r="N53" s="7" t="s">
        <v>29</v>
      </c>
      <c r="O53" s="7" t="s">
        <v>29</v>
      </c>
      <c r="P53" s="7" t="s">
        <v>28</v>
      </c>
      <c r="Q53" s="7" t="s">
        <v>29</v>
      </c>
      <c r="R53" s="7" t="s">
        <v>29</v>
      </c>
      <c r="S53" s="7" t="s">
        <v>29</v>
      </c>
    </row>
    <row r="54" spans="1:19">
      <c r="A54" s="7" t="s">
        <v>1242</v>
      </c>
      <c r="B54" s="7" t="s">
        <v>1204</v>
      </c>
      <c r="C54" s="8">
        <v>0</v>
      </c>
      <c r="D54" s="5" t="str">
        <f>LRTRIM(CONCATENATE(IF(SUMPRODUCT(-- ISNUMBER(SEARCH({"Auto Number"}, $B54))) &gt; 0, $B54, IF(SUMPRODUCT(-- ISNUMBER(SEARCH({"Lookup","Master-Detail"}, $B54))) &gt; 0,$B54 &amp; "(" &amp; $E54 &amp; ")",IF(SUMPRODUCT(-- ISNUMBER(SEARCH({"Formula","Roll-Up Summary"}, $B54))) &gt; 0,$B54 &amp; " (" &amp; $E54 &amp; ")",IF(SUMPRODUCT(-- ISNUMBER(SEARCH({"Content","Currency","Number","Percent","Text","URL"}, $B54))) &gt; 0,$B54 &amp; "(" &amp; $C54 &amp; ")",$B54)))), "  ", TRIM(IF($S54 = "YES", "(External ID)", "") &amp; " " &amp; IF(SUMPRODUCT(-- ISNUMBER(SEARCH({"Unique","Unique Case Insensitive"}, $R54))) &gt; 0, "(" &amp; $R54 &amp; ")", ""))))</f>
        <v>Checkbox</v>
      </c>
      <c r="E54" s="7" t="s">
        <v>195</v>
      </c>
      <c r="F54" s="7" t="s">
        <v>608</v>
      </c>
      <c r="G54" s="7" t="s">
        <v>195</v>
      </c>
      <c r="H54" s="7" t="s">
        <v>195</v>
      </c>
      <c r="I54" s="7" t="s">
        <v>195</v>
      </c>
      <c r="J54" s="7" t="s">
        <v>195</v>
      </c>
      <c r="K54" s="7" t="s">
        <v>195</v>
      </c>
      <c r="L54" s="7" t="s">
        <v>195</v>
      </c>
      <c r="M54" s="7" t="s">
        <v>28</v>
      </c>
      <c r="N54" s="7" t="s">
        <v>29</v>
      </c>
      <c r="O54" s="7" t="s">
        <v>29</v>
      </c>
      <c r="P54" s="7" t="s">
        <v>29</v>
      </c>
      <c r="Q54" s="7" t="s">
        <v>29</v>
      </c>
      <c r="R54" s="7" t="s">
        <v>29</v>
      </c>
      <c r="S54" s="7" t="s">
        <v>29</v>
      </c>
    </row>
    <row r="55" spans="1:19">
      <c r="A55" s="7" t="s">
        <v>86</v>
      </c>
      <c r="B55" s="7" t="s">
        <v>1218</v>
      </c>
      <c r="C55" s="8">
        <v>255</v>
      </c>
      <c r="D55" s="5" t="str">
        <f>LRTRIM(CONCATENATE(IF(SUMPRODUCT(-- ISNUMBER(SEARCH({"Auto Number"}, $B55))) &gt; 0, $B55, IF(SUMPRODUCT(-- ISNUMBER(SEARCH({"Lookup","Master-Detail"}, $B55))) &gt; 0,$B55 &amp; "(" &amp; $E55 &amp; ")",IF(SUMPRODUCT(-- ISNUMBER(SEARCH({"Formula","Roll-Up Summary"}, $B55))) &gt; 0,$B55 &amp; " (" &amp; $E55 &amp; ")",IF(SUMPRODUCT(-- ISNUMBER(SEARCH({"Content","Currency","Number","Percent","Text","URL"}, $B55))) &gt; 0,$B55 &amp; "(" &amp; $C55 &amp; ")",$B55)))), "  ", TRIM(IF($S55 = "YES", "(External ID)", "") &amp; " " &amp; IF(SUMPRODUCT(-- ISNUMBER(SEARCH({"Unique","Unique Case Insensitive"}, $R55))) &gt; 0, "(" &amp; $R55 &amp; ")", ""))))</f>
        <v>Text(255)</v>
      </c>
      <c r="E55" s="7" t="s">
        <v>195</v>
      </c>
      <c r="F55" s="7" t="s">
        <v>137</v>
      </c>
      <c r="G55" s="7" t="s">
        <v>164</v>
      </c>
      <c r="H55" s="7" t="s">
        <v>195</v>
      </c>
      <c r="I55" s="7" t="s">
        <v>195</v>
      </c>
      <c r="J55" s="7" t="s">
        <v>195</v>
      </c>
      <c r="K55" s="7" t="s">
        <v>195</v>
      </c>
      <c r="L55" s="7" t="s">
        <v>195</v>
      </c>
      <c r="M55" s="7" t="s">
        <v>29</v>
      </c>
      <c r="N55" s="7" t="s">
        <v>29</v>
      </c>
      <c r="O55" s="7" t="s">
        <v>29</v>
      </c>
      <c r="P55" s="7" t="s">
        <v>29</v>
      </c>
      <c r="Q55" s="7" t="s">
        <v>29</v>
      </c>
      <c r="R55" s="7" t="s">
        <v>29</v>
      </c>
      <c r="S55" s="7" t="s">
        <v>29</v>
      </c>
    </row>
    <row r="56" spans="1:19">
      <c r="A56" s="7" t="s">
        <v>87</v>
      </c>
      <c r="B56" s="7" t="s">
        <v>1211</v>
      </c>
      <c r="C56" s="8">
        <v>18</v>
      </c>
      <c r="D56" s="5" t="str">
        <f>LRTRIM(CONCATENATE(IF(SUMPRODUCT(-- ISNUMBER(SEARCH({"Auto Number"}, $B56))) &gt; 0, $B56, IF(SUMPRODUCT(-- ISNUMBER(SEARCH({"Lookup","Master-Detail"}, $B56))) &gt; 0,$B56 &amp; "(" &amp; $E56 &amp; ")",IF(SUMPRODUCT(-- ISNUMBER(SEARCH({"Formula","Roll-Up Summary"}, $B56))) &gt; 0,$B56 &amp; " (" &amp; $E56 &amp; ")",IF(SUMPRODUCT(-- ISNUMBER(SEARCH({"Content","Currency","Number","Percent","Text","URL"}, $B56))) &gt; 0,$B56 &amp; "(" &amp; $C56 &amp; ")",$B56)))), "  ", TRIM(IF($S56 = "YES", "(External ID)", "") &amp; " " &amp; IF(SUMPRODUCT(-- ISNUMBER(SEARCH({"Unique","Unique Case Insensitive"}, $R56))) &gt; 0, "(" &amp; $R56 &amp; ")", ""))))</f>
        <v>Lookup(User)</v>
      </c>
      <c r="E56" s="7" t="s">
        <v>7</v>
      </c>
      <c r="F56" s="7" t="s">
        <v>1259</v>
      </c>
      <c r="G56" s="7" t="s">
        <v>195</v>
      </c>
      <c r="H56" s="7" t="s">
        <v>195</v>
      </c>
      <c r="I56" s="7" t="s">
        <v>195</v>
      </c>
      <c r="J56" s="7" t="s">
        <v>195</v>
      </c>
      <c r="K56" s="7" t="s">
        <v>195</v>
      </c>
      <c r="L56" s="7" t="s">
        <v>195</v>
      </c>
      <c r="M56" s="7" t="s">
        <v>29</v>
      </c>
      <c r="N56" s="7" t="s">
        <v>29</v>
      </c>
      <c r="O56" s="7" t="s">
        <v>29</v>
      </c>
      <c r="P56" s="7" t="s">
        <v>29</v>
      </c>
      <c r="Q56" s="7" t="s">
        <v>29</v>
      </c>
      <c r="R56" s="7" t="s">
        <v>29</v>
      </c>
      <c r="S56" s="7" t="s">
        <v>29</v>
      </c>
    </row>
    <row r="57" spans="1:19">
      <c r="A57" s="7" t="s">
        <v>88</v>
      </c>
      <c r="B57" s="7" t="s">
        <v>1218</v>
      </c>
      <c r="C57" s="8">
        <v>30</v>
      </c>
      <c r="D57" s="5" t="str">
        <f>LRTRIM(CONCATENATE(IF(SUMPRODUCT(-- ISNUMBER(SEARCH({"Auto Number"}, $B57))) &gt; 0, $B57, IF(SUMPRODUCT(-- ISNUMBER(SEARCH({"Lookup","Master-Detail"}, $B57))) &gt; 0,$B57 &amp; "(" &amp; $E57 &amp; ")",IF(SUMPRODUCT(-- ISNUMBER(SEARCH({"Formula","Roll-Up Summary"}, $B57))) &gt; 0,$B57 &amp; " (" &amp; $E57 &amp; ")",IF(SUMPRODUCT(-- ISNUMBER(SEARCH({"Content","Currency","Number","Percent","Text","URL"}, $B57))) &gt; 0,$B57 &amp; "(" &amp; $C57 &amp; ")",$B57)))), "  ", TRIM(IF($S57 = "YES", "(External ID)", "") &amp; " " &amp; IF(SUMPRODUCT(-- ISNUMBER(SEARCH({"Unique","Unique Case Insensitive"}, $R57))) &gt; 0, "(" &amp; $R57 &amp; ")", ""))))</f>
        <v>Text(30)</v>
      </c>
      <c r="E57" s="7" t="s">
        <v>195</v>
      </c>
      <c r="F57" s="7" t="s">
        <v>139</v>
      </c>
      <c r="G57" s="7" t="s">
        <v>166</v>
      </c>
      <c r="H57" s="7" t="s">
        <v>195</v>
      </c>
      <c r="I57" s="7" t="s">
        <v>195</v>
      </c>
      <c r="J57" s="7" t="s">
        <v>195</v>
      </c>
      <c r="K57" s="7" t="s">
        <v>195</v>
      </c>
      <c r="L57" s="7" t="s">
        <v>195</v>
      </c>
      <c r="M57" s="7" t="s">
        <v>29</v>
      </c>
      <c r="N57" s="7" t="s">
        <v>29</v>
      </c>
      <c r="O57" s="7" t="s">
        <v>29</v>
      </c>
      <c r="P57" s="7" t="s">
        <v>29</v>
      </c>
      <c r="Q57" s="7" t="s">
        <v>29</v>
      </c>
      <c r="R57" s="7" t="s">
        <v>29</v>
      </c>
      <c r="S57" s="7" t="s">
        <v>29</v>
      </c>
    </row>
    <row r="58" spans="1:19">
      <c r="A58" s="7" t="s">
        <v>89</v>
      </c>
      <c r="B58" s="7" t="s">
        <v>1210</v>
      </c>
      <c r="C58" s="8">
        <v>18</v>
      </c>
      <c r="D58" s="5" t="str">
        <f>LRTRIM(CONCATENATE(IF(SUMPRODUCT(-- ISNUMBER(SEARCH({"Auto Number"}, $B58))) &gt; 0, $B58, IF(SUMPRODUCT(-- ISNUMBER(SEARCH({"Lookup","Master-Detail"}, $B58))) &gt; 0,$B58 &amp; "(" &amp; $E58 &amp; ")",IF(SUMPRODUCT(-- ISNUMBER(SEARCH({"Formula","Roll-Up Summary"}, $B58))) &gt; 0,$B58 &amp; " (" &amp; $E58 &amp; ")",IF(SUMPRODUCT(-- ISNUMBER(SEARCH({"Content","Currency","Number","Percent","Text","URL"}, $B58))) &gt; 0,$B58 &amp; "(" &amp; $C58 &amp; ")",$B58)))), "  ", TRIM(IF($S58 = "YES", "(External ID)", "") &amp; " " &amp; IF(SUMPRODUCT(-- ISNUMBER(SEARCH({"Unique","Unique Case Insensitive"}, $R58))) &gt; 0, "(" &amp; $R58 &amp; ")", ""))))</f>
        <v>Hierarchy</v>
      </c>
      <c r="E58" s="7" t="s">
        <v>5</v>
      </c>
      <c r="F58" s="7" t="s">
        <v>1284</v>
      </c>
      <c r="G58" s="7" t="s">
        <v>195</v>
      </c>
      <c r="H58" s="7" t="s">
        <v>195</v>
      </c>
      <c r="I58" s="7" t="s">
        <v>195</v>
      </c>
      <c r="J58" s="7" t="s">
        <v>195</v>
      </c>
      <c r="K58" s="7" t="s">
        <v>195</v>
      </c>
      <c r="L58" s="7" t="s">
        <v>195</v>
      </c>
      <c r="M58" s="7" t="s">
        <v>29</v>
      </c>
      <c r="N58" s="7" t="s">
        <v>29</v>
      </c>
      <c r="O58" s="7" t="s">
        <v>29</v>
      </c>
      <c r="P58" s="7" t="s">
        <v>29</v>
      </c>
      <c r="Q58" s="7" t="s">
        <v>29</v>
      </c>
      <c r="R58" s="7" t="s">
        <v>29</v>
      </c>
      <c r="S58" s="7" t="s">
        <v>29</v>
      </c>
    </row>
    <row r="59" spans="1:19">
      <c r="A59" s="7" t="s">
        <v>90</v>
      </c>
      <c r="B59" s="7" t="s">
        <v>1218</v>
      </c>
      <c r="C59" s="8">
        <v>20</v>
      </c>
      <c r="D59" s="5" t="str">
        <f>LRTRIM(CONCATENATE(IF(SUMPRODUCT(-- ISNUMBER(SEARCH({"Auto Number"}, $B59))) &gt; 0, $B59, IF(SUMPRODUCT(-- ISNUMBER(SEARCH({"Lookup","Master-Detail"}, $B59))) &gt; 0,$B59 &amp; "(" &amp; $E59 &amp; ")",IF(SUMPRODUCT(-- ISNUMBER(SEARCH({"Formula","Roll-Up Summary"}, $B59))) &gt; 0,$B59 &amp; " (" &amp; $E59 &amp; ")",IF(SUMPRODUCT(-- ISNUMBER(SEARCH({"Content","Currency","Number","Percent","Text","URL"}, $B59))) &gt; 0,$B59 &amp; "(" &amp; $C59 &amp; ")",$B59)))), "  ", TRIM(IF($S59 = "YES", "(External ID)", "") &amp; " " &amp; IF(SUMPRODUCT(-- ISNUMBER(SEARCH({"Unique","Unique Case Insensitive"}, $R59))) &gt; 0, "(" &amp; $R59 &amp; ")", ""))))</f>
        <v>Text(20)  (Unique Case Insensitive)</v>
      </c>
      <c r="E59" s="7" t="s">
        <v>195</v>
      </c>
      <c r="F59" s="7" t="s">
        <v>141</v>
      </c>
      <c r="G59" s="7" t="s">
        <v>167</v>
      </c>
      <c r="H59" s="7" t="s">
        <v>195</v>
      </c>
      <c r="I59" s="7" t="s">
        <v>195</v>
      </c>
      <c r="J59" s="7" t="s">
        <v>195</v>
      </c>
      <c r="K59" s="7" t="s">
        <v>195</v>
      </c>
      <c r="L59" s="7" t="s">
        <v>195</v>
      </c>
      <c r="M59" s="7" t="s">
        <v>29</v>
      </c>
      <c r="N59" s="7" t="s">
        <v>29</v>
      </c>
      <c r="O59" s="7" t="s">
        <v>29</v>
      </c>
      <c r="P59" s="7" t="s">
        <v>29</v>
      </c>
      <c r="Q59" s="7" t="s">
        <v>29</v>
      </c>
      <c r="R59" s="7" t="s">
        <v>1271</v>
      </c>
      <c r="S59" s="7" t="s">
        <v>29</v>
      </c>
    </row>
    <row r="60" spans="1:19">
      <c r="A60" s="7" t="s">
        <v>1243</v>
      </c>
      <c r="B60" s="7" t="s">
        <v>1218</v>
      </c>
      <c r="C60" s="8">
        <v>20</v>
      </c>
      <c r="D60" s="5" t="str">
        <f>LRTRIM(CONCATENATE(IF(SUMPRODUCT(-- ISNUMBER(SEARCH({"Auto Number"}, $B60))) &gt; 0, $B60, IF(SUMPRODUCT(-- ISNUMBER(SEARCH({"Lookup","Master-Detail"}, $B60))) &gt; 0,$B60 &amp; "(" &amp; $E60 &amp; ")",IF(SUMPRODUCT(-- ISNUMBER(SEARCH({"Formula","Roll-Up Summary"}, $B60))) &gt; 0,$B60 &amp; " (" &amp; $E60 &amp; ")",IF(SUMPRODUCT(-- ISNUMBER(SEARCH({"Content","Currency","Number","Percent","Text","URL"}, $B60))) &gt; 0,$B60 &amp; "(" &amp; $C60 &amp; ")",$B60)))), "  ", TRIM(IF($S60 = "YES", "(External ID)", "") &amp; " " &amp; IF(SUMPRODUCT(-- ISNUMBER(SEARCH({"Unique","Unique Case Insensitive"}, $R60))) &gt; 0, "(" &amp; $R60 &amp; ")", ""))))</f>
        <v>Text(20)</v>
      </c>
      <c r="E60" s="7" t="s">
        <v>195</v>
      </c>
      <c r="F60" s="7" t="s">
        <v>422</v>
      </c>
      <c r="G60" s="7" t="s">
        <v>195</v>
      </c>
      <c r="H60" s="7" t="s">
        <v>195</v>
      </c>
      <c r="I60" s="7" t="s">
        <v>195</v>
      </c>
      <c r="J60" s="7" t="s">
        <v>195</v>
      </c>
      <c r="K60" s="7" t="s">
        <v>195</v>
      </c>
      <c r="L60" s="7" t="s">
        <v>195</v>
      </c>
      <c r="M60" s="7" t="s">
        <v>29</v>
      </c>
      <c r="N60" s="7" t="s">
        <v>29</v>
      </c>
      <c r="O60" s="7" t="s">
        <v>29</v>
      </c>
      <c r="P60" s="7" t="s">
        <v>29</v>
      </c>
      <c r="Q60" s="7" t="s">
        <v>29</v>
      </c>
      <c r="R60" s="7" t="s">
        <v>29</v>
      </c>
      <c r="S60" s="7" t="s">
        <v>29</v>
      </c>
    </row>
    <row r="61" spans="1:19">
      <c r="A61" s="7" t="s">
        <v>91</v>
      </c>
      <c r="B61" s="7" t="s">
        <v>1211</v>
      </c>
      <c r="C61" s="8">
        <v>18</v>
      </c>
      <c r="D61" s="5" t="str">
        <f>LRTRIM(CONCATENATE(IF(SUMPRODUCT(-- ISNUMBER(SEARCH({"Auto Number"}, $B61))) &gt; 0, $B61, IF(SUMPRODUCT(-- ISNUMBER(SEARCH({"Lookup","Master-Detail"}, $B61))) &gt; 0,$B61 &amp; "(" &amp; $E61 &amp; ")",IF(SUMPRODUCT(-- ISNUMBER(SEARCH({"Formula","Roll-Up Summary"}, $B61))) &gt; 0,$B61 &amp; " (" &amp; $E61 &amp; ")",IF(SUMPRODUCT(-- ISNUMBER(SEARCH({"Content","Currency","Number","Percent","Text","URL"}, $B61))) &gt; 0,$B61 &amp; "(" &amp; $C61 &amp; ")",$B61)))), "  ", TRIM(IF($S61 = "YES", "(External ID)", "") &amp; " " &amp; IF(SUMPRODUCT(-- ISNUMBER(SEARCH({"Unique","Unique Case Insensitive"}, $R61))) &gt; 0, "(" &amp; $R61 &amp; ")", ""))))</f>
        <v>Lookup(Contact)</v>
      </c>
      <c r="E61" s="7" t="s">
        <v>6</v>
      </c>
      <c r="F61" s="7" t="s">
        <v>1285</v>
      </c>
      <c r="G61" s="7" t="s">
        <v>195</v>
      </c>
      <c r="H61" s="7" t="s">
        <v>195</v>
      </c>
      <c r="I61" s="7" t="s">
        <v>195</v>
      </c>
      <c r="J61" s="7" t="s">
        <v>195</v>
      </c>
      <c r="K61" s="7" t="s">
        <v>195</v>
      </c>
      <c r="L61" s="7" t="s">
        <v>195</v>
      </c>
      <c r="M61" s="7" t="s">
        <v>29</v>
      </c>
      <c r="N61" s="7" t="s">
        <v>29</v>
      </c>
      <c r="O61" s="7" t="s">
        <v>29</v>
      </c>
      <c r="P61" s="7" t="s">
        <v>29</v>
      </c>
      <c r="Q61" s="7" t="s">
        <v>29</v>
      </c>
      <c r="R61" s="7" t="s">
        <v>29</v>
      </c>
      <c r="S61" s="7" t="s">
        <v>29</v>
      </c>
    </row>
    <row r="62" spans="1:19">
      <c r="A62" s="7" t="s">
        <v>92</v>
      </c>
      <c r="B62" s="7" t="s">
        <v>142</v>
      </c>
      <c r="C62" s="8">
        <v>80</v>
      </c>
      <c r="D62" s="5" t="str">
        <f>LRTRIM(CONCATENATE(IF(SUMPRODUCT(-- ISNUMBER(SEARCH({"Auto Number"}, $B62))) &gt; 0, $B62, IF(SUMPRODUCT(-- ISNUMBER(SEARCH({"Lookup","Master-Detail"}, $B62))) &gt; 0,$B62 &amp; "(" &amp; $E62 &amp; ")",IF(SUMPRODUCT(-- ISNUMBER(SEARCH({"Formula","Roll-Up Summary"}, $B62))) &gt; 0,$B62 &amp; " (" &amp; $E62 &amp; ")",IF(SUMPRODUCT(-- ISNUMBER(SEARCH({"Content","Currency","Number","Percent","Text","URL"}, $B62))) &gt; 0,$B62 &amp; "(" &amp; $C62 &amp; ")",$B62)))), "  ", TRIM(IF($S62 = "YES", "(External ID)", "") &amp; " " &amp; IF(SUMPRODUCT(-- ISNUMBER(SEARCH({"Unique","Unique Case Insensitive"}, $R62))) &gt; 0, "(" &amp; $R62 &amp; ")", ""))))</f>
        <v>Email</v>
      </c>
      <c r="E62" s="7" t="s">
        <v>195</v>
      </c>
      <c r="F62" s="7" t="s">
        <v>142</v>
      </c>
      <c r="G62" s="7" t="s">
        <v>195</v>
      </c>
      <c r="H62" s="7" t="s">
        <v>195</v>
      </c>
      <c r="I62" s="7" t="s">
        <v>195</v>
      </c>
      <c r="J62" s="7" t="s">
        <v>195</v>
      </c>
      <c r="K62" s="7" t="s">
        <v>195</v>
      </c>
      <c r="L62" s="7" t="s">
        <v>195</v>
      </c>
      <c r="M62" s="7" t="s">
        <v>29</v>
      </c>
      <c r="N62" s="7" t="s">
        <v>29</v>
      </c>
      <c r="O62" s="7" t="s">
        <v>29</v>
      </c>
      <c r="P62" s="7" t="s">
        <v>29</v>
      </c>
      <c r="Q62" s="7" t="s">
        <v>29</v>
      </c>
      <c r="R62" s="7" t="s">
        <v>29</v>
      </c>
      <c r="S62" s="7" t="s">
        <v>29</v>
      </c>
    </row>
    <row r="63" spans="1:19">
      <c r="A63" s="7" t="s">
        <v>1244</v>
      </c>
      <c r="B63" s="7" t="s">
        <v>142</v>
      </c>
      <c r="C63" s="8">
        <v>0</v>
      </c>
      <c r="D63" s="5" t="str">
        <f>LRTRIM(CONCATENATE(IF(SUMPRODUCT(-- ISNUMBER(SEARCH({"Auto Number"}, $B63))) &gt; 0, $B63, IF(SUMPRODUCT(-- ISNUMBER(SEARCH({"Lookup","Master-Detail"}, $B63))) &gt; 0,$B63 &amp; "(" &amp; $E63 &amp; ")",IF(SUMPRODUCT(-- ISNUMBER(SEARCH({"Formula","Roll-Up Summary"}, $B63))) &gt; 0,$B63 &amp; " (" &amp; $E63 &amp; ")",IF(SUMPRODUCT(-- ISNUMBER(SEARCH({"Content","Currency","Number","Percent","Text","URL"}, $B63))) &gt; 0,$B63 &amp; "(" &amp; $C63 &amp; ")",$B63)))), "  ", TRIM(IF($S63 = "YES", "(External ID)", "") &amp; " " &amp; IF(SUMPRODUCT(-- ISNUMBER(SEARCH({"Unique","Unique Case Insensitive"}, $R63))) &gt; 0, "(" &amp; $R63 &amp; ")", ""))))</f>
        <v>Email</v>
      </c>
      <c r="E63" s="7" t="s">
        <v>195</v>
      </c>
      <c r="F63" s="7" t="s">
        <v>92</v>
      </c>
      <c r="G63" s="7" t="s">
        <v>168</v>
      </c>
      <c r="H63" s="7" t="s">
        <v>195</v>
      </c>
      <c r="I63" s="7" t="s">
        <v>195</v>
      </c>
      <c r="J63" s="7" t="s">
        <v>195</v>
      </c>
      <c r="K63" s="7" t="s">
        <v>195</v>
      </c>
      <c r="L63" s="7" t="s">
        <v>195</v>
      </c>
      <c r="M63" s="7" t="s">
        <v>29</v>
      </c>
      <c r="N63" s="7" t="s">
        <v>29</v>
      </c>
      <c r="O63" s="7" t="s">
        <v>29</v>
      </c>
      <c r="P63" s="7" t="s">
        <v>29</v>
      </c>
      <c r="Q63" s="7" t="s">
        <v>29</v>
      </c>
      <c r="R63" s="7" t="s">
        <v>29</v>
      </c>
      <c r="S63" s="7" t="s">
        <v>29</v>
      </c>
    </row>
    <row r="64" spans="1:19">
      <c r="A64" s="7" t="s">
        <v>1201</v>
      </c>
      <c r="B64" s="7" t="s">
        <v>1211</v>
      </c>
      <c r="C64" s="8">
        <v>18</v>
      </c>
      <c r="D64" s="5" t="str">
        <f>LRTRIM(CONCATENATE(IF(SUMPRODUCT(-- ISNUMBER(SEARCH({"Auto Number"}, $B64))) &gt; 0, $B64, IF(SUMPRODUCT(-- ISNUMBER(SEARCH({"Lookup","Master-Detail"}, $B64))) &gt; 0,$B64 &amp; "(" &amp; $E64 &amp; ")",IF(SUMPRODUCT(-- ISNUMBER(SEARCH({"Formula","Roll-Up Summary"}, $B64))) &gt; 0,$B64 &amp; " (" &amp; $E64 &amp; ")",IF(SUMPRODUCT(-- ISNUMBER(SEARCH({"Content","Currency","Number","Percent","Text","URL"}, $B64))) &gt; 0,$B64 &amp; "(" &amp; $C64 &amp; ")",$B64)))), "  ", TRIM(IF($S64 = "YES", "(External ID)", "") &amp; " " &amp; IF(SUMPRODUCT(-- ISNUMBER(SEARCH({"Unique","Unique Case Insensitive"}, $R64))) &gt; 0, "(" &amp; $R64 &amp; ")", ""))))</f>
        <v>Lookup(Individual)</v>
      </c>
      <c r="E64" s="7" t="s">
        <v>594</v>
      </c>
      <c r="F64" s="7" t="s">
        <v>594</v>
      </c>
      <c r="G64" s="7" t="s">
        <v>195</v>
      </c>
      <c r="H64" s="7" t="s">
        <v>195</v>
      </c>
      <c r="I64" s="7" t="s">
        <v>195</v>
      </c>
      <c r="J64" s="7" t="s">
        <v>195</v>
      </c>
      <c r="K64" s="7" t="s">
        <v>195</v>
      </c>
      <c r="L64" s="7" t="s">
        <v>195</v>
      </c>
      <c r="M64" s="7" t="s">
        <v>29</v>
      </c>
      <c r="N64" s="7" t="s">
        <v>29</v>
      </c>
      <c r="O64" s="7" t="s">
        <v>29</v>
      </c>
      <c r="P64" s="7" t="s">
        <v>29</v>
      </c>
      <c r="Q64" s="7" t="s">
        <v>29</v>
      </c>
      <c r="R64" s="7" t="s">
        <v>29</v>
      </c>
      <c r="S64" s="7" t="s">
        <v>29</v>
      </c>
    </row>
    <row r="65" spans="1:19">
      <c r="A65" s="7" t="s">
        <v>1277</v>
      </c>
      <c r="B65" s="7" t="s">
        <v>1203</v>
      </c>
      <c r="C65" s="8">
        <v>0</v>
      </c>
      <c r="D65" s="5" t="str">
        <f>LRTRIM(CONCATENATE(IF(SUMPRODUCT(-- ISNUMBER(SEARCH({"Auto Number"}, $B65))) &gt; 0, $B65, IF(SUMPRODUCT(-- ISNUMBER(SEARCH({"Lookup","Master-Detail"}, $B65))) &gt; 0,$B65 &amp; "(" &amp; $E65 &amp; ")",IF(SUMPRODUCT(-- ISNUMBER(SEARCH({"Formula","Roll-Up Summary"}, $B65))) &gt; 0,$B65 &amp; " (" &amp; $E65 &amp; ")",IF(SUMPRODUCT(-- ISNUMBER(SEARCH({"Content","Currency","Number","Percent","Text","URL"}, $B65))) &gt; 0,$B65 &amp; "(" &amp; $C65 &amp; ")",$B65)))), "  ", TRIM(IF($S65 = "YES", "(External ID)", "") &amp; " " &amp; IF(SUMPRODUCT(-- ISNUMBER(SEARCH({"Unique","Unique Case Insensitive"}, $R65))) &gt; 0, "(" &amp; $R65 &amp; ")", ""))))</f>
        <v>Address</v>
      </c>
      <c r="E65" s="7" t="s">
        <v>195</v>
      </c>
      <c r="F65" s="7" t="s">
        <v>195</v>
      </c>
      <c r="G65" s="7" t="s">
        <v>195</v>
      </c>
      <c r="H65" s="7" t="s">
        <v>195</v>
      </c>
      <c r="I65" s="7" t="s">
        <v>195</v>
      </c>
      <c r="J65" s="7" t="s">
        <v>195</v>
      </c>
      <c r="K65" s="7" t="s">
        <v>195</v>
      </c>
      <c r="L65" s="7" t="s">
        <v>195</v>
      </c>
      <c r="M65" s="7" t="s">
        <v>29</v>
      </c>
      <c r="N65" s="7" t="s">
        <v>29</v>
      </c>
      <c r="O65" s="7" t="s">
        <v>29</v>
      </c>
      <c r="P65" s="7" t="s">
        <v>28</v>
      </c>
      <c r="Q65" s="7" t="s">
        <v>29</v>
      </c>
      <c r="R65" s="7" t="s">
        <v>29</v>
      </c>
      <c r="S65" s="7" t="s">
        <v>29</v>
      </c>
    </row>
    <row r="66" spans="1:19">
      <c r="A66" s="7" t="s">
        <v>1278</v>
      </c>
      <c r="B66" s="7" t="s">
        <v>195</v>
      </c>
      <c r="C66" s="8">
        <v>0</v>
      </c>
      <c r="D66" s="5" t="str">
        <f>LRTRIM(CONCATENATE(IF(SUMPRODUCT(-- ISNUMBER(SEARCH({"Auto Number"}, $B66))) &gt; 0, $B66, IF(SUMPRODUCT(-- ISNUMBER(SEARCH({"Lookup","Master-Detail"}, $B66))) &gt; 0,$B66 &amp; "(" &amp; $E66 &amp; ")",IF(SUMPRODUCT(-- ISNUMBER(SEARCH({"Formula","Roll-Up Summary"}, $B66))) &gt; 0,$B66 &amp; " (" &amp; $E66 &amp; ")",IF(SUMPRODUCT(-- ISNUMBER(SEARCH({"Content","Currency","Number","Percent","Text","URL"}, $B66))) &gt; 0,$B66 &amp; "(" &amp; $C66 &amp; ")",$B66)))), "  ", TRIM(IF($S66 = "YES", "(External ID)", "") &amp; " " &amp; IF(SUMPRODUCT(-- ISNUMBER(SEARCH({"Unique","Unique Case Insensitive"}, $R66))) &gt; 0, "(" &amp; $R66 &amp; ")", ""))))</f>
        <v>na</v>
      </c>
      <c r="E66" s="7" t="s">
        <v>195</v>
      </c>
      <c r="F66" s="7" t="s">
        <v>195</v>
      </c>
      <c r="G66" s="7" t="s">
        <v>195</v>
      </c>
      <c r="H66" s="7" t="s">
        <v>195</v>
      </c>
      <c r="I66" s="7" t="s">
        <v>195</v>
      </c>
      <c r="J66" s="7" t="s">
        <v>195</v>
      </c>
      <c r="K66" s="7" t="s">
        <v>195</v>
      </c>
      <c r="L66" s="7" t="s">
        <v>195</v>
      </c>
      <c r="M66" s="7" t="s">
        <v>29</v>
      </c>
      <c r="N66" s="7" t="s">
        <v>29</v>
      </c>
      <c r="O66" s="7" t="s">
        <v>29</v>
      </c>
      <c r="P66" s="7" t="s">
        <v>28</v>
      </c>
      <c r="Q66" s="7" t="s">
        <v>29</v>
      </c>
      <c r="R66" s="7" t="s">
        <v>29</v>
      </c>
      <c r="S66" s="7" t="s">
        <v>29</v>
      </c>
    </row>
    <row r="67" spans="1:19">
      <c r="A67" s="7" t="s">
        <v>1282</v>
      </c>
      <c r="B67" s="7" t="s">
        <v>195</v>
      </c>
      <c r="C67" s="8">
        <v>0</v>
      </c>
      <c r="D67" s="5" t="str">
        <f>LRTRIM(CONCATENATE(IF(SUMPRODUCT(-- ISNUMBER(SEARCH({"Auto Number"}, $B67))) &gt; 0, $B67, IF(SUMPRODUCT(-- ISNUMBER(SEARCH({"Lookup","Master-Detail"}, $B67))) &gt; 0,$B67 &amp; "(" &amp; $E67 &amp; ")",IF(SUMPRODUCT(-- ISNUMBER(SEARCH({"Formula","Roll-Up Summary"}, $B67))) &gt; 0,$B67 &amp; " (" &amp; $E67 &amp; ")",IF(SUMPRODUCT(-- ISNUMBER(SEARCH({"Content","Currency","Number","Percent","Text","URL"}, $B67))) &gt; 0,$B67 &amp; "(" &amp; $C67 &amp; ")",$B67)))), "  ", TRIM(IF($S67 = "YES", "(External ID)", "") &amp; " " &amp; IF(SUMPRODUCT(-- ISNUMBER(SEARCH({"Unique","Unique Case Insensitive"}, $R67))) &gt; 0, "(" &amp; $R67 &amp; ")", ""))))</f>
        <v>na</v>
      </c>
      <c r="E67" s="7" t="s">
        <v>195</v>
      </c>
      <c r="F67" s="7" t="s">
        <v>195</v>
      </c>
      <c r="G67" s="7" t="s">
        <v>195</v>
      </c>
      <c r="H67" s="7" t="s">
        <v>195</v>
      </c>
      <c r="I67" s="7" t="s">
        <v>1287</v>
      </c>
      <c r="J67" s="7" t="s">
        <v>195</v>
      </c>
      <c r="K67" s="7" t="s">
        <v>195</v>
      </c>
      <c r="L67" s="7" t="s">
        <v>195</v>
      </c>
      <c r="M67" s="7" t="s">
        <v>29</v>
      </c>
      <c r="N67" s="7" t="s">
        <v>29</v>
      </c>
      <c r="O67" s="7" t="s">
        <v>29</v>
      </c>
      <c r="P67" s="7" t="s">
        <v>29</v>
      </c>
      <c r="Q67" s="7" t="s">
        <v>29</v>
      </c>
      <c r="R67" s="7" t="s">
        <v>29</v>
      </c>
      <c r="S67" s="7" t="s">
        <v>29</v>
      </c>
    </row>
    <row r="68" spans="1:19">
      <c r="A68" s="7" t="s">
        <v>1279</v>
      </c>
      <c r="B68" s="7" t="s">
        <v>195</v>
      </c>
      <c r="C68" s="8">
        <v>0</v>
      </c>
      <c r="D68" s="5" t="str">
        <f>LRTRIM(CONCATENATE(IF(SUMPRODUCT(-- ISNUMBER(SEARCH({"Auto Number"}, $B68))) &gt; 0, $B68, IF(SUMPRODUCT(-- ISNUMBER(SEARCH({"Lookup","Master-Detail"}, $B68))) &gt; 0,$B68 &amp; "(" &amp; $E68 &amp; ")",IF(SUMPRODUCT(-- ISNUMBER(SEARCH({"Formula","Roll-Up Summary"}, $B68))) &gt; 0,$B68 &amp; " (" &amp; $E68 &amp; ")",IF(SUMPRODUCT(-- ISNUMBER(SEARCH({"Content","Currency","Number","Percent","Text","URL"}, $B68))) &gt; 0,$B68 &amp; "(" &amp; $C68 &amp; ")",$B68)))), "  ", TRIM(IF($S68 = "YES", "(External ID)", "") &amp; " " &amp; IF(SUMPRODUCT(-- ISNUMBER(SEARCH({"Unique","Unique Case Insensitive"}, $R68))) &gt; 0, "(" &amp; $R68 &amp; ")", ""))))</f>
        <v>na</v>
      </c>
      <c r="E68" s="7" t="s">
        <v>195</v>
      </c>
      <c r="F68" s="7" t="s">
        <v>195</v>
      </c>
      <c r="G68" s="7" t="s">
        <v>195</v>
      </c>
      <c r="H68" s="7" t="s">
        <v>195</v>
      </c>
      <c r="I68" s="7" t="s">
        <v>195</v>
      </c>
      <c r="J68" s="7" t="s">
        <v>195</v>
      </c>
      <c r="K68" s="7" t="s">
        <v>195</v>
      </c>
      <c r="L68" s="7" t="s">
        <v>195</v>
      </c>
      <c r="M68" s="7" t="s">
        <v>29</v>
      </c>
      <c r="N68" s="7" t="s">
        <v>29</v>
      </c>
      <c r="O68" s="7" t="s">
        <v>29</v>
      </c>
      <c r="P68" s="7" t="s">
        <v>28</v>
      </c>
      <c r="Q68" s="7" t="s">
        <v>29</v>
      </c>
      <c r="R68" s="7" t="s">
        <v>29</v>
      </c>
      <c r="S68" s="7" t="s">
        <v>29</v>
      </c>
    </row>
    <row r="69" spans="1:19">
      <c r="A69" s="7" t="s">
        <v>93</v>
      </c>
      <c r="B69" s="7" t="s">
        <v>95</v>
      </c>
      <c r="C69" s="8">
        <v>40</v>
      </c>
      <c r="D69" s="5" t="str">
        <f>LRTRIM(CONCATENATE(IF(SUMPRODUCT(-- ISNUMBER(SEARCH({"Auto Number"}, $B69))) &gt; 0, $B69, IF(SUMPRODUCT(-- ISNUMBER(SEARCH({"Lookup","Master-Detail"}, $B69))) &gt; 0,$B69 &amp; "(" &amp; $E69 &amp; ")",IF(SUMPRODUCT(-- ISNUMBER(SEARCH({"Formula","Roll-Up Summary"}, $B69))) &gt; 0,$B69 &amp; " (" &amp; $E69 &amp; ")",IF(SUMPRODUCT(-- ISNUMBER(SEARCH({"Content","Currency","Number","Percent","Text","URL"}, $B69))) &gt; 0,$B69 &amp; "(" &amp; $C69 &amp; ")",$B69)))), "  ", TRIM(IF($S69 = "YES", "(External ID)", "") &amp; " " &amp; IF(SUMPRODUCT(-- ISNUMBER(SEARCH({"Unique","Unique Case Insensitive"}, $R69))) &gt; 0, "(" &amp; $R69 &amp; ")", ""))))</f>
        <v>Phone</v>
      </c>
      <c r="E69" s="7" t="s">
        <v>195</v>
      </c>
      <c r="F69" s="7" t="s">
        <v>143</v>
      </c>
      <c r="G69" s="7" t="s">
        <v>195</v>
      </c>
      <c r="H69" s="7" t="s">
        <v>195</v>
      </c>
      <c r="I69" s="7" t="s">
        <v>195</v>
      </c>
      <c r="J69" s="7" t="s">
        <v>195</v>
      </c>
      <c r="K69" s="7" t="s">
        <v>195</v>
      </c>
      <c r="L69" s="7" t="s">
        <v>195</v>
      </c>
      <c r="M69" s="7" t="s">
        <v>29</v>
      </c>
      <c r="N69" s="7" t="s">
        <v>29</v>
      </c>
      <c r="O69" s="7" t="s">
        <v>29</v>
      </c>
      <c r="P69" s="7" t="s">
        <v>29</v>
      </c>
      <c r="Q69" s="7" t="s">
        <v>29</v>
      </c>
      <c r="R69" s="7" t="s">
        <v>29</v>
      </c>
      <c r="S69" s="7" t="s">
        <v>29</v>
      </c>
    </row>
    <row r="70" spans="1:19">
      <c r="A70" s="7" t="s">
        <v>1283</v>
      </c>
      <c r="B70" s="7" t="s">
        <v>195</v>
      </c>
      <c r="C70" s="8">
        <v>0</v>
      </c>
      <c r="D70" s="5" t="str">
        <f>LRTRIM(CONCATENATE(IF(SUMPRODUCT(-- ISNUMBER(SEARCH({"Auto Number"}, $B70))) &gt; 0, $B70, IF(SUMPRODUCT(-- ISNUMBER(SEARCH({"Lookup","Master-Detail"}, $B70))) &gt; 0,$B70 &amp; "(" &amp; $E70 &amp; ")",IF(SUMPRODUCT(-- ISNUMBER(SEARCH({"Formula","Roll-Up Summary"}, $B70))) &gt; 0,$B70 &amp; " (" &amp; $E70 &amp; ")",IF(SUMPRODUCT(-- ISNUMBER(SEARCH({"Content","Currency","Number","Percent","Text","URL"}, $B70))) &gt; 0,$B70 &amp; "(" &amp; $C70 &amp; ")",$B70)))), "  ", TRIM(IF($S70 = "YES", "(External ID)", "") &amp; " " &amp; IF(SUMPRODUCT(-- ISNUMBER(SEARCH({"Unique","Unique Case Insensitive"}, $R70))) &gt; 0, "(" &amp; $R70 &amp; ")", ""))))</f>
        <v>na</v>
      </c>
      <c r="E70" s="7" t="s">
        <v>195</v>
      </c>
      <c r="F70" s="7" t="s">
        <v>195</v>
      </c>
      <c r="G70" s="7" t="s">
        <v>195</v>
      </c>
      <c r="H70" s="7" t="s">
        <v>195</v>
      </c>
      <c r="I70" s="7" t="s">
        <v>1287</v>
      </c>
      <c r="J70" s="7" t="s">
        <v>195</v>
      </c>
      <c r="K70" s="7" t="s">
        <v>195</v>
      </c>
      <c r="L70" s="7" t="s">
        <v>195</v>
      </c>
      <c r="M70" s="7" t="s">
        <v>29</v>
      </c>
      <c r="N70" s="7" t="s">
        <v>29</v>
      </c>
      <c r="O70" s="7" t="s">
        <v>29</v>
      </c>
      <c r="P70" s="7" t="s">
        <v>29</v>
      </c>
      <c r="Q70" s="7" t="s">
        <v>29</v>
      </c>
      <c r="R70" s="7" t="s">
        <v>29</v>
      </c>
      <c r="S70" s="7" t="s">
        <v>29</v>
      </c>
    </row>
    <row r="71" spans="1:19">
      <c r="A71" s="7" t="s">
        <v>94</v>
      </c>
      <c r="B71" s="7" t="s">
        <v>1218</v>
      </c>
      <c r="C71" s="8">
        <v>80</v>
      </c>
      <c r="D71" s="5" t="str">
        <f>LRTRIM(CONCATENATE(IF(SUMPRODUCT(-- ISNUMBER(SEARCH({"Auto Number"}, $B71))) &gt; 0, $B71, IF(SUMPRODUCT(-- ISNUMBER(SEARCH({"Lookup","Master-Detail"}, $B71))) &gt; 0,$B71 &amp; "(" &amp; $E71 &amp; ")",IF(SUMPRODUCT(-- ISNUMBER(SEARCH({"Formula","Roll-Up Summary"}, $B71))) &gt; 0,$B71 &amp; " (" &amp; $E71 &amp; ")",IF(SUMPRODUCT(-- ISNUMBER(SEARCH({"Content","Currency","Number","Percent","Text","URL"}, $B71))) &gt; 0,$B71 &amp; "(" &amp; $C71 &amp; ")",$B71)))), "  ", TRIM(IF($S71 = "YES", "(External ID)", "") &amp; " " &amp; IF(SUMPRODUCT(-- ISNUMBER(SEARCH({"Unique","Unique Case Insensitive"}, $R71))) &gt; 0, "(" &amp; $R71 &amp; ")", ""))))</f>
        <v>Text(80)</v>
      </c>
      <c r="E71" s="7" t="s">
        <v>195</v>
      </c>
      <c r="F71" s="7" t="s">
        <v>144</v>
      </c>
      <c r="G71" s="7" t="s">
        <v>195</v>
      </c>
      <c r="H71" s="7" t="s">
        <v>195</v>
      </c>
      <c r="I71" s="7" t="s">
        <v>195</v>
      </c>
      <c r="J71" s="7" t="s">
        <v>195</v>
      </c>
      <c r="K71" s="7" t="s">
        <v>195</v>
      </c>
      <c r="L71" s="7" t="s">
        <v>195</v>
      </c>
      <c r="M71" s="7" t="s">
        <v>29</v>
      </c>
      <c r="N71" s="7" t="s">
        <v>29</v>
      </c>
      <c r="O71" s="7" t="s">
        <v>29</v>
      </c>
      <c r="P71" s="7" t="s">
        <v>29</v>
      </c>
      <c r="Q71" s="7" t="s">
        <v>29</v>
      </c>
      <c r="R71" s="7" t="s">
        <v>29</v>
      </c>
      <c r="S71" s="7" t="s">
        <v>29</v>
      </c>
    </row>
    <row r="72" spans="1:19">
      <c r="A72" s="7" t="s">
        <v>95</v>
      </c>
      <c r="B72" s="7" t="s">
        <v>95</v>
      </c>
      <c r="C72" s="8">
        <v>40</v>
      </c>
      <c r="D72" s="5" t="str">
        <f>LRTRIM(CONCATENATE(IF(SUMPRODUCT(-- ISNUMBER(SEARCH({"Auto Number"}, $B72))) &gt; 0, $B72, IF(SUMPRODUCT(-- ISNUMBER(SEARCH({"Lookup","Master-Detail"}, $B72))) &gt; 0,$B72 &amp; "(" &amp; $E72 &amp; ")",IF(SUMPRODUCT(-- ISNUMBER(SEARCH({"Formula","Roll-Up Summary"}, $B72))) &gt; 0,$B72 &amp; " (" &amp; $E72 &amp; ")",IF(SUMPRODUCT(-- ISNUMBER(SEARCH({"Content","Currency","Number","Percent","Text","URL"}, $B72))) &gt; 0,$B72 &amp; "(" &amp; $C72 &amp; ")",$B72)))), "  ", TRIM(IF($S72 = "YES", "(External ID)", "") &amp; " " &amp; IF(SUMPRODUCT(-- ISNUMBER(SEARCH({"Unique","Unique Case Insensitive"}, $R72))) &gt; 0, "(" &amp; $R72 &amp; ")", ""))))</f>
        <v>Phone</v>
      </c>
      <c r="E72" s="7" t="s">
        <v>195</v>
      </c>
      <c r="F72" s="7" t="s">
        <v>95</v>
      </c>
      <c r="G72" s="7" t="s">
        <v>195</v>
      </c>
      <c r="H72" s="7" t="s">
        <v>195</v>
      </c>
      <c r="I72" s="7" t="s">
        <v>195</v>
      </c>
      <c r="J72" s="7" t="s">
        <v>195</v>
      </c>
      <c r="K72" s="7" t="s">
        <v>195</v>
      </c>
      <c r="L72" s="7" t="s">
        <v>195</v>
      </c>
      <c r="M72" s="7" t="s">
        <v>29</v>
      </c>
      <c r="N72" s="7" t="s">
        <v>29</v>
      </c>
      <c r="O72" s="7" t="s">
        <v>29</v>
      </c>
      <c r="P72" s="7" t="s">
        <v>29</v>
      </c>
      <c r="Q72" s="7" t="s">
        <v>29</v>
      </c>
      <c r="R72" s="7" t="s">
        <v>29</v>
      </c>
      <c r="S72" s="7" t="s">
        <v>29</v>
      </c>
    </row>
    <row r="73" spans="1:19">
      <c r="A73" s="7" t="s">
        <v>96</v>
      </c>
      <c r="B73" s="7" t="s">
        <v>1213</v>
      </c>
      <c r="C73" s="8" t="s">
        <v>1266</v>
      </c>
      <c r="D73" s="5" t="str">
        <f>LRTRIM(CONCATENATE(IF(SUMPRODUCT(-- ISNUMBER(SEARCH({"Auto Number"}, $B73))) &gt; 0, $B73, IF(SUMPRODUCT(-- ISNUMBER(SEARCH({"Lookup","Master-Detail"}, $B73))) &gt; 0,$B73 &amp; "(" &amp; $E73 &amp; ")",IF(SUMPRODUCT(-- ISNUMBER(SEARCH({"Formula","Roll-Up Summary"}, $B73))) &gt; 0,$B73 &amp; " (" &amp; $E73 &amp; ")",IF(SUMPRODUCT(-- ISNUMBER(SEARCH({"Content","Currency","Number","Percent","Text","URL"}, $B73))) &gt; 0,$B73 &amp; "(" &amp; $C73 &amp; ")",$B73)))), "  ", TRIM(IF($S73 = "YES", "(External ID)", "") &amp; " " &amp; IF(SUMPRODUCT(-- ISNUMBER(SEARCH({"Unique","Unique Case Insensitive"}, $R73))) &gt; 0, "(" &amp; $R73 &amp; ")", ""))))</f>
        <v>Number(12, 0)  (External ID) (Unique)</v>
      </c>
      <c r="E73" s="7" t="s">
        <v>195</v>
      </c>
      <c r="F73" s="7" t="s">
        <v>146</v>
      </c>
      <c r="G73" s="7" t="s">
        <v>171</v>
      </c>
      <c r="H73" s="7" t="s">
        <v>195</v>
      </c>
      <c r="I73" s="7" t="s">
        <v>195</v>
      </c>
      <c r="J73" s="7" t="s">
        <v>195</v>
      </c>
      <c r="K73" s="7" t="s">
        <v>195</v>
      </c>
      <c r="L73" s="7" t="s">
        <v>195</v>
      </c>
      <c r="M73" s="7" t="s">
        <v>29</v>
      </c>
      <c r="N73" s="7" t="s">
        <v>29</v>
      </c>
      <c r="O73" s="7" t="s">
        <v>29</v>
      </c>
      <c r="P73" s="7" t="s">
        <v>29</v>
      </c>
      <c r="Q73" s="7" t="s">
        <v>29</v>
      </c>
      <c r="R73" s="7" t="s">
        <v>1270</v>
      </c>
      <c r="S73" s="7" t="s">
        <v>28</v>
      </c>
    </row>
    <row r="74" spans="1:19">
      <c r="A74" s="7" t="s">
        <v>1245</v>
      </c>
      <c r="B74" s="7" t="s">
        <v>1215</v>
      </c>
      <c r="C74" s="8">
        <v>0</v>
      </c>
      <c r="D74" s="5" t="str">
        <f>LRTRIM(CONCATENATE(IF(SUMPRODUCT(-- ISNUMBER(SEARCH({"Auto Number"}, $B74))) &gt; 0, $B74, IF(SUMPRODUCT(-- ISNUMBER(SEARCH({"Lookup","Master-Detail"}, $B74))) &gt; 0,$B74 &amp; "(" &amp; $E74 &amp; ")",IF(SUMPRODUCT(-- ISNUMBER(SEARCH({"Formula","Roll-Up Summary"}, $B74))) &gt; 0,$B74 &amp; " (" &amp; $E74 &amp; ")",IF(SUMPRODUCT(-- ISNUMBER(SEARCH({"Content","Currency","Number","Percent","Text","URL"}, $B74))) &gt; 0,$B74 &amp; "(" &amp; $C74 &amp; ")",$B74)))), "  ", TRIM(IF($S74 = "YES", "(External ID)", "") &amp; " " &amp; IF(SUMPRODUCT(-- ISNUMBER(SEARCH({"Unique","Unique Case Insensitive"}, $R74))) &gt; 0, "(" &amp; $R74 &amp; ")", ""))))</f>
        <v>Picklist</v>
      </c>
      <c r="E74" s="7" t="s">
        <v>195</v>
      </c>
      <c r="F74" s="7" t="s">
        <v>611</v>
      </c>
      <c r="G74" s="7" t="s">
        <v>195</v>
      </c>
      <c r="H74" s="7" t="s">
        <v>195</v>
      </c>
      <c r="I74" s="7" t="s">
        <v>592</v>
      </c>
      <c r="J74" s="7" t="s">
        <v>195</v>
      </c>
      <c r="K74" s="7" t="s">
        <v>195</v>
      </c>
      <c r="L74" s="7" t="s">
        <v>195</v>
      </c>
      <c r="M74" s="7" t="s">
        <v>29</v>
      </c>
      <c r="N74" s="7" t="s">
        <v>29</v>
      </c>
      <c r="O74" s="7" t="s">
        <v>29</v>
      </c>
      <c r="P74" s="7" t="s">
        <v>29</v>
      </c>
      <c r="Q74" s="7" t="s">
        <v>29</v>
      </c>
      <c r="R74" s="7" t="s">
        <v>29</v>
      </c>
      <c r="S74" s="7" t="s">
        <v>29</v>
      </c>
    </row>
    <row r="75" spans="1:19">
      <c r="A75" s="7" t="s">
        <v>97</v>
      </c>
      <c r="B75" s="7" t="s">
        <v>1217</v>
      </c>
      <c r="C75" s="8">
        <v>18</v>
      </c>
      <c r="D75" s="5" t="str">
        <f>LRTRIM(CONCATENATE(IF(SUMPRODUCT(-- ISNUMBER(SEARCH({"Auto Number"}, $B75))) &gt; 0, $B75, IF(SUMPRODUCT(-- ISNUMBER(SEARCH({"Lookup","Master-Detail"}, $B75))) &gt; 0,$B75 &amp; "(" &amp; $E75 &amp; ")",IF(SUMPRODUCT(-- ISNUMBER(SEARCH({"Formula","Roll-Up Summary"}, $B75))) &gt; 0,$B75 &amp; " (" &amp; $E75 &amp; ")",IF(SUMPRODUCT(-- ISNUMBER(SEARCH({"Content","Currency","Number","Percent","Text","URL"}, $B75))) &gt; 0,$B75 &amp; "(" &amp; $C75 &amp; ")",$B75)))), "  ", TRIM(IF($S75 = "YES", "(External ID)", "") &amp; " " &amp; IF(SUMPRODUCT(-- ISNUMBER(SEARCH({"Unique","Unique Case Insensitive"}, $R75))) &gt; 0, "(" &amp; $R75 &amp; ")", ""))))</f>
        <v>Record Type</v>
      </c>
      <c r="E75" s="7" t="s">
        <v>8</v>
      </c>
      <c r="F75" s="7" t="s">
        <v>1286</v>
      </c>
      <c r="G75" s="7" t="s">
        <v>195</v>
      </c>
      <c r="H75" s="7" t="s">
        <v>195</v>
      </c>
      <c r="I75" s="7" t="s">
        <v>195</v>
      </c>
      <c r="J75" s="7" t="s">
        <v>195</v>
      </c>
      <c r="K75" s="7" t="s">
        <v>195</v>
      </c>
      <c r="L75" s="7" t="s">
        <v>195</v>
      </c>
      <c r="M75" s="7" t="s">
        <v>29</v>
      </c>
      <c r="N75" s="7" t="s">
        <v>29</v>
      </c>
      <c r="O75" s="7" t="s">
        <v>29</v>
      </c>
      <c r="P75" s="7" t="s">
        <v>29</v>
      </c>
      <c r="Q75" s="7" t="s">
        <v>29</v>
      </c>
      <c r="R75" s="7" t="s">
        <v>29</v>
      </c>
      <c r="S75" s="7" t="s">
        <v>29</v>
      </c>
    </row>
    <row r="76" spans="1:19">
      <c r="A76" s="7" t="s">
        <v>98</v>
      </c>
      <c r="B76" s="7" t="s">
        <v>1209</v>
      </c>
      <c r="C76" s="8">
        <v>1300</v>
      </c>
      <c r="D76" s="5" t="str">
        <f>LRTRIM(CONCATENATE(IF(SUMPRODUCT(-- ISNUMBER(SEARCH({"Auto Number"}, $B76))) &gt; 0, $B76, IF(SUMPRODUCT(-- ISNUMBER(SEARCH({"Lookup","Master-Detail"}, $B76))) &gt; 0,$B76 &amp; "(" &amp; $E76 &amp; ")",IF(SUMPRODUCT(-- ISNUMBER(SEARCH({"Formula","Roll-Up Summary"}, $B76))) &gt; 0,$B76 &amp; " (" &amp; $E76 &amp; ")",IF(SUMPRODUCT(-- ISNUMBER(SEARCH({"Content","Currency","Number","Percent","Text","URL"}, $B76))) &gt; 0,$B76 &amp; "(" &amp; $C76 &amp; ")",$B76)))), "  ", TRIM(IF($S76 = "YES", "(External ID)", "") &amp; " " &amp; IF(SUMPRODUCT(-- ISNUMBER(SEARCH({"Unique","Unique Case Insensitive"}, $R76))) &gt; 0, "(" &amp; $R76 &amp; ")", ""))))</f>
        <v>Formula (Text)</v>
      </c>
      <c r="E76" s="7" t="s">
        <v>1218</v>
      </c>
      <c r="F76" s="7" t="s">
        <v>148</v>
      </c>
      <c r="G76" s="7" t="s">
        <v>148</v>
      </c>
      <c r="H76" s="7" t="s">
        <v>195</v>
      </c>
      <c r="I76" s="7" t="s">
        <v>195</v>
      </c>
      <c r="J76" s="7" t="s">
        <v>195</v>
      </c>
      <c r="K76" s="7" t="s">
        <v>195</v>
      </c>
      <c r="L76" s="7" t="s">
        <v>195</v>
      </c>
      <c r="M76" s="7" t="s">
        <v>29</v>
      </c>
      <c r="N76" s="7" t="s">
        <v>29</v>
      </c>
      <c r="O76" s="7" t="s">
        <v>29</v>
      </c>
      <c r="P76" s="7" t="s">
        <v>29</v>
      </c>
      <c r="Q76" s="7" t="s">
        <v>29</v>
      </c>
      <c r="R76" s="7" t="s">
        <v>29</v>
      </c>
      <c r="S76" s="7" t="s">
        <v>29</v>
      </c>
    </row>
    <row r="77" spans="1:19">
      <c r="A77" s="7" t="s">
        <v>99</v>
      </c>
      <c r="B77" s="7" t="s">
        <v>1215</v>
      </c>
      <c r="C77" s="8">
        <v>255</v>
      </c>
      <c r="D77" s="5" t="str">
        <f>LRTRIM(CONCATENATE(IF(SUMPRODUCT(-- ISNUMBER(SEARCH({"Auto Number"}, $B77))) &gt; 0, $B77, IF(SUMPRODUCT(-- ISNUMBER(SEARCH({"Lookup","Master-Detail"}, $B77))) &gt; 0,$B77 &amp; "(" &amp; $E77 &amp; ")",IF(SUMPRODUCT(-- ISNUMBER(SEARCH({"Formula","Roll-Up Summary"}, $B77))) &gt; 0,$B77 &amp; " (" &amp; $E77 &amp; ")",IF(SUMPRODUCT(-- ISNUMBER(SEARCH({"Content","Currency","Number","Percent","Text","URL"}, $B77))) &gt; 0,$B77 &amp; "(" &amp; $C77 &amp; ")",$B77)))), "  ", TRIM(IF($S77 = "YES", "(External ID)", "") &amp; " " &amp; IF(SUMPRODUCT(-- ISNUMBER(SEARCH({"Unique","Unique Case Insensitive"}, $R77))) &gt; 0, "(" &amp; $R77 &amp; ")", ""))))</f>
        <v>Picklist</v>
      </c>
      <c r="E77" s="7" t="s">
        <v>195</v>
      </c>
      <c r="F77" s="7" t="s">
        <v>149</v>
      </c>
      <c r="G77" s="7" t="s">
        <v>172</v>
      </c>
      <c r="H77" s="7" t="s">
        <v>46</v>
      </c>
      <c r="I77" s="7" t="s">
        <v>46</v>
      </c>
      <c r="J77" s="7" t="s">
        <v>52</v>
      </c>
      <c r="K77" s="7" t="s">
        <v>195</v>
      </c>
      <c r="L77" s="7" t="s">
        <v>195</v>
      </c>
      <c r="M77" s="7" t="s">
        <v>29</v>
      </c>
      <c r="N77" s="7" t="s">
        <v>29</v>
      </c>
      <c r="O77" s="7" t="s">
        <v>29</v>
      </c>
      <c r="P77" s="7" t="s">
        <v>29</v>
      </c>
      <c r="Q77" s="7" t="s">
        <v>29</v>
      </c>
      <c r="R77" s="7" t="s">
        <v>29</v>
      </c>
      <c r="S77" s="7" t="s">
        <v>29</v>
      </c>
    </row>
    <row r="78" spans="1:19">
      <c r="A78" s="7" t="s">
        <v>100</v>
      </c>
      <c r="B78" s="7" t="s">
        <v>1215</v>
      </c>
      <c r="C78" s="8">
        <v>255</v>
      </c>
      <c r="D78" s="5" t="str">
        <f>LRTRIM(CONCATENATE(IF(SUMPRODUCT(-- ISNUMBER(SEARCH({"Auto Number"}, $B78))) &gt; 0, $B78, IF(SUMPRODUCT(-- ISNUMBER(SEARCH({"Lookup","Master-Detail"}, $B78))) &gt; 0,$B78 &amp; "(" &amp; $E78 &amp; ")",IF(SUMPRODUCT(-- ISNUMBER(SEARCH({"Formula","Roll-Up Summary"}, $B78))) &gt; 0,$B78 &amp; " (" &amp; $E78 &amp; ")",IF(SUMPRODUCT(-- ISNUMBER(SEARCH({"Content","Currency","Number","Percent","Text","URL"}, $B78))) &gt; 0,$B78 &amp; "(" &amp; $C78 &amp; ")",$B78)))), "  ", TRIM(IF($S78 = "YES", "(External ID)", "") &amp; " " &amp; IF(SUMPRODUCT(-- ISNUMBER(SEARCH({"Unique","Unique Case Insensitive"}, $R78))) &gt; 0, "(" &amp; $R78 &amp; ")", ""))))</f>
        <v>Picklist</v>
      </c>
      <c r="E78" s="7" t="s">
        <v>195</v>
      </c>
      <c r="F78" s="7" t="s">
        <v>150</v>
      </c>
      <c r="G78" s="7" t="s">
        <v>173</v>
      </c>
      <c r="H78" s="7" t="s">
        <v>47</v>
      </c>
      <c r="I78" s="7" t="s">
        <v>47</v>
      </c>
      <c r="J78" s="7" t="s">
        <v>53</v>
      </c>
      <c r="K78" s="7" t="s">
        <v>195</v>
      </c>
      <c r="L78" s="7" t="s">
        <v>195</v>
      </c>
      <c r="M78" s="7" t="s">
        <v>29</v>
      </c>
      <c r="N78" s="7" t="s">
        <v>29</v>
      </c>
      <c r="O78" s="7" t="s">
        <v>29</v>
      </c>
      <c r="P78" s="7" t="s">
        <v>29</v>
      </c>
      <c r="Q78" s="7" t="s">
        <v>29</v>
      </c>
      <c r="R78" s="7" t="s">
        <v>29</v>
      </c>
      <c r="S78" s="7" t="s">
        <v>29</v>
      </c>
    </row>
    <row r="79" spans="1:19">
      <c r="A79" s="7" t="s">
        <v>1281</v>
      </c>
      <c r="B79" s="7" t="s">
        <v>195</v>
      </c>
      <c r="C79" s="8">
        <v>0</v>
      </c>
      <c r="D79" s="5" t="str">
        <f>LRTRIM(CONCATENATE(IF(SUMPRODUCT(-- ISNUMBER(SEARCH({"Auto Number"}, $B79))) &gt; 0, $B79, IF(SUMPRODUCT(-- ISNUMBER(SEARCH({"Lookup","Master-Detail"}, $B79))) &gt; 0,$B79 &amp; "(" &amp; $E79 &amp; ")",IF(SUMPRODUCT(-- ISNUMBER(SEARCH({"Formula","Roll-Up Summary"}, $B79))) &gt; 0,$B79 &amp; " (" &amp; $E79 &amp; ")",IF(SUMPRODUCT(-- ISNUMBER(SEARCH({"Content","Currency","Number","Percent","Text","URL"}, $B79))) &gt; 0,$B79 &amp; "(" &amp; $C79 &amp; ")",$B79)))), "  ", TRIM(IF($S79 = "YES", "(External ID)", "") &amp; " " &amp; IF(SUMPRODUCT(-- ISNUMBER(SEARCH({"Unique","Unique Case Insensitive"}, $R79))) &gt; 0, "(" &amp; $R79 &amp; ")", ""))))</f>
        <v>na</v>
      </c>
      <c r="E79" s="7" t="s">
        <v>195</v>
      </c>
      <c r="F79" s="7" t="s">
        <v>195</v>
      </c>
      <c r="G79" s="7" t="s">
        <v>195</v>
      </c>
      <c r="H79" s="7" t="s">
        <v>195</v>
      </c>
      <c r="I79" s="7" t="s">
        <v>1287</v>
      </c>
      <c r="J79" s="7" t="s">
        <v>195</v>
      </c>
      <c r="K79" s="7" t="s">
        <v>195</v>
      </c>
      <c r="L79" s="7" t="s">
        <v>195</v>
      </c>
      <c r="M79" s="7" t="s">
        <v>29</v>
      </c>
      <c r="N79" s="7" t="s">
        <v>29</v>
      </c>
      <c r="O79" s="7" t="s">
        <v>29</v>
      </c>
      <c r="P79" s="7" t="s">
        <v>29</v>
      </c>
      <c r="Q79" s="7" t="s">
        <v>29</v>
      </c>
      <c r="R79" s="7" t="s">
        <v>29</v>
      </c>
      <c r="S79" s="7" t="s">
        <v>29</v>
      </c>
    </row>
    <row r="80" spans="1:19">
      <c r="A80" s="7" t="s">
        <v>1273</v>
      </c>
      <c r="B80" s="7" t="s">
        <v>1218</v>
      </c>
      <c r="C80" s="8">
        <v>20</v>
      </c>
      <c r="D80" s="5" t="str">
        <f>LRTRIM(CONCATENATE(IF(SUMPRODUCT(-- ISNUMBER(SEARCH({"Auto Number"}, $B80))) &gt; 0, $B80, IF(SUMPRODUCT(-- ISNUMBER(SEARCH({"Lookup","Master-Detail"}, $B80))) &gt; 0,$B80 &amp; "(" &amp; $E80 &amp; ")",IF(SUMPRODUCT(-- ISNUMBER(SEARCH({"Formula","Roll-Up Summary"}, $B80))) &gt; 0,$B80 &amp; " (" &amp; $E80 &amp; ")",IF(SUMPRODUCT(-- ISNUMBER(SEARCH({"Content","Currency","Number","Percent","Text","URL"}, $B80))) &gt; 0,$B80 &amp; "(" &amp; $C80 &amp; ")",$B80)))), "  ", TRIM(IF($S80 = "YES", "(External ID)", "") &amp; " " &amp; IF(SUMPRODUCT(-- ISNUMBER(SEARCH({"Unique","Unique Case Insensitive"}, $R80))) &gt; 0, "(" &amp; $R80 &amp; ")", ""))))</f>
        <v>Text(20)</v>
      </c>
      <c r="E80" s="7" t="s">
        <v>195</v>
      </c>
      <c r="F80" s="7" t="s">
        <v>1275</v>
      </c>
      <c r="G80" s="7" t="s">
        <v>195</v>
      </c>
      <c r="H80" s="7" t="s">
        <v>195</v>
      </c>
      <c r="I80" s="7" t="s">
        <v>195</v>
      </c>
      <c r="J80" s="7" t="s">
        <v>195</v>
      </c>
      <c r="K80" s="7" t="s">
        <v>195</v>
      </c>
      <c r="L80" s="7" t="s">
        <v>195</v>
      </c>
      <c r="M80" s="7" t="s">
        <v>29</v>
      </c>
      <c r="N80" s="7" t="s">
        <v>29</v>
      </c>
      <c r="O80" s="7" t="s">
        <v>29</v>
      </c>
      <c r="P80" s="7" t="s">
        <v>29</v>
      </c>
      <c r="Q80" s="7" t="s">
        <v>29</v>
      </c>
      <c r="R80" s="7" t="s">
        <v>29</v>
      </c>
      <c r="S80" s="7" t="s">
        <v>29</v>
      </c>
    </row>
    <row r="81" spans="1:19">
      <c r="A81" s="7" t="s">
        <v>1274</v>
      </c>
      <c r="B81" s="7" t="s">
        <v>1218</v>
      </c>
      <c r="C81" s="8">
        <v>80</v>
      </c>
      <c r="D81" s="5" t="str">
        <f>LRTRIM(CONCATENATE(IF(SUMPRODUCT(-- ISNUMBER(SEARCH({"Auto Number"}, $B81))) &gt; 0, $B81, IF(SUMPRODUCT(-- ISNUMBER(SEARCH({"Lookup","Master-Detail"}, $B81))) &gt; 0,$B81 &amp; "(" &amp; $E81 &amp; ")",IF(SUMPRODUCT(-- ISNUMBER(SEARCH({"Formula","Roll-Up Summary"}, $B81))) &gt; 0,$B81 &amp; " (" &amp; $E81 &amp; ")",IF(SUMPRODUCT(-- ISNUMBER(SEARCH({"Content","Currency","Number","Percent","Text","URL"}, $B81))) &gt; 0,$B81 &amp; "(" &amp; $C81 &amp; ")",$B81)))), "  ", TRIM(IF($S81 = "YES", "(External ID)", "") &amp; " " &amp; IF(SUMPRODUCT(-- ISNUMBER(SEARCH({"Unique","Unique Case Insensitive"}, $R81))) &gt; 0, "(" &amp; $R81 &amp; ")", ""))))</f>
        <v>Text(80)</v>
      </c>
      <c r="E81" s="7" t="s">
        <v>195</v>
      </c>
      <c r="F81" s="7" t="s">
        <v>1276</v>
      </c>
      <c r="G81" s="7" t="s">
        <v>195</v>
      </c>
      <c r="H81" s="7" t="s">
        <v>195</v>
      </c>
      <c r="I81" s="7" t="s">
        <v>195</v>
      </c>
      <c r="J81" s="7" t="s">
        <v>195</v>
      </c>
      <c r="K81" s="7" t="s">
        <v>195</v>
      </c>
      <c r="L81" s="7" t="s">
        <v>195</v>
      </c>
      <c r="M81" s="7" t="s">
        <v>29</v>
      </c>
      <c r="N81" s="7" t="s">
        <v>29</v>
      </c>
      <c r="O81" s="7" t="s">
        <v>29</v>
      </c>
      <c r="P81" s="7" t="s">
        <v>29</v>
      </c>
      <c r="Q81" s="7" t="s">
        <v>29</v>
      </c>
      <c r="R81" s="7" t="s">
        <v>29</v>
      </c>
      <c r="S81" s="7" t="s">
        <v>29</v>
      </c>
    </row>
    <row r="82" spans="1:19">
      <c r="A82" s="7" t="s">
        <v>1246</v>
      </c>
      <c r="B82" s="7" t="s">
        <v>386</v>
      </c>
      <c r="C82" s="8">
        <v>0</v>
      </c>
      <c r="D82" s="5" t="str">
        <f>LRTRIM(CONCATENATE(IF(SUMPRODUCT(-- ISNUMBER(SEARCH({"Auto Number"}, $B82))) &gt; 0, $B82, IF(SUMPRODUCT(-- ISNUMBER(SEARCH({"Lookup","Master-Detail"}, $B82))) &gt; 0,$B82 &amp; "(" &amp; $E82 &amp; ")",IF(SUMPRODUCT(-- ISNUMBER(SEARCH({"Formula","Roll-Up Summary"}, $B82))) &gt; 0,$B82 &amp; " (" &amp; $E82 &amp; ")",IF(SUMPRODUCT(-- ISNUMBER(SEARCH({"Content","Currency","Number","Percent","Text","URL"}, $B82))) &gt; 0,$B82 &amp; "(" &amp; $C82 &amp; ")",$B82)))), "  ", TRIM(IF($S82 = "YES", "(External ID)", "") &amp; " " &amp; IF(SUMPRODUCT(-- ISNUMBER(SEARCH({"Unique","Unique Case Insensitive"}, $R82))) &gt; 0, "(" &amp; $R82 &amp; ")", ""))))</f>
        <v>Date</v>
      </c>
      <c r="E82" s="7" t="s">
        <v>195</v>
      </c>
      <c r="F82" s="7" t="s">
        <v>613</v>
      </c>
      <c r="G82" s="7" t="s">
        <v>195</v>
      </c>
      <c r="H82" s="7" t="s">
        <v>195</v>
      </c>
      <c r="I82" s="7" t="s">
        <v>195</v>
      </c>
      <c r="J82" s="7" t="s">
        <v>195</v>
      </c>
      <c r="K82" s="7" t="s">
        <v>195</v>
      </c>
      <c r="L82" s="7" t="s">
        <v>195</v>
      </c>
      <c r="M82" s="7" t="s">
        <v>29</v>
      </c>
      <c r="N82" s="7" t="s">
        <v>29</v>
      </c>
      <c r="O82" s="7" t="s">
        <v>29</v>
      </c>
      <c r="P82" s="7" t="s">
        <v>29</v>
      </c>
      <c r="Q82" s="7" t="s">
        <v>29</v>
      </c>
      <c r="R82" s="7" t="s">
        <v>29</v>
      </c>
      <c r="S82" s="7" t="s">
        <v>29</v>
      </c>
    </row>
    <row r="83" spans="1:19">
      <c r="A83" s="7" t="s">
        <v>1247</v>
      </c>
      <c r="B83" s="7" t="s">
        <v>1206</v>
      </c>
      <c r="C83" s="8" t="s">
        <v>1250</v>
      </c>
      <c r="D83" s="5" t="str">
        <f>LRTRIM(CONCATENATE(IF(SUMPRODUCT(-- ISNUMBER(SEARCH({"Auto Number"}, $B83))) &gt; 0, $B83, IF(SUMPRODUCT(-- ISNUMBER(SEARCH({"Lookup","Master-Detail"}, $B83))) &gt; 0,$B83 &amp; "(" &amp; $E83 &amp; ")",IF(SUMPRODUCT(-- ISNUMBER(SEARCH({"Formula","Roll-Up Summary"}, $B83))) &gt; 0,$B83 &amp; " (" &amp; $E83 &amp; ")",IF(SUMPRODUCT(-- ISNUMBER(SEARCH({"Content","Currency","Number","Percent","Text","URL"}, $B83))) &gt; 0,$B83 &amp; "(" &amp; $C83 &amp; ")",$B83)))), "  ", TRIM(IF($S83 = "YES", "(External ID)", "") &amp; " " &amp; IF(SUMPRODUCT(-- ISNUMBER(SEARCH({"Unique","Unique Case Insensitive"}, $R83))) &gt; 0, "(" &amp; $R83 &amp; ")", ""))))</f>
        <v>Currency(18, 0)</v>
      </c>
      <c r="E83" s="7" t="s">
        <v>195</v>
      </c>
      <c r="F83" s="7" t="s">
        <v>614</v>
      </c>
      <c r="G83" s="7" t="s">
        <v>195</v>
      </c>
      <c r="H83" s="7" t="s">
        <v>195</v>
      </c>
      <c r="I83" s="7" t="s">
        <v>195</v>
      </c>
      <c r="J83" s="7" t="s">
        <v>195</v>
      </c>
      <c r="K83" s="7" t="s">
        <v>195</v>
      </c>
      <c r="L83" s="7" t="s">
        <v>195</v>
      </c>
      <c r="M83" s="7" t="s">
        <v>29</v>
      </c>
      <c r="N83" s="7" t="s">
        <v>29</v>
      </c>
      <c r="O83" s="7" t="s">
        <v>29</v>
      </c>
      <c r="P83" s="7" t="s">
        <v>29</v>
      </c>
      <c r="Q83" s="7" t="s">
        <v>29</v>
      </c>
      <c r="R83" s="7" t="s">
        <v>29</v>
      </c>
      <c r="S83" s="7" t="s">
        <v>29</v>
      </c>
    </row>
    <row r="84" spans="1:19">
      <c r="A84" s="7" t="s">
        <v>1248</v>
      </c>
      <c r="B84" s="7" t="s">
        <v>1206</v>
      </c>
      <c r="C84" s="8" t="s">
        <v>1250</v>
      </c>
      <c r="D84" s="5" t="str">
        <f>LRTRIM(CONCATENATE(IF(SUMPRODUCT(-- ISNUMBER(SEARCH({"Auto Number"}, $B84))) &gt; 0, $B84, IF(SUMPRODUCT(-- ISNUMBER(SEARCH({"Lookup","Master-Detail"}, $B84))) &gt; 0,$B84 &amp; "(" &amp; $E84 &amp; ")",IF(SUMPRODUCT(-- ISNUMBER(SEARCH({"Formula","Roll-Up Summary"}, $B84))) &gt; 0,$B84 &amp; " (" &amp; $E84 &amp; ")",IF(SUMPRODUCT(-- ISNUMBER(SEARCH({"Content","Currency","Number","Percent","Text","URL"}, $B84))) &gt; 0,$B84 &amp; "(" &amp; $C84 &amp; ")",$B84)))), "  ", TRIM(IF($S84 = "YES", "(External ID)", "") &amp; " " &amp; IF(SUMPRODUCT(-- ISNUMBER(SEARCH({"Unique","Unique Case Insensitive"}, $R84))) &gt; 0, "(" &amp; $R84 &amp; ")", ""))))</f>
        <v>Currency(18, 0)</v>
      </c>
      <c r="E84" s="7" t="s">
        <v>195</v>
      </c>
      <c r="F84" s="7" t="s">
        <v>615</v>
      </c>
      <c r="G84" s="7" t="s">
        <v>195</v>
      </c>
      <c r="H84" s="7" t="s">
        <v>195</v>
      </c>
      <c r="I84" s="7" t="s">
        <v>195</v>
      </c>
      <c r="J84" s="7" t="s">
        <v>195</v>
      </c>
      <c r="K84" s="7" t="s">
        <v>195</v>
      </c>
      <c r="L84" s="7" t="s">
        <v>195</v>
      </c>
      <c r="M84" s="7" t="s">
        <v>29</v>
      </c>
      <c r="N84" s="7" t="s">
        <v>29</v>
      </c>
      <c r="O84" s="7" t="s">
        <v>29</v>
      </c>
      <c r="P84" s="7" t="s">
        <v>29</v>
      </c>
      <c r="Q84" s="7" t="s">
        <v>29</v>
      </c>
      <c r="R84" s="7" t="s">
        <v>29</v>
      </c>
      <c r="S84" s="7" t="s">
        <v>29</v>
      </c>
    </row>
    <row r="85" spans="1:19">
      <c r="A85" s="7" t="s">
        <v>1202</v>
      </c>
      <c r="B85" s="7" t="s">
        <v>1211</v>
      </c>
      <c r="C85" s="8">
        <v>18</v>
      </c>
      <c r="D85" s="5" t="str">
        <f>LRTRIM(CONCATENATE(IF(SUMPRODUCT(-- ISNUMBER(SEARCH({"Auto Number"}, $B85))) &gt; 0, $B85, IF(SUMPRODUCT(-- ISNUMBER(SEARCH({"Lookup","Master-Detail"}, $B85))) &gt; 0,$B85 &amp; "(" &amp; $E85 &amp; ")",IF(SUMPRODUCT(-- ISNUMBER(SEARCH({"Formula","Roll-Up Summary"}, $B85))) &gt; 0,$B85 &amp; " (" &amp; $E85 &amp; ")",IF(SUMPRODUCT(-- ISNUMBER(SEARCH({"Content","Currency","Number","Percent","Text","URL"}, $B85))) &gt; 0,$B85 &amp; "(" &amp; $C85 &amp; ")",$B85)))), "  ", TRIM(IF($S85 = "YES", "(External ID)", "") &amp; " " &amp; IF(SUMPRODUCT(-- ISNUMBER(SEARCH({"Unique","Unique Case Insensitive"}, $R85))) &gt; 0, "(" &amp; $R85 &amp; ")", ""))))</f>
        <v>Lookup(User Record Access)</v>
      </c>
      <c r="E85" s="7" t="s">
        <v>1268</v>
      </c>
      <c r="F85" s="7" t="s">
        <v>1261</v>
      </c>
      <c r="G85" s="7" t="s">
        <v>195</v>
      </c>
      <c r="H85" s="7" t="s">
        <v>195</v>
      </c>
      <c r="I85" s="7" t="s">
        <v>195</v>
      </c>
      <c r="J85" s="7" t="s">
        <v>195</v>
      </c>
      <c r="K85" s="7" t="s">
        <v>195</v>
      </c>
      <c r="L85" s="7" t="s">
        <v>195</v>
      </c>
      <c r="M85" s="7" t="s">
        <v>29</v>
      </c>
      <c r="N85" s="7" t="s">
        <v>29</v>
      </c>
      <c r="O85" s="7" t="s">
        <v>29</v>
      </c>
      <c r="P85" s="7" t="s">
        <v>29</v>
      </c>
      <c r="Q85" s="7" t="s">
        <v>29</v>
      </c>
      <c r="R85" s="7" t="s">
        <v>29</v>
      </c>
      <c r="S85" s="7" t="s">
        <v>29</v>
      </c>
    </row>
    <row r="86" spans="1:19">
      <c r="A86" s="7" t="s">
        <v>1249</v>
      </c>
      <c r="B86" s="7" t="s">
        <v>1218</v>
      </c>
      <c r="C86" s="8">
        <v>18</v>
      </c>
      <c r="D86" s="5" t="str">
        <f>LRTRIM(CONCATENATE(IF(SUMPRODUCT(-- ISNUMBER(SEARCH({"Auto Number"}, $B86))) &gt; 0, $B86, IF(SUMPRODUCT(-- ISNUMBER(SEARCH({"Lookup","Master-Detail"}, $B86))) &gt; 0,$B86 &amp; "(" &amp; $E86 &amp; ")",IF(SUMPRODUCT(-- ISNUMBER(SEARCH({"Formula","Roll-Up Summary"}, $B86))) &gt; 0,$B86 &amp; " (" &amp; $E86 &amp; ")",IF(SUMPRODUCT(-- ISNUMBER(SEARCH({"Content","Currency","Number","Percent","Text","URL"}, $B86))) &gt; 0,$B86 &amp; "(" &amp; $C86 &amp; ")",$B86)))), "  ", TRIM(IF($S86 = "YES", "(External ID)", "") &amp; " " &amp; IF(SUMPRODUCT(-- ISNUMBER(SEARCH({"Unique","Unique Case Insensitive"}, $R86))) &gt; 0, "(" &amp; $R86 &amp; ")", ""))))</f>
        <v>Text(18)</v>
      </c>
      <c r="E86" s="7" t="s">
        <v>195</v>
      </c>
      <c r="F86" s="7" t="s">
        <v>616</v>
      </c>
      <c r="G86" s="7" t="s">
        <v>195</v>
      </c>
      <c r="H86" s="7" t="s">
        <v>195</v>
      </c>
      <c r="I86" s="7" t="s">
        <v>195</v>
      </c>
      <c r="J86" s="7" t="s">
        <v>195</v>
      </c>
      <c r="K86" s="7" t="s">
        <v>195</v>
      </c>
      <c r="L86" s="7" t="s">
        <v>195</v>
      </c>
      <c r="M86" s="7" t="s">
        <v>29</v>
      </c>
      <c r="N86" s="7" t="s">
        <v>29</v>
      </c>
      <c r="O86" s="7" t="s">
        <v>29</v>
      </c>
      <c r="P86" s="7" t="s">
        <v>29</v>
      </c>
      <c r="Q86" s="7" t="s">
        <v>29</v>
      </c>
      <c r="R86" s="7" t="s">
        <v>29</v>
      </c>
      <c r="S86" s="7" t="s">
        <v>29</v>
      </c>
    </row>
    <row r="87" spans="1:19">
      <c r="A87" s="7" t="s">
        <v>101</v>
      </c>
      <c r="B87" s="7" t="s">
        <v>1220</v>
      </c>
      <c r="C87" s="8">
        <v>255</v>
      </c>
      <c r="D87" s="5" t="str">
        <f>LRTRIM(CONCATENATE(IF(SUMPRODUCT(-- ISNUMBER(SEARCH({"Auto Number"}, $B87))) &gt; 0, $B87, IF(SUMPRODUCT(-- ISNUMBER(SEARCH({"Lookup","Master-Detail"}, $B87))) &gt; 0,$B87 &amp; "(" &amp; $E87 &amp; ")",IF(SUMPRODUCT(-- ISNUMBER(SEARCH({"Formula","Roll-Up Summary"}, $B87))) &gt; 0,$B87 &amp; " (" &amp; $E87 &amp; ")",IF(SUMPRODUCT(-- ISNUMBER(SEARCH({"Content","Currency","Number","Percent","Text","URL"}, $B87))) &gt; 0,$B87 &amp; "(" &amp; $C87 &amp; ")",$B87)))), "  ", TRIM(IF($S87 = "YES", "(External ID)", "") &amp; " " &amp; IF(SUMPRODUCT(-- ISNUMBER(SEARCH({"Unique","Unique Case Insensitive"}, $R87))) &gt; 0, "(" &amp; $R87 &amp; ")", ""))))</f>
        <v>Url(255)</v>
      </c>
      <c r="E87" s="7" t="s">
        <v>195</v>
      </c>
      <c r="F87" s="7" t="s">
        <v>101</v>
      </c>
      <c r="G87" s="7" t="s">
        <v>195</v>
      </c>
      <c r="H87" s="7" t="s">
        <v>195</v>
      </c>
      <c r="I87" s="7" t="s">
        <v>195</v>
      </c>
      <c r="J87" s="7" t="s">
        <v>195</v>
      </c>
      <c r="K87" s="7" t="s">
        <v>195</v>
      </c>
      <c r="L87" s="7" t="s">
        <v>195</v>
      </c>
      <c r="M87" s="7" t="s">
        <v>29</v>
      </c>
      <c r="N87" s="7" t="s">
        <v>29</v>
      </c>
      <c r="O87" s="7" t="s">
        <v>29</v>
      </c>
      <c r="P87" s="7" t="s">
        <v>29</v>
      </c>
      <c r="Q87" s="7" t="s">
        <v>29</v>
      </c>
      <c r="R87" s="7" t="s">
        <v>29</v>
      </c>
      <c r="S87" s="7" t="s">
        <v>29</v>
      </c>
    </row>
    <row r="88" spans="1:19">
      <c r="A88" s="7" t="s">
        <v>36</v>
      </c>
      <c r="B88" s="7" t="s">
        <v>1211</v>
      </c>
      <c r="C88" s="8" t="s">
        <v>195</v>
      </c>
      <c r="D88" s="5" t="str">
        <f>LRTRIM(CONCATENATE(IF(SUMPRODUCT(-- ISNUMBER(SEARCH({"Auto Number"}, $B88))) &gt; 0, $B88, IF(SUMPRODUCT(-- ISNUMBER(SEARCH({"Lookup","Master-Detail"}, $B88))) &gt; 0,$B88 &amp; "(" &amp; $E88 &amp; ")",IF(SUMPRODUCT(-- ISNUMBER(SEARCH({"Formula","Roll-Up Summary"}, $B88))) &gt; 0,$B88 &amp; " (" &amp; $E88 &amp; ")",IF(SUMPRODUCT(-- ISNUMBER(SEARCH({"Content","Currency","Number","Percent","Text","URL"}, $B88))) &gt; 0,$B88 &amp; "(" &amp; $C88 &amp; ")",$B88)))), "  ", TRIM(IF($S88 = "YES", "(External ID)", "") &amp; " " &amp; IF(SUMPRODUCT(-- ISNUMBER(SEARCH({"Unique","Unique Case Insensitive"}, $R88))) &gt; 0, "(" &amp; $R88 &amp; ")", ""))))</f>
        <v>Lookup(User)</v>
      </c>
      <c r="E88" s="7" t="s">
        <v>7</v>
      </c>
      <c r="F88" s="7" t="s">
        <v>1253</v>
      </c>
      <c r="G88" s="7" t="s">
        <v>195</v>
      </c>
      <c r="H88" s="7" t="s">
        <v>195</v>
      </c>
      <c r="I88" s="7" t="s">
        <v>195</v>
      </c>
      <c r="J88" s="7" t="s">
        <v>195</v>
      </c>
      <c r="K88" s="7" t="s">
        <v>195</v>
      </c>
      <c r="L88" s="7" t="s">
        <v>195</v>
      </c>
      <c r="M88" s="7" t="s">
        <v>28</v>
      </c>
      <c r="N88" s="7" t="s">
        <v>29</v>
      </c>
      <c r="O88" s="7" t="s">
        <v>29</v>
      </c>
      <c r="P88" s="7" t="s">
        <v>29</v>
      </c>
      <c r="Q88" s="7" t="s">
        <v>29</v>
      </c>
      <c r="R88" s="7" t="s">
        <v>29</v>
      </c>
      <c r="S88" s="7" t="s">
        <v>29</v>
      </c>
    </row>
    <row r="89" spans="1:19">
      <c r="A89" s="7" t="s">
        <v>35</v>
      </c>
      <c r="B89" s="7" t="s">
        <v>1207</v>
      </c>
      <c r="C89" s="8" t="s">
        <v>195</v>
      </c>
      <c r="D89" s="5" t="str">
        <f>LRTRIM(CONCATENATE(IF(SUMPRODUCT(-- ISNUMBER(SEARCH({"Auto Number"}, $B89))) &gt; 0, $B89, IF(SUMPRODUCT(-- ISNUMBER(SEARCH({"Lookup","Master-Detail"}, $B89))) &gt; 0,$B89 &amp; "(" &amp; $E89 &amp; ")",IF(SUMPRODUCT(-- ISNUMBER(SEARCH({"Formula","Roll-Up Summary"}, $B89))) &gt; 0,$B89 &amp; " (" &amp; $E89 &amp; ")",IF(SUMPRODUCT(-- ISNUMBER(SEARCH({"Content","Currency","Number","Percent","Text","URL"}, $B89))) &gt; 0,$B89 &amp; "(" &amp; $C89 &amp; ")",$B89)))), "  ", TRIM(IF($S89 = "YES", "(External ID)", "") &amp; " " &amp; IF(SUMPRODUCT(-- ISNUMBER(SEARCH({"Unique","Unique Case Insensitive"}, $R89))) &gt; 0, "(" &amp; $R89 &amp; ")", ""))))</f>
        <v>Date/Time</v>
      </c>
      <c r="E89" s="7" t="s">
        <v>195</v>
      </c>
      <c r="F89" s="7" t="s">
        <v>1254</v>
      </c>
      <c r="G89" s="7" t="s">
        <v>195</v>
      </c>
      <c r="H89" s="7" t="s">
        <v>195</v>
      </c>
      <c r="I89" s="7" t="s">
        <v>195</v>
      </c>
      <c r="J89" s="7" t="s">
        <v>195</v>
      </c>
      <c r="K89" s="7" t="s">
        <v>195</v>
      </c>
      <c r="L89" s="7" t="s">
        <v>195</v>
      </c>
      <c r="M89" s="7" t="s">
        <v>28</v>
      </c>
      <c r="N89" s="7" t="s">
        <v>29</v>
      </c>
      <c r="O89" s="7" t="s">
        <v>29</v>
      </c>
      <c r="P89" s="7" t="s">
        <v>29</v>
      </c>
      <c r="Q89" s="7" t="s">
        <v>29</v>
      </c>
      <c r="R89" s="7" t="s">
        <v>29</v>
      </c>
      <c r="S89" s="7" t="s">
        <v>29</v>
      </c>
    </row>
    <row r="90" spans="1:19">
      <c r="A90" s="7" t="s">
        <v>34</v>
      </c>
      <c r="B90" s="7" t="s">
        <v>1204</v>
      </c>
      <c r="C90" s="8" t="s">
        <v>195</v>
      </c>
      <c r="D90" s="5" t="str">
        <f>LRTRIM(CONCATENATE(IF(SUMPRODUCT(-- ISNUMBER(SEARCH({"Auto Number"}, $B90))) &gt; 0, $B90, IF(SUMPRODUCT(-- ISNUMBER(SEARCH({"Lookup","Master-Detail"}, $B90))) &gt; 0,$B90 &amp; "(" &amp; $E90 &amp; ")",IF(SUMPRODUCT(-- ISNUMBER(SEARCH({"Formula","Roll-Up Summary"}, $B90))) &gt; 0,$B90 &amp; " (" &amp; $E90 &amp; ")",IF(SUMPRODUCT(-- ISNUMBER(SEARCH({"Content","Currency","Number","Percent","Text","URL"}, $B90))) &gt; 0,$B90 &amp; "(" &amp; $C90 &amp; ")",$B90)))), "  ", TRIM(IF($S90 = "YES", "(External ID)", "") &amp; " " &amp; IF(SUMPRODUCT(-- ISNUMBER(SEARCH({"Unique","Unique Case Insensitive"}, $R90))) &gt; 0, "(" &amp; $R90 &amp; ")", ""))))</f>
        <v>Checkbox</v>
      </c>
      <c r="E90" s="7" t="s">
        <v>195</v>
      </c>
      <c r="F90" s="7" t="s">
        <v>821</v>
      </c>
      <c r="G90" s="7" t="s">
        <v>195</v>
      </c>
      <c r="H90" s="7" t="s">
        <v>195</v>
      </c>
      <c r="I90" s="7" t="s">
        <v>195</v>
      </c>
      <c r="J90" s="7" t="s">
        <v>195</v>
      </c>
      <c r="K90" s="7" t="s">
        <v>195</v>
      </c>
      <c r="L90" s="7" t="s">
        <v>195</v>
      </c>
      <c r="M90" s="7" t="s">
        <v>28</v>
      </c>
      <c r="N90" s="7" t="s">
        <v>29</v>
      </c>
      <c r="O90" s="7" t="s">
        <v>29</v>
      </c>
      <c r="P90" s="7" t="s">
        <v>29</v>
      </c>
      <c r="Q90" s="7" t="s">
        <v>29</v>
      </c>
      <c r="R90" s="7" t="s">
        <v>29</v>
      </c>
      <c r="S90" s="7" t="s">
        <v>29</v>
      </c>
    </row>
    <row r="91" spans="1:19">
      <c r="A91" s="7" t="s">
        <v>106</v>
      </c>
      <c r="B91" s="7" t="s">
        <v>1204</v>
      </c>
      <c r="C91" s="8" t="s">
        <v>195</v>
      </c>
      <c r="D91" s="5" t="str">
        <f>LRTRIM(CONCATENATE(IF(SUMPRODUCT(-- ISNUMBER(SEARCH({"Auto Number"}, $B91))) &gt; 0, $B91, IF(SUMPRODUCT(-- ISNUMBER(SEARCH({"Lookup","Master-Detail"}, $B91))) &gt; 0,$B91 &amp; "(" &amp; $E91 &amp; ")",IF(SUMPRODUCT(-- ISNUMBER(SEARCH({"Formula","Roll-Up Summary"}, $B91))) &gt; 0,$B91 &amp; " (" &amp; $E91 &amp; ")",IF(SUMPRODUCT(-- ISNUMBER(SEARCH({"Content","Currency","Number","Percent","Text","URL"}, $B91))) &gt; 0,$B91 &amp; "(" &amp; $C91 &amp; ")",$B91)))), "  ", TRIM(IF($S91 = "YES", "(External ID)", "") &amp; " " &amp; IF(SUMPRODUCT(-- ISNUMBER(SEARCH({"Unique","Unique Case Insensitive"}, $R91))) &gt; 0, "(" &amp; $R91 &amp; ")", ""))))</f>
        <v>Checkbox</v>
      </c>
      <c r="E91" s="7" t="s">
        <v>195</v>
      </c>
      <c r="F91" s="7" t="s">
        <v>1256</v>
      </c>
      <c r="G91" s="7" t="s">
        <v>195</v>
      </c>
      <c r="H91" s="7" t="s">
        <v>195</v>
      </c>
      <c r="I91" s="7" t="s">
        <v>195</v>
      </c>
      <c r="J91" s="7" t="s">
        <v>195</v>
      </c>
      <c r="K91" s="7" t="s">
        <v>195</v>
      </c>
      <c r="L91" s="7" t="s">
        <v>195</v>
      </c>
      <c r="M91" s="7" t="s">
        <v>28</v>
      </c>
      <c r="N91" s="7" t="s">
        <v>29</v>
      </c>
      <c r="O91" s="7" t="s">
        <v>29</v>
      </c>
      <c r="P91" s="7" t="s">
        <v>29</v>
      </c>
      <c r="Q91" s="7" t="s">
        <v>29</v>
      </c>
      <c r="R91" s="7" t="s">
        <v>29</v>
      </c>
      <c r="S91" s="7" t="s">
        <v>29</v>
      </c>
    </row>
    <row r="92" spans="1:19">
      <c r="A92" s="7" t="s">
        <v>38</v>
      </c>
      <c r="B92" s="7" t="s">
        <v>1211</v>
      </c>
      <c r="C92" s="8" t="s">
        <v>195</v>
      </c>
      <c r="D92" s="5" t="str">
        <f>LRTRIM(CONCATENATE(IF(SUMPRODUCT(-- ISNUMBER(SEARCH({"Auto Number"}, $B92))) &gt; 0, $B92, IF(SUMPRODUCT(-- ISNUMBER(SEARCH({"Lookup","Master-Detail"}, $B92))) &gt; 0,$B92 &amp; "(" &amp; $E92 &amp; ")",IF(SUMPRODUCT(-- ISNUMBER(SEARCH({"Formula","Roll-Up Summary"}, $B92))) &gt; 0,$B92 &amp; " (" &amp; $E92 &amp; ")",IF(SUMPRODUCT(-- ISNUMBER(SEARCH({"Content","Currency","Number","Percent","Text","URL"}, $B92))) &gt; 0,$B92 &amp; "(" &amp; $C92 &amp; ")",$B92)))), "  ", TRIM(IF($S92 = "YES", "(External ID)", "") &amp; " " &amp; IF(SUMPRODUCT(-- ISNUMBER(SEARCH({"Unique","Unique Case Insensitive"}, $R92))) &gt; 0, "(" &amp; $R92 &amp; ")", ""))))</f>
        <v>Lookup(User)</v>
      </c>
      <c r="E92" s="7" t="s">
        <v>7</v>
      </c>
      <c r="F92" s="7" t="s">
        <v>1257</v>
      </c>
      <c r="G92" s="7" t="s">
        <v>195</v>
      </c>
      <c r="H92" s="7" t="s">
        <v>195</v>
      </c>
      <c r="I92" s="7" t="s">
        <v>195</v>
      </c>
      <c r="J92" s="7" t="s">
        <v>195</v>
      </c>
      <c r="K92" s="7" t="s">
        <v>195</v>
      </c>
      <c r="L92" s="7" t="s">
        <v>195</v>
      </c>
      <c r="M92" s="7" t="s">
        <v>28</v>
      </c>
      <c r="N92" s="7" t="s">
        <v>29</v>
      </c>
      <c r="O92" s="7" t="s">
        <v>29</v>
      </c>
      <c r="P92" s="7" t="s">
        <v>29</v>
      </c>
      <c r="Q92" s="7" t="s">
        <v>29</v>
      </c>
      <c r="R92" s="7" t="s">
        <v>29</v>
      </c>
      <c r="S92" s="7" t="s">
        <v>29</v>
      </c>
    </row>
    <row r="93" spans="1:19">
      <c r="A93" s="7" t="s">
        <v>37</v>
      </c>
      <c r="B93" s="7" t="s">
        <v>1207</v>
      </c>
      <c r="C93" s="8" t="s">
        <v>195</v>
      </c>
      <c r="D93" s="5" t="str">
        <f>LRTRIM(CONCATENATE(IF(SUMPRODUCT(-- ISNUMBER(SEARCH({"Auto Number"}, $B93))) &gt; 0, $B93, IF(SUMPRODUCT(-- ISNUMBER(SEARCH({"Lookup","Master-Detail"}, $B93))) &gt; 0,$B93 &amp; "(" &amp; $E93 &amp; ")",IF(SUMPRODUCT(-- ISNUMBER(SEARCH({"Formula","Roll-Up Summary"}, $B93))) &gt; 0,$B93 &amp; " (" &amp; $E93 &amp; ")",IF(SUMPRODUCT(-- ISNUMBER(SEARCH({"Content","Currency","Number","Percent","Text","URL"}, $B93))) &gt; 0,$B93 &amp; "(" &amp; $C93 &amp; ")",$B93)))), "  ", TRIM(IF($S93 = "YES", "(External ID)", "") &amp; " " &amp; IF(SUMPRODUCT(-- ISNUMBER(SEARCH({"Unique","Unique Case Insensitive"}, $R93))) &gt; 0, "(" &amp; $R93 &amp; ")", ""))))</f>
        <v>Date/Time</v>
      </c>
      <c r="E93" s="7" t="s">
        <v>195</v>
      </c>
      <c r="F93" s="7" t="s">
        <v>1258</v>
      </c>
      <c r="G93" s="7" t="s">
        <v>195</v>
      </c>
      <c r="H93" s="7" t="s">
        <v>195</v>
      </c>
      <c r="I93" s="7" t="s">
        <v>195</v>
      </c>
      <c r="J93" s="7" t="s">
        <v>195</v>
      </c>
      <c r="K93" s="7" t="s">
        <v>195</v>
      </c>
      <c r="L93" s="7" t="s">
        <v>195</v>
      </c>
      <c r="M93" s="7" t="s">
        <v>28</v>
      </c>
      <c r="N93" s="7" t="s">
        <v>29</v>
      </c>
      <c r="O93" s="7" t="s">
        <v>29</v>
      </c>
      <c r="P93" s="7" t="s">
        <v>29</v>
      </c>
      <c r="Q93" s="7" t="s">
        <v>29</v>
      </c>
      <c r="R93" s="7" t="s">
        <v>29</v>
      </c>
      <c r="S93" s="7" t="s">
        <v>29</v>
      </c>
    </row>
    <row r="94" spans="1:19">
      <c r="A94" s="7" t="s">
        <v>107</v>
      </c>
      <c r="B94" s="7" t="s">
        <v>1204</v>
      </c>
      <c r="C94" s="8" t="s">
        <v>195</v>
      </c>
      <c r="D94" s="5" t="str">
        <f>LRTRIM(CONCATENATE(IF(SUMPRODUCT(-- ISNUMBER(SEARCH({"Auto Number"}, $B94))) &gt; 0, $B94, IF(SUMPRODUCT(-- ISNUMBER(SEARCH({"Lookup","Master-Detail"}, $B94))) &gt; 0,$B94 &amp; "(" &amp; $E94 &amp; ")",IF(SUMPRODUCT(-- ISNUMBER(SEARCH({"Formula","Roll-Up Summary"}, $B94))) &gt; 0,$B94 &amp; " (" &amp; $E94 &amp; ")",IF(SUMPRODUCT(-- ISNUMBER(SEARCH({"Content","Currency","Number","Percent","Text","URL"}, $B94))) &gt; 0,$B94 &amp; "(" &amp; $C94 &amp; ")",$B94)))), "  ", TRIM(IF($S94 = "YES", "(External ID)", "") &amp; " " &amp; IF(SUMPRODUCT(-- ISNUMBER(SEARCH({"Unique","Unique Case Insensitive"}, $R94))) &gt; 0, "(" &amp; $R94 &amp; ")", ""))))</f>
        <v>Checkbox</v>
      </c>
      <c r="E94" s="7" t="s">
        <v>195</v>
      </c>
      <c r="F94" s="7" t="s">
        <v>25</v>
      </c>
      <c r="G94" s="7" t="s">
        <v>195</v>
      </c>
      <c r="H94" s="7" t="s">
        <v>195</v>
      </c>
      <c r="I94" s="7" t="s">
        <v>195</v>
      </c>
      <c r="J94" s="7" t="s">
        <v>195</v>
      </c>
      <c r="K94" s="7" t="s">
        <v>195</v>
      </c>
      <c r="L94" s="7" t="s">
        <v>195</v>
      </c>
      <c r="M94" s="7" t="s">
        <v>28</v>
      </c>
      <c r="N94" s="7" t="s">
        <v>29</v>
      </c>
      <c r="O94" s="7" t="s">
        <v>29</v>
      </c>
      <c r="P94" s="7" t="s">
        <v>29</v>
      </c>
      <c r="Q94" s="7" t="s">
        <v>29</v>
      </c>
      <c r="R94" s="7" t="s">
        <v>29</v>
      </c>
      <c r="S94" s="7" t="s">
        <v>29</v>
      </c>
    </row>
    <row r="95" spans="1:19">
      <c r="A95" s="7" t="s">
        <v>108</v>
      </c>
      <c r="B95" s="7" t="s">
        <v>1204</v>
      </c>
      <c r="C95" s="8" t="s">
        <v>195</v>
      </c>
      <c r="D95" s="5" t="str">
        <f>LRTRIM(CONCATENATE(IF(SUMPRODUCT(-- ISNUMBER(SEARCH({"Auto Number"}, $B95))) &gt; 0, $B95, IF(SUMPRODUCT(-- ISNUMBER(SEARCH({"Lookup","Master-Detail"}, $B95))) &gt; 0,$B95 &amp; "(" &amp; $E95 &amp; ")",IF(SUMPRODUCT(-- ISNUMBER(SEARCH({"Formula","Roll-Up Summary"}, $B95))) &gt; 0,$B95 &amp; " (" &amp; $E95 &amp; ")",IF(SUMPRODUCT(-- ISNUMBER(SEARCH({"Content","Currency","Number","Percent","Text","URL"}, $B95))) &gt; 0,$B95 &amp; "(" &amp; $C95 &amp; ")",$B95)))), "  ", TRIM(IF($S95 = "YES", "(External ID)", "") &amp; " " &amp; IF(SUMPRODUCT(-- ISNUMBER(SEARCH({"Unique","Unique Case Insensitive"}, $R95))) &gt; 0, "(" &amp; $R95 &amp; ")", ""))))</f>
        <v>Checkbox</v>
      </c>
      <c r="E95" s="7" t="s">
        <v>195</v>
      </c>
      <c r="F95" s="7" t="s">
        <v>421</v>
      </c>
      <c r="G95" s="7" t="s">
        <v>195</v>
      </c>
      <c r="H95" s="7" t="s">
        <v>195</v>
      </c>
      <c r="I95" s="7" t="s">
        <v>195</v>
      </c>
      <c r="J95" s="7" t="s">
        <v>195</v>
      </c>
      <c r="K95" s="7" t="s">
        <v>195</v>
      </c>
      <c r="L95" s="7" t="s">
        <v>195</v>
      </c>
      <c r="M95" s="7" t="s">
        <v>28</v>
      </c>
      <c r="N95" s="7" t="s">
        <v>29</v>
      </c>
      <c r="O95" s="7" t="s">
        <v>29</v>
      </c>
      <c r="P95" s="7" t="s">
        <v>29</v>
      </c>
      <c r="Q95" s="7" t="s">
        <v>29</v>
      </c>
      <c r="R95" s="7" t="s">
        <v>29</v>
      </c>
      <c r="S95" s="7" t="s">
        <v>29</v>
      </c>
    </row>
    <row r="96" spans="1:19">
      <c r="A96" s="7" t="s">
        <v>87</v>
      </c>
      <c r="B96" s="7" t="s">
        <v>1211</v>
      </c>
      <c r="C96" s="8" t="s">
        <v>195</v>
      </c>
      <c r="D96" s="5" t="str">
        <f>LRTRIM(CONCATENATE(IF(SUMPRODUCT(-- ISNUMBER(SEARCH({"Auto Number"}, $B96))) &gt; 0, $B96, IF(SUMPRODUCT(-- ISNUMBER(SEARCH({"Lookup","Master-Detail"}, $B96))) &gt; 0,$B96 &amp; "(" &amp; $E96 &amp; ")",IF(SUMPRODUCT(-- ISNUMBER(SEARCH({"Formula","Roll-Up Summary"}, $B96))) &gt; 0,$B96 &amp; " (" &amp; $E96 &amp; ")",IF(SUMPRODUCT(-- ISNUMBER(SEARCH({"Content","Currency","Number","Percent","Text","URL"}, $B96))) &gt; 0,$B96 &amp; "(" &amp; $C96 &amp; ")",$B96)))), "  ", TRIM(IF($S96 = "YES", "(External ID)", "") &amp; " " &amp; IF(SUMPRODUCT(-- ISNUMBER(SEARCH({"Unique","Unique Case Insensitive"}, $R96))) &gt; 0, "(" &amp; $R96 &amp; ")", ""))))</f>
        <v>Lookup(User)</v>
      </c>
      <c r="E96" s="7" t="s">
        <v>7</v>
      </c>
      <c r="F96" s="7" t="s">
        <v>1259</v>
      </c>
      <c r="G96" s="7" t="s">
        <v>195</v>
      </c>
      <c r="H96" s="7" t="s">
        <v>195</v>
      </c>
      <c r="I96" s="7" t="s">
        <v>195</v>
      </c>
      <c r="J96" s="7" t="s">
        <v>195</v>
      </c>
      <c r="K96" s="7" t="s">
        <v>195</v>
      </c>
      <c r="L96" s="7" t="s">
        <v>195</v>
      </c>
      <c r="M96" s="7" t="s">
        <v>28</v>
      </c>
      <c r="N96" s="7" t="s">
        <v>29</v>
      </c>
      <c r="O96" s="7" t="s">
        <v>29</v>
      </c>
      <c r="P96" s="7" t="s">
        <v>29</v>
      </c>
      <c r="Q96" s="7" t="s">
        <v>29</v>
      </c>
      <c r="R96" s="7" t="s">
        <v>29</v>
      </c>
      <c r="S96" s="7" t="s">
        <v>29</v>
      </c>
    </row>
    <row r="97" spans="1:19">
      <c r="A97" s="7" t="s">
        <v>109</v>
      </c>
      <c r="B97" s="7" t="s">
        <v>1204</v>
      </c>
      <c r="C97" s="8" t="s">
        <v>195</v>
      </c>
      <c r="D97" s="5" t="str">
        <f>LRTRIM(CONCATENATE(IF(SUMPRODUCT(-- ISNUMBER(SEARCH({"Auto Number"}, $B97))) &gt; 0, $B97, IF(SUMPRODUCT(-- ISNUMBER(SEARCH({"Lookup","Master-Detail"}, $B97))) &gt; 0,$B97 &amp; "(" &amp; $E97 &amp; ")",IF(SUMPRODUCT(-- ISNUMBER(SEARCH({"Formula","Roll-Up Summary"}, $B97))) &gt; 0,$B97 &amp; " (" &amp; $E97 &amp; ")",IF(SUMPRODUCT(-- ISNUMBER(SEARCH({"Content","Currency","Number","Percent","Text","URL"}, $B97))) &gt; 0,$B97 &amp; "(" &amp; $C97 &amp; ")",$B97)))), "  ", TRIM(IF($S97 = "YES", "(External ID)", "") &amp; " " &amp; IF(SUMPRODUCT(-- ISNUMBER(SEARCH({"Unique","Unique Case Insensitive"}, $R97))) &gt; 0, "(" &amp; $R97 &amp; ")", ""))))</f>
        <v>Checkbox</v>
      </c>
      <c r="E97" s="7" t="s">
        <v>195</v>
      </c>
      <c r="F97" s="7" t="s">
        <v>409</v>
      </c>
      <c r="G97" s="7" t="s">
        <v>195</v>
      </c>
      <c r="H97" s="7" t="s">
        <v>195</v>
      </c>
      <c r="I97" s="7" t="s">
        <v>195</v>
      </c>
      <c r="J97" s="7" t="s">
        <v>195</v>
      </c>
      <c r="K97" s="7" t="s">
        <v>195</v>
      </c>
      <c r="L97" s="7" t="s">
        <v>195</v>
      </c>
      <c r="M97" s="7" t="s">
        <v>28</v>
      </c>
      <c r="N97" s="7" t="s">
        <v>29</v>
      </c>
      <c r="O97" s="7" t="s">
        <v>29</v>
      </c>
      <c r="P97" s="7" t="s">
        <v>29</v>
      </c>
      <c r="Q97" s="7" t="s">
        <v>29</v>
      </c>
      <c r="R97" s="7" t="s">
        <v>29</v>
      </c>
      <c r="S97" s="7" t="s">
        <v>29</v>
      </c>
    </row>
    <row r="98" spans="1:19">
      <c r="A98" s="7" t="s">
        <v>110</v>
      </c>
      <c r="B98" s="7" t="s">
        <v>1204</v>
      </c>
      <c r="C98" s="8" t="s">
        <v>195</v>
      </c>
      <c r="D98" s="5" t="str">
        <f>LRTRIM(CONCATENATE(IF(SUMPRODUCT(-- ISNUMBER(SEARCH({"Auto Number"}, $B98))) &gt; 0, $B98, IF(SUMPRODUCT(-- ISNUMBER(SEARCH({"Lookup","Master-Detail"}, $B98))) &gt; 0,$B98 &amp; "(" &amp; $E98 &amp; ")",IF(SUMPRODUCT(-- ISNUMBER(SEARCH({"Formula","Roll-Up Summary"}, $B98))) &gt; 0,$B98 &amp; " (" &amp; $E98 &amp; ")",IF(SUMPRODUCT(-- ISNUMBER(SEARCH({"Content","Currency","Number","Percent","Text","URL"}, $B98))) &gt; 0,$B98 &amp; "(" &amp; $C98 &amp; ")",$B98)))), "  ", TRIM(IF($S98 = "YES", "(External ID)", "") &amp; " " &amp; IF(SUMPRODUCT(-- ISNUMBER(SEARCH({"Unique","Unique Case Insensitive"}, $R98))) &gt; 0, "(" &amp; $R98 &amp; ")", ""))))</f>
        <v>Checkbox</v>
      </c>
      <c r="E98" s="7" t="s">
        <v>195</v>
      </c>
      <c r="F98" s="7" t="s">
        <v>410</v>
      </c>
      <c r="G98" s="7" t="s">
        <v>195</v>
      </c>
      <c r="H98" s="7" t="s">
        <v>195</v>
      </c>
      <c r="I98" s="7" t="s">
        <v>195</v>
      </c>
      <c r="J98" s="7" t="s">
        <v>195</v>
      </c>
      <c r="K98" s="7" t="s">
        <v>195</v>
      </c>
      <c r="L98" s="7" t="s">
        <v>195</v>
      </c>
      <c r="M98" s="7" t="s">
        <v>28</v>
      </c>
      <c r="N98" s="7" t="s">
        <v>29</v>
      </c>
      <c r="O98" s="7" t="s">
        <v>29</v>
      </c>
      <c r="P98" s="7" t="s">
        <v>29</v>
      </c>
      <c r="Q98" s="7" t="s">
        <v>29</v>
      </c>
      <c r="R98" s="7" t="s">
        <v>29</v>
      </c>
      <c r="S98" s="7" t="s">
        <v>29</v>
      </c>
    </row>
    <row r="99" spans="1:19">
      <c r="A99" s="7" t="s">
        <v>111</v>
      </c>
      <c r="B99" s="7" t="s">
        <v>1204</v>
      </c>
      <c r="C99" s="8" t="s">
        <v>195</v>
      </c>
      <c r="D99" s="5" t="str">
        <f>LRTRIM(CONCATENATE(IF(SUMPRODUCT(-- ISNUMBER(SEARCH({"Auto Number"}, $B99))) &gt; 0, $B99, IF(SUMPRODUCT(-- ISNUMBER(SEARCH({"Lookup","Master-Detail"}, $B99))) &gt; 0,$B99 &amp; "(" &amp; $E99 &amp; ")",IF(SUMPRODUCT(-- ISNUMBER(SEARCH({"Formula","Roll-Up Summary"}, $B99))) &gt; 0,$B99 &amp; " (" &amp; $E99 &amp; ")",IF(SUMPRODUCT(-- ISNUMBER(SEARCH({"Content","Currency","Number","Percent","Text","URL"}, $B99))) &gt; 0,$B99 &amp; "(" &amp; $C99 &amp; ")",$B99)))), "  ", TRIM(IF($S99 = "YES", "(External ID)", "") &amp; " " &amp; IF(SUMPRODUCT(-- ISNUMBER(SEARCH({"Unique","Unique Case Insensitive"}, $R99))) &gt; 0, "(" &amp; $R99 &amp; ")", ""))))</f>
        <v>Checkbox</v>
      </c>
      <c r="E99" s="7" t="s">
        <v>195</v>
      </c>
      <c r="F99" s="7" t="s">
        <v>411</v>
      </c>
      <c r="G99" s="7" t="s">
        <v>195</v>
      </c>
      <c r="H99" s="7" t="s">
        <v>195</v>
      </c>
      <c r="I99" s="7" t="s">
        <v>195</v>
      </c>
      <c r="J99" s="7" t="s">
        <v>195</v>
      </c>
      <c r="K99" s="7" t="s">
        <v>195</v>
      </c>
      <c r="L99" s="7" t="s">
        <v>195</v>
      </c>
      <c r="M99" s="7" t="s">
        <v>28</v>
      </c>
      <c r="N99" s="7" t="s">
        <v>29</v>
      </c>
      <c r="O99" s="7" t="s">
        <v>29</v>
      </c>
      <c r="P99" s="7" t="s">
        <v>29</v>
      </c>
      <c r="Q99" s="7" t="s">
        <v>29</v>
      </c>
      <c r="R99" s="7" t="s">
        <v>29</v>
      </c>
      <c r="S99" s="7" t="s">
        <v>29</v>
      </c>
    </row>
    <row r="100" spans="1:19">
      <c r="A100" s="7" t="s">
        <v>39</v>
      </c>
      <c r="B100" s="7" t="s">
        <v>1207</v>
      </c>
      <c r="C100" s="8" t="s">
        <v>195</v>
      </c>
      <c r="D100" s="5" t="str">
        <f>LRTRIM(CONCATENATE(IF(SUMPRODUCT(-- ISNUMBER(SEARCH({"Auto Number"}, $B100))) &gt; 0, $B100, IF(SUMPRODUCT(-- ISNUMBER(SEARCH({"Lookup","Master-Detail"}, $B100))) &gt; 0,$B100 &amp; "(" &amp; $E100 &amp; ")",IF(SUMPRODUCT(-- ISNUMBER(SEARCH({"Formula","Roll-Up Summary"}, $B100))) &gt; 0,$B100 &amp; " (" &amp; $E100 &amp; ")",IF(SUMPRODUCT(-- ISNUMBER(SEARCH({"Content","Currency","Number","Percent","Text","URL"}, $B100))) &gt; 0,$B100 &amp; "(" &amp; $C100 &amp; ")",$B100)))), "  ", TRIM(IF($S100 = "YES", "(External ID)", "") &amp; " " &amp; IF(SUMPRODUCT(-- ISNUMBER(SEARCH({"Unique","Unique Case Insensitive"}, $R100))) &gt; 0, "(" &amp; $R100 &amp; ")", ""))))</f>
        <v>Date/Time</v>
      </c>
      <c r="E100" s="7" t="s">
        <v>195</v>
      </c>
      <c r="F100" s="7" t="s">
        <v>1260</v>
      </c>
      <c r="G100" s="7" t="s">
        <v>195</v>
      </c>
      <c r="H100" s="7" t="s">
        <v>195</v>
      </c>
      <c r="I100" s="7" t="s">
        <v>195</v>
      </c>
      <c r="J100" s="7" t="s">
        <v>195</v>
      </c>
      <c r="K100" s="7" t="s">
        <v>195</v>
      </c>
      <c r="L100" s="7" t="s">
        <v>195</v>
      </c>
      <c r="M100" s="7" t="s">
        <v>28</v>
      </c>
      <c r="N100" s="7" t="s">
        <v>29</v>
      </c>
      <c r="O100" s="7" t="s">
        <v>29</v>
      </c>
      <c r="P100" s="7" t="s">
        <v>29</v>
      </c>
      <c r="Q100" s="7" t="s">
        <v>29</v>
      </c>
      <c r="R100" s="7" t="s">
        <v>29</v>
      </c>
      <c r="S100" s="7" t="s">
        <v>29</v>
      </c>
    </row>
    <row r="101" spans="1:19">
      <c r="B101" s="7" t="s">
        <v>195</v>
      </c>
      <c r="D101" s="5" t="str">
        <f>LRTRIM(CONCATENATE(IF(SUMPRODUCT(-- ISNUMBER(SEARCH({"Auto Number"}, $B101))) &gt; 0, $B101, IF(SUMPRODUCT(-- ISNUMBER(SEARCH({"Lookup","Master-Detail"}, $B101))) &gt; 0,$B101 &amp; "(" &amp; $E101 &amp; ")",IF(SUMPRODUCT(-- ISNUMBER(SEARCH({"Formula","Roll-Up Summary"}, $B101))) &gt; 0,$B101 &amp; " (" &amp; $E101 &amp; ")",IF(SUMPRODUCT(-- ISNUMBER(SEARCH({"Content","Currency","Number","Percent","Text","URL"}, $B101))) &gt; 0,$B101 &amp; "(" &amp; $C101 &amp; ")",$B101)))), "  ", TRIM(IF($S101 = "YES", "(External ID)", "") &amp; " " &amp; IF(SUMPRODUCT(-- ISNUMBER(SEARCH({"Unique","Unique Case Insensitive"}, $R101))) &gt; 0, "(" &amp; $R101 &amp; ")", ""))))</f>
        <v>na</v>
      </c>
      <c r="E101" s="7"/>
      <c r="F101" s="7" t="s">
        <v>195</v>
      </c>
      <c r="G101" s="7" t="s">
        <v>195</v>
      </c>
      <c r="H101" s="7" t="s">
        <v>195</v>
      </c>
      <c r="I101" s="7" t="s">
        <v>195</v>
      </c>
      <c r="J101" s="7" t="s">
        <v>195</v>
      </c>
      <c r="K101" s="7" t="s">
        <v>195</v>
      </c>
      <c r="L101" s="7" t="s">
        <v>195</v>
      </c>
      <c r="M101" s="7" t="s">
        <v>29</v>
      </c>
      <c r="N101" s="7" t="s">
        <v>29</v>
      </c>
      <c r="O101" s="7" t="s">
        <v>29</v>
      </c>
      <c r="P101" s="7" t="s">
        <v>29</v>
      </c>
      <c r="Q101" s="7" t="s">
        <v>29</v>
      </c>
      <c r="R101" s="7" t="s">
        <v>29</v>
      </c>
      <c r="S101" s="7" t="s">
        <v>29</v>
      </c>
    </row>
    <row r="102" spans="1:19">
      <c r="B102" s="7" t="s">
        <v>195</v>
      </c>
      <c r="D102" s="5" t="str">
        <f>LRTRIM(CONCATENATE(IF(SUMPRODUCT(-- ISNUMBER(SEARCH({"Auto Number"}, $B102))) &gt; 0, $B102, IF(SUMPRODUCT(-- ISNUMBER(SEARCH({"Lookup","Master-Detail"}, $B102))) &gt; 0,$B102 &amp; "(" &amp; $E102 &amp; ")",IF(SUMPRODUCT(-- ISNUMBER(SEARCH({"Formula","Roll-Up Summary"}, $B102))) &gt; 0,$B102 &amp; " (" &amp; $E102 &amp; ")",IF(SUMPRODUCT(-- ISNUMBER(SEARCH({"Content","Currency","Number","Percent","Text","URL"}, $B102))) &gt; 0,$B102 &amp; "(" &amp; $C102 &amp; ")",$B102)))), "  ", TRIM(IF($S102 = "YES", "(External ID)", "") &amp; " " &amp; IF(SUMPRODUCT(-- ISNUMBER(SEARCH({"Unique","Unique Case Insensitive"}, $R102))) &gt; 0, "(" &amp; $R102 &amp; ")", ""))))</f>
        <v>na</v>
      </c>
      <c r="E102" s="7"/>
      <c r="F102" s="7" t="s">
        <v>195</v>
      </c>
      <c r="G102" s="7" t="s">
        <v>195</v>
      </c>
      <c r="H102" s="7" t="s">
        <v>195</v>
      </c>
      <c r="I102" s="7" t="s">
        <v>195</v>
      </c>
      <c r="J102" s="7" t="s">
        <v>195</v>
      </c>
      <c r="K102" s="7" t="s">
        <v>195</v>
      </c>
      <c r="L102" s="7" t="s">
        <v>195</v>
      </c>
      <c r="M102" s="7" t="s">
        <v>29</v>
      </c>
      <c r="N102" s="7" t="s">
        <v>29</v>
      </c>
      <c r="O102" s="7" t="s">
        <v>29</v>
      </c>
      <c r="P102" s="7" t="s">
        <v>29</v>
      </c>
      <c r="Q102" s="7" t="s">
        <v>29</v>
      </c>
      <c r="R102" s="7" t="s">
        <v>29</v>
      </c>
      <c r="S102" s="7" t="s">
        <v>29</v>
      </c>
    </row>
    <row r="103" spans="1:19">
      <c r="B103" s="7" t="s">
        <v>195</v>
      </c>
      <c r="D103" s="5" t="str">
        <f>LRTRIM(CONCATENATE(IF(SUMPRODUCT(-- ISNUMBER(SEARCH({"Auto Number"}, $B103))) &gt; 0, $B103, IF(SUMPRODUCT(-- ISNUMBER(SEARCH({"Lookup","Master-Detail"}, $B103))) &gt; 0,$B103 &amp; "(" &amp; $E103 &amp; ")",IF(SUMPRODUCT(-- ISNUMBER(SEARCH({"Formula","Roll-Up Summary"}, $B103))) &gt; 0,$B103 &amp; " (" &amp; $E103 &amp; ")",IF(SUMPRODUCT(-- ISNUMBER(SEARCH({"Content","Currency","Number","Percent","Text","URL"}, $B103))) &gt; 0,$B103 &amp; "(" &amp; $C103 &amp; ")",$B103)))), "  ", TRIM(IF($S103 = "YES", "(External ID)", "") &amp; " " &amp; IF(SUMPRODUCT(-- ISNUMBER(SEARCH({"Unique","Unique Case Insensitive"}, $R103))) &gt; 0, "(" &amp; $R103 &amp; ")", ""))))</f>
        <v>na</v>
      </c>
      <c r="E103" s="7"/>
      <c r="F103" s="7" t="s">
        <v>195</v>
      </c>
      <c r="G103" s="7" t="s">
        <v>195</v>
      </c>
      <c r="H103" s="7" t="s">
        <v>195</v>
      </c>
      <c r="I103" s="7" t="s">
        <v>195</v>
      </c>
      <c r="J103" s="7" t="s">
        <v>195</v>
      </c>
      <c r="K103" s="7" t="s">
        <v>195</v>
      </c>
      <c r="L103" s="7" t="s">
        <v>195</v>
      </c>
      <c r="M103" s="7" t="s">
        <v>29</v>
      </c>
      <c r="N103" s="7" t="s">
        <v>29</v>
      </c>
      <c r="O103" s="7" t="s">
        <v>29</v>
      </c>
      <c r="P103" s="7" t="s">
        <v>29</v>
      </c>
      <c r="Q103" s="7" t="s">
        <v>29</v>
      </c>
      <c r="R103" s="7" t="s">
        <v>29</v>
      </c>
      <c r="S103" s="7" t="s">
        <v>29</v>
      </c>
    </row>
    <row r="104" spans="1:19">
      <c r="B104" s="7" t="s">
        <v>195</v>
      </c>
      <c r="D104" s="5" t="str">
        <f>LRTRIM(CONCATENATE(IF(SUMPRODUCT(-- ISNUMBER(SEARCH({"Auto Number"}, $B104))) &gt; 0, $B104, IF(SUMPRODUCT(-- ISNUMBER(SEARCH({"Lookup","Master-Detail"}, $B104))) &gt; 0,$B104 &amp; "(" &amp; $E104 &amp; ")",IF(SUMPRODUCT(-- ISNUMBER(SEARCH({"Formula","Roll-Up Summary"}, $B104))) &gt; 0,$B104 &amp; " (" &amp; $E104 &amp; ")",IF(SUMPRODUCT(-- ISNUMBER(SEARCH({"Content","Currency","Number","Percent","Text","URL"}, $B104))) &gt; 0,$B104 &amp; "(" &amp; $C104 &amp; ")",$B104)))), "  ", TRIM(IF($S104 = "YES", "(External ID)", "") &amp; " " &amp; IF(SUMPRODUCT(-- ISNUMBER(SEARCH({"Unique","Unique Case Insensitive"}, $R104))) &gt; 0, "(" &amp; $R104 &amp; ")", ""))))</f>
        <v>na</v>
      </c>
      <c r="E104" s="7"/>
      <c r="F104" s="7" t="s">
        <v>195</v>
      </c>
      <c r="G104" s="7" t="s">
        <v>195</v>
      </c>
      <c r="H104" s="7" t="s">
        <v>195</v>
      </c>
      <c r="I104" s="7" t="s">
        <v>195</v>
      </c>
      <c r="J104" s="7" t="s">
        <v>195</v>
      </c>
      <c r="K104" s="7" t="s">
        <v>195</v>
      </c>
      <c r="L104" s="7" t="s">
        <v>195</v>
      </c>
      <c r="M104" s="7" t="s">
        <v>29</v>
      </c>
      <c r="N104" s="7" t="s">
        <v>29</v>
      </c>
      <c r="O104" s="7" t="s">
        <v>29</v>
      </c>
      <c r="P104" s="7" t="s">
        <v>29</v>
      </c>
      <c r="Q104" s="7" t="s">
        <v>29</v>
      </c>
      <c r="R104" s="7" t="s">
        <v>29</v>
      </c>
      <c r="S104" s="7" t="s">
        <v>29</v>
      </c>
    </row>
    <row r="105" spans="1:19">
      <c r="B105" s="7" t="s">
        <v>195</v>
      </c>
      <c r="D105" s="5" t="str">
        <f>LRTRIM(CONCATENATE(IF(SUMPRODUCT(-- ISNUMBER(SEARCH({"Auto Number"}, $B105))) &gt; 0, $B105, IF(SUMPRODUCT(-- ISNUMBER(SEARCH({"Lookup","Master-Detail"}, $B105))) &gt; 0,$B105 &amp; "(" &amp; $E105 &amp; ")",IF(SUMPRODUCT(-- ISNUMBER(SEARCH({"Formula","Roll-Up Summary"}, $B105))) &gt; 0,$B105 &amp; " (" &amp; $E105 &amp; ")",IF(SUMPRODUCT(-- ISNUMBER(SEARCH({"Content","Currency","Number","Percent","Text","URL"}, $B105))) &gt; 0,$B105 &amp; "(" &amp; $C105 &amp; ")",$B105)))), "  ", TRIM(IF($S105 = "YES", "(External ID)", "") &amp; " " &amp; IF(SUMPRODUCT(-- ISNUMBER(SEARCH({"Unique","Unique Case Insensitive"}, $R105))) &gt; 0, "(" &amp; $R105 &amp; ")", ""))))</f>
        <v>na</v>
      </c>
      <c r="E105" s="7"/>
      <c r="F105" s="7" t="s">
        <v>195</v>
      </c>
      <c r="G105" s="7" t="s">
        <v>195</v>
      </c>
      <c r="H105" s="7" t="s">
        <v>195</v>
      </c>
      <c r="I105" s="7" t="s">
        <v>195</v>
      </c>
      <c r="J105" s="7" t="s">
        <v>195</v>
      </c>
      <c r="K105" s="7" t="s">
        <v>195</v>
      </c>
      <c r="L105" s="7" t="s">
        <v>195</v>
      </c>
      <c r="M105" s="7" t="s">
        <v>29</v>
      </c>
      <c r="N105" s="7" t="s">
        <v>29</v>
      </c>
      <c r="O105" s="7" t="s">
        <v>29</v>
      </c>
      <c r="P105" s="7" t="s">
        <v>29</v>
      </c>
      <c r="Q105" s="7" t="s">
        <v>29</v>
      </c>
      <c r="R105" s="7" t="s">
        <v>29</v>
      </c>
      <c r="S105" s="7" t="s">
        <v>29</v>
      </c>
    </row>
    <row r="106" spans="1:19">
      <c r="B106" s="7" t="s">
        <v>195</v>
      </c>
      <c r="D106" s="5" t="str">
        <f>LRTRIM(CONCATENATE(IF(SUMPRODUCT(-- ISNUMBER(SEARCH({"Auto Number"}, $B106))) &gt; 0, $B106, IF(SUMPRODUCT(-- ISNUMBER(SEARCH({"Lookup","Master-Detail"}, $B106))) &gt; 0,$B106 &amp; "(" &amp; $E106 &amp; ")",IF(SUMPRODUCT(-- ISNUMBER(SEARCH({"Formula","Roll-Up Summary"}, $B106))) &gt; 0,$B106 &amp; " (" &amp; $E106 &amp; ")",IF(SUMPRODUCT(-- ISNUMBER(SEARCH({"Content","Currency","Number","Percent","Text","URL"}, $B106))) &gt; 0,$B106 &amp; "(" &amp; $C106 &amp; ")",$B106)))), "  ", TRIM(IF($S106 = "YES", "(External ID)", "") &amp; " " &amp; IF(SUMPRODUCT(-- ISNUMBER(SEARCH({"Unique","Unique Case Insensitive"}, $R106))) &gt; 0, "(" &amp; $R106 &amp; ")", ""))))</f>
        <v>na</v>
      </c>
      <c r="E106" s="7"/>
      <c r="F106" s="7" t="s">
        <v>195</v>
      </c>
      <c r="G106" s="7" t="s">
        <v>195</v>
      </c>
      <c r="H106" s="7" t="s">
        <v>195</v>
      </c>
      <c r="I106" s="7" t="s">
        <v>195</v>
      </c>
      <c r="J106" s="7" t="s">
        <v>195</v>
      </c>
      <c r="K106" s="7" t="s">
        <v>195</v>
      </c>
      <c r="L106" s="7" t="s">
        <v>195</v>
      </c>
      <c r="M106" s="7" t="s">
        <v>29</v>
      </c>
      <c r="N106" s="7" t="s">
        <v>29</v>
      </c>
      <c r="O106" s="7" t="s">
        <v>29</v>
      </c>
      <c r="P106" s="7" t="s">
        <v>29</v>
      </c>
      <c r="Q106" s="7" t="s">
        <v>29</v>
      </c>
      <c r="R106" s="7" t="s">
        <v>29</v>
      </c>
      <c r="S106" s="7" t="s">
        <v>29</v>
      </c>
    </row>
    <row r="107" spans="1:19">
      <c r="B107" s="7" t="s">
        <v>195</v>
      </c>
      <c r="D107" s="5" t="str">
        <f>LRTRIM(CONCATENATE(IF(SUMPRODUCT(-- ISNUMBER(SEARCH({"Auto Number"}, $B107))) &gt; 0, $B107, IF(SUMPRODUCT(-- ISNUMBER(SEARCH({"Lookup","Master-Detail"}, $B107))) &gt; 0,$B107 &amp; "(" &amp; $E107 &amp; ")",IF(SUMPRODUCT(-- ISNUMBER(SEARCH({"Formula","Roll-Up Summary"}, $B107))) &gt; 0,$B107 &amp; " (" &amp; $E107 &amp; ")",IF(SUMPRODUCT(-- ISNUMBER(SEARCH({"Content","Currency","Number","Percent","Text","URL"}, $B107))) &gt; 0,$B107 &amp; "(" &amp; $C107 &amp; ")",$B107)))), "  ", TRIM(IF($S107 = "YES", "(External ID)", "") &amp; " " &amp; IF(SUMPRODUCT(-- ISNUMBER(SEARCH({"Unique","Unique Case Insensitive"}, $R107))) &gt; 0, "(" &amp; $R107 &amp; ")", ""))))</f>
        <v>na</v>
      </c>
      <c r="E107" s="7"/>
      <c r="F107" s="7" t="s">
        <v>195</v>
      </c>
      <c r="G107" s="7" t="s">
        <v>195</v>
      </c>
      <c r="H107" s="7" t="s">
        <v>195</v>
      </c>
      <c r="I107" s="7" t="s">
        <v>195</v>
      </c>
      <c r="J107" s="7" t="s">
        <v>195</v>
      </c>
      <c r="K107" s="7" t="s">
        <v>195</v>
      </c>
      <c r="L107" s="7" t="s">
        <v>195</v>
      </c>
      <c r="M107" s="7" t="s">
        <v>29</v>
      </c>
      <c r="N107" s="7" t="s">
        <v>29</v>
      </c>
      <c r="O107" s="7" t="s">
        <v>29</v>
      </c>
      <c r="P107" s="7" t="s">
        <v>29</v>
      </c>
      <c r="Q107" s="7" t="s">
        <v>29</v>
      </c>
      <c r="R107" s="7" t="s">
        <v>29</v>
      </c>
      <c r="S107" s="7" t="s">
        <v>29</v>
      </c>
    </row>
    <row r="108" spans="1:19">
      <c r="B108" s="7" t="s">
        <v>195</v>
      </c>
      <c r="D108" s="5" t="str">
        <f>LRTRIM(CONCATENATE(IF(SUMPRODUCT(-- ISNUMBER(SEARCH({"Auto Number"}, $B108))) &gt; 0, $B108, IF(SUMPRODUCT(-- ISNUMBER(SEARCH({"Lookup","Master-Detail"}, $B108))) &gt; 0,$B108 &amp; "(" &amp; $E108 &amp; ")",IF(SUMPRODUCT(-- ISNUMBER(SEARCH({"Formula","Roll-Up Summary"}, $B108))) &gt; 0,$B108 &amp; " (" &amp; $E108 &amp; ")",IF(SUMPRODUCT(-- ISNUMBER(SEARCH({"Content","Currency","Number","Percent","Text","URL"}, $B108))) &gt; 0,$B108 &amp; "(" &amp; $C108 &amp; ")",$B108)))), "  ", TRIM(IF($S108 = "YES", "(External ID)", "") &amp; " " &amp; IF(SUMPRODUCT(-- ISNUMBER(SEARCH({"Unique","Unique Case Insensitive"}, $R108))) &gt; 0, "(" &amp; $R108 &amp; ")", ""))))</f>
        <v>na</v>
      </c>
      <c r="E108" s="7"/>
      <c r="F108" s="7" t="s">
        <v>195</v>
      </c>
      <c r="G108" s="7" t="s">
        <v>195</v>
      </c>
      <c r="H108" s="7" t="s">
        <v>195</v>
      </c>
      <c r="I108" s="7" t="s">
        <v>195</v>
      </c>
      <c r="J108" s="7" t="s">
        <v>195</v>
      </c>
      <c r="K108" s="7" t="s">
        <v>195</v>
      </c>
      <c r="L108" s="7" t="s">
        <v>195</v>
      </c>
      <c r="M108" s="7" t="s">
        <v>29</v>
      </c>
      <c r="N108" s="7" t="s">
        <v>29</v>
      </c>
      <c r="O108" s="7" t="s">
        <v>29</v>
      </c>
      <c r="P108" s="7" t="s">
        <v>29</v>
      </c>
      <c r="Q108" s="7" t="s">
        <v>29</v>
      </c>
      <c r="R108" s="7" t="s">
        <v>29</v>
      </c>
      <c r="S108" s="7" t="s">
        <v>29</v>
      </c>
    </row>
    <row r="109" spans="1:19">
      <c r="B109" s="7" t="s">
        <v>195</v>
      </c>
      <c r="D109" s="5" t="str">
        <f>LRTRIM(CONCATENATE(IF(SUMPRODUCT(-- ISNUMBER(SEARCH({"Auto Number"}, $B109))) &gt; 0, $B109, IF(SUMPRODUCT(-- ISNUMBER(SEARCH({"Lookup","Master-Detail"}, $B109))) &gt; 0,$B109 &amp; "(" &amp; $E109 &amp; ")",IF(SUMPRODUCT(-- ISNUMBER(SEARCH({"Formula","Roll-Up Summary"}, $B109))) &gt; 0,$B109 &amp; " (" &amp; $E109 &amp; ")",IF(SUMPRODUCT(-- ISNUMBER(SEARCH({"Content","Currency","Number","Percent","Text","URL"}, $B109))) &gt; 0,$B109 &amp; "(" &amp; $C109 &amp; ")",$B109)))), "  ", TRIM(IF($S109 = "YES", "(External ID)", "") &amp; " " &amp; IF(SUMPRODUCT(-- ISNUMBER(SEARCH({"Unique","Unique Case Insensitive"}, $R109))) &gt; 0, "(" &amp; $R109 &amp; ")", ""))))</f>
        <v>na</v>
      </c>
      <c r="E109" s="7"/>
      <c r="F109" s="7" t="s">
        <v>195</v>
      </c>
      <c r="G109" s="7" t="s">
        <v>195</v>
      </c>
      <c r="H109" s="7" t="s">
        <v>195</v>
      </c>
      <c r="I109" s="7" t="s">
        <v>195</v>
      </c>
      <c r="J109" s="7" t="s">
        <v>195</v>
      </c>
      <c r="K109" s="7" t="s">
        <v>195</v>
      </c>
      <c r="L109" s="7" t="s">
        <v>195</v>
      </c>
      <c r="M109" s="7" t="s">
        <v>29</v>
      </c>
      <c r="N109" s="7" t="s">
        <v>29</v>
      </c>
      <c r="O109" s="7" t="s">
        <v>29</v>
      </c>
      <c r="P109" s="7" t="s">
        <v>29</v>
      </c>
      <c r="Q109" s="7" t="s">
        <v>29</v>
      </c>
      <c r="R109" s="7" t="s">
        <v>29</v>
      </c>
      <c r="S109" s="7" t="s">
        <v>29</v>
      </c>
    </row>
    <row r="110" spans="1:19">
      <c r="B110" s="7" t="s">
        <v>195</v>
      </c>
      <c r="D110" s="5" t="str">
        <f>LRTRIM(CONCATENATE(IF(SUMPRODUCT(-- ISNUMBER(SEARCH({"Auto Number"}, $B110))) &gt; 0, $B110, IF(SUMPRODUCT(-- ISNUMBER(SEARCH({"Lookup","Master-Detail"}, $B110))) &gt; 0,$B110 &amp; "(" &amp; $E110 &amp; ")",IF(SUMPRODUCT(-- ISNUMBER(SEARCH({"Formula","Roll-Up Summary"}, $B110))) &gt; 0,$B110 &amp; " (" &amp; $E110 &amp; ")",IF(SUMPRODUCT(-- ISNUMBER(SEARCH({"Content","Currency","Number","Percent","Text","URL"}, $B110))) &gt; 0,$B110 &amp; "(" &amp; $C110 &amp; ")",$B110)))), "  ", TRIM(IF($S110 = "YES", "(External ID)", "") &amp; " " &amp; IF(SUMPRODUCT(-- ISNUMBER(SEARCH({"Unique","Unique Case Insensitive"}, $R110))) &gt; 0, "(" &amp; $R110 &amp; ")", ""))))</f>
        <v>na</v>
      </c>
      <c r="E110" s="7"/>
      <c r="F110" s="7" t="s">
        <v>195</v>
      </c>
      <c r="G110" s="7" t="s">
        <v>195</v>
      </c>
      <c r="H110" s="7" t="s">
        <v>195</v>
      </c>
      <c r="I110" s="7" t="s">
        <v>195</v>
      </c>
      <c r="J110" s="7" t="s">
        <v>195</v>
      </c>
      <c r="K110" s="7" t="s">
        <v>195</v>
      </c>
      <c r="L110" s="7" t="s">
        <v>195</v>
      </c>
      <c r="M110" s="7" t="s">
        <v>29</v>
      </c>
      <c r="N110" s="7" t="s">
        <v>29</v>
      </c>
      <c r="O110" s="7" t="s">
        <v>29</v>
      </c>
      <c r="P110" s="7" t="s">
        <v>29</v>
      </c>
      <c r="Q110" s="7" t="s">
        <v>29</v>
      </c>
      <c r="R110" s="7" t="s">
        <v>29</v>
      </c>
      <c r="S110" s="7" t="s">
        <v>29</v>
      </c>
    </row>
    <row r="111" spans="1:19">
      <c r="B111" s="7" t="s">
        <v>195</v>
      </c>
      <c r="D111" s="5" t="str">
        <f>LRTRIM(CONCATENATE(IF(SUMPRODUCT(-- ISNUMBER(SEARCH({"Auto Number"}, $B111))) &gt; 0, $B111, IF(SUMPRODUCT(-- ISNUMBER(SEARCH({"Lookup","Master-Detail"}, $B111))) &gt; 0,$B111 &amp; "(" &amp; $E111 &amp; ")",IF(SUMPRODUCT(-- ISNUMBER(SEARCH({"Formula","Roll-Up Summary"}, $B111))) &gt; 0,$B111 &amp; " (" &amp; $E111 &amp; ")",IF(SUMPRODUCT(-- ISNUMBER(SEARCH({"Content","Currency","Number","Percent","Text","URL"}, $B111))) &gt; 0,$B111 &amp; "(" &amp; $C111 &amp; ")",$B111)))), "  ", TRIM(IF($S111 = "YES", "(External ID)", "") &amp; " " &amp; IF(SUMPRODUCT(-- ISNUMBER(SEARCH({"Unique","Unique Case Insensitive"}, $R111))) &gt; 0, "(" &amp; $R111 &amp; ")", ""))))</f>
        <v>na</v>
      </c>
      <c r="E111" s="7"/>
      <c r="F111" s="7" t="s">
        <v>195</v>
      </c>
      <c r="G111" s="7" t="s">
        <v>195</v>
      </c>
      <c r="H111" s="7" t="s">
        <v>195</v>
      </c>
      <c r="I111" s="7" t="s">
        <v>195</v>
      </c>
      <c r="J111" s="7" t="s">
        <v>195</v>
      </c>
      <c r="K111" s="7" t="s">
        <v>195</v>
      </c>
      <c r="L111" s="7" t="s">
        <v>195</v>
      </c>
      <c r="M111" s="7" t="s">
        <v>29</v>
      </c>
      <c r="N111" s="7" t="s">
        <v>29</v>
      </c>
      <c r="O111" s="7" t="s">
        <v>29</v>
      </c>
      <c r="P111" s="7" t="s">
        <v>29</v>
      </c>
      <c r="Q111" s="7" t="s">
        <v>29</v>
      </c>
      <c r="R111" s="7" t="s">
        <v>29</v>
      </c>
      <c r="S111" s="7" t="s">
        <v>29</v>
      </c>
    </row>
    <row r="112" spans="1:19">
      <c r="B112" s="7" t="s">
        <v>195</v>
      </c>
      <c r="D112" s="5" t="str">
        <f>LRTRIM(CONCATENATE(IF(SUMPRODUCT(-- ISNUMBER(SEARCH({"Auto Number"}, $B112))) &gt; 0, $B112, IF(SUMPRODUCT(-- ISNUMBER(SEARCH({"Lookup","Master-Detail"}, $B112))) &gt; 0,$B112 &amp; "(" &amp; $E112 &amp; ")",IF(SUMPRODUCT(-- ISNUMBER(SEARCH({"Formula","Roll-Up Summary"}, $B112))) &gt; 0,$B112 &amp; " (" &amp; $E112 &amp; ")",IF(SUMPRODUCT(-- ISNUMBER(SEARCH({"Content","Currency","Number","Percent","Text","URL"}, $B112))) &gt; 0,$B112 &amp; "(" &amp; $C112 &amp; ")",$B112)))), "  ", TRIM(IF($S112 = "YES", "(External ID)", "") &amp; " " &amp; IF(SUMPRODUCT(-- ISNUMBER(SEARCH({"Unique","Unique Case Insensitive"}, $R112))) &gt; 0, "(" &amp; $R112 &amp; ")", ""))))</f>
        <v>na</v>
      </c>
      <c r="E112" s="7"/>
      <c r="F112" s="7" t="s">
        <v>195</v>
      </c>
      <c r="G112" s="7" t="s">
        <v>195</v>
      </c>
      <c r="H112" s="7" t="s">
        <v>195</v>
      </c>
      <c r="I112" s="7" t="s">
        <v>195</v>
      </c>
      <c r="J112" s="7" t="s">
        <v>195</v>
      </c>
      <c r="K112" s="7" t="s">
        <v>195</v>
      </c>
      <c r="L112" s="7" t="s">
        <v>195</v>
      </c>
      <c r="M112" s="7" t="s">
        <v>29</v>
      </c>
      <c r="N112" s="7" t="s">
        <v>29</v>
      </c>
      <c r="O112" s="7" t="s">
        <v>29</v>
      </c>
      <c r="P112" s="7" t="s">
        <v>29</v>
      </c>
      <c r="Q112" s="7" t="s">
        <v>29</v>
      </c>
      <c r="R112" s="7" t="s">
        <v>29</v>
      </c>
      <c r="S112" s="7" t="s">
        <v>29</v>
      </c>
    </row>
    <row r="113" spans="2:19">
      <c r="B113" s="7" t="s">
        <v>195</v>
      </c>
      <c r="D113" s="5" t="str">
        <f>LRTRIM(CONCATENATE(IF(SUMPRODUCT(-- ISNUMBER(SEARCH({"Auto Number"}, $B113))) &gt; 0, $B113, IF(SUMPRODUCT(-- ISNUMBER(SEARCH({"Lookup","Master-Detail"}, $B113))) &gt; 0,$B113 &amp; "(" &amp; $E113 &amp; ")",IF(SUMPRODUCT(-- ISNUMBER(SEARCH({"Formula","Roll-Up Summary"}, $B113))) &gt; 0,$B113 &amp; " (" &amp; $E113 &amp; ")",IF(SUMPRODUCT(-- ISNUMBER(SEARCH({"Content","Currency","Number","Percent","Text","URL"}, $B113))) &gt; 0,$B113 &amp; "(" &amp; $C113 &amp; ")",$B113)))), "  ", TRIM(IF($S113 = "YES", "(External ID)", "") &amp; " " &amp; IF(SUMPRODUCT(-- ISNUMBER(SEARCH({"Unique","Unique Case Insensitive"}, $R113))) &gt; 0, "(" &amp; $R113 &amp; ")", ""))))</f>
        <v>na</v>
      </c>
      <c r="E113" s="7"/>
      <c r="F113" s="7" t="s">
        <v>195</v>
      </c>
      <c r="G113" s="7" t="s">
        <v>195</v>
      </c>
      <c r="H113" s="7" t="s">
        <v>195</v>
      </c>
      <c r="I113" s="7" t="s">
        <v>195</v>
      </c>
      <c r="J113" s="7" t="s">
        <v>195</v>
      </c>
      <c r="K113" s="7" t="s">
        <v>195</v>
      </c>
      <c r="L113" s="7" t="s">
        <v>195</v>
      </c>
      <c r="M113" s="7" t="s">
        <v>29</v>
      </c>
      <c r="N113" s="7" t="s">
        <v>29</v>
      </c>
      <c r="O113" s="7" t="s">
        <v>29</v>
      </c>
      <c r="P113" s="7" t="s">
        <v>29</v>
      </c>
      <c r="Q113" s="7" t="s">
        <v>29</v>
      </c>
      <c r="R113" s="7" t="s">
        <v>29</v>
      </c>
      <c r="S113" s="7" t="s">
        <v>29</v>
      </c>
    </row>
    <row r="114" spans="2:19">
      <c r="B114" s="7" t="s">
        <v>195</v>
      </c>
      <c r="D114" s="5" t="str">
        <f>LRTRIM(CONCATENATE(IF(SUMPRODUCT(-- ISNUMBER(SEARCH({"Auto Number"}, $B114))) &gt; 0, $B114, IF(SUMPRODUCT(-- ISNUMBER(SEARCH({"Lookup","Master-Detail"}, $B114))) &gt; 0,$B114 &amp; "(" &amp; $E114 &amp; ")",IF(SUMPRODUCT(-- ISNUMBER(SEARCH({"Formula","Roll-Up Summary"}, $B114))) &gt; 0,$B114 &amp; " (" &amp; $E114 &amp; ")",IF(SUMPRODUCT(-- ISNUMBER(SEARCH({"Content","Currency","Number","Percent","Text","URL"}, $B114))) &gt; 0,$B114 &amp; "(" &amp; $C114 &amp; ")",$B114)))), "  ", TRIM(IF($S114 = "YES", "(External ID)", "") &amp; " " &amp; IF(SUMPRODUCT(-- ISNUMBER(SEARCH({"Unique","Unique Case Insensitive"}, $R114))) &gt; 0, "(" &amp; $R114 &amp; ")", ""))))</f>
        <v>na</v>
      </c>
      <c r="E114" s="7"/>
      <c r="F114" s="7" t="s">
        <v>195</v>
      </c>
      <c r="G114" s="7" t="s">
        <v>195</v>
      </c>
      <c r="H114" s="7" t="s">
        <v>195</v>
      </c>
      <c r="I114" s="7" t="s">
        <v>195</v>
      </c>
      <c r="J114" s="7" t="s">
        <v>195</v>
      </c>
      <c r="K114" s="7" t="s">
        <v>195</v>
      </c>
      <c r="L114" s="7" t="s">
        <v>195</v>
      </c>
      <c r="M114" s="7" t="s">
        <v>29</v>
      </c>
      <c r="N114" s="7" t="s">
        <v>29</v>
      </c>
      <c r="O114" s="7" t="s">
        <v>29</v>
      </c>
      <c r="P114" s="7" t="s">
        <v>29</v>
      </c>
      <c r="Q114" s="7" t="s">
        <v>29</v>
      </c>
      <c r="R114" s="7" t="s">
        <v>29</v>
      </c>
      <c r="S114" s="7" t="s">
        <v>29</v>
      </c>
    </row>
    <row r="115" spans="2:19">
      <c r="B115" s="7" t="s">
        <v>195</v>
      </c>
      <c r="D115" s="5" t="str">
        <f>LRTRIM(CONCATENATE(IF(SUMPRODUCT(-- ISNUMBER(SEARCH({"Auto Number"}, $B115))) &gt; 0, $B115, IF(SUMPRODUCT(-- ISNUMBER(SEARCH({"Lookup","Master-Detail"}, $B115))) &gt; 0,$B115 &amp; "(" &amp; $E115 &amp; ")",IF(SUMPRODUCT(-- ISNUMBER(SEARCH({"Formula","Roll-Up Summary"}, $B115))) &gt; 0,$B115 &amp; " (" &amp; $E115 &amp; ")",IF(SUMPRODUCT(-- ISNUMBER(SEARCH({"Content","Currency","Number","Percent","Text","URL"}, $B115))) &gt; 0,$B115 &amp; "(" &amp; $C115 &amp; ")",$B115)))), "  ", TRIM(IF($S115 = "YES", "(External ID)", "") &amp; " " &amp; IF(SUMPRODUCT(-- ISNUMBER(SEARCH({"Unique","Unique Case Insensitive"}, $R115))) &gt; 0, "(" &amp; $R115 &amp; ")", ""))))</f>
        <v>na</v>
      </c>
      <c r="E115" s="7"/>
      <c r="F115" s="7" t="s">
        <v>195</v>
      </c>
      <c r="G115" s="7" t="s">
        <v>195</v>
      </c>
      <c r="H115" s="7" t="s">
        <v>195</v>
      </c>
      <c r="I115" s="7" t="s">
        <v>195</v>
      </c>
      <c r="J115" s="7" t="s">
        <v>195</v>
      </c>
      <c r="K115" s="7" t="s">
        <v>195</v>
      </c>
      <c r="L115" s="7" t="s">
        <v>195</v>
      </c>
      <c r="M115" s="7" t="s">
        <v>29</v>
      </c>
      <c r="N115" s="7" t="s">
        <v>29</v>
      </c>
      <c r="O115" s="7" t="s">
        <v>29</v>
      </c>
      <c r="P115" s="7" t="s">
        <v>29</v>
      </c>
      <c r="Q115" s="7" t="s">
        <v>29</v>
      </c>
      <c r="R115" s="7" t="s">
        <v>29</v>
      </c>
      <c r="S115" s="7" t="s">
        <v>29</v>
      </c>
    </row>
    <row r="116" spans="2:19">
      <c r="B116" s="7" t="s">
        <v>195</v>
      </c>
      <c r="D116" s="5" t="str">
        <f>LRTRIM(CONCATENATE(IF(SUMPRODUCT(-- ISNUMBER(SEARCH({"Auto Number"}, $B116))) &gt; 0, $B116, IF(SUMPRODUCT(-- ISNUMBER(SEARCH({"Lookup","Master-Detail"}, $B116))) &gt; 0,$B116 &amp; "(" &amp; $E116 &amp; ")",IF(SUMPRODUCT(-- ISNUMBER(SEARCH({"Formula","Roll-Up Summary"}, $B116))) &gt; 0,$B116 &amp; " (" &amp; $E116 &amp; ")",IF(SUMPRODUCT(-- ISNUMBER(SEARCH({"Content","Currency","Number","Percent","Text","URL"}, $B116))) &gt; 0,$B116 &amp; "(" &amp; $C116 &amp; ")",$B116)))), "  ", TRIM(IF($S116 = "YES", "(External ID)", "") &amp; " " &amp; IF(SUMPRODUCT(-- ISNUMBER(SEARCH({"Unique","Unique Case Insensitive"}, $R116))) &gt; 0, "(" &amp; $R116 &amp; ")", ""))))</f>
        <v>na</v>
      </c>
      <c r="E116" s="7"/>
      <c r="F116" s="7" t="s">
        <v>195</v>
      </c>
      <c r="G116" s="7" t="s">
        <v>195</v>
      </c>
      <c r="H116" s="7" t="s">
        <v>195</v>
      </c>
      <c r="I116" s="7" t="s">
        <v>195</v>
      </c>
      <c r="J116" s="7" t="s">
        <v>195</v>
      </c>
      <c r="K116" s="7" t="s">
        <v>195</v>
      </c>
      <c r="L116" s="7" t="s">
        <v>195</v>
      </c>
      <c r="M116" s="7" t="s">
        <v>29</v>
      </c>
      <c r="N116" s="7" t="s">
        <v>29</v>
      </c>
      <c r="O116" s="7" t="s">
        <v>29</v>
      </c>
      <c r="P116" s="7" t="s">
        <v>29</v>
      </c>
      <c r="Q116" s="7" t="s">
        <v>29</v>
      </c>
      <c r="R116" s="7" t="s">
        <v>29</v>
      </c>
      <c r="S116" s="7" t="s">
        <v>29</v>
      </c>
    </row>
    <row r="117" spans="2:19">
      <c r="B117" s="7" t="s">
        <v>195</v>
      </c>
      <c r="D117" s="5" t="str">
        <f>LRTRIM(CONCATENATE(IF(SUMPRODUCT(-- ISNUMBER(SEARCH({"Auto Number"}, $B117))) &gt; 0, $B117, IF(SUMPRODUCT(-- ISNUMBER(SEARCH({"Lookup","Master-Detail"}, $B117))) &gt; 0,$B117 &amp; "(" &amp; $E117 &amp; ")",IF(SUMPRODUCT(-- ISNUMBER(SEARCH({"Formula","Roll-Up Summary"}, $B117))) &gt; 0,$B117 &amp; " (" &amp; $E117 &amp; ")",IF(SUMPRODUCT(-- ISNUMBER(SEARCH({"Content","Currency","Number","Percent","Text","URL"}, $B117))) &gt; 0,$B117 &amp; "(" &amp; $C117 &amp; ")",$B117)))), "  ", TRIM(IF($S117 = "YES", "(External ID)", "") &amp; " " &amp; IF(SUMPRODUCT(-- ISNUMBER(SEARCH({"Unique","Unique Case Insensitive"}, $R117))) &gt; 0, "(" &amp; $R117 &amp; ")", ""))))</f>
        <v>na</v>
      </c>
      <c r="E117" s="7"/>
      <c r="F117" s="7" t="s">
        <v>195</v>
      </c>
      <c r="G117" s="7" t="s">
        <v>195</v>
      </c>
      <c r="H117" s="7" t="s">
        <v>195</v>
      </c>
      <c r="I117" s="7" t="s">
        <v>195</v>
      </c>
      <c r="J117" s="7" t="s">
        <v>195</v>
      </c>
      <c r="K117" s="7" t="s">
        <v>195</v>
      </c>
      <c r="L117" s="7" t="s">
        <v>195</v>
      </c>
      <c r="M117" s="7" t="s">
        <v>29</v>
      </c>
      <c r="N117" s="7" t="s">
        <v>29</v>
      </c>
      <c r="O117" s="7" t="s">
        <v>29</v>
      </c>
      <c r="P117" s="7" t="s">
        <v>29</v>
      </c>
      <c r="Q117" s="7" t="s">
        <v>29</v>
      </c>
      <c r="R117" s="7" t="s">
        <v>29</v>
      </c>
      <c r="S117" s="7" t="s">
        <v>29</v>
      </c>
    </row>
    <row r="118" spans="2:19">
      <c r="B118" s="7" t="s">
        <v>195</v>
      </c>
      <c r="D118" s="5" t="str">
        <f>LRTRIM(CONCATENATE(IF(SUMPRODUCT(-- ISNUMBER(SEARCH({"Auto Number"}, $B118))) &gt; 0, $B118, IF(SUMPRODUCT(-- ISNUMBER(SEARCH({"Lookup","Master-Detail"}, $B118))) &gt; 0,$B118 &amp; "(" &amp; $E118 &amp; ")",IF(SUMPRODUCT(-- ISNUMBER(SEARCH({"Formula","Roll-Up Summary"}, $B118))) &gt; 0,$B118 &amp; " (" &amp; $E118 &amp; ")",IF(SUMPRODUCT(-- ISNUMBER(SEARCH({"Content","Currency","Number","Percent","Text","URL"}, $B118))) &gt; 0,$B118 &amp; "(" &amp; $C118 &amp; ")",$B118)))), "  ", TRIM(IF($S118 = "YES", "(External ID)", "") &amp; " " &amp; IF(SUMPRODUCT(-- ISNUMBER(SEARCH({"Unique","Unique Case Insensitive"}, $R118))) &gt; 0, "(" &amp; $R118 &amp; ")", ""))))</f>
        <v>na</v>
      </c>
      <c r="E118" s="7"/>
      <c r="F118" s="7" t="s">
        <v>195</v>
      </c>
      <c r="G118" s="7" t="s">
        <v>195</v>
      </c>
      <c r="H118" s="7" t="s">
        <v>195</v>
      </c>
      <c r="I118" s="7" t="s">
        <v>195</v>
      </c>
      <c r="J118" s="7" t="s">
        <v>195</v>
      </c>
      <c r="K118" s="7" t="s">
        <v>195</v>
      </c>
      <c r="L118" s="7" t="s">
        <v>195</v>
      </c>
      <c r="M118" s="7" t="s">
        <v>29</v>
      </c>
      <c r="N118" s="7" t="s">
        <v>29</v>
      </c>
      <c r="O118" s="7" t="s">
        <v>29</v>
      </c>
      <c r="P118" s="7" t="s">
        <v>29</v>
      </c>
      <c r="Q118" s="7" t="s">
        <v>29</v>
      </c>
      <c r="R118" s="7" t="s">
        <v>29</v>
      </c>
      <c r="S118" s="7" t="s">
        <v>29</v>
      </c>
    </row>
    <row r="119" spans="2:19">
      <c r="B119" s="7" t="s">
        <v>195</v>
      </c>
      <c r="D119" s="5" t="str">
        <f>LRTRIM(CONCATENATE(IF(SUMPRODUCT(-- ISNUMBER(SEARCH({"Auto Number"}, $B119))) &gt; 0, $B119, IF(SUMPRODUCT(-- ISNUMBER(SEARCH({"Lookup","Master-Detail"}, $B119))) &gt; 0,$B119 &amp; "(" &amp; $E119 &amp; ")",IF(SUMPRODUCT(-- ISNUMBER(SEARCH({"Formula","Roll-Up Summary"}, $B119))) &gt; 0,$B119 &amp; " (" &amp; $E119 &amp; ")",IF(SUMPRODUCT(-- ISNUMBER(SEARCH({"Content","Currency","Number","Percent","Text","URL"}, $B119))) &gt; 0,$B119 &amp; "(" &amp; $C119 &amp; ")",$B119)))), "  ", TRIM(IF($S119 = "YES", "(External ID)", "") &amp; " " &amp; IF(SUMPRODUCT(-- ISNUMBER(SEARCH({"Unique","Unique Case Insensitive"}, $R119))) &gt; 0, "(" &amp; $R119 &amp; ")", ""))))</f>
        <v>na</v>
      </c>
      <c r="E119" s="7"/>
      <c r="F119" s="7" t="s">
        <v>195</v>
      </c>
      <c r="G119" s="7" t="s">
        <v>195</v>
      </c>
      <c r="H119" s="7" t="s">
        <v>195</v>
      </c>
      <c r="I119" s="7" t="s">
        <v>195</v>
      </c>
      <c r="J119" s="7" t="s">
        <v>195</v>
      </c>
      <c r="K119" s="7" t="s">
        <v>195</v>
      </c>
      <c r="L119" s="7" t="s">
        <v>195</v>
      </c>
      <c r="M119" s="7" t="s">
        <v>29</v>
      </c>
      <c r="N119" s="7" t="s">
        <v>29</v>
      </c>
      <c r="O119" s="7" t="s">
        <v>29</v>
      </c>
      <c r="P119" s="7" t="s">
        <v>29</v>
      </c>
      <c r="Q119" s="7" t="s">
        <v>29</v>
      </c>
      <c r="R119" s="7" t="s">
        <v>29</v>
      </c>
      <c r="S119" s="7" t="s">
        <v>29</v>
      </c>
    </row>
    <row r="120" spans="2:19">
      <c r="B120" s="7" t="s">
        <v>195</v>
      </c>
      <c r="D120" s="5" t="str">
        <f>LRTRIM(CONCATENATE(IF(SUMPRODUCT(-- ISNUMBER(SEARCH({"Auto Number"}, $B120))) &gt; 0, $B120, IF(SUMPRODUCT(-- ISNUMBER(SEARCH({"Lookup","Master-Detail"}, $B120))) &gt; 0,$B120 &amp; "(" &amp; $E120 &amp; ")",IF(SUMPRODUCT(-- ISNUMBER(SEARCH({"Formula","Roll-Up Summary"}, $B120))) &gt; 0,$B120 &amp; " (" &amp; $E120 &amp; ")",IF(SUMPRODUCT(-- ISNUMBER(SEARCH({"Content","Currency","Number","Percent","Text","URL"}, $B120))) &gt; 0,$B120 &amp; "(" &amp; $C120 &amp; ")",$B120)))), "  ", TRIM(IF($S120 = "YES", "(External ID)", "") &amp; " " &amp; IF(SUMPRODUCT(-- ISNUMBER(SEARCH({"Unique","Unique Case Insensitive"}, $R120))) &gt; 0, "(" &amp; $R120 &amp; ")", ""))))</f>
        <v>na</v>
      </c>
      <c r="E120" s="7"/>
      <c r="F120" s="7" t="s">
        <v>195</v>
      </c>
      <c r="G120" s="7" t="s">
        <v>195</v>
      </c>
      <c r="H120" s="7" t="s">
        <v>195</v>
      </c>
      <c r="I120" s="7" t="s">
        <v>195</v>
      </c>
      <c r="J120" s="7" t="s">
        <v>195</v>
      </c>
      <c r="K120" s="7" t="s">
        <v>195</v>
      </c>
      <c r="L120" s="7" t="s">
        <v>195</v>
      </c>
      <c r="M120" s="7" t="s">
        <v>29</v>
      </c>
      <c r="N120" s="7" t="s">
        <v>29</v>
      </c>
      <c r="O120" s="7" t="s">
        <v>29</v>
      </c>
      <c r="P120" s="7" t="s">
        <v>29</v>
      </c>
      <c r="Q120" s="7" t="s">
        <v>29</v>
      </c>
      <c r="R120" s="7" t="s">
        <v>29</v>
      </c>
      <c r="S120" s="7" t="s">
        <v>29</v>
      </c>
    </row>
    <row r="121" spans="2:19">
      <c r="B121" s="7" t="s">
        <v>195</v>
      </c>
      <c r="D121" s="5" t="str">
        <f>LRTRIM(CONCATENATE(IF(SUMPRODUCT(-- ISNUMBER(SEARCH({"Auto Number"}, $B121))) &gt; 0, $B121, IF(SUMPRODUCT(-- ISNUMBER(SEARCH({"Lookup","Master-Detail"}, $B121))) &gt; 0,$B121 &amp; "(" &amp; $E121 &amp; ")",IF(SUMPRODUCT(-- ISNUMBER(SEARCH({"Formula","Roll-Up Summary"}, $B121))) &gt; 0,$B121 &amp; " (" &amp; $E121 &amp; ")",IF(SUMPRODUCT(-- ISNUMBER(SEARCH({"Content","Currency","Number","Percent","Text","URL"}, $B121))) &gt; 0,$B121 &amp; "(" &amp; $C121 &amp; ")",$B121)))), "  ", TRIM(IF($S121 = "YES", "(External ID)", "") &amp; " " &amp; IF(SUMPRODUCT(-- ISNUMBER(SEARCH({"Unique","Unique Case Insensitive"}, $R121))) &gt; 0, "(" &amp; $R121 &amp; ")", ""))))</f>
        <v>na</v>
      </c>
      <c r="E121" s="7"/>
      <c r="F121" s="7" t="s">
        <v>195</v>
      </c>
      <c r="G121" s="7" t="s">
        <v>195</v>
      </c>
      <c r="H121" s="7" t="s">
        <v>195</v>
      </c>
      <c r="I121" s="7" t="s">
        <v>195</v>
      </c>
      <c r="J121" s="7" t="s">
        <v>195</v>
      </c>
      <c r="K121" s="7" t="s">
        <v>195</v>
      </c>
      <c r="L121" s="7" t="s">
        <v>195</v>
      </c>
      <c r="M121" s="7" t="s">
        <v>29</v>
      </c>
      <c r="N121" s="7" t="s">
        <v>29</v>
      </c>
      <c r="O121" s="7" t="s">
        <v>29</v>
      </c>
      <c r="P121" s="7" t="s">
        <v>29</v>
      </c>
      <c r="Q121" s="7" t="s">
        <v>29</v>
      </c>
      <c r="R121" s="7" t="s">
        <v>29</v>
      </c>
      <c r="S121" s="7" t="s">
        <v>29</v>
      </c>
    </row>
    <row r="122" spans="2:19">
      <c r="B122" s="7" t="s">
        <v>195</v>
      </c>
      <c r="D122" s="5" t="str">
        <f>LRTRIM(CONCATENATE(IF(SUMPRODUCT(-- ISNUMBER(SEARCH({"Auto Number"}, $B122))) &gt; 0, $B122, IF(SUMPRODUCT(-- ISNUMBER(SEARCH({"Lookup","Master-Detail"}, $B122))) &gt; 0,$B122 &amp; "(" &amp; $E122 &amp; ")",IF(SUMPRODUCT(-- ISNUMBER(SEARCH({"Formula","Roll-Up Summary"}, $B122))) &gt; 0,$B122 &amp; " (" &amp; $E122 &amp; ")",IF(SUMPRODUCT(-- ISNUMBER(SEARCH({"Content","Currency","Number","Percent","Text","URL"}, $B122))) &gt; 0,$B122 &amp; "(" &amp; $C122 &amp; ")",$B122)))), "  ", TRIM(IF($S122 = "YES", "(External ID)", "") &amp; " " &amp; IF(SUMPRODUCT(-- ISNUMBER(SEARCH({"Unique","Unique Case Insensitive"}, $R122))) &gt; 0, "(" &amp; $R122 &amp; ")", ""))))</f>
        <v>na</v>
      </c>
      <c r="E122" s="7"/>
      <c r="F122" s="7" t="s">
        <v>195</v>
      </c>
      <c r="G122" s="7" t="s">
        <v>195</v>
      </c>
      <c r="H122" s="7" t="s">
        <v>195</v>
      </c>
      <c r="I122" s="7" t="s">
        <v>195</v>
      </c>
      <c r="J122" s="7" t="s">
        <v>195</v>
      </c>
      <c r="K122" s="7" t="s">
        <v>195</v>
      </c>
      <c r="L122" s="7" t="s">
        <v>195</v>
      </c>
      <c r="M122" s="7" t="s">
        <v>29</v>
      </c>
      <c r="N122" s="7" t="s">
        <v>29</v>
      </c>
      <c r="O122" s="7" t="s">
        <v>29</v>
      </c>
      <c r="P122" s="7" t="s">
        <v>29</v>
      </c>
      <c r="Q122" s="7" t="s">
        <v>29</v>
      </c>
      <c r="R122" s="7" t="s">
        <v>29</v>
      </c>
      <c r="S122" s="7" t="s">
        <v>29</v>
      </c>
    </row>
    <row r="123" spans="2:19">
      <c r="B123" s="7" t="s">
        <v>195</v>
      </c>
      <c r="D123" s="5" t="str">
        <f>LRTRIM(CONCATENATE(IF(SUMPRODUCT(-- ISNUMBER(SEARCH({"Auto Number"}, $B123))) &gt; 0, $B123, IF(SUMPRODUCT(-- ISNUMBER(SEARCH({"Lookup","Master-Detail"}, $B123))) &gt; 0,$B123 &amp; "(" &amp; $E123 &amp; ")",IF(SUMPRODUCT(-- ISNUMBER(SEARCH({"Formula","Roll-Up Summary"}, $B123))) &gt; 0,$B123 &amp; " (" &amp; $E123 &amp; ")",IF(SUMPRODUCT(-- ISNUMBER(SEARCH({"Content","Currency","Number","Percent","Text","URL"}, $B123))) &gt; 0,$B123 &amp; "(" &amp; $C123 &amp; ")",$B123)))), "  ", TRIM(IF($S123 = "YES", "(External ID)", "") &amp; " " &amp; IF(SUMPRODUCT(-- ISNUMBER(SEARCH({"Unique","Unique Case Insensitive"}, $R123))) &gt; 0, "(" &amp; $R123 &amp; ")", ""))))</f>
        <v>na</v>
      </c>
      <c r="E123" s="7"/>
      <c r="F123" s="7" t="s">
        <v>195</v>
      </c>
      <c r="G123" s="7" t="s">
        <v>195</v>
      </c>
      <c r="H123" s="7" t="s">
        <v>195</v>
      </c>
      <c r="I123" s="7" t="s">
        <v>195</v>
      </c>
      <c r="J123" s="7" t="s">
        <v>195</v>
      </c>
      <c r="K123" s="7" t="s">
        <v>195</v>
      </c>
      <c r="L123" s="7" t="s">
        <v>195</v>
      </c>
      <c r="M123" s="7" t="s">
        <v>29</v>
      </c>
      <c r="N123" s="7" t="s">
        <v>29</v>
      </c>
      <c r="O123" s="7" t="s">
        <v>29</v>
      </c>
      <c r="P123" s="7" t="s">
        <v>29</v>
      </c>
      <c r="Q123" s="7" t="s">
        <v>29</v>
      </c>
      <c r="R123" s="7" t="s">
        <v>29</v>
      </c>
      <c r="S123" s="7" t="s">
        <v>29</v>
      </c>
    </row>
    <row r="124" spans="2:19">
      <c r="B124" s="7" t="s">
        <v>195</v>
      </c>
      <c r="D124" s="5" t="str">
        <f>LRTRIM(CONCATENATE(IF(SUMPRODUCT(-- ISNUMBER(SEARCH({"Auto Number"}, $B124))) &gt; 0, $B124, IF(SUMPRODUCT(-- ISNUMBER(SEARCH({"Lookup","Master-Detail"}, $B124))) &gt; 0,$B124 &amp; "(" &amp; $E124 &amp; ")",IF(SUMPRODUCT(-- ISNUMBER(SEARCH({"Formula","Roll-Up Summary"}, $B124))) &gt; 0,$B124 &amp; " (" &amp; $E124 &amp; ")",IF(SUMPRODUCT(-- ISNUMBER(SEARCH({"Content","Currency","Number","Percent","Text","URL"}, $B124))) &gt; 0,$B124 &amp; "(" &amp; $C124 &amp; ")",$B124)))), "  ", TRIM(IF($S124 = "YES", "(External ID)", "") &amp; " " &amp; IF(SUMPRODUCT(-- ISNUMBER(SEARCH({"Unique","Unique Case Insensitive"}, $R124))) &gt; 0, "(" &amp; $R124 &amp; ")", ""))))</f>
        <v>na</v>
      </c>
      <c r="E124" s="7"/>
      <c r="F124" s="7" t="s">
        <v>195</v>
      </c>
      <c r="G124" s="7" t="s">
        <v>195</v>
      </c>
      <c r="H124" s="7" t="s">
        <v>195</v>
      </c>
      <c r="I124" s="7" t="s">
        <v>195</v>
      </c>
      <c r="J124" s="7" t="s">
        <v>195</v>
      </c>
      <c r="K124" s="7" t="s">
        <v>195</v>
      </c>
      <c r="L124" s="7" t="s">
        <v>195</v>
      </c>
      <c r="M124" s="7" t="s">
        <v>29</v>
      </c>
      <c r="N124" s="7" t="s">
        <v>29</v>
      </c>
      <c r="O124" s="7" t="s">
        <v>29</v>
      </c>
      <c r="P124" s="7" t="s">
        <v>29</v>
      </c>
      <c r="Q124" s="7" t="s">
        <v>29</v>
      </c>
      <c r="R124" s="7" t="s">
        <v>29</v>
      </c>
      <c r="S124" s="7" t="s">
        <v>29</v>
      </c>
    </row>
    <row r="125" spans="2:19">
      <c r="B125" s="7" t="s">
        <v>195</v>
      </c>
      <c r="D125" s="5" t="str">
        <f>LRTRIM(CONCATENATE(IF(SUMPRODUCT(-- ISNUMBER(SEARCH({"Auto Number"}, $B125))) &gt; 0, $B125, IF(SUMPRODUCT(-- ISNUMBER(SEARCH({"Lookup","Master-Detail"}, $B125))) &gt; 0,$B125 &amp; "(" &amp; $E125 &amp; ")",IF(SUMPRODUCT(-- ISNUMBER(SEARCH({"Formula","Roll-Up Summary"}, $B125))) &gt; 0,$B125 &amp; " (" &amp; $E125 &amp; ")",IF(SUMPRODUCT(-- ISNUMBER(SEARCH({"Content","Currency","Number","Percent","Text","URL"}, $B125))) &gt; 0,$B125 &amp; "(" &amp; $C125 &amp; ")",$B125)))), "  ", TRIM(IF($S125 = "YES", "(External ID)", "") &amp; " " &amp; IF(SUMPRODUCT(-- ISNUMBER(SEARCH({"Unique","Unique Case Insensitive"}, $R125))) &gt; 0, "(" &amp; $R125 &amp; ")", ""))))</f>
        <v>na</v>
      </c>
      <c r="E125" s="7"/>
      <c r="F125" s="7" t="s">
        <v>195</v>
      </c>
      <c r="G125" s="7" t="s">
        <v>195</v>
      </c>
      <c r="H125" s="7" t="s">
        <v>195</v>
      </c>
      <c r="I125" s="7" t="s">
        <v>195</v>
      </c>
      <c r="J125" s="7" t="s">
        <v>195</v>
      </c>
      <c r="K125" s="7" t="s">
        <v>195</v>
      </c>
      <c r="L125" s="7" t="s">
        <v>195</v>
      </c>
      <c r="M125" s="7" t="s">
        <v>29</v>
      </c>
      <c r="N125" s="7" t="s">
        <v>29</v>
      </c>
      <c r="O125" s="7" t="s">
        <v>29</v>
      </c>
      <c r="P125" s="7" t="s">
        <v>29</v>
      </c>
      <c r="Q125" s="7" t="s">
        <v>29</v>
      </c>
      <c r="R125" s="7" t="s">
        <v>29</v>
      </c>
      <c r="S125" s="7" t="s">
        <v>29</v>
      </c>
    </row>
    <row r="126" spans="2:19">
      <c r="B126" s="7" t="s">
        <v>195</v>
      </c>
      <c r="D126" s="5" t="str">
        <f>LRTRIM(CONCATENATE(IF(SUMPRODUCT(-- ISNUMBER(SEARCH({"Auto Number"}, $B126))) &gt; 0, $B126, IF(SUMPRODUCT(-- ISNUMBER(SEARCH({"Lookup","Master-Detail"}, $B126))) &gt; 0,$B126 &amp; "(" &amp; $E126 &amp; ")",IF(SUMPRODUCT(-- ISNUMBER(SEARCH({"Formula","Roll-Up Summary"}, $B126))) &gt; 0,$B126 &amp; " (" &amp; $E126 &amp; ")",IF(SUMPRODUCT(-- ISNUMBER(SEARCH({"Content","Currency","Number","Percent","Text","URL"}, $B126))) &gt; 0,$B126 &amp; "(" &amp; $C126 &amp; ")",$B126)))), "  ", TRIM(IF($S126 = "YES", "(External ID)", "") &amp; " " &amp; IF(SUMPRODUCT(-- ISNUMBER(SEARCH({"Unique","Unique Case Insensitive"}, $R126))) &gt; 0, "(" &amp; $R126 &amp; ")", ""))))</f>
        <v>na</v>
      </c>
      <c r="E126" s="7"/>
      <c r="F126" s="7" t="s">
        <v>195</v>
      </c>
      <c r="G126" s="7" t="s">
        <v>195</v>
      </c>
      <c r="H126" s="7" t="s">
        <v>195</v>
      </c>
      <c r="I126" s="7" t="s">
        <v>195</v>
      </c>
      <c r="J126" s="7" t="s">
        <v>195</v>
      </c>
      <c r="K126" s="7" t="s">
        <v>195</v>
      </c>
      <c r="L126" s="7" t="s">
        <v>195</v>
      </c>
      <c r="M126" s="7" t="s">
        <v>29</v>
      </c>
      <c r="N126" s="7" t="s">
        <v>29</v>
      </c>
      <c r="O126" s="7" t="s">
        <v>29</v>
      </c>
      <c r="P126" s="7" t="s">
        <v>29</v>
      </c>
      <c r="Q126" s="7" t="s">
        <v>29</v>
      </c>
      <c r="R126" s="7" t="s">
        <v>29</v>
      </c>
      <c r="S126" s="7" t="s">
        <v>29</v>
      </c>
    </row>
    <row r="127" spans="2:19">
      <c r="B127" s="7" t="s">
        <v>195</v>
      </c>
      <c r="D127" s="5" t="str">
        <f>LRTRIM(CONCATENATE(IF(SUMPRODUCT(-- ISNUMBER(SEARCH({"Auto Number"}, $B127))) &gt; 0, $B127, IF(SUMPRODUCT(-- ISNUMBER(SEARCH({"Lookup","Master-Detail"}, $B127))) &gt; 0,$B127 &amp; "(" &amp; $E127 &amp; ")",IF(SUMPRODUCT(-- ISNUMBER(SEARCH({"Formula","Roll-Up Summary"}, $B127))) &gt; 0,$B127 &amp; " (" &amp; $E127 &amp; ")",IF(SUMPRODUCT(-- ISNUMBER(SEARCH({"Content","Currency","Number","Percent","Text","URL"}, $B127))) &gt; 0,$B127 &amp; "(" &amp; $C127 &amp; ")",$B127)))), "  ", TRIM(IF($S127 = "YES", "(External ID)", "") &amp; " " &amp; IF(SUMPRODUCT(-- ISNUMBER(SEARCH({"Unique","Unique Case Insensitive"}, $R127))) &gt; 0, "(" &amp; $R127 &amp; ")", ""))))</f>
        <v>na</v>
      </c>
      <c r="E127" s="7"/>
      <c r="F127" s="7" t="s">
        <v>195</v>
      </c>
      <c r="G127" s="7" t="s">
        <v>195</v>
      </c>
      <c r="H127" s="7" t="s">
        <v>195</v>
      </c>
      <c r="I127" s="7" t="s">
        <v>195</v>
      </c>
      <c r="J127" s="7" t="s">
        <v>195</v>
      </c>
      <c r="K127" s="7" t="s">
        <v>195</v>
      </c>
      <c r="L127" s="7" t="s">
        <v>195</v>
      </c>
      <c r="M127" s="7" t="s">
        <v>29</v>
      </c>
      <c r="N127" s="7" t="s">
        <v>29</v>
      </c>
      <c r="O127" s="7" t="s">
        <v>29</v>
      </c>
      <c r="P127" s="7" t="s">
        <v>29</v>
      </c>
      <c r="Q127" s="7" t="s">
        <v>29</v>
      </c>
      <c r="R127" s="7" t="s">
        <v>29</v>
      </c>
      <c r="S127" s="7" t="s">
        <v>29</v>
      </c>
    </row>
    <row r="128" spans="2:19">
      <c r="B128" s="7" t="s">
        <v>195</v>
      </c>
      <c r="D128" s="5" t="str">
        <f>LRTRIM(CONCATENATE(IF(SUMPRODUCT(-- ISNUMBER(SEARCH({"Auto Number"}, $B128))) &gt; 0, $B128, IF(SUMPRODUCT(-- ISNUMBER(SEARCH({"Lookup","Master-Detail"}, $B128))) &gt; 0,$B128 &amp; "(" &amp; $E128 &amp; ")",IF(SUMPRODUCT(-- ISNUMBER(SEARCH({"Formula","Roll-Up Summary"}, $B128))) &gt; 0,$B128 &amp; " (" &amp; $E128 &amp; ")",IF(SUMPRODUCT(-- ISNUMBER(SEARCH({"Content","Currency","Number","Percent","Text","URL"}, $B128))) &gt; 0,$B128 &amp; "(" &amp; $C128 &amp; ")",$B128)))), "  ", TRIM(IF($S128 = "YES", "(External ID)", "") &amp; " " &amp; IF(SUMPRODUCT(-- ISNUMBER(SEARCH({"Unique","Unique Case Insensitive"}, $R128))) &gt; 0, "(" &amp; $R128 &amp; ")", ""))))</f>
        <v>na</v>
      </c>
      <c r="E128" s="7"/>
      <c r="F128" s="7" t="s">
        <v>195</v>
      </c>
      <c r="G128" s="7" t="s">
        <v>195</v>
      </c>
      <c r="H128" s="7" t="s">
        <v>195</v>
      </c>
      <c r="I128" s="7" t="s">
        <v>195</v>
      </c>
      <c r="J128" s="7" t="s">
        <v>195</v>
      </c>
      <c r="K128" s="7" t="s">
        <v>195</v>
      </c>
      <c r="L128" s="7" t="s">
        <v>195</v>
      </c>
      <c r="M128" s="7" t="s">
        <v>29</v>
      </c>
      <c r="N128" s="7" t="s">
        <v>29</v>
      </c>
      <c r="O128" s="7" t="s">
        <v>29</v>
      </c>
      <c r="P128" s="7" t="s">
        <v>29</v>
      </c>
      <c r="Q128" s="7" t="s">
        <v>29</v>
      </c>
      <c r="R128" s="7" t="s">
        <v>29</v>
      </c>
      <c r="S128" s="7" t="s">
        <v>29</v>
      </c>
    </row>
    <row r="129" spans="2:19">
      <c r="B129" s="7" t="s">
        <v>195</v>
      </c>
      <c r="D129" s="5" t="str">
        <f>LRTRIM(CONCATENATE(IF(SUMPRODUCT(-- ISNUMBER(SEARCH({"Auto Number"}, $B129))) &gt; 0, $B129, IF(SUMPRODUCT(-- ISNUMBER(SEARCH({"Lookup","Master-Detail"}, $B129))) &gt; 0,$B129 &amp; "(" &amp; $E129 &amp; ")",IF(SUMPRODUCT(-- ISNUMBER(SEARCH({"Formula","Roll-Up Summary"}, $B129))) &gt; 0,$B129 &amp; " (" &amp; $E129 &amp; ")",IF(SUMPRODUCT(-- ISNUMBER(SEARCH({"Content","Currency","Number","Percent","Text","URL"}, $B129))) &gt; 0,$B129 &amp; "(" &amp; $C129 &amp; ")",$B129)))), "  ", TRIM(IF($S129 = "YES", "(External ID)", "") &amp; " " &amp; IF(SUMPRODUCT(-- ISNUMBER(SEARCH({"Unique","Unique Case Insensitive"}, $R129))) &gt; 0, "(" &amp; $R129 &amp; ")", ""))))</f>
        <v>na</v>
      </c>
      <c r="E129" s="7"/>
      <c r="F129" s="7" t="s">
        <v>195</v>
      </c>
      <c r="G129" s="7" t="s">
        <v>195</v>
      </c>
      <c r="H129" s="7" t="s">
        <v>195</v>
      </c>
      <c r="I129" s="7" t="s">
        <v>195</v>
      </c>
      <c r="J129" s="7" t="s">
        <v>195</v>
      </c>
      <c r="K129" s="7" t="s">
        <v>195</v>
      </c>
      <c r="L129" s="7" t="s">
        <v>195</v>
      </c>
      <c r="M129" s="7" t="s">
        <v>29</v>
      </c>
      <c r="N129" s="7" t="s">
        <v>29</v>
      </c>
      <c r="O129" s="7" t="s">
        <v>29</v>
      </c>
      <c r="P129" s="7" t="s">
        <v>29</v>
      </c>
      <c r="Q129" s="7" t="s">
        <v>29</v>
      </c>
      <c r="R129" s="7" t="s">
        <v>29</v>
      </c>
      <c r="S129" s="7" t="s">
        <v>29</v>
      </c>
    </row>
    <row r="130" spans="2:19">
      <c r="B130" s="7" t="s">
        <v>195</v>
      </c>
      <c r="D130" s="5" t="str">
        <f>LRTRIM(CONCATENATE(IF(SUMPRODUCT(-- ISNUMBER(SEARCH({"Auto Number"}, $B130))) &gt; 0, $B130, IF(SUMPRODUCT(-- ISNUMBER(SEARCH({"Lookup","Master-Detail"}, $B130))) &gt; 0,$B130 &amp; "(" &amp; $E130 &amp; ")",IF(SUMPRODUCT(-- ISNUMBER(SEARCH({"Formula","Roll-Up Summary"}, $B130))) &gt; 0,$B130 &amp; " (" &amp; $E130 &amp; ")",IF(SUMPRODUCT(-- ISNUMBER(SEARCH({"Content","Currency","Number","Percent","Text","URL"}, $B130))) &gt; 0,$B130 &amp; "(" &amp; $C130 &amp; ")",$B130)))), "  ", TRIM(IF($S130 = "YES", "(External ID)", "") &amp; " " &amp; IF(SUMPRODUCT(-- ISNUMBER(SEARCH({"Unique","Unique Case Insensitive"}, $R130))) &gt; 0, "(" &amp; $R130 &amp; ")", ""))))</f>
        <v>na</v>
      </c>
      <c r="E130" s="7"/>
      <c r="F130" s="7" t="s">
        <v>195</v>
      </c>
      <c r="G130" s="7" t="s">
        <v>195</v>
      </c>
      <c r="H130" s="7" t="s">
        <v>195</v>
      </c>
      <c r="I130" s="7" t="s">
        <v>195</v>
      </c>
      <c r="J130" s="7" t="s">
        <v>195</v>
      </c>
      <c r="K130" s="7" t="s">
        <v>195</v>
      </c>
      <c r="L130" s="7" t="s">
        <v>195</v>
      </c>
      <c r="M130" s="7" t="s">
        <v>29</v>
      </c>
      <c r="N130" s="7" t="s">
        <v>29</v>
      </c>
      <c r="O130" s="7" t="s">
        <v>29</v>
      </c>
      <c r="P130" s="7" t="s">
        <v>29</v>
      </c>
      <c r="Q130" s="7" t="s">
        <v>29</v>
      </c>
      <c r="R130" s="7" t="s">
        <v>29</v>
      </c>
      <c r="S130" s="7" t="s">
        <v>29</v>
      </c>
    </row>
    <row r="131" spans="2:19">
      <c r="B131" s="7" t="s">
        <v>195</v>
      </c>
      <c r="D131" s="5" t="str">
        <f>LRTRIM(CONCATENATE(IF(SUMPRODUCT(-- ISNUMBER(SEARCH({"Auto Number"}, $B131))) &gt; 0, $B131, IF(SUMPRODUCT(-- ISNUMBER(SEARCH({"Lookup","Master-Detail"}, $B131))) &gt; 0,$B131 &amp; "(" &amp; $E131 &amp; ")",IF(SUMPRODUCT(-- ISNUMBER(SEARCH({"Formula","Roll-Up Summary"}, $B131))) &gt; 0,$B131 &amp; " (" &amp; $E131 &amp; ")",IF(SUMPRODUCT(-- ISNUMBER(SEARCH({"Content","Currency","Number","Percent","Text","URL"}, $B131))) &gt; 0,$B131 &amp; "(" &amp; $C131 &amp; ")",$B131)))), "  ", TRIM(IF($S131 = "YES", "(External ID)", "") &amp; " " &amp; IF(SUMPRODUCT(-- ISNUMBER(SEARCH({"Unique","Unique Case Insensitive"}, $R131))) &gt; 0, "(" &amp; $R131 &amp; ")", ""))))</f>
        <v>na</v>
      </c>
      <c r="E131" s="7"/>
      <c r="F131" s="7" t="s">
        <v>195</v>
      </c>
      <c r="G131" s="7" t="s">
        <v>195</v>
      </c>
      <c r="H131" s="7" t="s">
        <v>195</v>
      </c>
      <c r="I131" s="7" t="s">
        <v>195</v>
      </c>
      <c r="J131" s="7" t="s">
        <v>195</v>
      </c>
      <c r="K131" s="7" t="s">
        <v>195</v>
      </c>
      <c r="L131" s="7" t="s">
        <v>195</v>
      </c>
      <c r="M131" s="7" t="s">
        <v>29</v>
      </c>
      <c r="N131" s="7" t="s">
        <v>29</v>
      </c>
      <c r="O131" s="7" t="s">
        <v>29</v>
      </c>
      <c r="P131" s="7" t="s">
        <v>29</v>
      </c>
      <c r="Q131" s="7" t="s">
        <v>29</v>
      </c>
      <c r="R131" s="7" t="s">
        <v>29</v>
      </c>
      <c r="S131" s="7" t="s">
        <v>29</v>
      </c>
    </row>
    <row r="132" spans="2:19">
      <c r="B132" s="7" t="s">
        <v>195</v>
      </c>
      <c r="D132" s="5" t="str">
        <f>LRTRIM(CONCATENATE(IF(SUMPRODUCT(-- ISNUMBER(SEARCH({"Auto Number"}, $B132))) &gt; 0, $B132, IF(SUMPRODUCT(-- ISNUMBER(SEARCH({"Lookup","Master-Detail"}, $B132))) &gt; 0,$B132 &amp; "(" &amp; $E132 &amp; ")",IF(SUMPRODUCT(-- ISNUMBER(SEARCH({"Formula","Roll-Up Summary"}, $B132))) &gt; 0,$B132 &amp; " (" &amp; $E132 &amp; ")",IF(SUMPRODUCT(-- ISNUMBER(SEARCH({"Content","Currency","Number","Percent","Text","URL"}, $B132))) &gt; 0,$B132 &amp; "(" &amp; $C132 &amp; ")",$B132)))), "  ", TRIM(IF($S132 = "YES", "(External ID)", "") &amp; " " &amp; IF(SUMPRODUCT(-- ISNUMBER(SEARCH({"Unique","Unique Case Insensitive"}, $R132))) &gt; 0, "(" &amp; $R132 &amp; ")", ""))))</f>
        <v>na</v>
      </c>
      <c r="E132" s="7"/>
      <c r="F132" s="7" t="s">
        <v>195</v>
      </c>
      <c r="G132" s="7" t="s">
        <v>195</v>
      </c>
      <c r="H132" s="7" t="s">
        <v>195</v>
      </c>
      <c r="I132" s="7" t="s">
        <v>195</v>
      </c>
      <c r="J132" s="7" t="s">
        <v>195</v>
      </c>
      <c r="K132" s="7" t="s">
        <v>195</v>
      </c>
      <c r="L132" s="7" t="s">
        <v>195</v>
      </c>
      <c r="M132" s="7" t="s">
        <v>29</v>
      </c>
      <c r="N132" s="7" t="s">
        <v>29</v>
      </c>
      <c r="O132" s="7" t="s">
        <v>29</v>
      </c>
      <c r="P132" s="7" t="s">
        <v>29</v>
      </c>
      <c r="Q132" s="7" t="s">
        <v>29</v>
      </c>
      <c r="R132" s="7" t="s">
        <v>29</v>
      </c>
      <c r="S132" s="7" t="s">
        <v>29</v>
      </c>
    </row>
    <row r="133" spans="2:19">
      <c r="B133" s="7" t="s">
        <v>195</v>
      </c>
      <c r="D133" s="5" t="str">
        <f>LRTRIM(CONCATENATE(IF(SUMPRODUCT(-- ISNUMBER(SEARCH({"Auto Number"}, $B133))) &gt; 0, $B133, IF(SUMPRODUCT(-- ISNUMBER(SEARCH({"Lookup","Master-Detail"}, $B133))) &gt; 0,$B133 &amp; "(" &amp; $E133 &amp; ")",IF(SUMPRODUCT(-- ISNUMBER(SEARCH({"Formula","Roll-Up Summary"}, $B133))) &gt; 0,$B133 &amp; " (" &amp; $E133 &amp; ")",IF(SUMPRODUCT(-- ISNUMBER(SEARCH({"Content","Currency","Number","Percent","Text","URL"}, $B133))) &gt; 0,$B133 &amp; "(" &amp; $C133 &amp; ")",$B133)))), "  ", TRIM(IF($S133 = "YES", "(External ID)", "") &amp; " " &amp; IF(SUMPRODUCT(-- ISNUMBER(SEARCH({"Unique","Unique Case Insensitive"}, $R133))) &gt; 0, "(" &amp; $R133 &amp; ")", ""))))</f>
        <v>na</v>
      </c>
      <c r="E133" s="7"/>
      <c r="F133" s="7" t="s">
        <v>195</v>
      </c>
      <c r="G133" s="7" t="s">
        <v>195</v>
      </c>
      <c r="H133" s="7" t="s">
        <v>195</v>
      </c>
      <c r="I133" s="7" t="s">
        <v>195</v>
      </c>
      <c r="J133" s="7" t="s">
        <v>195</v>
      </c>
      <c r="K133" s="7" t="s">
        <v>195</v>
      </c>
      <c r="L133" s="7" t="s">
        <v>195</v>
      </c>
      <c r="M133" s="7" t="s">
        <v>29</v>
      </c>
      <c r="N133" s="7" t="s">
        <v>29</v>
      </c>
      <c r="O133" s="7" t="s">
        <v>29</v>
      </c>
      <c r="P133" s="7" t="s">
        <v>29</v>
      </c>
      <c r="Q133" s="7" t="s">
        <v>29</v>
      </c>
      <c r="R133" s="7" t="s">
        <v>29</v>
      </c>
      <c r="S133" s="7" t="s">
        <v>29</v>
      </c>
    </row>
    <row r="134" spans="2:19">
      <c r="B134" s="7" t="s">
        <v>195</v>
      </c>
      <c r="D134" s="5" t="str">
        <f>LRTRIM(CONCATENATE(IF(SUMPRODUCT(-- ISNUMBER(SEARCH({"Auto Number"}, $B134))) &gt; 0, $B134, IF(SUMPRODUCT(-- ISNUMBER(SEARCH({"Lookup","Master-Detail"}, $B134))) &gt; 0,$B134 &amp; "(" &amp; $E134 &amp; ")",IF(SUMPRODUCT(-- ISNUMBER(SEARCH({"Formula","Roll-Up Summary"}, $B134))) &gt; 0,$B134 &amp; " (" &amp; $E134 &amp; ")",IF(SUMPRODUCT(-- ISNUMBER(SEARCH({"Content","Currency","Number","Percent","Text","URL"}, $B134))) &gt; 0,$B134 &amp; "(" &amp; $C134 &amp; ")",$B134)))), "  ", TRIM(IF($S134 = "YES", "(External ID)", "") &amp; " " &amp; IF(SUMPRODUCT(-- ISNUMBER(SEARCH({"Unique","Unique Case Insensitive"}, $R134))) &gt; 0, "(" &amp; $R134 &amp; ")", ""))))</f>
        <v>na</v>
      </c>
      <c r="E134" s="7"/>
      <c r="F134" s="7" t="s">
        <v>195</v>
      </c>
      <c r="G134" s="7" t="s">
        <v>195</v>
      </c>
      <c r="H134" s="7" t="s">
        <v>195</v>
      </c>
      <c r="I134" s="7" t="s">
        <v>195</v>
      </c>
      <c r="J134" s="7" t="s">
        <v>195</v>
      </c>
      <c r="K134" s="7" t="s">
        <v>195</v>
      </c>
      <c r="L134" s="7" t="s">
        <v>195</v>
      </c>
      <c r="M134" s="7" t="s">
        <v>29</v>
      </c>
      <c r="N134" s="7" t="s">
        <v>29</v>
      </c>
      <c r="O134" s="7" t="s">
        <v>29</v>
      </c>
      <c r="P134" s="7" t="s">
        <v>29</v>
      </c>
      <c r="Q134" s="7" t="s">
        <v>29</v>
      </c>
      <c r="R134" s="7" t="s">
        <v>29</v>
      </c>
      <c r="S134" s="7" t="s">
        <v>29</v>
      </c>
    </row>
    <row r="135" spans="2:19">
      <c r="B135" s="7" t="s">
        <v>195</v>
      </c>
      <c r="D135" s="5" t="str">
        <f>LRTRIM(CONCATENATE(IF(SUMPRODUCT(-- ISNUMBER(SEARCH({"Auto Number"}, $B135))) &gt; 0, $B135, IF(SUMPRODUCT(-- ISNUMBER(SEARCH({"Lookup","Master-Detail"}, $B135))) &gt; 0,$B135 &amp; "(" &amp; $E135 &amp; ")",IF(SUMPRODUCT(-- ISNUMBER(SEARCH({"Formula","Roll-Up Summary"}, $B135))) &gt; 0,$B135 &amp; " (" &amp; $E135 &amp; ")",IF(SUMPRODUCT(-- ISNUMBER(SEARCH({"Content","Currency","Number","Percent","Text","URL"}, $B135))) &gt; 0,$B135 &amp; "(" &amp; $C135 &amp; ")",$B135)))), "  ", TRIM(IF($S135 = "YES", "(External ID)", "") &amp; " " &amp; IF(SUMPRODUCT(-- ISNUMBER(SEARCH({"Unique","Unique Case Insensitive"}, $R135))) &gt; 0, "(" &amp; $R135 &amp; ")", ""))))</f>
        <v>na</v>
      </c>
      <c r="E135" s="7"/>
      <c r="F135" s="7" t="s">
        <v>195</v>
      </c>
      <c r="G135" s="7" t="s">
        <v>195</v>
      </c>
      <c r="H135" s="7" t="s">
        <v>195</v>
      </c>
      <c r="I135" s="7" t="s">
        <v>195</v>
      </c>
      <c r="J135" s="7" t="s">
        <v>195</v>
      </c>
      <c r="K135" s="7" t="s">
        <v>195</v>
      </c>
      <c r="L135" s="7" t="s">
        <v>195</v>
      </c>
      <c r="M135" s="7" t="s">
        <v>29</v>
      </c>
      <c r="N135" s="7" t="s">
        <v>29</v>
      </c>
      <c r="O135" s="7" t="s">
        <v>29</v>
      </c>
      <c r="P135" s="7" t="s">
        <v>29</v>
      </c>
      <c r="Q135" s="7" t="s">
        <v>29</v>
      </c>
      <c r="R135" s="7" t="s">
        <v>29</v>
      </c>
      <c r="S135" s="7" t="s">
        <v>29</v>
      </c>
    </row>
    <row r="136" spans="2:19">
      <c r="B136" s="7" t="s">
        <v>195</v>
      </c>
      <c r="D136" s="5" t="str">
        <f>LRTRIM(CONCATENATE(IF(SUMPRODUCT(-- ISNUMBER(SEARCH({"Auto Number"}, $B136))) &gt; 0, $B136, IF(SUMPRODUCT(-- ISNUMBER(SEARCH({"Lookup","Master-Detail"}, $B136))) &gt; 0,$B136 &amp; "(" &amp; $E136 &amp; ")",IF(SUMPRODUCT(-- ISNUMBER(SEARCH({"Formula","Roll-Up Summary"}, $B136))) &gt; 0,$B136 &amp; " (" &amp; $E136 &amp; ")",IF(SUMPRODUCT(-- ISNUMBER(SEARCH({"Content","Currency","Number","Percent","Text","URL"}, $B136))) &gt; 0,$B136 &amp; "(" &amp; $C136 &amp; ")",$B136)))), "  ", TRIM(IF($S136 = "YES", "(External ID)", "") &amp; " " &amp; IF(SUMPRODUCT(-- ISNUMBER(SEARCH({"Unique","Unique Case Insensitive"}, $R136))) &gt; 0, "(" &amp; $R136 &amp; ")", ""))))</f>
        <v>na</v>
      </c>
      <c r="E136" s="7"/>
      <c r="F136" s="7" t="s">
        <v>195</v>
      </c>
      <c r="G136" s="7" t="s">
        <v>195</v>
      </c>
      <c r="H136" s="7" t="s">
        <v>195</v>
      </c>
      <c r="I136" s="7" t="s">
        <v>195</v>
      </c>
      <c r="J136" s="7" t="s">
        <v>195</v>
      </c>
      <c r="K136" s="7" t="s">
        <v>195</v>
      </c>
      <c r="L136" s="7" t="s">
        <v>195</v>
      </c>
      <c r="M136" s="7" t="s">
        <v>29</v>
      </c>
      <c r="N136" s="7" t="s">
        <v>29</v>
      </c>
      <c r="O136" s="7" t="s">
        <v>29</v>
      </c>
      <c r="P136" s="7" t="s">
        <v>29</v>
      </c>
      <c r="Q136" s="7" t="s">
        <v>29</v>
      </c>
      <c r="R136" s="7" t="s">
        <v>29</v>
      </c>
      <c r="S136" s="7" t="s">
        <v>29</v>
      </c>
    </row>
    <row r="137" spans="2:19">
      <c r="B137" s="7" t="s">
        <v>195</v>
      </c>
      <c r="D137" s="5" t="str">
        <f>LRTRIM(CONCATENATE(IF(SUMPRODUCT(-- ISNUMBER(SEARCH({"Auto Number"}, $B137))) &gt; 0, $B137, IF(SUMPRODUCT(-- ISNUMBER(SEARCH({"Lookup","Master-Detail"}, $B137))) &gt; 0,$B137 &amp; "(" &amp; $E137 &amp; ")",IF(SUMPRODUCT(-- ISNUMBER(SEARCH({"Formula","Roll-Up Summary"}, $B137))) &gt; 0,$B137 &amp; " (" &amp; $E137 &amp; ")",IF(SUMPRODUCT(-- ISNUMBER(SEARCH({"Content","Currency","Number","Percent","Text","URL"}, $B137))) &gt; 0,$B137 &amp; "(" &amp; $C137 &amp; ")",$B137)))), "  ", TRIM(IF($S137 = "YES", "(External ID)", "") &amp; " " &amp; IF(SUMPRODUCT(-- ISNUMBER(SEARCH({"Unique","Unique Case Insensitive"}, $R137))) &gt; 0, "(" &amp; $R137 &amp; ")", ""))))</f>
        <v>na</v>
      </c>
      <c r="E137" s="7"/>
      <c r="F137" s="7" t="s">
        <v>195</v>
      </c>
      <c r="G137" s="7" t="s">
        <v>195</v>
      </c>
      <c r="H137" s="7" t="s">
        <v>195</v>
      </c>
      <c r="I137" s="7" t="s">
        <v>195</v>
      </c>
      <c r="J137" s="7" t="s">
        <v>195</v>
      </c>
      <c r="K137" s="7" t="s">
        <v>195</v>
      </c>
      <c r="L137" s="7" t="s">
        <v>195</v>
      </c>
      <c r="M137" s="7" t="s">
        <v>29</v>
      </c>
      <c r="N137" s="7" t="s">
        <v>29</v>
      </c>
      <c r="O137" s="7" t="s">
        <v>29</v>
      </c>
      <c r="P137" s="7" t="s">
        <v>29</v>
      </c>
      <c r="Q137" s="7" t="s">
        <v>29</v>
      </c>
      <c r="R137" s="7" t="s">
        <v>29</v>
      </c>
      <c r="S137" s="7" t="s">
        <v>29</v>
      </c>
    </row>
    <row r="138" spans="2:19">
      <c r="B138" s="7" t="s">
        <v>195</v>
      </c>
      <c r="D138" s="5" t="str">
        <f>LRTRIM(CONCATENATE(IF(SUMPRODUCT(-- ISNUMBER(SEARCH({"Auto Number"}, $B138))) &gt; 0, $B138, IF(SUMPRODUCT(-- ISNUMBER(SEARCH({"Lookup","Master-Detail"}, $B138))) &gt; 0,$B138 &amp; "(" &amp; $E138 &amp; ")",IF(SUMPRODUCT(-- ISNUMBER(SEARCH({"Formula","Roll-Up Summary"}, $B138))) &gt; 0,$B138 &amp; " (" &amp; $E138 &amp; ")",IF(SUMPRODUCT(-- ISNUMBER(SEARCH({"Content","Currency","Number","Percent","Text","URL"}, $B138))) &gt; 0,$B138 &amp; "(" &amp; $C138 &amp; ")",$B138)))), "  ", TRIM(IF($S138 = "YES", "(External ID)", "") &amp; " " &amp; IF(SUMPRODUCT(-- ISNUMBER(SEARCH({"Unique","Unique Case Insensitive"}, $R138))) &gt; 0, "(" &amp; $R138 &amp; ")", ""))))</f>
        <v>na</v>
      </c>
      <c r="E138" s="7"/>
      <c r="F138" s="7" t="s">
        <v>195</v>
      </c>
      <c r="G138" s="7" t="s">
        <v>195</v>
      </c>
      <c r="H138" s="7" t="s">
        <v>195</v>
      </c>
      <c r="I138" s="7" t="s">
        <v>195</v>
      </c>
      <c r="J138" s="7" t="s">
        <v>195</v>
      </c>
      <c r="K138" s="7" t="s">
        <v>195</v>
      </c>
      <c r="L138" s="7" t="s">
        <v>195</v>
      </c>
      <c r="M138" s="7" t="s">
        <v>29</v>
      </c>
      <c r="N138" s="7" t="s">
        <v>29</v>
      </c>
      <c r="O138" s="7" t="s">
        <v>29</v>
      </c>
      <c r="P138" s="7" t="s">
        <v>29</v>
      </c>
      <c r="Q138" s="7" t="s">
        <v>29</v>
      </c>
      <c r="R138" s="7" t="s">
        <v>29</v>
      </c>
      <c r="S138" s="7" t="s">
        <v>29</v>
      </c>
    </row>
    <row r="139" spans="2:19">
      <c r="B139" s="7" t="s">
        <v>195</v>
      </c>
      <c r="D139" s="5" t="str">
        <f>LRTRIM(CONCATENATE(IF(SUMPRODUCT(-- ISNUMBER(SEARCH({"Auto Number"}, $B139))) &gt; 0, $B139, IF(SUMPRODUCT(-- ISNUMBER(SEARCH({"Lookup","Master-Detail"}, $B139))) &gt; 0,$B139 &amp; "(" &amp; $E139 &amp; ")",IF(SUMPRODUCT(-- ISNUMBER(SEARCH({"Formula","Roll-Up Summary"}, $B139))) &gt; 0,$B139 &amp; " (" &amp; $E139 &amp; ")",IF(SUMPRODUCT(-- ISNUMBER(SEARCH({"Content","Currency","Number","Percent","Text","URL"}, $B139))) &gt; 0,$B139 &amp; "(" &amp; $C139 &amp; ")",$B139)))), "  ", TRIM(IF($S139 = "YES", "(External ID)", "") &amp; " " &amp; IF(SUMPRODUCT(-- ISNUMBER(SEARCH({"Unique","Unique Case Insensitive"}, $R139))) &gt; 0, "(" &amp; $R139 &amp; ")", ""))))</f>
        <v>na</v>
      </c>
      <c r="E139" s="7"/>
      <c r="F139" s="7" t="s">
        <v>195</v>
      </c>
      <c r="G139" s="7" t="s">
        <v>195</v>
      </c>
      <c r="H139" s="7" t="s">
        <v>195</v>
      </c>
      <c r="I139" s="7" t="s">
        <v>195</v>
      </c>
      <c r="J139" s="7" t="s">
        <v>195</v>
      </c>
      <c r="K139" s="7" t="s">
        <v>195</v>
      </c>
      <c r="L139" s="7" t="s">
        <v>195</v>
      </c>
      <c r="M139" s="7" t="s">
        <v>29</v>
      </c>
      <c r="N139" s="7" t="s">
        <v>29</v>
      </c>
      <c r="O139" s="7" t="s">
        <v>29</v>
      </c>
      <c r="P139" s="7" t="s">
        <v>29</v>
      </c>
      <c r="Q139" s="7" t="s">
        <v>29</v>
      </c>
      <c r="R139" s="7" t="s">
        <v>29</v>
      </c>
      <c r="S139" s="7" t="s">
        <v>29</v>
      </c>
    </row>
    <row r="140" spans="2:19">
      <c r="B140" s="7" t="s">
        <v>195</v>
      </c>
      <c r="D140" s="5" t="str">
        <f>LRTRIM(CONCATENATE(IF(SUMPRODUCT(-- ISNUMBER(SEARCH({"Auto Number"}, $B140))) &gt; 0, $B140, IF(SUMPRODUCT(-- ISNUMBER(SEARCH({"Lookup","Master-Detail"}, $B140))) &gt; 0,$B140 &amp; "(" &amp; $E140 &amp; ")",IF(SUMPRODUCT(-- ISNUMBER(SEARCH({"Formula","Roll-Up Summary"}, $B140))) &gt; 0,$B140 &amp; " (" &amp; $E140 &amp; ")",IF(SUMPRODUCT(-- ISNUMBER(SEARCH({"Content","Currency","Number","Percent","Text","URL"}, $B140))) &gt; 0,$B140 &amp; "(" &amp; $C140 &amp; ")",$B140)))), "  ", TRIM(IF($S140 = "YES", "(External ID)", "") &amp; " " &amp; IF(SUMPRODUCT(-- ISNUMBER(SEARCH({"Unique","Unique Case Insensitive"}, $R140))) &gt; 0, "(" &amp; $R140 &amp; ")", ""))))</f>
        <v>na</v>
      </c>
      <c r="E140" s="7"/>
      <c r="F140" s="7" t="s">
        <v>195</v>
      </c>
      <c r="G140" s="7" t="s">
        <v>195</v>
      </c>
      <c r="H140" s="7" t="s">
        <v>195</v>
      </c>
      <c r="I140" s="7" t="s">
        <v>195</v>
      </c>
      <c r="J140" s="7" t="s">
        <v>195</v>
      </c>
      <c r="K140" s="7" t="s">
        <v>195</v>
      </c>
      <c r="L140" s="7" t="s">
        <v>195</v>
      </c>
      <c r="M140" s="7" t="s">
        <v>29</v>
      </c>
      <c r="N140" s="7" t="s">
        <v>29</v>
      </c>
      <c r="O140" s="7" t="s">
        <v>29</v>
      </c>
      <c r="P140" s="7" t="s">
        <v>29</v>
      </c>
      <c r="Q140" s="7" t="s">
        <v>29</v>
      </c>
      <c r="R140" s="7" t="s">
        <v>29</v>
      </c>
      <c r="S140" s="7" t="s">
        <v>29</v>
      </c>
    </row>
    <row r="141" spans="2:19">
      <c r="B141" s="7" t="s">
        <v>195</v>
      </c>
      <c r="D141" s="5" t="str">
        <f>LRTRIM(CONCATENATE(IF(SUMPRODUCT(-- ISNUMBER(SEARCH({"Auto Number"}, $B141))) &gt; 0, $B141, IF(SUMPRODUCT(-- ISNUMBER(SEARCH({"Lookup","Master-Detail"}, $B141))) &gt; 0,$B141 &amp; "(" &amp; $E141 &amp; ")",IF(SUMPRODUCT(-- ISNUMBER(SEARCH({"Formula","Roll-Up Summary"}, $B141))) &gt; 0,$B141 &amp; " (" &amp; $E141 &amp; ")",IF(SUMPRODUCT(-- ISNUMBER(SEARCH({"Content","Currency","Number","Percent","Text","URL"}, $B141))) &gt; 0,$B141 &amp; "(" &amp; $C141 &amp; ")",$B141)))), "  ", TRIM(IF($S141 = "YES", "(External ID)", "") &amp; " " &amp; IF(SUMPRODUCT(-- ISNUMBER(SEARCH({"Unique","Unique Case Insensitive"}, $R141))) &gt; 0, "(" &amp; $R141 &amp; ")", ""))))</f>
        <v>na</v>
      </c>
      <c r="E141" s="7"/>
      <c r="F141" s="7" t="s">
        <v>195</v>
      </c>
      <c r="G141" s="7" t="s">
        <v>195</v>
      </c>
      <c r="H141" s="7" t="s">
        <v>195</v>
      </c>
      <c r="I141" s="7" t="s">
        <v>195</v>
      </c>
      <c r="J141" s="7" t="s">
        <v>195</v>
      </c>
      <c r="K141" s="7" t="s">
        <v>195</v>
      </c>
      <c r="L141" s="7" t="s">
        <v>195</v>
      </c>
      <c r="M141" s="7" t="s">
        <v>29</v>
      </c>
      <c r="N141" s="7" t="s">
        <v>29</v>
      </c>
      <c r="O141" s="7" t="s">
        <v>29</v>
      </c>
      <c r="P141" s="7" t="s">
        <v>29</v>
      </c>
      <c r="Q141" s="7" t="s">
        <v>29</v>
      </c>
      <c r="R141" s="7" t="s">
        <v>29</v>
      </c>
      <c r="S141" s="7" t="s">
        <v>29</v>
      </c>
    </row>
    <row r="142" spans="2:19">
      <c r="B142" s="7" t="s">
        <v>195</v>
      </c>
      <c r="D142" s="5" t="str">
        <f>LRTRIM(CONCATENATE(IF(SUMPRODUCT(-- ISNUMBER(SEARCH({"Auto Number"}, $B142))) &gt; 0, $B142, IF(SUMPRODUCT(-- ISNUMBER(SEARCH({"Lookup","Master-Detail"}, $B142))) &gt; 0,$B142 &amp; "(" &amp; $E142 &amp; ")",IF(SUMPRODUCT(-- ISNUMBER(SEARCH({"Formula","Roll-Up Summary"}, $B142))) &gt; 0,$B142 &amp; " (" &amp; $E142 &amp; ")",IF(SUMPRODUCT(-- ISNUMBER(SEARCH({"Content","Currency","Number","Percent","Text","URL"}, $B142))) &gt; 0,$B142 &amp; "(" &amp; $C142 &amp; ")",$B142)))), "  ", TRIM(IF($S142 = "YES", "(External ID)", "") &amp; " " &amp; IF(SUMPRODUCT(-- ISNUMBER(SEARCH({"Unique","Unique Case Insensitive"}, $R142))) &gt; 0, "(" &amp; $R142 &amp; ")", ""))))</f>
        <v>na</v>
      </c>
      <c r="E142" s="7"/>
      <c r="F142" s="7" t="s">
        <v>195</v>
      </c>
      <c r="G142" s="7" t="s">
        <v>195</v>
      </c>
      <c r="H142" s="7" t="s">
        <v>195</v>
      </c>
      <c r="I142" s="7" t="s">
        <v>195</v>
      </c>
      <c r="J142" s="7" t="s">
        <v>195</v>
      </c>
      <c r="K142" s="7" t="s">
        <v>195</v>
      </c>
      <c r="L142" s="7" t="s">
        <v>195</v>
      </c>
      <c r="M142" s="7" t="s">
        <v>29</v>
      </c>
      <c r="N142" s="7" t="s">
        <v>29</v>
      </c>
      <c r="O142" s="7" t="s">
        <v>29</v>
      </c>
      <c r="P142" s="7" t="s">
        <v>29</v>
      </c>
      <c r="Q142" s="7" t="s">
        <v>29</v>
      </c>
      <c r="R142" s="7" t="s">
        <v>29</v>
      </c>
      <c r="S142" s="7" t="s">
        <v>29</v>
      </c>
    </row>
    <row r="143" spans="2:19">
      <c r="B143" s="7" t="s">
        <v>195</v>
      </c>
      <c r="D143" s="5" t="str">
        <f>LRTRIM(CONCATENATE(IF(SUMPRODUCT(-- ISNUMBER(SEARCH({"Auto Number"}, $B143))) &gt; 0, $B143, IF(SUMPRODUCT(-- ISNUMBER(SEARCH({"Lookup","Master-Detail"}, $B143))) &gt; 0,$B143 &amp; "(" &amp; $E143 &amp; ")",IF(SUMPRODUCT(-- ISNUMBER(SEARCH({"Formula","Roll-Up Summary"}, $B143))) &gt; 0,$B143 &amp; " (" &amp; $E143 &amp; ")",IF(SUMPRODUCT(-- ISNUMBER(SEARCH({"Content","Currency","Number","Percent","Text","URL"}, $B143))) &gt; 0,$B143 &amp; "(" &amp; $C143 &amp; ")",$B143)))), "  ", TRIM(IF($S143 = "YES", "(External ID)", "") &amp; " " &amp; IF(SUMPRODUCT(-- ISNUMBER(SEARCH({"Unique","Unique Case Insensitive"}, $R143))) &gt; 0, "(" &amp; $R143 &amp; ")", ""))))</f>
        <v>na</v>
      </c>
      <c r="E143" s="7"/>
      <c r="F143" s="7" t="s">
        <v>195</v>
      </c>
      <c r="G143" s="7" t="s">
        <v>195</v>
      </c>
      <c r="H143" s="7" t="s">
        <v>195</v>
      </c>
      <c r="I143" s="7" t="s">
        <v>195</v>
      </c>
      <c r="J143" s="7" t="s">
        <v>195</v>
      </c>
      <c r="K143" s="7" t="s">
        <v>195</v>
      </c>
      <c r="L143" s="7" t="s">
        <v>195</v>
      </c>
      <c r="M143" s="7" t="s">
        <v>29</v>
      </c>
      <c r="N143" s="7" t="s">
        <v>29</v>
      </c>
      <c r="O143" s="7" t="s">
        <v>29</v>
      </c>
      <c r="P143" s="7" t="s">
        <v>29</v>
      </c>
      <c r="Q143" s="7" t="s">
        <v>29</v>
      </c>
      <c r="R143" s="7" t="s">
        <v>29</v>
      </c>
      <c r="S143" s="7" t="s">
        <v>29</v>
      </c>
    </row>
    <row r="144" spans="2:19">
      <c r="B144" s="7" t="s">
        <v>195</v>
      </c>
      <c r="D144" s="5" t="str">
        <f>LRTRIM(CONCATENATE(IF(SUMPRODUCT(-- ISNUMBER(SEARCH({"Auto Number"}, $B144))) &gt; 0, $B144, IF(SUMPRODUCT(-- ISNUMBER(SEARCH({"Lookup","Master-Detail"}, $B144))) &gt; 0,$B144 &amp; "(" &amp; $E144 &amp; ")",IF(SUMPRODUCT(-- ISNUMBER(SEARCH({"Formula","Roll-Up Summary"}, $B144))) &gt; 0,$B144 &amp; " (" &amp; $E144 &amp; ")",IF(SUMPRODUCT(-- ISNUMBER(SEARCH({"Content","Currency","Number","Percent","Text","URL"}, $B144))) &gt; 0,$B144 &amp; "(" &amp; $C144 &amp; ")",$B144)))), "  ", TRIM(IF($S144 = "YES", "(External ID)", "") &amp; " " &amp; IF(SUMPRODUCT(-- ISNUMBER(SEARCH({"Unique","Unique Case Insensitive"}, $R144))) &gt; 0, "(" &amp; $R144 &amp; ")", ""))))</f>
        <v>na</v>
      </c>
      <c r="E144" s="7"/>
      <c r="F144" s="7" t="s">
        <v>195</v>
      </c>
      <c r="G144" s="7" t="s">
        <v>195</v>
      </c>
      <c r="H144" s="7" t="s">
        <v>195</v>
      </c>
      <c r="I144" s="7" t="s">
        <v>195</v>
      </c>
      <c r="J144" s="7" t="s">
        <v>195</v>
      </c>
      <c r="K144" s="7" t="s">
        <v>195</v>
      </c>
      <c r="L144" s="7" t="s">
        <v>195</v>
      </c>
      <c r="M144" s="7" t="s">
        <v>29</v>
      </c>
      <c r="N144" s="7" t="s">
        <v>29</v>
      </c>
      <c r="O144" s="7" t="s">
        <v>29</v>
      </c>
      <c r="P144" s="7" t="s">
        <v>29</v>
      </c>
      <c r="Q144" s="7" t="s">
        <v>29</v>
      </c>
      <c r="R144" s="7" t="s">
        <v>29</v>
      </c>
      <c r="S144" s="7" t="s">
        <v>29</v>
      </c>
    </row>
    <row r="145" spans="2:19">
      <c r="B145" s="7" t="s">
        <v>195</v>
      </c>
      <c r="D145" s="5" t="str">
        <f>LRTRIM(CONCATENATE(IF(SUMPRODUCT(-- ISNUMBER(SEARCH({"Auto Number"}, $B145))) &gt; 0, $B145, IF(SUMPRODUCT(-- ISNUMBER(SEARCH({"Lookup","Master-Detail"}, $B145))) &gt; 0,$B145 &amp; "(" &amp; $E145 &amp; ")",IF(SUMPRODUCT(-- ISNUMBER(SEARCH({"Formula","Roll-Up Summary"}, $B145))) &gt; 0,$B145 &amp; " (" &amp; $E145 &amp; ")",IF(SUMPRODUCT(-- ISNUMBER(SEARCH({"Content","Currency","Number","Percent","Text","URL"}, $B145))) &gt; 0,$B145 &amp; "(" &amp; $C145 &amp; ")",$B145)))), "  ", TRIM(IF($S145 = "YES", "(External ID)", "") &amp; " " &amp; IF(SUMPRODUCT(-- ISNUMBER(SEARCH({"Unique","Unique Case Insensitive"}, $R145))) &gt; 0, "(" &amp; $R145 &amp; ")", ""))))</f>
        <v>na</v>
      </c>
      <c r="E145" s="7"/>
      <c r="F145" s="7" t="s">
        <v>195</v>
      </c>
      <c r="G145" s="7" t="s">
        <v>195</v>
      </c>
      <c r="H145" s="7" t="s">
        <v>195</v>
      </c>
      <c r="I145" s="7" t="s">
        <v>195</v>
      </c>
      <c r="J145" s="7" t="s">
        <v>195</v>
      </c>
      <c r="K145" s="7" t="s">
        <v>195</v>
      </c>
      <c r="L145" s="7" t="s">
        <v>195</v>
      </c>
      <c r="M145" s="7" t="s">
        <v>29</v>
      </c>
      <c r="N145" s="7" t="s">
        <v>29</v>
      </c>
      <c r="O145" s="7" t="s">
        <v>29</v>
      </c>
      <c r="P145" s="7" t="s">
        <v>29</v>
      </c>
      <c r="Q145" s="7" t="s">
        <v>29</v>
      </c>
      <c r="R145" s="7" t="s">
        <v>29</v>
      </c>
      <c r="S145" s="7" t="s">
        <v>29</v>
      </c>
    </row>
    <row r="146" spans="2:19">
      <c r="B146" s="7" t="s">
        <v>195</v>
      </c>
      <c r="D146" s="5" t="str">
        <f>LRTRIM(CONCATENATE(IF(SUMPRODUCT(-- ISNUMBER(SEARCH({"Auto Number"}, $B146))) &gt; 0, $B146, IF(SUMPRODUCT(-- ISNUMBER(SEARCH({"Lookup","Master-Detail"}, $B146))) &gt; 0,$B146 &amp; "(" &amp; $E146 &amp; ")",IF(SUMPRODUCT(-- ISNUMBER(SEARCH({"Formula","Roll-Up Summary"}, $B146))) &gt; 0,$B146 &amp; " (" &amp; $E146 &amp; ")",IF(SUMPRODUCT(-- ISNUMBER(SEARCH({"Content","Currency","Number","Percent","Text","URL"}, $B146))) &gt; 0,$B146 &amp; "(" &amp; $C146 &amp; ")",$B146)))), "  ", TRIM(IF($S146 = "YES", "(External ID)", "") &amp; " " &amp; IF(SUMPRODUCT(-- ISNUMBER(SEARCH({"Unique","Unique Case Insensitive"}, $R146))) &gt; 0, "(" &amp; $R146 &amp; ")", ""))))</f>
        <v>na</v>
      </c>
      <c r="E146" s="7"/>
      <c r="F146" s="7" t="s">
        <v>195</v>
      </c>
      <c r="G146" s="7" t="s">
        <v>195</v>
      </c>
      <c r="H146" s="7" t="s">
        <v>195</v>
      </c>
      <c r="I146" s="7" t="s">
        <v>195</v>
      </c>
      <c r="J146" s="7" t="s">
        <v>195</v>
      </c>
      <c r="K146" s="7" t="s">
        <v>195</v>
      </c>
      <c r="L146" s="7" t="s">
        <v>195</v>
      </c>
      <c r="M146" s="7" t="s">
        <v>29</v>
      </c>
      <c r="N146" s="7" t="s">
        <v>29</v>
      </c>
      <c r="O146" s="7" t="s">
        <v>29</v>
      </c>
      <c r="P146" s="7" t="s">
        <v>29</v>
      </c>
      <c r="Q146" s="7" t="s">
        <v>29</v>
      </c>
      <c r="R146" s="7" t="s">
        <v>29</v>
      </c>
      <c r="S146" s="7" t="s">
        <v>29</v>
      </c>
    </row>
    <row r="147" spans="2:19">
      <c r="B147" s="7" t="s">
        <v>195</v>
      </c>
      <c r="D147" s="5" t="str">
        <f>LRTRIM(CONCATENATE(IF(SUMPRODUCT(-- ISNUMBER(SEARCH({"Auto Number"}, $B147))) &gt; 0, $B147, IF(SUMPRODUCT(-- ISNUMBER(SEARCH({"Lookup","Master-Detail"}, $B147))) &gt; 0,$B147 &amp; "(" &amp; $E147 &amp; ")",IF(SUMPRODUCT(-- ISNUMBER(SEARCH({"Formula","Roll-Up Summary"}, $B147))) &gt; 0,$B147 &amp; " (" &amp; $E147 &amp; ")",IF(SUMPRODUCT(-- ISNUMBER(SEARCH({"Content","Currency","Number","Percent","Text","URL"}, $B147))) &gt; 0,$B147 &amp; "(" &amp; $C147 &amp; ")",$B147)))), "  ", TRIM(IF($S147 = "YES", "(External ID)", "") &amp; " " &amp; IF(SUMPRODUCT(-- ISNUMBER(SEARCH({"Unique","Unique Case Insensitive"}, $R147))) &gt; 0, "(" &amp; $R147 &amp; ")", ""))))</f>
        <v>na</v>
      </c>
      <c r="E147" s="7"/>
      <c r="F147" s="7" t="s">
        <v>195</v>
      </c>
      <c r="G147" s="7" t="s">
        <v>195</v>
      </c>
      <c r="H147" s="7" t="s">
        <v>195</v>
      </c>
      <c r="I147" s="7" t="s">
        <v>195</v>
      </c>
      <c r="J147" s="7" t="s">
        <v>195</v>
      </c>
      <c r="K147" s="7" t="s">
        <v>195</v>
      </c>
      <c r="L147" s="7" t="s">
        <v>195</v>
      </c>
      <c r="M147" s="7" t="s">
        <v>29</v>
      </c>
      <c r="N147" s="7" t="s">
        <v>29</v>
      </c>
      <c r="O147" s="7" t="s">
        <v>29</v>
      </c>
      <c r="P147" s="7" t="s">
        <v>29</v>
      </c>
      <c r="Q147" s="7" t="s">
        <v>29</v>
      </c>
      <c r="R147" s="7" t="s">
        <v>29</v>
      </c>
      <c r="S147" s="7" t="s">
        <v>29</v>
      </c>
    </row>
    <row r="148" spans="2:19">
      <c r="B148" s="7" t="s">
        <v>195</v>
      </c>
      <c r="D148" s="5" t="str">
        <f>LRTRIM(CONCATENATE(IF(SUMPRODUCT(-- ISNUMBER(SEARCH({"Auto Number"}, $B148))) &gt; 0, $B148, IF(SUMPRODUCT(-- ISNUMBER(SEARCH({"Lookup","Master-Detail"}, $B148))) &gt; 0,$B148 &amp; "(" &amp; $E148 &amp; ")",IF(SUMPRODUCT(-- ISNUMBER(SEARCH({"Formula","Roll-Up Summary"}, $B148))) &gt; 0,$B148 &amp; " (" &amp; $E148 &amp; ")",IF(SUMPRODUCT(-- ISNUMBER(SEARCH({"Content","Currency","Number","Percent","Text","URL"}, $B148))) &gt; 0,$B148 &amp; "(" &amp; $C148 &amp; ")",$B148)))), "  ", TRIM(IF($S148 = "YES", "(External ID)", "") &amp; " " &amp; IF(SUMPRODUCT(-- ISNUMBER(SEARCH({"Unique","Unique Case Insensitive"}, $R148))) &gt; 0, "(" &amp; $R148 &amp; ")", ""))))</f>
        <v>na</v>
      </c>
      <c r="E148" s="7"/>
      <c r="F148" s="7" t="s">
        <v>195</v>
      </c>
      <c r="G148" s="7" t="s">
        <v>195</v>
      </c>
      <c r="H148" s="7" t="s">
        <v>195</v>
      </c>
      <c r="I148" s="7" t="s">
        <v>195</v>
      </c>
      <c r="J148" s="7" t="s">
        <v>195</v>
      </c>
      <c r="K148" s="7" t="s">
        <v>195</v>
      </c>
      <c r="L148" s="7" t="s">
        <v>195</v>
      </c>
      <c r="M148" s="7" t="s">
        <v>29</v>
      </c>
      <c r="N148" s="7" t="s">
        <v>29</v>
      </c>
      <c r="O148" s="7" t="s">
        <v>29</v>
      </c>
      <c r="P148" s="7" t="s">
        <v>29</v>
      </c>
      <c r="Q148" s="7" t="s">
        <v>29</v>
      </c>
      <c r="R148" s="7" t="s">
        <v>29</v>
      </c>
      <c r="S148" s="7" t="s">
        <v>29</v>
      </c>
    </row>
    <row r="149" spans="2:19">
      <c r="B149" s="7" t="s">
        <v>195</v>
      </c>
      <c r="D149" s="5" t="str">
        <f>LRTRIM(CONCATENATE(IF(SUMPRODUCT(-- ISNUMBER(SEARCH({"Auto Number"}, $B149))) &gt; 0, $B149, IF(SUMPRODUCT(-- ISNUMBER(SEARCH({"Lookup","Master-Detail"}, $B149))) &gt; 0,$B149 &amp; "(" &amp; $E149 &amp; ")",IF(SUMPRODUCT(-- ISNUMBER(SEARCH({"Formula","Roll-Up Summary"}, $B149))) &gt; 0,$B149 &amp; " (" &amp; $E149 &amp; ")",IF(SUMPRODUCT(-- ISNUMBER(SEARCH({"Content","Currency","Number","Percent","Text","URL"}, $B149))) &gt; 0,$B149 &amp; "(" &amp; $C149 &amp; ")",$B149)))), "  ", TRIM(IF($S149 = "YES", "(External ID)", "") &amp; " " &amp; IF(SUMPRODUCT(-- ISNUMBER(SEARCH({"Unique","Unique Case Insensitive"}, $R149))) &gt; 0, "(" &amp; $R149 &amp; ")", ""))))</f>
        <v>na</v>
      </c>
      <c r="E149" s="7"/>
      <c r="F149" s="7" t="s">
        <v>195</v>
      </c>
      <c r="G149" s="7" t="s">
        <v>195</v>
      </c>
      <c r="H149" s="7" t="s">
        <v>195</v>
      </c>
      <c r="I149" s="7" t="s">
        <v>195</v>
      </c>
      <c r="J149" s="7" t="s">
        <v>195</v>
      </c>
      <c r="K149" s="7" t="s">
        <v>195</v>
      </c>
      <c r="L149" s="7" t="s">
        <v>195</v>
      </c>
      <c r="M149" s="7" t="s">
        <v>29</v>
      </c>
      <c r="N149" s="7" t="s">
        <v>29</v>
      </c>
      <c r="O149" s="7" t="s">
        <v>29</v>
      </c>
      <c r="P149" s="7" t="s">
        <v>29</v>
      </c>
      <c r="Q149" s="7" t="s">
        <v>29</v>
      </c>
      <c r="R149" s="7" t="s">
        <v>29</v>
      </c>
      <c r="S149" s="7" t="s">
        <v>29</v>
      </c>
    </row>
    <row r="150" spans="2:19">
      <c r="B150" s="7" t="s">
        <v>195</v>
      </c>
      <c r="D150" s="5" t="str">
        <f>LRTRIM(CONCATENATE(IF(SUMPRODUCT(-- ISNUMBER(SEARCH({"Auto Number"}, $B150))) &gt; 0, $B150, IF(SUMPRODUCT(-- ISNUMBER(SEARCH({"Lookup","Master-Detail"}, $B150))) &gt; 0,$B150 &amp; "(" &amp; $E150 &amp; ")",IF(SUMPRODUCT(-- ISNUMBER(SEARCH({"Formula","Roll-Up Summary"}, $B150))) &gt; 0,$B150 &amp; " (" &amp; $E150 &amp; ")",IF(SUMPRODUCT(-- ISNUMBER(SEARCH({"Content","Currency","Number","Percent","Text","URL"}, $B150))) &gt; 0,$B150 &amp; "(" &amp; $C150 &amp; ")",$B150)))), "  ", TRIM(IF($S150 = "YES", "(External ID)", "") &amp; " " &amp; IF(SUMPRODUCT(-- ISNUMBER(SEARCH({"Unique","Unique Case Insensitive"}, $R150))) &gt; 0, "(" &amp; $R150 &amp; ")", ""))))</f>
        <v>na</v>
      </c>
      <c r="E150" s="7"/>
      <c r="F150" s="7" t="s">
        <v>195</v>
      </c>
      <c r="G150" s="7" t="s">
        <v>195</v>
      </c>
      <c r="H150" s="7" t="s">
        <v>195</v>
      </c>
      <c r="I150" s="7" t="s">
        <v>195</v>
      </c>
      <c r="J150" s="7" t="s">
        <v>195</v>
      </c>
      <c r="K150" s="7" t="s">
        <v>195</v>
      </c>
      <c r="L150" s="7" t="s">
        <v>195</v>
      </c>
      <c r="M150" s="7" t="s">
        <v>29</v>
      </c>
      <c r="N150" s="7" t="s">
        <v>29</v>
      </c>
      <c r="O150" s="7" t="s">
        <v>29</v>
      </c>
      <c r="P150" s="7" t="s">
        <v>29</v>
      </c>
      <c r="Q150" s="7" t="s">
        <v>29</v>
      </c>
      <c r="R150" s="7" t="s">
        <v>29</v>
      </c>
      <c r="S150" s="7" t="s">
        <v>29</v>
      </c>
    </row>
    <row r="151" spans="2:19">
      <c r="B151" s="7" t="s">
        <v>195</v>
      </c>
      <c r="D151" s="5" t="str">
        <f>LRTRIM(CONCATENATE(IF(SUMPRODUCT(-- ISNUMBER(SEARCH({"Auto Number"}, $B151))) &gt; 0, $B151, IF(SUMPRODUCT(-- ISNUMBER(SEARCH({"Lookup","Master-Detail"}, $B151))) &gt; 0,$B151 &amp; "(" &amp; $E151 &amp; ")",IF(SUMPRODUCT(-- ISNUMBER(SEARCH({"Formula","Roll-Up Summary"}, $B151))) &gt; 0,$B151 &amp; " (" &amp; $E151 &amp; ")",IF(SUMPRODUCT(-- ISNUMBER(SEARCH({"Content","Currency","Number","Percent","Text","URL"}, $B151))) &gt; 0,$B151 &amp; "(" &amp; $C151 &amp; ")",$B151)))), "  ", TRIM(IF($S151 = "YES", "(External ID)", "") &amp; " " &amp; IF(SUMPRODUCT(-- ISNUMBER(SEARCH({"Unique","Unique Case Insensitive"}, $R151))) &gt; 0, "(" &amp; $R151 &amp; ")", ""))))</f>
        <v>na</v>
      </c>
      <c r="E151" s="7"/>
      <c r="F151" s="7" t="s">
        <v>195</v>
      </c>
      <c r="G151" s="7" t="s">
        <v>195</v>
      </c>
      <c r="H151" s="7" t="s">
        <v>195</v>
      </c>
      <c r="I151" s="7" t="s">
        <v>195</v>
      </c>
      <c r="J151" s="7" t="s">
        <v>195</v>
      </c>
      <c r="K151" s="7" t="s">
        <v>195</v>
      </c>
      <c r="L151" s="7" t="s">
        <v>195</v>
      </c>
      <c r="M151" s="7" t="s">
        <v>29</v>
      </c>
      <c r="N151" s="7" t="s">
        <v>29</v>
      </c>
      <c r="O151" s="7" t="s">
        <v>29</v>
      </c>
      <c r="P151" s="7" t="s">
        <v>29</v>
      </c>
      <c r="Q151" s="7" t="s">
        <v>29</v>
      </c>
      <c r="R151" s="7" t="s">
        <v>29</v>
      </c>
      <c r="S151" s="7" t="s">
        <v>29</v>
      </c>
    </row>
    <row r="152" spans="2:19">
      <c r="B152" s="7" t="s">
        <v>195</v>
      </c>
      <c r="D152" s="5" t="str">
        <f>LRTRIM(CONCATENATE(IF(SUMPRODUCT(-- ISNUMBER(SEARCH({"Auto Number"}, $B152))) &gt; 0, $B152, IF(SUMPRODUCT(-- ISNUMBER(SEARCH({"Lookup","Master-Detail"}, $B152))) &gt; 0,$B152 &amp; "(" &amp; $E152 &amp; ")",IF(SUMPRODUCT(-- ISNUMBER(SEARCH({"Formula","Roll-Up Summary"}, $B152))) &gt; 0,$B152 &amp; " (" &amp; $E152 &amp; ")",IF(SUMPRODUCT(-- ISNUMBER(SEARCH({"Content","Currency","Number","Percent","Text","URL"}, $B152))) &gt; 0,$B152 &amp; "(" &amp; $C152 &amp; ")",$B152)))), "  ", TRIM(IF($S152 = "YES", "(External ID)", "") &amp; " " &amp; IF(SUMPRODUCT(-- ISNUMBER(SEARCH({"Unique","Unique Case Insensitive"}, $R152))) &gt; 0, "(" &amp; $R152 &amp; ")", ""))))</f>
        <v>na</v>
      </c>
      <c r="E152" s="7"/>
      <c r="F152" s="7" t="s">
        <v>195</v>
      </c>
      <c r="G152" s="7" t="s">
        <v>195</v>
      </c>
      <c r="H152" s="7" t="s">
        <v>195</v>
      </c>
      <c r="I152" s="7" t="s">
        <v>195</v>
      </c>
      <c r="J152" s="7" t="s">
        <v>195</v>
      </c>
      <c r="K152" s="7" t="s">
        <v>195</v>
      </c>
      <c r="L152" s="7" t="s">
        <v>195</v>
      </c>
      <c r="M152" s="7" t="s">
        <v>29</v>
      </c>
      <c r="N152" s="7" t="s">
        <v>29</v>
      </c>
      <c r="O152" s="7" t="s">
        <v>29</v>
      </c>
      <c r="P152" s="7" t="s">
        <v>29</v>
      </c>
      <c r="Q152" s="7" t="s">
        <v>29</v>
      </c>
      <c r="R152" s="7" t="s">
        <v>29</v>
      </c>
      <c r="S152" s="7" t="s">
        <v>29</v>
      </c>
    </row>
    <row r="153" spans="2:19">
      <c r="B153" s="7" t="s">
        <v>195</v>
      </c>
      <c r="D153" s="5" t="str">
        <f>LRTRIM(CONCATENATE(IF(SUMPRODUCT(-- ISNUMBER(SEARCH({"Auto Number"}, $B153))) &gt; 0, $B153, IF(SUMPRODUCT(-- ISNUMBER(SEARCH({"Lookup","Master-Detail"}, $B153))) &gt; 0,$B153 &amp; "(" &amp; $E153 &amp; ")",IF(SUMPRODUCT(-- ISNUMBER(SEARCH({"Formula","Roll-Up Summary"}, $B153))) &gt; 0,$B153 &amp; " (" &amp; $E153 &amp; ")",IF(SUMPRODUCT(-- ISNUMBER(SEARCH({"Content","Currency","Number","Percent","Text","URL"}, $B153))) &gt; 0,$B153 &amp; "(" &amp; $C153 &amp; ")",$B153)))), "  ", TRIM(IF($S153 = "YES", "(External ID)", "") &amp; " " &amp; IF(SUMPRODUCT(-- ISNUMBER(SEARCH({"Unique","Unique Case Insensitive"}, $R153))) &gt; 0, "(" &amp; $R153 &amp; ")", ""))))</f>
        <v>na</v>
      </c>
      <c r="E153" s="7"/>
      <c r="F153" s="7" t="s">
        <v>195</v>
      </c>
      <c r="G153" s="7" t="s">
        <v>195</v>
      </c>
      <c r="H153" s="7" t="s">
        <v>195</v>
      </c>
      <c r="I153" s="7" t="s">
        <v>195</v>
      </c>
      <c r="J153" s="7" t="s">
        <v>195</v>
      </c>
      <c r="K153" s="7" t="s">
        <v>195</v>
      </c>
      <c r="L153" s="7" t="s">
        <v>195</v>
      </c>
      <c r="M153" s="7" t="s">
        <v>29</v>
      </c>
      <c r="N153" s="7" t="s">
        <v>29</v>
      </c>
      <c r="O153" s="7" t="s">
        <v>29</v>
      </c>
      <c r="P153" s="7" t="s">
        <v>29</v>
      </c>
      <c r="Q153" s="7" t="s">
        <v>29</v>
      </c>
      <c r="R153" s="7" t="s">
        <v>29</v>
      </c>
      <c r="S153" s="7" t="s">
        <v>29</v>
      </c>
    </row>
    <row r="154" spans="2:19">
      <c r="B154" s="7" t="s">
        <v>195</v>
      </c>
      <c r="D154" s="5" t="str">
        <f>LRTRIM(CONCATENATE(IF(SUMPRODUCT(-- ISNUMBER(SEARCH({"Auto Number"}, $B154))) &gt; 0, $B154, IF(SUMPRODUCT(-- ISNUMBER(SEARCH({"Lookup","Master-Detail"}, $B154))) &gt; 0,$B154 &amp; "(" &amp; $E154 &amp; ")",IF(SUMPRODUCT(-- ISNUMBER(SEARCH({"Formula","Roll-Up Summary"}, $B154))) &gt; 0,$B154 &amp; " (" &amp; $E154 &amp; ")",IF(SUMPRODUCT(-- ISNUMBER(SEARCH({"Content","Currency","Number","Percent","Text","URL"}, $B154))) &gt; 0,$B154 &amp; "(" &amp; $C154 &amp; ")",$B154)))), "  ", TRIM(IF($S154 = "YES", "(External ID)", "") &amp; " " &amp; IF(SUMPRODUCT(-- ISNUMBER(SEARCH({"Unique","Unique Case Insensitive"}, $R154))) &gt; 0, "(" &amp; $R154 &amp; ")", ""))))</f>
        <v>na</v>
      </c>
      <c r="E154" s="7"/>
      <c r="F154" s="7" t="s">
        <v>195</v>
      </c>
      <c r="G154" s="7" t="s">
        <v>195</v>
      </c>
      <c r="H154" s="7" t="s">
        <v>195</v>
      </c>
      <c r="I154" s="7" t="s">
        <v>195</v>
      </c>
      <c r="J154" s="7" t="s">
        <v>195</v>
      </c>
      <c r="K154" s="7" t="s">
        <v>195</v>
      </c>
      <c r="L154" s="7" t="s">
        <v>195</v>
      </c>
      <c r="M154" s="7" t="s">
        <v>29</v>
      </c>
      <c r="N154" s="7" t="s">
        <v>29</v>
      </c>
      <c r="O154" s="7" t="s">
        <v>29</v>
      </c>
      <c r="P154" s="7" t="s">
        <v>29</v>
      </c>
      <c r="Q154" s="7" t="s">
        <v>29</v>
      </c>
      <c r="R154" s="7" t="s">
        <v>29</v>
      </c>
      <c r="S154" s="7" t="s">
        <v>29</v>
      </c>
    </row>
    <row r="155" spans="2:19">
      <c r="B155" s="7" t="s">
        <v>195</v>
      </c>
      <c r="D155" s="5" t="str">
        <f>LRTRIM(CONCATENATE(IF(SUMPRODUCT(-- ISNUMBER(SEARCH({"Auto Number"}, $B155))) &gt; 0, $B155, IF(SUMPRODUCT(-- ISNUMBER(SEARCH({"Lookup","Master-Detail"}, $B155))) &gt; 0,$B155 &amp; "(" &amp; $E155 &amp; ")",IF(SUMPRODUCT(-- ISNUMBER(SEARCH({"Formula","Roll-Up Summary"}, $B155))) &gt; 0,$B155 &amp; " (" &amp; $E155 &amp; ")",IF(SUMPRODUCT(-- ISNUMBER(SEARCH({"Content","Currency","Number","Percent","Text","URL"}, $B155))) &gt; 0,$B155 &amp; "(" &amp; $C155 &amp; ")",$B155)))), "  ", TRIM(IF($S155 = "YES", "(External ID)", "") &amp; " " &amp; IF(SUMPRODUCT(-- ISNUMBER(SEARCH({"Unique","Unique Case Insensitive"}, $R155))) &gt; 0, "(" &amp; $R155 &amp; ")", ""))))</f>
        <v>na</v>
      </c>
      <c r="E155" s="7"/>
      <c r="F155" s="7" t="s">
        <v>195</v>
      </c>
      <c r="G155" s="7" t="s">
        <v>195</v>
      </c>
      <c r="H155" s="7" t="s">
        <v>195</v>
      </c>
      <c r="I155" s="7" t="s">
        <v>195</v>
      </c>
      <c r="J155" s="7" t="s">
        <v>195</v>
      </c>
      <c r="K155" s="7" t="s">
        <v>195</v>
      </c>
      <c r="L155" s="7" t="s">
        <v>195</v>
      </c>
      <c r="M155" s="7" t="s">
        <v>29</v>
      </c>
      <c r="N155" s="7" t="s">
        <v>29</v>
      </c>
      <c r="O155" s="7" t="s">
        <v>29</v>
      </c>
      <c r="P155" s="7" t="s">
        <v>29</v>
      </c>
      <c r="Q155" s="7" t="s">
        <v>29</v>
      </c>
      <c r="R155" s="7" t="s">
        <v>29</v>
      </c>
      <c r="S155" s="7" t="s">
        <v>29</v>
      </c>
    </row>
    <row r="156" spans="2:19">
      <c r="B156" s="7" t="s">
        <v>195</v>
      </c>
      <c r="D156" s="5" t="str">
        <f>LRTRIM(CONCATENATE(IF(SUMPRODUCT(-- ISNUMBER(SEARCH({"Auto Number"}, $B156))) &gt; 0, $B156, IF(SUMPRODUCT(-- ISNUMBER(SEARCH({"Lookup","Master-Detail"}, $B156))) &gt; 0,$B156 &amp; "(" &amp; $E156 &amp; ")",IF(SUMPRODUCT(-- ISNUMBER(SEARCH({"Formula","Roll-Up Summary"}, $B156))) &gt; 0,$B156 &amp; " (" &amp; $E156 &amp; ")",IF(SUMPRODUCT(-- ISNUMBER(SEARCH({"Content","Currency","Number","Percent","Text","URL"}, $B156))) &gt; 0,$B156 &amp; "(" &amp; $C156 &amp; ")",$B156)))), "  ", TRIM(IF($S156 = "YES", "(External ID)", "") &amp; " " &amp; IF(SUMPRODUCT(-- ISNUMBER(SEARCH({"Unique","Unique Case Insensitive"}, $R156))) &gt; 0, "(" &amp; $R156 &amp; ")", ""))))</f>
        <v>na</v>
      </c>
      <c r="E156" s="7"/>
      <c r="F156" s="7" t="s">
        <v>195</v>
      </c>
      <c r="G156" s="7" t="s">
        <v>195</v>
      </c>
      <c r="H156" s="7" t="s">
        <v>195</v>
      </c>
      <c r="I156" s="7" t="s">
        <v>195</v>
      </c>
      <c r="J156" s="7" t="s">
        <v>195</v>
      </c>
      <c r="K156" s="7" t="s">
        <v>195</v>
      </c>
      <c r="L156" s="7" t="s">
        <v>195</v>
      </c>
      <c r="M156" s="7" t="s">
        <v>29</v>
      </c>
      <c r="N156" s="7" t="s">
        <v>29</v>
      </c>
      <c r="O156" s="7" t="s">
        <v>29</v>
      </c>
      <c r="P156" s="7" t="s">
        <v>29</v>
      </c>
      <c r="Q156" s="7" t="s">
        <v>29</v>
      </c>
      <c r="R156" s="7" t="s">
        <v>29</v>
      </c>
      <c r="S156" s="7" t="s">
        <v>29</v>
      </c>
    </row>
    <row r="157" spans="2:19">
      <c r="B157" s="7" t="s">
        <v>195</v>
      </c>
      <c r="D157" s="5" t="str">
        <f>LRTRIM(CONCATENATE(IF(SUMPRODUCT(-- ISNUMBER(SEARCH({"Auto Number"}, $B157))) &gt; 0, $B157, IF(SUMPRODUCT(-- ISNUMBER(SEARCH({"Lookup","Master-Detail"}, $B157))) &gt; 0,$B157 &amp; "(" &amp; $E157 &amp; ")",IF(SUMPRODUCT(-- ISNUMBER(SEARCH({"Formula","Roll-Up Summary"}, $B157))) &gt; 0,$B157 &amp; " (" &amp; $E157 &amp; ")",IF(SUMPRODUCT(-- ISNUMBER(SEARCH({"Content","Currency","Number","Percent","Text","URL"}, $B157))) &gt; 0,$B157 &amp; "(" &amp; $C157 &amp; ")",$B157)))), "  ", TRIM(IF($S157 = "YES", "(External ID)", "") &amp; " " &amp; IF(SUMPRODUCT(-- ISNUMBER(SEARCH({"Unique","Unique Case Insensitive"}, $R157))) &gt; 0, "(" &amp; $R157 &amp; ")", ""))))</f>
        <v>na</v>
      </c>
      <c r="E157" s="7"/>
      <c r="F157" s="7" t="s">
        <v>195</v>
      </c>
      <c r="G157" s="7" t="s">
        <v>195</v>
      </c>
      <c r="H157" s="7" t="s">
        <v>195</v>
      </c>
      <c r="I157" s="7" t="s">
        <v>195</v>
      </c>
      <c r="J157" s="7" t="s">
        <v>195</v>
      </c>
      <c r="K157" s="7" t="s">
        <v>195</v>
      </c>
      <c r="L157" s="7" t="s">
        <v>195</v>
      </c>
      <c r="M157" s="7" t="s">
        <v>29</v>
      </c>
      <c r="N157" s="7" t="s">
        <v>29</v>
      </c>
      <c r="O157" s="7" t="s">
        <v>29</v>
      </c>
      <c r="P157" s="7" t="s">
        <v>29</v>
      </c>
      <c r="Q157" s="7" t="s">
        <v>29</v>
      </c>
      <c r="R157" s="7" t="s">
        <v>29</v>
      </c>
      <c r="S157" s="7" t="s">
        <v>29</v>
      </c>
    </row>
    <row r="158" spans="2:19">
      <c r="B158" s="7" t="s">
        <v>195</v>
      </c>
      <c r="D158" s="5" t="str">
        <f>LRTRIM(CONCATENATE(IF(SUMPRODUCT(-- ISNUMBER(SEARCH({"Auto Number"}, $B158))) &gt; 0, $B158, IF(SUMPRODUCT(-- ISNUMBER(SEARCH({"Lookup","Master-Detail"}, $B158))) &gt; 0,$B158 &amp; "(" &amp; $E158 &amp; ")",IF(SUMPRODUCT(-- ISNUMBER(SEARCH({"Formula","Roll-Up Summary"}, $B158))) &gt; 0,$B158 &amp; " (" &amp; $E158 &amp; ")",IF(SUMPRODUCT(-- ISNUMBER(SEARCH({"Content","Currency","Number","Percent","Text","URL"}, $B158))) &gt; 0,$B158 &amp; "(" &amp; $C158 &amp; ")",$B158)))), "  ", TRIM(IF($S158 = "YES", "(External ID)", "") &amp; " " &amp; IF(SUMPRODUCT(-- ISNUMBER(SEARCH({"Unique","Unique Case Insensitive"}, $R158))) &gt; 0, "(" &amp; $R158 &amp; ")", ""))))</f>
        <v>na</v>
      </c>
      <c r="E158" s="7"/>
      <c r="F158" s="7" t="s">
        <v>195</v>
      </c>
      <c r="G158" s="7" t="s">
        <v>195</v>
      </c>
      <c r="H158" s="7" t="s">
        <v>195</v>
      </c>
      <c r="I158" s="7" t="s">
        <v>195</v>
      </c>
      <c r="J158" s="7" t="s">
        <v>195</v>
      </c>
      <c r="K158" s="7" t="s">
        <v>195</v>
      </c>
      <c r="L158" s="7" t="s">
        <v>195</v>
      </c>
      <c r="M158" s="7" t="s">
        <v>29</v>
      </c>
      <c r="N158" s="7" t="s">
        <v>29</v>
      </c>
      <c r="O158" s="7" t="s">
        <v>29</v>
      </c>
      <c r="P158" s="7" t="s">
        <v>29</v>
      </c>
      <c r="Q158" s="7" t="s">
        <v>29</v>
      </c>
      <c r="R158" s="7" t="s">
        <v>29</v>
      </c>
      <c r="S158" s="7" t="s">
        <v>29</v>
      </c>
    </row>
    <row r="159" spans="2:19">
      <c r="B159" s="7" t="s">
        <v>195</v>
      </c>
      <c r="D159" s="5" t="str">
        <f>LRTRIM(CONCATENATE(IF(SUMPRODUCT(-- ISNUMBER(SEARCH({"Auto Number"}, $B159))) &gt; 0, $B159, IF(SUMPRODUCT(-- ISNUMBER(SEARCH({"Lookup","Master-Detail"}, $B159))) &gt; 0,$B159 &amp; "(" &amp; $E159 &amp; ")",IF(SUMPRODUCT(-- ISNUMBER(SEARCH({"Formula","Roll-Up Summary"}, $B159))) &gt; 0,$B159 &amp; " (" &amp; $E159 &amp; ")",IF(SUMPRODUCT(-- ISNUMBER(SEARCH({"Content","Currency","Number","Percent","Text","URL"}, $B159))) &gt; 0,$B159 &amp; "(" &amp; $C159 &amp; ")",$B159)))), "  ", TRIM(IF($S159 = "YES", "(External ID)", "") &amp; " " &amp; IF(SUMPRODUCT(-- ISNUMBER(SEARCH({"Unique","Unique Case Insensitive"}, $R159))) &gt; 0, "(" &amp; $R159 &amp; ")", ""))))</f>
        <v>na</v>
      </c>
      <c r="E159" s="7"/>
      <c r="F159" s="7" t="s">
        <v>195</v>
      </c>
      <c r="G159" s="7" t="s">
        <v>195</v>
      </c>
      <c r="H159" s="7" t="s">
        <v>195</v>
      </c>
      <c r="I159" s="7" t="s">
        <v>195</v>
      </c>
      <c r="J159" s="7" t="s">
        <v>195</v>
      </c>
      <c r="K159" s="7" t="s">
        <v>195</v>
      </c>
      <c r="L159" s="7" t="s">
        <v>195</v>
      </c>
      <c r="M159" s="7" t="s">
        <v>29</v>
      </c>
      <c r="N159" s="7" t="s">
        <v>29</v>
      </c>
      <c r="O159" s="7" t="s">
        <v>29</v>
      </c>
      <c r="P159" s="7" t="s">
        <v>29</v>
      </c>
      <c r="Q159" s="7" t="s">
        <v>29</v>
      </c>
      <c r="R159" s="7" t="s">
        <v>29</v>
      </c>
      <c r="S159" s="7" t="s">
        <v>29</v>
      </c>
    </row>
    <row r="160" spans="2:19">
      <c r="B160" s="7" t="s">
        <v>195</v>
      </c>
      <c r="D160" s="5" t="str">
        <f>LRTRIM(CONCATENATE(IF(SUMPRODUCT(-- ISNUMBER(SEARCH({"Auto Number"}, $B160))) &gt; 0, $B160, IF(SUMPRODUCT(-- ISNUMBER(SEARCH({"Lookup","Master-Detail"}, $B160))) &gt; 0,$B160 &amp; "(" &amp; $E160 &amp; ")",IF(SUMPRODUCT(-- ISNUMBER(SEARCH({"Formula","Roll-Up Summary"}, $B160))) &gt; 0,$B160 &amp; " (" &amp; $E160 &amp; ")",IF(SUMPRODUCT(-- ISNUMBER(SEARCH({"Content","Currency","Number","Percent","Text","URL"}, $B160))) &gt; 0,$B160 &amp; "(" &amp; $C160 &amp; ")",$B160)))), "  ", TRIM(IF($S160 = "YES", "(External ID)", "") &amp; " " &amp; IF(SUMPRODUCT(-- ISNUMBER(SEARCH({"Unique","Unique Case Insensitive"}, $R160))) &gt; 0, "(" &amp; $R160 &amp; ")", ""))))</f>
        <v>na</v>
      </c>
      <c r="E160" s="7"/>
      <c r="F160" s="7" t="s">
        <v>195</v>
      </c>
      <c r="G160" s="7" t="s">
        <v>195</v>
      </c>
      <c r="H160" s="7" t="s">
        <v>195</v>
      </c>
      <c r="I160" s="7" t="s">
        <v>195</v>
      </c>
      <c r="J160" s="7" t="s">
        <v>195</v>
      </c>
      <c r="K160" s="7" t="s">
        <v>195</v>
      </c>
      <c r="L160" s="7" t="s">
        <v>195</v>
      </c>
      <c r="M160" s="7" t="s">
        <v>29</v>
      </c>
      <c r="N160" s="7" t="s">
        <v>29</v>
      </c>
      <c r="O160" s="7" t="s">
        <v>29</v>
      </c>
      <c r="P160" s="7" t="s">
        <v>29</v>
      </c>
      <c r="Q160" s="7" t="s">
        <v>29</v>
      </c>
      <c r="R160" s="7" t="s">
        <v>29</v>
      </c>
      <c r="S160" s="7" t="s">
        <v>29</v>
      </c>
    </row>
    <row r="161" spans="2:19">
      <c r="B161" s="7" t="s">
        <v>195</v>
      </c>
      <c r="D161" s="5" t="str">
        <f>LRTRIM(CONCATENATE(IF(SUMPRODUCT(-- ISNUMBER(SEARCH({"Auto Number"}, $B161))) &gt; 0, $B161, IF(SUMPRODUCT(-- ISNUMBER(SEARCH({"Lookup","Master-Detail"}, $B161))) &gt; 0,$B161 &amp; "(" &amp; $E161 &amp; ")",IF(SUMPRODUCT(-- ISNUMBER(SEARCH({"Formula","Roll-Up Summary"}, $B161))) &gt; 0,$B161 &amp; " (" &amp; $E161 &amp; ")",IF(SUMPRODUCT(-- ISNUMBER(SEARCH({"Content","Currency","Number","Percent","Text","URL"}, $B161))) &gt; 0,$B161 &amp; "(" &amp; $C161 &amp; ")",$B161)))), "  ", TRIM(IF($S161 = "YES", "(External ID)", "") &amp; " " &amp; IF(SUMPRODUCT(-- ISNUMBER(SEARCH({"Unique","Unique Case Insensitive"}, $R161))) &gt; 0, "(" &amp; $R161 &amp; ")", ""))))</f>
        <v>na</v>
      </c>
      <c r="E161" s="7"/>
      <c r="F161" s="7" t="s">
        <v>195</v>
      </c>
      <c r="G161" s="7" t="s">
        <v>195</v>
      </c>
      <c r="H161" s="7" t="s">
        <v>195</v>
      </c>
      <c r="I161" s="7" t="s">
        <v>195</v>
      </c>
      <c r="J161" s="7" t="s">
        <v>195</v>
      </c>
      <c r="K161" s="7" t="s">
        <v>195</v>
      </c>
      <c r="L161" s="7" t="s">
        <v>195</v>
      </c>
      <c r="M161" s="7" t="s">
        <v>29</v>
      </c>
      <c r="N161" s="7" t="s">
        <v>29</v>
      </c>
      <c r="O161" s="7" t="s">
        <v>29</v>
      </c>
      <c r="P161" s="7" t="s">
        <v>29</v>
      </c>
      <c r="Q161" s="7" t="s">
        <v>29</v>
      </c>
      <c r="R161" s="7" t="s">
        <v>29</v>
      </c>
      <c r="S161" s="7" t="s">
        <v>29</v>
      </c>
    </row>
    <row r="162" spans="2:19">
      <c r="B162" s="7" t="s">
        <v>195</v>
      </c>
      <c r="D162" s="5" t="str">
        <f>LRTRIM(CONCATENATE(IF(SUMPRODUCT(-- ISNUMBER(SEARCH({"Auto Number"}, $B162))) &gt; 0, $B162, IF(SUMPRODUCT(-- ISNUMBER(SEARCH({"Lookup","Master-Detail"}, $B162))) &gt; 0,$B162 &amp; "(" &amp; $E162 &amp; ")",IF(SUMPRODUCT(-- ISNUMBER(SEARCH({"Formula","Roll-Up Summary"}, $B162))) &gt; 0,$B162 &amp; " (" &amp; $E162 &amp; ")",IF(SUMPRODUCT(-- ISNUMBER(SEARCH({"Content","Currency","Number","Percent","Text","URL"}, $B162))) &gt; 0,$B162 &amp; "(" &amp; $C162 &amp; ")",$B162)))), "  ", TRIM(IF($S162 = "YES", "(External ID)", "") &amp; " " &amp; IF(SUMPRODUCT(-- ISNUMBER(SEARCH({"Unique","Unique Case Insensitive"}, $R162))) &gt; 0, "(" &amp; $R162 &amp; ")", ""))))</f>
        <v>na</v>
      </c>
      <c r="E162" s="7"/>
      <c r="F162" s="7" t="s">
        <v>195</v>
      </c>
      <c r="G162" s="7" t="s">
        <v>195</v>
      </c>
      <c r="H162" s="7" t="s">
        <v>195</v>
      </c>
      <c r="I162" s="7" t="s">
        <v>195</v>
      </c>
      <c r="J162" s="7" t="s">
        <v>195</v>
      </c>
      <c r="K162" s="7" t="s">
        <v>195</v>
      </c>
      <c r="L162" s="7" t="s">
        <v>195</v>
      </c>
      <c r="M162" s="7" t="s">
        <v>29</v>
      </c>
      <c r="N162" s="7" t="s">
        <v>29</v>
      </c>
      <c r="O162" s="7" t="s">
        <v>29</v>
      </c>
      <c r="P162" s="7" t="s">
        <v>29</v>
      </c>
      <c r="Q162" s="7" t="s">
        <v>29</v>
      </c>
      <c r="R162" s="7" t="s">
        <v>29</v>
      </c>
      <c r="S162" s="7" t="s">
        <v>29</v>
      </c>
    </row>
    <row r="163" spans="2:19">
      <c r="B163" s="7" t="s">
        <v>195</v>
      </c>
      <c r="D163" s="5" t="str">
        <f>LRTRIM(CONCATENATE(IF(SUMPRODUCT(-- ISNUMBER(SEARCH({"Auto Number"}, $B163))) &gt; 0, $B163, IF(SUMPRODUCT(-- ISNUMBER(SEARCH({"Lookup","Master-Detail"}, $B163))) &gt; 0,$B163 &amp; "(" &amp; $E163 &amp; ")",IF(SUMPRODUCT(-- ISNUMBER(SEARCH({"Formula","Roll-Up Summary"}, $B163))) &gt; 0,$B163 &amp; " (" &amp; $E163 &amp; ")",IF(SUMPRODUCT(-- ISNUMBER(SEARCH({"Content","Currency","Number","Percent","Text","URL"}, $B163))) &gt; 0,$B163 &amp; "(" &amp; $C163 &amp; ")",$B163)))), "  ", TRIM(IF($S163 = "YES", "(External ID)", "") &amp; " " &amp; IF(SUMPRODUCT(-- ISNUMBER(SEARCH({"Unique","Unique Case Insensitive"}, $R163))) &gt; 0, "(" &amp; $R163 &amp; ")", ""))))</f>
        <v>na</v>
      </c>
      <c r="E163" s="7"/>
      <c r="F163" s="7" t="s">
        <v>195</v>
      </c>
      <c r="G163" s="7" t="s">
        <v>195</v>
      </c>
      <c r="H163" s="7" t="s">
        <v>195</v>
      </c>
      <c r="I163" s="7" t="s">
        <v>195</v>
      </c>
      <c r="J163" s="7" t="s">
        <v>195</v>
      </c>
      <c r="K163" s="7" t="s">
        <v>195</v>
      </c>
      <c r="L163" s="7" t="s">
        <v>195</v>
      </c>
      <c r="M163" s="7" t="s">
        <v>29</v>
      </c>
      <c r="N163" s="7" t="s">
        <v>29</v>
      </c>
      <c r="O163" s="7" t="s">
        <v>29</v>
      </c>
      <c r="P163" s="7" t="s">
        <v>29</v>
      </c>
      <c r="Q163" s="7" t="s">
        <v>29</v>
      </c>
      <c r="R163" s="7" t="s">
        <v>29</v>
      </c>
      <c r="S163" s="7" t="s">
        <v>29</v>
      </c>
    </row>
    <row r="164" spans="2:19">
      <c r="B164" s="7" t="s">
        <v>195</v>
      </c>
      <c r="D164" s="5" t="str">
        <f>LRTRIM(CONCATENATE(IF(SUMPRODUCT(-- ISNUMBER(SEARCH({"Auto Number"}, $B164))) &gt; 0, $B164, IF(SUMPRODUCT(-- ISNUMBER(SEARCH({"Lookup","Master-Detail"}, $B164))) &gt; 0,$B164 &amp; "(" &amp; $E164 &amp; ")",IF(SUMPRODUCT(-- ISNUMBER(SEARCH({"Formula","Roll-Up Summary"}, $B164))) &gt; 0,$B164 &amp; " (" &amp; $E164 &amp; ")",IF(SUMPRODUCT(-- ISNUMBER(SEARCH({"Content","Currency","Number","Percent","Text","URL"}, $B164))) &gt; 0,$B164 &amp; "(" &amp; $C164 &amp; ")",$B164)))), "  ", TRIM(IF($S164 = "YES", "(External ID)", "") &amp; " " &amp; IF(SUMPRODUCT(-- ISNUMBER(SEARCH({"Unique","Unique Case Insensitive"}, $R164))) &gt; 0, "(" &amp; $R164 &amp; ")", ""))))</f>
        <v>na</v>
      </c>
      <c r="E164" s="7"/>
      <c r="F164" s="7" t="s">
        <v>195</v>
      </c>
      <c r="G164" s="7" t="s">
        <v>195</v>
      </c>
      <c r="H164" s="7" t="s">
        <v>195</v>
      </c>
      <c r="I164" s="7" t="s">
        <v>195</v>
      </c>
      <c r="J164" s="7" t="s">
        <v>195</v>
      </c>
      <c r="K164" s="7" t="s">
        <v>195</v>
      </c>
      <c r="L164" s="7" t="s">
        <v>195</v>
      </c>
      <c r="M164" s="7" t="s">
        <v>29</v>
      </c>
      <c r="N164" s="7" t="s">
        <v>29</v>
      </c>
      <c r="O164" s="7" t="s">
        <v>29</v>
      </c>
      <c r="P164" s="7" t="s">
        <v>29</v>
      </c>
      <c r="Q164" s="7" t="s">
        <v>29</v>
      </c>
      <c r="R164" s="7" t="s">
        <v>29</v>
      </c>
      <c r="S164" s="7" t="s">
        <v>29</v>
      </c>
    </row>
    <row r="165" spans="2:19">
      <c r="B165" s="7" t="s">
        <v>195</v>
      </c>
      <c r="D165" s="5" t="str">
        <f>LRTRIM(CONCATENATE(IF(SUMPRODUCT(-- ISNUMBER(SEARCH({"Auto Number"}, $B165))) &gt; 0, $B165, IF(SUMPRODUCT(-- ISNUMBER(SEARCH({"Lookup","Master-Detail"}, $B165))) &gt; 0,$B165 &amp; "(" &amp; $E165 &amp; ")",IF(SUMPRODUCT(-- ISNUMBER(SEARCH({"Formula","Roll-Up Summary"}, $B165))) &gt; 0,$B165 &amp; " (" &amp; $E165 &amp; ")",IF(SUMPRODUCT(-- ISNUMBER(SEARCH({"Content","Currency","Number","Percent","Text","URL"}, $B165))) &gt; 0,$B165 &amp; "(" &amp; $C165 &amp; ")",$B165)))), "  ", TRIM(IF($S165 = "YES", "(External ID)", "") &amp; " " &amp; IF(SUMPRODUCT(-- ISNUMBER(SEARCH({"Unique","Unique Case Insensitive"}, $R165))) &gt; 0, "(" &amp; $R165 &amp; ")", ""))))</f>
        <v>na</v>
      </c>
      <c r="E165" s="7"/>
      <c r="F165" s="7" t="s">
        <v>195</v>
      </c>
      <c r="G165" s="7" t="s">
        <v>195</v>
      </c>
      <c r="H165" s="7" t="s">
        <v>195</v>
      </c>
      <c r="I165" s="7" t="s">
        <v>195</v>
      </c>
      <c r="J165" s="7" t="s">
        <v>195</v>
      </c>
      <c r="K165" s="7" t="s">
        <v>195</v>
      </c>
      <c r="L165" s="7" t="s">
        <v>195</v>
      </c>
      <c r="M165" s="7" t="s">
        <v>29</v>
      </c>
      <c r="N165" s="7" t="s">
        <v>29</v>
      </c>
      <c r="O165" s="7" t="s">
        <v>29</v>
      </c>
      <c r="P165" s="7" t="s">
        <v>29</v>
      </c>
      <c r="Q165" s="7" t="s">
        <v>29</v>
      </c>
      <c r="R165" s="7" t="s">
        <v>29</v>
      </c>
      <c r="S165" s="7" t="s">
        <v>29</v>
      </c>
    </row>
    <row r="166" spans="2:19">
      <c r="B166" s="7" t="s">
        <v>195</v>
      </c>
      <c r="D166" s="5" t="str">
        <f>LRTRIM(CONCATENATE(IF(SUMPRODUCT(-- ISNUMBER(SEARCH({"Auto Number"}, $B166))) &gt; 0, $B166, IF(SUMPRODUCT(-- ISNUMBER(SEARCH({"Lookup","Master-Detail"}, $B166))) &gt; 0,$B166 &amp; "(" &amp; $E166 &amp; ")",IF(SUMPRODUCT(-- ISNUMBER(SEARCH({"Formula","Roll-Up Summary"}, $B166))) &gt; 0,$B166 &amp; " (" &amp; $E166 &amp; ")",IF(SUMPRODUCT(-- ISNUMBER(SEARCH({"Content","Currency","Number","Percent","Text","URL"}, $B166))) &gt; 0,$B166 &amp; "(" &amp; $C166 &amp; ")",$B166)))), "  ", TRIM(IF($S166 = "YES", "(External ID)", "") &amp; " " &amp; IF(SUMPRODUCT(-- ISNUMBER(SEARCH({"Unique","Unique Case Insensitive"}, $R166))) &gt; 0, "(" &amp; $R166 &amp; ")", ""))))</f>
        <v>na</v>
      </c>
      <c r="E166" s="7"/>
      <c r="F166" s="7" t="s">
        <v>195</v>
      </c>
      <c r="G166" s="7" t="s">
        <v>195</v>
      </c>
      <c r="H166" s="7" t="s">
        <v>195</v>
      </c>
      <c r="I166" s="7" t="s">
        <v>195</v>
      </c>
      <c r="J166" s="7" t="s">
        <v>195</v>
      </c>
      <c r="K166" s="7" t="s">
        <v>195</v>
      </c>
      <c r="L166" s="7" t="s">
        <v>195</v>
      </c>
      <c r="M166" s="7" t="s">
        <v>29</v>
      </c>
      <c r="N166" s="7" t="s">
        <v>29</v>
      </c>
      <c r="O166" s="7" t="s">
        <v>29</v>
      </c>
      <c r="P166" s="7" t="s">
        <v>29</v>
      </c>
      <c r="Q166" s="7" t="s">
        <v>29</v>
      </c>
      <c r="R166" s="7" t="s">
        <v>29</v>
      </c>
      <c r="S166" s="7" t="s">
        <v>29</v>
      </c>
    </row>
    <row r="167" spans="2:19">
      <c r="B167" s="7" t="s">
        <v>195</v>
      </c>
      <c r="D167" s="5" t="str">
        <f>LRTRIM(CONCATENATE(IF(SUMPRODUCT(-- ISNUMBER(SEARCH({"Auto Number"}, $B167))) &gt; 0, $B167, IF(SUMPRODUCT(-- ISNUMBER(SEARCH({"Lookup","Master-Detail"}, $B167))) &gt; 0,$B167 &amp; "(" &amp; $E167 &amp; ")",IF(SUMPRODUCT(-- ISNUMBER(SEARCH({"Formula","Roll-Up Summary"}, $B167))) &gt; 0,$B167 &amp; " (" &amp; $E167 &amp; ")",IF(SUMPRODUCT(-- ISNUMBER(SEARCH({"Content","Currency","Number","Percent","Text","URL"}, $B167))) &gt; 0,$B167 &amp; "(" &amp; $C167 &amp; ")",$B167)))), "  ", TRIM(IF($S167 = "YES", "(External ID)", "") &amp; " " &amp; IF(SUMPRODUCT(-- ISNUMBER(SEARCH({"Unique","Unique Case Insensitive"}, $R167))) &gt; 0, "(" &amp; $R167 &amp; ")", ""))))</f>
        <v>na</v>
      </c>
      <c r="E167" s="7"/>
      <c r="F167" s="7" t="s">
        <v>195</v>
      </c>
      <c r="G167" s="7" t="s">
        <v>195</v>
      </c>
      <c r="H167" s="7" t="s">
        <v>195</v>
      </c>
      <c r="I167" s="7" t="s">
        <v>195</v>
      </c>
      <c r="J167" s="7" t="s">
        <v>195</v>
      </c>
      <c r="K167" s="7" t="s">
        <v>195</v>
      </c>
      <c r="L167" s="7" t="s">
        <v>195</v>
      </c>
      <c r="M167" s="7" t="s">
        <v>29</v>
      </c>
      <c r="N167" s="7" t="s">
        <v>29</v>
      </c>
      <c r="O167" s="7" t="s">
        <v>29</v>
      </c>
      <c r="P167" s="7" t="s">
        <v>29</v>
      </c>
      <c r="Q167" s="7" t="s">
        <v>29</v>
      </c>
      <c r="R167" s="7" t="s">
        <v>29</v>
      </c>
      <c r="S167" s="7" t="s">
        <v>29</v>
      </c>
    </row>
    <row r="168" spans="2:19">
      <c r="B168" s="7" t="s">
        <v>195</v>
      </c>
      <c r="D168" s="5" t="str">
        <f>LRTRIM(CONCATENATE(IF(SUMPRODUCT(-- ISNUMBER(SEARCH({"Auto Number"}, $B168))) &gt; 0, $B168, IF(SUMPRODUCT(-- ISNUMBER(SEARCH({"Lookup","Master-Detail"}, $B168))) &gt; 0,$B168 &amp; "(" &amp; $E168 &amp; ")",IF(SUMPRODUCT(-- ISNUMBER(SEARCH({"Formula","Roll-Up Summary"}, $B168))) &gt; 0,$B168 &amp; " (" &amp; $E168 &amp; ")",IF(SUMPRODUCT(-- ISNUMBER(SEARCH({"Content","Currency","Number","Percent","Text","URL"}, $B168))) &gt; 0,$B168 &amp; "(" &amp; $C168 &amp; ")",$B168)))), "  ", TRIM(IF($S168 = "YES", "(External ID)", "") &amp; " " &amp; IF(SUMPRODUCT(-- ISNUMBER(SEARCH({"Unique","Unique Case Insensitive"}, $R168))) &gt; 0, "(" &amp; $R168 &amp; ")", ""))))</f>
        <v>na</v>
      </c>
      <c r="E168" s="7"/>
      <c r="F168" s="7" t="s">
        <v>195</v>
      </c>
      <c r="G168" s="7" t="s">
        <v>195</v>
      </c>
      <c r="H168" s="7" t="s">
        <v>195</v>
      </c>
      <c r="I168" s="7" t="s">
        <v>195</v>
      </c>
      <c r="J168" s="7" t="s">
        <v>195</v>
      </c>
      <c r="K168" s="7" t="s">
        <v>195</v>
      </c>
      <c r="L168" s="7" t="s">
        <v>195</v>
      </c>
      <c r="M168" s="7" t="s">
        <v>29</v>
      </c>
      <c r="N168" s="7" t="s">
        <v>29</v>
      </c>
      <c r="O168" s="7" t="s">
        <v>29</v>
      </c>
      <c r="P168" s="7" t="s">
        <v>29</v>
      </c>
      <c r="Q168" s="7" t="s">
        <v>29</v>
      </c>
      <c r="R168" s="7" t="s">
        <v>29</v>
      </c>
      <c r="S168" s="7" t="s">
        <v>29</v>
      </c>
    </row>
    <row r="169" spans="2:19">
      <c r="B169" s="7" t="s">
        <v>195</v>
      </c>
      <c r="D169" s="5" t="str">
        <f>LRTRIM(CONCATENATE(IF(SUMPRODUCT(-- ISNUMBER(SEARCH({"Auto Number"}, $B169))) &gt; 0, $B169, IF(SUMPRODUCT(-- ISNUMBER(SEARCH({"Lookup","Master-Detail"}, $B169))) &gt; 0,$B169 &amp; "(" &amp; $E169 &amp; ")",IF(SUMPRODUCT(-- ISNUMBER(SEARCH({"Formula","Roll-Up Summary"}, $B169))) &gt; 0,$B169 &amp; " (" &amp; $E169 &amp; ")",IF(SUMPRODUCT(-- ISNUMBER(SEARCH({"Content","Currency","Number","Percent","Text","URL"}, $B169))) &gt; 0,$B169 &amp; "(" &amp; $C169 &amp; ")",$B169)))), "  ", TRIM(IF($S169 = "YES", "(External ID)", "") &amp; " " &amp; IF(SUMPRODUCT(-- ISNUMBER(SEARCH({"Unique","Unique Case Insensitive"}, $R169))) &gt; 0, "(" &amp; $R169 &amp; ")", ""))))</f>
        <v>na</v>
      </c>
      <c r="E169" s="7"/>
      <c r="F169" s="7" t="s">
        <v>195</v>
      </c>
      <c r="G169" s="7" t="s">
        <v>195</v>
      </c>
      <c r="H169" s="7" t="s">
        <v>195</v>
      </c>
      <c r="I169" s="7" t="s">
        <v>195</v>
      </c>
      <c r="J169" s="7" t="s">
        <v>195</v>
      </c>
      <c r="K169" s="7" t="s">
        <v>195</v>
      </c>
      <c r="L169" s="7" t="s">
        <v>195</v>
      </c>
      <c r="M169" s="7" t="s">
        <v>29</v>
      </c>
      <c r="N169" s="7" t="s">
        <v>29</v>
      </c>
      <c r="O169" s="7" t="s">
        <v>29</v>
      </c>
      <c r="P169" s="7" t="s">
        <v>29</v>
      </c>
      <c r="Q169" s="7" t="s">
        <v>29</v>
      </c>
      <c r="R169" s="7" t="s">
        <v>29</v>
      </c>
      <c r="S169" s="7" t="s">
        <v>29</v>
      </c>
    </row>
    <row r="170" spans="2:19">
      <c r="B170" s="7" t="s">
        <v>195</v>
      </c>
      <c r="D170" s="5" t="str">
        <f>LRTRIM(CONCATENATE(IF(SUMPRODUCT(-- ISNUMBER(SEARCH({"Auto Number"}, $B170))) &gt; 0, $B170, IF(SUMPRODUCT(-- ISNUMBER(SEARCH({"Lookup","Master-Detail"}, $B170))) &gt; 0,$B170 &amp; "(" &amp; $E170 &amp; ")",IF(SUMPRODUCT(-- ISNUMBER(SEARCH({"Formula","Roll-Up Summary"}, $B170))) &gt; 0,$B170 &amp; " (" &amp; $E170 &amp; ")",IF(SUMPRODUCT(-- ISNUMBER(SEARCH({"Content","Currency","Number","Percent","Text","URL"}, $B170))) &gt; 0,$B170 &amp; "(" &amp; $C170 &amp; ")",$B170)))), "  ", TRIM(IF($S170 = "YES", "(External ID)", "") &amp; " " &amp; IF(SUMPRODUCT(-- ISNUMBER(SEARCH({"Unique","Unique Case Insensitive"}, $R170))) &gt; 0, "(" &amp; $R170 &amp; ")", ""))))</f>
        <v>na</v>
      </c>
      <c r="E170" s="7"/>
      <c r="F170" s="7" t="s">
        <v>195</v>
      </c>
      <c r="G170" s="7" t="s">
        <v>195</v>
      </c>
      <c r="H170" s="7" t="s">
        <v>195</v>
      </c>
      <c r="I170" s="7" t="s">
        <v>195</v>
      </c>
      <c r="J170" s="7" t="s">
        <v>195</v>
      </c>
      <c r="K170" s="7" t="s">
        <v>195</v>
      </c>
      <c r="L170" s="7" t="s">
        <v>195</v>
      </c>
      <c r="M170" s="7" t="s">
        <v>29</v>
      </c>
      <c r="N170" s="7" t="s">
        <v>29</v>
      </c>
      <c r="O170" s="7" t="s">
        <v>29</v>
      </c>
      <c r="P170" s="7" t="s">
        <v>29</v>
      </c>
      <c r="Q170" s="7" t="s">
        <v>29</v>
      </c>
      <c r="R170" s="7" t="s">
        <v>29</v>
      </c>
      <c r="S170" s="7" t="s">
        <v>29</v>
      </c>
    </row>
    <row r="171" spans="2:19">
      <c r="B171" s="7" t="s">
        <v>195</v>
      </c>
      <c r="D171" s="5" t="str">
        <f>LRTRIM(CONCATENATE(IF(SUMPRODUCT(-- ISNUMBER(SEARCH({"Auto Number"}, $B171))) &gt; 0, $B171, IF(SUMPRODUCT(-- ISNUMBER(SEARCH({"Lookup","Master-Detail"}, $B171))) &gt; 0,$B171 &amp; "(" &amp; $E171 &amp; ")",IF(SUMPRODUCT(-- ISNUMBER(SEARCH({"Formula","Roll-Up Summary"}, $B171))) &gt; 0,$B171 &amp; " (" &amp; $E171 &amp; ")",IF(SUMPRODUCT(-- ISNUMBER(SEARCH({"Content","Currency","Number","Percent","Text","URL"}, $B171))) &gt; 0,$B171 &amp; "(" &amp; $C171 &amp; ")",$B171)))), "  ", TRIM(IF($S171 = "YES", "(External ID)", "") &amp; " " &amp; IF(SUMPRODUCT(-- ISNUMBER(SEARCH({"Unique","Unique Case Insensitive"}, $R171))) &gt; 0, "(" &amp; $R171 &amp; ")", ""))))</f>
        <v>na</v>
      </c>
      <c r="E171" s="7"/>
      <c r="F171" s="7" t="s">
        <v>195</v>
      </c>
      <c r="G171" s="7" t="s">
        <v>195</v>
      </c>
      <c r="H171" s="7" t="s">
        <v>195</v>
      </c>
      <c r="I171" s="7" t="s">
        <v>195</v>
      </c>
      <c r="J171" s="7" t="s">
        <v>195</v>
      </c>
      <c r="K171" s="7" t="s">
        <v>195</v>
      </c>
      <c r="L171" s="7" t="s">
        <v>195</v>
      </c>
      <c r="M171" s="7" t="s">
        <v>29</v>
      </c>
      <c r="N171" s="7" t="s">
        <v>29</v>
      </c>
      <c r="O171" s="7" t="s">
        <v>29</v>
      </c>
      <c r="P171" s="7" t="s">
        <v>29</v>
      </c>
      <c r="Q171" s="7" t="s">
        <v>29</v>
      </c>
      <c r="R171" s="7" t="s">
        <v>29</v>
      </c>
      <c r="S171" s="7" t="s">
        <v>29</v>
      </c>
    </row>
    <row r="172" spans="2:19">
      <c r="B172" s="7" t="s">
        <v>195</v>
      </c>
      <c r="D172" s="5" t="str">
        <f>LRTRIM(CONCATENATE(IF(SUMPRODUCT(-- ISNUMBER(SEARCH({"Auto Number"}, $B172))) &gt; 0, $B172, IF(SUMPRODUCT(-- ISNUMBER(SEARCH({"Lookup","Master-Detail"}, $B172))) &gt; 0,$B172 &amp; "(" &amp; $E172 &amp; ")",IF(SUMPRODUCT(-- ISNUMBER(SEARCH({"Formula","Roll-Up Summary"}, $B172))) &gt; 0,$B172 &amp; " (" &amp; $E172 &amp; ")",IF(SUMPRODUCT(-- ISNUMBER(SEARCH({"Content","Currency","Number","Percent","Text","URL"}, $B172))) &gt; 0,$B172 &amp; "(" &amp; $C172 &amp; ")",$B172)))), "  ", TRIM(IF($S172 = "YES", "(External ID)", "") &amp; " " &amp; IF(SUMPRODUCT(-- ISNUMBER(SEARCH({"Unique","Unique Case Insensitive"}, $R172))) &gt; 0, "(" &amp; $R172 &amp; ")", ""))))</f>
        <v>na</v>
      </c>
      <c r="E172" s="7"/>
      <c r="F172" s="7" t="s">
        <v>195</v>
      </c>
      <c r="G172" s="7" t="s">
        <v>195</v>
      </c>
      <c r="H172" s="7" t="s">
        <v>195</v>
      </c>
      <c r="I172" s="7" t="s">
        <v>195</v>
      </c>
      <c r="J172" s="7" t="s">
        <v>195</v>
      </c>
      <c r="K172" s="7" t="s">
        <v>195</v>
      </c>
      <c r="L172" s="7" t="s">
        <v>195</v>
      </c>
      <c r="M172" s="7" t="s">
        <v>29</v>
      </c>
      <c r="N172" s="7" t="s">
        <v>29</v>
      </c>
      <c r="O172" s="7" t="s">
        <v>29</v>
      </c>
      <c r="P172" s="7" t="s">
        <v>29</v>
      </c>
      <c r="Q172" s="7" t="s">
        <v>29</v>
      </c>
      <c r="R172" s="7" t="s">
        <v>29</v>
      </c>
      <c r="S172" s="7" t="s">
        <v>29</v>
      </c>
    </row>
    <row r="173" spans="2:19">
      <c r="B173" s="7" t="s">
        <v>195</v>
      </c>
      <c r="D173" s="5" t="str">
        <f>LRTRIM(CONCATENATE(IF(SUMPRODUCT(-- ISNUMBER(SEARCH({"Auto Number"}, $B173))) &gt; 0, $B173, IF(SUMPRODUCT(-- ISNUMBER(SEARCH({"Lookup","Master-Detail"}, $B173))) &gt; 0,$B173 &amp; "(" &amp; $E173 &amp; ")",IF(SUMPRODUCT(-- ISNUMBER(SEARCH({"Formula","Roll-Up Summary"}, $B173))) &gt; 0,$B173 &amp; " (" &amp; $E173 &amp; ")",IF(SUMPRODUCT(-- ISNUMBER(SEARCH({"Content","Currency","Number","Percent","Text","URL"}, $B173))) &gt; 0,$B173 &amp; "(" &amp; $C173 &amp; ")",$B173)))), "  ", TRIM(IF($S173 = "YES", "(External ID)", "") &amp; " " &amp; IF(SUMPRODUCT(-- ISNUMBER(SEARCH({"Unique","Unique Case Insensitive"}, $R173))) &gt; 0, "(" &amp; $R173 &amp; ")", ""))))</f>
        <v>na</v>
      </c>
      <c r="E173" s="7"/>
      <c r="F173" s="7" t="s">
        <v>195</v>
      </c>
      <c r="G173" s="7" t="s">
        <v>195</v>
      </c>
      <c r="H173" s="7" t="s">
        <v>195</v>
      </c>
      <c r="I173" s="7" t="s">
        <v>195</v>
      </c>
      <c r="J173" s="7" t="s">
        <v>195</v>
      </c>
      <c r="K173" s="7" t="s">
        <v>195</v>
      </c>
      <c r="L173" s="7" t="s">
        <v>195</v>
      </c>
      <c r="M173" s="7" t="s">
        <v>29</v>
      </c>
      <c r="N173" s="7" t="s">
        <v>29</v>
      </c>
      <c r="O173" s="7" t="s">
        <v>29</v>
      </c>
      <c r="P173" s="7" t="s">
        <v>29</v>
      </c>
      <c r="Q173" s="7" t="s">
        <v>29</v>
      </c>
      <c r="R173" s="7" t="s">
        <v>29</v>
      </c>
      <c r="S173" s="7" t="s">
        <v>29</v>
      </c>
    </row>
    <row r="174" spans="2:19">
      <c r="B174" s="7" t="s">
        <v>195</v>
      </c>
      <c r="D174" s="5" t="str">
        <f>LRTRIM(CONCATENATE(IF(SUMPRODUCT(-- ISNUMBER(SEARCH({"Auto Number"}, $B174))) &gt; 0, $B174, IF(SUMPRODUCT(-- ISNUMBER(SEARCH({"Lookup","Master-Detail"}, $B174))) &gt; 0,$B174 &amp; "(" &amp; $E174 &amp; ")",IF(SUMPRODUCT(-- ISNUMBER(SEARCH({"Formula","Roll-Up Summary"}, $B174))) &gt; 0,$B174 &amp; " (" &amp; $E174 &amp; ")",IF(SUMPRODUCT(-- ISNUMBER(SEARCH({"Content","Currency","Number","Percent","Text","URL"}, $B174))) &gt; 0,$B174 &amp; "(" &amp; $C174 &amp; ")",$B174)))), "  ", TRIM(IF($S174 = "YES", "(External ID)", "") &amp; " " &amp; IF(SUMPRODUCT(-- ISNUMBER(SEARCH({"Unique","Unique Case Insensitive"}, $R174))) &gt; 0, "(" &amp; $R174 &amp; ")", ""))))</f>
        <v>na</v>
      </c>
      <c r="E174" s="7"/>
      <c r="F174" s="7" t="s">
        <v>195</v>
      </c>
      <c r="G174" s="7" t="s">
        <v>195</v>
      </c>
      <c r="H174" s="7" t="s">
        <v>195</v>
      </c>
      <c r="I174" s="7" t="s">
        <v>195</v>
      </c>
      <c r="J174" s="7" t="s">
        <v>195</v>
      </c>
      <c r="K174" s="7" t="s">
        <v>195</v>
      </c>
      <c r="L174" s="7" t="s">
        <v>195</v>
      </c>
      <c r="M174" s="7" t="s">
        <v>29</v>
      </c>
      <c r="N174" s="7" t="s">
        <v>29</v>
      </c>
      <c r="O174" s="7" t="s">
        <v>29</v>
      </c>
      <c r="P174" s="7" t="s">
        <v>29</v>
      </c>
      <c r="Q174" s="7" t="s">
        <v>29</v>
      </c>
      <c r="R174" s="7" t="s">
        <v>29</v>
      </c>
      <c r="S174" s="7" t="s">
        <v>29</v>
      </c>
    </row>
    <row r="175" spans="2:19">
      <c r="B175" s="7" t="s">
        <v>195</v>
      </c>
      <c r="D175" s="5" t="str">
        <f>LRTRIM(CONCATENATE(IF(SUMPRODUCT(-- ISNUMBER(SEARCH({"Auto Number"}, $B175))) &gt; 0, $B175, IF(SUMPRODUCT(-- ISNUMBER(SEARCH({"Lookup","Master-Detail"}, $B175))) &gt; 0,$B175 &amp; "(" &amp; $E175 &amp; ")",IF(SUMPRODUCT(-- ISNUMBER(SEARCH({"Formula","Roll-Up Summary"}, $B175))) &gt; 0,$B175 &amp; " (" &amp; $E175 &amp; ")",IF(SUMPRODUCT(-- ISNUMBER(SEARCH({"Content","Currency","Number","Percent","Text","URL"}, $B175))) &gt; 0,$B175 &amp; "(" &amp; $C175 &amp; ")",$B175)))), "  ", TRIM(IF($S175 = "YES", "(External ID)", "") &amp; " " &amp; IF(SUMPRODUCT(-- ISNUMBER(SEARCH({"Unique","Unique Case Insensitive"}, $R175))) &gt; 0, "(" &amp; $R175 &amp; ")", ""))))</f>
        <v>na</v>
      </c>
      <c r="E175" s="7"/>
      <c r="F175" s="7" t="s">
        <v>195</v>
      </c>
      <c r="G175" s="7" t="s">
        <v>195</v>
      </c>
      <c r="H175" s="7" t="s">
        <v>195</v>
      </c>
      <c r="I175" s="7" t="s">
        <v>195</v>
      </c>
      <c r="J175" s="7" t="s">
        <v>195</v>
      </c>
      <c r="K175" s="7" t="s">
        <v>195</v>
      </c>
      <c r="L175" s="7" t="s">
        <v>195</v>
      </c>
      <c r="M175" s="7" t="s">
        <v>29</v>
      </c>
      <c r="N175" s="7" t="s">
        <v>29</v>
      </c>
      <c r="O175" s="7" t="s">
        <v>29</v>
      </c>
      <c r="P175" s="7" t="s">
        <v>29</v>
      </c>
      <c r="Q175" s="7" t="s">
        <v>29</v>
      </c>
      <c r="R175" s="7" t="s">
        <v>29</v>
      </c>
      <c r="S175" s="7" t="s">
        <v>29</v>
      </c>
    </row>
    <row r="176" spans="2:19">
      <c r="B176" s="7" t="s">
        <v>195</v>
      </c>
      <c r="D176" s="5" t="str">
        <f>LRTRIM(CONCATENATE(IF(SUMPRODUCT(-- ISNUMBER(SEARCH({"Auto Number"}, $B176))) &gt; 0, $B176, IF(SUMPRODUCT(-- ISNUMBER(SEARCH({"Lookup","Master-Detail"}, $B176))) &gt; 0,$B176 &amp; "(" &amp; $E176 &amp; ")",IF(SUMPRODUCT(-- ISNUMBER(SEARCH({"Formula","Roll-Up Summary"}, $B176))) &gt; 0,$B176 &amp; " (" &amp; $E176 &amp; ")",IF(SUMPRODUCT(-- ISNUMBER(SEARCH({"Content","Currency","Number","Percent","Text","URL"}, $B176))) &gt; 0,$B176 &amp; "(" &amp; $C176 &amp; ")",$B176)))), "  ", TRIM(IF($S176 = "YES", "(External ID)", "") &amp; " " &amp; IF(SUMPRODUCT(-- ISNUMBER(SEARCH({"Unique","Unique Case Insensitive"}, $R176))) &gt; 0, "(" &amp; $R176 &amp; ")", ""))))</f>
        <v>na</v>
      </c>
      <c r="E176" s="7"/>
      <c r="F176" s="7" t="s">
        <v>195</v>
      </c>
      <c r="G176" s="7" t="s">
        <v>195</v>
      </c>
      <c r="H176" s="7" t="s">
        <v>195</v>
      </c>
      <c r="I176" s="7" t="s">
        <v>195</v>
      </c>
      <c r="J176" s="7" t="s">
        <v>195</v>
      </c>
      <c r="K176" s="7" t="s">
        <v>195</v>
      </c>
      <c r="L176" s="7" t="s">
        <v>195</v>
      </c>
      <c r="M176" s="7" t="s">
        <v>29</v>
      </c>
      <c r="N176" s="7" t="s">
        <v>29</v>
      </c>
      <c r="O176" s="7" t="s">
        <v>29</v>
      </c>
      <c r="P176" s="7" t="s">
        <v>29</v>
      </c>
      <c r="Q176" s="7" t="s">
        <v>29</v>
      </c>
      <c r="R176" s="7" t="s">
        <v>29</v>
      </c>
      <c r="S176" s="7" t="s">
        <v>29</v>
      </c>
    </row>
    <row r="177" spans="2:19">
      <c r="B177" s="7" t="s">
        <v>195</v>
      </c>
      <c r="D177" s="5" t="str">
        <f>LRTRIM(CONCATENATE(IF(SUMPRODUCT(-- ISNUMBER(SEARCH({"Auto Number"}, $B177))) &gt; 0, $B177, IF(SUMPRODUCT(-- ISNUMBER(SEARCH({"Lookup","Master-Detail"}, $B177))) &gt; 0,$B177 &amp; "(" &amp; $E177 &amp; ")",IF(SUMPRODUCT(-- ISNUMBER(SEARCH({"Formula","Roll-Up Summary"}, $B177))) &gt; 0,$B177 &amp; " (" &amp; $E177 &amp; ")",IF(SUMPRODUCT(-- ISNUMBER(SEARCH({"Content","Currency","Number","Percent","Text","URL"}, $B177))) &gt; 0,$B177 &amp; "(" &amp; $C177 &amp; ")",$B177)))), "  ", TRIM(IF($S177 = "YES", "(External ID)", "") &amp; " " &amp; IF(SUMPRODUCT(-- ISNUMBER(SEARCH({"Unique","Unique Case Insensitive"}, $R177))) &gt; 0, "(" &amp; $R177 &amp; ")", ""))))</f>
        <v>na</v>
      </c>
      <c r="E177" s="7"/>
      <c r="F177" s="7" t="s">
        <v>195</v>
      </c>
      <c r="G177" s="7" t="s">
        <v>195</v>
      </c>
      <c r="H177" s="7" t="s">
        <v>195</v>
      </c>
      <c r="I177" s="7" t="s">
        <v>195</v>
      </c>
      <c r="J177" s="7" t="s">
        <v>195</v>
      </c>
      <c r="K177" s="7" t="s">
        <v>195</v>
      </c>
      <c r="L177" s="7" t="s">
        <v>195</v>
      </c>
      <c r="M177" s="7" t="s">
        <v>29</v>
      </c>
      <c r="N177" s="7" t="s">
        <v>29</v>
      </c>
      <c r="O177" s="7" t="s">
        <v>29</v>
      </c>
      <c r="P177" s="7" t="s">
        <v>29</v>
      </c>
      <c r="Q177" s="7" t="s">
        <v>29</v>
      </c>
      <c r="R177" s="7" t="s">
        <v>29</v>
      </c>
      <c r="S177" s="7" t="s">
        <v>29</v>
      </c>
    </row>
    <row r="178" spans="2:19">
      <c r="B178" s="7" t="s">
        <v>195</v>
      </c>
      <c r="D178" s="5" t="str">
        <f>LRTRIM(CONCATENATE(IF(SUMPRODUCT(-- ISNUMBER(SEARCH({"Auto Number"}, $B178))) &gt; 0, $B178, IF(SUMPRODUCT(-- ISNUMBER(SEARCH({"Lookup","Master-Detail"}, $B178))) &gt; 0,$B178 &amp; "(" &amp; $E178 &amp; ")",IF(SUMPRODUCT(-- ISNUMBER(SEARCH({"Formula","Roll-Up Summary"}, $B178))) &gt; 0,$B178 &amp; " (" &amp; $E178 &amp; ")",IF(SUMPRODUCT(-- ISNUMBER(SEARCH({"Content","Currency","Number","Percent","Text","URL"}, $B178))) &gt; 0,$B178 &amp; "(" &amp; $C178 &amp; ")",$B178)))), "  ", TRIM(IF($S178 = "YES", "(External ID)", "") &amp; " " &amp; IF(SUMPRODUCT(-- ISNUMBER(SEARCH({"Unique","Unique Case Insensitive"}, $R178))) &gt; 0, "(" &amp; $R178 &amp; ")", ""))))</f>
        <v>na</v>
      </c>
      <c r="E178" s="7"/>
      <c r="F178" s="7" t="s">
        <v>195</v>
      </c>
      <c r="G178" s="7" t="s">
        <v>195</v>
      </c>
      <c r="H178" s="7" t="s">
        <v>195</v>
      </c>
      <c r="I178" s="7" t="s">
        <v>195</v>
      </c>
      <c r="J178" s="7" t="s">
        <v>195</v>
      </c>
      <c r="K178" s="7" t="s">
        <v>195</v>
      </c>
      <c r="L178" s="7" t="s">
        <v>195</v>
      </c>
      <c r="M178" s="7" t="s">
        <v>29</v>
      </c>
      <c r="N178" s="7" t="s">
        <v>29</v>
      </c>
      <c r="O178" s="7" t="s">
        <v>29</v>
      </c>
      <c r="P178" s="7" t="s">
        <v>29</v>
      </c>
      <c r="Q178" s="7" t="s">
        <v>29</v>
      </c>
      <c r="R178" s="7" t="s">
        <v>29</v>
      </c>
      <c r="S178" s="7" t="s">
        <v>29</v>
      </c>
    </row>
    <row r="179" spans="2:19">
      <c r="B179" s="7" t="s">
        <v>195</v>
      </c>
      <c r="D179" s="5" t="str">
        <f>LRTRIM(CONCATENATE(IF(SUMPRODUCT(-- ISNUMBER(SEARCH({"Auto Number"}, $B179))) &gt; 0, $B179, IF(SUMPRODUCT(-- ISNUMBER(SEARCH({"Lookup","Master-Detail"}, $B179))) &gt; 0,$B179 &amp; "(" &amp; $E179 &amp; ")",IF(SUMPRODUCT(-- ISNUMBER(SEARCH({"Formula","Roll-Up Summary"}, $B179))) &gt; 0,$B179 &amp; " (" &amp; $E179 &amp; ")",IF(SUMPRODUCT(-- ISNUMBER(SEARCH({"Content","Currency","Number","Percent","Text","URL"}, $B179))) &gt; 0,$B179 &amp; "(" &amp; $C179 &amp; ")",$B179)))), "  ", TRIM(IF($S179 = "YES", "(External ID)", "") &amp; " " &amp; IF(SUMPRODUCT(-- ISNUMBER(SEARCH({"Unique","Unique Case Insensitive"}, $R179))) &gt; 0, "(" &amp; $R179 &amp; ")", ""))))</f>
        <v>na</v>
      </c>
      <c r="E179" s="7"/>
      <c r="F179" s="7" t="s">
        <v>195</v>
      </c>
      <c r="G179" s="7" t="s">
        <v>195</v>
      </c>
      <c r="H179" s="7" t="s">
        <v>195</v>
      </c>
      <c r="I179" s="7" t="s">
        <v>195</v>
      </c>
      <c r="J179" s="7" t="s">
        <v>195</v>
      </c>
      <c r="K179" s="7" t="s">
        <v>195</v>
      </c>
      <c r="L179" s="7" t="s">
        <v>195</v>
      </c>
      <c r="M179" s="7" t="s">
        <v>29</v>
      </c>
      <c r="N179" s="7" t="s">
        <v>29</v>
      </c>
      <c r="O179" s="7" t="s">
        <v>29</v>
      </c>
      <c r="P179" s="7" t="s">
        <v>29</v>
      </c>
      <c r="Q179" s="7" t="s">
        <v>29</v>
      </c>
      <c r="R179" s="7" t="s">
        <v>29</v>
      </c>
      <c r="S179" s="7" t="s">
        <v>29</v>
      </c>
    </row>
    <row r="180" spans="2:19">
      <c r="B180" s="7" t="s">
        <v>195</v>
      </c>
      <c r="D180" s="5" t="str">
        <f>LRTRIM(CONCATENATE(IF(SUMPRODUCT(-- ISNUMBER(SEARCH({"Auto Number"}, $B180))) &gt; 0, $B180, IF(SUMPRODUCT(-- ISNUMBER(SEARCH({"Lookup","Master-Detail"}, $B180))) &gt; 0,$B180 &amp; "(" &amp; $E180 &amp; ")",IF(SUMPRODUCT(-- ISNUMBER(SEARCH({"Formula","Roll-Up Summary"}, $B180))) &gt; 0,$B180 &amp; " (" &amp; $E180 &amp; ")",IF(SUMPRODUCT(-- ISNUMBER(SEARCH({"Content","Currency","Number","Percent","Text","URL"}, $B180))) &gt; 0,$B180 &amp; "(" &amp; $C180 &amp; ")",$B180)))), "  ", TRIM(IF($S180 = "YES", "(External ID)", "") &amp; " " &amp; IF(SUMPRODUCT(-- ISNUMBER(SEARCH({"Unique","Unique Case Insensitive"}, $R180))) &gt; 0, "(" &amp; $R180 &amp; ")", ""))))</f>
        <v>na</v>
      </c>
      <c r="E180" s="7"/>
      <c r="F180" s="7" t="s">
        <v>195</v>
      </c>
      <c r="G180" s="7" t="s">
        <v>195</v>
      </c>
      <c r="H180" s="7" t="s">
        <v>195</v>
      </c>
      <c r="I180" s="7" t="s">
        <v>195</v>
      </c>
      <c r="J180" s="7" t="s">
        <v>195</v>
      </c>
      <c r="K180" s="7" t="s">
        <v>195</v>
      </c>
      <c r="L180" s="7" t="s">
        <v>195</v>
      </c>
      <c r="M180" s="7" t="s">
        <v>29</v>
      </c>
      <c r="N180" s="7" t="s">
        <v>29</v>
      </c>
      <c r="O180" s="7" t="s">
        <v>29</v>
      </c>
      <c r="P180" s="7" t="s">
        <v>29</v>
      </c>
      <c r="Q180" s="7" t="s">
        <v>29</v>
      </c>
      <c r="R180" s="7" t="s">
        <v>29</v>
      </c>
      <c r="S180" s="7" t="s">
        <v>29</v>
      </c>
    </row>
    <row r="181" spans="2:19">
      <c r="B181" s="7" t="s">
        <v>195</v>
      </c>
      <c r="D181" s="5" t="str">
        <f>LRTRIM(CONCATENATE(IF(SUMPRODUCT(-- ISNUMBER(SEARCH({"Auto Number"}, $B181))) &gt; 0, $B181, IF(SUMPRODUCT(-- ISNUMBER(SEARCH({"Lookup","Master-Detail"}, $B181))) &gt; 0,$B181 &amp; "(" &amp; $E181 &amp; ")",IF(SUMPRODUCT(-- ISNUMBER(SEARCH({"Formula","Roll-Up Summary"}, $B181))) &gt; 0,$B181 &amp; " (" &amp; $E181 &amp; ")",IF(SUMPRODUCT(-- ISNUMBER(SEARCH({"Content","Currency","Number","Percent","Text","URL"}, $B181))) &gt; 0,$B181 &amp; "(" &amp; $C181 &amp; ")",$B181)))), "  ", TRIM(IF($S181 = "YES", "(External ID)", "") &amp; " " &amp; IF(SUMPRODUCT(-- ISNUMBER(SEARCH({"Unique","Unique Case Insensitive"}, $R181))) &gt; 0, "(" &amp; $R181 &amp; ")", ""))))</f>
        <v>na</v>
      </c>
      <c r="E181" s="7"/>
      <c r="F181" s="7" t="s">
        <v>195</v>
      </c>
      <c r="G181" s="7" t="s">
        <v>195</v>
      </c>
      <c r="H181" s="7" t="s">
        <v>195</v>
      </c>
      <c r="I181" s="7" t="s">
        <v>195</v>
      </c>
      <c r="J181" s="7" t="s">
        <v>195</v>
      </c>
      <c r="K181" s="7" t="s">
        <v>195</v>
      </c>
      <c r="L181" s="7" t="s">
        <v>195</v>
      </c>
      <c r="M181" s="7" t="s">
        <v>29</v>
      </c>
      <c r="N181" s="7" t="s">
        <v>29</v>
      </c>
      <c r="O181" s="7" t="s">
        <v>29</v>
      </c>
      <c r="P181" s="7" t="s">
        <v>29</v>
      </c>
      <c r="Q181" s="7" t="s">
        <v>29</v>
      </c>
      <c r="R181" s="7" t="s">
        <v>29</v>
      </c>
      <c r="S181" s="7" t="s">
        <v>29</v>
      </c>
    </row>
    <row r="182" spans="2:19">
      <c r="B182" s="7" t="s">
        <v>195</v>
      </c>
      <c r="D182" s="5" t="str">
        <f>LRTRIM(CONCATENATE(IF(SUMPRODUCT(-- ISNUMBER(SEARCH({"Auto Number"}, $B182))) &gt; 0, $B182, IF(SUMPRODUCT(-- ISNUMBER(SEARCH({"Lookup","Master-Detail"}, $B182))) &gt; 0,$B182 &amp; "(" &amp; $E182 &amp; ")",IF(SUMPRODUCT(-- ISNUMBER(SEARCH({"Formula","Roll-Up Summary"}, $B182))) &gt; 0,$B182 &amp; " (" &amp; $E182 &amp; ")",IF(SUMPRODUCT(-- ISNUMBER(SEARCH({"Content","Currency","Number","Percent","Text","URL"}, $B182))) &gt; 0,$B182 &amp; "(" &amp; $C182 &amp; ")",$B182)))), "  ", TRIM(IF($S182 = "YES", "(External ID)", "") &amp; " " &amp; IF(SUMPRODUCT(-- ISNUMBER(SEARCH({"Unique","Unique Case Insensitive"}, $R182))) &gt; 0, "(" &amp; $R182 &amp; ")", ""))))</f>
        <v>na</v>
      </c>
      <c r="E182" s="7"/>
      <c r="F182" s="7" t="s">
        <v>195</v>
      </c>
      <c r="G182" s="7" t="s">
        <v>195</v>
      </c>
      <c r="H182" s="7" t="s">
        <v>195</v>
      </c>
      <c r="I182" s="7" t="s">
        <v>195</v>
      </c>
      <c r="J182" s="7" t="s">
        <v>195</v>
      </c>
      <c r="K182" s="7" t="s">
        <v>195</v>
      </c>
      <c r="L182" s="7" t="s">
        <v>195</v>
      </c>
      <c r="M182" s="7" t="s">
        <v>29</v>
      </c>
      <c r="N182" s="7" t="s">
        <v>29</v>
      </c>
      <c r="O182" s="7" t="s">
        <v>29</v>
      </c>
      <c r="P182" s="7" t="s">
        <v>29</v>
      </c>
      <c r="Q182" s="7" t="s">
        <v>29</v>
      </c>
      <c r="R182" s="7" t="s">
        <v>29</v>
      </c>
      <c r="S182" s="7" t="s">
        <v>29</v>
      </c>
    </row>
    <row r="183" spans="2:19">
      <c r="B183" s="7" t="s">
        <v>195</v>
      </c>
      <c r="D183" s="5" t="str">
        <f>LRTRIM(CONCATENATE(IF(SUMPRODUCT(-- ISNUMBER(SEARCH({"Auto Number"}, $B183))) &gt; 0, $B183, IF(SUMPRODUCT(-- ISNUMBER(SEARCH({"Lookup","Master-Detail"}, $B183))) &gt; 0,$B183 &amp; "(" &amp; $E183 &amp; ")",IF(SUMPRODUCT(-- ISNUMBER(SEARCH({"Formula","Roll-Up Summary"}, $B183))) &gt; 0,$B183 &amp; " (" &amp; $E183 &amp; ")",IF(SUMPRODUCT(-- ISNUMBER(SEARCH({"Content","Currency","Number","Percent","Text","URL"}, $B183))) &gt; 0,$B183 &amp; "(" &amp; $C183 &amp; ")",$B183)))), "  ", TRIM(IF($S183 = "YES", "(External ID)", "") &amp; " " &amp; IF(SUMPRODUCT(-- ISNUMBER(SEARCH({"Unique","Unique Case Insensitive"}, $R183))) &gt; 0, "(" &amp; $R183 &amp; ")", ""))))</f>
        <v>na</v>
      </c>
      <c r="E183" s="7"/>
      <c r="F183" s="7" t="s">
        <v>195</v>
      </c>
      <c r="G183" s="7" t="s">
        <v>195</v>
      </c>
      <c r="H183" s="7" t="s">
        <v>195</v>
      </c>
      <c r="I183" s="7" t="s">
        <v>195</v>
      </c>
      <c r="J183" s="7" t="s">
        <v>195</v>
      </c>
      <c r="K183" s="7" t="s">
        <v>195</v>
      </c>
      <c r="L183" s="7" t="s">
        <v>195</v>
      </c>
      <c r="M183" s="7" t="s">
        <v>29</v>
      </c>
      <c r="N183" s="7" t="s">
        <v>29</v>
      </c>
      <c r="O183" s="7" t="s">
        <v>29</v>
      </c>
      <c r="P183" s="7" t="s">
        <v>29</v>
      </c>
      <c r="Q183" s="7" t="s">
        <v>29</v>
      </c>
      <c r="R183" s="7" t="s">
        <v>29</v>
      </c>
      <c r="S183" s="7" t="s">
        <v>29</v>
      </c>
    </row>
    <row r="184" spans="2:19">
      <c r="B184" s="7" t="s">
        <v>195</v>
      </c>
      <c r="D184" s="5" t="str">
        <f>LRTRIM(CONCATENATE(IF(SUMPRODUCT(-- ISNUMBER(SEARCH({"Auto Number"}, $B184))) &gt; 0, $B184, IF(SUMPRODUCT(-- ISNUMBER(SEARCH({"Lookup","Master-Detail"}, $B184))) &gt; 0,$B184 &amp; "(" &amp; $E184 &amp; ")",IF(SUMPRODUCT(-- ISNUMBER(SEARCH({"Formula","Roll-Up Summary"}, $B184))) &gt; 0,$B184 &amp; " (" &amp; $E184 &amp; ")",IF(SUMPRODUCT(-- ISNUMBER(SEARCH({"Content","Currency","Number","Percent","Text","URL"}, $B184))) &gt; 0,$B184 &amp; "(" &amp; $C184 &amp; ")",$B184)))), "  ", TRIM(IF($S184 = "YES", "(External ID)", "") &amp; " " &amp; IF(SUMPRODUCT(-- ISNUMBER(SEARCH({"Unique","Unique Case Insensitive"}, $R184))) &gt; 0, "(" &amp; $R184 &amp; ")", ""))))</f>
        <v>na</v>
      </c>
      <c r="E184" s="7"/>
      <c r="F184" s="7" t="s">
        <v>195</v>
      </c>
      <c r="G184" s="7" t="s">
        <v>195</v>
      </c>
      <c r="H184" s="7" t="s">
        <v>195</v>
      </c>
      <c r="I184" s="7" t="s">
        <v>195</v>
      </c>
      <c r="J184" s="7" t="s">
        <v>195</v>
      </c>
      <c r="K184" s="7" t="s">
        <v>195</v>
      </c>
      <c r="L184" s="7" t="s">
        <v>195</v>
      </c>
      <c r="M184" s="7" t="s">
        <v>29</v>
      </c>
      <c r="N184" s="7" t="s">
        <v>29</v>
      </c>
      <c r="O184" s="7" t="s">
        <v>29</v>
      </c>
      <c r="P184" s="7" t="s">
        <v>29</v>
      </c>
      <c r="Q184" s="7" t="s">
        <v>29</v>
      </c>
      <c r="R184" s="7" t="s">
        <v>29</v>
      </c>
      <c r="S184" s="7" t="s">
        <v>29</v>
      </c>
    </row>
    <row r="185" spans="2:19">
      <c r="B185" s="7" t="s">
        <v>195</v>
      </c>
      <c r="D185" s="5" t="str">
        <f>LRTRIM(CONCATENATE(IF(SUMPRODUCT(-- ISNUMBER(SEARCH({"Auto Number"}, $B185))) &gt; 0, $B185, IF(SUMPRODUCT(-- ISNUMBER(SEARCH({"Lookup","Master-Detail"}, $B185))) &gt; 0,$B185 &amp; "(" &amp; $E185 &amp; ")",IF(SUMPRODUCT(-- ISNUMBER(SEARCH({"Formula","Roll-Up Summary"}, $B185))) &gt; 0,$B185 &amp; " (" &amp; $E185 &amp; ")",IF(SUMPRODUCT(-- ISNUMBER(SEARCH({"Content","Currency","Number","Percent","Text","URL"}, $B185))) &gt; 0,$B185 &amp; "(" &amp; $C185 &amp; ")",$B185)))), "  ", TRIM(IF($S185 = "YES", "(External ID)", "") &amp; " " &amp; IF(SUMPRODUCT(-- ISNUMBER(SEARCH({"Unique","Unique Case Insensitive"}, $R185))) &gt; 0, "(" &amp; $R185 &amp; ")", ""))))</f>
        <v>na</v>
      </c>
      <c r="E185" s="7"/>
      <c r="F185" s="7" t="s">
        <v>195</v>
      </c>
      <c r="G185" s="7" t="s">
        <v>195</v>
      </c>
      <c r="H185" s="7" t="s">
        <v>195</v>
      </c>
      <c r="I185" s="7" t="s">
        <v>195</v>
      </c>
      <c r="J185" s="7" t="s">
        <v>195</v>
      </c>
      <c r="K185" s="7" t="s">
        <v>195</v>
      </c>
      <c r="L185" s="7" t="s">
        <v>195</v>
      </c>
      <c r="M185" s="7" t="s">
        <v>29</v>
      </c>
      <c r="N185" s="7" t="s">
        <v>29</v>
      </c>
      <c r="O185" s="7" t="s">
        <v>29</v>
      </c>
      <c r="P185" s="7" t="s">
        <v>29</v>
      </c>
      <c r="Q185" s="7" t="s">
        <v>29</v>
      </c>
      <c r="R185" s="7" t="s">
        <v>29</v>
      </c>
      <c r="S185" s="7" t="s">
        <v>29</v>
      </c>
    </row>
    <row r="186" spans="2:19">
      <c r="B186" s="7" t="s">
        <v>195</v>
      </c>
      <c r="D186" s="5" t="str">
        <f>LRTRIM(CONCATENATE(IF(SUMPRODUCT(-- ISNUMBER(SEARCH({"Auto Number"}, $B186))) &gt; 0, $B186, IF(SUMPRODUCT(-- ISNUMBER(SEARCH({"Lookup","Master-Detail"}, $B186))) &gt; 0,$B186 &amp; "(" &amp; $E186 &amp; ")",IF(SUMPRODUCT(-- ISNUMBER(SEARCH({"Formula","Roll-Up Summary"}, $B186))) &gt; 0,$B186 &amp; " (" &amp; $E186 &amp; ")",IF(SUMPRODUCT(-- ISNUMBER(SEARCH({"Content","Currency","Number","Percent","Text","URL"}, $B186))) &gt; 0,$B186 &amp; "(" &amp; $C186 &amp; ")",$B186)))), "  ", TRIM(IF($S186 = "YES", "(External ID)", "") &amp; " " &amp; IF(SUMPRODUCT(-- ISNUMBER(SEARCH({"Unique","Unique Case Insensitive"}, $R186))) &gt; 0, "(" &amp; $R186 &amp; ")", ""))))</f>
        <v>na</v>
      </c>
      <c r="E186" s="7"/>
      <c r="F186" s="7" t="s">
        <v>195</v>
      </c>
      <c r="G186" s="7" t="s">
        <v>195</v>
      </c>
      <c r="H186" s="7" t="s">
        <v>195</v>
      </c>
      <c r="I186" s="7" t="s">
        <v>195</v>
      </c>
      <c r="J186" s="7" t="s">
        <v>195</v>
      </c>
      <c r="K186" s="7" t="s">
        <v>195</v>
      </c>
      <c r="L186" s="7" t="s">
        <v>195</v>
      </c>
      <c r="M186" s="7" t="s">
        <v>29</v>
      </c>
      <c r="N186" s="7" t="s">
        <v>29</v>
      </c>
      <c r="O186" s="7" t="s">
        <v>29</v>
      </c>
      <c r="P186" s="7" t="s">
        <v>29</v>
      </c>
      <c r="Q186" s="7" t="s">
        <v>29</v>
      </c>
      <c r="R186" s="7" t="s">
        <v>29</v>
      </c>
      <c r="S186" s="7" t="s">
        <v>29</v>
      </c>
    </row>
    <row r="187" spans="2:19">
      <c r="B187" s="7" t="s">
        <v>195</v>
      </c>
      <c r="D187" s="5" t="str">
        <f>LRTRIM(CONCATENATE(IF(SUMPRODUCT(-- ISNUMBER(SEARCH({"Auto Number"}, $B187))) &gt; 0, $B187, IF(SUMPRODUCT(-- ISNUMBER(SEARCH({"Lookup","Master-Detail"}, $B187))) &gt; 0,$B187 &amp; "(" &amp; $E187 &amp; ")",IF(SUMPRODUCT(-- ISNUMBER(SEARCH({"Formula","Roll-Up Summary"}, $B187))) &gt; 0,$B187 &amp; " (" &amp; $E187 &amp; ")",IF(SUMPRODUCT(-- ISNUMBER(SEARCH({"Content","Currency","Number","Percent","Text","URL"}, $B187))) &gt; 0,$B187 &amp; "(" &amp; $C187 &amp; ")",$B187)))), "  ", TRIM(IF($S187 = "YES", "(External ID)", "") &amp; " " &amp; IF(SUMPRODUCT(-- ISNUMBER(SEARCH({"Unique","Unique Case Insensitive"}, $R187))) &gt; 0, "(" &amp; $R187 &amp; ")", ""))))</f>
        <v>na</v>
      </c>
      <c r="E187" s="7"/>
      <c r="F187" s="7" t="s">
        <v>195</v>
      </c>
      <c r="G187" s="7" t="s">
        <v>195</v>
      </c>
      <c r="H187" s="7" t="s">
        <v>195</v>
      </c>
      <c r="I187" s="7" t="s">
        <v>195</v>
      </c>
      <c r="J187" s="7" t="s">
        <v>195</v>
      </c>
      <c r="K187" s="7" t="s">
        <v>195</v>
      </c>
      <c r="L187" s="7" t="s">
        <v>195</v>
      </c>
      <c r="M187" s="7" t="s">
        <v>29</v>
      </c>
      <c r="N187" s="7" t="s">
        <v>29</v>
      </c>
      <c r="O187" s="7" t="s">
        <v>29</v>
      </c>
      <c r="P187" s="7" t="s">
        <v>29</v>
      </c>
      <c r="Q187" s="7" t="s">
        <v>29</v>
      </c>
      <c r="R187" s="7" t="s">
        <v>29</v>
      </c>
      <c r="S187" s="7" t="s">
        <v>29</v>
      </c>
    </row>
    <row r="188" spans="2:19">
      <c r="B188" s="7" t="s">
        <v>195</v>
      </c>
      <c r="D188" s="5" t="str">
        <f>LRTRIM(CONCATENATE(IF(SUMPRODUCT(-- ISNUMBER(SEARCH({"Auto Number"}, $B188))) &gt; 0, $B188, IF(SUMPRODUCT(-- ISNUMBER(SEARCH({"Lookup","Master-Detail"}, $B188))) &gt; 0,$B188 &amp; "(" &amp; $E188 &amp; ")",IF(SUMPRODUCT(-- ISNUMBER(SEARCH({"Formula","Roll-Up Summary"}, $B188))) &gt; 0,$B188 &amp; " (" &amp; $E188 &amp; ")",IF(SUMPRODUCT(-- ISNUMBER(SEARCH({"Content","Currency","Number","Percent","Text","URL"}, $B188))) &gt; 0,$B188 &amp; "(" &amp; $C188 &amp; ")",$B188)))), "  ", TRIM(IF($S188 = "YES", "(External ID)", "") &amp; " " &amp; IF(SUMPRODUCT(-- ISNUMBER(SEARCH({"Unique","Unique Case Insensitive"}, $R188))) &gt; 0, "(" &amp; $R188 &amp; ")", ""))))</f>
        <v>na</v>
      </c>
      <c r="E188" s="7"/>
      <c r="F188" s="7" t="s">
        <v>195</v>
      </c>
      <c r="G188" s="7" t="s">
        <v>195</v>
      </c>
      <c r="H188" s="7" t="s">
        <v>195</v>
      </c>
      <c r="I188" s="7" t="s">
        <v>195</v>
      </c>
      <c r="J188" s="7" t="s">
        <v>195</v>
      </c>
      <c r="K188" s="7" t="s">
        <v>195</v>
      </c>
      <c r="L188" s="7" t="s">
        <v>195</v>
      </c>
      <c r="M188" s="7" t="s">
        <v>29</v>
      </c>
      <c r="N188" s="7" t="s">
        <v>29</v>
      </c>
      <c r="O188" s="7" t="s">
        <v>29</v>
      </c>
      <c r="P188" s="7" t="s">
        <v>29</v>
      </c>
      <c r="Q188" s="7" t="s">
        <v>29</v>
      </c>
      <c r="R188" s="7" t="s">
        <v>29</v>
      </c>
      <c r="S188" s="7" t="s">
        <v>29</v>
      </c>
    </row>
    <row r="189" spans="2:19">
      <c r="B189" s="7" t="s">
        <v>195</v>
      </c>
      <c r="D189" s="5" t="str">
        <f>LRTRIM(CONCATENATE(IF(SUMPRODUCT(-- ISNUMBER(SEARCH({"Auto Number"}, $B189))) &gt; 0, $B189, IF(SUMPRODUCT(-- ISNUMBER(SEARCH({"Lookup","Master-Detail"}, $B189))) &gt; 0,$B189 &amp; "(" &amp; $E189 &amp; ")",IF(SUMPRODUCT(-- ISNUMBER(SEARCH({"Formula","Roll-Up Summary"}, $B189))) &gt; 0,$B189 &amp; " (" &amp; $E189 &amp; ")",IF(SUMPRODUCT(-- ISNUMBER(SEARCH({"Content","Currency","Number","Percent","Text","URL"}, $B189))) &gt; 0,$B189 &amp; "(" &amp; $C189 &amp; ")",$B189)))), "  ", TRIM(IF($S189 = "YES", "(External ID)", "") &amp; " " &amp; IF(SUMPRODUCT(-- ISNUMBER(SEARCH({"Unique","Unique Case Insensitive"}, $R189))) &gt; 0, "(" &amp; $R189 &amp; ")", ""))))</f>
        <v>na</v>
      </c>
      <c r="E189" s="7"/>
      <c r="F189" s="7" t="s">
        <v>195</v>
      </c>
      <c r="G189" s="7" t="s">
        <v>195</v>
      </c>
      <c r="H189" s="7" t="s">
        <v>195</v>
      </c>
      <c r="I189" s="7" t="s">
        <v>195</v>
      </c>
      <c r="J189" s="7" t="s">
        <v>195</v>
      </c>
      <c r="K189" s="7" t="s">
        <v>195</v>
      </c>
      <c r="L189" s="7" t="s">
        <v>195</v>
      </c>
      <c r="M189" s="7" t="s">
        <v>29</v>
      </c>
      <c r="N189" s="7" t="s">
        <v>29</v>
      </c>
      <c r="O189" s="7" t="s">
        <v>29</v>
      </c>
      <c r="P189" s="7" t="s">
        <v>29</v>
      </c>
      <c r="Q189" s="7" t="s">
        <v>29</v>
      </c>
      <c r="R189" s="7" t="s">
        <v>29</v>
      </c>
      <c r="S189" s="7" t="s">
        <v>29</v>
      </c>
    </row>
    <row r="190" spans="2:19">
      <c r="B190" s="7" t="s">
        <v>195</v>
      </c>
      <c r="D190" s="5" t="str">
        <f>LRTRIM(CONCATENATE(IF(SUMPRODUCT(-- ISNUMBER(SEARCH({"Auto Number"}, $B190))) &gt; 0, $B190, IF(SUMPRODUCT(-- ISNUMBER(SEARCH({"Lookup","Master-Detail"}, $B190))) &gt; 0,$B190 &amp; "(" &amp; $E190 &amp; ")",IF(SUMPRODUCT(-- ISNUMBER(SEARCH({"Formula","Roll-Up Summary"}, $B190))) &gt; 0,$B190 &amp; " (" &amp; $E190 &amp; ")",IF(SUMPRODUCT(-- ISNUMBER(SEARCH({"Content","Currency","Number","Percent","Text","URL"}, $B190))) &gt; 0,$B190 &amp; "(" &amp; $C190 &amp; ")",$B190)))), "  ", TRIM(IF($S190 = "YES", "(External ID)", "") &amp; " " &amp; IF(SUMPRODUCT(-- ISNUMBER(SEARCH({"Unique","Unique Case Insensitive"}, $R190))) &gt; 0, "(" &amp; $R190 &amp; ")", ""))))</f>
        <v>na</v>
      </c>
      <c r="E190" s="7"/>
      <c r="F190" s="7" t="s">
        <v>195</v>
      </c>
      <c r="G190" s="7" t="s">
        <v>195</v>
      </c>
      <c r="H190" s="7" t="s">
        <v>195</v>
      </c>
      <c r="I190" s="7" t="s">
        <v>195</v>
      </c>
      <c r="J190" s="7" t="s">
        <v>195</v>
      </c>
      <c r="K190" s="7" t="s">
        <v>195</v>
      </c>
      <c r="L190" s="7" t="s">
        <v>195</v>
      </c>
      <c r="M190" s="7" t="s">
        <v>29</v>
      </c>
      <c r="N190" s="7" t="s">
        <v>29</v>
      </c>
      <c r="O190" s="7" t="s">
        <v>29</v>
      </c>
      <c r="P190" s="7" t="s">
        <v>29</v>
      </c>
      <c r="Q190" s="7" t="s">
        <v>29</v>
      </c>
      <c r="R190" s="7" t="s">
        <v>29</v>
      </c>
      <c r="S190" s="7" t="s">
        <v>29</v>
      </c>
    </row>
    <row r="191" spans="2:19">
      <c r="B191" s="7" t="s">
        <v>195</v>
      </c>
      <c r="D191" s="5" t="str">
        <f>LRTRIM(CONCATENATE(IF(SUMPRODUCT(-- ISNUMBER(SEARCH({"Auto Number"}, $B191))) &gt; 0, $B191, IF(SUMPRODUCT(-- ISNUMBER(SEARCH({"Lookup","Master-Detail"}, $B191))) &gt; 0,$B191 &amp; "(" &amp; $E191 &amp; ")",IF(SUMPRODUCT(-- ISNUMBER(SEARCH({"Formula","Roll-Up Summary"}, $B191))) &gt; 0,$B191 &amp; " (" &amp; $E191 &amp; ")",IF(SUMPRODUCT(-- ISNUMBER(SEARCH({"Content","Currency","Number","Percent","Text","URL"}, $B191))) &gt; 0,$B191 &amp; "(" &amp; $C191 &amp; ")",$B191)))), "  ", TRIM(IF($S191 = "YES", "(External ID)", "") &amp; " " &amp; IF(SUMPRODUCT(-- ISNUMBER(SEARCH({"Unique","Unique Case Insensitive"}, $R191))) &gt; 0, "(" &amp; $R191 &amp; ")", ""))))</f>
        <v>na</v>
      </c>
      <c r="E191" s="7"/>
      <c r="F191" s="7" t="s">
        <v>195</v>
      </c>
      <c r="G191" s="7" t="s">
        <v>195</v>
      </c>
      <c r="H191" s="7" t="s">
        <v>195</v>
      </c>
      <c r="I191" s="7" t="s">
        <v>195</v>
      </c>
      <c r="J191" s="7" t="s">
        <v>195</v>
      </c>
      <c r="K191" s="7" t="s">
        <v>195</v>
      </c>
      <c r="L191" s="7" t="s">
        <v>195</v>
      </c>
      <c r="M191" s="7" t="s">
        <v>29</v>
      </c>
      <c r="N191" s="7" t="s">
        <v>29</v>
      </c>
      <c r="O191" s="7" t="s">
        <v>29</v>
      </c>
      <c r="P191" s="7" t="s">
        <v>29</v>
      </c>
      <c r="Q191" s="7" t="s">
        <v>29</v>
      </c>
      <c r="R191" s="7" t="s">
        <v>29</v>
      </c>
      <c r="S191" s="7" t="s">
        <v>29</v>
      </c>
    </row>
    <row r="192" spans="2:19">
      <c r="B192" s="7" t="s">
        <v>195</v>
      </c>
      <c r="D192" s="5" t="str">
        <f>LRTRIM(CONCATENATE(IF(SUMPRODUCT(-- ISNUMBER(SEARCH({"Auto Number"}, $B192))) &gt; 0, $B192, IF(SUMPRODUCT(-- ISNUMBER(SEARCH({"Lookup","Master-Detail"}, $B192))) &gt; 0,$B192 &amp; "(" &amp; $E192 &amp; ")",IF(SUMPRODUCT(-- ISNUMBER(SEARCH({"Formula","Roll-Up Summary"}, $B192))) &gt; 0,$B192 &amp; " (" &amp; $E192 &amp; ")",IF(SUMPRODUCT(-- ISNUMBER(SEARCH({"Content","Currency","Number","Percent","Text","URL"}, $B192))) &gt; 0,$B192 &amp; "(" &amp; $C192 &amp; ")",$B192)))), "  ", TRIM(IF($S192 = "YES", "(External ID)", "") &amp; " " &amp; IF(SUMPRODUCT(-- ISNUMBER(SEARCH({"Unique","Unique Case Insensitive"}, $R192))) &gt; 0, "(" &amp; $R192 &amp; ")", ""))))</f>
        <v>na</v>
      </c>
      <c r="E192" s="7"/>
      <c r="F192" s="7" t="s">
        <v>195</v>
      </c>
      <c r="G192" s="7" t="s">
        <v>195</v>
      </c>
      <c r="H192" s="7" t="s">
        <v>195</v>
      </c>
      <c r="I192" s="7" t="s">
        <v>195</v>
      </c>
      <c r="J192" s="7" t="s">
        <v>195</v>
      </c>
      <c r="K192" s="7" t="s">
        <v>195</v>
      </c>
      <c r="L192" s="7" t="s">
        <v>195</v>
      </c>
      <c r="M192" s="7" t="s">
        <v>29</v>
      </c>
      <c r="N192" s="7" t="s">
        <v>29</v>
      </c>
      <c r="O192" s="7" t="s">
        <v>29</v>
      </c>
      <c r="P192" s="7" t="s">
        <v>29</v>
      </c>
      <c r="Q192" s="7" t="s">
        <v>29</v>
      </c>
      <c r="R192" s="7" t="s">
        <v>29</v>
      </c>
      <c r="S192" s="7" t="s">
        <v>29</v>
      </c>
    </row>
    <row r="193" spans="2:19">
      <c r="B193" s="7" t="s">
        <v>195</v>
      </c>
      <c r="D193" s="5" t="str">
        <f>LRTRIM(CONCATENATE(IF(SUMPRODUCT(-- ISNUMBER(SEARCH({"Auto Number"}, $B193))) &gt; 0, $B193, IF(SUMPRODUCT(-- ISNUMBER(SEARCH({"Lookup","Master-Detail"}, $B193))) &gt; 0,$B193 &amp; "(" &amp; $E193 &amp; ")",IF(SUMPRODUCT(-- ISNUMBER(SEARCH({"Formula","Roll-Up Summary"}, $B193))) &gt; 0,$B193 &amp; " (" &amp; $E193 &amp; ")",IF(SUMPRODUCT(-- ISNUMBER(SEARCH({"Content","Currency","Number","Percent","Text","URL"}, $B193))) &gt; 0,$B193 &amp; "(" &amp; $C193 &amp; ")",$B193)))), "  ", TRIM(IF($S193 = "YES", "(External ID)", "") &amp; " " &amp; IF(SUMPRODUCT(-- ISNUMBER(SEARCH({"Unique","Unique Case Insensitive"}, $R193))) &gt; 0, "(" &amp; $R193 &amp; ")", ""))))</f>
        <v>na</v>
      </c>
      <c r="E193" s="7"/>
      <c r="F193" s="7" t="s">
        <v>195</v>
      </c>
      <c r="G193" s="7" t="s">
        <v>195</v>
      </c>
      <c r="H193" s="7" t="s">
        <v>195</v>
      </c>
      <c r="I193" s="7" t="s">
        <v>195</v>
      </c>
      <c r="J193" s="7" t="s">
        <v>195</v>
      </c>
      <c r="K193" s="7" t="s">
        <v>195</v>
      </c>
      <c r="L193" s="7" t="s">
        <v>195</v>
      </c>
      <c r="M193" s="7" t="s">
        <v>29</v>
      </c>
      <c r="N193" s="7" t="s">
        <v>29</v>
      </c>
      <c r="O193" s="7" t="s">
        <v>29</v>
      </c>
      <c r="P193" s="7" t="s">
        <v>29</v>
      </c>
      <c r="Q193" s="7" t="s">
        <v>29</v>
      </c>
      <c r="R193" s="7" t="s">
        <v>29</v>
      </c>
      <c r="S193" s="7" t="s">
        <v>29</v>
      </c>
    </row>
    <row r="194" spans="2:19">
      <c r="B194" s="7" t="s">
        <v>195</v>
      </c>
      <c r="D194" s="5" t="str">
        <f>LRTRIM(CONCATENATE(IF(SUMPRODUCT(-- ISNUMBER(SEARCH({"Auto Number"}, $B194))) &gt; 0, $B194, IF(SUMPRODUCT(-- ISNUMBER(SEARCH({"Lookup","Master-Detail"}, $B194))) &gt; 0,$B194 &amp; "(" &amp; $E194 &amp; ")",IF(SUMPRODUCT(-- ISNUMBER(SEARCH({"Formula","Roll-Up Summary"}, $B194))) &gt; 0,$B194 &amp; " (" &amp; $E194 &amp; ")",IF(SUMPRODUCT(-- ISNUMBER(SEARCH({"Content","Currency","Number","Percent","Text","URL"}, $B194))) &gt; 0,$B194 &amp; "(" &amp; $C194 &amp; ")",$B194)))), "  ", TRIM(IF($S194 = "YES", "(External ID)", "") &amp; " " &amp; IF(SUMPRODUCT(-- ISNUMBER(SEARCH({"Unique","Unique Case Insensitive"}, $R194))) &gt; 0, "(" &amp; $R194 &amp; ")", ""))))</f>
        <v>na</v>
      </c>
      <c r="E194" s="7"/>
      <c r="F194" s="7" t="s">
        <v>195</v>
      </c>
      <c r="G194" s="7" t="s">
        <v>195</v>
      </c>
      <c r="H194" s="7" t="s">
        <v>195</v>
      </c>
      <c r="I194" s="7" t="s">
        <v>195</v>
      </c>
      <c r="J194" s="7" t="s">
        <v>195</v>
      </c>
      <c r="K194" s="7" t="s">
        <v>195</v>
      </c>
      <c r="L194" s="7" t="s">
        <v>195</v>
      </c>
      <c r="M194" s="7" t="s">
        <v>29</v>
      </c>
      <c r="N194" s="7" t="s">
        <v>29</v>
      </c>
      <c r="O194" s="7" t="s">
        <v>29</v>
      </c>
      <c r="P194" s="7" t="s">
        <v>29</v>
      </c>
      <c r="Q194" s="7" t="s">
        <v>29</v>
      </c>
      <c r="R194" s="7" t="s">
        <v>29</v>
      </c>
      <c r="S194" s="7" t="s">
        <v>29</v>
      </c>
    </row>
    <row r="195" spans="2:19">
      <c r="B195" s="7" t="s">
        <v>195</v>
      </c>
      <c r="D195" s="5" t="str">
        <f>LRTRIM(CONCATENATE(IF(SUMPRODUCT(-- ISNUMBER(SEARCH({"Auto Number"}, $B195))) &gt; 0, $B195, IF(SUMPRODUCT(-- ISNUMBER(SEARCH({"Lookup","Master-Detail"}, $B195))) &gt; 0,$B195 &amp; "(" &amp; $E195 &amp; ")",IF(SUMPRODUCT(-- ISNUMBER(SEARCH({"Formula","Roll-Up Summary"}, $B195))) &gt; 0,$B195 &amp; " (" &amp; $E195 &amp; ")",IF(SUMPRODUCT(-- ISNUMBER(SEARCH({"Content","Currency","Number","Percent","Text","URL"}, $B195))) &gt; 0,$B195 &amp; "(" &amp; $C195 &amp; ")",$B195)))), "  ", TRIM(IF($S195 = "YES", "(External ID)", "") &amp; " " &amp; IF(SUMPRODUCT(-- ISNUMBER(SEARCH({"Unique","Unique Case Insensitive"}, $R195))) &gt; 0, "(" &amp; $R195 &amp; ")", ""))))</f>
        <v>na</v>
      </c>
      <c r="E195" s="7"/>
      <c r="F195" s="7" t="s">
        <v>195</v>
      </c>
      <c r="G195" s="7" t="s">
        <v>195</v>
      </c>
      <c r="H195" s="7" t="s">
        <v>195</v>
      </c>
      <c r="I195" s="7" t="s">
        <v>195</v>
      </c>
      <c r="J195" s="7" t="s">
        <v>195</v>
      </c>
      <c r="K195" s="7" t="s">
        <v>195</v>
      </c>
      <c r="L195" s="7" t="s">
        <v>195</v>
      </c>
      <c r="M195" s="7" t="s">
        <v>29</v>
      </c>
      <c r="N195" s="7" t="s">
        <v>29</v>
      </c>
      <c r="O195" s="7" t="s">
        <v>29</v>
      </c>
      <c r="P195" s="7" t="s">
        <v>29</v>
      </c>
      <c r="Q195" s="7" t="s">
        <v>29</v>
      </c>
      <c r="R195" s="7" t="s">
        <v>29</v>
      </c>
      <c r="S195" s="7" t="s">
        <v>29</v>
      </c>
    </row>
    <row r="196" spans="2:19">
      <c r="B196" s="7" t="s">
        <v>195</v>
      </c>
      <c r="D196" s="5" t="str">
        <f>LRTRIM(CONCATENATE(IF(SUMPRODUCT(-- ISNUMBER(SEARCH({"Auto Number"}, $B196))) &gt; 0, $B196, IF(SUMPRODUCT(-- ISNUMBER(SEARCH({"Lookup","Master-Detail"}, $B196))) &gt; 0,$B196 &amp; "(" &amp; $E196 &amp; ")",IF(SUMPRODUCT(-- ISNUMBER(SEARCH({"Formula","Roll-Up Summary"}, $B196))) &gt; 0,$B196 &amp; " (" &amp; $E196 &amp; ")",IF(SUMPRODUCT(-- ISNUMBER(SEARCH({"Content","Currency","Number","Percent","Text","URL"}, $B196))) &gt; 0,$B196 &amp; "(" &amp; $C196 &amp; ")",$B196)))), "  ", TRIM(IF($S196 = "YES", "(External ID)", "") &amp; " " &amp; IF(SUMPRODUCT(-- ISNUMBER(SEARCH({"Unique","Unique Case Insensitive"}, $R196))) &gt; 0, "(" &amp; $R196 &amp; ")", ""))))</f>
        <v>na</v>
      </c>
      <c r="E196" s="7"/>
      <c r="F196" s="7" t="s">
        <v>195</v>
      </c>
      <c r="G196" s="7" t="s">
        <v>195</v>
      </c>
      <c r="H196" s="7" t="s">
        <v>195</v>
      </c>
      <c r="I196" s="7" t="s">
        <v>195</v>
      </c>
      <c r="J196" s="7" t="s">
        <v>195</v>
      </c>
      <c r="K196" s="7" t="s">
        <v>195</v>
      </c>
      <c r="L196" s="7" t="s">
        <v>195</v>
      </c>
      <c r="M196" s="7" t="s">
        <v>29</v>
      </c>
      <c r="N196" s="7" t="s">
        <v>29</v>
      </c>
      <c r="O196" s="7" t="s">
        <v>29</v>
      </c>
      <c r="P196" s="7" t="s">
        <v>29</v>
      </c>
      <c r="Q196" s="7" t="s">
        <v>29</v>
      </c>
      <c r="R196" s="7" t="s">
        <v>29</v>
      </c>
      <c r="S196" s="7" t="s">
        <v>29</v>
      </c>
    </row>
    <row r="197" spans="2:19">
      <c r="B197" s="7" t="s">
        <v>195</v>
      </c>
      <c r="D197" s="5" t="str">
        <f>LRTRIM(CONCATENATE(IF(SUMPRODUCT(-- ISNUMBER(SEARCH({"Auto Number"}, $B197))) &gt; 0, $B197, IF(SUMPRODUCT(-- ISNUMBER(SEARCH({"Lookup","Master-Detail"}, $B197))) &gt; 0,$B197 &amp; "(" &amp; $E197 &amp; ")",IF(SUMPRODUCT(-- ISNUMBER(SEARCH({"Formula","Roll-Up Summary"}, $B197))) &gt; 0,$B197 &amp; " (" &amp; $E197 &amp; ")",IF(SUMPRODUCT(-- ISNUMBER(SEARCH({"Content","Currency","Number","Percent","Text","URL"}, $B197))) &gt; 0,$B197 &amp; "(" &amp; $C197 &amp; ")",$B197)))), "  ", TRIM(IF($S197 = "YES", "(External ID)", "") &amp; " " &amp; IF(SUMPRODUCT(-- ISNUMBER(SEARCH({"Unique","Unique Case Insensitive"}, $R197))) &gt; 0, "(" &amp; $R197 &amp; ")", ""))))</f>
        <v>na</v>
      </c>
      <c r="E197" s="7"/>
      <c r="F197" s="7" t="s">
        <v>195</v>
      </c>
      <c r="G197" s="7" t="s">
        <v>195</v>
      </c>
      <c r="H197" s="7" t="s">
        <v>195</v>
      </c>
      <c r="I197" s="7" t="s">
        <v>195</v>
      </c>
      <c r="J197" s="7" t="s">
        <v>195</v>
      </c>
      <c r="K197" s="7" t="s">
        <v>195</v>
      </c>
      <c r="L197" s="7" t="s">
        <v>195</v>
      </c>
      <c r="M197" s="7" t="s">
        <v>29</v>
      </c>
      <c r="N197" s="7" t="s">
        <v>29</v>
      </c>
      <c r="O197" s="7" t="s">
        <v>29</v>
      </c>
      <c r="P197" s="7" t="s">
        <v>29</v>
      </c>
      <c r="Q197" s="7" t="s">
        <v>29</v>
      </c>
      <c r="R197" s="7" t="s">
        <v>29</v>
      </c>
      <c r="S197" s="7" t="s">
        <v>29</v>
      </c>
    </row>
    <row r="198" spans="2:19">
      <c r="B198" s="7" t="s">
        <v>195</v>
      </c>
      <c r="D198" s="5" t="str">
        <f>LRTRIM(CONCATENATE(IF(SUMPRODUCT(-- ISNUMBER(SEARCH({"Auto Number"}, $B198))) &gt; 0, $B198, IF(SUMPRODUCT(-- ISNUMBER(SEARCH({"Lookup","Master-Detail"}, $B198))) &gt; 0,$B198 &amp; "(" &amp; $E198 &amp; ")",IF(SUMPRODUCT(-- ISNUMBER(SEARCH({"Formula","Roll-Up Summary"}, $B198))) &gt; 0,$B198 &amp; " (" &amp; $E198 &amp; ")",IF(SUMPRODUCT(-- ISNUMBER(SEARCH({"Content","Currency","Number","Percent","Text","URL"}, $B198))) &gt; 0,$B198 &amp; "(" &amp; $C198 &amp; ")",$B198)))), "  ", TRIM(IF($S198 = "YES", "(External ID)", "") &amp; " " &amp; IF(SUMPRODUCT(-- ISNUMBER(SEARCH({"Unique","Unique Case Insensitive"}, $R198))) &gt; 0, "(" &amp; $R198 &amp; ")", ""))))</f>
        <v>na</v>
      </c>
      <c r="E198" s="7"/>
      <c r="F198" s="7" t="s">
        <v>195</v>
      </c>
      <c r="G198" s="7" t="s">
        <v>195</v>
      </c>
      <c r="H198" s="7" t="s">
        <v>195</v>
      </c>
      <c r="I198" s="7" t="s">
        <v>195</v>
      </c>
      <c r="J198" s="7" t="s">
        <v>195</v>
      </c>
      <c r="K198" s="7" t="s">
        <v>195</v>
      </c>
      <c r="L198" s="7" t="s">
        <v>195</v>
      </c>
      <c r="M198" s="7" t="s">
        <v>29</v>
      </c>
      <c r="N198" s="7" t="s">
        <v>29</v>
      </c>
      <c r="O198" s="7" t="s">
        <v>29</v>
      </c>
      <c r="P198" s="7" t="s">
        <v>29</v>
      </c>
      <c r="Q198" s="7" t="s">
        <v>29</v>
      </c>
      <c r="R198" s="7" t="s">
        <v>29</v>
      </c>
      <c r="S198" s="7" t="s">
        <v>29</v>
      </c>
    </row>
    <row r="199" spans="2:19">
      <c r="B199" s="7" t="s">
        <v>195</v>
      </c>
      <c r="D199" s="5" t="str">
        <f>LRTRIM(CONCATENATE(IF(SUMPRODUCT(-- ISNUMBER(SEARCH({"Auto Number"}, $B199))) &gt; 0, $B199, IF(SUMPRODUCT(-- ISNUMBER(SEARCH({"Lookup","Master-Detail"}, $B199))) &gt; 0,$B199 &amp; "(" &amp; $E199 &amp; ")",IF(SUMPRODUCT(-- ISNUMBER(SEARCH({"Formula","Roll-Up Summary"}, $B199))) &gt; 0,$B199 &amp; " (" &amp; $E199 &amp; ")",IF(SUMPRODUCT(-- ISNUMBER(SEARCH({"Content","Currency","Number","Percent","Text","URL"}, $B199))) &gt; 0,$B199 &amp; "(" &amp; $C199 &amp; ")",$B199)))), "  ", TRIM(IF($S199 = "YES", "(External ID)", "") &amp; " " &amp; IF(SUMPRODUCT(-- ISNUMBER(SEARCH({"Unique","Unique Case Insensitive"}, $R199))) &gt; 0, "(" &amp; $R199 &amp; ")", ""))))</f>
        <v>na</v>
      </c>
      <c r="E199" s="7"/>
      <c r="F199" s="7" t="s">
        <v>195</v>
      </c>
      <c r="G199" s="7" t="s">
        <v>195</v>
      </c>
      <c r="H199" s="7" t="s">
        <v>195</v>
      </c>
      <c r="I199" s="7" t="s">
        <v>195</v>
      </c>
      <c r="J199" s="7" t="s">
        <v>195</v>
      </c>
      <c r="K199" s="7" t="s">
        <v>195</v>
      </c>
      <c r="L199" s="7" t="s">
        <v>195</v>
      </c>
      <c r="M199" s="7" t="s">
        <v>29</v>
      </c>
      <c r="N199" s="7" t="s">
        <v>29</v>
      </c>
      <c r="O199" s="7" t="s">
        <v>29</v>
      </c>
      <c r="P199" s="7" t="s">
        <v>29</v>
      </c>
      <c r="Q199" s="7" t="s">
        <v>29</v>
      </c>
      <c r="R199" s="7" t="s">
        <v>29</v>
      </c>
      <c r="S199" s="7" t="s">
        <v>29</v>
      </c>
    </row>
    <row r="200" spans="2:19">
      <c r="B200" s="7" t="s">
        <v>195</v>
      </c>
      <c r="D200" s="5" t="str">
        <f>LRTRIM(CONCATENATE(IF(SUMPRODUCT(-- ISNUMBER(SEARCH({"Auto Number"}, $B200))) &gt; 0, $B200, IF(SUMPRODUCT(-- ISNUMBER(SEARCH({"Lookup","Master-Detail"}, $B200))) &gt; 0,$B200 &amp; "(" &amp; $E200 &amp; ")",IF(SUMPRODUCT(-- ISNUMBER(SEARCH({"Formula","Roll-Up Summary"}, $B200))) &gt; 0,$B200 &amp; " (" &amp; $E200 &amp; ")",IF(SUMPRODUCT(-- ISNUMBER(SEARCH({"Content","Currency","Number","Percent","Text","URL"}, $B200))) &gt; 0,$B200 &amp; "(" &amp; $C200 &amp; ")",$B200)))), "  ", TRIM(IF($S200 = "YES", "(External ID)", "") &amp; " " &amp; IF(SUMPRODUCT(-- ISNUMBER(SEARCH({"Unique","Unique Case Insensitive"}, $R200))) &gt; 0, "(" &amp; $R200 &amp; ")", ""))))</f>
        <v>na</v>
      </c>
      <c r="E200" s="7"/>
      <c r="F200" s="7" t="s">
        <v>195</v>
      </c>
      <c r="G200" s="7" t="s">
        <v>195</v>
      </c>
      <c r="H200" s="7" t="s">
        <v>195</v>
      </c>
      <c r="I200" s="7" t="s">
        <v>195</v>
      </c>
      <c r="J200" s="7" t="s">
        <v>195</v>
      </c>
      <c r="K200" s="7" t="s">
        <v>195</v>
      </c>
      <c r="L200" s="7" t="s">
        <v>195</v>
      </c>
      <c r="M200" s="7" t="s">
        <v>29</v>
      </c>
      <c r="N200" s="7" t="s">
        <v>29</v>
      </c>
      <c r="O200" s="7" t="s">
        <v>29</v>
      </c>
      <c r="P200" s="7" t="s">
        <v>29</v>
      </c>
      <c r="Q200" s="7" t="s">
        <v>29</v>
      </c>
      <c r="R200" s="7" t="s">
        <v>29</v>
      </c>
      <c r="S200" s="7" t="s">
        <v>29</v>
      </c>
    </row>
  </sheetData>
  <sheetProtection formatCells="0" formatColumns="0" formatRows="0" insertColumns="0" insertRows="0" insertHyperlinks="0" deleteColumns="0" deleteRows="0" sort="0" autoFilter="0" pivotTables="0"/>
  <conditionalFormatting sqref="D2:D200">
    <cfRule type="expression" dxfId="112" priority="5">
      <formula>NOT(_xlfn.ISFORMULA($D2))</formula>
    </cfRule>
    <cfRule type="expression" dxfId="111" priority="1">
      <formula>NOT(_xlfn.ISFORMULA($D2))</formula>
    </cfRule>
  </conditionalFormatting>
  <conditionalFormatting sqref="A2:A100">
    <cfRule type="expression" dxfId="110" priority="4">
      <formula>NOT(_xlfn.ISFORMULA($D2))</formula>
    </cfRule>
    <cfRule type="expression" dxfId="109" priority="3">
      <formula>NOT(_xlfn.ISFORMULA($D2))</formula>
    </cfRule>
    <cfRule type="expression" dxfId="108" priority="2">
      <formula>NOT(_xlfn.ISFORMULA($D2))</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7">
        <x14:dataValidation type="list" allowBlank="1" showInputMessage="1" showErrorMessage="1">
          <x14:formula1>
            <xm:f>OFFSET('Reference Fields'!$B$2,0,0,COUNTA('Reference Fields'!$B:$B)-1)</xm:f>
          </x14:formula1>
          <xm:sqref>B2:B200</xm:sqref>
        </x14:dataValidation>
        <x14:dataValidation type="list" allowBlank="1" showInputMessage="1" showErrorMessage="1">
          <x14:formula1>
            <xm:f>OFFSET('Reference Fields'!$J$2,0,0,COUNTA('Reference Fields'!$J:$J)-1)</xm:f>
          </x14:formula1>
          <xm:sqref>O2:O200</xm:sqref>
        </x14:dataValidation>
        <x14:dataValidation type="list" allowBlank="1" showInputMessage="1" showErrorMessage="1">
          <x14:formula1>
            <xm:f>OFFSET('Reference Fields'!$J$2,0,0,COUNTA('Reference Fields'!$J:$J)-1)</xm:f>
          </x14:formula1>
          <xm:sqref>M2:M200</xm:sqref>
        </x14:dataValidation>
        <x14:dataValidation type="list" allowBlank="1" showInputMessage="1" showErrorMessage="1">
          <x14:formula1>
            <xm:f>OFFSET('Reference Fields'!$J$2,0,0,COUNTA('Reference Fields'!$J:$J)-1)</xm:f>
          </x14:formula1>
          <xm:sqref>N2:N200</xm:sqref>
        </x14:dataValidation>
        <x14:dataValidation type="list" allowBlank="1" showInputMessage="1" showErrorMessage="1">
          <x14:formula1>
            <xm:f>OFFSET('Reference Fields'!$J$2,0,0,COUNTA('Reference Fields'!$J:$J)-1)</xm:f>
          </x14:formula1>
          <xm:sqref>P2:P200</xm:sqref>
        </x14:dataValidation>
        <x14:dataValidation type="list" allowBlank="1" showInputMessage="1" showErrorMessage="1">
          <x14:formula1>
            <xm:f>OFFSET('Reference Fields'!$J$2,0,0,COUNTA('Reference Fields'!$J:$J)-1)</xm:f>
          </x14:formula1>
          <xm:sqref>Q2:Q200</xm:sqref>
        </x14:dataValidation>
        <x14:dataValidation type="list" allowBlank="1" showInputMessage="1" showErrorMessage="1">
          <x14:formula1>
            <xm:f>OFFSET('Reference Fields'!$J$2,0,0,COUNTA('Reference Fields'!$J:$J)-1)</xm:f>
          </x14:formula1>
          <xm:sqref>S2:S200</xm:sqref>
        </x14:dataValidation>
        <x14:dataValidation type="list" allowBlank="1" showInputMessage="1" showErrorMessage="1">
          <x14:formula1>
            <xm:f>OFFSET('Reference Fields'!$K$2,0,0,COUNTA('Reference Fields'!$K:$K)-1)</xm:f>
          </x14:formula1>
          <xm:sqref>R2:R200</xm:sqref>
        </x14:dataValidation>
        <x14:dataValidation type="list" allowBlank="1" showInputMessage="1" showErrorMessage="1">
          <x14:formula1>
            <xm:f>OFFSET('Reference Fields'!$D$2,0,0,COUNTA('Reference Fields'!$D:$D)-1)</xm:f>
          </x14:formula1>
          <xm:sqref>F2:F200</xm:sqref>
        </x14:dataValidation>
        <x14:dataValidation type="list" allowBlank="1" showInputMessage="1" showErrorMessage="1">
          <x14:formula1>
            <xm:f>OFFSET('Reference Fields'!$E$2,0,0,COUNTA('Reference Fields'!$E:$E)-1)</xm:f>
          </x14:formula1>
          <xm:sqref>G2:G200</xm:sqref>
        </x14:dataValidation>
        <x14:dataValidation type="list" allowBlank="1" showInputMessage="1" showErrorMessage="1">
          <x14:formula1>
            <xm:f>OFFSET('Reference Fields'!$F$2,0,0,COUNTA('Reference Fields'!$F:$F)-1)</xm:f>
          </x14:formula1>
          <xm:sqref>H2:H200</xm:sqref>
        </x14:dataValidation>
        <x14:dataValidation type="list" allowBlank="1" showInputMessage="1" showErrorMessage="1">
          <x14:formula1>
            <xm:f>OFFSET('Reference Fields'!$F$2,0,0,COUNTA('Reference Fields'!$F:$F)-1)</xm:f>
          </x14:formula1>
          <xm:sqref>I2:I200</xm:sqref>
        </x14:dataValidation>
        <x14:dataValidation type="list" allowBlank="1" showInputMessage="1" showErrorMessage="1">
          <x14:formula1>
            <xm:f>OFFSET('Reference Fields'!$G$2,0,0,COUNTA('Reference Fields'!$G:$G)-1)</xm:f>
          </x14:formula1>
          <xm:sqref>J2:J200</xm:sqref>
        </x14:dataValidation>
        <x14:dataValidation type="list" allowBlank="1" showInputMessage="1" showErrorMessage="1">
          <x14:formula1>
            <xm:f>OFFSET('Reference Fields'!$H$2,0,0,COUNTA('Reference Fields'!$H:$H)-1)</xm:f>
          </x14:formula1>
          <xm:sqref>K2:K200</xm:sqref>
        </x14:dataValidation>
        <x14:dataValidation type="list" allowBlank="1" showInputMessage="1" showErrorMessage="1">
          <x14:formula1>
            <xm:f>OFFSET('Reference Fields'!$I$2,0,0,COUNTA('Reference Fields'!$I:$I)-1)</xm:f>
          </x14:formula1>
          <xm:sqref>L2:L200</xm:sqref>
        </x14:dataValidation>
        <x14:dataValidation type="list" allowBlank="1" showInputMessage="1" showErrorMessage="1">
          <x14:formula1>
            <xm:f>OFFSET('Reference Fields'!$K$2,0,0,COUNTA('Reference Fields'!K:K)-1)</xm:f>
          </x14:formula1>
          <xm:sqref>T2:T100</xm:sqref>
        </x14:dataValidation>
        <x14:dataValidation type="list" allowBlank="1" showInputMessage="1" showErrorMessage="1">
          <x14:formula1>
            <xm:f>OFFSET('Reference Fields'!$L$2,0,0,COUNTA('Reference Fields'!L:L)-1)</xm:f>
          </x14:formula1>
          <xm:sqref>U2:U100</xm:sqref>
        </x14:dataValidation>
      </x14:dataValidations>
    </ext>
  </extLst>
</worksheet>
</file>

<file path=xl/worksheets/sheet3.xml><?xml version="1.0" encoding="utf-8"?>
<worksheet xmlns="http://schemas.openxmlformats.org/spreadsheetml/2006/main" xmlns:r="http://schemas.openxmlformats.org/officeDocument/2006/relationships">
  <sheetPr codeName="Sheet3"/>
  <dimension ref="A1:S200"/>
  <sheetViews>
    <sheetView workbookViewId="0">
      <pane ySplit="1" topLeftCell="A2" activePane="bottomLeft" state="frozen"/>
      <selection pane="bottomLeft" activeCell="A2" sqref="A2"/>
    </sheetView>
  </sheetViews>
  <sheetFormatPr defaultRowHeight="14.5"/>
  <cols>
    <col min="1" max="1" width="17.90625" bestFit="1" customWidth="1"/>
    <col min="2" max="2" width="13.54296875" customWidth="1"/>
    <col min="3" max="3" width="8.90625" customWidth="1"/>
    <col min="4" max="4" width="24" customWidth="1"/>
    <col min="5" max="5" width="12.6328125" customWidth="1"/>
    <col min="6" max="6" width="15.6328125" bestFit="1" customWidth="1"/>
    <col min="7" max="8" width="15.453125" customWidth="1"/>
    <col min="9" max="9" width="22.6328125" customWidth="1"/>
    <col min="10" max="10" width="23.36328125" customWidth="1"/>
    <col min="11" max="11" width="17.54296875" customWidth="1"/>
    <col min="12" max="12" width="14.08984375" customWidth="1"/>
    <col min="13" max="13" width="10.453125" bestFit="1" customWidth="1"/>
    <col min="14" max="14" width="10.453125" customWidth="1"/>
    <col min="15" max="15" width="12.453125" bestFit="1" customWidth="1"/>
  </cols>
  <sheetData>
    <row r="1" spans="1:19" s="1" customFormat="1">
      <c r="A1" s="1" t="s">
        <v>2</v>
      </c>
      <c r="B1" s="1" t="s">
        <v>1198</v>
      </c>
      <c r="C1" s="1" t="s">
        <v>1199</v>
      </c>
      <c r="D1" s="1" t="s">
        <v>0</v>
      </c>
      <c r="E1" s="1" t="s">
        <v>1</v>
      </c>
      <c r="F1" s="1" t="s">
        <v>30</v>
      </c>
      <c r="G1" s="1" t="s">
        <v>31</v>
      </c>
      <c r="H1" s="1" t="s">
        <v>1262</v>
      </c>
      <c r="I1" s="1" t="s">
        <v>49</v>
      </c>
      <c r="J1" s="1" t="s">
        <v>48</v>
      </c>
      <c r="K1" s="1" t="s">
        <v>54</v>
      </c>
      <c r="L1" s="1" t="s">
        <v>55</v>
      </c>
      <c r="M1" s="1" t="s">
        <v>27</v>
      </c>
      <c r="N1" s="1" t="s">
        <v>175</v>
      </c>
      <c r="O1" s="1" t="s">
        <v>193</v>
      </c>
      <c r="P1" s="1" t="s">
        <v>1221</v>
      </c>
      <c r="Q1" s="1" t="s">
        <v>1264</v>
      </c>
      <c r="R1" s="1" t="s">
        <v>1263</v>
      </c>
      <c r="S1" s="1" t="s">
        <v>1265</v>
      </c>
    </row>
    <row r="2" spans="1:19">
      <c r="A2" s="7" t="s">
        <v>3</v>
      </c>
      <c r="B2" s="7" t="s">
        <v>1211</v>
      </c>
      <c r="C2" s="8">
        <v>18</v>
      </c>
      <c r="D2" s="5" t="str">
        <f>LRTRIM(CONCATENATE(IF(SUMPRODUCT(-- ISNUMBER(SEARCH({"Auto Number"}, $B2))) &gt; 0, $B2, IF(SUMPRODUCT(-- ISNUMBER(SEARCH({"Lookup","Master-Detail"}, $B2))) &gt; 0,$B2 &amp; "(" &amp; $E2 &amp; ")",IF(SUMPRODUCT(-- ISNUMBER(SEARCH({"Formula","Roll-Up Summary"}, $B2))) &gt; 0,$B2 &amp; " (" &amp; $E2 &amp; ")",IF(SUMPRODUCT(-- ISNUMBER(SEARCH({"Content","Currency","Number","Percent","Text","URL"}, $B2))) &gt; 0,$B2 &amp; "(" &amp; $C2 &amp; ")",$B2)))), "  ", TRIM(IF($S2 = "YES", "(External ID)", "") &amp; " " &amp; IF(SUMPRODUCT(-- ISNUMBER(SEARCH({"Unique","Unique Case Insensitive"}, $R2))) &gt; 0, "(" &amp; $R2 &amp; ")", ""))))</f>
        <v>Lookup(Account)</v>
      </c>
      <c r="E2" s="7" t="s">
        <v>5</v>
      </c>
      <c r="F2" s="7" t="s">
        <v>5</v>
      </c>
      <c r="G2" s="7" t="s">
        <v>195</v>
      </c>
      <c r="H2" s="7" t="s">
        <v>195</v>
      </c>
      <c r="I2" s="7" t="s">
        <v>195</v>
      </c>
      <c r="J2" s="7" t="s">
        <v>195</v>
      </c>
      <c r="K2" s="7" t="s">
        <v>195</v>
      </c>
      <c r="L2" s="7" t="s">
        <v>195</v>
      </c>
      <c r="M2" s="7" t="s">
        <v>28</v>
      </c>
      <c r="N2" s="7" t="s">
        <v>29</v>
      </c>
      <c r="O2" s="7" t="s">
        <v>29</v>
      </c>
      <c r="P2" s="7" t="s">
        <v>29</v>
      </c>
      <c r="Q2" s="7" t="s">
        <v>29</v>
      </c>
      <c r="R2" s="7" t="s">
        <v>29</v>
      </c>
      <c r="S2" s="7" t="s">
        <v>29</v>
      </c>
    </row>
    <row r="3" spans="1:19">
      <c r="A3" s="7" t="s">
        <v>9</v>
      </c>
      <c r="B3" s="7" t="s">
        <v>1218</v>
      </c>
      <c r="C3" s="8">
        <v>50</v>
      </c>
      <c r="D3" s="5" t="str">
        <f>LRTRIM(CONCATENATE(IF(SUMPRODUCT(-- ISNUMBER(SEARCH({"Auto Number"}, $B3))) &gt; 0, $B3, IF(SUMPRODUCT(-- ISNUMBER(SEARCH({"Lookup","Master-Detail"}, $B3))) &gt; 0,$B3 &amp; "(" &amp; $E3 &amp; ")",IF(SUMPRODUCT(-- ISNUMBER(SEARCH({"Formula","Roll-Up Summary"}, $B3))) &gt; 0,$B3 &amp; " (" &amp; $E3 &amp; ")",IF(SUMPRODUCT(-- ISNUMBER(SEARCH({"Content","Currency","Number","Percent","Text","URL"}, $B3))) &gt; 0,$B3 &amp; "(" &amp; $C3 &amp; ")",$B3)))), "  ", TRIM(IF($S3 = "YES", "(External ID)", "") &amp; " " &amp; IF(SUMPRODUCT(-- ISNUMBER(SEARCH({"Unique","Unique Case Insensitive"}, $R3))) &gt; 0, "(" &amp; $R3 &amp; ")", ""))))</f>
        <v>Text(50)</v>
      </c>
      <c r="E3" s="7" t="s">
        <v>195</v>
      </c>
      <c r="F3" s="7" t="s">
        <v>18</v>
      </c>
      <c r="G3" s="7" t="s">
        <v>195</v>
      </c>
      <c r="H3" s="7" t="s">
        <v>195</v>
      </c>
      <c r="I3" s="7" t="s">
        <v>195</v>
      </c>
      <c r="J3" s="7" t="s">
        <v>195</v>
      </c>
      <c r="K3" s="7" t="s">
        <v>195</v>
      </c>
      <c r="L3" s="7" t="s">
        <v>195</v>
      </c>
      <c r="M3" s="7" t="s">
        <v>29</v>
      </c>
      <c r="N3" s="7" t="s">
        <v>29</v>
      </c>
      <c r="O3" s="7" t="s">
        <v>29</v>
      </c>
      <c r="P3" s="7" t="s">
        <v>29</v>
      </c>
      <c r="Q3" s="7" t="s">
        <v>29</v>
      </c>
      <c r="R3" s="7" t="s">
        <v>29</v>
      </c>
      <c r="S3" s="7" t="s">
        <v>29</v>
      </c>
    </row>
    <row r="4" spans="1:19">
      <c r="A4" s="7" t="s">
        <v>10</v>
      </c>
      <c r="B4" s="7" t="s">
        <v>1211</v>
      </c>
      <c r="C4" s="8">
        <v>18</v>
      </c>
      <c r="D4" s="5" t="str">
        <f>LRTRIM(CONCATENATE(IF(SUMPRODUCT(-- ISNUMBER(SEARCH({"Auto Number"}, $B4))) &gt; 0, $B4, IF(SUMPRODUCT(-- ISNUMBER(SEARCH({"Lookup","Master-Detail"}, $B4))) &gt; 0,$B4 &amp; "(" &amp; $E4 &amp; ")",IF(SUMPRODUCT(-- ISNUMBER(SEARCH({"Formula","Roll-Up Summary"}, $B4))) &gt; 0,$B4 &amp; " (" &amp; $E4 &amp; ")",IF(SUMPRODUCT(-- ISNUMBER(SEARCH({"Content","Currency","Number","Percent","Text","URL"}, $B4))) &gt; 0,$B4 &amp; "(" &amp; $C4 &amp; ")",$B4)))), "  ", TRIM(IF($S4 = "YES", "(External ID)", "") &amp; " " &amp; IF(SUMPRODUCT(-- ISNUMBER(SEARCH({"Unique","Unique Case Insensitive"}, $R4))) &gt; 0, "(" &amp; $R4 &amp; ")", ""))))</f>
        <v>Lookup(Contact)</v>
      </c>
      <c r="E4" s="7" t="s">
        <v>6</v>
      </c>
      <c r="F4" s="7" t="s">
        <v>6</v>
      </c>
      <c r="G4" s="7" t="s">
        <v>195</v>
      </c>
      <c r="H4" s="7" t="s">
        <v>195</v>
      </c>
      <c r="I4" s="7" t="s">
        <v>195</v>
      </c>
      <c r="J4" s="7" t="s">
        <v>195</v>
      </c>
      <c r="K4" s="7" t="s">
        <v>195</v>
      </c>
      <c r="L4" s="7" t="s">
        <v>195</v>
      </c>
      <c r="M4" s="7" t="s">
        <v>28</v>
      </c>
      <c r="N4" s="7" t="s">
        <v>29</v>
      </c>
      <c r="O4" s="7" t="s">
        <v>29</v>
      </c>
      <c r="P4" s="7" t="s">
        <v>29</v>
      </c>
      <c r="Q4" s="7" t="s">
        <v>29</v>
      </c>
      <c r="R4" s="7" t="s">
        <v>29</v>
      </c>
      <c r="S4" s="7" t="s">
        <v>29</v>
      </c>
    </row>
    <row r="5" spans="1:19">
      <c r="A5" s="7" t="s">
        <v>11</v>
      </c>
      <c r="B5" s="7" t="s">
        <v>1218</v>
      </c>
      <c r="C5" s="8">
        <v>200</v>
      </c>
      <c r="D5" s="5" t="str">
        <f>LRTRIM(CONCATENATE(IF(SUMPRODUCT(-- ISNUMBER(SEARCH({"Auto Number"}, $B5))) &gt; 0, $B5, IF(SUMPRODUCT(-- ISNUMBER(SEARCH({"Lookup","Master-Detail"}, $B5))) &gt; 0,$B5 &amp; "(" &amp; $E5 &amp; ")",IF(SUMPRODUCT(-- ISNUMBER(SEARCH({"Formula","Roll-Up Summary"}, $B5))) &gt; 0,$B5 &amp; " (" &amp; $E5 &amp; ")",IF(SUMPRODUCT(-- ISNUMBER(SEARCH({"Content","Currency","Number","Percent","Text","URL"}, $B5))) &gt; 0,$B5 &amp; "(" &amp; $C5 &amp; ")",$B5)))), "  ", TRIM(IF($S5 = "YES", "(External ID)", "") &amp; " " &amp; IF(SUMPRODUCT(-- ISNUMBER(SEARCH({"Unique","Unique Case Insensitive"}, $R5))) &gt; 0, "(" &amp; $R5 &amp; ")", ""))))</f>
        <v>Text(200)</v>
      </c>
      <c r="E5" s="7" t="s">
        <v>195</v>
      </c>
      <c r="F5" s="7" t="s">
        <v>20</v>
      </c>
      <c r="G5" s="7" t="s">
        <v>195</v>
      </c>
      <c r="H5" s="7" t="s">
        <v>195</v>
      </c>
      <c r="I5" s="7" t="s">
        <v>195</v>
      </c>
      <c r="J5" s="7" t="s">
        <v>195</v>
      </c>
      <c r="K5" s="7" t="s">
        <v>195</v>
      </c>
      <c r="L5" s="7" t="s">
        <v>195</v>
      </c>
      <c r="M5" s="7" t="s">
        <v>29</v>
      </c>
      <c r="N5" s="7" t="s">
        <v>29</v>
      </c>
      <c r="O5" s="7" t="s">
        <v>29</v>
      </c>
      <c r="P5" s="7" t="s">
        <v>29</v>
      </c>
      <c r="Q5" s="7" t="s">
        <v>29</v>
      </c>
      <c r="R5" s="7" t="s">
        <v>29</v>
      </c>
      <c r="S5" s="7" t="s">
        <v>29</v>
      </c>
    </row>
    <row r="6" spans="1:19">
      <c r="A6" s="7" t="s">
        <v>12</v>
      </c>
      <c r="B6" s="7" t="s">
        <v>386</v>
      </c>
      <c r="C6" s="8">
        <v>0</v>
      </c>
      <c r="D6" s="5" t="str">
        <f>LRTRIM(CONCATENATE(IF(SUMPRODUCT(-- ISNUMBER(SEARCH({"Auto Number"}, $B6))) &gt; 0, $B6, IF(SUMPRODUCT(-- ISNUMBER(SEARCH({"Lookup","Master-Detail"}, $B6))) &gt; 0,$B6 &amp; "(" &amp; $E6 &amp; ")",IF(SUMPRODUCT(-- ISNUMBER(SEARCH({"Formula","Roll-Up Summary"}, $B6))) &gt; 0,$B6 &amp; " (" &amp; $E6 &amp; ")",IF(SUMPRODUCT(-- ISNUMBER(SEARCH({"Content","Currency","Number","Percent","Text","URL"}, $B6))) &gt; 0,$B6 &amp; "(" &amp; $C6 &amp; ")",$B6)))), "  ", TRIM(IF($S6 = "YES", "(External ID)", "") &amp; " " &amp; IF(SUMPRODUCT(-- ISNUMBER(SEARCH({"Unique","Unique Case Insensitive"}, $R6))) &gt; 0, "(" &amp; $R6 &amp; ")", ""))))</f>
        <v>Date</v>
      </c>
      <c r="E6" s="7" t="s">
        <v>195</v>
      </c>
      <c r="F6" s="7" t="s">
        <v>23</v>
      </c>
      <c r="G6" s="7" t="s">
        <v>195</v>
      </c>
      <c r="H6" s="7" t="s">
        <v>195</v>
      </c>
      <c r="I6" s="7" t="s">
        <v>195</v>
      </c>
      <c r="J6" s="7" t="s">
        <v>195</v>
      </c>
      <c r="K6" s="7" t="s">
        <v>195</v>
      </c>
      <c r="L6" s="7" t="s">
        <v>195</v>
      </c>
      <c r="M6" s="7" t="s">
        <v>29</v>
      </c>
      <c r="N6" s="7" t="s">
        <v>29</v>
      </c>
      <c r="O6" s="7" t="s">
        <v>29</v>
      </c>
      <c r="P6" s="7" t="s">
        <v>29</v>
      </c>
      <c r="Q6" s="7" t="s">
        <v>29</v>
      </c>
      <c r="R6" s="7" t="s">
        <v>29</v>
      </c>
      <c r="S6" s="7" t="s">
        <v>29</v>
      </c>
    </row>
    <row r="7" spans="1:19">
      <c r="A7" s="7" t="s">
        <v>13</v>
      </c>
      <c r="B7" s="7" t="s">
        <v>1218</v>
      </c>
      <c r="C7" s="8">
        <v>10</v>
      </c>
      <c r="D7" s="5" t="str">
        <f>LRTRIM(CONCATENATE(IF(SUMPRODUCT(-- ISNUMBER(SEARCH({"Auto Number"}, $B7))) &gt; 0, $B7, IF(SUMPRODUCT(-- ISNUMBER(SEARCH({"Lookup","Master-Detail"}, $B7))) &gt; 0,$B7 &amp; "(" &amp; $E7 &amp; ")",IF(SUMPRODUCT(-- ISNUMBER(SEARCH({"Formula","Roll-Up Summary"}, $B7))) &gt; 0,$B7 &amp; " (" &amp; $E7 &amp; ")",IF(SUMPRODUCT(-- ISNUMBER(SEARCH({"Content","Currency","Number","Percent","Text","URL"}, $B7))) &gt; 0,$B7 &amp; "(" &amp; $C7 &amp; ")",$B7)))), "  ", TRIM(IF($S7 = "YES", "(External ID)", "") &amp; " " &amp; IF(SUMPRODUCT(-- ISNUMBER(SEARCH({"Unique","Unique Case Insensitive"}, $R7))) &gt; 0, "(" &amp; $R7 &amp; ")", ""))))</f>
        <v>Text(10)</v>
      </c>
      <c r="E7" s="7" t="s">
        <v>195</v>
      </c>
      <c r="F7" s="7" t="s">
        <v>24</v>
      </c>
      <c r="G7" s="7" t="s">
        <v>195</v>
      </c>
      <c r="H7" s="7" t="s">
        <v>195</v>
      </c>
      <c r="I7" s="7" t="s">
        <v>195</v>
      </c>
      <c r="J7" s="7" t="s">
        <v>195</v>
      </c>
      <c r="K7" s="7" t="s">
        <v>195</v>
      </c>
      <c r="L7" s="7" t="s">
        <v>195</v>
      </c>
      <c r="M7" s="7" t="s">
        <v>29</v>
      </c>
      <c r="N7" s="7" t="s">
        <v>29</v>
      </c>
      <c r="O7" s="7" t="s">
        <v>29</v>
      </c>
      <c r="P7" s="7" t="s">
        <v>29</v>
      </c>
      <c r="Q7" s="7" t="s">
        <v>29</v>
      </c>
      <c r="R7" s="7" t="s">
        <v>29</v>
      </c>
      <c r="S7" s="7" t="s">
        <v>29</v>
      </c>
    </row>
    <row r="8" spans="1:19">
      <c r="A8" s="7" t="s">
        <v>14</v>
      </c>
      <c r="B8" s="7" t="s">
        <v>1204</v>
      </c>
      <c r="C8" s="8">
        <v>0</v>
      </c>
      <c r="D8" s="5" t="str">
        <f>LRTRIM(CONCATENATE(IF(SUMPRODUCT(-- ISNUMBER(SEARCH({"Auto Number"}, $B8))) &gt; 0, $B8, IF(SUMPRODUCT(-- ISNUMBER(SEARCH({"Lookup","Master-Detail"}, $B8))) &gt; 0,$B8 &amp; "(" &amp; $E8 &amp; ")",IF(SUMPRODUCT(-- ISNUMBER(SEARCH({"Formula","Roll-Up Summary"}, $B8))) &gt; 0,$B8 &amp; " (" &amp; $E8 &amp; ")",IF(SUMPRODUCT(-- ISNUMBER(SEARCH({"Content","Currency","Number","Percent","Text","URL"}, $B8))) &gt; 0,$B8 &amp; "(" &amp; $C8 &amp; ")",$B8)))), "  ", TRIM(IF($S8 = "YES", "(External ID)", "") &amp; " " &amp; IF(SUMPRODUCT(-- ISNUMBER(SEARCH({"Unique","Unique Case Insensitive"}, $R8))) &gt; 0, "(" &amp; $R8 &amp; ")", ""))))</f>
        <v>Checkbox</v>
      </c>
      <c r="E8" s="7" t="s">
        <v>195</v>
      </c>
      <c r="F8" s="7" t="s">
        <v>25</v>
      </c>
      <c r="G8" s="7" t="s">
        <v>195</v>
      </c>
      <c r="H8" s="7" t="s">
        <v>195</v>
      </c>
      <c r="I8" s="7" t="s">
        <v>195</v>
      </c>
      <c r="J8" s="7" t="s">
        <v>195</v>
      </c>
      <c r="K8" s="7" t="s">
        <v>195</v>
      </c>
      <c r="L8" s="7" t="s">
        <v>195</v>
      </c>
      <c r="M8" s="7" t="s">
        <v>28</v>
      </c>
      <c r="N8" s="7" t="s">
        <v>29</v>
      </c>
      <c r="O8" s="7" t="s">
        <v>29</v>
      </c>
      <c r="P8" s="7" t="s">
        <v>29</v>
      </c>
      <c r="Q8" s="7" t="s">
        <v>29</v>
      </c>
      <c r="R8" s="7" t="s">
        <v>29</v>
      </c>
      <c r="S8" s="7" t="s">
        <v>29</v>
      </c>
    </row>
    <row r="9" spans="1:19">
      <c r="A9" s="7" t="s">
        <v>15</v>
      </c>
      <c r="B9" s="7" t="s">
        <v>1218</v>
      </c>
      <c r="C9" s="8">
        <v>255</v>
      </c>
      <c r="D9" s="5" t="str">
        <f>LRTRIM(CONCATENATE(IF(SUMPRODUCT(-- ISNUMBER(SEARCH({"Auto Number"}, $B9))) &gt; 0, $B9, IF(SUMPRODUCT(-- ISNUMBER(SEARCH({"Lookup","Master-Detail"}, $B9))) &gt; 0,$B9 &amp; "(" &amp; $E9 &amp; ")",IF(SUMPRODUCT(-- ISNUMBER(SEARCH({"Formula","Roll-Up Summary"}, $B9))) &gt; 0,$B9 &amp; " (" &amp; $E9 &amp; ")",IF(SUMPRODUCT(-- ISNUMBER(SEARCH({"Content","Currency","Number","Percent","Text","URL"}, $B9))) &gt; 0,$B9 &amp; "(" &amp; $C9 &amp; ")",$B9)))), "  ", TRIM(IF($S9 = "YES", "(External ID)", "") &amp; " " &amp; IF(SUMPRODUCT(-- ISNUMBER(SEARCH({"Unique","Unique Case Insensitive"}, $R9))) &gt; 0, "(" &amp; $R9 &amp; ")", ""))))</f>
        <v>Text(255)  (External ID) (Unique Case Insensitive)</v>
      </c>
      <c r="E9" s="7" t="s">
        <v>195</v>
      </c>
      <c r="F9" s="7" t="s">
        <v>26</v>
      </c>
      <c r="G9" s="7" t="s">
        <v>195</v>
      </c>
      <c r="H9" s="7" t="s">
        <v>195</v>
      </c>
      <c r="I9" s="7" t="s">
        <v>195</v>
      </c>
      <c r="J9" s="7" t="s">
        <v>195</v>
      </c>
      <c r="K9" s="7" t="s">
        <v>195</v>
      </c>
      <c r="L9" s="7" t="s">
        <v>195</v>
      </c>
      <c r="M9" s="7" t="s">
        <v>29</v>
      </c>
      <c r="N9" s="7" t="s">
        <v>29</v>
      </c>
      <c r="O9" s="7" t="s">
        <v>29</v>
      </c>
      <c r="P9" s="7" t="s">
        <v>29</v>
      </c>
      <c r="Q9" s="7" t="s">
        <v>29</v>
      </c>
      <c r="R9" s="7" t="s">
        <v>1271</v>
      </c>
      <c r="S9" s="7" t="s">
        <v>28</v>
      </c>
    </row>
    <row r="10" spans="1:19">
      <c r="A10" s="7" t="s">
        <v>16</v>
      </c>
      <c r="B10" s="7" t="s">
        <v>1216</v>
      </c>
      <c r="C10" s="8">
        <v>4099</v>
      </c>
      <c r="D10" s="5" t="str">
        <f>LRTRIM(CONCATENATE(IF(SUMPRODUCT(-- ISNUMBER(SEARCH({"Auto Number"}, $B10))) &gt; 0, $B10, IF(SUMPRODUCT(-- ISNUMBER(SEARCH({"Lookup","Master-Detail"}, $B10))) &gt; 0,$B10 &amp; "(" &amp; $E10 &amp; ")",IF(SUMPRODUCT(-- ISNUMBER(SEARCH({"Formula","Roll-Up Summary"}, $B10))) &gt; 0,$B10 &amp; " (" &amp; $E10 &amp; ")",IF(SUMPRODUCT(-- ISNUMBER(SEARCH({"Content","Currency","Number","Percent","Text","URL"}, $B10))) &gt; 0,$B10 &amp; "(" &amp; $C10 &amp; ")",$B10)))), "  ", TRIM(IF($S10 = "YES", "(External ID)", "") &amp; " " &amp; IF(SUMPRODUCT(-- ISNUMBER(SEARCH({"Unique","Unique Case Insensitive"}, $R10))) &gt; 0, "(" &amp; $R10 &amp; ")", ""))))</f>
        <v>Picklist (Multi-Select)</v>
      </c>
      <c r="E10" s="7" t="s">
        <v>195</v>
      </c>
      <c r="F10" s="7" t="s">
        <v>16</v>
      </c>
      <c r="G10" s="7" t="s">
        <v>195</v>
      </c>
      <c r="H10" s="7" t="s">
        <v>195</v>
      </c>
      <c r="I10" s="7" t="s">
        <v>195</v>
      </c>
      <c r="J10" s="7" t="s">
        <v>195</v>
      </c>
      <c r="K10" s="7" t="s">
        <v>40</v>
      </c>
      <c r="L10" s="7" t="s">
        <v>195</v>
      </c>
      <c r="M10" s="7" t="s">
        <v>29</v>
      </c>
      <c r="N10" s="7" t="s">
        <v>29</v>
      </c>
      <c r="O10" s="7" t="s">
        <v>29</v>
      </c>
      <c r="P10" s="7" t="s">
        <v>29</v>
      </c>
      <c r="Q10" s="7" t="s">
        <v>29</v>
      </c>
      <c r="R10" s="7" t="s">
        <v>29</v>
      </c>
      <c r="S10" s="7" t="s">
        <v>29</v>
      </c>
    </row>
    <row r="11" spans="1:19">
      <c r="A11" s="7" t="s">
        <v>32</v>
      </c>
      <c r="B11" s="7" t="s">
        <v>195</v>
      </c>
      <c r="C11" s="8" t="s">
        <v>195</v>
      </c>
      <c r="D11" s="5" t="str">
        <f>LRTRIM(CONCATENATE(IF(SUMPRODUCT(-- ISNUMBER(SEARCH({"Auto Number"}, $B11))) &gt; 0, $B11, IF(SUMPRODUCT(-- ISNUMBER(SEARCH({"Lookup","Master-Detail"}, $B11))) &gt; 0,$B11 &amp; "(" &amp; $E11 &amp; ")",IF(SUMPRODUCT(-- ISNUMBER(SEARCH({"Formula","Roll-Up Summary"}, $B11))) &gt; 0,$B11 &amp; " (" &amp; $E11 &amp; ")",IF(SUMPRODUCT(-- ISNUMBER(SEARCH({"Content","Currency","Number","Percent","Text","URL"}, $B11))) &gt; 0,$B11 &amp; "(" &amp; $C11 &amp; ")",$B11)))), "  ", TRIM(IF($S11 = "YES", "(External ID)", "") &amp; " " &amp; IF(SUMPRODUCT(-- ISNUMBER(SEARCH({"Unique","Unique Case Insensitive"}, $R11))) &gt; 0, "(" &amp; $R11 &amp; ")", ""))))</f>
        <v>na</v>
      </c>
      <c r="E11" s="7" t="s">
        <v>195</v>
      </c>
      <c r="F11" s="7" t="s">
        <v>195</v>
      </c>
      <c r="G11" s="7" t="s">
        <v>195</v>
      </c>
      <c r="H11" s="7" t="s">
        <v>195</v>
      </c>
      <c r="I11" s="7" t="s">
        <v>195</v>
      </c>
      <c r="J11" s="7" t="s">
        <v>195</v>
      </c>
      <c r="K11" s="7" t="s">
        <v>195</v>
      </c>
      <c r="L11" s="7" t="s">
        <v>195</v>
      </c>
      <c r="M11" s="7" t="s">
        <v>28</v>
      </c>
      <c r="N11" s="7" t="s">
        <v>29</v>
      </c>
      <c r="O11" s="7" t="s">
        <v>29</v>
      </c>
      <c r="P11" s="7" t="s">
        <v>29</v>
      </c>
      <c r="Q11" s="7" t="s">
        <v>29</v>
      </c>
      <c r="R11" s="7" t="s">
        <v>29</v>
      </c>
      <c r="S11" s="7" t="s">
        <v>29</v>
      </c>
    </row>
    <row r="12" spans="1:19">
      <c r="A12" s="7" t="s">
        <v>33</v>
      </c>
      <c r="B12" s="7" t="s">
        <v>195</v>
      </c>
      <c r="C12" s="8" t="s">
        <v>195</v>
      </c>
      <c r="D12" s="5" t="str">
        <f>LRTRIM(CONCATENATE(IF(SUMPRODUCT(-- ISNUMBER(SEARCH({"Auto Number"}, $B12))) &gt; 0, $B12, IF(SUMPRODUCT(-- ISNUMBER(SEARCH({"Lookup","Master-Detail"}, $B12))) &gt; 0,$B12 &amp; "(" &amp; $E12 &amp; ")",IF(SUMPRODUCT(-- ISNUMBER(SEARCH({"Formula","Roll-Up Summary"}, $B12))) &gt; 0,$B12 &amp; " (" &amp; $E12 &amp; ")",IF(SUMPRODUCT(-- ISNUMBER(SEARCH({"Content","Currency","Number","Percent","Text","URL"}, $B12))) &gt; 0,$B12 &amp; "(" &amp; $C12 &amp; ")",$B12)))), "  ", TRIM(IF($S12 = "YES", "(External ID)", "") &amp; " " &amp; IF(SUMPRODUCT(-- ISNUMBER(SEARCH({"Unique","Unique Case Insensitive"}, $R12))) &gt; 0, "(" &amp; $R12 &amp; ")", ""))))</f>
        <v>na</v>
      </c>
      <c r="E12" s="7" t="s">
        <v>195</v>
      </c>
      <c r="F12" s="7" t="s">
        <v>195</v>
      </c>
      <c r="G12" s="7" t="s">
        <v>195</v>
      </c>
      <c r="H12" s="7" t="s">
        <v>195</v>
      </c>
      <c r="I12" s="7" t="s">
        <v>195</v>
      </c>
      <c r="J12" s="7" t="s">
        <v>195</v>
      </c>
      <c r="K12" s="7" t="s">
        <v>195</v>
      </c>
      <c r="L12" s="7" t="s">
        <v>195</v>
      </c>
      <c r="M12" s="7" t="s">
        <v>28</v>
      </c>
      <c r="N12" s="7" t="s">
        <v>29</v>
      </c>
      <c r="O12" s="7" t="s">
        <v>29</v>
      </c>
      <c r="P12" s="7" t="s">
        <v>29</v>
      </c>
      <c r="Q12" s="7" t="s">
        <v>29</v>
      </c>
      <c r="R12" s="7" t="s">
        <v>29</v>
      </c>
      <c r="S12" s="7" t="s">
        <v>29</v>
      </c>
    </row>
    <row r="13" spans="1:19">
      <c r="A13" s="7" t="s">
        <v>34</v>
      </c>
      <c r="B13" s="7" t="s">
        <v>195</v>
      </c>
      <c r="C13" s="8" t="s">
        <v>195</v>
      </c>
      <c r="D13" s="5" t="str">
        <f>LRTRIM(CONCATENATE(IF(SUMPRODUCT(-- ISNUMBER(SEARCH({"Auto Number"}, $B13))) &gt; 0, $B13, IF(SUMPRODUCT(-- ISNUMBER(SEARCH({"Lookup","Master-Detail"}, $B13))) &gt; 0,$B13 &amp; "(" &amp; $E13 &amp; ")",IF(SUMPRODUCT(-- ISNUMBER(SEARCH({"Formula","Roll-Up Summary"}, $B13))) &gt; 0,$B13 &amp; " (" &amp; $E13 &amp; ")",IF(SUMPRODUCT(-- ISNUMBER(SEARCH({"Content","Currency","Number","Percent","Text","URL"}, $B13))) &gt; 0,$B13 &amp; "(" &amp; $C13 &amp; ")",$B13)))), "  ", TRIM(IF($S13 = "YES", "(External ID)", "") &amp; " " &amp; IF(SUMPRODUCT(-- ISNUMBER(SEARCH({"Unique","Unique Case Insensitive"}, $R13))) &gt; 0, "(" &amp; $R13 &amp; ")", ""))))</f>
        <v>na</v>
      </c>
      <c r="E13" s="7" t="s">
        <v>195</v>
      </c>
      <c r="F13" s="7" t="s">
        <v>195</v>
      </c>
      <c r="G13" s="7" t="s">
        <v>195</v>
      </c>
      <c r="H13" s="7" t="s">
        <v>195</v>
      </c>
      <c r="I13" s="7" t="s">
        <v>195</v>
      </c>
      <c r="J13" s="7" t="s">
        <v>195</v>
      </c>
      <c r="K13" s="7" t="s">
        <v>195</v>
      </c>
      <c r="L13" s="7" t="s">
        <v>195</v>
      </c>
      <c r="M13" s="7" t="s">
        <v>28</v>
      </c>
      <c r="N13" s="7" t="s">
        <v>29</v>
      </c>
      <c r="O13" s="7" t="s">
        <v>29</v>
      </c>
      <c r="P13" s="7" t="s">
        <v>29</v>
      </c>
      <c r="Q13" s="7" t="s">
        <v>29</v>
      </c>
      <c r="R13" s="7" t="s">
        <v>29</v>
      </c>
      <c r="S13" s="7" t="s">
        <v>29</v>
      </c>
    </row>
    <row r="14" spans="1:19">
      <c r="A14" s="7" t="s">
        <v>35</v>
      </c>
      <c r="B14" s="7" t="s">
        <v>195</v>
      </c>
      <c r="C14" s="8" t="s">
        <v>195</v>
      </c>
      <c r="D14" s="5" t="str">
        <f>LRTRIM(CONCATENATE(IF(SUMPRODUCT(-- ISNUMBER(SEARCH({"Auto Number"}, $B14))) &gt; 0, $B14, IF(SUMPRODUCT(-- ISNUMBER(SEARCH({"Lookup","Master-Detail"}, $B14))) &gt; 0,$B14 &amp; "(" &amp; $E14 &amp; ")",IF(SUMPRODUCT(-- ISNUMBER(SEARCH({"Formula","Roll-Up Summary"}, $B14))) &gt; 0,$B14 &amp; " (" &amp; $E14 &amp; ")",IF(SUMPRODUCT(-- ISNUMBER(SEARCH({"Content","Currency","Number","Percent","Text","URL"}, $B14))) &gt; 0,$B14 &amp; "(" &amp; $C14 &amp; ")",$B14)))), "  ", TRIM(IF($S14 = "YES", "(External ID)", "") &amp; " " &amp; IF(SUMPRODUCT(-- ISNUMBER(SEARCH({"Unique","Unique Case Insensitive"}, $R14))) &gt; 0, "(" &amp; $R14 &amp; ")", ""))))</f>
        <v>na</v>
      </c>
      <c r="E14" s="7" t="s">
        <v>195</v>
      </c>
      <c r="F14" s="7" t="s">
        <v>195</v>
      </c>
      <c r="G14" s="7" t="s">
        <v>195</v>
      </c>
      <c r="H14" s="7" t="s">
        <v>195</v>
      </c>
      <c r="I14" s="7" t="s">
        <v>195</v>
      </c>
      <c r="J14" s="7" t="s">
        <v>195</v>
      </c>
      <c r="K14" s="7" t="s">
        <v>195</v>
      </c>
      <c r="L14" s="7" t="s">
        <v>195</v>
      </c>
      <c r="M14" s="7" t="s">
        <v>28</v>
      </c>
      <c r="N14" s="7" t="s">
        <v>29</v>
      </c>
      <c r="O14" s="7" t="s">
        <v>29</v>
      </c>
      <c r="P14" s="7" t="s">
        <v>29</v>
      </c>
      <c r="Q14" s="7" t="s">
        <v>29</v>
      </c>
      <c r="R14" s="7" t="s">
        <v>29</v>
      </c>
      <c r="S14" s="7" t="s">
        <v>29</v>
      </c>
    </row>
    <row r="15" spans="1:19">
      <c r="A15" s="7" t="s">
        <v>36</v>
      </c>
      <c r="B15" s="7" t="s">
        <v>195</v>
      </c>
      <c r="C15" s="8" t="s">
        <v>195</v>
      </c>
      <c r="D15" s="5" t="str">
        <f>LRTRIM(CONCATENATE(IF(SUMPRODUCT(-- ISNUMBER(SEARCH({"Auto Number"}, $B15))) &gt; 0, $B15, IF(SUMPRODUCT(-- ISNUMBER(SEARCH({"Lookup","Master-Detail"}, $B15))) &gt; 0,$B15 &amp; "(" &amp; $E15 &amp; ")",IF(SUMPRODUCT(-- ISNUMBER(SEARCH({"Formula","Roll-Up Summary"}, $B15))) &gt; 0,$B15 &amp; " (" &amp; $E15 &amp; ")",IF(SUMPRODUCT(-- ISNUMBER(SEARCH({"Content","Currency","Number","Percent","Text","URL"}, $B15))) &gt; 0,$B15 &amp; "(" &amp; $C15 &amp; ")",$B15)))), "  ", TRIM(IF($S15 = "YES", "(External ID)", "") &amp; " " &amp; IF(SUMPRODUCT(-- ISNUMBER(SEARCH({"Unique","Unique Case Insensitive"}, $R15))) &gt; 0, "(" &amp; $R15 &amp; ")", ""))))</f>
        <v>na</v>
      </c>
      <c r="E15" s="7" t="s">
        <v>195</v>
      </c>
      <c r="F15" s="7" t="s">
        <v>195</v>
      </c>
      <c r="G15" s="7" t="s">
        <v>195</v>
      </c>
      <c r="H15" s="7" t="s">
        <v>195</v>
      </c>
      <c r="I15" s="7" t="s">
        <v>195</v>
      </c>
      <c r="J15" s="7" t="s">
        <v>195</v>
      </c>
      <c r="K15" s="7" t="s">
        <v>195</v>
      </c>
      <c r="L15" s="7" t="s">
        <v>195</v>
      </c>
      <c r="M15" s="7" t="s">
        <v>28</v>
      </c>
      <c r="N15" s="7" t="s">
        <v>29</v>
      </c>
      <c r="O15" s="7" t="s">
        <v>29</v>
      </c>
      <c r="P15" s="7" t="s">
        <v>29</v>
      </c>
      <c r="Q15" s="7" t="s">
        <v>29</v>
      </c>
      <c r="R15" s="7" t="s">
        <v>29</v>
      </c>
      <c r="S15" s="7" t="s">
        <v>29</v>
      </c>
    </row>
    <row r="16" spans="1:19">
      <c r="A16" s="7" t="s">
        <v>37</v>
      </c>
      <c r="B16" s="7" t="s">
        <v>195</v>
      </c>
      <c r="C16" s="8" t="s">
        <v>195</v>
      </c>
      <c r="D16" s="5" t="str">
        <f>LRTRIM(CONCATENATE(IF(SUMPRODUCT(-- ISNUMBER(SEARCH({"Auto Number"}, $B16))) &gt; 0, $B16, IF(SUMPRODUCT(-- ISNUMBER(SEARCH({"Lookup","Master-Detail"}, $B16))) &gt; 0,$B16 &amp; "(" &amp; $E16 &amp; ")",IF(SUMPRODUCT(-- ISNUMBER(SEARCH({"Formula","Roll-Up Summary"}, $B16))) &gt; 0,$B16 &amp; " (" &amp; $E16 &amp; ")",IF(SUMPRODUCT(-- ISNUMBER(SEARCH({"Content","Currency","Number","Percent","Text","URL"}, $B16))) &gt; 0,$B16 &amp; "(" &amp; $C16 &amp; ")",$B16)))), "  ", TRIM(IF($S16 = "YES", "(External ID)", "") &amp; " " &amp; IF(SUMPRODUCT(-- ISNUMBER(SEARCH({"Unique","Unique Case Insensitive"}, $R16))) &gt; 0, "(" &amp; $R16 &amp; ")", ""))))</f>
        <v>na</v>
      </c>
      <c r="E16" s="7" t="s">
        <v>195</v>
      </c>
      <c r="F16" s="7" t="s">
        <v>195</v>
      </c>
      <c r="G16" s="7" t="s">
        <v>195</v>
      </c>
      <c r="H16" s="7" t="s">
        <v>195</v>
      </c>
      <c r="I16" s="7" t="s">
        <v>195</v>
      </c>
      <c r="J16" s="7" t="s">
        <v>195</v>
      </c>
      <c r="K16" s="7" t="s">
        <v>195</v>
      </c>
      <c r="L16" s="7" t="s">
        <v>195</v>
      </c>
      <c r="M16" s="7" t="s">
        <v>28</v>
      </c>
      <c r="N16" s="7" t="s">
        <v>29</v>
      </c>
      <c r="O16" s="7" t="s">
        <v>29</v>
      </c>
      <c r="P16" s="7" t="s">
        <v>29</v>
      </c>
      <c r="Q16" s="7" t="s">
        <v>29</v>
      </c>
      <c r="R16" s="7" t="s">
        <v>29</v>
      </c>
      <c r="S16" s="7" t="s">
        <v>29</v>
      </c>
    </row>
    <row r="17" spans="1:19">
      <c r="A17" s="7" t="s">
        <v>38</v>
      </c>
      <c r="B17" s="7" t="s">
        <v>195</v>
      </c>
      <c r="C17" s="8" t="s">
        <v>195</v>
      </c>
      <c r="D17" s="5" t="str">
        <f>LRTRIM(CONCATENATE(IF(SUMPRODUCT(-- ISNUMBER(SEARCH({"Auto Number"}, $B17))) &gt; 0, $B17, IF(SUMPRODUCT(-- ISNUMBER(SEARCH({"Lookup","Master-Detail"}, $B17))) &gt; 0,$B17 &amp; "(" &amp; $E17 &amp; ")",IF(SUMPRODUCT(-- ISNUMBER(SEARCH({"Formula","Roll-Up Summary"}, $B17))) &gt; 0,$B17 &amp; " (" &amp; $E17 &amp; ")",IF(SUMPRODUCT(-- ISNUMBER(SEARCH({"Content","Currency","Number","Percent","Text","URL"}, $B17))) &gt; 0,$B17 &amp; "(" &amp; $C17 &amp; ")",$B17)))), "  ", TRIM(IF($S17 = "YES", "(External ID)", "") &amp; " " &amp; IF(SUMPRODUCT(-- ISNUMBER(SEARCH({"Unique","Unique Case Insensitive"}, $R17))) &gt; 0, "(" &amp; $R17 &amp; ")", ""))))</f>
        <v>na</v>
      </c>
      <c r="E17" s="7" t="s">
        <v>195</v>
      </c>
      <c r="F17" s="7" t="s">
        <v>195</v>
      </c>
      <c r="G17" s="7" t="s">
        <v>195</v>
      </c>
      <c r="H17" s="7" t="s">
        <v>195</v>
      </c>
      <c r="I17" s="7" t="s">
        <v>195</v>
      </c>
      <c r="J17" s="7" t="s">
        <v>195</v>
      </c>
      <c r="K17" s="7" t="s">
        <v>195</v>
      </c>
      <c r="L17" s="7" t="s">
        <v>195</v>
      </c>
      <c r="M17" s="7" t="s">
        <v>28</v>
      </c>
      <c r="N17" s="7" t="s">
        <v>29</v>
      </c>
      <c r="O17" s="7" t="s">
        <v>29</v>
      </c>
      <c r="P17" s="7" t="s">
        <v>29</v>
      </c>
      <c r="Q17" s="7" t="s">
        <v>29</v>
      </c>
      <c r="R17" s="7" t="s">
        <v>29</v>
      </c>
      <c r="S17" s="7" t="s">
        <v>29</v>
      </c>
    </row>
    <row r="18" spans="1:19">
      <c r="A18" s="7" t="s">
        <v>39</v>
      </c>
      <c r="B18" s="7" t="s">
        <v>195</v>
      </c>
      <c r="C18" s="8" t="s">
        <v>195</v>
      </c>
      <c r="D18" s="5" t="str">
        <f>LRTRIM(CONCATENATE(IF(SUMPRODUCT(-- ISNUMBER(SEARCH({"Auto Number"}, $B18))) &gt; 0, $B18, IF(SUMPRODUCT(-- ISNUMBER(SEARCH({"Lookup","Master-Detail"}, $B18))) &gt; 0,$B18 &amp; "(" &amp; $E18 &amp; ")",IF(SUMPRODUCT(-- ISNUMBER(SEARCH({"Formula","Roll-Up Summary"}, $B18))) &gt; 0,$B18 &amp; " (" &amp; $E18 &amp; ")",IF(SUMPRODUCT(-- ISNUMBER(SEARCH({"Content","Currency","Number","Percent","Text","URL"}, $B18))) &gt; 0,$B18 &amp; "(" &amp; $C18 &amp; ")",$B18)))), "  ", TRIM(IF($S18 = "YES", "(External ID)", "") &amp; " " &amp; IF(SUMPRODUCT(-- ISNUMBER(SEARCH({"Unique","Unique Case Insensitive"}, $R18))) &gt; 0, "(" &amp; $R18 &amp; ")", ""))))</f>
        <v>na</v>
      </c>
      <c r="E18" s="7" t="s">
        <v>195</v>
      </c>
      <c r="F18" s="7" t="s">
        <v>195</v>
      </c>
      <c r="G18" s="7" t="s">
        <v>195</v>
      </c>
      <c r="H18" s="7" t="s">
        <v>195</v>
      </c>
      <c r="I18" s="7" t="s">
        <v>195</v>
      </c>
      <c r="J18" s="7" t="s">
        <v>195</v>
      </c>
      <c r="K18" s="7" t="s">
        <v>195</v>
      </c>
      <c r="L18" s="7" t="s">
        <v>195</v>
      </c>
      <c r="M18" s="7" t="s">
        <v>28</v>
      </c>
      <c r="N18" s="7" t="s">
        <v>29</v>
      </c>
      <c r="O18" s="7" t="s">
        <v>29</v>
      </c>
      <c r="P18" s="7" t="s">
        <v>29</v>
      </c>
      <c r="Q18" s="7" t="s">
        <v>29</v>
      </c>
      <c r="R18" s="7" t="s">
        <v>29</v>
      </c>
      <c r="S18" s="7" t="s">
        <v>29</v>
      </c>
    </row>
    <row r="19" spans="1:19">
      <c r="A19" s="7"/>
      <c r="B19" s="7" t="s">
        <v>195</v>
      </c>
      <c r="C19" s="8" t="s">
        <v>195</v>
      </c>
      <c r="D19" s="5" t="str">
        <f>LRTRIM(CONCATENATE(IF(SUMPRODUCT(-- ISNUMBER(SEARCH({"Auto Number"}, $B19))) &gt; 0, $B19, IF(SUMPRODUCT(-- ISNUMBER(SEARCH({"Lookup","Master-Detail"}, $B19))) &gt; 0,$B19 &amp; "(" &amp; $E19 &amp; ")",IF(SUMPRODUCT(-- ISNUMBER(SEARCH({"Formula","Roll-Up Summary"}, $B19))) &gt; 0,$B19 &amp; " (" &amp; $E19 &amp; ")",IF(SUMPRODUCT(-- ISNUMBER(SEARCH({"Content","Currency","Number","Percent","Text","URL"}, $B19))) &gt; 0,$B19 &amp; "(" &amp; $C19 &amp; ")",$B19)))), "  ", TRIM(IF($S19 = "YES", "(External ID)", "") &amp; " " &amp; IF(SUMPRODUCT(-- ISNUMBER(SEARCH({"Unique","Unique Case Insensitive"}, $R19))) &gt; 0, "(" &amp; $R19 &amp; ")", ""))))</f>
        <v>na</v>
      </c>
      <c r="E19" s="7" t="s">
        <v>195</v>
      </c>
      <c r="F19" s="7" t="s">
        <v>195</v>
      </c>
      <c r="G19" s="7" t="s">
        <v>195</v>
      </c>
      <c r="H19" s="7" t="s">
        <v>195</v>
      </c>
      <c r="I19" s="7" t="s">
        <v>195</v>
      </c>
      <c r="J19" s="7" t="s">
        <v>195</v>
      </c>
      <c r="K19" s="7" t="s">
        <v>195</v>
      </c>
      <c r="L19" s="7" t="s">
        <v>195</v>
      </c>
      <c r="M19" s="7" t="s">
        <v>29</v>
      </c>
      <c r="N19" s="7" t="s">
        <v>29</v>
      </c>
      <c r="O19" s="7" t="s">
        <v>29</v>
      </c>
      <c r="P19" s="7" t="s">
        <v>29</v>
      </c>
      <c r="Q19" s="7" t="s">
        <v>29</v>
      </c>
      <c r="R19" s="7" t="s">
        <v>29</v>
      </c>
      <c r="S19" s="7" t="s">
        <v>29</v>
      </c>
    </row>
    <row r="20" spans="1:19">
      <c r="B20" s="7" t="s">
        <v>195</v>
      </c>
      <c r="C20" s="8" t="s">
        <v>195</v>
      </c>
      <c r="D20" s="5" t="str">
        <f>LRTRIM(CONCATENATE(IF(SUMPRODUCT(-- ISNUMBER(SEARCH({"Auto Number"}, $B20))) &gt; 0, $B20, IF(SUMPRODUCT(-- ISNUMBER(SEARCH({"Lookup","Master-Detail"}, $B20))) &gt; 0,$B20 &amp; "(" &amp; $E20 &amp; ")",IF(SUMPRODUCT(-- ISNUMBER(SEARCH({"Formula","Roll-Up Summary"}, $B20))) &gt; 0,$B20 &amp; " (" &amp; $E20 &amp; ")",IF(SUMPRODUCT(-- ISNUMBER(SEARCH({"Content","Currency","Number","Percent","Text","URL"}, $B20))) &gt; 0,$B20 &amp; "(" &amp; $C20 &amp; ")",$B20)))), "  ", TRIM(IF($S20 = "YES", "(External ID)", "") &amp; " " &amp; IF(SUMPRODUCT(-- ISNUMBER(SEARCH({"Unique","Unique Case Insensitive"}, $R20))) &gt; 0, "(" &amp; $R20 &amp; ")", ""))))</f>
        <v>na</v>
      </c>
      <c r="E20" s="7" t="s">
        <v>195</v>
      </c>
      <c r="F20" s="7" t="s">
        <v>195</v>
      </c>
      <c r="G20" s="7" t="s">
        <v>195</v>
      </c>
      <c r="H20" s="7" t="s">
        <v>195</v>
      </c>
      <c r="I20" s="7" t="s">
        <v>195</v>
      </c>
      <c r="J20" s="7" t="s">
        <v>195</v>
      </c>
      <c r="K20" s="7" t="s">
        <v>195</v>
      </c>
      <c r="L20" s="7" t="s">
        <v>195</v>
      </c>
      <c r="M20" s="7" t="s">
        <v>29</v>
      </c>
      <c r="N20" s="7" t="s">
        <v>29</v>
      </c>
      <c r="O20" s="7" t="s">
        <v>29</v>
      </c>
      <c r="P20" s="7" t="s">
        <v>29</v>
      </c>
      <c r="Q20" s="7" t="s">
        <v>29</v>
      </c>
      <c r="R20" s="7" t="s">
        <v>29</v>
      </c>
      <c r="S20" s="7" t="s">
        <v>29</v>
      </c>
    </row>
    <row r="21" spans="1:19">
      <c r="B21" s="7" t="s">
        <v>195</v>
      </c>
      <c r="C21" s="8" t="s">
        <v>195</v>
      </c>
      <c r="D21" s="5" t="str">
        <f>LRTRIM(CONCATENATE(IF(SUMPRODUCT(-- ISNUMBER(SEARCH({"Auto Number"}, $B21))) &gt; 0, $B21, IF(SUMPRODUCT(-- ISNUMBER(SEARCH({"Lookup","Master-Detail"}, $B21))) &gt; 0,$B21 &amp; "(" &amp; $E21 &amp; ")",IF(SUMPRODUCT(-- ISNUMBER(SEARCH({"Formula","Roll-Up Summary"}, $B21))) &gt; 0,$B21 &amp; " (" &amp; $E21 &amp; ")",IF(SUMPRODUCT(-- ISNUMBER(SEARCH({"Content","Currency","Number","Percent","Text","URL"}, $B21))) &gt; 0,$B21 &amp; "(" &amp; $C21 &amp; ")",$B21)))), "  ", TRIM(IF($S21 = "YES", "(External ID)", "") &amp; " " &amp; IF(SUMPRODUCT(-- ISNUMBER(SEARCH({"Unique","Unique Case Insensitive"}, $R21))) &gt; 0, "(" &amp; $R21 &amp; ")", ""))))</f>
        <v>na</v>
      </c>
      <c r="E21" s="7" t="s">
        <v>195</v>
      </c>
      <c r="F21" s="7" t="s">
        <v>195</v>
      </c>
      <c r="G21" s="7" t="s">
        <v>195</v>
      </c>
      <c r="H21" s="7" t="s">
        <v>195</v>
      </c>
      <c r="I21" s="7" t="s">
        <v>195</v>
      </c>
      <c r="J21" s="7" t="s">
        <v>195</v>
      </c>
      <c r="K21" s="7" t="s">
        <v>195</v>
      </c>
      <c r="L21" s="7" t="s">
        <v>195</v>
      </c>
      <c r="M21" s="7" t="s">
        <v>29</v>
      </c>
      <c r="N21" s="7" t="s">
        <v>29</v>
      </c>
      <c r="O21" s="7" t="s">
        <v>29</v>
      </c>
      <c r="P21" s="7" t="s">
        <v>29</v>
      </c>
      <c r="Q21" s="7" t="s">
        <v>29</v>
      </c>
      <c r="R21" s="7" t="s">
        <v>29</v>
      </c>
      <c r="S21" s="7" t="s">
        <v>29</v>
      </c>
    </row>
    <row r="22" spans="1:19">
      <c r="B22" s="7" t="s">
        <v>195</v>
      </c>
      <c r="C22" s="8" t="s">
        <v>195</v>
      </c>
      <c r="D22" s="5" t="str">
        <f>LRTRIM(CONCATENATE(IF(SUMPRODUCT(-- ISNUMBER(SEARCH({"Auto Number"}, $B22))) &gt; 0, $B22, IF(SUMPRODUCT(-- ISNUMBER(SEARCH({"Lookup","Master-Detail"}, $B22))) &gt; 0,$B22 &amp; "(" &amp; $E22 &amp; ")",IF(SUMPRODUCT(-- ISNUMBER(SEARCH({"Formula","Roll-Up Summary"}, $B22))) &gt; 0,$B22 &amp; " (" &amp; $E22 &amp; ")",IF(SUMPRODUCT(-- ISNUMBER(SEARCH({"Content","Currency","Number","Percent","Text","URL"}, $B22))) &gt; 0,$B22 &amp; "(" &amp; $C22 &amp; ")",$B22)))), "  ", TRIM(IF($S22 = "YES", "(External ID)", "") &amp; " " &amp; IF(SUMPRODUCT(-- ISNUMBER(SEARCH({"Unique","Unique Case Insensitive"}, $R22))) &gt; 0, "(" &amp; $R22 &amp; ")", ""))))</f>
        <v>na</v>
      </c>
      <c r="E22" s="7" t="s">
        <v>195</v>
      </c>
      <c r="F22" s="7" t="s">
        <v>195</v>
      </c>
      <c r="G22" s="7" t="s">
        <v>195</v>
      </c>
      <c r="H22" s="7" t="s">
        <v>195</v>
      </c>
      <c r="I22" s="7" t="s">
        <v>195</v>
      </c>
      <c r="J22" s="7" t="s">
        <v>195</v>
      </c>
      <c r="K22" s="7" t="s">
        <v>195</v>
      </c>
      <c r="L22" s="7" t="s">
        <v>195</v>
      </c>
      <c r="M22" s="7" t="s">
        <v>29</v>
      </c>
      <c r="N22" s="7" t="s">
        <v>29</v>
      </c>
      <c r="O22" s="7" t="s">
        <v>29</v>
      </c>
      <c r="P22" s="7" t="s">
        <v>29</v>
      </c>
      <c r="Q22" s="7" t="s">
        <v>29</v>
      </c>
      <c r="R22" s="7" t="s">
        <v>29</v>
      </c>
      <c r="S22" s="7" t="s">
        <v>29</v>
      </c>
    </row>
    <row r="23" spans="1:19">
      <c r="B23" s="7" t="s">
        <v>195</v>
      </c>
      <c r="C23" s="8" t="s">
        <v>195</v>
      </c>
      <c r="D23" s="5" t="str">
        <f>LRTRIM(CONCATENATE(IF(SUMPRODUCT(-- ISNUMBER(SEARCH({"Auto Number"}, $B23))) &gt; 0, $B23, IF(SUMPRODUCT(-- ISNUMBER(SEARCH({"Lookup","Master-Detail"}, $B23))) &gt; 0,$B23 &amp; "(" &amp; $E23 &amp; ")",IF(SUMPRODUCT(-- ISNUMBER(SEARCH({"Formula","Roll-Up Summary"}, $B23))) &gt; 0,$B23 &amp; " (" &amp; $E23 &amp; ")",IF(SUMPRODUCT(-- ISNUMBER(SEARCH({"Content","Currency","Number","Percent","Text","URL"}, $B23))) &gt; 0,$B23 &amp; "(" &amp; $C23 &amp; ")",$B23)))), "  ", TRIM(IF($S23 = "YES", "(External ID)", "") &amp; " " &amp; IF(SUMPRODUCT(-- ISNUMBER(SEARCH({"Unique","Unique Case Insensitive"}, $R23))) &gt; 0, "(" &amp; $R23 &amp; ")", ""))))</f>
        <v>na</v>
      </c>
      <c r="E23" s="7" t="s">
        <v>195</v>
      </c>
      <c r="F23" s="7" t="s">
        <v>195</v>
      </c>
      <c r="G23" s="7" t="s">
        <v>195</v>
      </c>
      <c r="H23" s="7" t="s">
        <v>195</v>
      </c>
      <c r="I23" s="7" t="s">
        <v>195</v>
      </c>
      <c r="J23" s="7" t="s">
        <v>195</v>
      </c>
      <c r="K23" s="7" t="s">
        <v>195</v>
      </c>
      <c r="L23" s="7" t="s">
        <v>195</v>
      </c>
      <c r="M23" s="7" t="s">
        <v>29</v>
      </c>
      <c r="N23" s="7" t="s">
        <v>29</v>
      </c>
      <c r="O23" s="7" t="s">
        <v>29</v>
      </c>
      <c r="P23" s="7" t="s">
        <v>29</v>
      </c>
      <c r="Q23" s="7" t="s">
        <v>29</v>
      </c>
      <c r="R23" s="7" t="s">
        <v>29</v>
      </c>
      <c r="S23" s="7" t="s">
        <v>29</v>
      </c>
    </row>
    <row r="24" spans="1:19">
      <c r="B24" s="7" t="s">
        <v>195</v>
      </c>
      <c r="C24" s="8" t="s">
        <v>195</v>
      </c>
      <c r="D24" s="5" t="str">
        <f>LRTRIM(CONCATENATE(IF(SUMPRODUCT(-- ISNUMBER(SEARCH({"Auto Number"}, $B24))) &gt; 0, $B24, IF(SUMPRODUCT(-- ISNUMBER(SEARCH({"Lookup","Master-Detail"}, $B24))) &gt; 0,$B24 &amp; "(" &amp; $E24 &amp; ")",IF(SUMPRODUCT(-- ISNUMBER(SEARCH({"Formula","Roll-Up Summary"}, $B24))) &gt; 0,$B24 &amp; " (" &amp; $E24 &amp; ")",IF(SUMPRODUCT(-- ISNUMBER(SEARCH({"Content","Currency","Number","Percent","Text","URL"}, $B24))) &gt; 0,$B24 &amp; "(" &amp; $C24 &amp; ")",$B24)))), "  ", TRIM(IF($S24 = "YES", "(External ID)", "") &amp; " " &amp; IF(SUMPRODUCT(-- ISNUMBER(SEARCH({"Unique","Unique Case Insensitive"}, $R24))) &gt; 0, "(" &amp; $R24 &amp; ")", ""))))</f>
        <v>na</v>
      </c>
      <c r="E24" s="7" t="s">
        <v>195</v>
      </c>
      <c r="F24" s="7" t="s">
        <v>195</v>
      </c>
      <c r="G24" s="7" t="s">
        <v>195</v>
      </c>
      <c r="H24" s="7" t="s">
        <v>195</v>
      </c>
      <c r="I24" s="7" t="s">
        <v>195</v>
      </c>
      <c r="J24" s="7" t="s">
        <v>195</v>
      </c>
      <c r="K24" s="7" t="s">
        <v>195</v>
      </c>
      <c r="L24" s="7" t="s">
        <v>195</v>
      </c>
      <c r="M24" s="7" t="s">
        <v>29</v>
      </c>
      <c r="N24" s="7" t="s">
        <v>29</v>
      </c>
      <c r="O24" s="7" t="s">
        <v>29</v>
      </c>
      <c r="P24" s="7" t="s">
        <v>29</v>
      </c>
      <c r="Q24" s="7" t="s">
        <v>29</v>
      </c>
      <c r="R24" s="7" t="s">
        <v>29</v>
      </c>
      <c r="S24" s="7" t="s">
        <v>29</v>
      </c>
    </row>
    <row r="25" spans="1:19">
      <c r="B25" s="7" t="s">
        <v>195</v>
      </c>
      <c r="C25" s="8" t="s">
        <v>195</v>
      </c>
      <c r="D25" s="5" t="str">
        <f>LRTRIM(CONCATENATE(IF(SUMPRODUCT(-- ISNUMBER(SEARCH({"Auto Number"}, $B25))) &gt; 0, $B25, IF(SUMPRODUCT(-- ISNUMBER(SEARCH({"Lookup","Master-Detail"}, $B25))) &gt; 0,$B25 &amp; "(" &amp; $E25 &amp; ")",IF(SUMPRODUCT(-- ISNUMBER(SEARCH({"Formula","Roll-Up Summary"}, $B25))) &gt; 0,$B25 &amp; " (" &amp; $E25 &amp; ")",IF(SUMPRODUCT(-- ISNUMBER(SEARCH({"Content","Currency","Number","Percent","Text","URL"}, $B25))) &gt; 0,$B25 &amp; "(" &amp; $C25 &amp; ")",$B25)))), "  ", TRIM(IF($S25 = "YES", "(External ID)", "") &amp; " " &amp; IF(SUMPRODUCT(-- ISNUMBER(SEARCH({"Unique","Unique Case Insensitive"}, $R25))) &gt; 0, "(" &amp; $R25 &amp; ")", ""))))</f>
        <v>na</v>
      </c>
      <c r="E25" s="7" t="s">
        <v>195</v>
      </c>
      <c r="F25" s="7" t="s">
        <v>195</v>
      </c>
      <c r="G25" s="7" t="s">
        <v>195</v>
      </c>
      <c r="H25" s="7" t="s">
        <v>195</v>
      </c>
      <c r="I25" s="7" t="s">
        <v>195</v>
      </c>
      <c r="J25" s="7" t="s">
        <v>195</v>
      </c>
      <c r="K25" s="7" t="s">
        <v>195</v>
      </c>
      <c r="L25" s="7" t="s">
        <v>195</v>
      </c>
      <c r="M25" s="7" t="s">
        <v>29</v>
      </c>
      <c r="N25" s="7" t="s">
        <v>29</v>
      </c>
      <c r="O25" s="7" t="s">
        <v>29</v>
      </c>
      <c r="P25" s="7" t="s">
        <v>29</v>
      </c>
      <c r="Q25" s="7" t="s">
        <v>29</v>
      </c>
      <c r="R25" s="7" t="s">
        <v>29</v>
      </c>
      <c r="S25" s="7" t="s">
        <v>29</v>
      </c>
    </row>
    <row r="26" spans="1:19">
      <c r="B26" s="7" t="s">
        <v>195</v>
      </c>
      <c r="C26" s="8" t="s">
        <v>195</v>
      </c>
      <c r="D26" s="5" t="str">
        <f>LRTRIM(CONCATENATE(IF(SUMPRODUCT(-- ISNUMBER(SEARCH({"Auto Number"}, $B26))) &gt; 0, $B26, IF(SUMPRODUCT(-- ISNUMBER(SEARCH({"Lookup","Master-Detail"}, $B26))) &gt; 0,$B26 &amp; "(" &amp; $E26 &amp; ")",IF(SUMPRODUCT(-- ISNUMBER(SEARCH({"Formula","Roll-Up Summary"}, $B26))) &gt; 0,$B26 &amp; " (" &amp; $E26 &amp; ")",IF(SUMPRODUCT(-- ISNUMBER(SEARCH({"Content","Currency","Number","Percent","Text","URL"}, $B26))) &gt; 0,$B26 &amp; "(" &amp; $C26 &amp; ")",$B26)))), "  ", TRIM(IF($S26 = "YES", "(External ID)", "") &amp; " " &amp; IF(SUMPRODUCT(-- ISNUMBER(SEARCH({"Unique","Unique Case Insensitive"}, $R26))) &gt; 0, "(" &amp; $R26 &amp; ")", ""))))</f>
        <v>na</v>
      </c>
      <c r="E26" s="7" t="s">
        <v>195</v>
      </c>
      <c r="F26" s="7" t="s">
        <v>195</v>
      </c>
      <c r="G26" s="7" t="s">
        <v>195</v>
      </c>
      <c r="H26" s="7" t="s">
        <v>195</v>
      </c>
      <c r="I26" s="7" t="s">
        <v>195</v>
      </c>
      <c r="J26" s="7" t="s">
        <v>195</v>
      </c>
      <c r="K26" s="7" t="s">
        <v>195</v>
      </c>
      <c r="L26" s="7" t="s">
        <v>195</v>
      </c>
      <c r="M26" s="7" t="s">
        <v>29</v>
      </c>
      <c r="N26" s="7" t="s">
        <v>29</v>
      </c>
      <c r="O26" s="7" t="s">
        <v>29</v>
      </c>
      <c r="P26" s="7" t="s">
        <v>29</v>
      </c>
      <c r="Q26" s="7" t="s">
        <v>29</v>
      </c>
      <c r="R26" s="7" t="s">
        <v>29</v>
      </c>
      <c r="S26" s="7" t="s">
        <v>29</v>
      </c>
    </row>
    <row r="27" spans="1:19">
      <c r="B27" s="7" t="s">
        <v>195</v>
      </c>
      <c r="C27" s="8" t="s">
        <v>195</v>
      </c>
      <c r="D27" s="5" t="str">
        <f>LRTRIM(CONCATENATE(IF(SUMPRODUCT(-- ISNUMBER(SEARCH({"Auto Number"}, $B27))) &gt; 0, $B27, IF(SUMPRODUCT(-- ISNUMBER(SEARCH({"Lookup","Master-Detail"}, $B27))) &gt; 0,$B27 &amp; "(" &amp; $E27 &amp; ")",IF(SUMPRODUCT(-- ISNUMBER(SEARCH({"Formula","Roll-Up Summary"}, $B27))) &gt; 0,$B27 &amp; " (" &amp; $E27 &amp; ")",IF(SUMPRODUCT(-- ISNUMBER(SEARCH({"Content","Currency","Number","Percent","Text","URL"}, $B27))) &gt; 0,$B27 &amp; "(" &amp; $C27 &amp; ")",$B27)))), "  ", TRIM(IF($S27 = "YES", "(External ID)", "") &amp; " " &amp; IF(SUMPRODUCT(-- ISNUMBER(SEARCH({"Unique","Unique Case Insensitive"}, $R27))) &gt; 0, "(" &amp; $R27 &amp; ")", ""))))</f>
        <v>na</v>
      </c>
      <c r="E27" s="7" t="s">
        <v>195</v>
      </c>
      <c r="F27" s="7" t="s">
        <v>195</v>
      </c>
      <c r="G27" s="7" t="s">
        <v>195</v>
      </c>
      <c r="H27" s="7" t="s">
        <v>195</v>
      </c>
      <c r="I27" s="7" t="s">
        <v>195</v>
      </c>
      <c r="J27" s="7" t="s">
        <v>195</v>
      </c>
      <c r="K27" s="7" t="s">
        <v>195</v>
      </c>
      <c r="L27" s="7" t="s">
        <v>195</v>
      </c>
      <c r="M27" s="7" t="s">
        <v>29</v>
      </c>
      <c r="N27" s="7" t="s">
        <v>29</v>
      </c>
      <c r="O27" s="7" t="s">
        <v>29</v>
      </c>
      <c r="P27" s="7" t="s">
        <v>29</v>
      </c>
      <c r="Q27" s="7" t="s">
        <v>29</v>
      </c>
      <c r="R27" s="7" t="s">
        <v>29</v>
      </c>
      <c r="S27" s="7" t="s">
        <v>29</v>
      </c>
    </row>
    <row r="28" spans="1:19">
      <c r="B28" s="7" t="s">
        <v>195</v>
      </c>
      <c r="C28" s="8" t="s">
        <v>195</v>
      </c>
      <c r="D28" s="5" t="str">
        <f>LRTRIM(CONCATENATE(IF(SUMPRODUCT(-- ISNUMBER(SEARCH({"Auto Number"}, $B28))) &gt; 0, $B28, IF(SUMPRODUCT(-- ISNUMBER(SEARCH({"Lookup","Master-Detail"}, $B28))) &gt; 0,$B28 &amp; "(" &amp; $E28 &amp; ")",IF(SUMPRODUCT(-- ISNUMBER(SEARCH({"Formula","Roll-Up Summary"}, $B28))) &gt; 0,$B28 &amp; " (" &amp; $E28 &amp; ")",IF(SUMPRODUCT(-- ISNUMBER(SEARCH({"Content","Currency","Number","Percent","Text","URL"}, $B28))) &gt; 0,$B28 &amp; "(" &amp; $C28 &amp; ")",$B28)))), "  ", TRIM(IF($S28 = "YES", "(External ID)", "") &amp; " " &amp; IF(SUMPRODUCT(-- ISNUMBER(SEARCH({"Unique","Unique Case Insensitive"}, $R28))) &gt; 0, "(" &amp; $R28 &amp; ")", ""))))</f>
        <v>na</v>
      </c>
      <c r="E28" s="7" t="s">
        <v>195</v>
      </c>
      <c r="F28" s="7" t="s">
        <v>195</v>
      </c>
      <c r="G28" s="7" t="s">
        <v>195</v>
      </c>
      <c r="H28" s="7" t="s">
        <v>195</v>
      </c>
      <c r="I28" s="7" t="s">
        <v>195</v>
      </c>
      <c r="J28" s="7" t="s">
        <v>195</v>
      </c>
      <c r="K28" s="7" t="s">
        <v>195</v>
      </c>
      <c r="L28" s="7" t="s">
        <v>195</v>
      </c>
      <c r="M28" s="7" t="s">
        <v>29</v>
      </c>
      <c r="N28" s="7" t="s">
        <v>29</v>
      </c>
      <c r="O28" s="7" t="s">
        <v>29</v>
      </c>
      <c r="P28" s="7" t="s">
        <v>29</v>
      </c>
      <c r="Q28" s="7" t="s">
        <v>29</v>
      </c>
      <c r="R28" s="7" t="s">
        <v>29</v>
      </c>
      <c r="S28" s="7" t="s">
        <v>29</v>
      </c>
    </row>
    <row r="29" spans="1:19">
      <c r="B29" s="7" t="s">
        <v>195</v>
      </c>
      <c r="C29" s="8" t="s">
        <v>195</v>
      </c>
      <c r="D29" s="5" t="str">
        <f>LRTRIM(CONCATENATE(IF(SUMPRODUCT(-- ISNUMBER(SEARCH({"Auto Number"}, $B29))) &gt; 0, $B29, IF(SUMPRODUCT(-- ISNUMBER(SEARCH({"Lookup","Master-Detail"}, $B29))) &gt; 0,$B29 &amp; "(" &amp; $E29 &amp; ")",IF(SUMPRODUCT(-- ISNUMBER(SEARCH({"Formula","Roll-Up Summary"}, $B29))) &gt; 0,$B29 &amp; " (" &amp; $E29 &amp; ")",IF(SUMPRODUCT(-- ISNUMBER(SEARCH({"Content","Currency","Number","Percent","Text","URL"}, $B29))) &gt; 0,$B29 &amp; "(" &amp; $C29 &amp; ")",$B29)))), "  ", TRIM(IF($S29 = "YES", "(External ID)", "") &amp; " " &amp; IF(SUMPRODUCT(-- ISNUMBER(SEARCH({"Unique","Unique Case Insensitive"}, $R29))) &gt; 0, "(" &amp; $R29 &amp; ")", ""))))</f>
        <v>na</v>
      </c>
      <c r="E29" s="7" t="s">
        <v>195</v>
      </c>
      <c r="F29" s="7" t="s">
        <v>195</v>
      </c>
      <c r="G29" s="7" t="s">
        <v>195</v>
      </c>
      <c r="H29" s="7" t="s">
        <v>195</v>
      </c>
      <c r="I29" s="7" t="s">
        <v>195</v>
      </c>
      <c r="J29" s="7" t="s">
        <v>195</v>
      </c>
      <c r="K29" s="7" t="s">
        <v>195</v>
      </c>
      <c r="L29" s="7" t="s">
        <v>195</v>
      </c>
      <c r="M29" s="7" t="s">
        <v>29</v>
      </c>
      <c r="N29" s="7" t="s">
        <v>29</v>
      </c>
      <c r="O29" s="7" t="s">
        <v>29</v>
      </c>
      <c r="P29" s="7" t="s">
        <v>29</v>
      </c>
      <c r="Q29" s="7" t="s">
        <v>29</v>
      </c>
      <c r="R29" s="7" t="s">
        <v>29</v>
      </c>
      <c r="S29" s="7" t="s">
        <v>29</v>
      </c>
    </row>
    <row r="30" spans="1:19">
      <c r="B30" s="7" t="s">
        <v>195</v>
      </c>
      <c r="C30" s="8" t="s">
        <v>195</v>
      </c>
      <c r="D30" s="5" t="str">
        <f>LRTRIM(CONCATENATE(IF(SUMPRODUCT(-- ISNUMBER(SEARCH({"Auto Number"}, $B30))) &gt; 0, $B30, IF(SUMPRODUCT(-- ISNUMBER(SEARCH({"Lookup","Master-Detail"}, $B30))) &gt; 0,$B30 &amp; "(" &amp; $E30 &amp; ")",IF(SUMPRODUCT(-- ISNUMBER(SEARCH({"Formula","Roll-Up Summary"}, $B30))) &gt; 0,$B30 &amp; " (" &amp; $E30 &amp; ")",IF(SUMPRODUCT(-- ISNUMBER(SEARCH({"Content","Currency","Number","Percent","Text","URL"}, $B30))) &gt; 0,$B30 &amp; "(" &amp; $C30 &amp; ")",$B30)))), "  ", TRIM(IF($S30 = "YES", "(External ID)", "") &amp; " " &amp; IF(SUMPRODUCT(-- ISNUMBER(SEARCH({"Unique","Unique Case Insensitive"}, $R30))) &gt; 0, "(" &amp; $R30 &amp; ")", ""))))</f>
        <v>na</v>
      </c>
      <c r="E30" s="7" t="s">
        <v>195</v>
      </c>
      <c r="F30" s="7" t="s">
        <v>195</v>
      </c>
      <c r="G30" s="7" t="s">
        <v>195</v>
      </c>
      <c r="H30" s="7" t="s">
        <v>195</v>
      </c>
      <c r="I30" s="7" t="s">
        <v>195</v>
      </c>
      <c r="J30" s="7" t="s">
        <v>195</v>
      </c>
      <c r="K30" s="7" t="s">
        <v>195</v>
      </c>
      <c r="L30" s="7" t="s">
        <v>195</v>
      </c>
      <c r="M30" s="7" t="s">
        <v>29</v>
      </c>
      <c r="N30" s="7" t="s">
        <v>29</v>
      </c>
      <c r="O30" s="7" t="s">
        <v>29</v>
      </c>
      <c r="P30" s="7" t="s">
        <v>29</v>
      </c>
      <c r="Q30" s="7" t="s">
        <v>29</v>
      </c>
      <c r="R30" s="7" t="s">
        <v>29</v>
      </c>
      <c r="S30" s="7" t="s">
        <v>29</v>
      </c>
    </row>
    <row r="31" spans="1:19">
      <c r="B31" s="7" t="s">
        <v>195</v>
      </c>
      <c r="C31" s="8" t="s">
        <v>195</v>
      </c>
      <c r="D31" s="5" t="str">
        <f>LRTRIM(CONCATENATE(IF(SUMPRODUCT(-- ISNUMBER(SEARCH({"Auto Number"}, $B31))) &gt; 0, $B31, IF(SUMPRODUCT(-- ISNUMBER(SEARCH({"Lookup","Master-Detail"}, $B31))) &gt; 0,$B31 &amp; "(" &amp; $E31 &amp; ")",IF(SUMPRODUCT(-- ISNUMBER(SEARCH({"Formula","Roll-Up Summary"}, $B31))) &gt; 0,$B31 &amp; " (" &amp; $E31 &amp; ")",IF(SUMPRODUCT(-- ISNUMBER(SEARCH({"Content","Currency","Number","Percent","Text","URL"}, $B31))) &gt; 0,$B31 &amp; "(" &amp; $C31 &amp; ")",$B31)))), "  ", TRIM(IF($S31 = "YES", "(External ID)", "") &amp; " " &amp; IF(SUMPRODUCT(-- ISNUMBER(SEARCH({"Unique","Unique Case Insensitive"}, $R31))) &gt; 0, "(" &amp; $R31 &amp; ")", ""))))</f>
        <v>na</v>
      </c>
      <c r="E31" s="7" t="s">
        <v>195</v>
      </c>
      <c r="F31" s="7" t="s">
        <v>195</v>
      </c>
      <c r="G31" s="7" t="s">
        <v>195</v>
      </c>
      <c r="H31" s="7" t="s">
        <v>195</v>
      </c>
      <c r="I31" s="7" t="s">
        <v>195</v>
      </c>
      <c r="J31" s="7" t="s">
        <v>195</v>
      </c>
      <c r="K31" s="7" t="s">
        <v>195</v>
      </c>
      <c r="L31" s="7" t="s">
        <v>195</v>
      </c>
      <c r="M31" s="7" t="s">
        <v>29</v>
      </c>
      <c r="N31" s="7" t="s">
        <v>29</v>
      </c>
      <c r="O31" s="7" t="s">
        <v>29</v>
      </c>
      <c r="P31" s="7" t="s">
        <v>29</v>
      </c>
      <c r="Q31" s="7" t="s">
        <v>29</v>
      </c>
      <c r="R31" s="7" t="s">
        <v>29</v>
      </c>
      <c r="S31" s="7" t="s">
        <v>29</v>
      </c>
    </row>
    <row r="32" spans="1:19">
      <c r="B32" s="7" t="s">
        <v>195</v>
      </c>
      <c r="C32" s="8" t="s">
        <v>195</v>
      </c>
      <c r="D32" s="5" t="str">
        <f>LRTRIM(CONCATENATE(IF(SUMPRODUCT(-- ISNUMBER(SEARCH({"Auto Number"}, $B32))) &gt; 0, $B32, IF(SUMPRODUCT(-- ISNUMBER(SEARCH({"Lookup","Master-Detail"}, $B32))) &gt; 0,$B32 &amp; "(" &amp; $E32 &amp; ")",IF(SUMPRODUCT(-- ISNUMBER(SEARCH({"Formula","Roll-Up Summary"}, $B32))) &gt; 0,$B32 &amp; " (" &amp; $E32 &amp; ")",IF(SUMPRODUCT(-- ISNUMBER(SEARCH({"Content","Currency","Number","Percent","Text","URL"}, $B32))) &gt; 0,$B32 &amp; "(" &amp; $C32 &amp; ")",$B32)))), "  ", TRIM(IF($S32 = "YES", "(External ID)", "") &amp; " " &amp; IF(SUMPRODUCT(-- ISNUMBER(SEARCH({"Unique","Unique Case Insensitive"}, $R32))) &gt; 0, "(" &amp; $R32 &amp; ")", ""))))</f>
        <v>na</v>
      </c>
      <c r="E32" s="7" t="s">
        <v>195</v>
      </c>
      <c r="F32" s="7" t="s">
        <v>195</v>
      </c>
      <c r="G32" s="7" t="s">
        <v>195</v>
      </c>
      <c r="H32" s="7" t="s">
        <v>195</v>
      </c>
      <c r="I32" s="7" t="s">
        <v>195</v>
      </c>
      <c r="J32" s="7" t="s">
        <v>195</v>
      </c>
      <c r="K32" s="7" t="s">
        <v>195</v>
      </c>
      <c r="L32" s="7" t="s">
        <v>195</v>
      </c>
      <c r="M32" s="7" t="s">
        <v>29</v>
      </c>
      <c r="N32" s="7" t="s">
        <v>29</v>
      </c>
      <c r="O32" s="7" t="s">
        <v>29</v>
      </c>
      <c r="P32" s="7" t="s">
        <v>29</v>
      </c>
      <c r="Q32" s="7" t="s">
        <v>29</v>
      </c>
      <c r="R32" s="7" t="s">
        <v>29</v>
      </c>
      <c r="S32" s="7" t="s">
        <v>29</v>
      </c>
    </row>
    <row r="33" spans="2:19">
      <c r="B33" s="7" t="s">
        <v>195</v>
      </c>
      <c r="C33" s="8" t="s">
        <v>195</v>
      </c>
      <c r="D33" s="5" t="str">
        <f>LRTRIM(CONCATENATE(IF(SUMPRODUCT(-- ISNUMBER(SEARCH({"Auto Number"}, $B33))) &gt; 0, $B33, IF(SUMPRODUCT(-- ISNUMBER(SEARCH({"Lookup","Master-Detail"}, $B33))) &gt; 0,$B33 &amp; "(" &amp; $E33 &amp; ")",IF(SUMPRODUCT(-- ISNUMBER(SEARCH({"Formula","Roll-Up Summary"}, $B33))) &gt; 0,$B33 &amp; " (" &amp; $E33 &amp; ")",IF(SUMPRODUCT(-- ISNUMBER(SEARCH({"Content","Currency","Number","Percent","Text","URL"}, $B33))) &gt; 0,$B33 &amp; "(" &amp; $C33 &amp; ")",$B33)))), "  ", TRIM(IF($S33 = "YES", "(External ID)", "") &amp; " " &amp; IF(SUMPRODUCT(-- ISNUMBER(SEARCH({"Unique","Unique Case Insensitive"}, $R33))) &gt; 0, "(" &amp; $R33 &amp; ")", ""))))</f>
        <v>na</v>
      </c>
      <c r="E33" s="7" t="s">
        <v>195</v>
      </c>
      <c r="F33" s="7" t="s">
        <v>195</v>
      </c>
      <c r="G33" s="7" t="s">
        <v>195</v>
      </c>
      <c r="H33" s="7" t="s">
        <v>195</v>
      </c>
      <c r="I33" s="7" t="s">
        <v>195</v>
      </c>
      <c r="J33" s="7" t="s">
        <v>195</v>
      </c>
      <c r="K33" s="7" t="s">
        <v>195</v>
      </c>
      <c r="L33" s="7" t="s">
        <v>195</v>
      </c>
      <c r="M33" s="7" t="s">
        <v>29</v>
      </c>
      <c r="N33" s="7" t="s">
        <v>29</v>
      </c>
      <c r="O33" s="7" t="s">
        <v>29</v>
      </c>
      <c r="P33" s="7" t="s">
        <v>29</v>
      </c>
      <c r="Q33" s="7" t="s">
        <v>29</v>
      </c>
      <c r="R33" s="7" t="s">
        <v>29</v>
      </c>
      <c r="S33" s="7" t="s">
        <v>29</v>
      </c>
    </row>
    <row r="34" spans="2:19">
      <c r="B34" s="7" t="s">
        <v>195</v>
      </c>
      <c r="C34" s="8" t="s">
        <v>195</v>
      </c>
      <c r="D34" s="5" t="str">
        <f>LRTRIM(CONCATENATE(IF(SUMPRODUCT(-- ISNUMBER(SEARCH({"Auto Number"}, $B34))) &gt; 0, $B34, IF(SUMPRODUCT(-- ISNUMBER(SEARCH({"Lookup","Master-Detail"}, $B34))) &gt; 0,$B34 &amp; "(" &amp; $E34 &amp; ")",IF(SUMPRODUCT(-- ISNUMBER(SEARCH({"Formula","Roll-Up Summary"}, $B34))) &gt; 0,$B34 &amp; " (" &amp; $E34 &amp; ")",IF(SUMPRODUCT(-- ISNUMBER(SEARCH({"Content","Currency","Number","Percent","Text","URL"}, $B34))) &gt; 0,$B34 &amp; "(" &amp; $C34 &amp; ")",$B34)))), "  ", TRIM(IF($S34 = "YES", "(External ID)", "") &amp; " " &amp; IF(SUMPRODUCT(-- ISNUMBER(SEARCH({"Unique","Unique Case Insensitive"}, $R34))) &gt; 0, "(" &amp; $R34 &amp; ")", ""))))</f>
        <v>na</v>
      </c>
      <c r="E34" s="7" t="s">
        <v>195</v>
      </c>
      <c r="F34" s="7" t="s">
        <v>195</v>
      </c>
      <c r="G34" s="7" t="s">
        <v>195</v>
      </c>
      <c r="H34" s="7" t="s">
        <v>195</v>
      </c>
      <c r="I34" s="7" t="s">
        <v>195</v>
      </c>
      <c r="J34" s="7" t="s">
        <v>195</v>
      </c>
      <c r="K34" s="7" t="s">
        <v>195</v>
      </c>
      <c r="L34" s="7" t="s">
        <v>195</v>
      </c>
      <c r="M34" s="7" t="s">
        <v>29</v>
      </c>
      <c r="N34" s="7" t="s">
        <v>29</v>
      </c>
      <c r="O34" s="7" t="s">
        <v>29</v>
      </c>
      <c r="P34" s="7" t="s">
        <v>29</v>
      </c>
      <c r="Q34" s="7" t="s">
        <v>29</v>
      </c>
      <c r="R34" s="7" t="s">
        <v>29</v>
      </c>
      <c r="S34" s="7" t="s">
        <v>29</v>
      </c>
    </row>
    <row r="35" spans="2:19">
      <c r="B35" s="7" t="s">
        <v>195</v>
      </c>
      <c r="C35" s="8" t="s">
        <v>195</v>
      </c>
      <c r="D35" s="5" t="str">
        <f>LRTRIM(CONCATENATE(IF(SUMPRODUCT(-- ISNUMBER(SEARCH({"Auto Number"}, $B35))) &gt; 0, $B35, IF(SUMPRODUCT(-- ISNUMBER(SEARCH({"Lookup","Master-Detail"}, $B35))) &gt; 0,$B35 &amp; "(" &amp; $E35 &amp; ")",IF(SUMPRODUCT(-- ISNUMBER(SEARCH({"Formula","Roll-Up Summary"}, $B35))) &gt; 0,$B35 &amp; " (" &amp; $E35 &amp; ")",IF(SUMPRODUCT(-- ISNUMBER(SEARCH({"Content","Currency","Number","Percent","Text","URL"}, $B35))) &gt; 0,$B35 &amp; "(" &amp; $C35 &amp; ")",$B35)))), "  ", TRIM(IF($S35 = "YES", "(External ID)", "") &amp; " " &amp; IF(SUMPRODUCT(-- ISNUMBER(SEARCH({"Unique","Unique Case Insensitive"}, $R35))) &gt; 0, "(" &amp; $R35 &amp; ")", ""))))</f>
        <v>na</v>
      </c>
      <c r="E35" s="7" t="s">
        <v>195</v>
      </c>
      <c r="F35" s="7" t="s">
        <v>195</v>
      </c>
      <c r="G35" s="7" t="s">
        <v>195</v>
      </c>
      <c r="H35" s="7" t="s">
        <v>195</v>
      </c>
      <c r="I35" s="7" t="s">
        <v>195</v>
      </c>
      <c r="J35" s="7" t="s">
        <v>195</v>
      </c>
      <c r="K35" s="7" t="s">
        <v>195</v>
      </c>
      <c r="L35" s="7" t="s">
        <v>195</v>
      </c>
      <c r="M35" s="7" t="s">
        <v>29</v>
      </c>
      <c r="N35" s="7" t="s">
        <v>29</v>
      </c>
      <c r="O35" s="7" t="s">
        <v>29</v>
      </c>
      <c r="P35" s="7" t="s">
        <v>29</v>
      </c>
      <c r="Q35" s="7" t="s">
        <v>29</v>
      </c>
      <c r="R35" s="7" t="s">
        <v>29</v>
      </c>
      <c r="S35" s="7" t="s">
        <v>29</v>
      </c>
    </row>
    <row r="36" spans="2:19">
      <c r="B36" s="7" t="s">
        <v>195</v>
      </c>
      <c r="C36" s="8" t="s">
        <v>195</v>
      </c>
      <c r="D36" s="5" t="str">
        <f>LRTRIM(CONCATENATE(IF(SUMPRODUCT(-- ISNUMBER(SEARCH({"Auto Number"}, $B36))) &gt; 0, $B36, IF(SUMPRODUCT(-- ISNUMBER(SEARCH({"Lookup","Master-Detail"}, $B36))) &gt; 0,$B36 &amp; "(" &amp; $E36 &amp; ")",IF(SUMPRODUCT(-- ISNUMBER(SEARCH({"Formula","Roll-Up Summary"}, $B36))) &gt; 0,$B36 &amp; " (" &amp; $E36 &amp; ")",IF(SUMPRODUCT(-- ISNUMBER(SEARCH({"Content","Currency","Number","Percent","Text","URL"}, $B36))) &gt; 0,$B36 &amp; "(" &amp; $C36 &amp; ")",$B36)))), "  ", TRIM(IF($S36 = "YES", "(External ID)", "") &amp; " " &amp; IF(SUMPRODUCT(-- ISNUMBER(SEARCH({"Unique","Unique Case Insensitive"}, $R36))) &gt; 0, "(" &amp; $R36 &amp; ")", ""))))</f>
        <v>na</v>
      </c>
      <c r="E36" s="7" t="s">
        <v>195</v>
      </c>
      <c r="F36" s="7" t="s">
        <v>195</v>
      </c>
      <c r="G36" s="7" t="s">
        <v>195</v>
      </c>
      <c r="H36" s="7" t="s">
        <v>195</v>
      </c>
      <c r="I36" s="7" t="s">
        <v>195</v>
      </c>
      <c r="J36" s="7" t="s">
        <v>195</v>
      </c>
      <c r="K36" s="7" t="s">
        <v>195</v>
      </c>
      <c r="L36" s="7" t="s">
        <v>195</v>
      </c>
      <c r="M36" s="7" t="s">
        <v>29</v>
      </c>
      <c r="N36" s="7" t="s">
        <v>29</v>
      </c>
      <c r="O36" s="7" t="s">
        <v>29</v>
      </c>
      <c r="P36" s="7" t="s">
        <v>29</v>
      </c>
      <c r="Q36" s="7" t="s">
        <v>29</v>
      </c>
      <c r="R36" s="7" t="s">
        <v>29</v>
      </c>
      <c r="S36" s="7" t="s">
        <v>29</v>
      </c>
    </row>
    <row r="37" spans="2:19">
      <c r="B37" s="7" t="s">
        <v>195</v>
      </c>
      <c r="C37" s="8" t="s">
        <v>195</v>
      </c>
      <c r="D37" s="5" t="str">
        <f>LRTRIM(CONCATENATE(IF(SUMPRODUCT(-- ISNUMBER(SEARCH({"Auto Number"}, $B37))) &gt; 0, $B37, IF(SUMPRODUCT(-- ISNUMBER(SEARCH({"Lookup","Master-Detail"}, $B37))) &gt; 0,$B37 &amp; "(" &amp; $E37 &amp; ")",IF(SUMPRODUCT(-- ISNUMBER(SEARCH({"Formula","Roll-Up Summary"}, $B37))) &gt; 0,$B37 &amp; " (" &amp; $E37 &amp; ")",IF(SUMPRODUCT(-- ISNUMBER(SEARCH({"Content","Currency","Number","Percent","Text","URL"}, $B37))) &gt; 0,$B37 &amp; "(" &amp; $C37 &amp; ")",$B37)))), "  ", TRIM(IF($S37 = "YES", "(External ID)", "") &amp; " " &amp; IF(SUMPRODUCT(-- ISNUMBER(SEARCH({"Unique","Unique Case Insensitive"}, $R37))) &gt; 0, "(" &amp; $R37 &amp; ")", ""))))</f>
        <v>na</v>
      </c>
      <c r="E37" s="7" t="s">
        <v>195</v>
      </c>
      <c r="F37" s="7" t="s">
        <v>195</v>
      </c>
      <c r="G37" s="7" t="s">
        <v>195</v>
      </c>
      <c r="H37" s="7" t="s">
        <v>195</v>
      </c>
      <c r="I37" s="7" t="s">
        <v>195</v>
      </c>
      <c r="J37" s="7" t="s">
        <v>195</v>
      </c>
      <c r="K37" s="7" t="s">
        <v>195</v>
      </c>
      <c r="L37" s="7" t="s">
        <v>195</v>
      </c>
      <c r="M37" s="7" t="s">
        <v>29</v>
      </c>
      <c r="N37" s="7" t="s">
        <v>29</v>
      </c>
      <c r="O37" s="7" t="s">
        <v>29</v>
      </c>
      <c r="P37" s="7" t="s">
        <v>29</v>
      </c>
      <c r="Q37" s="7" t="s">
        <v>29</v>
      </c>
      <c r="R37" s="7" t="s">
        <v>29</v>
      </c>
      <c r="S37" s="7" t="s">
        <v>29</v>
      </c>
    </row>
    <row r="38" spans="2:19">
      <c r="B38" s="7" t="s">
        <v>195</v>
      </c>
      <c r="C38" s="8" t="s">
        <v>195</v>
      </c>
      <c r="D38" s="5" t="str">
        <f>LRTRIM(CONCATENATE(IF(SUMPRODUCT(-- ISNUMBER(SEARCH({"Auto Number"}, $B38))) &gt; 0, $B38, IF(SUMPRODUCT(-- ISNUMBER(SEARCH({"Lookup","Master-Detail"}, $B38))) &gt; 0,$B38 &amp; "(" &amp; $E38 &amp; ")",IF(SUMPRODUCT(-- ISNUMBER(SEARCH({"Formula","Roll-Up Summary"}, $B38))) &gt; 0,$B38 &amp; " (" &amp; $E38 &amp; ")",IF(SUMPRODUCT(-- ISNUMBER(SEARCH({"Content","Currency","Number","Percent","Text","URL"}, $B38))) &gt; 0,$B38 &amp; "(" &amp; $C38 &amp; ")",$B38)))), "  ", TRIM(IF($S38 = "YES", "(External ID)", "") &amp; " " &amp; IF(SUMPRODUCT(-- ISNUMBER(SEARCH({"Unique","Unique Case Insensitive"}, $R38))) &gt; 0, "(" &amp; $R38 &amp; ")", ""))))</f>
        <v>na</v>
      </c>
      <c r="E38" s="7" t="s">
        <v>195</v>
      </c>
      <c r="F38" s="7" t="s">
        <v>195</v>
      </c>
      <c r="G38" s="7" t="s">
        <v>195</v>
      </c>
      <c r="H38" s="7" t="s">
        <v>195</v>
      </c>
      <c r="I38" s="7" t="s">
        <v>195</v>
      </c>
      <c r="J38" s="7" t="s">
        <v>195</v>
      </c>
      <c r="K38" s="7" t="s">
        <v>195</v>
      </c>
      <c r="L38" s="7" t="s">
        <v>195</v>
      </c>
      <c r="M38" s="7" t="s">
        <v>29</v>
      </c>
      <c r="N38" s="7" t="s">
        <v>29</v>
      </c>
      <c r="O38" s="7" t="s">
        <v>29</v>
      </c>
      <c r="P38" s="7" t="s">
        <v>29</v>
      </c>
      <c r="Q38" s="7" t="s">
        <v>29</v>
      </c>
      <c r="R38" s="7" t="s">
        <v>29</v>
      </c>
      <c r="S38" s="7" t="s">
        <v>29</v>
      </c>
    </row>
    <row r="39" spans="2:19">
      <c r="B39" s="7" t="s">
        <v>195</v>
      </c>
      <c r="C39" s="8" t="s">
        <v>195</v>
      </c>
      <c r="D39" s="5" t="str">
        <f>LRTRIM(CONCATENATE(IF(SUMPRODUCT(-- ISNUMBER(SEARCH({"Auto Number"}, $B39))) &gt; 0, $B39, IF(SUMPRODUCT(-- ISNUMBER(SEARCH({"Lookup","Master-Detail"}, $B39))) &gt; 0,$B39 &amp; "(" &amp; $E39 &amp; ")",IF(SUMPRODUCT(-- ISNUMBER(SEARCH({"Formula","Roll-Up Summary"}, $B39))) &gt; 0,$B39 &amp; " (" &amp; $E39 &amp; ")",IF(SUMPRODUCT(-- ISNUMBER(SEARCH({"Content","Currency","Number","Percent","Text","URL"}, $B39))) &gt; 0,$B39 &amp; "(" &amp; $C39 &amp; ")",$B39)))), "  ", TRIM(IF($S39 = "YES", "(External ID)", "") &amp; " " &amp; IF(SUMPRODUCT(-- ISNUMBER(SEARCH({"Unique","Unique Case Insensitive"}, $R39))) &gt; 0, "(" &amp; $R39 &amp; ")", ""))))</f>
        <v>na</v>
      </c>
      <c r="E39" s="7" t="s">
        <v>195</v>
      </c>
      <c r="F39" s="7" t="s">
        <v>195</v>
      </c>
      <c r="G39" s="7" t="s">
        <v>195</v>
      </c>
      <c r="H39" s="7" t="s">
        <v>195</v>
      </c>
      <c r="I39" s="7" t="s">
        <v>195</v>
      </c>
      <c r="J39" s="7" t="s">
        <v>195</v>
      </c>
      <c r="K39" s="7" t="s">
        <v>195</v>
      </c>
      <c r="L39" s="7" t="s">
        <v>195</v>
      </c>
      <c r="M39" s="7" t="s">
        <v>29</v>
      </c>
      <c r="N39" s="7" t="s">
        <v>29</v>
      </c>
      <c r="O39" s="7" t="s">
        <v>29</v>
      </c>
      <c r="P39" s="7" t="s">
        <v>29</v>
      </c>
      <c r="Q39" s="7" t="s">
        <v>29</v>
      </c>
      <c r="R39" s="7" t="s">
        <v>29</v>
      </c>
      <c r="S39" s="7" t="s">
        <v>29</v>
      </c>
    </row>
    <row r="40" spans="2:19">
      <c r="B40" s="7" t="s">
        <v>195</v>
      </c>
      <c r="C40" s="8" t="s">
        <v>195</v>
      </c>
      <c r="D40" s="5" t="str">
        <f>LRTRIM(CONCATENATE(IF(SUMPRODUCT(-- ISNUMBER(SEARCH({"Auto Number"}, $B40))) &gt; 0, $B40, IF(SUMPRODUCT(-- ISNUMBER(SEARCH({"Lookup","Master-Detail"}, $B40))) &gt; 0,$B40 &amp; "(" &amp; $E40 &amp; ")",IF(SUMPRODUCT(-- ISNUMBER(SEARCH({"Formula","Roll-Up Summary"}, $B40))) &gt; 0,$B40 &amp; " (" &amp; $E40 &amp; ")",IF(SUMPRODUCT(-- ISNUMBER(SEARCH({"Content","Currency","Number","Percent","Text","URL"}, $B40))) &gt; 0,$B40 &amp; "(" &amp; $C40 &amp; ")",$B40)))), "  ", TRIM(IF($S40 = "YES", "(External ID)", "") &amp; " " &amp; IF(SUMPRODUCT(-- ISNUMBER(SEARCH({"Unique","Unique Case Insensitive"}, $R40))) &gt; 0, "(" &amp; $R40 &amp; ")", ""))))</f>
        <v>na</v>
      </c>
      <c r="E40" s="7" t="s">
        <v>195</v>
      </c>
      <c r="F40" s="7" t="s">
        <v>195</v>
      </c>
      <c r="G40" s="7" t="s">
        <v>195</v>
      </c>
      <c r="H40" s="7" t="s">
        <v>195</v>
      </c>
      <c r="I40" s="7" t="s">
        <v>195</v>
      </c>
      <c r="J40" s="7" t="s">
        <v>195</v>
      </c>
      <c r="K40" s="7" t="s">
        <v>195</v>
      </c>
      <c r="L40" s="7" t="s">
        <v>195</v>
      </c>
      <c r="M40" s="7" t="s">
        <v>29</v>
      </c>
      <c r="N40" s="7" t="s">
        <v>29</v>
      </c>
      <c r="O40" s="7" t="s">
        <v>29</v>
      </c>
      <c r="P40" s="7" t="s">
        <v>29</v>
      </c>
      <c r="Q40" s="7" t="s">
        <v>29</v>
      </c>
      <c r="R40" s="7" t="s">
        <v>29</v>
      </c>
      <c r="S40" s="7" t="s">
        <v>29</v>
      </c>
    </row>
    <row r="41" spans="2:19">
      <c r="B41" s="7" t="s">
        <v>195</v>
      </c>
      <c r="C41" s="8" t="s">
        <v>195</v>
      </c>
      <c r="D41" s="5" t="str">
        <f>LRTRIM(CONCATENATE(IF(SUMPRODUCT(-- ISNUMBER(SEARCH({"Auto Number"}, $B41))) &gt; 0, $B41, IF(SUMPRODUCT(-- ISNUMBER(SEARCH({"Lookup","Master-Detail"}, $B41))) &gt; 0,$B41 &amp; "(" &amp; $E41 &amp; ")",IF(SUMPRODUCT(-- ISNUMBER(SEARCH({"Formula","Roll-Up Summary"}, $B41))) &gt; 0,$B41 &amp; " (" &amp; $E41 &amp; ")",IF(SUMPRODUCT(-- ISNUMBER(SEARCH({"Content","Currency","Number","Percent","Text","URL"}, $B41))) &gt; 0,$B41 &amp; "(" &amp; $C41 &amp; ")",$B41)))), "  ", TRIM(IF($S41 = "YES", "(External ID)", "") &amp; " " &amp; IF(SUMPRODUCT(-- ISNUMBER(SEARCH({"Unique","Unique Case Insensitive"}, $R41))) &gt; 0, "(" &amp; $R41 &amp; ")", ""))))</f>
        <v>na</v>
      </c>
      <c r="E41" s="7" t="s">
        <v>195</v>
      </c>
      <c r="F41" s="7" t="s">
        <v>195</v>
      </c>
      <c r="G41" s="7" t="s">
        <v>195</v>
      </c>
      <c r="H41" s="7" t="s">
        <v>195</v>
      </c>
      <c r="I41" s="7" t="s">
        <v>195</v>
      </c>
      <c r="J41" s="7" t="s">
        <v>195</v>
      </c>
      <c r="K41" s="7" t="s">
        <v>195</v>
      </c>
      <c r="L41" s="7" t="s">
        <v>195</v>
      </c>
      <c r="M41" s="7" t="s">
        <v>29</v>
      </c>
      <c r="N41" s="7" t="s">
        <v>29</v>
      </c>
      <c r="O41" s="7" t="s">
        <v>29</v>
      </c>
      <c r="P41" s="7" t="s">
        <v>29</v>
      </c>
      <c r="Q41" s="7" t="s">
        <v>29</v>
      </c>
      <c r="R41" s="7" t="s">
        <v>29</v>
      </c>
      <c r="S41" s="7" t="s">
        <v>29</v>
      </c>
    </row>
    <row r="42" spans="2:19">
      <c r="B42" s="7" t="s">
        <v>195</v>
      </c>
      <c r="C42" s="8" t="s">
        <v>195</v>
      </c>
      <c r="D42" s="5" t="str">
        <f>LRTRIM(CONCATENATE(IF(SUMPRODUCT(-- ISNUMBER(SEARCH({"Auto Number"}, $B42))) &gt; 0, $B42, IF(SUMPRODUCT(-- ISNUMBER(SEARCH({"Lookup","Master-Detail"}, $B42))) &gt; 0,$B42 &amp; "(" &amp; $E42 &amp; ")",IF(SUMPRODUCT(-- ISNUMBER(SEARCH({"Formula","Roll-Up Summary"}, $B42))) &gt; 0,$B42 &amp; " (" &amp; $E42 &amp; ")",IF(SUMPRODUCT(-- ISNUMBER(SEARCH({"Content","Currency","Number","Percent","Text","URL"}, $B42))) &gt; 0,$B42 &amp; "(" &amp; $C42 &amp; ")",$B42)))), "  ", TRIM(IF($S42 = "YES", "(External ID)", "") &amp; " " &amp; IF(SUMPRODUCT(-- ISNUMBER(SEARCH({"Unique","Unique Case Insensitive"}, $R42))) &gt; 0, "(" &amp; $R42 &amp; ")", ""))))</f>
        <v>na</v>
      </c>
      <c r="E42" s="7" t="s">
        <v>195</v>
      </c>
      <c r="F42" s="7" t="s">
        <v>195</v>
      </c>
      <c r="G42" s="7" t="s">
        <v>195</v>
      </c>
      <c r="H42" s="7" t="s">
        <v>195</v>
      </c>
      <c r="I42" s="7" t="s">
        <v>195</v>
      </c>
      <c r="J42" s="7" t="s">
        <v>195</v>
      </c>
      <c r="K42" s="7" t="s">
        <v>195</v>
      </c>
      <c r="L42" s="7" t="s">
        <v>195</v>
      </c>
      <c r="M42" s="7" t="s">
        <v>29</v>
      </c>
      <c r="N42" s="7" t="s">
        <v>29</v>
      </c>
      <c r="O42" s="7" t="s">
        <v>29</v>
      </c>
      <c r="P42" s="7" t="s">
        <v>29</v>
      </c>
      <c r="Q42" s="7" t="s">
        <v>29</v>
      </c>
      <c r="R42" s="7" t="s">
        <v>29</v>
      </c>
      <c r="S42" s="7" t="s">
        <v>29</v>
      </c>
    </row>
    <row r="43" spans="2:19">
      <c r="B43" s="7" t="s">
        <v>195</v>
      </c>
      <c r="C43" s="8" t="s">
        <v>195</v>
      </c>
      <c r="D43" s="5" t="str">
        <f>LRTRIM(CONCATENATE(IF(SUMPRODUCT(-- ISNUMBER(SEARCH({"Auto Number"}, $B43))) &gt; 0, $B43, IF(SUMPRODUCT(-- ISNUMBER(SEARCH({"Lookup","Master-Detail"}, $B43))) &gt; 0,$B43 &amp; "(" &amp; $E43 &amp; ")",IF(SUMPRODUCT(-- ISNUMBER(SEARCH({"Formula","Roll-Up Summary"}, $B43))) &gt; 0,$B43 &amp; " (" &amp; $E43 &amp; ")",IF(SUMPRODUCT(-- ISNUMBER(SEARCH({"Content","Currency","Number","Percent","Text","URL"}, $B43))) &gt; 0,$B43 &amp; "(" &amp; $C43 &amp; ")",$B43)))), "  ", TRIM(IF($S43 = "YES", "(External ID)", "") &amp; " " &amp; IF(SUMPRODUCT(-- ISNUMBER(SEARCH({"Unique","Unique Case Insensitive"}, $R43))) &gt; 0, "(" &amp; $R43 &amp; ")", ""))))</f>
        <v>na</v>
      </c>
      <c r="E43" s="7" t="s">
        <v>195</v>
      </c>
      <c r="F43" s="7" t="s">
        <v>195</v>
      </c>
      <c r="G43" s="7" t="s">
        <v>195</v>
      </c>
      <c r="H43" s="7" t="s">
        <v>195</v>
      </c>
      <c r="I43" s="7" t="s">
        <v>195</v>
      </c>
      <c r="J43" s="7" t="s">
        <v>195</v>
      </c>
      <c r="K43" s="7" t="s">
        <v>195</v>
      </c>
      <c r="L43" s="7" t="s">
        <v>195</v>
      </c>
      <c r="M43" s="7" t="s">
        <v>29</v>
      </c>
      <c r="N43" s="7" t="s">
        <v>29</v>
      </c>
      <c r="O43" s="7" t="s">
        <v>29</v>
      </c>
      <c r="P43" s="7" t="s">
        <v>29</v>
      </c>
      <c r="Q43" s="7" t="s">
        <v>29</v>
      </c>
      <c r="R43" s="7" t="s">
        <v>29</v>
      </c>
      <c r="S43" s="7" t="s">
        <v>29</v>
      </c>
    </row>
    <row r="44" spans="2:19">
      <c r="B44" s="7" t="s">
        <v>195</v>
      </c>
      <c r="C44" s="8" t="s">
        <v>195</v>
      </c>
      <c r="D44" s="5" t="str">
        <f>LRTRIM(CONCATENATE(IF(SUMPRODUCT(-- ISNUMBER(SEARCH({"Auto Number"}, $B44))) &gt; 0, $B44, IF(SUMPRODUCT(-- ISNUMBER(SEARCH({"Lookup","Master-Detail"}, $B44))) &gt; 0,$B44 &amp; "(" &amp; $E44 &amp; ")",IF(SUMPRODUCT(-- ISNUMBER(SEARCH({"Formula","Roll-Up Summary"}, $B44))) &gt; 0,$B44 &amp; " (" &amp; $E44 &amp; ")",IF(SUMPRODUCT(-- ISNUMBER(SEARCH({"Content","Currency","Number","Percent","Text","URL"}, $B44))) &gt; 0,$B44 &amp; "(" &amp; $C44 &amp; ")",$B44)))), "  ", TRIM(IF($S44 = "YES", "(External ID)", "") &amp; " " &amp; IF(SUMPRODUCT(-- ISNUMBER(SEARCH({"Unique","Unique Case Insensitive"}, $R44))) &gt; 0, "(" &amp; $R44 &amp; ")", ""))))</f>
        <v>na</v>
      </c>
      <c r="E44" s="7" t="s">
        <v>195</v>
      </c>
      <c r="F44" s="7" t="s">
        <v>195</v>
      </c>
      <c r="G44" s="7" t="s">
        <v>195</v>
      </c>
      <c r="H44" s="7" t="s">
        <v>195</v>
      </c>
      <c r="I44" s="7" t="s">
        <v>195</v>
      </c>
      <c r="J44" s="7" t="s">
        <v>195</v>
      </c>
      <c r="K44" s="7" t="s">
        <v>195</v>
      </c>
      <c r="L44" s="7" t="s">
        <v>195</v>
      </c>
      <c r="M44" s="7" t="s">
        <v>29</v>
      </c>
      <c r="N44" s="7" t="s">
        <v>29</v>
      </c>
      <c r="O44" s="7" t="s">
        <v>29</v>
      </c>
      <c r="P44" s="7" t="s">
        <v>29</v>
      </c>
      <c r="Q44" s="7" t="s">
        <v>29</v>
      </c>
      <c r="R44" s="7" t="s">
        <v>29</v>
      </c>
      <c r="S44" s="7" t="s">
        <v>29</v>
      </c>
    </row>
    <row r="45" spans="2:19">
      <c r="B45" s="7" t="s">
        <v>195</v>
      </c>
      <c r="C45" s="8" t="s">
        <v>195</v>
      </c>
      <c r="D45" s="5" t="str">
        <f>LRTRIM(CONCATENATE(IF(SUMPRODUCT(-- ISNUMBER(SEARCH({"Auto Number"}, $B45))) &gt; 0, $B45, IF(SUMPRODUCT(-- ISNUMBER(SEARCH({"Lookup","Master-Detail"}, $B45))) &gt; 0,$B45 &amp; "(" &amp; $E45 &amp; ")",IF(SUMPRODUCT(-- ISNUMBER(SEARCH({"Formula","Roll-Up Summary"}, $B45))) &gt; 0,$B45 &amp; " (" &amp; $E45 &amp; ")",IF(SUMPRODUCT(-- ISNUMBER(SEARCH({"Content","Currency","Number","Percent","Text","URL"}, $B45))) &gt; 0,$B45 &amp; "(" &amp; $C45 &amp; ")",$B45)))), "  ", TRIM(IF($S45 = "YES", "(External ID)", "") &amp; " " &amp; IF(SUMPRODUCT(-- ISNUMBER(SEARCH({"Unique","Unique Case Insensitive"}, $R45))) &gt; 0, "(" &amp; $R45 &amp; ")", ""))))</f>
        <v>na</v>
      </c>
      <c r="E45" s="7" t="s">
        <v>195</v>
      </c>
      <c r="F45" s="7" t="s">
        <v>195</v>
      </c>
      <c r="G45" s="7" t="s">
        <v>195</v>
      </c>
      <c r="H45" s="7" t="s">
        <v>195</v>
      </c>
      <c r="I45" s="7" t="s">
        <v>195</v>
      </c>
      <c r="J45" s="7" t="s">
        <v>195</v>
      </c>
      <c r="K45" s="7" t="s">
        <v>195</v>
      </c>
      <c r="L45" s="7" t="s">
        <v>195</v>
      </c>
      <c r="M45" s="7" t="s">
        <v>29</v>
      </c>
      <c r="N45" s="7" t="s">
        <v>29</v>
      </c>
      <c r="O45" s="7" t="s">
        <v>29</v>
      </c>
      <c r="P45" s="7" t="s">
        <v>29</v>
      </c>
      <c r="Q45" s="7" t="s">
        <v>29</v>
      </c>
      <c r="R45" s="7" t="s">
        <v>29</v>
      </c>
      <c r="S45" s="7" t="s">
        <v>29</v>
      </c>
    </row>
    <row r="46" spans="2:19">
      <c r="B46" s="7" t="s">
        <v>195</v>
      </c>
      <c r="C46" s="8" t="s">
        <v>195</v>
      </c>
      <c r="D46" s="5" t="str">
        <f>LRTRIM(CONCATENATE(IF(SUMPRODUCT(-- ISNUMBER(SEARCH({"Auto Number"}, $B46))) &gt; 0, $B46, IF(SUMPRODUCT(-- ISNUMBER(SEARCH({"Lookup","Master-Detail"}, $B46))) &gt; 0,$B46 &amp; "(" &amp; $E46 &amp; ")",IF(SUMPRODUCT(-- ISNUMBER(SEARCH({"Formula","Roll-Up Summary"}, $B46))) &gt; 0,$B46 &amp; " (" &amp; $E46 &amp; ")",IF(SUMPRODUCT(-- ISNUMBER(SEARCH({"Content","Currency","Number","Percent","Text","URL"}, $B46))) &gt; 0,$B46 &amp; "(" &amp; $C46 &amp; ")",$B46)))), "  ", TRIM(IF($S46 = "YES", "(External ID)", "") &amp; " " &amp; IF(SUMPRODUCT(-- ISNUMBER(SEARCH({"Unique","Unique Case Insensitive"}, $R46))) &gt; 0, "(" &amp; $R46 &amp; ")", ""))))</f>
        <v>na</v>
      </c>
      <c r="E46" s="7" t="s">
        <v>195</v>
      </c>
      <c r="F46" s="7" t="s">
        <v>195</v>
      </c>
      <c r="G46" s="7" t="s">
        <v>195</v>
      </c>
      <c r="H46" s="7" t="s">
        <v>195</v>
      </c>
      <c r="I46" s="7" t="s">
        <v>195</v>
      </c>
      <c r="J46" s="7" t="s">
        <v>195</v>
      </c>
      <c r="K46" s="7" t="s">
        <v>195</v>
      </c>
      <c r="L46" s="7" t="s">
        <v>195</v>
      </c>
      <c r="M46" s="7" t="s">
        <v>29</v>
      </c>
      <c r="N46" s="7" t="s">
        <v>29</v>
      </c>
      <c r="O46" s="7" t="s">
        <v>29</v>
      </c>
      <c r="P46" s="7" t="s">
        <v>29</v>
      </c>
      <c r="Q46" s="7" t="s">
        <v>29</v>
      </c>
      <c r="R46" s="7" t="s">
        <v>29</v>
      </c>
      <c r="S46" s="7" t="s">
        <v>29</v>
      </c>
    </row>
    <row r="47" spans="2:19">
      <c r="B47" s="7" t="s">
        <v>195</v>
      </c>
      <c r="C47" s="8" t="s">
        <v>195</v>
      </c>
      <c r="D47" s="5" t="str">
        <f>LRTRIM(CONCATENATE(IF(SUMPRODUCT(-- ISNUMBER(SEARCH({"Auto Number"}, $B47))) &gt; 0, $B47, IF(SUMPRODUCT(-- ISNUMBER(SEARCH({"Lookup","Master-Detail"}, $B47))) &gt; 0,$B47 &amp; "(" &amp; $E47 &amp; ")",IF(SUMPRODUCT(-- ISNUMBER(SEARCH({"Formula","Roll-Up Summary"}, $B47))) &gt; 0,$B47 &amp; " (" &amp; $E47 &amp; ")",IF(SUMPRODUCT(-- ISNUMBER(SEARCH({"Content","Currency","Number","Percent","Text","URL"}, $B47))) &gt; 0,$B47 &amp; "(" &amp; $C47 &amp; ")",$B47)))), "  ", TRIM(IF($S47 = "YES", "(External ID)", "") &amp; " " &amp; IF(SUMPRODUCT(-- ISNUMBER(SEARCH({"Unique","Unique Case Insensitive"}, $R47))) &gt; 0, "(" &amp; $R47 &amp; ")", ""))))</f>
        <v>na</v>
      </c>
      <c r="E47" s="7" t="s">
        <v>195</v>
      </c>
      <c r="F47" s="7" t="s">
        <v>195</v>
      </c>
      <c r="G47" s="7" t="s">
        <v>195</v>
      </c>
      <c r="H47" s="7" t="s">
        <v>195</v>
      </c>
      <c r="I47" s="7" t="s">
        <v>195</v>
      </c>
      <c r="J47" s="7" t="s">
        <v>195</v>
      </c>
      <c r="K47" s="7" t="s">
        <v>195</v>
      </c>
      <c r="L47" s="7" t="s">
        <v>195</v>
      </c>
      <c r="M47" s="7" t="s">
        <v>29</v>
      </c>
      <c r="N47" s="7" t="s">
        <v>29</v>
      </c>
      <c r="O47" s="7" t="s">
        <v>29</v>
      </c>
      <c r="P47" s="7" t="s">
        <v>29</v>
      </c>
      <c r="Q47" s="7" t="s">
        <v>29</v>
      </c>
      <c r="R47" s="7" t="s">
        <v>29</v>
      </c>
      <c r="S47" s="7" t="s">
        <v>29</v>
      </c>
    </row>
    <row r="48" spans="2:19">
      <c r="B48" s="7" t="s">
        <v>195</v>
      </c>
      <c r="C48" s="8" t="s">
        <v>195</v>
      </c>
      <c r="D48" s="5" t="str">
        <f>LRTRIM(CONCATENATE(IF(SUMPRODUCT(-- ISNUMBER(SEARCH({"Auto Number"}, $B48))) &gt; 0, $B48, IF(SUMPRODUCT(-- ISNUMBER(SEARCH({"Lookup","Master-Detail"}, $B48))) &gt; 0,$B48 &amp; "(" &amp; $E48 &amp; ")",IF(SUMPRODUCT(-- ISNUMBER(SEARCH({"Formula","Roll-Up Summary"}, $B48))) &gt; 0,$B48 &amp; " (" &amp; $E48 &amp; ")",IF(SUMPRODUCT(-- ISNUMBER(SEARCH({"Content","Currency","Number","Percent","Text","URL"}, $B48))) &gt; 0,$B48 &amp; "(" &amp; $C48 &amp; ")",$B48)))), "  ", TRIM(IF($S48 = "YES", "(External ID)", "") &amp; " " &amp; IF(SUMPRODUCT(-- ISNUMBER(SEARCH({"Unique","Unique Case Insensitive"}, $R48))) &gt; 0, "(" &amp; $R48 &amp; ")", ""))))</f>
        <v>na</v>
      </c>
      <c r="E48" s="7" t="s">
        <v>195</v>
      </c>
      <c r="F48" s="7" t="s">
        <v>195</v>
      </c>
      <c r="G48" s="7" t="s">
        <v>195</v>
      </c>
      <c r="H48" s="7" t="s">
        <v>195</v>
      </c>
      <c r="I48" s="7" t="s">
        <v>195</v>
      </c>
      <c r="J48" s="7" t="s">
        <v>195</v>
      </c>
      <c r="K48" s="7" t="s">
        <v>195</v>
      </c>
      <c r="L48" s="7" t="s">
        <v>195</v>
      </c>
      <c r="M48" s="7" t="s">
        <v>29</v>
      </c>
      <c r="N48" s="7" t="s">
        <v>29</v>
      </c>
      <c r="O48" s="7" t="s">
        <v>29</v>
      </c>
      <c r="P48" s="7" t="s">
        <v>29</v>
      </c>
      <c r="Q48" s="7" t="s">
        <v>29</v>
      </c>
      <c r="R48" s="7" t="s">
        <v>29</v>
      </c>
      <c r="S48" s="7" t="s">
        <v>29</v>
      </c>
    </row>
    <row r="49" spans="2:19">
      <c r="B49" s="7" t="s">
        <v>195</v>
      </c>
      <c r="C49" s="8" t="s">
        <v>195</v>
      </c>
      <c r="D49" s="5" t="str">
        <f>LRTRIM(CONCATENATE(IF(SUMPRODUCT(-- ISNUMBER(SEARCH({"Auto Number"}, $B49))) &gt; 0, $B49, IF(SUMPRODUCT(-- ISNUMBER(SEARCH({"Lookup","Master-Detail"}, $B49))) &gt; 0,$B49 &amp; "(" &amp; $E49 &amp; ")",IF(SUMPRODUCT(-- ISNUMBER(SEARCH({"Formula","Roll-Up Summary"}, $B49))) &gt; 0,$B49 &amp; " (" &amp; $E49 &amp; ")",IF(SUMPRODUCT(-- ISNUMBER(SEARCH({"Content","Currency","Number","Percent","Text","URL"}, $B49))) &gt; 0,$B49 &amp; "(" &amp; $C49 &amp; ")",$B49)))), "  ", TRIM(IF($S49 = "YES", "(External ID)", "") &amp; " " &amp; IF(SUMPRODUCT(-- ISNUMBER(SEARCH({"Unique","Unique Case Insensitive"}, $R49))) &gt; 0, "(" &amp; $R49 &amp; ")", ""))))</f>
        <v>na</v>
      </c>
      <c r="E49" s="7" t="s">
        <v>195</v>
      </c>
      <c r="F49" s="7" t="s">
        <v>195</v>
      </c>
      <c r="G49" s="7" t="s">
        <v>195</v>
      </c>
      <c r="H49" s="7" t="s">
        <v>195</v>
      </c>
      <c r="I49" s="7" t="s">
        <v>195</v>
      </c>
      <c r="J49" s="7" t="s">
        <v>195</v>
      </c>
      <c r="K49" s="7" t="s">
        <v>195</v>
      </c>
      <c r="L49" s="7" t="s">
        <v>195</v>
      </c>
      <c r="M49" s="7" t="s">
        <v>29</v>
      </c>
      <c r="N49" s="7" t="s">
        <v>29</v>
      </c>
      <c r="O49" s="7" t="s">
        <v>29</v>
      </c>
      <c r="P49" s="7" t="s">
        <v>29</v>
      </c>
      <c r="Q49" s="7" t="s">
        <v>29</v>
      </c>
      <c r="R49" s="7" t="s">
        <v>29</v>
      </c>
      <c r="S49" s="7" t="s">
        <v>29</v>
      </c>
    </row>
    <row r="50" spans="2:19">
      <c r="B50" s="7" t="s">
        <v>195</v>
      </c>
      <c r="C50" s="8" t="s">
        <v>195</v>
      </c>
      <c r="D50" s="5" t="str">
        <f>LRTRIM(CONCATENATE(IF(SUMPRODUCT(-- ISNUMBER(SEARCH({"Auto Number"}, $B50))) &gt; 0, $B50, IF(SUMPRODUCT(-- ISNUMBER(SEARCH({"Lookup","Master-Detail"}, $B50))) &gt; 0,$B50 &amp; "(" &amp; $E50 &amp; ")",IF(SUMPRODUCT(-- ISNUMBER(SEARCH({"Formula","Roll-Up Summary"}, $B50))) &gt; 0,$B50 &amp; " (" &amp; $E50 &amp; ")",IF(SUMPRODUCT(-- ISNUMBER(SEARCH({"Content","Currency","Number","Percent","Text","URL"}, $B50))) &gt; 0,$B50 &amp; "(" &amp; $C50 &amp; ")",$B50)))), "  ", TRIM(IF($S50 = "YES", "(External ID)", "") &amp; " " &amp; IF(SUMPRODUCT(-- ISNUMBER(SEARCH({"Unique","Unique Case Insensitive"}, $R50))) &gt; 0, "(" &amp; $R50 &amp; ")", ""))))</f>
        <v>na</v>
      </c>
      <c r="E50" s="7" t="s">
        <v>195</v>
      </c>
      <c r="F50" s="7" t="s">
        <v>195</v>
      </c>
      <c r="G50" s="7" t="s">
        <v>195</v>
      </c>
      <c r="H50" s="7" t="s">
        <v>195</v>
      </c>
      <c r="I50" s="7" t="s">
        <v>195</v>
      </c>
      <c r="J50" s="7" t="s">
        <v>195</v>
      </c>
      <c r="K50" s="7" t="s">
        <v>195</v>
      </c>
      <c r="L50" s="7" t="s">
        <v>195</v>
      </c>
      <c r="M50" s="7" t="s">
        <v>29</v>
      </c>
      <c r="N50" s="7" t="s">
        <v>29</v>
      </c>
      <c r="O50" s="7" t="s">
        <v>29</v>
      </c>
      <c r="P50" s="7" t="s">
        <v>29</v>
      </c>
      <c r="Q50" s="7" t="s">
        <v>29</v>
      </c>
      <c r="R50" s="7" t="s">
        <v>29</v>
      </c>
      <c r="S50" s="7" t="s">
        <v>29</v>
      </c>
    </row>
    <row r="51" spans="2:19">
      <c r="B51" s="7" t="s">
        <v>195</v>
      </c>
      <c r="C51" s="8" t="s">
        <v>195</v>
      </c>
      <c r="D51" s="5" t="str">
        <f>LRTRIM(CONCATENATE(IF(SUMPRODUCT(-- ISNUMBER(SEARCH({"Auto Number"}, $B51))) &gt; 0, $B51, IF(SUMPRODUCT(-- ISNUMBER(SEARCH({"Lookup","Master-Detail"}, $B51))) &gt; 0,$B51 &amp; "(" &amp; $E51 &amp; ")",IF(SUMPRODUCT(-- ISNUMBER(SEARCH({"Formula","Roll-Up Summary"}, $B51))) &gt; 0,$B51 &amp; " (" &amp; $E51 &amp; ")",IF(SUMPRODUCT(-- ISNUMBER(SEARCH({"Content","Currency","Number","Percent","Text","URL"}, $B51))) &gt; 0,$B51 &amp; "(" &amp; $C51 &amp; ")",$B51)))), "  ", TRIM(IF($S51 = "YES", "(External ID)", "") &amp; " " &amp; IF(SUMPRODUCT(-- ISNUMBER(SEARCH({"Unique","Unique Case Insensitive"}, $R51))) &gt; 0, "(" &amp; $R51 &amp; ")", ""))))</f>
        <v>na</v>
      </c>
      <c r="E51" s="7" t="s">
        <v>195</v>
      </c>
      <c r="F51" s="7" t="s">
        <v>195</v>
      </c>
      <c r="G51" s="7" t="s">
        <v>195</v>
      </c>
      <c r="H51" s="7" t="s">
        <v>195</v>
      </c>
      <c r="I51" s="7" t="s">
        <v>195</v>
      </c>
      <c r="J51" s="7" t="s">
        <v>195</v>
      </c>
      <c r="K51" s="7" t="s">
        <v>195</v>
      </c>
      <c r="L51" s="7" t="s">
        <v>195</v>
      </c>
      <c r="M51" s="7" t="s">
        <v>29</v>
      </c>
      <c r="N51" s="7" t="s">
        <v>29</v>
      </c>
      <c r="O51" s="7" t="s">
        <v>29</v>
      </c>
      <c r="P51" s="7" t="s">
        <v>29</v>
      </c>
      <c r="Q51" s="7" t="s">
        <v>29</v>
      </c>
      <c r="R51" s="7" t="s">
        <v>29</v>
      </c>
      <c r="S51" s="7" t="s">
        <v>29</v>
      </c>
    </row>
    <row r="52" spans="2:19">
      <c r="B52" s="7" t="s">
        <v>195</v>
      </c>
      <c r="C52" s="8" t="s">
        <v>195</v>
      </c>
      <c r="D52" s="5" t="str">
        <f>LRTRIM(CONCATENATE(IF(SUMPRODUCT(-- ISNUMBER(SEARCH({"Auto Number"}, $B52))) &gt; 0, $B52, IF(SUMPRODUCT(-- ISNUMBER(SEARCH({"Lookup","Master-Detail"}, $B52))) &gt; 0,$B52 &amp; "(" &amp; $E52 &amp; ")",IF(SUMPRODUCT(-- ISNUMBER(SEARCH({"Formula","Roll-Up Summary"}, $B52))) &gt; 0,$B52 &amp; " (" &amp; $E52 &amp; ")",IF(SUMPRODUCT(-- ISNUMBER(SEARCH({"Content","Currency","Number","Percent","Text","URL"}, $B52))) &gt; 0,$B52 &amp; "(" &amp; $C52 &amp; ")",$B52)))), "  ", TRIM(IF($S52 = "YES", "(External ID)", "") &amp; " " &amp; IF(SUMPRODUCT(-- ISNUMBER(SEARCH({"Unique","Unique Case Insensitive"}, $R52))) &gt; 0, "(" &amp; $R52 &amp; ")", ""))))</f>
        <v>na</v>
      </c>
      <c r="E52" s="7" t="s">
        <v>195</v>
      </c>
      <c r="F52" s="7" t="s">
        <v>195</v>
      </c>
      <c r="G52" s="7" t="s">
        <v>195</v>
      </c>
      <c r="H52" s="7" t="s">
        <v>195</v>
      </c>
      <c r="I52" s="7" t="s">
        <v>195</v>
      </c>
      <c r="J52" s="7" t="s">
        <v>195</v>
      </c>
      <c r="K52" s="7" t="s">
        <v>195</v>
      </c>
      <c r="L52" s="7" t="s">
        <v>195</v>
      </c>
      <c r="M52" s="7" t="s">
        <v>29</v>
      </c>
      <c r="N52" s="7" t="s">
        <v>29</v>
      </c>
      <c r="O52" s="7" t="s">
        <v>29</v>
      </c>
      <c r="P52" s="7" t="s">
        <v>29</v>
      </c>
      <c r="Q52" s="7" t="s">
        <v>29</v>
      </c>
      <c r="R52" s="7" t="s">
        <v>29</v>
      </c>
      <c r="S52" s="7" t="s">
        <v>29</v>
      </c>
    </row>
    <row r="53" spans="2:19">
      <c r="B53" s="7" t="s">
        <v>195</v>
      </c>
      <c r="C53" s="8" t="s">
        <v>195</v>
      </c>
      <c r="D53" s="5" t="str">
        <f>LRTRIM(CONCATENATE(IF(SUMPRODUCT(-- ISNUMBER(SEARCH({"Auto Number"}, $B53))) &gt; 0, $B53, IF(SUMPRODUCT(-- ISNUMBER(SEARCH({"Lookup","Master-Detail"}, $B53))) &gt; 0,$B53 &amp; "(" &amp; $E53 &amp; ")",IF(SUMPRODUCT(-- ISNUMBER(SEARCH({"Formula","Roll-Up Summary"}, $B53))) &gt; 0,$B53 &amp; " (" &amp; $E53 &amp; ")",IF(SUMPRODUCT(-- ISNUMBER(SEARCH({"Content","Currency","Number","Percent","Text","URL"}, $B53))) &gt; 0,$B53 &amp; "(" &amp; $C53 &amp; ")",$B53)))), "  ", TRIM(IF($S53 = "YES", "(External ID)", "") &amp; " " &amp; IF(SUMPRODUCT(-- ISNUMBER(SEARCH({"Unique","Unique Case Insensitive"}, $R53))) &gt; 0, "(" &amp; $R53 &amp; ")", ""))))</f>
        <v>na</v>
      </c>
      <c r="E53" s="7" t="s">
        <v>195</v>
      </c>
      <c r="F53" s="7" t="s">
        <v>195</v>
      </c>
      <c r="G53" s="7" t="s">
        <v>195</v>
      </c>
      <c r="H53" s="7" t="s">
        <v>195</v>
      </c>
      <c r="I53" s="7" t="s">
        <v>195</v>
      </c>
      <c r="J53" s="7" t="s">
        <v>195</v>
      </c>
      <c r="K53" s="7" t="s">
        <v>195</v>
      </c>
      <c r="L53" s="7" t="s">
        <v>195</v>
      </c>
      <c r="M53" s="7" t="s">
        <v>29</v>
      </c>
      <c r="N53" s="7" t="s">
        <v>29</v>
      </c>
      <c r="O53" s="7" t="s">
        <v>29</v>
      </c>
      <c r="P53" s="7" t="s">
        <v>29</v>
      </c>
      <c r="Q53" s="7" t="s">
        <v>29</v>
      </c>
      <c r="R53" s="7" t="s">
        <v>29</v>
      </c>
      <c r="S53" s="7" t="s">
        <v>29</v>
      </c>
    </row>
    <row r="54" spans="2:19">
      <c r="B54" s="7" t="s">
        <v>195</v>
      </c>
      <c r="C54" s="8" t="s">
        <v>195</v>
      </c>
      <c r="D54" s="5" t="str">
        <f>LRTRIM(CONCATENATE(IF(SUMPRODUCT(-- ISNUMBER(SEARCH({"Auto Number"}, $B54))) &gt; 0, $B54, IF(SUMPRODUCT(-- ISNUMBER(SEARCH({"Lookup","Master-Detail"}, $B54))) &gt; 0,$B54 &amp; "(" &amp; $E54 &amp; ")",IF(SUMPRODUCT(-- ISNUMBER(SEARCH({"Formula","Roll-Up Summary"}, $B54))) &gt; 0,$B54 &amp; " (" &amp; $E54 &amp; ")",IF(SUMPRODUCT(-- ISNUMBER(SEARCH({"Content","Currency","Number","Percent","Text","URL"}, $B54))) &gt; 0,$B54 &amp; "(" &amp; $C54 &amp; ")",$B54)))), "  ", TRIM(IF($S54 = "YES", "(External ID)", "") &amp; " " &amp; IF(SUMPRODUCT(-- ISNUMBER(SEARCH({"Unique","Unique Case Insensitive"}, $R54))) &gt; 0, "(" &amp; $R54 &amp; ")", ""))))</f>
        <v>na</v>
      </c>
      <c r="E54" s="7" t="s">
        <v>195</v>
      </c>
      <c r="F54" s="7" t="s">
        <v>195</v>
      </c>
      <c r="G54" s="7" t="s">
        <v>195</v>
      </c>
      <c r="H54" s="7" t="s">
        <v>195</v>
      </c>
      <c r="I54" s="7" t="s">
        <v>195</v>
      </c>
      <c r="J54" s="7" t="s">
        <v>195</v>
      </c>
      <c r="K54" s="7" t="s">
        <v>195</v>
      </c>
      <c r="L54" s="7" t="s">
        <v>195</v>
      </c>
      <c r="M54" s="7" t="s">
        <v>29</v>
      </c>
      <c r="N54" s="7" t="s">
        <v>29</v>
      </c>
      <c r="O54" s="7" t="s">
        <v>29</v>
      </c>
      <c r="P54" s="7" t="s">
        <v>29</v>
      </c>
      <c r="Q54" s="7" t="s">
        <v>29</v>
      </c>
      <c r="R54" s="7" t="s">
        <v>29</v>
      </c>
      <c r="S54" s="7" t="s">
        <v>29</v>
      </c>
    </row>
    <row r="55" spans="2:19">
      <c r="B55" s="7" t="s">
        <v>195</v>
      </c>
      <c r="C55" s="8" t="s">
        <v>195</v>
      </c>
      <c r="D55" s="5" t="str">
        <f>LRTRIM(CONCATENATE(IF(SUMPRODUCT(-- ISNUMBER(SEARCH({"Auto Number"}, $B55))) &gt; 0, $B55, IF(SUMPRODUCT(-- ISNUMBER(SEARCH({"Lookup","Master-Detail"}, $B55))) &gt; 0,$B55 &amp; "(" &amp; $E55 &amp; ")",IF(SUMPRODUCT(-- ISNUMBER(SEARCH({"Formula","Roll-Up Summary"}, $B55))) &gt; 0,$B55 &amp; " (" &amp; $E55 &amp; ")",IF(SUMPRODUCT(-- ISNUMBER(SEARCH({"Content","Currency","Number","Percent","Text","URL"}, $B55))) &gt; 0,$B55 &amp; "(" &amp; $C55 &amp; ")",$B55)))), "  ", TRIM(IF($S55 = "YES", "(External ID)", "") &amp; " " &amp; IF(SUMPRODUCT(-- ISNUMBER(SEARCH({"Unique","Unique Case Insensitive"}, $R55))) &gt; 0, "(" &amp; $R55 &amp; ")", ""))))</f>
        <v>na</v>
      </c>
      <c r="E55" s="7" t="s">
        <v>195</v>
      </c>
      <c r="F55" s="7" t="s">
        <v>195</v>
      </c>
      <c r="G55" s="7" t="s">
        <v>195</v>
      </c>
      <c r="H55" s="7" t="s">
        <v>195</v>
      </c>
      <c r="I55" s="7" t="s">
        <v>195</v>
      </c>
      <c r="J55" s="7" t="s">
        <v>195</v>
      </c>
      <c r="K55" s="7" t="s">
        <v>195</v>
      </c>
      <c r="L55" s="7" t="s">
        <v>195</v>
      </c>
      <c r="M55" s="7" t="s">
        <v>29</v>
      </c>
      <c r="N55" s="7" t="s">
        <v>29</v>
      </c>
      <c r="O55" s="7" t="s">
        <v>29</v>
      </c>
      <c r="P55" s="7" t="s">
        <v>29</v>
      </c>
      <c r="Q55" s="7" t="s">
        <v>29</v>
      </c>
      <c r="R55" s="7" t="s">
        <v>29</v>
      </c>
      <c r="S55" s="7" t="s">
        <v>29</v>
      </c>
    </row>
    <row r="56" spans="2:19">
      <c r="B56" s="7" t="s">
        <v>195</v>
      </c>
      <c r="C56" s="8" t="s">
        <v>195</v>
      </c>
      <c r="D56" s="5" t="str">
        <f>LRTRIM(CONCATENATE(IF(SUMPRODUCT(-- ISNUMBER(SEARCH({"Auto Number"}, $B56))) &gt; 0, $B56, IF(SUMPRODUCT(-- ISNUMBER(SEARCH({"Lookup","Master-Detail"}, $B56))) &gt; 0,$B56 &amp; "(" &amp; $E56 &amp; ")",IF(SUMPRODUCT(-- ISNUMBER(SEARCH({"Formula","Roll-Up Summary"}, $B56))) &gt; 0,$B56 &amp; " (" &amp; $E56 &amp; ")",IF(SUMPRODUCT(-- ISNUMBER(SEARCH({"Content","Currency","Number","Percent","Text","URL"}, $B56))) &gt; 0,$B56 &amp; "(" &amp; $C56 &amp; ")",$B56)))), "  ", TRIM(IF($S56 = "YES", "(External ID)", "") &amp; " " &amp; IF(SUMPRODUCT(-- ISNUMBER(SEARCH({"Unique","Unique Case Insensitive"}, $R56))) &gt; 0, "(" &amp; $R56 &amp; ")", ""))))</f>
        <v>na</v>
      </c>
      <c r="E56" s="7" t="s">
        <v>195</v>
      </c>
      <c r="F56" s="7" t="s">
        <v>195</v>
      </c>
      <c r="G56" s="7" t="s">
        <v>195</v>
      </c>
      <c r="H56" s="7" t="s">
        <v>195</v>
      </c>
      <c r="I56" s="7" t="s">
        <v>195</v>
      </c>
      <c r="J56" s="7" t="s">
        <v>195</v>
      </c>
      <c r="K56" s="7" t="s">
        <v>195</v>
      </c>
      <c r="L56" s="7" t="s">
        <v>195</v>
      </c>
      <c r="M56" s="7" t="s">
        <v>29</v>
      </c>
      <c r="N56" s="7" t="s">
        <v>29</v>
      </c>
      <c r="O56" s="7" t="s">
        <v>29</v>
      </c>
      <c r="P56" s="7" t="s">
        <v>29</v>
      </c>
      <c r="Q56" s="7" t="s">
        <v>29</v>
      </c>
      <c r="R56" s="7" t="s">
        <v>29</v>
      </c>
      <c r="S56" s="7" t="s">
        <v>29</v>
      </c>
    </row>
    <row r="57" spans="2:19">
      <c r="B57" s="7" t="s">
        <v>195</v>
      </c>
      <c r="C57" s="8" t="s">
        <v>195</v>
      </c>
      <c r="D57" s="5" t="str">
        <f>LRTRIM(CONCATENATE(IF(SUMPRODUCT(-- ISNUMBER(SEARCH({"Auto Number"}, $B57))) &gt; 0, $B57, IF(SUMPRODUCT(-- ISNUMBER(SEARCH({"Lookup","Master-Detail"}, $B57))) &gt; 0,$B57 &amp; "(" &amp; $E57 &amp; ")",IF(SUMPRODUCT(-- ISNUMBER(SEARCH({"Formula","Roll-Up Summary"}, $B57))) &gt; 0,$B57 &amp; " (" &amp; $E57 &amp; ")",IF(SUMPRODUCT(-- ISNUMBER(SEARCH({"Content","Currency","Number","Percent","Text","URL"}, $B57))) &gt; 0,$B57 &amp; "(" &amp; $C57 &amp; ")",$B57)))), "  ", TRIM(IF($S57 = "YES", "(External ID)", "") &amp; " " &amp; IF(SUMPRODUCT(-- ISNUMBER(SEARCH({"Unique","Unique Case Insensitive"}, $R57))) &gt; 0, "(" &amp; $R57 &amp; ")", ""))))</f>
        <v>na</v>
      </c>
      <c r="E57" s="7" t="s">
        <v>195</v>
      </c>
      <c r="F57" s="7" t="s">
        <v>195</v>
      </c>
      <c r="G57" s="7" t="s">
        <v>195</v>
      </c>
      <c r="H57" s="7" t="s">
        <v>195</v>
      </c>
      <c r="I57" s="7" t="s">
        <v>195</v>
      </c>
      <c r="J57" s="7" t="s">
        <v>195</v>
      </c>
      <c r="K57" s="7" t="s">
        <v>195</v>
      </c>
      <c r="L57" s="7" t="s">
        <v>195</v>
      </c>
      <c r="M57" s="7" t="s">
        <v>29</v>
      </c>
      <c r="N57" s="7" t="s">
        <v>29</v>
      </c>
      <c r="O57" s="7" t="s">
        <v>29</v>
      </c>
      <c r="P57" s="7" t="s">
        <v>29</v>
      </c>
      <c r="Q57" s="7" t="s">
        <v>29</v>
      </c>
      <c r="R57" s="7" t="s">
        <v>29</v>
      </c>
      <c r="S57" s="7" t="s">
        <v>29</v>
      </c>
    </row>
    <row r="58" spans="2:19">
      <c r="B58" s="7" t="s">
        <v>195</v>
      </c>
      <c r="C58" s="8" t="s">
        <v>195</v>
      </c>
      <c r="D58" s="5" t="str">
        <f>LRTRIM(CONCATENATE(IF(SUMPRODUCT(-- ISNUMBER(SEARCH({"Auto Number"}, $B58))) &gt; 0, $B58, IF(SUMPRODUCT(-- ISNUMBER(SEARCH({"Lookup","Master-Detail"}, $B58))) &gt; 0,$B58 &amp; "(" &amp; $E58 &amp; ")",IF(SUMPRODUCT(-- ISNUMBER(SEARCH({"Formula","Roll-Up Summary"}, $B58))) &gt; 0,$B58 &amp; " (" &amp; $E58 &amp; ")",IF(SUMPRODUCT(-- ISNUMBER(SEARCH({"Content","Currency","Number","Percent","Text","URL"}, $B58))) &gt; 0,$B58 &amp; "(" &amp; $C58 &amp; ")",$B58)))), "  ", TRIM(IF($S58 = "YES", "(External ID)", "") &amp; " " &amp; IF(SUMPRODUCT(-- ISNUMBER(SEARCH({"Unique","Unique Case Insensitive"}, $R58))) &gt; 0, "(" &amp; $R58 &amp; ")", ""))))</f>
        <v>na</v>
      </c>
      <c r="E58" s="7" t="s">
        <v>195</v>
      </c>
      <c r="F58" s="7" t="s">
        <v>195</v>
      </c>
      <c r="G58" s="7" t="s">
        <v>195</v>
      </c>
      <c r="H58" s="7" t="s">
        <v>195</v>
      </c>
      <c r="I58" s="7" t="s">
        <v>195</v>
      </c>
      <c r="J58" s="7" t="s">
        <v>195</v>
      </c>
      <c r="K58" s="7" t="s">
        <v>195</v>
      </c>
      <c r="L58" s="7" t="s">
        <v>195</v>
      </c>
      <c r="M58" s="7" t="s">
        <v>29</v>
      </c>
      <c r="N58" s="7" t="s">
        <v>29</v>
      </c>
      <c r="O58" s="7" t="s">
        <v>29</v>
      </c>
      <c r="P58" s="7" t="s">
        <v>29</v>
      </c>
      <c r="Q58" s="7" t="s">
        <v>29</v>
      </c>
      <c r="R58" s="7" t="s">
        <v>29</v>
      </c>
      <c r="S58" s="7" t="s">
        <v>29</v>
      </c>
    </row>
    <row r="59" spans="2:19">
      <c r="B59" s="7" t="s">
        <v>195</v>
      </c>
      <c r="C59" s="8" t="s">
        <v>195</v>
      </c>
      <c r="D59" s="5" t="str">
        <f>LRTRIM(CONCATENATE(IF(SUMPRODUCT(-- ISNUMBER(SEARCH({"Auto Number"}, $B59))) &gt; 0, $B59, IF(SUMPRODUCT(-- ISNUMBER(SEARCH({"Lookup","Master-Detail"}, $B59))) &gt; 0,$B59 &amp; "(" &amp; $E59 &amp; ")",IF(SUMPRODUCT(-- ISNUMBER(SEARCH({"Formula","Roll-Up Summary"}, $B59))) &gt; 0,$B59 &amp; " (" &amp; $E59 &amp; ")",IF(SUMPRODUCT(-- ISNUMBER(SEARCH({"Content","Currency","Number","Percent","Text","URL"}, $B59))) &gt; 0,$B59 &amp; "(" &amp; $C59 &amp; ")",$B59)))), "  ", TRIM(IF($S59 = "YES", "(External ID)", "") &amp; " " &amp; IF(SUMPRODUCT(-- ISNUMBER(SEARCH({"Unique","Unique Case Insensitive"}, $R59))) &gt; 0, "(" &amp; $R59 &amp; ")", ""))))</f>
        <v>na</v>
      </c>
      <c r="E59" s="7" t="s">
        <v>195</v>
      </c>
      <c r="F59" s="7" t="s">
        <v>195</v>
      </c>
      <c r="G59" s="7" t="s">
        <v>195</v>
      </c>
      <c r="H59" s="7" t="s">
        <v>195</v>
      </c>
      <c r="I59" s="7" t="s">
        <v>195</v>
      </c>
      <c r="J59" s="7" t="s">
        <v>195</v>
      </c>
      <c r="K59" s="7" t="s">
        <v>195</v>
      </c>
      <c r="L59" s="7" t="s">
        <v>195</v>
      </c>
      <c r="M59" s="7" t="s">
        <v>29</v>
      </c>
      <c r="N59" s="7" t="s">
        <v>29</v>
      </c>
      <c r="O59" s="7" t="s">
        <v>29</v>
      </c>
      <c r="P59" s="7" t="s">
        <v>29</v>
      </c>
      <c r="Q59" s="7" t="s">
        <v>29</v>
      </c>
      <c r="R59" s="7" t="s">
        <v>29</v>
      </c>
      <c r="S59" s="7" t="s">
        <v>29</v>
      </c>
    </row>
    <row r="60" spans="2:19">
      <c r="B60" s="7" t="s">
        <v>195</v>
      </c>
      <c r="C60" s="8" t="s">
        <v>195</v>
      </c>
      <c r="D60" s="5" t="str">
        <f>LRTRIM(CONCATENATE(IF(SUMPRODUCT(-- ISNUMBER(SEARCH({"Auto Number"}, $B60))) &gt; 0, $B60, IF(SUMPRODUCT(-- ISNUMBER(SEARCH({"Lookup","Master-Detail"}, $B60))) &gt; 0,$B60 &amp; "(" &amp; $E60 &amp; ")",IF(SUMPRODUCT(-- ISNUMBER(SEARCH({"Formula","Roll-Up Summary"}, $B60))) &gt; 0,$B60 &amp; " (" &amp; $E60 &amp; ")",IF(SUMPRODUCT(-- ISNUMBER(SEARCH({"Content","Currency","Number","Percent","Text","URL"}, $B60))) &gt; 0,$B60 &amp; "(" &amp; $C60 &amp; ")",$B60)))), "  ", TRIM(IF($S60 = "YES", "(External ID)", "") &amp; " " &amp; IF(SUMPRODUCT(-- ISNUMBER(SEARCH({"Unique","Unique Case Insensitive"}, $R60))) &gt; 0, "(" &amp; $R60 &amp; ")", ""))))</f>
        <v>na</v>
      </c>
      <c r="E60" s="7" t="s">
        <v>195</v>
      </c>
      <c r="F60" s="7" t="s">
        <v>195</v>
      </c>
      <c r="G60" s="7" t="s">
        <v>195</v>
      </c>
      <c r="H60" s="7" t="s">
        <v>195</v>
      </c>
      <c r="I60" s="7" t="s">
        <v>195</v>
      </c>
      <c r="J60" s="7" t="s">
        <v>195</v>
      </c>
      <c r="K60" s="7" t="s">
        <v>195</v>
      </c>
      <c r="L60" s="7" t="s">
        <v>195</v>
      </c>
      <c r="M60" s="7" t="s">
        <v>29</v>
      </c>
      <c r="N60" s="7" t="s">
        <v>29</v>
      </c>
      <c r="O60" s="7" t="s">
        <v>29</v>
      </c>
      <c r="P60" s="7" t="s">
        <v>29</v>
      </c>
      <c r="Q60" s="7" t="s">
        <v>29</v>
      </c>
      <c r="R60" s="7" t="s">
        <v>29</v>
      </c>
      <c r="S60" s="7" t="s">
        <v>29</v>
      </c>
    </row>
    <row r="61" spans="2:19">
      <c r="B61" s="7" t="s">
        <v>195</v>
      </c>
      <c r="C61" s="8" t="s">
        <v>195</v>
      </c>
      <c r="D61" s="5" t="str">
        <f>LRTRIM(CONCATENATE(IF(SUMPRODUCT(-- ISNUMBER(SEARCH({"Auto Number"}, $B61))) &gt; 0, $B61, IF(SUMPRODUCT(-- ISNUMBER(SEARCH({"Lookup","Master-Detail"}, $B61))) &gt; 0,$B61 &amp; "(" &amp; $E61 &amp; ")",IF(SUMPRODUCT(-- ISNUMBER(SEARCH({"Formula","Roll-Up Summary"}, $B61))) &gt; 0,$B61 &amp; " (" &amp; $E61 &amp; ")",IF(SUMPRODUCT(-- ISNUMBER(SEARCH({"Content","Currency","Number","Percent","Text","URL"}, $B61))) &gt; 0,$B61 &amp; "(" &amp; $C61 &amp; ")",$B61)))), "  ", TRIM(IF($S61 = "YES", "(External ID)", "") &amp; " " &amp; IF(SUMPRODUCT(-- ISNUMBER(SEARCH({"Unique","Unique Case Insensitive"}, $R61))) &gt; 0, "(" &amp; $R61 &amp; ")", ""))))</f>
        <v>na</v>
      </c>
      <c r="E61" s="7" t="s">
        <v>195</v>
      </c>
      <c r="F61" s="7" t="s">
        <v>195</v>
      </c>
      <c r="G61" s="7" t="s">
        <v>195</v>
      </c>
      <c r="H61" s="7" t="s">
        <v>195</v>
      </c>
      <c r="I61" s="7" t="s">
        <v>195</v>
      </c>
      <c r="J61" s="7" t="s">
        <v>195</v>
      </c>
      <c r="K61" s="7" t="s">
        <v>195</v>
      </c>
      <c r="L61" s="7" t="s">
        <v>195</v>
      </c>
      <c r="M61" s="7" t="s">
        <v>29</v>
      </c>
      <c r="N61" s="7" t="s">
        <v>29</v>
      </c>
      <c r="O61" s="7" t="s">
        <v>29</v>
      </c>
      <c r="P61" s="7" t="s">
        <v>29</v>
      </c>
      <c r="Q61" s="7" t="s">
        <v>29</v>
      </c>
      <c r="R61" s="7" t="s">
        <v>29</v>
      </c>
      <c r="S61" s="7" t="s">
        <v>29</v>
      </c>
    </row>
    <row r="62" spans="2:19">
      <c r="B62" s="7" t="s">
        <v>195</v>
      </c>
      <c r="C62" s="8" t="s">
        <v>195</v>
      </c>
      <c r="D62" s="5" t="str">
        <f>LRTRIM(CONCATENATE(IF(SUMPRODUCT(-- ISNUMBER(SEARCH({"Auto Number"}, $B62))) &gt; 0, $B62, IF(SUMPRODUCT(-- ISNUMBER(SEARCH({"Lookup","Master-Detail"}, $B62))) &gt; 0,$B62 &amp; "(" &amp; $E62 &amp; ")",IF(SUMPRODUCT(-- ISNUMBER(SEARCH({"Formula","Roll-Up Summary"}, $B62))) &gt; 0,$B62 &amp; " (" &amp; $E62 &amp; ")",IF(SUMPRODUCT(-- ISNUMBER(SEARCH({"Content","Currency","Number","Percent","Text","URL"}, $B62))) &gt; 0,$B62 &amp; "(" &amp; $C62 &amp; ")",$B62)))), "  ", TRIM(IF($S62 = "YES", "(External ID)", "") &amp; " " &amp; IF(SUMPRODUCT(-- ISNUMBER(SEARCH({"Unique","Unique Case Insensitive"}, $R62))) &gt; 0, "(" &amp; $R62 &amp; ")", ""))))</f>
        <v>na</v>
      </c>
      <c r="E62" s="7" t="s">
        <v>195</v>
      </c>
      <c r="F62" s="7" t="s">
        <v>195</v>
      </c>
      <c r="G62" s="7" t="s">
        <v>195</v>
      </c>
      <c r="H62" s="7" t="s">
        <v>195</v>
      </c>
      <c r="I62" s="7" t="s">
        <v>195</v>
      </c>
      <c r="J62" s="7" t="s">
        <v>195</v>
      </c>
      <c r="K62" s="7" t="s">
        <v>195</v>
      </c>
      <c r="L62" s="7" t="s">
        <v>195</v>
      </c>
      <c r="M62" s="7" t="s">
        <v>29</v>
      </c>
      <c r="N62" s="7" t="s">
        <v>29</v>
      </c>
      <c r="O62" s="7" t="s">
        <v>29</v>
      </c>
      <c r="P62" s="7" t="s">
        <v>29</v>
      </c>
      <c r="Q62" s="7" t="s">
        <v>29</v>
      </c>
      <c r="R62" s="7" t="s">
        <v>29</v>
      </c>
      <c r="S62" s="7" t="s">
        <v>29</v>
      </c>
    </row>
    <row r="63" spans="2:19">
      <c r="B63" s="7" t="s">
        <v>195</v>
      </c>
      <c r="C63" s="8" t="s">
        <v>195</v>
      </c>
      <c r="D63" s="5" t="str">
        <f>LRTRIM(CONCATENATE(IF(SUMPRODUCT(-- ISNUMBER(SEARCH({"Auto Number"}, $B63))) &gt; 0, $B63, IF(SUMPRODUCT(-- ISNUMBER(SEARCH({"Lookup","Master-Detail"}, $B63))) &gt; 0,$B63 &amp; "(" &amp; $E63 &amp; ")",IF(SUMPRODUCT(-- ISNUMBER(SEARCH({"Formula","Roll-Up Summary"}, $B63))) &gt; 0,$B63 &amp; " (" &amp; $E63 &amp; ")",IF(SUMPRODUCT(-- ISNUMBER(SEARCH({"Content","Currency","Number","Percent","Text","URL"}, $B63))) &gt; 0,$B63 &amp; "(" &amp; $C63 &amp; ")",$B63)))), "  ", TRIM(IF($S63 = "YES", "(External ID)", "") &amp; " " &amp; IF(SUMPRODUCT(-- ISNUMBER(SEARCH({"Unique","Unique Case Insensitive"}, $R63))) &gt; 0, "(" &amp; $R63 &amp; ")", ""))))</f>
        <v>na</v>
      </c>
      <c r="E63" s="7" t="s">
        <v>195</v>
      </c>
      <c r="F63" s="7" t="s">
        <v>195</v>
      </c>
      <c r="G63" s="7" t="s">
        <v>195</v>
      </c>
      <c r="H63" s="7" t="s">
        <v>195</v>
      </c>
      <c r="I63" s="7" t="s">
        <v>195</v>
      </c>
      <c r="J63" s="7" t="s">
        <v>195</v>
      </c>
      <c r="K63" s="7" t="s">
        <v>195</v>
      </c>
      <c r="L63" s="7" t="s">
        <v>195</v>
      </c>
      <c r="M63" s="7" t="s">
        <v>29</v>
      </c>
      <c r="N63" s="7" t="s">
        <v>29</v>
      </c>
      <c r="O63" s="7" t="s">
        <v>29</v>
      </c>
      <c r="P63" s="7" t="s">
        <v>29</v>
      </c>
      <c r="Q63" s="7" t="s">
        <v>29</v>
      </c>
      <c r="R63" s="7" t="s">
        <v>29</v>
      </c>
      <c r="S63" s="7" t="s">
        <v>29</v>
      </c>
    </row>
    <row r="64" spans="2:19">
      <c r="B64" s="7" t="s">
        <v>195</v>
      </c>
      <c r="C64" s="8" t="s">
        <v>195</v>
      </c>
      <c r="D64" s="5" t="str">
        <f>LRTRIM(CONCATENATE(IF(SUMPRODUCT(-- ISNUMBER(SEARCH({"Auto Number"}, $B64))) &gt; 0, $B64, IF(SUMPRODUCT(-- ISNUMBER(SEARCH({"Lookup","Master-Detail"}, $B64))) &gt; 0,$B64 &amp; "(" &amp; $E64 &amp; ")",IF(SUMPRODUCT(-- ISNUMBER(SEARCH({"Formula","Roll-Up Summary"}, $B64))) &gt; 0,$B64 &amp; " (" &amp; $E64 &amp; ")",IF(SUMPRODUCT(-- ISNUMBER(SEARCH({"Content","Currency","Number","Percent","Text","URL"}, $B64))) &gt; 0,$B64 &amp; "(" &amp; $C64 &amp; ")",$B64)))), "  ", TRIM(IF($S64 = "YES", "(External ID)", "") &amp; " " &amp; IF(SUMPRODUCT(-- ISNUMBER(SEARCH({"Unique","Unique Case Insensitive"}, $R64))) &gt; 0, "(" &amp; $R64 &amp; ")", ""))))</f>
        <v>na</v>
      </c>
      <c r="E64" s="7" t="s">
        <v>195</v>
      </c>
      <c r="F64" s="7" t="s">
        <v>195</v>
      </c>
      <c r="G64" s="7" t="s">
        <v>195</v>
      </c>
      <c r="H64" s="7" t="s">
        <v>195</v>
      </c>
      <c r="I64" s="7" t="s">
        <v>195</v>
      </c>
      <c r="J64" s="7" t="s">
        <v>195</v>
      </c>
      <c r="K64" s="7" t="s">
        <v>195</v>
      </c>
      <c r="L64" s="7" t="s">
        <v>195</v>
      </c>
      <c r="M64" s="7" t="s">
        <v>29</v>
      </c>
      <c r="N64" s="7" t="s">
        <v>29</v>
      </c>
      <c r="O64" s="7" t="s">
        <v>29</v>
      </c>
      <c r="P64" s="7" t="s">
        <v>29</v>
      </c>
      <c r="Q64" s="7" t="s">
        <v>29</v>
      </c>
      <c r="R64" s="7" t="s">
        <v>29</v>
      </c>
      <c r="S64" s="7" t="s">
        <v>29</v>
      </c>
    </row>
    <row r="65" spans="2:19">
      <c r="B65" s="7" t="s">
        <v>195</v>
      </c>
      <c r="C65" s="8" t="s">
        <v>195</v>
      </c>
      <c r="D65" s="5" t="str">
        <f>LRTRIM(CONCATENATE(IF(SUMPRODUCT(-- ISNUMBER(SEARCH({"Auto Number"}, $B65))) &gt; 0, $B65, IF(SUMPRODUCT(-- ISNUMBER(SEARCH({"Lookup","Master-Detail"}, $B65))) &gt; 0,$B65 &amp; "(" &amp; $E65 &amp; ")",IF(SUMPRODUCT(-- ISNUMBER(SEARCH({"Formula","Roll-Up Summary"}, $B65))) &gt; 0,$B65 &amp; " (" &amp; $E65 &amp; ")",IF(SUMPRODUCT(-- ISNUMBER(SEARCH({"Content","Currency","Number","Percent","Text","URL"}, $B65))) &gt; 0,$B65 &amp; "(" &amp; $C65 &amp; ")",$B65)))), "  ", TRIM(IF($S65 = "YES", "(External ID)", "") &amp; " " &amp; IF(SUMPRODUCT(-- ISNUMBER(SEARCH({"Unique","Unique Case Insensitive"}, $R65))) &gt; 0, "(" &amp; $R65 &amp; ")", ""))))</f>
        <v>na</v>
      </c>
      <c r="E65" s="7" t="s">
        <v>195</v>
      </c>
      <c r="F65" s="7" t="s">
        <v>195</v>
      </c>
      <c r="G65" s="7" t="s">
        <v>195</v>
      </c>
      <c r="H65" s="7" t="s">
        <v>195</v>
      </c>
      <c r="I65" s="7" t="s">
        <v>195</v>
      </c>
      <c r="J65" s="7" t="s">
        <v>195</v>
      </c>
      <c r="K65" s="7" t="s">
        <v>195</v>
      </c>
      <c r="L65" s="7" t="s">
        <v>195</v>
      </c>
      <c r="M65" s="7" t="s">
        <v>29</v>
      </c>
      <c r="N65" s="7" t="s">
        <v>29</v>
      </c>
      <c r="O65" s="7" t="s">
        <v>29</v>
      </c>
      <c r="P65" s="7" t="s">
        <v>29</v>
      </c>
      <c r="Q65" s="7" t="s">
        <v>29</v>
      </c>
      <c r="R65" s="7" t="s">
        <v>29</v>
      </c>
      <c r="S65" s="7" t="s">
        <v>29</v>
      </c>
    </row>
    <row r="66" spans="2:19">
      <c r="B66" s="7" t="s">
        <v>195</v>
      </c>
      <c r="C66" s="8" t="s">
        <v>195</v>
      </c>
      <c r="D66" s="5" t="str">
        <f>LRTRIM(CONCATENATE(IF(SUMPRODUCT(-- ISNUMBER(SEARCH({"Auto Number"}, $B66))) &gt; 0, $B66, IF(SUMPRODUCT(-- ISNUMBER(SEARCH({"Lookup","Master-Detail"}, $B66))) &gt; 0,$B66 &amp; "(" &amp; $E66 &amp; ")",IF(SUMPRODUCT(-- ISNUMBER(SEARCH({"Formula","Roll-Up Summary"}, $B66))) &gt; 0,$B66 &amp; " (" &amp; $E66 &amp; ")",IF(SUMPRODUCT(-- ISNUMBER(SEARCH({"Content","Currency","Number","Percent","Text","URL"}, $B66))) &gt; 0,$B66 &amp; "(" &amp; $C66 &amp; ")",$B66)))), "  ", TRIM(IF($S66 = "YES", "(External ID)", "") &amp; " " &amp; IF(SUMPRODUCT(-- ISNUMBER(SEARCH({"Unique","Unique Case Insensitive"}, $R66))) &gt; 0, "(" &amp; $R66 &amp; ")", ""))))</f>
        <v>na</v>
      </c>
      <c r="E66" s="7" t="s">
        <v>195</v>
      </c>
      <c r="F66" s="7" t="s">
        <v>195</v>
      </c>
      <c r="G66" s="7" t="s">
        <v>195</v>
      </c>
      <c r="H66" s="7" t="s">
        <v>195</v>
      </c>
      <c r="I66" s="7" t="s">
        <v>195</v>
      </c>
      <c r="J66" s="7" t="s">
        <v>195</v>
      </c>
      <c r="K66" s="7" t="s">
        <v>195</v>
      </c>
      <c r="L66" s="7" t="s">
        <v>195</v>
      </c>
      <c r="M66" s="7" t="s">
        <v>29</v>
      </c>
      <c r="N66" s="7" t="s">
        <v>29</v>
      </c>
      <c r="O66" s="7" t="s">
        <v>29</v>
      </c>
      <c r="P66" s="7" t="s">
        <v>29</v>
      </c>
      <c r="Q66" s="7" t="s">
        <v>29</v>
      </c>
      <c r="R66" s="7" t="s">
        <v>29</v>
      </c>
      <c r="S66" s="7" t="s">
        <v>29</v>
      </c>
    </row>
    <row r="67" spans="2:19">
      <c r="B67" s="7" t="s">
        <v>195</v>
      </c>
      <c r="C67" s="8" t="s">
        <v>195</v>
      </c>
      <c r="D67" s="5" t="str">
        <f>LRTRIM(CONCATENATE(IF(SUMPRODUCT(-- ISNUMBER(SEARCH({"Auto Number"}, $B67))) &gt; 0, $B67, IF(SUMPRODUCT(-- ISNUMBER(SEARCH({"Lookup","Master-Detail"}, $B67))) &gt; 0,$B67 &amp; "(" &amp; $E67 &amp; ")",IF(SUMPRODUCT(-- ISNUMBER(SEARCH({"Formula","Roll-Up Summary"}, $B67))) &gt; 0,$B67 &amp; " (" &amp; $E67 &amp; ")",IF(SUMPRODUCT(-- ISNUMBER(SEARCH({"Content","Currency","Number","Percent","Text","URL"}, $B67))) &gt; 0,$B67 &amp; "(" &amp; $C67 &amp; ")",$B67)))), "  ", TRIM(IF($S67 = "YES", "(External ID)", "") &amp; " " &amp; IF(SUMPRODUCT(-- ISNUMBER(SEARCH({"Unique","Unique Case Insensitive"}, $R67))) &gt; 0, "(" &amp; $R67 &amp; ")", ""))))</f>
        <v>na</v>
      </c>
      <c r="E67" s="7" t="s">
        <v>195</v>
      </c>
      <c r="F67" s="7" t="s">
        <v>195</v>
      </c>
      <c r="G67" s="7" t="s">
        <v>195</v>
      </c>
      <c r="H67" s="7" t="s">
        <v>195</v>
      </c>
      <c r="I67" s="7" t="s">
        <v>195</v>
      </c>
      <c r="J67" s="7" t="s">
        <v>195</v>
      </c>
      <c r="K67" s="7" t="s">
        <v>195</v>
      </c>
      <c r="L67" s="7" t="s">
        <v>195</v>
      </c>
      <c r="M67" s="7" t="s">
        <v>29</v>
      </c>
      <c r="N67" s="7" t="s">
        <v>29</v>
      </c>
      <c r="O67" s="7" t="s">
        <v>29</v>
      </c>
      <c r="P67" s="7" t="s">
        <v>29</v>
      </c>
      <c r="Q67" s="7" t="s">
        <v>29</v>
      </c>
      <c r="R67" s="7" t="s">
        <v>29</v>
      </c>
      <c r="S67" s="7" t="s">
        <v>29</v>
      </c>
    </row>
    <row r="68" spans="2:19">
      <c r="B68" s="7" t="s">
        <v>195</v>
      </c>
      <c r="C68" s="8" t="s">
        <v>195</v>
      </c>
      <c r="D68" s="5" t="str">
        <f>LRTRIM(CONCATENATE(IF(SUMPRODUCT(-- ISNUMBER(SEARCH({"Auto Number"}, $B68))) &gt; 0, $B68, IF(SUMPRODUCT(-- ISNUMBER(SEARCH({"Lookup","Master-Detail"}, $B68))) &gt; 0,$B68 &amp; "(" &amp; $E68 &amp; ")",IF(SUMPRODUCT(-- ISNUMBER(SEARCH({"Formula","Roll-Up Summary"}, $B68))) &gt; 0,$B68 &amp; " (" &amp; $E68 &amp; ")",IF(SUMPRODUCT(-- ISNUMBER(SEARCH({"Content","Currency","Number","Percent","Text","URL"}, $B68))) &gt; 0,$B68 &amp; "(" &amp; $C68 &amp; ")",$B68)))), "  ", TRIM(IF($S68 = "YES", "(External ID)", "") &amp; " " &amp; IF(SUMPRODUCT(-- ISNUMBER(SEARCH({"Unique","Unique Case Insensitive"}, $R68))) &gt; 0, "(" &amp; $R68 &amp; ")", ""))))</f>
        <v>na</v>
      </c>
      <c r="E68" s="7" t="s">
        <v>195</v>
      </c>
      <c r="F68" s="7" t="s">
        <v>195</v>
      </c>
      <c r="G68" s="7" t="s">
        <v>195</v>
      </c>
      <c r="H68" s="7" t="s">
        <v>195</v>
      </c>
      <c r="I68" s="7" t="s">
        <v>195</v>
      </c>
      <c r="J68" s="7" t="s">
        <v>195</v>
      </c>
      <c r="K68" s="7" t="s">
        <v>195</v>
      </c>
      <c r="L68" s="7" t="s">
        <v>195</v>
      </c>
      <c r="M68" s="7" t="s">
        <v>29</v>
      </c>
      <c r="N68" s="7" t="s">
        <v>29</v>
      </c>
      <c r="O68" s="7" t="s">
        <v>29</v>
      </c>
      <c r="P68" s="7" t="s">
        <v>29</v>
      </c>
      <c r="Q68" s="7" t="s">
        <v>29</v>
      </c>
      <c r="R68" s="7" t="s">
        <v>29</v>
      </c>
      <c r="S68" s="7" t="s">
        <v>29</v>
      </c>
    </row>
    <row r="69" spans="2:19">
      <c r="B69" s="7" t="s">
        <v>195</v>
      </c>
      <c r="C69" s="8" t="s">
        <v>195</v>
      </c>
      <c r="D69" s="5" t="str">
        <f>LRTRIM(CONCATENATE(IF(SUMPRODUCT(-- ISNUMBER(SEARCH({"Auto Number"}, $B69))) &gt; 0, $B69, IF(SUMPRODUCT(-- ISNUMBER(SEARCH({"Lookup","Master-Detail"}, $B69))) &gt; 0,$B69 &amp; "(" &amp; $E69 &amp; ")",IF(SUMPRODUCT(-- ISNUMBER(SEARCH({"Formula","Roll-Up Summary"}, $B69))) &gt; 0,$B69 &amp; " (" &amp; $E69 &amp; ")",IF(SUMPRODUCT(-- ISNUMBER(SEARCH({"Content","Currency","Number","Percent","Text","URL"}, $B69))) &gt; 0,$B69 &amp; "(" &amp; $C69 &amp; ")",$B69)))), "  ", TRIM(IF($S69 = "YES", "(External ID)", "") &amp; " " &amp; IF(SUMPRODUCT(-- ISNUMBER(SEARCH({"Unique","Unique Case Insensitive"}, $R69))) &gt; 0, "(" &amp; $R69 &amp; ")", ""))))</f>
        <v>na</v>
      </c>
      <c r="E69" s="7" t="s">
        <v>195</v>
      </c>
      <c r="F69" s="7" t="s">
        <v>195</v>
      </c>
      <c r="G69" s="7" t="s">
        <v>195</v>
      </c>
      <c r="H69" s="7" t="s">
        <v>195</v>
      </c>
      <c r="I69" s="7" t="s">
        <v>195</v>
      </c>
      <c r="J69" s="7" t="s">
        <v>195</v>
      </c>
      <c r="K69" s="7" t="s">
        <v>195</v>
      </c>
      <c r="L69" s="7" t="s">
        <v>195</v>
      </c>
      <c r="M69" s="7" t="s">
        <v>29</v>
      </c>
      <c r="N69" s="7" t="s">
        <v>29</v>
      </c>
      <c r="O69" s="7" t="s">
        <v>29</v>
      </c>
      <c r="P69" s="7" t="s">
        <v>29</v>
      </c>
      <c r="Q69" s="7" t="s">
        <v>29</v>
      </c>
      <c r="R69" s="7" t="s">
        <v>29</v>
      </c>
      <c r="S69" s="7" t="s">
        <v>29</v>
      </c>
    </row>
    <row r="70" spans="2:19">
      <c r="B70" s="7" t="s">
        <v>195</v>
      </c>
      <c r="C70" s="8" t="s">
        <v>195</v>
      </c>
      <c r="D70" s="5" t="str">
        <f>LRTRIM(CONCATENATE(IF(SUMPRODUCT(-- ISNUMBER(SEARCH({"Auto Number"}, $B70))) &gt; 0, $B70, IF(SUMPRODUCT(-- ISNUMBER(SEARCH({"Lookup","Master-Detail"}, $B70))) &gt; 0,$B70 &amp; "(" &amp; $E70 &amp; ")",IF(SUMPRODUCT(-- ISNUMBER(SEARCH({"Formula","Roll-Up Summary"}, $B70))) &gt; 0,$B70 &amp; " (" &amp; $E70 &amp; ")",IF(SUMPRODUCT(-- ISNUMBER(SEARCH({"Content","Currency","Number","Percent","Text","URL"}, $B70))) &gt; 0,$B70 &amp; "(" &amp; $C70 &amp; ")",$B70)))), "  ", TRIM(IF($S70 = "YES", "(External ID)", "") &amp; " " &amp; IF(SUMPRODUCT(-- ISNUMBER(SEARCH({"Unique","Unique Case Insensitive"}, $R70))) &gt; 0, "(" &amp; $R70 &amp; ")", ""))))</f>
        <v>na</v>
      </c>
      <c r="E70" s="7" t="s">
        <v>195</v>
      </c>
      <c r="F70" s="7" t="s">
        <v>195</v>
      </c>
      <c r="G70" s="7" t="s">
        <v>195</v>
      </c>
      <c r="H70" s="7" t="s">
        <v>195</v>
      </c>
      <c r="I70" s="7" t="s">
        <v>195</v>
      </c>
      <c r="J70" s="7" t="s">
        <v>195</v>
      </c>
      <c r="K70" s="7" t="s">
        <v>195</v>
      </c>
      <c r="L70" s="7" t="s">
        <v>195</v>
      </c>
      <c r="M70" s="7" t="s">
        <v>29</v>
      </c>
      <c r="N70" s="7" t="s">
        <v>29</v>
      </c>
      <c r="O70" s="7" t="s">
        <v>29</v>
      </c>
      <c r="P70" s="7" t="s">
        <v>29</v>
      </c>
      <c r="Q70" s="7" t="s">
        <v>29</v>
      </c>
      <c r="R70" s="7" t="s">
        <v>29</v>
      </c>
      <c r="S70" s="7" t="s">
        <v>29</v>
      </c>
    </row>
    <row r="71" spans="2:19">
      <c r="B71" s="7" t="s">
        <v>195</v>
      </c>
      <c r="C71" s="8" t="s">
        <v>195</v>
      </c>
      <c r="D71" s="5" t="str">
        <f>LRTRIM(CONCATENATE(IF(SUMPRODUCT(-- ISNUMBER(SEARCH({"Auto Number"}, $B71))) &gt; 0, $B71, IF(SUMPRODUCT(-- ISNUMBER(SEARCH({"Lookup","Master-Detail"}, $B71))) &gt; 0,$B71 &amp; "(" &amp; $E71 &amp; ")",IF(SUMPRODUCT(-- ISNUMBER(SEARCH({"Formula","Roll-Up Summary"}, $B71))) &gt; 0,$B71 &amp; " (" &amp; $E71 &amp; ")",IF(SUMPRODUCT(-- ISNUMBER(SEARCH({"Content","Currency","Number","Percent","Text","URL"}, $B71))) &gt; 0,$B71 &amp; "(" &amp; $C71 &amp; ")",$B71)))), "  ", TRIM(IF($S71 = "YES", "(External ID)", "") &amp; " " &amp; IF(SUMPRODUCT(-- ISNUMBER(SEARCH({"Unique","Unique Case Insensitive"}, $R71))) &gt; 0, "(" &amp; $R71 &amp; ")", ""))))</f>
        <v>na</v>
      </c>
      <c r="E71" s="7" t="s">
        <v>195</v>
      </c>
      <c r="F71" s="7" t="s">
        <v>195</v>
      </c>
      <c r="G71" s="7" t="s">
        <v>195</v>
      </c>
      <c r="H71" s="7" t="s">
        <v>195</v>
      </c>
      <c r="I71" s="7" t="s">
        <v>195</v>
      </c>
      <c r="J71" s="7" t="s">
        <v>195</v>
      </c>
      <c r="K71" s="7" t="s">
        <v>195</v>
      </c>
      <c r="L71" s="7" t="s">
        <v>195</v>
      </c>
      <c r="M71" s="7" t="s">
        <v>29</v>
      </c>
      <c r="N71" s="7" t="s">
        <v>29</v>
      </c>
      <c r="O71" s="7" t="s">
        <v>29</v>
      </c>
      <c r="P71" s="7" t="s">
        <v>29</v>
      </c>
      <c r="Q71" s="7" t="s">
        <v>29</v>
      </c>
      <c r="R71" s="7" t="s">
        <v>29</v>
      </c>
      <c r="S71" s="7" t="s">
        <v>29</v>
      </c>
    </row>
    <row r="72" spans="2:19">
      <c r="B72" s="7" t="s">
        <v>195</v>
      </c>
      <c r="C72" s="8" t="s">
        <v>195</v>
      </c>
      <c r="D72" s="5" t="str">
        <f>LRTRIM(CONCATENATE(IF(SUMPRODUCT(-- ISNUMBER(SEARCH({"Auto Number"}, $B72))) &gt; 0, $B72, IF(SUMPRODUCT(-- ISNUMBER(SEARCH({"Lookup","Master-Detail"}, $B72))) &gt; 0,$B72 &amp; "(" &amp; $E72 &amp; ")",IF(SUMPRODUCT(-- ISNUMBER(SEARCH({"Formula","Roll-Up Summary"}, $B72))) &gt; 0,$B72 &amp; " (" &amp; $E72 &amp; ")",IF(SUMPRODUCT(-- ISNUMBER(SEARCH({"Content","Currency","Number","Percent","Text","URL"}, $B72))) &gt; 0,$B72 &amp; "(" &amp; $C72 &amp; ")",$B72)))), "  ", TRIM(IF($S72 = "YES", "(External ID)", "") &amp; " " &amp; IF(SUMPRODUCT(-- ISNUMBER(SEARCH({"Unique","Unique Case Insensitive"}, $R72))) &gt; 0, "(" &amp; $R72 &amp; ")", ""))))</f>
        <v>na</v>
      </c>
      <c r="E72" s="7" t="s">
        <v>195</v>
      </c>
      <c r="F72" s="7" t="s">
        <v>195</v>
      </c>
      <c r="G72" s="7" t="s">
        <v>195</v>
      </c>
      <c r="H72" s="7" t="s">
        <v>195</v>
      </c>
      <c r="I72" s="7" t="s">
        <v>195</v>
      </c>
      <c r="J72" s="7" t="s">
        <v>195</v>
      </c>
      <c r="K72" s="7" t="s">
        <v>195</v>
      </c>
      <c r="L72" s="7" t="s">
        <v>195</v>
      </c>
      <c r="M72" s="7" t="s">
        <v>29</v>
      </c>
      <c r="N72" s="7" t="s">
        <v>29</v>
      </c>
      <c r="O72" s="7" t="s">
        <v>29</v>
      </c>
      <c r="P72" s="7" t="s">
        <v>29</v>
      </c>
      <c r="Q72" s="7" t="s">
        <v>29</v>
      </c>
      <c r="R72" s="7" t="s">
        <v>29</v>
      </c>
      <c r="S72" s="7" t="s">
        <v>29</v>
      </c>
    </row>
    <row r="73" spans="2:19">
      <c r="B73" s="7" t="s">
        <v>195</v>
      </c>
      <c r="C73" s="8" t="s">
        <v>195</v>
      </c>
      <c r="D73" s="5" t="str">
        <f>LRTRIM(CONCATENATE(IF(SUMPRODUCT(-- ISNUMBER(SEARCH({"Auto Number"}, $B73))) &gt; 0, $B73, IF(SUMPRODUCT(-- ISNUMBER(SEARCH({"Lookup","Master-Detail"}, $B73))) &gt; 0,$B73 &amp; "(" &amp; $E73 &amp; ")",IF(SUMPRODUCT(-- ISNUMBER(SEARCH({"Formula","Roll-Up Summary"}, $B73))) &gt; 0,$B73 &amp; " (" &amp; $E73 &amp; ")",IF(SUMPRODUCT(-- ISNUMBER(SEARCH({"Content","Currency","Number","Percent","Text","URL"}, $B73))) &gt; 0,$B73 &amp; "(" &amp; $C73 &amp; ")",$B73)))), "  ", TRIM(IF($S73 = "YES", "(External ID)", "") &amp; " " &amp; IF(SUMPRODUCT(-- ISNUMBER(SEARCH({"Unique","Unique Case Insensitive"}, $R73))) &gt; 0, "(" &amp; $R73 &amp; ")", ""))))</f>
        <v>na</v>
      </c>
      <c r="E73" s="7" t="s">
        <v>195</v>
      </c>
      <c r="F73" s="7" t="s">
        <v>195</v>
      </c>
      <c r="G73" s="7" t="s">
        <v>195</v>
      </c>
      <c r="H73" s="7" t="s">
        <v>195</v>
      </c>
      <c r="I73" s="7" t="s">
        <v>195</v>
      </c>
      <c r="J73" s="7" t="s">
        <v>195</v>
      </c>
      <c r="K73" s="7" t="s">
        <v>195</v>
      </c>
      <c r="L73" s="7" t="s">
        <v>195</v>
      </c>
      <c r="M73" s="7" t="s">
        <v>29</v>
      </c>
      <c r="N73" s="7" t="s">
        <v>29</v>
      </c>
      <c r="O73" s="7" t="s">
        <v>29</v>
      </c>
      <c r="P73" s="7" t="s">
        <v>29</v>
      </c>
      <c r="Q73" s="7" t="s">
        <v>29</v>
      </c>
      <c r="R73" s="7" t="s">
        <v>29</v>
      </c>
      <c r="S73" s="7" t="s">
        <v>29</v>
      </c>
    </row>
    <row r="74" spans="2:19">
      <c r="B74" s="7" t="s">
        <v>195</v>
      </c>
      <c r="C74" s="8" t="s">
        <v>195</v>
      </c>
      <c r="D74" s="5" t="str">
        <f>LRTRIM(CONCATENATE(IF(SUMPRODUCT(-- ISNUMBER(SEARCH({"Auto Number"}, $B74))) &gt; 0, $B74, IF(SUMPRODUCT(-- ISNUMBER(SEARCH({"Lookup","Master-Detail"}, $B74))) &gt; 0,$B74 &amp; "(" &amp; $E74 &amp; ")",IF(SUMPRODUCT(-- ISNUMBER(SEARCH({"Formula","Roll-Up Summary"}, $B74))) &gt; 0,$B74 &amp; " (" &amp; $E74 &amp; ")",IF(SUMPRODUCT(-- ISNUMBER(SEARCH({"Content","Currency","Number","Percent","Text","URL"}, $B74))) &gt; 0,$B74 &amp; "(" &amp; $C74 &amp; ")",$B74)))), "  ", TRIM(IF($S74 = "YES", "(External ID)", "") &amp; " " &amp; IF(SUMPRODUCT(-- ISNUMBER(SEARCH({"Unique","Unique Case Insensitive"}, $R74))) &gt; 0, "(" &amp; $R74 &amp; ")", ""))))</f>
        <v>na</v>
      </c>
      <c r="E74" s="7" t="s">
        <v>195</v>
      </c>
      <c r="F74" s="7" t="s">
        <v>195</v>
      </c>
      <c r="G74" s="7" t="s">
        <v>195</v>
      </c>
      <c r="H74" s="7" t="s">
        <v>195</v>
      </c>
      <c r="I74" s="7" t="s">
        <v>195</v>
      </c>
      <c r="J74" s="7" t="s">
        <v>195</v>
      </c>
      <c r="K74" s="7" t="s">
        <v>195</v>
      </c>
      <c r="L74" s="7" t="s">
        <v>195</v>
      </c>
      <c r="M74" s="7" t="s">
        <v>29</v>
      </c>
      <c r="N74" s="7" t="s">
        <v>29</v>
      </c>
      <c r="O74" s="7" t="s">
        <v>29</v>
      </c>
      <c r="P74" s="7" t="s">
        <v>29</v>
      </c>
      <c r="Q74" s="7" t="s">
        <v>29</v>
      </c>
      <c r="R74" s="7" t="s">
        <v>29</v>
      </c>
      <c r="S74" s="7" t="s">
        <v>29</v>
      </c>
    </row>
    <row r="75" spans="2:19">
      <c r="B75" s="7" t="s">
        <v>195</v>
      </c>
      <c r="C75" s="8" t="s">
        <v>195</v>
      </c>
      <c r="D75" s="5" t="str">
        <f>LRTRIM(CONCATENATE(IF(SUMPRODUCT(-- ISNUMBER(SEARCH({"Auto Number"}, $B75))) &gt; 0, $B75, IF(SUMPRODUCT(-- ISNUMBER(SEARCH({"Lookup","Master-Detail"}, $B75))) &gt; 0,$B75 &amp; "(" &amp; $E75 &amp; ")",IF(SUMPRODUCT(-- ISNUMBER(SEARCH({"Formula","Roll-Up Summary"}, $B75))) &gt; 0,$B75 &amp; " (" &amp; $E75 &amp; ")",IF(SUMPRODUCT(-- ISNUMBER(SEARCH({"Content","Currency","Number","Percent","Text","URL"}, $B75))) &gt; 0,$B75 &amp; "(" &amp; $C75 &amp; ")",$B75)))), "  ", TRIM(IF($S75 = "YES", "(External ID)", "") &amp; " " &amp; IF(SUMPRODUCT(-- ISNUMBER(SEARCH({"Unique","Unique Case Insensitive"}, $R75))) &gt; 0, "(" &amp; $R75 &amp; ")", ""))))</f>
        <v>na</v>
      </c>
      <c r="E75" s="7" t="s">
        <v>195</v>
      </c>
      <c r="F75" s="7" t="s">
        <v>195</v>
      </c>
      <c r="G75" s="7" t="s">
        <v>195</v>
      </c>
      <c r="H75" s="7" t="s">
        <v>195</v>
      </c>
      <c r="I75" s="7" t="s">
        <v>195</v>
      </c>
      <c r="J75" s="7" t="s">
        <v>195</v>
      </c>
      <c r="K75" s="7" t="s">
        <v>195</v>
      </c>
      <c r="L75" s="7" t="s">
        <v>195</v>
      </c>
      <c r="M75" s="7" t="s">
        <v>29</v>
      </c>
      <c r="N75" s="7" t="s">
        <v>29</v>
      </c>
      <c r="O75" s="7" t="s">
        <v>29</v>
      </c>
      <c r="P75" s="7" t="s">
        <v>29</v>
      </c>
      <c r="Q75" s="7" t="s">
        <v>29</v>
      </c>
      <c r="R75" s="7" t="s">
        <v>29</v>
      </c>
      <c r="S75" s="7" t="s">
        <v>29</v>
      </c>
    </row>
    <row r="76" spans="2:19">
      <c r="B76" s="7" t="s">
        <v>195</v>
      </c>
      <c r="C76" s="8" t="s">
        <v>195</v>
      </c>
      <c r="D76" s="5" t="str">
        <f>LRTRIM(CONCATENATE(IF(SUMPRODUCT(-- ISNUMBER(SEARCH({"Auto Number"}, $B76))) &gt; 0, $B76, IF(SUMPRODUCT(-- ISNUMBER(SEARCH({"Lookup","Master-Detail"}, $B76))) &gt; 0,$B76 &amp; "(" &amp; $E76 &amp; ")",IF(SUMPRODUCT(-- ISNUMBER(SEARCH({"Formula","Roll-Up Summary"}, $B76))) &gt; 0,$B76 &amp; " (" &amp; $E76 &amp; ")",IF(SUMPRODUCT(-- ISNUMBER(SEARCH({"Content","Currency","Number","Percent","Text","URL"}, $B76))) &gt; 0,$B76 &amp; "(" &amp; $C76 &amp; ")",$B76)))), "  ", TRIM(IF($S76 = "YES", "(External ID)", "") &amp; " " &amp; IF(SUMPRODUCT(-- ISNUMBER(SEARCH({"Unique","Unique Case Insensitive"}, $R76))) &gt; 0, "(" &amp; $R76 &amp; ")", ""))))</f>
        <v>na</v>
      </c>
      <c r="E76" s="7" t="s">
        <v>195</v>
      </c>
      <c r="F76" s="7" t="s">
        <v>195</v>
      </c>
      <c r="G76" s="7" t="s">
        <v>195</v>
      </c>
      <c r="H76" s="7" t="s">
        <v>195</v>
      </c>
      <c r="I76" s="7" t="s">
        <v>195</v>
      </c>
      <c r="J76" s="7" t="s">
        <v>195</v>
      </c>
      <c r="K76" s="7" t="s">
        <v>195</v>
      </c>
      <c r="L76" s="7" t="s">
        <v>195</v>
      </c>
      <c r="M76" s="7" t="s">
        <v>29</v>
      </c>
      <c r="N76" s="7" t="s">
        <v>29</v>
      </c>
      <c r="O76" s="7" t="s">
        <v>29</v>
      </c>
      <c r="P76" s="7" t="s">
        <v>29</v>
      </c>
      <c r="Q76" s="7" t="s">
        <v>29</v>
      </c>
      <c r="R76" s="7" t="s">
        <v>29</v>
      </c>
      <c r="S76" s="7" t="s">
        <v>29</v>
      </c>
    </row>
    <row r="77" spans="2:19">
      <c r="B77" s="7" t="s">
        <v>195</v>
      </c>
      <c r="C77" s="8" t="s">
        <v>195</v>
      </c>
      <c r="D77" s="5" t="str">
        <f>LRTRIM(CONCATENATE(IF(SUMPRODUCT(-- ISNUMBER(SEARCH({"Auto Number"}, $B77))) &gt; 0, $B77, IF(SUMPRODUCT(-- ISNUMBER(SEARCH({"Lookup","Master-Detail"}, $B77))) &gt; 0,$B77 &amp; "(" &amp; $E77 &amp; ")",IF(SUMPRODUCT(-- ISNUMBER(SEARCH({"Formula","Roll-Up Summary"}, $B77))) &gt; 0,$B77 &amp; " (" &amp; $E77 &amp; ")",IF(SUMPRODUCT(-- ISNUMBER(SEARCH({"Content","Currency","Number","Percent","Text","URL"}, $B77))) &gt; 0,$B77 &amp; "(" &amp; $C77 &amp; ")",$B77)))), "  ", TRIM(IF($S77 = "YES", "(External ID)", "") &amp; " " &amp; IF(SUMPRODUCT(-- ISNUMBER(SEARCH({"Unique","Unique Case Insensitive"}, $R77))) &gt; 0, "(" &amp; $R77 &amp; ")", ""))))</f>
        <v>na</v>
      </c>
      <c r="E77" s="7" t="s">
        <v>195</v>
      </c>
      <c r="F77" s="7" t="s">
        <v>195</v>
      </c>
      <c r="G77" s="7" t="s">
        <v>195</v>
      </c>
      <c r="H77" s="7" t="s">
        <v>195</v>
      </c>
      <c r="I77" s="7" t="s">
        <v>195</v>
      </c>
      <c r="J77" s="7" t="s">
        <v>195</v>
      </c>
      <c r="K77" s="7" t="s">
        <v>195</v>
      </c>
      <c r="L77" s="7" t="s">
        <v>195</v>
      </c>
      <c r="M77" s="7" t="s">
        <v>29</v>
      </c>
      <c r="N77" s="7" t="s">
        <v>29</v>
      </c>
      <c r="O77" s="7" t="s">
        <v>29</v>
      </c>
      <c r="P77" s="7" t="s">
        <v>29</v>
      </c>
      <c r="Q77" s="7" t="s">
        <v>29</v>
      </c>
      <c r="R77" s="7" t="s">
        <v>29</v>
      </c>
      <c r="S77" s="7" t="s">
        <v>29</v>
      </c>
    </row>
    <row r="78" spans="2:19">
      <c r="B78" s="7" t="s">
        <v>195</v>
      </c>
      <c r="C78" s="8" t="s">
        <v>195</v>
      </c>
      <c r="D78" s="5" t="str">
        <f>LRTRIM(CONCATENATE(IF(SUMPRODUCT(-- ISNUMBER(SEARCH({"Auto Number"}, $B78))) &gt; 0, $B78, IF(SUMPRODUCT(-- ISNUMBER(SEARCH({"Lookup","Master-Detail"}, $B78))) &gt; 0,$B78 &amp; "(" &amp; $E78 &amp; ")",IF(SUMPRODUCT(-- ISNUMBER(SEARCH({"Formula","Roll-Up Summary"}, $B78))) &gt; 0,$B78 &amp; " (" &amp; $E78 &amp; ")",IF(SUMPRODUCT(-- ISNUMBER(SEARCH({"Content","Currency","Number","Percent","Text","URL"}, $B78))) &gt; 0,$B78 &amp; "(" &amp; $C78 &amp; ")",$B78)))), "  ", TRIM(IF($S78 = "YES", "(External ID)", "") &amp; " " &amp; IF(SUMPRODUCT(-- ISNUMBER(SEARCH({"Unique","Unique Case Insensitive"}, $R78))) &gt; 0, "(" &amp; $R78 &amp; ")", ""))))</f>
        <v>na</v>
      </c>
      <c r="E78" s="7" t="s">
        <v>195</v>
      </c>
      <c r="F78" s="7" t="s">
        <v>195</v>
      </c>
      <c r="G78" s="7" t="s">
        <v>195</v>
      </c>
      <c r="H78" s="7" t="s">
        <v>195</v>
      </c>
      <c r="I78" s="7" t="s">
        <v>195</v>
      </c>
      <c r="J78" s="7" t="s">
        <v>195</v>
      </c>
      <c r="K78" s="7" t="s">
        <v>195</v>
      </c>
      <c r="L78" s="7" t="s">
        <v>195</v>
      </c>
      <c r="M78" s="7" t="s">
        <v>29</v>
      </c>
      <c r="N78" s="7" t="s">
        <v>29</v>
      </c>
      <c r="O78" s="7" t="s">
        <v>29</v>
      </c>
      <c r="P78" s="7" t="s">
        <v>29</v>
      </c>
      <c r="Q78" s="7" t="s">
        <v>29</v>
      </c>
      <c r="R78" s="7" t="s">
        <v>29</v>
      </c>
      <c r="S78" s="7" t="s">
        <v>29</v>
      </c>
    </row>
    <row r="79" spans="2:19">
      <c r="B79" s="7" t="s">
        <v>195</v>
      </c>
      <c r="C79" s="8" t="s">
        <v>195</v>
      </c>
      <c r="D79" s="5" t="str">
        <f>LRTRIM(CONCATENATE(IF(SUMPRODUCT(-- ISNUMBER(SEARCH({"Auto Number"}, $B79))) &gt; 0, $B79, IF(SUMPRODUCT(-- ISNUMBER(SEARCH({"Lookup","Master-Detail"}, $B79))) &gt; 0,$B79 &amp; "(" &amp; $E79 &amp; ")",IF(SUMPRODUCT(-- ISNUMBER(SEARCH({"Formula","Roll-Up Summary"}, $B79))) &gt; 0,$B79 &amp; " (" &amp; $E79 &amp; ")",IF(SUMPRODUCT(-- ISNUMBER(SEARCH({"Content","Currency","Number","Percent","Text","URL"}, $B79))) &gt; 0,$B79 &amp; "(" &amp; $C79 &amp; ")",$B79)))), "  ", TRIM(IF($S79 = "YES", "(External ID)", "") &amp; " " &amp; IF(SUMPRODUCT(-- ISNUMBER(SEARCH({"Unique","Unique Case Insensitive"}, $R79))) &gt; 0, "(" &amp; $R79 &amp; ")", ""))))</f>
        <v>na</v>
      </c>
      <c r="E79" s="7" t="s">
        <v>195</v>
      </c>
      <c r="F79" s="7" t="s">
        <v>195</v>
      </c>
      <c r="G79" s="7" t="s">
        <v>195</v>
      </c>
      <c r="H79" s="7" t="s">
        <v>195</v>
      </c>
      <c r="I79" s="7" t="s">
        <v>195</v>
      </c>
      <c r="J79" s="7" t="s">
        <v>195</v>
      </c>
      <c r="K79" s="7" t="s">
        <v>195</v>
      </c>
      <c r="L79" s="7" t="s">
        <v>195</v>
      </c>
      <c r="M79" s="7" t="s">
        <v>29</v>
      </c>
      <c r="N79" s="7" t="s">
        <v>29</v>
      </c>
      <c r="O79" s="7" t="s">
        <v>29</v>
      </c>
      <c r="P79" s="7" t="s">
        <v>29</v>
      </c>
      <c r="Q79" s="7" t="s">
        <v>29</v>
      </c>
      <c r="R79" s="7" t="s">
        <v>29</v>
      </c>
      <c r="S79" s="7" t="s">
        <v>29</v>
      </c>
    </row>
    <row r="80" spans="2:19">
      <c r="B80" s="7" t="s">
        <v>195</v>
      </c>
      <c r="C80" s="8" t="s">
        <v>195</v>
      </c>
      <c r="D80" s="5" t="str">
        <f>LRTRIM(CONCATENATE(IF(SUMPRODUCT(-- ISNUMBER(SEARCH({"Auto Number"}, $B80))) &gt; 0, $B80, IF(SUMPRODUCT(-- ISNUMBER(SEARCH({"Lookup","Master-Detail"}, $B80))) &gt; 0,$B80 &amp; "(" &amp; $E80 &amp; ")",IF(SUMPRODUCT(-- ISNUMBER(SEARCH({"Formula","Roll-Up Summary"}, $B80))) &gt; 0,$B80 &amp; " (" &amp; $E80 &amp; ")",IF(SUMPRODUCT(-- ISNUMBER(SEARCH({"Content","Currency","Number","Percent","Text","URL"}, $B80))) &gt; 0,$B80 &amp; "(" &amp; $C80 &amp; ")",$B80)))), "  ", TRIM(IF($S80 = "YES", "(External ID)", "") &amp; " " &amp; IF(SUMPRODUCT(-- ISNUMBER(SEARCH({"Unique","Unique Case Insensitive"}, $R80))) &gt; 0, "(" &amp; $R80 &amp; ")", ""))))</f>
        <v>na</v>
      </c>
      <c r="E80" s="7" t="s">
        <v>195</v>
      </c>
      <c r="F80" s="7" t="s">
        <v>195</v>
      </c>
      <c r="G80" s="7" t="s">
        <v>195</v>
      </c>
      <c r="H80" s="7" t="s">
        <v>195</v>
      </c>
      <c r="I80" s="7" t="s">
        <v>195</v>
      </c>
      <c r="J80" s="7" t="s">
        <v>195</v>
      </c>
      <c r="K80" s="7" t="s">
        <v>195</v>
      </c>
      <c r="L80" s="7" t="s">
        <v>195</v>
      </c>
      <c r="M80" s="7" t="s">
        <v>29</v>
      </c>
      <c r="N80" s="7" t="s">
        <v>29</v>
      </c>
      <c r="O80" s="7" t="s">
        <v>29</v>
      </c>
      <c r="P80" s="7" t="s">
        <v>29</v>
      </c>
      <c r="Q80" s="7" t="s">
        <v>29</v>
      </c>
      <c r="R80" s="7" t="s">
        <v>29</v>
      </c>
      <c r="S80" s="7" t="s">
        <v>29</v>
      </c>
    </row>
    <row r="81" spans="2:19">
      <c r="B81" s="7" t="s">
        <v>195</v>
      </c>
      <c r="C81" s="8" t="s">
        <v>195</v>
      </c>
      <c r="D81" s="5" t="str">
        <f>LRTRIM(CONCATENATE(IF(SUMPRODUCT(-- ISNUMBER(SEARCH({"Auto Number"}, $B81))) &gt; 0, $B81, IF(SUMPRODUCT(-- ISNUMBER(SEARCH({"Lookup","Master-Detail"}, $B81))) &gt; 0,$B81 &amp; "(" &amp; $E81 &amp; ")",IF(SUMPRODUCT(-- ISNUMBER(SEARCH({"Formula","Roll-Up Summary"}, $B81))) &gt; 0,$B81 &amp; " (" &amp; $E81 &amp; ")",IF(SUMPRODUCT(-- ISNUMBER(SEARCH({"Content","Currency","Number","Percent","Text","URL"}, $B81))) &gt; 0,$B81 &amp; "(" &amp; $C81 &amp; ")",$B81)))), "  ", TRIM(IF($S81 = "YES", "(External ID)", "") &amp; " " &amp; IF(SUMPRODUCT(-- ISNUMBER(SEARCH({"Unique","Unique Case Insensitive"}, $R81))) &gt; 0, "(" &amp; $R81 &amp; ")", ""))))</f>
        <v>na</v>
      </c>
      <c r="E81" s="7" t="s">
        <v>195</v>
      </c>
      <c r="F81" s="7" t="s">
        <v>195</v>
      </c>
      <c r="G81" s="7" t="s">
        <v>195</v>
      </c>
      <c r="H81" s="7" t="s">
        <v>195</v>
      </c>
      <c r="I81" s="7" t="s">
        <v>195</v>
      </c>
      <c r="J81" s="7" t="s">
        <v>195</v>
      </c>
      <c r="K81" s="7" t="s">
        <v>195</v>
      </c>
      <c r="L81" s="7" t="s">
        <v>195</v>
      </c>
      <c r="M81" s="7" t="s">
        <v>29</v>
      </c>
      <c r="N81" s="7" t="s">
        <v>29</v>
      </c>
      <c r="O81" s="7" t="s">
        <v>29</v>
      </c>
      <c r="P81" s="7" t="s">
        <v>29</v>
      </c>
      <c r="Q81" s="7" t="s">
        <v>29</v>
      </c>
      <c r="R81" s="7" t="s">
        <v>29</v>
      </c>
      <c r="S81" s="7" t="s">
        <v>29</v>
      </c>
    </row>
    <row r="82" spans="2:19">
      <c r="B82" s="7" t="s">
        <v>195</v>
      </c>
      <c r="C82" s="8" t="s">
        <v>195</v>
      </c>
      <c r="D82" s="5" t="str">
        <f>LRTRIM(CONCATENATE(IF(SUMPRODUCT(-- ISNUMBER(SEARCH({"Auto Number"}, $B82))) &gt; 0, $B82, IF(SUMPRODUCT(-- ISNUMBER(SEARCH({"Lookup","Master-Detail"}, $B82))) &gt; 0,$B82 &amp; "(" &amp; $E82 &amp; ")",IF(SUMPRODUCT(-- ISNUMBER(SEARCH({"Formula","Roll-Up Summary"}, $B82))) &gt; 0,$B82 &amp; " (" &amp; $E82 &amp; ")",IF(SUMPRODUCT(-- ISNUMBER(SEARCH({"Content","Currency","Number","Percent","Text","URL"}, $B82))) &gt; 0,$B82 &amp; "(" &amp; $C82 &amp; ")",$B82)))), "  ", TRIM(IF($S82 = "YES", "(External ID)", "") &amp; " " &amp; IF(SUMPRODUCT(-- ISNUMBER(SEARCH({"Unique","Unique Case Insensitive"}, $R82))) &gt; 0, "(" &amp; $R82 &amp; ")", ""))))</f>
        <v>na</v>
      </c>
      <c r="E82" s="7" t="s">
        <v>195</v>
      </c>
      <c r="F82" s="7" t="s">
        <v>195</v>
      </c>
      <c r="G82" s="7" t="s">
        <v>195</v>
      </c>
      <c r="H82" s="7" t="s">
        <v>195</v>
      </c>
      <c r="I82" s="7" t="s">
        <v>195</v>
      </c>
      <c r="J82" s="7" t="s">
        <v>195</v>
      </c>
      <c r="K82" s="7" t="s">
        <v>195</v>
      </c>
      <c r="L82" s="7" t="s">
        <v>195</v>
      </c>
      <c r="M82" s="7" t="s">
        <v>29</v>
      </c>
      <c r="N82" s="7" t="s">
        <v>29</v>
      </c>
      <c r="O82" s="7" t="s">
        <v>29</v>
      </c>
      <c r="P82" s="7" t="s">
        <v>29</v>
      </c>
      <c r="Q82" s="7" t="s">
        <v>29</v>
      </c>
      <c r="R82" s="7" t="s">
        <v>29</v>
      </c>
      <c r="S82" s="7" t="s">
        <v>29</v>
      </c>
    </row>
    <row r="83" spans="2:19">
      <c r="B83" s="7" t="s">
        <v>195</v>
      </c>
      <c r="C83" s="8" t="s">
        <v>195</v>
      </c>
      <c r="D83" s="5" t="str">
        <f>LRTRIM(CONCATENATE(IF(SUMPRODUCT(-- ISNUMBER(SEARCH({"Auto Number"}, $B83))) &gt; 0, $B83, IF(SUMPRODUCT(-- ISNUMBER(SEARCH({"Lookup","Master-Detail"}, $B83))) &gt; 0,$B83 &amp; "(" &amp; $E83 &amp; ")",IF(SUMPRODUCT(-- ISNUMBER(SEARCH({"Formula","Roll-Up Summary"}, $B83))) &gt; 0,$B83 &amp; " (" &amp; $E83 &amp; ")",IF(SUMPRODUCT(-- ISNUMBER(SEARCH({"Content","Currency","Number","Percent","Text","URL"}, $B83))) &gt; 0,$B83 &amp; "(" &amp; $C83 &amp; ")",$B83)))), "  ", TRIM(IF($S83 = "YES", "(External ID)", "") &amp; " " &amp; IF(SUMPRODUCT(-- ISNUMBER(SEARCH({"Unique","Unique Case Insensitive"}, $R83))) &gt; 0, "(" &amp; $R83 &amp; ")", ""))))</f>
        <v>na</v>
      </c>
      <c r="E83" s="7" t="s">
        <v>195</v>
      </c>
      <c r="F83" s="7" t="s">
        <v>195</v>
      </c>
      <c r="G83" s="7" t="s">
        <v>195</v>
      </c>
      <c r="H83" s="7" t="s">
        <v>195</v>
      </c>
      <c r="I83" s="7" t="s">
        <v>195</v>
      </c>
      <c r="J83" s="7" t="s">
        <v>195</v>
      </c>
      <c r="K83" s="7" t="s">
        <v>195</v>
      </c>
      <c r="L83" s="7" t="s">
        <v>195</v>
      </c>
      <c r="M83" s="7" t="s">
        <v>29</v>
      </c>
      <c r="N83" s="7" t="s">
        <v>29</v>
      </c>
      <c r="O83" s="7" t="s">
        <v>29</v>
      </c>
      <c r="P83" s="7" t="s">
        <v>29</v>
      </c>
      <c r="Q83" s="7" t="s">
        <v>29</v>
      </c>
      <c r="R83" s="7" t="s">
        <v>29</v>
      </c>
      <c r="S83" s="7" t="s">
        <v>29</v>
      </c>
    </row>
    <row r="84" spans="2:19">
      <c r="B84" s="7" t="s">
        <v>195</v>
      </c>
      <c r="C84" s="8" t="s">
        <v>195</v>
      </c>
      <c r="D84" s="5" t="str">
        <f>LRTRIM(CONCATENATE(IF(SUMPRODUCT(-- ISNUMBER(SEARCH({"Auto Number"}, $B84))) &gt; 0, $B84, IF(SUMPRODUCT(-- ISNUMBER(SEARCH({"Lookup","Master-Detail"}, $B84))) &gt; 0,$B84 &amp; "(" &amp; $E84 &amp; ")",IF(SUMPRODUCT(-- ISNUMBER(SEARCH({"Formula","Roll-Up Summary"}, $B84))) &gt; 0,$B84 &amp; " (" &amp; $E84 &amp; ")",IF(SUMPRODUCT(-- ISNUMBER(SEARCH({"Content","Currency","Number","Percent","Text","URL"}, $B84))) &gt; 0,$B84 &amp; "(" &amp; $C84 &amp; ")",$B84)))), "  ", TRIM(IF($S84 = "YES", "(External ID)", "") &amp; " " &amp; IF(SUMPRODUCT(-- ISNUMBER(SEARCH({"Unique","Unique Case Insensitive"}, $R84))) &gt; 0, "(" &amp; $R84 &amp; ")", ""))))</f>
        <v>na</v>
      </c>
      <c r="E84" s="7" t="s">
        <v>195</v>
      </c>
      <c r="F84" s="7" t="s">
        <v>195</v>
      </c>
      <c r="G84" s="7" t="s">
        <v>195</v>
      </c>
      <c r="H84" s="7" t="s">
        <v>195</v>
      </c>
      <c r="I84" s="7" t="s">
        <v>195</v>
      </c>
      <c r="J84" s="7" t="s">
        <v>195</v>
      </c>
      <c r="K84" s="7" t="s">
        <v>195</v>
      </c>
      <c r="L84" s="7" t="s">
        <v>195</v>
      </c>
      <c r="M84" s="7" t="s">
        <v>29</v>
      </c>
      <c r="N84" s="7" t="s">
        <v>29</v>
      </c>
      <c r="O84" s="7" t="s">
        <v>29</v>
      </c>
      <c r="P84" s="7" t="s">
        <v>29</v>
      </c>
      <c r="Q84" s="7" t="s">
        <v>29</v>
      </c>
      <c r="R84" s="7" t="s">
        <v>29</v>
      </c>
      <c r="S84" s="7" t="s">
        <v>29</v>
      </c>
    </row>
    <row r="85" spans="2:19">
      <c r="B85" s="7" t="s">
        <v>195</v>
      </c>
      <c r="C85" s="8" t="s">
        <v>195</v>
      </c>
      <c r="D85" s="5" t="str">
        <f>LRTRIM(CONCATENATE(IF(SUMPRODUCT(-- ISNUMBER(SEARCH({"Auto Number"}, $B85))) &gt; 0, $B85, IF(SUMPRODUCT(-- ISNUMBER(SEARCH({"Lookup","Master-Detail"}, $B85))) &gt; 0,$B85 &amp; "(" &amp; $E85 &amp; ")",IF(SUMPRODUCT(-- ISNUMBER(SEARCH({"Formula","Roll-Up Summary"}, $B85))) &gt; 0,$B85 &amp; " (" &amp; $E85 &amp; ")",IF(SUMPRODUCT(-- ISNUMBER(SEARCH({"Content","Currency","Number","Percent","Text","URL"}, $B85))) &gt; 0,$B85 &amp; "(" &amp; $C85 &amp; ")",$B85)))), "  ", TRIM(IF($S85 = "YES", "(External ID)", "") &amp; " " &amp; IF(SUMPRODUCT(-- ISNUMBER(SEARCH({"Unique","Unique Case Insensitive"}, $R85))) &gt; 0, "(" &amp; $R85 &amp; ")", ""))))</f>
        <v>na</v>
      </c>
      <c r="E85" s="7" t="s">
        <v>195</v>
      </c>
      <c r="F85" s="7" t="s">
        <v>195</v>
      </c>
      <c r="G85" s="7" t="s">
        <v>195</v>
      </c>
      <c r="H85" s="7" t="s">
        <v>195</v>
      </c>
      <c r="I85" s="7" t="s">
        <v>195</v>
      </c>
      <c r="J85" s="7" t="s">
        <v>195</v>
      </c>
      <c r="K85" s="7" t="s">
        <v>195</v>
      </c>
      <c r="L85" s="7" t="s">
        <v>195</v>
      </c>
      <c r="M85" s="7" t="s">
        <v>29</v>
      </c>
      <c r="N85" s="7" t="s">
        <v>29</v>
      </c>
      <c r="O85" s="7" t="s">
        <v>29</v>
      </c>
      <c r="P85" s="7" t="s">
        <v>29</v>
      </c>
      <c r="Q85" s="7" t="s">
        <v>29</v>
      </c>
      <c r="R85" s="7" t="s">
        <v>29</v>
      </c>
      <c r="S85" s="7" t="s">
        <v>29</v>
      </c>
    </row>
    <row r="86" spans="2:19">
      <c r="B86" s="7" t="s">
        <v>195</v>
      </c>
      <c r="C86" s="8" t="s">
        <v>195</v>
      </c>
      <c r="D86" s="5" t="str">
        <f>LRTRIM(CONCATENATE(IF(SUMPRODUCT(-- ISNUMBER(SEARCH({"Auto Number"}, $B86))) &gt; 0, $B86, IF(SUMPRODUCT(-- ISNUMBER(SEARCH({"Lookup","Master-Detail"}, $B86))) &gt; 0,$B86 &amp; "(" &amp; $E86 &amp; ")",IF(SUMPRODUCT(-- ISNUMBER(SEARCH({"Formula","Roll-Up Summary"}, $B86))) &gt; 0,$B86 &amp; " (" &amp; $E86 &amp; ")",IF(SUMPRODUCT(-- ISNUMBER(SEARCH({"Content","Currency","Number","Percent","Text","URL"}, $B86))) &gt; 0,$B86 &amp; "(" &amp; $C86 &amp; ")",$B86)))), "  ", TRIM(IF($S86 = "YES", "(External ID)", "") &amp; " " &amp; IF(SUMPRODUCT(-- ISNUMBER(SEARCH({"Unique","Unique Case Insensitive"}, $R86))) &gt; 0, "(" &amp; $R86 &amp; ")", ""))))</f>
        <v>na</v>
      </c>
      <c r="E86" s="7" t="s">
        <v>195</v>
      </c>
      <c r="F86" s="7" t="s">
        <v>195</v>
      </c>
      <c r="G86" s="7" t="s">
        <v>195</v>
      </c>
      <c r="H86" s="7" t="s">
        <v>195</v>
      </c>
      <c r="I86" s="7" t="s">
        <v>195</v>
      </c>
      <c r="J86" s="7" t="s">
        <v>195</v>
      </c>
      <c r="K86" s="7" t="s">
        <v>195</v>
      </c>
      <c r="L86" s="7" t="s">
        <v>195</v>
      </c>
      <c r="M86" s="7" t="s">
        <v>29</v>
      </c>
      <c r="N86" s="7" t="s">
        <v>29</v>
      </c>
      <c r="O86" s="7" t="s">
        <v>29</v>
      </c>
      <c r="P86" s="7" t="s">
        <v>29</v>
      </c>
      <c r="Q86" s="7" t="s">
        <v>29</v>
      </c>
      <c r="R86" s="7" t="s">
        <v>29</v>
      </c>
      <c r="S86" s="7" t="s">
        <v>29</v>
      </c>
    </row>
    <row r="87" spans="2:19">
      <c r="B87" s="7" t="s">
        <v>195</v>
      </c>
      <c r="C87" s="8" t="s">
        <v>195</v>
      </c>
      <c r="D87" s="5" t="str">
        <f>LRTRIM(CONCATENATE(IF(SUMPRODUCT(-- ISNUMBER(SEARCH({"Auto Number"}, $B87))) &gt; 0, $B87, IF(SUMPRODUCT(-- ISNUMBER(SEARCH({"Lookup","Master-Detail"}, $B87))) &gt; 0,$B87 &amp; "(" &amp; $E87 &amp; ")",IF(SUMPRODUCT(-- ISNUMBER(SEARCH({"Formula","Roll-Up Summary"}, $B87))) &gt; 0,$B87 &amp; " (" &amp; $E87 &amp; ")",IF(SUMPRODUCT(-- ISNUMBER(SEARCH({"Content","Currency","Number","Percent","Text","URL"}, $B87))) &gt; 0,$B87 &amp; "(" &amp; $C87 &amp; ")",$B87)))), "  ", TRIM(IF($S87 = "YES", "(External ID)", "") &amp; " " &amp; IF(SUMPRODUCT(-- ISNUMBER(SEARCH({"Unique","Unique Case Insensitive"}, $R87))) &gt; 0, "(" &amp; $R87 &amp; ")", ""))))</f>
        <v>na</v>
      </c>
      <c r="E87" s="7" t="s">
        <v>195</v>
      </c>
      <c r="F87" s="7" t="s">
        <v>195</v>
      </c>
      <c r="G87" s="7" t="s">
        <v>195</v>
      </c>
      <c r="H87" s="7" t="s">
        <v>195</v>
      </c>
      <c r="I87" s="7" t="s">
        <v>195</v>
      </c>
      <c r="J87" s="7" t="s">
        <v>195</v>
      </c>
      <c r="K87" s="7" t="s">
        <v>195</v>
      </c>
      <c r="L87" s="7" t="s">
        <v>195</v>
      </c>
      <c r="M87" s="7" t="s">
        <v>29</v>
      </c>
      <c r="N87" s="7" t="s">
        <v>29</v>
      </c>
      <c r="O87" s="7" t="s">
        <v>29</v>
      </c>
      <c r="P87" s="7" t="s">
        <v>29</v>
      </c>
      <c r="Q87" s="7" t="s">
        <v>29</v>
      </c>
      <c r="R87" s="7" t="s">
        <v>29</v>
      </c>
      <c r="S87" s="7" t="s">
        <v>29</v>
      </c>
    </row>
    <row r="88" spans="2:19">
      <c r="B88" s="7" t="s">
        <v>195</v>
      </c>
      <c r="C88" s="8" t="s">
        <v>195</v>
      </c>
      <c r="D88" s="5" t="str">
        <f>LRTRIM(CONCATENATE(IF(SUMPRODUCT(-- ISNUMBER(SEARCH({"Auto Number"}, $B88))) &gt; 0, $B88, IF(SUMPRODUCT(-- ISNUMBER(SEARCH({"Lookup","Master-Detail"}, $B88))) &gt; 0,$B88 &amp; "(" &amp; $E88 &amp; ")",IF(SUMPRODUCT(-- ISNUMBER(SEARCH({"Formula","Roll-Up Summary"}, $B88))) &gt; 0,$B88 &amp; " (" &amp; $E88 &amp; ")",IF(SUMPRODUCT(-- ISNUMBER(SEARCH({"Content","Currency","Number","Percent","Text","URL"}, $B88))) &gt; 0,$B88 &amp; "(" &amp; $C88 &amp; ")",$B88)))), "  ", TRIM(IF($S88 = "YES", "(External ID)", "") &amp; " " &amp; IF(SUMPRODUCT(-- ISNUMBER(SEARCH({"Unique","Unique Case Insensitive"}, $R88))) &gt; 0, "(" &amp; $R88 &amp; ")", ""))))</f>
        <v>na</v>
      </c>
      <c r="E88" s="7" t="s">
        <v>195</v>
      </c>
      <c r="F88" s="7" t="s">
        <v>195</v>
      </c>
      <c r="G88" s="7" t="s">
        <v>195</v>
      </c>
      <c r="H88" s="7" t="s">
        <v>195</v>
      </c>
      <c r="I88" s="7" t="s">
        <v>195</v>
      </c>
      <c r="J88" s="7" t="s">
        <v>195</v>
      </c>
      <c r="K88" s="7" t="s">
        <v>195</v>
      </c>
      <c r="L88" s="7" t="s">
        <v>195</v>
      </c>
      <c r="M88" s="7" t="s">
        <v>29</v>
      </c>
      <c r="N88" s="7" t="s">
        <v>29</v>
      </c>
      <c r="O88" s="7" t="s">
        <v>29</v>
      </c>
      <c r="P88" s="7" t="s">
        <v>29</v>
      </c>
      <c r="Q88" s="7" t="s">
        <v>29</v>
      </c>
      <c r="R88" s="7" t="s">
        <v>29</v>
      </c>
      <c r="S88" s="7" t="s">
        <v>29</v>
      </c>
    </row>
    <row r="89" spans="2:19">
      <c r="B89" s="7" t="s">
        <v>195</v>
      </c>
      <c r="C89" s="8" t="s">
        <v>195</v>
      </c>
      <c r="D89" s="5" t="str">
        <f>LRTRIM(CONCATENATE(IF(SUMPRODUCT(-- ISNUMBER(SEARCH({"Auto Number"}, $B89))) &gt; 0, $B89, IF(SUMPRODUCT(-- ISNUMBER(SEARCH({"Lookup","Master-Detail"}, $B89))) &gt; 0,$B89 &amp; "(" &amp; $E89 &amp; ")",IF(SUMPRODUCT(-- ISNUMBER(SEARCH({"Formula","Roll-Up Summary"}, $B89))) &gt; 0,$B89 &amp; " (" &amp; $E89 &amp; ")",IF(SUMPRODUCT(-- ISNUMBER(SEARCH({"Content","Currency","Number","Percent","Text","URL"}, $B89))) &gt; 0,$B89 &amp; "(" &amp; $C89 &amp; ")",$B89)))), "  ", TRIM(IF($S89 = "YES", "(External ID)", "") &amp; " " &amp; IF(SUMPRODUCT(-- ISNUMBER(SEARCH({"Unique","Unique Case Insensitive"}, $R89))) &gt; 0, "(" &amp; $R89 &amp; ")", ""))))</f>
        <v>na</v>
      </c>
      <c r="E89" s="7" t="s">
        <v>195</v>
      </c>
      <c r="F89" s="7" t="s">
        <v>195</v>
      </c>
      <c r="G89" s="7" t="s">
        <v>195</v>
      </c>
      <c r="H89" s="7" t="s">
        <v>195</v>
      </c>
      <c r="I89" s="7" t="s">
        <v>195</v>
      </c>
      <c r="J89" s="7" t="s">
        <v>195</v>
      </c>
      <c r="K89" s="7" t="s">
        <v>195</v>
      </c>
      <c r="L89" s="7" t="s">
        <v>195</v>
      </c>
      <c r="M89" s="7" t="s">
        <v>29</v>
      </c>
      <c r="N89" s="7" t="s">
        <v>29</v>
      </c>
      <c r="O89" s="7" t="s">
        <v>29</v>
      </c>
      <c r="P89" s="7" t="s">
        <v>29</v>
      </c>
      <c r="Q89" s="7" t="s">
        <v>29</v>
      </c>
      <c r="R89" s="7" t="s">
        <v>29</v>
      </c>
      <c r="S89" s="7" t="s">
        <v>29</v>
      </c>
    </row>
    <row r="90" spans="2:19">
      <c r="B90" s="7" t="s">
        <v>195</v>
      </c>
      <c r="C90" s="8" t="s">
        <v>195</v>
      </c>
      <c r="D90" s="5" t="str">
        <f>LRTRIM(CONCATENATE(IF(SUMPRODUCT(-- ISNUMBER(SEARCH({"Auto Number"}, $B90))) &gt; 0, $B90, IF(SUMPRODUCT(-- ISNUMBER(SEARCH({"Lookup","Master-Detail"}, $B90))) &gt; 0,$B90 &amp; "(" &amp; $E90 &amp; ")",IF(SUMPRODUCT(-- ISNUMBER(SEARCH({"Formula","Roll-Up Summary"}, $B90))) &gt; 0,$B90 &amp; " (" &amp; $E90 &amp; ")",IF(SUMPRODUCT(-- ISNUMBER(SEARCH({"Content","Currency","Number","Percent","Text","URL"}, $B90))) &gt; 0,$B90 &amp; "(" &amp; $C90 &amp; ")",$B90)))), "  ", TRIM(IF($S90 = "YES", "(External ID)", "") &amp; " " &amp; IF(SUMPRODUCT(-- ISNUMBER(SEARCH({"Unique","Unique Case Insensitive"}, $R90))) &gt; 0, "(" &amp; $R90 &amp; ")", ""))))</f>
        <v>na</v>
      </c>
      <c r="E90" s="7" t="s">
        <v>195</v>
      </c>
      <c r="F90" s="7" t="s">
        <v>195</v>
      </c>
      <c r="G90" s="7" t="s">
        <v>195</v>
      </c>
      <c r="H90" s="7" t="s">
        <v>195</v>
      </c>
      <c r="I90" s="7" t="s">
        <v>195</v>
      </c>
      <c r="J90" s="7" t="s">
        <v>195</v>
      </c>
      <c r="K90" s="7" t="s">
        <v>195</v>
      </c>
      <c r="L90" s="7" t="s">
        <v>195</v>
      </c>
      <c r="M90" s="7" t="s">
        <v>29</v>
      </c>
      <c r="N90" s="7" t="s">
        <v>29</v>
      </c>
      <c r="O90" s="7" t="s">
        <v>29</v>
      </c>
      <c r="P90" s="7" t="s">
        <v>29</v>
      </c>
      <c r="Q90" s="7" t="s">
        <v>29</v>
      </c>
      <c r="R90" s="7" t="s">
        <v>29</v>
      </c>
      <c r="S90" s="7" t="s">
        <v>29</v>
      </c>
    </row>
    <row r="91" spans="2:19">
      <c r="B91" s="7" t="s">
        <v>195</v>
      </c>
      <c r="C91" s="8" t="s">
        <v>195</v>
      </c>
      <c r="D91" s="5" t="str">
        <f>LRTRIM(CONCATENATE(IF(SUMPRODUCT(-- ISNUMBER(SEARCH({"Auto Number"}, $B91))) &gt; 0, $B91, IF(SUMPRODUCT(-- ISNUMBER(SEARCH({"Lookup","Master-Detail"}, $B91))) &gt; 0,$B91 &amp; "(" &amp; $E91 &amp; ")",IF(SUMPRODUCT(-- ISNUMBER(SEARCH({"Formula","Roll-Up Summary"}, $B91))) &gt; 0,$B91 &amp; " (" &amp; $E91 &amp; ")",IF(SUMPRODUCT(-- ISNUMBER(SEARCH({"Content","Currency","Number","Percent","Text","URL"}, $B91))) &gt; 0,$B91 &amp; "(" &amp; $C91 &amp; ")",$B91)))), "  ", TRIM(IF($S91 = "YES", "(External ID)", "") &amp; " " &amp; IF(SUMPRODUCT(-- ISNUMBER(SEARCH({"Unique","Unique Case Insensitive"}, $R91))) &gt; 0, "(" &amp; $R91 &amp; ")", ""))))</f>
        <v>na</v>
      </c>
      <c r="E91" s="7" t="s">
        <v>195</v>
      </c>
      <c r="F91" s="7" t="s">
        <v>195</v>
      </c>
      <c r="G91" s="7" t="s">
        <v>195</v>
      </c>
      <c r="H91" s="7" t="s">
        <v>195</v>
      </c>
      <c r="I91" s="7" t="s">
        <v>195</v>
      </c>
      <c r="J91" s="7" t="s">
        <v>195</v>
      </c>
      <c r="K91" s="7" t="s">
        <v>195</v>
      </c>
      <c r="L91" s="7" t="s">
        <v>195</v>
      </c>
      <c r="M91" s="7" t="s">
        <v>29</v>
      </c>
      <c r="N91" s="7" t="s">
        <v>29</v>
      </c>
      <c r="O91" s="7" t="s">
        <v>29</v>
      </c>
      <c r="P91" s="7" t="s">
        <v>29</v>
      </c>
      <c r="Q91" s="7" t="s">
        <v>29</v>
      </c>
      <c r="R91" s="7" t="s">
        <v>29</v>
      </c>
      <c r="S91" s="7" t="s">
        <v>29</v>
      </c>
    </row>
    <row r="92" spans="2:19">
      <c r="B92" s="7" t="s">
        <v>195</v>
      </c>
      <c r="C92" s="8" t="s">
        <v>195</v>
      </c>
      <c r="D92" s="5" t="str">
        <f>LRTRIM(CONCATENATE(IF(SUMPRODUCT(-- ISNUMBER(SEARCH({"Auto Number"}, $B92))) &gt; 0, $B92, IF(SUMPRODUCT(-- ISNUMBER(SEARCH({"Lookup","Master-Detail"}, $B92))) &gt; 0,$B92 &amp; "(" &amp; $E92 &amp; ")",IF(SUMPRODUCT(-- ISNUMBER(SEARCH({"Formula","Roll-Up Summary"}, $B92))) &gt; 0,$B92 &amp; " (" &amp; $E92 &amp; ")",IF(SUMPRODUCT(-- ISNUMBER(SEARCH({"Content","Currency","Number","Percent","Text","URL"}, $B92))) &gt; 0,$B92 &amp; "(" &amp; $C92 &amp; ")",$B92)))), "  ", TRIM(IF($S92 = "YES", "(External ID)", "") &amp; " " &amp; IF(SUMPRODUCT(-- ISNUMBER(SEARCH({"Unique","Unique Case Insensitive"}, $R92))) &gt; 0, "(" &amp; $R92 &amp; ")", ""))))</f>
        <v>na</v>
      </c>
      <c r="E92" s="7" t="s">
        <v>195</v>
      </c>
      <c r="F92" s="7" t="s">
        <v>195</v>
      </c>
      <c r="G92" s="7" t="s">
        <v>195</v>
      </c>
      <c r="H92" s="7" t="s">
        <v>195</v>
      </c>
      <c r="I92" s="7" t="s">
        <v>195</v>
      </c>
      <c r="J92" s="7" t="s">
        <v>195</v>
      </c>
      <c r="K92" s="7" t="s">
        <v>195</v>
      </c>
      <c r="L92" s="7" t="s">
        <v>195</v>
      </c>
      <c r="M92" s="7" t="s">
        <v>29</v>
      </c>
      <c r="N92" s="7" t="s">
        <v>29</v>
      </c>
      <c r="O92" s="7" t="s">
        <v>29</v>
      </c>
      <c r="P92" s="7" t="s">
        <v>29</v>
      </c>
      <c r="Q92" s="7" t="s">
        <v>29</v>
      </c>
      <c r="R92" s="7" t="s">
        <v>29</v>
      </c>
      <c r="S92" s="7" t="s">
        <v>29</v>
      </c>
    </row>
    <row r="93" spans="2:19">
      <c r="B93" s="7" t="s">
        <v>195</v>
      </c>
      <c r="C93" s="8" t="s">
        <v>195</v>
      </c>
      <c r="D93" s="5" t="str">
        <f>LRTRIM(CONCATENATE(IF(SUMPRODUCT(-- ISNUMBER(SEARCH({"Auto Number"}, $B93))) &gt; 0, $B93, IF(SUMPRODUCT(-- ISNUMBER(SEARCH({"Lookup","Master-Detail"}, $B93))) &gt; 0,$B93 &amp; "(" &amp; $E93 &amp; ")",IF(SUMPRODUCT(-- ISNUMBER(SEARCH({"Formula","Roll-Up Summary"}, $B93))) &gt; 0,$B93 &amp; " (" &amp; $E93 &amp; ")",IF(SUMPRODUCT(-- ISNUMBER(SEARCH({"Content","Currency","Number","Percent","Text","URL"}, $B93))) &gt; 0,$B93 &amp; "(" &amp; $C93 &amp; ")",$B93)))), "  ", TRIM(IF($S93 = "YES", "(External ID)", "") &amp; " " &amp; IF(SUMPRODUCT(-- ISNUMBER(SEARCH({"Unique","Unique Case Insensitive"}, $R93))) &gt; 0, "(" &amp; $R93 &amp; ")", ""))))</f>
        <v>na</v>
      </c>
      <c r="E93" s="7" t="s">
        <v>195</v>
      </c>
      <c r="F93" s="7" t="s">
        <v>195</v>
      </c>
      <c r="G93" s="7" t="s">
        <v>195</v>
      </c>
      <c r="H93" s="7" t="s">
        <v>195</v>
      </c>
      <c r="I93" s="7" t="s">
        <v>195</v>
      </c>
      <c r="J93" s="7" t="s">
        <v>195</v>
      </c>
      <c r="K93" s="7" t="s">
        <v>195</v>
      </c>
      <c r="L93" s="7" t="s">
        <v>195</v>
      </c>
      <c r="M93" s="7" t="s">
        <v>29</v>
      </c>
      <c r="N93" s="7" t="s">
        <v>29</v>
      </c>
      <c r="O93" s="7" t="s">
        <v>29</v>
      </c>
      <c r="P93" s="7" t="s">
        <v>29</v>
      </c>
      <c r="Q93" s="7" t="s">
        <v>29</v>
      </c>
      <c r="R93" s="7" t="s">
        <v>29</v>
      </c>
      <c r="S93" s="7" t="s">
        <v>29</v>
      </c>
    </row>
    <row r="94" spans="2:19">
      <c r="B94" s="7" t="s">
        <v>195</v>
      </c>
      <c r="C94" s="8" t="s">
        <v>195</v>
      </c>
      <c r="D94" s="5" t="str">
        <f>LRTRIM(CONCATENATE(IF(SUMPRODUCT(-- ISNUMBER(SEARCH({"Auto Number"}, $B94))) &gt; 0, $B94, IF(SUMPRODUCT(-- ISNUMBER(SEARCH({"Lookup","Master-Detail"}, $B94))) &gt; 0,$B94 &amp; "(" &amp; $E94 &amp; ")",IF(SUMPRODUCT(-- ISNUMBER(SEARCH({"Formula","Roll-Up Summary"}, $B94))) &gt; 0,$B94 &amp; " (" &amp; $E94 &amp; ")",IF(SUMPRODUCT(-- ISNUMBER(SEARCH({"Content","Currency","Number","Percent","Text","URL"}, $B94))) &gt; 0,$B94 &amp; "(" &amp; $C94 &amp; ")",$B94)))), "  ", TRIM(IF($S94 = "YES", "(External ID)", "") &amp; " " &amp; IF(SUMPRODUCT(-- ISNUMBER(SEARCH({"Unique","Unique Case Insensitive"}, $R94))) &gt; 0, "(" &amp; $R94 &amp; ")", ""))))</f>
        <v>na</v>
      </c>
      <c r="E94" s="7" t="s">
        <v>195</v>
      </c>
      <c r="F94" s="7" t="s">
        <v>195</v>
      </c>
      <c r="G94" s="7" t="s">
        <v>195</v>
      </c>
      <c r="H94" s="7" t="s">
        <v>195</v>
      </c>
      <c r="I94" s="7" t="s">
        <v>195</v>
      </c>
      <c r="J94" s="7" t="s">
        <v>195</v>
      </c>
      <c r="K94" s="7" t="s">
        <v>195</v>
      </c>
      <c r="L94" s="7" t="s">
        <v>195</v>
      </c>
      <c r="M94" s="7" t="s">
        <v>29</v>
      </c>
      <c r="N94" s="7" t="s">
        <v>29</v>
      </c>
      <c r="O94" s="7" t="s">
        <v>29</v>
      </c>
      <c r="P94" s="7" t="s">
        <v>29</v>
      </c>
      <c r="Q94" s="7" t="s">
        <v>29</v>
      </c>
      <c r="R94" s="7" t="s">
        <v>29</v>
      </c>
      <c r="S94" s="7" t="s">
        <v>29</v>
      </c>
    </row>
    <row r="95" spans="2:19">
      <c r="B95" s="7" t="s">
        <v>195</v>
      </c>
      <c r="C95" s="8" t="s">
        <v>195</v>
      </c>
      <c r="D95" s="5" t="str">
        <f>LRTRIM(CONCATENATE(IF(SUMPRODUCT(-- ISNUMBER(SEARCH({"Auto Number"}, $B95))) &gt; 0, $B95, IF(SUMPRODUCT(-- ISNUMBER(SEARCH({"Lookup","Master-Detail"}, $B95))) &gt; 0,$B95 &amp; "(" &amp; $E95 &amp; ")",IF(SUMPRODUCT(-- ISNUMBER(SEARCH({"Formula","Roll-Up Summary"}, $B95))) &gt; 0,$B95 &amp; " (" &amp; $E95 &amp; ")",IF(SUMPRODUCT(-- ISNUMBER(SEARCH({"Content","Currency","Number","Percent","Text","URL"}, $B95))) &gt; 0,$B95 &amp; "(" &amp; $C95 &amp; ")",$B95)))), "  ", TRIM(IF($S95 = "YES", "(External ID)", "") &amp; " " &amp; IF(SUMPRODUCT(-- ISNUMBER(SEARCH({"Unique","Unique Case Insensitive"}, $R95))) &gt; 0, "(" &amp; $R95 &amp; ")", ""))))</f>
        <v>na</v>
      </c>
      <c r="E95" s="7" t="s">
        <v>195</v>
      </c>
      <c r="F95" s="7" t="s">
        <v>195</v>
      </c>
      <c r="G95" s="7" t="s">
        <v>195</v>
      </c>
      <c r="H95" s="7" t="s">
        <v>195</v>
      </c>
      <c r="I95" s="7" t="s">
        <v>195</v>
      </c>
      <c r="J95" s="7" t="s">
        <v>195</v>
      </c>
      <c r="K95" s="7" t="s">
        <v>195</v>
      </c>
      <c r="L95" s="7" t="s">
        <v>195</v>
      </c>
      <c r="M95" s="7" t="s">
        <v>29</v>
      </c>
      <c r="N95" s="7" t="s">
        <v>29</v>
      </c>
      <c r="O95" s="7" t="s">
        <v>29</v>
      </c>
      <c r="P95" s="7" t="s">
        <v>29</v>
      </c>
      <c r="Q95" s="7" t="s">
        <v>29</v>
      </c>
      <c r="R95" s="7" t="s">
        <v>29</v>
      </c>
      <c r="S95" s="7" t="s">
        <v>29</v>
      </c>
    </row>
    <row r="96" spans="2:19">
      <c r="B96" s="7" t="s">
        <v>195</v>
      </c>
      <c r="C96" s="8" t="s">
        <v>195</v>
      </c>
      <c r="D96" s="5" t="str">
        <f>LRTRIM(CONCATENATE(IF(SUMPRODUCT(-- ISNUMBER(SEARCH({"Auto Number"}, $B96))) &gt; 0, $B96, IF(SUMPRODUCT(-- ISNUMBER(SEARCH({"Lookup","Master-Detail"}, $B96))) &gt; 0,$B96 &amp; "(" &amp; $E96 &amp; ")",IF(SUMPRODUCT(-- ISNUMBER(SEARCH({"Formula","Roll-Up Summary"}, $B96))) &gt; 0,$B96 &amp; " (" &amp; $E96 &amp; ")",IF(SUMPRODUCT(-- ISNUMBER(SEARCH({"Content","Currency","Number","Percent","Text","URL"}, $B96))) &gt; 0,$B96 &amp; "(" &amp; $C96 &amp; ")",$B96)))), "  ", TRIM(IF($S96 = "YES", "(External ID)", "") &amp; " " &amp; IF(SUMPRODUCT(-- ISNUMBER(SEARCH({"Unique","Unique Case Insensitive"}, $R96))) &gt; 0, "(" &amp; $R96 &amp; ")", ""))))</f>
        <v>na</v>
      </c>
      <c r="E96" s="7" t="s">
        <v>195</v>
      </c>
      <c r="F96" s="7" t="s">
        <v>195</v>
      </c>
      <c r="G96" s="7" t="s">
        <v>195</v>
      </c>
      <c r="H96" s="7" t="s">
        <v>195</v>
      </c>
      <c r="I96" s="7" t="s">
        <v>195</v>
      </c>
      <c r="J96" s="7" t="s">
        <v>195</v>
      </c>
      <c r="K96" s="7" t="s">
        <v>195</v>
      </c>
      <c r="L96" s="7" t="s">
        <v>195</v>
      </c>
      <c r="M96" s="7" t="s">
        <v>29</v>
      </c>
      <c r="N96" s="7" t="s">
        <v>29</v>
      </c>
      <c r="O96" s="7" t="s">
        <v>29</v>
      </c>
      <c r="P96" s="7" t="s">
        <v>29</v>
      </c>
      <c r="Q96" s="7" t="s">
        <v>29</v>
      </c>
      <c r="R96" s="7" t="s">
        <v>29</v>
      </c>
      <c r="S96" s="7" t="s">
        <v>29</v>
      </c>
    </row>
    <row r="97" spans="2:19">
      <c r="B97" s="7" t="s">
        <v>195</v>
      </c>
      <c r="C97" s="8" t="s">
        <v>195</v>
      </c>
      <c r="D97" s="5" t="str">
        <f>LRTRIM(CONCATENATE(IF(SUMPRODUCT(-- ISNUMBER(SEARCH({"Auto Number"}, $B97))) &gt; 0, $B97, IF(SUMPRODUCT(-- ISNUMBER(SEARCH({"Lookup","Master-Detail"}, $B97))) &gt; 0,$B97 &amp; "(" &amp; $E97 &amp; ")",IF(SUMPRODUCT(-- ISNUMBER(SEARCH({"Formula","Roll-Up Summary"}, $B97))) &gt; 0,$B97 &amp; " (" &amp; $E97 &amp; ")",IF(SUMPRODUCT(-- ISNUMBER(SEARCH({"Content","Currency","Number","Percent","Text","URL"}, $B97))) &gt; 0,$B97 &amp; "(" &amp; $C97 &amp; ")",$B97)))), "  ", TRIM(IF($S97 = "YES", "(External ID)", "") &amp; " " &amp; IF(SUMPRODUCT(-- ISNUMBER(SEARCH({"Unique","Unique Case Insensitive"}, $R97))) &gt; 0, "(" &amp; $R97 &amp; ")", ""))))</f>
        <v>na</v>
      </c>
      <c r="E97" s="7" t="s">
        <v>195</v>
      </c>
      <c r="F97" s="7" t="s">
        <v>195</v>
      </c>
      <c r="G97" s="7" t="s">
        <v>195</v>
      </c>
      <c r="H97" s="7" t="s">
        <v>195</v>
      </c>
      <c r="I97" s="7" t="s">
        <v>195</v>
      </c>
      <c r="J97" s="7" t="s">
        <v>195</v>
      </c>
      <c r="K97" s="7" t="s">
        <v>195</v>
      </c>
      <c r="L97" s="7" t="s">
        <v>195</v>
      </c>
      <c r="M97" s="7" t="s">
        <v>29</v>
      </c>
      <c r="N97" s="7" t="s">
        <v>29</v>
      </c>
      <c r="O97" s="7" t="s">
        <v>29</v>
      </c>
      <c r="P97" s="7" t="s">
        <v>29</v>
      </c>
      <c r="Q97" s="7" t="s">
        <v>29</v>
      </c>
      <c r="R97" s="7" t="s">
        <v>29</v>
      </c>
      <c r="S97" s="7" t="s">
        <v>29</v>
      </c>
    </row>
    <row r="98" spans="2:19">
      <c r="B98" s="7" t="s">
        <v>195</v>
      </c>
      <c r="C98" s="8" t="s">
        <v>195</v>
      </c>
      <c r="D98" s="5" t="str">
        <f>LRTRIM(CONCATENATE(IF(SUMPRODUCT(-- ISNUMBER(SEARCH({"Auto Number"}, $B98))) &gt; 0, $B98, IF(SUMPRODUCT(-- ISNUMBER(SEARCH({"Lookup","Master-Detail"}, $B98))) &gt; 0,$B98 &amp; "(" &amp; $E98 &amp; ")",IF(SUMPRODUCT(-- ISNUMBER(SEARCH({"Formula","Roll-Up Summary"}, $B98))) &gt; 0,$B98 &amp; " (" &amp; $E98 &amp; ")",IF(SUMPRODUCT(-- ISNUMBER(SEARCH({"Content","Currency","Number","Percent","Text","URL"}, $B98))) &gt; 0,$B98 &amp; "(" &amp; $C98 &amp; ")",$B98)))), "  ", TRIM(IF($S98 = "YES", "(External ID)", "") &amp; " " &amp; IF(SUMPRODUCT(-- ISNUMBER(SEARCH({"Unique","Unique Case Insensitive"}, $R98))) &gt; 0, "(" &amp; $R98 &amp; ")", ""))))</f>
        <v>na</v>
      </c>
      <c r="E98" s="7" t="s">
        <v>195</v>
      </c>
      <c r="F98" s="7" t="s">
        <v>195</v>
      </c>
      <c r="G98" s="7" t="s">
        <v>195</v>
      </c>
      <c r="H98" s="7" t="s">
        <v>195</v>
      </c>
      <c r="I98" s="7" t="s">
        <v>195</v>
      </c>
      <c r="J98" s="7" t="s">
        <v>195</v>
      </c>
      <c r="K98" s="7" t="s">
        <v>195</v>
      </c>
      <c r="L98" s="7" t="s">
        <v>195</v>
      </c>
      <c r="M98" s="7" t="s">
        <v>29</v>
      </c>
      <c r="N98" s="7" t="s">
        <v>29</v>
      </c>
      <c r="O98" s="7" t="s">
        <v>29</v>
      </c>
      <c r="P98" s="7" t="s">
        <v>29</v>
      </c>
      <c r="Q98" s="7" t="s">
        <v>29</v>
      </c>
      <c r="R98" s="7" t="s">
        <v>29</v>
      </c>
      <c r="S98" s="7" t="s">
        <v>29</v>
      </c>
    </row>
    <row r="99" spans="2:19">
      <c r="B99" s="7" t="s">
        <v>195</v>
      </c>
      <c r="C99" s="8" t="s">
        <v>195</v>
      </c>
      <c r="D99" s="5" t="str">
        <f>LRTRIM(CONCATENATE(IF(SUMPRODUCT(-- ISNUMBER(SEARCH({"Auto Number"}, $B99))) &gt; 0, $B99, IF(SUMPRODUCT(-- ISNUMBER(SEARCH({"Lookup","Master-Detail"}, $B99))) &gt; 0,$B99 &amp; "(" &amp; $E99 &amp; ")",IF(SUMPRODUCT(-- ISNUMBER(SEARCH({"Formula","Roll-Up Summary"}, $B99))) &gt; 0,$B99 &amp; " (" &amp; $E99 &amp; ")",IF(SUMPRODUCT(-- ISNUMBER(SEARCH({"Content","Currency","Number","Percent","Text","URL"}, $B99))) &gt; 0,$B99 &amp; "(" &amp; $C99 &amp; ")",$B99)))), "  ", TRIM(IF($S99 = "YES", "(External ID)", "") &amp; " " &amp; IF(SUMPRODUCT(-- ISNUMBER(SEARCH({"Unique","Unique Case Insensitive"}, $R99))) &gt; 0, "(" &amp; $R99 &amp; ")", ""))))</f>
        <v>na</v>
      </c>
      <c r="E99" s="7" t="s">
        <v>195</v>
      </c>
      <c r="F99" s="7" t="s">
        <v>195</v>
      </c>
      <c r="G99" s="7" t="s">
        <v>195</v>
      </c>
      <c r="H99" s="7" t="s">
        <v>195</v>
      </c>
      <c r="I99" s="7" t="s">
        <v>195</v>
      </c>
      <c r="J99" s="7" t="s">
        <v>195</v>
      </c>
      <c r="K99" s="7" t="s">
        <v>195</v>
      </c>
      <c r="L99" s="7" t="s">
        <v>195</v>
      </c>
      <c r="M99" s="7" t="s">
        <v>29</v>
      </c>
      <c r="N99" s="7" t="s">
        <v>29</v>
      </c>
      <c r="O99" s="7" t="s">
        <v>29</v>
      </c>
      <c r="P99" s="7" t="s">
        <v>29</v>
      </c>
      <c r="Q99" s="7" t="s">
        <v>29</v>
      </c>
      <c r="R99" s="7" t="s">
        <v>29</v>
      </c>
      <c r="S99" s="7" t="s">
        <v>29</v>
      </c>
    </row>
    <row r="100" spans="2:19">
      <c r="B100" s="7" t="s">
        <v>195</v>
      </c>
      <c r="C100" s="8" t="s">
        <v>195</v>
      </c>
      <c r="D100" s="5" t="str">
        <f>LRTRIM(CONCATENATE(IF(SUMPRODUCT(-- ISNUMBER(SEARCH({"Auto Number"}, $B100))) &gt; 0, $B100, IF(SUMPRODUCT(-- ISNUMBER(SEARCH({"Lookup","Master-Detail"}, $B100))) &gt; 0,$B100 &amp; "(" &amp; $E100 &amp; ")",IF(SUMPRODUCT(-- ISNUMBER(SEARCH({"Formula","Roll-Up Summary"}, $B100))) &gt; 0,$B100 &amp; " (" &amp; $E100 &amp; ")",IF(SUMPRODUCT(-- ISNUMBER(SEARCH({"Content","Currency","Number","Percent","Text","URL"}, $B100))) &gt; 0,$B100 &amp; "(" &amp; $C100 &amp; ")",$B100)))), "  ", TRIM(IF($S100 = "YES", "(External ID)", "") &amp; " " &amp; IF(SUMPRODUCT(-- ISNUMBER(SEARCH({"Unique","Unique Case Insensitive"}, $R100))) &gt; 0, "(" &amp; $R100 &amp; ")", ""))))</f>
        <v>na</v>
      </c>
      <c r="E100" s="7" t="s">
        <v>195</v>
      </c>
      <c r="F100" s="7" t="s">
        <v>195</v>
      </c>
      <c r="G100" s="7" t="s">
        <v>195</v>
      </c>
      <c r="H100" s="7" t="s">
        <v>195</v>
      </c>
      <c r="I100" s="7" t="s">
        <v>195</v>
      </c>
      <c r="J100" s="7" t="s">
        <v>195</v>
      </c>
      <c r="K100" s="7" t="s">
        <v>195</v>
      </c>
      <c r="L100" s="7" t="s">
        <v>195</v>
      </c>
      <c r="M100" s="7" t="s">
        <v>29</v>
      </c>
      <c r="N100" s="7" t="s">
        <v>29</v>
      </c>
      <c r="O100" s="7" t="s">
        <v>29</v>
      </c>
      <c r="P100" s="7" t="s">
        <v>29</v>
      </c>
      <c r="Q100" s="7" t="s">
        <v>29</v>
      </c>
      <c r="R100" s="7" t="s">
        <v>29</v>
      </c>
      <c r="S100" s="7" t="s">
        <v>29</v>
      </c>
    </row>
    <row r="101" spans="2:19">
      <c r="B101" s="7" t="s">
        <v>195</v>
      </c>
      <c r="C101" s="8" t="s">
        <v>195</v>
      </c>
      <c r="D101" s="5" t="str">
        <f>LRTRIM(CONCATENATE(IF(SUMPRODUCT(-- ISNUMBER(SEARCH({"Auto Number"}, $B101))) &gt; 0, $B101, IF(SUMPRODUCT(-- ISNUMBER(SEARCH({"Lookup","Master-Detail"}, $B101))) &gt; 0,$B101 &amp; "(" &amp; $E101 &amp; ")",IF(SUMPRODUCT(-- ISNUMBER(SEARCH({"Formula","Roll-Up Summary"}, $B101))) &gt; 0,$B101 &amp; " (" &amp; $E101 &amp; ")",IF(SUMPRODUCT(-- ISNUMBER(SEARCH({"Content","Currency","Number","Percent","Text","URL"}, $B101))) &gt; 0,$B101 &amp; "(" &amp; $C101 &amp; ")",$B101)))), "  ", TRIM(IF($S101 = "YES", "(External ID)", "") &amp; " " &amp; IF(SUMPRODUCT(-- ISNUMBER(SEARCH({"Unique","Unique Case Insensitive"}, $R101))) &gt; 0, "(" &amp; $R101 &amp; ")", ""))))</f>
        <v>na</v>
      </c>
      <c r="E101" s="7" t="s">
        <v>195</v>
      </c>
      <c r="F101" s="7" t="s">
        <v>195</v>
      </c>
      <c r="G101" s="7" t="s">
        <v>195</v>
      </c>
      <c r="H101" s="7" t="s">
        <v>195</v>
      </c>
      <c r="I101" s="7" t="s">
        <v>195</v>
      </c>
      <c r="J101" s="7" t="s">
        <v>195</v>
      </c>
      <c r="K101" s="7" t="s">
        <v>195</v>
      </c>
      <c r="L101" s="7" t="s">
        <v>195</v>
      </c>
      <c r="M101" s="7" t="s">
        <v>29</v>
      </c>
      <c r="N101" s="7" t="s">
        <v>29</v>
      </c>
      <c r="O101" s="7" t="s">
        <v>29</v>
      </c>
      <c r="P101" s="7" t="s">
        <v>29</v>
      </c>
      <c r="Q101" s="7" t="s">
        <v>29</v>
      </c>
      <c r="R101" s="7" t="s">
        <v>29</v>
      </c>
      <c r="S101" s="7" t="s">
        <v>29</v>
      </c>
    </row>
    <row r="102" spans="2:19">
      <c r="B102" s="7" t="s">
        <v>195</v>
      </c>
      <c r="C102" s="8" t="s">
        <v>195</v>
      </c>
      <c r="D102" s="5" t="str">
        <f>LRTRIM(CONCATENATE(IF(SUMPRODUCT(-- ISNUMBER(SEARCH({"Auto Number"}, $B102))) &gt; 0, $B102, IF(SUMPRODUCT(-- ISNUMBER(SEARCH({"Lookup","Master-Detail"}, $B102))) &gt; 0,$B102 &amp; "(" &amp; $E102 &amp; ")",IF(SUMPRODUCT(-- ISNUMBER(SEARCH({"Formula","Roll-Up Summary"}, $B102))) &gt; 0,$B102 &amp; " (" &amp; $E102 &amp; ")",IF(SUMPRODUCT(-- ISNUMBER(SEARCH({"Content","Currency","Number","Percent","Text","URL"}, $B102))) &gt; 0,$B102 &amp; "(" &amp; $C102 &amp; ")",$B102)))), "  ", TRIM(IF($S102 = "YES", "(External ID)", "") &amp; " " &amp; IF(SUMPRODUCT(-- ISNUMBER(SEARCH({"Unique","Unique Case Insensitive"}, $R102))) &gt; 0, "(" &amp; $R102 &amp; ")", ""))))</f>
        <v>na</v>
      </c>
      <c r="E102" s="7" t="s">
        <v>195</v>
      </c>
      <c r="F102" s="7" t="s">
        <v>195</v>
      </c>
      <c r="G102" s="7" t="s">
        <v>195</v>
      </c>
      <c r="H102" s="7" t="s">
        <v>195</v>
      </c>
      <c r="I102" s="7" t="s">
        <v>195</v>
      </c>
      <c r="J102" s="7" t="s">
        <v>195</v>
      </c>
      <c r="K102" s="7" t="s">
        <v>195</v>
      </c>
      <c r="L102" s="7" t="s">
        <v>195</v>
      </c>
      <c r="M102" s="7" t="s">
        <v>29</v>
      </c>
      <c r="N102" s="7" t="s">
        <v>29</v>
      </c>
      <c r="O102" s="7" t="s">
        <v>29</v>
      </c>
      <c r="P102" s="7" t="s">
        <v>29</v>
      </c>
      <c r="Q102" s="7" t="s">
        <v>29</v>
      </c>
      <c r="R102" s="7" t="s">
        <v>29</v>
      </c>
      <c r="S102" s="7" t="s">
        <v>29</v>
      </c>
    </row>
    <row r="103" spans="2:19">
      <c r="B103" s="7" t="s">
        <v>195</v>
      </c>
      <c r="C103" s="8" t="s">
        <v>195</v>
      </c>
      <c r="D103" s="5" t="str">
        <f>LRTRIM(CONCATENATE(IF(SUMPRODUCT(-- ISNUMBER(SEARCH({"Auto Number"}, $B103))) &gt; 0, $B103, IF(SUMPRODUCT(-- ISNUMBER(SEARCH({"Lookup","Master-Detail"}, $B103))) &gt; 0,$B103 &amp; "(" &amp; $E103 &amp; ")",IF(SUMPRODUCT(-- ISNUMBER(SEARCH({"Formula","Roll-Up Summary"}, $B103))) &gt; 0,$B103 &amp; " (" &amp; $E103 &amp; ")",IF(SUMPRODUCT(-- ISNUMBER(SEARCH({"Content","Currency","Number","Percent","Text","URL"}, $B103))) &gt; 0,$B103 &amp; "(" &amp; $C103 &amp; ")",$B103)))), "  ", TRIM(IF($S103 = "YES", "(External ID)", "") &amp; " " &amp; IF(SUMPRODUCT(-- ISNUMBER(SEARCH({"Unique","Unique Case Insensitive"}, $R103))) &gt; 0, "(" &amp; $R103 &amp; ")", ""))))</f>
        <v>na</v>
      </c>
      <c r="E103" s="7" t="s">
        <v>195</v>
      </c>
      <c r="F103" s="7" t="s">
        <v>195</v>
      </c>
      <c r="G103" s="7" t="s">
        <v>195</v>
      </c>
      <c r="H103" s="7" t="s">
        <v>195</v>
      </c>
      <c r="I103" s="7" t="s">
        <v>195</v>
      </c>
      <c r="J103" s="7" t="s">
        <v>195</v>
      </c>
      <c r="K103" s="7" t="s">
        <v>195</v>
      </c>
      <c r="L103" s="7" t="s">
        <v>195</v>
      </c>
      <c r="M103" s="7" t="s">
        <v>29</v>
      </c>
      <c r="N103" s="7" t="s">
        <v>29</v>
      </c>
      <c r="O103" s="7" t="s">
        <v>29</v>
      </c>
      <c r="P103" s="7" t="s">
        <v>29</v>
      </c>
      <c r="Q103" s="7" t="s">
        <v>29</v>
      </c>
      <c r="R103" s="7" t="s">
        <v>29</v>
      </c>
      <c r="S103" s="7" t="s">
        <v>29</v>
      </c>
    </row>
    <row r="104" spans="2:19">
      <c r="B104" s="7" t="s">
        <v>195</v>
      </c>
      <c r="C104" s="8" t="s">
        <v>195</v>
      </c>
      <c r="D104" s="5" t="str">
        <f>LRTRIM(CONCATENATE(IF(SUMPRODUCT(-- ISNUMBER(SEARCH({"Auto Number"}, $B104))) &gt; 0, $B104, IF(SUMPRODUCT(-- ISNUMBER(SEARCH({"Lookup","Master-Detail"}, $B104))) &gt; 0,$B104 &amp; "(" &amp; $E104 &amp; ")",IF(SUMPRODUCT(-- ISNUMBER(SEARCH({"Formula","Roll-Up Summary"}, $B104))) &gt; 0,$B104 &amp; " (" &amp; $E104 &amp; ")",IF(SUMPRODUCT(-- ISNUMBER(SEARCH({"Content","Currency","Number","Percent","Text","URL"}, $B104))) &gt; 0,$B104 &amp; "(" &amp; $C104 &amp; ")",$B104)))), "  ", TRIM(IF($S104 = "YES", "(External ID)", "") &amp; " " &amp; IF(SUMPRODUCT(-- ISNUMBER(SEARCH({"Unique","Unique Case Insensitive"}, $R104))) &gt; 0, "(" &amp; $R104 &amp; ")", ""))))</f>
        <v>na</v>
      </c>
      <c r="E104" s="7" t="s">
        <v>195</v>
      </c>
      <c r="F104" s="7" t="s">
        <v>195</v>
      </c>
      <c r="G104" s="7" t="s">
        <v>195</v>
      </c>
      <c r="H104" s="7" t="s">
        <v>195</v>
      </c>
      <c r="I104" s="7" t="s">
        <v>195</v>
      </c>
      <c r="J104" s="7" t="s">
        <v>195</v>
      </c>
      <c r="K104" s="7" t="s">
        <v>195</v>
      </c>
      <c r="L104" s="7" t="s">
        <v>195</v>
      </c>
      <c r="M104" s="7" t="s">
        <v>29</v>
      </c>
      <c r="N104" s="7" t="s">
        <v>29</v>
      </c>
      <c r="O104" s="7" t="s">
        <v>29</v>
      </c>
      <c r="P104" s="7" t="s">
        <v>29</v>
      </c>
      <c r="Q104" s="7" t="s">
        <v>29</v>
      </c>
      <c r="R104" s="7" t="s">
        <v>29</v>
      </c>
      <c r="S104" s="7" t="s">
        <v>29</v>
      </c>
    </row>
    <row r="105" spans="2:19">
      <c r="B105" s="7" t="s">
        <v>195</v>
      </c>
      <c r="C105" s="8" t="s">
        <v>195</v>
      </c>
      <c r="D105" s="5" t="str">
        <f>LRTRIM(CONCATENATE(IF(SUMPRODUCT(-- ISNUMBER(SEARCH({"Auto Number"}, $B105))) &gt; 0, $B105, IF(SUMPRODUCT(-- ISNUMBER(SEARCH({"Lookup","Master-Detail"}, $B105))) &gt; 0,$B105 &amp; "(" &amp; $E105 &amp; ")",IF(SUMPRODUCT(-- ISNUMBER(SEARCH({"Formula","Roll-Up Summary"}, $B105))) &gt; 0,$B105 &amp; " (" &amp; $E105 &amp; ")",IF(SUMPRODUCT(-- ISNUMBER(SEARCH({"Content","Currency","Number","Percent","Text","URL"}, $B105))) &gt; 0,$B105 &amp; "(" &amp; $C105 &amp; ")",$B105)))), "  ", TRIM(IF($S105 = "YES", "(External ID)", "") &amp; " " &amp; IF(SUMPRODUCT(-- ISNUMBER(SEARCH({"Unique","Unique Case Insensitive"}, $R105))) &gt; 0, "(" &amp; $R105 &amp; ")", ""))))</f>
        <v>na</v>
      </c>
      <c r="E105" s="7" t="s">
        <v>195</v>
      </c>
      <c r="F105" s="7" t="s">
        <v>195</v>
      </c>
      <c r="G105" s="7" t="s">
        <v>195</v>
      </c>
      <c r="H105" s="7" t="s">
        <v>195</v>
      </c>
      <c r="I105" s="7" t="s">
        <v>195</v>
      </c>
      <c r="J105" s="7" t="s">
        <v>195</v>
      </c>
      <c r="K105" s="7" t="s">
        <v>195</v>
      </c>
      <c r="L105" s="7" t="s">
        <v>195</v>
      </c>
      <c r="M105" s="7" t="s">
        <v>29</v>
      </c>
      <c r="N105" s="7" t="s">
        <v>29</v>
      </c>
      <c r="O105" s="7" t="s">
        <v>29</v>
      </c>
      <c r="P105" s="7" t="s">
        <v>29</v>
      </c>
      <c r="Q105" s="7" t="s">
        <v>29</v>
      </c>
      <c r="R105" s="7" t="s">
        <v>29</v>
      </c>
      <c r="S105" s="7" t="s">
        <v>29</v>
      </c>
    </row>
    <row r="106" spans="2:19">
      <c r="B106" s="7" t="s">
        <v>195</v>
      </c>
      <c r="C106" s="8" t="s">
        <v>195</v>
      </c>
      <c r="D106" s="5" t="str">
        <f>LRTRIM(CONCATENATE(IF(SUMPRODUCT(-- ISNUMBER(SEARCH({"Auto Number"}, $B106))) &gt; 0, $B106, IF(SUMPRODUCT(-- ISNUMBER(SEARCH({"Lookup","Master-Detail"}, $B106))) &gt; 0,$B106 &amp; "(" &amp; $E106 &amp; ")",IF(SUMPRODUCT(-- ISNUMBER(SEARCH({"Formula","Roll-Up Summary"}, $B106))) &gt; 0,$B106 &amp; " (" &amp; $E106 &amp; ")",IF(SUMPRODUCT(-- ISNUMBER(SEARCH({"Content","Currency","Number","Percent","Text","URL"}, $B106))) &gt; 0,$B106 &amp; "(" &amp; $C106 &amp; ")",$B106)))), "  ", TRIM(IF($S106 = "YES", "(External ID)", "") &amp; " " &amp; IF(SUMPRODUCT(-- ISNUMBER(SEARCH({"Unique","Unique Case Insensitive"}, $R106))) &gt; 0, "(" &amp; $R106 &amp; ")", ""))))</f>
        <v>na</v>
      </c>
      <c r="E106" s="7" t="s">
        <v>195</v>
      </c>
      <c r="F106" s="7" t="s">
        <v>195</v>
      </c>
      <c r="G106" s="7" t="s">
        <v>195</v>
      </c>
      <c r="H106" s="7" t="s">
        <v>195</v>
      </c>
      <c r="I106" s="7" t="s">
        <v>195</v>
      </c>
      <c r="J106" s="7" t="s">
        <v>195</v>
      </c>
      <c r="K106" s="7" t="s">
        <v>195</v>
      </c>
      <c r="L106" s="7" t="s">
        <v>195</v>
      </c>
      <c r="M106" s="7" t="s">
        <v>29</v>
      </c>
      <c r="N106" s="7" t="s">
        <v>29</v>
      </c>
      <c r="O106" s="7" t="s">
        <v>29</v>
      </c>
      <c r="P106" s="7" t="s">
        <v>29</v>
      </c>
      <c r="Q106" s="7" t="s">
        <v>29</v>
      </c>
      <c r="R106" s="7" t="s">
        <v>29</v>
      </c>
      <c r="S106" s="7" t="s">
        <v>29</v>
      </c>
    </row>
    <row r="107" spans="2:19">
      <c r="B107" s="7" t="s">
        <v>195</v>
      </c>
      <c r="C107" s="8" t="s">
        <v>195</v>
      </c>
      <c r="D107" s="5" t="str">
        <f>LRTRIM(CONCATENATE(IF(SUMPRODUCT(-- ISNUMBER(SEARCH({"Auto Number"}, $B107))) &gt; 0, $B107, IF(SUMPRODUCT(-- ISNUMBER(SEARCH({"Lookup","Master-Detail"}, $B107))) &gt; 0,$B107 &amp; "(" &amp; $E107 &amp; ")",IF(SUMPRODUCT(-- ISNUMBER(SEARCH({"Formula","Roll-Up Summary"}, $B107))) &gt; 0,$B107 &amp; " (" &amp; $E107 &amp; ")",IF(SUMPRODUCT(-- ISNUMBER(SEARCH({"Content","Currency","Number","Percent","Text","URL"}, $B107))) &gt; 0,$B107 &amp; "(" &amp; $C107 &amp; ")",$B107)))), "  ", TRIM(IF($S107 = "YES", "(External ID)", "") &amp; " " &amp; IF(SUMPRODUCT(-- ISNUMBER(SEARCH({"Unique","Unique Case Insensitive"}, $R107))) &gt; 0, "(" &amp; $R107 &amp; ")", ""))))</f>
        <v>na</v>
      </c>
      <c r="E107" s="7" t="s">
        <v>195</v>
      </c>
      <c r="F107" s="7" t="s">
        <v>195</v>
      </c>
      <c r="G107" s="7" t="s">
        <v>195</v>
      </c>
      <c r="H107" s="7" t="s">
        <v>195</v>
      </c>
      <c r="I107" s="7" t="s">
        <v>195</v>
      </c>
      <c r="J107" s="7" t="s">
        <v>195</v>
      </c>
      <c r="K107" s="7" t="s">
        <v>195</v>
      </c>
      <c r="L107" s="7" t="s">
        <v>195</v>
      </c>
      <c r="M107" s="7" t="s">
        <v>29</v>
      </c>
      <c r="N107" s="7" t="s">
        <v>29</v>
      </c>
      <c r="O107" s="7" t="s">
        <v>29</v>
      </c>
      <c r="P107" s="7" t="s">
        <v>29</v>
      </c>
      <c r="Q107" s="7" t="s">
        <v>29</v>
      </c>
      <c r="R107" s="7" t="s">
        <v>29</v>
      </c>
      <c r="S107" s="7" t="s">
        <v>29</v>
      </c>
    </row>
    <row r="108" spans="2:19">
      <c r="B108" s="7" t="s">
        <v>195</v>
      </c>
      <c r="C108" s="8" t="s">
        <v>195</v>
      </c>
      <c r="D108" s="5" t="str">
        <f>LRTRIM(CONCATENATE(IF(SUMPRODUCT(-- ISNUMBER(SEARCH({"Auto Number"}, $B108))) &gt; 0, $B108, IF(SUMPRODUCT(-- ISNUMBER(SEARCH({"Lookup","Master-Detail"}, $B108))) &gt; 0,$B108 &amp; "(" &amp; $E108 &amp; ")",IF(SUMPRODUCT(-- ISNUMBER(SEARCH({"Formula","Roll-Up Summary"}, $B108))) &gt; 0,$B108 &amp; " (" &amp; $E108 &amp; ")",IF(SUMPRODUCT(-- ISNUMBER(SEARCH({"Content","Currency","Number","Percent","Text","URL"}, $B108))) &gt; 0,$B108 &amp; "(" &amp; $C108 &amp; ")",$B108)))), "  ", TRIM(IF($S108 = "YES", "(External ID)", "") &amp; " " &amp; IF(SUMPRODUCT(-- ISNUMBER(SEARCH({"Unique","Unique Case Insensitive"}, $R108))) &gt; 0, "(" &amp; $R108 &amp; ")", ""))))</f>
        <v>na</v>
      </c>
      <c r="E108" s="7" t="s">
        <v>195</v>
      </c>
      <c r="F108" s="7" t="s">
        <v>195</v>
      </c>
      <c r="G108" s="7" t="s">
        <v>195</v>
      </c>
      <c r="H108" s="7" t="s">
        <v>195</v>
      </c>
      <c r="I108" s="7" t="s">
        <v>195</v>
      </c>
      <c r="J108" s="7" t="s">
        <v>195</v>
      </c>
      <c r="K108" s="7" t="s">
        <v>195</v>
      </c>
      <c r="L108" s="7" t="s">
        <v>195</v>
      </c>
      <c r="M108" s="7" t="s">
        <v>29</v>
      </c>
      <c r="N108" s="7" t="s">
        <v>29</v>
      </c>
      <c r="O108" s="7" t="s">
        <v>29</v>
      </c>
      <c r="P108" s="7" t="s">
        <v>29</v>
      </c>
      <c r="Q108" s="7" t="s">
        <v>29</v>
      </c>
      <c r="R108" s="7" t="s">
        <v>29</v>
      </c>
      <c r="S108" s="7" t="s">
        <v>29</v>
      </c>
    </row>
    <row r="109" spans="2:19">
      <c r="B109" s="7" t="s">
        <v>195</v>
      </c>
      <c r="C109" s="8" t="s">
        <v>195</v>
      </c>
      <c r="D109" s="5" t="str">
        <f>LRTRIM(CONCATENATE(IF(SUMPRODUCT(-- ISNUMBER(SEARCH({"Auto Number"}, $B109))) &gt; 0, $B109, IF(SUMPRODUCT(-- ISNUMBER(SEARCH({"Lookup","Master-Detail"}, $B109))) &gt; 0,$B109 &amp; "(" &amp; $E109 &amp; ")",IF(SUMPRODUCT(-- ISNUMBER(SEARCH({"Formula","Roll-Up Summary"}, $B109))) &gt; 0,$B109 &amp; " (" &amp; $E109 &amp; ")",IF(SUMPRODUCT(-- ISNUMBER(SEARCH({"Content","Currency","Number","Percent","Text","URL"}, $B109))) &gt; 0,$B109 &amp; "(" &amp; $C109 &amp; ")",$B109)))), "  ", TRIM(IF($S109 = "YES", "(External ID)", "") &amp; " " &amp; IF(SUMPRODUCT(-- ISNUMBER(SEARCH({"Unique","Unique Case Insensitive"}, $R109))) &gt; 0, "(" &amp; $R109 &amp; ")", ""))))</f>
        <v>na</v>
      </c>
      <c r="E109" s="7" t="s">
        <v>195</v>
      </c>
      <c r="F109" s="7" t="s">
        <v>195</v>
      </c>
      <c r="G109" s="7" t="s">
        <v>195</v>
      </c>
      <c r="H109" s="7" t="s">
        <v>195</v>
      </c>
      <c r="I109" s="7" t="s">
        <v>195</v>
      </c>
      <c r="J109" s="7" t="s">
        <v>195</v>
      </c>
      <c r="K109" s="7" t="s">
        <v>195</v>
      </c>
      <c r="L109" s="7" t="s">
        <v>195</v>
      </c>
      <c r="M109" s="7" t="s">
        <v>29</v>
      </c>
      <c r="N109" s="7" t="s">
        <v>29</v>
      </c>
      <c r="O109" s="7" t="s">
        <v>29</v>
      </c>
      <c r="P109" s="7" t="s">
        <v>29</v>
      </c>
      <c r="Q109" s="7" t="s">
        <v>29</v>
      </c>
      <c r="R109" s="7" t="s">
        <v>29</v>
      </c>
      <c r="S109" s="7" t="s">
        <v>29</v>
      </c>
    </row>
    <row r="110" spans="2:19">
      <c r="B110" s="7" t="s">
        <v>195</v>
      </c>
      <c r="C110" s="8" t="s">
        <v>195</v>
      </c>
      <c r="D110" s="5" t="str">
        <f>LRTRIM(CONCATENATE(IF(SUMPRODUCT(-- ISNUMBER(SEARCH({"Auto Number"}, $B110))) &gt; 0, $B110, IF(SUMPRODUCT(-- ISNUMBER(SEARCH({"Lookup","Master-Detail"}, $B110))) &gt; 0,$B110 &amp; "(" &amp; $E110 &amp; ")",IF(SUMPRODUCT(-- ISNUMBER(SEARCH({"Formula","Roll-Up Summary"}, $B110))) &gt; 0,$B110 &amp; " (" &amp; $E110 &amp; ")",IF(SUMPRODUCT(-- ISNUMBER(SEARCH({"Content","Currency","Number","Percent","Text","URL"}, $B110))) &gt; 0,$B110 &amp; "(" &amp; $C110 &amp; ")",$B110)))), "  ", TRIM(IF($S110 = "YES", "(External ID)", "") &amp; " " &amp; IF(SUMPRODUCT(-- ISNUMBER(SEARCH({"Unique","Unique Case Insensitive"}, $R110))) &gt; 0, "(" &amp; $R110 &amp; ")", ""))))</f>
        <v>na</v>
      </c>
      <c r="E110" s="7" t="s">
        <v>195</v>
      </c>
      <c r="F110" s="7" t="s">
        <v>195</v>
      </c>
      <c r="G110" s="7" t="s">
        <v>195</v>
      </c>
      <c r="H110" s="7" t="s">
        <v>195</v>
      </c>
      <c r="I110" s="7" t="s">
        <v>195</v>
      </c>
      <c r="J110" s="7" t="s">
        <v>195</v>
      </c>
      <c r="K110" s="7" t="s">
        <v>195</v>
      </c>
      <c r="L110" s="7" t="s">
        <v>195</v>
      </c>
      <c r="M110" s="7" t="s">
        <v>29</v>
      </c>
      <c r="N110" s="7" t="s">
        <v>29</v>
      </c>
      <c r="O110" s="7" t="s">
        <v>29</v>
      </c>
      <c r="P110" s="7" t="s">
        <v>29</v>
      </c>
      <c r="Q110" s="7" t="s">
        <v>29</v>
      </c>
      <c r="R110" s="7" t="s">
        <v>29</v>
      </c>
      <c r="S110" s="7" t="s">
        <v>29</v>
      </c>
    </row>
    <row r="111" spans="2:19">
      <c r="B111" s="7" t="s">
        <v>195</v>
      </c>
      <c r="C111" s="8" t="s">
        <v>195</v>
      </c>
      <c r="D111" s="5" t="str">
        <f>LRTRIM(CONCATENATE(IF(SUMPRODUCT(-- ISNUMBER(SEARCH({"Auto Number"}, $B111))) &gt; 0, $B111, IF(SUMPRODUCT(-- ISNUMBER(SEARCH({"Lookup","Master-Detail"}, $B111))) &gt; 0,$B111 &amp; "(" &amp; $E111 &amp; ")",IF(SUMPRODUCT(-- ISNUMBER(SEARCH({"Formula","Roll-Up Summary"}, $B111))) &gt; 0,$B111 &amp; " (" &amp; $E111 &amp; ")",IF(SUMPRODUCT(-- ISNUMBER(SEARCH({"Content","Currency","Number","Percent","Text","URL"}, $B111))) &gt; 0,$B111 &amp; "(" &amp; $C111 &amp; ")",$B111)))), "  ", TRIM(IF($S111 = "YES", "(External ID)", "") &amp; " " &amp; IF(SUMPRODUCT(-- ISNUMBER(SEARCH({"Unique","Unique Case Insensitive"}, $R111))) &gt; 0, "(" &amp; $R111 &amp; ")", ""))))</f>
        <v>na</v>
      </c>
      <c r="E111" s="7" t="s">
        <v>195</v>
      </c>
      <c r="F111" s="7" t="s">
        <v>195</v>
      </c>
      <c r="G111" s="7" t="s">
        <v>195</v>
      </c>
      <c r="H111" s="7" t="s">
        <v>195</v>
      </c>
      <c r="I111" s="7" t="s">
        <v>195</v>
      </c>
      <c r="J111" s="7" t="s">
        <v>195</v>
      </c>
      <c r="K111" s="7" t="s">
        <v>195</v>
      </c>
      <c r="L111" s="7" t="s">
        <v>195</v>
      </c>
      <c r="M111" s="7" t="s">
        <v>29</v>
      </c>
      <c r="N111" s="7" t="s">
        <v>29</v>
      </c>
      <c r="O111" s="7" t="s">
        <v>29</v>
      </c>
      <c r="P111" s="7" t="s">
        <v>29</v>
      </c>
      <c r="Q111" s="7" t="s">
        <v>29</v>
      </c>
      <c r="R111" s="7" t="s">
        <v>29</v>
      </c>
      <c r="S111" s="7" t="s">
        <v>29</v>
      </c>
    </row>
    <row r="112" spans="2:19">
      <c r="B112" s="7" t="s">
        <v>195</v>
      </c>
      <c r="C112" s="8" t="s">
        <v>195</v>
      </c>
      <c r="D112" s="5" t="str">
        <f>LRTRIM(CONCATENATE(IF(SUMPRODUCT(-- ISNUMBER(SEARCH({"Auto Number"}, $B112))) &gt; 0, $B112, IF(SUMPRODUCT(-- ISNUMBER(SEARCH({"Lookup","Master-Detail"}, $B112))) &gt; 0,$B112 &amp; "(" &amp; $E112 &amp; ")",IF(SUMPRODUCT(-- ISNUMBER(SEARCH({"Formula","Roll-Up Summary"}, $B112))) &gt; 0,$B112 &amp; " (" &amp; $E112 &amp; ")",IF(SUMPRODUCT(-- ISNUMBER(SEARCH({"Content","Currency","Number","Percent","Text","URL"}, $B112))) &gt; 0,$B112 &amp; "(" &amp; $C112 &amp; ")",$B112)))), "  ", TRIM(IF($S112 = "YES", "(External ID)", "") &amp; " " &amp; IF(SUMPRODUCT(-- ISNUMBER(SEARCH({"Unique","Unique Case Insensitive"}, $R112))) &gt; 0, "(" &amp; $R112 &amp; ")", ""))))</f>
        <v>na</v>
      </c>
      <c r="E112" s="7" t="s">
        <v>195</v>
      </c>
      <c r="F112" s="7" t="s">
        <v>195</v>
      </c>
      <c r="G112" s="7" t="s">
        <v>195</v>
      </c>
      <c r="H112" s="7" t="s">
        <v>195</v>
      </c>
      <c r="I112" s="7" t="s">
        <v>195</v>
      </c>
      <c r="J112" s="7" t="s">
        <v>195</v>
      </c>
      <c r="K112" s="7" t="s">
        <v>195</v>
      </c>
      <c r="L112" s="7" t="s">
        <v>195</v>
      </c>
      <c r="M112" s="7" t="s">
        <v>29</v>
      </c>
      <c r="N112" s="7" t="s">
        <v>29</v>
      </c>
      <c r="O112" s="7" t="s">
        <v>29</v>
      </c>
      <c r="P112" s="7" t="s">
        <v>29</v>
      </c>
      <c r="Q112" s="7" t="s">
        <v>29</v>
      </c>
      <c r="R112" s="7" t="s">
        <v>29</v>
      </c>
      <c r="S112" s="7" t="s">
        <v>29</v>
      </c>
    </row>
    <row r="113" spans="2:19">
      <c r="B113" s="7" t="s">
        <v>195</v>
      </c>
      <c r="C113" s="8" t="s">
        <v>195</v>
      </c>
      <c r="D113" s="5" t="str">
        <f>LRTRIM(CONCATENATE(IF(SUMPRODUCT(-- ISNUMBER(SEARCH({"Auto Number"}, $B113))) &gt; 0, $B113, IF(SUMPRODUCT(-- ISNUMBER(SEARCH({"Lookup","Master-Detail"}, $B113))) &gt; 0,$B113 &amp; "(" &amp; $E113 &amp; ")",IF(SUMPRODUCT(-- ISNUMBER(SEARCH({"Formula","Roll-Up Summary"}, $B113))) &gt; 0,$B113 &amp; " (" &amp; $E113 &amp; ")",IF(SUMPRODUCT(-- ISNUMBER(SEARCH({"Content","Currency","Number","Percent","Text","URL"}, $B113))) &gt; 0,$B113 &amp; "(" &amp; $C113 &amp; ")",$B113)))), "  ", TRIM(IF($S113 = "YES", "(External ID)", "") &amp; " " &amp; IF(SUMPRODUCT(-- ISNUMBER(SEARCH({"Unique","Unique Case Insensitive"}, $R113))) &gt; 0, "(" &amp; $R113 &amp; ")", ""))))</f>
        <v>na</v>
      </c>
      <c r="E113" s="7" t="s">
        <v>195</v>
      </c>
      <c r="F113" s="7" t="s">
        <v>195</v>
      </c>
      <c r="G113" s="7" t="s">
        <v>195</v>
      </c>
      <c r="H113" s="7" t="s">
        <v>195</v>
      </c>
      <c r="I113" s="7" t="s">
        <v>195</v>
      </c>
      <c r="J113" s="7" t="s">
        <v>195</v>
      </c>
      <c r="K113" s="7" t="s">
        <v>195</v>
      </c>
      <c r="L113" s="7" t="s">
        <v>195</v>
      </c>
      <c r="M113" s="7" t="s">
        <v>29</v>
      </c>
      <c r="N113" s="7" t="s">
        <v>29</v>
      </c>
      <c r="O113" s="7" t="s">
        <v>29</v>
      </c>
      <c r="P113" s="7" t="s">
        <v>29</v>
      </c>
      <c r="Q113" s="7" t="s">
        <v>29</v>
      </c>
      <c r="R113" s="7" t="s">
        <v>29</v>
      </c>
      <c r="S113" s="7" t="s">
        <v>29</v>
      </c>
    </row>
    <row r="114" spans="2:19">
      <c r="B114" s="7" t="s">
        <v>195</v>
      </c>
      <c r="C114" s="8" t="s">
        <v>195</v>
      </c>
      <c r="D114" s="5" t="str">
        <f>LRTRIM(CONCATENATE(IF(SUMPRODUCT(-- ISNUMBER(SEARCH({"Auto Number"}, $B114))) &gt; 0, $B114, IF(SUMPRODUCT(-- ISNUMBER(SEARCH({"Lookup","Master-Detail"}, $B114))) &gt; 0,$B114 &amp; "(" &amp; $E114 &amp; ")",IF(SUMPRODUCT(-- ISNUMBER(SEARCH({"Formula","Roll-Up Summary"}, $B114))) &gt; 0,$B114 &amp; " (" &amp; $E114 &amp; ")",IF(SUMPRODUCT(-- ISNUMBER(SEARCH({"Content","Currency","Number","Percent","Text","URL"}, $B114))) &gt; 0,$B114 &amp; "(" &amp; $C114 &amp; ")",$B114)))), "  ", TRIM(IF($S114 = "YES", "(External ID)", "") &amp; " " &amp; IF(SUMPRODUCT(-- ISNUMBER(SEARCH({"Unique","Unique Case Insensitive"}, $R114))) &gt; 0, "(" &amp; $R114 &amp; ")", ""))))</f>
        <v>na</v>
      </c>
      <c r="E114" s="7" t="s">
        <v>195</v>
      </c>
      <c r="F114" s="7" t="s">
        <v>195</v>
      </c>
      <c r="G114" s="7" t="s">
        <v>195</v>
      </c>
      <c r="H114" s="7" t="s">
        <v>195</v>
      </c>
      <c r="I114" s="7" t="s">
        <v>195</v>
      </c>
      <c r="J114" s="7" t="s">
        <v>195</v>
      </c>
      <c r="K114" s="7" t="s">
        <v>195</v>
      </c>
      <c r="L114" s="7" t="s">
        <v>195</v>
      </c>
      <c r="M114" s="7" t="s">
        <v>29</v>
      </c>
      <c r="N114" s="7" t="s">
        <v>29</v>
      </c>
      <c r="O114" s="7" t="s">
        <v>29</v>
      </c>
      <c r="P114" s="7" t="s">
        <v>29</v>
      </c>
      <c r="Q114" s="7" t="s">
        <v>29</v>
      </c>
      <c r="R114" s="7" t="s">
        <v>29</v>
      </c>
      <c r="S114" s="7" t="s">
        <v>29</v>
      </c>
    </row>
    <row r="115" spans="2:19">
      <c r="B115" s="7" t="s">
        <v>195</v>
      </c>
      <c r="C115" s="8" t="s">
        <v>195</v>
      </c>
      <c r="D115" s="5" t="str">
        <f>LRTRIM(CONCATENATE(IF(SUMPRODUCT(-- ISNUMBER(SEARCH({"Auto Number"}, $B115))) &gt; 0, $B115, IF(SUMPRODUCT(-- ISNUMBER(SEARCH({"Lookup","Master-Detail"}, $B115))) &gt; 0,$B115 &amp; "(" &amp; $E115 &amp; ")",IF(SUMPRODUCT(-- ISNUMBER(SEARCH({"Formula","Roll-Up Summary"}, $B115))) &gt; 0,$B115 &amp; " (" &amp; $E115 &amp; ")",IF(SUMPRODUCT(-- ISNUMBER(SEARCH({"Content","Currency","Number","Percent","Text","URL"}, $B115))) &gt; 0,$B115 &amp; "(" &amp; $C115 &amp; ")",$B115)))), "  ", TRIM(IF($S115 = "YES", "(External ID)", "") &amp; " " &amp; IF(SUMPRODUCT(-- ISNUMBER(SEARCH({"Unique","Unique Case Insensitive"}, $R115))) &gt; 0, "(" &amp; $R115 &amp; ")", ""))))</f>
        <v>na</v>
      </c>
      <c r="E115" s="7" t="s">
        <v>195</v>
      </c>
      <c r="F115" s="7" t="s">
        <v>195</v>
      </c>
      <c r="G115" s="7" t="s">
        <v>195</v>
      </c>
      <c r="H115" s="7" t="s">
        <v>195</v>
      </c>
      <c r="I115" s="7" t="s">
        <v>195</v>
      </c>
      <c r="J115" s="7" t="s">
        <v>195</v>
      </c>
      <c r="K115" s="7" t="s">
        <v>195</v>
      </c>
      <c r="L115" s="7" t="s">
        <v>195</v>
      </c>
      <c r="M115" s="7" t="s">
        <v>29</v>
      </c>
      <c r="N115" s="7" t="s">
        <v>29</v>
      </c>
      <c r="O115" s="7" t="s">
        <v>29</v>
      </c>
      <c r="P115" s="7" t="s">
        <v>29</v>
      </c>
      <c r="Q115" s="7" t="s">
        <v>29</v>
      </c>
      <c r="R115" s="7" t="s">
        <v>29</v>
      </c>
      <c r="S115" s="7" t="s">
        <v>29</v>
      </c>
    </row>
    <row r="116" spans="2:19">
      <c r="B116" s="7" t="s">
        <v>195</v>
      </c>
      <c r="C116" s="8" t="s">
        <v>195</v>
      </c>
      <c r="D116" s="5" t="str">
        <f>LRTRIM(CONCATENATE(IF(SUMPRODUCT(-- ISNUMBER(SEARCH({"Auto Number"}, $B116))) &gt; 0, $B116, IF(SUMPRODUCT(-- ISNUMBER(SEARCH({"Lookup","Master-Detail"}, $B116))) &gt; 0,$B116 &amp; "(" &amp; $E116 &amp; ")",IF(SUMPRODUCT(-- ISNUMBER(SEARCH({"Formula","Roll-Up Summary"}, $B116))) &gt; 0,$B116 &amp; " (" &amp; $E116 &amp; ")",IF(SUMPRODUCT(-- ISNUMBER(SEARCH({"Content","Currency","Number","Percent","Text","URL"}, $B116))) &gt; 0,$B116 &amp; "(" &amp; $C116 &amp; ")",$B116)))), "  ", TRIM(IF($S116 = "YES", "(External ID)", "") &amp; " " &amp; IF(SUMPRODUCT(-- ISNUMBER(SEARCH({"Unique","Unique Case Insensitive"}, $R116))) &gt; 0, "(" &amp; $R116 &amp; ")", ""))))</f>
        <v>na</v>
      </c>
      <c r="E116" s="7" t="s">
        <v>195</v>
      </c>
      <c r="F116" s="7" t="s">
        <v>195</v>
      </c>
      <c r="G116" s="7" t="s">
        <v>195</v>
      </c>
      <c r="H116" s="7" t="s">
        <v>195</v>
      </c>
      <c r="I116" s="7" t="s">
        <v>195</v>
      </c>
      <c r="J116" s="7" t="s">
        <v>195</v>
      </c>
      <c r="K116" s="7" t="s">
        <v>195</v>
      </c>
      <c r="L116" s="7" t="s">
        <v>195</v>
      </c>
      <c r="M116" s="7" t="s">
        <v>29</v>
      </c>
      <c r="N116" s="7" t="s">
        <v>29</v>
      </c>
      <c r="O116" s="7" t="s">
        <v>29</v>
      </c>
      <c r="P116" s="7" t="s">
        <v>29</v>
      </c>
      <c r="Q116" s="7" t="s">
        <v>29</v>
      </c>
      <c r="R116" s="7" t="s">
        <v>29</v>
      </c>
      <c r="S116" s="7" t="s">
        <v>29</v>
      </c>
    </row>
    <row r="117" spans="2:19">
      <c r="B117" s="7" t="s">
        <v>195</v>
      </c>
      <c r="C117" s="8" t="s">
        <v>195</v>
      </c>
      <c r="D117" s="5" t="str">
        <f>LRTRIM(CONCATENATE(IF(SUMPRODUCT(-- ISNUMBER(SEARCH({"Auto Number"}, $B117))) &gt; 0, $B117, IF(SUMPRODUCT(-- ISNUMBER(SEARCH({"Lookup","Master-Detail"}, $B117))) &gt; 0,$B117 &amp; "(" &amp; $E117 &amp; ")",IF(SUMPRODUCT(-- ISNUMBER(SEARCH({"Formula","Roll-Up Summary"}, $B117))) &gt; 0,$B117 &amp; " (" &amp; $E117 &amp; ")",IF(SUMPRODUCT(-- ISNUMBER(SEARCH({"Content","Currency","Number","Percent","Text","URL"}, $B117))) &gt; 0,$B117 &amp; "(" &amp; $C117 &amp; ")",$B117)))), "  ", TRIM(IF($S117 = "YES", "(External ID)", "") &amp; " " &amp; IF(SUMPRODUCT(-- ISNUMBER(SEARCH({"Unique","Unique Case Insensitive"}, $R117))) &gt; 0, "(" &amp; $R117 &amp; ")", ""))))</f>
        <v>na</v>
      </c>
      <c r="E117" s="7" t="s">
        <v>195</v>
      </c>
      <c r="F117" s="7" t="s">
        <v>195</v>
      </c>
      <c r="G117" s="7" t="s">
        <v>195</v>
      </c>
      <c r="H117" s="7" t="s">
        <v>195</v>
      </c>
      <c r="I117" s="7" t="s">
        <v>195</v>
      </c>
      <c r="J117" s="7" t="s">
        <v>195</v>
      </c>
      <c r="K117" s="7" t="s">
        <v>195</v>
      </c>
      <c r="L117" s="7" t="s">
        <v>195</v>
      </c>
      <c r="M117" s="7" t="s">
        <v>29</v>
      </c>
      <c r="N117" s="7" t="s">
        <v>29</v>
      </c>
      <c r="O117" s="7" t="s">
        <v>29</v>
      </c>
      <c r="P117" s="7" t="s">
        <v>29</v>
      </c>
      <c r="Q117" s="7" t="s">
        <v>29</v>
      </c>
      <c r="R117" s="7" t="s">
        <v>29</v>
      </c>
      <c r="S117" s="7" t="s">
        <v>29</v>
      </c>
    </row>
    <row r="118" spans="2:19">
      <c r="B118" s="7" t="s">
        <v>195</v>
      </c>
      <c r="C118" s="8" t="s">
        <v>195</v>
      </c>
      <c r="D118" s="5" t="str">
        <f>LRTRIM(CONCATENATE(IF(SUMPRODUCT(-- ISNUMBER(SEARCH({"Auto Number"}, $B118))) &gt; 0, $B118, IF(SUMPRODUCT(-- ISNUMBER(SEARCH({"Lookup","Master-Detail"}, $B118))) &gt; 0,$B118 &amp; "(" &amp; $E118 &amp; ")",IF(SUMPRODUCT(-- ISNUMBER(SEARCH({"Formula","Roll-Up Summary"}, $B118))) &gt; 0,$B118 &amp; " (" &amp; $E118 &amp; ")",IF(SUMPRODUCT(-- ISNUMBER(SEARCH({"Content","Currency","Number","Percent","Text","URL"}, $B118))) &gt; 0,$B118 &amp; "(" &amp; $C118 &amp; ")",$B118)))), "  ", TRIM(IF($S118 = "YES", "(External ID)", "") &amp; " " &amp; IF(SUMPRODUCT(-- ISNUMBER(SEARCH({"Unique","Unique Case Insensitive"}, $R118))) &gt; 0, "(" &amp; $R118 &amp; ")", ""))))</f>
        <v>na</v>
      </c>
      <c r="E118" s="7" t="s">
        <v>195</v>
      </c>
      <c r="F118" s="7" t="s">
        <v>195</v>
      </c>
      <c r="G118" s="7" t="s">
        <v>195</v>
      </c>
      <c r="H118" s="7" t="s">
        <v>195</v>
      </c>
      <c r="I118" s="7" t="s">
        <v>195</v>
      </c>
      <c r="J118" s="7" t="s">
        <v>195</v>
      </c>
      <c r="K118" s="7" t="s">
        <v>195</v>
      </c>
      <c r="L118" s="7" t="s">
        <v>195</v>
      </c>
      <c r="M118" s="7" t="s">
        <v>29</v>
      </c>
      <c r="N118" s="7" t="s">
        <v>29</v>
      </c>
      <c r="O118" s="7" t="s">
        <v>29</v>
      </c>
      <c r="P118" s="7" t="s">
        <v>29</v>
      </c>
      <c r="Q118" s="7" t="s">
        <v>29</v>
      </c>
      <c r="R118" s="7" t="s">
        <v>29</v>
      </c>
      <c r="S118" s="7" t="s">
        <v>29</v>
      </c>
    </row>
    <row r="119" spans="2:19">
      <c r="B119" s="7" t="s">
        <v>195</v>
      </c>
      <c r="C119" s="8" t="s">
        <v>195</v>
      </c>
      <c r="D119" s="5" t="str">
        <f>LRTRIM(CONCATENATE(IF(SUMPRODUCT(-- ISNUMBER(SEARCH({"Auto Number"}, $B119))) &gt; 0, $B119, IF(SUMPRODUCT(-- ISNUMBER(SEARCH({"Lookup","Master-Detail"}, $B119))) &gt; 0,$B119 &amp; "(" &amp; $E119 &amp; ")",IF(SUMPRODUCT(-- ISNUMBER(SEARCH({"Formula","Roll-Up Summary"}, $B119))) &gt; 0,$B119 &amp; " (" &amp; $E119 &amp; ")",IF(SUMPRODUCT(-- ISNUMBER(SEARCH({"Content","Currency","Number","Percent","Text","URL"}, $B119))) &gt; 0,$B119 &amp; "(" &amp; $C119 &amp; ")",$B119)))), "  ", TRIM(IF($S119 = "YES", "(External ID)", "") &amp; " " &amp; IF(SUMPRODUCT(-- ISNUMBER(SEARCH({"Unique","Unique Case Insensitive"}, $R119))) &gt; 0, "(" &amp; $R119 &amp; ")", ""))))</f>
        <v>na</v>
      </c>
      <c r="E119" s="7" t="s">
        <v>195</v>
      </c>
      <c r="F119" s="7" t="s">
        <v>195</v>
      </c>
      <c r="G119" s="7" t="s">
        <v>195</v>
      </c>
      <c r="H119" s="7" t="s">
        <v>195</v>
      </c>
      <c r="I119" s="7" t="s">
        <v>195</v>
      </c>
      <c r="J119" s="7" t="s">
        <v>195</v>
      </c>
      <c r="K119" s="7" t="s">
        <v>195</v>
      </c>
      <c r="L119" s="7" t="s">
        <v>195</v>
      </c>
      <c r="M119" s="7" t="s">
        <v>29</v>
      </c>
      <c r="N119" s="7" t="s">
        <v>29</v>
      </c>
      <c r="O119" s="7" t="s">
        <v>29</v>
      </c>
      <c r="P119" s="7" t="s">
        <v>29</v>
      </c>
      <c r="Q119" s="7" t="s">
        <v>29</v>
      </c>
      <c r="R119" s="7" t="s">
        <v>29</v>
      </c>
      <c r="S119" s="7" t="s">
        <v>29</v>
      </c>
    </row>
    <row r="120" spans="2:19">
      <c r="B120" s="7" t="s">
        <v>195</v>
      </c>
      <c r="C120" s="8" t="s">
        <v>195</v>
      </c>
      <c r="D120" s="5" t="str">
        <f>LRTRIM(CONCATENATE(IF(SUMPRODUCT(-- ISNUMBER(SEARCH({"Auto Number"}, $B120))) &gt; 0, $B120, IF(SUMPRODUCT(-- ISNUMBER(SEARCH({"Lookup","Master-Detail"}, $B120))) &gt; 0,$B120 &amp; "(" &amp; $E120 &amp; ")",IF(SUMPRODUCT(-- ISNUMBER(SEARCH({"Formula","Roll-Up Summary"}, $B120))) &gt; 0,$B120 &amp; " (" &amp; $E120 &amp; ")",IF(SUMPRODUCT(-- ISNUMBER(SEARCH({"Content","Currency","Number","Percent","Text","URL"}, $B120))) &gt; 0,$B120 &amp; "(" &amp; $C120 &amp; ")",$B120)))), "  ", TRIM(IF($S120 = "YES", "(External ID)", "") &amp; " " &amp; IF(SUMPRODUCT(-- ISNUMBER(SEARCH({"Unique","Unique Case Insensitive"}, $R120))) &gt; 0, "(" &amp; $R120 &amp; ")", ""))))</f>
        <v>na</v>
      </c>
      <c r="E120" s="7" t="s">
        <v>195</v>
      </c>
      <c r="F120" s="7" t="s">
        <v>195</v>
      </c>
      <c r="G120" s="7" t="s">
        <v>195</v>
      </c>
      <c r="H120" s="7" t="s">
        <v>195</v>
      </c>
      <c r="I120" s="7" t="s">
        <v>195</v>
      </c>
      <c r="J120" s="7" t="s">
        <v>195</v>
      </c>
      <c r="K120" s="7" t="s">
        <v>195</v>
      </c>
      <c r="L120" s="7" t="s">
        <v>195</v>
      </c>
      <c r="M120" s="7" t="s">
        <v>29</v>
      </c>
      <c r="N120" s="7" t="s">
        <v>29</v>
      </c>
      <c r="O120" s="7" t="s">
        <v>29</v>
      </c>
      <c r="P120" s="7" t="s">
        <v>29</v>
      </c>
      <c r="Q120" s="7" t="s">
        <v>29</v>
      </c>
      <c r="R120" s="7" t="s">
        <v>29</v>
      </c>
      <c r="S120" s="7" t="s">
        <v>29</v>
      </c>
    </row>
    <row r="121" spans="2:19">
      <c r="B121" s="7" t="s">
        <v>195</v>
      </c>
      <c r="C121" s="8" t="s">
        <v>195</v>
      </c>
      <c r="D121" s="5" t="str">
        <f>LRTRIM(CONCATENATE(IF(SUMPRODUCT(-- ISNUMBER(SEARCH({"Auto Number"}, $B121))) &gt; 0, $B121, IF(SUMPRODUCT(-- ISNUMBER(SEARCH({"Lookup","Master-Detail"}, $B121))) &gt; 0,$B121 &amp; "(" &amp; $E121 &amp; ")",IF(SUMPRODUCT(-- ISNUMBER(SEARCH({"Formula","Roll-Up Summary"}, $B121))) &gt; 0,$B121 &amp; " (" &amp; $E121 &amp; ")",IF(SUMPRODUCT(-- ISNUMBER(SEARCH({"Content","Currency","Number","Percent","Text","URL"}, $B121))) &gt; 0,$B121 &amp; "(" &amp; $C121 &amp; ")",$B121)))), "  ", TRIM(IF($S121 = "YES", "(External ID)", "") &amp; " " &amp; IF(SUMPRODUCT(-- ISNUMBER(SEARCH({"Unique","Unique Case Insensitive"}, $R121))) &gt; 0, "(" &amp; $R121 &amp; ")", ""))))</f>
        <v>na</v>
      </c>
      <c r="E121" s="7" t="s">
        <v>195</v>
      </c>
      <c r="F121" s="7" t="s">
        <v>195</v>
      </c>
      <c r="G121" s="7" t="s">
        <v>195</v>
      </c>
      <c r="H121" s="7" t="s">
        <v>195</v>
      </c>
      <c r="I121" s="7" t="s">
        <v>195</v>
      </c>
      <c r="J121" s="7" t="s">
        <v>195</v>
      </c>
      <c r="K121" s="7" t="s">
        <v>195</v>
      </c>
      <c r="L121" s="7" t="s">
        <v>195</v>
      </c>
      <c r="M121" s="7" t="s">
        <v>29</v>
      </c>
      <c r="N121" s="7" t="s">
        <v>29</v>
      </c>
      <c r="O121" s="7" t="s">
        <v>29</v>
      </c>
      <c r="P121" s="7" t="s">
        <v>29</v>
      </c>
      <c r="Q121" s="7" t="s">
        <v>29</v>
      </c>
      <c r="R121" s="7" t="s">
        <v>29</v>
      </c>
      <c r="S121" s="7" t="s">
        <v>29</v>
      </c>
    </row>
    <row r="122" spans="2:19">
      <c r="B122" s="7" t="s">
        <v>195</v>
      </c>
      <c r="C122" s="8" t="s">
        <v>195</v>
      </c>
      <c r="D122" s="5" t="str">
        <f>LRTRIM(CONCATENATE(IF(SUMPRODUCT(-- ISNUMBER(SEARCH({"Auto Number"}, $B122))) &gt; 0, $B122, IF(SUMPRODUCT(-- ISNUMBER(SEARCH({"Lookup","Master-Detail"}, $B122))) &gt; 0,$B122 &amp; "(" &amp; $E122 &amp; ")",IF(SUMPRODUCT(-- ISNUMBER(SEARCH({"Formula","Roll-Up Summary"}, $B122))) &gt; 0,$B122 &amp; " (" &amp; $E122 &amp; ")",IF(SUMPRODUCT(-- ISNUMBER(SEARCH({"Content","Currency","Number","Percent","Text","URL"}, $B122))) &gt; 0,$B122 &amp; "(" &amp; $C122 &amp; ")",$B122)))), "  ", TRIM(IF($S122 = "YES", "(External ID)", "") &amp; " " &amp; IF(SUMPRODUCT(-- ISNUMBER(SEARCH({"Unique","Unique Case Insensitive"}, $R122))) &gt; 0, "(" &amp; $R122 &amp; ")", ""))))</f>
        <v>na</v>
      </c>
      <c r="E122" s="7" t="s">
        <v>195</v>
      </c>
      <c r="F122" s="7" t="s">
        <v>195</v>
      </c>
      <c r="G122" s="7" t="s">
        <v>195</v>
      </c>
      <c r="H122" s="7" t="s">
        <v>195</v>
      </c>
      <c r="I122" s="7" t="s">
        <v>195</v>
      </c>
      <c r="J122" s="7" t="s">
        <v>195</v>
      </c>
      <c r="K122" s="7" t="s">
        <v>195</v>
      </c>
      <c r="L122" s="7" t="s">
        <v>195</v>
      </c>
      <c r="M122" s="7" t="s">
        <v>29</v>
      </c>
      <c r="N122" s="7" t="s">
        <v>29</v>
      </c>
      <c r="O122" s="7" t="s">
        <v>29</v>
      </c>
      <c r="P122" s="7" t="s">
        <v>29</v>
      </c>
      <c r="Q122" s="7" t="s">
        <v>29</v>
      </c>
      <c r="R122" s="7" t="s">
        <v>29</v>
      </c>
      <c r="S122" s="7" t="s">
        <v>29</v>
      </c>
    </row>
    <row r="123" spans="2:19">
      <c r="B123" s="7" t="s">
        <v>195</v>
      </c>
      <c r="C123" s="8" t="s">
        <v>195</v>
      </c>
      <c r="D123" s="5" t="str">
        <f>LRTRIM(CONCATENATE(IF(SUMPRODUCT(-- ISNUMBER(SEARCH({"Auto Number"}, $B123))) &gt; 0, $B123, IF(SUMPRODUCT(-- ISNUMBER(SEARCH({"Lookup","Master-Detail"}, $B123))) &gt; 0,$B123 &amp; "(" &amp; $E123 &amp; ")",IF(SUMPRODUCT(-- ISNUMBER(SEARCH({"Formula","Roll-Up Summary"}, $B123))) &gt; 0,$B123 &amp; " (" &amp; $E123 &amp; ")",IF(SUMPRODUCT(-- ISNUMBER(SEARCH({"Content","Currency","Number","Percent","Text","URL"}, $B123))) &gt; 0,$B123 &amp; "(" &amp; $C123 &amp; ")",$B123)))), "  ", TRIM(IF($S123 = "YES", "(External ID)", "") &amp; " " &amp; IF(SUMPRODUCT(-- ISNUMBER(SEARCH({"Unique","Unique Case Insensitive"}, $R123))) &gt; 0, "(" &amp; $R123 &amp; ")", ""))))</f>
        <v>na</v>
      </c>
      <c r="E123" s="7" t="s">
        <v>195</v>
      </c>
      <c r="F123" s="7" t="s">
        <v>195</v>
      </c>
      <c r="G123" s="7" t="s">
        <v>195</v>
      </c>
      <c r="H123" s="7" t="s">
        <v>195</v>
      </c>
      <c r="I123" s="7" t="s">
        <v>195</v>
      </c>
      <c r="J123" s="7" t="s">
        <v>195</v>
      </c>
      <c r="K123" s="7" t="s">
        <v>195</v>
      </c>
      <c r="L123" s="7" t="s">
        <v>195</v>
      </c>
      <c r="M123" s="7" t="s">
        <v>29</v>
      </c>
      <c r="N123" s="7" t="s">
        <v>29</v>
      </c>
      <c r="O123" s="7" t="s">
        <v>29</v>
      </c>
      <c r="P123" s="7" t="s">
        <v>29</v>
      </c>
      <c r="Q123" s="7" t="s">
        <v>29</v>
      </c>
      <c r="R123" s="7" t="s">
        <v>29</v>
      </c>
      <c r="S123" s="7" t="s">
        <v>29</v>
      </c>
    </row>
    <row r="124" spans="2:19">
      <c r="B124" s="7" t="s">
        <v>195</v>
      </c>
      <c r="C124" s="8" t="s">
        <v>195</v>
      </c>
      <c r="D124" s="5" t="str">
        <f>LRTRIM(CONCATENATE(IF(SUMPRODUCT(-- ISNUMBER(SEARCH({"Auto Number"}, $B124))) &gt; 0, $B124, IF(SUMPRODUCT(-- ISNUMBER(SEARCH({"Lookup","Master-Detail"}, $B124))) &gt; 0,$B124 &amp; "(" &amp; $E124 &amp; ")",IF(SUMPRODUCT(-- ISNUMBER(SEARCH({"Formula","Roll-Up Summary"}, $B124))) &gt; 0,$B124 &amp; " (" &amp; $E124 &amp; ")",IF(SUMPRODUCT(-- ISNUMBER(SEARCH({"Content","Currency","Number","Percent","Text","URL"}, $B124))) &gt; 0,$B124 &amp; "(" &amp; $C124 &amp; ")",$B124)))), "  ", TRIM(IF($S124 = "YES", "(External ID)", "") &amp; " " &amp; IF(SUMPRODUCT(-- ISNUMBER(SEARCH({"Unique","Unique Case Insensitive"}, $R124))) &gt; 0, "(" &amp; $R124 &amp; ")", ""))))</f>
        <v>na</v>
      </c>
      <c r="E124" s="7" t="s">
        <v>195</v>
      </c>
      <c r="F124" s="7" t="s">
        <v>195</v>
      </c>
      <c r="G124" s="7" t="s">
        <v>195</v>
      </c>
      <c r="H124" s="7" t="s">
        <v>195</v>
      </c>
      <c r="I124" s="7" t="s">
        <v>195</v>
      </c>
      <c r="J124" s="7" t="s">
        <v>195</v>
      </c>
      <c r="K124" s="7" t="s">
        <v>195</v>
      </c>
      <c r="L124" s="7" t="s">
        <v>195</v>
      </c>
      <c r="M124" s="7" t="s">
        <v>29</v>
      </c>
      <c r="N124" s="7" t="s">
        <v>29</v>
      </c>
      <c r="O124" s="7" t="s">
        <v>29</v>
      </c>
      <c r="P124" s="7" t="s">
        <v>29</v>
      </c>
      <c r="Q124" s="7" t="s">
        <v>29</v>
      </c>
      <c r="R124" s="7" t="s">
        <v>29</v>
      </c>
      <c r="S124" s="7" t="s">
        <v>29</v>
      </c>
    </row>
    <row r="125" spans="2:19">
      <c r="B125" s="7" t="s">
        <v>195</v>
      </c>
      <c r="C125" s="8" t="s">
        <v>195</v>
      </c>
      <c r="D125" s="5" t="str">
        <f>LRTRIM(CONCATENATE(IF(SUMPRODUCT(-- ISNUMBER(SEARCH({"Auto Number"}, $B125))) &gt; 0, $B125, IF(SUMPRODUCT(-- ISNUMBER(SEARCH({"Lookup","Master-Detail"}, $B125))) &gt; 0,$B125 &amp; "(" &amp; $E125 &amp; ")",IF(SUMPRODUCT(-- ISNUMBER(SEARCH({"Formula","Roll-Up Summary"}, $B125))) &gt; 0,$B125 &amp; " (" &amp; $E125 &amp; ")",IF(SUMPRODUCT(-- ISNUMBER(SEARCH({"Content","Currency","Number","Percent","Text","URL"}, $B125))) &gt; 0,$B125 &amp; "(" &amp; $C125 &amp; ")",$B125)))), "  ", TRIM(IF($S125 = "YES", "(External ID)", "") &amp; " " &amp; IF(SUMPRODUCT(-- ISNUMBER(SEARCH({"Unique","Unique Case Insensitive"}, $R125))) &gt; 0, "(" &amp; $R125 &amp; ")", ""))))</f>
        <v>na</v>
      </c>
      <c r="E125" s="7" t="s">
        <v>195</v>
      </c>
      <c r="F125" s="7" t="s">
        <v>195</v>
      </c>
      <c r="G125" s="7" t="s">
        <v>195</v>
      </c>
      <c r="H125" s="7" t="s">
        <v>195</v>
      </c>
      <c r="I125" s="7" t="s">
        <v>195</v>
      </c>
      <c r="J125" s="7" t="s">
        <v>195</v>
      </c>
      <c r="K125" s="7" t="s">
        <v>195</v>
      </c>
      <c r="L125" s="7" t="s">
        <v>195</v>
      </c>
      <c r="M125" s="7" t="s">
        <v>29</v>
      </c>
      <c r="N125" s="7" t="s">
        <v>29</v>
      </c>
      <c r="O125" s="7" t="s">
        <v>29</v>
      </c>
      <c r="P125" s="7" t="s">
        <v>29</v>
      </c>
      <c r="Q125" s="7" t="s">
        <v>29</v>
      </c>
      <c r="R125" s="7" t="s">
        <v>29</v>
      </c>
      <c r="S125" s="7" t="s">
        <v>29</v>
      </c>
    </row>
    <row r="126" spans="2:19">
      <c r="B126" s="7" t="s">
        <v>195</v>
      </c>
      <c r="C126" s="8" t="s">
        <v>195</v>
      </c>
      <c r="D126" s="5" t="str">
        <f>LRTRIM(CONCATENATE(IF(SUMPRODUCT(-- ISNUMBER(SEARCH({"Auto Number"}, $B126))) &gt; 0, $B126, IF(SUMPRODUCT(-- ISNUMBER(SEARCH({"Lookup","Master-Detail"}, $B126))) &gt; 0,$B126 &amp; "(" &amp; $E126 &amp; ")",IF(SUMPRODUCT(-- ISNUMBER(SEARCH({"Formula","Roll-Up Summary"}, $B126))) &gt; 0,$B126 &amp; " (" &amp; $E126 &amp; ")",IF(SUMPRODUCT(-- ISNUMBER(SEARCH({"Content","Currency","Number","Percent","Text","URL"}, $B126))) &gt; 0,$B126 &amp; "(" &amp; $C126 &amp; ")",$B126)))), "  ", TRIM(IF($S126 = "YES", "(External ID)", "") &amp; " " &amp; IF(SUMPRODUCT(-- ISNUMBER(SEARCH({"Unique","Unique Case Insensitive"}, $R126))) &gt; 0, "(" &amp; $R126 &amp; ")", ""))))</f>
        <v>na</v>
      </c>
      <c r="E126" s="7" t="s">
        <v>195</v>
      </c>
      <c r="F126" s="7" t="s">
        <v>195</v>
      </c>
      <c r="G126" s="7" t="s">
        <v>195</v>
      </c>
      <c r="H126" s="7" t="s">
        <v>195</v>
      </c>
      <c r="I126" s="7" t="s">
        <v>195</v>
      </c>
      <c r="J126" s="7" t="s">
        <v>195</v>
      </c>
      <c r="K126" s="7" t="s">
        <v>195</v>
      </c>
      <c r="L126" s="7" t="s">
        <v>195</v>
      </c>
      <c r="M126" s="7" t="s">
        <v>29</v>
      </c>
      <c r="N126" s="7" t="s">
        <v>29</v>
      </c>
      <c r="O126" s="7" t="s">
        <v>29</v>
      </c>
      <c r="P126" s="7" t="s">
        <v>29</v>
      </c>
      <c r="Q126" s="7" t="s">
        <v>29</v>
      </c>
      <c r="R126" s="7" t="s">
        <v>29</v>
      </c>
      <c r="S126" s="7" t="s">
        <v>29</v>
      </c>
    </row>
    <row r="127" spans="2:19">
      <c r="B127" s="7" t="s">
        <v>195</v>
      </c>
      <c r="C127" s="8" t="s">
        <v>195</v>
      </c>
      <c r="D127" s="5" t="str">
        <f>LRTRIM(CONCATENATE(IF(SUMPRODUCT(-- ISNUMBER(SEARCH({"Auto Number"}, $B127))) &gt; 0, $B127, IF(SUMPRODUCT(-- ISNUMBER(SEARCH({"Lookup","Master-Detail"}, $B127))) &gt; 0,$B127 &amp; "(" &amp; $E127 &amp; ")",IF(SUMPRODUCT(-- ISNUMBER(SEARCH({"Formula","Roll-Up Summary"}, $B127))) &gt; 0,$B127 &amp; " (" &amp; $E127 &amp; ")",IF(SUMPRODUCT(-- ISNUMBER(SEARCH({"Content","Currency","Number","Percent","Text","URL"}, $B127))) &gt; 0,$B127 &amp; "(" &amp; $C127 &amp; ")",$B127)))), "  ", TRIM(IF($S127 = "YES", "(External ID)", "") &amp; " " &amp; IF(SUMPRODUCT(-- ISNUMBER(SEARCH({"Unique","Unique Case Insensitive"}, $R127))) &gt; 0, "(" &amp; $R127 &amp; ")", ""))))</f>
        <v>na</v>
      </c>
      <c r="E127" s="7" t="s">
        <v>195</v>
      </c>
      <c r="F127" s="7" t="s">
        <v>195</v>
      </c>
      <c r="G127" s="7" t="s">
        <v>195</v>
      </c>
      <c r="H127" s="7" t="s">
        <v>195</v>
      </c>
      <c r="I127" s="7" t="s">
        <v>195</v>
      </c>
      <c r="J127" s="7" t="s">
        <v>195</v>
      </c>
      <c r="K127" s="7" t="s">
        <v>195</v>
      </c>
      <c r="L127" s="7" t="s">
        <v>195</v>
      </c>
      <c r="M127" s="7" t="s">
        <v>29</v>
      </c>
      <c r="N127" s="7" t="s">
        <v>29</v>
      </c>
      <c r="O127" s="7" t="s">
        <v>29</v>
      </c>
      <c r="P127" s="7" t="s">
        <v>29</v>
      </c>
      <c r="Q127" s="7" t="s">
        <v>29</v>
      </c>
      <c r="R127" s="7" t="s">
        <v>29</v>
      </c>
      <c r="S127" s="7" t="s">
        <v>29</v>
      </c>
    </row>
    <row r="128" spans="2:19">
      <c r="B128" s="7" t="s">
        <v>195</v>
      </c>
      <c r="C128" s="8" t="s">
        <v>195</v>
      </c>
      <c r="D128" s="5" t="str">
        <f>LRTRIM(CONCATENATE(IF(SUMPRODUCT(-- ISNUMBER(SEARCH({"Auto Number"}, $B128))) &gt; 0, $B128, IF(SUMPRODUCT(-- ISNUMBER(SEARCH({"Lookup","Master-Detail"}, $B128))) &gt; 0,$B128 &amp; "(" &amp; $E128 &amp; ")",IF(SUMPRODUCT(-- ISNUMBER(SEARCH({"Formula","Roll-Up Summary"}, $B128))) &gt; 0,$B128 &amp; " (" &amp; $E128 &amp; ")",IF(SUMPRODUCT(-- ISNUMBER(SEARCH({"Content","Currency","Number","Percent","Text","URL"}, $B128))) &gt; 0,$B128 &amp; "(" &amp; $C128 &amp; ")",$B128)))), "  ", TRIM(IF($S128 = "YES", "(External ID)", "") &amp; " " &amp; IF(SUMPRODUCT(-- ISNUMBER(SEARCH({"Unique","Unique Case Insensitive"}, $R128))) &gt; 0, "(" &amp; $R128 &amp; ")", ""))))</f>
        <v>na</v>
      </c>
      <c r="E128" s="7" t="s">
        <v>195</v>
      </c>
      <c r="F128" s="7" t="s">
        <v>195</v>
      </c>
      <c r="G128" s="7" t="s">
        <v>195</v>
      </c>
      <c r="H128" s="7" t="s">
        <v>195</v>
      </c>
      <c r="I128" s="7" t="s">
        <v>195</v>
      </c>
      <c r="J128" s="7" t="s">
        <v>195</v>
      </c>
      <c r="K128" s="7" t="s">
        <v>195</v>
      </c>
      <c r="L128" s="7" t="s">
        <v>195</v>
      </c>
      <c r="M128" s="7" t="s">
        <v>29</v>
      </c>
      <c r="N128" s="7" t="s">
        <v>29</v>
      </c>
      <c r="O128" s="7" t="s">
        <v>29</v>
      </c>
      <c r="P128" s="7" t="s">
        <v>29</v>
      </c>
      <c r="Q128" s="7" t="s">
        <v>29</v>
      </c>
      <c r="R128" s="7" t="s">
        <v>29</v>
      </c>
      <c r="S128" s="7" t="s">
        <v>29</v>
      </c>
    </row>
    <row r="129" spans="2:19">
      <c r="B129" s="7" t="s">
        <v>195</v>
      </c>
      <c r="C129" s="8" t="s">
        <v>195</v>
      </c>
      <c r="D129" s="5" t="str">
        <f>LRTRIM(CONCATENATE(IF(SUMPRODUCT(-- ISNUMBER(SEARCH({"Auto Number"}, $B129))) &gt; 0, $B129, IF(SUMPRODUCT(-- ISNUMBER(SEARCH({"Lookup","Master-Detail"}, $B129))) &gt; 0,$B129 &amp; "(" &amp; $E129 &amp; ")",IF(SUMPRODUCT(-- ISNUMBER(SEARCH({"Formula","Roll-Up Summary"}, $B129))) &gt; 0,$B129 &amp; " (" &amp; $E129 &amp; ")",IF(SUMPRODUCT(-- ISNUMBER(SEARCH({"Content","Currency","Number","Percent","Text","URL"}, $B129))) &gt; 0,$B129 &amp; "(" &amp; $C129 &amp; ")",$B129)))), "  ", TRIM(IF($S129 = "YES", "(External ID)", "") &amp; " " &amp; IF(SUMPRODUCT(-- ISNUMBER(SEARCH({"Unique","Unique Case Insensitive"}, $R129))) &gt; 0, "(" &amp; $R129 &amp; ")", ""))))</f>
        <v>na</v>
      </c>
      <c r="E129" s="7" t="s">
        <v>195</v>
      </c>
      <c r="F129" s="7" t="s">
        <v>195</v>
      </c>
      <c r="G129" s="7" t="s">
        <v>195</v>
      </c>
      <c r="H129" s="7" t="s">
        <v>195</v>
      </c>
      <c r="I129" s="7" t="s">
        <v>195</v>
      </c>
      <c r="J129" s="7" t="s">
        <v>195</v>
      </c>
      <c r="K129" s="7" t="s">
        <v>195</v>
      </c>
      <c r="L129" s="7" t="s">
        <v>195</v>
      </c>
      <c r="M129" s="7" t="s">
        <v>29</v>
      </c>
      <c r="N129" s="7" t="s">
        <v>29</v>
      </c>
      <c r="O129" s="7" t="s">
        <v>29</v>
      </c>
      <c r="P129" s="7" t="s">
        <v>29</v>
      </c>
      <c r="Q129" s="7" t="s">
        <v>29</v>
      </c>
      <c r="R129" s="7" t="s">
        <v>29</v>
      </c>
      <c r="S129" s="7" t="s">
        <v>29</v>
      </c>
    </row>
    <row r="130" spans="2:19">
      <c r="B130" s="7" t="s">
        <v>195</v>
      </c>
      <c r="C130" s="8" t="s">
        <v>195</v>
      </c>
      <c r="D130" s="5" t="str">
        <f>LRTRIM(CONCATENATE(IF(SUMPRODUCT(-- ISNUMBER(SEARCH({"Auto Number"}, $B130))) &gt; 0, $B130, IF(SUMPRODUCT(-- ISNUMBER(SEARCH({"Lookup","Master-Detail"}, $B130))) &gt; 0,$B130 &amp; "(" &amp; $E130 &amp; ")",IF(SUMPRODUCT(-- ISNUMBER(SEARCH({"Formula","Roll-Up Summary"}, $B130))) &gt; 0,$B130 &amp; " (" &amp; $E130 &amp; ")",IF(SUMPRODUCT(-- ISNUMBER(SEARCH({"Content","Currency","Number","Percent","Text","URL"}, $B130))) &gt; 0,$B130 &amp; "(" &amp; $C130 &amp; ")",$B130)))), "  ", TRIM(IF($S130 = "YES", "(External ID)", "") &amp; " " &amp; IF(SUMPRODUCT(-- ISNUMBER(SEARCH({"Unique","Unique Case Insensitive"}, $R130))) &gt; 0, "(" &amp; $R130 &amp; ")", ""))))</f>
        <v>na</v>
      </c>
      <c r="E130" s="7" t="s">
        <v>195</v>
      </c>
      <c r="F130" s="7" t="s">
        <v>195</v>
      </c>
      <c r="G130" s="7" t="s">
        <v>195</v>
      </c>
      <c r="H130" s="7" t="s">
        <v>195</v>
      </c>
      <c r="I130" s="7" t="s">
        <v>195</v>
      </c>
      <c r="J130" s="7" t="s">
        <v>195</v>
      </c>
      <c r="K130" s="7" t="s">
        <v>195</v>
      </c>
      <c r="L130" s="7" t="s">
        <v>195</v>
      </c>
      <c r="M130" s="7" t="s">
        <v>29</v>
      </c>
      <c r="N130" s="7" t="s">
        <v>29</v>
      </c>
      <c r="O130" s="7" t="s">
        <v>29</v>
      </c>
      <c r="P130" s="7" t="s">
        <v>29</v>
      </c>
      <c r="Q130" s="7" t="s">
        <v>29</v>
      </c>
      <c r="R130" s="7" t="s">
        <v>29</v>
      </c>
      <c r="S130" s="7" t="s">
        <v>29</v>
      </c>
    </row>
    <row r="131" spans="2:19">
      <c r="B131" s="7" t="s">
        <v>195</v>
      </c>
      <c r="C131" s="8" t="s">
        <v>195</v>
      </c>
      <c r="D131" s="5" t="str">
        <f>LRTRIM(CONCATENATE(IF(SUMPRODUCT(-- ISNUMBER(SEARCH({"Auto Number"}, $B131))) &gt; 0, $B131, IF(SUMPRODUCT(-- ISNUMBER(SEARCH({"Lookup","Master-Detail"}, $B131))) &gt; 0,$B131 &amp; "(" &amp; $E131 &amp; ")",IF(SUMPRODUCT(-- ISNUMBER(SEARCH({"Formula","Roll-Up Summary"}, $B131))) &gt; 0,$B131 &amp; " (" &amp; $E131 &amp; ")",IF(SUMPRODUCT(-- ISNUMBER(SEARCH({"Content","Currency","Number","Percent","Text","URL"}, $B131))) &gt; 0,$B131 &amp; "(" &amp; $C131 &amp; ")",$B131)))), "  ", TRIM(IF($S131 = "YES", "(External ID)", "") &amp; " " &amp; IF(SUMPRODUCT(-- ISNUMBER(SEARCH({"Unique","Unique Case Insensitive"}, $R131))) &gt; 0, "(" &amp; $R131 &amp; ")", ""))))</f>
        <v>na</v>
      </c>
      <c r="E131" s="7" t="s">
        <v>195</v>
      </c>
      <c r="F131" s="7" t="s">
        <v>195</v>
      </c>
      <c r="G131" s="7" t="s">
        <v>195</v>
      </c>
      <c r="H131" s="7" t="s">
        <v>195</v>
      </c>
      <c r="I131" s="7" t="s">
        <v>195</v>
      </c>
      <c r="J131" s="7" t="s">
        <v>195</v>
      </c>
      <c r="K131" s="7" t="s">
        <v>195</v>
      </c>
      <c r="L131" s="7" t="s">
        <v>195</v>
      </c>
      <c r="M131" s="7" t="s">
        <v>29</v>
      </c>
      <c r="N131" s="7" t="s">
        <v>29</v>
      </c>
      <c r="O131" s="7" t="s">
        <v>29</v>
      </c>
      <c r="P131" s="7" t="s">
        <v>29</v>
      </c>
      <c r="Q131" s="7" t="s">
        <v>29</v>
      </c>
      <c r="R131" s="7" t="s">
        <v>29</v>
      </c>
      <c r="S131" s="7" t="s">
        <v>29</v>
      </c>
    </row>
    <row r="132" spans="2:19">
      <c r="B132" s="7" t="s">
        <v>195</v>
      </c>
      <c r="C132" s="8" t="s">
        <v>195</v>
      </c>
      <c r="D132" s="5" t="str">
        <f>LRTRIM(CONCATENATE(IF(SUMPRODUCT(-- ISNUMBER(SEARCH({"Auto Number"}, $B132))) &gt; 0, $B132, IF(SUMPRODUCT(-- ISNUMBER(SEARCH({"Lookup","Master-Detail"}, $B132))) &gt; 0,$B132 &amp; "(" &amp; $E132 &amp; ")",IF(SUMPRODUCT(-- ISNUMBER(SEARCH({"Formula","Roll-Up Summary"}, $B132))) &gt; 0,$B132 &amp; " (" &amp; $E132 &amp; ")",IF(SUMPRODUCT(-- ISNUMBER(SEARCH({"Content","Currency","Number","Percent","Text","URL"}, $B132))) &gt; 0,$B132 &amp; "(" &amp; $C132 &amp; ")",$B132)))), "  ", TRIM(IF($S132 = "YES", "(External ID)", "") &amp; " " &amp; IF(SUMPRODUCT(-- ISNUMBER(SEARCH({"Unique","Unique Case Insensitive"}, $R132))) &gt; 0, "(" &amp; $R132 &amp; ")", ""))))</f>
        <v>na</v>
      </c>
      <c r="E132" s="7" t="s">
        <v>195</v>
      </c>
      <c r="F132" s="7" t="s">
        <v>195</v>
      </c>
      <c r="G132" s="7" t="s">
        <v>195</v>
      </c>
      <c r="H132" s="7" t="s">
        <v>195</v>
      </c>
      <c r="I132" s="7" t="s">
        <v>195</v>
      </c>
      <c r="J132" s="7" t="s">
        <v>195</v>
      </c>
      <c r="K132" s="7" t="s">
        <v>195</v>
      </c>
      <c r="L132" s="7" t="s">
        <v>195</v>
      </c>
      <c r="M132" s="7" t="s">
        <v>29</v>
      </c>
      <c r="N132" s="7" t="s">
        <v>29</v>
      </c>
      <c r="O132" s="7" t="s">
        <v>29</v>
      </c>
      <c r="P132" s="7" t="s">
        <v>29</v>
      </c>
      <c r="Q132" s="7" t="s">
        <v>29</v>
      </c>
      <c r="R132" s="7" t="s">
        <v>29</v>
      </c>
      <c r="S132" s="7" t="s">
        <v>29</v>
      </c>
    </row>
    <row r="133" spans="2:19">
      <c r="B133" s="7" t="s">
        <v>195</v>
      </c>
      <c r="C133" s="8" t="s">
        <v>195</v>
      </c>
      <c r="D133" s="5" t="str">
        <f>LRTRIM(CONCATENATE(IF(SUMPRODUCT(-- ISNUMBER(SEARCH({"Auto Number"}, $B133))) &gt; 0, $B133, IF(SUMPRODUCT(-- ISNUMBER(SEARCH({"Lookup","Master-Detail"}, $B133))) &gt; 0,$B133 &amp; "(" &amp; $E133 &amp; ")",IF(SUMPRODUCT(-- ISNUMBER(SEARCH({"Formula","Roll-Up Summary"}, $B133))) &gt; 0,$B133 &amp; " (" &amp; $E133 &amp; ")",IF(SUMPRODUCT(-- ISNUMBER(SEARCH({"Content","Currency","Number","Percent","Text","URL"}, $B133))) &gt; 0,$B133 &amp; "(" &amp; $C133 &amp; ")",$B133)))), "  ", TRIM(IF($S133 = "YES", "(External ID)", "") &amp; " " &amp; IF(SUMPRODUCT(-- ISNUMBER(SEARCH({"Unique","Unique Case Insensitive"}, $R133))) &gt; 0, "(" &amp; $R133 &amp; ")", ""))))</f>
        <v>na</v>
      </c>
      <c r="E133" s="7" t="s">
        <v>195</v>
      </c>
      <c r="F133" s="7" t="s">
        <v>195</v>
      </c>
      <c r="G133" s="7" t="s">
        <v>195</v>
      </c>
      <c r="H133" s="7" t="s">
        <v>195</v>
      </c>
      <c r="I133" s="7" t="s">
        <v>195</v>
      </c>
      <c r="J133" s="7" t="s">
        <v>195</v>
      </c>
      <c r="K133" s="7" t="s">
        <v>195</v>
      </c>
      <c r="L133" s="7" t="s">
        <v>195</v>
      </c>
      <c r="M133" s="7" t="s">
        <v>29</v>
      </c>
      <c r="N133" s="7" t="s">
        <v>29</v>
      </c>
      <c r="O133" s="7" t="s">
        <v>29</v>
      </c>
      <c r="P133" s="7" t="s">
        <v>29</v>
      </c>
      <c r="Q133" s="7" t="s">
        <v>29</v>
      </c>
      <c r="R133" s="7" t="s">
        <v>29</v>
      </c>
      <c r="S133" s="7" t="s">
        <v>29</v>
      </c>
    </row>
    <row r="134" spans="2:19">
      <c r="B134" s="7" t="s">
        <v>195</v>
      </c>
      <c r="C134" s="8" t="s">
        <v>195</v>
      </c>
      <c r="D134" s="5" t="str">
        <f>LRTRIM(CONCATENATE(IF(SUMPRODUCT(-- ISNUMBER(SEARCH({"Auto Number"}, $B134))) &gt; 0, $B134, IF(SUMPRODUCT(-- ISNUMBER(SEARCH({"Lookup","Master-Detail"}, $B134))) &gt; 0,$B134 &amp; "(" &amp; $E134 &amp; ")",IF(SUMPRODUCT(-- ISNUMBER(SEARCH({"Formula","Roll-Up Summary"}, $B134))) &gt; 0,$B134 &amp; " (" &amp; $E134 &amp; ")",IF(SUMPRODUCT(-- ISNUMBER(SEARCH({"Content","Currency","Number","Percent","Text","URL"}, $B134))) &gt; 0,$B134 &amp; "(" &amp; $C134 &amp; ")",$B134)))), "  ", TRIM(IF($S134 = "YES", "(External ID)", "") &amp; " " &amp; IF(SUMPRODUCT(-- ISNUMBER(SEARCH({"Unique","Unique Case Insensitive"}, $R134))) &gt; 0, "(" &amp; $R134 &amp; ")", ""))))</f>
        <v>na</v>
      </c>
      <c r="E134" s="7" t="s">
        <v>195</v>
      </c>
      <c r="F134" s="7" t="s">
        <v>195</v>
      </c>
      <c r="G134" s="7" t="s">
        <v>195</v>
      </c>
      <c r="H134" s="7" t="s">
        <v>195</v>
      </c>
      <c r="I134" s="7" t="s">
        <v>195</v>
      </c>
      <c r="J134" s="7" t="s">
        <v>195</v>
      </c>
      <c r="K134" s="7" t="s">
        <v>195</v>
      </c>
      <c r="L134" s="7" t="s">
        <v>195</v>
      </c>
      <c r="M134" s="7" t="s">
        <v>29</v>
      </c>
      <c r="N134" s="7" t="s">
        <v>29</v>
      </c>
      <c r="O134" s="7" t="s">
        <v>29</v>
      </c>
      <c r="P134" s="7" t="s">
        <v>29</v>
      </c>
      <c r="Q134" s="7" t="s">
        <v>29</v>
      </c>
      <c r="R134" s="7" t="s">
        <v>29</v>
      </c>
      <c r="S134" s="7" t="s">
        <v>29</v>
      </c>
    </row>
    <row r="135" spans="2:19">
      <c r="B135" s="7" t="s">
        <v>195</v>
      </c>
      <c r="C135" s="8" t="s">
        <v>195</v>
      </c>
      <c r="D135" s="5" t="str">
        <f>LRTRIM(CONCATENATE(IF(SUMPRODUCT(-- ISNUMBER(SEARCH({"Auto Number"}, $B135))) &gt; 0, $B135, IF(SUMPRODUCT(-- ISNUMBER(SEARCH({"Lookup","Master-Detail"}, $B135))) &gt; 0,$B135 &amp; "(" &amp; $E135 &amp; ")",IF(SUMPRODUCT(-- ISNUMBER(SEARCH({"Formula","Roll-Up Summary"}, $B135))) &gt; 0,$B135 &amp; " (" &amp; $E135 &amp; ")",IF(SUMPRODUCT(-- ISNUMBER(SEARCH({"Content","Currency","Number","Percent","Text","URL"}, $B135))) &gt; 0,$B135 &amp; "(" &amp; $C135 &amp; ")",$B135)))), "  ", TRIM(IF($S135 = "YES", "(External ID)", "") &amp; " " &amp; IF(SUMPRODUCT(-- ISNUMBER(SEARCH({"Unique","Unique Case Insensitive"}, $R135))) &gt; 0, "(" &amp; $R135 &amp; ")", ""))))</f>
        <v>na</v>
      </c>
      <c r="E135" s="7" t="s">
        <v>195</v>
      </c>
      <c r="F135" s="7" t="s">
        <v>195</v>
      </c>
      <c r="G135" s="7" t="s">
        <v>195</v>
      </c>
      <c r="H135" s="7" t="s">
        <v>195</v>
      </c>
      <c r="I135" s="7" t="s">
        <v>195</v>
      </c>
      <c r="J135" s="7" t="s">
        <v>195</v>
      </c>
      <c r="K135" s="7" t="s">
        <v>195</v>
      </c>
      <c r="L135" s="7" t="s">
        <v>195</v>
      </c>
      <c r="M135" s="7" t="s">
        <v>29</v>
      </c>
      <c r="N135" s="7" t="s">
        <v>29</v>
      </c>
      <c r="O135" s="7" t="s">
        <v>29</v>
      </c>
      <c r="P135" s="7" t="s">
        <v>29</v>
      </c>
      <c r="Q135" s="7" t="s">
        <v>29</v>
      </c>
      <c r="R135" s="7" t="s">
        <v>29</v>
      </c>
      <c r="S135" s="7" t="s">
        <v>29</v>
      </c>
    </row>
    <row r="136" spans="2:19">
      <c r="B136" s="7" t="s">
        <v>195</v>
      </c>
      <c r="C136" s="8" t="s">
        <v>195</v>
      </c>
      <c r="D136" s="5" t="str">
        <f>LRTRIM(CONCATENATE(IF(SUMPRODUCT(-- ISNUMBER(SEARCH({"Auto Number"}, $B136))) &gt; 0, $B136, IF(SUMPRODUCT(-- ISNUMBER(SEARCH({"Lookup","Master-Detail"}, $B136))) &gt; 0,$B136 &amp; "(" &amp; $E136 &amp; ")",IF(SUMPRODUCT(-- ISNUMBER(SEARCH({"Formula","Roll-Up Summary"}, $B136))) &gt; 0,$B136 &amp; " (" &amp; $E136 &amp; ")",IF(SUMPRODUCT(-- ISNUMBER(SEARCH({"Content","Currency","Number","Percent","Text","URL"}, $B136))) &gt; 0,$B136 &amp; "(" &amp; $C136 &amp; ")",$B136)))), "  ", TRIM(IF($S136 = "YES", "(External ID)", "") &amp; " " &amp; IF(SUMPRODUCT(-- ISNUMBER(SEARCH({"Unique","Unique Case Insensitive"}, $R136))) &gt; 0, "(" &amp; $R136 &amp; ")", ""))))</f>
        <v>na</v>
      </c>
      <c r="E136" s="7" t="s">
        <v>195</v>
      </c>
      <c r="F136" s="7" t="s">
        <v>195</v>
      </c>
      <c r="G136" s="7" t="s">
        <v>195</v>
      </c>
      <c r="H136" s="7" t="s">
        <v>195</v>
      </c>
      <c r="I136" s="7" t="s">
        <v>195</v>
      </c>
      <c r="J136" s="7" t="s">
        <v>195</v>
      </c>
      <c r="K136" s="7" t="s">
        <v>195</v>
      </c>
      <c r="L136" s="7" t="s">
        <v>195</v>
      </c>
      <c r="M136" s="7" t="s">
        <v>29</v>
      </c>
      <c r="N136" s="7" t="s">
        <v>29</v>
      </c>
      <c r="O136" s="7" t="s">
        <v>29</v>
      </c>
      <c r="P136" s="7" t="s">
        <v>29</v>
      </c>
      <c r="Q136" s="7" t="s">
        <v>29</v>
      </c>
      <c r="R136" s="7" t="s">
        <v>29</v>
      </c>
      <c r="S136" s="7" t="s">
        <v>29</v>
      </c>
    </row>
    <row r="137" spans="2:19">
      <c r="B137" s="7" t="s">
        <v>195</v>
      </c>
      <c r="C137" s="8" t="s">
        <v>195</v>
      </c>
      <c r="D137" s="5" t="str">
        <f>LRTRIM(CONCATENATE(IF(SUMPRODUCT(-- ISNUMBER(SEARCH({"Auto Number"}, $B137))) &gt; 0, $B137, IF(SUMPRODUCT(-- ISNUMBER(SEARCH({"Lookup","Master-Detail"}, $B137))) &gt; 0,$B137 &amp; "(" &amp; $E137 &amp; ")",IF(SUMPRODUCT(-- ISNUMBER(SEARCH({"Formula","Roll-Up Summary"}, $B137))) &gt; 0,$B137 &amp; " (" &amp; $E137 &amp; ")",IF(SUMPRODUCT(-- ISNUMBER(SEARCH({"Content","Currency","Number","Percent","Text","URL"}, $B137))) &gt; 0,$B137 &amp; "(" &amp; $C137 &amp; ")",$B137)))), "  ", TRIM(IF($S137 = "YES", "(External ID)", "") &amp; " " &amp; IF(SUMPRODUCT(-- ISNUMBER(SEARCH({"Unique","Unique Case Insensitive"}, $R137))) &gt; 0, "(" &amp; $R137 &amp; ")", ""))))</f>
        <v>na</v>
      </c>
      <c r="E137" s="7" t="s">
        <v>195</v>
      </c>
      <c r="F137" s="7" t="s">
        <v>195</v>
      </c>
      <c r="G137" s="7" t="s">
        <v>195</v>
      </c>
      <c r="H137" s="7" t="s">
        <v>195</v>
      </c>
      <c r="I137" s="7" t="s">
        <v>195</v>
      </c>
      <c r="J137" s="7" t="s">
        <v>195</v>
      </c>
      <c r="K137" s="7" t="s">
        <v>195</v>
      </c>
      <c r="L137" s="7" t="s">
        <v>195</v>
      </c>
      <c r="M137" s="7" t="s">
        <v>29</v>
      </c>
      <c r="N137" s="7" t="s">
        <v>29</v>
      </c>
      <c r="O137" s="7" t="s">
        <v>29</v>
      </c>
      <c r="P137" s="7" t="s">
        <v>29</v>
      </c>
      <c r="Q137" s="7" t="s">
        <v>29</v>
      </c>
      <c r="R137" s="7" t="s">
        <v>29</v>
      </c>
      <c r="S137" s="7" t="s">
        <v>29</v>
      </c>
    </row>
    <row r="138" spans="2:19">
      <c r="B138" s="7" t="s">
        <v>195</v>
      </c>
      <c r="C138" s="8" t="s">
        <v>195</v>
      </c>
      <c r="D138" s="5" t="str">
        <f>LRTRIM(CONCATENATE(IF(SUMPRODUCT(-- ISNUMBER(SEARCH({"Auto Number"}, $B138))) &gt; 0, $B138, IF(SUMPRODUCT(-- ISNUMBER(SEARCH({"Lookup","Master-Detail"}, $B138))) &gt; 0,$B138 &amp; "(" &amp; $E138 &amp; ")",IF(SUMPRODUCT(-- ISNUMBER(SEARCH({"Formula","Roll-Up Summary"}, $B138))) &gt; 0,$B138 &amp; " (" &amp; $E138 &amp; ")",IF(SUMPRODUCT(-- ISNUMBER(SEARCH({"Content","Currency","Number","Percent","Text","URL"}, $B138))) &gt; 0,$B138 &amp; "(" &amp; $C138 &amp; ")",$B138)))), "  ", TRIM(IF($S138 = "YES", "(External ID)", "") &amp; " " &amp; IF(SUMPRODUCT(-- ISNUMBER(SEARCH({"Unique","Unique Case Insensitive"}, $R138))) &gt; 0, "(" &amp; $R138 &amp; ")", ""))))</f>
        <v>na</v>
      </c>
      <c r="E138" s="7" t="s">
        <v>195</v>
      </c>
      <c r="F138" s="7" t="s">
        <v>195</v>
      </c>
      <c r="G138" s="7" t="s">
        <v>195</v>
      </c>
      <c r="H138" s="7" t="s">
        <v>195</v>
      </c>
      <c r="I138" s="7" t="s">
        <v>195</v>
      </c>
      <c r="J138" s="7" t="s">
        <v>195</v>
      </c>
      <c r="K138" s="7" t="s">
        <v>195</v>
      </c>
      <c r="L138" s="7" t="s">
        <v>195</v>
      </c>
      <c r="M138" s="7" t="s">
        <v>29</v>
      </c>
      <c r="N138" s="7" t="s">
        <v>29</v>
      </c>
      <c r="O138" s="7" t="s">
        <v>29</v>
      </c>
      <c r="P138" s="7" t="s">
        <v>29</v>
      </c>
      <c r="Q138" s="7" t="s">
        <v>29</v>
      </c>
      <c r="R138" s="7" t="s">
        <v>29</v>
      </c>
      <c r="S138" s="7" t="s">
        <v>29</v>
      </c>
    </row>
    <row r="139" spans="2:19">
      <c r="B139" s="7" t="s">
        <v>195</v>
      </c>
      <c r="C139" s="8" t="s">
        <v>195</v>
      </c>
      <c r="D139" s="5" t="str">
        <f>LRTRIM(CONCATENATE(IF(SUMPRODUCT(-- ISNUMBER(SEARCH({"Auto Number"}, $B139))) &gt; 0, $B139, IF(SUMPRODUCT(-- ISNUMBER(SEARCH({"Lookup","Master-Detail"}, $B139))) &gt; 0,$B139 &amp; "(" &amp; $E139 &amp; ")",IF(SUMPRODUCT(-- ISNUMBER(SEARCH({"Formula","Roll-Up Summary"}, $B139))) &gt; 0,$B139 &amp; " (" &amp; $E139 &amp; ")",IF(SUMPRODUCT(-- ISNUMBER(SEARCH({"Content","Currency","Number","Percent","Text","URL"}, $B139))) &gt; 0,$B139 &amp; "(" &amp; $C139 &amp; ")",$B139)))), "  ", TRIM(IF($S139 = "YES", "(External ID)", "") &amp; " " &amp; IF(SUMPRODUCT(-- ISNUMBER(SEARCH({"Unique","Unique Case Insensitive"}, $R139))) &gt; 0, "(" &amp; $R139 &amp; ")", ""))))</f>
        <v>na</v>
      </c>
      <c r="E139" s="7" t="s">
        <v>195</v>
      </c>
      <c r="F139" s="7" t="s">
        <v>195</v>
      </c>
      <c r="G139" s="7" t="s">
        <v>195</v>
      </c>
      <c r="H139" s="7" t="s">
        <v>195</v>
      </c>
      <c r="I139" s="7" t="s">
        <v>195</v>
      </c>
      <c r="J139" s="7" t="s">
        <v>195</v>
      </c>
      <c r="K139" s="7" t="s">
        <v>195</v>
      </c>
      <c r="L139" s="7" t="s">
        <v>195</v>
      </c>
      <c r="M139" s="7" t="s">
        <v>29</v>
      </c>
      <c r="N139" s="7" t="s">
        <v>29</v>
      </c>
      <c r="O139" s="7" t="s">
        <v>29</v>
      </c>
      <c r="P139" s="7" t="s">
        <v>29</v>
      </c>
      <c r="Q139" s="7" t="s">
        <v>29</v>
      </c>
      <c r="R139" s="7" t="s">
        <v>29</v>
      </c>
      <c r="S139" s="7" t="s">
        <v>29</v>
      </c>
    </row>
    <row r="140" spans="2:19">
      <c r="B140" s="7" t="s">
        <v>195</v>
      </c>
      <c r="C140" s="8" t="s">
        <v>195</v>
      </c>
      <c r="D140" s="5" t="str">
        <f>LRTRIM(CONCATENATE(IF(SUMPRODUCT(-- ISNUMBER(SEARCH({"Auto Number"}, $B140))) &gt; 0, $B140, IF(SUMPRODUCT(-- ISNUMBER(SEARCH({"Lookup","Master-Detail"}, $B140))) &gt; 0,$B140 &amp; "(" &amp; $E140 &amp; ")",IF(SUMPRODUCT(-- ISNUMBER(SEARCH({"Formula","Roll-Up Summary"}, $B140))) &gt; 0,$B140 &amp; " (" &amp; $E140 &amp; ")",IF(SUMPRODUCT(-- ISNUMBER(SEARCH({"Content","Currency","Number","Percent","Text","URL"}, $B140))) &gt; 0,$B140 &amp; "(" &amp; $C140 &amp; ")",$B140)))), "  ", TRIM(IF($S140 = "YES", "(External ID)", "") &amp; " " &amp; IF(SUMPRODUCT(-- ISNUMBER(SEARCH({"Unique","Unique Case Insensitive"}, $R140))) &gt; 0, "(" &amp; $R140 &amp; ")", ""))))</f>
        <v>na</v>
      </c>
      <c r="E140" s="7" t="s">
        <v>195</v>
      </c>
      <c r="F140" s="7" t="s">
        <v>195</v>
      </c>
      <c r="G140" s="7" t="s">
        <v>195</v>
      </c>
      <c r="H140" s="7" t="s">
        <v>195</v>
      </c>
      <c r="I140" s="7" t="s">
        <v>195</v>
      </c>
      <c r="J140" s="7" t="s">
        <v>195</v>
      </c>
      <c r="K140" s="7" t="s">
        <v>195</v>
      </c>
      <c r="L140" s="7" t="s">
        <v>195</v>
      </c>
      <c r="M140" s="7" t="s">
        <v>29</v>
      </c>
      <c r="N140" s="7" t="s">
        <v>29</v>
      </c>
      <c r="O140" s="7" t="s">
        <v>29</v>
      </c>
      <c r="P140" s="7" t="s">
        <v>29</v>
      </c>
      <c r="Q140" s="7" t="s">
        <v>29</v>
      </c>
      <c r="R140" s="7" t="s">
        <v>29</v>
      </c>
      <c r="S140" s="7" t="s">
        <v>29</v>
      </c>
    </row>
    <row r="141" spans="2:19">
      <c r="B141" s="7" t="s">
        <v>195</v>
      </c>
      <c r="C141" s="8" t="s">
        <v>195</v>
      </c>
      <c r="D141" s="5" t="str">
        <f>LRTRIM(CONCATENATE(IF(SUMPRODUCT(-- ISNUMBER(SEARCH({"Auto Number"}, $B141))) &gt; 0, $B141, IF(SUMPRODUCT(-- ISNUMBER(SEARCH({"Lookup","Master-Detail"}, $B141))) &gt; 0,$B141 &amp; "(" &amp; $E141 &amp; ")",IF(SUMPRODUCT(-- ISNUMBER(SEARCH({"Formula","Roll-Up Summary"}, $B141))) &gt; 0,$B141 &amp; " (" &amp; $E141 &amp; ")",IF(SUMPRODUCT(-- ISNUMBER(SEARCH({"Content","Currency","Number","Percent","Text","URL"}, $B141))) &gt; 0,$B141 &amp; "(" &amp; $C141 &amp; ")",$B141)))), "  ", TRIM(IF($S141 = "YES", "(External ID)", "") &amp; " " &amp; IF(SUMPRODUCT(-- ISNUMBER(SEARCH({"Unique","Unique Case Insensitive"}, $R141))) &gt; 0, "(" &amp; $R141 &amp; ")", ""))))</f>
        <v>na</v>
      </c>
      <c r="E141" s="7" t="s">
        <v>195</v>
      </c>
      <c r="F141" s="7" t="s">
        <v>195</v>
      </c>
      <c r="G141" s="7" t="s">
        <v>195</v>
      </c>
      <c r="H141" s="7" t="s">
        <v>195</v>
      </c>
      <c r="I141" s="7" t="s">
        <v>195</v>
      </c>
      <c r="J141" s="7" t="s">
        <v>195</v>
      </c>
      <c r="K141" s="7" t="s">
        <v>195</v>
      </c>
      <c r="L141" s="7" t="s">
        <v>195</v>
      </c>
      <c r="M141" s="7" t="s">
        <v>29</v>
      </c>
      <c r="N141" s="7" t="s">
        <v>29</v>
      </c>
      <c r="O141" s="7" t="s">
        <v>29</v>
      </c>
      <c r="P141" s="7" t="s">
        <v>29</v>
      </c>
      <c r="Q141" s="7" t="s">
        <v>29</v>
      </c>
      <c r="R141" s="7" t="s">
        <v>29</v>
      </c>
      <c r="S141" s="7" t="s">
        <v>29</v>
      </c>
    </row>
    <row r="142" spans="2:19">
      <c r="B142" s="7" t="s">
        <v>195</v>
      </c>
      <c r="C142" s="8" t="s">
        <v>195</v>
      </c>
      <c r="D142" s="5" t="str">
        <f>LRTRIM(CONCATENATE(IF(SUMPRODUCT(-- ISNUMBER(SEARCH({"Auto Number"}, $B142))) &gt; 0, $B142, IF(SUMPRODUCT(-- ISNUMBER(SEARCH({"Lookup","Master-Detail"}, $B142))) &gt; 0,$B142 &amp; "(" &amp; $E142 &amp; ")",IF(SUMPRODUCT(-- ISNUMBER(SEARCH({"Formula","Roll-Up Summary"}, $B142))) &gt; 0,$B142 &amp; " (" &amp; $E142 &amp; ")",IF(SUMPRODUCT(-- ISNUMBER(SEARCH({"Content","Currency","Number","Percent","Text","URL"}, $B142))) &gt; 0,$B142 &amp; "(" &amp; $C142 &amp; ")",$B142)))), "  ", TRIM(IF($S142 = "YES", "(External ID)", "") &amp; " " &amp; IF(SUMPRODUCT(-- ISNUMBER(SEARCH({"Unique","Unique Case Insensitive"}, $R142))) &gt; 0, "(" &amp; $R142 &amp; ")", ""))))</f>
        <v>na</v>
      </c>
      <c r="E142" s="7" t="s">
        <v>195</v>
      </c>
      <c r="F142" s="7" t="s">
        <v>195</v>
      </c>
      <c r="G142" s="7" t="s">
        <v>195</v>
      </c>
      <c r="H142" s="7" t="s">
        <v>195</v>
      </c>
      <c r="I142" s="7" t="s">
        <v>195</v>
      </c>
      <c r="J142" s="7" t="s">
        <v>195</v>
      </c>
      <c r="K142" s="7" t="s">
        <v>195</v>
      </c>
      <c r="L142" s="7" t="s">
        <v>195</v>
      </c>
      <c r="M142" s="7" t="s">
        <v>29</v>
      </c>
      <c r="N142" s="7" t="s">
        <v>29</v>
      </c>
      <c r="O142" s="7" t="s">
        <v>29</v>
      </c>
      <c r="P142" s="7" t="s">
        <v>29</v>
      </c>
      <c r="Q142" s="7" t="s">
        <v>29</v>
      </c>
      <c r="R142" s="7" t="s">
        <v>29</v>
      </c>
      <c r="S142" s="7" t="s">
        <v>29</v>
      </c>
    </row>
    <row r="143" spans="2:19">
      <c r="B143" s="7" t="s">
        <v>195</v>
      </c>
      <c r="C143" s="8" t="s">
        <v>195</v>
      </c>
      <c r="D143" s="5" t="str">
        <f>LRTRIM(CONCATENATE(IF(SUMPRODUCT(-- ISNUMBER(SEARCH({"Auto Number"}, $B143))) &gt; 0, $B143, IF(SUMPRODUCT(-- ISNUMBER(SEARCH({"Lookup","Master-Detail"}, $B143))) &gt; 0,$B143 &amp; "(" &amp; $E143 &amp; ")",IF(SUMPRODUCT(-- ISNUMBER(SEARCH({"Formula","Roll-Up Summary"}, $B143))) &gt; 0,$B143 &amp; " (" &amp; $E143 &amp; ")",IF(SUMPRODUCT(-- ISNUMBER(SEARCH({"Content","Currency","Number","Percent","Text","URL"}, $B143))) &gt; 0,$B143 &amp; "(" &amp; $C143 &amp; ")",$B143)))), "  ", TRIM(IF($S143 = "YES", "(External ID)", "") &amp; " " &amp; IF(SUMPRODUCT(-- ISNUMBER(SEARCH({"Unique","Unique Case Insensitive"}, $R143))) &gt; 0, "(" &amp; $R143 &amp; ")", ""))))</f>
        <v>na</v>
      </c>
      <c r="E143" s="7" t="s">
        <v>195</v>
      </c>
      <c r="F143" s="7" t="s">
        <v>195</v>
      </c>
      <c r="G143" s="7" t="s">
        <v>195</v>
      </c>
      <c r="H143" s="7" t="s">
        <v>195</v>
      </c>
      <c r="I143" s="7" t="s">
        <v>195</v>
      </c>
      <c r="J143" s="7" t="s">
        <v>195</v>
      </c>
      <c r="K143" s="7" t="s">
        <v>195</v>
      </c>
      <c r="L143" s="7" t="s">
        <v>195</v>
      </c>
      <c r="M143" s="7" t="s">
        <v>29</v>
      </c>
      <c r="N143" s="7" t="s">
        <v>29</v>
      </c>
      <c r="O143" s="7" t="s">
        <v>29</v>
      </c>
      <c r="P143" s="7" t="s">
        <v>29</v>
      </c>
      <c r="Q143" s="7" t="s">
        <v>29</v>
      </c>
      <c r="R143" s="7" t="s">
        <v>29</v>
      </c>
      <c r="S143" s="7" t="s">
        <v>29</v>
      </c>
    </row>
    <row r="144" spans="2:19">
      <c r="B144" s="7" t="s">
        <v>195</v>
      </c>
      <c r="C144" s="8" t="s">
        <v>195</v>
      </c>
      <c r="D144" s="5" t="str">
        <f>LRTRIM(CONCATENATE(IF(SUMPRODUCT(-- ISNUMBER(SEARCH({"Auto Number"}, $B144))) &gt; 0, $B144, IF(SUMPRODUCT(-- ISNUMBER(SEARCH({"Lookup","Master-Detail"}, $B144))) &gt; 0,$B144 &amp; "(" &amp; $E144 &amp; ")",IF(SUMPRODUCT(-- ISNUMBER(SEARCH({"Formula","Roll-Up Summary"}, $B144))) &gt; 0,$B144 &amp; " (" &amp; $E144 &amp; ")",IF(SUMPRODUCT(-- ISNUMBER(SEARCH({"Content","Currency","Number","Percent","Text","URL"}, $B144))) &gt; 0,$B144 &amp; "(" &amp; $C144 &amp; ")",$B144)))), "  ", TRIM(IF($S144 = "YES", "(External ID)", "") &amp; " " &amp; IF(SUMPRODUCT(-- ISNUMBER(SEARCH({"Unique","Unique Case Insensitive"}, $R144))) &gt; 0, "(" &amp; $R144 &amp; ")", ""))))</f>
        <v>na</v>
      </c>
      <c r="E144" s="7" t="s">
        <v>195</v>
      </c>
      <c r="F144" s="7" t="s">
        <v>195</v>
      </c>
      <c r="G144" s="7" t="s">
        <v>195</v>
      </c>
      <c r="H144" s="7" t="s">
        <v>195</v>
      </c>
      <c r="I144" s="7" t="s">
        <v>195</v>
      </c>
      <c r="J144" s="7" t="s">
        <v>195</v>
      </c>
      <c r="K144" s="7" t="s">
        <v>195</v>
      </c>
      <c r="L144" s="7" t="s">
        <v>195</v>
      </c>
      <c r="M144" s="7" t="s">
        <v>29</v>
      </c>
      <c r="N144" s="7" t="s">
        <v>29</v>
      </c>
      <c r="O144" s="7" t="s">
        <v>29</v>
      </c>
      <c r="P144" s="7" t="s">
        <v>29</v>
      </c>
      <c r="Q144" s="7" t="s">
        <v>29</v>
      </c>
      <c r="R144" s="7" t="s">
        <v>29</v>
      </c>
      <c r="S144" s="7" t="s">
        <v>29</v>
      </c>
    </row>
    <row r="145" spans="2:19">
      <c r="B145" s="7" t="s">
        <v>195</v>
      </c>
      <c r="C145" s="8" t="s">
        <v>195</v>
      </c>
      <c r="D145" s="5" t="str">
        <f>LRTRIM(CONCATENATE(IF(SUMPRODUCT(-- ISNUMBER(SEARCH({"Auto Number"}, $B145))) &gt; 0, $B145, IF(SUMPRODUCT(-- ISNUMBER(SEARCH({"Lookup","Master-Detail"}, $B145))) &gt; 0,$B145 &amp; "(" &amp; $E145 &amp; ")",IF(SUMPRODUCT(-- ISNUMBER(SEARCH({"Formula","Roll-Up Summary"}, $B145))) &gt; 0,$B145 &amp; " (" &amp; $E145 &amp; ")",IF(SUMPRODUCT(-- ISNUMBER(SEARCH({"Content","Currency","Number","Percent","Text","URL"}, $B145))) &gt; 0,$B145 &amp; "(" &amp; $C145 &amp; ")",$B145)))), "  ", TRIM(IF($S145 = "YES", "(External ID)", "") &amp; " " &amp; IF(SUMPRODUCT(-- ISNUMBER(SEARCH({"Unique","Unique Case Insensitive"}, $R145))) &gt; 0, "(" &amp; $R145 &amp; ")", ""))))</f>
        <v>na</v>
      </c>
      <c r="E145" s="7" t="s">
        <v>195</v>
      </c>
      <c r="F145" s="7" t="s">
        <v>195</v>
      </c>
      <c r="G145" s="7" t="s">
        <v>195</v>
      </c>
      <c r="H145" s="7" t="s">
        <v>195</v>
      </c>
      <c r="I145" s="7" t="s">
        <v>195</v>
      </c>
      <c r="J145" s="7" t="s">
        <v>195</v>
      </c>
      <c r="K145" s="7" t="s">
        <v>195</v>
      </c>
      <c r="L145" s="7" t="s">
        <v>195</v>
      </c>
      <c r="M145" s="7" t="s">
        <v>29</v>
      </c>
      <c r="N145" s="7" t="s">
        <v>29</v>
      </c>
      <c r="O145" s="7" t="s">
        <v>29</v>
      </c>
      <c r="P145" s="7" t="s">
        <v>29</v>
      </c>
      <c r="Q145" s="7" t="s">
        <v>29</v>
      </c>
      <c r="R145" s="7" t="s">
        <v>29</v>
      </c>
      <c r="S145" s="7" t="s">
        <v>29</v>
      </c>
    </row>
    <row r="146" spans="2:19">
      <c r="B146" s="7" t="s">
        <v>195</v>
      </c>
      <c r="C146" s="8" t="s">
        <v>195</v>
      </c>
      <c r="D146" s="5" t="str">
        <f>LRTRIM(CONCATENATE(IF(SUMPRODUCT(-- ISNUMBER(SEARCH({"Auto Number"}, $B146))) &gt; 0, $B146, IF(SUMPRODUCT(-- ISNUMBER(SEARCH({"Lookup","Master-Detail"}, $B146))) &gt; 0,$B146 &amp; "(" &amp; $E146 &amp; ")",IF(SUMPRODUCT(-- ISNUMBER(SEARCH({"Formula","Roll-Up Summary"}, $B146))) &gt; 0,$B146 &amp; " (" &amp; $E146 &amp; ")",IF(SUMPRODUCT(-- ISNUMBER(SEARCH({"Content","Currency","Number","Percent","Text","URL"}, $B146))) &gt; 0,$B146 &amp; "(" &amp; $C146 &amp; ")",$B146)))), "  ", TRIM(IF($S146 = "YES", "(External ID)", "") &amp; " " &amp; IF(SUMPRODUCT(-- ISNUMBER(SEARCH({"Unique","Unique Case Insensitive"}, $R146))) &gt; 0, "(" &amp; $R146 &amp; ")", ""))))</f>
        <v>na</v>
      </c>
      <c r="E146" s="7" t="s">
        <v>195</v>
      </c>
      <c r="F146" s="7" t="s">
        <v>195</v>
      </c>
      <c r="G146" s="7" t="s">
        <v>195</v>
      </c>
      <c r="H146" s="7" t="s">
        <v>195</v>
      </c>
      <c r="I146" s="7" t="s">
        <v>195</v>
      </c>
      <c r="J146" s="7" t="s">
        <v>195</v>
      </c>
      <c r="K146" s="7" t="s">
        <v>195</v>
      </c>
      <c r="L146" s="7" t="s">
        <v>195</v>
      </c>
      <c r="M146" s="7" t="s">
        <v>29</v>
      </c>
      <c r="N146" s="7" t="s">
        <v>29</v>
      </c>
      <c r="O146" s="7" t="s">
        <v>29</v>
      </c>
      <c r="P146" s="7" t="s">
        <v>29</v>
      </c>
      <c r="Q146" s="7" t="s">
        <v>29</v>
      </c>
      <c r="R146" s="7" t="s">
        <v>29</v>
      </c>
      <c r="S146" s="7" t="s">
        <v>29</v>
      </c>
    </row>
    <row r="147" spans="2:19">
      <c r="B147" s="7" t="s">
        <v>195</v>
      </c>
      <c r="C147" s="8" t="s">
        <v>195</v>
      </c>
      <c r="D147" s="5" t="str">
        <f>LRTRIM(CONCATENATE(IF(SUMPRODUCT(-- ISNUMBER(SEARCH({"Auto Number"}, $B147))) &gt; 0, $B147, IF(SUMPRODUCT(-- ISNUMBER(SEARCH({"Lookup","Master-Detail"}, $B147))) &gt; 0,$B147 &amp; "(" &amp; $E147 &amp; ")",IF(SUMPRODUCT(-- ISNUMBER(SEARCH({"Formula","Roll-Up Summary"}, $B147))) &gt; 0,$B147 &amp; " (" &amp; $E147 &amp; ")",IF(SUMPRODUCT(-- ISNUMBER(SEARCH({"Content","Currency","Number","Percent","Text","URL"}, $B147))) &gt; 0,$B147 &amp; "(" &amp; $C147 &amp; ")",$B147)))), "  ", TRIM(IF($S147 = "YES", "(External ID)", "") &amp; " " &amp; IF(SUMPRODUCT(-- ISNUMBER(SEARCH({"Unique","Unique Case Insensitive"}, $R147))) &gt; 0, "(" &amp; $R147 &amp; ")", ""))))</f>
        <v>na</v>
      </c>
      <c r="E147" s="7" t="s">
        <v>195</v>
      </c>
      <c r="F147" s="7" t="s">
        <v>195</v>
      </c>
      <c r="G147" s="7" t="s">
        <v>195</v>
      </c>
      <c r="H147" s="7" t="s">
        <v>195</v>
      </c>
      <c r="I147" s="7" t="s">
        <v>195</v>
      </c>
      <c r="J147" s="7" t="s">
        <v>195</v>
      </c>
      <c r="K147" s="7" t="s">
        <v>195</v>
      </c>
      <c r="L147" s="7" t="s">
        <v>195</v>
      </c>
      <c r="M147" s="7" t="s">
        <v>29</v>
      </c>
      <c r="N147" s="7" t="s">
        <v>29</v>
      </c>
      <c r="O147" s="7" t="s">
        <v>29</v>
      </c>
      <c r="P147" s="7" t="s">
        <v>29</v>
      </c>
      <c r="Q147" s="7" t="s">
        <v>29</v>
      </c>
      <c r="R147" s="7" t="s">
        <v>29</v>
      </c>
      <c r="S147" s="7" t="s">
        <v>29</v>
      </c>
    </row>
    <row r="148" spans="2:19">
      <c r="B148" s="7" t="s">
        <v>195</v>
      </c>
      <c r="C148" s="8" t="s">
        <v>195</v>
      </c>
      <c r="D148" s="5" t="str">
        <f>LRTRIM(CONCATENATE(IF(SUMPRODUCT(-- ISNUMBER(SEARCH({"Auto Number"}, $B148))) &gt; 0, $B148, IF(SUMPRODUCT(-- ISNUMBER(SEARCH({"Lookup","Master-Detail"}, $B148))) &gt; 0,$B148 &amp; "(" &amp; $E148 &amp; ")",IF(SUMPRODUCT(-- ISNUMBER(SEARCH({"Formula","Roll-Up Summary"}, $B148))) &gt; 0,$B148 &amp; " (" &amp; $E148 &amp; ")",IF(SUMPRODUCT(-- ISNUMBER(SEARCH({"Content","Currency","Number","Percent","Text","URL"}, $B148))) &gt; 0,$B148 &amp; "(" &amp; $C148 &amp; ")",$B148)))), "  ", TRIM(IF($S148 = "YES", "(External ID)", "") &amp; " " &amp; IF(SUMPRODUCT(-- ISNUMBER(SEARCH({"Unique","Unique Case Insensitive"}, $R148))) &gt; 0, "(" &amp; $R148 &amp; ")", ""))))</f>
        <v>na</v>
      </c>
      <c r="E148" s="7" t="s">
        <v>195</v>
      </c>
      <c r="F148" s="7" t="s">
        <v>195</v>
      </c>
      <c r="G148" s="7" t="s">
        <v>195</v>
      </c>
      <c r="H148" s="7" t="s">
        <v>195</v>
      </c>
      <c r="I148" s="7" t="s">
        <v>195</v>
      </c>
      <c r="J148" s="7" t="s">
        <v>195</v>
      </c>
      <c r="K148" s="7" t="s">
        <v>195</v>
      </c>
      <c r="L148" s="7" t="s">
        <v>195</v>
      </c>
      <c r="M148" s="7" t="s">
        <v>29</v>
      </c>
      <c r="N148" s="7" t="s">
        <v>29</v>
      </c>
      <c r="O148" s="7" t="s">
        <v>29</v>
      </c>
      <c r="P148" s="7" t="s">
        <v>29</v>
      </c>
      <c r="Q148" s="7" t="s">
        <v>29</v>
      </c>
      <c r="R148" s="7" t="s">
        <v>29</v>
      </c>
      <c r="S148" s="7" t="s">
        <v>29</v>
      </c>
    </row>
    <row r="149" spans="2:19">
      <c r="B149" s="7" t="s">
        <v>195</v>
      </c>
      <c r="C149" s="8" t="s">
        <v>195</v>
      </c>
      <c r="D149" s="5" t="str">
        <f>LRTRIM(CONCATENATE(IF(SUMPRODUCT(-- ISNUMBER(SEARCH({"Auto Number"}, $B149))) &gt; 0, $B149, IF(SUMPRODUCT(-- ISNUMBER(SEARCH({"Lookup","Master-Detail"}, $B149))) &gt; 0,$B149 &amp; "(" &amp; $E149 &amp; ")",IF(SUMPRODUCT(-- ISNUMBER(SEARCH({"Formula","Roll-Up Summary"}, $B149))) &gt; 0,$B149 &amp; " (" &amp; $E149 &amp; ")",IF(SUMPRODUCT(-- ISNUMBER(SEARCH({"Content","Currency","Number","Percent","Text","URL"}, $B149))) &gt; 0,$B149 &amp; "(" &amp; $C149 &amp; ")",$B149)))), "  ", TRIM(IF($S149 = "YES", "(External ID)", "") &amp; " " &amp; IF(SUMPRODUCT(-- ISNUMBER(SEARCH({"Unique","Unique Case Insensitive"}, $R149))) &gt; 0, "(" &amp; $R149 &amp; ")", ""))))</f>
        <v>na</v>
      </c>
      <c r="E149" s="7" t="s">
        <v>195</v>
      </c>
      <c r="F149" s="7" t="s">
        <v>195</v>
      </c>
      <c r="G149" s="7" t="s">
        <v>195</v>
      </c>
      <c r="H149" s="7" t="s">
        <v>195</v>
      </c>
      <c r="I149" s="7" t="s">
        <v>195</v>
      </c>
      <c r="J149" s="7" t="s">
        <v>195</v>
      </c>
      <c r="K149" s="7" t="s">
        <v>195</v>
      </c>
      <c r="L149" s="7" t="s">
        <v>195</v>
      </c>
      <c r="M149" s="7" t="s">
        <v>29</v>
      </c>
      <c r="N149" s="7" t="s">
        <v>29</v>
      </c>
      <c r="O149" s="7" t="s">
        <v>29</v>
      </c>
      <c r="P149" s="7" t="s">
        <v>29</v>
      </c>
      <c r="Q149" s="7" t="s">
        <v>29</v>
      </c>
      <c r="R149" s="7" t="s">
        <v>29</v>
      </c>
      <c r="S149" s="7" t="s">
        <v>29</v>
      </c>
    </row>
    <row r="150" spans="2:19">
      <c r="B150" s="7" t="s">
        <v>195</v>
      </c>
      <c r="C150" s="8" t="s">
        <v>195</v>
      </c>
      <c r="D150" s="5" t="str">
        <f>LRTRIM(CONCATENATE(IF(SUMPRODUCT(-- ISNUMBER(SEARCH({"Auto Number"}, $B150))) &gt; 0, $B150, IF(SUMPRODUCT(-- ISNUMBER(SEARCH({"Lookup","Master-Detail"}, $B150))) &gt; 0,$B150 &amp; "(" &amp; $E150 &amp; ")",IF(SUMPRODUCT(-- ISNUMBER(SEARCH({"Formula","Roll-Up Summary"}, $B150))) &gt; 0,$B150 &amp; " (" &amp; $E150 &amp; ")",IF(SUMPRODUCT(-- ISNUMBER(SEARCH({"Content","Currency","Number","Percent","Text","URL"}, $B150))) &gt; 0,$B150 &amp; "(" &amp; $C150 &amp; ")",$B150)))), "  ", TRIM(IF($S150 = "YES", "(External ID)", "") &amp; " " &amp; IF(SUMPRODUCT(-- ISNUMBER(SEARCH({"Unique","Unique Case Insensitive"}, $R150))) &gt; 0, "(" &amp; $R150 &amp; ")", ""))))</f>
        <v>na</v>
      </c>
      <c r="E150" s="7" t="s">
        <v>195</v>
      </c>
      <c r="F150" s="7" t="s">
        <v>195</v>
      </c>
      <c r="G150" s="7" t="s">
        <v>195</v>
      </c>
      <c r="H150" s="7" t="s">
        <v>195</v>
      </c>
      <c r="I150" s="7" t="s">
        <v>195</v>
      </c>
      <c r="J150" s="7" t="s">
        <v>195</v>
      </c>
      <c r="K150" s="7" t="s">
        <v>195</v>
      </c>
      <c r="L150" s="7" t="s">
        <v>195</v>
      </c>
      <c r="M150" s="7" t="s">
        <v>29</v>
      </c>
      <c r="N150" s="7" t="s">
        <v>29</v>
      </c>
      <c r="O150" s="7" t="s">
        <v>29</v>
      </c>
      <c r="P150" s="7" t="s">
        <v>29</v>
      </c>
      <c r="Q150" s="7" t="s">
        <v>29</v>
      </c>
      <c r="R150" s="7" t="s">
        <v>29</v>
      </c>
      <c r="S150" s="7" t="s">
        <v>29</v>
      </c>
    </row>
    <row r="151" spans="2:19">
      <c r="B151" s="7" t="s">
        <v>195</v>
      </c>
      <c r="C151" s="8" t="s">
        <v>195</v>
      </c>
      <c r="D151" s="5" t="str">
        <f>LRTRIM(CONCATENATE(IF(SUMPRODUCT(-- ISNUMBER(SEARCH({"Auto Number"}, $B151))) &gt; 0, $B151, IF(SUMPRODUCT(-- ISNUMBER(SEARCH({"Lookup","Master-Detail"}, $B151))) &gt; 0,$B151 &amp; "(" &amp; $E151 &amp; ")",IF(SUMPRODUCT(-- ISNUMBER(SEARCH({"Formula","Roll-Up Summary"}, $B151))) &gt; 0,$B151 &amp; " (" &amp; $E151 &amp; ")",IF(SUMPRODUCT(-- ISNUMBER(SEARCH({"Content","Currency","Number","Percent","Text","URL"}, $B151))) &gt; 0,$B151 &amp; "(" &amp; $C151 &amp; ")",$B151)))), "  ", TRIM(IF($S151 = "YES", "(External ID)", "") &amp; " " &amp; IF(SUMPRODUCT(-- ISNUMBER(SEARCH({"Unique","Unique Case Insensitive"}, $R151))) &gt; 0, "(" &amp; $R151 &amp; ")", ""))))</f>
        <v>na</v>
      </c>
      <c r="E151" s="7" t="s">
        <v>195</v>
      </c>
      <c r="F151" s="7" t="s">
        <v>195</v>
      </c>
      <c r="G151" s="7" t="s">
        <v>195</v>
      </c>
      <c r="H151" s="7" t="s">
        <v>195</v>
      </c>
      <c r="I151" s="7" t="s">
        <v>195</v>
      </c>
      <c r="J151" s="7" t="s">
        <v>195</v>
      </c>
      <c r="K151" s="7" t="s">
        <v>195</v>
      </c>
      <c r="L151" s="7" t="s">
        <v>195</v>
      </c>
      <c r="M151" s="7" t="s">
        <v>29</v>
      </c>
      <c r="N151" s="7" t="s">
        <v>29</v>
      </c>
      <c r="O151" s="7" t="s">
        <v>29</v>
      </c>
      <c r="P151" s="7" t="s">
        <v>29</v>
      </c>
      <c r="Q151" s="7" t="s">
        <v>29</v>
      </c>
      <c r="R151" s="7" t="s">
        <v>29</v>
      </c>
      <c r="S151" s="7" t="s">
        <v>29</v>
      </c>
    </row>
    <row r="152" spans="2:19">
      <c r="B152" s="7" t="s">
        <v>195</v>
      </c>
      <c r="C152" s="8" t="s">
        <v>195</v>
      </c>
      <c r="D152" s="5" t="str">
        <f>LRTRIM(CONCATENATE(IF(SUMPRODUCT(-- ISNUMBER(SEARCH({"Auto Number"}, $B152))) &gt; 0, $B152, IF(SUMPRODUCT(-- ISNUMBER(SEARCH({"Lookup","Master-Detail"}, $B152))) &gt; 0,$B152 &amp; "(" &amp; $E152 &amp; ")",IF(SUMPRODUCT(-- ISNUMBER(SEARCH({"Formula","Roll-Up Summary"}, $B152))) &gt; 0,$B152 &amp; " (" &amp; $E152 &amp; ")",IF(SUMPRODUCT(-- ISNUMBER(SEARCH({"Content","Currency","Number","Percent","Text","URL"}, $B152))) &gt; 0,$B152 &amp; "(" &amp; $C152 &amp; ")",$B152)))), "  ", TRIM(IF($S152 = "YES", "(External ID)", "") &amp; " " &amp; IF(SUMPRODUCT(-- ISNUMBER(SEARCH({"Unique","Unique Case Insensitive"}, $R152))) &gt; 0, "(" &amp; $R152 &amp; ")", ""))))</f>
        <v>na</v>
      </c>
      <c r="E152" s="7" t="s">
        <v>195</v>
      </c>
      <c r="F152" s="7" t="s">
        <v>195</v>
      </c>
      <c r="G152" s="7" t="s">
        <v>195</v>
      </c>
      <c r="H152" s="7" t="s">
        <v>195</v>
      </c>
      <c r="I152" s="7" t="s">
        <v>195</v>
      </c>
      <c r="J152" s="7" t="s">
        <v>195</v>
      </c>
      <c r="K152" s="7" t="s">
        <v>195</v>
      </c>
      <c r="L152" s="7" t="s">
        <v>195</v>
      </c>
      <c r="M152" s="7" t="s">
        <v>29</v>
      </c>
      <c r="N152" s="7" t="s">
        <v>29</v>
      </c>
      <c r="O152" s="7" t="s">
        <v>29</v>
      </c>
      <c r="P152" s="7" t="s">
        <v>29</v>
      </c>
      <c r="Q152" s="7" t="s">
        <v>29</v>
      </c>
      <c r="R152" s="7" t="s">
        <v>29</v>
      </c>
      <c r="S152" s="7" t="s">
        <v>29</v>
      </c>
    </row>
    <row r="153" spans="2:19">
      <c r="B153" s="7" t="s">
        <v>195</v>
      </c>
      <c r="C153" s="8" t="s">
        <v>195</v>
      </c>
      <c r="D153" s="5" t="str">
        <f>LRTRIM(CONCATENATE(IF(SUMPRODUCT(-- ISNUMBER(SEARCH({"Auto Number"}, $B153))) &gt; 0, $B153, IF(SUMPRODUCT(-- ISNUMBER(SEARCH({"Lookup","Master-Detail"}, $B153))) &gt; 0,$B153 &amp; "(" &amp; $E153 &amp; ")",IF(SUMPRODUCT(-- ISNUMBER(SEARCH({"Formula","Roll-Up Summary"}, $B153))) &gt; 0,$B153 &amp; " (" &amp; $E153 &amp; ")",IF(SUMPRODUCT(-- ISNUMBER(SEARCH({"Content","Currency","Number","Percent","Text","URL"}, $B153))) &gt; 0,$B153 &amp; "(" &amp; $C153 &amp; ")",$B153)))), "  ", TRIM(IF($S153 = "YES", "(External ID)", "") &amp; " " &amp; IF(SUMPRODUCT(-- ISNUMBER(SEARCH({"Unique","Unique Case Insensitive"}, $R153))) &gt; 0, "(" &amp; $R153 &amp; ")", ""))))</f>
        <v>na</v>
      </c>
      <c r="E153" s="7" t="s">
        <v>195</v>
      </c>
      <c r="F153" s="7" t="s">
        <v>195</v>
      </c>
      <c r="G153" s="7" t="s">
        <v>195</v>
      </c>
      <c r="H153" s="7" t="s">
        <v>195</v>
      </c>
      <c r="I153" s="7" t="s">
        <v>195</v>
      </c>
      <c r="J153" s="7" t="s">
        <v>195</v>
      </c>
      <c r="K153" s="7" t="s">
        <v>195</v>
      </c>
      <c r="L153" s="7" t="s">
        <v>195</v>
      </c>
      <c r="M153" s="7" t="s">
        <v>29</v>
      </c>
      <c r="N153" s="7" t="s">
        <v>29</v>
      </c>
      <c r="O153" s="7" t="s">
        <v>29</v>
      </c>
      <c r="P153" s="7" t="s">
        <v>29</v>
      </c>
      <c r="Q153" s="7" t="s">
        <v>29</v>
      </c>
      <c r="R153" s="7" t="s">
        <v>29</v>
      </c>
      <c r="S153" s="7" t="s">
        <v>29</v>
      </c>
    </row>
    <row r="154" spans="2:19">
      <c r="B154" s="7" t="s">
        <v>195</v>
      </c>
      <c r="C154" s="8" t="s">
        <v>195</v>
      </c>
      <c r="D154" s="5" t="str">
        <f>LRTRIM(CONCATENATE(IF(SUMPRODUCT(-- ISNUMBER(SEARCH({"Auto Number"}, $B154))) &gt; 0, $B154, IF(SUMPRODUCT(-- ISNUMBER(SEARCH({"Lookup","Master-Detail"}, $B154))) &gt; 0,$B154 &amp; "(" &amp; $E154 &amp; ")",IF(SUMPRODUCT(-- ISNUMBER(SEARCH({"Formula","Roll-Up Summary"}, $B154))) &gt; 0,$B154 &amp; " (" &amp; $E154 &amp; ")",IF(SUMPRODUCT(-- ISNUMBER(SEARCH({"Content","Currency","Number","Percent","Text","URL"}, $B154))) &gt; 0,$B154 &amp; "(" &amp; $C154 &amp; ")",$B154)))), "  ", TRIM(IF($S154 = "YES", "(External ID)", "") &amp; " " &amp; IF(SUMPRODUCT(-- ISNUMBER(SEARCH({"Unique","Unique Case Insensitive"}, $R154))) &gt; 0, "(" &amp; $R154 &amp; ")", ""))))</f>
        <v>na</v>
      </c>
      <c r="E154" s="7" t="s">
        <v>195</v>
      </c>
      <c r="F154" s="7" t="s">
        <v>195</v>
      </c>
      <c r="G154" s="7" t="s">
        <v>195</v>
      </c>
      <c r="H154" s="7" t="s">
        <v>195</v>
      </c>
      <c r="I154" s="7" t="s">
        <v>195</v>
      </c>
      <c r="J154" s="7" t="s">
        <v>195</v>
      </c>
      <c r="K154" s="7" t="s">
        <v>195</v>
      </c>
      <c r="L154" s="7" t="s">
        <v>195</v>
      </c>
      <c r="M154" s="7" t="s">
        <v>29</v>
      </c>
      <c r="N154" s="7" t="s">
        <v>29</v>
      </c>
      <c r="O154" s="7" t="s">
        <v>29</v>
      </c>
      <c r="P154" s="7" t="s">
        <v>29</v>
      </c>
      <c r="Q154" s="7" t="s">
        <v>29</v>
      </c>
      <c r="R154" s="7" t="s">
        <v>29</v>
      </c>
      <c r="S154" s="7" t="s">
        <v>29</v>
      </c>
    </row>
    <row r="155" spans="2:19">
      <c r="B155" s="7" t="s">
        <v>195</v>
      </c>
      <c r="C155" s="8" t="s">
        <v>195</v>
      </c>
      <c r="D155" s="5" t="str">
        <f>LRTRIM(CONCATENATE(IF(SUMPRODUCT(-- ISNUMBER(SEARCH({"Auto Number"}, $B155))) &gt; 0, $B155, IF(SUMPRODUCT(-- ISNUMBER(SEARCH({"Lookup","Master-Detail"}, $B155))) &gt; 0,$B155 &amp; "(" &amp; $E155 &amp; ")",IF(SUMPRODUCT(-- ISNUMBER(SEARCH({"Formula","Roll-Up Summary"}, $B155))) &gt; 0,$B155 &amp; " (" &amp; $E155 &amp; ")",IF(SUMPRODUCT(-- ISNUMBER(SEARCH({"Content","Currency","Number","Percent","Text","URL"}, $B155))) &gt; 0,$B155 &amp; "(" &amp; $C155 &amp; ")",$B155)))), "  ", TRIM(IF($S155 = "YES", "(External ID)", "") &amp; " " &amp; IF(SUMPRODUCT(-- ISNUMBER(SEARCH({"Unique","Unique Case Insensitive"}, $R155))) &gt; 0, "(" &amp; $R155 &amp; ")", ""))))</f>
        <v>na</v>
      </c>
      <c r="E155" s="7" t="s">
        <v>195</v>
      </c>
      <c r="F155" s="7" t="s">
        <v>195</v>
      </c>
      <c r="G155" s="7" t="s">
        <v>195</v>
      </c>
      <c r="H155" s="7" t="s">
        <v>195</v>
      </c>
      <c r="I155" s="7" t="s">
        <v>195</v>
      </c>
      <c r="J155" s="7" t="s">
        <v>195</v>
      </c>
      <c r="K155" s="7" t="s">
        <v>195</v>
      </c>
      <c r="L155" s="7" t="s">
        <v>195</v>
      </c>
      <c r="M155" s="7" t="s">
        <v>29</v>
      </c>
      <c r="N155" s="7" t="s">
        <v>29</v>
      </c>
      <c r="O155" s="7" t="s">
        <v>29</v>
      </c>
      <c r="P155" s="7" t="s">
        <v>29</v>
      </c>
      <c r="Q155" s="7" t="s">
        <v>29</v>
      </c>
      <c r="R155" s="7" t="s">
        <v>29</v>
      </c>
      <c r="S155" s="7" t="s">
        <v>29</v>
      </c>
    </row>
    <row r="156" spans="2:19">
      <c r="B156" s="7" t="s">
        <v>195</v>
      </c>
      <c r="C156" s="8" t="s">
        <v>195</v>
      </c>
      <c r="D156" s="5" t="str">
        <f>LRTRIM(CONCATENATE(IF(SUMPRODUCT(-- ISNUMBER(SEARCH({"Auto Number"}, $B156))) &gt; 0, $B156, IF(SUMPRODUCT(-- ISNUMBER(SEARCH({"Lookup","Master-Detail"}, $B156))) &gt; 0,$B156 &amp; "(" &amp; $E156 &amp; ")",IF(SUMPRODUCT(-- ISNUMBER(SEARCH({"Formula","Roll-Up Summary"}, $B156))) &gt; 0,$B156 &amp; " (" &amp; $E156 &amp; ")",IF(SUMPRODUCT(-- ISNUMBER(SEARCH({"Content","Currency","Number","Percent","Text","URL"}, $B156))) &gt; 0,$B156 &amp; "(" &amp; $C156 &amp; ")",$B156)))), "  ", TRIM(IF($S156 = "YES", "(External ID)", "") &amp; " " &amp; IF(SUMPRODUCT(-- ISNUMBER(SEARCH({"Unique","Unique Case Insensitive"}, $R156))) &gt; 0, "(" &amp; $R156 &amp; ")", ""))))</f>
        <v>na</v>
      </c>
      <c r="E156" s="7" t="s">
        <v>195</v>
      </c>
      <c r="F156" s="7" t="s">
        <v>195</v>
      </c>
      <c r="G156" s="7" t="s">
        <v>195</v>
      </c>
      <c r="H156" s="7" t="s">
        <v>195</v>
      </c>
      <c r="I156" s="7" t="s">
        <v>195</v>
      </c>
      <c r="J156" s="7" t="s">
        <v>195</v>
      </c>
      <c r="K156" s="7" t="s">
        <v>195</v>
      </c>
      <c r="L156" s="7" t="s">
        <v>195</v>
      </c>
      <c r="M156" s="7" t="s">
        <v>29</v>
      </c>
      <c r="N156" s="7" t="s">
        <v>29</v>
      </c>
      <c r="O156" s="7" t="s">
        <v>29</v>
      </c>
      <c r="P156" s="7" t="s">
        <v>29</v>
      </c>
      <c r="Q156" s="7" t="s">
        <v>29</v>
      </c>
      <c r="R156" s="7" t="s">
        <v>29</v>
      </c>
      <c r="S156" s="7" t="s">
        <v>29</v>
      </c>
    </row>
    <row r="157" spans="2:19">
      <c r="B157" s="7" t="s">
        <v>195</v>
      </c>
      <c r="C157" s="8" t="s">
        <v>195</v>
      </c>
      <c r="D157" s="5" t="str">
        <f>LRTRIM(CONCATENATE(IF(SUMPRODUCT(-- ISNUMBER(SEARCH({"Auto Number"}, $B157))) &gt; 0, $B157, IF(SUMPRODUCT(-- ISNUMBER(SEARCH({"Lookup","Master-Detail"}, $B157))) &gt; 0,$B157 &amp; "(" &amp; $E157 &amp; ")",IF(SUMPRODUCT(-- ISNUMBER(SEARCH({"Formula","Roll-Up Summary"}, $B157))) &gt; 0,$B157 &amp; " (" &amp; $E157 &amp; ")",IF(SUMPRODUCT(-- ISNUMBER(SEARCH({"Content","Currency","Number","Percent","Text","URL"}, $B157))) &gt; 0,$B157 &amp; "(" &amp; $C157 &amp; ")",$B157)))), "  ", TRIM(IF($S157 = "YES", "(External ID)", "") &amp; " " &amp; IF(SUMPRODUCT(-- ISNUMBER(SEARCH({"Unique","Unique Case Insensitive"}, $R157))) &gt; 0, "(" &amp; $R157 &amp; ")", ""))))</f>
        <v>na</v>
      </c>
      <c r="E157" s="7" t="s">
        <v>195</v>
      </c>
      <c r="F157" s="7" t="s">
        <v>195</v>
      </c>
      <c r="G157" s="7" t="s">
        <v>195</v>
      </c>
      <c r="H157" s="7" t="s">
        <v>195</v>
      </c>
      <c r="I157" s="7" t="s">
        <v>195</v>
      </c>
      <c r="J157" s="7" t="s">
        <v>195</v>
      </c>
      <c r="K157" s="7" t="s">
        <v>195</v>
      </c>
      <c r="L157" s="7" t="s">
        <v>195</v>
      </c>
      <c r="M157" s="7" t="s">
        <v>29</v>
      </c>
      <c r="N157" s="7" t="s">
        <v>29</v>
      </c>
      <c r="O157" s="7" t="s">
        <v>29</v>
      </c>
      <c r="P157" s="7" t="s">
        <v>29</v>
      </c>
      <c r="Q157" s="7" t="s">
        <v>29</v>
      </c>
      <c r="R157" s="7" t="s">
        <v>29</v>
      </c>
      <c r="S157" s="7" t="s">
        <v>29</v>
      </c>
    </row>
    <row r="158" spans="2:19">
      <c r="B158" s="7" t="s">
        <v>195</v>
      </c>
      <c r="C158" s="8" t="s">
        <v>195</v>
      </c>
      <c r="D158" s="5" t="str">
        <f>LRTRIM(CONCATENATE(IF(SUMPRODUCT(-- ISNUMBER(SEARCH({"Auto Number"}, $B158))) &gt; 0, $B158, IF(SUMPRODUCT(-- ISNUMBER(SEARCH({"Lookup","Master-Detail"}, $B158))) &gt; 0,$B158 &amp; "(" &amp; $E158 &amp; ")",IF(SUMPRODUCT(-- ISNUMBER(SEARCH({"Formula","Roll-Up Summary"}, $B158))) &gt; 0,$B158 &amp; " (" &amp; $E158 &amp; ")",IF(SUMPRODUCT(-- ISNUMBER(SEARCH({"Content","Currency","Number","Percent","Text","URL"}, $B158))) &gt; 0,$B158 &amp; "(" &amp; $C158 &amp; ")",$B158)))), "  ", TRIM(IF($S158 = "YES", "(External ID)", "") &amp; " " &amp; IF(SUMPRODUCT(-- ISNUMBER(SEARCH({"Unique","Unique Case Insensitive"}, $R158))) &gt; 0, "(" &amp; $R158 &amp; ")", ""))))</f>
        <v>na</v>
      </c>
      <c r="E158" s="7" t="s">
        <v>195</v>
      </c>
      <c r="F158" s="7" t="s">
        <v>195</v>
      </c>
      <c r="G158" s="7" t="s">
        <v>195</v>
      </c>
      <c r="H158" s="7" t="s">
        <v>195</v>
      </c>
      <c r="I158" s="7" t="s">
        <v>195</v>
      </c>
      <c r="J158" s="7" t="s">
        <v>195</v>
      </c>
      <c r="K158" s="7" t="s">
        <v>195</v>
      </c>
      <c r="L158" s="7" t="s">
        <v>195</v>
      </c>
      <c r="M158" s="7" t="s">
        <v>29</v>
      </c>
      <c r="N158" s="7" t="s">
        <v>29</v>
      </c>
      <c r="O158" s="7" t="s">
        <v>29</v>
      </c>
      <c r="P158" s="7" t="s">
        <v>29</v>
      </c>
      <c r="Q158" s="7" t="s">
        <v>29</v>
      </c>
      <c r="R158" s="7" t="s">
        <v>29</v>
      </c>
      <c r="S158" s="7" t="s">
        <v>29</v>
      </c>
    </row>
    <row r="159" spans="2:19">
      <c r="B159" s="7" t="s">
        <v>195</v>
      </c>
      <c r="C159" s="8" t="s">
        <v>195</v>
      </c>
      <c r="D159" s="5" t="str">
        <f>LRTRIM(CONCATENATE(IF(SUMPRODUCT(-- ISNUMBER(SEARCH({"Auto Number"}, $B159))) &gt; 0, $B159, IF(SUMPRODUCT(-- ISNUMBER(SEARCH({"Lookup","Master-Detail"}, $B159))) &gt; 0,$B159 &amp; "(" &amp; $E159 &amp; ")",IF(SUMPRODUCT(-- ISNUMBER(SEARCH({"Formula","Roll-Up Summary"}, $B159))) &gt; 0,$B159 &amp; " (" &amp; $E159 &amp; ")",IF(SUMPRODUCT(-- ISNUMBER(SEARCH({"Content","Currency","Number","Percent","Text","URL"}, $B159))) &gt; 0,$B159 &amp; "(" &amp; $C159 &amp; ")",$B159)))), "  ", TRIM(IF($S159 = "YES", "(External ID)", "") &amp; " " &amp; IF(SUMPRODUCT(-- ISNUMBER(SEARCH({"Unique","Unique Case Insensitive"}, $R159))) &gt; 0, "(" &amp; $R159 &amp; ")", ""))))</f>
        <v>na</v>
      </c>
      <c r="E159" s="7" t="s">
        <v>195</v>
      </c>
      <c r="F159" s="7" t="s">
        <v>195</v>
      </c>
      <c r="G159" s="7" t="s">
        <v>195</v>
      </c>
      <c r="H159" s="7" t="s">
        <v>195</v>
      </c>
      <c r="I159" s="7" t="s">
        <v>195</v>
      </c>
      <c r="J159" s="7" t="s">
        <v>195</v>
      </c>
      <c r="K159" s="7" t="s">
        <v>195</v>
      </c>
      <c r="L159" s="7" t="s">
        <v>195</v>
      </c>
      <c r="M159" s="7" t="s">
        <v>29</v>
      </c>
      <c r="N159" s="7" t="s">
        <v>29</v>
      </c>
      <c r="O159" s="7" t="s">
        <v>29</v>
      </c>
      <c r="P159" s="7" t="s">
        <v>29</v>
      </c>
      <c r="Q159" s="7" t="s">
        <v>29</v>
      </c>
      <c r="R159" s="7" t="s">
        <v>29</v>
      </c>
      <c r="S159" s="7" t="s">
        <v>29</v>
      </c>
    </row>
    <row r="160" spans="2:19">
      <c r="B160" s="7" t="s">
        <v>195</v>
      </c>
      <c r="C160" s="8" t="s">
        <v>195</v>
      </c>
      <c r="D160" s="5" t="str">
        <f>LRTRIM(CONCATENATE(IF(SUMPRODUCT(-- ISNUMBER(SEARCH({"Auto Number"}, $B160))) &gt; 0, $B160, IF(SUMPRODUCT(-- ISNUMBER(SEARCH({"Lookup","Master-Detail"}, $B160))) &gt; 0,$B160 &amp; "(" &amp; $E160 &amp; ")",IF(SUMPRODUCT(-- ISNUMBER(SEARCH({"Formula","Roll-Up Summary"}, $B160))) &gt; 0,$B160 &amp; " (" &amp; $E160 &amp; ")",IF(SUMPRODUCT(-- ISNUMBER(SEARCH({"Content","Currency","Number","Percent","Text","URL"}, $B160))) &gt; 0,$B160 &amp; "(" &amp; $C160 &amp; ")",$B160)))), "  ", TRIM(IF($S160 = "YES", "(External ID)", "") &amp; " " &amp; IF(SUMPRODUCT(-- ISNUMBER(SEARCH({"Unique","Unique Case Insensitive"}, $R160))) &gt; 0, "(" &amp; $R160 &amp; ")", ""))))</f>
        <v>na</v>
      </c>
      <c r="E160" s="7" t="s">
        <v>195</v>
      </c>
      <c r="F160" s="7" t="s">
        <v>195</v>
      </c>
      <c r="G160" s="7" t="s">
        <v>195</v>
      </c>
      <c r="H160" s="7" t="s">
        <v>195</v>
      </c>
      <c r="I160" s="7" t="s">
        <v>195</v>
      </c>
      <c r="J160" s="7" t="s">
        <v>195</v>
      </c>
      <c r="K160" s="7" t="s">
        <v>195</v>
      </c>
      <c r="L160" s="7" t="s">
        <v>195</v>
      </c>
      <c r="M160" s="7" t="s">
        <v>29</v>
      </c>
      <c r="N160" s="7" t="s">
        <v>29</v>
      </c>
      <c r="O160" s="7" t="s">
        <v>29</v>
      </c>
      <c r="P160" s="7" t="s">
        <v>29</v>
      </c>
      <c r="Q160" s="7" t="s">
        <v>29</v>
      </c>
      <c r="R160" s="7" t="s">
        <v>29</v>
      </c>
      <c r="S160" s="7" t="s">
        <v>29</v>
      </c>
    </row>
    <row r="161" spans="2:19">
      <c r="B161" s="7" t="s">
        <v>195</v>
      </c>
      <c r="C161" s="8" t="s">
        <v>195</v>
      </c>
      <c r="D161" s="5" t="str">
        <f>LRTRIM(CONCATENATE(IF(SUMPRODUCT(-- ISNUMBER(SEARCH({"Auto Number"}, $B161))) &gt; 0, $B161, IF(SUMPRODUCT(-- ISNUMBER(SEARCH({"Lookup","Master-Detail"}, $B161))) &gt; 0,$B161 &amp; "(" &amp; $E161 &amp; ")",IF(SUMPRODUCT(-- ISNUMBER(SEARCH({"Formula","Roll-Up Summary"}, $B161))) &gt; 0,$B161 &amp; " (" &amp; $E161 &amp; ")",IF(SUMPRODUCT(-- ISNUMBER(SEARCH({"Content","Currency","Number","Percent","Text","URL"}, $B161))) &gt; 0,$B161 &amp; "(" &amp; $C161 &amp; ")",$B161)))), "  ", TRIM(IF($S161 = "YES", "(External ID)", "") &amp; " " &amp; IF(SUMPRODUCT(-- ISNUMBER(SEARCH({"Unique","Unique Case Insensitive"}, $R161))) &gt; 0, "(" &amp; $R161 &amp; ")", ""))))</f>
        <v>na</v>
      </c>
      <c r="E161" s="7" t="s">
        <v>195</v>
      </c>
      <c r="F161" s="7" t="s">
        <v>195</v>
      </c>
      <c r="G161" s="7" t="s">
        <v>195</v>
      </c>
      <c r="H161" s="7" t="s">
        <v>195</v>
      </c>
      <c r="I161" s="7" t="s">
        <v>195</v>
      </c>
      <c r="J161" s="7" t="s">
        <v>195</v>
      </c>
      <c r="K161" s="7" t="s">
        <v>195</v>
      </c>
      <c r="L161" s="7" t="s">
        <v>195</v>
      </c>
      <c r="M161" s="7" t="s">
        <v>29</v>
      </c>
      <c r="N161" s="7" t="s">
        <v>29</v>
      </c>
      <c r="O161" s="7" t="s">
        <v>29</v>
      </c>
      <c r="P161" s="7" t="s">
        <v>29</v>
      </c>
      <c r="Q161" s="7" t="s">
        <v>29</v>
      </c>
      <c r="R161" s="7" t="s">
        <v>29</v>
      </c>
      <c r="S161" s="7" t="s">
        <v>29</v>
      </c>
    </row>
    <row r="162" spans="2:19">
      <c r="B162" s="7" t="s">
        <v>195</v>
      </c>
      <c r="C162" s="8" t="s">
        <v>195</v>
      </c>
      <c r="D162" s="5" t="str">
        <f>LRTRIM(CONCATENATE(IF(SUMPRODUCT(-- ISNUMBER(SEARCH({"Auto Number"}, $B162))) &gt; 0, $B162, IF(SUMPRODUCT(-- ISNUMBER(SEARCH({"Lookup","Master-Detail"}, $B162))) &gt; 0,$B162 &amp; "(" &amp; $E162 &amp; ")",IF(SUMPRODUCT(-- ISNUMBER(SEARCH({"Formula","Roll-Up Summary"}, $B162))) &gt; 0,$B162 &amp; " (" &amp; $E162 &amp; ")",IF(SUMPRODUCT(-- ISNUMBER(SEARCH({"Content","Currency","Number","Percent","Text","URL"}, $B162))) &gt; 0,$B162 &amp; "(" &amp; $C162 &amp; ")",$B162)))), "  ", TRIM(IF($S162 = "YES", "(External ID)", "") &amp; " " &amp; IF(SUMPRODUCT(-- ISNUMBER(SEARCH({"Unique","Unique Case Insensitive"}, $R162))) &gt; 0, "(" &amp; $R162 &amp; ")", ""))))</f>
        <v>na</v>
      </c>
      <c r="E162" s="7" t="s">
        <v>195</v>
      </c>
      <c r="F162" s="7" t="s">
        <v>195</v>
      </c>
      <c r="G162" s="7" t="s">
        <v>195</v>
      </c>
      <c r="H162" s="7" t="s">
        <v>195</v>
      </c>
      <c r="I162" s="7" t="s">
        <v>195</v>
      </c>
      <c r="J162" s="7" t="s">
        <v>195</v>
      </c>
      <c r="K162" s="7" t="s">
        <v>195</v>
      </c>
      <c r="L162" s="7" t="s">
        <v>195</v>
      </c>
      <c r="M162" s="7" t="s">
        <v>29</v>
      </c>
      <c r="N162" s="7" t="s">
        <v>29</v>
      </c>
      <c r="O162" s="7" t="s">
        <v>29</v>
      </c>
      <c r="P162" s="7" t="s">
        <v>29</v>
      </c>
      <c r="Q162" s="7" t="s">
        <v>29</v>
      </c>
      <c r="R162" s="7" t="s">
        <v>29</v>
      </c>
      <c r="S162" s="7" t="s">
        <v>29</v>
      </c>
    </row>
    <row r="163" spans="2:19">
      <c r="B163" s="7" t="s">
        <v>195</v>
      </c>
      <c r="C163" s="8" t="s">
        <v>195</v>
      </c>
      <c r="D163" s="5" t="str">
        <f>LRTRIM(CONCATENATE(IF(SUMPRODUCT(-- ISNUMBER(SEARCH({"Auto Number"}, $B163))) &gt; 0, $B163, IF(SUMPRODUCT(-- ISNUMBER(SEARCH({"Lookup","Master-Detail"}, $B163))) &gt; 0,$B163 &amp; "(" &amp; $E163 &amp; ")",IF(SUMPRODUCT(-- ISNUMBER(SEARCH({"Formula","Roll-Up Summary"}, $B163))) &gt; 0,$B163 &amp; " (" &amp; $E163 &amp; ")",IF(SUMPRODUCT(-- ISNUMBER(SEARCH({"Content","Currency","Number","Percent","Text","URL"}, $B163))) &gt; 0,$B163 &amp; "(" &amp; $C163 &amp; ")",$B163)))), "  ", TRIM(IF($S163 = "YES", "(External ID)", "") &amp; " " &amp; IF(SUMPRODUCT(-- ISNUMBER(SEARCH({"Unique","Unique Case Insensitive"}, $R163))) &gt; 0, "(" &amp; $R163 &amp; ")", ""))))</f>
        <v>na</v>
      </c>
      <c r="E163" s="7" t="s">
        <v>195</v>
      </c>
      <c r="F163" s="7" t="s">
        <v>195</v>
      </c>
      <c r="G163" s="7" t="s">
        <v>195</v>
      </c>
      <c r="H163" s="7" t="s">
        <v>195</v>
      </c>
      <c r="I163" s="7" t="s">
        <v>195</v>
      </c>
      <c r="J163" s="7" t="s">
        <v>195</v>
      </c>
      <c r="K163" s="7" t="s">
        <v>195</v>
      </c>
      <c r="L163" s="7" t="s">
        <v>195</v>
      </c>
      <c r="M163" s="7" t="s">
        <v>29</v>
      </c>
      <c r="N163" s="7" t="s">
        <v>29</v>
      </c>
      <c r="O163" s="7" t="s">
        <v>29</v>
      </c>
      <c r="P163" s="7" t="s">
        <v>29</v>
      </c>
      <c r="Q163" s="7" t="s">
        <v>29</v>
      </c>
      <c r="R163" s="7" t="s">
        <v>29</v>
      </c>
      <c r="S163" s="7" t="s">
        <v>29</v>
      </c>
    </row>
    <row r="164" spans="2:19">
      <c r="B164" s="7" t="s">
        <v>195</v>
      </c>
      <c r="C164" s="8" t="s">
        <v>195</v>
      </c>
      <c r="D164" s="5" t="str">
        <f>LRTRIM(CONCATENATE(IF(SUMPRODUCT(-- ISNUMBER(SEARCH({"Auto Number"}, $B164))) &gt; 0, $B164, IF(SUMPRODUCT(-- ISNUMBER(SEARCH({"Lookup","Master-Detail"}, $B164))) &gt; 0,$B164 &amp; "(" &amp; $E164 &amp; ")",IF(SUMPRODUCT(-- ISNUMBER(SEARCH({"Formula","Roll-Up Summary"}, $B164))) &gt; 0,$B164 &amp; " (" &amp; $E164 &amp; ")",IF(SUMPRODUCT(-- ISNUMBER(SEARCH({"Content","Currency","Number","Percent","Text","URL"}, $B164))) &gt; 0,$B164 &amp; "(" &amp; $C164 &amp; ")",$B164)))), "  ", TRIM(IF($S164 = "YES", "(External ID)", "") &amp; " " &amp; IF(SUMPRODUCT(-- ISNUMBER(SEARCH({"Unique","Unique Case Insensitive"}, $R164))) &gt; 0, "(" &amp; $R164 &amp; ")", ""))))</f>
        <v>na</v>
      </c>
      <c r="E164" s="7" t="s">
        <v>195</v>
      </c>
      <c r="F164" s="7" t="s">
        <v>195</v>
      </c>
      <c r="G164" s="7" t="s">
        <v>195</v>
      </c>
      <c r="H164" s="7" t="s">
        <v>195</v>
      </c>
      <c r="I164" s="7" t="s">
        <v>195</v>
      </c>
      <c r="J164" s="7" t="s">
        <v>195</v>
      </c>
      <c r="K164" s="7" t="s">
        <v>195</v>
      </c>
      <c r="L164" s="7" t="s">
        <v>195</v>
      </c>
      <c r="M164" s="7" t="s">
        <v>29</v>
      </c>
      <c r="N164" s="7" t="s">
        <v>29</v>
      </c>
      <c r="O164" s="7" t="s">
        <v>29</v>
      </c>
      <c r="P164" s="7" t="s">
        <v>29</v>
      </c>
      <c r="Q164" s="7" t="s">
        <v>29</v>
      </c>
      <c r="R164" s="7" t="s">
        <v>29</v>
      </c>
      <c r="S164" s="7" t="s">
        <v>29</v>
      </c>
    </row>
    <row r="165" spans="2:19">
      <c r="B165" s="7" t="s">
        <v>195</v>
      </c>
      <c r="C165" s="8" t="s">
        <v>195</v>
      </c>
      <c r="D165" s="5" t="str">
        <f>LRTRIM(CONCATENATE(IF(SUMPRODUCT(-- ISNUMBER(SEARCH({"Auto Number"}, $B165))) &gt; 0, $B165, IF(SUMPRODUCT(-- ISNUMBER(SEARCH({"Lookup","Master-Detail"}, $B165))) &gt; 0,$B165 &amp; "(" &amp; $E165 &amp; ")",IF(SUMPRODUCT(-- ISNUMBER(SEARCH({"Formula","Roll-Up Summary"}, $B165))) &gt; 0,$B165 &amp; " (" &amp; $E165 &amp; ")",IF(SUMPRODUCT(-- ISNUMBER(SEARCH({"Content","Currency","Number","Percent","Text","URL"}, $B165))) &gt; 0,$B165 &amp; "(" &amp; $C165 &amp; ")",$B165)))), "  ", TRIM(IF($S165 = "YES", "(External ID)", "") &amp; " " &amp; IF(SUMPRODUCT(-- ISNUMBER(SEARCH({"Unique","Unique Case Insensitive"}, $R165))) &gt; 0, "(" &amp; $R165 &amp; ")", ""))))</f>
        <v>na</v>
      </c>
      <c r="E165" s="7" t="s">
        <v>195</v>
      </c>
      <c r="F165" s="7" t="s">
        <v>195</v>
      </c>
      <c r="G165" s="7" t="s">
        <v>195</v>
      </c>
      <c r="H165" s="7" t="s">
        <v>195</v>
      </c>
      <c r="I165" s="7" t="s">
        <v>195</v>
      </c>
      <c r="J165" s="7" t="s">
        <v>195</v>
      </c>
      <c r="K165" s="7" t="s">
        <v>195</v>
      </c>
      <c r="L165" s="7" t="s">
        <v>195</v>
      </c>
      <c r="M165" s="7" t="s">
        <v>29</v>
      </c>
      <c r="N165" s="7" t="s">
        <v>29</v>
      </c>
      <c r="O165" s="7" t="s">
        <v>29</v>
      </c>
      <c r="P165" s="7" t="s">
        <v>29</v>
      </c>
      <c r="Q165" s="7" t="s">
        <v>29</v>
      </c>
      <c r="R165" s="7" t="s">
        <v>29</v>
      </c>
      <c r="S165" s="7" t="s">
        <v>29</v>
      </c>
    </row>
    <row r="166" spans="2:19">
      <c r="B166" s="7" t="s">
        <v>195</v>
      </c>
      <c r="C166" s="8" t="s">
        <v>195</v>
      </c>
      <c r="D166" s="5" t="str">
        <f>LRTRIM(CONCATENATE(IF(SUMPRODUCT(-- ISNUMBER(SEARCH({"Auto Number"}, $B166))) &gt; 0, $B166, IF(SUMPRODUCT(-- ISNUMBER(SEARCH({"Lookup","Master-Detail"}, $B166))) &gt; 0,$B166 &amp; "(" &amp; $E166 &amp; ")",IF(SUMPRODUCT(-- ISNUMBER(SEARCH({"Formula","Roll-Up Summary"}, $B166))) &gt; 0,$B166 &amp; " (" &amp; $E166 &amp; ")",IF(SUMPRODUCT(-- ISNUMBER(SEARCH({"Content","Currency","Number","Percent","Text","URL"}, $B166))) &gt; 0,$B166 &amp; "(" &amp; $C166 &amp; ")",$B166)))), "  ", TRIM(IF($S166 = "YES", "(External ID)", "") &amp; " " &amp; IF(SUMPRODUCT(-- ISNUMBER(SEARCH({"Unique","Unique Case Insensitive"}, $R166))) &gt; 0, "(" &amp; $R166 &amp; ")", ""))))</f>
        <v>na</v>
      </c>
      <c r="E166" s="7" t="s">
        <v>195</v>
      </c>
      <c r="F166" s="7" t="s">
        <v>195</v>
      </c>
      <c r="G166" s="7" t="s">
        <v>195</v>
      </c>
      <c r="H166" s="7" t="s">
        <v>195</v>
      </c>
      <c r="I166" s="7" t="s">
        <v>195</v>
      </c>
      <c r="J166" s="7" t="s">
        <v>195</v>
      </c>
      <c r="K166" s="7" t="s">
        <v>195</v>
      </c>
      <c r="L166" s="7" t="s">
        <v>195</v>
      </c>
      <c r="M166" s="7" t="s">
        <v>29</v>
      </c>
      <c r="N166" s="7" t="s">
        <v>29</v>
      </c>
      <c r="O166" s="7" t="s">
        <v>29</v>
      </c>
      <c r="P166" s="7" t="s">
        <v>29</v>
      </c>
      <c r="Q166" s="7" t="s">
        <v>29</v>
      </c>
      <c r="R166" s="7" t="s">
        <v>29</v>
      </c>
      <c r="S166" s="7" t="s">
        <v>29</v>
      </c>
    </row>
    <row r="167" spans="2:19">
      <c r="B167" s="7" t="s">
        <v>195</v>
      </c>
      <c r="C167" s="8" t="s">
        <v>195</v>
      </c>
      <c r="D167" s="5" t="str">
        <f>LRTRIM(CONCATENATE(IF(SUMPRODUCT(-- ISNUMBER(SEARCH({"Auto Number"}, $B167))) &gt; 0, $B167, IF(SUMPRODUCT(-- ISNUMBER(SEARCH({"Lookup","Master-Detail"}, $B167))) &gt; 0,$B167 &amp; "(" &amp; $E167 &amp; ")",IF(SUMPRODUCT(-- ISNUMBER(SEARCH({"Formula","Roll-Up Summary"}, $B167))) &gt; 0,$B167 &amp; " (" &amp; $E167 &amp; ")",IF(SUMPRODUCT(-- ISNUMBER(SEARCH({"Content","Currency","Number","Percent","Text","URL"}, $B167))) &gt; 0,$B167 &amp; "(" &amp; $C167 &amp; ")",$B167)))), "  ", TRIM(IF($S167 = "YES", "(External ID)", "") &amp; " " &amp; IF(SUMPRODUCT(-- ISNUMBER(SEARCH({"Unique","Unique Case Insensitive"}, $R167))) &gt; 0, "(" &amp; $R167 &amp; ")", ""))))</f>
        <v>na</v>
      </c>
      <c r="E167" s="7" t="s">
        <v>195</v>
      </c>
      <c r="F167" s="7" t="s">
        <v>195</v>
      </c>
      <c r="G167" s="7" t="s">
        <v>195</v>
      </c>
      <c r="H167" s="7" t="s">
        <v>195</v>
      </c>
      <c r="I167" s="7" t="s">
        <v>195</v>
      </c>
      <c r="J167" s="7" t="s">
        <v>195</v>
      </c>
      <c r="K167" s="7" t="s">
        <v>195</v>
      </c>
      <c r="L167" s="7" t="s">
        <v>195</v>
      </c>
      <c r="M167" s="7" t="s">
        <v>29</v>
      </c>
      <c r="N167" s="7" t="s">
        <v>29</v>
      </c>
      <c r="O167" s="7" t="s">
        <v>29</v>
      </c>
      <c r="P167" s="7" t="s">
        <v>29</v>
      </c>
      <c r="Q167" s="7" t="s">
        <v>29</v>
      </c>
      <c r="R167" s="7" t="s">
        <v>29</v>
      </c>
      <c r="S167" s="7" t="s">
        <v>29</v>
      </c>
    </row>
    <row r="168" spans="2:19">
      <c r="B168" s="7" t="s">
        <v>195</v>
      </c>
      <c r="C168" s="8" t="s">
        <v>195</v>
      </c>
      <c r="D168" s="5" t="str">
        <f>LRTRIM(CONCATENATE(IF(SUMPRODUCT(-- ISNUMBER(SEARCH({"Auto Number"}, $B168))) &gt; 0, $B168, IF(SUMPRODUCT(-- ISNUMBER(SEARCH({"Lookup","Master-Detail"}, $B168))) &gt; 0,$B168 &amp; "(" &amp; $E168 &amp; ")",IF(SUMPRODUCT(-- ISNUMBER(SEARCH({"Formula","Roll-Up Summary"}, $B168))) &gt; 0,$B168 &amp; " (" &amp; $E168 &amp; ")",IF(SUMPRODUCT(-- ISNUMBER(SEARCH({"Content","Currency","Number","Percent","Text","URL"}, $B168))) &gt; 0,$B168 &amp; "(" &amp; $C168 &amp; ")",$B168)))), "  ", TRIM(IF($S168 = "YES", "(External ID)", "") &amp; " " &amp; IF(SUMPRODUCT(-- ISNUMBER(SEARCH({"Unique","Unique Case Insensitive"}, $R168))) &gt; 0, "(" &amp; $R168 &amp; ")", ""))))</f>
        <v>na</v>
      </c>
      <c r="E168" s="7" t="s">
        <v>195</v>
      </c>
      <c r="F168" s="7" t="s">
        <v>195</v>
      </c>
      <c r="G168" s="7" t="s">
        <v>195</v>
      </c>
      <c r="H168" s="7" t="s">
        <v>195</v>
      </c>
      <c r="I168" s="7" t="s">
        <v>195</v>
      </c>
      <c r="J168" s="7" t="s">
        <v>195</v>
      </c>
      <c r="K168" s="7" t="s">
        <v>195</v>
      </c>
      <c r="L168" s="7" t="s">
        <v>195</v>
      </c>
      <c r="M168" s="7" t="s">
        <v>29</v>
      </c>
      <c r="N168" s="7" t="s">
        <v>29</v>
      </c>
      <c r="O168" s="7" t="s">
        <v>29</v>
      </c>
      <c r="P168" s="7" t="s">
        <v>29</v>
      </c>
      <c r="Q168" s="7" t="s">
        <v>29</v>
      </c>
      <c r="R168" s="7" t="s">
        <v>29</v>
      </c>
      <c r="S168" s="7" t="s">
        <v>29</v>
      </c>
    </row>
    <row r="169" spans="2:19">
      <c r="B169" s="7" t="s">
        <v>195</v>
      </c>
      <c r="C169" s="8" t="s">
        <v>195</v>
      </c>
      <c r="D169" s="5" t="str">
        <f>LRTRIM(CONCATENATE(IF(SUMPRODUCT(-- ISNUMBER(SEARCH({"Auto Number"}, $B169))) &gt; 0, $B169, IF(SUMPRODUCT(-- ISNUMBER(SEARCH({"Lookup","Master-Detail"}, $B169))) &gt; 0,$B169 &amp; "(" &amp; $E169 &amp; ")",IF(SUMPRODUCT(-- ISNUMBER(SEARCH({"Formula","Roll-Up Summary"}, $B169))) &gt; 0,$B169 &amp; " (" &amp; $E169 &amp; ")",IF(SUMPRODUCT(-- ISNUMBER(SEARCH({"Content","Currency","Number","Percent","Text","URL"}, $B169))) &gt; 0,$B169 &amp; "(" &amp; $C169 &amp; ")",$B169)))), "  ", TRIM(IF($S169 = "YES", "(External ID)", "") &amp; " " &amp; IF(SUMPRODUCT(-- ISNUMBER(SEARCH({"Unique","Unique Case Insensitive"}, $R169))) &gt; 0, "(" &amp; $R169 &amp; ")", ""))))</f>
        <v>na</v>
      </c>
      <c r="E169" s="7" t="s">
        <v>195</v>
      </c>
      <c r="F169" s="7" t="s">
        <v>195</v>
      </c>
      <c r="G169" s="7" t="s">
        <v>195</v>
      </c>
      <c r="H169" s="7" t="s">
        <v>195</v>
      </c>
      <c r="I169" s="7" t="s">
        <v>195</v>
      </c>
      <c r="J169" s="7" t="s">
        <v>195</v>
      </c>
      <c r="K169" s="7" t="s">
        <v>195</v>
      </c>
      <c r="L169" s="7" t="s">
        <v>195</v>
      </c>
      <c r="M169" s="7" t="s">
        <v>29</v>
      </c>
      <c r="N169" s="7" t="s">
        <v>29</v>
      </c>
      <c r="O169" s="7" t="s">
        <v>29</v>
      </c>
      <c r="P169" s="7" t="s">
        <v>29</v>
      </c>
      <c r="Q169" s="7" t="s">
        <v>29</v>
      </c>
      <c r="R169" s="7" t="s">
        <v>29</v>
      </c>
      <c r="S169" s="7" t="s">
        <v>29</v>
      </c>
    </row>
    <row r="170" spans="2:19">
      <c r="B170" s="7" t="s">
        <v>195</v>
      </c>
      <c r="C170" s="8" t="s">
        <v>195</v>
      </c>
      <c r="D170" s="5" t="str">
        <f>LRTRIM(CONCATENATE(IF(SUMPRODUCT(-- ISNUMBER(SEARCH({"Auto Number"}, $B170))) &gt; 0, $B170, IF(SUMPRODUCT(-- ISNUMBER(SEARCH({"Lookup","Master-Detail"}, $B170))) &gt; 0,$B170 &amp; "(" &amp; $E170 &amp; ")",IF(SUMPRODUCT(-- ISNUMBER(SEARCH({"Formula","Roll-Up Summary"}, $B170))) &gt; 0,$B170 &amp; " (" &amp; $E170 &amp; ")",IF(SUMPRODUCT(-- ISNUMBER(SEARCH({"Content","Currency","Number","Percent","Text","URL"}, $B170))) &gt; 0,$B170 &amp; "(" &amp; $C170 &amp; ")",$B170)))), "  ", TRIM(IF($S170 = "YES", "(External ID)", "") &amp; " " &amp; IF(SUMPRODUCT(-- ISNUMBER(SEARCH({"Unique","Unique Case Insensitive"}, $R170))) &gt; 0, "(" &amp; $R170 &amp; ")", ""))))</f>
        <v>na</v>
      </c>
      <c r="E170" s="7" t="s">
        <v>195</v>
      </c>
      <c r="F170" s="7" t="s">
        <v>195</v>
      </c>
      <c r="G170" s="7" t="s">
        <v>195</v>
      </c>
      <c r="H170" s="7" t="s">
        <v>195</v>
      </c>
      <c r="I170" s="7" t="s">
        <v>195</v>
      </c>
      <c r="J170" s="7" t="s">
        <v>195</v>
      </c>
      <c r="K170" s="7" t="s">
        <v>195</v>
      </c>
      <c r="L170" s="7" t="s">
        <v>195</v>
      </c>
      <c r="M170" s="7" t="s">
        <v>29</v>
      </c>
      <c r="N170" s="7" t="s">
        <v>29</v>
      </c>
      <c r="O170" s="7" t="s">
        <v>29</v>
      </c>
      <c r="P170" s="7" t="s">
        <v>29</v>
      </c>
      <c r="Q170" s="7" t="s">
        <v>29</v>
      </c>
      <c r="R170" s="7" t="s">
        <v>29</v>
      </c>
      <c r="S170" s="7" t="s">
        <v>29</v>
      </c>
    </row>
    <row r="171" spans="2:19">
      <c r="B171" s="7" t="s">
        <v>195</v>
      </c>
      <c r="C171" s="8" t="s">
        <v>195</v>
      </c>
      <c r="D171" s="5" t="str">
        <f>LRTRIM(CONCATENATE(IF(SUMPRODUCT(-- ISNUMBER(SEARCH({"Auto Number"}, $B171))) &gt; 0, $B171, IF(SUMPRODUCT(-- ISNUMBER(SEARCH({"Lookup","Master-Detail"}, $B171))) &gt; 0,$B171 &amp; "(" &amp; $E171 &amp; ")",IF(SUMPRODUCT(-- ISNUMBER(SEARCH({"Formula","Roll-Up Summary"}, $B171))) &gt; 0,$B171 &amp; " (" &amp; $E171 &amp; ")",IF(SUMPRODUCT(-- ISNUMBER(SEARCH({"Content","Currency","Number","Percent","Text","URL"}, $B171))) &gt; 0,$B171 &amp; "(" &amp; $C171 &amp; ")",$B171)))), "  ", TRIM(IF($S171 = "YES", "(External ID)", "") &amp; " " &amp; IF(SUMPRODUCT(-- ISNUMBER(SEARCH({"Unique","Unique Case Insensitive"}, $R171))) &gt; 0, "(" &amp; $R171 &amp; ")", ""))))</f>
        <v>na</v>
      </c>
      <c r="E171" s="7" t="s">
        <v>195</v>
      </c>
      <c r="F171" s="7" t="s">
        <v>195</v>
      </c>
      <c r="G171" s="7" t="s">
        <v>195</v>
      </c>
      <c r="H171" s="7" t="s">
        <v>195</v>
      </c>
      <c r="I171" s="7" t="s">
        <v>195</v>
      </c>
      <c r="J171" s="7" t="s">
        <v>195</v>
      </c>
      <c r="K171" s="7" t="s">
        <v>195</v>
      </c>
      <c r="L171" s="7" t="s">
        <v>195</v>
      </c>
      <c r="M171" s="7" t="s">
        <v>29</v>
      </c>
      <c r="N171" s="7" t="s">
        <v>29</v>
      </c>
      <c r="O171" s="7" t="s">
        <v>29</v>
      </c>
      <c r="P171" s="7" t="s">
        <v>29</v>
      </c>
      <c r="Q171" s="7" t="s">
        <v>29</v>
      </c>
      <c r="R171" s="7" t="s">
        <v>29</v>
      </c>
      <c r="S171" s="7" t="s">
        <v>29</v>
      </c>
    </row>
    <row r="172" spans="2:19">
      <c r="B172" s="7" t="s">
        <v>195</v>
      </c>
      <c r="C172" s="8" t="s">
        <v>195</v>
      </c>
      <c r="D172" s="5" t="str">
        <f>LRTRIM(CONCATENATE(IF(SUMPRODUCT(-- ISNUMBER(SEARCH({"Auto Number"}, $B172))) &gt; 0, $B172, IF(SUMPRODUCT(-- ISNUMBER(SEARCH({"Lookup","Master-Detail"}, $B172))) &gt; 0,$B172 &amp; "(" &amp; $E172 &amp; ")",IF(SUMPRODUCT(-- ISNUMBER(SEARCH({"Formula","Roll-Up Summary"}, $B172))) &gt; 0,$B172 &amp; " (" &amp; $E172 &amp; ")",IF(SUMPRODUCT(-- ISNUMBER(SEARCH({"Content","Currency","Number","Percent","Text","URL"}, $B172))) &gt; 0,$B172 &amp; "(" &amp; $C172 &amp; ")",$B172)))), "  ", TRIM(IF($S172 = "YES", "(External ID)", "") &amp; " " &amp; IF(SUMPRODUCT(-- ISNUMBER(SEARCH({"Unique","Unique Case Insensitive"}, $R172))) &gt; 0, "(" &amp; $R172 &amp; ")", ""))))</f>
        <v>na</v>
      </c>
      <c r="E172" s="7" t="s">
        <v>195</v>
      </c>
      <c r="F172" s="7" t="s">
        <v>195</v>
      </c>
      <c r="G172" s="7" t="s">
        <v>195</v>
      </c>
      <c r="H172" s="7" t="s">
        <v>195</v>
      </c>
      <c r="I172" s="7" t="s">
        <v>195</v>
      </c>
      <c r="J172" s="7" t="s">
        <v>195</v>
      </c>
      <c r="K172" s="7" t="s">
        <v>195</v>
      </c>
      <c r="L172" s="7" t="s">
        <v>195</v>
      </c>
      <c r="M172" s="7" t="s">
        <v>29</v>
      </c>
      <c r="N172" s="7" t="s">
        <v>29</v>
      </c>
      <c r="O172" s="7" t="s">
        <v>29</v>
      </c>
      <c r="P172" s="7" t="s">
        <v>29</v>
      </c>
      <c r="Q172" s="7" t="s">
        <v>29</v>
      </c>
      <c r="R172" s="7" t="s">
        <v>29</v>
      </c>
      <c r="S172" s="7" t="s">
        <v>29</v>
      </c>
    </row>
    <row r="173" spans="2:19">
      <c r="B173" s="7" t="s">
        <v>195</v>
      </c>
      <c r="C173" s="8" t="s">
        <v>195</v>
      </c>
      <c r="D173" s="5" t="str">
        <f>LRTRIM(CONCATENATE(IF(SUMPRODUCT(-- ISNUMBER(SEARCH({"Auto Number"}, $B173))) &gt; 0, $B173, IF(SUMPRODUCT(-- ISNUMBER(SEARCH({"Lookup","Master-Detail"}, $B173))) &gt; 0,$B173 &amp; "(" &amp; $E173 &amp; ")",IF(SUMPRODUCT(-- ISNUMBER(SEARCH({"Formula","Roll-Up Summary"}, $B173))) &gt; 0,$B173 &amp; " (" &amp; $E173 &amp; ")",IF(SUMPRODUCT(-- ISNUMBER(SEARCH({"Content","Currency","Number","Percent","Text","URL"}, $B173))) &gt; 0,$B173 &amp; "(" &amp; $C173 &amp; ")",$B173)))), "  ", TRIM(IF($S173 = "YES", "(External ID)", "") &amp; " " &amp; IF(SUMPRODUCT(-- ISNUMBER(SEARCH({"Unique","Unique Case Insensitive"}, $R173))) &gt; 0, "(" &amp; $R173 &amp; ")", ""))))</f>
        <v>na</v>
      </c>
      <c r="E173" s="7" t="s">
        <v>195</v>
      </c>
      <c r="F173" s="7" t="s">
        <v>195</v>
      </c>
      <c r="G173" s="7" t="s">
        <v>195</v>
      </c>
      <c r="H173" s="7" t="s">
        <v>195</v>
      </c>
      <c r="I173" s="7" t="s">
        <v>195</v>
      </c>
      <c r="J173" s="7" t="s">
        <v>195</v>
      </c>
      <c r="K173" s="7" t="s">
        <v>195</v>
      </c>
      <c r="L173" s="7" t="s">
        <v>195</v>
      </c>
      <c r="M173" s="7" t="s">
        <v>29</v>
      </c>
      <c r="N173" s="7" t="s">
        <v>29</v>
      </c>
      <c r="O173" s="7" t="s">
        <v>29</v>
      </c>
      <c r="P173" s="7" t="s">
        <v>29</v>
      </c>
      <c r="Q173" s="7" t="s">
        <v>29</v>
      </c>
      <c r="R173" s="7" t="s">
        <v>29</v>
      </c>
      <c r="S173" s="7" t="s">
        <v>29</v>
      </c>
    </row>
    <row r="174" spans="2:19">
      <c r="B174" s="7" t="s">
        <v>195</v>
      </c>
      <c r="C174" s="8" t="s">
        <v>195</v>
      </c>
      <c r="D174" s="5" t="str">
        <f>LRTRIM(CONCATENATE(IF(SUMPRODUCT(-- ISNUMBER(SEARCH({"Auto Number"}, $B174))) &gt; 0, $B174, IF(SUMPRODUCT(-- ISNUMBER(SEARCH({"Lookup","Master-Detail"}, $B174))) &gt; 0,$B174 &amp; "(" &amp; $E174 &amp; ")",IF(SUMPRODUCT(-- ISNUMBER(SEARCH({"Formula","Roll-Up Summary"}, $B174))) &gt; 0,$B174 &amp; " (" &amp; $E174 &amp; ")",IF(SUMPRODUCT(-- ISNUMBER(SEARCH({"Content","Currency","Number","Percent","Text","URL"}, $B174))) &gt; 0,$B174 &amp; "(" &amp; $C174 &amp; ")",$B174)))), "  ", TRIM(IF($S174 = "YES", "(External ID)", "") &amp; " " &amp; IF(SUMPRODUCT(-- ISNUMBER(SEARCH({"Unique","Unique Case Insensitive"}, $R174))) &gt; 0, "(" &amp; $R174 &amp; ")", ""))))</f>
        <v>na</v>
      </c>
      <c r="E174" s="7" t="s">
        <v>195</v>
      </c>
      <c r="F174" s="7" t="s">
        <v>195</v>
      </c>
      <c r="G174" s="7" t="s">
        <v>195</v>
      </c>
      <c r="H174" s="7" t="s">
        <v>195</v>
      </c>
      <c r="I174" s="7" t="s">
        <v>195</v>
      </c>
      <c r="J174" s="7" t="s">
        <v>195</v>
      </c>
      <c r="K174" s="7" t="s">
        <v>195</v>
      </c>
      <c r="L174" s="7" t="s">
        <v>195</v>
      </c>
      <c r="M174" s="7" t="s">
        <v>29</v>
      </c>
      <c r="N174" s="7" t="s">
        <v>29</v>
      </c>
      <c r="O174" s="7" t="s">
        <v>29</v>
      </c>
      <c r="P174" s="7" t="s">
        <v>29</v>
      </c>
      <c r="Q174" s="7" t="s">
        <v>29</v>
      </c>
      <c r="R174" s="7" t="s">
        <v>29</v>
      </c>
      <c r="S174" s="7" t="s">
        <v>29</v>
      </c>
    </row>
    <row r="175" spans="2:19">
      <c r="B175" s="7" t="s">
        <v>195</v>
      </c>
      <c r="C175" s="8" t="s">
        <v>195</v>
      </c>
      <c r="D175" s="5" t="str">
        <f>LRTRIM(CONCATENATE(IF(SUMPRODUCT(-- ISNUMBER(SEARCH({"Auto Number"}, $B175))) &gt; 0, $B175, IF(SUMPRODUCT(-- ISNUMBER(SEARCH({"Lookup","Master-Detail"}, $B175))) &gt; 0,$B175 &amp; "(" &amp; $E175 &amp; ")",IF(SUMPRODUCT(-- ISNUMBER(SEARCH({"Formula","Roll-Up Summary"}, $B175))) &gt; 0,$B175 &amp; " (" &amp; $E175 &amp; ")",IF(SUMPRODUCT(-- ISNUMBER(SEARCH({"Content","Currency","Number","Percent","Text","URL"}, $B175))) &gt; 0,$B175 &amp; "(" &amp; $C175 &amp; ")",$B175)))), "  ", TRIM(IF($S175 = "YES", "(External ID)", "") &amp; " " &amp; IF(SUMPRODUCT(-- ISNUMBER(SEARCH({"Unique","Unique Case Insensitive"}, $R175))) &gt; 0, "(" &amp; $R175 &amp; ")", ""))))</f>
        <v>na</v>
      </c>
      <c r="E175" s="7" t="s">
        <v>195</v>
      </c>
      <c r="F175" s="7" t="s">
        <v>195</v>
      </c>
      <c r="G175" s="7" t="s">
        <v>195</v>
      </c>
      <c r="H175" s="7" t="s">
        <v>195</v>
      </c>
      <c r="I175" s="7" t="s">
        <v>195</v>
      </c>
      <c r="J175" s="7" t="s">
        <v>195</v>
      </c>
      <c r="K175" s="7" t="s">
        <v>195</v>
      </c>
      <c r="L175" s="7" t="s">
        <v>195</v>
      </c>
      <c r="M175" s="7" t="s">
        <v>29</v>
      </c>
      <c r="N175" s="7" t="s">
        <v>29</v>
      </c>
      <c r="O175" s="7" t="s">
        <v>29</v>
      </c>
      <c r="P175" s="7" t="s">
        <v>29</v>
      </c>
      <c r="Q175" s="7" t="s">
        <v>29</v>
      </c>
      <c r="R175" s="7" t="s">
        <v>29</v>
      </c>
      <c r="S175" s="7" t="s">
        <v>29</v>
      </c>
    </row>
    <row r="176" spans="2:19">
      <c r="B176" s="7" t="s">
        <v>195</v>
      </c>
      <c r="C176" s="8" t="s">
        <v>195</v>
      </c>
      <c r="D176" s="5" t="str">
        <f>LRTRIM(CONCATENATE(IF(SUMPRODUCT(-- ISNUMBER(SEARCH({"Auto Number"}, $B176))) &gt; 0, $B176, IF(SUMPRODUCT(-- ISNUMBER(SEARCH({"Lookup","Master-Detail"}, $B176))) &gt; 0,$B176 &amp; "(" &amp; $E176 &amp; ")",IF(SUMPRODUCT(-- ISNUMBER(SEARCH({"Formula","Roll-Up Summary"}, $B176))) &gt; 0,$B176 &amp; " (" &amp; $E176 &amp; ")",IF(SUMPRODUCT(-- ISNUMBER(SEARCH({"Content","Currency","Number","Percent","Text","URL"}, $B176))) &gt; 0,$B176 &amp; "(" &amp; $C176 &amp; ")",$B176)))), "  ", TRIM(IF($S176 = "YES", "(External ID)", "") &amp; " " &amp; IF(SUMPRODUCT(-- ISNUMBER(SEARCH({"Unique","Unique Case Insensitive"}, $R176))) &gt; 0, "(" &amp; $R176 &amp; ")", ""))))</f>
        <v>na</v>
      </c>
      <c r="E176" s="7" t="s">
        <v>195</v>
      </c>
      <c r="F176" s="7" t="s">
        <v>195</v>
      </c>
      <c r="G176" s="7" t="s">
        <v>195</v>
      </c>
      <c r="H176" s="7" t="s">
        <v>195</v>
      </c>
      <c r="I176" s="7" t="s">
        <v>195</v>
      </c>
      <c r="J176" s="7" t="s">
        <v>195</v>
      </c>
      <c r="K176" s="7" t="s">
        <v>195</v>
      </c>
      <c r="L176" s="7" t="s">
        <v>195</v>
      </c>
      <c r="M176" s="7" t="s">
        <v>29</v>
      </c>
      <c r="N176" s="7" t="s">
        <v>29</v>
      </c>
      <c r="O176" s="7" t="s">
        <v>29</v>
      </c>
      <c r="P176" s="7" t="s">
        <v>29</v>
      </c>
      <c r="Q176" s="7" t="s">
        <v>29</v>
      </c>
      <c r="R176" s="7" t="s">
        <v>29</v>
      </c>
      <c r="S176" s="7" t="s">
        <v>29</v>
      </c>
    </row>
    <row r="177" spans="2:19">
      <c r="B177" s="7" t="s">
        <v>195</v>
      </c>
      <c r="C177" s="8" t="s">
        <v>195</v>
      </c>
      <c r="D177" s="5" t="str">
        <f>LRTRIM(CONCATENATE(IF(SUMPRODUCT(-- ISNUMBER(SEARCH({"Auto Number"}, $B177))) &gt; 0, $B177, IF(SUMPRODUCT(-- ISNUMBER(SEARCH({"Lookup","Master-Detail"}, $B177))) &gt; 0,$B177 &amp; "(" &amp; $E177 &amp; ")",IF(SUMPRODUCT(-- ISNUMBER(SEARCH({"Formula","Roll-Up Summary"}, $B177))) &gt; 0,$B177 &amp; " (" &amp; $E177 &amp; ")",IF(SUMPRODUCT(-- ISNUMBER(SEARCH({"Content","Currency","Number","Percent","Text","URL"}, $B177))) &gt; 0,$B177 &amp; "(" &amp; $C177 &amp; ")",$B177)))), "  ", TRIM(IF($S177 = "YES", "(External ID)", "") &amp; " " &amp; IF(SUMPRODUCT(-- ISNUMBER(SEARCH({"Unique","Unique Case Insensitive"}, $R177))) &gt; 0, "(" &amp; $R177 &amp; ")", ""))))</f>
        <v>na</v>
      </c>
      <c r="E177" s="7" t="s">
        <v>195</v>
      </c>
      <c r="F177" s="7" t="s">
        <v>195</v>
      </c>
      <c r="G177" s="7" t="s">
        <v>195</v>
      </c>
      <c r="H177" s="7" t="s">
        <v>195</v>
      </c>
      <c r="I177" s="7" t="s">
        <v>195</v>
      </c>
      <c r="J177" s="7" t="s">
        <v>195</v>
      </c>
      <c r="K177" s="7" t="s">
        <v>195</v>
      </c>
      <c r="L177" s="7" t="s">
        <v>195</v>
      </c>
      <c r="M177" s="7" t="s">
        <v>29</v>
      </c>
      <c r="N177" s="7" t="s">
        <v>29</v>
      </c>
      <c r="O177" s="7" t="s">
        <v>29</v>
      </c>
      <c r="P177" s="7" t="s">
        <v>29</v>
      </c>
      <c r="Q177" s="7" t="s">
        <v>29</v>
      </c>
      <c r="R177" s="7" t="s">
        <v>29</v>
      </c>
      <c r="S177" s="7" t="s">
        <v>29</v>
      </c>
    </row>
    <row r="178" spans="2:19">
      <c r="B178" s="7" t="s">
        <v>195</v>
      </c>
      <c r="C178" s="8" t="s">
        <v>195</v>
      </c>
      <c r="D178" s="5" t="str">
        <f>LRTRIM(CONCATENATE(IF(SUMPRODUCT(-- ISNUMBER(SEARCH({"Auto Number"}, $B178))) &gt; 0, $B178, IF(SUMPRODUCT(-- ISNUMBER(SEARCH({"Lookup","Master-Detail"}, $B178))) &gt; 0,$B178 &amp; "(" &amp; $E178 &amp; ")",IF(SUMPRODUCT(-- ISNUMBER(SEARCH({"Formula","Roll-Up Summary"}, $B178))) &gt; 0,$B178 &amp; " (" &amp; $E178 &amp; ")",IF(SUMPRODUCT(-- ISNUMBER(SEARCH({"Content","Currency","Number","Percent","Text","URL"}, $B178))) &gt; 0,$B178 &amp; "(" &amp; $C178 &amp; ")",$B178)))), "  ", TRIM(IF($S178 = "YES", "(External ID)", "") &amp; " " &amp; IF(SUMPRODUCT(-- ISNUMBER(SEARCH({"Unique","Unique Case Insensitive"}, $R178))) &gt; 0, "(" &amp; $R178 &amp; ")", ""))))</f>
        <v>na</v>
      </c>
      <c r="E178" s="7" t="s">
        <v>195</v>
      </c>
      <c r="F178" s="7" t="s">
        <v>195</v>
      </c>
      <c r="G178" s="7" t="s">
        <v>195</v>
      </c>
      <c r="H178" s="7" t="s">
        <v>195</v>
      </c>
      <c r="I178" s="7" t="s">
        <v>195</v>
      </c>
      <c r="J178" s="7" t="s">
        <v>195</v>
      </c>
      <c r="K178" s="7" t="s">
        <v>195</v>
      </c>
      <c r="L178" s="7" t="s">
        <v>195</v>
      </c>
      <c r="M178" s="7" t="s">
        <v>29</v>
      </c>
      <c r="N178" s="7" t="s">
        <v>29</v>
      </c>
      <c r="O178" s="7" t="s">
        <v>29</v>
      </c>
      <c r="P178" s="7" t="s">
        <v>29</v>
      </c>
      <c r="Q178" s="7" t="s">
        <v>29</v>
      </c>
      <c r="R178" s="7" t="s">
        <v>29</v>
      </c>
      <c r="S178" s="7" t="s">
        <v>29</v>
      </c>
    </row>
    <row r="179" spans="2:19">
      <c r="B179" s="7" t="s">
        <v>195</v>
      </c>
      <c r="C179" s="8" t="s">
        <v>195</v>
      </c>
      <c r="D179" s="5" t="str">
        <f>LRTRIM(CONCATENATE(IF(SUMPRODUCT(-- ISNUMBER(SEARCH({"Auto Number"}, $B179))) &gt; 0, $B179, IF(SUMPRODUCT(-- ISNUMBER(SEARCH({"Lookup","Master-Detail"}, $B179))) &gt; 0,$B179 &amp; "(" &amp; $E179 &amp; ")",IF(SUMPRODUCT(-- ISNUMBER(SEARCH({"Formula","Roll-Up Summary"}, $B179))) &gt; 0,$B179 &amp; " (" &amp; $E179 &amp; ")",IF(SUMPRODUCT(-- ISNUMBER(SEARCH({"Content","Currency","Number","Percent","Text","URL"}, $B179))) &gt; 0,$B179 &amp; "(" &amp; $C179 &amp; ")",$B179)))), "  ", TRIM(IF($S179 = "YES", "(External ID)", "") &amp; " " &amp; IF(SUMPRODUCT(-- ISNUMBER(SEARCH({"Unique","Unique Case Insensitive"}, $R179))) &gt; 0, "(" &amp; $R179 &amp; ")", ""))))</f>
        <v>na</v>
      </c>
      <c r="E179" s="7" t="s">
        <v>195</v>
      </c>
      <c r="F179" s="7" t="s">
        <v>195</v>
      </c>
      <c r="G179" s="7" t="s">
        <v>195</v>
      </c>
      <c r="H179" s="7" t="s">
        <v>195</v>
      </c>
      <c r="I179" s="7" t="s">
        <v>195</v>
      </c>
      <c r="J179" s="7" t="s">
        <v>195</v>
      </c>
      <c r="K179" s="7" t="s">
        <v>195</v>
      </c>
      <c r="L179" s="7" t="s">
        <v>195</v>
      </c>
      <c r="M179" s="7" t="s">
        <v>29</v>
      </c>
      <c r="N179" s="7" t="s">
        <v>29</v>
      </c>
      <c r="O179" s="7" t="s">
        <v>29</v>
      </c>
      <c r="P179" s="7" t="s">
        <v>29</v>
      </c>
      <c r="Q179" s="7" t="s">
        <v>29</v>
      </c>
      <c r="R179" s="7" t="s">
        <v>29</v>
      </c>
      <c r="S179" s="7" t="s">
        <v>29</v>
      </c>
    </row>
    <row r="180" spans="2:19">
      <c r="B180" s="7" t="s">
        <v>195</v>
      </c>
      <c r="C180" s="8" t="s">
        <v>195</v>
      </c>
      <c r="D180" s="5" t="str">
        <f>LRTRIM(CONCATENATE(IF(SUMPRODUCT(-- ISNUMBER(SEARCH({"Auto Number"}, $B180))) &gt; 0, $B180, IF(SUMPRODUCT(-- ISNUMBER(SEARCH({"Lookup","Master-Detail"}, $B180))) &gt; 0,$B180 &amp; "(" &amp; $E180 &amp; ")",IF(SUMPRODUCT(-- ISNUMBER(SEARCH({"Formula","Roll-Up Summary"}, $B180))) &gt; 0,$B180 &amp; " (" &amp; $E180 &amp; ")",IF(SUMPRODUCT(-- ISNUMBER(SEARCH({"Content","Currency","Number","Percent","Text","URL"}, $B180))) &gt; 0,$B180 &amp; "(" &amp; $C180 &amp; ")",$B180)))), "  ", TRIM(IF($S180 = "YES", "(External ID)", "") &amp; " " &amp; IF(SUMPRODUCT(-- ISNUMBER(SEARCH({"Unique","Unique Case Insensitive"}, $R180))) &gt; 0, "(" &amp; $R180 &amp; ")", ""))))</f>
        <v>na</v>
      </c>
      <c r="E180" s="7" t="s">
        <v>195</v>
      </c>
      <c r="F180" s="7" t="s">
        <v>195</v>
      </c>
      <c r="G180" s="7" t="s">
        <v>195</v>
      </c>
      <c r="H180" s="7" t="s">
        <v>195</v>
      </c>
      <c r="I180" s="7" t="s">
        <v>195</v>
      </c>
      <c r="J180" s="7" t="s">
        <v>195</v>
      </c>
      <c r="K180" s="7" t="s">
        <v>195</v>
      </c>
      <c r="L180" s="7" t="s">
        <v>195</v>
      </c>
      <c r="M180" s="7" t="s">
        <v>29</v>
      </c>
      <c r="N180" s="7" t="s">
        <v>29</v>
      </c>
      <c r="O180" s="7" t="s">
        <v>29</v>
      </c>
      <c r="P180" s="7" t="s">
        <v>29</v>
      </c>
      <c r="Q180" s="7" t="s">
        <v>29</v>
      </c>
      <c r="R180" s="7" t="s">
        <v>29</v>
      </c>
      <c r="S180" s="7" t="s">
        <v>29</v>
      </c>
    </row>
    <row r="181" spans="2:19">
      <c r="B181" s="7" t="s">
        <v>195</v>
      </c>
      <c r="C181" s="8" t="s">
        <v>195</v>
      </c>
      <c r="D181" s="5" t="str">
        <f>LRTRIM(CONCATENATE(IF(SUMPRODUCT(-- ISNUMBER(SEARCH({"Auto Number"}, $B181))) &gt; 0, $B181, IF(SUMPRODUCT(-- ISNUMBER(SEARCH({"Lookup","Master-Detail"}, $B181))) &gt; 0,$B181 &amp; "(" &amp; $E181 &amp; ")",IF(SUMPRODUCT(-- ISNUMBER(SEARCH({"Formula","Roll-Up Summary"}, $B181))) &gt; 0,$B181 &amp; " (" &amp; $E181 &amp; ")",IF(SUMPRODUCT(-- ISNUMBER(SEARCH({"Content","Currency","Number","Percent","Text","URL"}, $B181))) &gt; 0,$B181 &amp; "(" &amp; $C181 &amp; ")",$B181)))), "  ", TRIM(IF($S181 = "YES", "(External ID)", "") &amp; " " &amp; IF(SUMPRODUCT(-- ISNUMBER(SEARCH({"Unique","Unique Case Insensitive"}, $R181))) &gt; 0, "(" &amp; $R181 &amp; ")", ""))))</f>
        <v>na</v>
      </c>
      <c r="E181" s="7" t="s">
        <v>195</v>
      </c>
      <c r="F181" s="7" t="s">
        <v>195</v>
      </c>
      <c r="G181" s="7" t="s">
        <v>195</v>
      </c>
      <c r="H181" s="7" t="s">
        <v>195</v>
      </c>
      <c r="I181" s="7" t="s">
        <v>195</v>
      </c>
      <c r="J181" s="7" t="s">
        <v>195</v>
      </c>
      <c r="K181" s="7" t="s">
        <v>195</v>
      </c>
      <c r="L181" s="7" t="s">
        <v>195</v>
      </c>
      <c r="M181" s="7" t="s">
        <v>29</v>
      </c>
      <c r="N181" s="7" t="s">
        <v>29</v>
      </c>
      <c r="O181" s="7" t="s">
        <v>29</v>
      </c>
      <c r="P181" s="7" t="s">
        <v>29</v>
      </c>
      <c r="Q181" s="7" t="s">
        <v>29</v>
      </c>
      <c r="R181" s="7" t="s">
        <v>29</v>
      </c>
      <c r="S181" s="7" t="s">
        <v>29</v>
      </c>
    </row>
    <row r="182" spans="2:19">
      <c r="B182" s="7" t="s">
        <v>195</v>
      </c>
      <c r="C182" s="8" t="s">
        <v>195</v>
      </c>
      <c r="D182" s="5" t="str">
        <f>LRTRIM(CONCATENATE(IF(SUMPRODUCT(-- ISNUMBER(SEARCH({"Auto Number"}, $B182))) &gt; 0, $B182, IF(SUMPRODUCT(-- ISNUMBER(SEARCH({"Lookup","Master-Detail"}, $B182))) &gt; 0,$B182 &amp; "(" &amp; $E182 &amp; ")",IF(SUMPRODUCT(-- ISNUMBER(SEARCH({"Formula","Roll-Up Summary"}, $B182))) &gt; 0,$B182 &amp; " (" &amp; $E182 &amp; ")",IF(SUMPRODUCT(-- ISNUMBER(SEARCH({"Content","Currency","Number","Percent","Text","URL"}, $B182))) &gt; 0,$B182 &amp; "(" &amp; $C182 &amp; ")",$B182)))), "  ", TRIM(IF($S182 = "YES", "(External ID)", "") &amp; " " &amp; IF(SUMPRODUCT(-- ISNUMBER(SEARCH({"Unique","Unique Case Insensitive"}, $R182))) &gt; 0, "(" &amp; $R182 &amp; ")", ""))))</f>
        <v>na</v>
      </c>
      <c r="E182" s="7" t="s">
        <v>195</v>
      </c>
      <c r="F182" s="7" t="s">
        <v>195</v>
      </c>
      <c r="G182" s="7" t="s">
        <v>195</v>
      </c>
      <c r="H182" s="7" t="s">
        <v>195</v>
      </c>
      <c r="I182" s="7" t="s">
        <v>195</v>
      </c>
      <c r="J182" s="7" t="s">
        <v>195</v>
      </c>
      <c r="K182" s="7" t="s">
        <v>195</v>
      </c>
      <c r="L182" s="7" t="s">
        <v>195</v>
      </c>
      <c r="M182" s="7" t="s">
        <v>29</v>
      </c>
      <c r="N182" s="7" t="s">
        <v>29</v>
      </c>
      <c r="O182" s="7" t="s">
        <v>29</v>
      </c>
      <c r="P182" s="7" t="s">
        <v>29</v>
      </c>
      <c r="Q182" s="7" t="s">
        <v>29</v>
      </c>
      <c r="R182" s="7" t="s">
        <v>29</v>
      </c>
      <c r="S182" s="7" t="s">
        <v>29</v>
      </c>
    </row>
    <row r="183" spans="2:19">
      <c r="B183" s="7" t="s">
        <v>195</v>
      </c>
      <c r="C183" s="8" t="s">
        <v>195</v>
      </c>
      <c r="D183" s="5" t="str">
        <f>LRTRIM(CONCATENATE(IF(SUMPRODUCT(-- ISNUMBER(SEARCH({"Auto Number"}, $B183))) &gt; 0, $B183, IF(SUMPRODUCT(-- ISNUMBER(SEARCH({"Lookup","Master-Detail"}, $B183))) &gt; 0,$B183 &amp; "(" &amp; $E183 &amp; ")",IF(SUMPRODUCT(-- ISNUMBER(SEARCH({"Formula","Roll-Up Summary"}, $B183))) &gt; 0,$B183 &amp; " (" &amp; $E183 &amp; ")",IF(SUMPRODUCT(-- ISNUMBER(SEARCH({"Content","Currency","Number","Percent","Text","URL"}, $B183))) &gt; 0,$B183 &amp; "(" &amp; $C183 &amp; ")",$B183)))), "  ", TRIM(IF($S183 = "YES", "(External ID)", "") &amp; " " &amp; IF(SUMPRODUCT(-- ISNUMBER(SEARCH({"Unique","Unique Case Insensitive"}, $R183))) &gt; 0, "(" &amp; $R183 &amp; ")", ""))))</f>
        <v>na</v>
      </c>
      <c r="E183" s="7" t="s">
        <v>195</v>
      </c>
      <c r="F183" s="7" t="s">
        <v>195</v>
      </c>
      <c r="G183" s="7" t="s">
        <v>195</v>
      </c>
      <c r="H183" s="7" t="s">
        <v>195</v>
      </c>
      <c r="I183" s="7" t="s">
        <v>195</v>
      </c>
      <c r="J183" s="7" t="s">
        <v>195</v>
      </c>
      <c r="K183" s="7" t="s">
        <v>195</v>
      </c>
      <c r="L183" s="7" t="s">
        <v>195</v>
      </c>
      <c r="M183" s="7" t="s">
        <v>29</v>
      </c>
      <c r="N183" s="7" t="s">
        <v>29</v>
      </c>
      <c r="O183" s="7" t="s">
        <v>29</v>
      </c>
      <c r="P183" s="7" t="s">
        <v>29</v>
      </c>
      <c r="Q183" s="7" t="s">
        <v>29</v>
      </c>
      <c r="R183" s="7" t="s">
        <v>29</v>
      </c>
      <c r="S183" s="7" t="s">
        <v>29</v>
      </c>
    </row>
    <row r="184" spans="2:19">
      <c r="B184" s="7" t="s">
        <v>195</v>
      </c>
      <c r="C184" s="8" t="s">
        <v>195</v>
      </c>
      <c r="D184" s="5" t="str">
        <f>LRTRIM(CONCATENATE(IF(SUMPRODUCT(-- ISNUMBER(SEARCH({"Auto Number"}, $B184))) &gt; 0, $B184, IF(SUMPRODUCT(-- ISNUMBER(SEARCH({"Lookup","Master-Detail"}, $B184))) &gt; 0,$B184 &amp; "(" &amp; $E184 &amp; ")",IF(SUMPRODUCT(-- ISNUMBER(SEARCH({"Formula","Roll-Up Summary"}, $B184))) &gt; 0,$B184 &amp; " (" &amp; $E184 &amp; ")",IF(SUMPRODUCT(-- ISNUMBER(SEARCH({"Content","Currency","Number","Percent","Text","URL"}, $B184))) &gt; 0,$B184 &amp; "(" &amp; $C184 &amp; ")",$B184)))), "  ", TRIM(IF($S184 = "YES", "(External ID)", "") &amp; " " &amp; IF(SUMPRODUCT(-- ISNUMBER(SEARCH({"Unique","Unique Case Insensitive"}, $R184))) &gt; 0, "(" &amp; $R184 &amp; ")", ""))))</f>
        <v>na</v>
      </c>
      <c r="E184" s="7" t="s">
        <v>195</v>
      </c>
      <c r="F184" s="7" t="s">
        <v>195</v>
      </c>
      <c r="G184" s="7" t="s">
        <v>195</v>
      </c>
      <c r="H184" s="7" t="s">
        <v>195</v>
      </c>
      <c r="I184" s="7" t="s">
        <v>195</v>
      </c>
      <c r="J184" s="7" t="s">
        <v>195</v>
      </c>
      <c r="K184" s="7" t="s">
        <v>195</v>
      </c>
      <c r="L184" s="7" t="s">
        <v>195</v>
      </c>
      <c r="M184" s="7" t="s">
        <v>29</v>
      </c>
      <c r="N184" s="7" t="s">
        <v>29</v>
      </c>
      <c r="O184" s="7" t="s">
        <v>29</v>
      </c>
      <c r="P184" s="7" t="s">
        <v>29</v>
      </c>
      <c r="Q184" s="7" t="s">
        <v>29</v>
      </c>
      <c r="R184" s="7" t="s">
        <v>29</v>
      </c>
      <c r="S184" s="7" t="s">
        <v>29</v>
      </c>
    </row>
    <row r="185" spans="2:19">
      <c r="B185" s="7" t="s">
        <v>195</v>
      </c>
      <c r="C185" s="8" t="s">
        <v>195</v>
      </c>
      <c r="D185" s="5" t="str">
        <f>LRTRIM(CONCATENATE(IF(SUMPRODUCT(-- ISNUMBER(SEARCH({"Auto Number"}, $B185))) &gt; 0, $B185, IF(SUMPRODUCT(-- ISNUMBER(SEARCH({"Lookup","Master-Detail"}, $B185))) &gt; 0,$B185 &amp; "(" &amp; $E185 &amp; ")",IF(SUMPRODUCT(-- ISNUMBER(SEARCH({"Formula","Roll-Up Summary"}, $B185))) &gt; 0,$B185 &amp; " (" &amp; $E185 &amp; ")",IF(SUMPRODUCT(-- ISNUMBER(SEARCH({"Content","Currency","Number","Percent","Text","URL"}, $B185))) &gt; 0,$B185 &amp; "(" &amp; $C185 &amp; ")",$B185)))), "  ", TRIM(IF($S185 = "YES", "(External ID)", "") &amp; " " &amp; IF(SUMPRODUCT(-- ISNUMBER(SEARCH({"Unique","Unique Case Insensitive"}, $R185))) &gt; 0, "(" &amp; $R185 &amp; ")", ""))))</f>
        <v>na</v>
      </c>
      <c r="E185" s="7" t="s">
        <v>195</v>
      </c>
      <c r="F185" s="7" t="s">
        <v>195</v>
      </c>
      <c r="G185" s="7" t="s">
        <v>195</v>
      </c>
      <c r="H185" s="7" t="s">
        <v>195</v>
      </c>
      <c r="I185" s="7" t="s">
        <v>195</v>
      </c>
      <c r="J185" s="7" t="s">
        <v>195</v>
      </c>
      <c r="K185" s="7" t="s">
        <v>195</v>
      </c>
      <c r="L185" s="7" t="s">
        <v>195</v>
      </c>
      <c r="M185" s="7" t="s">
        <v>29</v>
      </c>
      <c r="N185" s="7" t="s">
        <v>29</v>
      </c>
      <c r="O185" s="7" t="s">
        <v>29</v>
      </c>
      <c r="P185" s="7" t="s">
        <v>29</v>
      </c>
      <c r="Q185" s="7" t="s">
        <v>29</v>
      </c>
      <c r="R185" s="7" t="s">
        <v>29</v>
      </c>
      <c r="S185" s="7" t="s">
        <v>29</v>
      </c>
    </row>
    <row r="186" spans="2:19">
      <c r="B186" s="7" t="s">
        <v>195</v>
      </c>
      <c r="C186" s="8" t="s">
        <v>195</v>
      </c>
      <c r="D186" s="5" t="str">
        <f>LRTRIM(CONCATENATE(IF(SUMPRODUCT(-- ISNUMBER(SEARCH({"Auto Number"}, $B186))) &gt; 0, $B186, IF(SUMPRODUCT(-- ISNUMBER(SEARCH({"Lookup","Master-Detail"}, $B186))) &gt; 0,$B186 &amp; "(" &amp; $E186 &amp; ")",IF(SUMPRODUCT(-- ISNUMBER(SEARCH({"Formula","Roll-Up Summary"}, $B186))) &gt; 0,$B186 &amp; " (" &amp; $E186 &amp; ")",IF(SUMPRODUCT(-- ISNUMBER(SEARCH({"Content","Currency","Number","Percent","Text","URL"}, $B186))) &gt; 0,$B186 &amp; "(" &amp; $C186 &amp; ")",$B186)))), "  ", TRIM(IF($S186 = "YES", "(External ID)", "") &amp; " " &amp; IF(SUMPRODUCT(-- ISNUMBER(SEARCH({"Unique","Unique Case Insensitive"}, $R186))) &gt; 0, "(" &amp; $R186 &amp; ")", ""))))</f>
        <v>na</v>
      </c>
      <c r="E186" s="7" t="s">
        <v>195</v>
      </c>
      <c r="F186" s="7" t="s">
        <v>195</v>
      </c>
      <c r="G186" s="7" t="s">
        <v>195</v>
      </c>
      <c r="H186" s="7" t="s">
        <v>195</v>
      </c>
      <c r="I186" s="7" t="s">
        <v>195</v>
      </c>
      <c r="J186" s="7" t="s">
        <v>195</v>
      </c>
      <c r="K186" s="7" t="s">
        <v>195</v>
      </c>
      <c r="L186" s="7" t="s">
        <v>195</v>
      </c>
      <c r="M186" s="7" t="s">
        <v>29</v>
      </c>
      <c r="N186" s="7" t="s">
        <v>29</v>
      </c>
      <c r="O186" s="7" t="s">
        <v>29</v>
      </c>
      <c r="P186" s="7" t="s">
        <v>29</v>
      </c>
      <c r="Q186" s="7" t="s">
        <v>29</v>
      </c>
      <c r="R186" s="7" t="s">
        <v>29</v>
      </c>
      <c r="S186" s="7" t="s">
        <v>29</v>
      </c>
    </row>
    <row r="187" spans="2:19">
      <c r="B187" s="7" t="s">
        <v>195</v>
      </c>
      <c r="C187" s="8" t="s">
        <v>195</v>
      </c>
      <c r="D187" s="5" t="str">
        <f>LRTRIM(CONCATENATE(IF(SUMPRODUCT(-- ISNUMBER(SEARCH({"Auto Number"}, $B187))) &gt; 0, $B187, IF(SUMPRODUCT(-- ISNUMBER(SEARCH({"Lookup","Master-Detail"}, $B187))) &gt; 0,$B187 &amp; "(" &amp; $E187 &amp; ")",IF(SUMPRODUCT(-- ISNUMBER(SEARCH({"Formula","Roll-Up Summary"}, $B187))) &gt; 0,$B187 &amp; " (" &amp; $E187 &amp; ")",IF(SUMPRODUCT(-- ISNUMBER(SEARCH({"Content","Currency","Number","Percent","Text","URL"}, $B187))) &gt; 0,$B187 &amp; "(" &amp; $C187 &amp; ")",$B187)))), "  ", TRIM(IF($S187 = "YES", "(External ID)", "") &amp; " " &amp; IF(SUMPRODUCT(-- ISNUMBER(SEARCH({"Unique","Unique Case Insensitive"}, $R187))) &gt; 0, "(" &amp; $R187 &amp; ")", ""))))</f>
        <v>na</v>
      </c>
      <c r="E187" s="7" t="s">
        <v>195</v>
      </c>
      <c r="F187" s="7" t="s">
        <v>195</v>
      </c>
      <c r="G187" s="7" t="s">
        <v>195</v>
      </c>
      <c r="H187" s="7" t="s">
        <v>195</v>
      </c>
      <c r="I187" s="7" t="s">
        <v>195</v>
      </c>
      <c r="J187" s="7" t="s">
        <v>195</v>
      </c>
      <c r="K187" s="7" t="s">
        <v>195</v>
      </c>
      <c r="L187" s="7" t="s">
        <v>195</v>
      </c>
      <c r="M187" s="7" t="s">
        <v>29</v>
      </c>
      <c r="N187" s="7" t="s">
        <v>29</v>
      </c>
      <c r="O187" s="7" t="s">
        <v>29</v>
      </c>
      <c r="P187" s="7" t="s">
        <v>29</v>
      </c>
      <c r="Q187" s="7" t="s">
        <v>29</v>
      </c>
      <c r="R187" s="7" t="s">
        <v>29</v>
      </c>
      <c r="S187" s="7" t="s">
        <v>29</v>
      </c>
    </row>
    <row r="188" spans="2:19">
      <c r="B188" s="7" t="s">
        <v>195</v>
      </c>
      <c r="C188" s="8" t="s">
        <v>195</v>
      </c>
      <c r="D188" s="5" t="str">
        <f>LRTRIM(CONCATENATE(IF(SUMPRODUCT(-- ISNUMBER(SEARCH({"Auto Number"}, $B188))) &gt; 0, $B188, IF(SUMPRODUCT(-- ISNUMBER(SEARCH({"Lookup","Master-Detail"}, $B188))) &gt; 0,$B188 &amp; "(" &amp; $E188 &amp; ")",IF(SUMPRODUCT(-- ISNUMBER(SEARCH({"Formula","Roll-Up Summary"}, $B188))) &gt; 0,$B188 &amp; " (" &amp; $E188 &amp; ")",IF(SUMPRODUCT(-- ISNUMBER(SEARCH({"Content","Currency","Number","Percent","Text","URL"}, $B188))) &gt; 0,$B188 &amp; "(" &amp; $C188 &amp; ")",$B188)))), "  ", TRIM(IF($S188 = "YES", "(External ID)", "") &amp; " " &amp; IF(SUMPRODUCT(-- ISNUMBER(SEARCH({"Unique","Unique Case Insensitive"}, $R188))) &gt; 0, "(" &amp; $R188 &amp; ")", ""))))</f>
        <v>na</v>
      </c>
      <c r="E188" s="7" t="s">
        <v>195</v>
      </c>
      <c r="F188" s="7" t="s">
        <v>195</v>
      </c>
      <c r="G188" s="7" t="s">
        <v>195</v>
      </c>
      <c r="H188" s="7" t="s">
        <v>195</v>
      </c>
      <c r="I188" s="7" t="s">
        <v>195</v>
      </c>
      <c r="J188" s="7" t="s">
        <v>195</v>
      </c>
      <c r="K188" s="7" t="s">
        <v>195</v>
      </c>
      <c r="L188" s="7" t="s">
        <v>195</v>
      </c>
      <c r="M188" s="7" t="s">
        <v>29</v>
      </c>
      <c r="N188" s="7" t="s">
        <v>29</v>
      </c>
      <c r="O188" s="7" t="s">
        <v>29</v>
      </c>
      <c r="P188" s="7" t="s">
        <v>29</v>
      </c>
      <c r="Q188" s="7" t="s">
        <v>29</v>
      </c>
      <c r="R188" s="7" t="s">
        <v>29</v>
      </c>
      <c r="S188" s="7" t="s">
        <v>29</v>
      </c>
    </row>
    <row r="189" spans="2:19">
      <c r="B189" s="7" t="s">
        <v>195</v>
      </c>
      <c r="C189" s="8" t="s">
        <v>195</v>
      </c>
      <c r="D189" s="5" t="str">
        <f>LRTRIM(CONCATENATE(IF(SUMPRODUCT(-- ISNUMBER(SEARCH({"Auto Number"}, $B189))) &gt; 0, $B189, IF(SUMPRODUCT(-- ISNUMBER(SEARCH({"Lookup","Master-Detail"}, $B189))) &gt; 0,$B189 &amp; "(" &amp; $E189 &amp; ")",IF(SUMPRODUCT(-- ISNUMBER(SEARCH({"Formula","Roll-Up Summary"}, $B189))) &gt; 0,$B189 &amp; " (" &amp; $E189 &amp; ")",IF(SUMPRODUCT(-- ISNUMBER(SEARCH({"Content","Currency","Number","Percent","Text","URL"}, $B189))) &gt; 0,$B189 &amp; "(" &amp; $C189 &amp; ")",$B189)))), "  ", TRIM(IF($S189 = "YES", "(External ID)", "") &amp; " " &amp; IF(SUMPRODUCT(-- ISNUMBER(SEARCH({"Unique","Unique Case Insensitive"}, $R189))) &gt; 0, "(" &amp; $R189 &amp; ")", ""))))</f>
        <v>na</v>
      </c>
      <c r="E189" s="7" t="s">
        <v>195</v>
      </c>
      <c r="F189" s="7" t="s">
        <v>195</v>
      </c>
      <c r="G189" s="7" t="s">
        <v>195</v>
      </c>
      <c r="H189" s="7" t="s">
        <v>195</v>
      </c>
      <c r="I189" s="7" t="s">
        <v>195</v>
      </c>
      <c r="J189" s="7" t="s">
        <v>195</v>
      </c>
      <c r="K189" s="7" t="s">
        <v>195</v>
      </c>
      <c r="L189" s="7" t="s">
        <v>195</v>
      </c>
      <c r="M189" s="7" t="s">
        <v>29</v>
      </c>
      <c r="N189" s="7" t="s">
        <v>29</v>
      </c>
      <c r="O189" s="7" t="s">
        <v>29</v>
      </c>
      <c r="P189" s="7" t="s">
        <v>29</v>
      </c>
      <c r="Q189" s="7" t="s">
        <v>29</v>
      </c>
      <c r="R189" s="7" t="s">
        <v>29</v>
      </c>
      <c r="S189" s="7" t="s">
        <v>29</v>
      </c>
    </row>
    <row r="190" spans="2:19">
      <c r="B190" s="7" t="s">
        <v>195</v>
      </c>
      <c r="C190" s="8" t="s">
        <v>195</v>
      </c>
      <c r="D190" s="5" t="str">
        <f>LRTRIM(CONCATENATE(IF(SUMPRODUCT(-- ISNUMBER(SEARCH({"Auto Number"}, $B190))) &gt; 0, $B190, IF(SUMPRODUCT(-- ISNUMBER(SEARCH({"Lookup","Master-Detail"}, $B190))) &gt; 0,$B190 &amp; "(" &amp; $E190 &amp; ")",IF(SUMPRODUCT(-- ISNUMBER(SEARCH({"Formula","Roll-Up Summary"}, $B190))) &gt; 0,$B190 &amp; " (" &amp; $E190 &amp; ")",IF(SUMPRODUCT(-- ISNUMBER(SEARCH({"Content","Currency","Number","Percent","Text","URL"}, $B190))) &gt; 0,$B190 &amp; "(" &amp; $C190 &amp; ")",$B190)))), "  ", TRIM(IF($S190 = "YES", "(External ID)", "") &amp; " " &amp; IF(SUMPRODUCT(-- ISNUMBER(SEARCH({"Unique","Unique Case Insensitive"}, $R190))) &gt; 0, "(" &amp; $R190 &amp; ")", ""))))</f>
        <v>na</v>
      </c>
      <c r="E190" s="7" t="s">
        <v>195</v>
      </c>
      <c r="F190" s="7" t="s">
        <v>195</v>
      </c>
      <c r="G190" s="7" t="s">
        <v>195</v>
      </c>
      <c r="H190" s="7" t="s">
        <v>195</v>
      </c>
      <c r="I190" s="7" t="s">
        <v>195</v>
      </c>
      <c r="J190" s="7" t="s">
        <v>195</v>
      </c>
      <c r="K190" s="7" t="s">
        <v>195</v>
      </c>
      <c r="L190" s="7" t="s">
        <v>195</v>
      </c>
      <c r="M190" s="7" t="s">
        <v>29</v>
      </c>
      <c r="N190" s="7" t="s">
        <v>29</v>
      </c>
      <c r="O190" s="7" t="s">
        <v>29</v>
      </c>
      <c r="P190" s="7" t="s">
        <v>29</v>
      </c>
      <c r="Q190" s="7" t="s">
        <v>29</v>
      </c>
      <c r="R190" s="7" t="s">
        <v>29</v>
      </c>
      <c r="S190" s="7" t="s">
        <v>29</v>
      </c>
    </row>
    <row r="191" spans="2:19">
      <c r="B191" s="7" t="s">
        <v>195</v>
      </c>
      <c r="C191" s="8" t="s">
        <v>195</v>
      </c>
      <c r="D191" s="5" t="str">
        <f>LRTRIM(CONCATENATE(IF(SUMPRODUCT(-- ISNUMBER(SEARCH({"Auto Number"}, $B191))) &gt; 0, $B191, IF(SUMPRODUCT(-- ISNUMBER(SEARCH({"Lookup","Master-Detail"}, $B191))) &gt; 0,$B191 &amp; "(" &amp; $E191 &amp; ")",IF(SUMPRODUCT(-- ISNUMBER(SEARCH({"Formula","Roll-Up Summary"}, $B191))) &gt; 0,$B191 &amp; " (" &amp; $E191 &amp; ")",IF(SUMPRODUCT(-- ISNUMBER(SEARCH({"Content","Currency","Number","Percent","Text","URL"}, $B191))) &gt; 0,$B191 &amp; "(" &amp; $C191 &amp; ")",$B191)))), "  ", TRIM(IF($S191 = "YES", "(External ID)", "") &amp; " " &amp; IF(SUMPRODUCT(-- ISNUMBER(SEARCH({"Unique","Unique Case Insensitive"}, $R191))) &gt; 0, "(" &amp; $R191 &amp; ")", ""))))</f>
        <v>na</v>
      </c>
      <c r="E191" s="7" t="s">
        <v>195</v>
      </c>
      <c r="F191" s="7" t="s">
        <v>195</v>
      </c>
      <c r="G191" s="7" t="s">
        <v>195</v>
      </c>
      <c r="H191" s="7" t="s">
        <v>195</v>
      </c>
      <c r="I191" s="7" t="s">
        <v>195</v>
      </c>
      <c r="J191" s="7" t="s">
        <v>195</v>
      </c>
      <c r="K191" s="7" t="s">
        <v>195</v>
      </c>
      <c r="L191" s="7" t="s">
        <v>195</v>
      </c>
      <c r="M191" s="7" t="s">
        <v>29</v>
      </c>
      <c r="N191" s="7" t="s">
        <v>29</v>
      </c>
      <c r="O191" s="7" t="s">
        <v>29</v>
      </c>
      <c r="P191" s="7" t="s">
        <v>29</v>
      </c>
      <c r="Q191" s="7" t="s">
        <v>29</v>
      </c>
      <c r="R191" s="7" t="s">
        <v>29</v>
      </c>
      <c r="S191" s="7" t="s">
        <v>29</v>
      </c>
    </row>
    <row r="192" spans="2:19">
      <c r="B192" s="7" t="s">
        <v>195</v>
      </c>
      <c r="C192" s="8" t="s">
        <v>195</v>
      </c>
      <c r="D192" s="5" t="str">
        <f>LRTRIM(CONCATENATE(IF(SUMPRODUCT(-- ISNUMBER(SEARCH({"Auto Number"}, $B192))) &gt; 0, $B192, IF(SUMPRODUCT(-- ISNUMBER(SEARCH({"Lookup","Master-Detail"}, $B192))) &gt; 0,$B192 &amp; "(" &amp; $E192 &amp; ")",IF(SUMPRODUCT(-- ISNUMBER(SEARCH({"Formula","Roll-Up Summary"}, $B192))) &gt; 0,$B192 &amp; " (" &amp; $E192 &amp; ")",IF(SUMPRODUCT(-- ISNUMBER(SEARCH({"Content","Currency","Number","Percent","Text","URL"}, $B192))) &gt; 0,$B192 &amp; "(" &amp; $C192 &amp; ")",$B192)))), "  ", TRIM(IF($S192 = "YES", "(External ID)", "") &amp; " " &amp; IF(SUMPRODUCT(-- ISNUMBER(SEARCH({"Unique","Unique Case Insensitive"}, $R192))) &gt; 0, "(" &amp; $R192 &amp; ")", ""))))</f>
        <v>na</v>
      </c>
      <c r="E192" s="7" t="s">
        <v>195</v>
      </c>
      <c r="F192" s="7" t="s">
        <v>195</v>
      </c>
      <c r="G192" s="7" t="s">
        <v>195</v>
      </c>
      <c r="H192" s="7" t="s">
        <v>195</v>
      </c>
      <c r="I192" s="7" t="s">
        <v>195</v>
      </c>
      <c r="J192" s="7" t="s">
        <v>195</v>
      </c>
      <c r="K192" s="7" t="s">
        <v>195</v>
      </c>
      <c r="L192" s="7" t="s">
        <v>195</v>
      </c>
      <c r="M192" s="7" t="s">
        <v>29</v>
      </c>
      <c r="N192" s="7" t="s">
        <v>29</v>
      </c>
      <c r="O192" s="7" t="s">
        <v>29</v>
      </c>
      <c r="P192" s="7" t="s">
        <v>29</v>
      </c>
      <c r="Q192" s="7" t="s">
        <v>29</v>
      </c>
      <c r="R192" s="7" t="s">
        <v>29</v>
      </c>
      <c r="S192" s="7" t="s">
        <v>29</v>
      </c>
    </row>
    <row r="193" spans="2:19">
      <c r="B193" s="7" t="s">
        <v>195</v>
      </c>
      <c r="C193" s="8" t="s">
        <v>195</v>
      </c>
      <c r="D193" s="5" t="str">
        <f>LRTRIM(CONCATENATE(IF(SUMPRODUCT(-- ISNUMBER(SEARCH({"Auto Number"}, $B193))) &gt; 0, $B193, IF(SUMPRODUCT(-- ISNUMBER(SEARCH({"Lookup","Master-Detail"}, $B193))) &gt; 0,$B193 &amp; "(" &amp; $E193 &amp; ")",IF(SUMPRODUCT(-- ISNUMBER(SEARCH({"Formula","Roll-Up Summary"}, $B193))) &gt; 0,$B193 &amp; " (" &amp; $E193 &amp; ")",IF(SUMPRODUCT(-- ISNUMBER(SEARCH({"Content","Currency","Number","Percent","Text","URL"}, $B193))) &gt; 0,$B193 &amp; "(" &amp; $C193 &amp; ")",$B193)))), "  ", TRIM(IF($S193 = "YES", "(External ID)", "") &amp; " " &amp; IF(SUMPRODUCT(-- ISNUMBER(SEARCH({"Unique","Unique Case Insensitive"}, $R193))) &gt; 0, "(" &amp; $R193 &amp; ")", ""))))</f>
        <v>na</v>
      </c>
      <c r="E193" s="7" t="s">
        <v>195</v>
      </c>
      <c r="F193" s="7" t="s">
        <v>195</v>
      </c>
      <c r="G193" s="7" t="s">
        <v>195</v>
      </c>
      <c r="H193" s="7" t="s">
        <v>195</v>
      </c>
      <c r="I193" s="7" t="s">
        <v>195</v>
      </c>
      <c r="J193" s="7" t="s">
        <v>195</v>
      </c>
      <c r="K193" s="7" t="s">
        <v>195</v>
      </c>
      <c r="L193" s="7" t="s">
        <v>195</v>
      </c>
      <c r="M193" s="7" t="s">
        <v>29</v>
      </c>
      <c r="N193" s="7" t="s">
        <v>29</v>
      </c>
      <c r="O193" s="7" t="s">
        <v>29</v>
      </c>
      <c r="P193" s="7" t="s">
        <v>29</v>
      </c>
      <c r="Q193" s="7" t="s">
        <v>29</v>
      </c>
      <c r="R193" s="7" t="s">
        <v>29</v>
      </c>
      <c r="S193" s="7" t="s">
        <v>29</v>
      </c>
    </row>
    <row r="194" spans="2:19">
      <c r="B194" s="7" t="s">
        <v>195</v>
      </c>
      <c r="C194" s="8" t="s">
        <v>195</v>
      </c>
      <c r="D194" s="5" t="str">
        <f>LRTRIM(CONCATENATE(IF(SUMPRODUCT(-- ISNUMBER(SEARCH({"Auto Number"}, $B194))) &gt; 0, $B194, IF(SUMPRODUCT(-- ISNUMBER(SEARCH({"Lookup","Master-Detail"}, $B194))) &gt; 0,$B194 &amp; "(" &amp; $E194 &amp; ")",IF(SUMPRODUCT(-- ISNUMBER(SEARCH({"Formula","Roll-Up Summary"}, $B194))) &gt; 0,$B194 &amp; " (" &amp; $E194 &amp; ")",IF(SUMPRODUCT(-- ISNUMBER(SEARCH({"Content","Currency","Number","Percent","Text","URL"}, $B194))) &gt; 0,$B194 &amp; "(" &amp; $C194 &amp; ")",$B194)))), "  ", TRIM(IF($S194 = "YES", "(External ID)", "") &amp; " " &amp; IF(SUMPRODUCT(-- ISNUMBER(SEARCH({"Unique","Unique Case Insensitive"}, $R194))) &gt; 0, "(" &amp; $R194 &amp; ")", ""))))</f>
        <v>na</v>
      </c>
      <c r="E194" s="7" t="s">
        <v>195</v>
      </c>
      <c r="F194" s="7" t="s">
        <v>195</v>
      </c>
      <c r="G194" s="7" t="s">
        <v>195</v>
      </c>
      <c r="H194" s="7" t="s">
        <v>195</v>
      </c>
      <c r="I194" s="7" t="s">
        <v>195</v>
      </c>
      <c r="J194" s="7" t="s">
        <v>195</v>
      </c>
      <c r="K194" s="7" t="s">
        <v>195</v>
      </c>
      <c r="L194" s="7" t="s">
        <v>195</v>
      </c>
      <c r="M194" s="7" t="s">
        <v>29</v>
      </c>
      <c r="N194" s="7" t="s">
        <v>29</v>
      </c>
      <c r="O194" s="7" t="s">
        <v>29</v>
      </c>
      <c r="P194" s="7" t="s">
        <v>29</v>
      </c>
      <c r="Q194" s="7" t="s">
        <v>29</v>
      </c>
      <c r="R194" s="7" t="s">
        <v>29</v>
      </c>
      <c r="S194" s="7" t="s">
        <v>29</v>
      </c>
    </row>
    <row r="195" spans="2:19">
      <c r="B195" s="7" t="s">
        <v>195</v>
      </c>
      <c r="C195" s="8" t="s">
        <v>195</v>
      </c>
      <c r="D195" s="5" t="str">
        <f>LRTRIM(CONCATENATE(IF(SUMPRODUCT(-- ISNUMBER(SEARCH({"Auto Number"}, $B195))) &gt; 0, $B195, IF(SUMPRODUCT(-- ISNUMBER(SEARCH({"Lookup","Master-Detail"}, $B195))) &gt; 0,$B195 &amp; "(" &amp; $E195 &amp; ")",IF(SUMPRODUCT(-- ISNUMBER(SEARCH({"Formula","Roll-Up Summary"}, $B195))) &gt; 0,$B195 &amp; " (" &amp; $E195 &amp; ")",IF(SUMPRODUCT(-- ISNUMBER(SEARCH({"Content","Currency","Number","Percent","Text","URL"}, $B195))) &gt; 0,$B195 &amp; "(" &amp; $C195 &amp; ")",$B195)))), "  ", TRIM(IF($S195 = "YES", "(External ID)", "") &amp; " " &amp; IF(SUMPRODUCT(-- ISNUMBER(SEARCH({"Unique","Unique Case Insensitive"}, $R195))) &gt; 0, "(" &amp; $R195 &amp; ")", ""))))</f>
        <v>na</v>
      </c>
      <c r="E195" s="7" t="s">
        <v>195</v>
      </c>
      <c r="F195" s="7" t="s">
        <v>195</v>
      </c>
      <c r="G195" s="7" t="s">
        <v>195</v>
      </c>
      <c r="H195" s="7" t="s">
        <v>195</v>
      </c>
      <c r="I195" s="7" t="s">
        <v>195</v>
      </c>
      <c r="J195" s="7" t="s">
        <v>195</v>
      </c>
      <c r="K195" s="7" t="s">
        <v>195</v>
      </c>
      <c r="L195" s="7" t="s">
        <v>195</v>
      </c>
      <c r="M195" s="7" t="s">
        <v>29</v>
      </c>
      <c r="N195" s="7" t="s">
        <v>29</v>
      </c>
      <c r="O195" s="7" t="s">
        <v>29</v>
      </c>
      <c r="P195" s="7" t="s">
        <v>29</v>
      </c>
      <c r="Q195" s="7" t="s">
        <v>29</v>
      </c>
      <c r="R195" s="7" t="s">
        <v>29</v>
      </c>
      <c r="S195" s="7" t="s">
        <v>29</v>
      </c>
    </row>
    <row r="196" spans="2:19">
      <c r="B196" s="7" t="s">
        <v>195</v>
      </c>
      <c r="C196" s="8" t="s">
        <v>195</v>
      </c>
      <c r="D196" s="5" t="str">
        <f>LRTRIM(CONCATENATE(IF(SUMPRODUCT(-- ISNUMBER(SEARCH({"Auto Number"}, $B196))) &gt; 0, $B196, IF(SUMPRODUCT(-- ISNUMBER(SEARCH({"Lookup","Master-Detail"}, $B196))) &gt; 0,$B196 &amp; "(" &amp; $E196 &amp; ")",IF(SUMPRODUCT(-- ISNUMBER(SEARCH({"Formula","Roll-Up Summary"}, $B196))) &gt; 0,$B196 &amp; " (" &amp; $E196 &amp; ")",IF(SUMPRODUCT(-- ISNUMBER(SEARCH({"Content","Currency","Number","Percent","Text","URL"}, $B196))) &gt; 0,$B196 &amp; "(" &amp; $C196 &amp; ")",$B196)))), "  ", TRIM(IF($S196 = "YES", "(External ID)", "") &amp; " " &amp; IF(SUMPRODUCT(-- ISNUMBER(SEARCH({"Unique","Unique Case Insensitive"}, $R196))) &gt; 0, "(" &amp; $R196 &amp; ")", ""))))</f>
        <v>na</v>
      </c>
      <c r="E196" s="7" t="s">
        <v>195</v>
      </c>
      <c r="F196" s="7" t="s">
        <v>195</v>
      </c>
      <c r="G196" s="7" t="s">
        <v>195</v>
      </c>
      <c r="H196" s="7" t="s">
        <v>195</v>
      </c>
      <c r="I196" s="7" t="s">
        <v>195</v>
      </c>
      <c r="J196" s="7" t="s">
        <v>195</v>
      </c>
      <c r="K196" s="7" t="s">
        <v>195</v>
      </c>
      <c r="L196" s="7" t="s">
        <v>195</v>
      </c>
      <c r="M196" s="7" t="s">
        <v>29</v>
      </c>
      <c r="N196" s="7" t="s">
        <v>29</v>
      </c>
      <c r="O196" s="7" t="s">
        <v>29</v>
      </c>
      <c r="P196" s="7" t="s">
        <v>29</v>
      </c>
      <c r="Q196" s="7" t="s">
        <v>29</v>
      </c>
      <c r="R196" s="7" t="s">
        <v>29</v>
      </c>
      <c r="S196" s="7" t="s">
        <v>29</v>
      </c>
    </row>
    <row r="197" spans="2:19">
      <c r="B197" s="7" t="s">
        <v>195</v>
      </c>
      <c r="C197" s="8" t="s">
        <v>195</v>
      </c>
      <c r="D197" s="5" t="str">
        <f>LRTRIM(CONCATENATE(IF(SUMPRODUCT(-- ISNUMBER(SEARCH({"Auto Number"}, $B197))) &gt; 0, $B197, IF(SUMPRODUCT(-- ISNUMBER(SEARCH({"Lookup","Master-Detail"}, $B197))) &gt; 0,$B197 &amp; "(" &amp; $E197 &amp; ")",IF(SUMPRODUCT(-- ISNUMBER(SEARCH({"Formula","Roll-Up Summary"}, $B197))) &gt; 0,$B197 &amp; " (" &amp; $E197 &amp; ")",IF(SUMPRODUCT(-- ISNUMBER(SEARCH({"Content","Currency","Number","Percent","Text","URL"}, $B197))) &gt; 0,$B197 &amp; "(" &amp; $C197 &amp; ")",$B197)))), "  ", TRIM(IF($S197 = "YES", "(External ID)", "") &amp; " " &amp; IF(SUMPRODUCT(-- ISNUMBER(SEARCH({"Unique","Unique Case Insensitive"}, $R197))) &gt; 0, "(" &amp; $R197 &amp; ")", ""))))</f>
        <v>na</v>
      </c>
      <c r="E197" s="7" t="s">
        <v>195</v>
      </c>
      <c r="F197" s="7" t="s">
        <v>195</v>
      </c>
      <c r="G197" s="7" t="s">
        <v>195</v>
      </c>
      <c r="H197" s="7" t="s">
        <v>195</v>
      </c>
      <c r="I197" s="7" t="s">
        <v>195</v>
      </c>
      <c r="J197" s="7" t="s">
        <v>195</v>
      </c>
      <c r="K197" s="7" t="s">
        <v>195</v>
      </c>
      <c r="L197" s="7" t="s">
        <v>195</v>
      </c>
      <c r="M197" s="7" t="s">
        <v>29</v>
      </c>
      <c r="N197" s="7" t="s">
        <v>29</v>
      </c>
      <c r="O197" s="7" t="s">
        <v>29</v>
      </c>
      <c r="P197" s="7" t="s">
        <v>29</v>
      </c>
      <c r="Q197" s="7" t="s">
        <v>29</v>
      </c>
      <c r="R197" s="7" t="s">
        <v>29</v>
      </c>
      <c r="S197" s="7" t="s">
        <v>29</v>
      </c>
    </row>
    <row r="198" spans="2:19">
      <c r="B198" s="7" t="s">
        <v>195</v>
      </c>
      <c r="C198" s="8" t="s">
        <v>195</v>
      </c>
      <c r="D198" s="5" t="str">
        <f>LRTRIM(CONCATENATE(IF(SUMPRODUCT(-- ISNUMBER(SEARCH({"Auto Number"}, $B198))) &gt; 0, $B198, IF(SUMPRODUCT(-- ISNUMBER(SEARCH({"Lookup","Master-Detail"}, $B198))) &gt; 0,$B198 &amp; "(" &amp; $E198 &amp; ")",IF(SUMPRODUCT(-- ISNUMBER(SEARCH({"Formula","Roll-Up Summary"}, $B198))) &gt; 0,$B198 &amp; " (" &amp; $E198 &amp; ")",IF(SUMPRODUCT(-- ISNUMBER(SEARCH({"Content","Currency","Number","Percent","Text","URL"}, $B198))) &gt; 0,$B198 &amp; "(" &amp; $C198 &amp; ")",$B198)))), "  ", TRIM(IF($S198 = "YES", "(External ID)", "") &amp; " " &amp; IF(SUMPRODUCT(-- ISNUMBER(SEARCH({"Unique","Unique Case Insensitive"}, $R198))) &gt; 0, "(" &amp; $R198 &amp; ")", ""))))</f>
        <v>na</v>
      </c>
      <c r="E198" s="7" t="s">
        <v>195</v>
      </c>
      <c r="F198" s="7" t="s">
        <v>195</v>
      </c>
      <c r="G198" s="7" t="s">
        <v>195</v>
      </c>
      <c r="H198" s="7" t="s">
        <v>195</v>
      </c>
      <c r="I198" s="7" t="s">
        <v>195</v>
      </c>
      <c r="J198" s="7" t="s">
        <v>195</v>
      </c>
      <c r="K198" s="7" t="s">
        <v>195</v>
      </c>
      <c r="L198" s="7" t="s">
        <v>195</v>
      </c>
      <c r="M198" s="7" t="s">
        <v>29</v>
      </c>
      <c r="N198" s="7" t="s">
        <v>29</v>
      </c>
      <c r="O198" s="7" t="s">
        <v>29</v>
      </c>
      <c r="P198" s="7" t="s">
        <v>29</v>
      </c>
      <c r="Q198" s="7" t="s">
        <v>29</v>
      </c>
      <c r="R198" s="7" t="s">
        <v>29</v>
      </c>
      <c r="S198" s="7" t="s">
        <v>29</v>
      </c>
    </row>
    <row r="199" spans="2:19">
      <c r="B199" s="7" t="s">
        <v>195</v>
      </c>
      <c r="C199" s="8" t="s">
        <v>195</v>
      </c>
      <c r="D199" s="5" t="str">
        <f>LRTRIM(CONCATENATE(IF(SUMPRODUCT(-- ISNUMBER(SEARCH({"Auto Number"}, $B199))) &gt; 0, $B199, IF(SUMPRODUCT(-- ISNUMBER(SEARCH({"Lookup","Master-Detail"}, $B199))) &gt; 0,$B199 &amp; "(" &amp; $E199 &amp; ")",IF(SUMPRODUCT(-- ISNUMBER(SEARCH({"Formula","Roll-Up Summary"}, $B199))) &gt; 0,$B199 &amp; " (" &amp; $E199 &amp; ")",IF(SUMPRODUCT(-- ISNUMBER(SEARCH({"Content","Currency","Number","Percent","Text","URL"}, $B199))) &gt; 0,$B199 &amp; "(" &amp; $C199 &amp; ")",$B199)))), "  ", TRIM(IF($S199 = "YES", "(External ID)", "") &amp; " " &amp; IF(SUMPRODUCT(-- ISNUMBER(SEARCH({"Unique","Unique Case Insensitive"}, $R199))) &gt; 0, "(" &amp; $R199 &amp; ")", ""))))</f>
        <v>na</v>
      </c>
      <c r="E199" s="7" t="s">
        <v>195</v>
      </c>
      <c r="F199" s="7" t="s">
        <v>195</v>
      </c>
      <c r="G199" s="7" t="s">
        <v>195</v>
      </c>
      <c r="H199" s="7" t="s">
        <v>195</v>
      </c>
      <c r="I199" s="7" t="s">
        <v>195</v>
      </c>
      <c r="J199" s="7" t="s">
        <v>195</v>
      </c>
      <c r="K199" s="7" t="s">
        <v>195</v>
      </c>
      <c r="L199" s="7" t="s">
        <v>195</v>
      </c>
      <c r="M199" s="7" t="s">
        <v>29</v>
      </c>
      <c r="N199" s="7" t="s">
        <v>29</v>
      </c>
      <c r="O199" s="7" t="s">
        <v>29</v>
      </c>
      <c r="P199" s="7" t="s">
        <v>29</v>
      </c>
      <c r="Q199" s="7" t="s">
        <v>29</v>
      </c>
      <c r="R199" s="7" t="s">
        <v>29</v>
      </c>
      <c r="S199" s="7" t="s">
        <v>29</v>
      </c>
    </row>
    <row r="200" spans="2:19">
      <c r="B200" s="7" t="s">
        <v>195</v>
      </c>
      <c r="C200" s="8" t="s">
        <v>195</v>
      </c>
      <c r="D200" s="5" t="str">
        <f>LRTRIM(CONCATENATE(IF(SUMPRODUCT(-- ISNUMBER(SEARCH({"Auto Number"}, $B200))) &gt; 0, $B200, IF(SUMPRODUCT(-- ISNUMBER(SEARCH({"Lookup","Master-Detail"}, $B200))) &gt; 0,$B200 &amp; "(" &amp; $E200 &amp; ")",IF(SUMPRODUCT(-- ISNUMBER(SEARCH({"Formula","Roll-Up Summary"}, $B200))) &gt; 0,$B200 &amp; " (" &amp; $E200 &amp; ")",IF(SUMPRODUCT(-- ISNUMBER(SEARCH({"Content","Currency","Number","Percent","Text","URL"}, $B200))) &gt; 0,$B200 &amp; "(" &amp; $C200 &amp; ")",$B200)))), "  ", TRIM(IF($S200 = "YES", "(External ID)", "") &amp; " " &amp; IF(SUMPRODUCT(-- ISNUMBER(SEARCH({"Unique","Unique Case Insensitive"}, $R200))) &gt; 0, "(" &amp; $R200 &amp; ")", ""))))</f>
        <v>na</v>
      </c>
      <c r="E200" s="7" t="s">
        <v>195</v>
      </c>
      <c r="F200" s="7" t="s">
        <v>195</v>
      </c>
      <c r="G200" s="7" t="s">
        <v>195</v>
      </c>
      <c r="H200" s="7" t="s">
        <v>195</v>
      </c>
      <c r="I200" s="7" t="s">
        <v>195</v>
      </c>
      <c r="J200" s="7" t="s">
        <v>195</v>
      </c>
      <c r="K200" s="7" t="s">
        <v>195</v>
      </c>
      <c r="L200" s="7" t="s">
        <v>195</v>
      </c>
      <c r="M200" s="7" t="s">
        <v>29</v>
      </c>
      <c r="N200" s="7" t="s">
        <v>29</v>
      </c>
      <c r="O200" s="7" t="s">
        <v>29</v>
      </c>
      <c r="P200" s="7" t="s">
        <v>29</v>
      </c>
      <c r="Q200" s="7" t="s">
        <v>29</v>
      </c>
      <c r="R200" s="7" t="s">
        <v>29</v>
      </c>
      <c r="S200" s="7" t="s">
        <v>29</v>
      </c>
    </row>
  </sheetData>
  <sheetProtection formatCells="0" formatColumns="0" formatRows="0" insertColumns="0" insertRows="0" insertHyperlinks="0" deleteColumns="0" deleteRows="0" sort="0" autoFilter="0" pivotTables="0"/>
  <conditionalFormatting sqref="D2:D18">
    <cfRule type="expression" dxfId="107" priority="2">
      <formula>NOT(_xlfn.ISFORMULA($D2))</formula>
    </cfRule>
  </conditionalFormatting>
  <conditionalFormatting sqref="D19:D200">
    <cfRule type="expression" dxfId="106" priority="1">
      <formula>NOT(_xlfn.ISFORMULA($D19))</formula>
    </cfRule>
  </conditionalFormatting>
  <dataValidations count="1">
    <dataValidation allowBlank="1" showInputMessage="1" showErrorMessage="1" sqref="A2:A19"/>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5">
        <x14:dataValidation type="list" allowBlank="1" showInputMessage="1" showErrorMessage="1">
          <x14:formula1>
            <xm:f>OFFSET('Reference Fields'!$J$2,0,0,COUNTA('Reference Fields'!$J:$J)-1)</xm:f>
          </x14:formula1>
          <xm:sqref>O2:O200</xm:sqref>
        </x14:dataValidation>
        <x14:dataValidation type="list" allowBlank="1" showInputMessage="1" showErrorMessage="1">
          <x14:formula1>
            <xm:f>OFFSET('Reference Fields'!$J$2,0,0,COUNTA('Reference Fields'!$J:$J)-1)</xm:f>
          </x14:formula1>
          <xm:sqref>M2:M200</xm:sqref>
        </x14:dataValidation>
        <x14:dataValidation type="list" allowBlank="1" showInputMessage="1" showErrorMessage="1">
          <x14:formula1>
            <xm:f>OFFSET('Reference Fields'!$J$2,0,0,COUNTA('Reference Fields'!$J:$J)-1)</xm:f>
          </x14:formula1>
          <xm:sqref>N2:N200</xm:sqref>
        </x14:dataValidation>
        <x14:dataValidation type="list" allowBlank="1" showInputMessage="1" showErrorMessage="1">
          <x14:formula1>
            <xm:f>OFFSET('Reference Fields'!$J$2,0,0,COUNTA('Reference Fields'!$J:$J)-1)</xm:f>
          </x14:formula1>
          <xm:sqref>P2:P200</xm:sqref>
        </x14:dataValidation>
        <x14:dataValidation type="list" allowBlank="1" showInputMessage="1" showErrorMessage="1">
          <x14:formula1>
            <xm:f>OFFSET('Reference Fields'!$J$2,0,0,COUNTA('Reference Fields'!$J:$J)-1)</xm:f>
          </x14:formula1>
          <xm:sqref>Q2:Q200</xm:sqref>
        </x14:dataValidation>
        <x14:dataValidation type="list" allowBlank="1" showInputMessage="1" showErrorMessage="1">
          <x14:formula1>
            <xm:f>OFFSET('Reference Fields'!$J$2,0,0,COUNTA('Reference Fields'!$J:$J)-1)</xm:f>
          </x14:formula1>
          <xm:sqref>S2:S200</xm:sqref>
        </x14:dataValidation>
        <x14:dataValidation type="list" allowBlank="1" showInputMessage="1" showErrorMessage="1">
          <x14:formula1>
            <xm:f>OFFSET('Reference Fields'!$K$2,0,0,COUNTA('Reference Fields'!$K:$K)-1)</xm:f>
          </x14:formula1>
          <xm:sqref>R2:R200</xm:sqref>
        </x14:dataValidation>
        <x14:dataValidation type="list" allowBlank="1" showInputMessage="1" showErrorMessage="1">
          <x14:formula1>
            <xm:f>OFFSET('Reference Fields'!$B$2,0,0,COUNTA('Reference Fields'!$B:$B)-1)</xm:f>
          </x14:formula1>
          <xm:sqref>B2:B200</xm:sqref>
        </x14:dataValidation>
        <x14:dataValidation type="list" allowBlank="1" showInputMessage="1" showErrorMessage="1">
          <x14:formula1>
            <xm:f>OFFSET('Reference Fields'!$D$2,0,0,COUNTA('Reference Fields'!$D:$D)-1)</xm:f>
          </x14:formula1>
          <xm:sqref>F2:F200</xm:sqref>
        </x14:dataValidation>
        <x14:dataValidation type="list" allowBlank="1" showInputMessage="1" showErrorMessage="1">
          <x14:formula1>
            <xm:f>OFFSET('Reference Fields'!$E$2,0,0,COUNTA('Reference Fields'!$E:$E)-1)</xm:f>
          </x14:formula1>
          <xm:sqref>G2:G200</xm:sqref>
        </x14:dataValidation>
        <x14:dataValidation type="list" allowBlank="1" showInputMessage="1" showErrorMessage="1">
          <x14:formula1>
            <xm:f>OFFSET('Reference Fields'!$F$2,0,0,COUNTA('Reference Fields'!$F:$F)-1)</xm:f>
          </x14:formula1>
          <xm:sqref>H2:H200</xm:sqref>
        </x14:dataValidation>
        <x14:dataValidation type="list" allowBlank="1" showInputMessage="1" showErrorMessage="1">
          <x14:formula1>
            <xm:f>OFFSET('Reference Fields'!$F$2,0,0,COUNTA('Reference Fields'!$F:$F)-1)</xm:f>
          </x14:formula1>
          <xm:sqref>I2:I200</xm:sqref>
        </x14:dataValidation>
        <x14:dataValidation type="list" allowBlank="1" showInputMessage="1" showErrorMessage="1">
          <x14:formula1>
            <xm:f>OFFSET('Reference Fields'!$G$2,0,0,COUNTA('Reference Fields'!$G:$G)-1)</xm:f>
          </x14:formula1>
          <xm:sqref>J2:J200</xm:sqref>
        </x14:dataValidation>
        <x14:dataValidation type="list" allowBlank="1" showInputMessage="1" showErrorMessage="1">
          <x14:formula1>
            <xm:f>OFFSET('Reference Fields'!$H$2,0,0,COUNTA('Reference Fields'!$H:$H)-1)</xm:f>
          </x14:formula1>
          <xm:sqref>K2:K200</xm:sqref>
        </x14:dataValidation>
        <x14:dataValidation type="list" allowBlank="1" showInputMessage="1" showErrorMessage="1">
          <x14:formula1>
            <xm:f>OFFSET('Reference Fields'!$I$2,0,0,COUNTA('Reference Fields'!$I:$I)-1)</xm:f>
          </x14:formula1>
          <xm:sqref>L2:L200</xm:sqref>
        </x14:dataValidation>
      </x14:dataValidations>
    </ext>
  </extLst>
</worksheet>
</file>

<file path=xl/worksheets/sheet4.xml><?xml version="1.0" encoding="utf-8"?>
<worksheet xmlns="http://schemas.openxmlformats.org/spreadsheetml/2006/main" xmlns:r="http://schemas.openxmlformats.org/officeDocument/2006/relationships">
  <sheetPr codeName="Sheet4"/>
  <dimension ref="A1:S200"/>
  <sheetViews>
    <sheetView workbookViewId="0">
      <pane ySplit="1" topLeftCell="A2" activePane="bottomLeft" state="frozen"/>
      <selection pane="bottomLeft" activeCell="A2" sqref="A2"/>
    </sheetView>
  </sheetViews>
  <sheetFormatPr defaultRowHeight="14.5"/>
  <cols>
    <col min="1" max="1" width="17.90625" bestFit="1" customWidth="1"/>
    <col min="2" max="2" width="13.54296875" customWidth="1"/>
    <col min="3" max="3" width="8.90625" customWidth="1"/>
    <col min="4" max="4" width="20.36328125" bestFit="1" customWidth="1"/>
    <col min="5" max="5" width="12.6328125" customWidth="1"/>
    <col min="6" max="6" width="15.6328125" bestFit="1" customWidth="1"/>
    <col min="7" max="8" width="15.453125" customWidth="1"/>
    <col min="9" max="9" width="22.6328125" customWidth="1"/>
    <col min="10" max="10" width="23.36328125" customWidth="1"/>
    <col min="11" max="11" width="17.54296875" customWidth="1"/>
    <col min="12" max="12" width="14.08984375" customWidth="1"/>
    <col min="13" max="13" width="10.453125" bestFit="1" customWidth="1"/>
    <col min="14" max="14" width="10.453125" customWidth="1"/>
    <col min="15" max="15" width="12.453125" bestFit="1" customWidth="1"/>
  </cols>
  <sheetData>
    <row r="1" spans="1:19" s="1" customFormat="1">
      <c r="A1" s="1" t="s">
        <v>2</v>
      </c>
      <c r="B1" s="1" t="s">
        <v>1198</v>
      </c>
      <c r="C1" s="1" t="s">
        <v>1199</v>
      </c>
      <c r="D1" s="1" t="s">
        <v>0</v>
      </c>
      <c r="E1" s="1" t="s">
        <v>1</v>
      </c>
      <c r="F1" s="1" t="s">
        <v>30</v>
      </c>
      <c r="G1" s="1" t="s">
        <v>31</v>
      </c>
      <c r="H1" s="1" t="s">
        <v>1262</v>
      </c>
      <c r="I1" s="1" t="s">
        <v>49</v>
      </c>
      <c r="J1" s="1" t="s">
        <v>48</v>
      </c>
      <c r="K1" s="1" t="s">
        <v>54</v>
      </c>
      <c r="L1" s="1" t="s">
        <v>55</v>
      </c>
      <c r="M1" s="1" t="s">
        <v>27</v>
      </c>
      <c r="N1" s="1" t="s">
        <v>175</v>
      </c>
      <c r="O1" s="1" t="s">
        <v>193</v>
      </c>
      <c r="P1" s="1" t="s">
        <v>1221</v>
      </c>
      <c r="Q1" s="1" t="s">
        <v>1264</v>
      </c>
      <c r="R1" s="1" t="s">
        <v>1263</v>
      </c>
      <c r="S1" s="1" t="s">
        <v>1265</v>
      </c>
    </row>
    <row r="2" spans="1:19">
      <c r="A2" s="7" t="s">
        <v>176</v>
      </c>
      <c r="B2" s="7" t="s">
        <v>1218</v>
      </c>
      <c r="C2" s="8">
        <v>200</v>
      </c>
      <c r="D2" s="5" t="str">
        <f>LRTRIM(CONCATENATE(IF(SUMPRODUCT(-- ISNUMBER(SEARCH({"Auto Number"}, $B2))) &gt; 0, $B2, IF(SUMPRODUCT(-- ISNUMBER(SEARCH({"Lookup","Master-Detail"}, $B2))) &gt; 0,$B2 &amp; "(" &amp; $E2 &amp; ")",IF(SUMPRODUCT(-- ISNUMBER(SEARCH({"Formula","Roll-Up Summary"}, $B2))) &gt; 0,$B2 &amp; " (" &amp; $E2 &amp; ")",IF(SUMPRODUCT(-- ISNUMBER(SEARCH({"Content","Currency","Number","Percent","Text","URL"}, $B2))) &gt; 0,$B2 &amp; "(" &amp; $C2 &amp; ")",$B2)))), "  ", TRIM(IF($S2 = "YES", "(External ID)", "") &amp; " " &amp; IF(SUMPRODUCT(-- ISNUMBER(SEARCH({"Unique","Unique Case Insensitive"}, $R2))) &gt; 0, "(" &amp; $R2 &amp; ")", ""))))</f>
        <v>Text(200)  (External ID)</v>
      </c>
      <c r="E2" s="7" t="s">
        <v>195</v>
      </c>
      <c r="F2" s="7" t="s">
        <v>186</v>
      </c>
      <c r="G2" s="7" t="s">
        <v>195</v>
      </c>
      <c r="H2" s="7" t="s">
        <v>195</v>
      </c>
      <c r="I2" s="7" t="s">
        <v>195</v>
      </c>
      <c r="J2" s="7" t="s">
        <v>195</v>
      </c>
      <c r="K2" s="7" t="s">
        <v>195</v>
      </c>
      <c r="L2" s="7" t="s">
        <v>195</v>
      </c>
      <c r="M2" s="7" t="s">
        <v>29</v>
      </c>
      <c r="N2" s="7" t="s">
        <v>29</v>
      </c>
      <c r="O2" s="7" t="s">
        <v>29</v>
      </c>
      <c r="P2" s="7" t="s">
        <v>29</v>
      </c>
      <c r="Q2" s="7" t="s">
        <v>29</v>
      </c>
      <c r="R2" s="7" t="s">
        <v>29</v>
      </c>
      <c r="S2" s="7" t="s">
        <v>28</v>
      </c>
    </row>
    <row r="3" spans="1:19">
      <c r="A3" s="7" t="s">
        <v>177</v>
      </c>
      <c r="B3" s="7" t="s">
        <v>1215</v>
      </c>
      <c r="C3" s="8">
        <v>40</v>
      </c>
      <c r="D3" s="5" t="str">
        <f>LRTRIM(CONCATENATE(IF(SUMPRODUCT(-- ISNUMBER(SEARCH({"Auto Number"}, $B3))) &gt; 0, $B3, IF(SUMPRODUCT(-- ISNUMBER(SEARCH({"Lookup","Master-Detail"}, $B3))) &gt; 0,$B3 &amp; "(" &amp; $E3 &amp; ")",IF(SUMPRODUCT(-- ISNUMBER(SEARCH({"Formula","Roll-Up Summary"}, $B3))) &gt; 0,$B3 &amp; " (" &amp; $E3 &amp; ")",IF(SUMPRODUCT(-- ISNUMBER(SEARCH({"Content","Currency","Number","Percent","Text","URL"}, $B3))) &gt; 0,$B3 &amp; "(" &amp; $C3 &amp; ")",$B3)))), "  ", TRIM(IF($S3 = "YES", "(External ID)", "") &amp; " " &amp; IF(SUMPRODUCT(-- ISNUMBER(SEARCH({"Unique","Unique Case Insensitive"}, $R3))) &gt; 0, "(" &amp; $R3 &amp; ")", ""))))</f>
        <v>Picklist</v>
      </c>
      <c r="E3" s="7" t="s">
        <v>195</v>
      </c>
      <c r="F3" s="7" t="s">
        <v>187</v>
      </c>
      <c r="G3" s="7" t="s">
        <v>195</v>
      </c>
      <c r="H3" s="7" t="s">
        <v>195</v>
      </c>
      <c r="I3" s="7" t="s">
        <v>183</v>
      </c>
      <c r="J3" s="7" t="s">
        <v>195</v>
      </c>
      <c r="K3" s="7" t="s">
        <v>195</v>
      </c>
      <c r="L3" s="7" t="s">
        <v>195</v>
      </c>
      <c r="M3" s="7" t="s">
        <v>29</v>
      </c>
      <c r="N3" s="7" t="s">
        <v>29</v>
      </c>
      <c r="O3" s="7" t="s">
        <v>29</v>
      </c>
      <c r="P3" s="7" t="s">
        <v>29</v>
      </c>
      <c r="Q3" s="7" t="s">
        <v>29</v>
      </c>
      <c r="R3" s="7" t="s">
        <v>29</v>
      </c>
      <c r="S3" s="7" t="s">
        <v>29</v>
      </c>
    </row>
    <row r="4" spans="1:19">
      <c r="A4" s="7" t="s">
        <v>9</v>
      </c>
      <c r="B4" s="7" t="s">
        <v>1218</v>
      </c>
      <c r="C4" s="8">
        <v>50</v>
      </c>
      <c r="D4" s="5" t="str">
        <f>LRTRIM(CONCATENATE(IF(SUMPRODUCT(-- ISNUMBER(SEARCH({"Auto Number"}, $B4))) &gt; 0, $B4, IF(SUMPRODUCT(-- ISNUMBER(SEARCH({"Lookup","Master-Detail"}, $B4))) &gt; 0,$B4 &amp; "(" &amp; $E4 &amp; ")",IF(SUMPRODUCT(-- ISNUMBER(SEARCH({"Formula","Roll-Up Summary"}, $B4))) &gt; 0,$B4 &amp; " (" &amp; $E4 &amp; ")",IF(SUMPRODUCT(-- ISNUMBER(SEARCH({"Content","Currency","Number","Percent","Text","URL"}, $B4))) &gt; 0,$B4 &amp; "(" &amp; $C4 &amp; ")",$B4)))), "  ", TRIM(IF($S4 = "YES", "(External ID)", "") &amp; " " &amp; IF(SUMPRODUCT(-- ISNUMBER(SEARCH({"Unique","Unique Case Insensitive"}, $R4))) &gt; 0, "(" &amp; $R4 &amp; ")", ""))))</f>
        <v>Text(50)</v>
      </c>
      <c r="E4" s="7" t="s">
        <v>195</v>
      </c>
      <c r="F4" s="7" t="s">
        <v>18</v>
      </c>
      <c r="G4" s="7" t="s">
        <v>195</v>
      </c>
      <c r="H4" s="7" t="s">
        <v>195</v>
      </c>
      <c r="I4" s="7" t="s">
        <v>195</v>
      </c>
      <c r="J4" s="7" t="s">
        <v>195</v>
      </c>
      <c r="K4" s="7" t="s">
        <v>195</v>
      </c>
      <c r="L4" s="7" t="s">
        <v>195</v>
      </c>
      <c r="M4" s="7" t="s">
        <v>29</v>
      </c>
      <c r="N4" s="7" t="s">
        <v>29</v>
      </c>
      <c r="O4" s="7" t="s">
        <v>29</v>
      </c>
      <c r="P4" s="7" t="s">
        <v>29</v>
      </c>
      <c r="Q4" s="7" t="s">
        <v>29</v>
      </c>
      <c r="R4" s="7" t="s">
        <v>29</v>
      </c>
      <c r="S4" s="7" t="s">
        <v>29</v>
      </c>
    </row>
    <row r="5" spans="1:19">
      <c r="A5" s="7" t="s">
        <v>178</v>
      </c>
      <c r="B5" s="7" t="s">
        <v>1215</v>
      </c>
      <c r="C5" s="8">
        <v>40</v>
      </c>
      <c r="D5" s="5" t="str">
        <f>LRTRIM(CONCATENATE(IF(SUMPRODUCT(-- ISNUMBER(SEARCH({"Auto Number"}, $B5))) &gt; 0, $B5, IF(SUMPRODUCT(-- ISNUMBER(SEARCH({"Lookup","Master-Detail"}, $B5))) &gt; 0,$B5 &amp; "(" &amp; $E5 &amp; ")",IF(SUMPRODUCT(-- ISNUMBER(SEARCH({"Formula","Roll-Up Summary"}, $B5))) &gt; 0,$B5 &amp; " (" &amp; $E5 &amp; ")",IF(SUMPRODUCT(-- ISNUMBER(SEARCH({"Content","Currency","Number","Percent","Text","URL"}, $B5))) &gt; 0,$B5 &amp; "(" &amp; $C5 &amp; ")",$B5)))), "  ", TRIM(IF($S5 = "YES", "(External ID)", "") &amp; " " &amp; IF(SUMPRODUCT(-- ISNUMBER(SEARCH({"Unique","Unique Case Insensitive"}, $R5))) &gt; 0, "(" &amp; $R5 &amp; ")", ""))))</f>
        <v>Picklist</v>
      </c>
      <c r="E5" s="7" t="s">
        <v>195</v>
      </c>
      <c r="F5" s="7" t="s">
        <v>188</v>
      </c>
      <c r="G5" s="7" t="s">
        <v>195</v>
      </c>
      <c r="H5" s="7" t="s">
        <v>195</v>
      </c>
      <c r="I5" s="7" t="s">
        <v>183</v>
      </c>
      <c r="J5" s="7" t="s">
        <v>195</v>
      </c>
      <c r="K5" s="7" t="s">
        <v>195</v>
      </c>
      <c r="L5" s="7" t="s">
        <v>195</v>
      </c>
      <c r="M5" s="7" t="s">
        <v>29</v>
      </c>
      <c r="N5" s="7" t="s">
        <v>29</v>
      </c>
      <c r="O5" s="7" t="s">
        <v>29</v>
      </c>
      <c r="P5" s="7" t="s">
        <v>29</v>
      </c>
      <c r="Q5" s="7" t="s">
        <v>29</v>
      </c>
      <c r="R5" s="7" t="s">
        <v>29</v>
      </c>
      <c r="S5" s="7" t="s">
        <v>29</v>
      </c>
    </row>
    <row r="6" spans="1:19">
      <c r="A6" s="7" t="s">
        <v>179</v>
      </c>
      <c r="B6" s="7" t="s">
        <v>1215</v>
      </c>
      <c r="C6" s="8">
        <v>40</v>
      </c>
      <c r="D6" s="5" t="str">
        <f>LRTRIM(CONCATENATE(IF(SUMPRODUCT(-- ISNUMBER(SEARCH({"Auto Number"}, $B6))) &gt; 0, $B6, IF(SUMPRODUCT(-- ISNUMBER(SEARCH({"Lookup","Master-Detail"}, $B6))) &gt; 0,$B6 &amp; "(" &amp; $E6 &amp; ")",IF(SUMPRODUCT(-- ISNUMBER(SEARCH({"Formula","Roll-Up Summary"}, $B6))) &gt; 0,$B6 &amp; " (" &amp; $E6 &amp; ")",IF(SUMPRODUCT(-- ISNUMBER(SEARCH({"Content","Currency","Number","Percent","Text","URL"}, $B6))) &gt; 0,$B6 &amp; "(" &amp; $C6 &amp; ")",$B6)))), "  ", TRIM(IF($S6 = "YES", "(External ID)", "") &amp; " " &amp; IF(SUMPRODUCT(-- ISNUMBER(SEARCH({"Unique","Unique Case Insensitive"}, $R6))) &gt; 0, "(" &amp; $R6 &amp; ")", ""))))</f>
        <v>Picklist</v>
      </c>
      <c r="E6" s="7" t="s">
        <v>195</v>
      </c>
      <c r="F6" s="7" t="s">
        <v>189</v>
      </c>
      <c r="G6" s="7" t="s">
        <v>195</v>
      </c>
      <c r="H6" s="7" t="s">
        <v>195</v>
      </c>
      <c r="I6" s="7" t="s">
        <v>184</v>
      </c>
      <c r="J6" s="7" t="s">
        <v>195</v>
      </c>
      <c r="K6" s="7" t="s">
        <v>195</v>
      </c>
      <c r="L6" s="7" t="s">
        <v>195</v>
      </c>
      <c r="M6" s="7" t="s">
        <v>29</v>
      </c>
      <c r="N6" s="7" t="s">
        <v>29</v>
      </c>
      <c r="O6" s="7" t="s">
        <v>29</v>
      </c>
      <c r="P6" s="7" t="s">
        <v>29</v>
      </c>
      <c r="Q6" s="7" t="s">
        <v>29</v>
      </c>
      <c r="R6" s="7" t="s">
        <v>29</v>
      </c>
      <c r="S6" s="7" t="s">
        <v>29</v>
      </c>
    </row>
    <row r="7" spans="1:19">
      <c r="A7" s="7" t="s">
        <v>11</v>
      </c>
      <c r="B7" s="7" t="s">
        <v>1218</v>
      </c>
      <c r="C7" s="8">
        <v>200</v>
      </c>
      <c r="D7" s="5" t="str">
        <f>LRTRIM(CONCATENATE(IF(SUMPRODUCT(-- ISNUMBER(SEARCH({"Auto Number"}, $B7))) &gt; 0, $B7, IF(SUMPRODUCT(-- ISNUMBER(SEARCH({"Lookup","Master-Detail"}, $B7))) &gt; 0,$B7 &amp; "(" &amp; $E7 &amp; ")",IF(SUMPRODUCT(-- ISNUMBER(SEARCH({"Formula","Roll-Up Summary"}, $B7))) &gt; 0,$B7 &amp; " (" &amp; $E7 &amp; ")",IF(SUMPRODUCT(-- ISNUMBER(SEARCH({"Content","Currency","Number","Percent","Text","URL"}, $B7))) &gt; 0,$B7 &amp; "(" &amp; $C7 &amp; ")",$B7)))), "  ", TRIM(IF($S7 = "YES", "(External ID)", "") &amp; " " &amp; IF(SUMPRODUCT(-- ISNUMBER(SEARCH({"Unique","Unique Case Insensitive"}, $R7))) &gt; 0, "(" &amp; $R7 &amp; ")", ""))))</f>
        <v>Text(200)</v>
      </c>
      <c r="E7" s="7" t="s">
        <v>195</v>
      </c>
      <c r="F7" s="7" t="s">
        <v>20</v>
      </c>
      <c r="G7" s="7" t="s">
        <v>195</v>
      </c>
      <c r="H7" s="7" t="s">
        <v>195</v>
      </c>
      <c r="I7" s="7" t="s">
        <v>195</v>
      </c>
      <c r="J7" s="7" t="s">
        <v>195</v>
      </c>
      <c r="K7" s="7" t="s">
        <v>195</v>
      </c>
      <c r="L7" s="7" t="s">
        <v>195</v>
      </c>
      <c r="M7" s="7" t="s">
        <v>29</v>
      </c>
      <c r="N7" s="7" t="s">
        <v>29</v>
      </c>
      <c r="O7" s="7" t="s">
        <v>29</v>
      </c>
      <c r="P7" s="7" t="s">
        <v>29</v>
      </c>
      <c r="Q7" s="7" t="s">
        <v>29</v>
      </c>
      <c r="R7" s="7" t="s">
        <v>29</v>
      </c>
      <c r="S7" s="7" t="s">
        <v>29</v>
      </c>
    </row>
    <row r="8" spans="1:19">
      <c r="A8" s="7" t="s">
        <v>13</v>
      </c>
      <c r="B8" s="7" t="s">
        <v>1218</v>
      </c>
      <c r="C8" s="8">
        <v>10</v>
      </c>
      <c r="D8" s="5" t="str">
        <f>LRTRIM(CONCATENATE(IF(SUMPRODUCT(-- ISNUMBER(SEARCH({"Auto Number"}, $B8))) &gt; 0, $B8, IF(SUMPRODUCT(-- ISNUMBER(SEARCH({"Lookup","Master-Detail"}, $B8))) &gt; 0,$B8 &amp; "(" &amp; $E8 &amp; ")",IF(SUMPRODUCT(-- ISNUMBER(SEARCH({"Formula","Roll-Up Summary"}, $B8))) &gt; 0,$B8 &amp; " (" &amp; $E8 &amp; ")",IF(SUMPRODUCT(-- ISNUMBER(SEARCH({"Content","Currency","Number","Percent","Text","URL"}, $B8))) &gt; 0,$B8 &amp; "(" &amp; $C8 &amp; ")",$B8)))), "  ", TRIM(IF($S8 = "YES", "(External ID)", "") &amp; " " &amp; IF(SUMPRODUCT(-- ISNUMBER(SEARCH({"Unique","Unique Case Insensitive"}, $R8))) &gt; 0, "(" &amp; $R8 &amp; ")", ""))))</f>
        <v>Text(10)</v>
      </c>
      <c r="E8" s="7" t="s">
        <v>195</v>
      </c>
      <c r="F8" s="7" t="s">
        <v>24</v>
      </c>
      <c r="G8" s="7" t="s">
        <v>160</v>
      </c>
      <c r="H8" s="7" t="s">
        <v>195</v>
      </c>
      <c r="I8" s="7" t="s">
        <v>195</v>
      </c>
      <c r="J8" s="7" t="s">
        <v>195</v>
      </c>
      <c r="K8" s="7" t="s">
        <v>195</v>
      </c>
      <c r="L8" s="7" t="s">
        <v>195</v>
      </c>
      <c r="M8" s="7" t="s">
        <v>29</v>
      </c>
      <c r="N8" s="7" t="s">
        <v>29</v>
      </c>
      <c r="O8" s="7" t="s">
        <v>29</v>
      </c>
      <c r="P8" s="7" t="s">
        <v>29</v>
      </c>
      <c r="Q8" s="7" t="s">
        <v>29</v>
      </c>
      <c r="R8" s="7" t="s">
        <v>29</v>
      </c>
      <c r="S8" s="7" t="s">
        <v>29</v>
      </c>
    </row>
    <row r="9" spans="1:19">
      <c r="A9" s="7" t="s">
        <v>14</v>
      </c>
      <c r="B9" s="7" t="s">
        <v>1204</v>
      </c>
      <c r="C9" s="8">
        <v>0</v>
      </c>
      <c r="D9" s="5" t="str">
        <f>LRTRIM(CONCATENATE(IF(SUMPRODUCT(-- ISNUMBER(SEARCH({"Auto Number"}, $B9))) &gt; 0, $B9, IF(SUMPRODUCT(-- ISNUMBER(SEARCH({"Lookup","Master-Detail"}, $B9))) &gt; 0,$B9 &amp; "(" &amp; $E9 &amp; ")",IF(SUMPRODUCT(-- ISNUMBER(SEARCH({"Formula","Roll-Up Summary"}, $B9))) &gt; 0,$B9 &amp; " (" &amp; $E9 &amp; ")",IF(SUMPRODUCT(-- ISNUMBER(SEARCH({"Content","Currency","Number","Percent","Text","URL"}, $B9))) &gt; 0,$B9 &amp; "(" &amp; $C9 &amp; ")",$B9)))), "  ", TRIM(IF($S9 = "YES", "(External ID)", "") &amp; " " &amp; IF(SUMPRODUCT(-- ISNUMBER(SEARCH({"Unique","Unique Case Insensitive"}, $R9))) &gt; 0, "(" &amp; $R9 &amp; ")", ""))))</f>
        <v>Checkbox</v>
      </c>
      <c r="E9" s="7" t="s">
        <v>195</v>
      </c>
      <c r="F9" s="7" t="s">
        <v>25</v>
      </c>
      <c r="G9" s="7" t="s">
        <v>195</v>
      </c>
      <c r="H9" s="7" t="s">
        <v>195</v>
      </c>
      <c r="I9" s="7" t="s">
        <v>195</v>
      </c>
      <c r="J9" s="7" t="s">
        <v>195</v>
      </c>
      <c r="K9" s="7" t="s">
        <v>195</v>
      </c>
      <c r="L9" s="7" t="s">
        <v>195</v>
      </c>
      <c r="M9" s="7" t="s">
        <v>28</v>
      </c>
      <c r="N9" s="7" t="s">
        <v>29</v>
      </c>
      <c r="O9" s="7" t="s">
        <v>29</v>
      </c>
      <c r="P9" s="7" t="s">
        <v>29</v>
      </c>
      <c r="Q9" s="7" t="s">
        <v>29</v>
      </c>
      <c r="R9" s="7" t="s">
        <v>29</v>
      </c>
      <c r="S9" s="7" t="s">
        <v>29</v>
      </c>
    </row>
    <row r="10" spans="1:19">
      <c r="A10" s="7" t="s">
        <v>180</v>
      </c>
      <c r="B10" s="7" t="s">
        <v>1215</v>
      </c>
      <c r="C10" s="8">
        <v>40</v>
      </c>
      <c r="D10" s="5" t="str">
        <f>LRTRIM(CONCATENATE(IF(SUMPRODUCT(-- ISNUMBER(SEARCH({"Auto Number"}, $B10))) &gt; 0, $B10, IF(SUMPRODUCT(-- ISNUMBER(SEARCH({"Lookup","Master-Detail"}, $B10))) &gt; 0,$B10 &amp; "(" &amp; $E10 &amp; ")",IF(SUMPRODUCT(-- ISNUMBER(SEARCH({"Formula","Roll-Up Summary"}, $B10))) &gt; 0,$B10 &amp; " (" &amp; $E10 &amp; ")",IF(SUMPRODUCT(-- ISNUMBER(SEARCH({"Content","Currency","Number","Percent","Text","URL"}, $B10))) &gt; 0,$B10 &amp; "(" &amp; $C10 &amp; ")",$B10)))), "  ", TRIM(IF($S10 = "YES", "(External ID)", "") &amp; " " &amp; IF(SUMPRODUCT(-- ISNUMBER(SEARCH({"Unique","Unique Case Insensitive"}, $R10))) &gt; 0, "(" &amp; $R10 &amp; ")", ""))))</f>
        <v>Picklist</v>
      </c>
      <c r="E10" s="7" t="s">
        <v>195</v>
      </c>
      <c r="F10" s="7" t="s">
        <v>190</v>
      </c>
      <c r="G10" s="7" t="s">
        <v>195</v>
      </c>
      <c r="H10" s="7" t="s">
        <v>195</v>
      </c>
      <c r="I10" s="7" t="s">
        <v>183</v>
      </c>
      <c r="J10" s="7" t="s">
        <v>195</v>
      </c>
      <c r="K10" s="7" t="s">
        <v>195</v>
      </c>
      <c r="L10" s="7" t="s">
        <v>195</v>
      </c>
      <c r="M10" s="7" t="s">
        <v>29</v>
      </c>
      <c r="N10" s="7" t="s">
        <v>29</v>
      </c>
      <c r="O10" s="7" t="s">
        <v>29</v>
      </c>
      <c r="P10" s="7" t="s">
        <v>29</v>
      </c>
      <c r="Q10" s="7" t="s">
        <v>29</v>
      </c>
      <c r="R10" s="7" t="s">
        <v>29</v>
      </c>
      <c r="S10" s="7" t="s">
        <v>29</v>
      </c>
    </row>
    <row r="11" spans="1:19">
      <c r="A11" s="7" t="s">
        <v>181</v>
      </c>
      <c r="B11" s="7" t="s">
        <v>1215</v>
      </c>
      <c r="C11" s="8">
        <v>255</v>
      </c>
      <c r="D11" s="5" t="str">
        <f>LRTRIM(CONCATENATE(IF(SUMPRODUCT(-- ISNUMBER(SEARCH({"Auto Number"}, $B11))) &gt; 0, $B11, IF(SUMPRODUCT(-- ISNUMBER(SEARCH({"Lookup","Master-Detail"}, $B11))) &gt; 0,$B11 &amp; "(" &amp; $E11 &amp; ")",IF(SUMPRODUCT(-- ISNUMBER(SEARCH({"Formula","Roll-Up Summary"}, $B11))) &gt; 0,$B11 &amp; " (" &amp; $E11 &amp; ")",IF(SUMPRODUCT(-- ISNUMBER(SEARCH({"Content","Currency","Number","Percent","Text","URL"}, $B11))) &gt; 0,$B11 &amp; "(" &amp; $C11 &amp; ")",$B11)))), "  ", TRIM(IF($S11 = "YES", "(External ID)", "") &amp; " " &amp; IF(SUMPRODUCT(-- ISNUMBER(SEARCH({"Unique","Unique Case Insensitive"}, $R11))) &gt; 0, "(" &amp; $R11 &amp; ")", ""))))</f>
        <v>Picklist</v>
      </c>
      <c r="E11" s="7" t="s">
        <v>195</v>
      </c>
      <c r="F11" s="7" t="s">
        <v>191</v>
      </c>
      <c r="G11" s="7" t="s">
        <v>195</v>
      </c>
      <c r="H11" s="7" t="s">
        <v>195</v>
      </c>
      <c r="I11" s="7" t="s">
        <v>185</v>
      </c>
      <c r="J11" s="7" t="s">
        <v>195</v>
      </c>
      <c r="K11" s="7" t="s">
        <v>195</v>
      </c>
      <c r="L11" s="7" t="s">
        <v>195</v>
      </c>
      <c r="M11" s="7" t="s">
        <v>29</v>
      </c>
      <c r="N11" s="7" t="s">
        <v>29</v>
      </c>
      <c r="O11" s="7" t="s">
        <v>29</v>
      </c>
      <c r="P11" s="7" t="s">
        <v>29</v>
      </c>
      <c r="Q11" s="7" t="s">
        <v>29</v>
      </c>
      <c r="R11" s="7" t="s">
        <v>29</v>
      </c>
      <c r="S11" s="7" t="s">
        <v>29</v>
      </c>
    </row>
    <row r="12" spans="1:19">
      <c r="A12" s="7" t="s">
        <v>3</v>
      </c>
      <c r="B12" s="7" t="s">
        <v>195</v>
      </c>
      <c r="C12" s="8" t="s">
        <v>195</v>
      </c>
      <c r="D12" s="5" t="str">
        <f>LRTRIM(CONCATENATE(IF(SUMPRODUCT(-- ISNUMBER(SEARCH({"Auto Number"}, $B12))) &gt; 0, $B12, IF(SUMPRODUCT(-- ISNUMBER(SEARCH({"Lookup","Master-Detail"}, $B12))) &gt; 0,$B12 &amp; "(" &amp; $E12 &amp; ")",IF(SUMPRODUCT(-- ISNUMBER(SEARCH({"Formula","Roll-Up Summary"}, $B12))) &gt; 0,$B12 &amp; " (" &amp; $E12 &amp; ")",IF(SUMPRODUCT(-- ISNUMBER(SEARCH({"Content","Currency","Number","Percent","Text","URL"}, $B12))) &gt; 0,$B12 &amp; "(" &amp; $C12 &amp; ")",$B12)))), "  ", TRIM(IF($S12 = "YES", "(External ID)", "") &amp; " " &amp; IF(SUMPRODUCT(-- ISNUMBER(SEARCH({"Unique","Unique Case Insensitive"}, $R12))) &gt; 0, "(" &amp; $R12 &amp; ")", ""))))</f>
        <v>na</v>
      </c>
      <c r="E12" s="7" t="s">
        <v>195</v>
      </c>
      <c r="F12" s="7" t="s">
        <v>195</v>
      </c>
      <c r="G12" s="7" t="s">
        <v>195</v>
      </c>
      <c r="H12" s="7" t="s">
        <v>195</v>
      </c>
      <c r="I12" s="7" t="s">
        <v>195</v>
      </c>
      <c r="J12" s="7" t="s">
        <v>195</v>
      </c>
      <c r="K12" s="7" t="s">
        <v>195</v>
      </c>
      <c r="L12" s="7" t="s">
        <v>195</v>
      </c>
      <c r="M12" s="7" t="s">
        <v>28</v>
      </c>
      <c r="N12" s="7" t="s">
        <v>29</v>
      </c>
      <c r="O12" s="7" t="s">
        <v>29</v>
      </c>
      <c r="P12" s="7" t="s">
        <v>29</v>
      </c>
      <c r="Q12" s="7" t="s">
        <v>29</v>
      </c>
      <c r="R12" s="7" t="s">
        <v>29</v>
      </c>
      <c r="S12" s="7" t="s">
        <v>29</v>
      </c>
    </row>
    <row r="13" spans="1:19">
      <c r="A13" s="7" t="s">
        <v>182</v>
      </c>
      <c r="B13" s="7" t="s">
        <v>195</v>
      </c>
      <c r="C13" s="8" t="s">
        <v>195</v>
      </c>
      <c r="D13" s="5" t="str">
        <f>LRTRIM(CONCATENATE(IF(SUMPRODUCT(-- ISNUMBER(SEARCH({"Auto Number"}, $B13))) &gt; 0, $B13, IF(SUMPRODUCT(-- ISNUMBER(SEARCH({"Lookup","Master-Detail"}, $B13))) &gt; 0,$B13 &amp; "(" &amp; $E13 &amp; ")",IF(SUMPRODUCT(-- ISNUMBER(SEARCH({"Formula","Roll-Up Summary"}, $B13))) &gt; 0,$B13 &amp; " (" &amp; $E13 &amp; ")",IF(SUMPRODUCT(-- ISNUMBER(SEARCH({"Content","Currency","Number","Percent","Text","URL"}, $B13))) &gt; 0,$B13 &amp; "(" &amp; $C13 &amp; ")",$B13)))), "  ", TRIM(IF($S13 = "YES", "(External ID)", "") &amp; " " &amp; IF(SUMPRODUCT(-- ISNUMBER(SEARCH({"Unique","Unique Case Insensitive"}, $R13))) &gt; 0, "(" &amp; $R13 &amp; ")", ""))))</f>
        <v>na</v>
      </c>
      <c r="E13" s="7" t="s">
        <v>195</v>
      </c>
      <c r="F13" s="7" t="s">
        <v>195</v>
      </c>
      <c r="G13" s="7" t="s">
        <v>195</v>
      </c>
      <c r="H13" s="7" t="s">
        <v>195</v>
      </c>
      <c r="I13" s="7" t="s">
        <v>195</v>
      </c>
      <c r="J13" s="7" t="s">
        <v>195</v>
      </c>
      <c r="K13" s="7" t="s">
        <v>195</v>
      </c>
      <c r="L13" s="7" t="s">
        <v>195</v>
      </c>
      <c r="M13" s="7" t="s">
        <v>28</v>
      </c>
      <c r="N13" s="7" t="s">
        <v>29</v>
      </c>
      <c r="O13" s="7" t="s">
        <v>29</v>
      </c>
      <c r="P13" s="7" t="s">
        <v>29</v>
      </c>
      <c r="Q13" s="7" t="s">
        <v>29</v>
      </c>
      <c r="R13" s="7" t="s">
        <v>29</v>
      </c>
      <c r="S13" s="7" t="s">
        <v>29</v>
      </c>
    </row>
    <row r="14" spans="1:19">
      <c r="A14" s="7" t="s">
        <v>35</v>
      </c>
      <c r="B14" s="7" t="s">
        <v>195</v>
      </c>
      <c r="C14" s="8" t="s">
        <v>195</v>
      </c>
      <c r="D14" s="5" t="str">
        <f>LRTRIM(CONCATENATE(IF(SUMPRODUCT(-- ISNUMBER(SEARCH({"Auto Number"}, $B14))) &gt; 0, $B14, IF(SUMPRODUCT(-- ISNUMBER(SEARCH({"Lookup","Master-Detail"}, $B14))) &gt; 0,$B14 &amp; "(" &amp; $E14 &amp; ")",IF(SUMPRODUCT(-- ISNUMBER(SEARCH({"Formula","Roll-Up Summary"}, $B14))) &gt; 0,$B14 &amp; " (" &amp; $E14 &amp; ")",IF(SUMPRODUCT(-- ISNUMBER(SEARCH({"Content","Currency","Number","Percent","Text","URL"}, $B14))) &gt; 0,$B14 &amp; "(" &amp; $C14 &amp; ")",$B14)))), "  ", TRIM(IF($S14 = "YES", "(External ID)", "") &amp; " " &amp; IF(SUMPRODUCT(-- ISNUMBER(SEARCH({"Unique","Unique Case Insensitive"}, $R14))) &gt; 0, "(" &amp; $R14 &amp; ")", ""))))</f>
        <v>na</v>
      </c>
      <c r="E14" s="7" t="s">
        <v>195</v>
      </c>
      <c r="F14" s="7" t="s">
        <v>195</v>
      </c>
      <c r="G14" s="7" t="s">
        <v>195</v>
      </c>
      <c r="H14" s="7" t="s">
        <v>195</v>
      </c>
      <c r="I14" s="7" t="s">
        <v>195</v>
      </c>
      <c r="J14" s="7" t="s">
        <v>195</v>
      </c>
      <c r="K14" s="7" t="s">
        <v>195</v>
      </c>
      <c r="L14" s="7" t="s">
        <v>195</v>
      </c>
      <c r="M14" s="7" t="s">
        <v>28</v>
      </c>
      <c r="N14" s="7" t="s">
        <v>29</v>
      </c>
      <c r="O14" s="7" t="s">
        <v>29</v>
      </c>
      <c r="P14" s="7" t="s">
        <v>29</v>
      </c>
      <c r="Q14" s="7" t="s">
        <v>29</v>
      </c>
      <c r="R14" s="7" t="s">
        <v>29</v>
      </c>
      <c r="S14" s="7" t="s">
        <v>29</v>
      </c>
    </row>
    <row r="15" spans="1:19">
      <c r="A15" s="7" t="s">
        <v>36</v>
      </c>
      <c r="B15" s="7" t="s">
        <v>195</v>
      </c>
      <c r="C15" s="8" t="s">
        <v>195</v>
      </c>
      <c r="D15" s="5" t="str">
        <f>LRTRIM(CONCATENATE(IF(SUMPRODUCT(-- ISNUMBER(SEARCH({"Auto Number"}, $B15))) &gt; 0, $B15, IF(SUMPRODUCT(-- ISNUMBER(SEARCH({"Lookup","Master-Detail"}, $B15))) &gt; 0,$B15 &amp; "(" &amp; $E15 &amp; ")",IF(SUMPRODUCT(-- ISNUMBER(SEARCH({"Formula","Roll-Up Summary"}, $B15))) &gt; 0,$B15 &amp; " (" &amp; $E15 &amp; ")",IF(SUMPRODUCT(-- ISNUMBER(SEARCH({"Content","Currency","Number","Percent","Text","URL"}, $B15))) &gt; 0,$B15 &amp; "(" &amp; $C15 &amp; ")",$B15)))), "  ", TRIM(IF($S15 = "YES", "(External ID)", "") &amp; " " &amp; IF(SUMPRODUCT(-- ISNUMBER(SEARCH({"Unique","Unique Case Insensitive"}, $R15))) &gt; 0, "(" &amp; $R15 &amp; ")", ""))))</f>
        <v>na</v>
      </c>
      <c r="E15" s="7" t="s">
        <v>195</v>
      </c>
      <c r="F15" s="7" t="s">
        <v>195</v>
      </c>
      <c r="G15" s="7" t="s">
        <v>195</v>
      </c>
      <c r="H15" s="7" t="s">
        <v>195</v>
      </c>
      <c r="I15" s="7" t="s">
        <v>195</v>
      </c>
      <c r="J15" s="7" t="s">
        <v>195</v>
      </c>
      <c r="K15" s="7" t="s">
        <v>195</v>
      </c>
      <c r="L15" s="7" t="s">
        <v>195</v>
      </c>
      <c r="M15" s="7" t="s">
        <v>28</v>
      </c>
      <c r="N15" s="7" t="s">
        <v>29</v>
      </c>
      <c r="O15" s="7" t="s">
        <v>29</v>
      </c>
      <c r="P15" s="7" t="s">
        <v>29</v>
      </c>
      <c r="Q15" s="7" t="s">
        <v>29</v>
      </c>
      <c r="R15" s="7" t="s">
        <v>29</v>
      </c>
      <c r="S15" s="7" t="s">
        <v>29</v>
      </c>
    </row>
    <row r="16" spans="1:19">
      <c r="A16" s="7" t="s">
        <v>37</v>
      </c>
      <c r="B16" s="7" t="s">
        <v>195</v>
      </c>
      <c r="C16" s="8" t="s">
        <v>195</v>
      </c>
      <c r="D16" s="5" t="str">
        <f>LRTRIM(CONCATENATE(IF(SUMPRODUCT(-- ISNUMBER(SEARCH({"Auto Number"}, $B16))) &gt; 0, $B16, IF(SUMPRODUCT(-- ISNUMBER(SEARCH({"Lookup","Master-Detail"}, $B16))) &gt; 0,$B16 &amp; "(" &amp; $E16 &amp; ")",IF(SUMPRODUCT(-- ISNUMBER(SEARCH({"Formula","Roll-Up Summary"}, $B16))) &gt; 0,$B16 &amp; " (" &amp; $E16 &amp; ")",IF(SUMPRODUCT(-- ISNUMBER(SEARCH({"Content","Currency","Number","Percent","Text","URL"}, $B16))) &gt; 0,$B16 &amp; "(" &amp; $C16 &amp; ")",$B16)))), "  ", TRIM(IF($S16 = "YES", "(External ID)", "") &amp; " " &amp; IF(SUMPRODUCT(-- ISNUMBER(SEARCH({"Unique","Unique Case Insensitive"}, $R16))) &gt; 0, "(" &amp; $R16 &amp; ")", ""))))</f>
        <v>na</v>
      </c>
      <c r="E16" s="7" t="s">
        <v>195</v>
      </c>
      <c r="F16" s="7" t="s">
        <v>195</v>
      </c>
      <c r="G16" s="7" t="s">
        <v>195</v>
      </c>
      <c r="H16" s="7" t="s">
        <v>195</v>
      </c>
      <c r="I16" s="7" t="s">
        <v>195</v>
      </c>
      <c r="J16" s="7" t="s">
        <v>195</v>
      </c>
      <c r="K16" s="7" t="s">
        <v>195</v>
      </c>
      <c r="L16" s="7" t="s">
        <v>195</v>
      </c>
      <c r="M16" s="7" t="s">
        <v>28</v>
      </c>
      <c r="N16" s="7" t="s">
        <v>29</v>
      </c>
      <c r="O16" s="7" t="s">
        <v>29</v>
      </c>
      <c r="P16" s="7" t="s">
        <v>29</v>
      </c>
      <c r="Q16" s="7" t="s">
        <v>29</v>
      </c>
      <c r="R16" s="7" t="s">
        <v>29</v>
      </c>
      <c r="S16" s="7" t="s">
        <v>29</v>
      </c>
    </row>
    <row r="17" spans="1:19">
      <c r="A17" s="7" t="s">
        <v>38</v>
      </c>
      <c r="B17" s="7" t="s">
        <v>195</v>
      </c>
      <c r="C17" s="8" t="s">
        <v>195</v>
      </c>
      <c r="D17" s="5" t="str">
        <f>LRTRIM(CONCATENATE(IF(SUMPRODUCT(-- ISNUMBER(SEARCH({"Auto Number"}, $B17))) &gt; 0, $B17, IF(SUMPRODUCT(-- ISNUMBER(SEARCH({"Lookup","Master-Detail"}, $B17))) &gt; 0,$B17 &amp; "(" &amp; $E17 &amp; ")",IF(SUMPRODUCT(-- ISNUMBER(SEARCH({"Formula","Roll-Up Summary"}, $B17))) &gt; 0,$B17 &amp; " (" &amp; $E17 &amp; ")",IF(SUMPRODUCT(-- ISNUMBER(SEARCH({"Content","Currency","Number","Percent","Text","URL"}, $B17))) &gt; 0,$B17 &amp; "(" &amp; $C17 &amp; ")",$B17)))), "  ", TRIM(IF($S17 = "YES", "(External ID)", "") &amp; " " &amp; IF(SUMPRODUCT(-- ISNUMBER(SEARCH({"Unique","Unique Case Insensitive"}, $R17))) &gt; 0, "(" &amp; $R17 &amp; ")", ""))))</f>
        <v>na</v>
      </c>
      <c r="E17" s="7" t="s">
        <v>195</v>
      </c>
      <c r="F17" s="7" t="s">
        <v>195</v>
      </c>
      <c r="G17" s="7" t="s">
        <v>195</v>
      </c>
      <c r="H17" s="7" t="s">
        <v>195</v>
      </c>
      <c r="I17" s="7" t="s">
        <v>195</v>
      </c>
      <c r="J17" s="7" t="s">
        <v>195</v>
      </c>
      <c r="K17" s="7" t="s">
        <v>195</v>
      </c>
      <c r="L17" s="7" t="s">
        <v>195</v>
      </c>
      <c r="M17" s="7" t="s">
        <v>28</v>
      </c>
      <c r="N17" s="7" t="s">
        <v>29</v>
      </c>
      <c r="O17" s="7" t="s">
        <v>29</v>
      </c>
      <c r="P17" s="7" t="s">
        <v>29</v>
      </c>
      <c r="Q17" s="7" t="s">
        <v>29</v>
      </c>
      <c r="R17" s="7" t="s">
        <v>29</v>
      </c>
      <c r="S17" s="7" t="s">
        <v>29</v>
      </c>
    </row>
    <row r="18" spans="1:19">
      <c r="A18" s="7" t="s">
        <v>39</v>
      </c>
      <c r="B18" s="7" t="s">
        <v>195</v>
      </c>
      <c r="C18" s="8" t="s">
        <v>195</v>
      </c>
      <c r="D18" s="5" t="str">
        <f>LRTRIM(CONCATENATE(IF(SUMPRODUCT(-- ISNUMBER(SEARCH({"Auto Number"}, $B18))) &gt; 0, $B18, IF(SUMPRODUCT(-- ISNUMBER(SEARCH({"Lookup","Master-Detail"}, $B18))) &gt; 0,$B18 &amp; "(" &amp; $E18 &amp; ")",IF(SUMPRODUCT(-- ISNUMBER(SEARCH({"Formula","Roll-Up Summary"}, $B18))) &gt; 0,$B18 &amp; " (" &amp; $E18 &amp; ")",IF(SUMPRODUCT(-- ISNUMBER(SEARCH({"Content","Currency","Number","Percent","Text","URL"}, $B18))) &gt; 0,$B18 &amp; "(" &amp; $C18 &amp; ")",$B18)))), "  ", TRIM(IF($S18 = "YES", "(External ID)", "") &amp; " " &amp; IF(SUMPRODUCT(-- ISNUMBER(SEARCH({"Unique","Unique Case Insensitive"}, $R18))) &gt; 0, "(" &amp; $R18 &amp; ")", ""))))</f>
        <v>na</v>
      </c>
      <c r="E18" s="7" t="s">
        <v>195</v>
      </c>
      <c r="F18" s="7" t="s">
        <v>195</v>
      </c>
      <c r="G18" s="7" t="s">
        <v>195</v>
      </c>
      <c r="H18" s="7" t="s">
        <v>195</v>
      </c>
      <c r="I18" s="7" t="s">
        <v>195</v>
      </c>
      <c r="J18" s="7" t="s">
        <v>195</v>
      </c>
      <c r="K18" s="7" t="s">
        <v>195</v>
      </c>
      <c r="L18" s="7" t="s">
        <v>195</v>
      </c>
      <c r="M18" s="7" t="s">
        <v>28</v>
      </c>
      <c r="N18" s="7" t="s">
        <v>29</v>
      </c>
      <c r="O18" s="7" t="s">
        <v>29</v>
      </c>
      <c r="P18" s="7" t="s">
        <v>29</v>
      </c>
      <c r="Q18" s="7" t="s">
        <v>29</v>
      </c>
      <c r="R18" s="7" t="s">
        <v>29</v>
      </c>
      <c r="S18" s="7" t="s">
        <v>29</v>
      </c>
    </row>
    <row r="19" spans="1:19">
      <c r="A19" s="7" t="s">
        <v>34</v>
      </c>
      <c r="B19" s="7" t="s">
        <v>195</v>
      </c>
      <c r="C19" s="8" t="s">
        <v>195</v>
      </c>
      <c r="D19" s="5" t="str">
        <f>LRTRIM(CONCATENATE(IF(SUMPRODUCT(-- ISNUMBER(SEARCH({"Auto Number"}, $B19))) &gt; 0, $B19, IF(SUMPRODUCT(-- ISNUMBER(SEARCH({"Lookup","Master-Detail"}, $B19))) &gt; 0,$B19 &amp; "(" &amp; $E19 &amp; ")",IF(SUMPRODUCT(-- ISNUMBER(SEARCH({"Formula","Roll-Up Summary"}, $B19))) &gt; 0,$B19 &amp; " (" &amp; $E19 &amp; ")",IF(SUMPRODUCT(-- ISNUMBER(SEARCH({"Content","Currency","Number","Percent","Text","URL"}, $B19))) &gt; 0,$B19 &amp; "(" &amp; $C19 &amp; ")",$B19)))), "  ", TRIM(IF($S19 = "YES", "(External ID)", "") &amp; " " &amp; IF(SUMPRODUCT(-- ISNUMBER(SEARCH({"Unique","Unique Case Insensitive"}, $R19))) &gt; 0, "(" &amp; $R19 &amp; ")", ""))))</f>
        <v>na</v>
      </c>
      <c r="E19" s="7" t="s">
        <v>195</v>
      </c>
      <c r="F19" s="7" t="s">
        <v>195</v>
      </c>
      <c r="G19" s="7" t="s">
        <v>195</v>
      </c>
      <c r="H19" s="7" t="s">
        <v>195</v>
      </c>
      <c r="I19" s="7" t="s">
        <v>195</v>
      </c>
      <c r="J19" s="7" t="s">
        <v>195</v>
      </c>
      <c r="K19" s="7" t="s">
        <v>195</v>
      </c>
      <c r="L19" s="7" t="s">
        <v>195</v>
      </c>
      <c r="M19" s="7" t="s">
        <v>28</v>
      </c>
      <c r="N19" s="7" t="s">
        <v>29</v>
      </c>
      <c r="O19" s="7" t="s">
        <v>29</v>
      </c>
      <c r="P19" s="7" t="s">
        <v>29</v>
      </c>
      <c r="Q19" s="7" t="s">
        <v>29</v>
      </c>
      <c r="R19" s="7" t="s">
        <v>29</v>
      </c>
      <c r="S19" s="7" t="s">
        <v>29</v>
      </c>
    </row>
    <row r="20" spans="1:19">
      <c r="B20" s="7" t="s">
        <v>195</v>
      </c>
      <c r="C20" s="8" t="s">
        <v>195</v>
      </c>
      <c r="D20" s="5" t="str">
        <f>LRTRIM(CONCATENATE(IF(SUMPRODUCT(-- ISNUMBER(SEARCH({"Auto Number"}, $B20))) &gt; 0, $B20, IF(SUMPRODUCT(-- ISNUMBER(SEARCH({"Lookup","Master-Detail"}, $B20))) &gt; 0,$B20 &amp; "(" &amp; $E20 &amp; ")",IF(SUMPRODUCT(-- ISNUMBER(SEARCH({"Formula","Roll-Up Summary"}, $B20))) &gt; 0,$B20 &amp; " (" &amp; $E20 &amp; ")",IF(SUMPRODUCT(-- ISNUMBER(SEARCH({"Content","Currency","Number","Percent","Text","URL"}, $B20))) &gt; 0,$B20 &amp; "(" &amp; $C20 &amp; ")",$B20)))), "  ", TRIM(IF($S20 = "YES", "(External ID)", "") &amp; " " &amp; IF(SUMPRODUCT(-- ISNUMBER(SEARCH({"Unique","Unique Case Insensitive"}, $R20))) &gt; 0, "(" &amp; $R20 &amp; ")", ""))))</f>
        <v>na</v>
      </c>
      <c r="E20" s="7" t="s">
        <v>195</v>
      </c>
      <c r="F20" s="7" t="s">
        <v>195</v>
      </c>
      <c r="G20" s="7" t="s">
        <v>195</v>
      </c>
      <c r="H20" s="7" t="s">
        <v>195</v>
      </c>
      <c r="I20" s="7" t="s">
        <v>195</v>
      </c>
      <c r="J20" s="7" t="s">
        <v>195</v>
      </c>
      <c r="K20" s="7" t="s">
        <v>195</v>
      </c>
      <c r="L20" s="7" t="s">
        <v>195</v>
      </c>
      <c r="M20" s="7" t="s">
        <v>29</v>
      </c>
      <c r="N20" s="7" t="s">
        <v>29</v>
      </c>
      <c r="O20" s="7" t="s">
        <v>29</v>
      </c>
      <c r="P20" s="7" t="s">
        <v>29</v>
      </c>
      <c r="Q20" s="7" t="s">
        <v>29</v>
      </c>
      <c r="R20" s="7" t="s">
        <v>29</v>
      </c>
      <c r="S20" s="7" t="s">
        <v>29</v>
      </c>
    </row>
    <row r="21" spans="1:19">
      <c r="B21" s="7" t="s">
        <v>195</v>
      </c>
      <c r="C21" s="8" t="s">
        <v>195</v>
      </c>
      <c r="D21" s="5" t="str">
        <f>LRTRIM(CONCATENATE(IF(SUMPRODUCT(-- ISNUMBER(SEARCH({"Auto Number"}, $B21))) &gt; 0, $B21, IF(SUMPRODUCT(-- ISNUMBER(SEARCH({"Lookup","Master-Detail"}, $B21))) &gt; 0,$B21 &amp; "(" &amp; $E21 &amp; ")",IF(SUMPRODUCT(-- ISNUMBER(SEARCH({"Formula","Roll-Up Summary"}, $B21))) &gt; 0,$B21 &amp; " (" &amp; $E21 &amp; ")",IF(SUMPRODUCT(-- ISNUMBER(SEARCH({"Content","Currency","Number","Percent","Text","URL"}, $B21))) &gt; 0,$B21 &amp; "(" &amp; $C21 &amp; ")",$B21)))), "  ", TRIM(IF($S21 = "YES", "(External ID)", "") &amp; " " &amp; IF(SUMPRODUCT(-- ISNUMBER(SEARCH({"Unique","Unique Case Insensitive"}, $R21))) &gt; 0, "(" &amp; $R21 &amp; ")", ""))))</f>
        <v>na</v>
      </c>
      <c r="E21" s="7" t="s">
        <v>195</v>
      </c>
      <c r="F21" s="7" t="s">
        <v>195</v>
      </c>
      <c r="G21" s="7" t="s">
        <v>195</v>
      </c>
      <c r="H21" s="7" t="s">
        <v>195</v>
      </c>
      <c r="I21" s="7" t="s">
        <v>195</v>
      </c>
      <c r="J21" s="7" t="s">
        <v>195</v>
      </c>
      <c r="K21" s="7" t="s">
        <v>195</v>
      </c>
      <c r="L21" s="7" t="s">
        <v>195</v>
      </c>
      <c r="M21" s="7" t="s">
        <v>29</v>
      </c>
      <c r="N21" s="7" t="s">
        <v>29</v>
      </c>
      <c r="O21" s="7" t="s">
        <v>29</v>
      </c>
      <c r="P21" s="7" t="s">
        <v>29</v>
      </c>
      <c r="Q21" s="7" t="s">
        <v>29</v>
      </c>
      <c r="R21" s="7" t="s">
        <v>29</v>
      </c>
      <c r="S21" s="7" t="s">
        <v>29</v>
      </c>
    </row>
    <row r="22" spans="1:19">
      <c r="B22" s="7" t="s">
        <v>195</v>
      </c>
      <c r="C22" s="8" t="s">
        <v>195</v>
      </c>
      <c r="D22" s="5" t="str">
        <f>LRTRIM(CONCATENATE(IF(SUMPRODUCT(-- ISNUMBER(SEARCH({"Auto Number"}, $B22))) &gt; 0, $B22, IF(SUMPRODUCT(-- ISNUMBER(SEARCH({"Lookup","Master-Detail"}, $B22))) &gt; 0,$B22 &amp; "(" &amp; $E22 &amp; ")",IF(SUMPRODUCT(-- ISNUMBER(SEARCH({"Formula","Roll-Up Summary"}, $B22))) &gt; 0,$B22 &amp; " (" &amp; $E22 &amp; ")",IF(SUMPRODUCT(-- ISNUMBER(SEARCH({"Content","Currency","Number","Percent","Text","URL"}, $B22))) &gt; 0,$B22 &amp; "(" &amp; $C22 &amp; ")",$B22)))), "  ", TRIM(IF($S22 = "YES", "(External ID)", "") &amp; " " &amp; IF(SUMPRODUCT(-- ISNUMBER(SEARCH({"Unique","Unique Case Insensitive"}, $R22))) &gt; 0, "(" &amp; $R22 &amp; ")", ""))))</f>
        <v>na</v>
      </c>
      <c r="E22" s="7" t="s">
        <v>195</v>
      </c>
      <c r="F22" s="7" t="s">
        <v>195</v>
      </c>
      <c r="G22" s="7" t="s">
        <v>195</v>
      </c>
      <c r="H22" s="7" t="s">
        <v>195</v>
      </c>
      <c r="I22" s="7" t="s">
        <v>195</v>
      </c>
      <c r="J22" s="7" t="s">
        <v>195</v>
      </c>
      <c r="K22" s="7" t="s">
        <v>195</v>
      </c>
      <c r="L22" s="7" t="s">
        <v>195</v>
      </c>
      <c r="M22" s="7" t="s">
        <v>29</v>
      </c>
      <c r="N22" s="7" t="s">
        <v>29</v>
      </c>
      <c r="O22" s="7" t="s">
        <v>29</v>
      </c>
      <c r="P22" s="7" t="s">
        <v>29</v>
      </c>
      <c r="Q22" s="7" t="s">
        <v>29</v>
      </c>
      <c r="R22" s="7" t="s">
        <v>29</v>
      </c>
      <c r="S22" s="7" t="s">
        <v>29</v>
      </c>
    </row>
    <row r="23" spans="1:19">
      <c r="B23" s="7" t="s">
        <v>195</v>
      </c>
      <c r="C23" s="8" t="s">
        <v>195</v>
      </c>
      <c r="D23" s="5" t="str">
        <f>LRTRIM(CONCATENATE(IF(SUMPRODUCT(-- ISNUMBER(SEARCH({"Auto Number"}, $B23))) &gt; 0, $B23, IF(SUMPRODUCT(-- ISNUMBER(SEARCH({"Lookup","Master-Detail"}, $B23))) &gt; 0,$B23 &amp; "(" &amp; $E23 &amp; ")",IF(SUMPRODUCT(-- ISNUMBER(SEARCH({"Formula","Roll-Up Summary"}, $B23))) &gt; 0,$B23 &amp; " (" &amp; $E23 &amp; ")",IF(SUMPRODUCT(-- ISNUMBER(SEARCH({"Content","Currency","Number","Percent","Text","URL"}, $B23))) &gt; 0,$B23 &amp; "(" &amp; $C23 &amp; ")",$B23)))), "  ", TRIM(IF($S23 = "YES", "(External ID)", "") &amp; " " &amp; IF(SUMPRODUCT(-- ISNUMBER(SEARCH({"Unique","Unique Case Insensitive"}, $R23))) &gt; 0, "(" &amp; $R23 &amp; ")", ""))))</f>
        <v>na</v>
      </c>
      <c r="E23" s="7" t="s">
        <v>195</v>
      </c>
      <c r="F23" s="7" t="s">
        <v>195</v>
      </c>
      <c r="G23" s="7" t="s">
        <v>195</v>
      </c>
      <c r="H23" s="7" t="s">
        <v>195</v>
      </c>
      <c r="I23" s="7" t="s">
        <v>195</v>
      </c>
      <c r="J23" s="7" t="s">
        <v>195</v>
      </c>
      <c r="K23" s="7" t="s">
        <v>195</v>
      </c>
      <c r="L23" s="7" t="s">
        <v>195</v>
      </c>
      <c r="M23" s="7" t="s">
        <v>29</v>
      </c>
      <c r="N23" s="7" t="s">
        <v>29</v>
      </c>
      <c r="O23" s="7" t="s">
        <v>29</v>
      </c>
      <c r="P23" s="7" t="s">
        <v>29</v>
      </c>
      <c r="Q23" s="7" t="s">
        <v>29</v>
      </c>
      <c r="R23" s="7" t="s">
        <v>29</v>
      </c>
      <c r="S23" s="7" t="s">
        <v>29</v>
      </c>
    </row>
    <row r="24" spans="1:19">
      <c r="B24" s="7" t="s">
        <v>195</v>
      </c>
      <c r="C24" s="8" t="s">
        <v>195</v>
      </c>
      <c r="D24" s="5" t="str">
        <f>LRTRIM(CONCATENATE(IF(SUMPRODUCT(-- ISNUMBER(SEARCH({"Auto Number"}, $B24))) &gt; 0, $B24, IF(SUMPRODUCT(-- ISNUMBER(SEARCH({"Lookup","Master-Detail"}, $B24))) &gt; 0,$B24 &amp; "(" &amp; $E24 &amp; ")",IF(SUMPRODUCT(-- ISNUMBER(SEARCH({"Formula","Roll-Up Summary"}, $B24))) &gt; 0,$B24 &amp; " (" &amp; $E24 &amp; ")",IF(SUMPRODUCT(-- ISNUMBER(SEARCH({"Content","Currency","Number","Percent","Text","URL"}, $B24))) &gt; 0,$B24 &amp; "(" &amp; $C24 &amp; ")",$B24)))), "  ", TRIM(IF($S24 = "YES", "(External ID)", "") &amp; " " &amp; IF(SUMPRODUCT(-- ISNUMBER(SEARCH({"Unique","Unique Case Insensitive"}, $R24))) &gt; 0, "(" &amp; $R24 &amp; ")", ""))))</f>
        <v>na</v>
      </c>
      <c r="E24" s="7" t="s">
        <v>195</v>
      </c>
      <c r="F24" s="7" t="s">
        <v>195</v>
      </c>
      <c r="G24" s="7" t="s">
        <v>195</v>
      </c>
      <c r="H24" s="7" t="s">
        <v>195</v>
      </c>
      <c r="I24" s="7" t="s">
        <v>195</v>
      </c>
      <c r="J24" s="7" t="s">
        <v>195</v>
      </c>
      <c r="K24" s="7" t="s">
        <v>195</v>
      </c>
      <c r="L24" s="7" t="s">
        <v>195</v>
      </c>
      <c r="M24" s="7" t="s">
        <v>29</v>
      </c>
      <c r="N24" s="7" t="s">
        <v>29</v>
      </c>
      <c r="O24" s="7" t="s">
        <v>29</v>
      </c>
      <c r="P24" s="7" t="s">
        <v>29</v>
      </c>
      <c r="Q24" s="7" t="s">
        <v>29</v>
      </c>
      <c r="R24" s="7" t="s">
        <v>29</v>
      </c>
      <c r="S24" s="7" t="s">
        <v>29</v>
      </c>
    </row>
    <row r="25" spans="1:19">
      <c r="B25" s="7" t="s">
        <v>195</v>
      </c>
      <c r="C25" s="8" t="s">
        <v>195</v>
      </c>
      <c r="D25" s="5" t="str">
        <f>LRTRIM(CONCATENATE(IF(SUMPRODUCT(-- ISNUMBER(SEARCH({"Auto Number"}, $B25))) &gt; 0, $B25, IF(SUMPRODUCT(-- ISNUMBER(SEARCH({"Lookup","Master-Detail"}, $B25))) &gt; 0,$B25 &amp; "(" &amp; $E25 &amp; ")",IF(SUMPRODUCT(-- ISNUMBER(SEARCH({"Formula","Roll-Up Summary"}, $B25))) &gt; 0,$B25 &amp; " (" &amp; $E25 &amp; ")",IF(SUMPRODUCT(-- ISNUMBER(SEARCH({"Content","Currency","Number","Percent","Text","URL"}, $B25))) &gt; 0,$B25 &amp; "(" &amp; $C25 &amp; ")",$B25)))), "  ", TRIM(IF($S25 = "YES", "(External ID)", "") &amp; " " &amp; IF(SUMPRODUCT(-- ISNUMBER(SEARCH({"Unique","Unique Case Insensitive"}, $R25))) &gt; 0, "(" &amp; $R25 &amp; ")", ""))))</f>
        <v>na</v>
      </c>
      <c r="E25" s="7" t="s">
        <v>195</v>
      </c>
      <c r="F25" s="7" t="s">
        <v>195</v>
      </c>
      <c r="G25" s="7" t="s">
        <v>195</v>
      </c>
      <c r="H25" s="7" t="s">
        <v>195</v>
      </c>
      <c r="I25" s="7" t="s">
        <v>195</v>
      </c>
      <c r="J25" s="7" t="s">
        <v>195</v>
      </c>
      <c r="K25" s="7" t="s">
        <v>195</v>
      </c>
      <c r="L25" s="7" t="s">
        <v>195</v>
      </c>
      <c r="M25" s="7" t="s">
        <v>29</v>
      </c>
      <c r="N25" s="7" t="s">
        <v>29</v>
      </c>
      <c r="O25" s="7" t="s">
        <v>29</v>
      </c>
      <c r="P25" s="7" t="s">
        <v>29</v>
      </c>
      <c r="Q25" s="7" t="s">
        <v>29</v>
      </c>
      <c r="R25" s="7" t="s">
        <v>29</v>
      </c>
      <c r="S25" s="7" t="s">
        <v>29</v>
      </c>
    </row>
    <row r="26" spans="1:19">
      <c r="B26" s="7" t="s">
        <v>195</v>
      </c>
      <c r="C26" s="8" t="s">
        <v>195</v>
      </c>
      <c r="D26" s="5" t="str">
        <f>LRTRIM(CONCATENATE(IF(SUMPRODUCT(-- ISNUMBER(SEARCH({"Auto Number"}, $B26))) &gt; 0, $B26, IF(SUMPRODUCT(-- ISNUMBER(SEARCH({"Lookup","Master-Detail"}, $B26))) &gt; 0,$B26 &amp; "(" &amp; $E26 &amp; ")",IF(SUMPRODUCT(-- ISNUMBER(SEARCH({"Formula","Roll-Up Summary"}, $B26))) &gt; 0,$B26 &amp; " (" &amp; $E26 &amp; ")",IF(SUMPRODUCT(-- ISNUMBER(SEARCH({"Content","Currency","Number","Percent","Text","URL"}, $B26))) &gt; 0,$B26 &amp; "(" &amp; $C26 &amp; ")",$B26)))), "  ", TRIM(IF($S26 = "YES", "(External ID)", "") &amp; " " &amp; IF(SUMPRODUCT(-- ISNUMBER(SEARCH({"Unique","Unique Case Insensitive"}, $R26))) &gt; 0, "(" &amp; $R26 &amp; ")", ""))))</f>
        <v>na</v>
      </c>
      <c r="E26" s="7" t="s">
        <v>195</v>
      </c>
      <c r="F26" s="7" t="s">
        <v>195</v>
      </c>
      <c r="G26" s="7" t="s">
        <v>195</v>
      </c>
      <c r="H26" s="7" t="s">
        <v>195</v>
      </c>
      <c r="I26" s="7" t="s">
        <v>195</v>
      </c>
      <c r="J26" s="7" t="s">
        <v>195</v>
      </c>
      <c r="K26" s="7" t="s">
        <v>195</v>
      </c>
      <c r="L26" s="7" t="s">
        <v>195</v>
      </c>
      <c r="M26" s="7" t="s">
        <v>29</v>
      </c>
      <c r="N26" s="7" t="s">
        <v>29</v>
      </c>
      <c r="O26" s="7" t="s">
        <v>29</v>
      </c>
      <c r="P26" s="7" t="s">
        <v>29</v>
      </c>
      <c r="Q26" s="7" t="s">
        <v>29</v>
      </c>
      <c r="R26" s="7" t="s">
        <v>29</v>
      </c>
      <c r="S26" s="7" t="s">
        <v>29</v>
      </c>
    </row>
    <row r="27" spans="1:19">
      <c r="B27" s="7" t="s">
        <v>195</v>
      </c>
      <c r="C27" s="8" t="s">
        <v>195</v>
      </c>
      <c r="D27" s="5" t="str">
        <f>LRTRIM(CONCATENATE(IF(SUMPRODUCT(-- ISNUMBER(SEARCH({"Auto Number"}, $B27))) &gt; 0, $B27, IF(SUMPRODUCT(-- ISNUMBER(SEARCH({"Lookup","Master-Detail"}, $B27))) &gt; 0,$B27 &amp; "(" &amp; $E27 &amp; ")",IF(SUMPRODUCT(-- ISNUMBER(SEARCH({"Formula","Roll-Up Summary"}, $B27))) &gt; 0,$B27 &amp; " (" &amp; $E27 &amp; ")",IF(SUMPRODUCT(-- ISNUMBER(SEARCH({"Content","Currency","Number","Percent","Text","URL"}, $B27))) &gt; 0,$B27 &amp; "(" &amp; $C27 &amp; ")",$B27)))), "  ", TRIM(IF($S27 = "YES", "(External ID)", "") &amp; " " &amp; IF(SUMPRODUCT(-- ISNUMBER(SEARCH({"Unique","Unique Case Insensitive"}, $R27))) &gt; 0, "(" &amp; $R27 &amp; ")", ""))))</f>
        <v>na</v>
      </c>
      <c r="E27" s="7" t="s">
        <v>195</v>
      </c>
      <c r="F27" s="7" t="s">
        <v>195</v>
      </c>
      <c r="G27" s="7" t="s">
        <v>195</v>
      </c>
      <c r="H27" s="7" t="s">
        <v>195</v>
      </c>
      <c r="I27" s="7" t="s">
        <v>195</v>
      </c>
      <c r="J27" s="7" t="s">
        <v>195</v>
      </c>
      <c r="K27" s="7" t="s">
        <v>195</v>
      </c>
      <c r="L27" s="7" t="s">
        <v>195</v>
      </c>
      <c r="M27" s="7" t="s">
        <v>29</v>
      </c>
      <c r="N27" s="7" t="s">
        <v>29</v>
      </c>
      <c r="O27" s="7" t="s">
        <v>29</v>
      </c>
      <c r="P27" s="7" t="s">
        <v>29</v>
      </c>
      <c r="Q27" s="7" t="s">
        <v>29</v>
      </c>
      <c r="R27" s="7" t="s">
        <v>29</v>
      </c>
      <c r="S27" s="7" t="s">
        <v>29</v>
      </c>
    </row>
    <row r="28" spans="1:19">
      <c r="B28" s="7" t="s">
        <v>195</v>
      </c>
      <c r="C28" s="8" t="s">
        <v>195</v>
      </c>
      <c r="D28" s="5" t="str">
        <f>LRTRIM(CONCATENATE(IF(SUMPRODUCT(-- ISNUMBER(SEARCH({"Auto Number"}, $B28))) &gt; 0, $B28, IF(SUMPRODUCT(-- ISNUMBER(SEARCH({"Lookup","Master-Detail"}, $B28))) &gt; 0,$B28 &amp; "(" &amp; $E28 &amp; ")",IF(SUMPRODUCT(-- ISNUMBER(SEARCH({"Formula","Roll-Up Summary"}, $B28))) &gt; 0,$B28 &amp; " (" &amp; $E28 &amp; ")",IF(SUMPRODUCT(-- ISNUMBER(SEARCH({"Content","Currency","Number","Percent","Text","URL"}, $B28))) &gt; 0,$B28 &amp; "(" &amp; $C28 &amp; ")",$B28)))), "  ", TRIM(IF($S28 = "YES", "(External ID)", "") &amp; " " &amp; IF(SUMPRODUCT(-- ISNUMBER(SEARCH({"Unique","Unique Case Insensitive"}, $R28))) &gt; 0, "(" &amp; $R28 &amp; ")", ""))))</f>
        <v>na</v>
      </c>
      <c r="E28" s="7" t="s">
        <v>195</v>
      </c>
      <c r="F28" s="7" t="s">
        <v>195</v>
      </c>
      <c r="G28" s="7" t="s">
        <v>195</v>
      </c>
      <c r="H28" s="7" t="s">
        <v>195</v>
      </c>
      <c r="I28" s="7" t="s">
        <v>195</v>
      </c>
      <c r="J28" s="7" t="s">
        <v>195</v>
      </c>
      <c r="K28" s="7" t="s">
        <v>195</v>
      </c>
      <c r="L28" s="7" t="s">
        <v>195</v>
      </c>
      <c r="M28" s="7" t="s">
        <v>29</v>
      </c>
      <c r="N28" s="7" t="s">
        <v>29</v>
      </c>
      <c r="O28" s="7" t="s">
        <v>29</v>
      </c>
      <c r="P28" s="7" t="s">
        <v>29</v>
      </c>
      <c r="Q28" s="7" t="s">
        <v>29</v>
      </c>
      <c r="R28" s="7" t="s">
        <v>29</v>
      </c>
      <c r="S28" s="7" t="s">
        <v>29</v>
      </c>
    </row>
    <row r="29" spans="1:19">
      <c r="B29" s="7" t="s">
        <v>195</v>
      </c>
      <c r="C29" s="8" t="s">
        <v>195</v>
      </c>
      <c r="D29" s="5" t="str">
        <f>LRTRIM(CONCATENATE(IF(SUMPRODUCT(-- ISNUMBER(SEARCH({"Auto Number"}, $B29))) &gt; 0, $B29, IF(SUMPRODUCT(-- ISNUMBER(SEARCH({"Lookup","Master-Detail"}, $B29))) &gt; 0,$B29 &amp; "(" &amp; $E29 &amp; ")",IF(SUMPRODUCT(-- ISNUMBER(SEARCH({"Formula","Roll-Up Summary"}, $B29))) &gt; 0,$B29 &amp; " (" &amp; $E29 &amp; ")",IF(SUMPRODUCT(-- ISNUMBER(SEARCH({"Content","Currency","Number","Percent","Text","URL"}, $B29))) &gt; 0,$B29 &amp; "(" &amp; $C29 &amp; ")",$B29)))), "  ", TRIM(IF($S29 = "YES", "(External ID)", "") &amp; " " &amp; IF(SUMPRODUCT(-- ISNUMBER(SEARCH({"Unique","Unique Case Insensitive"}, $R29))) &gt; 0, "(" &amp; $R29 &amp; ")", ""))))</f>
        <v>na</v>
      </c>
      <c r="E29" s="7" t="s">
        <v>195</v>
      </c>
      <c r="F29" s="7" t="s">
        <v>195</v>
      </c>
      <c r="G29" s="7" t="s">
        <v>195</v>
      </c>
      <c r="H29" s="7" t="s">
        <v>195</v>
      </c>
      <c r="I29" s="7" t="s">
        <v>195</v>
      </c>
      <c r="J29" s="7" t="s">
        <v>195</v>
      </c>
      <c r="K29" s="7" t="s">
        <v>195</v>
      </c>
      <c r="L29" s="7" t="s">
        <v>195</v>
      </c>
      <c r="M29" s="7" t="s">
        <v>29</v>
      </c>
      <c r="N29" s="7" t="s">
        <v>29</v>
      </c>
      <c r="O29" s="7" t="s">
        <v>29</v>
      </c>
      <c r="P29" s="7" t="s">
        <v>29</v>
      </c>
      <c r="Q29" s="7" t="s">
        <v>29</v>
      </c>
      <c r="R29" s="7" t="s">
        <v>29</v>
      </c>
      <c r="S29" s="7" t="s">
        <v>29</v>
      </c>
    </row>
    <row r="30" spans="1:19">
      <c r="B30" s="7" t="s">
        <v>195</v>
      </c>
      <c r="C30" s="8" t="s">
        <v>195</v>
      </c>
      <c r="D30" s="5" t="str">
        <f>LRTRIM(CONCATENATE(IF(SUMPRODUCT(-- ISNUMBER(SEARCH({"Auto Number"}, $B30))) &gt; 0, $B30, IF(SUMPRODUCT(-- ISNUMBER(SEARCH({"Lookup","Master-Detail"}, $B30))) &gt; 0,$B30 &amp; "(" &amp; $E30 &amp; ")",IF(SUMPRODUCT(-- ISNUMBER(SEARCH({"Formula","Roll-Up Summary"}, $B30))) &gt; 0,$B30 &amp; " (" &amp; $E30 &amp; ")",IF(SUMPRODUCT(-- ISNUMBER(SEARCH({"Content","Currency","Number","Percent","Text","URL"}, $B30))) &gt; 0,$B30 &amp; "(" &amp; $C30 &amp; ")",$B30)))), "  ", TRIM(IF($S30 = "YES", "(External ID)", "") &amp; " " &amp; IF(SUMPRODUCT(-- ISNUMBER(SEARCH({"Unique","Unique Case Insensitive"}, $R30))) &gt; 0, "(" &amp; $R30 &amp; ")", ""))))</f>
        <v>na</v>
      </c>
      <c r="E30" s="7" t="s">
        <v>195</v>
      </c>
      <c r="F30" s="7" t="s">
        <v>195</v>
      </c>
      <c r="G30" s="7" t="s">
        <v>195</v>
      </c>
      <c r="H30" s="7" t="s">
        <v>195</v>
      </c>
      <c r="I30" s="7" t="s">
        <v>195</v>
      </c>
      <c r="J30" s="7" t="s">
        <v>195</v>
      </c>
      <c r="K30" s="7" t="s">
        <v>195</v>
      </c>
      <c r="L30" s="7" t="s">
        <v>195</v>
      </c>
      <c r="M30" s="7" t="s">
        <v>29</v>
      </c>
      <c r="N30" s="7" t="s">
        <v>29</v>
      </c>
      <c r="O30" s="7" t="s">
        <v>29</v>
      </c>
      <c r="P30" s="7" t="s">
        <v>29</v>
      </c>
      <c r="Q30" s="7" t="s">
        <v>29</v>
      </c>
      <c r="R30" s="7" t="s">
        <v>29</v>
      </c>
      <c r="S30" s="7" t="s">
        <v>29</v>
      </c>
    </row>
    <row r="31" spans="1:19">
      <c r="B31" s="7" t="s">
        <v>195</v>
      </c>
      <c r="C31" s="8" t="s">
        <v>195</v>
      </c>
      <c r="D31" s="5" t="str">
        <f>LRTRIM(CONCATENATE(IF(SUMPRODUCT(-- ISNUMBER(SEARCH({"Auto Number"}, $B31))) &gt; 0, $B31, IF(SUMPRODUCT(-- ISNUMBER(SEARCH({"Lookup","Master-Detail"}, $B31))) &gt; 0,$B31 &amp; "(" &amp; $E31 &amp; ")",IF(SUMPRODUCT(-- ISNUMBER(SEARCH({"Formula","Roll-Up Summary"}, $B31))) &gt; 0,$B31 &amp; " (" &amp; $E31 &amp; ")",IF(SUMPRODUCT(-- ISNUMBER(SEARCH({"Content","Currency","Number","Percent","Text","URL"}, $B31))) &gt; 0,$B31 &amp; "(" &amp; $C31 &amp; ")",$B31)))), "  ", TRIM(IF($S31 = "YES", "(External ID)", "") &amp; " " &amp; IF(SUMPRODUCT(-- ISNUMBER(SEARCH({"Unique","Unique Case Insensitive"}, $R31))) &gt; 0, "(" &amp; $R31 &amp; ")", ""))))</f>
        <v>na</v>
      </c>
      <c r="E31" s="7" t="s">
        <v>195</v>
      </c>
      <c r="F31" s="7" t="s">
        <v>195</v>
      </c>
      <c r="G31" s="7" t="s">
        <v>195</v>
      </c>
      <c r="H31" s="7" t="s">
        <v>195</v>
      </c>
      <c r="I31" s="7" t="s">
        <v>195</v>
      </c>
      <c r="J31" s="7" t="s">
        <v>195</v>
      </c>
      <c r="K31" s="7" t="s">
        <v>195</v>
      </c>
      <c r="L31" s="7" t="s">
        <v>195</v>
      </c>
      <c r="M31" s="7" t="s">
        <v>29</v>
      </c>
      <c r="N31" s="7" t="s">
        <v>29</v>
      </c>
      <c r="O31" s="7" t="s">
        <v>29</v>
      </c>
      <c r="P31" s="7" t="s">
        <v>29</v>
      </c>
      <c r="Q31" s="7" t="s">
        <v>29</v>
      </c>
      <c r="R31" s="7" t="s">
        <v>29</v>
      </c>
      <c r="S31" s="7" t="s">
        <v>29</v>
      </c>
    </row>
    <row r="32" spans="1:19">
      <c r="B32" s="7" t="s">
        <v>195</v>
      </c>
      <c r="C32" s="8" t="s">
        <v>195</v>
      </c>
      <c r="D32" s="5" t="str">
        <f>LRTRIM(CONCATENATE(IF(SUMPRODUCT(-- ISNUMBER(SEARCH({"Auto Number"}, $B32))) &gt; 0, $B32, IF(SUMPRODUCT(-- ISNUMBER(SEARCH({"Lookup","Master-Detail"}, $B32))) &gt; 0,$B32 &amp; "(" &amp; $E32 &amp; ")",IF(SUMPRODUCT(-- ISNUMBER(SEARCH({"Formula","Roll-Up Summary"}, $B32))) &gt; 0,$B32 &amp; " (" &amp; $E32 &amp; ")",IF(SUMPRODUCT(-- ISNUMBER(SEARCH({"Content","Currency","Number","Percent","Text","URL"}, $B32))) &gt; 0,$B32 &amp; "(" &amp; $C32 &amp; ")",$B32)))), "  ", TRIM(IF($S32 = "YES", "(External ID)", "") &amp; " " &amp; IF(SUMPRODUCT(-- ISNUMBER(SEARCH({"Unique","Unique Case Insensitive"}, $R32))) &gt; 0, "(" &amp; $R32 &amp; ")", ""))))</f>
        <v>na</v>
      </c>
      <c r="E32" s="7" t="s">
        <v>195</v>
      </c>
      <c r="F32" s="7" t="s">
        <v>195</v>
      </c>
      <c r="G32" s="7" t="s">
        <v>195</v>
      </c>
      <c r="H32" s="7" t="s">
        <v>195</v>
      </c>
      <c r="I32" s="7" t="s">
        <v>195</v>
      </c>
      <c r="J32" s="7" t="s">
        <v>195</v>
      </c>
      <c r="K32" s="7" t="s">
        <v>195</v>
      </c>
      <c r="L32" s="7" t="s">
        <v>195</v>
      </c>
      <c r="M32" s="7" t="s">
        <v>29</v>
      </c>
      <c r="N32" s="7" t="s">
        <v>29</v>
      </c>
      <c r="O32" s="7" t="s">
        <v>29</v>
      </c>
      <c r="P32" s="7" t="s">
        <v>29</v>
      </c>
      <c r="Q32" s="7" t="s">
        <v>29</v>
      </c>
      <c r="R32" s="7" t="s">
        <v>29</v>
      </c>
      <c r="S32" s="7" t="s">
        <v>29</v>
      </c>
    </row>
    <row r="33" spans="2:19">
      <c r="B33" s="7" t="s">
        <v>195</v>
      </c>
      <c r="C33" s="8" t="s">
        <v>195</v>
      </c>
      <c r="D33" s="5" t="str">
        <f>LRTRIM(CONCATENATE(IF(SUMPRODUCT(-- ISNUMBER(SEARCH({"Auto Number"}, $B33))) &gt; 0, $B33, IF(SUMPRODUCT(-- ISNUMBER(SEARCH({"Lookup","Master-Detail"}, $B33))) &gt; 0,$B33 &amp; "(" &amp; $E33 &amp; ")",IF(SUMPRODUCT(-- ISNUMBER(SEARCH({"Formula","Roll-Up Summary"}, $B33))) &gt; 0,$B33 &amp; " (" &amp; $E33 &amp; ")",IF(SUMPRODUCT(-- ISNUMBER(SEARCH({"Content","Currency","Number","Percent","Text","URL"}, $B33))) &gt; 0,$B33 &amp; "(" &amp; $C33 &amp; ")",$B33)))), "  ", TRIM(IF($S33 = "YES", "(External ID)", "") &amp; " " &amp; IF(SUMPRODUCT(-- ISNUMBER(SEARCH({"Unique","Unique Case Insensitive"}, $R33))) &gt; 0, "(" &amp; $R33 &amp; ")", ""))))</f>
        <v>na</v>
      </c>
      <c r="E33" s="7" t="s">
        <v>195</v>
      </c>
      <c r="F33" s="7" t="s">
        <v>195</v>
      </c>
      <c r="G33" s="7" t="s">
        <v>195</v>
      </c>
      <c r="H33" s="7" t="s">
        <v>195</v>
      </c>
      <c r="I33" s="7" t="s">
        <v>195</v>
      </c>
      <c r="J33" s="7" t="s">
        <v>195</v>
      </c>
      <c r="K33" s="7" t="s">
        <v>195</v>
      </c>
      <c r="L33" s="7" t="s">
        <v>195</v>
      </c>
      <c r="M33" s="7" t="s">
        <v>29</v>
      </c>
      <c r="N33" s="7" t="s">
        <v>29</v>
      </c>
      <c r="O33" s="7" t="s">
        <v>29</v>
      </c>
      <c r="P33" s="7" t="s">
        <v>29</v>
      </c>
      <c r="Q33" s="7" t="s">
        <v>29</v>
      </c>
      <c r="R33" s="7" t="s">
        <v>29</v>
      </c>
      <c r="S33" s="7" t="s">
        <v>29</v>
      </c>
    </row>
    <row r="34" spans="2:19">
      <c r="B34" s="7" t="s">
        <v>195</v>
      </c>
      <c r="C34" s="8" t="s">
        <v>195</v>
      </c>
      <c r="D34" s="5" t="str">
        <f>LRTRIM(CONCATENATE(IF(SUMPRODUCT(-- ISNUMBER(SEARCH({"Auto Number"}, $B34))) &gt; 0, $B34, IF(SUMPRODUCT(-- ISNUMBER(SEARCH({"Lookup","Master-Detail"}, $B34))) &gt; 0,$B34 &amp; "(" &amp; $E34 &amp; ")",IF(SUMPRODUCT(-- ISNUMBER(SEARCH({"Formula","Roll-Up Summary"}, $B34))) &gt; 0,$B34 &amp; " (" &amp; $E34 &amp; ")",IF(SUMPRODUCT(-- ISNUMBER(SEARCH({"Content","Currency","Number","Percent","Text","URL"}, $B34))) &gt; 0,$B34 &amp; "(" &amp; $C34 &amp; ")",$B34)))), "  ", TRIM(IF($S34 = "YES", "(External ID)", "") &amp; " " &amp; IF(SUMPRODUCT(-- ISNUMBER(SEARCH({"Unique","Unique Case Insensitive"}, $R34))) &gt; 0, "(" &amp; $R34 &amp; ")", ""))))</f>
        <v>na</v>
      </c>
      <c r="E34" s="7" t="s">
        <v>195</v>
      </c>
      <c r="F34" s="7" t="s">
        <v>195</v>
      </c>
      <c r="G34" s="7" t="s">
        <v>195</v>
      </c>
      <c r="H34" s="7" t="s">
        <v>195</v>
      </c>
      <c r="I34" s="7" t="s">
        <v>195</v>
      </c>
      <c r="J34" s="7" t="s">
        <v>195</v>
      </c>
      <c r="K34" s="7" t="s">
        <v>195</v>
      </c>
      <c r="L34" s="7" t="s">
        <v>195</v>
      </c>
      <c r="M34" s="7" t="s">
        <v>29</v>
      </c>
      <c r="N34" s="7" t="s">
        <v>29</v>
      </c>
      <c r="O34" s="7" t="s">
        <v>29</v>
      </c>
      <c r="P34" s="7" t="s">
        <v>29</v>
      </c>
      <c r="Q34" s="7" t="s">
        <v>29</v>
      </c>
      <c r="R34" s="7" t="s">
        <v>29</v>
      </c>
      <c r="S34" s="7" t="s">
        <v>29</v>
      </c>
    </row>
    <row r="35" spans="2:19">
      <c r="B35" s="7" t="s">
        <v>195</v>
      </c>
      <c r="C35" s="8" t="s">
        <v>195</v>
      </c>
      <c r="D35" s="5" t="str">
        <f>LRTRIM(CONCATENATE(IF(SUMPRODUCT(-- ISNUMBER(SEARCH({"Auto Number"}, $B35))) &gt; 0, $B35, IF(SUMPRODUCT(-- ISNUMBER(SEARCH({"Lookup","Master-Detail"}, $B35))) &gt; 0,$B35 &amp; "(" &amp; $E35 &amp; ")",IF(SUMPRODUCT(-- ISNUMBER(SEARCH({"Formula","Roll-Up Summary"}, $B35))) &gt; 0,$B35 &amp; " (" &amp; $E35 &amp; ")",IF(SUMPRODUCT(-- ISNUMBER(SEARCH({"Content","Currency","Number","Percent","Text","URL"}, $B35))) &gt; 0,$B35 &amp; "(" &amp; $C35 &amp; ")",$B35)))), "  ", TRIM(IF($S35 = "YES", "(External ID)", "") &amp; " " &amp; IF(SUMPRODUCT(-- ISNUMBER(SEARCH({"Unique","Unique Case Insensitive"}, $R35))) &gt; 0, "(" &amp; $R35 &amp; ")", ""))))</f>
        <v>na</v>
      </c>
      <c r="E35" s="7" t="s">
        <v>195</v>
      </c>
      <c r="F35" s="7" t="s">
        <v>195</v>
      </c>
      <c r="G35" s="7" t="s">
        <v>195</v>
      </c>
      <c r="H35" s="7" t="s">
        <v>195</v>
      </c>
      <c r="I35" s="7" t="s">
        <v>195</v>
      </c>
      <c r="J35" s="7" t="s">
        <v>195</v>
      </c>
      <c r="K35" s="7" t="s">
        <v>195</v>
      </c>
      <c r="L35" s="7" t="s">
        <v>195</v>
      </c>
      <c r="M35" s="7" t="s">
        <v>29</v>
      </c>
      <c r="N35" s="7" t="s">
        <v>29</v>
      </c>
      <c r="O35" s="7" t="s">
        <v>29</v>
      </c>
      <c r="P35" s="7" t="s">
        <v>29</v>
      </c>
      <c r="Q35" s="7" t="s">
        <v>29</v>
      </c>
      <c r="R35" s="7" t="s">
        <v>29</v>
      </c>
      <c r="S35" s="7" t="s">
        <v>29</v>
      </c>
    </row>
    <row r="36" spans="2:19">
      <c r="B36" s="7" t="s">
        <v>195</v>
      </c>
      <c r="C36" s="8" t="s">
        <v>195</v>
      </c>
      <c r="D36" s="5" t="str">
        <f>LRTRIM(CONCATENATE(IF(SUMPRODUCT(-- ISNUMBER(SEARCH({"Auto Number"}, $B36))) &gt; 0, $B36, IF(SUMPRODUCT(-- ISNUMBER(SEARCH({"Lookup","Master-Detail"}, $B36))) &gt; 0,$B36 &amp; "(" &amp; $E36 &amp; ")",IF(SUMPRODUCT(-- ISNUMBER(SEARCH({"Formula","Roll-Up Summary"}, $B36))) &gt; 0,$B36 &amp; " (" &amp; $E36 &amp; ")",IF(SUMPRODUCT(-- ISNUMBER(SEARCH({"Content","Currency","Number","Percent","Text","URL"}, $B36))) &gt; 0,$B36 &amp; "(" &amp; $C36 &amp; ")",$B36)))), "  ", TRIM(IF($S36 = "YES", "(External ID)", "") &amp; " " &amp; IF(SUMPRODUCT(-- ISNUMBER(SEARCH({"Unique","Unique Case Insensitive"}, $R36))) &gt; 0, "(" &amp; $R36 &amp; ")", ""))))</f>
        <v>na</v>
      </c>
      <c r="E36" s="7" t="s">
        <v>195</v>
      </c>
      <c r="F36" s="7" t="s">
        <v>195</v>
      </c>
      <c r="G36" s="7" t="s">
        <v>195</v>
      </c>
      <c r="H36" s="7" t="s">
        <v>195</v>
      </c>
      <c r="I36" s="7" t="s">
        <v>195</v>
      </c>
      <c r="J36" s="7" t="s">
        <v>195</v>
      </c>
      <c r="K36" s="7" t="s">
        <v>195</v>
      </c>
      <c r="L36" s="7" t="s">
        <v>195</v>
      </c>
      <c r="M36" s="7" t="s">
        <v>29</v>
      </c>
      <c r="N36" s="7" t="s">
        <v>29</v>
      </c>
      <c r="O36" s="7" t="s">
        <v>29</v>
      </c>
      <c r="P36" s="7" t="s">
        <v>29</v>
      </c>
      <c r="Q36" s="7" t="s">
        <v>29</v>
      </c>
      <c r="R36" s="7" t="s">
        <v>29</v>
      </c>
      <c r="S36" s="7" t="s">
        <v>29</v>
      </c>
    </row>
    <row r="37" spans="2:19">
      <c r="B37" s="7" t="s">
        <v>195</v>
      </c>
      <c r="C37" s="8" t="s">
        <v>195</v>
      </c>
      <c r="D37" s="5" t="str">
        <f>LRTRIM(CONCATENATE(IF(SUMPRODUCT(-- ISNUMBER(SEARCH({"Auto Number"}, $B37))) &gt; 0, $B37, IF(SUMPRODUCT(-- ISNUMBER(SEARCH({"Lookup","Master-Detail"}, $B37))) &gt; 0,$B37 &amp; "(" &amp; $E37 &amp; ")",IF(SUMPRODUCT(-- ISNUMBER(SEARCH({"Formula","Roll-Up Summary"}, $B37))) &gt; 0,$B37 &amp; " (" &amp; $E37 &amp; ")",IF(SUMPRODUCT(-- ISNUMBER(SEARCH({"Content","Currency","Number","Percent","Text","URL"}, $B37))) &gt; 0,$B37 &amp; "(" &amp; $C37 &amp; ")",$B37)))), "  ", TRIM(IF($S37 = "YES", "(External ID)", "") &amp; " " &amp; IF(SUMPRODUCT(-- ISNUMBER(SEARCH({"Unique","Unique Case Insensitive"}, $R37))) &gt; 0, "(" &amp; $R37 &amp; ")", ""))))</f>
        <v>na</v>
      </c>
      <c r="E37" s="7" t="s">
        <v>195</v>
      </c>
      <c r="F37" s="7" t="s">
        <v>195</v>
      </c>
      <c r="G37" s="7" t="s">
        <v>195</v>
      </c>
      <c r="H37" s="7" t="s">
        <v>195</v>
      </c>
      <c r="I37" s="7" t="s">
        <v>195</v>
      </c>
      <c r="J37" s="7" t="s">
        <v>195</v>
      </c>
      <c r="K37" s="7" t="s">
        <v>195</v>
      </c>
      <c r="L37" s="7" t="s">
        <v>195</v>
      </c>
      <c r="M37" s="7" t="s">
        <v>29</v>
      </c>
      <c r="N37" s="7" t="s">
        <v>29</v>
      </c>
      <c r="O37" s="7" t="s">
        <v>29</v>
      </c>
      <c r="P37" s="7" t="s">
        <v>29</v>
      </c>
      <c r="Q37" s="7" t="s">
        <v>29</v>
      </c>
      <c r="R37" s="7" t="s">
        <v>29</v>
      </c>
      <c r="S37" s="7" t="s">
        <v>29</v>
      </c>
    </row>
    <row r="38" spans="2:19">
      <c r="B38" s="7" t="s">
        <v>195</v>
      </c>
      <c r="C38" s="8" t="s">
        <v>195</v>
      </c>
      <c r="D38" s="5" t="str">
        <f>LRTRIM(CONCATENATE(IF(SUMPRODUCT(-- ISNUMBER(SEARCH({"Auto Number"}, $B38))) &gt; 0, $B38, IF(SUMPRODUCT(-- ISNUMBER(SEARCH({"Lookup","Master-Detail"}, $B38))) &gt; 0,$B38 &amp; "(" &amp; $E38 &amp; ")",IF(SUMPRODUCT(-- ISNUMBER(SEARCH({"Formula","Roll-Up Summary"}, $B38))) &gt; 0,$B38 &amp; " (" &amp; $E38 &amp; ")",IF(SUMPRODUCT(-- ISNUMBER(SEARCH({"Content","Currency","Number","Percent","Text","URL"}, $B38))) &gt; 0,$B38 &amp; "(" &amp; $C38 &amp; ")",$B38)))), "  ", TRIM(IF($S38 = "YES", "(External ID)", "") &amp; " " &amp; IF(SUMPRODUCT(-- ISNUMBER(SEARCH({"Unique","Unique Case Insensitive"}, $R38))) &gt; 0, "(" &amp; $R38 &amp; ")", ""))))</f>
        <v>na</v>
      </c>
      <c r="E38" s="7" t="s">
        <v>195</v>
      </c>
      <c r="F38" s="7" t="s">
        <v>195</v>
      </c>
      <c r="G38" s="7" t="s">
        <v>195</v>
      </c>
      <c r="H38" s="7" t="s">
        <v>195</v>
      </c>
      <c r="I38" s="7" t="s">
        <v>195</v>
      </c>
      <c r="J38" s="7" t="s">
        <v>195</v>
      </c>
      <c r="K38" s="7" t="s">
        <v>195</v>
      </c>
      <c r="L38" s="7" t="s">
        <v>195</v>
      </c>
      <c r="M38" s="7" t="s">
        <v>29</v>
      </c>
      <c r="N38" s="7" t="s">
        <v>29</v>
      </c>
      <c r="O38" s="7" t="s">
        <v>29</v>
      </c>
      <c r="P38" s="7" t="s">
        <v>29</v>
      </c>
      <c r="Q38" s="7" t="s">
        <v>29</v>
      </c>
      <c r="R38" s="7" t="s">
        <v>29</v>
      </c>
      <c r="S38" s="7" t="s">
        <v>29</v>
      </c>
    </row>
    <row r="39" spans="2:19">
      <c r="B39" s="7" t="s">
        <v>195</v>
      </c>
      <c r="C39" s="8" t="s">
        <v>195</v>
      </c>
      <c r="D39" s="5" t="str">
        <f>LRTRIM(CONCATENATE(IF(SUMPRODUCT(-- ISNUMBER(SEARCH({"Auto Number"}, $B39))) &gt; 0, $B39, IF(SUMPRODUCT(-- ISNUMBER(SEARCH({"Lookup","Master-Detail"}, $B39))) &gt; 0,$B39 &amp; "(" &amp; $E39 &amp; ")",IF(SUMPRODUCT(-- ISNUMBER(SEARCH({"Formula","Roll-Up Summary"}, $B39))) &gt; 0,$B39 &amp; " (" &amp; $E39 &amp; ")",IF(SUMPRODUCT(-- ISNUMBER(SEARCH({"Content","Currency","Number","Percent","Text","URL"}, $B39))) &gt; 0,$B39 &amp; "(" &amp; $C39 &amp; ")",$B39)))), "  ", TRIM(IF($S39 = "YES", "(External ID)", "") &amp; " " &amp; IF(SUMPRODUCT(-- ISNUMBER(SEARCH({"Unique","Unique Case Insensitive"}, $R39))) &gt; 0, "(" &amp; $R39 &amp; ")", ""))))</f>
        <v>na</v>
      </c>
      <c r="E39" s="7" t="s">
        <v>195</v>
      </c>
      <c r="F39" s="7" t="s">
        <v>195</v>
      </c>
      <c r="G39" s="7" t="s">
        <v>195</v>
      </c>
      <c r="H39" s="7" t="s">
        <v>195</v>
      </c>
      <c r="I39" s="7" t="s">
        <v>195</v>
      </c>
      <c r="J39" s="7" t="s">
        <v>195</v>
      </c>
      <c r="K39" s="7" t="s">
        <v>195</v>
      </c>
      <c r="L39" s="7" t="s">
        <v>195</v>
      </c>
      <c r="M39" s="7" t="s">
        <v>29</v>
      </c>
      <c r="N39" s="7" t="s">
        <v>29</v>
      </c>
      <c r="O39" s="7" t="s">
        <v>29</v>
      </c>
      <c r="P39" s="7" t="s">
        <v>29</v>
      </c>
      <c r="Q39" s="7" t="s">
        <v>29</v>
      </c>
      <c r="R39" s="7" t="s">
        <v>29</v>
      </c>
      <c r="S39" s="7" t="s">
        <v>29</v>
      </c>
    </row>
    <row r="40" spans="2:19">
      <c r="B40" s="7" t="s">
        <v>195</v>
      </c>
      <c r="C40" s="8" t="s">
        <v>195</v>
      </c>
      <c r="D40" s="5" t="str">
        <f>LRTRIM(CONCATENATE(IF(SUMPRODUCT(-- ISNUMBER(SEARCH({"Auto Number"}, $B40))) &gt; 0, $B40, IF(SUMPRODUCT(-- ISNUMBER(SEARCH({"Lookup","Master-Detail"}, $B40))) &gt; 0,$B40 &amp; "(" &amp; $E40 &amp; ")",IF(SUMPRODUCT(-- ISNUMBER(SEARCH({"Formula","Roll-Up Summary"}, $B40))) &gt; 0,$B40 &amp; " (" &amp; $E40 &amp; ")",IF(SUMPRODUCT(-- ISNUMBER(SEARCH({"Content","Currency","Number","Percent","Text","URL"}, $B40))) &gt; 0,$B40 &amp; "(" &amp; $C40 &amp; ")",$B40)))), "  ", TRIM(IF($S40 = "YES", "(External ID)", "") &amp; " " &amp; IF(SUMPRODUCT(-- ISNUMBER(SEARCH({"Unique","Unique Case Insensitive"}, $R40))) &gt; 0, "(" &amp; $R40 &amp; ")", ""))))</f>
        <v>na</v>
      </c>
      <c r="E40" s="7" t="s">
        <v>195</v>
      </c>
      <c r="F40" s="7" t="s">
        <v>195</v>
      </c>
      <c r="G40" s="7" t="s">
        <v>195</v>
      </c>
      <c r="H40" s="7" t="s">
        <v>195</v>
      </c>
      <c r="I40" s="7" t="s">
        <v>195</v>
      </c>
      <c r="J40" s="7" t="s">
        <v>195</v>
      </c>
      <c r="K40" s="7" t="s">
        <v>195</v>
      </c>
      <c r="L40" s="7" t="s">
        <v>195</v>
      </c>
      <c r="M40" s="7" t="s">
        <v>29</v>
      </c>
      <c r="N40" s="7" t="s">
        <v>29</v>
      </c>
      <c r="O40" s="7" t="s">
        <v>29</v>
      </c>
      <c r="P40" s="7" t="s">
        <v>29</v>
      </c>
      <c r="Q40" s="7" t="s">
        <v>29</v>
      </c>
      <c r="R40" s="7" t="s">
        <v>29</v>
      </c>
      <c r="S40" s="7" t="s">
        <v>29</v>
      </c>
    </row>
    <row r="41" spans="2:19">
      <c r="B41" s="7" t="s">
        <v>195</v>
      </c>
      <c r="C41" s="8" t="s">
        <v>195</v>
      </c>
      <c r="D41" s="5" t="str">
        <f>LRTRIM(CONCATENATE(IF(SUMPRODUCT(-- ISNUMBER(SEARCH({"Auto Number"}, $B41))) &gt; 0, $B41, IF(SUMPRODUCT(-- ISNUMBER(SEARCH({"Lookup","Master-Detail"}, $B41))) &gt; 0,$B41 &amp; "(" &amp; $E41 &amp; ")",IF(SUMPRODUCT(-- ISNUMBER(SEARCH({"Formula","Roll-Up Summary"}, $B41))) &gt; 0,$B41 &amp; " (" &amp; $E41 &amp; ")",IF(SUMPRODUCT(-- ISNUMBER(SEARCH({"Content","Currency","Number","Percent","Text","URL"}, $B41))) &gt; 0,$B41 &amp; "(" &amp; $C41 &amp; ")",$B41)))), "  ", TRIM(IF($S41 = "YES", "(External ID)", "") &amp; " " &amp; IF(SUMPRODUCT(-- ISNUMBER(SEARCH({"Unique","Unique Case Insensitive"}, $R41))) &gt; 0, "(" &amp; $R41 &amp; ")", ""))))</f>
        <v>na</v>
      </c>
      <c r="E41" s="7" t="s">
        <v>195</v>
      </c>
      <c r="F41" s="7" t="s">
        <v>195</v>
      </c>
      <c r="G41" s="7" t="s">
        <v>195</v>
      </c>
      <c r="H41" s="7" t="s">
        <v>195</v>
      </c>
      <c r="I41" s="7" t="s">
        <v>195</v>
      </c>
      <c r="J41" s="7" t="s">
        <v>195</v>
      </c>
      <c r="K41" s="7" t="s">
        <v>195</v>
      </c>
      <c r="L41" s="7" t="s">
        <v>195</v>
      </c>
      <c r="M41" s="7" t="s">
        <v>29</v>
      </c>
      <c r="N41" s="7" t="s">
        <v>29</v>
      </c>
      <c r="O41" s="7" t="s">
        <v>29</v>
      </c>
      <c r="P41" s="7" t="s">
        <v>29</v>
      </c>
      <c r="Q41" s="7" t="s">
        <v>29</v>
      </c>
      <c r="R41" s="7" t="s">
        <v>29</v>
      </c>
      <c r="S41" s="7" t="s">
        <v>29</v>
      </c>
    </row>
    <row r="42" spans="2:19">
      <c r="B42" s="7" t="s">
        <v>195</v>
      </c>
      <c r="C42" s="8" t="s">
        <v>195</v>
      </c>
      <c r="D42" s="5" t="str">
        <f>LRTRIM(CONCATENATE(IF(SUMPRODUCT(-- ISNUMBER(SEARCH({"Auto Number"}, $B42))) &gt; 0, $B42, IF(SUMPRODUCT(-- ISNUMBER(SEARCH({"Lookup","Master-Detail"}, $B42))) &gt; 0,$B42 &amp; "(" &amp; $E42 &amp; ")",IF(SUMPRODUCT(-- ISNUMBER(SEARCH({"Formula","Roll-Up Summary"}, $B42))) &gt; 0,$B42 &amp; " (" &amp; $E42 &amp; ")",IF(SUMPRODUCT(-- ISNUMBER(SEARCH({"Content","Currency","Number","Percent","Text","URL"}, $B42))) &gt; 0,$B42 &amp; "(" &amp; $C42 &amp; ")",$B42)))), "  ", TRIM(IF($S42 = "YES", "(External ID)", "") &amp; " " &amp; IF(SUMPRODUCT(-- ISNUMBER(SEARCH({"Unique","Unique Case Insensitive"}, $R42))) &gt; 0, "(" &amp; $R42 &amp; ")", ""))))</f>
        <v>na</v>
      </c>
      <c r="E42" s="7" t="s">
        <v>195</v>
      </c>
      <c r="F42" s="7" t="s">
        <v>195</v>
      </c>
      <c r="G42" s="7" t="s">
        <v>195</v>
      </c>
      <c r="H42" s="7" t="s">
        <v>195</v>
      </c>
      <c r="I42" s="7" t="s">
        <v>195</v>
      </c>
      <c r="J42" s="7" t="s">
        <v>195</v>
      </c>
      <c r="K42" s="7" t="s">
        <v>195</v>
      </c>
      <c r="L42" s="7" t="s">
        <v>195</v>
      </c>
      <c r="M42" s="7" t="s">
        <v>29</v>
      </c>
      <c r="N42" s="7" t="s">
        <v>29</v>
      </c>
      <c r="O42" s="7" t="s">
        <v>29</v>
      </c>
      <c r="P42" s="7" t="s">
        <v>29</v>
      </c>
      <c r="Q42" s="7" t="s">
        <v>29</v>
      </c>
      <c r="R42" s="7" t="s">
        <v>29</v>
      </c>
      <c r="S42" s="7" t="s">
        <v>29</v>
      </c>
    </row>
    <row r="43" spans="2:19">
      <c r="B43" s="7" t="s">
        <v>195</v>
      </c>
      <c r="C43" s="8" t="s">
        <v>195</v>
      </c>
      <c r="D43" s="5" t="str">
        <f>LRTRIM(CONCATENATE(IF(SUMPRODUCT(-- ISNUMBER(SEARCH({"Auto Number"}, $B43))) &gt; 0, $B43, IF(SUMPRODUCT(-- ISNUMBER(SEARCH({"Lookup","Master-Detail"}, $B43))) &gt; 0,$B43 &amp; "(" &amp; $E43 &amp; ")",IF(SUMPRODUCT(-- ISNUMBER(SEARCH({"Formula","Roll-Up Summary"}, $B43))) &gt; 0,$B43 &amp; " (" &amp; $E43 &amp; ")",IF(SUMPRODUCT(-- ISNUMBER(SEARCH({"Content","Currency","Number","Percent","Text","URL"}, $B43))) &gt; 0,$B43 &amp; "(" &amp; $C43 &amp; ")",$B43)))), "  ", TRIM(IF($S43 = "YES", "(External ID)", "") &amp; " " &amp; IF(SUMPRODUCT(-- ISNUMBER(SEARCH({"Unique","Unique Case Insensitive"}, $R43))) &gt; 0, "(" &amp; $R43 &amp; ")", ""))))</f>
        <v>na</v>
      </c>
      <c r="E43" s="7" t="s">
        <v>195</v>
      </c>
      <c r="F43" s="7" t="s">
        <v>195</v>
      </c>
      <c r="G43" s="7" t="s">
        <v>195</v>
      </c>
      <c r="H43" s="7" t="s">
        <v>195</v>
      </c>
      <c r="I43" s="7" t="s">
        <v>195</v>
      </c>
      <c r="J43" s="7" t="s">
        <v>195</v>
      </c>
      <c r="K43" s="7" t="s">
        <v>195</v>
      </c>
      <c r="L43" s="7" t="s">
        <v>195</v>
      </c>
      <c r="M43" s="7" t="s">
        <v>29</v>
      </c>
      <c r="N43" s="7" t="s">
        <v>29</v>
      </c>
      <c r="O43" s="7" t="s">
        <v>29</v>
      </c>
      <c r="P43" s="7" t="s">
        <v>29</v>
      </c>
      <c r="Q43" s="7" t="s">
        <v>29</v>
      </c>
      <c r="R43" s="7" t="s">
        <v>29</v>
      </c>
      <c r="S43" s="7" t="s">
        <v>29</v>
      </c>
    </row>
    <row r="44" spans="2:19">
      <c r="B44" s="7" t="s">
        <v>195</v>
      </c>
      <c r="C44" s="8" t="s">
        <v>195</v>
      </c>
      <c r="D44" s="5" t="str">
        <f>LRTRIM(CONCATENATE(IF(SUMPRODUCT(-- ISNUMBER(SEARCH({"Auto Number"}, $B44))) &gt; 0, $B44, IF(SUMPRODUCT(-- ISNUMBER(SEARCH({"Lookup","Master-Detail"}, $B44))) &gt; 0,$B44 &amp; "(" &amp; $E44 &amp; ")",IF(SUMPRODUCT(-- ISNUMBER(SEARCH({"Formula","Roll-Up Summary"}, $B44))) &gt; 0,$B44 &amp; " (" &amp; $E44 &amp; ")",IF(SUMPRODUCT(-- ISNUMBER(SEARCH({"Content","Currency","Number","Percent","Text","URL"}, $B44))) &gt; 0,$B44 &amp; "(" &amp; $C44 &amp; ")",$B44)))), "  ", TRIM(IF($S44 = "YES", "(External ID)", "") &amp; " " &amp; IF(SUMPRODUCT(-- ISNUMBER(SEARCH({"Unique","Unique Case Insensitive"}, $R44))) &gt; 0, "(" &amp; $R44 &amp; ")", ""))))</f>
        <v>na</v>
      </c>
      <c r="E44" s="7" t="s">
        <v>195</v>
      </c>
      <c r="F44" s="7" t="s">
        <v>195</v>
      </c>
      <c r="G44" s="7" t="s">
        <v>195</v>
      </c>
      <c r="H44" s="7" t="s">
        <v>195</v>
      </c>
      <c r="I44" s="7" t="s">
        <v>195</v>
      </c>
      <c r="J44" s="7" t="s">
        <v>195</v>
      </c>
      <c r="K44" s="7" t="s">
        <v>195</v>
      </c>
      <c r="L44" s="7" t="s">
        <v>195</v>
      </c>
      <c r="M44" s="7" t="s">
        <v>29</v>
      </c>
      <c r="N44" s="7" t="s">
        <v>29</v>
      </c>
      <c r="O44" s="7" t="s">
        <v>29</v>
      </c>
      <c r="P44" s="7" t="s">
        <v>29</v>
      </c>
      <c r="Q44" s="7" t="s">
        <v>29</v>
      </c>
      <c r="R44" s="7" t="s">
        <v>29</v>
      </c>
      <c r="S44" s="7" t="s">
        <v>29</v>
      </c>
    </row>
    <row r="45" spans="2:19">
      <c r="B45" s="7" t="s">
        <v>195</v>
      </c>
      <c r="C45" s="8" t="s">
        <v>195</v>
      </c>
      <c r="D45" s="5" t="str">
        <f>LRTRIM(CONCATENATE(IF(SUMPRODUCT(-- ISNUMBER(SEARCH({"Auto Number"}, $B45))) &gt; 0, $B45, IF(SUMPRODUCT(-- ISNUMBER(SEARCH({"Lookup","Master-Detail"}, $B45))) &gt; 0,$B45 &amp; "(" &amp; $E45 &amp; ")",IF(SUMPRODUCT(-- ISNUMBER(SEARCH({"Formula","Roll-Up Summary"}, $B45))) &gt; 0,$B45 &amp; " (" &amp; $E45 &amp; ")",IF(SUMPRODUCT(-- ISNUMBER(SEARCH({"Content","Currency","Number","Percent","Text","URL"}, $B45))) &gt; 0,$B45 &amp; "(" &amp; $C45 &amp; ")",$B45)))), "  ", TRIM(IF($S45 = "YES", "(External ID)", "") &amp; " " &amp; IF(SUMPRODUCT(-- ISNUMBER(SEARCH({"Unique","Unique Case Insensitive"}, $R45))) &gt; 0, "(" &amp; $R45 &amp; ")", ""))))</f>
        <v>na</v>
      </c>
      <c r="E45" s="7" t="s">
        <v>195</v>
      </c>
      <c r="F45" s="7" t="s">
        <v>195</v>
      </c>
      <c r="G45" s="7" t="s">
        <v>195</v>
      </c>
      <c r="H45" s="7" t="s">
        <v>195</v>
      </c>
      <c r="I45" s="7" t="s">
        <v>195</v>
      </c>
      <c r="J45" s="7" t="s">
        <v>195</v>
      </c>
      <c r="K45" s="7" t="s">
        <v>195</v>
      </c>
      <c r="L45" s="7" t="s">
        <v>195</v>
      </c>
      <c r="M45" s="7" t="s">
        <v>29</v>
      </c>
      <c r="N45" s="7" t="s">
        <v>29</v>
      </c>
      <c r="O45" s="7" t="s">
        <v>29</v>
      </c>
      <c r="P45" s="7" t="s">
        <v>29</v>
      </c>
      <c r="Q45" s="7" t="s">
        <v>29</v>
      </c>
      <c r="R45" s="7" t="s">
        <v>29</v>
      </c>
      <c r="S45" s="7" t="s">
        <v>29</v>
      </c>
    </row>
    <row r="46" spans="2:19">
      <c r="B46" s="7" t="s">
        <v>195</v>
      </c>
      <c r="C46" s="8" t="s">
        <v>195</v>
      </c>
      <c r="D46" s="5" t="str">
        <f>LRTRIM(CONCATENATE(IF(SUMPRODUCT(-- ISNUMBER(SEARCH({"Auto Number"}, $B46))) &gt; 0, $B46, IF(SUMPRODUCT(-- ISNUMBER(SEARCH({"Lookup","Master-Detail"}, $B46))) &gt; 0,$B46 &amp; "(" &amp; $E46 &amp; ")",IF(SUMPRODUCT(-- ISNUMBER(SEARCH({"Formula","Roll-Up Summary"}, $B46))) &gt; 0,$B46 &amp; " (" &amp; $E46 &amp; ")",IF(SUMPRODUCT(-- ISNUMBER(SEARCH({"Content","Currency","Number","Percent","Text","URL"}, $B46))) &gt; 0,$B46 &amp; "(" &amp; $C46 &amp; ")",$B46)))), "  ", TRIM(IF($S46 = "YES", "(External ID)", "") &amp; " " &amp; IF(SUMPRODUCT(-- ISNUMBER(SEARCH({"Unique","Unique Case Insensitive"}, $R46))) &gt; 0, "(" &amp; $R46 &amp; ")", ""))))</f>
        <v>na</v>
      </c>
      <c r="E46" s="7" t="s">
        <v>195</v>
      </c>
      <c r="F46" s="7" t="s">
        <v>195</v>
      </c>
      <c r="G46" s="7" t="s">
        <v>195</v>
      </c>
      <c r="H46" s="7" t="s">
        <v>195</v>
      </c>
      <c r="I46" s="7" t="s">
        <v>195</v>
      </c>
      <c r="J46" s="7" t="s">
        <v>195</v>
      </c>
      <c r="K46" s="7" t="s">
        <v>195</v>
      </c>
      <c r="L46" s="7" t="s">
        <v>195</v>
      </c>
      <c r="M46" s="7" t="s">
        <v>29</v>
      </c>
      <c r="N46" s="7" t="s">
        <v>29</v>
      </c>
      <c r="O46" s="7" t="s">
        <v>29</v>
      </c>
      <c r="P46" s="7" t="s">
        <v>29</v>
      </c>
      <c r="Q46" s="7" t="s">
        <v>29</v>
      </c>
      <c r="R46" s="7" t="s">
        <v>29</v>
      </c>
      <c r="S46" s="7" t="s">
        <v>29</v>
      </c>
    </row>
    <row r="47" spans="2:19">
      <c r="B47" s="7" t="s">
        <v>195</v>
      </c>
      <c r="C47" s="8" t="s">
        <v>195</v>
      </c>
      <c r="D47" s="5" t="str">
        <f>LRTRIM(CONCATENATE(IF(SUMPRODUCT(-- ISNUMBER(SEARCH({"Auto Number"}, $B47))) &gt; 0, $B47, IF(SUMPRODUCT(-- ISNUMBER(SEARCH({"Lookup","Master-Detail"}, $B47))) &gt; 0,$B47 &amp; "(" &amp; $E47 &amp; ")",IF(SUMPRODUCT(-- ISNUMBER(SEARCH({"Formula","Roll-Up Summary"}, $B47))) &gt; 0,$B47 &amp; " (" &amp; $E47 &amp; ")",IF(SUMPRODUCT(-- ISNUMBER(SEARCH({"Content","Currency","Number","Percent","Text","URL"}, $B47))) &gt; 0,$B47 &amp; "(" &amp; $C47 &amp; ")",$B47)))), "  ", TRIM(IF($S47 = "YES", "(External ID)", "") &amp; " " &amp; IF(SUMPRODUCT(-- ISNUMBER(SEARCH({"Unique","Unique Case Insensitive"}, $R47))) &gt; 0, "(" &amp; $R47 &amp; ")", ""))))</f>
        <v>na</v>
      </c>
      <c r="E47" s="7" t="s">
        <v>195</v>
      </c>
      <c r="F47" s="7" t="s">
        <v>195</v>
      </c>
      <c r="G47" s="7" t="s">
        <v>195</v>
      </c>
      <c r="H47" s="7" t="s">
        <v>195</v>
      </c>
      <c r="I47" s="7" t="s">
        <v>195</v>
      </c>
      <c r="J47" s="7" t="s">
        <v>195</v>
      </c>
      <c r="K47" s="7" t="s">
        <v>195</v>
      </c>
      <c r="L47" s="7" t="s">
        <v>195</v>
      </c>
      <c r="M47" s="7" t="s">
        <v>29</v>
      </c>
      <c r="N47" s="7" t="s">
        <v>29</v>
      </c>
      <c r="O47" s="7" t="s">
        <v>29</v>
      </c>
      <c r="P47" s="7" t="s">
        <v>29</v>
      </c>
      <c r="Q47" s="7" t="s">
        <v>29</v>
      </c>
      <c r="R47" s="7" t="s">
        <v>29</v>
      </c>
      <c r="S47" s="7" t="s">
        <v>29</v>
      </c>
    </row>
    <row r="48" spans="2:19">
      <c r="B48" s="7" t="s">
        <v>195</v>
      </c>
      <c r="C48" s="8" t="s">
        <v>195</v>
      </c>
      <c r="D48" s="5" t="str">
        <f>LRTRIM(CONCATENATE(IF(SUMPRODUCT(-- ISNUMBER(SEARCH({"Auto Number"}, $B48))) &gt; 0, $B48, IF(SUMPRODUCT(-- ISNUMBER(SEARCH({"Lookup","Master-Detail"}, $B48))) &gt; 0,$B48 &amp; "(" &amp; $E48 &amp; ")",IF(SUMPRODUCT(-- ISNUMBER(SEARCH({"Formula","Roll-Up Summary"}, $B48))) &gt; 0,$B48 &amp; " (" &amp; $E48 &amp; ")",IF(SUMPRODUCT(-- ISNUMBER(SEARCH({"Content","Currency","Number","Percent","Text","URL"}, $B48))) &gt; 0,$B48 &amp; "(" &amp; $C48 &amp; ")",$B48)))), "  ", TRIM(IF($S48 = "YES", "(External ID)", "") &amp; " " &amp; IF(SUMPRODUCT(-- ISNUMBER(SEARCH({"Unique","Unique Case Insensitive"}, $R48))) &gt; 0, "(" &amp; $R48 &amp; ")", ""))))</f>
        <v>na</v>
      </c>
      <c r="E48" s="7" t="s">
        <v>195</v>
      </c>
      <c r="F48" s="7" t="s">
        <v>195</v>
      </c>
      <c r="G48" s="7" t="s">
        <v>195</v>
      </c>
      <c r="H48" s="7" t="s">
        <v>195</v>
      </c>
      <c r="I48" s="7" t="s">
        <v>195</v>
      </c>
      <c r="J48" s="7" t="s">
        <v>195</v>
      </c>
      <c r="K48" s="7" t="s">
        <v>195</v>
      </c>
      <c r="L48" s="7" t="s">
        <v>195</v>
      </c>
      <c r="M48" s="7" t="s">
        <v>29</v>
      </c>
      <c r="N48" s="7" t="s">
        <v>29</v>
      </c>
      <c r="O48" s="7" t="s">
        <v>29</v>
      </c>
      <c r="P48" s="7" t="s">
        <v>29</v>
      </c>
      <c r="Q48" s="7" t="s">
        <v>29</v>
      </c>
      <c r="R48" s="7" t="s">
        <v>29</v>
      </c>
      <c r="S48" s="7" t="s">
        <v>29</v>
      </c>
    </row>
    <row r="49" spans="2:19">
      <c r="B49" s="7" t="s">
        <v>195</v>
      </c>
      <c r="C49" s="8" t="s">
        <v>195</v>
      </c>
      <c r="D49" s="5" t="str">
        <f>LRTRIM(CONCATENATE(IF(SUMPRODUCT(-- ISNUMBER(SEARCH({"Auto Number"}, $B49))) &gt; 0, $B49, IF(SUMPRODUCT(-- ISNUMBER(SEARCH({"Lookup","Master-Detail"}, $B49))) &gt; 0,$B49 &amp; "(" &amp; $E49 &amp; ")",IF(SUMPRODUCT(-- ISNUMBER(SEARCH({"Formula","Roll-Up Summary"}, $B49))) &gt; 0,$B49 &amp; " (" &amp; $E49 &amp; ")",IF(SUMPRODUCT(-- ISNUMBER(SEARCH({"Content","Currency","Number","Percent","Text","URL"}, $B49))) &gt; 0,$B49 &amp; "(" &amp; $C49 &amp; ")",$B49)))), "  ", TRIM(IF($S49 = "YES", "(External ID)", "") &amp; " " &amp; IF(SUMPRODUCT(-- ISNUMBER(SEARCH({"Unique","Unique Case Insensitive"}, $R49))) &gt; 0, "(" &amp; $R49 &amp; ")", ""))))</f>
        <v>na</v>
      </c>
      <c r="E49" s="7" t="s">
        <v>195</v>
      </c>
      <c r="F49" s="7" t="s">
        <v>195</v>
      </c>
      <c r="G49" s="7" t="s">
        <v>195</v>
      </c>
      <c r="H49" s="7" t="s">
        <v>195</v>
      </c>
      <c r="I49" s="7" t="s">
        <v>195</v>
      </c>
      <c r="J49" s="7" t="s">
        <v>195</v>
      </c>
      <c r="K49" s="7" t="s">
        <v>195</v>
      </c>
      <c r="L49" s="7" t="s">
        <v>195</v>
      </c>
      <c r="M49" s="7" t="s">
        <v>29</v>
      </c>
      <c r="N49" s="7" t="s">
        <v>29</v>
      </c>
      <c r="O49" s="7" t="s">
        <v>29</v>
      </c>
      <c r="P49" s="7" t="s">
        <v>29</v>
      </c>
      <c r="Q49" s="7" t="s">
        <v>29</v>
      </c>
      <c r="R49" s="7" t="s">
        <v>29</v>
      </c>
      <c r="S49" s="7" t="s">
        <v>29</v>
      </c>
    </row>
    <row r="50" spans="2:19">
      <c r="B50" s="7" t="s">
        <v>195</v>
      </c>
      <c r="C50" s="8" t="s">
        <v>195</v>
      </c>
      <c r="D50" s="5" t="str">
        <f>LRTRIM(CONCATENATE(IF(SUMPRODUCT(-- ISNUMBER(SEARCH({"Auto Number"}, $B50))) &gt; 0, $B50, IF(SUMPRODUCT(-- ISNUMBER(SEARCH({"Lookup","Master-Detail"}, $B50))) &gt; 0,$B50 &amp; "(" &amp; $E50 &amp; ")",IF(SUMPRODUCT(-- ISNUMBER(SEARCH({"Formula","Roll-Up Summary"}, $B50))) &gt; 0,$B50 &amp; " (" &amp; $E50 &amp; ")",IF(SUMPRODUCT(-- ISNUMBER(SEARCH({"Content","Currency","Number","Percent","Text","URL"}, $B50))) &gt; 0,$B50 &amp; "(" &amp; $C50 &amp; ")",$B50)))), "  ", TRIM(IF($S50 = "YES", "(External ID)", "") &amp; " " &amp; IF(SUMPRODUCT(-- ISNUMBER(SEARCH({"Unique","Unique Case Insensitive"}, $R50))) &gt; 0, "(" &amp; $R50 &amp; ")", ""))))</f>
        <v>na</v>
      </c>
      <c r="E50" s="7" t="s">
        <v>195</v>
      </c>
      <c r="F50" s="7" t="s">
        <v>195</v>
      </c>
      <c r="G50" s="7" t="s">
        <v>195</v>
      </c>
      <c r="H50" s="7" t="s">
        <v>195</v>
      </c>
      <c r="I50" s="7" t="s">
        <v>195</v>
      </c>
      <c r="J50" s="7" t="s">
        <v>195</v>
      </c>
      <c r="K50" s="7" t="s">
        <v>195</v>
      </c>
      <c r="L50" s="7" t="s">
        <v>195</v>
      </c>
      <c r="M50" s="7" t="s">
        <v>29</v>
      </c>
      <c r="N50" s="7" t="s">
        <v>29</v>
      </c>
      <c r="O50" s="7" t="s">
        <v>29</v>
      </c>
      <c r="P50" s="7" t="s">
        <v>29</v>
      </c>
      <c r="Q50" s="7" t="s">
        <v>29</v>
      </c>
      <c r="R50" s="7" t="s">
        <v>29</v>
      </c>
      <c r="S50" s="7" t="s">
        <v>29</v>
      </c>
    </row>
    <row r="51" spans="2:19">
      <c r="B51" s="7" t="s">
        <v>195</v>
      </c>
      <c r="C51" s="8" t="s">
        <v>195</v>
      </c>
      <c r="D51" s="5" t="str">
        <f>LRTRIM(CONCATENATE(IF(SUMPRODUCT(-- ISNUMBER(SEARCH({"Auto Number"}, $B51))) &gt; 0, $B51, IF(SUMPRODUCT(-- ISNUMBER(SEARCH({"Lookup","Master-Detail"}, $B51))) &gt; 0,$B51 &amp; "(" &amp; $E51 &amp; ")",IF(SUMPRODUCT(-- ISNUMBER(SEARCH({"Formula","Roll-Up Summary"}, $B51))) &gt; 0,$B51 &amp; " (" &amp; $E51 &amp; ")",IF(SUMPRODUCT(-- ISNUMBER(SEARCH({"Content","Currency","Number","Percent","Text","URL"}, $B51))) &gt; 0,$B51 &amp; "(" &amp; $C51 &amp; ")",$B51)))), "  ", TRIM(IF($S51 = "YES", "(External ID)", "") &amp; " " &amp; IF(SUMPRODUCT(-- ISNUMBER(SEARCH({"Unique","Unique Case Insensitive"}, $R51))) &gt; 0, "(" &amp; $R51 &amp; ")", ""))))</f>
        <v>na</v>
      </c>
      <c r="E51" s="7" t="s">
        <v>195</v>
      </c>
      <c r="F51" s="7" t="s">
        <v>195</v>
      </c>
      <c r="G51" s="7" t="s">
        <v>195</v>
      </c>
      <c r="H51" s="7" t="s">
        <v>195</v>
      </c>
      <c r="I51" s="7" t="s">
        <v>195</v>
      </c>
      <c r="J51" s="7" t="s">
        <v>195</v>
      </c>
      <c r="K51" s="7" t="s">
        <v>195</v>
      </c>
      <c r="L51" s="7" t="s">
        <v>195</v>
      </c>
      <c r="M51" s="7" t="s">
        <v>29</v>
      </c>
      <c r="N51" s="7" t="s">
        <v>29</v>
      </c>
      <c r="O51" s="7" t="s">
        <v>29</v>
      </c>
      <c r="P51" s="7" t="s">
        <v>29</v>
      </c>
      <c r="Q51" s="7" t="s">
        <v>29</v>
      </c>
      <c r="R51" s="7" t="s">
        <v>29</v>
      </c>
      <c r="S51" s="7" t="s">
        <v>29</v>
      </c>
    </row>
    <row r="52" spans="2:19">
      <c r="B52" s="7" t="s">
        <v>195</v>
      </c>
      <c r="C52" s="8" t="s">
        <v>195</v>
      </c>
      <c r="D52" s="5" t="str">
        <f>LRTRIM(CONCATENATE(IF(SUMPRODUCT(-- ISNUMBER(SEARCH({"Auto Number"}, $B52))) &gt; 0, $B52, IF(SUMPRODUCT(-- ISNUMBER(SEARCH({"Lookup","Master-Detail"}, $B52))) &gt; 0,$B52 &amp; "(" &amp; $E52 &amp; ")",IF(SUMPRODUCT(-- ISNUMBER(SEARCH({"Formula","Roll-Up Summary"}, $B52))) &gt; 0,$B52 &amp; " (" &amp; $E52 &amp; ")",IF(SUMPRODUCT(-- ISNUMBER(SEARCH({"Content","Currency","Number","Percent","Text","URL"}, $B52))) &gt; 0,$B52 &amp; "(" &amp; $C52 &amp; ")",$B52)))), "  ", TRIM(IF($S52 = "YES", "(External ID)", "") &amp; " " &amp; IF(SUMPRODUCT(-- ISNUMBER(SEARCH({"Unique","Unique Case Insensitive"}, $R52))) &gt; 0, "(" &amp; $R52 &amp; ")", ""))))</f>
        <v>na</v>
      </c>
      <c r="E52" s="7" t="s">
        <v>195</v>
      </c>
      <c r="F52" s="7" t="s">
        <v>195</v>
      </c>
      <c r="G52" s="7" t="s">
        <v>195</v>
      </c>
      <c r="H52" s="7" t="s">
        <v>195</v>
      </c>
      <c r="I52" s="7" t="s">
        <v>195</v>
      </c>
      <c r="J52" s="7" t="s">
        <v>195</v>
      </c>
      <c r="K52" s="7" t="s">
        <v>195</v>
      </c>
      <c r="L52" s="7" t="s">
        <v>195</v>
      </c>
      <c r="M52" s="7" t="s">
        <v>29</v>
      </c>
      <c r="N52" s="7" t="s">
        <v>29</v>
      </c>
      <c r="O52" s="7" t="s">
        <v>29</v>
      </c>
      <c r="P52" s="7" t="s">
        <v>29</v>
      </c>
      <c r="Q52" s="7" t="s">
        <v>29</v>
      </c>
      <c r="R52" s="7" t="s">
        <v>29</v>
      </c>
      <c r="S52" s="7" t="s">
        <v>29</v>
      </c>
    </row>
    <row r="53" spans="2:19">
      <c r="B53" s="7" t="s">
        <v>195</v>
      </c>
      <c r="C53" s="8" t="s">
        <v>195</v>
      </c>
      <c r="D53" s="5" t="str">
        <f>LRTRIM(CONCATENATE(IF(SUMPRODUCT(-- ISNUMBER(SEARCH({"Auto Number"}, $B53))) &gt; 0, $B53, IF(SUMPRODUCT(-- ISNUMBER(SEARCH({"Lookup","Master-Detail"}, $B53))) &gt; 0,$B53 &amp; "(" &amp; $E53 &amp; ")",IF(SUMPRODUCT(-- ISNUMBER(SEARCH({"Formula","Roll-Up Summary"}, $B53))) &gt; 0,$B53 &amp; " (" &amp; $E53 &amp; ")",IF(SUMPRODUCT(-- ISNUMBER(SEARCH({"Content","Currency","Number","Percent","Text","URL"}, $B53))) &gt; 0,$B53 &amp; "(" &amp; $C53 &amp; ")",$B53)))), "  ", TRIM(IF($S53 = "YES", "(External ID)", "") &amp; " " &amp; IF(SUMPRODUCT(-- ISNUMBER(SEARCH({"Unique","Unique Case Insensitive"}, $R53))) &gt; 0, "(" &amp; $R53 &amp; ")", ""))))</f>
        <v>na</v>
      </c>
      <c r="E53" s="7" t="s">
        <v>195</v>
      </c>
      <c r="F53" s="7" t="s">
        <v>195</v>
      </c>
      <c r="G53" s="7" t="s">
        <v>195</v>
      </c>
      <c r="H53" s="7" t="s">
        <v>195</v>
      </c>
      <c r="I53" s="7" t="s">
        <v>195</v>
      </c>
      <c r="J53" s="7" t="s">
        <v>195</v>
      </c>
      <c r="K53" s="7" t="s">
        <v>195</v>
      </c>
      <c r="L53" s="7" t="s">
        <v>195</v>
      </c>
      <c r="M53" s="7" t="s">
        <v>29</v>
      </c>
      <c r="N53" s="7" t="s">
        <v>29</v>
      </c>
      <c r="O53" s="7" t="s">
        <v>29</v>
      </c>
      <c r="P53" s="7" t="s">
        <v>29</v>
      </c>
      <c r="Q53" s="7" t="s">
        <v>29</v>
      </c>
      <c r="R53" s="7" t="s">
        <v>29</v>
      </c>
      <c r="S53" s="7" t="s">
        <v>29</v>
      </c>
    </row>
    <row r="54" spans="2:19">
      <c r="B54" s="7" t="s">
        <v>195</v>
      </c>
      <c r="C54" s="8" t="s">
        <v>195</v>
      </c>
      <c r="D54" s="5" t="str">
        <f>LRTRIM(CONCATENATE(IF(SUMPRODUCT(-- ISNUMBER(SEARCH({"Auto Number"}, $B54))) &gt; 0, $B54, IF(SUMPRODUCT(-- ISNUMBER(SEARCH({"Lookup","Master-Detail"}, $B54))) &gt; 0,$B54 &amp; "(" &amp; $E54 &amp; ")",IF(SUMPRODUCT(-- ISNUMBER(SEARCH({"Formula","Roll-Up Summary"}, $B54))) &gt; 0,$B54 &amp; " (" &amp; $E54 &amp; ")",IF(SUMPRODUCT(-- ISNUMBER(SEARCH({"Content","Currency","Number","Percent","Text","URL"}, $B54))) &gt; 0,$B54 &amp; "(" &amp; $C54 &amp; ")",$B54)))), "  ", TRIM(IF($S54 = "YES", "(External ID)", "") &amp; " " &amp; IF(SUMPRODUCT(-- ISNUMBER(SEARCH({"Unique","Unique Case Insensitive"}, $R54))) &gt; 0, "(" &amp; $R54 &amp; ")", ""))))</f>
        <v>na</v>
      </c>
      <c r="E54" s="7" t="s">
        <v>195</v>
      </c>
      <c r="F54" s="7" t="s">
        <v>195</v>
      </c>
      <c r="G54" s="7" t="s">
        <v>195</v>
      </c>
      <c r="H54" s="7" t="s">
        <v>195</v>
      </c>
      <c r="I54" s="7" t="s">
        <v>195</v>
      </c>
      <c r="J54" s="7" t="s">
        <v>195</v>
      </c>
      <c r="K54" s="7" t="s">
        <v>195</v>
      </c>
      <c r="L54" s="7" t="s">
        <v>195</v>
      </c>
      <c r="M54" s="7" t="s">
        <v>29</v>
      </c>
      <c r="N54" s="7" t="s">
        <v>29</v>
      </c>
      <c r="O54" s="7" t="s">
        <v>29</v>
      </c>
      <c r="P54" s="7" t="s">
        <v>29</v>
      </c>
      <c r="Q54" s="7" t="s">
        <v>29</v>
      </c>
      <c r="R54" s="7" t="s">
        <v>29</v>
      </c>
      <c r="S54" s="7" t="s">
        <v>29</v>
      </c>
    </row>
    <row r="55" spans="2:19">
      <c r="B55" s="7" t="s">
        <v>195</v>
      </c>
      <c r="C55" s="8" t="s">
        <v>195</v>
      </c>
      <c r="D55" s="5" t="str">
        <f>LRTRIM(CONCATENATE(IF(SUMPRODUCT(-- ISNUMBER(SEARCH({"Auto Number"}, $B55))) &gt; 0, $B55, IF(SUMPRODUCT(-- ISNUMBER(SEARCH({"Lookup","Master-Detail"}, $B55))) &gt; 0,$B55 &amp; "(" &amp; $E55 &amp; ")",IF(SUMPRODUCT(-- ISNUMBER(SEARCH({"Formula","Roll-Up Summary"}, $B55))) &gt; 0,$B55 &amp; " (" &amp; $E55 &amp; ")",IF(SUMPRODUCT(-- ISNUMBER(SEARCH({"Content","Currency","Number","Percent","Text","URL"}, $B55))) &gt; 0,$B55 &amp; "(" &amp; $C55 &amp; ")",$B55)))), "  ", TRIM(IF($S55 = "YES", "(External ID)", "") &amp; " " &amp; IF(SUMPRODUCT(-- ISNUMBER(SEARCH({"Unique","Unique Case Insensitive"}, $R55))) &gt; 0, "(" &amp; $R55 &amp; ")", ""))))</f>
        <v>na</v>
      </c>
      <c r="E55" s="7" t="s">
        <v>195</v>
      </c>
      <c r="F55" s="7" t="s">
        <v>195</v>
      </c>
      <c r="G55" s="7" t="s">
        <v>195</v>
      </c>
      <c r="H55" s="7" t="s">
        <v>195</v>
      </c>
      <c r="I55" s="7" t="s">
        <v>195</v>
      </c>
      <c r="J55" s="7" t="s">
        <v>195</v>
      </c>
      <c r="K55" s="7" t="s">
        <v>195</v>
      </c>
      <c r="L55" s="7" t="s">
        <v>195</v>
      </c>
      <c r="M55" s="7" t="s">
        <v>29</v>
      </c>
      <c r="N55" s="7" t="s">
        <v>29</v>
      </c>
      <c r="O55" s="7" t="s">
        <v>29</v>
      </c>
      <c r="P55" s="7" t="s">
        <v>29</v>
      </c>
      <c r="Q55" s="7" t="s">
        <v>29</v>
      </c>
      <c r="R55" s="7" t="s">
        <v>29</v>
      </c>
      <c r="S55" s="7" t="s">
        <v>29</v>
      </c>
    </row>
    <row r="56" spans="2:19">
      <c r="B56" s="7" t="s">
        <v>195</v>
      </c>
      <c r="C56" s="8" t="s">
        <v>195</v>
      </c>
      <c r="D56" s="5" t="str">
        <f>LRTRIM(CONCATENATE(IF(SUMPRODUCT(-- ISNUMBER(SEARCH({"Auto Number"}, $B56))) &gt; 0, $B56, IF(SUMPRODUCT(-- ISNUMBER(SEARCH({"Lookup","Master-Detail"}, $B56))) &gt; 0,$B56 &amp; "(" &amp; $E56 &amp; ")",IF(SUMPRODUCT(-- ISNUMBER(SEARCH({"Formula","Roll-Up Summary"}, $B56))) &gt; 0,$B56 &amp; " (" &amp; $E56 &amp; ")",IF(SUMPRODUCT(-- ISNUMBER(SEARCH({"Content","Currency","Number","Percent","Text","URL"}, $B56))) &gt; 0,$B56 &amp; "(" &amp; $C56 &amp; ")",$B56)))), "  ", TRIM(IF($S56 = "YES", "(External ID)", "") &amp; " " &amp; IF(SUMPRODUCT(-- ISNUMBER(SEARCH({"Unique","Unique Case Insensitive"}, $R56))) &gt; 0, "(" &amp; $R56 &amp; ")", ""))))</f>
        <v>na</v>
      </c>
      <c r="E56" s="7" t="s">
        <v>195</v>
      </c>
      <c r="F56" s="7" t="s">
        <v>195</v>
      </c>
      <c r="G56" s="7" t="s">
        <v>195</v>
      </c>
      <c r="H56" s="7" t="s">
        <v>195</v>
      </c>
      <c r="I56" s="7" t="s">
        <v>195</v>
      </c>
      <c r="J56" s="7" t="s">
        <v>195</v>
      </c>
      <c r="K56" s="7" t="s">
        <v>195</v>
      </c>
      <c r="L56" s="7" t="s">
        <v>195</v>
      </c>
      <c r="M56" s="7" t="s">
        <v>29</v>
      </c>
      <c r="N56" s="7" t="s">
        <v>29</v>
      </c>
      <c r="O56" s="7" t="s">
        <v>29</v>
      </c>
      <c r="P56" s="7" t="s">
        <v>29</v>
      </c>
      <c r="Q56" s="7" t="s">
        <v>29</v>
      </c>
      <c r="R56" s="7" t="s">
        <v>29</v>
      </c>
      <c r="S56" s="7" t="s">
        <v>29</v>
      </c>
    </row>
    <row r="57" spans="2:19">
      <c r="B57" s="7" t="s">
        <v>195</v>
      </c>
      <c r="C57" s="8" t="s">
        <v>195</v>
      </c>
      <c r="D57" s="5" t="str">
        <f>LRTRIM(CONCATENATE(IF(SUMPRODUCT(-- ISNUMBER(SEARCH({"Auto Number"}, $B57))) &gt; 0, $B57, IF(SUMPRODUCT(-- ISNUMBER(SEARCH({"Lookup","Master-Detail"}, $B57))) &gt; 0,$B57 &amp; "(" &amp; $E57 &amp; ")",IF(SUMPRODUCT(-- ISNUMBER(SEARCH({"Formula","Roll-Up Summary"}, $B57))) &gt; 0,$B57 &amp; " (" &amp; $E57 &amp; ")",IF(SUMPRODUCT(-- ISNUMBER(SEARCH({"Content","Currency","Number","Percent","Text","URL"}, $B57))) &gt; 0,$B57 &amp; "(" &amp; $C57 &amp; ")",$B57)))), "  ", TRIM(IF($S57 = "YES", "(External ID)", "") &amp; " " &amp; IF(SUMPRODUCT(-- ISNUMBER(SEARCH({"Unique","Unique Case Insensitive"}, $R57))) &gt; 0, "(" &amp; $R57 &amp; ")", ""))))</f>
        <v>na</v>
      </c>
      <c r="E57" s="7" t="s">
        <v>195</v>
      </c>
      <c r="F57" s="7" t="s">
        <v>195</v>
      </c>
      <c r="G57" s="7" t="s">
        <v>195</v>
      </c>
      <c r="H57" s="7" t="s">
        <v>195</v>
      </c>
      <c r="I57" s="7" t="s">
        <v>195</v>
      </c>
      <c r="J57" s="7" t="s">
        <v>195</v>
      </c>
      <c r="K57" s="7" t="s">
        <v>195</v>
      </c>
      <c r="L57" s="7" t="s">
        <v>195</v>
      </c>
      <c r="M57" s="7" t="s">
        <v>29</v>
      </c>
      <c r="N57" s="7" t="s">
        <v>29</v>
      </c>
      <c r="O57" s="7" t="s">
        <v>29</v>
      </c>
      <c r="P57" s="7" t="s">
        <v>29</v>
      </c>
      <c r="Q57" s="7" t="s">
        <v>29</v>
      </c>
      <c r="R57" s="7" t="s">
        <v>29</v>
      </c>
      <c r="S57" s="7" t="s">
        <v>29</v>
      </c>
    </row>
    <row r="58" spans="2:19">
      <c r="B58" s="7" t="s">
        <v>195</v>
      </c>
      <c r="C58" s="8" t="s">
        <v>195</v>
      </c>
      <c r="D58" s="5" t="str">
        <f>LRTRIM(CONCATENATE(IF(SUMPRODUCT(-- ISNUMBER(SEARCH({"Auto Number"}, $B58))) &gt; 0, $B58, IF(SUMPRODUCT(-- ISNUMBER(SEARCH({"Lookup","Master-Detail"}, $B58))) &gt; 0,$B58 &amp; "(" &amp; $E58 &amp; ")",IF(SUMPRODUCT(-- ISNUMBER(SEARCH({"Formula","Roll-Up Summary"}, $B58))) &gt; 0,$B58 &amp; " (" &amp; $E58 &amp; ")",IF(SUMPRODUCT(-- ISNUMBER(SEARCH({"Content","Currency","Number","Percent","Text","URL"}, $B58))) &gt; 0,$B58 &amp; "(" &amp; $C58 &amp; ")",$B58)))), "  ", TRIM(IF($S58 = "YES", "(External ID)", "") &amp; " " &amp; IF(SUMPRODUCT(-- ISNUMBER(SEARCH({"Unique","Unique Case Insensitive"}, $R58))) &gt; 0, "(" &amp; $R58 &amp; ")", ""))))</f>
        <v>na</v>
      </c>
      <c r="E58" s="7" t="s">
        <v>195</v>
      </c>
      <c r="F58" s="7" t="s">
        <v>195</v>
      </c>
      <c r="G58" s="7" t="s">
        <v>195</v>
      </c>
      <c r="H58" s="7" t="s">
        <v>195</v>
      </c>
      <c r="I58" s="7" t="s">
        <v>195</v>
      </c>
      <c r="J58" s="7" t="s">
        <v>195</v>
      </c>
      <c r="K58" s="7" t="s">
        <v>195</v>
      </c>
      <c r="L58" s="7" t="s">
        <v>195</v>
      </c>
      <c r="M58" s="7" t="s">
        <v>29</v>
      </c>
      <c r="N58" s="7" t="s">
        <v>29</v>
      </c>
      <c r="O58" s="7" t="s">
        <v>29</v>
      </c>
      <c r="P58" s="7" t="s">
        <v>29</v>
      </c>
      <c r="Q58" s="7" t="s">
        <v>29</v>
      </c>
      <c r="R58" s="7" t="s">
        <v>29</v>
      </c>
      <c r="S58" s="7" t="s">
        <v>29</v>
      </c>
    </row>
    <row r="59" spans="2:19">
      <c r="B59" s="7" t="s">
        <v>195</v>
      </c>
      <c r="C59" s="8" t="s">
        <v>195</v>
      </c>
      <c r="D59" s="5" t="str">
        <f>LRTRIM(CONCATENATE(IF(SUMPRODUCT(-- ISNUMBER(SEARCH({"Auto Number"}, $B59))) &gt; 0, $B59, IF(SUMPRODUCT(-- ISNUMBER(SEARCH({"Lookup","Master-Detail"}, $B59))) &gt; 0,$B59 &amp; "(" &amp; $E59 &amp; ")",IF(SUMPRODUCT(-- ISNUMBER(SEARCH({"Formula","Roll-Up Summary"}, $B59))) &gt; 0,$B59 &amp; " (" &amp; $E59 &amp; ")",IF(SUMPRODUCT(-- ISNUMBER(SEARCH({"Content","Currency","Number","Percent","Text","URL"}, $B59))) &gt; 0,$B59 &amp; "(" &amp; $C59 &amp; ")",$B59)))), "  ", TRIM(IF($S59 = "YES", "(External ID)", "") &amp; " " &amp; IF(SUMPRODUCT(-- ISNUMBER(SEARCH({"Unique","Unique Case Insensitive"}, $R59))) &gt; 0, "(" &amp; $R59 &amp; ")", ""))))</f>
        <v>na</v>
      </c>
      <c r="E59" s="7" t="s">
        <v>195</v>
      </c>
      <c r="F59" s="7" t="s">
        <v>195</v>
      </c>
      <c r="G59" s="7" t="s">
        <v>195</v>
      </c>
      <c r="H59" s="7" t="s">
        <v>195</v>
      </c>
      <c r="I59" s="7" t="s">
        <v>195</v>
      </c>
      <c r="J59" s="7" t="s">
        <v>195</v>
      </c>
      <c r="K59" s="7" t="s">
        <v>195</v>
      </c>
      <c r="L59" s="7" t="s">
        <v>195</v>
      </c>
      <c r="M59" s="7" t="s">
        <v>29</v>
      </c>
      <c r="N59" s="7" t="s">
        <v>29</v>
      </c>
      <c r="O59" s="7" t="s">
        <v>29</v>
      </c>
      <c r="P59" s="7" t="s">
        <v>29</v>
      </c>
      <c r="Q59" s="7" t="s">
        <v>29</v>
      </c>
      <c r="R59" s="7" t="s">
        <v>29</v>
      </c>
      <c r="S59" s="7" t="s">
        <v>29</v>
      </c>
    </row>
    <row r="60" spans="2:19">
      <c r="B60" s="7" t="s">
        <v>195</v>
      </c>
      <c r="C60" s="8" t="s">
        <v>195</v>
      </c>
      <c r="D60" s="5" t="str">
        <f>LRTRIM(CONCATENATE(IF(SUMPRODUCT(-- ISNUMBER(SEARCH({"Auto Number"}, $B60))) &gt; 0, $B60, IF(SUMPRODUCT(-- ISNUMBER(SEARCH({"Lookup","Master-Detail"}, $B60))) &gt; 0,$B60 &amp; "(" &amp; $E60 &amp; ")",IF(SUMPRODUCT(-- ISNUMBER(SEARCH({"Formula","Roll-Up Summary"}, $B60))) &gt; 0,$B60 &amp; " (" &amp; $E60 &amp; ")",IF(SUMPRODUCT(-- ISNUMBER(SEARCH({"Content","Currency","Number","Percent","Text","URL"}, $B60))) &gt; 0,$B60 &amp; "(" &amp; $C60 &amp; ")",$B60)))), "  ", TRIM(IF($S60 = "YES", "(External ID)", "") &amp; " " &amp; IF(SUMPRODUCT(-- ISNUMBER(SEARCH({"Unique","Unique Case Insensitive"}, $R60))) &gt; 0, "(" &amp; $R60 &amp; ")", ""))))</f>
        <v>na</v>
      </c>
      <c r="E60" s="7" t="s">
        <v>195</v>
      </c>
      <c r="F60" s="7" t="s">
        <v>195</v>
      </c>
      <c r="G60" s="7" t="s">
        <v>195</v>
      </c>
      <c r="H60" s="7" t="s">
        <v>195</v>
      </c>
      <c r="I60" s="7" t="s">
        <v>195</v>
      </c>
      <c r="J60" s="7" t="s">
        <v>195</v>
      </c>
      <c r="K60" s="7" t="s">
        <v>195</v>
      </c>
      <c r="L60" s="7" t="s">
        <v>195</v>
      </c>
      <c r="M60" s="7" t="s">
        <v>29</v>
      </c>
      <c r="N60" s="7" t="s">
        <v>29</v>
      </c>
      <c r="O60" s="7" t="s">
        <v>29</v>
      </c>
      <c r="P60" s="7" t="s">
        <v>29</v>
      </c>
      <c r="Q60" s="7" t="s">
        <v>29</v>
      </c>
      <c r="R60" s="7" t="s">
        <v>29</v>
      </c>
      <c r="S60" s="7" t="s">
        <v>29</v>
      </c>
    </row>
    <row r="61" spans="2:19">
      <c r="B61" s="7" t="s">
        <v>195</v>
      </c>
      <c r="C61" s="8" t="s">
        <v>195</v>
      </c>
      <c r="D61" s="5" t="str">
        <f>LRTRIM(CONCATENATE(IF(SUMPRODUCT(-- ISNUMBER(SEARCH({"Auto Number"}, $B61))) &gt; 0, $B61, IF(SUMPRODUCT(-- ISNUMBER(SEARCH({"Lookup","Master-Detail"}, $B61))) &gt; 0,$B61 &amp; "(" &amp; $E61 &amp; ")",IF(SUMPRODUCT(-- ISNUMBER(SEARCH({"Formula","Roll-Up Summary"}, $B61))) &gt; 0,$B61 &amp; " (" &amp; $E61 &amp; ")",IF(SUMPRODUCT(-- ISNUMBER(SEARCH({"Content","Currency","Number","Percent","Text","URL"}, $B61))) &gt; 0,$B61 &amp; "(" &amp; $C61 &amp; ")",$B61)))), "  ", TRIM(IF($S61 = "YES", "(External ID)", "") &amp; " " &amp; IF(SUMPRODUCT(-- ISNUMBER(SEARCH({"Unique","Unique Case Insensitive"}, $R61))) &gt; 0, "(" &amp; $R61 &amp; ")", ""))))</f>
        <v>na</v>
      </c>
      <c r="E61" s="7" t="s">
        <v>195</v>
      </c>
      <c r="F61" s="7" t="s">
        <v>195</v>
      </c>
      <c r="G61" s="7" t="s">
        <v>195</v>
      </c>
      <c r="H61" s="7" t="s">
        <v>195</v>
      </c>
      <c r="I61" s="7" t="s">
        <v>195</v>
      </c>
      <c r="J61" s="7" t="s">
        <v>195</v>
      </c>
      <c r="K61" s="7" t="s">
        <v>195</v>
      </c>
      <c r="L61" s="7" t="s">
        <v>195</v>
      </c>
      <c r="M61" s="7" t="s">
        <v>29</v>
      </c>
      <c r="N61" s="7" t="s">
        <v>29</v>
      </c>
      <c r="O61" s="7" t="s">
        <v>29</v>
      </c>
      <c r="P61" s="7" t="s">
        <v>29</v>
      </c>
      <c r="Q61" s="7" t="s">
        <v>29</v>
      </c>
      <c r="R61" s="7" t="s">
        <v>29</v>
      </c>
      <c r="S61" s="7" t="s">
        <v>29</v>
      </c>
    </row>
    <row r="62" spans="2:19">
      <c r="B62" s="7" t="s">
        <v>195</v>
      </c>
      <c r="C62" s="8" t="s">
        <v>195</v>
      </c>
      <c r="D62" s="5" t="str">
        <f>LRTRIM(CONCATENATE(IF(SUMPRODUCT(-- ISNUMBER(SEARCH({"Auto Number"}, $B62))) &gt; 0, $B62, IF(SUMPRODUCT(-- ISNUMBER(SEARCH({"Lookup","Master-Detail"}, $B62))) &gt; 0,$B62 &amp; "(" &amp; $E62 &amp; ")",IF(SUMPRODUCT(-- ISNUMBER(SEARCH({"Formula","Roll-Up Summary"}, $B62))) &gt; 0,$B62 &amp; " (" &amp; $E62 &amp; ")",IF(SUMPRODUCT(-- ISNUMBER(SEARCH({"Content","Currency","Number","Percent","Text","URL"}, $B62))) &gt; 0,$B62 &amp; "(" &amp; $C62 &amp; ")",$B62)))), "  ", TRIM(IF($S62 = "YES", "(External ID)", "") &amp; " " &amp; IF(SUMPRODUCT(-- ISNUMBER(SEARCH({"Unique","Unique Case Insensitive"}, $R62))) &gt; 0, "(" &amp; $R62 &amp; ")", ""))))</f>
        <v>na</v>
      </c>
      <c r="E62" s="7" t="s">
        <v>195</v>
      </c>
      <c r="F62" s="7" t="s">
        <v>195</v>
      </c>
      <c r="G62" s="7" t="s">
        <v>195</v>
      </c>
      <c r="H62" s="7" t="s">
        <v>195</v>
      </c>
      <c r="I62" s="7" t="s">
        <v>195</v>
      </c>
      <c r="J62" s="7" t="s">
        <v>195</v>
      </c>
      <c r="K62" s="7" t="s">
        <v>195</v>
      </c>
      <c r="L62" s="7" t="s">
        <v>195</v>
      </c>
      <c r="M62" s="7" t="s">
        <v>29</v>
      </c>
      <c r="N62" s="7" t="s">
        <v>29</v>
      </c>
      <c r="O62" s="7" t="s">
        <v>29</v>
      </c>
      <c r="P62" s="7" t="s">
        <v>29</v>
      </c>
      <c r="Q62" s="7" t="s">
        <v>29</v>
      </c>
      <c r="R62" s="7" t="s">
        <v>29</v>
      </c>
      <c r="S62" s="7" t="s">
        <v>29</v>
      </c>
    </row>
    <row r="63" spans="2:19">
      <c r="B63" s="7" t="s">
        <v>195</v>
      </c>
      <c r="C63" s="8" t="s">
        <v>195</v>
      </c>
      <c r="D63" s="5" t="str">
        <f>LRTRIM(CONCATENATE(IF(SUMPRODUCT(-- ISNUMBER(SEARCH({"Auto Number"}, $B63))) &gt; 0, $B63, IF(SUMPRODUCT(-- ISNUMBER(SEARCH({"Lookup","Master-Detail"}, $B63))) &gt; 0,$B63 &amp; "(" &amp; $E63 &amp; ")",IF(SUMPRODUCT(-- ISNUMBER(SEARCH({"Formula","Roll-Up Summary"}, $B63))) &gt; 0,$B63 &amp; " (" &amp; $E63 &amp; ")",IF(SUMPRODUCT(-- ISNUMBER(SEARCH({"Content","Currency","Number","Percent","Text","URL"}, $B63))) &gt; 0,$B63 &amp; "(" &amp; $C63 &amp; ")",$B63)))), "  ", TRIM(IF($S63 = "YES", "(External ID)", "") &amp; " " &amp; IF(SUMPRODUCT(-- ISNUMBER(SEARCH({"Unique","Unique Case Insensitive"}, $R63))) &gt; 0, "(" &amp; $R63 &amp; ")", ""))))</f>
        <v>na</v>
      </c>
      <c r="E63" s="7" t="s">
        <v>195</v>
      </c>
      <c r="F63" s="7" t="s">
        <v>195</v>
      </c>
      <c r="G63" s="7" t="s">
        <v>195</v>
      </c>
      <c r="H63" s="7" t="s">
        <v>195</v>
      </c>
      <c r="I63" s="7" t="s">
        <v>195</v>
      </c>
      <c r="J63" s="7" t="s">
        <v>195</v>
      </c>
      <c r="K63" s="7" t="s">
        <v>195</v>
      </c>
      <c r="L63" s="7" t="s">
        <v>195</v>
      </c>
      <c r="M63" s="7" t="s">
        <v>29</v>
      </c>
      <c r="N63" s="7" t="s">
        <v>29</v>
      </c>
      <c r="O63" s="7" t="s">
        <v>29</v>
      </c>
      <c r="P63" s="7" t="s">
        <v>29</v>
      </c>
      <c r="Q63" s="7" t="s">
        <v>29</v>
      </c>
      <c r="R63" s="7" t="s">
        <v>29</v>
      </c>
      <c r="S63" s="7" t="s">
        <v>29</v>
      </c>
    </row>
    <row r="64" spans="2:19">
      <c r="B64" s="7" t="s">
        <v>195</v>
      </c>
      <c r="C64" s="8" t="s">
        <v>195</v>
      </c>
      <c r="D64" s="5" t="str">
        <f>LRTRIM(CONCATENATE(IF(SUMPRODUCT(-- ISNUMBER(SEARCH({"Auto Number"}, $B64))) &gt; 0, $B64, IF(SUMPRODUCT(-- ISNUMBER(SEARCH({"Lookup","Master-Detail"}, $B64))) &gt; 0,$B64 &amp; "(" &amp; $E64 &amp; ")",IF(SUMPRODUCT(-- ISNUMBER(SEARCH({"Formula","Roll-Up Summary"}, $B64))) &gt; 0,$B64 &amp; " (" &amp; $E64 &amp; ")",IF(SUMPRODUCT(-- ISNUMBER(SEARCH({"Content","Currency","Number","Percent","Text","URL"}, $B64))) &gt; 0,$B64 &amp; "(" &amp; $C64 &amp; ")",$B64)))), "  ", TRIM(IF($S64 = "YES", "(External ID)", "") &amp; " " &amp; IF(SUMPRODUCT(-- ISNUMBER(SEARCH({"Unique","Unique Case Insensitive"}, $R64))) &gt; 0, "(" &amp; $R64 &amp; ")", ""))))</f>
        <v>na</v>
      </c>
      <c r="E64" s="7" t="s">
        <v>195</v>
      </c>
      <c r="F64" s="7" t="s">
        <v>195</v>
      </c>
      <c r="G64" s="7" t="s">
        <v>195</v>
      </c>
      <c r="H64" s="7" t="s">
        <v>195</v>
      </c>
      <c r="I64" s="7" t="s">
        <v>195</v>
      </c>
      <c r="J64" s="7" t="s">
        <v>195</v>
      </c>
      <c r="K64" s="7" t="s">
        <v>195</v>
      </c>
      <c r="L64" s="7" t="s">
        <v>195</v>
      </c>
      <c r="M64" s="7" t="s">
        <v>29</v>
      </c>
      <c r="N64" s="7" t="s">
        <v>29</v>
      </c>
      <c r="O64" s="7" t="s">
        <v>29</v>
      </c>
      <c r="P64" s="7" t="s">
        <v>29</v>
      </c>
      <c r="Q64" s="7" t="s">
        <v>29</v>
      </c>
      <c r="R64" s="7" t="s">
        <v>29</v>
      </c>
      <c r="S64" s="7" t="s">
        <v>29</v>
      </c>
    </row>
    <row r="65" spans="2:19">
      <c r="B65" s="7" t="s">
        <v>195</v>
      </c>
      <c r="C65" s="8" t="s">
        <v>195</v>
      </c>
      <c r="D65" s="5" t="str">
        <f>LRTRIM(CONCATENATE(IF(SUMPRODUCT(-- ISNUMBER(SEARCH({"Auto Number"}, $B65))) &gt; 0, $B65, IF(SUMPRODUCT(-- ISNUMBER(SEARCH({"Lookup","Master-Detail"}, $B65))) &gt; 0,$B65 &amp; "(" &amp; $E65 &amp; ")",IF(SUMPRODUCT(-- ISNUMBER(SEARCH({"Formula","Roll-Up Summary"}, $B65))) &gt; 0,$B65 &amp; " (" &amp; $E65 &amp; ")",IF(SUMPRODUCT(-- ISNUMBER(SEARCH({"Content","Currency","Number","Percent","Text","URL"}, $B65))) &gt; 0,$B65 &amp; "(" &amp; $C65 &amp; ")",$B65)))), "  ", TRIM(IF($S65 = "YES", "(External ID)", "") &amp; " " &amp; IF(SUMPRODUCT(-- ISNUMBER(SEARCH({"Unique","Unique Case Insensitive"}, $R65))) &gt; 0, "(" &amp; $R65 &amp; ")", ""))))</f>
        <v>na</v>
      </c>
      <c r="E65" s="7" t="s">
        <v>195</v>
      </c>
      <c r="F65" s="7" t="s">
        <v>195</v>
      </c>
      <c r="G65" s="7" t="s">
        <v>195</v>
      </c>
      <c r="H65" s="7" t="s">
        <v>195</v>
      </c>
      <c r="I65" s="7" t="s">
        <v>195</v>
      </c>
      <c r="J65" s="7" t="s">
        <v>195</v>
      </c>
      <c r="K65" s="7" t="s">
        <v>195</v>
      </c>
      <c r="L65" s="7" t="s">
        <v>195</v>
      </c>
      <c r="M65" s="7" t="s">
        <v>29</v>
      </c>
      <c r="N65" s="7" t="s">
        <v>29</v>
      </c>
      <c r="O65" s="7" t="s">
        <v>29</v>
      </c>
      <c r="P65" s="7" t="s">
        <v>29</v>
      </c>
      <c r="Q65" s="7" t="s">
        <v>29</v>
      </c>
      <c r="R65" s="7" t="s">
        <v>29</v>
      </c>
      <c r="S65" s="7" t="s">
        <v>29</v>
      </c>
    </row>
    <row r="66" spans="2:19">
      <c r="B66" s="7" t="s">
        <v>195</v>
      </c>
      <c r="C66" s="8" t="s">
        <v>195</v>
      </c>
      <c r="D66" s="5" t="str">
        <f>LRTRIM(CONCATENATE(IF(SUMPRODUCT(-- ISNUMBER(SEARCH({"Auto Number"}, $B66))) &gt; 0, $B66, IF(SUMPRODUCT(-- ISNUMBER(SEARCH({"Lookup","Master-Detail"}, $B66))) &gt; 0,$B66 &amp; "(" &amp; $E66 &amp; ")",IF(SUMPRODUCT(-- ISNUMBER(SEARCH({"Formula","Roll-Up Summary"}, $B66))) &gt; 0,$B66 &amp; " (" &amp; $E66 &amp; ")",IF(SUMPRODUCT(-- ISNUMBER(SEARCH({"Content","Currency","Number","Percent","Text","URL"}, $B66))) &gt; 0,$B66 &amp; "(" &amp; $C66 &amp; ")",$B66)))), "  ", TRIM(IF($S66 = "YES", "(External ID)", "") &amp; " " &amp; IF(SUMPRODUCT(-- ISNUMBER(SEARCH({"Unique","Unique Case Insensitive"}, $R66))) &gt; 0, "(" &amp; $R66 &amp; ")", ""))))</f>
        <v>na</v>
      </c>
      <c r="E66" s="7" t="s">
        <v>195</v>
      </c>
      <c r="F66" s="7" t="s">
        <v>195</v>
      </c>
      <c r="G66" s="7" t="s">
        <v>195</v>
      </c>
      <c r="H66" s="7" t="s">
        <v>195</v>
      </c>
      <c r="I66" s="7" t="s">
        <v>195</v>
      </c>
      <c r="J66" s="7" t="s">
        <v>195</v>
      </c>
      <c r="K66" s="7" t="s">
        <v>195</v>
      </c>
      <c r="L66" s="7" t="s">
        <v>195</v>
      </c>
      <c r="M66" s="7" t="s">
        <v>29</v>
      </c>
      <c r="N66" s="7" t="s">
        <v>29</v>
      </c>
      <c r="O66" s="7" t="s">
        <v>29</v>
      </c>
      <c r="P66" s="7" t="s">
        <v>29</v>
      </c>
      <c r="Q66" s="7" t="s">
        <v>29</v>
      </c>
      <c r="R66" s="7" t="s">
        <v>29</v>
      </c>
      <c r="S66" s="7" t="s">
        <v>29</v>
      </c>
    </row>
    <row r="67" spans="2:19">
      <c r="B67" s="7" t="s">
        <v>195</v>
      </c>
      <c r="C67" s="8" t="s">
        <v>195</v>
      </c>
      <c r="D67" s="5" t="str">
        <f>LRTRIM(CONCATENATE(IF(SUMPRODUCT(-- ISNUMBER(SEARCH({"Auto Number"}, $B67))) &gt; 0, $B67, IF(SUMPRODUCT(-- ISNUMBER(SEARCH({"Lookup","Master-Detail"}, $B67))) &gt; 0,$B67 &amp; "(" &amp; $E67 &amp; ")",IF(SUMPRODUCT(-- ISNUMBER(SEARCH({"Formula","Roll-Up Summary"}, $B67))) &gt; 0,$B67 &amp; " (" &amp; $E67 &amp; ")",IF(SUMPRODUCT(-- ISNUMBER(SEARCH({"Content","Currency","Number","Percent","Text","URL"}, $B67))) &gt; 0,$B67 &amp; "(" &amp; $C67 &amp; ")",$B67)))), "  ", TRIM(IF($S67 = "YES", "(External ID)", "") &amp; " " &amp; IF(SUMPRODUCT(-- ISNUMBER(SEARCH({"Unique","Unique Case Insensitive"}, $R67))) &gt; 0, "(" &amp; $R67 &amp; ")", ""))))</f>
        <v>na</v>
      </c>
      <c r="E67" s="7" t="s">
        <v>195</v>
      </c>
      <c r="F67" s="7" t="s">
        <v>195</v>
      </c>
      <c r="G67" s="7" t="s">
        <v>195</v>
      </c>
      <c r="H67" s="7" t="s">
        <v>195</v>
      </c>
      <c r="I67" s="7" t="s">
        <v>195</v>
      </c>
      <c r="J67" s="7" t="s">
        <v>195</v>
      </c>
      <c r="K67" s="7" t="s">
        <v>195</v>
      </c>
      <c r="L67" s="7" t="s">
        <v>195</v>
      </c>
      <c r="M67" s="7" t="s">
        <v>29</v>
      </c>
      <c r="N67" s="7" t="s">
        <v>29</v>
      </c>
      <c r="O67" s="7" t="s">
        <v>29</v>
      </c>
      <c r="P67" s="7" t="s">
        <v>29</v>
      </c>
      <c r="Q67" s="7" t="s">
        <v>29</v>
      </c>
      <c r="R67" s="7" t="s">
        <v>29</v>
      </c>
      <c r="S67" s="7" t="s">
        <v>29</v>
      </c>
    </row>
    <row r="68" spans="2:19">
      <c r="B68" s="7" t="s">
        <v>195</v>
      </c>
      <c r="C68" s="8" t="s">
        <v>195</v>
      </c>
      <c r="D68" s="5" t="str">
        <f>LRTRIM(CONCATENATE(IF(SUMPRODUCT(-- ISNUMBER(SEARCH({"Auto Number"}, $B68))) &gt; 0, $B68, IF(SUMPRODUCT(-- ISNUMBER(SEARCH({"Lookup","Master-Detail"}, $B68))) &gt; 0,$B68 &amp; "(" &amp; $E68 &amp; ")",IF(SUMPRODUCT(-- ISNUMBER(SEARCH({"Formula","Roll-Up Summary"}, $B68))) &gt; 0,$B68 &amp; " (" &amp; $E68 &amp; ")",IF(SUMPRODUCT(-- ISNUMBER(SEARCH({"Content","Currency","Number","Percent","Text","URL"}, $B68))) &gt; 0,$B68 &amp; "(" &amp; $C68 &amp; ")",$B68)))), "  ", TRIM(IF($S68 = "YES", "(External ID)", "") &amp; " " &amp; IF(SUMPRODUCT(-- ISNUMBER(SEARCH({"Unique","Unique Case Insensitive"}, $R68))) &gt; 0, "(" &amp; $R68 &amp; ")", ""))))</f>
        <v>na</v>
      </c>
      <c r="E68" s="7" t="s">
        <v>195</v>
      </c>
      <c r="F68" s="7" t="s">
        <v>195</v>
      </c>
      <c r="G68" s="7" t="s">
        <v>195</v>
      </c>
      <c r="H68" s="7" t="s">
        <v>195</v>
      </c>
      <c r="I68" s="7" t="s">
        <v>195</v>
      </c>
      <c r="J68" s="7" t="s">
        <v>195</v>
      </c>
      <c r="K68" s="7" t="s">
        <v>195</v>
      </c>
      <c r="L68" s="7" t="s">
        <v>195</v>
      </c>
      <c r="M68" s="7" t="s">
        <v>29</v>
      </c>
      <c r="N68" s="7" t="s">
        <v>29</v>
      </c>
      <c r="O68" s="7" t="s">
        <v>29</v>
      </c>
      <c r="P68" s="7" t="s">
        <v>29</v>
      </c>
      <c r="Q68" s="7" t="s">
        <v>29</v>
      </c>
      <c r="R68" s="7" t="s">
        <v>29</v>
      </c>
      <c r="S68" s="7" t="s">
        <v>29</v>
      </c>
    </row>
    <row r="69" spans="2:19">
      <c r="B69" s="7" t="s">
        <v>195</v>
      </c>
      <c r="C69" s="8" t="s">
        <v>195</v>
      </c>
      <c r="D69" s="5" t="str">
        <f>LRTRIM(CONCATENATE(IF(SUMPRODUCT(-- ISNUMBER(SEARCH({"Auto Number"}, $B69))) &gt; 0, $B69, IF(SUMPRODUCT(-- ISNUMBER(SEARCH({"Lookup","Master-Detail"}, $B69))) &gt; 0,$B69 &amp; "(" &amp; $E69 &amp; ")",IF(SUMPRODUCT(-- ISNUMBER(SEARCH({"Formula","Roll-Up Summary"}, $B69))) &gt; 0,$B69 &amp; " (" &amp; $E69 &amp; ")",IF(SUMPRODUCT(-- ISNUMBER(SEARCH({"Content","Currency","Number","Percent","Text","URL"}, $B69))) &gt; 0,$B69 &amp; "(" &amp; $C69 &amp; ")",$B69)))), "  ", TRIM(IF($S69 = "YES", "(External ID)", "") &amp; " " &amp; IF(SUMPRODUCT(-- ISNUMBER(SEARCH({"Unique","Unique Case Insensitive"}, $R69))) &gt; 0, "(" &amp; $R69 &amp; ")", ""))))</f>
        <v>na</v>
      </c>
      <c r="E69" s="7" t="s">
        <v>195</v>
      </c>
      <c r="F69" s="7" t="s">
        <v>195</v>
      </c>
      <c r="G69" s="7" t="s">
        <v>195</v>
      </c>
      <c r="H69" s="7" t="s">
        <v>195</v>
      </c>
      <c r="I69" s="7" t="s">
        <v>195</v>
      </c>
      <c r="J69" s="7" t="s">
        <v>195</v>
      </c>
      <c r="K69" s="7" t="s">
        <v>195</v>
      </c>
      <c r="L69" s="7" t="s">
        <v>195</v>
      </c>
      <c r="M69" s="7" t="s">
        <v>29</v>
      </c>
      <c r="N69" s="7" t="s">
        <v>29</v>
      </c>
      <c r="O69" s="7" t="s">
        <v>29</v>
      </c>
      <c r="P69" s="7" t="s">
        <v>29</v>
      </c>
      <c r="Q69" s="7" t="s">
        <v>29</v>
      </c>
      <c r="R69" s="7" t="s">
        <v>29</v>
      </c>
      <c r="S69" s="7" t="s">
        <v>29</v>
      </c>
    </row>
    <row r="70" spans="2:19">
      <c r="B70" s="7" t="s">
        <v>195</v>
      </c>
      <c r="C70" s="8" t="s">
        <v>195</v>
      </c>
      <c r="D70" s="5" t="str">
        <f>LRTRIM(CONCATENATE(IF(SUMPRODUCT(-- ISNUMBER(SEARCH({"Auto Number"}, $B70))) &gt; 0, $B70, IF(SUMPRODUCT(-- ISNUMBER(SEARCH({"Lookup","Master-Detail"}, $B70))) &gt; 0,$B70 &amp; "(" &amp; $E70 &amp; ")",IF(SUMPRODUCT(-- ISNUMBER(SEARCH({"Formula","Roll-Up Summary"}, $B70))) &gt; 0,$B70 &amp; " (" &amp; $E70 &amp; ")",IF(SUMPRODUCT(-- ISNUMBER(SEARCH({"Content","Currency","Number","Percent","Text","URL"}, $B70))) &gt; 0,$B70 &amp; "(" &amp; $C70 &amp; ")",$B70)))), "  ", TRIM(IF($S70 = "YES", "(External ID)", "") &amp; " " &amp; IF(SUMPRODUCT(-- ISNUMBER(SEARCH({"Unique","Unique Case Insensitive"}, $R70))) &gt; 0, "(" &amp; $R70 &amp; ")", ""))))</f>
        <v>na</v>
      </c>
      <c r="E70" s="7" t="s">
        <v>195</v>
      </c>
      <c r="F70" s="7" t="s">
        <v>195</v>
      </c>
      <c r="G70" s="7" t="s">
        <v>195</v>
      </c>
      <c r="H70" s="7" t="s">
        <v>195</v>
      </c>
      <c r="I70" s="7" t="s">
        <v>195</v>
      </c>
      <c r="J70" s="7" t="s">
        <v>195</v>
      </c>
      <c r="K70" s="7" t="s">
        <v>195</v>
      </c>
      <c r="L70" s="7" t="s">
        <v>195</v>
      </c>
      <c r="M70" s="7" t="s">
        <v>29</v>
      </c>
      <c r="N70" s="7" t="s">
        <v>29</v>
      </c>
      <c r="O70" s="7" t="s">
        <v>29</v>
      </c>
      <c r="P70" s="7" t="s">
        <v>29</v>
      </c>
      <c r="Q70" s="7" t="s">
        <v>29</v>
      </c>
      <c r="R70" s="7" t="s">
        <v>29</v>
      </c>
      <c r="S70" s="7" t="s">
        <v>29</v>
      </c>
    </row>
    <row r="71" spans="2:19">
      <c r="B71" s="7" t="s">
        <v>195</v>
      </c>
      <c r="C71" s="8" t="s">
        <v>195</v>
      </c>
      <c r="D71" s="5" t="str">
        <f>LRTRIM(CONCATENATE(IF(SUMPRODUCT(-- ISNUMBER(SEARCH({"Auto Number"}, $B71))) &gt; 0, $B71, IF(SUMPRODUCT(-- ISNUMBER(SEARCH({"Lookup","Master-Detail"}, $B71))) &gt; 0,$B71 &amp; "(" &amp; $E71 &amp; ")",IF(SUMPRODUCT(-- ISNUMBER(SEARCH({"Formula","Roll-Up Summary"}, $B71))) &gt; 0,$B71 &amp; " (" &amp; $E71 &amp; ")",IF(SUMPRODUCT(-- ISNUMBER(SEARCH({"Content","Currency","Number","Percent","Text","URL"}, $B71))) &gt; 0,$B71 &amp; "(" &amp; $C71 &amp; ")",$B71)))), "  ", TRIM(IF($S71 = "YES", "(External ID)", "") &amp; " " &amp; IF(SUMPRODUCT(-- ISNUMBER(SEARCH({"Unique","Unique Case Insensitive"}, $R71))) &gt; 0, "(" &amp; $R71 &amp; ")", ""))))</f>
        <v>na</v>
      </c>
      <c r="E71" s="7" t="s">
        <v>195</v>
      </c>
      <c r="F71" s="7" t="s">
        <v>195</v>
      </c>
      <c r="G71" s="7" t="s">
        <v>195</v>
      </c>
      <c r="H71" s="7" t="s">
        <v>195</v>
      </c>
      <c r="I71" s="7" t="s">
        <v>195</v>
      </c>
      <c r="J71" s="7" t="s">
        <v>195</v>
      </c>
      <c r="K71" s="7" t="s">
        <v>195</v>
      </c>
      <c r="L71" s="7" t="s">
        <v>195</v>
      </c>
      <c r="M71" s="7" t="s">
        <v>29</v>
      </c>
      <c r="N71" s="7" t="s">
        <v>29</v>
      </c>
      <c r="O71" s="7" t="s">
        <v>29</v>
      </c>
      <c r="P71" s="7" t="s">
        <v>29</v>
      </c>
      <c r="Q71" s="7" t="s">
        <v>29</v>
      </c>
      <c r="R71" s="7" t="s">
        <v>29</v>
      </c>
      <c r="S71" s="7" t="s">
        <v>29</v>
      </c>
    </row>
    <row r="72" spans="2:19">
      <c r="B72" s="7" t="s">
        <v>195</v>
      </c>
      <c r="C72" s="8" t="s">
        <v>195</v>
      </c>
      <c r="D72" s="5" t="str">
        <f>LRTRIM(CONCATENATE(IF(SUMPRODUCT(-- ISNUMBER(SEARCH({"Auto Number"}, $B72))) &gt; 0, $B72, IF(SUMPRODUCT(-- ISNUMBER(SEARCH({"Lookup","Master-Detail"}, $B72))) &gt; 0,$B72 &amp; "(" &amp; $E72 &amp; ")",IF(SUMPRODUCT(-- ISNUMBER(SEARCH({"Formula","Roll-Up Summary"}, $B72))) &gt; 0,$B72 &amp; " (" &amp; $E72 &amp; ")",IF(SUMPRODUCT(-- ISNUMBER(SEARCH({"Content","Currency","Number","Percent","Text","URL"}, $B72))) &gt; 0,$B72 &amp; "(" &amp; $C72 &amp; ")",$B72)))), "  ", TRIM(IF($S72 = "YES", "(External ID)", "") &amp; " " &amp; IF(SUMPRODUCT(-- ISNUMBER(SEARCH({"Unique","Unique Case Insensitive"}, $R72))) &gt; 0, "(" &amp; $R72 &amp; ")", ""))))</f>
        <v>na</v>
      </c>
      <c r="E72" s="7" t="s">
        <v>195</v>
      </c>
      <c r="F72" s="7" t="s">
        <v>195</v>
      </c>
      <c r="G72" s="7" t="s">
        <v>195</v>
      </c>
      <c r="H72" s="7" t="s">
        <v>195</v>
      </c>
      <c r="I72" s="7" t="s">
        <v>195</v>
      </c>
      <c r="J72" s="7" t="s">
        <v>195</v>
      </c>
      <c r="K72" s="7" t="s">
        <v>195</v>
      </c>
      <c r="L72" s="7" t="s">
        <v>195</v>
      </c>
      <c r="M72" s="7" t="s">
        <v>29</v>
      </c>
      <c r="N72" s="7" t="s">
        <v>29</v>
      </c>
      <c r="O72" s="7" t="s">
        <v>29</v>
      </c>
      <c r="P72" s="7" t="s">
        <v>29</v>
      </c>
      <c r="Q72" s="7" t="s">
        <v>29</v>
      </c>
      <c r="R72" s="7" t="s">
        <v>29</v>
      </c>
      <c r="S72" s="7" t="s">
        <v>29</v>
      </c>
    </row>
    <row r="73" spans="2:19">
      <c r="B73" s="7" t="s">
        <v>195</v>
      </c>
      <c r="C73" s="8" t="s">
        <v>195</v>
      </c>
      <c r="D73" s="5" t="str">
        <f>LRTRIM(CONCATENATE(IF(SUMPRODUCT(-- ISNUMBER(SEARCH({"Auto Number"}, $B73))) &gt; 0, $B73, IF(SUMPRODUCT(-- ISNUMBER(SEARCH({"Lookup","Master-Detail"}, $B73))) &gt; 0,$B73 &amp; "(" &amp; $E73 &amp; ")",IF(SUMPRODUCT(-- ISNUMBER(SEARCH({"Formula","Roll-Up Summary"}, $B73))) &gt; 0,$B73 &amp; " (" &amp; $E73 &amp; ")",IF(SUMPRODUCT(-- ISNUMBER(SEARCH({"Content","Currency","Number","Percent","Text","URL"}, $B73))) &gt; 0,$B73 &amp; "(" &amp; $C73 &amp; ")",$B73)))), "  ", TRIM(IF($S73 = "YES", "(External ID)", "") &amp; " " &amp; IF(SUMPRODUCT(-- ISNUMBER(SEARCH({"Unique","Unique Case Insensitive"}, $R73))) &gt; 0, "(" &amp; $R73 &amp; ")", ""))))</f>
        <v>na</v>
      </c>
      <c r="E73" s="7" t="s">
        <v>195</v>
      </c>
      <c r="F73" s="7" t="s">
        <v>195</v>
      </c>
      <c r="G73" s="7" t="s">
        <v>195</v>
      </c>
      <c r="H73" s="7" t="s">
        <v>195</v>
      </c>
      <c r="I73" s="7" t="s">
        <v>195</v>
      </c>
      <c r="J73" s="7" t="s">
        <v>195</v>
      </c>
      <c r="K73" s="7" t="s">
        <v>195</v>
      </c>
      <c r="L73" s="7" t="s">
        <v>195</v>
      </c>
      <c r="M73" s="7" t="s">
        <v>29</v>
      </c>
      <c r="N73" s="7" t="s">
        <v>29</v>
      </c>
      <c r="O73" s="7" t="s">
        <v>29</v>
      </c>
      <c r="P73" s="7" t="s">
        <v>29</v>
      </c>
      <c r="Q73" s="7" t="s">
        <v>29</v>
      </c>
      <c r="R73" s="7" t="s">
        <v>29</v>
      </c>
      <c r="S73" s="7" t="s">
        <v>29</v>
      </c>
    </row>
    <row r="74" spans="2:19">
      <c r="B74" s="7" t="s">
        <v>195</v>
      </c>
      <c r="C74" s="8" t="s">
        <v>195</v>
      </c>
      <c r="D74" s="5" t="str">
        <f>LRTRIM(CONCATENATE(IF(SUMPRODUCT(-- ISNUMBER(SEARCH({"Auto Number"}, $B74))) &gt; 0, $B74, IF(SUMPRODUCT(-- ISNUMBER(SEARCH({"Lookup","Master-Detail"}, $B74))) &gt; 0,$B74 &amp; "(" &amp; $E74 &amp; ")",IF(SUMPRODUCT(-- ISNUMBER(SEARCH({"Formula","Roll-Up Summary"}, $B74))) &gt; 0,$B74 &amp; " (" &amp; $E74 &amp; ")",IF(SUMPRODUCT(-- ISNUMBER(SEARCH({"Content","Currency","Number","Percent","Text","URL"}, $B74))) &gt; 0,$B74 &amp; "(" &amp; $C74 &amp; ")",$B74)))), "  ", TRIM(IF($S74 = "YES", "(External ID)", "") &amp; " " &amp; IF(SUMPRODUCT(-- ISNUMBER(SEARCH({"Unique","Unique Case Insensitive"}, $R74))) &gt; 0, "(" &amp; $R74 &amp; ")", ""))))</f>
        <v>na</v>
      </c>
      <c r="E74" s="7" t="s">
        <v>195</v>
      </c>
      <c r="F74" s="7" t="s">
        <v>195</v>
      </c>
      <c r="G74" s="7" t="s">
        <v>195</v>
      </c>
      <c r="H74" s="7" t="s">
        <v>195</v>
      </c>
      <c r="I74" s="7" t="s">
        <v>195</v>
      </c>
      <c r="J74" s="7" t="s">
        <v>195</v>
      </c>
      <c r="K74" s="7" t="s">
        <v>195</v>
      </c>
      <c r="L74" s="7" t="s">
        <v>195</v>
      </c>
      <c r="M74" s="7" t="s">
        <v>29</v>
      </c>
      <c r="N74" s="7" t="s">
        <v>29</v>
      </c>
      <c r="O74" s="7" t="s">
        <v>29</v>
      </c>
      <c r="P74" s="7" t="s">
        <v>29</v>
      </c>
      <c r="Q74" s="7" t="s">
        <v>29</v>
      </c>
      <c r="R74" s="7" t="s">
        <v>29</v>
      </c>
      <c r="S74" s="7" t="s">
        <v>29</v>
      </c>
    </row>
    <row r="75" spans="2:19">
      <c r="B75" s="7" t="s">
        <v>195</v>
      </c>
      <c r="C75" s="8" t="s">
        <v>195</v>
      </c>
      <c r="D75" s="5" t="str">
        <f>LRTRIM(CONCATENATE(IF(SUMPRODUCT(-- ISNUMBER(SEARCH({"Auto Number"}, $B75))) &gt; 0, $B75, IF(SUMPRODUCT(-- ISNUMBER(SEARCH({"Lookup","Master-Detail"}, $B75))) &gt; 0,$B75 &amp; "(" &amp; $E75 &amp; ")",IF(SUMPRODUCT(-- ISNUMBER(SEARCH({"Formula","Roll-Up Summary"}, $B75))) &gt; 0,$B75 &amp; " (" &amp; $E75 &amp; ")",IF(SUMPRODUCT(-- ISNUMBER(SEARCH({"Content","Currency","Number","Percent","Text","URL"}, $B75))) &gt; 0,$B75 &amp; "(" &amp; $C75 &amp; ")",$B75)))), "  ", TRIM(IF($S75 = "YES", "(External ID)", "") &amp; " " &amp; IF(SUMPRODUCT(-- ISNUMBER(SEARCH({"Unique","Unique Case Insensitive"}, $R75))) &gt; 0, "(" &amp; $R75 &amp; ")", ""))))</f>
        <v>na</v>
      </c>
      <c r="E75" s="7" t="s">
        <v>195</v>
      </c>
      <c r="F75" s="7" t="s">
        <v>195</v>
      </c>
      <c r="G75" s="7" t="s">
        <v>195</v>
      </c>
      <c r="H75" s="7" t="s">
        <v>195</v>
      </c>
      <c r="I75" s="7" t="s">
        <v>195</v>
      </c>
      <c r="J75" s="7" t="s">
        <v>195</v>
      </c>
      <c r="K75" s="7" t="s">
        <v>195</v>
      </c>
      <c r="L75" s="7" t="s">
        <v>195</v>
      </c>
      <c r="M75" s="7" t="s">
        <v>29</v>
      </c>
      <c r="N75" s="7" t="s">
        <v>29</v>
      </c>
      <c r="O75" s="7" t="s">
        <v>29</v>
      </c>
      <c r="P75" s="7" t="s">
        <v>29</v>
      </c>
      <c r="Q75" s="7" t="s">
        <v>29</v>
      </c>
      <c r="R75" s="7" t="s">
        <v>29</v>
      </c>
      <c r="S75" s="7" t="s">
        <v>29</v>
      </c>
    </row>
    <row r="76" spans="2:19">
      <c r="B76" s="7" t="s">
        <v>195</v>
      </c>
      <c r="C76" s="8" t="s">
        <v>195</v>
      </c>
      <c r="D76" s="5" t="str">
        <f>LRTRIM(CONCATENATE(IF(SUMPRODUCT(-- ISNUMBER(SEARCH({"Auto Number"}, $B76))) &gt; 0, $B76, IF(SUMPRODUCT(-- ISNUMBER(SEARCH({"Lookup","Master-Detail"}, $B76))) &gt; 0,$B76 &amp; "(" &amp; $E76 &amp; ")",IF(SUMPRODUCT(-- ISNUMBER(SEARCH({"Formula","Roll-Up Summary"}, $B76))) &gt; 0,$B76 &amp; " (" &amp; $E76 &amp; ")",IF(SUMPRODUCT(-- ISNUMBER(SEARCH({"Content","Currency","Number","Percent","Text","URL"}, $B76))) &gt; 0,$B76 &amp; "(" &amp; $C76 &amp; ")",$B76)))), "  ", TRIM(IF($S76 = "YES", "(External ID)", "") &amp; " " &amp; IF(SUMPRODUCT(-- ISNUMBER(SEARCH({"Unique","Unique Case Insensitive"}, $R76))) &gt; 0, "(" &amp; $R76 &amp; ")", ""))))</f>
        <v>na</v>
      </c>
      <c r="E76" s="7" t="s">
        <v>195</v>
      </c>
      <c r="F76" s="7" t="s">
        <v>195</v>
      </c>
      <c r="G76" s="7" t="s">
        <v>195</v>
      </c>
      <c r="H76" s="7" t="s">
        <v>195</v>
      </c>
      <c r="I76" s="7" t="s">
        <v>195</v>
      </c>
      <c r="J76" s="7" t="s">
        <v>195</v>
      </c>
      <c r="K76" s="7" t="s">
        <v>195</v>
      </c>
      <c r="L76" s="7" t="s">
        <v>195</v>
      </c>
      <c r="M76" s="7" t="s">
        <v>29</v>
      </c>
      <c r="N76" s="7" t="s">
        <v>29</v>
      </c>
      <c r="O76" s="7" t="s">
        <v>29</v>
      </c>
      <c r="P76" s="7" t="s">
        <v>29</v>
      </c>
      <c r="Q76" s="7" t="s">
        <v>29</v>
      </c>
      <c r="R76" s="7" t="s">
        <v>29</v>
      </c>
      <c r="S76" s="7" t="s">
        <v>29</v>
      </c>
    </row>
    <row r="77" spans="2:19">
      <c r="B77" s="7" t="s">
        <v>195</v>
      </c>
      <c r="C77" s="8" t="s">
        <v>195</v>
      </c>
      <c r="D77" s="5" t="str">
        <f>LRTRIM(CONCATENATE(IF(SUMPRODUCT(-- ISNUMBER(SEARCH({"Auto Number"}, $B77))) &gt; 0, $B77, IF(SUMPRODUCT(-- ISNUMBER(SEARCH({"Lookup","Master-Detail"}, $B77))) &gt; 0,$B77 &amp; "(" &amp; $E77 &amp; ")",IF(SUMPRODUCT(-- ISNUMBER(SEARCH({"Formula","Roll-Up Summary"}, $B77))) &gt; 0,$B77 &amp; " (" &amp; $E77 &amp; ")",IF(SUMPRODUCT(-- ISNUMBER(SEARCH({"Content","Currency","Number","Percent","Text","URL"}, $B77))) &gt; 0,$B77 &amp; "(" &amp; $C77 &amp; ")",$B77)))), "  ", TRIM(IF($S77 = "YES", "(External ID)", "") &amp; " " &amp; IF(SUMPRODUCT(-- ISNUMBER(SEARCH({"Unique","Unique Case Insensitive"}, $R77))) &gt; 0, "(" &amp; $R77 &amp; ")", ""))))</f>
        <v>na</v>
      </c>
      <c r="E77" s="7" t="s">
        <v>195</v>
      </c>
      <c r="F77" s="7" t="s">
        <v>195</v>
      </c>
      <c r="G77" s="7" t="s">
        <v>195</v>
      </c>
      <c r="H77" s="7" t="s">
        <v>195</v>
      </c>
      <c r="I77" s="7" t="s">
        <v>195</v>
      </c>
      <c r="J77" s="7" t="s">
        <v>195</v>
      </c>
      <c r="K77" s="7" t="s">
        <v>195</v>
      </c>
      <c r="L77" s="7" t="s">
        <v>195</v>
      </c>
      <c r="M77" s="7" t="s">
        <v>29</v>
      </c>
      <c r="N77" s="7" t="s">
        <v>29</v>
      </c>
      <c r="O77" s="7" t="s">
        <v>29</v>
      </c>
      <c r="P77" s="7" t="s">
        <v>29</v>
      </c>
      <c r="Q77" s="7" t="s">
        <v>29</v>
      </c>
      <c r="R77" s="7" t="s">
        <v>29</v>
      </c>
      <c r="S77" s="7" t="s">
        <v>29</v>
      </c>
    </row>
    <row r="78" spans="2:19">
      <c r="B78" s="7" t="s">
        <v>195</v>
      </c>
      <c r="C78" s="8" t="s">
        <v>195</v>
      </c>
      <c r="D78" s="5" t="str">
        <f>LRTRIM(CONCATENATE(IF(SUMPRODUCT(-- ISNUMBER(SEARCH({"Auto Number"}, $B78))) &gt; 0, $B78, IF(SUMPRODUCT(-- ISNUMBER(SEARCH({"Lookup","Master-Detail"}, $B78))) &gt; 0,$B78 &amp; "(" &amp; $E78 &amp; ")",IF(SUMPRODUCT(-- ISNUMBER(SEARCH({"Formula","Roll-Up Summary"}, $B78))) &gt; 0,$B78 &amp; " (" &amp; $E78 &amp; ")",IF(SUMPRODUCT(-- ISNUMBER(SEARCH({"Content","Currency","Number","Percent","Text","URL"}, $B78))) &gt; 0,$B78 &amp; "(" &amp; $C78 &amp; ")",$B78)))), "  ", TRIM(IF($S78 = "YES", "(External ID)", "") &amp; " " &amp; IF(SUMPRODUCT(-- ISNUMBER(SEARCH({"Unique","Unique Case Insensitive"}, $R78))) &gt; 0, "(" &amp; $R78 &amp; ")", ""))))</f>
        <v>na</v>
      </c>
      <c r="E78" s="7" t="s">
        <v>195</v>
      </c>
      <c r="F78" s="7" t="s">
        <v>195</v>
      </c>
      <c r="G78" s="7" t="s">
        <v>195</v>
      </c>
      <c r="H78" s="7" t="s">
        <v>195</v>
      </c>
      <c r="I78" s="7" t="s">
        <v>195</v>
      </c>
      <c r="J78" s="7" t="s">
        <v>195</v>
      </c>
      <c r="K78" s="7" t="s">
        <v>195</v>
      </c>
      <c r="L78" s="7" t="s">
        <v>195</v>
      </c>
      <c r="M78" s="7" t="s">
        <v>29</v>
      </c>
      <c r="N78" s="7" t="s">
        <v>29</v>
      </c>
      <c r="O78" s="7" t="s">
        <v>29</v>
      </c>
      <c r="P78" s="7" t="s">
        <v>29</v>
      </c>
      <c r="Q78" s="7" t="s">
        <v>29</v>
      </c>
      <c r="R78" s="7" t="s">
        <v>29</v>
      </c>
      <c r="S78" s="7" t="s">
        <v>29</v>
      </c>
    </row>
    <row r="79" spans="2:19">
      <c r="B79" s="7" t="s">
        <v>195</v>
      </c>
      <c r="C79" s="8" t="s">
        <v>195</v>
      </c>
      <c r="D79" s="5" t="str">
        <f>LRTRIM(CONCATENATE(IF(SUMPRODUCT(-- ISNUMBER(SEARCH({"Auto Number"}, $B79))) &gt; 0, $B79, IF(SUMPRODUCT(-- ISNUMBER(SEARCH({"Lookup","Master-Detail"}, $B79))) &gt; 0,$B79 &amp; "(" &amp; $E79 &amp; ")",IF(SUMPRODUCT(-- ISNUMBER(SEARCH({"Formula","Roll-Up Summary"}, $B79))) &gt; 0,$B79 &amp; " (" &amp; $E79 &amp; ")",IF(SUMPRODUCT(-- ISNUMBER(SEARCH({"Content","Currency","Number","Percent","Text","URL"}, $B79))) &gt; 0,$B79 &amp; "(" &amp; $C79 &amp; ")",$B79)))), "  ", TRIM(IF($S79 = "YES", "(External ID)", "") &amp; " " &amp; IF(SUMPRODUCT(-- ISNUMBER(SEARCH({"Unique","Unique Case Insensitive"}, $R79))) &gt; 0, "(" &amp; $R79 &amp; ")", ""))))</f>
        <v>na</v>
      </c>
      <c r="E79" s="7" t="s">
        <v>195</v>
      </c>
      <c r="F79" s="7" t="s">
        <v>195</v>
      </c>
      <c r="G79" s="7" t="s">
        <v>195</v>
      </c>
      <c r="H79" s="7" t="s">
        <v>195</v>
      </c>
      <c r="I79" s="7" t="s">
        <v>195</v>
      </c>
      <c r="J79" s="7" t="s">
        <v>195</v>
      </c>
      <c r="K79" s="7" t="s">
        <v>195</v>
      </c>
      <c r="L79" s="7" t="s">
        <v>195</v>
      </c>
      <c r="M79" s="7" t="s">
        <v>29</v>
      </c>
      <c r="N79" s="7" t="s">
        <v>29</v>
      </c>
      <c r="O79" s="7" t="s">
        <v>29</v>
      </c>
      <c r="P79" s="7" t="s">
        <v>29</v>
      </c>
      <c r="Q79" s="7" t="s">
        <v>29</v>
      </c>
      <c r="R79" s="7" t="s">
        <v>29</v>
      </c>
      <c r="S79" s="7" t="s">
        <v>29</v>
      </c>
    </row>
    <row r="80" spans="2:19">
      <c r="B80" s="7" t="s">
        <v>195</v>
      </c>
      <c r="C80" s="8" t="s">
        <v>195</v>
      </c>
      <c r="D80" s="5" t="str">
        <f>LRTRIM(CONCATENATE(IF(SUMPRODUCT(-- ISNUMBER(SEARCH({"Auto Number"}, $B80))) &gt; 0, $B80, IF(SUMPRODUCT(-- ISNUMBER(SEARCH({"Lookup","Master-Detail"}, $B80))) &gt; 0,$B80 &amp; "(" &amp; $E80 &amp; ")",IF(SUMPRODUCT(-- ISNUMBER(SEARCH({"Formula","Roll-Up Summary"}, $B80))) &gt; 0,$B80 &amp; " (" &amp; $E80 &amp; ")",IF(SUMPRODUCT(-- ISNUMBER(SEARCH({"Content","Currency","Number","Percent","Text","URL"}, $B80))) &gt; 0,$B80 &amp; "(" &amp; $C80 &amp; ")",$B80)))), "  ", TRIM(IF($S80 = "YES", "(External ID)", "") &amp; " " &amp; IF(SUMPRODUCT(-- ISNUMBER(SEARCH({"Unique","Unique Case Insensitive"}, $R80))) &gt; 0, "(" &amp; $R80 &amp; ")", ""))))</f>
        <v>na</v>
      </c>
      <c r="E80" s="7" t="s">
        <v>195</v>
      </c>
      <c r="F80" s="7" t="s">
        <v>195</v>
      </c>
      <c r="G80" s="7" t="s">
        <v>195</v>
      </c>
      <c r="H80" s="7" t="s">
        <v>195</v>
      </c>
      <c r="I80" s="7" t="s">
        <v>195</v>
      </c>
      <c r="J80" s="7" t="s">
        <v>195</v>
      </c>
      <c r="K80" s="7" t="s">
        <v>195</v>
      </c>
      <c r="L80" s="7" t="s">
        <v>195</v>
      </c>
      <c r="M80" s="7" t="s">
        <v>29</v>
      </c>
      <c r="N80" s="7" t="s">
        <v>29</v>
      </c>
      <c r="O80" s="7" t="s">
        <v>29</v>
      </c>
      <c r="P80" s="7" t="s">
        <v>29</v>
      </c>
      <c r="Q80" s="7" t="s">
        <v>29</v>
      </c>
      <c r="R80" s="7" t="s">
        <v>29</v>
      </c>
      <c r="S80" s="7" t="s">
        <v>29</v>
      </c>
    </row>
    <row r="81" spans="2:19">
      <c r="B81" s="7" t="s">
        <v>195</v>
      </c>
      <c r="C81" s="8" t="s">
        <v>195</v>
      </c>
      <c r="D81" s="5" t="str">
        <f>LRTRIM(CONCATENATE(IF(SUMPRODUCT(-- ISNUMBER(SEARCH({"Auto Number"}, $B81))) &gt; 0, $B81, IF(SUMPRODUCT(-- ISNUMBER(SEARCH({"Lookup","Master-Detail"}, $B81))) &gt; 0,$B81 &amp; "(" &amp; $E81 &amp; ")",IF(SUMPRODUCT(-- ISNUMBER(SEARCH({"Formula","Roll-Up Summary"}, $B81))) &gt; 0,$B81 &amp; " (" &amp; $E81 &amp; ")",IF(SUMPRODUCT(-- ISNUMBER(SEARCH({"Content","Currency","Number","Percent","Text","URL"}, $B81))) &gt; 0,$B81 &amp; "(" &amp; $C81 &amp; ")",$B81)))), "  ", TRIM(IF($S81 = "YES", "(External ID)", "") &amp; " " &amp; IF(SUMPRODUCT(-- ISNUMBER(SEARCH({"Unique","Unique Case Insensitive"}, $R81))) &gt; 0, "(" &amp; $R81 &amp; ")", ""))))</f>
        <v>na</v>
      </c>
      <c r="E81" s="7" t="s">
        <v>195</v>
      </c>
      <c r="F81" s="7" t="s">
        <v>195</v>
      </c>
      <c r="G81" s="7" t="s">
        <v>195</v>
      </c>
      <c r="H81" s="7" t="s">
        <v>195</v>
      </c>
      <c r="I81" s="7" t="s">
        <v>195</v>
      </c>
      <c r="J81" s="7" t="s">
        <v>195</v>
      </c>
      <c r="K81" s="7" t="s">
        <v>195</v>
      </c>
      <c r="L81" s="7" t="s">
        <v>195</v>
      </c>
      <c r="M81" s="7" t="s">
        <v>29</v>
      </c>
      <c r="N81" s="7" t="s">
        <v>29</v>
      </c>
      <c r="O81" s="7" t="s">
        <v>29</v>
      </c>
      <c r="P81" s="7" t="s">
        <v>29</v>
      </c>
      <c r="Q81" s="7" t="s">
        <v>29</v>
      </c>
      <c r="R81" s="7" t="s">
        <v>29</v>
      </c>
      <c r="S81" s="7" t="s">
        <v>29</v>
      </c>
    </row>
    <row r="82" spans="2:19">
      <c r="B82" s="7" t="s">
        <v>195</v>
      </c>
      <c r="C82" s="8" t="s">
        <v>195</v>
      </c>
      <c r="D82" s="5" t="str">
        <f>LRTRIM(CONCATENATE(IF(SUMPRODUCT(-- ISNUMBER(SEARCH({"Auto Number"}, $B82))) &gt; 0, $B82, IF(SUMPRODUCT(-- ISNUMBER(SEARCH({"Lookup","Master-Detail"}, $B82))) &gt; 0,$B82 &amp; "(" &amp; $E82 &amp; ")",IF(SUMPRODUCT(-- ISNUMBER(SEARCH({"Formula","Roll-Up Summary"}, $B82))) &gt; 0,$B82 &amp; " (" &amp; $E82 &amp; ")",IF(SUMPRODUCT(-- ISNUMBER(SEARCH({"Content","Currency","Number","Percent","Text","URL"}, $B82))) &gt; 0,$B82 &amp; "(" &amp; $C82 &amp; ")",$B82)))), "  ", TRIM(IF($S82 = "YES", "(External ID)", "") &amp; " " &amp; IF(SUMPRODUCT(-- ISNUMBER(SEARCH({"Unique","Unique Case Insensitive"}, $R82))) &gt; 0, "(" &amp; $R82 &amp; ")", ""))))</f>
        <v>na</v>
      </c>
      <c r="E82" s="7" t="s">
        <v>195</v>
      </c>
      <c r="F82" s="7" t="s">
        <v>195</v>
      </c>
      <c r="G82" s="7" t="s">
        <v>195</v>
      </c>
      <c r="H82" s="7" t="s">
        <v>195</v>
      </c>
      <c r="I82" s="7" t="s">
        <v>195</v>
      </c>
      <c r="J82" s="7" t="s">
        <v>195</v>
      </c>
      <c r="K82" s="7" t="s">
        <v>195</v>
      </c>
      <c r="L82" s="7" t="s">
        <v>195</v>
      </c>
      <c r="M82" s="7" t="s">
        <v>29</v>
      </c>
      <c r="N82" s="7" t="s">
        <v>29</v>
      </c>
      <c r="O82" s="7" t="s">
        <v>29</v>
      </c>
      <c r="P82" s="7" t="s">
        <v>29</v>
      </c>
      <c r="Q82" s="7" t="s">
        <v>29</v>
      </c>
      <c r="R82" s="7" t="s">
        <v>29</v>
      </c>
      <c r="S82" s="7" t="s">
        <v>29</v>
      </c>
    </row>
    <row r="83" spans="2:19">
      <c r="B83" s="7" t="s">
        <v>195</v>
      </c>
      <c r="C83" s="8" t="s">
        <v>195</v>
      </c>
      <c r="D83" s="5" t="str">
        <f>LRTRIM(CONCATENATE(IF(SUMPRODUCT(-- ISNUMBER(SEARCH({"Auto Number"}, $B83))) &gt; 0, $B83, IF(SUMPRODUCT(-- ISNUMBER(SEARCH({"Lookup","Master-Detail"}, $B83))) &gt; 0,$B83 &amp; "(" &amp; $E83 &amp; ")",IF(SUMPRODUCT(-- ISNUMBER(SEARCH({"Formula","Roll-Up Summary"}, $B83))) &gt; 0,$B83 &amp; " (" &amp; $E83 &amp; ")",IF(SUMPRODUCT(-- ISNUMBER(SEARCH({"Content","Currency","Number","Percent","Text","URL"}, $B83))) &gt; 0,$B83 &amp; "(" &amp; $C83 &amp; ")",$B83)))), "  ", TRIM(IF($S83 = "YES", "(External ID)", "") &amp; " " &amp; IF(SUMPRODUCT(-- ISNUMBER(SEARCH({"Unique","Unique Case Insensitive"}, $R83))) &gt; 0, "(" &amp; $R83 &amp; ")", ""))))</f>
        <v>na</v>
      </c>
      <c r="E83" s="7" t="s">
        <v>195</v>
      </c>
      <c r="F83" s="7" t="s">
        <v>195</v>
      </c>
      <c r="G83" s="7" t="s">
        <v>195</v>
      </c>
      <c r="H83" s="7" t="s">
        <v>195</v>
      </c>
      <c r="I83" s="7" t="s">
        <v>195</v>
      </c>
      <c r="J83" s="7" t="s">
        <v>195</v>
      </c>
      <c r="K83" s="7" t="s">
        <v>195</v>
      </c>
      <c r="L83" s="7" t="s">
        <v>195</v>
      </c>
      <c r="M83" s="7" t="s">
        <v>29</v>
      </c>
      <c r="N83" s="7" t="s">
        <v>29</v>
      </c>
      <c r="O83" s="7" t="s">
        <v>29</v>
      </c>
      <c r="P83" s="7" t="s">
        <v>29</v>
      </c>
      <c r="Q83" s="7" t="s">
        <v>29</v>
      </c>
      <c r="R83" s="7" t="s">
        <v>29</v>
      </c>
      <c r="S83" s="7" t="s">
        <v>29</v>
      </c>
    </row>
    <row r="84" spans="2:19">
      <c r="B84" s="7" t="s">
        <v>195</v>
      </c>
      <c r="C84" s="8" t="s">
        <v>195</v>
      </c>
      <c r="D84" s="5" t="str">
        <f>LRTRIM(CONCATENATE(IF(SUMPRODUCT(-- ISNUMBER(SEARCH({"Auto Number"}, $B84))) &gt; 0, $B84, IF(SUMPRODUCT(-- ISNUMBER(SEARCH({"Lookup","Master-Detail"}, $B84))) &gt; 0,$B84 &amp; "(" &amp; $E84 &amp; ")",IF(SUMPRODUCT(-- ISNUMBER(SEARCH({"Formula","Roll-Up Summary"}, $B84))) &gt; 0,$B84 &amp; " (" &amp; $E84 &amp; ")",IF(SUMPRODUCT(-- ISNUMBER(SEARCH({"Content","Currency","Number","Percent","Text","URL"}, $B84))) &gt; 0,$B84 &amp; "(" &amp; $C84 &amp; ")",$B84)))), "  ", TRIM(IF($S84 = "YES", "(External ID)", "") &amp; " " &amp; IF(SUMPRODUCT(-- ISNUMBER(SEARCH({"Unique","Unique Case Insensitive"}, $R84))) &gt; 0, "(" &amp; $R84 &amp; ")", ""))))</f>
        <v>na</v>
      </c>
      <c r="E84" s="7" t="s">
        <v>195</v>
      </c>
      <c r="F84" s="7" t="s">
        <v>195</v>
      </c>
      <c r="G84" s="7" t="s">
        <v>195</v>
      </c>
      <c r="H84" s="7" t="s">
        <v>195</v>
      </c>
      <c r="I84" s="7" t="s">
        <v>195</v>
      </c>
      <c r="J84" s="7" t="s">
        <v>195</v>
      </c>
      <c r="K84" s="7" t="s">
        <v>195</v>
      </c>
      <c r="L84" s="7" t="s">
        <v>195</v>
      </c>
      <c r="M84" s="7" t="s">
        <v>29</v>
      </c>
      <c r="N84" s="7" t="s">
        <v>29</v>
      </c>
      <c r="O84" s="7" t="s">
        <v>29</v>
      </c>
      <c r="P84" s="7" t="s">
        <v>29</v>
      </c>
      <c r="Q84" s="7" t="s">
        <v>29</v>
      </c>
      <c r="R84" s="7" t="s">
        <v>29</v>
      </c>
      <c r="S84" s="7" t="s">
        <v>29</v>
      </c>
    </row>
    <row r="85" spans="2:19">
      <c r="B85" s="7" t="s">
        <v>195</v>
      </c>
      <c r="C85" s="8" t="s">
        <v>195</v>
      </c>
      <c r="D85" s="5" t="str">
        <f>LRTRIM(CONCATENATE(IF(SUMPRODUCT(-- ISNUMBER(SEARCH({"Auto Number"}, $B85))) &gt; 0, $B85, IF(SUMPRODUCT(-- ISNUMBER(SEARCH({"Lookup","Master-Detail"}, $B85))) &gt; 0,$B85 &amp; "(" &amp; $E85 &amp; ")",IF(SUMPRODUCT(-- ISNUMBER(SEARCH({"Formula","Roll-Up Summary"}, $B85))) &gt; 0,$B85 &amp; " (" &amp; $E85 &amp; ")",IF(SUMPRODUCT(-- ISNUMBER(SEARCH({"Content","Currency","Number","Percent","Text","URL"}, $B85))) &gt; 0,$B85 &amp; "(" &amp; $C85 &amp; ")",$B85)))), "  ", TRIM(IF($S85 = "YES", "(External ID)", "") &amp; " " &amp; IF(SUMPRODUCT(-- ISNUMBER(SEARCH({"Unique","Unique Case Insensitive"}, $R85))) &gt; 0, "(" &amp; $R85 &amp; ")", ""))))</f>
        <v>na</v>
      </c>
      <c r="E85" s="7" t="s">
        <v>195</v>
      </c>
      <c r="F85" s="7" t="s">
        <v>195</v>
      </c>
      <c r="G85" s="7" t="s">
        <v>195</v>
      </c>
      <c r="H85" s="7" t="s">
        <v>195</v>
      </c>
      <c r="I85" s="7" t="s">
        <v>195</v>
      </c>
      <c r="J85" s="7" t="s">
        <v>195</v>
      </c>
      <c r="K85" s="7" t="s">
        <v>195</v>
      </c>
      <c r="L85" s="7" t="s">
        <v>195</v>
      </c>
      <c r="M85" s="7" t="s">
        <v>29</v>
      </c>
      <c r="N85" s="7" t="s">
        <v>29</v>
      </c>
      <c r="O85" s="7" t="s">
        <v>29</v>
      </c>
      <c r="P85" s="7" t="s">
        <v>29</v>
      </c>
      <c r="Q85" s="7" t="s">
        <v>29</v>
      </c>
      <c r="R85" s="7" t="s">
        <v>29</v>
      </c>
      <c r="S85" s="7" t="s">
        <v>29</v>
      </c>
    </row>
    <row r="86" spans="2:19">
      <c r="B86" s="7" t="s">
        <v>195</v>
      </c>
      <c r="C86" s="8" t="s">
        <v>195</v>
      </c>
      <c r="D86" s="5" t="str">
        <f>LRTRIM(CONCATENATE(IF(SUMPRODUCT(-- ISNUMBER(SEARCH({"Auto Number"}, $B86))) &gt; 0, $B86, IF(SUMPRODUCT(-- ISNUMBER(SEARCH({"Lookup","Master-Detail"}, $B86))) &gt; 0,$B86 &amp; "(" &amp; $E86 &amp; ")",IF(SUMPRODUCT(-- ISNUMBER(SEARCH({"Formula","Roll-Up Summary"}, $B86))) &gt; 0,$B86 &amp; " (" &amp; $E86 &amp; ")",IF(SUMPRODUCT(-- ISNUMBER(SEARCH({"Content","Currency","Number","Percent","Text","URL"}, $B86))) &gt; 0,$B86 &amp; "(" &amp; $C86 &amp; ")",$B86)))), "  ", TRIM(IF($S86 = "YES", "(External ID)", "") &amp; " " &amp; IF(SUMPRODUCT(-- ISNUMBER(SEARCH({"Unique","Unique Case Insensitive"}, $R86))) &gt; 0, "(" &amp; $R86 &amp; ")", ""))))</f>
        <v>na</v>
      </c>
      <c r="E86" s="7" t="s">
        <v>195</v>
      </c>
      <c r="F86" s="7" t="s">
        <v>195</v>
      </c>
      <c r="G86" s="7" t="s">
        <v>195</v>
      </c>
      <c r="H86" s="7" t="s">
        <v>195</v>
      </c>
      <c r="I86" s="7" t="s">
        <v>195</v>
      </c>
      <c r="J86" s="7" t="s">
        <v>195</v>
      </c>
      <c r="K86" s="7" t="s">
        <v>195</v>
      </c>
      <c r="L86" s="7" t="s">
        <v>195</v>
      </c>
      <c r="M86" s="7" t="s">
        <v>29</v>
      </c>
      <c r="N86" s="7" t="s">
        <v>29</v>
      </c>
      <c r="O86" s="7" t="s">
        <v>29</v>
      </c>
      <c r="P86" s="7" t="s">
        <v>29</v>
      </c>
      <c r="Q86" s="7" t="s">
        <v>29</v>
      </c>
      <c r="R86" s="7" t="s">
        <v>29</v>
      </c>
      <c r="S86" s="7" t="s">
        <v>29</v>
      </c>
    </row>
    <row r="87" spans="2:19">
      <c r="B87" s="7" t="s">
        <v>195</v>
      </c>
      <c r="C87" s="8" t="s">
        <v>195</v>
      </c>
      <c r="D87" s="5" t="str">
        <f>LRTRIM(CONCATENATE(IF(SUMPRODUCT(-- ISNUMBER(SEARCH({"Auto Number"}, $B87))) &gt; 0, $B87, IF(SUMPRODUCT(-- ISNUMBER(SEARCH({"Lookup","Master-Detail"}, $B87))) &gt; 0,$B87 &amp; "(" &amp; $E87 &amp; ")",IF(SUMPRODUCT(-- ISNUMBER(SEARCH({"Formula","Roll-Up Summary"}, $B87))) &gt; 0,$B87 &amp; " (" &amp; $E87 &amp; ")",IF(SUMPRODUCT(-- ISNUMBER(SEARCH({"Content","Currency","Number","Percent","Text","URL"}, $B87))) &gt; 0,$B87 &amp; "(" &amp; $C87 &amp; ")",$B87)))), "  ", TRIM(IF($S87 = "YES", "(External ID)", "") &amp; " " &amp; IF(SUMPRODUCT(-- ISNUMBER(SEARCH({"Unique","Unique Case Insensitive"}, $R87))) &gt; 0, "(" &amp; $R87 &amp; ")", ""))))</f>
        <v>na</v>
      </c>
      <c r="E87" s="7" t="s">
        <v>195</v>
      </c>
      <c r="F87" s="7" t="s">
        <v>195</v>
      </c>
      <c r="G87" s="7" t="s">
        <v>195</v>
      </c>
      <c r="H87" s="7" t="s">
        <v>195</v>
      </c>
      <c r="I87" s="7" t="s">
        <v>195</v>
      </c>
      <c r="J87" s="7" t="s">
        <v>195</v>
      </c>
      <c r="K87" s="7" t="s">
        <v>195</v>
      </c>
      <c r="L87" s="7" t="s">
        <v>195</v>
      </c>
      <c r="M87" s="7" t="s">
        <v>29</v>
      </c>
      <c r="N87" s="7" t="s">
        <v>29</v>
      </c>
      <c r="O87" s="7" t="s">
        <v>29</v>
      </c>
      <c r="P87" s="7" t="s">
        <v>29</v>
      </c>
      <c r="Q87" s="7" t="s">
        <v>29</v>
      </c>
      <c r="R87" s="7" t="s">
        <v>29</v>
      </c>
      <c r="S87" s="7" t="s">
        <v>29</v>
      </c>
    </row>
    <row r="88" spans="2:19">
      <c r="B88" s="7" t="s">
        <v>195</v>
      </c>
      <c r="C88" s="8" t="s">
        <v>195</v>
      </c>
      <c r="D88" s="5" t="str">
        <f>LRTRIM(CONCATENATE(IF(SUMPRODUCT(-- ISNUMBER(SEARCH({"Auto Number"}, $B88))) &gt; 0, $B88, IF(SUMPRODUCT(-- ISNUMBER(SEARCH({"Lookup","Master-Detail"}, $B88))) &gt; 0,$B88 &amp; "(" &amp; $E88 &amp; ")",IF(SUMPRODUCT(-- ISNUMBER(SEARCH({"Formula","Roll-Up Summary"}, $B88))) &gt; 0,$B88 &amp; " (" &amp; $E88 &amp; ")",IF(SUMPRODUCT(-- ISNUMBER(SEARCH({"Content","Currency","Number","Percent","Text","URL"}, $B88))) &gt; 0,$B88 &amp; "(" &amp; $C88 &amp; ")",$B88)))), "  ", TRIM(IF($S88 = "YES", "(External ID)", "") &amp; " " &amp; IF(SUMPRODUCT(-- ISNUMBER(SEARCH({"Unique","Unique Case Insensitive"}, $R88))) &gt; 0, "(" &amp; $R88 &amp; ")", ""))))</f>
        <v>na</v>
      </c>
      <c r="E88" s="7" t="s">
        <v>195</v>
      </c>
      <c r="F88" s="7" t="s">
        <v>195</v>
      </c>
      <c r="G88" s="7" t="s">
        <v>195</v>
      </c>
      <c r="H88" s="7" t="s">
        <v>195</v>
      </c>
      <c r="I88" s="7" t="s">
        <v>195</v>
      </c>
      <c r="J88" s="7" t="s">
        <v>195</v>
      </c>
      <c r="K88" s="7" t="s">
        <v>195</v>
      </c>
      <c r="L88" s="7" t="s">
        <v>195</v>
      </c>
      <c r="M88" s="7" t="s">
        <v>29</v>
      </c>
      <c r="N88" s="7" t="s">
        <v>29</v>
      </c>
      <c r="O88" s="7" t="s">
        <v>29</v>
      </c>
      <c r="P88" s="7" t="s">
        <v>29</v>
      </c>
      <c r="Q88" s="7" t="s">
        <v>29</v>
      </c>
      <c r="R88" s="7" t="s">
        <v>29</v>
      </c>
      <c r="S88" s="7" t="s">
        <v>29</v>
      </c>
    </row>
    <row r="89" spans="2:19">
      <c r="B89" s="7" t="s">
        <v>195</v>
      </c>
      <c r="C89" s="8" t="s">
        <v>195</v>
      </c>
      <c r="D89" s="5" t="str">
        <f>LRTRIM(CONCATENATE(IF(SUMPRODUCT(-- ISNUMBER(SEARCH({"Auto Number"}, $B89))) &gt; 0, $B89, IF(SUMPRODUCT(-- ISNUMBER(SEARCH({"Lookup","Master-Detail"}, $B89))) &gt; 0,$B89 &amp; "(" &amp; $E89 &amp; ")",IF(SUMPRODUCT(-- ISNUMBER(SEARCH({"Formula","Roll-Up Summary"}, $B89))) &gt; 0,$B89 &amp; " (" &amp; $E89 &amp; ")",IF(SUMPRODUCT(-- ISNUMBER(SEARCH({"Content","Currency","Number","Percent","Text","URL"}, $B89))) &gt; 0,$B89 &amp; "(" &amp; $C89 &amp; ")",$B89)))), "  ", TRIM(IF($S89 = "YES", "(External ID)", "") &amp; " " &amp; IF(SUMPRODUCT(-- ISNUMBER(SEARCH({"Unique","Unique Case Insensitive"}, $R89))) &gt; 0, "(" &amp; $R89 &amp; ")", ""))))</f>
        <v>na</v>
      </c>
      <c r="E89" s="7" t="s">
        <v>195</v>
      </c>
      <c r="F89" s="7" t="s">
        <v>195</v>
      </c>
      <c r="G89" s="7" t="s">
        <v>195</v>
      </c>
      <c r="H89" s="7" t="s">
        <v>195</v>
      </c>
      <c r="I89" s="7" t="s">
        <v>195</v>
      </c>
      <c r="J89" s="7" t="s">
        <v>195</v>
      </c>
      <c r="K89" s="7" t="s">
        <v>195</v>
      </c>
      <c r="L89" s="7" t="s">
        <v>195</v>
      </c>
      <c r="M89" s="7" t="s">
        <v>29</v>
      </c>
      <c r="N89" s="7" t="s">
        <v>29</v>
      </c>
      <c r="O89" s="7" t="s">
        <v>29</v>
      </c>
      <c r="P89" s="7" t="s">
        <v>29</v>
      </c>
      <c r="Q89" s="7" t="s">
        <v>29</v>
      </c>
      <c r="R89" s="7" t="s">
        <v>29</v>
      </c>
      <c r="S89" s="7" t="s">
        <v>29</v>
      </c>
    </row>
    <row r="90" spans="2:19">
      <c r="B90" s="7" t="s">
        <v>195</v>
      </c>
      <c r="C90" s="8" t="s">
        <v>195</v>
      </c>
      <c r="D90" s="5" t="str">
        <f>LRTRIM(CONCATENATE(IF(SUMPRODUCT(-- ISNUMBER(SEARCH({"Auto Number"}, $B90))) &gt; 0, $B90, IF(SUMPRODUCT(-- ISNUMBER(SEARCH({"Lookup","Master-Detail"}, $B90))) &gt; 0,$B90 &amp; "(" &amp; $E90 &amp; ")",IF(SUMPRODUCT(-- ISNUMBER(SEARCH({"Formula","Roll-Up Summary"}, $B90))) &gt; 0,$B90 &amp; " (" &amp; $E90 &amp; ")",IF(SUMPRODUCT(-- ISNUMBER(SEARCH({"Content","Currency","Number","Percent","Text","URL"}, $B90))) &gt; 0,$B90 &amp; "(" &amp; $C90 &amp; ")",$B90)))), "  ", TRIM(IF($S90 = "YES", "(External ID)", "") &amp; " " &amp; IF(SUMPRODUCT(-- ISNUMBER(SEARCH({"Unique","Unique Case Insensitive"}, $R90))) &gt; 0, "(" &amp; $R90 &amp; ")", ""))))</f>
        <v>na</v>
      </c>
      <c r="E90" s="7" t="s">
        <v>195</v>
      </c>
      <c r="F90" s="7" t="s">
        <v>195</v>
      </c>
      <c r="G90" s="7" t="s">
        <v>195</v>
      </c>
      <c r="H90" s="7" t="s">
        <v>195</v>
      </c>
      <c r="I90" s="7" t="s">
        <v>195</v>
      </c>
      <c r="J90" s="7" t="s">
        <v>195</v>
      </c>
      <c r="K90" s="7" t="s">
        <v>195</v>
      </c>
      <c r="L90" s="7" t="s">
        <v>195</v>
      </c>
      <c r="M90" s="7" t="s">
        <v>29</v>
      </c>
      <c r="N90" s="7" t="s">
        <v>29</v>
      </c>
      <c r="O90" s="7" t="s">
        <v>29</v>
      </c>
      <c r="P90" s="7" t="s">
        <v>29</v>
      </c>
      <c r="Q90" s="7" t="s">
        <v>29</v>
      </c>
      <c r="R90" s="7" t="s">
        <v>29</v>
      </c>
      <c r="S90" s="7" t="s">
        <v>29</v>
      </c>
    </row>
    <row r="91" spans="2:19">
      <c r="B91" s="7" t="s">
        <v>195</v>
      </c>
      <c r="C91" s="8" t="s">
        <v>195</v>
      </c>
      <c r="D91" s="5" t="str">
        <f>LRTRIM(CONCATENATE(IF(SUMPRODUCT(-- ISNUMBER(SEARCH({"Auto Number"}, $B91))) &gt; 0, $B91, IF(SUMPRODUCT(-- ISNUMBER(SEARCH({"Lookup","Master-Detail"}, $B91))) &gt; 0,$B91 &amp; "(" &amp; $E91 &amp; ")",IF(SUMPRODUCT(-- ISNUMBER(SEARCH({"Formula","Roll-Up Summary"}, $B91))) &gt; 0,$B91 &amp; " (" &amp; $E91 &amp; ")",IF(SUMPRODUCT(-- ISNUMBER(SEARCH({"Content","Currency","Number","Percent","Text","URL"}, $B91))) &gt; 0,$B91 &amp; "(" &amp; $C91 &amp; ")",$B91)))), "  ", TRIM(IF($S91 = "YES", "(External ID)", "") &amp; " " &amp; IF(SUMPRODUCT(-- ISNUMBER(SEARCH({"Unique","Unique Case Insensitive"}, $R91))) &gt; 0, "(" &amp; $R91 &amp; ")", ""))))</f>
        <v>na</v>
      </c>
      <c r="E91" s="7" t="s">
        <v>195</v>
      </c>
      <c r="F91" s="7" t="s">
        <v>195</v>
      </c>
      <c r="G91" s="7" t="s">
        <v>195</v>
      </c>
      <c r="H91" s="7" t="s">
        <v>195</v>
      </c>
      <c r="I91" s="7" t="s">
        <v>195</v>
      </c>
      <c r="J91" s="7" t="s">
        <v>195</v>
      </c>
      <c r="K91" s="7" t="s">
        <v>195</v>
      </c>
      <c r="L91" s="7" t="s">
        <v>195</v>
      </c>
      <c r="M91" s="7" t="s">
        <v>29</v>
      </c>
      <c r="N91" s="7" t="s">
        <v>29</v>
      </c>
      <c r="O91" s="7" t="s">
        <v>29</v>
      </c>
      <c r="P91" s="7" t="s">
        <v>29</v>
      </c>
      <c r="Q91" s="7" t="s">
        <v>29</v>
      </c>
      <c r="R91" s="7" t="s">
        <v>29</v>
      </c>
      <c r="S91" s="7" t="s">
        <v>29</v>
      </c>
    </row>
    <row r="92" spans="2:19">
      <c r="B92" s="7" t="s">
        <v>195</v>
      </c>
      <c r="C92" s="8" t="s">
        <v>195</v>
      </c>
      <c r="D92" s="5" t="str">
        <f>LRTRIM(CONCATENATE(IF(SUMPRODUCT(-- ISNUMBER(SEARCH({"Auto Number"}, $B92))) &gt; 0, $B92, IF(SUMPRODUCT(-- ISNUMBER(SEARCH({"Lookup","Master-Detail"}, $B92))) &gt; 0,$B92 &amp; "(" &amp; $E92 &amp; ")",IF(SUMPRODUCT(-- ISNUMBER(SEARCH({"Formula","Roll-Up Summary"}, $B92))) &gt; 0,$B92 &amp; " (" &amp; $E92 &amp; ")",IF(SUMPRODUCT(-- ISNUMBER(SEARCH({"Content","Currency","Number","Percent","Text","URL"}, $B92))) &gt; 0,$B92 &amp; "(" &amp; $C92 &amp; ")",$B92)))), "  ", TRIM(IF($S92 = "YES", "(External ID)", "") &amp; " " &amp; IF(SUMPRODUCT(-- ISNUMBER(SEARCH({"Unique","Unique Case Insensitive"}, $R92))) &gt; 0, "(" &amp; $R92 &amp; ")", ""))))</f>
        <v>na</v>
      </c>
      <c r="E92" s="7" t="s">
        <v>195</v>
      </c>
      <c r="F92" s="7" t="s">
        <v>195</v>
      </c>
      <c r="G92" s="7" t="s">
        <v>195</v>
      </c>
      <c r="H92" s="7" t="s">
        <v>195</v>
      </c>
      <c r="I92" s="7" t="s">
        <v>195</v>
      </c>
      <c r="J92" s="7" t="s">
        <v>195</v>
      </c>
      <c r="K92" s="7" t="s">
        <v>195</v>
      </c>
      <c r="L92" s="7" t="s">
        <v>195</v>
      </c>
      <c r="M92" s="7" t="s">
        <v>29</v>
      </c>
      <c r="N92" s="7" t="s">
        <v>29</v>
      </c>
      <c r="O92" s="7" t="s">
        <v>29</v>
      </c>
      <c r="P92" s="7" t="s">
        <v>29</v>
      </c>
      <c r="Q92" s="7" t="s">
        <v>29</v>
      </c>
      <c r="R92" s="7" t="s">
        <v>29</v>
      </c>
      <c r="S92" s="7" t="s">
        <v>29</v>
      </c>
    </row>
    <row r="93" spans="2:19">
      <c r="B93" s="7" t="s">
        <v>195</v>
      </c>
      <c r="C93" s="8" t="s">
        <v>195</v>
      </c>
      <c r="D93" s="5" t="str">
        <f>LRTRIM(CONCATENATE(IF(SUMPRODUCT(-- ISNUMBER(SEARCH({"Auto Number"}, $B93))) &gt; 0, $B93, IF(SUMPRODUCT(-- ISNUMBER(SEARCH({"Lookup","Master-Detail"}, $B93))) &gt; 0,$B93 &amp; "(" &amp; $E93 &amp; ")",IF(SUMPRODUCT(-- ISNUMBER(SEARCH({"Formula","Roll-Up Summary"}, $B93))) &gt; 0,$B93 &amp; " (" &amp; $E93 &amp; ")",IF(SUMPRODUCT(-- ISNUMBER(SEARCH({"Content","Currency","Number","Percent","Text","URL"}, $B93))) &gt; 0,$B93 &amp; "(" &amp; $C93 &amp; ")",$B93)))), "  ", TRIM(IF($S93 = "YES", "(External ID)", "") &amp; " " &amp; IF(SUMPRODUCT(-- ISNUMBER(SEARCH({"Unique","Unique Case Insensitive"}, $R93))) &gt; 0, "(" &amp; $R93 &amp; ")", ""))))</f>
        <v>na</v>
      </c>
      <c r="E93" s="7" t="s">
        <v>195</v>
      </c>
      <c r="F93" s="7" t="s">
        <v>195</v>
      </c>
      <c r="G93" s="7" t="s">
        <v>195</v>
      </c>
      <c r="H93" s="7" t="s">
        <v>195</v>
      </c>
      <c r="I93" s="7" t="s">
        <v>195</v>
      </c>
      <c r="J93" s="7" t="s">
        <v>195</v>
      </c>
      <c r="K93" s="7" t="s">
        <v>195</v>
      </c>
      <c r="L93" s="7" t="s">
        <v>195</v>
      </c>
      <c r="M93" s="7" t="s">
        <v>29</v>
      </c>
      <c r="N93" s="7" t="s">
        <v>29</v>
      </c>
      <c r="O93" s="7" t="s">
        <v>29</v>
      </c>
      <c r="P93" s="7" t="s">
        <v>29</v>
      </c>
      <c r="Q93" s="7" t="s">
        <v>29</v>
      </c>
      <c r="R93" s="7" t="s">
        <v>29</v>
      </c>
      <c r="S93" s="7" t="s">
        <v>29</v>
      </c>
    </row>
    <row r="94" spans="2:19">
      <c r="B94" s="7" t="s">
        <v>195</v>
      </c>
      <c r="C94" s="8" t="s">
        <v>195</v>
      </c>
      <c r="D94" s="5" t="str">
        <f>LRTRIM(CONCATENATE(IF(SUMPRODUCT(-- ISNUMBER(SEARCH({"Auto Number"}, $B94))) &gt; 0, $B94, IF(SUMPRODUCT(-- ISNUMBER(SEARCH({"Lookup","Master-Detail"}, $B94))) &gt; 0,$B94 &amp; "(" &amp; $E94 &amp; ")",IF(SUMPRODUCT(-- ISNUMBER(SEARCH({"Formula","Roll-Up Summary"}, $B94))) &gt; 0,$B94 &amp; " (" &amp; $E94 &amp; ")",IF(SUMPRODUCT(-- ISNUMBER(SEARCH({"Content","Currency","Number","Percent","Text","URL"}, $B94))) &gt; 0,$B94 &amp; "(" &amp; $C94 &amp; ")",$B94)))), "  ", TRIM(IF($S94 = "YES", "(External ID)", "") &amp; " " &amp; IF(SUMPRODUCT(-- ISNUMBER(SEARCH({"Unique","Unique Case Insensitive"}, $R94))) &gt; 0, "(" &amp; $R94 &amp; ")", ""))))</f>
        <v>na</v>
      </c>
      <c r="E94" s="7" t="s">
        <v>195</v>
      </c>
      <c r="F94" s="7" t="s">
        <v>195</v>
      </c>
      <c r="G94" s="7" t="s">
        <v>195</v>
      </c>
      <c r="H94" s="7" t="s">
        <v>195</v>
      </c>
      <c r="I94" s="7" t="s">
        <v>195</v>
      </c>
      <c r="J94" s="7" t="s">
        <v>195</v>
      </c>
      <c r="K94" s="7" t="s">
        <v>195</v>
      </c>
      <c r="L94" s="7" t="s">
        <v>195</v>
      </c>
      <c r="M94" s="7" t="s">
        <v>29</v>
      </c>
      <c r="N94" s="7" t="s">
        <v>29</v>
      </c>
      <c r="O94" s="7" t="s">
        <v>29</v>
      </c>
      <c r="P94" s="7" t="s">
        <v>29</v>
      </c>
      <c r="Q94" s="7" t="s">
        <v>29</v>
      </c>
      <c r="R94" s="7" t="s">
        <v>29</v>
      </c>
      <c r="S94" s="7" t="s">
        <v>29</v>
      </c>
    </row>
    <row r="95" spans="2:19">
      <c r="B95" s="7" t="s">
        <v>195</v>
      </c>
      <c r="C95" s="8" t="s">
        <v>195</v>
      </c>
      <c r="D95" s="5" t="str">
        <f>LRTRIM(CONCATENATE(IF(SUMPRODUCT(-- ISNUMBER(SEARCH({"Auto Number"}, $B95))) &gt; 0, $B95, IF(SUMPRODUCT(-- ISNUMBER(SEARCH({"Lookup","Master-Detail"}, $B95))) &gt; 0,$B95 &amp; "(" &amp; $E95 &amp; ")",IF(SUMPRODUCT(-- ISNUMBER(SEARCH({"Formula","Roll-Up Summary"}, $B95))) &gt; 0,$B95 &amp; " (" &amp; $E95 &amp; ")",IF(SUMPRODUCT(-- ISNUMBER(SEARCH({"Content","Currency","Number","Percent","Text","URL"}, $B95))) &gt; 0,$B95 &amp; "(" &amp; $C95 &amp; ")",$B95)))), "  ", TRIM(IF($S95 = "YES", "(External ID)", "") &amp; " " &amp; IF(SUMPRODUCT(-- ISNUMBER(SEARCH({"Unique","Unique Case Insensitive"}, $R95))) &gt; 0, "(" &amp; $R95 &amp; ")", ""))))</f>
        <v>na</v>
      </c>
      <c r="E95" s="7" t="s">
        <v>195</v>
      </c>
      <c r="F95" s="7" t="s">
        <v>195</v>
      </c>
      <c r="G95" s="7" t="s">
        <v>195</v>
      </c>
      <c r="H95" s="7" t="s">
        <v>195</v>
      </c>
      <c r="I95" s="7" t="s">
        <v>195</v>
      </c>
      <c r="J95" s="7" t="s">
        <v>195</v>
      </c>
      <c r="K95" s="7" t="s">
        <v>195</v>
      </c>
      <c r="L95" s="7" t="s">
        <v>195</v>
      </c>
      <c r="M95" s="7" t="s">
        <v>29</v>
      </c>
      <c r="N95" s="7" t="s">
        <v>29</v>
      </c>
      <c r="O95" s="7" t="s">
        <v>29</v>
      </c>
      <c r="P95" s="7" t="s">
        <v>29</v>
      </c>
      <c r="Q95" s="7" t="s">
        <v>29</v>
      </c>
      <c r="R95" s="7" t="s">
        <v>29</v>
      </c>
      <c r="S95" s="7" t="s">
        <v>29</v>
      </c>
    </row>
    <row r="96" spans="2:19">
      <c r="B96" s="7" t="s">
        <v>195</v>
      </c>
      <c r="C96" s="8" t="s">
        <v>195</v>
      </c>
      <c r="D96" s="5" t="str">
        <f>LRTRIM(CONCATENATE(IF(SUMPRODUCT(-- ISNUMBER(SEARCH({"Auto Number"}, $B96))) &gt; 0, $B96, IF(SUMPRODUCT(-- ISNUMBER(SEARCH({"Lookup","Master-Detail"}, $B96))) &gt; 0,$B96 &amp; "(" &amp; $E96 &amp; ")",IF(SUMPRODUCT(-- ISNUMBER(SEARCH({"Formula","Roll-Up Summary"}, $B96))) &gt; 0,$B96 &amp; " (" &amp; $E96 &amp; ")",IF(SUMPRODUCT(-- ISNUMBER(SEARCH({"Content","Currency","Number","Percent","Text","URL"}, $B96))) &gt; 0,$B96 &amp; "(" &amp; $C96 &amp; ")",$B96)))), "  ", TRIM(IF($S96 = "YES", "(External ID)", "") &amp; " " &amp; IF(SUMPRODUCT(-- ISNUMBER(SEARCH({"Unique","Unique Case Insensitive"}, $R96))) &gt; 0, "(" &amp; $R96 &amp; ")", ""))))</f>
        <v>na</v>
      </c>
      <c r="E96" s="7" t="s">
        <v>195</v>
      </c>
      <c r="F96" s="7" t="s">
        <v>195</v>
      </c>
      <c r="G96" s="7" t="s">
        <v>195</v>
      </c>
      <c r="H96" s="7" t="s">
        <v>195</v>
      </c>
      <c r="I96" s="7" t="s">
        <v>195</v>
      </c>
      <c r="J96" s="7" t="s">
        <v>195</v>
      </c>
      <c r="K96" s="7" t="s">
        <v>195</v>
      </c>
      <c r="L96" s="7" t="s">
        <v>195</v>
      </c>
      <c r="M96" s="7" t="s">
        <v>29</v>
      </c>
      <c r="N96" s="7" t="s">
        <v>29</v>
      </c>
      <c r="O96" s="7" t="s">
        <v>29</v>
      </c>
      <c r="P96" s="7" t="s">
        <v>29</v>
      </c>
      <c r="Q96" s="7" t="s">
        <v>29</v>
      </c>
      <c r="R96" s="7" t="s">
        <v>29</v>
      </c>
      <c r="S96" s="7" t="s">
        <v>29</v>
      </c>
    </row>
    <row r="97" spans="2:19">
      <c r="B97" s="7" t="s">
        <v>195</v>
      </c>
      <c r="C97" s="8" t="s">
        <v>195</v>
      </c>
      <c r="D97" s="5" t="str">
        <f>LRTRIM(CONCATENATE(IF(SUMPRODUCT(-- ISNUMBER(SEARCH({"Auto Number"}, $B97))) &gt; 0, $B97, IF(SUMPRODUCT(-- ISNUMBER(SEARCH({"Lookup","Master-Detail"}, $B97))) &gt; 0,$B97 &amp; "(" &amp; $E97 &amp; ")",IF(SUMPRODUCT(-- ISNUMBER(SEARCH({"Formula","Roll-Up Summary"}, $B97))) &gt; 0,$B97 &amp; " (" &amp; $E97 &amp; ")",IF(SUMPRODUCT(-- ISNUMBER(SEARCH({"Content","Currency","Number","Percent","Text","URL"}, $B97))) &gt; 0,$B97 &amp; "(" &amp; $C97 &amp; ")",$B97)))), "  ", TRIM(IF($S97 = "YES", "(External ID)", "") &amp; " " &amp; IF(SUMPRODUCT(-- ISNUMBER(SEARCH({"Unique","Unique Case Insensitive"}, $R97))) &gt; 0, "(" &amp; $R97 &amp; ")", ""))))</f>
        <v>na</v>
      </c>
      <c r="E97" s="7" t="s">
        <v>195</v>
      </c>
      <c r="F97" s="7" t="s">
        <v>195</v>
      </c>
      <c r="G97" s="7" t="s">
        <v>195</v>
      </c>
      <c r="H97" s="7" t="s">
        <v>195</v>
      </c>
      <c r="I97" s="7" t="s">
        <v>195</v>
      </c>
      <c r="J97" s="7" t="s">
        <v>195</v>
      </c>
      <c r="K97" s="7" t="s">
        <v>195</v>
      </c>
      <c r="L97" s="7" t="s">
        <v>195</v>
      </c>
      <c r="M97" s="7" t="s">
        <v>29</v>
      </c>
      <c r="N97" s="7" t="s">
        <v>29</v>
      </c>
      <c r="O97" s="7" t="s">
        <v>29</v>
      </c>
      <c r="P97" s="7" t="s">
        <v>29</v>
      </c>
      <c r="Q97" s="7" t="s">
        <v>29</v>
      </c>
      <c r="R97" s="7" t="s">
        <v>29</v>
      </c>
      <c r="S97" s="7" t="s">
        <v>29</v>
      </c>
    </row>
    <row r="98" spans="2:19">
      <c r="B98" s="7" t="s">
        <v>195</v>
      </c>
      <c r="C98" s="8" t="s">
        <v>195</v>
      </c>
      <c r="D98" s="5" t="str">
        <f>LRTRIM(CONCATENATE(IF(SUMPRODUCT(-- ISNUMBER(SEARCH({"Auto Number"}, $B98))) &gt; 0, $B98, IF(SUMPRODUCT(-- ISNUMBER(SEARCH({"Lookup","Master-Detail"}, $B98))) &gt; 0,$B98 &amp; "(" &amp; $E98 &amp; ")",IF(SUMPRODUCT(-- ISNUMBER(SEARCH({"Formula","Roll-Up Summary"}, $B98))) &gt; 0,$B98 &amp; " (" &amp; $E98 &amp; ")",IF(SUMPRODUCT(-- ISNUMBER(SEARCH({"Content","Currency","Number","Percent","Text","URL"}, $B98))) &gt; 0,$B98 &amp; "(" &amp; $C98 &amp; ")",$B98)))), "  ", TRIM(IF($S98 = "YES", "(External ID)", "") &amp; " " &amp; IF(SUMPRODUCT(-- ISNUMBER(SEARCH({"Unique","Unique Case Insensitive"}, $R98))) &gt; 0, "(" &amp; $R98 &amp; ")", ""))))</f>
        <v>na</v>
      </c>
      <c r="E98" s="7" t="s">
        <v>195</v>
      </c>
      <c r="F98" s="7" t="s">
        <v>195</v>
      </c>
      <c r="G98" s="7" t="s">
        <v>195</v>
      </c>
      <c r="H98" s="7" t="s">
        <v>195</v>
      </c>
      <c r="I98" s="7" t="s">
        <v>195</v>
      </c>
      <c r="J98" s="7" t="s">
        <v>195</v>
      </c>
      <c r="K98" s="7" t="s">
        <v>195</v>
      </c>
      <c r="L98" s="7" t="s">
        <v>195</v>
      </c>
      <c r="M98" s="7" t="s">
        <v>29</v>
      </c>
      <c r="N98" s="7" t="s">
        <v>29</v>
      </c>
      <c r="O98" s="7" t="s">
        <v>29</v>
      </c>
      <c r="P98" s="7" t="s">
        <v>29</v>
      </c>
      <c r="Q98" s="7" t="s">
        <v>29</v>
      </c>
      <c r="R98" s="7" t="s">
        <v>29</v>
      </c>
      <c r="S98" s="7" t="s">
        <v>29</v>
      </c>
    </row>
    <row r="99" spans="2:19">
      <c r="B99" s="7" t="s">
        <v>195</v>
      </c>
      <c r="C99" s="8" t="s">
        <v>195</v>
      </c>
      <c r="D99" s="5" t="str">
        <f>LRTRIM(CONCATENATE(IF(SUMPRODUCT(-- ISNUMBER(SEARCH({"Auto Number"}, $B99))) &gt; 0, $B99, IF(SUMPRODUCT(-- ISNUMBER(SEARCH({"Lookup","Master-Detail"}, $B99))) &gt; 0,$B99 &amp; "(" &amp; $E99 &amp; ")",IF(SUMPRODUCT(-- ISNUMBER(SEARCH({"Formula","Roll-Up Summary"}, $B99))) &gt; 0,$B99 &amp; " (" &amp; $E99 &amp; ")",IF(SUMPRODUCT(-- ISNUMBER(SEARCH({"Content","Currency","Number","Percent","Text","URL"}, $B99))) &gt; 0,$B99 &amp; "(" &amp; $C99 &amp; ")",$B99)))), "  ", TRIM(IF($S99 = "YES", "(External ID)", "") &amp; " " &amp; IF(SUMPRODUCT(-- ISNUMBER(SEARCH({"Unique","Unique Case Insensitive"}, $R99))) &gt; 0, "(" &amp; $R99 &amp; ")", ""))))</f>
        <v>na</v>
      </c>
      <c r="E99" s="7" t="s">
        <v>195</v>
      </c>
      <c r="F99" s="7" t="s">
        <v>195</v>
      </c>
      <c r="G99" s="7" t="s">
        <v>195</v>
      </c>
      <c r="H99" s="7" t="s">
        <v>195</v>
      </c>
      <c r="I99" s="7" t="s">
        <v>195</v>
      </c>
      <c r="J99" s="7" t="s">
        <v>195</v>
      </c>
      <c r="K99" s="7" t="s">
        <v>195</v>
      </c>
      <c r="L99" s="7" t="s">
        <v>195</v>
      </c>
      <c r="M99" s="7" t="s">
        <v>29</v>
      </c>
      <c r="N99" s="7" t="s">
        <v>29</v>
      </c>
      <c r="O99" s="7" t="s">
        <v>29</v>
      </c>
      <c r="P99" s="7" t="s">
        <v>29</v>
      </c>
      <c r="Q99" s="7" t="s">
        <v>29</v>
      </c>
      <c r="R99" s="7" t="s">
        <v>29</v>
      </c>
      <c r="S99" s="7" t="s">
        <v>29</v>
      </c>
    </row>
    <row r="100" spans="2:19">
      <c r="B100" s="7" t="s">
        <v>195</v>
      </c>
      <c r="C100" s="8" t="s">
        <v>195</v>
      </c>
      <c r="D100" s="5" t="str">
        <f>LRTRIM(CONCATENATE(IF(SUMPRODUCT(-- ISNUMBER(SEARCH({"Auto Number"}, $B100))) &gt; 0, $B100, IF(SUMPRODUCT(-- ISNUMBER(SEARCH({"Lookup","Master-Detail"}, $B100))) &gt; 0,$B100 &amp; "(" &amp; $E100 &amp; ")",IF(SUMPRODUCT(-- ISNUMBER(SEARCH({"Formula","Roll-Up Summary"}, $B100))) &gt; 0,$B100 &amp; " (" &amp; $E100 &amp; ")",IF(SUMPRODUCT(-- ISNUMBER(SEARCH({"Content","Currency","Number","Percent","Text","URL"}, $B100))) &gt; 0,$B100 &amp; "(" &amp; $C100 &amp; ")",$B100)))), "  ", TRIM(IF($S100 = "YES", "(External ID)", "") &amp; " " &amp; IF(SUMPRODUCT(-- ISNUMBER(SEARCH({"Unique","Unique Case Insensitive"}, $R100))) &gt; 0, "(" &amp; $R100 &amp; ")", ""))))</f>
        <v>na</v>
      </c>
      <c r="E100" s="7" t="s">
        <v>195</v>
      </c>
      <c r="F100" s="7" t="s">
        <v>195</v>
      </c>
      <c r="G100" s="7" t="s">
        <v>195</v>
      </c>
      <c r="H100" s="7" t="s">
        <v>195</v>
      </c>
      <c r="I100" s="7" t="s">
        <v>195</v>
      </c>
      <c r="J100" s="7" t="s">
        <v>195</v>
      </c>
      <c r="K100" s="7" t="s">
        <v>195</v>
      </c>
      <c r="L100" s="7" t="s">
        <v>195</v>
      </c>
      <c r="M100" s="7" t="s">
        <v>29</v>
      </c>
      <c r="N100" s="7" t="s">
        <v>29</v>
      </c>
      <c r="O100" s="7" t="s">
        <v>29</v>
      </c>
      <c r="P100" s="7" t="s">
        <v>29</v>
      </c>
      <c r="Q100" s="7" t="s">
        <v>29</v>
      </c>
      <c r="R100" s="7" t="s">
        <v>29</v>
      </c>
      <c r="S100" s="7" t="s">
        <v>29</v>
      </c>
    </row>
    <row r="101" spans="2:19">
      <c r="B101" s="7" t="s">
        <v>195</v>
      </c>
      <c r="C101" s="8" t="s">
        <v>195</v>
      </c>
      <c r="D101" s="5" t="str">
        <f>LRTRIM(CONCATENATE(IF(SUMPRODUCT(-- ISNUMBER(SEARCH({"Auto Number"}, $B101))) &gt; 0, $B101, IF(SUMPRODUCT(-- ISNUMBER(SEARCH({"Lookup","Master-Detail"}, $B101))) &gt; 0,$B101 &amp; "(" &amp; $E101 &amp; ")",IF(SUMPRODUCT(-- ISNUMBER(SEARCH({"Formula","Roll-Up Summary"}, $B101))) &gt; 0,$B101 &amp; " (" &amp; $E101 &amp; ")",IF(SUMPRODUCT(-- ISNUMBER(SEARCH({"Content","Currency","Number","Percent","Text","URL"}, $B101))) &gt; 0,$B101 &amp; "(" &amp; $C101 &amp; ")",$B101)))), "  ", TRIM(IF($S101 = "YES", "(External ID)", "") &amp; " " &amp; IF(SUMPRODUCT(-- ISNUMBER(SEARCH({"Unique","Unique Case Insensitive"}, $R101))) &gt; 0, "(" &amp; $R101 &amp; ")", ""))))</f>
        <v>na</v>
      </c>
      <c r="E101" s="7" t="s">
        <v>195</v>
      </c>
      <c r="F101" s="7" t="s">
        <v>195</v>
      </c>
      <c r="G101" s="7" t="s">
        <v>195</v>
      </c>
      <c r="H101" s="7" t="s">
        <v>195</v>
      </c>
      <c r="I101" s="7" t="s">
        <v>195</v>
      </c>
      <c r="J101" s="7" t="s">
        <v>195</v>
      </c>
      <c r="K101" s="7" t="s">
        <v>195</v>
      </c>
      <c r="L101" s="7" t="s">
        <v>195</v>
      </c>
      <c r="M101" s="7" t="s">
        <v>29</v>
      </c>
      <c r="N101" s="7" t="s">
        <v>29</v>
      </c>
      <c r="O101" s="7" t="s">
        <v>29</v>
      </c>
      <c r="P101" s="7" t="s">
        <v>29</v>
      </c>
      <c r="Q101" s="7" t="s">
        <v>29</v>
      </c>
      <c r="R101" s="7" t="s">
        <v>29</v>
      </c>
      <c r="S101" s="7" t="s">
        <v>29</v>
      </c>
    </row>
    <row r="102" spans="2:19">
      <c r="B102" s="7" t="s">
        <v>195</v>
      </c>
      <c r="C102" s="8" t="s">
        <v>195</v>
      </c>
      <c r="D102" s="5" t="str">
        <f>LRTRIM(CONCATENATE(IF(SUMPRODUCT(-- ISNUMBER(SEARCH({"Auto Number"}, $B102))) &gt; 0, $B102, IF(SUMPRODUCT(-- ISNUMBER(SEARCH({"Lookup","Master-Detail"}, $B102))) &gt; 0,$B102 &amp; "(" &amp; $E102 &amp; ")",IF(SUMPRODUCT(-- ISNUMBER(SEARCH({"Formula","Roll-Up Summary"}, $B102))) &gt; 0,$B102 &amp; " (" &amp; $E102 &amp; ")",IF(SUMPRODUCT(-- ISNUMBER(SEARCH({"Content","Currency","Number","Percent","Text","URL"}, $B102))) &gt; 0,$B102 &amp; "(" &amp; $C102 &amp; ")",$B102)))), "  ", TRIM(IF($S102 = "YES", "(External ID)", "") &amp; " " &amp; IF(SUMPRODUCT(-- ISNUMBER(SEARCH({"Unique","Unique Case Insensitive"}, $R102))) &gt; 0, "(" &amp; $R102 &amp; ")", ""))))</f>
        <v>na</v>
      </c>
      <c r="E102" s="7" t="s">
        <v>195</v>
      </c>
      <c r="F102" s="7" t="s">
        <v>195</v>
      </c>
      <c r="G102" s="7" t="s">
        <v>195</v>
      </c>
      <c r="H102" s="7" t="s">
        <v>195</v>
      </c>
      <c r="I102" s="7" t="s">
        <v>195</v>
      </c>
      <c r="J102" s="7" t="s">
        <v>195</v>
      </c>
      <c r="K102" s="7" t="s">
        <v>195</v>
      </c>
      <c r="L102" s="7" t="s">
        <v>195</v>
      </c>
      <c r="M102" s="7" t="s">
        <v>29</v>
      </c>
      <c r="N102" s="7" t="s">
        <v>29</v>
      </c>
      <c r="O102" s="7" t="s">
        <v>29</v>
      </c>
      <c r="P102" s="7" t="s">
        <v>29</v>
      </c>
      <c r="Q102" s="7" t="s">
        <v>29</v>
      </c>
      <c r="R102" s="7" t="s">
        <v>29</v>
      </c>
      <c r="S102" s="7" t="s">
        <v>29</v>
      </c>
    </row>
    <row r="103" spans="2:19">
      <c r="B103" s="7" t="s">
        <v>195</v>
      </c>
      <c r="C103" s="8" t="s">
        <v>195</v>
      </c>
      <c r="D103" s="5" t="str">
        <f>LRTRIM(CONCATENATE(IF(SUMPRODUCT(-- ISNUMBER(SEARCH({"Auto Number"}, $B103))) &gt; 0, $B103, IF(SUMPRODUCT(-- ISNUMBER(SEARCH({"Lookup","Master-Detail"}, $B103))) &gt; 0,$B103 &amp; "(" &amp; $E103 &amp; ")",IF(SUMPRODUCT(-- ISNUMBER(SEARCH({"Formula","Roll-Up Summary"}, $B103))) &gt; 0,$B103 &amp; " (" &amp; $E103 &amp; ")",IF(SUMPRODUCT(-- ISNUMBER(SEARCH({"Content","Currency","Number","Percent","Text","URL"}, $B103))) &gt; 0,$B103 &amp; "(" &amp; $C103 &amp; ")",$B103)))), "  ", TRIM(IF($S103 = "YES", "(External ID)", "") &amp; " " &amp; IF(SUMPRODUCT(-- ISNUMBER(SEARCH({"Unique","Unique Case Insensitive"}, $R103))) &gt; 0, "(" &amp; $R103 &amp; ")", ""))))</f>
        <v>na</v>
      </c>
      <c r="E103" s="7" t="s">
        <v>195</v>
      </c>
      <c r="F103" s="7" t="s">
        <v>195</v>
      </c>
      <c r="G103" s="7" t="s">
        <v>195</v>
      </c>
      <c r="H103" s="7" t="s">
        <v>195</v>
      </c>
      <c r="I103" s="7" t="s">
        <v>195</v>
      </c>
      <c r="J103" s="7" t="s">
        <v>195</v>
      </c>
      <c r="K103" s="7" t="s">
        <v>195</v>
      </c>
      <c r="L103" s="7" t="s">
        <v>195</v>
      </c>
      <c r="M103" s="7" t="s">
        <v>29</v>
      </c>
      <c r="N103" s="7" t="s">
        <v>29</v>
      </c>
      <c r="O103" s="7" t="s">
        <v>29</v>
      </c>
      <c r="P103" s="7" t="s">
        <v>29</v>
      </c>
      <c r="Q103" s="7" t="s">
        <v>29</v>
      </c>
      <c r="R103" s="7" t="s">
        <v>29</v>
      </c>
      <c r="S103" s="7" t="s">
        <v>29</v>
      </c>
    </row>
    <row r="104" spans="2:19">
      <c r="B104" s="7" t="s">
        <v>195</v>
      </c>
      <c r="C104" s="8" t="s">
        <v>195</v>
      </c>
      <c r="D104" s="5" t="str">
        <f>LRTRIM(CONCATENATE(IF(SUMPRODUCT(-- ISNUMBER(SEARCH({"Auto Number"}, $B104))) &gt; 0, $B104, IF(SUMPRODUCT(-- ISNUMBER(SEARCH({"Lookup","Master-Detail"}, $B104))) &gt; 0,$B104 &amp; "(" &amp; $E104 &amp; ")",IF(SUMPRODUCT(-- ISNUMBER(SEARCH({"Formula","Roll-Up Summary"}, $B104))) &gt; 0,$B104 &amp; " (" &amp; $E104 &amp; ")",IF(SUMPRODUCT(-- ISNUMBER(SEARCH({"Content","Currency","Number","Percent","Text","URL"}, $B104))) &gt; 0,$B104 &amp; "(" &amp; $C104 &amp; ")",$B104)))), "  ", TRIM(IF($S104 = "YES", "(External ID)", "") &amp; " " &amp; IF(SUMPRODUCT(-- ISNUMBER(SEARCH({"Unique","Unique Case Insensitive"}, $R104))) &gt; 0, "(" &amp; $R104 &amp; ")", ""))))</f>
        <v>na</v>
      </c>
      <c r="E104" s="7" t="s">
        <v>195</v>
      </c>
      <c r="F104" s="7" t="s">
        <v>195</v>
      </c>
      <c r="G104" s="7" t="s">
        <v>195</v>
      </c>
      <c r="H104" s="7" t="s">
        <v>195</v>
      </c>
      <c r="I104" s="7" t="s">
        <v>195</v>
      </c>
      <c r="J104" s="7" t="s">
        <v>195</v>
      </c>
      <c r="K104" s="7" t="s">
        <v>195</v>
      </c>
      <c r="L104" s="7" t="s">
        <v>195</v>
      </c>
      <c r="M104" s="7" t="s">
        <v>29</v>
      </c>
      <c r="N104" s="7" t="s">
        <v>29</v>
      </c>
      <c r="O104" s="7" t="s">
        <v>29</v>
      </c>
      <c r="P104" s="7" t="s">
        <v>29</v>
      </c>
      <c r="Q104" s="7" t="s">
        <v>29</v>
      </c>
      <c r="R104" s="7" t="s">
        <v>29</v>
      </c>
      <c r="S104" s="7" t="s">
        <v>29</v>
      </c>
    </row>
    <row r="105" spans="2:19">
      <c r="B105" s="7" t="s">
        <v>195</v>
      </c>
      <c r="C105" s="8" t="s">
        <v>195</v>
      </c>
      <c r="D105" s="5" t="str">
        <f>LRTRIM(CONCATENATE(IF(SUMPRODUCT(-- ISNUMBER(SEARCH({"Auto Number"}, $B105))) &gt; 0, $B105, IF(SUMPRODUCT(-- ISNUMBER(SEARCH({"Lookup","Master-Detail"}, $B105))) &gt; 0,$B105 &amp; "(" &amp; $E105 &amp; ")",IF(SUMPRODUCT(-- ISNUMBER(SEARCH({"Formula","Roll-Up Summary"}, $B105))) &gt; 0,$B105 &amp; " (" &amp; $E105 &amp; ")",IF(SUMPRODUCT(-- ISNUMBER(SEARCH({"Content","Currency","Number","Percent","Text","URL"}, $B105))) &gt; 0,$B105 &amp; "(" &amp; $C105 &amp; ")",$B105)))), "  ", TRIM(IF($S105 = "YES", "(External ID)", "") &amp; " " &amp; IF(SUMPRODUCT(-- ISNUMBER(SEARCH({"Unique","Unique Case Insensitive"}, $R105))) &gt; 0, "(" &amp; $R105 &amp; ")", ""))))</f>
        <v>na</v>
      </c>
      <c r="E105" s="7" t="s">
        <v>195</v>
      </c>
      <c r="F105" s="7" t="s">
        <v>195</v>
      </c>
      <c r="G105" s="7" t="s">
        <v>195</v>
      </c>
      <c r="H105" s="7" t="s">
        <v>195</v>
      </c>
      <c r="I105" s="7" t="s">
        <v>195</v>
      </c>
      <c r="J105" s="7" t="s">
        <v>195</v>
      </c>
      <c r="K105" s="7" t="s">
        <v>195</v>
      </c>
      <c r="L105" s="7" t="s">
        <v>195</v>
      </c>
      <c r="M105" s="7" t="s">
        <v>29</v>
      </c>
      <c r="N105" s="7" t="s">
        <v>29</v>
      </c>
      <c r="O105" s="7" t="s">
        <v>29</v>
      </c>
      <c r="P105" s="7" t="s">
        <v>29</v>
      </c>
      <c r="Q105" s="7" t="s">
        <v>29</v>
      </c>
      <c r="R105" s="7" t="s">
        <v>29</v>
      </c>
      <c r="S105" s="7" t="s">
        <v>29</v>
      </c>
    </row>
    <row r="106" spans="2:19">
      <c r="B106" s="7" t="s">
        <v>195</v>
      </c>
      <c r="C106" s="8" t="s">
        <v>195</v>
      </c>
      <c r="D106" s="5" t="str">
        <f>LRTRIM(CONCATENATE(IF(SUMPRODUCT(-- ISNUMBER(SEARCH({"Auto Number"}, $B106))) &gt; 0, $B106, IF(SUMPRODUCT(-- ISNUMBER(SEARCH({"Lookup","Master-Detail"}, $B106))) &gt; 0,$B106 &amp; "(" &amp; $E106 &amp; ")",IF(SUMPRODUCT(-- ISNUMBER(SEARCH({"Formula","Roll-Up Summary"}, $B106))) &gt; 0,$B106 &amp; " (" &amp; $E106 &amp; ")",IF(SUMPRODUCT(-- ISNUMBER(SEARCH({"Content","Currency","Number","Percent","Text","URL"}, $B106))) &gt; 0,$B106 &amp; "(" &amp; $C106 &amp; ")",$B106)))), "  ", TRIM(IF($S106 = "YES", "(External ID)", "") &amp; " " &amp; IF(SUMPRODUCT(-- ISNUMBER(SEARCH({"Unique","Unique Case Insensitive"}, $R106))) &gt; 0, "(" &amp; $R106 &amp; ")", ""))))</f>
        <v>na</v>
      </c>
      <c r="E106" s="7" t="s">
        <v>195</v>
      </c>
      <c r="F106" s="7" t="s">
        <v>195</v>
      </c>
      <c r="G106" s="7" t="s">
        <v>195</v>
      </c>
      <c r="H106" s="7" t="s">
        <v>195</v>
      </c>
      <c r="I106" s="7" t="s">
        <v>195</v>
      </c>
      <c r="J106" s="7" t="s">
        <v>195</v>
      </c>
      <c r="K106" s="7" t="s">
        <v>195</v>
      </c>
      <c r="L106" s="7" t="s">
        <v>195</v>
      </c>
      <c r="M106" s="7" t="s">
        <v>29</v>
      </c>
      <c r="N106" s="7" t="s">
        <v>29</v>
      </c>
      <c r="O106" s="7" t="s">
        <v>29</v>
      </c>
      <c r="P106" s="7" t="s">
        <v>29</v>
      </c>
      <c r="Q106" s="7" t="s">
        <v>29</v>
      </c>
      <c r="R106" s="7" t="s">
        <v>29</v>
      </c>
      <c r="S106" s="7" t="s">
        <v>29</v>
      </c>
    </row>
    <row r="107" spans="2:19">
      <c r="B107" s="7" t="s">
        <v>195</v>
      </c>
      <c r="C107" s="8" t="s">
        <v>195</v>
      </c>
      <c r="D107" s="5" t="str">
        <f>LRTRIM(CONCATENATE(IF(SUMPRODUCT(-- ISNUMBER(SEARCH({"Auto Number"}, $B107))) &gt; 0, $B107, IF(SUMPRODUCT(-- ISNUMBER(SEARCH({"Lookup","Master-Detail"}, $B107))) &gt; 0,$B107 &amp; "(" &amp; $E107 &amp; ")",IF(SUMPRODUCT(-- ISNUMBER(SEARCH({"Formula","Roll-Up Summary"}, $B107))) &gt; 0,$B107 &amp; " (" &amp; $E107 &amp; ")",IF(SUMPRODUCT(-- ISNUMBER(SEARCH({"Content","Currency","Number","Percent","Text","URL"}, $B107))) &gt; 0,$B107 &amp; "(" &amp; $C107 &amp; ")",$B107)))), "  ", TRIM(IF($S107 = "YES", "(External ID)", "") &amp; " " &amp; IF(SUMPRODUCT(-- ISNUMBER(SEARCH({"Unique","Unique Case Insensitive"}, $R107))) &gt; 0, "(" &amp; $R107 &amp; ")", ""))))</f>
        <v>na</v>
      </c>
      <c r="E107" s="7" t="s">
        <v>195</v>
      </c>
      <c r="F107" s="7" t="s">
        <v>195</v>
      </c>
      <c r="G107" s="7" t="s">
        <v>195</v>
      </c>
      <c r="H107" s="7" t="s">
        <v>195</v>
      </c>
      <c r="I107" s="7" t="s">
        <v>195</v>
      </c>
      <c r="J107" s="7" t="s">
        <v>195</v>
      </c>
      <c r="K107" s="7" t="s">
        <v>195</v>
      </c>
      <c r="L107" s="7" t="s">
        <v>195</v>
      </c>
      <c r="M107" s="7" t="s">
        <v>29</v>
      </c>
      <c r="N107" s="7" t="s">
        <v>29</v>
      </c>
      <c r="O107" s="7" t="s">
        <v>29</v>
      </c>
      <c r="P107" s="7" t="s">
        <v>29</v>
      </c>
      <c r="Q107" s="7" t="s">
        <v>29</v>
      </c>
      <c r="R107" s="7" t="s">
        <v>29</v>
      </c>
      <c r="S107" s="7" t="s">
        <v>29</v>
      </c>
    </row>
    <row r="108" spans="2:19">
      <c r="B108" s="7" t="s">
        <v>195</v>
      </c>
      <c r="C108" s="8" t="s">
        <v>195</v>
      </c>
      <c r="D108" s="5" t="str">
        <f>LRTRIM(CONCATENATE(IF(SUMPRODUCT(-- ISNUMBER(SEARCH({"Auto Number"}, $B108))) &gt; 0, $B108, IF(SUMPRODUCT(-- ISNUMBER(SEARCH({"Lookup","Master-Detail"}, $B108))) &gt; 0,$B108 &amp; "(" &amp; $E108 &amp; ")",IF(SUMPRODUCT(-- ISNUMBER(SEARCH({"Formula","Roll-Up Summary"}, $B108))) &gt; 0,$B108 &amp; " (" &amp; $E108 &amp; ")",IF(SUMPRODUCT(-- ISNUMBER(SEARCH({"Content","Currency","Number","Percent","Text","URL"}, $B108))) &gt; 0,$B108 &amp; "(" &amp; $C108 &amp; ")",$B108)))), "  ", TRIM(IF($S108 = "YES", "(External ID)", "") &amp; " " &amp; IF(SUMPRODUCT(-- ISNUMBER(SEARCH({"Unique","Unique Case Insensitive"}, $R108))) &gt; 0, "(" &amp; $R108 &amp; ")", ""))))</f>
        <v>na</v>
      </c>
      <c r="E108" s="7" t="s">
        <v>195</v>
      </c>
      <c r="F108" s="7" t="s">
        <v>195</v>
      </c>
      <c r="G108" s="7" t="s">
        <v>195</v>
      </c>
      <c r="H108" s="7" t="s">
        <v>195</v>
      </c>
      <c r="I108" s="7" t="s">
        <v>195</v>
      </c>
      <c r="J108" s="7" t="s">
        <v>195</v>
      </c>
      <c r="K108" s="7" t="s">
        <v>195</v>
      </c>
      <c r="L108" s="7" t="s">
        <v>195</v>
      </c>
      <c r="M108" s="7" t="s">
        <v>29</v>
      </c>
      <c r="N108" s="7" t="s">
        <v>29</v>
      </c>
      <c r="O108" s="7" t="s">
        <v>29</v>
      </c>
      <c r="P108" s="7" t="s">
        <v>29</v>
      </c>
      <c r="Q108" s="7" t="s">
        <v>29</v>
      </c>
      <c r="R108" s="7" t="s">
        <v>29</v>
      </c>
      <c r="S108" s="7" t="s">
        <v>29</v>
      </c>
    </row>
    <row r="109" spans="2:19">
      <c r="B109" s="7" t="s">
        <v>195</v>
      </c>
      <c r="C109" s="8" t="s">
        <v>195</v>
      </c>
      <c r="D109" s="5" t="str">
        <f>LRTRIM(CONCATENATE(IF(SUMPRODUCT(-- ISNUMBER(SEARCH({"Auto Number"}, $B109))) &gt; 0, $B109, IF(SUMPRODUCT(-- ISNUMBER(SEARCH({"Lookup","Master-Detail"}, $B109))) &gt; 0,$B109 &amp; "(" &amp; $E109 &amp; ")",IF(SUMPRODUCT(-- ISNUMBER(SEARCH({"Formula","Roll-Up Summary"}, $B109))) &gt; 0,$B109 &amp; " (" &amp; $E109 &amp; ")",IF(SUMPRODUCT(-- ISNUMBER(SEARCH({"Content","Currency","Number","Percent","Text","URL"}, $B109))) &gt; 0,$B109 &amp; "(" &amp; $C109 &amp; ")",$B109)))), "  ", TRIM(IF($S109 = "YES", "(External ID)", "") &amp; " " &amp; IF(SUMPRODUCT(-- ISNUMBER(SEARCH({"Unique","Unique Case Insensitive"}, $R109))) &gt; 0, "(" &amp; $R109 &amp; ")", ""))))</f>
        <v>na</v>
      </c>
      <c r="E109" s="7" t="s">
        <v>195</v>
      </c>
      <c r="F109" s="7" t="s">
        <v>195</v>
      </c>
      <c r="G109" s="7" t="s">
        <v>195</v>
      </c>
      <c r="H109" s="7" t="s">
        <v>195</v>
      </c>
      <c r="I109" s="7" t="s">
        <v>195</v>
      </c>
      <c r="J109" s="7" t="s">
        <v>195</v>
      </c>
      <c r="K109" s="7" t="s">
        <v>195</v>
      </c>
      <c r="L109" s="7" t="s">
        <v>195</v>
      </c>
      <c r="M109" s="7" t="s">
        <v>29</v>
      </c>
      <c r="N109" s="7" t="s">
        <v>29</v>
      </c>
      <c r="O109" s="7" t="s">
        <v>29</v>
      </c>
      <c r="P109" s="7" t="s">
        <v>29</v>
      </c>
      <c r="Q109" s="7" t="s">
        <v>29</v>
      </c>
      <c r="R109" s="7" t="s">
        <v>29</v>
      </c>
      <c r="S109" s="7" t="s">
        <v>29</v>
      </c>
    </row>
    <row r="110" spans="2:19">
      <c r="B110" s="7" t="s">
        <v>195</v>
      </c>
      <c r="C110" s="8" t="s">
        <v>195</v>
      </c>
      <c r="D110" s="5" t="str">
        <f>LRTRIM(CONCATENATE(IF(SUMPRODUCT(-- ISNUMBER(SEARCH({"Auto Number"}, $B110))) &gt; 0, $B110, IF(SUMPRODUCT(-- ISNUMBER(SEARCH({"Lookup","Master-Detail"}, $B110))) &gt; 0,$B110 &amp; "(" &amp; $E110 &amp; ")",IF(SUMPRODUCT(-- ISNUMBER(SEARCH({"Formula","Roll-Up Summary"}, $B110))) &gt; 0,$B110 &amp; " (" &amp; $E110 &amp; ")",IF(SUMPRODUCT(-- ISNUMBER(SEARCH({"Content","Currency","Number","Percent","Text","URL"}, $B110))) &gt; 0,$B110 &amp; "(" &amp; $C110 &amp; ")",$B110)))), "  ", TRIM(IF($S110 = "YES", "(External ID)", "") &amp; " " &amp; IF(SUMPRODUCT(-- ISNUMBER(SEARCH({"Unique","Unique Case Insensitive"}, $R110))) &gt; 0, "(" &amp; $R110 &amp; ")", ""))))</f>
        <v>na</v>
      </c>
      <c r="E110" s="7" t="s">
        <v>195</v>
      </c>
      <c r="F110" s="7" t="s">
        <v>195</v>
      </c>
      <c r="G110" s="7" t="s">
        <v>195</v>
      </c>
      <c r="H110" s="7" t="s">
        <v>195</v>
      </c>
      <c r="I110" s="7" t="s">
        <v>195</v>
      </c>
      <c r="J110" s="7" t="s">
        <v>195</v>
      </c>
      <c r="K110" s="7" t="s">
        <v>195</v>
      </c>
      <c r="L110" s="7" t="s">
        <v>195</v>
      </c>
      <c r="M110" s="7" t="s">
        <v>29</v>
      </c>
      <c r="N110" s="7" t="s">
        <v>29</v>
      </c>
      <c r="O110" s="7" t="s">
        <v>29</v>
      </c>
      <c r="P110" s="7" t="s">
        <v>29</v>
      </c>
      <c r="Q110" s="7" t="s">
        <v>29</v>
      </c>
      <c r="R110" s="7" t="s">
        <v>29</v>
      </c>
      <c r="S110" s="7" t="s">
        <v>29</v>
      </c>
    </row>
    <row r="111" spans="2:19">
      <c r="B111" s="7" t="s">
        <v>195</v>
      </c>
      <c r="C111" s="8" t="s">
        <v>195</v>
      </c>
      <c r="D111" s="5" t="str">
        <f>LRTRIM(CONCATENATE(IF(SUMPRODUCT(-- ISNUMBER(SEARCH({"Auto Number"}, $B111))) &gt; 0, $B111, IF(SUMPRODUCT(-- ISNUMBER(SEARCH({"Lookup","Master-Detail"}, $B111))) &gt; 0,$B111 &amp; "(" &amp; $E111 &amp; ")",IF(SUMPRODUCT(-- ISNUMBER(SEARCH({"Formula","Roll-Up Summary"}, $B111))) &gt; 0,$B111 &amp; " (" &amp; $E111 &amp; ")",IF(SUMPRODUCT(-- ISNUMBER(SEARCH({"Content","Currency","Number","Percent","Text","URL"}, $B111))) &gt; 0,$B111 &amp; "(" &amp; $C111 &amp; ")",$B111)))), "  ", TRIM(IF($S111 = "YES", "(External ID)", "") &amp; " " &amp; IF(SUMPRODUCT(-- ISNUMBER(SEARCH({"Unique","Unique Case Insensitive"}, $R111))) &gt; 0, "(" &amp; $R111 &amp; ")", ""))))</f>
        <v>na</v>
      </c>
      <c r="E111" s="7" t="s">
        <v>195</v>
      </c>
      <c r="F111" s="7" t="s">
        <v>195</v>
      </c>
      <c r="G111" s="7" t="s">
        <v>195</v>
      </c>
      <c r="H111" s="7" t="s">
        <v>195</v>
      </c>
      <c r="I111" s="7" t="s">
        <v>195</v>
      </c>
      <c r="J111" s="7" t="s">
        <v>195</v>
      </c>
      <c r="K111" s="7" t="s">
        <v>195</v>
      </c>
      <c r="L111" s="7" t="s">
        <v>195</v>
      </c>
      <c r="M111" s="7" t="s">
        <v>29</v>
      </c>
      <c r="N111" s="7" t="s">
        <v>29</v>
      </c>
      <c r="O111" s="7" t="s">
        <v>29</v>
      </c>
      <c r="P111" s="7" t="s">
        <v>29</v>
      </c>
      <c r="Q111" s="7" t="s">
        <v>29</v>
      </c>
      <c r="R111" s="7" t="s">
        <v>29</v>
      </c>
      <c r="S111" s="7" t="s">
        <v>29</v>
      </c>
    </row>
    <row r="112" spans="2:19">
      <c r="B112" s="7" t="s">
        <v>195</v>
      </c>
      <c r="C112" s="8" t="s">
        <v>195</v>
      </c>
      <c r="D112" s="5" t="str">
        <f>LRTRIM(CONCATENATE(IF(SUMPRODUCT(-- ISNUMBER(SEARCH({"Auto Number"}, $B112))) &gt; 0, $B112, IF(SUMPRODUCT(-- ISNUMBER(SEARCH({"Lookup","Master-Detail"}, $B112))) &gt; 0,$B112 &amp; "(" &amp; $E112 &amp; ")",IF(SUMPRODUCT(-- ISNUMBER(SEARCH({"Formula","Roll-Up Summary"}, $B112))) &gt; 0,$B112 &amp; " (" &amp; $E112 &amp; ")",IF(SUMPRODUCT(-- ISNUMBER(SEARCH({"Content","Currency","Number","Percent","Text","URL"}, $B112))) &gt; 0,$B112 &amp; "(" &amp; $C112 &amp; ")",$B112)))), "  ", TRIM(IF($S112 = "YES", "(External ID)", "") &amp; " " &amp; IF(SUMPRODUCT(-- ISNUMBER(SEARCH({"Unique","Unique Case Insensitive"}, $R112))) &gt; 0, "(" &amp; $R112 &amp; ")", ""))))</f>
        <v>na</v>
      </c>
      <c r="E112" s="7" t="s">
        <v>195</v>
      </c>
      <c r="F112" s="7" t="s">
        <v>195</v>
      </c>
      <c r="G112" s="7" t="s">
        <v>195</v>
      </c>
      <c r="H112" s="7" t="s">
        <v>195</v>
      </c>
      <c r="I112" s="7" t="s">
        <v>195</v>
      </c>
      <c r="J112" s="7" t="s">
        <v>195</v>
      </c>
      <c r="K112" s="7" t="s">
        <v>195</v>
      </c>
      <c r="L112" s="7" t="s">
        <v>195</v>
      </c>
      <c r="M112" s="7" t="s">
        <v>29</v>
      </c>
      <c r="N112" s="7" t="s">
        <v>29</v>
      </c>
      <c r="O112" s="7" t="s">
        <v>29</v>
      </c>
      <c r="P112" s="7" t="s">
        <v>29</v>
      </c>
      <c r="Q112" s="7" t="s">
        <v>29</v>
      </c>
      <c r="R112" s="7" t="s">
        <v>29</v>
      </c>
      <c r="S112" s="7" t="s">
        <v>29</v>
      </c>
    </row>
    <row r="113" spans="2:19">
      <c r="B113" s="7" t="s">
        <v>195</v>
      </c>
      <c r="C113" s="8" t="s">
        <v>195</v>
      </c>
      <c r="D113" s="5" t="str">
        <f>LRTRIM(CONCATENATE(IF(SUMPRODUCT(-- ISNUMBER(SEARCH({"Auto Number"}, $B113))) &gt; 0, $B113, IF(SUMPRODUCT(-- ISNUMBER(SEARCH({"Lookup","Master-Detail"}, $B113))) &gt; 0,$B113 &amp; "(" &amp; $E113 &amp; ")",IF(SUMPRODUCT(-- ISNUMBER(SEARCH({"Formula","Roll-Up Summary"}, $B113))) &gt; 0,$B113 &amp; " (" &amp; $E113 &amp; ")",IF(SUMPRODUCT(-- ISNUMBER(SEARCH({"Content","Currency","Number","Percent","Text","URL"}, $B113))) &gt; 0,$B113 &amp; "(" &amp; $C113 &amp; ")",$B113)))), "  ", TRIM(IF($S113 = "YES", "(External ID)", "") &amp; " " &amp; IF(SUMPRODUCT(-- ISNUMBER(SEARCH({"Unique","Unique Case Insensitive"}, $R113))) &gt; 0, "(" &amp; $R113 &amp; ")", ""))))</f>
        <v>na</v>
      </c>
      <c r="E113" s="7" t="s">
        <v>195</v>
      </c>
      <c r="F113" s="7" t="s">
        <v>195</v>
      </c>
      <c r="G113" s="7" t="s">
        <v>195</v>
      </c>
      <c r="H113" s="7" t="s">
        <v>195</v>
      </c>
      <c r="I113" s="7" t="s">
        <v>195</v>
      </c>
      <c r="J113" s="7" t="s">
        <v>195</v>
      </c>
      <c r="K113" s="7" t="s">
        <v>195</v>
      </c>
      <c r="L113" s="7" t="s">
        <v>195</v>
      </c>
      <c r="M113" s="7" t="s">
        <v>29</v>
      </c>
      <c r="N113" s="7" t="s">
        <v>29</v>
      </c>
      <c r="O113" s="7" t="s">
        <v>29</v>
      </c>
      <c r="P113" s="7" t="s">
        <v>29</v>
      </c>
      <c r="Q113" s="7" t="s">
        <v>29</v>
      </c>
      <c r="R113" s="7" t="s">
        <v>29</v>
      </c>
      <c r="S113" s="7" t="s">
        <v>29</v>
      </c>
    </row>
    <row r="114" spans="2:19">
      <c r="B114" s="7" t="s">
        <v>195</v>
      </c>
      <c r="C114" s="8" t="s">
        <v>195</v>
      </c>
      <c r="D114" s="5" t="str">
        <f>LRTRIM(CONCATENATE(IF(SUMPRODUCT(-- ISNUMBER(SEARCH({"Auto Number"}, $B114))) &gt; 0, $B114, IF(SUMPRODUCT(-- ISNUMBER(SEARCH({"Lookup","Master-Detail"}, $B114))) &gt; 0,$B114 &amp; "(" &amp; $E114 &amp; ")",IF(SUMPRODUCT(-- ISNUMBER(SEARCH({"Formula","Roll-Up Summary"}, $B114))) &gt; 0,$B114 &amp; " (" &amp; $E114 &amp; ")",IF(SUMPRODUCT(-- ISNUMBER(SEARCH({"Content","Currency","Number","Percent","Text","URL"}, $B114))) &gt; 0,$B114 &amp; "(" &amp; $C114 &amp; ")",$B114)))), "  ", TRIM(IF($S114 = "YES", "(External ID)", "") &amp; " " &amp; IF(SUMPRODUCT(-- ISNUMBER(SEARCH({"Unique","Unique Case Insensitive"}, $R114))) &gt; 0, "(" &amp; $R114 &amp; ")", ""))))</f>
        <v>na</v>
      </c>
      <c r="E114" s="7" t="s">
        <v>195</v>
      </c>
      <c r="F114" s="7" t="s">
        <v>195</v>
      </c>
      <c r="G114" s="7" t="s">
        <v>195</v>
      </c>
      <c r="H114" s="7" t="s">
        <v>195</v>
      </c>
      <c r="I114" s="7" t="s">
        <v>195</v>
      </c>
      <c r="J114" s="7" t="s">
        <v>195</v>
      </c>
      <c r="K114" s="7" t="s">
        <v>195</v>
      </c>
      <c r="L114" s="7" t="s">
        <v>195</v>
      </c>
      <c r="M114" s="7" t="s">
        <v>29</v>
      </c>
      <c r="N114" s="7" t="s">
        <v>29</v>
      </c>
      <c r="O114" s="7" t="s">
        <v>29</v>
      </c>
      <c r="P114" s="7" t="s">
        <v>29</v>
      </c>
      <c r="Q114" s="7" t="s">
        <v>29</v>
      </c>
      <c r="R114" s="7" t="s">
        <v>29</v>
      </c>
      <c r="S114" s="7" t="s">
        <v>29</v>
      </c>
    </row>
    <row r="115" spans="2:19">
      <c r="B115" s="7" t="s">
        <v>195</v>
      </c>
      <c r="C115" s="8" t="s">
        <v>195</v>
      </c>
      <c r="D115" s="5" t="str">
        <f>LRTRIM(CONCATENATE(IF(SUMPRODUCT(-- ISNUMBER(SEARCH({"Auto Number"}, $B115))) &gt; 0, $B115, IF(SUMPRODUCT(-- ISNUMBER(SEARCH({"Lookup","Master-Detail"}, $B115))) &gt; 0,$B115 &amp; "(" &amp; $E115 &amp; ")",IF(SUMPRODUCT(-- ISNUMBER(SEARCH({"Formula","Roll-Up Summary"}, $B115))) &gt; 0,$B115 &amp; " (" &amp; $E115 &amp; ")",IF(SUMPRODUCT(-- ISNUMBER(SEARCH({"Content","Currency","Number","Percent","Text","URL"}, $B115))) &gt; 0,$B115 &amp; "(" &amp; $C115 &amp; ")",$B115)))), "  ", TRIM(IF($S115 = "YES", "(External ID)", "") &amp; " " &amp; IF(SUMPRODUCT(-- ISNUMBER(SEARCH({"Unique","Unique Case Insensitive"}, $R115))) &gt; 0, "(" &amp; $R115 &amp; ")", ""))))</f>
        <v>na</v>
      </c>
      <c r="E115" s="7" t="s">
        <v>195</v>
      </c>
      <c r="F115" s="7" t="s">
        <v>195</v>
      </c>
      <c r="G115" s="7" t="s">
        <v>195</v>
      </c>
      <c r="H115" s="7" t="s">
        <v>195</v>
      </c>
      <c r="I115" s="7" t="s">
        <v>195</v>
      </c>
      <c r="J115" s="7" t="s">
        <v>195</v>
      </c>
      <c r="K115" s="7" t="s">
        <v>195</v>
      </c>
      <c r="L115" s="7" t="s">
        <v>195</v>
      </c>
      <c r="M115" s="7" t="s">
        <v>29</v>
      </c>
      <c r="N115" s="7" t="s">
        <v>29</v>
      </c>
      <c r="O115" s="7" t="s">
        <v>29</v>
      </c>
      <c r="P115" s="7" t="s">
        <v>29</v>
      </c>
      <c r="Q115" s="7" t="s">
        <v>29</v>
      </c>
      <c r="R115" s="7" t="s">
        <v>29</v>
      </c>
      <c r="S115" s="7" t="s">
        <v>29</v>
      </c>
    </row>
    <row r="116" spans="2:19">
      <c r="B116" s="7" t="s">
        <v>195</v>
      </c>
      <c r="C116" s="8" t="s">
        <v>195</v>
      </c>
      <c r="D116" s="5" t="str">
        <f>LRTRIM(CONCATENATE(IF(SUMPRODUCT(-- ISNUMBER(SEARCH({"Auto Number"}, $B116))) &gt; 0, $B116, IF(SUMPRODUCT(-- ISNUMBER(SEARCH({"Lookup","Master-Detail"}, $B116))) &gt; 0,$B116 &amp; "(" &amp; $E116 &amp; ")",IF(SUMPRODUCT(-- ISNUMBER(SEARCH({"Formula","Roll-Up Summary"}, $B116))) &gt; 0,$B116 &amp; " (" &amp; $E116 &amp; ")",IF(SUMPRODUCT(-- ISNUMBER(SEARCH({"Content","Currency","Number","Percent","Text","URL"}, $B116))) &gt; 0,$B116 &amp; "(" &amp; $C116 &amp; ")",$B116)))), "  ", TRIM(IF($S116 = "YES", "(External ID)", "") &amp; " " &amp; IF(SUMPRODUCT(-- ISNUMBER(SEARCH({"Unique","Unique Case Insensitive"}, $R116))) &gt; 0, "(" &amp; $R116 &amp; ")", ""))))</f>
        <v>na</v>
      </c>
      <c r="E116" s="7" t="s">
        <v>195</v>
      </c>
      <c r="F116" s="7" t="s">
        <v>195</v>
      </c>
      <c r="G116" s="7" t="s">
        <v>195</v>
      </c>
      <c r="H116" s="7" t="s">
        <v>195</v>
      </c>
      <c r="I116" s="7" t="s">
        <v>195</v>
      </c>
      <c r="J116" s="7" t="s">
        <v>195</v>
      </c>
      <c r="K116" s="7" t="s">
        <v>195</v>
      </c>
      <c r="L116" s="7" t="s">
        <v>195</v>
      </c>
      <c r="M116" s="7" t="s">
        <v>29</v>
      </c>
      <c r="N116" s="7" t="s">
        <v>29</v>
      </c>
      <c r="O116" s="7" t="s">
        <v>29</v>
      </c>
      <c r="P116" s="7" t="s">
        <v>29</v>
      </c>
      <c r="Q116" s="7" t="s">
        <v>29</v>
      </c>
      <c r="R116" s="7" t="s">
        <v>29</v>
      </c>
      <c r="S116" s="7" t="s">
        <v>29</v>
      </c>
    </row>
    <row r="117" spans="2:19">
      <c r="B117" s="7" t="s">
        <v>195</v>
      </c>
      <c r="C117" s="8" t="s">
        <v>195</v>
      </c>
      <c r="D117" s="5" t="str">
        <f>LRTRIM(CONCATENATE(IF(SUMPRODUCT(-- ISNUMBER(SEARCH({"Auto Number"}, $B117))) &gt; 0, $B117, IF(SUMPRODUCT(-- ISNUMBER(SEARCH({"Lookup","Master-Detail"}, $B117))) &gt; 0,$B117 &amp; "(" &amp; $E117 &amp; ")",IF(SUMPRODUCT(-- ISNUMBER(SEARCH({"Formula","Roll-Up Summary"}, $B117))) &gt; 0,$B117 &amp; " (" &amp; $E117 &amp; ")",IF(SUMPRODUCT(-- ISNUMBER(SEARCH({"Content","Currency","Number","Percent","Text","URL"}, $B117))) &gt; 0,$B117 &amp; "(" &amp; $C117 &amp; ")",$B117)))), "  ", TRIM(IF($S117 = "YES", "(External ID)", "") &amp; " " &amp; IF(SUMPRODUCT(-- ISNUMBER(SEARCH({"Unique","Unique Case Insensitive"}, $R117))) &gt; 0, "(" &amp; $R117 &amp; ")", ""))))</f>
        <v>na</v>
      </c>
      <c r="E117" s="7" t="s">
        <v>195</v>
      </c>
      <c r="F117" s="7" t="s">
        <v>195</v>
      </c>
      <c r="G117" s="7" t="s">
        <v>195</v>
      </c>
      <c r="H117" s="7" t="s">
        <v>195</v>
      </c>
      <c r="I117" s="7" t="s">
        <v>195</v>
      </c>
      <c r="J117" s="7" t="s">
        <v>195</v>
      </c>
      <c r="K117" s="7" t="s">
        <v>195</v>
      </c>
      <c r="L117" s="7" t="s">
        <v>195</v>
      </c>
      <c r="M117" s="7" t="s">
        <v>29</v>
      </c>
      <c r="N117" s="7" t="s">
        <v>29</v>
      </c>
      <c r="O117" s="7" t="s">
        <v>29</v>
      </c>
      <c r="P117" s="7" t="s">
        <v>29</v>
      </c>
      <c r="Q117" s="7" t="s">
        <v>29</v>
      </c>
      <c r="R117" s="7" t="s">
        <v>29</v>
      </c>
      <c r="S117" s="7" t="s">
        <v>29</v>
      </c>
    </row>
    <row r="118" spans="2:19">
      <c r="B118" s="7" t="s">
        <v>195</v>
      </c>
      <c r="C118" s="8" t="s">
        <v>195</v>
      </c>
      <c r="D118" s="5" t="str">
        <f>LRTRIM(CONCATENATE(IF(SUMPRODUCT(-- ISNUMBER(SEARCH({"Auto Number"}, $B118))) &gt; 0, $B118, IF(SUMPRODUCT(-- ISNUMBER(SEARCH({"Lookup","Master-Detail"}, $B118))) &gt; 0,$B118 &amp; "(" &amp; $E118 &amp; ")",IF(SUMPRODUCT(-- ISNUMBER(SEARCH({"Formula","Roll-Up Summary"}, $B118))) &gt; 0,$B118 &amp; " (" &amp; $E118 &amp; ")",IF(SUMPRODUCT(-- ISNUMBER(SEARCH({"Content","Currency","Number","Percent","Text","URL"}, $B118))) &gt; 0,$B118 &amp; "(" &amp; $C118 &amp; ")",$B118)))), "  ", TRIM(IF($S118 = "YES", "(External ID)", "") &amp; " " &amp; IF(SUMPRODUCT(-- ISNUMBER(SEARCH({"Unique","Unique Case Insensitive"}, $R118))) &gt; 0, "(" &amp; $R118 &amp; ")", ""))))</f>
        <v>na</v>
      </c>
      <c r="E118" s="7" t="s">
        <v>195</v>
      </c>
      <c r="F118" s="7" t="s">
        <v>195</v>
      </c>
      <c r="G118" s="7" t="s">
        <v>195</v>
      </c>
      <c r="H118" s="7" t="s">
        <v>195</v>
      </c>
      <c r="I118" s="7" t="s">
        <v>195</v>
      </c>
      <c r="J118" s="7" t="s">
        <v>195</v>
      </c>
      <c r="K118" s="7" t="s">
        <v>195</v>
      </c>
      <c r="L118" s="7" t="s">
        <v>195</v>
      </c>
      <c r="M118" s="7" t="s">
        <v>29</v>
      </c>
      <c r="N118" s="7" t="s">
        <v>29</v>
      </c>
      <c r="O118" s="7" t="s">
        <v>29</v>
      </c>
      <c r="P118" s="7" t="s">
        <v>29</v>
      </c>
      <c r="Q118" s="7" t="s">
        <v>29</v>
      </c>
      <c r="R118" s="7" t="s">
        <v>29</v>
      </c>
      <c r="S118" s="7" t="s">
        <v>29</v>
      </c>
    </row>
    <row r="119" spans="2:19">
      <c r="B119" s="7" t="s">
        <v>195</v>
      </c>
      <c r="C119" s="8" t="s">
        <v>195</v>
      </c>
      <c r="D119" s="5" t="str">
        <f>LRTRIM(CONCATENATE(IF(SUMPRODUCT(-- ISNUMBER(SEARCH({"Auto Number"}, $B119))) &gt; 0, $B119, IF(SUMPRODUCT(-- ISNUMBER(SEARCH({"Lookup","Master-Detail"}, $B119))) &gt; 0,$B119 &amp; "(" &amp; $E119 &amp; ")",IF(SUMPRODUCT(-- ISNUMBER(SEARCH({"Formula","Roll-Up Summary"}, $B119))) &gt; 0,$B119 &amp; " (" &amp; $E119 &amp; ")",IF(SUMPRODUCT(-- ISNUMBER(SEARCH({"Content","Currency","Number","Percent","Text","URL"}, $B119))) &gt; 0,$B119 &amp; "(" &amp; $C119 &amp; ")",$B119)))), "  ", TRIM(IF($S119 = "YES", "(External ID)", "") &amp; " " &amp; IF(SUMPRODUCT(-- ISNUMBER(SEARCH({"Unique","Unique Case Insensitive"}, $R119))) &gt; 0, "(" &amp; $R119 &amp; ")", ""))))</f>
        <v>na</v>
      </c>
      <c r="E119" s="7" t="s">
        <v>195</v>
      </c>
      <c r="F119" s="7" t="s">
        <v>195</v>
      </c>
      <c r="G119" s="7" t="s">
        <v>195</v>
      </c>
      <c r="H119" s="7" t="s">
        <v>195</v>
      </c>
      <c r="I119" s="7" t="s">
        <v>195</v>
      </c>
      <c r="J119" s="7" t="s">
        <v>195</v>
      </c>
      <c r="K119" s="7" t="s">
        <v>195</v>
      </c>
      <c r="L119" s="7" t="s">
        <v>195</v>
      </c>
      <c r="M119" s="7" t="s">
        <v>29</v>
      </c>
      <c r="N119" s="7" t="s">
        <v>29</v>
      </c>
      <c r="O119" s="7" t="s">
        <v>29</v>
      </c>
      <c r="P119" s="7" t="s">
        <v>29</v>
      </c>
      <c r="Q119" s="7" t="s">
        <v>29</v>
      </c>
      <c r="R119" s="7" t="s">
        <v>29</v>
      </c>
      <c r="S119" s="7" t="s">
        <v>29</v>
      </c>
    </row>
    <row r="120" spans="2:19">
      <c r="B120" s="7" t="s">
        <v>195</v>
      </c>
      <c r="C120" s="8" t="s">
        <v>195</v>
      </c>
      <c r="D120" s="5" t="str">
        <f>LRTRIM(CONCATENATE(IF(SUMPRODUCT(-- ISNUMBER(SEARCH({"Auto Number"}, $B120))) &gt; 0, $B120, IF(SUMPRODUCT(-- ISNUMBER(SEARCH({"Lookup","Master-Detail"}, $B120))) &gt; 0,$B120 &amp; "(" &amp; $E120 &amp; ")",IF(SUMPRODUCT(-- ISNUMBER(SEARCH({"Formula","Roll-Up Summary"}, $B120))) &gt; 0,$B120 &amp; " (" &amp; $E120 &amp; ")",IF(SUMPRODUCT(-- ISNUMBER(SEARCH({"Content","Currency","Number","Percent","Text","URL"}, $B120))) &gt; 0,$B120 &amp; "(" &amp; $C120 &amp; ")",$B120)))), "  ", TRIM(IF($S120 = "YES", "(External ID)", "") &amp; " " &amp; IF(SUMPRODUCT(-- ISNUMBER(SEARCH({"Unique","Unique Case Insensitive"}, $R120))) &gt; 0, "(" &amp; $R120 &amp; ")", ""))))</f>
        <v>na</v>
      </c>
      <c r="E120" s="7" t="s">
        <v>195</v>
      </c>
      <c r="F120" s="7" t="s">
        <v>195</v>
      </c>
      <c r="G120" s="7" t="s">
        <v>195</v>
      </c>
      <c r="H120" s="7" t="s">
        <v>195</v>
      </c>
      <c r="I120" s="7" t="s">
        <v>195</v>
      </c>
      <c r="J120" s="7" t="s">
        <v>195</v>
      </c>
      <c r="K120" s="7" t="s">
        <v>195</v>
      </c>
      <c r="L120" s="7" t="s">
        <v>195</v>
      </c>
      <c r="M120" s="7" t="s">
        <v>29</v>
      </c>
      <c r="N120" s="7" t="s">
        <v>29</v>
      </c>
      <c r="O120" s="7" t="s">
        <v>29</v>
      </c>
      <c r="P120" s="7" t="s">
        <v>29</v>
      </c>
      <c r="Q120" s="7" t="s">
        <v>29</v>
      </c>
      <c r="R120" s="7" t="s">
        <v>29</v>
      </c>
      <c r="S120" s="7" t="s">
        <v>29</v>
      </c>
    </row>
    <row r="121" spans="2:19">
      <c r="B121" s="7" t="s">
        <v>195</v>
      </c>
      <c r="C121" s="8" t="s">
        <v>195</v>
      </c>
      <c r="D121" s="5" t="str">
        <f>LRTRIM(CONCATENATE(IF(SUMPRODUCT(-- ISNUMBER(SEARCH({"Auto Number"}, $B121))) &gt; 0, $B121, IF(SUMPRODUCT(-- ISNUMBER(SEARCH({"Lookup","Master-Detail"}, $B121))) &gt; 0,$B121 &amp; "(" &amp; $E121 &amp; ")",IF(SUMPRODUCT(-- ISNUMBER(SEARCH({"Formula","Roll-Up Summary"}, $B121))) &gt; 0,$B121 &amp; " (" &amp; $E121 &amp; ")",IF(SUMPRODUCT(-- ISNUMBER(SEARCH({"Content","Currency","Number","Percent","Text","URL"}, $B121))) &gt; 0,$B121 &amp; "(" &amp; $C121 &amp; ")",$B121)))), "  ", TRIM(IF($S121 = "YES", "(External ID)", "") &amp; " " &amp; IF(SUMPRODUCT(-- ISNUMBER(SEARCH({"Unique","Unique Case Insensitive"}, $R121))) &gt; 0, "(" &amp; $R121 &amp; ")", ""))))</f>
        <v>na</v>
      </c>
      <c r="E121" s="7" t="s">
        <v>195</v>
      </c>
      <c r="F121" s="7" t="s">
        <v>195</v>
      </c>
      <c r="G121" s="7" t="s">
        <v>195</v>
      </c>
      <c r="H121" s="7" t="s">
        <v>195</v>
      </c>
      <c r="I121" s="7" t="s">
        <v>195</v>
      </c>
      <c r="J121" s="7" t="s">
        <v>195</v>
      </c>
      <c r="K121" s="7" t="s">
        <v>195</v>
      </c>
      <c r="L121" s="7" t="s">
        <v>195</v>
      </c>
      <c r="M121" s="7" t="s">
        <v>29</v>
      </c>
      <c r="N121" s="7" t="s">
        <v>29</v>
      </c>
      <c r="O121" s="7" t="s">
        <v>29</v>
      </c>
      <c r="P121" s="7" t="s">
        <v>29</v>
      </c>
      <c r="Q121" s="7" t="s">
        <v>29</v>
      </c>
      <c r="R121" s="7" t="s">
        <v>29</v>
      </c>
      <c r="S121" s="7" t="s">
        <v>29</v>
      </c>
    </row>
    <row r="122" spans="2:19">
      <c r="B122" s="7" t="s">
        <v>195</v>
      </c>
      <c r="C122" s="8" t="s">
        <v>195</v>
      </c>
      <c r="D122" s="5" t="str">
        <f>LRTRIM(CONCATENATE(IF(SUMPRODUCT(-- ISNUMBER(SEARCH({"Auto Number"}, $B122))) &gt; 0, $B122, IF(SUMPRODUCT(-- ISNUMBER(SEARCH({"Lookup","Master-Detail"}, $B122))) &gt; 0,$B122 &amp; "(" &amp; $E122 &amp; ")",IF(SUMPRODUCT(-- ISNUMBER(SEARCH({"Formula","Roll-Up Summary"}, $B122))) &gt; 0,$B122 &amp; " (" &amp; $E122 &amp; ")",IF(SUMPRODUCT(-- ISNUMBER(SEARCH({"Content","Currency","Number","Percent","Text","URL"}, $B122))) &gt; 0,$B122 &amp; "(" &amp; $C122 &amp; ")",$B122)))), "  ", TRIM(IF($S122 = "YES", "(External ID)", "") &amp; " " &amp; IF(SUMPRODUCT(-- ISNUMBER(SEARCH({"Unique","Unique Case Insensitive"}, $R122))) &gt; 0, "(" &amp; $R122 &amp; ")", ""))))</f>
        <v>na</v>
      </c>
      <c r="E122" s="7" t="s">
        <v>195</v>
      </c>
      <c r="F122" s="7" t="s">
        <v>195</v>
      </c>
      <c r="G122" s="7" t="s">
        <v>195</v>
      </c>
      <c r="H122" s="7" t="s">
        <v>195</v>
      </c>
      <c r="I122" s="7" t="s">
        <v>195</v>
      </c>
      <c r="J122" s="7" t="s">
        <v>195</v>
      </c>
      <c r="K122" s="7" t="s">
        <v>195</v>
      </c>
      <c r="L122" s="7" t="s">
        <v>195</v>
      </c>
      <c r="M122" s="7" t="s">
        <v>29</v>
      </c>
      <c r="N122" s="7" t="s">
        <v>29</v>
      </c>
      <c r="O122" s="7" t="s">
        <v>29</v>
      </c>
      <c r="P122" s="7" t="s">
        <v>29</v>
      </c>
      <c r="Q122" s="7" t="s">
        <v>29</v>
      </c>
      <c r="R122" s="7" t="s">
        <v>29</v>
      </c>
      <c r="S122" s="7" t="s">
        <v>29</v>
      </c>
    </row>
    <row r="123" spans="2:19">
      <c r="B123" s="7" t="s">
        <v>195</v>
      </c>
      <c r="C123" s="8" t="s">
        <v>195</v>
      </c>
      <c r="D123" s="5" t="str">
        <f>LRTRIM(CONCATENATE(IF(SUMPRODUCT(-- ISNUMBER(SEARCH({"Auto Number"}, $B123))) &gt; 0, $B123, IF(SUMPRODUCT(-- ISNUMBER(SEARCH({"Lookup","Master-Detail"}, $B123))) &gt; 0,$B123 &amp; "(" &amp; $E123 &amp; ")",IF(SUMPRODUCT(-- ISNUMBER(SEARCH({"Formula","Roll-Up Summary"}, $B123))) &gt; 0,$B123 &amp; " (" &amp; $E123 &amp; ")",IF(SUMPRODUCT(-- ISNUMBER(SEARCH({"Content","Currency","Number","Percent","Text","URL"}, $B123))) &gt; 0,$B123 &amp; "(" &amp; $C123 &amp; ")",$B123)))), "  ", TRIM(IF($S123 = "YES", "(External ID)", "") &amp; " " &amp; IF(SUMPRODUCT(-- ISNUMBER(SEARCH({"Unique","Unique Case Insensitive"}, $R123))) &gt; 0, "(" &amp; $R123 &amp; ")", ""))))</f>
        <v>na</v>
      </c>
      <c r="E123" s="7" t="s">
        <v>195</v>
      </c>
      <c r="F123" s="7" t="s">
        <v>195</v>
      </c>
      <c r="G123" s="7" t="s">
        <v>195</v>
      </c>
      <c r="H123" s="7" t="s">
        <v>195</v>
      </c>
      <c r="I123" s="7" t="s">
        <v>195</v>
      </c>
      <c r="J123" s="7" t="s">
        <v>195</v>
      </c>
      <c r="K123" s="7" t="s">
        <v>195</v>
      </c>
      <c r="L123" s="7" t="s">
        <v>195</v>
      </c>
      <c r="M123" s="7" t="s">
        <v>29</v>
      </c>
      <c r="N123" s="7" t="s">
        <v>29</v>
      </c>
      <c r="O123" s="7" t="s">
        <v>29</v>
      </c>
      <c r="P123" s="7" t="s">
        <v>29</v>
      </c>
      <c r="Q123" s="7" t="s">
        <v>29</v>
      </c>
      <c r="R123" s="7" t="s">
        <v>29</v>
      </c>
      <c r="S123" s="7" t="s">
        <v>29</v>
      </c>
    </row>
    <row r="124" spans="2:19">
      <c r="B124" s="7" t="s">
        <v>195</v>
      </c>
      <c r="C124" s="8" t="s">
        <v>195</v>
      </c>
      <c r="D124" s="5" t="str">
        <f>LRTRIM(CONCATENATE(IF(SUMPRODUCT(-- ISNUMBER(SEARCH({"Auto Number"}, $B124))) &gt; 0, $B124, IF(SUMPRODUCT(-- ISNUMBER(SEARCH({"Lookup","Master-Detail"}, $B124))) &gt; 0,$B124 &amp; "(" &amp; $E124 &amp; ")",IF(SUMPRODUCT(-- ISNUMBER(SEARCH({"Formula","Roll-Up Summary"}, $B124))) &gt; 0,$B124 &amp; " (" &amp; $E124 &amp; ")",IF(SUMPRODUCT(-- ISNUMBER(SEARCH({"Content","Currency","Number","Percent","Text","URL"}, $B124))) &gt; 0,$B124 &amp; "(" &amp; $C124 &amp; ")",$B124)))), "  ", TRIM(IF($S124 = "YES", "(External ID)", "") &amp; " " &amp; IF(SUMPRODUCT(-- ISNUMBER(SEARCH({"Unique","Unique Case Insensitive"}, $R124))) &gt; 0, "(" &amp; $R124 &amp; ")", ""))))</f>
        <v>na</v>
      </c>
      <c r="E124" s="7" t="s">
        <v>195</v>
      </c>
      <c r="F124" s="7" t="s">
        <v>195</v>
      </c>
      <c r="G124" s="7" t="s">
        <v>195</v>
      </c>
      <c r="H124" s="7" t="s">
        <v>195</v>
      </c>
      <c r="I124" s="7" t="s">
        <v>195</v>
      </c>
      <c r="J124" s="7" t="s">
        <v>195</v>
      </c>
      <c r="K124" s="7" t="s">
        <v>195</v>
      </c>
      <c r="L124" s="7" t="s">
        <v>195</v>
      </c>
      <c r="M124" s="7" t="s">
        <v>29</v>
      </c>
      <c r="N124" s="7" t="s">
        <v>29</v>
      </c>
      <c r="O124" s="7" t="s">
        <v>29</v>
      </c>
      <c r="P124" s="7" t="s">
        <v>29</v>
      </c>
      <c r="Q124" s="7" t="s">
        <v>29</v>
      </c>
      <c r="R124" s="7" t="s">
        <v>29</v>
      </c>
      <c r="S124" s="7" t="s">
        <v>29</v>
      </c>
    </row>
    <row r="125" spans="2:19">
      <c r="B125" s="7" t="s">
        <v>195</v>
      </c>
      <c r="C125" s="8" t="s">
        <v>195</v>
      </c>
      <c r="D125" s="5" t="str">
        <f>LRTRIM(CONCATENATE(IF(SUMPRODUCT(-- ISNUMBER(SEARCH({"Auto Number"}, $B125))) &gt; 0, $B125, IF(SUMPRODUCT(-- ISNUMBER(SEARCH({"Lookup","Master-Detail"}, $B125))) &gt; 0,$B125 &amp; "(" &amp; $E125 &amp; ")",IF(SUMPRODUCT(-- ISNUMBER(SEARCH({"Formula","Roll-Up Summary"}, $B125))) &gt; 0,$B125 &amp; " (" &amp; $E125 &amp; ")",IF(SUMPRODUCT(-- ISNUMBER(SEARCH({"Content","Currency","Number","Percent","Text","URL"}, $B125))) &gt; 0,$B125 &amp; "(" &amp; $C125 &amp; ")",$B125)))), "  ", TRIM(IF($S125 = "YES", "(External ID)", "") &amp; " " &amp; IF(SUMPRODUCT(-- ISNUMBER(SEARCH({"Unique","Unique Case Insensitive"}, $R125))) &gt; 0, "(" &amp; $R125 &amp; ")", ""))))</f>
        <v>na</v>
      </c>
      <c r="E125" s="7" t="s">
        <v>195</v>
      </c>
      <c r="F125" s="7" t="s">
        <v>195</v>
      </c>
      <c r="G125" s="7" t="s">
        <v>195</v>
      </c>
      <c r="H125" s="7" t="s">
        <v>195</v>
      </c>
      <c r="I125" s="7" t="s">
        <v>195</v>
      </c>
      <c r="J125" s="7" t="s">
        <v>195</v>
      </c>
      <c r="K125" s="7" t="s">
        <v>195</v>
      </c>
      <c r="L125" s="7" t="s">
        <v>195</v>
      </c>
      <c r="M125" s="7" t="s">
        <v>29</v>
      </c>
      <c r="N125" s="7" t="s">
        <v>29</v>
      </c>
      <c r="O125" s="7" t="s">
        <v>29</v>
      </c>
      <c r="P125" s="7" t="s">
        <v>29</v>
      </c>
      <c r="Q125" s="7" t="s">
        <v>29</v>
      </c>
      <c r="R125" s="7" t="s">
        <v>29</v>
      </c>
      <c r="S125" s="7" t="s">
        <v>29</v>
      </c>
    </row>
    <row r="126" spans="2:19">
      <c r="B126" s="7" t="s">
        <v>195</v>
      </c>
      <c r="C126" s="8" t="s">
        <v>195</v>
      </c>
      <c r="D126" s="5" t="str">
        <f>LRTRIM(CONCATENATE(IF(SUMPRODUCT(-- ISNUMBER(SEARCH({"Auto Number"}, $B126))) &gt; 0, $B126, IF(SUMPRODUCT(-- ISNUMBER(SEARCH({"Lookup","Master-Detail"}, $B126))) &gt; 0,$B126 &amp; "(" &amp; $E126 &amp; ")",IF(SUMPRODUCT(-- ISNUMBER(SEARCH({"Formula","Roll-Up Summary"}, $B126))) &gt; 0,$B126 &amp; " (" &amp; $E126 &amp; ")",IF(SUMPRODUCT(-- ISNUMBER(SEARCH({"Content","Currency","Number","Percent","Text","URL"}, $B126))) &gt; 0,$B126 &amp; "(" &amp; $C126 &amp; ")",$B126)))), "  ", TRIM(IF($S126 = "YES", "(External ID)", "") &amp; " " &amp; IF(SUMPRODUCT(-- ISNUMBER(SEARCH({"Unique","Unique Case Insensitive"}, $R126))) &gt; 0, "(" &amp; $R126 &amp; ")", ""))))</f>
        <v>na</v>
      </c>
      <c r="E126" s="7" t="s">
        <v>195</v>
      </c>
      <c r="F126" s="7" t="s">
        <v>195</v>
      </c>
      <c r="G126" s="7" t="s">
        <v>195</v>
      </c>
      <c r="H126" s="7" t="s">
        <v>195</v>
      </c>
      <c r="I126" s="7" t="s">
        <v>195</v>
      </c>
      <c r="J126" s="7" t="s">
        <v>195</v>
      </c>
      <c r="K126" s="7" t="s">
        <v>195</v>
      </c>
      <c r="L126" s="7" t="s">
        <v>195</v>
      </c>
      <c r="M126" s="7" t="s">
        <v>29</v>
      </c>
      <c r="N126" s="7" t="s">
        <v>29</v>
      </c>
      <c r="O126" s="7" t="s">
        <v>29</v>
      </c>
      <c r="P126" s="7" t="s">
        <v>29</v>
      </c>
      <c r="Q126" s="7" t="s">
        <v>29</v>
      </c>
      <c r="R126" s="7" t="s">
        <v>29</v>
      </c>
      <c r="S126" s="7" t="s">
        <v>29</v>
      </c>
    </row>
    <row r="127" spans="2:19">
      <c r="B127" s="7" t="s">
        <v>195</v>
      </c>
      <c r="C127" s="8" t="s">
        <v>195</v>
      </c>
      <c r="D127" s="5" t="str">
        <f>LRTRIM(CONCATENATE(IF(SUMPRODUCT(-- ISNUMBER(SEARCH({"Auto Number"}, $B127))) &gt; 0, $B127, IF(SUMPRODUCT(-- ISNUMBER(SEARCH({"Lookup","Master-Detail"}, $B127))) &gt; 0,$B127 &amp; "(" &amp; $E127 &amp; ")",IF(SUMPRODUCT(-- ISNUMBER(SEARCH({"Formula","Roll-Up Summary"}, $B127))) &gt; 0,$B127 &amp; " (" &amp; $E127 &amp; ")",IF(SUMPRODUCT(-- ISNUMBER(SEARCH({"Content","Currency","Number","Percent","Text","URL"}, $B127))) &gt; 0,$B127 &amp; "(" &amp; $C127 &amp; ")",$B127)))), "  ", TRIM(IF($S127 = "YES", "(External ID)", "") &amp; " " &amp; IF(SUMPRODUCT(-- ISNUMBER(SEARCH({"Unique","Unique Case Insensitive"}, $R127))) &gt; 0, "(" &amp; $R127 &amp; ")", ""))))</f>
        <v>na</v>
      </c>
      <c r="E127" s="7" t="s">
        <v>195</v>
      </c>
      <c r="F127" s="7" t="s">
        <v>195</v>
      </c>
      <c r="G127" s="7" t="s">
        <v>195</v>
      </c>
      <c r="H127" s="7" t="s">
        <v>195</v>
      </c>
      <c r="I127" s="7" t="s">
        <v>195</v>
      </c>
      <c r="J127" s="7" t="s">
        <v>195</v>
      </c>
      <c r="K127" s="7" t="s">
        <v>195</v>
      </c>
      <c r="L127" s="7" t="s">
        <v>195</v>
      </c>
      <c r="M127" s="7" t="s">
        <v>29</v>
      </c>
      <c r="N127" s="7" t="s">
        <v>29</v>
      </c>
      <c r="O127" s="7" t="s">
        <v>29</v>
      </c>
      <c r="P127" s="7" t="s">
        <v>29</v>
      </c>
      <c r="Q127" s="7" t="s">
        <v>29</v>
      </c>
      <c r="R127" s="7" t="s">
        <v>29</v>
      </c>
      <c r="S127" s="7" t="s">
        <v>29</v>
      </c>
    </row>
    <row r="128" spans="2:19">
      <c r="B128" s="7" t="s">
        <v>195</v>
      </c>
      <c r="C128" s="8" t="s">
        <v>195</v>
      </c>
      <c r="D128" s="5" t="str">
        <f>LRTRIM(CONCATENATE(IF(SUMPRODUCT(-- ISNUMBER(SEARCH({"Auto Number"}, $B128))) &gt; 0, $B128, IF(SUMPRODUCT(-- ISNUMBER(SEARCH({"Lookup","Master-Detail"}, $B128))) &gt; 0,$B128 &amp; "(" &amp; $E128 &amp; ")",IF(SUMPRODUCT(-- ISNUMBER(SEARCH({"Formula","Roll-Up Summary"}, $B128))) &gt; 0,$B128 &amp; " (" &amp; $E128 &amp; ")",IF(SUMPRODUCT(-- ISNUMBER(SEARCH({"Content","Currency","Number","Percent","Text","URL"}, $B128))) &gt; 0,$B128 &amp; "(" &amp; $C128 &amp; ")",$B128)))), "  ", TRIM(IF($S128 = "YES", "(External ID)", "") &amp; " " &amp; IF(SUMPRODUCT(-- ISNUMBER(SEARCH({"Unique","Unique Case Insensitive"}, $R128))) &gt; 0, "(" &amp; $R128 &amp; ")", ""))))</f>
        <v>na</v>
      </c>
      <c r="E128" s="7" t="s">
        <v>195</v>
      </c>
      <c r="F128" s="7" t="s">
        <v>195</v>
      </c>
      <c r="G128" s="7" t="s">
        <v>195</v>
      </c>
      <c r="H128" s="7" t="s">
        <v>195</v>
      </c>
      <c r="I128" s="7" t="s">
        <v>195</v>
      </c>
      <c r="J128" s="7" t="s">
        <v>195</v>
      </c>
      <c r="K128" s="7" t="s">
        <v>195</v>
      </c>
      <c r="L128" s="7" t="s">
        <v>195</v>
      </c>
      <c r="M128" s="7" t="s">
        <v>29</v>
      </c>
      <c r="N128" s="7" t="s">
        <v>29</v>
      </c>
      <c r="O128" s="7" t="s">
        <v>29</v>
      </c>
      <c r="P128" s="7" t="s">
        <v>29</v>
      </c>
      <c r="Q128" s="7" t="s">
        <v>29</v>
      </c>
      <c r="R128" s="7" t="s">
        <v>29</v>
      </c>
      <c r="S128" s="7" t="s">
        <v>29</v>
      </c>
    </row>
    <row r="129" spans="2:19">
      <c r="B129" s="7" t="s">
        <v>195</v>
      </c>
      <c r="C129" s="8" t="s">
        <v>195</v>
      </c>
      <c r="D129" s="5" t="str">
        <f>LRTRIM(CONCATENATE(IF(SUMPRODUCT(-- ISNUMBER(SEARCH({"Auto Number"}, $B129))) &gt; 0, $B129, IF(SUMPRODUCT(-- ISNUMBER(SEARCH({"Lookup","Master-Detail"}, $B129))) &gt; 0,$B129 &amp; "(" &amp; $E129 &amp; ")",IF(SUMPRODUCT(-- ISNUMBER(SEARCH({"Formula","Roll-Up Summary"}, $B129))) &gt; 0,$B129 &amp; " (" &amp; $E129 &amp; ")",IF(SUMPRODUCT(-- ISNUMBER(SEARCH({"Content","Currency","Number","Percent","Text","URL"}, $B129))) &gt; 0,$B129 &amp; "(" &amp; $C129 &amp; ")",$B129)))), "  ", TRIM(IF($S129 = "YES", "(External ID)", "") &amp; " " &amp; IF(SUMPRODUCT(-- ISNUMBER(SEARCH({"Unique","Unique Case Insensitive"}, $R129))) &gt; 0, "(" &amp; $R129 &amp; ")", ""))))</f>
        <v>na</v>
      </c>
      <c r="E129" s="7" t="s">
        <v>195</v>
      </c>
      <c r="F129" s="7" t="s">
        <v>195</v>
      </c>
      <c r="G129" s="7" t="s">
        <v>195</v>
      </c>
      <c r="H129" s="7" t="s">
        <v>195</v>
      </c>
      <c r="I129" s="7" t="s">
        <v>195</v>
      </c>
      <c r="J129" s="7" t="s">
        <v>195</v>
      </c>
      <c r="K129" s="7" t="s">
        <v>195</v>
      </c>
      <c r="L129" s="7" t="s">
        <v>195</v>
      </c>
      <c r="M129" s="7" t="s">
        <v>29</v>
      </c>
      <c r="N129" s="7" t="s">
        <v>29</v>
      </c>
      <c r="O129" s="7" t="s">
        <v>29</v>
      </c>
      <c r="P129" s="7" t="s">
        <v>29</v>
      </c>
      <c r="Q129" s="7" t="s">
        <v>29</v>
      </c>
      <c r="R129" s="7" t="s">
        <v>29</v>
      </c>
      <c r="S129" s="7" t="s">
        <v>29</v>
      </c>
    </row>
    <row r="130" spans="2:19">
      <c r="B130" s="7" t="s">
        <v>195</v>
      </c>
      <c r="C130" s="8" t="s">
        <v>195</v>
      </c>
      <c r="D130" s="5" t="str">
        <f>LRTRIM(CONCATENATE(IF(SUMPRODUCT(-- ISNUMBER(SEARCH({"Auto Number"}, $B130))) &gt; 0, $B130, IF(SUMPRODUCT(-- ISNUMBER(SEARCH({"Lookup","Master-Detail"}, $B130))) &gt; 0,$B130 &amp; "(" &amp; $E130 &amp; ")",IF(SUMPRODUCT(-- ISNUMBER(SEARCH({"Formula","Roll-Up Summary"}, $B130))) &gt; 0,$B130 &amp; " (" &amp; $E130 &amp; ")",IF(SUMPRODUCT(-- ISNUMBER(SEARCH({"Content","Currency","Number","Percent","Text","URL"}, $B130))) &gt; 0,$B130 &amp; "(" &amp; $C130 &amp; ")",$B130)))), "  ", TRIM(IF($S130 = "YES", "(External ID)", "") &amp; " " &amp; IF(SUMPRODUCT(-- ISNUMBER(SEARCH({"Unique","Unique Case Insensitive"}, $R130))) &gt; 0, "(" &amp; $R130 &amp; ")", ""))))</f>
        <v>na</v>
      </c>
      <c r="E130" s="7" t="s">
        <v>195</v>
      </c>
      <c r="F130" s="7" t="s">
        <v>195</v>
      </c>
      <c r="G130" s="7" t="s">
        <v>195</v>
      </c>
      <c r="H130" s="7" t="s">
        <v>195</v>
      </c>
      <c r="I130" s="7" t="s">
        <v>195</v>
      </c>
      <c r="J130" s="7" t="s">
        <v>195</v>
      </c>
      <c r="K130" s="7" t="s">
        <v>195</v>
      </c>
      <c r="L130" s="7" t="s">
        <v>195</v>
      </c>
      <c r="M130" s="7" t="s">
        <v>29</v>
      </c>
      <c r="N130" s="7" t="s">
        <v>29</v>
      </c>
      <c r="O130" s="7" t="s">
        <v>29</v>
      </c>
      <c r="P130" s="7" t="s">
        <v>29</v>
      </c>
      <c r="Q130" s="7" t="s">
        <v>29</v>
      </c>
      <c r="R130" s="7" t="s">
        <v>29</v>
      </c>
      <c r="S130" s="7" t="s">
        <v>29</v>
      </c>
    </row>
    <row r="131" spans="2:19">
      <c r="B131" s="7" t="s">
        <v>195</v>
      </c>
      <c r="C131" s="8" t="s">
        <v>195</v>
      </c>
      <c r="D131" s="5" t="str">
        <f>LRTRIM(CONCATENATE(IF(SUMPRODUCT(-- ISNUMBER(SEARCH({"Auto Number"}, $B131))) &gt; 0, $B131, IF(SUMPRODUCT(-- ISNUMBER(SEARCH({"Lookup","Master-Detail"}, $B131))) &gt; 0,$B131 &amp; "(" &amp; $E131 &amp; ")",IF(SUMPRODUCT(-- ISNUMBER(SEARCH({"Formula","Roll-Up Summary"}, $B131))) &gt; 0,$B131 &amp; " (" &amp; $E131 &amp; ")",IF(SUMPRODUCT(-- ISNUMBER(SEARCH({"Content","Currency","Number","Percent","Text","URL"}, $B131))) &gt; 0,$B131 &amp; "(" &amp; $C131 &amp; ")",$B131)))), "  ", TRIM(IF($S131 = "YES", "(External ID)", "") &amp; " " &amp; IF(SUMPRODUCT(-- ISNUMBER(SEARCH({"Unique","Unique Case Insensitive"}, $R131))) &gt; 0, "(" &amp; $R131 &amp; ")", ""))))</f>
        <v>na</v>
      </c>
      <c r="E131" s="7" t="s">
        <v>195</v>
      </c>
      <c r="F131" s="7" t="s">
        <v>195</v>
      </c>
      <c r="G131" s="7" t="s">
        <v>195</v>
      </c>
      <c r="H131" s="7" t="s">
        <v>195</v>
      </c>
      <c r="I131" s="7" t="s">
        <v>195</v>
      </c>
      <c r="J131" s="7" t="s">
        <v>195</v>
      </c>
      <c r="K131" s="7" t="s">
        <v>195</v>
      </c>
      <c r="L131" s="7" t="s">
        <v>195</v>
      </c>
      <c r="M131" s="7" t="s">
        <v>29</v>
      </c>
      <c r="N131" s="7" t="s">
        <v>29</v>
      </c>
      <c r="O131" s="7" t="s">
        <v>29</v>
      </c>
      <c r="P131" s="7" t="s">
        <v>29</v>
      </c>
      <c r="Q131" s="7" t="s">
        <v>29</v>
      </c>
      <c r="R131" s="7" t="s">
        <v>29</v>
      </c>
      <c r="S131" s="7" t="s">
        <v>29</v>
      </c>
    </row>
    <row r="132" spans="2:19">
      <c r="B132" s="7" t="s">
        <v>195</v>
      </c>
      <c r="C132" s="8" t="s">
        <v>195</v>
      </c>
      <c r="D132" s="5" t="str">
        <f>LRTRIM(CONCATENATE(IF(SUMPRODUCT(-- ISNUMBER(SEARCH({"Auto Number"}, $B132))) &gt; 0, $B132, IF(SUMPRODUCT(-- ISNUMBER(SEARCH({"Lookup","Master-Detail"}, $B132))) &gt; 0,$B132 &amp; "(" &amp; $E132 &amp; ")",IF(SUMPRODUCT(-- ISNUMBER(SEARCH({"Formula","Roll-Up Summary"}, $B132))) &gt; 0,$B132 &amp; " (" &amp; $E132 &amp; ")",IF(SUMPRODUCT(-- ISNUMBER(SEARCH({"Content","Currency","Number","Percent","Text","URL"}, $B132))) &gt; 0,$B132 &amp; "(" &amp; $C132 &amp; ")",$B132)))), "  ", TRIM(IF($S132 = "YES", "(External ID)", "") &amp; " " &amp; IF(SUMPRODUCT(-- ISNUMBER(SEARCH({"Unique","Unique Case Insensitive"}, $R132))) &gt; 0, "(" &amp; $R132 &amp; ")", ""))))</f>
        <v>na</v>
      </c>
      <c r="E132" s="7" t="s">
        <v>195</v>
      </c>
      <c r="F132" s="7" t="s">
        <v>195</v>
      </c>
      <c r="G132" s="7" t="s">
        <v>195</v>
      </c>
      <c r="H132" s="7" t="s">
        <v>195</v>
      </c>
      <c r="I132" s="7" t="s">
        <v>195</v>
      </c>
      <c r="J132" s="7" t="s">
        <v>195</v>
      </c>
      <c r="K132" s="7" t="s">
        <v>195</v>
      </c>
      <c r="L132" s="7" t="s">
        <v>195</v>
      </c>
      <c r="M132" s="7" t="s">
        <v>29</v>
      </c>
      <c r="N132" s="7" t="s">
        <v>29</v>
      </c>
      <c r="O132" s="7" t="s">
        <v>29</v>
      </c>
      <c r="P132" s="7" t="s">
        <v>29</v>
      </c>
      <c r="Q132" s="7" t="s">
        <v>29</v>
      </c>
      <c r="R132" s="7" t="s">
        <v>29</v>
      </c>
      <c r="S132" s="7" t="s">
        <v>29</v>
      </c>
    </row>
    <row r="133" spans="2:19">
      <c r="B133" s="7" t="s">
        <v>195</v>
      </c>
      <c r="C133" s="8" t="s">
        <v>195</v>
      </c>
      <c r="D133" s="5" t="str">
        <f>LRTRIM(CONCATENATE(IF(SUMPRODUCT(-- ISNUMBER(SEARCH({"Auto Number"}, $B133))) &gt; 0, $B133, IF(SUMPRODUCT(-- ISNUMBER(SEARCH({"Lookup","Master-Detail"}, $B133))) &gt; 0,$B133 &amp; "(" &amp; $E133 &amp; ")",IF(SUMPRODUCT(-- ISNUMBER(SEARCH({"Formula","Roll-Up Summary"}, $B133))) &gt; 0,$B133 &amp; " (" &amp; $E133 &amp; ")",IF(SUMPRODUCT(-- ISNUMBER(SEARCH({"Content","Currency","Number","Percent","Text","URL"}, $B133))) &gt; 0,$B133 &amp; "(" &amp; $C133 &amp; ")",$B133)))), "  ", TRIM(IF($S133 = "YES", "(External ID)", "") &amp; " " &amp; IF(SUMPRODUCT(-- ISNUMBER(SEARCH({"Unique","Unique Case Insensitive"}, $R133))) &gt; 0, "(" &amp; $R133 &amp; ")", ""))))</f>
        <v>na</v>
      </c>
      <c r="E133" s="7" t="s">
        <v>195</v>
      </c>
      <c r="F133" s="7" t="s">
        <v>195</v>
      </c>
      <c r="G133" s="7" t="s">
        <v>195</v>
      </c>
      <c r="H133" s="7" t="s">
        <v>195</v>
      </c>
      <c r="I133" s="7" t="s">
        <v>195</v>
      </c>
      <c r="J133" s="7" t="s">
        <v>195</v>
      </c>
      <c r="K133" s="7" t="s">
        <v>195</v>
      </c>
      <c r="L133" s="7" t="s">
        <v>195</v>
      </c>
      <c r="M133" s="7" t="s">
        <v>29</v>
      </c>
      <c r="N133" s="7" t="s">
        <v>29</v>
      </c>
      <c r="O133" s="7" t="s">
        <v>29</v>
      </c>
      <c r="P133" s="7" t="s">
        <v>29</v>
      </c>
      <c r="Q133" s="7" t="s">
        <v>29</v>
      </c>
      <c r="R133" s="7" t="s">
        <v>29</v>
      </c>
      <c r="S133" s="7" t="s">
        <v>29</v>
      </c>
    </row>
    <row r="134" spans="2:19">
      <c r="B134" s="7" t="s">
        <v>195</v>
      </c>
      <c r="C134" s="8" t="s">
        <v>195</v>
      </c>
      <c r="D134" s="5" t="str">
        <f>LRTRIM(CONCATENATE(IF(SUMPRODUCT(-- ISNUMBER(SEARCH({"Auto Number"}, $B134))) &gt; 0, $B134, IF(SUMPRODUCT(-- ISNUMBER(SEARCH({"Lookup","Master-Detail"}, $B134))) &gt; 0,$B134 &amp; "(" &amp; $E134 &amp; ")",IF(SUMPRODUCT(-- ISNUMBER(SEARCH({"Formula","Roll-Up Summary"}, $B134))) &gt; 0,$B134 &amp; " (" &amp; $E134 &amp; ")",IF(SUMPRODUCT(-- ISNUMBER(SEARCH({"Content","Currency","Number","Percent","Text","URL"}, $B134))) &gt; 0,$B134 &amp; "(" &amp; $C134 &amp; ")",$B134)))), "  ", TRIM(IF($S134 = "YES", "(External ID)", "") &amp; " " &amp; IF(SUMPRODUCT(-- ISNUMBER(SEARCH({"Unique","Unique Case Insensitive"}, $R134))) &gt; 0, "(" &amp; $R134 &amp; ")", ""))))</f>
        <v>na</v>
      </c>
      <c r="E134" s="7" t="s">
        <v>195</v>
      </c>
      <c r="F134" s="7" t="s">
        <v>195</v>
      </c>
      <c r="G134" s="7" t="s">
        <v>195</v>
      </c>
      <c r="H134" s="7" t="s">
        <v>195</v>
      </c>
      <c r="I134" s="7" t="s">
        <v>195</v>
      </c>
      <c r="J134" s="7" t="s">
        <v>195</v>
      </c>
      <c r="K134" s="7" t="s">
        <v>195</v>
      </c>
      <c r="L134" s="7" t="s">
        <v>195</v>
      </c>
      <c r="M134" s="7" t="s">
        <v>29</v>
      </c>
      <c r="N134" s="7" t="s">
        <v>29</v>
      </c>
      <c r="O134" s="7" t="s">
        <v>29</v>
      </c>
      <c r="P134" s="7" t="s">
        <v>29</v>
      </c>
      <c r="Q134" s="7" t="s">
        <v>29</v>
      </c>
      <c r="R134" s="7" t="s">
        <v>29</v>
      </c>
      <c r="S134" s="7" t="s">
        <v>29</v>
      </c>
    </row>
    <row r="135" spans="2:19">
      <c r="B135" s="7" t="s">
        <v>195</v>
      </c>
      <c r="C135" s="8" t="s">
        <v>195</v>
      </c>
      <c r="D135" s="5" t="str">
        <f>LRTRIM(CONCATENATE(IF(SUMPRODUCT(-- ISNUMBER(SEARCH({"Auto Number"}, $B135))) &gt; 0, $B135, IF(SUMPRODUCT(-- ISNUMBER(SEARCH({"Lookup","Master-Detail"}, $B135))) &gt; 0,$B135 &amp; "(" &amp; $E135 &amp; ")",IF(SUMPRODUCT(-- ISNUMBER(SEARCH({"Formula","Roll-Up Summary"}, $B135))) &gt; 0,$B135 &amp; " (" &amp; $E135 &amp; ")",IF(SUMPRODUCT(-- ISNUMBER(SEARCH({"Content","Currency","Number","Percent","Text","URL"}, $B135))) &gt; 0,$B135 &amp; "(" &amp; $C135 &amp; ")",$B135)))), "  ", TRIM(IF($S135 = "YES", "(External ID)", "") &amp; " " &amp; IF(SUMPRODUCT(-- ISNUMBER(SEARCH({"Unique","Unique Case Insensitive"}, $R135))) &gt; 0, "(" &amp; $R135 &amp; ")", ""))))</f>
        <v>na</v>
      </c>
      <c r="E135" s="7" t="s">
        <v>195</v>
      </c>
      <c r="F135" s="7" t="s">
        <v>195</v>
      </c>
      <c r="G135" s="7" t="s">
        <v>195</v>
      </c>
      <c r="H135" s="7" t="s">
        <v>195</v>
      </c>
      <c r="I135" s="7" t="s">
        <v>195</v>
      </c>
      <c r="J135" s="7" t="s">
        <v>195</v>
      </c>
      <c r="K135" s="7" t="s">
        <v>195</v>
      </c>
      <c r="L135" s="7" t="s">
        <v>195</v>
      </c>
      <c r="M135" s="7" t="s">
        <v>29</v>
      </c>
      <c r="N135" s="7" t="s">
        <v>29</v>
      </c>
      <c r="O135" s="7" t="s">
        <v>29</v>
      </c>
      <c r="P135" s="7" t="s">
        <v>29</v>
      </c>
      <c r="Q135" s="7" t="s">
        <v>29</v>
      </c>
      <c r="R135" s="7" t="s">
        <v>29</v>
      </c>
      <c r="S135" s="7" t="s">
        <v>29</v>
      </c>
    </row>
    <row r="136" spans="2:19">
      <c r="B136" s="7" t="s">
        <v>195</v>
      </c>
      <c r="C136" s="8" t="s">
        <v>195</v>
      </c>
      <c r="D136" s="5" t="str">
        <f>LRTRIM(CONCATENATE(IF(SUMPRODUCT(-- ISNUMBER(SEARCH({"Auto Number"}, $B136))) &gt; 0, $B136, IF(SUMPRODUCT(-- ISNUMBER(SEARCH({"Lookup","Master-Detail"}, $B136))) &gt; 0,$B136 &amp; "(" &amp; $E136 &amp; ")",IF(SUMPRODUCT(-- ISNUMBER(SEARCH({"Formula","Roll-Up Summary"}, $B136))) &gt; 0,$B136 &amp; " (" &amp; $E136 &amp; ")",IF(SUMPRODUCT(-- ISNUMBER(SEARCH({"Content","Currency","Number","Percent","Text","URL"}, $B136))) &gt; 0,$B136 &amp; "(" &amp; $C136 &amp; ")",$B136)))), "  ", TRIM(IF($S136 = "YES", "(External ID)", "") &amp; " " &amp; IF(SUMPRODUCT(-- ISNUMBER(SEARCH({"Unique","Unique Case Insensitive"}, $R136))) &gt; 0, "(" &amp; $R136 &amp; ")", ""))))</f>
        <v>na</v>
      </c>
      <c r="E136" s="7" t="s">
        <v>195</v>
      </c>
      <c r="F136" s="7" t="s">
        <v>195</v>
      </c>
      <c r="G136" s="7" t="s">
        <v>195</v>
      </c>
      <c r="H136" s="7" t="s">
        <v>195</v>
      </c>
      <c r="I136" s="7" t="s">
        <v>195</v>
      </c>
      <c r="J136" s="7" t="s">
        <v>195</v>
      </c>
      <c r="K136" s="7" t="s">
        <v>195</v>
      </c>
      <c r="L136" s="7" t="s">
        <v>195</v>
      </c>
      <c r="M136" s="7" t="s">
        <v>29</v>
      </c>
      <c r="N136" s="7" t="s">
        <v>29</v>
      </c>
      <c r="O136" s="7" t="s">
        <v>29</v>
      </c>
      <c r="P136" s="7" t="s">
        <v>29</v>
      </c>
      <c r="Q136" s="7" t="s">
        <v>29</v>
      </c>
      <c r="R136" s="7" t="s">
        <v>29</v>
      </c>
      <c r="S136" s="7" t="s">
        <v>29</v>
      </c>
    </row>
    <row r="137" spans="2:19">
      <c r="B137" s="7" t="s">
        <v>195</v>
      </c>
      <c r="C137" s="8" t="s">
        <v>195</v>
      </c>
      <c r="D137" s="5" t="str">
        <f>LRTRIM(CONCATENATE(IF(SUMPRODUCT(-- ISNUMBER(SEARCH({"Auto Number"}, $B137))) &gt; 0, $B137, IF(SUMPRODUCT(-- ISNUMBER(SEARCH({"Lookup","Master-Detail"}, $B137))) &gt; 0,$B137 &amp; "(" &amp; $E137 &amp; ")",IF(SUMPRODUCT(-- ISNUMBER(SEARCH({"Formula","Roll-Up Summary"}, $B137))) &gt; 0,$B137 &amp; " (" &amp; $E137 &amp; ")",IF(SUMPRODUCT(-- ISNUMBER(SEARCH({"Content","Currency","Number","Percent","Text","URL"}, $B137))) &gt; 0,$B137 &amp; "(" &amp; $C137 &amp; ")",$B137)))), "  ", TRIM(IF($S137 = "YES", "(External ID)", "") &amp; " " &amp; IF(SUMPRODUCT(-- ISNUMBER(SEARCH({"Unique","Unique Case Insensitive"}, $R137))) &gt; 0, "(" &amp; $R137 &amp; ")", ""))))</f>
        <v>na</v>
      </c>
      <c r="E137" s="7" t="s">
        <v>195</v>
      </c>
      <c r="F137" s="7" t="s">
        <v>195</v>
      </c>
      <c r="G137" s="7" t="s">
        <v>195</v>
      </c>
      <c r="H137" s="7" t="s">
        <v>195</v>
      </c>
      <c r="I137" s="7" t="s">
        <v>195</v>
      </c>
      <c r="J137" s="7" t="s">
        <v>195</v>
      </c>
      <c r="K137" s="7" t="s">
        <v>195</v>
      </c>
      <c r="L137" s="7" t="s">
        <v>195</v>
      </c>
      <c r="M137" s="7" t="s">
        <v>29</v>
      </c>
      <c r="N137" s="7" t="s">
        <v>29</v>
      </c>
      <c r="O137" s="7" t="s">
        <v>29</v>
      </c>
      <c r="P137" s="7" t="s">
        <v>29</v>
      </c>
      <c r="Q137" s="7" t="s">
        <v>29</v>
      </c>
      <c r="R137" s="7" t="s">
        <v>29</v>
      </c>
      <c r="S137" s="7" t="s">
        <v>29</v>
      </c>
    </row>
    <row r="138" spans="2:19">
      <c r="B138" s="7" t="s">
        <v>195</v>
      </c>
      <c r="C138" s="8" t="s">
        <v>195</v>
      </c>
      <c r="D138" s="5" t="str">
        <f>LRTRIM(CONCATENATE(IF(SUMPRODUCT(-- ISNUMBER(SEARCH({"Auto Number"}, $B138))) &gt; 0, $B138, IF(SUMPRODUCT(-- ISNUMBER(SEARCH({"Lookup","Master-Detail"}, $B138))) &gt; 0,$B138 &amp; "(" &amp; $E138 &amp; ")",IF(SUMPRODUCT(-- ISNUMBER(SEARCH({"Formula","Roll-Up Summary"}, $B138))) &gt; 0,$B138 &amp; " (" &amp; $E138 &amp; ")",IF(SUMPRODUCT(-- ISNUMBER(SEARCH({"Content","Currency","Number","Percent","Text","URL"}, $B138))) &gt; 0,$B138 &amp; "(" &amp; $C138 &amp; ")",$B138)))), "  ", TRIM(IF($S138 = "YES", "(External ID)", "") &amp; " " &amp; IF(SUMPRODUCT(-- ISNUMBER(SEARCH({"Unique","Unique Case Insensitive"}, $R138))) &gt; 0, "(" &amp; $R138 &amp; ")", ""))))</f>
        <v>na</v>
      </c>
      <c r="E138" s="7" t="s">
        <v>195</v>
      </c>
      <c r="F138" s="7" t="s">
        <v>195</v>
      </c>
      <c r="G138" s="7" t="s">
        <v>195</v>
      </c>
      <c r="H138" s="7" t="s">
        <v>195</v>
      </c>
      <c r="I138" s="7" t="s">
        <v>195</v>
      </c>
      <c r="J138" s="7" t="s">
        <v>195</v>
      </c>
      <c r="K138" s="7" t="s">
        <v>195</v>
      </c>
      <c r="L138" s="7" t="s">
        <v>195</v>
      </c>
      <c r="M138" s="7" t="s">
        <v>29</v>
      </c>
      <c r="N138" s="7" t="s">
        <v>29</v>
      </c>
      <c r="O138" s="7" t="s">
        <v>29</v>
      </c>
      <c r="P138" s="7" t="s">
        <v>29</v>
      </c>
      <c r="Q138" s="7" t="s">
        <v>29</v>
      </c>
      <c r="R138" s="7" t="s">
        <v>29</v>
      </c>
      <c r="S138" s="7" t="s">
        <v>29</v>
      </c>
    </row>
    <row r="139" spans="2:19">
      <c r="B139" s="7" t="s">
        <v>195</v>
      </c>
      <c r="C139" s="8" t="s">
        <v>195</v>
      </c>
      <c r="D139" s="5" t="str">
        <f>LRTRIM(CONCATENATE(IF(SUMPRODUCT(-- ISNUMBER(SEARCH({"Auto Number"}, $B139))) &gt; 0, $B139, IF(SUMPRODUCT(-- ISNUMBER(SEARCH({"Lookup","Master-Detail"}, $B139))) &gt; 0,$B139 &amp; "(" &amp; $E139 &amp; ")",IF(SUMPRODUCT(-- ISNUMBER(SEARCH({"Formula","Roll-Up Summary"}, $B139))) &gt; 0,$B139 &amp; " (" &amp; $E139 &amp; ")",IF(SUMPRODUCT(-- ISNUMBER(SEARCH({"Content","Currency","Number","Percent","Text","URL"}, $B139))) &gt; 0,$B139 &amp; "(" &amp; $C139 &amp; ")",$B139)))), "  ", TRIM(IF($S139 = "YES", "(External ID)", "") &amp; " " &amp; IF(SUMPRODUCT(-- ISNUMBER(SEARCH({"Unique","Unique Case Insensitive"}, $R139))) &gt; 0, "(" &amp; $R139 &amp; ")", ""))))</f>
        <v>na</v>
      </c>
      <c r="E139" s="7" t="s">
        <v>195</v>
      </c>
      <c r="F139" s="7" t="s">
        <v>195</v>
      </c>
      <c r="G139" s="7" t="s">
        <v>195</v>
      </c>
      <c r="H139" s="7" t="s">
        <v>195</v>
      </c>
      <c r="I139" s="7" t="s">
        <v>195</v>
      </c>
      <c r="J139" s="7" t="s">
        <v>195</v>
      </c>
      <c r="K139" s="7" t="s">
        <v>195</v>
      </c>
      <c r="L139" s="7" t="s">
        <v>195</v>
      </c>
      <c r="M139" s="7" t="s">
        <v>29</v>
      </c>
      <c r="N139" s="7" t="s">
        <v>29</v>
      </c>
      <c r="O139" s="7" t="s">
        <v>29</v>
      </c>
      <c r="P139" s="7" t="s">
        <v>29</v>
      </c>
      <c r="Q139" s="7" t="s">
        <v>29</v>
      </c>
      <c r="R139" s="7" t="s">
        <v>29</v>
      </c>
      <c r="S139" s="7" t="s">
        <v>29</v>
      </c>
    </row>
    <row r="140" spans="2:19">
      <c r="B140" s="7" t="s">
        <v>195</v>
      </c>
      <c r="C140" s="8" t="s">
        <v>195</v>
      </c>
      <c r="D140" s="5" t="str">
        <f>LRTRIM(CONCATENATE(IF(SUMPRODUCT(-- ISNUMBER(SEARCH({"Auto Number"}, $B140))) &gt; 0, $B140, IF(SUMPRODUCT(-- ISNUMBER(SEARCH({"Lookup","Master-Detail"}, $B140))) &gt; 0,$B140 &amp; "(" &amp; $E140 &amp; ")",IF(SUMPRODUCT(-- ISNUMBER(SEARCH({"Formula","Roll-Up Summary"}, $B140))) &gt; 0,$B140 &amp; " (" &amp; $E140 &amp; ")",IF(SUMPRODUCT(-- ISNUMBER(SEARCH({"Content","Currency","Number","Percent","Text","URL"}, $B140))) &gt; 0,$B140 &amp; "(" &amp; $C140 &amp; ")",$B140)))), "  ", TRIM(IF($S140 = "YES", "(External ID)", "") &amp; " " &amp; IF(SUMPRODUCT(-- ISNUMBER(SEARCH({"Unique","Unique Case Insensitive"}, $R140))) &gt; 0, "(" &amp; $R140 &amp; ")", ""))))</f>
        <v>na</v>
      </c>
      <c r="E140" s="7" t="s">
        <v>195</v>
      </c>
      <c r="F140" s="7" t="s">
        <v>195</v>
      </c>
      <c r="G140" s="7" t="s">
        <v>195</v>
      </c>
      <c r="H140" s="7" t="s">
        <v>195</v>
      </c>
      <c r="I140" s="7" t="s">
        <v>195</v>
      </c>
      <c r="J140" s="7" t="s">
        <v>195</v>
      </c>
      <c r="K140" s="7" t="s">
        <v>195</v>
      </c>
      <c r="L140" s="7" t="s">
        <v>195</v>
      </c>
      <c r="M140" s="7" t="s">
        <v>29</v>
      </c>
      <c r="N140" s="7" t="s">
        <v>29</v>
      </c>
      <c r="O140" s="7" t="s">
        <v>29</v>
      </c>
      <c r="P140" s="7" t="s">
        <v>29</v>
      </c>
      <c r="Q140" s="7" t="s">
        <v>29</v>
      </c>
      <c r="R140" s="7" t="s">
        <v>29</v>
      </c>
      <c r="S140" s="7" t="s">
        <v>29</v>
      </c>
    </row>
    <row r="141" spans="2:19">
      <c r="B141" s="7" t="s">
        <v>195</v>
      </c>
      <c r="C141" s="8" t="s">
        <v>195</v>
      </c>
      <c r="D141" s="5" t="str">
        <f>LRTRIM(CONCATENATE(IF(SUMPRODUCT(-- ISNUMBER(SEARCH({"Auto Number"}, $B141))) &gt; 0, $B141, IF(SUMPRODUCT(-- ISNUMBER(SEARCH({"Lookup","Master-Detail"}, $B141))) &gt; 0,$B141 &amp; "(" &amp; $E141 &amp; ")",IF(SUMPRODUCT(-- ISNUMBER(SEARCH({"Formula","Roll-Up Summary"}, $B141))) &gt; 0,$B141 &amp; " (" &amp; $E141 &amp; ")",IF(SUMPRODUCT(-- ISNUMBER(SEARCH({"Content","Currency","Number","Percent","Text","URL"}, $B141))) &gt; 0,$B141 &amp; "(" &amp; $C141 &amp; ")",$B141)))), "  ", TRIM(IF($S141 = "YES", "(External ID)", "") &amp; " " &amp; IF(SUMPRODUCT(-- ISNUMBER(SEARCH({"Unique","Unique Case Insensitive"}, $R141))) &gt; 0, "(" &amp; $R141 &amp; ")", ""))))</f>
        <v>na</v>
      </c>
      <c r="E141" s="7" t="s">
        <v>195</v>
      </c>
      <c r="F141" s="7" t="s">
        <v>195</v>
      </c>
      <c r="G141" s="7" t="s">
        <v>195</v>
      </c>
      <c r="H141" s="7" t="s">
        <v>195</v>
      </c>
      <c r="I141" s="7" t="s">
        <v>195</v>
      </c>
      <c r="J141" s="7" t="s">
        <v>195</v>
      </c>
      <c r="K141" s="7" t="s">
        <v>195</v>
      </c>
      <c r="L141" s="7" t="s">
        <v>195</v>
      </c>
      <c r="M141" s="7" t="s">
        <v>29</v>
      </c>
      <c r="N141" s="7" t="s">
        <v>29</v>
      </c>
      <c r="O141" s="7" t="s">
        <v>29</v>
      </c>
      <c r="P141" s="7" t="s">
        <v>29</v>
      </c>
      <c r="Q141" s="7" t="s">
        <v>29</v>
      </c>
      <c r="R141" s="7" t="s">
        <v>29</v>
      </c>
      <c r="S141" s="7" t="s">
        <v>29</v>
      </c>
    </row>
    <row r="142" spans="2:19">
      <c r="B142" s="7" t="s">
        <v>195</v>
      </c>
      <c r="C142" s="8" t="s">
        <v>195</v>
      </c>
      <c r="D142" s="5" t="str">
        <f>LRTRIM(CONCATENATE(IF(SUMPRODUCT(-- ISNUMBER(SEARCH({"Auto Number"}, $B142))) &gt; 0, $B142, IF(SUMPRODUCT(-- ISNUMBER(SEARCH({"Lookup","Master-Detail"}, $B142))) &gt; 0,$B142 &amp; "(" &amp; $E142 &amp; ")",IF(SUMPRODUCT(-- ISNUMBER(SEARCH({"Formula","Roll-Up Summary"}, $B142))) &gt; 0,$B142 &amp; " (" &amp; $E142 &amp; ")",IF(SUMPRODUCT(-- ISNUMBER(SEARCH({"Content","Currency","Number","Percent","Text","URL"}, $B142))) &gt; 0,$B142 &amp; "(" &amp; $C142 &amp; ")",$B142)))), "  ", TRIM(IF($S142 = "YES", "(External ID)", "") &amp; " " &amp; IF(SUMPRODUCT(-- ISNUMBER(SEARCH({"Unique","Unique Case Insensitive"}, $R142))) &gt; 0, "(" &amp; $R142 &amp; ")", ""))))</f>
        <v>na</v>
      </c>
      <c r="E142" s="7" t="s">
        <v>195</v>
      </c>
      <c r="F142" s="7" t="s">
        <v>195</v>
      </c>
      <c r="G142" s="7" t="s">
        <v>195</v>
      </c>
      <c r="H142" s="7" t="s">
        <v>195</v>
      </c>
      <c r="I142" s="7" t="s">
        <v>195</v>
      </c>
      <c r="J142" s="7" t="s">
        <v>195</v>
      </c>
      <c r="K142" s="7" t="s">
        <v>195</v>
      </c>
      <c r="L142" s="7" t="s">
        <v>195</v>
      </c>
      <c r="M142" s="7" t="s">
        <v>29</v>
      </c>
      <c r="N142" s="7" t="s">
        <v>29</v>
      </c>
      <c r="O142" s="7" t="s">
        <v>29</v>
      </c>
      <c r="P142" s="7" t="s">
        <v>29</v>
      </c>
      <c r="Q142" s="7" t="s">
        <v>29</v>
      </c>
      <c r="R142" s="7" t="s">
        <v>29</v>
      </c>
      <c r="S142" s="7" t="s">
        <v>29</v>
      </c>
    </row>
    <row r="143" spans="2:19">
      <c r="B143" s="7" t="s">
        <v>195</v>
      </c>
      <c r="C143" s="8" t="s">
        <v>195</v>
      </c>
      <c r="D143" s="5" t="str">
        <f>LRTRIM(CONCATENATE(IF(SUMPRODUCT(-- ISNUMBER(SEARCH({"Auto Number"}, $B143))) &gt; 0, $B143, IF(SUMPRODUCT(-- ISNUMBER(SEARCH({"Lookup","Master-Detail"}, $B143))) &gt; 0,$B143 &amp; "(" &amp; $E143 &amp; ")",IF(SUMPRODUCT(-- ISNUMBER(SEARCH({"Formula","Roll-Up Summary"}, $B143))) &gt; 0,$B143 &amp; " (" &amp; $E143 &amp; ")",IF(SUMPRODUCT(-- ISNUMBER(SEARCH({"Content","Currency","Number","Percent","Text","URL"}, $B143))) &gt; 0,$B143 &amp; "(" &amp; $C143 &amp; ")",$B143)))), "  ", TRIM(IF($S143 = "YES", "(External ID)", "") &amp; " " &amp; IF(SUMPRODUCT(-- ISNUMBER(SEARCH({"Unique","Unique Case Insensitive"}, $R143))) &gt; 0, "(" &amp; $R143 &amp; ")", ""))))</f>
        <v>na</v>
      </c>
      <c r="E143" s="7" t="s">
        <v>195</v>
      </c>
      <c r="F143" s="7" t="s">
        <v>195</v>
      </c>
      <c r="G143" s="7" t="s">
        <v>195</v>
      </c>
      <c r="H143" s="7" t="s">
        <v>195</v>
      </c>
      <c r="I143" s="7" t="s">
        <v>195</v>
      </c>
      <c r="J143" s="7" t="s">
        <v>195</v>
      </c>
      <c r="K143" s="7" t="s">
        <v>195</v>
      </c>
      <c r="L143" s="7" t="s">
        <v>195</v>
      </c>
      <c r="M143" s="7" t="s">
        <v>29</v>
      </c>
      <c r="N143" s="7" t="s">
        <v>29</v>
      </c>
      <c r="O143" s="7" t="s">
        <v>29</v>
      </c>
      <c r="P143" s="7" t="s">
        <v>29</v>
      </c>
      <c r="Q143" s="7" t="s">
        <v>29</v>
      </c>
      <c r="R143" s="7" t="s">
        <v>29</v>
      </c>
      <c r="S143" s="7" t="s">
        <v>29</v>
      </c>
    </row>
    <row r="144" spans="2:19">
      <c r="B144" s="7" t="s">
        <v>195</v>
      </c>
      <c r="C144" s="8" t="s">
        <v>195</v>
      </c>
      <c r="D144" s="5" t="str">
        <f>LRTRIM(CONCATENATE(IF(SUMPRODUCT(-- ISNUMBER(SEARCH({"Auto Number"}, $B144))) &gt; 0, $B144, IF(SUMPRODUCT(-- ISNUMBER(SEARCH({"Lookup","Master-Detail"}, $B144))) &gt; 0,$B144 &amp; "(" &amp; $E144 &amp; ")",IF(SUMPRODUCT(-- ISNUMBER(SEARCH({"Formula","Roll-Up Summary"}, $B144))) &gt; 0,$B144 &amp; " (" &amp; $E144 &amp; ")",IF(SUMPRODUCT(-- ISNUMBER(SEARCH({"Content","Currency","Number","Percent","Text","URL"}, $B144))) &gt; 0,$B144 &amp; "(" &amp; $C144 &amp; ")",$B144)))), "  ", TRIM(IF($S144 = "YES", "(External ID)", "") &amp; " " &amp; IF(SUMPRODUCT(-- ISNUMBER(SEARCH({"Unique","Unique Case Insensitive"}, $R144))) &gt; 0, "(" &amp; $R144 &amp; ")", ""))))</f>
        <v>na</v>
      </c>
      <c r="E144" s="7" t="s">
        <v>195</v>
      </c>
      <c r="F144" s="7" t="s">
        <v>195</v>
      </c>
      <c r="G144" s="7" t="s">
        <v>195</v>
      </c>
      <c r="H144" s="7" t="s">
        <v>195</v>
      </c>
      <c r="I144" s="7" t="s">
        <v>195</v>
      </c>
      <c r="J144" s="7" t="s">
        <v>195</v>
      </c>
      <c r="K144" s="7" t="s">
        <v>195</v>
      </c>
      <c r="L144" s="7" t="s">
        <v>195</v>
      </c>
      <c r="M144" s="7" t="s">
        <v>29</v>
      </c>
      <c r="N144" s="7" t="s">
        <v>29</v>
      </c>
      <c r="O144" s="7" t="s">
        <v>29</v>
      </c>
      <c r="P144" s="7" t="s">
        <v>29</v>
      </c>
      <c r="Q144" s="7" t="s">
        <v>29</v>
      </c>
      <c r="R144" s="7" t="s">
        <v>29</v>
      </c>
      <c r="S144" s="7" t="s">
        <v>29</v>
      </c>
    </row>
    <row r="145" spans="2:19">
      <c r="B145" s="7" t="s">
        <v>195</v>
      </c>
      <c r="C145" s="8" t="s">
        <v>195</v>
      </c>
      <c r="D145" s="5" t="str">
        <f>LRTRIM(CONCATENATE(IF(SUMPRODUCT(-- ISNUMBER(SEARCH({"Auto Number"}, $B145))) &gt; 0, $B145, IF(SUMPRODUCT(-- ISNUMBER(SEARCH({"Lookup","Master-Detail"}, $B145))) &gt; 0,$B145 &amp; "(" &amp; $E145 &amp; ")",IF(SUMPRODUCT(-- ISNUMBER(SEARCH({"Formula","Roll-Up Summary"}, $B145))) &gt; 0,$B145 &amp; " (" &amp; $E145 &amp; ")",IF(SUMPRODUCT(-- ISNUMBER(SEARCH({"Content","Currency","Number","Percent","Text","URL"}, $B145))) &gt; 0,$B145 &amp; "(" &amp; $C145 &amp; ")",$B145)))), "  ", TRIM(IF($S145 = "YES", "(External ID)", "") &amp; " " &amp; IF(SUMPRODUCT(-- ISNUMBER(SEARCH({"Unique","Unique Case Insensitive"}, $R145))) &gt; 0, "(" &amp; $R145 &amp; ")", ""))))</f>
        <v>na</v>
      </c>
      <c r="E145" s="7" t="s">
        <v>195</v>
      </c>
      <c r="F145" s="7" t="s">
        <v>195</v>
      </c>
      <c r="G145" s="7" t="s">
        <v>195</v>
      </c>
      <c r="H145" s="7" t="s">
        <v>195</v>
      </c>
      <c r="I145" s="7" t="s">
        <v>195</v>
      </c>
      <c r="J145" s="7" t="s">
        <v>195</v>
      </c>
      <c r="K145" s="7" t="s">
        <v>195</v>
      </c>
      <c r="L145" s="7" t="s">
        <v>195</v>
      </c>
      <c r="M145" s="7" t="s">
        <v>29</v>
      </c>
      <c r="N145" s="7" t="s">
        <v>29</v>
      </c>
      <c r="O145" s="7" t="s">
        <v>29</v>
      </c>
      <c r="P145" s="7" t="s">
        <v>29</v>
      </c>
      <c r="Q145" s="7" t="s">
        <v>29</v>
      </c>
      <c r="R145" s="7" t="s">
        <v>29</v>
      </c>
      <c r="S145" s="7" t="s">
        <v>29</v>
      </c>
    </row>
    <row r="146" spans="2:19">
      <c r="B146" s="7" t="s">
        <v>195</v>
      </c>
      <c r="C146" s="8" t="s">
        <v>195</v>
      </c>
      <c r="D146" s="5" t="str">
        <f>LRTRIM(CONCATENATE(IF(SUMPRODUCT(-- ISNUMBER(SEARCH({"Auto Number"}, $B146))) &gt; 0, $B146, IF(SUMPRODUCT(-- ISNUMBER(SEARCH({"Lookup","Master-Detail"}, $B146))) &gt; 0,$B146 &amp; "(" &amp; $E146 &amp; ")",IF(SUMPRODUCT(-- ISNUMBER(SEARCH({"Formula","Roll-Up Summary"}, $B146))) &gt; 0,$B146 &amp; " (" &amp; $E146 &amp; ")",IF(SUMPRODUCT(-- ISNUMBER(SEARCH({"Content","Currency","Number","Percent","Text","URL"}, $B146))) &gt; 0,$B146 &amp; "(" &amp; $C146 &amp; ")",$B146)))), "  ", TRIM(IF($S146 = "YES", "(External ID)", "") &amp; " " &amp; IF(SUMPRODUCT(-- ISNUMBER(SEARCH({"Unique","Unique Case Insensitive"}, $R146))) &gt; 0, "(" &amp; $R146 &amp; ")", ""))))</f>
        <v>na</v>
      </c>
      <c r="E146" s="7" t="s">
        <v>195</v>
      </c>
      <c r="F146" s="7" t="s">
        <v>195</v>
      </c>
      <c r="G146" s="7" t="s">
        <v>195</v>
      </c>
      <c r="H146" s="7" t="s">
        <v>195</v>
      </c>
      <c r="I146" s="7" t="s">
        <v>195</v>
      </c>
      <c r="J146" s="7" t="s">
        <v>195</v>
      </c>
      <c r="K146" s="7" t="s">
        <v>195</v>
      </c>
      <c r="L146" s="7" t="s">
        <v>195</v>
      </c>
      <c r="M146" s="7" t="s">
        <v>29</v>
      </c>
      <c r="N146" s="7" t="s">
        <v>29</v>
      </c>
      <c r="O146" s="7" t="s">
        <v>29</v>
      </c>
      <c r="P146" s="7" t="s">
        <v>29</v>
      </c>
      <c r="Q146" s="7" t="s">
        <v>29</v>
      </c>
      <c r="R146" s="7" t="s">
        <v>29</v>
      </c>
      <c r="S146" s="7" t="s">
        <v>29</v>
      </c>
    </row>
    <row r="147" spans="2:19">
      <c r="B147" s="7" t="s">
        <v>195</v>
      </c>
      <c r="C147" s="8" t="s">
        <v>195</v>
      </c>
      <c r="D147" s="5" t="str">
        <f>LRTRIM(CONCATENATE(IF(SUMPRODUCT(-- ISNUMBER(SEARCH({"Auto Number"}, $B147))) &gt; 0, $B147, IF(SUMPRODUCT(-- ISNUMBER(SEARCH({"Lookup","Master-Detail"}, $B147))) &gt; 0,$B147 &amp; "(" &amp; $E147 &amp; ")",IF(SUMPRODUCT(-- ISNUMBER(SEARCH({"Formula","Roll-Up Summary"}, $B147))) &gt; 0,$B147 &amp; " (" &amp; $E147 &amp; ")",IF(SUMPRODUCT(-- ISNUMBER(SEARCH({"Content","Currency","Number","Percent","Text","URL"}, $B147))) &gt; 0,$B147 &amp; "(" &amp; $C147 &amp; ")",$B147)))), "  ", TRIM(IF($S147 = "YES", "(External ID)", "") &amp; " " &amp; IF(SUMPRODUCT(-- ISNUMBER(SEARCH({"Unique","Unique Case Insensitive"}, $R147))) &gt; 0, "(" &amp; $R147 &amp; ")", ""))))</f>
        <v>na</v>
      </c>
      <c r="E147" s="7" t="s">
        <v>195</v>
      </c>
      <c r="F147" s="7" t="s">
        <v>195</v>
      </c>
      <c r="G147" s="7" t="s">
        <v>195</v>
      </c>
      <c r="H147" s="7" t="s">
        <v>195</v>
      </c>
      <c r="I147" s="7" t="s">
        <v>195</v>
      </c>
      <c r="J147" s="7" t="s">
        <v>195</v>
      </c>
      <c r="K147" s="7" t="s">
        <v>195</v>
      </c>
      <c r="L147" s="7" t="s">
        <v>195</v>
      </c>
      <c r="M147" s="7" t="s">
        <v>29</v>
      </c>
      <c r="N147" s="7" t="s">
        <v>29</v>
      </c>
      <c r="O147" s="7" t="s">
        <v>29</v>
      </c>
      <c r="P147" s="7" t="s">
        <v>29</v>
      </c>
      <c r="Q147" s="7" t="s">
        <v>29</v>
      </c>
      <c r="R147" s="7" t="s">
        <v>29</v>
      </c>
      <c r="S147" s="7" t="s">
        <v>29</v>
      </c>
    </row>
    <row r="148" spans="2:19">
      <c r="B148" s="7" t="s">
        <v>195</v>
      </c>
      <c r="C148" s="8" t="s">
        <v>195</v>
      </c>
      <c r="D148" s="5" t="str">
        <f>LRTRIM(CONCATENATE(IF(SUMPRODUCT(-- ISNUMBER(SEARCH({"Auto Number"}, $B148))) &gt; 0, $B148, IF(SUMPRODUCT(-- ISNUMBER(SEARCH({"Lookup","Master-Detail"}, $B148))) &gt; 0,$B148 &amp; "(" &amp; $E148 &amp; ")",IF(SUMPRODUCT(-- ISNUMBER(SEARCH({"Formula","Roll-Up Summary"}, $B148))) &gt; 0,$B148 &amp; " (" &amp; $E148 &amp; ")",IF(SUMPRODUCT(-- ISNUMBER(SEARCH({"Content","Currency","Number","Percent","Text","URL"}, $B148))) &gt; 0,$B148 &amp; "(" &amp; $C148 &amp; ")",$B148)))), "  ", TRIM(IF($S148 = "YES", "(External ID)", "") &amp; " " &amp; IF(SUMPRODUCT(-- ISNUMBER(SEARCH({"Unique","Unique Case Insensitive"}, $R148))) &gt; 0, "(" &amp; $R148 &amp; ")", ""))))</f>
        <v>na</v>
      </c>
      <c r="E148" s="7" t="s">
        <v>195</v>
      </c>
      <c r="F148" s="7" t="s">
        <v>195</v>
      </c>
      <c r="G148" s="7" t="s">
        <v>195</v>
      </c>
      <c r="H148" s="7" t="s">
        <v>195</v>
      </c>
      <c r="I148" s="7" t="s">
        <v>195</v>
      </c>
      <c r="J148" s="7" t="s">
        <v>195</v>
      </c>
      <c r="K148" s="7" t="s">
        <v>195</v>
      </c>
      <c r="L148" s="7" t="s">
        <v>195</v>
      </c>
      <c r="M148" s="7" t="s">
        <v>29</v>
      </c>
      <c r="N148" s="7" t="s">
        <v>29</v>
      </c>
      <c r="O148" s="7" t="s">
        <v>29</v>
      </c>
      <c r="P148" s="7" t="s">
        <v>29</v>
      </c>
      <c r="Q148" s="7" t="s">
        <v>29</v>
      </c>
      <c r="R148" s="7" t="s">
        <v>29</v>
      </c>
      <c r="S148" s="7" t="s">
        <v>29</v>
      </c>
    </row>
    <row r="149" spans="2:19">
      <c r="B149" s="7" t="s">
        <v>195</v>
      </c>
      <c r="C149" s="8" t="s">
        <v>195</v>
      </c>
      <c r="D149" s="5" t="str">
        <f>LRTRIM(CONCATENATE(IF(SUMPRODUCT(-- ISNUMBER(SEARCH({"Auto Number"}, $B149))) &gt; 0, $B149, IF(SUMPRODUCT(-- ISNUMBER(SEARCH({"Lookup","Master-Detail"}, $B149))) &gt; 0,$B149 &amp; "(" &amp; $E149 &amp; ")",IF(SUMPRODUCT(-- ISNUMBER(SEARCH({"Formula","Roll-Up Summary"}, $B149))) &gt; 0,$B149 &amp; " (" &amp; $E149 &amp; ")",IF(SUMPRODUCT(-- ISNUMBER(SEARCH({"Content","Currency","Number","Percent","Text","URL"}, $B149))) &gt; 0,$B149 &amp; "(" &amp; $C149 &amp; ")",$B149)))), "  ", TRIM(IF($S149 = "YES", "(External ID)", "") &amp; " " &amp; IF(SUMPRODUCT(-- ISNUMBER(SEARCH({"Unique","Unique Case Insensitive"}, $R149))) &gt; 0, "(" &amp; $R149 &amp; ")", ""))))</f>
        <v>na</v>
      </c>
      <c r="E149" s="7" t="s">
        <v>195</v>
      </c>
      <c r="F149" s="7" t="s">
        <v>195</v>
      </c>
      <c r="G149" s="7" t="s">
        <v>195</v>
      </c>
      <c r="H149" s="7" t="s">
        <v>195</v>
      </c>
      <c r="I149" s="7" t="s">
        <v>195</v>
      </c>
      <c r="J149" s="7" t="s">
        <v>195</v>
      </c>
      <c r="K149" s="7" t="s">
        <v>195</v>
      </c>
      <c r="L149" s="7" t="s">
        <v>195</v>
      </c>
      <c r="M149" s="7" t="s">
        <v>29</v>
      </c>
      <c r="N149" s="7" t="s">
        <v>29</v>
      </c>
      <c r="O149" s="7" t="s">
        <v>29</v>
      </c>
      <c r="P149" s="7" t="s">
        <v>29</v>
      </c>
      <c r="Q149" s="7" t="s">
        <v>29</v>
      </c>
      <c r="R149" s="7" t="s">
        <v>29</v>
      </c>
      <c r="S149" s="7" t="s">
        <v>29</v>
      </c>
    </row>
    <row r="150" spans="2:19">
      <c r="B150" s="7" t="s">
        <v>195</v>
      </c>
      <c r="C150" s="8" t="s">
        <v>195</v>
      </c>
      <c r="D150" s="5" t="str">
        <f>LRTRIM(CONCATENATE(IF(SUMPRODUCT(-- ISNUMBER(SEARCH({"Auto Number"}, $B150))) &gt; 0, $B150, IF(SUMPRODUCT(-- ISNUMBER(SEARCH({"Lookup","Master-Detail"}, $B150))) &gt; 0,$B150 &amp; "(" &amp; $E150 &amp; ")",IF(SUMPRODUCT(-- ISNUMBER(SEARCH({"Formula","Roll-Up Summary"}, $B150))) &gt; 0,$B150 &amp; " (" &amp; $E150 &amp; ")",IF(SUMPRODUCT(-- ISNUMBER(SEARCH({"Content","Currency","Number","Percent","Text","URL"}, $B150))) &gt; 0,$B150 &amp; "(" &amp; $C150 &amp; ")",$B150)))), "  ", TRIM(IF($S150 = "YES", "(External ID)", "") &amp; " " &amp; IF(SUMPRODUCT(-- ISNUMBER(SEARCH({"Unique","Unique Case Insensitive"}, $R150))) &gt; 0, "(" &amp; $R150 &amp; ")", ""))))</f>
        <v>na</v>
      </c>
      <c r="E150" s="7" t="s">
        <v>195</v>
      </c>
      <c r="F150" s="7" t="s">
        <v>195</v>
      </c>
      <c r="G150" s="7" t="s">
        <v>195</v>
      </c>
      <c r="H150" s="7" t="s">
        <v>195</v>
      </c>
      <c r="I150" s="7" t="s">
        <v>195</v>
      </c>
      <c r="J150" s="7" t="s">
        <v>195</v>
      </c>
      <c r="K150" s="7" t="s">
        <v>195</v>
      </c>
      <c r="L150" s="7" t="s">
        <v>195</v>
      </c>
      <c r="M150" s="7" t="s">
        <v>29</v>
      </c>
      <c r="N150" s="7" t="s">
        <v>29</v>
      </c>
      <c r="O150" s="7" t="s">
        <v>29</v>
      </c>
      <c r="P150" s="7" t="s">
        <v>29</v>
      </c>
      <c r="Q150" s="7" t="s">
        <v>29</v>
      </c>
      <c r="R150" s="7" t="s">
        <v>29</v>
      </c>
      <c r="S150" s="7" t="s">
        <v>29</v>
      </c>
    </row>
    <row r="151" spans="2:19">
      <c r="B151" s="7" t="s">
        <v>195</v>
      </c>
      <c r="C151" s="8" t="s">
        <v>195</v>
      </c>
      <c r="D151" s="5" t="str">
        <f>LRTRIM(CONCATENATE(IF(SUMPRODUCT(-- ISNUMBER(SEARCH({"Auto Number"}, $B151))) &gt; 0, $B151, IF(SUMPRODUCT(-- ISNUMBER(SEARCH({"Lookup","Master-Detail"}, $B151))) &gt; 0,$B151 &amp; "(" &amp; $E151 &amp; ")",IF(SUMPRODUCT(-- ISNUMBER(SEARCH({"Formula","Roll-Up Summary"}, $B151))) &gt; 0,$B151 &amp; " (" &amp; $E151 &amp; ")",IF(SUMPRODUCT(-- ISNUMBER(SEARCH({"Content","Currency","Number","Percent","Text","URL"}, $B151))) &gt; 0,$B151 &amp; "(" &amp; $C151 &amp; ")",$B151)))), "  ", TRIM(IF($S151 = "YES", "(External ID)", "") &amp; " " &amp; IF(SUMPRODUCT(-- ISNUMBER(SEARCH({"Unique","Unique Case Insensitive"}, $R151))) &gt; 0, "(" &amp; $R151 &amp; ")", ""))))</f>
        <v>na</v>
      </c>
      <c r="E151" s="7" t="s">
        <v>195</v>
      </c>
      <c r="F151" s="7" t="s">
        <v>195</v>
      </c>
      <c r="G151" s="7" t="s">
        <v>195</v>
      </c>
      <c r="H151" s="7" t="s">
        <v>195</v>
      </c>
      <c r="I151" s="7" t="s">
        <v>195</v>
      </c>
      <c r="J151" s="7" t="s">
        <v>195</v>
      </c>
      <c r="K151" s="7" t="s">
        <v>195</v>
      </c>
      <c r="L151" s="7" t="s">
        <v>195</v>
      </c>
      <c r="M151" s="7" t="s">
        <v>29</v>
      </c>
      <c r="N151" s="7" t="s">
        <v>29</v>
      </c>
      <c r="O151" s="7" t="s">
        <v>29</v>
      </c>
      <c r="P151" s="7" t="s">
        <v>29</v>
      </c>
      <c r="Q151" s="7" t="s">
        <v>29</v>
      </c>
      <c r="R151" s="7" t="s">
        <v>29</v>
      </c>
      <c r="S151" s="7" t="s">
        <v>29</v>
      </c>
    </row>
    <row r="152" spans="2:19">
      <c r="B152" s="7" t="s">
        <v>195</v>
      </c>
      <c r="C152" s="8" t="s">
        <v>195</v>
      </c>
      <c r="D152" s="5" t="str">
        <f>LRTRIM(CONCATENATE(IF(SUMPRODUCT(-- ISNUMBER(SEARCH({"Auto Number"}, $B152))) &gt; 0, $B152, IF(SUMPRODUCT(-- ISNUMBER(SEARCH({"Lookup","Master-Detail"}, $B152))) &gt; 0,$B152 &amp; "(" &amp; $E152 &amp; ")",IF(SUMPRODUCT(-- ISNUMBER(SEARCH({"Formula","Roll-Up Summary"}, $B152))) &gt; 0,$B152 &amp; " (" &amp; $E152 &amp; ")",IF(SUMPRODUCT(-- ISNUMBER(SEARCH({"Content","Currency","Number","Percent","Text","URL"}, $B152))) &gt; 0,$B152 &amp; "(" &amp; $C152 &amp; ")",$B152)))), "  ", TRIM(IF($S152 = "YES", "(External ID)", "") &amp; " " &amp; IF(SUMPRODUCT(-- ISNUMBER(SEARCH({"Unique","Unique Case Insensitive"}, $R152))) &gt; 0, "(" &amp; $R152 &amp; ")", ""))))</f>
        <v>na</v>
      </c>
      <c r="E152" s="7" t="s">
        <v>195</v>
      </c>
      <c r="F152" s="7" t="s">
        <v>195</v>
      </c>
      <c r="G152" s="7" t="s">
        <v>195</v>
      </c>
      <c r="H152" s="7" t="s">
        <v>195</v>
      </c>
      <c r="I152" s="7" t="s">
        <v>195</v>
      </c>
      <c r="J152" s="7" t="s">
        <v>195</v>
      </c>
      <c r="K152" s="7" t="s">
        <v>195</v>
      </c>
      <c r="L152" s="7" t="s">
        <v>195</v>
      </c>
      <c r="M152" s="7" t="s">
        <v>29</v>
      </c>
      <c r="N152" s="7" t="s">
        <v>29</v>
      </c>
      <c r="O152" s="7" t="s">
        <v>29</v>
      </c>
      <c r="P152" s="7" t="s">
        <v>29</v>
      </c>
      <c r="Q152" s="7" t="s">
        <v>29</v>
      </c>
      <c r="R152" s="7" t="s">
        <v>29</v>
      </c>
      <c r="S152" s="7" t="s">
        <v>29</v>
      </c>
    </row>
    <row r="153" spans="2:19">
      <c r="B153" s="7" t="s">
        <v>195</v>
      </c>
      <c r="C153" s="8" t="s">
        <v>195</v>
      </c>
      <c r="D153" s="5" t="str">
        <f>LRTRIM(CONCATENATE(IF(SUMPRODUCT(-- ISNUMBER(SEARCH({"Auto Number"}, $B153))) &gt; 0, $B153, IF(SUMPRODUCT(-- ISNUMBER(SEARCH({"Lookup","Master-Detail"}, $B153))) &gt; 0,$B153 &amp; "(" &amp; $E153 &amp; ")",IF(SUMPRODUCT(-- ISNUMBER(SEARCH({"Formula","Roll-Up Summary"}, $B153))) &gt; 0,$B153 &amp; " (" &amp; $E153 &amp; ")",IF(SUMPRODUCT(-- ISNUMBER(SEARCH({"Content","Currency","Number","Percent","Text","URL"}, $B153))) &gt; 0,$B153 &amp; "(" &amp; $C153 &amp; ")",$B153)))), "  ", TRIM(IF($S153 = "YES", "(External ID)", "") &amp; " " &amp; IF(SUMPRODUCT(-- ISNUMBER(SEARCH({"Unique","Unique Case Insensitive"}, $R153))) &gt; 0, "(" &amp; $R153 &amp; ")", ""))))</f>
        <v>na</v>
      </c>
      <c r="E153" s="7" t="s">
        <v>195</v>
      </c>
      <c r="F153" s="7" t="s">
        <v>195</v>
      </c>
      <c r="G153" s="7" t="s">
        <v>195</v>
      </c>
      <c r="H153" s="7" t="s">
        <v>195</v>
      </c>
      <c r="I153" s="7" t="s">
        <v>195</v>
      </c>
      <c r="J153" s="7" t="s">
        <v>195</v>
      </c>
      <c r="K153" s="7" t="s">
        <v>195</v>
      </c>
      <c r="L153" s="7" t="s">
        <v>195</v>
      </c>
      <c r="M153" s="7" t="s">
        <v>29</v>
      </c>
      <c r="N153" s="7" t="s">
        <v>29</v>
      </c>
      <c r="O153" s="7" t="s">
        <v>29</v>
      </c>
      <c r="P153" s="7" t="s">
        <v>29</v>
      </c>
      <c r="Q153" s="7" t="s">
        <v>29</v>
      </c>
      <c r="R153" s="7" t="s">
        <v>29</v>
      </c>
      <c r="S153" s="7" t="s">
        <v>29</v>
      </c>
    </row>
    <row r="154" spans="2:19">
      <c r="B154" s="7" t="s">
        <v>195</v>
      </c>
      <c r="C154" s="8" t="s">
        <v>195</v>
      </c>
      <c r="D154" s="5" t="str">
        <f>LRTRIM(CONCATENATE(IF(SUMPRODUCT(-- ISNUMBER(SEARCH({"Auto Number"}, $B154))) &gt; 0, $B154, IF(SUMPRODUCT(-- ISNUMBER(SEARCH({"Lookup","Master-Detail"}, $B154))) &gt; 0,$B154 &amp; "(" &amp; $E154 &amp; ")",IF(SUMPRODUCT(-- ISNUMBER(SEARCH({"Formula","Roll-Up Summary"}, $B154))) &gt; 0,$B154 &amp; " (" &amp; $E154 &amp; ")",IF(SUMPRODUCT(-- ISNUMBER(SEARCH({"Content","Currency","Number","Percent","Text","URL"}, $B154))) &gt; 0,$B154 &amp; "(" &amp; $C154 &amp; ")",$B154)))), "  ", TRIM(IF($S154 = "YES", "(External ID)", "") &amp; " " &amp; IF(SUMPRODUCT(-- ISNUMBER(SEARCH({"Unique","Unique Case Insensitive"}, $R154))) &gt; 0, "(" &amp; $R154 &amp; ")", ""))))</f>
        <v>na</v>
      </c>
      <c r="E154" s="7" t="s">
        <v>195</v>
      </c>
      <c r="F154" s="7" t="s">
        <v>195</v>
      </c>
      <c r="G154" s="7" t="s">
        <v>195</v>
      </c>
      <c r="H154" s="7" t="s">
        <v>195</v>
      </c>
      <c r="I154" s="7" t="s">
        <v>195</v>
      </c>
      <c r="J154" s="7" t="s">
        <v>195</v>
      </c>
      <c r="K154" s="7" t="s">
        <v>195</v>
      </c>
      <c r="L154" s="7" t="s">
        <v>195</v>
      </c>
      <c r="M154" s="7" t="s">
        <v>29</v>
      </c>
      <c r="N154" s="7" t="s">
        <v>29</v>
      </c>
      <c r="O154" s="7" t="s">
        <v>29</v>
      </c>
      <c r="P154" s="7" t="s">
        <v>29</v>
      </c>
      <c r="Q154" s="7" t="s">
        <v>29</v>
      </c>
      <c r="R154" s="7" t="s">
        <v>29</v>
      </c>
      <c r="S154" s="7" t="s">
        <v>29</v>
      </c>
    </row>
    <row r="155" spans="2:19">
      <c r="B155" s="7" t="s">
        <v>195</v>
      </c>
      <c r="C155" s="8" t="s">
        <v>195</v>
      </c>
      <c r="D155" s="5" t="str">
        <f>LRTRIM(CONCATENATE(IF(SUMPRODUCT(-- ISNUMBER(SEARCH({"Auto Number"}, $B155))) &gt; 0, $B155, IF(SUMPRODUCT(-- ISNUMBER(SEARCH({"Lookup","Master-Detail"}, $B155))) &gt; 0,$B155 &amp; "(" &amp; $E155 &amp; ")",IF(SUMPRODUCT(-- ISNUMBER(SEARCH({"Formula","Roll-Up Summary"}, $B155))) &gt; 0,$B155 &amp; " (" &amp; $E155 &amp; ")",IF(SUMPRODUCT(-- ISNUMBER(SEARCH({"Content","Currency","Number","Percent","Text","URL"}, $B155))) &gt; 0,$B155 &amp; "(" &amp; $C155 &amp; ")",$B155)))), "  ", TRIM(IF($S155 = "YES", "(External ID)", "") &amp; " " &amp; IF(SUMPRODUCT(-- ISNUMBER(SEARCH({"Unique","Unique Case Insensitive"}, $R155))) &gt; 0, "(" &amp; $R155 &amp; ")", ""))))</f>
        <v>na</v>
      </c>
      <c r="E155" s="7" t="s">
        <v>195</v>
      </c>
      <c r="F155" s="7" t="s">
        <v>195</v>
      </c>
      <c r="G155" s="7" t="s">
        <v>195</v>
      </c>
      <c r="H155" s="7" t="s">
        <v>195</v>
      </c>
      <c r="I155" s="7" t="s">
        <v>195</v>
      </c>
      <c r="J155" s="7" t="s">
        <v>195</v>
      </c>
      <c r="K155" s="7" t="s">
        <v>195</v>
      </c>
      <c r="L155" s="7" t="s">
        <v>195</v>
      </c>
      <c r="M155" s="7" t="s">
        <v>29</v>
      </c>
      <c r="N155" s="7" t="s">
        <v>29</v>
      </c>
      <c r="O155" s="7" t="s">
        <v>29</v>
      </c>
      <c r="P155" s="7" t="s">
        <v>29</v>
      </c>
      <c r="Q155" s="7" t="s">
        <v>29</v>
      </c>
      <c r="R155" s="7" t="s">
        <v>29</v>
      </c>
      <c r="S155" s="7" t="s">
        <v>29</v>
      </c>
    </row>
    <row r="156" spans="2:19">
      <c r="B156" s="7" t="s">
        <v>195</v>
      </c>
      <c r="C156" s="8" t="s">
        <v>195</v>
      </c>
      <c r="D156" s="5" t="str">
        <f>LRTRIM(CONCATENATE(IF(SUMPRODUCT(-- ISNUMBER(SEARCH({"Auto Number"}, $B156))) &gt; 0, $B156, IF(SUMPRODUCT(-- ISNUMBER(SEARCH({"Lookup","Master-Detail"}, $B156))) &gt; 0,$B156 &amp; "(" &amp; $E156 &amp; ")",IF(SUMPRODUCT(-- ISNUMBER(SEARCH({"Formula","Roll-Up Summary"}, $B156))) &gt; 0,$B156 &amp; " (" &amp; $E156 &amp; ")",IF(SUMPRODUCT(-- ISNUMBER(SEARCH({"Content","Currency","Number","Percent","Text","URL"}, $B156))) &gt; 0,$B156 &amp; "(" &amp; $C156 &amp; ")",$B156)))), "  ", TRIM(IF($S156 = "YES", "(External ID)", "") &amp; " " &amp; IF(SUMPRODUCT(-- ISNUMBER(SEARCH({"Unique","Unique Case Insensitive"}, $R156))) &gt; 0, "(" &amp; $R156 &amp; ")", ""))))</f>
        <v>na</v>
      </c>
      <c r="E156" s="7" t="s">
        <v>195</v>
      </c>
      <c r="F156" s="7" t="s">
        <v>195</v>
      </c>
      <c r="G156" s="7" t="s">
        <v>195</v>
      </c>
      <c r="H156" s="7" t="s">
        <v>195</v>
      </c>
      <c r="I156" s="7" t="s">
        <v>195</v>
      </c>
      <c r="J156" s="7" t="s">
        <v>195</v>
      </c>
      <c r="K156" s="7" t="s">
        <v>195</v>
      </c>
      <c r="L156" s="7" t="s">
        <v>195</v>
      </c>
      <c r="M156" s="7" t="s">
        <v>29</v>
      </c>
      <c r="N156" s="7" t="s">
        <v>29</v>
      </c>
      <c r="O156" s="7" t="s">
        <v>29</v>
      </c>
      <c r="P156" s="7" t="s">
        <v>29</v>
      </c>
      <c r="Q156" s="7" t="s">
        <v>29</v>
      </c>
      <c r="R156" s="7" t="s">
        <v>29</v>
      </c>
      <c r="S156" s="7" t="s">
        <v>29</v>
      </c>
    </row>
    <row r="157" spans="2:19">
      <c r="B157" s="7" t="s">
        <v>195</v>
      </c>
      <c r="C157" s="8" t="s">
        <v>195</v>
      </c>
      <c r="D157" s="5" t="str">
        <f>LRTRIM(CONCATENATE(IF(SUMPRODUCT(-- ISNUMBER(SEARCH({"Auto Number"}, $B157))) &gt; 0, $B157, IF(SUMPRODUCT(-- ISNUMBER(SEARCH({"Lookup","Master-Detail"}, $B157))) &gt; 0,$B157 &amp; "(" &amp; $E157 &amp; ")",IF(SUMPRODUCT(-- ISNUMBER(SEARCH({"Formula","Roll-Up Summary"}, $B157))) &gt; 0,$B157 &amp; " (" &amp; $E157 &amp; ")",IF(SUMPRODUCT(-- ISNUMBER(SEARCH({"Content","Currency","Number","Percent","Text","URL"}, $B157))) &gt; 0,$B157 &amp; "(" &amp; $C157 &amp; ")",$B157)))), "  ", TRIM(IF($S157 = "YES", "(External ID)", "") &amp; " " &amp; IF(SUMPRODUCT(-- ISNUMBER(SEARCH({"Unique","Unique Case Insensitive"}, $R157))) &gt; 0, "(" &amp; $R157 &amp; ")", ""))))</f>
        <v>na</v>
      </c>
      <c r="E157" s="7" t="s">
        <v>195</v>
      </c>
      <c r="F157" s="7" t="s">
        <v>195</v>
      </c>
      <c r="G157" s="7" t="s">
        <v>195</v>
      </c>
      <c r="H157" s="7" t="s">
        <v>195</v>
      </c>
      <c r="I157" s="7" t="s">
        <v>195</v>
      </c>
      <c r="J157" s="7" t="s">
        <v>195</v>
      </c>
      <c r="K157" s="7" t="s">
        <v>195</v>
      </c>
      <c r="L157" s="7" t="s">
        <v>195</v>
      </c>
      <c r="M157" s="7" t="s">
        <v>29</v>
      </c>
      <c r="N157" s="7" t="s">
        <v>29</v>
      </c>
      <c r="O157" s="7" t="s">
        <v>29</v>
      </c>
      <c r="P157" s="7" t="s">
        <v>29</v>
      </c>
      <c r="Q157" s="7" t="s">
        <v>29</v>
      </c>
      <c r="R157" s="7" t="s">
        <v>29</v>
      </c>
      <c r="S157" s="7" t="s">
        <v>29</v>
      </c>
    </row>
    <row r="158" spans="2:19">
      <c r="B158" s="7" t="s">
        <v>195</v>
      </c>
      <c r="C158" s="8" t="s">
        <v>195</v>
      </c>
      <c r="D158" s="5" t="str">
        <f>LRTRIM(CONCATENATE(IF(SUMPRODUCT(-- ISNUMBER(SEARCH({"Auto Number"}, $B158))) &gt; 0, $B158, IF(SUMPRODUCT(-- ISNUMBER(SEARCH({"Lookup","Master-Detail"}, $B158))) &gt; 0,$B158 &amp; "(" &amp; $E158 &amp; ")",IF(SUMPRODUCT(-- ISNUMBER(SEARCH({"Formula","Roll-Up Summary"}, $B158))) &gt; 0,$B158 &amp; " (" &amp; $E158 &amp; ")",IF(SUMPRODUCT(-- ISNUMBER(SEARCH({"Content","Currency","Number","Percent","Text","URL"}, $B158))) &gt; 0,$B158 &amp; "(" &amp; $C158 &amp; ")",$B158)))), "  ", TRIM(IF($S158 = "YES", "(External ID)", "") &amp; " " &amp; IF(SUMPRODUCT(-- ISNUMBER(SEARCH({"Unique","Unique Case Insensitive"}, $R158))) &gt; 0, "(" &amp; $R158 &amp; ")", ""))))</f>
        <v>na</v>
      </c>
      <c r="E158" s="7" t="s">
        <v>195</v>
      </c>
      <c r="F158" s="7" t="s">
        <v>195</v>
      </c>
      <c r="G158" s="7" t="s">
        <v>195</v>
      </c>
      <c r="H158" s="7" t="s">
        <v>195</v>
      </c>
      <c r="I158" s="7" t="s">
        <v>195</v>
      </c>
      <c r="J158" s="7" t="s">
        <v>195</v>
      </c>
      <c r="K158" s="7" t="s">
        <v>195</v>
      </c>
      <c r="L158" s="7" t="s">
        <v>195</v>
      </c>
      <c r="M158" s="7" t="s">
        <v>29</v>
      </c>
      <c r="N158" s="7" t="s">
        <v>29</v>
      </c>
      <c r="O158" s="7" t="s">
        <v>29</v>
      </c>
      <c r="P158" s="7" t="s">
        <v>29</v>
      </c>
      <c r="Q158" s="7" t="s">
        <v>29</v>
      </c>
      <c r="R158" s="7" t="s">
        <v>29</v>
      </c>
      <c r="S158" s="7" t="s">
        <v>29</v>
      </c>
    </row>
    <row r="159" spans="2:19">
      <c r="B159" s="7" t="s">
        <v>195</v>
      </c>
      <c r="C159" s="8" t="s">
        <v>195</v>
      </c>
      <c r="D159" s="5" t="str">
        <f>LRTRIM(CONCATENATE(IF(SUMPRODUCT(-- ISNUMBER(SEARCH({"Auto Number"}, $B159))) &gt; 0, $B159, IF(SUMPRODUCT(-- ISNUMBER(SEARCH({"Lookup","Master-Detail"}, $B159))) &gt; 0,$B159 &amp; "(" &amp; $E159 &amp; ")",IF(SUMPRODUCT(-- ISNUMBER(SEARCH({"Formula","Roll-Up Summary"}, $B159))) &gt; 0,$B159 &amp; " (" &amp; $E159 &amp; ")",IF(SUMPRODUCT(-- ISNUMBER(SEARCH({"Content","Currency","Number","Percent","Text","URL"}, $B159))) &gt; 0,$B159 &amp; "(" &amp; $C159 &amp; ")",$B159)))), "  ", TRIM(IF($S159 = "YES", "(External ID)", "") &amp; " " &amp; IF(SUMPRODUCT(-- ISNUMBER(SEARCH({"Unique","Unique Case Insensitive"}, $R159))) &gt; 0, "(" &amp; $R159 &amp; ")", ""))))</f>
        <v>na</v>
      </c>
      <c r="E159" s="7" t="s">
        <v>195</v>
      </c>
      <c r="F159" s="7" t="s">
        <v>195</v>
      </c>
      <c r="G159" s="7" t="s">
        <v>195</v>
      </c>
      <c r="H159" s="7" t="s">
        <v>195</v>
      </c>
      <c r="I159" s="7" t="s">
        <v>195</v>
      </c>
      <c r="J159" s="7" t="s">
        <v>195</v>
      </c>
      <c r="K159" s="7" t="s">
        <v>195</v>
      </c>
      <c r="L159" s="7" t="s">
        <v>195</v>
      </c>
      <c r="M159" s="7" t="s">
        <v>29</v>
      </c>
      <c r="N159" s="7" t="s">
        <v>29</v>
      </c>
      <c r="O159" s="7" t="s">
        <v>29</v>
      </c>
      <c r="P159" s="7" t="s">
        <v>29</v>
      </c>
      <c r="Q159" s="7" t="s">
        <v>29</v>
      </c>
      <c r="R159" s="7" t="s">
        <v>29</v>
      </c>
      <c r="S159" s="7" t="s">
        <v>29</v>
      </c>
    </row>
    <row r="160" spans="2:19">
      <c r="B160" s="7" t="s">
        <v>195</v>
      </c>
      <c r="C160" s="8" t="s">
        <v>195</v>
      </c>
      <c r="D160" s="5" t="str">
        <f>LRTRIM(CONCATENATE(IF(SUMPRODUCT(-- ISNUMBER(SEARCH({"Auto Number"}, $B160))) &gt; 0, $B160, IF(SUMPRODUCT(-- ISNUMBER(SEARCH({"Lookup","Master-Detail"}, $B160))) &gt; 0,$B160 &amp; "(" &amp; $E160 &amp; ")",IF(SUMPRODUCT(-- ISNUMBER(SEARCH({"Formula","Roll-Up Summary"}, $B160))) &gt; 0,$B160 &amp; " (" &amp; $E160 &amp; ")",IF(SUMPRODUCT(-- ISNUMBER(SEARCH({"Content","Currency","Number","Percent","Text","URL"}, $B160))) &gt; 0,$B160 &amp; "(" &amp; $C160 &amp; ")",$B160)))), "  ", TRIM(IF($S160 = "YES", "(External ID)", "") &amp; " " &amp; IF(SUMPRODUCT(-- ISNUMBER(SEARCH({"Unique","Unique Case Insensitive"}, $R160))) &gt; 0, "(" &amp; $R160 &amp; ")", ""))))</f>
        <v>na</v>
      </c>
      <c r="E160" s="7" t="s">
        <v>195</v>
      </c>
      <c r="F160" s="7" t="s">
        <v>195</v>
      </c>
      <c r="G160" s="7" t="s">
        <v>195</v>
      </c>
      <c r="H160" s="7" t="s">
        <v>195</v>
      </c>
      <c r="I160" s="7" t="s">
        <v>195</v>
      </c>
      <c r="J160" s="7" t="s">
        <v>195</v>
      </c>
      <c r="K160" s="7" t="s">
        <v>195</v>
      </c>
      <c r="L160" s="7" t="s">
        <v>195</v>
      </c>
      <c r="M160" s="7" t="s">
        <v>29</v>
      </c>
      <c r="N160" s="7" t="s">
        <v>29</v>
      </c>
      <c r="O160" s="7" t="s">
        <v>29</v>
      </c>
      <c r="P160" s="7" t="s">
        <v>29</v>
      </c>
      <c r="Q160" s="7" t="s">
        <v>29</v>
      </c>
      <c r="R160" s="7" t="s">
        <v>29</v>
      </c>
      <c r="S160" s="7" t="s">
        <v>29</v>
      </c>
    </row>
    <row r="161" spans="2:19">
      <c r="B161" s="7" t="s">
        <v>195</v>
      </c>
      <c r="C161" s="8" t="s">
        <v>195</v>
      </c>
      <c r="D161" s="5" t="str">
        <f>LRTRIM(CONCATENATE(IF(SUMPRODUCT(-- ISNUMBER(SEARCH({"Auto Number"}, $B161))) &gt; 0, $B161, IF(SUMPRODUCT(-- ISNUMBER(SEARCH({"Lookup","Master-Detail"}, $B161))) &gt; 0,$B161 &amp; "(" &amp; $E161 &amp; ")",IF(SUMPRODUCT(-- ISNUMBER(SEARCH({"Formula","Roll-Up Summary"}, $B161))) &gt; 0,$B161 &amp; " (" &amp; $E161 &amp; ")",IF(SUMPRODUCT(-- ISNUMBER(SEARCH({"Content","Currency","Number","Percent","Text","URL"}, $B161))) &gt; 0,$B161 &amp; "(" &amp; $C161 &amp; ")",$B161)))), "  ", TRIM(IF($S161 = "YES", "(External ID)", "") &amp; " " &amp; IF(SUMPRODUCT(-- ISNUMBER(SEARCH({"Unique","Unique Case Insensitive"}, $R161))) &gt; 0, "(" &amp; $R161 &amp; ")", ""))))</f>
        <v>na</v>
      </c>
      <c r="E161" s="7" t="s">
        <v>195</v>
      </c>
      <c r="F161" s="7" t="s">
        <v>195</v>
      </c>
      <c r="G161" s="7" t="s">
        <v>195</v>
      </c>
      <c r="H161" s="7" t="s">
        <v>195</v>
      </c>
      <c r="I161" s="7" t="s">
        <v>195</v>
      </c>
      <c r="J161" s="7" t="s">
        <v>195</v>
      </c>
      <c r="K161" s="7" t="s">
        <v>195</v>
      </c>
      <c r="L161" s="7" t="s">
        <v>195</v>
      </c>
      <c r="M161" s="7" t="s">
        <v>29</v>
      </c>
      <c r="N161" s="7" t="s">
        <v>29</v>
      </c>
      <c r="O161" s="7" t="s">
        <v>29</v>
      </c>
      <c r="P161" s="7" t="s">
        <v>29</v>
      </c>
      <c r="Q161" s="7" t="s">
        <v>29</v>
      </c>
      <c r="R161" s="7" t="s">
        <v>29</v>
      </c>
      <c r="S161" s="7" t="s">
        <v>29</v>
      </c>
    </row>
    <row r="162" spans="2:19">
      <c r="B162" s="7" t="s">
        <v>195</v>
      </c>
      <c r="C162" s="8" t="s">
        <v>195</v>
      </c>
      <c r="D162" s="5" t="str">
        <f>LRTRIM(CONCATENATE(IF(SUMPRODUCT(-- ISNUMBER(SEARCH({"Auto Number"}, $B162))) &gt; 0, $B162, IF(SUMPRODUCT(-- ISNUMBER(SEARCH({"Lookup","Master-Detail"}, $B162))) &gt; 0,$B162 &amp; "(" &amp; $E162 &amp; ")",IF(SUMPRODUCT(-- ISNUMBER(SEARCH({"Formula","Roll-Up Summary"}, $B162))) &gt; 0,$B162 &amp; " (" &amp; $E162 &amp; ")",IF(SUMPRODUCT(-- ISNUMBER(SEARCH({"Content","Currency","Number","Percent","Text","URL"}, $B162))) &gt; 0,$B162 &amp; "(" &amp; $C162 &amp; ")",$B162)))), "  ", TRIM(IF($S162 = "YES", "(External ID)", "") &amp; " " &amp; IF(SUMPRODUCT(-- ISNUMBER(SEARCH({"Unique","Unique Case Insensitive"}, $R162))) &gt; 0, "(" &amp; $R162 &amp; ")", ""))))</f>
        <v>na</v>
      </c>
      <c r="E162" s="7" t="s">
        <v>195</v>
      </c>
      <c r="F162" s="7" t="s">
        <v>195</v>
      </c>
      <c r="G162" s="7" t="s">
        <v>195</v>
      </c>
      <c r="H162" s="7" t="s">
        <v>195</v>
      </c>
      <c r="I162" s="7" t="s">
        <v>195</v>
      </c>
      <c r="J162" s="7" t="s">
        <v>195</v>
      </c>
      <c r="K162" s="7" t="s">
        <v>195</v>
      </c>
      <c r="L162" s="7" t="s">
        <v>195</v>
      </c>
      <c r="M162" s="7" t="s">
        <v>29</v>
      </c>
      <c r="N162" s="7" t="s">
        <v>29</v>
      </c>
      <c r="O162" s="7" t="s">
        <v>29</v>
      </c>
      <c r="P162" s="7" t="s">
        <v>29</v>
      </c>
      <c r="Q162" s="7" t="s">
        <v>29</v>
      </c>
      <c r="R162" s="7" t="s">
        <v>29</v>
      </c>
      <c r="S162" s="7" t="s">
        <v>29</v>
      </c>
    </row>
    <row r="163" spans="2:19">
      <c r="B163" s="7" t="s">
        <v>195</v>
      </c>
      <c r="C163" s="8" t="s">
        <v>195</v>
      </c>
      <c r="D163" s="5" t="str">
        <f>LRTRIM(CONCATENATE(IF(SUMPRODUCT(-- ISNUMBER(SEARCH({"Auto Number"}, $B163))) &gt; 0, $B163, IF(SUMPRODUCT(-- ISNUMBER(SEARCH({"Lookup","Master-Detail"}, $B163))) &gt; 0,$B163 &amp; "(" &amp; $E163 &amp; ")",IF(SUMPRODUCT(-- ISNUMBER(SEARCH({"Formula","Roll-Up Summary"}, $B163))) &gt; 0,$B163 &amp; " (" &amp; $E163 &amp; ")",IF(SUMPRODUCT(-- ISNUMBER(SEARCH({"Content","Currency","Number","Percent","Text","URL"}, $B163))) &gt; 0,$B163 &amp; "(" &amp; $C163 &amp; ")",$B163)))), "  ", TRIM(IF($S163 = "YES", "(External ID)", "") &amp; " " &amp; IF(SUMPRODUCT(-- ISNUMBER(SEARCH({"Unique","Unique Case Insensitive"}, $R163))) &gt; 0, "(" &amp; $R163 &amp; ")", ""))))</f>
        <v>na</v>
      </c>
      <c r="E163" s="7" t="s">
        <v>195</v>
      </c>
      <c r="F163" s="7" t="s">
        <v>195</v>
      </c>
      <c r="G163" s="7" t="s">
        <v>195</v>
      </c>
      <c r="H163" s="7" t="s">
        <v>195</v>
      </c>
      <c r="I163" s="7" t="s">
        <v>195</v>
      </c>
      <c r="J163" s="7" t="s">
        <v>195</v>
      </c>
      <c r="K163" s="7" t="s">
        <v>195</v>
      </c>
      <c r="L163" s="7" t="s">
        <v>195</v>
      </c>
      <c r="M163" s="7" t="s">
        <v>29</v>
      </c>
      <c r="N163" s="7" t="s">
        <v>29</v>
      </c>
      <c r="O163" s="7" t="s">
        <v>29</v>
      </c>
      <c r="P163" s="7" t="s">
        <v>29</v>
      </c>
      <c r="Q163" s="7" t="s">
        <v>29</v>
      </c>
      <c r="R163" s="7" t="s">
        <v>29</v>
      </c>
      <c r="S163" s="7" t="s">
        <v>29</v>
      </c>
    </row>
    <row r="164" spans="2:19">
      <c r="B164" s="7" t="s">
        <v>195</v>
      </c>
      <c r="C164" s="8" t="s">
        <v>195</v>
      </c>
      <c r="D164" s="5" t="str">
        <f>LRTRIM(CONCATENATE(IF(SUMPRODUCT(-- ISNUMBER(SEARCH({"Auto Number"}, $B164))) &gt; 0, $B164, IF(SUMPRODUCT(-- ISNUMBER(SEARCH({"Lookup","Master-Detail"}, $B164))) &gt; 0,$B164 &amp; "(" &amp; $E164 &amp; ")",IF(SUMPRODUCT(-- ISNUMBER(SEARCH({"Formula","Roll-Up Summary"}, $B164))) &gt; 0,$B164 &amp; " (" &amp; $E164 &amp; ")",IF(SUMPRODUCT(-- ISNUMBER(SEARCH({"Content","Currency","Number","Percent","Text","URL"}, $B164))) &gt; 0,$B164 &amp; "(" &amp; $C164 &amp; ")",$B164)))), "  ", TRIM(IF($S164 = "YES", "(External ID)", "") &amp; " " &amp; IF(SUMPRODUCT(-- ISNUMBER(SEARCH({"Unique","Unique Case Insensitive"}, $R164))) &gt; 0, "(" &amp; $R164 &amp; ")", ""))))</f>
        <v>na</v>
      </c>
      <c r="E164" s="7" t="s">
        <v>195</v>
      </c>
      <c r="F164" s="7" t="s">
        <v>195</v>
      </c>
      <c r="G164" s="7" t="s">
        <v>195</v>
      </c>
      <c r="H164" s="7" t="s">
        <v>195</v>
      </c>
      <c r="I164" s="7" t="s">
        <v>195</v>
      </c>
      <c r="J164" s="7" t="s">
        <v>195</v>
      </c>
      <c r="K164" s="7" t="s">
        <v>195</v>
      </c>
      <c r="L164" s="7" t="s">
        <v>195</v>
      </c>
      <c r="M164" s="7" t="s">
        <v>29</v>
      </c>
      <c r="N164" s="7" t="s">
        <v>29</v>
      </c>
      <c r="O164" s="7" t="s">
        <v>29</v>
      </c>
      <c r="P164" s="7" t="s">
        <v>29</v>
      </c>
      <c r="Q164" s="7" t="s">
        <v>29</v>
      </c>
      <c r="R164" s="7" t="s">
        <v>29</v>
      </c>
      <c r="S164" s="7" t="s">
        <v>29</v>
      </c>
    </row>
    <row r="165" spans="2:19">
      <c r="B165" s="7" t="s">
        <v>195</v>
      </c>
      <c r="C165" s="8" t="s">
        <v>195</v>
      </c>
      <c r="D165" s="5" t="str">
        <f>LRTRIM(CONCATENATE(IF(SUMPRODUCT(-- ISNUMBER(SEARCH({"Auto Number"}, $B165))) &gt; 0, $B165, IF(SUMPRODUCT(-- ISNUMBER(SEARCH({"Lookup","Master-Detail"}, $B165))) &gt; 0,$B165 &amp; "(" &amp; $E165 &amp; ")",IF(SUMPRODUCT(-- ISNUMBER(SEARCH({"Formula","Roll-Up Summary"}, $B165))) &gt; 0,$B165 &amp; " (" &amp; $E165 &amp; ")",IF(SUMPRODUCT(-- ISNUMBER(SEARCH({"Content","Currency","Number","Percent","Text","URL"}, $B165))) &gt; 0,$B165 &amp; "(" &amp; $C165 &amp; ")",$B165)))), "  ", TRIM(IF($S165 = "YES", "(External ID)", "") &amp; " " &amp; IF(SUMPRODUCT(-- ISNUMBER(SEARCH({"Unique","Unique Case Insensitive"}, $R165))) &gt; 0, "(" &amp; $R165 &amp; ")", ""))))</f>
        <v>na</v>
      </c>
      <c r="E165" s="7" t="s">
        <v>195</v>
      </c>
      <c r="F165" s="7" t="s">
        <v>195</v>
      </c>
      <c r="G165" s="7" t="s">
        <v>195</v>
      </c>
      <c r="H165" s="7" t="s">
        <v>195</v>
      </c>
      <c r="I165" s="7" t="s">
        <v>195</v>
      </c>
      <c r="J165" s="7" t="s">
        <v>195</v>
      </c>
      <c r="K165" s="7" t="s">
        <v>195</v>
      </c>
      <c r="L165" s="7" t="s">
        <v>195</v>
      </c>
      <c r="M165" s="7" t="s">
        <v>29</v>
      </c>
      <c r="N165" s="7" t="s">
        <v>29</v>
      </c>
      <c r="O165" s="7" t="s">
        <v>29</v>
      </c>
      <c r="P165" s="7" t="s">
        <v>29</v>
      </c>
      <c r="Q165" s="7" t="s">
        <v>29</v>
      </c>
      <c r="R165" s="7" t="s">
        <v>29</v>
      </c>
      <c r="S165" s="7" t="s">
        <v>29</v>
      </c>
    </row>
    <row r="166" spans="2:19">
      <c r="B166" s="7" t="s">
        <v>195</v>
      </c>
      <c r="C166" s="8" t="s">
        <v>195</v>
      </c>
      <c r="D166" s="5" t="str">
        <f>LRTRIM(CONCATENATE(IF(SUMPRODUCT(-- ISNUMBER(SEARCH({"Auto Number"}, $B166))) &gt; 0, $B166, IF(SUMPRODUCT(-- ISNUMBER(SEARCH({"Lookup","Master-Detail"}, $B166))) &gt; 0,$B166 &amp; "(" &amp; $E166 &amp; ")",IF(SUMPRODUCT(-- ISNUMBER(SEARCH({"Formula","Roll-Up Summary"}, $B166))) &gt; 0,$B166 &amp; " (" &amp; $E166 &amp; ")",IF(SUMPRODUCT(-- ISNUMBER(SEARCH({"Content","Currency","Number","Percent","Text","URL"}, $B166))) &gt; 0,$B166 &amp; "(" &amp; $C166 &amp; ")",$B166)))), "  ", TRIM(IF($S166 = "YES", "(External ID)", "") &amp; " " &amp; IF(SUMPRODUCT(-- ISNUMBER(SEARCH({"Unique","Unique Case Insensitive"}, $R166))) &gt; 0, "(" &amp; $R166 &amp; ")", ""))))</f>
        <v>na</v>
      </c>
      <c r="E166" s="7" t="s">
        <v>195</v>
      </c>
      <c r="F166" s="7" t="s">
        <v>195</v>
      </c>
      <c r="G166" s="7" t="s">
        <v>195</v>
      </c>
      <c r="H166" s="7" t="s">
        <v>195</v>
      </c>
      <c r="I166" s="7" t="s">
        <v>195</v>
      </c>
      <c r="J166" s="7" t="s">
        <v>195</v>
      </c>
      <c r="K166" s="7" t="s">
        <v>195</v>
      </c>
      <c r="L166" s="7" t="s">
        <v>195</v>
      </c>
      <c r="M166" s="7" t="s">
        <v>29</v>
      </c>
      <c r="N166" s="7" t="s">
        <v>29</v>
      </c>
      <c r="O166" s="7" t="s">
        <v>29</v>
      </c>
      <c r="P166" s="7" t="s">
        <v>29</v>
      </c>
      <c r="Q166" s="7" t="s">
        <v>29</v>
      </c>
      <c r="R166" s="7" t="s">
        <v>29</v>
      </c>
      <c r="S166" s="7" t="s">
        <v>29</v>
      </c>
    </row>
    <row r="167" spans="2:19">
      <c r="B167" s="7" t="s">
        <v>195</v>
      </c>
      <c r="C167" s="8" t="s">
        <v>195</v>
      </c>
      <c r="D167" s="5" t="str">
        <f>LRTRIM(CONCATENATE(IF(SUMPRODUCT(-- ISNUMBER(SEARCH({"Auto Number"}, $B167))) &gt; 0, $B167, IF(SUMPRODUCT(-- ISNUMBER(SEARCH({"Lookup","Master-Detail"}, $B167))) &gt; 0,$B167 &amp; "(" &amp; $E167 &amp; ")",IF(SUMPRODUCT(-- ISNUMBER(SEARCH({"Formula","Roll-Up Summary"}, $B167))) &gt; 0,$B167 &amp; " (" &amp; $E167 &amp; ")",IF(SUMPRODUCT(-- ISNUMBER(SEARCH({"Content","Currency","Number","Percent","Text","URL"}, $B167))) &gt; 0,$B167 &amp; "(" &amp; $C167 &amp; ")",$B167)))), "  ", TRIM(IF($S167 = "YES", "(External ID)", "") &amp; " " &amp; IF(SUMPRODUCT(-- ISNUMBER(SEARCH({"Unique","Unique Case Insensitive"}, $R167))) &gt; 0, "(" &amp; $R167 &amp; ")", ""))))</f>
        <v>na</v>
      </c>
      <c r="E167" s="7" t="s">
        <v>195</v>
      </c>
      <c r="F167" s="7" t="s">
        <v>195</v>
      </c>
      <c r="G167" s="7" t="s">
        <v>195</v>
      </c>
      <c r="H167" s="7" t="s">
        <v>195</v>
      </c>
      <c r="I167" s="7" t="s">
        <v>195</v>
      </c>
      <c r="J167" s="7" t="s">
        <v>195</v>
      </c>
      <c r="K167" s="7" t="s">
        <v>195</v>
      </c>
      <c r="L167" s="7" t="s">
        <v>195</v>
      </c>
      <c r="M167" s="7" t="s">
        <v>29</v>
      </c>
      <c r="N167" s="7" t="s">
        <v>29</v>
      </c>
      <c r="O167" s="7" t="s">
        <v>29</v>
      </c>
      <c r="P167" s="7" t="s">
        <v>29</v>
      </c>
      <c r="Q167" s="7" t="s">
        <v>29</v>
      </c>
      <c r="R167" s="7" t="s">
        <v>29</v>
      </c>
      <c r="S167" s="7" t="s">
        <v>29</v>
      </c>
    </row>
    <row r="168" spans="2:19">
      <c r="B168" s="7" t="s">
        <v>195</v>
      </c>
      <c r="C168" s="8" t="s">
        <v>195</v>
      </c>
      <c r="D168" s="5" t="str">
        <f>LRTRIM(CONCATENATE(IF(SUMPRODUCT(-- ISNUMBER(SEARCH({"Auto Number"}, $B168))) &gt; 0, $B168, IF(SUMPRODUCT(-- ISNUMBER(SEARCH({"Lookup","Master-Detail"}, $B168))) &gt; 0,$B168 &amp; "(" &amp; $E168 &amp; ")",IF(SUMPRODUCT(-- ISNUMBER(SEARCH({"Formula","Roll-Up Summary"}, $B168))) &gt; 0,$B168 &amp; " (" &amp; $E168 &amp; ")",IF(SUMPRODUCT(-- ISNUMBER(SEARCH({"Content","Currency","Number","Percent","Text","URL"}, $B168))) &gt; 0,$B168 &amp; "(" &amp; $C168 &amp; ")",$B168)))), "  ", TRIM(IF($S168 = "YES", "(External ID)", "") &amp; " " &amp; IF(SUMPRODUCT(-- ISNUMBER(SEARCH({"Unique","Unique Case Insensitive"}, $R168))) &gt; 0, "(" &amp; $R168 &amp; ")", ""))))</f>
        <v>na</v>
      </c>
      <c r="E168" s="7" t="s">
        <v>195</v>
      </c>
      <c r="F168" s="7" t="s">
        <v>195</v>
      </c>
      <c r="G168" s="7" t="s">
        <v>195</v>
      </c>
      <c r="H168" s="7" t="s">
        <v>195</v>
      </c>
      <c r="I168" s="7" t="s">
        <v>195</v>
      </c>
      <c r="J168" s="7" t="s">
        <v>195</v>
      </c>
      <c r="K168" s="7" t="s">
        <v>195</v>
      </c>
      <c r="L168" s="7" t="s">
        <v>195</v>
      </c>
      <c r="M168" s="7" t="s">
        <v>29</v>
      </c>
      <c r="N168" s="7" t="s">
        <v>29</v>
      </c>
      <c r="O168" s="7" t="s">
        <v>29</v>
      </c>
      <c r="P168" s="7" t="s">
        <v>29</v>
      </c>
      <c r="Q168" s="7" t="s">
        <v>29</v>
      </c>
      <c r="R168" s="7" t="s">
        <v>29</v>
      </c>
      <c r="S168" s="7" t="s">
        <v>29</v>
      </c>
    </row>
    <row r="169" spans="2:19">
      <c r="B169" s="7" t="s">
        <v>195</v>
      </c>
      <c r="C169" s="8" t="s">
        <v>195</v>
      </c>
      <c r="D169" s="5" t="str">
        <f>LRTRIM(CONCATENATE(IF(SUMPRODUCT(-- ISNUMBER(SEARCH({"Auto Number"}, $B169))) &gt; 0, $B169, IF(SUMPRODUCT(-- ISNUMBER(SEARCH({"Lookup","Master-Detail"}, $B169))) &gt; 0,$B169 &amp; "(" &amp; $E169 &amp; ")",IF(SUMPRODUCT(-- ISNUMBER(SEARCH({"Formula","Roll-Up Summary"}, $B169))) &gt; 0,$B169 &amp; " (" &amp; $E169 &amp; ")",IF(SUMPRODUCT(-- ISNUMBER(SEARCH({"Content","Currency","Number","Percent","Text","URL"}, $B169))) &gt; 0,$B169 &amp; "(" &amp; $C169 &amp; ")",$B169)))), "  ", TRIM(IF($S169 = "YES", "(External ID)", "") &amp; " " &amp; IF(SUMPRODUCT(-- ISNUMBER(SEARCH({"Unique","Unique Case Insensitive"}, $R169))) &gt; 0, "(" &amp; $R169 &amp; ")", ""))))</f>
        <v>na</v>
      </c>
      <c r="E169" s="7" t="s">
        <v>195</v>
      </c>
      <c r="F169" s="7" t="s">
        <v>195</v>
      </c>
      <c r="G169" s="7" t="s">
        <v>195</v>
      </c>
      <c r="H169" s="7" t="s">
        <v>195</v>
      </c>
      <c r="I169" s="7" t="s">
        <v>195</v>
      </c>
      <c r="J169" s="7" t="s">
        <v>195</v>
      </c>
      <c r="K169" s="7" t="s">
        <v>195</v>
      </c>
      <c r="L169" s="7" t="s">
        <v>195</v>
      </c>
      <c r="M169" s="7" t="s">
        <v>29</v>
      </c>
      <c r="N169" s="7" t="s">
        <v>29</v>
      </c>
      <c r="O169" s="7" t="s">
        <v>29</v>
      </c>
      <c r="P169" s="7" t="s">
        <v>29</v>
      </c>
      <c r="Q169" s="7" t="s">
        <v>29</v>
      </c>
      <c r="R169" s="7" t="s">
        <v>29</v>
      </c>
      <c r="S169" s="7" t="s">
        <v>29</v>
      </c>
    </row>
    <row r="170" spans="2:19">
      <c r="B170" s="7" t="s">
        <v>195</v>
      </c>
      <c r="C170" s="8" t="s">
        <v>195</v>
      </c>
      <c r="D170" s="5" t="str">
        <f>LRTRIM(CONCATENATE(IF(SUMPRODUCT(-- ISNUMBER(SEARCH({"Auto Number"}, $B170))) &gt; 0, $B170, IF(SUMPRODUCT(-- ISNUMBER(SEARCH({"Lookup","Master-Detail"}, $B170))) &gt; 0,$B170 &amp; "(" &amp; $E170 &amp; ")",IF(SUMPRODUCT(-- ISNUMBER(SEARCH({"Formula","Roll-Up Summary"}, $B170))) &gt; 0,$B170 &amp; " (" &amp; $E170 &amp; ")",IF(SUMPRODUCT(-- ISNUMBER(SEARCH({"Content","Currency","Number","Percent","Text","URL"}, $B170))) &gt; 0,$B170 &amp; "(" &amp; $C170 &amp; ")",$B170)))), "  ", TRIM(IF($S170 = "YES", "(External ID)", "") &amp; " " &amp; IF(SUMPRODUCT(-- ISNUMBER(SEARCH({"Unique","Unique Case Insensitive"}, $R170))) &gt; 0, "(" &amp; $R170 &amp; ")", ""))))</f>
        <v>na</v>
      </c>
      <c r="E170" s="7" t="s">
        <v>195</v>
      </c>
      <c r="F170" s="7" t="s">
        <v>195</v>
      </c>
      <c r="G170" s="7" t="s">
        <v>195</v>
      </c>
      <c r="H170" s="7" t="s">
        <v>195</v>
      </c>
      <c r="I170" s="7" t="s">
        <v>195</v>
      </c>
      <c r="J170" s="7" t="s">
        <v>195</v>
      </c>
      <c r="K170" s="7" t="s">
        <v>195</v>
      </c>
      <c r="L170" s="7" t="s">
        <v>195</v>
      </c>
      <c r="M170" s="7" t="s">
        <v>29</v>
      </c>
      <c r="N170" s="7" t="s">
        <v>29</v>
      </c>
      <c r="O170" s="7" t="s">
        <v>29</v>
      </c>
      <c r="P170" s="7" t="s">
        <v>29</v>
      </c>
      <c r="Q170" s="7" t="s">
        <v>29</v>
      </c>
      <c r="R170" s="7" t="s">
        <v>29</v>
      </c>
      <c r="S170" s="7" t="s">
        <v>29</v>
      </c>
    </row>
    <row r="171" spans="2:19">
      <c r="B171" s="7" t="s">
        <v>195</v>
      </c>
      <c r="C171" s="8" t="s">
        <v>195</v>
      </c>
      <c r="D171" s="5" t="str">
        <f>LRTRIM(CONCATENATE(IF(SUMPRODUCT(-- ISNUMBER(SEARCH({"Auto Number"}, $B171))) &gt; 0, $B171, IF(SUMPRODUCT(-- ISNUMBER(SEARCH({"Lookup","Master-Detail"}, $B171))) &gt; 0,$B171 &amp; "(" &amp; $E171 &amp; ")",IF(SUMPRODUCT(-- ISNUMBER(SEARCH({"Formula","Roll-Up Summary"}, $B171))) &gt; 0,$B171 &amp; " (" &amp; $E171 &amp; ")",IF(SUMPRODUCT(-- ISNUMBER(SEARCH({"Content","Currency","Number","Percent","Text","URL"}, $B171))) &gt; 0,$B171 &amp; "(" &amp; $C171 &amp; ")",$B171)))), "  ", TRIM(IF($S171 = "YES", "(External ID)", "") &amp; " " &amp; IF(SUMPRODUCT(-- ISNUMBER(SEARCH({"Unique","Unique Case Insensitive"}, $R171))) &gt; 0, "(" &amp; $R171 &amp; ")", ""))))</f>
        <v>na</v>
      </c>
      <c r="E171" s="7" t="s">
        <v>195</v>
      </c>
      <c r="F171" s="7" t="s">
        <v>195</v>
      </c>
      <c r="G171" s="7" t="s">
        <v>195</v>
      </c>
      <c r="H171" s="7" t="s">
        <v>195</v>
      </c>
      <c r="I171" s="7" t="s">
        <v>195</v>
      </c>
      <c r="J171" s="7" t="s">
        <v>195</v>
      </c>
      <c r="K171" s="7" t="s">
        <v>195</v>
      </c>
      <c r="L171" s="7" t="s">
        <v>195</v>
      </c>
      <c r="M171" s="7" t="s">
        <v>29</v>
      </c>
      <c r="N171" s="7" t="s">
        <v>29</v>
      </c>
      <c r="O171" s="7" t="s">
        <v>29</v>
      </c>
      <c r="P171" s="7" t="s">
        <v>29</v>
      </c>
      <c r="Q171" s="7" t="s">
        <v>29</v>
      </c>
      <c r="R171" s="7" t="s">
        <v>29</v>
      </c>
      <c r="S171" s="7" t="s">
        <v>29</v>
      </c>
    </row>
    <row r="172" spans="2:19">
      <c r="B172" s="7" t="s">
        <v>195</v>
      </c>
      <c r="C172" s="8" t="s">
        <v>195</v>
      </c>
      <c r="D172" s="5" t="str">
        <f>LRTRIM(CONCATENATE(IF(SUMPRODUCT(-- ISNUMBER(SEARCH({"Auto Number"}, $B172))) &gt; 0, $B172, IF(SUMPRODUCT(-- ISNUMBER(SEARCH({"Lookup","Master-Detail"}, $B172))) &gt; 0,$B172 &amp; "(" &amp; $E172 &amp; ")",IF(SUMPRODUCT(-- ISNUMBER(SEARCH({"Formula","Roll-Up Summary"}, $B172))) &gt; 0,$B172 &amp; " (" &amp; $E172 &amp; ")",IF(SUMPRODUCT(-- ISNUMBER(SEARCH({"Content","Currency","Number","Percent","Text","URL"}, $B172))) &gt; 0,$B172 &amp; "(" &amp; $C172 &amp; ")",$B172)))), "  ", TRIM(IF($S172 = "YES", "(External ID)", "") &amp; " " &amp; IF(SUMPRODUCT(-- ISNUMBER(SEARCH({"Unique","Unique Case Insensitive"}, $R172))) &gt; 0, "(" &amp; $R172 &amp; ")", ""))))</f>
        <v>na</v>
      </c>
      <c r="E172" s="7" t="s">
        <v>195</v>
      </c>
      <c r="F172" s="7" t="s">
        <v>195</v>
      </c>
      <c r="G172" s="7" t="s">
        <v>195</v>
      </c>
      <c r="H172" s="7" t="s">
        <v>195</v>
      </c>
      <c r="I172" s="7" t="s">
        <v>195</v>
      </c>
      <c r="J172" s="7" t="s">
        <v>195</v>
      </c>
      <c r="K172" s="7" t="s">
        <v>195</v>
      </c>
      <c r="L172" s="7" t="s">
        <v>195</v>
      </c>
      <c r="M172" s="7" t="s">
        <v>29</v>
      </c>
      <c r="N172" s="7" t="s">
        <v>29</v>
      </c>
      <c r="O172" s="7" t="s">
        <v>29</v>
      </c>
      <c r="P172" s="7" t="s">
        <v>29</v>
      </c>
      <c r="Q172" s="7" t="s">
        <v>29</v>
      </c>
      <c r="R172" s="7" t="s">
        <v>29</v>
      </c>
      <c r="S172" s="7" t="s">
        <v>29</v>
      </c>
    </row>
    <row r="173" spans="2:19">
      <c r="B173" s="7" t="s">
        <v>195</v>
      </c>
      <c r="C173" s="8" t="s">
        <v>195</v>
      </c>
      <c r="D173" s="5" t="str">
        <f>LRTRIM(CONCATENATE(IF(SUMPRODUCT(-- ISNUMBER(SEARCH({"Auto Number"}, $B173))) &gt; 0, $B173, IF(SUMPRODUCT(-- ISNUMBER(SEARCH({"Lookup","Master-Detail"}, $B173))) &gt; 0,$B173 &amp; "(" &amp; $E173 &amp; ")",IF(SUMPRODUCT(-- ISNUMBER(SEARCH({"Formula","Roll-Up Summary"}, $B173))) &gt; 0,$B173 &amp; " (" &amp; $E173 &amp; ")",IF(SUMPRODUCT(-- ISNUMBER(SEARCH({"Content","Currency","Number","Percent","Text","URL"}, $B173))) &gt; 0,$B173 &amp; "(" &amp; $C173 &amp; ")",$B173)))), "  ", TRIM(IF($S173 = "YES", "(External ID)", "") &amp; " " &amp; IF(SUMPRODUCT(-- ISNUMBER(SEARCH({"Unique","Unique Case Insensitive"}, $R173))) &gt; 0, "(" &amp; $R173 &amp; ")", ""))))</f>
        <v>na</v>
      </c>
      <c r="E173" s="7" t="s">
        <v>195</v>
      </c>
      <c r="F173" s="7" t="s">
        <v>195</v>
      </c>
      <c r="G173" s="7" t="s">
        <v>195</v>
      </c>
      <c r="H173" s="7" t="s">
        <v>195</v>
      </c>
      <c r="I173" s="7" t="s">
        <v>195</v>
      </c>
      <c r="J173" s="7" t="s">
        <v>195</v>
      </c>
      <c r="K173" s="7" t="s">
        <v>195</v>
      </c>
      <c r="L173" s="7" t="s">
        <v>195</v>
      </c>
      <c r="M173" s="7" t="s">
        <v>29</v>
      </c>
      <c r="N173" s="7" t="s">
        <v>29</v>
      </c>
      <c r="O173" s="7" t="s">
        <v>29</v>
      </c>
      <c r="P173" s="7" t="s">
        <v>29</v>
      </c>
      <c r="Q173" s="7" t="s">
        <v>29</v>
      </c>
      <c r="R173" s="7" t="s">
        <v>29</v>
      </c>
      <c r="S173" s="7" t="s">
        <v>29</v>
      </c>
    </row>
    <row r="174" spans="2:19">
      <c r="B174" s="7" t="s">
        <v>195</v>
      </c>
      <c r="C174" s="8" t="s">
        <v>195</v>
      </c>
      <c r="D174" s="5" t="str">
        <f>LRTRIM(CONCATENATE(IF(SUMPRODUCT(-- ISNUMBER(SEARCH({"Auto Number"}, $B174))) &gt; 0, $B174, IF(SUMPRODUCT(-- ISNUMBER(SEARCH({"Lookup","Master-Detail"}, $B174))) &gt; 0,$B174 &amp; "(" &amp; $E174 &amp; ")",IF(SUMPRODUCT(-- ISNUMBER(SEARCH({"Formula","Roll-Up Summary"}, $B174))) &gt; 0,$B174 &amp; " (" &amp; $E174 &amp; ")",IF(SUMPRODUCT(-- ISNUMBER(SEARCH({"Content","Currency","Number","Percent","Text","URL"}, $B174))) &gt; 0,$B174 &amp; "(" &amp; $C174 &amp; ")",$B174)))), "  ", TRIM(IF($S174 = "YES", "(External ID)", "") &amp; " " &amp; IF(SUMPRODUCT(-- ISNUMBER(SEARCH({"Unique","Unique Case Insensitive"}, $R174))) &gt; 0, "(" &amp; $R174 &amp; ")", ""))))</f>
        <v>na</v>
      </c>
      <c r="E174" s="7" t="s">
        <v>195</v>
      </c>
      <c r="F174" s="7" t="s">
        <v>195</v>
      </c>
      <c r="G174" s="7" t="s">
        <v>195</v>
      </c>
      <c r="H174" s="7" t="s">
        <v>195</v>
      </c>
      <c r="I174" s="7" t="s">
        <v>195</v>
      </c>
      <c r="J174" s="7" t="s">
        <v>195</v>
      </c>
      <c r="K174" s="7" t="s">
        <v>195</v>
      </c>
      <c r="L174" s="7" t="s">
        <v>195</v>
      </c>
      <c r="M174" s="7" t="s">
        <v>29</v>
      </c>
      <c r="N174" s="7" t="s">
        <v>29</v>
      </c>
      <c r="O174" s="7" t="s">
        <v>29</v>
      </c>
      <c r="P174" s="7" t="s">
        <v>29</v>
      </c>
      <c r="Q174" s="7" t="s">
        <v>29</v>
      </c>
      <c r="R174" s="7" t="s">
        <v>29</v>
      </c>
      <c r="S174" s="7" t="s">
        <v>29</v>
      </c>
    </row>
    <row r="175" spans="2:19">
      <c r="B175" s="7" t="s">
        <v>195</v>
      </c>
      <c r="C175" s="8" t="s">
        <v>195</v>
      </c>
      <c r="D175" s="5" t="str">
        <f>LRTRIM(CONCATENATE(IF(SUMPRODUCT(-- ISNUMBER(SEARCH({"Auto Number"}, $B175))) &gt; 0, $B175, IF(SUMPRODUCT(-- ISNUMBER(SEARCH({"Lookup","Master-Detail"}, $B175))) &gt; 0,$B175 &amp; "(" &amp; $E175 &amp; ")",IF(SUMPRODUCT(-- ISNUMBER(SEARCH({"Formula","Roll-Up Summary"}, $B175))) &gt; 0,$B175 &amp; " (" &amp; $E175 &amp; ")",IF(SUMPRODUCT(-- ISNUMBER(SEARCH({"Content","Currency","Number","Percent","Text","URL"}, $B175))) &gt; 0,$B175 &amp; "(" &amp; $C175 &amp; ")",$B175)))), "  ", TRIM(IF($S175 = "YES", "(External ID)", "") &amp; " " &amp; IF(SUMPRODUCT(-- ISNUMBER(SEARCH({"Unique","Unique Case Insensitive"}, $R175))) &gt; 0, "(" &amp; $R175 &amp; ")", ""))))</f>
        <v>na</v>
      </c>
      <c r="E175" s="7" t="s">
        <v>195</v>
      </c>
      <c r="F175" s="7" t="s">
        <v>195</v>
      </c>
      <c r="G175" s="7" t="s">
        <v>195</v>
      </c>
      <c r="H175" s="7" t="s">
        <v>195</v>
      </c>
      <c r="I175" s="7" t="s">
        <v>195</v>
      </c>
      <c r="J175" s="7" t="s">
        <v>195</v>
      </c>
      <c r="K175" s="7" t="s">
        <v>195</v>
      </c>
      <c r="L175" s="7" t="s">
        <v>195</v>
      </c>
      <c r="M175" s="7" t="s">
        <v>29</v>
      </c>
      <c r="N175" s="7" t="s">
        <v>29</v>
      </c>
      <c r="O175" s="7" t="s">
        <v>29</v>
      </c>
      <c r="P175" s="7" t="s">
        <v>29</v>
      </c>
      <c r="Q175" s="7" t="s">
        <v>29</v>
      </c>
      <c r="R175" s="7" t="s">
        <v>29</v>
      </c>
      <c r="S175" s="7" t="s">
        <v>29</v>
      </c>
    </row>
    <row r="176" spans="2:19">
      <c r="B176" s="7" t="s">
        <v>195</v>
      </c>
      <c r="C176" s="8" t="s">
        <v>195</v>
      </c>
      <c r="D176" s="5" t="str">
        <f>LRTRIM(CONCATENATE(IF(SUMPRODUCT(-- ISNUMBER(SEARCH({"Auto Number"}, $B176))) &gt; 0, $B176, IF(SUMPRODUCT(-- ISNUMBER(SEARCH({"Lookup","Master-Detail"}, $B176))) &gt; 0,$B176 &amp; "(" &amp; $E176 &amp; ")",IF(SUMPRODUCT(-- ISNUMBER(SEARCH({"Formula","Roll-Up Summary"}, $B176))) &gt; 0,$B176 &amp; " (" &amp; $E176 &amp; ")",IF(SUMPRODUCT(-- ISNUMBER(SEARCH({"Content","Currency","Number","Percent","Text","URL"}, $B176))) &gt; 0,$B176 &amp; "(" &amp; $C176 &amp; ")",$B176)))), "  ", TRIM(IF($S176 = "YES", "(External ID)", "") &amp; " " &amp; IF(SUMPRODUCT(-- ISNUMBER(SEARCH({"Unique","Unique Case Insensitive"}, $R176))) &gt; 0, "(" &amp; $R176 &amp; ")", ""))))</f>
        <v>na</v>
      </c>
      <c r="E176" s="7" t="s">
        <v>195</v>
      </c>
      <c r="F176" s="7" t="s">
        <v>195</v>
      </c>
      <c r="G176" s="7" t="s">
        <v>195</v>
      </c>
      <c r="H176" s="7" t="s">
        <v>195</v>
      </c>
      <c r="I176" s="7" t="s">
        <v>195</v>
      </c>
      <c r="J176" s="7" t="s">
        <v>195</v>
      </c>
      <c r="K176" s="7" t="s">
        <v>195</v>
      </c>
      <c r="L176" s="7" t="s">
        <v>195</v>
      </c>
      <c r="M176" s="7" t="s">
        <v>29</v>
      </c>
      <c r="N176" s="7" t="s">
        <v>29</v>
      </c>
      <c r="O176" s="7" t="s">
        <v>29</v>
      </c>
      <c r="P176" s="7" t="s">
        <v>29</v>
      </c>
      <c r="Q176" s="7" t="s">
        <v>29</v>
      </c>
      <c r="R176" s="7" t="s">
        <v>29</v>
      </c>
      <c r="S176" s="7" t="s">
        <v>29</v>
      </c>
    </row>
    <row r="177" spans="2:19">
      <c r="B177" s="7" t="s">
        <v>195</v>
      </c>
      <c r="C177" s="8" t="s">
        <v>195</v>
      </c>
      <c r="D177" s="5" t="str">
        <f>LRTRIM(CONCATENATE(IF(SUMPRODUCT(-- ISNUMBER(SEARCH({"Auto Number"}, $B177))) &gt; 0, $B177, IF(SUMPRODUCT(-- ISNUMBER(SEARCH({"Lookup","Master-Detail"}, $B177))) &gt; 0,$B177 &amp; "(" &amp; $E177 &amp; ")",IF(SUMPRODUCT(-- ISNUMBER(SEARCH({"Formula","Roll-Up Summary"}, $B177))) &gt; 0,$B177 &amp; " (" &amp; $E177 &amp; ")",IF(SUMPRODUCT(-- ISNUMBER(SEARCH({"Content","Currency","Number","Percent","Text","URL"}, $B177))) &gt; 0,$B177 &amp; "(" &amp; $C177 &amp; ")",$B177)))), "  ", TRIM(IF($S177 = "YES", "(External ID)", "") &amp; " " &amp; IF(SUMPRODUCT(-- ISNUMBER(SEARCH({"Unique","Unique Case Insensitive"}, $R177))) &gt; 0, "(" &amp; $R177 &amp; ")", ""))))</f>
        <v>na</v>
      </c>
      <c r="E177" s="7" t="s">
        <v>195</v>
      </c>
      <c r="F177" s="7" t="s">
        <v>195</v>
      </c>
      <c r="G177" s="7" t="s">
        <v>195</v>
      </c>
      <c r="H177" s="7" t="s">
        <v>195</v>
      </c>
      <c r="I177" s="7" t="s">
        <v>195</v>
      </c>
      <c r="J177" s="7" t="s">
        <v>195</v>
      </c>
      <c r="K177" s="7" t="s">
        <v>195</v>
      </c>
      <c r="L177" s="7" t="s">
        <v>195</v>
      </c>
      <c r="M177" s="7" t="s">
        <v>29</v>
      </c>
      <c r="N177" s="7" t="s">
        <v>29</v>
      </c>
      <c r="O177" s="7" t="s">
        <v>29</v>
      </c>
      <c r="P177" s="7" t="s">
        <v>29</v>
      </c>
      <c r="Q177" s="7" t="s">
        <v>29</v>
      </c>
      <c r="R177" s="7" t="s">
        <v>29</v>
      </c>
      <c r="S177" s="7" t="s">
        <v>29</v>
      </c>
    </row>
    <row r="178" spans="2:19">
      <c r="B178" s="7" t="s">
        <v>195</v>
      </c>
      <c r="C178" s="8" t="s">
        <v>195</v>
      </c>
      <c r="D178" s="5" t="str">
        <f>LRTRIM(CONCATENATE(IF(SUMPRODUCT(-- ISNUMBER(SEARCH({"Auto Number"}, $B178))) &gt; 0, $B178, IF(SUMPRODUCT(-- ISNUMBER(SEARCH({"Lookup","Master-Detail"}, $B178))) &gt; 0,$B178 &amp; "(" &amp; $E178 &amp; ")",IF(SUMPRODUCT(-- ISNUMBER(SEARCH({"Formula","Roll-Up Summary"}, $B178))) &gt; 0,$B178 &amp; " (" &amp; $E178 &amp; ")",IF(SUMPRODUCT(-- ISNUMBER(SEARCH({"Content","Currency","Number","Percent","Text","URL"}, $B178))) &gt; 0,$B178 &amp; "(" &amp; $C178 &amp; ")",$B178)))), "  ", TRIM(IF($S178 = "YES", "(External ID)", "") &amp; " " &amp; IF(SUMPRODUCT(-- ISNUMBER(SEARCH({"Unique","Unique Case Insensitive"}, $R178))) &gt; 0, "(" &amp; $R178 &amp; ")", ""))))</f>
        <v>na</v>
      </c>
      <c r="E178" s="7" t="s">
        <v>195</v>
      </c>
      <c r="F178" s="7" t="s">
        <v>195</v>
      </c>
      <c r="G178" s="7" t="s">
        <v>195</v>
      </c>
      <c r="H178" s="7" t="s">
        <v>195</v>
      </c>
      <c r="I178" s="7" t="s">
        <v>195</v>
      </c>
      <c r="J178" s="7" t="s">
        <v>195</v>
      </c>
      <c r="K178" s="7" t="s">
        <v>195</v>
      </c>
      <c r="L178" s="7" t="s">
        <v>195</v>
      </c>
      <c r="M178" s="7" t="s">
        <v>29</v>
      </c>
      <c r="N178" s="7" t="s">
        <v>29</v>
      </c>
      <c r="O178" s="7" t="s">
        <v>29</v>
      </c>
      <c r="P178" s="7" t="s">
        <v>29</v>
      </c>
      <c r="Q178" s="7" t="s">
        <v>29</v>
      </c>
      <c r="R178" s="7" t="s">
        <v>29</v>
      </c>
      <c r="S178" s="7" t="s">
        <v>29</v>
      </c>
    </row>
    <row r="179" spans="2:19">
      <c r="B179" s="7" t="s">
        <v>195</v>
      </c>
      <c r="C179" s="8" t="s">
        <v>195</v>
      </c>
      <c r="D179" s="5" t="str">
        <f>LRTRIM(CONCATENATE(IF(SUMPRODUCT(-- ISNUMBER(SEARCH({"Auto Number"}, $B179))) &gt; 0, $B179, IF(SUMPRODUCT(-- ISNUMBER(SEARCH({"Lookup","Master-Detail"}, $B179))) &gt; 0,$B179 &amp; "(" &amp; $E179 &amp; ")",IF(SUMPRODUCT(-- ISNUMBER(SEARCH({"Formula","Roll-Up Summary"}, $B179))) &gt; 0,$B179 &amp; " (" &amp; $E179 &amp; ")",IF(SUMPRODUCT(-- ISNUMBER(SEARCH({"Content","Currency","Number","Percent","Text","URL"}, $B179))) &gt; 0,$B179 &amp; "(" &amp; $C179 &amp; ")",$B179)))), "  ", TRIM(IF($S179 = "YES", "(External ID)", "") &amp; " " &amp; IF(SUMPRODUCT(-- ISNUMBER(SEARCH({"Unique","Unique Case Insensitive"}, $R179))) &gt; 0, "(" &amp; $R179 &amp; ")", ""))))</f>
        <v>na</v>
      </c>
      <c r="E179" s="7" t="s">
        <v>195</v>
      </c>
      <c r="F179" s="7" t="s">
        <v>195</v>
      </c>
      <c r="G179" s="7" t="s">
        <v>195</v>
      </c>
      <c r="H179" s="7" t="s">
        <v>195</v>
      </c>
      <c r="I179" s="7" t="s">
        <v>195</v>
      </c>
      <c r="J179" s="7" t="s">
        <v>195</v>
      </c>
      <c r="K179" s="7" t="s">
        <v>195</v>
      </c>
      <c r="L179" s="7" t="s">
        <v>195</v>
      </c>
      <c r="M179" s="7" t="s">
        <v>29</v>
      </c>
      <c r="N179" s="7" t="s">
        <v>29</v>
      </c>
      <c r="O179" s="7" t="s">
        <v>29</v>
      </c>
      <c r="P179" s="7" t="s">
        <v>29</v>
      </c>
      <c r="Q179" s="7" t="s">
        <v>29</v>
      </c>
      <c r="R179" s="7" t="s">
        <v>29</v>
      </c>
      <c r="S179" s="7" t="s">
        <v>29</v>
      </c>
    </row>
    <row r="180" spans="2:19">
      <c r="B180" s="7" t="s">
        <v>195</v>
      </c>
      <c r="C180" s="8" t="s">
        <v>195</v>
      </c>
      <c r="D180" s="5" t="str">
        <f>LRTRIM(CONCATENATE(IF(SUMPRODUCT(-- ISNUMBER(SEARCH({"Auto Number"}, $B180))) &gt; 0, $B180, IF(SUMPRODUCT(-- ISNUMBER(SEARCH({"Lookup","Master-Detail"}, $B180))) &gt; 0,$B180 &amp; "(" &amp; $E180 &amp; ")",IF(SUMPRODUCT(-- ISNUMBER(SEARCH({"Formula","Roll-Up Summary"}, $B180))) &gt; 0,$B180 &amp; " (" &amp; $E180 &amp; ")",IF(SUMPRODUCT(-- ISNUMBER(SEARCH({"Content","Currency","Number","Percent","Text","URL"}, $B180))) &gt; 0,$B180 &amp; "(" &amp; $C180 &amp; ")",$B180)))), "  ", TRIM(IF($S180 = "YES", "(External ID)", "") &amp; " " &amp; IF(SUMPRODUCT(-- ISNUMBER(SEARCH({"Unique","Unique Case Insensitive"}, $R180))) &gt; 0, "(" &amp; $R180 &amp; ")", ""))))</f>
        <v>na</v>
      </c>
      <c r="E180" s="7" t="s">
        <v>195</v>
      </c>
      <c r="F180" s="7" t="s">
        <v>195</v>
      </c>
      <c r="G180" s="7" t="s">
        <v>195</v>
      </c>
      <c r="H180" s="7" t="s">
        <v>195</v>
      </c>
      <c r="I180" s="7" t="s">
        <v>195</v>
      </c>
      <c r="J180" s="7" t="s">
        <v>195</v>
      </c>
      <c r="K180" s="7" t="s">
        <v>195</v>
      </c>
      <c r="L180" s="7" t="s">
        <v>195</v>
      </c>
      <c r="M180" s="7" t="s">
        <v>29</v>
      </c>
      <c r="N180" s="7" t="s">
        <v>29</v>
      </c>
      <c r="O180" s="7" t="s">
        <v>29</v>
      </c>
      <c r="P180" s="7" t="s">
        <v>29</v>
      </c>
      <c r="Q180" s="7" t="s">
        <v>29</v>
      </c>
      <c r="R180" s="7" t="s">
        <v>29</v>
      </c>
      <c r="S180" s="7" t="s">
        <v>29</v>
      </c>
    </row>
    <row r="181" spans="2:19">
      <c r="B181" s="7" t="s">
        <v>195</v>
      </c>
      <c r="C181" s="8" t="s">
        <v>195</v>
      </c>
      <c r="D181" s="5" t="str">
        <f>LRTRIM(CONCATENATE(IF(SUMPRODUCT(-- ISNUMBER(SEARCH({"Auto Number"}, $B181))) &gt; 0, $B181, IF(SUMPRODUCT(-- ISNUMBER(SEARCH({"Lookup","Master-Detail"}, $B181))) &gt; 0,$B181 &amp; "(" &amp; $E181 &amp; ")",IF(SUMPRODUCT(-- ISNUMBER(SEARCH({"Formula","Roll-Up Summary"}, $B181))) &gt; 0,$B181 &amp; " (" &amp; $E181 &amp; ")",IF(SUMPRODUCT(-- ISNUMBER(SEARCH({"Content","Currency","Number","Percent","Text","URL"}, $B181))) &gt; 0,$B181 &amp; "(" &amp; $C181 &amp; ")",$B181)))), "  ", TRIM(IF($S181 = "YES", "(External ID)", "") &amp; " " &amp; IF(SUMPRODUCT(-- ISNUMBER(SEARCH({"Unique","Unique Case Insensitive"}, $R181))) &gt; 0, "(" &amp; $R181 &amp; ")", ""))))</f>
        <v>na</v>
      </c>
      <c r="E181" s="7" t="s">
        <v>195</v>
      </c>
      <c r="F181" s="7" t="s">
        <v>195</v>
      </c>
      <c r="G181" s="7" t="s">
        <v>195</v>
      </c>
      <c r="H181" s="7" t="s">
        <v>195</v>
      </c>
      <c r="I181" s="7" t="s">
        <v>195</v>
      </c>
      <c r="J181" s="7" t="s">
        <v>195</v>
      </c>
      <c r="K181" s="7" t="s">
        <v>195</v>
      </c>
      <c r="L181" s="7" t="s">
        <v>195</v>
      </c>
      <c r="M181" s="7" t="s">
        <v>29</v>
      </c>
      <c r="N181" s="7" t="s">
        <v>29</v>
      </c>
      <c r="O181" s="7" t="s">
        <v>29</v>
      </c>
      <c r="P181" s="7" t="s">
        <v>29</v>
      </c>
      <c r="Q181" s="7" t="s">
        <v>29</v>
      </c>
      <c r="R181" s="7" t="s">
        <v>29</v>
      </c>
      <c r="S181" s="7" t="s">
        <v>29</v>
      </c>
    </row>
    <row r="182" spans="2:19">
      <c r="B182" s="7" t="s">
        <v>195</v>
      </c>
      <c r="C182" s="8" t="s">
        <v>195</v>
      </c>
      <c r="D182" s="5" t="str">
        <f>LRTRIM(CONCATENATE(IF(SUMPRODUCT(-- ISNUMBER(SEARCH({"Auto Number"}, $B182))) &gt; 0, $B182, IF(SUMPRODUCT(-- ISNUMBER(SEARCH({"Lookup","Master-Detail"}, $B182))) &gt; 0,$B182 &amp; "(" &amp; $E182 &amp; ")",IF(SUMPRODUCT(-- ISNUMBER(SEARCH({"Formula","Roll-Up Summary"}, $B182))) &gt; 0,$B182 &amp; " (" &amp; $E182 &amp; ")",IF(SUMPRODUCT(-- ISNUMBER(SEARCH({"Content","Currency","Number","Percent","Text","URL"}, $B182))) &gt; 0,$B182 &amp; "(" &amp; $C182 &amp; ")",$B182)))), "  ", TRIM(IF($S182 = "YES", "(External ID)", "") &amp; " " &amp; IF(SUMPRODUCT(-- ISNUMBER(SEARCH({"Unique","Unique Case Insensitive"}, $R182))) &gt; 0, "(" &amp; $R182 &amp; ")", ""))))</f>
        <v>na</v>
      </c>
      <c r="E182" s="7" t="s">
        <v>195</v>
      </c>
      <c r="F182" s="7" t="s">
        <v>195</v>
      </c>
      <c r="G182" s="7" t="s">
        <v>195</v>
      </c>
      <c r="H182" s="7" t="s">
        <v>195</v>
      </c>
      <c r="I182" s="7" t="s">
        <v>195</v>
      </c>
      <c r="J182" s="7" t="s">
        <v>195</v>
      </c>
      <c r="K182" s="7" t="s">
        <v>195</v>
      </c>
      <c r="L182" s="7" t="s">
        <v>195</v>
      </c>
      <c r="M182" s="7" t="s">
        <v>29</v>
      </c>
      <c r="N182" s="7" t="s">
        <v>29</v>
      </c>
      <c r="O182" s="7" t="s">
        <v>29</v>
      </c>
      <c r="P182" s="7" t="s">
        <v>29</v>
      </c>
      <c r="Q182" s="7" t="s">
        <v>29</v>
      </c>
      <c r="R182" s="7" t="s">
        <v>29</v>
      </c>
      <c r="S182" s="7" t="s">
        <v>29</v>
      </c>
    </row>
    <row r="183" spans="2:19">
      <c r="B183" s="7" t="s">
        <v>195</v>
      </c>
      <c r="C183" s="8" t="s">
        <v>195</v>
      </c>
      <c r="D183" s="5" t="str">
        <f>LRTRIM(CONCATENATE(IF(SUMPRODUCT(-- ISNUMBER(SEARCH({"Auto Number"}, $B183))) &gt; 0, $B183, IF(SUMPRODUCT(-- ISNUMBER(SEARCH({"Lookup","Master-Detail"}, $B183))) &gt; 0,$B183 &amp; "(" &amp; $E183 &amp; ")",IF(SUMPRODUCT(-- ISNUMBER(SEARCH({"Formula","Roll-Up Summary"}, $B183))) &gt; 0,$B183 &amp; " (" &amp; $E183 &amp; ")",IF(SUMPRODUCT(-- ISNUMBER(SEARCH({"Content","Currency","Number","Percent","Text","URL"}, $B183))) &gt; 0,$B183 &amp; "(" &amp; $C183 &amp; ")",$B183)))), "  ", TRIM(IF($S183 = "YES", "(External ID)", "") &amp; " " &amp; IF(SUMPRODUCT(-- ISNUMBER(SEARCH({"Unique","Unique Case Insensitive"}, $R183))) &gt; 0, "(" &amp; $R183 &amp; ")", ""))))</f>
        <v>na</v>
      </c>
      <c r="E183" s="7" t="s">
        <v>195</v>
      </c>
      <c r="F183" s="7" t="s">
        <v>195</v>
      </c>
      <c r="G183" s="7" t="s">
        <v>195</v>
      </c>
      <c r="H183" s="7" t="s">
        <v>195</v>
      </c>
      <c r="I183" s="7" t="s">
        <v>195</v>
      </c>
      <c r="J183" s="7" t="s">
        <v>195</v>
      </c>
      <c r="K183" s="7" t="s">
        <v>195</v>
      </c>
      <c r="L183" s="7" t="s">
        <v>195</v>
      </c>
      <c r="M183" s="7" t="s">
        <v>29</v>
      </c>
      <c r="N183" s="7" t="s">
        <v>29</v>
      </c>
      <c r="O183" s="7" t="s">
        <v>29</v>
      </c>
      <c r="P183" s="7" t="s">
        <v>29</v>
      </c>
      <c r="Q183" s="7" t="s">
        <v>29</v>
      </c>
      <c r="R183" s="7" t="s">
        <v>29</v>
      </c>
      <c r="S183" s="7" t="s">
        <v>29</v>
      </c>
    </row>
    <row r="184" spans="2:19">
      <c r="B184" s="7" t="s">
        <v>195</v>
      </c>
      <c r="C184" s="8" t="s">
        <v>195</v>
      </c>
      <c r="D184" s="5" t="str">
        <f>LRTRIM(CONCATENATE(IF(SUMPRODUCT(-- ISNUMBER(SEARCH({"Auto Number"}, $B184))) &gt; 0, $B184, IF(SUMPRODUCT(-- ISNUMBER(SEARCH({"Lookup","Master-Detail"}, $B184))) &gt; 0,$B184 &amp; "(" &amp; $E184 &amp; ")",IF(SUMPRODUCT(-- ISNUMBER(SEARCH({"Formula","Roll-Up Summary"}, $B184))) &gt; 0,$B184 &amp; " (" &amp; $E184 &amp; ")",IF(SUMPRODUCT(-- ISNUMBER(SEARCH({"Content","Currency","Number","Percent","Text","URL"}, $B184))) &gt; 0,$B184 &amp; "(" &amp; $C184 &amp; ")",$B184)))), "  ", TRIM(IF($S184 = "YES", "(External ID)", "") &amp; " " &amp; IF(SUMPRODUCT(-- ISNUMBER(SEARCH({"Unique","Unique Case Insensitive"}, $R184))) &gt; 0, "(" &amp; $R184 &amp; ")", ""))))</f>
        <v>na</v>
      </c>
      <c r="E184" s="7" t="s">
        <v>195</v>
      </c>
      <c r="F184" s="7" t="s">
        <v>195</v>
      </c>
      <c r="G184" s="7" t="s">
        <v>195</v>
      </c>
      <c r="H184" s="7" t="s">
        <v>195</v>
      </c>
      <c r="I184" s="7" t="s">
        <v>195</v>
      </c>
      <c r="J184" s="7" t="s">
        <v>195</v>
      </c>
      <c r="K184" s="7" t="s">
        <v>195</v>
      </c>
      <c r="L184" s="7" t="s">
        <v>195</v>
      </c>
      <c r="M184" s="7" t="s">
        <v>29</v>
      </c>
      <c r="N184" s="7" t="s">
        <v>29</v>
      </c>
      <c r="O184" s="7" t="s">
        <v>29</v>
      </c>
      <c r="P184" s="7" t="s">
        <v>29</v>
      </c>
      <c r="Q184" s="7" t="s">
        <v>29</v>
      </c>
      <c r="R184" s="7" t="s">
        <v>29</v>
      </c>
      <c r="S184" s="7" t="s">
        <v>29</v>
      </c>
    </row>
    <row r="185" spans="2:19">
      <c r="B185" s="7" t="s">
        <v>195</v>
      </c>
      <c r="C185" s="8" t="s">
        <v>195</v>
      </c>
      <c r="D185" s="5" t="str">
        <f>LRTRIM(CONCATENATE(IF(SUMPRODUCT(-- ISNUMBER(SEARCH({"Auto Number"}, $B185))) &gt; 0, $B185, IF(SUMPRODUCT(-- ISNUMBER(SEARCH({"Lookup","Master-Detail"}, $B185))) &gt; 0,$B185 &amp; "(" &amp; $E185 &amp; ")",IF(SUMPRODUCT(-- ISNUMBER(SEARCH({"Formula","Roll-Up Summary"}, $B185))) &gt; 0,$B185 &amp; " (" &amp; $E185 &amp; ")",IF(SUMPRODUCT(-- ISNUMBER(SEARCH({"Content","Currency","Number","Percent","Text","URL"}, $B185))) &gt; 0,$B185 &amp; "(" &amp; $C185 &amp; ")",$B185)))), "  ", TRIM(IF($S185 = "YES", "(External ID)", "") &amp; " " &amp; IF(SUMPRODUCT(-- ISNUMBER(SEARCH({"Unique","Unique Case Insensitive"}, $R185))) &gt; 0, "(" &amp; $R185 &amp; ")", ""))))</f>
        <v>na</v>
      </c>
      <c r="E185" s="7" t="s">
        <v>195</v>
      </c>
      <c r="F185" s="7" t="s">
        <v>195</v>
      </c>
      <c r="G185" s="7" t="s">
        <v>195</v>
      </c>
      <c r="H185" s="7" t="s">
        <v>195</v>
      </c>
      <c r="I185" s="7" t="s">
        <v>195</v>
      </c>
      <c r="J185" s="7" t="s">
        <v>195</v>
      </c>
      <c r="K185" s="7" t="s">
        <v>195</v>
      </c>
      <c r="L185" s="7" t="s">
        <v>195</v>
      </c>
      <c r="M185" s="7" t="s">
        <v>29</v>
      </c>
      <c r="N185" s="7" t="s">
        <v>29</v>
      </c>
      <c r="O185" s="7" t="s">
        <v>29</v>
      </c>
      <c r="P185" s="7" t="s">
        <v>29</v>
      </c>
      <c r="Q185" s="7" t="s">
        <v>29</v>
      </c>
      <c r="R185" s="7" t="s">
        <v>29</v>
      </c>
      <c r="S185" s="7" t="s">
        <v>29</v>
      </c>
    </row>
    <row r="186" spans="2:19">
      <c r="B186" s="7" t="s">
        <v>195</v>
      </c>
      <c r="C186" s="8" t="s">
        <v>195</v>
      </c>
      <c r="D186" s="5" t="str">
        <f>LRTRIM(CONCATENATE(IF(SUMPRODUCT(-- ISNUMBER(SEARCH({"Auto Number"}, $B186))) &gt; 0, $B186, IF(SUMPRODUCT(-- ISNUMBER(SEARCH({"Lookup","Master-Detail"}, $B186))) &gt; 0,$B186 &amp; "(" &amp; $E186 &amp; ")",IF(SUMPRODUCT(-- ISNUMBER(SEARCH({"Formula","Roll-Up Summary"}, $B186))) &gt; 0,$B186 &amp; " (" &amp; $E186 &amp; ")",IF(SUMPRODUCT(-- ISNUMBER(SEARCH({"Content","Currency","Number","Percent","Text","URL"}, $B186))) &gt; 0,$B186 &amp; "(" &amp; $C186 &amp; ")",$B186)))), "  ", TRIM(IF($S186 = "YES", "(External ID)", "") &amp; " " &amp; IF(SUMPRODUCT(-- ISNUMBER(SEARCH({"Unique","Unique Case Insensitive"}, $R186))) &gt; 0, "(" &amp; $R186 &amp; ")", ""))))</f>
        <v>na</v>
      </c>
      <c r="E186" s="7" t="s">
        <v>195</v>
      </c>
      <c r="F186" s="7" t="s">
        <v>195</v>
      </c>
      <c r="G186" s="7" t="s">
        <v>195</v>
      </c>
      <c r="H186" s="7" t="s">
        <v>195</v>
      </c>
      <c r="I186" s="7" t="s">
        <v>195</v>
      </c>
      <c r="J186" s="7" t="s">
        <v>195</v>
      </c>
      <c r="K186" s="7" t="s">
        <v>195</v>
      </c>
      <c r="L186" s="7" t="s">
        <v>195</v>
      </c>
      <c r="M186" s="7" t="s">
        <v>29</v>
      </c>
      <c r="N186" s="7" t="s">
        <v>29</v>
      </c>
      <c r="O186" s="7" t="s">
        <v>29</v>
      </c>
      <c r="P186" s="7" t="s">
        <v>29</v>
      </c>
      <c r="Q186" s="7" t="s">
        <v>29</v>
      </c>
      <c r="R186" s="7" t="s">
        <v>29</v>
      </c>
      <c r="S186" s="7" t="s">
        <v>29</v>
      </c>
    </row>
    <row r="187" spans="2:19">
      <c r="B187" s="7" t="s">
        <v>195</v>
      </c>
      <c r="C187" s="8" t="s">
        <v>195</v>
      </c>
      <c r="D187" s="5" t="str">
        <f>LRTRIM(CONCATENATE(IF(SUMPRODUCT(-- ISNUMBER(SEARCH({"Auto Number"}, $B187))) &gt; 0, $B187, IF(SUMPRODUCT(-- ISNUMBER(SEARCH({"Lookup","Master-Detail"}, $B187))) &gt; 0,$B187 &amp; "(" &amp; $E187 &amp; ")",IF(SUMPRODUCT(-- ISNUMBER(SEARCH({"Formula","Roll-Up Summary"}, $B187))) &gt; 0,$B187 &amp; " (" &amp; $E187 &amp; ")",IF(SUMPRODUCT(-- ISNUMBER(SEARCH({"Content","Currency","Number","Percent","Text","URL"}, $B187))) &gt; 0,$B187 &amp; "(" &amp; $C187 &amp; ")",$B187)))), "  ", TRIM(IF($S187 = "YES", "(External ID)", "") &amp; " " &amp; IF(SUMPRODUCT(-- ISNUMBER(SEARCH({"Unique","Unique Case Insensitive"}, $R187))) &gt; 0, "(" &amp; $R187 &amp; ")", ""))))</f>
        <v>na</v>
      </c>
      <c r="E187" s="7" t="s">
        <v>195</v>
      </c>
      <c r="F187" s="7" t="s">
        <v>195</v>
      </c>
      <c r="G187" s="7" t="s">
        <v>195</v>
      </c>
      <c r="H187" s="7" t="s">
        <v>195</v>
      </c>
      <c r="I187" s="7" t="s">
        <v>195</v>
      </c>
      <c r="J187" s="7" t="s">
        <v>195</v>
      </c>
      <c r="K187" s="7" t="s">
        <v>195</v>
      </c>
      <c r="L187" s="7" t="s">
        <v>195</v>
      </c>
      <c r="M187" s="7" t="s">
        <v>29</v>
      </c>
      <c r="N187" s="7" t="s">
        <v>29</v>
      </c>
      <c r="O187" s="7" t="s">
        <v>29</v>
      </c>
      <c r="P187" s="7" t="s">
        <v>29</v>
      </c>
      <c r="Q187" s="7" t="s">
        <v>29</v>
      </c>
      <c r="R187" s="7" t="s">
        <v>29</v>
      </c>
      <c r="S187" s="7" t="s">
        <v>29</v>
      </c>
    </row>
    <row r="188" spans="2:19">
      <c r="B188" s="7" t="s">
        <v>195</v>
      </c>
      <c r="C188" s="8" t="s">
        <v>195</v>
      </c>
      <c r="D188" s="5" t="str">
        <f>LRTRIM(CONCATENATE(IF(SUMPRODUCT(-- ISNUMBER(SEARCH({"Auto Number"}, $B188))) &gt; 0, $B188, IF(SUMPRODUCT(-- ISNUMBER(SEARCH({"Lookup","Master-Detail"}, $B188))) &gt; 0,$B188 &amp; "(" &amp; $E188 &amp; ")",IF(SUMPRODUCT(-- ISNUMBER(SEARCH({"Formula","Roll-Up Summary"}, $B188))) &gt; 0,$B188 &amp; " (" &amp; $E188 &amp; ")",IF(SUMPRODUCT(-- ISNUMBER(SEARCH({"Content","Currency","Number","Percent","Text","URL"}, $B188))) &gt; 0,$B188 &amp; "(" &amp; $C188 &amp; ")",$B188)))), "  ", TRIM(IF($S188 = "YES", "(External ID)", "") &amp; " " &amp; IF(SUMPRODUCT(-- ISNUMBER(SEARCH({"Unique","Unique Case Insensitive"}, $R188))) &gt; 0, "(" &amp; $R188 &amp; ")", ""))))</f>
        <v>na</v>
      </c>
      <c r="E188" s="7" t="s">
        <v>195</v>
      </c>
      <c r="F188" s="7" t="s">
        <v>195</v>
      </c>
      <c r="G188" s="7" t="s">
        <v>195</v>
      </c>
      <c r="H188" s="7" t="s">
        <v>195</v>
      </c>
      <c r="I188" s="7" t="s">
        <v>195</v>
      </c>
      <c r="J188" s="7" t="s">
        <v>195</v>
      </c>
      <c r="K188" s="7" t="s">
        <v>195</v>
      </c>
      <c r="L188" s="7" t="s">
        <v>195</v>
      </c>
      <c r="M188" s="7" t="s">
        <v>29</v>
      </c>
      <c r="N188" s="7" t="s">
        <v>29</v>
      </c>
      <c r="O188" s="7" t="s">
        <v>29</v>
      </c>
      <c r="P188" s="7" t="s">
        <v>29</v>
      </c>
      <c r="Q188" s="7" t="s">
        <v>29</v>
      </c>
      <c r="R188" s="7" t="s">
        <v>29</v>
      </c>
      <c r="S188" s="7" t="s">
        <v>29</v>
      </c>
    </row>
    <row r="189" spans="2:19">
      <c r="B189" s="7" t="s">
        <v>195</v>
      </c>
      <c r="C189" s="8" t="s">
        <v>195</v>
      </c>
      <c r="D189" s="5" t="str">
        <f>LRTRIM(CONCATENATE(IF(SUMPRODUCT(-- ISNUMBER(SEARCH({"Auto Number"}, $B189))) &gt; 0, $B189, IF(SUMPRODUCT(-- ISNUMBER(SEARCH({"Lookup","Master-Detail"}, $B189))) &gt; 0,$B189 &amp; "(" &amp; $E189 &amp; ")",IF(SUMPRODUCT(-- ISNUMBER(SEARCH({"Formula","Roll-Up Summary"}, $B189))) &gt; 0,$B189 &amp; " (" &amp; $E189 &amp; ")",IF(SUMPRODUCT(-- ISNUMBER(SEARCH({"Content","Currency","Number","Percent","Text","URL"}, $B189))) &gt; 0,$B189 &amp; "(" &amp; $C189 &amp; ")",$B189)))), "  ", TRIM(IF($S189 = "YES", "(External ID)", "") &amp; " " &amp; IF(SUMPRODUCT(-- ISNUMBER(SEARCH({"Unique","Unique Case Insensitive"}, $R189))) &gt; 0, "(" &amp; $R189 &amp; ")", ""))))</f>
        <v>na</v>
      </c>
      <c r="E189" s="7" t="s">
        <v>195</v>
      </c>
      <c r="F189" s="7" t="s">
        <v>195</v>
      </c>
      <c r="G189" s="7" t="s">
        <v>195</v>
      </c>
      <c r="H189" s="7" t="s">
        <v>195</v>
      </c>
      <c r="I189" s="7" t="s">
        <v>195</v>
      </c>
      <c r="J189" s="7" t="s">
        <v>195</v>
      </c>
      <c r="K189" s="7" t="s">
        <v>195</v>
      </c>
      <c r="L189" s="7" t="s">
        <v>195</v>
      </c>
      <c r="M189" s="7" t="s">
        <v>29</v>
      </c>
      <c r="N189" s="7" t="s">
        <v>29</v>
      </c>
      <c r="O189" s="7" t="s">
        <v>29</v>
      </c>
      <c r="P189" s="7" t="s">
        <v>29</v>
      </c>
      <c r="Q189" s="7" t="s">
        <v>29</v>
      </c>
      <c r="R189" s="7" t="s">
        <v>29</v>
      </c>
      <c r="S189" s="7" t="s">
        <v>29</v>
      </c>
    </row>
    <row r="190" spans="2:19">
      <c r="B190" s="7" t="s">
        <v>195</v>
      </c>
      <c r="C190" s="8" t="s">
        <v>195</v>
      </c>
      <c r="D190" s="5" t="str">
        <f>LRTRIM(CONCATENATE(IF(SUMPRODUCT(-- ISNUMBER(SEARCH({"Auto Number"}, $B190))) &gt; 0, $B190, IF(SUMPRODUCT(-- ISNUMBER(SEARCH({"Lookup","Master-Detail"}, $B190))) &gt; 0,$B190 &amp; "(" &amp; $E190 &amp; ")",IF(SUMPRODUCT(-- ISNUMBER(SEARCH({"Formula","Roll-Up Summary"}, $B190))) &gt; 0,$B190 &amp; " (" &amp; $E190 &amp; ")",IF(SUMPRODUCT(-- ISNUMBER(SEARCH({"Content","Currency","Number","Percent","Text","URL"}, $B190))) &gt; 0,$B190 &amp; "(" &amp; $C190 &amp; ")",$B190)))), "  ", TRIM(IF($S190 = "YES", "(External ID)", "") &amp; " " &amp; IF(SUMPRODUCT(-- ISNUMBER(SEARCH({"Unique","Unique Case Insensitive"}, $R190))) &gt; 0, "(" &amp; $R190 &amp; ")", ""))))</f>
        <v>na</v>
      </c>
      <c r="E190" s="7" t="s">
        <v>195</v>
      </c>
      <c r="F190" s="7" t="s">
        <v>195</v>
      </c>
      <c r="G190" s="7" t="s">
        <v>195</v>
      </c>
      <c r="H190" s="7" t="s">
        <v>195</v>
      </c>
      <c r="I190" s="7" t="s">
        <v>195</v>
      </c>
      <c r="J190" s="7" t="s">
        <v>195</v>
      </c>
      <c r="K190" s="7" t="s">
        <v>195</v>
      </c>
      <c r="L190" s="7" t="s">
        <v>195</v>
      </c>
      <c r="M190" s="7" t="s">
        <v>29</v>
      </c>
      <c r="N190" s="7" t="s">
        <v>29</v>
      </c>
      <c r="O190" s="7" t="s">
        <v>29</v>
      </c>
      <c r="P190" s="7" t="s">
        <v>29</v>
      </c>
      <c r="Q190" s="7" t="s">
        <v>29</v>
      </c>
      <c r="R190" s="7" t="s">
        <v>29</v>
      </c>
      <c r="S190" s="7" t="s">
        <v>29</v>
      </c>
    </row>
    <row r="191" spans="2:19">
      <c r="B191" s="7" t="s">
        <v>195</v>
      </c>
      <c r="C191" s="8" t="s">
        <v>195</v>
      </c>
      <c r="D191" s="5" t="str">
        <f>LRTRIM(CONCATENATE(IF(SUMPRODUCT(-- ISNUMBER(SEARCH({"Auto Number"}, $B191))) &gt; 0, $B191, IF(SUMPRODUCT(-- ISNUMBER(SEARCH({"Lookup","Master-Detail"}, $B191))) &gt; 0,$B191 &amp; "(" &amp; $E191 &amp; ")",IF(SUMPRODUCT(-- ISNUMBER(SEARCH({"Formula","Roll-Up Summary"}, $B191))) &gt; 0,$B191 &amp; " (" &amp; $E191 &amp; ")",IF(SUMPRODUCT(-- ISNUMBER(SEARCH({"Content","Currency","Number","Percent","Text","URL"}, $B191))) &gt; 0,$B191 &amp; "(" &amp; $C191 &amp; ")",$B191)))), "  ", TRIM(IF($S191 = "YES", "(External ID)", "") &amp; " " &amp; IF(SUMPRODUCT(-- ISNUMBER(SEARCH({"Unique","Unique Case Insensitive"}, $R191))) &gt; 0, "(" &amp; $R191 &amp; ")", ""))))</f>
        <v>na</v>
      </c>
      <c r="E191" s="7" t="s">
        <v>195</v>
      </c>
      <c r="F191" s="7" t="s">
        <v>195</v>
      </c>
      <c r="G191" s="7" t="s">
        <v>195</v>
      </c>
      <c r="H191" s="7" t="s">
        <v>195</v>
      </c>
      <c r="I191" s="7" t="s">
        <v>195</v>
      </c>
      <c r="J191" s="7" t="s">
        <v>195</v>
      </c>
      <c r="K191" s="7" t="s">
        <v>195</v>
      </c>
      <c r="L191" s="7" t="s">
        <v>195</v>
      </c>
      <c r="M191" s="7" t="s">
        <v>29</v>
      </c>
      <c r="N191" s="7" t="s">
        <v>29</v>
      </c>
      <c r="O191" s="7" t="s">
        <v>29</v>
      </c>
      <c r="P191" s="7" t="s">
        <v>29</v>
      </c>
      <c r="Q191" s="7" t="s">
        <v>29</v>
      </c>
      <c r="R191" s="7" t="s">
        <v>29</v>
      </c>
      <c r="S191" s="7" t="s">
        <v>29</v>
      </c>
    </row>
    <row r="192" spans="2:19">
      <c r="B192" s="7" t="s">
        <v>195</v>
      </c>
      <c r="C192" s="8" t="s">
        <v>195</v>
      </c>
      <c r="D192" s="5" t="str">
        <f>LRTRIM(CONCATENATE(IF(SUMPRODUCT(-- ISNUMBER(SEARCH({"Auto Number"}, $B192))) &gt; 0, $B192, IF(SUMPRODUCT(-- ISNUMBER(SEARCH({"Lookup","Master-Detail"}, $B192))) &gt; 0,$B192 &amp; "(" &amp; $E192 &amp; ")",IF(SUMPRODUCT(-- ISNUMBER(SEARCH({"Formula","Roll-Up Summary"}, $B192))) &gt; 0,$B192 &amp; " (" &amp; $E192 &amp; ")",IF(SUMPRODUCT(-- ISNUMBER(SEARCH({"Content","Currency","Number","Percent","Text","URL"}, $B192))) &gt; 0,$B192 &amp; "(" &amp; $C192 &amp; ")",$B192)))), "  ", TRIM(IF($S192 = "YES", "(External ID)", "") &amp; " " &amp; IF(SUMPRODUCT(-- ISNUMBER(SEARCH({"Unique","Unique Case Insensitive"}, $R192))) &gt; 0, "(" &amp; $R192 &amp; ")", ""))))</f>
        <v>na</v>
      </c>
      <c r="E192" s="7" t="s">
        <v>195</v>
      </c>
      <c r="F192" s="7" t="s">
        <v>195</v>
      </c>
      <c r="G192" s="7" t="s">
        <v>195</v>
      </c>
      <c r="H192" s="7" t="s">
        <v>195</v>
      </c>
      <c r="I192" s="7" t="s">
        <v>195</v>
      </c>
      <c r="J192" s="7" t="s">
        <v>195</v>
      </c>
      <c r="K192" s="7" t="s">
        <v>195</v>
      </c>
      <c r="L192" s="7" t="s">
        <v>195</v>
      </c>
      <c r="M192" s="7" t="s">
        <v>29</v>
      </c>
      <c r="N192" s="7" t="s">
        <v>29</v>
      </c>
      <c r="O192" s="7" t="s">
        <v>29</v>
      </c>
      <c r="P192" s="7" t="s">
        <v>29</v>
      </c>
      <c r="Q192" s="7" t="s">
        <v>29</v>
      </c>
      <c r="R192" s="7" t="s">
        <v>29</v>
      </c>
      <c r="S192" s="7" t="s">
        <v>29</v>
      </c>
    </row>
    <row r="193" spans="2:19">
      <c r="B193" s="7" t="s">
        <v>195</v>
      </c>
      <c r="C193" s="8" t="s">
        <v>195</v>
      </c>
      <c r="D193" s="5" t="str">
        <f>LRTRIM(CONCATENATE(IF(SUMPRODUCT(-- ISNUMBER(SEARCH({"Auto Number"}, $B193))) &gt; 0, $B193, IF(SUMPRODUCT(-- ISNUMBER(SEARCH({"Lookup","Master-Detail"}, $B193))) &gt; 0,$B193 &amp; "(" &amp; $E193 &amp; ")",IF(SUMPRODUCT(-- ISNUMBER(SEARCH({"Formula","Roll-Up Summary"}, $B193))) &gt; 0,$B193 &amp; " (" &amp; $E193 &amp; ")",IF(SUMPRODUCT(-- ISNUMBER(SEARCH({"Content","Currency","Number","Percent","Text","URL"}, $B193))) &gt; 0,$B193 &amp; "(" &amp; $C193 &amp; ")",$B193)))), "  ", TRIM(IF($S193 = "YES", "(External ID)", "") &amp; " " &amp; IF(SUMPRODUCT(-- ISNUMBER(SEARCH({"Unique","Unique Case Insensitive"}, $R193))) &gt; 0, "(" &amp; $R193 &amp; ")", ""))))</f>
        <v>na</v>
      </c>
      <c r="E193" s="7" t="s">
        <v>195</v>
      </c>
      <c r="F193" s="7" t="s">
        <v>195</v>
      </c>
      <c r="G193" s="7" t="s">
        <v>195</v>
      </c>
      <c r="H193" s="7" t="s">
        <v>195</v>
      </c>
      <c r="I193" s="7" t="s">
        <v>195</v>
      </c>
      <c r="J193" s="7" t="s">
        <v>195</v>
      </c>
      <c r="K193" s="7" t="s">
        <v>195</v>
      </c>
      <c r="L193" s="7" t="s">
        <v>195</v>
      </c>
      <c r="M193" s="7" t="s">
        <v>29</v>
      </c>
      <c r="N193" s="7" t="s">
        <v>29</v>
      </c>
      <c r="O193" s="7" t="s">
        <v>29</v>
      </c>
      <c r="P193" s="7" t="s">
        <v>29</v>
      </c>
      <c r="Q193" s="7" t="s">
        <v>29</v>
      </c>
      <c r="R193" s="7" t="s">
        <v>29</v>
      </c>
      <c r="S193" s="7" t="s">
        <v>29</v>
      </c>
    </row>
    <row r="194" spans="2:19">
      <c r="B194" s="7" t="s">
        <v>195</v>
      </c>
      <c r="C194" s="8" t="s">
        <v>195</v>
      </c>
      <c r="D194" s="5" t="str">
        <f>LRTRIM(CONCATENATE(IF(SUMPRODUCT(-- ISNUMBER(SEARCH({"Auto Number"}, $B194))) &gt; 0, $B194, IF(SUMPRODUCT(-- ISNUMBER(SEARCH({"Lookup","Master-Detail"}, $B194))) &gt; 0,$B194 &amp; "(" &amp; $E194 &amp; ")",IF(SUMPRODUCT(-- ISNUMBER(SEARCH({"Formula","Roll-Up Summary"}, $B194))) &gt; 0,$B194 &amp; " (" &amp; $E194 &amp; ")",IF(SUMPRODUCT(-- ISNUMBER(SEARCH({"Content","Currency","Number","Percent","Text","URL"}, $B194))) &gt; 0,$B194 &amp; "(" &amp; $C194 &amp; ")",$B194)))), "  ", TRIM(IF($S194 = "YES", "(External ID)", "") &amp; " " &amp; IF(SUMPRODUCT(-- ISNUMBER(SEARCH({"Unique","Unique Case Insensitive"}, $R194))) &gt; 0, "(" &amp; $R194 &amp; ")", ""))))</f>
        <v>na</v>
      </c>
      <c r="E194" s="7" t="s">
        <v>195</v>
      </c>
      <c r="F194" s="7" t="s">
        <v>195</v>
      </c>
      <c r="G194" s="7" t="s">
        <v>195</v>
      </c>
      <c r="H194" s="7" t="s">
        <v>195</v>
      </c>
      <c r="I194" s="7" t="s">
        <v>195</v>
      </c>
      <c r="J194" s="7" t="s">
        <v>195</v>
      </c>
      <c r="K194" s="7" t="s">
        <v>195</v>
      </c>
      <c r="L194" s="7" t="s">
        <v>195</v>
      </c>
      <c r="M194" s="7" t="s">
        <v>29</v>
      </c>
      <c r="N194" s="7" t="s">
        <v>29</v>
      </c>
      <c r="O194" s="7" t="s">
        <v>29</v>
      </c>
      <c r="P194" s="7" t="s">
        <v>29</v>
      </c>
      <c r="Q194" s="7" t="s">
        <v>29</v>
      </c>
      <c r="R194" s="7" t="s">
        <v>29</v>
      </c>
      <c r="S194" s="7" t="s">
        <v>29</v>
      </c>
    </row>
    <row r="195" spans="2:19">
      <c r="B195" s="7" t="s">
        <v>195</v>
      </c>
      <c r="C195" s="8" t="s">
        <v>195</v>
      </c>
      <c r="D195" s="5" t="str">
        <f>LRTRIM(CONCATENATE(IF(SUMPRODUCT(-- ISNUMBER(SEARCH({"Auto Number"}, $B195))) &gt; 0, $B195, IF(SUMPRODUCT(-- ISNUMBER(SEARCH({"Lookup","Master-Detail"}, $B195))) &gt; 0,$B195 &amp; "(" &amp; $E195 &amp; ")",IF(SUMPRODUCT(-- ISNUMBER(SEARCH({"Formula","Roll-Up Summary"}, $B195))) &gt; 0,$B195 &amp; " (" &amp; $E195 &amp; ")",IF(SUMPRODUCT(-- ISNUMBER(SEARCH({"Content","Currency","Number","Percent","Text","URL"}, $B195))) &gt; 0,$B195 &amp; "(" &amp; $C195 &amp; ")",$B195)))), "  ", TRIM(IF($S195 = "YES", "(External ID)", "") &amp; " " &amp; IF(SUMPRODUCT(-- ISNUMBER(SEARCH({"Unique","Unique Case Insensitive"}, $R195))) &gt; 0, "(" &amp; $R195 &amp; ")", ""))))</f>
        <v>na</v>
      </c>
      <c r="E195" s="7" t="s">
        <v>195</v>
      </c>
      <c r="F195" s="7" t="s">
        <v>195</v>
      </c>
      <c r="G195" s="7" t="s">
        <v>195</v>
      </c>
      <c r="H195" s="7" t="s">
        <v>195</v>
      </c>
      <c r="I195" s="7" t="s">
        <v>195</v>
      </c>
      <c r="J195" s="7" t="s">
        <v>195</v>
      </c>
      <c r="K195" s="7" t="s">
        <v>195</v>
      </c>
      <c r="L195" s="7" t="s">
        <v>195</v>
      </c>
      <c r="M195" s="7" t="s">
        <v>29</v>
      </c>
      <c r="N195" s="7" t="s">
        <v>29</v>
      </c>
      <c r="O195" s="7" t="s">
        <v>29</v>
      </c>
      <c r="P195" s="7" t="s">
        <v>29</v>
      </c>
      <c r="Q195" s="7" t="s">
        <v>29</v>
      </c>
      <c r="R195" s="7" t="s">
        <v>29</v>
      </c>
      <c r="S195" s="7" t="s">
        <v>29</v>
      </c>
    </row>
    <row r="196" spans="2:19">
      <c r="B196" s="7" t="s">
        <v>195</v>
      </c>
      <c r="C196" s="8" t="s">
        <v>195</v>
      </c>
      <c r="D196" s="5" t="str">
        <f>LRTRIM(CONCATENATE(IF(SUMPRODUCT(-- ISNUMBER(SEARCH({"Auto Number"}, $B196))) &gt; 0, $B196, IF(SUMPRODUCT(-- ISNUMBER(SEARCH({"Lookup","Master-Detail"}, $B196))) &gt; 0,$B196 &amp; "(" &amp; $E196 &amp; ")",IF(SUMPRODUCT(-- ISNUMBER(SEARCH({"Formula","Roll-Up Summary"}, $B196))) &gt; 0,$B196 &amp; " (" &amp; $E196 &amp; ")",IF(SUMPRODUCT(-- ISNUMBER(SEARCH({"Content","Currency","Number","Percent","Text","URL"}, $B196))) &gt; 0,$B196 &amp; "(" &amp; $C196 &amp; ")",$B196)))), "  ", TRIM(IF($S196 = "YES", "(External ID)", "") &amp; " " &amp; IF(SUMPRODUCT(-- ISNUMBER(SEARCH({"Unique","Unique Case Insensitive"}, $R196))) &gt; 0, "(" &amp; $R196 &amp; ")", ""))))</f>
        <v>na</v>
      </c>
      <c r="E196" s="7" t="s">
        <v>195</v>
      </c>
      <c r="F196" s="7" t="s">
        <v>195</v>
      </c>
      <c r="G196" s="7" t="s">
        <v>195</v>
      </c>
      <c r="H196" s="7" t="s">
        <v>195</v>
      </c>
      <c r="I196" s="7" t="s">
        <v>195</v>
      </c>
      <c r="J196" s="7" t="s">
        <v>195</v>
      </c>
      <c r="K196" s="7" t="s">
        <v>195</v>
      </c>
      <c r="L196" s="7" t="s">
        <v>195</v>
      </c>
      <c r="M196" s="7" t="s">
        <v>29</v>
      </c>
      <c r="N196" s="7" t="s">
        <v>29</v>
      </c>
      <c r="O196" s="7" t="s">
        <v>29</v>
      </c>
      <c r="P196" s="7" t="s">
        <v>29</v>
      </c>
      <c r="Q196" s="7" t="s">
        <v>29</v>
      </c>
      <c r="R196" s="7" t="s">
        <v>29</v>
      </c>
      <c r="S196" s="7" t="s">
        <v>29</v>
      </c>
    </row>
    <row r="197" spans="2:19">
      <c r="B197" s="7" t="s">
        <v>195</v>
      </c>
      <c r="C197" s="8" t="s">
        <v>195</v>
      </c>
      <c r="D197" s="5" t="str">
        <f>LRTRIM(CONCATENATE(IF(SUMPRODUCT(-- ISNUMBER(SEARCH({"Auto Number"}, $B197))) &gt; 0, $B197, IF(SUMPRODUCT(-- ISNUMBER(SEARCH({"Lookup","Master-Detail"}, $B197))) &gt; 0,$B197 &amp; "(" &amp; $E197 &amp; ")",IF(SUMPRODUCT(-- ISNUMBER(SEARCH({"Formula","Roll-Up Summary"}, $B197))) &gt; 0,$B197 &amp; " (" &amp; $E197 &amp; ")",IF(SUMPRODUCT(-- ISNUMBER(SEARCH({"Content","Currency","Number","Percent","Text","URL"}, $B197))) &gt; 0,$B197 &amp; "(" &amp; $C197 &amp; ")",$B197)))), "  ", TRIM(IF($S197 = "YES", "(External ID)", "") &amp; " " &amp; IF(SUMPRODUCT(-- ISNUMBER(SEARCH({"Unique","Unique Case Insensitive"}, $R197))) &gt; 0, "(" &amp; $R197 &amp; ")", ""))))</f>
        <v>na</v>
      </c>
      <c r="E197" s="7" t="s">
        <v>195</v>
      </c>
      <c r="F197" s="7" t="s">
        <v>195</v>
      </c>
      <c r="G197" s="7" t="s">
        <v>195</v>
      </c>
      <c r="H197" s="7" t="s">
        <v>195</v>
      </c>
      <c r="I197" s="7" t="s">
        <v>195</v>
      </c>
      <c r="J197" s="7" t="s">
        <v>195</v>
      </c>
      <c r="K197" s="7" t="s">
        <v>195</v>
      </c>
      <c r="L197" s="7" t="s">
        <v>195</v>
      </c>
      <c r="M197" s="7" t="s">
        <v>29</v>
      </c>
      <c r="N197" s="7" t="s">
        <v>29</v>
      </c>
      <c r="O197" s="7" t="s">
        <v>29</v>
      </c>
      <c r="P197" s="7" t="s">
        <v>29</v>
      </c>
      <c r="Q197" s="7" t="s">
        <v>29</v>
      </c>
      <c r="R197" s="7" t="s">
        <v>29</v>
      </c>
      <c r="S197" s="7" t="s">
        <v>29</v>
      </c>
    </row>
    <row r="198" spans="2:19">
      <c r="B198" s="7" t="s">
        <v>195</v>
      </c>
      <c r="C198" s="8" t="s">
        <v>195</v>
      </c>
      <c r="D198" s="5" t="str">
        <f>LRTRIM(CONCATENATE(IF(SUMPRODUCT(-- ISNUMBER(SEARCH({"Auto Number"}, $B198))) &gt; 0, $B198, IF(SUMPRODUCT(-- ISNUMBER(SEARCH({"Lookup","Master-Detail"}, $B198))) &gt; 0,$B198 &amp; "(" &amp; $E198 &amp; ")",IF(SUMPRODUCT(-- ISNUMBER(SEARCH({"Formula","Roll-Up Summary"}, $B198))) &gt; 0,$B198 &amp; " (" &amp; $E198 &amp; ")",IF(SUMPRODUCT(-- ISNUMBER(SEARCH({"Content","Currency","Number","Percent","Text","URL"}, $B198))) &gt; 0,$B198 &amp; "(" &amp; $C198 &amp; ")",$B198)))), "  ", TRIM(IF($S198 = "YES", "(External ID)", "") &amp; " " &amp; IF(SUMPRODUCT(-- ISNUMBER(SEARCH({"Unique","Unique Case Insensitive"}, $R198))) &gt; 0, "(" &amp; $R198 &amp; ")", ""))))</f>
        <v>na</v>
      </c>
      <c r="E198" s="7" t="s">
        <v>195</v>
      </c>
      <c r="F198" s="7" t="s">
        <v>195</v>
      </c>
      <c r="G198" s="7" t="s">
        <v>195</v>
      </c>
      <c r="H198" s="7" t="s">
        <v>195</v>
      </c>
      <c r="I198" s="7" t="s">
        <v>195</v>
      </c>
      <c r="J198" s="7" t="s">
        <v>195</v>
      </c>
      <c r="K198" s="7" t="s">
        <v>195</v>
      </c>
      <c r="L198" s="7" t="s">
        <v>195</v>
      </c>
      <c r="M198" s="7" t="s">
        <v>29</v>
      </c>
      <c r="N198" s="7" t="s">
        <v>29</v>
      </c>
      <c r="O198" s="7" t="s">
        <v>29</v>
      </c>
      <c r="P198" s="7" t="s">
        <v>29</v>
      </c>
      <c r="Q198" s="7" t="s">
        <v>29</v>
      </c>
      <c r="R198" s="7" t="s">
        <v>29</v>
      </c>
      <c r="S198" s="7" t="s">
        <v>29</v>
      </c>
    </row>
    <row r="199" spans="2:19">
      <c r="B199" s="7" t="s">
        <v>195</v>
      </c>
      <c r="C199" s="8" t="s">
        <v>195</v>
      </c>
      <c r="D199" s="5" t="str">
        <f>LRTRIM(CONCATENATE(IF(SUMPRODUCT(-- ISNUMBER(SEARCH({"Auto Number"}, $B199))) &gt; 0, $B199, IF(SUMPRODUCT(-- ISNUMBER(SEARCH({"Lookup","Master-Detail"}, $B199))) &gt; 0,$B199 &amp; "(" &amp; $E199 &amp; ")",IF(SUMPRODUCT(-- ISNUMBER(SEARCH({"Formula","Roll-Up Summary"}, $B199))) &gt; 0,$B199 &amp; " (" &amp; $E199 &amp; ")",IF(SUMPRODUCT(-- ISNUMBER(SEARCH({"Content","Currency","Number","Percent","Text","URL"}, $B199))) &gt; 0,$B199 &amp; "(" &amp; $C199 &amp; ")",$B199)))), "  ", TRIM(IF($S199 = "YES", "(External ID)", "") &amp; " " &amp; IF(SUMPRODUCT(-- ISNUMBER(SEARCH({"Unique","Unique Case Insensitive"}, $R199))) &gt; 0, "(" &amp; $R199 &amp; ")", ""))))</f>
        <v>na</v>
      </c>
      <c r="E199" s="7" t="s">
        <v>195</v>
      </c>
      <c r="F199" s="7" t="s">
        <v>195</v>
      </c>
      <c r="G199" s="7" t="s">
        <v>195</v>
      </c>
      <c r="H199" s="7" t="s">
        <v>195</v>
      </c>
      <c r="I199" s="7" t="s">
        <v>195</v>
      </c>
      <c r="J199" s="7" t="s">
        <v>195</v>
      </c>
      <c r="K199" s="7" t="s">
        <v>195</v>
      </c>
      <c r="L199" s="7" t="s">
        <v>195</v>
      </c>
      <c r="M199" s="7" t="s">
        <v>29</v>
      </c>
      <c r="N199" s="7" t="s">
        <v>29</v>
      </c>
      <c r="O199" s="7" t="s">
        <v>29</v>
      </c>
      <c r="P199" s="7" t="s">
        <v>29</v>
      </c>
      <c r="Q199" s="7" t="s">
        <v>29</v>
      </c>
      <c r="R199" s="7" t="s">
        <v>29</v>
      </c>
      <c r="S199" s="7" t="s">
        <v>29</v>
      </c>
    </row>
    <row r="200" spans="2:19">
      <c r="B200" s="7" t="s">
        <v>195</v>
      </c>
      <c r="C200" s="8" t="s">
        <v>195</v>
      </c>
      <c r="D200" s="5" t="str">
        <f>LRTRIM(CONCATENATE(IF(SUMPRODUCT(-- ISNUMBER(SEARCH({"Auto Number"}, $B200))) &gt; 0, $B200, IF(SUMPRODUCT(-- ISNUMBER(SEARCH({"Lookup","Master-Detail"}, $B200))) &gt; 0,$B200 &amp; "(" &amp; $E200 &amp; ")",IF(SUMPRODUCT(-- ISNUMBER(SEARCH({"Formula","Roll-Up Summary"}, $B200))) &gt; 0,$B200 &amp; " (" &amp; $E200 &amp; ")",IF(SUMPRODUCT(-- ISNUMBER(SEARCH({"Content","Currency","Number","Percent","Text","URL"}, $B200))) &gt; 0,$B200 &amp; "(" &amp; $C200 &amp; ")",$B200)))), "  ", TRIM(IF($S200 = "YES", "(External ID)", "") &amp; " " &amp; IF(SUMPRODUCT(-- ISNUMBER(SEARCH({"Unique","Unique Case Insensitive"}, $R200))) &gt; 0, "(" &amp; $R200 &amp; ")", ""))))</f>
        <v>na</v>
      </c>
      <c r="E200" s="7" t="s">
        <v>195</v>
      </c>
      <c r="F200" s="7" t="s">
        <v>195</v>
      </c>
      <c r="G200" s="7" t="s">
        <v>195</v>
      </c>
      <c r="H200" s="7" t="s">
        <v>195</v>
      </c>
      <c r="I200" s="7" t="s">
        <v>195</v>
      </c>
      <c r="J200" s="7" t="s">
        <v>195</v>
      </c>
      <c r="K200" s="7" t="s">
        <v>195</v>
      </c>
      <c r="L200" s="7" t="s">
        <v>195</v>
      </c>
      <c r="M200" s="7" t="s">
        <v>29</v>
      </c>
      <c r="N200" s="7" t="s">
        <v>29</v>
      </c>
      <c r="O200" s="7" t="s">
        <v>29</v>
      </c>
      <c r="P200" s="7" t="s">
        <v>29</v>
      </c>
      <c r="Q200" s="7" t="s">
        <v>29</v>
      </c>
      <c r="R200" s="7" t="s">
        <v>29</v>
      </c>
      <c r="S200" s="7" t="s">
        <v>29</v>
      </c>
    </row>
  </sheetData>
  <sheetProtection formatCells="0" formatColumns="0" formatRows="0" insertColumns="0" insertRows="0" insertHyperlinks="0" deleteColumns="0" deleteRows="0" sort="0" autoFilter="0" pivotTables="0"/>
  <conditionalFormatting sqref="D2:D19">
    <cfRule type="expression" dxfId="105" priority="3">
      <formula>NOT(_xlfn.ISFORMULA($D2))</formula>
    </cfRule>
  </conditionalFormatting>
  <conditionalFormatting sqref="D20">
    <cfRule type="expression" dxfId="104" priority="2">
      <formula>NOT(_xlfn.ISFORMULA($D20))</formula>
    </cfRule>
  </conditionalFormatting>
  <conditionalFormatting sqref="D21:D200">
    <cfRule type="expression" dxfId="103" priority="1">
      <formula>NOT(_xlfn.ISFORMULA($D21))</formula>
    </cfRule>
  </conditionalFormatting>
  <dataValidations count="1">
    <dataValidation allowBlank="1" showInputMessage="1" showErrorMessage="1" sqref="A2:A19"/>
  </dataValidations>
  <pageMargins left="0.7" right="0.7" top="0.75" bottom="0.75" header="0.3" footer="0.3"/>
  <extLst>
    <ext xmlns:x14="http://schemas.microsoft.com/office/spreadsheetml/2009/9/main" uri="{CCE6A557-97BC-4b89-ADB6-D9C93CAAB3DF}">
      <x14:dataValidations xmlns:xm="http://schemas.microsoft.com/office/excel/2006/main" count="15">
        <x14:dataValidation type="list" allowBlank="1" showInputMessage="1" showErrorMessage="1">
          <x14:formula1>
            <xm:f>OFFSET('Reference Fields'!$J$2,0,0,COUNTA('Reference Fields'!$J:$J)-1)</xm:f>
          </x14:formula1>
          <xm:sqref>O2:O200</xm:sqref>
        </x14:dataValidation>
        <x14:dataValidation type="list" allowBlank="1" showInputMessage="1" showErrorMessage="1">
          <x14:formula1>
            <xm:f>OFFSET('Reference Fields'!$J$2,0,0,COUNTA('Reference Fields'!$J:$J)-1)</xm:f>
          </x14:formula1>
          <xm:sqref>M2:M200</xm:sqref>
        </x14:dataValidation>
        <x14:dataValidation type="list" allowBlank="1" showInputMessage="1" showErrorMessage="1">
          <x14:formula1>
            <xm:f>OFFSET('Reference Fields'!$J$2,0,0,COUNTA('Reference Fields'!$J:$J)-1)</xm:f>
          </x14:formula1>
          <xm:sqref>N2:N200</xm:sqref>
        </x14:dataValidation>
        <x14:dataValidation type="list" allowBlank="1" showInputMessage="1" showErrorMessage="1">
          <x14:formula1>
            <xm:f>OFFSET('Reference Fields'!$J$2,0,0,COUNTA('Reference Fields'!$J:$J)-1)</xm:f>
          </x14:formula1>
          <xm:sqref>P2:P200</xm:sqref>
        </x14:dataValidation>
        <x14:dataValidation type="list" allowBlank="1" showInputMessage="1" showErrorMessage="1">
          <x14:formula1>
            <xm:f>OFFSET('Reference Fields'!$J$2,0,0,COUNTA('Reference Fields'!$J:$J)-1)</xm:f>
          </x14:formula1>
          <xm:sqref>Q2:Q200</xm:sqref>
        </x14:dataValidation>
        <x14:dataValidation type="list" allowBlank="1" showInputMessage="1" showErrorMessage="1">
          <x14:formula1>
            <xm:f>OFFSET('Reference Fields'!$J$2,0,0,COUNTA('Reference Fields'!$J:$J)-1)</xm:f>
          </x14:formula1>
          <xm:sqref>S2:S200</xm:sqref>
        </x14:dataValidation>
        <x14:dataValidation type="list" allowBlank="1" showInputMessage="1" showErrorMessage="1">
          <x14:formula1>
            <xm:f>OFFSET('Reference Fields'!$K$2,0,0,COUNTA('Reference Fields'!$K:$K)-1)</xm:f>
          </x14:formula1>
          <xm:sqref>R2:R200</xm:sqref>
        </x14:dataValidation>
        <x14:dataValidation type="list" allowBlank="1" showInputMessage="1" showErrorMessage="1">
          <x14:formula1>
            <xm:f>OFFSET('Reference Fields'!$B$2,0,0,COUNTA('Reference Fields'!$B:$B)-1)</xm:f>
          </x14:formula1>
          <xm:sqref>B2:B200</xm:sqref>
        </x14:dataValidation>
        <x14:dataValidation type="list" allowBlank="1" showInputMessage="1" showErrorMessage="1">
          <x14:formula1>
            <xm:f>OFFSET('Reference Fields'!$D$2,0,0,COUNTA('Reference Fields'!$D:$D)-1)</xm:f>
          </x14:formula1>
          <xm:sqref>F2:F200</xm:sqref>
        </x14:dataValidation>
        <x14:dataValidation type="list" allowBlank="1" showInputMessage="1" showErrorMessage="1">
          <x14:formula1>
            <xm:f>OFFSET('Reference Fields'!$E$2,0,0,COUNTA('Reference Fields'!$E:$E)-1)</xm:f>
          </x14:formula1>
          <xm:sqref>G2:G200</xm:sqref>
        </x14:dataValidation>
        <x14:dataValidation type="list" allowBlank="1" showInputMessage="1" showErrorMessage="1">
          <x14:formula1>
            <xm:f>OFFSET('Reference Fields'!$F$2,0,0,COUNTA('Reference Fields'!$F:$F)-1)</xm:f>
          </x14:formula1>
          <xm:sqref>H2:H200</xm:sqref>
        </x14:dataValidation>
        <x14:dataValidation type="list" allowBlank="1" showInputMessage="1" showErrorMessage="1">
          <x14:formula1>
            <xm:f>OFFSET('Reference Fields'!$F$2,0,0,COUNTA('Reference Fields'!$F:$F)-1)</xm:f>
          </x14:formula1>
          <xm:sqref>I2:I200</xm:sqref>
        </x14:dataValidation>
        <x14:dataValidation type="list" allowBlank="1" showInputMessage="1" showErrorMessage="1">
          <x14:formula1>
            <xm:f>OFFSET('Reference Fields'!$G$2,0,0,COUNTA('Reference Fields'!$G:$G)-1)</xm:f>
          </x14:formula1>
          <xm:sqref>J2:J200</xm:sqref>
        </x14:dataValidation>
        <x14:dataValidation type="list" allowBlank="1" showInputMessage="1" showErrorMessage="1">
          <x14:formula1>
            <xm:f>OFFSET('Reference Fields'!$H$2,0,0,COUNTA('Reference Fields'!$H:$H)-1)</xm:f>
          </x14:formula1>
          <xm:sqref>K2:K200</xm:sqref>
        </x14:dataValidation>
        <x14:dataValidation type="list" allowBlank="1" showInputMessage="1" showErrorMessage="1">
          <x14:formula1>
            <xm:f>OFFSET('Reference Fields'!$I$2,0,0,COUNTA('Reference Fields'!$I:$I)-1)</xm:f>
          </x14:formula1>
          <xm:sqref>L2:L200</xm:sqref>
        </x14:dataValidation>
      </x14:dataValidations>
    </ext>
  </extLst>
</worksheet>
</file>

<file path=xl/worksheets/sheet5.xml><?xml version="1.0" encoding="utf-8"?>
<worksheet xmlns="http://schemas.openxmlformats.org/spreadsheetml/2006/main" xmlns:r="http://schemas.openxmlformats.org/officeDocument/2006/relationships">
  <sheetPr codeName="Sheet5"/>
  <dimension ref="A1:S200"/>
  <sheetViews>
    <sheetView workbookViewId="0">
      <selection activeCell="A2" sqref="A2"/>
    </sheetView>
  </sheetViews>
  <sheetFormatPr defaultRowHeight="14.5"/>
  <cols>
    <col min="1" max="1" width="26.36328125" customWidth="1"/>
    <col min="2" max="2" width="13.54296875" customWidth="1"/>
    <col min="3" max="3" width="8.90625" customWidth="1"/>
    <col min="4" max="4" width="23.81640625" customWidth="1"/>
    <col min="5" max="5" width="12.6328125" customWidth="1"/>
    <col min="6" max="6" width="15.6328125" bestFit="1" customWidth="1"/>
    <col min="7" max="8" width="15.453125" customWidth="1"/>
    <col min="9" max="9" width="22.6328125" customWidth="1"/>
    <col min="10" max="10" width="23.36328125" customWidth="1"/>
    <col min="11" max="11" width="17.54296875" customWidth="1"/>
    <col min="12" max="12" width="14.08984375" customWidth="1"/>
    <col min="13" max="13" width="10.453125" bestFit="1" customWidth="1"/>
    <col min="14" max="14" width="10.453125" customWidth="1"/>
    <col min="15" max="15" width="12.453125" bestFit="1" customWidth="1"/>
  </cols>
  <sheetData>
    <row r="1" spans="1:19" s="1" customFormat="1">
      <c r="A1" s="1" t="s">
        <v>2</v>
      </c>
      <c r="B1" s="1" t="s">
        <v>1198</v>
      </c>
      <c r="C1" s="1" t="s">
        <v>1199</v>
      </c>
      <c r="D1" s="1" t="s">
        <v>0</v>
      </c>
      <c r="E1" s="1" t="s">
        <v>1</v>
      </c>
      <c r="F1" s="1" t="s">
        <v>30</v>
      </c>
      <c r="G1" s="1" t="s">
        <v>31</v>
      </c>
      <c r="H1" s="1" t="s">
        <v>1262</v>
      </c>
      <c r="I1" s="1" t="s">
        <v>49</v>
      </c>
      <c r="J1" s="1" t="s">
        <v>48</v>
      </c>
      <c r="K1" s="1" t="s">
        <v>54</v>
      </c>
      <c r="L1" s="1" t="s">
        <v>55</v>
      </c>
      <c r="M1" s="1" t="s">
        <v>27</v>
      </c>
      <c r="N1" s="1" t="s">
        <v>175</v>
      </c>
      <c r="O1" s="1" t="s">
        <v>193</v>
      </c>
      <c r="P1" s="1" t="s">
        <v>1221</v>
      </c>
      <c r="Q1" s="1" t="s">
        <v>1264</v>
      </c>
      <c r="R1" s="1" t="s">
        <v>1263</v>
      </c>
      <c r="S1" s="1" t="s">
        <v>1265</v>
      </c>
    </row>
    <row r="2" spans="1:19">
      <c r="A2" s="7" t="s">
        <v>196</v>
      </c>
      <c r="B2" s="7" t="s">
        <v>1218</v>
      </c>
      <c r="C2" s="8">
        <v>255</v>
      </c>
      <c r="D2" s="5" t="str">
        <f>LRTRIM(CONCATENATE(IF(SUMPRODUCT(-- ISNUMBER(SEARCH({"Auto Number"}, $B2))) &gt; 0, $B2, IF(SUMPRODUCT(-- ISNUMBER(SEARCH({"Lookup","Master-Detail"}, $B2))) &gt; 0,$B2 &amp; "(" &amp; $E2 &amp; ")",IF(SUMPRODUCT(-- ISNUMBER(SEARCH({"Formula","Roll-Up Summary"}, $B2))) &gt; 0,$B2 &amp; " (" &amp; $E2 &amp; ")",IF(SUMPRODUCT(-- ISNUMBER(SEARCH({"Content","Currency","Number","Percent","Text","URL"}, $B2))) &gt; 0,$B2 &amp; "(" &amp; $C2 &amp; ")",$B2)))), "  ", TRIM(IF($S2 = "YES", "(External ID)", "") &amp; " " &amp; IF(SUMPRODUCT(-- ISNUMBER(SEARCH({"Unique","Unique Case Insensitive"}, $R2))) &gt; 0, "(" &amp; $R2 &amp; ")", ""))))</f>
        <v>Text(255)  (External ID) (Unique Case Insensitive)</v>
      </c>
      <c r="E2" s="7" t="s">
        <v>195</v>
      </c>
      <c r="F2" s="7" t="s">
        <v>201</v>
      </c>
      <c r="G2" s="7" t="s">
        <v>195</v>
      </c>
      <c r="H2" s="7" t="s">
        <v>195</v>
      </c>
      <c r="I2" s="7" t="s">
        <v>195</v>
      </c>
      <c r="J2" s="7" t="s">
        <v>195</v>
      </c>
      <c r="K2" s="7" t="s">
        <v>195</v>
      </c>
      <c r="L2" s="7" t="s">
        <v>195</v>
      </c>
      <c r="M2" s="7" t="s">
        <v>29</v>
      </c>
      <c r="N2" s="7" t="s">
        <v>29</v>
      </c>
      <c r="O2" s="7" t="s">
        <v>29</v>
      </c>
      <c r="P2" s="7" t="s">
        <v>29</v>
      </c>
      <c r="Q2" s="7" t="s">
        <v>28</v>
      </c>
      <c r="R2" s="7" t="s">
        <v>1271</v>
      </c>
      <c r="S2" s="7" t="s">
        <v>28</v>
      </c>
    </row>
    <row r="3" spans="1:19">
      <c r="A3" s="7" t="s">
        <v>9</v>
      </c>
      <c r="B3" s="7" t="s">
        <v>1218</v>
      </c>
      <c r="C3" s="8">
        <v>50</v>
      </c>
      <c r="D3" s="5" t="str">
        <f>LRTRIM(CONCATENATE(IF(SUMPRODUCT(-- ISNUMBER(SEARCH({"Auto Number"}, $B3))) &gt; 0, $B3, IF(SUMPRODUCT(-- ISNUMBER(SEARCH({"Lookup","Master-Detail"}, $B3))) &gt; 0,$B3 &amp; "(" &amp; $E3 &amp; ")",IF(SUMPRODUCT(-- ISNUMBER(SEARCH({"Formula","Roll-Up Summary"}, $B3))) &gt; 0,$B3 &amp; " (" &amp; $E3 &amp; ")",IF(SUMPRODUCT(-- ISNUMBER(SEARCH({"Content","Currency","Number","Percent","Text","URL"}, $B3))) &gt; 0,$B3 &amp; "(" &amp; $C3 &amp; ")",$B3)))), "  ", TRIM(IF($S3 = "YES", "(External ID)", "") &amp; " " &amp; IF(SUMPRODUCT(-- ISNUMBER(SEARCH({"Unique","Unique Case Insensitive"}, $R3))) &gt; 0, "(" &amp; $R3 &amp; ")", ""))))</f>
        <v>Text(50)</v>
      </c>
      <c r="E3" s="7" t="s">
        <v>195</v>
      </c>
      <c r="F3" s="7" t="s">
        <v>18</v>
      </c>
      <c r="G3" s="7" t="s">
        <v>195</v>
      </c>
      <c r="H3" s="7" t="s">
        <v>195</v>
      </c>
      <c r="I3" s="7" t="s">
        <v>195</v>
      </c>
      <c r="J3" s="7" t="s">
        <v>195</v>
      </c>
      <c r="K3" s="7" t="s">
        <v>195</v>
      </c>
      <c r="L3" s="7" t="s">
        <v>195</v>
      </c>
      <c r="M3" s="7" t="s">
        <v>29</v>
      </c>
      <c r="N3" s="7" t="s">
        <v>29</v>
      </c>
      <c r="O3" s="7" t="s">
        <v>29</v>
      </c>
      <c r="P3" s="7" t="s">
        <v>29</v>
      </c>
      <c r="Q3" s="7" t="s">
        <v>29</v>
      </c>
      <c r="R3" s="7" t="s">
        <v>29</v>
      </c>
      <c r="S3" s="7" t="s">
        <v>29</v>
      </c>
    </row>
    <row r="4" spans="1:19">
      <c r="A4" s="7" t="s">
        <v>103</v>
      </c>
      <c r="B4" s="7" t="s">
        <v>1212</v>
      </c>
      <c r="C4" s="8">
        <v>18</v>
      </c>
      <c r="D4" s="5" t="str">
        <f>LRTRIM(CONCATENATE(IF(SUMPRODUCT(-- ISNUMBER(SEARCH({"Auto Number"}, $B4))) &gt; 0, $B4, IF(SUMPRODUCT(-- ISNUMBER(SEARCH({"Lookup","Master-Detail"}, $B4))) &gt; 0,$B4 &amp; "(" &amp; $E4 &amp; ")",IF(SUMPRODUCT(-- ISNUMBER(SEARCH({"Formula","Roll-Up Summary"}, $B4))) &gt; 0,$B4 &amp; " (" &amp; $E4 &amp; ")",IF(SUMPRODUCT(-- ISNUMBER(SEARCH({"Content","Currency","Number","Percent","Text","URL"}, $B4))) &gt; 0,$B4 &amp; "(" &amp; $C4 &amp; ")",$B4)))), "  ", TRIM(IF($S4 = "YES", "(External ID)", "") &amp; " " &amp; IF(SUMPRODUCT(-- ISNUMBER(SEARCH({"Unique","Unique Case Insensitive"}, $R4))) &gt; 0, "(" &amp; $R4 &amp; ")", ""))))</f>
        <v>Master-Detail(Commission Agreement)</v>
      </c>
      <c r="E4" s="7" t="s">
        <v>202</v>
      </c>
      <c r="F4" s="7" t="s">
        <v>202</v>
      </c>
      <c r="G4" s="7" t="s">
        <v>208</v>
      </c>
      <c r="H4" s="7" t="s">
        <v>195</v>
      </c>
      <c r="I4" s="7" t="s">
        <v>195</v>
      </c>
      <c r="J4" s="7" t="s">
        <v>195</v>
      </c>
      <c r="K4" s="7" t="s">
        <v>195</v>
      </c>
      <c r="L4" s="7" t="s">
        <v>195</v>
      </c>
      <c r="M4" s="7" t="s">
        <v>28</v>
      </c>
      <c r="N4" s="7" t="s">
        <v>29</v>
      </c>
      <c r="O4" s="7" t="s">
        <v>29</v>
      </c>
      <c r="P4" s="7" t="s">
        <v>29</v>
      </c>
      <c r="Q4" s="7" t="s">
        <v>29</v>
      </c>
      <c r="R4" s="7" t="s">
        <v>29</v>
      </c>
      <c r="S4" s="7" t="s">
        <v>29</v>
      </c>
    </row>
    <row r="5" spans="1:19">
      <c r="A5" s="7" t="s">
        <v>11</v>
      </c>
      <c r="B5" s="7" t="s">
        <v>1218</v>
      </c>
      <c r="C5" s="8">
        <v>200</v>
      </c>
      <c r="D5" s="5" t="str">
        <f>LRTRIM(CONCATENATE(IF(SUMPRODUCT(-- ISNUMBER(SEARCH({"Auto Number"}, $B5))) &gt; 0, $B5, IF(SUMPRODUCT(-- ISNUMBER(SEARCH({"Lookup","Master-Detail"}, $B5))) &gt; 0,$B5 &amp; "(" &amp; $E5 &amp; ")",IF(SUMPRODUCT(-- ISNUMBER(SEARCH({"Formula","Roll-Up Summary"}, $B5))) &gt; 0,$B5 &amp; " (" &amp; $E5 &amp; ")",IF(SUMPRODUCT(-- ISNUMBER(SEARCH({"Content","Currency","Number","Percent","Text","URL"}, $B5))) &gt; 0,$B5 &amp; "(" &amp; $C5 &amp; ")",$B5)))), "  ", TRIM(IF($S5 = "YES", "(External ID)", "") &amp; " " &amp; IF(SUMPRODUCT(-- ISNUMBER(SEARCH({"Unique","Unique Case Insensitive"}, $R5))) &gt; 0, "(" &amp; $R5 &amp; ")", ""))))</f>
        <v>Text(200)</v>
      </c>
      <c r="E5" s="7" t="s">
        <v>195</v>
      </c>
      <c r="F5" s="7" t="s">
        <v>20</v>
      </c>
      <c r="G5" s="7" t="s">
        <v>195</v>
      </c>
      <c r="H5" s="7" t="s">
        <v>195</v>
      </c>
      <c r="I5" s="7" t="s">
        <v>195</v>
      </c>
      <c r="J5" s="7" t="s">
        <v>195</v>
      </c>
      <c r="K5" s="7" t="s">
        <v>195</v>
      </c>
      <c r="L5" s="7" t="s">
        <v>195</v>
      </c>
      <c r="M5" s="7" t="s">
        <v>29</v>
      </c>
      <c r="N5" s="7" t="s">
        <v>29</v>
      </c>
      <c r="O5" s="7" t="s">
        <v>29</v>
      </c>
      <c r="P5" s="7" t="s">
        <v>29</v>
      </c>
      <c r="Q5" s="7" t="s">
        <v>29</v>
      </c>
      <c r="R5" s="7" t="s">
        <v>29</v>
      </c>
      <c r="S5" s="7" t="s">
        <v>29</v>
      </c>
    </row>
    <row r="6" spans="1:19">
      <c r="A6" s="7" t="s">
        <v>13</v>
      </c>
      <c r="B6" s="7" t="s">
        <v>1218</v>
      </c>
      <c r="C6" s="8">
        <v>10</v>
      </c>
      <c r="D6" s="5" t="str">
        <f>LRTRIM(CONCATENATE(IF(SUMPRODUCT(-- ISNUMBER(SEARCH({"Auto Number"}, $B6))) &gt; 0, $B6, IF(SUMPRODUCT(-- ISNUMBER(SEARCH({"Lookup","Master-Detail"}, $B6))) &gt; 0,$B6 &amp; "(" &amp; $E6 &amp; ")",IF(SUMPRODUCT(-- ISNUMBER(SEARCH({"Formula","Roll-Up Summary"}, $B6))) &gt; 0,$B6 &amp; " (" &amp; $E6 &amp; ")",IF(SUMPRODUCT(-- ISNUMBER(SEARCH({"Content","Currency","Number","Percent","Text","URL"}, $B6))) &gt; 0,$B6 &amp; "(" &amp; $C6 &amp; ")",$B6)))), "  ", TRIM(IF($S6 = "YES", "(External ID)", "") &amp; " " &amp; IF(SUMPRODUCT(-- ISNUMBER(SEARCH({"Unique","Unique Case Insensitive"}, $R6))) &gt; 0, "(" &amp; $R6 &amp; ")", ""))))</f>
        <v>Text(10)</v>
      </c>
      <c r="E6" s="7" t="s">
        <v>195</v>
      </c>
      <c r="F6" s="7" t="s">
        <v>160</v>
      </c>
      <c r="G6" s="7" t="s">
        <v>160</v>
      </c>
      <c r="H6" s="7" t="s">
        <v>195</v>
      </c>
      <c r="I6" s="7" t="s">
        <v>195</v>
      </c>
      <c r="J6" s="7" t="s">
        <v>195</v>
      </c>
      <c r="K6" s="7" t="s">
        <v>195</v>
      </c>
      <c r="L6" s="7" t="s">
        <v>195</v>
      </c>
      <c r="M6" s="7" t="s">
        <v>29</v>
      </c>
      <c r="N6" s="7" t="s">
        <v>29</v>
      </c>
      <c r="O6" s="7" t="s">
        <v>29</v>
      </c>
      <c r="P6" s="7" t="s">
        <v>29</v>
      </c>
      <c r="Q6" s="7" t="s">
        <v>29</v>
      </c>
      <c r="R6" s="7" t="s">
        <v>29</v>
      </c>
      <c r="S6" s="7" t="s">
        <v>29</v>
      </c>
    </row>
    <row r="7" spans="1:19">
      <c r="A7" s="7" t="s">
        <v>197</v>
      </c>
      <c r="B7" s="7" t="s">
        <v>1218</v>
      </c>
      <c r="C7" s="8">
        <v>10</v>
      </c>
      <c r="D7" s="5" t="str">
        <f>LRTRIM(CONCATENATE(IF(SUMPRODUCT(-- ISNUMBER(SEARCH({"Auto Number"}, $B7))) &gt; 0, $B7, IF(SUMPRODUCT(-- ISNUMBER(SEARCH({"Lookup","Master-Detail"}, $B7))) &gt; 0,$B7 &amp; "(" &amp; $E7 &amp; ")",IF(SUMPRODUCT(-- ISNUMBER(SEARCH({"Formula","Roll-Up Summary"}, $B7))) &gt; 0,$B7 &amp; " (" &amp; $E7 &amp; ")",IF(SUMPRODUCT(-- ISNUMBER(SEARCH({"Content","Currency","Number","Percent","Text","URL"}, $B7))) &gt; 0,$B7 &amp; "(" &amp; $C7 &amp; ")",$B7)))), "  ", TRIM(IF($S7 = "YES", "(External ID)", "") &amp; " " &amp; IF(SUMPRODUCT(-- ISNUMBER(SEARCH({"Unique","Unique Case Insensitive"}, $R7))) &gt; 0, "(" &amp; $R7 &amp; ")", ""))))</f>
        <v>Text(10)</v>
      </c>
      <c r="E7" s="7" t="s">
        <v>195</v>
      </c>
      <c r="F7" s="7" t="s">
        <v>203</v>
      </c>
      <c r="G7" s="7" t="s">
        <v>212</v>
      </c>
      <c r="H7" s="7" t="s">
        <v>195</v>
      </c>
      <c r="I7" s="7" t="s">
        <v>195</v>
      </c>
      <c r="J7" s="7" t="s">
        <v>195</v>
      </c>
      <c r="K7" s="7" t="s">
        <v>195</v>
      </c>
      <c r="L7" s="7" t="s">
        <v>195</v>
      </c>
      <c r="M7" s="7" t="s">
        <v>29</v>
      </c>
      <c r="N7" s="7" t="s">
        <v>29</v>
      </c>
      <c r="O7" s="7" t="s">
        <v>29</v>
      </c>
      <c r="P7" s="7" t="s">
        <v>29</v>
      </c>
      <c r="Q7" s="7" t="s">
        <v>29</v>
      </c>
      <c r="R7" s="7" t="s">
        <v>29</v>
      </c>
      <c r="S7" s="7" t="s">
        <v>29</v>
      </c>
    </row>
    <row r="8" spans="1:19">
      <c r="A8" s="7" t="s">
        <v>198</v>
      </c>
      <c r="B8" s="7" t="s">
        <v>1214</v>
      </c>
      <c r="C8" s="8" t="s">
        <v>1289</v>
      </c>
      <c r="D8" s="5" t="str">
        <f>LRTRIM(CONCATENATE(IF(SUMPRODUCT(-- ISNUMBER(SEARCH({"Auto Number"}, $B8))) &gt; 0, $B8, IF(SUMPRODUCT(-- ISNUMBER(SEARCH({"Lookup","Master-Detail"}, $B8))) &gt; 0,$B8 &amp; "(" &amp; $E8 &amp; ")",IF(SUMPRODUCT(-- ISNUMBER(SEARCH({"Formula","Roll-Up Summary"}, $B8))) &gt; 0,$B8 &amp; " (" &amp; $E8 &amp; ")",IF(SUMPRODUCT(-- ISNUMBER(SEARCH({"Content","Currency","Number","Percent","Text","URL"}, $B8))) &gt; 0,$B8 &amp; "(" &amp; $C8 &amp; ")",$B8)))), "  ", TRIM(IF($S8 = "YES", "(External ID)", "") &amp; " " &amp; IF(SUMPRODUCT(-- ISNUMBER(SEARCH({"Unique","Unique Case Insensitive"}, $R8))) &gt; 0, "(" &amp; $R8 &amp; ")", ""))))</f>
        <v>Percent(16, 2)</v>
      </c>
      <c r="E8" s="7" t="s">
        <v>195</v>
      </c>
      <c r="F8" s="7" t="s">
        <v>204</v>
      </c>
      <c r="G8" s="7" t="s">
        <v>209</v>
      </c>
      <c r="H8" s="7" t="s">
        <v>195</v>
      </c>
      <c r="I8" s="7" t="s">
        <v>195</v>
      </c>
      <c r="J8" s="7" t="s">
        <v>195</v>
      </c>
      <c r="K8" s="7" t="s">
        <v>195</v>
      </c>
      <c r="L8" s="7" t="s">
        <v>195</v>
      </c>
      <c r="M8" s="7" t="s">
        <v>29</v>
      </c>
      <c r="N8" s="7" t="s">
        <v>29</v>
      </c>
      <c r="O8" s="7" t="s">
        <v>29</v>
      </c>
      <c r="P8" s="7" t="s">
        <v>29</v>
      </c>
      <c r="Q8" s="7" t="s">
        <v>29</v>
      </c>
      <c r="R8" s="7" t="s">
        <v>29</v>
      </c>
      <c r="S8" s="7" t="s">
        <v>29</v>
      </c>
    </row>
    <row r="9" spans="1:19">
      <c r="A9" s="7" t="s">
        <v>14</v>
      </c>
      <c r="B9" s="7" t="s">
        <v>1204</v>
      </c>
      <c r="C9" s="8">
        <v>0</v>
      </c>
      <c r="D9" s="5" t="str">
        <f>LRTRIM(CONCATENATE(IF(SUMPRODUCT(-- ISNUMBER(SEARCH({"Auto Number"}, $B9))) &gt; 0, $B9, IF(SUMPRODUCT(-- ISNUMBER(SEARCH({"Lookup","Master-Detail"}, $B9))) &gt; 0,$B9 &amp; "(" &amp; $E9 &amp; ")",IF(SUMPRODUCT(-- ISNUMBER(SEARCH({"Formula","Roll-Up Summary"}, $B9))) &gt; 0,$B9 &amp; " (" &amp; $E9 &amp; ")",IF(SUMPRODUCT(-- ISNUMBER(SEARCH({"Content","Currency","Number","Percent","Text","URL"}, $B9))) &gt; 0,$B9 &amp; "(" &amp; $C9 &amp; ")",$B9)))), "  ", TRIM(IF($S9 = "YES", "(External ID)", "") &amp; " " &amp; IF(SUMPRODUCT(-- ISNUMBER(SEARCH({"Unique","Unique Case Insensitive"}, $R9))) &gt; 0, "(" &amp; $R9 &amp; ")", ""))))</f>
        <v>Checkbox</v>
      </c>
      <c r="E9" s="7" t="s">
        <v>195</v>
      </c>
      <c r="F9" s="7" t="s">
        <v>25</v>
      </c>
      <c r="G9" s="7" t="s">
        <v>195</v>
      </c>
      <c r="H9" s="7" t="s">
        <v>195</v>
      </c>
      <c r="I9" s="7" t="s">
        <v>195</v>
      </c>
      <c r="J9" s="7" t="s">
        <v>195</v>
      </c>
      <c r="K9" s="7" t="s">
        <v>195</v>
      </c>
      <c r="L9" s="7" t="s">
        <v>195</v>
      </c>
      <c r="M9" s="7" t="s">
        <v>28</v>
      </c>
      <c r="N9" s="7" t="s">
        <v>29</v>
      </c>
      <c r="O9" s="7" t="s">
        <v>29</v>
      </c>
      <c r="P9" s="7" t="s">
        <v>29</v>
      </c>
      <c r="Q9" s="7" t="s">
        <v>29</v>
      </c>
      <c r="R9" s="7" t="s">
        <v>29</v>
      </c>
      <c r="S9" s="7" t="s">
        <v>29</v>
      </c>
    </row>
    <row r="10" spans="1:19">
      <c r="A10" s="7" t="s">
        <v>2</v>
      </c>
      <c r="B10" s="7" t="s">
        <v>1218</v>
      </c>
      <c r="C10" s="8">
        <v>80</v>
      </c>
      <c r="D10" s="5" t="str">
        <f>LRTRIM(CONCATENATE(IF(SUMPRODUCT(-- ISNUMBER(SEARCH({"Auto Number"}, $B10))) &gt; 0, $B10, IF(SUMPRODUCT(-- ISNUMBER(SEARCH({"Lookup","Master-Detail"}, $B10))) &gt; 0,$B10 &amp; "(" &amp; $E10 &amp; ")",IF(SUMPRODUCT(-- ISNUMBER(SEARCH({"Formula","Roll-Up Summary"}, $B10))) &gt; 0,$B10 &amp; " (" &amp; $E10 &amp; ")",IF(SUMPRODUCT(-- ISNUMBER(SEARCH({"Content","Currency","Number","Percent","Text","URL"}, $B10))) &gt; 0,$B10 &amp; "(" &amp; $C10 &amp; ")",$B10)))), "  ", TRIM(IF($S10 = "YES", "(External ID)", "") &amp; " " &amp; IF(SUMPRODUCT(-- ISNUMBER(SEARCH({"Unique","Unique Case Insensitive"}, $R10))) &gt; 0, "(" &amp; $R10 &amp; ")", ""))))</f>
        <v>Text(80)</v>
      </c>
      <c r="E10" s="7" t="s">
        <v>195</v>
      </c>
      <c r="F10" s="7" t="s">
        <v>205</v>
      </c>
      <c r="G10" s="7" t="s">
        <v>195</v>
      </c>
      <c r="H10" s="7" t="s">
        <v>195</v>
      </c>
      <c r="I10" s="7" t="s">
        <v>195</v>
      </c>
      <c r="J10" s="7" t="s">
        <v>195</v>
      </c>
      <c r="K10" s="7" t="s">
        <v>195</v>
      </c>
      <c r="L10" s="7" t="s">
        <v>195</v>
      </c>
      <c r="M10" s="7" t="s">
        <v>29</v>
      </c>
      <c r="N10" s="7" t="s">
        <v>29</v>
      </c>
      <c r="O10" s="7" t="s">
        <v>29</v>
      </c>
      <c r="P10" s="7" t="s">
        <v>29</v>
      </c>
      <c r="Q10" s="7" t="s">
        <v>29</v>
      </c>
      <c r="R10" s="7" t="s">
        <v>29</v>
      </c>
      <c r="S10" s="7" t="s">
        <v>29</v>
      </c>
    </row>
    <row r="11" spans="1:19">
      <c r="A11" s="7" t="s">
        <v>199</v>
      </c>
      <c r="B11" s="7" t="s">
        <v>1211</v>
      </c>
      <c r="C11" s="8">
        <v>18</v>
      </c>
      <c r="D11" s="5" t="str">
        <f>LRTRIM(CONCATENATE(IF(SUMPRODUCT(-- ISNUMBER(SEARCH({"Auto Number"}, $B11))) &gt; 0, $B11, IF(SUMPRODUCT(-- ISNUMBER(SEARCH({"Lookup","Master-Detail"}, $B11))) &gt; 0,$B11 &amp; "(" &amp; $E11 &amp; ")",IF(SUMPRODUCT(-- ISNUMBER(SEARCH({"Formula","Roll-Up Summary"}, $B11))) &gt; 0,$B11 &amp; " (" &amp; $E11 &amp; ")",IF(SUMPRODUCT(-- ISNUMBER(SEARCH({"Content","Currency","Number","Percent","Text","URL"}, $B11))) &gt; 0,$B11 &amp; "(" &amp; $C11 &amp; ")",$B11)))), "  ", TRIM(IF($S11 = "YES", "(External ID)", "") &amp; " " &amp; IF(SUMPRODUCT(-- ISNUMBER(SEARCH({"Unique","Unique Case Insensitive"}, $R11))) &gt; 0, "(" &amp; $R11 &amp; ")", ""))))</f>
        <v>Lookup(Product)</v>
      </c>
      <c r="E11" s="7" t="s">
        <v>506</v>
      </c>
      <c r="F11" s="7" t="s">
        <v>206</v>
      </c>
      <c r="G11" s="7" t="s">
        <v>211</v>
      </c>
      <c r="H11" s="7" t="s">
        <v>195</v>
      </c>
      <c r="I11" s="7" t="s">
        <v>195</v>
      </c>
      <c r="J11" s="7" t="s">
        <v>195</v>
      </c>
      <c r="K11" s="7" t="s">
        <v>195</v>
      </c>
      <c r="L11" s="7" t="s">
        <v>195</v>
      </c>
      <c r="M11" s="7" t="s">
        <v>29</v>
      </c>
      <c r="N11" s="7" t="s">
        <v>29</v>
      </c>
      <c r="O11" s="7" t="s">
        <v>29</v>
      </c>
      <c r="P11" s="7" t="s">
        <v>29</v>
      </c>
      <c r="Q11" s="7" t="s">
        <v>29</v>
      </c>
      <c r="R11" s="7" t="s">
        <v>29</v>
      </c>
      <c r="S11" s="7" t="s">
        <v>29</v>
      </c>
    </row>
    <row r="12" spans="1:19">
      <c r="A12" s="7" t="s">
        <v>200</v>
      </c>
      <c r="B12" s="7" t="s">
        <v>1214</v>
      </c>
      <c r="C12" s="8" t="s">
        <v>1289</v>
      </c>
      <c r="D12" s="5" t="str">
        <f>LRTRIM(CONCATENATE(IF(SUMPRODUCT(-- ISNUMBER(SEARCH({"Auto Number"}, $B12))) &gt; 0, $B12, IF(SUMPRODUCT(-- ISNUMBER(SEARCH({"Lookup","Master-Detail"}, $B12))) &gt; 0,$B12 &amp; "(" &amp; $E12 &amp; ")",IF(SUMPRODUCT(-- ISNUMBER(SEARCH({"Formula","Roll-Up Summary"}, $B12))) &gt; 0,$B12 &amp; " (" &amp; $E12 &amp; ")",IF(SUMPRODUCT(-- ISNUMBER(SEARCH({"Content","Currency","Number","Percent","Text","URL"}, $B12))) &gt; 0,$B12 &amp; "(" &amp; $C12 &amp; ")",$B12)))), "  ", TRIM(IF($S12 = "YES", "(External ID)", "") &amp; " " &amp; IF(SUMPRODUCT(-- ISNUMBER(SEARCH({"Unique","Unique Case Insensitive"}, $R12))) &gt; 0, "(" &amp; $R12 &amp; ")", ""))))</f>
        <v>Percent(16, 2)</v>
      </c>
      <c r="E12" s="7" t="s">
        <v>195</v>
      </c>
      <c r="F12" s="7" t="s">
        <v>207</v>
      </c>
      <c r="G12" s="7" t="s">
        <v>210</v>
      </c>
      <c r="H12" s="7" t="s">
        <v>195</v>
      </c>
      <c r="I12" s="7" t="s">
        <v>195</v>
      </c>
      <c r="J12" s="7" t="s">
        <v>195</v>
      </c>
      <c r="K12" s="7" t="s">
        <v>195</v>
      </c>
      <c r="L12" s="7" t="s">
        <v>195</v>
      </c>
      <c r="M12" s="7" t="s">
        <v>29</v>
      </c>
      <c r="N12" s="7" t="s">
        <v>29</v>
      </c>
      <c r="O12" s="7" t="s">
        <v>29</v>
      </c>
      <c r="P12" s="7" t="s">
        <v>29</v>
      </c>
      <c r="Q12" s="7" t="s">
        <v>29</v>
      </c>
      <c r="R12" s="7" t="s">
        <v>29</v>
      </c>
      <c r="S12" s="7" t="s">
        <v>29</v>
      </c>
    </row>
    <row r="13" spans="1:19">
      <c r="A13" s="7" t="s">
        <v>214</v>
      </c>
      <c r="B13" s="7" t="s">
        <v>195</v>
      </c>
      <c r="C13" s="8" t="s">
        <v>195</v>
      </c>
      <c r="D13" s="5" t="str">
        <f>LRTRIM(CONCATENATE(IF(SUMPRODUCT(-- ISNUMBER(SEARCH({"Auto Number"}, $B13))) &gt; 0, $B13, IF(SUMPRODUCT(-- ISNUMBER(SEARCH({"Lookup","Master-Detail"}, $B13))) &gt; 0,$B13 &amp; "(" &amp; $E13 &amp; ")",IF(SUMPRODUCT(-- ISNUMBER(SEARCH({"Formula","Roll-Up Summary"}, $B13))) &gt; 0,$B13 &amp; " (" &amp; $E13 &amp; ")",IF(SUMPRODUCT(-- ISNUMBER(SEARCH({"Content","Currency","Number","Percent","Text","URL"}, $B13))) &gt; 0,$B13 &amp; "(" &amp; $C13 &amp; ")",$B13)))), "  ", TRIM(IF($S13 = "YES", "(External ID)", "") &amp; " " &amp; IF(SUMPRODUCT(-- ISNUMBER(SEARCH({"Unique","Unique Case Insensitive"}, $R13))) &gt; 0, "(" &amp; $R13 &amp; ")", ""))))</f>
        <v>na</v>
      </c>
      <c r="E13" s="7" t="s">
        <v>195</v>
      </c>
      <c r="F13" s="7" t="s">
        <v>195</v>
      </c>
      <c r="G13" s="7" t="s">
        <v>195</v>
      </c>
      <c r="H13" s="7" t="s">
        <v>195</v>
      </c>
      <c r="I13" s="7" t="s">
        <v>195</v>
      </c>
      <c r="J13" s="7" t="s">
        <v>195</v>
      </c>
      <c r="K13" s="7" t="s">
        <v>195</v>
      </c>
      <c r="L13" s="7" t="s">
        <v>195</v>
      </c>
      <c r="M13" s="7" t="s">
        <v>29</v>
      </c>
      <c r="N13" s="7" t="s">
        <v>28</v>
      </c>
      <c r="O13" s="7" t="s">
        <v>29</v>
      </c>
      <c r="P13" s="7" t="s">
        <v>29</v>
      </c>
      <c r="Q13" s="7" t="s">
        <v>29</v>
      </c>
      <c r="R13" s="7" t="s">
        <v>29</v>
      </c>
      <c r="S13" s="7" t="s">
        <v>29</v>
      </c>
    </row>
    <row r="14" spans="1:19">
      <c r="A14" s="7" t="s">
        <v>215</v>
      </c>
      <c r="B14" s="7" t="s">
        <v>195</v>
      </c>
      <c r="C14" s="8" t="s">
        <v>195</v>
      </c>
      <c r="D14" s="5" t="str">
        <f>LRTRIM(CONCATENATE(IF(SUMPRODUCT(-- ISNUMBER(SEARCH({"Auto Number"}, $B14))) &gt; 0, $B14, IF(SUMPRODUCT(-- ISNUMBER(SEARCH({"Lookup","Master-Detail"}, $B14))) &gt; 0,$B14 &amp; "(" &amp; $E14 &amp; ")",IF(SUMPRODUCT(-- ISNUMBER(SEARCH({"Formula","Roll-Up Summary"}, $B14))) &gt; 0,$B14 &amp; " (" &amp; $E14 &amp; ")",IF(SUMPRODUCT(-- ISNUMBER(SEARCH({"Content","Currency","Number","Percent","Text","URL"}, $B14))) &gt; 0,$B14 &amp; "(" &amp; $C14 &amp; ")",$B14)))), "  ", TRIM(IF($S14 = "YES", "(External ID)", "") &amp; " " &amp; IF(SUMPRODUCT(-- ISNUMBER(SEARCH({"Unique","Unique Case Insensitive"}, $R14))) &gt; 0, "(" &amp; $R14 &amp; ")", ""))))</f>
        <v>na</v>
      </c>
      <c r="E14" s="7" t="s">
        <v>195</v>
      </c>
      <c r="F14" s="7" t="s">
        <v>195</v>
      </c>
      <c r="G14" s="7" t="s">
        <v>195</v>
      </c>
      <c r="H14" s="7" t="s">
        <v>195</v>
      </c>
      <c r="I14" s="7" t="s">
        <v>195</v>
      </c>
      <c r="J14" s="7" t="s">
        <v>195</v>
      </c>
      <c r="K14" s="7" t="s">
        <v>195</v>
      </c>
      <c r="L14" s="7" t="s">
        <v>195</v>
      </c>
      <c r="M14" s="7" t="s">
        <v>29</v>
      </c>
      <c r="N14" s="7" t="s">
        <v>28</v>
      </c>
      <c r="O14" s="7" t="s">
        <v>29</v>
      </c>
      <c r="P14" s="7" t="s">
        <v>29</v>
      </c>
      <c r="Q14" s="7" t="s">
        <v>29</v>
      </c>
      <c r="R14" s="7" t="s">
        <v>29</v>
      </c>
      <c r="S14" s="7" t="s">
        <v>29</v>
      </c>
    </row>
    <row r="15" spans="1:19">
      <c r="A15" s="7" t="s">
        <v>15</v>
      </c>
      <c r="B15" s="7" t="s">
        <v>195</v>
      </c>
      <c r="C15" s="8" t="s">
        <v>195</v>
      </c>
      <c r="D15" s="5" t="str">
        <f>LRTRIM(CONCATENATE(IF(SUMPRODUCT(-- ISNUMBER(SEARCH({"Auto Number"}, $B15))) &gt; 0, $B15, IF(SUMPRODUCT(-- ISNUMBER(SEARCH({"Lookup","Master-Detail"}, $B15))) &gt; 0,$B15 &amp; "(" &amp; $E15 &amp; ")",IF(SUMPRODUCT(-- ISNUMBER(SEARCH({"Formula","Roll-Up Summary"}, $B15))) &gt; 0,$B15 &amp; " (" &amp; $E15 &amp; ")",IF(SUMPRODUCT(-- ISNUMBER(SEARCH({"Content","Currency","Number","Percent","Text","URL"}, $B15))) &gt; 0,$B15 &amp; "(" &amp; $C15 &amp; ")",$B15)))), "  ", TRIM(IF($S15 = "YES", "(External ID)", "") &amp; " " &amp; IF(SUMPRODUCT(-- ISNUMBER(SEARCH({"Unique","Unique Case Insensitive"}, $R15))) &gt; 0, "(" &amp; $R15 &amp; ")", ""))))</f>
        <v>na</v>
      </c>
      <c r="E15" s="7" t="s">
        <v>195</v>
      </c>
      <c r="F15" s="7" t="s">
        <v>195</v>
      </c>
      <c r="G15" s="7" t="s">
        <v>195</v>
      </c>
      <c r="H15" s="7" t="s">
        <v>195</v>
      </c>
      <c r="I15" s="7" t="s">
        <v>195</v>
      </c>
      <c r="J15" s="7" t="s">
        <v>195</v>
      </c>
      <c r="K15" s="7" t="s">
        <v>195</v>
      </c>
      <c r="L15" s="7" t="s">
        <v>195</v>
      </c>
      <c r="M15" s="7" t="s">
        <v>29</v>
      </c>
      <c r="N15" s="7" t="s">
        <v>28</v>
      </c>
      <c r="O15" s="7" t="s">
        <v>29</v>
      </c>
      <c r="P15" s="7" t="s">
        <v>29</v>
      </c>
      <c r="Q15" s="7" t="s">
        <v>29</v>
      </c>
      <c r="R15" s="7" t="s">
        <v>29</v>
      </c>
      <c r="S15" s="7" t="s">
        <v>29</v>
      </c>
    </row>
    <row r="16" spans="1:19">
      <c r="A16" s="7" t="s">
        <v>36</v>
      </c>
      <c r="B16" s="7" t="s">
        <v>195</v>
      </c>
      <c r="C16" s="8" t="s">
        <v>195</v>
      </c>
      <c r="D16" s="5" t="str">
        <f>LRTRIM(CONCATENATE(IF(SUMPRODUCT(-- ISNUMBER(SEARCH({"Auto Number"}, $B16))) &gt; 0, $B16, IF(SUMPRODUCT(-- ISNUMBER(SEARCH({"Lookup","Master-Detail"}, $B16))) &gt; 0,$B16 &amp; "(" &amp; $E16 &amp; ")",IF(SUMPRODUCT(-- ISNUMBER(SEARCH({"Formula","Roll-Up Summary"}, $B16))) &gt; 0,$B16 &amp; " (" &amp; $E16 &amp; ")",IF(SUMPRODUCT(-- ISNUMBER(SEARCH({"Content","Currency","Number","Percent","Text","URL"}, $B16))) &gt; 0,$B16 &amp; "(" &amp; $C16 &amp; ")",$B16)))), "  ", TRIM(IF($S16 = "YES", "(External ID)", "") &amp; " " &amp; IF(SUMPRODUCT(-- ISNUMBER(SEARCH({"Unique","Unique Case Insensitive"}, $R16))) &gt; 0, "(" &amp; $R16 &amp; ")", ""))))</f>
        <v>na</v>
      </c>
      <c r="E16" s="7" t="s">
        <v>195</v>
      </c>
      <c r="F16" s="7" t="s">
        <v>195</v>
      </c>
      <c r="G16" s="7" t="s">
        <v>195</v>
      </c>
      <c r="H16" s="7" t="s">
        <v>195</v>
      </c>
      <c r="I16" s="7" t="s">
        <v>195</v>
      </c>
      <c r="J16" s="7" t="s">
        <v>195</v>
      </c>
      <c r="K16" s="7" t="s">
        <v>195</v>
      </c>
      <c r="L16" s="7" t="s">
        <v>195</v>
      </c>
      <c r="M16" s="7" t="s">
        <v>28</v>
      </c>
      <c r="N16" s="7" t="s">
        <v>29</v>
      </c>
      <c r="O16" s="7" t="s">
        <v>29</v>
      </c>
      <c r="P16" s="7" t="s">
        <v>29</v>
      </c>
      <c r="Q16" s="7" t="s">
        <v>29</v>
      </c>
      <c r="R16" s="7" t="s">
        <v>29</v>
      </c>
      <c r="S16" s="7" t="s">
        <v>29</v>
      </c>
    </row>
    <row r="17" spans="1:19">
      <c r="A17" s="7" t="s">
        <v>35</v>
      </c>
      <c r="B17" s="7" t="s">
        <v>195</v>
      </c>
      <c r="C17" s="8" t="s">
        <v>195</v>
      </c>
      <c r="D17" s="5" t="str">
        <f>LRTRIM(CONCATENATE(IF(SUMPRODUCT(-- ISNUMBER(SEARCH({"Auto Number"}, $B17))) &gt; 0, $B17, IF(SUMPRODUCT(-- ISNUMBER(SEARCH({"Lookup","Master-Detail"}, $B17))) &gt; 0,$B17 &amp; "(" &amp; $E17 &amp; ")",IF(SUMPRODUCT(-- ISNUMBER(SEARCH({"Formula","Roll-Up Summary"}, $B17))) &gt; 0,$B17 &amp; " (" &amp; $E17 &amp; ")",IF(SUMPRODUCT(-- ISNUMBER(SEARCH({"Content","Currency","Number","Percent","Text","URL"}, $B17))) &gt; 0,$B17 &amp; "(" &amp; $C17 &amp; ")",$B17)))), "  ", TRIM(IF($S17 = "YES", "(External ID)", "") &amp; " " &amp; IF(SUMPRODUCT(-- ISNUMBER(SEARCH({"Unique","Unique Case Insensitive"}, $R17))) &gt; 0, "(" &amp; $R17 &amp; ")", ""))))</f>
        <v>na</v>
      </c>
      <c r="E17" s="7" t="s">
        <v>195</v>
      </c>
      <c r="F17" s="7" t="s">
        <v>195</v>
      </c>
      <c r="G17" s="7" t="s">
        <v>195</v>
      </c>
      <c r="H17" s="7" t="s">
        <v>195</v>
      </c>
      <c r="I17" s="7" t="s">
        <v>195</v>
      </c>
      <c r="J17" s="7" t="s">
        <v>195</v>
      </c>
      <c r="K17" s="7" t="s">
        <v>195</v>
      </c>
      <c r="L17" s="7" t="s">
        <v>195</v>
      </c>
      <c r="M17" s="7" t="s">
        <v>28</v>
      </c>
      <c r="N17" s="7" t="s">
        <v>29</v>
      </c>
      <c r="O17" s="7" t="s">
        <v>29</v>
      </c>
      <c r="P17" s="7" t="s">
        <v>29</v>
      </c>
      <c r="Q17" s="7" t="s">
        <v>29</v>
      </c>
      <c r="R17" s="7" t="s">
        <v>29</v>
      </c>
      <c r="S17" s="7" t="s">
        <v>29</v>
      </c>
    </row>
    <row r="18" spans="1:19">
      <c r="A18" s="7" t="s">
        <v>34</v>
      </c>
      <c r="B18" s="7" t="s">
        <v>195</v>
      </c>
      <c r="C18" s="8" t="s">
        <v>195</v>
      </c>
      <c r="D18" s="5" t="str">
        <f>LRTRIM(CONCATENATE(IF(SUMPRODUCT(-- ISNUMBER(SEARCH({"Auto Number"}, $B18))) &gt; 0, $B18, IF(SUMPRODUCT(-- ISNUMBER(SEARCH({"Lookup","Master-Detail"}, $B18))) &gt; 0,$B18 &amp; "(" &amp; $E18 &amp; ")",IF(SUMPRODUCT(-- ISNUMBER(SEARCH({"Formula","Roll-Up Summary"}, $B18))) &gt; 0,$B18 &amp; " (" &amp; $E18 &amp; ")",IF(SUMPRODUCT(-- ISNUMBER(SEARCH({"Content","Currency","Number","Percent","Text","URL"}, $B18))) &gt; 0,$B18 &amp; "(" &amp; $C18 &amp; ")",$B18)))), "  ", TRIM(IF($S18 = "YES", "(External ID)", "") &amp; " " &amp; IF(SUMPRODUCT(-- ISNUMBER(SEARCH({"Unique","Unique Case Insensitive"}, $R18))) &gt; 0, "(" &amp; $R18 &amp; ")", ""))))</f>
        <v>na</v>
      </c>
      <c r="E18" s="7" t="s">
        <v>195</v>
      </c>
      <c r="F18" s="7" t="s">
        <v>195</v>
      </c>
      <c r="G18" s="7" t="s">
        <v>195</v>
      </c>
      <c r="H18" s="7" t="s">
        <v>195</v>
      </c>
      <c r="I18" s="7" t="s">
        <v>195</v>
      </c>
      <c r="J18" s="7" t="s">
        <v>195</v>
      </c>
      <c r="K18" s="7" t="s">
        <v>195</v>
      </c>
      <c r="L18" s="7" t="s">
        <v>195</v>
      </c>
      <c r="M18" s="7" t="s">
        <v>28</v>
      </c>
      <c r="N18" s="7" t="s">
        <v>29</v>
      </c>
      <c r="O18" s="7" t="s">
        <v>29</v>
      </c>
      <c r="P18" s="7" t="s">
        <v>29</v>
      </c>
      <c r="Q18" s="7" t="s">
        <v>29</v>
      </c>
      <c r="R18" s="7" t="s">
        <v>29</v>
      </c>
      <c r="S18" s="7" t="s">
        <v>29</v>
      </c>
    </row>
    <row r="19" spans="1:19">
      <c r="A19" s="7" t="s">
        <v>38</v>
      </c>
      <c r="B19" s="7" t="s">
        <v>195</v>
      </c>
      <c r="C19" s="8" t="s">
        <v>195</v>
      </c>
      <c r="D19" s="5" t="str">
        <f>LRTRIM(CONCATENATE(IF(SUMPRODUCT(-- ISNUMBER(SEARCH({"Auto Number"}, $B19))) &gt; 0, $B19, IF(SUMPRODUCT(-- ISNUMBER(SEARCH({"Lookup","Master-Detail"}, $B19))) &gt; 0,$B19 &amp; "(" &amp; $E19 &amp; ")",IF(SUMPRODUCT(-- ISNUMBER(SEARCH({"Formula","Roll-Up Summary"}, $B19))) &gt; 0,$B19 &amp; " (" &amp; $E19 &amp; ")",IF(SUMPRODUCT(-- ISNUMBER(SEARCH({"Content","Currency","Number","Percent","Text","URL"}, $B19))) &gt; 0,$B19 &amp; "(" &amp; $C19 &amp; ")",$B19)))), "  ", TRIM(IF($S19 = "YES", "(External ID)", "") &amp; " " &amp; IF(SUMPRODUCT(-- ISNUMBER(SEARCH({"Unique","Unique Case Insensitive"}, $R19))) &gt; 0, "(" &amp; $R19 &amp; ")", ""))))</f>
        <v>na</v>
      </c>
      <c r="E19" s="7" t="s">
        <v>195</v>
      </c>
      <c r="F19" s="7" t="s">
        <v>195</v>
      </c>
      <c r="G19" s="7" t="s">
        <v>195</v>
      </c>
      <c r="H19" s="7" t="s">
        <v>195</v>
      </c>
      <c r="I19" s="7" t="s">
        <v>195</v>
      </c>
      <c r="J19" s="7" t="s">
        <v>195</v>
      </c>
      <c r="K19" s="7" t="s">
        <v>195</v>
      </c>
      <c r="L19" s="7" t="s">
        <v>195</v>
      </c>
      <c r="M19" s="7" t="s">
        <v>28</v>
      </c>
      <c r="N19" s="7" t="s">
        <v>29</v>
      </c>
      <c r="O19" s="7" t="s">
        <v>29</v>
      </c>
      <c r="P19" s="7" t="s">
        <v>29</v>
      </c>
      <c r="Q19" s="7" t="s">
        <v>29</v>
      </c>
      <c r="R19" s="7" t="s">
        <v>29</v>
      </c>
      <c r="S19" s="7" t="s">
        <v>29</v>
      </c>
    </row>
    <row r="20" spans="1:19">
      <c r="A20" s="7" t="s">
        <v>37</v>
      </c>
      <c r="B20" s="7" t="s">
        <v>195</v>
      </c>
      <c r="C20" s="8" t="s">
        <v>195</v>
      </c>
      <c r="D20" s="5" t="str">
        <f>LRTRIM(CONCATENATE(IF(SUMPRODUCT(-- ISNUMBER(SEARCH({"Auto Number"}, $B20))) &gt; 0, $B20, IF(SUMPRODUCT(-- ISNUMBER(SEARCH({"Lookup","Master-Detail"}, $B20))) &gt; 0,$B20 &amp; "(" &amp; $E20 &amp; ")",IF(SUMPRODUCT(-- ISNUMBER(SEARCH({"Formula","Roll-Up Summary"}, $B20))) &gt; 0,$B20 &amp; " (" &amp; $E20 &amp; ")",IF(SUMPRODUCT(-- ISNUMBER(SEARCH({"Content","Currency","Number","Percent","Text","URL"}, $B20))) &gt; 0,$B20 &amp; "(" &amp; $C20 &amp; ")",$B20)))), "  ", TRIM(IF($S20 = "YES", "(External ID)", "") &amp; " " &amp; IF(SUMPRODUCT(-- ISNUMBER(SEARCH({"Unique","Unique Case Insensitive"}, $R20))) &gt; 0, "(" &amp; $R20 &amp; ")", ""))))</f>
        <v>na</v>
      </c>
      <c r="E20" s="7" t="s">
        <v>195</v>
      </c>
      <c r="F20" s="7" t="s">
        <v>195</v>
      </c>
      <c r="G20" s="7" t="s">
        <v>195</v>
      </c>
      <c r="H20" s="7" t="s">
        <v>195</v>
      </c>
      <c r="I20" s="7" t="s">
        <v>195</v>
      </c>
      <c r="J20" s="7" t="s">
        <v>195</v>
      </c>
      <c r="K20" s="7" t="s">
        <v>195</v>
      </c>
      <c r="L20" s="7" t="s">
        <v>195</v>
      </c>
      <c r="M20" s="7" t="s">
        <v>28</v>
      </c>
      <c r="N20" s="7" t="s">
        <v>29</v>
      </c>
      <c r="O20" s="7" t="s">
        <v>29</v>
      </c>
      <c r="P20" s="7" t="s">
        <v>29</v>
      </c>
      <c r="Q20" s="7" t="s">
        <v>29</v>
      </c>
      <c r="R20" s="7" t="s">
        <v>29</v>
      </c>
      <c r="S20" s="7" t="s">
        <v>29</v>
      </c>
    </row>
    <row r="21" spans="1:19">
      <c r="A21" s="7" t="s">
        <v>39</v>
      </c>
      <c r="B21" s="7" t="s">
        <v>195</v>
      </c>
      <c r="C21" s="8" t="s">
        <v>195</v>
      </c>
      <c r="D21" s="5" t="str">
        <f>LRTRIM(CONCATENATE(IF(SUMPRODUCT(-- ISNUMBER(SEARCH({"Auto Number"}, $B21))) &gt; 0, $B21, IF(SUMPRODUCT(-- ISNUMBER(SEARCH({"Lookup","Master-Detail"}, $B21))) &gt; 0,$B21 &amp; "(" &amp; $E21 &amp; ")",IF(SUMPRODUCT(-- ISNUMBER(SEARCH({"Formula","Roll-Up Summary"}, $B21))) &gt; 0,$B21 &amp; " (" &amp; $E21 &amp; ")",IF(SUMPRODUCT(-- ISNUMBER(SEARCH({"Content","Currency","Number","Percent","Text","URL"}, $B21))) &gt; 0,$B21 &amp; "(" &amp; $C21 &amp; ")",$B21)))), "  ", TRIM(IF($S21 = "YES", "(External ID)", "") &amp; " " &amp; IF(SUMPRODUCT(-- ISNUMBER(SEARCH({"Unique","Unique Case Insensitive"}, $R21))) &gt; 0, "(" &amp; $R21 &amp; ")", ""))))</f>
        <v>na</v>
      </c>
      <c r="E21" s="7" t="s">
        <v>195</v>
      </c>
      <c r="F21" s="7" t="s">
        <v>195</v>
      </c>
      <c r="G21" s="7" t="s">
        <v>195</v>
      </c>
      <c r="H21" s="7" t="s">
        <v>195</v>
      </c>
      <c r="I21" s="7" t="s">
        <v>195</v>
      </c>
      <c r="J21" s="7" t="s">
        <v>195</v>
      </c>
      <c r="K21" s="7" t="s">
        <v>195</v>
      </c>
      <c r="L21" s="7" t="s">
        <v>195</v>
      </c>
      <c r="M21" s="7" t="s">
        <v>28</v>
      </c>
      <c r="N21" s="7" t="s">
        <v>29</v>
      </c>
      <c r="O21" s="7" t="s">
        <v>29</v>
      </c>
      <c r="P21" s="7" t="s">
        <v>29</v>
      </c>
      <c r="Q21" s="7" t="s">
        <v>29</v>
      </c>
      <c r="R21" s="7" t="s">
        <v>29</v>
      </c>
      <c r="S21" s="7" t="s">
        <v>29</v>
      </c>
    </row>
    <row r="22" spans="1:19">
      <c r="B22" s="7" t="s">
        <v>195</v>
      </c>
      <c r="C22" s="8" t="s">
        <v>195</v>
      </c>
      <c r="D22" s="5" t="str">
        <f>LRTRIM(CONCATENATE(IF(SUMPRODUCT(-- ISNUMBER(SEARCH({"Auto Number"}, $B22))) &gt; 0, $B22, IF(SUMPRODUCT(-- ISNUMBER(SEARCH({"Lookup","Master-Detail"}, $B22))) &gt; 0,$B22 &amp; "(" &amp; $E22 &amp; ")",IF(SUMPRODUCT(-- ISNUMBER(SEARCH({"Formula","Roll-Up Summary"}, $B22))) &gt; 0,$B22 &amp; " (" &amp; $E22 &amp; ")",IF(SUMPRODUCT(-- ISNUMBER(SEARCH({"Content","Currency","Number","Percent","Text","URL"}, $B22))) &gt; 0,$B22 &amp; "(" &amp; $C22 &amp; ")",$B22)))), "  ", TRIM(IF($S22 = "YES", "(External ID)", "") &amp; " " &amp; IF(SUMPRODUCT(-- ISNUMBER(SEARCH({"Unique","Unique Case Insensitive"}, $R22))) &gt; 0, "(" &amp; $R22 &amp; ")", ""))))</f>
        <v>na</v>
      </c>
      <c r="E22" s="7" t="s">
        <v>195</v>
      </c>
      <c r="F22" s="7" t="s">
        <v>195</v>
      </c>
      <c r="G22" s="7" t="s">
        <v>195</v>
      </c>
      <c r="H22" s="7" t="s">
        <v>195</v>
      </c>
      <c r="I22" s="7" t="s">
        <v>195</v>
      </c>
      <c r="J22" s="7" t="s">
        <v>195</v>
      </c>
      <c r="K22" s="7" t="s">
        <v>195</v>
      </c>
      <c r="L22" s="7" t="s">
        <v>195</v>
      </c>
      <c r="M22" s="7" t="s">
        <v>29</v>
      </c>
      <c r="N22" s="7" t="s">
        <v>29</v>
      </c>
      <c r="O22" s="7" t="s">
        <v>29</v>
      </c>
      <c r="P22" s="7" t="s">
        <v>29</v>
      </c>
      <c r="Q22" s="7" t="s">
        <v>29</v>
      </c>
      <c r="R22" s="7" t="s">
        <v>29</v>
      </c>
      <c r="S22" s="7" t="s">
        <v>29</v>
      </c>
    </row>
    <row r="23" spans="1:19">
      <c r="B23" s="7" t="s">
        <v>195</v>
      </c>
      <c r="C23" s="8" t="s">
        <v>195</v>
      </c>
      <c r="D23" s="5" t="str">
        <f>LRTRIM(CONCATENATE(IF(SUMPRODUCT(-- ISNUMBER(SEARCH({"Auto Number"}, $B23))) &gt; 0, $B23, IF(SUMPRODUCT(-- ISNUMBER(SEARCH({"Lookup","Master-Detail"}, $B23))) &gt; 0,$B23 &amp; "(" &amp; $E23 &amp; ")",IF(SUMPRODUCT(-- ISNUMBER(SEARCH({"Formula","Roll-Up Summary"}, $B23))) &gt; 0,$B23 &amp; " (" &amp; $E23 &amp; ")",IF(SUMPRODUCT(-- ISNUMBER(SEARCH({"Content","Currency","Number","Percent","Text","URL"}, $B23))) &gt; 0,$B23 &amp; "(" &amp; $C23 &amp; ")",$B23)))), "  ", TRIM(IF($S23 = "YES", "(External ID)", "") &amp; " " &amp; IF(SUMPRODUCT(-- ISNUMBER(SEARCH({"Unique","Unique Case Insensitive"}, $R23))) &gt; 0, "(" &amp; $R23 &amp; ")", ""))))</f>
        <v>na</v>
      </c>
      <c r="E23" s="7" t="s">
        <v>195</v>
      </c>
      <c r="F23" s="7" t="s">
        <v>195</v>
      </c>
      <c r="G23" s="7" t="s">
        <v>195</v>
      </c>
      <c r="H23" s="7" t="s">
        <v>195</v>
      </c>
      <c r="I23" s="7" t="s">
        <v>195</v>
      </c>
      <c r="J23" s="7" t="s">
        <v>195</v>
      </c>
      <c r="K23" s="7" t="s">
        <v>195</v>
      </c>
      <c r="L23" s="7" t="s">
        <v>195</v>
      </c>
      <c r="M23" s="7" t="s">
        <v>29</v>
      </c>
      <c r="N23" s="7" t="s">
        <v>29</v>
      </c>
      <c r="O23" s="7" t="s">
        <v>29</v>
      </c>
      <c r="P23" s="7" t="s">
        <v>29</v>
      </c>
      <c r="Q23" s="7" t="s">
        <v>29</v>
      </c>
      <c r="R23" s="7" t="s">
        <v>29</v>
      </c>
      <c r="S23" s="7" t="s">
        <v>29</v>
      </c>
    </row>
    <row r="24" spans="1:19">
      <c r="B24" s="7" t="s">
        <v>195</v>
      </c>
      <c r="C24" s="8" t="s">
        <v>195</v>
      </c>
      <c r="D24" s="5" t="str">
        <f>LRTRIM(CONCATENATE(IF(SUMPRODUCT(-- ISNUMBER(SEARCH({"Auto Number"}, $B24))) &gt; 0, $B24, IF(SUMPRODUCT(-- ISNUMBER(SEARCH({"Lookup","Master-Detail"}, $B24))) &gt; 0,$B24 &amp; "(" &amp; $E24 &amp; ")",IF(SUMPRODUCT(-- ISNUMBER(SEARCH({"Formula","Roll-Up Summary"}, $B24))) &gt; 0,$B24 &amp; " (" &amp; $E24 &amp; ")",IF(SUMPRODUCT(-- ISNUMBER(SEARCH({"Content","Currency","Number","Percent","Text","URL"}, $B24))) &gt; 0,$B24 &amp; "(" &amp; $C24 &amp; ")",$B24)))), "  ", TRIM(IF($S24 = "YES", "(External ID)", "") &amp; " " &amp; IF(SUMPRODUCT(-- ISNUMBER(SEARCH({"Unique","Unique Case Insensitive"}, $R24))) &gt; 0, "(" &amp; $R24 &amp; ")", ""))))</f>
        <v>na</v>
      </c>
      <c r="E24" s="7" t="s">
        <v>195</v>
      </c>
      <c r="F24" s="7" t="s">
        <v>195</v>
      </c>
      <c r="G24" s="7" t="s">
        <v>195</v>
      </c>
      <c r="H24" s="7" t="s">
        <v>195</v>
      </c>
      <c r="I24" s="7" t="s">
        <v>195</v>
      </c>
      <c r="J24" s="7" t="s">
        <v>195</v>
      </c>
      <c r="K24" s="7" t="s">
        <v>195</v>
      </c>
      <c r="L24" s="7" t="s">
        <v>195</v>
      </c>
      <c r="M24" s="7" t="s">
        <v>29</v>
      </c>
      <c r="N24" s="7" t="s">
        <v>29</v>
      </c>
      <c r="O24" s="7" t="s">
        <v>29</v>
      </c>
      <c r="P24" s="7" t="s">
        <v>29</v>
      </c>
      <c r="Q24" s="7" t="s">
        <v>29</v>
      </c>
      <c r="R24" s="7" t="s">
        <v>29</v>
      </c>
      <c r="S24" s="7" t="s">
        <v>29</v>
      </c>
    </row>
    <row r="25" spans="1:19">
      <c r="B25" s="7" t="s">
        <v>195</v>
      </c>
      <c r="C25" s="8" t="s">
        <v>195</v>
      </c>
      <c r="D25" s="5" t="str">
        <f>LRTRIM(CONCATENATE(IF(SUMPRODUCT(-- ISNUMBER(SEARCH({"Auto Number"}, $B25))) &gt; 0, $B25, IF(SUMPRODUCT(-- ISNUMBER(SEARCH({"Lookup","Master-Detail"}, $B25))) &gt; 0,$B25 &amp; "(" &amp; $E25 &amp; ")",IF(SUMPRODUCT(-- ISNUMBER(SEARCH({"Formula","Roll-Up Summary"}, $B25))) &gt; 0,$B25 &amp; " (" &amp; $E25 &amp; ")",IF(SUMPRODUCT(-- ISNUMBER(SEARCH({"Content","Currency","Number","Percent","Text","URL"}, $B25))) &gt; 0,$B25 &amp; "(" &amp; $C25 &amp; ")",$B25)))), "  ", TRIM(IF($S25 = "YES", "(External ID)", "") &amp; " " &amp; IF(SUMPRODUCT(-- ISNUMBER(SEARCH({"Unique","Unique Case Insensitive"}, $R25))) &gt; 0, "(" &amp; $R25 &amp; ")", ""))))</f>
        <v>na</v>
      </c>
      <c r="E25" s="7" t="s">
        <v>195</v>
      </c>
      <c r="F25" s="7" t="s">
        <v>195</v>
      </c>
      <c r="G25" s="7" t="s">
        <v>195</v>
      </c>
      <c r="H25" s="7" t="s">
        <v>195</v>
      </c>
      <c r="I25" s="7" t="s">
        <v>195</v>
      </c>
      <c r="J25" s="7" t="s">
        <v>195</v>
      </c>
      <c r="K25" s="7" t="s">
        <v>195</v>
      </c>
      <c r="L25" s="7" t="s">
        <v>195</v>
      </c>
      <c r="M25" s="7" t="s">
        <v>29</v>
      </c>
      <c r="N25" s="7" t="s">
        <v>29</v>
      </c>
      <c r="O25" s="7" t="s">
        <v>29</v>
      </c>
      <c r="P25" s="7" t="s">
        <v>29</v>
      </c>
      <c r="Q25" s="7" t="s">
        <v>29</v>
      </c>
      <c r="R25" s="7" t="s">
        <v>29</v>
      </c>
      <c r="S25" s="7" t="s">
        <v>29</v>
      </c>
    </row>
    <row r="26" spans="1:19">
      <c r="B26" s="7" t="s">
        <v>195</v>
      </c>
      <c r="C26" s="8" t="s">
        <v>195</v>
      </c>
      <c r="D26" s="5" t="str">
        <f>LRTRIM(CONCATENATE(IF(SUMPRODUCT(-- ISNUMBER(SEARCH({"Auto Number"}, $B26))) &gt; 0, $B26, IF(SUMPRODUCT(-- ISNUMBER(SEARCH({"Lookup","Master-Detail"}, $B26))) &gt; 0,$B26 &amp; "(" &amp; $E26 &amp; ")",IF(SUMPRODUCT(-- ISNUMBER(SEARCH({"Formula","Roll-Up Summary"}, $B26))) &gt; 0,$B26 &amp; " (" &amp; $E26 &amp; ")",IF(SUMPRODUCT(-- ISNUMBER(SEARCH({"Content","Currency","Number","Percent","Text","URL"}, $B26))) &gt; 0,$B26 &amp; "(" &amp; $C26 &amp; ")",$B26)))), "  ", TRIM(IF($S26 = "YES", "(External ID)", "") &amp; " " &amp; IF(SUMPRODUCT(-- ISNUMBER(SEARCH({"Unique","Unique Case Insensitive"}, $R26))) &gt; 0, "(" &amp; $R26 &amp; ")", ""))))</f>
        <v>na</v>
      </c>
      <c r="E26" s="7" t="s">
        <v>195</v>
      </c>
      <c r="F26" s="7" t="s">
        <v>195</v>
      </c>
      <c r="G26" s="7" t="s">
        <v>195</v>
      </c>
      <c r="H26" s="7" t="s">
        <v>195</v>
      </c>
      <c r="I26" s="7" t="s">
        <v>195</v>
      </c>
      <c r="J26" s="7" t="s">
        <v>195</v>
      </c>
      <c r="K26" s="7" t="s">
        <v>195</v>
      </c>
      <c r="L26" s="7" t="s">
        <v>195</v>
      </c>
      <c r="M26" s="7" t="s">
        <v>29</v>
      </c>
      <c r="N26" s="7" t="s">
        <v>29</v>
      </c>
      <c r="O26" s="7" t="s">
        <v>29</v>
      </c>
      <c r="P26" s="7" t="s">
        <v>29</v>
      </c>
      <c r="Q26" s="7" t="s">
        <v>29</v>
      </c>
      <c r="R26" s="7" t="s">
        <v>29</v>
      </c>
      <c r="S26" s="7" t="s">
        <v>29</v>
      </c>
    </row>
    <row r="27" spans="1:19">
      <c r="B27" s="7" t="s">
        <v>195</v>
      </c>
      <c r="C27" s="8" t="s">
        <v>195</v>
      </c>
      <c r="D27" s="5" t="str">
        <f>LRTRIM(CONCATENATE(IF(SUMPRODUCT(-- ISNUMBER(SEARCH({"Auto Number"}, $B27))) &gt; 0, $B27, IF(SUMPRODUCT(-- ISNUMBER(SEARCH({"Lookup","Master-Detail"}, $B27))) &gt; 0,$B27 &amp; "(" &amp; $E27 &amp; ")",IF(SUMPRODUCT(-- ISNUMBER(SEARCH({"Formula","Roll-Up Summary"}, $B27))) &gt; 0,$B27 &amp; " (" &amp; $E27 &amp; ")",IF(SUMPRODUCT(-- ISNUMBER(SEARCH({"Content","Currency","Number","Percent","Text","URL"}, $B27))) &gt; 0,$B27 &amp; "(" &amp; $C27 &amp; ")",$B27)))), "  ", TRIM(IF($S27 = "YES", "(External ID)", "") &amp; " " &amp; IF(SUMPRODUCT(-- ISNUMBER(SEARCH({"Unique","Unique Case Insensitive"}, $R27))) &gt; 0, "(" &amp; $R27 &amp; ")", ""))))</f>
        <v>na</v>
      </c>
      <c r="E27" s="7" t="s">
        <v>195</v>
      </c>
      <c r="F27" s="7" t="s">
        <v>195</v>
      </c>
      <c r="G27" s="7" t="s">
        <v>195</v>
      </c>
      <c r="H27" s="7" t="s">
        <v>195</v>
      </c>
      <c r="I27" s="7" t="s">
        <v>195</v>
      </c>
      <c r="J27" s="7" t="s">
        <v>195</v>
      </c>
      <c r="K27" s="7" t="s">
        <v>195</v>
      </c>
      <c r="L27" s="7" t="s">
        <v>195</v>
      </c>
      <c r="M27" s="7" t="s">
        <v>29</v>
      </c>
      <c r="N27" s="7" t="s">
        <v>29</v>
      </c>
      <c r="O27" s="7" t="s">
        <v>29</v>
      </c>
      <c r="P27" s="7" t="s">
        <v>29</v>
      </c>
      <c r="Q27" s="7" t="s">
        <v>29</v>
      </c>
      <c r="R27" s="7" t="s">
        <v>29</v>
      </c>
      <c r="S27" s="7" t="s">
        <v>29</v>
      </c>
    </row>
    <row r="28" spans="1:19">
      <c r="B28" s="7" t="s">
        <v>195</v>
      </c>
      <c r="C28" s="8" t="s">
        <v>195</v>
      </c>
      <c r="D28" s="5" t="str">
        <f>LRTRIM(CONCATENATE(IF(SUMPRODUCT(-- ISNUMBER(SEARCH({"Auto Number"}, $B28))) &gt; 0, $B28, IF(SUMPRODUCT(-- ISNUMBER(SEARCH({"Lookup","Master-Detail"}, $B28))) &gt; 0,$B28 &amp; "(" &amp; $E28 &amp; ")",IF(SUMPRODUCT(-- ISNUMBER(SEARCH({"Formula","Roll-Up Summary"}, $B28))) &gt; 0,$B28 &amp; " (" &amp; $E28 &amp; ")",IF(SUMPRODUCT(-- ISNUMBER(SEARCH({"Content","Currency","Number","Percent","Text","URL"}, $B28))) &gt; 0,$B28 &amp; "(" &amp; $C28 &amp; ")",$B28)))), "  ", TRIM(IF($S28 = "YES", "(External ID)", "") &amp; " " &amp; IF(SUMPRODUCT(-- ISNUMBER(SEARCH({"Unique","Unique Case Insensitive"}, $R28))) &gt; 0, "(" &amp; $R28 &amp; ")", ""))))</f>
        <v>na</v>
      </c>
      <c r="E28" s="7" t="s">
        <v>195</v>
      </c>
      <c r="F28" s="7" t="s">
        <v>195</v>
      </c>
      <c r="G28" s="7" t="s">
        <v>195</v>
      </c>
      <c r="H28" s="7" t="s">
        <v>195</v>
      </c>
      <c r="I28" s="7" t="s">
        <v>195</v>
      </c>
      <c r="J28" s="7" t="s">
        <v>195</v>
      </c>
      <c r="K28" s="7" t="s">
        <v>195</v>
      </c>
      <c r="L28" s="7" t="s">
        <v>195</v>
      </c>
      <c r="M28" s="7" t="s">
        <v>29</v>
      </c>
      <c r="N28" s="7" t="s">
        <v>29</v>
      </c>
      <c r="O28" s="7" t="s">
        <v>29</v>
      </c>
      <c r="P28" s="7" t="s">
        <v>29</v>
      </c>
      <c r="Q28" s="7" t="s">
        <v>29</v>
      </c>
      <c r="R28" s="7" t="s">
        <v>29</v>
      </c>
      <c r="S28" s="7" t="s">
        <v>29</v>
      </c>
    </row>
    <row r="29" spans="1:19">
      <c r="B29" s="7" t="s">
        <v>195</v>
      </c>
      <c r="C29" s="8" t="s">
        <v>195</v>
      </c>
      <c r="D29" s="5" t="str">
        <f>LRTRIM(CONCATENATE(IF(SUMPRODUCT(-- ISNUMBER(SEARCH({"Auto Number"}, $B29))) &gt; 0, $B29, IF(SUMPRODUCT(-- ISNUMBER(SEARCH({"Lookup","Master-Detail"}, $B29))) &gt; 0,$B29 &amp; "(" &amp; $E29 &amp; ")",IF(SUMPRODUCT(-- ISNUMBER(SEARCH({"Formula","Roll-Up Summary"}, $B29))) &gt; 0,$B29 &amp; " (" &amp; $E29 &amp; ")",IF(SUMPRODUCT(-- ISNUMBER(SEARCH({"Content","Currency","Number","Percent","Text","URL"}, $B29))) &gt; 0,$B29 &amp; "(" &amp; $C29 &amp; ")",$B29)))), "  ", TRIM(IF($S29 = "YES", "(External ID)", "") &amp; " " &amp; IF(SUMPRODUCT(-- ISNUMBER(SEARCH({"Unique","Unique Case Insensitive"}, $R29))) &gt; 0, "(" &amp; $R29 &amp; ")", ""))))</f>
        <v>na</v>
      </c>
      <c r="E29" s="7" t="s">
        <v>195</v>
      </c>
      <c r="F29" s="7" t="s">
        <v>195</v>
      </c>
      <c r="G29" s="7" t="s">
        <v>195</v>
      </c>
      <c r="H29" s="7" t="s">
        <v>195</v>
      </c>
      <c r="I29" s="7" t="s">
        <v>195</v>
      </c>
      <c r="J29" s="7" t="s">
        <v>195</v>
      </c>
      <c r="K29" s="7" t="s">
        <v>195</v>
      </c>
      <c r="L29" s="7" t="s">
        <v>195</v>
      </c>
      <c r="M29" s="7" t="s">
        <v>29</v>
      </c>
      <c r="N29" s="7" t="s">
        <v>29</v>
      </c>
      <c r="O29" s="7" t="s">
        <v>29</v>
      </c>
      <c r="P29" s="7" t="s">
        <v>29</v>
      </c>
      <c r="Q29" s="7" t="s">
        <v>29</v>
      </c>
      <c r="R29" s="7" t="s">
        <v>29</v>
      </c>
      <c r="S29" s="7" t="s">
        <v>29</v>
      </c>
    </row>
    <row r="30" spans="1:19">
      <c r="B30" s="7" t="s">
        <v>195</v>
      </c>
      <c r="C30" s="8" t="s">
        <v>195</v>
      </c>
      <c r="D30" s="5" t="str">
        <f>LRTRIM(CONCATENATE(IF(SUMPRODUCT(-- ISNUMBER(SEARCH({"Auto Number"}, $B30))) &gt; 0, $B30, IF(SUMPRODUCT(-- ISNUMBER(SEARCH({"Lookup","Master-Detail"}, $B30))) &gt; 0,$B30 &amp; "(" &amp; $E30 &amp; ")",IF(SUMPRODUCT(-- ISNUMBER(SEARCH({"Formula","Roll-Up Summary"}, $B30))) &gt; 0,$B30 &amp; " (" &amp; $E30 &amp; ")",IF(SUMPRODUCT(-- ISNUMBER(SEARCH({"Content","Currency","Number","Percent","Text","URL"}, $B30))) &gt; 0,$B30 &amp; "(" &amp; $C30 &amp; ")",$B30)))), "  ", TRIM(IF($S30 = "YES", "(External ID)", "") &amp; " " &amp; IF(SUMPRODUCT(-- ISNUMBER(SEARCH({"Unique","Unique Case Insensitive"}, $R30))) &gt; 0, "(" &amp; $R30 &amp; ")", ""))))</f>
        <v>na</v>
      </c>
      <c r="E30" s="7" t="s">
        <v>195</v>
      </c>
      <c r="F30" s="7" t="s">
        <v>195</v>
      </c>
      <c r="G30" s="7" t="s">
        <v>195</v>
      </c>
      <c r="H30" s="7" t="s">
        <v>195</v>
      </c>
      <c r="I30" s="7" t="s">
        <v>195</v>
      </c>
      <c r="J30" s="7" t="s">
        <v>195</v>
      </c>
      <c r="K30" s="7" t="s">
        <v>195</v>
      </c>
      <c r="L30" s="7" t="s">
        <v>195</v>
      </c>
      <c r="M30" s="7" t="s">
        <v>29</v>
      </c>
      <c r="N30" s="7" t="s">
        <v>29</v>
      </c>
      <c r="O30" s="7" t="s">
        <v>29</v>
      </c>
      <c r="P30" s="7" t="s">
        <v>29</v>
      </c>
      <c r="Q30" s="7" t="s">
        <v>29</v>
      </c>
      <c r="R30" s="7" t="s">
        <v>29</v>
      </c>
      <c r="S30" s="7" t="s">
        <v>29</v>
      </c>
    </row>
    <row r="31" spans="1:19">
      <c r="B31" s="7" t="s">
        <v>195</v>
      </c>
      <c r="C31" s="8" t="s">
        <v>195</v>
      </c>
      <c r="D31" s="5" t="str">
        <f>LRTRIM(CONCATENATE(IF(SUMPRODUCT(-- ISNUMBER(SEARCH({"Auto Number"}, $B31))) &gt; 0, $B31, IF(SUMPRODUCT(-- ISNUMBER(SEARCH({"Lookup","Master-Detail"}, $B31))) &gt; 0,$B31 &amp; "(" &amp; $E31 &amp; ")",IF(SUMPRODUCT(-- ISNUMBER(SEARCH({"Formula","Roll-Up Summary"}, $B31))) &gt; 0,$B31 &amp; " (" &amp; $E31 &amp; ")",IF(SUMPRODUCT(-- ISNUMBER(SEARCH({"Content","Currency","Number","Percent","Text","URL"}, $B31))) &gt; 0,$B31 &amp; "(" &amp; $C31 &amp; ")",$B31)))), "  ", TRIM(IF($S31 = "YES", "(External ID)", "") &amp; " " &amp; IF(SUMPRODUCT(-- ISNUMBER(SEARCH({"Unique","Unique Case Insensitive"}, $R31))) &gt; 0, "(" &amp; $R31 &amp; ")", ""))))</f>
        <v>na</v>
      </c>
      <c r="E31" s="7" t="s">
        <v>195</v>
      </c>
      <c r="F31" s="7" t="s">
        <v>195</v>
      </c>
      <c r="G31" s="7" t="s">
        <v>195</v>
      </c>
      <c r="H31" s="7" t="s">
        <v>195</v>
      </c>
      <c r="I31" s="7" t="s">
        <v>195</v>
      </c>
      <c r="J31" s="7" t="s">
        <v>195</v>
      </c>
      <c r="K31" s="7" t="s">
        <v>195</v>
      </c>
      <c r="L31" s="7" t="s">
        <v>195</v>
      </c>
      <c r="M31" s="7" t="s">
        <v>29</v>
      </c>
      <c r="N31" s="7" t="s">
        <v>29</v>
      </c>
      <c r="O31" s="7" t="s">
        <v>29</v>
      </c>
      <c r="P31" s="7" t="s">
        <v>29</v>
      </c>
      <c r="Q31" s="7" t="s">
        <v>29</v>
      </c>
      <c r="R31" s="7" t="s">
        <v>29</v>
      </c>
      <c r="S31" s="7" t="s">
        <v>29</v>
      </c>
    </row>
    <row r="32" spans="1:19">
      <c r="B32" s="7" t="s">
        <v>195</v>
      </c>
      <c r="C32" s="8" t="s">
        <v>195</v>
      </c>
      <c r="D32" s="5" t="str">
        <f>LRTRIM(CONCATENATE(IF(SUMPRODUCT(-- ISNUMBER(SEARCH({"Auto Number"}, $B32))) &gt; 0, $B32, IF(SUMPRODUCT(-- ISNUMBER(SEARCH({"Lookup","Master-Detail"}, $B32))) &gt; 0,$B32 &amp; "(" &amp; $E32 &amp; ")",IF(SUMPRODUCT(-- ISNUMBER(SEARCH({"Formula","Roll-Up Summary"}, $B32))) &gt; 0,$B32 &amp; " (" &amp; $E32 &amp; ")",IF(SUMPRODUCT(-- ISNUMBER(SEARCH({"Content","Currency","Number","Percent","Text","URL"}, $B32))) &gt; 0,$B32 &amp; "(" &amp; $C32 &amp; ")",$B32)))), "  ", TRIM(IF($S32 = "YES", "(External ID)", "") &amp; " " &amp; IF(SUMPRODUCT(-- ISNUMBER(SEARCH({"Unique","Unique Case Insensitive"}, $R32))) &gt; 0, "(" &amp; $R32 &amp; ")", ""))))</f>
        <v>na</v>
      </c>
      <c r="E32" s="7" t="s">
        <v>195</v>
      </c>
      <c r="F32" s="7" t="s">
        <v>195</v>
      </c>
      <c r="G32" s="7" t="s">
        <v>195</v>
      </c>
      <c r="H32" s="7" t="s">
        <v>195</v>
      </c>
      <c r="I32" s="7" t="s">
        <v>195</v>
      </c>
      <c r="J32" s="7" t="s">
        <v>195</v>
      </c>
      <c r="K32" s="7" t="s">
        <v>195</v>
      </c>
      <c r="L32" s="7" t="s">
        <v>195</v>
      </c>
      <c r="M32" s="7" t="s">
        <v>29</v>
      </c>
      <c r="N32" s="7" t="s">
        <v>29</v>
      </c>
      <c r="O32" s="7" t="s">
        <v>29</v>
      </c>
      <c r="P32" s="7" t="s">
        <v>29</v>
      </c>
      <c r="Q32" s="7" t="s">
        <v>29</v>
      </c>
      <c r="R32" s="7" t="s">
        <v>29</v>
      </c>
      <c r="S32" s="7" t="s">
        <v>29</v>
      </c>
    </row>
    <row r="33" spans="2:19">
      <c r="B33" s="7" t="s">
        <v>195</v>
      </c>
      <c r="C33" s="8" t="s">
        <v>195</v>
      </c>
      <c r="D33" s="5" t="str">
        <f>LRTRIM(CONCATENATE(IF(SUMPRODUCT(-- ISNUMBER(SEARCH({"Auto Number"}, $B33))) &gt; 0, $B33, IF(SUMPRODUCT(-- ISNUMBER(SEARCH({"Lookup","Master-Detail"}, $B33))) &gt; 0,$B33 &amp; "(" &amp; $E33 &amp; ")",IF(SUMPRODUCT(-- ISNUMBER(SEARCH({"Formula","Roll-Up Summary"}, $B33))) &gt; 0,$B33 &amp; " (" &amp; $E33 &amp; ")",IF(SUMPRODUCT(-- ISNUMBER(SEARCH({"Content","Currency","Number","Percent","Text","URL"}, $B33))) &gt; 0,$B33 &amp; "(" &amp; $C33 &amp; ")",$B33)))), "  ", TRIM(IF($S33 = "YES", "(External ID)", "") &amp; " " &amp; IF(SUMPRODUCT(-- ISNUMBER(SEARCH({"Unique","Unique Case Insensitive"}, $R33))) &gt; 0, "(" &amp; $R33 &amp; ")", ""))))</f>
        <v>na</v>
      </c>
      <c r="E33" s="7" t="s">
        <v>195</v>
      </c>
      <c r="F33" s="7" t="s">
        <v>195</v>
      </c>
      <c r="G33" s="7" t="s">
        <v>195</v>
      </c>
      <c r="H33" s="7" t="s">
        <v>195</v>
      </c>
      <c r="I33" s="7" t="s">
        <v>195</v>
      </c>
      <c r="J33" s="7" t="s">
        <v>195</v>
      </c>
      <c r="K33" s="7" t="s">
        <v>195</v>
      </c>
      <c r="L33" s="7" t="s">
        <v>195</v>
      </c>
      <c r="M33" s="7" t="s">
        <v>29</v>
      </c>
      <c r="N33" s="7" t="s">
        <v>29</v>
      </c>
      <c r="O33" s="7" t="s">
        <v>29</v>
      </c>
      <c r="P33" s="7" t="s">
        <v>29</v>
      </c>
      <c r="Q33" s="7" t="s">
        <v>29</v>
      </c>
      <c r="R33" s="7" t="s">
        <v>29</v>
      </c>
      <c r="S33" s="7" t="s">
        <v>29</v>
      </c>
    </row>
    <row r="34" spans="2:19">
      <c r="B34" s="7" t="s">
        <v>195</v>
      </c>
      <c r="C34" s="8" t="s">
        <v>195</v>
      </c>
      <c r="D34" s="5" t="str">
        <f>LRTRIM(CONCATENATE(IF(SUMPRODUCT(-- ISNUMBER(SEARCH({"Auto Number"}, $B34))) &gt; 0, $B34, IF(SUMPRODUCT(-- ISNUMBER(SEARCH({"Lookup","Master-Detail"}, $B34))) &gt; 0,$B34 &amp; "(" &amp; $E34 &amp; ")",IF(SUMPRODUCT(-- ISNUMBER(SEARCH({"Formula","Roll-Up Summary"}, $B34))) &gt; 0,$B34 &amp; " (" &amp; $E34 &amp; ")",IF(SUMPRODUCT(-- ISNUMBER(SEARCH({"Content","Currency","Number","Percent","Text","URL"}, $B34))) &gt; 0,$B34 &amp; "(" &amp; $C34 &amp; ")",$B34)))), "  ", TRIM(IF($S34 = "YES", "(External ID)", "") &amp; " " &amp; IF(SUMPRODUCT(-- ISNUMBER(SEARCH({"Unique","Unique Case Insensitive"}, $R34))) &gt; 0, "(" &amp; $R34 &amp; ")", ""))))</f>
        <v>na</v>
      </c>
      <c r="E34" s="7" t="s">
        <v>195</v>
      </c>
      <c r="F34" s="7" t="s">
        <v>195</v>
      </c>
      <c r="G34" s="7" t="s">
        <v>195</v>
      </c>
      <c r="H34" s="7" t="s">
        <v>195</v>
      </c>
      <c r="I34" s="7" t="s">
        <v>195</v>
      </c>
      <c r="J34" s="7" t="s">
        <v>195</v>
      </c>
      <c r="K34" s="7" t="s">
        <v>195</v>
      </c>
      <c r="L34" s="7" t="s">
        <v>195</v>
      </c>
      <c r="M34" s="7" t="s">
        <v>29</v>
      </c>
      <c r="N34" s="7" t="s">
        <v>29</v>
      </c>
      <c r="O34" s="7" t="s">
        <v>29</v>
      </c>
      <c r="P34" s="7" t="s">
        <v>29</v>
      </c>
      <c r="Q34" s="7" t="s">
        <v>29</v>
      </c>
      <c r="R34" s="7" t="s">
        <v>29</v>
      </c>
      <c r="S34" s="7" t="s">
        <v>29</v>
      </c>
    </row>
    <row r="35" spans="2:19">
      <c r="B35" s="7" t="s">
        <v>195</v>
      </c>
      <c r="C35" s="8" t="s">
        <v>195</v>
      </c>
      <c r="D35" s="5" t="str">
        <f>LRTRIM(CONCATENATE(IF(SUMPRODUCT(-- ISNUMBER(SEARCH({"Auto Number"}, $B35))) &gt; 0, $B35, IF(SUMPRODUCT(-- ISNUMBER(SEARCH({"Lookup","Master-Detail"}, $B35))) &gt; 0,$B35 &amp; "(" &amp; $E35 &amp; ")",IF(SUMPRODUCT(-- ISNUMBER(SEARCH({"Formula","Roll-Up Summary"}, $B35))) &gt; 0,$B35 &amp; " (" &amp; $E35 &amp; ")",IF(SUMPRODUCT(-- ISNUMBER(SEARCH({"Content","Currency","Number","Percent","Text","URL"}, $B35))) &gt; 0,$B35 &amp; "(" &amp; $C35 &amp; ")",$B35)))), "  ", TRIM(IF($S35 = "YES", "(External ID)", "") &amp; " " &amp; IF(SUMPRODUCT(-- ISNUMBER(SEARCH({"Unique","Unique Case Insensitive"}, $R35))) &gt; 0, "(" &amp; $R35 &amp; ")", ""))))</f>
        <v>na</v>
      </c>
      <c r="E35" s="7" t="s">
        <v>195</v>
      </c>
      <c r="F35" s="7" t="s">
        <v>195</v>
      </c>
      <c r="G35" s="7" t="s">
        <v>195</v>
      </c>
      <c r="H35" s="7" t="s">
        <v>195</v>
      </c>
      <c r="I35" s="7" t="s">
        <v>195</v>
      </c>
      <c r="J35" s="7" t="s">
        <v>195</v>
      </c>
      <c r="K35" s="7" t="s">
        <v>195</v>
      </c>
      <c r="L35" s="7" t="s">
        <v>195</v>
      </c>
      <c r="M35" s="7" t="s">
        <v>29</v>
      </c>
      <c r="N35" s="7" t="s">
        <v>29</v>
      </c>
      <c r="O35" s="7" t="s">
        <v>29</v>
      </c>
      <c r="P35" s="7" t="s">
        <v>29</v>
      </c>
      <c r="Q35" s="7" t="s">
        <v>29</v>
      </c>
      <c r="R35" s="7" t="s">
        <v>29</v>
      </c>
      <c r="S35" s="7" t="s">
        <v>29</v>
      </c>
    </row>
    <row r="36" spans="2:19">
      <c r="B36" s="7" t="s">
        <v>195</v>
      </c>
      <c r="C36" s="8" t="s">
        <v>195</v>
      </c>
      <c r="D36" s="5" t="str">
        <f>LRTRIM(CONCATENATE(IF(SUMPRODUCT(-- ISNUMBER(SEARCH({"Auto Number"}, $B36))) &gt; 0, $B36, IF(SUMPRODUCT(-- ISNUMBER(SEARCH({"Lookup","Master-Detail"}, $B36))) &gt; 0,$B36 &amp; "(" &amp; $E36 &amp; ")",IF(SUMPRODUCT(-- ISNUMBER(SEARCH({"Formula","Roll-Up Summary"}, $B36))) &gt; 0,$B36 &amp; " (" &amp; $E36 &amp; ")",IF(SUMPRODUCT(-- ISNUMBER(SEARCH({"Content","Currency","Number","Percent","Text","URL"}, $B36))) &gt; 0,$B36 &amp; "(" &amp; $C36 &amp; ")",$B36)))), "  ", TRIM(IF($S36 = "YES", "(External ID)", "") &amp; " " &amp; IF(SUMPRODUCT(-- ISNUMBER(SEARCH({"Unique","Unique Case Insensitive"}, $R36))) &gt; 0, "(" &amp; $R36 &amp; ")", ""))))</f>
        <v>na</v>
      </c>
      <c r="E36" s="7" t="s">
        <v>195</v>
      </c>
      <c r="F36" s="7" t="s">
        <v>195</v>
      </c>
      <c r="G36" s="7" t="s">
        <v>195</v>
      </c>
      <c r="H36" s="7" t="s">
        <v>195</v>
      </c>
      <c r="I36" s="7" t="s">
        <v>195</v>
      </c>
      <c r="J36" s="7" t="s">
        <v>195</v>
      </c>
      <c r="K36" s="7" t="s">
        <v>195</v>
      </c>
      <c r="L36" s="7" t="s">
        <v>195</v>
      </c>
      <c r="M36" s="7" t="s">
        <v>29</v>
      </c>
      <c r="N36" s="7" t="s">
        <v>29</v>
      </c>
      <c r="O36" s="7" t="s">
        <v>29</v>
      </c>
      <c r="P36" s="7" t="s">
        <v>29</v>
      </c>
      <c r="Q36" s="7" t="s">
        <v>29</v>
      </c>
      <c r="R36" s="7" t="s">
        <v>29</v>
      </c>
      <c r="S36" s="7" t="s">
        <v>29</v>
      </c>
    </row>
    <row r="37" spans="2:19">
      <c r="B37" s="7" t="s">
        <v>195</v>
      </c>
      <c r="C37" s="8" t="s">
        <v>195</v>
      </c>
      <c r="D37" s="5" t="str">
        <f>LRTRIM(CONCATENATE(IF(SUMPRODUCT(-- ISNUMBER(SEARCH({"Auto Number"}, $B37))) &gt; 0, $B37, IF(SUMPRODUCT(-- ISNUMBER(SEARCH({"Lookup","Master-Detail"}, $B37))) &gt; 0,$B37 &amp; "(" &amp; $E37 &amp; ")",IF(SUMPRODUCT(-- ISNUMBER(SEARCH({"Formula","Roll-Up Summary"}, $B37))) &gt; 0,$B37 &amp; " (" &amp; $E37 &amp; ")",IF(SUMPRODUCT(-- ISNUMBER(SEARCH({"Content","Currency","Number","Percent","Text","URL"}, $B37))) &gt; 0,$B37 &amp; "(" &amp; $C37 &amp; ")",$B37)))), "  ", TRIM(IF($S37 = "YES", "(External ID)", "") &amp; " " &amp; IF(SUMPRODUCT(-- ISNUMBER(SEARCH({"Unique","Unique Case Insensitive"}, $R37))) &gt; 0, "(" &amp; $R37 &amp; ")", ""))))</f>
        <v>na</v>
      </c>
      <c r="E37" s="7" t="s">
        <v>195</v>
      </c>
      <c r="F37" s="7" t="s">
        <v>195</v>
      </c>
      <c r="G37" s="7" t="s">
        <v>195</v>
      </c>
      <c r="H37" s="7" t="s">
        <v>195</v>
      </c>
      <c r="I37" s="7" t="s">
        <v>195</v>
      </c>
      <c r="J37" s="7" t="s">
        <v>195</v>
      </c>
      <c r="K37" s="7" t="s">
        <v>195</v>
      </c>
      <c r="L37" s="7" t="s">
        <v>195</v>
      </c>
      <c r="M37" s="7" t="s">
        <v>29</v>
      </c>
      <c r="N37" s="7" t="s">
        <v>29</v>
      </c>
      <c r="O37" s="7" t="s">
        <v>29</v>
      </c>
      <c r="P37" s="7" t="s">
        <v>29</v>
      </c>
      <c r="Q37" s="7" t="s">
        <v>29</v>
      </c>
      <c r="R37" s="7" t="s">
        <v>29</v>
      </c>
      <c r="S37" s="7" t="s">
        <v>29</v>
      </c>
    </row>
    <row r="38" spans="2:19">
      <c r="B38" s="7" t="s">
        <v>195</v>
      </c>
      <c r="C38" s="8" t="s">
        <v>195</v>
      </c>
      <c r="D38" s="5" t="str">
        <f>LRTRIM(CONCATENATE(IF(SUMPRODUCT(-- ISNUMBER(SEARCH({"Auto Number"}, $B38))) &gt; 0, $B38, IF(SUMPRODUCT(-- ISNUMBER(SEARCH({"Lookup","Master-Detail"}, $B38))) &gt; 0,$B38 &amp; "(" &amp; $E38 &amp; ")",IF(SUMPRODUCT(-- ISNUMBER(SEARCH({"Formula","Roll-Up Summary"}, $B38))) &gt; 0,$B38 &amp; " (" &amp; $E38 &amp; ")",IF(SUMPRODUCT(-- ISNUMBER(SEARCH({"Content","Currency","Number","Percent","Text","URL"}, $B38))) &gt; 0,$B38 &amp; "(" &amp; $C38 &amp; ")",$B38)))), "  ", TRIM(IF($S38 = "YES", "(External ID)", "") &amp; " " &amp; IF(SUMPRODUCT(-- ISNUMBER(SEARCH({"Unique","Unique Case Insensitive"}, $R38))) &gt; 0, "(" &amp; $R38 &amp; ")", ""))))</f>
        <v>na</v>
      </c>
      <c r="E38" s="7" t="s">
        <v>195</v>
      </c>
      <c r="F38" s="7" t="s">
        <v>195</v>
      </c>
      <c r="G38" s="7" t="s">
        <v>195</v>
      </c>
      <c r="H38" s="7" t="s">
        <v>195</v>
      </c>
      <c r="I38" s="7" t="s">
        <v>195</v>
      </c>
      <c r="J38" s="7" t="s">
        <v>195</v>
      </c>
      <c r="K38" s="7" t="s">
        <v>195</v>
      </c>
      <c r="L38" s="7" t="s">
        <v>195</v>
      </c>
      <c r="M38" s="7" t="s">
        <v>29</v>
      </c>
      <c r="N38" s="7" t="s">
        <v>29</v>
      </c>
      <c r="O38" s="7" t="s">
        <v>29</v>
      </c>
      <c r="P38" s="7" t="s">
        <v>29</v>
      </c>
      <c r="Q38" s="7" t="s">
        <v>29</v>
      </c>
      <c r="R38" s="7" t="s">
        <v>29</v>
      </c>
      <c r="S38" s="7" t="s">
        <v>29</v>
      </c>
    </row>
    <row r="39" spans="2:19">
      <c r="B39" s="7" t="s">
        <v>195</v>
      </c>
      <c r="C39" s="8" t="s">
        <v>195</v>
      </c>
      <c r="D39" s="5" t="str">
        <f>LRTRIM(CONCATENATE(IF(SUMPRODUCT(-- ISNUMBER(SEARCH({"Auto Number"}, $B39))) &gt; 0, $B39, IF(SUMPRODUCT(-- ISNUMBER(SEARCH({"Lookup","Master-Detail"}, $B39))) &gt; 0,$B39 &amp; "(" &amp; $E39 &amp; ")",IF(SUMPRODUCT(-- ISNUMBER(SEARCH({"Formula","Roll-Up Summary"}, $B39))) &gt; 0,$B39 &amp; " (" &amp; $E39 &amp; ")",IF(SUMPRODUCT(-- ISNUMBER(SEARCH({"Content","Currency","Number","Percent","Text","URL"}, $B39))) &gt; 0,$B39 &amp; "(" &amp; $C39 &amp; ")",$B39)))), "  ", TRIM(IF($S39 = "YES", "(External ID)", "") &amp; " " &amp; IF(SUMPRODUCT(-- ISNUMBER(SEARCH({"Unique","Unique Case Insensitive"}, $R39))) &gt; 0, "(" &amp; $R39 &amp; ")", ""))))</f>
        <v>na</v>
      </c>
      <c r="E39" s="7" t="s">
        <v>195</v>
      </c>
      <c r="F39" s="7" t="s">
        <v>195</v>
      </c>
      <c r="G39" s="7" t="s">
        <v>195</v>
      </c>
      <c r="H39" s="7" t="s">
        <v>195</v>
      </c>
      <c r="I39" s="7" t="s">
        <v>195</v>
      </c>
      <c r="J39" s="7" t="s">
        <v>195</v>
      </c>
      <c r="K39" s="7" t="s">
        <v>195</v>
      </c>
      <c r="L39" s="7" t="s">
        <v>195</v>
      </c>
      <c r="M39" s="7" t="s">
        <v>29</v>
      </c>
      <c r="N39" s="7" t="s">
        <v>29</v>
      </c>
      <c r="O39" s="7" t="s">
        <v>29</v>
      </c>
      <c r="P39" s="7" t="s">
        <v>29</v>
      </c>
      <c r="Q39" s="7" t="s">
        <v>29</v>
      </c>
      <c r="R39" s="7" t="s">
        <v>29</v>
      </c>
      <c r="S39" s="7" t="s">
        <v>29</v>
      </c>
    </row>
    <row r="40" spans="2:19">
      <c r="B40" s="7" t="s">
        <v>195</v>
      </c>
      <c r="C40" s="8" t="s">
        <v>195</v>
      </c>
      <c r="D40" s="5" t="str">
        <f>LRTRIM(CONCATENATE(IF(SUMPRODUCT(-- ISNUMBER(SEARCH({"Auto Number"}, $B40))) &gt; 0, $B40, IF(SUMPRODUCT(-- ISNUMBER(SEARCH({"Lookup","Master-Detail"}, $B40))) &gt; 0,$B40 &amp; "(" &amp; $E40 &amp; ")",IF(SUMPRODUCT(-- ISNUMBER(SEARCH({"Formula","Roll-Up Summary"}, $B40))) &gt; 0,$B40 &amp; " (" &amp; $E40 &amp; ")",IF(SUMPRODUCT(-- ISNUMBER(SEARCH({"Content","Currency","Number","Percent","Text","URL"}, $B40))) &gt; 0,$B40 &amp; "(" &amp; $C40 &amp; ")",$B40)))), "  ", TRIM(IF($S40 = "YES", "(External ID)", "") &amp; " " &amp; IF(SUMPRODUCT(-- ISNUMBER(SEARCH({"Unique","Unique Case Insensitive"}, $R40))) &gt; 0, "(" &amp; $R40 &amp; ")", ""))))</f>
        <v>na</v>
      </c>
      <c r="E40" s="7" t="s">
        <v>195</v>
      </c>
      <c r="F40" s="7" t="s">
        <v>195</v>
      </c>
      <c r="G40" s="7" t="s">
        <v>195</v>
      </c>
      <c r="H40" s="7" t="s">
        <v>195</v>
      </c>
      <c r="I40" s="7" t="s">
        <v>195</v>
      </c>
      <c r="J40" s="7" t="s">
        <v>195</v>
      </c>
      <c r="K40" s="7" t="s">
        <v>195</v>
      </c>
      <c r="L40" s="7" t="s">
        <v>195</v>
      </c>
      <c r="M40" s="7" t="s">
        <v>29</v>
      </c>
      <c r="N40" s="7" t="s">
        <v>29</v>
      </c>
      <c r="O40" s="7" t="s">
        <v>29</v>
      </c>
      <c r="P40" s="7" t="s">
        <v>29</v>
      </c>
      <c r="Q40" s="7" t="s">
        <v>29</v>
      </c>
      <c r="R40" s="7" t="s">
        <v>29</v>
      </c>
      <c r="S40" s="7" t="s">
        <v>29</v>
      </c>
    </row>
    <row r="41" spans="2:19">
      <c r="B41" s="7" t="s">
        <v>195</v>
      </c>
      <c r="C41" s="8" t="s">
        <v>195</v>
      </c>
      <c r="D41" s="5" t="str">
        <f>LRTRIM(CONCATENATE(IF(SUMPRODUCT(-- ISNUMBER(SEARCH({"Auto Number"}, $B41))) &gt; 0, $B41, IF(SUMPRODUCT(-- ISNUMBER(SEARCH({"Lookup","Master-Detail"}, $B41))) &gt; 0,$B41 &amp; "(" &amp; $E41 &amp; ")",IF(SUMPRODUCT(-- ISNUMBER(SEARCH({"Formula","Roll-Up Summary"}, $B41))) &gt; 0,$B41 &amp; " (" &amp; $E41 &amp; ")",IF(SUMPRODUCT(-- ISNUMBER(SEARCH({"Content","Currency","Number","Percent","Text","URL"}, $B41))) &gt; 0,$B41 &amp; "(" &amp; $C41 &amp; ")",$B41)))), "  ", TRIM(IF($S41 = "YES", "(External ID)", "") &amp; " " &amp; IF(SUMPRODUCT(-- ISNUMBER(SEARCH({"Unique","Unique Case Insensitive"}, $R41))) &gt; 0, "(" &amp; $R41 &amp; ")", ""))))</f>
        <v>na</v>
      </c>
      <c r="E41" s="7" t="s">
        <v>195</v>
      </c>
      <c r="F41" s="7" t="s">
        <v>195</v>
      </c>
      <c r="G41" s="7" t="s">
        <v>195</v>
      </c>
      <c r="H41" s="7" t="s">
        <v>195</v>
      </c>
      <c r="I41" s="7" t="s">
        <v>195</v>
      </c>
      <c r="J41" s="7" t="s">
        <v>195</v>
      </c>
      <c r="K41" s="7" t="s">
        <v>195</v>
      </c>
      <c r="L41" s="7" t="s">
        <v>195</v>
      </c>
      <c r="M41" s="7" t="s">
        <v>29</v>
      </c>
      <c r="N41" s="7" t="s">
        <v>29</v>
      </c>
      <c r="O41" s="7" t="s">
        <v>29</v>
      </c>
      <c r="P41" s="7" t="s">
        <v>29</v>
      </c>
      <c r="Q41" s="7" t="s">
        <v>29</v>
      </c>
      <c r="R41" s="7" t="s">
        <v>29</v>
      </c>
      <c r="S41" s="7" t="s">
        <v>29</v>
      </c>
    </row>
    <row r="42" spans="2:19">
      <c r="B42" s="7" t="s">
        <v>195</v>
      </c>
      <c r="C42" s="8" t="s">
        <v>195</v>
      </c>
      <c r="D42" s="5" t="str">
        <f>LRTRIM(CONCATENATE(IF(SUMPRODUCT(-- ISNUMBER(SEARCH({"Auto Number"}, $B42))) &gt; 0, $B42, IF(SUMPRODUCT(-- ISNUMBER(SEARCH({"Lookup","Master-Detail"}, $B42))) &gt; 0,$B42 &amp; "(" &amp; $E42 &amp; ")",IF(SUMPRODUCT(-- ISNUMBER(SEARCH({"Formula","Roll-Up Summary"}, $B42))) &gt; 0,$B42 &amp; " (" &amp; $E42 &amp; ")",IF(SUMPRODUCT(-- ISNUMBER(SEARCH({"Content","Currency","Number","Percent","Text","URL"}, $B42))) &gt; 0,$B42 &amp; "(" &amp; $C42 &amp; ")",$B42)))), "  ", TRIM(IF($S42 = "YES", "(External ID)", "") &amp; " " &amp; IF(SUMPRODUCT(-- ISNUMBER(SEARCH({"Unique","Unique Case Insensitive"}, $R42))) &gt; 0, "(" &amp; $R42 &amp; ")", ""))))</f>
        <v>na</v>
      </c>
      <c r="E42" s="7" t="s">
        <v>195</v>
      </c>
      <c r="F42" s="7" t="s">
        <v>195</v>
      </c>
      <c r="G42" s="7" t="s">
        <v>195</v>
      </c>
      <c r="H42" s="7" t="s">
        <v>195</v>
      </c>
      <c r="I42" s="7" t="s">
        <v>195</v>
      </c>
      <c r="J42" s="7" t="s">
        <v>195</v>
      </c>
      <c r="K42" s="7" t="s">
        <v>195</v>
      </c>
      <c r="L42" s="7" t="s">
        <v>195</v>
      </c>
      <c r="M42" s="7" t="s">
        <v>29</v>
      </c>
      <c r="N42" s="7" t="s">
        <v>29</v>
      </c>
      <c r="O42" s="7" t="s">
        <v>29</v>
      </c>
      <c r="P42" s="7" t="s">
        <v>29</v>
      </c>
      <c r="Q42" s="7" t="s">
        <v>29</v>
      </c>
      <c r="R42" s="7" t="s">
        <v>29</v>
      </c>
      <c r="S42" s="7" t="s">
        <v>29</v>
      </c>
    </row>
    <row r="43" spans="2:19">
      <c r="B43" s="7" t="s">
        <v>195</v>
      </c>
      <c r="C43" s="8" t="s">
        <v>195</v>
      </c>
      <c r="D43" s="5" t="str">
        <f>LRTRIM(CONCATENATE(IF(SUMPRODUCT(-- ISNUMBER(SEARCH({"Auto Number"}, $B43))) &gt; 0, $B43, IF(SUMPRODUCT(-- ISNUMBER(SEARCH({"Lookup","Master-Detail"}, $B43))) &gt; 0,$B43 &amp; "(" &amp; $E43 &amp; ")",IF(SUMPRODUCT(-- ISNUMBER(SEARCH({"Formula","Roll-Up Summary"}, $B43))) &gt; 0,$B43 &amp; " (" &amp; $E43 &amp; ")",IF(SUMPRODUCT(-- ISNUMBER(SEARCH({"Content","Currency","Number","Percent","Text","URL"}, $B43))) &gt; 0,$B43 &amp; "(" &amp; $C43 &amp; ")",$B43)))), "  ", TRIM(IF($S43 = "YES", "(External ID)", "") &amp; " " &amp; IF(SUMPRODUCT(-- ISNUMBER(SEARCH({"Unique","Unique Case Insensitive"}, $R43))) &gt; 0, "(" &amp; $R43 &amp; ")", ""))))</f>
        <v>na</v>
      </c>
      <c r="E43" s="7" t="s">
        <v>195</v>
      </c>
      <c r="F43" s="7" t="s">
        <v>195</v>
      </c>
      <c r="G43" s="7" t="s">
        <v>195</v>
      </c>
      <c r="H43" s="7" t="s">
        <v>195</v>
      </c>
      <c r="I43" s="7" t="s">
        <v>195</v>
      </c>
      <c r="J43" s="7" t="s">
        <v>195</v>
      </c>
      <c r="K43" s="7" t="s">
        <v>195</v>
      </c>
      <c r="L43" s="7" t="s">
        <v>195</v>
      </c>
      <c r="M43" s="7" t="s">
        <v>29</v>
      </c>
      <c r="N43" s="7" t="s">
        <v>29</v>
      </c>
      <c r="O43" s="7" t="s">
        <v>29</v>
      </c>
      <c r="P43" s="7" t="s">
        <v>29</v>
      </c>
      <c r="Q43" s="7" t="s">
        <v>29</v>
      </c>
      <c r="R43" s="7" t="s">
        <v>29</v>
      </c>
      <c r="S43" s="7" t="s">
        <v>29</v>
      </c>
    </row>
    <row r="44" spans="2:19">
      <c r="B44" s="7" t="s">
        <v>195</v>
      </c>
      <c r="C44" s="8" t="s">
        <v>195</v>
      </c>
      <c r="D44" s="5" t="str">
        <f>LRTRIM(CONCATENATE(IF(SUMPRODUCT(-- ISNUMBER(SEARCH({"Auto Number"}, $B44))) &gt; 0, $B44, IF(SUMPRODUCT(-- ISNUMBER(SEARCH({"Lookup","Master-Detail"}, $B44))) &gt; 0,$B44 &amp; "(" &amp; $E44 &amp; ")",IF(SUMPRODUCT(-- ISNUMBER(SEARCH({"Formula","Roll-Up Summary"}, $B44))) &gt; 0,$B44 &amp; " (" &amp; $E44 &amp; ")",IF(SUMPRODUCT(-- ISNUMBER(SEARCH({"Content","Currency","Number","Percent","Text","URL"}, $B44))) &gt; 0,$B44 &amp; "(" &amp; $C44 &amp; ")",$B44)))), "  ", TRIM(IF($S44 = "YES", "(External ID)", "") &amp; " " &amp; IF(SUMPRODUCT(-- ISNUMBER(SEARCH({"Unique","Unique Case Insensitive"}, $R44))) &gt; 0, "(" &amp; $R44 &amp; ")", ""))))</f>
        <v>na</v>
      </c>
      <c r="E44" s="7" t="s">
        <v>195</v>
      </c>
      <c r="F44" s="7" t="s">
        <v>195</v>
      </c>
      <c r="G44" s="7" t="s">
        <v>195</v>
      </c>
      <c r="H44" s="7" t="s">
        <v>195</v>
      </c>
      <c r="I44" s="7" t="s">
        <v>195</v>
      </c>
      <c r="J44" s="7" t="s">
        <v>195</v>
      </c>
      <c r="K44" s="7" t="s">
        <v>195</v>
      </c>
      <c r="L44" s="7" t="s">
        <v>195</v>
      </c>
      <c r="M44" s="7" t="s">
        <v>29</v>
      </c>
      <c r="N44" s="7" t="s">
        <v>29</v>
      </c>
      <c r="O44" s="7" t="s">
        <v>29</v>
      </c>
      <c r="P44" s="7" t="s">
        <v>29</v>
      </c>
      <c r="Q44" s="7" t="s">
        <v>29</v>
      </c>
      <c r="R44" s="7" t="s">
        <v>29</v>
      </c>
      <c r="S44" s="7" t="s">
        <v>29</v>
      </c>
    </row>
    <row r="45" spans="2:19">
      <c r="B45" s="7" t="s">
        <v>195</v>
      </c>
      <c r="C45" s="8" t="s">
        <v>195</v>
      </c>
      <c r="D45" s="5" t="str">
        <f>LRTRIM(CONCATENATE(IF(SUMPRODUCT(-- ISNUMBER(SEARCH({"Auto Number"}, $B45))) &gt; 0, $B45, IF(SUMPRODUCT(-- ISNUMBER(SEARCH({"Lookup","Master-Detail"}, $B45))) &gt; 0,$B45 &amp; "(" &amp; $E45 &amp; ")",IF(SUMPRODUCT(-- ISNUMBER(SEARCH({"Formula","Roll-Up Summary"}, $B45))) &gt; 0,$B45 &amp; " (" &amp; $E45 &amp; ")",IF(SUMPRODUCT(-- ISNUMBER(SEARCH({"Content","Currency","Number","Percent","Text","URL"}, $B45))) &gt; 0,$B45 &amp; "(" &amp; $C45 &amp; ")",$B45)))), "  ", TRIM(IF($S45 = "YES", "(External ID)", "") &amp; " " &amp; IF(SUMPRODUCT(-- ISNUMBER(SEARCH({"Unique","Unique Case Insensitive"}, $R45))) &gt; 0, "(" &amp; $R45 &amp; ")", ""))))</f>
        <v>na</v>
      </c>
      <c r="E45" s="7" t="s">
        <v>195</v>
      </c>
      <c r="F45" s="7" t="s">
        <v>195</v>
      </c>
      <c r="G45" s="7" t="s">
        <v>195</v>
      </c>
      <c r="H45" s="7" t="s">
        <v>195</v>
      </c>
      <c r="I45" s="7" t="s">
        <v>195</v>
      </c>
      <c r="J45" s="7" t="s">
        <v>195</v>
      </c>
      <c r="K45" s="7" t="s">
        <v>195</v>
      </c>
      <c r="L45" s="7" t="s">
        <v>195</v>
      </c>
      <c r="M45" s="7" t="s">
        <v>29</v>
      </c>
      <c r="N45" s="7" t="s">
        <v>29</v>
      </c>
      <c r="O45" s="7" t="s">
        <v>29</v>
      </c>
      <c r="P45" s="7" t="s">
        <v>29</v>
      </c>
      <c r="Q45" s="7" t="s">
        <v>29</v>
      </c>
      <c r="R45" s="7" t="s">
        <v>29</v>
      </c>
      <c r="S45" s="7" t="s">
        <v>29</v>
      </c>
    </row>
    <row r="46" spans="2:19">
      <c r="B46" s="7" t="s">
        <v>195</v>
      </c>
      <c r="C46" s="8" t="s">
        <v>195</v>
      </c>
      <c r="D46" s="5" t="str">
        <f>LRTRIM(CONCATENATE(IF(SUMPRODUCT(-- ISNUMBER(SEARCH({"Auto Number"}, $B46))) &gt; 0, $B46, IF(SUMPRODUCT(-- ISNUMBER(SEARCH({"Lookup","Master-Detail"}, $B46))) &gt; 0,$B46 &amp; "(" &amp; $E46 &amp; ")",IF(SUMPRODUCT(-- ISNUMBER(SEARCH({"Formula","Roll-Up Summary"}, $B46))) &gt; 0,$B46 &amp; " (" &amp; $E46 &amp; ")",IF(SUMPRODUCT(-- ISNUMBER(SEARCH({"Content","Currency","Number","Percent","Text","URL"}, $B46))) &gt; 0,$B46 &amp; "(" &amp; $C46 &amp; ")",$B46)))), "  ", TRIM(IF($S46 = "YES", "(External ID)", "") &amp; " " &amp; IF(SUMPRODUCT(-- ISNUMBER(SEARCH({"Unique","Unique Case Insensitive"}, $R46))) &gt; 0, "(" &amp; $R46 &amp; ")", ""))))</f>
        <v>na</v>
      </c>
      <c r="E46" s="7" t="s">
        <v>195</v>
      </c>
      <c r="F46" s="7" t="s">
        <v>195</v>
      </c>
      <c r="G46" s="7" t="s">
        <v>195</v>
      </c>
      <c r="H46" s="7" t="s">
        <v>195</v>
      </c>
      <c r="I46" s="7" t="s">
        <v>195</v>
      </c>
      <c r="J46" s="7" t="s">
        <v>195</v>
      </c>
      <c r="K46" s="7" t="s">
        <v>195</v>
      </c>
      <c r="L46" s="7" t="s">
        <v>195</v>
      </c>
      <c r="M46" s="7" t="s">
        <v>29</v>
      </c>
      <c r="N46" s="7" t="s">
        <v>29</v>
      </c>
      <c r="O46" s="7" t="s">
        <v>29</v>
      </c>
      <c r="P46" s="7" t="s">
        <v>29</v>
      </c>
      <c r="Q46" s="7" t="s">
        <v>29</v>
      </c>
      <c r="R46" s="7" t="s">
        <v>29</v>
      </c>
      <c r="S46" s="7" t="s">
        <v>29</v>
      </c>
    </row>
    <row r="47" spans="2:19">
      <c r="B47" s="7" t="s">
        <v>195</v>
      </c>
      <c r="C47" s="8" t="s">
        <v>195</v>
      </c>
      <c r="D47" s="5" t="str">
        <f>LRTRIM(CONCATENATE(IF(SUMPRODUCT(-- ISNUMBER(SEARCH({"Auto Number"}, $B47))) &gt; 0, $B47, IF(SUMPRODUCT(-- ISNUMBER(SEARCH({"Lookup","Master-Detail"}, $B47))) &gt; 0,$B47 &amp; "(" &amp; $E47 &amp; ")",IF(SUMPRODUCT(-- ISNUMBER(SEARCH({"Formula","Roll-Up Summary"}, $B47))) &gt; 0,$B47 &amp; " (" &amp; $E47 &amp; ")",IF(SUMPRODUCT(-- ISNUMBER(SEARCH({"Content","Currency","Number","Percent","Text","URL"}, $B47))) &gt; 0,$B47 &amp; "(" &amp; $C47 &amp; ")",$B47)))), "  ", TRIM(IF($S47 = "YES", "(External ID)", "") &amp; " " &amp; IF(SUMPRODUCT(-- ISNUMBER(SEARCH({"Unique","Unique Case Insensitive"}, $R47))) &gt; 0, "(" &amp; $R47 &amp; ")", ""))))</f>
        <v>na</v>
      </c>
      <c r="E47" s="7" t="s">
        <v>195</v>
      </c>
      <c r="F47" s="7" t="s">
        <v>195</v>
      </c>
      <c r="G47" s="7" t="s">
        <v>195</v>
      </c>
      <c r="H47" s="7" t="s">
        <v>195</v>
      </c>
      <c r="I47" s="7" t="s">
        <v>195</v>
      </c>
      <c r="J47" s="7" t="s">
        <v>195</v>
      </c>
      <c r="K47" s="7" t="s">
        <v>195</v>
      </c>
      <c r="L47" s="7" t="s">
        <v>195</v>
      </c>
      <c r="M47" s="7" t="s">
        <v>29</v>
      </c>
      <c r="N47" s="7" t="s">
        <v>29</v>
      </c>
      <c r="O47" s="7" t="s">
        <v>29</v>
      </c>
      <c r="P47" s="7" t="s">
        <v>29</v>
      </c>
      <c r="Q47" s="7" t="s">
        <v>29</v>
      </c>
      <c r="R47" s="7" t="s">
        <v>29</v>
      </c>
      <c r="S47" s="7" t="s">
        <v>29</v>
      </c>
    </row>
    <row r="48" spans="2:19">
      <c r="B48" s="7" t="s">
        <v>195</v>
      </c>
      <c r="C48" s="8" t="s">
        <v>195</v>
      </c>
      <c r="D48" s="5" t="str">
        <f>LRTRIM(CONCATENATE(IF(SUMPRODUCT(-- ISNUMBER(SEARCH({"Auto Number"}, $B48))) &gt; 0, $B48, IF(SUMPRODUCT(-- ISNUMBER(SEARCH({"Lookup","Master-Detail"}, $B48))) &gt; 0,$B48 &amp; "(" &amp; $E48 &amp; ")",IF(SUMPRODUCT(-- ISNUMBER(SEARCH({"Formula","Roll-Up Summary"}, $B48))) &gt; 0,$B48 &amp; " (" &amp; $E48 &amp; ")",IF(SUMPRODUCT(-- ISNUMBER(SEARCH({"Content","Currency","Number","Percent","Text","URL"}, $B48))) &gt; 0,$B48 &amp; "(" &amp; $C48 &amp; ")",$B48)))), "  ", TRIM(IF($S48 = "YES", "(External ID)", "") &amp; " " &amp; IF(SUMPRODUCT(-- ISNUMBER(SEARCH({"Unique","Unique Case Insensitive"}, $R48))) &gt; 0, "(" &amp; $R48 &amp; ")", ""))))</f>
        <v>na</v>
      </c>
      <c r="E48" s="7" t="s">
        <v>195</v>
      </c>
      <c r="F48" s="7" t="s">
        <v>195</v>
      </c>
      <c r="G48" s="7" t="s">
        <v>195</v>
      </c>
      <c r="H48" s="7" t="s">
        <v>195</v>
      </c>
      <c r="I48" s="7" t="s">
        <v>195</v>
      </c>
      <c r="J48" s="7" t="s">
        <v>195</v>
      </c>
      <c r="K48" s="7" t="s">
        <v>195</v>
      </c>
      <c r="L48" s="7" t="s">
        <v>195</v>
      </c>
      <c r="M48" s="7" t="s">
        <v>29</v>
      </c>
      <c r="N48" s="7" t="s">
        <v>29</v>
      </c>
      <c r="O48" s="7" t="s">
        <v>29</v>
      </c>
      <c r="P48" s="7" t="s">
        <v>29</v>
      </c>
      <c r="Q48" s="7" t="s">
        <v>29</v>
      </c>
      <c r="R48" s="7" t="s">
        <v>29</v>
      </c>
      <c r="S48" s="7" t="s">
        <v>29</v>
      </c>
    </row>
    <row r="49" spans="2:19">
      <c r="B49" s="7" t="s">
        <v>195</v>
      </c>
      <c r="C49" s="8" t="s">
        <v>195</v>
      </c>
      <c r="D49" s="5" t="str">
        <f>LRTRIM(CONCATENATE(IF(SUMPRODUCT(-- ISNUMBER(SEARCH({"Auto Number"}, $B49))) &gt; 0, $B49, IF(SUMPRODUCT(-- ISNUMBER(SEARCH({"Lookup","Master-Detail"}, $B49))) &gt; 0,$B49 &amp; "(" &amp; $E49 &amp; ")",IF(SUMPRODUCT(-- ISNUMBER(SEARCH({"Formula","Roll-Up Summary"}, $B49))) &gt; 0,$B49 &amp; " (" &amp; $E49 &amp; ")",IF(SUMPRODUCT(-- ISNUMBER(SEARCH({"Content","Currency","Number","Percent","Text","URL"}, $B49))) &gt; 0,$B49 &amp; "(" &amp; $C49 &amp; ")",$B49)))), "  ", TRIM(IF($S49 = "YES", "(External ID)", "") &amp; " " &amp; IF(SUMPRODUCT(-- ISNUMBER(SEARCH({"Unique","Unique Case Insensitive"}, $R49))) &gt; 0, "(" &amp; $R49 &amp; ")", ""))))</f>
        <v>na</v>
      </c>
      <c r="E49" s="7" t="s">
        <v>195</v>
      </c>
      <c r="F49" s="7" t="s">
        <v>195</v>
      </c>
      <c r="G49" s="7" t="s">
        <v>195</v>
      </c>
      <c r="H49" s="7" t="s">
        <v>195</v>
      </c>
      <c r="I49" s="7" t="s">
        <v>195</v>
      </c>
      <c r="J49" s="7" t="s">
        <v>195</v>
      </c>
      <c r="K49" s="7" t="s">
        <v>195</v>
      </c>
      <c r="L49" s="7" t="s">
        <v>195</v>
      </c>
      <c r="M49" s="7" t="s">
        <v>29</v>
      </c>
      <c r="N49" s="7" t="s">
        <v>29</v>
      </c>
      <c r="O49" s="7" t="s">
        <v>29</v>
      </c>
      <c r="P49" s="7" t="s">
        <v>29</v>
      </c>
      <c r="Q49" s="7" t="s">
        <v>29</v>
      </c>
      <c r="R49" s="7" t="s">
        <v>29</v>
      </c>
      <c r="S49" s="7" t="s">
        <v>29</v>
      </c>
    </row>
    <row r="50" spans="2:19">
      <c r="B50" s="7" t="s">
        <v>195</v>
      </c>
      <c r="C50" s="8" t="s">
        <v>195</v>
      </c>
      <c r="D50" s="5" t="str">
        <f>LRTRIM(CONCATENATE(IF(SUMPRODUCT(-- ISNUMBER(SEARCH({"Auto Number"}, $B50))) &gt; 0, $B50, IF(SUMPRODUCT(-- ISNUMBER(SEARCH({"Lookup","Master-Detail"}, $B50))) &gt; 0,$B50 &amp; "(" &amp; $E50 &amp; ")",IF(SUMPRODUCT(-- ISNUMBER(SEARCH({"Formula","Roll-Up Summary"}, $B50))) &gt; 0,$B50 &amp; " (" &amp; $E50 &amp; ")",IF(SUMPRODUCT(-- ISNUMBER(SEARCH({"Content","Currency","Number","Percent","Text","URL"}, $B50))) &gt; 0,$B50 &amp; "(" &amp; $C50 &amp; ")",$B50)))), "  ", TRIM(IF($S50 = "YES", "(External ID)", "") &amp; " " &amp; IF(SUMPRODUCT(-- ISNUMBER(SEARCH({"Unique","Unique Case Insensitive"}, $R50))) &gt; 0, "(" &amp; $R50 &amp; ")", ""))))</f>
        <v>na</v>
      </c>
      <c r="E50" s="7" t="s">
        <v>195</v>
      </c>
      <c r="F50" s="7" t="s">
        <v>195</v>
      </c>
      <c r="G50" s="7" t="s">
        <v>195</v>
      </c>
      <c r="H50" s="7" t="s">
        <v>195</v>
      </c>
      <c r="I50" s="7" t="s">
        <v>195</v>
      </c>
      <c r="J50" s="7" t="s">
        <v>195</v>
      </c>
      <c r="K50" s="7" t="s">
        <v>195</v>
      </c>
      <c r="L50" s="7" t="s">
        <v>195</v>
      </c>
      <c r="M50" s="7" t="s">
        <v>29</v>
      </c>
      <c r="N50" s="7" t="s">
        <v>29</v>
      </c>
      <c r="O50" s="7" t="s">
        <v>29</v>
      </c>
      <c r="P50" s="7" t="s">
        <v>29</v>
      </c>
      <c r="Q50" s="7" t="s">
        <v>29</v>
      </c>
      <c r="R50" s="7" t="s">
        <v>29</v>
      </c>
      <c r="S50" s="7" t="s">
        <v>29</v>
      </c>
    </row>
    <row r="51" spans="2:19">
      <c r="B51" s="7" t="s">
        <v>195</v>
      </c>
      <c r="C51" s="8" t="s">
        <v>195</v>
      </c>
      <c r="D51" s="5" t="str">
        <f>LRTRIM(CONCATENATE(IF(SUMPRODUCT(-- ISNUMBER(SEARCH({"Auto Number"}, $B51))) &gt; 0, $B51, IF(SUMPRODUCT(-- ISNUMBER(SEARCH({"Lookup","Master-Detail"}, $B51))) &gt; 0,$B51 &amp; "(" &amp; $E51 &amp; ")",IF(SUMPRODUCT(-- ISNUMBER(SEARCH({"Formula","Roll-Up Summary"}, $B51))) &gt; 0,$B51 &amp; " (" &amp; $E51 &amp; ")",IF(SUMPRODUCT(-- ISNUMBER(SEARCH({"Content","Currency","Number","Percent","Text","URL"}, $B51))) &gt; 0,$B51 &amp; "(" &amp; $C51 &amp; ")",$B51)))), "  ", TRIM(IF($S51 = "YES", "(External ID)", "") &amp; " " &amp; IF(SUMPRODUCT(-- ISNUMBER(SEARCH({"Unique","Unique Case Insensitive"}, $R51))) &gt; 0, "(" &amp; $R51 &amp; ")", ""))))</f>
        <v>na</v>
      </c>
      <c r="E51" s="7" t="s">
        <v>195</v>
      </c>
      <c r="F51" s="7" t="s">
        <v>195</v>
      </c>
      <c r="G51" s="7" t="s">
        <v>195</v>
      </c>
      <c r="H51" s="7" t="s">
        <v>195</v>
      </c>
      <c r="I51" s="7" t="s">
        <v>195</v>
      </c>
      <c r="J51" s="7" t="s">
        <v>195</v>
      </c>
      <c r="K51" s="7" t="s">
        <v>195</v>
      </c>
      <c r="L51" s="7" t="s">
        <v>195</v>
      </c>
      <c r="M51" s="7" t="s">
        <v>29</v>
      </c>
      <c r="N51" s="7" t="s">
        <v>29</v>
      </c>
      <c r="O51" s="7" t="s">
        <v>29</v>
      </c>
      <c r="P51" s="7" t="s">
        <v>29</v>
      </c>
      <c r="Q51" s="7" t="s">
        <v>29</v>
      </c>
      <c r="R51" s="7" t="s">
        <v>29</v>
      </c>
      <c r="S51" s="7" t="s">
        <v>29</v>
      </c>
    </row>
    <row r="52" spans="2:19">
      <c r="B52" s="7" t="s">
        <v>195</v>
      </c>
      <c r="C52" s="8" t="s">
        <v>195</v>
      </c>
      <c r="D52" s="5" t="str">
        <f>LRTRIM(CONCATENATE(IF(SUMPRODUCT(-- ISNUMBER(SEARCH({"Auto Number"}, $B52))) &gt; 0, $B52, IF(SUMPRODUCT(-- ISNUMBER(SEARCH({"Lookup","Master-Detail"}, $B52))) &gt; 0,$B52 &amp; "(" &amp; $E52 &amp; ")",IF(SUMPRODUCT(-- ISNUMBER(SEARCH({"Formula","Roll-Up Summary"}, $B52))) &gt; 0,$B52 &amp; " (" &amp; $E52 &amp; ")",IF(SUMPRODUCT(-- ISNUMBER(SEARCH({"Content","Currency","Number","Percent","Text","URL"}, $B52))) &gt; 0,$B52 &amp; "(" &amp; $C52 &amp; ")",$B52)))), "  ", TRIM(IF($S52 = "YES", "(External ID)", "") &amp; " " &amp; IF(SUMPRODUCT(-- ISNUMBER(SEARCH({"Unique","Unique Case Insensitive"}, $R52))) &gt; 0, "(" &amp; $R52 &amp; ")", ""))))</f>
        <v>na</v>
      </c>
      <c r="E52" s="7" t="s">
        <v>195</v>
      </c>
      <c r="F52" s="7" t="s">
        <v>195</v>
      </c>
      <c r="G52" s="7" t="s">
        <v>195</v>
      </c>
      <c r="H52" s="7" t="s">
        <v>195</v>
      </c>
      <c r="I52" s="7" t="s">
        <v>195</v>
      </c>
      <c r="J52" s="7" t="s">
        <v>195</v>
      </c>
      <c r="K52" s="7" t="s">
        <v>195</v>
      </c>
      <c r="L52" s="7" t="s">
        <v>195</v>
      </c>
      <c r="M52" s="7" t="s">
        <v>29</v>
      </c>
      <c r="N52" s="7" t="s">
        <v>29</v>
      </c>
      <c r="O52" s="7" t="s">
        <v>29</v>
      </c>
      <c r="P52" s="7" t="s">
        <v>29</v>
      </c>
      <c r="Q52" s="7" t="s">
        <v>29</v>
      </c>
      <c r="R52" s="7" t="s">
        <v>29</v>
      </c>
      <c r="S52" s="7" t="s">
        <v>29</v>
      </c>
    </row>
    <row r="53" spans="2:19">
      <c r="B53" s="7" t="s">
        <v>195</v>
      </c>
      <c r="C53" s="8" t="s">
        <v>195</v>
      </c>
      <c r="D53" s="5" t="str">
        <f>LRTRIM(CONCATENATE(IF(SUMPRODUCT(-- ISNUMBER(SEARCH({"Auto Number"}, $B53))) &gt; 0, $B53, IF(SUMPRODUCT(-- ISNUMBER(SEARCH({"Lookup","Master-Detail"}, $B53))) &gt; 0,$B53 &amp; "(" &amp; $E53 &amp; ")",IF(SUMPRODUCT(-- ISNUMBER(SEARCH({"Formula","Roll-Up Summary"}, $B53))) &gt; 0,$B53 &amp; " (" &amp; $E53 &amp; ")",IF(SUMPRODUCT(-- ISNUMBER(SEARCH({"Content","Currency","Number","Percent","Text","URL"}, $B53))) &gt; 0,$B53 &amp; "(" &amp; $C53 &amp; ")",$B53)))), "  ", TRIM(IF($S53 = "YES", "(External ID)", "") &amp; " " &amp; IF(SUMPRODUCT(-- ISNUMBER(SEARCH({"Unique","Unique Case Insensitive"}, $R53))) &gt; 0, "(" &amp; $R53 &amp; ")", ""))))</f>
        <v>na</v>
      </c>
      <c r="E53" s="7" t="s">
        <v>195</v>
      </c>
      <c r="F53" s="7" t="s">
        <v>195</v>
      </c>
      <c r="G53" s="7" t="s">
        <v>195</v>
      </c>
      <c r="H53" s="7" t="s">
        <v>195</v>
      </c>
      <c r="I53" s="7" t="s">
        <v>195</v>
      </c>
      <c r="J53" s="7" t="s">
        <v>195</v>
      </c>
      <c r="K53" s="7" t="s">
        <v>195</v>
      </c>
      <c r="L53" s="7" t="s">
        <v>195</v>
      </c>
      <c r="M53" s="7" t="s">
        <v>29</v>
      </c>
      <c r="N53" s="7" t="s">
        <v>29</v>
      </c>
      <c r="O53" s="7" t="s">
        <v>29</v>
      </c>
      <c r="P53" s="7" t="s">
        <v>29</v>
      </c>
      <c r="Q53" s="7" t="s">
        <v>29</v>
      </c>
      <c r="R53" s="7" t="s">
        <v>29</v>
      </c>
      <c r="S53" s="7" t="s">
        <v>29</v>
      </c>
    </row>
    <row r="54" spans="2:19">
      <c r="B54" s="7" t="s">
        <v>195</v>
      </c>
      <c r="C54" s="8" t="s">
        <v>195</v>
      </c>
      <c r="D54" s="5" t="str">
        <f>LRTRIM(CONCATENATE(IF(SUMPRODUCT(-- ISNUMBER(SEARCH({"Auto Number"}, $B54))) &gt; 0, $B54, IF(SUMPRODUCT(-- ISNUMBER(SEARCH({"Lookup","Master-Detail"}, $B54))) &gt; 0,$B54 &amp; "(" &amp; $E54 &amp; ")",IF(SUMPRODUCT(-- ISNUMBER(SEARCH({"Formula","Roll-Up Summary"}, $B54))) &gt; 0,$B54 &amp; " (" &amp; $E54 &amp; ")",IF(SUMPRODUCT(-- ISNUMBER(SEARCH({"Content","Currency","Number","Percent","Text","URL"}, $B54))) &gt; 0,$B54 &amp; "(" &amp; $C54 &amp; ")",$B54)))), "  ", TRIM(IF($S54 = "YES", "(External ID)", "") &amp; " " &amp; IF(SUMPRODUCT(-- ISNUMBER(SEARCH({"Unique","Unique Case Insensitive"}, $R54))) &gt; 0, "(" &amp; $R54 &amp; ")", ""))))</f>
        <v>na</v>
      </c>
      <c r="E54" s="7" t="s">
        <v>195</v>
      </c>
      <c r="F54" s="7" t="s">
        <v>195</v>
      </c>
      <c r="G54" s="7" t="s">
        <v>195</v>
      </c>
      <c r="H54" s="7" t="s">
        <v>195</v>
      </c>
      <c r="I54" s="7" t="s">
        <v>195</v>
      </c>
      <c r="J54" s="7" t="s">
        <v>195</v>
      </c>
      <c r="K54" s="7" t="s">
        <v>195</v>
      </c>
      <c r="L54" s="7" t="s">
        <v>195</v>
      </c>
      <c r="M54" s="7" t="s">
        <v>29</v>
      </c>
      <c r="N54" s="7" t="s">
        <v>29</v>
      </c>
      <c r="O54" s="7" t="s">
        <v>29</v>
      </c>
      <c r="P54" s="7" t="s">
        <v>29</v>
      </c>
      <c r="Q54" s="7" t="s">
        <v>29</v>
      </c>
      <c r="R54" s="7" t="s">
        <v>29</v>
      </c>
      <c r="S54" s="7" t="s">
        <v>29</v>
      </c>
    </row>
    <row r="55" spans="2:19">
      <c r="B55" s="7" t="s">
        <v>195</v>
      </c>
      <c r="C55" s="8" t="s">
        <v>195</v>
      </c>
      <c r="D55" s="5" t="str">
        <f>LRTRIM(CONCATENATE(IF(SUMPRODUCT(-- ISNUMBER(SEARCH({"Auto Number"}, $B55))) &gt; 0, $B55, IF(SUMPRODUCT(-- ISNUMBER(SEARCH({"Lookup","Master-Detail"}, $B55))) &gt; 0,$B55 &amp; "(" &amp; $E55 &amp; ")",IF(SUMPRODUCT(-- ISNUMBER(SEARCH({"Formula","Roll-Up Summary"}, $B55))) &gt; 0,$B55 &amp; " (" &amp; $E55 &amp; ")",IF(SUMPRODUCT(-- ISNUMBER(SEARCH({"Content","Currency","Number","Percent","Text","URL"}, $B55))) &gt; 0,$B55 &amp; "(" &amp; $C55 &amp; ")",$B55)))), "  ", TRIM(IF($S55 = "YES", "(External ID)", "") &amp; " " &amp; IF(SUMPRODUCT(-- ISNUMBER(SEARCH({"Unique","Unique Case Insensitive"}, $R55))) &gt; 0, "(" &amp; $R55 &amp; ")", ""))))</f>
        <v>na</v>
      </c>
      <c r="E55" s="7" t="s">
        <v>195</v>
      </c>
      <c r="F55" s="7" t="s">
        <v>195</v>
      </c>
      <c r="G55" s="7" t="s">
        <v>195</v>
      </c>
      <c r="H55" s="7" t="s">
        <v>195</v>
      </c>
      <c r="I55" s="7" t="s">
        <v>195</v>
      </c>
      <c r="J55" s="7" t="s">
        <v>195</v>
      </c>
      <c r="K55" s="7" t="s">
        <v>195</v>
      </c>
      <c r="L55" s="7" t="s">
        <v>195</v>
      </c>
      <c r="M55" s="7" t="s">
        <v>29</v>
      </c>
      <c r="N55" s="7" t="s">
        <v>29</v>
      </c>
      <c r="O55" s="7" t="s">
        <v>29</v>
      </c>
      <c r="P55" s="7" t="s">
        <v>29</v>
      </c>
      <c r="Q55" s="7" t="s">
        <v>29</v>
      </c>
      <c r="R55" s="7" t="s">
        <v>29</v>
      </c>
      <c r="S55" s="7" t="s">
        <v>29</v>
      </c>
    </row>
    <row r="56" spans="2:19">
      <c r="B56" s="7" t="s">
        <v>195</v>
      </c>
      <c r="C56" s="8" t="s">
        <v>195</v>
      </c>
      <c r="D56" s="5" t="str">
        <f>LRTRIM(CONCATENATE(IF(SUMPRODUCT(-- ISNUMBER(SEARCH({"Auto Number"}, $B56))) &gt; 0, $B56, IF(SUMPRODUCT(-- ISNUMBER(SEARCH({"Lookup","Master-Detail"}, $B56))) &gt; 0,$B56 &amp; "(" &amp; $E56 &amp; ")",IF(SUMPRODUCT(-- ISNUMBER(SEARCH({"Formula","Roll-Up Summary"}, $B56))) &gt; 0,$B56 &amp; " (" &amp; $E56 &amp; ")",IF(SUMPRODUCT(-- ISNUMBER(SEARCH({"Content","Currency","Number","Percent","Text","URL"}, $B56))) &gt; 0,$B56 &amp; "(" &amp; $C56 &amp; ")",$B56)))), "  ", TRIM(IF($S56 = "YES", "(External ID)", "") &amp; " " &amp; IF(SUMPRODUCT(-- ISNUMBER(SEARCH({"Unique","Unique Case Insensitive"}, $R56))) &gt; 0, "(" &amp; $R56 &amp; ")", ""))))</f>
        <v>na</v>
      </c>
      <c r="E56" s="7" t="s">
        <v>195</v>
      </c>
      <c r="F56" s="7" t="s">
        <v>195</v>
      </c>
      <c r="G56" s="7" t="s">
        <v>195</v>
      </c>
      <c r="H56" s="7" t="s">
        <v>195</v>
      </c>
      <c r="I56" s="7" t="s">
        <v>195</v>
      </c>
      <c r="J56" s="7" t="s">
        <v>195</v>
      </c>
      <c r="K56" s="7" t="s">
        <v>195</v>
      </c>
      <c r="L56" s="7" t="s">
        <v>195</v>
      </c>
      <c r="M56" s="7" t="s">
        <v>29</v>
      </c>
      <c r="N56" s="7" t="s">
        <v>29</v>
      </c>
      <c r="O56" s="7" t="s">
        <v>29</v>
      </c>
      <c r="P56" s="7" t="s">
        <v>29</v>
      </c>
      <c r="Q56" s="7" t="s">
        <v>29</v>
      </c>
      <c r="R56" s="7" t="s">
        <v>29</v>
      </c>
      <c r="S56" s="7" t="s">
        <v>29</v>
      </c>
    </row>
    <row r="57" spans="2:19">
      <c r="B57" s="7" t="s">
        <v>195</v>
      </c>
      <c r="C57" s="8" t="s">
        <v>195</v>
      </c>
      <c r="D57" s="5" t="str">
        <f>LRTRIM(CONCATENATE(IF(SUMPRODUCT(-- ISNUMBER(SEARCH({"Auto Number"}, $B57))) &gt; 0, $B57, IF(SUMPRODUCT(-- ISNUMBER(SEARCH({"Lookup","Master-Detail"}, $B57))) &gt; 0,$B57 &amp; "(" &amp; $E57 &amp; ")",IF(SUMPRODUCT(-- ISNUMBER(SEARCH({"Formula","Roll-Up Summary"}, $B57))) &gt; 0,$B57 &amp; " (" &amp; $E57 &amp; ")",IF(SUMPRODUCT(-- ISNUMBER(SEARCH({"Content","Currency","Number","Percent","Text","URL"}, $B57))) &gt; 0,$B57 &amp; "(" &amp; $C57 &amp; ")",$B57)))), "  ", TRIM(IF($S57 = "YES", "(External ID)", "") &amp; " " &amp; IF(SUMPRODUCT(-- ISNUMBER(SEARCH({"Unique","Unique Case Insensitive"}, $R57))) &gt; 0, "(" &amp; $R57 &amp; ")", ""))))</f>
        <v>na</v>
      </c>
      <c r="E57" s="7" t="s">
        <v>195</v>
      </c>
      <c r="F57" s="7" t="s">
        <v>195</v>
      </c>
      <c r="G57" s="7" t="s">
        <v>195</v>
      </c>
      <c r="H57" s="7" t="s">
        <v>195</v>
      </c>
      <c r="I57" s="7" t="s">
        <v>195</v>
      </c>
      <c r="J57" s="7" t="s">
        <v>195</v>
      </c>
      <c r="K57" s="7" t="s">
        <v>195</v>
      </c>
      <c r="L57" s="7" t="s">
        <v>195</v>
      </c>
      <c r="M57" s="7" t="s">
        <v>29</v>
      </c>
      <c r="N57" s="7" t="s">
        <v>29</v>
      </c>
      <c r="O57" s="7" t="s">
        <v>29</v>
      </c>
      <c r="P57" s="7" t="s">
        <v>29</v>
      </c>
      <c r="Q57" s="7" t="s">
        <v>29</v>
      </c>
      <c r="R57" s="7" t="s">
        <v>29</v>
      </c>
      <c r="S57" s="7" t="s">
        <v>29</v>
      </c>
    </row>
    <row r="58" spans="2:19">
      <c r="B58" s="7" t="s">
        <v>195</v>
      </c>
      <c r="C58" s="8" t="s">
        <v>195</v>
      </c>
      <c r="D58" s="5" t="str">
        <f>LRTRIM(CONCATENATE(IF(SUMPRODUCT(-- ISNUMBER(SEARCH({"Auto Number"}, $B58))) &gt; 0, $B58, IF(SUMPRODUCT(-- ISNUMBER(SEARCH({"Lookup","Master-Detail"}, $B58))) &gt; 0,$B58 &amp; "(" &amp; $E58 &amp; ")",IF(SUMPRODUCT(-- ISNUMBER(SEARCH({"Formula","Roll-Up Summary"}, $B58))) &gt; 0,$B58 &amp; " (" &amp; $E58 &amp; ")",IF(SUMPRODUCT(-- ISNUMBER(SEARCH({"Content","Currency","Number","Percent","Text","URL"}, $B58))) &gt; 0,$B58 &amp; "(" &amp; $C58 &amp; ")",$B58)))), "  ", TRIM(IF($S58 = "YES", "(External ID)", "") &amp; " " &amp; IF(SUMPRODUCT(-- ISNUMBER(SEARCH({"Unique","Unique Case Insensitive"}, $R58))) &gt; 0, "(" &amp; $R58 &amp; ")", ""))))</f>
        <v>na</v>
      </c>
      <c r="E58" s="7" t="s">
        <v>195</v>
      </c>
      <c r="F58" s="7" t="s">
        <v>195</v>
      </c>
      <c r="G58" s="7" t="s">
        <v>195</v>
      </c>
      <c r="H58" s="7" t="s">
        <v>195</v>
      </c>
      <c r="I58" s="7" t="s">
        <v>195</v>
      </c>
      <c r="J58" s="7" t="s">
        <v>195</v>
      </c>
      <c r="K58" s="7" t="s">
        <v>195</v>
      </c>
      <c r="L58" s="7" t="s">
        <v>195</v>
      </c>
      <c r="M58" s="7" t="s">
        <v>29</v>
      </c>
      <c r="N58" s="7" t="s">
        <v>29</v>
      </c>
      <c r="O58" s="7" t="s">
        <v>29</v>
      </c>
      <c r="P58" s="7" t="s">
        <v>29</v>
      </c>
      <c r="Q58" s="7" t="s">
        <v>29</v>
      </c>
      <c r="R58" s="7" t="s">
        <v>29</v>
      </c>
      <c r="S58" s="7" t="s">
        <v>29</v>
      </c>
    </row>
    <row r="59" spans="2:19">
      <c r="B59" s="7" t="s">
        <v>195</v>
      </c>
      <c r="C59" s="8" t="s">
        <v>195</v>
      </c>
      <c r="D59" s="5" t="str">
        <f>LRTRIM(CONCATENATE(IF(SUMPRODUCT(-- ISNUMBER(SEARCH({"Auto Number"}, $B59))) &gt; 0, $B59, IF(SUMPRODUCT(-- ISNUMBER(SEARCH({"Lookup","Master-Detail"}, $B59))) &gt; 0,$B59 &amp; "(" &amp; $E59 &amp; ")",IF(SUMPRODUCT(-- ISNUMBER(SEARCH({"Formula","Roll-Up Summary"}, $B59))) &gt; 0,$B59 &amp; " (" &amp; $E59 &amp; ")",IF(SUMPRODUCT(-- ISNUMBER(SEARCH({"Content","Currency","Number","Percent","Text","URL"}, $B59))) &gt; 0,$B59 &amp; "(" &amp; $C59 &amp; ")",$B59)))), "  ", TRIM(IF($S59 = "YES", "(External ID)", "") &amp; " " &amp; IF(SUMPRODUCT(-- ISNUMBER(SEARCH({"Unique","Unique Case Insensitive"}, $R59))) &gt; 0, "(" &amp; $R59 &amp; ")", ""))))</f>
        <v>na</v>
      </c>
      <c r="E59" s="7" t="s">
        <v>195</v>
      </c>
      <c r="F59" s="7" t="s">
        <v>195</v>
      </c>
      <c r="G59" s="7" t="s">
        <v>195</v>
      </c>
      <c r="H59" s="7" t="s">
        <v>195</v>
      </c>
      <c r="I59" s="7" t="s">
        <v>195</v>
      </c>
      <c r="J59" s="7" t="s">
        <v>195</v>
      </c>
      <c r="K59" s="7" t="s">
        <v>195</v>
      </c>
      <c r="L59" s="7" t="s">
        <v>195</v>
      </c>
      <c r="M59" s="7" t="s">
        <v>29</v>
      </c>
      <c r="N59" s="7" t="s">
        <v>29</v>
      </c>
      <c r="O59" s="7" t="s">
        <v>29</v>
      </c>
      <c r="P59" s="7" t="s">
        <v>29</v>
      </c>
      <c r="Q59" s="7" t="s">
        <v>29</v>
      </c>
      <c r="R59" s="7" t="s">
        <v>29</v>
      </c>
      <c r="S59" s="7" t="s">
        <v>29</v>
      </c>
    </row>
    <row r="60" spans="2:19">
      <c r="B60" s="7" t="s">
        <v>195</v>
      </c>
      <c r="C60" s="8" t="s">
        <v>195</v>
      </c>
      <c r="D60" s="5" t="str">
        <f>LRTRIM(CONCATENATE(IF(SUMPRODUCT(-- ISNUMBER(SEARCH({"Auto Number"}, $B60))) &gt; 0, $B60, IF(SUMPRODUCT(-- ISNUMBER(SEARCH({"Lookup","Master-Detail"}, $B60))) &gt; 0,$B60 &amp; "(" &amp; $E60 &amp; ")",IF(SUMPRODUCT(-- ISNUMBER(SEARCH({"Formula","Roll-Up Summary"}, $B60))) &gt; 0,$B60 &amp; " (" &amp; $E60 &amp; ")",IF(SUMPRODUCT(-- ISNUMBER(SEARCH({"Content","Currency","Number","Percent","Text","URL"}, $B60))) &gt; 0,$B60 &amp; "(" &amp; $C60 &amp; ")",$B60)))), "  ", TRIM(IF($S60 = "YES", "(External ID)", "") &amp; " " &amp; IF(SUMPRODUCT(-- ISNUMBER(SEARCH({"Unique","Unique Case Insensitive"}, $R60))) &gt; 0, "(" &amp; $R60 &amp; ")", ""))))</f>
        <v>na</v>
      </c>
      <c r="E60" s="7" t="s">
        <v>195</v>
      </c>
      <c r="F60" s="7" t="s">
        <v>195</v>
      </c>
      <c r="G60" s="7" t="s">
        <v>195</v>
      </c>
      <c r="H60" s="7" t="s">
        <v>195</v>
      </c>
      <c r="I60" s="7" t="s">
        <v>195</v>
      </c>
      <c r="J60" s="7" t="s">
        <v>195</v>
      </c>
      <c r="K60" s="7" t="s">
        <v>195</v>
      </c>
      <c r="L60" s="7" t="s">
        <v>195</v>
      </c>
      <c r="M60" s="7" t="s">
        <v>29</v>
      </c>
      <c r="N60" s="7" t="s">
        <v>29</v>
      </c>
      <c r="O60" s="7" t="s">
        <v>29</v>
      </c>
      <c r="P60" s="7" t="s">
        <v>29</v>
      </c>
      <c r="Q60" s="7" t="s">
        <v>29</v>
      </c>
      <c r="R60" s="7" t="s">
        <v>29</v>
      </c>
      <c r="S60" s="7" t="s">
        <v>29</v>
      </c>
    </row>
    <row r="61" spans="2:19">
      <c r="B61" s="7" t="s">
        <v>195</v>
      </c>
      <c r="C61" s="8" t="s">
        <v>195</v>
      </c>
      <c r="D61" s="5" t="str">
        <f>LRTRIM(CONCATENATE(IF(SUMPRODUCT(-- ISNUMBER(SEARCH({"Auto Number"}, $B61))) &gt; 0, $B61, IF(SUMPRODUCT(-- ISNUMBER(SEARCH({"Lookup","Master-Detail"}, $B61))) &gt; 0,$B61 &amp; "(" &amp; $E61 &amp; ")",IF(SUMPRODUCT(-- ISNUMBER(SEARCH({"Formula","Roll-Up Summary"}, $B61))) &gt; 0,$B61 &amp; " (" &amp; $E61 &amp; ")",IF(SUMPRODUCT(-- ISNUMBER(SEARCH({"Content","Currency","Number","Percent","Text","URL"}, $B61))) &gt; 0,$B61 &amp; "(" &amp; $C61 &amp; ")",$B61)))), "  ", TRIM(IF($S61 = "YES", "(External ID)", "") &amp; " " &amp; IF(SUMPRODUCT(-- ISNUMBER(SEARCH({"Unique","Unique Case Insensitive"}, $R61))) &gt; 0, "(" &amp; $R61 &amp; ")", ""))))</f>
        <v>na</v>
      </c>
      <c r="E61" s="7" t="s">
        <v>195</v>
      </c>
      <c r="F61" s="7" t="s">
        <v>195</v>
      </c>
      <c r="G61" s="7" t="s">
        <v>195</v>
      </c>
      <c r="H61" s="7" t="s">
        <v>195</v>
      </c>
      <c r="I61" s="7" t="s">
        <v>195</v>
      </c>
      <c r="J61" s="7" t="s">
        <v>195</v>
      </c>
      <c r="K61" s="7" t="s">
        <v>195</v>
      </c>
      <c r="L61" s="7" t="s">
        <v>195</v>
      </c>
      <c r="M61" s="7" t="s">
        <v>29</v>
      </c>
      <c r="N61" s="7" t="s">
        <v>29</v>
      </c>
      <c r="O61" s="7" t="s">
        <v>29</v>
      </c>
      <c r="P61" s="7" t="s">
        <v>29</v>
      </c>
      <c r="Q61" s="7" t="s">
        <v>29</v>
      </c>
      <c r="R61" s="7" t="s">
        <v>29</v>
      </c>
      <c r="S61" s="7" t="s">
        <v>29</v>
      </c>
    </row>
    <row r="62" spans="2:19">
      <c r="B62" s="7" t="s">
        <v>195</v>
      </c>
      <c r="C62" s="8" t="s">
        <v>195</v>
      </c>
      <c r="D62" s="5" t="str">
        <f>LRTRIM(CONCATENATE(IF(SUMPRODUCT(-- ISNUMBER(SEARCH({"Auto Number"}, $B62))) &gt; 0, $B62, IF(SUMPRODUCT(-- ISNUMBER(SEARCH({"Lookup","Master-Detail"}, $B62))) &gt; 0,$B62 &amp; "(" &amp; $E62 &amp; ")",IF(SUMPRODUCT(-- ISNUMBER(SEARCH({"Formula","Roll-Up Summary"}, $B62))) &gt; 0,$B62 &amp; " (" &amp; $E62 &amp; ")",IF(SUMPRODUCT(-- ISNUMBER(SEARCH({"Content","Currency","Number","Percent","Text","URL"}, $B62))) &gt; 0,$B62 &amp; "(" &amp; $C62 &amp; ")",$B62)))), "  ", TRIM(IF($S62 = "YES", "(External ID)", "") &amp; " " &amp; IF(SUMPRODUCT(-- ISNUMBER(SEARCH({"Unique","Unique Case Insensitive"}, $R62))) &gt; 0, "(" &amp; $R62 &amp; ")", ""))))</f>
        <v>na</v>
      </c>
      <c r="E62" s="7" t="s">
        <v>195</v>
      </c>
      <c r="F62" s="7" t="s">
        <v>195</v>
      </c>
      <c r="G62" s="7" t="s">
        <v>195</v>
      </c>
      <c r="H62" s="7" t="s">
        <v>195</v>
      </c>
      <c r="I62" s="7" t="s">
        <v>195</v>
      </c>
      <c r="J62" s="7" t="s">
        <v>195</v>
      </c>
      <c r="K62" s="7" t="s">
        <v>195</v>
      </c>
      <c r="L62" s="7" t="s">
        <v>195</v>
      </c>
      <c r="M62" s="7" t="s">
        <v>29</v>
      </c>
      <c r="N62" s="7" t="s">
        <v>29</v>
      </c>
      <c r="O62" s="7" t="s">
        <v>29</v>
      </c>
      <c r="P62" s="7" t="s">
        <v>29</v>
      </c>
      <c r="Q62" s="7" t="s">
        <v>29</v>
      </c>
      <c r="R62" s="7" t="s">
        <v>29</v>
      </c>
      <c r="S62" s="7" t="s">
        <v>29</v>
      </c>
    </row>
    <row r="63" spans="2:19">
      <c r="B63" s="7" t="s">
        <v>195</v>
      </c>
      <c r="C63" s="8" t="s">
        <v>195</v>
      </c>
      <c r="D63" s="5" t="str">
        <f>LRTRIM(CONCATENATE(IF(SUMPRODUCT(-- ISNUMBER(SEARCH({"Auto Number"}, $B63))) &gt; 0, $B63, IF(SUMPRODUCT(-- ISNUMBER(SEARCH({"Lookup","Master-Detail"}, $B63))) &gt; 0,$B63 &amp; "(" &amp; $E63 &amp; ")",IF(SUMPRODUCT(-- ISNUMBER(SEARCH({"Formula","Roll-Up Summary"}, $B63))) &gt; 0,$B63 &amp; " (" &amp; $E63 &amp; ")",IF(SUMPRODUCT(-- ISNUMBER(SEARCH({"Content","Currency","Number","Percent","Text","URL"}, $B63))) &gt; 0,$B63 &amp; "(" &amp; $C63 &amp; ")",$B63)))), "  ", TRIM(IF($S63 = "YES", "(External ID)", "") &amp; " " &amp; IF(SUMPRODUCT(-- ISNUMBER(SEARCH({"Unique","Unique Case Insensitive"}, $R63))) &gt; 0, "(" &amp; $R63 &amp; ")", ""))))</f>
        <v>na</v>
      </c>
      <c r="E63" s="7" t="s">
        <v>195</v>
      </c>
      <c r="F63" s="7" t="s">
        <v>195</v>
      </c>
      <c r="G63" s="7" t="s">
        <v>195</v>
      </c>
      <c r="H63" s="7" t="s">
        <v>195</v>
      </c>
      <c r="I63" s="7" t="s">
        <v>195</v>
      </c>
      <c r="J63" s="7" t="s">
        <v>195</v>
      </c>
      <c r="K63" s="7" t="s">
        <v>195</v>
      </c>
      <c r="L63" s="7" t="s">
        <v>195</v>
      </c>
      <c r="M63" s="7" t="s">
        <v>29</v>
      </c>
      <c r="N63" s="7" t="s">
        <v>29</v>
      </c>
      <c r="O63" s="7" t="s">
        <v>29</v>
      </c>
      <c r="P63" s="7" t="s">
        <v>29</v>
      </c>
      <c r="Q63" s="7" t="s">
        <v>29</v>
      </c>
      <c r="R63" s="7" t="s">
        <v>29</v>
      </c>
      <c r="S63" s="7" t="s">
        <v>29</v>
      </c>
    </row>
    <row r="64" spans="2:19">
      <c r="B64" s="7" t="s">
        <v>195</v>
      </c>
      <c r="C64" s="8" t="s">
        <v>195</v>
      </c>
      <c r="D64" s="5" t="str">
        <f>LRTRIM(CONCATENATE(IF(SUMPRODUCT(-- ISNUMBER(SEARCH({"Auto Number"}, $B64))) &gt; 0, $B64, IF(SUMPRODUCT(-- ISNUMBER(SEARCH({"Lookup","Master-Detail"}, $B64))) &gt; 0,$B64 &amp; "(" &amp; $E64 &amp; ")",IF(SUMPRODUCT(-- ISNUMBER(SEARCH({"Formula","Roll-Up Summary"}, $B64))) &gt; 0,$B64 &amp; " (" &amp; $E64 &amp; ")",IF(SUMPRODUCT(-- ISNUMBER(SEARCH({"Content","Currency","Number","Percent","Text","URL"}, $B64))) &gt; 0,$B64 &amp; "(" &amp; $C64 &amp; ")",$B64)))), "  ", TRIM(IF($S64 = "YES", "(External ID)", "") &amp; " " &amp; IF(SUMPRODUCT(-- ISNUMBER(SEARCH({"Unique","Unique Case Insensitive"}, $R64))) &gt; 0, "(" &amp; $R64 &amp; ")", ""))))</f>
        <v>na</v>
      </c>
      <c r="E64" s="7" t="s">
        <v>195</v>
      </c>
      <c r="F64" s="7" t="s">
        <v>195</v>
      </c>
      <c r="G64" s="7" t="s">
        <v>195</v>
      </c>
      <c r="H64" s="7" t="s">
        <v>195</v>
      </c>
      <c r="I64" s="7" t="s">
        <v>195</v>
      </c>
      <c r="J64" s="7" t="s">
        <v>195</v>
      </c>
      <c r="K64" s="7" t="s">
        <v>195</v>
      </c>
      <c r="L64" s="7" t="s">
        <v>195</v>
      </c>
      <c r="M64" s="7" t="s">
        <v>29</v>
      </c>
      <c r="N64" s="7" t="s">
        <v>29</v>
      </c>
      <c r="O64" s="7" t="s">
        <v>29</v>
      </c>
      <c r="P64" s="7" t="s">
        <v>29</v>
      </c>
      <c r="Q64" s="7" t="s">
        <v>29</v>
      </c>
      <c r="R64" s="7" t="s">
        <v>29</v>
      </c>
      <c r="S64" s="7" t="s">
        <v>29</v>
      </c>
    </row>
    <row r="65" spans="2:19">
      <c r="B65" s="7" t="s">
        <v>195</v>
      </c>
      <c r="C65" s="8" t="s">
        <v>195</v>
      </c>
      <c r="D65" s="5" t="str">
        <f>LRTRIM(CONCATENATE(IF(SUMPRODUCT(-- ISNUMBER(SEARCH({"Auto Number"}, $B65))) &gt; 0, $B65, IF(SUMPRODUCT(-- ISNUMBER(SEARCH({"Lookup","Master-Detail"}, $B65))) &gt; 0,$B65 &amp; "(" &amp; $E65 &amp; ")",IF(SUMPRODUCT(-- ISNUMBER(SEARCH({"Formula","Roll-Up Summary"}, $B65))) &gt; 0,$B65 &amp; " (" &amp; $E65 &amp; ")",IF(SUMPRODUCT(-- ISNUMBER(SEARCH({"Content","Currency","Number","Percent","Text","URL"}, $B65))) &gt; 0,$B65 &amp; "(" &amp; $C65 &amp; ")",$B65)))), "  ", TRIM(IF($S65 = "YES", "(External ID)", "") &amp; " " &amp; IF(SUMPRODUCT(-- ISNUMBER(SEARCH({"Unique","Unique Case Insensitive"}, $R65))) &gt; 0, "(" &amp; $R65 &amp; ")", ""))))</f>
        <v>na</v>
      </c>
      <c r="E65" s="7" t="s">
        <v>195</v>
      </c>
      <c r="F65" s="7" t="s">
        <v>195</v>
      </c>
      <c r="G65" s="7" t="s">
        <v>195</v>
      </c>
      <c r="H65" s="7" t="s">
        <v>195</v>
      </c>
      <c r="I65" s="7" t="s">
        <v>195</v>
      </c>
      <c r="J65" s="7" t="s">
        <v>195</v>
      </c>
      <c r="K65" s="7" t="s">
        <v>195</v>
      </c>
      <c r="L65" s="7" t="s">
        <v>195</v>
      </c>
      <c r="M65" s="7" t="s">
        <v>29</v>
      </c>
      <c r="N65" s="7" t="s">
        <v>29</v>
      </c>
      <c r="O65" s="7" t="s">
        <v>29</v>
      </c>
      <c r="P65" s="7" t="s">
        <v>29</v>
      </c>
      <c r="Q65" s="7" t="s">
        <v>29</v>
      </c>
      <c r="R65" s="7" t="s">
        <v>29</v>
      </c>
      <c r="S65" s="7" t="s">
        <v>29</v>
      </c>
    </row>
    <row r="66" spans="2:19">
      <c r="B66" s="7" t="s">
        <v>195</v>
      </c>
      <c r="C66" s="8" t="s">
        <v>195</v>
      </c>
      <c r="D66" s="5" t="str">
        <f>LRTRIM(CONCATENATE(IF(SUMPRODUCT(-- ISNUMBER(SEARCH({"Auto Number"}, $B66))) &gt; 0, $B66, IF(SUMPRODUCT(-- ISNUMBER(SEARCH({"Lookup","Master-Detail"}, $B66))) &gt; 0,$B66 &amp; "(" &amp; $E66 &amp; ")",IF(SUMPRODUCT(-- ISNUMBER(SEARCH({"Formula","Roll-Up Summary"}, $B66))) &gt; 0,$B66 &amp; " (" &amp; $E66 &amp; ")",IF(SUMPRODUCT(-- ISNUMBER(SEARCH({"Content","Currency","Number","Percent","Text","URL"}, $B66))) &gt; 0,$B66 &amp; "(" &amp; $C66 &amp; ")",$B66)))), "  ", TRIM(IF($S66 = "YES", "(External ID)", "") &amp; " " &amp; IF(SUMPRODUCT(-- ISNUMBER(SEARCH({"Unique","Unique Case Insensitive"}, $R66))) &gt; 0, "(" &amp; $R66 &amp; ")", ""))))</f>
        <v>na</v>
      </c>
      <c r="E66" s="7" t="s">
        <v>195</v>
      </c>
      <c r="F66" s="7" t="s">
        <v>195</v>
      </c>
      <c r="G66" s="7" t="s">
        <v>195</v>
      </c>
      <c r="H66" s="7" t="s">
        <v>195</v>
      </c>
      <c r="I66" s="7" t="s">
        <v>195</v>
      </c>
      <c r="J66" s="7" t="s">
        <v>195</v>
      </c>
      <c r="K66" s="7" t="s">
        <v>195</v>
      </c>
      <c r="L66" s="7" t="s">
        <v>195</v>
      </c>
      <c r="M66" s="7" t="s">
        <v>29</v>
      </c>
      <c r="N66" s="7" t="s">
        <v>29</v>
      </c>
      <c r="O66" s="7" t="s">
        <v>29</v>
      </c>
      <c r="P66" s="7" t="s">
        <v>29</v>
      </c>
      <c r="Q66" s="7" t="s">
        <v>29</v>
      </c>
      <c r="R66" s="7" t="s">
        <v>29</v>
      </c>
      <c r="S66" s="7" t="s">
        <v>29</v>
      </c>
    </row>
    <row r="67" spans="2:19">
      <c r="B67" s="7" t="s">
        <v>195</v>
      </c>
      <c r="C67" s="8" t="s">
        <v>195</v>
      </c>
      <c r="D67" s="5" t="str">
        <f>LRTRIM(CONCATENATE(IF(SUMPRODUCT(-- ISNUMBER(SEARCH({"Auto Number"}, $B67))) &gt; 0, $B67, IF(SUMPRODUCT(-- ISNUMBER(SEARCH({"Lookup","Master-Detail"}, $B67))) &gt; 0,$B67 &amp; "(" &amp; $E67 &amp; ")",IF(SUMPRODUCT(-- ISNUMBER(SEARCH({"Formula","Roll-Up Summary"}, $B67))) &gt; 0,$B67 &amp; " (" &amp; $E67 &amp; ")",IF(SUMPRODUCT(-- ISNUMBER(SEARCH({"Content","Currency","Number","Percent","Text","URL"}, $B67))) &gt; 0,$B67 &amp; "(" &amp; $C67 &amp; ")",$B67)))), "  ", TRIM(IF($S67 = "YES", "(External ID)", "") &amp; " " &amp; IF(SUMPRODUCT(-- ISNUMBER(SEARCH({"Unique","Unique Case Insensitive"}, $R67))) &gt; 0, "(" &amp; $R67 &amp; ")", ""))))</f>
        <v>na</v>
      </c>
      <c r="E67" s="7" t="s">
        <v>195</v>
      </c>
      <c r="F67" s="7" t="s">
        <v>195</v>
      </c>
      <c r="G67" s="7" t="s">
        <v>195</v>
      </c>
      <c r="H67" s="7" t="s">
        <v>195</v>
      </c>
      <c r="I67" s="7" t="s">
        <v>195</v>
      </c>
      <c r="J67" s="7" t="s">
        <v>195</v>
      </c>
      <c r="K67" s="7" t="s">
        <v>195</v>
      </c>
      <c r="L67" s="7" t="s">
        <v>195</v>
      </c>
      <c r="M67" s="7" t="s">
        <v>29</v>
      </c>
      <c r="N67" s="7" t="s">
        <v>29</v>
      </c>
      <c r="O67" s="7" t="s">
        <v>29</v>
      </c>
      <c r="P67" s="7" t="s">
        <v>29</v>
      </c>
      <c r="Q67" s="7" t="s">
        <v>29</v>
      </c>
      <c r="R67" s="7" t="s">
        <v>29</v>
      </c>
      <c r="S67" s="7" t="s">
        <v>29</v>
      </c>
    </row>
    <row r="68" spans="2:19">
      <c r="B68" s="7" t="s">
        <v>195</v>
      </c>
      <c r="C68" s="8" t="s">
        <v>195</v>
      </c>
      <c r="D68" s="5" t="str">
        <f>LRTRIM(CONCATENATE(IF(SUMPRODUCT(-- ISNUMBER(SEARCH({"Auto Number"}, $B68))) &gt; 0, $B68, IF(SUMPRODUCT(-- ISNUMBER(SEARCH({"Lookup","Master-Detail"}, $B68))) &gt; 0,$B68 &amp; "(" &amp; $E68 &amp; ")",IF(SUMPRODUCT(-- ISNUMBER(SEARCH({"Formula","Roll-Up Summary"}, $B68))) &gt; 0,$B68 &amp; " (" &amp; $E68 &amp; ")",IF(SUMPRODUCT(-- ISNUMBER(SEARCH({"Content","Currency","Number","Percent","Text","URL"}, $B68))) &gt; 0,$B68 &amp; "(" &amp; $C68 &amp; ")",$B68)))), "  ", TRIM(IF($S68 = "YES", "(External ID)", "") &amp; " " &amp; IF(SUMPRODUCT(-- ISNUMBER(SEARCH({"Unique","Unique Case Insensitive"}, $R68))) &gt; 0, "(" &amp; $R68 &amp; ")", ""))))</f>
        <v>na</v>
      </c>
      <c r="E68" s="7" t="s">
        <v>195</v>
      </c>
      <c r="F68" s="7" t="s">
        <v>195</v>
      </c>
      <c r="G68" s="7" t="s">
        <v>195</v>
      </c>
      <c r="H68" s="7" t="s">
        <v>195</v>
      </c>
      <c r="I68" s="7" t="s">
        <v>195</v>
      </c>
      <c r="J68" s="7" t="s">
        <v>195</v>
      </c>
      <c r="K68" s="7" t="s">
        <v>195</v>
      </c>
      <c r="L68" s="7" t="s">
        <v>195</v>
      </c>
      <c r="M68" s="7" t="s">
        <v>29</v>
      </c>
      <c r="N68" s="7" t="s">
        <v>29</v>
      </c>
      <c r="O68" s="7" t="s">
        <v>29</v>
      </c>
      <c r="P68" s="7" t="s">
        <v>29</v>
      </c>
      <c r="Q68" s="7" t="s">
        <v>29</v>
      </c>
      <c r="R68" s="7" t="s">
        <v>29</v>
      </c>
      <c r="S68" s="7" t="s">
        <v>29</v>
      </c>
    </row>
    <row r="69" spans="2:19">
      <c r="B69" s="7" t="s">
        <v>195</v>
      </c>
      <c r="C69" s="8" t="s">
        <v>195</v>
      </c>
      <c r="D69" s="5" t="str">
        <f>LRTRIM(CONCATENATE(IF(SUMPRODUCT(-- ISNUMBER(SEARCH({"Auto Number"}, $B69))) &gt; 0, $B69, IF(SUMPRODUCT(-- ISNUMBER(SEARCH({"Lookup","Master-Detail"}, $B69))) &gt; 0,$B69 &amp; "(" &amp; $E69 &amp; ")",IF(SUMPRODUCT(-- ISNUMBER(SEARCH({"Formula","Roll-Up Summary"}, $B69))) &gt; 0,$B69 &amp; " (" &amp; $E69 &amp; ")",IF(SUMPRODUCT(-- ISNUMBER(SEARCH({"Content","Currency","Number","Percent","Text","URL"}, $B69))) &gt; 0,$B69 &amp; "(" &amp; $C69 &amp; ")",$B69)))), "  ", TRIM(IF($S69 = "YES", "(External ID)", "") &amp; " " &amp; IF(SUMPRODUCT(-- ISNUMBER(SEARCH({"Unique","Unique Case Insensitive"}, $R69))) &gt; 0, "(" &amp; $R69 &amp; ")", ""))))</f>
        <v>na</v>
      </c>
      <c r="E69" s="7" t="s">
        <v>195</v>
      </c>
      <c r="F69" s="7" t="s">
        <v>195</v>
      </c>
      <c r="G69" s="7" t="s">
        <v>195</v>
      </c>
      <c r="H69" s="7" t="s">
        <v>195</v>
      </c>
      <c r="I69" s="7" t="s">
        <v>195</v>
      </c>
      <c r="J69" s="7" t="s">
        <v>195</v>
      </c>
      <c r="K69" s="7" t="s">
        <v>195</v>
      </c>
      <c r="L69" s="7" t="s">
        <v>195</v>
      </c>
      <c r="M69" s="7" t="s">
        <v>29</v>
      </c>
      <c r="N69" s="7" t="s">
        <v>29</v>
      </c>
      <c r="O69" s="7" t="s">
        <v>29</v>
      </c>
      <c r="P69" s="7" t="s">
        <v>29</v>
      </c>
      <c r="Q69" s="7" t="s">
        <v>29</v>
      </c>
      <c r="R69" s="7" t="s">
        <v>29</v>
      </c>
      <c r="S69" s="7" t="s">
        <v>29</v>
      </c>
    </row>
    <row r="70" spans="2:19">
      <c r="B70" s="7" t="s">
        <v>195</v>
      </c>
      <c r="C70" s="8" t="s">
        <v>195</v>
      </c>
      <c r="D70" s="5" t="str">
        <f>LRTRIM(CONCATENATE(IF(SUMPRODUCT(-- ISNUMBER(SEARCH({"Auto Number"}, $B70))) &gt; 0, $B70, IF(SUMPRODUCT(-- ISNUMBER(SEARCH({"Lookup","Master-Detail"}, $B70))) &gt; 0,$B70 &amp; "(" &amp; $E70 &amp; ")",IF(SUMPRODUCT(-- ISNUMBER(SEARCH({"Formula","Roll-Up Summary"}, $B70))) &gt; 0,$B70 &amp; " (" &amp; $E70 &amp; ")",IF(SUMPRODUCT(-- ISNUMBER(SEARCH({"Content","Currency","Number","Percent","Text","URL"}, $B70))) &gt; 0,$B70 &amp; "(" &amp; $C70 &amp; ")",$B70)))), "  ", TRIM(IF($S70 = "YES", "(External ID)", "") &amp; " " &amp; IF(SUMPRODUCT(-- ISNUMBER(SEARCH({"Unique","Unique Case Insensitive"}, $R70))) &gt; 0, "(" &amp; $R70 &amp; ")", ""))))</f>
        <v>na</v>
      </c>
      <c r="E70" s="7" t="s">
        <v>195</v>
      </c>
      <c r="F70" s="7" t="s">
        <v>195</v>
      </c>
      <c r="G70" s="7" t="s">
        <v>195</v>
      </c>
      <c r="H70" s="7" t="s">
        <v>195</v>
      </c>
      <c r="I70" s="7" t="s">
        <v>195</v>
      </c>
      <c r="J70" s="7" t="s">
        <v>195</v>
      </c>
      <c r="K70" s="7" t="s">
        <v>195</v>
      </c>
      <c r="L70" s="7" t="s">
        <v>195</v>
      </c>
      <c r="M70" s="7" t="s">
        <v>29</v>
      </c>
      <c r="N70" s="7" t="s">
        <v>29</v>
      </c>
      <c r="O70" s="7" t="s">
        <v>29</v>
      </c>
      <c r="P70" s="7" t="s">
        <v>29</v>
      </c>
      <c r="Q70" s="7" t="s">
        <v>29</v>
      </c>
      <c r="R70" s="7" t="s">
        <v>29</v>
      </c>
      <c r="S70" s="7" t="s">
        <v>29</v>
      </c>
    </row>
    <row r="71" spans="2:19">
      <c r="B71" s="7" t="s">
        <v>195</v>
      </c>
      <c r="C71" s="8" t="s">
        <v>195</v>
      </c>
      <c r="D71" s="5" t="str">
        <f>LRTRIM(CONCATENATE(IF(SUMPRODUCT(-- ISNUMBER(SEARCH({"Auto Number"}, $B71))) &gt; 0, $B71, IF(SUMPRODUCT(-- ISNUMBER(SEARCH({"Lookup","Master-Detail"}, $B71))) &gt; 0,$B71 &amp; "(" &amp; $E71 &amp; ")",IF(SUMPRODUCT(-- ISNUMBER(SEARCH({"Formula","Roll-Up Summary"}, $B71))) &gt; 0,$B71 &amp; " (" &amp; $E71 &amp; ")",IF(SUMPRODUCT(-- ISNUMBER(SEARCH({"Content","Currency","Number","Percent","Text","URL"}, $B71))) &gt; 0,$B71 &amp; "(" &amp; $C71 &amp; ")",$B71)))), "  ", TRIM(IF($S71 = "YES", "(External ID)", "") &amp; " " &amp; IF(SUMPRODUCT(-- ISNUMBER(SEARCH({"Unique","Unique Case Insensitive"}, $R71))) &gt; 0, "(" &amp; $R71 &amp; ")", ""))))</f>
        <v>na</v>
      </c>
      <c r="E71" s="7" t="s">
        <v>195</v>
      </c>
      <c r="F71" s="7" t="s">
        <v>195</v>
      </c>
      <c r="G71" s="7" t="s">
        <v>195</v>
      </c>
      <c r="H71" s="7" t="s">
        <v>195</v>
      </c>
      <c r="I71" s="7" t="s">
        <v>195</v>
      </c>
      <c r="J71" s="7" t="s">
        <v>195</v>
      </c>
      <c r="K71" s="7" t="s">
        <v>195</v>
      </c>
      <c r="L71" s="7" t="s">
        <v>195</v>
      </c>
      <c r="M71" s="7" t="s">
        <v>29</v>
      </c>
      <c r="N71" s="7" t="s">
        <v>29</v>
      </c>
      <c r="O71" s="7" t="s">
        <v>29</v>
      </c>
      <c r="P71" s="7" t="s">
        <v>29</v>
      </c>
      <c r="Q71" s="7" t="s">
        <v>29</v>
      </c>
      <c r="R71" s="7" t="s">
        <v>29</v>
      </c>
      <c r="S71" s="7" t="s">
        <v>29</v>
      </c>
    </row>
    <row r="72" spans="2:19">
      <c r="B72" s="7" t="s">
        <v>195</v>
      </c>
      <c r="C72" s="8" t="s">
        <v>195</v>
      </c>
      <c r="D72" s="5" t="str">
        <f>LRTRIM(CONCATENATE(IF(SUMPRODUCT(-- ISNUMBER(SEARCH({"Auto Number"}, $B72))) &gt; 0, $B72, IF(SUMPRODUCT(-- ISNUMBER(SEARCH({"Lookup","Master-Detail"}, $B72))) &gt; 0,$B72 &amp; "(" &amp; $E72 &amp; ")",IF(SUMPRODUCT(-- ISNUMBER(SEARCH({"Formula","Roll-Up Summary"}, $B72))) &gt; 0,$B72 &amp; " (" &amp; $E72 &amp; ")",IF(SUMPRODUCT(-- ISNUMBER(SEARCH({"Content","Currency","Number","Percent","Text","URL"}, $B72))) &gt; 0,$B72 &amp; "(" &amp; $C72 &amp; ")",$B72)))), "  ", TRIM(IF($S72 = "YES", "(External ID)", "") &amp; " " &amp; IF(SUMPRODUCT(-- ISNUMBER(SEARCH({"Unique","Unique Case Insensitive"}, $R72))) &gt; 0, "(" &amp; $R72 &amp; ")", ""))))</f>
        <v>na</v>
      </c>
      <c r="E72" s="7" t="s">
        <v>195</v>
      </c>
      <c r="F72" s="7" t="s">
        <v>195</v>
      </c>
      <c r="G72" s="7" t="s">
        <v>195</v>
      </c>
      <c r="H72" s="7" t="s">
        <v>195</v>
      </c>
      <c r="I72" s="7" t="s">
        <v>195</v>
      </c>
      <c r="J72" s="7" t="s">
        <v>195</v>
      </c>
      <c r="K72" s="7" t="s">
        <v>195</v>
      </c>
      <c r="L72" s="7" t="s">
        <v>195</v>
      </c>
      <c r="M72" s="7" t="s">
        <v>29</v>
      </c>
      <c r="N72" s="7" t="s">
        <v>29</v>
      </c>
      <c r="O72" s="7" t="s">
        <v>29</v>
      </c>
      <c r="P72" s="7" t="s">
        <v>29</v>
      </c>
      <c r="Q72" s="7" t="s">
        <v>29</v>
      </c>
      <c r="R72" s="7" t="s">
        <v>29</v>
      </c>
      <c r="S72" s="7" t="s">
        <v>29</v>
      </c>
    </row>
    <row r="73" spans="2:19">
      <c r="B73" s="7" t="s">
        <v>195</v>
      </c>
      <c r="C73" s="8" t="s">
        <v>195</v>
      </c>
      <c r="D73" s="5" t="str">
        <f>LRTRIM(CONCATENATE(IF(SUMPRODUCT(-- ISNUMBER(SEARCH({"Auto Number"}, $B73))) &gt; 0, $B73, IF(SUMPRODUCT(-- ISNUMBER(SEARCH({"Lookup","Master-Detail"}, $B73))) &gt; 0,$B73 &amp; "(" &amp; $E73 &amp; ")",IF(SUMPRODUCT(-- ISNUMBER(SEARCH({"Formula","Roll-Up Summary"}, $B73))) &gt; 0,$B73 &amp; " (" &amp; $E73 &amp; ")",IF(SUMPRODUCT(-- ISNUMBER(SEARCH({"Content","Currency","Number","Percent","Text","URL"}, $B73))) &gt; 0,$B73 &amp; "(" &amp; $C73 &amp; ")",$B73)))), "  ", TRIM(IF($S73 = "YES", "(External ID)", "") &amp; " " &amp; IF(SUMPRODUCT(-- ISNUMBER(SEARCH({"Unique","Unique Case Insensitive"}, $R73))) &gt; 0, "(" &amp; $R73 &amp; ")", ""))))</f>
        <v>na</v>
      </c>
      <c r="E73" s="7" t="s">
        <v>195</v>
      </c>
      <c r="F73" s="7" t="s">
        <v>195</v>
      </c>
      <c r="G73" s="7" t="s">
        <v>195</v>
      </c>
      <c r="H73" s="7" t="s">
        <v>195</v>
      </c>
      <c r="I73" s="7" t="s">
        <v>195</v>
      </c>
      <c r="J73" s="7" t="s">
        <v>195</v>
      </c>
      <c r="K73" s="7" t="s">
        <v>195</v>
      </c>
      <c r="L73" s="7" t="s">
        <v>195</v>
      </c>
      <c r="M73" s="7" t="s">
        <v>29</v>
      </c>
      <c r="N73" s="7" t="s">
        <v>29</v>
      </c>
      <c r="O73" s="7" t="s">
        <v>29</v>
      </c>
      <c r="P73" s="7" t="s">
        <v>29</v>
      </c>
      <c r="Q73" s="7" t="s">
        <v>29</v>
      </c>
      <c r="R73" s="7" t="s">
        <v>29</v>
      </c>
      <c r="S73" s="7" t="s">
        <v>29</v>
      </c>
    </row>
    <row r="74" spans="2:19">
      <c r="B74" s="7" t="s">
        <v>195</v>
      </c>
      <c r="C74" s="8" t="s">
        <v>195</v>
      </c>
      <c r="D74" s="5" t="str">
        <f>LRTRIM(CONCATENATE(IF(SUMPRODUCT(-- ISNUMBER(SEARCH({"Auto Number"}, $B74))) &gt; 0, $B74, IF(SUMPRODUCT(-- ISNUMBER(SEARCH({"Lookup","Master-Detail"}, $B74))) &gt; 0,$B74 &amp; "(" &amp; $E74 &amp; ")",IF(SUMPRODUCT(-- ISNUMBER(SEARCH({"Formula","Roll-Up Summary"}, $B74))) &gt; 0,$B74 &amp; " (" &amp; $E74 &amp; ")",IF(SUMPRODUCT(-- ISNUMBER(SEARCH({"Content","Currency","Number","Percent","Text","URL"}, $B74))) &gt; 0,$B74 &amp; "(" &amp; $C74 &amp; ")",$B74)))), "  ", TRIM(IF($S74 = "YES", "(External ID)", "") &amp; " " &amp; IF(SUMPRODUCT(-- ISNUMBER(SEARCH({"Unique","Unique Case Insensitive"}, $R74))) &gt; 0, "(" &amp; $R74 &amp; ")", ""))))</f>
        <v>na</v>
      </c>
      <c r="E74" s="7" t="s">
        <v>195</v>
      </c>
      <c r="F74" s="7" t="s">
        <v>195</v>
      </c>
      <c r="G74" s="7" t="s">
        <v>195</v>
      </c>
      <c r="H74" s="7" t="s">
        <v>195</v>
      </c>
      <c r="I74" s="7" t="s">
        <v>195</v>
      </c>
      <c r="J74" s="7" t="s">
        <v>195</v>
      </c>
      <c r="K74" s="7" t="s">
        <v>195</v>
      </c>
      <c r="L74" s="7" t="s">
        <v>195</v>
      </c>
      <c r="M74" s="7" t="s">
        <v>29</v>
      </c>
      <c r="N74" s="7" t="s">
        <v>29</v>
      </c>
      <c r="O74" s="7" t="s">
        <v>29</v>
      </c>
      <c r="P74" s="7" t="s">
        <v>29</v>
      </c>
      <c r="Q74" s="7" t="s">
        <v>29</v>
      </c>
      <c r="R74" s="7" t="s">
        <v>29</v>
      </c>
      <c r="S74" s="7" t="s">
        <v>29</v>
      </c>
    </row>
    <row r="75" spans="2:19">
      <c r="B75" s="7" t="s">
        <v>195</v>
      </c>
      <c r="C75" s="8" t="s">
        <v>195</v>
      </c>
      <c r="D75" s="5" t="str">
        <f>LRTRIM(CONCATENATE(IF(SUMPRODUCT(-- ISNUMBER(SEARCH({"Auto Number"}, $B75))) &gt; 0, $B75, IF(SUMPRODUCT(-- ISNUMBER(SEARCH({"Lookup","Master-Detail"}, $B75))) &gt; 0,$B75 &amp; "(" &amp; $E75 &amp; ")",IF(SUMPRODUCT(-- ISNUMBER(SEARCH({"Formula","Roll-Up Summary"}, $B75))) &gt; 0,$B75 &amp; " (" &amp; $E75 &amp; ")",IF(SUMPRODUCT(-- ISNUMBER(SEARCH({"Content","Currency","Number","Percent","Text","URL"}, $B75))) &gt; 0,$B75 &amp; "(" &amp; $C75 &amp; ")",$B75)))), "  ", TRIM(IF($S75 = "YES", "(External ID)", "") &amp; " " &amp; IF(SUMPRODUCT(-- ISNUMBER(SEARCH({"Unique","Unique Case Insensitive"}, $R75))) &gt; 0, "(" &amp; $R75 &amp; ")", ""))))</f>
        <v>na</v>
      </c>
      <c r="E75" s="7" t="s">
        <v>195</v>
      </c>
      <c r="F75" s="7" t="s">
        <v>195</v>
      </c>
      <c r="G75" s="7" t="s">
        <v>195</v>
      </c>
      <c r="H75" s="7" t="s">
        <v>195</v>
      </c>
      <c r="I75" s="7" t="s">
        <v>195</v>
      </c>
      <c r="J75" s="7" t="s">
        <v>195</v>
      </c>
      <c r="K75" s="7" t="s">
        <v>195</v>
      </c>
      <c r="L75" s="7" t="s">
        <v>195</v>
      </c>
      <c r="M75" s="7" t="s">
        <v>29</v>
      </c>
      <c r="N75" s="7" t="s">
        <v>29</v>
      </c>
      <c r="O75" s="7" t="s">
        <v>29</v>
      </c>
      <c r="P75" s="7" t="s">
        <v>29</v>
      </c>
      <c r="Q75" s="7" t="s">
        <v>29</v>
      </c>
      <c r="R75" s="7" t="s">
        <v>29</v>
      </c>
      <c r="S75" s="7" t="s">
        <v>29</v>
      </c>
    </row>
    <row r="76" spans="2:19">
      <c r="B76" s="7" t="s">
        <v>195</v>
      </c>
      <c r="C76" s="8" t="s">
        <v>195</v>
      </c>
      <c r="D76" s="5" t="str">
        <f>LRTRIM(CONCATENATE(IF(SUMPRODUCT(-- ISNUMBER(SEARCH({"Auto Number"}, $B76))) &gt; 0, $B76, IF(SUMPRODUCT(-- ISNUMBER(SEARCH({"Lookup","Master-Detail"}, $B76))) &gt; 0,$B76 &amp; "(" &amp; $E76 &amp; ")",IF(SUMPRODUCT(-- ISNUMBER(SEARCH({"Formula","Roll-Up Summary"}, $B76))) &gt; 0,$B76 &amp; " (" &amp; $E76 &amp; ")",IF(SUMPRODUCT(-- ISNUMBER(SEARCH({"Content","Currency","Number","Percent","Text","URL"}, $B76))) &gt; 0,$B76 &amp; "(" &amp; $C76 &amp; ")",$B76)))), "  ", TRIM(IF($S76 = "YES", "(External ID)", "") &amp; " " &amp; IF(SUMPRODUCT(-- ISNUMBER(SEARCH({"Unique","Unique Case Insensitive"}, $R76))) &gt; 0, "(" &amp; $R76 &amp; ")", ""))))</f>
        <v>na</v>
      </c>
      <c r="E76" s="7" t="s">
        <v>195</v>
      </c>
      <c r="F76" s="7" t="s">
        <v>195</v>
      </c>
      <c r="G76" s="7" t="s">
        <v>195</v>
      </c>
      <c r="H76" s="7" t="s">
        <v>195</v>
      </c>
      <c r="I76" s="7" t="s">
        <v>195</v>
      </c>
      <c r="J76" s="7" t="s">
        <v>195</v>
      </c>
      <c r="K76" s="7" t="s">
        <v>195</v>
      </c>
      <c r="L76" s="7" t="s">
        <v>195</v>
      </c>
      <c r="M76" s="7" t="s">
        <v>29</v>
      </c>
      <c r="N76" s="7" t="s">
        <v>29</v>
      </c>
      <c r="O76" s="7" t="s">
        <v>29</v>
      </c>
      <c r="P76" s="7" t="s">
        <v>29</v>
      </c>
      <c r="Q76" s="7" t="s">
        <v>29</v>
      </c>
      <c r="R76" s="7" t="s">
        <v>29</v>
      </c>
      <c r="S76" s="7" t="s">
        <v>29</v>
      </c>
    </row>
    <row r="77" spans="2:19">
      <c r="B77" s="7" t="s">
        <v>195</v>
      </c>
      <c r="C77" s="8" t="s">
        <v>195</v>
      </c>
      <c r="D77" s="5" t="str">
        <f>LRTRIM(CONCATENATE(IF(SUMPRODUCT(-- ISNUMBER(SEARCH({"Auto Number"}, $B77))) &gt; 0, $B77, IF(SUMPRODUCT(-- ISNUMBER(SEARCH({"Lookup","Master-Detail"}, $B77))) &gt; 0,$B77 &amp; "(" &amp; $E77 &amp; ")",IF(SUMPRODUCT(-- ISNUMBER(SEARCH({"Formula","Roll-Up Summary"}, $B77))) &gt; 0,$B77 &amp; " (" &amp; $E77 &amp; ")",IF(SUMPRODUCT(-- ISNUMBER(SEARCH({"Content","Currency","Number","Percent","Text","URL"}, $B77))) &gt; 0,$B77 &amp; "(" &amp; $C77 &amp; ")",$B77)))), "  ", TRIM(IF($S77 = "YES", "(External ID)", "") &amp; " " &amp; IF(SUMPRODUCT(-- ISNUMBER(SEARCH({"Unique","Unique Case Insensitive"}, $R77))) &gt; 0, "(" &amp; $R77 &amp; ")", ""))))</f>
        <v>na</v>
      </c>
      <c r="E77" s="7" t="s">
        <v>195</v>
      </c>
      <c r="F77" s="7" t="s">
        <v>195</v>
      </c>
      <c r="G77" s="7" t="s">
        <v>195</v>
      </c>
      <c r="H77" s="7" t="s">
        <v>195</v>
      </c>
      <c r="I77" s="7" t="s">
        <v>195</v>
      </c>
      <c r="J77" s="7" t="s">
        <v>195</v>
      </c>
      <c r="K77" s="7" t="s">
        <v>195</v>
      </c>
      <c r="L77" s="7" t="s">
        <v>195</v>
      </c>
      <c r="M77" s="7" t="s">
        <v>29</v>
      </c>
      <c r="N77" s="7" t="s">
        <v>29</v>
      </c>
      <c r="O77" s="7" t="s">
        <v>29</v>
      </c>
      <c r="P77" s="7" t="s">
        <v>29</v>
      </c>
      <c r="Q77" s="7" t="s">
        <v>29</v>
      </c>
      <c r="R77" s="7" t="s">
        <v>29</v>
      </c>
      <c r="S77" s="7" t="s">
        <v>29</v>
      </c>
    </row>
    <row r="78" spans="2:19">
      <c r="B78" s="7" t="s">
        <v>195</v>
      </c>
      <c r="C78" s="8" t="s">
        <v>195</v>
      </c>
      <c r="D78" s="5" t="str">
        <f>LRTRIM(CONCATENATE(IF(SUMPRODUCT(-- ISNUMBER(SEARCH({"Auto Number"}, $B78))) &gt; 0, $B78, IF(SUMPRODUCT(-- ISNUMBER(SEARCH({"Lookup","Master-Detail"}, $B78))) &gt; 0,$B78 &amp; "(" &amp; $E78 &amp; ")",IF(SUMPRODUCT(-- ISNUMBER(SEARCH({"Formula","Roll-Up Summary"}, $B78))) &gt; 0,$B78 &amp; " (" &amp; $E78 &amp; ")",IF(SUMPRODUCT(-- ISNUMBER(SEARCH({"Content","Currency","Number","Percent","Text","URL"}, $B78))) &gt; 0,$B78 &amp; "(" &amp; $C78 &amp; ")",$B78)))), "  ", TRIM(IF($S78 = "YES", "(External ID)", "") &amp; " " &amp; IF(SUMPRODUCT(-- ISNUMBER(SEARCH({"Unique","Unique Case Insensitive"}, $R78))) &gt; 0, "(" &amp; $R78 &amp; ")", ""))))</f>
        <v>na</v>
      </c>
      <c r="E78" s="7" t="s">
        <v>195</v>
      </c>
      <c r="F78" s="7" t="s">
        <v>195</v>
      </c>
      <c r="G78" s="7" t="s">
        <v>195</v>
      </c>
      <c r="H78" s="7" t="s">
        <v>195</v>
      </c>
      <c r="I78" s="7" t="s">
        <v>195</v>
      </c>
      <c r="J78" s="7" t="s">
        <v>195</v>
      </c>
      <c r="K78" s="7" t="s">
        <v>195</v>
      </c>
      <c r="L78" s="7" t="s">
        <v>195</v>
      </c>
      <c r="M78" s="7" t="s">
        <v>29</v>
      </c>
      <c r="N78" s="7" t="s">
        <v>29</v>
      </c>
      <c r="O78" s="7" t="s">
        <v>29</v>
      </c>
      <c r="P78" s="7" t="s">
        <v>29</v>
      </c>
      <c r="Q78" s="7" t="s">
        <v>29</v>
      </c>
      <c r="R78" s="7" t="s">
        <v>29</v>
      </c>
      <c r="S78" s="7" t="s">
        <v>29</v>
      </c>
    </row>
    <row r="79" spans="2:19">
      <c r="B79" s="7" t="s">
        <v>195</v>
      </c>
      <c r="C79" s="8" t="s">
        <v>195</v>
      </c>
      <c r="D79" s="5" t="str">
        <f>LRTRIM(CONCATENATE(IF(SUMPRODUCT(-- ISNUMBER(SEARCH({"Auto Number"}, $B79))) &gt; 0, $B79, IF(SUMPRODUCT(-- ISNUMBER(SEARCH({"Lookup","Master-Detail"}, $B79))) &gt; 0,$B79 &amp; "(" &amp; $E79 &amp; ")",IF(SUMPRODUCT(-- ISNUMBER(SEARCH({"Formula","Roll-Up Summary"}, $B79))) &gt; 0,$B79 &amp; " (" &amp; $E79 &amp; ")",IF(SUMPRODUCT(-- ISNUMBER(SEARCH({"Content","Currency","Number","Percent","Text","URL"}, $B79))) &gt; 0,$B79 &amp; "(" &amp; $C79 &amp; ")",$B79)))), "  ", TRIM(IF($S79 = "YES", "(External ID)", "") &amp; " " &amp; IF(SUMPRODUCT(-- ISNUMBER(SEARCH({"Unique","Unique Case Insensitive"}, $R79))) &gt; 0, "(" &amp; $R79 &amp; ")", ""))))</f>
        <v>na</v>
      </c>
      <c r="E79" s="7" t="s">
        <v>195</v>
      </c>
      <c r="F79" s="7" t="s">
        <v>195</v>
      </c>
      <c r="G79" s="7" t="s">
        <v>195</v>
      </c>
      <c r="H79" s="7" t="s">
        <v>195</v>
      </c>
      <c r="I79" s="7" t="s">
        <v>195</v>
      </c>
      <c r="J79" s="7" t="s">
        <v>195</v>
      </c>
      <c r="K79" s="7" t="s">
        <v>195</v>
      </c>
      <c r="L79" s="7" t="s">
        <v>195</v>
      </c>
      <c r="M79" s="7" t="s">
        <v>29</v>
      </c>
      <c r="N79" s="7" t="s">
        <v>29</v>
      </c>
      <c r="O79" s="7" t="s">
        <v>29</v>
      </c>
      <c r="P79" s="7" t="s">
        <v>29</v>
      </c>
      <c r="Q79" s="7" t="s">
        <v>29</v>
      </c>
      <c r="R79" s="7" t="s">
        <v>29</v>
      </c>
      <c r="S79" s="7" t="s">
        <v>29</v>
      </c>
    </row>
    <row r="80" spans="2:19">
      <c r="B80" s="7" t="s">
        <v>195</v>
      </c>
      <c r="C80" s="8" t="s">
        <v>195</v>
      </c>
      <c r="D80" s="5" t="str">
        <f>LRTRIM(CONCATENATE(IF(SUMPRODUCT(-- ISNUMBER(SEARCH({"Auto Number"}, $B80))) &gt; 0, $B80, IF(SUMPRODUCT(-- ISNUMBER(SEARCH({"Lookup","Master-Detail"}, $B80))) &gt; 0,$B80 &amp; "(" &amp; $E80 &amp; ")",IF(SUMPRODUCT(-- ISNUMBER(SEARCH({"Formula","Roll-Up Summary"}, $B80))) &gt; 0,$B80 &amp; " (" &amp; $E80 &amp; ")",IF(SUMPRODUCT(-- ISNUMBER(SEARCH({"Content","Currency","Number","Percent","Text","URL"}, $B80))) &gt; 0,$B80 &amp; "(" &amp; $C80 &amp; ")",$B80)))), "  ", TRIM(IF($S80 = "YES", "(External ID)", "") &amp; " " &amp; IF(SUMPRODUCT(-- ISNUMBER(SEARCH({"Unique","Unique Case Insensitive"}, $R80))) &gt; 0, "(" &amp; $R80 &amp; ")", ""))))</f>
        <v>na</v>
      </c>
      <c r="E80" s="7" t="s">
        <v>195</v>
      </c>
      <c r="F80" s="7" t="s">
        <v>195</v>
      </c>
      <c r="G80" s="7" t="s">
        <v>195</v>
      </c>
      <c r="H80" s="7" t="s">
        <v>195</v>
      </c>
      <c r="I80" s="7" t="s">
        <v>195</v>
      </c>
      <c r="J80" s="7" t="s">
        <v>195</v>
      </c>
      <c r="K80" s="7" t="s">
        <v>195</v>
      </c>
      <c r="L80" s="7" t="s">
        <v>195</v>
      </c>
      <c r="M80" s="7" t="s">
        <v>29</v>
      </c>
      <c r="N80" s="7" t="s">
        <v>29</v>
      </c>
      <c r="O80" s="7" t="s">
        <v>29</v>
      </c>
      <c r="P80" s="7" t="s">
        <v>29</v>
      </c>
      <c r="Q80" s="7" t="s">
        <v>29</v>
      </c>
      <c r="R80" s="7" t="s">
        <v>29</v>
      </c>
      <c r="S80" s="7" t="s">
        <v>29</v>
      </c>
    </row>
    <row r="81" spans="2:19">
      <c r="B81" s="7" t="s">
        <v>195</v>
      </c>
      <c r="C81" s="8" t="s">
        <v>195</v>
      </c>
      <c r="D81" s="5" t="str">
        <f>LRTRIM(CONCATENATE(IF(SUMPRODUCT(-- ISNUMBER(SEARCH({"Auto Number"}, $B81))) &gt; 0, $B81, IF(SUMPRODUCT(-- ISNUMBER(SEARCH({"Lookup","Master-Detail"}, $B81))) &gt; 0,$B81 &amp; "(" &amp; $E81 &amp; ")",IF(SUMPRODUCT(-- ISNUMBER(SEARCH({"Formula","Roll-Up Summary"}, $B81))) &gt; 0,$B81 &amp; " (" &amp; $E81 &amp; ")",IF(SUMPRODUCT(-- ISNUMBER(SEARCH({"Content","Currency","Number","Percent","Text","URL"}, $B81))) &gt; 0,$B81 &amp; "(" &amp; $C81 &amp; ")",$B81)))), "  ", TRIM(IF($S81 = "YES", "(External ID)", "") &amp; " " &amp; IF(SUMPRODUCT(-- ISNUMBER(SEARCH({"Unique","Unique Case Insensitive"}, $R81))) &gt; 0, "(" &amp; $R81 &amp; ")", ""))))</f>
        <v>na</v>
      </c>
      <c r="E81" s="7" t="s">
        <v>195</v>
      </c>
      <c r="F81" s="7" t="s">
        <v>195</v>
      </c>
      <c r="G81" s="7" t="s">
        <v>195</v>
      </c>
      <c r="H81" s="7" t="s">
        <v>195</v>
      </c>
      <c r="I81" s="7" t="s">
        <v>195</v>
      </c>
      <c r="J81" s="7" t="s">
        <v>195</v>
      </c>
      <c r="K81" s="7" t="s">
        <v>195</v>
      </c>
      <c r="L81" s="7" t="s">
        <v>195</v>
      </c>
      <c r="M81" s="7" t="s">
        <v>29</v>
      </c>
      <c r="N81" s="7" t="s">
        <v>29</v>
      </c>
      <c r="O81" s="7" t="s">
        <v>29</v>
      </c>
      <c r="P81" s="7" t="s">
        <v>29</v>
      </c>
      <c r="Q81" s="7" t="s">
        <v>29</v>
      </c>
      <c r="R81" s="7" t="s">
        <v>29</v>
      </c>
      <c r="S81" s="7" t="s">
        <v>29</v>
      </c>
    </row>
    <row r="82" spans="2:19">
      <c r="B82" s="7" t="s">
        <v>195</v>
      </c>
      <c r="C82" s="8" t="s">
        <v>195</v>
      </c>
      <c r="D82" s="5" t="str">
        <f>LRTRIM(CONCATENATE(IF(SUMPRODUCT(-- ISNUMBER(SEARCH({"Auto Number"}, $B82))) &gt; 0, $B82, IF(SUMPRODUCT(-- ISNUMBER(SEARCH({"Lookup","Master-Detail"}, $B82))) &gt; 0,$B82 &amp; "(" &amp; $E82 &amp; ")",IF(SUMPRODUCT(-- ISNUMBER(SEARCH({"Formula","Roll-Up Summary"}, $B82))) &gt; 0,$B82 &amp; " (" &amp; $E82 &amp; ")",IF(SUMPRODUCT(-- ISNUMBER(SEARCH({"Content","Currency","Number","Percent","Text","URL"}, $B82))) &gt; 0,$B82 &amp; "(" &amp; $C82 &amp; ")",$B82)))), "  ", TRIM(IF($S82 = "YES", "(External ID)", "") &amp; " " &amp; IF(SUMPRODUCT(-- ISNUMBER(SEARCH({"Unique","Unique Case Insensitive"}, $R82))) &gt; 0, "(" &amp; $R82 &amp; ")", ""))))</f>
        <v>na</v>
      </c>
      <c r="E82" s="7" t="s">
        <v>195</v>
      </c>
      <c r="F82" s="7" t="s">
        <v>195</v>
      </c>
      <c r="G82" s="7" t="s">
        <v>195</v>
      </c>
      <c r="H82" s="7" t="s">
        <v>195</v>
      </c>
      <c r="I82" s="7" t="s">
        <v>195</v>
      </c>
      <c r="J82" s="7" t="s">
        <v>195</v>
      </c>
      <c r="K82" s="7" t="s">
        <v>195</v>
      </c>
      <c r="L82" s="7" t="s">
        <v>195</v>
      </c>
      <c r="M82" s="7" t="s">
        <v>29</v>
      </c>
      <c r="N82" s="7" t="s">
        <v>29</v>
      </c>
      <c r="O82" s="7" t="s">
        <v>29</v>
      </c>
      <c r="P82" s="7" t="s">
        <v>29</v>
      </c>
      <c r="Q82" s="7" t="s">
        <v>29</v>
      </c>
      <c r="R82" s="7" t="s">
        <v>29</v>
      </c>
      <c r="S82" s="7" t="s">
        <v>29</v>
      </c>
    </row>
    <row r="83" spans="2:19">
      <c r="B83" s="7" t="s">
        <v>195</v>
      </c>
      <c r="C83" s="8" t="s">
        <v>195</v>
      </c>
      <c r="D83" s="5" t="str">
        <f>LRTRIM(CONCATENATE(IF(SUMPRODUCT(-- ISNUMBER(SEARCH({"Auto Number"}, $B83))) &gt; 0, $B83, IF(SUMPRODUCT(-- ISNUMBER(SEARCH({"Lookup","Master-Detail"}, $B83))) &gt; 0,$B83 &amp; "(" &amp; $E83 &amp; ")",IF(SUMPRODUCT(-- ISNUMBER(SEARCH({"Formula","Roll-Up Summary"}, $B83))) &gt; 0,$B83 &amp; " (" &amp; $E83 &amp; ")",IF(SUMPRODUCT(-- ISNUMBER(SEARCH({"Content","Currency","Number","Percent","Text","URL"}, $B83))) &gt; 0,$B83 &amp; "(" &amp; $C83 &amp; ")",$B83)))), "  ", TRIM(IF($S83 = "YES", "(External ID)", "") &amp; " " &amp; IF(SUMPRODUCT(-- ISNUMBER(SEARCH({"Unique","Unique Case Insensitive"}, $R83))) &gt; 0, "(" &amp; $R83 &amp; ")", ""))))</f>
        <v>na</v>
      </c>
      <c r="E83" s="7" t="s">
        <v>195</v>
      </c>
      <c r="F83" s="7" t="s">
        <v>195</v>
      </c>
      <c r="G83" s="7" t="s">
        <v>195</v>
      </c>
      <c r="H83" s="7" t="s">
        <v>195</v>
      </c>
      <c r="I83" s="7" t="s">
        <v>195</v>
      </c>
      <c r="J83" s="7" t="s">
        <v>195</v>
      </c>
      <c r="K83" s="7" t="s">
        <v>195</v>
      </c>
      <c r="L83" s="7" t="s">
        <v>195</v>
      </c>
      <c r="M83" s="7" t="s">
        <v>29</v>
      </c>
      <c r="N83" s="7" t="s">
        <v>29</v>
      </c>
      <c r="O83" s="7" t="s">
        <v>29</v>
      </c>
      <c r="P83" s="7" t="s">
        <v>29</v>
      </c>
      <c r="Q83" s="7" t="s">
        <v>29</v>
      </c>
      <c r="R83" s="7" t="s">
        <v>29</v>
      </c>
      <c r="S83" s="7" t="s">
        <v>29</v>
      </c>
    </row>
    <row r="84" spans="2:19">
      <c r="B84" s="7" t="s">
        <v>195</v>
      </c>
      <c r="C84" s="8" t="s">
        <v>195</v>
      </c>
      <c r="D84" s="5" t="str">
        <f>LRTRIM(CONCATENATE(IF(SUMPRODUCT(-- ISNUMBER(SEARCH({"Auto Number"}, $B84))) &gt; 0, $B84, IF(SUMPRODUCT(-- ISNUMBER(SEARCH({"Lookup","Master-Detail"}, $B84))) &gt; 0,$B84 &amp; "(" &amp; $E84 &amp; ")",IF(SUMPRODUCT(-- ISNUMBER(SEARCH({"Formula","Roll-Up Summary"}, $B84))) &gt; 0,$B84 &amp; " (" &amp; $E84 &amp; ")",IF(SUMPRODUCT(-- ISNUMBER(SEARCH({"Content","Currency","Number","Percent","Text","URL"}, $B84))) &gt; 0,$B84 &amp; "(" &amp; $C84 &amp; ")",$B84)))), "  ", TRIM(IF($S84 = "YES", "(External ID)", "") &amp; " " &amp; IF(SUMPRODUCT(-- ISNUMBER(SEARCH({"Unique","Unique Case Insensitive"}, $R84))) &gt; 0, "(" &amp; $R84 &amp; ")", ""))))</f>
        <v>na</v>
      </c>
      <c r="E84" s="7" t="s">
        <v>195</v>
      </c>
      <c r="F84" s="7" t="s">
        <v>195</v>
      </c>
      <c r="G84" s="7" t="s">
        <v>195</v>
      </c>
      <c r="H84" s="7" t="s">
        <v>195</v>
      </c>
      <c r="I84" s="7" t="s">
        <v>195</v>
      </c>
      <c r="J84" s="7" t="s">
        <v>195</v>
      </c>
      <c r="K84" s="7" t="s">
        <v>195</v>
      </c>
      <c r="L84" s="7" t="s">
        <v>195</v>
      </c>
      <c r="M84" s="7" t="s">
        <v>29</v>
      </c>
      <c r="N84" s="7" t="s">
        <v>29</v>
      </c>
      <c r="O84" s="7" t="s">
        <v>29</v>
      </c>
      <c r="P84" s="7" t="s">
        <v>29</v>
      </c>
      <c r="Q84" s="7" t="s">
        <v>29</v>
      </c>
      <c r="R84" s="7" t="s">
        <v>29</v>
      </c>
      <c r="S84" s="7" t="s">
        <v>29</v>
      </c>
    </row>
    <row r="85" spans="2:19">
      <c r="B85" s="7" t="s">
        <v>195</v>
      </c>
      <c r="C85" s="8" t="s">
        <v>195</v>
      </c>
      <c r="D85" s="5" t="str">
        <f>LRTRIM(CONCATENATE(IF(SUMPRODUCT(-- ISNUMBER(SEARCH({"Auto Number"}, $B85))) &gt; 0, $B85, IF(SUMPRODUCT(-- ISNUMBER(SEARCH({"Lookup","Master-Detail"}, $B85))) &gt; 0,$B85 &amp; "(" &amp; $E85 &amp; ")",IF(SUMPRODUCT(-- ISNUMBER(SEARCH({"Formula","Roll-Up Summary"}, $B85))) &gt; 0,$B85 &amp; " (" &amp; $E85 &amp; ")",IF(SUMPRODUCT(-- ISNUMBER(SEARCH({"Content","Currency","Number","Percent","Text","URL"}, $B85))) &gt; 0,$B85 &amp; "(" &amp; $C85 &amp; ")",$B85)))), "  ", TRIM(IF($S85 = "YES", "(External ID)", "") &amp; " " &amp; IF(SUMPRODUCT(-- ISNUMBER(SEARCH({"Unique","Unique Case Insensitive"}, $R85))) &gt; 0, "(" &amp; $R85 &amp; ")", ""))))</f>
        <v>na</v>
      </c>
      <c r="E85" s="7" t="s">
        <v>195</v>
      </c>
      <c r="F85" s="7" t="s">
        <v>195</v>
      </c>
      <c r="G85" s="7" t="s">
        <v>195</v>
      </c>
      <c r="H85" s="7" t="s">
        <v>195</v>
      </c>
      <c r="I85" s="7" t="s">
        <v>195</v>
      </c>
      <c r="J85" s="7" t="s">
        <v>195</v>
      </c>
      <c r="K85" s="7" t="s">
        <v>195</v>
      </c>
      <c r="L85" s="7" t="s">
        <v>195</v>
      </c>
      <c r="M85" s="7" t="s">
        <v>29</v>
      </c>
      <c r="N85" s="7" t="s">
        <v>29</v>
      </c>
      <c r="O85" s="7" t="s">
        <v>29</v>
      </c>
      <c r="P85" s="7" t="s">
        <v>29</v>
      </c>
      <c r="Q85" s="7" t="s">
        <v>29</v>
      </c>
      <c r="R85" s="7" t="s">
        <v>29</v>
      </c>
      <c r="S85" s="7" t="s">
        <v>29</v>
      </c>
    </row>
    <row r="86" spans="2:19">
      <c r="B86" s="7" t="s">
        <v>195</v>
      </c>
      <c r="C86" s="8" t="s">
        <v>195</v>
      </c>
      <c r="D86" s="5" t="str">
        <f>LRTRIM(CONCATENATE(IF(SUMPRODUCT(-- ISNUMBER(SEARCH({"Auto Number"}, $B86))) &gt; 0, $B86, IF(SUMPRODUCT(-- ISNUMBER(SEARCH({"Lookup","Master-Detail"}, $B86))) &gt; 0,$B86 &amp; "(" &amp; $E86 &amp; ")",IF(SUMPRODUCT(-- ISNUMBER(SEARCH({"Formula","Roll-Up Summary"}, $B86))) &gt; 0,$B86 &amp; " (" &amp; $E86 &amp; ")",IF(SUMPRODUCT(-- ISNUMBER(SEARCH({"Content","Currency","Number","Percent","Text","URL"}, $B86))) &gt; 0,$B86 &amp; "(" &amp; $C86 &amp; ")",$B86)))), "  ", TRIM(IF($S86 = "YES", "(External ID)", "") &amp; " " &amp; IF(SUMPRODUCT(-- ISNUMBER(SEARCH({"Unique","Unique Case Insensitive"}, $R86))) &gt; 0, "(" &amp; $R86 &amp; ")", ""))))</f>
        <v>na</v>
      </c>
      <c r="E86" s="7" t="s">
        <v>195</v>
      </c>
      <c r="F86" s="7" t="s">
        <v>195</v>
      </c>
      <c r="G86" s="7" t="s">
        <v>195</v>
      </c>
      <c r="H86" s="7" t="s">
        <v>195</v>
      </c>
      <c r="I86" s="7" t="s">
        <v>195</v>
      </c>
      <c r="J86" s="7" t="s">
        <v>195</v>
      </c>
      <c r="K86" s="7" t="s">
        <v>195</v>
      </c>
      <c r="L86" s="7" t="s">
        <v>195</v>
      </c>
      <c r="M86" s="7" t="s">
        <v>29</v>
      </c>
      <c r="N86" s="7" t="s">
        <v>29</v>
      </c>
      <c r="O86" s="7" t="s">
        <v>29</v>
      </c>
      <c r="P86" s="7" t="s">
        <v>29</v>
      </c>
      <c r="Q86" s="7" t="s">
        <v>29</v>
      </c>
      <c r="R86" s="7" t="s">
        <v>29</v>
      </c>
      <c r="S86" s="7" t="s">
        <v>29</v>
      </c>
    </row>
    <row r="87" spans="2:19">
      <c r="B87" s="7" t="s">
        <v>195</v>
      </c>
      <c r="C87" s="8" t="s">
        <v>195</v>
      </c>
      <c r="D87" s="5" t="str">
        <f>LRTRIM(CONCATENATE(IF(SUMPRODUCT(-- ISNUMBER(SEARCH({"Auto Number"}, $B87))) &gt; 0, $B87, IF(SUMPRODUCT(-- ISNUMBER(SEARCH({"Lookup","Master-Detail"}, $B87))) &gt; 0,$B87 &amp; "(" &amp; $E87 &amp; ")",IF(SUMPRODUCT(-- ISNUMBER(SEARCH({"Formula","Roll-Up Summary"}, $B87))) &gt; 0,$B87 &amp; " (" &amp; $E87 &amp; ")",IF(SUMPRODUCT(-- ISNUMBER(SEARCH({"Content","Currency","Number","Percent","Text","URL"}, $B87))) &gt; 0,$B87 &amp; "(" &amp; $C87 &amp; ")",$B87)))), "  ", TRIM(IF($S87 = "YES", "(External ID)", "") &amp; " " &amp; IF(SUMPRODUCT(-- ISNUMBER(SEARCH({"Unique","Unique Case Insensitive"}, $R87))) &gt; 0, "(" &amp; $R87 &amp; ")", ""))))</f>
        <v>na</v>
      </c>
      <c r="E87" s="7" t="s">
        <v>195</v>
      </c>
      <c r="F87" s="7" t="s">
        <v>195</v>
      </c>
      <c r="G87" s="7" t="s">
        <v>195</v>
      </c>
      <c r="H87" s="7" t="s">
        <v>195</v>
      </c>
      <c r="I87" s="7" t="s">
        <v>195</v>
      </c>
      <c r="J87" s="7" t="s">
        <v>195</v>
      </c>
      <c r="K87" s="7" t="s">
        <v>195</v>
      </c>
      <c r="L87" s="7" t="s">
        <v>195</v>
      </c>
      <c r="M87" s="7" t="s">
        <v>29</v>
      </c>
      <c r="N87" s="7" t="s">
        <v>29</v>
      </c>
      <c r="O87" s="7" t="s">
        <v>29</v>
      </c>
      <c r="P87" s="7" t="s">
        <v>29</v>
      </c>
      <c r="Q87" s="7" t="s">
        <v>29</v>
      </c>
      <c r="R87" s="7" t="s">
        <v>29</v>
      </c>
      <c r="S87" s="7" t="s">
        <v>29</v>
      </c>
    </row>
    <row r="88" spans="2:19">
      <c r="B88" s="7" t="s">
        <v>195</v>
      </c>
      <c r="C88" s="8" t="s">
        <v>195</v>
      </c>
      <c r="D88" s="5" t="str">
        <f>LRTRIM(CONCATENATE(IF(SUMPRODUCT(-- ISNUMBER(SEARCH({"Auto Number"}, $B88))) &gt; 0, $B88, IF(SUMPRODUCT(-- ISNUMBER(SEARCH({"Lookup","Master-Detail"}, $B88))) &gt; 0,$B88 &amp; "(" &amp; $E88 &amp; ")",IF(SUMPRODUCT(-- ISNUMBER(SEARCH({"Formula","Roll-Up Summary"}, $B88))) &gt; 0,$B88 &amp; " (" &amp; $E88 &amp; ")",IF(SUMPRODUCT(-- ISNUMBER(SEARCH({"Content","Currency","Number","Percent","Text","URL"}, $B88))) &gt; 0,$B88 &amp; "(" &amp; $C88 &amp; ")",$B88)))), "  ", TRIM(IF($S88 = "YES", "(External ID)", "") &amp; " " &amp; IF(SUMPRODUCT(-- ISNUMBER(SEARCH({"Unique","Unique Case Insensitive"}, $R88))) &gt; 0, "(" &amp; $R88 &amp; ")", ""))))</f>
        <v>na</v>
      </c>
      <c r="E88" s="7" t="s">
        <v>195</v>
      </c>
      <c r="F88" s="7" t="s">
        <v>195</v>
      </c>
      <c r="G88" s="7" t="s">
        <v>195</v>
      </c>
      <c r="H88" s="7" t="s">
        <v>195</v>
      </c>
      <c r="I88" s="7" t="s">
        <v>195</v>
      </c>
      <c r="J88" s="7" t="s">
        <v>195</v>
      </c>
      <c r="K88" s="7" t="s">
        <v>195</v>
      </c>
      <c r="L88" s="7" t="s">
        <v>195</v>
      </c>
      <c r="M88" s="7" t="s">
        <v>29</v>
      </c>
      <c r="N88" s="7" t="s">
        <v>29</v>
      </c>
      <c r="O88" s="7" t="s">
        <v>29</v>
      </c>
      <c r="P88" s="7" t="s">
        <v>29</v>
      </c>
      <c r="Q88" s="7" t="s">
        <v>29</v>
      </c>
      <c r="R88" s="7" t="s">
        <v>29</v>
      </c>
      <c r="S88" s="7" t="s">
        <v>29</v>
      </c>
    </row>
    <row r="89" spans="2:19">
      <c r="B89" s="7" t="s">
        <v>195</v>
      </c>
      <c r="C89" s="8" t="s">
        <v>195</v>
      </c>
      <c r="D89" s="5" t="str">
        <f>LRTRIM(CONCATENATE(IF(SUMPRODUCT(-- ISNUMBER(SEARCH({"Auto Number"}, $B89))) &gt; 0, $B89, IF(SUMPRODUCT(-- ISNUMBER(SEARCH({"Lookup","Master-Detail"}, $B89))) &gt; 0,$B89 &amp; "(" &amp; $E89 &amp; ")",IF(SUMPRODUCT(-- ISNUMBER(SEARCH({"Formula","Roll-Up Summary"}, $B89))) &gt; 0,$B89 &amp; " (" &amp; $E89 &amp; ")",IF(SUMPRODUCT(-- ISNUMBER(SEARCH({"Content","Currency","Number","Percent","Text","URL"}, $B89))) &gt; 0,$B89 &amp; "(" &amp; $C89 &amp; ")",$B89)))), "  ", TRIM(IF($S89 = "YES", "(External ID)", "") &amp; " " &amp; IF(SUMPRODUCT(-- ISNUMBER(SEARCH({"Unique","Unique Case Insensitive"}, $R89))) &gt; 0, "(" &amp; $R89 &amp; ")", ""))))</f>
        <v>na</v>
      </c>
      <c r="E89" s="7" t="s">
        <v>195</v>
      </c>
      <c r="F89" s="7" t="s">
        <v>195</v>
      </c>
      <c r="G89" s="7" t="s">
        <v>195</v>
      </c>
      <c r="H89" s="7" t="s">
        <v>195</v>
      </c>
      <c r="I89" s="7" t="s">
        <v>195</v>
      </c>
      <c r="J89" s="7" t="s">
        <v>195</v>
      </c>
      <c r="K89" s="7" t="s">
        <v>195</v>
      </c>
      <c r="L89" s="7" t="s">
        <v>195</v>
      </c>
      <c r="M89" s="7" t="s">
        <v>29</v>
      </c>
      <c r="N89" s="7" t="s">
        <v>29</v>
      </c>
      <c r="O89" s="7" t="s">
        <v>29</v>
      </c>
      <c r="P89" s="7" t="s">
        <v>29</v>
      </c>
      <c r="Q89" s="7" t="s">
        <v>29</v>
      </c>
      <c r="R89" s="7" t="s">
        <v>29</v>
      </c>
      <c r="S89" s="7" t="s">
        <v>29</v>
      </c>
    </row>
    <row r="90" spans="2:19">
      <c r="B90" s="7" t="s">
        <v>195</v>
      </c>
      <c r="C90" s="8" t="s">
        <v>195</v>
      </c>
      <c r="D90" s="5" t="str">
        <f>LRTRIM(CONCATENATE(IF(SUMPRODUCT(-- ISNUMBER(SEARCH({"Auto Number"}, $B90))) &gt; 0, $B90, IF(SUMPRODUCT(-- ISNUMBER(SEARCH({"Lookup","Master-Detail"}, $B90))) &gt; 0,$B90 &amp; "(" &amp; $E90 &amp; ")",IF(SUMPRODUCT(-- ISNUMBER(SEARCH({"Formula","Roll-Up Summary"}, $B90))) &gt; 0,$B90 &amp; " (" &amp; $E90 &amp; ")",IF(SUMPRODUCT(-- ISNUMBER(SEARCH({"Content","Currency","Number","Percent","Text","URL"}, $B90))) &gt; 0,$B90 &amp; "(" &amp; $C90 &amp; ")",$B90)))), "  ", TRIM(IF($S90 = "YES", "(External ID)", "") &amp; " " &amp; IF(SUMPRODUCT(-- ISNUMBER(SEARCH({"Unique","Unique Case Insensitive"}, $R90))) &gt; 0, "(" &amp; $R90 &amp; ")", ""))))</f>
        <v>na</v>
      </c>
      <c r="E90" s="7" t="s">
        <v>195</v>
      </c>
      <c r="F90" s="7" t="s">
        <v>195</v>
      </c>
      <c r="G90" s="7" t="s">
        <v>195</v>
      </c>
      <c r="H90" s="7" t="s">
        <v>195</v>
      </c>
      <c r="I90" s="7" t="s">
        <v>195</v>
      </c>
      <c r="J90" s="7" t="s">
        <v>195</v>
      </c>
      <c r="K90" s="7" t="s">
        <v>195</v>
      </c>
      <c r="L90" s="7" t="s">
        <v>195</v>
      </c>
      <c r="M90" s="7" t="s">
        <v>29</v>
      </c>
      <c r="N90" s="7" t="s">
        <v>29</v>
      </c>
      <c r="O90" s="7" t="s">
        <v>29</v>
      </c>
      <c r="P90" s="7" t="s">
        <v>29</v>
      </c>
      <c r="Q90" s="7" t="s">
        <v>29</v>
      </c>
      <c r="R90" s="7" t="s">
        <v>29</v>
      </c>
      <c r="S90" s="7" t="s">
        <v>29</v>
      </c>
    </row>
    <row r="91" spans="2:19">
      <c r="B91" s="7" t="s">
        <v>195</v>
      </c>
      <c r="C91" s="8" t="s">
        <v>195</v>
      </c>
      <c r="D91" s="5" t="str">
        <f>LRTRIM(CONCATENATE(IF(SUMPRODUCT(-- ISNUMBER(SEARCH({"Auto Number"}, $B91))) &gt; 0, $B91, IF(SUMPRODUCT(-- ISNUMBER(SEARCH({"Lookup","Master-Detail"}, $B91))) &gt; 0,$B91 &amp; "(" &amp; $E91 &amp; ")",IF(SUMPRODUCT(-- ISNUMBER(SEARCH({"Formula","Roll-Up Summary"}, $B91))) &gt; 0,$B91 &amp; " (" &amp; $E91 &amp; ")",IF(SUMPRODUCT(-- ISNUMBER(SEARCH({"Content","Currency","Number","Percent","Text","URL"}, $B91))) &gt; 0,$B91 &amp; "(" &amp; $C91 &amp; ")",$B91)))), "  ", TRIM(IF($S91 = "YES", "(External ID)", "") &amp; " " &amp; IF(SUMPRODUCT(-- ISNUMBER(SEARCH({"Unique","Unique Case Insensitive"}, $R91))) &gt; 0, "(" &amp; $R91 &amp; ")", ""))))</f>
        <v>na</v>
      </c>
      <c r="E91" s="7" t="s">
        <v>195</v>
      </c>
      <c r="F91" s="7" t="s">
        <v>195</v>
      </c>
      <c r="G91" s="7" t="s">
        <v>195</v>
      </c>
      <c r="H91" s="7" t="s">
        <v>195</v>
      </c>
      <c r="I91" s="7" t="s">
        <v>195</v>
      </c>
      <c r="J91" s="7" t="s">
        <v>195</v>
      </c>
      <c r="K91" s="7" t="s">
        <v>195</v>
      </c>
      <c r="L91" s="7" t="s">
        <v>195</v>
      </c>
      <c r="M91" s="7" t="s">
        <v>29</v>
      </c>
      <c r="N91" s="7" t="s">
        <v>29</v>
      </c>
      <c r="O91" s="7" t="s">
        <v>29</v>
      </c>
      <c r="P91" s="7" t="s">
        <v>29</v>
      </c>
      <c r="Q91" s="7" t="s">
        <v>29</v>
      </c>
      <c r="R91" s="7" t="s">
        <v>29</v>
      </c>
      <c r="S91" s="7" t="s">
        <v>29</v>
      </c>
    </row>
    <row r="92" spans="2:19">
      <c r="B92" s="7" t="s">
        <v>195</v>
      </c>
      <c r="C92" s="8" t="s">
        <v>195</v>
      </c>
      <c r="D92" s="5" t="str">
        <f>LRTRIM(CONCATENATE(IF(SUMPRODUCT(-- ISNUMBER(SEARCH({"Auto Number"}, $B92))) &gt; 0, $B92, IF(SUMPRODUCT(-- ISNUMBER(SEARCH({"Lookup","Master-Detail"}, $B92))) &gt; 0,$B92 &amp; "(" &amp; $E92 &amp; ")",IF(SUMPRODUCT(-- ISNUMBER(SEARCH({"Formula","Roll-Up Summary"}, $B92))) &gt; 0,$B92 &amp; " (" &amp; $E92 &amp; ")",IF(SUMPRODUCT(-- ISNUMBER(SEARCH({"Content","Currency","Number","Percent","Text","URL"}, $B92))) &gt; 0,$B92 &amp; "(" &amp; $C92 &amp; ")",$B92)))), "  ", TRIM(IF($S92 = "YES", "(External ID)", "") &amp; " " &amp; IF(SUMPRODUCT(-- ISNUMBER(SEARCH({"Unique","Unique Case Insensitive"}, $R92))) &gt; 0, "(" &amp; $R92 &amp; ")", ""))))</f>
        <v>na</v>
      </c>
      <c r="E92" s="7" t="s">
        <v>195</v>
      </c>
      <c r="F92" s="7" t="s">
        <v>195</v>
      </c>
      <c r="G92" s="7" t="s">
        <v>195</v>
      </c>
      <c r="H92" s="7" t="s">
        <v>195</v>
      </c>
      <c r="I92" s="7" t="s">
        <v>195</v>
      </c>
      <c r="J92" s="7" t="s">
        <v>195</v>
      </c>
      <c r="K92" s="7" t="s">
        <v>195</v>
      </c>
      <c r="L92" s="7" t="s">
        <v>195</v>
      </c>
      <c r="M92" s="7" t="s">
        <v>29</v>
      </c>
      <c r="N92" s="7" t="s">
        <v>29</v>
      </c>
      <c r="O92" s="7" t="s">
        <v>29</v>
      </c>
      <c r="P92" s="7" t="s">
        <v>29</v>
      </c>
      <c r="Q92" s="7" t="s">
        <v>29</v>
      </c>
      <c r="R92" s="7" t="s">
        <v>29</v>
      </c>
      <c r="S92" s="7" t="s">
        <v>29</v>
      </c>
    </row>
    <row r="93" spans="2:19">
      <c r="B93" s="7" t="s">
        <v>195</v>
      </c>
      <c r="C93" s="8" t="s">
        <v>195</v>
      </c>
      <c r="D93" s="5" t="str">
        <f>LRTRIM(CONCATENATE(IF(SUMPRODUCT(-- ISNUMBER(SEARCH({"Auto Number"}, $B93))) &gt; 0, $B93, IF(SUMPRODUCT(-- ISNUMBER(SEARCH({"Lookup","Master-Detail"}, $B93))) &gt; 0,$B93 &amp; "(" &amp; $E93 &amp; ")",IF(SUMPRODUCT(-- ISNUMBER(SEARCH({"Formula","Roll-Up Summary"}, $B93))) &gt; 0,$B93 &amp; " (" &amp; $E93 &amp; ")",IF(SUMPRODUCT(-- ISNUMBER(SEARCH({"Content","Currency","Number","Percent","Text","URL"}, $B93))) &gt; 0,$B93 &amp; "(" &amp; $C93 &amp; ")",$B93)))), "  ", TRIM(IF($S93 = "YES", "(External ID)", "") &amp; " " &amp; IF(SUMPRODUCT(-- ISNUMBER(SEARCH({"Unique","Unique Case Insensitive"}, $R93))) &gt; 0, "(" &amp; $R93 &amp; ")", ""))))</f>
        <v>na</v>
      </c>
      <c r="E93" s="7" t="s">
        <v>195</v>
      </c>
      <c r="F93" s="7" t="s">
        <v>195</v>
      </c>
      <c r="G93" s="7" t="s">
        <v>195</v>
      </c>
      <c r="H93" s="7" t="s">
        <v>195</v>
      </c>
      <c r="I93" s="7" t="s">
        <v>195</v>
      </c>
      <c r="J93" s="7" t="s">
        <v>195</v>
      </c>
      <c r="K93" s="7" t="s">
        <v>195</v>
      </c>
      <c r="L93" s="7" t="s">
        <v>195</v>
      </c>
      <c r="M93" s="7" t="s">
        <v>29</v>
      </c>
      <c r="N93" s="7" t="s">
        <v>29</v>
      </c>
      <c r="O93" s="7" t="s">
        <v>29</v>
      </c>
      <c r="P93" s="7" t="s">
        <v>29</v>
      </c>
      <c r="Q93" s="7" t="s">
        <v>29</v>
      </c>
      <c r="R93" s="7" t="s">
        <v>29</v>
      </c>
      <c r="S93" s="7" t="s">
        <v>29</v>
      </c>
    </row>
    <row r="94" spans="2:19">
      <c r="B94" s="7" t="s">
        <v>195</v>
      </c>
      <c r="C94" s="8" t="s">
        <v>195</v>
      </c>
      <c r="D94" s="5" t="str">
        <f>LRTRIM(CONCATENATE(IF(SUMPRODUCT(-- ISNUMBER(SEARCH({"Auto Number"}, $B94))) &gt; 0, $B94, IF(SUMPRODUCT(-- ISNUMBER(SEARCH({"Lookup","Master-Detail"}, $B94))) &gt; 0,$B94 &amp; "(" &amp; $E94 &amp; ")",IF(SUMPRODUCT(-- ISNUMBER(SEARCH({"Formula","Roll-Up Summary"}, $B94))) &gt; 0,$B94 &amp; " (" &amp; $E94 &amp; ")",IF(SUMPRODUCT(-- ISNUMBER(SEARCH({"Content","Currency","Number","Percent","Text","URL"}, $B94))) &gt; 0,$B94 &amp; "(" &amp; $C94 &amp; ")",$B94)))), "  ", TRIM(IF($S94 = "YES", "(External ID)", "") &amp; " " &amp; IF(SUMPRODUCT(-- ISNUMBER(SEARCH({"Unique","Unique Case Insensitive"}, $R94))) &gt; 0, "(" &amp; $R94 &amp; ")", ""))))</f>
        <v>na</v>
      </c>
      <c r="E94" s="7" t="s">
        <v>195</v>
      </c>
      <c r="F94" s="7" t="s">
        <v>195</v>
      </c>
      <c r="G94" s="7" t="s">
        <v>195</v>
      </c>
      <c r="H94" s="7" t="s">
        <v>195</v>
      </c>
      <c r="I94" s="7" t="s">
        <v>195</v>
      </c>
      <c r="J94" s="7" t="s">
        <v>195</v>
      </c>
      <c r="K94" s="7" t="s">
        <v>195</v>
      </c>
      <c r="L94" s="7" t="s">
        <v>195</v>
      </c>
      <c r="M94" s="7" t="s">
        <v>29</v>
      </c>
      <c r="N94" s="7" t="s">
        <v>29</v>
      </c>
      <c r="O94" s="7" t="s">
        <v>29</v>
      </c>
      <c r="P94" s="7" t="s">
        <v>29</v>
      </c>
      <c r="Q94" s="7" t="s">
        <v>29</v>
      </c>
      <c r="R94" s="7" t="s">
        <v>29</v>
      </c>
      <c r="S94" s="7" t="s">
        <v>29</v>
      </c>
    </row>
    <row r="95" spans="2:19">
      <c r="B95" s="7" t="s">
        <v>195</v>
      </c>
      <c r="C95" s="8" t="s">
        <v>195</v>
      </c>
      <c r="D95" s="5" t="str">
        <f>LRTRIM(CONCATENATE(IF(SUMPRODUCT(-- ISNUMBER(SEARCH({"Auto Number"}, $B95))) &gt; 0, $B95, IF(SUMPRODUCT(-- ISNUMBER(SEARCH({"Lookup","Master-Detail"}, $B95))) &gt; 0,$B95 &amp; "(" &amp; $E95 &amp; ")",IF(SUMPRODUCT(-- ISNUMBER(SEARCH({"Formula","Roll-Up Summary"}, $B95))) &gt; 0,$B95 &amp; " (" &amp; $E95 &amp; ")",IF(SUMPRODUCT(-- ISNUMBER(SEARCH({"Content","Currency","Number","Percent","Text","URL"}, $B95))) &gt; 0,$B95 &amp; "(" &amp; $C95 &amp; ")",$B95)))), "  ", TRIM(IF($S95 = "YES", "(External ID)", "") &amp; " " &amp; IF(SUMPRODUCT(-- ISNUMBER(SEARCH({"Unique","Unique Case Insensitive"}, $R95))) &gt; 0, "(" &amp; $R95 &amp; ")", ""))))</f>
        <v>na</v>
      </c>
      <c r="E95" s="7" t="s">
        <v>195</v>
      </c>
      <c r="F95" s="7" t="s">
        <v>195</v>
      </c>
      <c r="G95" s="7" t="s">
        <v>195</v>
      </c>
      <c r="H95" s="7" t="s">
        <v>195</v>
      </c>
      <c r="I95" s="7" t="s">
        <v>195</v>
      </c>
      <c r="J95" s="7" t="s">
        <v>195</v>
      </c>
      <c r="K95" s="7" t="s">
        <v>195</v>
      </c>
      <c r="L95" s="7" t="s">
        <v>195</v>
      </c>
      <c r="M95" s="7" t="s">
        <v>29</v>
      </c>
      <c r="N95" s="7" t="s">
        <v>29</v>
      </c>
      <c r="O95" s="7" t="s">
        <v>29</v>
      </c>
      <c r="P95" s="7" t="s">
        <v>29</v>
      </c>
      <c r="Q95" s="7" t="s">
        <v>29</v>
      </c>
      <c r="R95" s="7" t="s">
        <v>29</v>
      </c>
      <c r="S95" s="7" t="s">
        <v>29</v>
      </c>
    </row>
    <row r="96" spans="2:19">
      <c r="B96" s="7" t="s">
        <v>195</v>
      </c>
      <c r="C96" s="8" t="s">
        <v>195</v>
      </c>
      <c r="D96" s="5" t="str">
        <f>LRTRIM(CONCATENATE(IF(SUMPRODUCT(-- ISNUMBER(SEARCH({"Auto Number"}, $B96))) &gt; 0, $B96, IF(SUMPRODUCT(-- ISNUMBER(SEARCH({"Lookup","Master-Detail"}, $B96))) &gt; 0,$B96 &amp; "(" &amp; $E96 &amp; ")",IF(SUMPRODUCT(-- ISNUMBER(SEARCH({"Formula","Roll-Up Summary"}, $B96))) &gt; 0,$B96 &amp; " (" &amp; $E96 &amp; ")",IF(SUMPRODUCT(-- ISNUMBER(SEARCH({"Content","Currency","Number","Percent","Text","URL"}, $B96))) &gt; 0,$B96 &amp; "(" &amp; $C96 &amp; ")",$B96)))), "  ", TRIM(IF($S96 = "YES", "(External ID)", "") &amp; " " &amp; IF(SUMPRODUCT(-- ISNUMBER(SEARCH({"Unique","Unique Case Insensitive"}, $R96))) &gt; 0, "(" &amp; $R96 &amp; ")", ""))))</f>
        <v>na</v>
      </c>
      <c r="E96" s="7" t="s">
        <v>195</v>
      </c>
      <c r="F96" s="7" t="s">
        <v>195</v>
      </c>
      <c r="G96" s="7" t="s">
        <v>195</v>
      </c>
      <c r="H96" s="7" t="s">
        <v>195</v>
      </c>
      <c r="I96" s="7" t="s">
        <v>195</v>
      </c>
      <c r="J96" s="7" t="s">
        <v>195</v>
      </c>
      <c r="K96" s="7" t="s">
        <v>195</v>
      </c>
      <c r="L96" s="7" t="s">
        <v>195</v>
      </c>
      <c r="M96" s="7" t="s">
        <v>29</v>
      </c>
      <c r="N96" s="7" t="s">
        <v>29</v>
      </c>
      <c r="O96" s="7" t="s">
        <v>29</v>
      </c>
      <c r="P96" s="7" t="s">
        <v>29</v>
      </c>
      <c r="Q96" s="7" t="s">
        <v>29</v>
      </c>
      <c r="R96" s="7" t="s">
        <v>29</v>
      </c>
      <c r="S96" s="7" t="s">
        <v>29</v>
      </c>
    </row>
    <row r="97" spans="2:19">
      <c r="B97" s="7" t="s">
        <v>195</v>
      </c>
      <c r="C97" s="8" t="s">
        <v>195</v>
      </c>
      <c r="D97" s="5" t="str">
        <f>LRTRIM(CONCATENATE(IF(SUMPRODUCT(-- ISNUMBER(SEARCH({"Auto Number"}, $B97))) &gt; 0, $B97, IF(SUMPRODUCT(-- ISNUMBER(SEARCH({"Lookup","Master-Detail"}, $B97))) &gt; 0,$B97 &amp; "(" &amp; $E97 &amp; ")",IF(SUMPRODUCT(-- ISNUMBER(SEARCH({"Formula","Roll-Up Summary"}, $B97))) &gt; 0,$B97 &amp; " (" &amp; $E97 &amp; ")",IF(SUMPRODUCT(-- ISNUMBER(SEARCH({"Content","Currency","Number","Percent","Text","URL"}, $B97))) &gt; 0,$B97 &amp; "(" &amp; $C97 &amp; ")",$B97)))), "  ", TRIM(IF($S97 = "YES", "(External ID)", "") &amp; " " &amp; IF(SUMPRODUCT(-- ISNUMBER(SEARCH({"Unique","Unique Case Insensitive"}, $R97))) &gt; 0, "(" &amp; $R97 &amp; ")", ""))))</f>
        <v>na</v>
      </c>
      <c r="E97" s="7" t="s">
        <v>195</v>
      </c>
      <c r="F97" s="7" t="s">
        <v>195</v>
      </c>
      <c r="G97" s="7" t="s">
        <v>195</v>
      </c>
      <c r="H97" s="7" t="s">
        <v>195</v>
      </c>
      <c r="I97" s="7" t="s">
        <v>195</v>
      </c>
      <c r="J97" s="7" t="s">
        <v>195</v>
      </c>
      <c r="K97" s="7" t="s">
        <v>195</v>
      </c>
      <c r="L97" s="7" t="s">
        <v>195</v>
      </c>
      <c r="M97" s="7" t="s">
        <v>29</v>
      </c>
      <c r="N97" s="7" t="s">
        <v>29</v>
      </c>
      <c r="O97" s="7" t="s">
        <v>29</v>
      </c>
      <c r="P97" s="7" t="s">
        <v>29</v>
      </c>
      <c r="Q97" s="7" t="s">
        <v>29</v>
      </c>
      <c r="R97" s="7" t="s">
        <v>29</v>
      </c>
      <c r="S97" s="7" t="s">
        <v>29</v>
      </c>
    </row>
    <row r="98" spans="2:19">
      <c r="B98" s="7" t="s">
        <v>195</v>
      </c>
      <c r="C98" s="8" t="s">
        <v>195</v>
      </c>
      <c r="D98" s="5" t="str">
        <f>LRTRIM(CONCATENATE(IF(SUMPRODUCT(-- ISNUMBER(SEARCH({"Auto Number"}, $B98))) &gt; 0, $B98, IF(SUMPRODUCT(-- ISNUMBER(SEARCH({"Lookup","Master-Detail"}, $B98))) &gt; 0,$B98 &amp; "(" &amp; $E98 &amp; ")",IF(SUMPRODUCT(-- ISNUMBER(SEARCH({"Formula","Roll-Up Summary"}, $B98))) &gt; 0,$B98 &amp; " (" &amp; $E98 &amp; ")",IF(SUMPRODUCT(-- ISNUMBER(SEARCH({"Content","Currency","Number","Percent","Text","URL"}, $B98))) &gt; 0,$B98 &amp; "(" &amp; $C98 &amp; ")",$B98)))), "  ", TRIM(IF($S98 = "YES", "(External ID)", "") &amp; " " &amp; IF(SUMPRODUCT(-- ISNUMBER(SEARCH({"Unique","Unique Case Insensitive"}, $R98))) &gt; 0, "(" &amp; $R98 &amp; ")", ""))))</f>
        <v>na</v>
      </c>
      <c r="E98" s="7" t="s">
        <v>195</v>
      </c>
      <c r="F98" s="7" t="s">
        <v>195</v>
      </c>
      <c r="G98" s="7" t="s">
        <v>195</v>
      </c>
      <c r="H98" s="7" t="s">
        <v>195</v>
      </c>
      <c r="I98" s="7" t="s">
        <v>195</v>
      </c>
      <c r="J98" s="7" t="s">
        <v>195</v>
      </c>
      <c r="K98" s="7" t="s">
        <v>195</v>
      </c>
      <c r="L98" s="7" t="s">
        <v>195</v>
      </c>
      <c r="M98" s="7" t="s">
        <v>29</v>
      </c>
      <c r="N98" s="7" t="s">
        <v>29</v>
      </c>
      <c r="O98" s="7" t="s">
        <v>29</v>
      </c>
      <c r="P98" s="7" t="s">
        <v>29</v>
      </c>
      <c r="Q98" s="7" t="s">
        <v>29</v>
      </c>
      <c r="R98" s="7" t="s">
        <v>29</v>
      </c>
      <c r="S98" s="7" t="s">
        <v>29</v>
      </c>
    </row>
    <row r="99" spans="2:19">
      <c r="B99" s="7" t="s">
        <v>195</v>
      </c>
      <c r="C99" s="8" t="s">
        <v>195</v>
      </c>
      <c r="D99" s="5" t="str">
        <f>LRTRIM(CONCATENATE(IF(SUMPRODUCT(-- ISNUMBER(SEARCH({"Auto Number"}, $B99))) &gt; 0, $B99, IF(SUMPRODUCT(-- ISNUMBER(SEARCH({"Lookup","Master-Detail"}, $B99))) &gt; 0,$B99 &amp; "(" &amp; $E99 &amp; ")",IF(SUMPRODUCT(-- ISNUMBER(SEARCH({"Formula","Roll-Up Summary"}, $B99))) &gt; 0,$B99 &amp; " (" &amp; $E99 &amp; ")",IF(SUMPRODUCT(-- ISNUMBER(SEARCH({"Content","Currency","Number","Percent","Text","URL"}, $B99))) &gt; 0,$B99 &amp; "(" &amp; $C99 &amp; ")",$B99)))), "  ", TRIM(IF($S99 = "YES", "(External ID)", "") &amp; " " &amp; IF(SUMPRODUCT(-- ISNUMBER(SEARCH({"Unique","Unique Case Insensitive"}, $R99))) &gt; 0, "(" &amp; $R99 &amp; ")", ""))))</f>
        <v>na</v>
      </c>
      <c r="E99" s="7" t="s">
        <v>195</v>
      </c>
      <c r="F99" s="7" t="s">
        <v>195</v>
      </c>
      <c r="G99" s="7" t="s">
        <v>195</v>
      </c>
      <c r="H99" s="7" t="s">
        <v>195</v>
      </c>
      <c r="I99" s="7" t="s">
        <v>195</v>
      </c>
      <c r="J99" s="7" t="s">
        <v>195</v>
      </c>
      <c r="K99" s="7" t="s">
        <v>195</v>
      </c>
      <c r="L99" s="7" t="s">
        <v>195</v>
      </c>
      <c r="M99" s="7" t="s">
        <v>29</v>
      </c>
      <c r="N99" s="7" t="s">
        <v>29</v>
      </c>
      <c r="O99" s="7" t="s">
        <v>29</v>
      </c>
      <c r="P99" s="7" t="s">
        <v>29</v>
      </c>
      <c r="Q99" s="7" t="s">
        <v>29</v>
      </c>
      <c r="R99" s="7" t="s">
        <v>29</v>
      </c>
      <c r="S99" s="7" t="s">
        <v>29</v>
      </c>
    </row>
    <row r="100" spans="2:19">
      <c r="B100" s="7" t="s">
        <v>195</v>
      </c>
      <c r="C100" s="8" t="s">
        <v>195</v>
      </c>
      <c r="D100" s="5" t="str">
        <f>LRTRIM(CONCATENATE(IF(SUMPRODUCT(-- ISNUMBER(SEARCH({"Auto Number"}, $B100))) &gt; 0, $B100, IF(SUMPRODUCT(-- ISNUMBER(SEARCH({"Lookup","Master-Detail"}, $B100))) &gt; 0,$B100 &amp; "(" &amp; $E100 &amp; ")",IF(SUMPRODUCT(-- ISNUMBER(SEARCH({"Formula","Roll-Up Summary"}, $B100))) &gt; 0,$B100 &amp; " (" &amp; $E100 &amp; ")",IF(SUMPRODUCT(-- ISNUMBER(SEARCH({"Content","Currency","Number","Percent","Text","URL"}, $B100))) &gt; 0,$B100 &amp; "(" &amp; $C100 &amp; ")",$B100)))), "  ", TRIM(IF($S100 = "YES", "(External ID)", "") &amp; " " &amp; IF(SUMPRODUCT(-- ISNUMBER(SEARCH({"Unique","Unique Case Insensitive"}, $R100))) &gt; 0, "(" &amp; $R100 &amp; ")", ""))))</f>
        <v>na</v>
      </c>
      <c r="E100" s="7" t="s">
        <v>195</v>
      </c>
      <c r="F100" s="7" t="s">
        <v>195</v>
      </c>
      <c r="G100" s="7" t="s">
        <v>195</v>
      </c>
      <c r="H100" s="7" t="s">
        <v>195</v>
      </c>
      <c r="I100" s="7" t="s">
        <v>195</v>
      </c>
      <c r="J100" s="7" t="s">
        <v>195</v>
      </c>
      <c r="K100" s="7" t="s">
        <v>195</v>
      </c>
      <c r="L100" s="7" t="s">
        <v>195</v>
      </c>
      <c r="M100" s="7" t="s">
        <v>29</v>
      </c>
      <c r="N100" s="7" t="s">
        <v>29</v>
      </c>
      <c r="O100" s="7" t="s">
        <v>29</v>
      </c>
      <c r="P100" s="7" t="s">
        <v>29</v>
      </c>
      <c r="Q100" s="7" t="s">
        <v>29</v>
      </c>
      <c r="R100" s="7" t="s">
        <v>29</v>
      </c>
      <c r="S100" s="7" t="s">
        <v>29</v>
      </c>
    </row>
    <row r="101" spans="2:19">
      <c r="B101" s="7" t="s">
        <v>195</v>
      </c>
      <c r="C101" s="8" t="s">
        <v>195</v>
      </c>
      <c r="D101" s="5" t="str">
        <f>LRTRIM(CONCATENATE(IF(SUMPRODUCT(-- ISNUMBER(SEARCH({"Auto Number"}, $B101))) &gt; 0, $B101, IF(SUMPRODUCT(-- ISNUMBER(SEARCH({"Lookup","Master-Detail"}, $B101))) &gt; 0,$B101 &amp; "(" &amp; $E101 &amp; ")",IF(SUMPRODUCT(-- ISNUMBER(SEARCH({"Formula","Roll-Up Summary"}, $B101))) &gt; 0,$B101 &amp; " (" &amp; $E101 &amp; ")",IF(SUMPRODUCT(-- ISNUMBER(SEARCH({"Content","Currency","Number","Percent","Text","URL"}, $B101))) &gt; 0,$B101 &amp; "(" &amp; $C101 &amp; ")",$B101)))), "  ", TRIM(IF($S101 = "YES", "(External ID)", "") &amp; " " &amp; IF(SUMPRODUCT(-- ISNUMBER(SEARCH({"Unique","Unique Case Insensitive"}, $R101))) &gt; 0, "(" &amp; $R101 &amp; ")", ""))))</f>
        <v>na</v>
      </c>
      <c r="E101" s="7" t="s">
        <v>195</v>
      </c>
      <c r="F101" s="7" t="s">
        <v>195</v>
      </c>
      <c r="G101" s="7" t="s">
        <v>195</v>
      </c>
      <c r="H101" s="7" t="s">
        <v>195</v>
      </c>
      <c r="I101" s="7" t="s">
        <v>195</v>
      </c>
      <c r="J101" s="7" t="s">
        <v>195</v>
      </c>
      <c r="K101" s="7" t="s">
        <v>195</v>
      </c>
      <c r="L101" s="7" t="s">
        <v>195</v>
      </c>
      <c r="M101" s="7" t="s">
        <v>29</v>
      </c>
      <c r="N101" s="7" t="s">
        <v>29</v>
      </c>
      <c r="O101" s="7" t="s">
        <v>29</v>
      </c>
      <c r="P101" s="7" t="s">
        <v>29</v>
      </c>
      <c r="Q101" s="7" t="s">
        <v>29</v>
      </c>
      <c r="R101" s="7" t="s">
        <v>29</v>
      </c>
      <c r="S101" s="7" t="s">
        <v>29</v>
      </c>
    </row>
    <row r="102" spans="2:19">
      <c r="B102" s="7" t="s">
        <v>195</v>
      </c>
      <c r="C102" s="8" t="s">
        <v>195</v>
      </c>
      <c r="D102" s="5" t="str">
        <f>LRTRIM(CONCATENATE(IF(SUMPRODUCT(-- ISNUMBER(SEARCH({"Auto Number"}, $B102))) &gt; 0, $B102, IF(SUMPRODUCT(-- ISNUMBER(SEARCH({"Lookup","Master-Detail"}, $B102))) &gt; 0,$B102 &amp; "(" &amp; $E102 &amp; ")",IF(SUMPRODUCT(-- ISNUMBER(SEARCH({"Formula","Roll-Up Summary"}, $B102))) &gt; 0,$B102 &amp; " (" &amp; $E102 &amp; ")",IF(SUMPRODUCT(-- ISNUMBER(SEARCH({"Content","Currency","Number","Percent","Text","URL"}, $B102))) &gt; 0,$B102 &amp; "(" &amp; $C102 &amp; ")",$B102)))), "  ", TRIM(IF($S102 = "YES", "(External ID)", "") &amp; " " &amp; IF(SUMPRODUCT(-- ISNUMBER(SEARCH({"Unique","Unique Case Insensitive"}, $R102))) &gt; 0, "(" &amp; $R102 &amp; ")", ""))))</f>
        <v>na</v>
      </c>
      <c r="E102" s="7" t="s">
        <v>195</v>
      </c>
      <c r="F102" s="7" t="s">
        <v>195</v>
      </c>
      <c r="G102" s="7" t="s">
        <v>195</v>
      </c>
      <c r="H102" s="7" t="s">
        <v>195</v>
      </c>
      <c r="I102" s="7" t="s">
        <v>195</v>
      </c>
      <c r="J102" s="7" t="s">
        <v>195</v>
      </c>
      <c r="K102" s="7" t="s">
        <v>195</v>
      </c>
      <c r="L102" s="7" t="s">
        <v>195</v>
      </c>
      <c r="M102" s="7" t="s">
        <v>29</v>
      </c>
      <c r="N102" s="7" t="s">
        <v>29</v>
      </c>
      <c r="O102" s="7" t="s">
        <v>29</v>
      </c>
      <c r="P102" s="7" t="s">
        <v>29</v>
      </c>
      <c r="Q102" s="7" t="s">
        <v>29</v>
      </c>
      <c r="R102" s="7" t="s">
        <v>29</v>
      </c>
      <c r="S102" s="7" t="s">
        <v>29</v>
      </c>
    </row>
    <row r="103" spans="2:19">
      <c r="B103" s="7" t="s">
        <v>195</v>
      </c>
      <c r="C103" s="8" t="s">
        <v>195</v>
      </c>
      <c r="D103" s="5" t="str">
        <f>LRTRIM(CONCATENATE(IF(SUMPRODUCT(-- ISNUMBER(SEARCH({"Auto Number"}, $B103))) &gt; 0, $B103, IF(SUMPRODUCT(-- ISNUMBER(SEARCH({"Lookup","Master-Detail"}, $B103))) &gt; 0,$B103 &amp; "(" &amp; $E103 &amp; ")",IF(SUMPRODUCT(-- ISNUMBER(SEARCH({"Formula","Roll-Up Summary"}, $B103))) &gt; 0,$B103 &amp; " (" &amp; $E103 &amp; ")",IF(SUMPRODUCT(-- ISNUMBER(SEARCH({"Content","Currency","Number","Percent","Text","URL"}, $B103))) &gt; 0,$B103 &amp; "(" &amp; $C103 &amp; ")",$B103)))), "  ", TRIM(IF($S103 = "YES", "(External ID)", "") &amp; " " &amp; IF(SUMPRODUCT(-- ISNUMBER(SEARCH({"Unique","Unique Case Insensitive"}, $R103))) &gt; 0, "(" &amp; $R103 &amp; ")", ""))))</f>
        <v>na</v>
      </c>
      <c r="E103" s="7" t="s">
        <v>195</v>
      </c>
      <c r="F103" s="7" t="s">
        <v>195</v>
      </c>
      <c r="G103" s="7" t="s">
        <v>195</v>
      </c>
      <c r="H103" s="7" t="s">
        <v>195</v>
      </c>
      <c r="I103" s="7" t="s">
        <v>195</v>
      </c>
      <c r="J103" s="7" t="s">
        <v>195</v>
      </c>
      <c r="K103" s="7" t="s">
        <v>195</v>
      </c>
      <c r="L103" s="7" t="s">
        <v>195</v>
      </c>
      <c r="M103" s="7" t="s">
        <v>29</v>
      </c>
      <c r="N103" s="7" t="s">
        <v>29</v>
      </c>
      <c r="O103" s="7" t="s">
        <v>29</v>
      </c>
      <c r="P103" s="7" t="s">
        <v>29</v>
      </c>
      <c r="Q103" s="7" t="s">
        <v>29</v>
      </c>
      <c r="R103" s="7" t="s">
        <v>29</v>
      </c>
      <c r="S103" s="7" t="s">
        <v>29</v>
      </c>
    </row>
    <row r="104" spans="2:19">
      <c r="B104" s="7" t="s">
        <v>195</v>
      </c>
      <c r="C104" s="8" t="s">
        <v>195</v>
      </c>
      <c r="D104" s="5" t="str">
        <f>LRTRIM(CONCATENATE(IF(SUMPRODUCT(-- ISNUMBER(SEARCH({"Auto Number"}, $B104))) &gt; 0, $B104, IF(SUMPRODUCT(-- ISNUMBER(SEARCH({"Lookup","Master-Detail"}, $B104))) &gt; 0,$B104 &amp; "(" &amp; $E104 &amp; ")",IF(SUMPRODUCT(-- ISNUMBER(SEARCH({"Formula","Roll-Up Summary"}, $B104))) &gt; 0,$B104 &amp; " (" &amp; $E104 &amp; ")",IF(SUMPRODUCT(-- ISNUMBER(SEARCH({"Content","Currency","Number","Percent","Text","URL"}, $B104))) &gt; 0,$B104 &amp; "(" &amp; $C104 &amp; ")",$B104)))), "  ", TRIM(IF($S104 = "YES", "(External ID)", "") &amp; " " &amp; IF(SUMPRODUCT(-- ISNUMBER(SEARCH({"Unique","Unique Case Insensitive"}, $R104))) &gt; 0, "(" &amp; $R104 &amp; ")", ""))))</f>
        <v>na</v>
      </c>
      <c r="E104" s="7" t="s">
        <v>195</v>
      </c>
      <c r="F104" s="7" t="s">
        <v>195</v>
      </c>
      <c r="G104" s="7" t="s">
        <v>195</v>
      </c>
      <c r="H104" s="7" t="s">
        <v>195</v>
      </c>
      <c r="I104" s="7" t="s">
        <v>195</v>
      </c>
      <c r="J104" s="7" t="s">
        <v>195</v>
      </c>
      <c r="K104" s="7" t="s">
        <v>195</v>
      </c>
      <c r="L104" s="7" t="s">
        <v>195</v>
      </c>
      <c r="M104" s="7" t="s">
        <v>29</v>
      </c>
      <c r="N104" s="7" t="s">
        <v>29</v>
      </c>
      <c r="O104" s="7" t="s">
        <v>29</v>
      </c>
      <c r="P104" s="7" t="s">
        <v>29</v>
      </c>
      <c r="Q104" s="7" t="s">
        <v>29</v>
      </c>
      <c r="R104" s="7" t="s">
        <v>29</v>
      </c>
      <c r="S104" s="7" t="s">
        <v>29</v>
      </c>
    </row>
    <row r="105" spans="2:19">
      <c r="B105" s="7" t="s">
        <v>195</v>
      </c>
      <c r="C105" s="8" t="s">
        <v>195</v>
      </c>
      <c r="D105" s="5" t="str">
        <f>LRTRIM(CONCATENATE(IF(SUMPRODUCT(-- ISNUMBER(SEARCH({"Auto Number"}, $B105))) &gt; 0, $B105, IF(SUMPRODUCT(-- ISNUMBER(SEARCH({"Lookup","Master-Detail"}, $B105))) &gt; 0,$B105 &amp; "(" &amp; $E105 &amp; ")",IF(SUMPRODUCT(-- ISNUMBER(SEARCH({"Formula","Roll-Up Summary"}, $B105))) &gt; 0,$B105 &amp; " (" &amp; $E105 &amp; ")",IF(SUMPRODUCT(-- ISNUMBER(SEARCH({"Content","Currency","Number","Percent","Text","URL"}, $B105))) &gt; 0,$B105 &amp; "(" &amp; $C105 &amp; ")",$B105)))), "  ", TRIM(IF($S105 = "YES", "(External ID)", "") &amp; " " &amp; IF(SUMPRODUCT(-- ISNUMBER(SEARCH({"Unique","Unique Case Insensitive"}, $R105))) &gt; 0, "(" &amp; $R105 &amp; ")", ""))))</f>
        <v>na</v>
      </c>
      <c r="E105" s="7" t="s">
        <v>195</v>
      </c>
      <c r="F105" s="7" t="s">
        <v>195</v>
      </c>
      <c r="G105" s="7" t="s">
        <v>195</v>
      </c>
      <c r="H105" s="7" t="s">
        <v>195</v>
      </c>
      <c r="I105" s="7" t="s">
        <v>195</v>
      </c>
      <c r="J105" s="7" t="s">
        <v>195</v>
      </c>
      <c r="K105" s="7" t="s">
        <v>195</v>
      </c>
      <c r="L105" s="7" t="s">
        <v>195</v>
      </c>
      <c r="M105" s="7" t="s">
        <v>29</v>
      </c>
      <c r="N105" s="7" t="s">
        <v>29</v>
      </c>
      <c r="O105" s="7" t="s">
        <v>29</v>
      </c>
      <c r="P105" s="7" t="s">
        <v>29</v>
      </c>
      <c r="Q105" s="7" t="s">
        <v>29</v>
      </c>
      <c r="R105" s="7" t="s">
        <v>29</v>
      </c>
      <c r="S105" s="7" t="s">
        <v>29</v>
      </c>
    </row>
    <row r="106" spans="2:19">
      <c r="B106" s="7" t="s">
        <v>195</v>
      </c>
      <c r="C106" s="8" t="s">
        <v>195</v>
      </c>
      <c r="D106" s="5" t="str">
        <f>LRTRIM(CONCATENATE(IF(SUMPRODUCT(-- ISNUMBER(SEARCH({"Auto Number"}, $B106))) &gt; 0, $B106, IF(SUMPRODUCT(-- ISNUMBER(SEARCH({"Lookup","Master-Detail"}, $B106))) &gt; 0,$B106 &amp; "(" &amp; $E106 &amp; ")",IF(SUMPRODUCT(-- ISNUMBER(SEARCH({"Formula","Roll-Up Summary"}, $B106))) &gt; 0,$B106 &amp; " (" &amp; $E106 &amp; ")",IF(SUMPRODUCT(-- ISNUMBER(SEARCH({"Content","Currency","Number","Percent","Text","URL"}, $B106))) &gt; 0,$B106 &amp; "(" &amp; $C106 &amp; ")",$B106)))), "  ", TRIM(IF($S106 = "YES", "(External ID)", "") &amp; " " &amp; IF(SUMPRODUCT(-- ISNUMBER(SEARCH({"Unique","Unique Case Insensitive"}, $R106))) &gt; 0, "(" &amp; $R106 &amp; ")", ""))))</f>
        <v>na</v>
      </c>
      <c r="E106" s="7" t="s">
        <v>195</v>
      </c>
      <c r="F106" s="7" t="s">
        <v>195</v>
      </c>
      <c r="G106" s="7" t="s">
        <v>195</v>
      </c>
      <c r="H106" s="7" t="s">
        <v>195</v>
      </c>
      <c r="I106" s="7" t="s">
        <v>195</v>
      </c>
      <c r="J106" s="7" t="s">
        <v>195</v>
      </c>
      <c r="K106" s="7" t="s">
        <v>195</v>
      </c>
      <c r="L106" s="7" t="s">
        <v>195</v>
      </c>
      <c r="M106" s="7" t="s">
        <v>29</v>
      </c>
      <c r="N106" s="7" t="s">
        <v>29</v>
      </c>
      <c r="O106" s="7" t="s">
        <v>29</v>
      </c>
      <c r="P106" s="7" t="s">
        <v>29</v>
      </c>
      <c r="Q106" s="7" t="s">
        <v>29</v>
      </c>
      <c r="R106" s="7" t="s">
        <v>29</v>
      </c>
      <c r="S106" s="7" t="s">
        <v>29</v>
      </c>
    </row>
    <row r="107" spans="2:19">
      <c r="B107" s="7" t="s">
        <v>195</v>
      </c>
      <c r="C107" s="8" t="s">
        <v>195</v>
      </c>
      <c r="D107" s="5" t="str">
        <f>LRTRIM(CONCATENATE(IF(SUMPRODUCT(-- ISNUMBER(SEARCH({"Auto Number"}, $B107))) &gt; 0, $B107, IF(SUMPRODUCT(-- ISNUMBER(SEARCH({"Lookup","Master-Detail"}, $B107))) &gt; 0,$B107 &amp; "(" &amp; $E107 &amp; ")",IF(SUMPRODUCT(-- ISNUMBER(SEARCH({"Formula","Roll-Up Summary"}, $B107))) &gt; 0,$B107 &amp; " (" &amp; $E107 &amp; ")",IF(SUMPRODUCT(-- ISNUMBER(SEARCH({"Content","Currency","Number","Percent","Text","URL"}, $B107))) &gt; 0,$B107 &amp; "(" &amp; $C107 &amp; ")",$B107)))), "  ", TRIM(IF($S107 = "YES", "(External ID)", "") &amp; " " &amp; IF(SUMPRODUCT(-- ISNUMBER(SEARCH({"Unique","Unique Case Insensitive"}, $R107))) &gt; 0, "(" &amp; $R107 &amp; ")", ""))))</f>
        <v>na</v>
      </c>
      <c r="E107" s="7" t="s">
        <v>195</v>
      </c>
      <c r="F107" s="7" t="s">
        <v>195</v>
      </c>
      <c r="G107" s="7" t="s">
        <v>195</v>
      </c>
      <c r="H107" s="7" t="s">
        <v>195</v>
      </c>
      <c r="I107" s="7" t="s">
        <v>195</v>
      </c>
      <c r="J107" s="7" t="s">
        <v>195</v>
      </c>
      <c r="K107" s="7" t="s">
        <v>195</v>
      </c>
      <c r="L107" s="7" t="s">
        <v>195</v>
      </c>
      <c r="M107" s="7" t="s">
        <v>29</v>
      </c>
      <c r="N107" s="7" t="s">
        <v>29</v>
      </c>
      <c r="O107" s="7" t="s">
        <v>29</v>
      </c>
      <c r="P107" s="7" t="s">
        <v>29</v>
      </c>
      <c r="Q107" s="7" t="s">
        <v>29</v>
      </c>
      <c r="R107" s="7" t="s">
        <v>29</v>
      </c>
      <c r="S107" s="7" t="s">
        <v>29</v>
      </c>
    </row>
    <row r="108" spans="2:19">
      <c r="B108" s="7" t="s">
        <v>195</v>
      </c>
      <c r="C108" s="8" t="s">
        <v>195</v>
      </c>
      <c r="D108" s="5" t="str">
        <f>LRTRIM(CONCATENATE(IF(SUMPRODUCT(-- ISNUMBER(SEARCH({"Auto Number"}, $B108))) &gt; 0, $B108, IF(SUMPRODUCT(-- ISNUMBER(SEARCH({"Lookup","Master-Detail"}, $B108))) &gt; 0,$B108 &amp; "(" &amp; $E108 &amp; ")",IF(SUMPRODUCT(-- ISNUMBER(SEARCH({"Formula","Roll-Up Summary"}, $B108))) &gt; 0,$B108 &amp; " (" &amp; $E108 &amp; ")",IF(SUMPRODUCT(-- ISNUMBER(SEARCH({"Content","Currency","Number","Percent","Text","URL"}, $B108))) &gt; 0,$B108 &amp; "(" &amp; $C108 &amp; ")",$B108)))), "  ", TRIM(IF($S108 = "YES", "(External ID)", "") &amp; " " &amp; IF(SUMPRODUCT(-- ISNUMBER(SEARCH({"Unique","Unique Case Insensitive"}, $R108))) &gt; 0, "(" &amp; $R108 &amp; ")", ""))))</f>
        <v>na</v>
      </c>
      <c r="E108" s="7" t="s">
        <v>195</v>
      </c>
      <c r="F108" s="7" t="s">
        <v>195</v>
      </c>
      <c r="G108" s="7" t="s">
        <v>195</v>
      </c>
      <c r="H108" s="7" t="s">
        <v>195</v>
      </c>
      <c r="I108" s="7" t="s">
        <v>195</v>
      </c>
      <c r="J108" s="7" t="s">
        <v>195</v>
      </c>
      <c r="K108" s="7" t="s">
        <v>195</v>
      </c>
      <c r="L108" s="7" t="s">
        <v>195</v>
      </c>
      <c r="M108" s="7" t="s">
        <v>29</v>
      </c>
      <c r="N108" s="7" t="s">
        <v>29</v>
      </c>
      <c r="O108" s="7" t="s">
        <v>29</v>
      </c>
      <c r="P108" s="7" t="s">
        <v>29</v>
      </c>
      <c r="Q108" s="7" t="s">
        <v>29</v>
      </c>
      <c r="R108" s="7" t="s">
        <v>29</v>
      </c>
      <c r="S108" s="7" t="s">
        <v>29</v>
      </c>
    </row>
    <row r="109" spans="2:19">
      <c r="B109" s="7" t="s">
        <v>195</v>
      </c>
      <c r="C109" s="8" t="s">
        <v>195</v>
      </c>
      <c r="D109" s="5" t="str">
        <f>LRTRIM(CONCATENATE(IF(SUMPRODUCT(-- ISNUMBER(SEARCH({"Auto Number"}, $B109))) &gt; 0, $B109, IF(SUMPRODUCT(-- ISNUMBER(SEARCH({"Lookup","Master-Detail"}, $B109))) &gt; 0,$B109 &amp; "(" &amp; $E109 &amp; ")",IF(SUMPRODUCT(-- ISNUMBER(SEARCH({"Formula","Roll-Up Summary"}, $B109))) &gt; 0,$B109 &amp; " (" &amp; $E109 &amp; ")",IF(SUMPRODUCT(-- ISNUMBER(SEARCH({"Content","Currency","Number","Percent","Text","URL"}, $B109))) &gt; 0,$B109 &amp; "(" &amp; $C109 &amp; ")",$B109)))), "  ", TRIM(IF($S109 = "YES", "(External ID)", "") &amp; " " &amp; IF(SUMPRODUCT(-- ISNUMBER(SEARCH({"Unique","Unique Case Insensitive"}, $R109))) &gt; 0, "(" &amp; $R109 &amp; ")", ""))))</f>
        <v>na</v>
      </c>
      <c r="E109" s="7" t="s">
        <v>195</v>
      </c>
      <c r="F109" s="7" t="s">
        <v>195</v>
      </c>
      <c r="G109" s="7" t="s">
        <v>195</v>
      </c>
      <c r="H109" s="7" t="s">
        <v>195</v>
      </c>
      <c r="I109" s="7" t="s">
        <v>195</v>
      </c>
      <c r="J109" s="7" t="s">
        <v>195</v>
      </c>
      <c r="K109" s="7" t="s">
        <v>195</v>
      </c>
      <c r="L109" s="7" t="s">
        <v>195</v>
      </c>
      <c r="M109" s="7" t="s">
        <v>29</v>
      </c>
      <c r="N109" s="7" t="s">
        <v>29</v>
      </c>
      <c r="O109" s="7" t="s">
        <v>29</v>
      </c>
      <c r="P109" s="7" t="s">
        <v>29</v>
      </c>
      <c r="Q109" s="7" t="s">
        <v>29</v>
      </c>
      <c r="R109" s="7" t="s">
        <v>29</v>
      </c>
      <c r="S109" s="7" t="s">
        <v>29</v>
      </c>
    </row>
    <row r="110" spans="2:19">
      <c r="B110" s="7" t="s">
        <v>195</v>
      </c>
      <c r="C110" s="8" t="s">
        <v>195</v>
      </c>
      <c r="D110" s="5" t="str">
        <f>LRTRIM(CONCATENATE(IF(SUMPRODUCT(-- ISNUMBER(SEARCH({"Auto Number"}, $B110))) &gt; 0, $B110, IF(SUMPRODUCT(-- ISNUMBER(SEARCH({"Lookup","Master-Detail"}, $B110))) &gt; 0,$B110 &amp; "(" &amp; $E110 &amp; ")",IF(SUMPRODUCT(-- ISNUMBER(SEARCH({"Formula","Roll-Up Summary"}, $B110))) &gt; 0,$B110 &amp; " (" &amp; $E110 &amp; ")",IF(SUMPRODUCT(-- ISNUMBER(SEARCH({"Content","Currency","Number","Percent","Text","URL"}, $B110))) &gt; 0,$B110 &amp; "(" &amp; $C110 &amp; ")",$B110)))), "  ", TRIM(IF($S110 = "YES", "(External ID)", "") &amp; " " &amp; IF(SUMPRODUCT(-- ISNUMBER(SEARCH({"Unique","Unique Case Insensitive"}, $R110))) &gt; 0, "(" &amp; $R110 &amp; ")", ""))))</f>
        <v>na</v>
      </c>
      <c r="E110" s="7" t="s">
        <v>195</v>
      </c>
      <c r="F110" s="7" t="s">
        <v>195</v>
      </c>
      <c r="G110" s="7" t="s">
        <v>195</v>
      </c>
      <c r="H110" s="7" t="s">
        <v>195</v>
      </c>
      <c r="I110" s="7" t="s">
        <v>195</v>
      </c>
      <c r="J110" s="7" t="s">
        <v>195</v>
      </c>
      <c r="K110" s="7" t="s">
        <v>195</v>
      </c>
      <c r="L110" s="7" t="s">
        <v>195</v>
      </c>
      <c r="M110" s="7" t="s">
        <v>29</v>
      </c>
      <c r="N110" s="7" t="s">
        <v>29</v>
      </c>
      <c r="O110" s="7" t="s">
        <v>29</v>
      </c>
      <c r="P110" s="7" t="s">
        <v>29</v>
      </c>
      <c r="Q110" s="7" t="s">
        <v>29</v>
      </c>
      <c r="R110" s="7" t="s">
        <v>29</v>
      </c>
      <c r="S110" s="7" t="s">
        <v>29</v>
      </c>
    </row>
    <row r="111" spans="2:19">
      <c r="B111" s="7" t="s">
        <v>195</v>
      </c>
      <c r="C111" s="8" t="s">
        <v>195</v>
      </c>
      <c r="D111" s="5" t="str">
        <f>LRTRIM(CONCATENATE(IF(SUMPRODUCT(-- ISNUMBER(SEARCH({"Auto Number"}, $B111))) &gt; 0, $B111, IF(SUMPRODUCT(-- ISNUMBER(SEARCH({"Lookup","Master-Detail"}, $B111))) &gt; 0,$B111 &amp; "(" &amp; $E111 &amp; ")",IF(SUMPRODUCT(-- ISNUMBER(SEARCH({"Formula","Roll-Up Summary"}, $B111))) &gt; 0,$B111 &amp; " (" &amp; $E111 &amp; ")",IF(SUMPRODUCT(-- ISNUMBER(SEARCH({"Content","Currency","Number","Percent","Text","URL"}, $B111))) &gt; 0,$B111 &amp; "(" &amp; $C111 &amp; ")",$B111)))), "  ", TRIM(IF($S111 = "YES", "(External ID)", "") &amp; " " &amp; IF(SUMPRODUCT(-- ISNUMBER(SEARCH({"Unique","Unique Case Insensitive"}, $R111))) &gt; 0, "(" &amp; $R111 &amp; ")", ""))))</f>
        <v>na</v>
      </c>
      <c r="E111" s="7" t="s">
        <v>195</v>
      </c>
      <c r="F111" s="7" t="s">
        <v>195</v>
      </c>
      <c r="G111" s="7" t="s">
        <v>195</v>
      </c>
      <c r="H111" s="7" t="s">
        <v>195</v>
      </c>
      <c r="I111" s="7" t="s">
        <v>195</v>
      </c>
      <c r="J111" s="7" t="s">
        <v>195</v>
      </c>
      <c r="K111" s="7" t="s">
        <v>195</v>
      </c>
      <c r="L111" s="7" t="s">
        <v>195</v>
      </c>
      <c r="M111" s="7" t="s">
        <v>29</v>
      </c>
      <c r="N111" s="7" t="s">
        <v>29</v>
      </c>
      <c r="O111" s="7" t="s">
        <v>29</v>
      </c>
      <c r="P111" s="7" t="s">
        <v>29</v>
      </c>
      <c r="Q111" s="7" t="s">
        <v>29</v>
      </c>
      <c r="R111" s="7" t="s">
        <v>29</v>
      </c>
      <c r="S111" s="7" t="s">
        <v>29</v>
      </c>
    </row>
    <row r="112" spans="2:19">
      <c r="B112" s="7" t="s">
        <v>195</v>
      </c>
      <c r="C112" s="8" t="s">
        <v>195</v>
      </c>
      <c r="D112" s="5" t="str">
        <f>LRTRIM(CONCATENATE(IF(SUMPRODUCT(-- ISNUMBER(SEARCH({"Auto Number"}, $B112))) &gt; 0, $B112, IF(SUMPRODUCT(-- ISNUMBER(SEARCH({"Lookup","Master-Detail"}, $B112))) &gt; 0,$B112 &amp; "(" &amp; $E112 &amp; ")",IF(SUMPRODUCT(-- ISNUMBER(SEARCH({"Formula","Roll-Up Summary"}, $B112))) &gt; 0,$B112 &amp; " (" &amp; $E112 &amp; ")",IF(SUMPRODUCT(-- ISNUMBER(SEARCH({"Content","Currency","Number","Percent","Text","URL"}, $B112))) &gt; 0,$B112 &amp; "(" &amp; $C112 &amp; ")",$B112)))), "  ", TRIM(IF($S112 = "YES", "(External ID)", "") &amp; " " &amp; IF(SUMPRODUCT(-- ISNUMBER(SEARCH({"Unique","Unique Case Insensitive"}, $R112))) &gt; 0, "(" &amp; $R112 &amp; ")", ""))))</f>
        <v>na</v>
      </c>
      <c r="E112" s="7" t="s">
        <v>195</v>
      </c>
      <c r="F112" s="7" t="s">
        <v>195</v>
      </c>
      <c r="G112" s="7" t="s">
        <v>195</v>
      </c>
      <c r="H112" s="7" t="s">
        <v>195</v>
      </c>
      <c r="I112" s="7" t="s">
        <v>195</v>
      </c>
      <c r="J112" s="7" t="s">
        <v>195</v>
      </c>
      <c r="K112" s="7" t="s">
        <v>195</v>
      </c>
      <c r="L112" s="7" t="s">
        <v>195</v>
      </c>
      <c r="M112" s="7" t="s">
        <v>29</v>
      </c>
      <c r="N112" s="7" t="s">
        <v>29</v>
      </c>
      <c r="O112" s="7" t="s">
        <v>29</v>
      </c>
      <c r="P112" s="7" t="s">
        <v>29</v>
      </c>
      <c r="Q112" s="7" t="s">
        <v>29</v>
      </c>
      <c r="R112" s="7" t="s">
        <v>29</v>
      </c>
      <c r="S112" s="7" t="s">
        <v>29</v>
      </c>
    </row>
    <row r="113" spans="2:19">
      <c r="B113" s="7" t="s">
        <v>195</v>
      </c>
      <c r="C113" s="8" t="s">
        <v>195</v>
      </c>
      <c r="D113" s="5" t="str">
        <f>LRTRIM(CONCATENATE(IF(SUMPRODUCT(-- ISNUMBER(SEARCH({"Auto Number"}, $B113))) &gt; 0, $B113, IF(SUMPRODUCT(-- ISNUMBER(SEARCH({"Lookup","Master-Detail"}, $B113))) &gt; 0,$B113 &amp; "(" &amp; $E113 &amp; ")",IF(SUMPRODUCT(-- ISNUMBER(SEARCH({"Formula","Roll-Up Summary"}, $B113))) &gt; 0,$B113 &amp; " (" &amp; $E113 &amp; ")",IF(SUMPRODUCT(-- ISNUMBER(SEARCH({"Content","Currency","Number","Percent","Text","URL"}, $B113))) &gt; 0,$B113 &amp; "(" &amp; $C113 &amp; ")",$B113)))), "  ", TRIM(IF($S113 = "YES", "(External ID)", "") &amp; " " &amp; IF(SUMPRODUCT(-- ISNUMBER(SEARCH({"Unique","Unique Case Insensitive"}, $R113))) &gt; 0, "(" &amp; $R113 &amp; ")", ""))))</f>
        <v>na</v>
      </c>
      <c r="E113" s="7" t="s">
        <v>195</v>
      </c>
      <c r="F113" s="7" t="s">
        <v>195</v>
      </c>
      <c r="G113" s="7" t="s">
        <v>195</v>
      </c>
      <c r="H113" s="7" t="s">
        <v>195</v>
      </c>
      <c r="I113" s="7" t="s">
        <v>195</v>
      </c>
      <c r="J113" s="7" t="s">
        <v>195</v>
      </c>
      <c r="K113" s="7" t="s">
        <v>195</v>
      </c>
      <c r="L113" s="7" t="s">
        <v>195</v>
      </c>
      <c r="M113" s="7" t="s">
        <v>29</v>
      </c>
      <c r="N113" s="7" t="s">
        <v>29</v>
      </c>
      <c r="O113" s="7" t="s">
        <v>29</v>
      </c>
      <c r="P113" s="7" t="s">
        <v>29</v>
      </c>
      <c r="Q113" s="7" t="s">
        <v>29</v>
      </c>
      <c r="R113" s="7" t="s">
        <v>29</v>
      </c>
      <c r="S113" s="7" t="s">
        <v>29</v>
      </c>
    </row>
    <row r="114" spans="2:19">
      <c r="B114" s="7" t="s">
        <v>195</v>
      </c>
      <c r="C114" s="8" t="s">
        <v>195</v>
      </c>
      <c r="D114" s="5" t="str">
        <f>LRTRIM(CONCATENATE(IF(SUMPRODUCT(-- ISNUMBER(SEARCH({"Auto Number"}, $B114))) &gt; 0, $B114, IF(SUMPRODUCT(-- ISNUMBER(SEARCH({"Lookup","Master-Detail"}, $B114))) &gt; 0,$B114 &amp; "(" &amp; $E114 &amp; ")",IF(SUMPRODUCT(-- ISNUMBER(SEARCH({"Formula","Roll-Up Summary"}, $B114))) &gt; 0,$B114 &amp; " (" &amp; $E114 &amp; ")",IF(SUMPRODUCT(-- ISNUMBER(SEARCH({"Content","Currency","Number","Percent","Text","URL"}, $B114))) &gt; 0,$B114 &amp; "(" &amp; $C114 &amp; ")",$B114)))), "  ", TRIM(IF($S114 = "YES", "(External ID)", "") &amp; " " &amp; IF(SUMPRODUCT(-- ISNUMBER(SEARCH({"Unique","Unique Case Insensitive"}, $R114))) &gt; 0, "(" &amp; $R114 &amp; ")", ""))))</f>
        <v>na</v>
      </c>
      <c r="E114" s="7" t="s">
        <v>195</v>
      </c>
      <c r="F114" s="7" t="s">
        <v>195</v>
      </c>
      <c r="G114" s="7" t="s">
        <v>195</v>
      </c>
      <c r="H114" s="7" t="s">
        <v>195</v>
      </c>
      <c r="I114" s="7" t="s">
        <v>195</v>
      </c>
      <c r="J114" s="7" t="s">
        <v>195</v>
      </c>
      <c r="K114" s="7" t="s">
        <v>195</v>
      </c>
      <c r="L114" s="7" t="s">
        <v>195</v>
      </c>
      <c r="M114" s="7" t="s">
        <v>29</v>
      </c>
      <c r="N114" s="7" t="s">
        <v>29</v>
      </c>
      <c r="O114" s="7" t="s">
        <v>29</v>
      </c>
      <c r="P114" s="7" t="s">
        <v>29</v>
      </c>
      <c r="Q114" s="7" t="s">
        <v>29</v>
      </c>
      <c r="R114" s="7" t="s">
        <v>29</v>
      </c>
      <c r="S114" s="7" t="s">
        <v>29</v>
      </c>
    </row>
    <row r="115" spans="2:19">
      <c r="B115" s="7" t="s">
        <v>195</v>
      </c>
      <c r="C115" s="8" t="s">
        <v>195</v>
      </c>
      <c r="D115" s="5" t="str">
        <f>LRTRIM(CONCATENATE(IF(SUMPRODUCT(-- ISNUMBER(SEARCH({"Auto Number"}, $B115))) &gt; 0, $B115, IF(SUMPRODUCT(-- ISNUMBER(SEARCH({"Lookup","Master-Detail"}, $B115))) &gt; 0,$B115 &amp; "(" &amp; $E115 &amp; ")",IF(SUMPRODUCT(-- ISNUMBER(SEARCH({"Formula","Roll-Up Summary"}, $B115))) &gt; 0,$B115 &amp; " (" &amp; $E115 &amp; ")",IF(SUMPRODUCT(-- ISNUMBER(SEARCH({"Content","Currency","Number","Percent","Text","URL"}, $B115))) &gt; 0,$B115 &amp; "(" &amp; $C115 &amp; ")",$B115)))), "  ", TRIM(IF($S115 = "YES", "(External ID)", "") &amp; " " &amp; IF(SUMPRODUCT(-- ISNUMBER(SEARCH({"Unique","Unique Case Insensitive"}, $R115))) &gt; 0, "(" &amp; $R115 &amp; ")", ""))))</f>
        <v>na</v>
      </c>
      <c r="E115" s="7" t="s">
        <v>195</v>
      </c>
      <c r="F115" s="7" t="s">
        <v>195</v>
      </c>
      <c r="G115" s="7" t="s">
        <v>195</v>
      </c>
      <c r="H115" s="7" t="s">
        <v>195</v>
      </c>
      <c r="I115" s="7" t="s">
        <v>195</v>
      </c>
      <c r="J115" s="7" t="s">
        <v>195</v>
      </c>
      <c r="K115" s="7" t="s">
        <v>195</v>
      </c>
      <c r="L115" s="7" t="s">
        <v>195</v>
      </c>
      <c r="M115" s="7" t="s">
        <v>29</v>
      </c>
      <c r="N115" s="7" t="s">
        <v>29</v>
      </c>
      <c r="O115" s="7" t="s">
        <v>29</v>
      </c>
      <c r="P115" s="7" t="s">
        <v>29</v>
      </c>
      <c r="Q115" s="7" t="s">
        <v>29</v>
      </c>
      <c r="R115" s="7" t="s">
        <v>29</v>
      </c>
      <c r="S115" s="7" t="s">
        <v>29</v>
      </c>
    </row>
    <row r="116" spans="2:19">
      <c r="B116" s="7" t="s">
        <v>195</v>
      </c>
      <c r="C116" s="8" t="s">
        <v>195</v>
      </c>
      <c r="D116" s="5" t="str">
        <f>LRTRIM(CONCATENATE(IF(SUMPRODUCT(-- ISNUMBER(SEARCH({"Auto Number"}, $B116))) &gt; 0, $B116, IF(SUMPRODUCT(-- ISNUMBER(SEARCH({"Lookup","Master-Detail"}, $B116))) &gt; 0,$B116 &amp; "(" &amp; $E116 &amp; ")",IF(SUMPRODUCT(-- ISNUMBER(SEARCH({"Formula","Roll-Up Summary"}, $B116))) &gt; 0,$B116 &amp; " (" &amp; $E116 &amp; ")",IF(SUMPRODUCT(-- ISNUMBER(SEARCH({"Content","Currency","Number","Percent","Text","URL"}, $B116))) &gt; 0,$B116 &amp; "(" &amp; $C116 &amp; ")",$B116)))), "  ", TRIM(IF($S116 = "YES", "(External ID)", "") &amp; " " &amp; IF(SUMPRODUCT(-- ISNUMBER(SEARCH({"Unique","Unique Case Insensitive"}, $R116))) &gt; 0, "(" &amp; $R116 &amp; ")", ""))))</f>
        <v>na</v>
      </c>
      <c r="E116" s="7" t="s">
        <v>195</v>
      </c>
      <c r="F116" s="7" t="s">
        <v>195</v>
      </c>
      <c r="G116" s="7" t="s">
        <v>195</v>
      </c>
      <c r="H116" s="7" t="s">
        <v>195</v>
      </c>
      <c r="I116" s="7" t="s">
        <v>195</v>
      </c>
      <c r="J116" s="7" t="s">
        <v>195</v>
      </c>
      <c r="K116" s="7" t="s">
        <v>195</v>
      </c>
      <c r="L116" s="7" t="s">
        <v>195</v>
      </c>
      <c r="M116" s="7" t="s">
        <v>29</v>
      </c>
      <c r="N116" s="7" t="s">
        <v>29</v>
      </c>
      <c r="O116" s="7" t="s">
        <v>29</v>
      </c>
      <c r="P116" s="7" t="s">
        <v>29</v>
      </c>
      <c r="Q116" s="7" t="s">
        <v>29</v>
      </c>
      <c r="R116" s="7" t="s">
        <v>29</v>
      </c>
      <c r="S116" s="7" t="s">
        <v>29</v>
      </c>
    </row>
    <row r="117" spans="2:19">
      <c r="B117" s="7" t="s">
        <v>195</v>
      </c>
      <c r="C117" s="8" t="s">
        <v>195</v>
      </c>
      <c r="D117" s="5" t="str">
        <f>LRTRIM(CONCATENATE(IF(SUMPRODUCT(-- ISNUMBER(SEARCH({"Auto Number"}, $B117))) &gt; 0, $B117, IF(SUMPRODUCT(-- ISNUMBER(SEARCH({"Lookup","Master-Detail"}, $B117))) &gt; 0,$B117 &amp; "(" &amp; $E117 &amp; ")",IF(SUMPRODUCT(-- ISNUMBER(SEARCH({"Formula","Roll-Up Summary"}, $B117))) &gt; 0,$B117 &amp; " (" &amp; $E117 &amp; ")",IF(SUMPRODUCT(-- ISNUMBER(SEARCH({"Content","Currency","Number","Percent","Text","URL"}, $B117))) &gt; 0,$B117 &amp; "(" &amp; $C117 &amp; ")",$B117)))), "  ", TRIM(IF($S117 = "YES", "(External ID)", "") &amp; " " &amp; IF(SUMPRODUCT(-- ISNUMBER(SEARCH({"Unique","Unique Case Insensitive"}, $R117))) &gt; 0, "(" &amp; $R117 &amp; ")", ""))))</f>
        <v>na</v>
      </c>
      <c r="E117" s="7" t="s">
        <v>195</v>
      </c>
      <c r="F117" s="7" t="s">
        <v>195</v>
      </c>
      <c r="G117" s="7" t="s">
        <v>195</v>
      </c>
      <c r="H117" s="7" t="s">
        <v>195</v>
      </c>
      <c r="I117" s="7" t="s">
        <v>195</v>
      </c>
      <c r="J117" s="7" t="s">
        <v>195</v>
      </c>
      <c r="K117" s="7" t="s">
        <v>195</v>
      </c>
      <c r="L117" s="7" t="s">
        <v>195</v>
      </c>
      <c r="M117" s="7" t="s">
        <v>29</v>
      </c>
      <c r="N117" s="7" t="s">
        <v>29</v>
      </c>
      <c r="O117" s="7" t="s">
        <v>29</v>
      </c>
      <c r="P117" s="7" t="s">
        <v>29</v>
      </c>
      <c r="Q117" s="7" t="s">
        <v>29</v>
      </c>
      <c r="R117" s="7" t="s">
        <v>29</v>
      </c>
      <c r="S117" s="7" t="s">
        <v>29</v>
      </c>
    </row>
    <row r="118" spans="2:19">
      <c r="B118" s="7" t="s">
        <v>195</v>
      </c>
      <c r="C118" s="8" t="s">
        <v>195</v>
      </c>
      <c r="D118" s="5" t="str">
        <f>LRTRIM(CONCATENATE(IF(SUMPRODUCT(-- ISNUMBER(SEARCH({"Auto Number"}, $B118))) &gt; 0, $B118, IF(SUMPRODUCT(-- ISNUMBER(SEARCH({"Lookup","Master-Detail"}, $B118))) &gt; 0,$B118 &amp; "(" &amp; $E118 &amp; ")",IF(SUMPRODUCT(-- ISNUMBER(SEARCH({"Formula","Roll-Up Summary"}, $B118))) &gt; 0,$B118 &amp; " (" &amp; $E118 &amp; ")",IF(SUMPRODUCT(-- ISNUMBER(SEARCH({"Content","Currency","Number","Percent","Text","URL"}, $B118))) &gt; 0,$B118 &amp; "(" &amp; $C118 &amp; ")",$B118)))), "  ", TRIM(IF($S118 = "YES", "(External ID)", "") &amp; " " &amp; IF(SUMPRODUCT(-- ISNUMBER(SEARCH({"Unique","Unique Case Insensitive"}, $R118))) &gt; 0, "(" &amp; $R118 &amp; ")", ""))))</f>
        <v>na</v>
      </c>
      <c r="E118" s="7" t="s">
        <v>195</v>
      </c>
      <c r="F118" s="7" t="s">
        <v>195</v>
      </c>
      <c r="G118" s="7" t="s">
        <v>195</v>
      </c>
      <c r="H118" s="7" t="s">
        <v>195</v>
      </c>
      <c r="I118" s="7" t="s">
        <v>195</v>
      </c>
      <c r="J118" s="7" t="s">
        <v>195</v>
      </c>
      <c r="K118" s="7" t="s">
        <v>195</v>
      </c>
      <c r="L118" s="7" t="s">
        <v>195</v>
      </c>
      <c r="M118" s="7" t="s">
        <v>29</v>
      </c>
      <c r="N118" s="7" t="s">
        <v>29</v>
      </c>
      <c r="O118" s="7" t="s">
        <v>29</v>
      </c>
      <c r="P118" s="7" t="s">
        <v>29</v>
      </c>
      <c r="Q118" s="7" t="s">
        <v>29</v>
      </c>
      <c r="R118" s="7" t="s">
        <v>29</v>
      </c>
      <c r="S118" s="7" t="s">
        <v>29</v>
      </c>
    </row>
    <row r="119" spans="2:19">
      <c r="B119" s="7" t="s">
        <v>195</v>
      </c>
      <c r="C119" s="8" t="s">
        <v>195</v>
      </c>
      <c r="D119" s="5" t="str">
        <f>LRTRIM(CONCATENATE(IF(SUMPRODUCT(-- ISNUMBER(SEARCH({"Auto Number"}, $B119))) &gt; 0, $B119, IF(SUMPRODUCT(-- ISNUMBER(SEARCH({"Lookup","Master-Detail"}, $B119))) &gt; 0,$B119 &amp; "(" &amp; $E119 &amp; ")",IF(SUMPRODUCT(-- ISNUMBER(SEARCH({"Formula","Roll-Up Summary"}, $B119))) &gt; 0,$B119 &amp; " (" &amp; $E119 &amp; ")",IF(SUMPRODUCT(-- ISNUMBER(SEARCH({"Content","Currency","Number","Percent","Text","URL"}, $B119))) &gt; 0,$B119 &amp; "(" &amp; $C119 &amp; ")",$B119)))), "  ", TRIM(IF($S119 = "YES", "(External ID)", "") &amp; " " &amp; IF(SUMPRODUCT(-- ISNUMBER(SEARCH({"Unique","Unique Case Insensitive"}, $R119))) &gt; 0, "(" &amp; $R119 &amp; ")", ""))))</f>
        <v>na</v>
      </c>
      <c r="E119" s="7" t="s">
        <v>195</v>
      </c>
      <c r="F119" s="7" t="s">
        <v>195</v>
      </c>
      <c r="G119" s="7" t="s">
        <v>195</v>
      </c>
      <c r="H119" s="7" t="s">
        <v>195</v>
      </c>
      <c r="I119" s="7" t="s">
        <v>195</v>
      </c>
      <c r="J119" s="7" t="s">
        <v>195</v>
      </c>
      <c r="K119" s="7" t="s">
        <v>195</v>
      </c>
      <c r="L119" s="7" t="s">
        <v>195</v>
      </c>
      <c r="M119" s="7" t="s">
        <v>29</v>
      </c>
      <c r="N119" s="7" t="s">
        <v>29</v>
      </c>
      <c r="O119" s="7" t="s">
        <v>29</v>
      </c>
      <c r="P119" s="7" t="s">
        <v>29</v>
      </c>
      <c r="Q119" s="7" t="s">
        <v>29</v>
      </c>
      <c r="R119" s="7" t="s">
        <v>29</v>
      </c>
      <c r="S119" s="7" t="s">
        <v>29</v>
      </c>
    </row>
    <row r="120" spans="2:19">
      <c r="B120" s="7" t="s">
        <v>195</v>
      </c>
      <c r="C120" s="8" t="s">
        <v>195</v>
      </c>
      <c r="D120" s="5" t="str">
        <f>LRTRIM(CONCATENATE(IF(SUMPRODUCT(-- ISNUMBER(SEARCH({"Auto Number"}, $B120))) &gt; 0, $B120, IF(SUMPRODUCT(-- ISNUMBER(SEARCH({"Lookup","Master-Detail"}, $B120))) &gt; 0,$B120 &amp; "(" &amp; $E120 &amp; ")",IF(SUMPRODUCT(-- ISNUMBER(SEARCH({"Formula","Roll-Up Summary"}, $B120))) &gt; 0,$B120 &amp; " (" &amp; $E120 &amp; ")",IF(SUMPRODUCT(-- ISNUMBER(SEARCH({"Content","Currency","Number","Percent","Text","URL"}, $B120))) &gt; 0,$B120 &amp; "(" &amp; $C120 &amp; ")",$B120)))), "  ", TRIM(IF($S120 = "YES", "(External ID)", "") &amp; " " &amp; IF(SUMPRODUCT(-- ISNUMBER(SEARCH({"Unique","Unique Case Insensitive"}, $R120))) &gt; 0, "(" &amp; $R120 &amp; ")", ""))))</f>
        <v>na</v>
      </c>
      <c r="E120" s="7" t="s">
        <v>195</v>
      </c>
      <c r="F120" s="7" t="s">
        <v>195</v>
      </c>
      <c r="G120" s="7" t="s">
        <v>195</v>
      </c>
      <c r="H120" s="7" t="s">
        <v>195</v>
      </c>
      <c r="I120" s="7" t="s">
        <v>195</v>
      </c>
      <c r="J120" s="7" t="s">
        <v>195</v>
      </c>
      <c r="K120" s="7" t="s">
        <v>195</v>
      </c>
      <c r="L120" s="7" t="s">
        <v>195</v>
      </c>
      <c r="M120" s="7" t="s">
        <v>29</v>
      </c>
      <c r="N120" s="7" t="s">
        <v>29</v>
      </c>
      <c r="O120" s="7" t="s">
        <v>29</v>
      </c>
      <c r="P120" s="7" t="s">
        <v>29</v>
      </c>
      <c r="Q120" s="7" t="s">
        <v>29</v>
      </c>
      <c r="R120" s="7" t="s">
        <v>29</v>
      </c>
      <c r="S120" s="7" t="s">
        <v>29</v>
      </c>
    </row>
    <row r="121" spans="2:19">
      <c r="B121" s="7" t="s">
        <v>195</v>
      </c>
      <c r="C121" s="8" t="s">
        <v>195</v>
      </c>
      <c r="D121" s="5" t="str">
        <f>LRTRIM(CONCATENATE(IF(SUMPRODUCT(-- ISNUMBER(SEARCH({"Auto Number"}, $B121))) &gt; 0, $B121, IF(SUMPRODUCT(-- ISNUMBER(SEARCH({"Lookup","Master-Detail"}, $B121))) &gt; 0,$B121 &amp; "(" &amp; $E121 &amp; ")",IF(SUMPRODUCT(-- ISNUMBER(SEARCH({"Formula","Roll-Up Summary"}, $B121))) &gt; 0,$B121 &amp; " (" &amp; $E121 &amp; ")",IF(SUMPRODUCT(-- ISNUMBER(SEARCH({"Content","Currency","Number","Percent","Text","URL"}, $B121))) &gt; 0,$B121 &amp; "(" &amp; $C121 &amp; ")",$B121)))), "  ", TRIM(IF($S121 = "YES", "(External ID)", "") &amp; " " &amp; IF(SUMPRODUCT(-- ISNUMBER(SEARCH({"Unique","Unique Case Insensitive"}, $R121))) &gt; 0, "(" &amp; $R121 &amp; ")", ""))))</f>
        <v>na</v>
      </c>
      <c r="E121" s="7" t="s">
        <v>195</v>
      </c>
      <c r="F121" s="7" t="s">
        <v>195</v>
      </c>
      <c r="G121" s="7" t="s">
        <v>195</v>
      </c>
      <c r="H121" s="7" t="s">
        <v>195</v>
      </c>
      <c r="I121" s="7" t="s">
        <v>195</v>
      </c>
      <c r="J121" s="7" t="s">
        <v>195</v>
      </c>
      <c r="K121" s="7" t="s">
        <v>195</v>
      </c>
      <c r="L121" s="7" t="s">
        <v>195</v>
      </c>
      <c r="M121" s="7" t="s">
        <v>29</v>
      </c>
      <c r="N121" s="7" t="s">
        <v>29</v>
      </c>
      <c r="O121" s="7" t="s">
        <v>29</v>
      </c>
      <c r="P121" s="7" t="s">
        <v>29</v>
      </c>
      <c r="Q121" s="7" t="s">
        <v>29</v>
      </c>
      <c r="R121" s="7" t="s">
        <v>29</v>
      </c>
      <c r="S121" s="7" t="s">
        <v>29</v>
      </c>
    </row>
    <row r="122" spans="2:19">
      <c r="B122" s="7" t="s">
        <v>195</v>
      </c>
      <c r="C122" s="8" t="s">
        <v>195</v>
      </c>
      <c r="D122" s="5" t="str">
        <f>LRTRIM(CONCATENATE(IF(SUMPRODUCT(-- ISNUMBER(SEARCH({"Auto Number"}, $B122))) &gt; 0, $B122, IF(SUMPRODUCT(-- ISNUMBER(SEARCH({"Lookup","Master-Detail"}, $B122))) &gt; 0,$B122 &amp; "(" &amp; $E122 &amp; ")",IF(SUMPRODUCT(-- ISNUMBER(SEARCH({"Formula","Roll-Up Summary"}, $B122))) &gt; 0,$B122 &amp; " (" &amp; $E122 &amp; ")",IF(SUMPRODUCT(-- ISNUMBER(SEARCH({"Content","Currency","Number","Percent","Text","URL"}, $B122))) &gt; 0,$B122 &amp; "(" &amp; $C122 &amp; ")",$B122)))), "  ", TRIM(IF($S122 = "YES", "(External ID)", "") &amp; " " &amp; IF(SUMPRODUCT(-- ISNUMBER(SEARCH({"Unique","Unique Case Insensitive"}, $R122))) &gt; 0, "(" &amp; $R122 &amp; ")", ""))))</f>
        <v>na</v>
      </c>
      <c r="E122" s="7" t="s">
        <v>195</v>
      </c>
      <c r="F122" s="7" t="s">
        <v>195</v>
      </c>
      <c r="G122" s="7" t="s">
        <v>195</v>
      </c>
      <c r="H122" s="7" t="s">
        <v>195</v>
      </c>
      <c r="I122" s="7" t="s">
        <v>195</v>
      </c>
      <c r="J122" s="7" t="s">
        <v>195</v>
      </c>
      <c r="K122" s="7" t="s">
        <v>195</v>
      </c>
      <c r="L122" s="7" t="s">
        <v>195</v>
      </c>
      <c r="M122" s="7" t="s">
        <v>29</v>
      </c>
      <c r="N122" s="7" t="s">
        <v>29</v>
      </c>
      <c r="O122" s="7" t="s">
        <v>29</v>
      </c>
      <c r="P122" s="7" t="s">
        <v>29</v>
      </c>
      <c r="Q122" s="7" t="s">
        <v>29</v>
      </c>
      <c r="R122" s="7" t="s">
        <v>29</v>
      </c>
      <c r="S122" s="7" t="s">
        <v>29</v>
      </c>
    </row>
    <row r="123" spans="2:19">
      <c r="B123" s="7" t="s">
        <v>195</v>
      </c>
      <c r="C123" s="8" t="s">
        <v>195</v>
      </c>
      <c r="D123" s="5" t="str">
        <f>LRTRIM(CONCATENATE(IF(SUMPRODUCT(-- ISNUMBER(SEARCH({"Auto Number"}, $B123))) &gt; 0, $B123, IF(SUMPRODUCT(-- ISNUMBER(SEARCH({"Lookup","Master-Detail"}, $B123))) &gt; 0,$B123 &amp; "(" &amp; $E123 &amp; ")",IF(SUMPRODUCT(-- ISNUMBER(SEARCH({"Formula","Roll-Up Summary"}, $B123))) &gt; 0,$B123 &amp; " (" &amp; $E123 &amp; ")",IF(SUMPRODUCT(-- ISNUMBER(SEARCH({"Content","Currency","Number","Percent","Text","URL"}, $B123))) &gt; 0,$B123 &amp; "(" &amp; $C123 &amp; ")",$B123)))), "  ", TRIM(IF($S123 = "YES", "(External ID)", "") &amp; " " &amp; IF(SUMPRODUCT(-- ISNUMBER(SEARCH({"Unique","Unique Case Insensitive"}, $R123))) &gt; 0, "(" &amp; $R123 &amp; ")", ""))))</f>
        <v>na</v>
      </c>
      <c r="E123" s="7" t="s">
        <v>195</v>
      </c>
      <c r="F123" s="7" t="s">
        <v>195</v>
      </c>
      <c r="G123" s="7" t="s">
        <v>195</v>
      </c>
      <c r="H123" s="7" t="s">
        <v>195</v>
      </c>
      <c r="I123" s="7" t="s">
        <v>195</v>
      </c>
      <c r="J123" s="7" t="s">
        <v>195</v>
      </c>
      <c r="K123" s="7" t="s">
        <v>195</v>
      </c>
      <c r="L123" s="7" t="s">
        <v>195</v>
      </c>
      <c r="M123" s="7" t="s">
        <v>29</v>
      </c>
      <c r="N123" s="7" t="s">
        <v>29</v>
      </c>
      <c r="O123" s="7" t="s">
        <v>29</v>
      </c>
      <c r="P123" s="7" t="s">
        <v>29</v>
      </c>
      <c r="Q123" s="7" t="s">
        <v>29</v>
      </c>
      <c r="R123" s="7" t="s">
        <v>29</v>
      </c>
      <c r="S123" s="7" t="s">
        <v>29</v>
      </c>
    </row>
    <row r="124" spans="2:19">
      <c r="B124" s="7" t="s">
        <v>195</v>
      </c>
      <c r="C124" s="8" t="s">
        <v>195</v>
      </c>
      <c r="D124" s="5" t="str">
        <f>LRTRIM(CONCATENATE(IF(SUMPRODUCT(-- ISNUMBER(SEARCH({"Auto Number"}, $B124))) &gt; 0, $B124, IF(SUMPRODUCT(-- ISNUMBER(SEARCH({"Lookup","Master-Detail"}, $B124))) &gt; 0,$B124 &amp; "(" &amp; $E124 &amp; ")",IF(SUMPRODUCT(-- ISNUMBER(SEARCH({"Formula","Roll-Up Summary"}, $B124))) &gt; 0,$B124 &amp; " (" &amp; $E124 &amp; ")",IF(SUMPRODUCT(-- ISNUMBER(SEARCH({"Content","Currency","Number","Percent","Text","URL"}, $B124))) &gt; 0,$B124 &amp; "(" &amp; $C124 &amp; ")",$B124)))), "  ", TRIM(IF($S124 = "YES", "(External ID)", "") &amp; " " &amp; IF(SUMPRODUCT(-- ISNUMBER(SEARCH({"Unique","Unique Case Insensitive"}, $R124))) &gt; 0, "(" &amp; $R124 &amp; ")", ""))))</f>
        <v>na</v>
      </c>
      <c r="E124" s="7" t="s">
        <v>195</v>
      </c>
      <c r="F124" s="7" t="s">
        <v>195</v>
      </c>
      <c r="G124" s="7" t="s">
        <v>195</v>
      </c>
      <c r="H124" s="7" t="s">
        <v>195</v>
      </c>
      <c r="I124" s="7" t="s">
        <v>195</v>
      </c>
      <c r="J124" s="7" t="s">
        <v>195</v>
      </c>
      <c r="K124" s="7" t="s">
        <v>195</v>
      </c>
      <c r="L124" s="7" t="s">
        <v>195</v>
      </c>
      <c r="M124" s="7" t="s">
        <v>29</v>
      </c>
      <c r="N124" s="7" t="s">
        <v>29</v>
      </c>
      <c r="O124" s="7" t="s">
        <v>29</v>
      </c>
      <c r="P124" s="7" t="s">
        <v>29</v>
      </c>
      <c r="Q124" s="7" t="s">
        <v>29</v>
      </c>
      <c r="R124" s="7" t="s">
        <v>29</v>
      </c>
      <c r="S124" s="7" t="s">
        <v>29</v>
      </c>
    </row>
    <row r="125" spans="2:19">
      <c r="B125" s="7" t="s">
        <v>195</v>
      </c>
      <c r="C125" s="8" t="s">
        <v>195</v>
      </c>
      <c r="D125" s="5" t="str">
        <f>LRTRIM(CONCATENATE(IF(SUMPRODUCT(-- ISNUMBER(SEARCH({"Auto Number"}, $B125))) &gt; 0, $B125, IF(SUMPRODUCT(-- ISNUMBER(SEARCH({"Lookup","Master-Detail"}, $B125))) &gt; 0,$B125 &amp; "(" &amp; $E125 &amp; ")",IF(SUMPRODUCT(-- ISNUMBER(SEARCH({"Formula","Roll-Up Summary"}, $B125))) &gt; 0,$B125 &amp; " (" &amp; $E125 &amp; ")",IF(SUMPRODUCT(-- ISNUMBER(SEARCH({"Content","Currency","Number","Percent","Text","URL"}, $B125))) &gt; 0,$B125 &amp; "(" &amp; $C125 &amp; ")",$B125)))), "  ", TRIM(IF($S125 = "YES", "(External ID)", "") &amp; " " &amp; IF(SUMPRODUCT(-- ISNUMBER(SEARCH({"Unique","Unique Case Insensitive"}, $R125))) &gt; 0, "(" &amp; $R125 &amp; ")", ""))))</f>
        <v>na</v>
      </c>
      <c r="E125" s="7" t="s">
        <v>195</v>
      </c>
      <c r="F125" s="7" t="s">
        <v>195</v>
      </c>
      <c r="G125" s="7" t="s">
        <v>195</v>
      </c>
      <c r="H125" s="7" t="s">
        <v>195</v>
      </c>
      <c r="I125" s="7" t="s">
        <v>195</v>
      </c>
      <c r="J125" s="7" t="s">
        <v>195</v>
      </c>
      <c r="K125" s="7" t="s">
        <v>195</v>
      </c>
      <c r="L125" s="7" t="s">
        <v>195</v>
      </c>
      <c r="M125" s="7" t="s">
        <v>29</v>
      </c>
      <c r="N125" s="7" t="s">
        <v>29</v>
      </c>
      <c r="O125" s="7" t="s">
        <v>29</v>
      </c>
      <c r="P125" s="7" t="s">
        <v>29</v>
      </c>
      <c r="Q125" s="7" t="s">
        <v>29</v>
      </c>
      <c r="R125" s="7" t="s">
        <v>29</v>
      </c>
      <c r="S125" s="7" t="s">
        <v>29</v>
      </c>
    </row>
    <row r="126" spans="2:19">
      <c r="B126" s="7" t="s">
        <v>195</v>
      </c>
      <c r="C126" s="8" t="s">
        <v>195</v>
      </c>
      <c r="D126" s="5" t="str">
        <f>LRTRIM(CONCATENATE(IF(SUMPRODUCT(-- ISNUMBER(SEARCH({"Auto Number"}, $B126))) &gt; 0, $B126, IF(SUMPRODUCT(-- ISNUMBER(SEARCH({"Lookup","Master-Detail"}, $B126))) &gt; 0,$B126 &amp; "(" &amp; $E126 &amp; ")",IF(SUMPRODUCT(-- ISNUMBER(SEARCH({"Formula","Roll-Up Summary"}, $B126))) &gt; 0,$B126 &amp; " (" &amp; $E126 &amp; ")",IF(SUMPRODUCT(-- ISNUMBER(SEARCH({"Content","Currency","Number","Percent","Text","URL"}, $B126))) &gt; 0,$B126 &amp; "(" &amp; $C126 &amp; ")",$B126)))), "  ", TRIM(IF($S126 = "YES", "(External ID)", "") &amp; " " &amp; IF(SUMPRODUCT(-- ISNUMBER(SEARCH({"Unique","Unique Case Insensitive"}, $R126))) &gt; 0, "(" &amp; $R126 &amp; ")", ""))))</f>
        <v>na</v>
      </c>
      <c r="E126" s="7" t="s">
        <v>195</v>
      </c>
      <c r="F126" s="7" t="s">
        <v>195</v>
      </c>
      <c r="G126" s="7" t="s">
        <v>195</v>
      </c>
      <c r="H126" s="7" t="s">
        <v>195</v>
      </c>
      <c r="I126" s="7" t="s">
        <v>195</v>
      </c>
      <c r="J126" s="7" t="s">
        <v>195</v>
      </c>
      <c r="K126" s="7" t="s">
        <v>195</v>
      </c>
      <c r="L126" s="7" t="s">
        <v>195</v>
      </c>
      <c r="M126" s="7" t="s">
        <v>29</v>
      </c>
      <c r="N126" s="7" t="s">
        <v>29</v>
      </c>
      <c r="O126" s="7" t="s">
        <v>29</v>
      </c>
      <c r="P126" s="7" t="s">
        <v>29</v>
      </c>
      <c r="Q126" s="7" t="s">
        <v>29</v>
      </c>
      <c r="R126" s="7" t="s">
        <v>29</v>
      </c>
      <c r="S126" s="7" t="s">
        <v>29</v>
      </c>
    </row>
    <row r="127" spans="2:19">
      <c r="B127" s="7" t="s">
        <v>195</v>
      </c>
      <c r="C127" s="8" t="s">
        <v>195</v>
      </c>
      <c r="D127" s="5" t="str">
        <f>LRTRIM(CONCATENATE(IF(SUMPRODUCT(-- ISNUMBER(SEARCH({"Auto Number"}, $B127))) &gt; 0, $B127, IF(SUMPRODUCT(-- ISNUMBER(SEARCH({"Lookup","Master-Detail"}, $B127))) &gt; 0,$B127 &amp; "(" &amp; $E127 &amp; ")",IF(SUMPRODUCT(-- ISNUMBER(SEARCH({"Formula","Roll-Up Summary"}, $B127))) &gt; 0,$B127 &amp; " (" &amp; $E127 &amp; ")",IF(SUMPRODUCT(-- ISNUMBER(SEARCH({"Content","Currency","Number","Percent","Text","URL"}, $B127))) &gt; 0,$B127 &amp; "(" &amp; $C127 &amp; ")",$B127)))), "  ", TRIM(IF($S127 = "YES", "(External ID)", "") &amp; " " &amp; IF(SUMPRODUCT(-- ISNUMBER(SEARCH({"Unique","Unique Case Insensitive"}, $R127))) &gt; 0, "(" &amp; $R127 &amp; ")", ""))))</f>
        <v>na</v>
      </c>
      <c r="E127" s="7" t="s">
        <v>195</v>
      </c>
      <c r="F127" s="7" t="s">
        <v>195</v>
      </c>
      <c r="G127" s="7" t="s">
        <v>195</v>
      </c>
      <c r="H127" s="7" t="s">
        <v>195</v>
      </c>
      <c r="I127" s="7" t="s">
        <v>195</v>
      </c>
      <c r="J127" s="7" t="s">
        <v>195</v>
      </c>
      <c r="K127" s="7" t="s">
        <v>195</v>
      </c>
      <c r="L127" s="7" t="s">
        <v>195</v>
      </c>
      <c r="M127" s="7" t="s">
        <v>29</v>
      </c>
      <c r="N127" s="7" t="s">
        <v>29</v>
      </c>
      <c r="O127" s="7" t="s">
        <v>29</v>
      </c>
      <c r="P127" s="7" t="s">
        <v>29</v>
      </c>
      <c r="Q127" s="7" t="s">
        <v>29</v>
      </c>
      <c r="R127" s="7" t="s">
        <v>29</v>
      </c>
      <c r="S127" s="7" t="s">
        <v>29</v>
      </c>
    </row>
    <row r="128" spans="2:19">
      <c r="B128" s="7" t="s">
        <v>195</v>
      </c>
      <c r="C128" s="8" t="s">
        <v>195</v>
      </c>
      <c r="D128" s="5" t="str">
        <f>LRTRIM(CONCATENATE(IF(SUMPRODUCT(-- ISNUMBER(SEARCH({"Auto Number"}, $B128))) &gt; 0, $B128, IF(SUMPRODUCT(-- ISNUMBER(SEARCH({"Lookup","Master-Detail"}, $B128))) &gt; 0,$B128 &amp; "(" &amp; $E128 &amp; ")",IF(SUMPRODUCT(-- ISNUMBER(SEARCH({"Formula","Roll-Up Summary"}, $B128))) &gt; 0,$B128 &amp; " (" &amp; $E128 &amp; ")",IF(SUMPRODUCT(-- ISNUMBER(SEARCH({"Content","Currency","Number","Percent","Text","URL"}, $B128))) &gt; 0,$B128 &amp; "(" &amp; $C128 &amp; ")",$B128)))), "  ", TRIM(IF($S128 = "YES", "(External ID)", "") &amp; " " &amp; IF(SUMPRODUCT(-- ISNUMBER(SEARCH({"Unique","Unique Case Insensitive"}, $R128))) &gt; 0, "(" &amp; $R128 &amp; ")", ""))))</f>
        <v>na</v>
      </c>
      <c r="E128" s="7" t="s">
        <v>195</v>
      </c>
      <c r="F128" s="7" t="s">
        <v>195</v>
      </c>
      <c r="G128" s="7" t="s">
        <v>195</v>
      </c>
      <c r="H128" s="7" t="s">
        <v>195</v>
      </c>
      <c r="I128" s="7" t="s">
        <v>195</v>
      </c>
      <c r="J128" s="7" t="s">
        <v>195</v>
      </c>
      <c r="K128" s="7" t="s">
        <v>195</v>
      </c>
      <c r="L128" s="7" t="s">
        <v>195</v>
      </c>
      <c r="M128" s="7" t="s">
        <v>29</v>
      </c>
      <c r="N128" s="7" t="s">
        <v>29</v>
      </c>
      <c r="O128" s="7" t="s">
        <v>29</v>
      </c>
      <c r="P128" s="7" t="s">
        <v>29</v>
      </c>
      <c r="Q128" s="7" t="s">
        <v>29</v>
      </c>
      <c r="R128" s="7" t="s">
        <v>29</v>
      </c>
      <c r="S128" s="7" t="s">
        <v>29</v>
      </c>
    </row>
    <row r="129" spans="2:19">
      <c r="B129" s="7" t="s">
        <v>195</v>
      </c>
      <c r="C129" s="8" t="s">
        <v>195</v>
      </c>
      <c r="D129" s="5" t="str">
        <f>LRTRIM(CONCATENATE(IF(SUMPRODUCT(-- ISNUMBER(SEARCH({"Auto Number"}, $B129))) &gt; 0, $B129, IF(SUMPRODUCT(-- ISNUMBER(SEARCH({"Lookup","Master-Detail"}, $B129))) &gt; 0,$B129 &amp; "(" &amp; $E129 &amp; ")",IF(SUMPRODUCT(-- ISNUMBER(SEARCH({"Formula","Roll-Up Summary"}, $B129))) &gt; 0,$B129 &amp; " (" &amp; $E129 &amp; ")",IF(SUMPRODUCT(-- ISNUMBER(SEARCH({"Content","Currency","Number","Percent","Text","URL"}, $B129))) &gt; 0,$B129 &amp; "(" &amp; $C129 &amp; ")",$B129)))), "  ", TRIM(IF($S129 = "YES", "(External ID)", "") &amp; " " &amp; IF(SUMPRODUCT(-- ISNUMBER(SEARCH({"Unique","Unique Case Insensitive"}, $R129))) &gt; 0, "(" &amp; $R129 &amp; ")", ""))))</f>
        <v>na</v>
      </c>
      <c r="E129" s="7" t="s">
        <v>195</v>
      </c>
      <c r="F129" s="7" t="s">
        <v>195</v>
      </c>
      <c r="G129" s="7" t="s">
        <v>195</v>
      </c>
      <c r="H129" s="7" t="s">
        <v>195</v>
      </c>
      <c r="I129" s="7" t="s">
        <v>195</v>
      </c>
      <c r="J129" s="7" t="s">
        <v>195</v>
      </c>
      <c r="K129" s="7" t="s">
        <v>195</v>
      </c>
      <c r="L129" s="7" t="s">
        <v>195</v>
      </c>
      <c r="M129" s="7" t="s">
        <v>29</v>
      </c>
      <c r="N129" s="7" t="s">
        <v>29</v>
      </c>
      <c r="O129" s="7" t="s">
        <v>29</v>
      </c>
      <c r="P129" s="7" t="s">
        <v>29</v>
      </c>
      <c r="Q129" s="7" t="s">
        <v>29</v>
      </c>
      <c r="R129" s="7" t="s">
        <v>29</v>
      </c>
      <c r="S129" s="7" t="s">
        <v>29</v>
      </c>
    </row>
    <row r="130" spans="2:19">
      <c r="B130" s="7" t="s">
        <v>195</v>
      </c>
      <c r="C130" s="8" t="s">
        <v>195</v>
      </c>
      <c r="D130" s="5" t="str">
        <f>LRTRIM(CONCATENATE(IF(SUMPRODUCT(-- ISNUMBER(SEARCH({"Auto Number"}, $B130))) &gt; 0, $B130, IF(SUMPRODUCT(-- ISNUMBER(SEARCH({"Lookup","Master-Detail"}, $B130))) &gt; 0,$B130 &amp; "(" &amp; $E130 &amp; ")",IF(SUMPRODUCT(-- ISNUMBER(SEARCH({"Formula","Roll-Up Summary"}, $B130))) &gt; 0,$B130 &amp; " (" &amp; $E130 &amp; ")",IF(SUMPRODUCT(-- ISNUMBER(SEARCH({"Content","Currency","Number","Percent","Text","URL"}, $B130))) &gt; 0,$B130 &amp; "(" &amp; $C130 &amp; ")",$B130)))), "  ", TRIM(IF($S130 = "YES", "(External ID)", "") &amp; " " &amp; IF(SUMPRODUCT(-- ISNUMBER(SEARCH({"Unique","Unique Case Insensitive"}, $R130))) &gt; 0, "(" &amp; $R130 &amp; ")", ""))))</f>
        <v>na</v>
      </c>
      <c r="E130" s="7" t="s">
        <v>195</v>
      </c>
      <c r="F130" s="7" t="s">
        <v>195</v>
      </c>
      <c r="G130" s="7" t="s">
        <v>195</v>
      </c>
      <c r="H130" s="7" t="s">
        <v>195</v>
      </c>
      <c r="I130" s="7" t="s">
        <v>195</v>
      </c>
      <c r="J130" s="7" t="s">
        <v>195</v>
      </c>
      <c r="K130" s="7" t="s">
        <v>195</v>
      </c>
      <c r="L130" s="7" t="s">
        <v>195</v>
      </c>
      <c r="M130" s="7" t="s">
        <v>29</v>
      </c>
      <c r="N130" s="7" t="s">
        <v>29</v>
      </c>
      <c r="O130" s="7" t="s">
        <v>29</v>
      </c>
      <c r="P130" s="7" t="s">
        <v>29</v>
      </c>
      <c r="Q130" s="7" t="s">
        <v>29</v>
      </c>
      <c r="R130" s="7" t="s">
        <v>29</v>
      </c>
      <c r="S130" s="7" t="s">
        <v>29</v>
      </c>
    </row>
    <row r="131" spans="2:19">
      <c r="B131" s="7" t="s">
        <v>195</v>
      </c>
      <c r="C131" s="8" t="s">
        <v>195</v>
      </c>
      <c r="D131" s="5" t="str">
        <f>LRTRIM(CONCATENATE(IF(SUMPRODUCT(-- ISNUMBER(SEARCH({"Auto Number"}, $B131))) &gt; 0, $B131, IF(SUMPRODUCT(-- ISNUMBER(SEARCH({"Lookup","Master-Detail"}, $B131))) &gt; 0,$B131 &amp; "(" &amp; $E131 &amp; ")",IF(SUMPRODUCT(-- ISNUMBER(SEARCH({"Formula","Roll-Up Summary"}, $B131))) &gt; 0,$B131 &amp; " (" &amp; $E131 &amp; ")",IF(SUMPRODUCT(-- ISNUMBER(SEARCH({"Content","Currency","Number","Percent","Text","URL"}, $B131))) &gt; 0,$B131 &amp; "(" &amp; $C131 &amp; ")",$B131)))), "  ", TRIM(IF($S131 = "YES", "(External ID)", "") &amp; " " &amp; IF(SUMPRODUCT(-- ISNUMBER(SEARCH({"Unique","Unique Case Insensitive"}, $R131))) &gt; 0, "(" &amp; $R131 &amp; ")", ""))))</f>
        <v>na</v>
      </c>
      <c r="E131" s="7" t="s">
        <v>195</v>
      </c>
      <c r="F131" s="7" t="s">
        <v>195</v>
      </c>
      <c r="G131" s="7" t="s">
        <v>195</v>
      </c>
      <c r="H131" s="7" t="s">
        <v>195</v>
      </c>
      <c r="I131" s="7" t="s">
        <v>195</v>
      </c>
      <c r="J131" s="7" t="s">
        <v>195</v>
      </c>
      <c r="K131" s="7" t="s">
        <v>195</v>
      </c>
      <c r="L131" s="7" t="s">
        <v>195</v>
      </c>
      <c r="M131" s="7" t="s">
        <v>29</v>
      </c>
      <c r="N131" s="7" t="s">
        <v>29</v>
      </c>
      <c r="O131" s="7" t="s">
        <v>29</v>
      </c>
      <c r="P131" s="7" t="s">
        <v>29</v>
      </c>
      <c r="Q131" s="7" t="s">
        <v>29</v>
      </c>
      <c r="R131" s="7" t="s">
        <v>29</v>
      </c>
      <c r="S131" s="7" t="s">
        <v>29</v>
      </c>
    </row>
    <row r="132" spans="2:19">
      <c r="B132" s="7" t="s">
        <v>195</v>
      </c>
      <c r="C132" s="8" t="s">
        <v>195</v>
      </c>
      <c r="D132" s="5" t="str">
        <f>LRTRIM(CONCATENATE(IF(SUMPRODUCT(-- ISNUMBER(SEARCH({"Auto Number"}, $B132))) &gt; 0, $B132, IF(SUMPRODUCT(-- ISNUMBER(SEARCH({"Lookup","Master-Detail"}, $B132))) &gt; 0,$B132 &amp; "(" &amp; $E132 &amp; ")",IF(SUMPRODUCT(-- ISNUMBER(SEARCH({"Formula","Roll-Up Summary"}, $B132))) &gt; 0,$B132 &amp; " (" &amp; $E132 &amp; ")",IF(SUMPRODUCT(-- ISNUMBER(SEARCH({"Content","Currency","Number","Percent","Text","URL"}, $B132))) &gt; 0,$B132 &amp; "(" &amp; $C132 &amp; ")",$B132)))), "  ", TRIM(IF($S132 = "YES", "(External ID)", "") &amp; " " &amp; IF(SUMPRODUCT(-- ISNUMBER(SEARCH({"Unique","Unique Case Insensitive"}, $R132))) &gt; 0, "(" &amp; $R132 &amp; ")", ""))))</f>
        <v>na</v>
      </c>
      <c r="E132" s="7" t="s">
        <v>195</v>
      </c>
      <c r="F132" s="7" t="s">
        <v>195</v>
      </c>
      <c r="G132" s="7" t="s">
        <v>195</v>
      </c>
      <c r="H132" s="7" t="s">
        <v>195</v>
      </c>
      <c r="I132" s="7" t="s">
        <v>195</v>
      </c>
      <c r="J132" s="7" t="s">
        <v>195</v>
      </c>
      <c r="K132" s="7" t="s">
        <v>195</v>
      </c>
      <c r="L132" s="7" t="s">
        <v>195</v>
      </c>
      <c r="M132" s="7" t="s">
        <v>29</v>
      </c>
      <c r="N132" s="7" t="s">
        <v>29</v>
      </c>
      <c r="O132" s="7" t="s">
        <v>29</v>
      </c>
      <c r="P132" s="7" t="s">
        <v>29</v>
      </c>
      <c r="Q132" s="7" t="s">
        <v>29</v>
      </c>
      <c r="R132" s="7" t="s">
        <v>29</v>
      </c>
      <c r="S132" s="7" t="s">
        <v>29</v>
      </c>
    </row>
    <row r="133" spans="2:19">
      <c r="B133" s="7" t="s">
        <v>195</v>
      </c>
      <c r="C133" s="8" t="s">
        <v>195</v>
      </c>
      <c r="D133" s="5" t="str">
        <f>LRTRIM(CONCATENATE(IF(SUMPRODUCT(-- ISNUMBER(SEARCH({"Auto Number"}, $B133))) &gt; 0, $B133, IF(SUMPRODUCT(-- ISNUMBER(SEARCH({"Lookup","Master-Detail"}, $B133))) &gt; 0,$B133 &amp; "(" &amp; $E133 &amp; ")",IF(SUMPRODUCT(-- ISNUMBER(SEARCH({"Formula","Roll-Up Summary"}, $B133))) &gt; 0,$B133 &amp; " (" &amp; $E133 &amp; ")",IF(SUMPRODUCT(-- ISNUMBER(SEARCH({"Content","Currency","Number","Percent","Text","URL"}, $B133))) &gt; 0,$B133 &amp; "(" &amp; $C133 &amp; ")",$B133)))), "  ", TRIM(IF($S133 = "YES", "(External ID)", "") &amp; " " &amp; IF(SUMPRODUCT(-- ISNUMBER(SEARCH({"Unique","Unique Case Insensitive"}, $R133))) &gt; 0, "(" &amp; $R133 &amp; ")", ""))))</f>
        <v>na</v>
      </c>
      <c r="E133" s="7" t="s">
        <v>195</v>
      </c>
      <c r="F133" s="7" t="s">
        <v>195</v>
      </c>
      <c r="G133" s="7" t="s">
        <v>195</v>
      </c>
      <c r="H133" s="7" t="s">
        <v>195</v>
      </c>
      <c r="I133" s="7" t="s">
        <v>195</v>
      </c>
      <c r="J133" s="7" t="s">
        <v>195</v>
      </c>
      <c r="K133" s="7" t="s">
        <v>195</v>
      </c>
      <c r="L133" s="7" t="s">
        <v>195</v>
      </c>
      <c r="M133" s="7" t="s">
        <v>29</v>
      </c>
      <c r="N133" s="7" t="s">
        <v>29</v>
      </c>
      <c r="O133" s="7" t="s">
        <v>29</v>
      </c>
      <c r="P133" s="7" t="s">
        <v>29</v>
      </c>
      <c r="Q133" s="7" t="s">
        <v>29</v>
      </c>
      <c r="R133" s="7" t="s">
        <v>29</v>
      </c>
      <c r="S133" s="7" t="s">
        <v>29</v>
      </c>
    </row>
    <row r="134" spans="2:19">
      <c r="B134" s="7" t="s">
        <v>195</v>
      </c>
      <c r="C134" s="8" t="s">
        <v>195</v>
      </c>
      <c r="D134" s="5" t="str">
        <f>LRTRIM(CONCATENATE(IF(SUMPRODUCT(-- ISNUMBER(SEARCH({"Auto Number"}, $B134))) &gt; 0, $B134, IF(SUMPRODUCT(-- ISNUMBER(SEARCH({"Lookup","Master-Detail"}, $B134))) &gt; 0,$B134 &amp; "(" &amp; $E134 &amp; ")",IF(SUMPRODUCT(-- ISNUMBER(SEARCH({"Formula","Roll-Up Summary"}, $B134))) &gt; 0,$B134 &amp; " (" &amp; $E134 &amp; ")",IF(SUMPRODUCT(-- ISNUMBER(SEARCH({"Content","Currency","Number","Percent","Text","URL"}, $B134))) &gt; 0,$B134 &amp; "(" &amp; $C134 &amp; ")",$B134)))), "  ", TRIM(IF($S134 = "YES", "(External ID)", "") &amp; " " &amp; IF(SUMPRODUCT(-- ISNUMBER(SEARCH({"Unique","Unique Case Insensitive"}, $R134))) &gt; 0, "(" &amp; $R134 &amp; ")", ""))))</f>
        <v>na</v>
      </c>
      <c r="E134" s="7" t="s">
        <v>195</v>
      </c>
      <c r="F134" s="7" t="s">
        <v>195</v>
      </c>
      <c r="G134" s="7" t="s">
        <v>195</v>
      </c>
      <c r="H134" s="7" t="s">
        <v>195</v>
      </c>
      <c r="I134" s="7" t="s">
        <v>195</v>
      </c>
      <c r="J134" s="7" t="s">
        <v>195</v>
      </c>
      <c r="K134" s="7" t="s">
        <v>195</v>
      </c>
      <c r="L134" s="7" t="s">
        <v>195</v>
      </c>
      <c r="M134" s="7" t="s">
        <v>29</v>
      </c>
      <c r="N134" s="7" t="s">
        <v>29</v>
      </c>
      <c r="O134" s="7" t="s">
        <v>29</v>
      </c>
      <c r="P134" s="7" t="s">
        <v>29</v>
      </c>
      <c r="Q134" s="7" t="s">
        <v>29</v>
      </c>
      <c r="R134" s="7" t="s">
        <v>29</v>
      </c>
      <c r="S134" s="7" t="s">
        <v>29</v>
      </c>
    </row>
    <row r="135" spans="2:19">
      <c r="B135" s="7" t="s">
        <v>195</v>
      </c>
      <c r="C135" s="8" t="s">
        <v>195</v>
      </c>
      <c r="D135" s="5" t="str">
        <f>LRTRIM(CONCATENATE(IF(SUMPRODUCT(-- ISNUMBER(SEARCH({"Auto Number"}, $B135))) &gt; 0, $B135, IF(SUMPRODUCT(-- ISNUMBER(SEARCH({"Lookup","Master-Detail"}, $B135))) &gt; 0,$B135 &amp; "(" &amp; $E135 &amp; ")",IF(SUMPRODUCT(-- ISNUMBER(SEARCH({"Formula","Roll-Up Summary"}, $B135))) &gt; 0,$B135 &amp; " (" &amp; $E135 &amp; ")",IF(SUMPRODUCT(-- ISNUMBER(SEARCH({"Content","Currency","Number","Percent","Text","URL"}, $B135))) &gt; 0,$B135 &amp; "(" &amp; $C135 &amp; ")",$B135)))), "  ", TRIM(IF($S135 = "YES", "(External ID)", "") &amp; " " &amp; IF(SUMPRODUCT(-- ISNUMBER(SEARCH({"Unique","Unique Case Insensitive"}, $R135))) &gt; 0, "(" &amp; $R135 &amp; ")", ""))))</f>
        <v>na</v>
      </c>
      <c r="E135" s="7" t="s">
        <v>195</v>
      </c>
      <c r="F135" s="7" t="s">
        <v>195</v>
      </c>
      <c r="G135" s="7" t="s">
        <v>195</v>
      </c>
      <c r="H135" s="7" t="s">
        <v>195</v>
      </c>
      <c r="I135" s="7" t="s">
        <v>195</v>
      </c>
      <c r="J135" s="7" t="s">
        <v>195</v>
      </c>
      <c r="K135" s="7" t="s">
        <v>195</v>
      </c>
      <c r="L135" s="7" t="s">
        <v>195</v>
      </c>
      <c r="M135" s="7" t="s">
        <v>29</v>
      </c>
      <c r="N135" s="7" t="s">
        <v>29</v>
      </c>
      <c r="O135" s="7" t="s">
        <v>29</v>
      </c>
      <c r="P135" s="7" t="s">
        <v>29</v>
      </c>
      <c r="Q135" s="7" t="s">
        <v>29</v>
      </c>
      <c r="R135" s="7" t="s">
        <v>29</v>
      </c>
      <c r="S135" s="7" t="s">
        <v>29</v>
      </c>
    </row>
    <row r="136" spans="2:19">
      <c r="B136" s="7" t="s">
        <v>195</v>
      </c>
      <c r="C136" s="8" t="s">
        <v>195</v>
      </c>
      <c r="D136" s="5" t="str">
        <f>LRTRIM(CONCATENATE(IF(SUMPRODUCT(-- ISNUMBER(SEARCH({"Auto Number"}, $B136))) &gt; 0, $B136, IF(SUMPRODUCT(-- ISNUMBER(SEARCH({"Lookup","Master-Detail"}, $B136))) &gt; 0,$B136 &amp; "(" &amp; $E136 &amp; ")",IF(SUMPRODUCT(-- ISNUMBER(SEARCH({"Formula","Roll-Up Summary"}, $B136))) &gt; 0,$B136 &amp; " (" &amp; $E136 &amp; ")",IF(SUMPRODUCT(-- ISNUMBER(SEARCH({"Content","Currency","Number","Percent","Text","URL"}, $B136))) &gt; 0,$B136 &amp; "(" &amp; $C136 &amp; ")",$B136)))), "  ", TRIM(IF($S136 = "YES", "(External ID)", "") &amp; " " &amp; IF(SUMPRODUCT(-- ISNUMBER(SEARCH({"Unique","Unique Case Insensitive"}, $R136))) &gt; 0, "(" &amp; $R136 &amp; ")", ""))))</f>
        <v>na</v>
      </c>
      <c r="E136" s="7" t="s">
        <v>195</v>
      </c>
      <c r="F136" s="7" t="s">
        <v>195</v>
      </c>
      <c r="G136" s="7" t="s">
        <v>195</v>
      </c>
      <c r="H136" s="7" t="s">
        <v>195</v>
      </c>
      <c r="I136" s="7" t="s">
        <v>195</v>
      </c>
      <c r="J136" s="7" t="s">
        <v>195</v>
      </c>
      <c r="K136" s="7" t="s">
        <v>195</v>
      </c>
      <c r="L136" s="7" t="s">
        <v>195</v>
      </c>
      <c r="M136" s="7" t="s">
        <v>29</v>
      </c>
      <c r="N136" s="7" t="s">
        <v>29</v>
      </c>
      <c r="O136" s="7" t="s">
        <v>29</v>
      </c>
      <c r="P136" s="7" t="s">
        <v>29</v>
      </c>
      <c r="Q136" s="7" t="s">
        <v>29</v>
      </c>
      <c r="R136" s="7" t="s">
        <v>29</v>
      </c>
      <c r="S136" s="7" t="s">
        <v>29</v>
      </c>
    </row>
    <row r="137" spans="2:19">
      <c r="B137" s="7" t="s">
        <v>195</v>
      </c>
      <c r="C137" s="8" t="s">
        <v>195</v>
      </c>
      <c r="D137" s="5" t="str">
        <f>LRTRIM(CONCATENATE(IF(SUMPRODUCT(-- ISNUMBER(SEARCH({"Auto Number"}, $B137))) &gt; 0, $B137, IF(SUMPRODUCT(-- ISNUMBER(SEARCH({"Lookup","Master-Detail"}, $B137))) &gt; 0,$B137 &amp; "(" &amp; $E137 &amp; ")",IF(SUMPRODUCT(-- ISNUMBER(SEARCH({"Formula","Roll-Up Summary"}, $B137))) &gt; 0,$B137 &amp; " (" &amp; $E137 &amp; ")",IF(SUMPRODUCT(-- ISNUMBER(SEARCH({"Content","Currency","Number","Percent","Text","URL"}, $B137))) &gt; 0,$B137 &amp; "(" &amp; $C137 &amp; ")",$B137)))), "  ", TRIM(IF($S137 = "YES", "(External ID)", "") &amp; " " &amp; IF(SUMPRODUCT(-- ISNUMBER(SEARCH({"Unique","Unique Case Insensitive"}, $R137))) &gt; 0, "(" &amp; $R137 &amp; ")", ""))))</f>
        <v>na</v>
      </c>
      <c r="E137" s="7" t="s">
        <v>195</v>
      </c>
      <c r="F137" s="7" t="s">
        <v>195</v>
      </c>
      <c r="G137" s="7" t="s">
        <v>195</v>
      </c>
      <c r="H137" s="7" t="s">
        <v>195</v>
      </c>
      <c r="I137" s="7" t="s">
        <v>195</v>
      </c>
      <c r="J137" s="7" t="s">
        <v>195</v>
      </c>
      <c r="K137" s="7" t="s">
        <v>195</v>
      </c>
      <c r="L137" s="7" t="s">
        <v>195</v>
      </c>
      <c r="M137" s="7" t="s">
        <v>29</v>
      </c>
      <c r="N137" s="7" t="s">
        <v>29</v>
      </c>
      <c r="O137" s="7" t="s">
        <v>29</v>
      </c>
      <c r="P137" s="7" t="s">
        <v>29</v>
      </c>
      <c r="Q137" s="7" t="s">
        <v>29</v>
      </c>
      <c r="R137" s="7" t="s">
        <v>29</v>
      </c>
      <c r="S137" s="7" t="s">
        <v>29</v>
      </c>
    </row>
    <row r="138" spans="2:19">
      <c r="B138" s="7" t="s">
        <v>195</v>
      </c>
      <c r="C138" s="8" t="s">
        <v>195</v>
      </c>
      <c r="D138" s="5" t="str">
        <f>LRTRIM(CONCATENATE(IF(SUMPRODUCT(-- ISNUMBER(SEARCH({"Auto Number"}, $B138))) &gt; 0, $B138, IF(SUMPRODUCT(-- ISNUMBER(SEARCH({"Lookup","Master-Detail"}, $B138))) &gt; 0,$B138 &amp; "(" &amp; $E138 &amp; ")",IF(SUMPRODUCT(-- ISNUMBER(SEARCH({"Formula","Roll-Up Summary"}, $B138))) &gt; 0,$B138 &amp; " (" &amp; $E138 &amp; ")",IF(SUMPRODUCT(-- ISNUMBER(SEARCH({"Content","Currency","Number","Percent","Text","URL"}, $B138))) &gt; 0,$B138 &amp; "(" &amp; $C138 &amp; ")",$B138)))), "  ", TRIM(IF($S138 = "YES", "(External ID)", "") &amp; " " &amp; IF(SUMPRODUCT(-- ISNUMBER(SEARCH({"Unique","Unique Case Insensitive"}, $R138))) &gt; 0, "(" &amp; $R138 &amp; ")", ""))))</f>
        <v>na</v>
      </c>
      <c r="E138" s="7" t="s">
        <v>195</v>
      </c>
      <c r="F138" s="7" t="s">
        <v>195</v>
      </c>
      <c r="G138" s="7" t="s">
        <v>195</v>
      </c>
      <c r="H138" s="7" t="s">
        <v>195</v>
      </c>
      <c r="I138" s="7" t="s">
        <v>195</v>
      </c>
      <c r="J138" s="7" t="s">
        <v>195</v>
      </c>
      <c r="K138" s="7" t="s">
        <v>195</v>
      </c>
      <c r="L138" s="7" t="s">
        <v>195</v>
      </c>
      <c r="M138" s="7" t="s">
        <v>29</v>
      </c>
      <c r="N138" s="7" t="s">
        <v>29</v>
      </c>
      <c r="O138" s="7" t="s">
        <v>29</v>
      </c>
      <c r="P138" s="7" t="s">
        <v>29</v>
      </c>
      <c r="Q138" s="7" t="s">
        <v>29</v>
      </c>
      <c r="R138" s="7" t="s">
        <v>29</v>
      </c>
      <c r="S138" s="7" t="s">
        <v>29</v>
      </c>
    </row>
    <row r="139" spans="2:19">
      <c r="B139" s="7" t="s">
        <v>195</v>
      </c>
      <c r="C139" s="8" t="s">
        <v>195</v>
      </c>
      <c r="D139" s="5" t="str">
        <f>LRTRIM(CONCATENATE(IF(SUMPRODUCT(-- ISNUMBER(SEARCH({"Auto Number"}, $B139))) &gt; 0, $B139, IF(SUMPRODUCT(-- ISNUMBER(SEARCH({"Lookup","Master-Detail"}, $B139))) &gt; 0,$B139 &amp; "(" &amp; $E139 &amp; ")",IF(SUMPRODUCT(-- ISNUMBER(SEARCH({"Formula","Roll-Up Summary"}, $B139))) &gt; 0,$B139 &amp; " (" &amp; $E139 &amp; ")",IF(SUMPRODUCT(-- ISNUMBER(SEARCH({"Content","Currency","Number","Percent","Text","URL"}, $B139))) &gt; 0,$B139 &amp; "(" &amp; $C139 &amp; ")",$B139)))), "  ", TRIM(IF($S139 = "YES", "(External ID)", "") &amp; " " &amp; IF(SUMPRODUCT(-- ISNUMBER(SEARCH({"Unique","Unique Case Insensitive"}, $R139))) &gt; 0, "(" &amp; $R139 &amp; ")", ""))))</f>
        <v>na</v>
      </c>
      <c r="E139" s="7" t="s">
        <v>195</v>
      </c>
      <c r="F139" s="7" t="s">
        <v>195</v>
      </c>
      <c r="G139" s="7" t="s">
        <v>195</v>
      </c>
      <c r="H139" s="7" t="s">
        <v>195</v>
      </c>
      <c r="I139" s="7" t="s">
        <v>195</v>
      </c>
      <c r="J139" s="7" t="s">
        <v>195</v>
      </c>
      <c r="K139" s="7" t="s">
        <v>195</v>
      </c>
      <c r="L139" s="7" t="s">
        <v>195</v>
      </c>
      <c r="M139" s="7" t="s">
        <v>29</v>
      </c>
      <c r="N139" s="7" t="s">
        <v>29</v>
      </c>
      <c r="O139" s="7" t="s">
        <v>29</v>
      </c>
      <c r="P139" s="7" t="s">
        <v>29</v>
      </c>
      <c r="Q139" s="7" t="s">
        <v>29</v>
      </c>
      <c r="R139" s="7" t="s">
        <v>29</v>
      </c>
      <c r="S139" s="7" t="s">
        <v>29</v>
      </c>
    </row>
    <row r="140" spans="2:19">
      <c r="B140" s="7" t="s">
        <v>195</v>
      </c>
      <c r="C140" s="8" t="s">
        <v>195</v>
      </c>
      <c r="D140" s="5" t="str">
        <f>LRTRIM(CONCATENATE(IF(SUMPRODUCT(-- ISNUMBER(SEARCH({"Auto Number"}, $B140))) &gt; 0, $B140, IF(SUMPRODUCT(-- ISNUMBER(SEARCH({"Lookup","Master-Detail"}, $B140))) &gt; 0,$B140 &amp; "(" &amp; $E140 &amp; ")",IF(SUMPRODUCT(-- ISNUMBER(SEARCH({"Formula","Roll-Up Summary"}, $B140))) &gt; 0,$B140 &amp; " (" &amp; $E140 &amp; ")",IF(SUMPRODUCT(-- ISNUMBER(SEARCH({"Content","Currency","Number","Percent","Text","URL"}, $B140))) &gt; 0,$B140 &amp; "(" &amp; $C140 &amp; ")",$B140)))), "  ", TRIM(IF($S140 = "YES", "(External ID)", "") &amp; " " &amp; IF(SUMPRODUCT(-- ISNUMBER(SEARCH({"Unique","Unique Case Insensitive"}, $R140))) &gt; 0, "(" &amp; $R140 &amp; ")", ""))))</f>
        <v>na</v>
      </c>
      <c r="E140" s="7" t="s">
        <v>195</v>
      </c>
      <c r="F140" s="7" t="s">
        <v>195</v>
      </c>
      <c r="G140" s="7" t="s">
        <v>195</v>
      </c>
      <c r="H140" s="7" t="s">
        <v>195</v>
      </c>
      <c r="I140" s="7" t="s">
        <v>195</v>
      </c>
      <c r="J140" s="7" t="s">
        <v>195</v>
      </c>
      <c r="K140" s="7" t="s">
        <v>195</v>
      </c>
      <c r="L140" s="7" t="s">
        <v>195</v>
      </c>
      <c r="M140" s="7" t="s">
        <v>29</v>
      </c>
      <c r="N140" s="7" t="s">
        <v>29</v>
      </c>
      <c r="O140" s="7" t="s">
        <v>29</v>
      </c>
      <c r="P140" s="7" t="s">
        <v>29</v>
      </c>
      <c r="Q140" s="7" t="s">
        <v>29</v>
      </c>
      <c r="R140" s="7" t="s">
        <v>29</v>
      </c>
      <c r="S140" s="7" t="s">
        <v>29</v>
      </c>
    </row>
    <row r="141" spans="2:19">
      <c r="B141" s="7" t="s">
        <v>195</v>
      </c>
      <c r="C141" s="8" t="s">
        <v>195</v>
      </c>
      <c r="D141" s="5" t="str">
        <f>LRTRIM(CONCATENATE(IF(SUMPRODUCT(-- ISNUMBER(SEARCH({"Auto Number"}, $B141))) &gt; 0, $B141, IF(SUMPRODUCT(-- ISNUMBER(SEARCH({"Lookup","Master-Detail"}, $B141))) &gt; 0,$B141 &amp; "(" &amp; $E141 &amp; ")",IF(SUMPRODUCT(-- ISNUMBER(SEARCH({"Formula","Roll-Up Summary"}, $B141))) &gt; 0,$B141 &amp; " (" &amp; $E141 &amp; ")",IF(SUMPRODUCT(-- ISNUMBER(SEARCH({"Content","Currency","Number","Percent","Text","URL"}, $B141))) &gt; 0,$B141 &amp; "(" &amp; $C141 &amp; ")",$B141)))), "  ", TRIM(IF($S141 = "YES", "(External ID)", "") &amp; " " &amp; IF(SUMPRODUCT(-- ISNUMBER(SEARCH({"Unique","Unique Case Insensitive"}, $R141))) &gt; 0, "(" &amp; $R141 &amp; ")", ""))))</f>
        <v>na</v>
      </c>
      <c r="E141" s="7" t="s">
        <v>195</v>
      </c>
      <c r="F141" s="7" t="s">
        <v>195</v>
      </c>
      <c r="G141" s="7" t="s">
        <v>195</v>
      </c>
      <c r="H141" s="7" t="s">
        <v>195</v>
      </c>
      <c r="I141" s="7" t="s">
        <v>195</v>
      </c>
      <c r="J141" s="7" t="s">
        <v>195</v>
      </c>
      <c r="K141" s="7" t="s">
        <v>195</v>
      </c>
      <c r="L141" s="7" t="s">
        <v>195</v>
      </c>
      <c r="M141" s="7" t="s">
        <v>29</v>
      </c>
      <c r="N141" s="7" t="s">
        <v>29</v>
      </c>
      <c r="O141" s="7" t="s">
        <v>29</v>
      </c>
      <c r="P141" s="7" t="s">
        <v>29</v>
      </c>
      <c r="Q141" s="7" t="s">
        <v>29</v>
      </c>
      <c r="R141" s="7" t="s">
        <v>29</v>
      </c>
      <c r="S141" s="7" t="s">
        <v>29</v>
      </c>
    </row>
    <row r="142" spans="2:19">
      <c r="B142" s="7" t="s">
        <v>195</v>
      </c>
      <c r="C142" s="8" t="s">
        <v>195</v>
      </c>
      <c r="D142" s="5" t="str">
        <f>LRTRIM(CONCATENATE(IF(SUMPRODUCT(-- ISNUMBER(SEARCH({"Auto Number"}, $B142))) &gt; 0, $B142, IF(SUMPRODUCT(-- ISNUMBER(SEARCH({"Lookup","Master-Detail"}, $B142))) &gt; 0,$B142 &amp; "(" &amp; $E142 &amp; ")",IF(SUMPRODUCT(-- ISNUMBER(SEARCH({"Formula","Roll-Up Summary"}, $B142))) &gt; 0,$B142 &amp; " (" &amp; $E142 &amp; ")",IF(SUMPRODUCT(-- ISNUMBER(SEARCH({"Content","Currency","Number","Percent","Text","URL"}, $B142))) &gt; 0,$B142 &amp; "(" &amp; $C142 &amp; ")",$B142)))), "  ", TRIM(IF($S142 = "YES", "(External ID)", "") &amp; " " &amp; IF(SUMPRODUCT(-- ISNUMBER(SEARCH({"Unique","Unique Case Insensitive"}, $R142))) &gt; 0, "(" &amp; $R142 &amp; ")", ""))))</f>
        <v>na</v>
      </c>
      <c r="E142" s="7" t="s">
        <v>195</v>
      </c>
      <c r="F142" s="7" t="s">
        <v>195</v>
      </c>
      <c r="G142" s="7" t="s">
        <v>195</v>
      </c>
      <c r="H142" s="7" t="s">
        <v>195</v>
      </c>
      <c r="I142" s="7" t="s">
        <v>195</v>
      </c>
      <c r="J142" s="7" t="s">
        <v>195</v>
      </c>
      <c r="K142" s="7" t="s">
        <v>195</v>
      </c>
      <c r="L142" s="7" t="s">
        <v>195</v>
      </c>
      <c r="M142" s="7" t="s">
        <v>29</v>
      </c>
      <c r="N142" s="7" t="s">
        <v>29</v>
      </c>
      <c r="O142" s="7" t="s">
        <v>29</v>
      </c>
      <c r="P142" s="7" t="s">
        <v>29</v>
      </c>
      <c r="Q142" s="7" t="s">
        <v>29</v>
      </c>
      <c r="R142" s="7" t="s">
        <v>29</v>
      </c>
      <c r="S142" s="7" t="s">
        <v>29</v>
      </c>
    </row>
    <row r="143" spans="2:19">
      <c r="B143" s="7" t="s">
        <v>195</v>
      </c>
      <c r="C143" s="8" t="s">
        <v>195</v>
      </c>
      <c r="D143" s="5" t="str">
        <f>LRTRIM(CONCATENATE(IF(SUMPRODUCT(-- ISNUMBER(SEARCH({"Auto Number"}, $B143))) &gt; 0, $B143, IF(SUMPRODUCT(-- ISNUMBER(SEARCH({"Lookup","Master-Detail"}, $B143))) &gt; 0,$B143 &amp; "(" &amp; $E143 &amp; ")",IF(SUMPRODUCT(-- ISNUMBER(SEARCH({"Formula","Roll-Up Summary"}, $B143))) &gt; 0,$B143 &amp; " (" &amp; $E143 &amp; ")",IF(SUMPRODUCT(-- ISNUMBER(SEARCH({"Content","Currency","Number","Percent","Text","URL"}, $B143))) &gt; 0,$B143 &amp; "(" &amp; $C143 &amp; ")",$B143)))), "  ", TRIM(IF($S143 = "YES", "(External ID)", "") &amp; " " &amp; IF(SUMPRODUCT(-- ISNUMBER(SEARCH({"Unique","Unique Case Insensitive"}, $R143))) &gt; 0, "(" &amp; $R143 &amp; ")", ""))))</f>
        <v>na</v>
      </c>
      <c r="E143" s="7" t="s">
        <v>195</v>
      </c>
      <c r="F143" s="7" t="s">
        <v>195</v>
      </c>
      <c r="G143" s="7" t="s">
        <v>195</v>
      </c>
      <c r="H143" s="7" t="s">
        <v>195</v>
      </c>
      <c r="I143" s="7" t="s">
        <v>195</v>
      </c>
      <c r="J143" s="7" t="s">
        <v>195</v>
      </c>
      <c r="K143" s="7" t="s">
        <v>195</v>
      </c>
      <c r="L143" s="7" t="s">
        <v>195</v>
      </c>
      <c r="M143" s="7" t="s">
        <v>29</v>
      </c>
      <c r="N143" s="7" t="s">
        <v>29</v>
      </c>
      <c r="O143" s="7" t="s">
        <v>29</v>
      </c>
      <c r="P143" s="7" t="s">
        <v>29</v>
      </c>
      <c r="Q143" s="7" t="s">
        <v>29</v>
      </c>
      <c r="R143" s="7" t="s">
        <v>29</v>
      </c>
      <c r="S143" s="7" t="s">
        <v>29</v>
      </c>
    </row>
    <row r="144" spans="2:19">
      <c r="B144" s="7" t="s">
        <v>195</v>
      </c>
      <c r="C144" s="8" t="s">
        <v>195</v>
      </c>
      <c r="D144" s="5" t="str">
        <f>LRTRIM(CONCATENATE(IF(SUMPRODUCT(-- ISNUMBER(SEARCH({"Auto Number"}, $B144))) &gt; 0, $B144, IF(SUMPRODUCT(-- ISNUMBER(SEARCH({"Lookup","Master-Detail"}, $B144))) &gt; 0,$B144 &amp; "(" &amp; $E144 &amp; ")",IF(SUMPRODUCT(-- ISNUMBER(SEARCH({"Formula","Roll-Up Summary"}, $B144))) &gt; 0,$B144 &amp; " (" &amp; $E144 &amp; ")",IF(SUMPRODUCT(-- ISNUMBER(SEARCH({"Content","Currency","Number","Percent","Text","URL"}, $B144))) &gt; 0,$B144 &amp; "(" &amp; $C144 &amp; ")",$B144)))), "  ", TRIM(IF($S144 = "YES", "(External ID)", "") &amp; " " &amp; IF(SUMPRODUCT(-- ISNUMBER(SEARCH({"Unique","Unique Case Insensitive"}, $R144))) &gt; 0, "(" &amp; $R144 &amp; ")", ""))))</f>
        <v>na</v>
      </c>
      <c r="E144" s="7" t="s">
        <v>195</v>
      </c>
      <c r="F144" s="7" t="s">
        <v>195</v>
      </c>
      <c r="G144" s="7" t="s">
        <v>195</v>
      </c>
      <c r="H144" s="7" t="s">
        <v>195</v>
      </c>
      <c r="I144" s="7" t="s">
        <v>195</v>
      </c>
      <c r="J144" s="7" t="s">
        <v>195</v>
      </c>
      <c r="K144" s="7" t="s">
        <v>195</v>
      </c>
      <c r="L144" s="7" t="s">
        <v>195</v>
      </c>
      <c r="M144" s="7" t="s">
        <v>29</v>
      </c>
      <c r="N144" s="7" t="s">
        <v>29</v>
      </c>
      <c r="O144" s="7" t="s">
        <v>29</v>
      </c>
      <c r="P144" s="7" t="s">
        <v>29</v>
      </c>
      <c r="Q144" s="7" t="s">
        <v>29</v>
      </c>
      <c r="R144" s="7" t="s">
        <v>29</v>
      </c>
      <c r="S144" s="7" t="s">
        <v>29</v>
      </c>
    </row>
    <row r="145" spans="2:19">
      <c r="B145" s="7" t="s">
        <v>195</v>
      </c>
      <c r="C145" s="8" t="s">
        <v>195</v>
      </c>
      <c r="D145" s="5" t="str">
        <f>LRTRIM(CONCATENATE(IF(SUMPRODUCT(-- ISNUMBER(SEARCH({"Auto Number"}, $B145))) &gt; 0, $B145, IF(SUMPRODUCT(-- ISNUMBER(SEARCH({"Lookup","Master-Detail"}, $B145))) &gt; 0,$B145 &amp; "(" &amp; $E145 &amp; ")",IF(SUMPRODUCT(-- ISNUMBER(SEARCH({"Formula","Roll-Up Summary"}, $B145))) &gt; 0,$B145 &amp; " (" &amp; $E145 &amp; ")",IF(SUMPRODUCT(-- ISNUMBER(SEARCH({"Content","Currency","Number","Percent","Text","URL"}, $B145))) &gt; 0,$B145 &amp; "(" &amp; $C145 &amp; ")",$B145)))), "  ", TRIM(IF($S145 = "YES", "(External ID)", "") &amp; " " &amp; IF(SUMPRODUCT(-- ISNUMBER(SEARCH({"Unique","Unique Case Insensitive"}, $R145))) &gt; 0, "(" &amp; $R145 &amp; ")", ""))))</f>
        <v>na</v>
      </c>
      <c r="E145" s="7" t="s">
        <v>195</v>
      </c>
      <c r="F145" s="7" t="s">
        <v>195</v>
      </c>
      <c r="G145" s="7" t="s">
        <v>195</v>
      </c>
      <c r="H145" s="7" t="s">
        <v>195</v>
      </c>
      <c r="I145" s="7" t="s">
        <v>195</v>
      </c>
      <c r="J145" s="7" t="s">
        <v>195</v>
      </c>
      <c r="K145" s="7" t="s">
        <v>195</v>
      </c>
      <c r="L145" s="7" t="s">
        <v>195</v>
      </c>
      <c r="M145" s="7" t="s">
        <v>29</v>
      </c>
      <c r="N145" s="7" t="s">
        <v>29</v>
      </c>
      <c r="O145" s="7" t="s">
        <v>29</v>
      </c>
      <c r="P145" s="7" t="s">
        <v>29</v>
      </c>
      <c r="Q145" s="7" t="s">
        <v>29</v>
      </c>
      <c r="R145" s="7" t="s">
        <v>29</v>
      </c>
      <c r="S145" s="7" t="s">
        <v>29</v>
      </c>
    </row>
    <row r="146" spans="2:19">
      <c r="B146" s="7" t="s">
        <v>195</v>
      </c>
      <c r="C146" s="8" t="s">
        <v>195</v>
      </c>
      <c r="D146" s="5" t="str">
        <f>LRTRIM(CONCATENATE(IF(SUMPRODUCT(-- ISNUMBER(SEARCH({"Auto Number"}, $B146))) &gt; 0, $B146, IF(SUMPRODUCT(-- ISNUMBER(SEARCH({"Lookup","Master-Detail"}, $B146))) &gt; 0,$B146 &amp; "(" &amp; $E146 &amp; ")",IF(SUMPRODUCT(-- ISNUMBER(SEARCH({"Formula","Roll-Up Summary"}, $B146))) &gt; 0,$B146 &amp; " (" &amp; $E146 &amp; ")",IF(SUMPRODUCT(-- ISNUMBER(SEARCH({"Content","Currency","Number","Percent","Text","URL"}, $B146))) &gt; 0,$B146 &amp; "(" &amp; $C146 &amp; ")",$B146)))), "  ", TRIM(IF($S146 = "YES", "(External ID)", "") &amp; " " &amp; IF(SUMPRODUCT(-- ISNUMBER(SEARCH({"Unique","Unique Case Insensitive"}, $R146))) &gt; 0, "(" &amp; $R146 &amp; ")", ""))))</f>
        <v>na</v>
      </c>
      <c r="E146" s="7" t="s">
        <v>195</v>
      </c>
      <c r="F146" s="7" t="s">
        <v>195</v>
      </c>
      <c r="G146" s="7" t="s">
        <v>195</v>
      </c>
      <c r="H146" s="7" t="s">
        <v>195</v>
      </c>
      <c r="I146" s="7" t="s">
        <v>195</v>
      </c>
      <c r="J146" s="7" t="s">
        <v>195</v>
      </c>
      <c r="K146" s="7" t="s">
        <v>195</v>
      </c>
      <c r="L146" s="7" t="s">
        <v>195</v>
      </c>
      <c r="M146" s="7" t="s">
        <v>29</v>
      </c>
      <c r="N146" s="7" t="s">
        <v>29</v>
      </c>
      <c r="O146" s="7" t="s">
        <v>29</v>
      </c>
      <c r="P146" s="7" t="s">
        <v>29</v>
      </c>
      <c r="Q146" s="7" t="s">
        <v>29</v>
      </c>
      <c r="R146" s="7" t="s">
        <v>29</v>
      </c>
      <c r="S146" s="7" t="s">
        <v>29</v>
      </c>
    </row>
    <row r="147" spans="2:19">
      <c r="B147" s="7" t="s">
        <v>195</v>
      </c>
      <c r="C147" s="8" t="s">
        <v>195</v>
      </c>
      <c r="D147" s="5" t="str">
        <f>LRTRIM(CONCATENATE(IF(SUMPRODUCT(-- ISNUMBER(SEARCH({"Auto Number"}, $B147))) &gt; 0, $B147, IF(SUMPRODUCT(-- ISNUMBER(SEARCH({"Lookup","Master-Detail"}, $B147))) &gt; 0,$B147 &amp; "(" &amp; $E147 &amp; ")",IF(SUMPRODUCT(-- ISNUMBER(SEARCH({"Formula","Roll-Up Summary"}, $B147))) &gt; 0,$B147 &amp; " (" &amp; $E147 &amp; ")",IF(SUMPRODUCT(-- ISNUMBER(SEARCH({"Content","Currency","Number","Percent","Text","URL"}, $B147))) &gt; 0,$B147 &amp; "(" &amp; $C147 &amp; ")",$B147)))), "  ", TRIM(IF($S147 = "YES", "(External ID)", "") &amp; " " &amp; IF(SUMPRODUCT(-- ISNUMBER(SEARCH({"Unique","Unique Case Insensitive"}, $R147))) &gt; 0, "(" &amp; $R147 &amp; ")", ""))))</f>
        <v>na</v>
      </c>
      <c r="E147" s="7" t="s">
        <v>195</v>
      </c>
      <c r="F147" s="7" t="s">
        <v>195</v>
      </c>
      <c r="G147" s="7" t="s">
        <v>195</v>
      </c>
      <c r="H147" s="7" t="s">
        <v>195</v>
      </c>
      <c r="I147" s="7" t="s">
        <v>195</v>
      </c>
      <c r="J147" s="7" t="s">
        <v>195</v>
      </c>
      <c r="K147" s="7" t="s">
        <v>195</v>
      </c>
      <c r="L147" s="7" t="s">
        <v>195</v>
      </c>
      <c r="M147" s="7" t="s">
        <v>29</v>
      </c>
      <c r="N147" s="7" t="s">
        <v>29</v>
      </c>
      <c r="O147" s="7" t="s">
        <v>29</v>
      </c>
      <c r="P147" s="7" t="s">
        <v>29</v>
      </c>
      <c r="Q147" s="7" t="s">
        <v>29</v>
      </c>
      <c r="R147" s="7" t="s">
        <v>29</v>
      </c>
      <c r="S147" s="7" t="s">
        <v>29</v>
      </c>
    </row>
    <row r="148" spans="2:19">
      <c r="B148" s="7" t="s">
        <v>195</v>
      </c>
      <c r="C148" s="8" t="s">
        <v>195</v>
      </c>
      <c r="D148" s="5" t="str">
        <f>LRTRIM(CONCATENATE(IF(SUMPRODUCT(-- ISNUMBER(SEARCH({"Auto Number"}, $B148))) &gt; 0, $B148, IF(SUMPRODUCT(-- ISNUMBER(SEARCH({"Lookup","Master-Detail"}, $B148))) &gt; 0,$B148 &amp; "(" &amp; $E148 &amp; ")",IF(SUMPRODUCT(-- ISNUMBER(SEARCH({"Formula","Roll-Up Summary"}, $B148))) &gt; 0,$B148 &amp; " (" &amp; $E148 &amp; ")",IF(SUMPRODUCT(-- ISNUMBER(SEARCH({"Content","Currency","Number","Percent","Text","URL"}, $B148))) &gt; 0,$B148 &amp; "(" &amp; $C148 &amp; ")",$B148)))), "  ", TRIM(IF($S148 = "YES", "(External ID)", "") &amp; " " &amp; IF(SUMPRODUCT(-- ISNUMBER(SEARCH({"Unique","Unique Case Insensitive"}, $R148))) &gt; 0, "(" &amp; $R148 &amp; ")", ""))))</f>
        <v>na</v>
      </c>
      <c r="E148" s="7" t="s">
        <v>195</v>
      </c>
      <c r="F148" s="7" t="s">
        <v>195</v>
      </c>
      <c r="G148" s="7" t="s">
        <v>195</v>
      </c>
      <c r="H148" s="7" t="s">
        <v>195</v>
      </c>
      <c r="I148" s="7" t="s">
        <v>195</v>
      </c>
      <c r="J148" s="7" t="s">
        <v>195</v>
      </c>
      <c r="K148" s="7" t="s">
        <v>195</v>
      </c>
      <c r="L148" s="7" t="s">
        <v>195</v>
      </c>
      <c r="M148" s="7" t="s">
        <v>29</v>
      </c>
      <c r="N148" s="7" t="s">
        <v>29</v>
      </c>
      <c r="O148" s="7" t="s">
        <v>29</v>
      </c>
      <c r="P148" s="7" t="s">
        <v>29</v>
      </c>
      <c r="Q148" s="7" t="s">
        <v>29</v>
      </c>
      <c r="R148" s="7" t="s">
        <v>29</v>
      </c>
      <c r="S148" s="7" t="s">
        <v>29</v>
      </c>
    </row>
    <row r="149" spans="2:19">
      <c r="B149" s="7" t="s">
        <v>195</v>
      </c>
      <c r="C149" s="8" t="s">
        <v>195</v>
      </c>
      <c r="D149" s="5" t="str">
        <f>LRTRIM(CONCATENATE(IF(SUMPRODUCT(-- ISNUMBER(SEARCH({"Auto Number"}, $B149))) &gt; 0, $B149, IF(SUMPRODUCT(-- ISNUMBER(SEARCH({"Lookup","Master-Detail"}, $B149))) &gt; 0,$B149 &amp; "(" &amp; $E149 &amp; ")",IF(SUMPRODUCT(-- ISNUMBER(SEARCH({"Formula","Roll-Up Summary"}, $B149))) &gt; 0,$B149 &amp; " (" &amp; $E149 &amp; ")",IF(SUMPRODUCT(-- ISNUMBER(SEARCH({"Content","Currency","Number","Percent","Text","URL"}, $B149))) &gt; 0,$B149 &amp; "(" &amp; $C149 &amp; ")",$B149)))), "  ", TRIM(IF($S149 = "YES", "(External ID)", "") &amp; " " &amp; IF(SUMPRODUCT(-- ISNUMBER(SEARCH({"Unique","Unique Case Insensitive"}, $R149))) &gt; 0, "(" &amp; $R149 &amp; ")", ""))))</f>
        <v>na</v>
      </c>
      <c r="E149" s="7" t="s">
        <v>195</v>
      </c>
      <c r="F149" s="7" t="s">
        <v>195</v>
      </c>
      <c r="G149" s="7" t="s">
        <v>195</v>
      </c>
      <c r="H149" s="7" t="s">
        <v>195</v>
      </c>
      <c r="I149" s="7" t="s">
        <v>195</v>
      </c>
      <c r="J149" s="7" t="s">
        <v>195</v>
      </c>
      <c r="K149" s="7" t="s">
        <v>195</v>
      </c>
      <c r="L149" s="7" t="s">
        <v>195</v>
      </c>
      <c r="M149" s="7" t="s">
        <v>29</v>
      </c>
      <c r="N149" s="7" t="s">
        <v>29</v>
      </c>
      <c r="O149" s="7" t="s">
        <v>29</v>
      </c>
      <c r="P149" s="7" t="s">
        <v>29</v>
      </c>
      <c r="Q149" s="7" t="s">
        <v>29</v>
      </c>
      <c r="R149" s="7" t="s">
        <v>29</v>
      </c>
      <c r="S149" s="7" t="s">
        <v>29</v>
      </c>
    </row>
    <row r="150" spans="2:19">
      <c r="B150" s="7" t="s">
        <v>195</v>
      </c>
      <c r="C150" s="8" t="s">
        <v>195</v>
      </c>
      <c r="D150" s="5" t="str">
        <f>LRTRIM(CONCATENATE(IF(SUMPRODUCT(-- ISNUMBER(SEARCH({"Auto Number"}, $B150))) &gt; 0, $B150, IF(SUMPRODUCT(-- ISNUMBER(SEARCH({"Lookup","Master-Detail"}, $B150))) &gt; 0,$B150 &amp; "(" &amp; $E150 &amp; ")",IF(SUMPRODUCT(-- ISNUMBER(SEARCH({"Formula","Roll-Up Summary"}, $B150))) &gt; 0,$B150 &amp; " (" &amp; $E150 &amp; ")",IF(SUMPRODUCT(-- ISNUMBER(SEARCH({"Content","Currency","Number","Percent","Text","URL"}, $B150))) &gt; 0,$B150 &amp; "(" &amp; $C150 &amp; ")",$B150)))), "  ", TRIM(IF($S150 = "YES", "(External ID)", "") &amp; " " &amp; IF(SUMPRODUCT(-- ISNUMBER(SEARCH({"Unique","Unique Case Insensitive"}, $R150))) &gt; 0, "(" &amp; $R150 &amp; ")", ""))))</f>
        <v>na</v>
      </c>
      <c r="E150" s="7" t="s">
        <v>195</v>
      </c>
      <c r="F150" s="7" t="s">
        <v>195</v>
      </c>
      <c r="G150" s="7" t="s">
        <v>195</v>
      </c>
      <c r="H150" s="7" t="s">
        <v>195</v>
      </c>
      <c r="I150" s="7" t="s">
        <v>195</v>
      </c>
      <c r="J150" s="7" t="s">
        <v>195</v>
      </c>
      <c r="K150" s="7" t="s">
        <v>195</v>
      </c>
      <c r="L150" s="7" t="s">
        <v>195</v>
      </c>
      <c r="M150" s="7" t="s">
        <v>29</v>
      </c>
      <c r="N150" s="7" t="s">
        <v>29</v>
      </c>
      <c r="O150" s="7" t="s">
        <v>29</v>
      </c>
      <c r="P150" s="7" t="s">
        <v>29</v>
      </c>
      <c r="Q150" s="7" t="s">
        <v>29</v>
      </c>
      <c r="R150" s="7" t="s">
        <v>29</v>
      </c>
      <c r="S150" s="7" t="s">
        <v>29</v>
      </c>
    </row>
    <row r="151" spans="2:19">
      <c r="B151" s="7" t="s">
        <v>195</v>
      </c>
      <c r="C151" s="8" t="s">
        <v>195</v>
      </c>
      <c r="D151" s="5" t="str">
        <f>LRTRIM(CONCATENATE(IF(SUMPRODUCT(-- ISNUMBER(SEARCH({"Auto Number"}, $B151))) &gt; 0, $B151, IF(SUMPRODUCT(-- ISNUMBER(SEARCH({"Lookup","Master-Detail"}, $B151))) &gt; 0,$B151 &amp; "(" &amp; $E151 &amp; ")",IF(SUMPRODUCT(-- ISNUMBER(SEARCH({"Formula","Roll-Up Summary"}, $B151))) &gt; 0,$B151 &amp; " (" &amp; $E151 &amp; ")",IF(SUMPRODUCT(-- ISNUMBER(SEARCH({"Content","Currency","Number","Percent","Text","URL"}, $B151))) &gt; 0,$B151 &amp; "(" &amp; $C151 &amp; ")",$B151)))), "  ", TRIM(IF($S151 = "YES", "(External ID)", "") &amp; " " &amp; IF(SUMPRODUCT(-- ISNUMBER(SEARCH({"Unique","Unique Case Insensitive"}, $R151))) &gt; 0, "(" &amp; $R151 &amp; ")", ""))))</f>
        <v>na</v>
      </c>
      <c r="E151" s="7" t="s">
        <v>195</v>
      </c>
      <c r="F151" s="7" t="s">
        <v>195</v>
      </c>
      <c r="G151" s="7" t="s">
        <v>195</v>
      </c>
      <c r="H151" s="7" t="s">
        <v>195</v>
      </c>
      <c r="I151" s="7" t="s">
        <v>195</v>
      </c>
      <c r="J151" s="7" t="s">
        <v>195</v>
      </c>
      <c r="K151" s="7" t="s">
        <v>195</v>
      </c>
      <c r="L151" s="7" t="s">
        <v>195</v>
      </c>
      <c r="M151" s="7" t="s">
        <v>29</v>
      </c>
      <c r="N151" s="7" t="s">
        <v>29</v>
      </c>
      <c r="O151" s="7" t="s">
        <v>29</v>
      </c>
      <c r="P151" s="7" t="s">
        <v>29</v>
      </c>
      <c r="Q151" s="7" t="s">
        <v>29</v>
      </c>
      <c r="R151" s="7" t="s">
        <v>29</v>
      </c>
      <c r="S151" s="7" t="s">
        <v>29</v>
      </c>
    </row>
    <row r="152" spans="2:19">
      <c r="B152" s="7" t="s">
        <v>195</v>
      </c>
      <c r="C152" s="8" t="s">
        <v>195</v>
      </c>
      <c r="D152" s="5" t="str">
        <f>LRTRIM(CONCATENATE(IF(SUMPRODUCT(-- ISNUMBER(SEARCH({"Auto Number"}, $B152))) &gt; 0, $B152, IF(SUMPRODUCT(-- ISNUMBER(SEARCH({"Lookup","Master-Detail"}, $B152))) &gt; 0,$B152 &amp; "(" &amp; $E152 &amp; ")",IF(SUMPRODUCT(-- ISNUMBER(SEARCH({"Formula","Roll-Up Summary"}, $B152))) &gt; 0,$B152 &amp; " (" &amp; $E152 &amp; ")",IF(SUMPRODUCT(-- ISNUMBER(SEARCH({"Content","Currency","Number","Percent","Text","URL"}, $B152))) &gt; 0,$B152 &amp; "(" &amp; $C152 &amp; ")",$B152)))), "  ", TRIM(IF($S152 = "YES", "(External ID)", "") &amp; " " &amp; IF(SUMPRODUCT(-- ISNUMBER(SEARCH({"Unique","Unique Case Insensitive"}, $R152))) &gt; 0, "(" &amp; $R152 &amp; ")", ""))))</f>
        <v>na</v>
      </c>
      <c r="E152" s="7" t="s">
        <v>195</v>
      </c>
      <c r="F152" s="7" t="s">
        <v>195</v>
      </c>
      <c r="G152" s="7" t="s">
        <v>195</v>
      </c>
      <c r="H152" s="7" t="s">
        <v>195</v>
      </c>
      <c r="I152" s="7" t="s">
        <v>195</v>
      </c>
      <c r="J152" s="7" t="s">
        <v>195</v>
      </c>
      <c r="K152" s="7" t="s">
        <v>195</v>
      </c>
      <c r="L152" s="7" t="s">
        <v>195</v>
      </c>
      <c r="M152" s="7" t="s">
        <v>29</v>
      </c>
      <c r="N152" s="7" t="s">
        <v>29</v>
      </c>
      <c r="O152" s="7" t="s">
        <v>29</v>
      </c>
      <c r="P152" s="7" t="s">
        <v>29</v>
      </c>
      <c r="Q152" s="7" t="s">
        <v>29</v>
      </c>
      <c r="R152" s="7" t="s">
        <v>29</v>
      </c>
      <c r="S152" s="7" t="s">
        <v>29</v>
      </c>
    </row>
    <row r="153" spans="2:19">
      <c r="B153" s="7" t="s">
        <v>195</v>
      </c>
      <c r="C153" s="8" t="s">
        <v>195</v>
      </c>
      <c r="D153" s="5" t="str">
        <f>LRTRIM(CONCATENATE(IF(SUMPRODUCT(-- ISNUMBER(SEARCH({"Auto Number"}, $B153))) &gt; 0, $B153, IF(SUMPRODUCT(-- ISNUMBER(SEARCH({"Lookup","Master-Detail"}, $B153))) &gt; 0,$B153 &amp; "(" &amp; $E153 &amp; ")",IF(SUMPRODUCT(-- ISNUMBER(SEARCH({"Formula","Roll-Up Summary"}, $B153))) &gt; 0,$B153 &amp; " (" &amp; $E153 &amp; ")",IF(SUMPRODUCT(-- ISNUMBER(SEARCH({"Content","Currency","Number","Percent","Text","URL"}, $B153))) &gt; 0,$B153 &amp; "(" &amp; $C153 &amp; ")",$B153)))), "  ", TRIM(IF($S153 = "YES", "(External ID)", "") &amp; " " &amp; IF(SUMPRODUCT(-- ISNUMBER(SEARCH({"Unique","Unique Case Insensitive"}, $R153))) &gt; 0, "(" &amp; $R153 &amp; ")", ""))))</f>
        <v>na</v>
      </c>
      <c r="E153" s="7" t="s">
        <v>195</v>
      </c>
      <c r="F153" s="7" t="s">
        <v>195</v>
      </c>
      <c r="G153" s="7" t="s">
        <v>195</v>
      </c>
      <c r="H153" s="7" t="s">
        <v>195</v>
      </c>
      <c r="I153" s="7" t="s">
        <v>195</v>
      </c>
      <c r="J153" s="7" t="s">
        <v>195</v>
      </c>
      <c r="K153" s="7" t="s">
        <v>195</v>
      </c>
      <c r="L153" s="7" t="s">
        <v>195</v>
      </c>
      <c r="M153" s="7" t="s">
        <v>29</v>
      </c>
      <c r="N153" s="7" t="s">
        <v>29</v>
      </c>
      <c r="O153" s="7" t="s">
        <v>29</v>
      </c>
      <c r="P153" s="7" t="s">
        <v>29</v>
      </c>
      <c r="Q153" s="7" t="s">
        <v>29</v>
      </c>
      <c r="R153" s="7" t="s">
        <v>29</v>
      </c>
      <c r="S153" s="7" t="s">
        <v>29</v>
      </c>
    </row>
    <row r="154" spans="2:19">
      <c r="B154" s="7" t="s">
        <v>195</v>
      </c>
      <c r="C154" s="8" t="s">
        <v>195</v>
      </c>
      <c r="D154" s="5" t="str">
        <f>LRTRIM(CONCATENATE(IF(SUMPRODUCT(-- ISNUMBER(SEARCH({"Auto Number"}, $B154))) &gt; 0, $B154, IF(SUMPRODUCT(-- ISNUMBER(SEARCH({"Lookup","Master-Detail"}, $B154))) &gt; 0,$B154 &amp; "(" &amp; $E154 &amp; ")",IF(SUMPRODUCT(-- ISNUMBER(SEARCH({"Formula","Roll-Up Summary"}, $B154))) &gt; 0,$B154 &amp; " (" &amp; $E154 &amp; ")",IF(SUMPRODUCT(-- ISNUMBER(SEARCH({"Content","Currency","Number","Percent","Text","URL"}, $B154))) &gt; 0,$B154 &amp; "(" &amp; $C154 &amp; ")",$B154)))), "  ", TRIM(IF($S154 = "YES", "(External ID)", "") &amp; " " &amp; IF(SUMPRODUCT(-- ISNUMBER(SEARCH({"Unique","Unique Case Insensitive"}, $R154))) &gt; 0, "(" &amp; $R154 &amp; ")", ""))))</f>
        <v>na</v>
      </c>
      <c r="E154" s="7" t="s">
        <v>195</v>
      </c>
      <c r="F154" s="7" t="s">
        <v>195</v>
      </c>
      <c r="G154" s="7" t="s">
        <v>195</v>
      </c>
      <c r="H154" s="7" t="s">
        <v>195</v>
      </c>
      <c r="I154" s="7" t="s">
        <v>195</v>
      </c>
      <c r="J154" s="7" t="s">
        <v>195</v>
      </c>
      <c r="K154" s="7" t="s">
        <v>195</v>
      </c>
      <c r="L154" s="7" t="s">
        <v>195</v>
      </c>
      <c r="M154" s="7" t="s">
        <v>29</v>
      </c>
      <c r="N154" s="7" t="s">
        <v>29</v>
      </c>
      <c r="O154" s="7" t="s">
        <v>29</v>
      </c>
      <c r="P154" s="7" t="s">
        <v>29</v>
      </c>
      <c r="Q154" s="7" t="s">
        <v>29</v>
      </c>
      <c r="R154" s="7" t="s">
        <v>29</v>
      </c>
      <c r="S154" s="7" t="s">
        <v>29</v>
      </c>
    </row>
    <row r="155" spans="2:19">
      <c r="B155" s="7" t="s">
        <v>195</v>
      </c>
      <c r="C155" s="8" t="s">
        <v>195</v>
      </c>
      <c r="D155" s="5" t="str">
        <f>LRTRIM(CONCATENATE(IF(SUMPRODUCT(-- ISNUMBER(SEARCH({"Auto Number"}, $B155))) &gt; 0, $B155, IF(SUMPRODUCT(-- ISNUMBER(SEARCH({"Lookup","Master-Detail"}, $B155))) &gt; 0,$B155 &amp; "(" &amp; $E155 &amp; ")",IF(SUMPRODUCT(-- ISNUMBER(SEARCH({"Formula","Roll-Up Summary"}, $B155))) &gt; 0,$B155 &amp; " (" &amp; $E155 &amp; ")",IF(SUMPRODUCT(-- ISNUMBER(SEARCH({"Content","Currency","Number","Percent","Text","URL"}, $B155))) &gt; 0,$B155 &amp; "(" &amp; $C155 &amp; ")",$B155)))), "  ", TRIM(IF($S155 = "YES", "(External ID)", "") &amp; " " &amp; IF(SUMPRODUCT(-- ISNUMBER(SEARCH({"Unique","Unique Case Insensitive"}, $R155))) &gt; 0, "(" &amp; $R155 &amp; ")", ""))))</f>
        <v>na</v>
      </c>
      <c r="E155" s="7" t="s">
        <v>195</v>
      </c>
      <c r="F155" s="7" t="s">
        <v>195</v>
      </c>
      <c r="G155" s="7" t="s">
        <v>195</v>
      </c>
      <c r="H155" s="7" t="s">
        <v>195</v>
      </c>
      <c r="I155" s="7" t="s">
        <v>195</v>
      </c>
      <c r="J155" s="7" t="s">
        <v>195</v>
      </c>
      <c r="K155" s="7" t="s">
        <v>195</v>
      </c>
      <c r="L155" s="7" t="s">
        <v>195</v>
      </c>
      <c r="M155" s="7" t="s">
        <v>29</v>
      </c>
      <c r="N155" s="7" t="s">
        <v>29</v>
      </c>
      <c r="O155" s="7" t="s">
        <v>29</v>
      </c>
      <c r="P155" s="7" t="s">
        <v>29</v>
      </c>
      <c r="Q155" s="7" t="s">
        <v>29</v>
      </c>
      <c r="R155" s="7" t="s">
        <v>29</v>
      </c>
      <c r="S155" s="7" t="s">
        <v>29</v>
      </c>
    </row>
    <row r="156" spans="2:19">
      <c r="B156" s="7" t="s">
        <v>195</v>
      </c>
      <c r="C156" s="8" t="s">
        <v>195</v>
      </c>
      <c r="D156" s="5" t="str">
        <f>LRTRIM(CONCATENATE(IF(SUMPRODUCT(-- ISNUMBER(SEARCH({"Auto Number"}, $B156))) &gt; 0, $B156, IF(SUMPRODUCT(-- ISNUMBER(SEARCH({"Lookup","Master-Detail"}, $B156))) &gt; 0,$B156 &amp; "(" &amp; $E156 &amp; ")",IF(SUMPRODUCT(-- ISNUMBER(SEARCH({"Formula","Roll-Up Summary"}, $B156))) &gt; 0,$B156 &amp; " (" &amp; $E156 &amp; ")",IF(SUMPRODUCT(-- ISNUMBER(SEARCH({"Content","Currency","Number","Percent","Text","URL"}, $B156))) &gt; 0,$B156 &amp; "(" &amp; $C156 &amp; ")",$B156)))), "  ", TRIM(IF($S156 = "YES", "(External ID)", "") &amp; " " &amp; IF(SUMPRODUCT(-- ISNUMBER(SEARCH({"Unique","Unique Case Insensitive"}, $R156))) &gt; 0, "(" &amp; $R156 &amp; ")", ""))))</f>
        <v>na</v>
      </c>
      <c r="E156" s="7" t="s">
        <v>195</v>
      </c>
      <c r="F156" s="7" t="s">
        <v>195</v>
      </c>
      <c r="G156" s="7" t="s">
        <v>195</v>
      </c>
      <c r="H156" s="7" t="s">
        <v>195</v>
      </c>
      <c r="I156" s="7" t="s">
        <v>195</v>
      </c>
      <c r="J156" s="7" t="s">
        <v>195</v>
      </c>
      <c r="K156" s="7" t="s">
        <v>195</v>
      </c>
      <c r="L156" s="7" t="s">
        <v>195</v>
      </c>
      <c r="M156" s="7" t="s">
        <v>29</v>
      </c>
      <c r="N156" s="7" t="s">
        <v>29</v>
      </c>
      <c r="O156" s="7" t="s">
        <v>29</v>
      </c>
      <c r="P156" s="7" t="s">
        <v>29</v>
      </c>
      <c r="Q156" s="7" t="s">
        <v>29</v>
      </c>
      <c r="R156" s="7" t="s">
        <v>29</v>
      </c>
      <c r="S156" s="7" t="s">
        <v>29</v>
      </c>
    </row>
    <row r="157" spans="2:19">
      <c r="B157" s="7" t="s">
        <v>195</v>
      </c>
      <c r="C157" s="8" t="s">
        <v>195</v>
      </c>
      <c r="D157" s="5" t="str">
        <f>LRTRIM(CONCATENATE(IF(SUMPRODUCT(-- ISNUMBER(SEARCH({"Auto Number"}, $B157))) &gt; 0, $B157, IF(SUMPRODUCT(-- ISNUMBER(SEARCH({"Lookup","Master-Detail"}, $B157))) &gt; 0,$B157 &amp; "(" &amp; $E157 &amp; ")",IF(SUMPRODUCT(-- ISNUMBER(SEARCH({"Formula","Roll-Up Summary"}, $B157))) &gt; 0,$B157 &amp; " (" &amp; $E157 &amp; ")",IF(SUMPRODUCT(-- ISNUMBER(SEARCH({"Content","Currency","Number","Percent","Text","URL"}, $B157))) &gt; 0,$B157 &amp; "(" &amp; $C157 &amp; ")",$B157)))), "  ", TRIM(IF($S157 = "YES", "(External ID)", "") &amp; " " &amp; IF(SUMPRODUCT(-- ISNUMBER(SEARCH({"Unique","Unique Case Insensitive"}, $R157))) &gt; 0, "(" &amp; $R157 &amp; ")", ""))))</f>
        <v>na</v>
      </c>
      <c r="E157" s="7" t="s">
        <v>195</v>
      </c>
      <c r="F157" s="7" t="s">
        <v>195</v>
      </c>
      <c r="G157" s="7" t="s">
        <v>195</v>
      </c>
      <c r="H157" s="7" t="s">
        <v>195</v>
      </c>
      <c r="I157" s="7" t="s">
        <v>195</v>
      </c>
      <c r="J157" s="7" t="s">
        <v>195</v>
      </c>
      <c r="K157" s="7" t="s">
        <v>195</v>
      </c>
      <c r="L157" s="7" t="s">
        <v>195</v>
      </c>
      <c r="M157" s="7" t="s">
        <v>29</v>
      </c>
      <c r="N157" s="7" t="s">
        <v>29</v>
      </c>
      <c r="O157" s="7" t="s">
        <v>29</v>
      </c>
      <c r="P157" s="7" t="s">
        <v>29</v>
      </c>
      <c r="Q157" s="7" t="s">
        <v>29</v>
      </c>
      <c r="R157" s="7" t="s">
        <v>29</v>
      </c>
      <c r="S157" s="7" t="s">
        <v>29</v>
      </c>
    </row>
    <row r="158" spans="2:19">
      <c r="B158" s="7" t="s">
        <v>195</v>
      </c>
      <c r="C158" s="8" t="s">
        <v>195</v>
      </c>
      <c r="D158" s="5" t="str">
        <f>LRTRIM(CONCATENATE(IF(SUMPRODUCT(-- ISNUMBER(SEARCH({"Auto Number"}, $B158))) &gt; 0, $B158, IF(SUMPRODUCT(-- ISNUMBER(SEARCH({"Lookup","Master-Detail"}, $B158))) &gt; 0,$B158 &amp; "(" &amp; $E158 &amp; ")",IF(SUMPRODUCT(-- ISNUMBER(SEARCH({"Formula","Roll-Up Summary"}, $B158))) &gt; 0,$B158 &amp; " (" &amp; $E158 &amp; ")",IF(SUMPRODUCT(-- ISNUMBER(SEARCH({"Content","Currency","Number","Percent","Text","URL"}, $B158))) &gt; 0,$B158 &amp; "(" &amp; $C158 &amp; ")",$B158)))), "  ", TRIM(IF($S158 = "YES", "(External ID)", "") &amp; " " &amp; IF(SUMPRODUCT(-- ISNUMBER(SEARCH({"Unique","Unique Case Insensitive"}, $R158))) &gt; 0, "(" &amp; $R158 &amp; ")", ""))))</f>
        <v>na</v>
      </c>
      <c r="E158" s="7" t="s">
        <v>195</v>
      </c>
      <c r="F158" s="7" t="s">
        <v>195</v>
      </c>
      <c r="G158" s="7" t="s">
        <v>195</v>
      </c>
      <c r="H158" s="7" t="s">
        <v>195</v>
      </c>
      <c r="I158" s="7" t="s">
        <v>195</v>
      </c>
      <c r="J158" s="7" t="s">
        <v>195</v>
      </c>
      <c r="K158" s="7" t="s">
        <v>195</v>
      </c>
      <c r="L158" s="7" t="s">
        <v>195</v>
      </c>
      <c r="M158" s="7" t="s">
        <v>29</v>
      </c>
      <c r="N158" s="7" t="s">
        <v>29</v>
      </c>
      <c r="O158" s="7" t="s">
        <v>29</v>
      </c>
      <c r="P158" s="7" t="s">
        <v>29</v>
      </c>
      <c r="Q158" s="7" t="s">
        <v>29</v>
      </c>
      <c r="R158" s="7" t="s">
        <v>29</v>
      </c>
      <c r="S158" s="7" t="s">
        <v>29</v>
      </c>
    </row>
    <row r="159" spans="2:19">
      <c r="B159" s="7" t="s">
        <v>195</v>
      </c>
      <c r="C159" s="8" t="s">
        <v>195</v>
      </c>
      <c r="D159" s="5" t="str">
        <f>LRTRIM(CONCATENATE(IF(SUMPRODUCT(-- ISNUMBER(SEARCH({"Auto Number"}, $B159))) &gt; 0, $B159, IF(SUMPRODUCT(-- ISNUMBER(SEARCH({"Lookup","Master-Detail"}, $B159))) &gt; 0,$B159 &amp; "(" &amp; $E159 &amp; ")",IF(SUMPRODUCT(-- ISNUMBER(SEARCH({"Formula","Roll-Up Summary"}, $B159))) &gt; 0,$B159 &amp; " (" &amp; $E159 &amp; ")",IF(SUMPRODUCT(-- ISNUMBER(SEARCH({"Content","Currency","Number","Percent","Text","URL"}, $B159))) &gt; 0,$B159 &amp; "(" &amp; $C159 &amp; ")",$B159)))), "  ", TRIM(IF($S159 = "YES", "(External ID)", "") &amp; " " &amp; IF(SUMPRODUCT(-- ISNUMBER(SEARCH({"Unique","Unique Case Insensitive"}, $R159))) &gt; 0, "(" &amp; $R159 &amp; ")", ""))))</f>
        <v>na</v>
      </c>
      <c r="E159" s="7" t="s">
        <v>195</v>
      </c>
      <c r="F159" s="7" t="s">
        <v>195</v>
      </c>
      <c r="G159" s="7" t="s">
        <v>195</v>
      </c>
      <c r="H159" s="7" t="s">
        <v>195</v>
      </c>
      <c r="I159" s="7" t="s">
        <v>195</v>
      </c>
      <c r="J159" s="7" t="s">
        <v>195</v>
      </c>
      <c r="K159" s="7" t="s">
        <v>195</v>
      </c>
      <c r="L159" s="7" t="s">
        <v>195</v>
      </c>
      <c r="M159" s="7" t="s">
        <v>29</v>
      </c>
      <c r="N159" s="7" t="s">
        <v>29</v>
      </c>
      <c r="O159" s="7" t="s">
        <v>29</v>
      </c>
      <c r="P159" s="7" t="s">
        <v>29</v>
      </c>
      <c r="Q159" s="7" t="s">
        <v>29</v>
      </c>
      <c r="R159" s="7" t="s">
        <v>29</v>
      </c>
      <c r="S159" s="7" t="s">
        <v>29</v>
      </c>
    </row>
    <row r="160" spans="2:19">
      <c r="B160" s="7" t="s">
        <v>195</v>
      </c>
      <c r="C160" s="8" t="s">
        <v>195</v>
      </c>
      <c r="D160" s="5" t="str">
        <f>LRTRIM(CONCATENATE(IF(SUMPRODUCT(-- ISNUMBER(SEARCH({"Auto Number"}, $B160))) &gt; 0, $B160, IF(SUMPRODUCT(-- ISNUMBER(SEARCH({"Lookup","Master-Detail"}, $B160))) &gt; 0,$B160 &amp; "(" &amp; $E160 &amp; ")",IF(SUMPRODUCT(-- ISNUMBER(SEARCH({"Formula","Roll-Up Summary"}, $B160))) &gt; 0,$B160 &amp; " (" &amp; $E160 &amp; ")",IF(SUMPRODUCT(-- ISNUMBER(SEARCH({"Content","Currency","Number","Percent","Text","URL"}, $B160))) &gt; 0,$B160 &amp; "(" &amp; $C160 &amp; ")",$B160)))), "  ", TRIM(IF($S160 = "YES", "(External ID)", "") &amp; " " &amp; IF(SUMPRODUCT(-- ISNUMBER(SEARCH({"Unique","Unique Case Insensitive"}, $R160))) &gt; 0, "(" &amp; $R160 &amp; ")", ""))))</f>
        <v>na</v>
      </c>
      <c r="E160" s="7" t="s">
        <v>195</v>
      </c>
      <c r="F160" s="7" t="s">
        <v>195</v>
      </c>
      <c r="G160" s="7" t="s">
        <v>195</v>
      </c>
      <c r="H160" s="7" t="s">
        <v>195</v>
      </c>
      <c r="I160" s="7" t="s">
        <v>195</v>
      </c>
      <c r="J160" s="7" t="s">
        <v>195</v>
      </c>
      <c r="K160" s="7" t="s">
        <v>195</v>
      </c>
      <c r="L160" s="7" t="s">
        <v>195</v>
      </c>
      <c r="M160" s="7" t="s">
        <v>29</v>
      </c>
      <c r="N160" s="7" t="s">
        <v>29</v>
      </c>
      <c r="O160" s="7" t="s">
        <v>29</v>
      </c>
      <c r="P160" s="7" t="s">
        <v>29</v>
      </c>
      <c r="Q160" s="7" t="s">
        <v>29</v>
      </c>
      <c r="R160" s="7" t="s">
        <v>29</v>
      </c>
      <c r="S160" s="7" t="s">
        <v>29</v>
      </c>
    </row>
    <row r="161" spans="2:19">
      <c r="B161" s="7" t="s">
        <v>195</v>
      </c>
      <c r="C161" s="8" t="s">
        <v>195</v>
      </c>
      <c r="D161" s="5" t="str">
        <f>LRTRIM(CONCATENATE(IF(SUMPRODUCT(-- ISNUMBER(SEARCH({"Auto Number"}, $B161))) &gt; 0, $B161, IF(SUMPRODUCT(-- ISNUMBER(SEARCH({"Lookup","Master-Detail"}, $B161))) &gt; 0,$B161 &amp; "(" &amp; $E161 &amp; ")",IF(SUMPRODUCT(-- ISNUMBER(SEARCH({"Formula","Roll-Up Summary"}, $B161))) &gt; 0,$B161 &amp; " (" &amp; $E161 &amp; ")",IF(SUMPRODUCT(-- ISNUMBER(SEARCH({"Content","Currency","Number","Percent","Text","URL"}, $B161))) &gt; 0,$B161 &amp; "(" &amp; $C161 &amp; ")",$B161)))), "  ", TRIM(IF($S161 = "YES", "(External ID)", "") &amp; " " &amp; IF(SUMPRODUCT(-- ISNUMBER(SEARCH({"Unique","Unique Case Insensitive"}, $R161))) &gt; 0, "(" &amp; $R161 &amp; ")", ""))))</f>
        <v>na</v>
      </c>
      <c r="E161" s="7" t="s">
        <v>195</v>
      </c>
      <c r="F161" s="7" t="s">
        <v>195</v>
      </c>
      <c r="G161" s="7" t="s">
        <v>195</v>
      </c>
      <c r="H161" s="7" t="s">
        <v>195</v>
      </c>
      <c r="I161" s="7" t="s">
        <v>195</v>
      </c>
      <c r="J161" s="7" t="s">
        <v>195</v>
      </c>
      <c r="K161" s="7" t="s">
        <v>195</v>
      </c>
      <c r="L161" s="7" t="s">
        <v>195</v>
      </c>
      <c r="M161" s="7" t="s">
        <v>29</v>
      </c>
      <c r="N161" s="7" t="s">
        <v>29</v>
      </c>
      <c r="O161" s="7" t="s">
        <v>29</v>
      </c>
      <c r="P161" s="7" t="s">
        <v>29</v>
      </c>
      <c r="Q161" s="7" t="s">
        <v>29</v>
      </c>
      <c r="R161" s="7" t="s">
        <v>29</v>
      </c>
      <c r="S161" s="7" t="s">
        <v>29</v>
      </c>
    </row>
    <row r="162" spans="2:19">
      <c r="B162" s="7" t="s">
        <v>195</v>
      </c>
      <c r="C162" s="8" t="s">
        <v>195</v>
      </c>
      <c r="D162" s="5" t="str">
        <f>LRTRIM(CONCATENATE(IF(SUMPRODUCT(-- ISNUMBER(SEARCH({"Auto Number"}, $B162))) &gt; 0, $B162, IF(SUMPRODUCT(-- ISNUMBER(SEARCH({"Lookup","Master-Detail"}, $B162))) &gt; 0,$B162 &amp; "(" &amp; $E162 &amp; ")",IF(SUMPRODUCT(-- ISNUMBER(SEARCH({"Formula","Roll-Up Summary"}, $B162))) &gt; 0,$B162 &amp; " (" &amp; $E162 &amp; ")",IF(SUMPRODUCT(-- ISNUMBER(SEARCH({"Content","Currency","Number","Percent","Text","URL"}, $B162))) &gt; 0,$B162 &amp; "(" &amp; $C162 &amp; ")",$B162)))), "  ", TRIM(IF($S162 = "YES", "(External ID)", "") &amp; " " &amp; IF(SUMPRODUCT(-- ISNUMBER(SEARCH({"Unique","Unique Case Insensitive"}, $R162))) &gt; 0, "(" &amp; $R162 &amp; ")", ""))))</f>
        <v>na</v>
      </c>
      <c r="E162" s="7" t="s">
        <v>195</v>
      </c>
      <c r="F162" s="7" t="s">
        <v>195</v>
      </c>
      <c r="G162" s="7" t="s">
        <v>195</v>
      </c>
      <c r="H162" s="7" t="s">
        <v>195</v>
      </c>
      <c r="I162" s="7" t="s">
        <v>195</v>
      </c>
      <c r="J162" s="7" t="s">
        <v>195</v>
      </c>
      <c r="K162" s="7" t="s">
        <v>195</v>
      </c>
      <c r="L162" s="7" t="s">
        <v>195</v>
      </c>
      <c r="M162" s="7" t="s">
        <v>29</v>
      </c>
      <c r="N162" s="7" t="s">
        <v>29</v>
      </c>
      <c r="O162" s="7" t="s">
        <v>29</v>
      </c>
      <c r="P162" s="7" t="s">
        <v>29</v>
      </c>
      <c r="Q162" s="7" t="s">
        <v>29</v>
      </c>
      <c r="R162" s="7" t="s">
        <v>29</v>
      </c>
      <c r="S162" s="7" t="s">
        <v>29</v>
      </c>
    </row>
    <row r="163" spans="2:19">
      <c r="B163" s="7" t="s">
        <v>195</v>
      </c>
      <c r="C163" s="8" t="s">
        <v>195</v>
      </c>
      <c r="D163" s="5" t="str">
        <f>LRTRIM(CONCATENATE(IF(SUMPRODUCT(-- ISNUMBER(SEARCH({"Auto Number"}, $B163))) &gt; 0, $B163, IF(SUMPRODUCT(-- ISNUMBER(SEARCH({"Lookup","Master-Detail"}, $B163))) &gt; 0,$B163 &amp; "(" &amp; $E163 &amp; ")",IF(SUMPRODUCT(-- ISNUMBER(SEARCH({"Formula","Roll-Up Summary"}, $B163))) &gt; 0,$B163 &amp; " (" &amp; $E163 &amp; ")",IF(SUMPRODUCT(-- ISNUMBER(SEARCH({"Content","Currency","Number","Percent","Text","URL"}, $B163))) &gt; 0,$B163 &amp; "(" &amp; $C163 &amp; ")",$B163)))), "  ", TRIM(IF($S163 = "YES", "(External ID)", "") &amp; " " &amp; IF(SUMPRODUCT(-- ISNUMBER(SEARCH({"Unique","Unique Case Insensitive"}, $R163))) &gt; 0, "(" &amp; $R163 &amp; ")", ""))))</f>
        <v>na</v>
      </c>
      <c r="E163" s="7" t="s">
        <v>195</v>
      </c>
      <c r="F163" s="7" t="s">
        <v>195</v>
      </c>
      <c r="G163" s="7" t="s">
        <v>195</v>
      </c>
      <c r="H163" s="7" t="s">
        <v>195</v>
      </c>
      <c r="I163" s="7" t="s">
        <v>195</v>
      </c>
      <c r="J163" s="7" t="s">
        <v>195</v>
      </c>
      <c r="K163" s="7" t="s">
        <v>195</v>
      </c>
      <c r="L163" s="7" t="s">
        <v>195</v>
      </c>
      <c r="M163" s="7" t="s">
        <v>29</v>
      </c>
      <c r="N163" s="7" t="s">
        <v>29</v>
      </c>
      <c r="O163" s="7" t="s">
        <v>29</v>
      </c>
      <c r="P163" s="7" t="s">
        <v>29</v>
      </c>
      <c r="Q163" s="7" t="s">
        <v>29</v>
      </c>
      <c r="R163" s="7" t="s">
        <v>29</v>
      </c>
      <c r="S163" s="7" t="s">
        <v>29</v>
      </c>
    </row>
    <row r="164" spans="2:19">
      <c r="B164" s="7" t="s">
        <v>195</v>
      </c>
      <c r="C164" s="8" t="s">
        <v>195</v>
      </c>
      <c r="D164" s="5" t="str">
        <f>LRTRIM(CONCATENATE(IF(SUMPRODUCT(-- ISNUMBER(SEARCH({"Auto Number"}, $B164))) &gt; 0, $B164, IF(SUMPRODUCT(-- ISNUMBER(SEARCH({"Lookup","Master-Detail"}, $B164))) &gt; 0,$B164 &amp; "(" &amp; $E164 &amp; ")",IF(SUMPRODUCT(-- ISNUMBER(SEARCH({"Formula","Roll-Up Summary"}, $B164))) &gt; 0,$B164 &amp; " (" &amp; $E164 &amp; ")",IF(SUMPRODUCT(-- ISNUMBER(SEARCH({"Content","Currency","Number","Percent","Text","URL"}, $B164))) &gt; 0,$B164 &amp; "(" &amp; $C164 &amp; ")",$B164)))), "  ", TRIM(IF($S164 = "YES", "(External ID)", "") &amp; " " &amp; IF(SUMPRODUCT(-- ISNUMBER(SEARCH({"Unique","Unique Case Insensitive"}, $R164))) &gt; 0, "(" &amp; $R164 &amp; ")", ""))))</f>
        <v>na</v>
      </c>
      <c r="E164" s="7" t="s">
        <v>195</v>
      </c>
      <c r="F164" s="7" t="s">
        <v>195</v>
      </c>
      <c r="G164" s="7" t="s">
        <v>195</v>
      </c>
      <c r="H164" s="7" t="s">
        <v>195</v>
      </c>
      <c r="I164" s="7" t="s">
        <v>195</v>
      </c>
      <c r="J164" s="7" t="s">
        <v>195</v>
      </c>
      <c r="K164" s="7" t="s">
        <v>195</v>
      </c>
      <c r="L164" s="7" t="s">
        <v>195</v>
      </c>
      <c r="M164" s="7" t="s">
        <v>29</v>
      </c>
      <c r="N164" s="7" t="s">
        <v>29</v>
      </c>
      <c r="O164" s="7" t="s">
        <v>29</v>
      </c>
      <c r="P164" s="7" t="s">
        <v>29</v>
      </c>
      <c r="Q164" s="7" t="s">
        <v>29</v>
      </c>
      <c r="R164" s="7" t="s">
        <v>29</v>
      </c>
      <c r="S164" s="7" t="s">
        <v>29</v>
      </c>
    </row>
    <row r="165" spans="2:19">
      <c r="B165" s="7" t="s">
        <v>195</v>
      </c>
      <c r="C165" s="8" t="s">
        <v>195</v>
      </c>
      <c r="D165" s="5" t="str">
        <f>LRTRIM(CONCATENATE(IF(SUMPRODUCT(-- ISNUMBER(SEARCH({"Auto Number"}, $B165))) &gt; 0, $B165, IF(SUMPRODUCT(-- ISNUMBER(SEARCH({"Lookup","Master-Detail"}, $B165))) &gt; 0,$B165 &amp; "(" &amp; $E165 &amp; ")",IF(SUMPRODUCT(-- ISNUMBER(SEARCH({"Formula","Roll-Up Summary"}, $B165))) &gt; 0,$B165 &amp; " (" &amp; $E165 &amp; ")",IF(SUMPRODUCT(-- ISNUMBER(SEARCH({"Content","Currency","Number","Percent","Text","URL"}, $B165))) &gt; 0,$B165 &amp; "(" &amp; $C165 &amp; ")",$B165)))), "  ", TRIM(IF($S165 = "YES", "(External ID)", "") &amp; " " &amp; IF(SUMPRODUCT(-- ISNUMBER(SEARCH({"Unique","Unique Case Insensitive"}, $R165))) &gt; 0, "(" &amp; $R165 &amp; ")", ""))))</f>
        <v>na</v>
      </c>
      <c r="E165" s="7" t="s">
        <v>195</v>
      </c>
      <c r="F165" s="7" t="s">
        <v>195</v>
      </c>
      <c r="G165" s="7" t="s">
        <v>195</v>
      </c>
      <c r="H165" s="7" t="s">
        <v>195</v>
      </c>
      <c r="I165" s="7" t="s">
        <v>195</v>
      </c>
      <c r="J165" s="7" t="s">
        <v>195</v>
      </c>
      <c r="K165" s="7" t="s">
        <v>195</v>
      </c>
      <c r="L165" s="7" t="s">
        <v>195</v>
      </c>
      <c r="M165" s="7" t="s">
        <v>29</v>
      </c>
      <c r="N165" s="7" t="s">
        <v>29</v>
      </c>
      <c r="O165" s="7" t="s">
        <v>29</v>
      </c>
      <c r="P165" s="7" t="s">
        <v>29</v>
      </c>
      <c r="Q165" s="7" t="s">
        <v>29</v>
      </c>
      <c r="R165" s="7" t="s">
        <v>29</v>
      </c>
      <c r="S165" s="7" t="s">
        <v>29</v>
      </c>
    </row>
    <row r="166" spans="2:19">
      <c r="B166" s="7" t="s">
        <v>195</v>
      </c>
      <c r="C166" s="8" t="s">
        <v>195</v>
      </c>
      <c r="D166" s="5" t="str">
        <f>LRTRIM(CONCATENATE(IF(SUMPRODUCT(-- ISNUMBER(SEARCH({"Auto Number"}, $B166))) &gt; 0, $B166, IF(SUMPRODUCT(-- ISNUMBER(SEARCH({"Lookup","Master-Detail"}, $B166))) &gt; 0,$B166 &amp; "(" &amp; $E166 &amp; ")",IF(SUMPRODUCT(-- ISNUMBER(SEARCH({"Formula","Roll-Up Summary"}, $B166))) &gt; 0,$B166 &amp; " (" &amp; $E166 &amp; ")",IF(SUMPRODUCT(-- ISNUMBER(SEARCH({"Content","Currency","Number","Percent","Text","URL"}, $B166))) &gt; 0,$B166 &amp; "(" &amp; $C166 &amp; ")",$B166)))), "  ", TRIM(IF($S166 = "YES", "(External ID)", "") &amp; " " &amp; IF(SUMPRODUCT(-- ISNUMBER(SEARCH({"Unique","Unique Case Insensitive"}, $R166))) &gt; 0, "(" &amp; $R166 &amp; ")", ""))))</f>
        <v>na</v>
      </c>
      <c r="E166" s="7" t="s">
        <v>195</v>
      </c>
      <c r="F166" s="7" t="s">
        <v>195</v>
      </c>
      <c r="G166" s="7" t="s">
        <v>195</v>
      </c>
      <c r="H166" s="7" t="s">
        <v>195</v>
      </c>
      <c r="I166" s="7" t="s">
        <v>195</v>
      </c>
      <c r="J166" s="7" t="s">
        <v>195</v>
      </c>
      <c r="K166" s="7" t="s">
        <v>195</v>
      </c>
      <c r="L166" s="7" t="s">
        <v>195</v>
      </c>
      <c r="M166" s="7" t="s">
        <v>29</v>
      </c>
      <c r="N166" s="7" t="s">
        <v>29</v>
      </c>
      <c r="O166" s="7" t="s">
        <v>29</v>
      </c>
      <c r="P166" s="7" t="s">
        <v>29</v>
      </c>
      <c r="Q166" s="7" t="s">
        <v>29</v>
      </c>
      <c r="R166" s="7" t="s">
        <v>29</v>
      </c>
      <c r="S166" s="7" t="s">
        <v>29</v>
      </c>
    </row>
    <row r="167" spans="2:19">
      <c r="B167" s="7" t="s">
        <v>195</v>
      </c>
      <c r="C167" s="8" t="s">
        <v>195</v>
      </c>
      <c r="D167" s="5" t="str">
        <f>LRTRIM(CONCATENATE(IF(SUMPRODUCT(-- ISNUMBER(SEARCH({"Auto Number"}, $B167))) &gt; 0, $B167, IF(SUMPRODUCT(-- ISNUMBER(SEARCH({"Lookup","Master-Detail"}, $B167))) &gt; 0,$B167 &amp; "(" &amp; $E167 &amp; ")",IF(SUMPRODUCT(-- ISNUMBER(SEARCH({"Formula","Roll-Up Summary"}, $B167))) &gt; 0,$B167 &amp; " (" &amp; $E167 &amp; ")",IF(SUMPRODUCT(-- ISNUMBER(SEARCH({"Content","Currency","Number","Percent","Text","URL"}, $B167))) &gt; 0,$B167 &amp; "(" &amp; $C167 &amp; ")",$B167)))), "  ", TRIM(IF($S167 = "YES", "(External ID)", "") &amp; " " &amp; IF(SUMPRODUCT(-- ISNUMBER(SEARCH({"Unique","Unique Case Insensitive"}, $R167))) &gt; 0, "(" &amp; $R167 &amp; ")", ""))))</f>
        <v>na</v>
      </c>
      <c r="E167" s="7" t="s">
        <v>195</v>
      </c>
      <c r="F167" s="7" t="s">
        <v>195</v>
      </c>
      <c r="G167" s="7" t="s">
        <v>195</v>
      </c>
      <c r="H167" s="7" t="s">
        <v>195</v>
      </c>
      <c r="I167" s="7" t="s">
        <v>195</v>
      </c>
      <c r="J167" s="7" t="s">
        <v>195</v>
      </c>
      <c r="K167" s="7" t="s">
        <v>195</v>
      </c>
      <c r="L167" s="7" t="s">
        <v>195</v>
      </c>
      <c r="M167" s="7" t="s">
        <v>29</v>
      </c>
      <c r="N167" s="7" t="s">
        <v>29</v>
      </c>
      <c r="O167" s="7" t="s">
        <v>29</v>
      </c>
      <c r="P167" s="7" t="s">
        <v>29</v>
      </c>
      <c r="Q167" s="7" t="s">
        <v>29</v>
      </c>
      <c r="R167" s="7" t="s">
        <v>29</v>
      </c>
      <c r="S167" s="7" t="s">
        <v>29</v>
      </c>
    </row>
    <row r="168" spans="2:19">
      <c r="B168" s="7" t="s">
        <v>195</v>
      </c>
      <c r="C168" s="8" t="s">
        <v>195</v>
      </c>
      <c r="D168" s="5" t="str">
        <f>LRTRIM(CONCATENATE(IF(SUMPRODUCT(-- ISNUMBER(SEARCH({"Auto Number"}, $B168))) &gt; 0, $B168, IF(SUMPRODUCT(-- ISNUMBER(SEARCH({"Lookup","Master-Detail"}, $B168))) &gt; 0,$B168 &amp; "(" &amp; $E168 &amp; ")",IF(SUMPRODUCT(-- ISNUMBER(SEARCH({"Formula","Roll-Up Summary"}, $B168))) &gt; 0,$B168 &amp; " (" &amp; $E168 &amp; ")",IF(SUMPRODUCT(-- ISNUMBER(SEARCH({"Content","Currency","Number","Percent","Text","URL"}, $B168))) &gt; 0,$B168 &amp; "(" &amp; $C168 &amp; ")",$B168)))), "  ", TRIM(IF($S168 = "YES", "(External ID)", "") &amp; " " &amp; IF(SUMPRODUCT(-- ISNUMBER(SEARCH({"Unique","Unique Case Insensitive"}, $R168))) &gt; 0, "(" &amp; $R168 &amp; ")", ""))))</f>
        <v>na</v>
      </c>
      <c r="E168" s="7" t="s">
        <v>195</v>
      </c>
      <c r="F168" s="7" t="s">
        <v>195</v>
      </c>
      <c r="G168" s="7" t="s">
        <v>195</v>
      </c>
      <c r="H168" s="7" t="s">
        <v>195</v>
      </c>
      <c r="I168" s="7" t="s">
        <v>195</v>
      </c>
      <c r="J168" s="7" t="s">
        <v>195</v>
      </c>
      <c r="K168" s="7" t="s">
        <v>195</v>
      </c>
      <c r="L168" s="7" t="s">
        <v>195</v>
      </c>
      <c r="M168" s="7" t="s">
        <v>29</v>
      </c>
      <c r="N168" s="7" t="s">
        <v>29</v>
      </c>
      <c r="O168" s="7" t="s">
        <v>29</v>
      </c>
      <c r="P168" s="7" t="s">
        <v>29</v>
      </c>
      <c r="Q168" s="7" t="s">
        <v>29</v>
      </c>
      <c r="R168" s="7" t="s">
        <v>29</v>
      </c>
      <c r="S168" s="7" t="s">
        <v>29</v>
      </c>
    </row>
    <row r="169" spans="2:19">
      <c r="B169" s="7" t="s">
        <v>195</v>
      </c>
      <c r="C169" s="8" t="s">
        <v>195</v>
      </c>
      <c r="D169" s="5" t="str">
        <f>LRTRIM(CONCATENATE(IF(SUMPRODUCT(-- ISNUMBER(SEARCH({"Auto Number"}, $B169))) &gt; 0, $B169, IF(SUMPRODUCT(-- ISNUMBER(SEARCH({"Lookup","Master-Detail"}, $B169))) &gt; 0,$B169 &amp; "(" &amp; $E169 &amp; ")",IF(SUMPRODUCT(-- ISNUMBER(SEARCH({"Formula","Roll-Up Summary"}, $B169))) &gt; 0,$B169 &amp; " (" &amp; $E169 &amp; ")",IF(SUMPRODUCT(-- ISNUMBER(SEARCH({"Content","Currency","Number","Percent","Text","URL"}, $B169))) &gt; 0,$B169 &amp; "(" &amp; $C169 &amp; ")",$B169)))), "  ", TRIM(IF($S169 = "YES", "(External ID)", "") &amp; " " &amp; IF(SUMPRODUCT(-- ISNUMBER(SEARCH({"Unique","Unique Case Insensitive"}, $R169))) &gt; 0, "(" &amp; $R169 &amp; ")", ""))))</f>
        <v>na</v>
      </c>
      <c r="E169" s="7" t="s">
        <v>195</v>
      </c>
      <c r="F169" s="7" t="s">
        <v>195</v>
      </c>
      <c r="G169" s="7" t="s">
        <v>195</v>
      </c>
      <c r="H169" s="7" t="s">
        <v>195</v>
      </c>
      <c r="I169" s="7" t="s">
        <v>195</v>
      </c>
      <c r="J169" s="7" t="s">
        <v>195</v>
      </c>
      <c r="K169" s="7" t="s">
        <v>195</v>
      </c>
      <c r="L169" s="7" t="s">
        <v>195</v>
      </c>
      <c r="M169" s="7" t="s">
        <v>29</v>
      </c>
      <c r="N169" s="7" t="s">
        <v>29</v>
      </c>
      <c r="O169" s="7" t="s">
        <v>29</v>
      </c>
      <c r="P169" s="7" t="s">
        <v>29</v>
      </c>
      <c r="Q169" s="7" t="s">
        <v>29</v>
      </c>
      <c r="R169" s="7" t="s">
        <v>29</v>
      </c>
      <c r="S169" s="7" t="s">
        <v>29</v>
      </c>
    </row>
    <row r="170" spans="2:19">
      <c r="B170" s="7" t="s">
        <v>195</v>
      </c>
      <c r="C170" s="8" t="s">
        <v>195</v>
      </c>
      <c r="D170" s="5" t="str">
        <f>LRTRIM(CONCATENATE(IF(SUMPRODUCT(-- ISNUMBER(SEARCH({"Auto Number"}, $B170))) &gt; 0, $B170, IF(SUMPRODUCT(-- ISNUMBER(SEARCH({"Lookup","Master-Detail"}, $B170))) &gt; 0,$B170 &amp; "(" &amp; $E170 &amp; ")",IF(SUMPRODUCT(-- ISNUMBER(SEARCH({"Formula","Roll-Up Summary"}, $B170))) &gt; 0,$B170 &amp; " (" &amp; $E170 &amp; ")",IF(SUMPRODUCT(-- ISNUMBER(SEARCH({"Content","Currency","Number","Percent","Text","URL"}, $B170))) &gt; 0,$B170 &amp; "(" &amp; $C170 &amp; ")",$B170)))), "  ", TRIM(IF($S170 = "YES", "(External ID)", "") &amp; " " &amp; IF(SUMPRODUCT(-- ISNUMBER(SEARCH({"Unique","Unique Case Insensitive"}, $R170))) &gt; 0, "(" &amp; $R170 &amp; ")", ""))))</f>
        <v>na</v>
      </c>
      <c r="E170" s="7" t="s">
        <v>195</v>
      </c>
      <c r="F170" s="7" t="s">
        <v>195</v>
      </c>
      <c r="G170" s="7" t="s">
        <v>195</v>
      </c>
      <c r="H170" s="7" t="s">
        <v>195</v>
      </c>
      <c r="I170" s="7" t="s">
        <v>195</v>
      </c>
      <c r="J170" s="7" t="s">
        <v>195</v>
      </c>
      <c r="K170" s="7" t="s">
        <v>195</v>
      </c>
      <c r="L170" s="7" t="s">
        <v>195</v>
      </c>
      <c r="M170" s="7" t="s">
        <v>29</v>
      </c>
      <c r="N170" s="7" t="s">
        <v>29</v>
      </c>
      <c r="O170" s="7" t="s">
        <v>29</v>
      </c>
      <c r="P170" s="7" t="s">
        <v>29</v>
      </c>
      <c r="Q170" s="7" t="s">
        <v>29</v>
      </c>
      <c r="R170" s="7" t="s">
        <v>29</v>
      </c>
      <c r="S170" s="7" t="s">
        <v>29</v>
      </c>
    </row>
    <row r="171" spans="2:19">
      <c r="B171" s="7" t="s">
        <v>195</v>
      </c>
      <c r="C171" s="8" t="s">
        <v>195</v>
      </c>
      <c r="D171" s="5" t="str">
        <f>LRTRIM(CONCATENATE(IF(SUMPRODUCT(-- ISNUMBER(SEARCH({"Auto Number"}, $B171))) &gt; 0, $B171, IF(SUMPRODUCT(-- ISNUMBER(SEARCH({"Lookup","Master-Detail"}, $B171))) &gt; 0,$B171 &amp; "(" &amp; $E171 &amp; ")",IF(SUMPRODUCT(-- ISNUMBER(SEARCH({"Formula","Roll-Up Summary"}, $B171))) &gt; 0,$B171 &amp; " (" &amp; $E171 &amp; ")",IF(SUMPRODUCT(-- ISNUMBER(SEARCH({"Content","Currency","Number","Percent","Text","URL"}, $B171))) &gt; 0,$B171 &amp; "(" &amp; $C171 &amp; ")",$B171)))), "  ", TRIM(IF($S171 = "YES", "(External ID)", "") &amp; " " &amp; IF(SUMPRODUCT(-- ISNUMBER(SEARCH({"Unique","Unique Case Insensitive"}, $R171))) &gt; 0, "(" &amp; $R171 &amp; ")", ""))))</f>
        <v>na</v>
      </c>
      <c r="E171" s="7" t="s">
        <v>195</v>
      </c>
      <c r="F171" s="7" t="s">
        <v>195</v>
      </c>
      <c r="G171" s="7" t="s">
        <v>195</v>
      </c>
      <c r="H171" s="7" t="s">
        <v>195</v>
      </c>
      <c r="I171" s="7" t="s">
        <v>195</v>
      </c>
      <c r="J171" s="7" t="s">
        <v>195</v>
      </c>
      <c r="K171" s="7" t="s">
        <v>195</v>
      </c>
      <c r="L171" s="7" t="s">
        <v>195</v>
      </c>
      <c r="M171" s="7" t="s">
        <v>29</v>
      </c>
      <c r="N171" s="7" t="s">
        <v>29</v>
      </c>
      <c r="O171" s="7" t="s">
        <v>29</v>
      </c>
      <c r="P171" s="7" t="s">
        <v>29</v>
      </c>
      <c r="Q171" s="7" t="s">
        <v>29</v>
      </c>
      <c r="R171" s="7" t="s">
        <v>29</v>
      </c>
      <c r="S171" s="7" t="s">
        <v>29</v>
      </c>
    </row>
    <row r="172" spans="2:19">
      <c r="B172" s="7" t="s">
        <v>195</v>
      </c>
      <c r="C172" s="8" t="s">
        <v>195</v>
      </c>
      <c r="D172" s="5" t="str">
        <f>LRTRIM(CONCATENATE(IF(SUMPRODUCT(-- ISNUMBER(SEARCH({"Auto Number"}, $B172))) &gt; 0, $B172, IF(SUMPRODUCT(-- ISNUMBER(SEARCH({"Lookup","Master-Detail"}, $B172))) &gt; 0,$B172 &amp; "(" &amp; $E172 &amp; ")",IF(SUMPRODUCT(-- ISNUMBER(SEARCH({"Formula","Roll-Up Summary"}, $B172))) &gt; 0,$B172 &amp; " (" &amp; $E172 &amp; ")",IF(SUMPRODUCT(-- ISNUMBER(SEARCH({"Content","Currency","Number","Percent","Text","URL"}, $B172))) &gt; 0,$B172 &amp; "(" &amp; $C172 &amp; ")",$B172)))), "  ", TRIM(IF($S172 = "YES", "(External ID)", "") &amp; " " &amp; IF(SUMPRODUCT(-- ISNUMBER(SEARCH({"Unique","Unique Case Insensitive"}, $R172))) &gt; 0, "(" &amp; $R172 &amp; ")", ""))))</f>
        <v>na</v>
      </c>
      <c r="E172" s="7" t="s">
        <v>195</v>
      </c>
      <c r="F172" s="7" t="s">
        <v>195</v>
      </c>
      <c r="G172" s="7" t="s">
        <v>195</v>
      </c>
      <c r="H172" s="7" t="s">
        <v>195</v>
      </c>
      <c r="I172" s="7" t="s">
        <v>195</v>
      </c>
      <c r="J172" s="7" t="s">
        <v>195</v>
      </c>
      <c r="K172" s="7" t="s">
        <v>195</v>
      </c>
      <c r="L172" s="7" t="s">
        <v>195</v>
      </c>
      <c r="M172" s="7" t="s">
        <v>29</v>
      </c>
      <c r="N172" s="7" t="s">
        <v>29</v>
      </c>
      <c r="O172" s="7" t="s">
        <v>29</v>
      </c>
      <c r="P172" s="7" t="s">
        <v>29</v>
      </c>
      <c r="Q172" s="7" t="s">
        <v>29</v>
      </c>
      <c r="R172" s="7" t="s">
        <v>29</v>
      </c>
      <c r="S172" s="7" t="s">
        <v>29</v>
      </c>
    </row>
    <row r="173" spans="2:19">
      <c r="B173" s="7" t="s">
        <v>195</v>
      </c>
      <c r="C173" s="8" t="s">
        <v>195</v>
      </c>
      <c r="D173" s="5" t="str">
        <f>LRTRIM(CONCATENATE(IF(SUMPRODUCT(-- ISNUMBER(SEARCH({"Auto Number"}, $B173))) &gt; 0, $B173, IF(SUMPRODUCT(-- ISNUMBER(SEARCH({"Lookup","Master-Detail"}, $B173))) &gt; 0,$B173 &amp; "(" &amp; $E173 &amp; ")",IF(SUMPRODUCT(-- ISNUMBER(SEARCH({"Formula","Roll-Up Summary"}, $B173))) &gt; 0,$B173 &amp; " (" &amp; $E173 &amp; ")",IF(SUMPRODUCT(-- ISNUMBER(SEARCH({"Content","Currency","Number","Percent","Text","URL"}, $B173))) &gt; 0,$B173 &amp; "(" &amp; $C173 &amp; ")",$B173)))), "  ", TRIM(IF($S173 = "YES", "(External ID)", "") &amp; " " &amp; IF(SUMPRODUCT(-- ISNUMBER(SEARCH({"Unique","Unique Case Insensitive"}, $R173))) &gt; 0, "(" &amp; $R173 &amp; ")", ""))))</f>
        <v>na</v>
      </c>
      <c r="E173" s="7" t="s">
        <v>195</v>
      </c>
      <c r="F173" s="7" t="s">
        <v>195</v>
      </c>
      <c r="G173" s="7" t="s">
        <v>195</v>
      </c>
      <c r="H173" s="7" t="s">
        <v>195</v>
      </c>
      <c r="I173" s="7" t="s">
        <v>195</v>
      </c>
      <c r="J173" s="7" t="s">
        <v>195</v>
      </c>
      <c r="K173" s="7" t="s">
        <v>195</v>
      </c>
      <c r="L173" s="7" t="s">
        <v>195</v>
      </c>
      <c r="M173" s="7" t="s">
        <v>29</v>
      </c>
      <c r="N173" s="7" t="s">
        <v>29</v>
      </c>
      <c r="O173" s="7" t="s">
        <v>29</v>
      </c>
      <c r="P173" s="7" t="s">
        <v>29</v>
      </c>
      <c r="Q173" s="7" t="s">
        <v>29</v>
      </c>
      <c r="R173" s="7" t="s">
        <v>29</v>
      </c>
      <c r="S173" s="7" t="s">
        <v>29</v>
      </c>
    </row>
    <row r="174" spans="2:19">
      <c r="B174" s="7" t="s">
        <v>195</v>
      </c>
      <c r="C174" s="8" t="s">
        <v>195</v>
      </c>
      <c r="D174" s="5" t="str">
        <f>LRTRIM(CONCATENATE(IF(SUMPRODUCT(-- ISNUMBER(SEARCH({"Auto Number"}, $B174))) &gt; 0, $B174, IF(SUMPRODUCT(-- ISNUMBER(SEARCH({"Lookup","Master-Detail"}, $B174))) &gt; 0,$B174 &amp; "(" &amp; $E174 &amp; ")",IF(SUMPRODUCT(-- ISNUMBER(SEARCH({"Formula","Roll-Up Summary"}, $B174))) &gt; 0,$B174 &amp; " (" &amp; $E174 &amp; ")",IF(SUMPRODUCT(-- ISNUMBER(SEARCH({"Content","Currency","Number","Percent","Text","URL"}, $B174))) &gt; 0,$B174 &amp; "(" &amp; $C174 &amp; ")",$B174)))), "  ", TRIM(IF($S174 = "YES", "(External ID)", "") &amp; " " &amp; IF(SUMPRODUCT(-- ISNUMBER(SEARCH({"Unique","Unique Case Insensitive"}, $R174))) &gt; 0, "(" &amp; $R174 &amp; ")", ""))))</f>
        <v>na</v>
      </c>
      <c r="E174" s="7" t="s">
        <v>195</v>
      </c>
      <c r="F174" s="7" t="s">
        <v>195</v>
      </c>
      <c r="G174" s="7" t="s">
        <v>195</v>
      </c>
      <c r="H174" s="7" t="s">
        <v>195</v>
      </c>
      <c r="I174" s="7" t="s">
        <v>195</v>
      </c>
      <c r="J174" s="7" t="s">
        <v>195</v>
      </c>
      <c r="K174" s="7" t="s">
        <v>195</v>
      </c>
      <c r="L174" s="7" t="s">
        <v>195</v>
      </c>
      <c r="M174" s="7" t="s">
        <v>29</v>
      </c>
      <c r="N174" s="7" t="s">
        <v>29</v>
      </c>
      <c r="O174" s="7" t="s">
        <v>29</v>
      </c>
      <c r="P174" s="7" t="s">
        <v>29</v>
      </c>
      <c r="Q174" s="7" t="s">
        <v>29</v>
      </c>
      <c r="R174" s="7" t="s">
        <v>29</v>
      </c>
      <c r="S174" s="7" t="s">
        <v>29</v>
      </c>
    </row>
    <row r="175" spans="2:19">
      <c r="B175" s="7" t="s">
        <v>195</v>
      </c>
      <c r="C175" s="8" t="s">
        <v>195</v>
      </c>
      <c r="D175" s="5" t="str">
        <f>LRTRIM(CONCATENATE(IF(SUMPRODUCT(-- ISNUMBER(SEARCH({"Auto Number"}, $B175))) &gt; 0, $B175, IF(SUMPRODUCT(-- ISNUMBER(SEARCH({"Lookup","Master-Detail"}, $B175))) &gt; 0,$B175 &amp; "(" &amp; $E175 &amp; ")",IF(SUMPRODUCT(-- ISNUMBER(SEARCH({"Formula","Roll-Up Summary"}, $B175))) &gt; 0,$B175 &amp; " (" &amp; $E175 &amp; ")",IF(SUMPRODUCT(-- ISNUMBER(SEARCH({"Content","Currency","Number","Percent","Text","URL"}, $B175))) &gt; 0,$B175 &amp; "(" &amp; $C175 &amp; ")",$B175)))), "  ", TRIM(IF($S175 = "YES", "(External ID)", "") &amp; " " &amp; IF(SUMPRODUCT(-- ISNUMBER(SEARCH({"Unique","Unique Case Insensitive"}, $R175))) &gt; 0, "(" &amp; $R175 &amp; ")", ""))))</f>
        <v>na</v>
      </c>
      <c r="E175" s="7" t="s">
        <v>195</v>
      </c>
      <c r="F175" s="7" t="s">
        <v>195</v>
      </c>
      <c r="G175" s="7" t="s">
        <v>195</v>
      </c>
      <c r="H175" s="7" t="s">
        <v>195</v>
      </c>
      <c r="I175" s="7" t="s">
        <v>195</v>
      </c>
      <c r="J175" s="7" t="s">
        <v>195</v>
      </c>
      <c r="K175" s="7" t="s">
        <v>195</v>
      </c>
      <c r="L175" s="7" t="s">
        <v>195</v>
      </c>
      <c r="M175" s="7" t="s">
        <v>29</v>
      </c>
      <c r="N175" s="7" t="s">
        <v>29</v>
      </c>
      <c r="O175" s="7" t="s">
        <v>29</v>
      </c>
      <c r="P175" s="7" t="s">
        <v>29</v>
      </c>
      <c r="Q175" s="7" t="s">
        <v>29</v>
      </c>
      <c r="R175" s="7" t="s">
        <v>29</v>
      </c>
      <c r="S175" s="7" t="s">
        <v>29</v>
      </c>
    </row>
    <row r="176" spans="2:19">
      <c r="B176" s="7" t="s">
        <v>195</v>
      </c>
      <c r="C176" s="8" t="s">
        <v>195</v>
      </c>
      <c r="D176" s="5" t="str">
        <f>LRTRIM(CONCATENATE(IF(SUMPRODUCT(-- ISNUMBER(SEARCH({"Auto Number"}, $B176))) &gt; 0, $B176, IF(SUMPRODUCT(-- ISNUMBER(SEARCH({"Lookup","Master-Detail"}, $B176))) &gt; 0,$B176 &amp; "(" &amp; $E176 &amp; ")",IF(SUMPRODUCT(-- ISNUMBER(SEARCH({"Formula","Roll-Up Summary"}, $B176))) &gt; 0,$B176 &amp; " (" &amp; $E176 &amp; ")",IF(SUMPRODUCT(-- ISNUMBER(SEARCH({"Content","Currency","Number","Percent","Text","URL"}, $B176))) &gt; 0,$B176 &amp; "(" &amp; $C176 &amp; ")",$B176)))), "  ", TRIM(IF($S176 = "YES", "(External ID)", "") &amp; " " &amp; IF(SUMPRODUCT(-- ISNUMBER(SEARCH({"Unique","Unique Case Insensitive"}, $R176))) &gt; 0, "(" &amp; $R176 &amp; ")", ""))))</f>
        <v>na</v>
      </c>
      <c r="E176" s="7" t="s">
        <v>195</v>
      </c>
      <c r="F176" s="7" t="s">
        <v>195</v>
      </c>
      <c r="G176" s="7" t="s">
        <v>195</v>
      </c>
      <c r="H176" s="7" t="s">
        <v>195</v>
      </c>
      <c r="I176" s="7" t="s">
        <v>195</v>
      </c>
      <c r="J176" s="7" t="s">
        <v>195</v>
      </c>
      <c r="K176" s="7" t="s">
        <v>195</v>
      </c>
      <c r="L176" s="7" t="s">
        <v>195</v>
      </c>
      <c r="M176" s="7" t="s">
        <v>29</v>
      </c>
      <c r="N176" s="7" t="s">
        <v>29</v>
      </c>
      <c r="O176" s="7" t="s">
        <v>29</v>
      </c>
      <c r="P176" s="7" t="s">
        <v>29</v>
      </c>
      <c r="Q176" s="7" t="s">
        <v>29</v>
      </c>
      <c r="R176" s="7" t="s">
        <v>29</v>
      </c>
      <c r="S176" s="7" t="s">
        <v>29</v>
      </c>
    </row>
    <row r="177" spans="2:19">
      <c r="B177" s="7" t="s">
        <v>195</v>
      </c>
      <c r="C177" s="8" t="s">
        <v>195</v>
      </c>
      <c r="D177" s="5" t="str">
        <f>LRTRIM(CONCATENATE(IF(SUMPRODUCT(-- ISNUMBER(SEARCH({"Auto Number"}, $B177))) &gt; 0, $B177, IF(SUMPRODUCT(-- ISNUMBER(SEARCH({"Lookup","Master-Detail"}, $B177))) &gt; 0,$B177 &amp; "(" &amp; $E177 &amp; ")",IF(SUMPRODUCT(-- ISNUMBER(SEARCH({"Formula","Roll-Up Summary"}, $B177))) &gt; 0,$B177 &amp; " (" &amp; $E177 &amp; ")",IF(SUMPRODUCT(-- ISNUMBER(SEARCH({"Content","Currency","Number","Percent","Text","URL"}, $B177))) &gt; 0,$B177 &amp; "(" &amp; $C177 &amp; ")",$B177)))), "  ", TRIM(IF($S177 = "YES", "(External ID)", "") &amp; " " &amp; IF(SUMPRODUCT(-- ISNUMBER(SEARCH({"Unique","Unique Case Insensitive"}, $R177))) &gt; 0, "(" &amp; $R177 &amp; ")", ""))))</f>
        <v>na</v>
      </c>
      <c r="E177" s="7" t="s">
        <v>195</v>
      </c>
      <c r="F177" s="7" t="s">
        <v>195</v>
      </c>
      <c r="G177" s="7" t="s">
        <v>195</v>
      </c>
      <c r="H177" s="7" t="s">
        <v>195</v>
      </c>
      <c r="I177" s="7" t="s">
        <v>195</v>
      </c>
      <c r="J177" s="7" t="s">
        <v>195</v>
      </c>
      <c r="K177" s="7" t="s">
        <v>195</v>
      </c>
      <c r="L177" s="7" t="s">
        <v>195</v>
      </c>
      <c r="M177" s="7" t="s">
        <v>29</v>
      </c>
      <c r="N177" s="7" t="s">
        <v>29</v>
      </c>
      <c r="O177" s="7" t="s">
        <v>29</v>
      </c>
      <c r="P177" s="7" t="s">
        <v>29</v>
      </c>
      <c r="Q177" s="7" t="s">
        <v>29</v>
      </c>
      <c r="R177" s="7" t="s">
        <v>29</v>
      </c>
      <c r="S177" s="7" t="s">
        <v>29</v>
      </c>
    </row>
    <row r="178" spans="2:19">
      <c r="B178" s="7" t="s">
        <v>195</v>
      </c>
      <c r="C178" s="8" t="s">
        <v>195</v>
      </c>
      <c r="D178" s="5" t="str">
        <f>LRTRIM(CONCATENATE(IF(SUMPRODUCT(-- ISNUMBER(SEARCH({"Auto Number"}, $B178))) &gt; 0, $B178, IF(SUMPRODUCT(-- ISNUMBER(SEARCH({"Lookup","Master-Detail"}, $B178))) &gt; 0,$B178 &amp; "(" &amp; $E178 &amp; ")",IF(SUMPRODUCT(-- ISNUMBER(SEARCH({"Formula","Roll-Up Summary"}, $B178))) &gt; 0,$B178 &amp; " (" &amp; $E178 &amp; ")",IF(SUMPRODUCT(-- ISNUMBER(SEARCH({"Content","Currency","Number","Percent","Text","URL"}, $B178))) &gt; 0,$B178 &amp; "(" &amp; $C178 &amp; ")",$B178)))), "  ", TRIM(IF($S178 = "YES", "(External ID)", "") &amp; " " &amp; IF(SUMPRODUCT(-- ISNUMBER(SEARCH({"Unique","Unique Case Insensitive"}, $R178))) &gt; 0, "(" &amp; $R178 &amp; ")", ""))))</f>
        <v>na</v>
      </c>
      <c r="E178" s="7" t="s">
        <v>195</v>
      </c>
      <c r="F178" s="7" t="s">
        <v>195</v>
      </c>
      <c r="G178" s="7" t="s">
        <v>195</v>
      </c>
      <c r="H178" s="7" t="s">
        <v>195</v>
      </c>
      <c r="I178" s="7" t="s">
        <v>195</v>
      </c>
      <c r="J178" s="7" t="s">
        <v>195</v>
      </c>
      <c r="K178" s="7" t="s">
        <v>195</v>
      </c>
      <c r="L178" s="7" t="s">
        <v>195</v>
      </c>
      <c r="M178" s="7" t="s">
        <v>29</v>
      </c>
      <c r="N178" s="7" t="s">
        <v>29</v>
      </c>
      <c r="O178" s="7" t="s">
        <v>29</v>
      </c>
      <c r="P178" s="7" t="s">
        <v>29</v>
      </c>
      <c r="Q178" s="7" t="s">
        <v>29</v>
      </c>
      <c r="R178" s="7" t="s">
        <v>29</v>
      </c>
      <c r="S178" s="7" t="s">
        <v>29</v>
      </c>
    </row>
    <row r="179" spans="2:19">
      <c r="B179" s="7" t="s">
        <v>195</v>
      </c>
      <c r="C179" s="8" t="s">
        <v>195</v>
      </c>
      <c r="D179" s="5" t="str">
        <f>LRTRIM(CONCATENATE(IF(SUMPRODUCT(-- ISNUMBER(SEARCH({"Auto Number"}, $B179))) &gt; 0, $B179, IF(SUMPRODUCT(-- ISNUMBER(SEARCH({"Lookup","Master-Detail"}, $B179))) &gt; 0,$B179 &amp; "(" &amp; $E179 &amp; ")",IF(SUMPRODUCT(-- ISNUMBER(SEARCH({"Formula","Roll-Up Summary"}, $B179))) &gt; 0,$B179 &amp; " (" &amp; $E179 &amp; ")",IF(SUMPRODUCT(-- ISNUMBER(SEARCH({"Content","Currency","Number","Percent","Text","URL"}, $B179))) &gt; 0,$B179 &amp; "(" &amp; $C179 &amp; ")",$B179)))), "  ", TRIM(IF($S179 = "YES", "(External ID)", "") &amp; " " &amp; IF(SUMPRODUCT(-- ISNUMBER(SEARCH({"Unique","Unique Case Insensitive"}, $R179))) &gt; 0, "(" &amp; $R179 &amp; ")", ""))))</f>
        <v>na</v>
      </c>
      <c r="E179" s="7" t="s">
        <v>195</v>
      </c>
      <c r="F179" s="7" t="s">
        <v>195</v>
      </c>
      <c r="G179" s="7" t="s">
        <v>195</v>
      </c>
      <c r="H179" s="7" t="s">
        <v>195</v>
      </c>
      <c r="I179" s="7" t="s">
        <v>195</v>
      </c>
      <c r="J179" s="7" t="s">
        <v>195</v>
      </c>
      <c r="K179" s="7" t="s">
        <v>195</v>
      </c>
      <c r="L179" s="7" t="s">
        <v>195</v>
      </c>
      <c r="M179" s="7" t="s">
        <v>29</v>
      </c>
      <c r="N179" s="7" t="s">
        <v>29</v>
      </c>
      <c r="O179" s="7" t="s">
        <v>29</v>
      </c>
      <c r="P179" s="7" t="s">
        <v>29</v>
      </c>
      <c r="Q179" s="7" t="s">
        <v>29</v>
      </c>
      <c r="R179" s="7" t="s">
        <v>29</v>
      </c>
      <c r="S179" s="7" t="s">
        <v>29</v>
      </c>
    </row>
    <row r="180" spans="2:19">
      <c r="B180" s="7" t="s">
        <v>195</v>
      </c>
      <c r="C180" s="8" t="s">
        <v>195</v>
      </c>
      <c r="D180" s="5" t="str">
        <f>LRTRIM(CONCATENATE(IF(SUMPRODUCT(-- ISNUMBER(SEARCH({"Auto Number"}, $B180))) &gt; 0, $B180, IF(SUMPRODUCT(-- ISNUMBER(SEARCH({"Lookup","Master-Detail"}, $B180))) &gt; 0,$B180 &amp; "(" &amp; $E180 &amp; ")",IF(SUMPRODUCT(-- ISNUMBER(SEARCH({"Formula","Roll-Up Summary"}, $B180))) &gt; 0,$B180 &amp; " (" &amp; $E180 &amp; ")",IF(SUMPRODUCT(-- ISNUMBER(SEARCH({"Content","Currency","Number","Percent","Text","URL"}, $B180))) &gt; 0,$B180 &amp; "(" &amp; $C180 &amp; ")",$B180)))), "  ", TRIM(IF($S180 = "YES", "(External ID)", "") &amp; " " &amp; IF(SUMPRODUCT(-- ISNUMBER(SEARCH({"Unique","Unique Case Insensitive"}, $R180))) &gt; 0, "(" &amp; $R180 &amp; ")", ""))))</f>
        <v>na</v>
      </c>
      <c r="E180" s="7" t="s">
        <v>195</v>
      </c>
      <c r="F180" s="7" t="s">
        <v>195</v>
      </c>
      <c r="G180" s="7" t="s">
        <v>195</v>
      </c>
      <c r="H180" s="7" t="s">
        <v>195</v>
      </c>
      <c r="I180" s="7" t="s">
        <v>195</v>
      </c>
      <c r="J180" s="7" t="s">
        <v>195</v>
      </c>
      <c r="K180" s="7" t="s">
        <v>195</v>
      </c>
      <c r="L180" s="7" t="s">
        <v>195</v>
      </c>
      <c r="M180" s="7" t="s">
        <v>29</v>
      </c>
      <c r="N180" s="7" t="s">
        <v>29</v>
      </c>
      <c r="O180" s="7" t="s">
        <v>29</v>
      </c>
      <c r="P180" s="7" t="s">
        <v>29</v>
      </c>
      <c r="Q180" s="7" t="s">
        <v>29</v>
      </c>
      <c r="R180" s="7" t="s">
        <v>29</v>
      </c>
      <c r="S180" s="7" t="s">
        <v>29</v>
      </c>
    </row>
    <row r="181" spans="2:19">
      <c r="B181" s="7" t="s">
        <v>195</v>
      </c>
      <c r="C181" s="8" t="s">
        <v>195</v>
      </c>
      <c r="D181" s="5" t="str">
        <f>LRTRIM(CONCATENATE(IF(SUMPRODUCT(-- ISNUMBER(SEARCH({"Auto Number"}, $B181))) &gt; 0, $B181, IF(SUMPRODUCT(-- ISNUMBER(SEARCH({"Lookup","Master-Detail"}, $B181))) &gt; 0,$B181 &amp; "(" &amp; $E181 &amp; ")",IF(SUMPRODUCT(-- ISNUMBER(SEARCH({"Formula","Roll-Up Summary"}, $B181))) &gt; 0,$B181 &amp; " (" &amp; $E181 &amp; ")",IF(SUMPRODUCT(-- ISNUMBER(SEARCH({"Content","Currency","Number","Percent","Text","URL"}, $B181))) &gt; 0,$B181 &amp; "(" &amp; $C181 &amp; ")",$B181)))), "  ", TRIM(IF($S181 = "YES", "(External ID)", "") &amp; " " &amp; IF(SUMPRODUCT(-- ISNUMBER(SEARCH({"Unique","Unique Case Insensitive"}, $R181))) &gt; 0, "(" &amp; $R181 &amp; ")", ""))))</f>
        <v>na</v>
      </c>
      <c r="E181" s="7" t="s">
        <v>195</v>
      </c>
      <c r="F181" s="7" t="s">
        <v>195</v>
      </c>
      <c r="G181" s="7" t="s">
        <v>195</v>
      </c>
      <c r="H181" s="7" t="s">
        <v>195</v>
      </c>
      <c r="I181" s="7" t="s">
        <v>195</v>
      </c>
      <c r="J181" s="7" t="s">
        <v>195</v>
      </c>
      <c r="K181" s="7" t="s">
        <v>195</v>
      </c>
      <c r="L181" s="7" t="s">
        <v>195</v>
      </c>
      <c r="M181" s="7" t="s">
        <v>29</v>
      </c>
      <c r="N181" s="7" t="s">
        <v>29</v>
      </c>
      <c r="O181" s="7" t="s">
        <v>29</v>
      </c>
      <c r="P181" s="7" t="s">
        <v>29</v>
      </c>
      <c r="Q181" s="7" t="s">
        <v>29</v>
      </c>
      <c r="R181" s="7" t="s">
        <v>29</v>
      </c>
      <c r="S181" s="7" t="s">
        <v>29</v>
      </c>
    </row>
    <row r="182" spans="2:19">
      <c r="B182" s="7" t="s">
        <v>195</v>
      </c>
      <c r="C182" s="8" t="s">
        <v>195</v>
      </c>
      <c r="D182" s="5" t="str">
        <f>LRTRIM(CONCATENATE(IF(SUMPRODUCT(-- ISNUMBER(SEARCH({"Auto Number"}, $B182))) &gt; 0, $B182, IF(SUMPRODUCT(-- ISNUMBER(SEARCH({"Lookup","Master-Detail"}, $B182))) &gt; 0,$B182 &amp; "(" &amp; $E182 &amp; ")",IF(SUMPRODUCT(-- ISNUMBER(SEARCH({"Formula","Roll-Up Summary"}, $B182))) &gt; 0,$B182 &amp; " (" &amp; $E182 &amp; ")",IF(SUMPRODUCT(-- ISNUMBER(SEARCH({"Content","Currency","Number","Percent","Text","URL"}, $B182))) &gt; 0,$B182 &amp; "(" &amp; $C182 &amp; ")",$B182)))), "  ", TRIM(IF($S182 = "YES", "(External ID)", "") &amp; " " &amp; IF(SUMPRODUCT(-- ISNUMBER(SEARCH({"Unique","Unique Case Insensitive"}, $R182))) &gt; 0, "(" &amp; $R182 &amp; ")", ""))))</f>
        <v>na</v>
      </c>
      <c r="E182" s="7" t="s">
        <v>195</v>
      </c>
      <c r="F182" s="7" t="s">
        <v>195</v>
      </c>
      <c r="G182" s="7" t="s">
        <v>195</v>
      </c>
      <c r="H182" s="7" t="s">
        <v>195</v>
      </c>
      <c r="I182" s="7" t="s">
        <v>195</v>
      </c>
      <c r="J182" s="7" t="s">
        <v>195</v>
      </c>
      <c r="K182" s="7" t="s">
        <v>195</v>
      </c>
      <c r="L182" s="7" t="s">
        <v>195</v>
      </c>
      <c r="M182" s="7" t="s">
        <v>29</v>
      </c>
      <c r="N182" s="7" t="s">
        <v>29</v>
      </c>
      <c r="O182" s="7" t="s">
        <v>29</v>
      </c>
      <c r="P182" s="7" t="s">
        <v>29</v>
      </c>
      <c r="Q182" s="7" t="s">
        <v>29</v>
      </c>
      <c r="R182" s="7" t="s">
        <v>29</v>
      </c>
      <c r="S182" s="7" t="s">
        <v>29</v>
      </c>
    </row>
    <row r="183" spans="2:19">
      <c r="B183" s="7" t="s">
        <v>195</v>
      </c>
      <c r="C183" s="8" t="s">
        <v>195</v>
      </c>
      <c r="D183" s="5" t="str">
        <f>LRTRIM(CONCATENATE(IF(SUMPRODUCT(-- ISNUMBER(SEARCH({"Auto Number"}, $B183))) &gt; 0, $B183, IF(SUMPRODUCT(-- ISNUMBER(SEARCH({"Lookup","Master-Detail"}, $B183))) &gt; 0,$B183 &amp; "(" &amp; $E183 &amp; ")",IF(SUMPRODUCT(-- ISNUMBER(SEARCH({"Formula","Roll-Up Summary"}, $B183))) &gt; 0,$B183 &amp; " (" &amp; $E183 &amp; ")",IF(SUMPRODUCT(-- ISNUMBER(SEARCH({"Content","Currency","Number","Percent","Text","URL"}, $B183))) &gt; 0,$B183 &amp; "(" &amp; $C183 &amp; ")",$B183)))), "  ", TRIM(IF($S183 = "YES", "(External ID)", "") &amp; " " &amp; IF(SUMPRODUCT(-- ISNUMBER(SEARCH({"Unique","Unique Case Insensitive"}, $R183))) &gt; 0, "(" &amp; $R183 &amp; ")", ""))))</f>
        <v>na</v>
      </c>
      <c r="E183" s="7" t="s">
        <v>195</v>
      </c>
      <c r="F183" s="7" t="s">
        <v>195</v>
      </c>
      <c r="G183" s="7" t="s">
        <v>195</v>
      </c>
      <c r="H183" s="7" t="s">
        <v>195</v>
      </c>
      <c r="I183" s="7" t="s">
        <v>195</v>
      </c>
      <c r="J183" s="7" t="s">
        <v>195</v>
      </c>
      <c r="K183" s="7" t="s">
        <v>195</v>
      </c>
      <c r="L183" s="7" t="s">
        <v>195</v>
      </c>
      <c r="M183" s="7" t="s">
        <v>29</v>
      </c>
      <c r="N183" s="7" t="s">
        <v>29</v>
      </c>
      <c r="O183" s="7" t="s">
        <v>29</v>
      </c>
      <c r="P183" s="7" t="s">
        <v>29</v>
      </c>
      <c r="Q183" s="7" t="s">
        <v>29</v>
      </c>
      <c r="R183" s="7" t="s">
        <v>29</v>
      </c>
      <c r="S183" s="7" t="s">
        <v>29</v>
      </c>
    </row>
    <row r="184" spans="2:19">
      <c r="B184" s="7" t="s">
        <v>195</v>
      </c>
      <c r="C184" s="8" t="s">
        <v>195</v>
      </c>
      <c r="D184" s="5" t="str">
        <f>LRTRIM(CONCATENATE(IF(SUMPRODUCT(-- ISNUMBER(SEARCH({"Auto Number"}, $B184))) &gt; 0, $B184, IF(SUMPRODUCT(-- ISNUMBER(SEARCH({"Lookup","Master-Detail"}, $B184))) &gt; 0,$B184 &amp; "(" &amp; $E184 &amp; ")",IF(SUMPRODUCT(-- ISNUMBER(SEARCH({"Formula","Roll-Up Summary"}, $B184))) &gt; 0,$B184 &amp; " (" &amp; $E184 &amp; ")",IF(SUMPRODUCT(-- ISNUMBER(SEARCH({"Content","Currency","Number","Percent","Text","URL"}, $B184))) &gt; 0,$B184 &amp; "(" &amp; $C184 &amp; ")",$B184)))), "  ", TRIM(IF($S184 = "YES", "(External ID)", "") &amp; " " &amp; IF(SUMPRODUCT(-- ISNUMBER(SEARCH({"Unique","Unique Case Insensitive"}, $R184))) &gt; 0, "(" &amp; $R184 &amp; ")", ""))))</f>
        <v>na</v>
      </c>
      <c r="E184" s="7" t="s">
        <v>195</v>
      </c>
      <c r="F184" s="7" t="s">
        <v>195</v>
      </c>
      <c r="G184" s="7" t="s">
        <v>195</v>
      </c>
      <c r="H184" s="7" t="s">
        <v>195</v>
      </c>
      <c r="I184" s="7" t="s">
        <v>195</v>
      </c>
      <c r="J184" s="7" t="s">
        <v>195</v>
      </c>
      <c r="K184" s="7" t="s">
        <v>195</v>
      </c>
      <c r="L184" s="7" t="s">
        <v>195</v>
      </c>
      <c r="M184" s="7" t="s">
        <v>29</v>
      </c>
      <c r="N184" s="7" t="s">
        <v>29</v>
      </c>
      <c r="O184" s="7" t="s">
        <v>29</v>
      </c>
      <c r="P184" s="7" t="s">
        <v>29</v>
      </c>
      <c r="Q184" s="7" t="s">
        <v>29</v>
      </c>
      <c r="R184" s="7" t="s">
        <v>29</v>
      </c>
      <c r="S184" s="7" t="s">
        <v>29</v>
      </c>
    </row>
    <row r="185" spans="2:19">
      <c r="B185" s="7" t="s">
        <v>195</v>
      </c>
      <c r="C185" s="8" t="s">
        <v>195</v>
      </c>
      <c r="D185" s="5" t="str">
        <f>LRTRIM(CONCATENATE(IF(SUMPRODUCT(-- ISNUMBER(SEARCH({"Auto Number"}, $B185))) &gt; 0, $B185, IF(SUMPRODUCT(-- ISNUMBER(SEARCH({"Lookup","Master-Detail"}, $B185))) &gt; 0,$B185 &amp; "(" &amp; $E185 &amp; ")",IF(SUMPRODUCT(-- ISNUMBER(SEARCH({"Formula","Roll-Up Summary"}, $B185))) &gt; 0,$B185 &amp; " (" &amp; $E185 &amp; ")",IF(SUMPRODUCT(-- ISNUMBER(SEARCH({"Content","Currency","Number","Percent","Text","URL"}, $B185))) &gt; 0,$B185 &amp; "(" &amp; $C185 &amp; ")",$B185)))), "  ", TRIM(IF($S185 = "YES", "(External ID)", "") &amp; " " &amp; IF(SUMPRODUCT(-- ISNUMBER(SEARCH({"Unique","Unique Case Insensitive"}, $R185))) &gt; 0, "(" &amp; $R185 &amp; ")", ""))))</f>
        <v>na</v>
      </c>
      <c r="E185" s="7" t="s">
        <v>195</v>
      </c>
      <c r="F185" s="7" t="s">
        <v>195</v>
      </c>
      <c r="G185" s="7" t="s">
        <v>195</v>
      </c>
      <c r="H185" s="7" t="s">
        <v>195</v>
      </c>
      <c r="I185" s="7" t="s">
        <v>195</v>
      </c>
      <c r="J185" s="7" t="s">
        <v>195</v>
      </c>
      <c r="K185" s="7" t="s">
        <v>195</v>
      </c>
      <c r="L185" s="7" t="s">
        <v>195</v>
      </c>
      <c r="M185" s="7" t="s">
        <v>29</v>
      </c>
      <c r="N185" s="7" t="s">
        <v>29</v>
      </c>
      <c r="O185" s="7" t="s">
        <v>29</v>
      </c>
      <c r="P185" s="7" t="s">
        <v>29</v>
      </c>
      <c r="Q185" s="7" t="s">
        <v>29</v>
      </c>
      <c r="R185" s="7" t="s">
        <v>29</v>
      </c>
      <c r="S185" s="7" t="s">
        <v>29</v>
      </c>
    </row>
    <row r="186" spans="2:19">
      <c r="B186" s="7" t="s">
        <v>195</v>
      </c>
      <c r="C186" s="8" t="s">
        <v>195</v>
      </c>
      <c r="D186" s="5" t="str">
        <f>LRTRIM(CONCATENATE(IF(SUMPRODUCT(-- ISNUMBER(SEARCH({"Auto Number"}, $B186))) &gt; 0, $B186, IF(SUMPRODUCT(-- ISNUMBER(SEARCH({"Lookup","Master-Detail"}, $B186))) &gt; 0,$B186 &amp; "(" &amp; $E186 &amp; ")",IF(SUMPRODUCT(-- ISNUMBER(SEARCH({"Formula","Roll-Up Summary"}, $B186))) &gt; 0,$B186 &amp; " (" &amp; $E186 &amp; ")",IF(SUMPRODUCT(-- ISNUMBER(SEARCH({"Content","Currency","Number","Percent","Text","URL"}, $B186))) &gt; 0,$B186 &amp; "(" &amp; $C186 &amp; ")",$B186)))), "  ", TRIM(IF($S186 = "YES", "(External ID)", "") &amp; " " &amp; IF(SUMPRODUCT(-- ISNUMBER(SEARCH({"Unique","Unique Case Insensitive"}, $R186))) &gt; 0, "(" &amp; $R186 &amp; ")", ""))))</f>
        <v>na</v>
      </c>
      <c r="E186" s="7" t="s">
        <v>195</v>
      </c>
      <c r="F186" s="7" t="s">
        <v>195</v>
      </c>
      <c r="G186" s="7" t="s">
        <v>195</v>
      </c>
      <c r="H186" s="7" t="s">
        <v>195</v>
      </c>
      <c r="I186" s="7" t="s">
        <v>195</v>
      </c>
      <c r="J186" s="7" t="s">
        <v>195</v>
      </c>
      <c r="K186" s="7" t="s">
        <v>195</v>
      </c>
      <c r="L186" s="7" t="s">
        <v>195</v>
      </c>
      <c r="M186" s="7" t="s">
        <v>29</v>
      </c>
      <c r="N186" s="7" t="s">
        <v>29</v>
      </c>
      <c r="O186" s="7" t="s">
        <v>29</v>
      </c>
      <c r="P186" s="7" t="s">
        <v>29</v>
      </c>
      <c r="Q186" s="7" t="s">
        <v>29</v>
      </c>
      <c r="R186" s="7" t="s">
        <v>29</v>
      </c>
      <c r="S186" s="7" t="s">
        <v>29</v>
      </c>
    </row>
    <row r="187" spans="2:19">
      <c r="B187" s="7" t="s">
        <v>195</v>
      </c>
      <c r="C187" s="8" t="s">
        <v>195</v>
      </c>
      <c r="D187" s="5" t="str">
        <f>LRTRIM(CONCATENATE(IF(SUMPRODUCT(-- ISNUMBER(SEARCH({"Auto Number"}, $B187))) &gt; 0, $B187, IF(SUMPRODUCT(-- ISNUMBER(SEARCH({"Lookup","Master-Detail"}, $B187))) &gt; 0,$B187 &amp; "(" &amp; $E187 &amp; ")",IF(SUMPRODUCT(-- ISNUMBER(SEARCH({"Formula","Roll-Up Summary"}, $B187))) &gt; 0,$B187 &amp; " (" &amp; $E187 &amp; ")",IF(SUMPRODUCT(-- ISNUMBER(SEARCH({"Content","Currency","Number","Percent","Text","URL"}, $B187))) &gt; 0,$B187 &amp; "(" &amp; $C187 &amp; ")",$B187)))), "  ", TRIM(IF($S187 = "YES", "(External ID)", "") &amp; " " &amp; IF(SUMPRODUCT(-- ISNUMBER(SEARCH({"Unique","Unique Case Insensitive"}, $R187))) &gt; 0, "(" &amp; $R187 &amp; ")", ""))))</f>
        <v>na</v>
      </c>
      <c r="E187" s="7" t="s">
        <v>195</v>
      </c>
      <c r="F187" s="7" t="s">
        <v>195</v>
      </c>
      <c r="G187" s="7" t="s">
        <v>195</v>
      </c>
      <c r="H187" s="7" t="s">
        <v>195</v>
      </c>
      <c r="I187" s="7" t="s">
        <v>195</v>
      </c>
      <c r="J187" s="7" t="s">
        <v>195</v>
      </c>
      <c r="K187" s="7" t="s">
        <v>195</v>
      </c>
      <c r="L187" s="7" t="s">
        <v>195</v>
      </c>
      <c r="M187" s="7" t="s">
        <v>29</v>
      </c>
      <c r="N187" s="7" t="s">
        <v>29</v>
      </c>
      <c r="O187" s="7" t="s">
        <v>29</v>
      </c>
      <c r="P187" s="7" t="s">
        <v>29</v>
      </c>
      <c r="Q187" s="7" t="s">
        <v>29</v>
      </c>
      <c r="R187" s="7" t="s">
        <v>29</v>
      </c>
      <c r="S187" s="7" t="s">
        <v>29</v>
      </c>
    </row>
    <row r="188" spans="2:19">
      <c r="B188" s="7" t="s">
        <v>195</v>
      </c>
      <c r="C188" s="8" t="s">
        <v>195</v>
      </c>
      <c r="D188" s="5" t="str">
        <f>LRTRIM(CONCATENATE(IF(SUMPRODUCT(-- ISNUMBER(SEARCH({"Auto Number"}, $B188))) &gt; 0, $B188, IF(SUMPRODUCT(-- ISNUMBER(SEARCH({"Lookup","Master-Detail"}, $B188))) &gt; 0,$B188 &amp; "(" &amp; $E188 &amp; ")",IF(SUMPRODUCT(-- ISNUMBER(SEARCH({"Formula","Roll-Up Summary"}, $B188))) &gt; 0,$B188 &amp; " (" &amp; $E188 &amp; ")",IF(SUMPRODUCT(-- ISNUMBER(SEARCH({"Content","Currency","Number","Percent","Text","URL"}, $B188))) &gt; 0,$B188 &amp; "(" &amp; $C188 &amp; ")",$B188)))), "  ", TRIM(IF($S188 = "YES", "(External ID)", "") &amp; " " &amp; IF(SUMPRODUCT(-- ISNUMBER(SEARCH({"Unique","Unique Case Insensitive"}, $R188))) &gt; 0, "(" &amp; $R188 &amp; ")", ""))))</f>
        <v>na</v>
      </c>
      <c r="E188" s="7" t="s">
        <v>195</v>
      </c>
      <c r="F188" s="7" t="s">
        <v>195</v>
      </c>
      <c r="G188" s="7" t="s">
        <v>195</v>
      </c>
      <c r="H188" s="7" t="s">
        <v>195</v>
      </c>
      <c r="I188" s="7" t="s">
        <v>195</v>
      </c>
      <c r="J188" s="7" t="s">
        <v>195</v>
      </c>
      <c r="K188" s="7" t="s">
        <v>195</v>
      </c>
      <c r="L188" s="7" t="s">
        <v>195</v>
      </c>
      <c r="M188" s="7" t="s">
        <v>29</v>
      </c>
      <c r="N188" s="7" t="s">
        <v>29</v>
      </c>
      <c r="O188" s="7" t="s">
        <v>29</v>
      </c>
      <c r="P188" s="7" t="s">
        <v>29</v>
      </c>
      <c r="Q188" s="7" t="s">
        <v>29</v>
      </c>
      <c r="R188" s="7" t="s">
        <v>29</v>
      </c>
      <c r="S188" s="7" t="s">
        <v>29</v>
      </c>
    </row>
    <row r="189" spans="2:19">
      <c r="B189" s="7" t="s">
        <v>195</v>
      </c>
      <c r="C189" s="8" t="s">
        <v>195</v>
      </c>
      <c r="D189" s="5" t="str">
        <f>LRTRIM(CONCATENATE(IF(SUMPRODUCT(-- ISNUMBER(SEARCH({"Auto Number"}, $B189))) &gt; 0, $B189, IF(SUMPRODUCT(-- ISNUMBER(SEARCH({"Lookup","Master-Detail"}, $B189))) &gt; 0,$B189 &amp; "(" &amp; $E189 &amp; ")",IF(SUMPRODUCT(-- ISNUMBER(SEARCH({"Formula","Roll-Up Summary"}, $B189))) &gt; 0,$B189 &amp; " (" &amp; $E189 &amp; ")",IF(SUMPRODUCT(-- ISNUMBER(SEARCH({"Content","Currency","Number","Percent","Text","URL"}, $B189))) &gt; 0,$B189 &amp; "(" &amp; $C189 &amp; ")",$B189)))), "  ", TRIM(IF($S189 = "YES", "(External ID)", "") &amp; " " &amp; IF(SUMPRODUCT(-- ISNUMBER(SEARCH({"Unique","Unique Case Insensitive"}, $R189))) &gt; 0, "(" &amp; $R189 &amp; ")", ""))))</f>
        <v>na</v>
      </c>
      <c r="E189" s="7" t="s">
        <v>195</v>
      </c>
      <c r="F189" s="7" t="s">
        <v>195</v>
      </c>
      <c r="G189" s="7" t="s">
        <v>195</v>
      </c>
      <c r="H189" s="7" t="s">
        <v>195</v>
      </c>
      <c r="I189" s="7" t="s">
        <v>195</v>
      </c>
      <c r="J189" s="7" t="s">
        <v>195</v>
      </c>
      <c r="K189" s="7" t="s">
        <v>195</v>
      </c>
      <c r="L189" s="7" t="s">
        <v>195</v>
      </c>
      <c r="M189" s="7" t="s">
        <v>29</v>
      </c>
      <c r="N189" s="7" t="s">
        <v>29</v>
      </c>
      <c r="O189" s="7" t="s">
        <v>29</v>
      </c>
      <c r="P189" s="7" t="s">
        <v>29</v>
      </c>
      <c r="Q189" s="7" t="s">
        <v>29</v>
      </c>
      <c r="R189" s="7" t="s">
        <v>29</v>
      </c>
      <c r="S189" s="7" t="s">
        <v>29</v>
      </c>
    </row>
    <row r="190" spans="2:19">
      <c r="B190" s="7" t="s">
        <v>195</v>
      </c>
      <c r="C190" s="8" t="s">
        <v>195</v>
      </c>
      <c r="D190" s="5" t="str">
        <f>LRTRIM(CONCATENATE(IF(SUMPRODUCT(-- ISNUMBER(SEARCH({"Auto Number"}, $B190))) &gt; 0, $B190, IF(SUMPRODUCT(-- ISNUMBER(SEARCH({"Lookup","Master-Detail"}, $B190))) &gt; 0,$B190 &amp; "(" &amp; $E190 &amp; ")",IF(SUMPRODUCT(-- ISNUMBER(SEARCH({"Formula","Roll-Up Summary"}, $B190))) &gt; 0,$B190 &amp; " (" &amp; $E190 &amp; ")",IF(SUMPRODUCT(-- ISNUMBER(SEARCH({"Content","Currency","Number","Percent","Text","URL"}, $B190))) &gt; 0,$B190 &amp; "(" &amp; $C190 &amp; ")",$B190)))), "  ", TRIM(IF($S190 = "YES", "(External ID)", "") &amp; " " &amp; IF(SUMPRODUCT(-- ISNUMBER(SEARCH({"Unique","Unique Case Insensitive"}, $R190))) &gt; 0, "(" &amp; $R190 &amp; ")", ""))))</f>
        <v>na</v>
      </c>
      <c r="E190" s="7" t="s">
        <v>195</v>
      </c>
      <c r="F190" s="7" t="s">
        <v>195</v>
      </c>
      <c r="G190" s="7" t="s">
        <v>195</v>
      </c>
      <c r="H190" s="7" t="s">
        <v>195</v>
      </c>
      <c r="I190" s="7" t="s">
        <v>195</v>
      </c>
      <c r="J190" s="7" t="s">
        <v>195</v>
      </c>
      <c r="K190" s="7" t="s">
        <v>195</v>
      </c>
      <c r="L190" s="7" t="s">
        <v>195</v>
      </c>
      <c r="M190" s="7" t="s">
        <v>29</v>
      </c>
      <c r="N190" s="7" t="s">
        <v>29</v>
      </c>
      <c r="O190" s="7" t="s">
        <v>29</v>
      </c>
      <c r="P190" s="7" t="s">
        <v>29</v>
      </c>
      <c r="Q190" s="7" t="s">
        <v>29</v>
      </c>
      <c r="R190" s="7" t="s">
        <v>29</v>
      </c>
      <c r="S190" s="7" t="s">
        <v>29</v>
      </c>
    </row>
    <row r="191" spans="2:19">
      <c r="B191" s="7" t="s">
        <v>195</v>
      </c>
      <c r="C191" s="8" t="s">
        <v>195</v>
      </c>
      <c r="D191" s="5" t="str">
        <f>LRTRIM(CONCATENATE(IF(SUMPRODUCT(-- ISNUMBER(SEARCH({"Auto Number"}, $B191))) &gt; 0, $B191, IF(SUMPRODUCT(-- ISNUMBER(SEARCH({"Lookup","Master-Detail"}, $B191))) &gt; 0,$B191 &amp; "(" &amp; $E191 &amp; ")",IF(SUMPRODUCT(-- ISNUMBER(SEARCH({"Formula","Roll-Up Summary"}, $B191))) &gt; 0,$B191 &amp; " (" &amp; $E191 &amp; ")",IF(SUMPRODUCT(-- ISNUMBER(SEARCH({"Content","Currency","Number","Percent","Text","URL"}, $B191))) &gt; 0,$B191 &amp; "(" &amp; $C191 &amp; ")",$B191)))), "  ", TRIM(IF($S191 = "YES", "(External ID)", "") &amp; " " &amp; IF(SUMPRODUCT(-- ISNUMBER(SEARCH({"Unique","Unique Case Insensitive"}, $R191))) &gt; 0, "(" &amp; $R191 &amp; ")", ""))))</f>
        <v>na</v>
      </c>
      <c r="E191" s="7" t="s">
        <v>195</v>
      </c>
      <c r="F191" s="7" t="s">
        <v>195</v>
      </c>
      <c r="G191" s="7" t="s">
        <v>195</v>
      </c>
      <c r="H191" s="7" t="s">
        <v>195</v>
      </c>
      <c r="I191" s="7" t="s">
        <v>195</v>
      </c>
      <c r="J191" s="7" t="s">
        <v>195</v>
      </c>
      <c r="K191" s="7" t="s">
        <v>195</v>
      </c>
      <c r="L191" s="7" t="s">
        <v>195</v>
      </c>
      <c r="M191" s="7" t="s">
        <v>29</v>
      </c>
      <c r="N191" s="7" t="s">
        <v>29</v>
      </c>
      <c r="O191" s="7" t="s">
        <v>29</v>
      </c>
      <c r="P191" s="7" t="s">
        <v>29</v>
      </c>
      <c r="Q191" s="7" t="s">
        <v>29</v>
      </c>
      <c r="R191" s="7" t="s">
        <v>29</v>
      </c>
      <c r="S191" s="7" t="s">
        <v>29</v>
      </c>
    </row>
    <row r="192" spans="2:19">
      <c r="B192" s="7" t="s">
        <v>195</v>
      </c>
      <c r="C192" s="8" t="s">
        <v>195</v>
      </c>
      <c r="D192" s="5" t="str">
        <f>LRTRIM(CONCATENATE(IF(SUMPRODUCT(-- ISNUMBER(SEARCH({"Auto Number"}, $B192))) &gt; 0, $B192, IF(SUMPRODUCT(-- ISNUMBER(SEARCH({"Lookup","Master-Detail"}, $B192))) &gt; 0,$B192 &amp; "(" &amp; $E192 &amp; ")",IF(SUMPRODUCT(-- ISNUMBER(SEARCH({"Formula","Roll-Up Summary"}, $B192))) &gt; 0,$B192 &amp; " (" &amp; $E192 &amp; ")",IF(SUMPRODUCT(-- ISNUMBER(SEARCH({"Content","Currency","Number","Percent","Text","URL"}, $B192))) &gt; 0,$B192 &amp; "(" &amp; $C192 &amp; ")",$B192)))), "  ", TRIM(IF($S192 = "YES", "(External ID)", "") &amp; " " &amp; IF(SUMPRODUCT(-- ISNUMBER(SEARCH({"Unique","Unique Case Insensitive"}, $R192))) &gt; 0, "(" &amp; $R192 &amp; ")", ""))))</f>
        <v>na</v>
      </c>
      <c r="E192" s="7" t="s">
        <v>195</v>
      </c>
      <c r="F192" s="7" t="s">
        <v>195</v>
      </c>
      <c r="G192" s="7" t="s">
        <v>195</v>
      </c>
      <c r="H192" s="7" t="s">
        <v>195</v>
      </c>
      <c r="I192" s="7" t="s">
        <v>195</v>
      </c>
      <c r="J192" s="7" t="s">
        <v>195</v>
      </c>
      <c r="K192" s="7" t="s">
        <v>195</v>
      </c>
      <c r="L192" s="7" t="s">
        <v>195</v>
      </c>
      <c r="M192" s="7" t="s">
        <v>29</v>
      </c>
      <c r="N192" s="7" t="s">
        <v>29</v>
      </c>
      <c r="O192" s="7" t="s">
        <v>29</v>
      </c>
      <c r="P192" s="7" t="s">
        <v>29</v>
      </c>
      <c r="Q192" s="7" t="s">
        <v>29</v>
      </c>
      <c r="R192" s="7" t="s">
        <v>29</v>
      </c>
      <c r="S192" s="7" t="s">
        <v>29</v>
      </c>
    </row>
    <row r="193" spans="2:19">
      <c r="B193" s="7" t="s">
        <v>195</v>
      </c>
      <c r="C193" s="8" t="s">
        <v>195</v>
      </c>
      <c r="D193" s="5" t="str">
        <f>LRTRIM(CONCATENATE(IF(SUMPRODUCT(-- ISNUMBER(SEARCH({"Auto Number"}, $B193))) &gt; 0, $B193, IF(SUMPRODUCT(-- ISNUMBER(SEARCH({"Lookup","Master-Detail"}, $B193))) &gt; 0,$B193 &amp; "(" &amp; $E193 &amp; ")",IF(SUMPRODUCT(-- ISNUMBER(SEARCH({"Formula","Roll-Up Summary"}, $B193))) &gt; 0,$B193 &amp; " (" &amp; $E193 &amp; ")",IF(SUMPRODUCT(-- ISNUMBER(SEARCH({"Content","Currency","Number","Percent","Text","URL"}, $B193))) &gt; 0,$B193 &amp; "(" &amp; $C193 &amp; ")",$B193)))), "  ", TRIM(IF($S193 = "YES", "(External ID)", "") &amp; " " &amp; IF(SUMPRODUCT(-- ISNUMBER(SEARCH({"Unique","Unique Case Insensitive"}, $R193))) &gt; 0, "(" &amp; $R193 &amp; ")", ""))))</f>
        <v>na</v>
      </c>
      <c r="E193" s="7" t="s">
        <v>195</v>
      </c>
      <c r="F193" s="7" t="s">
        <v>195</v>
      </c>
      <c r="G193" s="7" t="s">
        <v>195</v>
      </c>
      <c r="H193" s="7" t="s">
        <v>195</v>
      </c>
      <c r="I193" s="7" t="s">
        <v>195</v>
      </c>
      <c r="J193" s="7" t="s">
        <v>195</v>
      </c>
      <c r="K193" s="7" t="s">
        <v>195</v>
      </c>
      <c r="L193" s="7" t="s">
        <v>195</v>
      </c>
      <c r="M193" s="7" t="s">
        <v>29</v>
      </c>
      <c r="N193" s="7" t="s">
        <v>29</v>
      </c>
      <c r="O193" s="7" t="s">
        <v>29</v>
      </c>
      <c r="P193" s="7" t="s">
        <v>29</v>
      </c>
      <c r="Q193" s="7" t="s">
        <v>29</v>
      </c>
      <c r="R193" s="7" t="s">
        <v>29</v>
      </c>
      <c r="S193" s="7" t="s">
        <v>29</v>
      </c>
    </row>
    <row r="194" spans="2:19">
      <c r="B194" s="7" t="s">
        <v>195</v>
      </c>
      <c r="C194" s="8" t="s">
        <v>195</v>
      </c>
      <c r="D194" s="5" t="str">
        <f>LRTRIM(CONCATENATE(IF(SUMPRODUCT(-- ISNUMBER(SEARCH({"Auto Number"}, $B194))) &gt; 0, $B194, IF(SUMPRODUCT(-- ISNUMBER(SEARCH({"Lookup","Master-Detail"}, $B194))) &gt; 0,$B194 &amp; "(" &amp; $E194 &amp; ")",IF(SUMPRODUCT(-- ISNUMBER(SEARCH({"Formula","Roll-Up Summary"}, $B194))) &gt; 0,$B194 &amp; " (" &amp; $E194 &amp; ")",IF(SUMPRODUCT(-- ISNUMBER(SEARCH({"Content","Currency","Number","Percent","Text","URL"}, $B194))) &gt; 0,$B194 &amp; "(" &amp; $C194 &amp; ")",$B194)))), "  ", TRIM(IF($S194 = "YES", "(External ID)", "") &amp; " " &amp; IF(SUMPRODUCT(-- ISNUMBER(SEARCH({"Unique","Unique Case Insensitive"}, $R194))) &gt; 0, "(" &amp; $R194 &amp; ")", ""))))</f>
        <v>na</v>
      </c>
      <c r="E194" s="7" t="s">
        <v>195</v>
      </c>
      <c r="F194" s="7" t="s">
        <v>195</v>
      </c>
      <c r="G194" s="7" t="s">
        <v>195</v>
      </c>
      <c r="H194" s="7" t="s">
        <v>195</v>
      </c>
      <c r="I194" s="7" t="s">
        <v>195</v>
      </c>
      <c r="J194" s="7" t="s">
        <v>195</v>
      </c>
      <c r="K194" s="7" t="s">
        <v>195</v>
      </c>
      <c r="L194" s="7" t="s">
        <v>195</v>
      </c>
      <c r="M194" s="7" t="s">
        <v>29</v>
      </c>
      <c r="N194" s="7" t="s">
        <v>29</v>
      </c>
      <c r="O194" s="7" t="s">
        <v>29</v>
      </c>
      <c r="P194" s="7" t="s">
        <v>29</v>
      </c>
      <c r="Q194" s="7" t="s">
        <v>29</v>
      </c>
      <c r="R194" s="7" t="s">
        <v>29</v>
      </c>
      <c r="S194" s="7" t="s">
        <v>29</v>
      </c>
    </row>
    <row r="195" spans="2:19">
      <c r="B195" s="7" t="s">
        <v>195</v>
      </c>
      <c r="C195" s="8" t="s">
        <v>195</v>
      </c>
      <c r="D195" s="5" t="str">
        <f>LRTRIM(CONCATENATE(IF(SUMPRODUCT(-- ISNUMBER(SEARCH({"Auto Number"}, $B195))) &gt; 0, $B195, IF(SUMPRODUCT(-- ISNUMBER(SEARCH({"Lookup","Master-Detail"}, $B195))) &gt; 0,$B195 &amp; "(" &amp; $E195 &amp; ")",IF(SUMPRODUCT(-- ISNUMBER(SEARCH({"Formula","Roll-Up Summary"}, $B195))) &gt; 0,$B195 &amp; " (" &amp; $E195 &amp; ")",IF(SUMPRODUCT(-- ISNUMBER(SEARCH({"Content","Currency","Number","Percent","Text","URL"}, $B195))) &gt; 0,$B195 &amp; "(" &amp; $C195 &amp; ")",$B195)))), "  ", TRIM(IF($S195 = "YES", "(External ID)", "") &amp; " " &amp; IF(SUMPRODUCT(-- ISNUMBER(SEARCH({"Unique","Unique Case Insensitive"}, $R195))) &gt; 0, "(" &amp; $R195 &amp; ")", ""))))</f>
        <v>na</v>
      </c>
      <c r="E195" s="7" t="s">
        <v>195</v>
      </c>
      <c r="F195" s="7" t="s">
        <v>195</v>
      </c>
      <c r="G195" s="7" t="s">
        <v>195</v>
      </c>
      <c r="H195" s="7" t="s">
        <v>195</v>
      </c>
      <c r="I195" s="7" t="s">
        <v>195</v>
      </c>
      <c r="J195" s="7" t="s">
        <v>195</v>
      </c>
      <c r="K195" s="7" t="s">
        <v>195</v>
      </c>
      <c r="L195" s="7" t="s">
        <v>195</v>
      </c>
      <c r="M195" s="7" t="s">
        <v>29</v>
      </c>
      <c r="N195" s="7" t="s">
        <v>29</v>
      </c>
      <c r="O195" s="7" t="s">
        <v>29</v>
      </c>
      <c r="P195" s="7" t="s">
        <v>29</v>
      </c>
      <c r="Q195" s="7" t="s">
        <v>29</v>
      </c>
      <c r="R195" s="7" t="s">
        <v>29</v>
      </c>
      <c r="S195" s="7" t="s">
        <v>29</v>
      </c>
    </row>
    <row r="196" spans="2:19">
      <c r="B196" s="7" t="s">
        <v>195</v>
      </c>
      <c r="C196" s="8" t="s">
        <v>195</v>
      </c>
      <c r="D196" s="5" t="str">
        <f>LRTRIM(CONCATENATE(IF(SUMPRODUCT(-- ISNUMBER(SEARCH({"Auto Number"}, $B196))) &gt; 0, $B196, IF(SUMPRODUCT(-- ISNUMBER(SEARCH({"Lookup","Master-Detail"}, $B196))) &gt; 0,$B196 &amp; "(" &amp; $E196 &amp; ")",IF(SUMPRODUCT(-- ISNUMBER(SEARCH({"Formula","Roll-Up Summary"}, $B196))) &gt; 0,$B196 &amp; " (" &amp; $E196 &amp; ")",IF(SUMPRODUCT(-- ISNUMBER(SEARCH({"Content","Currency","Number","Percent","Text","URL"}, $B196))) &gt; 0,$B196 &amp; "(" &amp; $C196 &amp; ")",$B196)))), "  ", TRIM(IF($S196 = "YES", "(External ID)", "") &amp; " " &amp; IF(SUMPRODUCT(-- ISNUMBER(SEARCH({"Unique","Unique Case Insensitive"}, $R196))) &gt; 0, "(" &amp; $R196 &amp; ")", ""))))</f>
        <v>na</v>
      </c>
      <c r="E196" s="7" t="s">
        <v>195</v>
      </c>
      <c r="F196" s="7" t="s">
        <v>195</v>
      </c>
      <c r="G196" s="7" t="s">
        <v>195</v>
      </c>
      <c r="H196" s="7" t="s">
        <v>195</v>
      </c>
      <c r="I196" s="7" t="s">
        <v>195</v>
      </c>
      <c r="J196" s="7" t="s">
        <v>195</v>
      </c>
      <c r="K196" s="7" t="s">
        <v>195</v>
      </c>
      <c r="L196" s="7" t="s">
        <v>195</v>
      </c>
      <c r="M196" s="7" t="s">
        <v>29</v>
      </c>
      <c r="N196" s="7" t="s">
        <v>29</v>
      </c>
      <c r="O196" s="7" t="s">
        <v>29</v>
      </c>
      <c r="P196" s="7" t="s">
        <v>29</v>
      </c>
      <c r="Q196" s="7" t="s">
        <v>29</v>
      </c>
      <c r="R196" s="7" t="s">
        <v>29</v>
      </c>
      <c r="S196" s="7" t="s">
        <v>29</v>
      </c>
    </row>
    <row r="197" spans="2:19">
      <c r="B197" s="7" t="s">
        <v>195</v>
      </c>
      <c r="C197" s="8" t="s">
        <v>195</v>
      </c>
      <c r="D197" s="5" t="str">
        <f>LRTRIM(CONCATENATE(IF(SUMPRODUCT(-- ISNUMBER(SEARCH({"Auto Number"}, $B197))) &gt; 0, $B197, IF(SUMPRODUCT(-- ISNUMBER(SEARCH({"Lookup","Master-Detail"}, $B197))) &gt; 0,$B197 &amp; "(" &amp; $E197 &amp; ")",IF(SUMPRODUCT(-- ISNUMBER(SEARCH({"Formula","Roll-Up Summary"}, $B197))) &gt; 0,$B197 &amp; " (" &amp; $E197 &amp; ")",IF(SUMPRODUCT(-- ISNUMBER(SEARCH({"Content","Currency","Number","Percent","Text","URL"}, $B197))) &gt; 0,$B197 &amp; "(" &amp; $C197 &amp; ")",$B197)))), "  ", TRIM(IF($S197 = "YES", "(External ID)", "") &amp; " " &amp; IF(SUMPRODUCT(-- ISNUMBER(SEARCH({"Unique","Unique Case Insensitive"}, $R197))) &gt; 0, "(" &amp; $R197 &amp; ")", ""))))</f>
        <v>na</v>
      </c>
      <c r="E197" s="7" t="s">
        <v>195</v>
      </c>
      <c r="F197" s="7" t="s">
        <v>195</v>
      </c>
      <c r="G197" s="7" t="s">
        <v>195</v>
      </c>
      <c r="H197" s="7" t="s">
        <v>195</v>
      </c>
      <c r="I197" s="7" t="s">
        <v>195</v>
      </c>
      <c r="J197" s="7" t="s">
        <v>195</v>
      </c>
      <c r="K197" s="7" t="s">
        <v>195</v>
      </c>
      <c r="L197" s="7" t="s">
        <v>195</v>
      </c>
      <c r="M197" s="7" t="s">
        <v>29</v>
      </c>
      <c r="N197" s="7" t="s">
        <v>29</v>
      </c>
      <c r="O197" s="7" t="s">
        <v>29</v>
      </c>
      <c r="P197" s="7" t="s">
        <v>29</v>
      </c>
      <c r="Q197" s="7" t="s">
        <v>29</v>
      </c>
      <c r="R197" s="7" t="s">
        <v>29</v>
      </c>
      <c r="S197" s="7" t="s">
        <v>29</v>
      </c>
    </row>
    <row r="198" spans="2:19">
      <c r="B198" s="7" t="s">
        <v>195</v>
      </c>
      <c r="C198" s="8" t="s">
        <v>195</v>
      </c>
      <c r="D198" s="5" t="str">
        <f>LRTRIM(CONCATENATE(IF(SUMPRODUCT(-- ISNUMBER(SEARCH({"Auto Number"}, $B198))) &gt; 0, $B198, IF(SUMPRODUCT(-- ISNUMBER(SEARCH({"Lookup","Master-Detail"}, $B198))) &gt; 0,$B198 &amp; "(" &amp; $E198 &amp; ")",IF(SUMPRODUCT(-- ISNUMBER(SEARCH({"Formula","Roll-Up Summary"}, $B198))) &gt; 0,$B198 &amp; " (" &amp; $E198 &amp; ")",IF(SUMPRODUCT(-- ISNUMBER(SEARCH({"Content","Currency","Number","Percent","Text","URL"}, $B198))) &gt; 0,$B198 &amp; "(" &amp; $C198 &amp; ")",$B198)))), "  ", TRIM(IF($S198 = "YES", "(External ID)", "") &amp; " " &amp; IF(SUMPRODUCT(-- ISNUMBER(SEARCH({"Unique","Unique Case Insensitive"}, $R198))) &gt; 0, "(" &amp; $R198 &amp; ")", ""))))</f>
        <v>na</v>
      </c>
      <c r="E198" s="7" t="s">
        <v>195</v>
      </c>
      <c r="F198" s="7" t="s">
        <v>195</v>
      </c>
      <c r="G198" s="7" t="s">
        <v>195</v>
      </c>
      <c r="H198" s="7" t="s">
        <v>195</v>
      </c>
      <c r="I198" s="7" t="s">
        <v>195</v>
      </c>
      <c r="J198" s="7" t="s">
        <v>195</v>
      </c>
      <c r="K198" s="7" t="s">
        <v>195</v>
      </c>
      <c r="L198" s="7" t="s">
        <v>195</v>
      </c>
      <c r="M198" s="7" t="s">
        <v>29</v>
      </c>
      <c r="N198" s="7" t="s">
        <v>29</v>
      </c>
      <c r="O198" s="7" t="s">
        <v>29</v>
      </c>
      <c r="P198" s="7" t="s">
        <v>29</v>
      </c>
      <c r="Q198" s="7" t="s">
        <v>29</v>
      </c>
      <c r="R198" s="7" t="s">
        <v>29</v>
      </c>
      <c r="S198" s="7" t="s">
        <v>29</v>
      </c>
    </row>
    <row r="199" spans="2:19">
      <c r="B199" s="7" t="s">
        <v>195</v>
      </c>
      <c r="C199" s="8" t="s">
        <v>195</v>
      </c>
      <c r="D199" s="5" t="str">
        <f>LRTRIM(CONCATENATE(IF(SUMPRODUCT(-- ISNUMBER(SEARCH({"Auto Number"}, $B199))) &gt; 0, $B199, IF(SUMPRODUCT(-- ISNUMBER(SEARCH({"Lookup","Master-Detail"}, $B199))) &gt; 0,$B199 &amp; "(" &amp; $E199 &amp; ")",IF(SUMPRODUCT(-- ISNUMBER(SEARCH({"Formula","Roll-Up Summary"}, $B199))) &gt; 0,$B199 &amp; " (" &amp; $E199 &amp; ")",IF(SUMPRODUCT(-- ISNUMBER(SEARCH({"Content","Currency","Number","Percent","Text","URL"}, $B199))) &gt; 0,$B199 &amp; "(" &amp; $C199 &amp; ")",$B199)))), "  ", TRIM(IF($S199 = "YES", "(External ID)", "") &amp; " " &amp; IF(SUMPRODUCT(-- ISNUMBER(SEARCH({"Unique","Unique Case Insensitive"}, $R199))) &gt; 0, "(" &amp; $R199 &amp; ")", ""))))</f>
        <v>na</v>
      </c>
      <c r="E199" s="7" t="s">
        <v>195</v>
      </c>
      <c r="F199" s="7" t="s">
        <v>195</v>
      </c>
      <c r="G199" s="7" t="s">
        <v>195</v>
      </c>
      <c r="H199" s="7" t="s">
        <v>195</v>
      </c>
      <c r="I199" s="7" t="s">
        <v>195</v>
      </c>
      <c r="J199" s="7" t="s">
        <v>195</v>
      </c>
      <c r="K199" s="7" t="s">
        <v>195</v>
      </c>
      <c r="L199" s="7" t="s">
        <v>195</v>
      </c>
      <c r="M199" s="7" t="s">
        <v>29</v>
      </c>
      <c r="N199" s="7" t="s">
        <v>29</v>
      </c>
      <c r="O199" s="7" t="s">
        <v>29</v>
      </c>
      <c r="P199" s="7" t="s">
        <v>29</v>
      </c>
      <c r="Q199" s="7" t="s">
        <v>29</v>
      </c>
      <c r="R199" s="7" t="s">
        <v>29</v>
      </c>
      <c r="S199" s="7" t="s">
        <v>29</v>
      </c>
    </row>
    <row r="200" spans="2:19">
      <c r="B200" s="7" t="s">
        <v>195</v>
      </c>
      <c r="C200" s="8" t="s">
        <v>195</v>
      </c>
      <c r="D200" s="5" t="str">
        <f>LRTRIM(CONCATENATE(IF(SUMPRODUCT(-- ISNUMBER(SEARCH({"Auto Number"}, $B200))) &gt; 0, $B200, IF(SUMPRODUCT(-- ISNUMBER(SEARCH({"Lookup","Master-Detail"}, $B200))) &gt; 0,$B200 &amp; "(" &amp; $E200 &amp; ")",IF(SUMPRODUCT(-- ISNUMBER(SEARCH({"Formula","Roll-Up Summary"}, $B200))) &gt; 0,$B200 &amp; " (" &amp; $E200 &amp; ")",IF(SUMPRODUCT(-- ISNUMBER(SEARCH({"Content","Currency","Number","Percent","Text","URL"}, $B200))) &gt; 0,$B200 &amp; "(" &amp; $C200 &amp; ")",$B200)))), "  ", TRIM(IF($S200 = "YES", "(External ID)", "") &amp; " " &amp; IF(SUMPRODUCT(-- ISNUMBER(SEARCH({"Unique","Unique Case Insensitive"}, $R200))) &gt; 0, "(" &amp; $R200 &amp; ")", ""))))</f>
        <v>na</v>
      </c>
      <c r="E200" s="7" t="s">
        <v>195</v>
      </c>
      <c r="F200" s="7" t="s">
        <v>195</v>
      </c>
      <c r="G200" s="7" t="s">
        <v>195</v>
      </c>
      <c r="H200" s="7" t="s">
        <v>195</v>
      </c>
      <c r="I200" s="7" t="s">
        <v>195</v>
      </c>
      <c r="J200" s="7" t="s">
        <v>195</v>
      </c>
      <c r="K200" s="7" t="s">
        <v>195</v>
      </c>
      <c r="L200" s="7" t="s">
        <v>195</v>
      </c>
      <c r="M200" s="7" t="s">
        <v>29</v>
      </c>
      <c r="N200" s="7" t="s">
        <v>29</v>
      </c>
      <c r="O200" s="7" t="s">
        <v>29</v>
      </c>
      <c r="P200" s="7" t="s">
        <v>29</v>
      </c>
      <c r="Q200" s="7" t="s">
        <v>29</v>
      </c>
      <c r="R200" s="7" t="s">
        <v>29</v>
      </c>
      <c r="S200" s="7" t="s">
        <v>29</v>
      </c>
    </row>
  </sheetData>
  <sheetProtection formatCells="0" formatColumns="0" formatRows="0" insertColumns="0" insertRows="0" insertHyperlinks="0" deleteColumns="0" deleteRows="0" sort="0" autoFilter="0" pivotTables="0"/>
  <conditionalFormatting sqref="D2:D21">
    <cfRule type="expression" dxfId="102" priority="3">
      <formula>NOT(_xlfn.ISFORMULA($D2))</formula>
    </cfRule>
  </conditionalFormatting>
  <conditionalFormatting sqref="D22">
    <cfRule type="expression" dxfId="101" priority="2">
      <formula>NOT(_xlfn.ISFORMULA($D22))</formula>
    </cfRule>
  </conditionalFormatting>
  <conditionalFormatting sqref="D23:D200">
    <cfRule type="expression" dxfId="100" priority="1">
      <formula>NOT(_xlfn.ISFORMULA($D23))</formula>
    </cfRule>
  </conditionalFormatting>
  <dataValidations count="1">
    <dataValidation allowBlank="1" showInputMessage="1" showErrorMessage="1" sqref="A2:A21"/>
  </dataValidations>
  <pageMargins left="0.7" right="0.7" top="0.75" bottom="0.75" header="0.3" footer="0.3"/>
  <extLst>
    <ext xmlns:x14="http://schemas.microsoft.com/office/spreadsheetml/2009/9/main" uri="{CCE6A557-97BC-4b89-ADB6-D9C93CAAB3DF}">
      <x14:dataValidations xmlns:xm="http://schemas.microsoft.com/office/excel/2006/main" count="15">
        <x14:dataValidation type="list" allowBlank="1" showInputMessage="1" showErrorMessage="1">
          <x14:formula1>
            <xm:f>OFFSET('Reference Fields'!$J$2,0,0,COUNTA('Reference Fields'!$J:$J)-1)</xm:f>
          </x14:formula1>
          <xm:sqref>O2:O200</xm:sqref>
        </x14:dataValidation>
        <x14:dataValidation type="list" allowBlank="1" showInputMessage="1" showErrorMessage="1">
          <x14:formula1>
            <xm:f>OFFSET('Reference Fields'!$J$2,0,0,COUNTA('Reference Fields'!$J:$J)-1)</xm:f>
          </x14:formula1>
          <xm:sqref>M2:M200</xm:sqref>
        </x14:dataValidation>
        <x14:dataValidation type="list" allowBlank="1" showInputMessage="1" showErrorMessage="1">
          <x14:formula1>
            <xm:f>OFFSET('Reference Fields'!$J$2,0,0,COUNTA('Reference Fields'!$J:$J)-1)</xm:f>
          </x14:formula1>
          <xm:sqref>N2:N200</xm:sqref>
        </x14:dataValidation>
        <x14:dataValidation type="list" allowBlank="1" showInputMessage="1" showErrorMessage="1">
          <x14:formula1>
            <xm:f>OFFSET('Reference Fields'!$J$2,0,0,COUNTA('Reference Fields'!$J:$J)-1)</xm:f>
          </x14:formula1>
          <xm:sqref>P2:P200</xm:sqref>
        </x14:dataValidation>
        <x14:dataValidation type="list" allowBlank="1" showInputMessage="1" showErrorMessage="1">
          <x14:formula1>
            <xm:f>OFFSET('Reference Fields'!$J$2,0,0,COUNTA('Reference Fields'!$J:$J)-1)</xm:f>
          </x14:formula1>
          <xm:sqref>Q2:Q200</xm:sqref>
        </x14:dataValidation>
        <x14:dataValidation type="list" allowBlank="1" showInputMessage="1" showErrorMessage="1">
          <x14:formula1>
            <xm:f>OFFSET('Reference Fields'!$J$2,0,0,COUNTA('Reference Fields'!$J:$J)-1)</xm:f>
          </x14:formula1>
          <xm:sqref>S2:S200</xm:sqref>
        </x14:dataValidation>
        <x14:dataValidation type="list" allowBlank="1" showInputMessage="1" showErrorMessage="1">
          <x14:formula1>
            <xm:f>OFFSET('Reference Fields'!$K$2,0,0,COUNTA('Reference Fields'!$K:$K)-1)</xm:f>
          </x14:formula1>
          <xm:sqref>R2:R200</xm:sqref>
        </x14:dataValidation>
        <x14:dataValidation type="list" allowBlank="1" showInputMessage="1" showErrorMessage="1">
          <x14:formula1>
            <xm:f>OFFSET('Reference Fields'!$B$2,0,0,COUNTA('Reference Fields'!$B:$B)-1)</xm:f>
          </x14:formula1>
          <xm:sqref>B2:B200</xm:sqref>
        </x14:dataValidation>
        <x14:dataValidation type="list" allowBlank="1" showInputMessage="1" showErrorMessage="1">
          <x14:formula1>
            <xm:f>OFFSET('Reference Fields'!$D$2,0,0,COUNTA('Reference Fields'!$D:$D)-1)</xm:f>
          </x14:formula1>
          <xm:sqref>F2:F200</xm:sqref>
        </x14:dataValidation>
        <x14:dataValidation type="list" allowBlank="1" showInputMessage="1" showErrorMessage="1">
          <x14:formula1>
            <xm:f>OFFSET('Reference Fields'!$E$2,0,0,COUNTA('Reference Fields'!$E:$E)-1)</xm:f>
          </x14:formula1>
          <xm:sqref>G2:G200</xm:sqref>
        </x14:dataValidation>
        <x14:dataValidation type="list" allowBlank="1" showInputMessage="1" showErrorMessage="1">
          <x14:formula1>
            <xm:f>OFFSET('Reference Fields'!$F$2,0,0,COUNTA('Reference Fields'!$F:$F)-1)</xm:f>
          </x14:formula1>
          <xm:sqref>H2:H200</xm:sqref>
        </x14:dataValidation>
        <x14:dataValidation type="list" allowBlank="1" showInputMessage="1" showErrorMessage="1">
          <x14:formula1>
            <xm:f>OFFSET('Reference Fields'!$F$2,0,0,COUNTA('Reference Fields'!$F:$F)-1)</xm:f>
          </x14:formula1>
          <xm:sqref>I2:I200</xm:sqref>
        </x14:dataValidation>
        <x14:dataValidation type="list" allowBlank="1" showInputMessage="1" showErrorMessage="1">
          <x14:formula1>
            <xm:f>OFFSET('Reference Fields'!$G$2,0,0,COUNTA('Reference Fields'!$G:$G)-1)</xm:f>
          </x14:formula1>
          <xm:sqref>J2:J200</xm:sqref>
        </x14:dataValidation>
        <x14:dataValidation type="list" allowBlank="1" showInputMessage="1" showErrorMessage="1">
          <x14:formula1>
            <xm:f>OFFSET('Reference Fields'!$H$2,0,0,COUNTA('Reference Fields'!$H:$H)-1)</xm:f>
          </x14:formula1>
          <xm:sqref>K2:K200</xm:sqref>
        </x14:dataValidation>
        <x14:dataValidation type="list" allowBlank="1" showInputMessage="1" showErrorMessage="1">
          <x14:formula1>
            <xm:f>OFFSET('Reference Fields'!$I$2,0,0,COUNTA('Reference Fields'!$I:$I)-1)</xm:f>
          </x14:formula1>
          <xm:sqref>L2:L200</xm:sqref>
        </x14:dataValidation>
      </x14:dataValidations>
    </ext>
  </extLst>
</worksheet>
</file>

<file path=xl/worksheets/sheet6.xml><?xml version="1.0" encoding="utf-8"?>
<worksheet xmlns="http://schemas.openxmlformats.org/spreadsheetml/2006/main" xmlns:r="http://schemas.openxmlformats.org/officeDocument/2006/relationships">
  <sheetPr codeName="Sheet6"/>
  <dimension ref="A1:S200"/>
  <sheetViews>
    <sheetView workbookViewId="0">
      <selection activeCell="A2" sqref="A2"/>
    </sheetView>
  </sheetViews>
  <sheetFormatPr defaultRowHeight="14.5"/>
  <cols>
    <col min="1" max="1" width="26.81640625" bestFit="1" customWidth="1"/>
    <col min="2" max="2" width="13.54296875" customWidth="1"/>
    <col min="3" max="3" width="8.90625" customWidth="1"/>
    <col min="4" max="4" width="18.453125" bestFit="1" customWidth="1"/>
    <col min="5" max="5" width="12.6328125" customWidth="1"/>
    <col min="6" max="6" width="15.6328125" bestFit="1" customWidth="1"/>
    <col min="7" max="8" width="15.453125" customWidth="1"/>
    <col min="9" max="9" width="22.6328125" customWidth="1"/>
    <col min="10" max="10" width="23.36328125" customWidth="1"/>
    <col min="11" max="11" width="17.54296875" customWidth="1"/>
    <col min="12" max="12" width="14.08984375" customWidth="1"/>
    <col min="13" max="13" width="10.453125" bestFit="1" customWidth="1"/>
    <col min="14" max="14" width="10.453125" customWidth="1"/>
    <col min="15" max="15" width="12.453125" bestFit="1" customWidth="1"/>
  </cols>
  <sheetData>
    <row r="1" spans="1:19" s="1" customFormat="1">
      <c r="A1" s="1" t="s">
        <v>2</v>
      </c>
      <c r="B1" s="1" t="s">
        <v>1198</v>
      </c>
      <c r="C1" s="1" t="s">
        <v>1199</v>
      </c>
      <c r="D1" s="1" t="s">
        <v>0</v>
      </c>
      <c r="E1" s="1" t="s">
        <v>1</v>
      </c>
      <c r="F1" s="1" t="s">
        <v>30</v>
      </c>
      <c r="G1" s="1" t="s">
        <v>31</v>
      </c>
      <c r="H1" s="1" t="s">
        <v>1262</v>
      </c>
      <c r="I1" s="1" t="s">
        <v>49</v>
      </c>
      <c r="J1" s="1" t="s">
        <v>48</v>
      </c>
      <c r="K1" s="1" t="s">
        <v>54</v>
      </c>
      <c r="L1" s="1" t="s">
        <v>55</v>
      </c>
      <c r="M1" s="1" t="s">
        <v>27</v>
      </c>
      <c r="N1" s="1" t="s">
        <v>175</v>
      </c>
      <c r="O1" s="1" t="s">
        <v>193</v>
      </c>
      <c r="P1" s="1" t="s">
        <v>1221</v>
      </c>
      <c r="Q1" s="1" t="s">
        <v>1264</v>
      </c>
      <c r="R1" s="1" t="s">
        <v>1263</v>
      </c>
      <c r="S1" s="1" t="s">
        <v>1265</v>
      </c>
    </row>
    <row r="2" spans="1:19">
      <c r="A2" s="7" t="s">
        <v>9</v>
      </c>
      <c r="B2" s="7" t="s">
        <v>1218</v>
      </c>
      <c r="C2" s="8">
        <v>50</v>
      </c>
      <c r="D2" s="5" t="str">
        <f>LRTRIM(CONCATENATE(IF(SUMPRODUCT(-- ISNUMBER(SEARCH({"Auto Number"}, $B2))) &gt; 0, $B2, IF(SUMPRODUCT(-- ISNUMBER(SEARCH({"Lookup","Master-Detail"}, $B2))) &gt; 0,$B2 &amp; "(" &amp; $E2 &amp; ")",IF(SUMPRODUCT(-- ISNUMBER(SEARCH({"Formula","Roll-Up Summary"}, $B2))) &gt; 0,$B2 &amp; " (" &amp; $E2 &amp; ")",IF(SUMPRODUCT(-- ISNUMBER(SEARCH({"Content","Currency","Number","Percent","Text","URL"}, $B2))) &gt; 0,$B2 &amp; "(" &amp; $C2 &amp; ")",$B2)))), "  ", TRIM(IF($S2 = "YES", "(External ID)", "") &amp; " " &amp; IF(SUMPRODUCT(-- ISNUMBER(SEARCH({"Unique","Unique Case Insensitive"}, $R2))) &gt; 0, "(" &amp; $R2 &amp; ")", ""))))</f>
        <v>Text(50)</v>
      </c>
      <c r="E2" s="7" t="s">
        <v>195</v>
      </c>
      <c r="F2" s="7" t="s">
        <v>18</v>
      </c>
      <c r="G2" s="7" t="s">
        <v>195</v>
      </c>
      <c r="H2" s="7" t="s">
        <v>195</v>
      </c>
      <c r="I2" s="7" t="s">
        <v>195</v>
      </c>
      <c r="J2" s="7" t="s">
        <v>195</v>
      </c>
      <c r="K2" s="7" t="s">
        <v>195</v>
      </c>
      <c r="L2" s="7" t="s">
        <v>195</v>
      </c>
      <c r="M2" s="7" t="s">
        <v>29</v>
      </c>
      <c r="N2" s="7" t="s">
        <v>29</v>
      </c>
      <c r="O2" s="7" t="s">
        <v>29</v>
      </c>
      <c r="P2" s="7" t="s">
        <v>29</v>
      </c>
      <c r="Q2" s="7" t="s">
        <v>29</v>
      </c>
      <c r="R2" s="7" t="s">
        <v>29</v>
      </c>
      <c r="S2" s="7" t="s">
        <v>29</v>
      </c>
    </row>
    <row r="3" spans="1:19">
      <c r="A3" s="7" t="s">
        <v>216</v>
      </c>
      <c r="B3" s="7" t="s">
        <v>1211</v>
      </c>
      <c r="C3" s="8">
        <v>18</v>
      </c>
      <c r="D3" s="5" t="str">
        <f>LRTRIM(CONCATENATE(IF(SUMPRODUCT(-- ISNUMBER(SEARCH({"Auto Number"}, $B3))) &gt; 0, $B3, IF(SUMPRODUCT(-- ISNUMBER(SEARCH({"Lookup","Master-Detail"}, $B3))) &gt; 0,$B3 &amp; "(" &amp; $E3 &amp; ")",IF(SUMPRODUCT(-- ISNUMBER(SEARCH({"Formula","Roll-Up Summary"}, $B3))) &gt; 0,$B3 &amp; " (" &amp; $E3 &amp; ")",IF(SUMPRODUCT(-- ISNUMBER(SEARCH({"Content","Currency","Number","Percent","Text","URL"}, $B3))) &gt; 0,$B3 &amp; "(" &amp; $C3 &amp; ")",$B3)))), "  ", TRIM(IF($S3 = "YES", "(External ID)", "") &amp; " " &amp; IF(SUMPRODUCT(-- ISNUMBER(SEARCH({"Unique","Unique Case Insensitive"}, $R3))) &gt; 0, "(" &amp; $R3 &amp; ")", ""))))</f>
        <v>Lookup(User)</v>
      </c>
      <c r="E3" s="7" t="s">
        <v>7</v>
      </c>
      <c r="F3" s="7" t="s">
        <v>126</v>
      </c>
      <c r="G3" s="7" t="s">
        <v>195</v>
      </c>
      <c r="H3" s="7" t="s">
        <v>195</v>
      </c>
      <c r="I3" s="7" t="s">
        <v>195</v>
      </c>
      <c r="J3" s="7" t="s">
        <v>195</v>
      </c>
      <c r="K3" s="7" t="s">
        <v>195</v>
      </c>
      <c r="L3" s="7" t="s">
        <v>195</v>
      </c>
      <c r="M3" s="7" t="s">
        <v>29</v>
      </c>
      <c r="N3" s="7" t="s">
        <v>29</v>
      </c>
      <c r="O3" s="7" t="s">
        <v>29</v>
      </c>
      <c r="P3" s="7" t="s">
        <v>29</v>
      </c>
      <c r="Q3" s="7" t="s">
        <v>29</v>
      </c>
      <c r="R3" s="7" t="s">
        <v>29</v>
      </c>
      <c r="S3" s="7" t="s">
        <v>29</v>
      </c>
    </row>
    <row r="4" spans="1:19">
      <c r="A4" s="7" t="s">
        <v>217</v>
      </c>
      <c r="B4" s="7" t="s">
        <v>1218</v>
      </c>
      <c r="C4" s="8">
        <v>20</v>
      </c>
      <c r="D4" s="5" t="str">
        <f>LRTRIM(CONCATENATE(IF(SUMPRODUCT(-- ISNUMBER(SEARCH({"Auto Number"}, $B4))) &gt; 0, $B4, IF(SUMPRODUCT(-- ISNUMBER(SEARCH({"Lookup","Master-Detail"}, $B4))) &gt; 0,$B4 &amp; "(" &amp; $E4 &amp; ")",IF(SUMPRODUCT(-- ISNUMBER(SEARCH({"Formula","Roll-Up Summary"}, $B4))) &gt; 0,$B4 &amp; " (" &amp; $E4 &amp; ")",IF(SUMPRODUCT(-- ISNUMBER(SEARCH({"Content","Currency","Number","Percent","Text","URL"}, $B4))) &gt; 0,$B4 &amp; "(" &amp; $C4 &amp; ")",$B4)))), "  ", TRIM(IF($S4 = "YES", "(External ID)", "") &amp; " " &amp; IF(SUMPRODUCT(-- ISNUMBER(SEARCH({"Unique","Unique Case Insensitive"}, $R4))) &gt; 0, "(" &amp; $R4 &amp; ")", ""))))</f>
        <v>Text(20)  (External ID) (Unique Case Insensitive)</v>
      </c>
      <c r="E4" s="7" t="s">
        <v>195</v>
      </c>
      <c r="F4" s="7" t="s">
        <v>220</v>
      </c>
      <c r="G4" s="7" t="s">
        <v>195</v>
      </c>
      <c r="H4" s="7" t="s">
        <v>195</v>
      </c>
      <c r="I4" s="7" t="s">
        <v>195</v>
      </c>
      <c r="J4" s="7" t="s">
        <v>195</v>
      </c>
      <c r="K4" s="7" t="s">
        <v>195</v>
      </c>
      <c r="L4" s="7" t="s">
        <v>195</v>
      </c>
      <c r="M4" s="7" t="s">
        <v>29</v>
      </c>
      <c r="N4" s="7" t="s">
        <v>29</v>
      </c>
      <c r="O4" s="7" t="s">
        <v>29</v>
      </c>
      <c r="P4" s="7" t="s">
        <v>29</v>
      </c>
      <c r="Q4" s="7" t="s">
        <v>29</v>
      </c>
      <c r="R4" s="7" t="s">
        <v>1271</v>
      </c>
      <c r="S4" s="7" t="s">
        <v>28</v>
      </c>
    </row>
    <row r="5" spans="1:19">
      <c r="A5" s="7" t="s">
        <v>218</v>
      </c>
      <c r="B5" s="7" t="s">
        <v>1209</v>
      </c>
      <c r="C5" s="8">
        <v>1300</v>
      </c>
      <c r="D5" s="5" t="str">
        <f>LRTRIM(CONCATENATE(IF(SUMPRODUCT(-- ISNUMBER(SEARCH({"Auto Number"}, $B5))) &gt; 0, $B5, IF(SUMPRODUCT(-- ISNUMBER(SEARCH({"Lookup","Master-Detail"}, $B5))) &gt; 0,$B5 &amp; "(" &amp; $E5 &amp; ")",IF(SUMPRODUCT(-- ISNUMBER(SEARCH({"Formula","Roll-Up Summary"}, $B5))) &gt; 0,$B5 &amp; " (" &amp; $E5 &amp; ")",IF(SUMPRODUCT(-- ISNUMBER(SEARCH({"Content","Currency","Number","Percent","Text","URL"}, $B5))) &gt; 0,$B5 &amp; "(" &amp; $C5 &amp; ")",$B5)))), "  ", TRIM(IF($S5 = "YES", "(External ID)", "") &amp; " " &amp; IF(SUMPRODUCT(-- ISNUMBER(SEARCH({"Unique","Unique Case Insensitive"}, $R5))) &gt; 0, "(" &amp; $R5 &amp; ")", ""))))</f>
        <v>Formula (Text)</v>
      </c>
      <c r="E5" s="7" t="s">
        <v>1218</v>
      </c>
      <c r="F5" s="7" t="s">
        <v>221</v>
      </c>
      <c r="G5" s="7" t="s">
        <v>195</v>
      </c>
      <c r="H5" s="7" t="s">
        <v>195</v>
      </c>
      <c r="I5" s="7" t="s">
        <v>195</v>
      </c>
      <c r="J5" s="7" t="s">
        <v>195</v>
      </c>
      <c r="K5" s="7" t="s">
        <v>195</v>
      </c>
      <c r="L5" s="7" t="s">
        <v>195</v>
      </c>
      <c r="M5" s="7" t="s">
        <v>29</v>
      </c>
      <c r="N5" s="7" t="s">
        <v>29</v>
      </c>
      <c r="O5" s="7" t="s">
        <v>29</v>
      </c>
      <c r="P5" s="7" t="s">
        <v>29</v>
      </c>
      <c r="Q5" s="7" t="s">
        <v>29</v>
      </c>
      <c r="R5" s="7" t="s">
        <v>29</v>
      </c>
      <c r="S5" s="7" t="s">
        <v>29</v>
      </c>
    </row>
    <row r="6" spans="1:19">
      <c r="A6" s="7" t="s">
        <v>11</v>
      </c>
      <c r="B6" s="7" t="s">
        <v>1218</v>
      </c>
      <c r="C6" s="8">
        <v>200</v>
      </c>
      <c r="D6" s="5" t="str">
        <f>LRTRIM(CONCATENATE(IF(SUMPRODUCT(-- ISNUMBER(SEARCH({"Auto Number"}, $B6))) &gt; 0, $B6, IF(SUMPRODUCT(-- ISNUMBER(SEARCH({"Lookup","Master-Detail"}, $B6))) &gt; 0,$B6 &amp; "(" &amp; $E6 &amp; ")",IF(SUMPRODUCT(-- ISNUMBER(SEARCH({"Formula","Roll-Up Summary"}, $B6))) &gt; 0,$B6 &amp; " (" &amp; $E6 &amp; ")",IF(SUMPRODUCT(-- ISNUMBER(SEARCH({"Content","Currency","Number","Percent","Text","URL"}, $B6))) &gt; 0,$B6 &amp; "(" &amp; $C6 &amp; ")",$B6)))), "  ", TRIM(IF($S6 = "YES", "(External ID)", "") &amp; " " &amp; IF(SUMPRODUCT(-- ISNUMBER(SEARCH({"Unique","Unique Case Insensitive"}, $R6))) &gt; 0, "(" &amp; $R6 &amp; ")", ""))))</f>
        <v>Text(200)</v>
      </c>
      <c r="E6" s="7" t="s">
        <v>195</v>
      </c>
      <c r="F6" s="7" t="s">
        <v>20</v>
      </c>
      <c r="G6" s="7" t="s">
        <v>195</v>
      </c>
      <c r="H6" s="7" t="s">
        <v>195</v>
      </c>
      <c r="I6" s="7" t="s">
        <v>195</v>
      </c>
      <c r="J6" s="7" t="s">
        <v>195</v>
      </c>
      <c r="K6" s="7" t="s">
        <v>195</v>
      </c>
      <c r="L6" s="7" t="s">
        <v>195</v>
      </c>
      <c r="M6" s="7" t="s">
        <v>29</v>
      </c>
      <c r="N6" s="7" t="s">
        <v>29</v>
      </c>
      <c r="O6" s="7" t="s">
        <v>29</v>
      </c>
      <c r="P6" s="7" t="s">
        <v>29</v>
      </c>
      <c r="Q6" s="7" t="s">
        <v>29</v>
      </c>
      <c r="R6" s="7" t="s">
        <v>29</v>
      </c>
      <c r="S6" s="7" t="s">
        <v>29</v>
      </c>
    </row>
    <row r="7" spans="1:19">
      <c r="A7" s="7" t="s">
        <v>13</v>
      </c>
      <c r="B7" s="7" t="s">
        <v>1218</v>
      </c>
      <c r="C7" s="8">
        <v>10</v>
      </c>
      <c r="D7" s="5" t="str">
        <f>LRTRIM(CONCATENATE(IF(SUMPRODUCT(-- ISNUMBER(SEARCH({"Auto Number"}, $B7))) &gt; 0, $B7, IF(SUMPRODUCT(-- ISNUMBER(SEARCH({"Lookup","Master-Detail"}, $B7))) &gt; 0,$B7 &amp; "(" &amp; $E7 &amp; ")",IF(SUMPRODUCT(-- ISNUMBER(SEARCH({"Formula","Roll-Up Summary"}, $B7))) &gt; 0,$B7 &amp; " (" &amp; $E7 &amp; ")",IF(SUMPRODUCT(-- ISNUMBER(SEARCH({"Content","Currency","Number","Percent","Text","URL"}, $B7))) &gt; 0,$B7 &amp; "(" &amp; $C7 &amp; ")",$B7)))), "  ", TRIM(IF($S7 = "YES", "(External ID)", "") &amp; " " &amp; IF(SUMPRODUCT(-- ISNUMBER(SEARCH({"Unique","Unique Case Insensitive"}, $R7))) &gt; 0, "(" &amp; $R7 &amp; ")", ""))))</f>
        <v>Text(10)</v>
      </c>
      <c r="E7" s="7" t="s">
        <v>195</v>
      </c>
      <c r="F7" s="7" t="s">
        <v>24</v>
      </c>
      <c r="G7" s="7" t="s">
        <v>160</v>
      </c>
      <c r="H7" s="7" t="s">
        <v>195</v>
      </c>
      <c r="I7" s="7" t="s">
        <v>195</v>
      </c>
      <c r="J7" s="7" t="s">
        <v>195</v>
      </c>
      <c r="K7" s="7" t="s">
        <v>195</v>
      </c>
      <c r="L7" s="7" t="s">
        <v>195</v>
      </c>
      <c r="M7" s="7" t="s">
        <v>29</v>
      </c>
      <c r="N7" s="7" t="s">
        <v>29</v>
      </c>
      <c r="O7" s="7" t="s">
        <v>29</v>
      </c>
      <c r="P7" s="7" t="s">
        <v>29</v>
      </c>
      <c r="Q7" s="7" t="s">
        <v>29</v>
      </c>
      <c r="R7" s="7" t="s">
        <v>29</v>
      </c>
      <c r="S7" s="7" t="s">
        <v>29</v>
      </c>
    </row>
    <row r="8" spans="1:19">
      <c r="A8" s="7" t="s">
        <v>14</v>
      </c>
      <c r="B8" s="7" t="s">
        <v>1204</v>
      </c>
      <c r="C8" s="8">
        <v>0</v>
      </c>
      <c r="D8" s="5" t="str">
        <f>LRTRIM(CONCATENATE(IF(SUMPRODUCT(-- ISNUMBER(SEARCH({"Auto Number"}, $B8))) &gt; 0, $B8, IF(SUMPRODUCT(-- ISNUMBER(SEARCH({"Lookup","Master-Detail"}, $B8))) &gt; 0,$B8 &amp; "(" &amp; $E8 &amp; ")",IF(SUMPRODUCT(-- ISNUMBER(SEARCH({"Formula","Roll-Up Summary"}, $B8))) &gt; 0,$B8 &amp; " (" &amp; $E8 &amp; ")",IF(SUMPRODUCT(-- ISNUMBER(SEARCH({"Content","Currency","Number","Percent","Text","URL"}, $B8))) &gt; 0,$B8 &amp; "(" &amp; $C8 &amp; ")",$B8)))), "  ", TRIM(IF($S8 = "YES", "(External ID)", "") &amp; " " &amp; IF(SUMPRODUCT(-- ISNUMBER(SEARCH({"Unique","Unique Case Insensitive"}, $R8))) &gt; 0, "(" &amp; $R8 &amp; ")", ""))))</f>
        <v>Checkbox</v>
      </c>
      <c r="E8" s="7" t="s">
        <v>195</v>
      </c>
      <c r="F8" s="7" t="s">
        <v>25</v>
      </c>
      <c r="G8" s="7" t="s">
        <v>195</v>
      </c>
      <c r="H8" s="7" t="s">
        <v>195</v>
      </c>
      <c r="I8" s="7" t="s">
        <v>195</v>
      </c>
      <c r="J8" s="7" t="s">
        <v>195</v>
      </c>
      <c r="K8" s="7" t="s">
        <v>195</v>
      </c>
      <c r="L8" s="7" t="s">
        <v>195</v>
      </c>
      <c r="M8" s="7" t="s">
        <v>28</v>
      </c>
      <c r="N8" s="7" t="s">
        <v>29</v>
      </c>
      <c r="O8" s="7" t="s">
        <v>29</v>
      </c>
      <c r="P8" s="7" t="s">
        <v>29</v>
      </c>
      <c r="Q8" s="7" t="s">
        <v>29</v>
      </c>
      <c r="R8" s="7" t="s">
        <v>29</v>
      </c>
      <c r="S8" s="7" t="s">
        <v>29</v>
      </c>
    </row>
    <row r="9" spans="1:19">
      <c r="A9" s="7" t="s">
        <v>2</v>
      </c>
      <c r="B9" s="7" t="s">
        <v>1218</v>
      </c>
      <c r="C9" s="8">
        <v>80</v>
      </c>
      <c r="D9" s="5" t="str">
        <f>LRTRIM(CONCATENATE(IF(SUMPRODUCT(-- ISNUMBER(SEARCH({"Auto Number"}, $B9))) &gt; 0, $B9, IF(SUMPRODUCT(-- ISNUMBER(SEARCH({"Lookup","Master-Detail"}, $B9))) &gt; 0,$B9 &amp; "(" &amp; $E9 &amp; ")",IF(SUMPRODUCT(-- ISNUMBER(SEARCH({"Formula","Roll-Up Summary"}, $B9))) &gt; 0,$B9 &amp; " (" &amp; $E9 &amp; ")",IF(SUMPRODUCT(-- ISNUMBER(SEARCH({"Content","Currency","Number","Percent","Text","URL"}, $B9))) &gt; 0,$B9 &amp; "(" &amp; $C9 &amp; ")",$B9)))), "  ", TRIM(IF($S9 = "YES", "(External ID)", "") &amp; " " &amp; IF(SUMPRODUCT(-- ISNUMBER(SEARCH({"Unique","Unique Case Insensitive"}, $R9))) &gt; 0, "(" &amp; $R9 &amp; ")", ""))))</f>
        <v>Text(80)</v>
      </c>
      <c r="E9" s="7" t="s">
        <v>195</v>
      </c>
      <c r="F9" s="7" t="s">
        <v>222</v>
      </c>
      <c r="G9" s="7" t="s">
        <v>195</v>
      </c>
      <c r="H9" s="7" t="s">
        <v>195</v>
      </c>
      <c r="I9" s="7" t="s">
        <v>195</v>
      </c>
      <c r="J9" s="7" t="s">
        <v>195</v>
      </c>
      <c r="K9" s="7" t="s">
        <v>195</v>
      </c>
      <c r="L9" s="7" t="s">
        <v>195</v>
      </c>
      <c r="M9" s="7" t="s">
        <v>29</v>
      </c>
      <c r="N9" s="7" t="s">
        <v>29</v>
      </c>
      <c r="O9" s="7" t="s">
        <v>29</v>
      </c>
      <c r="P9" s="7" t="s">
        <v>29</v>
      </c>
      <c r="Q9" s="7" t="s">
        <v>29</v>
      </c>
      <c r="R9" s="7" t="s">
        <v>29</v>
      </c>
      <c r="S9" s="7" t="s">
        <v>29</v>
      </c>
    </row>
    <row r="10" spans="1:19">
      <c r="A10" s="7" t="s">
        <v>87</v>
      </c>
      <c r="B10" s="7" t="s">
        <v>1211</v>
      </c>
      <c r="C10" s="8">
        <v>18</v>
      </c>
      <c r="D10" s="5" t="str">
        <f>LRTRIM(CONCATENATE(IF(SUMPRODUCT(-- ISNUMBER(SEARCH({"Auto Number"}, $B10))) &gt; 0, $B10, IF(SUMPRODUCT(-- ISNUMBER(SEARCH({"Lookup","Master-Detail"}, $B10))) &gt; 0,$B10 &amp; "(" &amp; $E10 &amp; ")",IF(SUMPRODUCT(-- ISNUMBER(SEARCH({"Formula","Roll-Up Summary"}, $B10))) &gt; 0,$B10 &amp; " (" &amp; $E10 &amp; ")",IF(SUMPRODUCT(-- ISNUMBER(SEARCH({"Content","Currency","Number","Percent","Text","URL"}, $B10))) &gt; 0,$B10 &amp; "(" &amp; $C10 &amp; ")",$B10)))), "  ", TRIM(IF($S10 = "YES", "(External ID)", "") &amp; " " &amp; IF(SUMPRODUCT(-- ISNUMBER(SEARCH({"Unique","Unique Case Insensitive"}, $R10))) &gt; 0, "(" &amp; $R10 &amp; ")", ""))))</f>
        <v>Lookup(User,Group)</v>
      </c>
      <c r="E10" s="7" t="s">
        <v>1290</v>
      </c>
      <c r="F10" s="7" t="s">
        <v>1292</v>
      </c>
      <c r="G10" s="7" t="s">
        <v>195</v>
      </c>
      <c r="H10" s="7" t="s">
        <v>195</v>
      </c>
      <c r="I10" s="7" t="s">
        <v>195</v>
      </c>
      <c r="J10" s="7" t="s">
        <v>195</v>
      </c>
      <c r="K10" s="7" t="s">
        <v>195</v>
      </c>
      <c r="L10" s="7" t="s">
        <v>195</v>
      </c>
      <c r="M10" s="7" t="s">
        <v>29</v>
      </c>
      <c r="N10" s="7" t="s">
        <v>29</v>
      </c>
      <c r="O10" s="7" t="s">
        <v>29</v>
      </c>
      <c r="P10" s="7" t="s">
        <v>29</v>
      </c>
      <c r="Q10" s="7" t="s">
        <v>29</v>
      </c>
      <c r="R10" s="7" t="s">
        <v>29</v>
      </c>
      <c r="S10" s="7" t="s">
        <v>29</v>
      </c>
    </row>
    <row r="11" spans="1:19">
      <c r="A11" s="7" t="s">
        <v>98</v>
      </c>
      <c r="B11" s="7" t="s">
        <v>1211</v>
      </c>
      <c r="C11" s="8">
        <v>18</v>
      </c>
      <c r="D11" s="5" t="str">
        <f>LRTRIM(CONCATENATE(IF(SUMPRODUCT(-- ISNUMBER(SEARCH({"Auto Number"}, $B11))) &gt; 0, $B11, IF(SUMPRODUCT(-- ISNUMBER(SEARCH({"Lookup","Master-Detail"}, $B11))) &gt; 0,$B11 &amp; "(" &amp; $E11 &amp; ")",IF(SUMPRODUCT(-- ISNUMBER(SEARCH({"Formula","Roll-Up Summary"}, $B11))) &gt; 0,$B11 &amp; " (" &amp; $E11 &amp; ")",IF(SUMPRODUCT(-- ISNUMBER(SEARCH({"Content","Currency","Number","Percent","Text","URL"}, $B11))) &gt; 0,$B11 &amp; "(" &amp; $C11 &amp; ")",$B11)))), "  ", TRIM(IF($S11 = "YES", "(External ID)", "") &amp; " " &amp; IF(SUMPRODUCT(-- ISNUMBER(SEARCH({"Unique","Unique Case Insensitive"}, $R11))) &gt; 0, "(" &amp; $R11 &amp; ")", ""))))</f>
        <v>Lookup(Region)</v>
      </c>
      <c r="E11" s="7" t="s">
        <v>148</v>
      </c>
      <c r="F11" s="7" t="s">
        <v>148</v>
      </c>
      <c r="G11" s="7" t="s">
        <v>148</v>
      </c>
      <c r="H11" s="7" t="s">
        <v>195</v>
      </c>
      <c r="I11" s="7" t="s">
        <v>195</v>
      </c>
      <c r="J11" s="7" t="s">
        <v>195</v>
      </c>
      <c r="K11" s="7" t="s">
        <v>195</v>
      </c>
      <c r="L11" s="7" t="s">
        <v>195</v>
      </c>
      <c r="M11" s="7" t="s">
        <v>29</v>
      </c>
      <c r="N11" s="7" t="s">
        <v>29</v>
      </c>
      <c r="O11" s="7" t="s">
        <v>29</v>
      </c>
      <c r="P11" s="7" t="s">
        <v>29</v>
      </c>
      <c r="Q11" s="7" t="s">
        <v>29</v>
      </c>
      <c r="R11" s="7" t="s">
        <v>29</v>
      </c>
      <c r="S11" s="7" t="s">
        <v>29</v>
      </c>
    </row>
    <row r="12" spans="1:19">
      <c r="A12" s="7" t="s">
        <v>219</v>
      </c>
      <c r="B12" s="7" t="s">
        <v>195</v>
      </c>
      <c r="C12" s="8" t="s">
        <v>195</v>
      </c>
      <c r="D12" s="5" t="str">
        <f>LRTRIM(CONCATENATE(IF(SUMPRODUCT(-- ISNUMBER(SEARCH({"Auto Number"}, $B12))) &gt; 0, $B12, IF(SUMPRODUCT(-- ISNUMBER(SEARCH({"Lookup","Master-Detail"}, $B12))) &gt; 0,$B12 &amp; "(" &amp; $E12 &amp; ")",IF(SUMPRODUCT(-- ISNUMBER(SEARCH({"Formula","Roll-Up Summary"}, $B12))) &gt; 0,$B12 &amp; " (" &amp; $E12 &amp; ")",IF(SUMPRODUCT(-- ISNUMBER(SEARCH({"Content","Currency","Number","Percent","Text","URL"}, $B12))) &gt; 0,$B12 &amp; "(" &amp; $C12 &amp; ")",$B12)))), "  ", TRIM(IF($S12 = "YES", "(External ID)", "") &amp; " " &amp; IF(SUMPRODUCT(-- ISNUMBER(SEARCH({"Unique","Unique Case Insensitive"}, $R12))) &gt; 0, "(" &amp; $R12 &amp; ")", ""))))</f>
        <v>na</v>
      </c>
      <c r="E12" s="7" t="s">
        <v>195</v>
      </c>
      <c r="F12" s="7" t="s">
        <v>195</v>
      </c>
      <c r="G12" s="7" t="s">
        <v>195</v>
      </c>
      <c r="H12" s="7" t="s">
        <v>195</v>
      </c>
      <c r="I12" s="7" t="s">
        <v>195</v>
      </c>
      <c r="J12" s="7" t="s">
        <v>195</v>
      </c>
      <c r="K12" s="7" t="s">
        <v>195</v>
      </c>
      <c r="L12" s="7" t="s">
        <v>195</v>
      </c>
      <c r="M12" s="7" t="s">
        <v>29</v>
      </c>
      <c r="N12" s="7" t="s">
        <v>28</v>
      </c>
      <c r="O12" s="7" t="s">
        <v>29</v>
      </c>
      <c r="P12" s="7" t="s">
        <v>29</v>
      </c>
      <c r="Q12" s="7" t="s">
        <v>29</v>
      </c>
      <c r="R12" s="7" t="s">
        <v>29</v>
      </c>
      <c r="S12" s="7" t="s">
        <v>29</v>
      </c>
    </row>
    <row r="13" spans="1:19">
      <c r="A13" s="7" t="s">
        <v>69</v>
      </c>
      <c r="B13" s="7" t="s">
        <v>195</v>
      </c>
      <c r="C13" s="8" t="s">
        <v>195</v>
      </c>
      <c r="D13" s="5" t="str">
        <f>LRTRIM(CONCATENATE(IF(SUMPRODUCT(-- ISNUMBER(SEARCH({"Auto Number"}, $B13))) &gt; 0, $B13, IF(SUMPRODUCT(-- ISNUMBER(SEARCH({"Lookup","Master-Detail"}, $B13))) &gt; 0,$B13 &amp; "(" &amp; $E13 &amp; ")",IF(SUMPRODUCT(-- ISNUMBER(SEARCH({"Formula","Roll-Up Summary"}, $B13))) &gt; 0,$B13 &amp; " (" &amp; $E13 &amp; ")",IF(SUMPRODUCT(-- ISNUMBER(SEARCH({"Content","Currency","Number","Percent","Text","URL"}, $B13))) &gt; 0,$B13 &amp; "(" &amp; $C13 &amp; ")",$B13)))), "  ", TRIM(IF($S13 = "YES", "(External ID)", "") &amp; " " &amp; IF(SUMPRODUCT(-- ISNUMBER(SEARCH({"Unique","Unique Case Insensitive"}, $R13))) &gt; 0, "(" &amp; $R13 &amp; ")", ""))))</f>
        <v>na</v>
      </c>
      <c r="E13" s="7" t="s">
        <v>195</v>
      </c>
      <c r="F13" s="7" t="s">
        <v>195</v>
      </c>
      <c r="G13" s="7" t="s">
        <v>195</v>
      </c>
      <c r="H13" s="7" t="s">
        <v>195</v>
      </c>
      <c r="I13" s="7" t="s">
        <v>195</v>
      </c>
      <c r="J13" s="7" t="s">
        <v>195</v>
      </c>
      <c r="K13" s="7" t="s">
        <v>195</v>
      </c>
      <c r="L13" s="7" t="s">
        <v>195</v>
      </c>
      <c r="M13" s="7" t="s">
        <v>29</v>
      </c>
      <c r="N13" s="7" t="s">
        <v>28</v>
      </c>
      <c r="O13" s="7" t="s">
        <v>29</v>
      </c>
      <c r="P13" s="7" t="s">
        <v>29</v>
      </c>
      <c r="Q13" s="7" t="s">
        <v>29</v>
      </c>
      <c r="R13" s="7" t="s">
        <v>29</v>
      </c>
      <c r="S13" s="7" t="s">
        <v>29</v>
      </c>
    </row>
    <row r="14" spans="1:19">
      <c r="A14" s="7" t="s">
        <v>36</v>
      </c>
      <c r="B14" s="7" t="s">
        <v>195</v>
      </c>
      <c r="C14" s="8" t="s">
        <v>195</v>
      </c>
      <c r="D14" s="5" t="str">
        <f>LRTRIM(CONCATENATE(IF(SUMPRODUCT(-- ISNUMBER(SEARCH({"Auto Number"}, $B14))) &gt; 0, $B14, IF(SUMPRODUCT(-- ISNUMBER(SEARCH({"Lookup","Master-Detail"}, $B14))) &gt; 0,$B14 &amp; "(" &amp; $E14 &amp; ")",IF(SUMPRODUCT(-- ISNUMBER(SEARCH({"Formula","Roll-Up Summary"}, $B14))) &gt; 0,$B14 &amp; " (" &amp; $E14 &amp; ")",IF(SUMPRODUCT(-- ISNUMBER(SEARCH({"Content","Currency","Number","Percent","Text","URL"}, $B14))) &gt; 0,$B14 &amp; "(" &amp; $C14 &amp; ")",$B14)))), "  ", TRIM(IF($S14 = "YES", "(External ID)", "") &amp; " " &amp; IF(SUMPRODUCT(-- ISNUMBER(SEARCH({"Unique","Unique Case Insensitive"}, $R14))) &gt; 0, "(" &amp; $R14 &amp; ")", ""))))</f>
        <v>na</v>
      </c>
      <c r="E14" s="7" t="s">
        <v>195</v>
      </c>
      <c r="F14" s="7" t="s">
        <v>195</v>
      </c>
      <c r="G14" s="7" t="s">
        <v>195</v>
      </c>
      <c r="H14" s="7" t="s">
        <v>195</v>
      </c>
      <c r="I14" s="7" t="s">
        <v>195</v>
      </c>
      <c r="J14" s="7" t="s">
        <v>195</v>
      </c>
      <c r="K14" s="7" t="s">
        <v>195</v>
      </c>
      <c r="L14" s="7" t="s">
        <v>195</v>
      </c>
      <c r="M14" s="7" t="s">
        <v>28</v>
      </c>
      <c r="N14" s="7" t="s">
        <v>29</v>
      </c>
      <c r="O14" s="7" t="s">
        <v>29</v>
      </c>
      <c r="P14" s="7" t="s">
        <v>29</v>
      </c>
      <c r="Q14" s="7" t="s">
        <v>29</v>
      </c>
      <c r="R14" s="7" t="s">
        <v>29</v>
      </c>
      <c r="S14" s="7" t="s">
        <v>29</v>
      </c>
    </row>
    <row r="15" spans="1:19">
      <c r="A15" s="7" t="s">
        <v>35</v>
      </c>
      <c r="B15" s="7" t="s">
        <v>195</v>
      </c>
      <c r="C15" s="8" t="s">
        <v>195</v>
      </c>
      <c r="D15" s="5" t="str">
        <f>LRTRIM(CONCATENATE(IF(SUMPRODUCT(-- ISNUMBER(SEARCH({"Auto Number"}, $B15))) &gt; 0, $B15, IF(SUMPRODUCT(-- ISNUMBER(SEARCH({"Lookup","Master-Detail"}, $B15))) &gt; 0,$B15 &amp; "(" &amp; $E15 &amp; ")",IF(SUMPRODUCT(-- ISNUMBER(SEARCH({"Formula","Roll-Up Summary"}, $B15))) &gt; 0,$B15 &amp; " (" &amp; $E15 &amp; ")",IF(SUMPRODUCT(-- ISNUMBER(SEARCH({"Content","Currency","Number","Percent","Text","URL"}, $B15))) &gt; 0,$B15 &amp; "(" &amp; $C15 &amp; ")",$B15)))), "  ", TRIM(IF($S15 = "YES", "(External ID)", "") &amp; " " &amp; IF(SUMPRODUCT(-- ISNUMBER(SEARCH({"Unique","Unique Case Insensitive"}, $R15))) &gt; 0, "(" &amp; $R15 &amp; ")", ""))))</f>
        <v>na</v>
      </c>
      <c r="E15" s="7" t="s">
        <v>195</v>
      </c>
      <c r="F15" s="7" t="s">
        <v>195</v>
      </c>
      <c r="G15" s="7" t="s">
        <v>195</v>
      </c>
      <c r="H15" s="7" t="s">
        <v>195</v>
      </c>
      <c r="I15" s="7" t="s">
        <v>195</v>
      </c>
      <c r="J15" s="7" t="s">
        <v>195</v>
      </c>
      <c r="K15" s="7" t="s">
        <v>195</v>
      </c>
      <c r="L15" s="7" t="s">
        <v>195</v>
      </c>
      <c r="M15" s="7" t="s">
        <v>28</v>
      </c>
      <c r="N15" s="7" t="s">
        <v>29</v>
      </c>
      <c r="O15" s="7" t="s">
        <v>29</v>
      </c>
      <c r="P15" s="7" t="s">
        <v>29</v>
      </c>
      <c r="Q15" s="7" t="s">
        <v>29</v>
      </c>
      <c r="R15" s="7" t="s">
        <v>29</v>
      </c>
      <c r="S15" s="7" t="s">
        <v>29</v>
      </c>
    </row>
    <row r="16" spans="1:19">
      <c r="A16" s="7" t="s">
        <v>34</v>
      </c>
      <c r="B16" s="7" t="s">
        <v>195</v>
      </c>
      <c r="C16" s="8" t="s">
        <v>195</v>
      </c>
      <c r="D16" s="5" t="str">
        <f>LRTRIM(CONCATENATE(IF(SUMPRODUCT(-- ISNUMBER(SEARCH({"Auto Number"}, $B16))) &gt; 0, $B16, IF(SUMPRODUCT(-- ISNUMBER(SEARCH({"Lookup","Master-Detail"}, $B16))) &gt; 0,$B16 &amp; "(" &amp; $E16 &amp; ")",IF(SUMPRODUCT(-- ISNUMBER(SEARCH({"Formula","Roll-Up Summary"}, $B16))) &gt; 0,$B16 &amp; " (" &amp; $E16 &amp; ")",IF(SUMPRODUCT(-- ISNUMBER(SEARCH({"Content","Currency","Number","Percent","Text","URL"}, $B16))) &gt; 0,$B16 &amp; "(" &amp; $C16 &amp; ")",$B16)))), "  ", TRIM(IF($S16 = "YES", "(External ID)", "") &amp; " " &amp; IF(SUMPRODUCT(-- ISNUMBER(SEARCH({"Unique","Unique Case Insensitive"}, $R16))) &gt; 0, "(" &amp; $R16 &amp; ")", ""))))</f>
        <v>na</v>
      </c>
      <c r="E16" s="7" t="s">
        <v>195</v>
      </c>
      <c r="F16" s="7" t="s">
        <v>195</v>
      </c>
      <c r="G16" s="7" t="s">
        <v>195</v>
      </c>
      <c r="H16" s="7" t="s">
        <v>195</v>
      </c>
      <c r="I16" s="7" t="s">
        <v>195</v>
      </c>
      <c r="J16" s="7" t="s">
        <v>195</v>
      </c>
      <c r="K16" s="7" t="s">
        <v>195</v>
      </c>
      <c r="L16" s="7" t="s">
        <v>195</v>
      </c>
      <c r="M16" s="7" t="s">
        <v>28</v>
      </c>
      <c r="N16" s="7" t="s">
        <v>29</v>
      </c>
      <c r="O16" s="7" t="s">
        <v>29</v>
      </c>
      <c r="P16" s="7" t="s">
        <v>29</v>
      </c>
      <c r="Q16" s="7" t="s">
        <v>29</v>
      </c>
      <c r="R16" s="7" t="s">
        <v>29</v>
      </c>
      <c r="S16" s="7" t="s">
        <v>29</v>
      </c>
    </row>
    <row r="17" spans="1:19">
      <c r="A17" s="7" t="s">
        <v>38</v>
      </c>
      <c r="B17" s="7" t="s">
        <v>195</v>
      </c>
      <c r="C17" s="8" t="s">
        <v>195</v>
      </c>
      <c r="D17" s="5" t="str">
        <f>LRTRIM(CONCATENATE(IF(SUMPRODUCT(-- ISNUMBER(SEARCH({"Auto Number"}, $B17))) &gt; 0, $B17, IF(SUMPRODUCT(-- ISNUMBER(SEARCH({"Lookup","Master-Detail"}, $B17))) &gt; 0,$B17 &amp; "(" &amp; $E17 &amp; ")",IF(SUMPRODUCT(-- ISNUMBER(SEARCH({"Formula","Roll-Up Summary"}, $B17))) &gt; 0,$B17 &amp; " (" &amp; $E17 &amp; ")",IF(SUMPRODUCT(-- ISNUMBER(SEARCH({"Content","Currency","Number","Percent","Text","URL"}, $B17))) &gt; 0,$B17 &amp; "(" &amp; $C17 &amp; ")",$B17)))), "  ", TRIM(IF($S17 = "YES", "(External ID)", "") &amp; " " &amp; IF(SUMPRODUCT(-- ISNUMBER(SEARCH({"Unique","Unique Case Insensitive"}, $R17))) &gt; 0, "(" &amp; $R17 &amp; ")", ""))))</f>
        <v>na</v>
      </c>
      <c r="E17" s="7" t="s">
        <v>195</v>
      </c>
      <c r="F17" s="7" t="s">
        <v>195</v>
      </c>
      <c r="G17" s="7" t="s">
        <v>195</v>
      </c>
      <c r="H17" s="7" t="s">
        <v>195</v>
      </c>
      <c r="I17" s="7" t="s">
        <v>195</v>
      </c>
      <c r="J17" s="7" t="s">
        <v>195</v>
      </c>
      <c r="K17" s="7" t="s">
        <v>195</v>
      </c>
      <c r="L17" s="7" t="s">
        <v>195</v>
      </c>
      <c r="M17" s="7" t="s">
        <v>28</v>
      </c>
      <c r="N17" s="7" t="s">
        <v>29</v>
      </c>
      <c r="O17" s="7" t="s">
        <v>29</v>
      </c>
      <c r="P17" s="7" t="s">
        <v>29</v>
      </c>
      <c r="Q17" s="7" t="s">
        <v>29</v>
      </c>
      <c r="R17" s="7" t="s">
        <v>29</v>
      </c>
      <c r="S17" s="7" t="s">
        <v>29</v>
      </c>
    </row>
    <row r="18" spans="1:19">
      <c r="A18" s="7" t="s">
        <v>37</v>
      </c>
      <c r="B18" s="7" t="s">
        <v>195</v>
      </c>
      <c r="C18" s="8" t="s">
        <v>195</v>
      </c>
      <c r="D18" s="5" t="str">
        <f>LRTRIM(CONCATENATE(IF(SUMPRODUCT(-- ISNUMBER(SEARCH({"Auto Number"}, $B18))) &gt; 0, $B18, IF(SUMPRODUCT(-- ISNUMBER(SEARCH({"Lookup","Master-Detail"}, $B18))) &gt; 0,$B18 &amp; "(" &amp; $E18 &amp; ")",IF(SUMPRODUCT(-- ISNUMBER(SEARCH({"Formula","Roll-Up Summary"}, $B18))) &gt; 0,$B18 &amp; " (" &amp; $E18 &amp; ")",IF(SUMPRODUCT(-- ISNUMBER(SEARCH({"Content","Currency","Number","Percent","Text","URL"}, $B18))) &gt; 0,$B18 &amp; "(" &amp; $C18 &amp; ")",$B18)))), "  ", TRIM(IF($S18 = "YES", "(External ID)", "") &amp; " " &amp; IF(SUMPRODUCT(-- ISNUMBER(SEARCH({"Unique","Unique Case Insensitive"}, $R18))) &gt; 0, "(" &amp; $R18 &amp; ")", ""))))</f>
        <v>na</v>
      </c>
      <c r="E18" s="7" t="s">
        <v>195</v>
      </c>
      <c r="F18" s="7" t="s">
        <v>195</v>
      </c>
      <c r="G18" s="7" t="s">
        <v>195</v>
      </c>
      <c r="H18" s="7" t="s">
        <v>195</v>
      </c>
      <c r="I18" s="7" t="s">
        <v>195</v>
      </c>
      <c r="J18" s="7" t="s">
        <v>195</v>
      </c>
      <c r="K18" s="7" t="s">
        <v>195</v>
      </c>
      <c r="L18" s="7" t="s">
        <v>195</v>
      </c>
      <c r="M18" s="7" t="s">
        <v>28</v>
      </c>
      <c r="N18" s="7" t="s">
        <v>29</v>
      </c>
      <c r="O18" s="7" t="s">
        <v>29</v>
      </c>
      <c r="P18" s="7" t="s">
        <v>29</v>
      </c>
      <c r="Q18" s="7" t="s">
        <v>29</v>
      </c>
      <c r="R18" s="7" t="s">
        <v>29</v>
      </c>
      <c r="S18" s="7" t="s">
        <v>29</v>
      </c>
    </row>
    <row r="19" spans="1:19">
      <c r="A19" s="7" t="s">
        <v>39</v>
      </c>
      <c r="B19" s="7" t="s">
        <v>195</v>
      </c>
      <c r="C19" s="8" t="s">
        <v>195</v>
      </c>
      <c r="D19" s="5" t="str">
        <f>LRTRIM(CONCATENATE(IF(SUMPRODUCT(-- ISNUMBER(SEARCH({"Auto Number"}, $B19))) &gt; 0, $B19, IF(SUMPRODUCT(-- ISNUMBER(SEARCH({"Lookup","Master-Detail"}, $B19))) &gt; 0,$B19 &amp; "(" &amp; $E19 &amp; ")",IF(SUMPRODUCT(-- ISNUMBER(SEARCH({"Formula","Roll-Up Summary"}, $B19))) &gt; 0,$B19 &amp; " (" &amp; $E19 &amp; ")",IF(SUMPRODUCT(-- ISNUMBER(SEARCH({"Content","Currency","Number","Percent","Text","URL"}, $B19))) &gt; 0,$B19 &amp; "(" &amp; $C19 &amp; ")",$B19)))), "  ", TRIM(IF($S19 = "YES", "(External ID)", "") &amp; " " &amp; IF(SUMPRODUCT(-- ISNUMBER(SEARCH({"Unique","Unique Case Insensitive"}, $R19))) &gt; 0, "(" &amp; $R19 &amp; ")", ""))))</f>
        <v>na</v>
      </c>
      <c r="E19" s="7" t="s">
        <v>195</v>
      </c>
      <c r="F19" s="7" t="s">
        <v>195</v>
      </c>
      <c r="G19" s="7" t="s">
        <v>195</v>
      </c>
      <c r="H19" s="7" t="s">
        <v>195</v>
      </c>
      <c r="I19" s="7" t="s">
        <v>195</v>
      </c>
      <c r="J19" s="7" t="s">
        <v>195</v>
      </c>
      <c r="K19" s="7" t="s">
        <v>195</v>
      </c>
      <c r="L19" s="7" t="s">
        <v>195</v>
      </c>
      <c r="M19" s="7" t="s">
        <v>28</v>
      </c>
      <c r="N19" s="7" t="s">
        <v>29</v>
      </c>
      <c r="O19" s="7" t="s">
        <v>29</v>
      </c>
      <c r="P19" s="7" t="s">
        <v>29</v>
      </c>
      <c r="Q19" s="7" t="s">
        <v>29</v>
      </c>
      <c r="R19" s="7" t="s">
        <v>29</v>
      </c>
      <c r="S19" s="7" t="s">
        <v>29</v>
      </c>
    </row>
    <row r="20" spans="1:19">
      <c r="B20" s="7" t="s">
        <v>195</v>
      </c>
      <c r="C20" s="8" t="s">
        <v>195</v>
      </c>
      <c r="D20" s="5" t="str">
        <f>LRTRIM(CONCATENATE(IF(SUMPRODUCT(-- ISNUMBER(SEARCH({"Auto Number"}, $B20))) &gt; 0, $B20, IF(SUMPRODUCT(-- ISNUMBER(SEARCH({"Lookup","Master-Detail"}, $B20))) &gt; 0,$B20 &amp; "(" &amp; $E20 &amp; ")",IF(SUMPRODUCT(-- ISNUMBER(SEARCH({"Formula","Roll-Up Summary"}, $B20))) &gt; 0,$B20 &amp; " (" &amp; $E20 &amp; ")",IF(SUMPRODUCT(-- ISNUMBER(SEARCH({"Content","Currency","Number","Percent","Text","URL"}, $B20))) &gt; 0,$B20 &amp; "(" &amp; $C20 &amp; ")",$B20)))), "  ", TRIM(IF($S20 = "YES", "(External ID)", "") &amp; " " &amp; IF(SUMPRODUCT(-- ISNUMBER(SEARCH({"Unique","Unique Case Insensitive"}, $R20))) &gt; 0, "(" &amp; $R20 &amp; ")", ""))))</f>
        <v>na</v>
      </c>
      <c r="E20" s="7" t="s">
        <v>195</v>
      </c>
      <c r="F20" s="7" t="s">
        <v>195</v>
      </c>
      <c r="G20" s="7" t="s">
        <v>195</v>
      </c>
      <c r="H20" s="7" t="s">
        <v>195</v>
      </c>
      <c r="I20" s="7" t="s">
        <v>195</v>
      </c>
      <c r="J20" s="7" t="s">
        <v>195</v>
      </c>
      <c r="K20" s="7" t="s">
        <v>195</v>
      </c>
      <c r="L20" s="7" t="s">
        <v>195</v>
      </c>
      <c r="M20" s="7" t="s">
        <v>29</v>
      </c>
      <c r="N20" s="7" t="s">
        <v>29</v>
      </c>
      <c r="O20" s="7" t="s">
        <v>29</v>
      </c>
      <c r="P20" s="7" t="s">
        <v>29</v>
      </c>
      <c r="Q20" s="7" t="s">
        <v>29</v>
      </c>
      <c r="R20" s="7" t="s">
        <v>29</v>
      </c>
      <c r="S20" s="7" t="s">
        <v>29</v>
      </c>
    </row>
    <row r="21" spans="1:19">
      <c r="B21" s="7" t="s">
        <v>195</v>
      </c>
      <c r="C21" s="8" t="s">
        <v>195</v>
      </c>
      <c r="D21" s="5" t="str">
        <f>LRTRIM(CONCATENATE(IF(SUMPRODUCT(-- ISNUMBER(SEARCH({"Auto Number"}, $B21))) &gt; 0, $B21, IF(SUMPRODUCT(-- ISNUMBER(SEARCH({"Lookup","Master-Detail"}, $B21))) &gt; 0,$B21 &amp; "(" &amp; $E21 &amp; ")",IF(SUMPRODUCT(-- ISNUMBER(SEARCH({"Formula","Roll-Up Summary"}, $B21))) &gt; 0,$B21 &amp; " (" &amp; $E21 &amp; ")",IF(SUMPRODUCT(-- ISNUMBER(SEARCH({"Content","Currency","Number","Percent","Text","URL"}, $B21))) &gt; 0,$B21 &amp; "(" &amp; $C21 &amp; ")",$B21)))), "  ", TRIM(IF($S21 = "YES", "(External ID)", "") &amp; " " &amp; IF(SUMPRODUCT(-- ISNUMBER(SEARCH({"Unique","Unique Case Insensitive"}, $R21))) &gt; 0, "(" &amp; $R21 &amp; ")", ""))))</f>
        <v>na</v>
      </c>
      <c r="E21" s="7" t="s">
        <v>195</v>
      </c>
      <c r="F21" s="7" t="s">
        <v>195</v>
      </c>
      <c r="G21" s="7" t="s">
        <v>195</v>
      </c>
      <c r="H21" s="7" t="s">
        <v>195</v>
      </c>
      <c r="I21" s="7" t="s">
        <v>195</v>
      </c>
      <c r="J21" s="7" t="s">
        <v>195</v>
      </c>
      <c r="K21" s="7" t="s">
        <v>195</v>
      </c>
      <c r="L21" s="7" t="s">
        <v>195</v>
      </c>
      <c r="M21" s="7" t="s">
        <v>29</v>
      </c>
      <c r="N21" s="7" t="s">
        <v>29</v>
      </c>
      <c r="O21" s="7" t="s">
        <v>29</v>
      </c>
      <c r="P21" s="7" t="s">
        <v>29</v>
      </c>
      <c r="Q21" s="7" t="s">
        <v>29</v>
      </c>
      <c r="R21" s="7" t="s">
        <v>29</v>
      </c>
      <c r="S21" s="7" t="s">
        <v>29</v>
      </c>
    </row>
    <row r="22" spans="1:19">
      <c r="B22" s="7" t="s">
        <v>195</v>
      </c>
      <c r="C22" s="8" t="s">
        <v>195</v>
      </c>
      <c r="D22" s="5" t="str">
        <f>LRTRIM(CONCATENATE(IF(SUMPRODUCT(-- ISNUMBER(SEARCH({"Auto Number"}, $B22))) &gt; 0, $B22, IF(SUMPRODUCT(-- ISNUMBER(SEARCH({"Lookup","Master-Detail"}, $B22))) &gt; 0,$B22 &amp; "(" &amp; $E22 &amp; ")",IF(SUMPRODUCT(-- ISNUMBER(SEARCH({"Formula","Roll-Up Summary"}, $B22))) &gt; 0,$B22 &amp; " (" &amp; $E22 &amp; ")",IF(SUMPRODUCT(-- ISNUMBER(SEARCH({"Content","Currency","Number","Percent","Text","URL"}, $B22))) &gt; 0,$B22 &amp; "(" &amp; $C22 &amp; ")",$B22)))), "  ", TRIM(IF($S22 = "YES", "(External ID)", "") &amp; " " &amp; IF(SUMPRODUCT(-- ISNUMBER(SEARCH({"Unique","Unique Case Insensitive"}, $R22))) &gt; 0, "(" &amp; $R22 &amp; ")", ""))))</f>
        <v>na</v>
      </c>
      <c r="E22" s="7" t="s">
        <v>195</v>
      </c>
      <c r="F22" s="7" t="s">
        <v>195</v>
      </c>
      <c r="G22" s="7" t="s">
        <v>195</v>
      </c>
      <c r="H22" s="7" t="s">
        <v>195</v>
      </c>
      <c r="I22" s="7" t="s">
        <v>195</v>
      </c>
      <c r="J22" s="7" t="s">
        <v>195</v>
      </c>
      <c r="K22" s="7" t="s">
        <v>195</v>
      </c>
      <c r="L22" s="7" t="s">
        <v>195</v>
      </c>
      <c r="M22" s="7" t="s">
        <v>29</v>
      </c>
      <c r="N22" s="7" t="s">
        <v>29</v>
      </c>
      <c r="O22" s="7" t="s">
        <v>29</v>
      </c>
      <c r="P22" s="7" t="s">
        <v>29</v>
      </c>
      <c r="Q22" s="7" t="s">
        <v>29</v>
      </c>
      <c r="R22" s="7" t="s">
        <v>29</v>
      </c>
      <c r="S22" s="7" t="s">
        <v>29</v>
      </c>
    </row>
    <row r="23" spans="1:19">
      <c r="B23" s="7" t="s">
        <v>195</v>
      </c>
      <c r="C23" s="8" t="s">
        <v>195</v>
      </c>
      <c r="D23" s="5" t="str">
        <f>LRTRIM(CONCATENATE(IF(SUMPRODUCT(-- ISNUMBER(SEARCH({"Auto Number"}, $B23))) &gt; 0, $B23, IF(SUMPRODUCT(-- ISNUMBER(SEARCH({"Lookup","Master-Detail"}, $B23))) &gt; 0,$B23 &amp; "(" &amp; $E23 &amp; ")",IF(SUMPRODUCT(-- ISNUMBER(SEARCH({"Formula","Roll-Up Summary"}, $B23))) &gt; 0,$B23 &amp; " (" &amp; $E23 &amp; ")",IF(SUMPRODUCT(-- ISNUMBER(SEARCH({"Content","Currency","Number","Percent","Text","URL"}, $B23))) &gt; 0,$B23 &amp; "(" &amp; $C23 &amp; ")",$B23)))), "  ", TRIM(IF($S23 = "YES", "(External ID)", "") &amp; " " &amp; IF(SUMPRODUCT(-- ISNUMBER(SEARCH({"Unique","Unique Case Insensitive"}, $R23))) &gt; 0, "(" &amp; $R23 &amp; ")", ""))))</f>
        <v>na</v>
      </c>
      <c r="E23" s="7" t="s">
        <v>195</v>
      </c>
      <c r="F23" s="7" t="s">
        <v>195</v>
      </c>
      <c r="G23" s="7" t="s">
        <v>195</v>
      </c>
      <c r="H23" s="7" t="s">
        <v>195</v>
      </c>
      <c r="I23" s="7" t="s">
        <v>195</v>
      </c>
      <c r="J23" s="7" t="s">
        <v>195</v>
      </c>
      <c r="K23" s="7" t="s">
        <v>195</v>
      </c>
      <c r="L23" s="7" t="s">
        <v>195</v>
      </c>
      <c r="M23" s="7" t="s">
        <v>29</v>
      </c>
      <c r="N23" s="7" t="s">
        <v>29</v>
      </c>
      <c r="O23" s="7" t="s">
        <v>29</v>
      </c>
      <c r="P23" s="7" t="s">
        <v>29</v>
      </c>
      <c r="Q23" s="7" t="s">
        <v>29</v>
      </c>
      <c r="R23" s="7" t="s">
        <v>29</v>
      </c>
      <c r="S23" s="7" t="s">
        <v>29</v>
      </c>
    </row>
    <row r="24" spans="1:19">
      <c r="B24" s="7" t="s">
        <v>195</v>
      </c>
      <c r="C24" s="8" t="s">
        <v>195</v>
      </c>
      <c r="D24" s="5" t="str">
        <f>LRTRIM(CONCATENATE(IF(SUMPRODUCT(-- ISNUMBER(SEARCH({"Auto Number"}, $B24))) &gt; 0, $B24, IF(SUMPRODUCT(-- ISNUMBER(SEARCH({"Lookup","Master-Detail"}, $B24))) &gt; 0,$B24 &amp; "(" &amp; $E24 &amp; ")",IF(SUMPRODUCT(-- ISNUMBER(SEARCH({"Formula","Roll-Up Summary"}, $B24))) &gt; 0,$B24 &amp; " (" &amp; $E24 &amp; ")",IF(SUMPRODUCT(-- ISNUMBER(SEARCH({"Content","Currency","Number","Percent","Text","URL"}, $B24))) &gt; 0,$B24 &amp; "(" &amp; $C24 &amp; ")",$B24)))), "  ", TRIM(IF($S24 = "YES", "(External ID)", "") &amp; " " &amp; IF(SUMPRODUCT(-- ISNUMBER(SEARCH({"Unique","Unique Case Insensitive"}, $R24))) &gt; 0, "(" &amp; $R24 &amp; ")", ""))))</f>
        <v>na</v>
      </c>
      <c r="E24" s="7" t="s">
        <v>195</v>
      </c>
      <c r="F24" s="7" t="s">
        <v>195</v>
      </c>
      <c r="G24" s="7" t="s">
        <v>195</v>
      </c>
      <c r="H24" s="7" t="s">
        <v>195</v>
      </c>
      <c r="I24" s="7" t="s">
        <v>195</v>
      </c>
      <c r="J24" s="7" t="s">
        <v>195</v>
      </c>
      <c r="K24" s="7" t="s">
        <v>195</v>
      </c>
      <c r="L24" s="7" t="s">
        <v>195</v>
      </c>
      <c r="M24" s="7" t="s">
        <v>29</v>
      </c>
      <c r="N24" s="7" t="s">
        <v>29</v>
      </c>
      <c r="O24" s="7" t="s">
        <v>29</v>
      </c>
      <c r="P24" s="7" t="s">
        <v>29</v>
      </c>
      <c r="Q24" s="7" t="s">
        <v>29</v>
      </c>
      <c r="R24" s="7" t="s">
        <v>29</v>
      </c>
      <c r="S24" s="7" t="s">
        <v>29</v>
      </c>
    </row>
    <row r="25" spans="1:19">
      <c r="B25" s="7" t="s">
        <v>195</v>
      </c>
      <c r="C25" s="8" t="s">
        <v>195</v>
      </c>
      <c r="D25" s="5" t="str">
        <f>LRTRIM(CONCATENATE(IF(SUMPRODUCT(-- ISNUMBER(SEARCH({"Auto Number"}, $B25))) &gt; 0, $B25, IF(SUMPRODUCT(-- ISNUMBER(SEARCH({"Lookup","Master-Detail"}, $B25))) &gt; 0,$B25 &amp; "(" &amp; $E25 &amp; ")",IF(SUMPRODUCT(-- ISNUMBER(SEARCH({"Formula","Roll-Up Summary"}, $B25))) &gt; 0,$B25 &amp; " (" &amp; $E25 &amp; ")",IF(SUMPRODUCT(-- ISNUMBER(SEARCH({"Content","Currency","Number","Percent","Text","URL"}, $B25))) &gt; 0,$B25 &amp; "(" &amp; $C25 &amp; ")",$B25)))), "  ", TRIM(IF($S25 = "YES", "(External ID)", "") &amp; " " &amp; IF(SUMPRODUCT(-- ISNUMBER(SEARCH({"Unique","Unique Case Insensitive"}, $R25))) &gt; 0, "(" &amp; $R25 &amp; ")", ""))))</f>
        <v>na</v>
      </c>
      <c r="E25" s="7" t="s">
        <v>195</v>
      </c>
      <c r="F25" s="7" t="s">
        <v>195</v>
      </c>
      <c r="G25" s="7" t="s">
        <v>195</v>
      </c>
      <c r="H25" s="7" t="s">
        <v>195</v>
      </c>
      <c r="I25" s="7" t="s">
        <v>195</v>
      </c>
      <c r="J25" s="7" t="s">
        <v>195</v>
      </c>
      <c r="K25" s="7" t="s">
        <v>195</v>
      </c>
      <c r="L25" s="7" t="s">
        <v>195</v>
      </c>
      <c r="M25" s="7" t="s">
        <v>29</v>
      </c>
      <c r="N25" s="7" t="s">
        <v>29</v>
      </c>
      <c r="O25" s="7" t="s">
        <v>29</v>
      </c>
      <c r="P25" s="7" t="s">
        <v>29</v>
      </c>
      <c r="Q25" s="7" t="s">
        <v>29</v>
      </c>
      <c r="R25" s="7" t="s">
        <v>29</v>
      </c>
      <c r="S25" s="7" t="s">
        <v>29</v>
      </c>
    </row>
    <row r="26" spans="1:19">
      <c r="B26" s="7" t="s">
        <v>195</v>
      </c>
      <c r="C26" s="8" t="s">
        <v>195</v>
      </c>
      <c r="D26" s="5" t="str">
        <f>LRTRIM(CONCATENATE(IF(SUMPRODUCT(-- ISNUMBER(SEARCH({"Auto Number"}, $B26))) &gt; 0, $B26, IF(SUMPRODUCT(-- ISNUMBER(SEARCH({"Lookup","Master-Detail"}, $B26))) &gt; 0,$B26 &amp; "(" &amp; $E26 &amp; ")",IF(SUMPRODUCT(-- ISNUMBER(SEARCH({"Formula","Roll-Up Summary"}, $B26))) &gt; 0,$B26 &amp; " (" &amp; $E26 &amp; ")",IF(SUMPRODUCT(-- ISNUMBER(SEARCH({"Content","Currency","Number","Percent","Text","URL"}, $B26))) &gt; 0,$B26 &amp; "(" &amp; $C26 &amp; ")",$B26)))), "  ", TRIM(IF($S26 = "YES", "(External ID)", "") &amp; " " &amp; IF(SUMPRODUCT(-- ISNUMBER(SEARCH({"Unique","Unique Case Insensitive"}, $R26))) &gt; 0, "(" &amp; $R26 &amp; ")", ""))))</f>
        <v>na</v>
      </c>
      <c r="E26" s="7" t="s">
        <v>195</v>
      </c>
      <c r="F26" s="7" t="s">
        <v>195</v>
      </c>
      <c r="G26" s="7" t="s">
        <v>195</v>
      </c>
      <c r="H26" s="7" t="s">
        <v>195</v>
      </c>
      <c r="I26" s="7" t="s">
        <v>195</v>
      </c>
      <c r="J26" s="7" t="s">
        <v>195</v>
      </c>
      <c r="K26" s="7" t="s">
        <v>195</v>
      </c>
      <c r="L26" s="7" t="s">
        <v>195</v>
      </c>
      <c r="M26" s="7" t="s">
        <v>29</v>
      </c>
      <c r="N26" s="7" t="s">
        <v>29</v>
      </c>
      <c r="O26" s="7" t="s">
        <v>29</v>
      </c>
      <c r="P26" s="7" t="s">
        <v>29</v>
      </c>
      <c r="Q26" s="7" t="s">
        <v>29</v>
      </c>
      <c r="R26" s="7" t="s">
        <v>29</v>
      </c>
      <c r="S26" s="7" t="s">
        <v>29</v>
      </c>
    </row>
    <row r="27" spans="1:19">
      <c r="B27" s="7" t="s">
        <v>195</v>
      </c>
      <c r="C27" s="8" t="s">
        <v>195</v>
      </c>
      <c r="D27" s="5" t="str">
        <f>LRTRIM(CONCATENATE(IF(SUMPRODUCT(-- ISNUMBER(SEARCH({"Auto Number"}, $B27))) &gt; 0, $B27, IF(SUMPRODUCT(-- ISNUMBER(SEARCH({"Lookup","Master-Detail"}, $B27))) &gt; 0,$B27 &amp; "(" &amp; $E27 &amp; ")",IF(SUMPRODUCT(-- ISNUMBER(SEARCH({"Formula","Roll-Up Summary"}, $B27))) &gt; 0,$B27 &amp; " (" &amp; $E27 &amp; ")",IF(SUMPRODUCT(-- ISNUMBER(SEARCH({"Content","Currency","Number","Percent","Text","URL"}, $B27))) &gt; 0,$B27 &amp; "(" &amp; $C27 &amp; ")",$B27)))), "  ", TRIM(IF($S27 = "YES", "(External ID)", "") &amp; " " &amp; IF(SUMPRODUCT(-- ISNUMBER(SEARCH({"Unique","Unique Case Insensitive"}, $R27))) &gt; 0, "(" &amp; $R27 &amp; ")", ""))))</f>
        <v>na</v>
      </c>
      <c r="E27" s="7" t="s">
        <v>195</v>
      </c>
      <c r="F27" s="7" t="s">
        <v>195</v>
      </c>
      <c r="G27" s="7" t="s">
        <v>195</v>
      </c>
      <c r="H27" s="7" t="s">
        <v>195</v>
      </c>
      <c r="I27" s="7" t="s">
        <v>195</v>
      </c>
      <c r="J27" s="7" t="s">
        <v>195</v>
      </c>
      <c r="K27" s="7" t="s">
        <v>195</v>
      </c>
      <c r="L27" s="7" t="s">
        <v>195</v>
      </c>
      <c r="M27" s="7" t="s">
        <v>29</v>
      </c>
      <c r="N27" s="7" t="s">
        <v>29</v>
      </c>
      <c r="O27" s="7" t="s">
        <v>29</v>
      </c>
      <c r="P27" s="7" t="s">
        <v>29</v>
      </c>
      <c r="Q27" s="7" t="s">
        <v>29</v>
      </c>
      <c r="R27" s="7" t="s">
        <v>29</v>
      </c>
      <c r="S27" s="7" t="s">
        <v>29</v>
      </c>
    </row>
    <row r="28" spans="1:19">
      <c r="B28" s="7" t="s">
        <v>195</v>
      </c>
      <c r="C28" s="8" t="s">
        <v>195</v>
      </c>
      <c r="D28" s="5" t="str">
        <f>LRTRIM(CONCATENATE(IF(SUMPRODUCT(-- ISNUMBER(SEARCH({"Auto Number"}, $B28))) &gt; 0, $B28, IF(SUMPRODUCT(-- ISNUMBER(SEARCH({"Lookup","Master-Detail"}, $B28))) &gt; 0,$B28 &amp; "(" &amp; $E28 &amp; ")",IF(SUMPRODUCT(-- ISNUMBER(SEARCH({"Formula","Roll-Up Summary"}, $B28))) &gt; 0,$B28 &amp; " (" &amp; $E28 &amp; ")",IF(SUMPRODUCT(-- ISNUMBER(SEARCH({"Content","Currency","Number","Percent","Text","URL"}, $B28))) &gt; 0,$B28 &amp; "(" &amp; $C28 &amp; ")",$B28)))), "  ", TRIM(IF($S28 = "YES", "(External ID)", "") &amp; " " &amp; IF(SUMPRODUCT(-- ISNUMBER(SEARCH({"Unique","Unique Case Insensitive"}, $R28))) &gt; 0, "(" &amp; $R28 &amp; ")", ""))))</f>
        <v>na</v>
      </c>
      <c r="E28" s="7" t="s">
        <v>195</v>
      </c>
      <c r="F28" s="7" t="s">
        <v>195</v>
      </c>
      <c r="G28" s="7" t="s">
        <v>195</v>
      </c>
      <c r="H28" s="7" t="s">
        <v>195</v>
      </c>
      <c r="I28" s="7" t="s">
        <v>195</v>
      </c>
      <c r="J28" s="7" t="s">
        <v>195</v>
      </c>
      <c r="K28" s="7" t="s">
        <v>195</v>
      </c>
      <c r="L28" s="7" t="s">
        <v>195</v>
      </c>
      <c r="M28" s="7" t="s">
        <v>29</v>
      </c>
      <c r="N28" s="7" t="s">
        <v>29</v>
      </c>
      <c r="O28" s="7" t="s">
        <v>29</v>
      </c>
      <c r="P28" s="7" t="s">
        <v>29</v>
      </c>
      <c r="Q28" s="7" t="s">
        <v>29</v>
      </c>
      <c r="R28" s="7" t="s">
        <v>29</v>
      </c>
      <c r="S28" s="7" t="s">
        <v>29</v>
      </c>
    </row>
    <row r="29" spans="1:19">
      <c r="B29" s="7" t="s">
        <v>195</v>
      </c>
      <c r="C29" s="8" t="s">
        <v>195</v>
      </c>
      <c r="D29" s="5" t="str">
        <f>LRTRIM(CONCATENATE(IF(SUMPRODUCT(-- ISNUMBER(SEARCH({"Auto Number"}, $B29))) &gt; 0, $B29, IF(SUMPRODUCT(-- ISNUMBER(SEARCH({"Lookup","Master-Detail"}, $B29))) &gt; 0,$B29 &amp; "(" &amp; $E29 &amp; ")",IF(SUMPRODUCT(-- ISNUMBER(SEARCH({"Formula","Roll-Up Summary"}, $B29))) &gt; 0,$B29 &amp; " (" &amp; $E29 &amp; ")",IF(SUMPRODUCT(-- ISNUMBER(SEARCH({"Content","Currency","Number","Percent","Text","URL"}, $B29))) &gt; 0,$B29 &amp; "(" &amp; $C29 &amp; ")",$B29)))), "  ", TRIM(IF($S29 = "YES", "(External ID)", "") &amp; " " &amp; IF(SUMPRODUCT(-- ISNUMBER(SEARCH({"Unique","Unique Case Insensitive"}, $R29))) &gt; 0, "(" &amp; $R29 &amp; ")", ""))))</f>
        <v>na</v>
      </c>
      <c r="E29" s="7" t="s">
        <v>195</v>
      </c>
      <c r="F29" s="7" t="s">
        <v>195</v>
      </c>
      <c r="G29" s="7" t="s">
        <v>195</v>
      </c>
      <c r="H29" s="7" t="s">
        <v>195</v>
      </c>
      <c r="I29" s="7" t="s">
        <v>195</v>
      </c>
      <c r="J29" s="7" t="s">
        <v>195</v>
      </c>
      <c r="K29" s="7" t="s">
        <v>195</v>
      </c>
      <c r="L29" s="7" t="s">
        <v>195</v>
      </c>
      <c r="M29" s="7" t="s">
        <v>29</v>
      </c>
      <c r="N29" s="7" t="s">
        <v>29</v>
      </c>
      <c r="O29" s="7" t="s">
        <v>29</v>
      </c>
      <c r="P29" s="7" t="s">
        <v>29</v>
      </c>
      <c r="Q29" s="7" t="s">
        <v>29</v>
      </c>
      <c r="R29" s="7" t="s">
        <v>29</v>
      </c>
      <c r="S29" s="7" t="s">
        <v>29</v>
      </c>
    </row>
    <row r="30" spans="1:19">
      <c r="B30" s="7" t="s">
        <v>195</v>
      </c>
      <c r="C30" s="8" t="s">
        <v>195</v>
      </c>
      <c r="D30" s="5" t="str">
        <f>LRTRIM(CONCATENATE(IF(SUMPRODUCT(-- ISNUMBER(SEARCH({"Auto Number"}, $B30))) &gt; 0, $B30, IF(SUMPRODUCT(-- ISNUMBER(SEARCH({"Lookup","Master-Detail"}, $B30))) &gt; 0,$B30 &amp; "(" &amp; $E30 &amp; ")",IF(SUMPRODUCT(-- ISNUMBER(SEARCH({"Formula","Roll-Up Summary"}, $B30))) &gt; 0,$B30 &amp; " (" &amp; $E30 &amp; ")",IF(SUMPRODUCT(-- ISNUMBER(SEARCH({"Content","Currency","Number","Percent","Text","URL"}, $B30))) &gt; 0,$B30 &amp; "(" &amp; $C30 &amp; ")",$B30)))), "  ", TRIM(IF($S30 = "YES", "(External ID)", "") &amp; " " &amp; IF(SUMPRODUCT(-- ISNUMBER(SEARCH({"Unique","Unique Case Insensitive"}, $R30))) &gt; 0, "(" &amp; $R30 &amp; ")", ""))))</f>
        <v>na</v>
      </c>
      <c r="E30" s="7" t="s">
        <v>195</v>
      </c>
      <c r="F30" s="7" t="s">
        <v>195</v>
      </c>
      <c r="G30" s="7" t="s">
        <v>195</v>
      </c>
      <c r="H30" s="7" t="s">
        <v>195</v>
      </c>
      <c r="I30" s="7" t="s">
        <v>195</v>
      </c>
      <c r="J30" s="7" t="s">
        <v>195</v>
      </c>
      <c r="K30" s="7" t="s">
        <v>195</v>
      </c>
      <c r="L30" s="7" t="s">
        <v>195</v>
      </c>
      <c r="M30" s="7" t="s">
        <v>29</v>
      </c>
      <c r="N30" s="7" t="s">
        <v>29</v>
      </c>
      <c r="O30" s="7" t="s">
        <v>29</v>
      </c>
      <c r="P30" s="7" t="s">
        <v>29</v>
      </c>
      <c r="Q30" s="7" t="s">
        <v>29</v>
      </c>
      <c r="R30" s="7" t="s">
        <v>29</v>
      </c>
      <c r="S30" s="7" t="s">
        <v>29</v>
      </c>
    </row>
    <row r="31" spans="1:19">
      <c r="B31" s="7" t="s">
        <v>195</v>
      </c>
      <c r="C31" s="8" t="s">
        <v>195</v>
      </c>
      <c r="D31" s="5" t="str">
        <f>LRTRIM(CONCATENATE(IF(SUMPRODUCT(-- ISNUMBER(SEARCH({"Auto Number"}, $B31))) &gt; 0, $B31, IF(SUMPRODUCT(-- ISNUMBER(SEARCH({"Lookup","Master-Detail"}, $B31))) &gt; 0,$B31 &amp; "(" &amp; $E31 &amp; ")",IF(SUMPRODUCT(-- ISNUMBER(SEARCH({"Formula","Roll-Up Summary"}, $B31))) &gt; 0,$B31 &amp; " (" &amp; $E31 &amp; ")",IF(SUMPRODUCT(-- ISNUMBER(SEARCH({"Content","Currency","Number","Percent","Text","URL"}, $B31))) &gt; 0,$B31 &amp; "(" &amp; $C31 &amp; ")",$B31)))), "  ", TRIM(IF($S31 = "YES", "(External ID)", "") &amp; " " &amp; IF(SUMPRODUCT(-- ISNUMBER(SEARCH({"Unique","Unique Case Insensitive"}, $R31))) &gt; 0, "(" &amp; $R31 &amp; ")", ""))))</f>
        <v>na</v>
      </c>
      <c r="E31" s="7" t="s">
        <v>195</v>
      </c>
      <c r="F31" s="7" t="s">
        <v>195</v>
      </c>
      <c r="G31" s="7" t="s">
        <v>195</v>
      </c>
      <c r="H31" s="7" t="s">
        <v>195</v>
      </c>
      <c r="I31" s="7" t="s">
        <v>195</v>
      </c>
      <c r="J31" s="7" t="s">
        <v>195</v>
      </c>
      <c r="K31" s="7" t="s">
        <v>195</v>
      </c>
      <c r="L31" s="7" t="s">
        <v>195</v>
      </c>
      <c r="M31" s="7" t="s">
        <v>29</v>
      </c>
      <c r="N31" s="7" t="s">
        <v>29</v>
      </c>
      <c r="O31" s="7" t="s">
        <v>29</v>
      </c>
      <c r="P31" s="7" t="s">
        <v>29</v>
      </c>
      <c r="Q31" s="7" t="s">
        <v>29</v>
      </c>
      <c r="R31" s="7" t="s">
        <v>29</v>
      </c>
      <c r="S31" s="7" t="s">
        <v>29</v>
      </c>
    </row>
    <row r="32" spans="1:19">
      <c r="B32" s="7" t="s">
        <v>195</v>
      </c>
      <c r="C32" s="8" t="s">
        <v>195</v>
      </c>
      <c r="D32" s="5" t="str">
        <f>LRTRIM(CONCATENATE(IF(SUMPRODUCT(-- ISNUMBER(SEARCH({"Auto Number"}, $B32))) &gt; 0, $B32, IF(SUMPRODUCT(-- ISNUMBER(SEARCH({"Lookup","Master-Detail"}, $B32))) &gt; 0,$B32 &amp; "(" &amp; $E32 &amp; ")",IF(SUMPRODUCT(-- ISNUMBER(SEARCH({"Formula","Roll-Up Summary"}, $B32))) &gt; 0,$B32 &amp; " (" &amp; $E32 &amp; ")",IF(SUMPRODUCT(-- ISNUMBER(SEARCH({"Content","Currency","Number","Percent","Text","URL"}, $B32))) &gt; 0,$B32 &amp; "(" &amp; $C32 &amp; ")",$B32)))), "  ", TRIM(IF($S32 = "YES", "(External ID)", "") &amp; " " &amp; IF(SUMPRODUCT(-- ISNUMBER(SEARCH({"Unique","Unique Case Insensitive"}, $R32))) &gt; 0, "(" &amp; $R32 &amp; ")", ""))))</f>
        <v>na</v>
      </c>
      <c r="E32" s="7" t="s">
        <v>195</v>
      </c>
      <c r="F32" s="7" t="s">
        <v>195</v>
      </c>
      <c r="G32" s="7" t="s">
        <v>195</v>
      </c>
      <c r="H32" s="7" t="s">
        <v>195</v>
      </c>
      <c r="I32" s="7" t="s">
        <v>195</v>
      </c>
      <c r="J32" s="7" t="s">
        <v>195</v>
      </c>
      <c r="K32" s="7" t="s">
        <v>195</v>
      </c>
      <c r="L32" s="7" t="s">
        <v>195</v>
      </c>
      <c r="M32" s="7" t="s">
        <v>29</v>
      </c>
      <c r="N32" s="7" t="s">
        <v>29</v>
      </c>
      <c r="O32" s="7" t="s">
        <v>29</v>
      </c>
      <c r="P32" s="7" t="s">
        <v>29</v>
      </c>
      <c r="Q32" s="7" t="s">
        <v>29</v>
      </c>
      <c r="R32" s="7" t="s">
        <v>29</v>
      </c>
      <c r="S32" s="7" t="s">
        <v>29</v>
      </c>
    </row>
    <row r="33" spans="2:19">
      <c r="B33" s="7" t="s">
        <v>195</v>
      </c>
      <c r="C33" s="8" t="s">
        <v>195</v>
      </c>
      <c r="D33" s="5" t="str">
        <f>LRTRIM(CONCATENATE(IF(SUMPRODUCT(-- ISNUMBER(SEARCH({"Auto Number"}, $B33))) &gt; 0, $B33, IF(SUMPRODUCT(-- ISNUMBER(SEARCH({"Lookup","Master-Detail"}, $B33))) &gt; 0,$B33 &amp; "(" &amp; $E33 &amp; ")",IF(SUMPRODUCT(-- ISNUMBER(SEARCH({"Formula","Roll-Up Summary"}, $B33))) &gt; 0,$B33 &amp; " (" &amp; $E33 &amp; ")",IF(SUMPRODUCT(-- ISNUMBER(SEARCH({"Content","Currency","Number","Percent","Text","URL"}, $B33))) &gt; 0,$B33 &amp; "(" &amp; $C33 &amp; ")",$B33)))), "  ", TRIM(IF($S33 = "YES", "(External ID)", "") &amp; " " &amp; IF(SUMPRODUCT(-- ISNUMBER(SEARCH({"Unique","Unique Case Insensitive"}, $R33))) &gt; 0, "(" &amp; $R33 &amp; ")", ""))))</f>
        <v>na</v>
      </c>
      <c r="E33" s="7" t="s">
        <v>195</v>
      </c>
      <c r="F33" s="7" t="s">
        <v>195</v>
      </c>
      <c r="G33" s="7" t="s">
        <v>195</v>
      </c>
      <c r="H33" s="7" t="s">
        <v>195</v>
      </c>
      <c r="I33" s="7" t="s">
        <v>195</v>
      </c>
      <c r="J33" s="7" t="s">
        <v>195</v>
      </c>
      <c r="K33" s="7" t="s">
        <v>195</v>
      </c>
      <c r="L33" s="7" t="s">
        <v>195</v>
      </c>
      <c r="M33" s="7" t="s">
        <v>29</v>
      </c>
      <c r="N33" s="7" t="s">
        <v>29</v>
      </c>
      <c r="O33" s="7" t="s">
        <v>29</v>
      </c>
      <c r="P33" s="7" t="s">
        <v>29</v>
      </c>
      <c r="Q33" s="7" t="s">
        <v>29</v>
      </c>
      <c r="R33" s="7" t="s">
        <v>29</v>
      </c>
      <c r="S33" s="7" t="s">
        <v>29</v>
      </c>
    </row>
    <row r="34" spans="2:19">
      <c r="B34" s="7" t="s">
        <v>195</v>
      </c>
      <c r="C34" s="8" t="s">
        <v>195</v>
      </c>
      <c r="D34" s="5" t="str">
        <f>LRTRIM(CONCATENATE(IF(SUMPRODUCT(-- ISNUMBER(SEARCH({"Auto Number"}, $B34))) &gt; 0, $B34, IF(SUMPRODUCT(-- ISNUMBER(SEARCH({"Lookup","Master-Detail"}, $B34))) &gt; 0,$B34 &amp; "(" &amp; $E34 &amp; ")",IF(SUMPRODUCT(-- ISNUMBER(SEARCH({"Formula","Roll-Up Summary"}, $B34))) &gt; 0,$B34 &amp; " (" &amp; $E34 &amp; ")",IF(SUMPRODUCT(-- ISNUMBER(SEARCH({"Content","Currency","Number","Percent","Text","URL"}, $B34))) &gt; 0,$B34 &amp; "(" &amp; $C34 &amp; ")",$B34)))), "  ", TRIM(IF($S34 = "YES", "(External ID)", "") &amp; " " &amp; IF(SUMPRODUCT(-- ISNUMBER(SEARCH({"Unique","Unique Case Insensitive"}, $R34))) &gt; 0, "(" &amp; $R34 &amp; ")", ""))))</f>
        <v>na</v>
      </c>
      <c r="E34" s="7" t="s">
        <v>195</v>
      </c>
      <c r="F34" s="7" t="s">
        <v>195</v>
      </c>
      <c r="G34" s="7" t="s">
        <v>195</v>
      </c>
      <c r="H34" s="7" t="s">
        <v>195</v>
      </c>
      <c r="I34" s="7" t="s">
        <v>195</v>
      </c>
      <c r="J34" s="7" t="s">
        <v>195</v>
      </c>
      <c r="K34" s="7" t="s">
        <v>195</v>
      </c>
      <c r="L34" s="7" t="s">
        <v>195</v>
      </c>
      <c r="M34" s="7" t="s">
        <v>29</v>
      </c>
      <c r="N34" s="7" t="s">
        <v>29</v>
      </c>
      <c r="O34" s="7" t="s">
        <v>29</v>
      </c>
      <c r="P34" s="7" t="s">
        <v>29</v>
      </c>
      <c r="Q34" s="7" t="s">
        <v>29</v>
      </c>
      <c r="R34" s="7" t="s">
        <v>29</v>
      </c>
      <c r="S34" s="7" t="s">
        <v>29</v>
      </c>
    </row>
    <row r="35" spans="2:19">
      <c r="B35" s="7" t="s">
        <v>195</v>
      </c>
      <c r="C35" s="8" t="s">
        <v>195</v>
      </c>
      <c r="D35" s="5" t="str">
        <f>LRTRIM(CONCATENATE(IF(SUMPRODUCT(-- ISNUMBER(SEARCH({"Auto Number"}, $B35))) &gt; 0, $B35, IF(SUMPRODUCT(-- ISNUMBER(SEARCH({"Lookup","Master-Detail"}, $B35))) &gt; 0,$B35 &amp; "(" &amp; $E35 &amp; ")",IF(SUMPRODUCT(-- ISNUMBER(SEARCH({"Formula","Roll-Up Summary"}, $B35))) &gt; 0,$B35 &amp; " (" &amp; $E35 &amp; ")",IF(SUMPRODUCT(-- ISNUMBER(SEARCH({"Content","Currency","Number","Percent","Text","URL"}, $B35))) &gt; 0,$B35 &amp; "(" &amp; $C35 &amp; ")",$B35)))), "  ", TRIM(IF($S35 = "YES", "(External ID)", "") &amp; " " &amp; IF(SUMPRODUCT(-- ISNUMBER(SEARCH({"Unique","Unique Case Insensitive"}, $R35))) &gt; 0, "(" &amp; $R35 &amp; ")", ""))))</f>
        <v>na</v>
      </c>
      <c r="E35" s="7" t="s">
        <v>195</v>
      </c>
      <c r="F35" s="7" t="s">
        <v>195</v>
      </c>
      <c r="G35" s="7" t="s">
        <v>195</v>
      </c>
      <c r="H35" s="7" t="s">
        <v>195</v>
      </c>
      <c r="I35" s="7" t="s">
        <v>195</v>
      </c>
      <c r="J35" s="7" t="s">
        <v>195</v>
      </c>
      <c r="K35" s="7" t="s">
        <v>195</v>
      </c>
      <c r="L35" s="7" t="s">
        <v>195</v>
      </c>
      <c r="M35" s="7" t="s">
        <v>29</v>
      </c>
      <c r="N35" s="7" t="s">
        <v>29</v>
      </c>
      <c r="O35" s="7" t="s">
        <v>29</v>
      </c>
      <c r="P35" s="7" t="s">
        <v>29</v>
      </c>
      <c r="Q35" s="7" t="s">
        <v>29</v>
      </c>
      <c r="R35" s="7" t="s">
        <v>29</v>
      </c>
      <c r="S35" s="7" t="s">
        <v>29</v>
      </c>
    </row>
    <row r="36" spans="2:19">
      <c r="B36" s="7" t="s">
        <v>195</v>
      </c>
      <c r="C36" s="8" t="s">
        <v>195</v>
      </c>
      <c r="D36" s="5" t="str">
        <f>LRTRIM(CONCATENATE(IF(SUMPRODUCT(-- ISNUMBER(SEARCH({"Auto Number"}, $B36))) &gt; 0, $B36, IF(SUMPRODUCT(-- ISNUMBER(SEARCH({"Lookup","Master-Detail"}, $B36))) &gt; 0,$B36 &amp; "(" &amp; $E36 &amp; ")",IF(SUMPRODUCT(-- ISNUMBER(SEARCH({"Formula","Roll-Up Summary"}, $B36))) &gt; 0,$B36 &amp; " (" &amp; $E36 &amp; ")",IF(SUMPRODUCT(-- ISNUMBER(SEARCH({"Content","Currency","Number","Percent","Text","URL"}, $B36))) &gt; 0,$B36 &amp; "(" &amp; $C36 &amp; ")",$B36)))), "  ", TRIM(IF($S36 = "YES", "(External ID)", "") &amp; " " &amp; IF(SUMPRODUCT(-- ISNUMBER(SEARCH({"Unique","Unique Case Insensitive"}, $R36))) &gt; 0, "(" &amp; $R36 &amp; ")", ""))))</f>
        <v>na</v>
      </c>
      <c r="E36" s="7" t="s">
        <v>195</v>
      </c>
      <c r="F36" s="7" t="s">
        <v>195</v>
      </c>
      <c r="G36" s="7" t="s">
        <v>195</v>
      </c>
      <c r="H36" s="7" t="s">
        <v>195</v>
      </c>
      <c r="I36" s="7" t="s">
        <v>195</v>
      </c>
      <c r="J36" s="7" t="s">
        <v>195</v>
      </c>
      <c r="K36" s="7" t="s">
        <v>195</v>
      </c>
      <c r="L36" s="7" t="s">
        <v>195</v>
      </c>
      <c r="M36" s="7" t="s">
        <v>29</v>
      </c>
      <c r="N36" s="7" t="s">
        <v>29</v>
      </c>
      <c r="O36" s="7" t="s">
        <v>29</v>
      </c>
      <c r="P36" s="7" t="s">
        <v>29</v>
      </c>
      <c r="Q36" s="7" t="s">
        <v>29</v>
      </c>
      <c r="R36" s="7" t="s">
        <v>29</v>
      </c>
      <c r="S36" s="7" t="s">
        <v>29</v>
      </c>
    </row>
    <row r="37" spans="2:19">
      <c r="B37" s="7" t="s">
        <v>195</v>
      </c>
      <c r="C37" s="8" t="s">
        <v>195</v>
      </c>
      <c r="D37" s="5" t="str">
        <f>LRTRIM(CONCATENATE(IF(SUMPRODUCT(-- ISNUMBER(SEARCH({"Auto Number"}, $B37))) &gt; 0, $B37, IF(SUMPRODUCT(-- ISNUMBER(SEARCH({"Lookup","Master-Detail"}, $B37))) &gt; 0,$B37 &amp; "(" &amp; $E37 &amp; ")",IF(SUMPRODUCT(-- ISNUMBER(SEARCH({"Formula","Roll-Up Summary"}, $B37))) &gt; 0,$B37 &amp; " (" &amp; $E37 &amp; ")",IF(SUMPRODUCT(-- ISNUMBER(SEARCH({"Content","Currency","Number","Percent","Text","URL"}, $B37))) &gt; 0,$B37 &amp; "(" &amp; $C37 &amp; ")",$B37)))), "  ", TRIM(IF($S37 = "YES", "(External ID)", "") &amp; " " &amp; IF(SUMPRODUCT(-- ISNUMBER(SEARCH({"Unique","Unique Case Insensitive"}, $R37))) &gt; 0, "(" &amp; $R37 &amp; ")", ""))))</f>
        <v>na</v>
      </c>
      <c r="E37" s="7" t="s">
        <v>195</v>
      </c>
      <c r="F37" s="7" t="s">
        <v>195</v>
      </c>
      <c r="G37" s="7" t="s">
        <v>195</v>
      </c>
      <c r="H37" s="7" t="s">
        <v>195</v>
      </c>
      <c r="I37" s="7" t="s">
        <v>195</v>
      </c>
      <c r="J37" s="7" t="s">
        <v>195</v>
      </c>
      <c r="K37" s="7" t="s">
        <v>195</v>
      </c>
      <c r="L37" s="7" t="s">
        <v>195</v>
      </c>
      <c r="M37" s="7" t="s">
        <v>29</v>
      </c>
      <c r="N37" s="7" t="s">
        <v>29</v>
      </c>
      <c r="O37" s="7" t="s">
        <v>29</v>
      </c>
      <c r="P37" s="7" t="s">
        <v>29</v>
      </c>
      <c r="Q37" s="7" t="s">
        <v>29</v>
      </c>
      <c r="R37" s="7" t="s">
        <v>29</v>
      </c>
      <c r="S37" s="7" t="s">
        <v>29</v>
      </c>
    </row>
    <row r="38" spans="2:19">
      <c r="B38" s="7" t="s">
        <v>195</v>
      </c>
      <c r="C38" s="8" t="s">
        <v>195</v>
      </c>
      <c r="D38" s="5" t="str">
        <f>LRTRIM(CONCATENATE(IF(SUMPRODUCT(-- ISNUMBER(SEARCH({"Auto Number"}, $B38))) &gt; 0, $B38, IF(SUMPRODUCT(-- ISNUMBER(SEARCH({"Lookup","Master-Detail"}, $B38))) &gt; 0,$B38 &amp; "(" &amp; $E38 &amp; ")",IF(SUMPRODUCT(-- ISNUMBER(SEARCH({"Formula","Roll-Up Summary"}, $B38))) &gt; 0,$B38 &amp; " (" &amp; $E38 &amp; ")",IF(SUMPRODUCT(-- ISNUMBER(SEARCH({"Content","Currency","Number","Percent","Text","URL"}, $B38))) &gt; 0,$B38 &amp; "(" &amp; $C38 &amp; ")",$B38)))), "  ", TRIM(IF($S38 = "YES", "(External ID)", "") &amp; " " &amp; IF(SUMPRODUCT(-- ISNUMBER(SEARCH({"Unique","Unique Case Insensitive"}, $R38))) &gt; 0, "(" &amp; $R38 &amp; ")", ""))))</f>
        <v>na</v>
      </c>
      <c r="E38" s="7" t="s">
        <v>195</v>
      </c>
      <c r="F38" s="7" t="s">
        <v>195</v>
      </c>
      <c r="G38" s="7" t="s">
        <v>195</v>
      </c>
      <c r="H38" s="7" t="s">
        <v>195</v>
      </c>
      <c r="I38" s="7" t="s">
        <v>195</v>
      </c>
      <c r="J38" s="7" t="s">
        <v>195</v>
      </c>
      <c r="K38" s="7" t="s">
        <v>195</v>
      </c>
      <c r="L38" s="7" t="s">
        <v>195</v>
      </c>
      <c r="M38" s="7" t="s">
        <v>29</v>
      </c>
      <c r="N38" s="7" t="s">
        <v>29</v>
      </c>
      <c r="O38" s="7" t="s">
        <v>29</v>
      </c>
      <c r="P38" s="7" t="s">
        <v>29</v>
      </c>
      <c r="Q38" s="7" t="s">
        <v>29</v>
      </c>
      <c r="R38" s="7" t="s">
        <v>29</v>
      </c>
      <c r="S38" s="7" t="s">
        <v>29</v>
      </c>
    </row>
    <row r="39" spans="2:19">
      <c r="B39" s="7" t="s">
        <v>195</v>
      </c>
      <c r="C39" s="8" t="s">
        <v>195</v>
      </c>
      <c r="D39" s="5" t="str">
        <f>LRTRIM(CONCATENATE(IF(SUMPRODUCT(-- ISNUMBER(SEARCH({"Auto Number"}, $B39))) &gt; 0, $B39, IF(SUMPRODUCT(-- ISNUMBER(SEARCH({"Lookup","Master-Detail"}, $B39))) &gt; 0,$B39 &amp; "(" &amp; $E39 &amp; ")",IF(SUMPRODUCT(-- ISNUMBER(SEARCH({"Formula","Roll-Up Summary"}, $B39))) &gt; 0,$B39 &amp; " (" &amp; $E39 &amp; ")",IF(SUMPRODUCT(-- ISNUMBER(SEARCH({"Content","Currency","Number","Percent","Text","URL"}, $B39))) &gt; 0,$B39 &amp; "(" &amp; $C39 &amp; ")",$B39)))), "  ", TRIM(IF($S39 = "YES", "(External ID)", "") &amp; " " &amp; IF(SUMPRODUCT(-- ISNUMBER(SEARCH({"Unique","Unique Case Insensitive"}, $R39))) &gt; 0, "(" &amp; $R39 &amp; ")", ""))))</f>
        <v>na</v>
      </c>
      <c r="E39" s="7" t="s">
        <v>195</v>
      </c>
      <c r="F39" s="7" t="s">
        <v>195</v>
      </c>
      <c r="G39" s="7" t="s">
        <v>195</v>
      </c>
      <c r="H39" s="7" t="s">
        <v>195</v>
      </c>
      <c r="I39" s="7" t="s">
        <v>195</v>
      </c>
      <c r="J39" s="7" t="s">
        <v>195</v>
      </c>
      <c r="K39" s="7" t="s">
        <v>195</v>
      </c>
      <c r="L39" s="7" t="s">
        <v>195</v>
      </c>
      <c r="M39" s="7" t="s">
        <v>29</v>
      </c>
      <c r="N39" s="7" t="s">
        <v>29</v>
      </c>
      <c r="O39" s="7" t="s">
        <v>29</v>
      </c>
      <c r="P39" s="7" t="s">
        <v>29</v>
      </c>
      <c r="Q39" s="7" t="s">
        <v>29</v>
      </c>
      <c r="R39" s="7" t="s">
        <v>29</v>
      </c>
      <c r="S39" s="7" t="s">
        <v>29</v>
      </c>
    </row>
    <row r="40" spans="2:19">
      <c r="B40" s="7" t="s">
        <v>195</v>
      </c>
      <c r="C40" s="8" t="s">
        <v>195</v>
      </c>
      <c r="D40" s="5" t="str">
        <f>LRTRIM(CONCATENATE(IF(SUMPRODUCT(-- ISNUMBER(SEARCH({"Auto Number"}, $B40))) &gt; 0, $B40, IF(SUMPRODUCT(-- ISNUMBER(SEARCH({"Lookup","Master-Detail"}, $B40))) &gt; 0,$B40 &amp; "(" &amp; $E40 &amp; ")",IF(SUMPRODUCT(-- ISNUMBER(SEARCH({"Formula","Roll-Up Summary"}, $B40))) &gt; 0,$B40 &amp; " (" &amp; $E40 &amp; ")",IF(SUMPRODUCT(-- ISNUMBER(SEARCH({"Content","Currency","Number","Percent","Text","URL"}, $B40))) &gt; 0,$B40 &amp; "(" &amp; $C40 &amp; ")",$B40)))), "  ", TRIM(IF($S40 = "YES", "(External ID)", "") &amp; " " &amp; IF(SUMPRODUCT(-- ISNUMBER(SEARCH({"Unique","Unique Case Insensitive"}, $R40))) &gt; 0, "(" &amp; $R40 &amp; ")", ""))))</f>
        <v>na</v>
      </c>
      <c r="E40" s="7" t="s">
        <v>195</v>
      </c>
      <c r="F40" s="7" t="s">
        <v>195</v>
      </c>
      <c r="G40" s="7" t="s">
        <v>195</v>
      </c>
      <c r="H40" s="7" t="s">
        <v>195</v>
      </c>
      <c r="I40" s="7" t="s">
        <v>195</v>
      </c>
      <c r="J40" s="7" t="s">
        <v>195</v>
      </c>
      <c r="K40" s="7" t="s">
        <v>195</v>
      </c>
      <c r="L40" s="7" t="s">
        <v>195</v>
      </c>
      <c r="M40" s="7" t="s">
        <v>29</v>
      </c>
      <c r="N40" s="7" t="s">
        <v>29</v>
      </c>
      <c r="O40" s="7" t="s">
        <v>29</v>
      </c>
      <c r="P40" s="7" t="s">
        <v>29</v>
      </c>
      <c r="Q40" s="7" t="s">
        <v>29</v>
      </c>
      <c r="R40" s="7" t="s">
        <v>29</v>
      </c>
      <c r="S40" s="7" t="s">
        <v>29</v>
      </c>
    </row>
    <row r="41" spans="2:19">
      <c r="B41" s="7" t="s">
        <v>195</v>
      </c>
      <c r="C41" s="8" t="s">
        <v>195</v>
      </c>
      <c r="D41" s="5" t="str">
        <f>LRTRIM(CONCATENATE(IF(SUMPRODUCT(-- ISNUMBER(SEARCH({"Auto Number"}, $B41))) &gt; 0, $B41, IF(SUMPRODUCT(-- ISNUMBER(SEARCH({"Lookup","Master-Detail"}, $B41))) &gt; 0,$B41 &amp; "(" &amp; $E41 &amp; ")",IF(SUMPRODUCT(-- ISNUMBER(SEARCH({"Formula","Roll-Up Summary"}, $B41))) &gt; 0,$B41 &amp; " (" &amp; $E41 &amp; ")",IF(SUMPRODUCT(-- ISNUMBER(SEARCH({"Content","Currency","Number","Percent","Text","URL"}, $B41))) &gt; 0,$B41 &amp; "(" &amp; $C41 &amp; ")",$B41)))), "  ", TRIM(IF($S41 = "YES", "(External ID)", "") &amp; " " &amp; IF(SUMPRODUCT(-- ISNUMBER(SEARCH({"Unique","Unique Case Insensitive"}, $R41))) &gt; 0, "(" &amp; $R41 &amp; ")", ""))))</f>
        <v>na</v>
      </c>
      <c r="E41" s="7" t="s">
        <v>195</v>
      </c>
      <c r="F41" s="7" t="s">
        <v>195</v>
      </c>
      <c r="G41" s="7" t="s">
        <v>195</v>
      </c>
      <c r="H41" s="7" t="s">
        <v>195</v>
      </c>
      <c r="I41" s="7" t="s">
        <v>195</v>
      </c>
      <c r="J41" s="7" t="s">
        <v>195</v>
      </c>
      <c r="K41" s="7" t="s">
        <v>195</v>
      </c>
      <c r="L41" s="7" t="s">
        <v>195</v>
      </c>
      <c r="M41" s="7" t="s">
        <v>29</v>
      </c>
      <c r="N41" s="7" t="s">
        <v>29</v>
      </c>
      <c r="O41" s="7" t="s">
        <v>29</v>
      </c>
      <c r="P41" s="7" t="s">
        <v>29</v>
      </c>
      <c r="Q41" s="7" t="s">
        <v>29</v>
      </c>
      <c r="R41" s="7" t="s">
        <v>29</v>
      </c>
      <c r="S41" s="7" t="s">
        <v>29</v>
      </c>
    </row>
    <row r="42" spans="2:19">
      <c r="B42" s="7" t="s">
        <v>195</v>
      </c>
      <c r="C42" s="8" t="s">
        <v>195</v>
      </c>
      <c r="D42" s="5" t="str">
        <f>LRTRIM(CONCATENATE(IF(SUMPRODUCT(-- ISNUMBER(SEARCH({"Auto Number"}, $B42))) &gt; 0, $B42, IF(SUMPRODUCT(-- ISNUMBER(SEARCH({"Lookup","Master-Detail"}, $B42))) &gt; 0,$B42 &amp; "(" &amp; $E42 &amp; ")",IF(SUMPRODUCT(-- ISNUMBER(SEARCH({"Formula","Roll-Up Summary"}, $B42))) &gt; 0,$B42 &amp; " (" &amp; $E42 &amp; ")",IF(SUMPRODUCT(-- ISNUMBER(SEARCH({"Content","Currency","Number","Percent","Text","URL"}, $B42))) &gt; 0,$B42 &amp; "(" &amp; $C42 &amp; ")",$B42)))), "  ", TRIM(IF($S42 = "YES", "(External ID)", "") &amp; " " &amp; IF(SUMPRODUCT(-- ISNUMBER(SEARCH({"Unique","Unique Case Insensitive"}, $R42))) &gt; 0, "(" &amp; $R42 &amp; ")", ""))))</f>
        <v>na</v>
      </c>
      <c r="E42" s="7" t="s">
        <v>195</v>
      </c>
      <c r="F42" s="7" t="s">
        <v>195</v>
      </c>
      <c r="G42" s="7" t="s">
        <v>195</v>
      </c>
      <c r="H42" s="7" t="s">
        <v>195</v>
      </c>
      <c r="I42" s="7" t="s">
        <v>195</v>
      </c>
      <c r="J42" s="7" t="s">
        <v>195</v>
      </c>
      <c r="K42" s="7" t="s">
        <v>195</v>
      </c>
      <c r="L42" s="7" t="s">
        <v>195</v>
      </c>
      <c r="M42" s="7" t="s">
        <v>29</v>
      </c>
      <c r="N42" s="7" t="s">
        <v>29</v>
      </c>
      <c r="O42" s="7" t="s">
        <v>29</v>
      </c>
      <c r="P42" s="7" t="s">
        <v>29</v>
      </c>
      <c r="Q42" s="7" t="s">
        <v>29</v>
      </c>
      <c r="R42" s="7" t="s">
        <v>29</v>
      </c>
      <c r="S42" s="7" t="s">
        <v>29</v>
      </c>
    </row>
    <row r="43" spans="2:19">
      <c r="B43" s="7" t="s">
        <v>195</v>
      </c>
      <c r="C43" s="8" t="s">
        <v>195</v>
      </c>
      <c r="D43" s="5" t="str">
        <f>LRTRIM(CONCATENATE(IF(SUMPRODUCT(-- ISNUMBER(SEARCH({"Auto Number"}, $B43))) &gt; 0, $B43, IF(SUMPRODUCT(-- ISNUMBER(SEARCH({"Lookup","Master-Detail"}, $B43))) &gt; 0,$B43 &amp; "(" &amp; $E43 &amp; ")",IF(SUMPRODUCT(-- ISNUMBER(SEARCH({"Formula","Roll-Up Summary"}, $B43))) &gt; 0,$B43 &amp; " (" &amp; $E43 &amp; ")",IF(SUMPRODUCT(-- ISNUMBER(SEARCH({"Content","Currency","Number","Percent","Text","URL"}, $B43))) &gt; 0,$B43 &amp; "(" &amp; $C43 &amp; ")",$B43)))), "  ", TRIM(IF($S43 = "YES", "(External ID)", "") &amp; " " &amp; IF(SUMPRODUCT(-- ISNUMBER(SEARCH({"Unique","Unique Case Insensitive"}, $R43))) &gt; 0, "(" &amp; $R43 &amp; ")", ""))))</f>
        <v>na</v>
      </c>
      <c r="E43" s="7" t="s">
        <v>195</v>
      </c>
      <c r="F43" s="7" t="s">
        <v>195</v>
      </c>
      <c r="G43" s="7" t="s">
        <v>195</v>
      </c>
      <c r="H43" s="7" t="s">
        <v>195</v>
      </c>
      <c r="I43" s="7" t="s">
        <v>195</v>
      </c>
      <c r="J43" s="7" t="s">
        <v>195</v>
      </c>
      <c r="K43" s="7" t="s">
        <v>195</v>
      </c>
      <c r="L43" s="7" t="s">
        <v>195</v>
      </c>
      <c r="M43" s="7" t="s">
        <v>29</v>
      </c>
      <c r="N43" s="7" t="s">
        <v>29</v>
      </c>
      <c r="O43" s="7" t="s">
        <v>29</v>
      </c>
      <c r="P43" s="7" t="s">
        <v>29</v>
      </c>
      <c r="Q43" s="7" t="s">
        <v>29</v>
      </c>
      <c r="R43" s="7" t="s">
        <v>29</v>
      </c>
      <c r="S43" s="7" t="s">
        <v>29</v>
      </c>
    </row>
    <row r="44" spans="2:19">
      <c r="B44" s="7" t="s">
        <v>195</v>
      </c>
      <c r="C44" s="8" t="s">
        <v>195</v>
      </c>
      <c r="D44" s="5" t="str">
        <f>LRTRIM(CONCATENATE(IF(SUMPRODUCT(-- ISNUMBER(SEARCH({"Auto Number"}, $B44))) &gt; 0, $B44, IF(SUMPRODUCT(-- ISNUMBER(SEARCH({"Lookup","Master-Detail"}, $B44))) &gt; 0,$B44 &amp; "(" &amp; $E44 &amp; ")",IF(SUMPRODUCT(-- ISNUMBER(SEARCH({"Formula","Roll-Up Summary"}, $B44))) &gt; 0,$B44 &amp; " (" &amp; $E44 &amp; ")",IF(SUMPRODUCT(-- ISNUMBER(SEARCH({"Content","Currency","Number","Percent","Text","URL"}, $B44))) &gt; 0,$B44 &amp; "(" &amp; $C44 &amp; ")",$B44)))), "  ", TRIM(IF($S44 = "YES", "(External ID)", "") &amp; " " &amp; IF(SUMPRODUCT(-- ISNUMBER(SEARCH({"Unique","Unique Case Insensitive"}, $R44))) &gt; 0, "(" &amp; $R44 &amp; ")", ""))))</f>
        <v>na</v>
      </c>
      <c r="E44" s="7" t="s">
        <v>195</v>
      </c>
      <c r="F44" s="7" t="s">
        <v>195</v>
      </c>
      <c r="G44" s="7" t="s">
        <v>195</v>
      </c>
      <c r="H44" s="7" t="s">
        <v>195</v>
      </c>
      <c r="I44" s="7" t="s">
        <v>195</v>
      </c>
      <c r="J44" s="7" t="s">
        <v>195</v>
      </c>
      <c r="K44" s="7" t="s">
        <v>195</v>
      </c>
      <c r="L44" s="7" t="s">
        <v>195</v>
      </c>
      <c r="M44" s="7" t="s">
        <v>29</v>
      </c>
      <c r="N44" s="7" t="s">
        <v>29</v>
      </c>
      <c r="O44" s="7" t="s">
        <v>29</v>
      </c>
      <c r="P44" s="7" t="s">
        <v>29</v>
      </c>
      <c r="Q44" s="7" t="s">
        <v>29</v>
      </c>
      <c r="R44" s="7" t="s">
        <v>29</v>
      </c>
      <c r="S44" s="7" t="s">
        <v>29</v>
      </c>
    </row>
    <row r="45" spans="2:19">
      <c r="B45" s="7" t="s">
        <v>195</v>
      </c>
      <c r="C45" s="8" t="s">
        <v>195</v>
      </c>
      <c r="D45" s="5" t="str">
        <f>LRTRIM(CONCATENATE(IF(SUMPRODUCT(-- ISNUMBER(SEARCH({"Auto Number"}, $B45))) &gt; 0, $B45, IF(SUMPRODUCT(-- ISNUMBER(SEARCH({"Lookup","Master-Detail"}, $B45))) &gt; 0,$B45 &amp; "(" &amp; $E45 &amp; ")",IF(SUMPRODUCT(-- ISNUMBER(SEARCH({"Formula","Roll-Up Summary"}, $B45))) &gt; 0,$B45 &amp; " (" &amp; $E45 &amp; ")",IF(SUMPRODUCT(-- ISNUMBER(SEARCH({"Content","Currency","Number","Percent","Text","URL"}, $B45))) &gt; 0,$B45 &amp; "(" &amp; $C45 &amp; ")",$B45)))), "  ", TRIM(IF($S45 = "YES", "(External ID)", "") &amp; " " &amp; IF(SUMPRODUCT(-- ISNUMBER(SEARCH({"Unique","Unique Case Insensitive"}, $R45))) &gt; 0, "(" &amp; $R45 &amp; ")", ""))))</f>
        <v>na</v>
      </c>
      <c r="E45" s="7" t="s">
        <v>195</v>
      </c>
      <c r="F45" s="7" t="s">
        <v>195</v>
      </c>
      <c r="G45" s="7" t="s">
        <v>195</v>
      </c>
      <c r="H45" s="7" t="s">
        <v>195</v>
      </c>
      <c r="I45" s="7" t="s">
        <v>195</v>
      </c>
      <c r="J45" s="7" t="s">
        <v>195</v>
      </c>
      <c r="K45" s="7" t="s">
        <v>195</v>
      </c>
      <c r="L45" s="7" t="s">
        <v>195</v>
      </c>
      <c r="M45" s="7" t="s">
        <v>29</v>
      </c>
      <c r="N45" s="7" t="s">
        <v>29</v>
      </c>
      <c r="O45" s="7" t="s">
        <v>29</v>
      </c>
      <c r="P45" s="7" t="s">
        <v>29</v>
      </c>
      <c r="Q45" s="7" t="s">
        <v>29</v>
      </c>
      <c r="R45" s="7" t="s">
        <v>29</v>
      </c>
      <c r="S45" s="7" t="s">
        <v>29</v>
      </c>
    </row>
    <row r="46" spans="2:19">
      <c r="B46" s="7" t="s">
        <v>195</v>
      </c>
      <c r="C46" s="8" t="s">
        <v>195</v>
      </c>
      <c r="D46" s="5" t="str">
        <f>LRTRIM(CONCATENATE(IF(SUMPRODUCT(-- ISNUMBER(SEARCH({"Auto Number"}, $B46))) &gt; 0, $B46, IF(SUMPRODUCT(-- ISNUMBER(SEARCH({"Lookup","Master-Detail"}, $B46))) &gt; 0,$B46 &amp; "(" &amp; $E46 &amp; ")",IF(SUMPRODUCT(-- ISNUMBER(SEARCH({"Formula","Roll-Up Summary"}, $B46))) &gt; 0,$B46 &amp; " (" &amp; $E46 &amp; ")",IF(SUMPRODUCT(-- ISNUMBER(SEARCH({"Content","Currency","Number","Percent","Text","URL"}, $B46))) &gt; 0,$B46 &amp; "(" &amp; $C46 &amp; ")",$B46)))), "  ", TRIM(IF($S46 = "YES", "(External ID)", "") &amp; " " &amp; IF(SUMPRODUCT(-- ISNUMBER(SEARCH({"Unique","Unique Case Insensitive"}, $R46))) &gt; 0, "(" &amp; $R46 &amp; ")", ""))))</f>
        <v>na</v>
      </c>
      <c r="E46" s="7" t="s">
        <v>195</v>
      </c>
      <c r="F46" s="7" t="s">
        <v>195</v>
      </c>
      <c r="G46" s="7" t="s">
        <v>195</v>
      </c>
      <c r="H46" s="7" t="s">
        <v>195</v>
      </c>
      <c r="I46" s="7" t="s">
        <v>195</v>
      </c>
      <c r="J46" s="7" t="s">
        <v>195</v>
      </c>
      <c r="K46" s="7" t="s">
        <v>195</v>
      </c>
      <c r="L46" s="7" t="s">
        <v>195</v>
      </c>
      <c r="M46" s="7" t="s">
        <v>29</v>
      </c>
      <c r="N46" s="7" t="s">
        <v>29</v>
      </c>
      <c r="O46" s="7" t="s">
        <v>29</v>
      </c>
      <c r="P46" s="7" t="s">
        <v>29</v>
      </c>
      <c r="Q46" s="7" t="s">
        <v>29</v>
      </c>
      <c r="R46" s="7" t="s">
        <v>29</v>
      </c>
      <c r="S46" s="7" t="s">
        <v>29</v>
      </c>
    </row>
    <row r="47" spans="2:19">
      <c r="B47" s="7" t="s">
        <v>195</v>
      </c>
      <c r="C47" s="8" t="s">
        <v>195</v>
      </c>
      <c r="D47" s="5" t="str">
        <f>LRTRIM(CONCATENATE(IF(SUMPRODUCT(-- ISNUMBER(SEARCH({"Auto Number"}, $B47))) &gt; 0, $B47, IF(SUMPRODUCT(-- ISNUMBER(SEARCH({"Lookup","Master-Detail"}, $B47))) &gt; 0,$B47 &amp; "(" &amp; $E47 &amp; ")",IF(SUMPRODUCT(-- ISNUMBER(SEARCH({"Formula","Roll-Up Summary"}, $B47))) &gt; 0,$B47 &amp; " (" &amp; $E47 &amp; ")",IF(SUMPRODUCT(-- ISNUMBER(SEARCH({"Content","Currency","Number","Percent","Text","URL"}, $B47))) &gt; 0,$B47 &amp; "(" &amp; $C47 &amp; ")",$B47)))), "  ", TRIM(IF($S47 = "YES", "(External ID)", "") &amp; " " &amp; IF(SUMPRODUCT(-- ISNUMBER(SEARCH({"Unique","Unique Case Insensitive"}, $R47))) &gt; 0, "(" &amp; $R47 &amp; ")", ""))))</f>
        <v>na</v>
      </c>
      <c r="E47" s="7" t="s">
        <v>195</v>
      </c>
      <c r="F47" s="7" t="s">
        <v>195</v>
      </c>
      <c r="G47" s="7" t="s">
        <v>195</v>
      </c>
      <c r="H47" s="7" t="s">
        <v>195</v>
      </c>
      <c r="I47" s="7" t="s">
        <v>195</v>
      </c>
      <c r="J47" s="7" t="s">
        <v>195</v>
      </c>
      <c r="K47" s="7" t="s">
        <v>195</v>
      </c>
      <c r="L47" s="7" t="s">
        <v>195</v>
      </c>
      <c r="M47" s="7" t="s">
        <v>29</v>
      </c>
      <c r="N47" s="7" t="s">
        <v>29</v>
      </c>
      <c r="O47" s="7" t="s">
        <v>29</v>
      </c>
      <c r="P47" s="7" t="s">
        <v>29</v>
      </c>
      <c r="Q47" s="7" t="s">
        <v>29</v>
      </c>
      <c r="R47" s="7" t="s">
        <v>29</v>
      </c>
      <c r="S47" s="7" t="s">
        <v>29</v>
      </c>
    </row>
    <row r="48" spans="2:19">
      <c r="B48" s="7" t="s">
        <v>195</v>
      </c>
      <c r="C48" s="8" t="s">
        <v>195</v>
      </c>
      <c r="D48" s="5" t="str">
        <f>LRTRIM(CONCATENATE(IF(SUMPRODUCT(-- ISNUMBER(SEARCH({"Auto Number"}, $B48))) &gt; 0, $B48, IF(SUMPRODUCT(-- ISNUMBER(SEARCH({"Lookup","Master-Detail"}, $B48))) &gt; 0,$B48 &amp; "(" &amp; $E48 &amp; ")",IF(SUMPRODUCT(-- ISNUMBER(SEARCH({"Formula","Roll-Up Summary"}, $B48))) &gt; 0,$B48 &amp; " (" &amp; $E48 &amp; ")",IF(SUMPRODUCT(-- ISNUMBER(SEARCH({"Content","Currency","Number","Percent","Text","URL"}, $B48))) &gt; 0,$B48 &amp; "(" &amp; $C48 &amp; ")",$B48)))), "  ", TRIM(IF($S48 = "YES", "(External ID)", "") &amp; " " &amp; IF(SUMPRODUCT(-- ISNUMBER(SEARCH({"Unique","Unique Case Insensitive"}, $R48))) &gt; 0, "(" &amp; $R48 &amp; ")", ""))))</f>
        <v>na</v>
      </c>
      <c r="E48" s="7" t="s">
        <v>195</v>
      </c>
      <c r="F48" s="7" t="s">
        <v>195</v>
      </c>
      <c r="G48" s="7" t="s">
        <v>195</v>
      </c>
      <c r="H48" s="7" t="s">
        <v>195</v>
      </c>
      <c r="I48" s="7" t="s">
        <v>195</v>
      </c>
      <c r="J48" s="7" t="s">
        <v>195</v>
      </c>
      <c r="K48" s="7" t="s">
        <v>195</v>
      </c>
      <c r="L48" s="7" t="s">
        <v>195</v>
      </c>
      <c r="M48" s="7" t="s">
        <v>29</v>
      </c>
      <c r="N48" s="7" t="s">
        <v>29</v>
      </c>
      <c r="O48" s="7" t="s">
        <v>29</v>
      </c>
      <c r="P48" s="7" t="s">
        <v>29</v>
      </c>
      <c r="Q48" s="7" t="s">
        <v>29</v>
      </c>
      <c r="R48" s="7" t="s">
        <v>29</v>
      </c>
      <c r="S48" s="7" t="s">
        <v>29</v>
      </c>
    </row>
    <row r="49" spans="2:19">
      <c r="B49" s="7" t="s">
        <v>195</v>
      </c>
      <c r="C49" s="8" t="s">
        <v>195</v>
      </c>
      <c r="D49" s="5" t="str">
        <f>LRTRIM(CONCATENATE(IF(SUMPRODUCT(-- ISNUMBER(SEARCH({"Auto Number"}, $B49))) &gt; 0, $B49, IF(SUMPRODUCT(-- ISNUMBER(SEARCH({"Lookup","Master-Detail"}, $B49))) &gt; 0,$B49 &amp; "(" &amp; $E49 &amp; ")",IF(SUMPRODUCT(-- ISNUMBER(SEARCH({"Formula","Roll-Up Summary"}, $B49))) &gt; 0,$B49 &amp; " (" &amp; $E49 &amp; ")",IF(SUMPRODUCT(-- ISNUMBER(SEARCH({"Content","Currency","Number","Percent","Text","URL"}, $B49))) &gt; 0,$B49 &amp; "(" &amp; $C49 &amp; ")",$B49)))), "  ", TRIM(IF($S49 = "YES", "(External ID)", "") &amp; " " &amp; IF(SUMPRODUCT(-- ISNUMBER(SEARCH({"Unique","Unique Case Insensitive"}, $R49))) &gt; 0, "(" &amp; $R49 &amp; ")", ""))))</f>
        <v>na</v>
      </c>
      <c r="E49" s="7" t="s">
        <v>195</v>
      </c>
      <c r="F49" s="7" t="s">
        <v>195</v>
      </c>
      <c r="G49" s="7" t="s">
        <v>195</v>
      </c>
      <c r="H49" s="7" t="s">
        <v>195</v>
      </c>
      <c r="I49" s="7" t="s">
        <v>195</v>
      </c>
      <c r="J49" s="7" t="s">
        <v>195</v>
      </c>
      <c r="K49" s="7" t="s">
        <v>195</v>
      </c>
      <c r="L49" s="7" t="s">
        <v>195</v>
      </c>
      <c r="M49" s="7" t="s">
        <v>29</v>
      </c>
      <c r="N49" s="7" t="s">
        <v>29</v>
      </c>
      <c r="O49" s="7" t="s">
        <v>29</v>
      </c>
      <c r="P49" s="7" t="s">
        <v>29</v>
      </c>
      <c r="Q49" s="7" t="s">
        <v>29</v>
      </c>
      <c r="R49" s="7" t="s">
        <v>29</v>
      </c>
      <c r="S49" s="7" t="s">
        <v>29</v>
      </c>
    </row>
    <row r="50" spans="2:19">
      <c r="B50" s="7" t="s">
        <v>195</v>
      </c>
      <c r="C50" s="8" t="s">
        <v>195</v>
      </c>
      <c r="D50" s="5" t="str">
        <f>LRTRIM(CONCATENATE(IF(SUMPRODUCT(-- ISNUMBER(SEARCH({"Auto Number"}, $B50))) &gt; 0, $B50, IF(SUMPRODUCT(-- ISNUMBER(SEARCH({"Lookup","Master-Detail"}, $B50))) &gt; 0,$B50 &amp; "(" &amp; $E50 &amp; ")",IF(SUMPRODUCT(-- ISNUMBER(SEARCH({"Formula","Roll-Up Summary"}, $B50))) &gt; 0,$B50 &amp; " (" &amp; $E50 &amp; ")",IF(SUMPRODUCT(-- ISNUMBER(SEARCH({"Content","Currency","Number","Percent","Text","URL"}, $B50))) &gt; 0,$B50 &amp; "(" &amp; $C50 &amp; ")",$B50)))), "  ", TRIM(IF($S50 = "YES", "(External ID)", "") &amp; " " &amp; IF(SUMPRODUCT(-- ISNUMBER(SEARCH({"Unique","Unique Case Insensitive"}, $R50))) &gt; 0, "(" &amp; $R50 &amp; ")", ""))))</f>
        <v>na</v>
      </c>
      <c r="E50" s="7" t="s">
        <v>195</v>
      </c>
      <c r="F50" s="7" t="s">
        <v>195</v>
      </c>
      <c r="G50" s="7" t="s">
        <v>195</v>
      </c>
      <c r="H50" s="7" t="s">
        <v>195</v>
      </c>
      <c r="I50" s="7" t="s">
        <v>195</v>
      </c>
      <c r="J50" s="7" t="s">
        <v>195</v>
      </c>
      <c r="K50" s="7" t="s">
        <v>195</v>
      </c>
      <c r="L50" s="7" t="s">
        <v>195</v>
      </c>
      <c r="M50" s="7" t="s">
        <v>29</v>
      </c>
      <c r="N50" s="7" t="s">
        <v>29</v>
      </c>
      <c r="O50" s="7" t="s">
        <v>29</v>
      </c>
      <c r="P50" s="7" t="s">
        <v>29</v>
      </c>
      <c r="Q50" s="7" t="s">
        <v>29</v>
      </c>
      <c r="R50" s="7" t="s">
        <v>29</v>
      </c>
      <c r="S50" s="7" t="s">
        <v>29</v>
      </c>
    </row>
    <row r="51" spans="2:19">
      <c r="B51" s="7" t="s">
        <v>195</v>
      </c>
      <c r="C51" s="8" t="s">
        <v>195</v>
      </c>
      <c r="D51" s="5" t="str">
        <f>LRTRIM(CONCATENATE(IF(SUMPRODUCT(-- ISNUMBER(SEARCH({"Auto Number"}, $B51))) &gt; 0, $B51, IF(SUMPRODUCT(-- ISNUMBER(SEARCH({"Lookup","Master-Detail"}, $B51))) &gt; 0,$B51 &amp; "(" &amp; $E51 &amp; ")",IF(SUMPRODUCT(-- ISNUMBER(SEARCH({"Formula","Roll-Up Summary"}, $B51))) &gt; 0,$B51 &amp; " (" &amp; $E51 &amp; ")",IF(SUMPRODUCT(-- ISNUMBER(SEARCH({"Content","Currency","Number","Percent","Text","URL"}, $B51))) &gt; 0,$B51 &amp; "(" &amp; $C51 &amp; ")",$B51)))), "  ", TRIM(IF($S51 = "YES", "(External ID)", "") &amp; " " &amp; IF(SUMPRODUCT(-- ISNUMBER(SEARCH({"Unique","Unique Case Insensitive"}, $R51))) &gt; 0, "(" &amp; $R51 &amp; ")", ""))))</f>
        <v>na</v>
      </c>
      <c r="E51" s="7" t="s">
        <v>195</v>
      </c>
      <c r="F51" s="7" t="s">
        <v>195</v>
      </c>
      <c r="G51" s="7" t="s">
        <v>195</v>
      </c>
      <c r="H51" s="7" t="s">
        <v>195</v>
      </c>
      <c r="I51" s="7" t="s">
        <v>195</v>
      </c>
      <c r="J51" s="7" t="s">
        <v>195</v>
      </c>
      <c r="K51" s="7" t="s">
        <v>195</v>
      </c>
      <c r="L51" s="7" t="s">
        <v>195</v>
      </c>
      <c r="M51" s="7" t="s">
        <v>29</v>
      </c>
      <c r="N51" s="7" t="s">
        <v>29</v>
      </c>
      <c r="O51" s="7" t="s">
        <v>29</v>
      </c>
      <c r="P51" s="7" t="s">
        <v>29</v>
      </c>
      <c r="Q51" s="7" t="s">
        <v>29</v>
      </c>
      <c r="R51" s="7" t="s">
        <v>29</v>
      </c>
      <c r="S51" s="7" t="s">
        <v>29</v>
      </c>
    </row>
    <row r="52" spans="2:19">
      <c r="B52" s="7" t="s">
        <v>195</v>
      </c>
      <c r="C52" s="8" t="s">
        <v>195</v>
      </c>
      <c r="D52" s="5" t="str">
        <f>LRTRIM(CONCATENATE(IF(SUMPRODUCT(-- ISNUMBER(SEARCH({"Auto Number"}, $B52))) &gt; 0, $B52, IF(SUMPRODUCT(-- ISNUMBER(SEARCH({"Lookup","Master-Detail"}, $B52))) &gt; 0,$B52 &amp; "(" &amp; $E52 &amp; ")",IF(SUMPRODUCT(-- ISNUMBER(SEARCH({"Formula","Roll-Up Summary"}, $B52))) &gt; 0,$B52 &amp; " (" &amp; $E52 &amp; ")",IF(SUMPRODUCT(-- ISNUMBER(SEARCH({"Content","Currency","Number","Percent","Text","URL"}, $B52))) &gt; 0,$B52 &amp; "(" &amp; $C52 &amp; ")",$B52)))), "  ", TRIM(IF($S52 = "YES", "(External ID)", "") &amp; " " &amp; IF(SUMPRODUCT(-- ISNUMBER(SEARCH({"Unique","Unique Case Insensitive"}, $R52))) &gt; 0, "(" &amp; $R52 &amp; ")", ""))))</f>
        <v>na</v>
      </c>
      <c r="E52" s="7" t="s">
        <v>195</v>
      </c>
      <c r="F52" s="7" t="s">
        <v>195</v>
      </c>
      <c r="G52" s="7" t="s">
        <v>195</v>
      </c>
      <c r="H52" s="7" t="s">
        <v>195</v>
      </c>
      <c r="I52" s="7" t="s">
        <v>195</v>
      </c>
      <c r="J52" s="7" t="s">
        <v>195</v>
      </c>
      <c r="K52" s="7" t="s">
        <v>195</v>
      </c>
      <c r="L52" s="7" t="s">
        <v>195</v>
      </c>
      <c r="M52" s="7" t="s">
        <v>29</v>
      </c>
      <c r="N52" s="7" t="s">
        <v>29</v>
      </c>
      <c r="O52" s="7" t="s">
        <v>29</v>
      </c>
      <c r="P52" s="7" t="s">
        <v>29</v>
      </c>
      <c r="Q52" s="7" t="s">
        <v>29</v>
      </c>
      <c r="R52" s="7" t="s">
        <v>29</v>
      </c>
      <c r="S52" s="7" t="s">
        <v>29</v>
      </c>
    </row>
    <row r="53" spans="2:19">
      <c r="B53" s="7" t="s">
        <v>195</v>
      </c>
      <c r="C53" s="8" t="s">
        <v>195</v>
      </c>
      <c r="D53" s="5" t="str">
        <f>LRTRIM(CONCATENATE(IF(SUMPRODUCT(-- ISNUMBER(SEARCH({"Auto Number"}, $B53))) &gt; 0, $B53, IF(SUMPRODUCT(-- ISNUMBER(SEARCH({"Lookup","Master-Detail"}, $B53))) &gt; 0,$B53 &amp; "(" &amp; $E53 &amp; ")",IF(SUMPRODUCT(-- ISNUMBER(SEARCH({"Formula","Roll-Up Summary"}, $B53))) &gt; 0,$B53 &amp; " (" &amp; $E53 &amp; ")",IF(SUMPRODUCT(-- ISNUMBER(SEARCH({"Content","Currency","Number","Percent","Text","URL"}, $B53))) &gt; 0,$B53 &amp; "(" &amp; $C53 &amp; ")",$B53)))), "  ", TRIM(IF($S53 = "YES", "(External ID)", "") &amp; " " &amp; IF(SUMPRODUCT(-- ISNUMBER(SEARCH({"Unique","Unique Case Insensitive"}, $R53))) &gt; 0, "(" &amp; $R53 &amp; ")", ""))))</f>
        <v>na</v>
      </c>
      <c r="E53" s="7" t="s">
        <v>195</v>
      </c>
      <c r="F53" s="7" t="s">
        <v>195</v>
      </c>
      <c r="G53" s="7" t="s">
        <v>195</v>
      </c>
      <c r="H53" s="7" t="s">
        <v>195</v>
      </c>
      <c r="I53" s="7" t="s">
        <v>195</v>
      </c>
      <c r="J53" s="7" t="s">
        <v>195</v>
      </c>
      <c r="K53" s="7" t="s">
        <v>195</v>
      </c>
      <c r="L53" s="7" t="s">
        <v>195</v>
      </c>
      <c r="M53" s="7" t="s">
        <v>29</v>
      </c>
      <c r="N53" s="7" t="s">
        <v>29</v>
      </c>
      <c r="O53" s="7" t="s">
        <v>29</v>
      </c>
      <c r="P53" s="7" t="s">
        <v>29</v>
      </c>
      <c r="Q53" s="7" t="s">
        <v>29</v>
      </c>
      <c r="R53" s="7" t="s">
        <v>29</v>
      </c>
      <c r="S53" s="7" t="s">
        <v>29</v>
      </c>
    </row>
    <row r="54" spans="2:19">
      <c r="B54" s="7" t="s">
        <v>195</v>
      </c>
      <c r="C54" s="8" t="s">
        <v>195</v>
      </c>
      <c r="D54" s="5" t="str">
        <f>LRTRIM(CONCATENATE(IF(SUMPRODUCT(-- ISNUMBER(SEARCH({"Auto Number"}, $B54))) &gt; 0, $B54, IF(SUMPRODUCT(-- ISNUMBER(SEARCH({"Lookup","Master-Detail"}, $B54))) &gt; 0,$B54 &amp; "(" &amp; $E54 &amp; ")",IF(SUMPRODUCT(-- ISNUMBER(SEARCH({"Formula","Roll-Up Summary"}, $B54))) &gt; 0,$B54 &amp; " (" &amp; $E54 &amp; ")",IF(SUMPRODUCT(-- ISNUMBER(SEARCH({"Content","Currency","Number","Percent","Text","URL"}, $B54))) &gt; 0,$B54 &amp; "(" &amp; $C54 &amp; ")",$B54)))), "  ", TRIM(IF($S54 = "YES", "(External ID)", "") &amp; " " &amp; IF(SUMPRODUCT(-- ISNUMBER(SEARCH({"Unique","Unique Case Insensitive"}, $R54))) &gt; 0, "(" &amp; $R54 &amp; ")", ""))))</f>
        <v>na</v>
      </c>
      <c r="E54" s="7" t="s">
        <v>195</v>
      </c>
      <c r="F54" s="7" t="s">
        <v>195</v>
      </c>
      <c r="G54" s="7" t="s">
        <v>195</v>
      </c>
      <c r="H54" s="7" t="s">
        <v>195</v>
      </c>
      <c r="I54" s="7" t="s">
        <v>195</v>
      </c>
      <c r="J54" s="7" t="s">
        <v>195</v>
      </c>
      <c r="K54" s="7" t="s">
        <v>195</v>
      </c>
      <c r="L54" s="7" t="s">
        <v>195</v>
      </c>
      <c r="M54" s="7" t="s">
        <v>29</v>
      </c>
      <c r="N54" s="7" t="s">
        <v>29</v>
      </c>
      <c r="O54" s="7" t="s">
        <v>29</v>
      </c>
      <c r="P54" s="7" t="s">
        <v>29</v>
      </c>
      <c r="Q54" s="7" t="s">
        <v>29</v>
      </c>
      <c r="R54" s="7" t="s">
        <v>29</v>
      </c>
      <c r="S54" s="7" t="s">
        <v>29</v>
      </c>
    </row>
    <row r="55" spans="2:19">
      <c r="B55" s="7" t="s">
        <v>195</v>
      </c>
      <c r="C55" s="8" t="s">
        <v>195</v>
      </c>
      <c r="D55" s="5" t="str">
        <f>LRTRIM(CONCATENATE(IF(SUMPRODUCT(-- ISNUMBER(SEARCH({"Auto Number"}, $B55))) &gt; 0, $B55, IF(SUMPRODUCT(-- ISNUMBER(SEARCH({"Lookup","Master-Detail"}, $B55))) &gt; 0,$B55 &amp; "(" &amp; $E55 &amp; ")",IF(SUMPRODUCT(-- ISNUMBER(SEARCH({"Formula","Roll-Up Summary"}, $B55))) &gt; 0,$B55 &amp; " (" &amp; $E55 &amp; ")",IF(SUMPRODUCT(-- ISNUMBER(SEARCH({"Content","Currency","Number","Percent","Text","URL"}, $B55))) &gt; 0,$B55 &amp; "(" &amp; $C55 &amp; ")",$B55)))), "  ", TRIM(IF($S55 = "YES", "(External ID)", "") &amp; " " &amp; IF(SUMPRODUCT(-- ISNUMBER(SEARCH({"Unique","Unique Case Insensitive"}, $R55))) &gt; 0, "(" &amp; $R55 &amp; ")", ""))))</f>
        <v>na</v>
      </c>
      <c r="E55" s="7" t="s">
        <v>195</v>
      </c>
      <c r="F55" s="7" t="s">
        <v>195</v>
      </c>
      <c r="G55" s="7" t="s">
        <v>195</v>
      </c>
      <c r="H55" s="7" t="s">
        <v>195</v>
      </c>
      <c r="I55" s="7" t="s">
        <v>195</v>
      </c>
      <c r="J55" s="7" t="s">
        <v>195</v>
      </c>
      <c r="K55" s="7" t="s">
        <v>195</v>
      </c>
      <c r="L55" s="7" t="s">
        <v>195</v>
      </c>
      <c r="M55" s="7" t="s">
        <v>29</v>
      </c>
      <c r="N55" s="7" t="s">
        <v>29</v>
      </c>
      <c r="O55" s="7" t="s">
        <v>29</v>
      </c>
      <c r="P55" s="7" t="s">
        <v>29</v>
      </c>
      <c r="Q55" s="7" t="s">
        <v>29</v>
      </c>
      <c r="R55" s="7" t="s">
        <v>29</v>
      </c>
      <c r="S55" s="7" t="s">
        <v>29</v>
      </c>
    </row>
    <row r="56" spans="2:19">
      <c r="B56" s="7" t="s">
        <v>195</v>
      </c>
      <c r="C56" s="8" t="s">
        <v>195</v>
      </c>
      <c r="D56" s="5" t="str">
        <f>LRTRIM(CONCATENATE(IF(SUMPRODUCT(-- ISNUMBER(SEARCH({"Auto Number"}, $B56))) &gt; 0, $B56, IF(SUMPRODUCT(-- ISNUMBER(SEARCH({"Lookup","Master-Detail"}, $B56))) &gt; 0,$B56 &amp; "(" &amp; $E56 &amp; ")",IF(SUMPRODUCT(-- ISNUMBER(SEARCH({"Formula","Roll-Up Summary"}, $B56))) &gt; 0,$B56 &amp; " (" &amp; $E56 &amp; ")",IF(SUMPRODUCT(-- ISNUMBER(SEARCH({"Content","Currency","Number","Percent","Text","URL"}, $B56))) &gt; 0,$B56 &amp; "(" &amp; $C56 &amp; ")",$B56)))), "  ", TRIM(IF($S56 = "YES", "(External ID)", "") &amp; " " &amp; IF(SUMPRODUCT(-- ISNUMBER(SEARCH({"Unique","Unique Case Insensitive"}, $R56))) &gt; 0, "(" &amp; $R56 &amp; ")", ""))))</f>
        <v>na</v>
      </c>
      <c r="E56" s="7" t="s">
        <v>195</v>
      </c>
      <c r="F56" s="7" t="s">
        <v>195</v>
      </c>
      <c r="G56" s="7" t="s">
        <v>195</v>
      </c>
      <c r="H56" s="7" t="s">
        <v>195</v>
      </c>
      <c r="I56" s="7" t="s">
        <v>195</v>
      </c>
      <c r="J56" s="7" t="s">
        <v>195</v>
      </c>
      <c r="K56" s="7" t="s">
        <v>195</v>
      </c>
      <c r="L56" s="7" t="s">
        <v>195</v>
      </c>
      <c r="M56" s="7" t="s">
        <v>29</v>
      </c>
      <c r="N56" s="7" t="s">
        <v>29</v>
      </c>
      <c r="O56" s="7" t="s">
        <v>29</v>
      </c>
      <c r="P56" s="7" t="s">
        <v>29</v>
      </c>
      <c r="Q56" s="7" t="s">
        <v>29</v>
      </c>
      <c r="R56" s="7" t="s">
        <v>29</v>
      </c>
      <c r="S56" s="7" t="s">
        <v>29</v>
      </c>
    </row>
    <row r="57" spans="2:19">
      <c r="B57" s="7" t="s">
        <v>195</v>
      </c>
      <c r="C57" s="8" t="s">
        <v>195</v>
      </c>
      <c r="D57" s="5" t="str">
        <f>LRTRIM(CONCATENATE(IF(SUMPRODUCT(-- ISNUMBER(SEARCH({"Auto Number"}, $B57))) &gt; 0, $B57, IF(SUMPRODUCT(-- ISNUMBER(SEARCH({"Lookup","Master-Detail"}, $B57))) &gt; 0,$B57 &amp; "(" &amp; $E57 &amp; ")",IF(SUMPRODUCT(-- ISNUMBER(SEARCH({"Formula","Roll-Up Summary"}, $B57))) &gt; 0,$B57 &amp; " (" &amp; $E57 &amp; ")",IF(SUMPRODUCT(-- ISNUMBER(SEARCH({"Content","Currency","Number","Percent","Text","URL"}, $B57))) &gt; 0,$B57 &amp; "(" &amp; $C57 &amp; ")",$B57)))), "  ", TRIM(IF($S57 = "YES", "(External ID)", "") &amp; " " &amp; IF(SUMPRODUCT(-- ISNUMBER(SEARCH({"Unique","Unique Case Insensitive"}, $R57))) &gt; 0, "(" &amp; $R57 &amp; ")", ""))))</f>
        <v>na</v>
      </c>
      <c r="E57" s="7" t="s">
        <v>195</v>
      </c>
      <c r="F57" s="7" t="s">
        <v>195</v>
      </c>
      <c r="G57" s="7" t="s">
        <v>195</v>
      </c>
      <c r="H57" s="7" t="s">
        <v>195</v>
      </c>
      <c r="I57" s="7" t="s">
        <v>195</v>
      </c>
      <c r="J57" s="7" t="s">
        <v>195</v>
      </c>
      <c r="K57" s="7" t="s">
        <v>195</v>
      </c>
      <c r="L57" s="7" t="s">
        <v>195</v>
      </c>
      <c r="M57" s="7" t="s">
        <v>29</v>
      </c>
      <c r="N57" s="7" t="s">
        <v>29</v>
      </c>
      <c r="O57" s="7" t="s">
        <v>29</v>
      </c>
      <c r="P57" s="7" t="s">
        <v>29</v>
      </c>
      <c r="Q57" s="7" t="s">
        <v>29</v>
      </c>
      <c r="R57" s="7" t="s">
        <v>29</v>
      </c>
      <c r="S57" s="7" t="s">
        <v>29</v>
      </c>
    </row>
    <row r="58" spans="2:19">
      <c r="B58" s="7" t="s">
        <v>195</v>
      </c>
      <c r="C58" s="8" t="s">
        <v>195</v>
      </c>
      <c r="D58" s="5" t="str">
        <f>LRTRIM(CONCATENATE(IF(SUMPRODUCT(-- ISNUMBER(SEARCH({"Auto Number"}, $B58))) &gt; 0, $B58, IF(SUMPRODUCT(-- ISNUMBER(SEARCH({"Lookup","Master-Detail"}, $B58))) &gt; 0,$B58 &amp; "(" &amp; $E58 &amp; ")",IF(SUMPRODUCT(-- ISNUMBER(SEARCH({"Formula","Roll-Up Summary"}, $B58))) &gt; 0,$B58 &amp; " (" &amp; $E58 &amp; ")",IF(SUMPRODUCT(-- ISNUMBER(SEARCH({"Content","Currency","Number","Percent","Text","URL"}, $B58))) &gt; 0,$B58 &amp; "(" &amp; $C58 &amp; ")",$B58)))), "  ", TRIM(IF($S58 = "YES", "(External ID)", "") &amp; " " &amp; IF(SUMPRODUCT(-- ISNUMBER(SEARCH({"Unique","Unique Case Insensitive"}, $R58))) &gt; 0, "(" &amp; $R58 &amp; ")", ""))))</f>
        <v>na</v>
      </c>
      <c r="E58" s="7" t="s">
        <v>195</v>
      </c>
      <c r="F58" s="7" t="s">
        <v>195</v>
      </c>
      <c r="G58" s="7" t="s">
        <v>195</v>
      </c>
      <c r="H58" s="7" t="s">
        <v>195</v>
      </c>
      <c r="I58" s="7" t="s">
        <v>195</v>
      </c>
      <c r="J58" s="7" t="s">
        <v>195</v>
      </c>
      <c r="K58" s="7" t="s">
        <v>195</v>
      </c>
      <c r="L58" s="7" t="s">
        <v>195</v>
      </c>
      <c r="M58" s="7" t="s">
        <v>29</v>
      </c>
      <c r="N58" s="7" t="s">
        <v>29</v>
      </c>
      <c r="O58" s="7" t="s">
        <v>29</v>
      </c>
      <c r="P58" s="7" t="s">
        <v>29</v>
      </c>
      <c r="Q58" s="7" t="s">
        <v>29</v>
      </c>
      <c r="R58" s="7" t="s">
        <v>29</v>
      </c>
      <c r="S58" s="7" t="s">
        <v>29</v>
      </c>
    </row>
    <row r="59" spans="2:19">
      <c r="B59" s="7" t="s">
        <v>195</v>
      </c>
      <c r="C59" s="8" t="s">
        <v>195</v>
      </c>
      <c r="D59" s="5" t="str">
        <f>LRTRIM(CONCATENATE(IF(SUMPRODUCT(-- ISNUMBER(SEARCH({"Auto Number"}, $B59))) &gt; 0, $B59, IF(SUMPRODUCT(-- ISNUMBER(SEARCH({"Lookup","Master-Detail"}, $B59))) &gt; 0,$B59 &amp; "(" &amp; $E59 &amp; ")",IF(SUMPRODUCT(-- ISNUMBER(SEARCH({"Formula","Roll-Up Summary"}, $B59))) &gt; 0,$B59 &amp; " (" &amp; $E59 &amp; ")",IF(SUMPRODUCT(-- ISNUMBER(SEARCH({"Content","Currency","Number","Percent","Text","URL"}, $B59))) &gt; 0,$B59 &amp; "(" &amp; $C59 &amp; ")",$B59)))), "  ", TRIM(IF($S59 = "YES", "(External ID)", "") &amp; " " &amp; IF(SUMPRODUCT(-- ISNUMBER(SEARCH({"Unique","Unique Case Insensitive"}, $R59))) &gt; 0, "(" &amp; $R59 &amp; ")", ""))))</f>
        <v>na</v>
      </c>
      <c r="E59" s="7" t="s">
        <v>195</v>
      </c>
      <c r="F59" s="7" t="s">
        <v>195</v>
      </c>
      <c r="G59" s="7" t="s">
        <v>195</v>
      </c>
      <c r="H59" s="7" t="s">
        <v>195</v>
      </c>
      <c r="I59" s="7" t="s">
        <v>195</v>
      </c>
      <c r="J59" s="7" t="s">
        <v>195</v>
      </c>
      <c r="K59" s="7" t="s">
        <v>195</v>
      </c>
      <c r="L59" s="7" t="s">
        <v>195</v>
      </c>
      <c r="M59" s="7" t="s">
        <v>29</v>
      </c>
      <c r="N59" s="7" t="s">
        <v>29</v>
      </c>
      <c r="O59" s="7" t="s">
        <v>29</v>
      </c>
      <c r="P59" s="7" t="s">
        <v>29</v>
      </c>
      <c r="Q59" s="7" t="s">
        <v>29</v>
      </c>
      <c r="R59" s="7" t="s">
        <v>29</v>
      </c>
      <c r="S59" s="7" t="s">
        <v>29</v>
      </c>
    </row>
    <row r="60" spans="2:19">
      <c r="B60" s="7" t="s">
        <v>195</v>
      </c>
      <c r="C60" s="8" t="s">
        <v>195</v>
      </c>
      <c r="D60" s="5" t="str">
        <f>LRTRIM(CONCATENATE(IF(SUMPRODUCT(-- ISNUMBER(SEARCH({"Auto Number"}, $B60))) &gt; 0, $B60, IF(SUMPRODUCT(-- ISNUMBER(SEARCH({"Lookup","Master-Detail"}, $B60))) &gt; 0,$B60 &amp; "(" &amp; $E60 &amp; ")",IF(SUMPRODUCT(-- ISNUMBER(SEARCH({"Formula","Roll-Up Summary"}, $B60))) &gt; 0,$B60 &amp; " (" &amp; $E60 &amp; ")",IF(SUMPRODUCT(-- ISNUMBER(SEARCH({"Content","Currency","Number","Percent","Text","URL"}, $B60))) &gt; 0,$B60 &amp; "(" &amp; $C60 &amp; ")",$B60)))), "  ", TRIM(IF($S60 = "YES", "(External ID)", "") &amp; " " &amp; IF(SUMPRODUCT(-- ISNUMBER(SEARCH({"Unique","Unique Case Insensitive"}, $R60))) &gt; 0, "(" &amp; $R60 &amp; ")", ""))))</f>
        <v>na</v>
      </c>
      <c r="E60" s="7" t="s">
        <v>195</v>
      </c>
      <c r="F60" s="7" t="s">
        <v>195</v>
      </c>
      <c r="G60" s="7" t="s">
        <v>195</v>
      </c>
      <c r="H60" s="7" t="s">
        <v>195</v>
      </c>
      <c r="I60" s="7" t="s">
        <v>195</v>
      </c>
      <c r="J60" s="7" t="s">
        <v>195</v>
      </c>
      <c r="K60" s="7" t="s">
        <v>195</v>
      </c>
      <c r="L60" s="7" t="s">
        <v>195</v>
      </c>
      <c r="M60" s="7" t="s">
        <v>29</v>
      </c>
      <c r="N60" s="7" t="s">
        <v>29</v>
      </c>
      <c r="O60" s="7" t="s">
        <v>29</v>
      </c>
      <c r="P60" s="7" t="s">
        <v>29</v>
      </c>
      <c r="Q60" s="7" t="s">
        <v>29</v>
      </c>
      <c r="R60" s="7" t="s">
        <v>29</v>
      </c>
      <c r="S60" s="7" t="s">
        <v>29</v>
      </c>
    </row>
    <row r="61" spans="2:19">
      <c r="B61" s="7" t="s">
        <v>195</v>
      </c>
      <c r="C61" s="8" t="s">
        <v>195</v>
      </c>
      <c r="D61" s="5" t="str">
        <f>LRTRIM(CONCATENATE(IF(SUMPRODUCT(-- ISNUMBER(SEARCH({"Auto Number"}, $B61))) &gt; 0, $B61, IF(SUMPRODUCT(-- ISNUMBER(SEARCH({"Lookup","Master-Detail"}, $B61))) &gt; 0,$B61 &amp; "(" &amp; $E61 &amp; ")",IF(SUMPRODUCT(-- ISNUMBER(SEARCH({"Formula","Roll-Up Summary"}, $B61))) &gt; 0,$B61 &amp; " (" &amp; $E61 &amp; ")",IF(SUMPRODUCT(-- ISNUMBER(SEARCH({"Content","Currency","Number","Percent","Text","URL"}, $B61))) &gt; 0,$B61 &amp; "(" &amp; $C61 &amp; ")",$B61)))), "  ", TRIM(IF($S61 = "YES", "(External ID)", "") &amp; " " &amp; IF(SUMPRODUCT(-- ISNUMBER(SEARCH({"Unique","Unique Case Insensitive"}, $R61))) &gt; 0, "(" &amp; $R61 &amp; ")", ""))))</f>
        <v>na</v>
      </c>
      <c r="E61" s="7" t="s">
        <v>195</v>
      </c>
      <c r="F61" s="7" t="s">
        <v>195</v>
      </c>
      <c r="G61" s="7" t="s">
        <v>195</v>
      </c>
      <c r="H61" s="7" t="s">
        <v>195</v>
      </c>
      <c r="I61" s="7" t="s">
        <v>195</v>
      </c>
      <c r="J61" s="7" t="s">
        <v>195</v>
      </c>
      <c r="K61" s="7" t="s">
        <v>195</v>
      </c>
      <c r="L61" s="7" t="s">
        <v>195</v>
      </c>
      <c r="M61" s="7" t="s">
        <v>29</v>
      </c>
      <c r="N61" s="7" t="s">
        <v>29</v>
      </c>
      <c r="O61" s="7" t="s">
        <v>29</v>
      </c>
      <c r="P61" s="7" t="s">
        <v>29</v>
      </c>
      <c r="Q61" s="7" t="s">
        <v>29</v>
      </c>
      <c r="R61" s="7" t="s">
        <v>29</v>
      </c>
      <c r="S61" s="7" t="s">
        <v>29</v>
      </c>
    </row>
    <row r="62" spans="2:19">
      <c r="B62" s="7" t="s">
        <v>195</v>
      </c>
      <c r="C62" s="8" t="s">
        <v>195</v>
      </c>
      <c r="D62" s="5" t="str">
        <f>LRTRIM(CONCATENATE(IF(SUMPRODUCT(-- ISNUMBER(SEARCH({"Auto Number"}, $B62))) &gt; 0, $B62, IF(SUMPRODUCT(-- ISNUMBER(SEARCH({"Lookup","Master-Detail"}, $B62))) &gt; 0,$B62 &amp; "(" &amp; $E62 &amp; ")",IF(SUMPRODUCT(-- ISNUMBER(SEARCH({"Formula","Roll-Up Summary"}, $B62))) &gt; 0,$B62 &amp; " (" &amp; $E62 &amp; ")",IF(SUMPRODUCT(-- ISNUMBER(SEARCH({"Content","Currency","Number","Percent","Text","URL"}, $B62))) &gt; 0,$B62 &amp; "(" &amp; $C62 &amp; ")",$B62)))), "  ", TRIM(IF($S62 = "YES", "(External ID)", "") &amp; " " &amp; IF(SUMPRODUCT(-- ISNUMBER(SEARCH({"Unique","Unique Case Insensitive"}, $R62))) &gt; 0, "(" &amp; $R62 &amp; ")", ""))))</f>
        <v>na</v>
      </c>
      <c r="E62" s="7" t="s">
        <v>195</v>
      </c>
      <c r="F62" s="7" t="s">
        <v>195</v>
      </c>
      <c r="G62" s="7" t="s">
        <v>195</v>
      </c>
      <c r="H62" s="7" t="s">
        <v>195</v>
      </c>
      <c r="I62" s="7" t="s">
        <v>195</v>
      </c>
      <c r="J62" s="7" t="s">
        <v>195</v>
      </c>
      <c r="K62" s="7" t="s">
        <v>195</v>
      </c>
      <c r="L62" s="7" t="s">
        <v>195</v>
      </c>
      <c r="M62" s="7" t="s">
        <v>29</v>
      </c>
      <c r="N62" s="7" t="s">
        <v>29</v>
      </c>
      <c r="O62" s="7" t="s">
        <v>29</v>
      </c>
      <c r="P62" s="7" t="s">
        <v>29</v>
      </c>
      <c r="Q62" s="7" t="s">
        <v>29</v>
      </c>
      <c r="R62" s="7" t="s">
        <v>29</v>
      </c>
      <c r="S62" s="7" t="s">
        <v>29</v>
      </c>
    </row>
    <row r="63" spans="2:19">
      <c r="B63" s="7" t="s">
        <v>195</v>
      </c>
      <c r="C63" s="8" t="s">
        <v>195</v>
      </c>
      <c r="D63" s="5" t="str">
        <f>LRTRIM(CONCATENATE(IF(SUMPRODUCT(-- ISNUMBER(SEARCH({"Auto Number"}, $B63))) &gt; 0, $B63, IF(SUMPRODUCT(-- ISNUMBER(SEARCH({"Lookup","Master-Detail"}, $B63))) &gt; 0,$B63 &amp; "(" &amp; $E63 &amp; ")",IF(SUMPRODUCT(-- ISNUMBER(SEARCH({"Formula","Roll-Up Summary"}, $B63))) &gt; 0,$B63 &amp; " (" &amp; $E63 &amp; ")",IF(SUMPRODUCT(-- ISNUMBER(SEARCH({"Content","Currency","Number","Percent","Text","URL"}, $B63))) &gt; 0,$B63 &amp; "(" &amp; $C63 &amp; ")",$B63)))), "  ", TRIM(IF($S63 = "YES", "(External ID)", "") &amp; " " &amp; IF(SUMPRODUCT(-- ISNUMBER(SEARCH({"Unique","Unique Case Insensitive"}, $R63))) &gt; 0, "(" &amp; $R63 &amp; ")", ""))))</f>
        <v>na</v>
      </c>
      <c r="E63" s="7" t="s">
        <v>195</v>
      </c>
      <c r="F63" s="7" t="s">
        <v>195</v>
      </c>
      <c r="G63" s="7" t="s">
        <v>195</v>
      </c>
      <c r="H63" s="7" t="s">
        <v>195</v>
      </c>
      <c r="I63" s="7" t="s">
        <v>195</v>
      </c>
      <c r="J63" s="7" t="s">
        <v>195</v>
      </c>
      <c r="K63" s="7" t="s">
        <v>195</v>
      </c>
      <c r="L63" s="7" t="s">
        <v>195</v>
      </c>
      <c r="M63" s="7" t="s">
        <v>29</v>
      </c>
      <c r="N63" s="7" t="s">
        <v>29</v>
      </c>
      <c r="O63" s="7" t="s">
        <v>29</v>
      </c>
      <c r="P63" s="7" t="s">
        <v>29</v>
      </c>
      <c r="Q63" s="7" t="s">
        <v>29</v>
      </c>
      <c r="R63" s="7" t="s">
        <v>29</v>
      </c>
      <c r="S63" s="7" t="s">
        <v>29</v>
      </c>
    </row>
    <row r="64" spans="2:19">
      <c r="B64" s="7" t="s">
        <v>195</v>
      </c>
      <c r="C64" s="8" t="s">
        <v>195</v>
      </c>
      <c r="D64" s="5" t="str">
        <f>LRTRIM(CONCATENATE(IF(SUMPRODUCT(-- ISNUMBER(SEARCH({"Auto Number"}, $B64))) &gt; 0, $B64, IF(SUMPRODUCT(-- ISNUMBER(SEARCH({"Lookup","Master-Detail"}, $B64))) &gt; 0,$B64 &amp; "(" &amp; $E64 &amp; ")",IF(SUMPRODUCT(-- ISNUMBER(SEARCH({"Formula","Roll-Up Summary"}, $B64))) &gt; 0,$B64 &amp; " (" &amp; $E64 &amp; ")",IF(SUMPRODUCT(-- ISNUMBER(SEARCH({"Content","Currency","Number","Percent","Text","URL"}, $B64))) &gt; 0,$B64 &amp; "(" &amp; $C64 &amp; ")",$B64)))), "  ", TRIM(IF($S64 = "YES", "(External ID)", "") &amp; " " &amp; IF(SUMPRODUCT(-- ISNUMBER(SEARCH({"Unique","Unique Case Insensitive"}, $R64))) &gt; 0, "(" &amp; $R64 &amp; ")", ""))))</f>
        <v>na</v>
      </c>
      <c r="E64" s="7" t="s">
        <v>195</v>
      </c>
      <c r="F64" s="7" t="s">
        <v>195</v>
      </c>
      <c r="G64" s="7" t="s">
        <v>195</v>
      </c>
      <c r="H64" s="7" t="s">
        <v>195</v>
      </c>
      <c r="I64" s="7" t="s">
        <v>195</v>
      </c>
      <c r="J64" s="7" t="s">
        <v>195</v>
      </c>
      <c r="K64" s="7" t="s">
        <v>195</v>
      </c>
      <c r="L64" s="7" t="s">
        <v>195</v>
      </c>
      <c r="M64" s="7" t="s">
        <v>29</v>
      </c>
      <c r="N64" s="7" t="s">
        <v>29</v>
      </c>
      <c r="O64" s="7" t="s">
        <v>29</v>
      </c>
      <c r="P64" s="7" t="s">
        <v>29</v>
      </c>
      <c r="Q64" s="7" t="s">
        <v>29</v>
      </c>
      <c r="R64" s="7" t="s">
        <v>29</v>
      </c>
      <c r="S64" s="7" t="s">
        <v>29</v>
      </c>
    </row>
    <row r="65" spans="2:19">
      <c r="B65" s="7" t="s">
        <v>195</v>
      </c>
      <c r="C65" s="8" t="s">
        <v>195</v>
      </c>
      <c r="D65" s="5" t="str">
        <f>LRTRIM(CONCATENATE(IF(SUMPRODUCT(-- ISNUMBER(SEARCH({"Auto Number"}, $B65))) &gt; 0, $B65, IF(SUMPRODUCT(-- ISNUMBER(SEARCH({"Lookup","Master-Detail"}, $B65))) &gt; 0,$B65 &amp; "(" &amp; $E65 &amp; ")",IF(SUMPRODUCT(-- ISNUMBER(SEARCH({"Formula","Roll-Up Summary"}, $B65))) &gt; 0,$B65 &amp; " (" &amp; $E65 &amp; ")",IF(SUMPRODUCT(-- ISNUMBER(SEARCH({"Content","Currency","Number","Percent","Text","URL"}, $B65))) &gt; 0,$B65 &amp; "(" &amp; $C65 &amp; ")",$B65)))), "  ", TRIM(IF($S65 = "YES", "(External ID)", "") &amp; " " &amp; IF(SUMPRODUCT(-- ISNUMBER(SEARCH({"Unique","Unique Case Insensitive"}, $R65))) &gt; 0, "(" &amp; $R65 &amp; ")", ""))))</f>
        <v>na</v>
      </c>
      <c r="E65" s="7" t="s">
        <v>195</v>
      </c>
      <c r="F65" s="7" t="s">
        <v>195</v>
      </c>
      <c r="G65" s="7" t="s">
        <v>195</v>
      </c>
      <c r="H65" s="7" t="s">
        <v>195</v>
      </c>
      <c r="I65" s="7" t="s">
        <v>195</v>
      </c>
      <c r="J65" s="7" t="s">
        <v>195</v>
      </c>
      <c r="K65" s="7" t="s">
        <v>195</v>
      </c>
      <c r="L65" s="7" t="s">
        <v>195</v>
      </c>
      <c r="M65" s="7" t="s">
        <v>29</v>
      </c>
      <c r="N65" s="7" t="s">
        <v>29</v>
      </c>
      <c r="O65" s="7" t="s">
        <v>29</v>
      </c>
      <c r="P65" s="7" t="s">
        <v>29</v>
      </c>
      <c r="Q65" s="7" t="s">
        <v>29</v>
      </c>
      <c r="R65" s="7" t="s">
        <v>29</v>
      </c>
      <c r="S65" s="7" t="s">
        <v>29</v>
      </c>
    </row>
    <row r="66" spans="2:19">
      <c r="B66" s="7" t="s">
        <v>195</v>
      </c>
      <c r="C66" s="8" t="s">
        <v>195</v>
      </c>
      <c r="D66" s="5" t="str">
        <f>LRTRIM(CONCATENATE(IF(SUMPRODUCT(-- ISNUMBER(SEARCH({"Auto Number"}, $B66))) &gt; 0, $B66, IF(SUMPRODUCT(-- ISNUMBER(SEARCH({"Lookup","Master-Detail"}, $B66))) &gt; 0,$B66 &amp; "(" &amp; $E66 &amp; ")",IF(SUMPRODUCT(-- ISNUMBER(SEARCH({"Formula","Roll-Up Summary"}, $B66))) &gt; 0,$B66 &amp; " (" &amp; $E66 &amp; ")",IF(SUMPRODUCT(-- ISNUMBER(SEARCH({"Content","Currency","Number","Percent","Text","URL"}, $B66))) &gt; 0,$B66 &amp; "(" &amp; $C66 &amp; ")",$B66)))), "  ", TRIM(IF($S66 = "YES", "(External ID)", "") &amp; " " &amp; IF(SUMPRODUCT(-- ISNUMBER(SEARCH({"Unique","Unique Case Insensitive"}, $R66))) &gt; 0, "(" &amp; $R66 &amp; ")", ""))))</f>
        <v>na</v>
      </c>
      <c r="E66" s="7" t="s">
        <v>195</v>
      </c>
      <c r="F66" s="7" t="s">
        <v>195</v>
      </c>
      <c r="G66" s="7" t="s">
        <v>195</v>
      </c>
      <c r="H66" s="7" t="s">
        <v>195</v>
      </c>
      <c r="I66" s="7" t="s">
        <v>195</v>
      </c>
      <c r="J66" s="7" t="s">
        <v>195</v>
      </c>
      <c r="K66" s="7" t="s">
        <v>195</v>
      </c>
      <c r="L66" s="7" t="s">
        <v>195</v>
      </c>
      <c r="M66" s="7" t="s">
        <v>29</v>
      </c>
      <c r="N66" s="7" t="s">
        <v>29</v>
      </c>
      <c r="O66" s="7" t="s">
        <v>29</v>
      </c>
      <c r="P66" s="7" t="s">
        <v>29</v>
      </c>
      <c r="Q66" s="7" t="s">
        <v>29</v>
      </c>
      <c r="R66" s="7" t="s">
        <v>29</v>
      </c>
      <c r="S66" s="7" t="s">
        <v>29</v>
      </c>
    </row>
    <row r="67" spans="2:19">
      <c r="B67" s="7" t="s">
        <v>195</v>
      </c>
      <c r="C67" s="8" t="s">
        <v>195</v>
      </c>
      <c r="D67" s="5" t="str">
        <f>LRTRIM(CONCATENATE(IF(SUMPRODUCT(-- ISNUMBER(SEARCH({"Auto Number"}, $B67))) &gt; 0, $B67, IF(SUMPRODUCT(-- ISNUMBER(SEARCH({"Lookup","Master-Detail"}, $B67))) &gt; 0,$B67 &amp; "(" &amp; $E67 &amp; ")",IF(SUMPRODUCT(-- ISNUMBER(SEARCH({"Formula","Roll-Up Summary"}, $B67))) &gt; 0,$B67 &amp; " (" &amp; $E67 &amp; ")",IF(SUMPRODUCT(-- ISNUMBER(SEARCH({"Content","Currency","Number","Percent","Text","URL"}, $B67))) &gt; 0,$B67 &amp; "(" &amp; $C67 &amp; ")",$B67)))), "  ", TRIM(IF($S67 = "YES", "(External ID)", "") &amp; " " &amp; IF(SUMPRODUCT(-- ISNUMBER(SEARCH({"Unique","Unique Case Insensitive"}, $R67))) &gt; 0, "(" &amp; $R67 &amp; ")", ""))))</f>
        <v>na</v>
      </c>
      <c r="E67" s="7" t="s">
        <v>195</v>
      </c>
      <c r="F67" s="7" t="s">
        <v>195</v>
      </c>
      <c r="G67" s="7" t="s">
        <v>195</v>
      </c>
      <c r="H67" s="7" t="s">
        <v>195</v>
      </c>
      <c r="I67" s="7" t="s">
        <v>195</v>
      </c>
      <c r="J67" s="7" t="s">
        <v>195</v>
      </c>
      <c r="K67" s="7" t="s">
        <v>195</v>
      </c>
      <c r="L67" s="7" t="s">
        <v>195</v>
      </c>
      <c r="M67" s="7" t="s">
        <v>29</v>
      </c>
      <c r="N67" s="7" t="s">
        <v>29</v>
      </c>
      <c r="O67" s="7" t="s">
        <v>29</v>
      </c>
      <c r="P67" s="7" t="s">
        <v>29</v>
      </c>
      <c r="Q67" s="7" t="s">
        <v>29</v>
      </c>
      <c r="R67" s="7" t="s">
        <v>29</v>
      </c>
      <c r="S67" s="7" t="s">
        <v>29</v>
      </c>
    </row>
    <row r="68" spans="2:19">
      <c r="B68" s="7" t="s">
        <v>195</v>
      </c>
      <c r="C68" s="8" t="s">
        <v>195</v>
      </c>
      <c r="D68" s="5" t="str">
        <f>LRTRIM(CONCATENATE(IF(SUMPRODUCT(-- ISNUMBER(SEARCH({"Auto Number"}, $B68))) &gt; 0, $B68, IF(SUMPRODUCT(-- ISNUMBER(SEARCH({"Lookup","Master-Detail"}, $B68))) &gt; 0,$B68 &amp; "(" &amp; $E68 &amp; ")",IF(SUMPRODUCT(-- ISNUMBER(SEARCH({"Formula","Roll-Up Summary"}, $B68))) &gt; 0,$B68 &amp; " (" &amp; $E68 &amp; ")",IF(SUMPRODUCT(-- ISNUMBER(SEARCH({"Content","Currency","Number","Percent","Text","URL"}, $B68))) &gt; 0,$B68 &amp; "(" &amp; $C68 &amp; ")",$B68)))), "  ", TRIM(IF($S68 = "YES", "(External ID)", "") &amp; " " &amp; IF(SUMPRODUCT(-- ISNUMBER(SEARCH({"Unique","Unique Case Insensitive"}, $R68))) &gt; 0, "(" &amp; $R68 &amp; ")", ""))))</f>
        <v>na</v>
      </c>
      <c r="E68" s="7" t="s">
        <v>195</v>
      </c>
      <c r="F68" s="7" t="s">
        <v>195</v>
      </c>
      <c r="G68" s="7" t="s">
        <v>195</v>
      </c>
      <c r="H68" s="7" t="s">
        <v>195</v>
      </c>
      <c r="I68" s="7" t="s">
        <v>195</v>
      </c>
      <c r="J68" s="7" t="s">
        <v>195</v>
      </c>
      <c r="K68" s="7" t="s">
        <v>195</v>
      </c>
      <c r="L68" s="7" t="s">
        <v>195</v>
      </c>
      <c r="M68" s="7" t="s">
        <v>29</v>
      </c>
      <c r="N68" s="7" t="s">
        <v>29</v>
      </c>
      <c r="O68" s="7" t="s">
        <v>29</v>
      </c>
      <c r="P68" s="7" t="s">
        <v>29</v>
      </c>
      <c r="Q68" s="7" t="s">
        <v>29</v>
      </c>
      <c r="R68" s="7" t="s">
        <v>29</v>
      </c>
      <c r="S68" s="7" t="s">
        <v>29</v>
      </c>
    </row>
    <row r="69" spans="2:19">
      <c r="B69" s="7" t="s">
        <v>195</v>
      </c>
      <c r="C69" s="8" t="s">
        <v>195</v>
      </c>
      <c r="D69" s="5" t="str">
        <f>LRTRIM(CONCATENATE(IF(SUMPRODUCT(-- ISNUMBER(SEARCH({"Auto Number"}, $B69))) &gt; 0, $B69, IF(SUMPRODUCT(-- ISNUMBER(SEARCH({"Lookup","Master-Detail"}, $B69))) &gt; 0,$B69 &amp; "(" &amp; $E69 &amp; ")",IF(SUMPRODUCT(-- ISNUMBER(SEARCH({"Formula","Roll-Up Summary"}, $B69))) &gt; 0,$B69 &amp; " (" &amp; $E69 &amp; ")",IF(SUMPRODUCT(-- ISNUMBER(SEARCH({"Content","Currency","Number","Percent","Text","URL"}, $B69))) &gt; 0,$B69 &amp; "(" &amp; $C69 &amp; ")",$B69)))), "  ", TRIM(IF($S69 = "YES", "(External ID)", "") &amp; " " &amp; IF(SUMPRODUCT(-- ISNUMBER(SEARCH({"Unique","Unique Case Insensitive"}, $R69))) &gt; 0, "(" &amp; $R69 &amp; ")", ""))))</f>
        <v>na</v>
      </c>
      <c r="E69" s="7" t="s">
        <v>195</v>
      </c>
      <c r="F69" s="7" t="s">
        <v>195</v>
      </c>
      <c r="G69" s="7" t="s">
        <v>195</v>
      </c>
      <c r="H69" s="7" t="s">
        <v>195</v>
      </c>
      <c r="I69" s="7" t="s">
        <v>195</v>
      </c>
      <c r="J69" s="7" t="s">
        <v>195</v>
      </c>
      <c r="K69" s="7" t="s">
        <v>195</v>
      </c>
      <c r="L69" s="7" t="s">
        <v>195</v>
      </c>
      <c r="M69" s="7" t="s">
        <v>29</v>
      </c>
      <c r="N69" s="7" t="s">
        <v>29</v>
      </c>
      <c r="O69" s="7" t="s">
        <v>29</v>
      </c>
      <c r="P69" s="7" t="s">
        <v>29</v>
      </c>
      <c r="Q69" s="7" t="s">
        <v>29</v>
      </c>
      <c r="R69" s="7" t="s">
        <v>29</v>
      </c>
      <c r="S69" s="7" t="s">
        <v>29</v>
      </c>
    </row>
    <row r="70" spans="2:19">
      <c r="B70" s="7" t="s">
        <v>195</v>
      </c>
      <c r="C70" s="8" t="s">
        <v>195</v>
      </c>
      <c r="D70" s="5" t="str">
        <f>LRTRIM(CONCATENATE(IF(SUMPRODUCT(-- ISNUMBER(SEARCH({"Auto Number"}, $B70))) &gt; 0, $B70, IF(SUMPRODUCT(-- ISNUMBER(SEARCH({"Lookup","Master-Detail"}, $B70))) &gt; 0,$B70 &amp; "(" &amp; $E70 &amp; ")",IF(SUMPRODUCT(-- ISNUMBER(SEARCH({"Formula","Roll-Up Summary"}, $B70))) &gt; 0,$B70 &amp; " (" &amp; $E70 &amp; ")",IF(SUMPRODUCT(-- ISNUMBER(SEARCH({"Content","Currency","Number","Percent","Text","URL"}, $B70))) &gt; 0,$B70 &amp; "(" &amp; $C70 &amp; ")",$B70)))), "  ", TRIM(IF($S70 = "YES", "(External ID)", "") &amp; " " &amp; IF(SUMPRODUCT(-- ISNUMBER(SEARCH({"Unique","Unique Case Insensitive"}, $R70))) &gt; 0, "(" &amp; $R70 &amp; ")", ""))))</f>
        <v>na</v>
      </c>
      <c r="E70" s="7" t="s">
        <v>195</v>
      </c>
      <c r="F70" s="7" t="s">
        <v>195</v>
      </c>
      <c r="G70" s="7" t="s">
        <v>195</v>
      </c>
      <c r="H70" s="7" t="s">
        <v>195</v>
      </c>
      <c r="I70" s="7" t="s">
        <v>195</v>
      </c>
      <c r="J70" s="7" t="s">
        <v>195</v>
      </c>
      <c r="K70" s="7" t="s">
        <v>195</v>
      </c>
      <c r="L70" s="7" t="s">
        <v>195</v>
      </c>
      <c r="M70" s="7" t="s">
        <v>29</v>
      </c>
      <c r="N70" s="7" t="s">
        <v>29</v>
      </c>
      <c r="O70" s="7" t="s">
        <v>29</v>
      </c>
      <c r="P70" s="7" t="s">
        <v>29</v>
      </c>
      <c r="Q70" s="7" t="s">
        <v>29</v>
      </c>
      <c r="R70" s="7" t="s">
        <v>29</v>
      </c>
      <c r="S70" s="7" t="s">
        <v>29</v>
      </c>
    </row>
    <row r="71" spans="2:19">
      <c r="B71" s="7" t="s">
        <v>195</v>
      </c>
      <c r="C71" s="8" t="s">
        <v>195</v>
      </c>
      <c r="D71" s="5" t="str">
        <f>LRTRIM(CONCATENATE(IF(SUMPRODUCT(-- ISNUMBER(SEARCH({"Auto Number"}, $B71))) &gt; 0, $B71, IF(SUMPRODUCT(-- ISNUMBER(SEARCH({"Lookup","Master-Detail"}, $B71))) &gt; 0,$B71 &amp; "(" &amp; $E71 &amp; ")",IF(SUMPRODUCT(-- ISNUMBER(SEARCH({"Formula","Roll-Up Summary"}, $B71))) &gt; 0,$B71 &amp; " (" &amp; $E71 &amp; ")",IF(SUMPRODUCT(-- ISNUMBER(SEARCH({"Content","Currency","Number","Percent","Text","URL"}, $B71))) &gt; 0,$B71 &amp; "(" &amp; $C71 &amp; ")",$B71)))), "  ", TRIM(IF($S71 = "YES", "(External ID)", "") &amp; " " &amp; IF(SUMPRODUCT(-- ISNUMBER(SEARCH({"Unique","Unique Case Insensitive"}, $R71))) &gt; 0, "(" &amp; $R71 &amp; ")", ""))))</f>
        <v>na</v>
      </c>
      <c r="E71" s="7" t="s">
        <v>195</v>
      </c>
      <c r="F71" s="7" t="s">
        <v>195</v>
      </c>
      <c r="G71" s="7" t="s">
        <v>195</v>
      </c>
      <c r="H71" s="7" t="s">
        <v>195</v>
      </c>
      <c r="I71" s="7" t="s">
        <v>195</v>
      </c>
      <c r="J71" s="7" t="s">
        <v>195</v>
      </c>
      <c r="K71" s="7" t="s">
        <v>195</v>
      </c>
      <c r="L71" s="7" t="s">
        <v>195</v>
      </c>
      <c r="M71" s="7" t="s">
        <v>29</v>
      </c>
      <c r="N71" s="7" t="s">
        <v>29</v>
      </c>
      <c r="O71" s="7" t="s">
        <v>29</v>
      </c>
      <c r="P71" s="7" t="s">
        <v>29</v>
      </c>
      <c r="Q71" s="7" t="s">
        <v>29</v>
      </c>
      <c r="R71" s="7" t="s">
        <v>29</v>
      </c>
      <c r="S71" s="7" t="s">
        <v>29</v>
      </c>
    </row>
    <row r="72" spans="2:19">
      <c r="B72" s="7" t="s">
        <v>195</v>
      </c>
      <c r="C72" s="8" t="s">
        <v>195</v>
      </c>
      <c r="D72" s="5" t="str">
        <f>LRTRIM(CONCATENATE(IF(SUMPRODUCT(-- ISNUMBER(SEARCH({"Auto Number"}, $B72))) &gt; 0, $B72, IF(SUMPRODUCT(-- ISNUMBER(SEARCH({"Lookup","Master-Detail"}, $B72))) &gt; 0,$B72 &amp; "(" &amp; $E72 &amp; ")",IF(SUMPRODUCT(-- ISNUMBER(SEARCH({"Formula","Roll-Up Summary"}, $B72))) &gt; 0,$B72 &amp; " (" &amp; $E72 &amp; ")",IF(SUMPRODUCT(-- ISNUMBER(SEARCH({"Content","Currency","Number","Percent","Text","URL"}, $B72))) &gt; 0,$B72 &amp; "(" &amp; $C72 &amp; ")",$B72)))), "  ", TRIM(IF($S72 = "YES", "(External ID)", "") &amp; " " &amp; IF(SUMPRODUCT(-- ISNUMBER(SEARCH({"Unique","Unique Case Insensitive"}, $R72))) &gt; 0, "(" &amp; $R72 &amp; ")", ""))))</f>
        <v>na</v>
      </c>
      <c r="E72" s="7" t="s">
        <v>195</v>
      </c>
      <c r="F72" s="7" t="s">
        <v>195</v>
      </c>
      <c r="G72" s="7" t="s">
        <v>195</v>
      </c>
      <c r="H72" s="7" t="s">
        <v>195</v>
      </c>
      <c r="I72" s="7" t="s">
        <v>195</v>
      </c>
      <c r="J72" s="7" t="s">
        <v>195</v>
      </c>
      <c r="K72" s="7" t="s">
        <v>195</v>
      </c>
      <c r="L72" s="7" t="s">
        <v>195</v>
      </c>
      <c r="M72" s="7" t="s">
        <v>29</v>
      </c>
      <c r="N72" s="7" t="s">
        <v>29</v>
      </c>
      <c r="O72" s="7" t="s">
        <v>29</v>
      </c>
      <c r="P72" s="7" t="s">
        <v>29</v>
      </c>
      <c r="Q72" s="7" t="s">
        <v>29</v>
      </c>
      <c r="R72" s="7" t="s">
        <v>29</v>
      </c>
      <c r="S72" s="7" t="s">
        <v>29</v>
      </c>
    </row>
    <row r="73" spans="2:19">
      <c r="B73" s="7" t="s">
        <v>195</v>
      </c>
      <c r="C73" s="8" t="s">
        <v>195</v>
      </c>
      <c r="D73" s="5" t="str">
        <f>LRTRIM(CONCATENATE(IF(SUMPRODUCT(-- ISNUMBER(SEARCH({"Auto Number"}, $B73))) &gt; 0, $B73, IF(SUMPRODUCT(-- ISNUMBER(SEARCH({"Lookup","Master-Detail"}, $B73))) &gt; 0,$B73 &amp; "(" &amp; $E73 &amp; ")",IF(SUMPRODUCT(-- ISNUMBER(SEARCH({"Formula","Roll-Up Summary"}, $B73))) &gt; 0,$B73 &amp; " (" &amp; $E73 &amp; ")",IF(SUMPRODUCT(-- ISNUMBER(SEARCH({"Content","Currency","Number","Percent","Text","URL"}, $B73))) &gt; 0,$B73 &amp; "(" &amp; $C73 &amp; ")",$B73)))), "  ", TRIM(IF($S73 = "YES", "(External ID)", "") &amp; " " &amp; IF(SUMPRODUCT(-- ISNUMBER(SEARCH({"Unique","Unique Case Insensitive"}, $R73))) &gt; 0, "(" &amp; $R73 &amp; ")", ""))))</f>
        <v>na</v>
      </c>
      <c r="E73" s="7" t="s">
        <v>195</v>
      </c>
      <c r="F73" s="7" t="s">
        <v>195</v>
      </c>
      <c r="G73" s="7" t="s">
        <v>195</v>
      </c>
      <c r="H73" s="7" t="s">
        <v>195</v>
      </c>
      <c r="I73" s="7" t="s">
        <v>195</v>
      </c>
      <c r="J73" s="7" t="s">
        <v>195</v>
      </c>
      <c r="K73" s="7" t="s">
        <v>195</v>
      </c>
      <c r="L73" s="7" t="s">
        <v>195</v>
      </c>
      <c r="M73" s="7" t="s">
        <v>29</v>
      </c>
      <c r="N73" s="7" t="s">
        <v>29</v>
      </c>
      <c r="O73" s="7" t="s">
        <v>29</v>
      </c>
      <c r="P73" s="7" t="s">
        <v>29</v>
      </c>
      <c r="Q73" s="7" t="s">
        <v>29</v>
      </c>
      <c r="R73" s="7" t="s">
        <v>29</v>
      </c>
      <c r="S73" s="7" t="s">
        <v>29</v>
      </c>
    </row>
    <row r="74" spans="2:19">
      <c r="B74" s="7" t="s">
        <v>195</v>
      </c>
      <c r="C74" s="8" t="s">
        <v>195</v>
      </c>
      <c r="D74" s="5" t="str">
        <f>LRTRIM(CONCATENATE(IF(SUMPRODUCT(-- ISNUMBER(SEARCH({"Auto Number"}, $B74))) &gt; 0, $B74, IF(SUMPRODUCT(-- ISNUMBER(SEARCH({"Lookup","Master-Detail"}, $B74))) &gt; 0,$B74 &amp; "(" &amp; $E74 &amp; ")",IF(SUMPRODUCT(-- ISNUMBER(SEARCH({"Formula","Roll-Up Summary"}, $B74))) &gt; 0,$B74 &amp; " (" &amp; $E74 &amp; ")",IF(SUMPRODUCT(-- ISNUMBER(SEARCH({"Content","Currency","Number","Percent","Text","URL"}, $B74))) &gt; 0,$B74 &amp; "(" &amp; $C74 &amp; ")",$B74)))), "  ", TRIM(IF($S74 = "YES", "(External ID)", "") &amp; " " &amp; IF(SUMPRODUCT(-- ISNUMBER(SEARCH({"Unique","Unique Case Insensitive"}, $R74))) &gt; 0, "(" &amp; $R74 &amp; ")", ""))))</f>
        <v>na</v>
      </c>
      <c r="E74" s="7" t="s">
        <v>195</v>
      </c>
      <c r="F74" s="7" t="s">
        <v>195</v>
      </c>
      <c r="G74" s="7" t="s">
        <v>195</v>
      </c>
      <c r="H74" s="7" t="s">
        <v>195</v>
      </c>
      <c r="I74" s="7" t="s">
        <v>195</v>
      </c>
      <c r="J74" s="7" t="s">
        <v>195</v>
      </c>
      <c r="K74" s="7" t="s">
        <v>195</v>
      </c>
      <c r="L74" s="7" t="s">
        <v>195</v>
      </c>
      <c r="M74" s="7" t="s">
        <v>29</v>
      </c>
      <c r="N74" s="7" t="s">
        <v>29</v>
      </c>
      <c r="O74" s="7" t="s">
        <v>29</v>
      </c>
      <c r="P74" s="7" t="s">
        <v>29</v>
      </c>
      <c r="Q74" s="7" t="s">
        <v>29</v>
      </c>
      <c r="R74" s="7" t="s">
        <v>29</v>
      </c>
      <c r="S74" s="7" t="s">
        <v>29</v>
      </c>
    </row>
    <row r="75" spans="2:19">
      <c r="B75" s="7" t="s">
        <v>195</v>
      </c>
      <c r="C75" s="8" t="s">
        <v>195</v>
      </c>
      <c r="D75" s="5" t="str">
        <f>LRTRIM(CONCATENATE(IF(SUMPRODUCT(-- ISNUMBER(SEARCH({"Auto Number"}, $B75))) &gt; 0, $B75, IF(SUMPRODUCT(-- ISNUMBER(SEARCH({"Lookup","Master-Detail"}, $B75))) &gt; 0,$B75 &amp; "(" &amp; $E75 &amp; ")",IF(SUMPRODUCT(-- ISNUMBER(SEARCH({"Formula","Roll-Up Summary"}, $B75))) &gt; 0,$B75 &amp; " (" &amp; $E75 &amp; ")",IF(SUMPRODUCT(-- ISNUMBER(SEARCH({"Content","Currency","Number","Percent","Text","URL"}, $B75))) &gt; 0,$B75 &amp; "(" &amp; $C75 &amp; ")",$B75)))), "  ", TRIM(IF($S75 = "YES", "(External ID)", "") &amp; " " &amp; IF(SUMPRODUCT(-- ISNUMBER(SEARCH({"Unique","Unique Case Insensitive"}, $R75))) &gt; 0, "(" &amp; $R75 &amp; ")", ""))))</f>
        <v>na</v>
      </c>
      <c r="E75" s="7" t="s">
        <v>195</v>
      </c>
      <c r="F75" s="7" t="s">
        <v>195</v>
      </c>
      <c r="G75" s="7" t="s">
        <v>195</v>
      </c>
      <c r="H75" s="7" t="s">
        <v>195</v>
      </c>
      <c r="I75" s="7" t="s">
        <v>195</v>
      </c>
      <c r="J75" s="7" t="s">
        <v>195</v>
      </c>
      <c r="K75" s="7" t="s">
        <v>195</v>
      </c>
      <c r="L75" s="7" t="s">
        <v>195</v>
      </c>
      <c r="M75" s="7" t="s">
        <v>29</v>
      </c>
      <c r="N75" s="7" t="s">
        <v>29</v>
      </c>
      <c r="O75" s="7" t="s">
        <v>29</v>
      </c>
      <c r="P75" s="7" t="s">
        <v>29</v>
      </c>
      <c r="Q75" s="7" t="s">
        <v>29</v>
      </c>
      <c r="R75" s="7" t="s">
        <v>29</v>
      </c>
      <c r="S75" s="7" t="s">
        <v>29</v>
      </c>
    </row>
    <row r="76" spans="2:19">
      <c r="B76" s="7" t="s">
        <v>195</v>
      </c>
      <c r="C76" s="8" t="s">
        <v>195</v>
      </c>
      <c r="D76" s="5" t="str">
        <f>LRTRIM(CONCATENATE(IF(SUMPRODUCT(-- ISNUMBER(SEARCH({"Auto Number"}, $B76))) &gt; 0, $B76, IF(SUMPRODUCT(-- ISNUMBER(SEARCH({"Lookup","Master-Detail"}, $B76))) &gt; 0,$B76 &amp; "(" &amp; $E76 &amp; ")",IF(SUMPRODUCT(-- ISNUMBER(SEARCH({"Formula","Roll-Up Summary"}, $B76))) &gt; 0,$B76 &amp; " (" &amp; $E76 &amp; ")",IF(SUMPRODUCT(-- ISNUMBER(SEARCH({"Content","Currency","Number","Percent","Text","URL"}, $B76))) &gt; 0,$B76 &amp; "(" &amp; $C76 &amp; ")",$B76)))), "  ", TRIM(IF($S76 = "YES", "(External ID)", "") &amp; " " &amp; IF(SUMPRODUCT(-- ISNUMBER(SEARCH({"Unique","Unique Case Insensitive"}, $R76))) &gt; 0, "(" &amp; $R76 &amp; ")", ""))))</f>
        <v>na</v>
      </c>
      <c r="E76" s="7" t="s">
        <v>195</v>
      </c>
      <c r="F76" s="7" t="s">
        <v>195</v>
      </c>
      <c r="G76" s="7" t="s">
        <v>195</v>
      </c>
      <c r="H76" s="7" t="s">
        <v>195</v>
      </c>
      <c r="I76" s="7" t="s">
        <v>195</v>
      </c>
      <c r="J76" s="7" t="s">
        <v>195</v>
      </c>
      <c r="K76" s="7" t="s">
        <v>195</v>
      </c>
      <c r="L76" s="7" t="s">
        <v>195</v>
      </c>
      <c r="M76" s="7" t="s">
        <v>29</v>
      </c>
      <c r="N76" s="7" t="s">
        <v>29</v>
      </c>
      <c r="O76" s="7" t="s">
        <v>29</v>
      </c>
      <c r="P76" s="7" t="s">
        <v>29</v>
      </c>
      <c r="Q76" s="7" t="s">
        <v>29</v>
      </c>
      <c r="R76" s="7" t="s">
        <v>29</v>
      </c>
      <c r="S76" s="7" t="s">
        <v>29</v>
      </c>
    </row>
    <row r="77" spans="2:19">
      <c r="B77" s="7" t="s">
        <v>195</v>
      </c>
      <c r="C77" s="8" t="s">
        <v>195</v>
      </c>
      <c r="D77" s="5" t="str">
        <f>LRTRIM(CONCATENATE(IF(SUMPRODUCT(-- ISNUMBER(SEARCH({"Auto Number"}, $B77))) &gt; 0, $B77, IF(SUMPRODUCT(-- ISNUMBER(SEARCH({"Lookup","Master-Detail"}, $B77))) &gt; 0,$B77 &amp; "(" &amp; $E77 &amp; ")",IF(SUMPRODUCT(-- ISNUMBER(SEARCH({"Formula","Roll-Up Summary"}, $B77))) &gt; 0,$B77 &amp; " (" &amp; $E77 &amp; ")",IF(SUMPRODUCT(-- ISNUMBER(SEARCH({"Content","Currency","Number","Percent","Text","URL"}, $B77))) &gt; 0,$B77 &amp; "(" &amp; $C77 &amp; ")",$B77)))), "  ", TRIM(IF($S77 = "YES", "(External ID)", "") &amp; " " &amp; IF(SUMPRODUCT(-- ISNUMBER(SEARCH({"Unique","Unique Case Insensitive"}, $R77))) &gt; 0, "(" &amp; $R77 &amp; ")", ""))))</f>
        <v>na</v>
      </c>
      <c r="E77" s="7" t="s">
        <v>195</v>
      </c>
      <c r="F77" s="7" t="s">
        <v>195</v>
      </c>
      <c r="G77" s="7" t="s">
        <v>195</v>
      </c>
      <c r="H77" s="7" t="s">
        <v>195</v>
      </c>
      <c r="I77" s="7" t="s">
        <v>195</v>
      </c>
      <c r="J77" s="7" t="s">
        <v>195</v>
      </c>
      <c r="K77" s="7" t="s">
        <v>195</v>
      </c>
      <c r="L77" s="7" t="s">
        <v>195</v>
      </c>
      <c r="M77" s="7" t="s">
        <v>29</v>
      </c>
      <c r="N77" s="7" t="s">
        <v>29</v>
      </c>
      <c r="O77" s="7" t="s">
        <v>29</v>
      </c>
      <c r="P77" s="7" t="s">
        <v>29</v>
      </c>
      <c r="Q77" s="7" t="s">
        <v>29</v>
      </c>
      <c r="R77" s="7" t="s">
        <v>29</v>
      </c>
      <c r="S77" s="7" t="s">
        <v>29</v>
      </c>
    </row>
    <row r="78" spans="2:19">
      <c r="B78" s="7" t="s">
        <v>195</v>
      </c>
      <c r="C78" s="8" t="s">
        <v>195</v>
      </c>
      <c r="D78" s="5" t="str">
        <f>LRTRIM(CONCATENATE(IF(SUMPRODUCT(-- ISNUMBER(SEARCH({"Auto Number"}, $B78))) &gt; 0, $B78, IF(SUMPRODUCT(-- ISNUMBER(SEARCH({"Lookup","Master-Detail"}, $B78))) &gt; 0,$B78 &amp; "(" &amp; $E78 &amp; ")",IF(SUMPRODUCT(-- ISNUMBER(SEARCH({"Formula","Roll-Up Summary"}, $B78))) &gt; 0,$B78 &amp; " (" &amp; $E78 &amp; ")",IF(SUMPRODUCT(-- ISNUMBER(SEARCH({"Content","Currency","Number","Percent","Text","URL"}, $B78))) &gt; 0,$B78 &amp; "(" &amp; $C78 &amp; ")",$B78)))), "  ", TRIM(IF($S78 = "YES", "(External ID)", "") &amp; " " &amp; IF(SUMPRODUCT(-- ISNUMBER(SEARCH({"Unique","Unique Case Insensitive"}, $R78))) &gt; 0, "(" &amp; $R78 &amp; ")", ""))))</f>
        <v>na</v>
      </c>
      <c r="E78" s="7" t="s">
        <v>195</v>
      </c>
      <c r="F78" s="7" t="s">
        <v>195</v>
      </c>
      <c r="G78" s="7" t="s">
        <v>195</v>
      </c>
      <c r="H78" s="7" t="s">
        <v>195</v>
      </c>
      <c r="I78" s="7" t="s">
        <v>195</v>
      </c>
      <c r="J78" s="7" t="s">
        <v>195</v>
      </c>
      <c r="K78" s="7" t="s">
        <v>195</v>
      </c>
      <c r="L78" s="7" t="s">
        <v>195</v>
      </c>
      <c r="M78" s="7" t="s">
        <v>29</v>
      </c>
      <c r="N78" s="7" t="s">
        <v>29</v>
      </c>
      <c r="O78" s="7" t="s">
        <v>29</v>
      </c>
      <c r="P78" s="7" t="s">
        <v>29</v>
      </c>
      <c r="Q78" s="7" t="s">
        <v>29</v>
      </c>
      <c r="R78" s="7" t="s">
        <v>29</v>
      </c>
      <c r="S78" s="7" t="s">
        <v>29</v>
      </c>
    </row>
    <row r="79" spans="2:19">
      <c r="B79" s="7" t="s">
        <v>195</v>
      </c>
      <c r="C79" s="8" t="s">
        <v>195</v>
      </c>
      <c r="D79" s="5" t="str">
        <f>LRTRIM(CONCATENATE(IF(SUMPRODUCT(-- ISNUMBER(SEARCH({"Auto Number"}, $B79))) &gt; 0, $B79, IF(SUMPRODUCT(-- ISNUMBER(SEARCH({"Lookup","Master-Detail"}, $B79))) &gt; 0,$B79 &amp; "(" &amp; $E79 &amp; ")",IF(SUMPRODUCT(-- ISNUMBER(SEARCH({"Formula","Roll-Up Summary"}, $B79))) &gt; 0,$B79 &amp; " (" &amp; $E79 &amp; ")",IF(SUMPRODUCT(-- ISNUMBER(SEARCH({"Content","Currency","Number","Percent","Text","URL"}, $B79))) &gt; 0,$B79 &amp; "(" &amp; $C79 &amp; ")",$B79)))), "  ", TRIM(IF($S79 = "YES", "(External ID)", "") &amp; " " &amp; IF(SUMPRODUCT(-- ISNUMBER(SEARCH({"Unique","Unique Case Insensitive"}, $R79))) &gt; 0, "(" &amp; $R79 &amp; ")", ""))))</f>
        <v>na</v>
      </c>
      <c r="E79" s="7" t="s">
        <v>195</v>
      </c>
      <c r="F79" s="7" t="s">
        <v>195</v>
      </c>
      <c r="G79" s="7" t="s">
        <v>195</v>
      </c>
      <c r="H79" s="7" t="s">
        <v>195</v>
      </c>
      <c r="I79" s="7" t="s">
        <v>195</v>
      </c>
      <c r="J79" s="7" t="s">
        <v>195</v>
      </c>
      <c r="K79" s="7" t="s">
        <v>195</v>
      </c>
      <c r="L79" s="7" t="s">
        <v>195</v>
      </c>
      <c r="M79" s="7" t="s">
        <v>29</v>
      </c>
      <c r="N79" s="7" t="s">
        <v>29</v>
      </c>
      <c r="O79" s="7" t="s">
        <v>29</v>
      </c>
      <c r="P79" s="7" t="s">
        <v>29</v>
      </c>
      <c r="Q79" s="7" t="s">
        <v>29</v>
      </c>
      <c r="R79" s="7" t="s">
        <v>29</v>
      </c>
      <c r="S79" s="7" t="s">
        <v>29</v>
      </c>
    </row>
    <row r="80" spans="2:19">
      <c r="B80" s="7" t="s">
        <v>195</v>
      </c>
      <c r="C80" s="8" t="s">
        <v>195</v>
      </c>
      <c r="D80" s="5" t="str">
        <f>LRTRIM(CONCATENATE(IF(SUMPRODUCT(-- ISNUMBER(SEARCH({"Auto Number"}, $B80))) &gt; 0, $B80, IF(SUMPRODUCT(-- ISNUMBER(SEARCH({"Lookup","Master-Detail"}, $B80))) &gt; 0,$B80 &amp; "(" &amp; $E80 &amp; ")",IF(SUMPRODUCT(-- ISNUMBER(SEARCH({"Formula","Roll-Up Summary"}, $B80))) &gt; 0,$B80 &amp; " (" &amp; $E80 &amp; ")",IF(SUMPRODUCT(-- ISNUMBER(SEARCH({"Content","Currency","Number","Percent","Text","URL"}, $B80))) &gt; 0,$B80 &amp; "(" &amp; $C80 &amp; ")",$B80)))), "  ", TRIM(IF($S80 = "YES", "(External ID)", "") &amp; " " &amp; IF(SUMPRODUCT(-- ISNUMBER(SEARCH({"Unique","Unique Case Insensitive"}, $R80))) &gt; 0, "(" &amp; $R80 &amp; ")", ""))))</f>
        <v>na</v>
      </c>
      <c r="E80" s="7" t="s">
        <v>195</v>
      </c>
      <c r="F80" s="7" t="s">
        <v>195</v>
      </c>
      <c r="G80" s="7" t="s">
        <v>195</v>
      </c>
      <c r="H80" s="7" t="s">
        <v>195</v>
      </c>
      <c r="I80" s="7" t="s">
        <v>195</v>
      </c>
      <c r="J80" s="7" t="s">
        <v>195</v>
      </c>
      <c r="K80" s="7" t="s">
        <v>195</v>
      </c>
      <c r="L80" s="7" t="s">
        <v>195</v>
      </c>
      <c r="M80" s="7" t="s">
        <v>29</v>
      </c>
      <c r="N80" s="7" t="s">
        <v>29</v>
      </c>
      <c r="O80" s="7" t="s">
        <v>29</v>
      </c>
      <c r="P80" s="7" t="s">
        <v>29</v>
      </c>
      <c r="Q80" s="7" t="s">
        <v>29</v>
      </c>
      <c r="R80" s="7" t="s">
        <v>29</v>
      </c>
      <c r="S80" s="7" t="s">
        <v>29</v>
      </c>
    </row>
    <row r="81" spans="2:19">
      <c r="B81" s="7" t="s">
        <v>195</v>
      </c>
      <c r="C81" s="8" t="s">
        <v>195</v>
      </c>
      <c r="D81" s="5" t="str">
        <f>LRTRIM(CONCATENATE(IF(SUMPRODUCT(-- ISNUMBER(SEARCH({"Auto Number"}, $B81))) &gt; 0, $B81, IF(SUMPRODUCT(-- ISNUMBER(SEARCH({"Lookup","Master-Detail"}, $B81))) &gt; 0,$B81 &amp; "(" &amp; $E81 &amp; ")",IF(SUMPRODUCT(-- ISNUMBER(SEARCH({"Formula","Roll-Up Summary"}, $B81))) &gt; 0,$B81 &amp; " (" &amp; $E81 &amp; ")",IF(SUMPRODUCT(-- ISNUMBER(SEARCH({"Content","Currency","Number","Percent","Text","URL"}, $B81))) &gt; 0,$B81 &amp; "(" &amp; $C81 &amp; ")",$B81)))), "  ", TRIM(IF($S81 = "YES", "(External ID)", "") &amp; " " &amp; IF(SUMPRODUCT(-- ISNUMBER(SEARCH({"Unique","Unique Case Insensitive"}, $R81))) &gt; 0, "(" &amp; $R81 &amp; ")", ""))))</f>
        <v>na</v>
      </c>
      <c r="E81" s="7" t="s">
        <v>195</v>
      </c>
      <c r="F81" s="7" t="s">
        <v>195</v>
      </c>
      <c r="G81" s="7" t="s">
        <v>195</v>
      </c>
      <c r="H81" s="7" t="s">
        <v>195</v>
      </c>
      <c r="I81" s="7" t="s">
        <v>195</v>
      </c>
      <c r="J81" s="7" t="s">
        <v>195</v>
      </c>
      <c r="K81" s="7" t="s">
        <v>195</v>
      </c>
      <c r="L81" s="7" t="s">
        <v>195</v>
      </c>
      <c r="M81" s="7" t="s">
        <v>29</v>
      </c>
      <c r="N81" s="7" t="s">
        <v>29</v>
      </c>
      <c r="O81" s="7" t="s">
        <v>29</v>
      </c>
      <c r="P81" s="7" t="s">
        <v>29</v>
      </c>
      <c r="Q81" s="7" t="s">
        <v>29</v>
      </c>
      <c r="R81" s="7" t="s">
        <v>29</v>
      </c>
      <c r="S81" s="7" t="s">
        <v>29</v>
      </c>
    </row>
    <row r="82" spans="2:19">
      <c r="B82" s="7" t="s">
        <v>195</v>
      </c>
      <c r="C82" s="8" t="s">
        <v>195</v>
      </c>
      <c r="D82" s="5" t="str">
        <f>LRTRIM(CONCATENATE(IF(SUMPRODUCT(-- ISNUMBER(SEARCH({"Auto Number"}, $B82))) &gt; 0, $B82, IF(SUMPRODUCT(-- ISNUMBER(SEARCH({"Lookup","Master-Detail"}, $B82))) &gt; 0,$B82 &amp; "(" &amp; $E82 &amp; ")",IF(SUMPRODUCT(-- ISNUMBER(SEARCH({"Formula","Roll-Up Summary"}, $B82))) &gt; 0,$B82 &amp; " (" &amp; $E82 &amp; ")",IF(SUMPRODUCT(-- ISNUMBER(SEARCH({"Content","Currency","Number","Percent","Text","URL"}, $B82))) &gt; 0,$B82 &amp; "(" &amp; $C82 &amp; ")",$B82)))), "  ", TRIM(IF($S82 = "YES", "(External ID)", "") &amp; " " &amp; IF(SUMPRODUCT(-- ISNUMBER(SEARCH({"Unique","Unique Case Insensitive"}, $R82))) &gt; 0, "(" &amp; $R82 &amp; ")", ""))))</f>
        <v>na</v>
      </c>
      <c r="E82" s="7" t="s">
        <v>195</v>
      </c>
      <c r="F82" s="7" t="s">
        <v>195</v>
      </c>
      <c r="G82" s="7" t="s">
        <v>195</v>
      </c>
      <c r="H82" s="7" t="s">
        <v>195</v>
      </c>
      <c r="I82" s="7" t="s">
        <v>195</v>
      </c>
      <c r="J82" s="7" t="s">
        <v>195</v>
      </c>
      <c r="K82" s="7" t="s">
        <v>195</v>
      </c>
      <c r="L82" s="7" t="s">
        <v>195</v>
      </c>
      <c r="M82" s="7" t="s">
        <v>29</v>
      </c>
      <c r="N82" s="7" t="s">
        <v>29</v>
      </c>
      <c r="O82" s="7" t="s">
        <v>29</v>
      </c>
      <c r="P82" s="7" t="s">
        <v>29</v>
      </c>
      <c r="Q82" s="7" t="s">
        <v>29</v>
      </c>
      <c r="R82" s="7" t="s">
        <v>29</v>
      </c>
      <c r="S82" s="7" t="s">
        <v>29</v>
      </c>
    </row>
    <row r="83" spans="2:19">
      <c r="B83" s="7" t="s">
        <v>195</v>
      </c>
      <c r="C83" s="8" t="s">
        <v>195</v>
      </c>
      <c r="D83" s="5" t="str">
        <f>LRTRIM(CONCATENATE(IF(SUMPRODUCT(-- ISNUMBER(SEARCH({"Auto Number"}, $B83))) &gt; 0, $B83, IF(SUMPRODUCT(-- ISNUMBER(SEARCH({"Lookup","Master-Detail"}, $B83))) &gt; 0,$B83 &amp; "(" &amp; $E83 &amp; ")",IF(SUMPRODUCT(-- ISNUMBER(SEARCH({"Formula","Roll-Up Summary"}, $B83))) &gt; 0,$B83 &amp; " (" &amp; $E83 &amp; ")",IF(SUMPRODUCT(-- ISNUMBER(SEARCH({"Content","Currency","Number","Percent","Text","URL"}, $B83))) &gt; 0,$B83 &amp; "(" &amp; $C83 &amp; ")",$B83)))), "  ", TRIM(IF($S83 = "YES", "(External ID)", "") &amp; " " &amp; IF(SUMPRODUCT(-- ISNUMBER(SEARCH({"Unique","Unique Case Insensitive"}, $R83))) &gt; 0, "(" &amp; $R83 &amp; ")", ""))))</f>
        <v>na</v>
      </c>
      <c r="E83" s="7" t="s">
        <v>195</v>
      </c>
      <c r="F83" s="7" t="s">
        <v>195</v>
      </c>
      <c r="G83" s="7" t="s">
        <v>195</v>
      </c>
      <c r="H83" s="7" t="s">
        <v>195</v>
      </c>
      <c r="I83" s="7" t="s">
        <v>195</v>
      </c>
      <c r="J83" s="7" t="s">
        <v>195</v>
      </c>
      <c r="K83" s="7" t="s">
        <v>195</v>
      </c>
      <c r="L83" s="7" t="s">
        <v>195</v>
      </c>
      <c r="M83" s="7" t="s">
        <v>29</v>
      </c>
      <c r="N83" s="7" t="s">
        <v>29</v>
      </c>
      <c r="O83" s="7" t="s">
        <v>29</v>
      </c>
      <c r="P83" s="7" t="s">
        <v>29</v>
      </c>
      <c r="Q83" s="7" t="s">
        <v>29</v>
      </c>
      <c r="R83" s="7" t="s">
        <v>29</v>
      </c>
      <c r="S83" s="7" t="s">
        <v>29</v>
      </c>
    </row>
    <row r="84" spans="2:19">
      <c r="B84" s="7" t="s">
        <v>195</v>
      </c>
      <c r="C84" s="8" t="s">
        <v>195</v>
      </c>
      <c r="D84" s="5" t="str">
        <f>LRTRIM(CONCATENATE(IF(SUMPRODUCT(-- ISNUMBER(SEARCH({"Auto Number"}, $B84))) &gt; 0, $B84, IF(SUMPRODUCT(-- ISNUMBER(SEARCH({"Lookup","Master-Detail"}, $B84))) &gt; 0,$B84 &amp; "(" &amp; $E84 &amp; ")",IF(SUMPRODUCT(-- ISNUMBER(SEARCH({"Formula","Roll-Up Summary"}, $B84))) &gt; 0,$B84 &amp; " (" &amp; $E84 &amp; ")",IF(SUMPRODUCT(-- ISNUMBER(SEARCH({"Content","Currency","Number","Percent","Text","URL"}, $B84))) &gt; 0,$B84 &amp; "(" &amp; $C84 &amp; ")",$B84)))), "  ", TRIM(IF($S84 = "YES", "(External ID)", "") &amp; " " &amp; IF(SUMPRODUCT(-- ISNUMBER(SEARCH({"Unique","Unique Case Insensitive"}, $R84))) &gt; 0, "(" &amp; $R84 &amp; ")", ""))))</f>
        <v>na</v>
      </c>
      <c r="E84" s="7" t="s">
        <v>195</v>
      </c>
      <c r="F84" s="7" t="s">
        <v>195</v>
      </c>
      <c r="G84" s="7" t="s">
        <v>195</v>
      </c>
      <c r="H84" s="7" t="s">
        <v>195</v>
      </c>
      <c r="I84" s="7" t="s">
        <v>195</v>
      </c>
      <c r="J84" s="7" t="s">
        <v>195</v>
      </c>
      <c r="K84" s="7" t="s">
        <v>195</v>
      </c>
      <c r="L84" s="7" t="s">
        <v>195</v>
      </c>
      <c r="M84" s="7" t="s">
        <v>29</v>
      </c>
      <c r="N84" s="7" t="s">
        <v>29</v>
      </c>
      <c r="O84" s="7" t="s">
        <v>29</v>
      </c>
      <c r="P84" s="7" t="s">
        <v>29</v>
      </c>
      <c r="Q84" s="7" t="s">
        <v>29</v>
      </c>
      <c r="R84" s="7" t="s">
        <v>29</v>
      </c>
      <c r="S84" s="7" t="s">
        <v>29</v>
      </c>
    </row>
    <row r="85" spans="2:19">
      <c r="B85" s="7" t="s">
        <v>195</v>
      </c>
      <c r="C85" s="8" t="s">
        <v>195</v>
      </c>
      <c r="D85" s="5" t="str">
        <f>LRTRIM(CONCATENATE(IF(SUMPRODUCT(-- ISNUMBER(SEARCH({"Auto Number"}, $B85))) &gt; 0, $B85, IF(SUMPRODUCT(-- ISNUMBER(SEARCH({"Lookup","Master-Detail"}, $B85))) &gt; 0,$B85 &amp; "(" &amp; $E85 &amp; ")",IF(SUMPRODUCT(-- ISNUMBER(SEARCH({"Formula","Roll-Up Summary"}, $B85))) &gt; 0,$B85 &amp; " (" &amp; $E85 &amp; ")",IF(SUMPRODUCT(-- ISNUMBER(SEARCH({"Content","Currency","Number","Percent","Text","URL"}, $B85))) &gt; 0,$B85 &amp; "(" &amp; $C85 &amp; ")",$B85)))), "  ", TRIM(IF($S85 = "YES", "(External ID)", "") &amp; " " &amp; IF(SUMPRODUCT(-- ISNUMBER(SEARCH({"Unique","Unique Case Insensitive"}, $R85))) &gt; 0, "(" &amp; $R85 &amp; ")", ""))))</f>
        <v>na</v>
      </c>
      <c r="E85" s="7" t="s">
        <v>195</v>
      </c>
      <c r="F85" s="7" t="s">
        <v>195</v>
      </c>
      <c r="G85" s="7" t="s">
        <v>195</v>
      </c>
      <c r="H85" s="7" t="s">
        <v>195</v>
      </c>
      <c r="I85" s="7" t="s">
        <v>195</v>
      </c>
      <c r="J85" s="7" t="s">
        <v>195</v>
      </c>
      <c r="K85" s="7" t="s">
        <v>195</v>
      </c>
      <c r="L85" s="7" t="s">
        <v>195</v>
      </c>
      <c r="M85" s="7" t="s">
        <v>29</v>
      </c>
      <c r="N85" s="7" t="s">
        <v>29</v>
      </c>
      <c r="O85" s="7" t="s">
        <v>29</v>
      </c>
      <c r="P85" s="7" t="s">
        <v>29</v>
      </c>
      <c r="Q85" s="7" t="s">
        <v>29</v>
      </c>
      <c r="R85" s="7" t="s">
        <v>29</v>
      </c>
      <c r="S85" s="7" t="s">
        <v>29</v>
      </c>
    </row>
    <row r="86" spans="2:19">
      <c r="B86" s="7" t="s">
        <v>195</v>
      </c>
      <c r="C86" s="8" t="s">
        <v>195</v>
      </c>
      <c r="D86" s="5" t="str">
        <f>LRTRIM(CONCATENATE(IF(SUMPRODUCT(-- ISNUMBER(SEARCH({"Auto Number"}, $B86))) &gt; 0, $B86, IF(SUMPRODUCT(-- ISNUMBER(SEARCH({"Lookup","Master-Detail"}, $B86))) &gt; 0,$B86 &amp; "(" &amp; $E86 &amp; ")",IF(SUMPRODUCT(-- ISNUMBER(SEARCH({"Formula","Roll-Up Summary"}, $B86))) &gt; 0,$B86 &amp; " (" &amp; $E86 &amp; ")",IF(SUMPRODUCT(-- ISNUMBER(SEARCH({"Content","Currency","Number","Percent","Text","URL"}, $B86))) &gt; 0,$B86 &amp; "(" &amp; $C86 &amp; ")",$B86)))), "  ", TRIM(IF($S86 = "YES", "(External ID)", "") &amp; " " &amp; IF(SUMPRODUCT(-- ISNUMBER(SEARCH({"Unique","Unique Case Insensitive"}, $R86))) &gt; 0, "(" &amp; $R86 &amp; ")", ""))))</f>
        <v>na</v>
      </c>
      <c r="E86" s="7" t="s">
        <v>195</v>
      </c>
      <c r="F86" s="7" t="s">
        <v>195</v>
      </c>
      <c r="G86" s="7" t="s">
        <v>195</v>
      </c>
      <c r="H86" s="7" t="s">
        <v>195</v>
      </c>
      <c r="I86" s="7" t="s">
        <v>195</v>
      </c>
      <c r="J86" s="7" t="s">
        <v>195</v>
      </c>
      <c r="K86" s="7" t="s">
        <v>195</v>
      </c>
      <c r="L86" s="7" t="s">
        <v>195</v>
      </c>
      <c r="M86" s="7" t="s">
        <v>29</v>
      </c>
      <c r="N86" s="7" t="s">
        <v>29</v>
      </c>
      <c r="O86" s="7" t="s">
        <v>29</v>
      </c>
      <c r="P86" s="7" t="s">
        <v>29</v>
      </c>
      <c r="Q86" s="7" t="s">
        <v>29</v>
      </c>
      <c r="R86" s="7" t="s">
        <v>29</v>
      </c>
      <c r="S86" s="7" t="s">
        <v>29</v>
      </c>
    </row>
    <row r="87" spans="2:19">
      <c r="B87" s="7" t="s">
        <v>195</v>
      </c>
      <c r="C87" s="8" t="s">
        <v>195</v>
      </c>
      <c r="D87" s="5" t="str">
        <f>LRTRIM(CONCATENATE(IF(SUMPRODUCT(-- ISNUMBER(SEARCH({"Auto Number"}, $B87))) &gt; 0, $B87, IF(SUMPRODUCT(-- ISNUMBER(SEARCH({"Lookup","Master-Detail"}, $B87))) &gt; 0,$B87 &amp; "(" &amp; $E87 &amp; ")",IF(SUMPRODUCT(-- ISNUMBER(SEARCH({"Formula","Roll-Up Summary"}, $B87))) &gt; 0,$B87 &amp; " (" &amp; $E87 &amp; ")",IF(SUMPRODUCT(-- ISNUMBER(SEARCH({"Content","Currency","Number","Percent","Text","URL"}, $B87))) &gt; 0,$B87 &amp; "(" &amp; $C87 &amp; ")",$B87)))), "  ", TRIM(IF($S87 = "YES", "(External ID)", "") &amp; " " &amp; IF(SUMPRODUCT(-- ISNUMBER(SEARCH({"Unique","Unique Case Insensitive"}, $R87))) &gt; 0, "(" &amp; $R87 &amp; ")", ""))))</f>
        <v>na</v>
      </c>
      <c r="E87" s="7" t="s">
        <v>195</v>
      </c>
      <c r="F87" s="7" t="s">
        <v>195</v>
      </c>
      <c r="G87" s="7" t="s">
        <v>195</v>
      </c>
      <c r="H87" s="7" t="s">
        <v>195</v>
      </c>
      <c r="I87" s="7" t="s">
        <v>195</v>
      </c>
      <c r="J87" s="7" t="s">
        <v>195</v>
      </c>
      <c r="K87" s="7" t="s">
        <v>195</v>
      </c>
      <c r="L87" s="7" t="s">
        <v>195</v>
      </c>
      <c r="M87" s="7" t="s">
        <v>29</v>
      </c>
      <c r="N87" s="7" t="s">
        <v>29</v>
      </c>
      <c r="O87" s="7" t="s">
        <v>29</v>
      </c>
      <c r="P87" s="7" t="s">
        <v>29</v>
      </c>
      <c r="Q87" s="7" t="s">
        <v>29</v>
      </c>
      <c r="R87" s="7" t="s">
        <v>29</v>
      </c>
      <c r="S87" s="7" t="s">
        <v>29</v>
      </c>
    </row>
    <row r="88" spans="2:19">
      <c r="B88" s="7" t="s">
        <v>195</v>
      </c>
      <c r="C88" s="8" t="s">
        <v>195</v>
      </c>
      <c r="D88" s="5" t="str">
        <f>LRTRIM(CONCATENATE(IF(SUMPRODUCT(-- ISNUMBER(SEARCH({"Auto Number"}, $B88))) &gt; 0, $B88, IF(SUMPRODUCT(-- ISNUMBER(SEARCH({"Lookup","Master-Detail"}, $B88))) &gt; 0,$B88 &amp; "(" &amp; $E88 &amp; ")",IF(SUMPRODUCT(-- ISNUMBER(SEARCH({"Formula","Roll-Up Summary"}, $B88))) &gt; 0,$B88 &amp; " (" &amp; $E88 &amp; ")",IF(SUMPRODUCT(-- ISNUMBER(SEARCH({"Content","Currency","Number","Percent","Text","URL"}, $B88))) &gt; 0,$B88 &amp; "(" &amp; $C88 &amp; ")",$B88)))), "  ", TRIM(IF($S88 = "YES", "(External ID)", "") &amp; " " &amp; IF(SUMPRODUCT(-- ISNUMBER(SEARCH({"Unique","Unique Case Insensitive"}, $R88))) &gt; 0, "(" &amp; $R88 &amp; ")", ""))))</f>
        <v>na</v>
      </c>
      <c r="E88" s="7" t="s">
        <v>195</v>
      </c>
      <c r="F88" s="7" t="s">
        <v>195</v>
      </c>
      <c r="G88" s="7" t="s">
        <v>195</v>
      </c>
      <c r="H88" s="7" t="s">
        <v>195</v>
      </c>
      <c r="I88" s="7" t="s">
        <v>195</v>
      </c>
      <c r="J88" s="7" t="s">
        <v>195</v>
      </c>
      <c r="K88" s="7" t="s">
        <v>195</v>
      </c>
      <c r="L88" s="7" t="s">
        <v>195</v>
      </c>
      <c r="M88" s="7" t="s">
        <v>29</v>
      </c>
      <c r="N88" s="7" t="s">
        <v>29</v>
      </c>
      <c r="O88" s="7" t="s">
        <v>29</v>
      </c>
      <c r="P88" s="7" t="s">
        <v>29</v>
      </c>
      <c r="Q88" s="7" t="s">
        <v>29</v>
      </c>
      <c r="R88" s="7" t="s">
        <v>29</v>
      </c>
      <c r="S88" s="7" t="s">
        <v>29</v>
      </c>
    </row>
    <row r="89" spans="2:19">
      <c r="B89" s="7" t="s">
        <v>195</v>
      </c>
      <c r="C89" s="8" t="s">
        <v>195</v>
      </c>
      <c r="D89" s="5" t="str">
        <f>LRTRIM(CONCATENATE(IF(SUMPRODUCT(-- ISNUMBER(SEARCH({"Auto Number"}, $B89))) &gt; 0, $B89, IF(SUMPRODUCT(-- ISNUMBER(SEARCH({"Lookup","Master-Detail"}, $B89))) &gt; 0,$B89 &amp; "(" &amp; $E89 &amp; ")",IF(SUMPRODUCT(-- ISNUMBER(SEARCH({"Formula","Roll-Up Summary"}, $B89))) &gt; 0,$B89 &amp; " (" &amp; $E89 &amp; ")",IF(SUMPRODUCT(-- ISNUMBER(SEARCH({"Content","Currency","Number","Percent","Text","URL"}, $B89))) &gt; 0,$B89 &amp; "(" &amp; $C89 &amp; ")",$B89)))), "  ", TRIM(IF($S89 = "YES", "(External ID)", "") &amp; " " &amp; IF(SUMPRODUCT(-- ISNUMBER(SEARCH({"Unique","Unique Case Insensitive"}, $R89))) &gt; 0, "(" &amp; $R89 &amp; ")", ""))))</f>
        <v>na</v>
      </c>
      <c r="E89" s="7" t="s">
        <v>195</v>
      </c>
      <c r="F89" s="7" t="s">
        <v>195</v>
      </c>
      <c r="G89" s="7" t="s">
        <v>195</v>
      </c>
      <c r="H89" s="7" t="s">
        <v>195</v>
      </c>
      <c r="I89" s="7" t="s">
        <v>195</v>
      </c>
      <c r="J89" s="7" t="s">
        <v>195</v>
      </c>
      <c r="K89" s="7" t="s">
        <v>195</v>
      </c>
      <c r="L89" s="7" t="s">
        <v>195</v>
      </c>
      <c r="M89" s="7" t="s">
        <v>29</v>
      </c>
      <c r="N89" s="7" t="s">
        <v>29</v>
      </c>
      <c r="O89" s="7" t="s">
        <v>29</v>
      </c>
      <c r="P89" s="7" t="s">
        <v>29</v>
      </c>
      <c r="Q89" s="7" t="s">
        <v>29</v>
      </c>
      <c r="R89" s="7" t="s">
        <v>29</v>
      </c>
      <c r="S89" s="7" t="s">
        <v>29</v>
      </c>
    </row>
    <row r="90" spans="2:19">
      <c r="B90" s="7" t="s">
        <v>195</v>
      </c>
      <c r="C90" s="8" t="s">
        <v>195</v>
      </c>
      <c r="D90" s="5" t="str">
        <f>LRTRIM(CONCATENATE(IF(SUMPRODUCT(-- ISNUMBER(SEARCH({"Auto Number"}, $B90))) &gt; 0, $B90, IF(SUMPRODUCT(-- ISNUMBER(SEARCH({"Lookup","Master-Detail"}, $B90))) &gt; 0,$B90 &amp; "(" &amp; $E90 &amp; ")",IF(SUMPRODUCT(-- ISNUMBER(SEARCH({"Formula","Roll-Up Summary"}, $B90))) &gt; 0,$B90 &amp; " (" &amp; $E90 &amp; ")",IF(SUMPRODUCT(-- ISNUMBER(SEARCH({"Content","Currency","Number","Percent","Text","URL"}, $B90))) &gt; 0,$B90 &amp; "(" &amp; $C90 &amp; ")",$B90)))), "  ", TRIM(IF($S90 = "YES", "(External ID)", "") &amp; " " &amp; IF(SUMPRODUCT(-- ISNUMBER(SEARCH({"Unique","Unique Case Insensitive"}, $R90))) &gt; 0, "(" &amp; $R90 &amp; ")", ""))))</f>
        <v>na</v>
      </c>
      <c r="E90" s="7" t="s">
        <v>195</v>
      </c>
      <c r="F90" s="7" t="s">
        <v>195</v>
      </c>
      <c r="G90" s="7" t="s">
        <v>195</v>
      </c>
      <c r="H90" s="7" t="s">
        <v>195</v>
      </c>
      <c r="I90" s="7" t="s">
        <v>195</v>
      </c>
      <c r="J90" s="7" t="s">
        <v>195</v>
      </c>
      <c r="K90" s="7" t="s">
        <v>195</v>
      </c>
      <c r="L90" s="7" t="s">
        <v>195</v>
      </c>
      <c r="M90" s="7" t="s">
        <v>29</v>
      </c>
      <c r="N90" s="7" t="s">
        <v>29</v>
      </c>
      <c r="O90" s="7" t="s">
        <v>29</v>
      </c>
      <c r="P90" s="7" t="s">
        <v>29</v>
      </c>
      <c r="Q90" s="7" t="s">
        <v>29</v>
      </c>
      <c r="R90" s="7" t="s">
        <v>29</v>
      </c>
      <c r="S90" s="7" t="s">
        <v>29</v>
      </c>
    </row>
    <row r="91" spans="2:19">
      <c r="B91" s="7" t="s">
        <v>195</v>
      </c>
      <c r="C91" s="8" t="s">
        <v>195</v>
      </c>
      <c r="D91" s="5" t="str">
        <f>LRTRIM(CONCATENATE(IF(SUMPRODUCT(-- ISNUMBER(SEARCH({"Auto Number"}, $B91))) &gt; 0, $B91, IF(SUMPRODUCT(-- ISNUMBER(SEARCH({"Lookup","Master-Detail"}, $B91))) &gt; 0,$B91 &amp; "(" &amp; $E91 &amp; ")",IF(SUMPRODUCT(-- ISNUMBER(SEARCH({"Formula","Roll-Up Summary"}, $B91))) &gt; 0,$B91 &amp; " (" &amp; $E91 &amp; ")",IF(SUMPRODUCT(-- ISNUMBER(SEARCH({"Content","Currency","Number","Percent","Text","URL"}, $B91))) &gt; 0,$B91 &amp; "(" &amp; $C91 &amp; ")",$B91)))), "  ", TRIM(IF($S91 = "YES", "(External ID)", "") &amp; " " &amp; IF(SUMPRODUCT(-- ISNUMBER(SEARCH({"Unique","Unique Case Insensitive"}, $R91))) &gt; 0, "(" &amp; $R91 &amp; ")", ""))))</f>
        <v>na</v>
      </c>
      <c r="E91" s="7" t="s">
        <v>195</v>
      </c>
      <c r="F91" s="7" t="s">
        <v>195</v>
      </c>
      <c r="G91" s="7" t="s">
        <v>195</v>
      </c>
      <c r="H91" s="7" t="s">
        <v>195</v>
      </c>
      <c r="I91" s="7" t="s">
        <v>195</v>
      </c>
      <c r="J91" s="7" t="s">
        <v>195</v>
      </c>
      <c r="K91" s="7" t="s">
        <v>195</v>
      </c>
      <c r="L91" s="7" t="s">
        <v>195</v>
      </c>
      <c r="M91" s="7" t="s">
        <v>29</v>
      </c>
      <c r="N91" s="7" t="s">
        <v>29</v>
      </c>
      <c r="O91" s="7" t="s">
        <v>29</v>
      </c>
      <c r="P91" s="7" t="s">
        <v>29</v>
      </c>
      <c r="Q91" s="7" t="s">
        <v>29</v>
      </c>
      <c r="R91" s="7" t="s">
        <v>29</v>
      </c>
      <c r="S91" s="7" t="s">
        <v>29</v>
      </c>
    </row>
    <row r="92" spans="2:19">
      <c r="B92" s="7" t="s">
        <v>195</v>
      </c>
      <c r="C92" s="8" t="s">
        <v>195</v>
      </c>
      <c r="D92" s="5" t="str">
        <f>LRTRIM(CONCATENATE(IF(SUMPRODUCT(-- ISNUMBER(SEARCH({"Auto Number"}, $B92))) &gt; 0, $B92, IF(SUMPRODUCT(-- ISNUMBER(SEARCH({"Lookup","Master-Detail"}, $B92))) &gt; 0,$B92 &amp; "(" &amp; $E92 &amp; ")",IF(SUMPRODUCT(-- ISNUMBER(SEARCH({"Formula","Roll-Up Summary"}, $B92))) &gt; 0,$B92 &amp; " (" &amp; $E92 &amp; ")",IF(SUMPRODUCT(-- ISNUMBER(SEARCH({"Content","Currency","Number","Percent","Text","URL"}, $B92))) &gt; 0,$B92 &amp; "(" &amp; $C92 &amp; ")",$B92)))), "  ", TRIM(IF($S92 = "YES", "(External ID)", "") &amp; " " &amp; IF(SUMPRODUCT(-- ISNUMBER(SEARCH({"Unique","Unique Case Insensitive"}, $R92))) &gt; 0, "(" &amp; $R92 &amp; ")", ""))))</f>
        <v>na</v>
      </c>
      <c r="E92" s="7" t="s">
        <v>195</v>
      </c>
      <c r="F92" s="7" t="s">
        <v>195</v>
      </c>
      <c r="G92" s="7" t="s">
        <v>195</v>
      </c>
      <c r="H92" s="7" t="s">
        <v>195</v>
      </c>
      <c r="I92" s="7" t="s">
        <v>195</v>
      </c>
      <c r="J92" s="7" t="s">
        <v>195</v>
      </c>
      <c r="K92" s="7" t="s">
        <v>195</v>
      </c>
      <c r="L92" s="7" t="s">
        <v>195</v>
      </c>
      <c r="M92" s="7" t="s">
        <v>29</v>
      </c>
      <c r="N92" s="7" t="s">
        <v>29</v>
      </c>
      <c r="O92" s="7" t="s">
        <v>29</v>
      </c>
      <c r="P92" s="7" t="s">
        <v>29</v>
      </c>
      <c r="Q92" s="7" t="s">
        <v>29</v>
      </c>
      <c r="R92" s="7" t="s">
        <v>29</v>
      </c>
      <c r="S92" s="7" t="s">
        <v>29</v>
      </c>
    </row>
    <row r="93" spans="2:19">
      <c r="B93" s="7" t="s">
        <v>195</v>
      </c>
      <c r="C93" s="8" t="s">
        <v>195</v>
      </c>
      <c r="D93" s="5" t="str">
        <f>LRTRIM(CONCATENATE(IF(SUMPRODUCT(-- ISNUMBER(SEARCH({"Auto Number"}, $B93))) &gt; 0, $B93, IF(SUMPRODUCT(-- ISNUMBER(SEARCH({"Lookup","Master-Detail"}, $B93))) &gt; 0,$B93 &amp; "(" &amp; $E93 &amp; ")",IF(SUMPRODUCT(-- ISNUMBER(SEARCH({"Formula","Roll-Up Summary"}, $B93))) &gt; 0,$B93 &amp; " (" &amp; $E93 &amp; ")",IF(SUMPRODUCT(-- ISNUMBER(SEARCH({"Content","Currency","Number","Percent","Text","URL"}, $B93))) &gt; 0,$B93 &amp; "(" &amp; $C93 &amp; ")",$B93)))), "  ", TRIM(IF($S93 = "YES", "(External ID)", "") &amp; " " &amp; IF(SUMPRODUCT(-- ISNUMBER(SEARCH({"Unique","Unique Case Insensitive"}, $R93))) &gt; 0, "(" &amp; $R93 &amp; ")", ""))))</f>
        <v>na</v>
      </c>
      <c r="E93" s="7" t="s">
        <v>195</v>
      </c>
      <c r="F93" s="7" t="s">
        <v>195</v>
      </c>
      <c r="G93" s="7" t="s">
        <v>195</v>
      </c>
      <c r="H93" s="7" t="s">
        <v>195</v>
      </c>
      <c r="I93" s="7" t="s">
        <v>195</v>
      </c>
      <c r="J93" s="7" t="s">
        <v>195</v>
      </c>
      <c r="K93" s="7" t="s">
        <v>195</v>
      </c>
      <c r="L93" s="7" t="s">
        <v>195</v>
      </c>
      <c r="M93" s="7" t="s">
        <v>29</v>
      </c>
      <c r="N93" s="7" t="s">
        <v>29</v>
      </c>
      <c r="O93" s="7" t="s">
        <v>29</v>
      </c>
      <c r="P93" s="7" t="s">
        <v>29</v>
      </c>
      <c r="Q93" s="7" t="s">
        <v>29</v>
      </c>
      <c r="R93" s="7" t="s">
        <v>29</v>
      </c>
      <c r="S93" s="7" t="s">
        <v>29</v>
      </c>
    </row>
    <row r="94" spans="2:19">
      <c r="B94" s="7" t="s">
        <v>195</v>
      </c>
      <c r="C94" s="8" t="s">
        <v>195</v>
      </c>
      <c r="D94" s="5" t="str">
        <f>LRTRIM(CONCATENATE(IF(SUMPRODUCT(-- ISNUMBER(SEARCH({"Auto Number"}, $B94))) &gt; 0, $B94, IF(SUMPRODUCT(-- ISNUMBER(SEARCH({"Lookup","Master-Detail"}, $B94))) &gt; 0,$B94 &amp; "(" &amp; $E94 &amp; ")",IF(SUMPRODUCT(-- ISNUMBER(SEARCH({"Formula","Roll-Up Summary"}, $B94))) &gt; 0,$B94 &amp; " (" &amp; $E94 &amp; ")",IF(SUMPRODUCT(-- ISNUMBER(SEARCH({"Content","Currency","Number","Percent","Text","URL"}, $B94))) &gt; 0,$B94 &amp; "(" &amp; $C94 &amp; ")",$B94)))), "  ", TRIM(IF($S94 = "YES", "(External ID)", "") &amp; " " &amp; IF(SUMPRODUCT(-- ISNUMBER(SEARCH({"Unique","Unique Case Insensitive"}, $R94))) &gt; 0, "(" &amp; $R94 &amp; ")", ""))))</f>
        <v>na</v>
      </c>
      <c r="E94" s="7" t="s">
        <v>195</v>
      </c>
      <c r="F94" s="7" t="s">
        <v>195</v>
      </c>
      <c r="G94" s="7" t="s">
        <v>195</v>
      </c>
      <c r="H94" s="7" t="s">
        <v>195</v>
      </c>
      <c r="I94" s="7" t="s">
        <v>195</v>
      </c>
      <c r="J94" s="7" t="s">
        <v>195</v>
      </c>
      <c r="K94" s="7" t="s">
        <v>195</v>
      </c>
      <c r="L94" s="7" t="s">
        <v>195</v>
      </c>
      <c r="M94" s="7" t="s">
        <v>29</v>
      </c>
      <c r="N94" s="7" t="s">
        <v>29</v>
      </c>
      <c r="O94" s="7" t="s">
        <v>29</v>
      </c>
      <c r="P94" s="7" t="s">
        <v>29</v>
      </c>
      <c r="Q94" s="7" t="s">
        <v>29</v>
      </c>
      <c r="R94" s="7" t="s">
        <v>29</v>
      </c>
      <c r="S94" s="7" t="s">
        <v>29</v>
      </c>
    </row>
    <row r="95" spans="2:19">
      <c r="B95" s="7" t="s">
        <v>195</v>
      </c>
      <c r="C95" s="8" t="s">
        <v>195</v>
      </c>
      <c r="D95" s="5" t="str">
        <f>LRTRIM(CONCATENATE(IF(SUMPRODUCT(-- ISNUMBER(SEARCH({"Auto Number"}, $B95))) &gt; 0, $B95, IF(SUMPRODUCT(-- ISNUMBER(SEARCH({"Lookup","Master-Detail"}, $B95))) &gt; 0,$B95 &amp; "(" &amp; $E95 &amp; ")",IF(SUMPRODUCT(-- ISNUMBER(SEARCH({"Formula","Roll-Up Summary"}, $B95))) &gt; 0,$B95 &amp; " (" &amp; $E95 &amp; ")",IF(SUMPRODUCT(-- ISNUMBER(SEARCH({"Content","Currency","Number","Percent","Text","URL"}, $B95))) &gt; 0,$B95 &amp; "(" &amp; $C95 &amp; ")",$B95)))), "  ", TRIM(IF($S95 = "YES", "(External ID)", "") &amp; " " &amp; IF(SUMPRODUCT(-- ISNUMBER(SEARCH({"Unique","Unique Case Insensitive"}, $R95))) &gt; 0, "(" &amp; $R95 &amp; ")", ""))))</f>
        <v>na</v>
      </c>
      <c r="E95" s="7" t="s">
        <v>195</v>
      </c>
      <c r="F95" s="7" t="s">
        <v>195</v>
      </c>
      <c r="G95" s="7" t="s">
        <v>195</v>
      </c>
      <c r="H95" s="7" t="s">
        <v>195</v>
      </c>
      <c r="I95" s="7" t="s">
        <v>195</v>
      </c>
      <c r="J95" s="7" t="s">
        <v>195</v>
      </c>
      <c r="K95" s="7" t="s">
        <v>195</v>
      </c>
      <c r="L95" s="7" t="s">
        <v>195</v>
      </c>
      <c r="M95" s="7" t="s">
        <v>29</v>
      </c>
      <c r="N95" s="7" t="s">
        <v>29</v>
      </c>
      <c r="O95" s="7" t="s">
        <v>29</v>
      </c>
      <c r="P95" s="7" t="s">
        <v>29</v>
      </c>
      <c r="Q95" s="7" t="s">
        <v>29</v>
      </c>
      <c r="R95" s="7" t="s">
        <v>29</v>
      </c>
      <c r="S95" s="7" t="s">
        <v>29</v>
      </c>
    </row>
    <row r="96" spans="2:19">
      <c r="B96" s="7" t="s">
        <v>195</v>
      </c>
      <c r="C96" s="8" t="s">
        <v>195</v>
      </c>
      <c r="D96" s="5" t="str">
        <f>LRTRIM(CONCATENATE(IF(SUMPRODUCT(-- ISNUMBER(SEARCH({"Auto Number"}, $B96))) &gt; 0, $B96, IF(SUMPRODUCT(-- ISNUMBER(SEARCH({"Lookup","Master-Detail"}, $B96))) &gt; 0,$B96 &amp; "(" &amp; $E96 &amp; ")",IF(SUMPRODUCT(-- ISNUMBER(SEARCH({"Formula","Roll-Up Summary"}, $B96))) &gt; 0,$B96 &amp; " (" &amp; $E96 &amp; ")",IF(SUMPRODUCT(-- ISNUMBER(SEARCH({"Content","Currency","Number","Percent","Text","URL"}, $B96))) &gt; 0,$B96 &amp; "(" &amp; $C96 &amp; ")",$B96)))), "  ", TRIM(IF($S96 = "YES", "(External ID)", "") &amp; " " &amp; IF(SUMPRODUCT(-- ISNUMBER(SEARCH({"Unique","Unique Case Insensitive"}, $R96))) &gt; 0, "(" &amp; $R96 &amp; ")", ""))))</f>
        <v>na</v>
      </c>
      <c r="E96" s="7" t="s">
        <v>195</v>
      </c>
      <c r="F96" s="7" t="s">
        <v>195</v>
      </c>
      <c r="G96" s="7" t="s">
        <v>195</v>
      </c>
      <c r="H96" s="7" t="s">
        <v>195</v>
      </c>
      <c r="I96" s="7" t="s">
        <v>195</v>
      </c>
      <c r="J96" s="7" t="s">
        <v>195</v>
      </c>
      <c r="K96" s="7" t="s">
        <v>195</v>
      </c>
      <c r="L96" s="7" t="s">
        <v>195</v>
      </c>
      <c r="M96" s="7" t="s">
        <v>29</v>
      </c>
      <c r="N96" s="7" t="s">
        <v>29</v>
      </c>
      <c r="O96" s="7" t="s">
        <v>29</v>
      </c>
      <c r="P96" s="7" t="s">
        <v>29</v>
      </c>
      <c r="Q96" s="7" t="s">
        <v>29</v>
      </c>
      <c r="R96" s="7" t="s">
        <v>29</v>
      </c>
      <c r="S96" s="7" t="s">
        <v>29</v>
      </c>
    </row>
    <row r="97" spans="2:19">
      <c r="B97" s="7" t="s">
        <v>195</v>
      </c>
      <c r="C97" s="8" t="s">
        <v>195</v>
      </c>
      <c r="D97" s="5" t="str">
        <f>LRTRIM(CONCATENATE(IF(SUMPRODUCT(-- ISNUMBER(SEARCH({"Auto Number"}, $B97))) &gt; 0, $B97, IF(SUMPRODUCT(-- ISNUMBER(SEARCH({"Lookup","Master-Detail"}, $B97))) &gt; 0,$B97 &amp; "(" &amp; $E97 &amp; ")",IF(SUMPRODUCT(-- ISNUMBER(SEARCH({"Formula","Roll-Up Summary"}, $B97))) &gt; 0,$B97 &amp; " (" &amp; $E97 &amp; ")",IF(SUMPRODUCT(-- ISNUMBER(SEARCH({"Content","Currency","Number","Percent","Text","URL"}, $B97))) &gt; 0,$B97 &amp; "(" &amp; $C97 &amp; ")",$B97)))), "  ", TRIM(IF($S97 = "YES", "(External ID)", "") &amp; " " &amp; IF(SUMPRODUCT(-- ISNUMBER(SEARCH({"Unique","Unique Case Insensitive"}, $R97))) &gt; 0, "(" &amp; $R97 &amp; ")", ""))))</f>
        <v>na</v>
      </c>
      <c r="E97" s="7" t="s">
        <v>195</v>
      </c>
      <c r="F97" s="7" t="s">
        <v>195</v>
      </c>
      <c r="G97" s="7" t="s">
        <v>195</v>
      </c>
      <c r="H97" s="7" t="s">
        <v>195</v>
      </c>
      <c r="I97" s="7" t="s">
        <v>195</v>
      </c>
      <c r="J97" s="7" t="s">
        <v>195</v>
      </c>
      <c r="K97" s="7" t="s">
        <v>195</v>
      </c>
      <c r="L97" s="7" t="s">
        <v>195</v>
      </c>
      <c r="M97" s="7" t="s">
        <v>29</v>
      </c>
      <c r="N97" s="7" t="s">
        <v>29</v>
      </c>
      <c r="O97" s="7" t="s">
        <v>29</v>
      </c>
      <c r="P97" s="7" t="s">
        <v>29</v>
      </c>
      <c r="Q97" s="7" t="s">
        <v>29</v>
      </c>
      <c r="R97" s="7" t="s">
        <v>29</v>
      </c>
      <c r="S97" s="7" t="s">
        <v>29</v>
      </c>
    </row>
    <row r="98" spans="2:19">
      <c r="B98" s="7" t="s">
        <v>195</v>
      </c>
      <c r="C98" s="8" t="s">
        <v>195</v>
      </c>
      <c r="D98" s="5" t="str">
        <f>LRTRIM(CONCATENATE(IF(SUMPRODUCT(-- ISNUMBER(SEARCH({"Auto Number"}, $B98))) &gt; 0, $B98, IF(SUMPRODUCT(-- ISNUMBER(SEARCH({"Lookup","Master-Detail"}, $B98))) &gt; 0,$B98 &amp; "(" &amp; $E98 &amp; ")",IF(SUMPRODUCT(-- ISNUMBER(SEARCH({"Formula","Roll-Up Summary"}, $B98))) &gt; 0,$B98 &amp; " (" &amp; $E98 &amp; ")",IF(SUMPRODUCT(-- ISNUMBER(SEARCH({"Content","Currency","Number","Percent","Text","URL"}, $B98))) &gt; 0,$B98 &amp; "(" &amp; $C98 &amp; ")",$B98)))), "  ", TRIM(IF($S98 = "YES", "(External ID)", "") &amp; " " &amp; IF(SUMPRODUCT(-- ISNUMBER(SEARCH({"Unique","Unique Case Insensitive"}, $R98))) &gt; 0, "(" &amp; $R98 &amp; ")", ""))))</f>
        <v>na</v>
      </c>
      <c r="E98" s="7" t="s">
        <v>195</v>
      </c>
      <c r="F98" s="7" t="s">
        <v>195</v>
      </c>
      <c r="G98" s="7" t="s">
        <v>195</v>
      </c>
      <c r="H98" s="7" t="s">
        <v>195</v>
      </c>
      <c r="I98" s="7" t="s">
        <v>195</v>
      </c>
      <c r="J98" s="7" t="s">
        <v>195</v>
      </c>
      <c r="K98" s="7" t="s">
        <v>195</v>
      </c>
      <c r="L98" s="7" t="s">
        <v>195</v>
      </c>
      <c r="M98" s="7" t="s">
        <v>29</v>
      </c>
      <c r="N98" s="7" t="s">
        <v>29</v>
      </c>
      <c r="O98" s="7" t="s">
        <v>29</v>
      </c>
      <c r="P98" s="7" t="s">
        <v>29</v>
      </c>
      <c r="Q98" s="7" t="s">
        <v>29</v>
      </c>
      <c r="R98" s="7" t="s">
        <v>29</v>
      </c>
      <c r="S98" s="7" t="s">
        <v>29</v>
      </c>
    </row>
    <row r="99" spans="2:19">
      <c r="B99" s="7" t="s">
        <v>195</v>
      </c>
      <c r="C99" s="8" t="s">
        <v>195</v>
      </c>
      <c r="D99" s="5" t="str">
        <f>LRTRIM(CONCATENATE(IF(SUMPRODUCT(-- ISNUMBER(SEARCH({"Auto Number"}, $B99))) &gt; 0, $B99, IF(SUMPRODUCT(-- ISNUMBER(SEARCH({"Lookup","Master-Detail"}, $B99))) &gt; 0,$B99 &amp; "(" &amp; $E99 &amp; ")",IF(SUMPRODUCT(-- ISNUMBER(SEARCH({"Formula","Roll-Up Summary"}, $B99))) &gt; 0,$B99 &amp; " (" &amp; $E99 &amp; ")",IF(SUMPRODUCT(-- ISNUMBER(SEARCH({"Content","Currency","Number","Percent","Text","URL"}, $B99))) &gt; 0,$B99 &amp; "(" &amp; $C99 &amp; ")",$B99)))), "  ", TRIM(IF($S99 = "YES", "(External ID)", "") &amp; " " &amp; IF(SUMPRODUCT(-- ISNUMBER(SEARCH({"Unique","Unique Case Insensitive"}, $R99))) &gt; 0, "(" &amp; $R99 &amp; ")", ""))))</f>
        <v>na</v>
      </c>
      <c r="E99" s="7" t="s">
        <v>195</v>
      </c>
      <c r="F99" s="7" t="s">
        <v>195</v>
      </c>
      <c r="G99" s="7" t="s">
        <v>195</v>
      </c>
      <c r="H99" s="7" t="s">
        <v>195</v>
      </c>
      <c r="I99" s="7" t="s">
        <v>195</v>
      </c>
      <c r="J99" s="7" t="s">
        <v>195</v>
      </c>
      <c r="K99" s="7" t="s">
        <v>195</v>
      </c>
      <c r="L99" s="7" t="s">
        <v>195</v>
      </c>
      <c r="M99" s="7" t="s">
        <v>29</v>
      </c>
      <c r="N99" s="7" t="s">
        <v>29</v>
      </c>
      <c r="O99" s="7" t="s">
        <v>29</v>
      </c>
      <c r="P99" s="7" t="s">
        <v>29</v>
      </c>
      <c r="Q99" s="7" t="s">
        <v>29</v>
      </c>
      <c r="R99" s="7" t="s">
        <v>29</v>
      </c>
      <c r="S99" s="7" t="s">
        <v>29</v>
      </c>
    </row>
    <row r="100" spans="2:19">
      <c r="B100" s="7" t="s">
        <v>195</v>
      </c>
      <c r="C100" s="8" t="s">
        <v>195</v>
      </c>
      <c r="D100" s="5" t="str">
        <f>LRTRIM(CONCATENATE(IF(SUMPRODUCT(-- ISNUMBER(SEARCH({"Auto Number"}, $B100))) &gt; 0, $B100, IF(SUMPRODUCT(-- ISNUMBER(SEARCH({"Lookup","Master-Detail"}, $B100))) &gt; 0,$B100 &amp; "(" &amp; $E100 &amp; ")",IF(SUMPRODUCT(-- ISNUMBER(SEARCH({"Formula","Roll-Up Summary"}, $B100))) &gt; 0,$B100 &amp; " (" &amp; $E100 &amp; ")",IF(SUMPRODUCT(-- ISNUMBER(SEARCH({"Content","Currency","Number","Percent","Text","URL"}, $B100))) &gt; 0,$B100 &amp; "(" &amp; $C100 &amp; ")",$B100)))), "  ", TRIM(IF($S100 = "YES", "(External ID)", "") &amp; " " &amp; IF(SUMPRODUCT(-- ISNUMBER(SEARCH({"Unique","Unique Case Insensitive"}, $R100))) &gt; 0, "(" &amp; $R100 &amp; ")", ""))))</f>
        <v>na</v>
      </c>
      <c r="E100" s="7" t="s">
        <v>195</v>
      </c>
      <c r="F100" s="7" t="s">
        <v>195</v>
      </c>
      <c r="G100" s="7" t="s">
        <v>195</v>
      </c>
      <c r="H100" s="7" t="s">
        <v>195</v>
      </c>
      <c r="I100" s="7" t="s">
        <v>195</v>
      </c>
      <c r="J100" s="7" t="s">
        <v>195</v>
      </c>
      <c r="K100" s="7" t="s">
        <v>195</v>
      </c>
      <c r="L100" s="7" t="s">
        <v>195</v>
      </c>
      <c r="M100" s="7" t="s">
        <v>29</v>
      </c>
      <c r="N100" s="7" t="s">
        <v>29</v>
      </c>
      <c r="O100" s="7" t="s">
        <v>29</v>
      </c>
      <c r="P100" s="7" t="s">
        <v>29</v>
      </c>
      <c r="Q100" s="7" t="s">
        <v>29</v>
      </c>
      <c r="R100" s="7" t="s">
        <v>29</v>
      </c>
      <c r="S100" s="7" t="s">
        <v>29</v>
      </c>
    </row>
    <row r="101" spans="2:19">
      <c r="B101" s="7" t="s">
        <v>195</v>
      </c>
      <c r="C101" s="8" t="s">
        <v>195</v>
      </c>
      <c r="D101" s="5" t="str">
        <f>LRTRIM(CONCATENATE(IF(SUMPRODUCT(-- ISNUMBER(SEARCH({"Auto Number"}, $B101))) &gt; 0, $B101, IF(SUMPRODUCT(-- ISNUMBER(SEARCH({"Lookup","Master-Detail"}, $B101))) &gt; 0,$B101 &amp; "(" &amp; $E101 &amp; ")",IF(SUMPRODUCT(-- ISNUMBER(SEARCH({"Formula","Roll-Up Summary"}, $B101))) &gt; 0,$B101 &amp; " (" &amp; $E101 &amp; ")",IF(SUMPRODUCT(-- ISNUMBER(SEARCH({"Content","Currency","Number","Percent","Text","URL"}, $B101))) &gt; 0,$B101 &amp; "(" &amp; $C101 &amp; ")",$B101)))), "  ", TRIM(IF($S101 = "YES", "(External ID)", "") &amp; " " &amp; IF(SUMPRODUCT(-- ISNUMBER(SEARCH({"Unique","Unique Case Insensitive"}, $R101))) &gt; 0, "(" &amp; $R101 &amp; ")", ""))))</f>
        <v>na</v>
      </c>
      <c r="E101" s="7" t="s">
        <v>195</v>
      </c>
      <c r="F101" s="7" t="s">
        <v>195</v>
      </c>
      <c r="G101" s="7" t="s">
        <v>195</v>
      </c>
      <c r="H101" s="7" t="s">
        <v>195</v>
      </c>
      <c r="I101" s="7" t="s">
        <v>195</v>
      </c>
      <c r="J101" s="7" t="s">
        <v>195</v>
      </c>
      <c r="K101" s="7" t="s">
        <v>195</v>
      </c>
      <c r="L101" s="7" t="s">
        <v>195</v>
      </c>
      <c r="M101" s="7" t="s">
        <v>29</v>
      </c>
      <c r="N101" s="7" t="s">
        <v>29</v>
      </c>
      <c r="O101" s="7" t="s">
        <v>29</v>
      </c>
      <c r="P101" s="7" t="s">
        <v>29</v>
      </c>
      <c r="Q101" s="7" t="s">
        <v>29</v>
      </c>
      <c r="R101" s="7" t="s">
        <v>29</v>
      </c>
      <c r="S101" s="7" t="s">
        <v>29</v>
      </c>
    </row>
    <row r="102" spans="2:19">
      <c r="B102" s="7" t="s">
        <v>195</v>
      </c>
      <c r="C102" s="8" t="s">
        <v>195</v>
      </c>
      <c r="D102" s="5" t="str">
        <f>LRTRIM(CONCATENATE(IF(SUMPRODUCT(-- ISNUMBER(SEARCH({"Auto Number"}, $B102))) &gt; 0, $B102, IF(SUMPRODUCT(-- ISNUMBER(SEARCH({"Lookup","Master-Detail"}, $B102))) &gt; 0,$B102 &amp; "(" &amp; $E102 &amp; ")",IF(SUMPRODUCT(-- ISNUMBER(SEARCH({"Formula","Roll-Up Summary"}, $B102))) &gt; 0,$B102 &amp; " (" &amp; $E102 &amp; ")",IF(SUMPRODUCT(-- ISNUMBER(SEARCH({"Content","Currency","Number","Percent","Text","URL"}, $B102))) &gt; 0,$B102 &amp; "(" &amp; $C102 &amp; ")",$B102)))), "  ", TRIM(IF($S102 = "YES", "(External ID)", "") &amp; " " &amp; IF(SUMPRODUCT(-- ISNUMBER(SEARCH({"Unique","Unique Case Insensitive"}, $R102))) &gt; 0, "(" &amp; $R102 &amp; ")", ""))))</f>
        <v>na</v>
      </c>
      <c r="E102" s="7" t="s">
        <v>195</v>
      </c>
      <c r="F102" s="7" t="s">
        <v>195</v>
      </c>
      <c r="G102" s="7" t="s">
        <v>195</v>
      </c>
      <c r="H102" s="7" t="s">
        <v>195</v>
      </c>
      <c r="I102" s="7" t="s">
        <v>195</v>
      </c>
      <c r="J102" s="7" t="s">
        <v>195</v>
      </c>
      <c r="K102" s="7" t="s">
        <v>195</v>
      </c>
      <c r="L102" s="7" t="s">
        <v>195</v>
      </c>
      <c r="M102" s="7" t="s">
        <v>29</v>
      </c>
      <c r="N102" s="7" t="s">
        <v>29</v>
      </c>
      <c r="O102" s="7" t="s">
        <v>29</v>
      </c>
      <c r="P102" s="7" t="s">
        <v>29</v>
      </c>
      <c r="Q102" s="7" t="s">
        <v>29</v>
      </c>
      <c r="R102" s="7" t="s">
        <v>29</v>
      </c>
      <c r="S102" s="7" t="s">
        <v>29</v>
      </c>
    </row>
    <row r="103" spans="2:19">
      <c r="B103" s="7" t="s">
        <v>195</v>
      </c>
      <c r="C103" s="8" t="s">
        <v>195</v>
      </c>
      <c r="D103" s="5" t="str">
        <f>LRTRIM(CONCATENATE(IF(SUMPRODUCT(-- ISNUMBER(SEARCH({"Auto Number"}, $B103))) &gt; 0, $B103, IF(SUMPRODUCT(-- ISNUMBER(SEARCH({"Lookup","Master-Detail"}, $B103))) &gt; 0,$B103 &amp; "(" &amp; $E103 &amp; ")",IF(SUMPRODUCT(-- ISNUMBER(SEARCH({"Formula","Roll-Up Summary"}, $B103))) &gt; 0,$B103 &amp; " (" &amp; $E103 &amp; ")",IF(SUMPRODUCT(-- ISNUMBER(SEARCH({"Content","Currency","Number","Percent","Text","URL"}, $B103))) &gt; 0,$B103 &amp; "(" &amp; $C103 &amp; ")",$B103)))), "  ", TRIM(IF($S103 = "YES", "(External ID)", "") &amp; " " &amp; IF(SUMPRODUCT(-- ISNUMBER(SEARCH({"Unique","Unique Case Insensitive"}, $R103))) &gt; 0, "(" &amp; $R103 &amp; ")", ""))))</f>
        <v>na</v>
      </c>
      <c r="E103" s="7" t="s">
        <v>195</v>
      </c>
      <c r="F103" s="7" t="s">
        <v>195</v>
      </c>
      <c r="G103" s="7" t="s">
        <v>195</v>
      </c>
      <c r="H103" s="7" t="s">
        <v>195</v>
      </c>
      <c r="I103" s="7" t="s">
        <v>195</v>
      </c>
      <c r="J103" s="7" t="s">
        <v>195</v>
      </c>
      <c r="K103" s="7" t="s">
        <v>195</v>
      </c>
      <c r="L103" s="7" t="s">
        <v>195</v>
      </c>
      <c r="M103" s="7" t="s">
        <v>29</v>
      </c>
      <c r="N103" s="7" t="s">
        <v>29</v>
      </c>
      <c r="O103" s="7" t="s">
        <v>29</v>
      </c>
      <c r="P103" s="7" t="s">
        <v>29</v>
      </c>
      <c r="Q103" s="7" t="s">
        <v>29</v>
      </c>
      <c r="R103" s="7" t="s">
        <v>29</v>
      </c>
      <c r="S103" s="7" t="s">
        <v>29</v>
      </c>
    </row>
    <row r="104" spans="2:19">
      <c r="B104" s="7" t="s">
        <v>195</v>
      </c>
      <c r="C104" s="8" t="s">
        <v>195</v>
      </c>
      <c r="D104" s="5" t="str">
        <f>LRTRIM(CONCATENATE(IF(SUMPRODUCT(-- ISNUMBER(SEARCH({"Auto Number"}, $B104))) &gt; 0, $B104, IF(SUMPRODUCT(-- ISNUMBER(SEARCH({"Lookup","Master-Detail"}, $B104))) &gt; 0,$B104 &amp; "(" &amp; $E104 &amp; ")",IF(SUMPRODUCT(-- ISNUMBER(SEARCH({"Formula","Roll-Up Summary"}, $B104))) &gt; 0,$B104 &amp; " (" &amp; $E104 &amp; ")",IF(SUMPRODUCT(-- ISNUMBER(SEARCH({"Content","Currency","Number","Percent","Text","URL"}, $B104))) &gt; 0,$B104 &amp; "(" &amp; $C104 &amp; ")",$B104)))), "  ", TRIM(IF($S104 = "YES", "(External ID)", "") &amp; " " &amp; IF(SUMPRODUCT(-- ISNUMBER(SEARCH({"Unique","Unique Case Insensitive"}, $R104))) &gt; 0, "(" &amp; $R104 &amp; ")", ""))))</f>
        <v>na</v>
      </c>
      <c r="E104" s="7" t="s">
        <v>195</v>
      </c>
      <c r="F104" s="7" t="s">
        <v>195</v>
      </c>
      <c r="G104" s="7" t="s">
        <v>195</v>
      </c>
      <c r="H104" s="7" t="s">
        <v>195</v>
      </c>
      <c r="I104" s="7" t="s">
        <v>195</v>
      </c>
      <c r="J104" s="7" t="s">
        <v>195</v>
      </c>
      <c r="K104" s="7" t="s">
        <v>195</v>
      </c>
      <c r="L104" s="7" t="s">
        <v>195</v>
      </c>
      <c r="M104" s="7" t="s">
        <v>29</v>
      </c>
      <c r="N104" s="7" t="s">
        <v>29</v>
      </c>
      <c r="O104" s="7" t="s">
        <v>29</v>
      </c>
      <c r="P104" s="7" t="s">
        <v>29</v>
      </c>
      <c r="Q104" s="7" t="s">
        <v>29</v>
      </c>
      <c r="R104" s="7" t="s">
        <v>29</v>
      </c>
      <c r="S104" s="7" t="s">
        <v>29</v>
      </c>
    </row>
    <row r="105" spans="2:19">
      <c r="B105" s="7" t="s">
        <v>195</v>
      </c>
      <c r="C105" s="8" t="s">
        <v>195</v>
      </c>
      <c r="D105" s="5" t="str">
        <f>LRTRIM(CONCATENATE(IF(SUMPRODUCT(-- ISNUMBER(SEARCH({"Auto Number"}, $B105))) &gt; 0, $B105, IF(SUMPRODUCT(-- ISNUMBER(SEARCH({"Lookup","Master-Detail"}, $B105))) &gt; 0,$B105 &amp; "(" &amp; $E105 &amp; ")",IF(SUMPRODUCT(-- ISNUMBER(SEARCH({"Formula","Roll-Up Summary"}, $B105))) &gt; 0,$B105 &amp; " (" &amp; $E105 &amp; ")",IF(SUMPRODUCT(-- ISNUMBER(SEARCH({"Content","Currency","Number","Percent","Text","URL"}, $B105))) &gt; 0,$B105 &amp; "(" &amp; $C105 &amp; ")",$B105)))), "  ", TRIM(IF($S105 = "YES", "(External ID)", "") &amp; " " &amp; IF(SUMPRODUCT(-- ISNUMBER(SEARCH({"Unique","Unique Case Insensitive"}, $R105))) &gt; 0, "(" &amp; $R105 &amp; ")", ""))))</f>
        <v>na</v>
      </c>
      <c r="E105" s="7" t="s">
        <v>195</v>
      </c>
      <c r="F105" s="7" t="s">
        <v>195</v>
      </c>
      <c r="G105" s="7" t="s">
        <v>195</v>
      </c>
      <c r="H105" s="7" t="s">
        <v>195</v>
      </c>
      <c r="I105" s="7" t="s">
        <v>195</v>
      </c>
      <c r="J105" s="7" t="s">
        <v>195</v>
      </c>
      <c r="K105" s="7" t="s">
        <v>195</v>
      </c>
      <c r="L105" s="7" t="s">
        <v>195</v>
      </c>
      <c r="M105" s="7" t="s">
        <v>29</v>
      </c>
      <c r="N105" s="7" t="s">
        <v>29</v>
      </c>
      <c r="O105" s="7" t="s">
        <v>29</v>
      </c>
      <c r="P105" s="7" t="s">
        <v>29</v>
      </c>
      <c r="Q105" s="7" t="s">
        <v>29</v>
      </c>
      <c r="R105" s="7" t="s">
        <v>29</v>
      </c>
      <c r="S105" s="7" t="s">
        <v>29</v>
      </c>
    </row>
    <row r="106" spans="2:19">
      <c r="B106" s="7" t="s">
        <v>195</v>
      </c>
      <c r="C106" s="8" t="s">
        <v>195</v>
      </c>
      <c r="D106" s="5" t="str">
        <f>LRTRIM(CONCATENATE(IF(SUMPRODUCT(-- ISNUMBER(SEARCH({"Auto Number"}, $B106))) &gt; 0, $B106, IF(SUMPRODUCT(-- ISNUMBER(SEARCH({"Lookup","Master-Detail"}, $B106))) &gt; 0,$B106 &amp; "(" &amp; $E106 &amp; ")",IF(SUMPRODUCT(-- ISNUMBER(SEARCH({"Formula","Roll-Up Summary"}, $B106))) &gt; 0,$B106 &amp; " (" &amp; $E106 &amp; ")",IF(SUMPRODUCT(-- ISNUMBER(SEARCH({"Content","Currency","Number","Percent","Text","URL"}, $B106))) &gt; 0,$B106 &amp; "(" &amp; $C106 &amp; ")",$B106)))), "  ", TRIM(IF($S106 = "YES", "(External ID)", "") &amp; " " &amp; IF(SUMPRODUCT(-- ISNUMBER(SEARCH({"Unique","Unique Case Insensitive"}, $R106))) &gt; 0, "(" &amp; $R106 &amp; ")", ""))))</f>
        <v>na</v>
      </c>
      <c r="E106" s="7" t="s">
        <v>195</v>
      </c>
      <c r="F106" s="7" t="s">
        <v>195</v>
      </c>
      <c r="G106" s="7" t="s">
        <v>195</v>
      </c>
      <c r="H106" s="7" t="s">
        <v>195</v>
      </c>
      <c r="I106" s="7" t="s">
        <v>195</v>
      </c>
      <c r="J106" s="7" t="s">
        <v>195</v>
      </c>
      <c r="K106" s="7" t="s">
        <v>195</v>
      </c>
      <c r="L106" s="7" t="s">
        <v>195</v>
      </c>
      <c r="M106" s="7" t="s">
        <v>29</v>
      </c>
      <c r="N106" s="7" t="s">
        <v>29</v>
      </c>
      <c r="O106" s="7" t="s">
        <v>29</v>
      </c>
      <c r="P106" s="7" t="s">
        <v>29</v>
      </c>
      <c r="Q106" s="7" t="s">
        <v>29</v>
      </c>
      <c r="R106" s="7" t="s">
        <v>29</v>
      </c>
      <c r="S106" s="7" t="s">
        <v>29</v>
      </c>
    </row>
    <row r="107" spans="2:19">
      <c r="B107" s="7" t="s">
        <v>195</v>
      </c>
      <c r="C107" s="8" t="s">
        <v>195</v>
      </c>
      <c r="D107" s="5" t="str">
        <f>LRTRIM(CONCATENATE(IF(SUMPRODUCT(-- ISNUMBER(SEARCH({"Auto Number"}, $B107))) &gt; 0, $B107, IF(SUMPRODUCT(-- ISNUMBER(SEARCH({"Lookup","Master-Detail"}, $B107))) &gt; 0,$B107 &amp; "(" &amp; $E107 &amp; ")",IF(SUMPRODUCT(-- ISNUMBER(SEARCH({"Formula","Roll-Up Summary"}, $B107))) &gt; 0,$B107 &amp; " (" &amp; $E107 &amp; ")",IF(SUMPRODUCT(-- ISNUMBER(SEARCH({"Content","Currency","Number","Percent","Text","URL"}, $B107))) &gt; 0,$B107 &amp; "(" &amp; $C107 &amp; ")",$B107)))), "  ", TRIM(IF($S107 = "YES", "(External ID)", "") &amp; " " &amp; IF(SUMPRODUCT(-- ISNUMBER(SEARCH({"Unique","Unique Case Insensitive"}, $R107))) &gt; 0, "(" &amp; $R107 &amp; ")", ""))))</f>
        <v>na</v>
      </c>
      <c r="E107" s="7" t="s">
        <v>195</v>
      </c>
      <c r="F107" s="7" t="s">
        <v>195</v>
      </c>
      <c r="G107" s="7" t="s">
        <v>195</v>
      </c>
      <c r="H107" s="7" t="s">
        <v>195</v>
      </c>
      <c r="I107" s="7" t="s">
        <v>195</v>
      </c>
      <c r="J107" s="7" t="s">
        <v>195</v>
      </c>
      <c r="K107" s="7" t="s">
        <v>195</v>
      </c>
      <c r="L107" s="7" t="s">
        <v>195</v>
      </c>
      <c r="M107" s="7" t="s">
        <v>29</v>
      </c>
      <c r="N107" s="7" t="s">
        <v>29</v>
      </c>
      <c r="O107" s="7" t="s">
        <v>29</v>
      </c>
      <c r="P107" s="7" t="s">
        <v>29</v>
      </c>
      <c r="Q107" s="7" t="s">
        <v>29</v>
      </c>
      <c r="R107" s="7" t="s">
        <v>29</v>
      </c>
      <c r="S107" s="7" t="s">
        <v>29</v>
      </c>
    </row>
    <row r="108" spans="2:19">
      <c r="B108" s="7" t="s">
        <v>195</v>
      </c>
      <c r="C108" s="8" t="s">
        <v>195</v>
      </c>
      <c r="D108" s="5" t="str">
        <f>LRTRIM(CONCATENATE(IF(SUMPRODUCT(-- ISNUMBER(SEARCH({"Auto Number"}, $B108))) &gt; 0, $B108, IF(SUMPRODUCT(-- ISNUMBER(SEARCH({"Lookup","Master-Detail"}, $B108))) &gt; 0,$B108 &amp; "(" &amp; $E108 &amp; ")",IF(SUMPRODUCT(-- ISNUMBER(SEARCH({"Formula","Roll-Up Summary"}, $B108))) &gt; 0,$B108 &amp; " (" &amp; $E108 &amp; ")",IF(SUMPRODUCT(-- ISNUMBER(SEARCH({"Content","Currency","Number","Percent","Text","URL"}, $B108))) &gt; 0,$B108 &amp; "(" &amp; $C108 &amp; ")",$B108)))), "  ", TRIM(IF($S108 = "YES", "(External ID)", "") &amp; " " &amp; IF(SUMPRODUCT(-- ISNUMBER(SEARCH({"Unique","Unique Case Insensitive"}, $R108))) &gt; 0, "(" &amp; $R108 &amp; ")", ""))))</f>
        <v>na</v>
      </c>
      <c r="E108" s="7" t="s">
        <v>195</v>
      </c>
      <c r="F108" s="7" t="s">
        <v>195</v>
      </c>
      <c r="G108" s="7" t="s">
        <v>195</v>
      </c>
      <c r="H108" s="7" t="s">
        <v>195</v>
      </c>
      <c r="I108" s="7" t="s">
        <v>195</v>
      </c>
      <c r="J108" s="7" t="s">
        <v>195</v>
      </c>
      <c r="K108" s="7" t="s">
        <v>195</v>
      </c>
      <c r="L108" s="7" t="s">
        <v>195</v>
      </c>
      <c r="M108" s="7" t="s">
        <v>29</v>
      </c>
      <c r="N108" s="7" t="s">
        <v>29</v>
      </c>
      <c r="O108" s="7" t="s">
        <v>29</v>
      </c>
      <c r="P108" s="7" t="s">
        <v>29</v>
      </c>
      <c r="Q108" s="7" t="s">
        <v>29</v>
      </c>
      <c r="R108" s="7" t="s">
        <v>29</v>
      </c>
      <c r="S108" s="7" t="s">
        <v>29</v>
      </c>
    </row>
    <row r="109" spans="2:19">
      <c r="B109" s="7" t="s">
        <v>195</v>
      </c>
      <c r="C109" s="8" t="s">
        <v>195</v>
      </c>
      <c r="D109" s="5" t="str">
        <f>LRTRIM(CONCATENATE(IF(SUMPRODUCT(-- ISNUMBER(SEARCH({"Auto Number"}, $B109))) &gt; 0, $B109, IF(SUMPRODUCT(-- ISNUMBER(SEARCH({"Lookup","Master-Detail"}, $B109))) &gt; 0,$B109 &amp; "(" &amp; $E109 &amp; ")",IF(SUMPRODUCT(-- ISNUMBER(SEARCH({"Formula","Roll-Up Summary"}, $B109))) &gt; 0,$B109 &amp; " (" &amp; $E109 &amp; ")",IF(SUMPRODUCT(-- ISNUMBER(SEARCH({"Content","Currency","Number","Percent","Text","URL"}, $B109))) &gt; 0,$B109 &amp; "(" &amp; $C109 &amp; ")",$B109)))), "  ", TRIM(IF($S109 = "YES", "(External ID)", "") &amp; " " &amp; IF(SUMPRODUCT(-- ISNUMBER(SEARCH({"Unique","Unique Case Insensitive"}, $R109))) &gt; 0, "(" &amp; $R109 &amp; ")", ""))))</f>
        <v>na</v>
      </c>
      <c r="E109" s="7" t="s">
        <v>195</v>
      </c>
      <c r="F109" s="7" t="s">
        <v>195</v>
      </c>
      <c r="G109" s="7" t="s">
        <v>195</v>
      </c>
      <c r="H109" s="7" t="s">
        <v>195</v>
      </c>
      <c r="I109" s="7" t="s">
        <v>195</v>
      </c>
      <c r="J109" s="7" t="s">
        <v>195</v>
      </c>
      <c r="K109" s="7" t="s">
        <v>195</v>
      </c>
      <c r="L109" s="7" t="s">
        <v>195</v>
      </c>
      <c r="M109" s="7" t="s">
        <v>29</v>
      </c>
      <c r="N109" s="7" t="s">
        <v>29</v>
      </c>
      <c r="O109" s="7" t="s">
        <v>29</v>
      </c>
      <c r="P109" s="7" t="s">
        <v>29</v>
      </c>
      <c r="Q109" s="7" t="s">
        <v>29</v>
      </c>
      <c r="R109" s="7" t="s">
        <v>29</v>
      </c>
      <c r="S109" s="7" t="s">
        <v>29</v>
      </c>
    </row>
    <row r="110" spans="2:19">
      <c r="B110" s="7" t="s">
        <v>195</v>
      </c>
      <c r="C110" s="8" t="s">
        <v>195</v>
      </c>
      <c r="D110" s="5" t="str">
        <f>LRTRIM(CONCATENATE(IF(SUMPRODUCT(-- ISNUMBER(SEARCH({"Auto Number"}, $B110))) &gt; 0, $B110, IF(SUMPRODUCT(-- ISNUMBER(SEARCH({"Lookup","Master-Detail"}, $B110))) &gt; 0,$B110 &amp; "(" &amp; $E110 &amp; ")",IF(SUMPRODUCT(-- ISNUMBER(SEARCH({"Formula","Roll-Up Summary"}, $B110))) &gt; 0,$B110 &amp; " (" &amp; $E110 &amp; ")",IF(SUMPRODUCT(-- ISNUMBER(SEARCH({"Content","Currency","Number","Percent","Text","URL"}, $B110))) &gt; 0,$B110 &amp; "(" &amp; $C110 &amp; ")",$B110)))), "  ", TRIM(IF($S110 = "YES", "(External ID)", "") &amp; " " &amp; IF(SUMPRODUCT(-- ISNUMBER(SEARCH({"Unique","Unique Case Insensitive"}, $R110))) &gt; 0, "(" &amp; $R110 &amp; ")", ""))))</f>
        <v>na</v>
      </c>
      <c r="E110" s="7" t="s">
        <v>195</v>
      </c>
      <c r="F110" s="7" t="s">
        <v>195</v>
      </c>
      <c r="G110" s="7" t="s">
        <v>195</v>
      </c>
      <c r="H110" s="7" t="s">
        <v>195</v>
      </c>
      <c r="I110" s="7" t="s">
        <v>195</v>
      </c>
      <c r="J110" s="7" t="s">
        <v>195</v>
      </c>
      <c r="K110" s="7" t="s">
        <v>195</v>
      </c>
      <c r="L110" s="7" t="s">
        <v>195</v>
      </c>
      <c r="M110" s="7" t="s">
        <v>29</v>
      </c>
      <c r="N110" s="7" t="s">
        <v>29</v>
      </c>
      <c r="O110" s="7" t="s">
        <v>29</v>
      </c>
      <c r="P110" s="7" t="s">
        <v>29</v>
      </c>
      <c r="Q110" s="7" t="s">
        <v>29</v>
      </c>
      <c r="R110" s="7" t="s">
        <v>29</v>
      </c>
      <c r="S110" s="7" t="s">
        <v>29</v>
      </c>
    </row>
    <row r="111" spans="2:19">
      <c r="B111" s="7" t="s">
        <v>195</v>
      </c>
      <c r="C111" s="8" t="s">
        <v>195</v>
      </c>
      <c r="D111" s="5" t="str">
        <f>LRTRIM(CONCATENATE(IF(SUMPRODUCT(-- ISNUMBER(SEARCH({"Auto Number"}, $B111))) &gt; 0, $B111, IF(SUMPRODUCT(-- ISNUMBER(SEARCH({"Lookup","Master-Detail"}, $B111))) &gt; 0,$B111 &amp; "(" &amp; $E111 &amp; ")",IF(SUMPRODUCT(-- ISNUMBER(SEARCH({"Formula","Roll-Up Summary"}, $B111))) &gt; 0,$B111 &amp; " (" &amp; $E111 &amp; ")",IF(SUMPRODUCT(-- ISNUMBER(SEARCH({"Content","Currency","Number","Percent","Text","URL"}, $B111))) &gt; 0,$B111 &amp; "(" &amp; $C111 &amp; ")",$B111)))), "  ", TRIM(IF($S111 = "YES", "(External ID)", "") &amp; " " &amp; IF(SUMPRODUCT(-- ISNUMBER(SEARCH({"Unique","Unique Case Insensitive"}, $R111))) &gt; 0, "(" &amp; $R111 &amp; ")", ""))))</f>
        <v>na</v>
      </c>
      <c r="E111" s="7" t="s">
        <v>195</v>
      </c>
      <c r="F111" s="7" t="s">
        <v>195</v>
      </c>
      <c r="G111" s="7" t="s">
        <v>195</v>
      </c>
      <c r="H111" s="7" t="s">
        <v>195</v>
      </c>
      <c r="I111" s="7" t="s">
        <v>195</v>
      </c>
      <c r="J111" s="7" t="s">
        <v>195</v>
      </c>
      <c r="K111" s="7" t="s">
        <v>195</v>
      </c>
      <c r="L111" s="7" t="s">
        <v>195</v>
      </c>
      <c r="M111" s="7" t="s">
        <v>29</v>
      </c>
      <c r="N111" s="7" t="s">
        <v>29</v>
      </c>
      <c r="O111" s="7" t="s">
        <v>29</v>
      </c>
      <c r="P111" s="7" t="s">
        <v>29</v>
      </c>
      <c r="Q111" s="7" t="s">
        <v>29</v>
      </c>
      <c r="R111" s="7" t="s">
        <v>29</v>
      </c>
      <c r="S111" s="7" t="s">
        <v>29</v>
      </c>
    </row>
    <row r="112" spans="2:19">
      <c r="B112" s="7" t="s">
        <v>195</v>
      </c>
      <c r="C112" s="8" t="s">
        <v>195</v>
      </c>
      <c r="D112" s="5" t="str">
        <f>LRTRIM(CONCATENATE(IF(SUMPRODUCT(-- ISNUMBER(SEARCH({"Auto Number"}, $B112))) &gt; 0, $B112, IF(SUMPRODUCT(-- ISNUMBER(SEARCH({"Lookup","Master-Detail"}, $B112))) &gt; 0,$B112 &amp; "(" &amp; $E112 &amp; ")",IF(SUMPRODUCT(-- ISNUMBER(SEARCH({"Formula","Roll-Up Summary"}, $B112))) &gt; 0,$B112 &amp; " (" &amp; $E112 &amp; ")",IF(SUMPRODUCT(-- ISNUMBER(SEARCH({"Content","Currency","Number","Percent","Text","URL"}, $B112))) &gt; 0,$B112 &amp; "(" &amp; $C112 &amp; ")",$B112)))), "  ", TRIM(IF($S112 = "YES", "(External ID)", "") &amp; " " &amp; IF(SUMPRODUCT(-- ISNUMBER(SEARCH({"Unique","Unique Case Insensitive"}, $R112))) &gt; 0, "(" &amp; $R112 &amp; ")", ""))))</f>
        <v>na</v>
      </c>
      <c r="E112" s="7" t="s">
        <v>195</v>
      </c>
      <c r="F112" s="7" t="s">
        <v>195</v>
      </c>
      <c r="G112" s="7" t="s">
        <v>195</v>
      </c>
      <c r="H112" s="7" t="s">
        <v>195</v>
      </c>
      <c r="I112" s="7" t="s">
        <v>195</v>
      </c>
      <c r="J112" s="7" t="s">
        <v>195</v>
      </c>
      <c r="K112" s="7" t="s">
        <v>195</v>
      </c>
      <c r="L112" s="7" t="s">
        <v>195</v>
      </c>
      <c r="M112" s="7" t="s">
        <v>29</v>
      </c>
      <c r="N112" s="7" t="s">
        <v>29</v>
      </c>
      <c r="O112" s="7" t="s">
        <v>29</v>
      </c>
      <c r="P112" s="7" t="s">
        <v>29</v>
      </c>
      <c r="Q112" s="7" t="s">
        <v>29</v>
      </c>
      <c r="R112" s="7" t="s">
        <v>29</v>
      </c>
      <c r="S112" s="7" t="s">
        <v>29</v>
      </c>
    </row>
    <row r="113" spans="2:19">
      <c r="B113" s="7" t="s">
        <v>195</v>
      </c>
      <c r="C113" s="8" t="s">
        <v>195</v>
      </c>
      <c r="D113" s="5" t="str">
        <f>LRTRIM(CONCATENATE(IF(SUMPRODUCT(-- ISNUMBER(SEARCH({"Auto Number"}, $B113))) &gt; 0, $B113, IF(SUMPRODUCT(-- ISNUMBER(SEARCH({"Lookup","Master-Detail"}, $B113))) &gt; 0,$B113 &amp; "(" &amp; $E113 &amp; ")",IF(SUMPRODUCT(-- ISNUMBER(SEARCH({"Formula","Roll-Up Summary"}, $B113))) &gt; 0,$B113 &amp; " (" &amp; $E113 &amp; ")",IF(SUMPRODUCT(-- ISNUMBER(SEARCH({"Content","Currency","Number","Percent","Text","URL"}, $B113))) &gt; 0,$B113 &amp; "(" &amp; $C113 &amp; ")",$B113)))), "  ", TRIM(IF($S113 = "YES", "(External ID)", "") &amp; " " &amp; IF(SUMPRODUCT(-- ISNUMBER(SEARCH({"Unique","Unique Case Insensitive"}, $R113))) &gt; 0, "(" &amp; $R113 &amp; ")", ""))))</f>
        <v>na</v>
      </c>
      <c r="E113" s="7" t="s">
        <v>195</v>
      </c>
      <c r="F113" s="7" t="s">
        <v>195</v>
      </c>
      <c r="G113" s="7" t="s">
        <v>195</v>
      </c>
      <c r="H113" s="7" t="s">
        <v>195</v>
      </c>
      <c r="I113" s="7" t="s">
        <v>195</v>
      </c>
      <c r="J113" s="7" t="s">
        <v>195</v>
      </c>
      <c r="K113" s="7" t="s">
        <v>195</v>
      </c>
      <c r="L113" s="7" t="s">
        <v>195</v>
      </c>
      <c r="M113" s="7" t="s">
        <v>29</v>
      </c>
      <c r="N113" s="7" t="s">
        <v>29</v>
      </c>
      <c r="O113" s="7" t="s">
        <v>29</v>
      </c>
      <c r="P113" s="7" t="s">
        <v>29</v>
      </c>
      <c r="Q113" s="7" t="s">
        <v>29</v>
      </c>
      <c r="R113" s="7" t="s">
        <v>29</v>
      </c>
      <c r="S113" s="7" t="s">
        <v>29</v>
      </c>
    </row>
    <row r="114" spans="2:19">
      <c r="B114" s="7" t="s">
        <v>195</v>
      </c>
      <c r="C114" s="8" t="s">
        <v>195</v>
      </c>
      <c r="D114" s="5" t="str">
        <f>LRTRIM(CONCATENATE(IF(SUMPRODUCT(-- ISNUMBER(SEARCH({"Auto Number"}, $B114))) &gt; 0, $B114, IF(SUMPRODUCT(-- ISNUMBER(SEARCH({"Lookup","Master-Detail"}, $B114))) &gt; 0,$B114 &amp; "(" &amp; $E114 &amp; ")",IF(SUMPRODUCT(-- ISNUMBER(SEARCH({"Formula","Roll-Up Summary"}, $B114))) &gt; 0,$B114 &amp; " (" &amp; $E114 &amp; ")",IF(SUMPRODUCT(-- ISNUMBER(SEARCH({"Content","Currency","Number","Percent","Text","URL"}, $B114))) &gt; 0,$B114 &amp; "(" &amp; $C114 &amp; ")",$B114)))), "  ", TRIM(IF($S114 = "YES", "(External ID)", "") &amp; " " &amp; IF(SUMPRODUCT(-- ISNUMBER(SEARCH({"Unique","Unique Case Insensitive"}, $R114))) &gt; 0, "(" &amp; $R114 &amp; ")", ""))))</f>
        <v>na</v>
      </c>
      <c r="E114" s="7" t="s">
        <v>195</v>
      </c>
      <c r="F114" s="7" t="s">
        <v>195</v>
      </c>
      <c r="G114" s="7" t="s">
        <v>195</v>
      </c>
      <c r="H114" s="7" t="s">
        <v>195</v>
      </c>
      <c r="I114" s="7" t="s">
        <v>195</v>
      </c>
      <c r="J114" s="7" t="s">
        <v>195</v>
      </c>
      <c r="K114" s="7" t="s">
        <v>195</v>
      </c>
      <c r="L114" s="7" t="s">
        <v>195</v>
      </c>
      <c r="M114" s="7" t="s">
        <v>29</v>
      </c>
      <c r="N114" s="7" t="s">
        <v>29</v>
      </c>
      <c r="O114" s="7" t="s">
        <v>29</v>
      </c>
      <c r="P114" s="7" t="s">
        <v>29</v>
      </c>
      <c r="Q114" s="7" t="s">
        <v>29</v>
      </c>
      <c r="R114" s="7" t="s">
        <v>29</v>
      </c>
      <c r="S114" s="7" t="s">
        <v>29</v>
      </c>
    </row>
    <row r="115" spans="2:19">
      <c r="B115" s="7" t="s">
        <v>195</v>
      </c>
      <c r="C115" s="8" t="s">
        <v>195</v>
      </c>
      <c r="D115" s="5" t="str">
        <f>LRTRIM(CONCATENATE(IF(SUMPRODUCT(-- ISNUMBER(SEARCH({"Auto Number"}, $B115))) &gt; 0, $B115, IF(SUMPRODUCT(-- ISNUMBER(SEARCH({"Lookup","Master-Detail"}, $B115))) &gt; 0,$B115 &amp; "(" &amp; $E115 &amp; ")",IF(SUMPRODUCT(-- ISNUMBER(SEARCH({"Formula","Roll-Up Summary"}, $B115))) &gt; 0,$B115 &amp; " (" &amp; $E115 &amp; ")",IF(SUMPRODUCT(-- ISNUMBER(SEARCH({"Content","Currency","Number","Percent","Text","URL"}, $B115))) &gt; 0,$B115 &amp; "(" &amp; $C115 &amp; ")",$B115)))), "  ", TRIM(IF($S115 = "YES", "(External ID)", "") &amp; " " &amp; IF(SUMPRODUCT(-- ISNUMBER(SEARCH({"Unique","Unique Case Insensitive"}, $R115))) &gt; 0, "(" &amp; $R115 &amp; ")", ""))))</f>
        <v>na</v>
      </c>
      <c r="E115" s="7" t="s">
        <v>195</v>
      </c>
      <c r="F115" s="7" t="s">
        <v>195</v>
      </c>
      <c r="G115" s="7" t="s">
        <v>195</v>
      </c>
      <c r="H115" s="7" t="s">
        <v>195</v>
      </c>
      <c r="I115" s="7" t="s">
        <v>195</v>
      </c>
      <c r="J115" s="7" t="s">
        <v>195</v>
      </c>
      <c r="K115" s="7" t="s">
        <v>195</v>
      </c>
      <c r="L115" s="7" t="s">
        <v>195</v>
      </c>
      <c r="M115" s="7" t="s">
        <v>29</v>
      </c>
      <c r="N115" s="7" t="s">
        <v>29</v>
      </c>
      <c r="O115" s="7" t="s">
        <v>29</v>
      </c>
      <c r="P115" s="7" t="s">
        <v>29</v>
      </c>
      <c r="Q115" s="7" t="s">
        <v>29</v>
      </c>
      <c r="R115" s="7" t="s">
        <v>29</v>
      </c>
      <c r="S115" s="7" t="s">
        <v>29</v>
      </c>
    </row>
    <row r="116" spans="2:19">
      <c r="B116" s="7" t="s">
        <v>195</v>
      </c>
      <c r="C116" s="8" t="s">
        <v>195</v>
      </c>
      <c r="D116" s="5" t="str">
        <f>LRTRIM(CONCATENATE(IF(SUMPRODUCT(-- ISNUMBER(SEARCH({"Auto Number"}, $B116))) &gt; 0, $B116, IF(SUMPRODUCT(-- ISNUMBER(SEARCH({"Lookup","Master-Detail"}, $B116))) &gt; 0,$B116 &amp; "(" &amp; $E116 &amp; ")",IF(SUMPRODUCT(-- ISNUMBER(SEARCH({"Formula","Roll-Up Summary"}, $B116))) &gt; 0,$B116 &amp; " (" &amp; $E116 &amp; ")",IF(SUMPRODUCT(-- ISNUMBER(SEARCH({"Content","Currency","Number","Percent","Text","URL"}, $B116))) &gt; 0,$B116 &amp; "(" &amp; $C116 &amp; ")",$B116)))), "  ", TRIM(IF($S116 = "YES", "(External ID)", "") &amp; " " &amp; IF(SUMPRODUCT(-- ISNUMBER(SEARCH({"Unique","Unique Case Insensitive"}, $R116))) &gt; 0, "(" &amp; $R116 &amp; ")", ""))))</f>
        <v>na</v>
      </c>
      <c r="E116" s="7" t="s">
        <v>195</v>
      </c>
      <c r="F116" s="7" t="s">
        <v>195</v>
      </c>
      <c r="G116" s="7" t="s">
        <v>195</v>
      </c>
      <c r="H116" s="7" t="s">
        <v>195</v>
      </c>
      <c r="I116" s="7" t="s">
        <v>195</v>
      </c>
      <c r="J116" s="7" t="s">
        <v>195</v>
      </c>
      <c r="K116" s="7" t="s">
        <v>195</v>
      </c>
      <c r="L116" s="7" t="s">
        <v>195</v>
      </c>
      <c r="M116" s="7" t="s">
        <v>29</v>
      </c>
      <c r="N116" s="7" t="s">
        <v>29</v>
      </c>
      <c r="O116" s="7" t="s">
        <v>29</v>
      </c>
      <c r="P116" s="7" t="s">
        <v>29</v>
      </c>
      <c r="Q116" s="7" t="s">
        <v>29</v>
      </c>
      <c r="R116" s="7" t="s">
        <v>29</v>
      </c>
      <c r="S116" s="7" t="s">
        <v>29</v>
      </c>
    </row>
    <row r="117" spans="2:19">
      <c r="B117" s="7" t="s">
        <v>195</v>
      </c>
      <c r="C117" s="8" t="s">
        <v>195</v>
      </c>
      <c r="D117" s="5" t="str">
        <f>LRTRIM(CONCATENATE(IF(SUMPRODUCT(-- ISNUMBER(SEARCH({"Auto Number"}, $B117))) &gt; 0, $B117, IF(SUMPRODUCT(-- ISNUMBER(SEARCH({"Lookup","Master-Detail"}, $B117))) &gt; 0,$B117 &amp; "(" &amp; $E117 &amp; ")",IF(SUMPRODUCT(-- ISNUMBER(SEARCH({"Formula","Roll-Up Summary"}, $B117))) &gt; 0,$B117 &amp; " (" &amp; $E117 &amp; ")",IF(SUMPRODUCT(-- ISNUMBER(SEARCH({"Content","Currency","Number","Percent","Text","URL"}, $B117))) &gt; 0,$B117 &amp; "(" &amp; $C117 &amp; ")",$B117)))), "  ", TRIM(IF($S117 = "YES", "(External ID)", "") &amp; " " &amp; IF(SUMPRODUCT(-- ISNUMBER(SEARCH({"Unique","Unique Case Insensitive"}, $R117))) &gt; 0, "(" &amp; $R117 &amp; ")", ""))))</f>
        <v>na</v>
      </c>
      <c r="E117" s="7" t="s">
        <v>195</v>
      </c>
      <c r="F117" s="7" t="s">
        <v>195</v>
      </c>
      <c r="G117" s="7" t="s">
        <v>195</v>
      </c>
      <c r="H117" s="7" t="s">
        <v>195</v>
      </c>
      <c r="I117" s="7" t="s">
        <v>195</v>
      </c>
      <c r="J117" s="7" t="s">
        <v>195</v>
      </c>
      <c r="K117" s="7" t="s">
        <v>195</v>
      </c>
      <c r="L117" s="7" t="s">
        <v>195</v>
      </c>
      <c r="M117" s="7" t="s">
        <v>29</v>
      </c>
      <c r="N117" s="7" t="s">
        <v>29</v>
      </c>
      <c r="O117" s="7" t="s">
        <v>29</v>
      </c>
      <c r="P117" s="7" t="s">
        <v>29</v>
      </c>
      <c r="Q117" s="7" t="s">
        <v>29</v>
      </c>
      <c r="R117" s="7" t="s">
        <v>29</v>
      </c>
      <c r="S117" s="7" t="s">
        <v>29</v>
      </c>
    </row>
    <row r="118" spans="2:19">
      <c r="B118" s="7" t="s">
        <v>195</v>
      </c>
      <c r="C118" s="8" t="s">
        <v>195</v>
      </c>
      <c r="D118" s="5" t="str">
        <f>LRTRIM(CONCATENATE(IF(SUMPRODUCT(-- ISNUMBER(SEARCH({"Auto Number"}, $B118))) &gt; 0, $B118, IF(SUMPRODUCT(-- ISNUMBER(SEARCH({"Lookup","Master-Detail"}, $B118))) &gt; 0,$B118 &amp; "(" &amp; $E118 &amp; ")",IF(SUMPRODUCT(-- ISNUMBER(SEARCH({"Formula","Roll-Up Summary"}, $B118))) &gt; 0,$B118 &amp; " (" &amp; $E118 &amp; ")",IF(SUMPRODUCT(-- ISNUMBER(SEARCH({"Content","Currency","Number","Percent","Text","URL"}, $B118))) &gt; 0,$B118 &amp; "(" &amp; $C118 &amp; ")",$B118)))), "  ", TRIM(IF($S118 = "YES", "(External ID)", "") &amp; " " &amp; IF(SUMPRODUCT(-- ISNUMBER(SEARCH({"Unique","Unique Case Insensitive"}, $R118))) &gt; 0, "(" &amp; $R118 &amp; ")", ""))))</f>
        <v>na</v>
      </c>
      <c r="E118" s="7" t="s">
        <v>195</v>
      </c>
      <c r="F118" s="7" t="s">
        <v>195</v>
      </c>
      <c r="G118" s="7" t="s">
        <v>195</v>
      </c>
      <c r="H118" s="7" t="s">
        <v>195</v>
      </c>
      <c r="I118" s="7" t="s">
        <v>195</v>
      </c>
      <c r="J118" s="7" t="s">
        <v>195</v>
      </c>
      <c r="K118" s="7" t="s">
        <v>195</v>
      </c>
      <c r="L118" s="7" t="s">
        <v>195</v>
      </c>
      <c r="M118" s="7" t="s">
        <v>29</v>
      </c>
      <c r="N118" s="7" t="s">
        <v>29</v>
      </c>
      <c r="O118" s="7" t="s">
        <v>29</v>
      </c>
      <c r="P118" s="7" t="s">
        <v>29</v>
      </c>
      <c r="Q118" s="7" t="s">
        <v>29</v>
      </c>
      <c r="R118" s="7" t="s">
        <v>29</v>
      </c>
      <c r="S118" s="7" t="s">
        <v>29</v>
      </c>
    </row>
    <row r="119" spans="2:19">
      <c r="B119" s="7" t="s">
        <v>195</v>
      </c>
      <c r="C119" s="8" t="s">
        <v>195</v>
      </c>
      <c r="D119" s="5" t="str">
        <f>LRTRIM(CONCATENATE(IF(SUMPRODUCT(-- ISNUMBER(SEARCH({"Auto Number"}, $B119))) &gt; 0, $B119, IF(SUMPRODUCT(-- ISNUMBER(SEARCH({"Lookup","Master-Detail"}, $B119))) &gt; 0,$B119 &amp; "(" &amp; $E119 &amp; ")",IF(SUMPRODUCT(-- ISNUMBER(SEARCH({"Formula","Roll-Up Summary"}, $B119))) &gt; 0,$B119 &amp; " (" &amp; $E119 &amp; ")",IF(SUMPRODUCT(-- ISNUMBER(SEARCH({"Content","Currency","Number","Percent","Text","URL"}, $B119))) &gt; 0,$B119 &amp; "(" &amp; $C119 &amp; ")",$B119)))), "  ", TRIM(IF($S119 = "YES", "(External ID)", "") &amp; " " &amp; IF(SUMPRODUCT(-- ISNUMBER(SEARCH({"Unique","Unique Case Insensitive"}, $R119))) &gt; 0, "(" &amp; $R119 &amp; ")", ""))))</f>
        <v>na</v>
      </c>
      <c r="E119" s="7" t="s">
        <v>195</v>
      </c>
      <c r="F119" s="7" t="s">
        <v>195</v>
      </c>
      <c r="G119" s="7" t="s">
        <v>195</v>
      </c>
      <c r="H119" s="7" t="s">
        <v>195</v>
      </c>
      <c r="I119" s="7" t="s">
        <v>195</v>
      </c>
      <c r="J119" s="7" t="s">
        <v>195</v>
      </c>
      <c r="K119" s="7" t="s">
        <v>195</v>
      </c>
      <c r="L119" s="7" t="s">
        <v>195</v>
      </c>
      <c r="M119" s="7" t="s">
        <v>29</v>
      </c>
      <c r="N119" s="7" t="s">
        <v>29</v>
      </c>
      <c r="O119" s="7" t="s">
        <v>29</v>
      </c>
      <c r="P119" s="7" t="s">
        <v>29</v>
      </c>
      <c r="Q119" s="7" t="s">
        <v>29</v>
      </c>
      <c r="R119" s="7" t="s">
        <v>29</v>
      </c>
      <c r="S119" s="7" t="s">
        <v>29</v>
      </c>
    </row>
    <row r="120" spans="2:19">
      <c r="B120" s="7" t="s">
        <v>195</v>
      </c>
      <c r="C120" s="8" t="s">
        <v>195</v>
      </c>
      <c r="D120" s="5" t="str">
        <f>LRTRIM(CONCATENATE(IF(SUMPRODUCT(-- ISNUMBER(SEARCH({"Auto Number"}, $B120))) &gt; 0, $B120, IF(SUMPRODUCT(-- ISNUMBER(SEARCH({"Lookup","Master-Detail"}, $B120))) &gt; 0,$B120 &amp; "(" &amp; $E120 &amp; ")",IF(SUMPRODUCT(-- ISNUMBER(SEARCH({"Formula","Roll-Up Summary"}, $B120))) &gt; 0,$B120 &amp; " (" &amp; $E120 &amp; ")",IF(SUMPRODUCT(-- ISNUMBER(SEARCH({"Content","Currency","Number","Percent","Text","URL"}, $B120))) &gt; 0,$B120 &amp; "(" &amp; $C120 &amp; ")",$B120)))), "  ", TRIM(IF($S120 = "YES", "(External ID)", "") &amp; " " &amp; IF(SUMPRODUCT(-- ISNUMBER(SEARCH({"Unique","Unique Case Insensitive"}, $R120))) &gt; 0, "(" &amp; $R120 &amp; ")", ""))))</f>
        <v>na</v>
      </c>
      <c r="E120" s="7" t="s">
        <v>195</v>
      </c>
      <c r="F120" s="7" t="s">
        <v>195</v>
      </c>
      <c r="G120" s="7" t="s">
        <v>195</v>
      </c>
      <c r="H120" s="7" t="s">
        <v>195</v>
      </c>
      <c r="I120" s="7" t="s">
        <v>195</v>
      </c>
      <c r="J120" s="7" t="s">
        <v>195</v>
      </c>
      <c r="K120" s="7" t="s">
        <v>195</v>
      </c>
      <c r="L120" s="7" t="s">
        <v>195</v>
      </c>
      <c r="M120" s="7" t="s">
        <v>29</v>
      </c>
      <c r="N120" s="7" t="s">
        <v>29</v>
      </c>
      <c r="O120" s="7" t="s">
        <v>29</v>
      </c>
      <c r="P120" s="7" t="s">
        <v>29</v>
      </c>
      <c r="Q120" s="7" t="s">
        <v>29</v>
      </c>
      <c r="R120" s="7" t="s">
        <v>29</v>
      </c>
      <c r="S120" s="7" t="s">
        <v>29</v>
      </c>
    </row>
    <row r="121" spans="2:19">
      <c r="B121" s="7" t="s">
        <v>195</v>
      </c>
      <c r="C121" s="8" t="s">
        <v>195</v>
      </c>
      <c r="D121" s="5" t="str">
        <f>LRTRIM(CONCATENATE(IF(SUMPRODUCT(-- ISNUMBER(SEARCH({"Auto Number"}, $B121))) &gt; 0, $B121, IF(SUMPRODUCT(-- ISNUMBER(SEARCH({"Lookup","Master-Detail"}, $B121))) &gt; 0,$B121 &amp; "(" &amp; $E121 &amp; ")",IF(SUMPRODUCT(-- ISNUMBER(SEARCH({"Formula","Roll-Up Summary"}, $B121))) &gt; 0,$B121 &amp; " (" &amp; $E121 &amp; ")",IF(SUMPRODUCT(-- ISNUMBER(SEARCH({"Content","Currency","Number","Percent","Text","URL"}, $B121))) &gt; 0,$B121 &amp; "(" &amp; $C121 &amp; ")",$B121)))), "  ", TRIM(IF($S121 = "YES", "(External ID)", "") &amp; " " &amp; IF(SUMPRODUCT(-- ISNUMBER(SEARCH({"Unique","Unique Case Insensitive"}, $R121))) &gt; 0, "(" &amp; $R121 &amp; ")", ""))))</f>
        <v>na</v>
      </c>
      <c r="E121" s="7" t="s">
        <v>195</v>
      </c>
      <c r="F121" s="7" t="s">
        <v>195</v>
      </c>
      <c r="G121" s="7" t="s">
        <v>195</v>
      </c>
      <c r="H121" s="7" t="s">
        <v>195</v>
      </c>
      <c r="I121" s="7" t="s">
        <v>195</v>
      </c>
      <c r="J121" s="7" t="s">
        <v>195</v>
      </c>
      <c r="K121" s="7" t="s">
        <v>195</v>
      </c>
      <c r="L121" s="7" t="s">
        <v>195</v>
      </c>
      <c r="M121" s="7" t="s">
        <v>29</v>
      </c>
      <c r="N121" s="7" t="s">
        <v>29</v>
      </c>
      <c r="O121" s="7" t="s">
        <v>29</v>
      </c>
      <c r="P121" s="7" t="s">
        <v>29</v>
      </c>
      <c r="Q121" s="7" t="s">
        <v>29</v>
      </c>
      <c r="R121" s="7" t="s">
        <v>29</v>
      </c>
      <c r="S121" s="7" t="s">
        <v>29</v>
      </c>
    </row>
    <row r="122" spans="2:19">
      <c r="B122" s="7" t="s">
        <v>195</v>
      </c>
      <c r="C122" s="8" t="s">
        <v>195</v>
      </c>
      <c r="D122" s="5" t="str">
        <f>LRTRIM(CONCATENATE(IF(SUMPRODUCT(-- ISNUMBER(SEARCH({"Auto Number"}, $B122))) &gt; 0, $B122, IF(SUMPRODUCT(-- ISNUMBER(SEARCH({"Lookup","Master-Detail"}, $B122))) &gt; 0,$B122 &amp; "(" &amp; $E122 &amp; ")",IF(SUMPRODUCT(-- ISNUMBER(SEARCH({"Formula","Roll-Up Summary"}, $B122))) &gt; 0,$B122 &amp; " (" &amp; $E122 &amp; ")",IF(SUMPRODUCT(-- ISNUMBER(SEARCH({"Content","Currency","Number","Percent","Text","URL"}, $B122))) &gt; 0,$B122 &amp; "(" &amp; $C122 &amp; ")",$B122)))), "  ", TRIM(IF($S122 = "YES", "(External ID)", "") &amp; " " &amp; IF(SUMPRODUCT(-- ISNUMBER(SEARCH({"Unique","Unique Case Insensitive"}, $R122))) &gt; 0, "(" &amp; $R122 &amp; ")", ""))))</f>
        <v>na</v>
      </c>
      <c r="E122" s="7" t="s">
        <v>195</v>
      </c>
      <c r="F122" s="7" t="s">
        <v>195</v>
      </c>
      <c r="G122" s="7" t="s">
        <v>195</v>
      </c>
      <c r="H122" s="7" t="s">
        <v>195</v>
      </c>
      <c r="I122" s="7" t="s">
        <v>195</v>
      </c>
      <c r="J122" s="7" t="s">
        <v>195</v>
      </c>
      <c r="K122" s="7" t="s">
        <v>195</v>
      </c>
      <c r="L122" s="7" t="s">
        <v>195</v>
      </c>
      <c r="M122" s="7" t="s">
        <v>29</v>
      </c>
      <c r="N122" s="7" t="s">
        <v>29</v>
      </c>
      <c r="O122" s="7" t="s">
        <v>29</v>
      </c>
      <c r="P122" s="7" t="s">
        <v>29</v>
      </c>
      <c r="Q122" s="7" t="s">
        <v>29</v>
      </c>
      <c r="R122" s="7" t="s">
        <v>29</v>
      </c>
      <c r="S122" s="7" t="s">
        <v>29</v>
      </c>
    </row>
    <row r="123" spans="2:19">
      <c r="B123" s="7" t="s">
        <v>195</v>
      </c>
      <c r="C123" s="8" t="s">
        <v>195</v>
      </c>
      <c r="D123" s="5" t="str">
        <f>LRTRIM(CONCATENATE(IF(SUMPRODUCT(-- ISNUMBER(SEARCH({"Auto Number"}, $B123))) &gt; 0, $B123, IF(SUMPRODUCT(-- ISNUMBER(SEARCH({"Lookup","Master-Detail"}, $B123))) &gt; 0,$B123 &amp; "(" &amp; $E123 &amp; ")",IF(SUMPRODUCT(-- ISNUMBER(SEARCH({"Formula","Roll-Up Summary"}, $B123))) &gt; 0,$B123 &amp; " (" &amp; $E123 &amp; ")",IF(SUMPRODUCT(-- ISNUMBER(SEARCH({"Content","Currency","Number","Percent","Text","URL"}, $B123))) &gt; 0,$B123 &amp; "(" &amp; $C123 &amp; ")",$B123)))), "  ", TRIM(IF($S123 = "YES", "(External ID)", "") &amp; " " &amp; IF(SUMPRODUCT(-- ISNUMBER(SEARCH({"Unique","Unique Case Insensitive"}, $R123))) &gt; 0, "(" &amp; $R123 &amp; ")", ""))))</f>
        <v>na</v>
      </c>
      <c r="E123" s="7" t="s">
        <v>195</v>
      </c>
      <c r="F123" s="7" t="s">
        <v>195</v>
      </c>
      <c r="G123" s="7" t="s">
        <v>195</v>
      </c>
      <c r="H123" s="7" t="s">
        <v>195</v>
      </c>
      <c r="I123" s="7" t="s">
        <v>195</v>
      </c>
      <c r="J123" s="7" t="s">
        <v>195</v>
      </c>
      <c r="K123" s="7" t="s">
        <v>195</v>
      </c>
      <c r="L123" s="7" t="s">
        <v>195</v>
      </c>
      <c r="M123" s="7" t="s">
        <v>29</v>
      </c>
      <c r="N123" s="7" t="s">
        <v>29</v>
      </c>
      <c r="O123" s="7" t="s">
        <v>29</v>
      </c>
      <c r="P123" s="7" t="s">
        <v>29</v>
      </c>
      <c r="Q123" s="7" t="s">
        <v>29</v>
      </c>
      <c r="R123" s="7" t="s">
        <v>29</v>
      </c>
      <c r="S123" s="7" t="s">
        <v>29</v>
      </c>
    </row>
    <row r="124" spans="2:19">
      <c r="B124" s="7" t="s">
        <v>195</v>
      </c>
      <c r="C124" s="8" t="s">
        <v>195</v>
      </c>
      <c r="D124" s="5" t="str">
        <f>LRTRIM(CONCATENATE(IF(SUMPRODUCT(-- ISNUMBER(SEARCH({"Auto Number"}, $B124))) &gt; 0, $B124, IF(SUMPRODUCT(-- ISNUMBER(SEARCH({"Lookup","Master-Detail"}, $B124))) &gt; 0,$B124 &amp; "(" &amp; $E124 &amp; ")",IF(SUMPRODUCT(-- ISNUMBER(SEARCH({"Formula","Roll-Up Summary"}, $B124))) &gt; 0,$B124 &amp; " (" &amp; $E124 &amp; ")",IF(SUMPRODUCT(-- ISNUMBER(SEARCH({"Content","Currency","Number","Percent","Text","URL"}, $B124))) &gt; 0,$B124 &amp; "(" &amp; $C124 &amp; ")",$B124)))), "  ", TRIM(IF($S124 = "YES", "(External ID)", "") &amp; " " &amp; IF(SUMPRODUCT(-- ISNUMBER(SEARCH({"Unique","Unique Case Insensitive"}, $R124))) &gt; 0, "(" &amp; $R124 &amp; ")", ""))))</f>
        <v>na</v>
      </c>
      <c r="E124" s="7" t="s">
        <v>195</v>
      </c>
      <c r="F124" s="7" t="s">
        <v>195</v>
      </c>
      <c r="G124" s="7" t="s">
        <v>195</v>
      </c>
      <c r="H124" s="7" t="s">
        <v>195</v>
      </c>
      <c r="I124" s="7" t="s">
        <v>195</v>
      </c>
      <c r="J124" s="7" t="s">
        <v>195</v>
      </c>
      <c r="K124" s="7" t="s">
        <v>195</v>
      </c>
      <c r="L124" s="7" t="s">
        <v>195</v>
      </c>
      <c r="M124" s="7" t="s">
        <v>29</v>
      </c>
      <c r="N124" s="7" t="s">
        <v>29</v>
      </c>
      <c r="O124" s="7" t="s">
        <v>29</v>
      </c>
      <c r="P124" s="7" t="s">
        <v>29</v>
      </c>
      <c r="Q124" s="7" t="s">
        <v>29</v>
      </c>
      <c r="R124" s="7" t="s">
        <v>29</v>
      </c>
      <c r="S124" s="7" t="s">
        <v>29</v>
      </c>
    </row>
    <row r="125" spans="2:19">
      <c r="B125" s="7" t="s">
        <v>195</v>
      </c>
      <c r="C125" s="8" t="s">
        <v>195</v>
      </c>
      <c r="D125" s="5" t="str">
        <f>LRTRIM(CONCATENATE(IF(SUMPRODUCT(-- ISNUMBER(SEARCH({"Auto Number"}, $B125))) &gt; 0, $B125, IF(SUMPRODUCT(-- ISNUMBER(SEARCH({"Lookup","Master-Detail"}, $B125))) &gt; 0,$B125 &amp; "(" &amp; $E125 &amp; ")",IF(SUMPRODUCT(-- ISNUMBER(SEARCH({"Formula","Roll-Up Summary"}, $B125))) &gt; 0,$B125 &amp; " (" &amp; $E125 &amp; ")",IF(SUMPRODUCT(-- ISNUMBER(SEARCH({"Content","Currency","Number","Percent","Text","URL"}, $B125))) &gt; 0,$B125 &amp; "(" &amp; $C125 &amp; ")",$B125)))), "  ", TRIM(IF($S125 = "YES", "(External ID)", "") &amp; " " &amp; IF(SUMPRODUCT(-- ISNUMBER(SEARCH({"Unique","Unique Case Insensitive"}, $R125))) &gt; 0, "(" &amp; $R125 &amp; ")", ""))))</f>
        <v>na</v>
      </c>
      <c r="E125" s="7" t="s">
        <v>195</v>
      </c>
      <c r="F125" s="7" t="s">
        <v>195</v>
      </c>
      <c r="G125" s="7" t="s">
        <v>195</v>
      </c>
      <c r="H125" s="7" t="s">
        <v>195</v>
      </c>
      <c r="I125" s="7" t="s">
        <v>195</v>
      </c>
      <c r="J125" s="7" t="s">
        <v>195</v>
      </c>
      <c r="K125" s="7" t="s">
        <v>195</v>
      </c>
      <c r="L125" s="7" t="s">
        <v>195</v>
      </c>
      <c r="M125" s="7" t="s">
        <v>29</v>
      </c>
      <c r="N125" s="7" t="s">
        <v>29</v>
      </c>
      <c r="O125" s="7" t="s">
        <v>29</v>
      </c>
      <c r="P125" s="7" t="s">
        <v>29</v>
      </c>
      <c r="Q125" s="7" t="s">
        <v>29</v>
      </c>
      <c r="R125" s="7" t="s">
        <v>29</v>
      </c>
      <c r="S125" s="7" t="s">
        <v>29</v>
      </c>
    </row>
    <row r="126" spans="2:19">
      <c r="B126" s="7" t="s">
        <v>195</v>
      </c>
      <c r="C126" s="8" t="s">
        <v>195</v>
      </c>
      <c r="D126" s="5" t="str">
        <f>LRTRIM(CONCATENATE(IF(SUMPRODUCT(-- ISNUMBER(SEARCH({"Auto Number"}, $B126))) &gt; 0, $B126, IF(SUMPRODUCT(-- ISNUMBER(SEARCH({"Lookup","Master-Detail"}, $B126))) &gt; 0,$B126 &amp; "(" &amp; $E126 &amp; ")",IF(SUMPRODUCT(-- ISNUMBER(SEARCH({"Formula","Roll-Up Summary"}, $B126))) &gt; 0,$B126 &amp; " (" &amp; $E126 &amp; ")",IF(SUMPRODUCT(-- ISNUMBER(SEARCH({"Content","Currency","Number","Percent","Text","URL"}, $B126))) &gt; 0,$B126 &amp; "(" &amp; $C126 &amp; ")",$B126)))), "  ", TRIM(IF($S126 = "YES", "(External ID)", "") &amp; " " &amp; IF(SUMPRODUCT(-- ISNUMBER(SEARCH({"Unique","Unique Case Insensitive"}, $R126))) &gt; 0, "(" &amp; $R126 &amp; ")", ""))))</f>
        <v>na</v>
      </c>
      <c r="E126" s="7" t="s">
        <v>195</v>
      </c>
      <c r="F126" s="7" t="s">
        <v>195</v>
      </c>
      <c r="G126" s="7" t="s">
        <v>195</v>
      </c>
      <c r="H126" s="7" t="s">
        <v>195</v>
      </c>
      <c r="I126" s="7" t="s">
        <v>195</v>
      </c>
      <c r="J126" s="7" t="s">
        <v>195</v>
      </c>
      <c r="K126" s="7" t="s">
        <v>195</v>
      </c>
      <c r="L126" s="7" t="s">
        <v>195</v>
      </c>
      <c r="M126" s="7" t="s">
        <v>29</v>
      </c>
      <c r="N126" s="7" t="s">
        <v>29</v>
      </c>
      <c r="O126" s="7" t="s">
        <v>29</v>
      </c>
      <c r="P126" s="7" t="s">
        <v>29</v>
      </c>
      <c r="Q126" s="7" t="s">
        <v>29</v>
      </c>
      <c r="R126" s="7" t="s">
        <v>29</v>
      </c>
      <c r="S126" s="7" t="s">
        <v>29</v>
      </c>
    </row>
    <row r="127" spans="2:19">
      <c r="B127" s="7" t="s">
        <v>195</v>
      </c>
      <c r="C127" s="8" t="s">
        <v>195</v>
      </c>
      <c r="D127" s="5" t="str">
        <f>LRTRIM(CONCATENATE(IF(SUMPRODUCT(-- ISNUMBER(SEARCH({"Auto Number"}, $B127))) &gt; 0, $B127, IF(SUMPRODUCT(-- ISNUMBER(SEARCH({"Lookup","Master-Detail"}, $B127))) &gt; 0,$B127 &amp; "(" &amp; $E127 &amp; ")",IF(SUMPRODUCT(-- ISNUMBER(SEARCH({"Formula","Roll-Up Summary"}, $B127))) &gt; 0,$B127 &amp; " (" &amp; $E127 &amp; ")",IF(SUMPRODUCT(-- ISNUMBER(SEARCH({"Content","Currency","Number","Percent","Text","URL"}, $B127))) &gt; 0,$B127 &amp; "(" &amp; $C127 &amp; ")",$B127)))), "  ", TRIM(IF($S127 = "YES", "(External ID)", "") &amp; " " &amp; IF(SUMPRODUCT(-- ISNUMBER(SEARCH({"Unique","Unique Case Insensitive"}, $R127))) &gt; 0, "(" &amp; $R127 &amp; ")", ""))))</f>
        <v>na</v>
      </c>
      <c r="E127" s="7" t="s">
        <v>195</v>
      </c>
      <c r="F127" s="7" t="s">
        <v>195</v>
      </c>
      <c r="G127" s="7" t="s">
        <v>195</v>
      </c>
      <c r="H127" s="7" t="s">
        <v>195</v>
      </c>
      <c r="I127" s="7" t="s">
        <v>195</v>
      </c>
      <c r="J127" s="7" t="s">
        <v>195</v>
      </c>
      <c r="K127" s="7" t="s">
        <v>195</v>
      </c>
      <c r="L127" s="7" t="s">
        <v>195</v>
      </c>
      <c r="M127" s="7" t="s">
        <v>29</v>
      </c>
      <c r="N127" s="7" t="s">
        <v>29</v>
      </c>
      <c r="O127" s="7" t="s">
        <v>29</v>
      </c>
      <c r="P127" s="7" t="s">
        <v>29</v>
      </c>
      <c r="Q127" s="7" t="s">
        <v>29</v>
      </c>
      <c r="R127" s="7" t="s">
        <v>29</v>
      </c>
      <c r="S127" s="7" t="s">
        <v>29</v>
      </c>
    </row>
    <row r="128" spans="2:19">
      <c r="B128" s="7" t="s">
        <v>195</v>
      </c>
      <c r="C128" s="8" t="s">
        <v>195</v>
      </c>
      <c r="D128" s="5" t="str">
        <f>LRTRIM(CONCATENATE(IF(SUMPRODUCT(-- ISNUMBER(SEARCH({"Auto Number"}, $B128))) &gt; 0, $B128, IF(SUMPRODUCT(-- ISNUMBER(SEARCH({"Lookup","Master-Detail"}, $B128))) &gt; 0,$B128 &amp; "(" &amp; $E128 &amp; ")",IF(SUMPRODUCT(-- ISNUMBER(SEARCH({"Formula","Roll-Up Summary"}, $B128))) &gt; 0,$B128 &amp; " (" &amp; $E128 &amp; ")",IF(SUMPRODUCT(-- ISNUMBER(SEARCH({"Content","Currency","Number","Percent","Text","URL"}, $B128))) &gt; 0,$B128 &amp; "(" &amp; $C128 &amp; ")",$B128)))), "  ", TRIM(IF($S128 = "YES", "(External ID)", "") &amp; " " &amp; IF(SUMPRODUCT(-- ISNUMBER(SEARCH({"Unique","Unique Case Insensitive"}, $R128))) &gt; 0, "(" &amp; $R128 &amp; ")", ""))))</f>
        <v>na</v>
      </c>
      <c r="E128" s="7" t="s">
        <v>195</v>
      </c>
      <c r="F128" s="7" t="s">
        <v>195</v>
      </c>
      <c r="G128" s="7" t="s">
        <v>195</v>
      </c>
      <c r="H128" s="7" t="s">
        <v>195</v>
      </c>
      <c r="I128" s="7" t="s">
        <v>195</v>
      </c>
      <c r="J128" s="7" t="s">
        <v>195</v>
      </c>
      <c r="K128" s="7" t="s">
        <v>195</v>
      </c>
      <c r="L128" s="7" t="s">
        <v>195</v>
      </c>
      <c r="M128" s="7" t="s">
        <v>29</v>
      </c>
      <c r="N128" s="7" t="s">
        <v>29</v>
      </c>
      <c r="O128" s="7" t="s">
        <v>29</v>
      </c>
      <c r="P128" s="7" t="s">
        <v>29</v>
      </c>
      <c r="Q128" s="7" t="s">
        <v>29</v>
      </c>
      <c r="R128" s="7" t="s">
        <v>29</v>
      </c>
      <c r="S128" s="7" t="s">
        <v>29</v>
      </c>
    </row>
    <row r="129" spans="2:19">
      <c r="B129" s="7" t="s">
        <v>195</v>
      </c>
      <c r="C129" s="8" t="s">
        <v>195</v>
      </c>
      <c r="D129" s="5" t="str">
        <f>LRTRIM(CONCATENATE(IF(SUMPRODUCT(-- ISNUMBER(SEARCH({"Auto Number"}, $B129))) &gt; 0, $B129, IF(SUMPRODUCT(-- ISNUMBER(SEARCH({"Lookup","Master-Detail"}, $B129))) &gt; 0,$B129 &amp; "(" &amp; $E129 &amp; ")",IF(SUMPRODUCT(-- ISNUMBER(SEARCH({"Formula","Roll-Up Summary"}, $B129))) &gt; 0,$B129 &amp; " (" &amp; $E129 &amp; ")",IF(SUMPRODUCT(-- ISNUMBER(SEARCH({"Content","Currency","Number","Percent","Text","URL"}, $B129))) &gt; 0,$B129 &amp; "(" &amp; $C129 &amp; ")",$B129)))), "  ", TRIM(IF($S129 = "YES", "(External ID)", "") &amp; " " &amp; IF(SUMPRODUCT(-- ISNUMBER(SEARCH({"Unique","Unique Case Insensitive"}, $R129))) &gt; 0, "(" &amp; $R129 &amp; ")", ""))))</f>
        <v>na</v>
      </c>
      <c r="E129" s="7" t="s">
        <v>195</v>
      </c>
      <c r="F129" s="7" t="s">
        <v>195</v>
      </c>
      <c r="G129" s="7" t="s">
        <v>195</v>
      </c>
      <c r="H129" s="7" t="s">
        <v>195</v>
      </c>
      <c r="I129" s="7" t="s">
        <v>195</v>
      </c>
      <c r="J129" s="7" t="s">
        <v>195</v>
      </c>
      <c r="K129" s="7" t="s">
        <v>195</v>
      </c>
      <c r="L129" s="7" t="s">
        <v>195</v>
      </c>
      <c r="M129" s="7" t="s">
        <v>29</v>
      </c>
      <c r="N129" s="7" t="s">
        <v>29</v>
      </c>
      <c r="O129" s="7" t="s">
        <v>29</v>
      </c>
      <c r="P129" s="7" t="s">
        <v>29</v>
      </c>
      <c r="Q129" s="7" t="s">
        <v>29</v>
      </c>
      <c r="R129" s="7" t="s">
        <v>29</v>
      </c>
      <c r="S129" s="7" t="s">
        <v>29</v>
      </c>
    </row>
    <row r="130" spans="2:19">
      <c r="B130" s="7" t="s">
        <v>195</v>
      </c>
      <c r="C130" s="8" t="s">
        <v>195</v>
      </c>
      <c r="D130" s="5" t="str">
        <f>LRTRIM(CONCATENATE(IF(SUMPRODUCT(-- ISNUMBER(SEARCH({"Auto Number"}, $B130))) &gt; 0, $B130, IF(SUMPRODUCT(-- ISNUMBER(SEARCH({"Lookup","Master-Detail"}, $B130))) &gt; 0,$B130 &amp; "(" &amp; $E130 &amp; ")",IF(SUMPRODUCT(-- ISNUMBER(SEARCH({"Formula","Roll-Up Summary"}, $B130))) &gt; 0,$B130 &amp; " (" &amp; $E130 &amp; ")",IF(SUMPRODUCT(-- ISNUMBER(SEARCH({"Content","Currency","Number","Percent","Text","URL"}, $B130))) &gt; 0,$B130 &amp; "(" &amp; $C130 &amp; ")",$B130)))), "  ", TRIM(IF($S130 = "YES", "(External ID)", "") &amp; " " &amp; IF(SUMPRODUCT(-- ISNUMBER(SEARCH({"Unique","Unique Case Insensitive"}, $R130))) &gt; 0, "(" &amp; $R130 &amp; ")", ""))))</f>
        <v>na</v>
      </c>
      <c r="E130" s="7" t="s">
        <v>195</v>
      </c>
      <c r="F130" s="7" t="s">
        <v>195</v>
      </c>
      <c r="G130" s="7" t="s">
        <v>195</v>
      </c>
      <c r="H130" s="7" t="s">
        <v>195</v>
      </c>
      <c r="I130" s="7" t="s">
        <v>195</v>
      </c>
      <c r="J130" s="7" t="s">
        <v>195</v>
      </c>
      <c r="K130" s="7" t="s">
        <v>195</v>
      </c>
      <c r="L130" s="7" t="s">
        <v>195</v>
      </c>
      <c r="M130" s="7" t="s">
        <v>29</v>
      </c>
      <c r="N130" s="7" t="s">
        <v>29</v>
      </c>
      <c r="O130" s="7" t="s">
        <v>29</v>
      </c>
      <c r="P130" s="7" t="s">
        <v>29</v>
      </c>
      <c r="Q130" s="7" t="s">
        <v>29</v>
      </c>
      <c r="R130" s="7" t="s">
        <v>29</v>
      </c>
      <c r="S130" s="7" t="s">
        <v>29</v>
      </c>
    </row>
    <row r="131" spans="2:19">
      <c r="B131" s="7" t="s">
        <v>195</v>
      </c>
      <c r="C131" s="8" t="s">
        <v>195</v>
      </c>
      <c r="D131" s="5" t="str">
        <f>LRTRIM(CONCATENATE(IF(SUMPRODUCT(-- ISNUMBER(SEARCH({"Auto Number"}, $B131))) &gt; 0, $B131, IF(SUMPRODUCT(-- ISNUMBER(SEARCH({"Lookup","Master-Detail"}, $B131))) &gt; 0,$B131 &amp; "(" &amp; $E131 &amp; ")",IF(SUMPRODUCT(-- ISNUMBER(SEARCH({"Formula","Roll-Up Summary"}, $B131))) &gt; 0,$B131 &amp; " (" &amp; $E131 &amp; ")",IF(SUMPRODUCT(-- ISNUMBER(SEARCH({"Content","Currency","Number","Percent","Text","URL"}, $B131))) &gt; 0,$B131 &amp; "(" &amp; $C131 &amp; ")",$B131)))), "  ", TRIM(IF($S131 = "YES", "(External ID)", "") &amp; " " &amp; IF(SUMPRODUCT(-- ISNUMBER(SEARCH({"Unique","Unique Case Insensitive"}, $R131))) &gt; 0, "(" &amp; $R131 &amp; ")", ""))))</f>
        <v>na</v>
      </c>
      <c r="E131" s="7" t="s">
        <v>195</v>
      </c>
      <c r="F131" s="7" t="s">
        <v>195</v>
      </c>
      <c r="G131" s="7" t="s">
        <v>195</v>
      </c>
      <c r="H131" s="7" t="s">
        <v>195</v>
      </c>
      <c r="I131" s="7" t="s">
        <v>195</v>
      </c>
      <c r="J131" s="7" t="s">
        <v>195</v>
      </c>
      <c r="K131" s="7" t="s">
        <v>195</v>
      </c>
      <c r="L131" s="7" t="s">
        <v>195</v>
      </c>
      <c r="M131" s="7" t="s">
        <v>29</v>
      </c>
      <c r="N131" s="7" t="s">
        <v>29</v>
      </c>
      <c r="O131" s="7" t="s">
        <v>29</v>
      </c>
      <c r="P131" s="7" t="s">
        <v>29</v>
      </c>
      <c r="Q131" s="7" t="s">
        <v>29</v>
      </c>
      <c r="R131" s="7" t="s">
        <v>29</v>
      </c>
      <c r="S131" s="7" t="s">
        <v>29</v>
      </c>
    </row>
    <row r="132" spans="2:19">
      <c r="B132" s="7" t="s">
        <v>195</v>
      </c>
      <c r="C132" s="8" t="s">
        <v>195</v>
      </c>
      <c r="D132" s="5" t="str">
        <f>LRTRIM(CONCATENATE(IF(SUMPRODUCT(-- ISNUMBER(SEARCH({"Auto Number"}, $B132))) &gt; 0, $B132, IF(SUMPRODUCT(-- ISNUMBER(SEARCH({"Lookup","Master-Detail"}, $B132))) &gt; 0,$B132 &amp; "(" &amp; $E132 &amp; ")",IF(SUMPRODUCT(-- ISNUMBER(SEARCH({"Formula","Roll-Up Summary"}, $B132))) &gt; 0,$B132 &amp; " (" &amp; $E132 &amp; ")",IF(SUMPRODUCT(-- ISNUMBER(SEARCH({"Content","Currency","Number","Percent","Text","URL"}, $B132))) &gt; 0,$B132 &amp; "(" &amp; $C132 &amp; ")",$B132)))), "  ", TRIM(IF($S132 = "YES", "(External ID)", "") &amp; " " &amp; IF(SUMPRODUCT(-- ISNUMBER(SEARCH({"Unique","Unique Case Insensitive"}, $R132))) &gt; 0, "(" &amp; $R132 &amp; ")", ""))))</f>
        <v>na</v>
      </c>
      <c r="E132" s="7" t="s">
        <v>195</v>
      </c>
      <c r="F132" s="7" t="s">
        <v>195</v>
      </c>
      <c r="G132" s="7" t="s">
        <v>195</v>
      </c>
      <c r="H132" s="7" t="s">
        <v>195</v>
      </c>
      <c r="I132" s="7" t="s">
        <v>195</v>
      </c>
      <c r="J132" s="7" t="s">
        <v>195</v>
      </c>
      <c r="K132" s="7" t="s">
        <v>195</v>
      </c>
      <c r="L132" s="7" t="s">
        <v>195</v>
      </c>
      <c r="M132" s="7" t="s">
        <v>29</v>
      </c>
      <c r="N132" s="7" t="s">
        <v>29</v>
      </c>
      <c r="O132" s="7" t="s">
        <v>29</v>
      </c>
      <c r="P132" s="7" t="s">
        <v>29</v>
      </c>
      <c r="Q132" s="7" t="s">
        <v>29</v>
      </c>
      <c r="R132" s="7" t="s">
        <v>29</v>
      </c>
      <c r="S132" s="7" t="s">
        <v>29</v>
      </c>
    </row>
    <row r="133" spans="2:19">
      <c r="B133" s="7" t="s">
        <v>195</v>
      </c>
      <c r="C133" s="8" t="s">
        <v>195</v>
      </c>
      <c r="D133" s="5" t="str">
        <f>LRTRIM(CONCATENATE(IF(SUMPRODUCT(-- ISNUMBER(SEARCH({"Auto Number"}, $B133))) &gt; 0, $B133, IF(SUMPRODUCT(-- ISNUMBER(SEARCH({"Lookup","Master-Detail"}, $B133))) &gt; 0,$B133 &amp; "(" &amp; $E133 &amp; ")",IF(SUMPRODUCT(-- ISNUMBER(SEARCH({"Formula","Roll-Up Summary"}, $B133))) &gt; 0,$B133 &amp; " (" &amp; $E133 &amp; ")",IF(SUMPRODUCT(-- ISNUMBER(SEARCH({"Content","Currency","Number","Percent","Text","URL"}, $B133))) &gt; 0,$B133 &amp; "(" &amp; $C133 &amp; ")",$B133)))), "  ", TRIM(IF($S133 = "YES", "(External ID)", "") &amp; " " &amp; IF(SUMPRODUCT(-- ISNUMBER(SEARCH({"Unique","Unique Case Insensitive"}, $R133))) &gt; 0, "(" &amp; $R133 &amp; ")", ""))))</f>
        <v>na</v>
      </c>
      <c r="E133" s="7" t="s">
        <v>195</v>
      </c>
      <c r="F133" s="7" t="s">
        <v>195</v>
      </c>
      <c r="G133" s="7" t="s">
        <v>195</v>
      </c>
      <c r="H133" s="7" t="s">
        <v>195</v>
      </c>
      <c r="I133" s="7" t="s">
        <v>195</v>
      </c>
      <c r="J133" s="7" t="s">
        <v>195</v>
      </c>
      <c r="K133" s="7" t="s">
        <v>195</v>
      </c>
      <c r="L133" s="7" t="s">
        <v>195</v>
      </c>
      <c r="M133" s="7" t="s">
        <v>29</v>
      </c>
      <c r="N133" s="7" t="s">
        <v>29</v>
      </c>
      <c r="O133" s="7" t="s">
        <v>29</v>
      </c>
      <c r="P133" s="7" t="s">
        <v>29</v>
      </c>
      <c r="Q133" s="7" t="s">
        <v>29</v>
      </c>
      <c r="R133" s="7" t="s">
        <v>29</v>
      </c>
      <c r="S133" s="7" t="s">
        <v>29</v>
      </c>
    </row>
    <row r="134" spans="2:19">
      <c r="B134" s="7" t="s">
        <v>195</v>
      </c>
      <c r="C134" s="8" t="s">
        <v>195</v>
      </c>
      <c r="D134" s="5" t="str">
        <f>LRTRIM(CONCATENATE(IF(SUMPRODUCT(-- ISNUMBER(SEARCH({"Auto Number"}, $B134))) &gt; 0, $B134, IF(SUMPRODUCT(-- ISNUMBER(SEARCH({"Lookup","Master-Detail"}, $B134))) &gt; 0,$B134 &amp; "(" &amp; $E134 &amp; ")",IF(SUMPRODUCT(-- ISNUMBER(SEARCH({"Formula","Roll-Up Summary"}, $B134))) &gt; 0,$B134 &amp; " (" &amp; $E134 &amp; ")",IF(SUMPRODUCT(-- ISNUMBER(SEARCH({"Content","Currency","Number","Percent","Text","URL"}, $B134))) &gt; 0,$B134 &amp; "(" &amp; $C134 &amp; ")",$B134)))), "  ", TRIM(IF($S134 = "YES", "(External ID)", "") &amp; " " &amp; IF(SUMPRODUCT(-- ISNUMBER(SEARCH({"Unique","Unique Case Insensitive"}, $R134))) &gt; 0, "(" &amp; $R134 &amp; ")", ""))))</f>
        <v>na</v>
      </c>
      <c r="E134" s="7" t="s">
        <v>195</v>
      </c>
      <c r="F134" s="7" t="s">
        <v>195</v>
      </c>
      <c r="G134" s="7" t="s">
        <v>195</v>
      </c>
      <c r="H134" s="7" t="s">
        <v>195</v>
      </c>
      <c r="I134" s="7" t="s">
        <v>195</v>
      </c>
      <c r="J134" s="7" t="s">
        <v>195</v>
      </c>
      <c r="K134" s="7" t="s">
        <v>195</v>
      </c>
      <c r="L134" s="7" t="s">
        <v>195</v>
      </c>
      <c r="M134" s="7" t="s">
        <v>29</v>
      </c>
      <c r="N134" s="7" t="s">
        <v>29</v>
      </c>
      <c r="O134" s="7" t="s">
        <v>29</v>
      </c>
      <c r="P134" s="7" t="s">
        <v>29</v>
      </c>
      <c r="Q134" s="7" t="s">
        <v>29</v>
      </c>
      <c r="R134" s="7" t="s">
        <v>29</v>
      </c>
      <c r="S134" s="7" t="s">
        <v>29</v>
      </c>
    </row>
    <row r="135" spans="2:19">
      <c r="B135" s="7" t="s">
        <v>195</v>
      </c>
      <c r="C135" s="8" t="s">
        <v>195</v>
      </c>
      <c r="D135" s="5" t="str">
        <f>LRTRIM(CONCATENATE(IF(SUMPRODUCT(-- ISNUMBER(SEARCH({"Auto Number"}, $B135))) &gt; 0, $B135, IF(SUMPRODUCT(-- ISNUMBER(SEARCH({"Lookup","Master-Detail"}, $B135))) &gt; 0,$B135 &amp; "(" &amp; $E135 &amp; ")",IF(SUMPRODUCT(-- ISNUMBER(SEARCH({"Formula","Roll-Up Summary"}, $B135))) &gt; 0,$B135 &amp; " (" &amp; $E135 &amp; ")",IF(SUMPRODUCT(-- ISNUMBER(SEARCH({"Content","Currency","Number","Percent","Text","URL"}, $B135))) &gt; 0,$B135 &amp; "(" &amp; $C135 &amp; ")",$B135)))), "  ", TRIM(IF($S135 = "YES", "(External ID)", "") &amp; " " &amp; IF(SUMPRODUCT(-- ISNUMBER(SEARCH({"Unique","Unique Case Insensitive"}, $R135))) &gt; 0, "(" &amp; $R135 &amp; ")", ""))))</f>
        <v>na</v>
      </c>
      <c r="E135" s="7" t="s">
        <v>195</v>
      </c>
      <c r="F135" s="7" t="s">
        <v>195</v>
      </c>
      <c r="G135" s="7" t="s">
        <v>195</v>
      </c>
      <c r="H135" s="7" t="s">
        <v>195</v>
      </c>
      <c r="I135" s="7" t="s">
        <v>195</v>
      </c>
      <c r="J135" s="7" t="s">
        <v>195</v>
      </c>
      <c r="K135" s="7" t="s">
        <v>195</v>
      </c>
      <c r="L135" s="7" t="s">
        <v>195</v>
      </c>
      <c r="M135" s="7" t="s">
        <v>29</v>
      </c>
      <c r="N135" s="7" t="s">
        <v>29</v>
      </c>
      <c r="O135" s="7" t="s">
        <v>29</v>
      </c>
      <c r="P135" s="7" t="s">
        <v>29</v>
      </c>
      <c r="Q135" s="7" t="s">
        <v>29</v>
      </c>
      <c r="R135" s="7" t="s">
        <v>29</v>
      </c>
      <c r="S135" s="7" t="s">
        <v>29</v>
      </c>
    </row>
    <row r="136" spans="2:19">
      <c r="B136" s="7" t="s">
        <v>195</v>
      </c>
      <c r="C136" s="8" t="s">
        <v>195</v>
      </c>
      <c r="D136" s="5" t="str">
        <f>LRTRIM(CONCATENATE(IF(SUMPRODUCT(-- ISNUMBER(SEARCH({"Auto Number"}, $B136))) &gt; 0, $B136, IF(SUMPRODUCT(-- ISNUMBER(SEARCH({"Lookup","Master-Detail"}, $B136))) &gt; 0,$B136 &amp; "(" &amp; $E136 &amp; ")",IF(SUMPRODUCT(-- ISNUMBER(SEARCH({"Formula","Roll-Up Summary"}, $B136))) &gt; 0,$B136 &amp; " (" &amp; $E136 &amp; ")",IF(SUMPRODUCT(-- ISNUMBER(SEARCH({"Content","Currency","Number","Percent","Text","URL"}, $B136))) &gt; 0,$B136 &amp; "(" &amp; $C136 &amp; ")",$B136)))), "  ", TRIM(IF($S136 = "YES", "(External ID)", "") &amp; " " &amp; IF(SUMPRODUCT(-- ISNUMBER(SEARCH({"Unique","Unique Case Insensitive"}, $R136))) &gt; 0, "(" &amp; $R136 &amp; ")", ""))))</f>
        <v>na</v>
      </c>
      <c r="E136" s="7" t="s">
        <v>195</v>
      </c>
      <c r="F136" s="7" t="s">
        <v>195</v>
      </c>
      <c r="G136" s="7" t="s">
        <v>195</v>
      </c>
      <c r="H136" s="7" t="s">
        <v>195</v>
      </c>
      <c r="I136" s="7" t="s">
        <v>195</v>
      </c>
      <c r="J136" s="7" t="s">
        <v>195</v>
      </c>
      <c r="K136" s="7" t="s">
        <v>195</v>
      </c>
      <c r="L136" s="7" t="s">
        <v>195</v>
      </c>
      <c r="M136" s="7" t="s">
        <v>29</v>
      </c>
      <c r="N136" s="7" t="s">
        <v>29</v>
      </c>
      <c r="O136" s="7" t="s">
        <v>29</v>
      </c>
      <c r="P136" s="7" t="s">
        <v>29</v>
      </c>
      <c r="Q136" s="7" t="s">
        <v>29</v>
      </c>
      <c r="R136" s="7" t="s">
        <v>29</v>
      </c>
      <c r="S136" s="7" t="s">
        <v>29</v>
      </c>
    </row>
    <row r="137" spans="2:19">
      <c r="B137" s="7" t="s">
        <v>195</v>
      </c>
      <c r="C137" s="8" t="s">
        <v>195</v>
      </c>
      <c r="D137" s="5" t="str">
        <f>LRTRIM(CONCATENATE(IF(SUMPRODUCT(-- ISNUMBER(SEARCH({"Auto Number"}, $B137))) &gt; 0, $B137, IF(SUMPRODUCT(-- ISNUMBER(SEARCH({"Lookup","Master-Detail"}, $B137))) &gt; 0,$B137 &amp; "(" &amp; $E137 &amp; ")",IF(SUMPRODUCT(-- ISNUMBER(SEARCH({"Formula","Roll-Up Summary"}, $B137))) &gt; 0,$B137 &amp; " (" &amp; $E137 &amp; ")",IF(SUMPRODUCT(-- ISNUMBER(SEARCH({"Content","Currency","Number","Percent","Text","URL"}, $B137))) &gt; 0,$B137 &amp; "(" &amp; $C137 &amp; ")",$B137)))), "  ", TRIM(IF($S137 = "YES", "(External ID)", "") &amp; " " &amp; IF(SUMPRODUCT(-- ISNUMBER(SEARCH({"Unique","Unique Case Insensitive"}, $R137))) &gt; 0, "(" &amp; $R137 &amp; ")", ""))))</f>
        <v>na</v>
      </c>
      <c r="E137" s="7" t="s">
        <v>195</v>
      </c>
      <c r="F137" s="7" t="s">
        <v>195</v>
      </c>
      <c r="G137" s="7" t="s">
        <v>195</v>
      </c>
      <c r="H137" s="7" t="s">
        <v>195</v>
      </c>
      <c r="I137" s="7" t="s">
        <v>195</v>
      </c>
      <c r="J137" s="7" t="s">
        <v>195</v>
      </c>
      <c r="K137" s="7" t="s">
        <v>195</v>
      </c>
      <c r="L137" s="7" t="s">
        <v>195</v>
      </c>
      <c r="M137" s="7" t="s">
        <v>29</v>
      </c>
      <c r="N137" s="7" t="s">
        <v>29</v>
      </c>
      <c r="O137" s="7" t="s">
        <v>29</v>
      </c>
      <c r="P137" s="7" t="s">
        <v>29</v>
      </c>
      <c r="Q137" s="7" t="s">
        <v>29</v>
      </c>
      <c r="R137" s="7" t="s">
        <v>29</v>
      </c>
      <c r="S137" s="7" t="s">
        <v>29</v>
      </c>
    </row>
    <row r="138" spans="2:19">
      <c r="B138" s="7" t="s">
        <v>195</v>
      </c>
      <c r="C138" s="8" t="s">
        <v>195</v>
      </c>
      <c r="D138" s="5" t="str">
        <f>LRTRIM(CONCATENATE(IF(SUMPRODUCT(-- ISNUMBER(SEARCH({"Auto Number"}, $B138))) &gt; 0, $B138, IF(SUMPRODUCT(-- ISNUMBER(SEARCH({"Lookup","Master-Detail"}, $B138))) &gt; 0,$B138 &amp; "(" &amp; $E138 &amp; ")",IF(SUMPRODUCT(-- ISNUMBER(SEARCH({"Formula","Roll-Up Summary"}, $B138))) &gt; 0,$B138 &amp; " (" &amp; $E138 &amp; ")",IF(SUMPRODUCT(-- ISNUMBER(SEARCH({"Content","Currency","Number","Percent","Text","URL"}, $B138))) &gt; 0,$B138 &amp; "(" &amp; $C138 &amp; ")",$B138)))), "  ", TRIM(IF($S138 = "YES", "(External ID)", "") &amp; " " &amp; IF(SUMPRODUCT(-- ISNUMBER(SEARCH({"Unique","Unique Case Insensitive"}, $R138))) &gt; 0, "(" &amp; $R138 &amp; ")", ""))))</f>
        <v>na</v>
      </c>
      <c r="E138" s="7" t="s">
        <v>195</v>
      </c>
      <c r="F138" s="7" t="s">
        <v>195</v>
      </c>
      <c r="G138" s="7" t="s">
        <v>195</v>
      </c>
      <c r="H138" s="7" t="s">
        <v>195</v>
      </c>
      <c r="I138" s="7" t="s">
        <v>195</v>
      </c>
      <c r="J138" s="7" t="s">
        <v>195</v>
      </c>
      <c r="K138" s="7" t="s">
        <v>195</v>
      </c>
      <c r="L138" s="7" t="s">
        <v>195</v>
      </c>
      <c r="M138" s="7" t="s">
        <v>29</v>
      </c>
      <c r="N138" s="7" t="s">
        <v>29</v>
      </c>
      <c r="O138" s="7" t="s">
        <v>29</v>
      </c>
      <c r="P138" s="7" t="s">
        <v>29</v>
      </c>
      <c r="Q138" s="7" t="s">
        <v>29</v>
      </c>
      <c r="R138" s="7" t="s">
        <v>29</v>
      </c>
      <c r="S138" s="7" t="s">
        <v>29</v>
      </c>
    </row>
    <row r="139" spans="2:19">
      <c r="B139" s="7" t="s">
        <v>195</v>
      </c>
      <c r="C139" s="8" t="s">
        <v>195</v>
      </c>
      <c r="D139" s="5" t="str">
        <f>LRTRIM(CONCATENATE(IF(SUMPRODUCT(-- ISNUMBER(SEARCH({"Auto Number"}, $B139))) &gt; 0, $B139, IF(SUMPRODUCT(-- ISNUMBER(SEARCH({"Lookup","Master-Detail"}, $B139))) &gt; 0,$B139 &amp; "(" &amp; $E139 &amp; ")",IF(SUMPRODUCT(-- ISNUMBER(SEARCH({"Formula","Roll-Up Summary"}, $B139))) &gt; 0,$B139 &amp; " (" &amp; $E139 &amp; ")",IF(SUMPRODUCT(-- ISNUMBER(SEARCH({"Content","Currency","Number","Percent","Text","URL"}, $B139))) &gt; 0,$B139 &amp; "(" &amp; $C139 &amp; ")",$B139)))), "  ", TRIM(IF($S139 = "YES", "(External ID)", "") &amp; " " &amp; IF(SUMPRODUCT(-- ISNUMBER(SEARCH({"Unique","Unique Case Insensitive"}, $R139))) &gt; 0, "(" &amp; $R139 &amp; ")", ""))))</f>
        <v>na</v>
      </c>
      <c r="E139" s="7" t="s">
        <v>195</v>
      </c>
      <c r="F139" s="7" t="s">
        <v>195</v>
      </c>
      <c r="G139" s="7" t="s">
        <v>195</v>
      </c>
      <c r="H139" s="7" t="s">
        <v>195</v>
      </c>
      <c r="I139" s="7" t="s">
        <v>195</v>
      </c>
      <c r="J139" s="7" t="s">
        <v>195</v>
      </c>
      <c r="K139" s="7" t="s">
        <v>195</v>
      </c>
      <c r="L139" s="7" t="s">
        <v>195</v>
      </c>
      <c r="M139" s="7" t="s">
        <v>29</v>
      </c>
      <c r="N139" s="7" t="s">
        <v>29</v>
      </c>
      <c r="O139" s="7" t="s">
        <v>29</v>
      </c>
      <c r="P139" s="7" t="s">
        <v>29</v>
      </c>
      <c r="Q139" s="7" t="s">
        <v>29</v>
      </c>
      <c r="R139" s="7" t="s">
        <v>29</v>
      </c>
      <c r="S139" s="7" t="s">
        <v>29</v>
      </c>
    </row>
    <row r="140" spans="2:19">
      <c r="B140" s="7" t="s">
        <v>195</v>
      </c>
      <c r="C140" s="8" t="s">
        <v>195</v>
      </c>
      <c r="D140" s="5" t="str">
        <f>LRTRIM(CONCATENATE(IF(SUMPRODUCT(-- ISNUMBER(SEARCH({"Auto Number"}, $B140))) &gt; 0, $B140, IF(SUMPRODUCT(-- ISNUMBER(SEARCH({"Lookup","Master-Detail"}, $B140))) &gt; 0,$B140 &amp; "(" &amp; $E140 &amp; ")",IF(SUMPRODUCT(-- ISNUMBER(SEARCH({"Formula","Roll-Up Summary"}, $B140))) &gt; 0,$B140 &amp; " (" &amp; $E140 &amp; ")",IF(SUMPRODUCT(-- ISNUMBER(SEARCH({"Content","Currency","Number","Percent","Text","URL"}, $B140))) &gt; 0,$B140 &amp; "(" &amp; $C140 &amp; ")",$B140)))), "  ", TRIM(IF($S140 = "YES", "(External ID)", "") &amp; " " &amp; IF(SUMPRODUCT(-- ISNUMBER(SEARCH({"Unique","Unique Case Insensitive"}, $R140))) &gt; 0, "(" &amp; $R140 &amp; ")", ""))))</f>
        <v>na</v>
      </c>
      <c r="E140" s="7" t="s">
        <v>195</v>
      </c>
      <c r="F140" s="7" t="s">
        <v>195</v>
      </c>
      <c r="G140" s="7" t="s">
        <v>195</v>
      </c>
      <c r="H140" s="7" t="s">
        <v>195</v>
      </c>
      <c r="I140" s="7" t="s">
        <v>195</v>
      </c>
      <c r="J140" s="7" t="s">
        <v>195</v>
      </c>
      <c r="K140" s="7" t="s">
        <v>195</v>
      </c>
      <c r="L140" s="7" t="s">
        <v>195</v>
      </c>
      <c r="M140" s="7" t="s">
        <v>29</v>
      </c>
      <c r="N140" s="7" t="s">
        <v>29</v>
      </c>
      <c r="O140" s="7" t="s">
        <v>29</v>
      </c>
      <c r="P140" s="7" t="s">
        <v>29</v>
      </c>
      <c r="Q140" s="7" t="s">
        <v>29</v>
      </c>
      <c r="R140" s="7" t="s">
        <v>29</v>
      </c>
      <c r="S140" s="7" t="s">
        <v>29</v>
      </c>
    </row>
    <row r="141" spans="2:19">
      <c r="B141" s="7" t="s">
        <v>195</v>
      </c>
      <c r="C141" s="8" t="s">
        <v>195</v>
      </c>
      <c r="D141" s="5" t="str">
        <f>LRTRIM(CONCATENATE(IF(SUMPRODUCT(-- ISNUMBER(SEARCH({"Auto Number"}, $B141))) &gt; 0, $B141, IF(SUMPRODUCT(-- ISNUMBER(SEARCH({"Lookup","Master-Detail"}, $B141))) &gt; 0,$B141 &amp; "(" &amp; $E141 &amp; ")",IF(SUMPRODUCT(-- ISNUMBER(SEARCH({"Formula","Roll-Up Summary"}, $B141))) &gt; 0,$B141 &amp; " (" &amp; $E141 &amp; ")",IF(SUMPRODUCT(-- ISNUMBER(SEARCH({"Content","Currency","Number","Percent","Text","URL"}, $B141))) &gt; 0,$B141 &amp; "(" &amp; $C141 &amp; ")",$B141)))), "  ", TRIM(IF($S141 = "YES", "(External ID)", "") &amp; " " &amp; IF(SUMPRODUCT(-- ISNUMBER(SEARCH({"Unique","Unique Case Insensitive"}, $R141))) &gt; 0, "(" &amp; $R141 &amp; ")", ""))))</f>
        <v>na</v>
      </c>
      <c r="E141" s="7" t="s">
        <v>195</v>
      </c>
      <c r="F141" s="7" t="s">
        <v>195</v>
      </c>
      <c r="G141" s="7" t="s">
        <v>195</v>
      </c>
      <c r="H141" s="7" t="s">
        <v>195</v>
      </c>
      <c r="I141" s="7" t="s">
        <v>195</v>
      </c>
      <c r="J141" s="7" t="s">
        <v>195</v>
      </c>
      <c r="K141" s="7" t="s">
        <v>195</v>
      </c>
      <c r="L141" s="7" t="s">
        <v>195</v>
      </c>
      <c r="M141" s="7" t="s">
        <v>29</v>
      </c>
      <c r="N141" s="7" t="s">
        <v>29</v>
      </c>
      <c r="O141" s="7" t="s">
        <v>29</v>
      </c>
      <c r="P141" s="7" t="s">
        <v>29</v>
      </c>
      <c r="Q141" s="7" t="s">
        <v>29</v>
      </c>
      <c r="R141" s="7" t="s">
        <v>29</v>
      </c>
      <c r="S141" s="7" t="s">
        <v>29</v>
      </c>
    </row>
    <row r="142" spans="2:19">
      <c r="B142" s="7" t="s">
        <v>195</v>
      </c>
      <c r="C142" s="8" t="s">
        <v>195</v>
      </c>
      <c r="D142" s="5" t="str">
        <f>LRTRIM(CONCATENATE(IF(SUMPRODUCT(-- ISNUMBER(SEARCH({"Auto Number"}, $B142))) &gt; 0, $B142, IF(SUMPRODUCT(-- ISNUMBER(SEARCH({"Lookup","Master-Detail"}, $B142))) &gt; 0,$B142 &amp; "(" &amp; $E142 &amp; ")",IF(SUMPRODUCT(-- ISNUMBER(SEARCH({"Formula","Roll-Up Summary"}, $B142))) &gt; 0,$B142 &amp; " (" &amp; $E142 &amp; ")",IF(SUMPRODUCT(-- ISNUMBER(SEARCH({"Content","Currency","Number","Percent","Text","URL"}, $B142))) &gt; 0,$B142 &amp; "(" &amp; $C142 &amp; ")",$B142)))), "  ", TRIM(IF($S142 = "YES", "(External ID)", "") &amp; " " &amp; IF(SUMPRODUCT(-- ISNUMBER(SEARCH({"Unique","Unique Case Insensitive"}, $R142))) &gt; 0, "(" &amp; $R142 &amp; ")", ""))))</f>
        <v>na</v>
      </c>
      <c r="E142" s="7" t="s">
        <v>195</v>
      </c>
      <c r="F142" s="7" t="s">
        <v>195</v>
      </c>
      <c r="G142" s="7" t="s">
        <v>195</v>
      </c>
      <c r="H142" s="7" t="s">
        <v>195</v>
      </c>
      <c r="I142" s="7" t="s">
        <v>195</v>
      </c>
      <c r="J142" s="7" t="s">
        <v>195</v>
      </c>
      <c r="K142" s="7" t="s">
        <v>195</v>
      </c>
      <c r="L142" s="7" t="s">
        <v>195</v>
      </c>
      <c r="M142" s="7" t="s">
        <v>29</v>
      </c>
      <c r="N142" s="7" t="s">
        <v>29</v>
      </c>
      <c r="O142" s="7" t="s">
        <v>29</v>
      </c>
      <c r="P142" s="7" t="s">
        <v>29</v>
      </c>
      <c r="Q142" s="7" t="s">
        <v>29</v>
      </c>
      <c r="R142" s="7" t="s">
        <v>29</v>
      </c>
      <c r="S142" s="7" t="s">
        <v>29</v>
      </c>
    </row>
    <row r="143" spans="2:19">
      <c r="B143" s="7" t="s">
        <v>195</v>
      </c>
      <c r="C143" s="8" t="s">
        <v>195</v>
      </c>
      <c r="D143" s="5" t="str">
        <f>LRTRIM(CONCATENATE(IF(SUMPRODUCT(-- ISNUMBER(SEARCH({"Auto Number"}, $B143))) &gt; 0, $B143, IF(SUMPRODUCT(-- ISNUMBER(SEARCH({"Lookup","Master-Detail"}, $B143))) &gt; 0,$B143 &amp; "(" &amp; $E143 &amp; ")",IF(SUMPRODUCT(-- ISNUMBER(SEARCH({"Formula","Roll-Up Summary"}, $B143))) &gt; 0,$B143 &amp; " (" &amp; $E143 &amp; ")",IF(SUMPRODUCT(-- ISNUMBER(SEARCH({"Content","Currency","Number","Percent","Text","URL"}, $B143))) &gt; 0,$B143 &amp; "(" &amp; $C143 &amp; ")",$B143)))), "  ", TRIM(IF($S143 = "YES", "(External ID)", "") &amp; " " &amp; IF(SUMPRODUCT(-- ISNUMBER(SEARCH({"Unique","Unique Case Insensitive"}, $R143))) &gt; 0, "(" &amp; $R143 &amp; ")", ""))))</f>
        <v>na</v>
      </c>
      <c r="E143" s="7" t="s">
        <v>195</v>
      </c>
      <c r="F143" s="7" t="s">
        <v>195</v>
      </c>
      <c r="G143" s="7" t="s">
        <v>195</v>
      </c>
      <c r="H143" s="7" t="s">
        <v>195</v>
      </c>
      <c r="I143" s="7" t="s">
        <v>195</v>
      </c>
      <c r="J143" s="7" t="s">
        <v>195</v>
      </c>
      <c r="K143" s="7" t="s">
        <v>195</v>
      </c>
      <c r="L143" s="7" t="s">
        <v>195</v>
      </c>
      <c r="M143" s="7" t="s">
        <v>29</v>
      </c>
      <c r="N143" s="7" t="s">
        <v>29</v>
      </c>
      <c r="O143" s="7" t="s">
        <v>29</v>
      </c>
      <c r="P143" s="7" t="s">
        <v>29</v>
      </c>
      <c r="Q143" s="7" t="s">
        <v>29</v>
      </c>
      <c r="R143" s="7" t="s">
        <v>29</v>
      </c>
      <c r="S143" s="7" t="s">
        <v>29</v>
      </c>
    </row>
    <row r="144" spans="2:19">
      <c r="B144" s="7" t="s">
        <v>195</v>
      </c>
      <c r="C144" s="8" t="s">
        <v>195</v>
      </c>
      <c r="D144" s="5" t="str">
        <f>LRTRIM(CONCATENATE(IF(SUMPRODUCT(-- ISNUMBER(SEARCH({"Auto Number"}, $B144))) &gt; 0, $B144, IF(SUMPRODUCT(-- ISNUMBER(SEARCH({"Lookup","Master-Detail"}, $B144))) &gt; 0,$B144 &amp; "(" &amp; $E144 &amp; ")",IF(SUMPRODUCT(-- ISNUMBER(SEARCH({"Formula","Roll-Up Summary"}, $B144))) &gt; 0,$B144 &amp; " (" &amp; $E144 &amp; ")",IF(SUMPRODUCT(-- ISNUMBER(SEARCH({"Content","Currency","Number","Percent","Text","URL"}, $B144))) &gt; 0,$B144 &amp; "(" &amp; $C144 &amp; ")",$B144)))), "  ", TRIM(IF($S144 = "YES", "(External ID)", "") &amp; " " &amp; IF(SUMPRODUCT(-- ISNUMBER(SEARCH({"Unique","Unique Case Insensitive"}, $R144))) &gt; 0, "(" &amp; $R144 &amp; ")", ""))))</f>
        <v>na</v>
      </c>
      <c r="E144" s="7" t="s">
        <v>195</v>
      </c>
      <c r="F144" s="7" t="s">
        <v>195</v>
      </c>
      <c r="G144" s="7" t="s">
        <v>195</v>
      </c>
      <c r="H144" s="7" t="s">
        <v>195</v>
      </c>
      <c r="I144" s="7" t="s">
        <v>195</v>
      </c>
      <c r="J144" s="7" t="s">
        <v>195</v>
      </c>
      <c r="K144" s="7" t="s">
        <v>195</v>
      </c>
      <c r="L144" s="7" t="s">
        <v>195</v>
      </c>
      <c r="M144" s="7" t="s">
        <v>29</v>
      </c>
      <c r="N144" s="7" t="s">
        <v>29</v>
      </c>
      <c r="O144" s="7" t="s">
        <v>29</v>
      </c>
      <c r="P144" s="7" t="s">
        <v>29</v>
      </c>
      <c r="Q144" s="7" t="s">
        <v>29</v>
      </c>
      <c r="R144" s="7" t="s">
        <v>29</v>
      </c>
      <c r="S144" s="7" t="s">
        <v>29</v>
      </c>
    </row>
    <row r="145" spans="2:19">
      <c r="B145" s="7" t="s">
        <v>195</v>
      </c>
      <c r="C145" s="8" t="s">
        <v>195</v>
      </c>
      <c r="D145" s="5" t="str">
        <f>LRTRIM(CONCATENATE(IF(SUMPRODUCT(-- ISNUMBER(SEARCH({"Auto Number"}, $B145))) &gt; 0, $B145, IF(SUMPRODUCT(-- ISNUMBER(SEARCH({"Lookup","Master-Detail"}, $B145))) &gt; 0,$B145 &amp; "(" &amp; $E145 &amp; ")",IF(SUMPRODUCT(-- ISNUMBER(SEARCH({"Formula","Roll-Up Summary"}, $B145))) &gt; 0,$B145 &amp; " (" &amp; $E145 &amp; ")",IF(SUMPRODUCT(-- ISNUMBER(SEARCH({"Content","Currency","Number","Percent","Text","URL"}, $B145))) &gt; 0,$B145 &amp; "(" &amp; $C145 &amp; ")",$B145)))), "  ", TRIM(IF($S145 = "YES", "(External ID)", "") &amp; " " &amp; IF(SUMPRODUCT(-- ISNUMBER(SEARCH({"Unique","Unique Case Insensitive"}, $R145))) &gt; 0, "(" &amp; $R145 &amp; ")", ""))))</f>
        <v>na</v>
      </c>
      <c r="E145" s="7" t="s">
        <v>195</v>
      </c>
      <c r="F145" s="7" t="s">
        <v>195</v>
      </c>
      <c r="G145" s="7" t="s">
        <v>195</v>
      </c>
      <c r="H145" s="7" t="s">
        <v>195</v>
      </c>
      <c r="I145" s="7" t="s">
        <v>195</v>
      </c>
      <c r="J145" s="7" t="s">
        <v>195</v>
      </c>
      <c r="K145" s="7" t="s">
        <v>195</v>
      </c>
      <c r="L145" s="7" t="s">
        <v>195</v>
      </c>
      <c r="M145" s="7" t="s">
        <v>29</v>
      </c>
      <c r="N145" s="7" t="s">
        <v>29</v>
      </c>
      <c r="O145" s="7" t="s">
        <v>29</v>
      </c>
      <c r="P145" s="7" t="s">
        <v>29</v>
      </c>
      <c r="Q145" s="7" t="s">
        <v>29</v>
      </c>
      <c r="R145" s="7" t="s">
        <v>29</v>
      </c>
      <c r="S145" s="7" t="s">
        <v>29</v>
      </c>
    </row>
    <row r="146" spans="2:19">
      <c r="B146" s="7" t="s">
        <v>195</v>
      </c>
      <c r="C146" s="8" t="s">
        <v>195</v>
      </c>
      <c r="D146" s="5" t="str">
        <f>LRTRIM(CONCATENATE(IF(SUMPRODUCT(-- ISNUMBER(SEARCH({"Auto Number"}, $B146))) &gt; 0, $B146, IF(SUMPRODUCT(-- ISNUMBER(SEARCH({"Lookup","Master-Detail"}, $B146))) &gt; 0,$B146 &amp; "(" &amp; $E146 &amp; ")",IF(SUMPRODUCT(-- ISNUMBER(SEARCH({"Formula","Roll-Up Summary"}, $B146))) &gt; 0,$B146 &amp; " (" &amp; $E146 &amp; ")",IF(SUMPRODUCT(-- ISNUMBER(SEARCH({"Content","Currency","Number","Percent","Text","URL"}, $B146))) &gt; 0,$B146 &amp; "(" &amp; $C146 &amp; ")",$B146)))), "  ", TRIM(IF($S146 = "YES", "(External ID)", "") &amp; " " &amp; IF(SUMPRODUCT(-- ISNUMBER(SEARCH({"Unique","Unique Case Insensitive"}, $R146))) &gt; 0, "(" &amp; $R146 &amp; ")", ""))))</f>
        <v>na</v>
      </c>
      <c r="E146" s="7" t="s">
        <v>195</v>
      </c>
      <c r="F146" s="7" t="s">
        <v>195</v>
      </c>
      <c r="G146" s="7" t="s">
        <v>195</v>
      </c>
      <c r="H146" s="7" t="s">
        <v>195</v>
      </c>
      <c r="I146" s="7" t="s">
        <v>195</v>
      </c>
      <c r="J146" s="7" t="s">
        <v>195</v>
      </c>
      <c r="K146" s="7" t="s">
        <v>195</v>
      </c>
      <c r="L146" s="7" t="s">
        <v>195</v>
      </c>
      <c r="M146" s="7" t="s">
        <v>29</v>
      </c>
      <c r="N146" s="7" t="s">
        <v>29</v>
      </c>
      <c r="O146" s="7" t="s">
        <v>29</v>
      </c>
      <c r="P146" s="7" t="s">
        <v>29</v>
      </c>
      <c r="Q146" s="7" t="s">
        <v>29</v>
      </c>
      <c r="R146" s="7" t="s">
        <v>29</v>
      </c>
      <c r="S146" s="7" t="s">
        <v>29</v>
      </c>
    </row>
    <row r="147" spans="2:19">
      <c r="B147" s="7" t="s">
        <v>195</v>
      </c>
      <c r="C147" s="8" t="s">
        <v>195</v>
      </c>
      <c r="D147" s="5" t="str">
        <f>LRTRIM(CONCATENATE(IF(SUMPRODUCT(-- ISNUMBER(SEARCH({"Auto Number"}, $B147))) &gt; 0, $B147, IF(SUMPRODUCT(-- ISNUMBER(SEARCH({"Lookup","Master-Detail"}, $B147))) &gt; 0,$B147 &amp; "(" &amp; $E147 &amp; ")",IF(SUMPRODUCT(-- ISNUMBER(SEARCH({"Formula","Roll-Up Summary"}, $B147))) &gt; 0,$B147 &amp; " (" &amp; $E147 &amp; ")",IF(SUMPRODUCT(-- ISNUMBER(SEARCH({"Content","Currency","Number","Percent","Text","URL"}, $B147))) &gt; 0,$B147 &amp; "(" &amp; $C147 &amp; ")",$B147)))), "  ", TRIM(IF($S147 = "YES", "(External ID)", "") &amp; " " &amp; IF(SUMPRODUCT(-- ISNUMBER(SEARCH({"Unique","Unique Case Insensitive"}, $R147))) &gt; 0, "(" &amp; $R147 &amp; ")", ""))))</f>
        <v>na</v>
      </c>
      <c r="E147" s="7" t="s">
        <v>195</v>
      </c>
      <c r="F147" s="7" t="s">
        <v>195</v>
      </c>
      <c r="G147" s="7" t="s">
        <v>195</v>
      </c>
      <c r="H147" s="7" t="s">
        <v>195</v>
      </c>
      <c r="I147" s="7" t="s">
        <v>195</v>
      </c>
      <c r="J147" s="7" t="s">
        <v>195</v>
      </c>
      <c r="K147" s="7" t="s">
        <v>195</v>
      </c>
      <c r="L147" s="7" t="s">
        <v>195</v>
      </c>
      <c r="M147" s="7" t="s">
        <v>29</v>
      </c>
      <c r="N147" s="7" t="s">
        <v>29</v>
      </c>
      <c r="O147" s="7" t="s">
        <v>29</v>
      </c>
      <c r="P147" s="7" t="s">
        <v>29</v>
      </c>
      <c r="Q147" s="7" t="s">
        <v>29</v>
      </c>
      <c r="R147" s="7" t="s">
        <v>29</v>
      </c>
      <c r="S147" s="7" t="s">
        <v>29</v>
      </c>
    </row>
    <row r="148" spans="2:19">
      <c r="B148" s="7" t="s">
        <v>195</v>
      </c>
      <c r="C148" s="8" t="s">
        <v>195</v>
      </c>
      <c r="D148" s="5" t="str">
        <f>LRTRIM(CONCATENATE(IF(SUMPRODUCT(-- ISNUMBER(SEARCH({"Auto Number"}, $B148))) &gt; 0, $B148, IF(SUMPRODUCT(-- ISNUMBER(SEARCH({"Lookup","Master-Detail"}, $B148))) &gt; 0,$B148 &amp; "(" &amp; $E148 &amp; ")",IF(SUMPRODUCT(-- ISNUMBER(SEARCH({"Formula","Roll-Up Summary"}, $B148))) &gt; 0,$B148 &amp; " (" &amp; $E148 &amp; ")",IF(SUMPRODUCT(-- ISNUMBER(SEARCH({"Content","Currency","Number","Percent","Text","URL"}, $B148))) &gt; 0,$B148 &amp; "(" &amp; $C148 &amp; ")",$B148)))), "  ", TRIM(IF($S148 = "YES", "(External ID)", "") &amp; " " &amp; IF(SUMPRODUCT(-- ISNUMBER(SEARCH({"Unique","Unique Case Insensitive"}, $R148))) &gt; 0, "(" &amp; $R148 &amp; ")", ""))))</f>
        <v>na</v>
      </c>
      <c r="E148" s="7" t="s">
        <v>195</v>
      </c>
      <c r="F148" s="7" t="s">
        <v>195</v>
      </c>
      <c r="G148" s="7" t="s">
        <v>195</v>
      </c>
      <c r="H148" s="7" t="s">
        <v>195</v>
      </c>
      <c r="I148" s="7" t="s">
        <v>195</v>
      </c>
      <c r="J148" s="7" t="s">
        <v>195</v>
      </c>
      <c r="K148" s="7" t="s">
        <v>195</v>
      </c>
      <c r="L148" s="7" t="s">
        <v>195</v>
      </c>
      <c r="M148" s="7" t="s">
        <v>29</v>
      </c>
      <c r="N148" s="7" t="s">
        <v>29</v>
      </c>
      <c r="O148" s="7" t="s">
        <v>29</v>
      </c>
      <c r="P148" s="7" t="s">
        <v>29</v>
      </c>
      <c r="Q148" s="7" t="s">
        <v>29</v>
      </c>
      <c r="R148" s="7" t="s">
        <v>29</v>
      </c>
      <c r="S148" s="7" t="s">
        <v>29</v>
      </c>
    </row>
    <row r="149" spans="2:19">
      <c r="B149" s="7" t="s">
        <v>195</v>
      </c>
      <c r="C149" s="8" t="s">
        <v>195</v>
      </c>
      <c r="D149" s="5" t="str">
        <f>LRTRIM(CONCATENATE(IF(SUMPRODUCT(-- ISNUMBER(SEARCH({"Auto Number"}, $B149))) &gt; 0, $B149, IF(SUMPRODUCT(-- ISNUMBER(SEARCH({"Lookup","Master-Detail"}, $B149))) &gt; 0,$B149 &amp; "(" &amp; $E149 &amp; ")",IF(SUMPRODUCT(-- ISNUMBER(SEARCH({"Formula","Roll-Up Summary"}, $B149))) &gt; 0,$B149 &amp; " (" &amp; $E149 &amp; ")",IF(SUMPRODUCT(-- ISNUMBER(SEARCH({"Content","Currency","Number","Percent","Text","URL"}, $B149))) &gt; 0,$B149 &amp; "(" &amp; $C149 &amp; ")",$B149)))), "  ", TRIM(IF($S149 = "YES", "(External ID)", "") &amp; " " &amp; IF(SUMPRODUCT(-- ISNUMBER(SEARCH({"Unique","Unique Case Insensitive"}, $R149))) &gt; 0, "(" &amp; $R149 &amp; ")", ""))))</f>
        <v>na</v>
      </c>
      <c r="E149" s="7" t="s">
        <v>195</v>
      </c>
      <c r="F149" s="7" t="s">
        <v>195</v>
      </c>
      <c r="G149" s="7" t="s">
        <v>195</v>
      </c>
      <c r="H149" s="7" t="s">
        <v>195</v>
      </c>
      <c r="I149" s="7" t="s">
        <v>195</v>
      </c>
      <c r="J149" s="7" t="s">
        <v>195</v>
      </c>
      <c r="K149" s="7" t="s">
        <v>195</v>
      </c>
      <c r="L149" s="7" t="s">
        <v>195</v>
      </c>
      <c r="M149" s="7" t="s">
        <v>29</v>
      </c>
      <c r="N149" s="7" t="s">
        <v>29</v>
      </c>
      <c r="O149" s="7" t="s">
        <v>29</v>
      </c>
      <c r="P149" s="7" t="s">
        <v>29</v>
      </c>
      <c r="Q149" s="7" t="s">
        <v>29</v>
      </c>
      <c r="R149" s="7" t="s">
        <v>29</v>
      </c>
      <c r="S149" s="7" t="s">
        <v>29</v>
      </c>
    </row>
    <row r="150" spans="2:19">
      <c r="B150" s="7" t="s">
        <v>195</v>
      </c>
      <c r="C150" s="8" t="s">
        <v>195</v>
      </c>
      <c r="D150" s="5" t="str">
        <f>LRTRIM(CONCATENATE(IF(SUMPRODUCT(-- ISNUMBER(SEARCH({"Auto Number"}, $B150))) &gt; 0, $B150, IF(SUMPRODUCT(-- ISNUMBER(SEARCH({"Lookup","Master-Detail"}, $B150))) &gt; 0,$B150 &amp; "(" &amp; $E150 &amp; ")",IF(SUMPRODUCT(-- ISNUMBER(SEARCH({"Formula","Roll-Up Summary"}, $B150))) &gt; 0,$B150 &amp; " (" &amp; $E150 &amp; ")",IF(SUMPRODUCT(-- ISNUMBER(SEARCH({"Content","Currency","Number","Percent","Text","URL"}, $B150))) &gt; 0,$B150 &amp; "(" &amp; $C150 &amp; ")",$B150)))), "  ", TRIM(IF($S150 = "YES", "(External ID)", "") &amp; " " &amp; IF(SUMPRODUCT(-- ISNUMBER(SEARCH({"Unique","Unique Case Insensitive"}, $R150))) &gt; 0, "(" &amp; $R150 &amp; ")", ""))))</f>
        <v>na</v>
      </c>
      <c r="E150" s="7" t="s">
        <v>195</v>
      </c>
      <c r="F150" s="7" t="s">
        <v>195</v>
      </c>
      <c r="G150" s="7" t="s">
        <v>195</v>
      </c>
      <c r="H150" s="7" t="s">
        <v>195</v>
      </c>
      <c r="I150" s="7" t="s">
        <v>195</v>
      </c>
      <c r="J150" s="7" t="s">
        <v>195</v>
      </c>
      <c r="K150" s="7" t="s">
        <v>195</v>
      </c>
      <c r="L150" s="7" t="s">
        <v>195</v>
      </c>
      <c r="M150" s="7" t="s">
        <v>29</v>
      </c>
      <c r="N150" s="7" t="s">
        <v>29</v>
      </c>
      <c r="O150" s="7" t="s">
        <v>29</v>
      </c>
      <c r="P150" s="7" t="s">
        <v>29</v>
      </c>
      <c r="Q150" s="7" t="s">
        <v>29</v>
      </c>
      <c r="R150" s="7" t="s">
        <v>29</v>
      </c>
      <c r="S150" s="7" t="s">
        <v>29</v>
      </c>
    </row>
    <row r="151" spans="2:19">
      <c r="B151" s="7" t="s">
        <v>195</v>
      </c>
      <c r="C151" s="8" t="s">
        <v>195</v>
      </c>
      <c r="D151" s="5" t="str">
        <f>LRTRIM(CONCATENATE(IF(SUMPRODUCT(-- ISNUMBER(SEARCH({"Auto Number"}, $B151))) &gt; 0, $B151, IF(SUMPRODUCT(-- ISNUMBER(SEARCH({"Lookup","Master-Detail"}, $B151))) &gt; 0,$B151 &amp; "(" &amp; $E151 &amp; ")",IF(SUMPRODUCT(-- ISNUMBER(SEARCH({"Formula","Roll-Up Summary"}, $B151))) &gt; 0,$B151 &amp; " (" &amp; $E151 &amp; ")",IF(SUMPRODUCT(-- ISNUMBER(SEARCH({"Content","Currency","Number","Percent","Text","URL"}, $B151))) &gt; 0,$B151 &amp; "(" &amp; $C151 &amp; ")",$B151)))), "  ", TRIM(IF($S151 = "YES", "(External ID)", "") &amp; " " &amp; IF(SUMPRODUCT(-- ISNUMBER(SEARCH({"Unique","Unique Case Insensitive"}, $R151))) &gt; 0, "(" &amp; $R151 &amp; ")", ""))))</f>
        <v>na</v>
      </c>
      <c r="E151" s="7" t="s">
        <v>195</v>
      </c>
      <c r="F151" s="7" t="s">
        <v>195</v>
      </c>
      <c r="G151" s="7" t="s">
        <v>195</v>
      </c>
      <c r="H151" s="7" t="s">
        <v>195</v>
      </c>
      <c r="I151" s="7" t="s">
        <v>195</v>
      </c>
      <c r="J151" s="7" t="s">
        <v>195</v>
      </c>
      <c r="K151" s="7" t="s">
        <v>195</v>
      </c>
      <c r="L151" s="7" t="s">
        <v>195</v>
      </c>
      <c r="M151" s="7" t="s">
        <v>29</v>
      </c>
      <c r="N151" s="7" t="s">
        <v>29</v>
      </c>
      <c r="O151" s="7" t="s">
        <v>29</v>
      </c>
      <c r="P151" s="7" t="s">
        <v>29</v>
      </c>
      <c r="Q151" s="7" t="s">
        <v>29</v>
      </c>
      <c r="R151" s="7" t="s">
        <v>29</v>
      </c>
      <c r="S151" s="7" t="s">
        <v>29</v>
      </c>
    </row>
    <row r="152" spans="2:19">
      <c r="B152" s="7" t="s">
        <v>195</v>
      </c>
      <c r="C152" s="8" t="s">
        <v>195</v>
      </c>
      <c r="D152" s="5" t="str">
        <f>LRTRIM(CONCATENATE(IF(SUMPRODUCT(-- ISNUMBER(SEARCH({"Auto Number"}, $B152))) &gt; 0, $B152, IF(SUMPRODUCT(-- ISNUMBER(SEARCH({"Lookup","Master-Detail"}, $B152))) &gt; 0,$B152 &amp; "(" &amp; $E152 &amp; ")",IF(SUMPRODUCT(-- ISNUMBER(SEARCH({"Formula","Roll-Up Summary"}, $B152))) &gt; 0,$B152 &amp; " (" &amp; $E152 &amp; ")",IF(SUMPRODUCT(-- ISNUMBER(SEARCH({"Content","Currency","Number","Percent","Text","URL"}, $B152))) &gt; 0,$B152 &amp; "(" &amp; $C152 &amp; ")",$B152)))), "  ", TRIM(IF($S152 = "YES", "(External ID)", "") &amp; " " &amp; IF(SUMPRODUCT(-- ISNUMBER(SEARCH({"Unique","Unique Case Insensitive"}, $R152))) &gt; 0, "(" &amp; $R152 &amp; ")", ""))))</f>
        <v>na</v>
      </c>
      <c r="E152" s="7" t="s">
        <v>195</v>
      </c>
      <c r="F152" s="7" t="s">
        <v>195</v>
      </c>
      <c r="G152" s="7" t="s">
        <v>195</v>
      </c>
      <c r="H152" s="7" t="s">
        <v>195</v>
      </c>
      <c r="I152" s="7" t="s">
        <v>195</v>
      </c>
      <c r="J152" s="7" t="s">
        <v>195</v>
      </c>
      <c r="K152" s="7" t="s">
        <v>195</v>
      </c>
      <c r="L152" s="7" t="s">
        <v>195</v>
      </c>
      <c r="M152" s="7" t="s">
        <v>29</v>
      </c>
      <c r="N152" s="7" t="s">
        <v>29</v>
      </c>
      <c r="O152" s="7" t="s">
        <v>29</v>
      </c>
      <c r="P152" s="7" t="s">
        <v>29</v>
      </c>
      <c r="Q152" s="7" t="s">
        <v>29</v>
      </c>
      <c r="R152" s="7" t="s">
        <v>29</v>
      </c>
      <c r="S152" s="7" t="s">
        <v>29</v>
      </c>
    </row>
    <row r="153" spans="2:19">
      <c r="B153" s="7" t="s">
        <v>195</v>
      </c>
      <c r="C153" s="8" t="s">
        <v>195</v>
      </c>
      <c r="D153" s="5" t="str">
        <f>LRTRIM(CONCATENATE(IF(SUMPRODUCT(-- ISNUMBER(SEARCH({"Auto Number"}, $B153))) &gt; 0, $B153, IF(SUMPRODUCT(-- ISNUMBER(SEARCH({"Lookup","Master-Detail"}, $B153))) &gt; 0,$B153 &amp; "(" &amp; $E153 &amp; ")",IF(SUMPRODUCT(-- ISNUMBER(SEARCH({"Formula","Roll-Up Summary"}, $B153))) &gt; 0,$B153 &amp; " (" &amp; $E153 &amp; ")",IF(SUMPRODUCT(-- ISNUMBER(SEARCH({"Content","Currency","Number","Percent","Text","URL"}, $B153))) &gt; 0,$B153 &amp; "(" &amp; $C153 &amp; ")",$B153)))), "  ", TRIM(IF($S153 = "YES", "(External ID)", "") &amp; " " &amp; IF(SUMPRODUCT(-- ISNUMBER(SEARCH({"Unique","Unique Case Insensitive"}, $R153))) &gt; 0, "(" &amp; $R153 &amp; ")", ""))))</f>
        <v>na</v>
      </c>
      <c r="E153" s="7" t="s">
        <v>195</v>
      </c>
      <c r="F153" s="7" t="s">
        <v>195</v>
      </c>
      <c r="G153" s="7" t="s">
        <v>195</v>
      </c>
      <c r="H153" s="7" t="s">
        <v>195</v>
      </c>
      <c r="I153" s="7" t="s">
        <v>195</v>
      </c>
      <c r="J153" s="7" t="s">
        <v>195</v>
      </c>
      <c r="K153" s="7" t="s">
        <v>195</v>
      </c>
      <c r="L153" s="7" t="s">
        <v>195</v>
      </c>
      <c r="M153" s="7" t="s">
        <v>29</v>
      </c>
      <c r="N153" s="7" t="s">
        <v>29</v>
      </c>
      <c r="O153" s="7" t="s">
        <v>29</v>
      </c>
      <c r="P153" s="7" t="s">
        <v>29</v>
      </c>
      <c r="Q153" s="7" t="s">
        <v>29</v>
      </c>
      <c r="R153" s="7" t="s">
        <v>29</v>
      </c>
      <c r="S153" s="7" t="s">
        <v>29</v>
      </c>
    </row>
    <row r="154" spans="2:19">
      <c r="B154" s="7" t="s">
        <v>195</v>
      </c>
      <c r="C154" s="8" t="s">
        <v>195</v>
      </c>
      <c r="D154" s="5" t="str">
        <f>LRTRIM(CONCATENATE(IF(SUMPRODUCT(-- ISNUMBER(SEARCH({"Auto Number"}, $B154))) &gt; 0, $B154, IF(SUMPRODUCT(-- ISNUMBER(SEARCH({"Lookup","Master-Detail"}, $B154))) &gt; 0,$B154 &amp; "(" &amp; $E154 &amp; ")",IF(SUMPRODUCT(-- ISNUMBER(SEARCH({"Formula","Roll-Up Summary"}, $B154))) &gt; 0,$B154 &amp; " (" &amp; $E154 &amp; ")",IF(SUMPRODUCT(-- ISNUMBER(SEARCH({"Content","Currency","Number","Percent","Text","URL"}, $B154))) &gt; 0,$B154 &amp; "(" &amp; $C154 &amp; ")",$B154)))), "  ", TRIM(IF($S154 = "YES", "(External ID)", "") &amp; " " &amp; IF(SUMPRODUCT(-- ISNUMBER(SEARCH({"Unique","Unique Case Insensitive"}, $R154))) &gt; 0, "(" &amp; $R154 &amp; ")", ""))))</f>
        <v>na</v>
      </c>
      <c r="E154" s="7" t="s">
        <v>195</v>
      </c>
      <c r="F154" s="7" t="s">
        <v>195</v>
      </c>
      <c r="G154" s="7" t="s">
        <v>195</v>
      </c>
      <c r="H154" s="7" t="s">
        <v>195</v>
      </c>
      <c r="I154" s="7" t="s">
        <v>195</v>
      </c>
      <c r="J154" s="7" t="s">
        <v>195</v>
      </c>
      <c r="K154" s="7" t="s">
        <v>195</v>
      </c>
      <c r="L154" s="7" t="s">
        <v>195</v>
      </c>
      <c r="M154" s="7" t="s">
        <v>29</v>
      </c>
      <c r="N154" s="7" t="s">
        <v>29</v>
      </c>
      <c r="O154" s="7" t="s">
        <v>29</v>
      </c>
      <c r="P154" s="7" t="s">
        <v>29</v>
      </c>
      <c r="Q154" s="7" t="s">
        <v>29</v>
      </c>
      <c r="R154" s="7" t="s">
        <v>29</v>
      </c>
      <c r="S154" s="7" t="s">
        <v>29</v>
      </c>
    </row>
    <row r="155" spans="2:19">
      <c r="B155" s="7" t="s">
        <v>195</v>
      </c>
      <c r="C155" s="8" t="s">
        <v>195</v>
      </c>
      <c r="D155" s="5" t="str">
        <f>LRTRIM(CONCATENATE(IF(SUMPRODUCT(-- ISNUMBER(SEARCH({"Auto Number"}, $B155))) &gt; 0, $B155, IF(SUMPRODUCT(-- ISNUMBER(SEARCH({"Lookup","Master-Detail"}, $B155))) &gt; 0,$B155 &amp; "(" &amp; $E155 &amp; ")",IF(SUMPRODUCT(-- ISNUMBER(SEARCH({"Formula","Roll-Up Summary"}, $B155))) &gt; 0,$B155 &amp; " (" &amp; $E155 &amp; ")",IF(SUMPRODUCT(-- ISNUMBER(SEARCH({"Content","Currency","Number","Percent","Text","URL"}, $B155))) &gt; 0,$B155 &amp; "(" &amp; $C155 &amp; ")",$B155)))), "  ", TRIM(IF($S155 = "YES", "(External ID)", "") &amp; " " &amp; IF(SUMPRODUCT(-- ISNUMBER(SEARCH({"Unique","Unique Case Insensitive"}, $R155))) &gt; 0, "(" &amp; $R155 &amp; ")", ""))))</f>
        <v>na</v>
      </c>
      <c r="E155" s="7" t="s">
        <v>195</v>
      </c>
      <c r="F155" s="7" t="s">
        <v>195</v>
      </c>
      <c r="G155" s="7" t="s">
        <v>195</v>
      </c>
      <c r="H155" s="7" t="s">
        <v>195</v>
      </c>
      <c r="I155" s="7" t="s">
        <v>195</v>
      </c>
      <c r="J155" s="7" t="s">
        <v>195</v>
      </c>
      <c r="K155" s="7" t="s">
        <v>195</v>
      </c>
      <c r="L155" s="7" t="s">
        <v>195</v>
      </c>
      <c r="M155" s="7" t="s">
        <v>29</v>
      </c>
      <c r="N155" s="7" t="s">
        <v>29</v>
      </c>
      <c r="O155" s="7" t="s">
        <v>29</v>
      </c>
      <c r="P155" s="7" t="s">
        <v>29</v>
      </c>
      <c r="Q155" s="7" t="s">
        <v>29</v>
      </c>
      <c r="R155" s="7" t="s">
        <v>29</v>
      </c>
      <c r="S155" s="7" t="s">
        <v>29</v>
      </c>
    </row>
    <row r="156" spans="2:19">
      <c r="B156" s="7" t="s">
        <v>195</v>
      </c>
      <c r="C156" s="8" t="s">
        <v>195</v>
      </c>
      <c r="D156" s="5" t="str">
        <f>LRTRIM(CONCATENATE(IF(SUMPRODUCT(-- ISNUMBER(SEARCH({"Auto Number"}, $B156))) &gt; 0, $B156, IF(SUMPRODUCT(-- ISNUMBER(SEARCH({"Lookup","Master-Detail"}, $B156))) &gt; 0,$B156 &amp; "(" &amp; $E156 &amp; ")",IF(SUMPRODUCT(-- ISNUMBER(SEARCH({"Formula","Roll-Up Summary"}, $B156))) &gt; 0,$B156 &amp; " (" &amp; $E156 &amp; ")",IF(SUMPRODUCT(-- ISNUMBER(SEARCH({"Content","Currency","Number","Percent","Text","URL"}, $B156))) &gt; 0,$B156 &amp; "(" &amp; $C156 &amp; ")",$B156)))), "  ", TRIM(IF($S156 = "YES", "(External ID)", "") &amp; " " &amp; IF(SUMPRODUCT(-- ISNUMBER(SEARCH({"Unique","Unique Case Insensitive"}, $R156))) &gt; 0, "(" &amp; $R156 &amp; ")", ""))))</f>
        <v>na</v>
      </c>
      <c r="E156" s="7" t="s">
        <v>195</v>
      </c>
      <c r="F156" s="7" t="s">
        <v>195</v>
      </c>
      <c r="G156" s="7" t="s">
        <v>195</v>
      </c>
      <c r="H156" s="7" t="s">
        <v>195</v>
      </c>
      <c r="I156" s="7" t="s">
        <v>195</v>
      </c>
      <c r="J156" s="7" t="s">
        <v>195</v>
      </c>
      <c r="K156" s="7" t="s">
        <v>195</v>
      </c>
      <c r="L156" s="7" t="s">
        <v>195</v>
      </c>
      <c r="M156" s="7" t="s">
        <v>29</v>
      </c>
      <c r="N156" s="7" t="s">
        <v>29</v>
      </c>
      <c r="O156" s="7" t="s">
        <v>29</v>
      </c>
      <c r="P156" s="7" t="s">
        <v>29</v>
      </c>
      <c r="Q156" s="7" t="s">
        <v>29</v>
      </c>
      <c r="R156" s="7" t="s">
        <v>29</v>
      </c>
      <c r="S156" s="7" t="s">
        <v>29</v>
      </c>
    </row>
    <row r="157" spans="2:19">
      <c r="B157" s="7" t="s">
        <v>195</v>
      </c>
      <c r="C157" s="8" t="s">
        <v>195</v>
      </c>
      <c r="D157" s="5" t="str">
        <f>LRTRIM(CONCATENATE(IF(SUMPRODUCT(-- ISNUMBER(SEARCH({"Auto Number"}, $B157))) &gt; 0, $B157, IF(SUMPRODUCT(-- ISNUMBER(SEARCH({"Lookup","Master-Detail"}, $B157))) &gt; 0,$B157 &amp; "(" &amp; $E157 &amp; ")",IF(SUMPRODUCT(-- ISNUMBER(SEARCH({"Formula","Roll-Up Summary"}, $B157))) &gt; 0,$B157 &amp; " (" &amp; $E157 &amp; ")",IF(SUMPRODUCT(-- ISNUMBER(SEARCH({"Content","Currency","Number","Percent","Text","URL"}, $B157))) &gt; 0,$B157 &amp; "(" &amp; $C157 &amp; ")",$B157)))), "  ", TRIM(IF($S157 = "YES", "(External ID)", "") &amp; " " &amp; IF(SUMPRODUCT(-- ISNUMBER(SEARCH({"Unique","Unique Case Insensitive"}, $R157))) &gt; 0, "(" &amp; $R157 &amp; ")", ""))))</f>
        <v>na</v>
      </c>
      <c r="E157" s="7" t="s">
        <v>195</v>
      </c>
      <c r="F157" s="7" t="s">
        <v>195</v>
      </c>
      <c r="G157" s="7" t="s">
        <v>195</v>
      </c>
      <c r="H157" s="7" t="s">
        <v>195</v>
      </c>
      <c r="I157" s="7" t="s">
        <v>195</v>
      </c>
      <c r="J157" s="7" t="s">
        <v>195</v>
      </c>
      <c r="K157" s="7" t="s">
        <v>195</v>
      </c>
      <c r="L157" s="7" t="s">
        <v>195</v>
      </c>
      <c r="M157" s="7" t="s">
        <v>29</v>
      </c>
      <c r="N157" s="7" t="s">
        <v>29</v>
      </c>
      <c r="O157" s="7" t="s">
        <v>29</v>
      </c>
      <c r="P157" s="7" t="s">
        <v>29</v>
      </c>
      <c r="Q157" s="7" t="s">
        <v>29</v>
      </c>
      <c r="R157" s="7" t="s">
        <v>29</v>
      </c>
      <c r="S157" s="7" t="s">
        <v>29</v>
      </c>
    </row>
    <row r="158" spans="2:19">
      <c r="B158" s="7" t="s">
        <v>195</v>
      </c>
      <c r="C158" s="8" t="s">
        <v>195</v>
      </c>
      <c r="D158" s="5" t="str">
        <f>LRTRIM(CONCATENATE(IF(SUMPRODUCT(-- ISNUMBER(SEARCH({"Auto Number"}, $B158))) &gt; 0, $B158, IF(SUMPRODUCT(-- ISNUMBER(SEARCH({"Lookup","Master-Detail"}, $B158))) &gt; 0,$B158 &amp; "(" &amp; $E158 &amp; ")",IF(SUMPRODUCT(-- ISNUMBER(SEARCH({"Formula","Roll-Up Summary"}, $B158))) &gt; 0,$B158 &amp; " (" &amp; $E158 &amp; ")",IF(SUMPRODUCT(-- ISNUMBER(SEARCH({"Content","Currency","Number","Percent","Text","URL"}, $B158))) &gt; 0,$B158 &amp; "(" &amp; $C158 &amp; ")",$B158)))), "  ", TRIM(IF($S158 = "YES", "(External ID)", "") &amp; " " &amp; IF(SUMPRODUCT(-- ISNUMBER(SEARCH({"Unique","Unique Case Insensitive"}, $R158))) &gt; 0, "(" &amp; $R158 &amp; ")", ""))))</f>
        <v>na</v>
      </c>
      <c r="E158" s="7" t="s">
        <v>195</v>
      </c>
      <c r="F158" s="7" t="s">
        <v>195</v>
      </c>
      <c r="G158" s="7" t="s">
        <v>195</v>
      </c>
      <c r="H158" s="7" t="s">
        <v>195</v>
      </c>
      <c r="I158" s="7" t="s">
        <v>195</v>
      </c>
      <c r="J158" s="7" t="s">
        <v>195</v>
      </c>
      <c r="K158" s="7" t="s">
        <v>195</v>
      </c>
      <c r="L158" s="7" t="s">
        <v>195</v>
      </c>
      <c r="M158" s="7" t="s">
        <v>29</v>
      </c>
      <c r="N158" s="7" t="s">
        <v>29</v>
      </c>
      <c r="O158" s="7" t="s">
        <v>29</v>
      </c>
      <c r="P158" s="7" t="s">
        <v>29</v>
      </c>
      <c r="Q158" s="7" t="s">
        <v>29</v>
      </c>
      <c r="R158" s="7" t="s">
        <v>29</v>
      </c>
      <c r="S158" s="7" t="s">
        <v>29</v>
      </c>
    </row>
    <row r="159" spans="2:19">
      <c r="B159" s="7" t="s">
        <v>195</v>
      </c>
      <c r="C159" s="8" t="s">
        <v>195</v>
      </c>
      <c r="D159" s="5" t="str">
        <f>LRTRIM(CONCATENATE(IF(SUMPRODUCT(-- ISNUMBER(SEARCH({"Auto Number"}, $B159))) &gt; 0, $B159, IF(SUMPRODUCT(-- ISNUMBER(SEARCH({"Lookup","Master-Detail"}, $B159))) &gt; 0,$B159 &amp; "(" &amp; $E159 &amp; ")",IF(SUMPRODUCT(-- ISNUMBER(SEARCH({"Formula","Roll-Up Summary"}, $B159))) &gt; 0,$B159 &amp; " (" &amp; $E159 &amp; ")",IF(SUMPRODUCT(-- ISNUMBER(SEARCH({"Content","Currency","Number","Percent","Text","URL"}, $B159))) &gt; 0,$B159 &amp; "(" &amp; $C159 &amp; ")",$B159)))), "  ", TRIM(IF($S159 = "YES", "(External ID)", "") &amp; " " &amp; IF(SUMPRODUCT(-- ISNUMBER(SEARCH({"Unique","Unique Case Insensitive"}, $R159))) &gt; 0, "(" &amp; $R159 &amp; ")", ""))))</f>
        <v>na</v>
      </c>
      <c r="E159" s="7" t="s">
        <v>195</v>
      </c>
      <c r="F159" s="7" t="s">
        <v>195</v>
      </c>
      <c r="G159" s="7" t="s">
        <v>195</v>
      </c>
      <c r="H159" s="7" t="s">
        <v>195</v>
      </c>
      <c r="I159" s="7" t="s">
        <v>195</v>
      </c>
      <c r="J159" s="7" t="s">
        <v>195</v>
      </c>
      <c r="K159" s="7" t="s">
        <v>195</v>
      </c>
      <c r="L159" s="7" t="s">
        <v>195</v>
      </c>
      <c r="M159" s="7" t="s">
        <v>29</v>
      </c>
      <c r="N159" s="7" t="s">
        <v>29</v>
      </c>
      <c r="O159" s="7" t="s">
        <v>29</v>
      </c>
      <c r="P159" s="7" t="s">
        <v>29</v>
      </c>
      <c r="Q159" s="7" t="s">
        <v>29</v>
      </c>
      <c r="R159" s="7" t="s">
        <v>29</v>
      </c>
      <c r="S159" s="7" t="s">
        <v>29</v>
      </c>
    </row>
    <row r="160" spans="2:19">
      <c r="B160" s="7" t="s">
        <v>195</v>
      </c>
      <c r="C160" s="8" t="s">
        <v>195</v>
      </c>
      <c r="D160" s="5" t="str">
        <f>LRTRIM(CONCATENATE(IF(SUMPRODUCT(-- ISNUMBER(SEARCH({"Auto Number"}, $B160))) &gt; 0, $B160, IF(SUMPRODUCT(-- ISNUMBER(SEARCH({"Lookup","Master-Detail"}, $B160))) &gt; 0,$B160 &amp; "(" &amp; $E160 &amp; ")",IF(SUMPRODUCT(-- ISNUMBER(SEARCH({"Formula","Roll-Up Summary"}, $B160))) &gt; 0,$B160 &amp; " (" &amp; $E160 &amp; ")",IF(SUMPRODUCT(-- ISNUMBER(SEARCH({"Content","Currency","Number","Percent","Text","URL"}, $B160))) &gt; 0,$B160 &amp; "(" &amp; $C160 &amp; ")",$B160)))), "  ", TRIM(IF($S160 = "YES", "(External ID)", "") &amp; " " &amp; IF(SUMPRODUCT(-- ISNUMBER(SEARCH({"Unique","Unique Case Insensitive"}, $R160))) &gt; 0, "(" &amp; $R160 &amp; ")", ""))))</f>
        <v>na</v>
      </c>
      <c r="E160" s="7" t="s">
        <v>195</v>
      </c>
      <c r="F160" s="7" t="s">
        <v>195</v>
      </c>
      <c r="G160" s="7" t="s">
        <v>195</v>
      </c>
      <c r="H160" s="7" t="s">
        <v>195</v>
      </c>
      <c r="I160" s="7" t="s">
        <v>195</v>
      </c>
      <c r="J160" s="7" t="s">
        <v>195</v>
      </c>
      <c r="K160" s="7" t="s">
        <v>195</v>
      </c>
      <c r="L160" s="7" t="s">
        <v>195</v>
      </c>
      <c r="M160" s="7" t="s">
        <v>29</v>
      </c>
      <c r="N160" s="7" t="s">
        <v>29</v>
      </c>
      <c r="O160" s="7" t="s">
        <v>29</v>
      </c>
      <c r="P160" s="7" t="s">
        <v>29</v>
      </c>
      <c r="Q160" s="7" t="s">
        <v>29</v>
      </c>
      <c r="R160" s="7" t="s">
        <v>29</v>
      </c>
      <c r="S160" s="7" t="s">
        <v>29</v>
      </c>
    </row>
    <row r="161" spans="2:19">
      <c r="B161" s="7" t="s">
        <v>195</v>
      </c>
      <c r="C161" s="8" t="s">
        <v>195</v>
      </c>
      <c r="D161" s="5" t="str">
        <f>LRTRIM(CONCATENATE(IF(SUMPRODUCT(-- ISNUMBER(SEARCH({"Auto Number"}, $B161))) &gt; 0, $B161, IF(SUMPRODUCT(-- ISNUMBER(SEARCH({"Lookup","Master-Detail"}, $B161))) &gt; 0,$B161 &amp; "(" &amp; $E161 &amp; ")",IF(SUMPRODUCT(-- ISNUMBER(SEARCH({"Formula","Roll-Up Summary"}, $B161))) &gt; 0,$B161 &amp; " (" &amp; $E161 &amp; ")",IF(SUMPRODUCT(-- ISNUMBER(SEARCH({"Content","Currency","Number","Percent","Text","URL"}, $B161))) &gt; 0,$B161 &amp; "(" &amp; $C161 &amp; ")",$B161)))), "  ", TRIM(IF($S161 = "YES", "(External ID)", "") &amp; " " &amp; IF(SUMPRODUCT(-- ISNUMBER(SEARCH({"Unique","Unique Case Insensitive"}, $R161))) &gt; 0, "(" &amp; $R161 &amp; ")", ""))))</f>
        <v>na</v>
      </c>
      <c r="E161" s="7" t="s">
        <v>195</v>
      </c>
      <c r="F161" s="7" t="s">
        <v>195</v>
      </c>
      <c r="G161" s="7" t="s">
        <v>195</v>
      </c>
      <c r="H161" s="7" t="s">
        <v>195</v>
      </c>
      <c r="I161" s="7" t="s">
        <v>195</v>
      </c>
      <c r="J161" s="7" t="s">
        <v>195</v>
      </c>
      <c r="K161" s="7" t="s">
        <v>195</v>
      </c>
      <c r="L161" s="7" t="s">
        <v>195</v>
      </c>
      <c r="M161" s="7" t="s">
        <v>29</v>
      </c>
      <c r="N161" s="7" t="s">
        <v>29</v>
      </c>
      <c r="O161" s="7" t="s">
        <v>29</v>
      </c>
      <c r="P161" s="7" t="s">
        <v>29</v>
      </c>
      <c r="Q161" s="7" t="s">
        <v>29</v>
      </c>
      <c r="R161" s="7" t="s">
        <v>29</v>
      </c>
      <c r="S161" s="7" t="s">
        <v>29</v>
      </c>
    </row>
    <row r="162" spans="2:19">
      <c r="B162" s="7" t="s">
        <v>195</v>
      </c>
      <c r="C162" s="8" t="s">
        <v>195</v>
      </c>
      <c r="D162" s="5" t="str">
        <f>LRTRIM(CONCATENATE(IF(SUMPRODUCT(-- ISNUMBER(SEARCH({"Auto Number"}, $B162))) &gt; 0, $B162, IF(SUMPRODUCT(-- ISNUMBER(SEARCH({"Lookup","Master-Detail"}, $B162))) &gt; 0,$B162 &amp; "(" &amp; $E162 &amp; ")",IF(SUMPRODUCT(-- ISNUMBER(SEARCH({"Formula","Roll-Up Summary"}, $B162))) &gt; 0,$B162 &amp; " (" &amp; $E162 &amp; ")",IF(SUMPRODUCT(-- ISNUMBER(SEARCH({"Content","Currency","Number","Percent","Text","URL"}, $B162))) &gt; 0,$B162 &amp; "(" &amp; $C162 &amp; ")",$B162)))), "  ", TRIM(IF($S162 = "YES", "(External ID)", "") &amp; " " &amp; IF(SUMPRODUCT(-- ISNUMBER(SEARCH({"Unique","Unique Case Insensitive"}, $R162))) &gt; 0, "(" &amp; $R162 &amp; ")", ""))))</f>
        <v>na</v>
      </c>
      <c r="E162" s="7" t="s">
        <v>195</v>
      </c>
      <c r="F162" s="7" t="s">
        <v>195</v>
      </c>
      <c r="G162" s="7" t="s">
        <v>195</v>
      </c>
      <c r="H162" s="7" t="s">
        <v>195</v>
      </c>
      <c r="I162" s="7" t="s">
        <v>195</v>
      </c>
      <c r="J162" s="7" t="s">
        <v>195</v>
      </c>
      <c r="K162" s="7" t="s">
        <v>195</v>
      </c>
      <c r="L162" s="7" t="s">
        <v>195</v>
      </c>
      <c r="M162" s="7" t="s">
        <v>29</v>
      </c>
      <c r="N162" s="7" t="s">
        <v>29</v>
      </c>
      <c r="O162" s="7" t="s">
        <v>29</v>
      </c>
      <c r="P162" s="7" t="s">
        <v>29</v>
      </c>
      <c r="Q162" s="7" t="s">
        <v>29</v>
      </c>
      <c r="R162" s="7" t="s">
        <v>29</v>
      </c>
      <c r="S162" s="7" t="s">
        <v>29</v>
      </c>
    </row>
    <row r="163" spans="2:19">
      <c r="B163" s="7" t="s">
        <v>195</v>
      </c>
      <c r="C163" s="8" t="s">
        <v>195</v>
      </c>
      <c r="D163" s="5" t="str">
        <f>LRTRIM(CONCATENATE(IF(SUMPRODUCT(-- ISNUMBER(SEARCH({"Auto Number"}, $B163))) &gt; 0, $B163, IF(SUMPRODUCT(-- ISNUMBER(SEARCH({"Lookup","Master-Detail"}, $B163))) &gt; 0,$B163 &amp; "(" &amp; $E163 &amp; ")",IF(SUMPRODUCT(-- ISNUMBER(SEARCH({"Formula","Roll-Up Summary"}, $B163))) &gt; 0,$B163 &amp; " (" &amp; $E163 &amp; ")",IF(SUMPRODUCT(-- ISNUMBER(SEARCH({"Content","Currency","Number","Percent","Text","URL"}, $B163))) &gt; 0,$B163 &amp; "(" &amp; $C163 &amp; ")",$B163)))), "  ", TRIM(IF($S163 = "YES", "(External ID)", "") &amp; " " &amp; IF(SUMPRODUCT(-- ISNUMBER(SEARCH({"Unique","Unique Case Insensitive"}, $R163))) &gt; 0, "(" &amp; $R163 &amp; ")", ""))))</f>
        <v>na</v>
      </c>
      <c r="E163" s="7" t="s">
        <v>195</v>
      </c>
      <c r="F163" s="7" t="s">
        <v>195</v>
      </c>
      <c r="G163" s="7" t="s">
        <v>195</v>
      </c>
      <c r="H163" s="7" t="s">
        <v>195</v>
      </c>
      <c r="I163" s="7" t="s">
        <v>195</v>
      </c>
      <c r="J163" s="7" t="s">
        <v>195</v>
      </c>
      <c r="K163" s="7" t="s">
        <v>195</v>
      </c>
      <c r="L163" s="7" t="s">
        <v>195</v>
      </c>
      <c r="M163" s="7" t="s">
        <v>29</v>
      </c>
      <c r="N163" s="7" t="s">
        <v>29</v>
      </c>
      <c r="O163" s="7" t="s">
        <v>29</v>
      </c>
      <c r="P163" s="7" t="s">
        <v>29</v>
      </c>
      <c r="Q163" s="7" t="s">
        <v>29</v>
      </c>
      <c r="R163" s="7" t="s">
        <v>29</v>
      </c>
      <c r="S163" s="7" t="s">
        <v>29</v>
      </c>
    </row>
    <row r="164" spans="2:19">
      <c r="B164" s="7" t="s">
        <v>195</v>
      </c>
      <c r="C164" s="8" t="s">
        <v>195</v>
      </c>
      <c r="D164" s="5" t="str">
        <f>LRTRIM(CONCATENATE(IF(SUMPRODUCT(-- ISNUMBER(SEARCH({"Auto Number"}, $B164))) &gt; 0, $B164, IF(SUMPRODUCT(-- ISNUMBER(SEARCH({"Lookup","Master-Detail"}, $B164))) &gt; 0,$B164 &amp; "(" &amp; $E164 &amp; ")",IF(SUMPRODUCT(-- ISNUMBER(SEARCH({"Formula","Roll-Up Summary"}, $B164))) &gt; 0,$B164 &amp; " (" &amp; $E164 &amp; ")",IF(SUMPRODUCT(-- ISNUMBER(SEARCH({"Content","Currency","Number","Percent","Text","URL"}, $B164))) &gt; 0,$B164 &amp; "(" &amp; $C164 &amp; ")",$B164)))), "  ", TRIM(IF($S164 = "YES", "(External ID)", "") &amp; " " &amp; IF(SUMPRODUCT(-- ISNUMBER(SEARCH({"Unique","Unique Case Insensitive"}, $R164))) &gt; 0, "(" &amp; $R164 &amp; ")", ""))))</f>
        <v>na</v>
      </c>
      <c r="E164" s="7" t="s">
        <v>195</v>
      </c>
      <c r="F164" s="7" t="s">
        <v>195</v>
      </c>
      <c r="G164" s="7" t="s">
        <v>195</v>
      </c>
      <c r="H164" s="7" t="s">
        <v>195</v>
      </c>
      <c r="I164" s="7" t="s">
        <v>195</v>
      </c>
      <c r="J164" s="7" t="s">
        <v>195</v>
      </c>
      <c r="K164" s="7" t="s">
        <v>195</v>
      </c>
      <c r="L164" s="7" t="s">
        <v>195</v>
      </c>
      <c r="M164" s="7" t="s">
        <v>29</v>
      </c>
      <c r="N164" s="7" t="s">
        <v>29</v>
      </c>
      <c r="O164" s="7" t="s">
        <v>29</v>
      </c>
      <c r="P164" s="7" t="s">
        <v>29</v>
      </c>
      <c r="Q164" s="7" t="s">
        <v>29</v>
      </c>
      <c r="R164" s="7" t="s">
        <v>29</v>
      </c>
      <c r="S164" s="7" t="s">
        <v>29</v>
      </c>
    </row>
    <row r="165" spans="2:19">
      <c r="B165" s="7" t="s">
        <v>195</v>
      </c>
      <c r="C165" s="8" t="s">
        <v>195</v>
      </c>
      <c r="D165" s="5" t="str">
        <f>LRTRIM(CONCATENATE(IF(SUMPRODUCT(-- ISNUMBER(SEARCH({"Auto Number"}, $B165))) &gt; 0, $B165, IF(SUMPRODUCT(-- ISNUMBER(SEARCH({"Lookup","Master-Detail"}, $B165))) &gt; 0,$B165 &amp; "(" &amp; $E165 &amp; ")",IF(SUMPRODUCT(-- ISNUMBER(SEARCH({"Formula","Roll-Up Summary"}, $B165))) &gt; 0,$B165 &amp; " (" &amp; $E165 &amp; ")",IF(SUMPRODUCT(-- ISNUMBER(SEARCH({"Content","Currency","Number","Percent","Text","URL"}, $B165))) &gt; 0,$B165 &amp; "(" &amp; $C165 &amp; ")",$B165)))), "  ", TRIM(IF($S165 = "YES", "(External ID)", "") &amp; " " &amp; IF(SUMPRODUCT(-- ISNUMBER(SEARCH({"Unique","Unique Case Insensitive"}, $R165))) &gt; 0, "(" &amp; $R165 &amp; ")", ""))))</f>
        <v>na</v>
      </c>
      <c r="E165" s="7" t="s">
        <v>195</v>
      </c>
      <c r="F165" s="7" t="s">
        <v>195</v>
      </c>
      <c r="G165" s="7" t="s">
        <v>195</v>
      </c>
      <c r="H165" s="7" t="s">
        <v>195</v>
      </c>
      <c r="I165" s="7" t="s">
        <v>195</v>
      </c>
      <c r="J165" s="7" t="s">
        <v>195</v>
      </c>
      <c r="K165" s="7" t="s">
        <v>195</v>
      </c>
      <c r="L165" s="7" t="s">
        <v>195</v>
      </c>
      <c r="M165" s="7" t="s">
        <v>29</v>
      </c>
      <c r="N165" s="7" t="s">
        <v>29</v>
      </c>
      <c r="O165" s="7" t="s">
        <v>29</v>
      </c>
      <c r="P165" s="7" t="s">
        <v>29</v>
      </c>
      <c r="Q165" s="7" t="s">
        <v>29</v>
      </c>
      <c r="R165" s="7" t="s">
        <v>29</v>
      </c>
      <c r="S165" s="7" t="s">
        <v>29</v>
      </c>
    </row>
    <row r="166" spans="2:19">
      <c r="B166" s="7" t="s">
        <v>195</v>
      </c>
      <c r="C166" s="8" t="s">
        <v>195</v>
      </c>
      <c r="D166" s="5" t="str">
        <f>LRTRIM(CONCATENATE(IF(SUMPRODUCT(-- ISNUMBER(SEARCH({"Auto Number"}, $B166))) &gt; 0, $B166, IF(SUMPRODUCT(-- ISNUMBER(SEARCH({"Lookup","Master-Detail"}, $B166))) &gt; 0,$B166 &amp; "(" &amp; $E166 &amp; ")",IF(SUMPRODUCT(-- ISNUMBER(SEARCH({"Formula","Roll-Up Summary"}, $B166))) &gt; 0,$B166 &amp; " (" &amp; $E166 &amp; ")",IF(SUMPRODUCT(-- ISNUMBER(SEARCH({"Content","Currency","Number","Percent","Text","URL"}, $B166))) &gt; 0,$B166 &amp; "(" &amp; $C166 &amp; ")",$B166)))), "  ", TRIM(IF($S166 = "YES", "(External ID)", "") &amp; " " &amp; IF(SUMPRODUCT(-- ISNUMBER(SEARCH({"Unique","Unique Case Insensitive"}, $R166))) &gt; 0, "(" &amp; $R166 &amp; ")", ""))))</f>
        <v>na</v>
      </c>
      <c r="E166" s="7" t="s">
        <v>195</v>
      </c>
      <c r="F166" s="7" t="s">
        <v>195</v>
      </c>
      <c r="G166" s="7" t="s">
        <v>195</v>
      </c>
      <c r="H166" s="7" t="s">
        <v>195</v>
      </c>
      <c r="I166" s="7" t="s">
        <v>195</v>
      </c>
      <c r="J166" s="7" t="s">
        <v>195</v>
      </c>
      <c r="K166" s="7" t="s">
        <v>195</v>
      </c>
      <c r="L166" s="7" t="s">
        <v>195</v>
      </c>
      <c r="M166" s="7" t="s">
        <v>29</v>
      </c>
      <c r="N166" s="7" t="s">
        <v>29</v>
      </c>
      <c r="O166" s="7" t="s">
        <v>29</v>
      </c>
      <c r="P166" s="7" t="s">
        <v>29</v>
      </c>
      <c r="Q166" s="7" t="s">
        <v>29</v>
      </c>
      <c r="R166" s="7" t="s">
        <v>29</v>
      </c>
      <c r="S166" s="7" t="s">
        <v>29</v>
      </c>
    </row>
    <row r="167" spans="2:19">
      <c r="B167" s="7" t="s">
        <v>195</v>
      </c>
      <c r="C167" s="8" t="s">
        <v>195</v>
      </c>
      <c r="D167" s="5" t="str">
        <f>LRTRIM(CONCATENATE(IF(SUMPRODUCT(-- ISNUMBER(SEARCH({"Auto Number"}, $B167))) &gt; 0, $B167, IF(SUMPRODUCT(-- ISNUMBER(SEARCH({"Lookup","Master-Detail"}, $B167))) &gt; 0,$B167 &amp; "(" &amp; $E167 &amp; ")",IF(SUMPRODUCT(-- ISNUMBER(SEARCH({"Formula","Roll-Up Summary"}, $B167))) &gt; 0,$B167 &amp; " (" &amp; $E167 &amp; ")",IF(SUMPRODUCT(-- ISNUMBER(SEARCH({"Content","Currency","Number","Percent","Text","URL"}, $B167))) &gt; 0,$B167 &amp; "(" &amp; $C167 &amp; ")",$B167)))), "  ", TRIM(IF($S167 = "YES", "(External ID)", "") &amp; " " &amp; IF(SUMPRODUCT(-- ISNUMBER(SEARCH({"Unique","Unique Case Insensitive"}, $R167))) &gt; 0, "(" &amp; $R167 &amp; ")", ""))))</f>
        <v>na</v>
      </c>
      <c r="E167" s="7" t="s">
        <v>195</v>
      </c>
      <c r="F167" s="7" t="s">
        <v>195</v>
      </c>
      <c r="G167" s="7" t="s">
        <v>195</v>
      </c>
      <c r="H167" s="7" t="s">
        <v>195</v>
      </c>
      <c r="I167" s="7" t="s">
        <v>195</v>
      </c>
      <c r="J167" s="7" t="s">
        <v>195</v>
      </c>
      <c r="K167" s="7" t="s">
        <v>195</v>
      </c>
      <c r="L167" s="7" t="s">
        <v>195</v>
      </c>
      <c r="M167" s="7" t="s">
        <v>29</v>
      </c>
      <c r="N167" s="7" t="s">
        <v>29</v>
      </c>
      <c r="O167" s="7" t="s">
        <v>29</v>
      </c>
      <c r="P167" s="7" t="s">
        <v>29</v>
      </c>
      <c r="Q167" s="7" t="s">
        <v>29</v>
      </c>
      <c r="R167" s="7" t="s">
        <v>29</v>
      </c>
      <c r="S167" s="7" t="s">
        <v>29</v>
      </c>
    </row>
    <row r="168" spans="2:19">
      <c r="B168" s="7" t="s">
        <v>195</v>
      </c>
      <c r="C168" s="8" t="s">
        <v>195</v>
      </c>
      <c r="D168" s="5" t="str">
        <f>LRTRIM(CONCATENATE(IF(SUMPRODUCT(-- ISNUMBER(SEARCH({"Auto Number"}, $B168))) &gt; 0, $B168, IF(SUMPRODUCT(-- ISNUMBER(SEARCH({"Lookup","Master-Detail"}, $B168))) &gt; 0,$B168 &amp; "(" &amp; $E168 &amp; ")",IF(SUMPRODUCT(-- ISNUMBER(SEARCH({"Formula","Roll-Up Summary"}, $B168))) &gt; 0,$B168 &amp; " (" &amp; $E168 &amp; ")",IF(SUMPRODUCT(-- ISNUMBER(SEARCH({"Content","Currency","Number","Percent","Text","URL"}, $B168))) &gt; 0,$B168 &amp; "(" &amp; $C168 &amp; ")",$B168)))), "  ", TRIM(IF($S168 = "YES", "(External ID)", "") &amp; " " &amp; IF(SUMPRODUCT(-- ISNUMBER(SEARCH({"Unique","Unique Case Insensitive"}, $R168))) &gt; 0, "(" &amp; $R168 &amp; ")", ""))))</f>
        <v>na</v>
      </c>
      <c r="E168" s="7" t="s">
        <v>195</v>
      </c>
      <c r="F168" s="7" t="s">
        <v>195</v>
      </c>
      <c r="G168" s="7" t="s">
        <v>195</v>
      </c>
      <c r="H168" s="7" t="s">
        <v>195</v>
      </c>
      <c r="I168" s="7" t="s">
        <v>195</v>
      </c>
      <c r="J168" s="7" t="s">
        <v>195</v>
      </c>
      <c r="K168" s="7" t="s">
        <v>195</v>
      </c>
      <c r="L168" s="7" t="s">
        <v>195</v>
      </c>
      <c r="M168" s="7" t="s">
        <v>29</v>
      </c>
      <c r="N168" s="7" t="s">
        <v>29</v>
      </c>
      <c r="O168" s="7" t="s">
        <v>29</v>
      </c>
      <c r="P168" s="7" t="s">
        <v>29</v>
      </c>
      <c r="Q168" s="7" t="s">
        <v>29</v>
      </c>
      <c r="R168" s="7" t="s">
        <v>29</v>
      </c>
      <c r="S168" s="7" t="s">
        <v>29</v>
      </c>
    </row>
    <row r="169" spans="2:19">
      <c r="B169" s="7" t="s">
        <v>195</v>
      </c>
      <c r="C169" s="8" t="s">
        <v>195</v>
      </c>
      <c r="D169" s="5" t="str">
        <f>LRTRIM(CONCATENATE(IF(SUMPRODUCT(-- ISNUMBER(SEARCH({"Auto Number"}, $B169))) &gt; 0, $B169, IF(SUMPRODUCT(-- ISNUMBER(SEARCH({"Lookup","Master-Detail"}, $B169))) &gt; 0,$B169 &amp; "(" &amp; $E169 &amp; ")",IF(SUMPRODUCT(-- ISNUMBER(SEARCH({"Formula","Roll-Up Summary"}, $B169))) &gt; 0,$B169 &amp; " (" &amp; $E169 &amp; ")",IF(SUMPRODUCT(-- ISNUMBER(SEARCH({"Content","Currency","Number","Percent","Text","URL"}, $B169))) &gt; 0,$B169 &amp; "(" &amp; $C169 &amp; ")",$B169)))), "  ", TRIM(IF($S169 = "YES", "(External ID)", "") &amp; " " &amp; IF(SUMPRODUCT(-- ISNUMBER(SEARCH({"Unique","Unique Case Insensitive"}, $R169))) &gt; 0, "(" &amp; $R169 &amp; ")", ""))))</f>
        <v>na</v>
      </c>
      <c r="E169" s="7" t="s">
        <v>195</v>
      </c>
      <c r="F169" s="7" t="s">
        <v>195</v>
      </c>
      <c r="G169" s="7" t="s">
        <v>195</v>
      </c>
      <c r="H169" s="7" t="s">
        <v>195</v>
      </c>
      <c r="I169" s="7" t="s">
        <v>195</v>
      </c>
      <c r="J169" s="7" t="s">
        <v>195</v>
      </c>
      <c r="K169" s="7" t="s">
        <v>195</v>
      </c>
      <c r="L169" s="7" t="s">
        <v>195</v>
      </c>
      <c r="M169" s="7" t="s">
        <v>29</v>
      </c>
      <c r="N169" s="7" t="s">
        <v>29</v>
      </c>
      <c r="O169" s="7" t="s">
        <v>29</v>
      </c>
      <c r="P169" s="7" t="s">
        <v>29</v>
      </c>
      <c r="Q169" s="7" t="s">
        <v>29</v>
      </c>
      <c r="R169" s="7" t="s">
        <v>29</v>
      </c>
      <c r="S169" s="7" t="s">
        <v>29</v>
      </c>
    </row>
    <row r="170" spans="2:19">
      <c r="B170" s="7" t="s">
        <v>195</v>
      </c>
      <c r="C170" s="8" t="s">
        <v>195</v>
      </c>
      <c r="D170" s="5" t="str">
        <f>LRTRIM(CONCATENATE(IF(SUMPRODUCT(-- ISNUMBER(SEARCH({"Auto Number"}, $B170))) &gt; 0, $B170, IF(SUMPRODUCT(-- ISNUMBER(SEARCH({"Lookup","Master-Detail"}, $B170))) &gt; 0,$B170 &amp; "(" &amp; $E170 &amp; ")",IF(SUMPRODUCT(-- ISNUMBER(SEARCH({"Formula","Roll-Up Summary"}, $B170))) &gt; 0,$B170 &amp; " (" &amp; $E170 &amp; ")",IF(SUMPRODUCT(-- ISNUMBER(SEARCH({"Content","Currency","Number","Percent","Text","URL"}, $B170))) &gt; 0,$B170 &amp; "(" &amp; $C170 &amp; ")",$B170)))), "  ", TRIM(IF($S170 = "YES", "(External ID)", "") &amp; " " &amp; IF(SUMPRODUCT(-- ISNUMBER(SEARCH({"Unique","Unique Case Insensitive"}, $R170))) &gt; 0, "(" &amp; $R170 &amp; ")", ""))))</f>
        <v>na</v>
      </c>
      <c r="E170" s="7" t="s">
        <v>195</v>
      </c>
      <c r="F170" s="7" t="s">
        <v>195</v>
      </c>
      <c r="G170" s="7" t="s">
        <v>195</v>
      </c>
      <c r="H170" s="7" t="s">
        <v>195</v>
      </c>
      <c r="I170" s="7" t="s">
        <v>195</v>
      </c>
      <c r="J170" s="7" t="s">
        <v>195</v>
      </c>
      <c r="K170" s="7" t="s">
        <v>195</v>
      </c>
      <c r="L170" s="7" t="s">
        <v>195</v>
      </c>
      <c r="M170" s="7" t="s">
        <v>29</v>
      </c>
      <c r="N170" s="7" t="s">
        <v>29</v>
      </c>
      <c r="O170" s="7" t="s">
        <v>29</v>
      </c>
      <c r="P170" s="7" t="s">
        <v>29</v>
      </c>
      <c r="Q170" s="7" t="s">
        <v>29</v>
      </c>
      <c r="R170" s="7" t="s">
        <v>29</v>
      </c>
      <c r="S170" s="7" t="s">
        <v>29</v>
      </c>
    </row>
    <row r="171" spans="2:19">
      <c r="B171" s="7" t="s">
        <v>195</v>
      </c>
      <c r="C171" s="8" t="s">
        <v>195</v>
      </c>
      <c r="D171" s="5" t="str">
        <f>LRTRIM(CONCATENATE(IF(SUMPRODUCT(-- ISNUMBER(SEARCH({"Auto Number"}, $B171))) &gt; 0, $B171, IF(SUMPRODUCT(-- ISNUMBER(SEARCH({"Lookup","Master-Detail"}, $B171))) &gt; 0,$B171 &amp; "(" &amp; $E171 &amp; ")",IF(SUMPRODUCT(-- ISNUMBER(SEARCH({"Formula","Roll-Up Summary"}, $B171))) &gt; 0,$B171 &amp; " (" &amp; $E171 &amp; ")",IF(SUMPRODUCT(-- ISNUMBER(SEARCH({"Content","Currency","Number","Percent","Text","URL"}, $B171))) &gt; 0,$B171 &amp; "(" &amp; $C171 &amp; ")",$B171)))), "  ", TRIM(IF($S171 = "YES", "(External ID)", "") &amp; " " &amp; IF(SUMPRODUCT(-- ISNUMBER(SEARCH({"Unique","Unique Case Insensitive"}, $R171))) &gt; 0, "(" &amp; $R171 &amp; ")", ""))))</f>
        <v>na</v>
      </c>
      <c r="E171" s="7" t="s">
        <v>195</v>
      </c>
      <c r="F171" s="7" t="s">
        <v>195</v>
      </c>
      <c r="G171" s="7" t="s">
        <v>195</v>
      </c>
      <c r="H171" s="7" t="s">
        <v>195</v>
      </c>
      <c r="I171" s="7" t="s">
        <v>195</v>
      </c>
      <c r="J171" s="7" t="s">
        <v>195</v>
      </c>
      <c r="K171" s="7" t="s">
        <v>195</v>
      </c>
      <c r="L171" s="7" t="s">
        <v>195</v>
      </c>
      <c r="M171" s="7" t="s">
        <v>29</v>
      </c>
      <c r="N171" s="7" t="s">
        <v>29</v>
      </c>
      <c r="O171" s="7" t="s">
        <v>29</v>
      </c>
      <c r="P171" s="7" t="s">
        <v>29</v>
      </c>
      <c r="Q171" s="7" t="s">
        <v>29</v>
      </c>
      <c r="R171" s="7" t="s">
        <v>29</v>
      </c>
      <c r="S171" s="7" t="s">
        <v>29</v>
      </c>
    </row>
    <row r="172" spans="2:19">
      <c r="B172" s="7" t="s">
        <v>195</v>
      </c>
      <c r="C172" s="8" t="s">
        <v>195</v>
      </c>
      <c r="D172" s="5" t="str">
        <f>LRTRIM(CONCATENATE(IF(SUMPRODUCT(-- ISNUMBER(SEARCH({"Auto Number"}, $B172))) &gt; 0, $B172, IF(SUMPRODUCT(-- ISNUMBER(SEARCH({"Lookup","Master-Detail"}, $B172))) &gt; 0,$B172 &amp; "(" &amp; $E172 &amp; ")",IF(SUMPRODUCT(-- ISNUMBER(SEARCH({"Formula","Roll-Up Summary"}, $B172))) &gt; 0,$B172 &amp; " (" &amp; $E172 &amp; ")",IF(SUMPRODUCT(-- ISNUMBER(SEARCH({"Content","Currency","Number","Percent","Text","URL"}, $B172))) &gt; 0,$B172 &amp; "(" &amp; $C172 &amp; ")",$B172)))), "  ", TRIM(IF($S172 = "YES", "(External ID)", "") &amp; " " &amp; IF(SUMPRODUCT(-- ISNUMBER(SEARCH({"Unique","Unique Case Insensitive"}, $R172))) &gt; 0, "(" &amp; $R172 &amp; ")", ""))))</f>
        <v>na</v>
      </c>
      <c r="E172" s="7" t="s">
        <v>195</v>
      </c>
      <c r="F172" s="7" t="s">
        <v>195</v>
      </c>
      <c r="G172" s="7" t="s">
        <v>195</v>
      </c>
      <c r="H172" s="7" t="s">
        <v>195</v>
      </c>
      <c r="I172" s="7" t="s">
        <v>195</v>
      </c>
      <c r="J172" s="7" t="s">
        <v>195</v>
      </c>
      <c r="K172" s="7" t="s">
        <v>195</v>
      </c>
      <c r="L172" s="7" t="s">
        <v>195</v>
      </c>
      <c r="M172" s="7" t="s">
        <v>29</v>
      </c>
      <c r="N172" s="7" t="s">
        <v>29</v>
      </c>
      <c r="O172" s="7" t="s">
        <v>29</v>
      </c>
      <c r="P172" s="7" t="s">
        <v>29</v>
      </c>
      <c r="Q172" s="7" t="s">
        <v>29</v>
      </c>
      <c r="R172" s="7" t="s">
        <v>29</v>
      </c>
      <c r="S172" s="7" t="s">
        <v>29</v>
      </c>
    </row>
    <row r="173" spans="2:19">
      <c r="B173" s="7" t="s">
        <v>195</v>
      </c>
      <c r="C173" s="8" t="s">
        <v>195</v>
      </c>
      <c r="D173" s="5" t="str">
        <f>LRTRIM(CONCATENATE(IF(SUMPRODUCT(-- ISNUMBER(SEARCH({"Auto Number"}, $B173))) &gt; 0, $B173, IF(SUMPRODUCT(-- ISNUMBER(SEARCH({"Lookup","Master-Detail"}, $B173))) &gt; 0,$B173 &amp; "(" &amp; $E173 &amp; ")",IF(SUMPRODUCT(-- ISNUMBER(SEARCH({"Formula","Roll-Up Summary"}, $B173))) &gt; 0,$B173 &amp; " (" &amp; $E173 &amp; ")",IF(SUMPRODUCT(-- ISNUMBER(SEARCH({"Content","Currency","Number","Percent","Text","URL"}, $B173))) &gt; 0,$B173 &amp; "(" &amp; $C173 &amp; ")",$B173)))), "  ", TRIM(IF($S173 = "YES", "(External ID)", "") &amp; " " &amp; IF(SUMPRODUCT(-- ISNUMBER(SEARCH({"Unique","Unique Case Insensitive"}, $R173))) &gt; 0, "(" &amp; $R173 &amp; ")", ""))))</f>
        <v>na</v>
      </c>
      <c r="E173" s="7" t="s">
        <v>195</v>
      </c>
      <c r="F173" s="7" t="s">
        <v>195</v>
      </c>
      <c r="G173" s="7" t="s">
        <v>195</v>
      </c>
      <c r="H173" s="7" t="s">
        <v>195</v>
      </c>
      <c r="I173" s="7" t="s">
        <v>195</v>
      </c>
      <c r="J173" s="7" t="s">
        <v>195</v>
      </c>
      <c r="K173" s="7" t="s">
        <v>195</v>
      </c>
      <c r="L173" s="7" t="s">
        <v>195</v>
      </c>
      <c r="M173" s="7" t="s">
        <v>29</v>
      </c>
      <c r="N173" s="7" t="s">
        <v>29</v>
      </c>
      <c r="O173" s="7" t="s">
        <v>29</v>
      </c>
      <c r="P173" s="7" t="s">
        <v>29</v>
      </c>
      <c r="Q173" s="7" t="s">
        <v>29</v>
      </c>
      <c r="R173" s="7" t="s">
        <v>29</v>
      </c>
      <c r="S173" s="7" t="s">
        <v>29</v>
      </c>
    </row>
    <row r="174" spans="2:19">
      <c r="B174" s="7" t="s">
        <v>195</v>
      </c>
      <c r="C174" s="8" t="s">
        <v>195</v>
      </c>
      <c r="D174" s="5" t="str">
        <f>LRTRIM(CONCATENATE(IF(SUMPRODUCT(-- ISNUMBER(SEARCH({"Auto Number"}, $B174))) &gt; 0, $B174, IF(SUMPRODUCT(-- ISNUMBER(SEARCH({"Lookup","Master-Detail"}, $B174))) &gt; 0,$B174 &amp; "(" &amp; $E174 &amp; ")",IF(SUMPRODUCT(-- ISNUMBER(SEARCH({"Formula","Roll-Up Summary"}, $B174))) &gt; 0,$B174 &amp; " (" &amp; $E174 &amp; ")",IF(SUMPRODUCT(-- ISNUMBER(SEARCH({"Content","Currency","Number","Percent","Text","URL"}, $B174))) &gt; 0,$B174 &amp; "(" &amp; $C174 &amp; ")",$B174)))), "  ", TRIM(IF($S174 = "YES", "(External ID)", "") &amp; " " &amp; IF(SUMPRODUCT(-- ISNUMBER(SEARCH({"Unique","Unique Case Insensitive"}, $R174))) &gt; 0, "(" &amp; $R174 &amp; ")", ""))))</f>
        <v>na</v>
      </c>
      <c r="E174" s="7" t="s">
        <v>195</v>
      </c>
      <c r="F174" s="7" t="s">
        <v>195</v>
      </c>
      <c r="G174" s="7" t="s">
        <v>195</v>
      </c>
      <c r="H174" s="7" t="s">
        <v>195</v>
      </c>
      <c r="I174" s="7" t="s">
        <v>195</v>
      </c>
      <c r="J174" s="7" t="s">
        <v>195</v>
      </c>
      <c r="K174" s="7" t="s">
        <v>195</v>
      </c>
      <c r="L174" s="7" t="s">
        <v>195</v>
      </c>
      <c r="M174" s="7" t="s">
        <v>29</v>
      </c>
      <c r="N174" s="7" t="s">
        <v>29</v>
      </c>
      <c r="O174" s="7" t="s">
        <v>29</v>
      </c>
      <c r="P174" s="7" t="s">
        <v>29</v>
      </c>
      <c r="Q174" s="7" t="s">
        <v>29</v>
      </c>
      <c r="R174" s="7" t="s">
        <v>29</v>
      </c>
      <c r="S174" s="7" t="s">
        <v>29</v>
      </c>
    </row>
    <row r="175" spans="2:19">
      <c r="B175" s="7" t="s">
        <v>195</v>
      </c>
      <c r="C175" s="8" t="s">
        <v>195</v>
      </c>
      <c r="D175" s="5" t="str">
        <f>LRTRIM(CONCATENATE(IF(SUMPRODUCT(-- ISNUMBER(SEARCH({"Auto Number"}, $B175))) &gt; 0, $B175, IF(SUMPRODUCT(-- ISNUMBER(SEARCH({"Lookup","Master-Detail"}, $B175))) &gt; 0,$B175 &amp; "(" &amp; $E175 &amp; ")",IF(SUMPRODUCT(-- ISNUMBER(SEARCH({"Formula","Roll-Up Summary"}, $B175))) &gt; 0,$B175 &amp; " (" &amp; $E175 &amp; ")",IF(SUMPRODUCT(-- ISNUMBER(SEARCH({"Content","Currency","Number","Percent","Text","URL"}, $B175))) &gt; 0,$B175 &amp; "(" &amp; $C175 &amp; ")",$B175)))), "  ", TRIM(IF($S175 = "YES", "(External ID)", "") &amp; " " &amp; IF(SUMPRODUCT(-- ISNUMBER(SEARCH({"Unique","Unique Case Insensitive"}, $R175))) &gt; 0, "(" &amp; $R175 &amp; ")", ""))))</f>
        <v>na</v>
      </c>
      <c r="E175" s="7" t="s">
        <v>195</v>
      </c>
      <c r="F175" s="7" t="s">
        <v>195</v>
      </c>
      <c r="G175" s="7" t="s">
        <v>195</v>
      </c>
      <c r="H175" s="7" t="s">
        <v>195</v>
      </c>
      <c r="I175" s="7" t="s">
        <v>195</v>
      </c>
      <c r="J175" s="7" t="s">
        <v>195</v>
      </c>
      <c r="K175" s="7" t="s">
        <v>195</v>
      </c>
      <c r="L175" s="7" t="s">
        <v>195</v>
      </c>
      <c r="M175" s="7" t="s">
        <v>29</v>
      </c>
      <c r="N175" s="7" t="s">
        <v>29</v>
      </c>
      <c r="O175" s="7" t="s">
        <v>29</v>
      </c>
      <c r="P175" s="7" t="s">
        <v>29</v>
      </c>
      <c r="Q175" s="7" t="s">
        <v>29</v>
      </c>
      <c r="R175" s="7" t="s">
        <v>29</v>
      </c>
      <c r="S175" s="7" t="s">
        <v>29</v>
      </c>
    </row>
    <row r="176" spans="2:19">
      <c r="B176" s="7" t="s">
        <v>195</v>
      </c>
      <c r="C176" s="8" t="s">
        <v>195</v>
      </c>
      <c r="D176" s="5" t="str">
        <f>LRTRIM(CONCATENATE(IF(SUMPRODUCT(-- ISNUMBER(SEARCH({"Auto Number"}, $B176))) &gt; 0, $B176, IF(SUMPRODUCT(-- ISNUMBER(SEARCH({"Lookup","Master-Detail"}, $B176))) &gt; 0,$B176 &amp; "(" &amp; $E176 &amp; ")",IF(SUMPRODUCT(-- ISNUMBER(SEARCH({"Formula","Roll-Up Summary"}, $B176))) &gt; 0,$B176 &amp; " (" &amp; $E176 &amp; ")",IF(SUMPRODUCT(-- ISNUMBER(SEARCH({"Content","Currency","Number","Percent","Text","URL"}, $B176))) &gt; 0,$B176 &amp; "(" &amp; $C176 &amp; ")",$B176)))), "  ", TRIM(IF($S176 = "YES", "(External ID)", "") &amp; " " &amp; IF(SUMPRODUCT(-- ISNUMBER(SEARCH({"Unique","Unique Case Insensitive"}, $R176))) &gt; 0, "(" &amp; $R176 &amp; ")", ""))))</f>
        <v>na</v>
      </c>
      <c r="E176" s="7" t="s">
        <v>195</v>
      </c>
      <c r="F176" s="7" t="s">
        <v>195</v>
      </c>
      <c r="G176" s="7" t="s">
        <v>195</v>
      </c>
      <c r="H176" s="7" t="s">
        <v>195</v>
      </c>
      <c r="I176" s="7" t="s">
        <v>195</v>
      </c>
      <c r="J176" s="7" t="s">
        <v>195</v>
      </c>
      <c r="K176" s="7" t="s">
        <v>195</v>
      </c>
      <c r="L176" s="7" t="s">
        <v>195</v>
      </c>
      <c r="M176" s="7" t="s">
        <v>29</v>
      </c>
      <c r="N176" s="7" t="s">
        <v>29</v>
      </c>
      <c r="O176" s="7" t="s">
        <v>29</v>
      </c>
      <c r="P176" s="7" t="s">
        <v>29</v>
      </c>
      <c r="Q176" s="7" t="s">
        <v>29</v>
      </c>
      <c r="R176" s="7" t="s">
        <v>29</v>
      </c>
      <c r="S176" s="7" t="s">
        <v>29</v>
      </c>
    </row>
    <row r="177" spans="2:19">
      <c r="B177" s="7" t="s">
        <v>195</v>
      </c>
      <c r="C177" s="8" t="s">
        <v>195</v>
      </c>
      <c r="D177" s="5" t="str">
        <f>LRTRIM(CONCATENATE(IF(SUMPRODUCT(-- ISNUMBER(SEARCH({"Auto Number"}, $B177))) &gt; 0, $B177, IF(SUMPRODUCT(-- ISNUMBER(SEARCH({"Lookup","Master-Detail"}, $B177))) &gt; 0,$B177 &amp; "(" &amp; $E177 &amp; ")",IF(SUMPRODUCT(-- ISNUMBER(SEARCH({"Formula","Roll-Up Summary"}, $B177))) &gt; 0,$B177 &amp; " (" &amp; $E177 &amp; ")",IF(SUMPRODUCT(-- ISNUMBER(SEARCH({"Content","Currency","Number","Percent","Text","URL"}, $B177))) &gt; 0,$B177 &amp; "(" &amp; $C177 &amp; ")",$B177)))), "  ", TRIM(IF($S177 = "YES", "(External ID)", "") &amp; " " &amp; IF(SUMPRODUCT(-- ISNUMBER(SEARCH({"Unique","Unique Case Insensitive"}, $R177))) &gt; 0, "(" &amp; $R177 &amp; ")", ""))))</f>
        <v>na</v>
      </c>
      <c r="E177" s="7" t="s">
        <v>195</v>
      </c>
      <c r="F177" s="7" t="s">
        <v>195</v>
      </c>
      <c r="G177" s="7" t="s">
        <v>195</v>
      </c>
      <c r="H177" s="7" t="s">
        <v>195</v>
      </c>
      <c r="I177" s="7" t="s">
        <v>195</v>
      </c>
      <c r="J177" s="7" t="s">
        <v>195</v>
      </c>
      <c r="K177" s="7" t="s">
        <v>195</v>
      </c>
      <c r="L177" s="7" t="s">
        <v>195</v>
      </c>
      <c r="M177" s="7" t="s">
        <v>29</v>
      </c>
      <c r="N177" s="7" t="s">
        <v>29</v>
      </c>
      <c r="O177" s="7" t="s">
        <v>29</v>
      </c>
      <c r="P177" s="7" t="s">
        <v>29</v>
      </c>
      <c r="Q177" s="7" t="s">
        <v>29</v>
      </c>
      <c r="R177" s="7" t="s">
        <v>29</v>
      </c>
      <c r="S177" s="7" t="s">
        <v>29</v>
      </c>
    </row>
    <row r="178" spans="2:19">
      <c r="B178" s="7" t="s">
        <v>195</v>
      </c>
      <c r="C178" s="8" t="s">
        <v>195</v>
      </c>
      <c r="D178" s="5" t="str">
        <f>LRTRIM(CONCATENATE(IF(SUMPRODUCT(-- ISNUMBER(SEARCH({"Auto Number"}, $B178))) &gt; 0, $B178, IF(SUMPRODUCT(-- ISNUMBER(SEARCH({"Lookup","Master-Detail"}, $B178))) &gt; 0,$B178 &amp; "(" &amp; $E178 &amp; ")",IF(SUMPRODUCT(-- ISNUMBER(SEARCH({"Formula","Roll-Up Summary"}, $B178))) &gt; 0,$B178 &amp; " (" &amp; $E178 &amp; ")",IF(SUMPRODUCT(-- ISNUMBER(SEARCH({"Content","Currency","Number","Percent","Text","URL"}, $B178))) &gt; 0,$B178 &amp; "(" &amp; $C178 &amp; ")",$B178)))), "  ", TRIM(IF($S178 = "YES", "(External ID)", "") &amp; " " &amp; IF(SUMPRODUCT(-- ISNUMBER(SEARCH({"Unique","Unique Case Insensitive"}, $R178))) &gt; 0, "(" &amp; $R178 &amp; ")", ""))))</f>
        <v>na</v>
      </c>
      <c r="E178" s="7" t="s">
        <v>195</v>
      </c>
      <c r="F178" s="7" t="s">
        <v>195</v>
      </c>
      <c r="G178" s="7" t="s">
        <v>195</v>
      </c>
      <c r="H178" s="7" t="s">
        <v>195</v>
      </c>
      <c r="I178" s="7" t="s">
        <v>195</v>
      </c>
      <c r="J178" s="7" t="s">
        <v>195</v>
      </c>
      <c r="K178" s="7" t="s">
        <v>195</v>
      </c>
      <c r="L178" s="7" t="s">
        <v>195</v>
      </c>
      <c r="M178" s="7" t="s">
        <v>29</v>
      </c>
      <c r="N178" s="7" t="s">
        <v>29</v>
      </c>
      <c r="O178" s="7" t="s">
        <v>29</v>
      </c>
      <c r="P178" s="7" t="s">
        <v>29</v>
      </c>
      <c r="Q178" s="7" t="s">
        <v>29</v>
      </c>
      <c r="R178" s="7" t="s">
        <v>29</v>
      </c>
      <c r="S178" s="7" t="s">
        <v>29</v>
      </c>
    </row>
    <row r="179" spans="2:19">
      <c r="B179" s="7" t="s">
        <v>195</v>
      </c>
      <c r="C179" s="8" t="s">
        <v>195</v>
      </c>
      <c r="D179" s="5" t="str">
        <f>LRTRIM(CONCATENATE(IF(SUMPRODUCT(-- ISNUMBER(SEARCH({"Auto Number"}, $B179))) &gt; 0, $B179, IF(SUMPRODUCT(-- ISNUMBER(SEARCH({"Lookup","Master-Detail"}, $B179))) &gt; 0,$B179 &amp; "(" &amp; $E179 &amp; ")",IF(SUMPRODUCT(-- ISNUMBER(SEARCH({"Formula","Roll-Up Summary"}, $B179))) &gt; 0,$B179 &amp; " (" &amp; $E179 &amp; ")",IF(SUMPRODUCT(-- ISNUMBER(SEARCH({"Content","Currency","Number","Percent","Text","URL"}, $B179))) &gt; 0,$B179 &amp; "(" &amp; $C179 &amp; ")",$B179)))), "  ", TRIM(IF($S179 = "YES", "(External ID)", "") &amp; " " &amp; IF(SUMPRODUCT(-- ISNUMBER(SEARCH({"Unique","Unique Case Insensitive"}, $R179))) &gt; 0, "(" &amp; $R179 &amp; ")", ""))))</f>
        <v>na</v>
      </c>
      <c r="E179" s="7" t="s">
        <v>195</v>
      </c>
      <c r="F179" s="7" t="s">
        <v>195</v>
      </c>
      <c r="G179" s="7" t="s">
        <v>195</v>
      </c>
      <c r="H179" s="7" t="s">
        <v>195</v>
      </c>
      <c r="I179" s="7" t="s">
        <v>195</v>
      </c>
      <c r="J179" s="7" t="s">
        <v>195</v>
      </c>
      <c r="K179" s="7" t="s">
        <v>195</v>
      </c>
      <c r="L179" s="7" t="s">
        <v>195</v>
      </c>
      <c r="M179" s="7" t="s">
        <v>29</v>
      </c>
      <c r="N179" s="7" t="s">
        <v>29</v>
      </c>
      <c r="O179" s="7" t="s">
        <v>29</v>
      </c>
      <c r="P179" s="7" t="s">
        <v>29</v>
      </c>
      <c r="Q179" s="7" t="s">
        <v>29</v>
      </c>
      <c r="R179" s="7" t="s">
        <v>29</v>
      </c>
      <c r="S179" s="7" t="s">
        <v>29</v>
      </c>
    </row>
    <row r="180" spans="2:19">
      <c r="B180" s="7" t="s">
        <v>195</v>
      </c>
      <c r="C180" s="8" t="s">
        <v>195</v>
      </c>
      <c r="D180" s="5" t="str">
        <f>LRTRIM(CONCATENATE(IF(SUMPRODUCT(-- ISNUMBER(SEARCH({"Auto Number"}, $B180))) &gt; 0, $B180, IF(SUMPRODUCT(-- ISNUMBER(SEARCH({"Lookup","Master-Detail"}, $B180))) &gt; 0,$B180 &amp; "(" &amp; $E180 &amp; ")",IF(SUMPRODUCT(-- ISNUMBER(SEARCH({"Formula","Roll-Up Summary"}, $B180))) &gt; 0,$B180 &amp; " (" &amp; $E180 &amp; ")",IF(SUMPRODUCT(-- ISNUMBER(SEARCH({"Content","Currency","Number","Percent","Text","URL"}, $B180))) &gt; 0,$B180 &amp; "(" &amp; $C180 &amp; ")",$B180)))), "  ", TRIM(IF($S180 = "YES", "(External ID)", "") &amp; " " &amp; IF(SUMPRODUCT(-- ISNUMBER(SEARCH({"Unique","Unique Case Insensitive"}, $R180))) &gt; 0, "(" &amp; $R180 &amp; ")", ""))))</f>
        <v>na</v>
      </c>
      <c r="E180" s="7" t="s">
        <v>195</v>
      </c>
      <c r="F180" s="7" t="s">
        <v>195</v>
      </c>
      <c r="G180" s="7" t="s">
        <v>195</v>
      </c>
      <c r="H180" s="7" t="s">
        <v>195</v>
      </c>
      <c r="I180" s="7" t="s">
        <v>195</v>
      </c>
      <c r="J180" s="7" t="s">
        <v>195</v>
      </c>
      <c r="K180" s="7" t="s">
        <v>195</v>
      </c>
      <c r="L180" s="7" t="s">
        <v>195</v>
      </c>
      <c r="M180" s="7" t="s">
        <v>29</v>
      </c>
      <c r="N180" s="7" t="s">
        <v>29</v>
      </c>
      <c r="O180" s="7" t="s">
        <v>29</v>
      </c>
      <c r="P180" s="7" t="s">
        <v>29</v>
      </c>
      <c r="Q180" s="7" t="s">
        <v>29</v>
      </c>
      <c r="R180" s="7" t="s">
        <v>29</v>
      </c>
      <c r="S180" s="7" t="s">
        <v>29</v>
      </c>
    </row>
    <row r="181" spans="2:19">
      <c r="B181" s="7" t="s">
        <v>195</v>
      </c>
      <c r="C181" s="8" t="s">
        <v>195</v>
      </c>
      <c r="D181" s="5" t="str">
        <f>LRTRIM(CONCATENATE(IF(SUMPRODUCT(-- ISNUMBER(SEARCH({"Auto Number"}, $B181))) &gt; 0, $B181, IF(SUMPRODUCT(-- ISNUMBER(SEARCH({"Lookup","Master-Detail"}, $B181))) &gt; 0,$B181 &amp; "(" &amp; $E181 &amp; ")",IF(SUMPRODUCT(-- ISNUMBER(SEARCH({"Formula","Roll-Up Summary"}, $B181))) &gt; 0,$B181 &amp; " (" &amp; $E181 &amp; ")",IF(SUMPRODUCT(-- ISNUMBER(SEARCH({"Content","Currency","Number","Percent","Text","URL"}, $B181))) &gt; 0,$B181 &amp; "(" &amp; $C181 &amp; ")",$B181)))), "  ", TRIM(IF($S181 = "YES", "(External ID)", "") &amp; " " &amp; IF(SUMPRODUCT(-- ISNUMBER(SEARCH({"Unique","Unique Case Insensitive"}, $R181))) &gt; 0, "(" &amp; $R181 &amp; ")", ""))))</f>
        <v>na</v>
      </c>
      <c r="E181" s="7" t="s">
        <v>195</v>
      </c>
      <c r="F181" s="7" t="s">
        <v>195</v>
      </c>
      <c r="G181" s="7" t="s">
        <v>195</v>
      </c>
      <c r="H181" s="7" t="s">
        <v>195</v>
      </c>
      <c r="I181" s="7" t="s">
        <v>195</v>
      </c>
      <c r="J181" s="7" t="s">
        <v>195</v>
      </c>
      <c r="K181" s="7" t="s">
        <v>195</v>
      </c>
      <c r="L181" s="7" t="s">
        <v>195</v>
      </c>
      <c r="M181" s="7" t="s">
        <v>29</v>
      </c>
      <c r="N181" s="7" t="s">
        <v>29</v>
      </c>
      <c r="O181" s="7" t="s">
        <v>29</v>
      </c>
      <c r="P181" s="7" t="s">
        <v>29</v>
      </c>
      <c r="Q181" s="7" t="s">
        <v>29</v>
      </c>
      <c r="R181" s="7" t="s">
        <v>29</v>
      </c>
      <c r="S181" s="7" t="s">
        <v>29</v>
      </c>
    </row>
    <row r="182" spans="2:19">
      <c r="B182" s="7" t="s">
        <v>195</v>
      </c>
      <c r="C182" s="8" t="s">
        <v>195</v>
      </c>
      <c r="D182" s="5" t="str">
        <f>LRTRIM(CONCATENATE(IF(SUMPRODUCT(-- ISNUMBER(SEARCH({"Auto Number"}, $B182))) &gt; 0, $B182, IF(SUMPRODUCT(-- ISNUMBER(SEARCH({"Lookup","Master-Detail"}, $B182))) &gt; 0,$B182 &amp; "(" &amp; $E182 &amp; ")",IF(SUMPRODUCT(-- ISNUMBER(SEARCH({"Formula","Roll-Up Summary"}, $B182))) &gt; 0,$B182 &amp; " (" &amp; $E182 &amp; ")",IF(SUMPRODUCT(-- ISNUMBER(SEARCH({"Content","Currency","Number","Percent","Text","URL"}, $B182))) &gt; 0,$B182 &amp; "(" &amp; $C182 &amp; ")",$B182)))), "  ", TRIM(IF($S182 = "YES", "(External ID)", "") &amp; " " &amp; IF(SUMPRODUCT(-- ISNUMBER(SEARCH({"Unique","Unique Case Insensitive"}, $R182))) &gt; 0, "(" &amp; $R182 &amp; ")", ""))))</f>
        <v>na</v>
      </c>
      <c r="E182" s="7" t="s">
        <v>195</v>
      </c>
      <c r="F182" s="7" t="s">
        <v>195</v>
      </c>
      <c r="G182" s="7" t="s">
        <v>195</v>
      </c>
      <c r="H182" s="7" t="s">
        <v>195</v>
      </c>
      <c r="I182" s="7" t="s">
        <v>195</v>
      </c>
      <c r="J182" s="7" t="s">
        <v>195</v>
      </c>
      <c r="K182" s="7" t="s">
        <v>195</v>
      </c>
      <c r="L182" s="7" t="s">
        <v>195</v>
      </c>
      <c r="M182" s="7" t="s">
        <v>29</v>
      </c>
      <c r="N182" s="7" t="s">
        <v>29</v>
      </c>
      <c r="O182" s="7" t="s">
        <v>29</v>
      </c>
      <c r="P182" s="7" t="s">
        <v>29</v>
      </c>
      <c r="Q182" s="7" t="s">
        <v>29</v>
      </c>
      <c r="R182" s="7" t="s">
        <v>29</v>
      </c>
      <c r="S182" s="7" t="s">
        <v>29</v>
      </c>
    </row>
    <row r="183" spans="2:19">
      <c r="B183" s="7" t="s">
        <v>195</v>
      </c>
      <c r="C183" s="8" t="s">
        <v>195</v>
      </c>
      <c r="D183" s="5" t="str">
        <f>LRTRIM(CONCATENATE(IF(SUMPRODUCT(-- ISNUMBER(SEARCH({"Auto Number"}, $B183))) &gt; 0, $B183, IF(SUMPRODUCT(-- ISNUMBER(SEARCH({"Lookup","Master-Detail"}, $B183))) &gt; 0,$B183 &amp; "(" &amp; $E183 &amp; ")",IF(SUMPRODUCT(-- ISNUMBER(SEARCH({"Formula","Roll-Up Summary"}, $B183))) &gt; 0,$B183 &amp; " (" &amp; $E183 &amp; ")",IF(SUMPRODUCT(-- ISNUMBER(SEARCH({"Content","Currency","Number","Percent","Text","URL"}, $B183))) &gt; 0,$B183 &amp; "(" &amp; $C183 &amp; ")",$B183)))), "  ", TRIM(IF($S183 = "YES", "(External ID)", "") &amp; " " &amp; IF(SUMPRODUCT(-- ISNUMBER(SEARCH({"Unique","Unique Case Insensitive"}, $R183))) &gt; 0, "(" &amp; $R183 &amp; ")", ""))))</f>
        <v>na</v>
      </c>
      <c r="E183" s="7" t="s">
        <v>195</v>
      </c>
      <c r="F183" s="7" t="s">
        <v>195</v>
      </c>
      <c r="G183" s="7" t="s">
        <v>195</v>
      </c>
      <c r="H183" s="7" t="s">
        <v>195</v>
      </c>
      <c r="I183" s="7" t="s">
        <v>195</v>
      </c>
      <c r="J183" s="7" t="s">
        <v>195</v>
      </c>
      <c r="K183" s="7" t="s">
        <v>195</v>
      </c>
      <c r="L183" s="7" t="s">
        <v>195</v>
      </c>
      <c r="M183" s="7" t="s">
        <v>29</v>
      </c>
      <c r="N183" s="7" t="s">
        <v>29</v>
      </c>
      <c r="O183" s="7" t="s">
        <v>29</v>
      </c>
      <c r="P183" s="7" t="s">
        <v>29</v>
      </c>
      <c r="Q183" s="7" t="s">
        <v>29</v>
      </c>
      <c r="R183" s="7" t="s">
        <v>29</v>
      </c>
      <c r="S183" s="7" t="s">
        <v>29</v>
      </c>
    </row>
    <row r="184" spans="2:19">
      <c r="B184" s="7" t="s">
        <v>195</v>
      </c>
      <c r="C184" s="8" t="s">
        <v>195</v>
      </c>
      <c r="D184" s="5" t="str">
        <f>LRTRIM(CONCATENATE(IF(SUMPRODUCT(-- ISNUMBER(SEARCH({"Auto Number"}, $B184))) &gt; 0, $B184, IF(SUMPRODUCT(-- ISNUMBER(SEARCH({"Lookup","Master-Detail"}, $B184))) &gt; 0,$B184 &amp; "(" &amp; $E184 &amp; ")",IF(SUMPRODUCT(-- ISNUMBER(SEARCH({"Formula","Roll-Up Summary"}, $B184))) &gt; 0,$B184 &amp; " (" &amp; $E184 &amp; ")",IF(SUMPRODUCT(-- ISNUMBER(SEARCH({"Content","Currency","Number","Percent","Text","URL"}, $B184))) &gt; 0,$B184 &amp; "(" &amp; $C184 &amp; ")",$B184)))), "  ", TRIM(IF($S184 = "YES", "(External ID)", "") &amp; " " &amp; IF(SUMPRODUCT(-- ISNUMBER(SEARCH({"Unique","Unique Case Insensitive"}, $R184))) &gt; 0, "(" &amp; $R184 &amp; ")", ""))))</f>
        <v>na</v>
      </c>
      <c r="E184" s="7" t="s">
        <v>195</v>
      </c>
      <c r="F184" s="7" t="s">
        <v>195</v>
      </c>
      <c r="G184" s="7" t="s">
        <v>195</v>
      </c>
      <c r="H184" s="7" t="s">
        <v>195</v>
      </c>
      <c r="I184" s="7" t="s">
        <v>195</v>
      </c>
      <c r="J184" s="7" t="s">
        <v>195</v>
      </c>
      <c r="K184" s="7" t="s">
        <v>195</v>
      </c>
      <c r="L184" s="7" t="s">
        <v>195</v>
      </c>
      <c r="M184" s="7" t="s">
        <v>29</v>
      </c>
      <c r="N184" s="7" t="s">
        <v>29</v>
      </c>
      <c r="O184" s="7" t="s">
        <v>29</v>
      </c>
      <c r="P184" s="7" t="s">
        <v>29</v>
      </c>
      <c r="Q184" s="7" t="s">
        <v>29</v>
      </c>
      <c r="R184" s="7" t="s">
        <v>29</v>
      </c>
      <c r="S184" s="7" t="s">
        <v>29</v>
      </c>
    </row>
    <row r="185" spans="2:19">
      <c r="B185" s="7" t="s">
        <v>195</v>
      </c>
      <c r="C185" s="8" t="s">
        <v>195</v>
      </c>
      <c r="D185" s="5" t="str">
        <f>LRTRIM(CONCATENATE(IF(SUMPRODUCT(-- ISNUMBER(SEARCH({"Auto Number"}, $B185))) &gt; 0, $B185, IF(SUMPRODUCT(-- ISNUMBER(SEARCH({"Lookup","Master-Detail"}, $B185))) &gt; 0,$B185 &amp; "(" &amp; $E185 &amp; ")",IF(SUMPRODUCT(-- ISNUMBER(SEARCH({"Formula","Roll-Up Summary"}, $B185))) &gt; 0,$B185 &amp; " (" &amp; $E185 &amp; ")",IF(SUMPRODUCT(-- ISNUMBER(SEARCH({"Content","Currency","Number","Percent","Text","URL"}, $B185))) &gt; 0,$B185 &amp; "(" &amp; $C185 &amp; ")",$B185)))), "  ", TRIM(IF($S185 = "YES", "(External ID)", "") &amp; " " &amp; IF(SUMPRODUCT(-- ISNUMBER(SEARCH({"Unique","Unique Case Insensitive"}, $R185))) &gt; 0, "(" &amp; $R185 &amp; ")", ""))))</f>
        <v>na</v>
      </c>
      <c r="E185" s="7" t="s">
        <v>195</v>
      </c>
      <c r="F185" s="7" t="s">
        <v>195</v>
      </c>
      <c r="G185" s="7" t="s">
        <v>195</v>
      </c>
      <c r="H185" s="7" t="s">
        <v>195</v>
      </c>
      <c r="I185" s="7" t="s">
        <v>195</v>
      </c>
      <c r="J185" s="7" t="s">
        <v>195</v>
      </c>
      <c r="K185" s="7" t="s">
        <v>195</v>
      </c>
      <c r="L185" s="7" t="s">
        <v>195</v>
      </c>
      <c r="M185" s="7" t="s">
        <v>29</v>
      </c>
      <c r="N185" s="7" t="s">
        <v>29</v>
      </c>
      <c r="O185" s="7" t="s">
        <v>29</v>
      </c>
      <c r="P185" s="7" t="s">
        <v>29</v>
      </c>
      <c r="Q185" s="7" t="s">
        <v>29</v>
      </c>
      <c r="R185" s="7" t="s">
        <v>29</v>
      </c>
      <c r="S185" s="7" t="s">
        <v>29</v>
      </c>
    </row>
    <row r="186" spans="2:19">
      <c r="B186" s="7" t="s">
        <v>195</v>
      </c>
      <c r="C186" s="8" t="s">
        <v>195</v>
      </c>
      <c r="D186" s="5" t="str">
        <f>LRTRIM(CONCATENATE(IF(SUMPRODUCT(-- ISNUMBER(SEARCH({"Auto Number"}, $B186))) &gt; 0, $B186, IF(SUMPRODUCT(-- ISNUMBER(SEARCH({"Lookup","Master-Detail"}, $B186))) &gt; 0,$B186 &amp; "(" &amp; $E186 &amp; ")",IF(SUMPRODUCT(-- ISNUMBER(SEARCH({"Formula","Roll-Up Summary"}, $B186))) &gt; 0,$B186 &amp; " (" &amp; $E186 &amp; ")",IF(SUMPRODUCT(-- ISNUMBER(SEARCH({"Content","Currency","Number","Percent","Text","URL"}, $B186))) &gt; 0,$B186 &amp; "(" &amp; $C186 &amp; ")",$B186)))), "  ", TRIM(IF($S186 = "YES", "(External ID)", "") &amp; " " &amp; IF(SUMPRODUCT(-- ISNUMBER(SEARCH({"Unique","Unique Case Insensitive"}, $R186))) &gt; 0, "(" &amp; $R186 &amp; ")", ""))))</f>
        <v>na</v>
      </c>
      <c r="E186" s="7" t="s">
        <v>195</v>
      </c>
      <c r="F186" s="7" t="s">
        <v>195</v>
      </c>
      <c r="G186" s="7" t="s">
        <v>195</v>
      </c>
      <c r="H186" s="7" t="s">
        <v>195</v>
      </c>
      <c r="I186" s="7" t="s">
        <v>195</v>
      </c>
      <c r="J186" s="7" t="s">
        <v>195</v>
      </c>
      <c r="K186" s="7" t="s">
        <v>195</v>
      </c>
      <c r="L186" s="7" t="s">
        <v>195</v>
      </c>
      <c r="M186" s="7" t="s">
        <v>29</v>
      </c>
      <c r="N186" s="7" t="s">
        <v>29</v>
      </c>
      <c r="O186" s="7" t="s">
        <v>29</v>
      </c>
      <c r="P186" s="7" t="s">
        <v>29</v>
      </c>
      <c r="Q186" s="7" t="s">
        <v>29</v>
      </c>
      <c r="R186" s="7" t="s">
        <v>29</v>
      </c>
      <c r="S186" s="7" t="s">
        <v>29</v>
      </c>
    </row>
    <row r="187" spans="2:19">
      <c r="B187" s="7" t="s">
        <v>195</v>
      </c>
      <c r="C187" s="8" t="s">
        <v>195</v>
      </c>
      <c r="D187" s="5" t="str">
        <f>LRTRIM(CONCATENATE(IF(SUMPRODUCT(-- ISNUMBER(SEARCH({"Auto Number"}, $B187))) &gt; 0, $B187, IF(SUMPRODUCT(-- ISNUMBER(SEARCH({"Lookup","Master-Detail"}, $B187))) &gt; 0,$B187 &amp; "(" &amp; $E187 &amp; ")",IF(SUMPRODUCT(-- ISNUMBER(SEARCH({"Formula","Roll-Up Summary"}, $B187))) &gt; 0,$B187 &amp; " (" &amp; $E187 &amp; ")",IF(SUMPRODUCT(-- ISNUMBER(SEARCH({"Content","Currency","Number","Percent","Text","URL"}, $B187))) &gt; 0,$B187 &amp; "(" &amp; $C187 &amp; ")",$B187)))), "  ", TRIM(IF($S187 = "YES", "(External ID)", "") &amp; " " &amp; IF(SUMPRODUCT(-- ISNUMBER(SEARCH({"Unique","Unique Case Insensitive"}, $R187))) &gt; 0, "(" &amp; $R187 &amp; ")", ""))))</f>
        <v>na</v>
      </c>
      <c r="E187" s="7" t="s">
        <v>195</v>
      </c>
      <c r="F187" s="7" t="s">
        <v>195</v>
      </c>
      <c r="G187" s="7" t="s">
        <v>195</v>
      </c>
      <c r="H187" s="7" t="s">
        <v>195</v>
      </c>
      <c r="I187" s="7" t="s">
        <v>195</v>
      </c>
      <c r="J187" s="7" t="s">
        <v>195</v>
      </c>
      <c r="K187" s="7" t="s">
        <v>195</v>
      </c>
      <c r="L187" s="7" t="s">
        <v>195</v>
      </c>
      <c r="M187" s="7" t="s">
        <v>29</v>
      </c>
      <c r="N187" s="7" t="s">
        <v>29</v>
      </c>
      <c r="O187" s="7" t="s">
        <v>29</v>
      </c>
      <c r="P187" s="7" t="s">
        <v>29</v>
      </c>
      <c r="Q187" s="7" t="s">
        <v>29</v>
      </c>
      <c r="R187" s="7" t="s">
        <v>29</v>
      </c>
      <c r="S187" s="7" t="s">
        <v>29</v>
      </c>
    </row>
    <row r="188" spans="2:19">
      <c r="B188" s="7" t="s">
        <v>195</v>
      </c>
      <c r="C188" s="8" t="s">
        <v>195</v>
      </c>
      <c r="D188" s="5" t="str">
        <f>LRTRIM(CONCATENATE(IF(SUMPRODUCT(-- ISNUMBER(SEARCH({"Auto Number"}, $B188))) &gt; 0, $B188, IF(SUMPRODUCT(-- ISNUMBER(SEARCH({"Lookup","Master-Detail"}, $B188))) &gt; 0,$B188 &amp; "(" &amp; $E188 &amp; ")",IF(SUMPRODUCT(-- ISNUMBER(SEARCH({"Formula","Roll-Up Summary"}, $B188))) &gt; 0,$B188 &amp; " (" &amp; $E188 &amp; ")",IF(SUMPRODUCT(-- ISNUMBER(SEARCH({"Content","Currency","Number","Percent","Text","URL"}, $B188))) &gt; 0,$B188 &amp; "(" &amp; $C188 &amp; ")",$B188)))), "  ", TRIM(IF($S188 = "YES", "(External ID)", "") &amp; " " &amp; IF(SUMPRODUCT(-- ISNUMBER(SEARCH({"Unique","Unique Case Insensitive"}, $R188))) &gt; 0, "(" &amp; $R188 &amp; ")", ""))))</f>
        <v>na</v>
      </c>
      <c r="E188" s="7" t="s">
        <v>195</v>
      </c>
      <c r="F188" s="7" t="s">
        <v>195</v>
      </c>
      <c r="G188" s="7" t="s">
        <v>195</v>
      </c>
      <c r="H188" s="7" t="s">
        <v>195</v>
      </c>
      <c r="I188" s="7" t="s">
        <v>195</v>
      </c>
      <c r="J188" s="7" t="s">
        <v>195</v>
      </c>
      <c r="K188" s="7" t="s">
        <v>195</v>
      </c>
      <c r="L188" s="7" t="s">
        <v>195</v>
      </c>
      <c r="M188" s="7" t="s">
        <v>29</v>
      </c>
      <c r="N188" s="7" t="s">
        <v>29</v>
      </c>
      <c r="O188" s="7" t="s">
        <v>29</v>
      </c>
      <c r="P188" s="7" t="s">
        <v>29</v>
      </c>
      <c r="Q188" s="7" t="s">
        <v>29</v>
      </c>
      <c r="R188" s="7" t="s">
        <v>29</v>
      </c>
      <c r="S188" s="7" t="s">
        <v>29</v>
      </c>
    </row>
    <row r="189" spans="2:19">
      <c r="B189" s="7" t="s">
        <v>195</v>
      </c>
      <c r="C189" s="8" t="s">
        <v>195</v>
      </c>
      <c r="D189" s="5" t="str">
        <f>LRTRIM(CONCATENATE(IF(SUMPRODUCT(-- ISNUMBER(SEARCH({"Auto Number"}, $B189))) &gt; 0, $B189, IF(SUMPRODUCT(-- ISNUMBER(SEARCH({"Lookup","Master-Detail"}, $B189))) &gt; 0,$B189 &amp; "(" &amp; $E189 &amp; ")",IF(SUMPRODUCT(-- ISNUMBER(SEARCH({"Formula","Roll-Up Summary"}, $B189))) &gt; 0,$B189 &amp; " (" &amp; $E189 &amp; ")",IF(SUMPRODUCT(-- ISNUMBER(SEARCH({"Content","Currency","Number","Percent","Text","URL"}, $B189))) &gt; 0,$B189 &amp; "(" &amp; $C189 &amp; ")",$B189)))), "  ", TRIM(IF($S189 = "YES", "(External ID)", "") &amp; " " &amp; IF(SUMPRODUCT(-- ISNUMBER(SEARCH({"Unique","Unique Case Insensitive"}, $R189))) &gt; 0, "(" &amp; $R189 &amp; ")", ""))))</f>
        <v>na</v>
      </c>
      <c r="E189" s="7" t="s">
        <v>195</v>
      </c>
      <c r="F189" s="7" t="s">
        <v>195</v>
      </c>
      <c r="G189" s="7" t="s">
        <v>195</v>
      </c>
      <c r="H189" s="7" t="s">
        <v>195</v>
      </c>
      <c r="I189" s="7" t="s">
        <v>195</v>
      </c>
      <c r="J189" s="7" t="s">
        <v>195</v>
      </c>
      <c r="K189" s="7" t="s">
        <v>195</v>
      </c>
      <c r="L189" s="7" t="s">
        <v>195</v>
      </c>
      <c r="M189" s="7" t="s">
        <v>29</v>
      </c>
      <c r="N189" s="7" t="s">
        <v>29</v>
      </c>
      <c r="O189" s="7" t="s">
        <v>29</v>
      </c>
      <c r="P189" s="7" t="s">
        <v>29</v>
      </c>
      <c r="Q189" s="7" t="s">
        <v>29</v>
      </c>
      <c r="R189" s="7" t="s">
        <v>29</v>
      </c>
      <c r="S189" s="7" t="s">
        <v>29</v>
      </c>
    </row>
    <row r="190" spans="2:19">
      <c r="B190" s="7" t="s">
        <v>195</v>
      </c>
      <c r="C190" s="8" t="s">
        <v>195</v>
      </c>
      <c r="D190" s="5" t="str">
        <f>LRTRIM(CONCATENATE(IF(SUMPRODUCT(-- ISNUMBER(SEARCH({"Auto Number"}, $B190))) &gt; 0, $B190, IF(SUMPRODUCT(-- ISNUMBER(SEARCH({"Lookup","Master-Detail"}, $B190))) &gt; 0,$B190 &amp; "(" &amp; $E190 &amp; ")",IF(SUMPRODUCT(-- ISNUMBER(SEARCH({"Formula","Roll-Up Summary"}, $B190))) &gt; 0,$B190 &amp; " (" &amp; $E190 &amp; ")",IF(SUMPRODUCT(-- ISNUMBER(SEARCH({"Content","Currency","Number","Percent","Text","URL"}, $B190))) &gt; 0,$B190 &amp; "(" &amp; $C190 &amp; ")",$B190)))), "  ", TRIM(IF($S190 = "YES", "(External ID)", "") &amp; " " &amp; IF(SUMPRODUCT(-- ISNUMBER(SEARCH({"Unique","Unique Case Insensitive"}, $R190))) &gt; 0, "(" &amp; $R190 &amp; ")", ""))))</f>
        <v>na</v>
      </c>
      <c r="E190" s="7" t="s">
        <v>195</v>
      </c>
      <c r="F190" s="7" t="s">
        <v>195</v>
      </c>
      <c r="G190" s="7" t="s">
        <v>195</v>
      </c>
      <c r="H190" s="7" t="s">
        <v>195</v>
      </c>
      <c r="I190" s="7" t="s">
        <v>195</v>
      </c>
      <c r="J190" s="7" t="s">
        <v>195</v>
      </c>
      <c r="K190" s="7" t="s">
        <v>195</v>
      </c>
      <c r="L190" s="7" t="s">
        <v>195</v>
      </c>
      <c r="M190" s="7" t="s">
        <v>29</v>
      </c>
      <c r="N190" s="7" t="s">
        <v>29</v>
      </c>
      <c r="O190" s="7" t="s">
        <v>29</v>
      </c>
      <c r="P190" s="7" t="s">
        <v>29</v>
      </c>
      <c r="Q190" s="7" t="s">
        <v>29</v>
      </c>
      <c r="R190" s="7" t="s">
        <v>29</v>
      </c>
      <c r="S190" s="7" t="s">
        <v>29</v>
      </c>
    </row>
    <row r="191" spans="2:19">
      <c r="B191" s="7" t="s">
        <v>195</v>
      </c>
      <c r="C191" s="8" t="s">
        <v>195</v>
      </c>
      <c r="D191" s="5" t="str">
        <f>LRTRIM(CONCATENATE(IF(SUMPRODUCT(-- ISNUMBER(SEARCH({"Auto Number"}, $B191))) &gt; 0, $B191, IF(SUMPRODUCT(-- ISNUMBER(SEARCH({"Lookup","Master-Detail"}, $B191))) &gt; 0,$B191 &amp; "(" &amp; $E191 &amp; ")",IF(SUMPRODUCT(-- ISNUMBER(SEARCH({"Formula","Roll-Up Summary"}, $B191))) &gt; 0,$B191 &amp; " (" &amp; $E191 &amp; ")",IF(SUMPRODUCT(-- ISNUMBER(SEARCH({"Content","Currency","Number","Percent","Text","URL"}, $B191))) &gt; 0,$B191 &amp; "(" &amp; $C191 &amp; ")",$B191)))), "  ", TRIM(IF($S191 = "YES", "(External ID)", "") &amp; " " &amp; IF(SUMPRODUCT(-- ISNUMBER(SEARCH({"Unique","Unique Case Insensitive"}, $R191))) &gt; 0, "(" &amp; $R191 &amp; ")", ""))))</f>
        <v>na</v>
      </c>
      <c r="E191" s="7" t="s">
        <v>195</v>
      </c>
      <c r="F191" s="7" t="s">
        <v>195</v>
      </c>
      <c r="G191" s="7" t="s">
        <v>195</v>
      </c>
      <c r="H191" s="7" t="s">
        <v>195</v>
      </c>
      <c r="I191" s="7" t="s">
        <v>195</v>
      </c>
      <c r="J191" s="7" t="s">
        <v>195</v>
      </c>
      <c r="K191" s="7" t="s">
        <v>195</v>
      </c>
      <c r="L191" s="7" t="s">
        <v>195</v>
      </c>
      <c r="M191" s="7" t="s">
        <v>29</v>
      </c>
      <c r="N191" s="7" t="s">
        <v>29</v>
      </c>
      <c r="O191" s="7" t="s">
        <v>29</v>
      </c>
      <c r="P191" s="7" t="s">
        <v>29</v>
      </c>
      <c r="Q191" s="7" t="s">
        <v>29</v>
      </c>
      <c r="R191" s="7" t="s">
        <v>29</v>
      </c>
      <c r="S191" s="7" t="s">
        <v>29</v>
      </c>
    </row>
    <row r="192" spans="2:19">
      <c r="B192" s="7" t="s">
        <v>195</v>
      </c>
      <c r="C192" s="8" t="s">
        <v>195</v>
      </c>
      <c r="D192" s="5" t="str">
        <f>LRTRIM(CONCATENATE(IF(SUMPRODUCT(-- ISNUMBER(SEARCH({"Auto Number"}, $B192))) &gt; 0, $B192, IF(SUMPRODUCT(-- ISNUMBER(SEARCH({"Lookup","Master-Detail"}, $B192))) &gt; 0,$B192 &amp; "(" &amp; $E192 &amp; ")",IF(SUMPRODUCT(-- ISNUMBER(SEARCH({"Formula","Roll-Up Summary"}, $B192))) &gt; 0,$B192 &amp; " (" &amp; $E192 &amp; ")",IF(SUMPRODUCT(-- ISNUMBER(SEARCH({"Content","Currency","Number","Percent","Text","URL"}, $B192))) &gt; 0,$B192 &amp; "(" &amp; $C192 &amp; ")",$B192)))), "  ", TRIM(IF($S192 = "YES", "(External ID)", "") &amp; " " &amp; IF(SUMPRODUCT(-- ISNUMBER(SEARCH({"Unique","Unique Case Insensitive"}, $R192))) &gt; 0, "(" &amp; $R192 &amp; ")", ""))))</f>
        <v>na</v>
      </c>
      <c r="E192" s="7" t="s">
        <v>195</v>
      </c>
      <c r="F192" s="7" t="s">
        <v>195</v>
      </c>
      <c r="G192" s="7" t="s">
        <v>195</v>
      </c>
      <c r="H192" s="7" t="s">
        <v>195</v>
      </c>
      <c r="I192" s="7" t="s">
        <v>195</v>
      </c>
      <c r="J192" s="7" t="s">
        <v>195</v>
      </c>
      <c r="K192" s="7" t="s">
        <v>195</v>
      </c>
      <c r="L192" s="7" t="s">
        <v>195</v>
      </c>
      <c r="M192" s="7" t="s">
        <v>29</v>
      </c>
      <c r="N192" s="7" t="s">
        <v>29</v>
      </c>
      <c r="O192" s="7" t="s">
        <v>29</v>
      </c>
      <c r="P192" s="7" t="s">
        <v>29</v>
      </c>
      <c r="Q192" s="7" t="s">
        <v>29</v>
      </c>
      <c r="R192" s="7" t="s">
        <v>29</v>
      </c>
      <c r="S192" s="7" t="s">
        <v>29</v>
      </c>
    </row>
    <row r="193" spans="2:19">
      <c r="B193" s="7" t="s">
        <v>195</v>
      </c>
      <c r="C193" s="8" t="s">
        <v>195</v>
      </c>
      <c r="D193" s="5" t="str">
        <f>LRTRIM(CONCATENATE(IF(SUMPRODUCT(-- ISNUMBER(SEARCH({"Auto Number"}, $B193))) &gt; 0, $B193, IF(SUMPRODUCT(-- ISNUMBER(SEARCH({"Lookup","Master-Detail"}, $B193))) &gt; 0,$B193 &amp; "(" &amp; $E193 &amp; ")",IF(SUMPRODUCT(-- ISNUMBER(SEARCH({"Formula","Roll-Up Summary"}, $B193))) &gt; 0,$B193 &amp; " (" &amp; $E193 &amp; ")",IF(SUMPRODUCT(-- ISNUMBER(SEARCH({"Content","Currency","Number","Percent","Text","URL"}, $B193))) &gt; 0,$B193 &amp; "(" &amp; $C193 &amp; ")",$B193)))), "  ", TRIM(IF($S193 = "YES", "(External ID)", "") &amp; " " &amp; IF(SUMPRODUCT(-- ISNUMBER(SEARCH({"Unique","Unique Case Insensitive"}, $R193))) &gt; 0, "(" &amp; $R193 &amp; ")", ""))))</f>
        <v>na</v>
      </c>
      <c r="E193" s="7" t="s">
        <v>195</v>
      </c>
      <c r="F193" s="7" t="s">
        <v>195</v>
      </c>
      <c r="G193" s="7" t="s">
        <v>195</v>
      </c>
      <c r="H193" s="7" t="s">
        <v>195</v>
      </c>
      <c r="I193" s="7" t="s">
        <v>195</v>
      </c>
      <c r="J193" s="7" t="s">
        <v>195</v>
      </c>
      <c r="K193" s="7" t="s">
        <v>195</v>
      </c>
      <c r="L193" s="7" t="s">
        <v>195</v>
      </c>
      <c r="M193" s="7" t="s">
        <v>29</v>
      </c>
      <c r="N193" s="7" t="s">
        <v>29</v>
      </c>
      <c r="O193" s="7" t="s">
        <v>29</v>
      </c>
      <c r="P193" s="7" t="s">
        <v>29</v>
      </c>
      <c r="Q193" s="7" t="s">
        <v>29</v>
      </c>
      <c r="R193" s="7" t="s">
        <v>29</v>
      </c>
      <c r="S193" s="7" t="s">
        <v>29</v>
      </c>
    </row>
    <row r="194" spans="2:19">
      <c r="B194" s="7" t="s">
        <v>195</v>
      </c>
      <c r="C194" s="8" t="s">
        <v>195</v>
      </c>
      <c r="D194" s="5" t="str">
        <f>LRTRIM(CONCATENATE(IF(SUMPRODUCT(-- ISNUMBER(SEARCH({"Auto Number"}, $B194))) &gt; 0, $B194, IF(SUMPRODUCT(-- ISNUMBER(SEARCH({"Lookup","Master-Detail"}, $B194))) &gt; 0,$B194 &amp; "(" &amp; $E194 &amp; ")",IF(SUMPRODUCT(-- ISNUMBER(SEARCH({"Formula","Roll-Up Summary"}, $B194))) &gt; 0,$B194 &amp; " (" &amp; $E194 &amp; ")",IF(SUMPRODUCT(-- ISNUMBER(SEARCH({"Content","Currency","Number","Percent","Text","URL"}, $B194))) &gt; 0,$B194 &amp; "(" &amp; $C194 &amp; ")",$B194)))), "  ", TRIM(IF($S194 = "YES", "(External ID)", "") &amp; " " &amp; IF(SUMPRODUCT(-- ISNUMBER(SEARCH({"Unique","Unique Case Insensitive"}, $R194))) &gt; 0, "(" &amp; $R194 &amp; ")", ""))))</f>
        <v>na</v>
      </c>
      <c r="E194" s="7" t="s">
        <v>195</v>
      </c>
      <c r="F194" s="7" t="s">
        <v>195</v>
      </c>
      <c r="G194" s="7" t="s">
        <v>195</v>
      </c>
      <c r="H194" s="7" t="s">
        <v>195</v>
      </c>
      <c r="I194" s="7" t="s">
        <v>195</v>
      </c>
      <c r="J194" s="7" t="s">
        <v>195</v>
      </c>
      <c r="K194" s="7" t="s">
        <v>195</v>
      </c>
      <c r="L194" s="7" t="s">
        <v>195</v>
      </c>
      <c r="M194" s="7" t="s">
        <v>29</v>
      </c>
      <c r="N194" s="7" t="s">
        <v>29</v>
      </c>
      <c r="O194" s="7" t="s">
        <v>29</v>
      </c>
      <c r="P194" s="7" t="s">
        <v>29</v>
      </c>
      <c r="Q194" s="7" t="s">
        <v>29</v>
      </c>
      <c r="R194" s="7" t="s">
        <v>29</v>
      </c>
      <c r="S194" s="7" t="s">
        <v>29</v>
      </c>
    </row>
    <row r="195" spans="2:19">
      <c r="B195" s="7" t="s">
        <v>195</v>
      </c>
      <c r="C195" s="8" t="s">
        <v>195</v>
      </c>
      <c r="D195" s="5" t="str">
        <f>LRTRIM(CONCATENATE(IF(SUMPRODUCT(-- ISNUMBER(SEARCH({"Auto Number"}, $B195))) &gt; 0, $B195, IF(SUMPRODUCT(-- ISNUMBER(SEARCH({"Lookup","Master-Detail"}, $B195))) &gt; 0,$B195 &amp; "(" &amp; $E195 &amp; ")",IF(SUMPRODUCT(-- ISNUMBER(SEARCH({"Formula","Roll-Up Summary"}, $B195))) &gt; 0,$B195 &amp; " (" &amp; $E195 &amp; ")",IF(SUMPRODUCT(-- ISNUMBER(SEARCH({"Content","Currency","Number","Percent","Text","URL"}, $B195))) &gt; 0,$B195 &amp; "(" &amp; $C195 &amp; ")",$B195)))), "  ", TRIM(IF($S195 = "YES", "(External ID)", "") &amp; " " &amp; IF(SUMPRODUCT(-- ISNUMBER(SEARCH({"Unique","Unique Case Insensitive"}, $R195))) &gt; 0, "(" &amp; $R195 &amp; ")", ""))))</f>
        <v>na</v>
      </c>
      <c r="E195" s="7" t="s">
        <v>195</v>
      </c>
      <c r="F195" s="7" t="s">
        <v>195</v>
      </c>
      <c r="G195" s="7" t="s">
        <v>195</v>
      </c>
      <c r="H195" s="7" t="s">
        <v>195</v>
      </c>
      <c r="I195" s="7" t="s">
        <v>195</v>
      </c>
      <c r="J195" s="7" t="s">
        <v>195</v>
      </c>
      <c r="K195" s="7" t="s">
        <v>195</v>
      </c>
      <c r="L195" s="7" t="s">
        <v>195</v>
      </c>
      <c r="M195" s="7" t="s">
        <v>29</v>
      </c>
      <c r="N195" s="7" t="s">
        <v>29</v>
      </c>
      <c r="O195" s="7" t="s">
        <v>29</v>
      </c>
      <c r="P195" s="7" t="s">
        <v>29</v>
      </c>
      <c r="Q195" s="7" t="s">
        <v>29</v>
      </c>
      <c r="R195" s="7" t="s">
        <v>29</v>
      </c>
      <c r="S195" s="7" t="s">
        <v>29</v>
      </c>
    </row>
    <row r="196" spans="2:19">
      <c r="B196" s="7" t="s">
        <v>195</v>
      </c>
      <c r="C196" s="8" t="s">
        <v>195</v>
      </c>
      <c r="D196" s="5" t="str">
        <f>LRTRIM(CONCATENATE(IF(SUMPRODUCT(-- ISNUMBER(SEARCH({"Auto Number"}, $B196))) &gt; 0, $B196, IF(SUMPRODUCT(-- ISNUMBER(SEARCH({"Lookup","Master-Detail"}, $B196))) &gt; 0,$B196 &amp; "(" &amp; $E196 &amp; ")",IF(SUMPRODUCT(-- ISNUMBER(SEARCH({"Formula","Roll-Up Summary"}, $B196))) &gt; 0,$B196 &amp; " (" &amp; $E196 &amp; ")",IF(SUMPRODUCT(-- ISNUMBER(SEARCH({"Content","Currency","Number","Percent","Text","URL"}, $B196))) &gt; 0,$B196 &amp; "(" &amp; $C196 &amp; ")",$B196)))), "  ", TRIM(IF($S196 = "YES", "(External ID)", "") &amp; " " &amp; IF(SUMPRODUCT(-- ISNUMBER(SEARCH({"Unique","Unique Case Insensitive"}, $R196))) &gt; 0, "(" &amp; $R196 &amp; ")", ""))))</f>
        <v>na</v>
      </c>
      <c r="E196" s="7" t="s">
        <v>195</v>
      </c>
      <c r="F196" s="7" t="s">
        <v>195</v>
      </c>
      <c r="G196" s="7" t="s">
        <v>195</v>
      </c>
      <c r="H196" s="7" t="s">
        <v>195</v>
      </c>
      <c r="I196" s="7" t="s">
        <v>195</v>
      </c>
      <c r="J196" s="7" t="s">
        <v>195</v>
      </c>
      <c r="K196" s="7" t="s">
        <v>195</v>
      </c>
      <c r="L196" s="7" t="s">
        <v>195</v>
      </c>
      <c r="M196" s="7" t="s">
        <v>29</v>
      </c>
      <c r="N196" s="7" t="s">
        <v>29</v>
      </c>
      <c r="O196" s="7" t="s">
        <v>29</v>
      </c>
      <c r="P196" s="7" t="s">
        <v>29</v>
      </c>
      <c r="Q196" s="7" t="s">
        <v>29</v>
      </c>
      <c r="R196" s="7" t="s">
        <v>29</v>
      </c>
      <c r="S196" s="7" t="s">
        <v>29</v>
      </c>
    </row>
    <row r="197" spans="2:19">
      <c r="B197" s="7" t="s">
        <v>195</v>
      </c>
      <c r="C197" s="8" t="s">
        <v>195</v>
      </c>
      <c r="D197" s="5" t="str">
        <f>LRTRIM(CONCATENATE(IF(SUMPRODUCT(-- ISNUMBER(SEARCH({"Auto Number"}, $B197))) &gt; 0, $B197, IF(SUMPRODUCT(-- ISNUMBER(SEARCH({"Lookup","Master-Detail"}, $B197))) &gt; 0,$B197 &amp; "(" &amp; $E197 &amp; ")",IF(SUMPRODUCT(-- ISNUMBER(SEARCH({"Formula","Roll-Up Summary"}, $B197))) &gt; 0,$B197 &amp; " (" &amp; $E197 &amp; ")",IF(SUMPRODUCT(-- ISNUMBER(SEARCH({"Content","Currency","Number","Percent","Text","URL"}, $B197))) &gt; 0,$B197 &amp; "(" &amp; $C197 &amp; ")",$B197)))), "  ", TRIM(IF($S197 = "YES", "(External ID)", "") &amp; " " &amp; IF(SUMPRODUCT(-- ISNUMBER(SEARCH({"Unique","Unique Case Insensitive"}, $R197))) &gt; 0, "(" &amp; $R197 &amp; ")", ""))))</f>
        <v>na</v>
      </c>
      <c r="E197" s="7" t="s">
        <v>195</v>
      </c>
      <c r="F197" s="7" t="s">
        <v>195</v>
      </c>
      <c r="G197" s="7" t="s">
        <v>195</v>
      </c>
      <c r="H197" s="7" t="s">
        <v>195</v>
      </c>
      <c r="I197" s="7" t="s">
        <v>195</v>
      </c>
      <c r="J197" s="7" t="s">
        <v>195</v>
      </c>
      <c r="K197" s="7" t="s">
        <v>195</v>
      </c>
      <c r="L197" s="7" t="s">
        <v>195</v>
      </c>
      <c r="M197" s="7" t="s">
        <v>29</v>
      </c>
      <c r="N197" s="7" t="s">
        <v>29</v>
      </c>
      <c r="O197" s="7" t="s">
        <v>29</v>
      </c>
      <c r="P197" s="7" t="s">
        <v>29</v>
      </c>
      <c r="Q197" s="7" t="s">
        <v>29</v>
      </c>
      <c r="R197" s="7" t="s">
        <v>29</v>
      </c>
      <c r="S197" s="7" t="s">
        <v>29</v>
      </c>
    </row>
    <row r="198" spans="2:19">
      <c r="B198" s="7" t="s">
        <v>195</v>
      </c>
      <c r="C198" s="8" t="s">
        <v>195</v>
      </c>
      <c r="D198" s="5" t="str">
        <f>LRTRIM(CONCATENATE(IF(SUMPRODUCT(-- ISNUMBER(SEARCH({"Auto Number"}, $B198))) &gt; 0, $B198, IF(SUMPRODUCT(-- ISNUMBER(SEARCH({"Lookup","Master-Detail"}, $B198))) &gt; 0,$B198 &amp; "(" &amp; $E198 &amp; ")",IF(SUMPRODUCT(-- ISNUMBER(SEARCH({"Formula","Roll-Up Summary"}, $B198))) &gt; 0,$B198 &amp; " (" &amp; $E198 &amp; ")",IF(SUMPRODUCT(-- ISNUMBER(SEARCH({"Content","Currency","Number","Percent","Text","URL"}, $B198))) &gt; 0,$B198 &amp; "(" &amp; $C198 &amp; ")",$B198)))), "  ", TRIM(IF($S198 = "YES", "(External ID)", "") &amp; " " &amp; IF(SUMPRODUCT(-- ISNUMBER(SEARCH({"Unique","Unique Case Insensitive"}, $R198))) &gt; 0, "(" &amp; $R198 &amp; ")", ""))))</f>
        <v>na</v>
      </c>
      <c r="E198" s="7" t="s">
        <v>195</v>
      </c>
      <c r="F198" s="7" t="s">
        <v>195</v>
      </c>
      <c r="G198" s="7" t="s">
        <v>195</v>
      </c>
      <c r="H198" s="7" t="s">
        <v>195</v>
      </c>
      <c r="I198" s="7" t="s">
        <v>195</v>
      </c>
      <c r="J198" s="7" t="s">
        <v>195</v>
      </c>
      <c r="K198" s="7" t="s">
        <v>195</v>
      </c>
      <c r="L198" s="7" t="s">
        <v>195</v>
      </c>
      <c r="M198" s="7" t="s">
        <v>29</v>
      </c>
      <c r="N198" s="7" t="s">
        <v>29</v>
      </c>
      <c r="O198" s="7" t="s">
        <v>29</v>
      </c>
      <c r="P198" s="7" t="s">
        <v>29</v>
      </c>
      <c r="Q198" s="7" t="s">
        <v>29</v>
      </c>
      <c r="R198" s="7" t="s">
        <v>29</v>
      </c>
      <c r="S198" s="7" t="s">
        <v>29</v>
      </c>
    </row>
    <row r="199" spans="2:19">
      <c r="B199" s="7" t="s">
        <v>195</v>
      </c>
      <c r="C199" s="8" t="s">
        <v>195</v>
      </c>
      <c r="D199" s="5" t="str">
        <f>LRTRIM(CONCATENATE(IF(SUMPRODUCT(-- ISNUMBER(SEARCH({"Auto Number"}, $B199))) &gt; 0, $B199, IF(SUMPRODUCT(-- ISNUMBER(SEARCH({"Lookup","Master-Detail"}, $B199))) &gt; 0,$B199 &amp; "(" &amp; $E199 &amp; ")",IF(SUMPRODUCT(-- ISNUMBER(SEARCH({"Formula","Roll-Up Summary"}, $B199))) &gt; 0,$B199 &amp; " (" &amp; $E199 &amp; ")",IF(SUMPRODUCT(-- ISNUMBER(SEARCH({"Content","Currency","Number","Percent","Text","URL"}, $B199))) &gt; 0,$B199 &amp; "(" &amp; $C199 &amp; ")",$B199)))), "  ", TRIM(IF($S199 = "YES", "(External ID)", "") &amp; " " &amp; IF(SUMPRODUCT(-- ISNUMBER(SEARCH({"Unique","Unique Case Insensitive"}, $R199))) &gt; 0, "(" &amp; $R199 &amp; ")", ""))))</f>
        <v>na</v>
      </c>
      <c r="E199" s="7" t="s">
        <v>195</v>
      </c>
      <c r="F199" s="7" t="s">
        <v>195</v>
      </c>
      <c r="G199" s="7" t="s">
        <v>195</v>
      </c>
      <c r="H199" s="7" t="s">
        <v>195</v>
      </c>
      <c r="I199" s="7" t="s">
        <v>195</v>
      </c>
      <c r="J199" s="7" t="s">
        <v>195</v>
      </c>
      <c r="K199" s="7" t="s">
        <v>195</v>
      </c>
      <c r="L199" s="7" t="s">
        <v>195</v>
      </c>
      <c r="M199" s="7" t="s">
        <v>29</v>
      </c>
      <c r="N199" s="7" t="s">
        <v>29</v>
      </c>
      <c r="O199" s="7" t="s">
        <v>29</v>
      </c>
      <c r="P199" s="7" t="s">
        <v>29</v>
      </c>
      <c r="Q199" s="7" t="s">
        <v>29</v>
      </c>
      <c r="R199" s="7" t="s">
        <v>29</v>
      </c>
      <c r="S199" s="7" t="s">
        <v>29</v>
      </c>
    </row>
    <row r="200" spans="2:19">
      <c r="B200" s="7" t="s">
        <v>195</v>
      </c>
      <c r="C200" s="8" t="s">
        <v>195</v>
      </c>
      <c r="D200" s="5" t="str">
        <f>LRTRIM(CONCATENATE(IF(SUMPRODUCT(-- ISNUMBER(SEARCH({"Auto Number"}, $B200))) &gt; 0, $B200, IF(SUMPRODUCT(-- ISNUMBER(SEARCH({"Lookup","Master-Detail"}, $B200))) &gt; 0,$B200 &amp; "(" &amp; $E200 &amp; ")",IF(SUMPRODUCT(-- ISNUMBER(SEARCH({"Formula","Roll-Up Summary"}, $B200))) &gt; 0,$B200 &amp; " (" &amp; $E200 &amp; ")",IF(SUMPRODUCT(-- ISNUMBER(SEARCH({"Content","Currency","Number","Percent","Text","URL"}, $B200))) &gt; 0,$B200 &amp; "(" &amp; $C200 &amp; ")",$B200)))), "  ", TRIM(IF($S200 = "YES", "(External ID)", "") &amp; " " &amp; IF(SUMPRODUCT(-- ISNUMBER(SEARCH({"Unique","Unique Case Insensitive"}, $R200))) &gt; 0, "(" &amp; $R200 &amp; ")", ""))))</f>
        <v>na</v>
      </c>
      <c r="E200" s="7" t="s">
        <v>195</v>
      </c>
      <c r="F200" s="7" t="s">
        <v>195</v>
      </c>
      <c r="G200" s="7" t="s">
        <v>195</v>
      </c>
      <c r="H200" s="7" t="s">
        <v>195</v>
      </c>
      <c r="I200" s="7" t="s">
        <v>195</v>
      </c>
      <c r="J200" s="7" t="s">
        <v>195</v>
      </c>
      <c r="K200" s="7" t="s">
        <v>195</v>
      </c>
      <c r="L200" s="7" t="s">
        <v>195</v>
      </c>
      <c r="M200" s="7" t="s">
        <v>29</v>
      </c>
      <c r="N200" s="7" t="s">
        <v>29</v>
      </c>
      <c r="O200" s="7" t="s">
        <v>29</v>
      </c>
      <c r="P200" s="7" t="s">
        <v>29</v>
      </c>
      <c r="Q200" s="7" t="s">
        <v>29</v>
      </c>
      <c r="R200" s="7" t="s">
        <v>29</v>
      </c>
      <c r="S200" s="7" t="s">
        <v>29</v>
      </c>
    </row>
  </sheetData>
  <sheetProtection formatCells="0" formatColumns="0" formatRows="0" insertColumns="0" insertRows="0" insertHyperlinks="0" deleteColumns="0" deleteRows="0" sort="0" autoFilter="0" pivotTables="0"/>
  <conditionalFormatting sqref="D2:D19">
    <cfRule type="expression" dxfId="99" priority="3">
      <formula>NOT(_xlfn.ISFORMULA($D2))</formula>
    </cfRule>
  </conditionalFormatting>
  <conditionalFormatting sqref="D20">
    <cfRule type="expression" dxfId="98" priority="2">
      <formula>NOT(_xlfn.ISFORMULA($D20))</formula>
    </cfRule>
  </conditionalFormatting>
  <conditionalFormatting sqref="D21:D200">
    <cfRule type="expression" dxfId="97" priority="1">
      <formula>NOT(_xlfn.ISFORMULA($D21))</formula>
    </cfRule>
  </conditionalFormatting>
  <dataValidations count="1">
    <dataValidation allowBlank="1" showInputMessage="1" showErrorMessage="1" sqref="A2:A19"/>
  </dataValidations>
  <pageMargins left="0.7" right="0.7" top="0.75" bottom="0.75" header="0.3" footer="0.3"/>
  <extLst>
    <ext xmlns:x14="http://schemas.microsoft.com/office/spreadsheetml/2009/9/main" uri="{CCE6A557-97BC-4b89-ADB6-D9C93CAAB3DF}">
      <x14:dataValidations xmlns:xm="http://schemas.microsoft.com/office/excel/2006/main" count="15">
        <x14:dataValidation type="list" allowBlank="1" showInputMessage="1" showErrorMessage="1">
          <x14:formula1>
            <xm:f>OFFSET('Reference Fields'!$K$2,0,0,COUNTA('Reference Fields'!$K:$K)-1)</xm:f>
          </x14:formula1>
          <xm:sqref>R2:R200</xm:sqref>
        </x14:dataValidation>
        <x14:dataValidation type="list" allowBlank="1" showInputMessage="1" showErrorMessage="1">
          <x14:formula1>
            <xm:f>OFFSET('Reference Fields'!$J$2,0,0,COUNTA('Reference Fields'!$J:$J)-1)</xm:f>
          </x14:formula1>
          <xm:sqref>Q2:Q200</xm:sqref>
        </x14:dataValidation>
        <x14:dataValidation type="list" allowBlank="1" showInputMessage="1" showErrorMessage="1">
          <x14:formula1>
            <xm:f>OFFSET('Reference Fields'!$J$2,0,0,COUNTA('Reference Fields'!$J:$J)-1)</xm:f>
          </x14:formula1>
          <xm:sqref>M2:M200</xm:sqref>
        </x14:dataValidation>
        <x14:dataValidation type="list" allowBlank="1" showInputMessage="1" showErrorMessage="1">
          <x14:formula1>
            <xm:f>OFFSET('Reference Fields'!$J$2,0,0,COUNTA('Reference Fields'!$J:$J)-1)</xm:f>
          </x14:formula1>
          <xm:sqref>N2:N200</xm:sqref>
        </x14:dataValidation>
        <x14:dataValidation type="list" allowBlank="1" showInputMessage="1" showErrorMessage="1">
          <x14:formula1>
            <xm:f>OFFSET('Reference Fields'!$J$2,0,0,COUNTA('Reference Fields'!$J:$J)-1)</xm:f>
          </x14:formula1>
          <xm:sqref>O2:O200</xm:sqref>
        </x14:dataValidation>
        <x14:dataValidation type="list" allowBlank="1" showInputMessage="1" showErrorMessage="1">
          <x14:formula1>
            <xm:f>OFFSET('Reference Fields'!$J$2,0,0,COUNTA('Reference Fields'!$J:$J)-1)</xm:f>
          </x14:formula1>
          <xm:sqref>P2:P200</xm:sqref>
        </x14:dataValidation>
        <x14:dataValidation type="list" allowBlank="1" showInputMessage="1" showErrorMessage="1">
          <x14:formula1>
            <xm:f>OFFSET('Reference Fields'!$J$2,0,0,COUNTA('Reference Fields'!$J:$J)-1)</xm:f>
          </x14:formula1>
          <xm:sqref>S2:S200</xm:sqref>
        </x14:dataValidation>
        <x14:dataValidation type="list" allowBlank="1" showInputMessage="1" showErrorMessage="1">
          <x14:formula1>
            <xm:f>OFFSET('Reference Fields'!$B$2,0,0,COUNTA('Reference Fields'!$B:$B)-1)</xm:f>
          </x14:formula1>
          <xm:sqref>B2:B200</xm:sqref>
        </x14:dataValidation>
        <x14:dataValidation type="list" allowBlank="1" showInputMessage="1" showErrorMessage="1">
          <x14:formula1>
            <xm:f>OFFSET('Reference Fields'!$D$2,0,0,COUNTA('Reference Fields'!$D:$D)-1)</xm:f>
          </x14:formula1>
          <xm:sqref>F2:F200</xm:sqref>
        </x14:dataValidation>
        <x14:dataValidation type="list" allowBlank="1" showInputMessage="1" showErrorMessage="1">
          <x14:formula1>
            <xm:f>OFFSET('Reference Fields'!$E$2,0,0,COUNTA('Reference Fields'!$E:$E)-1)</xm:f>
          </x14:formula1>
          <xm:sqref>G2:G200</xm:sqref>
        </x14:dataValidation>
        <x14:dataValidation type="list" allowBlank="1" showInputMessage="1" showErrorMessage="1">
          <x14:formula1>
            <xm:f>OFFSET('Reference Fields'!$F$2,0,0,COUNTA('Reference Fields'!$F:$F)-1)</xm:f>
          </x14:formula1>
          <xm:sqref>H2:H200</xm:sqref>
        </x14:dataValidation>
        <x14:dataValidation type="list" allowBlank="1" showInputMessage="1" showErrorMessage="1">
          <x14:formula1>
            <xm:f>OFFSET('Reference Fields'!$F$2,0,0,COUNTA('Reference Fields'!$F:$F)-1)</xm:f>
          </x14:formula1>
          <xm:sqref>I2:I200</xm:sqref>
        </x14:dataValidation>
        <x14:dataValidation type="list" allowBlank="1" showInputMessage="1" showErrorMessage="1">
          <x14:formula1>
            <xm:f>OFFSET('Reference Fields'!$G$2,0,0,COUNTA('Reference Fields'!$G:$G)-1)</xm:f>
          </x14:formula1>
          <xm:sqref>J2:J200</xm:sqref>
        </x14:dataValidation>
        <x14:dataValidation type="list" allowBlank="1" showInputMessage="1" showErrorMessage="1">
          <x14:formula1>
            <xm:f>OFFSET('Reference Fields'!$H$2,0,0,COUNTA('Reference Fields'!$H:$H)-1)</xm:f>
          </x14:formula1>
          <xm:sqref>K2:K200</xm:sqref>
        </x14:dataValidation>
        <x14:dataValidation type="list" allowBlank="1" showInputMessage="1" showErrorMessage="1">
          <x14:formula1>
            <xm:f>OFFSET('Reference Fields'!$I$2,0,0,COUNTA('Reference Fields'!$I:$I)-1)</xm:f>
          </x14:formula1>
          <xm:sqref>L2:L200</xm:sqref>
        </x14:dataValidation>
      </x14:dataValidations>
    </ext>
  </extLst>
</worksheet>
</file>

<file path=xl/worksheets/sheet7.xml><?xml version="1.0" encoding="utf-8"?>
<worksheet xmlns="http://schemas.openxmlformats.org/spreadsheetml/2006/main" xmlns:r="http://schemas.openxmlformats.org/officeDocument/2006/relationships">
  <sheetPr codeName="Sheet7"/>
  <dimension ref="A1:S200"/>
  <sheetViews>
    <sheetView topLeftCell="A19" workbookViewId="0">
      <selection activeCell="B38" sqref="B38"/>
    </sheetView>
  </sheetViews>
  <sheetFormatPr defaultRowHeight="14.5"/>
  <cols>
    <col min="1" max="1" width="17.90625" customWidth="1"/>
    <col min="2" max="2" width="13.54296875" customWidth="1"/>
    <col min="3" max="4" width="8.90625" customWidth="1"/>
    <col min="5" max="5" width="12.6328125" customWidth="1"/>
    <col min="6" max="6" width="15.6328125" bestFit="1" customWidth="1"/>
    <col min="7" max="7" width="15.453125" customWidth="1"/>
    <col min="8" max="8" width="11.90625" customWidth="1"/>
    <col min="9" max="9" width="50.81640625" customWidth="1"/>
    <col min="10" max="10" width="23.36328125" customWidth="1"/>
    <col min="11" max="11" width="17.54296875" customWidth="1"/>
    <col min="12" max="12" width="14.08984375" customWidth="1"/>
    <col min="13" max="13" width="10.453125" bestFit="1" customWidth="1"/>
    <col min="14" max="14" width="10.453125" customWidth="1"/>
    <col min="15" max="15" width="12.453125" bestFit="1" customWidth="1"/>
  </cols>
  <sheetData>
    <row r="1" spans="1:19" s="1" customFormat="1">
      <c r="A1" s="1" t="s">
        <v>2</v>
      </c>
      <c r="B1" s="1" t="s">
        <v>1198</v>
      </c>
      <c r="C1" s="1" t="s">
        <v>1199</v>
      </c>
      <c r="D1" s="1" t="s">
        <v>0</v>
      </c>
      <c r="E1" s="1" t="s">
        <v>1</v>
      </c>
      <c r="F1" s="1" t="s">
        <v>30</v>
      </c>
      <c r="G1" s="1" t="s">
        <v>31</v>
      </c>
      <c r="H1" s="1" t="s">
        <v>1262</v>
      </c>
      <c r="I1" s="1" t="s">
        <v>49</v>
      </c>
      <c r="J1" s="1" t="s">
        <v>48</v>
      </c>
      <c r="K1" s="1" t="s">
        <v>54</v>
      </c>
      <c r="L1" s="1" t="s">
        <v>55</v>
      </c>
      <c r="M1" s="1" t="s">
        <v>27</v>
      </c>
      <c r="N1" s="1" t="s">
        <v>175</v>
      </c>
      <c r="O1" s="1" t="s">
        <v>193</v>
      </c>
      <c r="P1" s="1" t="s">
        <v>1221</v>
      </c>
      <c r="Q1" s="1" t="s">
        <v>1264</v>
      </c>
      <c r="R1" s="1" t="s">
        <v>1263</v>
      </c>
      <c r="S1" s="1" t="s">
        <v>1265</v>
      </c>
    </row>
    <row r="2" spans="1:19">
      <c r="A2" s="7" t="s">
        <v>1402</v>
      </c>
      <c r="B2" s="7" t="s">
        <v>1215</v>
      </c>
      <c r="C2" s="8">
        <v>0</v>
      </c>
      <c r="D2" s="5" t="str">
        <f>LRTRIM(CONCATENATE(IF(SUMPRODUCT(-- ISNUMBER(SEARCH({"Auto Number"}, $B2))) &gt; 0, $B2, IF(SUMPRODUCT(-- ISNUMBER(SEARCH({"Lookup","Master-Detail"}, $B2))) &gt; 0,$B2 &amp; "(" &amp; $E2 &amp; ")",IF(SUMPRODUCT(-- ISNUMBER(SEARCH({"Formula","Roll-Up Summary"}, $B2))) &gt; 0,$B2 &amp; " (" &amp; $E2 &amp; ")",IF(SUMPRODUCT(-- ISNUMBER(SEARCH({"Content","Currency","Number","Percent","Text","URL"}, $B2))) &gt; 0,$B2 &amp; "(" &amp; $C2 &amp; ")",$B2)))), "  ", TRIM(IF($S2 = "YES", "(External ID)", "") &amp; " " &amp; IF(SUMPRODUCT(-- ISNUMBER(SEARCH({"Unique","Unique Case Insensitive"}, $R2))) &gt; 0, "(" &amp; $R2 &amp; ")", ""))))</f>
        <v>Picklist</v>
      </c>
      <c r="E2" s="7" t="s">
        <v>195</v>
      </c>
      <c r="F2" s="7" t="s">
        <v>1424</v>
      </c>
      <c r="G2" s="7" t="s">
        <v>255</v>
      </c>
      <c r="H2" s="7" t="s">
        <v>195</v>
      </c>
      <c r="I2" s="7" t="s">
        <v>1293</v>
      </c>
      <c r="J2" s="7" t="s">
        <v>1483</v>
      </c>
      <c r="K2" s="7" t="s">
        <v>195</v>
      </c>
      <c r="L2" s="7" t="s">
        <v>195</v>
      </c>
      <c r="M2" s="7" t="s">
        <v>29</v>
      </c>
      <c r="N2" s="7" t="s">
        <v>29</v>
      </c>
      <c r="O2" s="7" t="s">
        <v>29</v>
      </c>
      <c r="P2" s="7" t="s">
        <v>29</v>
      </c>
      <c r="Q2" s="7" t="s">
        <v>29</v>
      </c>
      <c r="R2" s="7" t="s">
        <v>29</v>
      </c>
      <c r="S2" s="7" t="s">
        <v>29</v>
      </c>
    </row>
    <row r="3" spans="1:19">
      <c r="A3" s="7" t="s">
        <v>224</v>
      </c>
      <c r="B3" s="7" t="s">
        <v>1211</v>
      </c>
      <c r="C3" s="8">
        <v>18</v>
      </c>
      <c r="D3" s="5" t="str">
        <f>LRTRIM(CONCATENATE(IF(SUMPRODUCT(-- ISNUMBER(SEARCH({"Auto Number"}, $B3))) &gt; 0, $B3, IF(SUMPRODUCT(-- ISNUMBER(SEARCH({"Lookup","Master-Detail"}, $B3))) &gt; 0,$B3 &amp; "(" &amp; $E3 &amp; ")",IF(SUMPRODUCT(-- ISNUMBER(SEARCH({"Formula","Roll-Up Summary"}, $B3))) &gt; 0,$B3 &amp; " (" &amp; $E3 &amp; ")",IF(SUMPRODUCT(-- ISNUMBER(SEARCH({"Content","Currency","Number","Percent","Text","URL"}, $B3))) &gt; 0,$B3 &amp; "(" &amp; $C3 &amp; ")",$B3)))), "  ", TRIM(IF($S3 = "YES", "(External ID)", "") &amp; " " &amp; IF(SUMPRODUCT(-- ISNUMBER(SEARCH({"Unique","Unique Case Insensitive"}, $R3))) &gt; 0, "(" &amp; $R3 &amp; ")", ""))))</f>
        <v>Lookup(User)</v>
      </c>
      <c r="E3" s="7" t="s">
        <v>7</v>
      </c>
      <c r="F3" s="7" t="s">
        <v>241</v>
      </c>
      <c r="G3" s="7" t="s">
        <v>256</v>
      </c>
      <c r="H3" s="7" t="s">
        <v>195</v>
      </c>
      <c r="I3" s="7" t="s">
        <v>195</v>
      </c>
      <c r="J3" s="7" t="s">
        <v>195</v>
      </c>
      <c r="K3" s="7" t="s">
        <v>195</v>
      </c>
      <c r="L3" s="7" t="s">
        <v>195</v>
      </c>
      <c r="M3" s="7" t="s">
        <v>29</v>
      </c>
      <c r="N3" s="7" t="s">
        <v>29</v>
      </c>
      <c r="O3" s="7" t="s">
        <v>29</v>
      </c>
      <c r="P3" s="7" t="s">
        <v>29</v>
      </c>
      <c r="Q3" s="7" t="s">
        <v>29</v>
      </c>
      <c r="R3" s="7" t="s">
        <v>29</v>
      </c>
      <c r="S3" s="7" t="s">
        <v>29</v>
      </c>
    </row>
    <row r="4" spans="1:19">
      <c r="A4" s="7" t="s">
        <v>1406</v>
      </c>
      <c r="B4" s="7" t="s">
        <v>1204</v>
      </c>
      <c r="C4" s="8" t="s">
        <v>195</v>
      </c>
      <c r="D4" s="5" t="str">
        <f>LRTRIM(CONCATENATE(IF(SUMPRODUCT(-- ISNUMBER(SEARCH({"Auto Number"}, $B4))) &gt; 0, $B4, IF(SUMPRODUCT(-- ISNUMBER(SEARCH({"Lookup","Master-Detail"}, $B4))) &gt; 0,$B4 &amp; "(" &amp; $E4 &amp; ")",IF(SUMPRODUCT(-- ISNUMBER(SEARCH({"Formula","Roll-Up Summary"}, $B4))) &gt; 0,$B4 &amp; " (" &amp; $E4 &amp; ")",IF(SUMPRODUCT(-- ISNUMBER(SEARCH({"Content","Currency","Number","Percent","Text","URL"}, $B4))) &gt; 0,$B4 &amp; "(" &amp; $C4 &amp; ")",$B4)))), "  ", TRIM(IF($S4 = "YES", "(External ID)", "") &amp; " " &amp; IF(SUMPRODUCT(-- ISNUMBER(SEARCH({"Unique","Unique Case Insensitive"}, $R4))) &gt; 0, "(" &amp; $R4 &amp; ")", ""))))</f>
        <v>Checkbox</v>
      </c>
      <c r="E4" s="7" t="s">
        <v>195</v>
      </c>
      <c r="F4" s="7" t="s">
        <v>1427</v>
      </c>
      <c r="G4" s="7" t="s">
        <v>1440</v>
      </c>
      <c r="H4" s="7" t="s">
        <v>195</v>
      </c>
      <c r="I4" s="7" t="s">
        <v>195</v>
      </c>
      <c r="J4" s="7" t="s">
        <v>195</v>
      </c>
      <c r="K4" s="7" t="s">
        <v>195</v>
      </c>
      <c r="L4" s="7" t="s">
        <v>195</v>
      </c>
      <c r="M4" s="7" t="s">
        <v>28</v>
      </c>
      <c r="N4" s="7" t="s">
        <v>29</v>
      </c>
      <c r="O4" s="7" t="s">
        <v>29</v>
      </c>
      <c r="P4" s="7" t="s">
        <v>29</v>
      </c>
      <c r="Q4" s="7" t="s">
        <v>29</v>
      </c>
      <c r="R4" s="7" t="s">
        <v>29</v>
      </c>
      <c r="S4" s="7" t="s">
        <v>29</v>
      </c>
    </row>
    <row r="5" spans="1:19">
      <c r="A5" s="7" t="s">
        <v>1407</v>
      </c>
      <c r="B5" s="7" t="s">
        <v>1204</v>
      </c>
      <c r="C5" s="8" t="s">
        <v>195</v>
      </c>
      <c r="D5" s="5" t="str">
        <f>LRTRIM(CONCATENATE(IF(SUMPRODUCT(-- ISNUMBER(SEARCH({"Auto Number"}, $B5))) &gt; 0, $B5, IF(SUMPRODUCT(-- ISNUMBER(SEARCH({"Lookup","Master-Detail"}, $B5))) &gt; 0,$B5 &amp; "(" &amp; $E5 &amp; ")",IF(SUMPRODUCT(-- ISNUMBER(SEARCH({"Formula","Roll-Up Summary"}, $B5))) &gt; 0,$B5 &amp; " (" &amp; $E5 &amp; ")",IF(SUMPRODUCT(-- ISNUMBER(SEARCH({"Content","Currency","Number","Percent","Text","URL"}, $B5))) &gt; 0,$B5 &amp; "(" &amp; $C5 &amp; ")",$B5)))), "  ", TRIM(IF($S5 = "YES", "(External ID)", "") &amp; " " &amp; IF(SUMPRODUCT(-- ISNUMBER(SEARCH({"Unique","Unique Case Insensitive"}, $R5))) &gt; 0, "(" &amp; $R5 &amp; ")", ""))))</f>
        <v>Checkbox</v>
      </c>
      <c r="E5" s="7" t="s">
        <v>195</v>
      </c>
      <c r="F5" s="7" t="s">
        <v>1428</v>
      </c>
      <c r="G5" s="7" t="s">
        <v>1441</v>
      </c>
      <c r="H5" s="7" t="s">
        <v>195</v>
      </c>
      <c r="I5" s="7" t="s">
        <v>195</v>
      </c>
      <c r="J5" s="7" t="s">
        <v>195</v>
      </c>
      <c r="K5" s="7" t="s">
        <v>195</v>
      </c>
      <c r="L5" s="7" t="s">
        <v>195</v>
      </c>
      <c r="M5" s="7" t="s">
        <v>28</v>
      </c>
      <c r="N5" s="7" t="s">
        <v>29</v>
      </c>
      <c r="O5" s="7" t="s">
        <v>29</v>
      </c>
      <c r="P5" s="7" t="s">
        <v>29</v>
      </c>
      <c r="Q5" s="7" t="s">
        <v>29</v>
      </c>
      <c r="R5" s="7" t="s">
        <v>29</v>
      </c>
      <c r="S5" s="7" t="s">
        <v>29</v>
      </c>
    </row>
    <row r="6" spans="1:19">
      <c r="A6" s="7" t="s">
        <v>1422</v>
      </c>
      <c r="B6" s="7" t="s">
        <v>1219</v>
      </c>
      <c r="C6" s="8">
        <v>255</v>
      </c>
      <c r="D6" s="5" t="str">
        <f>LRTRIM(CONCATENATE(IF(SUMPRODUCT(-- ISNUMBER(SEARCH({"Auto Number"}, $B6))) &gt; 0, $B6, IF(SUMPRODUCT(-- ISNUMBER(SEARCH({"Lookup","Master-Detail"}, $B6))) &gt; 0,$B6 &amp; "(" &amp; $E6 &amp; ")",IF(SUMPRODUCT(-- ISNUMBER(SEARCH({"Formula","Roll-Up Summary"}, $B6))) &gt; 0,$B6 &amp; " (" &amp; $E6 &amp; ")",IF(SUMPRODUCT(-- ISNUMBER(SEARCH({"Content","Currency","Number","Percent","Text","URL"}, $B6))) &gt; 0,$B6 &amp; "(" &amp; $C6 &amp; ")",$B6)))), "  ", TRIM(IF($S6 = "YES", "(External ID)", "") &amp; " " &amp; IF(SUMPRODUCT(-- ISNUMBER(SEARCH({"Unique","Unique Case Insensitive"}, $R6))) &gt; 0, "(" &amp; $R6 &amp; ")", ""))))</f>
        <v>URL(255)</v>
      </c>
      <c r="E6" s="7" t="s">
        <v>195</v>
      </c>
      <c r="F6" s="7" t="s">
        <v>1437</v>
      </c>
      <c r="G6" s="7" t="s">
        <v>1442</v>
      </c>
      <c r="H6" s="7" t="s">
        <v>195</v>
      </c>
      <c r="I6" s="7" t="s">
        <v>195</v>
      </c>
      <c r="J6" s="7" t="s">
        <v>195</v>
      </c>
      <c r="K6" s="7" t="s">
        <v>195</v>
      </c>
      <c r="L6" s="7" t="s">
        <v>195</v>
      </c>
      <c r="M6" s="7" t="s">
        <v>29</v>
      </c>
      <c r="N6" s="7" t="s">
        <v>29</v>
      </c>
      <c r="O6" s="7" t="s">
        <v>29</v>
      </c>
      <c r="P6" s="7" t="s">
        <v>29</v>
      </c>
      <c r="Q6" s="7" t="s">
        <v>29</v>
      </c>
      <c r="R6" s="7" t="s">
        <v>29</v>
      </c>
      <c r="S6" s="7" t="s">
        <v>29</v>
      </c>
    </row>
    <row r="7" spans="1:19">
      <c r="A7" s="7" t="s">
        <v>1423</v>
      </c>
      <c r="B7" s="7" t="s">
        <v>1218</v>
      </c>
      <c r="C7" s="8">
        <v>255</v>
      </c>
      <c r="D7" s="5" t="str">
        <f>LRTRIM(CONCATENATE(IF(SUMPRODUCT(-- ISNUMBER(SEARCH({"Auto Number"}, $B7))) &gt; 0, $B7, IF(SUMPRODUCT(-- ISNUMBER(SEARCH({"Lookup","Master-Detail"}, $B7))) &gt; 0,$B7 &amp; "(" &amp; $E7 &amp; ")",IF(SUMPRODUCT(-- ISNUMBER(SEARCH({"Formula","Roll-Up Summary"}, $B7))) &gt; 0,$B7 &amp; " (" &amp; $E7 &amp; ")",IF(SUMPRODUCT(-- ISNUMBER(SEARCH({"Content","Currency","Number","Percent","Text","URL"}, $B7))) &gt; 0,$B7 &amp; "(" &amp; $C7 &amp; ")",$B7)))), "  ", TRIM(IF($S7 = "YES", "(External ID)", "") &amp; " " &amp; IF(SUMPRODUCT(-- ISNUMBER(SEARCH({"Unique","Unique Case Insensitive"}, $R7))) &gt; 0, "(" &amp; $R7 &amp; ")", ""))))</f>
        <v>Text(255)</v>
      </c>
      <c r="E7" s="7" t="s">
        <v>195</v>
      </c>
      <c r="F7" s="7" t="s">
        <v>1425</v>
      </c>
      <c r="G7" s="7" t="s">
        <v>1355</v>
      </c>
      <c r="H7" s="7" t="s">
        <v>195</v>
      </c>
      <c r="I7" s="7" t="s">
        <v>195</v>
      </c>
      <c r="J7" s="7" t="s">
        <v>195</v>
      </c>
      <c r="K7" s="7" t="s">
        <v>195</v>
      </c>
      <c r="L7" s="7" t="s">
        <v>195</v>
      </c>
      <c r="M7" s="7" t="s">
        <v>29</v>
      </c>
      <c r="N7" s="7" t="s">
        <v>29</v>
      </c>
      <c r="O7" s="7" t="s">
        <v>29</v>
      </c>
      <c r="P7" s="7" t="s">
        <v>29</v>
      </c>
      <c r="Q7" s="7" t="s">
        <v>29</v>
      </c>
      <c r="R7" s="7" t="s">
        <v>29</v>
      </c>
      <c r="S7" s="7" t="s">
        <v>29</v>
      </c>
    </row>
    <row r="8" spans="1:19">
      <c r="A8" s="7" t="s">
        <v>1408</v>
      </c>
      <c r="B8" s="7" t="s">
        <v>1213</v>
      </c>
      <c r="C8" s="8" t="s">
        <v>1381</v>
      </c>
      <c r="D8" s="5" t="str">
        <f>LRTRIM(CONCATENATE(IF(SUMPRODUCT(-- ISNUMBER(SEARCH({"Auto Number"}, $B8))) &gt; 0, $B8, IF(SUMPRODUCT(-- ISNUMBER(SEARCH({"Lookup","Master-Detail"}, $B8))) &gt; 0,$B8 &amp; "(" &amp; $E8 &amp; ")",IF(SUMPRODUCT(-- ISNUMBER(SEARCH({"Formula","Roll-Up Summary"}, $B8))) &gt; 0,$B8 &amp; " (" &amp; $E8 &amp; ")",IF(SUMPRODUCT(-- ISNUMBER(SEARCH({"Content","Currency","Number","Percent","Text","URL"}, $B8))) &gt; 0,$B8 &amp; "(" &amp; $C8 &amp; ")",$B8)))), "  ", TRIM(IF($S8 = "YES", "(External ID)", "") &amp; " " &amp; IF(SUMPRODUCT(-- ISNUMBER(SEARCH({"Unique","Unique Case Insensitive"}, $R8))) &gt; 0, "(" &amp; $R8 &amp; ")", ""))))</f>
        <v>Number(4, 0)</v>
      </c>
      <c r="E8" s="7" t="s">
        <v>195</v>
      </c>
      <c r="F8" s="7" t="s">
        <v>1429</v>
      </c>
      <c r="G8" s="7" t="s">
        <v>1443</v>
      </c>
      <c r="H8" s="7" t="s">
        <v>195</v>
      </c>
      <c r="I8" s="7" t="s">
        <v>195</v>
      </c>
      <c r="J8" s="7" t="s">
        <v>195</v>
      </c>
      <c r="K8" s="7" t="s">
        <v>195</v>
      </c>
      <c r="L8" s="7" t="s">
        <v>195</v>
      </c>
      <c r="M8" s="7" t="s">
        <v>29</v>
      </c>
      <c r="N8" s="7" t="s">
        <v>29</v>
      </c>
      <c r="O8" s="7" t="s">
        <v>29</v>
      </c>
      <c r="P8" s="7" t="s">
        <v>29</v>
      </c>
      <c r="Q8" s="7" t="s">
        <v>29</v>
      </c>
      <c r="R8" s="7" t="s">
        <v>29</v>
      </c>
      <c r="S8" s="7" t="s">
        <v>29</v>
      </c>
    </row>
    <row r="9" spans="1:19">
      <c r="A9" s="7" t="s">
        <v>1409</v>
      </c>
      <c r="B9" s="7" t="s">
        <v>1218</v>
      </c>
      <c r="C9" s="8">
        <v>100</v>
      </c>
      <c r="D9" s="5" t="str">
        <f>LRTRIM(CONCATENATE(IF(SUMPRODUCT(-- ISNUMBER(SEARCH({"Auto Number"}, $B9))) &gt; 0, $B9, IF(SUMPRODUCT(-- ISNUMBER(SEARCH({"Lookup","Master-Detail"}, $B9))) &gt; 0,$B9 &amp; "(" &amp; $E9 &amp; ")",IF(SUMPRODUCT(-- ISNUMBER(SEARCH({"Formula","Roll-Up Summary"}, $B9))) &gt; 0,$B9 &amp; " (" &amp; $E9 &amp; ")",IF(SUMPRODUCT(-- ISNUMBER(SEARCH({"Content","Currency","Number","Percent","Text","URL"}, $B9))) &gt; 0,$B9 &amp; "(" &amp; $C9 &amp; ")",$B9)))), "  ", TRIM(IF($S9 = "YES", "(External ID)", "") &amp; " " &amp; IF(SUMPRODUCT(-- ISNUMBER(SEARCH({"Unique","Unique Case Insensitive"}, $R9))) &gt; 0, "(" &amp; $R9 &amp; ")", ""))))</f>
        <v>Text(100)</v>
      </c>
      <c r="E9" s="7" t="s">
        <v>195</v>
      </c>
      <c r="F9" s="7" t="s">
        <v>1430</v>
      </c>
      <c r="G9" s="7" t="s">
        <v>1439</v>
      </c>
      <c r="H9" s="7" t="s">
        <v>195</v>
      </c>
      <c r="I9" s="7" t="s">
        <v>195</v>
      </c>
      <c r="J9" s="7" t="s">
        <v>195</v>
      </c>
      <c r="K9" s="7" t="s">
        <v>195</v>
      </c>
      <c r="L9" s="7" t="s">
        <v>195</v>
      </c>
      <c r="M9" s="7" t="s">
        <v>29</v>
      </c>
      <c r="N9" s="7" t="s">
        <v>29</v>
      </c>
      <c r="O9" s="7" t="s">
        <v>29</v>
      </c>
      <c r="P9" s="7" t="s">
        <v>29</v>
      </c>
      <c r="Q9" s="7" t="s">
        <v>29</v>
      </c>
      <c r="R9" s="7" t="s">
        <v>29</v>
      </c>
      <c r="S9" s="7" t="s">
        <v>29</v>
      </c>
    </row>
    <row r="10" spans="1:19">
      <c r="A10" s="7" t="s">
        <v>225</v>
      </c>
      <c r="B10" s="7" t="s">
        <v>1218</v>
      </c>
      <c r="C10" s="8">
        <v>8</v>
      </c>
      <c r="D10" s="5" t="str">
        <f>LRTRIM(CONCATENATE(IF(SUMPRODUCT(-- ISNUMBER(SEARCH({"Auto Number"}, $B10))) &gt; 0, $B10, IF(SUMPRODUCT(-- ISNUMBER(SEARCH({"Lookup","Master-Detail"}, $B10))) &gt; 0,$B10 &amp; "(" &amp; $E10 &amp; ")",IF(SUMPRODUCT(-- ISNUMBER(SEARCH({"Formula","Roll-Up Summary"}, $B10))) &gt; 0,$B10 &amp; " (" &amp; $E10 &amp; ")",IF(SUMPRODUCT(-- ISNUMBER(SEARCH({"Content","Currency","Number","Percent","Text","URL"}, $B10))) &gt; 0,$B10 &amp; "(" &amp; $C10 &amp; ")",$B10)))), "  ", TRIM(IF($S10 = "YES", "(External ID)", "") &amp; " " &amp; IF(SUMPRODUCT(-- ISNUMBER(SEARCH({"Unique","Unique Case Insensitive"}, $R10))) &gt; 0, "(" &amp; $R10 &amp; ")", ""))))</f>
        <v>Text(8)</v>
      </c>
      <c r="E10" s="7" t="s">
        <v>195</v>
      </c>
      <c r="F10" s="7" t="s">
        <v>242</v>
      </c>
      <c r="G10" s="7" t="s">
        <v>257</v>
      </c>
      <c r="H10" s="7" t="s">
        <v>195</v>
      </c>
      <c r="I10" s="7" t="s">
        <v>195</v>
      </c>
      <c r="J10" s="7" t="s">
        <v>195</v>
      </c>
      <c r="K10" s="7" t="s">
        <v>195</v>
      </c>
      <c r="L10" s="7" t="s">
        <v>195</v>
      </c>
      <c r="M10" s="7" t="s">
        <v>29</v>
      </c>
      <c r="N10" s="7" t="s">
        <v>29</v>
      </c>
      <c r="O10" s="7" t="s">
        <v>29</v>
      </c>
      <c r="P10" s="7" t="s">
        <v>29</v>
      </c>
      <c r="Q10" s="7" t="s">
        <v>29</v>
      </c>
      <c r="R10" s="7" t="s">
        <v>29</v>
      </c>
      <c r="S10" s="7" t="s">
        <v>29</v>
      </c>
    </row>
    <row r="11" spans="1:19">
      <c r="A11" s="7" t="s">
        <v>226</v>
      </c>
      <c r="B11" s="7" t="s">
        <v>1215</v>
      </c>
      <c r="C11" s="8">
        <v>255</v>
      </c>
      <c r="D11" s="5" t="str">
        <f>LRTRIM(CONCATENATE(IF(SUMPRODUCT(-- ISNUMBER(SEARCH({"Auto Number"}, $B11))) &gt; 0, $B11, IF(SUMPRODUCT(-- ISNUMBER(SEARCH({"Lookup","Master-Detail"}, $B11))) &gt; 0,$B11 &amp; "(" &amp; $E11 &amp; ")",IF(SUMPRODUCT(-- ISNUMBER(SEARCH({"Formula","Roll-Up Summary"}, $B11))) &gt; 0,$B11 &amp; " (" &amp; $E11 &amp; ")",IF(SUMPRODUCT(-- ISNUMBER(SEARCH({"Content","Currency","Number","Percent","Text","URL"}, $B11))) &gt; 0,$B11 &amp; "(" &amp; $C11 &amp; ")",$B11)))), "  ", TRIM(IF($S11 = "YES", "(External ID)", "") &amp; " " &amp; IF(SUMPRODUCT(-- ISNUMBER(SEARCH({"Unique","Unique Case Insensitive"}, $R11))) &gt; 0, "(" &amp; $R11 &amp; ")", ""))))</f>
        <v>Picklist</v>
      </c>
      <c r="E11" s="7" t="s">
        <v>195</v>
      </c>
      <c r="F11" s="7" t="s">
        <v>243</v>
      </c>
      <c r="G11" s="7" t="s">
        <v>258</v>
      </c>
      <c r="H11" s="7" t="s">
        <v>195</v>
      </c>
      <c r="I11" s="7" t="s">
        <v>1295</v>
      </c>
      <c r="J11" s="7" t="s">
        <v>1298</v>
      </c>
      <c r="K11" s="7" t="s">
        <v>195</v>
      </c>
      <c r="L11" s="7" t="s">
        <v>195</v>
      </c>
      <c r="M11" s="7" t="s">
        <v>29</v>
      </c>
      <c r="N11" s="7" t="s">
        <v>29</v>
      </c>
      <c r="O11" s="7" t="s">
        <v>29</v>
      </c>
      <c r="P11" s="7" t="s">
        <v>29</v>
      </c>
      <c r="Q11" s="7" t="s">
        <v>29</v>
      </c>
      <c r="R11" s="7" t="s">
        <v>29</v>
      </c>
      <c r="S11" s="7" t="s">
        <v>29</v>
      </c>
    </row>
    <row r="12" spans="1:19">
      <c r="A12" s="7" t="s">
        <v>1421</v>
      </c>
      <c r="B12" s="7" t="s">
        <v>1218</v>
      </c>
      <c r="C12" s="8">
        <v>50</v>
      </c>
      <c r="D12" s="5" t="str">
        <f>LRTRIM(CONCATENATE(IF(SUMPRODUCT(-- ISNUMBER(SEARCH({"Auto Number"}, $B12))) &gt; 0, $B12, IF(SUMPRODUCT(-- ISNUMBER(SEARCH({"Lookup","Master-Detail"}, $B12))) &gt; 0,$B12 &amp; "(" &amp; $E12 &amp; ")",IF(SUMPRODUCT(-- ISNUMBER(SEARCH({"Formula","Roll-Up Summary"}, $B12))) &gt; 0,$B12 &amp; " (" &amp; $E12 &amp; ")",IF(SUMPRODUCT(-- ISNUMBER(SEARCH({"Content","Currency","Number","Percent","Text","URL"}, $B12))) &gt; 0,$B12 &amp; "(" &amp; $C12 &amp; ")",$B12)))), "  ", TRIM(IF($S12 = "YES", "(External ID)", "") &amp; " " &amp; IF(SUMPRODUCT(-- ISNUMBER(SEARCH({"Unique","Unique Case Insensitive"}, $R12))) &gt; 0, "(" &amp; $R12 &amp; ")", ""))))</f>
        <v>Text(50)</v>
      </c>
      <c r="E12" s="7" t="s">
        <v>195</v>
      </c>
      <c r="F12" s="7" t="s">
        <v>1438</v>
      </c>
      <c r="G12" s="7" t="s">
        <v>195</v>
      </c>
      <c r="H12" s="7" t="s">
        <v>195</v>
      </c>
      <c r="I12" s="7" t="s">
        <v>195</v>
      </c>
      <c r="J12" s="7" t="s">
        <v>195</v>
      </c>
      <c r="K12" s="7" t="s">
        <v>195</v>
      </c>
      <c r="L12" s="7" t="s">
        <v>195</v>
      </c>
      <c r="M12" s="7" t="s">
        <v>29</v>
      </c>
      <c r="N12" s="7" t="s">
        <v>29</v>
      </c>
      <c r="O12" s="7" t="s">
        <v>29</v>
      </c>
      <c r="P12" s="7" t="s">
        <v>29</v>
      </c>
      <c r="Q12" s="7" t="s">
        <v>29</v>
      </c>
      <c r="R12" s="7" t="s">
        <v>29</v>
      </c>
      <c r="S12" s="7" t="s">
        <v>29</v>
      </c>
    </row>
    <row r="13" spans="1:19">
      <c r="A13" s="7" t="s">
        <v>1336</v>
      </c>
      <c r="B13" s="7" t="s">
        <v>1213</v>
      </c>
      <c r="C13" s="8" t="s">
        <v>1250</v>
      </c>
      <c r="D13" s="5" t="str">
        <f>LRTRIM(CONCATENATE(IF(SUMPRODUCT(-- ISNUMBER(SEARCH({"Auto Number"}, $B13))) &gt; 0, $B13, IF(SUMPRODUCT(-- ISNUMBER(SEARCH({"Lookup","Master-Detail"}, $B13))) &gt; 0,$B13 &amp; "(" &amp; $E13 &amp; ")",IF(SUMPRODUCT(-- ISNUMBER(SEARCH({"Formula","Roll-Up Summary"}, $B13))) &gt; 0,$B13 &amp; " (" &amp; $E13 &amp; ")",IF(SUMPRODUCT(-- ISNUMBER(SEARCH({"Content","Currency","Number","Percent","Text","URL"}, $B13))) &gt; 0,$B13 &amp; "(" &amp; $C13 &amp; ")",$B13)))), "  ", TRIM(IF($S13 = "YES", "(External ID)", "") &amp; " " &amp; IF(SUMPRODUCT(-- ISNUMBER(SEARCH({"Unique","Unique Case Insensitive"}, $R13))) &gt; 0, "(" &amp; $R13 &amp; ")", ""))))</f>
        <v>Number(18, 0)</v>
      </c>
      <c r="E13" s="7" t="s">
        <v>195</v>
      </c>
      <c r="F13" s="7" t="s">
        <v>1345</v>
      </c>
      <c r="G13" s="7" t="s">
        <v>1354</v>
      </c>
      <c r="H13" s="7" t="s">
        <v>195</v>
      </c>
      <c r="I13" s="7" t="s">
        <v>195</v>
      </c>
      <c r="J13" s="7" t="s">
        <v>195</v>
      </c>
      <c r="K13" s="7" t="s">
        <v>195</v>
      </c>
      <c r="L13" s="7" t="s">
        <v>195</v>
      </c>
      <c r="M13" s="7" t="s">
        <v>29</v>
      </c>
      <c r="N13" s="7" t="s">
        <v>29</v>
      </c>
      <c r="O13" s="7" t="s">
        <v>29</v>
      </c>
      <c r="P13" s="7" t="s">
        <v>29</v>
      </c>
      <c r="Q13" s="7" t="s">
        <v>29</v>
      </c>
      <c r="R13" s="7" t="s">
        <v>29</v>
      </c>
      <c r="S13" s="7" t="s">
        <v>29</v>
      </c>
    </row>
    <row r="14" spans="1:19">
      <c r="A14" s="7" t="s">
        <v>1403</v>
      </c>
      <c r="B14" s="7" t="s">
        <v>1204</v>
      </c>
      <c r="C14" s="8">
        <v>0</v>
      </c>
      <c r="D14" s="5" t="str">
        <f>LRTRIM(CONCATENATE(IF(SUMPRODUCT(-- ISNUMBER(SEARCH({"Auto Number"}, $B14))) &gt; 0, $B14, IF(SUMPRODUCT(-- ISNUMBER(SEARCH({"Lookup","Master-Detail"}, $B14))) &gt; 0,$B14 &amp; "(" &amp; $E14 &amp; ")",IF(SUMPRODUCT(-- ISNUMBER(SEARCH({"Formula","Roll-Up Summary"}, $B14))) &gt; 0,$B14 &amp; " (" &amp; $E14 &amp; ")",IF(SUMPRODUCT(-- ISNUMBER(SEARCH({"Content","Currency","Number","Percent","Text","URL"}, $B14))) &gt; 0,$B14 &amp; "(" &amp; $C14 &amp; ")",$B14)))), "  ", TRIM(IF($S14 = "YES", "(External ID)", "") &amp; " " &amp; IF(SUMPRODUCT(-- ISNUMBER(SEARCH({"Unique","Unique Case Insensitive"}, $R14))) &gt; 0, "(" &amp; $R14 &amp; ")", ""))))</f>
        <v>Checkbox</v>
      </c>
      <c r="E14" s="7" t="s">
        <v>195</v>
      </c>
      <c r="F14" s="7" t="s">
        <v>244</v>
      </c>
      <c r="G14" s="7" t="s">
        <v>1444</v>
      </c>
      <c r="H14" s="7" t="s">
        <v>195</v>
      </c>
      <c r="I14" s="7" t="s">
        <v>195</v>
      </c>
      <c r="J14" s="7" t="s">
        <v>195</v>
      </c>
      <c r="K14" s="7" t="s">
        <v>195</v>
      </c>
      <c r="L14" s="7" t="s">
        <v>195</v>
      </c>
      <c r="M14" s="7" t="s">
        <v>28</v>
      </c>
      <c r="N14" s="7" t="s">
        <v>29</v>
      </c>
      <c r="O14" s="7" t="s">
        <v>29</v>
      </c>
      <c r="P14" s="7" t="s">
        <v>29</v>
      </c>
      <c r="Q14" s="7" t="s">
        <v>29</v>
      </c>
      <c r="R14" s="7" t="s">
        <v>29</v>
      </c>
      <c r="S14" s="7" t="s">
        <v>29</v>
      </c>
    </row>
    <row r="15" spans="1:19">
      <c r="A15" s="7" t="s">
        <v>1411</v>
      </c>
      <c r="B15" s="7" t="s">
        <v>1204</v>
      </c>
      <c r="C15" s="8" t="s">
        <v>195</v>
      </c>
      <c r="D15" s="5" t="str">
        <f>LRTRIM(CONCATENATE(IF(SUMPRODUCT(-- ISNUMBER(SEARCH({"Auto Number"}, $B15))) &gt; 0, $B15, IF(SUMPRODUCT(-- ISNUMBER(SEARCH({"Lookup","Master-Detail"}, $B15))) &gt; 0,$B15 &amp; "(" &amp; $E15 &amp; ")",IF(SUMPRODUCT(-- ISNUMBER(SEARCH({"Formula","Roll-Up Summary"}, $B15))) &gt; 0,$B15 &amp; " (" &amp; $E15 &amp; ")",IF(SUMPRODUCT(-- ISNUMBER(SEARCH({"Content","Currency","Number","Percent","Text","URL"}, $B15))) &gt; 0,$B15 &amp; "(" &amp; $C15 &amp; ")",$B15)))), "  ", TRIM(IF($S15 = "YES", "(External ID)", "") &amp; " " &amp; IF(SUMPRODUCT(-- ISNUMBER(SEARCH({"Unique","Unique Case Insensitive"}, $R15))) &gt; 0, "(" &amp; $R15 &amp; ")", ""))))</f>
        <v>Checkbox</v>
      </c>
      <c r="E15" s="7" t="s">
        <v>195</v>
      </c>
      <c r="F15" s="7" t="s">
        <v>1431</v>
      </c>
      <c r="G15" s="7" t="s">
        <v>1445</v>
      </c>
      <c r="H15" s="7" t="s">
        <v>195</v>
      </c>
      <c r="I15" s="7" t="s">
        <v>195</v>
      </c>
      <c r="J15" s="7" t="s">
        <v>195</v>
      </c>
      <c r="K15" s="7" t="s">
        <v>195</v>
      </c>
      <c r="L15" s="7" t="s">
        <v>195</v>
      </c>
      <c r="M15" s="7" t="s">
        <v>28</v>
      </c>
      <c r="N15" s="7" t="s">
        <v>29</v>
      </c>
      <c r="O15" s="7" t="s">
        <v>29</v>
      </c>
      <c r="P15" s="7" t="s">
        <v>29</v>
      </c>
      <c r="Q15" s="7" t="s">
        <v>29</v>
      </c>
      <c r="R15" s="7" t="s">
        <v>29</v>
      </c>
      <c r="S15" s="7" t="s">
        <v>29</v>
      </c>
    </row>
    <row r="16" spans="1:19">
      <c r="A16" s="7" t="s">
        <v>1418</v>
      </c>
      <c r="B16" s="7" t="s">
        <v>1218</v>
      </c>
      <c r="C16" s="8">
        <v>40</v>
      </c>
      <c r="D16" s="5" t="str">
        <f>LRTRIM(CONCATENATE(IF(SUMPRODUCT(-- ISNUMBER(SEARCH({"Auto Number"}, $B16))) &gt; 0, $B16, IF(SUMPRODUCT(-- ISNUMBER(SEARCH({"Lookup","Master-Detail"}, $B16))) &gt; 0,$B16 &amp; "(" &amp; $E16 &amp; ")",IF(SUMPRODUCT(-- ISNUMBER(SEARCH({"Formula","Roll-Up Summary"}, $B16))) &gt; 0,$B16 &amp; " (" &amp; $E16 &amp; ")",IF(SUMPRODUCT(-- ISNUMBER(SEARCH({"Content","Currency","Number","Percent","Text","URL"}, $B16))) &gt; 0,$B16 &amp; "(" &amp; $C16 &amp; ")",$B16)))), "  ", TRIM(IF($S16 = "YES", "(External ID)", "") &amp; " " &amp; IF(SUMPRODUCT(-- ISNUMBER(SEARCH({"Unique","Unique Case Insensitive"}, $R16))) &gt; 0, "(" &amp; $R16 &amp; ")", ""))))</f>
        <v>Text(40)</v>
      </c>
      <c r="E16" s="7" t="s">
        <v>195</v>
      </c>
      <c r="F16" s="7" t="s">
        <v>564</v>
      </c>
      <c r="G16" s="7" t="s">
        <v>1446</v>
      </c>
      <c r="H16" s="7" t="s">
        <v>195</v>
      </c>
      <c r="I16" s="7" t="s">
        <v>195</v>
      </c>
      <c r="J16" s="7" t="s">
        <v>195</v>
      </c>
      <c r="K16" s="7" t="s">
        <v>195</v>
      </c>
      <c r="L16" s="7" t="s">
        <v>195</v>
      </c>
      <c r="M16" s="7" t="s">
        <v>29</v>
      </c>
      <c r="N16" s="7" t="s">
        <v>29</v>
      </c>
      <c r="O16" s="7" t="s">
        <v>29</v>
      </c>
      <c r="P16" s="7" t="s">
        <v>29</v>
      </c>
      <c r="Q16" s="7" t="s">
        <v>29</v>
      </c>
      <c r="R16" s="7" t="s">
        <v>29</v>
      </c>
      <c r="S16" s="7" t="s">
        <v>29</v>
      </c>
    </row>
    <row r="17" spans="1:19">
      <c r="A17" s="7" t="s">
        <v>1414</v>
      </c>
      <c r="B17" s="7" t="s">
        <v>1218</v>
      </c>
      <c r="C17" s="8">
        <v>40</v>
      </c>
      <c r="D17" s="5" t="str">
        <f>LRTRIM(CONCATENATE(IF(SUMPRODUCT(-- ISNUMBER(SEARCH({"Auto Number"}, $B17))) &gt; 0, $B17, IF(SUMPRODUCT(-- ISNUMBER(SEARCH({"Lookup","Master-Detail"}, $B17))) &gt; 0,$B17 &amp; "(" &amp; $E17 &amp; ")",IF(SUMPRODUCT(-- ISNUMBER(SEARCH({"Formula","Roll-Up Summary"}, $B17))) &gt; 0,$B17 &amp; " (" &amp; $E17 &amp; ")",IF(SUMPRODUCT(-- ISNUMBER(SEARCH({"Content","Currency","Number","Percent","Text","URL"}, $B17))) &gt; 0,$B17 &amp; "(" &amp; $C17 &amp; ")",$B17)))), "  ", TRIM(IF($S17 = "YES", "(External ID)", "") &amp; " " &amp; IF(SUMPRODUCT(-- ISNUMBER(SEARCH({"Unique","Unique Case Insensitive"}, $R17))) &gt; 0, "(" &amp; $R17 &amp; ")", ""))))</f>
        <v>Text(40)</v>
      </c>
      <c r="E17" s="7" t="s">
        <v>195</v>
      </c>
      <c r="F17" s="7" t="s">
        <v>1433</v>
      </c>
      <c r="G17" s="7" t="s">
        <v>1448</v>
      </c>
      <c r="H17" s="7" t="s">
        <v>195</v>
      </c>
      <c r="I17" s="7" t="s">
        <v>195</v>
      </c>
      <c r="J17" s="7" t="s">
        <v>195</v>
      </c>
      <c r="K17" s="7" t="s">
        <v>195</v>
      </c>
      <c r="L17" s="7" t="s">
        <v>195</v>
      </c>
      <c r="M17" s="7" t="s">
        <v>29</v>
      </c>
      <c r="N17" s="7" t="s">
        <v>29</v>
      </c>
      <c r="O17" s="7" t="s">
        <v>29</v>
      </c>
      <c r="P17" s="7" t="s">
        <v>29</v>
      </c>
      <c r="Q17" s="7" t="s">
        <v>29</v>
      </c>
      <c r="R17" s="7" t="s">
        <v>29</v>
      </c>
      <c r="S17" s="7" t="s">
        <v>29</v>
      </c>
    </row>
    <row r="18" spans="1:19">
      <c r="A18" s="7" t="s">
        <v>1415</v>
      </c>
      <c r="B18" s="7" t="s">
        <v>1218</v>
      </c>
      <c r="C18" s="8">
        <v>40</v>
      </c>
      <c r="D18" s="5" t="str">
        <f>LRTRIM(CONCATENATE(IF(SUMPRODUCT(-- ISNUMBER(SEARCH({"Auto Number"}, $B18))) &gt; 0, $B18, IF(SUMPRODUCT(-- ISNUMBER(SEARCH({"Lookup","Master-Detail"}, $B18))) &gt; 0,$B18 &amp; "(" &amp; $E18 &amp; ")",IF(SUMPRODUCT(-- ISNUMBER(SEARCH({"Formula","Roll-Up Summary"}, $B18))) &gt; 0,$B18 &amp; " (" &amp; $E18 &amp; ")",IF(SUMPRODUCT(-- ISNUMBER(SEARCH({"Content","Currency","Number","Percent","Text","URL"}, $B18))) &gt; 0,$B18 &amp; "(" &amp; $C18 &amp; ")",$B18)))), "  ", TRIM(IF($S18 = "YES", "(External ID)", "") &amp; " " &amp; IF(SUMPRODUCT(-- ISNUMBER(SEARCH({"Unique","Unique Case Insensitive"}, $R18))) &gt; 0, "(" &amp; $R18 &amp; ")", ""))))</f>
        <v>Text(40)</v>
      </c>
      <c r="E18" s="7" t="s">
        <v>195</v>
      </c>
      <c r="F18" s="7" t="s">
        <v>1434</v>
      </c>
      <c r="G18" s="7" t="s">
        <v>1447</v>
      </c>
      <c r="H18" s="7" t="s">
        <v>195</v>
      </c>
      <c r="I18" s="7" t="s">
        <v>195</v>
      </c>
      <c r="J18" s="7" t="s">
        <v>195</v>
      </c>
      <c r="K18" s="7" t="s">
        <v>195</v>
      </c>
      <c r="L18" s="7" t="s">
        <v>195</v>
      </c>
      <c r="M18" s="7" t="s">
        <v>29</v>
      </c>
      <c r="N18" s="7" t="s">
        <v>29</v>
      </c>
      <c r="O18" s="7" t="s">
        <v>29</v>
      </c>
      <c r="P18" s="7" t="s">
        <v>29</v>
      </c>
      <c r="Q18" s="7" t="s">
        <v>29</v>
      </c>
      <c r="R18" s="7" t="s">
        <v>29</v>
      </c>
      <c r="S18" s="7" t="s">
        <v>29</v>
      </c>
    </row>
    <row r="19" spans="1:19">
      <c r="A19" s="7" t="s">
        <v>1416</v>
      </c>
      <c r="B19" s="7" t="s">
        <v>1218</v>
      </c>
      <c r="C19" s="8">
        <v>40</v>
      </c>
      <c r="D19" s="5" t="str">
        <f>LRTRIM(CONCATENATE(IF(SUMPRODUCT(-- ISNUMBER(SEARCH({"Auto Number"}, $B19))) &gt; 0, $B19, IF(SUMPRODUCT(-- ISNUMBER(SEARCH({"Lookup","Master-Detail"}, $B19))) &gt; 0,$B19 &amp; "(" &amp; $E19 &amp; ")",IF(SUMPRODUCT(-- ISNUMBER(SEARCH({"Formula","Roll-Up Summary"}, $B19))) &gt; 0,$B19 &amp; " (" &amp; $E19 &amp; ")",IF(SUMPRODUCT(-- ISNUMBER(SEARCH({"Content","Currency","Number","Percent","Text","URL"}, $B19))) &gt; 0,$B19 &amp; "(" &amp; $C19 &amp; ")",$B19)))), "  ", TRIM(IF($S19 = "YES", "(External ID)", "") &amp; " " &amp; IF(SUMPRODUCT(-- ISNUMBER(SEARCH({"Unique","Unique Case Insensitive"}, $R19))) &gt; 0, "(" &amp; $R19 &amp; ")", ""))))</f>
        <v>Text(40)</v>
      </c>
      <c r="E19" s="7" t="s">
        <v>195</v>
      </c>
      <c r="F19" s="7" t="s">
        <v>583</v>
      </c>
      <c r="G19" s="7" t="s">
        <v>1449</v>
      </c>
      <c r="H19" s="7" t="s">
        <v>195</v>
      </c>
      <c r="I19" s="7" t="s">
        <v>195</v>
      </c>
      <c r="J19" s="7" t="s">
        <v>195</v>
      </c>
      <c r="K19" s="7" t="s">
        <v>195</v>
      </c>
      <c r="L19" s="7" t="s">
        <v>195</v>
      </c>
      <c r="M19" s="7" t="s">
        <v>29</v>
      </c>
      <c r="N19" s="7" t="s">
        <v>29</v>
      </c>
      <c r="O19" s="7" t="s">
        <v>29</v>
      </c>
      <c r="P19" s="7" t="s">
        <v>29</v>
      </c>
      <c r="Q19" s="7" t="s">
        <v>29</v>
      </c>
      <c r="R19" s="7" t="s">
        <v>29</v>
      </c>
      <c r="S19" s="7" t="s">
        <v>29</v>
      </c>
    </row>
    <row r="20" spans="1:19">
      <c r="A20" s="7" t="s">
        <v>1419</v>
      </c>
      <c r="B20" s="7" t="s">
        <v>1219</v>
      </c>
      <c r="C20" s="8">
        <v>255</v>
      </c>
      <c r="D20" s="5" t="str">
        <f>LRTRIM(CONCATENATE(IF(SUMPRODUCT(-- ISNUMBER(SEARCH({"Auto Number"}, $B20))) &gt; 0, $B20, IF(SUMPRODUCT(-- ISNUMBER(SEARCH({"Lookup","Master-Detail"}, $B20))) &gt; 0,$B20 &amp; "(" &amp; $E20 &amp; ")",IF(SUMPRODUCT(-- ISNUMBER(SEARCH({"Formula","Roll-Up Summary"}, $B20))) &gt; 0,$B20 &amp; " (" &amp; $E20 &amp; ")",IF(SUMPRODUCT(-- ISNUMBER(SEARCH({"Content","Currency","Number","Percent","Text","URL"}, $B20))) &gt; 0,$B20 &amp; "(" &amp; $C20 &amp; ")",$B20)))), "  ", TRIM(IF($S20 = "YES", "(External ID)", "") &amp; " " &amp; IF(SUMPRODUCT(-- ISNUMBER(SEARCH({"Unique","Unique Case Insensitive"}, $R20))) &gt; 0, "(" &amp; $R20 &amp; ")", ""))))</f>
        <v>URL(255)</v>
      </c>
      <c r="E20" s="7" t="s">
        <v>195</v>
      </c>
      <c r="F20" s="7" t="s">
        <v>101</v>
      </c>
      <c r="G20" s="7" t="s">
        <v>195</v>
      </c>
      <c r="H20" s="7" t="s">
        <v>195</v>
      </c>
      <c r="I20" s="7" t="s">
        <v>195</v>
      </c>
      <c r="J20" s="7" t="s">
        <v>195</v>
      </c>
      <c r="K20" s="7" t="s">
        <v>195</v>
      </c>
      <c r="L20" s="7" t="s">
        <v>195</v>
      </c>
      <c r="M20" s="7" t="s">
        <v>29</v>
      </c>
      <c r="N20" s="7" t="s">
        <v>29</v>
      </c>
      <c r="O20" s="7" t="s">
        <v>29</v>
      </c>
      <c r="P20" s="7" t="s">
        <v>29</v>
      </c>
      <c r="Q20" s="7" t="s">
        <v>29</v>
      </c>
      <c r="R20" s="7" t="s">
        <v>29</v>
      </c>
      <c r="S20" s="7" t="s">
        <v>29</v>
      </c>
    </row>
    <row r="21" spans="1:19">
      <c r="A21" s="7" t="s">
        <v>1417</v>
      </c>
      <c r="B21" s="7" t="s">
        <v>1218</v>
      </c>
      <c r="C21" s="8">
        <v>20</v>
      </c>
      <c r="D21" s="5" t="str">
        <f>LRTRIM(CONCATENATE(IF(SUMPRODUCT(-- ISNUMBER(SEARCH({"Auto Number"}, $B21))) &gt; 0, $B21, IF(SUMPRODUCT(-- ISNUMBER(SEARCH({"Lookup","Master-Detail"}, $B21))) &gt; 0,$B21 &amp; "(" &amp; $E21 &amp; ")",IF(SUMPRODUCT(-- ISNUMBER(SEARCH({"Formula","Roll-Up Summary"}, $B21))) &gt; 0,$B21 &amp; " (" &amp; $E21 &amp; ")",IF(SUMPRODUCT(-- ISNUMBER(SEARCH({"Content","Currency","Number","Percent","Text","URL"}, $B21))) &gt; 0,$B21 &amp; "(" &amp; $C21 &amp; ")",$B21)))), "  ", TRIM(IF($S21 = "YES", "(External ID)", "") &amp; " " &amp; IF(SUMPRODUCT(-- ISNUMBER(SEARCH({"Unique","Unique Case Insensitive"}, $R21))) &gt; 0, "(" &amp; $R21 &amp; ")", ""))))</f>
        <v>Text(20)</v>
      </c>
      <c r="E21" s="7" t="s">
        <v>195</v>
      </c>
      <c r="F21" s="7" t="s">
        <v>1435</v>
      </c>
      <c r="G21" s="7" t="s">
        <v>1450</v>
      </c>
      <c r="H21" s="7" t="s">
        <v>195</v>
      </c>
      <c r="I21" s="7" t="s">
        <v>195</v>
      </c>
      <c r="J21" s="7" t="s">
        <v>195</v>
      </c>
      <c r="K21" s="7" t="s">
        <v>195</v>
      </c>
      <c r="L21" s="7" t="s">
        <v>195</v>
      </c>
      <c r="M21" s="7" t="s">
        <v>29</v>
      </c>
      <c r="N21" s="7" t="s">
        <v>29</v>
      </c>
      <c r="O21" s="7" t="s">
        <v>29</v>
      </c>
      <c r="P21" s="7" t="s">
        <v>29</v>
      </c>
      <c r="Q21" s="7" t="s">
        <v>29</v>
      </c>
      <c r="R21" s="7" t="s">
        <v>29</v>
      </c>
      <c r="S21" s="7" t="s">
        <v>29</v>
      </c>
    </row>
    <row r="22" spans="1:19">
      <c r="A22" s="7" t="s">
        <v>2</v>
      </c>
      <c r="B22" s="7" t="s">
        <v>1218</v>
      </c>
      <c r="C22" s="8">
        <v>80</v>
      </c>
      <c r="D22" s="5" t="str">
        <f>LRTRIM(CONCATENATE(IF(SUMPRODUCT(-- ISNUMBER(SEARCH({"Auto Number"}, $B22))) &gt; 0, $B22, IF(SUMPRODUCT(-- ISNUMBER(SEARCH({"Lookup","Master-Detail"}, $B22))) &gt; 0,$B22 &amp; "(" &amp; $E22 &amp; ")",IF(SUMPRODUCT(-- ISNUMBER(SEARCH({"Formula","Roll-Up Summary"}, $B22))) &gt; 0,$B22 &amp; " (" &amp; $E22 &amp; ")",IF(SUMPRODUCT(-- ISNUMBER(SEARCH({"Content","Currency","Number","Percent","Text","URL"}, $B22))) &gt; 0,$B22 &amp; "(" &amp; $C22 &amp; ")",$B22)))), "  ", TRIM(IF($S22 = "YES", "(External ID)", "") &amp; " " &amp; IF(SUMPRODUCT(-- ISNUMBER(SEARCH({"Unique","Unique Case Insensitive"}, $R22))) &gt; 0, "(" &amp; $R22 &amp; ")", ""))))</f>
        <v>Text(80)</v>
      </c>
      <c r="E22" s="7" t="s">
        <v>195</v>
      </c>
      <c r="F22" s="7" t="s">
        <v>245</v>
      </c>
      <c r="G22" s="7" t="s">
        <v>195</v>
      </c>
      <c r="H22" s="7" t="s">
        <v>195</v>
      </c>
      <c r="I22" s="7" t="s">
        <v>195</v>
      </c>
      <c r="J22" s="7" t="s">
        <v>195</v>
      </c>
      <c r="K22" s="7" t="s">
        <v>195</v>
      </c>
      <c r="L22" s="7" t="s">
        <v>195</v>
      </c>
      <c r="M22" s="7" t="s">
        <v>28</v>
      </c>
      <c r="N22" s="7" t="s">
        <v>29</v>
      </c>
      <c r="O22" s="7" t="s">
        <v>29</v>
      </c>
      <c r="P22" s="7" t="s">
        <v>29</v>
      </c>
      <c r="Q22" s="7" t="s">
        <v>29</v>
      </c>
      <c r="R22" s="7" t="s">
        <v>29</v>
      </c>
      <c r="S22" s="7" t="s">
        <v>29</v>
      </c>
    </row>
    <row r="23" spans="1:19">
      <c r="A23" s="7" t="s">
        <v>1412</v>
      </c>
      <c r="B23" s="7" t="s">
        <v>1204</v>
      </c>
      <c r="C23" s="8" t="s">
        <v>195</v>
      </c>
      <c r="D23" s="5" t="str">
        <f>LRTRIM(CONCATENATE(IF(SUMPRODUCT(-- ISNUMBER(SEARCH({"Auto Number"}, $B23))) &gt; 0, $B23, IF(SUMPRODUCT(-- ISNUMBER(SEARCH({"Lookup","Master-Detail"}, $B23))) &gt; 0,$B23 &amp; "(" &amp; $E23 &amp; ")",IF(SUMPRODUCT(-- ISNUMBER(SEARCH({"Formula","Roll-Up Summary"}, $B23))) &gt; 0,$B23 &amp; " (" &amp; $E23 &amp; ")",IF(SUMPRODUCT(-- ISNUMBER(SEARCH({"Content","Currency","Number","Percent","Text","URL"}, $B23))) &gt; 0,$B23 &amp; "(" &amp; $C23 &amp; ")",$B23)))), "  ", TRIM(IF($S23 = "YES", "(External ID)", "") &amp; " " &amp; IF(SUMPRODUCT(-- ISNUMBER(SEARCH({"Unique","Unique Case Insensitive"}, $R23))) &gt; 0, "(" &amp; $R23 &amp; ")", ""))))</f>
        <v>Checkbox</v>
      </c>
      <c r="E23" s="7" t="s">
        <v>195</v>
      </c>
      <c r="F23" s="7" t="s">
        <v>1432</v>
      </c>
      <c r="G23" s="7" t="s">
        <v>195</v>
      </c>
      <c r="H23" s="7" t="s">
        <v>195</v>
      </c>
      <c r="I23" s="7" t="s">
        <v>195</v>
      </c>
      <c r="J23" s="7" t="s">
        <v>195</v>
      </c>
      <c r="K23" s="7" t="s">
        <v>195</v>
      </c>
      <c r="L23" s="7" t="s">
        <v>195</v>
      </c>
      <c r="M23" s="7" t="s">
        <v>28</v>
      </c>
      <c r="N23" s="7" t="s">
        <v>29</v>
      </c>
      <c r="O23" s="7" t="s">
        <v>29</v>
      </c>
      <c r="P23" s="7" t="s">
        <v>29</v>
      </c>
      <c r="Q23" s="7" t="s">
        <v>29</v>
      </c>
      <c r="R23" s="7" t="s">
        <v>29</v>
      </c>
      <c r="S23" s="7" t="s">
        <v>29</v>
      </c>
    </row>
    <row r="24" spans="1:19">
      <c r="A24" s="7" t="s">
        <v>87</v>
      </c>
      <c r="B24" s="7" t="s">
        <v>1211</v>
      </c>
      <c r="C24" s="8">
        <v>18</v>
      </c>
      <c r="D24" s="5" t="str">
        <f>LRTRIM(CONCATENATE(IF(SUMPRODUCT(-- ISNUMBER(SEARCH({"Auto Number"}, $B24))) &gt; 0, $B24, IF(SUMPRODUCT(-- ISNUMBER(SEARCH({"Lookup","Master-Detail"}, $B24))) &gt; 0,$B24 &amp; "(" &amp; $E24 &amp; ")",IF(SUMPRODUCT(-- ISNUMBER(SEARCH({"Formula","Roll-Up Summary"}, $B24))) &gt; 0,$B24 &amp; " (" &amp; $E24 &amp; ")",IF(SUMPRODUCT(-- ISNUMBER(SEARCH({"Content","Currency","Number","Percent","Text","URL"}, $B24))) &gt; 0,$B24 &amp; "(" &amp; $C24 &amp; ")",$B24)))), "  ", TRIM(IF($S24 = "YES", "(External ID)", "") &amp; " " &amp; IF(SUMPRODUCT(-- ISNUMBER(SEARCH({"Unique","Unique Case Insensitive"}, $R24))) &gt; 0, "(" &amp; $R24 &amp; ")", ""))))</f>
        <v>Lookup(User)</v>
      </c>
      <c r="E24" s="7" t="s">
        <v>7</v>
      </c>
      <c r="F24" s="7" t="s">
        <v>246</v>
      </c>
      <c r="G24" s="7" t="s">
        <v>195</v>
      </c>
      <c r="H24" s="7" t="s">
        <v>195</v>
      </c>
      <c r="I24" s="7" t="s">
        <v>195</v>
      </c>
      <c r="J24" s="7" t="s">
        <v>195</v>
      </c>
      <c r="K24" s="7" t="s">
        <v>195</v>
      </c>
      <c r="L24" s="7" t="s">
        <v>195</v>
      </c>
      <c r="M24" s="7" t="s">
        <v>28</v>
      </c>
      <c r="N24" s="7" t="s">
        <v>29</v>
      </c>
      <c r="O24" s="7" t="s">
        <v>29</v>
      </c>
      <c r="P24" s="7" t="s">
        <v>29</v>
      </c>
      <c r="Q24" s="7" t="s">
        <v>29</v>
      </c>
      <c r="R24" s="7" t="s">
        <v>29</v>
      </c>
      <c r="S24" s="7" t="s">
        <v>29</v>
      </c>
    </row>
    <row r="25" spans="1:19">
      <c r="A25" s="7" t="s">
        <v>1404</v>
      </c>
      <c r="B25" s="7" t="s">
        <v>1213</v>
      </c>
      <c r="C25" s="8" t="s">
        <v>1382</v>
      </c>
      <c r="D25" s="5" t="str">
        <f>LRTRIM(CONCATENATE(IF(SUMPRODUCT(-- ISNUMBER(SEARCH({"Auto Number"}, $B25))) &gt; 0, $B25, IF(SUMPRODUCT(-- ISNUMBER(SEARCH({"Lookup","Master-Detail"}, $B25))) &gt; 0,$B25 &amp; "(" &amp; $E25 &amp; ")",IF(SUMPRODUCT(-- ISNUMBER(SEARCH({"Formula","Roll-Up Summary"}, $B25))) &gt; 0,$B25 &amp; " (" &amp; $E25 &amp; ")",IF(SUMPRODUCT(-- ISNUMBER(SEARCH({"Content","Currency","Number","Percent","Text","URL"}, $B25))) &gt; 0,$B25 &amp; "(" &amp; $C25 &amp; ")",$B25)))), "  ", TRIM(IF($S25 = "YES", "(External ID)", "") &amp; " " &amp; IF(SUMPRODUCT(-- ISNUMBER(SEARCH({"Unique","Unique Case Insensitive"}, $R25))) &gt; 0, "(" &amp; $R25 &amp; ")", ""))))</f>
        <v>Number(3, 0)</v>
      </c>
      <c r="E25" s="7" t="s">
        <v>195</v>
      </c>
      <c r="F25" s="7" t="s">
        <v>247</v>
      </c>
      <c r="G25" s="7" t="s">
        <v>1455</v>
      </c>
      <c r="H25" s="7" t="s">
        <v>195</v>
      </c>
      <c r="I25" s="7" t="s">
        <v>195</v>
      </c>
      <c r="J25" s="7" t="s">
        <v>195</v>
      </c>
      <c r="K25" s="7" t="s">
        <v>195</v>
      </c>
      <c r="L25" s="7" t="s">
        <v>195</v>
      </c>
      <c r="M25" s="7" t="s">
        <v>29</v>
      </c>
      <c r="N25" s="7" t="s">
        <v>29</v>
      </c>
      <c r="O25" s="7" t="s">
        <v>29</v>
      </c>
      <c r="P25" s="7" t="s">
        <v>29</v>
      </c>
      <c r="Q25" s="7" t="s">
        <v>29</v>
      </c>
      <c r="R25" s="7" t="s">
        <v>29</v>
      </c>
      <c r="S25" s="7" t="s">
        <v>29</v>
      </c>
    </row>
    <row r="26" spans="1:19">
      <c r="A26" s="7" t="s">
        <v>1338</v>
      </c>
      <c r="B26" s="7" t="s">
        <v>1219</v>
      </c>
      <c r="C26" s="8">
        <v>255</v>
      </c>
      <c r="D26" s="5" t="str">
        <f>LRTRIM(CONCATENATE(IF(SUMPRODUCT(-- ISNUMBER(SEARCH({"Auto Number"}, $B26))) &gt; 0, $B26, IF(SUMPRODUCT(-- ISNUMBER(SEARCH({"Lookup","Master-Detail"}, $B26))) &gt; 0,$B26 &amp; "(" &amp; $E26 &amp; ")",IF(SUMPRODUCT(-- ISNUMBER(SEARCH({"Formula","Roll-Up Summary"}, $B26))) &gt; 0,$B26 &amp; " (" &amp; $E26 &amp; ")",IF(SUMPRODUCT(-- ISNUMBER(SEARCH({"Content","Currency","Number","Percent","Text","URL"}, $B26))) &gt; 0,$B26 &amp; "(" &amp; $C26 &amp; ")",$B26)))), "  ", TRIM(IF($S26 = "YES", "(External ID)", "") &amp; " " &amp; IF(SUMPRODUCT(-- ISNUMBER(SEARCH({"Unique","Unique Case Insensitive"}, $R26))) &gt; 0, "(" &amp; $R26 &amp; ")", ""))))</f>
        <v>URL(255)</v>
      </c>
      <c r="E26" s="7" t="s">
        <v>195</v>
      </c>
      <c r="F26" s="7" t="s">
        <v>1348</v>
      </c>
      <c r="G26" s="7" t="s">
        <v>1451</v>
      </c>
      <c r="H26" s="7" t="s">
        <v>195</v>
      </c>
      <c r="I26" s="7" t="s">
        <v>195</v>
      </c>
      <c r="J26" s="7" t="s">
        <v>195</v>
      </c>
      <c r="K26" s="7" t="s">
        <v>195</v>
      </c>
      <c r="L26" s="7" t="s">
        <v>195</v>
      </c>
      <c r="M26" s="7" t="s">
        <v>29</v>
      </c>
      <c r="N26" s="7" t="s">
        <v>29</v>
      </c>
      <c r="O26" s="7" t="s">
        <v>29</v>
      </c>
      <c r="P26" s="7" t="s">
        <v>29</v>
      </c>
      <c r="Q26" s="7" t="s">
        <v>29</v>
      </c>
      <c r="R26" s="7" t="s">
        <v>29</v>
      </c>
      <c r="S26" s="7" t="s">
        <v>29</v>
      </c>
    </row>
    <row r="27" spans="1:19">
      <c r="A27" s="7" t="s">
        <v>1420</v>
      </c>
      <c r="B27" s="7" t="s">
        <v>1219</v>
      </c>
      <c r="C27" s="8">
        <v>255</v>
      </c>
      <c r="D27" s="5" t="str">
        <f>LRTRIM(CONCATENATE(IF(SUMPRODUCT(-- ISNUMBER(SEARCH({"Auto Number"}, $B27))) &gt; 0, $B27, IF(SUMPRODUCT(-- ISNUMBER(SEARCH({"Lookup","Master-Detail"}, $B27))) &gt; 0,$B27 &amp; "(" &amp; $E27 &amp; ")",IF(SUMPRODUCT(-- ISNUMBER(SEARCH({"Formula","Roll-Up Summary"}, $B27))) &gt; 0,$B27 &amp; " (" &amp; $E27 &amp; ")",IF(SUMPRODUCT(-- ISNUMBER(SEARCH({"Content","Currency","Number","Percent","Text","URL"}, $B27))) &gt; 0,$B27 &amp; "(" &amp; $C27 &amp; ")",$B27)))), "  ", TRIM(IF($S27 = "YES", "(External ID)", "") &amp; " " &amp; IF(SUMPRODUCT(-- ISNUMBER(SEARCH({"Unique","Unique Case Insensitive"}, $R27))) &gt; 0, "(" &amp; $R27 &amp; ")", ""))))</f>
        <v>URL(255)</v>
      </c>
      <c r="E27" s="7" t="s">
        <v>195</v>
      </c>
      <c r="F27" s="7" t="s">
        <v>1436</v>
      </c>
      <c r="G27" s="7" t="s">
        <v>1452</v>
      </c>
      <c r="H27" s="7" t="s">
        <v>195</v>
      </c>
      <c r="I27" s="7" t="s">
        <v>195</v>
      </c>
      <c r="J27" s="7" t="s">
        <v>195</v>
      </c>
      <c r="K27" s="7" t="s">
        <v>195</v>
      </c>
      <c r="L27" s="7" t="s">
        <v>195</v>
      </c>
      <c r="M27" s="7" t="s">
        <v>29</v>
      </c>
      <c r="N27" s="7" t="s">
        <v>29</v>
      </c>
      <c r="O27" s="7" t="s">
        <v>29</v>
      </c>
      <c r="P27" s="7" t="s">
        <v>29</v>
      </c>
      <c r="Q27" s="7" t="s">
        <v>29</v>
      </c>
      <c r="R27" s="7" t="s">
        <v>29</v>
      </c>
      <c r="S27" s="7" t="s">
        <v>29</v>
      </c>
    </row>
    <row r="28" spans="1:19">
      <c r="A28" s="7" t="s">
        <v>229</v>
      </c>
      <c r="B28" s="7" t="s">
        <v>1209</v>
      </c>
      <c r="C28" s="8">
        <v>1300</v>
      </c>
      <c r="D28" s="5" t="str">
        <f>LRTRIM(CONCATENATE(IF(SUMPRODUCT(-- ISNUMBER(SEARCH({"Auto Number"}, $B28))) &gt; 0, $B28, IF(SUMPRODUCT(-- ISNUMBER(SEARCH({"Lookup","Master-Detail"}, $B28))) &gt; 0,$B28 &amp; "(" &amp; $E28 &amp; ")",IF(SUMPRODUCT(-- ISNUMBER(SEARCH({"Formula","Roll-Up Summary"}, $B28))) &gt; 0,$B28 &amp; " (" &amp; $E28 &amp; ")",IF(SUMPRODUCT(-- ISNUMBER(SEARCH({"Content","Currency","Number","Percent","Text","URL"}, $B28))) &gt; 0,$B28 &amp; "(" &amp; $C28 &amp; ")",$B28)))), "  ", TRIM(IF($S28 = "YES", "(External ID)", "") &amp; " " &amp; IF(SUMPRODUCT(-- ISNUMBER(SEARCH({"Unique","Unique Case Insensitive"}, $R28))) &gt; 0, "(" &amp; $R28 &amp; ")", ""))))</f>
        <v>Formula (Text)</v>
      </c>
      <c r="E28" s="7" t="s">
        <v>1218</v>
      </c>
      <c r="F28" s="7" t="s">
        <v>248</v>
      </c>
      <c r="G28" s="7" t="s">
        <v>248</v>
      </c>
      <c r="H28" s="7" t="s">
        <v>195</v>
      </c>
      <c r="I28" s="7" t="s">
        <v>195</v>
      </c>
      <c r="J28" s="7" t="s">
        <v>195</v>
      </c>
      <c r="K28" s="7" t="s">
        <v>195</v>
      </c>
      <c r="L28" s="7" t="s">
        <v>195</v>
      </c>
      <c r="M28" s="7" t="s">
        <v>29</v>
      </c>
      <c r="N28" s="7" t="s">
        <v>29</v>
      </c>
      <c r="O28" s="7" t="s">
        <v>29</v>
      </c>
      <c r="P28" s="7" t="s">
        <v>29</v>
      </c>
      <c r="Q28" s="7" t="s">
        <v>29</v>
      </c>
      <c r="R28" s="7" t="s">
        <v>29</v>
      </c>
      <c r="S28" s="7" t="s">
        <v>29</v>
      </c>
    </row>
    <row r="29" spans="1:19">
      <c r="A29" s="7" t="s">
        <v>230</v>
      </c>
      <c r="B29" s="7" t="s">
        <v>1209</v>
      </c>
      <c r="C29" s="8">
        <v>1300</v>
      </c>
      <c r="D29" s="5" t="str">
        <f>LRTRIM(CONCATENATE(IF(SUMPRODUCT(-- ISNUMBER(SEARCH({"Auto Number"}, $B29))) &gt; 0, $B29, IF(SUMPRODUCT(-- ISNUMBER(SEARCH({"Lookup","Master-Detail"}, $B29))) &gt; 0,$B29 &amp; "(" &amp; $E29 &amp; ")",IF(SUMPRODUCT(-- ISNUMBER(SEARCH({"Formula","Roll-Up Summary"}, $B29))) &gt; 0,$B29 &amp; " (" &amp; $E29 &amp; ")",IF(SUMPRODUCT(-- ISNUMBER(SEARCH({"Content","Currency","Number","Percent","Text","URL"}, $B29))) &gt; 0,$B29 &amp; "(" &amp; $C29 &amp; ")",$B29)))), "  ", TRIM(IF($S29 = "YES", "(External ID)", "") &amp; " " &amp; IF(SUMPRODUCT(-- ISNUMBER(SEARCH({"Unique","Unique Case Insensitive"}, $R29))) &gt; 0, "(" &amp; $R29 &amp; ")", ""))))</f>
        <v>Formula (Text)</v>
      </c>
      <c r="E29" s="7" t="s">
        <v>1218</v>
      </c>
      <c r="F29" s="7" t="s">
        <v>249</v>
      </c>
      <c r="G29" s="7" t="s">
        <v>260</v>
      </c>
      <c r="H29" s="7" t="s">
        <v>195</v>
      </c>
      <c r="I29" s="7" t="s">
        <v>195</v>
      </c>
      <c r="J29" s="7" t="s">
        <v>195</v>
      </c>
      <c r="K29" s="7" t="s">
        <v>195</v>
      </c>
      <c r="L29" s="7" t="s">
        <v>195</v>
      </c>
      <c r="M29" s="7" t="s">
        <v>29</v>
      </c>
      <c r="N29" s="7" t="s">
        <v>29</v>
      </c>
      <c r="O29" s="7" t="s">
        <v>29</v>
      </c>
      <c r="P29" s="7" t="s">
        <v>29</v>
      </c>
      <c r="Q29" s="7" t="s">
        <v>29</v>
      </c>
      <c r="R29" s="7" t="s">
        <v>29</v>
      </c>
      <c r="S29" s="7" t="s">
        <v>29</v>
      </c>
    </row>
    <row r="30" spans="1:19">
      <c r="A30" s="7" t="s">
        <v>231</v>
      </c>
      <c r="B30" s="7" t="s">
        <v>1209</v>
      </c>
      <c r="C30" s="8">
        <v>1300</v>
      </c>
      <c r="D30" s="5" t="str">
        <f>LRTRIM(CONCATENATE(IF(SUMPRODUCT(-- ISNUMBER(SEARCH({"Auto Number"}, $B30))) &gt; 0, $B30, IF(SUMPRODUCT(-- ISNUMBER(SEARCH({"Lookup","Master-Detail"}, $B30))) &gt; 0,$B30 &amp; "(" &amp; $E30 &amp; ")",IF(SUMPRODUCT(-- ISNUMBER(SEARCH({"Formula","Roll-Up Summary"}, $B30))) &gt; 0,$B30 &amp; " (" &amp; $E30 &amp; ")",IF(SUMPRODUCT(-- ISNUMBER(SEARCH({"Content","Currency","Number","Percent","Text","URL"}, $B30))) &gt; 0,$B30 &amp; "(" &amp; $C30 &amp; ")",$B30)))), "  ", TRIM(IF($S30 = "YES", "(External ID)", "") &amp; " " &amp; IF(SUMPRODUCT(-- ISNUMBER(SEARCH({"Unique","Unique Case Insensitive"}, $R30))) &gt; 0, "(" &amp; $R30 &amp; ")", ""))))</f>
        <v>Formula (Text)</v>
      </c>
      <c r="E30" s="7" t="s">
        <v>1218</v>
      </c>
      <c r="F30" s="7" t="s">
        <v>250</v>
      </c>
      <c r="G30" s="7" t="s">
        <v>274</v>
      </c>
      <c r="H30" s="7" t="s">
        <v>195</v>
      </c>
      <c r="I30" s="7" t="s">
        <v>195</v>
      </c>
      <c r="J30" s="7" t="s">
        <v>195</v>
      </c>
      <c r="K30" s="7" t="s">
        <v>195</v>
      </c>
      <c r="L30" s="7" t="s">
        <v>195</v>
      </c>
      <c r="M30" s="7" t="s">
        <v>29</v>
      </c>
      <c r="N30" s="7" t="s">
        <v>29</v>
      </c>
      <c r="O30" s="7" t="s">
        <v>29</v>
      </c>
      <c r="P30" s="7" t="s">
        <v>29</v>
      </c>
      <c r="Q30" s="7" t="s">
        <v>29</v>
      </c>
      <c r="R30" s="7" t="s">
        <v>29</v>
      </c>
      <c r="S30" s="7" t="s">
        <v>29</v>
      </c>
    </row>
    <row r="31" spans="1:19">
      <c r="A31" s="7" t="s">
        <v>232</v>
      </c>
      <c r="B31" s="7" t="s">
        <v>1209</v>
      </c>
      <c r="C31" s="8">
        <v>1300</v>
      </c>
      <c r="D31" s="5" t="str">
        <f>LRTRIM(CONCATENATE(IF(SUMPRODUCT(-- ISNUMBER(SEARCH({"Auto Number"}, $B31))) &gt; 0, $B31, IF(SUMPRODUCT(-- ISNUMBER(SEARCH({"Lookup","Master-Detail"}, $B31))) &gt; 0,$B31 &amp; "(" &amp; $E31 &amp; ")",IF(SUMPRODUCT(-- ISNUMBER(SEARCH({"Formula","Roll-Up Summary"}, $B31))) &gt; 0,$B31 &amp; " (" &amp; $E31 &amp; ")",IF(SUMPRODUCT(-- ISNUMBER(SEARCH({"Content","Currency","Number","Percent","Text","URL"}, $B31))) &gt; 0,$B31 &amp; "(" &amp; $C31 &amp; ")",$B31)))), "  ", TRIM(IF($S31 = "YES", "(External ID)", "") &amp; " " &amp; IF(SUMPRODUCT(-- ISNUMBER(SEARCH({"Unique","Unique Case Insensitive"}, $R31))) &gt; 0, "(" &amp; $R31 &amp; ")", ""))))</f>
        <v>Formula (Text)</v>
      </c>
      <c r="E31" s="7" t="s">
        <v>1218</v>
      </c>
      <c r="F31" s="7" t="s">
        <v>251</v>
      </c>
      <c r="G31" s="7" t="s">
        <v>261</v>
      </c>
      <c r="H31" s="7" t="s">
        <v>195</v>
      </c>
      <c r="I31" s="7" t="s">
        <v>195</v>
      </c>
      <c r="J31" s="7" t="s">
        <v>195</v>
      </c>
      <c r="K31" s="7" t="s">
        <v>195</v>
      </c>
      <c r="L31" s="7" t="s">
        <v>195</v>
      </c>
      <c r="M31" s="7" t="s">
        <v>29</v>
      </c>
      <c r="N31" s="7" t="s">
        <v>29</v>
      </c>
      <c r="O31" s="7" t="s">
        <v>29</v>
      </c>
      <c r="P31" s="7" t="s">
        <v>29</v>
      </c>
      <c r="Q31" s="7" t="s">
        <v>29</v>
      </c>
      <c r="R31" s="7" t="s">
        <v>29</v>
      </c>
      <c r="S31" s="7" t="s">
        <v>29</v>
      </c>
    </row>
    <row r="32" spans="1:19">
      <c r="A32" s="7" t="s">
        <v>233</v>
      </c>
      <c r="B32" s="7" t="s">
        <v>1209</v>
      </c>
      <c r="C32" s="8">
        <v>1300</v>
      </c>
      <c r="D32" s="5" t="str">
        <f>LRTRIM(CONCATENATE(IF(SUMPRODUCT(-- ISNUMBER(SEARCH({"Auto Number"}, $B32))) &gt; 0, $B32, IF(SUMPRODUCT(-- ISNUMBER(SEARCH({"Lookup","Master-Detail"}, $B32))) &gt; 0,$B32 &amp; "(" &amp; $E32 &amp; ")",IF(SUMPRODUCT(-- ISNUMBER(SEARCH({"Formula","Roll-Up Summary"}, $B32))) &gt; 0,$B32 &amp; " (" &amp; $E32 &amp; ")",IF(SUMPRODUCT(-- ISNUMBER(SEARCH({"Content","Currency","Number","Percent","Text","URL"}, $B32))) &gt; 0,$B32 &amp; "(" &amp; $C32 &amp; ")",$B32)))), "  ", TRIM(IF($S32 = "YES", "(External ID)", "") &amp; " " &amp; IF(SUMPRODUCT(-- ISNUMBER(SEARCH({"Unique","Unique Case Insensitive"}, $R32))) &gt; 0, "(" &amp; $R32 &amp; ")", ""))))</f>
        <v>Formula (Text)</v>
      </c>
      <c r="E32" s="7" t="s">
        <v>1218</v>
      </c>
      <c r="F32" s="7" t="s">
        <v>252</v>
      </c>
      <c r="G32" s="7" t="s">
        <v>262</v>
      </c>
      <c r="H32" s="7" t="s">
        <v>195</v>
      </c>
      <c r="I32" s="7" t="s">
        <v>195</v>
      </c>
      <c r="J32" s="7" t="s">
        <v>195</v>
      </c>
      <c r="K32" s="7" t="s">
        <v>195</v>
      </c>
      <c r="L32" s="7" t="s">
        <v>195</v>
      </c>
      <c r="M32" s="7" t="s">
        <v>29</v>
      </c>
      <c r="N32" s="7" t="s">
        <v>29</v>
      </c>
      <c r="O32" s="7" t="s">
        <v>29</v>
      </c>
      <c r="P32" s="7" t="s">
        <v>29</v>
      </c>
      <c r="Q32" s="7" t="s">
        <v>29</v>
      </c>
      <c r="R32" s="7" t="s">
        <v>29</v>
      </c>
      <c r="S32" s="7" t="s">
        <v>29</v>
      </c>
    </row>
    <row r="33" spans="1:19">
      <c r="A33" s="7" t="s">
        <v>234</v>
      </c>
      <c r="B33" s="7" t="s">
        <v>1215</v>
      </c>
      <c r="C33" s="8">
        <v>255</v>
      </c>
      <c r="D33" s="5" t="str">
        <f>LRTRIM(CONCATENATE(IF(SUMPRODUCT(-- ISNUMBER(SEARCH({"Auto Number"}, $B33))) &gt; 0, $B33, IF(SUMPRODUCT(-- ISNUMBER(SEARCH({"Lookup","Master-Detail"}, $B33))) &gt; 0,$B33 &amp; "(" &amp; $E33 &amp; ")",IF(SUMPRODUCT(-- ISNUMBER(SEARCH({"Formula","Roll-Up Summary"}, $B33))) &gt; 0,$B33 &amp; " (" &amp; $E33 &amp; ")",IF(SUMPRODUCT(-- ISNUMBER(SEARCH({"Content","Currency","Number","Percent","Text","URL"}, $B33))) &gt; 0,$B33 &amp; "(" &amp; $C33 &amp; ")",$B33)))), "  ", TRIM(IF($S33 = "YES", "(External ID)", "") &amp; " " &amp; IF(SUMPRODUCT(-- ISNUMBER(SEARCH({"Unique","Unique Case Insensitive"}, $R33))) &gt; 0, "(" &amp; $R33 &amp; ")", ""))))</f>
        <v>Picklist</v>
      </c>
      <c r="E33" s="7" t="s">
        <v>195</v>
      </c>
      <c r="F33" s="7" t="s">
        <v>253</v>
      </c>
      <c r="G33" s="7" t="s">
        <v>263</v>
      </c>
      <c r="H33" s="7" t="s">
        <v>195</v>
      </c>
      <c r="I33" s="7" t="s">
        <v>1296</v>
      </c>
      <c r="J33" s="7" t="s">
        <v>1299</v>
      </c>
      <c r="K33" s="7" t="s">
        <v>195</v>
      </c>
      <c r="L33" s="7" t="s">
        <v>195</v>
      </c>
      <c r="M33" s="7" t="s">
        <v>29</v>
      </c>
      <c r="N33" s="7" t="s">
        <v>29</v>
      </c>
      <c r="O33" s="7" t="s">
        <v>29</v>
      </c>
      <c r="P33" s="7" t="s">
        <v>29</v>
      </c>
      <c r="Q33" s="7" t="s">
        <v>29</v>
      </c>
      <c r="R33" s="7" t="s">
        <v>29</v>
      </c>
      <c r="S33" s="7" t="s">
        <v>29</v>
      </c>
    </row>
    <row r="34" spans="1:19">
      <c r="A34" s="7" t="s">
        <v>235</v>
      </c>
      <c r="B34" s="7" t="s">
        <v>1215</v>
      </c>
      <c r="C34" s="8">
        <v>255</v>
      </c>
      <c r="D34" s="5" t="str">
        <f>LRTRIM(CONCATENATE(IF(SUMPRODUCT(-- ISNUMBER(SEARCH({"Auto Number"}, $B34))) &gt; 0, $B34, IF(SUMPRODUCT(-- ISNUMBER(SEARCH({"Lookup","Master-Detail"}, $B34))) &gt; 0,$B34 &amp; "(" &amp; $E34 &amp; ")",IF(SUMPRODUCT(-- ISNUMBER(SEARCH({"Formula","Roll-Up Summary"}, $B34))) &gt; 0,$B34 &amp; " (" &amp; $E34 &amp; ")",IF(SUMPRODUCT(-- ISNUMBER(SEARCH({"Content","Currency","Number","Percent","Text","URL"}, $B34))) &gt; 0,$B34 &amp; "(" &amp; $C34 &amp; ")",$B34)))), "  ", TRIM(IF($S34 = "YES", "(External ID)", "") &amp; " " &amp; IF(SUMPRODUCT(-- ISNUMBER(SEARCH({"Unique","Unique Case Insensitive"}, $R34))) &gt; 0, "(" &amp; $R34 &amp; ")", ""))))</f>
        <v>Picklist</v>
      </c>
      <c r="E34" s="7" t="s">
        <v>195</v>
      </c>
      <c r="F34" s="7" t="s">
        <v>235</v>
      </c>
      <c r="G34" s="7" t="s">
        <v>195</v>
      </c>
      <c r="H34" s="7" t="s">
        <v>195</v>
      </c>
      <c r="I34" s="7" t="s">
        <v>1297</v>
      </c>
      <c r="J34" s="7" t="s">
        <v>195</v>
      </c>
      <c r="K34" s="7" t="s">
        <v>195</v>
      </c>
      <c r="L34" s="7" t="s">
        <v>195</v>
      </c>
      <c r="M34" s="7" t="s">
        <v>29</v>
      </c>
      <c r="N34" s="7" t="s">
        <v>29</v>
      </c>
      <c r="O34" s="7" t="s">
        <v>29</v>
      </c>
      <c r="P34" s="7" t="s">
        <v>29</v>
      </c>
      <c r="Q34" s="7" t="s">
        <v>29</v>
      </c>
      <c r="R34" s="7" t="s">
        <v>29</v>
      </c>
      <c r="S34" s="7" t="s">
        <v>29</v>
      </c>
    </row>
    <row r="35" spans="1:19">
      <c r="A35" s="7" t="s">
        <v>1413</v>
      </c>
      <c r="B35" s="7" t="s">
        <v>1204</v>
      </c>
      <c r="C35" s="8" t="s">
        <v>195</v>
      </c>
      <c r="D35" s="5" t="str">
        <f>LRTRIM(CONCATENATE(IF(SUMPRODUCT(-- ISNUMBER(SEARCH({"Auto Number"}, $B35))) &gt; 0, $B35, IF(SUMPRODUCT(-- ISNUMBER(SEARCH({"Lookup","Master-Detail"}, $B35))) &gt; 0,$B35 &amp; "(" &amp; $E35 &amp; ")",IF(SUMPRODUCT(-- ISNUMBER(SEARCH({"Formula","Roll-Up Summary"}, $B35))) &gt; 0,$B35 &amp; " (" &amp; $E35 &amp; ")",IF(SUMPRODUCT(-- ISNUMBER(SEARCH({"Content","Currency","Number","Percent","Text","URL"}, $B35))) &gt; 0,$B35 &amp; "(" &amp; $C35 &amp; ")",$B35)))), "  ", TRIM(IF($S35 = "YES", "(External ID)", "") &amp; " " &amp; IF(SUMPRODUCT(-- ISNUMBER(SEARCH({"Unique","Unique Case Insensitive"}, $R35))) &gt; 0, "(" &amp; $R35 &amp; ")", ""))))</f>
        <v>Checkbox</v>
      </c>
      <c r="E35" s="7" t="s">
        <v>195</v>
      </c>
      <c r="F35" s="7" t="s">
        <v>1484</v>
      </c>
      <c r="G35" s="7" t="s">
        <v>195</v>
      </c>
      <c r="H35" s="7" t="s">
        <v>195</v>
      </c>
      <c r="I35" s="7" t="s">
        <v>195</v>
      </c>
      <c r="J35" s="7" t="s">
        <v>195</v>
      </c>
      <c r="K35" s="7" t="s">
        <v>195</v>
      </c>
      <c r="L35" s="7" t="s">
        <v>195</v>
      </c>
      <c r="M35" s="7" t="s">
        <v>28</v>
      </c>
      <c r="N35" s="7" t="s">
        <v>29</v>
      </c>
      <c r="O35" s="7" t="s">
        <v>29</v>
      </c>
      <c r="P35" s="7" t="s">
        <v>29</v>
      </c>
      <c r="Q35" s="7" t="s">
        <v>29</v>
      </c>
      <c r="R35" s="7" t="s">
        <v>29</v>
      </c>
      <c r="S35" s="7" t="s">
        <v>29</v>
      </c>
    </row>
    <row r="36" spans="1:19">
      <c r="A36" s="7" t="s">
        <v>236</v>
      </c>
      <c r="B36" s="7" t="s">
        <v>1218</v>
      </c>
      <c r="C36" s="8">
        <v>9</v>
      </c>
      <c r="D36" s="5" t="str">
        <f>LRTRIM(CONCATENATE(IF(SUMPRODUCT(-- ISNUMBER(SEARCH({"Auto Number"}, $B36))) &gt; 0, $B36, IF(SUMPRODUCT(-- ISNUMBER(SEARCH({"Lookup","Master-Detail"}, $B36))) &gt; 0,$B36 &amp; "(" &amp; $E36 &amp; ")",IF(SUMPRODUCT(-- ISNUMBER(SEARCH({"Formula","Roll-Up Summary"}, $B36))) &gt; 0,$B36 &amp; " (" &amp; $E36 &amp; ")",IF(SUMPRODUCT(-- ISNUMBER(SEARCH({"Content","Currency","Number","Percent","Text","URL"}, $B36))) &gt; 0,$B36 &amp; "(" &amp; $C36 &amp; ")",$B36)))), "  ", TRIM(IF($S36 = "YES", "(External ID)", "") &amp; " " &amp; IF(SUMPRODUCT(-- ISNUMBER(SEARCH({"Unique","Unique Case Insensitive"}, $R36))) &gt; 0, "(" &amp; $R36 &amp; ")", ""))))</f>
        <v>Text(9)</v>
      </c>
      <c r="E36" s="7" t="s">
        <v>195</v>
      </c>
      <c r="F36" s="7" t="s">
        <v>254</v>
      </c>
      <c r="G36" s="7" t="s">
        <v>265</v>
      </c>
      <c r="H36" s="7" t="s">
        <v>195</v>
      </c>
      <c r="I36" s="7" t="s">
        <v>195</v>
      </c>
      <c r="J36" s="7" t="s">
        <v>195</v>
      </c>
      <c r="K36" s="7" t="s">
        <v>195</v>
      </c>
      <c r="L36" s="7" t="s">
        <v>195</v>
      </c>
      <c r="M36" s="7" t="s">
        <v>29</v>
      </c>
      <c r="N36" s="7" t="s">
        <v>29</v>
      </c>
      <c r="O36" s="7" t="s">
        <v>29</v>
      </c>
      <c r="P36" s="7" t="s">
        <v>29</v>
      </c>
      <c r="Q36" s="7" t="s">
        <v>29</v>
      </c>
      <c r="R36" s="7" t="s">
        <v>29</v>
      </c>
      <c r="S36" s="7" t="s">
        <v>29</v>
      </c>
    </row>
    <row r="37" spans="1:19">
      <c r="A37" s="7" t="s">
        <v>1405</v>
      </c>
      <c r="B37" s="7" t="s">
        <v>1213</v>
      </c>
      <c r="C37" s="8" t="s">
        <v>1250</v>
      </c>
      <c r="D37" s="5" t="str">
        <f>LRTRIM(CONCATENATE(IF(SUMPRODUCT(-- ISNUMBER(SEARCH({"Auto Number"}, $B37))) &gt; 0, $B37, IF(SUMPRODUCT(-- ISNUMBER(SEARCH({"Lookup","Master-Detail"}, $B37))) &gt; 0,$B37 &amp; "(" &amp; $E37 &amp; ")",IF(SUMPRODUCT(-- ISNUMBER(SEARCH({"Formula","Roll-Up Summary"}, $B37))) &gt; 0,$B37 &amp; " (" &amp; $E37 &amp; ")",IF(SUMPRODUCT(-- ISNUMBER(SEARCH({"Content","Currency","Number","Percent","Text","URL"}, $B37))) &gt; 0,$B37 &amp; "(" &amp; $C37 &amp; ")",$B37)))), "  ", TRIM(IF($S37 = "YES", "(External ID)", "") &amp; " " &amp; IF(SUMPRODUCT(-- ISNUMBER(SEARCH({"Unique","Unique Case Insensitive"}, $R37))) &gt; 0, "(" &amp; $R37 &amp; ")", ""))))</f>
        <v>Number(18, 0)</v>
      </c>
      <c r="E37" s="7" t="s">
        <v>195</v>
      </c>
      <c r="F37" s="7" t="s">
        <v>1426</v>
      </c>
      <c r="G37" s="7" t="s">
        <v>1453</v>
      </c>
      <c r="H37" s="7" t="s">
        <v>195</v>
      </c>
      <c r="I37" s="7" t="s">
        <v>195</v>
      </c>
      <c r="J37" s="7" t="s">
        <v>195</v>
      </c>
      <c r="K37" s="7" t="s">
        <v>195</v>
      </c>
      <c r="L37" s="7" t="s">
        <v>195</v>
      </c>
      <c r="M37" s="7" t="s">
        <v>29</v>
      </c>
      <c r="N37" s="7" t="s">
        <v>29</v>
      </c>
      <c r="O37" s="7" t="s">
        <v>29</v>
      </c>
      <c r="P37" s="7" t="s">
        <v>29</v>
      </c>
      <c r="Q37" s="7" t="s">
        <v>29</v>
      </c>
      <c r="R37" s="7" t="s">
        <v>29</v>
      </c>
      <c r="S37" s="7" t="s">
        <v>29</v>
      </c>
    </row>
    <row r="38" spans="1:19">
      <c r="A38" s="7" t="s">
        <v>1341</v>
      </c>
      <c r="B38" s="7" t="s">
        <v>1207</v>
      </c>
      <c r="C38" s="8" t="s">
        <v>195</v>
      </c>
      <c r="D38" s="5" t="str">
        <f>LRTRIM(CONCATENATE(IF(SUMPRODUCT(-- ISNUMBER(SEARCH({"Auto Number"}, $B38))) &gt; 0, $B38, IF(SUMPRODUCT(-- ISNUMBER(SEARCH({"Lookup","Master-Detail"}, $B38))) &gt; 0,$B38 &amp; "(" &amp; $E38 &amp; ")",IF(SUMPRODUCT(-- ISNUMBER(SEARCH({"Formula","Roll-Up Summary"}, $B38))) &gt; 0,$B38 &amp; " (" &amp; $E38 &amp; ")",IF(SUMPRODUCT(-- ISNUMBER(SEARCH({"Content","Currency","Number","Percent","Text","URL"}, $B38))) &gt; 0,$B38 &amp; "(" &amp; $C38 &amp; ")",$B38)))), "  ", TRIM(IF($S38 = "YES", "(External ID)", "") &amp; " " &amp; IF(SUMPRODUCT(-- ISNUMBER(SEARCH({"Unique","Unique Case Insensitive"}, $R38))) &gt; 0, "(" &amp; $R38 &amp; ")", ""))))</f>
        <v>Date/Time</v>
      </c>
      <c r="E38" s="7" t="s">
        <v>195</v>
      </c>
      <c r="F38" s="7" t="s">
        <v>1351</v>
      </c>
      <c r="G38" s="7" t="s">
        <v>195</v>
      </c>
      <c r="H38" s="7" t="s">
        <v>195</v>
      </c>
      <c r="I38" s="7" t="s">
        <v>195</v>
      </c>
      <c r="J38" s="7" t="s">
        <v>195</v>
      </c>
      <c r="K38" s="7" t="s">
        <v>195</v>
      </c>
      <c r="L38" s="7" t="s">
        <v>195</v>
      </c>
      <c r="M38" s="7" t="s">
        <v>29</v>
      </c>
      <c r="N38" s="7" t="s">
        <v>29</v>
      </c>
      <c r="O38" s="7" t="s">
        <v>29</v>
      </c>
      <c r="P38" s="7" t="s">
        <v>29</v>
      </c>
      <c r="Q38" s="7" t="s">
        <v>29</v>
      </c>
      <c r="R38" s="7" t="s">
        <v>29</v>
      </c>
      <c r="S38" s="7" t="s">
        <v>29</v>
      </c>
    </row>
    <row r="39" spans="1:19">
      <c r="A39" s="7" t="s">
        <v>34</v>
      </c>
      <c r="B39" s="7" t="s">
        <v>195</v>
      </c>
      <c r="C39" s="8" t="s">
        <v>195</v>
      </c>
      <c r="D39" s="5" t="str">
        <f>LRTRIM(CONCATENATE(IF(SUMPRODUCT(-- ISNUMBER(SEARCH({"Auto Number"}, $B39))) &gt; 0, $B39, IF(SUMPRODUCT(-- ISNUMBER(SEARCH({"Lookup","Master-Detail"}, $B39))) &gt; 0,$B39 &amp; "(" &amp; $E39 &amp; ")",IF(SUMPRODUCT(-- ISNUMBER(SEARCH({"Formula","Roll-Up Summary"}, $B39))) &gt; 0,$B39 &amp; " (" &amp; $E39 &amp; ")",IF(SUMPRODUCT(-- ISNUMBER(SEARCH({"Content","Currency","Number","Percent","Text","URL"}, $B39))) &gt; 0,$B39 &amp; "(" &amp; $C39 &amp; ")",$B39)))), "  ", TRIM(IF($S39 = "YES", "(External ID)", "") &amp; " " &amp; IF(SUMPRODUCT(-- ISNUMBER(SEARCH({"Unique","Unique Case Insensitive"}, $R39))) &gt; 0, "(" &amp; $R39 &amp; ")", ""))))</f>
        <v>na</v>
      </c>
      <c r="E39" s="7" t="s">
        <v>195</v>
      </c>
      <c r="F39" s="7" t="s">
        <v>195</v>
      </c>
      <c r="G39" s="7" t="s">
        <v>195</v>
      </c>
      <c r="H39" s="7" t="s">
        <v>195</v>
      </c>
      <c r="I39" s="7" t="s">
        <v>195</v>
      </c>
      <c r="J39" s="7" t="s">
        <v>195</v>
      </c>
      <c r="K39" s="7" t="s">
        <v>195</v>
      </c>
      <c r="L39" s="7" t="s">
        <v>195</v>
      </c>
      <c r="M39" s="7" t="s">
        <v>28</v>
      </c>
      <c r="N39" s="7" t="s">
        <v>29</v>
      </c>
      <c r="O39" s="7" t="s">
        <v>29</v>
      </c>
      <c r="P39" s="7" t="s">
        <v>29</v>
      </c>
      <c r="Q39" s="7" t="s">
        <v>29</v>
      </c>
      <c r="R39" s="7" t="s">
        <v>29</v>
      </c>
      <c r="S39" s="7" t="s">
        <v>29</v>
      </c>
    </row>
    <row r="40" spans="1:19">
      <c r="A40" s="7" t="s">
        <v>33</v>
      </c>
      <c r="B40" s="7" t="s">
        <v>195</v>
      </c>
      <c r="C40" s="8" t="s">
        <v>195</v>
      </c>
      <c r="D40" s="5" t="str">
        <f>LRTRIM(CONCATENATE(IF(SUMPRODUCT(-- ISNUMBER(SEARCH({"Auto Number"}, $B40))) &gt; 0, $B40, IF(SUMPRODUCT(-- ISNUMBER(SEARCH({"Lookup","Master-Detail"}, $B40))) &gt; 0,$B40 &amp; "(" &amp; $E40 &amp; ")",IF(SUMPRODUCT(-- ISNUMBER(SEARCH({"Formula","Roll-Up Summary"}, $B40))) &gt; 0,$B40 &amp; " (" &amp; $E40 &amp; ")",IF(SUMPRODUCT(-- ISNUMBER(SEARCH({"Content","Currency","Number","Percent","Text","URL"}, $B40))) &gt; 0,$B40 &amp; "(" &amp; $C40 &amp; ")",$B40)))), "  ", TRIM(IF($S40 = "YES", "(External ID)", "") &amp; " " &amp; IF(SUMPRODUCT(-- ISNUMBER(SEARCH({"Unique","Unique Case Insensitive"}, $R40))) &gt; 0, "(" &amp; $R40 &amp; ")", ""))))</f>
        <v>na</v>
      </c>
      <c r="E40" s="7" t="s">
        <v>195</v>
      </c>
      <c r="F40" s="7" t="s">
        <v>195</v>
      </c>
      <c r="G40" s="7" t="s">
        <v>195</v>
      </c>
      <c r="H40" s="7" t="s">
        <v>195</v>
      </c>
      <c r="I40" s="7" t="s">
        <v>195</v>
      </c>
      <c r="J40" s="7" t="s">
        <v>195</v>
      </c>
      <c r="K40" s="7" t="s">
        <v>195</v>
      </c>
      <c r="L40" s="7" t="s">
        <v>195</v>
      </c>
      <c r="M40" s="7" t="s">
        <v>28</v>
      </c>
      <c r="N40" s="7" t="s">
        <v>29</v>
      </c>
      <c r="O40" s="7" t="s">
        <v>29</v>
      </c>
      <c r="P40" s="7" t="s">
        <v>29</v>
      </c>
      <c r="Q40" s="7" t="s">
        <v>29</v>
      </c>
      <c r="R40" s="7" t="s">
        <v>29</v>
      </c>
      <c r="S40" s="7" t="s">
        <v>29</v>
      </c>
    </row>
    <row r="41" spans="1:19">
      <c r="A41" s="7" t="s">
        <v>266</v>
      </c>
      <c r="B41" s="7" t="s">
        <v>195</v>
      </c>
      <c r="C41" s="8" t="s">
        <v>195</v>
      </c>
      <c r="D41" s="5" t="str">
        <f>LRTRIM(CONCATENATE(IF(SUMPRODUCT(-- ISNUMBER(SEARCH({"Auto Number"}, $B41))) &gt; 0, $B41, IF(SUMPRODUCT(-- ISNUMBER(SEARCH({"Lookup","Master-Detail"}, $B41))) &gt; 0,$B41 &amp; "(" &amp; $E41 &amp; ")",IF(SUMPRODUCT(-- ISNUMBER(SEARCH({"Formula","Roll-Up Summary"}, $B41))) &gt; 0,$B41 &amp; " (" &amp; $E41 &amp; ")",IF(SUMPRODUCT(-- ISNUMBER(SEARCH({"Content","Currency","Number","Percent","Text","URL"}, $B41))) &gt; 0,$B41 &amp; "(" &amp; $C41 &amp; ")",$B41)))), "  ", TRIM(IF($S41 = "YES", "(External ID)", "") &amp; " " &amp; IF(SUMPRODUCT(-- ISNUMBER(SEARCH({"Unique","Unique Case Insensitive"}, $R41))) &gt; 0, "(" &amp; $R41 &amp; ")", ""))))</f>
        <v>na</v>
      </c>
      <c r="E41" s="7" t="s">
        <v>195</v>
      </c>
      <c r="F41" s="7" t="s">
        <v>195</v>
      </c>
      <c r="G41" s="7" t="s">
        <v>195</v>
      </c>
      <c r="H41" s="7" t="s">
        <v>195</v>
      </c>
      <c r="I41" s="7" t="s">
        <v>195</v>
      </c>
      <c r="J41" s="7" t="s">
        <v>195</v>
      </c>
      <c r="K41" s="7" t="s">
        <v>195</v>
      </c>
      <c r="L41" s="7" t="s">
        <v>195</v>
      </c>
      <c r="M41" s="7" t="s">
        <v>28</v>
      </c>
      <c r="N41" s="7" t="s">
        <v>29</v>
      </c>
      <c r="O41" s="7" t="s">
        <v>29</v>
      </c>
      <c r="P41" s="7" t="s">
        <v>29</v>
      </c>
      <c r="Q41" s="7" t="s">
        <v>29</v>
      </c>
      <c r="R41" s="7" t="s">
        <v>29</v>
      </c>
      <c r="S41" s="7" t="s">
        <v>29</v>
      </c>
    </row>
    <row r="42" spans="1:19">
      <c r="A42" s="7" t="s">
        <v>267</v>
      </c>
      <c r="B42" s="7" t="s">
        <v>195</v>
      </c>
      <c r="C42" s="8" t="s">
        <v>195</v>
      </c>
      <c r="D42" s="5" t="str">
        <f>LRTRIM(CONCATENATE(IF(SUMPRODUCT(-- ISNUMBER(SEARCH({"Auto Number"}, $B42))) &gt; 0, $B42, IF(SUMPRODUCT(-- ISNUMBER(SEARCH({"Lookup","Master-Detail"}, $B42))) &gt; 0,$B42 &amp; "(" &amp; $E42 &amp; ")",IF(SUMPRODUCT(-- ISNUMBER(SEARCH({"Formula","Roll-Up Summary"}, $B42))) &gt; 0,$B42 &amp; " (" &amp; $E42 &amp; ")",IF(SUMPRODUCT(-- ISNUMBER(SEARCH({"Content","Currency","Number","Percent","Text","URL"}, $B42))) &gt; 0,$B42 &amp; "(" &amp; $C42 &amp; ")",$B42)))), "  ", TRIM(IF($S42 = "YES", "(External ID)", "") &amp; " " &amp; IF(SUMPRODUCT(-- ISNUMBER(SEARCH({"Unique","Unique Case Insensitive"}, $R42))) &gt; 0, "(" &amp; $R42 &amp; ")", ""))))</f>
        <v>na</v>
      </c>
      <c r="E42" s="7" t="s">
        <v>195</v>
      </c>
      <c r="F42" s="7" t="s">
        <v>195</v>
      </c>
      <c r="G42" s="7" t="s">
        <v>195</v>
      </c>
      <c r="H42" s="7" t="s">
        <v>195</v>
      </c>
      <c r="I42" s="7" t="s">
        <v>195</v>
      </c>
      <c r="J42" s="7" t="s">
        <v>195</v>
      </c>
      <c r="K42" s="7" t="s">
        <v>195</v>
      </c>
      <c r="L42" s="7" t="s">
        <v>195</v>
      </c>
      <c r="M42" s="7" t="s">
        <v>28</v>
      </c>
      <c r="N42" s="7" t="s">
        <v>29</v>
      </c>
      <c r="O42" s="7" t="s">
        <v>29</v>
      </c>
      <c r="P42" s="7" t="s">
        <v>29</v>
      </c>
      <c r="Q42" s="7" t="s">
        <v>29</v>
      </c>
      <c r="R42" s="7" t="s">
        <v>29</v>
      </c>
      <c r="S42" s="7" t="s">
        <v>29</v>
      </c>
    </row>
    <row r="43" spans="1:19">
      <c r="A43" s="7" t="s">
        <v>268</v>
      </c>
      <c r="B43" s="7" t="s">
        <v>195</v>
      </c>
      <c r="C43" s="8" t="s">
        <v>195</v>
      </c>
      <c r="D43" s="5" t="str">
        <f>LRTRIM(CONCATENATE(IF(SUMPRODUCT(-- ISNUMBER(SEARCH({"Auto Number"}, $B43))) &gt; 0, $B43, IF(SUMPRODUCT(-- ISNUMBER(SEARCH({"Lookup","Master-Detail"}, $B43))) &gt; 0,$B43 &amp; "(" &amp; $E43 &amp; ")",IF(SUMPRODUCT(-- ISNUMBER(SEARCH({"Formula","Roll-Up Summary"}, $B43))) &gt; 0,$B43 &amp; " (" &amp; $E43 &amp; ")",IF(SUMPRODUCT(-- ISNUMBER(SEARCH({"Content","Currency","Number","Percent","Text","URL"}, $B43))) &gt; 0,$B43 &amp; "(" &amp; $C43 &amp; ")",$B43)))), "  ", TRIM(IF($S43 = "YES", "(External ID)", "") &amp; " " &amp; IF(SUMPRODUCT(-- ISNUMBER(SEARCH({"Unique","Unique Case Insensitive"}, $R43))) &gt; 0, "(" &amp; $R43 &amp; ")", ""))))</f>
        <v>na</v>
      </c>
      <c r="E43" s="7" t="s">
        <v>195</v>
      </c>
      <c r="F43" s="7" t="s">
        <v>195</v>
      </c>
      <c r="G43" s="7" t="s">
        <v>195</v>
      </c>
      <c r="H43" s="7" t="s">
        <v>195</v>
      </c>
      <c r="I43" s="7" t="s">
        <v>195</v>
      </c>
      <c r="J43" s="7" t="s">
        <v>195</v>
      </c>
      <c r="K43" s="7" t="s">
        <v>195</v>
      </c>
      <c r="L43" s="7" t="s">
        <v>195</v>
      </c>
      <c r="M43" s="7" t="s">
        <v>28</v>
      </c>
      <c r="N43" s="7" t="s">
        <v>29</v>
      </c>
      <c r="O43" s="7" t="s">
        <v>29</v>
      </c>
      <c r="P43" s="7" t="s">
        <v>29</v>
      </c>
      <c r="Q43" s="7" t="s">
        <v>29</v>
      </c>
      <c r="R43" s="7" t="s">
        <v>29</v>
      </c>
      <c r="S43" s="7" t="s">
        <v>29</v>
      </c>
    </row>
    <row r="44" spans="1:19">
      <c r="A44" s="7" t="s">
        <v>269</v>
      </c>
      <c r="B44" s="7" t="s">
        <v>195</v>
      </c>
      <c r="C44" s="8" t="s">
        <v>195</v>
      </c>
      <c r="D44" s="5" t="str">
        <f>LRTRIM(CONCATENATE(IF(SUMPRODUCT(-- ISNUMBER(SEARCH({"Auto Number"}, $B44))) &gt; 0, $B44, IF(SUMPRODUCT(-- ISNUMBER(SEARCH({"Lookup","Master-Detail"}, $B44))) &gt; 0,$B44 &amp; "(" &amp; $E44 &amp; ")",IF(SUMPRODUCT(-- ISNUMBER(SEARCH({"Formula","Roll-Up Summary"}, $B44))) &gt; 0,$B44 &amp; " (" &amp; $E44 &amp; ")",IF(SUMPRODUCT(-- ISNUMBER(SEARCH({"Content","Currency","Number","Percent","Text","URL"}, $B44))) &gt; 0,$B44 &amp; "(" &amp; $C44 &amp; ")",$B44)))), "  ", TRIM(IF($S44 = "YES", "(External ID)", "") &amp; " " &amp; IF(SUMPRODUCT(-- ISNUMBER(SEARCH({"Unique","Unique Case Insensitive"}, $R44))) &gt; 0, "(" &amp; $R44 &amp; ")", ""))))</f>
        <v>na</v>
      </c>
      <c r="E44" s="7" t="s">
        <v>195</v>
      </c>
      <c r="F44" s="7" t="s">
        <v>195</v>
      </c>
      <c r="G44" s="7" t="s">
        <v>195</v>
      </c>
      <c r="H44" s="7" t="s">
        <v>195</v>
      </c>
      <c r="I44" s="7" t="s">
        <v>195</v>
      </c>
      <c r="J44" s="7" t="s">
        <v>195</v>
      </c>
      <c r="K44" s="7" t="s">
        <v>195</v>
      </c>
      <c r="L44" s="7" t="s">
        <v>195</v>
      </c>
      <c r="M44" s="7" t="s">
        <v>28</v>
      </c>
      <c r="N44" s="7" t="s">
        <v>29</v>
      </c>
      <c r="O44" s="7" t="s">
        <v>29</v>
      </c>
      <c r="P44" s="7" t="s">
        <v>29</v>
      </c>
      <c r="Q44" s="7" t="s">
        <v>29</v>
      </c>
      <c r="R44" s="7" t="s">
        <v>29</v>
      </c>
      <c r="S44" s="7" t="s">
        <v>29</v>
      </c>
    </row>
    <row r="45" spans="1:19">
      <c r="A45" s="7" t="s">
        <v>270</v>
      </c>
      <c r="B45" s="7" t="s">
        <v>195</v>
      </c>
      <c r="C45" s="8" t="s">
        <v>195</v>
      </c>
      <c r="D45" s="5" t="str">
        <f>LRTRIM(CONCATENATE(IF(SUMPRODUCT(-- ISNUMBER(SEARCH({"Auto Number"}, $B45))) &gt; 0, $B45, IF(SUMPRODUCT(-- ISNUMBER(SEARCH({"Lookup","Master-Detail"}, $B45))) &gt; 0,$B45 &amp; "(" &amp; $E45 &amp; ")",IF(SUMPRODUCT(-- ISNUMBER(SEARCH({"Formula","Roll-Up Summary"}, $B45))) &gt; 0,$B45 &amp; " (" &amp; $E45 &amp; ")",IF(SUMPRODUCT(-- ISNUMBER(SEARCH({"Content","Currency","Number","Percent","Text","URL"}, $B45))) &gt; 0,$B45 &amp; "(" &amp; $C45 &amp; ")",$B45)))), "  ", TRIM(IF($S45 = "YES", "(External ID)", "") &amp; " " &amp; IF(SUMPRODUCT(-- ISNUMBER(SEARCH({"Unique","Unique Case Insensitive"}, $R45))) &gt; 0, "(" &amp; $R45 &amp; ")", ""))))</f>
        <v>na</v>
      </c>
      <c r="E45" s="7" t="s">
        <v>195</v>
      </c>
      <c r="F45" s="7" t="s">
        <v>195</v>
      </c>
      <c r="G45" s="7" t="s">
        <v>195</v>
      </c>
      <c r="H45" s="7" t="s">
        <v>195</v>
      </c>
      <c r="I45" s="7" t="s">
        <v>195</v>
      </c>
      <c r="J45" s="7" t="s">
        <v>195</v>
      </c>
      <c r="K45" s="7" t="s">
        <v>195</v>
      </c>
      <c r="L45" s="7" t="s">
        <v>195</v>
      </c>
      <c r="M45" s="7" t="s">
        <v>28</v>
      </c>
      <c r="N45" s="7" t="s">
        <v>29</v>
      </c>
      <c r="O45" s="7" t="s">
        <v>29</v>
      </c>
      <c r="P45" s="7" t="s">
        <v>29</v>
      </c>
      <c r="Q45" s="7" t="s">
        <v>29</v>
      </c>
      <c r="R45" s="7" t="s">
        <v>29</v>
      </c>
      <c r="S45" s="7" t="s">
        <v>29</v>
      </c>
    </row>
    <row r="46" spans="1:19">
      <c r="A46" s="7" t="s">
        <v>271</v>
      </c>
      <c r="B46" s="7" t="s">
        <v>195</v>
      </c>
      <c r="C46" s="8" t="s">
        <v>195</v>
      </c>
      <c r="D46" s="5" t="str">
        <f>LRTRIM(CONCATENATE(IF(SUMPRODUCT(-- ISNUMBER(SEARCH({"Auto Number"}, $B46))) &gt; 0, $B46, IF(SUMPRODUCT(-- ISNUMBER(SEARCH({"Lookup","Master-Detail"}, $B46))) &gt; 0,$B46 &amp; "(" &amp; $E46 &amp; ")",IF(SUMPRODUCT(-- ISNUMBER(SEARCH({"Formula","Roll-Up Summary"}, $B46))) &gt; 0,$B46 &amp; " (" &amp; $E46 &amp; ")",IF(SUMPRODUCT(-- ISNUMBER(SEARCH({"Content","Currency","Number","Percent","Text","URL"}, $B46))) &gt; 0,$B46 &amp; "(" &amp; $C46 &amp; ")",$B46)))), "  ", TRIM(IF($S46 = "YES", "(External ID)", "") &amp; " " &amp; IF(SUMPRODUCT(-- ISNUMBER(SEARCH({"Unique","Unique Case Insensitive"}, $R46))) &gt; 0, "(" &amp; $R46 &amp; ")", ""))))</f>
        <v>na</v>
      </c>
      <c r="E46" s="7" t="s">
        <v>195</v>
      </c>
      <c r="F46" s="7" t="s">
        <v>195</v>
      </c>
      <c r="G46" s="7" t="s">
        <v>195</v>
      </c>
      <c r="H46" s="7" t="s">
        <v>195</v>
      </c>
      <c r="I46" s="7" t="s">
        <v>195</v>
      </c>
      <c r="J46" s="7" t="s">
        <v>195</v>
      </c>
      <c r="K46" s="7" t="s">
        <v>195</v>
      </c>
      <c r="L46" s="7" t="s">
        <v>195</v>
      </c>
      <c r="M46" s="7" t="s">
        <v>28</v>
      </c>
      <c r="N46" s="7" t="s">
        <v>29</v>
      </c>
      <c r="O46" s="7" t="s">
        <v>29</v>
      </c>
      <c r="P46" s="7" t="s">
        <v>29</v>
      </c>
      <c r="Q46" s="7" t="s">
        <v>29</v>
      </c>
      <c r="R46" s="7" t="s">
        <v>29</v>
      </c>
      <c r="S46" s="7" t="s">
        <v>29</v>
      </c>
    </row>
    <row r="47" spans="1:19">
      <c r="A47" s="7" t="s">
        <v>272</v>
      </c>
      <c r="B47" s="7" t="s">
        <v>195</v>
      </c>
      <c r="C47" s="8" t="s">
        <v>195</v>
      </c>
      <c r="D47" s="5" t="str">
        <f>LRTRIM(CONCATENATE(IF(SUMPRODUCT(-- ISNUMBER(SEARCH({"Auto Number"}, $B47))) &gt; 0, $B47, IF(SUMPRODUCT(-- ISNUMBER(SEARCH({"Lookup","Master-Detail"}, $B47))) &gt; 0,$B47 &amp; "(" &amp; $E47 &amp; ")",IF(SUMPRODUCT(-- ISNUMBER(SEARCH({"Formula","Roll-Up Summary"}, $B47))) &gt; 0,$B47 &amp; " (" &amp; $E47 &amp; ")",IF(SUMPRODUCT(-- ISNUMBER(SEARCH({"Content","Currency","Number","Percent","Text","URL"}, $B47))) &gt; 0,$B47 &amp; "(" &amp; $C47 &amp; ")",$B47)))), "  ", TRIM(IF($S47 = "YES", "(External ID)", "") &amp; " " &amp; IF(SUMPRODUCT(-- ISNUMBER(SEARCH({"Unique","Unique Case Insensitive"}, $R47))) &gt; 0, "(" &amp; $R47 &amp; ")", ""))))</f>
        <v>na</v>
      </c>
      <c r="E47" s="7" t="s">
        <v>195</v>
      </c>
      <c r="F47" s="7" t="s">
        <v>195</v>
      </c>
      <c r="G47" s="7" t="s">
        <v>195</v>
      </c>
      <c r="H47" s="7" t="s">
        <v>195</v>
      </c>
      <c r="I47" s="7" t="s">
        <v>195</v>
      </c>
      <c r="J47" s="7" t="s">
        <v>195</v>
      </c>
      <c r="K47" s="7" t="s">
        <v>195</v>
      </c>
      <c r="L47" s="7" t="s">
        <v>195</v>
      </c>
      <c r="M47" s="7" t="s">
        <v>28</v>
      </c>
      <c r="N47" s="7" t="s">
        <v>29</v>
      </c>
      <c r="O47" s="7" t="s">
        <v>29</v>
      </c>
      <c r="P47" s="7" t="s">
        <v>29</v>
      </c>
      <c r="Q47" s="7" t="s">
        <v>29</v>
      </c>
      <c r="R47" s="7" t="s">
        <v>29</v>
      </c>
      <c r="S47" s="7" t="s">
        <v>29</v>
      </c>
    </row>
    <row r="48" spans="1:19">
      <c r="A48" s="7" t="s">
        <v>273</v>
      </c>
      <c r="B48" s="7" t="s">
        <v>195</v>
      </c>
      <c r="C48" s="8" t="s">
        <v>195</v>
      </c>
      <c r="D48" s="5" t="str">
        <f>LRTRIM(CONCATENATE(IF(SUMPRODUCT(-- ISNUMBER(SEARCH({"Auto Number"}, $B48))) &gt; 0, $B48, IF(SUMPRODUCT(-- ISNUMBER(SEARCH({"Lookup","Master-Detail"}, $B48))) &gt; 0,$B48 &amp; "(" &amp; $E48 &amp; ")",IF(SUMPRODUCT(-- ISNUMBER(SEARCH({"Formula","Roll-Up Summary"}, $B48))) &gt; 0,$B48 &amp; " (" &amp; $E48 &amp; ")",IF(SUMPRODUCT(-- ISNUMBER(SEARCH({"Content","Currency","Number","Percent","Text","URL"}, $B48))) &gt; 0,$B48 &amp; "(" &amp; $C48 &amp; ")",$B48)))), "  ", TRIM(IF($S48 = "YES", "(External ID)", "") &amp; " " &amp; IF(SUMPRODUCT(-- ISNUMBER(SEARCH({"Unique","Unique Case Insensitive"}, $R48))) &gt; 0, "(" &amp; $R48 &amp; ")", ""))))</f>
        <v>na</v>
      </c>
      <c r="E48" s="7" t="s">
        <v>195</v>
      </c>
      <c r="F48" s="7" t="s">
        <v>195</v>
      </c>
      <c r="G48" s="7" t="s">
        <v>195</v>
      </c>
      <c r="H48" s="7" t="s">
        <v>195</v>
      </c>
      <c r="I48" s="7" t="s">
        <v>195</v>
      </c>
      <c r="J48" s="7" t="s">
        <v>195</v>
      </c>
      <c r="K48" s="7" t="s">
        <v>195</v>
      </c>
      <c r="L48" s="7" t="s">
        <v>195</v>
      </c>
      <c r="M48" s="7" t="s">
        <v>28</v>
      </c>
      <c r="N48" s="7" t="s">
        <v>29</v>
      </c>
      <c r="O48" s="7" t="s">
        <v>29</v>
      </c>
      <c r="P48" s="7" t="s">
        <v>29</v>
      </c>
      <c r="Q48" s="7" t="s">
        <v>29</v>
      </c>
      <c r="R48" s="7" t="s">
        <v>29</v>
      </c>
      <c r="S48" s="7" t="s">
        <v>29</v>
      </c>
    </row>
    <row r="49" spans="1:19">
      <c r="A49" s="7" t="s">
        <v>35</v>
      </c>
      <c r="B49" s="7" t="s">
        <v>195</v>
      </c>
      <c r="C49" s="8" t="s">
        <v>195</v>
      </c>
      <c r="D49" s="5" t="str">
        <f>LRTRIM(CONCATENATE(IF(SUMPRODUCT(-- ISNUMBER(SEARCH({"Auto Number"}, $B49))) &gt; 0, $B49, IF(SUMPRODUCT(-- ISNUMBER(SEARCH({"Lookup","Master-Detail"}, $B49))) &gt; 0,$B49 &amp; "(" &amp; $E49 &amp; ")",IF(SUMPRODUCT(-- ISNUMBER(SEARCH({"Formula","Roll-Up Summary"}, $B49))) &gt; 0,$B49 &amp; " (" &amp; $E49 &amp; ")",IF(SUMPRODUCT(-- ISNUMBER(SEARCH({"Content","Currency","Number","Percent","Text","URL"}, $B49))) &gt; 0,$B49 &amp; "(" &amp; $C49 &amp; ")",$B49)))), "  ", TRIM(IF($S49 = "YES", "(External ID)", "") &amp; " " &amp; IF(SUMPRODUCT(-- ISNUMBER(SEARCH({"Unique","Unique Case Insensitive"}, $R49))) &gt; 0, "(" &amp; $R49 &amp; ")", ""))))</f>
        <v>na</v>
      </c>
      <c r="E49" s="7" t="s">
        <v>195</v>
      </c>
      <c r="F49" s="7" t="s">
        <v>195</v>
      </c>
      <c r="G49" s="7" t="s">
        <v>195</v>
      </c>
      <c r="H49" s="7" t="s">
        <v>195</v>
      </c>
      <c r="I49" s="7" t="s">
        <v>195</v>
      </c>
      <c r="J49" s="7" t="s">
        <v>195</v>
      </c>
      <c r="K49" s="7" t="s">
        <v>195</v>
      </c>
      <c r="L49" s="7" t="s">
        <v>195</v>
      </c>
      <c r="M49" s="7" t="s">
        <v>28</v>
      </c>
      <c r="N49" s="7" t="s">
        <v>29</v>
      </c>
      <c r="O49" s="7" t="s">
        <v>29</v>
      </c>
      <c r="P49" s="7" t="s">
        <v>29</v>
      </c>
      <c r="Q49" s="7" t="s">
        <v>29</v>
      </c>
      <c r="R49" s="7" t="s">
        <v>29</v>
      </c>
      <c r="S49" s="7" t="s">
        <v>29</v>
      </c>
    </row>
    <row r="50" spans="1:19">
      <c r="A50" s="7" t="s">
        <v>36</v>
      </c>
      <c r="B50" s="7" t="s">
        <v>195</v>
      </c>
      <c r="C50" s="8" t="s">
        <v>195</v>
      </c>
      <c r="D50" s="5" t="str">
        <f>LRTRIM(CONCATENATE(IF(SUMPRODUCT(-- ISNUMBER(SEARCH({"Auto Number"}, $B50))) &gt; 0, $B50, IF(SUMPRODUCT(-- ISNUMBER(SEARCH({"Lookup","Master-Detail"}, $B50))) &gt; 0,$B50 &amp; "(" &amp; $E50 &amp; ")",IF(SUMPRODUCT(-- ISNUMBER(SEARCH({"Formula","Roll-Up Summary"}, $B50))) &gt; 0,$B50 &amp; " (" &amp; $E50 &amp; ")",IF(SUMPRODUCT(-- ISNUMBER(SEARCH({"Content","Currency","Number","Percent","Text","URL"}, $B50))) &gt; 0,$B50 &amp; "(" &amp; $C50 &amp; ")",$B50)))), "  ", TRIM(IF($S50 = "YES", "(External ID)", "") &amp; " " &amp; IF(SUMPRODUCT(-- ISNUMBER(SEARCH({"Unique","Unique Case Insensitive"}, $R50))) &gt; 0, "(" &amp; $R50 &amp; ")", ""))))</f>
        <v>na</v>
      </c>
      <c r="E50" s="7" t="s">
        <v>195</v>
      </c>
      <c r="F50" s="7" t="s">
        <v>195</v>
      </c>
      <c r="G50" s="7" t="s">
        <v>195</v>
      </c>
      <c r="H50" s="7" t="s">
        <v>195</v>
      </c>
      <c r="I50" s="7" t="s">
        <v>195</v>
      </c>
      <c r="J50" s="7" t="s">
        <v>195</v>
      </c>
      <c r="K50" s="7" t="s">
        <v>195</v>
      </c>
      <c r="L50" s="7" t="s">
        <v>195</v>
      </c>
      <c r="M50" s="7" t="s">
        <v>28</v>
      </c>
      <c r="N50" s="7" t="s">
        <v>29</v>
      </c>
      <c r="O50" s="7" t="s">
        <v>29</v>
      </c>
      <c r="P50" s="7" t="s">
        <v>29</v>
      </c>
      <c r="Q50" s="7" t="s">
        <v>29</v>
      </c>
      <c r="R50" s="7" t="s">
        <v>29</v>
      </c>
      <c r="S50" s="7" t="s">
        <v>29</v>
      </c>
    </row>
    <row r="51" spans="1:19">
      <c r="A51" s="7" t="s">
        <v>37</v>
      </c>
      <c r="B51" s="7" t="s">
        <v>195</v>
      </c>
      <c r="C51" s="8" t="s">
        <v>195</v>
      </c>
      <c r="D51" s="5" t="str">
        <f>LRTRIM(CONCATENATE(IF(SUMPRODUCT(-- ISNUMBER(SEARCH({"Auto Number"}, $B51))) &gt; 0, $B51, IF(SUMPRODUCT(-- ISNUMBER(SEARCH({"Lookup","Master-Detail"}, $B51))) &gt; 0,$B51 &amp; "(" &amp; $E51 &amp; ")",IF(SUMPRODUCT(-- ISNUMBER(SEARCH({"Formula","Roll-Up Summary"}, $B51))) &gt; 0,$B51 &amp; " (" &amp; $E51 &amp; ")",IF(SUMPRODUCT(-- ISNUMBER(SEARCH({"Content","Currency","Number","Percent","Text","URL"}, $B51))) &gt; 0,$B51 &amp; "(" &amp; $C51 &amp; ")",$B51)))), "  ", TRIM(IF($S51 = "YES", "(External ID)", "") &amp; " " &amp; IF(SUMPRODUCT(-- ISNUMBER(SEARCH({"Unique","Unique Case Insensitive"}, $R51))) &gt; 0, "(" &amp; $R51 &amp; ")", ""))))</f>
        <v>na</v>
      </c>
      <c r="E51" s="7" t="s">
        <v>195</v>
      </c>
      <c r="F51" s="7" t="s">
        <v>195</v>
      </c>
      <c r="G51" s="7" t="s">
        <v>195</v>
      </c>
      <c r="H51" s="7" t="s">
        <v>195</v>
      </c>
      <c r="I51" s="7" t="s">
        <v>195</v>
      </c>
      <c r="J51" s="7" t="s">
        <v>195</v>
      </c>
      <c r="K51" s="7" t="s">
        <v>195</v>
      </c>
      <c r="L51" s="7" t="s">
        <v>195</v>
      </c>
      <c r="M51" s="7" t="s">
        <v>28</v>
      </c>
      <c r="N51" s="7" t="s">
        <v>29</v>
      </c>
      <c r="O51" s="7" t="s">
        <v>29</v>
      </c>
      <c r="P51" s="7" t="s">
        <v>29</v>
      </c>
      <c r="Q51" s="7" t="s">
        <v>29</v>
      </c>
      <c r="R51" s="7" t="s">
        <v>29</v>
      </c>
      <c r="S51" s="7" t="s">
        <v>29</v>
      </c>
    </row>
    <row r="52" spans="1:19">
      <c r="A52" s="7" t="s">
        <v>38</v>
      </c>
      <c r="B52" s="7" t="s">
        <v>195</v>
      </c>
      <c r="C52" s="8" t="s">
        <v>195</v>
      </c>
      <c r="D52" s="5" t="str">
        <f>LRTRIM(CONCATENATE(IF(SUMPRODUCT(-- ISNUMBER(SEARCH({"Auto Number"}, $B52))) &gt; 0, $B52, IF(SUMPRODUCT(-- ISNUMBER(SEARCH({"Lookup","Master-Detail"}, $B52))) &gt; 0,$B52 &amp; "(" &amp; $E52 &amp; ")",IF(SUMPRODUCT(-- ISNUMBER(SEARCH({"Formula","Roll-Up Summary"}, $B52))) &gt; 0,$B52 &amp; " (" &amp; $E52 &amp; ")",IF(SUMPRODUCT(-- ISNUMBER(SEARCH({"Content","Currency","Number","Percent","Text","URL"}, $B52))) &gt; 0,$B52 &amp; "(" &amp; $C52 &amp; ")",$B52)))), "  ", TRIM(IF($S52 = "YES", "(External ID)", "") &amp; " " &amp; IF(SUMPRODUCT(-- ISNUMBER(SEARCH({"Unique","Unique Case Insensitive"}, $R52))) &gt; 0, "(" &amp; $R52 &amp; ")", ""))))</f>
        <v>na</v>
      </c>
      <c r="E52" s="7" t="s">
        <v>195</v>
      </c>
      <c r="F52" s="7" t="s">
        <v>195</v>
      </c>
      <c r="G52" s="7" t="s">
        <v>195</v>
      </c>
      <c r="H52" s="7" t="s">
        <v>195</v>
      </c>
      <c r="I52" s="7" t="s">
        <v>195</v>
      </c>
      <c r="J52" s="7" t="s">
        <v>195</v>
      </c>
      <c r="K52" s="7" t="s">
        <v>195</v>
      </c>
      <c r="L52" s="7" t="s">
        <v>195</v>
      </c>
      <c r="M52" s="7" t="s">
        <v>28</v>
      </c>
      <c r="N52" s="7" t="s">
        <v>29</v>
      </c>
      <c r="O52" s="7" t="s">
        <v>29</v>
      </c>
      <c r="P52" s="7" t="s">
        <v>29</v>
      </c>
      <c r="Q52" s="7" t="s">
        <v>29</v>
      </c>
      <c r="R52" s="7" t="s">
        <v>29</v>
      </c>
      <c r="S52" s="7" t="s">
        <v>29</v>
      </c>
    </row>
    <row r="53" spans="1:19">
      <c r="A53" s="7" t="s">
        <v>39</v>
      </c>
      <c r="B53" s="7" t="s">
        <v>195</v>
      </c>
      <c r="C53" s="8" t="s">
        <v>195</v>
      </c>
      <c r="D53" s="5" t="str">
        <f>LRTRIM(CONCATENATE(IF(SUMPRODUCT(-- ISNUMBER(SEARCH({"Auto Number"}, $B53))) &gt; 0, $B53, IF(SUMPRODUCT(-- ISNUMBER(SEARCH({"Lookup","Master-Detail"}, $B53))) &gt; 0,$B53 &amp; "(" &amp; $E53 &amp; ")",IF(SUMPRODUCT(-- ISNUMBER(SEARCH({"Formula","Roll-Up Summary"}, $B53))) &gt; 0,$B53 &amp; " (" &amp; $E53 &amp; ")",IF(SUMPRODUCT(-- ISNUMBER(SEARCH({"Content","Currency","Number","Percent","Text","URL"}, $B53))) &gt; 0,$B53 &amp; "(" &amp; $C53 &amp; ")",$B53)))), "  ", TRIM(IF($S53 = "YES", "(External ID)", "") &amp; " " &amp; IF(SUMPRODUCT(-- ISNUMBER(SEARCH({"Unique","Unique Case Insensitive"}, $R53))) &gt; 0, "(" &amp; $R53 &amp; ")", ""))))</f>
        <v>na</v>
      </c>
      <c r="E53" s="7" t="s">
        <v>195</v>
      </c>
      <c r="F53" s="7" t="s">
        <v>195</v>
      </c>
      <c r="G53" s="7" t="s">
        <v>195</v>
      </c>
      <c r="H53" s="7" t="s">
        <v>195</v>
      </c>
      <c r="I53" s="7" t="s">
        <v>195</v>
      </c>
      <c r="J53" s="7" t="s">
        <v>195</v>
      </c>
      <c r="K53" s="7" t="s">
        <v>195</v>
      </c>
      <c r="L53" s="7" t="s">
        <v>195</v>
      </c>
      <c r="M53" s="7" t="s">
        <v>28</v>
      </c>
      <c r="N53" s="7" t="s">
        <v>29</v>
      </c>
      <c r="O53" s="7" t="s">
        <v>29</v>
      </c>
      <c r="P53" s="7" t="s">
        <v>29</v>
      </c>
      <c r="Q53" s="7" t="s">
        <v>29</v>
      </c>
      <c r="R53" s="7" t="s">
        <v>29</v>
      </c>
      <c r="S53" s="7" t="s">
        <v>29</v>
      </c>
    </row>
    <row r="54" spans="1:19">
      <c r="B54" s="7" t="s">
        <v>195</v>
      </c>
      <c r="C54" s="8" t="s">
        <v>195</v>
      </c>
      <c r="D54" s="5" t="str">
        <f>LRTRIM(CONCATENATE(IF(SUMPRODUCT(-- ISNUMBER(SEARCH({"Auto Number"}, $B54))) &gt; 0, $B54, IF(SUMPRODUCT(-- ISNUMBER(SEARCH({"Lookup","Master-Detail"}, $B54))) &gt; 0,$B54 &amp; "(" &amp; $E54 &amp; ")",IF(SUMPRODUCT(-- ISNUMBER(SEARCH({"Formula","Roll-Up Summary"}, $B54))) &gt; 0,$B54 &amp; " (" &amp; $E54 &amp; ")",IF(SUMPRODUCT(-- ISNUMBER(SEARCH({"Content","Currency","Number","Percent","Text","URL"}, $B54))) &gt; 0,$B54 &amp; "(" &amp; $C54 &amp; ")",$B54)))), "  ", TRIM(IF($S54 = "YES", "(External ID)", "") &amp; " " &amp; IF(SUMPRODUCT(-- ISNUMBER(SEARCH({"Unique","Unique Case Insensitive"}, $R54))) &gt; 0, "(" &amp; $R54 &amp; ")", ""))))</f>
        <v>na</v>
      </c>
      <c r="E54" s="7" t="s">
        <v>195</v>
      </c>
      <c r="F54" s="7" t="s">
        <v>195</v>
      </c>
      <c r="G54" s="7" t="s">
        <v>195</v>
      </c>
      <c r="H54" s="7" t="s">
        <v>195</v>
      </c>
      <c r="I54" s="7" t="s">
        <v>195</v>
      </c>
      <c r="J54" s="7" t="s">
        <v>195</v>
      </c>
      <c r="K54" s="7" t="s">
        <v>195</v>
      </c>
      <c r="L54" s="7" t="s">
        <v>195</v>
      </c>
      <c r="M54" s="7" t="s">
        <v>29</v>
      </c>
      <c r="N54" s="7" t="s">
        <v>29</v>
      </c>
      <c r="O54" s="7" t="s">
        <v>29</v>
      </c>
      <c r="P54" s="7" t="s">
        <v>29</v>
      </c>
      <c r="Q54" s="7" t="s">
        <v>29</v>
      </c>
      <c r="R54" s="7" t="s">
        <v>29</v>
      </c>
      <c r="S54" s="7" t="s">
        <v>29</v>
      </c>
    </row>
    <row r="55" spans="1:19">
      <c r="B55" s="7" t="s">
        <v>195</v>
      </c>
      <c r="C55" s="8" t="s">
        <v>195</v>
      </c>
      <c r="D55" s="5" t="str">
        <f>LRTRIM(CONCATENATE(IF(SUMPRODUCT(-- ISNUMBER(SEARCH({"Auto Number"}, $B55))) &gt; 0, $B55, IF(SUMPRODUCT(-- ISNUMBER(SEARCH({"Lookup","Master-Detail"}, $B55))) &gt; 0,$B55 &amp; "(" &amp; $E55 &amp; ")",IF(SUMPRODUCT(-- ISNUMBER(SEARCH({"Formula","Roll-Up Summary"}, $B55))) &gt; 0,$B55 &amp; " (" &amp; $E55 &amp; ")",IF(SUMPRODUCT(-- ISNUMBER(SEARCH({"Content","Currency","Number","Percent","Text","URL"}, $B55))) &gt; 0,$B55 &amp; "(" &amp; $C55 &amp; ")",$B55)))), "  ", TRIM(IF($S55 = "YES", "(External ID)", "") &amp; " " &amp; IF(SUMPRODUCT(-- ISNUMBER(SEARCH({"Unique","Unique Case Insensitive"}, $R55))) &gt; 0, "(" &amp; $R55 &amp; ")", ""))))</f>
        <v>na</v>
      </c>
      <c r="E55" s="7" t="s">
        <v>195</v>
      </c>
      <c r="F55" s="7" t="s">
        <v>195</v>
      </c>
      <c r="G55" s="7" t="s">
        <v>195</v>
      </c>
      <c r="H55" s="7" t="s">
        <v>195</v>
      </c>
      <c r="I55" s="7" t="s">
        <v>195</v>
      </c>
      <c r="J55" s="7" t="s">
        <v>195</v>
      </c>
      <c r="K55" s="7" t="s">
        <v>195</v>
      </c>
      <c r="L55" s="7" t="s">
        <v>195</v>
      </c>
      <c r="M55" s="7" t="s">
        <v>29</v>
      </c>
      <c r="N55" s="7" t="s">
        <v>29</v>
      </c>
      <c r="O55" s="7" t="s">
        <v>29</v>
      </c>
      <c r="P55" s="7" t="s">
        <v>29</v>
      </c>
      <c r="Q55" s="7" t="s">
        <v>29</v>
      </c>
      <c r="R55" s="7" t="s">
        <v>29</v>
      </c>
      <c r="S55" s="7" t="s">
        <v>29</v>
      </c>
    </row>
    <row r="56" spans="1:19">
      <c r="B56" s="7" t="s">
        <v>195</v>
      </c>
      <c r="C56" s="8" t="s">
        <v>195</v>
      </c>
      <c r="D56" s="5" t="str">
        <f>LRTRIM(CONCATENATE(IF(SUMPRODUCT(-- ISNUMBER(SEARCH({"Auto Number"}, $B56))) &gt; 0, $B56, IF(SUMPRODUCT(-- ISNUMBER(SEARCH({"Lookup","Master-Detail"}, $B56))) &gt; 0,$B56 &amp; "(" &amp; $E56 &amp; ")",IF(SUMPRODUCT(-- ISNUMBER(SEARCH({"Formula","Roll-Up Summary"}, $B56))) &gt; 0,$B56 &amp; " (" &amp; $E56 &amp; ")",IF(SUMPRODUCT(-- ISNUMBER(SEARCH({"Content","Currency","Number","Percent","Text","URL"}, $B56))) &gt; 0,$B56 &amp; "(" &amp; $C56 &amp; ")",$B56)))), "  ", TRIM(IF($S56 = "YES", "(External ID)", "") &amp; " " &amp; IF(SUMPRODUCT(-- ISNUMBER(SEARCH({"Unique","Unique Case Insensitive"}, $R56))) &gt; 0, "(" &amp; $R56 &amp; ")", ""))))</f>
        <v>na</v>
      </c>
      <c r="E56" s="7" t="s">
        <v>195</v>
      </c>
      <c r="F56" s="7" t="s">
        <v>195</v>
      </c>
      <c r="G56" s="7" t="s">
        <v>195</v>
      </c>
      <c r="H56" s="7" t="s">
        <v>195</v>
      </c>
      <c r="I56" s="7" t="s">
        <v>195</v>
      </c>
      <c r="J56" s="7" t="s">
        <v>195</v>
      </c>
      <c r="K56" s="7" t="s">
        <v>195</v>
      </c>
      <c r="L56" s="7" t="s">
        <v>195</v>
      </c>
      <c r="M56" s="7" t="s">
        <v>29</v>
      </c>
      <c r="N56" s="7" t="s">
        <v>29</v>
      </c>
      <c r="O56" s="7" t="s">
        <v>29</v>
      </c>
      <c r="P56" s="7" t="s">
        <v>29</v>
      </c>
      <c r="Q56" s="7" t="s">
        <v>29</v>
      </c>
      <c r="R56" s="7" t="s">
        <v>29</v>
      </c>
      <c r="S56" s="7" t="s">
        <v>29</v>
      </c>
    </row>
    <row r="57" spans="1:19">
      <c r="B57" s="7" t="s">
        <v>195</v>
      </c>
      <c r="C57" s="8" t="s">
        <v>195</v>
      </c>
      <c r="D57" s="5" t="str">
        <f>LRTRIM(CONCATENATE(IF(SUMPRODUCT(-- ISNUMBER(SEARCH({"Auto Number"}, $B57))) &gt; 0, $B57, IF(SUMPRODUCT(-- ISNUMBER(SEARCH({"Lookup","Master-Detail"}, $B57))) &gt; 0,$B57 &amp; "(" &amp; $E57 &amp; ")",IF(SUMPRODUCT(-- ISNUMBER(SEARCH({"Formula","Roll-Up Summary"}, $B57))) &gt; 0,$B57 &amp; " (" &amp; $E57 &amp; ")",IF(SUMPRODUCT(-- ISNUMBER(SEARCH({"Content","Currency","Number","Percent","Text","URL"}, $B57))) &gt; 0,$B57 &amp; "(" &amp; $C57 &amp; ")",$B57)))), "  ", TRIM(IF($S57 = "YES", "(External ID)", "") &amp; " " &amp; IF(SUMPRODUCT(-- ISNUMBER(SEARCH({"Unique","Unique Case Insensitive"}, $R57))) &gt; 0, "(" &amp; $R57 &amp; ")", ""))))</f>
        <v>na</v>
      </c>
      <c r="E57" s="7" t="s">
        <v>195</v>
      </c>
      <c r="F57" s="7" t="s">
        <v>195</v>
      </c>
      <c r="G57" s="7" t="s">
        <v>195</v>
      </c>
      <c r="H57" s="7" t="s">
        <v>195</v>
      </c>
      <c r="I57" s="7" t="s">
        <v>195</v>
      </c>
      <c r="J57" s="7" t="s">
        <v>195</v>
      </c>
      <c r="K57" s="7" t="s">
        <v>195</v>
      </c>
      <c r="L57" s="7" t="s">
        <v>195</v>
      </c>
      <c r="M57" s="7" t="s">
        <v>29</v>
      </c>
      <c r="N57" s="7" t="s">
        <v>29</v>
      </c>
      <c r="O57" s="7" t="s">
        <v>29</v>
      </c>
      <c r="P57" s="7" t="s">
        <v>29</v>
      </c>
      <c r="Q57" s="7" t="s">
        <v>29</v>
      </c>
      <c r="R57" s="7" t="s">
        <v>29</v>
      </c>
      <c r="S57" s="7" t="s">
        <v>29</v>
      </c>
    </row>
    <row r="58" spans="1:19">
      <c r="B58" s="7" t="s">
        <v>195</v>
      </c>
      <c r="C58" s="8" t="s">
        <v>195</v>
      </c>
      <c r="D58" s="5" t="str">
        <f>LRTRIM(CONCATENATE(IF(SUMPRODUCT(-- ISNUMBER(SEARCH({"Auto Number"}, $B58))) &gt; 0, $B58, IF(SUMPRODUCT(-- ISNUMBER(SEARCH({"Lookup","Master-Detail"}, $B58))) &gt; 0,$B58 &amp; "(" &amp; $E58 &amp; ")",IF(SUMPRODUCT(-- ISNUMBER(SEARCH({"Formula","Roll-Up Summary"}, $B58))) &gt; 0,$B58 &amp; " (" &amp; $E58 &amp; ")",IF(SUMPRODUCT(-- ISNUMBER(SEARCH({"Content","Currency","Number","Percent","Text","URL"}, $B58))) &gt; 0,$B58 &amp; "(" &amp; $C58 &amp; ")",$B58)))), "  ", TRIM(IF($S58 = "YES", "(External ID)", "") &amp; " " &amp; IF(SUMPRODUCT(-- ISNUMBER(SEARCH({"Unique","Unique Case Insensitive"}, $R58))) &gt; 0, "(" &amp; $R58 &amp; ")", ""))))</f>
        <v>na</v>
      </c>
      <c r="E58" s="7" t="s">
        <v>195</v>
      </c>
      <c r="F58" s="7" t="s">
        <v>195</v>
      </c>
      <c r="G58" s="7" t="s">
        <v>195</v>
      </c>
      <c r="H58" s="7" t="s">
        <v>195</v>
      </c>
      <c r="I58" s="7" t="s">
        <v>195</v>
      </c>
      <c r="J58" s="7" t="s">
        <v>195</v>
      </c>
      <c r="K58" s="7" t="s">
        <v>195</v>
      </c>
      <c r="L58" s="7" t="s">
        <v>195</v>
      </c>
      <c r="M58" s="7" t="s">
        <v>29</v>
      </c>
      <c r="N58" s="7" t="s">
        <v>29</v>
      </c>
      <c r="O58" s="7" t="s">
        <v>29</v>
      </c>
      <c r="P58" s="7" t="s">
        <v>29</v>
      </c>
      <c r="Q58" s="7" t="s">
        <v>29</v>
      </c>
      <c r="R58" s="7" t="s">
        <v>29</v>
      </c>
      <c r="S58" s="7" t="s">
        <v>29</v>
      </c>
    </row>
    <row r="59" spans="1:19">
      <c r="B59" s="7" t="s">
        <v>195</v>
      </c>
      <c r="C59" s="8" t="s">
        <v>195</v>
      </c>
      <c r="D59" s="5" t="str">
        <f>LRTRIM(CONCATENATE(IF(SUMPRODUCT(-- ISNUMBER(SEARCH({"Auto Number"}, $B59))) &gt; 0, $B59, IF(SUMPRODUCT(-- ISNUMBER(SEARCH({"Lookup","Master-Detail"}, $B59))) &gt; 0,$B59 &amp; "(" &amp; $E59 &amp; ")",IF(SUMPRODUCT(-- ISNUMBER(SEARCH({"Formula","Roll-Up Summary"}, $B59))) &gt; 0,$B59 &amp; " (" &amp; $E59 &amp; ")",IF(SUMPRODUCT(-- ISNUMBER(SEARCH({"Content","Currency","Number","Percent","Text","URL"}, $B59))) &gt; 0,$B59 &amp; "(" &amp; $C59 &amp; ")",$B59)))), "  ", TRIM(IF($S59 = "YES", "(External ID)", "") &amp; " " &amp; IF(SUMPRODUCT(-- ISNUMBER(SEARCH({"Unique","Unique Case Insensitive"}, $R59))) &gt; 0, "(" &amp; $R59 &amp; ")", ""))))</f>
        <v>na</v>
      </c>
      <c r="E59" s="7" t="s">
        <v>195</v>
      </c>
      <c r="F59" s="7" t="s">
        <v>195</v>
      </c>
      <c r="G59" s="7" t="s">
        <v>195</v>
      </c>
      <c r="H59" s="7" t="s">
        <v>195</v>
      </c>
      <c r="I59" s="7" t="s">
        <v>195</v>
      </c>
      <c r="J59" s="7" t="s">
        <v>195</v>
      </c>
      <c r="K59" s="7" t="s">
        <v>195</v>
      </c>
      <c r="L59" s="7" t="s">
        <v>195</v>
      </c>
      <c r="M59" s="7" t="s">
        <v>29</v>
      </c>
      <c r="N59" s="7" t="s">
        <v>29</v>
      </c>
      <c r="O59" s="7" t="s">
        <v>29</v>
      </c>
      <c r="P59" s="7" t="s">
        <v>29</v>
      </c>
      <c r="Q59" s="7" t="s">
        <v>29</v>
      </c>
      <c r="R59" s="7" t="s">
        <v>29</v>
      </c>
      <c r="S59" s="7" t="s">
        <v>29</v>
      </c>
    </row>
    <row r="60" spans="1:19">
      <c r="B60" s="7" t="s">
        <v>195</v>
      </c>
      <c r="C60" s="8" t="s">
        <v>195</v>
      </c>
      <c r="D60" s="5" t="str">
        <f>LRTRIM(CONCATENATE(IF(SUMPRODUCT(-- ISNUMBER(SEARCH({"Auto Number"}, $B60))) &gt; 0, $B60, IF(SUMPRODUCT(-- ISNUMBER(SEARCH({"Lookup","Master-Detail"}, $B60))) &gt; 0,$B60 &amp; "(" &amp; $E60 &amp; ")",IF(SUMPRODUCT(-- ISNUMBER(SEARCH({"Formula","Roll-Up Summary"}, $B60))) &gt; 0,$B60 &amp; " (" &amp; $E60 &amp; ")",IF(SUMPRODUCT(-- ISNUMBER(SEARCH({"Content","Currency","Number","Percent","Text","URL"}, $B60))) &gt; 0,$B60 &amp; "(" &amp; $C60 &amp; ")",$B60)))), "  ", TRIM(IF($S60 = "YES", "(External ID)", "") &amp; " " &amp; IF(SUMPRODUCT(-- ISNUMBER(SEARCH({"Unique","Unique Case Insensitive"}, $R60))) &gt; 0, "(" &amp; $R60 &amp; ")", ""))))</f>
        <v>na</v>
      </c>
      <c r="E60" s="7" t="s">
        <v>195</v>
      </c>
      <c r="F60" s="7" t="s">
        <v>195</v>
      </c>
      <c r="G60" s="7" t="s">
        <v>195</v>
      </c>
      <c r="H60" s="7" t="s">
        <v>195</v>
      </c>
      <c r="I60" s="7" t="s">
        <v>195</v>
      </c>
      <c r="J60" s="7" t="s">
        <v>195</v>
      </c>
      <c r="K60" s="7" t="s">
        <v>195</v>
      </c>
      <c r="L60" s="7" t="s">
        <v>195</v>
      </c>
      <c r="M60" s="7" t="s">
        <v>29</v>
      </c>
      <c r="N60" s="7" t="s">
        <v>29</v>
      </c>
      <c r="O60" s="7" t="s">
        <v>29</v>
      </c>
      <c r="P60" s="7" t="s">
        <v>29</v>
      </c>
      <c r="Q60" s="7" t="s">
        <v>29</v>
      </c>
      <c r="R60" s="7" t="s">
        <v>29</v>
      </c>
      <c r="S60" s="7" t="s">
        <v>29</v>
      </c>
    </row>
    <row r="61" spans="1:19">
      <c r="B61" s="7" t="s">
        <v>195</v>
      </c>
      <c r="C61" s="8" t="s">
        <v>195</v>
      </c>
      <c r="D61" s="5" t="str">
        <f>LRTRIM(CONCATENATE(IF(SUMPRODUCT(-- ISNUMBER(SEARCH({"Auto Number"}, $B61))) &gt; 0, $B61, IF(SUMPRODUCT(-- ISNUMBER(SEARCH({"Lookup","Master-Detail"}, $B61))) &gt; 0,$B61 &amp; "(" &amp; $E61 &amp; ")",IF(SUMPRODUCT(-- ISNUMBER(SEARCH({"Formula","Roll-Up Summary"}, $B61))) &gt; 0,$B61 &amp; " (" &amp; $E61 &amp; ")",IF(SUMPRODUCT(-- ISNUMBER(SEARCH({"Content","Currency","Number","Percent","Text","URL"}, $B61))) &gt; 0,$B61 &amp; "(" &amp; $C61 &amp; ")",$B61)))), "  ", TRIM(IF($S61 = "YES", "(External ID)", "") &amp; " " &amp; IF(SUMPRODUCT(-- ISNUMBER(SEARCH({"Unique","Unique Case Insensitive"}, $R61))) &gt; 0, "(" &amp; $R61 &amp; ")", ""))))</f>
        <v>na</v>
      </c>
      <c r="E61" s="7" t="s">
        <v>195</v>
      </c>
      <c r="F61" s="7" t="s">
        <v>195</v>
      </c>
      <c r="G61" s="7" t="s">
        <v>195</v>
      </c>
      <c r="H61" s="7" t="s">
        <v>195</v>
      </c>
      <c r="I61" s="7" t="s">
        <v>195</v>
      </c>
      <c r="J61" s="7" t="s">
        <v>195</v>
      </c>
      <c r="K61" s="7" t="s">
        <v>195</v>
      </c>
      <c r="L61" s="7" t="s">
        <v>195</v>
      </c>
      <c r="M61" s="7" t="s">
        <v>29</v>
      </c>
      <c r="N61" s="7" t="s">
        <v>29</v>
      </c>
      <c r="O61" s="7" t="s">
        <v>29</v>
      </c>
      <c r="P61" s="7" t="s">
        <v>29</v>
      </c>
      <c r="Q61" s="7" t="s">
        <v>29</v>
      </c>
      <c r="R61" s="7" t="s">
        <v>29</v>
      </c>
      <c r="S61" s="7" t="s">
        <v>29</v>
      </c>
    </row>
    <row r="62" spans="1:19">
      <c r="B62" s="7" t="s">
        <v>195</v>
      </c>
      <c r="C62" s="8" t="s">
        <v>195</v>
      </c>
      <c r="D62" s="5" t="str">
        <f>LRTRIM(CONCATENATE(IF(SUMPRODUCT(-- ISNUMBER(SEARCH({"Auto Number"}, $B62))) &gt; 0, $B62, IF(SUMPRODUCT(-- ISNUMBER(SEARCH({"Lookup","Master-Detail"}, $B62))) &gt; 0,$B62 &amp; "(" &amp; $E62 &amp; ")",IF(SUMPRODUCT(-- ISNUMBER(SEARCH({"Formula","Roll-Up Summary"}, $B62))) &gt; 0,$B62 &amp; " (" &amp; $E62 &amp; ")",IF(SUMPRODUCT(-- ISNUMBER(SEARCH({"Content","Currency","Number","Percent","Text","URL"}, $B62))) &gt; 0,$B62 &amp; "(" &amp; $C62 &amp; ")",$B62)))), "  ", TRIM(IF($S62 = "YES", "(External ID)", "") &amp; " " &amp; IF(SUMPRODUCT(-- ISNUMBER(SEARCH({"Unique","Unique Case Insensitive"}, $R62))) &gt; 0, "(" &amp; $R62 &amp; ")", ""))))</f>
        <v>na</v>
      </c>
      <c r="E62" s="7" t="s">
        <v>195</v>
      </c>
      <c r="F62" s="7" t="s">
        <v>195</v>
      </c>
      <c r="G62" s="7" t="s">
        <v>195</v>
      </c>
      <c r="H62" s="7" t="s">
        <v>195</v>
      </c>
      <c r="I62" s="7" t="s">
        <v>195</v>
      </c>
      <c r="J62" s="7" t="s">
        <v>195</v>
      </c>
      <c r="K62" s="7" t="s">
        <v>195</v>
      </c>
      <c r="L62" s="7" t="s">
        <v>195</v>
      </c>
      <c r="M62" s="7" t="s">
        <v>29</v>
      </c>
      <c r="N62" s="7" t="s">
        <v>29</v>
      </c>
      <c r="O62" s="7" t="s">
        <v>29</v>
      </c>
      <c r="P62" s="7" t="s">
        <v>29</v>
      </c>
      <c r="Q62" s="7" t="s">
        <v>29</v>
      </c>
      <c r="R62" s="7" t="s">
        <v>29</v>
      </c>
      <c r="S62" s="7" t="s">
        <v>29</v>
      </c>
    </row>
    <row r="63" spans="1:19">
      <c r="B63" s="7" t="s">
        <v>195</v>
      </c>
      <c r="C63" s="8" t="s">
        <v>195</v>
      </c>
      <c r="D63" s="5" t="str">
        <f>LRTRIM(CONCATENATE(IF(SUMPRODUCT(-- ISNUMBER(SEARCH({"Auto Number"}, $B63))) &gt; 0, $B63, IF(SUMPRODUCT(-- ISNUMBER(SEARCH({"Lookup","Master-Detail"}, $B63))) &gt; 0,$B63 &amp; "(" &amp; $E63 &amp; ")",IF(SUMPRODUCT(-- ISNUMBER(SEARCH({"Formula","Roll-Up Summary"}, $B63))) &gt; 0,$B63 &amp; " (" &amp; $E63 &amp; ")",IF(SUMPRODUCT(-- ISNUMBER(SEARCH({"Content","Currency","Number","Percent","Text","URL"}, $B63))) &gt; 0,$B63 &amp; "(" &amp; $C63 &amp; ")",$B63)))), "  ", TRIM(IF($S63 = "YES", "(External ID)", "") &amp; " " &amp; IF(SUMPRODUCT(-- ISNUMBER(SEARCH({"Unique","Unique Case Insensitive"}, $R63))) &gt; 0, "(" &amp; $R63 &amp; ")", ""))))</f>
        <v>na</v>
      </c>
      <c r="E63" s="7" t="s">
        <v>195</v>
      </c>
      <c r="F63" s="7" t="s">
        <v>195</v>
      </c>
      <c r="G63" s="7" t="s">
        <v>195</v>
      </c>
      <c r="H63" s="7" t="s">
        <v>195</v>
      </c>
      <c r="I63" s="7" t="s">
        <v>195</v>
      </c>
      <c r="J63" s="7" t="s">
        <v>195</v>
      </c>
      <c r="K63" s="7" t="s">
        <v>195</v>
      </c>
      <c r="L63" s="7" t="s">
        <v>195</v>
      </c>
      <c r="M63" s="7" t="s">
        <v>29</v>
      </c>
      <c r="N63" s="7" t="s">
        <v>29</v>
      </c>
      <c r="O63" s="7" t="s">
        <v>29</v>
      </c>
      <c r="P63" s="7" t="s">
        <v>29</v>
      </c>
      <c r="Q63" s="7" t="s">
        <v>29</v>
      </c>
      <c r="R63" s="7" t="s">
        <v>29</v>
      </c>
      <c r="S63" s="7" t="s">
        <v>29</v>
      </c>
    </row>
    <row r="64" spans="1:19">
      <c r="B64" s="7" t="s">
        <v>195</v>
      </c>
      <c r="C64" s="8" t="s">
        <v>195</v>
      </c>
      <c r="D64" s="5" t="str">
        <f>LRTRIM(CONCATENATE(IF(SUMPRODUCT(-- ISNUMBER(SEARCH({"Auto Number"}, $B64))) &gt; 0, $B64, IF(SUMPRODUCT(-- ISNUMBER(SEARCH({"Lookup","Master-Detail"}, $B64))) &gt; 0,$B64 &amp; "(" &amp; $E64 &amp; ")",IF(SUMPRODUCT(-- ISNUMBER(SEARCH({"Formula","Roll-Up Summary"}, $B64))) &gt; 0,$B64 &amp; " (" &amp; $E64 &amp; ")",IF(SUMPRODUCT(-- ISNUMBER(SEARCH({"Content","Currency","Number","Percent","Text","URL"}, $B64))) &gt; 0,$B64 &amp; "(" &amp; $C64 &amp; ")",$B64)))), "  ", TRIM(IF($S64 = "YES", "(External ID)", "") &amp; " " &amp; IF(SUMPRODUCT(-- ISNUMBER(SEARCH({"Unique","Unique Case Insensitive"}, $R64))) &gt; 0, "(" &amp; $R64 &amp; ")", ""))))</f>
        <v>na</v>
      </c>
      <c r="E64" s="7" t="s">
        <v>195</v>
      </c>
      <c r="F64" s="7" t="s">
        <v>195</v>
      </c>
      <c r="G64" s="7" t="s">
        <v>195</v>
      </c>
      <c r="H64" s="7" t="s">
        <v>195</v>
      </c>
      <c r="I64" s="7" t="s">
        <v>195</v>
      </c>
      <c r="J64" s="7" t="s">
        <v>195</v>
      </c>
      <c r="K64" s="7" t="s">
        <v>195</v>
      </c>
      <c r="L64" s="7" t="s">
        <v>195</v>
      </c>
      <c r="M64" s="7" t="s">
        <v>29</v>
      </c>
      <c r="N64" s="7" t="s">
        <v>29</v>
      </c>
      <c r="O64" s="7" t="s">
        <v>29</v>
      </c>
      <c r="P64" s="7" t="s">
        <v>29</v>
      </c>
      <c r="Q64" s="7" t="s">
        <v>29</v>
      </c>
      <c r="R64" s="7" t="s">
        <v>29</v>
      </c>
      <c r="S64" s="7" t="s">
        <v>29</v>
      </c>
    </row>
    <row r="65" spans="2:19">
      <c r="B65" s="7" t="s">
        <v>195</v>
      </c>
      <c r="C65" s="8" t="s">
        <v>195</v>
      </c>
      <c r="D65" s="5" t="str">
        <f>LRTRIM(CONCATENATE(IF(SUMPRODUCT(-- ISNUMBER(SEARCH({"Auto Number"}, $B65))) &gt; 0, $B65, IF(SUMPRODUCT(-- ISNUMBER(SEARCH({"Lookup","Master-Detail"}, $B65))) &gt; 0,$B65 &amp; "(" &amp; $E65 &amp; ")",IF(SUMPRODUCT(-- ISNUMBER(SEARCH({"Formula","Roll-Up Summary"}, $B65))) &gt; 0,$B65 &amp; " (" &amp; $E65 &amp; ")",IF(SUMPRODUCT(-- ISNUMBER(SEARCH({"Content","Currency","Number","Percent","Text","URL"}, $B65))) &gt; 0,$B65 &amp; "(" &amp; $C65 &amp; ")",$B65)))), "  ", TRIM(IF($S65 = "YES", "(External ID)", "") &amp; " " &amp; IF(SUMPRODUCT(-- ISNUMBER(SEARCH({"Unique","Unique Case Insensitive"}, $R65))) &gt; 0, "(" &amp; $R65 &amp; ")", ""))))</f>
        <v>na</v>
      </c>
      <c r="E65" s="7" t="s">
        <v>195</v>
      </c>
      <c r="F65" s="7" t="s">
        <v>195</v>
      </c>
      <c r="G65" s="7" t="s">
        <v>195</v>
      </c>
      <c r="H65" s="7" t="s">
        <v>195</v>
      </c>
      <c r="I65" s="7" t="s">
        <v>195</v>
      </c>
      <c r="J65" s="7" t="s">
        <v>195</v>
      </c>
      <c r="K65" s="7" t="s">
        <v>195</v>
      </c>
      <c r="L65" s="7" t="s">
        <v>195</v>
      </c>
      <c r="M65" s="7" t="s">
        <v>29</v>
      </c>
      <c r="N65" s="7" t="s">
        <v>29</v>
      </c>
      <c r="O65" s="7" t="s">
        <v>29</v>
      </c>
      <c r="P65" s="7" t="s">
        <v>29</v>
      </c>
      <c r="Q65" s="7" t="s">
        <v>29</v>
      </c>
      <c r="R65" s="7" t="s">
        <v>29</v>
      </c>
      <c r="S65" s="7" t="s">
        <v>29</v>
      </c>
    </row>
    <row r="66" spans="2:19">
      <c r="B66" s="7" t="s">
        <v>195</v>
      </c>
      <c r="C66" s="8" t="s">
        <v>195</v>
      </c>
      <c r="D66" s="5" t="str">
        <f>LRTRIM(CONCATENATE(IF(SUMPRODUCT(-- ISNUMBER(SEARCH({"Auto Number"}, $B66))) &gt; 0, $B66, IF(SUMPRODUCT(-- ISNUMBER(SEARCH({"Lookup","Master-Detail"}, $B66))) &gt; 0,$B66 &amp; "(" &amp; $E66 &amp; ")",IF(SUMPRODUCT(-- ISNUMBER(SEARCH({"Formula","Roll-Up Summary"}, $B66))) &gt; 0,$B66 &amp; " (" &amp; $E66 &amp; ")",IF(SUMPRODUCT(-- ISNUMBER(SEARCH({"Content","Currency","Number","Percent","Text","URL"}, $B66))) &gt; 0,$B66 &amp; "(" &amp; $C66 &amp; ")",$B66)))), "  ", TRIM(IF($S66 = "YES", "(External ID)", "") &amp; " " &amp; IF(SUMPRODUCT(-- ISNUMBER(SEARCH({"Unique","Unique Case Insensitive"}, $R66))) &gt; 0, "(" &amp; $R66 &amp; ")", ""))))</f>
        <v>na</v>
      </c>
      <c r="E66" s="7" t="s">
        <v>195</v>
      </c>
      <c r="F66" s="7" t="s">
        <v>195</v>
      </c>
      <c r="G66" s="7" t="s">
        <v>195</v>
      </c>
      <c r="H66" s="7" t="s">
        <v>195</v>
      </c>
      <c r="I66" s="7" t="s">
        <v>195</v>
      </c>
      <c r="J66" s="7" t="s">
        <v>195</v>
      </c>
      <c r="K66" s="7" t="s">
        <v>195</v>
      </c>
      <c r="L66" s="7" t="s">
        <v>195</v>
      </c>
      <c r="M66" s="7" t="s">
        <v>29</v>
      </c>
      <c r="N66" s="7" t="s">
        <v>29</v>
      </c>
      <c r="O66" s="7" t="s">
        <v>29</v>
      </c>
      <c r="P66" s="7" t="s">
        <v>29</v>
      </c>
      <c r="Q66" s="7" t="s">
        <v>29</v>
      </c>
      <c r="R66" s="7" t="s">
        <v>29</v>
      </c>
      <c r="S66" s="7" t="s">
        <v>29</v>
      </c>
    </row>
    <row r="67" spans="2:19">
      <c r="B67" s="7" t="s">
        <v>195</v>
      </c>
      <c r="C67" s="8" t="s">
        <v>195</v>
      </c>
      <c r="D67" s="5" t="str">
        <f>LRTRIM(CONCATENATE(IF(SUMPRODUCT(-- ISNUMBER(SEARCH({"Auto Number"}, $B67))) &gt; 0, $B67, IF(SUMPRODUCT(-- ISNUMBER(SEARCH({"Lookup","Master-Detail"}, $B67))) &gt; 0,$B67 &amp; "(" &amp; $E67 &amp; ")",IF(SUMPRODUCT(-- ISNUMBER(SEARCH({"Formula","Roll-Up Summary"}, $B67))) &gt; 0,$B67 &amp; " (" &amp; $E67 &amp; ")",IF(SUMPRODUCT(-- ISNUMBER(SEARCH({"Content","Currency","Number","Percent","Text","URL"}, $B67))) &gt; 0,$B67 &amp; "(" &amp; $C67 &amp; ")",$B67)))), "  ", TRIM(IF($S67 = "YES", "(External ID)", "") &amp; " " &amp; IF(SUMPRODUCT(-- ISNUMBER(SEARCH({"Unique","Unique Case Insensitive"}, $R67))) &gt; 0, "(" &amp; $R67 &amp; ")", ""))))</f>
        <v>na</v>
      </c>
      <c r="E67" s="7" t="s">
        <v>195</v>
      </c>
      <c r="F67" s="7" t="s">
        <v>195</v>
      </c>
      <c r="G67" s="7" t="s">
        <v>195</v>
      </c>
      <c r="H67" s="7" t="s">
        <v>195</v>
      </c>
      <c r="I67" s="7" t="s">
        <v>195</v>
      </c>
      <c r="J67" s="7" t="s">
        <v>195</v>
      </c>
      <c r="K67" s="7" t="s">
        <v>195</v>
      </c>
      <c r="L67" s="7" t="s">
        <v>195</v>
      </c>
      <c r="M67" s="7" t="s">
        <v>29</v>
      </c>
      <c r="N67" s="7" t="s">
        <v>29</v>
      </c>
      <c r="O67" s="7" t="s">
        <v>29</v>
      </c>
      <c r="P67" s="7" t="s">
        <v>29</v>
      </c>
      <c r="Q67" s="7" t="s">
        <v>29</v>
      </c>
      <c r="R67" s="7" t="s">
        <v>29</v>
      </c>
      <c r="S67" s="7" t="s">
        <v>29</v>
      </c>
    </row>
    <row r="68" spans="2:19">
      <c r="B68" s="7" t="s">
        <v>195</v>
      </c>
      <c r="C68" s="8" t="s">
        <v>195</v>
      </c>
      <c r="D68" s="5" t="str">
        <f>LRTRIM(CONCATENATE(IF(SUMPRODUCT(-- ISNUMBER(SEARCH({"Auto Number"}, $B68))) &gt; 0, $B68, IF(SUMPRODUCT(-- ISNUMBER(SEARCH({"Lookup","Master-Detail"}, $B68))) &gt; 0,$B68 &amp; "(" &amp; $E68 &amp; ")",IF(SUMPRODUCT(-- ISNUMBER(SEARCH({"Formula","Roll-Up Summary"}, $B68))) &gt; 0,$B68 &amp; " (" &amp; $E68 &amp; ")",IF(SUMPRODUCT(-- ISNUMBER(SEARCH({"Content","Currency","Number","Percent","Text","URL"}, $B68))) &gt; 0,$B68 &amp; "(" &amp; $C68 &amp; ")",$B68)))), "  ", TRIM(IF($S68 = "YES", "(External ID)", "") &amp; " " &amp; IF(SUMPRODUCT(-- ISNUMBER(SEARCH({"Unique","Unique Case Insensitive"}, $R68))) &gt; 0, "(" &amp; $R68 &amp; ")", ""))))</f>
        <v>na</v>
      </c>
      <c r="E68" s="7" t="s">
        <v>195</v>
      </c>
      <c r="F68" s="7" t="s">
        <v>195</v>
      </c>
      <c r="G68" s="7" t="s">
        <v>195</v>
      </c>
      <c r="H68" s="7" t="s">
        <v>195</v>
      </c>
      <c r="I68" s="7" t="s">
        <v>195</v>
      </c>
      <c r="J68" s="7" t="s">
        <v>195</v>
      </c>
      <c r="K68" s="7" t="s">
        <v>195</v>
      </c>
      <c r="L68" s="7" t="s">
        <v>195</v>
      </c>
      <c r="M68" s="7" t="s">
        <v>29</v>
      </c>
      <c r="N68" s="7" t="s">
        <v>29</v>
      </c>
      <c r="O68" s="7" t="s">
        <v>29</v>
      </c>
      <c r="P68" s="7" t="s">
        <v>29</v>
      </c>
      <c r="Q68" s="7" t="s">
        <v>29</v>
      </c>
      <c r="R68" s="7" t="s">
        <v>29</v>
      </c>
      <c r="S68" s="7" t="s">
        <v>29</v>
      </c>
    </row>
    <row r="69" spans="2:19">
      <c r="B69" s="7" t="s">
        <v>195</v>
      </c>
      <c r="C69" s="8" t="s">
        <v>195</v>
      </c>
      <c r="D69" s="5" t="str">
        <f>LRTRIM(CONCATENATE(IF(SUMPRODUCT(-- ISNUMBER(SEARCH({"Auto Number"}, $B69))) &gt; 0, $B69, IF(SUMPRODUCT(-- ISNUMBER(SEARCH({"Lookup","Master-Detail"}, $B69))) &gt; 0,$B69 &amp; "(" &amp; $E69 &amp; ")",IF(SUMPRODUCT(-- ISNUMBER(SEARCH({"Formula","Roll-Up Summary"}, $B69))) &gt; 0,$B69 &amp; " (" &amp; $E69 &amp; ")",IF(SUMPRODUCT(-- ISNUMBER(SEARCH({"Content","Currency","Number","Percent","Text","URL"}, $B69))) &gt; 0,$B69 &amp; "(" &amp; $C69 &amp; ")",$B69)))), "  ", TRIM(IF($S69 = "YES", "(External ID)", "") &amp; " " &amp; IF(SUMPRODUCT(-- ISNUMBER(SEARCH({"Unique","Unique Case Insensitive"}, $R69))) &gt; 0, "(" &amp; $R69 &amp; ")", ""))))</f>
        <v>na</v>
      </c>
      <c r="E69" s="7" t="s">
        <v>195</v>
      </c>
      <c r="F69" s="7" t="s">
        <v>195</v>
      </c>
      <c r="G69" s="7" t="s">
        <v>195</v>
      </c>
      <c r="H69" s="7" t="s">
        <v>195</v>
      </c>
      <c r="I69" s="7" t="s">
        <v>195</v>
      </c>
      <c r="J69" s="7" t="s">
        <v>195</v>
      </c>
      <c r="K69" s="7" t="s">
        <v>195</v>
      </c>
      <c r="L69" s="7" t="s">
        <v>195</v>
      </c>
      <c r="M69" s="7" t="s">
        <v>29</v>
      </c>
      <c r="N69" s="7" t="s">
        <v>29</v>
      </c>
      <c r="O69" s="7" t="s">
        <v>29</v>
      </c>
      <c r="P69" s="7" t="s">
        <v>29</v>
      </c>
      <c r="Q69" s="7" t="s">
        <v>29</v>
      </c>
      <c r="R69" s="7" t="s">
        <v>29</v>
      </c>
      <c r="S69" s="7" t="s">
        <v>29</v>
      </c>
    </row>
    <row r="70" spans="2:19">
      <c r="B70" s="7" t="s">
        <v>195</v>
      </c>
      <c r="C70" s="8" t="s">
        <v>195</v>
      </c>
      <c r="D70" s="5" t="str">
        <f>LRTRIM(CONCATENATE(IF(SUMPRODUCT(-- ISNUMBER(SEARCH({"Auto Number"}, $B70))) &gt; 0, $B70, IF(SUMPRODUCT(-- ISNUMBER(SEARCH({"Lookup","Master-Detail"}, $B70))) &gt; 0,$B70 &amp; "(" &amp; $E70 &amp; ")",IF(SUMPRODUCT(-- ISNUMBER(SEARCH({"Formula","Roll-Up Summary"}, $B70))) &gt; 0,$B70 &amp; " (" &amp; $E70 &amp; ")",IF(SUMPRODUCT(-- ISNUMBER(SEARCH({"Content","Currency","Number","Percent","Text","URL"}, $B70))) &gt; 0,$B70 &amp; "(" &amp; $C70 &amp; ")",$B70)))), "  ", TRIM(IF($S70 = "YES", "(External ID)", "") &amp; " " &amp; IF(SUMPRODUCT(-- ISNUMBER(SEARCH({"Unique","Unique Case Insensitive"}, $R70))) &gt; 0, "(" &amp; $R70 &amp; ")", ""))))</f>
        <v>na</v>
      </c>
      <c r="E70" s="7" t="s">
        <v>195</v>
      </c>
      <c r="F70" s="7" t="s">
        <v>195</v>
      </c>
      <c r="G70" s="7" t="s">
        <v>195</v>
      </c>
      <c r="H70" s="7" t="s">
        <v>195</v>
      </c>
      <c r="I70" s="7" t="s">
        <v>195</v>
      </c>
      <c r="J70" s="7" t="s">
        <v>195</v>
      </c>
      <c r="K70" s="7" t="s">
        <v>195</v>
      </c>
      <c r="L70" s="7" t="s">
        <v>195</v>
      </c>
      <c r="M70" s="7" t="s">
        <v>29</v>
      </c>
      <c r="N70" s="7" t="s">
        <v>29</v>
      </c>
      <c r="O70" s="7" t="s">
        <v>29</v>
      </c>
      <c r="P70" s="7" t="s">
        <v>29</v>
      </c>
      <c r="Q70" s="7" t="s">
        <v>29</v>
      </c>
      <c r="R70" s="7" t="s">
        <v>29</v>
      </c>
      <c r="S70" s="7" t="s">
        <v>29</v>
      </c>
    </row>
    <row r="71" spans="2:19">
      <c r="B71" s="7" t="s">
        <v>195</v>
      </c>
      <c r="C71" s="8" t="s">
        <v>195</v>
      </c>
      <c r="D71" s="5" t="str">
        <f>LRTRIM(CONCATENATE(IF(SUMPRODUCT(-- ISNUMBER(SEARCH({"Auto Number"}, $B71))) &gt; 0, $B71, IF(SUMPRODUCT(-- ISNUMBER(SEARCH({"Lookup","Master-Detail"}, $B71))) &gt; 0,$B71 &amp; "(" &amp; $E71 &amp; ")",IF(SUMPRODUCT(-- ISNUMBER(SEARCH({"Formula","Roll-Up Summary"}, $B71))) &gt; 0,$B71 &amp; " (" &amp; $E71 &amp; ")",IF(SUMPRODUCT(-- ISNUMBER(SEARCH({"Content","Currency","Number","Percent","Text","URL"}, $B71))) &gt; 0,$B71 &amp; "(" &amp; $C71 &amp; ")",$B71)))), "  ", TRIM(IF($S71 = "YES", "(External ID)", "") &amp; " " &amp; IF(SUMPRODUCT(-- ISNUMBER(SEARCH({"Unique","Unique Case Insensitive"}, $R71))) &gt; 0, "(" &amp; $R71 &amp; ")", ""))))</f>
        <v>na</v>
      </c>
      <c r="E71" s="7" t="s">
        <v>195</v>
      </c>
      <c r="F71" s="7" t="s">
        <v>195</v>
      </c>
      <c r="G71" s="7" t="s">
        <v>195</v>
      </c>
      <c r="H71" s="7" t="s">
        <v>195</v>
      </c>
      <c r="I71" s="7" t="s">
        <v>195</v>
      </c>
      <c r="J71" s="7" t="s">
        <v>195</v>
      </c>
      <c r="K71" s="7" t="s">
        <v>195</v>
      </c>
      <c r="L71" s="7" t="s">
        <v>195</v>
      </c>
      <c r="M71" s="7" t="s">
        <v>29</v>
      </c>
      <c r="N71" s="7" t="s">
        <v>29</v>
      </c>
      <c r="O71" s="7" t="s">
        <v>29</v>
      </c>
      <c r="P71" s="7" t="s">
        <v>29</v>
      </c>
      <c r="Q71" s="7" t="s">
        <v>29</v>
      </c>
      <c r="R71" s="7" t="s">
        <v>29</v>
      </c>
      <c r="S71" s="7" t="s">
        <v>29</v>
      </c>
    </row>
    <row r="72" spans="2:19">
      <c r="B72" s="7" t="s">
        <v>195</v>
      </c>
      <c r="C72" s="8" t="s">
        <v>195</v>
      </c>
      <c r="D72" s="5" t="str">
        <f>LRTRIM(CONCATENATE(IF(SUMPRODUCT(-- ISNUMBER(SEARCH({"Auto Number"}, $B72))) &gt; 0, $B72, IF(SUMPRODUCT(-- ISNUMBER(SEARCH({"Lookup","Master-Detail"}, $B72))) &gt; 0,$B72 &amp; "(" &amp; $E72 &amp; ")",IF(SUMPRODUCT(-- ISNUMBER(SEARCH({"Formula","Roll-Up Summary"}, $B72))) &gt; 0,$B72 &amp; " (" &amp; $E72 &amp; ")",IF(SUMPRODUCT(-- ISNUMBER(SEARCH({"Content","Currency","Number","Percent","Text","URL"}, $B72))) &gt; 0,$B72 &amp; "(" &amp; $C72 &amp; ")",$B72)))), "  ", TRIM(IF($S72 = "YES", "(External ID)", "") &amp; " " &amp; IF(SUMPRODUCT(-- ISNUMBER(SEARCH({"Unique","Unique Case Insensitive"}, $R72))) &gt; 0, "(" &amp; $R72 &amp; ")", ""))))</f>
        <v>na</v>
      </c>
      <c r="E72" s="7" t="s">
        <v>195</v>
      </c>
      <c r="F72" s="7" t="s">
        <v>195</v>
      </c>
      <c r="G72" s="7" t="s">
        <v>195</v>
      </c>
      <c r="H72" s="7" t="s">
        <v>195</v>
      </c>
      <c r="I72" s="7" t="s">
        <v>195</v>
      </c>
      <c r="J72" s="7" t="s">
        <v>195</v>
      </c>
      <c r="K72" s="7" t="s">
        <v>195</v>
      </c>
      <c r="L72" s="7" t="s">
        <v>195</v>
      </c>
      <c r="M72" s="7" t="s">
        <v>29</v>
      </c>
      <c r="N72" s="7" t="s">
        <v>29</v>
      </c>
      <c r="O72" s="7" t="s">
        <v>29</v>
      </c>
      <c r="P72" s="7" t="s">
        <v>29</v>
      </c>
      <c r="Q72" s="7" t="s">
        <v>29</v>
      </c>
      <c r="R72" s="7" t="s">
        <v>29</v>
      </c>
      <c r="S72" s="7" t="s">
        <v>29</v>
      </c>
    </row>
    <row r="73" spans="2:19">
      <c r="B73" s="7" t="s">
        <v>195</v>
      </c>
      <c r="C73" s="8" t="s">
        <v>195</v>
      </c>
      <c r="D73" s="5" t="str">
        <f>LRTRIM(CONCATENATE(IF(SUMPRODUCT(-- ISNUMBER(SEARCH({"Auto Number"}, $B73))) &gt; 0, $B73, IF(SUMPRODUCT(-- ISNUMBER(SEARCH({"Lookup","Master-Detail"}, $B73))) &gt; 0,$B73 &amp; "(" &amp; $E73 &amp; ")",IF(SUMPRODUCT(-- ISNUMBER(SEARCH({"Formula","Roll-Up Summary"}, $B73))) &gt; 0,$B73 &amp; " (" &amp; $E73 &amp; ")",IF(SUMPRODUCT(-- ISNUMBER(SEARCH({"Content","Currency","Number","Percent","Text","URL"}, $B73))) &gt; 0,$B73 &amp; "(" &amp; $C73 &amp; ")",$B73)))), "  ", TRIM(IF($S73 = "YES", "(External ID)", "") &amp; " " &amp; IF(SUMPRODUCT(-- ISNUMBER(SEARCH({"Unique","Unique Case Insensitive"}, $R73))) &gt; 0, "(" &amp; $R73 &amp; ")", ""))))</f>
        <v>na</v>
      </c>
      <c r="E73" s="7" t="s">
        <v>195</v>
      </c>
      <c r="F73" s="7" t="s">
        <v>195</v>
      </c>
      <c r="G73" s="7" t="s">
        <v>195</v>
      </c>
      <c r="H73" s="7" t="s">
        <v>195</v>
      </c>
      <c r="I73" s="7" t="s">
        <v>195</v>
      </c>
      <c r="J73" s="7" t="s">
        <v>195</v>
      </c>
      <c r="K73" s="7" t="s">
        <v>195</v>
      </c>
      <c r="L73" s="7" t="s">
        <v>195</v>
      </c>
      <c r="M73" s="7" t="s">
        <v>29</v>
      </c>
      <c r="N73" s="7" t="s">
        <v>29</v>
      </c>
      <c r="O73" s="7" t="s">
        <v>29</v>
      </c>
      <c r="P73" s="7" t="s">
        <v>29</v>
      </c>
      <c r="Q73" s="7" t="s">
        <v>29</v>
      </c>
      <c r="R73" s="7" t="s">
        <v>29</v>
      </c>
      <c r="S73" s="7" t="s">
        <v>29</v>
      </c>
    </row>
    <row r="74" spans="2:19">
      <c r="B74" s="7" t="s">
        <v>195</v>
      </c>
      <c r="C74" s="8" t="s">
        <v>195</v>
      </c>
      <c r="D74" s="5" t="str">
        <f>LRTRIM(CONCATENATE(IF(SUMPRODUCT(-- ISNUMBER(SEARCH({"Auto Number"}, $B74))) &gt; 0, $B74, IF(SUMPRODUCT(-- ISNUMBER(SEARCH({"Lookup","Master-Detail"}, $B74))) &gt; 0,$B74 &amp; "(" &amp; $E74 &amp; ")",IF(SUMPRODUCT(-- ISNUMBER(SEARCH({"Formula","Roll-Up Summary"}, $B74))) &gt; 0,$B74 &amp; " (" &amp; $E74 &amp; ")",IF(SUMPRODUCT(-- ISNUMBER(SEARCH({"Content","Currency","Number","Percent","Text","URL"}, $B74))) &gt; 0,$B74 &amp; "(" &amp; $C74 &amp; ")",$B74)))), "  ", TRIM(IF($S74 = "YES", "(External ID)", "") &amp; " " &amp; IF(SUMPRODUCT(-- ISNUMBER(SEARCH({"Unique","Unique Case Insensitive"}, $R74))) &gt; 0, "(" &amp; $R74 &amp; ")", ""))))</f>
        <v>na</v>
      </c>
      <c r="E74" s="7" t="s">
        <v>195</v>
      </c>
      <c r="F74" s="7" t="s">
        <v>195</v>
      </c>
      <c r="G74" s="7" t="s">
        <v>195</v>
      </c>
      <c r="H74" s="7" t="s">
        <v>195</v>
      </c>
      <c r="I74" s="7" t="s">
        <v>195</v>
      </c>
      <c r="J74" s="7" t="s">
        <v>195</v>
      </c>
      <c r="K74" s="7" t="s">
        <v>195</v>
      </c>
      <c r="L74" s="7" t="s">
        <v>195</v>
      </c>
      <c r="M74" s="7" t="s">
        <v>29</v>
      </c>
      <c r="N74" s="7" t="s">
        <v>29</v>
      </c>
      <c r="O74" s="7" t="s">
        <v>29</v>
      </c>
      <c r="P74" s="7" t="s">
        <v>29</v>
      </c>
      <c r="Q74" s="7" t="s">
        <v>29</v>
      </c>
      <c r="R74" s="7" t="s">
        <v>29</v>
      </c>
      <c r="S74" s="7" t="s">
        <v>29</v>
      </c>
    </row>
    <row r="75" spans="2:19">
      <c r="B75" s="7" t="s">
        <v>195</v>
      </c>
      <c r="C75" s="8" t="s">
        <v>195</v>
      </c>
      <c r="D75" s="5" t="str">
        <f>LRTRIM(CONCATENATE(IF(SUMPRODUCT(-- ISNUMBER(SEARCH({"Auto Number"}, $B75))) &gt; 0, $B75, IF(SUMPRODUCT(-- ISNUMBER(SEARCH({"Lookup","Master-Detail"}, $B75))) &gt; 0,$B75 &amp; "(" &amp; $E75 &amp; ")",IF(SUMPRODUCT(-- ISNUMBER(SEARCH({"Formula","Roll-Up Summary"}, $B75))) &gt; 0,$B75 &amp; " (" &amp; $E75 &amp; ")",IF(SUMPRODUCT(-- ISNUMBER(SEARCH({"Content","Currency","Number","Percent","Text","URL"}, $B75))) &gt; 0,$B75 &amp; "(" &amp; $C75 &amp; ")",$B75)))), "  ", TRIM(IF($S75 = "YES", "(External ID)", "") &amp; " " &amp; IF(SUMPRODUCT(-- ISNUMBER(SEARCH({"Unique","Unique Case Insensitive"}, $R75))) &gt; 0, "(" &amp; $R75 &amp; ")", ""))))</f>
        <v>na</v>
      </c>
      <c r="E75" s="7" t="s">
        <v>195</v>
      </c>
      <c r="F75" s="7" t="s">
        <v>195</v>
      </c>
      <c r="G75" s="7" t="s">
        <v>195</v>
      </c>
      <c r="H75" s="7" t="s">
        <v>195</v>
      </c>
      <c r="I75" s="7" t="s">
        <v>195</v>
      </c>
      <c r="J75" s="7" t="s">
        <v>195</v>
      </c>
      <c r="K75" s="7" t="s">
        <v>195</v>
      </c>
      <c r="L75" s="7" t="s">
        <v>195</v>
      </c>
      <c r="M75" s="7" t="s">
        <v>29</v>
      </c>
      <c r="N75" s="7" t="s">
        <v>29</v>
      </c>
      <c r="O75" s="7" t="s">
        <v>29</v>
      </c>
      <c r="P75" s="7" t="s">
        <v>29</v>
      </c>
      <c r="Q75" s="7" t="s">
        <v>29</v>
      </c>
      <c r="R75" s="7" t="s">
        <v>29</v>
      </c>
      <c r="S75" s="7" t="s">
        <v>29</v>
      </c>
    </row>
    <row r="76" spans="2:19">
      <c r="B76" s="7" t="s">
        <v>195</v>
      </c>
      <c r="C76" s="8" t="s">
        <v>195</v>
      </c>
      <c r="D76" s="5" t="str">
        <f>LRTRIM(CONCATENATE(IF(SUMPRODUCT(-- ISNUMBER(SEARCH({"Auto Number"}, $B76))) &gt; 0, $B76, IF(SUMPRODUCT(-- ISNUMBER(SEARCH({"Lookup","Master-Detail"}, $B76))) &gt; 0,$B76 &amp; "(" &amp; $E76 &amp; ")",IF(SUMPRODUCT(-- ISNUMBER(SEARCH({"Formula","Roll-Up Summary"}, $B76))) &gt; 0,$B76 &amp; " (" &amp; $E76 &amp; ")",IF(SUMPRODUCT(-- ISNUMBER(SEARCH({"Content","Currency","Number","Percent","Text","URL"}, $B76))) &gt; 0,$B76 &amp; "(" &amp; $C76 &amp; ")",$B76)))), "  ", TRIM(IF($S76 = "YES", "(External ID)", "") &amp; " " &amp; IF(SUMPRODUCT(-- ISNUMBER(SEARCH({"Unique","Unique Case Insensitive"}, $R76))) &gt; 0, "(" &amp; $R76 &amp; ")", ""))))</f>
        <v>na</v>
      </c>
      <c r="E76" s="7" t="s">
        <v>195</v>
      </c>
      <c r="F76" s="7" t="s">
        <v>195</v>
      </c>
      <c r="G76" s="7" t="s">
        <v>195</v>
      </c>
      <c r="H76" s="7" t="s">
        <v>195</v>
      </c>
      <c r="I76" s="7" t="s">
        <v>195</v>
      </c>
      <c r="J76" s="7" t="s">
        <v>195</v>
      </c>
      <c r="K76" s="7" t="s">
        <v>195</v>
      </c>
      <c r="L76" s="7" t="s">
        <v>195</v>
      </c>
      <c r="M76" s="7" t="s">
        <v>29</v>
      </c>
      <c r="N76" s="7" t="s">
        <v>29</v>
      </c>
      <c r="O76" s="7" t="s">
        <v>29</v>
      </c>
      <c r="P76" s="7" t="s">
        <v>29</v>
      </c>
      <c r="Q76" s="7" t="s">
        <v>29</v>
      </c>
      <c r="R76" s="7" t="s">
        <v>29</v>
      </c>
      <c r="S76" s="7" t="s">
        <v>29</v>
      </c>
    </row>
    <row r="77" spans="2:19">
      <c r="B77" s="7" t="s">
        <v>195</v>
      </c>
      <c r="C77" s="8" t="s">
        <v>195</v>
      </c>
      <c r="D77" s="5" t="str">
        <f>LRTRIM(CONCATENATE(IF(SUMPRODUCT(-- ISNUMBER(SEARCH({"Auto Number"}, $B77))) &gt; 0, $B77, IF(SUMPRODUCT(-- ISNUMBER(SEARCH({"Lookup","Master-Detail"}, $B77))) &gt; 0,$B77 &amp; "(" &amp; $E77 &amp; ")",IF(SUMPRODUCT(-- ISNUMBER(SEARCH({"Formula","Roll-Up Summary"}, $B77))) &gt; 0,$B77 &amp; " (" &amp; $E77 &amp; ")",IF(SUMPRODUCT(-- ISNUMBER(SEARCH({"Content","Currency","Number","Percent","Text","URL"}, $B77))) &gt; 0,$B77 &amp; "(" &amp; $C77 &amp; ")",$B77)))), "  ", TRIM(IF($S77 = "YES", "(External ID)", "") &amp; " " &amp; IF(SUMPRODUCT(-- ISNUMBER(SEARCH({"Unique","Unique Case Insensitive"}, $R77))) &gt; 0, "(" &amp; $R77 &amp; ")", ""))))</f>
        <v>na</v>
      </c>
      <c r="E77" s="7" t="s">
        <v>195</v>
      </c>
      <c r="F77" s="7" t="s">
        <v>195</v>
      </c>
      <c r="G77" s="7" t="s">
        <v>195</v>
      </c>
      <c r="H77" s="7" t="s">
        <v>195</v>
      </c>
      <c r="I77" s="7" t="s">
        <v>195</v>
      </c>
      <c r="J77" s="7" t="s">
        <v>195</v>
      </c>
      <c r="K77" s="7" t="s">
        <v>195</v>
      </c>
      <c r="L77" s="7" t="s">
        <v>195</v>
      </c>
      <c r="M77" s="7" t="s">
        <v>29</v>
      </c>
      <c r="N77" s="7" t="s">
        <v>29</v>
      </c>
      <c r="O77" s="7" t="s">
        <v>29</v>
      </c>
      <c r="P77" s="7" t="s">
        <v>29</v>
      </c>
      <c r="Q77" s="7" t="s">
        <v>29</v>
      </c>
      <c r="R77" s="7" t="s">
        <v>29</v>
      </c>
      <c r="S77" s="7" t="s">
        <v>29</v>
      </c>
    </row>
    <row r="78" spans="2:19">
      <c r="B78" s="7" t="s">
        <v>195</v>
      </c>
      <c r="C78" s="8" t="s">
        <v>195</v>
      </c>
      <c r="D78" s="5" t="str">
        <f>LRTRIM(CONCATENATE(IF(SUMPRODUCT(-- ISNUMBER(SEARCH({"Auto Number"}, $B78))) &gt; 0, $B78, IF(SUMPRODUCT(-- ISNUMBER(SEARCH({"Lookup","Master-Detail"}, $B78))) &gt; 0,$B78 &amp; "(" &amp; $E78 &amp; ")",IF(SUMPRODUCT(-- ISNUMBER(SEARCH({"Formula","Roll-Up Summary"}, $B78))) &gt; 0,$B78 &amp; " (" &amp; $E78 &amp; ")",IF(SUMPRODUCT(-- ISNUMBER(SEARCH({"Content","Currency","Number","Percent","Text","URL"}, $B78))) &gt; 0,$B78 &amp; "(" &amp; $C78 &amp; ")",$B78)))), "  ", TRIM(IF($S78 = "YES", "(External ID)", "") &amp; " " &amp; IF(SUMPRODUCT(-- ISNUMBER(SEARCH({"Unique","Unique Case Insensitive"}, $R78))) &gt; 0, "(" &amp; $R78 &amp; ")", ""))))</f>
        <v>na</v>
      </c>
      <c r="E78" s="7" t="s">
        <v>195</v>
      </c>
      <c r="F78" s="7" t="s">
        <v>195</v>
      </c>
      <c r="G78" s="7" t="s">
        <v>195</v>
      </c>
      <c r="H78" s="7" t="s">
        <v>195</v>
      </c>
      <c r="I78" s="7" t="s">
        <v>195</v>
      </c>
      <c r="J78" s="7" t="s">
        <v>195</v>
      </c>
      <c r="K78" s="7" t="s">
        <v>195</v>
      </c>
      <c r="L78" s="7" t="s">
        <v>195</v>
      </c>
      <c r="M78" s="7" t="s">
        <v>29</v>
      </c>
      <c r="N78" s="7" t="s">
        <v>29</v>
      </c>
      <c r="O78" s="7" t="s">
        <v>29</v>
      </c>
      <c r="P78" s="7" t="s">
        <v>29</v>
      </c>
      <c r="Q78" s="7" t="s">
        <v>29</v>
      </c>
      <c r="R78" s="7" t="s">
        <v>29</v>
      </c>
      <c r="S78" s="7" t="s">
        <v>29</v>
      </c>
    </row>
    <row r="79" spans="2:19">
      <c r="B79" s="7" t="s">
        <v>195</v>
      </c>
      <c r="C79" s="8" t="s">
        <v>195</v>
      </c>
      <c r="D79" s="5" t="str">
        <f>LRTRIM(CONCATENATE(IF(SUMPRODUCT(-- ISNUMBER(SEARCH({"Auto Number"}, $B79))) &gt; 0, $B79, IF(SUMPRODUCT(-- ISNUMBER(SEARCH({"Lookup","Master-Detail"}, $B79))) &gt; 0,$B79 &amp; "(" &amp; $E79 &amp; ")",IF(SUMPRODUCT(-- ISNUMBER(SEARCH({"Formula","Roll-Up Summary"}, $B79))) &gt; 0,$B79 &amp; " (" &amp; $E79 &amp; ")",IF(SUMPRODUCT(-- ISNUMBER(SEARCH({"Content","Currency","Number","Percent","Text","URL"}, $B79))) &gt; 0,$B79 &amp; "(" &amp; $C79 &amp; ")",$B79)))), "  ", TRIM(IF($S79 = "YES", "(External ID)", "") &amp; " " &amp; IF(SUMPRODUCT(-- ISNUMBER(SEARCH({"Unique","Unique Case Insensitive"}, $R79))) &gt; 0, "(" &amp; $R79 &amp; ")", ""))))</f>
        <v>na</v>
      </c>
      <c r="E79" s="7" t="s">
        <v>195</v>
      </c>
      <c r="F79" s="7" t="s">
        <v>195</v>
      </c>
      <c r="G79" s="7" t="s">
        <v>195</v>
      </c>
      <c r="H79" s="7" t="s">
        <v>195</v>
      </c>
      <c r="I79" s="7" t="s">
        <v>195</v>
      </c>
      <c r="J79" s="7" t="s">
        <v>195</v>
      </c>
      <c r="K79" s="7" t="s">
        <v>195</v>
      </c>
      <c r="L79" s="7" t="s">
        <v>195</v>
      </c>
      <c r="M79" s="7" t="s">
        <v>29</v>
      </c>
      <c r="N79" s="7" t="s">
        <v>29</v>
      </c>
      <c r="O79" s="7" t="s">
        <v>29</v>
      </c>
      <c r="P79" s="7" t="s">
        <v>29</v>
      </c>
      <c r="Q79" s="7" t="s">
        <v>29</v>
      </c>
      <c r="R79" s="7" t="s">
        <v>29</v>
      </c>
      <c r="S79" s="7" t="s">
        <v>29</v>
      </c>
    </row>
    <row r="80" spans="2:19">
      <c r="B80" s="7" t="s">
        <v>195</v>
      </c>
      <c r="C80" s="8" t="s">
        <v>195</v>
      </c>
      <c r="D80" s="5" t="str">
        <f>LRTRIM(CONCATENATE(IF(SUMPRODUCT(-- ISNUMBER(SEARCH({"Auto Number"}, $B80))) &gt; 0, $B80, IF(SUMPRODUCT(-- ISNUMBER(SEARCH({"Lookup","Master-Detail"}, $B80))) &gt; 0,$B80 &amp; "(" &amp; $E80 &amp; ")",IF(SUMPRODUCT(-- ISNUMBER(SEARCH({"Formula","Roll-Up Summary"}, $B80))) &gt; 0,$B80 &amp; " (" &amp; $E80 &amp; ")",IF(SUMPRODUCT(-- ISNUMBER(SEARCH({"Content","Currency","Number","Percent","Text","URL"}, $B80))) &gt; 0,$B80 &amp; "(" &amp; $C80 &amp; ")",$B80)))), "  ", TRIM(IF($S80 = "YES", "(External ID)", "") &amp; " " &amp; IF(SUMPRODUCT(-- ISNUMBER(SEARCH({"Unique","Unique Case Insensitive"}, $R80))) &gt; 0, "(" &amp; $R80 &amp; ")", ""))))</f>
        <v>na</v>
      </c>
      <c r="E80" s="7" t="s">
        <v>195</v>
      </c>
      <c r="F80" s="7" t="s">
        <v>195</v>
      </c>
      <c r="G80" s="7" t="s">
        <v>195</v>
      </c>
      <c r="H80" s="7" t="s">
        <v>195</v>
      </c>
      <c r="I80" s="7" t="s">
        <v>195</v>
      </c>
      <c r="J80" s="7" t="s">
        <v>195</v>
      </c>
      <c r="K80" s="7" t="s">
        <v>195</v>
      </c>
      <c r="L80" s="7" t="s">
        <v>195</v>
      </c>
      <c r="M80" s="7" t="s">
        <v>29</v>
      </c>
      <c r="N80" s="7" t="s">
        <v>29</v>
      </c>
      <c r="O80" s="7" t="s">
        <v>29</v>
      </c>
      <c r="P80" s="7" t="s">
        <v>29</v>
      </c>
      <c r="Q80" s="7" t="s">
        <v>29</v>
      </c>
      <c r="R80" s="7" t="s">
        <v>29</v>
      </c>
      <c r="S80" s="7" t="s">
        <v>29</v>
      </c>
    </row>
    <row r="81" spans="2:19">
      <c r="B81" s="7" t="s">
        <v>195</v>
      </c>
      <c r="C81" s="8" t="s">
        <v>195</v>
      </c>
      <c r="D81" s="5" t="str">
        <f>LRTRIM(CONCATENATE(IF(SUMPRODUCT(-- ISNUMBER(SEARCH({"Auto Number"}, $B81))) &gt; 0, $B81, IF(SUMPRODUCT(-- ISNUMBER(SEARCH({"Lookup","Master-Detail"}, $B81))) &gt; 0,$B81 &amp; "(" &amp; $E81 &amp; ")",IF(SUMPRODUCT(-- ISNUMBER(SEARCH({"Formula","Roll-Up Summary"}, $B81))) &gt; 0,$B81 &amp; " (" &amp; $E81 &amp; ")",IF(SUMPRODUCT(-- ISNUMBER(SEARCH({"Content","Currency","Number","Percent","Text","URL"}, $B81))) &gt; 0,$B81 &amp; "(" &amp; $C81 &amp; ")",$B81)))), "  ", TRIM(IF($S81 = "YES", "(External ID)", "") &amp; " " &amp; IF(SUMPRODUCT(-- ISNUMBER(SEARCH({"Unique","Unique Case Insensitive"}, $R81))) &gt; 0, "(" &amp; $R81 &amp; ")", ""))))</f>
        <v>na</v>
      </c>
      <c r="E81" s="7" t="s">
        <v>195</v>
      </c>
      <c r="F81" s="7" t="s">
        <v>195</v>
      </c>
      <c r="G81" s="7" t="s">
        <v>195</v>
      </c>
      <c r="H81" s="7" t="s">
        <v>195</v>
      </c>
      <c r="I81" s="7" t="s">
        <v>195</v>
      </c>
      <c r="J81" s="7" t="s">
        <v>195</v>
      </c>
      <c r="K81" s="7" t="s">
        <v>195</v>
      </c>
      <c r="L81" s="7" t="s">
        <v>195</v>
      </c>
      <c r="M81" s="7" t="s">
        <v>29</v>
      </c>
      <c r="N81" s="7" t="s">
        <v>29</v>
      </c>
      <c r="O81" s="7" t="s">
        <v>29</v>
      </c>
      <c r="P81" s="7" t="s">
        <v>29</v>
      </c>
      <c r="Q81" s="7" t="s">
        <v>29</v>
      </c>
      <c r="R81" s="7" t="s">
        <v>29</v>
      </c>
      <c r="S81" s="7" t="s">
        <v>29</v>
      </c>
    </row>
    <row r="82" spans="2:19">
      <c r="B82" s="7" t="s">
        <v>195</v>
      </c>
      <c r="C82" s="8" t="s">
        <v>195</v>
      </c>
      <c r="D82" s="5" t="str">
        <f>LRTRIM(CONCATENATE(IF(SUMPRODUCT(-- ISNUMBER(SEARCH({"Auto Number"}, $B82))) &gt; 0, $B82, IF(SUMPRODUCT(-- ISNUMBER(SEARCH({"Lookup","Master-Detail"}, $B82))) &gt; 0,$B82 &amp; "(" &amp; $E82 &amp; ")",IF(SUMPRODUCT(-- ISNUMBER(SEARCH({"Formula","Roll-Up Summary"}, $B82))) &gt; 0,$B82 &amp; " (" &amp; $E82 &amp; ")",IF(SUMPRODUCT(-- ISNUMBER(SEARCH({"Content","Currency","Number","Percent","Text","URL"}, $B82))) &gt; 0,$B82 &amp; "(" &amp; $C82 &amp; ")",$B82)))), "  ", TRIM(IF($S82 = "YES", "(External ID)", "") &amp; " " &amp; IF(SUMPRODUCT(-- ISNUMBER(SEARCH({"Unique","Unique Case Insensitive"}, $R82))) &gt; 0, "(" &amp; $R82 &amp; ")", ""))))</f>
        <v>na</v>
      </c>
      <c r="E82" s="7" t="s">
        <v>195</v>
      </c>
      <c r="F82" s="7" t="s">
        <v>195</v>
      </c>
      <c r="G82" s="7" t="s">
        <v>195</v>
      </c>
      <c r="H82" s="7" t="s">
        <v>195</v>
      </c>
      <c r="I82" s="7" t="s">
        <v>195</v>
      </c>
      <c r="J82" s="7" t="s">
        <v>195</v>
      </c>
      <c r="K82" s="7" t="s">
        <v>195</v>
      </c>
      <c r="L82" s="7" t="s">
        <v>195</v>
      </c>
      <c r="M82" s="7" t="s">
        <v>29</v>
      </c>
      <c r="N82" s="7" t="s">
        <v>29</v>
      </c>
      <c r="O82" s="7" t="s">
        <v>29</v>
      </c>
      <c r="P82" s="7" t="s">
        <v>29</v>
      </c>
      <c r="Q82" s="7" t="s">
        <v>29</v>
      </c>
      <c r="R82" s="7" t="s">
        <v>29</v>
      </c>
      <c r="S82" s="7" t="s">
        <v>29</v>
      </c>
    </row>
    <row r="83" spans="2:19">
      <c r="B83" s="7" t="s">
        <v>195</v>
      </c>
      <c r="C83" s="8" t="s">
        <v>195</v>
      </c>
      <c r="D83" s="5" t="str">
        <f>LRTRIM(CONCATENATE(IF(SUMPRODUCT(-- ISNUMBER(SEARCH({"Auto Number"}, $B83))) &gt; 0, $B83, IF(SUMPRODUCT(-- ISNUMBER(SEARCH({"Lookup","Master-Detail"}, $B83))) &gt; 0,$B83 &amp; "(" &amp; $E83 &amp; ")",IF(SUMPRODUCT(-- ISNUMBER(SEARCH({"Formula","Roll-Up Summary"}, $B83))) &gt; 0,$B83 &amp; " (" &amp; $E83 &amp; ")",IF(SUMPRODUCT(-- ISNUMBER(SEARCH({"Content","Currency","Number","Percent","Text","URL"}, $B83))) &gt; 0,$B83 &amp; "(" &amp; $C83 &amp; ")",$B83)))), "  ", TRIM(IF($S83 = "YES", "(External ID)", "") &amp; " " &amp; IF(SUMPRODUCT(-- ISNUMBER(SEARCH({"Unique","Unique Case Insensitive"}, $R83))) &gt; 0, "(" &amp; $R83 &amp; ")", ""))))</f>
        <v>na</v>
      </c>
      <c r="E83" s="7" t="s">
        <v>195</v>
      </c>
      <c r="F83" s="7" t="s">
        <v>195</v>
      </c>
      <c r="G83" s="7" t="s">
        <v>195</v>
      </c>
      <c r="H83" s="7" t="s">
        <v>195</v>
      </c>
      <c r="I83" s="7" t="s">
        <v>195</v>
      </c>
      <c r="J83" s="7" t="s">
        <v>195</v>
      </c>
      <c r="K83" s="7" t="s">
        <v>195</v>
      </c>
      <c r="L83" s="7" t="s">
        <v>195</v>
      </c>
      <c r="M83" s="7" t="s">
        <v>29</v>
      </c>
      <c r="N83" s="7" t="s">
        <v>29</v>
      </c>
      <c r="O83" s="7" t="s">
        <v>29</v>
      </c>
      <c r="P83" s="7" t="s">
        <v>29</v>
      </c>
      <c r="Q83" s="7" t="s">
        <v>29</v>
      </c>
      <c r="R83" s="7" t="s">
        <v>29</v>
      </c>
      <c r="S83" s="7" t="s">
        <v>29</v>
      </c>
    </row>
    <row r="84" spans="2:19">
      <c r="B84" s="7" t="s">
        <v>195</v>
      </c>
      <c r="C84" s="8" t="s">
        <v>195</v>
      </c>
      <c r="D84" s="5" t="str">
        <f>LRTRIM(CONCATENATE(IF(SUMPRODUCT(-- ISNUMBER(SEARCH({"Auto Number"}, $B84))) &gt; 0, $B84, IF(SUMPRODUCT(-- ISNUMBER(SEARCH({"Lookup","Master-Detail"}, $B84))) &gt; 0,$B84 &amp; "(" &amp; $E84 &amp; ")",IF(SUMPRODUCT(-- ISNUMBER(SEARCH({"Formula","Roll-Up Summary"}, $B84))) &gt; 0,$B84 &amp; " (" &amp; $E84 &amp; ")",IF(SUMPRODUCT(-- ISNUMBER(SEARCH({"Content","Currency","Number","Percent","Text","URL"}, $B84))) &gt; 0,$B84 &amp; "(" &amp; $C84 &amp; ")",$B84)))), "  ", TRIM(IF($S84 = "YES", "(External ID)", "") &amp; " " &amp; IF(SUMPRODUCT(-- ISNUMBER(SEARCH({"Unique","Unique Case Insensitive"}, $R84))) &gt; 0, "(" &amp; $R84 &amp; ")", ""))))</f>
        <v>na</v>
      </c>
      <c r="E84" s="7" t="s">
        <v>195</v>
      </c>
      <c r="F84" s="7" t="s">
        <v>195</v>
      </c>
      <c r="G84" s="7" t="s">
        <v>195</v>
      </c>
      <c r="H84" s="7" t="s">
        <v>195</v>
      </c>
      <c r="I84" s="7" t="s">
        <v>195</v>
      </c>
      <c r="J84" s="7" t="s">
        <v>195</v>
      </c>
      <c r="K84" s="7" t="s">
        <v>195</v>
      </c>
      <c r="L84" s="7" t="s">
        <v>195</v>
      </c>
      <c r="M84" s="7" t="s">
        <v>29</v>
      </c>
      <c r="N84" s="7" t="s">
        <v>29</v>
      </c>
      <c r="O84" s="7" t="s">
        <v>29</v>
      </c>
      <c r="P84" s="7" t="s">
        <v>29</v>
      </c>
      <c r="Q84" s="7" t="s">
        <v>29</v>
      </c>
      <c r="R84" s="7" t="s">
        <v>29</v>
      </c>
      <c r="S84" s="7" t="s">
        <v>29</v>
      </c>
    </row>
    <row r="85" spans="2:19">
      <c r="B85" s="7" t="s">
        <v>195</v>
      </c>
      <c r="C85" s="8" t="s">
        <v>195</v>
      </c>
      <c r="D85" s="5" t="str">
        <f>LRTRIM(CONCATENATE(IF(SUMPRODUCT(-- ISNUMBER(SEARCH({"Auto Number"}, $B85))) &gt; 0, $B85, IF(SUMPRODUCT(-- ISNUMBER(SEARCH({"Lookup","Master-Detail"}, $B85))) &gt; 0,$B85 &amp; "(" &amp; $E85 &amp; ")",IF(SUMPRODUCT(-- ISNUMBER(SEARCH({"Formula","Roll-Up Summary"}, $B85))) &gt; 0,$B85 &amp; " (" &amp; $E85 &amp; ")",IF(SUMPRODUCT(-- ISNUMBER(SEARCH({"Content","Currency","Number","Percent","Text","URL"}, $B85))) &gt; 0,$B85 &amp; "(" &amp; $C85 &amp; ")",$B85)))), "  ", TRIM(IF($S85 = "YES", "(External ID)", "") &amp; " " &amp; IF(SUMPRODUCT(-- ISNUMBER(SEARCH({"Unique","Unique Case Insensitive"}, $R85))) &gt; 0, "(" &amp; $R85 &amp; ")", ""))))</f>
        <v>na</v>
      </c>
      <c r="E85" s="7" t="s">
        <v>195</v>
      </c>
      <c r="F85" s="7" t="s">
        <v>195</v>
      </c>
      <c r="G85" s="7" t="s">
        <v>195</v>
      </c>
      <c r="H85" s="7" t="s">
        <v>195</v>
      </c>
      <c r="I85" s="7" t="s">
        <v>195</v>
      </c>
      <c r="J85" s="7" t="s">
        <v>195</v>
      </c>
      <c r="K85" s="7" t="s">
        <v>195</v>
      </c>
      <c r="L85" s="7" t="s">
        <v>195</v>
      </c>
      <c r="M85" s="7" t="s">
        <v>29</v>
      </c>
      <c r="N85" s="7" t="s">
        <v>29</v>
      </c>
      <c r="O85" s="7" t="s">
        <v>29</v>
      </c>
      <c r="P85" s="7" t="s">
        <v>29</v>
      </c>
      <c r="Q85" s="7" t="s">
        <v>29</v>
      </c>
      <c r="R85" s="7" t="s">
        <v>29</v>
      </c>
      <c r="S85" s="7" t="s">
        <v>29</v>
      </c>
    </row>
    <row r="86" spans="2:19">
      <c r="B86" s="7" t="s">
        <v>195</v>
      </c>
      <c r="C86" s="8" t="s">
        <v>195</v>
      </c>
      <c r="D86" s="5" t="str">
        <f>LRTRIM(CONCATENATE(IF(SUMPRODUCT(-- ISNUMBER(SEARCH({"Auto Number"}, $B86))) &gt; 0, $B86, IF(SUMPRODUCT(-- ISNUMBER(SEARCH({"Lookup","Master-Detail"}, $B86))) &gt; 0,$B86 &amp; "(" &amp; $E86 &amp; ")",IF(SUMPRODUCT(-- ISNUMBER(SEARCH({"Formula","Roll-Up Summary"}, $B86))) &gt; 0,$B86 &amp; " (" &amp; $E86 &amp; ")",IF(SUMPRODUCT(-- ISNUMBER(SEARCH({"Content","Currency","Number","Percent","Text","URL"}, $B86))) &gt; 0,$B86 &amp; "(" &amp; $C86 &amp; ")",$B86)))), "  ", TRIM(IF($S86 = "YES", "(External ID)", "") &amp; " " &amp; IF(SUMPRODUCT(-- ISNUMBER(SEARCH({"Unique","Unique Case Insensitive"}, $R86))) &gt; 0, "(" &amp; $R86 &amp; ")", ""))))</f>
        <v>na</v>
      </c>
      <c r="E86" s="7" t="s">
        <v>195</v>
      </c>
      <c r="F86" s="7" t="s">
        <v>195</v>
      </c>
      <c r="G86" s="7" t="s">
        <v>195</v>
      </c>
      <c r="H86" s="7" t="s">
        <v>195</v>
      </c>
      <c r="I86" s="7" t="s">
        <v>195</v>
      </c>
      <c r="J86" s="7" t="s">
        <v>195</v>
      </c>
      <c r="K86" s="7" t="s">
        <v>195</v>
      </c>
      <c r="L86" s="7" t="s">
        <v>195</v>
      </c>
      <c r="M86" s="7" t="s">
        <v>29</v>
      </c>
      <c r="N86" s="7" t="s">
        <v>29</v>
      </c>
      <c r="O86" s="7" t="s">
        <v>29</v>
      </c>
      <c r="P86" s="7" t="s">
        <v>29</v>
      </c>
      <c r="Q86" s="7" t="s">
        <v>29</v>
      </c>
      <c r="R86" s="7" t="s">
        <v>29</v>
      </c>
      <c r="S86" s="7" t="s">
        <v>29</v>
      </c>
    </row>
    <row r="87" spans="2:19">
      <c r="B87" s="7" t="s">
        <v>195</v>
      </c>
      <c r="C87" s="8" t="s">
        <v>195</v>
      </c>
      <c r="D87" s="5" t="str">
        <f>LRTRIM(CONCATENATE(IF(SUMPRODUCT(-- ISNUMBER(SEARCH({"Auto Number"}, $B87))) &gt; 0, $B87, IF(SUMPRODUCT(-- ISNUMBER(SEARCH({"Lookup","Master-Detail"}, $B87))) &gt; 0,$B87 &amp; "(" &amp; $E87 &amp; ")",IF(SUMPRODUCT(-- ISNUMBER(SEARCH({"Formula","Roll-Up Summary"}, $B87))) &gt; 0,$B87 &amp; " (" &amp; $E87 &amp; ")",IF(SUMPRODUCT(-- ISNUMBER(SEARCH({"Content","Currency","Number","Percent","Text","URL"}, $B87))) &gt; 0,$B87 &amp; "(" &amp; $C87 &amp; ")",$B87)))), "  ", TRIM(IF($S87 = "YES", "(External ID)", "") &amp; " " &amp; IF(SUMPRODUCT(-- ISNUMBER(SEARCH({"Unique","Unique Case Insensitive"}, $R87))) &gt; 0, "(" &amp; $R87 &amp; ")", ""))))</f>
        <v>na</v>
      </c>
      <c r="E87" s="7" t="s">
        <v>195</v>
      </c>
      <c r="F87" s="7" t="s">
        <v>195</v>
      </c>
      <c r="G87" s="7" t="s">
        <v>195</v>
      </c>
      <c r="H87" s="7" t="s">
        <v>195</v>
      </c>
      <c r="I87" s="7" t="s">
        <v>195</v>
      </c>
      <c r="J87" s="7" t="s">
        <v>195</v>
      </c>
      <c r="K87" s="7" t="s">
        <v>195</v>
      </c>
      <c r="L87" s="7" t="s">
        <v>195</v>
      </c>
      <c r="M87" s="7" t="s">
        <v>29</v>
      </c>
      <c r="N87" s="7" t="s">
        <v>29</v>
      </c>
      <c r="O87" s="7" t="s">
        <v>29</v>
      </c>
      <c r="P87" s="7" t="s">
        <v>29</v>
      </c>
      <c r="Q87" s="7" t="s">
        <v>29</v>
      </c>
      <c r="R87" s="7" t="s">
        <v>29</v>
      </c>
      <c r="S87" s="7" t="s">
        <v>29</v>
      </c>
    </row>
    <row r="88" spans="2:19">
      <c r="B88" s="7" t="s">
        <v>195</v>
      </c>
      <c r="C88" s="8" t="s">
        <v>195</v>
      </c>
      <c r="D88" s="5" t="str">
        <f>LRTRIM(CONCATENATE(IF(SUMPRODUCT(-- ISNUMBER(SEARCH({"Auto Number"}, $B88))) &gt; 0, $B88, IF(SUMPRODUCT(-- ISNUMBER(SEARCH({"Lookup","Master-Detail"}, $B88))) &gt; 0,$B88 &amp; "(" &amp; $E88 &amp; ")",IF(SUMPRODUCT(-- ISNUMBER(SEARCH({"Formula","Roll-Up Summary"}, $B88))) &gt; 0,$B88 &amp; " (" &amp; $E88 &amp; ")",IF(SUMPRODUCT(-- ISNUMBER(SEARCH({"Content","Currency","Number","Percent","Text","URL"}, $B88))) &gt; 0,$B88 &amp; "(" &amp; $C88 &amp; ")",$B88)))), "  ", TRIM(IF($S88 = "YES", "(External ID)", "") &amp; " " &amp; IF(SUMPRODUCT(-- ISNUMBER(SEARCH({"Unique","Unique Case Insensitive"}, $R88))) &gt; 0, "(" &amp; $R88 &amp; ")", ""))))</f>
        <v>na</v>
      </c>
      <c r="E88" s="7" t="s">
        <v>195</v>
      </c>
      <c r="F88" s="7" t="s">
        <v>195</v>
      </c>
      <c r="G88" s="7" t="s">
        <v>195</v>
      </c>
      <c r="H88" s="7" t="s">
        <v>195</v>
      </c>
      <c r="I88" s="7" t="s">
        <v>195</v>
      </c>
      <c r="J88" s="7" t="s">
        <v>195</v>
      </c>
      <c r="K88" s="7" t="s">
        <v>195</v>
      </c>
      <c r="L88" s="7" t="s">
        <v>195</v>
      </c>
      <c r="M88" s="7" t="s">
        <v>29</v>
      </c>
      <c r="N88" s="7" t="s">
        <v>29</v>
      </c>
      <c r="O88" s="7" t="s">
        <v>29</v>
      </c>
      <c r="P88" s="7" t="s">
        <v>29</v>
      </c>
      <c r="Q88" s="7" t="s">
        <v>29</v>
      </c>
      <c r="R88" s="7" t="s">
        <v>29</v>
      </c>
      <c r="S88" s="7" t="s">
        <v>29</v>
      </c>
    </row>
    <row r="89" spans="2:19">
      <c r="B89" s="7" t="s">
        <v>195</v>
      </c>
      <c r="C89" s="8" t="s">
        <v>195</v>
      </c>
      <c r="D89" s="5" t="str">
        <f>LRTRIM(CONCATENATE(IF(SUMPRODUCT(-- ISNUMBER(SEARCH({"Auto Number"}, $B89))) &gt; 0, $B89, IF(SUMPRODUCT(-- ISNUMBER(SEARCH({"Lookup","Master-Detail"}, $B89))) &gt; 0,$B89 &amp; "(" &amp; $E89 &amp; ")",IF(SUMPRODUCT(-- ISNUMBER(SEARCH({"Formula","Roll-Up Summary"}, $B89))) &gt; 0,$B89 &amp; " (" &amp; $E89 &amp; ")",IF(SUMPRODUCT(-- ISNUMBER(SEARCH({"Content","Currency","Number","Percent","Text","URL"}, $B89))) &gt; 0,$B89 &amp; "(" &amp; $C89 &amp; ")",$B89)))), "  ", TRIM(IF($S89 = "YES", "(External ID)", "") &amp; " " &amp; IF(SUMPRODUCT(-- ISNUMBER(SEARCH({"Unique","Unique Case Insensitive"}, $R89))) &gt; 0, "(" &amp; $R89 &amp; ")", ""))))</f>
        <v>na</v>
      </c>
      <c r="E89" s="7" t="s">
        <v>195</v>
      </c>
      <c r="F89" s="7" t="s">
        <v>195</v>
      </c>
      <c r="G89" s="7" t="s">
        <v>195</v>
      </c>
      <c r="H89" s="7" t="s">
        <v>195</v>
      </c>
      <c r="I89" s="7" t="s">
        <v>195</v>
      </c>
      <c r="J89" s="7" t="s">
        <v>195</v>
      </c>
      <c r="K89" s="7" t="s">
        <v>195</v>
      </c>
      <c r="L89" s="7" t="s">
        <v>195</v>
      </c>
      <c r="M89" s="7" t="s">
        <v>29</v>
      </c>
      <c r="N89" s="7" t="s">
        <v>29</v>
      </c>
      <c r="O89" s="7" t="s">
        <v>29</v>
      </c>
      <c r="P89" s="7" t="s">
        <v>29</v>
      </c>
      <c r="Q89" s="7" t="s">
        <v>29</v>
      </c>
      <c r="R89" s="7" t="s">
        <v>29</v>
      </c>
      <c r="S89" s="7" t="s">
        <v>29</v>
      </c>
    </row>
    <row r="90" spans="2:19">
      <c r="B90" s="7" t="s">
        <v>195</v>
      </c>
      <c r="C90" s="8" t="s">
        <v>195</v>
      </c>
      <c r="D90" s="5" t="str">
        <f>LRTRIM(CONCATENATE(IF(SUMPRODUCT(-- ISNUMBER(SEARCH({"Auto Number"}, $B90))) &gt; 0, $B90, IF(SUMPRODUCT(-- ISNUMBER(SEARCH({"Lookup","Master-Detail"}, $B90))) &gt; 0,$B90 &amp; "(" &amp; $E90 &amp; ")",IF(SUMPRODUCT(-- ISNUMBER(SEARCH({"Formula","Roll-Up Summary"}, $B90))) &gt; 0,$B90 &amp; " (" &amp; $E90 &amp; ")",IF(SUMPRODUCT(-- ISNUMBER(SEARCH({"Content","Currency","Number","Percent","Text","URL"}, $B90))) &gt; 0,$B90 &amp; "(" &amp; $C90 &amp; ")",$B90)))), "  ", TRIM(IF($S90 = "YES", "(External ID)", "") &amp; " " &amp; IF(SUMPRODUCT(-- ISNUMBER(SEARCH({"Unique","Unique Case Insensitive"}, $R90))) &gt; 0, "(" &amp; $R90 &amp; ")", ""))))</f>
        <v>na</v>
      </c>
      <c r="E90" s="7" t="s">
        <v>195</v>
      </c>
      <c r="F90" s="7" t="s">
        <v>195</v>
      </c>
      <c r="G90" s="7" t="s">
        <v>195</v>
      </c>
      <c r="H90" s="7" t="s">
        <v>195</v>
      </c>
      <c r="I90" s="7" t="s">
        <v>195</v>
      </c>
      <c r="J90" s="7" t="s">
        <v>195</v>
      </c>
      <c r="K90" s="7" t="s">
        <v>195</v>
      </c>
      <c r="L90" s="7" t="s">
        <v>195</v>
      </c>
      <c r="M90" s="7" t="s">
        <v>29</v>
      </c>
      <c r="N90" s="7" t="s">
        <v>29</v>
      </c>
      <c r="O90" s="7" t="s">
        <v>29</v>
      </c>
      <c r="P90" s="7" t="s">
        <v>29</v>
      </c>
      <c r="Q90" s="7" t="s">
        <v>29</v>
      </c>
      <c r="R90" s="7" t="s">
        <v>29</v>
      </c>
      <c r="S90" s="7" t="s">
        <v>29</v>
      </c>
    </row>
    <row r="91" spans="2:19">
      <c r="B91" s="7" t="s">
        <v>195</v>
      </c>
      <c r="C91" s="8" t="s">
        <v>195</v>
      </c>
      <c r="D91" s="5" t="str">
        <f>LRTRIM(CONCATENATE(IF(SUMPRODUCT(-- ISNUMBER(SEARCH({"Auto Number"}, $B91))) &gt; 0, $B91, IF(SUMPRODUCT(-- ISNUMBER(SEARCH({"Lookup","Master-Detail"}, $B91))) &gt; 0,$B91 &amp; "(" &amp; $E91 &amp; ")",IF(SUMPRODUCT(-- ISNUMBER(SEARCH({"Formula","Roll-Up Summary"}, $B91))) &gt; 0,$B91 &amp; " (" &amp; $E91 &amp; ")",IF(SUMPRODUCT(-- ISNUMBER(SEARCH({"Content","Currency","Number","Percent","Text","URL"}, $B91))) &gt; 0,$B91 &amp; "(" &amp; $C91 &amp; ")",$B91)))), "  ", TRIM(IF($S91 = "YES", "(External ID)", "") &amp; " " &amp; IF(SUMPRODUCT(-- ISNUMBER(SEARCH({"Unique","Unique Case Insensitive"}, $R91))) &gt; 0, "(" &amp; $R91 &amp; ")", ""))))</f>
        <v>na</v>
      </c>
      <c r="E91" s="7" t="s">
        <v>195</v>
      </c>
      <c r="F91" s="7" t="s">
        <v>195</v>
      </c>
      <c r="G91" s="7" t="s">
        <v>195</v>
      </c>
      <c r="H91" s="7" t="s">
        <v>195</v>
      </c>
      <c r="I91" s="7" t="s">
        <v>195</v>
      </c>
      <c r="J91" s="7" t="s">
        <v>195</v>
      </c>
      <c r="K91" s="7" t="s">
        <v>195</v>
      </c>
      <c r="L91" s="7" t="s">
        <v>195</v>
      </c>
      <c r="M91" s="7" t="s">
        <v>29</v>
      </c>
      <c r="N91" s="7" t="s">
        <v>29</v>
      </c>
      <c r="O91" s="7" t="s">
        <v>29</v>
      </c>
      <c r="P91" s="7" t="s">
        <v>29</v>
      </c>
      <c r="Q91" s="7" t="s">
        <v>29</v>
      </c>
      <c r="R91" s="7" t="s">
        <v>29</v>
      </c>
      <c r="S91" s="7" t="s">
        <v>29</v>
      </c>
    </row>
    <row r="92" spans="2:19">
      <c r="B92" s="7" t="s">
        <v>195</v>
      </c>
      <c r="C92" s="8" t="s">
        <v>195</v>
      </c>
      <c r="D92" s="5" t="str">
        <f>LRTRIM(CONCATENATE(IF(SUMPRODUCT(-- ISNUMBER(SEARCH({"Auto Number"}, $B92))) &gt; 0, $B92, IF(SUMPRODUCT(-- ISNUMBER(SEARCH({"Lookup","Master-Detail"}, $B92))) &gt; 0,$B92 &amp; "(" &amp; $E92 &amp; ")",IF(SUMPRODUCT(-- ISNUMBER(SEARCH({"Formula","Roll-Up Summary"}, $B92))) &gt; 0,$B92 &amp; " (" &amp; $E92 &amp; ")",IF(SUMPRODUCT(-- ISNUMBER(SEARCH({"Content","Currency","Number","Percent","Text","URL"}, $B92))) &gt; 0,$B92 &amp; "(" &amp; $C92 &amp; ")",$B92)))), "  ", TRIM(IF($S92 = "YES", "(External ID)", "") &amp; " " &amp; IF(SUMPRODUCT(-- ISNUMBER(SEARCH({"Unique","Unique Case Insensitive"}, $R92))) &gt; 0, "(" &amp; $R92 &amp; ")", ""))))</f>
        <v>na</v>
      </c>
      <c r="E92" s="7" t="s">
        <v>195</v>
      </c>
      <c r="F92" s="7" t="s">
        <v>195</v>
      </c>
      <c r="G92" s="7" t="s">
        <v>195</v>
      </c>
      <c r="H92" s="7" t="s">
        <v>195</v>
      </c>
      <c r="I92" s="7" t="s">
        <v>195</v>
      </c>
      <c r="J92" s="7" t="s">
        <v>195</v>
      </c>
      <c r="K92" s="7" t="s">
        <v>195</v>
      </c>
      <c r="L92" s="7" t="s">
        <v>195</v>
      </c>
      <c r="M92" s="7" t="s">
        <v>29</v>
      </c>
      <c r="N92" s="7" t="s">
        <v>29</v>
      </c>
      <c r="O92" s="7" t="s">
        <v>29</v>
      </c>
      <c r="P92" s="7" t="s">
        <v>29</v>
      </c>
      <c r="Q92" s="7" t="s">
        <v>29</v>
      </c>
      <c r="R92" s="7" t="s">
        <v>29</v>
      </c>
      <c r="S92" s="7" t="s">
        <v>29</v>
      </c>
    </row>
    <row r="93" spans="2:19">
      <c r="B93" s="7" t="s">
        <v>195</v>
      </c>
      <c r="C93" s="8" t="s">
        <v>195</v>
      </c>
      <c r="D93" s="5" t="str">
        <f>LRTRIM(CONCATENATE(IF(SUMPRODUCT(-- ISNUMBER(SEARCH({"Auto Number"}, $B93))) &gt; 0, $B93, IF(SUMPRODUCT(-- ISNUMBER(SEARCH({"Lookup","Master-Detail"}, $B93))) &gt; 0,$B93 &amp; "(" &amp; $E93 &amp; ")",IF(SUMPRODUCT(-- ISNUMBER(SEARCH({"Formula","Roll-Up Summary"}, $B93))) &gt; 0,$B93 &amp; " (" &amp; $E93 &amp; ")",IF(SUMPRODUCT(-- ISNUMBER(SEARCH({"Content","Currency","Number","Percent","Text","URL"}, $B93))) &gt; 0,$B93 &amp; "(" &amp; $C93 &amp; ")",$B93)))), "  ", TRIM(IF($S93 = "YES", "(External ID)", "") &amp; " " &amp; IF(SUMPRODUCT(-- ISNUMBER(SEARCH({"Unique","Unique Case Insensitive"}, $R93))) &gt; 0, "(" &amp; $R93 &amp; ")", ""))))</f>
        <v>na</v>
      </c>
      <c r="E93" s="7" t="s">
        <v>195</v>
      </c>
      <c r="F93" s="7" t="s">
        <v>195</v>
      </c>
      <c r="G93" s="7" t="s">
        <v>195</v>
      </c>
      <c r="H93" s="7" t="s">
        <v>195</v>
      </c>
      <c r="I93" s="7" t="s">
        <v>195</v>
      </c>
      <c r="J93" s="7" t="s">
        <v>195</v>
      </c>
      <c r="K93" s="7" t="s">
        <v>195</v>
      </c>
      <c r="L93" s="7" t="s">
        <v>195</v>
      </c>
      <c r="M93" s="7" t="s">
        <v>29</v>
      </c>
      <c r="N93" s="7" t="s">
        <v>29</v>
      </c>
      <c r="O93" s="7" t="s">
        <v>29</v>
      </c>
      <c r="P93" s="7" t="s">
        <v>29</v>
      </c>
      <c r="Q93" s="7" t="s">
        <v>29</v>
      </c>
      <c r="R93" s="7" t="s">
        <v>29</v>
      </c>
      <c r="S93" s="7" t="s">
        <v>29</v>
      </c>
    </row>
    <row r="94" spans="2:19">
      <c r="B94" s="7" t="s">
        <v>195</v>
      </c>
      <c r="C94" s="8" t="s">
        <v>195</v>
      </c>
      <c r="D94" s="5" t="str">
        <f>LRTRIM(CONCATENATE(IF(SUMPRODUCT(-- ISNUMBER(SEARCH({"Auto Number"}, $B94))) &gt; 0, $B94, IF(SUMPRODUCT(-- ISNUMBER(SEARCH({"Lookup","Master-Detail"}, $B94))) &gt; 0,$B94 &amp; "(" &amp; $E94 &amp; ")",IF(SUMPRODUCT(-- ISNUMBER(SEARCH({"Formula","Roll-Up Summary"}, $B94))) &gt; 0,$B94 &amp; " (" &amp; $E94 &amp; ")",IF(SUMPRODUCT(-- ISNUMBER(SEARCH({"Content","Currency","Number","Percent","Text","URL"}, $B94))) &gt; 0,$B94 &amp; "(" &amp; $C94 &amp; ")",$B94)))), "  ", TRIM(IF($S94 = "YES", "(External ID)", "") &amp; " " &amp; IF(SUMPRODUCT(-- ISNUMBER(SEARCH({"Unique","Unique Case Insensitive"}, $R94))) &gt; 0, "(" &amp; $R94 &amp; ")", ""))))</f>
        <v>na</v>
      </c>
      <c r="E94" s="7" t="s">
        <v>195</v>
      </c>
      <c r="F94" s="7" t="s">
        <v>195</v>
      </c>
      <c r="G94" s="7" t="s">
        <v>195</v>
      </c>
      <c r="H94" s="7" t="s">
        <v>195</v>
      </c>
      <c r="I94" s="7" t="s">
        <v>195</v>
      </c>
      <c r="J94" s="7" t="s">
        <v>195</v>
      </c>
      <c r="K94" s="7" t="s">
        <v>195</v>
      </c>
      <c r="L94" s="7" t="s">
        <v>195</v>
      </c>
      <c r="M94" s="7" t="s">
        <v>29</v>
      </c>
      <c r="N94" s="7" t="s">
        <v>29</v>
      </c>
      <c r="O94" s="7" t="s">
        <v>29</v>
      </c>
      <c r="P94" s="7" t="s">
        <v>29</v>
      </c>
      <c r="Q94" s="7" t="s">
        <v>29</v>
      </c>
      <c r="R94" s="7" t="s">
        <v>29</v>
      </c>
      <c r="S94" s="7" t="s">
        <v>29</v>
      </c>
    </row>
    <row r="95" spans="2:19">
      <c r="B95" s="7" t="s">
        <v>195</v>
      </c>
      <c r="C95" s="8" t="s">
        <v>195</v>
      </c>
      <c r="D95" s="5" t="str">
        <f>LRTRIM(CONCATENATE(IF(SUMPRODUCT(-- ISNUMBER(SEARCH({"Auto Number"}, $B95))) &gt; 0, $B95, IF(SUMPRODUCT(-- ISNUMBER(SEARCH({"Lookup","Master-Detail"}, $B95))) &gt; 0,$B95 &amp; "(" &amp; $E95 &amp; ")",IF(SUMPRODUCT(-- ISNUMBER(SEARCH({"Formula","Roll-Up Summary"}, $B95))) &gt; 0,$B95 &amp; " (" &amp; $E95 &amp; ")",IF(SUMPRODUCT(-- ISNUMBER(SEARCH({"Content","Currency","Number","Percent","Text","URL"}, $B95))) &gt; 0,$B95 &amp; "(" &amp; $C95 &amp; ")",$B95)))), "  ", TRIM(IF($S95 = "YES", "(External ID)", "") &amp; " " &amp; IF(SUMPRODUCT(-- ISNUMBER(SEARCH({"Unique","Unique Case Insensitive"}, $R95))) &gt; 0, "(" &amp; $R95 &amp; ")", ""))))</f>
        <v>na</v>
      </c>
      <c r="E95" s="7" t="s">
        <v>195</v>
      </c>
      <c r="F95" s="7" t="s">
        <v>195</v>
      </c>
      <c r="G95" s="7" t="s">
        <v>195</v>
      </c>
      <c r="H95" s="7" t="s">
        <v>195</v>
      </c>
      <c r="I95" s="7" t="s">
        <v>195</v>
      </c>
      <c r="J95" s="7" t="s">
        <v>195</v>
      </c>
      <c r="K95" s="7" t="s">
        <v>195</v>
      </c>
      <c r="L95" s="7" t="s">
        <v>195</v>
      </c>
      <c r="M95" s="7" t="s">
        <v>29</v>
      </c>
      <c r="N95" s="7" t="s">
        <v>29</v>
      </c>
      <c r="O95" s="7" t="s">
        <v>29</v>
      </c>
      <c r="P95" s="7" t="s">
        <v>29</v>
      </c>
      <c r="Q95" s="7" t="s">
        <v>29</v>
      </c>
      <c r="R95" s="7" t="s">
        <v>29</v>
      </c>
      <c r="S95" s="7" t="s">
        <v>29</v>
      </c>
    </row>
    <row r="96" spans="2:19">
      <c r="B96" s="7" t="s">
        <v>195</v>
      </c>
      <c r="C96" s="8" t="s">
        <v>195</v>
      </c>
      <c r="D96" s="5" t="str">
        <f>LRTRIM(CONCATENATE(IF(SUMPRODUCT(-- ISNUMBER(SEARCH({"Auto Number"}, $B96))) &gt; 0, $B96, IF(SUMPRODUCT(-- ISNUMBER(SEARCH({"Lookup","Master-Detail"}, $B96))) &gt; 0,$B96 &amp; "(" &amp; $E96 &amp; ")",IF(SUMPRODUCT(-- ISNUMBER(SEARCH({"Formula","Roll-Up Summary"}, $B96))) &gt; 0,$B96 &amp; " (" &amp; $E96 &amp; ")",IF(SUMPRODUCT(-- ISNUMBER(SEARCH({"Content","Currency","Number","Percent","Text","URL"}, $B96))) &gt; 0,$B96 &amp; "(" &amp; $C96 &amp; ")",$B96)))), "  ", TRIM(IF($S96 = "YES", "(External ID)", "") &amp; " " &amp; IF(SUMPRODUCT(-- ISNUMBER(SEARCH({"Unique","Unique Case Insensitive"}, $R96))) &gt; 0, "(" &amp; $R96 &amp; ")", ""))))</f>
        <v>na</v>
      </c>
      <c r="E96" s="7" t="s">
        <v>195</v>
      </c>
      <c r="F96" s="7" t="s">
        <v>195</v>
      </c>
      <c r="G96" s="7" t="s">
        <v>195</v>
      </c>
      <c r="H96" s="7" t="s">
        <v>195</v>
      </c>
      <c r="I96" s="7" t="s">
        <v>195</v>
      </c>
      <c r="J96" s="7" t="s">
        <v>195</v>
      </c>
      <c r="K96" s="7" t="s">
        <v>195</v>
      </c>
      <c r="L96" s="7" t="s">
        <v>195</v>
      </c>
      <c r="M96" s="7" t="s">
        <v>29</v>
      </c>
      <c r="N96" s="7" t="s">
        <v>29</v>
      </c>
      <c r="O96" s="7" t="s">
        <v>29</v>
      </c>
      <c r="P96" s="7" t="s">
        <v>29</v>
      </c>
      <c r="Q96" s="7" t="s">
        <v>29</v>
      </c>
      <c r="R96" s="7" t="s">
        <v>29</v>
      </c>
      <c r="S96" s="7" t="s">
        <v>29</v>
      </c>
    </row>
    <row r="97" spans="2:19">
      <c r="B97" s="7" t="s">
        <v>195</v>
      </c>
      <c r="C97" s="8" t="s">
        <v>195</v>
      </c>
      <c r="D97" s="5" t="str">
        <f>LRTRIM(CONCATENATE(IF(SUMPRODUCT(-- ISNUMBER(SEARCH({"Auto Number"}, $B97))) &gt; 0, $B97, IF(SUMPRODUCT(-- ISNUMBER(SEARCH({"Lookup","Master-Detail"}, $B97))) &gt; 0,$B97 &amp; "(" &amp; $E97 &amp; ")",IF(SUMPRODUCT(-- ISNUMBER(SEARCH({"Formula","Roll-Up Summary"}, $B97))) &gt; 0,$B97 &amp; " (" &amp; $E97 &amp; ")",IF(SUMPRODUCT(-- ISNUMBER(SEARCH({"Content","Currency","Number","Percent","Text","URL"}, $B97))) &gt; 0,$B97 &amp; "(" &amp; $C97 &amp; ")",$B97)))), "  ", TRIM(IF($S97 = "YES", "(External ID)", "") &amp; " " &amp; IF(SUMPRODUCT(-- ISNUMBER(SEARCH({"Unique","Unique Case Insensitive"}, $R97))) &gt; 0, "(" &amp; $R97 &amp; ")", ""))))</f>
        <v>na</v>
      </c>
      <c r="E97" s="7" t="s">
        <v>195</v>
      </c>
      <c r="F97" s="7" t="s">
        <v>195</v>
      </c>
      <c r="G97" s="7" t="s">
        <v>195</v>
      </c>
      <c r="H97" s="7" t="s">
        <v>195</v>
      </c>
      <c r="I97" s="7" t="s">
        <v>195</v>
      </c>
      <c r="J97" s="7" t="s">
        <v>195</v>
      </c>
      <c r="K97" s="7" t="s">
        <v>195</v>
      </c>
      <c r="L97" s="7" t="s">
        <v>195</v>
      </c>
      <c r="M97" s="7" t="s">
        <v>29</v>
      </c>
      <c r="N97" s="7" t="s">
        <v>29</v>
      </c>
      <c r="O97" s="7" t="s">
        <v>29</v>
      </c>
      <c r="P97" s="7" t="s">
        <v>29</v>
      </c>
      <c r="Q97" s="7" t="s">
        <v>29</v>
      </c>
      <c r="R97" s="7" t="s">
        <v>29</v>
      </c>
      <c r="S97" s="7" t="s">
        <v>29</v>
      </c>
    </row>
    <row r="98" spans="2:19">
      <c r="B98" s="7" t="s">
        <v>195</v>
      </c>
      <c r="C98" s="8" t="s">
        <v>195</v>
      </c>
      <c r="D98" s="5" t="str">
        <f>LRTRIM(CONCATENATE(IF(SUMPRODUCT(-- ISNUMBER(SEARCH({"Auto Number"}, $B98))) &gt; 0, $B98, IF(SUMPRODUCT(-- ISNUMBER(SEARCH({"Lookup","Master-Detail"}, $B98))) &gt; 0,$B98 &amp; "(" &amp; $E98 &amp; ")",IF(SUMPRODUCT(-- ISNUMBER(SEARCH({"Formula","Roll-Up Summary"}, $B98))) &gt; 0,$B98 &amp; " (" &amp; $E98 &amp; ")",IF(SUMPRODUCT(-- ISNUMBER(SEARCH({"Content","Currency","Number","Percent","Text","URL"}, $B98))) &gt; 0,$B98 &amp; "(" &amp; $C98 &amp; ")",$B98)))), "  ", TRIM(IF($S98 = "YES", "(External ID)", "") &amp; " " &amp; IF(SUMPRODUCT(-- ISNUMBER(SEARCH({"Unique","Unique Case Insensitive"}, $R98))) &gt; 0, "(" &amp; $R98 &amp; ")", ""))))</f>
        <v>na</v>
      </c>
      <c r="E98" s="7" t="s">
        <v>195</v>
      </c>
      <c r="F98" s="7" t="s">
        <v>195</v>
      </c>
      <c r="G98" s="7" t="s">
        <v>195</v>
      </c>
      <c r="H98" s="7" t="s">
        <v>195</v>
      </c>
      <c r="I98" s="7" t="s">
        <v>195</v>
      </c>
      <c r="J98" s="7" t="s">
        <v>195</v>
      </c>
      <c r="K98" s="7" t="s">
        <v>195</v>
      </c>
      <c r="L98" s="7" t="s">
        <v>195</v>
      </c>
      <c r="M98" s="7" t="s">
        <v>29</v>
      </c>
      <c r="N98" s="7" t="s">
        <v>29</v>
      </c>
      <c r="O98" s="7" t="s">
        <v>29</v>
      </c>
      <c r="P98" s="7" t="s">
        <v>29</v>
      </c>
      <c r="Q98" s="7" t="s">
        <v>29</v>
      </c>
      <c r="R98" s="7" t="s">
        <v>29</v>
      </c>
      <c r="S98" s="7" t="s">
        <v>29</v>
      </c>
    </row>
    <row r="99" spans="2:19">
      <c r="B99" s="7" t="s">
        <v>195</v>
      </c>
      <c r="C99" s="8" t="s">
        <v>195</v>
      </c>
      <c r="D99" s="5" t="str">
        <f>LRTRIM(CONCATENATE(IF(SUMPRODUCT(-- ISNUMBER(SEARCH({"Auto Number"}, $B99))) &gt; 0, $B99, IF(SUMPRODUCT(-- ISNUMBER(SEARCH({"Lookup","Master-Detail"}, $B99))) &gt; 0,$B99 &amp; "(" &amp; $E99 &amp; ")",IF(SUMPRODUCT(-- ISNUMBER(SEARCH({"Formula","Roll-Up Summary"}, $B99))) &gt; 0,$B99 &amp; " (" &amp; $E99 &amp; ")",IF(SUMPRODUCT(-- ISNUMBER(SEARCH({"Content","Currency","Number","Percent","Text","URL"}, $B99))) &gt; 0,$B99 &amp; "(" &amp; $C99 &amp; ")",$B99)))), "  ", TRIM(IF($S99 = "YES", "(External ID)", "") &amp; " " &amp; IF(SUMPRODUCT(-- ISNUMBER(SEARCH({"Unique","Unique Case Insensitive"}, $R99))) &gt; 0, "(" &amp; $R99 &amp; ")", ""))))</f>
        <v>na</v>
      </c>
      <c r="E99" s="7" t="s">
        <v>195</v>
      </c>
      <c r="F99" s="7" t="s">
        <v>195</v>
      </c>
      <c r="G99" s="7" t="s">
        <v>195</v>
      </c>
      <c r="H99" s="7" t="s">
        <v>195</v>
      </c>
      <c r="I99" s="7" t="s">
        <v>195</v>
      </c>
      <c r="J99" s="7" t="s">
        <v>195</v>
      </c>
      <c r="K99" s="7" t="s">
        <v>195</v>
      </c>
      <c r="L99" s="7" t="s">
        <v>195</v>
      </c>
      <c r="M99" s="7" t="s">
        <v>29</v>
      </c>
      <c r="N99" s="7" t="s">
        <v>29</v>
      </c>
      <c r="O99" s="7" t="s">
        <v>29</v>
      </c>
      <c r="P99" s="7" t="s">
        <v>29</v>
      </c>
      <c r="Q99" s="7" t="s">
        <v>29</v>
      </c>
      <c r="R99" s="7" t="s">
        <v>29</v>
      </c>
      <c r="S99" s="7" t="s">
        <v>29</v>
      </c>
    </row>
    <row r="100" spans="2:19">
      <c r="B100" s="7" t="s">
        <v>195</v>
      </c>
      <c r="C100" s="8" t="s">
        <v>195</v>
      </c>
      <c r="D100" s="5" t="str">
        <f>LRTRIM(CONCATENATE(IF(SUMPRODUCT(-- ISNUMBER(SEARCH({"Auto Number"}, $B100))) &gt; 0, $B100, IF(SUMPRODUCT(-- ISNUMBER(SEARCH({"Lookup","Master-Detail"}, $B100))) &gt; 0,$B100 &amp; "(" &amp; $E100 &amp; ")",IF(SUMPRODUCT(-- ISNUMBER(SEARCH({"Formula","Roll-Up Summary"}, $B100))) &gt; 0,$B100 &amp; " (" &amp; $E100 &amp; ")",IF(SUMPRODUCT(-- ISNUMBER(SEARCH({"Content","Currency","Number","Percent","Text","URL"}, $B100))) &gt; 0,$B100 &amp; "(" &amp; $C100 &amp; ")",$B100)))), "  ", TRIM(IF($S100 = "YES", "(External ID)", "") &amp; " " &amp; IF(SUMPRODUCT(-- ISNUMBER(SEARCH({"Unique","Unique Case Insensitive"}, $R100))) &gt; 0, "(" &amp; $R100 &amp; ")", ""))))</f>
        <v>na</v>
      </c>
      <c r="E100" s="7" t="s">
        <v>195</v>
      </c>
      <c r="F100" s="7" t="s">
        <v>195</v>
      </c>
      <c r="G100" s="7" t="s">
        <v>195</v>
      </c>
      <c r="H100" s="7" t="s">
        <v>195</v>
      </c>
      <c r="I100" s="7" t="s">
        <v>195</v>
      </c>
      <c r="J100" s="7" t="s">
        <v>195</v>
      </c>
      <c r="K100" s="7" t="s">
        <v>195</v>
      </c>
      <c r="L100" s="7" t="s">
        <v>195</v>
      </c>
      <c r="M100" s="7" t="s">
        <v>29</v>
      </c>
      <c r="N100" s="7" t="s">
        <v>29</v>
      </c>
      <c r="O100" s="7" t="s">
        <v>29</v>
      </c>
      <c r="P100" s="7" t="s">
        <v>29</v>
      </c>
      <c r="Q100" s="7" t="s">
        <v>29</v>
      </c>
      <c r="R100" s="7" t="s">
        <v>29</v>
      </c>
      <c r="S100" s="7" t="s">
        <v>29</v>
      </c>
    </row>
    <row r="101" spans="2:19">
      <c r="B101" s="7" t="s">
        <v>195</v>
      </c>
      <c r="C101" s="8" t="s">
        <v>195</v>
      </c>
      <c r="D101" s="5" t="str">
        <f>LRTRIM(CONCATENATE(IF(SUMPRODUCT(-- ISNUMBER(SEARCH({"Auto Number"}, $B101))) &gt; 0, $B101, IF(SUMPRODUCT(-- ISNUMBER(SEARCH({"Lookup","Master-Detail"}, $B101))) &gt; 0,$B101 &amp; "(" &amp; $E101 &amp; ")",IF(SUMPRODUCT(-- ISNUMBER(SEARCH({"Formula","Roll-Up Summary"}, $B101))) &gt; 0,$B101 &amp; " (" &amp; $E101 &amp; ")",IF(SUMPRODUCT(-- ISNUMBER(SEARCH({"Content","Currency","Number","Percent","Text","URL"}, $B101))) &gt; 0,$B101 &amp; "(" &amp; $C101 &amp; ")",$B101)))), "  ", TRIM(IF($S101 = "YES", "(External ID)", "") &amp; " " &amp; IF(SUMPRODUCT(-- ISNUMBER(SEARCH({"Unique","Unique Case Insensitive"}, $R101))) &gt; 0, "(" &amp; $R101 &amp; ")", ""))))</f>
        <v>na</v>
      </c>
      <c r="E101" s="7" t="s">
        <v>195</v>
      </c>
      <c r="F101" s="7" t="s">
        <v>195</v>
      </c>
      <c r="G101" s="7" t="s">
        <v>195</v>
      </c>
      <c r="H101" s="7" t="s">
        <v>195</v>
      </c>
      <c r="I101" s="7" t="s">
        <v>195</v>
      </c>
      <c r="J101" s="7" t="s">
        <v>195</v>
      </c>
      <c r="K101" s="7" t="s">
        <v>195</v>
      </c>
      <c r="L101" s="7" t="s">
        <v>195</v>
      </c>
      <c r="M101" s="7" t="s">
        <v>29</v>
      </c>
      <c r="N101" s="7" t="s">
        <v>29</v>
      </c>
      <c r="O101" s="7" t="s">
        <v>29</v>
      </c>
      <c r="P101" s="7" t="s">
        <v>29</v>
      </c>
      <c r="Q101" s="7" t="s">
        <v>29</v>
      </c>
      <c r="R101" s="7" t="s">
        <v>29</v>
      </c>
      <c r="S101" s="7" t="s">
        <v>29</v>
      </c>
    </row>
    <row r="102" spans="2:19">
      <c r="B102" s="7" t="s">
        <v>195</v>
      </c>
      <c r="C102" s="8" t="s">
        <v>195</v>
      </c>
      <c r="D102" s="5" t="str">
        <f>LRTRIM(CONCATENATE(IF(SUMPRODUCT(-- ISNUMBER(SEARCH({"Auto Number"}, $B102))) &gt; 0, $B102, IF(SUMPRODUCT(-- ISNUMBER(SEARCH({"Lookup","Master-Detail"}, $B102))) &gt; 0,$B102 &amp; "(" &amp; $E102 &amp; ")",IF(SUMPRODUCT(-- ISNUMBER(SEARCH({"Formula","Roll-Up Summary"}, $B102))) &gt; 0,$B102 &amp; " (" &amp; $E102 &amp; ")",IF(SUMPRODUCT(-- ISNUMBER(SEARCH({"Content","Currency","Number","Percent","Text","URL"}, $B102))) &gt; 0,$B102 &amp; "(" &amp; $C102 &amp; ")",$B102)))), "  ", TRIM(IF($S102 = "YES", "(External ID)", "") &amp; " " &amp; IF(SUMPRODUCT(-- ISNUMBER(SEARCH({"Unique","Unique Case Insensitive"}, $R102))) &gt; 0, "(" &amp; $R102 &amp; ")", ""))))</f>
        <v>na</v>
      </c>
      <c r="E102" s="7" t="s">
        <v>195</v>
      </c>
      <c r="F102" s="7" t="s">
        <v>195</v>
      </c>
      <c r="G102" s="7" t="s">
        <v>195</v>
      </c>
      <c r="H102" s="7" t="s">
        <v>195</v>
      </c>
      <c r="I102" s="7" t="s">
        <v>195</v>
      </c>
      <c r="J102" s="7" t="s">
        <v>195</v>
      </c>
      <c r="K102" s="7" t="s">
        <v>195</v>
      </c>
      <c r="L102" s="7" t="s">
        <v>195</v>
      </c>
      <c r="M102" s="7" t="s">
        <v>29</v>
      </c>
      <c r="N102" s="7" t="s">
        <v>29</v>
      </c>
      <c r="O102" s="7" t="s">
        <v>29</v>
      </c>
      <c r="P102" s="7" t="s">
        <v>29</v>
      </c>
      <c r="Q102" s="7" t="s">
        <v>29</v>
      </c>
      <c r="R102" s="7" t="s">
        <v>29</v>
      </c>
      <c r="S102" s="7" t="s">
        <v>29</v>
      </c>
    </row>
    <row r="103" spans="2:19">
      <c r="B103" s="7" t="s">
        <v>195</v>
      </c>
      <c r="C103" s="8" t="s">
        <v>195</v>
      </c>
      <c r="D103" s="5" t="str">
        <f>LRTRIM(CONCATENATE(IF(SUMPRODUCT(-- ISNUMBER(SEARCH({"Auto Number"}, $B103))) &gt; 0, $B103, IF(SUMPRODUCT(-- ISNUMBER(SEARCH({"Lookup","Master-Detail"}, $B103))) &gt; 0,$B103 &amp; "(" &amp; $E103 &amp; ")",IF(SUMPRODUCT(-- ISNUMBER(SEARCH({"Formula","Roll-Up Summary"}, $B103))) &gt; 0,$B103 &amp; " (" &amp; $E103 &amp; ")",IF(SUMPRODUCT(-- ISNUMBER(SEARCH({"Content","Currency","Number","Percent","Text","URL"}, $B103))) &gt; 0,$B103 &amp; "(" &amp; $C103 &amp; ")",$B103)))), "  ", TRIM(IF($S103 = "YES", "(External ID)", "") &amp; " " &amp; IF(SUMPRODUCT(-- ISNUMBER(SEARCH({"Unique","Unique Case Insensitive"}, $R103))) &gt; 0, "(" &amp; $R103 &amp; ")", ""))))</f>
        <v>na</v>
      </c>
      <c r="E103" s="7" t="s">
        <v>195</v>
      </c>
      <c r="F103" s="7" t="s">
        <v>195</v>
      </c>
      <c r="G103" s="7" t="s">
        <v>195</v>
      </c>
      <c r="H103" s="7" t="s">
        <v>195</v>
      </c>
      <c r="I103" s="7" t="s">
        <v>195</v>
      </c>
      <c r="J103" s="7" t="s">
        <v>195</v>
      </c>
      <c r="K103" s="7" t="s">
        <v>195</v>
      </c>
      <c r="L103" s="7" t="s">
        <v>195</v>
      </c>
      <c r="M103" s="7" t="s">
        <v>29</v>
      </c>
      <c r="N103" s="7" t="s">
        <v>29</v>
      </c>
      <c r="O103" s="7" t="s">
        <v>29</v>
      </c>
      <c r="P103" s="7" t="s">
        <v>29</v>
      </c>
      <c r="Q103" s="7" t="s">
        <v>29</v>
      </c>
      <c r="R103" s="7" t="s">
        <v>29</v>
      </c>
      <c r="S103" s="7" t="s">
        <v>29</v>
      </c>
    </row>
    <row r="104" spans="2:19">
      <c r="B104" s="7" t="s">
        <v>195</v>
      </c>
      <c r="C104" s="8" t="s">
        <v>195</v>
      </c>
      <c r="D104" s="5" t="str">
        <f>LRTRIM(CONCATENATE(IF(SUMPRODUCT(-- ISNUMBER(SEARCH({"Auto Number"}, $B104))) &gt; 0, $B104, IF(SUMPRODUCT(-- ISNUMBER(SEARCH({"Lookup","Master-Detail"}, $B104))) &gt; 0,$B104 &amp; "(" &amp; $E104 &amp; ")",IF(SUMPRODUCT(-- ISNUMBER(SEARCH({"Formula","Roll-Up Summary"}, $B104))) &gt; 0,$B104 &amp; " (" &amp; $E104 &amp; ")",IF(SUMPRODUCT(-- ISNUMBER(SEARCH({"Content","Currency","Number","Percent","Text","URL"}, $B104))) &gt; 0,$B104 &amp; "(" &amp; $C104 &amp; ")",$B104)))), "  ", TRIM(IF($S104 = "YES", "(External ID)", "") &amp; " " &amp; IF(SUMPRODUCT(-- ISNUMBER(SEARCH({"Unique","Unique Case Insensitive"}, $R104))) &gt; 0, "(" &amp; $R104 &amp; ")", ""))))</f>
        <v>na</v>
      </c>
      <c r="E104" s="7" t="s">
        <v>195</v>
      </c>
      <c r="F104" s="7" t="s">
        <v>195</v>
      </c>
      <c r="G104" s="7" t="s">
        <v>195</v>
      </c>
      <c r="H104" s="7" t="s">
        <v>195</v>
      </c>
      <c r="I104" s="7" t="s">
        <v>195</v>
      </c>
      <c r="J104" s="7" t="s">
        <v>195</v>
      </c>
      <c r="K104" s="7" t="s">
        <v>195</v>
      </c>
      <c r="L104" s="7" t="s">
        <v>195</v>
      </c>
      <c r="M104" s="7" t="s">
        <v>29</v>
      </c>
      <c r="N104" s="7" t="s">
        <v>29</v>
      </c>
      <c r="O104" s="7" t="s">
        <v>29</v>
      </c>
      <c r="P104" s="7" t="s">
        <v>29</v>
      </c>
      <c r="Q104" s="7" t="s">
        <v>29</v>
      </c>
      <c r="R104" s="7" t="s">
        <v>29</v>
      </c>
      <c r="S104" s="7" t="s">
        <v>29</v>
      </c>
    </row>
    <row r="105" spans="2:19">
      <c r="B105" s="7" t="s">
        <v>195</v>
      </c>
      <c r="C105" s="8" t="s">
        <v>195</v>
      </c>
      <c r="D105" s="5" t="str">
        <f>LRTRIM(CONCATENATE(IF(SUMPRODUCT(-- ISNUMBER(SEARCH({"Auto Number"}, $B105))) &gt; 0, $B105, IF(SUMPRODUCT(-- ISNUMBER(SEARCH({"Lookup","Master-Detail"}, $B105))) &gt; 0,$B105 &amp; "(" &amp; $E105 &amp; ")",IF(SUMPRODUCT(-- ISNUMBER(SEARCH({"Formula","Roll-Up Summary"}, $B105))) &gt; 0,$B105 &amp; " (" &amp; $E105 &amp; ")",IF(SUMPRODUCT(-- ISNUMBER(SEARCH({"Content","Currency","Number","Percent","Text","URL"}, $B105))) &gt; 0,$B105 &amp; "(" &amp; $C105 &amp; ")",$B105)))), "  ", TRIM(IF($S105 = "YES", "(External ID)", "") &amp; " " &amp; IF(SUMPRODUCT(-- ISNUMBER(SEARCH({"Unique","Unique Case Insensitive"}, $R105))) &gt; 0, "(" &amp; $R105 &amp; ")", ""))))</f>
        <v>na</v>
      </c>
      <c r="E105" s="7" t="s">
        <v>195</v>
      </c>
      <c r="F105" s="7" t="s">
        <v>195</v>
      </c>
      <c r="G105" s="7" t="s">
        <v>195</v>
      </c>
      <c r="H105" s="7" t="s">
        <v>195</v>
      </c>
      <c r="I105" s="7" t="s">
        <v>195</v>
      </c>
      <c r="J105" s="7" t="s">
        <v>195</v>
      </c>
      <c r="K105" s="7" t="s">
        <v>195</v>
      </c>
      <c r="L105" s="7" t="s">
        <v>195</v>
      </c>
      <c r="M105" s="7" t="s">
        <v>29</v>
      </c>
      <c r="N105" s="7" t="s">
        <v>29</v>
      </c>
      <c r="O105" s="7" t="s">
        <v>29</v>
      </c>
      <c r="P105" s="7" t="s">
        <v>29</v>
      </c>
      <c r="Q105" s="7" t="s">
        <v>29</v>
      </c>
      <c r="R105" s="7" t="s">
        <v>29</v>
      </c>
      <c r="S105" s="7" t="s">
        <v>29</v>
      </c>
    </row>
    <row r="106" spans="2:19">
      <c r="B106" s="7" t="s">
        <v>195</v>
      </c>
      <c r="C106" s="8" t="s">
        <v>195</v>
      </c>
      <c r="D106" s="5" t="str">
        <f>LRTRIM(CONCATENATE(IF(SUMPRODUCT(-- ISNUMBER(SEARCH({"Auto Number"}, $B106))) &gt; 0, $B106, IF(SUMPRODUCT(-- ISNUMBER(SEARCH({"Lookup","Master-Detail"}, $B106))) &gt; 0,$B106 &amp; "(" &amp; $E106 &amp; ")",IF(SUMPRODUCT(-- ISNUMBER(SEARCH({"Formula","Roll-Up Summary"}, $B106))) &gt; 0,$B106 &amp; " (" &amp; $E106 &amp; ")",IF(SUMPRODUCT(-- ISNUMBER(SEARCH({"Content","Currency","Number","Percent","Text","URL"}, $B106))) &gt; 0,$B106 &amp; "(" &amp; $C106 &amp; ")",$B106)))), "  ", TRIM(IF($S106 = "YES", "(External ID)", "") &amp; " " &amp; IF(SUMPRODUCT(-- ISNUMBER(SEARCH({"Unique","Unique Case Insensitive"}, $R106))) &gt; 0, "(" &amp; $R106 &amp; ")", ""))))</f>
        <v>na</v>
      </c>
      <c r="E106" s="7" t="s">
        <v>195</v>
      </c>
      <c r="F106" s="7" t="s">
        <v>195</v>
      </c>
      <c r="G106" s="7" t="s">
        <v>195</v>
      </c>
      <c r="H106" s="7" t="s">
        <v>195</v>
      </c>
      <c r="I106" s="7" t="s">
        <v>195</v>
      </c>
      <c r="J106" s="7" t="s">
        <v>195</v>
      </c>
      <c r="K106" s="7" t="s">
        <v>195</v>
      </c>
      <c r="L106" s="7" t="s">
        <v>195</v>
      </c>
      <c r="M106" s="7" t="s">
        <v>29</v>
      </c>
      <c r="N106" s="7" t="s">
        <v>29</v>
      </c>
      <c r="O106" s="7" t="s">
        <v>29</v>
      </c>
      <c r="P106" s="7" t="s">
        <v>29</v>
      </c>
      <c r="Q106" s="7" t="s">
        <v>29</v>
      </c>
      <c r="R106" s="7" t="s">
        <v>29</v>
      </c>
      <c r="S106" s="7" t="s">
        <v>29</v>
      </c>
    </row>
    <row r="107" spans="2:19">
      <c r="B107" s="7" t="s">
        <v>195</v>
      </c>
      <c r="C107" s="8" t="s">
        <v>195</v>
      </c>
      <c r="D107" s="5" t="str">
        <f>LRTRIM(CONCATENATE(IF(SUMPRODUCT(-- ISNUMBER(SEARCH({"Auto Number"}, $B107))) &gt; 0, $B107, IF(SUMPRODUCT(-- ISNUMBER(SEARCH({"Lookup","Master-Detail"}, $B107))) &gt; 0,$B107 &amp; "(" &amp; $E107 &amp; ")",IF(SUMPRODUCT(-- ISNUMBER(SEARCH({"Formula","Roll-Up Summary"}, $B107))) &gt; 0,$B107 &amp; " (" &amp; $E107 &amp; ")",IF(SUMPRODUCT(-- ISNUMBER(SEARCH({"Content","Currency","Number","Percent","Text","URL"}, $B107))) &gt; 0,$B107 &amp; "(" &amp; $C107 &amp; ")",$B107)))), "  ", TRIM(IF($S107 = "YES", "(External ID)", "") &amp; " " &amp; IF(SUMPRODUCT(-- ISNUMBER(SEARCH({"Unique","Unique Case Insensitive"}, $R107))) &gt; 0, "(" &amp; $R107 &amp; ")", ""))))</f>
        <v>na</v>
      </c>
      <c r="E107" s="7" t="s">
        <v>195</v>
      </c>
      <c r="F107" s="7" t="s">
        <v>195</v>
      </c>
      <c r="G107" s="7" t="s">
        <v>195</v>
      </c>
      <c r="H107" s="7" t="s">
        <v>195</v>
      </c>
      <c r="I107" s="7" t="s">
        <v>195</v>
      </c>
      <c r="J107" s="7" t="s">
        <v>195</v>
      </c>
      <c r="K107" s="7" t="s">
        <v>195</v>
      </c>
      <c r="L107" s="7" t="s">
        <v>195</v>
      </c>
      <c r="M107" s="7" t="s">
        <v>29</v>
      </c>
      <c r="N107" s="7" t="s">
        <v>29</v>
      </c>
      <c r="O107" s="7" t="s">
        <v>29</v>
      </c>
      <c r="P107" s="7" t="s">
        <v>29</v>
      </c>
      <c r="Q107" s="7" t="s">
        <v>29</v>
      </c>
      <c r="R107" s="7" t="s">
        <v>29</v>
      </c>
      <c r="S107" s="7" t="s">
        <v>29</v>
      </c>
    </row>
    <row r="108" spans="2:19">
      <c r="B108" s="7" t="s">
        <v>195</v>
      </c>
      <c r="C108" s="8" t="s">
        <v>195</v>
      </c>
      <c r="D108" s="5" t="str">
        <f>LRTRIM(CONCATENATE(IF(SUMPRODUCT(-- ISNUMBER(SEARCH({"Auto Number"}, $B108))) &gt; 0, $B108, IF(SUMPRODUCT(-- ISNUMBER(SEARCH({"Lookup","Master-Detail"}, $B108))) &gt; 0,$B108 &amp; "(" &amp; $E108 &amp; ")",IF(SUMPRODUCT(-- ISNUMBER(SEARCH({"Formula","Roll-Up Summary"}, $B108))) &gt; 0,$B108 &amp; " (" &amp; $E108 &amp; ")",IF(SUMPRODUCT(-- ISNUMBER(SEARCH({"Content","Currency","Number","Percent","Text","URL"}, $B108))) &gt; 0,$B108 &amp; "(" &amp; $C108 &amp; ")",$B108)))), "  ", TRIM(IF($S108 = "YES", "(External ID)", "") &amp; " " &amp; IF(SUMPRODUCT(-- ISNUMBER(SEARCH({"Unique","Unique Case Insensitive"}, $R108))) &gt; 0, "(" &amp; $R108 &amp; ")", ""))))</f>
        <v>na</v>
      </c>
      <c r="E108" s="7" t="s">
        <v>195</v>
      </c>
      <c r="F108" s="7" t="s">
        <v>195</v>
      </c>
      <c r="G108" s="7" t="s">
        <v>195</v>
      </c>
      <c r="H108" s="7" t="s">
        <v>195</v>
      </c>
      <c r="I108" s="7" t="s">
        <v>195</v>
      </c>
      <c r="J108" s="7" t="s">
        <v>195</v>
      </c>
      <c r="K108" s="7" t="s">
        <v>195</v>
      </c>
      <c r="L108" s="7" t="s">
        <v>195</v>
      </c>
      <c r="M108" s="7" t="s">
        <v>29</v>
      </c>
      <c r="N108" s="7" t="s">
        <v>29</v>
      </c>
      <c r="O108" s="7" t="s">
        <v>29</v>
      </c>
      <c r="P108" s="7" t="s">
        <v>29</v>
      </c>
      <c r="Q108" s="7" t="s">
        <v>29</v>
      </c>
      <c r="R108" s="7" t="s">
        <v>29</v>
      </c>
      <c r="S108" s="7" t="s">
        <v>29</v>
      </c>
    </row>
    <row r="109" spans="2:19">
      <c r="B109" s="7" t="s">
        <v>195</v>
      </c>
      <c r="C109" s="8" t="s">
        <v>195</v>
      </c>
      <c r="D109" s="5" t="str">
        <f>LRTRIM(CONCATENATE(IF(SUMPRODUCT(-- ISNUMBER(SEARCH({"Auto Number"}, $B109))) &gt; 0, $B109, IF(SUMPRODUCT(-- ISNUMBER(SEARCH({"Lookup","Master-Detail"}, $B109))) &gt; 0,$B109 &amp; "(" &amp; $E109 &amp; ")",IF(SUMPRODUCT(-- ISNUMBER(SEARCH({"Formula","Roll-Up Summary"}, $B109))) &gt; 0,$B109 &amp; " (" &amp; $E109 &amp; ")",IF(SUMPRODUCT(-- ISNUMBER(SEARCH({"Content","Currency","Number","Percent","Text","URL"}, $B109))) &gt; 0,$B109 &amp; "(" &amp; $C109 &amp; ")",$B109)))), "  ", TRIM(IF($S109 = "YES", "(External ID)", "") &amp; " " &amp; IF(SUMPRODUCT(-- ISNUMBER(SEARCH({"Unique","Unique Case Insensitive"}, $R109))) &gt; 0, "(" &amp; $R109 &amp; ")", ""))))</f>
        <v>na</v>
      </c>
      <c r="E109" s="7" t="s">
        <v>195</v>
      </c>
      <c r="F109" s="7" t="s">
        <v>195</v>
      </c>
      <c r="G109" s="7" t="s">
        <v>195</v>
      </c>
      <c r="H109" s="7" t="s">
        <v>195</v>
      </c>
      <c r="I109" s="7" t="s">
        <v>195</v>
      </c>
      <c r="J109" s="7" t="s">
        <v>195</v>
      </c>
      <c r="K109" s="7" t="s">
        <v>195</v>
      </c>
      <c r="L109" s="7" t="s">
        <v>195</v>
      </c>
      <c r="M109" s="7" t="s">
        <v>29</v>
      </c>
      <c r="N109" s="7" t="s">
        <v>29</v>
      </c>
      <c r="O109" s="7" t="s">
        <v>29</v>
      </c>
      <c r="P109" s="7" t="s">
        <v>29</v>
      </c>
      <c r="Q109" s="7" t="s">
        <v>29</v>
      </c>
      <c r="R109" s="7" t="s">
        <v>29</v>
      </c>
      <c r="S109" s="7" t="s">
        <v>29</v>
      </c>
    </row>
    <row r="110" spans="2:19">
      <c r="B110" s="7" t="s">
        <v>195</v>
      </c>
      <c r="C110" s="8" t="s">
        <v>195</v>
      </c>
      <c r="D110" s="5" t="str">
        <f>LRTRIM(CONCATENATE(IF(SUMPRODUCT(-- ISNUMBER(SEARCH({"Auto Number"}, $B110))) &gt; 0, $B110, IF(SUMPRODUCT(-- ISNUMBER(SEARCH({"Lookup","Master-Detail"}, $B110))) &gt; 0,$B110 &amp; "(" &amp; $E110 &amp; ")",IF(SUMPRODUCT(-- ISNUMBER(SEARCH({"Formula","Roll-Up Summary"}, $B110))) &gt; 0,$B110 &amp; " (" &amp; $E110 &amp; ")",IF(SUMPRODUCT(-- ISNUMBER(SEARCH({"Content","Currency","Number","Percent","Text","URL"}, $B110))) &gt; 0,$B110 &amp; "(" &amp; $C110 &amp; ")",$B110)))), "  ", TRIM(IF($S110 = "YES", "(External ID)", "") &amp; " " &amp; IF(SUMPRODUCT(-- ISNUMBER(SEARCH({"Unique","Unique Case Insensitive"}, $R110))) &gt; 0, "(" &amp; $R110 &amp; ")", ""))))</f>
        <v>na</v>
      </c>
      <c r="E110" s="7" t="s">
        <v>195</v>
      </c>
      <c r="F110" s="7" t="s">
        <v>195</v>
      </c>
      <c r="G110" s="7" t="s">
        <v>195</v>
      </c>
      <c r="H110" s="7" t="s">
        <v>195</v>
      </c>
      <c r="I110" s="7" t="s">
        <v>195</v>
      </c>
      <c r="J110" s="7" t="s">
        <v>195</v>
      </c>
      <c r="K110" s="7" t="s">
        <v>195</v>
      </c>
      <c r="L110" s="7" t="s">
        <v>195</v>
      </c>
      <c r="M110" s="7" t="s">
        <v>29</v>
      </c>
      <c r="N110" s="7" t="s">
        <v>29</v>
      </c>
      <c r="O110" s="7" t="s">
        <v>29</v>
      </c>
      <c r="P110" s="7" t="s">
        <v>29</v>
      </c>
      <c r="Q110" s="7" t="s">
        <v>29</v>
      </c>
      <c r="R110" s="7" t="s">
        <v>29</v>
      </c>
      <c r="S110" s="7" t="s">
        <v>29</v>
      </c>
    </row>
    <row r="111" spans="2:19">
      <c r="B111" s="7" t="s">
        <v>195</v>
      </c>
      <c r="C111" s="8" t="s">
        <v>195</v>
      </c>
      <c r="D111" s="5" t="str">
        <f>LRTRIM(CONCATENATE(IF(SUMPRODUCT(-- ISNUMBER(SEARCH({"Auto Number"}, $B111))) &gt; 0, $B111, IF(SUMPRODUCT(-- ISNUMBER(SEARCH({"Lookup","Master-Detail"}, $B111))) &gt; 0,$B111 &amp; "(" &amp; $E111 &amp; ")",IF(SUMPRODUCT(-- ISNUMBER(SEARCH({"Formula","Roll-Up Summary"}, $B111))) &gt; 0,$B111 &amp; " (" &amp; $E111 &amp; ")",IF(SUMPRODUCT(-- ISNUMBER(SEARCH({"Content","Currency","Number","Percent","Text","URL"}, $B111))) &gt; 0,$B111 &amp; "(" &amp; $C111 &amp; ")",$B111)))), "  ", TRIM(IF($S111 = "YES", "(External ID)", "") &amp; " " &amp; IF(SUMPRODUCT(-- ISNUMBER(SEARCH({"Unique","Unique Case Insensitive"}, $R111))) &gt; 0, "(" &amp; $R111 &amp; ")", ""))))</f>
        <v>na</v>
      </c>
      <c r="E111" s="7" t="s">
        <v>195</v>
      </c>
      <c r="F111" s="7" t="s">
        <v>195</v>
      </c>
      <c r="G111" s="7" t="s">
        <v>195</v>
      </c>
      <c r="H111" s="7" t="s">
        <v>195</v>
      </c>
      <c r="I111" s="7" t="s">
        <v>195</v>
      </c>
      <c r="J111" s="7" t="s">
        <v>195</v>
      </c>
      <c r="K111" s="7" t="s">
        <v>195</v>
      </c>
      <c r="L111" s="7" t="s">
        <v>195</v>
      </c>
      <c r="M111" s="7" t="s">
        <v>29</v>
      </c>
      <c r="N111" s="7" t="s">
        <v>29</v>
      </c>
      <c r="O111" s="7" t="s">
        <v>29</v>
      </c>
      <c r="P111" s="7" t="s">
        <v>29</v>
      </c>
      <c r="Q111" s="7" t="s">
        <v>29</v>
      </c>
      <c r="R111" s="7" t="s">
        <v>29</v>
      </c>
      <c r="S111" s="7" t="s">
        <v>29</v>
      </c>
    </row>
    <row r="112" spans="2:19">
      <c r="B112" s="7" t="s">
        <v>195</v>
      </c>
      <c r="C112" s="8" t="s">
        <v>195</v>
      </c>
      <c r="D112" s="5" t="str">
        <f>LRTRIM(CONCATENATE(IF(SUMPRODUCT(-- ISNUMBER(SEARCH({"Auto Number"}, $B112))) &gt; 0, $B112, IF(SUMPRODUCT(-- ISNUMBER(SEARCH({"Lookup","Master-Detail"}, $B112))) &gt; 0,$B112 &amp; "(" &amp; $E112 &amp; ")",IF(SUMPRODUCT(-- ISNUMBER(SEARCH({"Formula","Roll-Up Summary"}, $B112))) &gt; 0,$B112 &amp; " (" &amp; $E112 &amp; ")",IF(SUMPRODUCT(-- ISNUMBER(SEARCH({"Content","Currency","Number","Percent","Text","URL"}, $B112))) &gt; 0,$B112 &amp; "(" &amp; $C112 &amp; ")",$B112)))), "  ", TRIM(IF($S112 = "YES", "(External ID)", "") &amp; " " &amp; IF(SUMPRODUCT(-- ISNUMBER(SEARCH({"Unique","Unique Case Insensitive"}, $R112))) &gt; 0, "(" &amp; $R112 &amp; ")", ""))))</f>
        <v>na</v>
      </c>
      <c r="E112" s="7" t="s">
        <v>195</v>
      </c>
      <c r="F112" s="7" t="s">
        <v>195</v>
      </c>
      <c r="G112" s="7" t="s">
        <v>195</v>
      </c>
      <c r="H112" s="7" t="s">
        <v>195</v>
      </c>
      <c r="I112" s="7" t="s">
        <v>195</v>
      </c>
      <c r="J112" s="7" t="s">
        <v>195</v>
      </c>
      <c r="K112" s="7" t="s">
        <v>195</v>
      </c>
      <c r="L112" s="7" t="s">
        <v>195</v>
      </c>
      <c r="M112" s="7" t="s">
        <v>29</v>
      </c>
      <c r="N112" s="7" t="s">
        <v>29</v>
      </c>
      <c r="O112" s="7" t="s">
        <v>29</v>
      </c>
      <c r="P112" s="7" t="s">
        <v>29</v>
      </c>
      <c r="Q112" s="7" t="s">
        <v>29</v>
      </c>
      <c r="R112" s="7" t="s">
        <v>29</v>
      </c>
      <c r="S112" s="7" t="s">
        <v>29</v>
      </c>
    </row>
    <row r="113" spans="2:19">
      <c r="B113" s="7" t="s">
        <v>195</v>
      </c>
      <c r="C113" s="8" t="s">
        <v>195</v>
      </c>
      <c r="D113" s="5" t="str">
        <f>LRTRIM(CONCATENATE(IF(SUMPRODUCT(-- ISNUMBER(SEARCH({"Auto Number"}, $B113))) &gt; 0, $B113, IF(SUMPRODUCT(-- ISNUMBER(SEARCH({"Lookup","Master-Detail"}, $B113))) &gt; 0,$B113 &amp; "(" &amp; $E113 &amp; ")",IF(SUMPRODUCT(-- ISNUMBER(SEARCH({"Formula","Roll-Up Summary"}, $B113))) &gt; 0,$B113 &amp; " (" &amp; $E113 &amp; ")",IF(SUMPRODUCT(-- ISNUMBER(SEARCH({"Content","Currency","Number","Percent","Text","URL"}, $B113))) &gt; 0,$B113 &amp; "(" &amp; $C113 &amp; ")",$B113)))), "  ", TRIM(IF($S113 = "YES", "(External ID)", "") &amp; " " &amp; IF(SUMPRODUCT(-- ISNUMBER(SEARCH({"Unique","Unique Case Insensitive"}, $R113))) &gt; 0, "(" &amp; $R113 &amp; ")", ""))))</f>
        <v>na</v>
      </c>
      <c r="E113" s="7" t="s">
        <v>195</v>
      </c>
      <c r="F113" s="7" t="s">
        <v>195</v>
      </c>
      <c r="G113" s="7" t="s">
        <v>195</v>
      </c>
      <c r="H113" s="7" t="s">
        <v>195</v>
      </c>
      <c r="I113" s="7" t="s">
        <v>195</v>
      </c>
      <c r="J113" s="7" t="s">
        <v>195</v>
      </c>
      <c r="K113" s="7" t="s">
        <v>195</v>
      </c>
      <c r="L113" s="7" t="s">
        <v>195</v>
      </c>
      <c r="M113" s="7" t="s">
        <v>29</v>
      </c>
      <c r="N113" s="7" t="s">
        <v>29</v>
      </c>
      <c r="O113" s="7" t="s">
        <v>29</v>
      </c>
      <c r="P113" s="7" t="s">
        <v>29</v>
      </c>
      <c r="Q113" s="7" t="s">
        <v>29</v>
      </c>
      <c r="R113" s="7" t="s">
        <v>29</v>
      </c>
      <c r="S113" s="7" t="s">
        <v>29</v>
      </c>
    </row>
    <row r="114" spans="2:19">
      <c r="B114" s="7" t="s">
        <v>195</v>
      </c>
      <c r="C114" s="8" t="s">
        <v>195</v>
      </c>
      <c r="D114" s="5" t="str">
        <f>LRTRIM(CONCATENATE(IF(SUMPRODUCT(-- ISNUMBER(SEARCH({"Auto Number"}, $B114))) &gt; 0, $B114, IF(SUMPRODUCT(-- ISNUMBER(SEARCH({"Lookup","Master-Detail"}, $B114))) &gt; 0,$B114 &amp; "(" &amp; $E114 &amp; ")",IF(SUMPRODUCT(-- ISNUMBER(SEARCH({"Formula","Roll-Up Summary"}, $B114))) &gt; 0,$B114 &amp; " (" &amp; $E114 &amp; ")",IF(SUMPRODUCT(-- ISNUMBER(SEARCH({"Content","Currency","Number","Percent","Text","URL"}, $B114))) &gt; 0,$B114 &amp; "(" &amp; $C114 &amp; ")",$B114)))), "  ", TRIM(IF($S114 = "YES", "(External ID)", "") &amp; " " &amp; IF(SUMPRODUCT(-- ISNUMBER(SEARCH({"Unique","Unique Case Insensitive"}, $R114))) &gt; 0, "(" &amp; $R114 &amp; ")", ""))))</f>
        <v>na</v>
      </c>
      <c r="E114" s="7" t="s">
        <v>195</v>
      </c>
      <c r="F114" s="7" t="s">
        <v>195</v>
      </c>
      <c r="G114" s="7" t="s">
        <v>195</v>
      </c>
      <c r="H114" s="7" t="s">
        <v>195</v>
      </c>
      <c r="I114" s="7" t="s">
        <v>195</v>
      </c>
      <c r="J114" s="7" t="s">
        <v>195</v>
      </c>
      <c r="K114" s="7" t="s">
        <v>195</v>
      </c>
      <c r="L114" s="7" t="s">
        <v>195</v>
      </c>
      <c r="M114" s="7" t="s">
        <v>29</v>
      </c>
      <c r="N114" s="7" t="s">
        <v>29</v>
      </c>
      <c r="O114" s="7" t="s">
        <v>29</v>
      </c>
      <c r="P114" s="7" t="s">
        <v>29</v>
      </c>
      <c r="Q114" s="7" t="s">
        <v>29</v>
      </c>
      <c r="R114" s="7" t="s">
        <v>29</v>
      </c>
      <c r="S114" s="7" t="s">
        <v>29</v>
      </c>
    </row>
    <row r="115" spans="2:19">
      <c r="B115" s="7" t="s">
        <v>195</v>
      </c>
      <c r="C115" s="8" t="s">
        <v>195</v>
      </c>
      <c r="D115" s="5" t="str">
        <f>LRTRIM(CONCATENATE(IF(SUMPRODUCT(-- ISNUMBER(SEARCH({"Auto Number"}, $B115))) &gt; 0, $B115, IF(SUMPRODUCT(-- ISNUMBER(SEARCH({"Lookup","Master-Detail"}, $B115))) &gt; 0,$B115 &amp; "(" &amp; $E115 &amp; ")",IF(SUMPRODUCT(-- ISNUMBER(SEARCH({"Formula","Roll-Up Summary"}, $B115))) &gt; 0,$B115 &amp; " (" &amp; $E115 &amp; ")",IF(SUMPRODUCT(-- ISNUMBER(SEARCH({"Content","Currency","Number","Percent","Text","URL"}, $B115))) &gt; 0,$B115 &amp; "(" &amp; $C115 &amp; ")",$B115)))), "  ", TRIM(IF($S115 = "YES", "(External ID)", "") &amp; " " &amp; IF(SUMPRODUCT(-- ISNUMBER(SEARCH({"Unique","Unique Case Insensitive"}, $R115))) &gt; 0, "(" &amp; $R115 &amp; ")", ""))))</f>
        <v>na</v>
      </c>
      <c r="E115" s="7" t="s">
        <v>195</v>
      </c>
      <c r="F115" s="7" t="s">
        <v>195</v>
      </c>
      <c r="G115" s="7" t="s">
        <v>195</v>
      </c>
      <c r="H115" s="7" t="s">
        <v>195</v>
      </c>
      <c r="I115" s="7" t="s">
        <v>195</v>
      </c>
      <c r="J115" s="7" t="s">
        <v>195</v>
      </c>
      <c r="K115" s="7" t="s">
        <v>195</v>
      </c>
      <c r="L115" s="7" t="s">
        <v>195</v>
      </c>
      <c r="M115" s="7" t="s">
        <v>29</v>
      </c>
      <c r="N115" s="7" t="s">
        <v>29</v>
      </c>
      <c r="O115" s="7" t="s">
        <v>29</v>
      </c>
      <c r="P115" s="7" t="s">
        <v>29</v>
      </c>
      <c r="Q115" s="7" t="s">
        <v>29</v>
      </c>
      <c r="R115" s="7" t="s">
        <v>29</v>
      </c>
      <c r="S115" s="7" t="s">
        <v>29</v>
      </c>
    </row>
    <row r="116" spans="2:19">
      <c r="B116" s="7" t="s">
        <v>195</v>
      </c>
      <c r="C116" s="8" t="s">
        <v>195</v>
      </c>
      <c r="D116" s="5" t="str">
        <f>LRTRIM(CONCATENATE(IF(SUMPRODUCT(-- ISNUMBER(SEARCH({"Auto Number"}, $B116))) &gt; 0, $B116, IF(SUMPRODUCT(-- ISNUMBER(SEARCH({"Lookup","Master-Detail"}, $B116))) &gt; 0,$B116 &amp; "(" &amp; $E116 &amp; ")",IF(SUMPRODUCT(-- ISNUMBER(SEARCH({"Formula","Roll-Up Summary"}, $B116))) &gt; 0,$B116 &amp; " (" &amp; $E116 &amp; ")",IF(SUMPRODUCT(-- ISNUMBER(SEARCH({"Content","Currency","Number","Percent","Text","URL"}, $B116))) &gt; 0,$B116 &amp; "(" &amp; $C116 &amp; ")",$B116)))), "  ", TRIM(IF($S116 = "YES", "(External ID)", "") &amp; " " &amp; IF(SUMPRODUCT(-- ISNUMBER(SEARCH({"Unique","Unique Case Insensitive"}, $R116))) &gt; 0, "(" &amp; $R116 &amp; ")", ""))))</f>
        <v>na</v>
      </c>
      <c r="E116" s="7" t="s">
        <v>195</v>
      </c>
      <c r="F116" s="7" t="s">
        <v>195</v>
      </c>
      <c r="G116" s="7" t="s">
        <v>195</v>
      </c>
      <c r="H116" s="7" t="s">
        <v>195</v>
      </c>
      <c r="I116" s="7" t="s">
        <v>195</v>
      </c>
      <c r="J116" s="7" t="s">
        <v>195</v>
      </c>
      <c r="K116" s="7" t="s">
        <v>195</v>
      </c>
      <c r="L116" s="7" t="s">
        <v>195</v>
      </c>
      <c r="M116" s="7" t="s">
        <v>29</v>
      </c>
      <c r="N116" s="7" t="s">
        <v>29</v>
      </c>
      <c r="O116" s="7" t="s">
        <v>29</v>
      </c>
      <c r="P116" s="7" t="s">
        <v>29</v>
      </c>
      <c r="Q116" s="7" t="s">
        <v>29</v>
      </c>
      <c r="R116" s="7" t="s">
        <v>29</v>
      </c>
      <c r="S116" s="7" t="s">
        <v>29</v>
      </c>
    </row>
    <row r="117" spans="2:19">
      <c r="B117" s="7" t="s">
        <v>195</v>
      </c>
      <c r="C117" s="8" t="s">
        <v>195</v>
      </c>
      <c r="D117" s="5" t="str">
        <f>LRTRIM(CONCATENATE(IF(SUMPRODUCT(-- ISNUMBER(SEARCH({"Auto Number"}, $B117))) &gt; 0, $B117, IF(SUMPRODUCT(-- ISNUMBER(SEARCH({"Lookup","Master-Detail"}, $B117))) &gt; 0,$B117 &amp; "(" &amp; $E117 &amp; ")",IF(SUMPRODUCT(-- ISNUMBER(SEARCH({"Formula","Roll-Up Summary"}, $B117))) &gt; 0,$B117 &amp; " (" &amp; $E117 &amp; ")",IF(SUMPRODUCT(-- ISNUMBER(SEARCH({"Content","Currency","Number","Percent","Text","URL"}, $B117))) &gt; 0,$B117 &amp; "(" &amp; $C117 &amp; ")",$B117)))), "  ", TRIM(IF($S117 = "YES", "(External ID)", "") &amp; " " &amp; IF(SUMPRODUCT(-- ISNUMBER(SEARCH({"Unique","Unique Case Insensitive"}, $R117))) &gt; 0, "(" &amp; $R117 &amp; ")", ""))))</f>
        <v>na</v>
      </c>
      <c r="E117" s="7" t="s">
        <v>195</v>
      </c>
      <c r="F117" s="7" t="s">
        <v>195</v>
      </c>
      <c r="G117" s="7" t="s">
        <v>195</v>
      </c>
      <c r="H117" s="7" t="s">
        <v>195</v>
      </c>
      <c r="I117" s="7" t="s">
        <v>195</v>
      </c>
      <c r="J117" s="7" t="s">
        <v>195</v>
      </c>
      <c r="K117" s="7" t="s">
        <v>195</v>
      </c>
      <c r="L117" s="7" t="s">
        <v>195</v>
      </c>
      <c r="M117" s="7" t="s">
        <v>29</v>
      </c>
      <c r="N117" s="7" t="s">
        <v>29</v>
      </c>
      <c r="O117" s="7" t="s">
        <v>29</v>
      </c>
      <c r="P117" s="7" t="s">
        <v>29</v>
      </c>
      <c r="Q117" s="7" t="s">
        <v>29</v>
      </c>
      <c r="R117" s="7" t="s">
        <v>29</v>
      </c>
      <c r="S117" s="7" t="s">
        <v>29</v>
      </c>
    </row>
    <row r="118" spans="2:19">
      <c r="B118" s="7" t="s">
        <v>195</v>
      </c>
      <c r="C118" s="8" t="s">
        <v>195</v>
      </c>
      <c r="D118" s="5" t="str">
        <f>LRTRIM(CONCATENATE(IF(SUMPRODUCT(-- ISNUMBER(SEARCH({"Auto Number"}, $B118))) &gt; 0, $B118, IF(SUMPRODUCT(-- ISNUMBER(SEARCH({"Lookup","Master-Detail"}, $B118))) &gt; 0,$B118 &amp; "(" &amp; $E118 &amp; ")",IF(SUMPRODUCT(-- ISNUMBER(SEARCH({"Formula","Roll-Up Summary"}, $B118))) &gt; 0,$B118 &amp; " (" &amp; $E118 &amp; ")",IF(SUMPRODUCT(-- ISNUMBER(SEARCH({"Content","Currency","Number","Percent","Text","URL"}, $B118))) &gt; 0,$B118 &amp; "(" &amp; $C118 &amp; ")",$B118)))), "  ", TRIM(IF($S118 = "YES", "(External ID)", "") &amp; " " &amp; IF(SUMPRODUCT(-- ISNUMBER(SEARCH({"Unique","Unique Case Insensitive"}, $R118))) &gt; 0, "(" &amp; $R118 &amp; ")", ""))))</f>
        <v>na</v>
      </c>
      <c r="E118" s="7" t="s">
        <v>195</v>
      </c>
      <c r="F118" s="7" t="s">
        <v>195</v>
      </c>
      <c r="G118" s="7" t="s">
        <v>195</v>
      </c>
      <c r="H118" s="7" t="s">
        <v>195</v>
      </c>
      <c r="I118" s="7" t="s">
        <v>195</v>
      </c>
      <c r="J118" s="7" t="s">
        <v>195</v>
      </c>
      <c r="K118" s="7" t="s">
        <v>195</v>
      </c>
      <c r="L118" s="7" t="s">
        <v>195</v>
      </c>
      <c r="M118" s="7" t="s">
        <v>29</v>
      </c>
      <c r="N118" s="7" t="s">
        <v>29</v>
      </c>
      <c r="O118" s="7" t="s">
        <v>29</v>
      </c>
      <c r="P118" s="7" t="s">
        <v>29</v>
      </c>
      <c r="Q118" s="7" t="s">
        <v>29</v>
      </c>
      <c r="R118" s="7" t="s">
        <v>29</v>
      </c>
      <c r="S118" s="7" t="s">
        <v>29</v>
      </c>
    </row>
    <row r="119" spans="2:19">
      <c r="B119" s="7" t="s">
        <v>195</v>
      </c>
      <c r="C119" s="8" t="s">
        <v>195</v>
      </c>
      <c r="D119" s="5" t="str">
        <f>LRTRIM(CONCATENATE(IF(SUMPRODUCT(-- ISNUMBER(SEARCH({"Auto Number"}, $B119))) &gt; 0, $B119, IF(SUMPRODUCT(-- ISNUMBER(SEARCH({"Lookup","Master-Detail"}, $B119))) &gt; 0,$B119 &amp; "(" &amp; $E119 &amp; ")",IF(SUMPRODUCT(-- ISNUMBER(SEARCH({"Formula","Roll-Up Summary"}, $B119))) &gt; 0,$B119 &amp; " (" &amp; $E119 &amp; ")",IF(SUMPRODUCT(-- ISNUMBER(SEARCH({"Content","Currency","Number","Percent","Text","URL"}, $B119))) &gt; 0,$B119 &amp; "(" &amp; $C119 &amp; ")",$B119)))), "  ", TRIM(IF($S119 = "YES", "(External ID)", "") &amp; " " &amp; IF(SUMPRODUCT(-- ISNUMBER(SEARCH({"Unique","Unique Case Insensitive"}, $R119))) &gt; 0, "(" &amp; $R119 &amp; ")", ""))))</f>
        <v>na</v>
      </c>
      <c r="E119" s="7" t="s">
        <v>195</v>
      </c>
      <c r="F119" s="7" t="s">
        <v>195</v>
      </c>
      <c r="G119" s="7" t="s">
        <v>195</v>
      </c>
      <c r="H119" s="7" t="s">
        <v>195</v>
      </c>
      <c r="I119" s="7" t="s">
        <v>195</v>
      </c>
      <c r="J119" s="7" t="s">
        <v>195</v>
      </c>
      <c r="K119" s="7" t="s">
        <v>195</v>
      </c>
      <c r="L119" s="7" t="s">
        <v>195</v>
      </c>
      <c r="M119" s="7" t="s">
        <v>29</v>
      </c>
      <c r="N119" s="7" t="s">
        <v>29</v>
      </c>
      <c r="O119" s="7" t="s">
        <v>29</v>
      </c>
      <c r="P119" s="7" t="s">
        <v>29</v>
      </c>
      <c r="Q119" s="7" t="s">
        <v>29</v>
      </c>
      <c r="R119" s="7" t="s">
        <v>29</v>
      </c>
      <c r="S119" s="7" t="s">
        <v>29</v>
      </c>
    </row>
    <row r="120" spans="2:19">
      <c r="B120" s="7" t="s">
        <v>195</v>
      </c>
      <c r="C120" s="8" t="s">
        <v>195</v>
      </c>
      <c r="D120" s="5" t="str">
        <f>LRTRIM(CONCATENATE(IF(SUMPRODUCT(-- ISNUMBER(SEARCH({"Auto Number"}, $B120))) &gt; 0, $B120, IF(SUMPRODUCT(-- ISNUMBER(SEARCH({"Lookup","Master-Detail"}, $B120))) &gt; 0,$B120 &amp; "(" &amp; $E120 &amp; ")",IF(SUMPRODUCT(-- ISNUMBER(SEARCH({"Formula","Roll-Up Summary"}, $B120))) &gt; 0,$B120 &amp; " (" &amp; $E120 &amp; ")",IF(SUMPRODUCT(-- ISNUMBER(SEARCH({"Content","Currency","Number","Percent","Text","URL"}, $B120))) &gt; 0,$B120 &amp; "(" &amp; $C120 &amp; ")",$B120)))), "  ", TRIM(IF($S120 = "YES", "(External ID)", "") &amp; " " &amp; IF(SUMPRODUCT(-- ISNUMBER(SEARCH({"Unique","Unique Case Insensitive"}, $R120))) &gt; 0, "(" &amp; $R120 &amp; ")", ""))))</f>
        <v>na</v>
      </c>
      <c r="E120" s="7" t="s">
        <v>195</v>
      </c>
      <c r="F120" s="7" t="s">
        <v>195</v>
      </c>
      <c r="G120" s="7" t="s">
        <v>195</v>
      </c>
      <c r="H120" s="7" t="s">
        <v>195</v>
      </c>
      <c r="I120" s="7" t="s">
        <v>195</v>
      </c>
      <c r="J120" s="7" t="s">
        <v>195</v>
      </c>
      <c r="K120" s="7" t="s">
        <v>195</v>
      </c>
      <c r="L120" s="7" t="s">
        <v>195</v>
      </c>
      <c r="M120" s="7" t="s">
        <v>29</v>
      </c>
      <c r="N120" s="7" t="s">
        <v>29</v>
      </c>
      <c r="O120" s="7" t="s">
        <v>29</v>
      </c>
      <c r="P120" s="7" t="s">
        <v>29</v>
      </c>
      <c r="Q120" s="7" t="s">
        <v>29</v>
      </c>
      <c r="R120" s="7" t="s">
        <v>29</v>
      </c>
      <c r="S120" s="7" t="s">
        <v>29</v>
      </c>
    </row>
    <row r="121" spans="2:19">
      <c r="B121" s="7" t="s">
        <v>195</v>
      </c>
      <c r="C121" s="8" t="s">
        <v>195</v>
      </c>
      <c r="D121" s="5" t="str">
        <f>LRTRIM(CONCATENATE(IF(SUMPRODUCT(-- ISNUMBER(SEARCH({"Auto Number"}, $B121))) &gt; 0, $B121, IF(SUMPRODUCT(-- ISNUMBER(SEARCH({"Lookup","Master-Detail"}, $B121))) &gt; 0,$B121 &amp; "(" &amp; $E121 &amp; ")",IF(SUMPRODUCT(-- ISNUMBER(SEARCH({"Formula","Roll-Up Summary"}, $B121))) &gt; 0,$B121 &amp; " (" &amp; $E121 &amp; ")",IF(SUMPRODUCT(-- ISNUMBER(SEARCH({"Content","Currency","Number","Percent","Text","URL"}, $B121))) &gt; 0,$B121 &amp; "(" &amp; $C121 &amp; ")",$B121)))), "  ", TRIM(IF($S121 = "YES", "(External ID)", "") &amp; " " &amp; IF(SUMPRODUCT(-- ISNUMBER(SEARCH({"Unique","Unique Case Insensitive"}, $R121))) &gt; 0, "(" &amp; $R121 &amp; ")", ""))))</f>
        <v>na</v>
      </c>
      <c r="E121" s="7" t="s">
        <v>195</v>
      </c>
      <c r="F121" s="7" t="s">
        <v>195</v>
      </c>
      <c r="G121" s="7" t="s">
        <v>195</v>
      </c>
      <c r="H121" s="7" t="s">
        <v>195</v>
      </c>
      <c r="I121" s="7" t="s">
        <v>195</v>
      </c>
      <c r="J121" s="7" t="s">
        <v>195</v>
      </c>
      <c r="K121" s="7" t="s">
        <v>195</v>
      </c>
      <c r="L121" s="7" t="s">
        <v>195</v>
      </c>
      <c r="M121" s="7" t="s">
        <v>29</v>
      </c>
      <c r="N121" s="7" t="s">
        <v>29</v>
      </c>
      <c r="O121" s="7" t="s">
        <v>29</v>
      </c>
      <c r="P121" s="7" t="s">
        <v>29</v>
      </c>
      <c r="Q121" s="7" t="s">
        <v>29</v>
      </c>
      <c r="R121" s="7" t="s">
        <v>29</v>
      </c>
      <c r="S121" s="7" t="s">
        <v>29</v>
      </c>
    </row>
    <row r="122" spans="2:19">
      <c r="B122" s="7" t="s">
        <v>195</v>
      </c>
      <c r="C122" s="8" t="s">
        <v>195</v>
      </c>
      <c r="D122" s="5" t="str">
        <f>LRTRIM(CONCATENATE(IF(SUMPRODUCT(-- ISNUMBER(SEARCH({"Auto Number"}, $B122))) &gt; 0, $B122, IF(SUMPRODUCT(-- ISNUMBER(SEARCH({"Lookup","Master-Detail"}, $B122))) &gt; 0,$B122 &amp; "(" &amp; $E122 &amp; ")",IF(SUMPRODUCT(-- ISNUMBER(SEARCH({"Formula","Roll-Up Summary"}, $B122))) &gt; 0,$B122 &amp; " (" &amp; $E122 &amp; ")",IF(SUMPRODUCT(-- ISNUMBER(SEARCH({"Content","Currency","Number","Percent","Text","URL"}, $B122))) &gt; 0,$B122 &amp; "(" &amp; $C122 &amp; ")",$B122)))), "  ", TRIM(IF($S122 = "YES", "(External ID)", "") &amp; " " &amp; IF(SUMPRODUCT(-- ISNUMBER(SEARCH({"Unique","Unique Case Insensitive"}, $R122))) &gt; 0, "(" &amp; $R122 &amp; ")", ""))))</f>
        <v>na</v>
      </c>
      <c r="E122" s="7" t="s">
        <v>195</v>
      </c>
      <c r="F122" s="7" t="s">
        <v>195</v>
      </c>
      <c r="G122" s="7" t="s">
        <v>195</v>
      </c>
      <c r="H122" s="7" t="s">
        <v>195</v>
      </c>
      <c r="I122" s="7" t="s">
        <v>195</v>
      </c>
      <c r="J122" s="7" t="s">
        <v>195</v>
      </c>
      <c r="K122" s="7" t="s">
        <v>195</v>
      </c>
      <c r="L122" s="7" t="s">
        <v>195</v>
      </c>
      <c r="M122" s="7" t="s">
        <v>29</v>
      </c>
      <c r="N122" s="7" t="s">
        <v>29</v>
      </c>
      <c r="O122" s="7" t="s">
        <v>29</v>
      </c>
      <c r="P122" s="7" t="s">
        <v>29</v>
      </c>
      <c r="Q122" s="7" t="s">
        <v>29</v>
      </c>
      <c r="R122" s="7" t="s">
        <v>29</v>
      </c>
      <c r="S122" s="7" t="s">
        <v>29</v>
      </c>
    </row>
    <row r="123" spans="2:19">
      <c r="B123" s="7" t="s">
        <v>195</v>
      </c>
      <c r="C123" s="8" t="s">
        <v>195</v>
      </c>
      <c r="D123" s="5" t="str">
        <f>LRTRIM(CONCATENATE(IF(SUMPRODUCT(-- ISNUMBER(SEARCH({"Auto Number"}, $B123))) &gt; 0, $B123, IF(SUMPRODUCT(-- ISNUMBER(SEARCH({"Lookup","Master-Detail"}, $B123))) &gt; 0,$B123 &amp; "(" &amp; $E123 &amp; ")",IF(SUMPRODUCT(-- ISNUMBER(SEARCH({"Formula","Roll-Up Summary"}, $B123))) &gt; 0,$B123 &amp; " (" &amp; $E123 &amp; ")",IF(SUMPRODUCT(-- ISNUMBER(SEARCH({"Content","Currency","Number","Percent","Text","URL"}, $B123))) &gt; 0,$B123 &amp; "(" &amp; $C123 &amp; ")",$B123)))), "  ", TRIM(IF($S123 = "YES", "(External ID)", "") &amp; " " &amp; IF(SUMPRODUCT(-- ISNUMBER(SEARCH({"Unique","Unique Case Insensitive"}, $R123))) &gt; 0, "(" &amp; $R123 &amp; ")", ""))))</f>
        <v>na</v>
      </c>
      <c r="E123" s="7" t="s">
        <v>195</v>
      </c>
      <c r="F123" s="7" t="s">
        <v>195</v>
      </c>
      <c r="G123" s="7" t="s">
        <v>195</v>
      </c>
      <c r="H123" s="7" t="s">
        <v>195</v>
      </c>
      <c r="I123" s="7" t="s">
        <v>195</v>
      </c>
      <c r="J123" s="7" t="s">
        <v>195</v>
      </c>
      <c r="K123" s="7" t="s">
        <v>195</v>
      </c>
      <c r="L123" s="7" t="s">
        <v>195</v>
      </c>
      <c r="M123" s="7" t="s">
        <v>29</v>
      </c>
      <c r="N123" s="7" t="s">
        <v>29</v>
      </c>
      <c r="O123" s="7" t="s">
        <v>29</v>
      </c>
      <c r="P123" s="7" t="s">
        <v>29</v>
      </c>
      <c r="Q123" s="7" t="s">
        <v>29</v>
      </c>
      <c r="R123" s="7" t="s">
        <v>29</v>
      </c>
      <c r="S123" s="7" t="s">
        <v>29</v>
      </c>
    </row>
    <row r="124" spans="2:19">
      <c r="B124" s="7" t="s">
        <v>195</v>
      </c>
      <c r="C124" s="8" t="s">
        <v>195</v>
      </c>
      <c r="D124" s="5" t="str">
        <f>LRTRIM(CONCATENATE(IF(SUMPRODUCT(-- ISNUMBER(SEARCH({"Auto Number"}, $B124))) &gt; 0, $B124, IF(SUMPRODUCT(-- ISNUMBER(SEARCH({"Lookup","Master-Detail"}, $B124))) &gt; 0,$B124 &amp; "(" &amp; $E124 &amp; ")",IF(SUMPRODUCT(-- ISNUMBER(SEARCH({"Formula","Roll-Up Summary"}, $B124))) &gt; 0,$B124 &amp; " (" &amp; $E124 &amp; ")",IF(SUMPRODUCT(-- ISNUMBER(SEARCH({"Content","Currency","Number","Percent","Text","URL"}, $B124))) &gt; 0,$B124 &amp; "(" &amp; $C124 &amp; ")",$B124)))), "  ", TRIM(IF($S124 = "YES", "(External ID)", "") &amp; " " &amp; IF(SUMPRODUCT(-- ISNUMBER(SEARCH({"Unique","Unique Case Insensitive"}, $R124))) &gt; 0, "(" &amp; $R124 &amp; ")", ""))))</f>
        <v>na</v>
      </c>
      <c r="E124" s="7" t="s">
        <v>195</v>
      </c>
      <c r="F124" s="7" t="s">
        <v>195</v>
      </c>
      <c r="G124" s="7" t="s">
        <v>195</v>
      </c>
      <c r="H124" s="7" t="s">
        <v>195</v>
      </c>
      <c r="I124" s="7" t="s">
        <v>195</v>
      </c>
      <c r="J124" s="7" t="s">
        <v>195</v>
      </c>
      <c r="K124" s="7" t="s">
        <v>195</v>
      </c>
      <c r="L124" s="7" t="s">
        <v>195</v>
      </c>
      <c r="M124" s="7" t="s">
        <v>29</v>
      </c>
      <c r="N124" s="7" t="s">
        <v>29</v>
      </c>
      <c r="O124" s="7" t="s">
        <v>29</v>
      </c>
      <c r="P124" s="7" t="s">
        <v>29</v>
      </c>
      <c r="Q124" s="7" t="s">
        <v>29</v>
      </c>
      <c r="R124" s="7" t="s">
        <v>29</v>
      </c>
      <c r="S124" s="7" t="s">
        <v>29</v>
      </c>
    </row>
    <row r="125" spans="2:19">
      <c r="B125" s="7" t="s">
        <v>195</v>
      </c>
      <c r="C125" s="8" t="s">
        <v>195</v>
      </c>
      <c r="D125" s="5" t="str">
        <f>LRTRIM(CONCATENATE(IF(SUMPRODUCT(-- ISNUMBER(SEARCH({"Auto Number"}, $B125))) &gt; 0, $B125, IF(SUMPRODUCT(-- ISNUMBER(SEARCH({"Lookup","Master-Detail"}, $B125))) &gt; 0,$B125 &amp; "(" &amp; $E125 &amp; ")",IF(SUMPRODUCT(-- ISNUMBER(SEARCH({"Formula","Roll-Up Summary"}, $B125))) &gt; 0,$B125 &amp; " (" &amp; $E125 &amp; ")",IF(SUMPRODUCT(-- ISNUMBER(SEARCH({"Content","Currency","Number","Percent","Text","URL"}, $B125))) &gt; 0,$B125 &amp; "(" &amp; $C125 &amp; ")",$B125)))), "  ", TRIM(IF($S125 = "YES", "(External ID)", "") &amp; " " &amp; IF(SUMPRODUCT(-- ISNUMBER(SEARCH({"Unique","Unique Case Insensitive"}, $R125))) &gt; 0, "(" &amp; $R125 &amp; ")", ""))))</f>
        <v>na</v>
      </c>
      <c r="E125" s="7" t="s">
        <v>195</v>
      </c>
      <c r="F125" s="7" t="s">
        <v>195</v>
      </c>
      <c r="G125" s="7" t="s">
        <v>195</v>
      </c>
      <c r="H125" s="7" t="s">
        <v>195</v>
      </c>
      <c r="I125" s="7" t="s">
        <v>195</v>
      </c>
      <c r="J125" s="7" t="s">
        <v>195</v>
      </c>
      <c r="K125" s="7" t="s">
        <v>195</v>
      </c>
      <c r="L125" s="7" t="s">
        <v>195</v>
      </c>
      <c r="M125" s="7" t="s">
        <v>29</v>
      </c>
      <c r="N125" s="7" t="s">
        <v>29</v>
      </c>
      <c r="O125" s="7" t="s">
        <v>29</v>
      </c>
      <c r="P125" s="7" t="s">
        <v>29</v>
      </c>
      <c r="Q125" s="7" t="s">
        <v>29</v>
      </c>
      <c r="R125" s="7" t="s">
        <v>29</v>
      </c>
      <c r="S125" s="7" t="s">
        <v>29</v>
      </c>
    </row>
    <row r="126" spans="2:19">
      <c r="B126" s="7" t="s">
        <v>195</v>
      </c>
      <c r="C126" s="8" t="s">
        <v>195</v>
      </c>
      <c r="D126" s="5" t="str">
        <f>LRTRIM(CONCATENATE(IF(SUMPRODUCT(-- ISNUMBER(SEARCH({"Auto Number"}, $B126))) &gt; 0, $B126, IF(SUMPRODUCT(-- ISNUMBER(SEARCH({"Lookup","Master-Detail"}, $B126))) &gt; 0,$B126 &amp; "(" &amp; $E126 &amp; ")",IF(SUMPRODUCT(-- ISNUMBER(SEARCH({"Formula","Roll-Up Summary"}, $B126))) &gt; 0,$B126 &amp; " (" &amp; $E126 &amp; ")",IF(SUMPRODUCT(-- ISNUMBER(SEARCH({"Content","Currency","Number","Percent","Text","URL"}, $B126))) &gt; 0,$B126 &amp; "(" &amp; $C126 &amp; ")",$B126)))), "  ", TRIM(IF($S126 = "YES", "(External ID)", "") &amp; " " &amp; IF(SUMPRODUCT(-- ISNUMBER(SEARCH({"Unique","Unique Case Insensitive"}, $R126))) &gt; 0, "(" &amp; $R126 &amp; ")", ""))))</f>
        <v>na</v>
      </c>
      <c r="E126" s="7" t="s">
        <v>195</v>
      </c>
      <c r="F126" s="7" t="s">
        <v>195</v>
      </c>
      <c r="G126" s="7" t="s">
        <v>195</v>
      </c>
      <c r="H126" s="7" t="s">
        <v>195</v>
      </c>
      <c r="I126" s="7" t="s">
        <v>195</v>
      </c>
      <c r="J126" s="7" t="s">
        <v>195</v>
      </c>
      <c r="K126" s="7" t="s">
        <v>195</v>
      </c>
      <c r="L126" s="7" t="s">
        <v>195</v>
      </c>
      <c r="M126" s="7" t="s">
        <v>29</v>
      </c>
      <c r="N126" s="7" t="s">
        <v>29</v>
      </c>
      <c r="O126" s="7" t="s">
        <v>29</v>
      </c>
      <c r="P126" s="7" t="s">
        <v>29</v>
      </c>
      <c r="Q126" s="7" t="s">
        <v>29</v>
      </c>
      <c r="R126" s="7" t="s">
        <v>29</v>
      </c>
      <c r="S126" s="7" t="s">
        <v>29</v>
      </c>
    </row>
    <row r="127" spans="2:19">
      <c r="B127" s="7" t="s">
        <v>195</v>
      </c>
      <c r="C127" s="8" t="s">
        <v>195</v>
      </c>
      <c r="D127" s="5" t="str">
        <f>LRTRIM(CONCATENATE(IF(SUMPRODUCT(-- ISNUMBER(SEARCH({"Auto Number"}, $B127))) &gt; 0, $B127, IF(SUMPRODUCT(-- ISNUMBER(SEARCH({"Lookup","Master-Detail"}, $B127))) &gt; 0,$B127 &amp; "(" &amp; $E127 &amp; ")",IF(SUMPRODUCT(-- ISNUMBER(SEARCH({"Formula","Roll-Up Summary"}, $B127))) &gt; 0,$B127 &amp; " (" &amp; $E127 &amp; ")",IF(SUMPRODUCT(-- ISNUMBER(SEARCH({"Content","Currency","Number","Percent","Text","URL"}, $B127))) &gt; 0,$B127 &amp; "(" &amp; $C127 &amp; ")",$B127)))), "  ", TRIM(IF($S127 = "YES", "(External ID)", "") &amp; " " &amp; IF(SUMPRODUCT(-- ISNUMBER(SEARCH({"Unique","Unique Case Insensitive"}, $R127))) &gt; 0, "(" &amp; $R127 &amp; ")", ""))))</f>
        <v>na</v>
      </c>
      <c r="E127" s="7" t="s">
        <v>195</v>
      </c>
      <c r="F127" s="7" t="s">
        <v>195</v>
      </c>
      <c r="G127" s="7" t="s">
        <v>195</v>
      </c>
      <c r="H127" s="7" t="s">
        <v>195</v>
      </c>
      <c r="I127" s="7" t="s">
        <v>195</v>
      </c>
      <c r="J127" s="7" t="s">
        <v>195</v>
      </c>
      <c r="K127" s="7" t="s">
        <v>195</v>
      </c>
      <c r="L127" s="7" t="s">
        <v>195</v>
      </c>
      <c r="M127" s="7" t="s">
        <v>29</v>
      </c>
      <c r="N127" s="7" t="s">
        <v>29</v>
      </c>
      <c r="O127" s="7" t="s">
        <v>29</v>
      </c>
      <c r="P127" s="7" t="s">
        <v>29</v>
      </c>
      <c r="Q127" s="7" t="s">
        <v>29</v>
      </c>
      <c r="R127" s="7" t="s">
        <v>29</v>
      </c>
      <c r="S127" s="7" t="s">
        <v>29</v>
      </c>
    </row>
    <row r="128" spans="2:19">
      <c r="B128" s="7" t="s">
        <v>195</v>
      </c>
      <c r="C128" s="8" t="s">
        <v>195</v>
      </c>
      <c r="D128" s="5" t="str">
        <f>LRTRIM(CONCATENATE(IF(SUMPRODUCT(-- ISNUMBER(SEARCH({"Auto Number"}, $B128))) &gt; 0, $B128, IF(SUMPRODUCT(-- ISNUMBER(SEARCH({"Lookup","Master-Detail"}, $B128))) &gt; 0,$B128 &amp; "(" &amp; $E128 &amp; ")",IF(SUMPRODUCT(-- ISNUMBER(SEARCH({"Formula","Roll-Up Summary"}, $B128))) &gt; 0,$B128 &amp; " (" &amp; $E128 &amp; ")",IF(SUMPRODUCT(-- ISNUMBER(SEARCH({"Content","Currency","Number","Percent","Text","URL"}, $B128))) &gt; 0,$B128 &amp; "(" &amp; $C128 &amp; ")",$B128)))), "  ", TRIM(IF($S128 = "YES", "(External ID)", "") &amp; " " &amp; IF(SUMPRODUCT(-- ISNUMBER(SEARCH({"Unique","Unique Case Insensitive"}, $R128))) &gt; 0, "(" &amp; $R128 &amp; ")", ""))))</f>
        <v>na</v>
      </c>
      <c r="E128" s="7" t="s">
        <v>195</v>
      </c>
      <c r="F128" s="7" t="s">
        <v>195</v>
      </c>
      <c r="G128" s="7" t="s">
        <v>195</v>
      </c>
      <c r="H128" s="7" t="s">
        <v>195</v>
      </c>
      <c r="I128" s="7" t="s">
        <v>195</v>
      </c>
      <c r="J128" s="7" t="s">
        <v>195</v>
      </c>
      <c r="K128" s="7" t="s">
        <v>195</v>
      </c>
      <c r="L128" s="7" t="s">
        <v>195</v>
      </c>
      <c r="M128" s="7" t="s">
        <v>29</v>
      </c>
      <c r="N128" s="7" t="s">
        <v>29</v>
      </c>
      <c r="O128" s="7" t="s">
        <v>29</v>
      </c>
      <c r="P128" s="7" t="s">
        <v>29</v>
      </c>
      <c r="Q128" s="7" t="s">
        <v>29</v>
      </c>
      <c r="R128" s="7" t="s">
        <v>29</v>
      </c>
      <c r="S128" s="7" t="s">
        <v>29</v>
      </c>
    </row>
    <row r="129" spans="2:19">
      <c r="B129" s="7" t="s">
        <v>195</v>
      </c>
      <c r="C129" s="8" t="s">
        <v>195</v>
      </c>
      <c r="D129" s="5" t="str">
        <f>LRTRIM(CONCATENATE(IF(SUMPRODUCT(-- ISNUMBER(SEARCH({"Auto Number"}, $B129))) &gt; 0, $B129, IF(SUMPRODUCT(-- ISNUMBER(SEARCH({"Lookup","Master-Detail"}, $B129))) &gt; 0,$B129 &amp; "(" &amp; $E129 &amp; ")",IF(SUMPRODUCT(-- ISNUMBER(SEARCH({"Formula","Roll-Up Summary"}, $B129))) &gt; 0,$B129 &amp; " (" &amp; $E129 &amp; ")",IF(SUMPRODUCT(-- ISNUMBER(SEARCH({"Content","Currency","Number","Percent","Text","URL"}, $B129))) &gt; 0,$B129 &amp; "(" &amp; $C129 &amp; ")",$B129)))), "  ", TRIM(IF($S129 = "YES", "(External ID)", "") &amp; " " &amp; IF(SUMPRODUCT(-- ISNUMBER(SEARCH({"Unique","Unique Case Insensitive"}, $R129))) &gt; 0, "(" &amp; $R129 &amp; ")", ""))))</f>
        <v>na</v>
      </c>
      <c r="E129" s="7" t="s">
        <v>195</v>
      </c>
      <c r="F129" s="7" t="s">
        <v>195</v>
      </c>
      <c r="G129" s="7" t="s">
        <v>195</v>
      </c>
      <c r="H129" s="7" t="s">
        <v>195</v>
      </c>
      <c r="I129" s="7" t="s">
        <v>195</v>
      </c>
      <c r="J129" s="7" t="s">
        <v>195</v>
      </c>
      <c r="K129" s="7" t="s">
        <v>195</v>
      </c>
      <c r="L129" s="7" t="s">
        <v>195</v>
      </c>
      <c r="M129" s="7" t="s">
        <v>29</v>
      </c>
      <c r="N129" s="7" t="s">
        <v>29</v>
      </c>
      <c r="O129" s="7" t="s">
        <v>29</v>
      </c>
      <c r="P129" s="7" t="s">
        <v>29</v>
      </c>
      <c r="Q129" s="7" t="s">
        <v>29</v>
      </c>
      <c r="R129" s="7" t="s">
        <v>29</v>
      </c>
      <c r="S129" s="7" t="s">
        <v>29</v>
      </c>
    </row>
    <row r="130" spans="2:19">
      <c r="B130" s="7" t="s">
        <v>195</v>
      </c>
      <c r="C130" s="8" t="s">
        <v>195</v>
      </c>
      <c r="D130" s="5" t="str">
        <f>LRTRIM(CONCATENATE(IF(SUMPRODUCT(-- ISNUMBER(SEARCH({"Auto Number"}, $B130))) &gt; 0, $B130, IF(SUMPRODUCT(-- ISNUMBER(SEARCH({"Lookup","Master-Detail"}, $B130))) &gt; 0,$B130 &amp; "(" &amp; $E130 &amp; ")",IF(SUMPRODUCT(-- ISNUMBER(SEARCH({"Formula","Roll-Up Summary"}, $B130))) &gt; 0,$B130 &amp; " (" &amp; $E130 &amp; ")",IF(SUMPRODUCT(-- ISNUMBER(SEARCH({"Content","Currency","Number","Percent","Text","URL"}, $B130))) &gt; 0,$B130 &amp; "(" &amp; $C130 &amp; ")",$B130)))), "  ", TRIM(IF($S130 = "YES", "(External ID)", "") &amp; " " &amp; IF(SUMPRODUCT(-- ISNUMBER(SEARCH({"Unique","Unique Case Insensitive"}, $R130))) &gt; 0, "(" &amp; $R130 &amp; ")", ""))))</f>
        <v>na</v>
      </c>
      <c r="E130" s="7" t="s">
        <v>195</v>
      </c>
      <c r="F130" s="7" t="s">
        <v>195</v>
      </c>
      <c r="G130" s="7" t="s">
        <v>195</v>
      </c>
      <c r="H130" s="7" t="s">
        <v>195</v>
      </c>
      <c r="I130" s="7" t="s">
        <v>195</v>
      </c>
      <c r="J130" s="7" t="s">
        <v>195</v>
      </c>
      <c r="K130" s="7" t="s">
        <v>195</v>
      </c>
      <c r="L130" s="7" t="s">
        <v>195</v>
      </c>
      <c r="M130" s="7" t="s">
        <v>29</v>
      </c>
      <c r="N130" s="7" t="s">
        <v>29</v>
      </c>
      <c r="O130" s="7" t="s">
        <v>29</v>
      </c>
      <c r="P130" s="7" t="s">
        <v>29</v>
      </c>
      <c r="Q130" s="7" t="s">
        <v>29</v>
      </c>
      <c r="R130" s="7" t="s">
        <v>29</v>
      </c>
      <c r="S130" s="7" t="s">
        <v>29</v>
      </c>
    </row>
    <row r="131" spans="2:19">
      <c r="B131" s="7" t="s">
        <v>195</v>
      </c>
      <c r="C131" s="8" t="s">
        <v>195</v>
      </c>
      <c r="D131" s="5" t="str">
        <f>LRTRIM(CONCATENATE(IF(SUMPRODUCT(-- ISNUMBER(SEARCH({"Auto Number"}, $B131))) &gt; 0, $B131, IF(SUMPRODUCT(-- ISNUMBER(SEARCH({"Lookup","Master-Detail"}, $B131))) &gt; 0,$B131 &amp; "(" &amp; $E131 &amp; ")",IF(SUMPRODUCT(-- ISNUMBER(SEARCH({"Formula","Roll-Up Summary"}, $B131))) &gt; 0,$B131 &amp; " (" &amp; $E131 &amp; ")",IF(SUMPRODUCT(-- ISNUMBER(SEARCH({"Content","Currency","Number","Percent","Text","URL"}, $B131))) &gt; 0,$B131 &amp; "(" &amp; $C131 &amp; ")",$B131)))), "  ", TRIM(IF($S131 = "YES", "(External ID)", "") &amp; " " &amp; IF(SUMPRODUCT(-- ISNUMBER(SEARCH({"Unique","Unique Case Insensitive"}, $R131))) &gt; 0, "(" &amp; $R131 &amp; ")", ""))))</f>
        <v>na</v>
      </c>
      <c r="E131" s="7" t="s">
        <v>195</v>
      </c>
      <c r="F131" s="7" t="s">
        <v>195</v>
      </c>
      <c r="G131" s="7" t="s">
        <v>195</v>
      </c>
      <c r="H131" s="7" t="s">
        <v>195</v>
      </c>
      <c r="I131" s="7" t="s">
        <v>195</v>
      </c>
      <c r="J131" s="7" t="s">
        <v>195</v>
      </c>
      <c r="K131" s="7" t="s">
        <v>195</v>
      </c>
      <c r="L131" s="7" t="s">
        <v>195</v>
      </c>
      <c r="M131" s="7" t="s">
        <v>29</v>
      </c>
      <c r="N131" s="7" t="s">
        <v>29</v>
      </c>
      <c r="O131" s="7" t="s">
        <v>29</v>
      </c>
      <c r="P131" s="7" t="s">
        <v>29</v>
      </c>
      <c r="Q131" s="7" t="s">
        <v>29</v>
      </c>
      <c r="R131" s="7" t="s">
        <v>29</v>
      </c>
      <c r="S131" s="7" t="s">
        <v>29</v>
      </c>
    </row>
    <row r="132" spans="2:19">
      <c r="B132" s="7" t="s">
        <v>195</v>
      </c>
      <c r="C132" s="8" t="s">
        <v>195</v>
      </c>
      <c r="D132" s="5" t="str">
        <f>LRTRIM(CONCATENATE(IF(SUMPRODUCT(-- ISNUMBER(SEARCH({"Auto Number"}, $B132))) &gt; 0, $B132, IF(SUMPRODUCT(-- ISNUMBER(SEARCH({"Lookup","Master-Detail"}, $B132))) &gt; 0,$B132 &amp; "(" &amp; $E132 &amp; ")",IF(SUMPRODUCT(-- ISNUMBER(SEARCH({"Formula","Roll-Up Summary"}, $B132))) &gt; 0,$B132 &amp; " (" &amp; $E132 &amp; ")",IF(SUMPRODUCT(-- ISNUMBER(SEARCH({"Content","Currency","Number","Percent","Text","URL"}, $B132))) &gt; 0,$B132 &amp; "(" &amp; $C132 &amp; ")",$B132)))), "  ", TRIM(IF($S132 = "YES", "(External ID)", "") &amp; " " &amp; IF(SUMPRODUCT(-- ISNUMBER(SEARCH({"Unique","Unique Case Insensitive"}, $R132))) &gt; 0, "(" &amp; $R132 &amp; ")", ""))))</f>
        <v>na</v>
      </c>
      <c r="E132" s="7" t="s">
        <v>195</v>
      </c>
      <c r="F132" s="7" t="s">
        <v>195</v>
      </c>
      <c r="G132" s="7" t="s">
        <v>195</v>
      </c>
      <c r="H132" s="7" t="s">
        <v>195</v>
      </c>
      <c r="I132" s="7" t="s">
        <v>195</v>
      </c>
      <c r="J132" s="7" t="s">
        <v>195</v>
      </c>
      <c r="K132" s="7" t="s">
        <v>195</v>
      </c>
      <c r="L132" s="7" t="s">
        <v>195</v>
      </c>
      <c r="M132" s="7" t="s">
        <v>29</v>
      </c>
      <c r="N132" s="7" t="s">
        <v>29</v>
      </c>
      <c r="O132" s="7" t="s">
        <v>29</v>
      </c>
      <c r="P132" s="7" t="s">
        <v>29</v>
      </c>
      <c r="Q132" s="7" t="s">
        <v>29</v>
      </c>
      <c r="R132" s="7" t="s">
        <v>29</v>
      </c>
      <c r="S132" s="7" t="s">
        <v>29</v>
      </c>
    </row>
    <row r="133" spans="2:19">
      <c r="B133" s="7" t="s">
        <v>195</v>
      </c>
      <c r="C133" s="8" t="s">
        <v>195</v>
      </c>
      <c r="D133" s="5" t="str">
        <f>LRTRIM(CONCATENATE(IF(SUMPRODUCT(-- ISNUMBER(SEARCH({"Auto Number"}, $B133))) &gt; 0, $B133, IF(SUMPRODUCT(-- ISNUMBER(SEARCH({"Lookup","Master-Detail"}, $B133))) &gt; 0,$B133 &amp; "(" &amp; $E133 &amp; ")",IF(SUMPRODUCT(-- ISNUMBER(SEARCH({"Formula","Roll-Up Summary"}, $B133))) &gt; 0,$B133 &amp; " (" &amp; $E133 &amp; ")",IF(SUMPRODUCT(-- ISNUMBER(SEARCH({"Content","Currency","Number","Percent","Text","URL"}, $B133))) &gt; 0,$B133 &amp; "(" &amp; $C133 &amp; ")",$B133)))), "  ", TRIM(IF($S133 = "YES", "(External ID)", "") &amp; " " &amp; IF(SUMPRODUCT(-- ISNUMBER(SEARCH({"Unique","Unique Case Insensitive"}, $R133))) &gt; 0, "(" &amp; $R133 &amp; ")", ""))))</f>
        <v>na</v>
      </c>
      <c r="E133" s="7" t="s">
        <v>195</v>
      </c>
      <c r="F133" s="7" t="s">
        <v>195</v>
      </c>
      <c r="G133" s="7" t="s">
        <v>195</v>
      </c>
      <c r="H133" s="7" t="s">
        <v>195</v>
      </c>
      <c r="I133" s="7" t="s">
        <v>195</v>
      </c>
      <c r="J133" s="7" t="s">
        <v>195</v>
      </c>
      <c r="K133" s="7" t="s">
        <v>195</v>
      </c>
      <c r="L133" s="7" t="s">
        <v>195</v>
      </c>
      <c r="M133" s="7" t="s">
        <v>29</v>
      </c>
      <c r="N133" s="7" t="s">
        <v>29</v>
      </c>
      <c r="O133" s="7" t="s">
        <v>29</v>
      </c>
      <c r="P133" s="7" t="s">
        <v>29</v>
      </c>
      <c r="Q133" s="7" t="s">
        <v>29</v>
      </c>
      <c r="R133" s="7" t="s">
        <v>29</v>
      </c>
      <c r="S133" s="7" t="s">
        <v>29</v>
      </c>
    </row>
    <row r="134" spans="2:19">
      <c r="B134" s="7" t="s">
        <v>195</v>
      </c>
      <c r="C134" s="8" t="s">
        <v>195</v>
      </c>
      <c r="D134" s="5" t="str">
        <f>LRTRIM(CONCATENATE(IF(SUMPRODUCT(-- ISNUMBER(SEARCH({"Auto Number"}, $B134))) &gt; 0, $B134, IF(SUMPRODUCT(-- ISNUMBER(SEARCH({"Lookup","Master-Detail"}, $B134))) &gt; 0,$B134 &amp; "(" &amp; $E134 &amp; ")",IF(SUMPRODUCT(-- ISNUMBER(SEARCH({"Formula","Roll-Up Summary"}, $B134))) &gt; 0,$B134 &amp; " (" &amp; $E134 &amp; ")",IF(SUMPRODUCT(-- ISNUMBER(SEARCH({"Content","Currency","Number","Percent","Text","URL"}, $B134))) &gt; 0,$B134 &amp; "(" &amp; $C134 &amp; ")",$B134)))), "  ", TRIM(IF($S134 = "YES", "(External ID)", "") &amp; " " &amp; IF(SUMPRODUCT(-- ISNUMBER(SEARCH({"Unique","Unique Case Insensitive"}, $R134))) &gt; 0, "(" &amp; $R134 &amp; ")", ""))))</f>
        <v>na</v>
      </c>
      <c r="E134" s="7" t="s">
        <v>195</v>
      </c>
      <c r="F134" s="7" t="s">
        <v>195</v>
      </c>
      <c r="G134" s="7" t="s">
        <v>195</v>
      </c>
      <c r="H134" s="7" t="s">
        <v>195</v>
      </c>
      <c r="I134" s="7" t="s">
        <v>195</v>
      </c>
      <c r="J134" s="7" t="s">
        <v>195</v>
      </c>
      <c r="K134" s="7" t="s">
        <v>195</v>
      </c>
      <c r="L134" s="7" t="s">
        <v>195</v>
      </c>
      <c r="M134" s="7" t="s">
        <v>29</v>
      </c>
      <c r="N134" s="7" t="s">
        <v>29</v>
      </c>
      <c r="O134" s="7" t="s">
        <v>29</v>
      </c>
      <c r="P134" s="7" t="s">
        <v>29</v>
      </c>
      <c r="Q134" s="7" t="s">
        <v>29</v>
      </c>
      <c r="R134" s="7" t="s">
        <v>29</v>
      </c>
      <c r="S134" s="7" t="s">
        <v>29</v>
      </c>
    </row>
    <row r="135" spans="2:19">
      <c r="B135" s="7" t="s">
        <v>195</v>
      </c>
      <c r="C135" s="8" t="s">
        <v>195</v>
      </c>
      <c r="D135" s="5" t="str">
        <f>LRTRIM(CONCATENATE(IF(SUMPRODUCT(-- ISNUMBER(SEARCH({"Auto Number"}, $B135))) &gt; 0, $B135, IF(SUMPRODUCT(-- ISNUMBER(SEARCH({"Lookup","Master-Detail"}, $B135))) &gt; 0,$B135 &amp; "(" &amp; $E135 &amp; ")",IF(SUMPRODUCT(-- ISNUMBER(SEARCH({"Formula","Roll-Up Summary"}, $B135))) &gt; 0,$B135 &amp; " (" &amp; $E135 &amp; ")",IF(SUMPRODUCT(-- ISNUMBER(SEARCH({"Content","Currency","Number","Percent","Text","URL"}, $B135))) &gt; 0,$B135 &amp; "(" &amp; $C135 &amp; ")",$B135)))), "  ", TRIM(IF($S135 = "YES", "(External ID)", "") &amp; " " &amp; IF(SUMPRODUCT(-- ISNUMBER(SEARCH({"Unique","Unique Case Insensitive"}, $R135))) &gt; 0, "(" &amp; $R135 &amp; ")", ""))))</f>
        <v>na</v>
      </c>
      <c r="E135" s="7" t="s">
        <v>195</v>
      </c>
      <c r="F135" s="7" t="s">
        <v>195</v>
      </c>
      <c r="G135" s="7" t="s">
        <v>195</v>
      </c>
      <c r="H135" s="7" t="s">
        <v>195</v>
      </c>
      <c r="I135" s="7" t="s">
        <v>195</v>
      </c>
      <c r="J135" s="7" t="s">
        <v>195</v>
      </c>
      <c r="K135" s="7" t="s">
        <v>195</v>
      </c>
      <c r="L135" s="7" t="s">
        <v>195</v>
      </c>
      <c r="M135" s="7" t="s">
        <v>29</v>
      </c>
      <c r="N135" s="7" t="s">
        <v>29</v>
      </c>
      <c r="O135" s="7" t="s">
        <v>29</v>
      </c>
      <c r="P135" s="7" t="s">
        <v>29</v>
      </c>
      <c r="Q135" s="7" t="s">
        <v>29</v>
      </c>
      <c r="R135" s="7" t="s">
        <v>29</v>
      </c>
      <c r="S135" s="7" t="s">
        <v>29</v>
      </c>
    </row>
    <row r="136" spans="2:19">
      <c r="B136" s="7" t="s">
        <v>195</v>
      </c>
      <c r="C136" s="8" t="s">
        <v>195</v>
      </c>
      <c r="D136" s="5" t="str">
        <f>LRTRIM(CONCATENATE(IF(SUMPRODUCT(-- ISNUMBER(SEARCH({"Auto Number"}, $B136))) &gt; 0, $B136, IF(SUMPRODUCT(-- ISNUMBER(SEARCH({"Lookup","Master-Detail"}, $B136))) &gt; 0,$B136 &amp; "(" &amp; $E136 &amp; ")",IF(SUMPRODUCT(-- ISNUMBER(SEARCH({"Formula","Roll-Up Summary"}, $B136))) &gt; 0,$B136 &amp; " (" &amp; $E136 &amp; ")",IF(SUMPRODUCT(-- ISNUMBER(SEARCH({"Content","Currency","Number","Percent","Text","URL"}, $B136))) &gt; 0,$B136 &amp; "(" &amp; $C136 &amp; ")",$B136)))), "  ", TRIM(IF($S136 = "YES", "(External ID)", "") &amp; " " &amp; IF(SUMPRODUCT(-- ISNUMBER(SEARCH({"Unique","Unique Case Insensitive"}, $R136))) &gt; 0, "(" &amp; $R136 &amp; ")", ""))))</f>
        <v>na</v>
      </c>
      <c r="E136" s="7" t="s">
        <v>195</v>
      </c>
      <c r="F136" s="7" t="s">
        <v>195</v>
      </c>
      <c r="G136" s="7" t="s">
        <v>195</v>
      </c>
      <c r="H136" s="7" t="s">
        <v>195</v>
      </c>
      <c r="I136" s="7" t="s">
        <v>195</v>
      </c>
      <c r="J136" s="7" t="s">
        <v>195</v>
      </c>
      <c r="K136" s="7" t="s">
        <v>195</v>
      </c>
      <c r="L136" s="7" t="s">
        <v>195</v>
      </c>
      <c r="M136" s="7" t="s">
        <v>29</v>
      </c>
      <c r="N136" s="7" t="s">
        <v>29</v>
      </c>
      <c r="O136" s="7" t="s">
        <v>29</v>
      </c>
      <c r="P136" s="7" t="s">
        <v>29</v>
      </c>
      <c r="Q136" s="7" t="s">
        <v>29</v>
      </c>
      <c r="R136" s="7" t="s">
        <v>29</v>
      </c>
      <c r="S136" s="7" t="s">
        <v>29</v>
      </c>
    </row>
    <row r="137" spans="2:19">
      <c r="B137" s="7" t="s">
        <v>195</v>
      </c>
      <c r="C137" s="8" t="s">
        <v>195</v>
      </c>
      <c r="D137" s="5" t="str">
        <f>LRTRIM(CONCATENATE(IF(SUMPRODUCT(-- ISNUMBER(SEARCH({"Auto Number"}, $B137))) &gt; 0, $B137, IF(SUMPRODUCT(-- ISNUMBER(SEARCH({"Lookup","Master-Detail"}, $B137))) &gt; 0,$B137 &amp; "(" &amp; $E137 &amp; ")",IF(SUMPRODUCT(-- ISNUMBER(SEARCH({"Formula","Roll-Up Summary"}, $B137))) &gt; 0,$B137 &amp; " (" &amp; $E137 &amp; ")",IF(SUMPRODUCT(-- ISNUMBER(SEARCH({"Content","Currency","Number","Percent","Text","URL"}, $B137))) &gt; 0,$B137 &amp; "(" &amp; $C137 &amp; ")",$B137)))), "  ", TRIM(IF($S137 = "YES", "(External ID)", "") &amp; " " &amp; IF(SUMPRODUCT(-- ISNUMBER(SEARCH({"Unique","Unique Case Insensitive"}, $R137))) &gt; 0, "(" &amp; $R137 &amp; ")", ""))))</f>
        <v>na</v>
      </c>
      <c r="E137" s="7" t="s">
        <v>195</v>
      </c>
      <c r="F137" s="7" t="s">
        <v>195</v>
      </c>
      <c r="G137" s="7" t="s">
        <v>195</v>
      </c>
      <c r="H137" s="7" t="s">
        <v>195</v>
      </c>
      <c r="I137" s="7" t="s">
        <v>195</v>
      </c>
      <c r="J137" s="7" t="s">
        <v>195</v>
      </c>
      <c r="K137" s="7" t="s">
        <v>195</v>
      </c>
      <c r="L137" s="7" t="s">
        <v>195</v>
      </c>
      <c r="M137" s="7" t="s">
        <v>29</v>
      </c>
      <c r="N137" s="7" t="s">
        <v>29</v>
      </c>
      <c r="O137" s="7" t="s">
        <v>29</v>
      </c>
      <c r="P137" s="7" t="s">
        <v>29</v>
      </c>
      <c r="Q137" s="7" t="s">
        <v>29</v>
      </c>
      <c r="R137" s="7" t="s">
        <v>29</v>
      </c>
      <c r="S137" s="7" t="s">
        <v>29</v>
      </c>
    </row>
    <row r="138" spans="2:19">
      <c r="B138" s="7" t="s">
        <v>195</v>
      </c>
      <c r="C138" s="8" t="s">
        <v>195</v>
      </c>
      <c r="D138" s="5" t="str">
        <f>LRTRIM(CONCATENATE(IF(SUMPRODUCT(-- ISNUMBER(SEARCH({"Auto Number"}, $B138))) &gt; 0, $B138, IF(SUMPRODUCT(-- ISNUMBER(SEARCH({"Lookup","Master-Detail"}, $B138))) &gt; 0,$B138 &amp; "(" &amp; $E138 &amp; ")",IF(SUMPRODUCT(-- ISNUMBER(SEARCH({"Formula","Roll-Up Summary"}, $B138))) &gt; 0,$B138 &amp; " (" &amp; $E138 &amp; ")",IF(SUMPRODUCT(-- ISNUMBER(SEARCH({"Content","Currency","Number","Percent","Text","URL"}, $B138))) &gt; 0,$B138 &amp; "(" &amp; $C138 &amp; ")",$B138)))), "  ", TRIM(IF($S138 = "YES", "(External ID)", "") &amp; " " &amp; IF(SUMPRODUCT(-- ISNUMBER(SEARCH({"Unique","Unique Case Insensitive"}, $R138))) &gt; 0, "(" &amp; $R138 &amp; ")", ""))))</f>
        <v>na</v>
      </c>
      <c r="E138" s="7" t="s">
        <v>195</v>
      </c>
      <c r="F138" s="7" t="s">
        <v>195</v>
      </c>
      <c r="G138" s="7" t="s">
        <v>195</v>
      </c>
      <c r="H138" s="7" t="s">
        <v>195</v>
      </c>
      <c r="I138" s="7" t="s">
        <v>195</v>
      </c>
      <c r="J138" s="7" t="s">
        <v>195</v>
      </c>
      <c r="K138" s="7" t="s">
        <v>195</v>
      </c>
      <c r="L138" s="7" t="s">
        <v>195</v>
      </c>
      <c r="M138" s="7" t="s">
        <v>29</v>
      </c>
      <c r="N138" s="7" t="s">
        <v>29</v>
      </c>
      <c r="O138" s="7" t="s">
        <v>29</v>
      </c>
      <c r="P138" s="7" t="s">
        <v>29</v>
      </c>
      <c r="Q138" s="7" t="s">
        <v>29</v>
      </c>
      <c r="R138" s="7" t="s">
        <v>29</v>
      </c>
      <c r="S138" s="7" t="s">
        <v>29</v>
      </c>
    </row>
    <row r="139" spans="2:19">
      <c r="B139" s="7" t="s">
        <v>195</v>
      </c>
      <c r="C139" s="8" t="s">
        <v>195</v>
      </c>
      <c r="D139" s="5" t="str">
        <f>LRTRIM(CONCATENATE(IF(SUMPRODUCT(-- ISNUMBER(SEARCH({"Auto Number"}, $B139))) &gt; 0, $B139, IF(SUMPRODUCT(-- ISNUMBER(SEARCH({"Lookup","Master-Detail"}, $B139))) &gt; 0,$B139 &amp; "(" &amp; $E139 &amp; ")",IF(SUMPRODUCT(-- ISNUMBER(SEARCH({"Formula","Roll-Up Summary"}, $B139))) &gt; 0,$B139 &amp; " (" &amp; $E139 &amp; ")",IF(SUMPRODUCT(-- ISNUMBER(SEARCH({"Content","Currency","Number","Percent","Text","URL"}, $B139))) &gt; 0,$B139 &amp; "(" &amp; $C139 &amp; ")",$B139)))), "  ", TRIM(IF($S139 = "YES", "(External ID)", "") &amp; " " &amp; IF(SUMPRODUCT(-- ISNUMBER(SEARCH({"Unique","Unique Case Insensitive"}, $R139))) &gt; 0, "(" &amp; $R139 &amp; ")", ""))))</f>
        <v>na</v>
      </c>
      <c r="E139" s="7" t="s">
        <v>195</v>
      </c>
      <c r="F139" s="7" t="s">
        <v>195</v>
      </c>
      <c r="G139" s="7" t="s">
        <v>195</v>
      </c>
      <c r="H139" s="7" t="s">
        <v>195</v>
      </c>
      <c r="I139" s="7" t="s">
        <v>195</v>
      </c>
      <c r="J139" s="7" t="s">
        <v>195</v>
      </c>
      <c r="K139" s="7" t="s">
        <v>195</v>
      </c>
      <c r="L139" s="7" t="s">
        <v>195</v>
      </c>
      <c r="M139" s="7" t="s">
        <v>29</v>
      </c>
      <c r="N139" s="7" t="s">
        <v>29</v>
      </c>
      <c r="O139" s="7" t="s">
        <v>29</v>
      </c>
      <c r="P139" s="7" t="s">
        <v>29</v>
      </c>
      <c r="Q139" s="7" t="s">
        <v>29</v>
      </c>
      <c r="R139" s="7" t="s">
        <v>29</v>
      </c>
      <c r="S139" s="7" t="s">
        <v>29</v>
      </c>
    </row>
    <row r="140" spans="2:19">
      <c r="B140" s="7" t="s">
        <v>195</v>
      </c>
      <c r="C140" s="8" t="s">
        <v>195</v>
      </c>
      <c r="D140" s="5" t="str">
        <f>LRTRIM(CONCATENATE(IF(SUMPRODUCT(-- ISNUMBER(SEARCH({"Auto Number"}, $B140))) &gt; 0, $B140, IF(SUMPRODUCT(-- ISNUMBER(SEARCH({"Lookup","Master-Detail"}, $B140))) &gt; 0,$B140 &amp; "(" &amp; $E140 &amp; ")",IF(SUMPRODUCT(-- ISNUMBER(SEARCH({"Formula","Roll-Up Summary"}, $B140))) &gt; 0,$B140 &amp; " (" &amp; $E140 &amp; ")",IF(SUMPRODUCT(-- ISNUMBER(SEARCH({"Content","Currency","Number","Percent","Text","URL"}, $B140))) &gt; 0,$B140 &amp; "(" &amp; $C140 &amp; ")",$B140)))), "  ", TRIM(IF($S140 = "YES", "(External ID)", "") &amp; " " &amp; IF(SUMPRODUCT(-- ISNUMBER(SEARCH({"Unique","Unique Case Insensitive"}, $R140))) &gt; 0, "(" &amp; $R140 &amp; ")", ""))))</f>
        <v>na</v>
      </c>
      <c r="E140" s="7" t="s">
        <v>195</v>
      </c>
      <c r="F140" s="7" t="s">
        <v>195</v>
      </c>
      <c r="G140" s="7" t="s">
        <v>195</v>
      </c>
      <c r="H140" s="7" t="s">
        <v>195</v>
      </c>
      <c r="I140" s="7" t="s">
        <v>195</v>
      </c>
      <c r="J140" s="7" t="s">
        <v>195</v>
      </c>
      <c r="K140" s="7" t="s">
        <v>195</v>
      </c>
      <c r="L140" s="7" t="s">
        <v>195</v>
      </c>
      <c r="M140" s="7" t="s">
        <v>29</v>
      </c>
      <c r="N140" s="7" t="s">
        <v>29</v>
      </c>
      <c r="O140" s="7" t="s">
        <v>29</v>
      </c>
      <c r="P140" s="7" t="s">
        <v>29</v>
      </c>
      <c r="Q140" s="7" t="s">
        <v>29</v>
      </c>
      <c r="R140" s="7" t="s">
        <v>29</v>
      </c>
      <c r="S140" s="7" t="s">
        <v>29</v>
      </c>
    </row>
    <row r="141" spans="2:19">
      <c r="B141" s="7" t="s">
        <v>195</v>
      </c>
      <c r="C141" s="8" t="s">
        <v>195</v>
      </c>
      <c r="D141" s="5" t="str">
        <f>LRTRIM(CONCATENATE(IF(SUMPRODUCT(-- ISNUMBER(SEARCH({"Auto Number"}, $B141))) &gt; 0, $B141, IF(SUMPRODUCT(-- ISNUMBER(SEARCH({"Lookup","Master-Detail"}, $B141))) &gt; 0,$B141 &amp; "(" &amp; $E141 &amp; ")",IF(SUMPRODUCT(-- ISNUMBER(SEARCH({"Formula","Roll-Up Summary"}, $B141))) &gt; 0,$B141 &amp; " (" &amp; $E141 &amp; ")",IF(SUMPRODUCT(-- ISNUMBER(SEARCH({"Content","Currency","Number","Percent","Text","URL"}, $B141))) &gt; 0,$B141 &amp; "(" &amp; $C141 &amp; ")",$B141)))), "  ", TRIM(IF($S141 = "YES", "(External ID)", "") &amp; " " &amp; IF(SUMPRODUCT(-- ISNUMBER(SEARCH({"Unique","Unique Case Insensitive"}, $R141))) &gt; 0, "(" &amp; $R141 &amp; ")", ""))))</f>
        <v>na</v>
      </c>
      <c r="E141" s="7" t="s">
        <v>195</v>
      </c>
      <c r="F141" s="7" t="s">
        <v>195</v>
      </c>
      <c r="G141" s="7" t="s">
        <v>195</v>
      </c>
      <c r="H141" s="7" t="s">
        <v>195</v>
      </c>
      <c r="I141" s="7" t="s">
        <v>195</v>
      </c>
      <c r="J141" s="7" t="s">
        <v>195</v>
      </c>
      <c r="K141" s="7" t="s">
        <v>195</v>
      </c>
      <c r="L141" s="7" t="s">
        <v>195</v>
      </c>
      <c r="M141" s="7" t="s">
        <v>29</v>
      </c>
      <c r="N141" s="7" t="s">
        <v>29</v>
      </c>
      <c r="O141" s="7" t="s">
        <v>29</v>
      </c>
      <c r="P141" s="7" t="s">
        <v>29</v>
      </c>
      <c r="Q141" s="7" t="s">
        <v>29</v>
      </c>
      <c r="R141" s="7" t="s">
        <v>29</v>
      </c>
      <c r="S141" s="7" t="s">
        <v>29</v>
      </c>
    </row>
    <row r="142" spans="2:19">
      <c r="B142" s="7" t="s">
        <v>195</v>
      </c>
      <c r="C142" s="8" t="s">
        <v>195</v>
      </c>
      <c r="D142" s="5" t="str">
        <f>LRTRIM(CONCATENATE(IF(SUMPRODUCT(-- ISNUMBER(SEARCH({"Auto Number"}, $B142))) &gt; 0, $B142, IF(SUMPRODUCT(-- ISNUMBER(SEARCH({"Lookup","Master-Detail"}, $B142))) &gt; 0,$B142 &amp; "(" &amp; $E142 &amp; ")",IF(SUMPRODUCT(-- ISNUMBER(SEARCH({"Formula","Roll-Up Summary"}, $B142))) &gt; 0,$B142 &amp; " (" &amp; $E142 &amp; ")",IF(SUMPRODUCT(-- ISNUMBER(SEARCH({"Content","Currency","Number","Percent","Text","URL"}, $B142))) &gt; 0,$B142 &amp; "(" &amp; $C142 &amp; ")",$B142)))), "  ", TRIM(IF($S142 = "YES", "(External ID)", "") &amp; " " &amp; IF(SUMPRODUCT(-- ISNUMBER(SEARCH({"Unique","Unique Case Insensitive"}, $R142))) &gt; 0, "(" &amp; $R142 &amp; ")", ""))))</f>
        <v>na</v>
      </c>
      <c r="E142" s="7" t="s">
        <v>195</v>
      </c>
      <c r="F142" s="7" t="s">
        <v>195</v>
      </c>
      <c r="G142" s="7" t="s">
        <v>195</v>
      </c>
      <c r="H142" s="7" t="s">
        <v>195</v>
      </c>
      <c r="I142" s="7" t="s">
        <v>195</v>
      </c>
      <c r="J142" s="7" t="s">
        <v>195</v>
      </c>
      <c r="K142" s="7" t="s">
        <v>195</v>
      </c>
      <c r="L142" s="7" t="s">
        <v>195</v>
      </c>
      <c r="M142" s="7" t="s">
        <v>29</v>
      </c>
      <c r="N142" s="7" t="s">
        <v>29</v>
      </c>
      <c r="O142" s="7" t="s">
        <v>29</v>
      </c>
      <c r="P142" s="7" t="s">
        <v>29</v>
      </c>
      <c r="Q142" s="7" t="s">
        <v>29</v>
      </c>
      <c r="R142" s="7" t="s">
        <v>29</v>
      </c>
      <c r="S142" s="7" t="s">
        <v>29</v>
      </c>
    </row>
    <row r="143" spans="2:19">
      <c r="B143" s="7" t="s">
        <v>195</v>
      </c>
      <c r="C143" s="8" t="s">
        <v>195</v>
      </c>
      <c r="D143" s="5" t="str">
        <f>LRTRIM(CONCATENATE(IF(SUMPRODUCT(-- ISNUMBER(SEARCH({"Auto Number"}, $B143))) &gt; 0, $B143, IF(SUMPRODUCT(-- ISNUMBER(SEARCH({"Lookup","Master-Detail"}, $B143))) &gt; 0,$B143 &amp; "(" &amp; $E143 &amp; ")",IF(SUMPRODUCT(-- ISNUMBER(SEARCH({"Formula","Roll-Up Summary"}, $B143))) &gt; 0,$B143 &amp; " (" &amp; $E143 &amp; ")",IF(SUMPRODUCT(-- ISNUMBER(SEARCH({"Content","Currency","Number","Percent","Text","URL"}, $B143))) &gt; 0,$B143 &amp; "(" &amp; $C143 &amp; ")",$B143)))), "  ", TRIM(IF($S143 = "YES", "(External ID)", "") &amp; " " &amp; IF(SUMPRODUCT(-- ISNUMBER(SEARCH({"Unique","Unique Case Insensitive"}, $R143))) &gt; 0, "(" &amp; $R143 &amp; ")", ""))))</f>
        <v>na</v>
      </c>
      <c r="E143" s="7" t="s">
        <v>195</v>
      </c>
      <c r="F143" s="7" t="s">
        <v>195</v>
      </c>
      <c r="G143" s="7" t="s">
        <v>195</v>
      </c>
      <c r="H143" s="7" t="s">
        <v>195</v>
      </c>
      <c r="I143" s="7" t="s">
        <v>195</v>
      </c>
      <c r="J143" s="7" t="s">
        <v>195</v>
      </c>
      <c r="K143" s="7" t="s">
        <v>195</v>
      </c>
      <c r="L143" s="7" t="s">
        <v>195</v>
      </c>
      <c r="M143" s="7" t="s">
        <v>29</v>
      </c>
      <c r="N143" s="7" t="s">
        <v>29</v>
      </c>
      <c r="O143" s="7" t="s">
        <v>29</v>
      </c>
      <c r="P143" s="7" t="s">
        <v>29</v>
      </c>
      <c r="Q143" s="7" t="s">
        <v>29</v>
      </c>
      <c r="R143" s="7" t="s">
        <v>29</v>
      </c>
      <c r="S143" s="7" t="s">
        <v>29</v>
      </c>
    </row>
    <row r="144" spans="2:19">
      <c r="B144" s="7" t="s">
        <v>195</v>
      </c>
      <c r="C144" s="8" t="s">
        <v>195</v>
      </c>
      <c r="D144" s="5" t="str">
        <f>LRTRIM(CONCATENATE(IF(SUMPRODUCT(-- ISNUMBER(SEARCH({"Auto Number"}, $B144))) &gt; 0, $B144, IF(SUMPRODUCT(-- ISNUMBER(SEARCH({"Lookup","Master-Detail"}, $B144))) &gt; 0,$B144 &amp; "(" &amp; $E144 &amp; ")",IF(SUMPRODUCT(-- ISNUMBER(SEARCH({"Formula","Roll-Up Summary"}, $B144))) &gt; 0,$B144 &amp; " (" &amp; $E144 &amp; ")",IF(SUMPRODUCT(-- ISNUMBER(SEARCH({"Content","Currency","Number","Percent","Text","URL"}, $B144))) &gt; 0,$B144 &amp; "(" &amp; $C144 &amp; ")",$B144)))), "  ", TRIM(IF($S144 = "YES", "(External ID)", "") &amp; " " &amp; IF(SUMPRODUCT(-- ISNUMBER(SEARCH({"Unique","Unique Case Insensitive"}, $R144))) &gt; 0, "(" &amp; $R144 &amp; ")", ""))))</f>
        <v>na</v>
      </c>
      <c r="E144" s="7" t="s">
        <v>195</v>
      </c>
      <c r="F144" s="7" t="s">
        <v>195</v>
      </c>
      <c r="G144" s="7" t="s">
        <v>195</v>
      </c>
      <c r="H144" s="7" t="s">
        <v>195</v>
      </c>
      <c r="I144" s="7" t="s">
        <v>195</v>
      </c>
      <c r="J144" s="7" t="s">
        <v>195</v>
      </c>
      <c r="K144" s="7" t="s">
        <v>195</v>
      </c>
      <c r="L144" s="7" t="s">
        <v>195</v>
      </c>
      <c r="M144" s="7" t="s">
        <v>29</v>
      </c>
      <c r="N144" s="7" t="s">
        <v>29</v>
      </c>
      <c r="O144" s="7" t="s">
        <v>29</v>
      </c>
      <c r="P144" s="7" t="s">
        <v>29</v>
      </c>
      <c r="Q144" s="7" t="s">
        <v>29</v>
      </c>
      <c r="R144" s="7" t="s">
        <v>29</v>
      </c>
      <c r="S144" s="7" t="s">
        <v>29</v>
      </c>
    </row>
    <row r="145" spans="2:19">
      <c r="B145" s="7" t="s">
        <v>195</v>
      </c>
      <c r="C145" s="8" t="s">
        <v>195</v>
      </c>
      <c r="D145" s="5" t="str">
        <f>LRTRIM(CONCATENATE(IF(SUMPRODUCT(-- ISNUMBER(SEARCH({"Auto Number"}, $B145))) &gt; 0, $B145, IF(SUMPRODUCT(-- ISNUMBER(SEARCH({"Lookup","Master-Detail"}, $B145))) &gt; 0,$B145 &amp; "(" &amp; $E145 &amp; ")",IF(SUMPRODUCT(-- ISNUMBER(SEARCH({"Formula","Roll-Up Summary"}, $B145))) &gt; 0,$B145 &amp; " (" &amp; $E145 &amp; ")",IF(SUMPRODUCT(-- ISNUMBER(SEARCH({"Content","Currency","Number","Percent","Text","URL"}, $B145))) &gt; 0,$B145 &amp; "(" &amp; $C145 &amp; ")",$B145)))), "  ", TRIM(IF($S145 = "YES", "(External ID)", "") &amp; " " &amp; IF(SUMPRODUCT(-- ISNUMBER(SEARCH({"Unique","Unique Case Insensitive"}, $R145))) &gt; 0, "(" &amp; $R145 &amp; ")", ""))))</f>
        <v>na</v>
      </c>
      <c r="E145" s="7" t="s">
        <v>195</v>
      </c>
      <c r="F145" s="7" t="s">
        <v>195</v>
      </c>
      <c r="G145" s="7" t="s">
        <v>195</v>
      </c>
      <c r="H145" s="7" t="s">
        <v>195</v>
      </c>
      <c r="I145" s="7" t="s">
        <v>195</v>
      </c>
      <c r="J145" s="7" t="s">
        <v>195</v>
      </c>
      <c r="K145" s="7" t="s">
        <v>195</v>
      </c>
      <c r="L145" s="7" t="s">
        <v>195</v>
      </c>
      <c r="M145" s="7" t="s">
        <v>29</v>
      </c>
      <c r="N145" s="7" t="s">
        <v>29</v>
      </c>
      <c r="O145" s="7" t="s">
        <v>29</v>
      </c>
      <c r="P145" s="7" t="s">
        <v>29</v>
      </c>
      <c r="Q145" s="7" t="s">
        <v>29</v>
      </c>
      <c r="R145" s="7" t="s">
        <v>29</v>
      </c>
      <c r="S145" s="7" t="s">
        <v>29</v>
      </c>
    </row>
    <row r="146" spans="2:19">
      <c r="B146" s="7" t="s">
        <v>195</v>
      </c>
      <c r="C146" s="8" t="s">
        <v>195</v>
      </c>
      <c r="D146" s="5" t="str">
        <f>LRTRIM(CONCATENATE(IF(SUMPRODUCT(-- ISNUMBER(SEARCH({"Auto Number"}, $B146))) &gt; 0, $B146, IF(SUMPRODUCT(-- ISNUMBER(SEARCH({"Lookup","Master-Detail"}, $B146))) &gt; 0,$B146 &amp; "(" &amp; $E146 &amp; ")",IF(SUMPRODUCT(-- ISNUMBER(SEARCH({"Formula","Roll-Up Summary"}, $B146))) &gt; 0,$B146 &amp; " (" &amp; $E146 &amp; ")",IF(SUMPRODUCT(-- ISNUMBER(SEARCH({"Content","Currency","Number","Percent","Text","URL"}, $B146))) &gt; 0,$B146 &amp; "(" &amp; $C146 &amp; ")",$B146)))), "  ", TRIM(IF($S146 = "YES", "(External ID)", "") &amp; " " &amp; IF(SUMPRODUCT(-- ISNUMBER(SEARCH({"Unique","Unique Case Insensitive"}, $R146))) &gt; 0, "(" &amp; $R146 &amp; ")", ""))))</f>
        <v>na</v>
      </c>
      <c r="E146" s="7" t="s">
        <v>195</v>
      </c>
      <c r="F146" s="7" t="s">
        <v>195</v>
      </c>
      <c r="G146" s="7" t="s">
        <v>195</v>
      </c>
      <c r="H146" s="7" t="s">
        <v>195</v>
      </c>
      <c r="I146" s="7" t="s">
        <v>195</v>
      </c>
      <c r="J146" s="7" t="s">
        <v>195</v>
      </c>
      <c r="K146" s="7" t="s">
        <v>195</v>
      </c>
      <c r="L146" s="7" t="s">
        <v>195</v>
      </c>
      <c r="M146" s="7" t="s">
        <v>29</v>
      </c>
      <c r="N146" s="7" t="s">
        <v>29</v>
      </c>
      <c r="O146" s="7" t="s">
        <v>29</v>
      </c>
      <c r="P146" s="7" t="s">
        <v>29</v>
      </c>
      <c r="Q146" s="7" t="s">
        <v>29</v>
      </c>
      <c r="R146" s="7" t="s">
        <v>29</v>
      </c>
      <c r="S146" s="7" t="s">
        <v>29</v>
      </c>
    </row>
    <row r="147" spans="2:19">
      <c r="B147" s="7" t="s">
        <v>195</v>
      </c>
      <c r="C147" s="8" t="s">
        <v>195</v>
      </c>
      <c r="D147" s="5" t="str">
        <f>LRTRIM(CONCATENATE(IF(SUMPRODUCT(-- ISNUMBER(SEARCH({"Auto Number"}, $B147))) &gt; 0, $B147, IF(SUMPRODUCT(-- ISNUMBER(SEARCH({"Lookup","Master-Detail"}, $B147))) &gt; 0,$B147 &amp; "(" &amp; $E147 &amp; ")",IF(SUMPRODUCT(-- ISNUMBER(SEARCH({"Formula","Roll-Up Summary"}, $B147))) &gt; 0,$B147 &amp; " (" &amp; $E147 &amp; ")",IF(SUMPRODUCT(-- ISNUMBER(SEARCH({"Content","Currency","Number","Percent","Text","URL"}, $B147))) &gt; 0,$B147 &amp; "(" &amp; $C147 &amp; ")",$B147)))), "  ", TRIM(IF($S147 = "YES", "(External ID)", "") &amp; " " &amp; IF(SUMPRODUCT(-- ISNUMBER(SEARCH({"Unique","Unique Case Insensitive"}, $R147))) &gt; 0, "(" &amp; $R147 &amp; ")", ""))))</f>
        <v>na</v>
      </c>
      <c r="E147" s="7" t="s">
        <v>195</v>
      </c>
      <c r="F147" s="7" t="s">
        <v>195</v>
      </c>
      <c r="G147" s="7" t="s">
        <v>195</v>
      </c>
      <c r="H147" s="7" t="s">
        <v>195</v>
      </c>
      <c r="I147" s="7" t="s">
        <v>195</v>
      </c>
      <c r="J147" s="7" t="s">
        <v>195</v>
      </c>
      <c r="K147" s="7" t="s">
        <v>195</v>
      </c>
      <c r="L147" s="7" t="s">
        <v>195</v>
      </c>
      <c r="M147" s="7" t="s">
        <v>29</v>
      </c>
      <c r="N147" s="7" t="s">
        <v>29</v>
      </c>
      <c r="O147" s="7" t="s">
        <v>29</v>
      </c>
      <c r="P147" s="7" t="s">
        <v>29</v>
      </c>
      <c r="Q147" s="7" t="s">
        <v>29</v>
      </c>
      <c r="R147" s="7" t="s">
        <v>29</v>
      </c>
      <c r="S147" s="7" t="s">
        <v>29</v>
      </c>
    </row>
    <row r="148" spans="2:19">
      <c r="B148" s="7" t="s">
        <v>195</v>
      </c>
      <c r="C148" s="8" t="s">
        <v>195</v>
      </c>
      <c r="D148" s="5" t="str">
        <f>LRTRIM(CONCATENATE(IF(SUMPRODUCT(-- ISNUMBER(SEARCH({"Auto Number"}, $B148))) &gt; 0, $B148, IF(SUMPRODUCT(-- ISNUMBER(SEARCH({"Lookup","Master-Detail"}, $B148))) &gt; 0,$B148 &amp; "(" &amp; $E148 &amp; ")",IF(SUMPRODUCT(-- ISNUMBER(SEARCH({"Formula","Roll-Up Summary"}, $B148))) &gt; 0,$B148 &amp; " (" &amp; $E148 &amp; ")",IF(SUMPRODUCT(-- ISNUMBER(SEARCH({"Content","Currency","Number","Percent","Text","URL"}, $B148))) &gt; 0,$B148 &amp; "(" &amp; $C148 &amp; ")",$B148)))), "  ", TRIM(IF($S148 = "YES", "(External ID)", "") &amp; " " &amp; IF(SUMPRODUCT(-- ISNUMBER(SEARCH({"Unique","Unique Case Insensitive"}, $R148))) &gt; 0, "(" &amp; $R148 &amp; ")", ""))))</f>
        <v>na</v>
      </c>
      <c r="E148" s="7" t="s">
        <v>195</v>
      </c>
      <c r="F148" s="7" t="s">
        <v>195</v>
      </c>
      <c r="G148" s="7" t="s">
        <v>195</v>
      </c>
      <c r="H148" s="7" t="s">
        <v>195</v>
      </c>
      <c r="I148" s="7" t="s">
        <v>195</v>
      </c>
      <c r="J148" s="7" t="s">
        <v>195</v>
      </c>
      <c r="K148" s="7" t="s">
        <v>195</v>
      </c>
      <c r="L148" s="7" t="s">
        <v>195</v>
      </c>
      <c r="M148" s="7" t="s">
        <v>29</v>
      </c>
      <c r="N148" s="7" t="s">
        <v>29</v>
      </c>
      <c r="O148" s="7" t="s">
        <v>29</v>
      </c>
      <c r="P148" s="7" t="s">
        <v>29</v>
      </c>
      <c r="Q148" s="7" t="s">
        <v>29</v>
      </c>
      <c r="R148" s="7" t="s">
        <v>29</v>
      </c>
      <c r="S148" s="7" t="s">
        <v>29</v>
      </c>
    </row>
    <row r="149" spans="2:19">
      <c r="B149" s="7" t="s">
        <v>195</v>
      </c>
      <c r="C149" s="8" t="s">
        <v>195</v>
      </c>
      <c r="D149" s="5" t="str">
        <f>LRTRIM(CONCATENATE(IF(SUMPRODUCT(-- ISNUMBER(SEARCH({"Auto Number"}, $B149))) &gt; 0, $B149, IF(SUMPRODUCT(-- ISNUMBER(SEARCH({"Lookup","Master-Detail"}, $B149))) &gt; 0,$B149 &amp; "(" &amp; $E149 &amp; ")",IF(SUMPRODUCT(-- ISNUMBER(SEARCH({"Formula","Roll-Up Summary"}, $B149))) &gt; 0,$B149 &amp; " (" &amp; $E149 &amp; ")",IF(SUMPRODUCT(-- ISNUMBER(SEARCH({"Content","Currency","Number","Percent","Text","URL"}, $B149))) &gt; 0,$B149 &amp; "(" &amp; $C149 &amp; ")",$B149)))), "  ", TRIM(IF($S149 = "YES", "(External ID)", "") &amp; " " &amp; IF(SUMPRODUCT(-- ISNUMBER(SEARCH({"Unique","Unique Case Insensitive"}, $R149))) &gt; 0, "(" &amp; $R149 &amp; ")", ""))))</f>
        <v>na</v>
      </c>
      <c r="E149" s="7" t="s">
        <v>195</v>
      </c>
      <c r="F149" s="7" t="s">
        <v>195</v>
      </c>
      <c r="G149" s="7" t="s">
        <v>195</v>
      </c>
      <c r="H149" s="7" t="s">
        <v>195</v>
      </c>
      <c r="I149" s="7" t="s">
        <v>195</v>
      </c>
      <c r="J149" s="7" t="s">
        <v>195</v>
      </c>
      <c r="K149" s="7" t="s">
        <v>195</v>
      </c>
      <c r="L149" s="7" t="s">
        <v>195</v>
      </c>
      <c r="M149" s="7" t="s">
        <v>29</v>
      </c>
      <c r="N149" s="7" t="s">
        <v>29</v>
      </c>
      <c r="O149" s="7" t="s">
        <v>29</v>
      </c>
      <c r="P149" s="7" t="s">
        <v>29</v>
      </c>
      <c r="Q149" s="7" t="s">
        <v>29</v>
      </c>
      <c r="R149" s="7" t="s">
        <v>29</v>
      </c>
      <c r="S149" s="7" t="s">
        <v>29</v>
      </c>
    </row>
    <row r="150" spans="2:19">
      <c r="B150" s="7" t="s">
        <v>195</v>
      </c>
      <c r="C150" s="8" t="s">
        <v>195</v>
      </c>
      <c r="D150" s="5" t="str">
        <f>LRTRIM(CONCATENATE(IF(SUMPRODUCT(-- ISNUMBER(SEARCH({"Auto Number"}, $B150))) &gt; 0, $B150, IF(SUMPRODUCT(-- ISNUMBER(SEARCH({"Lookup","Master-Detail"}, $B150))) &gt; 0,$B150 &amp; "(" &amp; $E150 &amp; ")",IF(SUMPRODUCT(-- ISNUMBER(SEARCH({"Formula","Roll-Up Summary"}, $B150))) &gt; 0,$B150 &amp; " (" &amp; $E150 &amp; ")",IF(SUMPRODUCT(-- ISNUMBER(SEARCH({"Content","Currency","Number","Percent","Text","URL"}, $B150))) &gt; 0,$B150 &amp; "(" &amp; $C150 &amp; ")",$B150)))), "  ", TRIM(IF($S150 = "YES", "(External ID)", "") &amp; " " &amp; IF(SUMPRODUCT(-- ISNUMBER(SEARCH({"Unique","Unique Case Insensitive"}, $R150))) &gt; 0, "(" &amp; $R150 &amp; ")", ""))))</f>
        <v>na</v>
      </c>
      <c r="E150" s="7" t="s">
        <v>195</v>
      </c>
      <c r="F150" s="7" t="s">
        <v>195</v>
      </c>
      <c r="G150" s="7" t="s">
        <v>195</v>
      </c>
      <c r="H150" s="7" t="s">
        <v>195</v>
      </c>
      <c r="I150" s="7" t="s">
        <v>195</v>
      </c>
      <c r="J150" s="7" t="s">
        <v>195</v>
      </c>
      <c r="K150" s="7" t="s">
        <v>195</v>
      </c>
      <c r="L150" s="7" t="s">
        <v>195</v>
      </c>
      <c r="M150" s="7" t="s">
        <v>29</v>
      </c>
      <c r="N150" s="7" t="s">
        <v>29</v>
      </c>
      <c r="O150" s="7" t="s">
        <v>29</v>
      </c>
      <c r="P150" s="7" t="s">
        <v>29</v>
      </c>
      <c r="Q150" s="7" t="s">
        <v>29</v>
      </c>
      <c r="R150" s="7" t="s">
        <v>29</v>
      </c>
      <c r="S150" s="7" t="s">
        <v>29</v>
      </c>
    </row>
    <row r="151" spans="2:19">
      <c r="B151" s="7" t="s">
        <v>195</v>
      </c>
      <c r="C151" s="8" t="s">
        <v>195</v>
      </c>
      <c r="D151" s="5" t="str">
        <f>LRTRIM(CONCATENATE(IF(SUMPRODUCT(-- ISNUMBER(SEARCH({"Auto Number"}, $B151))) &gt; 0, $B151, IF(SUMPRODUCT(-- ISNUMBER(SEARCH({"Lookup","Master-Detail"}, $B151))) &gt; 0,$B151 &amp; "(" &amp; $E151 &amp; ")",IF(SUMPRODUCT(-- ISNUMBER(SEARCH({"Formula","Roll-Up Summary"}, $B151))) &gt; 0,$B151 &amp; " (" &amp; $E151 &amp; ")",IF(SUMPRODUCT(-- ISNUMBER(SEARCH({"Content","Currency","Number","Percent","Text","URL"}, $B151))) &gt; 0,$B151 &amp; "(" &amp; $C151 &amp; ")",$B151)))), "  ", TRIM(IF($S151 = "YES", "(External ID)", "") &amp; " " &amp; IF(SUMPRODUCT(-- ISNUMBER(SEARCH({"Unique","Unique Case Insensitive"}, $R151))) &gt; 0, "(" &amp; $R151 &amp; ")", ""))))</f>
        <v>na</v>
      </c>
      <c r="E151" s="7" t="s">
        <v>195</v>
      </c>
      <c r="F151" s="7" t="s">
        <v>195</v>
      </c>
      <c r="G151" s="7" t="s">
        <v>195</v>
      </c>
      <c r="H151" s="7" t="s">
        <v>195</v>
      </c>
      <c r="I151" s="7" t="s">
        <v>195</v>
      </c>
      <c r="J151" s="7" t="s">
        <v>195</v>
      </c>
      <c r="K151" s="7" t="s">
        <v>195</v>
      </c>
      <c r="L151" s="7" t="s">
        <v>195</v>
      </c>
      <c r="M151" s="7" t="s">
        <v>29</v>
      </c>
      <c r="N151" s="7" t="s">
        <v>29</v>
      </c>
      <c r="O151" s="7" t="s">
        <v>29</v>
      </c>
      <c r="P151" s="7" t="s">
        <v>29</v>
      </c>
      <c r="Q151" s="7" t="s">
        <v>29</v>
      </c>
      <c r="R151" s="7" t="s">
        <v>29</v>
      </c>
      <c r="S151" s="7" t="s">
        <v>29</v>
      </c>
    </row>
    <row r="152" spans="2:19">
      <c r="B152" s="7" t="s">
        <v>195</v>
      </c>
      <c r="C152" s="8" t="s">
        <v>195</v>
      </c>
      <c r="D152" s="5" t="str">
        <f>LRTRIM(CONCATENATE(IF(SUMPRODUCT(-- ISNUMBER(SEARCH({"Auto Number"}, $B152))) &gt; 0, $B152, IF(SUMPRODUCT(-- ISNUMBER(SEARCH({"Lookup","Master-Detail"}, $B152))) &gt; 0,$B152 &amp; "(" &amp; $E152 &amp; ")",IF(SUMPRODUCT(-- ISNUMBER(SEARCH({"Formula","Roll-Up Summary"}, $B152))) &gt; 0,$B152 &amp; " (" &amp; $E152 &amp; ")",IF(SUMPRODUCT(-- ISNUMBER(SEARCH({"Content","Currency","Number","Percent","Text","URL"}, $B152))) &gt; 0,$B152 &amp; "(" &amp; $C152 &amp; ")",$B152)))), "  ", TRIM(IF($S152 = "YES", "(External ID)", "") &amp; " " &amp; IF(SUMPRODUCT(-- ISNUMBER(SEARCH({"Unique","Unique Case Insensitive"}, $R152))) &gt; 0, "(" &amp; $R152 &amp; ")", ""))))</f>
        <v>na</v>
      </c>
      <c r="E152" s="7" t="s">
        <v>195</v>
      </c>
      <c r="F152" s="7" t="s">
        <v>195</v>
      </c>
      <c r="G152" s="7" t="s">
        <v>195</v>
      </c>
      <c r="H152" s="7" t="s">
        <v>195</v>
      </c>
      <c r="I152" s="7" t="s">
        <v>195</v>
      </c>
      <c r="J152" s="7" t="s">
        <v>195</v>
      </c>
      <c r="K152" s="7" t="s">
        <v>195</v>
      </c>
      <c r="L152" s="7" t="s">
        <v>195</v>
      </c>
      <c r="M152" s="7" t="s">
        <v>29</v>
      </c>
      <c r="N152" s="7" t="s">
        <v>29</v>
      </c>
      <c r="O152" s="7" t="s">
        <v>29</v>
      </c>
      <c r="P152" s="7" t="s">
        <v>29</v>
      </c>
      <c r="Q152" s="7" t="s">
        <v>29</v>
      </c>
      <c r="R152" s="7" t="s">
        <v>29</v>
      </c>
      <c r="S152" s="7" t="s">
        <v>29</v>
      </c>
    </row>
    <row r="153" spans="2:19">
      <c r="B153" s="7" t="s">
        <v>195</v>
      </c>
      <c r="C153" s="8" t="s">
        <v>195</v>
      </c>
      <c r="D153" s="5" t="str">
        <f>LRTRIM(CONCATENATE(IF(SUMPRODUCT(-- ISNUMBER(SEARCH({"Auto Number"}, $B153))) &gt; 0, $B153, IF(SUMPRODUCT(-- ISNUMBER(SEARCH({"Lookup","Master-Detail"}, $B153))) &gt; 0,$B153 &amp; "(" &amp; $E153 &amp; ")",IF(SUMPRODUCT(-- ISNUMBER(SEARCH({"Formula","Roll-Up Summary"}, $B153))) &gt; 0,$B153 &amp; " (" &amp; $E153 &amp; ")",IF(SUMPRODUCT(-- ISNUMBER(SEARCH({"Content","Currency","Number","Percent","Text","URL"}, $B153))) &gt; 0,$B153 &amp; "(" &amp; $C153 &amp; ")",$B153)))), "  ", TRIM(IF($S153 = "YES", "(External ID)", "") &amp; " " &amp; IF(SUMPRODUCT(-- ISNUMBER(SEARCH({"Unique","Unique Case Insensitive"}, $R153))) &gt; 0, "(" &amp; $R153 &amp; ")", ""))))</f>
        <v>na</v>
      </c>
      <c r="E153" s="7" t="s">
        <v>195</v>
      </c>
      <c r="F153" s="7" t="s">
        <v>195</v>
      </c>
      <c r="G153" s="7" t="s">
        <v>195</v>
      </c>
      <c r="H153" s="7" t="s">
        <v>195</v>
      </c>
      <c r="I153" s="7" t="s">
        <v>195</v>
      </c>
      <c r="J153" s="7" t="s">
        <v>195</v>
      </c>
      <c r="K153" s="7" t="s">
        <v>195</v>
      </c>
      <c r="L153" s="7" t="s">
        <v>195</v>
      </c>
      <c r="M153" s="7" t="s">
        <v>29</v>
      </c>
      <c r="N153" s="7" t="s">
        <v>29</v>
      </c>
      <c r="O153" s="7" t="s">
        <v>29</v>
      </c>
      <c r="P153" s="7" t="s">
        <v>29</v>
      </c>
      <c r="Q153" s="7" t="s">
        <v>29</v>
      </c>
      <c r="R153" s="7" t="s">
        <v>29</v>
      </c>
      <c r="S153" s="7" t="s">
        <v>29</v>
      </c>
    </row>
    <row r="154" spans="2:19">
      <c r="B154" s="7" t="s">
        <v>195</v>
      </c>
      <c r="C154" s="8" t="s">
        <v>195</v>
      </c>
      <c r="D154" s="5" t="str">
        <f>LRTRIM(CONCATENATE(IF(SUMPRODUCT(-- ISNUMBER(SEARCH({"Auto Number"}, $B154))) &gt; 0, $B154, IF(SUMPRODUCT(-- ISNUMBER(SEARCH({"Lookup","Master-Detail"}, $B154))) &gt; 0,$B154 &amp; "(" &amp; $E154 &amp; ")",IF(SUMPRODUCT(-- ISNUMBER(SEARCH({"Formula","Roll-Up Summary"}, $B154))) &gt; 0,$B154 &amp; " (" &amp; $E154 &amp; ")",IF(SUMPRODUCT(-- ISNUMBER(SEARCH({"Content","Currency","Number","Percent","Text","URL"}, $B154))) &gt; 0,$B154 &amp; "(" &amp; $C154 &amp; ")",$B154)))), "  ", TRIM(IF($S154 = "YES", "(External ID)", "") &amp; " " &amp; IF(SUMPRODUCT(-- ISNUMBER(SEARCH({"Unique","Unique Case Insensitive"}, $R154))) &gt; 0, "(" &amp; $R154 &amp; ")", ""))))</f>
        <v>na</v>
      </c>
      <c r="E154" s="7" t="s">
        <v>195</v>
      </c>
      <c r="F154" s="7" t="s">
        <v>195</v>
      </c>
      <c r="G154" s="7" t="s">
        <v>195</v>
      </c>
      <c r="H154" s="7" t="s">
        <v>195</v>
      </c>
      <c r="I154" s="7" t="s">
        <v>195</v>
      </c>
      <c r="J154" s="7" t="s">
        <v>195</v>
      </c>
      <c r="K154" s="7" t="s">
        <v>195</v>
      </c>
      <c r="L154" s="7" t="s">
        <v>195</v>
      </c>
      <c r="M154" s="7" t="s">
        <v>29</v>
      </c>
      <c r="N154" s="7" t="s">
        <v>29</v>
      </c>
      <c r="O154" s="7" t="s">
        <v>29</v>
      </c>
      <c r="P154" s="7" t="s">
        <v>29</v>
      </c>
      <c r="Q154" s="7" t="s">
        <v>29</v>
      </c>
      <c r="R154" s="7" t="s">
        <v>29</v>
      </c>
      <c r="S154" s="7" t="s">
        <v>29</v>
      </c>
    </row>
    <row r="155" spans="2:19">
      <c r="B155" s="7" t="s">
        <v>195</v>
      </c>
      <c r="C155" s="8" t="s">
        <v>195</v>
      </c>
      <c r="D155" s="5" t="str">
        <f>LRTRIM(CONCATENATE(IF(SUMPRODUCT(-- ISNUMBER(SEARCH({"Auto Number"}, $B155))) &gt; 0, $B155, IF(SUMPRODUCT(-- ISNUMBER(SEARCH({"Lookup","Master-Detail"}, $B155))) &gt; 0,$B155 &amp; "(" &amp; $E155 &amp; ")",IF(SUMPRODUCT(-- ISNUMBER(SEARCH({"Formula","Roll-Up Summary"}, $B155))) &gt; 0,$B155 &amp; " (" &amp; $E155 &amp; ")",IF(SUMPRODUCT(-- ISNUMBER(SEARCH({"Content","Currency","Number","Percent","Text","URL"}, $B155))) &gt; 0,$B155 &amp; "(" &amp; $C155 &amp; ")",$B155)))), "  ", TRIM(IF($S155 = "YES", "(External ID)", "") &amp; " " &amp; IF(SUMPRODUCT(-- ISNUMBER(SEARCH({"Unique","Unique Case Insensitive"}, $R155))) &gt; 0, "(" &amp; $R155 &amp; ")", ""))))</f>
        <v>na</v>
      </c>
      <c r="E155" s="7" t="s">
        <v>195</v>
      </c>
      <c r="F155" s="7" t="s">
        <v>195</v>
      </c>
      <c r="G155" s="7" t="s">
        <v>195</v>
      </c>
      <c r="H155" s="7" t="s">
        <v>195</v>
      </c>
      <c r="I155" s="7" t="s">
        <v>195</v>
      </c>
      <c r="J155" s="7" t="s">
        <v>195</v>
      </c>
      <c r="K155" s="7" t="s">
        <v>195</v>
      </c>
      <c r="L155" s="7" t="s">
        <v>195</v>
      </c>
      <c r="M155" s="7" t="s">
        <v>29</v>
      </c>
      <c r="N155" s="7" t="s">
        <v>29</v>
      </c>
      <c r="O155" s="7" t="s">
        <v>29</v>
      </c>
      <c r="P155" s="7" t="s">
        <v>29</v>
      </c>
      <c r="Q155" s="7" t="s">
        <v>29</v>
      </c>
      <c r="R155" s="7" t="s">
        <v>29</v>
      </c>
      <c r="S155" s="7" t="s">
        <v>29</v>
      </c>
    </row>
    <row r="156" spans="2:19">
      <c r="B156" s="7" t="s">
        <v>195</v>
      </c>
      <c r="C156" s="8" t="s">
        <v>195</v>
      </c>
      <c r="D156" s="5" t="str">
        <f>LRTRIM(CONCATENATE(IF(SUMPRODUCT(-- ISNUMBER(SEARCH({"Auto Number"}, $B156))) &gt; 0, $B156, IF(SUMPRODUCT(-- ISNUMBER(SEARCH({"Lookup","Master-Detail"}, $B156))) &gt; 0,$B156 &amp; "(" &amp; $E156 &amp; ")",IF(SUMPRODUCT(-- ISNUMBER(SEARCH({"Formula","Roll-Up Summary"}, $B156))) &gt; 0,$B156 &amp; " (" &amp; $E156 &amp; ")",IF(SUMPRODUCT(-- ISNUMBER(SEARCH({"Content","Currency","Number","Percent","Text","URL"}, $B156))) &gt; 0,$B156 &amp; "(" &amp; $C156 &amp; ")",$B156)))), "  ", TRIM(IF($S156 = "YES", "(External ID)", "") &amp; " " &amp; IF(SUMPRODUCT(-- ISNUMBER(SEARCH({"Unique","Unique Case Insensitive"}, $R156))) &gt; 0, "(" &amp; $R156 &amp; ")", ""))))</f>
        <v>na</v>
      </c>
      <c r="E156" s="7" t="s">
        <v>195</v>
      </c>
      <c r="F156" s="7" t="s">
        <v>195</v>
      </c>
      <c r="G156" s="7" t="s">
        <v>195</v>
      </c>
      <c r="H156" s="7" t="s">
        <v>195</v>
      </c>
      <c r="I156" s="7" t="s">
        <v>195</v>
      </c>
      <c r="J156" s="7" t="s">
        <v>195</v>
      </c>
      <c r="K156" s="7" t="s">
        <v>195</v>
      </c>
      <c r="L156" s="7" t="s">
        <v>195</v>
      </c>
      <c r="M156" s="7" t="s">
        <v>29</v>
      </c>
      <c r="N156" s="7" t="s">
        <v>29</v>
      </c>
      <c r="O156" s="7" t="s">
        <v>29</v>
      </c>
      <c r="P156" s="7" t="s">
        <v>29</v>
      </c>
      <c r="Q156" s="7" t="s">
        <v>29</v>
      </c>
      <c r="R156" s="7" t="s">
        <v>29</v>
      </c>
      <c r="S156" s="7" t="s">
        <v>29</v>
      </c>
    </row>
    <row r="157" spans="2:19">
      <c r="B157" s="7" t="s">
        <v>195</v>
      </c>
      <c r="C157" s="8" t="s">
        <v>195</v>
      </c>
      <c r="D157" s="5" t="str">
        <f>LRTRIM(CONCATENATE(IF(SUMPRODUCT(-- ISNUMBER(SEARCH({"Auto Number"}, $B157))) &gt; 0, $B157, IF(SUMPRODUCT(-- ISNUMBER(SEARCH({"Lookup","Master-Detail"}, $B157))) &gt; 0,$B157 &amp; "(" &amp; $E157 &amp; ")",IF(SUMPRODUCT(-- ISNUMBER(SEARCH({"Formula","Roll-Up Summary"}, $B157))) &gt; 0,$B157 &amp; " (" &amp; $E157 &amp; ")",IF(SUMPRODUCT(-- ISNUMBER(SEARCH({"Content","Currency","Number","Percent","Text","URL"}, $B157))) &gt; 0,$B157 &amp; "(" &amp; $C157 &amp; ")",$B157)))), "  ", TRIM(IF($S157 = "YES", "(External ID)", "") &amp; " " &amp; IF(SUMPRODUCT(-- ISNUMBER(SEARCH({"Unique","Unique Case Insensitive"}, $R157))) &gt; 0, "(" &amp; $R157 &amp; ")", ""))))</f>
        <v>na</v>
      </c>
      <c r="E157" s="7" t="s">
        <v>195</v>
      </c>
      <c r="F157" s="7" t="s">
        <v>195</v>
      </c>
      <c r="G157" s="7" t="s">
        <v>195</v>
      </c>
      <c r="H157" s="7" t="s">
        <v>195</v>
      </c>
      <c r="I157" s="7" t="s">
        <v>195</v>
      </c>
      <c r="J157" s="7" t="s">
        <v>195</v>
      </c>
      <c r="K157" s="7" t="s">
        <v>195</v>
      </c>
      <c r="L157" s="7" t="s">
        <v>195</v>
      </c>
      <c r="M157" s="7" t="s">
        <v>29</v>
      </c>
      <c r="N157" s="7" t="s">
        <v>29</v>
      </c>
      <c r="O157" s="7" t="s">
        <v>29</v>
      </c>
      <c r="P157" s="7" t="s">
        <v>29</v>
      </c>
      <c r="Q157" s="7" t="s">
        <v>29</v>
      </c>
      <c r="R157" s="7" t="s">
        <v>29</v>
      </c>
      <c r="S157" s="7" t="s">
        <v>29</v>
      </c>
    </row>
    <row r="158" spans="2:19">
      <c r="B158" s="7" t="s">
        <v>195</v>
      </c>
      <c r="C158" s="8" t="s">
        <v>195</v>
      </c>
      <c r="D158" s="5" t="str">
        <f>LRTRIM(CONCATENATE(IF(SUMPRODUCT(-- ISNUMBER(SEARCH({"Auto Number"}, $B158))) &gt; 0, $B158, IF(SUMPRODUCT(-- ISNUMBER(SEARCH({"Lookup","Master-Detail"}, $B158))) &gt; 0,$B158 &amp; "(" &amp; $E158 &amp; ")",IF(SUMPRODUCT(-- ISNUMBER(SEARCH({"Formula","Roll-Up Summary"}, $B158))) &gt; 0,$B158 &amp; " (" &amp; $E158 &amp; ")",IF(SUMPRODUCT(-- ISNUMBER(SEARCH({"Content","Currency","Number","Percent","Text","URL"}, $B158))) &gt; 0,$B158 &amp; "(" &amp; $C158 &amp; ")",$B158)))), "  ", TRIM(IF($S158 = "YES", "(External ID)", "") &amp; " " &amp; IF(SUMPRODUCT(-- ISNUMBER(SEARCH({"Unique","Unique Case Insensitive"}, $R158))) &gt; 0, "(" &amp; $R158 &amp; ")", ""))))</f>
        <v>na</v>
      </c>
      <c r="E158" s="7" t="s">
        <v>195</v>
      </c>
      <c r="F158" s="7" t="s">
        <v>195</v>
      </c>
      <c r="G158" s="7" t="s">
        <v>195</v>
      </c>
      <c r="H158" s="7" t="s">
        <v>195</v>
      </c>
      <c r="I158" s="7" t="s">
        <v>195</v>
      </c>
      <c r="J158" s="7" t="s">
        <v>195</v>
      </c>
      <c r="K158" s="7" t="s">
        <v>195</v>
      </c>
      <c r="L158" s="7" t="s">
        <v>195</v>
      </c>
      <c r="M158" s="7" t="s">
        <v>29</v>
      </c>
      <c r="N158" s="7" t="s">
        <v>29</v>
      </c>
      <c r="O158" s="7" t="s">
        <v>29</v>
      </c>
      <c r="P158" s="7" t="s">
        <v>29</v>
      </c>
      <c r="Q158" s="7" t="s">
        <v>29</v>
      </c>
      <c r="R158" s="7" t="s">
        <v>29</v>
      </c>
      <c r="S158" s="7" t="s">
        <v>29</v>
      </c>
    </row>
    <row r="159" spans="2:19">
      <c r="B159" s="7" t="s">
        <v>195</v>
      </c>
      <c r="C159" s="8" t="s">
        <v>195</v>
      </c>
      <c r="D159" s="5" t="str">
        <f>LRTRIM(CONCATENATE(IF(SUMPRODUCT(-- ISNUMBER(SEARCH({"Auto Number"}, $B159))) &gt; 0, $B159, IF(SUMPRODUCT(-- ISNUMBER(SEARCH({"Lookup","Master-Detail"}, $B159))) &gt; 0,$B159 &amp; "(" &amp; $E159 &amp; ")",IF(SUMPRODUCT(-- ISNUMBER(SEARCH({"Formula","Roll-Up Summary"}, $B159))) &gt; 0,$B159 &amp; " (" &amp; $E159 &amp; ")",IF(SUMPRODUCT(-- ISNUMBER(SEARCH({"Content","Currency","Number","Percent","Text","URL"}, $B159))) &gt; 0,$B159 &amp; "(" &amp; $C159 &amp; ")",$B159)))), "  ", TRIM(IF($S159 = "YES", "(External ID)", "") &amp; " " &amp; IF(SUMPRODUCT(-- ISNUMBER(SEARCH({"Unique","Unique Case Insensitive"}, $R159))) &gt; 0, "(" &amp; $R159 &amp; ")", ""))))</f>
        <v>na</v>
      </c>
      <c r="E159" s="7" t="s">
        <v>195</v>
      </c>
      <c r="F159" s="7" t="s">
        <v>195</v>
      </c>
      <c r="G159" s="7" t="s">
        <v>195</v>
      </c>
      <c r="H159" s="7" t="s">
        <v>195</v>
      </c>
      <c r="I159" s="7" t="s">
        <v>195</v>
      </c>
      <c r="J159" s="7" t="s">
        <v>195</v>
      </c>
      <c r="K159" s="7" t="s">
        <v>195</v>
      </c>
      <c r="L159" s="7" t="s">
        <v>195</v>
      </c>
      <c r="M159" s="7" t="s">
        <v>29</v>
      </c>
      <c r="N159" s="7" t="s">
        <v>29</v>
      </c>
      <c r="O159" s="7" t="s">
        <v>29</v>
      </c>
      <c r="P159" s="7" t="s">
        <v>29</v>
      </c>
      <c r="Q159" s="7" t="s">
        <v>29</v>
      </c>
      <c r="R159" s="7" t="s">
        <v>29</v>
      </c>
      <c r="S159" s="7" t="s">
        <v>29</v>
      </c>
    </row>
    <row r="160" spans="2:19">
      <c r="B160" s="7" t="s">
        <v>195</v>
      </c>
      <c r="C160" s="8" t="s">
        <v>195</v>
      </c>
      <c r="D160" s="5" t="str">
        <f>LRTRIM(CONCATENATE(IF(SUMPRODUCT(-- ISNUMBER(SEARCH({"Auto Number"}, $B160))) &gt; 0, $B160, IF(SUMPRODUCT(-- ISNUMBER(SEARCH({"Lookup","Master-Detail"}, $B160))) &gt; 0,$B160 &amp; "(" &amp; $E160 &amp; ")",IF(SUMPRODUCT(-- ISNUMBER(SEARCH({"Formula","Roll-Up Summary"}, $B160))) &gt; 0,$B160 &amp; " (" &amp; $E160 &amp; ")",IF(SUMPRODUCT(-- ISNUMBER(SEARCH({"Content","Currency","Number","Percent","Text","URL"}, $B160))) &gt; 0,$B160 &amp; "(" &amp; $C160 &amp; ")",$B160)))), "  ", TRIM(IF($S160 = "YES", "(External ID)", "") &amp; " " &amp; IF(SUMPRODUCT(-- ISNUMBER(SEARCH({"Unique","Unique Case Insensitive"}, $R160))) &gt; 0, "(" &amp; $R160 &amp; ")", ""))))</f>
        <v>na</v>
      </c>
      <c r="E160" s="7" t="s">
        <v>195</v>
      </c>
      <c r="F160" s="7" t="s">
        <v>195</v>
      </c>
      <c r="G160" s="7" t="s">
        <v>195</v>
      </c>
      <c r="H160" s="7" t="s">
        <v>195</v>
      </c>
      <c r="I160" s="7" t="s">
        <v>195</v>
      </c>
      <c r="J160" s="7" t="s">
        <v>195</v>
      </c>
      <c r="K160" s="7" t="s">
        <v>195</v>
      </c>
      <c r="L160" s="7" t="s">
        <v>195</v>
      </c>
      <c r="M160" s="7" t="s">
        <v>29</v>
      </c>
      <c r="N160" s="7" t="s">
        <v>29</v>
      </c>
      <c r="O160" s="7" t="s">
        <v>29</v>
      </c>
      <c r="P160" s="7" t="s">
        <v>29</v>
      </c>
      <c r="Q160" s="7" t="s">
        <v>29</v>
      </c>
      <c r="R160" s="7" t="s">
        <v>29</v>
      </c>
      <c r="S160" s="7" t="s">
        <v>29</v>
      </c>
    </row>
    <row r="161" spans="2:19">
      <c r="B161" s="7" t="s">
        <v>195</v>
      </c>
      <c r="C161" s="8" t="s">
        <v>195</v>
      </c>
      <c r="D161" s="5" t="str">
        <f>LRTRIM(CONCATENATE(IF(SUMPRODUCT(-- ISNUMBER(SEARCH({"Auto Number"}, $B161))) &gt; 0, $B161, IF(SUMPRODUCT(-- ISNUMBER(SEARCH({"Lookup","Master-Detail"}, $B161))) &gt; 0,$B161 &amp; "(" &amp; $E161 &amp; ")",IF(SUMPRODUCT(-- ISNUMBER(SEARCH({"Formula","Roll-Up Summary"}, $B161))) &gt; 0,$B161 &amp; " (" &amp; $E161 &amp; ")",IF(SUMPRODUCT(-- ISNUMBER(SEARCH({"Content","Currency","Number","Percent","Text","URL"}, $B161))) &gt; 0,$B161 &amp; "(" &amp; $C161 &amp; ")",$B161)))), "  ", TRIM(IF($S161 = "YES", "(External ID)", "") &amp; " " &amp; IF(SUMPRODUCT(-- ISNUMBER(SEARCH({"Unique","Unique Case Insensitive"}, $R161))) &gt; 0, "(" &amp; $R161 &amp; ")", ""))))</f>
        <v>na</v>
      </c>
      <c r="E161" s="7" t="s">
        <v>195</v>
      </c>
      <c r="F161" s="7" t="s">
        <v>195</v>
      </c>
      <c r="G161" s="7" t="s">
        <v>195</v>
      </c>
      <c r="H161" s="7" t="s">
        <v>195</v>
      </c>
      <c r="I161" s="7" t="s">
        <v>195</v>
      </c>
      <c r="J161" s="7" t="s">
        <v>195</v>
      </c>
      <c r="K161" s="7" t="s">
        <v>195</v>
      </c>
      <c r="L161" s="7" t="s">
        <v>195</v>
      </c>
      <c r="M161" s="7" t="s">
        <v>29</v>
      </c>
      <c r="N161" s="7" t="s">
        <v>29</v>
      </c>
      <c r="O161" s="7" t="s">
        <v>29</v>
      </c>
      <c r="P161" s="7" t="s">
        <v>29</v>
      </c>
      <c r="Q161" s="7" t="s">
        <v>29</v>
      </c>
      <c r="R161" s="7" t="s">
        <v>29</v>
      </c>
      <c r="S161" s="7" t="s">
        <v>29</v>
      </c>
    </row>
    <row r="162" spans="2:19">
      <c r="B162" s="7" t="s">
        <v>195</v>
      </c>
      <c r="C162" s="8" t="s">
        <v>195</v>
      </c>
      <c r="D162" s="5" t="str">
        <f>LRTRIM(CONCATENATE(IF(SUMPRODUCT(-- ISNUMBER(SEARCH({"Auto Number"}, $B162))) &gt; 0, $B162, IF(SUMPRODUCT(-- ISNUMBER(SEARCH({"Lookup","Master-Detail"}, $B162))) &gt; 0,$B162 &amp; "(" &amp; $E162 &amp; ")",IF(SUMPRODUCT(-- ISNUMBER(SEARCH({"Formula","Roll-Up Summary"}, $B162))) &gt; 0,$B162 &amp; " (" &amp; $E162 &amp; ")",IF(SUMPRODUCT(-- ISNUMBER(SEARCH({"Content","Currency","Number","Percent","Text","URL"}, $B162))) &gt; 0,$B162 &amp; "(" &amp; $C162 &amp; ")",$B162)))), "  ", TRIM(IF($S162 = "YES", "(External ID)", "") &amp; " " &amp; IF(SUMPRODUCT(-- ISNUMBER(SEARCH({"Unique","Unique Case Insensitive"}, $R162))) &gt; 0, "(" &amp; $R162 &amp; ")", ""))))</f>
        <v>na</v>
      </c>
      <c r="E162" s="7" t="s">
        <v>195</v>
      </c>
      <c r="F162" s="7" t="s">
        <v>195</v>
      </c>
      <c r="G162" s="7" t="s">
        <v>195</v>
      </c>
      <c r="H162" s="7" t="s">
        <v>195</v>
      </c>
      <c r="I162" s="7" t="s">
        <v>195</v>
      </c>
      <c r="J162" s="7" t="s">
        <v>195</v>
      </c>
      <c r="K162" s="7" t="s">
        <v>195</v>
      </c>
      <c r="L162" s="7" t="s">
        <v>195</v>
      </c>
      <c r="M162" s="7" t="s">
        <v>29</v>
      </c>
      <c r="N162" s="7" t="s">
        <v>29</v>
      </c>
      <c r="O162" s="7" t="s">
        <v>29</v>
      </c>
      <c r="P162" s="7" t="s">
        <v>29</v>
      </c>
      <c r="Q162" s="7" t="s">
        <v>29</v>
      </c>
      <c r="R162" s="7" t="s">
        <v>29</v>
      </c>
      <c r="S162" s="7" t="s">
        <v>29</v>
      </c>
    </row>
    <row r="163" spans="2:19">
      <c r="B163" s="7" t="s">
        <v>195</v>
      </c>
      <c r="C163" s="8" t="s">
        <v>195</v>
      </c>
      <c r="D163" s="5" t="str">
        <f>LRTRIM(CONCATENATE(IF(SUMPRODUCT(-- ISNUMBER(SEARCH({"Auto Number"}, $B163))) &gt; 0, $B163, IF(SUMPRODUCT(-- ISNUMBER(SEARCH({"Lookup","Master-Detail"}, $B163))) &gt; 0,$B163 &amp; "(" &amp; $E163 &amp; ")",IF(SUMPRODUCT(-- ISNUMBER(SEARCH({"Formula","Roll-Up Summary"}, $B163))) &gt; 0,$B163 &amp; " (" &amp; $E163 &amp; ")",IF(SUMPRODUCT(-- ISNUMBER(SEARCH({"Content","Currency","Number","Percent","Text","URL"}, $B163))) &gt; 0,$B163 &amp; "(" &amp; $C163 &amp; ")",$B163)))), "  ", TRIM(IF($S163 = "YES", "(External ID)", "") &amp; " " &amp; IF(SUMPRODUCT(-- ISNUMBER(SEARCH({"Unique","Unique Case Insensitive"}, $R163))) &gt; 0, "(" &amp; $R163 &amp; ")", ""))))</f>
        <v>na</v>
      </c>
      <c r="E163" s="7" t="s">
        <v>195</v>
      </c>
      <c r="F163" s="7" t="s">
        <v>195</v>
      </c>
      <c r="G163" s="7" t="s">
        <v>195</v>
      </c>
      <c r="H163" s="7" t="s">
        <v>195</v>
      </c>
      <c r="I163" s="7" t="s">
        <v>195</v>
      </c>
      <c r="J163" s="7" t="s">
        <v>195</v>
      </c>
      <c r="K163" s="7" t="s">
        <v>195</v>
      </c>
      <c r="L163" s="7" t="s">
        <v>195</v>
      </c>
      <c r="M163" s="7" t="s">
        <v>29</v>
      </c>
      <c r="N163" s="7" t="s">
        <v>29</v>
      </c>
      <c r="O163" s="7" t="s">
        <v>29</v>
      </c>
      <c r="P163" s="7" t="s">
        <v>29</v>
      </c>
      <c r="Q163" s="7" t="s">
        <v>29</v>
      </c>
      <c r="R163" s="7" t="s">
        <v>29</v>
      </c>
      <c r="S163" s="7" t="s">
        <v>29</v>
      </c>
    </row>
    <row r="164" spans="2:19">
      <c r="B164" s="7" t="s">
        <v>195</v>
      </c>
      <c r="C164" s="8" t="s">
        <v>195</v>
      </c>
      <c r="D164" s="5" t="str">
        <f>LRTRIM(CONCATENATE(IF(SUMPRODUCT(-- ISNUMBER(SEARCH({"Auto Number"}, $B164))) &gt; 0, $B164, IF(SUMPRODUCT(-- ISNUMBER(SEARCH({"Lookup","Master-Detail"}, $B164))) &gt; 0,$B164 &amp; "(" &amp; $E164 &amp; ")",IF(SUMPRODUCT(-- ISNUMBER(SEARCH({"Formula","Roll-Up Summary"}, $B164))) &gt; 0,$B164 &amp; " (" &amp; $E164 &amp; ")",IF(SUMPRODUCT(-- ISNUMBER(SEARCH({"Content","Currency","Number","Percent","Text","URL"}, $B164))) &gt; 0,$B164 &amp; "(" &amp; $C164 &amp; ")",$B164)))), "  ", TRIM(IF($S164 = "YES", "(External ID)", "") &amp; " " &amp; IF(SUMPRODUCT(-- ISNUMBER(SEARCH({"Unique","Unique Case Insensitive"}, $R164))) &gt; 0, "(" &amp; $R164 &amp; ")", ""))))</f>
        <v>na</v>
      </c>
      <c r="E164" s="7" t="s">
        <v>195</v>
      </c>
      <c r="F164" s="7" t="s">
        <v>195</v>
      </c>
      <c r="G164" s="7" t="s">
        <v>195</v>
      </c>
      <c r="H164" s="7" t="s">
        <v>195</v>
      </c>
      <c r="I164" s="7" t="s">
        <v>195</v>
      </c>
      <c r="J164" s="7" t="s">
        <v>195</v>
      </c>
      <c r="K164" s="7" t="s">
        <v>195</v>
      </c>
      <c r="L164" s="7" t="s">
        <v>195</v>
      </c>
      <c r="M164" s="7" t="s">
        <v>29</v>
      </c>
      <c r="N164" s="7" t="s">
        <v>29</v>
      </c>
      <c r="O164" s="7" t="s">
        <v>29</v>
      </c>
      <c r="P164" s="7" t="s">
        <v>29</v>
      </c>
      <c r="Q164" s="7" t="s">
        <v>29</v>
      </c>
      <c r="R164" s="7" t="s">
        <v>29</v>
      </c>
      <c r="S164" s="7" t="s">
        <v>29</v>
      </c>
    </row>
    <row r="165" spans="2:19">
      <c r="B165" s="7" t="s">
        <v>195</v>
      </c>
      <c r="C165" s="8" t="s">
        <v>195</v>
      </c>
      <c r="D165" s="5" t="str">
        <f>LRTRIM(CONCATENATE(IF(SUMPRODUCT(-- ISNUMBER(SEARCH({"Auto Number"}, $B165))) &gt; 0, $B165, IF(SUMPRODUCT(-- ISNUMBER(SEARCH({"Lookup","Master-Detail"}, $B165))) &gt; 0,$B165 &amp; "(" &amp; $E165 &amp; ")",IF(SUMPRODUCT(-- ISNUMBER(SEARCH({"Formula","Roll-Up Summary"}, $B165))) &gt; 0,$B165 &amp; " (" &amp; $E165 &amp; ")",IF(SUMPRODUCT(-- ISNUMBER(SEARCH({"Content","Currency","Number","Percent","Text","URL"}, $B165))) &gt; 0,$B165 &amp; "(" &amp; $C165 &amp; ")",$B165)))), "  ", TRIM(IF($S165 = "YES", "(External ID)", "") &amp; " " &amp; IF(SUMPRODUCT(-- ISNUMBER(SEARCH({"Unique","Unique Case Insensitive"}, $R165))) &gt; 0, "(" &amp; $R165 &amp; ")", ""))))</f>
        <v>na</v>
      </c>
      <c r="E165" s="7" t="s">
        <v>195</v>
      </c>
      <c r="F165" s="7" t="s">
        <v>195</v>
      </c>
      <c r="G165" s="7" t="s">
        <v>195</v>
      </c>
      <c r="H165" s="7" t="s">
        <v>195</v>
      </c>
      <c r="I165" s="7" t="s">
        <v>195</v>
      </c>
      <c r="J165" s="7" t="s">
        <v>195</v>
      </c>
      <c r="K165" s="7" t="s">
        <v>195</v>
      </c>
      <c r="L165" s="7" t="s">
        <v>195</v>
      </c>
      <c r="M165" s="7" t="s">
        <v>29</v>
      </c>
      <c r="N165" s="7" t="s">
        <v>29</v>
      </c>
      <c r="O165" s="7" t="s">
        <v>29</v>
      </c>
      <c r="P165" s="7" t="s">
        <v>29</v>
      </c>
      <c r="Q165" s="7" t="s">
        <v>29</v>
      </c>
      <c r="R165" s="7" t="s">
        <v>29</v>
      </c>
      <c r="S165" s="7" t="s">
        <v>29</v>
      </c>
    </row>
    <row r="166" spans="2:19">
      <c r="B166" s="7" t="s">
        <v>195</v>
      </c>
      <c r="C166" s="8" t="s">
        <v>195</v>
      </c>
      <c r="D166" s="5" t="str">
        <f>LRTRIM(CONCATENATE(IF(SUMPRODUCT(-- ISNUMBER(SEARCH({"Auto Number"}, $B166))) &gt; 0, $B166, IF(SUMPRODUCT(-- ISNUMBER(SEARCH({"Lookup","Master-Detail"}, $B166))) &gt; 0,$B166 &amp; "(" &amp; $E166 &amp; ")",IF(SUMPRODUCT(-- ISNUMBER(SEARCH({"Formula","Roll-Up Summary"}, $B166))) &gt; 0,$B166 &amp; " (" &amp; $E166 &amp; ")",IF(SUMPRODUCT(-- ISNUMBER(SEARCH({"Content","Currency","Number","Percent","Text","URL"}, $B166))) &gt; 0,$B166 &amp; "(" &amp; $C166 &amp; ")",$B166)))), "  ", TRIM(IF($S166 = "YES", "(External ID)", "") &amp; " " &amp; IF(SUMPRODUCT(-- ISNUMBER(SEARCH({"Unique","Unique Case Insensitive"}, $R166))) &gt; 0, "(" &amp; $R166 &amp; ")", ""))))</f>
        <v>na</v>
      </c>
      <c r="E166" s="7" t="s">
        <v>195</v>
      </c>
      <c r="F166" s="7" t="s">
        <v>195</v>
      </c>
      <c r="G166" s="7" t="s">
        <v>195</v>
      </c>
      <c r="H166" s="7" t="s">
        <v>195</v>
      </c>
      <c r="I166" s="7" t="s">
        <v>195</v>
      </c>
      <c r="J166" s="7" t="s">
        <v>195</v>
      </c>
      <c r="K166" s="7" t="s">
        <v>195</v>
      </c>
      <c r="L166" s="7" t="s">
        <v>195</v>
      </c>
      <c r="M166" s="7" t="s">
        <v>29</v>
      </c>
      <c r="N166" s="7" t="s">
        <v>29</v>
      </c>
      <c r="O166" s="7" t="s">
        <v>29</v>
      </c>
      <c r="P166" s="7" t="s">
        <v>29</v>
      </c>
      <c r="Q166" s="7" t="s">
        <v>29</v>
      </c>
      <c r="R166" s="7" t="s">
        <v>29</v>
      </c>
      <c r="S166" s="7" t="s">
        <v>29</v>
      </c>
    </row>
    <row r="167" spans="2:19">
      <c r="B167" s="7" t="s">
        <v>195</v>
      </c>
      <c r="C167" s="8" t="s">
        <v>195</v>
      </c>
      <c r="D167" s="5" t="str">
        <f>LRTRIM(CONCATENATE(IF(SUMPRODUCT(-- ISNUMBER(SEARCH({"Auto Number"}, $B167))) &gt; 0, $B167, IF(SUMPRODUCT(-- ISNUMBER(SEARCH({"Lookup","Master-Detail"}, $B167))) &gt; 0,$B167 &amp; "(" &amp; $E167 &amp; ")",IF(SUMPRODUCT(-- ISNUMBER(SEARCH({"Formula","Roll-Up Summary"}, $B167))) &gt; 0,$B167 &amp; " (" &amp; $E167 &amp; ")",IF(SUMPRODUCT(-- ISNUMBER(SEARCH({"Content","Currency","Number","Percent","Text","URL"}, $B167))) &gt; 0,$B167 &amp; "(" &amp; $C167 &amp; ")",$B167)))), "  ", TRIM(IF($S167 = "YES", "(External ID)", "") &amp; " " &amp; IF(SUMPRODUCT(-- ISNUMBER(SEARCH({"Unique","Unique Case Insensitive"}, $R167))) &gt; 0, "(" &amp; $R167 &amp; ")", ""))))</f>
        <v>na</v>
      </c>
      <c r="E167" s="7" t="s">
        <v>195</v>
      </c>
      <c r="F167" s="7" t="s">
        <v>195</v>
      </c>
      <c r="G167" s="7" t="s">
        <v>195</v>
      </c>
      <c r="H167" s="7" t="s">
        <v>195</v>
      </c>
      <c r="I167" s="7" t="s">
        <v>195</v>
      </c>
      <c r="J167" s="7" t="s">
        <v>195</v>
      </c>
      <c r="K167" s="7" t="s">
        <v>195</v>
      </c>
      <c r="L167" s="7" t="s">
        <v>195</v>
      </c>
      <c r="M167" s="7" t="s">
        <v>29</v>
      </c>
      <c r="N167" s="7" t="s">
        <v>29</v>
      </c>
      <c r="O167" s="7" t="s">
        <v>29</v>
      </c>
      <c r="P167" s="7" t="s">
        <v>29</v>
      </c>
      <c r="Q167" s="7" t="s">
        <v>29</v>
      </c>
      <c r="R167" s="7" t="s">
        <v>29</v>
      </c>
      <c r="S167" s="7" t="s">
        <v>29</v>
      </c>
    </row>
    <row r="168" spans="2:19">
      <c r="B168" s="7" t="s">
        <v>195</v>
      </c>
      <c r="C168" s="8" t="s">
        <v>195</v>
      </c>
      <c r="D168" s="5" t="str">
        <f>LRTRIM(CONCATENATE(IF(SUMPRODUCT(-- ISNUMBER(SEARCH({"Auto Number"}, $B168))) &gt; 0, $B168, IF(SUMPRODUCT(-- ISNUMBER(SEARCH({"Lookup","Master-Detail"}, $B168))) &gt; 0,$B168 &amp; "(" &amp; $E168 &amp; ")",IF(SUMPRODUCT(-- ISNUMBER(SEARCH({"Formula","Roll-Up Summary"}, $B168))) &gt; 0,$B168 &amp; " (" &amp; $E168 &amp; ")",IF(SUMPRODUCT(-- ISNUMBER(SEARCH({"Content","Currency","Number","Percent","Text","URL"}, $B168))) &gt; 0,$B168 &amp; "(" &amp; $C168 &amp; ")",$B168)))), "  ", TRIM(IF($S168 = "YES", "(External ID)", "") &amp; " " &amp; IF(SUMPRODUCT(-- ISNUMBER(SEARCH({"Unique","Unique Case Insensitive"}, $R168))) &gt; 0, "(" &amp; $R168 &amp; ")", ""))))</f>
        <v>na</v>
      </c>
      <c r="E168" s="7" t="s">
        <v>195</v>
      </c>
      <c r="F168" s="7" t="s">
        <v>195</v>
      </c>
      <c r="G168" s="7" t="s">
        <v>195</v>
      </c>
      <c r="H168" s="7" t="s">
        <v>195</v>
      </c>
      <c r="I168" s="7" t="s">
        <v>195</v>
      </c>
      <c r="J168" s="7" t="s">
        <v>195</v>
      </c>
      <c r="K168" s="7" t="s">
        <v>195</v>
      </c>
      <c r="L168" s="7" t="s">
        <v>195</v>
      </c>
      <c r="M168" s="7" t="s">
        <v>29</v>
      </c>
      <c r="N168" s="7" t="s">
        <v>29</v>
      </c>
      <c r="O168" s="7" t="s">
        <v>29</v>
      </c>
      <c r="P168" s="7" t="s">
        <v>29</v>
      </c>
      <c r="Q168" s="7" t="s">
        <v>29</v>
      </c>
      <c r="R168" s="7" t="s">
        <v>29</v>
      </c>
      <c r="S168" s="7" t="s">
        <v>29</v>
      </c>
    </row>
    <row r="169" spans="2:19">
      <c r="B169" s="7" t="s">
        <v>195</v>
      </c>
      <c r="C169" s="8" t="s">
        <v>195</v>
      </c>
      <c r="D169" s="5" t="str">
        <f>LRTRIM(CONCATENATE(IF(SUMPRODUCT(-- ISNUMBER(SEARCH({"Auto Number"}, $B169))) &gt; 0, $B169, IF(SUMPRODUCT(-- ISNUMBER(SEARCH({"Lookup","Master-Detail"}, $B169))) &gt; 0,$B169 &amp; "(" &amp; $E169 &amp; ")",IF(SUMPRODUCT(-- ISNUMBER(SEARCH({"Formula","Roll-Up Summary"}, $B169))) &gt; 0,$B169 &amp; " (" &amp; $E169 &amp; ")",IF(SUMPRODUCT(-- ISNUMBER(SEARCH({"Content","Currency","Number","Percent","Text","URL"}, $B169))) &gt; 0,$B169 &amp; "(" &amp; $C169 &amp; ")",$B169)))), "  ", TRIM(IF($S169 = "YES", "(External ID)", "") &amp; " " &amp; IF(SUMPRODUCT(-- ISNUMBER(SEARCH({"Unique","Unique Case Insensitive"}, $R169))) &gt; 0, "(" &amp; $R169 &amp; ")", ""))))</f>
        <v>na</v>
      </c>
      <c r="E169" s="7" t="s">
        <v>195</v>
      </c>
      <c r="F169" s="7" t="s">
        <v>195</v>
      </c>
      <c r="G169" s="7" t="s">
        <v>195</v>
      </c>
      <c r="H169" s="7" t="s">
        <v>195</v>
      </c>
      <c r="I169" s="7" t="s">
        <v>195</v>
      </c>
      <c r="J169" s="7" t="s">
        <v>195</v>
      </c>
      <c r="K169" s="7" t="s">
        <v>195</v>
      </c>
      <c r="L169" s="7" t="s">
        <v>195</v>
      </c>
      <c r="M169" s="7" t="s">
        <v>29</v>
      </c>
      <c r="N169" s="7" t="s">
        <v>29</v>
      </c>
      <c r="O169" s="7" t="s">
        <v>29</v>
      </c>
      <c r="P169" s="7" t="s">
        <v>29</v>
      </c>
      <c r="Q169" s="7" t="s">
        <v>29</v>
      </c>
      <c r="R169" s="7" t="s">
        <v>29</v>
      </c>
      <c r="S169" s="7" t="s">
        <v>29</v>
      </c>
    </row>
    <row r="170" spans="2:19">
      <c r="B170" s="7" t="s">
        <v>195</v>
      </c>
      <c r="C170" s="8" t="s">
        <v>195</v>
      </c>
      <c r="D170" s="5" t="str">
        <f>LRTRIM(CONCATENATE(IF(SUMPRODUCT(-- ISNUMBER(SEARCH({"Auto Number"}, $B170))) &gt; 0, $B170, IF(SUMPRODUCT(-- ISNUMBER(SEARCH({"Lookup","Master-Detail"}, $B170))) &gt; 0,$B170 &amp; "(" &amp; $E170 &amp; ")",IF(SUMPRODUCT(-- ISNUMBER(SEARCH({"Formula","Roll-Up Summary"}, $B170))) &gt; 0,$B170 &amp; " (" &amp; $E170 &amp; ")",IF(SUMPRODUCT(-- ISNUMBER(SEARCH({"Content","Currency","Number","Percent","Text","URL"}, $B170))) &gt; 0,$B170 &amp; "(" &amp; $C170 &amp; ")",$B170)))), "  ", TRIM(IF($S170 = "YES", "(External ID)", "") &amp; " " &amp; IF(SUMPRODUCT(-- ISNUMBER(SEARCH({"Unique","Unique Case Insensitive"}, $R170))) &gt; 0, "(" &amp; $R170 &amp; ")", ""))))</f>
        <v>na</v>
      </c>
      <c r="E170" s="7" t="s">
        <v>195</v>
      </c>
      <c r="F170" s="7" t="s">
        <v>195</v>
      </c>
      <c r="G170" s="7" t="s">
        <v>195</v>
      </c>
      <c r="H170" s="7" t="s">
        <v>195</v>
      </c>
      <c r="I170" s="7" t="s">
        <v>195</v>
      </c>
      <c r="J170" s="7" t="s">
        <v>195</v>
      </c>
      <c r="K170" s="7" t="s">
        <v>195</v>
      </c>
      <c r="L170" s="7" t="s">
        <v>195</v>
      </c>
      <c r="M170" s="7" t="s">
        <v>29</v>
      </c>
      <c r="N170" s="7" t="s">
        <v>29</v>
      </c>
      <c r="O170" s="7" t="s">
        <v>29</v>
      </c>
      <c r="P170" s="7" t="s">
        <v>29</v>
      </c>
      <c r="Q170" s="7" t="s">
        <v>29</v>
      </c>
      <c r="R170" s="7" t="s">
        <v>29</v>
      </c>
      <c r="S170" s="7" t="s">
        <v>29</v>
      </c>
    </row>
    <row r="171" spans="2:19">
      <c r="B171" s="7" t="s">
        <v>195</v>
      </c>
      <c r="C171" s="8" t="s">
        <v>195</v>
      </c>
      <c r="D171" s="5" t="str">
        <f>LRTRIM(CONCATENATE(IF(SUMPRODUCT(-- ISNUMBER(SEARCH({"Auto Number"}, $B171))) &gt; 0, $B171, IF(SUMPRODUCT(-- ISNUMBER(SEARCH({"Lookup","Master-Detail"}, $B171))) &gt; 0,$B171 &amp; "(" &amp; $E171 &amp; ")",IF(SUMPRODUCT(-- ISNUMBER(SEARCH({"Formula","Roll-Up Summary"}, $B171))) &gt; 0,$B171 &amp; " (" &amp; $E171 &amp; ")",IF(SUMPRODUCT(-- ISNUMBER(SEARCH({"Content","Currency","Number","Percent","Text","URL"}, $B171))) &gt; 0,$B171 &amp; "(" &amp; $C171 &amp; ")",$B171)))), "  ", TRIM(IF($S171 = "YES", "(External ID)", "") &amp; " " &amp; IF(SUMPRODUCT(-- ISNUMBER(SEARCH({"Unique","Unique Case Insensitive"}, $R171))) &gt; 0, "(" &amp; $R171 &amp; ")", ""))))</f>
        <v>na</v>
      </c>
      <c r="E171" s="7" t="s">
        <v>195</v>
      </c>
      <c r="F171" s="7" t="s">
        <v>195</v>
      </c>
      <c r="G171" s="7" t="s">
        <v>195</v>
      </c>
      <c r="H171" s="7" t="s">
        <v>195</v>
      </c>
      <c r="I171" s="7" t="s">
        <v>195</v>
      </c>
      <c r="J171" s="7" t="s">
        <v>195</v>
      </c>
      <c r="K171" s="7" t="s">
        <v>195</v>
      </c>
      <c r="L171" s="7" t="s">
        <v>195</v>
      </c>
      <c r="M171" s="7" t="s">
        <v>29</v>
      </c>
      <c r="N171" s="7" t="s">
        <v>29</v>
      </c>
      <c r="O171" s="7" t="s">
        <v>29</v>
      </c>
      <c r="P171" s="7" t="s">
        <v>29</v>
      </c>
      <c r="Q171" s="7" t="s">
        <v>29</v>
      </c>
      <c r="R171" s="7" t="s">
        <v>29</v>
      </c>
      <c r="S171" s="7" t="s">
        <v>29</v>
      </c>
    </row>
    <row r="172" spans="2:19">
      <c r="B172" s="7" t="s">
        <v>195</v>
      </c>
      <c r="C172" s="8" t="s">
        <v>195</v>
      </c>
      <c r="D172" s="5" t="str">
        <f>LRTRIM(CONCATENATE(IF(SUMPRODUCT(-- ISNUMBER(SEARCH({"Auto Number"}, $B172))) &gt; 0, $B172, IF(SUMPRODUCT(-- ISNUMBER(SEARCH({"Lookup","Master-Detail"}, $B172))) &gt; 0,$B172 &amp; "(" &amp; $E172 &amp; ")",IF(SUMPRODUCT(-- ISNUMBER(SEARCH({"Formula","Roll-Up Summary"}, $B172))) &gt; 0,$B172 &amp; " (" &amp; $E172 &amp; ")",IF(SUMPRODUCT(-- ISNUMBER(SEARCH({"Content","Currency","Number","Percent","Text","URL"}, $B172))) &gt; 0,$B172 &amp; "(" &amp; $C172 &amp; ")",$B172)))), "  ", TRIM(IF($S172 = "YES", "(External ID)", "") &amp; " " &amp; IF(SUMPRODUCT(-- ISNUMBER(SEARCH({"Unique","Unique Case Insensitive"}, $R172))) &gt; 0, "(" &amp; $R172 &amp; ")", ""))))</f>
        <v>na</v>
      </c>
      <c r="E172" s="7" t="s">
        <v>195</v>
      </c>
      <c r="F172" s="7" t="s">
        <v>195</v>
      </c>
      <c r="G172" s="7" t="s">
        <v>195</v>
      </c>
      <c r="H172" s="7" t="s">
        <v>195</v>
      </c>
      <c r="I172" s="7" t="s">
        <v>195</v>
      </c>
      <c r="J172" s="7" t="s">
        <v>195</v>
      </c>
      <c r="K172" s="7" t="s">
        <v>195</v>
      </c>
      <c r="L172" s="7" t="s">
        <v>195</v>
      </c>
      <c r="M172" s="7" t="s">
        <v>29</v>
      </c>
      <c r="N172" s="7" t="s">
        <v>29</v>
      </c>
      <c r="O172" s="7" t="s">
        <v>29</v>
      </c>
      <c r="P172" s="7" t="s">
        <v>29</v>
      </c>
      <c r="Q172" s="7" t="s">
        <v>29</v>
      </c>
      <c r="R172" s="7" t="s">
        <v>29</v>
      </c>
      <c r="S172" s="7" t="s">
        <v>29</v>
      </c>
    </row>
    <row r="173" spans="2:19">
      <c r="B173" s="7" t="s">
        <v>195</v>
      </c>
      <c r="C173" s="8" t="s">
        <v>195</v>
      </c>
      <c r="D173" s="5" t="str">
        <f>LRTRIM(CONCATENATE(IF(SUMPRODUCT(-- ISNUMBER(SEARCH({"Auto Number"}, $B173))) &gt; 0, $B173, IF(SUMPRODUCT(-- ISNUMBER(SEARCH({"Lookup","Master-Detail"}, $B173))) &gt; 0,$B173 &amp; "(" &amp; $E173 &amp; ")",IF(SUMPRODUCT(-- ISNUMBER(SEARCH({"Formula","Roll-Up Summary"}, $B173))) &gt; 0,$B173 &amp; " (" &amp; $E173 &amp; ")",IF(SUMPRODUCT(-- ISNUMBER(SEARCH({"Content","Currency","Number","Percent","Text","URL"}, $B173))) &gt; 0,$B173 &amp; "(" &amp; $C173 &amp; ")",$B173)))), "  ", TRIM(IF($S173 = "YES", "(External ID)", "") &amp; " " &amp; IF(SUMPRODUCT(-- ISNUMBER(SEARCH({"Unique","Unique Case Insensitive"}, $R173))) &gt; 0, "(" &amp; $R173 &amp; ")", ""))))</f>
        <v>na</v>
      </c>
      <c r="E173" s="7" t="s">
        <v>195</v>
      </c>
      <c r="F173" s="7" t="s">
        <v>195</v>
      </c>
      <c r="G173" s="7" t="s">
        <v>195</v>
      </c>
      <c r="H173" s="7" t="s">
        <v>195</v>
      </c>
      <c r="I173" s="7" t="s">
        <v>195</v>
      </c>
      <c r="J173" s="7" t="s">
        <v>195</v>
      </c>
      <c r="K173" s="7" t="s">
        <v>195</v>
      </c>
      <c r="L173" s="7" t="s">
        <v>195</v>
      </c>
      <c r="M173" s="7" t="s">
        <v>29</v>
      </c>
      <c r="N173" s="7" t="s">
        <v>29</v>
      </c>
      <c r="O173" s="7" t="s">
        <v>29</v>
      </c>
      <c r="P173" s="7" t="s">
        <v>29</v>
      </c>
      <c r="Q173" s="7" t="s">
        <v>29</v>
      </c>
      <c r="R173" s="7" t="s">
        <v>29</v>
      </c>
      <c r="S173" s="7" t="s">
        <v>29</v>
      </c>
    </row>
    <row r="174" spans="2:19">
      <c r="B174" s="7" t="s">
        <v>195</v>
      </c>
      <c r="C174" s="8" t="s">
        <v>195</v>
      </c>
      <c r="D174" s="5" t="str">
        <f>LRTRIM(CONCATENATE(IF(SUMPRODUCT(-- ISNUMBER(SEARCH({"Auto Number"}, $B174))) &gt; 0, $B174, IF(SUMPRODUCT(-- ISNUMBER(SEARCH({"Lookup","Master-Detail"}, $B174))) &gt; 0,$B174 &amp; "(" &amp; $E174 &amp; ")",IF(SUMPRODUCT(-- ISNUMBER(SEARCH({"Formula","Roll-Up Summary"}, $B174))) &gt; 0,$B174 &amp; " (" &amp; $E174 &amp; ")",IF(SUMPRODUCT(-- ISNUMBER(SEARCH({"Content","Currency","Number","Percent","Text","URL"}, $B174))) &gt; 0,$B174 &amp; "(" &amp; $C174 &amp; ")",$B174)))), "  ", TRIM(IF($S174 = "YES", "(External ID)", "") &amp; " " &amp; IF(SUMPRODUCT(-- ISNUMBER(SEARCH({"Unique","Unique Case Insensitive"}, $R174))) &gt; 0, "(" &amp; $R174 &amp; ")", ""))))</f>
        <v>na</v>
      </c>
      <c r="E174" s="7" t="s">
        <v>195</v>
      </c>
      <c r="F174" s="7" t="s">
        <v>195</v>
      </c>
      <c r="G174" s="7" t="s">
        <v>195</v>
      </c>
      <c r="H174" s="7" t="s">
        <v>195</v>
      </c>
      <c r="I174" s="7" t="s">
        <v>195</v>
      </c>
      <c r="J174" s="7" t="s">
        <v>195</v>
      </c>
      <c r="K174" s="7" t="s">
        <v>195</v>
      </c>
      <c r="L174" s="7" t="s">
        <v>195</v>
      </c>
      <c r="M174" s="7" t="s">
        <v>29</v>
      </c>
      <c r="N174" s="7" t="s">
        <v>29</v>
      </c>
      <c r="O174" s="7" t="s">
        <v>29</v>
      </c>
      <c r="P174" s="7" t="s">
        <v>29</v>
      </c>
      <c r="Q174" s="7" t="s">
        <v>29</v>
      </c>
      <c r="R174" s="7" t="s">
        <v>29</v>
      </c>
      <c r="S174" s="7" t="s">
        <v>29</v>
      </c>
    </row>
    <row r="175" spans="2:19">
      <c r="B175" s="7" t="s">
        <v>195</v>
      </c>
      <c r="C175" s="8" t="s">
        <v>195</v>
      </c>
      <c r="D175" s="5" t="str">
        <f>LRTRIM(CONCATENATE(IF(SUMPRODUCT(-- ISNUMBER(SEARCH({"Auto Number"}, $B175))) &gt; 0, $B175, IF(SUMPRODUCT(-- ISNUMBER(SEARCH({"Lookup","Master-Detail"}, $B175))) &gt; 0,$B175 &amp; "(" &amp; $E175 &amp; ")",IF(SUMPRODUCT(-- ISNUMBER(SEARCH({"Formula","Roll-Up Summary"}, $B175))) &gt; 0,$B175 &amp; " (" &amp; $E175 &amp; ")",IF(SUMPRODUCT(-- ISNUMBER(SEARCH({"Content","Currency","Number","Percent","Text","URL"}, $B175))) &gt; 0,$B175 &amp; "(" &amp; $C175 &amp; ")",$B175)))), "  ", TRIM(IF($S175 = "YES", "(External ID)", "") &amp; " " &amp; IF(SUMPRODUCT(-- ISNUMBER(SEARCH({"Unique","Unique Case Insensitive"}, $R175))) &gt; 0, "(" &amp; $R175 &amp; ")", ""))))</f>
        <v>na</v>
      </c>
      <c r="E175" s="7" t="s">
        <v>195</v>
      </c>
      <c r="F175" s="7" t="s">
        <v>195</v>
      </c>
      <c r="G175" s="7" t="s">
        <v>195</v>
      </c>
      <c r="H175" s="7" t="s">
        <v>195</v>
      </c>
      <c r="I175" s="7" t="s">
        <v>195</v>
      </c>
      <c r="J175" s="7" t="s">
        <v>195</v>
      </c>
      <c r="K175" s="7" t="s">
        <v>195</v>
      </c>
      <c r="L175" s="7" t="s">
        <v>195</v>
      </c>
      <c r="M175" s="7" t="s">
        <v>29</v>
      </c>
      <c r="N175" s="7" t="s">
        <v>29</v>
      </c>
      <c r="O175" s="7" t="s">
        <v>29</v>
      </c>
      <c r="P175" s="7" t="s">
        <v>29</v>
      </c>
      <c r="Q175" s="7" t="s">
        <v>29</v>
      </c>
      <c r="R175" s="7" t="s">
        <v>29</v>
      </c>
      <c r="S175" s="7" t="s">
        <v>29</v>
      </c>
    </row>
    <row r="176" spans="2:19">
      <c r="B176" s="7" t="s">
        <v>195</v>
      </c>
      <c r="C176" s="8" t="s">
        <v>195</v>
      </c>
      <c r="D176" s="5" t="str">
        <f>LRTRIM(CONCATENATE(IF(SUMPRODUCT(-- ISNUMBER(SEARCH({"Auto Number"}, $B176))) &gt; 0, $B176, IF(SUMPRODUCT(-- ISNUMBER(SEARCH({"Lookup","Master-Detail"}, $B176))) &gt; 0,$B176 &amp; "(" &amp; $E176 &amp; ")",IF(SUMPRODUCT(-- ISNUMBER(SEARCH({"Formula","Roll-Up Summary"}, $B176))) &gt; 0,$B176 &amp; " (" &amp; $E176 &amp; ")",IF(SUMPRODUCT(-- ISNUMBER(SEARCH({"Content","Currency","Number","Percent","Text","URL"}, $B176))) &gt; 0,$B176 &amp; "(" &amp; $C176 &amp; ")",$B176)))), "  ", TRIM(IF($S176 = "YES", "(External ID)", "") &amp; " " &amp; IF(SUMPRODUCT(-- ISNUMBER(SEARCH({"Unique","Unique Case Insensitive"}, $R176))) &gt; 0, "(" &amp; $R176 &amp; ")", ""))))</f>
        <v>na</v>
      </c>
      <c r="E176" s="7" t="s">
        <v>195</v>
      </c>
      <c r="F176" s="7" t="s">
        <v>195</v>
      </c>
      <c r="G176" s="7" t="s">
        <v>195</v>
      </c>
      <c r="H176" s="7" t="s">
        <v>195</v>
      </c>
      <c r="I176" s="7" t="s">
        <v>195</v>
      </c>
      <c r="J176" s="7" t="s">
        <v>195</v>
      </c>
      <c r="K176" s="7" t="s">
        <v>195</v>
      </c>
      <c r="L176" s="7" t="s">
        <v>195</v>
      </c>
      <c r="M176" s="7" t="s">
        <v>29</v>
      </c>
      <c r="N176" s="7" t="s">
        <v>29</v>
      </c>
      <c r="O176" s="7" t="s">
        <v>29</v>
      </c>
      <c r="P176" s="7" t="s">
        <v>29</v>
      </c>
      <c r="Q176" s="7" t="s">
        <v>29</v>
      </c>
      <c r="R176" s="7" t="s">
        <v>29</v>
      </c>
      <c r="S176" s="7" t="s">
        <v>29</v>
      </c>
    </row>
    <row r="177" spans="2:19">
      <c r="B177" s="7" t="s">
        <v>195</v>
      </c>
      <c r="C177" s="8" t="s">
        <v>195</v>
      </c>
      <c r="D177" s="5" t="str">
        <f>LRTRIM(CONCATENATE(IF(SUMPRODUCT(-- ISNUMBER(SEARCH({"Auto Number"}, $B177))) &gt; 0, $B177, IF(SUMPRODUCT(-- ISNUMBER(SEARCH({"Lookup","Master-Detail"}, $B177))) &gt; 0,$B177 &amp; "(" &amp; $E177 &amp; ")",IF(SUMPRODUCT(-- ISNUMBER(SEARCH({"Formula","Roll-Up Summary"}, $B177))) &gt; 0,$B177 &amp; " (" &amp; $E177 &amp; ")",IF(SUMPRODUCT(-- ISNUMBER(SEARCH({"Content","Currency","Number","Percent","Text","URL"}, $B177))) &gt; 0,$B177 &amp; "(" &amp; $C177 &amp; ")",$B177)))), "  ", TRIM(IF($S177 = "YES", "(External ID)", "") &amp; " " &amp; IF(SUMPRODUCT(-- ISNUMBER(SEARCH({"Unique","Unique Case Insensitive"}, $R177))) &gt; 0, "(" &amp; $R177 &amp; ")", ""))))</f>
        <v>na</v>
      </c>
      <c r="E177" s="7" t="s">
        <v>195</v>
      </c>
      <c r="F177" s="7" t="s">
        <v>195</v>
      </c>
      <c r="G177" s="7" t="s">
        <v>195</v>
      </c>
      <c r="H177" s="7" t="s">
        <v>195</v>
      </c>
      <c r="I177" s="7" t="s">
        <v>195</v>
      </c>
      <c r="J177" s="7" t="s">
        <v>195</v>
      </c>
      <c r="K177" s="7" t="s">
        <v>195</v>
      </c>
      <c r="L177" s="7" t="s">
        <v>195</v>
      </c>
      <c r="M177" s="7" t="s">
        <v>29</v>
      </c>
      <c r="N177" s="7" t="s">
        <v>29</v>
      </c>
      <c r="O177" s="7" t="s">
        <v>29</v>
      </c>
      <c r="P177" s="7" t="s">
        <v>29</v>
      </c>
      <c r="Q177" s="7" t="s">
        <v>29</v>
      </c>
      <c r="R177" s="7" t="s">
        <v>29</v>
      </c>
      <c r="S177" s="7" t="s">
        <v>29</v>
      </c>
    </row>
    <row r="178" spans="2:19">
      <c r="B178" s="7" t="s">
        <v>195</v>
      </c>
      <c r="C178" s="8" t="s">
        <v>195</v>
      </c>
      <c r="D178" s="5" t="str">
        <f>LRTRIM(CONCATENATE(IF(SUMPRODUCT(-- ISNUMBER(SEARCH({"Auto Number"}, $B178))) &gt; 0, $B178, IF(SUMPRODUCT(-- ISNUMBER(SEARCH({"Lookup","Master-Detail"}, $B178))) &gt; 0,$B178 &amp; "(" &amp; $E178 &amp; ")",IF(SUMPRODUCT(-- ISNUMBER(SEARCH({"Formula","Roll-Up Summary"}, $B178))) &gt; 0,$B178 &amp; " (" &amp; $E178 &amp; ")",IF(SUMPRODUCT(-- ISNUMBER(SEARCH({"Content","Currency","Number","Percent","Text","URL"}, $B178))) &gt; 0,$B178 &amp; "(" &amp; $C178 &amp; ")",$B178)))), "  ", TRIM(IF($S178 = "YES", "(External ID)", "") &amp; " " &amp; IF(SUMPRODUCT(-- ISNUMBER(SEARCH({"Unique","Unique Case Insensitive"}, $R178))) &gt; 0, "(" &amp; $R178 &amp; ")", ""))))</f>
        <v>na</v>
      </c>
      <c r="E178" s="7" t="s">
        <v>195</v>
      </c>
      <c r="F178" s="7" t="s">
        <v>195</v>
      </c>
      <c r="G178" s="7" t="s">
        <v>195</v>
      </c>
      <c r="H178" s="7" t="s">
        <v>195</v>
      </c>
      <c r="I178" s="7" t="s">
        <v>195</v>
      </c>
      <c r="J178" s="7" t="s">
        <v>195</v>
      </c>
      <c r="K178" s="7" t="s">
        <v>195</v>
      </c>
      <c r="L178" s="7" t="s">
        <v>195</v>
      </c>
      <c r="M178" s="7" t="s">
        <v>29</v>
      </c>
      <c r="N178" s="7" t="s">
        <v>29</v>
      </c>
      <c r="O178" s="7" t="s">
        <v>29</v>
      </c>
      <c r="P178" s="7" t="s">
        <v>29</v>
      </c>
      <c r="Q178" s="7" t="s">
        <v>29</v>
      </c>
      <c r="R178" s="7" t="s">
        <v>29</v>
      </c>
      <c r="S178" s="7" t="s">
        <v>29</v>
      </c>
    </row>
    <row r="179" spans="2:19">
      <c r="B179" s="7" t="s">
        <v>195</v>
      </c>
      <c r="C179" s="8" t="s">
        <v>195</v>
      </c>
      <c r="D179" s="5" t="str">
        <f>LRTRIM(CONCATENATE(IF(SUMPRODUCT(-- ISNUMBER(SEARCH({"Auto Number"}, $B179))) &gt; 0, $B179, IF(SUMPRODUCT(-- ISNUMBER(SEARCH({"Lookup","Master-Detail"}, $B179))) &gt; 0,$B179 &amp; "(" &amp; $E179 &amp; ")",IF(SUMPRODUCT(-- ISNUMBER(SEARCH({"Formula","Roll-Up Summary"}, $B179))) &gt; 0,$B179 &amp; " (" &amp; $E179 &amp; ")",IF(SUMPRODUCT(-- ISNUMBER(SEARCH({"Content","Currency","Number","Percent","Text","URL"}, $B179))) &gt; 0,$B179 &amp; "(" &amp; $C179 &amp; ")",$B179)))), "  ", TRIM(IF($S179 = "YES", "(External ID)", "") &amp; " " &amp; IF(SUMPRODUCT(-- ISNUMBER(SEARCH({"Unique","Unique Case Insensitive"}, $R179))) &gt; 0, "(" &amp; $R179 &amp; ")", ""))))</f>
        <v>na</v>
      </c>
      <c r="E179" s="7" t="s">
        <v>195</v>
      </c>
      <c r="F179" s="7" t="s">
        <v>195</v>
      </c>
      <c r="G179" s="7" t="s">
        <v>195</v>
      </c>
      <c r="H179" s="7" t="s">
        <v>195</v>
      </c>
      <c r="I179" s="7" t="s">
        <v>195</v>
      </c>
      <c r="J179" s="7" t="s">
        <v>195</v>
      </c>
      <c r="K179" s="7" t="s">
        <v>195</v>
      </c>
      <c r="L179" s="7" t="s">
        <v>195</v>
      </c>
      <c r="M179" s="7" t="s">
        <v>29</v>
      </c>
      <c r="N179" s="7" t="s">
        <v>29</v>
      </c>
      <c r="O179" s="7" t="s">
        <v>29</v>
      </c>
      <c r="P179" s="7" t="s">
        <v>29</v>
      </c>
      <c r="Q179" s="7" t="s">
        <v>29</v>
      </c>
      <c r="R179" s="7" t="s">
        <v>29</v>
      </c>
      <c r="S179" s="7" t="s">
        <v>29</v>
      </c>
    </row>
    <row r="180" spans="2:19">
      <c r="B180" s="7" t="s">
        <v>195</v>
      </c>
      <c r="C180" s="8" t="s">
        <v>195</v>
      </c>
      <c r="D180" s="5" t="str">
        <f>LRTRIM(CONCATENATE(IF(SUMPRODUCT(-- ISNUMBER(SEARCH({"Auto Number"}, $B180))) &gt; 0, $B180, IF(SUMPRODUCT(-- ISNUMBER(SEARCH({"Lookup","Master-Detail"}, $B180))) &gt; 0,$B180 &amp; "(" &amp; $E180 &amp; ")",IF(SUMPRODUCT(-- ISNUMBER(SEARCH({"Formula","Roll-Up Summary"}, $B180))) &gt; 0,$B180 &amp; " (" &amp; $E180 &amp; ")",IF(SUMPRODUCT(-- ISNUMBER(SEARCH({"Content","Currency","Number","Percent","Text","URL"}, $B180))) &gt; 0,$B180 &amp; "(" &amp; $C180 &amp; ")",$B180)))), "  ", TRIM(IF($S180 = "YES", "(External ID)", "") &amp; " " &amp; IF(SUMPRODUCT(-- ISNUMBER(SEARCH({"Unique","Unique Case Insensitive"}, $R180))) &gt; 0, "(" &amp; $R180 &amp; ")", ""))))</f>
        <v>na</v>
      </c>
      <c r="E180" s="7" t="s">
        <v>195</v>
      </c>
      <c r="F180" s="7" t="s">
        <v>195</v>
      </c>
      <c r="G180" s="7" t="s">
        <v>195</v>
      </c>
      <c r="H180" s="7" t="s">
        <v>195</v>
      </c>
      <c r="I180" s="7" t="s">
        <v>195</v>
      </c>
      <c r="J180" s="7" t="s">
        <v>195</v>
      </c>
      <c r="K180" s="7" t="s">
        <v>195</v>
      </c>
      <c r="L180" s="7" t="s">
        <v>195</v>
      </c>
      <c r="M180" s="7" t="s">
        <v>29</v>
      </c>
      <c r="N180" s="7" t="s">
        <v>29</v>
      </c>
      <c r="O180" s="7" t="s">
        <v>29</v>
      </c>
      <c r="P180" s="7" t="s">
        <v>29</v>
      </c>
      <c r="Q180" s="7" t="s">
        <v>29</v>
      </c>
      <c r="R180" s="7" t="s">
        <v>29</v>
      </c>
      <c r="S180" s="7" t="s">
        <v>29</v>
      </c>
    </row>
    <row r="181" spans="2:19">
      <c r="B181" s="7" t="s">
        <v>195</v>
      </c>
      <c r="C181" s="8" t="s">
        <v>195</v>
      </c>
      <c r="D181" s="5" t="str">
        <f>LRTRIM(CONCATENATE(IF(SUMPRODUCT(-- ISNUMBER(SEARCH({"Auto Number"}, $B181))) &gt; 0, $B181, IF(SUMPRODUCT(-- ISNUMBER(SEARCH({"Lookup","Master-Detail"}, $B181))) &gt; 0,$B181 &amp; "(" &amp; $E181 &amp; ")",IF(SUMPRODUCT(-- ISNUMBER(SEARCH({"Formula","Roll-Up Summary"}, $B181))) &gt; 0,$B181 &amp; " (" &amp; $E181 &amp; ")",IF(SUMPRODUCT(-- ISNUMBER(SEARCH({"Content","Currency","Number","Percent","Text","URL"}, $B181))) &gt; 0,$B181 &amp; "(" &amp; $C181 &amp; ")",$B181)))), "  ", TRIM(IF($S181 = "YES", "(External ID)", "") &amp; " " &amp; IF(SUMPRODUCT(-- ISNUMBER(SEARCH({"Unique","Unique Case Insensitive"}, $R181))) &gt; 0, "(" &amp; $R181 &amp; ")", ""))))</f>
        <v>na</v>
      </c>
      <c r="E181" s="7" t="s">
        <v>195</v>
      </c>
      <c r="F181" s="7" t="s">
        <v>195</v>
      </c>
      <c r="G181" s="7" t="s">
        <v>195</v>
      </c>
      <c r="H181" s="7" t="s">
        <v>195</v>
      </c>
      <c r="I181" s="7" t="s">
        <v>195</v>
      </c>
      <c r="J181" s="7" t="s">
        <v>195</v>
      </c>
      <c r="K181" s="7" t="s">
        <v>195</v>
      </c>
      <c r="L181" s="7" t="s">
        <v>195</v>
      </c>
      <c r="M181" s="7" t="s">
        <v>29</v>
      </c>
      <c r="N181" s="7" t="s">
        <v>29</v>
      </c>
      <c r="O181" s="7" t="s">
        <v>29</v>
      </c>
      <c r="P181" s="7" t="s">
        <v>29</v>
      </c>
      <c r="Q181" s="7" t="s">
        <v>29</v>
      </c>
      <c r="R181" s="7" t="s">
        <v>29</v>
      </c>
      <c r="S181" s="7" t="s">
        <v>29</v>
      </c>
    </row>
    <row r="182" spans="2:19">
      <c r="B182" s="7" t="s">
        <v>195</v>
      </c>
      <c r="C182" s="8" t="s">
        <v>195</v>
      </c>
      <c r="D182" s="5" t="str">
        <f>LRTRIM(CONCATENATE(IF(SUMPRODUCT(-- ISNUMBER(SEARCH({"Auto Number"}, $B182))) &gt; 0, $B182, IF(SUMPRODUCT(-- ISNUMBER(SEARCH({"Lookup","Master-Detail"}, $B182))) &gt; 0,$B182 &amp; "(" &amp; $E182 &amp; ")",IF(SUMPRODUCT(-- ISNUMBER(SEARCH({"Formula","Roll-Up Summary"}, $B182))) &gt; 0,$B182 &amp; " (" &amp; $E182 &amp; ")",IF(SUMPRODUCT(-- ISNUMBER(SEARCH({"Content","Currency","Number","Percent","Text","URL"}, $B182))) &gt; 0,$B182 &amp; "(" &amp; $C182 &amp; ")",$B182)))), "  ", TRIM(IF($S182 = "YES", "(External ID)", "") &amp; " " &amp; IF(SUMPRODUCT(-- ISNUMBER(SEARCH({"Unique","Unique Case Insensitive"}, $R182))) &gt; 0, "(" &amp; $R182 &amp; ")", ""))))</f>
        <v>na</v>
      </c>
      <c r="E182" s="7" t="s">
        <v>195</v>
      </c>
      <c r="F182" s="7" t="s">
        <v>195</v>
      </c>
      <c r="G182" s="7" t="s">
        <v>195</v>
      </c>
      <c r="H182" s="7" t="s">
        <v>195</v>
      </c>
      <c r="I182" s="7" t="s">
        <v>195</v>
      </c>
      <c r="J182" s="7" t="s">
        <v>195</v>
      </c>
      <c r="K182" s="7" t="s">
        <v>195</v>
      </c>
      <c r="L182" s="7" t="s">
        <v>195</v>
      </c>
      <c r="M182" s="7" t="s">
        <v>29</v>
      </c>
      <c r="N182" s="7" t="s">
        <v>29</v>
      </c>
      <c r="O182" s="7" t="s">
        <v>29</v>
      </c>
      <c r="P182" s="7" t="s">
        <v>29</v>
      </c>
      <c r="Q182" s="7" t="s">
        <v>29</v>
      </c>
      <c r="R182" s="7" t="s">
        <v>29</v>
      </c>
      <c r="S182" s="7" t="s">
        <v>29</v>
      </c>
    </row>
    <row r="183" spans="2:19">
      <c r="B183" s="7" t="s">
        <v>195</v>
      </c>
      <c r="C183" s="8" t="s">
        <v>195</v>
      </c>
      <c r="D183" s="5" t="str">
        <f>LRTRIM(CONCATENATE(IF(SUMPRODUCT(-- ISNUMBER(SEARCH({"Auto Number"}, $B183))) &gt; 0, $B183, IF(SUMPRODUCT(-- ISNUMBER(SEARCH({"Lookup","Master-Detail"}, $B183))) &gt; 0,$B183 &amp; "(" &amp; $E183 &amp; ")",IF(SUMPRODUCT(-- ISNUMBER(SEARCH({"Formula","Roll-Up Summary"}, $B183))) &gt; 0,$B183 &amp; " (" &amp; $E183 &amp; ")",IF(SUMPRODUCT(-- ISNUMBER(SEARCH({"Content","Currency","Number","Percent","Text","URL"}, $B183))) &gt; 0,$B183 &amp; "(" &amp; $C183 &amp; ")",$B183)))), "  ", TRIM(IF($S183 = "YES", "(External ID)", "") &amp; " " &amp; IF(SUMPRODUCT(-- ISNUMBER(SEARCH({"Unique","Unique Case Insensitive"}, $R183))) &gt; 0, "(" &amp; $R183 &amp; ")", ""))))</f>
        <v>na</v>
      </c>
      <c r="E183" s="7" t="s">
        <v>195</v>
      </c>
      <c r="F183" s="7" t="s">
        <v>195</v>
      </c>
      <c r="G183" s="7" t="s">
        <v>195</v>
      </c>
      <c r="H183" s="7" t="s">
        <v>195</v>
      </c>
      <c r="I183" s="7" t="s">
        <v>195</v>
      </c>
      <c r="J183" s="7" t="s">
        <v>195</v>
      </c>
      <c r="K183" s="7" t="s">
        <v>195</v>
      </c>
      <c r="L183" s="7" t="s">
        <v>195</v>
      </c>
      <c r="M183" s="7" t="s">
        <v>29</v>
      </c>
      <c r="N183" s="7" t="s">
        <v>29</v>
      </c>
      <c r="O183" s="7" t="s">
        <v>29</v>
      </c>
      <c r="P183" s="7" t="s">
        <v>29</v>
      </c>
      <c r="Q183" s="7" t="s">
        <v>29</v>
      </c>
      <c r="R183" s="7" t="s">
        <v>29</v>
      </c>
      <c r="S183" s="7" t="s">
        <v>29</v>
      </c>
    </row>
    <row r="184" spans="2:19">
      <c r="B184" s="7" t="s">
        <v>195</v>
      </c>
      <c r="C184" s="8" t="s">
        <v>195</v>
      </c>
      <c r="D184" s="5" t="str">
        <f>LRTRIM(CONCATENATE(IF(SUMPRODUCT(-- ISNUMBER(SEARCH({"Auto Number"}, $B184))) &gt; 0, $B184, IF(SUMPRODUCT(-- ISNUMBER(SEARCH({"Lookup","Master-Detail"}, $B184))) &gt; 0,$B184 &amp; "(" &amp; $E184 &amp; ")",IF(SUMPRODUCT(-- ISNUMBER(SEARCH({"Formula","Roll-Up Summary"}, $B184))) &gt; 0,$B184 &amp; " (" &amp; $E184 &amp; ")",IF(SUMPRODUCT(-- ISNUMBER(SEARCH({"Content","Currency","Number","Percent","Text","URL"}, $B184))) &gt; 0,$B184 &amp; "(" &amp; $C184 &amp; ")",$B184)))), "  ", TRIM(IF($S184 = "YES", "(External ID)", "") &amp; " " &amp; IF(SUMPRODUCT(-- ISNUMBER(SEARCH({"Unique","Unique Case Insensitive"}, $R184))) &gt; 0, "(" &amp; $R184 &amp; ")", ""))))</f>
        <v>na</v>
      </c>
      <c r="E184" s="7" t="s">
        <v>195</v>
      </c>
      <c r="F184" s="7" t="s">
        <v>195</v>
      </c>
      <c r="G184" s="7" t="s">
        <v>195</v>
      </c>
      <c r="H184" s="7" t="s">
        <v>195</v>
      </c>
      <c r="I184" s="7" t="s">
        <v>195</v>
      </c>
      <c r="J184" s="7" t="s">
        <v>195</v>
      </c>
      <c r="K184" s="7" t="s">
        <v>195</v>
      </c>
      <c r="L184" s="7" t="s">
        <v>195</v>
      </c>
      <c r="M184" s="7" t="s">
        <v>29</v>
      </c>
      <c r="N184" s="7" t="s">
        <v>29</v>
      </c>
      <c r="O184" s="7" t="s">
        <v>29</v>
      </c>
      <c r="P184" s="7" t="s">
        <v>29</v>
      </c>
      <c r="Q184" s="7" t="s">
        <v>29</v>
      </c>
      <c r="R184" s="7" t="s">
        <v>29</v>
      </c>
      <c r="S184" s="7" t="s">
        <v>29</v>
      </c>
    </row>
    <row r="185" spans="2:19">
      <c r="B185" s="7" t="s">
        <v>195</v>
      </c>
      <c r="C185" s="8" t="s">
        <v>195</v>
      </c>
      <c r="D185" s="5" t="str">
        <f>LRTRIM(CONCATENATE(IF(SUMPRODUCT(-- ISNUMBER(SEARCH({"Auto Number"}, $B185))) &gt; 0, $B185, IF(SUMPRODUCT(-- ISNUMBER(SEARCH({"Lookup","Master-Detail"}, $B185))) &gt; 0,$B185 &amp; "(" &amp; $E185 &amp; ")",IF(SUMPRODUCT(-- ISNUMBER(SEARCH({"Formula","Roll-Up Summary"}, $B185))) &gt; 0,$B185 &amp; " (" &amp; $E185 &amp; ")",IF(SUMPRODUCT(-- ISNUMBER(SEARCH({"Content","Currency","Number","Percent","Text","URL"}, $B185))) &gt; 0,$B185 &amp; "(" &amp; $C185 &amp; ")",$B185)))), "  ", TRIM(IF($S185 = "YES", "(External ID)", "") &amp; " " &amp; IF(SUMPRODUCT(-- ISNUMBER(SEARCH({"Unique","Unique Case Insensitive"}, $R185))) &gt; 0, "(" &amp; $R185 &amp; ")", ""))))</f>
        <v>na</v>
      </c>
      <c r="E185" s="7" t="s">
        <v>195</v>
      </c>
      <c r="F185" s="7" t="s">
        <v>195</v>
      </c>
      <c r="G185" s="7" t="s">
        <v>195</v>
      </c>
      <c r="H185" s="7" t="s">
        <v>195</v>
      </c>
      <c r="I185" s="7" t="s">
        <v>195</v>
      </c>
      <c r="J185" s="7" t="s">
        <v>195</v>
      </c>
      <c r="K185" s="7" t="s">
        <v>195</v>
      </c>
      <c r="L185" s="7" t="s">
        <v>195</v>
      </c>
      <c r="M185" s="7" t="s">
        <v>29</v>
      </c>
      <c r="N185" s="7" t="s">
        <v>29</v>
      </c>
      <c r="O185" s="7" t="s">
        <v>29</v>
      </c>
      <c r="P185" s="7" t="s">
        <v>29</v>
      </c>
      <c r="Q185" s="7" t="s">
        <v>29</v>
      </c>
      <c r="R185" s="7" t="s">
        <v>29</v>
      </c>
      <c r="S185" s="7" t="s">
        <v>29</v>
      </c>
    </row>
    <row r="186" spans="2:19">
      <c r="B186" s="7" t="s">
        <v>195</v>
      </c>
      <c r="C186" s="8" t="s">
        <v>195</v>
      </c>
      <c r="D186" s="5" t="str">
        <f>LRTRIM(CONCATENATE(IF(SUMPRODUCT(-- ISNUMBER(SEARCH({"Auto Number"}, $B186))) &gt; 0, $B186, IF(SUMPRODUCT(-- ISNUMBER(SEARCH({"Lookup","Master-Detail"}, $B186))) &gt; 0,$B186 &amp; "(" &amp; $E186 &amp; ")",IF(SUMPRODUCT(-- ISNUMBER(SEARCH({"Formula","Roll-Up Summary"}, $B186))) &gt; 0,$B186 &amp; " (" &amp; $E186 &amp; ")",IF(SUMPRODUCT(-- ISNUMBER(SEARCH({"Content","Currency","Number","Percent","Text","URL"}, $B186))) &gt; 0,$B186 &amp; "(" &amp; $C186 &amp; ")",$B186)))), "  ", TRIM(IF($S186 = "YES", "(External ID)", "") &amp; " " &amp; IF(SUMPRODUCT(-- ISNUMBER(SEARCH({"Unique","Unique Case Insensitive"}, $R186))) &gt; 0, "(" &amp; $R186 &amp; ")", ""))))</f>
        <v>na</v>
      </c>
      <c r="E186" s="7" t="s">
        <v>195</v>
      </c>
      <c r="F186" s="7" t="s">
        <v>195</v>
      </c>
      <c r="G186" s="7" t="s">
        <v>195</v>
      </c>
      <c r="H186" s="7" t="s">
        <v>195</v>
      </c>
      <c r="I186" s="7" t="s">
        <v>195</v>
      </c>
      <c r="J186" s="7" t="s">
        <v>195</v>
      </c>
      <c r="K186" s="7" t="s">
        <v>195</v>
      </c>
      <c r="L186" s="7" t="s">
        <v>195</v>
      </c>
      <c r="M186" s="7" t="s">
        <v>29</v>
      </c>
      <c r="N186" s="7" t="s">
        <v>29</v>
      </c>
      <c r="O186" s="7" t="s">
        <v>29</v>
      </c>
      <c r="P186" s="7" t="s">
        <v>29</v>
      </c>
      <c r="Q186" s="7" t="s">
        <v>29</v>
      </c>
      <c r="R186" s="7" t="s">
        <v>29</v>
      </c>
      <c r="S186" s="7" t="s">
        <v>29</v>
      </c>
    </row>
    <row r="187" spans="2:19">
      <c r="B187" s="7" t="s">
        <v>195</v>
      </c>
      <c r="C187" s="8" t="s">
        <v>195</v>
      </c>
      <c r="D187" s="5" t="str">
        <f>LRTRIM(CONCATENATE(IF(SUMPRODUCT(-- ISNUMBER(SEARCH({"Auto Number"}, $B187))) &gt; 0, $B187, IF(SUMPRODUCT(-- ISNUMBER(SEARCH({"Lookup","Master-Detail"}, $B187))) &gt; 0,$B187 &amp; "(" &amp; $E187 &amp; ")",IF(SUMPRODUCT(-- ISNUMBER(SEARCH({"Formula","Roll-Up Summary"}, $B187))) &gt; 0,$B187 &amp; " (" &amp; $E187 &amp; ")",IF(SUMPRODUCT(-- ISNUMBER(SEARCH({"Content","Currency","Number","Percent","Text","URL"}, $B187))) &gt; 0,$B187 &amp; "(" &amp; $C187 &amp; ")",$B187)))), "  ", TRIM(IF($S187 = "YES", "(External ID)", "") &amp; " " &amp; IF(SUMPRODUCT(-- ISNUMBER(SEARCH({"Unique","Unique Case Insensitive"}, $R187))) &gt; 0, "(" &amp; $R187 &amp; ")", ""))))</f>
        <v>na</v>
      </c>
      <c r="E187" s="7" t="s">
        <v>195</v>
      </c>
      <c r="F187" s="7" t="s">
        <v>195</v>
      </c>
      <c r="G187" s="7" t="s">
        <v>195</v>
      </c>
      <c r="H187" s="7" t="s">
        <v>195</v>
      </c>
      <c r="I187" s="7" t="s">
        <v>195</v>
      </c>
      <c r="J187" s="7" t="s">
        <v>195</v>
      </c>
      <c r="K187" s="7" t="s">
        <v>195</v>
      </c>
      <c r="L187" s="7" t="s">
        <v>195</v>
      </c>
      <c r="M187" s="7" t="s">
        <v>29</v>
      </c>
      <c r="N187" s="7" t="s">
        <v>29</v>
      </c>
      <c r="O187" s="7" t="s">
        <v>29</v>
      </c>
      <c r="P187" s="7" t="s">
        <v>29</v>
      </c>
      <c r="Q187" s="7" t="s">
        <v>29</v>
      </c>
      <c r="R187" s="7" t="s">
        <v>29</v>
      </c>
      <c r="S187" s="7" t="s">
        <v>29</v>
      </c>
    </row>
    <row r="188" spans="2:19">
      <c r="B188" s="7" t="s">
        <v>195</v>
      </c>
      <c r="C188" s="8" t="s">
        <v>195</v>
      </c>
      <c r="D188" s="5" t="str">
        <f>LRTRIM(CONCATENATE(IF(SUMPRODUCT(-- ISNUMBER(SEARCH({"Auto Number"}, $B188))) &gt; 0, $B188, IF(SUMPRODUCT(-- ISNUMBER(SEARCH({"Lookup","Master-Detail"}, $B188))) &gt; 0,$B188 &amp; "(" &amp; $E188 &amp; ")",IF(SUMPRODUCT(-- ISNUMBER(SEARCH({"Formula","Roll-Up Summary"}, $B188))) &gt; 0,$B188 &amp; " (" &amp; $E188 &amp; ")",IF(SUMPRODUCT(-- ISNUMBER(SEARCH({"Content","Currency","Number","Percent","Text","URL"}, $B188))) &gt; 0,$B188 &amp; "(" &amp; $C188 &amp; ")",$B188)))), "  ", TRIM(IF($S188 = "YES", "(External ID)", "") &amp; " " &amp; IF(SUMPRODUCT(-- ISNUMBER(SEARCH({"Unique","Unique Case Insensitive"}, $R188))) &gt; 0, "(" &amp; $R188 &amp; ")", ""))))</f>
        <v>na</v>
      </c>
      <c r="E188" s="7" t="s">
        <v>195</v>
      </c>
      <c r="F188" s="7" t="s">
        <v>195</v>
      </c>
      <c r="G188" s="7" t="s">
        <v>195</v>
      </c>
      <c r="H188" s="7" t="s">
        <v>195</v>
      </c>
      <c r="I188" s="7" t="s">
        <v>195</v>
      </c>
      <c r="J188" s="7" t="s">
        <v>195</v>
      </c>
      <c r="K188" s="7" t="s">
        <v>195</v>
      </c>
      <c r="L188" s="7" t="s">
        <v>195</v>
      </c>
      <c r="M188" s="7" t="s">
        <v>29</v>
      </c>
      <c r="N188" s="7" t="s">
        <v>29</v>
      </c>
      <c r="O188" s="7" t="s">
        <v>29</v>
      </c>
      <c r="P188" s="7" t="s">
        <v>29</v>
      </c>
      <c r="Q188" s="7" t="s">
        <v>29</v>
      </c>
      <c r="R188" s="7" t="s">
        <v>29</v>
      </c>
      <c r="S188" s="7" t="s">
        <v>29</v>
      </c>
    </row>
    <row r="189" spans="2:19">
      <c r="B189" s="7" t="s">
        <v>195</v>
      </c>
      <c r="C189" s="8" t="s">
        <v>195</v>
      </c>
      <c r="D189" s="5" t="str">
        <f>LRTRIM(CONCATENATE(IF(SUMPRODUCT(-- ISNUMBER(SEARCH({"Auto Number"}, $B189))) &gt; 0, $B189, IF(SUMPRODUCT(-- ISNUMBER(SEARCH({"Lookup","Master-Detail"}, $B189))) &gt; 0,$B189 &amp; "(" &amp; $E189 &amp; ")",IF(SUMPRODUCT(-- ISNUMBER(SEARCH({"Formula","Roll-Up Summary"}, $B189))) &gt; 0,$B189 &amp; " (" &amp; $E189 &amp; ")",IF(SUMPRODUCT(-- ISNUMBER(SEARCH({"Content","Currency","Number","Percent","Text","URL"}, $B189))) &gt; 0,$B189 &amp; "(" &amp; $C189 &amp; ")",$B189)))), "  ", TRIM(IF($S189 = "YES", "(External ID)", "") &amp; " " &amp; IF(SUMPRODUCT(-- ISNUMBER(SEARCH({"Unique","Unique Case Insensitive"}, $R189))) &gt; 0, "(" &amp; $R189 &amp; ")", ""))))</f>
        <v>na</v>
      </c>
      <c r="E189" s="7" t="s">
        <v>195</v>
      </c>
      <c r="F189" s="7" t="s">
        <v>195</v>
      </c>
      <c r="G189" s="7" t="s">
        <v>195</v>
      </c>
      <c r="H189" s="7" t="s">
        <v>195</v>
      </c>
      <c r="I189" s="7" t="s">
        <v>195</v>
      </c>
      <c r="J189" s="7" t="s">
        <v>195</v>
      </c>
      <c r="K189" s="7" t="s">
        <v>195</v>
      </c>
      <c r="L189" s="7" t="s">
        <v>195</v>
      </c>
      <c r="M189" s="7" t="s">
        <v>29</v>
      </c>
      <c r="N189" s="7" t="s">
        <v>29</v>
      </c>
      <c r="O189" s="7" t="s">
        <v>29</v>
      </c>
      <c r="P189" s="7" t="s">
        <v>29</v>
      </c>
      <c r="Q189" s="7" t="s">
        <v>29</v>
      </c>
      <c r="R189" s="7" t="s">
        <v>29</v>
      </c>
      <c r="S189" s="7" t="s">
        <v>29</v>
      </c>
    </row>
    <row r="190" spans="2:19">
      <c r="B190" s="7" t="s">
        <v>195</v>
      </c>
      <c r="C190" s="8" t="s">
        <v>195</v>
      </c>
      <c r="D190" s="5" t="str">
        <f>LRTRIM(CONCATENATE(IF(SUMPRODUCT(-- ISNUMBER(SEARCH({"Auto Number"}, $B190))) &gt; 0, $B190, IF(SUMPRODUCT(-- ISNUMBER(SEARCH({"Lookup","Master-Detail"}, $B190))) &gt; 0,$B190 &amp; "(" &amp; $E190 &amp; ")",IF(SUMPRODUCT(-- ISNUMBER(SEARCH({"Formula","Roll-Up Summary"}, $B190))) &gt; 0,$B190 &amp; " (" &amp; $E190 &amp; ")",IF(SUMPRODUCT(-- ISNUMBER(SEARCH({"Content","Currency","Number","Percent","Text","URL"}, $B190))) &gt; 0,$B190 &amp; "(" &amp; $C190 &amp; ")",$B190)))), "  ", TRIM(IF($S190 = "YES", "(External ID)", "") &amp; " " &amp; IF(SUMPRODUCT(-- ISNUMBER(SEARCH({"Unique","Unique Case Insensitive"}, $R190))) &gt; 0, "(" &amp; $R190 &amp; ")", ""))))</f>
        <v>na</v>
      </c>
      <c r="E190" s="7" t="s">
        <v>195</v>
      </c>
      <c r="F190" s="7" t="s">
        <v>195</v>
      </c>
      <c r="G190" s="7" t="s">
        <v>195</v>
      </c>
      <c r="H190" s="7" t="s">
        <v>195</v>
      </c>
      <c r="I190" s="7" t="s">
        <v>195</v>
      </c>
      <c r="J190" s="7" t="s">
        <v>195</v>
      </c>
      <c r="K190" s="7" t="s">
        <v>195</v>
      </c>
      <c r="L190" s="7" t="s">
        <v>195</v>
      </c>
      <c r="M190" s="7" t="s">
        <v>29</v>
      </c>
      <c r="N190" s="7" t="s">
        <v>29</v>
      </c>
      <c r="O190" s="7" t="s">
        <v>29</v>
      </c>
      <c r="P190" s="7" t="s">
        <v>29</v>
      </c>
      <c r="Q190" s="7" t="s">
        <v>29</v>
      </c>
      <c r="R190" s="7" t="s">
        <v>29</v>
      </c>
      <c r="S190" s="7" t="s">
        <v>29</v>
      </c>
    </row>
    <row r="191" spans="2:19">
      <c r="B191" s="7" t="s">
        <v>195</v>
      </c>
      <c r="C191" s="8" t="s">
        <v>195</v>
      </c>
      <c r="D191" s="5" t="str">
        <f>LRTRIM(CONCATENATE(IF(SUMPRODUCT(-- ISNUMBER(SEARCH({"Auto Number"}, $B191))) &gt; 0, $B191, IF(SUMPRODUCT(-- ISNUMBER(SEARCH({"Lookup","Master-Detail"}, $B191))) &gt; 0,$B191 &amp; "(" &amp; $E191 &amp; ")",IF(SUMPRODUCT(-- ISNUMBER(SEARCH({"Formula","Roll-Up Summary"}, $B191))) &gt; 0,$B191 &amp; " (" &amp; $E191 &amp; ")",IF(SUMPRODUCT(-- ISNUMBER(SEARCH({"Content","Currency","Number","Percent","Text","URL"}, $B191))) &gt; 0,$B191 &amp; "(" &amp; $C191 &amp; ")",$B191)))), "  ", TRIM(IF($S191 = "YES", "(External ID)", "") &amp; " " &amp; IF(SUMPRODUCT(-- ISNUMBER(SEARCH({"Unique","Unique Case Insensitive"}, $R191))) &gt; 0, "(" &amp; $R191 &amp; ")", ""))))</f>
        <v>na</v>
      </c>
      <c r="E191" s="7" t="s">
        <v>195</v>
      </c>
      <c r="F191" s="7" t="s">
        <v>195</v>
      </c>
      <c r="G191" s="7" t="s">
        <v>195</v>
      </c>
      <c r="H191" s="7" t="s">
        <v>195</v>
      </c>
      <c r="I191" s="7" t="s">
        <v>195</v>
      </c>
      <c r="J191" s="7" t="s">
        <v>195</v>
      </c>
      <c r="K191" s="7" t="s">
        <v>195</v>
      </c>
      <c r="L191" s="7" t="s">
        <v>195</v>
      </c>
      <c r="M191" s="7" t="s">
        <v>29</v>
      </c>
      <c r="N191" s="7" t="s">
        <v>29</v>
      </c>
      <c r="O191" s="7" t="s">
        <v>29</v>
      </c>
      <c r="P191" s="7" t="s">
        <v>29</v>
      </c>
      <c r="Q191" s="7" t="s">
        <v>29</v>
      </c>
      <c r="R191" s="7" t="s">
        <v>29</v>
      </c>
      <c r="S191" s="7" t="s">
        <v>29</v>
      </c>
    </row>
    <row r="192" spans="2:19">
      <c r="B192" s="7" t="s">
        <v>195</v>
      </c>
      <c r="C192" s="8" t="s">
        <v>195</v>
      </c>
      <c r="D192" s="5" t="str">
        <f>LRTRIM(CONCATENATE(IF(SUMPRODUCT(-- ISNUMBER(SEARCH({"Auto Number"}, $B192))) &gt; 0, $B192, IF(SUMPRODUCT(-- ISNUMBER(SEARCH({"Lookup","Master-Detail"}, $B192))) &gt; 0,$B192 &amp; "(" &amp; $E192 &amp; ")",IF(SUMPRODUCT(-- ISNUMBER(SEARCH({"Formula","Roll-Up Summary"}, $B192))) &gt; 0,$B192 &amp; " (" &amp; $E192 &amp; ")",IF(SUMPRODUCT(-- ISNUMBER(SEARCH({"Content","Currency","Number","Percent","Text","URL"}, $B192))) &gt; 0,$B192 &amp; "(" &amp; $C192 &amp; ")",$B192)))), "  ", TRIM(IF($S192 = "YES", "(External ID)", "") &amp; " " &amp; IF(SUMPRODUCT(-- ISNUMBER(SEARCH({"Unique","Unique Case Insensitive"}, $R192))) &gt; 0, "(" &amp; $R192 &amp; ")", ""))))</f>
        <v>na</v>
      </c>
      <c r="E192" s="7" t="s">
        <v>195</v>
      </c>
      <c r="F192" s="7" t="s">
        <v>195</v>
      </c>
      <c r="G192" s="7" t="s">
        <v>195</v>
      </c>
      <c r="H192" s="7" t="s">
        <v>195</v>
      </c>
      <c r="I192" s="7" t="s">
        <v>195</v>
      </c>
      <c r="J192" s="7" t="s">
        <v>195</v>
      </c>
      <c r="K192" s="7" t="s">
        <v>195</v>
      </c>
      <c r="L192" s="7" t="s">
        <v>195</v>
      </c>
      <c r="M192" s="7" t="s">
        <v>29</v>
      </c>
      <c r="N192" s="7" t="s">
        <v>29</v>
      </c>
      <c r="O192" s="7" t="s">
        <v>29</v>
      </c>
      <c r="P192" s="7" t="s">
        <v>29</v>
      </c>
      <c r="Q192" s="7" t="s">
        <v>29</v>
      </c>
      <c r="R192" s="7" t="s">
        <v>29</v>
      </c>
      <c r="S192" s="7" t="s">
        <v>29</v>
      </c>
    </row>
    <row r="193" spans="2:19">
      <c r="B193" s="7" t="s">
        <v>195</v>
      </c>
      <c r="C193" s="8" t="s">
        <v>195</v>
      </c>
      <c r="D193" s="5" t="str">
        <f>LRTRIM(CONCATENATE(IF(SUMPRODUCT(-- ISNUMBER(SEARCH({"Auto Number"}, $B193))) &gt; 0, $B193, IF(SUMPRODUCT(-- ISNUMBER(SEARCH({"Lookup","Master-Detail"}, $B193))) &gt; 0,$B193 &amp; "(" &amp; $E193 &amp; ")",IF(SUMPRODUCT(-- ISNUMBER(SEARCH({"Formula","Roll-Up Summary"}, $B193))) &gt; 0,$B193 &amp; " (" &amp; $E193 &amp; ")",IF(SUMPRODUCT(-- ISNUMBER(SEARCH({"Content","Currency","Number","Percent","Text","URL"}, $B193))) &gt; 0,$B193 &amp; "(" &amp; $C193 &amp; ")",$B193)))), "  ", TRIM(IF($S193 = "YES", "(External ID)", "") &amp; " " &amp; IF(SUMPRODUCT(-- ISNUMBER(SEARCH({"Unique","Unique Case Insensitive"}, $R193))) &gt; 0, "(" &amp; $R193 &amp; ")", ""))))</f>
        <v>na</v>
      </c>
      <c r="E193" s="7" t="s">
        <v>195</v>
      </c>
      <c r="F193" s="7" t="s">
        <v>195</v>
      </c>
      <c r="G193" s="7" t="s">
        <v>195</v>
      </c>
      <c r="H193" s="7" t="s">
        <v>195</v>
      </c>
      <c r="I193" s="7" t="s">
        <v>195</v>
      </c>
      <c r="J193" s="7" t="s">
        <v>195</v>
      </c>
      <c r="K193" s="7" t="s">
        <v>195</v>
      </c>
      <c r="L193" s="7" t="s">
        <v>195</v>
      </c>
      <c r="M193" s="7" t="s">
        <v>29</v>
      </c>
      <c r="N193" s="7" t="s">
        <v>29</v>
      </c>
      <c r="O193" s="7" t="s">
        <v>29</v>
      </c>
      <c r="P193" s="7" t="s">
        <v>29</v>
      </c>
      <c r="Q193" s="7" t="s">
        <v>29</v>
      </c>
      <c r="R193" s="7" t="s">
        <v>29</v>
      </c>
      <c r="S193" s="7" t="s">
        <v>29</v>
      </c>
    </row>
    <row r="194" spans="2:19">
      <c r="B194" s="7" t="s">
        <v>195</v>
      </c>
      <c r="C194" s="8" t="s">
        <v>195</v>
      </c>
      <c r="D194" s="5" t="str">
        <f>LRTRIM(CONCATENATE(IF(SUMPRODUCT(-- ISNUMBER(SEARCH({"Auto Number"}, $B194))) &gt; 0, $B194, IF(SUMPRODUCT(-- ISNUMBER(SEARCH({"Lookup","Master-Detail"}, $B194))) &gt; 0,$B194 &amp; "(" &amp; $E194 &amp; ")",IF(SUMPRODUCT(-- ISNUMBER(SEARCH({"Formula","Roll-Up Summary"}, $B194))) &gt; 0,$B194 &amp; " (" &amp; $E194 &amp; ")",IF(SUMPRODUCT(-- ISNUMBER(SEARCH({"Content","Currency","Number","Percent","Text","URL"}, $B194))) &gt; 0,$B194 &amp; "(" &amp; $C194 &amp; ")",$B194)))), "  ", TRIM(IF($S194 = "YES", "(External ID)", "") &amp; " " &amp; IF(SUMPRODUCT(-- ISNUMBER(SEARCH({"Unique","Unique Case Insensitive"}, $R194))) &gt; 0, "(" &amp; $R194 &amp; ")", ""))))</f>
        <v>na</v>
      </c>
      <c r="E194" s="7" t="s">
        <v>195</v>
      </c>
      <c r="F194" s="7" t="s">
        <v>195</v>
      </c>
      <c r="G194" s="7" t="s">
        <v>195</v>
      </c>
      <c r="H194" s="7" t="s">
        <v>195</v>
      </c>
      <c r="I194" s="7" t="s">
        <v>195</v>
      </c>
      <c r="J194" s="7" t="s">
        <v>195</v>
      </c>
      <c r="K194" s="7" t="s">
        <v>195</v>
      </c>
      <c r="L194" s="7" t="s">
        <v>195</v>
      </c>
      <c r="M194" s="7" t="s">
        <v>29</v>
      </c>
      <c r="N194" s="7" t="s">
        <v>29</v>
      </c>
      <c r="O194" s="7" t="s">
        <v>29</v>
      </c>
      <c r="P194" s="7" t="s">
        <v>29</v>
      </c>
      <c r="Q194" s="7" t="s">
        <v>29</v>
      </c>
      <c r="R194" s="7" t="s">
        <v>29</v>
      </c>
      <c r="S194" s="7" t="s">
        <v>29</v>
      </c>
    </row>
    <row r="195" spans="2:19">
      <c r="B195" s="7" t="s">
        <v>195</v>
      </c>
      <c r="C195" s="8" t="s">
        <v>195</v>
      </c>
      <c r="D195" s="5" t="str">
        <f>LRTRIM(CONCATENATE(IF(SUMPRODUCT(-- ISNUMBER(SEARCH({"Auto Number"}, $B195))) &gt; 0, $B195, IF(SUMPRODUCT(-- ISNUMBER(SEARCH({"Lookup","Master-Detail"}, $B195))) &gt; 0,$B195 &amp; "(" &amp; $E195 &amp; ")",IF(SUMPRODUCT(-- ISNUMBER(SEARCH({"Formula","Roll-Up Summary"}, $B195))) &gt; 0,$B195 &amp; " (" &amp; $E195 &amp; ")",IF(SUMPRODUCT(-- ISNUMBER(SEARCH({"Content","Currency","Number","Percent","Text","URL"}, $B195))) &gt; 0,$B195 &amp; "(" &amp; $C195 &amp; ")",$B195)))), "  ", TRIM(IF($S195 = "YES", "(External ID)", "") &amp; " " &amp; IF(SUMPRODUCT(-- ISNUMBER(SEARCH({"Unique","Unique Case Insensitive"}, $R195))) &gt; 0, "(" &amp; $R195 &amp; ")", ""))))</f>
        <v>na</v>
      </c>
      <c r="E195" s="7" t="s">
        <v>195</v>
      </c>
      <c r="F195" s="7" t="s">
        <v>195</v>
      </c>
      <c r="G195" s="7" t="s">
        <v>195</v>
      </c>
      <c r="H195" s="7" t="s">
        <v>195</v>
      </c>
      <c r="I195" s="7" t="s">
        <v>195</v>
      </c>
      <c r="J195" s="7" t="s">
        <v>195</v>
      </c>
      <c r="K195" s="7" t="s">
        <v>195</v>
      </c>
      <c r="L195" s="7" t="s">
        <v>195</v>
      </c>
      <c r="M195" s="7" t="s">
        <v>29</v>
      </c>
      <c r="N195" s="7" t="s">
        <v>29</v>
      </c>
      <c r="O195" s="7" t="s">
        <v>29</v>
      </c>
      <c r="P195" s="7" t="s">
        <v>29</v>
      </c>
      <c r="Q195" s="7" t="s">
        <v>29</v>
      </c>
      <c r="R195" s="7" t="s">
        <v>29</v>
      </c>
      <c r="S195" s="7" t="s">
        <v>29</v>
      </c>
    </row>
    <row r="196" spans="2:19">
      <c r="B196" s="7" t="s">
        <v>195</v>
      </c>
      <c r="C196" s="8" t="s">
        <v>195</v>
      </c>
      <c r="D196" s="5" t="str">
        <f>LRTRIM(CONCATENATE(IF(SUMPRODUCT(-- ISNUMBER(SEARCH({"Auto Number"}, $B196))) &gt; 0, $B196, IF(SUMPRODUCT(-- ISNUMBER(SEARCH({"Lookup","Master-Detail"}, $B196))) &gt; 0,$B196 &amp; "(" &amp; $E196 &amp; ")",IF(SUMPRODUCT(-- ISNUMBER(SEARCH({"Formula","Roll-Up Summary"}, $B196))) &gt; 0,$B196 &amp; " (" &amp; $E196 &amp; ")",IF(SUMPRODUCT(-- ISNUMBER(SEARCH({"Content","Currency","Number","Percent","Text","URL"}, $B196))) &gt; 0,$B196 &amp; "(" &amp; $C196 &amp; ")",$B196)))), "  ", TRIM(IF($S196 = "YES", "(External ID)", "") &amp; " " &amp; IF(SUMPRODUCT(-- ISNUMBER(SEARCH({"Unique","Unique Case Insensitive"}, $R196))) &gt; 0, "(" &amp; $R196 &amp; ")", ""))))</f>
        <v>na</v>
      </c>
      <c r="E196" s="7" t="s">
        <v>195</v>
      </c>
      <c r="F196" s="7" t="s">
        <v>195</v>
      </c>
      <c r="G196" s="7" t="s">
        <v>195</v>
      </c>
      <c r="H196" s="7" t="s">
        <v>195</v>
      </c>
      <c r="I196" s="7" t="s">
        <v>195</v>
      </c>
      <c r="J196" s="7" t="s">
        <v>195</v>
      </c>
      <c r="K196" s="7" t="s">
        <v>195</v>
      </c>
      <c r="L196" s="7" t="s">
        <v>195</v>
      </c>
      <c r="M196" s="7" t="s">
        <v>29</v>
      </c>
      <c r="N196" s="7" t="s">
        <v>29</v>
      </c>
      <c r="O196" s="7" t="s">
        <v>29</v>
      </c>
      <c r="P196" s="7" t="s">
        <v>29</v>
      </c>
      <c r="Q196" s="7" t="s">
        <v>29</v>
      </c>
      <c r="R196" s="7" t="s">
        <v>29</v>
      </c>
      <c r="S196" s="7" t="s">
        <v>29</v>
      </c>
    </row>
    <row r="197" spans="2:19">
      <c r="B197" s="7" t="s">
        <v>195</v>
      </c>
      <c r="C197" s="8" t="s">
        <v>195</v>
      </c>
      <c r="D197" s="5" t="str">
        <f>LRTRIM(CONCATENATE(IF(SUMPRODUCT(-- ISNUMBER(SEARCH({"Auto Number"}, $B197))) &gt; 0, $B197, IF(SUMPRODUCT(-- ISNUMBER(SEARCH({"Lookup","Master-Detail"}, $B197))) &gt; 0,$B197 &amp; "(" &amp; $E197 &amp; ")",IF(SUMPRODUCT(-- ISNUMBER(SEARCH({"Formula","Roll-Up Summary"}, $B197))) &gt; 0,$B197 &amp; " (" &amp; $E197 &amp; ")",IF(SUMPRODUCT(-- ISNUMBER(SEARCH({"Content","Currency","Number","Percent","Text","URL"}, $B197))) &gt; 0,$B197 &amp; "(" &amp; $C197 &amp; ")",$B197)))), "  ", TRIM(IF($S197 = "YES", "(External ID)", "") &amp; " " &amp; IF(SUMPRODUCT(-- ISNUMBER(SEARCH({"Unique","Unique Case Insensitive"}, $R197))) &gt; 0, "(" &amp; $R197 &amp; ")", ""))))</f>
        <v>na</v>
      </c>
      <c r="E197" s="7" t="s">
        <v>195</v>
      </c>
      <c r="F197" s="7" t="s">
        <v>195</v>
      </c>
      <c r="G197" s="7" t="s">
        <v>195</v>
      </c>
      <c r="H197" s="7" t="s">
        <v>195</v>
      </c>
      <c r="I197" s="7" t="s">
        <v>195</v>
      </c>
      <c r="J197" s="7" t="s">
        <v>195</v>
      </c>
      <c r="K197" s="7" t="s">
        <v>195</v>
      </c>
      <c r="L197" s="7" t="s">
        <v>195</v>
      </c>
      <c r="M197" s="7" t="s">
        <v>29</v>
      </c>
      <c r="N197" s="7" t="s">
        <v>29</v>
      </c>
      <c r="O197" s="7" t="s">
        <v>29</v>
      </c>
      <c r="P197" s="7" t="s">
        <v>29</v>
      </c>
      <c r="Q197" s="7" t="s">
        <v>29</v>
      </c>
      <c r="R197" s="7" t="s">
        <v>29</v>
      </c>
      <c r="S197" s="7" t="s">
        <v>29</v>
      </c>
    </row>
    <row r="198" spans="2:19">
      <c r="B198" s="7" t="s">
        <v>195</v>
      </c>
      <c r="C198" s="8" t="s">
        <v>195</v>
      </c>
      <c r="D198" s="5" t="str">
        <f>LRTRIM(CONCATENATE(IF(SUMPRODUCT(-- ISNUMBER(SEARCH({"Auto Number"}, $B198))) &gt; 0, $B198, IF(SUMPRODUCT(-- ISNUMBER(SEARCH({"Lookup","Master-Detail"}, $B198))) &gt; 0,$B198 &amp; "(" &amp; $E198 &amp; ")",IF(SUMPRODUCT(-- ISNUMBER(SEARCH({"Formula","Roll-Up Summary"}, $B198))) &gt; 0,$B198 &amp; " (" &amp; $E198 &amp; ")",IF(SUMPRODUCT(-- ISNUMBER(SEARCH({"Content","Currency","Number","Percent","Text","URL"}, $B198))) &gt; 0,$B198 &amp; "(" &amp; $C198 &amp; ")",$B198)))), "  ", TRIM(IF($S198 = "YES", "(External ID)", "") &amp; " " &amp; IF(SUMPRODUCT(-- ISNUMBER(SEARCH({"Unique","Unique Case Insensitive"}, $R198))) &gt; 0, "(" &amp; $R198 &amp; ")", ""))))</f>
        <v>na</v>
      </c>
      <c r="E198" s="7" t="s">
        <v>195</v>
      </c>
      <c r="F198" s="7" t="s">
        <v>195</v>
      </c>
      <c r="G198" s="7" t="s">
        <v>195</v>
      </c>
      <c r="H198" s="7" t="s">
        <v>195</v>
      </c>
      <c r="I198" s="7" t="s">
        <v>195</v>
      </c>
      <c r="J198" s="7" t="s">
        <v>195</v>
      </c>
      <c r="K198" s="7" t="s">
        <v>195</v>
      </c>
      <c r="L198" s="7" t="s">
        <v>195</v>
      </c>
      <c r="M198" s="7" t="s">
        <v>29</v>
      </c>
      <c r="N198" s="7" t="s">
        <v>29</v>
      </c>
      <c r="O198" s="7" t="s">
        <v>29</v>
      </c>
      <c r="P198" s="7" t="s">
        <v>29</v>
      </c>
      <c r="Q198" s="7" t="s">
        <v>29</v>
      </c>
      <c r="R198" s="7" t="s">
        <v>29</v>
      </c>
      <c r="S198" s="7" t="s">
        <v>29</v>
      </c>
    </row>
    <row r="199" spans="2:19">
      <c r="B199" s="7" t="s">
        <v>195</v>
      </c>
      <c r="C199" s="8" t="s">
        <v>195</v>
      </c>
      <c r="D199" s="5" t="str">
        <f>LRTRIM(CONCATENATE(IF(SUMPRODUCT(-- ISNUMBER(SEARCH({"Auto Number"}, $B199))) &gt; 0, $B199, IF(SUMPRODUCT(-- ISNUMBER(SEARCH({"Lookup","Master-Detail"}, $B199))) &gt; 0,$B199 &amp; "(" &amp; $E199 &amp; ")",IF(SUMPRODUCT(-- ISNUMBER(SEARCH({"Formula","Roll-Up Summary"}, $B199))) &gt; 0,$B199 &amp; " (" &amp; $E199 &amp; ")",IF(SUMPRODUCT(-- ISNUMBER(SEARCH({"Content","Currency","Number","Percent","Text","URL"}, $B199))) &gt; 0,$B199 &amp; "(" &amp; $C199 &amp; ")",$B199)))), "  ", TRIM(IF($S199 = "YES", "(External ID)", "") &amp; " " &amp; IF(SUMPRODUCT(-- ISNUMBER(SEARCH({"Unique","Unique Case Insensitive"}, $R199))) &gt; 0, "(" &amp; $R199 &amp; ")", ""))))</f>
        <v>na</v>
      </c>
      <c r="E199" s="7" t="s">
        <v>195</v>
      </c>
      <c r="F199" s="7" t="s">
        <v>195</v>
      </c>
      <c r="G199" s="7" t="s">
        <v>195</v>
      </c>
      <c r="H199" s="7" t="s">
        <v>195</v>
      </c>
      <c r="I199" s="7" t="s">
        <v>195</v>
      </c>
      <c r="J199" s="7" t="s">
        <v>195</v>
      </c>
      <c r="K199" s="7" t="s">
        <v>195</v>
      </c>
      <c r="L199" s="7" t="s">
        <v>195</v>
      </c>
      <c r="M199" s="7" t="s">
        <v>29</v>
      </c>
      <c r="N199" s="7" t="s">
        <v>29</v>
      </c>
      <c r="O199" s="7" t="s">
        <v>29</v>
      </c>
      <c r="P199" s="7" t="s">
        <v>29</v>
      </c>
      <c r="Q199" s="7" t="s">
        <v>29</v>
      </c>
      <c r="R199" s="7" t="s">
        <v>29</v>
      </c>
      <c r="S199" s="7" t="s">
        <v>29</v>
      </c>
    </row>
    <row r="200" spans="2:19">
      <c r="B200" s="7" t="s">
        <v>195</v>
      </c>
      <c r="C200" s="8" t="s">
        <v>195</v>
      </c>
      <c r="D200" s="5" t="str">
        <f>LRTRIM(CONCATENATE(IF(SUMPRODUCT(-- ISNUMBER(SEARCH({"Auto Number"}, $B200))) &gt; 0, $B200, IF(SUMPRODUCT(-- ISNUMBER(SEARCH({"Lookup","Master-Detail"}, $B200))) &gt; 0,$B200 &amp; "(" &amp; $E200 &amp; ")",IF(SUMPRODUCT(-- ISNUMBER(SEARCH({"Formula","Roll-Up Summary"}, $B200))) &gt; 0,$B200 &amp; " (" &amp; $E200 &amp; ")",IF(SUMPRODUCT(-- ISNUMBER(SEARCH({"Content","Currency","Number","Percent","Text","URL"}, $B200))) &gt; 0,$B200 &amp; "(" &amp; $C200 &amp; ")",$B200)))), "  ", TRIM(IF($S200 = "YES", "(External ID)", "") &amp; " " &amp; IF(SUMPRODUCT(-- ISNUMBER(SEARCH({"Unique","Unique Case Insensitive"}, $R200))) &gt; 0, "(" &amp; $R200 &amp; ")", ""))))</f>
        <v>na</v>
      </c>
      <c r="E200" s="7" t="s">
        <v>195</v>
      </c>
      <c r="F200" s="7" t="s">
        <v>195</v>
      </c>
      <c r="G200" s="7" t="s">
        <v>195</v>
      </c>
      <c r="H200" s="7" t="s">
        <v>195</v>
      </c>
      <c r="I200" s="7" t="s">
        <v>195</v>
      </c>
      <c r="J200" s="7" t="s">
        <v>195</v>
      </c>
      <c r="K200" s="7" t="s">
        <v>195</v>
      </c>
      <c r="L200" s="7" t="s">
        <v>195</v>
      </c>
      <c r="M200" s="7" t="s">
        <v>29</v>
      </c>
      <c r="N200" s="7" t="s">
        <v>29</v>
      </c>
      <c r="O200" s="7" t="s">
        <v>29</v>
      </c>
      <c r="P200" s="7" t="s">
        <v>29</v>
      </c>
      <c r="Q200" s="7" t="s">
        <v>29</v>
      </c>
      <c r="R200" s="7" t="s">
        <v>29</v>
      </c>
      <c r="S200" s="7" t="s">
        <v>29</v>
      </c>
    </row>
  </sheetData>
  <sheetProtection formatCells="0" formatColumns="0" formatRows="0" insertColumns="0" insertRows="0" insertHyperlinks="0" deleteColumns="0" deleteRows="0" sort="0" autoFilter="0" pivotTables="0"/>
  <conditionalFormatting sqref="D2:D53">
    <cfRule type="expression" dxfId="96" priority="3">
      <formula>NOT(_xlfn.ISFORMULA($D2))</formula>
    </cfRule>
  </conditionalFormatting>
  <conditionalFormatting sqref="D54">
    <cfRule type="expression" dxfId="95" priority="2">
      <formula>NOT(_xlfn.ISFORMULA($D54))</formula>
    </cfRule>
  </conditionalFormatting>
  <conditionalFormatting sqref="D55:D200">
    <cfRule type="expression" dxfId="94" priority="1">
      <formula>NOT(_xlfn.ISFORMULA($D55))</formula>
    </cfRule>
  </conditionalFormatting>
  <dataValidations count="1">
    <dataValidation allowBlank="1" showInputMessage="1" showErrorMessage="1" sqref="A2:A53"/>
  </dataValidations>
  <pageMargins left="0.7" right="0.7" top="0.75" bottom="0.75" header="0.3" footer="0.3"/>
  <extLst>
    <ext xmlns:x14="http://schemas.microsoft.com/office/spreadsheetml/2009/9/main" uri="{CCE6A557-97BC-4b89-ADB6-D9C93CAAB3DF}">
      <x14:dataValidations xmlns:xm="http://schemas.microsoft.com/office/excel/2006/main" count="10">
        <x14:dataValidation type="list" allowBlank="1" showInputMessage="1" showErrorMessage="1">
          <x14:formula1>
            <xm:f>OFFSET('Reference Fields'!$K$2,0,0,COUNTA('Reference Fields'!$K:$K)-1)</xm:f>
          </x14:formula1>
          <xm:sqref>R2:R200</xm:sqref>
        </x14:dataValidation>
        <x14:dataValidation type="list" allowBlank="1" showInputMessage="1" showErrorMessage="1">
          <x14:formula1>
            <xm:f>OFFSET('Reference Fields'!$J$2,0,0,COUNTA('Reference Fields'!$J:$J)-1)</xm:f>
          </x14:formula1>
          <xm:sqref>S2:S200</xm:sqref>
        </x14:dataValidation>
        <x14:dataValidation type="list" allowBlank="1" showInputMessage="1" showErrorMessage="1">
          <x14:formula1>
            <xm:f>OFFSET('Reference Fields'!$J$2,0,0,COUNTA('Reference Fields'!$J:$J)-1)</xm:f>
          </x14:formula1>
          <xm:sqref>M2:Q200</xm:sqref>
        </x14:dataValidation>
        <x14:dataValidation type="list" allowBlank="1" showInputMessage="1" showErrorMessage="1">
          <x14:formula1>
            <xm:f>OFFSET('Reference Fields'!$B$2,0,0,COUNTA('Reference Fields'!$B:$B)-1)</xm:f>
          </x14:formula1>
          <xm:sqref>B2:B200</xm:sqref>
        </x14:dataValidation>
        <x14:dataValidation type="list" allowBlank="1" showInputMessage="1" showErrorMessage="1">
          <x14:formula1>
            <xm:f>OFFSET('Reference Fields'!$D$2,0,0,COUNTA('Reference Fields'!$D:$D)-1)</xm:f>
          </x14:formula1>
          <xm:sqref>F2:F200</xm:sqref>
        </x14:dataValidation>
        <x14:dataValidation type="list" allowBlank="1" showInputMessage="1" showErrorMessage="1">
          <x14:formula1>
            <xm:f>OFFSET('Reference Fields'!$E$2,0,0,COUNTA('Reference Fields'!$E:$E)-1)</xm:f>
          </x14:formula1>
          <xm:sqref>G2:G200</xm:sqref>
        </x14:dataValidation>
        <x14:dataValidation type="list" allowBlank="1" showInputMessage="1" showErrorMessage="1">
          <x14:formula1>
            <xm:f>OFFSET('Reference Fields'!$F$2,0,0,COUNTA('Reference Fields'!$F:$F)-1)</xm:f>
          </x14:formula1>
          <xm:sqref>H2:I200</xm:sqref>
        </x14:dataValidation>
        <x14:dataValidation type="list" allowBlank="1" showInputMessage="1" showErrorMessage="1">
          <x14:formula1>
            <xm:f>OFFSET('Reference Fields'!$G$2,0,0,COUNTA('Reference Fields'!$G:$G)-1)</xm:f>
          </x14:formula1>
          <xm:sqref>J2:J200</xm:sqref>
        </x14:dataValidation>
        <x14:dataValidation type="list" allowBlank="1" showInputMessage="1" showErrorMessage="1">
          <x14:formula1>
            <xm:f>OFFSET('Reference Fields'!$H$2,0,0,COUNTA('Reference Fields'!$H:$H)-1)</xm:f>
          </x14:formula1>
          <xm:sqref>K2:K200</xm:sqref>
        </x14:dataValidation>
        <x14:dataValidation type="list" allowBlank="1" showInputMessage="1" showErrorMessage="1">
          <x14:formula1>
            <xm:f>OFFSET('Reference Fields'!$I$2,0,0,COUNTA('Reference Fields'!$I:$I)-1)</xm:f>
          </x14:formula1>
          <xm:sqref>L2:L200</xm:sqref>
        </x14:dataValidation>
      </x14:dataValidations>
    </ext>
  </extLst>
</worksheet>
</file>

<file path=xl/worksheets/sheet8.xml><?xml version="1.0" encoding="utf-8"?>
<worksheet xmlns="http://schemas.openxmlformats.org/spreadsheetml/2006/main" xmlns:r="http://schemas.openxmlformats.org/officeDocument/2006/relationships">
  <sheetPr codeName="Sheet28"/>
  <dimension ref="A1:S200"/>
  <sheetViews>
    <sheetView workbookViewId="0">
      <selection activeCell="A2" sqref="A2"/>
    </sheetView>
  </sheetViews>
  <sheetFormatPr defaultRowHeight="14.5"/>
  <cols>
    <col min="1" max="1" width="19.81640625" bestFit="1" customWidth="1"/>
    <col min="4" max="4" width="31.54296875" bestFit="1" customWidth="1"/>
  </cols>
  <sheetData>
    <row r="1" spans="1:19">
      <c r="A1" s="1" t="s">
        <v>2</v>
      </c>
      <c r="B1" s="1" t="s">
        <v>1198</v>
      </c>
      <c r="C1" s="1" t="s">
        <v>1199</v>
      </c>
      <c r="D1" s="1" t="s">
        <v>0</v>
      </c>
      <c r="E1" s="1" t="s">
        <v>1</v>
      </c>
      <c r="F1" s="1" t="s">
        <v>30</v>
      </c>
      <c r="G1" s="1" t="s">
        <v>31</v>
      </c>
      <c r="H1" s="1" t="s">
        <v>1262</v>
      </c>
      <c r="I1" s="1" t="s">
        <v>49</v>
      </c>
      <c r="J1" s="1" t="s">
        <v>48</v>
      </c>
      <c r="K1" s="1" t="s">
        <v>54</v>
      </c>
      <c r="L1" s="1" t="s">
        <v>55</v>
      </c>
      <c r="M1" s="1" t="s">
        <v>27</v>
      </c>
      <c r="N1" s="1" t="s">
        <v>175</v>
      </c>
      <c r="O1" s="1" t="s">
        <v>193</v>
      </c>
      <c r="P1" s="1" t="s">
        <v>1221</v>
      </c>
      <c r="Q1" s="1" t="s">
        <v>1264</v>
      </c>
      <c r="R1" s="1" t="s">
        <v>1263</v>
      </c>
      <c r="S1" s="1" t="s">
        <v>1265</v>
      </c>
    </row>
    <row r="2" spans="1:19">
      <c r="A2" s="7" t="s">
        <v>1300</v>
      </c>
      <c r="B2" s="9" t="s">
        <v>1212</v>
      </c>
      <c r="C2" s="7">
        <v>0</v>
      </c>
      <c r="D2" s="5" t="str">
        <f>LRTRIM(CONCATENATE(IF(SUMPRODUCT(-- ISNUMBER(SEARCH({"Auto Number"}, $B2))) &gt; 0, $B2, IF(SUMPRODUCT(-- ISNUMBER(SEARCH({"Lookup","Master-Detail"}, $B2))) &gt; 0,$B2 &amp; "(" &amp; $E2 &amp; ")",IF(SUMPRODUCT(-- ISNUMBER(SEARCH({"Formula","Roll-Up Summary"}, $B2))) &gt; 0,$B2 &amp; " (" &amp; $E2 &amp; ")",IF(SUMPRODUCT(-- ISNUMBER(SEARCH({"Content","Currency","Number","Percent","Text","URL"}, $B2))) &gt; 0,$B2 &amp; "(" &amp; $C2 &amp; ")",$B2)))), "  ", TRIM(IF($S2 = "YES", "(External ID)", "") &amp; " " &amp; IF(SUMPRODUCT(-- ISNUMBER(SEARCH({"Unique","Unique Case Insensitive"}, $R2))) &gt; 0, "(" &amp; $R2 &amp; ")", ""))))</f>
        <v>Master-Detail(Campaign Event Slot)</v>
      </c>
      <c r="E2" s="7" t="s">
        <v>1301</v>
      </c>
      <c r="F2" s="7" t="s">
        <v>1301</v>
      </c>
      <c r="G2" s="7" t="s">
        <v>1311</v>
      </c>
      <c r="H2" s="7" t="s">
        <v>195</v>
      </c>
      <c r="I2" s="7" t="s">
        <v>195</v>
      </c>
      <c r="J2" s="7" t="s">
        <v>195</v>
      </c>
      <c r="K2" s="7" t="s">
        <v>195</v>
      </c>
      <c r="L2" s="7" t="s">
        <v>195</v>
      </c>
      <c r="M2" s="7" t="s">
        <v>28</v>
      </c>
      <c r="N2" s="7" t="s">
        <v>29</v>
      </c>
      <c r="O2" s="7" t="s">
        <v>29</v>
      </c>
      <c r="P2" s="7" t="s">
        <v>29</v>
      </c>
      <c r="Q2" s="7" t="s">
        <v>29</v>
      </c>
      <c r="R2" s="7" t="s">
        <v>29</v>
      </c>
      <c r="S2" s="7" t="s">
        <v>29</v>
      </c>
    </row>
    <row r="3" spans="1:19">
      <c r="A3" s="7" t="s">
        <v>1302</v>
      </c>
      <c r="B3" s="9" t="s">
        <v>1213</v>
      </c>
      <c r="C3" s="7" t="s">
        <v>1305</v>
      </c>
      <c r="D3" s="5" t="str">
        <f>LRTRIM(CONCATENATE(IF(SUMPRODUCT(-- ISNUMBER(SEARCH({"Auto Number"}, $B3))) &gt; 0, $B3, IF(SUMPRODUCT(-- ISNUMBER(SEARCH({"Lookup","Master-Detail"}, $B3))) &gt; 0,$B3 &amp; "(" &amp; $E3 &amp; ")",IF(SUMPRODUCT(-- ISNUMBER(SEARCH({"Formula","Roll-Up Summary"}, $B3))) &gt; 0,$B3 &amp; " (" &amp; $E3 &amp; ")",IF(SUMPRODUCT(-- ISNUMBER(SEARCH({"Content","Currency","Number","Percent","Text","URL"}, $B3))) &gt; 0,$B3 &amp; "(" &amp; $C3 &amp; ")",$B3)))), "  ", TRIM(IF($S3 = "YES", "(External ID)", "") &amp; " " &amp; IF(SUMPRODUCT(-- ISNUMBER(SEARCH({"Unique","Unique Case Insensitive"}, $R3))) &gt; 0, "(" &amp; $R3 &amp; ")", ""))))</f>
        <v>Number(5, 0)</v>
      </c>
      <c r="E3" s="7" t="s">
        <v>195</v>
      </c>
      <c r="F3" s="7" t="s">
        <v>1307</v>
      </c>
      <c r="G3" s="7" t="s">
        <v>1310</v>
      </c>
      <c r="H3" s="7" t="s">
        <v>195</v>
      </c>
      <c r="I3" s="7" t="s">
        <v>195</v>
      </c>
      <c r="J3" s="7" t="s">
        <v>195</v>
      </c>
      <c r="K3" s="7" t="s">
        <v>195</v>
      </c>
      <c r="L3" s="7" t="s">
        <v>195</v>
      </c>
      <c r="M3" s="7" t="s">
        <v>29</v>
      </c>
      <c r="N3" s="7" t="s">
        <v>29</v>
      </c>
      <c r="O3" s="7" t="s">
        <v>29</v>
      </c>
      <c r="P3" s="7" t="s">
        <v>29</v>
      </c>
      <c r="Q3" s="7" t="s">
        <v>29</v>
      </c>
      <c r="R3" s="7" t="s">
        <v>29</v>
      </c>
      <c r="S3" s="7" t="s">
        <v>29</v>
      </c>
    </row>
    <row r="4" spans="1:19">
      <c r="A4" s="7" t="s">
        <v>1303</v>
      </c>
      <c r="B4" s="9" t="s">
        <v>1306</v>
      </c>
      <c r="C4" s="7">
        <v>255</v>
      </c>
      <c r="D4" s="5" t="str">
        <f>LRTRIM(CONCATENATE(IF(SUMPRODUCT(-- ISNUMBER(SEARCH({"Auto Number"}, $B4))) &gt; 0, $B4, IF(SUMPRODUCT(-- ISNUMBER(SEARCH({"Lookup","Master-Detail"}, $B4))) &gt; 0,$B4 &amp; "(" &amp; $E4 &amp; ")",IF(SUMPRODUCT(-- ISNUMBER(SEARCH({"Formula","Roll-Up Summary"}, $B4))) &gt; 0,$B4 &amp; " (" &amp; $E4 &amp; ")",IF(SUMPRODUCT(-- ISNUMBER(SEARCH({"Content","Currency","Number","Percent","Text","URL"}, $B4))) &gt; 0,$B4 &amp; "(" &amp; $C4 &amp; ")",$B4)))), "  ", TRIM(IF($S4 = "YES", "(External ID)", "") &amp; " " &amp; IF(SUMPRODUCT(-- ISNUMBER(SEARCH({"Unique","Unique Case Insensitive"}, $R4))) &gt; 0, "(" &amp; $R4 &amp; ")", ""))))</f>
        <v>Text Area(255)</v>
      </c>
      <c r="E4" s="7" t="s">
        <v>195</v>
      </c>
      <c r="F4" s="7" t="s">
        <v>1308</v>
      </c>
      <c r="G4" s="7" t="s">
        <v>931</v>
      </c>
      <c r="H4" s="7" t="s">
        <v>195</v>
      </c>
      <c r="I4" s="7" t="s">
        <v>195</v>
      </c>
      <c r="J4" s="7" t="s">
        <v>195</v>
      </c>
      <c r="K4" s="7" t="s">
        <v>195</v>
      </c>
      <c r="L4" s="7" t="s">
        <v>195</v>
      </c>
      <c r="M4" s="7" t="s">
        <v>29</v>
      </c>
      <c r="N4" s="7" t="s">
        <v>29</v>
      </c>
      <c r="O4" s="7" t="s">
        <v>29</v>
      </c>
      <c r="P4" s="7" t="s">
        <v>29</v>
      </c>
      <c r="Q4" s="7" t="s">
        <v>29</v>
      </c>
      <c r="R4" s="7" t="s">
        <v>29</v>
      </c>
      <c r="S4" s="7" t="s">
        <v>29</v>
      </c>
    </row>
    <row r="5" spans="1:19">
      <c r="A5" s="7" t="s">
        <v>1304</v>
      </c>
      <c r="B5" s="9" t="s">
        <v>1218</v>
      </c>
      <c r="C5" s="7">
        <v>100</v>
      </c>
      <c r="D5" s="5" t="str">
        <f>LRTRIM(CONCATENATE(IF(SUMPRODUCT(-- ISNUMBER(SEARCH({"Auto Number"}, $B5))) &gt; 0, $B5, IF(SUMPRODUCT(-- ISNUMBER(SEARCH({"Lookup","Master-Detail"}, $B5))) &gt; 0,$B5 &amp; "(" &amp; $E5 &amp; ")",IF(SUMPRODUCT(-- ISNUMBER(SEARCH({"Formula","Roll-Up Summary"}, $B5))) &gt; 0,$B5 &amp; " (" &amp; $E5 &amp; ")",IF(SUMPRODUCT(-- ISNUMBER(SEARCH({"Content","Currency","Number","Percent","Text","URL"}, $B5))) &gt; 0,$B5 &amp; "(" &amp; $C5 &amp; ")",$B5)))), "  ", TRIM(IF($S5 = "YES", "(External ID)", "") &amp; " " &amp; IF(SUMPRODUCT(-- ISNUMBER(SEARCH({"Unique","Unique Case Insensitive"}, $R5))) &gt; 0, "(" &amp; $R5 &amp; ")", ""))))</f>
        <v>Text(100)</v>
      </c>
      <c r="E5" s="7" t="s">
        <v>195</v>
      </c>
      <c r="F5" s="7" t="s">
        <v>1309</v>
      </c>
      <c r="G5" s="7" t="s">
        <v>1312</v>
      </c>
      <c r="H5" s="7" t="s">
        <v>195</v>
      </c>
      <c r="I5" s="7" t="s">
        <v>195</v>
      </c>
      <c r="J5" s="7" t="s">
        <v>195</v>
      </c>
      <c r="K5" s="7" t="s">
        <v>195</v>
      </c>
      <c r="L5" s="7" t="s">
        <v>195</v>
      </c>
      <c r="M5" s="7" t="s">
        <v>29</v>
      </c>
      <c r="N5" s="7" t="s">
        <v>29</v>
      </c>
      <c r="O5" s="7" t="s">
        <v>29</v>
      </c>
      <c r="P5" s="7" t="s">
        <v>29</v>
      </c>
      <c r="Q5" s="7" t="s">
        <v>29</v>
      </c>
      <c r="R5" s="7" t="s">
        <v>29</v>
      </c>
      <c r="S5" s="7" t="s">
        <v>29</v>
      </c>
    </row>
    <row r="6" spans="1:19">
      <c r="B6" s="9" t="s">
        <v>195</v>
      </c>
      <c r="C6" s="7" t="s">
        <v>195</v>
      </c>
      <c r="D6" s="5" t="str">
        <f>LRTRIM(CONCATENATE(IF(SUMPRODUCT(-- ISNUMBER(SEARCH({"Auto Number"}, $B6))) &gt; 0, $B6, IF(SUMPRODUCT(-- ISNUMBER(SEARCH({"Lookup","Master-Detail"}, $B6))) &gt; 0,$B6 &amp; "(" &amp; $E6 &amp; ")",IF(SUMPRODUCT(-- ISNUMBER(SEARCH({"Formula","Roll-Up Summary"}, $B6))) &gt; 0,$B6 &amp; " (" &amp; $E6 &amp; ")",IF(SUMPRODUCT(-- ISNUMBER(SEARCH({"Content","Currency","Number","Percent","Text","URL"}, $B6))) &gt; 0,$B6 &amp; "(" &amp; $C6 &amp; ")",$B6)))), "  ", TRIM(IF($S6 = "YES", "(External ID)", "") &amp; " " &amp; IF(SUMPRODUCT(-- ISNUMBER(SEARCH({"Unique","Unique Case Insensitive"}, $R6))) &gt; 0, "(" &amp; $R6 &amp; ")", ""))))</f>
        <v>na</v>
      </c>
      <c r="E6" s="7" t="s">
        <v>195</v>
      </c>
      <c r="F6" s="7" t="s">
        <v>195</v>
      </c>
      <c r="G6" s="7" t="s">
        <v>195</v>
      </c>
      <c r="H6" s="7" t="s">
        <v>195</v>
      </c>
      <c r="I6" s="7" t="s">
        <v>195</v>
      </c>
      <c r="J6" s="7" t="s">
        <v>195</v>
      </c>
      <c r="K6" s="7" t="s">
        <v>195</v>
      </c>
      <c r="L6" s="7" t="s">
        <v>195</v>
      </c>
      <c r="M6" s="7" t="s">
        <v>29</v>
      </c>
      <c r="N6" s="7" t="s">
        <v>29</v>
      </c>
      <c r="O6" s="7" t="s">
        <v>29</v>
      </c>
      <c r="P6" s="7" t="s">
        <v>29</v>
      </c>
      <c r="Q6" s="7" t="s">
        <v>29</v>
      </c>
      <c r="R6" s="7" t="s">
        <v>29</v>
      </c>
      <c r="S6" s="7" t="s">
        <v>29</v>
      </c>
    </row>
    <row r="7" spans="1:19">
      <c r="B7" s="9" t="s">
        <v>195</v>
      </c>
      <c r="C7" s="7" t="s">
        <v>195</v>
      </c>
      <c r="D7" s="5" t="str">
        <f>LRTRIM(CONCATENATE(IF(SUMPRODUCT(-- ISNUMBER(SEARCH({"Auto Number"}, $B7))) &gt; 0, $B7, IF(SUMPRODUCT(-- ISNUMBER(SEARCH({"Lookup","Master-Detail"}, $B7))) &gt; 0,$B7 &amp; "(" &amp; $E7 &amp; ")",IF(SUMPRODUCT(-- ISNUMBER(SEARCH({"Formula","Roll-Up Summary"}, $B7))) &gt; 0,$B7 &amp; " (" &amp; $E7 &amp; ")",IF(SUMPRODUCT(-- ISNUMBER(SEARCH({"Content","Currency","Number","Percent","Text","URL"}, $B7))) &gt; 0,$B7 &amp; "(" &amp; $C7 &amp; ")",$B7)))), "  ", TRIM(IF($S7 = "YES", "(External ID)", "") &amp; " " &amp; IF(SUMPRODUCT(-- ISNUMBER(SEARCH({"Unique","Unique Case Insensitive"}, $R7))) &gt; 0, "(" &amp; $R7 &amp; ")", ""))))</f>
        <v>na</v>
      </c>
      <c r="E7" s="7" t="s">
        <v>195</v>
      </c>
      <c r="F7" s="7" t="s">
        <v>195</v>
      </c>
      <c r="G7" s="7" t="s">
        <v>195</v>
      </c>
      <c r="H7" s="7" t="s">
        <v>195</v>
      </c>
      <c r="I7" s="7" t="s">
        <v>195</v>
      </c>
      <c r="J7" s="7" t="s">
        <v>195</v>
      </c>
      <c r="K7" s="7" t="s">
        <v>195</v>
      </c>
      <c r="L7" s="7" t="s">
        <v>195</v>
      </c>
      <c r="M7" s="7" t="s">
        <v>29</v>
      </c>
      <c r="N7" s="7" t="s">
        <v>29</v>
      </c>
      <c r="O7" s="7" t="s">
        <v>29</v>
      </c>
      <c r="P7" s="7" t="s">
        <v>29</v>
      </c>
      <c r="Q7" s="7" t="s">
        <v>29</v>
      </c>
      <c r="R7" s="7" t="s">
        <v>29</v>
      </c>
      <c r="S7" s="7" t="s">
        <v>29</v>
      </c>
    </row>
    <row r="8" spans="1:19">
      <c r="B8" s="9" t="s">
        <v>195</v>
      </c>
      <c r="C8" s="7" t="s">
        <v>195</v>
      </c>
      <c r="D8" s="5" t="str">
        <f>LRTRIM(CONCATENATE(IF(SUMPRODUCT(-- ISNUMBER(SEARCH({"Auto Number"}, $B8))) &gt; 0, $B8, IF(SUMPRODUCT(-- ISNUMBER(SEARCH({"Lookup","Master-Detail"}, $B8))) &gt; 0,$B8 &amp; "(" &amp; $E8 &amp; ")",IF(SUMPRODUCT(-- ISNUMBER(SEARCH({"Formula","Roll-Up Summary"}, $B8))) &gt; 0,$B8 &amp; " (" &amp; $E8 &amp; ")",IF(SUMPRODUCT(-- ISNUMBER(SEARCH({"Content","Currency","Number","Percent","Text","URL"}, $B8))) &gt; 0,$B8 &amp; "(" &amp; $C8 &amp; ")",$B8)))), "  ", TRIM(IF($S8 = "YES", "(External ID)", "") &amp; " " &amp; IF(SUMPRODUCT(-- ISNUMBER(SEARCH({"Unique","Unique Case Insensitive"}, $R8))) &gt; 0, "(" &amp; $R8 &amp; ")", ""))))</f>
        <v>na</v>
      </c>
      <c r="E8" s="7" t="s">
        <v>195</v>
      </c>
      <c r="F8" s="7" t="s">
        <v>195</v>
      </c>
      <c r="G8" s="7" t="s">
        <v>195</v>
      </c>
      <c r="H8" s="7" t="s">
        <v>195</v>
      </c>
      <c r="I8" s="7" t="s">
        <v>195</v>
      </c>
      <c r="J8" s="7" t="s">
        <v>195</v>
      </c>
      <c r="K8" s="7" t="s">
        <v>195</v>
      </c>
      <c r="L8" s="7" t="s">
        <v>195</v>
      </c>
      <c r="M8" s="7" t="s">
        <v>29</v>
      </c>
      <c r="N8" s="7" t="s">
        <v>29</v>
      </c>
      <c r="O8" s="7" t="s">
        <v>29</v>
      </c>
      <c r="P8" s="7" t="s">
        <v>29</v>
      </c>
      <c r="Q8" s="7" t="s">
        <v>29</v>
      </c>
      <c r="R8" s="7" t="s">
        <v>29</v>
      </c>
      <c r="S8" s="7" t="s">
        <v>29</v>
      </c>
    </row>
    <row r="9" spans="1:19">
      <c r="B9" s="9" t="s">
        <v>195</v>
      </c>
      <c r="C9" s="7" t="s">
        <v>195</v>
      </c>
      <c r="D9" s="5" t="str">
        <f>LRTRIM(CONCATENATE(IF(SUMPRODUCT(-- ISNUMBER(SEARCH({"Auto Number"}, $B9))) &gt; 0, $B9, IF(SUMPRODUCT(-- ISNUMBER(SEARCH({"Lookup","Master-Detail"}, $B9))) &gt; 0,$B9 &amp; "(" &amp; $E9 &amp; ")",IF(SUMPRODUCT(-- ISNUMBER(SEARCH({"Formula","Roll-Up Summary"}, $B9))) &gt; 0,$B9 &amp; " (" &amp; $E9 &amp; ")",IF(SUMPRODUCT(-- ISNUMBER(SEARCH({"Content","Currency","Number","Percent","Text","URL"}, $B9))) &gt; 0,$B9 &amp; "(" &amp; $C9 &amp; ")",$B9)))), "  ", TRIM(IF($S9 = "YES", "(External ID)", "") &amp; " " &amp; IF(SUMPRODUCT(-- ISNUMBER(SEARCH({"Unique","Unique Case Insensitive"}, $R9))) &gt; 0, "(" &amp; $R9 &amp; ")", ""))))</f>
        <v>na</v>
      </c>
      <c r="E9" s="7" t="s">
        <v>195</v>
      </c>
      <c r="F9" s="7" t="s">
        <v>195</v>
      </c>
      <c r="G9" s="7" t="s">
        <v>195</v>
      </c>
      <c r="H9" s="7" t="s">
        <v>195</v>
      </c>
      <c r="I9" s="7" t="s">
        <v>195</v>
      </c>
      <c r="J9" s="7" t="s">
        <v>195</v>
      </c>
      <c r="K9" s="7" t="s">
        <v>195</v>
      </c>
      <c r="L9" s="7" t="s">
        <v>195</v>
      </c>
      <c r="M9" s="7" t="s">
        <v>29</v>
      </c>
      <c r="N9" s="7" t="s">
        <v>29</v>
      </c>
      <c r="O9" s="7" t="s">
        <v>29</v>
      </c>
      <c r="P9" s="7" t="s">
        <v>29</v>
      </c>
      <c r="Q9" s="7" t="s">
        <v>29</v>
      </c>
      <c r="R9" s="7" t="s">
        <v>29</v>
      </c>
      <c r="S9" s="7" t="s">
        <v>29</v>
      </c>
    </row>
    <row r="10" spans="1:19">
      <c r="B10" s="9" t="s">
        <v>195</v>
      </c>
      <c r="C10" s="7" t="s">
        <v>195</v>
      </c>
      <c r="D10" s="5" t="str">
        <f>LRTRIM(CONCATENATE(IF(SUMPRODUCT(-- ISNUMBER(SEARCH({"Auto Number"}, $B10))) &gt; 0, $B10, IF(SUMPRODUCT(-- ISNUMBER(SEARCH({"Lookup","Master-Detail"}, $B10))) &gt; 0,$B10 &amp; "(" &amp; $E10 &amp; ")",IF(SUMPRODUCT(-- ISNUMBER(SEARCH({"Formula","Roll-Up Summary"}, $B10))) &gt; 0,$B10 &amp; " (" &amp; $E10 &amp; ")",IF(SUMPRODUCT(-- ISNUMBER(SEARCH({"Content","Currency","Number","Percent","Text","URL"}, $B10))) &gt; 0,$B10 &amp; "(" &amp; $C10 &amp; ")",$B10)))), "  ", TRIM(IF($S10 = "YES", "(External ID)", "") &amp; " " &amp; IF(SUMPRODUCT(-- ISNUMBER(SEARCH({"Unique","Unique Case Insensitive"}, $R10))) &gt; 0, "(" &amp; $R10 &amp; ")", ""))))</f>
        <v>na</v>
      </c>
      <c r="E10" s="7" t="s">
        <v>195</v>
      </c>
      <c r="F10" s="7" t="s">
        <v>195</v>
      </c>
      <c r="G10" s="7" t="s">
        <v>195</v>
      </c>
      <c r="H10" s="7" t="s">
        <v>195</v>
      </c>
      <c r="I10" s="7" t="s">
        <v>195</v>
      </c>
      <c r="J10" s="7" t="s">
        <v>195</v>
      </c>
      <c r="K10" s="7" t="s">
        <v>195</v>
      </c>
      <c r="L10" s="7" t="s">
        <v>195</v>
      </c>
      <c r="M10" s="7" t="s">
        <v>29</v>
      </c>
      <c r="N10" s="7" t="s">
        <v>29</v>
      </c>
      <c r="O10" s="7" t="s">
        <v>29</v>
      </c>
      <c r="P10" s="7" t="s">
        <v>29</v>
      </c>
      <c r="Q10" s="7" t="s">
        <v>29</v>
      </c>
      <c r="R10" s="7" t="s">
        <v>29</v>
      </c>
      <c r="S10" s="7" t="s">
        <v>29</v>
      </c>
    </row>
    <row r="11" spans="1:19">
      <c r="B11" s="9" t="s">
        <v>195</v>
      </c>
      <c r="C11" s="7" t="s">
        <v>195</v>
      </c>
      <c r="D11" s="5" t="str">
        <f>LRTRIM(CONCATENATE(IF(SUMPRODUCT(-- ISNUMBER(SEARCH({"Auto Number"}, $B11))) &gt; 0, $B11, IF(SUMPRODUCT(-- ISNUMBER(SEARCH({"Lookup","Master-Detail"}, $B11))) &gt; 0,$B11 &amp; "(" &amp; $E11 &amp; ")",IF(SUMPRODUCT(-- ISNUMBER(SEARCH({"Formula","Roll-Up Summary"}, $B11))) &gt; 0,$B11 &amp; " (" &amp; $E11 &amp; ")",IF(SUMPRODUCT(-- ISNUMBER(SEARCH({"Content","Currency","Number","Percent","Text","URL"}, $B11))) &gt; 0,$B11 &amp; "(" &amp; $C11 &amp; ")",$B11)))), "  ", TRIM(IF($S11 = "YES", "(External ID)", "") &amp; " " &amp; IF(SUMPRODUCT(-- ISNUMBER(SEARCH({"Unique","Unique Case Insensitive"}, $R11))) &gt; 0, "(" &amp; $R11 &amp; ")", ""))))</f>
        <v>na</v>
      </c>
      <c r="E11" s="7" t="s">
        <v>195</v>
      </c>
      <c r="F11" s="7" t="s">
        <v>195</v>
      </c>
      <c r="G11" s="7" t="s">
        <v>195</v>
      </c>
      <c r="H11" s="7" t="s">
        <v>195</v>
      </c>
      <c r="I11" s="7" t="s">
        <v>195</v>
      </c>
      <c r="J11" s="7" t="s">
        <v>195</v>
      </c>
      <c r="K11" s="7" t="s">
        <v>195</v>
      </c>
      <c r="L11" s="7" t="s">
        <v>195</v>
      </c>
      <c r="M11" s="7" t="s">
        <v>29</v>
      </c>
      <c r="N11" s="7" t="s">
        <v>29</v>
      </c>
      <c r="O11" s="7" t="s">
        <v>29</v>
      </c>
      <c r="P11" s="7" t="s">
        <v>29</v>
      </c>
      <c r="Q11" s="7" t="s">
        <v>29</v>
      </c>
      <c r="R11" s="7" t="s">
        <v>29</v>
      </c>
      <c r="S11" s="7" t="s">
        <v>29</v>
      </c>
    </row>
    <row r="12" spans="1:19">
      <c r="B12" s="9" t="s">
        <v>195</v>
      </c>
      <c r="C12" s="7" t="s">
        <v>195</v>
      </c>
      <c r="D12" s="5" t="str">
        <f>LRTRIM(CONCATENATE(IF(SUMPRODUCT(-- ISNUMBER(SEARCH({"Auto Number"}, $B12))) &gt; 0, $B12, IF(SUMPRODUCT(-- ISNUMBER(SEARCH({"Lookup","Master-Detail"}, $B12))) &gt; 0,$B12 &amp; "(" &amp; $E12 &amp; ")",IF(SUMPRODUCT(-- ISNUMBER(SEARCH({"Formula","Roll-Up Summary"}, $B12))) &gt; 0,$B12 &amp; " (" &amp; $E12 &amp; ")",IF(SUMPRODUCT(-- ISNUMBER(SEARCH({"Content","Currency","Number","Percent","Text","URL"}, $B12))) &gt; 0,$B12 &amp; "(" &amp; $C12 &amp; ")",$B12)))), "  ", TRIM(IF($S12 = "YES", "(External ID)", "") &amp; " " &amp; IF(SUMPRODUCT(-- ISNUMBER(SEARCH({"Unique","Unique Case Insensitive"}, $R12))) &gt; 0, "(" &amp; $R12 &amp; ")", ""))))</f>
        <v>na</v>
      </c>
      <c r="E12" s="7" t="s">
        <v>195</v>
      </c>
      <c r="F12" s="7" t="s">
        <v>195</v>
      </c>
      <c r="G12" s="7" t="s">
        <v>195</v>
      </c>
      <c r="H12" s="7" t="s">
        <v>195</v>
      </c>
      <c r="I12" s="7" t="s">
        <v>195</v>
      </c>
      <c r="J12" s="7" t="s">
        <v>195</v>
      </c>
      <c r="K12" s="7" t="s">
        <v>195</v>
      </c>
      <c r="L12" s="7" t="s">
        <v>195</v>
      </c>
      <c r="M12" s="7" t="s">
        <v>29</v>
      </c>
      <c r="N12" s="7" t="s">
        <v>29</v>
      </c>
      <c r="O12" s="7" t="s">
        <v>29</v>
      </c>
      <c r="P12" s="7" t="s">
        <v>29</v>
      </c>
      <c r="Q12" s="7" t="s">
        <v>29</v>
      </c>
      <c r="R12" s="7" t="s">
        <v>29</v>
      </c>
      <c r="S12" s="7" t="s">
        <v>29</v>
      </c>
    </row>
    <row r="13" spans="1:19">
      <c r="B13" s="9" t="s">
        <v>195</v>
      </c>
      <c r="C13" s="7" t="s">
        <v>195</v>
      </c>
      <c r="D13" s="5" t="str">
        <f>LRTRIM(CONCATENATE(IF(SUMPRODUCT(-- ISNUMBER(SEARCH({"Auto Number"}, $B13))) &gt; 0, $B13, IF(SUMPRODUCT(-- ISNUMBER(SEARCH({"Lookup","Master-Detail"}, $B13))) &gt; 0,$B13 &amp; "(" &amp; $E13 &amp; ")",IF(SUMPRODUCT(-- ISNUMBER(SEARCH({"Formula","Roll-Up Summary"}, $B13))) &gt; 0,$B13 &amp; " (" &amp; $E13 &amp; ")",IF(SUMPRODUCT(-- ISNUMBER(SEARCH({"Content","Currency","Number","Percent","Text","URL"}, $B13))) &gt; 0,$B13 &amp; "(" &amp; $C13 &amp; ")",$B13)))), "  ", TRIM(IF($S13 = "YES", "(External ID)", "") &amp; " " &amp; IF(SUMPRODUCT(-- ISNUMBER(SEARCH({"Unique","Unique Case Insensitive"}, $R13))) &gt; 0, "(" &amp; $R13 &amp; ")", ""))))</f>
        <v>na</v>
      </c>
      <c r="E13" s="7" t="s">
        <v>195</v>
      </c>
      <c r="F13" s="7" t="s">
        <v>195</v>
      </c>
      <c r="G13" s="7" t="s">
        <v>195</v>
      </c>
      <c r="H13" s="7" t="s">
        <v>195</v>
      </c>
      <c r="I13" s="7" t="s">
        <v>195</v>
      </c>
      <c r="J13" s="7" t="s">
        <v>195</v>
      </c>
      <c r="K13" s="7" t="s">
        <v>195</v>
      </c>
      <c r="L13" s="7" t="s">
        <v>195</v>
      </c>
      <c r="M13" s="7" t="s">
        <v>29</v>
      </c>
      <c r="N13" s="7" t="s">
        <v>29</v>
      </c>
      <c r="O13" s="7" t="s">
        <v>29</v>
      </c>
      <c r="P13" s="7" t="s">
        <v>29</v>
      </c>
      <c r="Q13" s="7" t="s">
        <v>29</v>
      </c>
      <c r="R13" s="7" t="s">
        <v>29</v>
      </c>
      <c r="S13" s="7" t="s">
        <v>29</v>
      </c>
    </row>
    <row r="14" spans="1:19">
      <c r="B14" s="9" t="s">
        <v>195</v>
      </c>
      <c r="C14" s="7" t="s">
        <v>195</v>
      </c>
      <c r="D14" s="5" t="str">
        <f>LRTRIM(CONCATENATE(IF(SUMPRODUCT(-- ISNUMBER(SEARCH({"Auto Number"}, $B14))) &gt; 0, $B14, IF(SUMPRODUCT(-- ISNUMBER(SEARCH({"Lookup","Master-Detail"}, $B14))) &gt; 0,$B14 &amp; "(" &amp; $E14 &amp; ")",IF(SUMPRODUCT(-- ISNUMBER(SEARCH({"Formula","Roll-Up Summary"}, $B14))) &gt; 0,$B14 &amp; " (" &amp; $E14 &amp; ")",IF(SUMPRODUCT(-- ISNUMBER(SEARCH({"Content","Currency","Number","Percent","Text","URL"}, $B14))) &gt; 0,$B14 &amp; "(" &amp; $C14 &amp; ")",$B14)))), "  ", TRIM(IF($S14 = "YES", "(External ID)", "") &amp; " " &amp; IF(SUMPRODUCT(-- ISNUMBER(SEARCH({"Unique","Unique Case Insensitive"}, $R14))) &gt; 0, "(" &amp; $R14 &amp; ")", ""))))</f>
        <v>na</v>
      </c>
      <c r="E14" s="7" t="s">
        <v>195</v>
      </c>
      <c r="F14" s="7" t="s">
        <v>195</v>
      </c>
      <c r="G14" s="7" t="s">
        <v>195</v>
      </c>
      <c r="H14" s="7" t="s">
        <v>195</v>
      </c>
      <c r="I14" s="7" t="s">
        <v>195</v>
      </c>
      <c r="J14" s="7" t="s">
        <v>195</v>
      </c>
      <c r="K14" s="7" t="s">
        <v>195</v>
      </c>
      <c r="L14" s="7" t="s">
        <v>195</v>
      </c>
      <c r="M14" s="7" t="s">
        <v>29</v>
      </c>
      <c r="N14" s="7" t="s">
        <v>29</v>
      </c>
      <c r="O14" s="7" t="s">
        <v>29</v>
      </c>
      <c r="P14" s="7" t="s">
        <v>29</v>
      </c>
      <c r="Q14" s="7" t="s">
        <v>29</v>
      </c>
      <c r="R14" s="7" t="s">
        <v>29</v>
      </c>
      <c r="S14" s="7" t="s">
        <v>29</v>
      </c>
    </row>
    <row r="15" spans="1:19">
      <c r="B15" s="9" t="s">
        <v>195</v>
      </c>
      <c r="C15" s="7" t="s">
        <v>195</v>
      </c>
      <c r="D15" s="5" t="str">
        <f>LRTRIM(CONCATENATE(IF(SUMPRODUCT(-- ISNUMBER(SEARCH({"Auto Number"}, $B15))) &gt; 0, $B15, IF(SUMPRODUCT(-- ISNUMBER(SEARCH({"Lookup","Master-Detail"}, $B15))) &gt; 0,$B15 &amp; "(" &amp; $E15 &amp; ")",IF(SUMPRODUCT(-- ISNUMBER(SEARCH({"Formula","Roll-Up Summary"}, $B15))) &gt; 0,$B15 &amp; " (" &amp; $E15 &amp; ")",IF(SUMPRODUCT(-- ISNUMBER(SEARCH({"Content","Currency","Number","Percent","Text","URL"}, $B15))) &gt; 0,$B15 &amp; "(" &amp; $C15 &amp; ")",$B15)))), "  ", TRIM(IF($S15 = "YES", "(External ID)", "") &amp; " " &amp; IF(SUMPRODUCT(-- ISNUMBER(SEARCH({"Unique","Unique Case Insensitive"}, $R15))) &gt; 0, "(" &amp; $R15 &amp; ")", ""))))</f>
        <v>na</v>
      </c>
      <c r="E15" s="7" t="s">
        <v>195</v>
      </c>
      <c r="F15" s="7" t="s">
        <v>195</v>
      </c>
      <c r="G15" s="7" t="s">
        <v>195</v>
      </c>
      <c r="H15" s="7" t="s">
        <v>195</v>
      </c>
      <c r="I15" s="7" t="s">
        <v>195</v>
      </c>
      <c r="J15" s="7" t="s">
        <v>195</v>
      </c>
      <c r="K15" s="7" t="s">
        <v>195</v>
      </c>
      <c r="L15" s="7" t="s">
        <v>195</v>
      </c>
      <c r="M15" s="7" t="s">
        <v>29</v>
      </c>
      <c r="N15" s="7" t="s">
        <v>29</v>
      </c>
      <c r="O15" s="7" t="s">
        <v>29</v>
      </c>
      <c r="P15" s="7" t="s">
        <v>29</v>
      </c>
      <c r="Q15" s="7" t="s">
        <v>29</v>
      </c>
      <c r="R15" s="7" t="s">
        <v>29</v>
      </c>
      <c r="S15" s="7" t="s">
        <v>29</v>
      </c>
    </row>
    <row r="16" spans="1:19">
      <c r="B16" s="9" t="s">
        <v>195</v>
      </c>
      <c r="C16" s="7" t="s">
        <v>195</v>
      </c>
      <c r="D16" s="5" t="str">
        <f>LRTRIM(CONCATENATE(IF(SUMPRODUCT(-- ISNUMBER(SEARCH({"Auto Number"}, $B16))) &gt; 0, $B16, IF(SUMPRODUCT(-- ISNUMBER(SEARCH({"Lookup","Master-Detail"}, $B16))) &gt; 0,$B16 &amp; "(" &amp; $E16 &amp; ")",IF(SUMPRODUCT(-- ISNUMBER(SEARCH({"Formula","Roll-Up Summary"}, $B16))) &gt; 0,$B16 &amp; " (" &amp; $E16 &amp; ")",IF(SUMPRODUCT(-- ISNUMBER(SEARCH({"Content","Currency","Number","Percent","Text","URL"}, $B16))) &gt; 0,$B16 &amp; "(" &amp; $C16 &amp; ")",$B16)))), "  ", TRIM(IF($S16 = "YES", "(External ID)", "") &amp; " " &amp; IF(SUMPRODUCT(-- ISNUMBER(SEARCH({"Unique","Unique Case Insensitive"}, $R16))) &gt; 0, "(" &amp; $R16 &amp; ")", ""))))</f>
        <v>na</v>
      </c>
      <c r="E16" s="7" t="s">
        <v>195</v>
      </c>
      <c r="F16" s="7" t="s">
        <v>195</v>
      </c>
      <c r="G16" s="7" t="s">
        <v>195</v>
      </c>
      <c r="H16" s="7" t="s">
        <v>195</v>
      </c>
      <c r="I16" s="7" t="s">
        <v>195</v>
      </c>
      <c r="J16" s="7" t="s">
        <v>195</v>
      </c>
      <c r="K16" s="7" t="s">
        <v>195</v>
      </c>
      <c r="L16" s="7" t="s">
        <v>195</v>
      </c>
      <c r="M16" s="7" t="s">
        <v>29</v>
      </c>
      <c r="N16" s="7" t="s">
        <v>29</v>
      </c>
      <c r="O16" s="7" t="s">
        <v>29</v>
      </c>
      <c r="P16" s="7" t="s">
        <v>29</v>
      </c>
      <c r="Q16" s="7" t="s">
        <v>29</v>
      </c>
      <c r="R16" s="7" t="s">
        <v>29</v>
      </c>
      <c r="S16" s="7" t="s">
        <v>29</v>
      </c>
    </row>
    <row r="17" spans="2:19">
      <c r="B17" s="9" t="s">
        <v>195</v>
      </c>
      <c r="C17" s="7" t="s">
        <v>195</v>
      </c>
      <c r="D17" s="5" t="str">
        <f>LRTRIM(CONCATENATE(IF(SUMPRODUCT(-- ISNUMBER(SEARCH({"Auto Number"}, $B17))) &gt; 0, $B17, IF(SUMPRODUCT(-- ISNUMBER(SEARCH({"Lookup","Master-Detail"}, $B17))) &gt; 0,$B17 &amp; "(" &amp; $E17 &amp; ")",IF(SUMPRODUCT(-- ISNUMBER(SEARCH({"Formula","Roll-Up Summary"}, $B17))) &gt; 0,$B17 &amp; " (" &amp; $E17 &amp; ")",IF(SUMPRODUCT(-- ISNUMBER(SEARCH({"Content","Currency","Number","Percent","Text","URL"}, $B17))) &gt; 0,$B17 &amp; "(" &amp; $C17 &amp; ")",$B17)))), "  ", TRIM(IF($S17 = "YES", "(External ID)", "") &amp; " " &amp; IF(SUMPRODUCT(-- ISNUMBER(SEARCH({"Unique","Unique Case Insensitive"}, $R17))) &gt; 0, "(" &amp; $R17 &amp; ")", ""))))</f>
        <v>na</v>
      </c>
      <c r="E17" s="7" t="s">
        <v>195</v>
      </c>
      <c r="F17" s="7" t="s">
        <v>195</v>
      </c>
      <c r="G17" s="7" t="s">
        <v>195</v>
      </c>
      <c r="H17" s="7" t="s">
        <v>195</v>
      </c>
      <c r="I17" s="7" t="s">
        <v>195</v>
      </c>
      <c r="J17" s="7" t="s">
        <v>195</v>
      </c>
      <c r="K17" s="7" t="s">
        <v>195</v>
      </c>
      <c r="L17" s="7" t="s">
        <v>195</v>
      </c>
      <c r="M17" s="7" t="s">
        <v>29</v>
      </c>
      <c r="N17" s="7" t="s">
        <v>29</v>
      </c>
      <c r="O17" s="7" t="s">
        <v>29</v>
      </c>
      <c r="P17" s="7" t="s">
        <v>29</v>
      </c>
      <c r="Q17" s="7" t="s">
        <v>29</v>
      </c>
      <c r="R17" s="7" t="s">
        <v>29</v>
      </c>
      <c r="S17" s="7" t="s">
        <v>29</v>
      </c>
    </row>
    <row r="18" spans="2:19">
      <c r="B18" s="9" t="s">
        <v>195</v>
      </c>
      <c r="C18" s="7" t="s">
        <v>195</v>
      </c>
      <c r="D18" s="5" t="str">
        <f>LRTRIM(CONCATENATE(IF(SUMPRODUCT(-- ISNUMBER(SEARCH({"Auto Number"}, $B18))) &gt; 0, $B18, IF(SUMPRODUCT(-- ISNUMBER(SEARCH({"Lookup","Master-Detail"}, $B18))) &gt; 0,$B18 &amp; "(" &amp; $E18 &amp; ")",IF(SUMPRODUCT(-- ISNUMBER(SEARCH({"Formula","Roll-Up Summary"}, $B18))) &gt; 0,$B18 &amp; " (" &amp; $E18 &amp; ")",IF(SUMPRODUCT(-- ISNUMBER(SEARCH({"Content","Currency","Number","Percent","Text","URL"}, $B18))) &gt; 0,$B18 &amp; "(" &amp; $C18 &amp; ")",$B18)))), "  ", TRIM(IF($S18 = "YES", "(External ID)", "") &amp; " " &amp; IF(SUMPRODUCT(-- ISNUMBER(SEARCH({"Unique","Unique Case Insensitive"}, $R18))) &gt; 0, "(" &amp; $R18 &amp; ")", ""))))</f>
        <v>na</v>
      </c>
      <c r="E18" s="7" t="s">
        <v>195</v>
      </c>
      <c r="F18" s="7" t="s">
        <v>195</v>
      </c>
      <c r="G18" s="7" t="s">
        <v>195</v>
      </c>
      <c r="H18" s="7" t="s">
        <v>195</v>
      </c>
      <c r="I18" s="7" t="s">
        <v>195</v>
      </c>
      <c r="J18" s="7" t="s">
        <v>195</v>
      </c>
      <c r="K18" s="7" t="s">
        <v>195</v>
      </c>
      <c r="L18" s="7" t="s">
        <v>195</v>
      </c>
      <c r="M18" s="7" t="s">
        <v>29</v>
      </c>
      <c r="N18" s="7" t="s">
        <v>29</v>
      </c>
      <c r="O18" s="7" t="s">
        <v>29</v>
      </c>
      <c r="P18" s="7" t="s">
        <v>29</v>
      </c>
      <c r="Q18" s="7" t="s">
        <v>29</v>
      </c>
      <c r="R18" s="7" t="s">
        <v>29</v>
      </c>
      <c r="S18" s="7" t="s">
        <v>29</v>
      </c>
    </row>
    <row r="19" spans="2:19">
      <c r="B19" s="9" t="s">
        <v>195</v>
      </c>
      <c r="C19" s="7" t="s">
        <v>195</v>
      </c>
      <c r="D19" s="5" t="str">
        <f>LRTRIM(CONCATENATE(IF(SUMPRODUCT(-- ISNUMBER(SEARCH({"Auto Number"}, $B19))) &gt; 0, $B19, IF(SUMPRODUCT(-- ISNUMBER(SEARCH({"Lookup","Master-Detail"}, $B19))) &gt; 0,$B19 &amp; "(" &amp; $E19 &amp; ")",IF(SUMPRODUCT(-- ISNUMBER(SEARCH({"Formula","Roll-Up Summary"}, $B19))) &gt; 0,$B19 &amp; " (" &amp; $E19 &amp; ")",IF(SUMPRODUCT(-- ISNUMBER(SEARCH({"Content","Currency","Number","Percent","Text","URL"}, $B19))) &gt; 0,$B19 &amp; "(" &amp; $C19 &amp; ")",$B19)))), "  ", TRIM(IF($S19 = "YES", "(External ID)", "") &amp; " " &amp; IF(SUMPRODUCT(-- ISNUMBER(SEARCH({"Unique","Unique Case Insensitive"}, $R19))) &gt; 0, "(" &amp; $R19 &amp; ")", ""))))</f>
        <v>na</v>
      </c>
      <c r="E19" s="7" t="s">
        <v>195</v>
      </c>
      <c r="F19" s="7" t="s">
        <v>195</v>
      </c>
      <c r="G19" s="7" t="s">
        <v>195</v>
      </c>
      <c r="H19" s="7" t="s">
        <v>195</v>
      </c>
      <c r="I19" s="7" t="s">
        <v>195</v>
      </c>
      <c r="J19" s="7" t="s">
        <v>195</v>
      </c>
      <c r="K19" s="7" t="s">
        <v>195</v>
      </c>
      <c r="L19" s="7" t="s">
        <v>195</v>
      </c>
      <c r="M19" s="7" t="s">
        <v>29</v>
      </c>
      <c r="N19" s="7" t="s">
        <v>29</v>
      </c>
      <c r="O19" s="7" t="s">
        <v>29</v>
      </c>
      <c r="P19" s="7" t="s">
        <v>29</v>
      </c>
      <c r="Q19" s="7" t="s">
        <v>29</v>
      </c>
      <c r="R19" s="7" t="s">
        <v>29</v>
      </c>
      <c r="S19" s="7" t="s">
        <v>29</v>
      </c>
    </row>
    <row r="20" spans="2:19">
      <c r="B20" s="9" t="s">
        <v>195</v>
      </c>
      <c r="C20" s="7" t="s">
        <v>195</v>
      </c>
      <c r="D20" s="5" t="str">
        <f>LRTRIM(CONCATENATE(IF(SUMPRODUCT(-- ISNUMBER(SEARCH({"Auto Number"}, $B20))) &gt; 0, $B20, IF(SUMPRODUCT(-- ISNUMBER(SEARCH({"Lookup","Master-Detail"}, $B20))) &gt; 0,$B20 &amp; "(" &amp; $E20 &amp; ")",IF(SUMPRODUCT(-- ISNUMBER(SEARCH({"Formula","Roll-Up Summary"}, $B20))) &gt; 0,$B20 &amp; " (" &amp; $E20 &amp; ")",IF(SUMPRODUCT(-- ISNUMBER(SEARCH({"Content","Currency","Number","Percent","Text","URL"}, $B20))) &gt; 0,$B20 &amp; "(" &amp; $C20 &amp; ")",$B20)))), "  ", TRIM(IF($S20 = "YES", "(External ID)", "") &amp; " " &amp; IF(SUMPRODUCT(-- ISNUMBER(SEARCH({"Unique","Unique Case Insensitive"}, $R20))) &gt; 0, "(" &amp; $R20 &amp; ")", ""))))</f>
        <v>na</v>
      </c>
      <c r="E20" s="7" t="s">
        <v>195</v>
      </c>
      <c r="F20" s="7" t="s">
        <v>195</v>
      </c>
      <c r="G20" s="7" t="s">
        <v>195</v>
      </c>
      <c r="H20" s="7" t="s">
        <v>195</v>
      </c>
      <c r="I20" s="7" t="s">
        <v>195</v>
      </c>
      <c r="J20" s="7" t="s">
        <v>195</v>
      </c>
      <c r="K20" s="7" t="s">
        <v>195</v>
      </c>
      <c r="L20" s="7" t="s">
        <v>195</v>
      </c>
      <c r="M20" s="7" t="s">
        <v>29</v>
      </c>
      <c r="N20" s="7" t="s">
        <v>29</v>
      </c>
      <c r="O20" s="7" t="s">
        <v>29</v>
      </c>
      <c r="P20" s="7" t="s">
        <v>29</v>
      </c>
      <c r="Q20" s="7" t="s">
        <v>29</v>
      </c>
      <c r="R20" s="7" t="s">
        <v>29</v>
      </c>
      <c r="S20" s="7" t="s">
        <v>29</v>
      </c>
    </row>
    <row r="21" spans="2:19">
      <c r="B21" s="9" t="s">
        <v>195</v>
      </c>
      <c r="C21" s="7" t="s">
        <v>195</v>
      </c>
      <c r="D21" s="5" t="str">
        <f>LRTRIM(CONCATENATE(IF(SUMPRODUCT(-- ISNUMBER(SEARCH({"Auto Number"}, $B21))) &gt; 0, $B21, IF(SUMPRODUCT(-- ISNUMBER(SEARCH({"Lookup","Master-Detail"}, $B21))) &gt; 0,$B21 &amp; "(" &amp; $E21 &amp; ")",IF(SUMPRODUCT(-- ISNUMBER(SEARCH({"Formula","Roll-Up Summary"}, $B21))) &gt; 0,$B21 &amp; " (" &amp; $E21 &amp; ")",IF(SUMPRODUCT(-- ISNUMBER(SEARCH({"Content","Currency","Number","Percent","Text","URL"}, $B21))) &gt; 0,$B21 &amp; "(" &amp; $C21 &amp; ")",$B21)))), "  ", TRIM(IF($S21 = "YES", "(External ID)", "") &amp; " " &amp; IF(SUMPRODUCT(-- ISNUMBER(SEARCH({"Unique","Unique Case Insensitive"}, $R21))) &gt; 0, "(" &amp; $R21 &amp; ")", ""))))</f>
        <v>na</v>
      </c>
      <c r="E21" s="7" t="s">
        <v>195</v>
      </c>
      <c r="F21" s="7" t="s">
        <v>195</v>
      </c>
      <c r="G21" s="7" t="s">
        <v>195</v>
      </c>
      <c r="H21" s="7" t="s">
        <v>195</v>
      </c>
      <c r="I21" s="7" t="s">
        <v>195</v>
      </c>
      <c r="J21" s="7" t="s">
        <v>195</v>
      </c>
      <c r="K21" s="7" t="s">
        <v>195</v>
      </c>
      <c r="L21" s="7" t="s">
        <v>195</v>
      </c>
      <c r="M21" s="7" t="s">
        <v>29</v>
      </c>
      <c r="N21" s="7" t="s">
        <v>29</v>
      </c>
      <c r="O21" s="7" t="s">
        <v>29</v>
      </c>
      <c r="P21" s="7" t="s">
        <v>29</v>
      </c>
      <c r="Q21" s="7" t="s">
        <v>29</v>
      </c>
      <c r="R21" s="7" t="s">
        <v>29</v>
      </c>
      <c r="S21" s="7" t="s">
        <v>29</v>
      </c>
    </row>
    <row r="22" spans="2:19">
      <c r="B22" s="9" t="s">
        <v>195</v>
      </c>
      <c r="C22" s="7" t="s">
        <v>195</v>
      </c>
      <c r="D22" s="5" t="str">
        <f>LRTRIM(CONCATENATE(IF(SUMPRODUCT(-- ISNUMBER(SEARCH({"Auto Number"}, $B22))) &gt; 0, $B22, IF(SUMPRODUCT(-- ISNUMBER(SEARCH({"Lookup","Master-Detail"}, $B22))) &gt; 0,$B22 &amp; "(" &amp; $E22 &amp; ")",IF(SUMPRODUCT(-- ISNUMBER(SEARCH({"Formula","Roll-Up Summary"}, $B22))) &gt; 0,$B22 &amp; " (" &amp; $E22 &amp; ")",IF(SUMPRODUCT(-- ISNUMBER(SEARCH({"Content","Currency","Number","Percent","Text","URL"}, $B22))) &gt; 0,$B22 &amp; "(" &amp; $C22 &amp; ")",$B22)))), "  ", TRIM(IF($S22 = "YES", "(External ID)", "") &amp; " " &amp; IF(SUMPRODUCT(-- ISNUMBER(SEARCH({"Unique","Unique Case Insensitive"}, $R22))) &gt; 0, "(" &amp; $R22 &amp; ")", ""))))</f>
        <v>na</v>
      </c>
      <c r="E22" s="7" t="s">
        <v>195</v>
      </c>
      <c r="F22" s="7" t="s">
        <v>195</v>
      </c>
      <c r="G22" s="7" t="s">
        <v>195</v>
      </c>
      <c r="H22" s="7" t="s">
        <v>195</v>
      </c>
      <c r="I22" s="7" t="s">
        <v>195</v>
      </c>
      <c r="J22" s="7" t="s">
        <v>195</v>
      </c>
      <c r="K22" s="7" t="s">
        <v>195</v>
      </c>
      <c r="L22" s="7" t="s">
        <v>195</v>
      </c>
      <c r="M22" s="7" t="s">
        <v>29</v>
      </c>
      <c r="N22" s="7" t="s">
        <v>29</v>
      </c>
      <c r="O22" s="7" t="s">
        <v>29</v>
      </c>
      <c r="P22" s="7" t="s">
        <v>29</v>
      </c>
      <c r="Q22" s="7" t="s">
        <v>29</v>
      </c>
      <c r="R22" s="7" t="s">
        <v>29</v>
      </c>
      <c r="S22" s="7" t="s">
        <v>29</v>
      </c>
    </row>
    <row r="23" spans="2:19">
      <c r="B23" s="9" t="s">
        <v>195</v>
      </c>
      <c r="C23" s="7" t="s">
        <v>195</v>
      </c>
      <c r="D23" s="5" t="str">
        <f>LRTRIM(CONCATENATE(IF(SUMPRODUCT(-- ISNUMBER(SEARCH({"Auto Number"}, $B23))) &gt; 0, $B23, IF(SUMPRODUCT(-- ISNUMBER(SEARCH({"Lookup","Master-Detail"}, $B23))) &gt; 0,$B23 &amp; "(" &amp; $E23 &amp; ")",IF(SUMPRODUCT(-- ISNUMBER(SEARCH({"Formula","Roll-Up Summary"}, $B23))) &gt; 0,$B23 &amp; " (" &amp; $E23 &amp; ")",IF(SUMPRODUCT(-- ISNUMBER(SEARCH({"Content","Currency","Number","Percent","Text","URL"}, $B23))) &gt; 0,$B23 &amp; "(" &amp; $C23 &amp; ")",$B23)))), "  ", TRIM(IF($S23 = "YES", "(External ID)", "") &amp; " " &amp; IF(SUMPRODUCT(-- ISNUMBER(SEARCH({"Unique","Unique Case Insensitive"}, $R23))) &gt; 0, "(" &amp; $R23 &amp; ")", ""))))</f>
        <v>na</v>
      </c>
      <c r="E23" s="7" t="s">
        <v>195</v>
      </c>
      <c r="F23" s="7" t="s">
        <v>195</v>
      </c>
      <c r="G23" s="7" t="s">
        <v>195</v>
      </c>
      <c r="H23" s="7" t="s">
        <v>195</v>
      </c>
      <c r="I23" s="7" t="s">
        <v>195</v>
      </c>
      <c r="J23" s="7" t="s">
        <v>195</v>
      </c>
      <c r="K23" s="7" t="s">
        <v>195</v>
      </c>
      <c r="L23" s="7" t="s">
        <v>195</v>
      </c>
      <c r="M23" s="7" t="s">
        <v>29</v>
      </c>
      <c r="N23" s="7" t="s">
        <v>29</v>
      </c>
      <c r="O23" s="7" t="s">
        <v>29</v>
      </c>
      <c r="P23" s="7" t="s">
        <v>29</v>
      </c>
      <c r="Q23" s="7" t="s">
        <v>29</v>
      </c>
      <c r="R23" s="7" t="s">
        <v>29</v>
      </c>
      <c r="S23" s="7" t="s">
        <v>29</v>
      </c>
    </row>
    <row r="24" spans="2:19">
      <c r="B24" s="9" t="s">
        <v>195</v>
      </c>
      <c r="C24" s="7" t="s">
        <v>195</v>
      </c>
      <c r="D24" s="5" t="str">
        <f>LRTRIM(CONCATENATE(IF(SUMPRODUCT(-- ISNUMBER(SEARCH({"Auto Number"}, $B24))) &gt; 0, $B24, IF(SUMPRODUCT(-- ISNUMBER(SEARCH({"Lookup","Master-Detail"}, $B24))) &gt; 0,$B24 &amp; "(" &amp; $E24 &amp; ")",IF(SUMPRODUCT(-- ISNUMBER(SEARCH({"Formula","Roll-Up Summary"}, $B24))) &gt; 0,$B24 &amp; " (" &amp; $E24 &amp; ")",IF(SUMPRODUCT(-- ISNUMBER(SEARCH({"Content","Currency","Number","Percent","Text","URL"}, $B24))) &gt; 0,$B24 &amp; "(" &amp; $C24 &amp; ")",$B24)))), "  ", TRIM(IF($S24 = "YES", "(External ID)", "") &amp; " " &amp; IF(SUMPRODUCT(-- ISNUMBER(SEARCH({"Unique","Unique Case Insensitive"}, $R24))) &gt; 0, "(" &amp; $R24 &amp; ")", ""))))</f>
        <v>na</v>
      </c>
      <c r="E24" s="7" t="s">
        <v>195</v>
      </c>
      <c r="F24" s="7" t="s">
        <v>195</v>
      </c>
      <c r="G24" s="7" t="s">
        <v>195</v>
      </c>
      <c r="H24" s="7" t="s">
        <v>195</v>
      </c>
      <c r="I24" s="7" t="s">
        <v>195</v>
      </c>
      <c r="J24" s="7" t="s">
        <v>195</v>
      </c>
      <c r="K24" s="7" t="s">
        <v>195</v>
      </c>
      <c r="L24" s="7" t="s">
        <v>195</v>
      </c>
      <c r="M24" s="7" t="s">
        <v>29</v>
      </c>
      <c r="N24" s="7" t="s">
        <v>29</v>
      </c>
      <c r="O24" s="7" t="s">
        <v>29</v>
      </c>
      <c r="P24" s="7" t="s">
        <v>29</v>
      </c>
      <c r="Q24" s="7" t="s">
        <v>29</v>
      </c>
      <c r="R24" s="7" t="s">
        <v>29</v>
      </c>
      <c r="S24" s="7" t="s">
        <v>29</v>
      </c>
    </row>
    <row r="25" spans="2:19">
      <c r="B25" s="9" t="s">
        <v>195</v>
      </c>
      <c r="C25" s="7" t="s">
        <v>195</v>
      </c>
      <c r="D25" s="5" t="str">
        <f>LRTRIM(CONCATENATE(IF(SUMPRODUCT(-- ISNUMBER(SEARCH({"Auto Number"}, $B25))) &gt; 0, $B25, IF(SUMPRODUCT(-- ISNUMBER(SEARCH({"Lookup","Master-Detail"}, $B25))) &gt; 0,$B25 &amp; "(" &amp; $E25 &amp; ")",IF(SUMPRODUCT(-- ISNUMBER(SEARCH({"Formula","Roll-Up Summary"}, $B25))) &gt; 0,$B25 &amp; " (" &amp; $E25 &amp; ")",IF(SUMPRODUCT(-- ISNUMBER(SEARCH({"Content","Currency","Number","Percent","Text","URL"}, $B25))) &gt; 0,$B25 &amp; "(" &amp; $C25 &amp; ")",$B25)))), "  ", TRIM(IF($S25 = "YES", "(External ID)", "") &amp; " " &amp; IF(SUMPRODUCT(-- ISNUMBER(SEARCH({"Unique","Unique Case Insensitive"}, $R25))) &gt; 0, "(" &amp; $R25 &amp; ")", ""))))</f>
        <v>na</v>
      </c>
      <c r="E25" s="7" t="s">
        <v>195</v>
      </c>
      <c r="F25" s="7" t="s">
        <v>195</v>
      </c>
      <c r="G25" s="7" t="s">
        <v>195</v>
      </c>
      <c r="H25" s="7" t="s">
        <v>195</v>
      </c>
      <c r="I25" s="7" t="s">
        <v>195</v>
      </c>
      <c r="J25" s="7" t="s">
        <v>195</v>
      </c>
      <c r="K25" s="7" t="s">
        <v>195</v>
      </c>
      <c r="L25" s="7" t="s">
        <v>195</v>
      </c>
      <c r="M25" s="7" t="s">
        <v>29</v>
      </c>
      <c r="N25" s="7" t="s">
        <v>29</v>
      </c>
      <c r="O25" s="7" t="s">
        <v>29</v>
      </c>
      <c r="P25" s="7" t="s">
        <v>29</v>
      </c>
      <c r="Q25" s="7" t="s">
        <v>29</v>
      </c>
      <c r="R25" s="7" t="s">
        <v>29</v>
      </c>
      <c r="S25" s="7" t="s">
        <v>29</v>
      </c>
    </row>
    <row r="26" spans="2:19">
      <c r="B26" s="9" t="s">
        <v>195</v>
      </c>
      <c r="C26" s="7" t="s">
        <v>195</v>
      </c>
      <c r="D26" s="5" t="str">
        <f>LRTRIM(CONCATENATE(IF(SUMPRODUCT(-- ISNUMBER(SEARCH({"Auto Number"}, $B26))) &gt; 0, $B26, IF(SUMPRODUCT(-- ISNUMBER(SEARCH({"Lookup","Master-Detail"}, $B26))) &gt; 0,$B26 &amp; "(" &amp; $E26 &amp; ")",IF(SUMPRODUCT(-- ISNUMBER(SEARCH({"Formula","Roll-Up Summary"}, $B26))) &gt; 0,$B26 &amp; " (" &amp; $E26 &amp; ")",IF(SUMPRODUCT(-- ISNUMBER(SEARCH({"Content","Currency","Number","Percent","Text","URL"}, $B26))) &gt; 0,$B26 &amp; "(" &amp; $C26 &amp; ")",$B26)))), "  ", TRIM(IF($S26 = "YES", "(External ID)", "") &amp; " " &amp; IF(SUMPRODUCT(-- ISNUMBER(SEARCH({"Unique","Unique Case Insensitive"}, $R26))) &gt; 0, "(" &amp; $R26 &amp; ")", ""))))</f>
        <v>na</v>
      </c>
      <c r="E26" s="7" t="s">
        <v>195</v>
      </c>
      <c r="F26" s="7" t="s">
        <v>195</v>
      </c>
      <c r="G26" s="7" t="s">
        <v>195</v>
      </c>
      <c r="H26" s="7" t="s">
        <v>195</v>
      </c>
      <c r="I26" s="7" t="s">
        <v>195</v>
      </c>
      <c r="J26" s="7" t="s">
        <v>195</v>
      </c>
      <c r="K26" s="7" t="s">
        <v>195</v>
      </c>
      <c r="L26" s="7" t="s">
        <v>195</v>
      </c>
      <c r="M26" s="7" t="s">
        <v>29</v>
      </c>
      <c r="N26" s="7" t="s">
        <v>29</v>
      </c>
      <c r="O26" s="7" t="s">
        <v>29</v>
      </c>
      <c r="P26" s="7" t="s">
        <v>29</v>
      </c>
      <c r="Q26" s="7" t="s">
        <v>29</v>
      </c>
      <c r="R26" s="7" t="s">
        <v>29</v>
      </c>
      <c r="S26" s="7" t="s">
        <v>29</v>
      </c>
    </row>
    <row r="27" spans="2:19">
      <c r="B27" s="9" t="s">
        <v>195</v>
      </c>
      <c r="C27" s="7" t="s">
        <v>195</v>
      </c>
      <c r="D27" s="5" t="str">
        <f>LRTRIM(CONCATENATE(IF(SUMPRODUCT(-- ISNUMBER(SEARCH({"Auto Number"}, $B27))) &gt; 0, $B27, IF(SUMPRODUCT(-- ISNUMBER(SEARCH({"Lookup","Master-Detail"}, $B27))) &gt; 0,$B27 &amp; "(" &amp; $E27 &amp; ")",IF(SUMPRODUCT(-- ISNUMBER(SEARCH({"Formula","Roll-Up Summary"}, $B27))) &gt; 0,$B27 &amp; " (" &amp; $E27 &amp; ")",IF(SUMPRODUCT(-- ISNUMBER(SEARCH({"Content","Currency","Number","Percent","Text","URL"}, $B27))) &gt; 0,$B27 &amp; "(" &amp; $C27 &amp; ")",$B27)))), "  ", TRIM(IF($S27 = "YES", "(External ID)", "") &amp; " " &amp; IF(SUMPRODUCT(-- ISNUMBER(SEARCH({"Unique","Unique Case Insensitive"}, $R27))) &gt; 0, "(" &amp; $R27 &amp; ")", ""))))</f>
        <v>na</v>
      </c>
      <c r="E27" s="7" t="s">
        <v>195</v>
      </c>
      <c r="F27" s="7" t="s">
        <v>195</v>
      </c>
      <c r="G27" s="7" t="s">
        <v>195</v>
      </c>
      <c r="H27" s="7" t="s">
        <v>195</v>
      </c>
      <c r="I27" s="7" t="s">
        <v>195</v>
      </c>
      <c r="J27" s="7" t="s">
        <v>195</v>
      </c>
      <c r="K27" s="7" t="s">
        <v>195</v>
      </c>
      <c r="L27" s="7" t="s">
        <v>195</v>
      </c>
      <c r="M27" s="7" t="s">
        <v>29</v>
      </c>
      <c r="N27" s="7" t="s">
        <v>29</v>
      </c>
      <c r="O27" s="7" t="s">
        <v>29</v>
      </c>
      <c r="P27" s="7" t="s">
        <v>29</v>
      </c>
      <c r="Q27" s="7" t="s">
        <v>29</v>
      </c>
      <c r="R27" s="7" t="s">
        <v>29</v>
      </c>
      <c r="S27" s="7" t="s">
        <v>29</v>
      </c>
    </row>
    <row r="28" spans="2:19">
      <c r="B28" s="9" t="s">
        <v>195</v>
      </c>
      <c r="C28" s="7" t="s">
        <v>195</v>
      </c>
      <c r="D28" s="5" t="str">
        <f>LRTRIM(CONCATENATE(IF(SUMPRODUCT(-- ISNUMBER(SEARCH({"Auto Number"}, $B28))) &gt; 0, $B28, IF(SUMPRODUCT(-- ISNUMBER(SEARCH({"Lookup","Master-Detail"}, $B28))) &gt; 0,$B28 &amp; "(" &amp; $E28 &amp; ")",IF(SUMPRODUCT(-- ISNUMBER(SEARCH({"Formula","Roll-Up Summary"}, $B28))) &gt; 0,$B28 &amp; " (" &amp; $E28 &amp; ")",IF(SUMPRODUCT(-- ISNUMBER(SEARCH({"Content","Currency","Number","Percent","Text","URL"}, $B28))) &gt; 0,$B28 &amp; "(" &amp; $C28 &amp; ")",$B28)))), "  ", TRIM(IF($S28 = "YES", "(External ID)", "") &amp; " " &amp; IF(SUMPRODUCT(-- ISNUMBER(SEARCH({"Unique","Unique Case Insensitive"}, $R28))) &gt; 0, "(" &amp; $R28 &amp; ")", ""))))</f>
        <v>na</v>
      </c>
      <c r="E28" s="7" t="s">
        <v>195</v>
      </c>
      <c r="F28" s="7" t="s">
        <v>195</v>
      </c>
      <c r="G28" s="7" t="s">
        <v>195</v>
      </c>
      <c r="H28" s="7" t="s">
        <v>195</v>
      </c>
      <c r="I28" s="7" t="s">
        <v>195</v>
      </c>
      <c r="J28" s="7" t="s">
        <v>195</v>
      </c>
      <c r="K28" s="7" t="s">
        <v>195</v>
      </c>
      <c r="L28" s="7" t="s">
        <v>195</v>
      </c>
      <c r="M28" s="7" t="s">
        <v>29</v>
      </c>
      <c r="N28" s="7" t="s">
        <v>29</v>
      </c>
      <c r="O28" s="7" t="s">
        <v>29</v>
      </c>
      <c r="P28" s="7" t="s">
        <v>29</v>
      </c>
      <c r="Q28" s="7" t="s">
        <v>29</v>
      </c>
      <c r="R28" s="7" t="s">
        <v>29</v>
      </c>
      <c r="S28" s="7" t="s">
        <v>29</v>
      </c>
    </row>
    <row r="29" spans="2:19">
      <c r="B29" s="9" t="s">
        <v>195</v>
      </c>
      <c r="C29" s="7" t="s">
        <v>195</v>
      </c>
      <c r="D29" s="5" t="str">
        <f>LRTRIM(CONCATENATE(IF(SUMPRODUCT(-- ISNUMBER(SEARCH({"Auto Number"}, $B29))) &gt; 0, $B29, IF(SUMPRODUCT(-- ISNUMBER(SEARCH({"Lookup","Master-Detail"}, $B29))) &gt; 0,$B29 &amp; "(" &amp; $E29 &amp; ")",IF(SUMPRODUCT(-- ISNUMBER(SEARCH({"Formula","Roll-Up Summary"}, $B29))) &gt; 0,$B29 &amp; " (" &amp; $E29 &amp; ")",IF(SUMPRODUCT(-- ISNUMBER(SEARCH({"Content","Currency","Number","Percent","Text","URL"}, $B29))) &gt; 0,$B29 &amp; "(" &amp; $C29 &amp; ")",$B29)))), "  ", TRIM(IF($S29 = "YES", "(External ID)", "") &amp; " " &amp; IF(SUMPRODUCT(-- ISNUMBER(SEARCH({"Unique","Unique Case Insensitive"}, $R29))) &gt; 0, "(" &amp; $R29 &amp; ")", ""))))</f>
        <v>na</v>
      </c>
      <c r="E29" s="7" t="s">
        <v>195</v>
      </c>
      <c r="F29" s="7" t="s">
        <v>195</v>
      </c>
      <c r="G29" s="7" t="s">
        <v>195</v>
      </c>
      <c r="H29" s="7" t="s">
        <v>195</v>
      </c>
      <c r="I29" s="7" t="s">
        <v>195</v>
      </c>
      <c r="J29" s="7" t="s">
        <v>195</v>
      </c>
      <c r="K29" s="7" t="s">
        <v>195</v>
      </c>
      <c r="L29" s="7" t="s">
        <v>195</v>
      </c>
      <c r="M29" s="7" t="s">
        <v>29</v>
      </c>
      <c r="N29" s="7" t="s">
        <v>29</v>
      </c>
      <c r="O29" s="7" t="s">
        <v>29</v>
      </c>
      <c r="P29" s="7" t="s">
        <v>29</v>
      </c>
      <c r="Q29" s="7" t="s">
        <v>29</v>
      </c>
      <c r="R29" s="7" t="s">
        <v>29</v>
      </c>
      <c r="S29" s="7" t="s">
        <v>29</v>
      </c>
    </row>
    <row r="30" spans="2:19">
      <c r="B30" s="9" t="s">
        <v>195</v>
      </c>
      <c r="C30" s="7" t="s">
        <v>195</v>
      </c>
      <c r="D30" s="5" t="str">
        <f>LRTRIM(CONCATENATE(IF(SUMPRODUCT(-- ISNUMBER(SEARCH({"Auto Number"}, $B30))) &gt; 0, $B30, IF(SUMPRODUCT(-- ISNUMBER(SEARCH({"Lookup","Master-Detail"}, $B30))) &gt; 0,$B30 &amp; "(" &amp; $E30 &amp; ")",IF(SUMPRODUCT(-- ISNUMBER(SEARCH({"Formula","Roll-Up Summary"}, $B30))) &gt; 0,$B30 &amp; " (" &amp; $E30 &amp; ")",IF(SUMPRODUCT(-- ISNUMBER(SEARCH({"Content","Currency","Number","Percent","Text","URL"}, $B30))) &gt; 0,$B30 &amp; "(" &amp; $C30 &amp; ")",$B30)))), "  ", TRIM(IF($S30 = "YES", "(External ID)", "") &amp; " " &amp; IF(SUMPRODUCT(-- ISNUMBER(SEARCH({"Unique","Unique Case Insensitive"}, $R30))) &gt; 0, "(" &amp; $R30 &amp; ")", ""))))</f>
        <v>na</v>
      </c>
      <c r="E30" s="7" t="s">
        <v>195</v>
      </c>
      <c r="F30" s="7" t="s">
        <v>195</v>
      </c>
      <c r="G30" s="7" t="s">
        <v>195</v>
      </c>
      <c r="H30" s="7" t="s">
        <v>195</v>
      </c>
      <c r="I30" s="7" t="s">
        <v>195</v>
      </c>
      <c r="J30" s="7" t="s">
        <v>195</v>
      </c>
      <c r="K30" s="7" t="s">
        <v>195</v>
      </c>
      <c r="L30" s="7" t="s">
        <v>195</v>
      </c>
      <c r="M30" s="7" t="s">
        <v>29</v>
      </c>
      <c r="N30" s="7" t="s">
        <v>29</v>
      </c>
      <c r="O30" s="7" t="s">
        <v>29</v>
      </c>
      <c r="P30" s="7" t="s">
        <v>29</v>
      </c>
      <c r="Q30" s="7" t="s">
        <v>29</v>
      </c>
      <c r="R30" s="7" t="s">
        <v>29</v>
      </c>
      <c r="S30" s="7" t="s">
        <v>29</v>
      </c>
    </row>
    <row r="31" spans="2:19">
      <c r="B31" s="9" t="s">
        <v>195</v>
      </c>
      <c r="C31" s="7" t="s">
        <v>195</v>
      </c>
      <c r="D31" s="5" t="str">
        <f>LRTRIM(CONCATENATE(IF(SUMPRODUCT(-- ISNUMBER(SEARCH({"Auto Number"}, $B31))) &gt; 0, $B31, IF(SUMPRODUCT(-- ISNUMBER(SEARCH({"Lookup","Master-Detail"}, $B31))) &gt; 0,$B31 &amp; "(" &amp; $E31 &amp; ")",IF(SUMPRODUCT(-- ISNUMBER(SEARCH({"Formula","Roll-Up Summary"}, $B31))) &gt; 0,$B31 &amp; " (" &amp; $E31 &amp; ")",IF(SUMPRODUCT(-- ISNUMBER(SEARCH({"Content","Currency","Number","Percent","Text","URL"}, $B31))) &gt; 0,$B31 &amp; "(" &amp; $C31 &amp; ")",$B31)))), "  ", TRIM(IF($S31 = "YES", "(External ID)", "") &amp; " " &amp; IF(SUMPRODUCT(-- ISNUMBER(SEARCH({"Unique","Unique Case Insensitive"}, $R31))) &gt; 0, "(" &amp; $R31 &amp; ")", ""))))</f>
        <v>na</v>
      </c>
      <c r="E31" s="7" t="s">
        <v>195</v>
      </c>
      <c r="F31" s="7" t="s">
        <v>195</v>
      </c>
      <c r="G31" s="7" t="s">
        <v>195</v>
      </c>
      <c r="H31" s="7" t="s">
        <v>195</v>
      </c>
      <c r="I31" s="7" t="s">
        <v>195</v>
      </c>
      <c r="J31" s="7" t="s">
        <v>195</v>
      </c>
      <c r="K31" s="7" t="s">
        <v>195</v>
      </c>
      <c r="L31" s="7" t="s">
        <v>195</v>
      </c>
      <c r="M31" s="7" t="s">
        <v>29</v>
      </c>
      <c r="N31" s="7" t="s">
        <v>29</v>
      </c>
      <c r="O31" s="7" t="s">
        <v>29</v>
      </c>
      <c r="P31" s="7" t="s">
        <v>29</v>
      </c>
      <c r="Q31" s="7" t="s">
        <v>29</v>
      </c>
      <c r="R31" s="7" t="s">
        <v>29</v>
      </c>
      <c r="S31" s="7" t="s">
        <v>29</v>
      </c>
    </row>
    <row r="32" spans="2:19">
      <c r="B32" s="9" t="s">
        <v>195</v>
      </c>
      <c r="C32" s="7" t="s">
        <v>195</v>
      </c>
      <c r="D32" s="5" t="str">
        <f>LRTRIM(CONCATENATE(IF(SUMPRODUCT(-- ISNUMBER(SEARCH({"Auto Number"}, $B32))) &gt; 0, $B32, IF(SUMPRODUCT(-- ISNUMBER(SEARCH({"Lookup","Master-Detail"}, $B32))) &gt; 0,$B32 &amp; "(" &amp; $E32 &amp; ")",IF(SUMPRODUCT(-- ISNUMBER(SEARCH({"Formula","Roll-Up Summary"}, $B32))) &gt; 0,$B32 &amp; " (" &amp; $E32 &amp; ")",IF(SUMPRODUCT(-- ISNUMBER(SEARCH({"Content","Currency","Number","Percent","Text","URL"}, $B32))) &gt; 0,$B32 &amp; "(" &amp; $C32 &amp; ")",$B32)))), "  ", TRIM(IF($S32 = "YES", "(External ID)", "") &amp; " " &amp; IF(SUMPRODUCT(-- ISNUMBER(SEARCH({"Unique","Unique Case Insensitive"}, $R32))) &gt; 0, "(" &amp; $R32 &amp; ")", ""))))</f>
        <v>na</v>
      </c>
      <c r="E32" s="7" t="s">
        <v>195</v>
      </c>
      <c r="F32" s="7" t="s">
        <v>195</v>
      </c>
      <c r="G32" s="7" t="s">
        <v>195</v>
      </c>
      <c r="H32" s="7" t="s">
        <v>195</v>
      </c>
      <c r="I32" s="7" t="s">
        <v>195</v>
      </c>
      <c r="J32" s="7" t="s">
        <v>195</v>
      </c>
      <c r="K32" s="7" t="s">
        <v>195</v>
      </c>
      <c r="L32" s="7" t="s">
        <v>195</v>
      </c>
      <c r="M32" s="7" t="s">
        <v>29</v>
      </c>
      <c r="N32" s="7" t="s">
        <v>29</v>
      </c>
      <c r="O32" s="7" t="s">
        <v>29</v>
      </c>
      <c r="P32" s="7" t="s">
        <v>29</v>
      </c>
      <c r="Q32" s="7" t="s">
        <v>29</v>
      </c>
      <c r="R32" s="7" t="s">
        <v>29</v>
      </c>
      <c r="S32" s="7" t="s">
        <v>29</v>
      </c>
    </row>
    <row r="33" spans="2:19">
      <c r="B33" s="9" t="s">
        <v>195</v>
      </c>
      <c r="C33" s="7" t="s">
        <v>195</v>
      </c>
      <c r="D33" s="5" t="str">
        <f>LRTRIM(CONCATENATE(IF(SUMPRODUCT(-- ISNUMBER(SEARCH({"Auto Number"}, $B33))) &gt; 0, $B33, IF(SUMPRODUCT(-- ISNUMBER(SEARCH({"Lookup","Master-Detail"}, $B33))) &gt; 0,$B33 &amp; "(" &amp; $E33 &amp; ")",IF(SUMPRODUCT(-- ISNUMBER(SEARCH({"Formula","Roll-Up Summary"}, $B33))) &gt; 0,$B33 &amp; " (" &amp; $E33 &amp; ")",IF(SUMPRODUCT(-- ISNUMBER(SEARCH({"Content","Currency","Number","Percent","Text","URL"}, $B33))) &gt; 0,$B33 &amp; "(" &amp; $C33 &amp; ")",$B33)))), "  ", TRIM(IF($S33 = "YES", "(External ID)", "") &amp; " " &amp; IF(SUMPRODUCT(-- ISNUMBER(SEARCH({"Unique","Unique Case Insensitive"}, $R33))) &gt; 0, "(" &amp; $R33 &amp; ")", ""))))</f>
        <v>na</v>
      </c>
      <c r="E33" s="7" t="s">
        <v>195</v>
      </c>
      <c r="F33" s="7" t="s">
        <v>195</v>
      </c>
      <c r="G33" s="7" t="s">
        <v>195</v>
      </c>
      <c r="H33" s="7" t="s">
        <v>195</v>
      </c>
      <c r="I33" s="7" t="s">
        <v>195</v>
      </c>
      <c r="J33" s="7" t="s">
        <v>195</v>
      </c>
      <c r="K33" s="7" t="s">
        <v>195</v>
      </c>
      <c r="L33" s="7" t="s">
        <v>195</v>
      </c>
      <c r="M33" s="7" t="s">
        <v>29</v>
      </c>
      <c r="N33" s="7" t="s">
        <v>29</v>
      </c>
      <c r="O33" s="7" t="s">
        <v>29</v>
      </c>
      <c r="P33" s="7" t="s">
        <v>29</v>
      </c>
      <c r="Q33" s="7" t="s">
        <v>29</v>
      </c>
      <c r="R33" s="7" t="s">
        <v>29</v>
      </c>
      <c r="S33" s="7" t="s">
        <v>29</v>
      </c>
    </row>
    <row r="34" spans="2:19">
      <c r="B34" s="9" t="s">
        <v>195</v>
      </c>
      <c r="C34" s="7" t="s">
        <v>195</v>
      </c>
      <c r="D34" s="5" t="str">
        <f>LRTRIM(CONCATENATE(IF(SUMPRODUCT(-- ISNUMBER(SEARCH({"Auto Number"}, $B34))) &gt; 0, $B34, IF(SUMPRODUCT(-- ISNUMBER(SEARCH({"Lookup","Master-Detail"}, $B34))) &gt; 0,$B34 &amp; "(" &amp; $E34 &amp; ")",IF(SUMPRODUCT(-- ISNUMBER(SEARCH({"Formula","Roll-Up Summary"}, $B34))) &gt; 0,$B34 &amp; " (" &amp; $E34 &amp; ")",IF(SUMPRODUCT(-- ISNUMBER(SEARCH({"Content","Currency","Number","Percent","Text","URL"}, $B34))) &gt; 0,$B34 &amp; "(" &amp; $C34 &amp; ")",$B34)))), "  ", TRIM(IF($S34 = "YES", "(External ID)", "") &amp; " " &amp; IF(SUMPRODUCT(-- ISNUMBER(SEARCH({"Unique","Unique Case Insensitive"}, $R34))) &gt; 0, "(" &amp; $R34 &amp; ")", ""))))</f>
        <v>na</v>
      </c>
      <c r="E34" s="7" t="s">
        <v>195</v>
      </c>
      <c r="F34" s="7" t="s">
        <v>195</v>
      </c>
      <c r="G34" s="7" t="s">
        <v>195</v>
      </c>
      <c r="H34" s="7" t="s">
        <v>195</v>
      </c>
      <c r="I34" s="7" t="s">
        <v>195</v>
      </c>
      <c r="J34" s="7" t="s">
        <v>195</v>
      </c>
      <c r="K34" s="7" t="s">
        <v>195</v>
      </c>
      <c r="L34" s="7" t="s">
        <v>195</v>
      </c>
      <c r="M34" s="7" t="s">
        <v>29</v>
      </c>
      <c r="N34" s="7" t="s">
        <v>29</v>
      </c>
      <c r="O34" s="7" t="s">
        <v>29</v>
      </c>
      <c r="P34" s="7" t="s">
        <v>29</v>
      </c>
      <c r="Q34" s="7" t="s">
        <v>29</v>
      </c>
      <c r="R34" s="7" t="s">
        <v>29</v>
      </c>
      <c r="S34" s="7" t="s">
        <v>29</v>
      </c>
    </row>
    <row r="35" spans="2:19">
      <c r="B35" s="9" t="s">
        <v>195</v>
      </c>
      <c r="C35" s="7" t="s">
        <v>195</v>
      </c>
      <c r="D35" s="5" t="str">
        <f>LRTRIM(CONCATENATE(IF(SUMPRODUCT(-- ISNUMBER(SEARCH({"Auto Number"}, $B35))) &gt; 0, $B35, IF(SUMPRODUCT(-- ISNUMBER(SEARCH({"Lookup","Master-Detail"}, $B35))) &gt; 0,$B35 &amp; "(" &amp; $E35 &amp; ")",IF(SUMPRODUCT(-- ISNUMBER(SEARCH({"Formula","Roll-Up Summary"}, $B35))) &gt; 0,$B35 &amp; " (" &amp; $E35 &amp; ")",IF(SUMPRODUCT(-- ISNUMBER(SEARCH({"Content","Currency","Number","Percent","Text","URL"}, $B35))) &gt; 0,$B35 &amp; "(" &amp; $C35 &amp; ")",$B35)))), "  ", TRIM(IF($S35 = "YES", "(External ID)", "") &amp; " " &amp; IF(SUMPRODUCT(-- ISNUMBER(SEARCH({"Unique","Unique Case Insensitive"}, $R35))) &gt; 0, "(" &amp; $R35 &amp; ")", ""))))</f>
        <v>na</v>
      </c>
      <c r="E35" s="7" t="s">
        <v>195</v>
      </c>
      <c r="F35" s="7" t="s">
        <v>195</v>
      </c>
      <c r="G35" s="7" t="s">
        <v>195</v>
      </c>
      <c r="H35" s="7" t="s">
        <v>195</v>
      </c>
      <c r="I35" s="7" t="s">
        <v>195</v>
      </c>
      <c r="J35" s="7" t="s">
        <v>195</v>
      </c>
      <c r="K35" s="7" t="s">
        <v>195</v>
      </c>
      <c r="L35" s="7" t="s">
        <v>195</v>
      </c>
      <c r="M35" s="7" t="s">
        <v>29</v>
      </c>
      <c r="N35" s="7" t="s">
        <v>29</v>
      </c>
      <c r="O35" s="7" t="s">
        <v>29</v>
      </c>
      <c r="P35" s="7" t="s">
        <v>29</v>
      </c>
      <c r="Q35" s="7" t="s">
        <v>29</v>
      </c>
      <c r="R35" s="7" t="s">
        <v>29</v>
      </c>
      <c r="S35" s="7" t="s">
        <v>29</v>
      </c>
    </row>
    <row r="36" spans="2:19">
      <c r="B36" s="9" t="s">
        <v>195</v>
      </c>
      <c r="C36" s="7" t="s">
        <v>195</v>
      </c>
      <c r="D36" s="5" t="str">
        <f>LRTRIM(CONCATENATE(IF(SUMPRODUCT(-- ISNUMBER(SEARCH({"Auto Number"}, $B36))) &gt; 0, $B36, IF(SUMPRODUCT(-- ISNUMBER(SEARCH({"Lookup","Master-Detail"}, $B36))) &gt; 0,$B36 &amp; "(" &amp; $E36 &amp; ")",IF(SUMPRODUCT(-- ISNUMBER(SEARCH({"Formula","Roll-Up Summary"}, $B36))) &gt; 0,$B36 &amp; " (" &amp; $E36 &amp; ")",IF(SUMPRODUCT(-- ISNUMBER(SEARCH({"Content","Currency","Number","Percent","Text","URL"}, $B36))) &gt; 0,$B36 &amp; "(" &amp; $C36 &amp; ")",$B36)))), "  ", TRIM(IF($S36 = "YES", "(External ID)", "") &amp; " " &amp; IF(SUMPRODUCT(-- ISNUMBER(SEARCH({"Unique","Unique Case Insensitive"}, $R36))) &gt; 0, "(" &amp; $R36 &amp; ")", ""))))</f>
        <v>na</v>
      </c>
      <c r="E36" s="7" t="s">
        <v>195</v>
      </c>
      <c r="F36" s="7" t="s">
        <v>195</v>
      </c>
      <c r="G36" s="7" t="s">
        <v>195</v>
      </c>
      <c r="H36" s="7" t="s">
        <v>195</v>
      </c>
      <c r="I36" s="7" t="s">
        <v>195</v>
      </c>
      <c r="J36" s="7" t="s">
        <v>195</v>
      </c>
      <c r="K36" s="7" t="s">
        <v>195</v>
      </c>
      <c r="L36" s="7" t="s">
        <v>195</v>
      </c>
      <c r="M36" s="7" t="s">
        <v>29</v>
      </c>
      <c r="N36" s="7" t="s">
        <v>29</v>
      </c>
      <c r="O36" s="7" t="s">
        <v>29</v>
      </c>
      <c r="P36" s="7" t="s">
        <v>29</v>
      </c>
      <c r="Q36" s="7" t="s">
        <v>29</v>
      </c>
      <c r="R36" s="7" t="s">
        <v>29</v>
      </c>
      <c r="S36" s="7" t="s">
        <v>29</v>
      </c>
    </row>
    <row r="37" spans="2:19">
      <c r="B37" s="9" t="s">
        <v>195</v>
      </c>
      <c r="C37" s="7" t="s">
        <v>195</v>
      </c>
      <c r="D37" s="5" t="str">
        <f>LRTRIM(CONCATENATE(IF(SUMPRODUCT(-- ISNUMBER(SEARCH({"Auto Number"}, $B37))) &gt; 0, $B37, IF(SUMPRODUCT(-- ISNUMBER(SEARCH({"Lookup","Master-Detail"}, $B37))) &gt; 0,$B37 &amp; "(" &amp; $E37 &amp; ")",IF(SUMPRODUCT(-- ISNUMBER(SEARCH({"Formula","Roll-Up Summary"}, $B37))) &gt; 0,$B37 &amp; " (" &amp; $E37 &amp; ")",IF(SUMPRODUCT(-- ISNUMBER(SEARCH({"Content","Currency","Number","Percent","Text","URL"}, $B37))) &gt; 0,$B37 &amp; "(" &amp; $C37 &amp; ")",$B37)))), "  ", TRIM(IF($S37 = "YES", "(External ID)", "") &amp; " " &amp; IF(SUMPRODUCT(-- ISNUMBER(SEARCH({"Unique","Unique Case Insensitive"}, $R37))) &gt; 0, "(" &amp; $R37 &amp; ")", ""))))</f>
        <v>na</v>
      </c>
      <c r="E37" s="7" t="s">
        <v>195</v>
      </c>
      <c r="F37" s="7" t="s">
        <v>195</v>
      </c>
      <c r="G37" s="7" t="s">
        <v>195</v>
      </c>
      <c r="H37" s="7" t="s">
        <v>195</v>
      </c>
      <c r="I37" s="7" t="s">
        <v>195</v>
      </c>
      <c r="J37" s="7" t="s">
        <v>195</v>
      </c>
      <c r="K37" s="7" t="s">
        <v>195</v>
      </c>
      <c r="L37" s="7" t="s">
        <v>195</v>
      </c>
      <c r="M37" s="7" t="s">
        <v>29</v>
      </c>
      <c r="N37" s="7" t="s">
        <v>29</v>
      </c>
      <c r="O37" s="7" t="s">
        <v>29</v>
      </c>
      <c r="P37" s="7" t="s">
        <v>29</v>
      </c>
      <c r="Q37" s="7" t="s">
        <v>29</v>
      </c>
      <c r="R37" s="7" t="s">
        <v>29</v>
      </c>
      <c r="S37" s="7" t="s">
        <v>29</v>
      </c>
    </row>
    <row r="38" spans="2:19">
      <c r="B38" s="9" t="s">
        <v>195</v>
      </c>
      <c r="C38" s="7" t="s">
        <v>195</v>
      </c>
      <c r="D38" s="5" t="str">
        <f>LRTRIM(CONCATENATE(IF(SUMPRODUCT(-- ISNUMBER(SEARCH({"Auto Number"}, $B38))) &gt; 0, $B38, IF(SUMPRODUCT(-- ISNUMBER(SEARCH({"Lookup","Master-Detail"}, $B38))) &gt; 0,$B38 &amp; "(" &amp; $E38 &amp; ")",IF(SUMPRODUCT(-- ISNUMBER(SEARCH({"Formula","Roll-Up Summary"}, $B38))) &gt; 0,$B38 &amp; " (" &amp; $E38 &amp; ")",IF(SUMPRODUCT(-- ISNUMBER(SEARCH({"Content","Currency","Number","Percent","Text","URL"}, $B38))) &gt; 0,$B38 &amp; "(" &amp; $C38 &amp; ")",$B38)))), "  ", TRIM(IF($S38 = "YES", "(External ID)", "") &amp; " " &amp; IF(SUMPRODUCT(-- ISNUMBER(SEARCH({"Unique","Unique Case Insensitive"}, $R38))) &gt; 0, "(" &amp; $R38 &amp; ")", ""))))</f>
        <v>na</v>
      </c>
      <c r="E38" s="7" t="s">
        <v>195</v>
      </c>
      <c r="F38" s="7" t="s">
        <v>195</v>
      </c>
      <c r="G38" s="7" t="s">
        <v>195</v>
      </c>
      <c r="H38" s="7" t="s">
        <v>195</v>
      </c>
      <c r="I38" s="7" t="s">
        <v>195</v>
      </c>
      <c r="J38" s="7" t="s">
        <v>195</v>
      </c>
      <c r="K38" s="7" t="s">
        <v>195</v>
      </c>
      <c r="L38" s="7" t="s">
        <v>195</v>
      </c>
      <c r="M38" s="7" t="s">
        <v>29</v>
      </c>
      <c r="N38" s="7" t="s">
        <v>29</v>
      </c>
      <c r="O38" s="7" t="s">
        <v>29</v>
      </c>
      <c r="P38" s="7" t="s">
        <v>29</v>
      </c>
      <c r="Q38" s="7" t="s">
        <v>29</v>
      </c>
      <c r="R38" s="7" t="s">
        <v>29</v>
      </c>
      <c r="S38" s="7" t="s">
        <v>29</v>
      </c>
    </row>
    <row r="39" spans="2:19">
      <c r="B39" s="9" t="s">
        <v>195</v>
      </c>
      <c r="C39" s="7" t="s">
        <v>195</v>
      </c>
      <c r="D39" s="5" t="str">
        <f>LRTRIM(CONCATENATE(IF(SUMPRODUCT(-- ISNUMBER(SEARCH({"Auto Number"}, $B39))) &gt; 0, $B39, IF(SUMPRODUCT(-- ISNUMBER(SEARCH({"Lookup","Master-Detail"}, $B39))) &gt; 0,$B39 &amp; "(" &amp; $E39 &amp; ")",IF(SUMPRODUCT(-- ISNUMBER(SEARCH({"Formula","Roll-Up Summary"}, $B39))) &gt; 0,$B39 &amp; " (" &amp; $E39 &amp; ")",IF(SUMPRODUCT(-- ISNUMBER(SEARCH({"Content","Currency","Number","Percent","Text","URL"}, $B39))) &gt; 0,$B39 &amp; "(" &amp; $C39 &amp; ")",$B39)))), "  ", TRIM(IF($S39 = "YES", "(External ID)", "") &amp; " " &amp; IF(SUMPRODUCT(-- ISNUMBER(SEARCH({"Unique","Unique Case Insensitive"}, $R39))) &gt; 0, "(" &amp; $R39 &amp; ")", ""))))</f>
        <v>na</v>
      </c>
      <c r="E39" s="7" t="s">
        <v>195</v>
      </c>
      <c r="F39" s="7" t="s">
        <v>195</v>
      </c>
      <c r="G39" s="7" t="s">
        <v>195</v>
      </c>
      <c r="H39" s="7" t="s">
        <v>195</v>
      </c>
      <c r="I39" s="7" t="s">
        <v>195</v>
      </c>
      <c r="J39" s="7" t="s">
        <v>195</v>
      </c>
      <c r="K39" s="7" t="s">
        <v>195</v>
      </c>
      <c r="L39" s="7" t="s">
        <v>195</v>
      </c>
      <c r="M39" s="7" t="s">
        <v>29</v>
      </c>
      <c r="N39" s="7" t="s">
        <v>29</v>
      </c>
      <c r="O39" s="7" t="s">
        <v>29</v>
      </c>
      <c r="P39" s="7" t="s">
        <v>29</v>
      </c>
      <c r="Q39" s="7" t="s">
        <v>29</v>
      </c>
      <c r="R39" s="7" t="s">
        <v>29</v>
      </c>
      <c r="S39" s="7" t="s">
        <v>29</v>
      </c>
    </row>
    <row r="40" spans="2:19">
      <c r="B40" s="9" t="s">
        <v>195</v>
      </c>
      <c r="C40" s="7" t="s">
        <v>195</v>
      </c>
      <c r="D40" s="5" t="str">
        <f>LRTRIM(CONCATENATE(IF(SUMPRODUCT(-- ISNUMBER(SEARCH({"Auto Number"}, $B40))) &gt; 0, $B40, IF(SUMPRODUCT(-- ISNUMBER(SEARCH({"Lookup","Master-Detail"}, $B40))) &gt; 0,$B40 &amp; "(" &amp; $E40 &amp; ")",IF(SUMPRODUCT(-- ISNUMBER(SEARCH({"Formula","Roll-Up Summary"}, $B40))) &gt; 0,$B40 &amp; " (" &amp; $E40 &amp; ")",IF(SUMPRODUCT(-- ISNUMBER(SEARCH({"Content","Currency","Number","Percent","Text","URL"}, $B40))) &gt; 0,$B40 &amp; "(" &amp; $C40 &amp; ")",$B40)))), "  ", TRIM(IF($S40 = "YES", "(External ID)", "") &amp; " " &amp; IF(SUMPRODUCT(-- ISNUMBER(SEARCH({"Unique","Unique Case Insensitive"}, $R40))) &gt; 0, "(" &amp; $R40 &amp; ")", ""))))</f>
        <v>na</v>
      </c>
      <c r="E40" s="7" t="s">
        <v>195</v>
      </c>
      <c r="F40" s="7" t="s">
        <v>195</v>
      </c>
      <c r="G40" s="7" t="s">
        <v>195</v>
      </c>
      <c r="H40" s="7" t="s">
        <v>195</v>
      </c>
      <c r="I40" s="7" t="s">
        <v>195</v>
      </c>
      <c r="J40" s="7" t="s">
        <v>195</v>
      </c>
      <c r="K40" s="7" t="s">
        <v>195</v>
      </c>
      <c r="L40" s="7" t="s">
        <v>195</v>
      </c>
      <c r="M40" s="7" t="s">
        <v>29</v>
      </c>
      <c r="N40" s="7" t="s">
        <v>29</v>
      </c>
      <c r="O40" s="7" t="s">
        <v>29</v>
      </c>
      <c r="P40" s="7" t="s">
        <v>29</v>
      </c>
      <c r="Q40" s="7" t="s">
        <v>29</v>
      </c>
      <c r="R40" s="7" t="s">
        <v>29</v>
      </c>
      <c r="S40" s="7" t="s">
        <v>29</v>
      </c>
    </row>
    <row r="41" spans="2:19">
      <c r="B41" s="9" t="s">
        <v>195</v>
      </c>
      <c r="C41" s="7" t="s">
        <v>195</v>
      </c>
      <c r="D41" s="5" t="str">
        <f>LRTRIM(CONCATENATE(IF(SUMPRODUCT(-- ISNUMBER(SEARCH({"Auto Number"}, $B41))) &gt; 0, $B41, IF(SUMPRODUCT(-- ISNUMBER(SEARCH({"Lookup","Master-Detail"}, $B41))) &gt; 0,$B41 &amp; "(" &amp; $E41 &amp; ")",IF(SUMPRODUCT(-- ISNUMBER(SEARCH({"Formula","Roll-Up Summary"}, $B41))) &gt; 0,$B41 &amp; " (" &amp; $E41 &amp; ")",IF(SUMPRODUCT(-- ISNUMBER(SEARCH({"Content","Currency","Number","Percent","Text","URL"}, $B41))) &gt; 0,$B41 &amp; "(" &amp; $C41 &amp; ")",$B41)))), "  ", TRIM(IF($S41 = "YES", "(External ID)", "") &amp; " " &amp; IF(SUMPRODUCT(-- ISNUMBER(SEARCH({"Unique","Unique Case Insensitive"}, $R41))) &gt; 0, "(" &amp; $R41 &amp; ")", ""))))</f>
        <v>na</v>
      </c>
      <c r="E41" s="7" t="s">
        <v>195</v>
      </c>
      <c r="F41" s="7" t="s">
        <v>195</v>
      </c>
      <c r="G41" s="7" t="s">
        <v>195</v>
      </c>
      <c r="H41" s="7" t="s">
        <v>195</v>
      </c>
      <c r="I41" s="7" t="s">
        <v>195</v>
      </c>
      <c r="J41" s="7" t="s">
        <v>195</v>
      </c>
      <c r="K41" s="7" t="s">
        <v>195</v>
      </c>
      <c r="L41" s="7" t="s">
        <v>195</v>
      </c>
      <c r="M41" s="7" t="s">
        <v>29</v>
      </c>
      <c r="N41" s="7" t="s">
        <v>29</v>
      </c>
      <c r="O41" s="7" t="s">
        <v>29</v>
      </c>
      <c r="P41" s="7" t="s">
        <v>29</v>
      </c>
      <c r="Q41" s="7" t="s">
        <v>29</v>
      </c>
      <c r="R41" s="7" t="s">
        <v>29</v>
      </c>
      <c r="S41" s="7" t="s">
        <v>29</v>
      </c>
    </row>
    <row r="42" spans="2:19">
      <c r="B42" s="9" t="s">
        <v>195</v>
      </c>
      <c r="C42" s="7" t="s">
        <v>195</v>
      </c>
      <c r="D42" s="5" t="str">
        <f>LRTRIM(CONCATENATE(IF(SUMPRODUCT(-- ISNUMBER(SEARCH({"Auto Number"}, $B42))) &gt; 0, $B42, IF(SUMPRODUCT(-- ISNUMBER(SEARCH({"Lookup","Master-Detail"}, $B42))) &gt; 0,$B42 &amp; "(" &amp; $E42 &amp; ")",IF(SUMPRODUCT(-- ISNUMBER(SEARCH({"Formula","Roll-Up Summary"}, $B42))) &gt; 0,$B42 &amp; " (" &amp; $E42 &amp; ")",IF(SUMPRODUCT(-- ISNUMBER(SEARCH({"Content","Currency","Number","Percent","Text","URL"}, $B42))) &gt; 0,$B42 &amp; "(" &amp; $C42 &amp; ")",$B42)))), "  ", TRIM(IF($S42 = "YES", "(External ID)", "") &amp; " " &amp; IF(SUMPRODUCT(-- ISNUMBER(SEARCH({"Unique","Unique Case Insensitive"}, $R42))) &gt; 0, "(" &amp; $R42 &amp; ")", ""))))</f>
        <v>na</v>
      </c>
      <c r="E42" s="7" t="s">
        <v>195</v>
      </c>
      <c r="F42" s="7" t="s">
        <v>195</v>
      </c>
      <c r="G42" s="7" t="s">
        <v>195</v>
      </c>
      <c r="H42" s="7" t="s">
        <v>195</v>
      </c>
      <c r="I42" s="7" t="s">
        <v>195</v>
      </c>
      <c r="J42" s="7" t="s">
        <v>195</v>
      </c>
      <c r="K42" s="7" t="s">
        <v>195</v>
      </c>
      <c r="L42" s="7" t="s">
        <v>195</v>
      </c>
      <c r="M42" s="7" t="s">
        <v>29</v>
      </c>
      <c r="N42" s="7" t="s">
        <v>29</v>
      </c>
      <c r="O42" s="7" t="s">
        <v>29</v>
      </c>
      <c r="P42" s="7" t="s">
        <v>29</v>
      </c>
      <c r="Q42" s="7" t="s">
        <v>29</v>
      </c>
      <c r="R42" s="7" t="s">
        <v>29</v>
      </c>
      <c r="S42" s="7" t="s">
        <v>29</v>
      </c>
    </row>
    <row r="43" spans="2:19">
      <c r="B43" s="9" t="s">
        <v>195</v>
      </c>
      <c r="C43" s="7" t="s">
        <v>195</v>
      </c>
      <c r="D43" s="5" t="str">
        <f>LRTRIM(CONCATENATE(IF(SUMPRODUCT(-- ISNUMBER(SEARCH({"Auto Number"}, $B43))) &gt; 0, $B43, IF(SUMPRODUCT(-- ISNUMBER(SEARCH({"Lookup","Master-Detail"}, $B43))) &gt; 0,$B43 &amp; "(" &amp; $E43 &amp; ")",IF(SUMPRODUCT(-- ISNUMBER(SEARCH({"Formula","Roll-Up Summary"}, $B43))) &gt; 0,$B43 &amp; " (" &amp; $E43 &amp; ")",IF(SUMPRODUCT(-- ISNUMBER(SEARCH({"Content","Currency","Number","Percent","Text","URL"}, $B43))) &gt; 0,$B43 &amp; "(" &amp; $C43 &amp; ")",$B43)))), "  ", TRIM(IF($S43 = "YES", "(External ID)", "") &amp; " " &amp; IF(SUMPRODUCT(-- ISNUMBER(SEARCH({"Unique","Unique Case Insensitive"}, $R43))) &gt; 0, "(" &amp; $R43 &amp; ")", ""))))</f>
        <v>na</v>
      </c>
      <c r="E43" s="7" t="s">
        <v>195</v>
      </c>
      <c r="F43" s="7" t="s">
        <v>195</v>
      </c>
      <c r="G43" s="7" t="s">
        <v>195</v>
      </c>
      <c r="H43" s="7" t="s">
        <v>195</v>
      </c>
      <c r="I43" s="7" t="s">
        <v>195</v>
      </c>
      <c r="J43" s="7" t="s">
        <v>195</v>
      </c>
      <c r="K43" s="7" t="s">
        <v>195</v>
      </c>
      <c r="L43" s="7" t="s">
        <v>195</v>
      </c>
      <c r="M43" s="7" t="s">
        <v>29</v>
      </c>
      <c r="N43" s="7" t="s">
        <v>29</v>
      </c>
      <c r="O43" s="7" t="s">
        <v>29</v>
      </c>
      <c r="P43" s="7" t="s">
        <v>29</v>
      </c>
      <c r="Q43" s="7" t="s">
        <v>29</v>
      </c>
      <c r="R43" s="7" t="s">
        <v>29</v>
      </c>
      <c r="S43" s="7" t="s">
        <v>29</v>
      </c>
    </row>
    <row r="44" spans="2:19">
      <c r="B44" s="9" t="s">
        <v>195</v>
      </c>
      <c r="C44" s="7" t="s">
        <v>195</v>
      </c>
      <c r="D44" s="5" t="str">
        <f>LRTRIM(CONCATENATE(IF(SUMPRODUCT(-- ISNUMBER(SEARCH({"Auto Number"}, $B44))) &gt; 0, $B44, IF(SUMPRODUCT(-- ISNUMBER(SEARCH({"Lookup","Master-Detail"}, $B44))) &gt; 0,$B44 &amp; "(" &amp; $E44 &amp; ")",IF(SUMPRODUCT(-- ISNUMBER(SEARCH({"Formula","Roll-Up Summary"}, $B44))) &gt; 0,$B44 &amp; " (" &amp; $E44 &amp; ")",IF(SUMPRODUCT(-- ISNUMBER(SEARCH({"Content","Currency","Number","Percent","Text","URL"}, $B44))) &gt; 0,$B44 &amp; "(" &amp; $C44 &amp; ")",$B44)))), "  ", TRIM(IF($S44 = "YES", "(External ID)", "") &amp; " " &amp; IF(SUMPRODUCT(-- ISNUMBER(SEARCH({"Unique","Unique Case Insensitive"}, $R44))) &gt; 0, "(" &amp; $R44 &amp; ")", ""))))</f>
        <v>na</v>
      </c>
      <c r="E44" s="7" t="s">
        <v>195</v>
      </c>
      <c r="F44" s="7" t="s">
        <v>195</v>
      </c>
      <c r="G44" s="7" t="s">
        <v>195</v>
      </c>
      <c r="H44" s="7" t="s">
        <v>195</v>
      </c>
      <c r="I44" s="7" t="s">
        <v>195</v>
      </c>
      <c r="J44" s="7" t="s">
        <v>195</v>
      </c>
      <c r="K44" s="7" t="s">
        <v>195</v>
      </c>
      <c r="L44" s="7" t="s">
        <v>195</v>
      </c>
      <c r="M44" s="7" t="s">
        <v>29</v>
      </c>
      <c r="N44" s="7" t="s">
        <v>29</v>
      </c>
      <c r="O44" s="7" t="s">
        <v>29</v>
      </c>
      <c r="P44" s="7" t="s">
        <v>29</v>
      </c>
      <c r="Q44" s="7" t="s">
        <v>29</v>
      </c>
      <c r="R44" s="7" t="s">
        <v>29</v>
      </c>
      <c r="S44" s="7" t="s">
        <v>29</v>
      </c>
    </row>
    <row r="45" spans="2:19">
      <c r="B45" s="9" t="s">
        <v>195</v>
      </c>
      <c r="C45" s="7" t="s">
        <v>195</v>
      </c>
      <c r="D45" s="5" t="str">
        <f>LRTRIM(CONCATENATE(IF(SUMPRODUCT(-- ISNUMBER(SEARCH({"Auto Number"}, $B45))) &gt; 0, $B45, IF(SUMPRODUCT(-- ISNUMBER(SEARCH({"Lookup","Master-Detail"}, $B45))) &gt; 0,$B45 &amp; "(" &amp; $E45 &amp; ")",IF(SUMPRODUCT(-- ISNUMBER(SEARCH({"Formula","Roll-Up Summary"}, $B45))) &gt; 0,$B45 &amp; " (" &amp; $E45 &amp; ")",IF(SUMPRODUCT(-- ISNUMBER(SEARCH({"Content","Currency","Number","Percent","Text","URL"}, $B45))) &gt; 0,$B45 &amp; "(" &amp; $C45 &amp; ")",$B45)))), "  ", TRIM(IF($S45 = "YES", "(External ID)", "") &amp; " " &amp; IF(SUMPRODUCT(-- ISNUMBER(SEARCH({"Unique","Unique Case Insensitive"}, $R45))) &gt; 0, "(" &amp; $R45 &amp; ")", ""))))</f>
        <v>na</v>
      </c>
      <c r="E45" s="7" t="s">
        <v>195</v>
      </c>
      <c r="F45" s="7" t="s">
        <v>195</v>
      </c>
      <c r="G45" s="7" t="s">
        <v>195</v>
      </c>
      <c r="H45" s="7" t="s">
        <v>195</v>
      </c>
      <c r="I45" s="7" t="s">
        <v>195</v>
      </c>
      <c r="J45" s="7" t="s">
        <v>195</v>
      </c>
      <c r="K45" s="7" t="s">
        <v>195</v>
      </c>
      <c r="L45" s="7" t="s">
        <v>195</v>
      </c>
      <c r="M45" s="7" t="s">
        <v>29</v>
      </c>
      <c r="N45" s="7" t="s">
        <v>29</v>
      </c>
      <c r="O45" s="7" t="s">
        <v>29</v>
      </c>
      <c r="P45" s="7" t="s">
        <v>29</v>
      </c>
      <c r="Q45" s="7" t="s">
        <v>29</v>
      </c>
      <c r="R45" s="7" t="s">
        <v>29</v>
      </c>
      <c r="S45" s="7" t="s">
        <v>29</v>
      </c>
    </row>
    <row r="46" spans="2:19">
      <c r="B46" s="9" t="s">
        <v>195</v>
      </c>
      <c r="C46" s="7" t="s">
        <v>195</v>
      </c>
      <c r="D46" s="5" t="str">
        <f>LRTRIM(CONCATENATE(IF(SUMPRODUCT(-- ISNUMBER(SEARCH({"Auto Number"}, $B46))) &gt; 0, $B46, IF(SUMPRODUCT(-- ISNUMBER(SEARCH({"Lookup","Master-Detail"}, $B46))) &gt; 0,$B46 &amp; "(" &amp; $E46 &amp; ")",IF(SUMPRODUCT(-- ISNUMBER(SEARCH({"Formula","Roll-Up Summary"}, $B46))) &gt; 0,$B46 &amp; " (" &amp; $E46 &amp; ")",IF(SUMPRODUCT(-- ISNUMBER(SEARCH({"Content","Currency","Number","Percent","Text","URL"}, $B46))) &gt; 0,$B46 &amp; "(" &amp; $C46 &amp; ")",$B46)))), "  ", TRIM(IF($S46 = "YES", "(External ID)", "") &amp; " " &amp; IF(SUMPRODUCT(-- ISNUMBER(SEARCH({"Unique","Unique Case Insensitive"}, $R46))) &gt; 0, "(" &amp; $R46 &amp; ")", ""))))</f>
        <v>na</v>
      </c>
      <c r="E46" s="7" t="s">
        <v>195</v>
      </c>
      <c r="F46" s="7" t="s">
        <v>195</v>
      </c>
      <c r="G46" s="7" t="s">
        <v>195</v>
      </c>
      <c r="H46" s="7" t="s">
        <v>195</v>
      </c>
      <c r="I46" s="7" t="s">
        <v>195</v>
      </c>
      <c r="J46" s="7" t="s">
        <v>195</v>
      </c>
      <c r="K46" s="7" t="s">
        <v>195</v>
      </c>
      <c r="L46" s="7" t="s">
        <v>195</v>
      </c>
      <c r="M46" s="7" t="s">
        <v>29</v>
      </c>
      <c r="N46" s="7" t="s">
        <v>29</v>
      </c>
      <c r="O46" s="7" t="s">
        <v>29</v>
      </c>
      <c r="P46" s="7" t="s">
        <v>29</v>
      </c>
      <c r="Q46" s="7" t="s">
        <v>29</v>
      </c>
      <c r="R46" s="7" t="s">
        <v>29</v>
      </c>
      <c r="S46" s="7" t="s">
        <v>29</v>
      </c>
    </row>
    <row r="47" spans="2:19">
      <c r="B47" s="9" t="s">
        <v>195</v>
      </c>
      <c r="C47" s="7" t="s">
        <v>195</v>
      </c>
      <c r="D47" s="5" t="str">
        <f>LRTRIM(CONCATENATE(IF(SUMPRODUCT(-- ISNUMBER(SEARCH({"Auto Number"}, $B47))) &gt; 0, $B47, IF(SUMPRODUCT(-- ISNUMBER(SEARCH({"Lookup","Master-Detail"}, $B47))) &gt; 0,$B47 &amp; "(" &amp; $E47 &amp; ")",IF(SUMPRODUCT(-- ISNUMBER(SEARCH({"Formula","Roll-Up Summary"}, $B47))) &gt; 0,$B47 &amp; " (" &amp; $E47 &amp; ")",IF(SUMPRODUCT(-- ISNUMBER(SEARCH({"Content","Currency","Number","Percent","Text","URL"}, $B47))) &gt; 0,$B47 &amp; "(" &amp; $C47 &amp; ")",$B47)))), "  ", TRIM(IF($S47 = "YES", "(External ID)", "") &amp; " " &amp; IF(SUMPRODUCT(-- ISNUMBER(SEARCH({"Unique","Unique Case Insensitive"}, $R47))) &gt; 0, "(" &amp; $R47 &amp; ")", ""))))</f>
        <v>na</v>
      </c>
      <c r="E47" s="7" t="s">
        <v>195</v>
      </c>
      <c r="F47" s="7" t="s">
        <v>195</v>
      </c>
      <c r="G47" s="7" t="s">
        <v>195</v>
      </c>
      <c r="H47" s="7" t="s">
        <v>195</v>
      </c>
      <c r="I47" s="7" t="s">
        <v>195</v>
      </c>
      <c r="J47" s="7" t="s">
        <v>195</v>
      </c>
      <c r="K47" s="7" t="s">
        <v>195</v>
      </c>
      <c r="L47" s="7" t="s">
        <v>195</v>
      </c>
      <c r="M47" s="7" t="s">
        <v>29</v>
      </c>
      <c r="N47" s="7" t="s">
        <v>29</v>
      </c>
      <c r="O47" s="7" t="s">
        <v>29</v>
      </c>
      <c r="P47" s="7" t="s">
        <v>29</v>
      </c>
      <c r="Q47" s="7" t="s">
        <v>29</v>
      </c>
      <c r="R47" s="7" t="s">
        <v>29</v>
      </c>
      <c r="S47" s="7" t="s">
        <v>29</v>
      </c>
    </row>
    <row r="48" spans="2:19">
      <c r="B48" s="9" t="s">
        <v>195</v>
      </c>
      <c r="C48" s="7" t="s">
        <v>195</v>
      </c>
      <c r="D48" s="5" t="str">
        <f>LRTRIM(CONCATENATE(IF(SUMPRODUCT(-- ISNUMBER(SEARCH({"Auto Number"}, $B48))) &gt; 0, $B48, IF(SUMPRODUCT(-- ISNUMBER(SEARCH({"Lookup","Master-Detail"}, $B48))) &gt; 0,$B48 &amp; "(" &amp; $E48 &amp; ")",IF(SUMPRODUCT(-- ISNUMBER(SEARCH({"Formula","Roll-Up Summary"}, $B48))) &gt; 0,$B48 &amp; " (" &amp; $E48 &amp; ")",IF(SUMPRODUCT(-- ISNUMBER(SEARCH({"Content","Currency","Number","Percent","Text","URL"}, $B48))) &gt; 0,$B48 &amp; "(" &amp; $C48 &amp; ")",$B48)))), "  ", TRIM(IF($S48 = "YES", "(External ID)", "") &amp; " " &amp; IF(SUMPRODUCT(-- ISNUMBER(SEARCH({"Unique","Unique Case Insensitive"}, $R48))) &gt; 0, "(" &amp; $R48 &amp; ")", ""))))</f>
        <v>na</v>
      </c>
      <c r="E48" s="7" t="s">
        <v>195</v>
      </c>
      <c r="F48" s="7" t="s">
        <v>195</v>
      </c>
      <c r="G48" s="7" t="s">
        <v>195</v>
      </c>
      <c r="H48" s="7" t="s">
        <v>195</v>
      </c>
      <c r="I48" s="7" t="s">
        <v>195</v>
      </c>
      <c r="J48" s="7" t="s">
        <v>195</v>
      </c>
      <c r="K48" s="7" t="s">
        <v>195</v>
      </c>
      <c r="L48" s="7" t="s">
        <v>195</v>
      </c>
      <c r="M48" s="7" t="s">
        <v>29</v>
      </c>
      <c r="N48" s="7" t="s">
        <v>29</v>
      </c>
      <c r="O48" s="7" t="s">
        <v>29</v>
      </c>
      <c r="P48" s="7" t="s">
        <v>29</v>
      </c>
      <c r="Q48" s="7" t="s">
        <v>29</v>
      </c>
      <c r="R48" s="7" t="s">
        <v>29</v>
      </c>
      <c r="S48" s="7" t="s">
        <v>29</v>
      </c>
    </row>
    <row r="49" spans="2:19">
      <c r="B49" s="9" t="s">
        <v>195</v>
      </c>
      <c r="C49" s="7" t="s">
        <v>195</v>
      </c>
      <c r="D49" s="5" t="str">
        <f>LRTRIM(CONCATENATE(IF(SUMPRODUCT(-- ISNUMBER(SEARCH({"Auto Number"}, $B49))) &gt; 0, $B49, IF(SUMPRODUCT(-- ISNUMBER(SEARCH({"Lookup","Master-Detail"}, $B49))) &gt; 0,$B49 &amp; "(" &amp; $E49 &amp; ")",IF(SUMPRODUCT(-- ISNUMBER(SEARCH({"Formula","Roll-Up Summary"}, $B49))) &gt; 0,$B49 &amp; " (" &amp; $E49 &amp; ")",IF(SUMPRODUCT(-- ISNUMBER(SEARCH({"Content","Currency","Number","Percent","Text","URL"}, $B49))) &gt; 0,$B49 &amp; "(" &amp; $C49 &amp; ")",$B49)))), "  ", TRIM(IF($S49 = "YES", "(External ID)", "") &amp; " " &amp; IF(SUMPRODUCT(-- ISNUMBER(SEARCH({"Unique","Unique Case Insensitive"}, $R49))) &gt; 0, "(" &amp; $R49 &amp; ")", ""))))</f>
        <v>na</v>
      </c>
      <c r="E49" s="7" t="s">
        <v>195</v>
      </c>
      <c r="F49" s="7" t="s">
        <v>195</v>
      </c>
      <c r="G49" s="7" t="s">
        <v>195</v>
      </c>
      <c r="H49" s="7" t="s">
        <v>195</v>
      </c>
      <c r="I49" s="7" t="s">
        <v>195</v>
      </c>
      <c r="J49" s="7" t="s">
        <v>195</v>
      </c>
      <c r="K49" s="7" t="s">
        <v>195</v>
      </c>
      <c r="L49" s="7" t="s">
        <v>195</v>
      </c>
      <c r="M49" s="7" t="s">
        <v>29</v>
      </c>
      <c r="N49" s="7" t="s">
        <v>29</v>
      </c>
      <c r="O49" s="7" t="s">
        <v>29</v>
      </c>
      <c r="P49" s="7" t="s">
        <v>29</v>
      </c>
      <c r="Q49" s="7" t="s">
        <v>29</v>
      </c>
      <c r="R49" s="7" t="s">
        <v>29</v>
      </c>
      <c r="S49" s="7" t="s">
        <v>29</v>
      </c>
    </row>
    <row r="50" spans="2:19">
      <c r="B50" s="9" t="s">
        <v>195</v>
      </c>
      <c r="C50" s="7" t="s">
        <v>195</v>
      </c>
      <c r="D50" s="5" t="str">
        <f>LRTRIM(CONCATENATE(IF(SUMPRODUCT(-- ISNUMBER(SEARCH({"Auto Number"}, $B50))) &gt; 0, $B50, IF(SUMPRODUCT(-- ISNUMBER(SEARCH({"Lookup","Master-Detail"}, $B50))) &gt; 0,$B50 &amp; "(" &amp; $E50 &amp; ")",IF(SUMPRODUCT(-- ISNUMBER(SEARCH({"Formula","Roll-Up Summary"}, $B50))) &gt; 0,$B50 &amp; " (" &amp; $E50 &amp; ")",IF(SUMPRODUCT(-- ISNUMBER(SEARCH({"Content","Currency","Number","Percent","Text","URL"}, $B50))) &gt; 0,$B50 &amp; "(" &amp; $C50 &amp; ")",$B50)))), "  ", TRIM(IF($S50 = "YES", "(External ID)", "") &amp; " " &amp; IF(SUMPRODUCT(-- ISNUMBER(SEARCH({"Unique","Unique Case Insensitive"}, $R50))) &gt; 0, "(" &amp; $R50 &amp; ")", ""))))</f>
        <v>na</v>
      </c>
      <c r="E50" s="7" t="s">
        <v>195</v>
      </c>
      <c r="F50" s="7" t="s">
        <v>195</v>
      </c>
      <c r="G50" s="7" t="s">
        <v>195</v>
      </c>
      <c r="H50" s="7" t="s">
        <v>195</v>
      </c>
      <c r="I50" s="7" t="s">
        <v>195</v>
      </c>
      <c r="J50" s="7" t="s">
        <v>195</v>
      </c>
      <c r="K50" s="7" t="s">
        <v>195</v>
      </c>
      <c r="L50" s="7" t="s">
        <v>195</v>
      </c>
      <c r="M50" s="7" t="s">
        <v>29</v>
      </c>
      <c r="N50" s="7" t="s">
        <v>29</v>
      </c>
      <c r="O50" s="7" t="s">
        <v>29</v>
      </c>
      <c r="P50" s="7" t="s">
        <v>29</v>
      </c>
      <c r="Q50" s="7" t="s">
        <v>29</v>
      </c>
      <c r="R50" s="7" t="s">
        <v>29</v>
      </c>
      <c r="S50" s="7" t="s">
        <v>29</v>
      </c>
    </row>
    <row r="51" spans="2:19">
      <c r="B51" s="9" t="s">
        <v>195</v>
      </c>
      <c r="C51" s="7" t="s">
        <v>195</v>
      </c>
      <c r="D51" s="5" t="str">
        <f>LRTRIM(CONCATENATE(IF(SUMPRODUCT(-- ISNUMBER(SEARCH({"Auto Number"}, $B51))) &gt; 0, $B51, IF(SUMPRODUCT(-- ISNUMBER(SEARCH({"Lookup","Master-Detail"}, $B51))) &gt; 0,$B51 &amp; "(" &amp; $E51 &amp; ")",IF(SUMPRODUCT(-- ISNUMBER(SEARCH({"Formula","Roll-Up Summary"}, $B51))) &gt; 0,$B51 &amp; " (" &amp; $E51 &amp; ")",IF(SUMPRODUCT(-- ISNUMBER(SEARCH({"Content","Currency","Number","Percent","Text","URL"}, $B51))) &gt; 0,$B51 &amp; "(" &amp; $C51 &amp; ")",$B51)))), "  ", TRIM(IF($S51 = "YES", "(External ID)", "") &amp; " " &amp; IF(SUMPRODUCT(-- ISNUMBER(SEARCH({"Unique","Unique Case Insensitive"}, $R51))) &gt; 0, "(" &amp; $R51 &amp; ")", ""))))</f>
        <v>na</v>
      </c>
      <c r="E51" s="7" t="s">
        <v>195</v>
      </c>
      <c r="F51" s="7" t="s">
        <v>195</v>
      </c>
      <c r="G51" s="7" t="s">
        <v>195</v>
      </c>
      <c r="H51" s="7" t="s">
        <v>195</v>
      </c>
      <c r="I51" s="7" t="s">
        <v>195</v>
      </c>
      <c r="J51" s="7" t="s">
        <v>195</v>
      </c>
      <c r="K51" s="7" t="s">
        <v>195</v>
      </c>
      <c r="L51" s="7" t="s">
        <v>195</v>
      </c>
      <c r="M51" s="7" t="s">
        <v>29</v>
      </c>
      <c r="N51" s="7" t="s">
        <v>29</v>
      </c>
      <c r="O51" s="7" t="s">
        <v>29</v>
      </c>
      <c r="P51" s="7" t="s">
        <v>29</v>
      </c>
      <c r="Q51" s="7" t="s">
        <v>29</v>
      </c>
      <c r="R51" s="7" t="s">
        <v>29</v>
      </c>
      <c r="S51" s="7" t="s">
        <v>29</v>
      </c>
    </row>
    <row r="52" spans="2:19">
      <c r="B52" s="9" t="s">
        <v>195</v>
      </c>
      <c r="C52" s="7" t="s">
        <v>195</v>
      </c>
      <c r="D52" s="5" t="str">
        <f>LRTRIM(CONCATENATE(IF(SUMPRODUCT(-- ISNUMBER(SEARCH({"Auto Number"}, $B52))) &gt; 0, $B52, IF(SUMPRODUCT(-- ISNUMBER(SEARCH({"Lookup","Master-Detail"}, $B52))) &gt; 0,$B52 &amp; "(" &amp; $E52 &amp; ")",IF(SUMPRODUCT(-- ISNUMBER(SEARCH({"Formula","Roll-Up Summary"}, $B52))) &gt; 0,$B52 &amp; " (" &amp; $E52 &amp; ")",IF(SUMPRODUCT(-- ISNUMBER(SEARCH({"Content","Currency","Number","Percent","Text","URL"}, $B52))) &gt; 0,$B52 &amp; "(" &amp; $C52 &amp; ")",$B52)))), "  ", TRIM(IF($S52 = "YES", "(External ID)", "") &amp; " " &amp; IF(SUMPRODUCT(-- ISNUMBER(SEARCH({"Unique","Unique Case Insensitive"}, $R52))) &gt; 0, "(" &amp; $R52 &amp; ")", ""))))</f>
        <v>na</v>
      </c>
      <c r="E52" s="7" t="s">
        <v>195</v>
      </c>
      <c r="F52" s="7" t="s">
        <v>195</v>
      </c>
      <c r="G52" s="7" t="s">
        <v>195</v>
      </c>
      <c r="H52" s="7" t="s">
        <v>195</v>
      </c>
      <c r="I52" s="7" t="s">
        <v>195</v>
      </c>
      <c r="J52" s="7" t="s">
        <v>195</v>
      </c>
      <c r="K52" s="7" t="s">
        <v>195</v>
      </c>
      <c r="L52" s="7" t="s">
        <v>195</v>
      </c>
      <c r="M52" s="7" t="s">
        <v>29</v>
      </c>
      <c r="N52" s="7" t="s">
        <v>29</v>
      </c>
      <c r="O52" s="7" t="s">
        <v>29</v>
      </c>
      <c r="P52" s="7" t="s">
        <v>29</v>
      </c>
      <c r="Q52" s="7" t="s">
        <v>29</v>
      </c>
      <c r="R52" s="7" t="s">
        <v>29</v>
      </c>
      <c r="S52" s="7" t="s">
        <v>29</v>
      </c>
    </row>
    <row r="53" spans="2:19">
      <c r="B53" s="9" t="s">
        <v>195</v>
      </c>
      <c r="C53" s="7" t="s">
        <v>195</v>
      </c>
      <c r="D53" s="5" t="str">
        <f>LRTRIM(CONCATENATE(IF(SUMPRODUCT(-- ISNUMBER(SEARCH({"Auto Number"}, $B53))) &gt; 0, $B53, IF(SUMPRODUCT(-- ISNUMBER(SEARCH({"Lookup","Master-Detail"}, $B53))) &gt; 0,$B53 &amp; "(" &amp; $E53 &amp; ")",IF(SUMPRODUCT(-- ISNUMBER(SEARCH({"Formula","Roll-Up Summary"}, $B53))) &gt; 0,$B53 &amp; " (" &amp; $E53 &amp; ")",IF(SUMPRODUCT(-- ISNUMBER(SEARCH({"Content","Currency","Number","Percent","Text","URL"}, $B53))) &gt; 0,$B53 &amp; "(" &amp; $C53 &amp; ")",$B53)))), "  ", TRIM(IF($S53 = "YES", "(External ID)", "") &amp; " " &amp; IF(SUMPRODUCT(-- ISNUMBER(SEARCH({"Unique","Unique Case Insensitive"}, $R53))) &gt; 0, "(" &amp; $R53 &amp; ")", ""))))</f>
        <v>na</v>
      </c>
      <c r="E53" s="7" t="s">
        <v>195</v>
      </c>
      <c r="F53" s="7" t="s">
        <v>195</v>
      </c>
      <c r="G53" s="7" t="s">
        <v>195</v>
      </c>
      <c r="H53" s="7" t="s">
        <v>195</v>
      </c>
      <c r="I53" s="7" t="s">
        <v>195</v>
      </c>
      <c r="J53" s="7" t="s">
        <v>195</v>
      </c>
      <c r="K53" s="7" t="s">
        <v>195</v>
      </c>
      <c r="L53" s="7" t="s">
        <v>195</v>
      </c>
      <c r="M53" s="7" t="s">
        <v>29</v>
      </c>
      <c r="N53" s="7" t="s">
        <v>29</v>
      </c>
      <c r="O53" s="7" t="s">
        <v>29</v>
      </c>
      <c r="P53" s="7" t="s">
        <v>29</v>
      </c>
      <c r="Q53" s="7" t="s">
        <v>29</v>
      </c>
      <c r="R53" s="7" t="s">
        <v>29</v>
      </c>
      <c r="S53" s="7" t="s">
        <v>29</v>
      </c>
    </row>
    <row r="54" spans="2:19">
      <c r="B54" s="9" t="s">
        <v>195</v>
      </c>
      <c r="C54" s="7" t="s">
        <v>195</v>
      </c>
      <c r="D54" s="5" t="str">
        <f>LRTRIM(CONCATENATE(IF(SUMPRODUCT(-- ISNUMBER(SEARCH({"Auto Number"}, $B54))) &gt; 0, $B54, IF(SUMPRODUCT(-- ISNUMBER(SEARCH({"Lookup","Master-Detail"}, $B54))) &gt; 0,$B54 &amp; "(" &amp; $E54 &amp; ")",IF(SUMPRODUCT(-- ISNUMBER(SEARCH({"Formula","Roll-Up Summary"}, $B54))) &gt; 0,$B54 &amp; " (" &amp; $E54 &amp; ")",IF(SUMPRODUCT(-- ISNUMBER(SEARCH({"Content","Currency","Number","Percent","Text","URL"}, $B54))) &gt; 0,$B54 &amp; "(" &amp; $C54 &amp; ")",$B54)))), "  ", TRIM(IF($S54 = "YES", "(External ID)", "") &amp; " " &amp; IF(SUMPRODUCT(-- ISNUMBER(SEARCH({"Unique","Unique Case Insensitive"}, $R54))) &gt; 0, "(" &amp; $R54 &amp; ")", ""))))</f>
        <v>na</v>
      </c>
      <c r="E54" s="7" t="s">
        <v>195</v>
      </c>
      <c r="F54" s="7" t="s">
        <v>195</v>
      </c>
      <c r="G54" s="7" t="s">
        <v>195</v>
      </c>
      <c r="H54" s="7" t="s">
        <v>195</v>
      </c>
      <c r="I54" s="7" t="s">
        <v>195</v>
      </c>
      <c r="J54" s="7" t="s">
        <v>195</v>
      </c>
      <c r="K54" s="7" t="s">
        <v>195</v>
      </c>
      <c r="L54" s="7" t="s">
        <v>195</v>
      </c>
      <c r="M54" s="7" t="s">
        <v>29</v>
      </c>
      <c r="N54" s="7" t="s">
        <v>29</v>
      </c>
      <c r="O54" s="7" t="s">
        <v>29</v>
      </c>
      <c r="P54" s="7" t="s">
        <v>29</v>
      </c>
      <c r="Q54" s="7" t="s">
        <v>29</v>
      </c>
      <c r="R54" s="7" t="s">
        <v>29</v>
      </c>
      <c r="S54" s="7" t="s">
        <v>29</v>
      </c>
    </row>
    <row r="55" spans="2:19">
      <c r="B55" s="9" t="s">
        <v>195</v>
      </c>
      <c r="C55" s="7" t="s">
        <v>195</v>
      </c>
      <c r="D55" s="5" t="str">
        <f>LRTRIM(CONCATENATE(IF(SUMPRODUCT(-- ISNUMBER(SEARCH({"Auto Number"}, $B55))) &gt; 0, $B55, IF(SUMPRODUCT(-- ISNUMBER(SEARCH({"Lookup","Master-Detail"}, $B55))) &gt; 0,$B55 &amp; "(" &amp; $E55 &amp; ")",IF(SUMPRODUCT(-- ISNUMBER(SEARCH({"Formula","Roll-Up Summary"}, $B55))) &gt; 0,$B55 &amp; " (" &amp; $E55 &amp; ")",IF(SUMPRODUCT(-- ISNUMBER(SEARCH({"Content","Currency","Number","Percent","Text","URL"}, $B55))) &gt; 0,$B55 &amp; "(" &amp; $C55 &amp; ")",$B55)))), "  ", TRIM(IF($S55 = "YES", "(External ID)", "") &amp; " " &amp; IF(SUMPRODUCT(-- ISNUMBER(SEARCH({"Unique","Unique Case Insensitive"}, $R55))) &gt; 0, "(" &amp; $R55 &amp; ")", ""))))</f>
        <v>na</v>
      </c>
      <c r="E55" s="7" t="s">
        <v>195</v>
      </c>
      <c r="F55" s="7" t="s">
        <v>195</v>
      </c>
      <c r="G55" s="7" t="s">
        <v>195</v>
      </c>
      <c r="H55" s="7" t="s">
        <v>195</v>
      </c>
      <c r="I55" s="7" t="s">
        <v>195</v>
      </c>
      <c r="J55" s="7" t="s">
        <v>195</v>
      </c>
      <c r="K55" s="7" t="s">
        <v>195</v>
      </c>
      <c r="L55" s="7" t="s">
        <v>195</v>
      </c>
      <c r="M55" s="7" t="s">
        <v>29</v>
      </c>
      <c r="N55" s="7" t="s">
        <v>29</v>
      </c>
      <c r="O55" s="7" t="s">
        <v>29</v>
      </c>
      <c r="P55" s="7" t="s">
        <v>29</v>
      </c>
      <c r="Q55" s="7" t="s">
        <v>29</v>
      </c>
      <c r="R55" s="7" t="s">
        <v>29</v>
      </c>
      <c r="S55" s="7" t="s">
        <v>29</v>
      </c>
    </row>
    <row r="56" spans="2:19">
      <c r="B56" s="9" t="s">
        <v>195</v>
      </c>
      <c r="C56" s="7" t="s">
        <v>195</v>
      </c>
      <c r="D56" s="5" t="str">
        <f>LRTRIM(CONCATENATE(IF(SUMPRODUCT(-- ISNUMBER(SEARCH({"Auto Number"}, $B56))) &gt; 0, $B56, IF(SUMPRODUCT(-- ISNUMBER(SEARCH({"Lookup","Master-Detail"}, $B56))) &gt; 0,$B56 &amp; "(" &amp; $E56 &amp; ")",IF(SUMPRODUCT(-- ISNUMBER(SEARCH({"Formula","Roll-Up Summary"}, $B56))) &gt; 0,$B56 &amp; " (" &amp; $E56 &amp; ")",IF(SUMPRODUCT(-- ISNUMBER(SEARCH({"Content","Currency","Number","Percent","Text","URL"}, $B56))) &gt; 0,$B56 &amp; "(" &amp; $C56 &amp; ")",$B56)))), "  ", TRIM(IF($S56 = "YES", "(External ID)", "") &amp; " " &amp; IF(SUMPRODUCT(-- ISNUMBER(SEARCH({"Unique","Unique Case Insensitive"}, $R56))) &gt; 0, "(" &amp; $R56 &amp; ")", ""))))</f>
        <v>na</v>
      </c>
      <c r="E56" s="7" t="s">
        <v>195</v>
      </c>
      <c r="F56" s="7" t="s">
        <v>195</v>
      </c>
      <c r="G56" s="7" t="s">
        <v>195</v>
      </c>
      <c r="H56" s="7" t="s">
        <v>195</v>
      </c>
      <c r="I56" s="7" t="s">
        <v>195</v>
      </c>
      <c r="J56" s="7" t="s">
        <v>195</v>
      </c>
      <c r="K56" s="7" t="s">
        <v>195</v>
      </c>
      <c r="L56" s="7" t="s">
        <v>195</v>
      </c>
      <c r="M56" s="7" t="s">
        <v>29</v>
      </c>
      <c r="N56" s="7" t="s">
        <v>29</v>
      </c>
      <c r="O56" s="7" t="s">
        <v>29</v>
      </c>
      <c r="P56" s="7" t="s">
        <v>29</v>
      </c>
      <c r="Q56" s="7" t="s">
        <v>29</v>
      </c>
      <c r="R56" s="7" t="s">
        <v>29</v>
      </c>
      <c r="S56" s="7" t="s">
        <v>29</v>
      </c>
    </row>
    <row r="57" spans="2:19">
      <c r="B57" s="9" t="s">
        <v>195</v>
      </c>
      <c r="C57" s="7" t="s">
        <v>195</v>
      </c>
      <c r="D57" s="5" t="str">
        <f>LRTRIM(CONCATENATE(IF(SUMPRODUCT(-- ISNUMBER(SEARCH({"Auto Number"}, $B57))) &gt; 0, $B57, IF(SUMPRODUCT(-- ISNUMBER(SEARCH({"Lookup","Master-Detail"}, $B57))) &gt; 0,$B57 &amp; "(" &amp; $E57 &amp; ")",IF(SUMPRODUCT(-- ISNUMBER(SEARCH({"Formula","Roll-Up Summary"}, $B57))) &gt; 0,$B57 &amp; " (" &amp; $E57 &amp; ")",IF(SUMPRODUCT(-- ISNUMBER(SEARCH({"Content","Currency","Number","Percent","Text","URL"}, $B57))) &gt; 0,$B57 &amp; "(" &amp; $C57 &amp; ")",$B57)))), "  ", TRIM(IF($S57 = "YES", "(External ID)", "") &amp; " " &amp; IF(SUMPRODUCT(-- ISNUMBER(SEARCH({"Unique","Unique Case Insensitive"}, $R57))) &gt; 0, "(" &amp; $R57 &amp; ")", ""))))</f>
        <v>na</v>
      </c>
      <c r="E57" s="7" t="s">
        <v>195</v>
      </c>
      <c r="F57" s="7" t="s">
        <v>195</v>
      </c>
      <c r="G57" s="7" t="s">
        <v>195</v>
      </c>
      <c r="H57" s="7" t="s">
        <v>195</v>
      </c>
      <c r="I57" s="7" t="s">
        <v>195</v>
      </c>
      <c r="J57" s="7" t="s">
        <v>195</v>
      </c>
      <c r="K57" s="7" t="s">
        <v>195</v>
      </c>
      <c r="L57" s="7" t="s">
        <v>195</v>
      </c>
      <c r="M57" s="7" t="s">
        <v>29</v>
      </c>
      <c r="N57" s="7" t="s">
        <v>29</v>
      </c>
      <c r="O57" s="7" t="s">
        <v>29</v>
      </c>
      <c r="P57" s="7" t="s">
        <v>29</v>
      </c>
      <c r="Q57" s="7" t="s">
        <v>29</v>
      </c>
      <c r="R57" s="7" t="s">
        <v>29</v>
      </c>
      <c r="S57" s="7" t="s">
        <v>29</v>
      </c>
    </row>
    <row r="58" spans="2:19">
      <c r="B58" s="9" t="s">
        <v>195</v>
      </c>
      <c r="C58" s="7" t="s">
        <v>195</v>
      </c>
      <c r="D58" s="5" t="str">
        <f>LRTRIM(CONCATENATE(IF(SUMPRODUCT(-- ISNUMBER(SEARCH({"Auto Number"}, $B58))) &gt; 0, $B58, IF(SUMPRODUCT(-- ISNUMBER(SEARCH({"Lookup","Master-Detail"}, $B58))) &gt; 0,$B58 &amp; "(" &amp; $E58 &amp; ")",IF(SUMPRODUCT(-- ISNUMBER(SEARCH({"Formula","Roll-Up Summary"}, $B58))) &gt; 0,$B58 &amp; " (" &amp; $E58 &amp; ")",IF(SUMPRODUCT(-- ISNUMBER(SEARCH({"Content","Currency","Number","Percent","Text","URL"}, $B58))) &gt; 0,$B58 &amp; "(" &amp; $C58 &amp; ")",$B58)))), "  ", TRIM(IF($S58 = "YES", "(External ID)", "") &amp; " " &amp; IF(SUMPRODUCT(-- ISNUMBER(SEARCH({"Unique","Unique Case Insensitive"}, $R58))) &gt; 0, "(" &amp; $R58 &amp; ")", ""))))</f>
        <v>na</v>
      </c>
      <c r="E58" s="7" t="s">
        <v>195</v>
      </c>
      <c r="F58" s="7" t="s">
        <v>195</v>
      </c>
      <c r="G58" s="7" t="s">
        <v>195</v>
      </c>
      <c r="H58" s="7" t="s">
        <v>195</v>
      </c>
      <c r="I58" s="7" t="s">
        <v>195</v>
      </c>
      <c r="J58" s="7" t="s">
        <v>195</v>
      </c>
      <c r="K58" s="7" t="s">
        <v>195</v>
      </c>
      <c r="L58" s="7" t="s">
        <v>195</v>
      </c>
      <c r="M58" s="7" t="s">
        <v>29</v>
      </c>
      <c r="N58" s="7" t="s">
        <v>29</v>
      </c>
      <c r="O58" s="7" t="s">
        <v>29</v>
      </c>
      <c r="P58" s="7" t="s">
        <v>29</v>
      </c>
      <c r="Q58" s="7" t="s">
        <v>29</v>
      </c>
      <c r="R58" s="7" t="s">
        <v>29</v>
      </c>
      <c r="S58" s="7" t="s">
        <v>29</v>
      </c>
    </row>
    <row r="59" spans="2:19">
      <c r="B59" s="9" t="s">
        <v>195</v>
      </c>
      <c r="C59" s="7" t="s">
        <v>195</v>
      </c>
      <c r="D59" s="5" t="str">
        <f>LRTRIM(CONCATENATE(IF(SUMPRODUCT(-- ISNUMBER(SEARCH({"Auto Number"}, $B59))) &gt; 0, $B59, IF(SUMPRODUCT(-- ISNUMBER(SEARCH({"Lookup","Master-Detail"}, $B59))) &gt; 0,$B59 &amp; "(" &amp; $E59 &amp; ")",IF(SUMPRODUCT(-- ISNUMBER(SEARCH({"Formula","Roll-Up Summary"}, $B59))) &gt; 0,$B59 &amp; " (" &amp; $E59 &amp; ")",IF(SUMPRODUCT(-- ISNUMBER(SEARCH({"Content","Currency","Number","Percent","Text","URL"}, $B59))) &gt; 0,$B59 &amp; "(" &amp; $C59 &amp; ")",$B59)))), "  ", TRIM(IF($S59 = "YES", "(External ID)", "") &amp; " " &amp; IF(SUMPRODUCT(-- ISNUMBER(SEARCH({"Unique","Unique Case Insensitive"}, $R59))) &gt; 0, "(" &amp; $R59 &amp; ")", ""))))</f>
        <v>na</v>
      </c>
      <c r="E59" s="7" t="s">
        <v>195</v>
      </c>
      <c r="F59" s="7" t="s">
        <v>195</v>
      </c>
      <c r="G59" s="7" t="s">
        <v>195</v>
      </c>
      <c r="H59" s="7" t="s">
        <v>195</v>
      </c>
      <c r="I59" s="7" t="s">
        <v>195</v>
      </c>
      <c r="J59" s="7" t="s">
        <v>195</v>
      </c>
      <c r="K59" s="7" t="s">
        <v>195</v>
      </c>
      <c r="L59" s="7" t="s">
        <v>195</v>
      </c>
      <c r="M59" s="7" t="s">
        <v>29</v>
      </c>
      <c r="N59" s="7" t="s">
        <v>29</v>
      </c>
      <c r="O59" s="7" t="s">
        <v>29</v>
      </c>
      <c r="P59" s="7" t="s">
        <v>29</v>
      </c>
      <c r="Q59" s="7" t="s">
        <v>29</v>
      </c>
      <c r="R59" s="7" t="s">
        <v>29</v>
      </c>
      <c r="S59" s="7" t="s">
        <v>29</v>
      </c>
    </row>
    <row r="60" spans="2:19">
      <c r="B60" s="9" t="s">
        <v>195</v>
      </c>
      <c r="C60" s="7" t="s">
        <v>195</v>
      </c>
      <c r="D60" s="5" t="str">
        <f>LRTRIM(CONCATENATE(IF(SUMPRODUCT(-- ISNUMBER(SEARCH({"Auto Number"}, $B60))) &gt; 0, $B60, IF(SUMPRODUCT(-- ISNUMBER(SEARCH({"Lookup","Master-Detail"}, $B60))) &gt; 0,$B60 &amp; "(" &amp; $E60 &amp; ")",IF(SUMPRODUCT(-- ISNUMBER(SEARCH({"Formula","Roll-Up Summary"}, $B60))) &gt; 0,$B60 &amp; " (" &amp; $E60 &amp; ")",IF(SUMPRODUCT(-- ISNUMBER(SEARCH({"Content","Currency","Number","Percent","Text","URL"}, $B60))) &gt; 0,$B60 &amp; "(" &amp; $C60 &amp; ")",$B60)))), "  ", TRIM(IF($S60 = "YES", "(External ID)", "") &amp; " " &amp; IF(SUMPRODUCT(-- ISNUMBER(SEARCH({"Unique","Unique Case Insensitive"}, $R60))) &gt; 0, "(" &amp; $R60 &amp; ")", ""))))</f>
        <v>na</v>
      </c>
      <c r="E60" s="7" t="s">
        <v>195</v>
      </c>
      <c r="F60" s="7" t="s">
        <v>195</v>
      </c>
      <c r="G60" s="7" t="s">
        <v>195</v>
      </c>
      <c r="H60" s="7" t="s">
        <v>195</v>
      </c>
      <c r="I60" s="7" t="s">
        <v>195</v>
      </c>
      <c r="J60" s="7" t="s">
        <v>195</v>
      </c>
      <c r="K60" s="7" t="s">
        <v>195</v>
      </c>
      <c r="L60" s="7" t="s">
        <v>195</v>
      </c>
      <c r="M60" s="7" t="s">
        <v>29</v>
      </c>
      <c r="N60" s="7" t="s">
        <v>29</v>
      </c>
      <c r="O60" s="7" t="s">
        <v>29</v>
      </c>
      <c r="P60" s="7" t="s">
        <v>29</v>
      </c>
      <c r="Q60" s="7" t="s">
        <v>29</v>
      </c>
      <c r="R60" s="7" t="s">
        <v>29</v>
      </c>
      <c r="S60" s="7" t="s">
        <v>29</v>
      </c>
    </row>
    <row r="61" spans="2:19">
      <c r="B61" s="9" t="s">
        <v>195</v>
      </c>
      <c r="C61" s="7" t="s">
        <v>195</v>
      </c>
      <c r="D61" s="5" t="str">
        <f>LRTRIM(CONCATENATE(IF(SUMPRODUCT(-- ISNUMBER(SEARCH({"Auto Number"}, $B61))) &gt; 0, $B61, IF(SUMPRODUCT(-- ISNUMBER(SEARCH({"Lookup","Master-Detail"}, $B61))) &gt; 0,$B61 &amp; "(" &amp; $E61 &amp; ")",IF(SUMPRODUCT(-- ISNUMBER(SEARCH({"Formula","Roll-Up Summary"}, $B61))) &gt; 0,$B61 &amp; " (" &amp; $E61 &amp; ")",IF(SUMPRODUCT(-- ISNUMBER(SEARCH({"Content","Currency","Number","Percent","Text","URL"}, $B61))) &gt; 0,$B61 &amp; "(" &amp; $C61 &amp; ")",$B61)))), "  ", TRIM(IF($S61 = "YES", "(External ID)", "") &amp; " " &amp; IF(SUMPRODUCT(-- ISNUMBER(SEARCH({"Unique","Unique Case Insensitive"}, $R61))) &gt; 0, "(" &amp; $R61 &amp; ")", ""))))</f>
        <v>na</v>
      </c>
      <c r="E61" s="7" t="s">
        <v>195</v>
      </c>
      <c r="F61" s="7" t="s">
        <v>195</v>
      </c>
      <c r="G61" s="7" t="s">
        <v>195</v>
      </c>
      <c r="H61" s="7" t="s">
        <v>195</v>
      </c>
      <c r="I61" s="7" t="s">
        <v>195</v>
      </c>
      <c r="J61" s="7" t="s">
        <v>195</v>
      </c>
      <c r="K61" s="7" t="s">
        <v>195</v>
      </c>
      <c r="L61" s="7" t="s">
        <v>195</v>
      </c>
      <c r="M61" s="7" t="s">
        <v>29</v>
      </c>
      <c r="N61" s="7" t="s">
        <v>29</v>
      </c>
      <c r="O61" s="7" t="s">
        <v>29</v>
      </c>
      <c r="P61" s="7" t="s">
        <v>29</v>
      </c>
      <c r="Q61" s="7" t="s">
        <v>29</v>
      </c>
      <c r="R61" s="7" t="s">
        <v>29</v>
      </c>
      <c r="S61" s="7" t="s">
        <v>29</v>
      </c>
    </row>
    <row r="62" spans="2:19">
      <c r="B62" s="9" t="s">
        <v>195</v>
      </c>
      <c r="C62" s="7" t="s">
        <v>195</v>
      </c>
      <c r="D62" s="5" t="str">
        <f>LRTRIM(CONCATENATE(IF(SUMPRODUCT(-- ISNUMBER(SEARCH({"Auto Number"}, $B62))) &gt; 0, $B62, IF(SUMPRODUCT(-- ISNUMBER(SEARCH({"Lookup","Master-Detail"}, $B62))) &gt; 0,$B62 &amp; "(" &amp; $E62 &amp; ")",IF(SUMPRODUCT(-- ISNUMBER(SEARCH({"Formula","Roll-Up Summary"}, $B62))) &gt; 0,$B62 &amp; " (" &amp; $E62 &amp; ")",IF(SUMPRODUCT(-- ISNUMBER(SEARCH({"Content","Currency","Number","Percent","Text","URL"}, $B62))) &gt; 0,$B62 &amp; "(" &amp; $C62 &amp; ")",$B62)))), "  ", TRIM(IF($S62 = "YES", "(External ID)", "") &amp; " " &amp; IF(SUMPRODUCT(-- ISNUMBER(SEARCH({"Unique","Unique Case Insensitive"}, $R62))) &gt; 0, "(" &amp; $R62 &amp; ")", ""))))</f>
        <v>na</v>
      </c>
      <c r="E62" s="7" t="s">
        <v>195</v>
      </c>
      <c r="F62" s="7" t="s">
        <v>195</v>
      </c>
      <c r="G62" s="7" t="s">
        <v>195</v>
      </c>
      <c r="H62" s="7" t="s">
        <v>195</v>
      </c>
      <c r="I62" s="7" t="s">
        <v>195</v>
      </c>
      <c r="J62" s="7" t="s">
        <v>195</v>
      </c>
      <c r="K62" s="7" t="s">
        <v>195</v>
      </c>
      <c r="L62" s="7" t="s">
        <v>195</v>
      </c>
      <c r="M62" s="7" t="s">
        <v>29</v>
      </c>
      <c r="N62" s="7" t="s">
        <v>29</v>
      </c>
      <c r="O62" s="7" t="s">
        <v>29</v>
      </c>
      <c r="P62" s="7" t="s">
        <v>29</v>
      </c>
      <c r="Q62" s="7" t="s">
        <v>29</v>
      </c>
      <c r="R62" s="7" t="s">
        <v>29</v>
      </c>
      <c r="S62" s="7" t="s">
        <v>29</v>
      </c>
    </row>
    <row r="63" spans="2:19">
      <c r="B63" s="9" t="s">
        <v>195</v>
      </c>
      <c r="C63" s="7" t="s">
        <v>195</v>
      </c>
      <c r="D63" s="5" t="str">
        <f>LRTRIM(CONCATENATE(IF(SUMPRODUCT(-- ISNUMBER(SEARCH({"Auto Number"}, $B63))) &gt; 0, $B63, IF(SUMPRODUCT(-- ISNUMBER(SEARCH({"Lookup","Master-Detail"}, $B63))) &gt; 0,$B63 &amp; "(" &amp; $E63 &amp; ")",IF(SUMPRODUCT(-- ISNUMBER(SEARCH({"Formula","Roll-Up Summary"}, $B63))) &gt; 0,$B63 &amp; " (" &amp; $E63 &amp; ")",IF(SUMPRODUCT(-- ISNUMBER(SEARCH({"Content","Currency","Number","Percent","Text","URL"}, $B63))) &gt; 0,$B63 &amp; "(" &amp; $C63 &amp; ")",$B63)))), "  ", TRIM(IF($S63 = "YES", "(External ID)", "") &amp; " " &amp; IF(SUMPRODUCT(-- ISNUMBER(SEARCH({"Unique","Unique Case Insensitive"}, $R63))) &gt; 0, "(" &amp; $R63 &amp; ")", ""))))</f>
        <v>na</v>
      </c>
      <c r="E63" s="7" t="s">
        <v>195</v>
      </c>
      <c r="F63" s="7" t="s">
        <v>195</v>
      </c>
      <c r="G63" s="7" t="s">
        <v>195</v>
      </c>
      <c r="H63" s="7" t="s">
        <v>195</v>
      </c>
      <c r="I63" s="7" t="s">
        <v>195</v>
      </c>
      <c r="J63" s="7" t="s">
        <v>195</v>
      </c>
      <c r="K63" s="7" t="s">
        <v>195</v>
      </c>
      <c r="L63" s="7" t="s">
        <v>195</v>
      </c>
      <c r="M63" s="7" t="s">
        <v>29</v>
      </c>
      <c r="N63" s="7" t="s">
        <v>29</v>
      </c>
      <c r="O63" s="7" t="s">
        <v>29</v>
      </c>
      <c r="P63" s="7" t="s">
        <v>29</v>
      </c>
      <c r="Q63" s="7" t="s">
        <v>29</v>
      </c>
      <c r="R63" s="7" t="s">
        <v>29</v>
      </c>
      <c r="S63" s="7" t="s">
        <v>29</v>
      </c>
    </row>
    <row r="64" spans="2:19">
      <c r="B64" s="9" t="s">
        <v>195</v>
      </c>
      <c r="C64" s="7" t="s">
        <v>195</v>
      </c>
      <c r="D64" s="5" t="str">
        <f>LRTRIM(CONCATENATE(IF(SUMPRODUCT(-- ISNUMBER(SEARCH({"Auto Number"}, $B64))) &gt; 0, $B64, IF(SUMPRODUCT(-- ISNUMBER(SEARCH({"Lookup","Master-Detail"}, $B64))) &gt; 0,$B64 &amp; "(" &amp; $E64 &amp; ")",IF(SUMPRODUCT(-- ISNUMBER(SEARCH({"Formula","Roll-Up Summary"}, $B64))) &gt; 0,$B64 &amp; " (" &amp; $E64 &amp; ")",IF(SUMPRODUCT(-- ISNUMBER(SEARCH({"Content","Currency","Number","Percent","Text","URL"}, $B64))) &gt; 0,$B64 &amp; "(" &amp; $C64 &amp; ")",$B64)))), "  ", TRIM(IF($S64 = "YES", "(External ID)", "") &amp; " " &amp; IF(SUMPRODUCT(-- ISNUMBER(SEARCH({"Unique","Unique Case Insensitive"}, $R64))) &gt; 0, "(" &amp; $R64 &amp; ")", ""))))</f>
        <v>na</v>
      </c>
      <c r="E64" s="7" t="s">
        <v>195</v>
      </c>
      <c r="F64" s="7" t="s">
        <v>195</v>
      </c>
      <c r="G64" s="7" t="s">
        <v>195</v>
      </c>
      <c r="H64" s="7" t="s">
        <v>195</v>
      </c>
      <c r="I64" s="7" t="s">
        <v>195</v>
      </c>
      <c r="J64" s="7" t="s">
        <v>195</v>
      </c>
      <c r="K64" s="7" t="s">
        <v>195</v>
      </c>
      <c r="L64" s="7" t="s">
        <v>195</v>
      </c>
      <c r="M64" s="7" t="s">
        <v>29</v>
      </c>
      <c r="N64" s="7" t="s">
        <v>29</v>
      </c>
      <c r="O64" s="7" t="s">
        <v>29</v>
      </c>
      <c r="P64" s="7" t="s">
        <v>29</v>
      </c>
      <c r="Q64" s="7" t="s">
        <v>29</v>
      </c>
      <c r="R64" s="7" t="s">
        <v>29</v>
      </c>
      <c r="S64" s="7" t="s">
        <v>29</v>
      </c>
    </row>
    <row r="65" spans="2:19">
      <c r="B65" s="9" t="s">
        <v>195</v>
      </c>
      <c r="C65" s="7" t="s">
        <v>195</v>
      </c>
      <c r="D65" s="5" t="str">
        <f>LRTRIM(CONCATENATE(IF(SUMPRODUCT(-- ISNUMBER(SEARCH({"Auto Number"}, $B65))) &gt; 0, $B65, IF(SUMPRODUCT(-- ISNUMBER(SEARCH({"Lookup","Master-Detail"}, $B65))) &gt; 0,$B65 &amp; "(" &amp; $E65 &amp; ")",IF(SUMPRODUCT(-- ISNUMBER(SEARCH({"Formula","Roll-Up Summary"}, $B65))) &gt; 0,$B65 &amp; " (" &amp; $E65 &amp; ")",IF(SUMPRODUCT(-- ISNUMBER(SEARCH({"Content","Currency","Number","Percent","Text","URL"}, $B65))) &gt; 0,$B65 &amp; "(" &amp; $C65 &amp; ")",$B65)))), "  ", TRIM(IF($S65 = "YES", "(External ID)", "") &amp; " " &amp; IF(SUMPRODUCT(-- ISNUMBER(SEARCH({"Unique","Unique Case Insensitive"}, $R65))) &gt; 0, "(" &amp; $R65 &amp; ")", ""))))</f>
        <v>na</v>
      </c>
      <c r="E65" s="7" t="s">
        <v>195</v>
      </c>
      <c r="F65" s="7" t="s">
        <v>195</v>
      </c>
      <c r="G65" s="7" t="s">
        <v>195</v>
      </c>
      <c r="H65" s="7" t="s">
        <v>195</v>
      </c>
      <c r="I65" s="7" t="s">
        <v>195</v>
      </c>
      <c r="J65" s="7" t="s">
        <v>195</v>
      </c>
      <c r="K65" s="7" t="s">
        <v>195</v>
      </c>
      <c r="L65" s="7" t="s">
        <v>195</v>
      </c>
      <c r="M65" s="7" t="s">
        <v>29</v>
      </c>
      <c r="N65" s="7" t="s">
        <v>29</v>
      </c>
      <c r="O65" s="7" t="s">
        <v>29</v>
      </c>
      <c r="P65" s="7" t="s">
        <v>29</v>
      </c>
      <c r="Q65" s="7" t="s">
        <v>29</v>
      </c>
      <c r="R65" s="7" t="s">
        <v>29</v>
      </c>
      <c r="S65" s="7" t="s">
        <v>29</v>
      </c>
    </row>
    <row r="66" spans="2:19">
      <c r="B66" s="9" t="s">
        <v>195</v>
      </c>
      <c r="C66" s="7" t="s">
        <v>195</v>
      </c>
      <c r="D66" s="5" t="str">
        <f>LRTRIM(CONCATENATE(IF(SUMPRODUCT(-- ISNUMBER(SEARCH({"Auto Number"}, $B66))) &gt; 0, $B66, IF(SUMPRODUCT(-- ISNUMBER(SEARCH({"Lookup","Master-Detail"}, $B66))) &gt; 0,$B66 &amp; "(" &amp; $E66 &amp; ")",IF(SUMPRODUCT(-- ISNUMBER(SEARCH({"Formula","Roll-Up Summary"}, $B66))) &gt; 0,$B66 &amp; " (" &amp; $E66 &amp; ")",IF(SUMPRODUCT(-- ISNUMBER(SEARCH({"Content","Currency","Number","Percent","Text","URL"}, $B66))) &gt; 0,$B66 &amp; "(" &amp; $C66 &amp; ")",$B66)))), "  ", TRIM(IF($S66 = "YES", "(External ID)", "") &amp; " " &amp; IF(SUMPRODUCT(-- ISNUMBER(SEARCH({"Unique","Unique Case Insensitive"}, $R66))) &gt; 0, "(" &amp; $R66 &amp; ")", ""))))</f>
        <v>na</v>
      </c>
      <c r="E66" s="7" t="s">
        <v>195</v>
      </c>
      <c r="F66" s="7" t="s">
        <v>195</v>
      </c>
      <c r="G66" s="7" t="s">
        <v>195</v>
      </c>
      <c r="H66" s="7" t="s">
        <v>195</v>
      </c>
      <c r="I66" s="7" t="s">
        <v>195</v>
      </c>
      <c r="J66" s="7" t="s">
        <v>195</v>
      </c>
      <c r="K66" s="7" t="s">
        <v>195</v>
      </c>
      <c r="L66" s="7" t="s">
        <v>195</v>
      </c>
      <c r="M66" s="7" t="s">
        <v>29</v>
      </c>
      <c r="N66" s="7" t="s">
        <v>29</v>
      </c>
      <c r="O66" s="7" t="s">
        <v>29</v>
      </c>
      <c r="P66" s="7" t="s">
        <v>29</v>
      </c>
      <c r="Q66" s="7" t="s">
        <v>29</v>
      </c>
      <c r="R66" s="7" t="s">
        <v>29</v>
      </c>
      <c r="S66" s="7" t="s">
        <v>29</v>
      </c>
    </row>
    <row r="67" spans="2:19">
      <c r="B67" s="9" t="s">
        <v>195</v>
      </c>
      <c r="C67" s="7" t="s">
        <v>195</v>
      </c>
      <c r="D67" s="5" t="str">
        <f>LRTRIM(CONCATENATE(IF(SUMPRODUCT(-- ISNUMBER(SEARCH({"Auto Number"}, $B67))) &gt; 0, $B67, IF(SUMPRODUCT(-- ISNUMBER(SEARCH({"Lookup","Master-Detail"}, $B67))) &gt; 0,$B67 &amp; "(" &amp; $E67 &amp; ")",IF(SUMPRODUCT(-- ISNUMBER(SEARCH({"Formula","Roll-Up Summary"}, $B67))) &gt; 0,$B67 &amp; " (" &amp; $E67 &amp; ")",IF(SUMPRODUCT(-- ISNUMBER(SEARCH({"Content","Currency","Number","Percent","Text","URL"}, $B67))) &gt; 0,$B67 &amp; "(" &amp; $C67 &amp; ")",$B67)))), "  ", TRIM(IF($S67 = "YES", "(External ID)", "") &amp; " " &amp; IF(SUMPRODUCT(-- ISNUMBER(SEARCH({"Unique","Unique Case Insensitive"}, $R67))) &gt; 0, "(" &amp; $R67 &amp; ")", ""))))</f>
        <v>na</v>
      </c>
      <c r="E67" s="7" t="s">
        <v>195</v>
      </c>
      <c r="F67" s="7" t="s">
        <v>195</v>
      </c>
      <c r="G67" s="7" t="s">
        <v>195</v>
      </c>
      <c r="H67" s="7" t="s">
        <v>195</v>
      </c>
      <c r="I67" s="7" t="s">
        <v>195</v>
      </c>
      <c r="J67" s="7" t="s">
        <v>195</v>
      </c>
      <c r="K67" s="7" t="s">
        <v>195</v>
      </c>
      <c r="L67" s="7" t="s">
        <v>195</v>
      </c>
      <c r="M67" s="7" t="s">
        <v>29</v>
      </c>
      <c r="N67" s="7" t="s">
        <v>29</v>
      </c>
      <c r="O67" s="7" t="s">
        <v>29</v>
      </c>
      <c r="P67" s="7" t="s">
        <v>29</v>
      </c>
      <c r="Q67" s="7" t="s">
        <v>29</v>
      </c>
      <c r="R67" s="7" t="s">
        <v>29</v>
      </c>
      <c r="S67" s="7" t="s">
        <v>29</v>
      </c>
    </row>
    <row r="68" spans="2:19">
      <c r="B68" s="9" t="s">
        <v>195</v>
      </c>
      <c r="C68" s="7" t="s">
        <v>195</v>
      </c>
      <c r="D68" s="5" t="str">
        <f>LRTRIM(CONCATENATE(IF(SUMPRODUCT(-- ISNUMBER(SEARCH({"Auto Number"}, $B68))) &gt; 0, $B68, IF(SUMPRODUCT(-- ISNUMBER(SEARCH({"Lookup","Master-Detail"}, $B68))) &gt; 0,$B68 &amp; "(" &amp; $E68 &amp; ")",IF(SUMPRODUCT(-- ISNUMBER(SEARCH({"Formula","Roll-Up Summary"}, $B68))) &gt; 0,$B68 &amp; " (" &amp; $E68 &amp; ")",IF(SUMPRODUCT(-- ISNUMBER(SEARCH({"Content","Currency","Number","Percent","Text","URL"}, $B68))) &gt; 0,$B68 &amp; "(" &amp; $C68 &amp; ")",$B68)))), "  ", TRIM(IF($S68 = "YES", "(External ID)", "") &amp; " " &amp; IF(SUMPRODUCT(-- ISNUMBER(SEARCH({"Unique","Unique Case Insensitive"}, $R68))) &gt; 0, "(" &amp; $R68 &amp; ")", ""))))</f>
        <v>na</v>
      </c>
      <c r="E68" s="7" t="s">
        <v>195</v>
      </c>
      <c r="F68" s="7" t="s">
        <v>195</v>
      </c>
      <c r="G68" s="7" t="s">
        <v>195</v>
      </c>
      <c r="H68" s="7" t="s">
        <v>195</v>
      </c>
      <c r="I68" s="7" t="s">
        <v>195</v>
      </c>
      <c r="J68" s="7" t="s">
        <v>195</v>
      </c>
      <c r="K68" s="7" t="s">
        <v>195</v>
      </c>
      <c r="L68" s="7" t="s">
        <v>195</v>
      </c>
      <c r="M68" s="7" t="s">
        <v>29</v>
      </c>
      <c r="N68" s="7" t="s">
        <v>29</v>
      </c>
      <c r="O68" s="7" t="s">
        <v>29</v>
      </c>
      <c r="P68" s="7" t="s">
        <v>29</v>
      </c>
      <c r="Q68" s="7" t="s">
        <v>29</v>
      </c>
      <c r="R68" s="7" t="s">
        <v>29</v>
      </c>
      <c r="S68" s="7" t="s">
        <v>29</v>
      </c>
    </row>
    <row r="69" spans="2:19">
      <c r="B69" s="9" t="s">
        <v>195</v>
      </c>
      <c r="C69" s="7" t="s">
        <v>195</v>
      </c>
      <c r="D69" s="5" t="str">
        <f>LRTRIM(CONCATENATE(IF(SUMPRODUCT(-- ISNUMBER(SEARCH({"Auto Number"}, $B69))) &gt; 0, $B69, IF(SUMPRODUCT(-- ISNUMBER(SEARCH({"Lookup","Master-Detail"}, $B69))) &gt; 0,$B69 &amp; "(" &amp; $E69 &amp; ")",IF(SUMPRODUCT(-- ISNUMBER(SEARCH({"Formula","Roll-Up Summary"}, $B69))) &gt; 0,$B69 &amp; " (" &amp; $E69 &amp; ")",IF(SUMPRODUCT(-- ISNUMBER(SEARCH({"Content","Currency","Number","Percent","Text","URL"}, $B69))) &gt; 0,$B69 &amp; "(" &amp; $C69 &amp; ")",$B69)))), "  ", TRIM(IF($S69 = "YES", "(External ID)", "") &amp; " " &amp; IF(SUMPRODUCT(-- ISNUMBER(SEARCH({"Unique","Unique Case Insensitive"}, $R69))) &gt; 0, "(" &amp; $R69 &amp; ")", ""))))</f>
        <v>na</v>
      </c>
      <c r="E69" s="7" t="s">
        <v>195</v>
      </c>
      <c r="F69" s="7" t="s">
        <v>195</v>
      </c>
      <c r="G69" s="7" t="s">
        <v>195</v>
      </c>
      <c r="H69" s="7" t="s">
        <v>195</v>
      </c>
      <c r="I69" s="7" t="s">
        <v>195</v>
      </c>
      <c r="J69" s="7" t="s">
        <v>195</v>
      </c>
      <c r="K69" s="7" t="s">
        <v>195</v>
      </c>
      <c r="L69" s="7" t="s">
        <v>195</v>
      </c>
      <c r="M69" s="7" t="s">
        <v>29</v>
      </c>
      <c r="N69" s="7" t="s">
        <v>29</v>
      </c>
      <c r="O69" s="7" t="s">
        <v>29</v>
      </c>
      <c r="P69" s="7" t="s">
        <v>29</v>
      </c>
      <c r="Q69" s="7" t="s">
        <v>29</v>
      </c>
      <c r="R69" s="7" t="s">
        <v>29</v>
      </c>
      <c r="S69" s="7" t="s">
        <v>29</v>
      </c>
    </row>
    <row r="70" spans="2:19">
      <c r="B70" s="9" t="s">
        <v>195</v>
      </c>
      <c r="C70" s="7" t="s">
        <v>195</v>
      </c>
      <c r="D70" s="5" t="str">
        <f>LRTRIM(CONCATENATE(IF(SUMPRODUCT(-- ISNUMBER(SEARCH({"Auto Number"}, $B70))) &gt; 0, $B70, IF(SUMPRODUCT(-- ISNUMBER(SEARCH({"Lookup","Master-Detail"}, $B70))) &gt; 0,$B70 &amp; "(" &amp; $E70 &amp; ")",IF(SUMPRODUCT(-- ISNUMBER(SEARCH({"Formula","Roll-Up Summary"}, $B70))) &gt; 0,$B70 &amp; " (" &amp; $E70 &amp; ")",IF(SUMPRODUCT(-- ISNUMBER(SEARCH({"Content","Currency","Number","Percent","Text","URL"}, $B70))) &gt; 0,$B70 &amp; "(" &amp; $C70 &amp; ")",$B70)))), "  ", TRIM(IF($S70 = "YES", "(External ID)", "") &amp; " " &amp; IF(SUMPRODUCT(-- ISNUMBER(SEARCH({"Unique","Unique Case Insensitive"}, $R70))) &gt; 0, "(" &amp; $R70 &amp; ")", ""))))</f>
        <v>na</v>
      </c>
      <c r="E70" s="7" t="s">
        <v>195</v>
      </c>
      <c r="F70" s="7" t="s">
        <v>195</v>
      </c>
      <c r="G70" s="7" t="s">
        <v>195</v>
      </c>
      <c r="H70" s="7" t="s">
        <v>195</v>
      </c>
      <c r="I70" s="7" t="s">
        <v>195</v>
      </c>
      <c r="J70" s="7" t="s">
        <v>195</v>
      </c>
      <c r="K70" s="7" t="s">
        <v>195</v>
      </c>
      <c r="L70" s="7" t="s">
        <v>195</v>
      </c>
      <c r="M70" s="7" t="s">
        <v>29</v>
      </c>
      <c r="N70" s="7" t="s">
        <v>29</v>
      </c>
      <c r="O70" s="7" t="s">
        <v>29</v>
      </c>
      <c r="P70" s="7" t="s">
        <v>29</v>
      </c>
      <c r="Q70" s="7" t="s">
        <v>29</v>
      </c>
      <c r="R70" s="7" t="s">
        <v>29</v>
      </c>
      <c r="S70" s="7" t="s">
        <v>29</v>
      </c>
    </row>
    <row r="71" spans="2:19">
      <c r="B71" s="9" t="s">
        <v>195</v>
      </c>
      <c r="C71" s="7" t="s">
        <v>195</v>
      </c>
      <c r="D71" s="5" t="str">
        <f>LRTRIM(CONCATENATE(IF(SUMPRODUCT(-- ISNUMBER(SEARCH({"Auto Number"}, $B71))) &gt; 0, $B71, IF(SUMPRODUCT(-- ISNUMBER(SEARCH({"Lookup","Master-Detail"}, $B71))) &gt; 0,$B71 &amp; "(" &amp; $E71 &amp; ")",IF(SUMPRODUCT(-- ISNUMBER(SEARCH({"Formula","Roll-Up Summary"}, $B71))) &gt; 0,$B71 &amp; " (" &amp; $E71 &amp; ")",IF(SUMPRODUCT(-- ISNUMBER(SEARCH({"Content","Currency","Number","Percent","Text","URL"}, $B71))) &gt; 0,$B71 &amp; "(" &amp; $C71 &amp; ")",$B71)))), "  ", TRIM(IF($S71 = "YES", "(External ID)", "") &amp; " " &amp; IF(SUMPRODUCT(-- ISNUMBER(SEARCH({"Unique","Unique Case Insensitive"}, $R71))) &gt; 0, "(" &amp; $R71 &amp; ")", ""))))</f>
        <v>na</v>
      </c>
      <c r="E71" s="7" t="s">
        <v>195</v>
      </c>
      <c r="F71" s="7" t="s">
        <v>195</v>
      </c>
      <c r="G71" s="7" t="s">
        <v>195</v>
      </c>
      <c r="H71" s="7" t="s">
        <v>195</v>
      </c>
      <c r="I71" s="7" t="s">
        <v>195</v>
      </c>
      <c r="J71" s="7" t="s">
        <v>195</v>
      </c>
      <c r="K71" s="7" t="s">
        <v>195</v>
      </c>
      <c r="L71" s="7" t="s">
        <v>195</v>
      </c>
      <c r="M71" s="7" t="s">
        <v>29</v>
      </c>
      <c r="N71" s="7" t="s">
        <v>29</v>
      </c>
      <c r="O71" s="7" t="s">
        <v>29</v>
      </c>
      <c r="P71" s="7" t="s">
        <v>29</v>
      </c>
      <c r="Q71" s="7" t="s">
        <v>29</v>
      </c>
      <c r="R71" s="7" t="s">
        <v>29</v>
      </c>
      <c r="S71" s="7" t="s">
        <v>29</v>
      </c>
    </row>
    <row r="72" spans="2:19">
      <c r="B72" s="9" t="s">
        <v>195</v>
      </c>
      <c r="C72" s="7" t="s">
        <v>195</v>
      </c>
      <c r="D72" s="5" t="str">
        <f>LRTRIM(CONCATENATE(IF(SUMPRODUCT(-- ISNUMBER(SEARCH({"Auto Number"}, $B72))) &gt; 0, $B72, IF(SUMPRODUCT(-- ISNUMBER(SEARCH({"Lookup","Master-Detail"}, $B72))) &gt; 0,$B72 &amp; "(" &amp; $E72 &amp; ")",IF(SUMPRODUCT(-- ISNUMBER(SEARCH({"Formula","Roll-Up Summary"}, $B72))) &gt; 0,$B72 &amp; " (" &amp; $E72 &amp; ")",IF(SUMPRODUCT(-- ISNUMBER(SEARCH({"Content","Currency","Number","Percent","Text","URL"}, $B72))) &gt; 0,$B72 &amp; "(" &amp; $C72 &amp; ")",$B72)))), "  ", TRIM(IF($S72 = "YES", "(External ID)", "") &amp; " " &amp; IF(SUMPRODUCT(-- ISNUMBER(SEARCH({"Unique","Unique Case Insensitive"}, $R72))) &gt; 0, "(" &amp; $R72 &amp; ")", ""))))</f>
        <v>na</v>
      </c>
      <c r="E72" s="7" t="s">
        <v>195</v>
      </c>
      <c r="F72" s="7" t="s">
        <v>195</v>
      </c>
      <c r="G72" s="7" t="s">
        <v>195</v>
      </c>
      <c r="H72" s="7" t="s">
        <v>195</v>
      </c>
      <c r="I72" s="7" t="s">
        <v>195</v>
      </c>
      <c r="J72" s="7" t="s">
        <v>195</v>
      </c>
      <c r="K72" s="7" t="s">
        <v>195</v>
      </c>
      <c r="L72" s="7" t="s">
        <v>195</v>
      </c>
      <c r="M72" s="7" t="s">
        <v>29</v>
      </c>
      <c r="N72" s="7" t="s">
        <v>29</v>
      </c>
      <c r="O72" s="7" t="s">
        <v>29</v>
      </c>
      <c r="P72" s="7" t="s">
        <v>29</v>
      </c>
      <c r="Q72" s="7" t="s">
        <v>29</v>
      </c>
      <c r="R72" s="7" t="s">
        <v>29</v>
      </c>
      <c r="S72" s="7" t="s">
        <v>29</v>
      </c>
    </row>
    <row r="73" spans="2:19">
      <c r="B73" s="9" t="s">
        <v>195</v>
      </c>
      <c r="C73" s="7" t="s">
        <v>195</v>
      </c>
      <c r="D73" s="5" t="str">
        <f>LRTRIM(CONCATENATE(IF(SUMPRODUCT(-- ISNUMBER(SEARCH({"Auto Number"}, $B73))) &gt; 0, $B73, IF(SUMPRODUCT(-- ISNUMBER(SEARCH({"Lookup","Master-Detail"}, $B73))) &gt; 0,$B73 &amp; "(" &amp; $E73 &amp; ")",IF(SUMPRODUCT(-- ISNUMBER(SEARCH({"Formula","Roll-Up Summary"}, $B73))) &gt; 0,$B73 &amp; " (" &amp; $E73 &amp; ")",IF(SUMPRODUCT(-- ISNUMBER(SEARCH({"Content","Currency","Number","Percent","Text","URL"}, $B73))) &gt; 0,$B73 &amp; "(" &amp; $C73 &amp; ")",$B73)))), "  ", TRIM(IF($S73 = "YES", "(External ID)", "") &amp; " " &amp; IF(SUMPRODUCT(-- ISNUMBER(SEARCH({"Unique","Unique Case Insensitive"}, $R73))) &gt; 0, "(" &amp; $R73 &amp; ")", ""))))</f>
        <v>na</v>
      </c>
      <c r="E73" s="7" t="s">
        <v>195</v>
      </c>
      <c r="F73" s="7" t="s">
        <v>195</v>
      </c>
      <c r="G73" s="7" t="s">
        <v>195</v>
      </c>
      <c r="H73" s="7" t="s">
        <v>195</v>
      </c>
      <c r="I73" s="7" t="s">
        <v>195</v>
      </c>
      <c r="J73" s="7" t="s">
        <v>195</v>
      </c>
      <c r="K73" s="7" t="s">
        <v>195</v>
      </c>
      <c r="L73" s="7" t="s">
        <v>195</v>
      </c>
      <c r="M73" s="7" t="s">
        <v>29</v>
      </c>
      <c r="N73" s="7" t="s">
        <v>29</v>
      </c>
      <c r="O73" s="7" t="s">
        <v>29</v>
      </c>
      <c r="P73" s="7" t="s">
        <v>29</v>
      </c>
      <c r="Q73" s="7" t="s">
        <v>29</v>
      </c>
      <c r="R73" s="7" t="s">
        <v>29</v>
      </c>
      <c r="S73" s="7" t="s">
        <v>29</v>
      </c>
    </row>
    <row r="74" spans="2:19">
      <c r="B74" s="9" t="s">
        <v>195</v>
      </c>
      <c r="C74" s="7" t="s">
        <v>195</v>
      </c>
      <c r="D74" s="5" t="str">
        <f>LRTRIM(CONCATENATE(IF(SUMPRODUCT(-- ISNUMBER(SEARCH({"Auto Number"}, $B74))) &gt; 0, $B74, IF(SUMPRODUCT(-- ISNUMBER(SEARCH({"Lookup","Master-Detail"}, $B74))) &gt; 0,$B74 &amp; "(" &amp; $E74 &amp; ")",IF(SUMPRODUCT(-- ISNUMBER(SEARCH({"Formula","Roll-Up Summary"}, $B74))) &gt; 0,$B74 &amp; " (" &amp; $E74 &amp; ")",IF(SUMPRODUCT(-- ISNUMBER(SEARCH({"Content","Currency","Number","Percent","Text","URL"}, $B74))) &gt; 0,$B74 &amp; "(" &amp; $C74 &amp; ")",$B74)))), "  ", TRIM(IF($S74 = "YES", "(External ID)", "") &amp; " " &amp; IF(SUMPRODUCT(-- ISNUMBER(SEARCH({"Unique","Unique Case Insensitive"}, $R74))) &gt; 0, "(" &amp; $R74 &amp; ")", ""))))</f>
        <v>na</v>
      </c>
      <c r="E74" s="7" t="s">
        <v>195</v>
      </c>
      <c r="F74" s="7" t="s">
        <v>195</v>
      </c>
      <c r="G74" s="7" t="s">
        <v>195</v>
      </c>
      <c r="H74" s="7" t="s">
        <v>195</v>
      </c>
      <c r="I74" s="7" t="s">
        <v>195</v>
      </c>
      <c r="J74" s="7" t="s">
        <v>195</v>
      </c>
      <c r="K74" s="7" t="s">
        <v>195</v>
      </c>
      <c r="L74" s="7" t="s">
        <v>195</v>
      </c>
      <c r="M74" s="7" t="s">
        <v>29</v>
      </c>
      <c r="N74" s="7" t="s">
        <v>29</v>
      </c>
      <c r="O74" s="7" t="s">
        <v>29</v>
      </c>
      <c r="P74" s="7" t="s">
        <v>29</v>
      </c>
      <c r="Q74" s="7" t="s">
        <v>29</v>
      </c>
      <c r="R74" s="7" t="s">
        <v>29</v>
      </c>
      <c r="S74" s="7" t="s">
        <v>29</v>
      </c>
    </row>
    <row r="75" spans="2:19">
      <c r="B75" s="9" t="s">
        <v>195</v>
      </c>
      <c r="C75" s="7" t="s">
        <v>195</v>
      </c>
      <c r="D75" s="5" t="str">
        <f>LRTRIM(CONCATENATE(IF(SUMPRODUCT(-- ISNUMBER(SEARCH({"Auto Number"}, $B75))) &gt; 0, $B75, IF(SUMPRODUCT(-- ISNUMBER(SEARCH({"Lookup","Master-Detail"}, $B75))) &gt; 0,$B75 &amp; "(" &amp; $E75 &amp; ")",IF(SUMPRODUCT(-- ISNUMBER(SEARCH({"Formula","Roll-Up Summary"}, $B75))) &gt; 0,$B75 &amp; " (" &amp; $E75 &amp; ")",IF(SUMPRODUCT(-- ISNUMBER(SEARCH({"Content","Currency","Number","Percent","Text","URL"}, $B75))) &gt; 0,$B75 &amp; "(" &amp; $C75 &amp; ")",$B75)))), "  ", TRIM(IF($S75 = "YES", "(External ID)", "") &amp; " " &amp; IF(SUMPRODUCT(-- ISNUMBER(SEARCH({"Unique","Unique Case Insensitive"}, $R75))) &gt; 0, "(" &amp; $R75 &amp; ")", ""))))</f>
        <v>na</v>
      </c>
      <c r="E75" s="7" t="s">
        <v>195</v>
      </c>
      <c r="F75" s="7" t="s">
        <v>195</v>
      </c>
      <c r="G75" s="7" t="s">
        <v>195</v>
      </c>
      <c r="H75" s="7" t="s">
        <v>195</v>
      </c>
      <c r="I75" s="7" t="s">
        <v>195</v>
      </c>
      <c r="J75" s="7" t="s">
        <v>195</v>
      </c>
      <c r="K75" s="7" t="s">
        <v>195</v>
      </c>
      <c r="L75" s="7" t="s">
        <v>195</v>
      </c>
      <c r="M75" s="7" t="s">
        <v>29</v>
      </c>
      <c r="N75" s="7" t="s">
        <v>29</v>
      </c>
      <c r="O75" s="7" t="s">
        <v>29</v>
      </c>
      <c r="P75" s="7" t="s">
        <v>29</v>
      </c>
      <c r="Q75" s="7" t="s">
        <v>29</v>
      </c>
      <c r="R75" s="7" t="s">
        <v>29</v>
      </c>
      <c r="S75" s="7" t="s">
        <v>29</v>
      </c>
    </row>
    <row r="76" spans="2:19">
      <c r="B76" s="9" t="s">
        <v>195</v>
      </c>
      <c r="C76" s="7" t="s">
        <v>195</v>
      </c>
      <c r="D76" s="5" t="str">
        <f>LRTRIM(CONCATENATE(IF(SUMPRODUCT(-- ISNUMBER(SEARCH({"Auto Number"}, $B76))) &gt; 0, $B76, IF(SUMPRODUCT(-- ISNUMBER(SEARCH({"Lookup","Master-Detail"}, $B76))) &gt; 0,$B76 &amp; "(" &amp; $E76 &amp; ")",IF(SUMPRODUCT(-- ISNUMBER(SEARCH({"Formula","Roll-Up Summary"}, $B76))) &gt; 0,$B76 &amp; " (" &amp; $E76 &amp; ")",IF(SUMPRODUCT(-- ISNUMBER(SEARCH({"Content","Currency","Number","Percent","Text","URL"}, $B76))) &gt; 0,$B76 &amp; "(" &amp; $C76 &amp; ")",$B76)))), "  ", TRIM(IF($S76 = "YES", "(External ID)", "") &amp; " " &amp; IF(SUMPRODUCT(-- ISNUMBER(SEARCH({"Unique","Unique Case Insensitive"}, $R76))) &gt; 0, "(" &amp; $R76 &amp; ")", ""))))</f>
        <v>na</v>
      </c>
      <c r="E76" s="7" t="s">
        <v>195</v>
      </c>
      <c r="F76" s="7" t="s">
        <v>195</v>
      </c>
      <c r="G76" s="7" t="s">
        <v>195</v>
      </c>
      <c r="H76" s="7" t="s">
        <v>195</v>
      </c>
      <c r="I76" s="7" t="s">
        <v>195</v>
      </c>
      <c r="J76" s="7" t="s">
        <v>195</v>
      </c>
      <c r="K76" s="7" t="s">
        <v>195</v>
      </c>
      <c r="L76" s="7" t="s">
        <v>195</v>
      </c>
      <c r="M76" s="7" t="s">
        <v>29</v>
      </c>
      <c r="N76" s="7" t="s">
        <v>29</v>
      </c>
      <c r="O76" s="7" t="s">
        <v>29</v>
      </c>
      <c r="P76" s="7" t="s">
        <v>29</v>
      </c>
      <c r="Q76" s="7" t="s">
        <v>29</v>
      </c>
      <c r="R76" s="7" t="s">
        <v>29</v>
      </c>
      <c r="S76" s="7" t="s">
        <v>29</v>
      </c>
    </row>
    <row r="77" spans="2:19">
      <c r="B77" s="9" t="s">
        <v>195</v>
      </c>
      <c r="C77" s="7" t="s">
        <v>195</v>
      </c>
      <c r="D77" s="5" t="str">
        <f>LRTRIM(CONCATENATE(IF(SUMPRODUCT(-- ISNUMBER(SEARCH({"Auto Number"}, $B77))) &gt; 0, $B77, IF(SUMPRODUCT(-- ISNUMBER(SEARCH({"Lookup","Master-Detail"}, $B77))) &gt; 0,$B77 &amp; "(" &amp; $E77 &amp; ")",IF(SUMPRODUCT(-- ISNUMBER(SEARCH({"Formula","Roll-Up Summary"}, $B77))) &gt; 0,$B77 &amp; " (" &amp; $E77 &amp; ")",IF(SUMPRODUCT(-- ISNUMBER(SEARCH({"Content","Currency","Number","Percent","Text","URL"}, $B77))) &gt; 0,$B77 &amp; "(" &amp; $C77 &amp; ")",$B77)))), "  ", TRIM(IF($S77 = "YES", "(External ID)", "") &amp; " " &amp; IF(SUMPRODUCT(-- ISNUMBER(SEARCH({"Unique","Unique Case Insensitive"}, $R77))) &gt; 0, "(" &amp; $R77 &amp; ")", ""))))</f>
        <v>na</v>
      </c>
      <c r="E77" s="7" t="s">
        <v>195</v>
      </c>
      <c r="F77" s="7" t="s">
        <v>195</v>
      </c>
      <c r="G77" s="7" t="s">
        <v>195</v>
      </c>
      <c r="H77" s="7" t="s">
        <v>195</v>
      </c>
      <c r="I77" s="7" t="s">
        <v>195</v>
      </c>
      <c r="J77" s="7" t="s">
        <v>195</v>
      </c>
      <c r="K77" s="7" t="s">
        <v>195</v>
      </c>
      <c r="L77" s="7" t="s">
        <v>195</v>
      </c>
      <c r="M77" s="7" t="s">
        <v>29</v>
      </c>
      <c r="N77" s="7" t="s">
        <v>29</v>
      </c>
      <c r="O77" s="7" t="s">
        <v>29</v>
      </c>
      <c r="P77" s="7" t="s">
        <v>29</v>
      </c>
      <c r="Q77" s="7" t="s">
        <v>29</v>
      </c>
      <c r="R77" s="7" t="s">
        <v>29</v>
      </c>
      <c r="S77" s="7" t="s">
        <v>29</v>
      </c>
    </row>
    <row r="78" spans="2:19">
      <c r="B78" s="9" t="s">
        <v>195</v>
      </c>
      <c r="C78" s="7" t="s">
        <v>195</v>
      </c>
      <c r="D78" s="5" t="str">
        <f>LRTRIM(CONCATENATE(IF(SUMPRODUCT(-- ISNUMBER(SEARCH({"Auto Number"}, $B78))) &gt; 0, $B78, IF(SUMPRODUCT(-- ISNUMBER(SEARCH({"Lookup","Master-Detail"}, $B78))) &gt; 0,$B78 &amp; "(" &amp; $E78 &amp; ")",IF(SUMPRODUCT(-- ISNUMBER(SEARCH({"Formula","Roll-Up Summary"}, $B78))) &gt; 0,$B78 &amp; " (" &amp; $E78 &amp; ")",IF(SUMPRODUCT(-- ISNUMBER(SEARCH({"Content","Currency","Number","Percent","Text","URL"}, $B78))) &gt; 0,$B78 &amp; "(" &amp; $C78 &amp; ")",$B78)))), "  ", TRIM(IF($S78 = "YES", "(External ID)", "") &amp; " " &amp; IF(SUMPRODUCT(-- ISNUMBER(SEARCH({"Unique","Unique Case Insensitive"}, $R78))) &gt; 0, "(" &amp; $R78 &amp; ")", ""))))</f>
        <v>na</v>
      </c>
      <c r="E78" s="7" t="s">
        <v>195</v>
      </c>
      <c r="F78" s="7" t="s">
        <v>195</v>
      </c>
      <c r="G78" s="7" t="s">
        <v>195</v>
      </c>
      <c r="H78" s="7" t="s">
        <v>195</v>
      </c>
      <c r="I78" s="7" t="s">
        <v>195</v>
      </c>
      <c r="J78" s="7" t="s">
        <v>195</v>
      </c>
      <c r="K78" s="7" t="s">
        <v>195</v>
      </c>
      <c r="L78" s="7" t="s">
        <v>195</v>
      </c>
      <c r="M78" s="7" t="s">
        <v>29</v>
      </c>
      <c r="N78" s="7" t="s">
        <v>29</v>
      </c>
      <c r="O78" s="7" t="s">
        <v>29</v>
      </c>
      <c r="P78" s="7" t="s">
        <v>29</v>
      </c>
      <c r="Q78" s="7" t="s">
        <v>29</v>
      </c>
      <c r="R78" s="7" t="s">
        <v>29</v>
      </c>
      <c r="S78" s="7" t="s">
        <v>29</v>
      </c>
    </row>
    <row r="79" spans="2:19">
      <c r="B79" s="9" t="s">
        <v>195</v>
      </c>
      <c r="C79" s="7" t="s">
        <v>195</v>
      </c>
      <c r="D79" s="5" t="str">
        <f>LRTRIM(CONCATENATE(IF(SUMPRODUCT(-- ISNUMBER(SEARCH({"Auto Number"}, $B79))) &gt; 0, $B79, IF(SUMPRODUCT(-- ISNUMBER(SEARCH({"Lookup","Master-Detail"}, $B79))) &gt; 0,$B79 &amp; "(" &amp; $E79 &amp; ")",IF(SUMPRODUCT(-- ISNUMBER(SEARCH({"Formula","Roll-Up Summary"}, $B79))) &gt; 0,$B79 &amp; " (" &amp; $E79 &amp; ")",IF(SUMPRODUCT(-- ISNUMBER(SEARCH({"Content","Currency","Number","Percent","Text","URL"}, $B79))) &gt; 0,$B79 &amp; "(" &amp; $C79 &amp; ")",$B79)))), "  ", TRIM(IF($S79 = "YES", "(External ID)", "") &amp; " " &amp; IF(SUMPRODUCT(-- ISNUMBER(SEARCH({"Unique","Unique Case Insensitive"}, $R79))) &gt; 0, "(" &amp; $R79 &amp; ")", ""))))</f>
        <v>na</v>
      </c>
      <c r="E79" s="7" t="s">
        <v>195</v>
      </c>
      <c r="F79" s="7" t="s">
        <v>195</v>
      </c>
      <c r="G79" s="7" t="s">
        <v>195</v>
      </c>
      <c r="H79" s="7" t="s">
        <v>195</v>
      </c>
      <c r="I79" s="7" t="s">
        <v>195</v>
      </c>
      <c r="J79" s="7" t="s">
        <v>195</v>
      </c>
      <c r="K79" s="7" t="s">
        <v>195</v>
      </c>
      <c r="L79" s="7" t="s">
        <v>195</v>
      </c>
      <c r="M79" s="7" t="s">
        <v>29</v>
      </c>
      <c r="N79" s="7" t="s">
        <v>29</v>
      </c>
      <c r="O79" s="7" t="s">
        <v>29</v>
      </c>
      <c r="P79" s="7" t="s">
        <v>29</v>
      </c>
      <c r="Q79" s="7" t="s">
        <v>29</v>
      </c>
      <c r="R79" s="7" t="s">
        <v>29</v>
      </c>
      <c r="S79" s="7" t="s">
        <v>29</v>
      </c>
    </row>
    <row r="80" spans="2:19">
      <c r="B80" s="9" t="s">
        <v>195</v>
      </c>
      <c r="C80" s="7" t="s">
        <v>195</v>
      </c>
      <c r="D80" s="5" t="str">
        <f>LRTRIM(CONCATENATE(IF(SUMPRODUCT(-- ISNUMBER(SEARCH({"Auto Number"}, $B80))) &gt; 0, $B80, IF(SUMPRODUCT(-- ISNUMBER(SEARCH({"Lookup","Master-Detail"}, $B80))) &gt; 0,$B80 &amp; "(" &amp; $E80 &amp; ")",IF(SUMPRODUCT(-- ISNUMBER(SEARCH({"Formula","Roll-Up Summary"}, $B80))) &gt; 0,$B80 &amp; " (" &amp; $E80 &amp; ")",IF(SUMPRODUCT(-- ISNUMBER(SEARCH({"Content","Currency","Number","Percent","Text","URL"}, $B80))) &gt; 0,$B80 &amp; "(" &amp; $C80 &amp; ")",$B80)))), "  ", TRIM(IF($S80 = "YES", "(External ID)", "") &amp; " " &amp; IF(SUMPRODUCT(-- ISNUMBER(SEARCH({"Unique","Unique Case Insensitive"}, $R80))) &gt; 0, "(" &amp; $R80 &amp; ")", ""))))</f>
        <v>na</v>
      </c>
      <c r="E80" s="7" t="s">
        <v>195</v>
      </c>
      <c r="F80" s="7" t="s">
        <v>195</v>
      </c>
      <c r="G80" s="7" t="s">
        <v>195</v>
      </c>
      <c r="H80" s="7" t="s">
        <v>195</v>
      </c>
      <c r="I80" s="7" t="s">
        <v>195</v>
      </c>
      <c r="J80" s="7" t="s">
        <v>195</v>
      </c>
      <c r="K80" s="7" t="s">
        <v>195</v>
      </c>
      <c r="L80" s="7" t="s">
        <v>195</v>
      </c>
      <c r="M80" s="7" t="s">
        <v>29</v>
      </c>
      <c r="N80" s="7" t="s">
        <v>29</v>
      </c>
      <c r="O80" s="7" t="s">
        <v>29</v>
      </c>
      <c r="P80" s="7" t="s">
        <v>29</v>
      </c>
      <c r="Q80" s="7" t="s">
        <v>29</v>
      </c>
      <c r="R80" s="7" t="s">
        <v>29</v>
      </c>
      <c r="S80" s="7" t="s">
        <v>29</v>
      </c>
    </row>
    <row r="81" spans="2:19">
      <c r="B81" s="9" t="s">
        <v>195</v>
      </c>
      <c r="C81" s="7" t="s">
        <v>195</v>
      </c>
      <c r="D81" s="5" t="str">
        <f>LRTRIM(CONCATENATE(IF(SUMPRODUCT(-- ISNUMBER(SEARCH({"Auto Number"}, $B81))) &gt; 0, $B81, IF(SUMPRODUCT(-- ISNUMBER(SEARCH({"Lookup","Master-Detail"}, $B81))) &gt; 0,$B81 &amp; "(" &amp; $E81 &amp; ")",IF(SUMPRODUCT(-- ISNUMBER(SEARCH({"Formula","Roll-Up Summary"}, $B81))) &gt; 0,$B81 &amp; " (" &amp; $E81 &amp; ")",IF(SUMPRODUCT(-- ISNUMBER(SEARCH({"Content","Currency","Number","Percent","Text","URL"}, $B81))) &gt; 0,$B81 &amp; "(" &amp; $C81 &amp; ")",$B81)))), "  ", TRIM(IF($S81 = "YES", "(External ID)", "") &amp; " " &amp; IF(SUMPRODUCT(-- ISNUMBER(SEARCH({"Unique","Unique Case Insensitive"}, $R81))) &gt; 0, "(" &amp; $R81 &amp; ")", ""))))</f>
        <v>na</v>
      </c>
      <c r="E81" s="7" t="s">
        <v>195</v>
      </c>
      <c r="F81" s="7" t="s">
        <v>195</v>
      </c>
      <c r="G81" s="7" t="s">
        <v>195</v>
      </c>
      <c r="H81" s="7" t="s">
        <v>195</v>
      </c>
      <c r="I81" s="7" t="s">
        <v>195</v>
      </c>
      <c r="J81" s="7" t="s">
        <v>195</v>
      </c>
      <c r="K81" s="7" t="s">
        <v>195</v>
      </c>
      <c r="L81" s="7" t="s">
        <v>195</v>
      </c>
      <c r="M81" s="7" t="s">
        <v>29</v>
      </c>
      <c r="N81" s="7" t="s">
        <v>29</v>
      </c>
      <c r="O81" s="7" t="s">
        <v>29</v>
      </c>
      <c r="P81" s="7" t="s">
        <v>29</v>
      </c>
      <c r="Q81" s="7" t="s">
        <v>29</v>
      </c>
      <c r="R81" s="7" t="s">
        <v>29</v>
      </c>
      <c r="S81" s="7" t="s">
        <v>29</v>
      </c>
    </row>
    <row r="82" spans="2:19">
      <c r="B82" s="9" t="s">
        <v>195</v>
      </c>
      <c r="C82" s="7" t="s">
        <v>195</v>
      </c>
      <c r="D82" s="5" t="str">
        <f>LRTRIM(CONCATENATE(IF(SUMPRODUCT(-- ISNUMBER(SEARCH({"Auto Number"}, $B82))) &gt; 0, $B82, IF(SUMPRODUCT(-- ISNUMBER(SEARCH({"Lookup","Master-Detail"}, $B82))) &gt; 0,$B82 &amp; "(" &amp; $E82 &amp; ")",IF(SUMPRODUCT(-- ISNUMBER(SEARCH({"Formula","Roll-Up Summary"}, $B82))) &gt; 0,$B82 &amp; " (" &amp; $E82 &amp; ")",IF(SUMPRODUCT(-- ISNUMBER(SEARCH({"Content","Currency","Number","Percent","Text","URL"}, $B82))) &gt; 0,$B82 &amp; "(" &amp; $C82 &amp; ")",$B82)))), "  ", TRIM(IF($S82 = "YES", "(External ID)", "") &amp; " " &amp; IF(SUMPRODUCT(-- ISNUMBER(SEARCH({"Unique","Unique Case Insensitive"}, $R82))) &gt; 0, "(" &amp; $R82 &amp; ")", ""))))</f>
        <v>na</v>
      </c>
      <c r="E82" s="7" t="s">
        <v>195</v>
      </c>
      <c r="F82" s="7" t="s">
        <v>195</v>
      </c>
      <c r="G82" s="7" t="s">
        <v>195</v>
      </c>
      <c r="H82" s="7" t="s">
        <v>195</v>
      </c>
      <c r="I82" s="7" t="s">
        <v>195</v>
      </c>
      <c r="J82" s="7" t="s">
        <v>195</v>
      </c>
      <c r="K82" s="7" t="s">
        <v>195</v>
      </c>
      <c r="L82" s="7" t="s">
        <v>195</v>
      </c>
      <c r="M82" s="7" t="s">
        <v>29</v>
      </c>
      <c r="N82" s="7" t="s">
        <v>29</v>
      </c>
      <c r="O82" s="7" t="s">
        <v>29</v>
      </c>
      <c r="P82" s="7" t="s">
        <v>29</v>
      </c>
      <c r="Q82" s="7" t="s">
        <v>29</v>
      </c>
      <c r="R82" s="7" t="s">
        <v>29</v>
      </c>
      <c r="S82" s="7" t="s">
        <v>29</v>
      </c>
    </row>
    <row r="83" spans="2:19">
      <c r="B83" s="9" t="s">
        <v>195</v>
      </c>
      <c r="C83" s="7" t="s">
        <v>195</v>
      </c>
      <c r="D83" s="5" t="str">
        <f>LRTRIM(CONCATENATE(IF(SUMPRODUCT(-- ISNUMBER(SEARCH({"Auto Number"}, $B83))) &gt; 0, $B83, IF(SUMPRODUCT(-- ISNUMBER(SEARCH({"Lookup","Master-Detail"}, $B83))) &gt; 0,$B83 &amp; "(" &amp; $E83 &amp; ")",IF(SUMPRODUCT(-- ISNUMBER(SEARCH({"Formula","Roll-Up Summary"}, $B83))) &gt; 0,$B83 &amp; " (" &amp; $E83 &amp; ")",IF(SUMPRODUCT(-- ISNUMBER(SEARCH({"Content","Currency","Number","Percent","Text","URL"}, $B83))) &gt; 0,$B83 &amp; "(" &amp; $C83 &amp; ")",$B83)))), "  ", TRIM(IF($S83 = "YES", "(External ID)", "") &amp; " " &amp; IF(SUMPRODUCT(-- ISNUMBER(SEARCH({"Unique","Unique Case Insensitive"}, $R83))) &gt; 0, "(" &amp; $R83 &amp; ")", ""))))</f>
        <v>na</v>
      </c>
      <c r="E83" s="7" t="s">
        <v>195</v>
      </c>
      <c r="F83" s="7" t="s">
        <v>195</v>
      </c>
      <c r="G83" s="7" t="s">
        <v>195</v>
      </c>
      <c r="H83" s="7" t="s">
        <v>195</v>
      </c>
      <c r="I83" s="7" t="s">
        <v>195</v>
      </c>
      <c r="J83" s="7" t="s">
        <v>195</v>
      </c>
      <c r="K83" s="7" t="s">
        <v>195</v>
      </c>
      <c r="L83" s="7" t="s">
        <v>195</v>
      </c>
      <c r="M83" s="7" t="s">
        <v>29</v>
      </c>
      <c r="N83" s="7" t="s">
        <v>29</v>
      </c>
      <c r="O83" s="7" t="s">
        <v>29</v>
      </c>
      <c r="P83" s="7" t="s">
        <v>29</v>
      </c>
      <c r="Q83" s="7" t="s">
        <v>29</v>
      </c>
      <c r="R83" s="7" t="s">
        <v>29</v>
      </c>
      <c r="S83" s="7" t="s">
        <v>29</v>
      </c>
    </row>
    <row r="84" spans="2:19">
      <c r="B84" s="9" t="s">
        <v>195</v>
      </c>
      <c r="C84" s="7" t="s">
        <v>195</v>
      </c>
      <c r="D84" s="5" t="str">
        <f>LRTRIM(CONCATENATE(IF(SUMPRODUCT(-- ISNUMBER(SEARCH({"Auto Number"}, $B84))) &gt; 0, $B84, IF(SUMPRODUCT(-- ISNUMBER(SEARCH({"Lookup","Master-Detail"}, $B84))) &gt; 0,$B84 &amp; "(" &amp; $E84 &amp; ")",IF(SUMPRODUCT(-- ISNUMBER(SEARCH({"Formula","Roll-Up Summary"}, $B84))) &gt; 0,$B84 &amp; " (" &amp; $E84 &amp; ")",IF(SUMPRODUCT(-- ISNUMBER(SEARCH({"Content","Currency","Number","Percent","Text","URL"}, $B84))) &gt; 0,$B84 &amp; "(" &amp; $C84 &amp; ")",$B84)))), "  ", TRIM(IF($S84 = "YES", "(External ID)", "") &amp; " " &amp; IF(SUMPRODUCT(-- ISNUMBER(SEARCH({"Unique","Unique Case Insensitive"}, $R84))) &gt; 0, "(" &amp; $R84 &amp; ")", ""))))</f>
        <v>na</v>
      </c>
      <c r="E84" s="7" t="s">
        <v>195</v>
      </c>
      <c r="F84" s="7" t="s">
        <v>195</v>
      </c>
      <c r="G84" s="7" t="s">
        <v>195</v>
      </c>
      <c r="H84" s="7" t="s">
        <v>195</v>
      </c>
      <c r="I84" s="7" t="s">
        <v>195</v>
      </c>
      <c r="J84" s="7" t="s">
        <v>195</v>
      </c>
      <c r="K84" s="7" t="s">
        <v>195</v>
      </c>
      <c r="L84" s="7" t="s">
        <v>195</v>
      </c>
      <c r="M84" s="7" t="s">
        <v>29</v>
      </c>
      <c r="N84" s="7" t="s">
        <v>29</v>
      </c>
      <c r="O84" s="7" t="s">
        <v>29</v>
      </c>
      <c r="P84" s="7" t="s">
        <v>29</v>
      </c>
      <c r="Q84" s="7" t="s">
        <v>29</v>
      </c>
      <c r="R84" s="7" t="s">
        <v>29</v>
      </c>
      <c r="S84" s="7" t="s">
        <v>29</v>
      </c>
    </row>
    <row r="85" spans="2:19">
      <c r="B85" s="9" t="s">
        <v>195</v>
      </c>
      <c r="C85" s="7" t="s">
        <v>195</v>
      </c>
      <c r="D85" s="5" t="str">
        <f>LRTRIM(CONCATENATE(IF(SUMPRODUCT(-- ISNUMBER(SEARCH({"Auto Number"}, $B85))) &gt; 0, $B85, IF(SUMPRODUCT(-- ISNUMBER(SEARCH({"Lookup","Master-Detail"}, $B85))) &gt; 0,$B85 &amp; "(" &amp; $E85 &amp; ")",IF(SUMPRODUCT(-- ISNUMBER(SEARCH({"Formula","Roll-Up Summary"}, $B85))) &gt; 0,$B85 &amp; " (" &amp; $E85 &amp; ")",IF(SUMPRODUCT(-- ISNUMBER(SEARCH({"Content","Currency","Number","Percent","Text","URL"}, $B85))) &gt; 0,$B85 &amp; "(" &amp; $C85 &amp; ")",$B85)))), "  ", TRIM(IF($S85 = "YES", "(External ID)", "") &amp; " " &amp; IF(SUMPRODUCT(-- ISNUMBER(SEARCH({"Unique","Unique Case Insensitive"}, $R85))) &gt; 0, "(" &amp; $R85 &amp; ")", ""))))</f>
        <v>na</v>
      </c>
      <c r="E85" s="7" t="s">
        <v>195</v>
      </c>
      <c r="F85" s="7" t="s">
        <v>195</v>
      </c>
      <c r="G85" s="7" t="s">
        <v>195</v>
      </c>
      <c r="H85" s="7" t="s">
        <v>195</v>
      </c>
      <c r="I85" s="7" t="s">
        <v>195</v>
      </c>
      <c r="J85" s="7" t="s">
        <v>195</v>
      </c>
      <c r="K85" s="7" t="s">
        <v>195</v>
      </c>
      <c r="L85" s="7" t="s">
        <v>195</v>
      </c>
      <c r="M85" s="7" t="s">
        <v>29</v>
      </c>
      <c r="N85" s="7" t="s">
        <v>29</v>
      </c>
      <c r="O85" s="7" t="s">
        <v>29</v>
      </c>
      <c r="P85" s="7" t="s">
        <v>29</v>
      </c>
      <c r="Q85" s="7" t="s">
        <v>29</v>
      </c>
      <c r="R85" s="7" t="s">
        <v>29</v>
      </c>
      <c r="S85" s="7" t="s">
        <v>29</v>
      </c>
    </row>
    <row r="86" spans="2:19">
      <c r="B86" s="9" t="s">
        <v>195</v>
      </c>
      <c r="C86" s="7" t="s">
        <v>195</v>
      </c>
      <c r="D86" s="5" t="str">
        <f>LRTRIM(CONCATENATE(IF(SUMPRODUCT(-- ISNUMBER(SEARCH({"Auto Number"}, $B86))) &gt; 0, $B86, IF(SUMPRODUCT(-- ISNUMBER(SEARCH({"Lookup","Master-Detail"}, $B86))) &gt; 0,$B86 &amp; "(" &amp; $E86 &amp; ")",IF(SUMPRODUCT(-- ISNUMBER(SEARCH({"Formula","Roll-Up Summary"}, $B86))) &gt; 0,$B86 &amp; " (" &amp; $E86 &amp; ")",IF(SUMPRODUCT(-- ISNUMBER(SEARCH({"Content","Currency","Number","Percent","Text","URL"}, $B86))) &gt; 0,$B86 &amp; "(" &amp; $C86 &amp; ")",$B86)))), "  ", TRIM(IF($S86 = "YES", "(External ID)", "") &amp; " " &amp; IF(SUMPRODUCT(-- ISNUMBER(SEARCH({"Unique","Unique Case Insensitive"}, $R86))) &gt; 0, "(" &amp; $R86 &amp; ")", ""))))</f>
        <v>na</v>
      </c>
      <c r="E86" s="7" t="s">
        <v>195</v>
      </c>
      <c r="F86" s="7" t="s">
        <v>195</v>
      </c>
      <c r="G86" s="7" t="s">
        <v>195</v>
      </c>
      <c r="H86" s="7" t="s">
        <v>195</v>
      </c>
      <c r="I86" s="7" t="s">
        <v>195</v>
      </c>
      <c r="J86" s="7" t="s">
        <v>195</v>
      </c>
      <c r="K86" s="7" t="s">
        <v>195</v>
      </c>
      <c r="L86" s="7" t="s">
        <v>195</v>
      </c>
      <c r="M86" s="7" t="s">
        <v>29</v>
      </c>
      <c r="N86" s="7" t="s">
        <v>29</v>
      </c>
      <c r="O86" s="7" t="s">
        <v>29</v>
      </c>
      <c r="P86" s="7" t="s">
        <v>29</v>
      </c>
      <c r="Q86" s="7" t="s">
        <v>29</v>
      </c>
      <c r="R86" s="7" t="s">
        <v>29</v>
      </c>
      <c r="S86" s="7" t="s">
        <v>29</v>
      </c>
    </row>
    <row r="87" spans="2:19">
      <c r="B87" s="9" t="s">
        <v>195</v>
      </c>
      <c r="C87" s="7" t="s">
        <v>195</v>
      </c>
      <c r="D87" s="5" t="str">
        <f>LRTRIM(CONCATENATE(IF(SUMPRODUCT(-- ISNUMBER(SEARCH({"Auto Number"}, $B87))) &gt; 0, $B87, IF(SUMPRODUCT(-- ISNUMBER(SEARCH({"Lookup","Master-Detail"}, $B87))) &gt; 0,$B87 &amp; "(" &amp; $E87 &amp; ")",IF(SUMPRODUCT(-- ISNUMBER(SEARCH({"Formula","Roll-Up Summary"}, $B87))) &gt; 0,$B87 &amp; " (" &amp; $E87 &amp; ")",IF(SUMPRODUCT(-- ISNUMBER(SEARCH({"Content","Currency","Number","Percent","Text","URL"}, $B87))) &gt; 0,$B87 &amp; "(" &amp; $C87 &amp; ")",$B87)))), "  ", TRIM(IF($S87 = "YES", "(External ID)", "") &amp; " " &amp; IF(SUMPRODUCT(-- ISNUMBER(SEARCH({"Unique","Unique Case Insensitive"}, $R87))) &gt; 0, "(" &amp; $R87 &amp; ")", ""))))</f>
        <v>na</v>
      </c>
      <c r="E87" s="7" t="s">
        <v>195</v>
      </c>
      <c r="F87" s="7" t="s">
        <v>195</v>
      </c>
      <c r="G87" s="7" t="s">
        <v>195</v>
      </c>
      <c r="H87" s="7" t="s">
        <v>195</v>
      </c>
      <c r="I87" s="7" t="s">
        <v>195</v>
      </c>
      <c r="J87" s="7" t="s">
        <v>195</v>
      </c>
      <c r="K87" s="7" t="s">
        <v>195</v>
      </c>
      <c r="L87" s="7" t="s">
        <v>195</v>
      </c>
      <c r="M87" s="7" t="s">
        <v>29</v>
      </c>
      <c r="N87" s="7" t="s">
        <v>29</v>
      </c>
      <c r="O87" s="7" t="s">
        <v>29</v>
      </c>
      <c r="P87" s="7" t="s">
        <v>29</v>
      </c>
      <c r="Q87" s="7" t="s">
        <v>29</v>
      </c>
      <c r="R87" s="7" t="s">
        <v>29</v>
      </c>
      <c r="S87" s="7" t="s">
        <v>29</v>
      </c>
    </row>
    <row r="88" spans="2:19">
      <c r="B88" s="9" t="s">
        <v>195</v>
      </c>
      <c r="C88" s="7" t="s">
        <v>195</v>
      </c>
      <c r="D88" s="5" t="str">
        <f>LRTRIM(CONCATENATE(IF(SUMPRODUCT(-- ISNUMBER(SEARCH({"Auto Number"}, $B88))) &gt; 0, $B88, IF(SUMPRODUCT(-- ISNUMBER(SEARCH({"Lookup","Master-Detail"}, $B88))) &gt; 0,$B88 &amp; "(" &amp; $E88 &amp; ")",IF(SUMPRODUCT(-- ISNUMBER(SEARCH({"Formula","Roll-Up Summary"}, $B88))) &gt; 0,$B88 &amp; " (" &amp; $E88 &amp; ")",IF(SUMPRODUCT(-- ISNUMBER(SEARCH({"Content","Currency","Number","Percent","Text","URL"}, $B88))) &gt; 0,$B88 &amp; "(" &amp; $C88 &amp; ")",$B88)))), "  ", TRIM(IF($S88 = "YES", "(External ID)", "") &amp; " " &amp; IF(SUMPRODUCT(-- ISNUMBER(SEARCH({"Unique","Unique Case Insensitive"}, $R88))) &gt; 0, "(" &amp; $R88 &amp; ")", ""))))</f>
        <v>na</v>
      </c>
      <c r="E88" s="7" t="s">
        <v>195</v>
      </c>
      <c r="F88" s="7" t="s">
        <v>195</v>
      </c>
      <c r="G88" s="7" t="s">
        <v>195</v>
      </c>
      <c r="H88" s="7" t="s">
        <v>195</v>
      </c>
      <c r="I88" s="7" t="s">
        <v>195</v>
      </c>
      <c r="J88" s="7" t="s">
        <v>195</v>
      </c>
      <c r="K88" s="7" t="s">
        <v>195</v>
      </c>
      <c r="L88" s="7" t="s">
        <v>195</v>
      </c>
      <c r="M88" s="7" t="s">
        <v>29</v>
      </c>
      <c r="N88" s="7" t="s">
        <v>29</v>
      </c>
      <c r="O88" s="7" t="s">
        <v>29</v>
      </c>
      <c r="P88" s="7" t="s">
        <v>29</v>
      </c>
      <c r="Q88" s="7" t="s">
        <v>29</v>
      </c>
      <c r="R88" s="7" t="s">
        <v>29</v>
      </c>
      <c r="S88" s="7" t="s">
        <v>29</v>
      </c>
    </row>
    <row r="89" spans="2:19">
      <c r="B89" s="9" t="s">
        <v>195</v>
      </c>
      <c r="C89" s="7" t="s">
        <v>195</v>
      </c>
      <c r="D89" s="5" t="str">
        <f>LRTRIM(CONCATENATE(IF(SUMPRODUCT(-- ISNUMBER(SEARCH({"Auto Number"}, $B89))) &gt; 0, $B89, IF(SUMPRODUCT(-- ISNUMBER(SEARCH({"Lookup","Master-Detail"}, $B89))) &gt; 0,$B89 &amp; "(" &amp; $E89 &amp; ")",IF(SUMPRODUCT(-- ISNUMBER(SEARCH({"Formula","Roll-Up Summary"}, $B89))) &gt; 0,$B89 &amp; " (" &amp; $E89 &amp; ")",IF(SUMPRODUCT(-- ISNUMBER(SEARCH({"Content","Currency","Number","Percent","Text","URL"}, $B89))) &gt; 0,$B89 &amp; "(" &amp; $C89 &amp; ")",$B89)))), "  ", TRIM(IF($S89 = "YES", "(External ID)", "") &amp; " " &amp; IF(SUMPRODUCT(-- ISNUMBER(SEARCH({"Unique","Unique Case Insensitive"}, $R89))) &gt; 0, "(" &amp; $R89 &amp; ")", ""))))</f>
        <v>na</v>
      </c>
      <c r="E89" s="7" t="s">
        <v>195</v>
      </c>
      <c r="F89" s="7" t="s">
        <v>195</v>
      </c>
      <c r="G89" s="7" t="s">
        <v>195</v>
      </c>
      <c r="H89" s="7" t="s">
        <v>195</v>
      </c>
      <c r="I89" s="7" t="s">
        <v>195</v>
      </c>
      <c r="J89" s="7" t="s">
        <v>195</v>
      </c>
      <c r="K89" s="7" t="s">
        <v>195</v>
      </c>
      <c r="L89" s="7" t="s">
        <v>195</v>
      </c>
      <c r="M89" s="7" t="s">
        <v>29</v>
      </c>
      <c r="N89" s="7" t="s">
        <v>29</v>
      </c>
      <c r="O89" s="7" t="s">
        <v>29</v>
      </c>
      <c r="P89" s="7" t="s">
        <v>29</v>
      </c>
      <c r="Q89" s="7" t="s">
        <v>29</v>
      </c>
      <c r="R89" s="7" t="s">
        <v>29</v>
      </c>
      <c r="S89" s="7" t="s">
        <v>29</v>
      </c>
    </row>
    <row r="90" spans="2:19">
      <c r="B90" s="9" t="s">
        <v>195</v>
      </c>
      <c r="C90" s="7" t="s">
        <v>195</v>
      </c>
      <c r="D90" s="5" t="str">
        <f>LRTRIM(CONCATENATE(IF(SUMPRODUCT(-- ISNUMBER(SEARCH({"Auto Number"}, $B90))) &gt; 0, $B90, IF(SUMPRODUCT(-- ISNUMBER(SEARCH({"Lookup","Master-Detail"}, $B90))) &gt; 0,$B90 &amp; "(" &amp; $E90 &amp; ")",IF(SUMPRODUCT(-- ISNUMBER(SEARCH({"Formula","Roll-Up Summary"}, $B90))) &gt; 0,$B90 &amp; " (" &amp; $E90 &amp; ")",IF(SUMPRODUCT(-- ISNUMBER(SEARCH({"Content","Currency","Number","Percent","Text","URL"}, $B90))) &gt; 0,$B90 &amp; "(" &amp; $C90 &amp; ")",$B90)))), "  ", TRIM(IF($S90 = "YES", "(External ID)", "") &amp; " " &amp; IF(SUMPRODUCT(-- ISNUMBER(SEARCH({"Unique","Unique Case Insensitive"}, $R90))) &gt; 0, "(" &amp; $R90 &amp; ")", ""))))</f>
        <v>na</v>
      </c>
      <c r="E90" s="7" t="s">
        <v>195</v>
      </c>
      <c r="F90" s="7" t="s">
        <v>195</v>
      </c>
      <c r="G90" s="7" t="s">
        <v>195</v>
      </c>
      <c r="H90" s="7" t="s">
        <v>195</v>
      </c>
      <c r="I90" s="7" t="s">
        <v>195</v>
      </c>
      <c r="J90" s="7" t="s">
        <v>195</v>
      </c>
      <c r="K90" s="7" t="s">
        <v>195</v>
      </c>
      <c r="L90" s="7" t="s">
        <v>195</v>
      </c>
      <c r="M90" s="7" t="s">
        <v>29</v>
      </c>
      <c r="N90" s="7" t="s">
        <v>29</v>
      </c>
      <c r="O90" s="7" t="s">
        <v>29</v>
      </c>
      <c r="P90" s="7" t="s">
        <v>29</v>
      </c>
      <c r="Q90" s="7" t="s">
        <v>29</v>
      </c>
      <c r="R90" s="7" t="s">
        <v>29</v>
      </c>
      <c r="S90" s="7" t="s">
        <v>29</v>
      </c>
    </row>
    <row r="91" spans="2:19">
      <c r="B91" s="9" t="s">
        <v>195</v>
      </c>
      <c r="C91" s="7" t="s">
        <v>195</v>
      </c>
      <c r="D91" s="5" t="str">
        <f>LRTRIM(CONCATENATE(IF(SUMPRODUCT(-- ISNUMBER(SEARCH({"Auto Number"}, $B91))) &gt; 0, $B91, IF(SUMPRODUCT(-- ISNUMBER(SEARCH({"Lookup","Master-Detail"}, $B91))) &gt; 0,$B91 &amp; "(" &amp; $E91 &amp; ")",IF(SUMPRODUCT(-- ISNUMBER(SEARCH({"Formula","Roll-Up Summary"}, $B91))) &gt; 0,$B91 &amp; " (" &amp; $E91 &amp; ")",IF(SUMPRODUCT(-- ISNUMBER(SEARCH({"Content","Currency","Number","Percent","Text","URL"}, $B91))) &gt; 0,$B91 &amp; "(" &amp; $C91 &amp; ")",$B91)))), "  ", TRIM(IF($S91 = "YES", "(External ID)", "") &amp; " " &amp; IF(SUMPRODUCT(-- ISNUMBER(SEARCH({"Unique","Unique Case Insensitive"}, $R91))) &gt; 0, "(" &amp; $R91 &amp; ")", ""))))</f>
        <v>na</v>
      </c>
      <c r="E91" s="7" t="s">
        <v>195</v>
      </c>
      <c r="F91" s="7" t="s">
        <v>195</v>
      </c>
      <c r="G91" s="7" t="s">
        <v>195</v>
      </c>
      <c r="H91" s="7" t="s">
        <v>195</v>
      </c>
      <c r="I91" s="7" t="s">
        <v>195</v>
      </c>
      <c r="J91" s="7" t="s">
        <v>195</v>
      </c>
      <c r="K91" s="7" t="s">
        <v>195</v>
      </c>
      <c r="L91" s="7" t="s">
        <v>195</v>
      </c>
      <c r="M91" s="7" t="s">
        <v>29</v>
      </c>
      <c r="N91" s="7" t="s">
        <v>29</v>
      </c>
      <c r="O91" s="7" t="s">
        <v>29</v>
      </c>
      <c r="P91" s="7" t="s">
        <v>29</v>
      </c>
      <c r="Q91" s="7" t="s">
        <v>29</v>
      </c>
      <c r="R91" s="7" t="s">
        <v>29</v>
      </c>
      <c r="S91" s="7" t="s">
        <v>29</v>
      </c>
    </row>
    <row r="92" spans="2:19">
      <c r="B92" s="9" t="s">
        <v>195</v>
      </c>
      <c r="C92" s="7" t="s">
        <v>195</v>
      </c>
      <c r="D92" s="5" t="str">
        <f>LRTRIM(CONCATENATE(IF(SUMPRODUCT(-- ISNUMBER(SEARCH({"Auto Number"}, $B92))) &gt; 0, $B92, IF(SUMPRODUCT(-- ISNUMBER(SEARCH({"Lookup","Master-Detail"}, $B92))) &gt; 0,$B92 &amp; "(" &amp; $E92 &amp; ")",IF(SUMPRODUCT(-- ISNUMBER(SEARCH({"Formula","Roll-Up Summary"}, $B92))) &gt; 0,$B92 &amp; " (" &amp; $E92 &amp; ")",IF(SUMPRODUCT(-- ISNUMBER(SEARCH({"Content","Currency","Number","Percent","Text","URL"}, $B92))) &gt; 0,$B92 &amp; "(" &amp; $C92 &amp; ")",$B92)))), "  ", TRIM(IF($S92 = "YES", "(External ID)", "") &amp; " " &amp; IF(SUMPRODUCT(-- ISNUMBER(SEARCH({"Unique","Unique Case Insensitive"}, $R92))) &gt; 0, "(" &amp; $R92 &amp; ")", ""))))</f>
        <v>na</v>
      </c>
      <c r="E92" s="7" t="s">
        <v>195</v>
      </c>
      <c r="F92" s="7" t="s">
        <v>195</v>
      </c>
      <c r="G92" s="7" t="s">
        <v>195</v>
      </c>
      <c r="H92" s="7" t="s">
        <v>195</v>
      </c>
      <c r="I92" s="7" t="s">
        <v>195</v>
      </c>
      <c r="J92" s="7" t="s">
        <v>195</v>
      </c>
      <c r="K92" s="7" t="s">
        <v>195</v>
      </c>
      <c r="L92" s="7" t="s">
        <v>195</v>
      </c>
      <c r="M92" s="7" t="s">
        <v>29</v>
      </c>
      <c r="N92" s="7" t="s">
        <v>29</v>
      </c>
      <c r="O92" s="7" t="s">
        <v>29</v>
      </c>
      <c r="P92" s="7" t="s">
        <v>29</v>
      </c>
      <c r="Q92" s="7" t="s">
        <v>29</v>
      </c>
      <c r="R92" s="7" t="s">
        <v>29</v>
      </c>
      <c r="S92" s="7" t="s">
        <v>29</v>
      </c>
    </row>
    <row r="93" spans="2:19">
      <c r="B93" s="9" t="s">
        <v>195</v>
      </c>
      <c r="C93" s="7" t="s">
        <v>195</v>
      </c>
      <c r="D93" s="5" t="str">
        <f>LRTRIM(CONCATENATE(IF(SUMPRODUCT(-- ISNUMBER(SEARCH({"Auto Number"}, $B93))) &gt; 0, $B93, IF(SUMPRODUCT(-- ISNUMBER(SEARCH({"Lookup","Master-Detail"}, $B93))) &gt; 0,$B93 &amp; "(" &amp; $E93 &amp; ")",IF(SUMPRODUCT(-- ISNUMBER(SEARCH({"Formula","Roll-Up Summary"}, $B93))) &gt; 0,$B93 &amp; " (" &amp; $E93 &amp; ")",IF(SUMPRODUCT(-- ISNUMBER(SEARCH({"Content","Currency","Number","Percent","Text","URL"}, $B93))) &gt; 0,$B93 &amp; "(" &amp; $C93 &amp; ")",$B93)))), "  ", TRIM(IF($S93 = "YES", "(External ID)", "") &amp; " " &amp; IF(SUMPRODUCT(-- ISNUMBER(SEARCH({"Unique","Unique Case Insensitive"}, $R93))) &gt; 0, "(" &amp; $R93 &amp; ")", ""))))</f>
        <v>na</v>
      </c>
      <c r="E93" s="7" t="s">
        <v>195</v>
      </c>
      <c r="F93" s="7" t="s">
        <v>195</v>
      </c>
      <c r="G93" s="7" t="s">
        <v>195</v>
      </c>
      <c r="H93" s="7" t="s">
        <v>195</v>
      </c>
      <c r="I93" s="7" t="s">
        <v>195</v>
      </c>
      <c r="J93" s="7" t="s">
        <v>195</v>
      </c>
      <c r="K93" s="7" t="s">
        <v>195</v>
      </c>
      <c r="L93" s="7" t="s">
        <v>195</v>
      </c>
      <c r="M93" s="7" t="s">
        <v>29</v>
      </c>
      <c r="N93" s="7" t="s">
        <v>29</v>
      </c>
      <c r="O93" s="7" t="s">
        <v>29</v>
      </c>
      <c r="P93" s="7" t="s">
        <v>29</v>
      </c>
      <c r="Q93" s="7" t="s">
        <v>29</v>
      </c>
      <c r="R93" s="7" t="s">
        <v>29</v>
      </c>
      <c r="S93" s="7" t="s">
        <v>29</v>
      </c>
    </row>
    <row r="94" spans="2:19">
      <c r="B94" s="9" t="s">
        <v>195</v>
      </c>
      <c r="C94" s="7" t="s">
        <v>195</v>
      </c>
      <c r="D94" s="5" t="str">
        <f>LRTRIM(CONCATENATE(IF(SUMPRODUCT(-- ISNUMBER(SEARCH({"Auto Number"}, $B94))) &gt; 0, $B94, IF(SUMPRODUCT(-- ISNUMBER(SEARCH({"Lookup","Master-Detail"}, $B94))) &gt; 0,$B94 &amp; "(" &amp; $E94 &amp; ")",IF(SUMPRODUCT(-- ISNUMBER(SEARCH({"Formula","Roll-Up Summary"}, $B94))) &gt; 0,$B94 &amp; " (" &amp; $E94 &amp; ")",IF(SUMPRODUCT(-- ISNUMBER(SEARCH({"Content","Currency","Number","Percent","Text","URL"}, $B94))) &gt; 0,$B94 &amp; "(" &amp; $C94 &amp; ")",$B94)))), "  ", TRIM(IF($S94 = "YES", "(External ID)", "") &amp; " " &amp; IF(SUMPRODUCT(-- ISNUMBER(SEARCH({"Unique","Unique Case Insensitive"}, $R94))) &gt; 0, "(" &amp; $R94 &amp; ")", ""))))</f>
        <v>na</v>
      </c>
      <c r="E94" s="7" t="s">
        <v>195</v>
      </c>
      <c r="F94" s="7" t="s">
        <v>195</v>
      </c>
      <c r="G94" s="7" t="s">
        <v>195</v>
      </c>
      <c r="H94" s="7" t="s">
        <v>195</v>
      </c>
      <c r="I94" s="7" t="s">
        <v>195</v>
      </c>
      <c r="J94" s="7" t="s">
        <v>195</v>
      </c>
      <c r="K94" s="7" t="s">
        <v>195</v>
      </c>
      <c r="L94" s="7" t="s">
        <v>195</v>
      </c>
      <c r="M94" s="7" t="s">
        <v>29</v>
      </c>
      <c r="N94" s="7" t="s">
        <v>29</v>
      </c>
      <c r="O94" s="7" t="s">
        <v>29</v>
      </c>
      <c r="P94" s="7" t="s">
        <v>29</v>
      </c>
      <c r="Q94" s="7" t="s">
        <v>29</v>
      </c>
      <c r="R94" s="7" t="s">
        <v>29</v>
      </c>
      <c r="S94" s="7" t="s">
        <v>29</v>
      </c>
    </row>
    <row r="95" spans="2:19">
      <c r="B95" s="9" t="s">
        <v>195</v>
      </c>
      <c r="C95" s="7" t="s">
        <v>195</v>
      </c>
      <c r="D95" s="5" t="str">
        <f>LRTRIM(CONCATENATE(IF(SUMPRODUCT(-- ISNUMBER(SEARCH({"Auto Number"}, $B95))) &gt; 0, $B95, IF(SUMPRODUCT(-- ISNUMBER(SEARCH({"Lookup","Master-Detail"}, $B95))) &gt; 0,$B95 &amp; "(" &amp; $E95 &amp; ")",IF(SUMPRODUCT(-- ISNUMBER(SEARCH({"Formula","Roll-Up Summary"}, $B95))) &gt; 0,$B95 &amp; " (" &amp; $E95 &amp; ")",IF(SUMPRODUCT(-- ISNUMBER(SEARCH({"Content","Currency","Number","Percent","Text","URL"}, $B95))) &gt; 0,$B95 &amp; "(" &amp; $C95 &amp; ")",$B95)))), "  ", TRIM(IF($S95 = "YES", "(External ID)", "") &amp; " " &amp; IF(SUMPRODUCT(-- ISNUMBER(SEARCH({"Unique","Unique Case Insensitive"}, $R95))) &gt; 0, "(" &amp; $R95 &amp; ")", ""))))</f>
        <v>na</v>
      </c>
      <c r="E95" s="7" t="s">
        <v>195</v>
      </c>
      <c r="F95" s="7" t="s">
        <v>195</v>
      </c>
      <c r="G95" s="7" t="s">
        <v>195</v>
      </c>
      <c r="H95" s="7" t="s">
        <v>195</v>
      </c>
      <c r="I95" s="7" t="s">
        <v>195</v>
      </c>
      <c r="J95" s="7" t="s">
        <v>195</v>
      </c>
      <c r="K95" s="7" t="s">
        <v>195</v>
      </c>
      <c r="L95" s="7" t="s">
        <v>195</v>
      </c>
      <c r="M95" s="7" t="s">
        <v>29</v>
      </c>
      <c r="N95" s="7" t="s">
        <v>29</v>
      </c>
      <c r="O95" s="7" t="s">
        <v>29</v>
      </c>
      <c r="P95" s="7" t="s">
        <v>29</v>
      </c>
      <c r="Q95" s="7" t="s">
        <v>29</v>
      </c>
      <c r="R95" s="7" t="s">
        <v>29</v>
      </c>
      <c r="S95" s="7" t="s">
        <v>29</v>
      </c>
    </row>
    <row r="96" spans="2:19">
      <c r="B96" s="9" t="s">
        <v>195</v>
      </c>
      <c r="C96" s="7" t="s">
        <v>195</v>
      </c>
      <c r="D96" s="5" t="str">
        <f>LRTRIM(CONCATENATE(IF(SUMPRODUCT(-- ISNUMBER(SEARCH({"Auto Number"}, $B96))) &gt; 0, $B96, IF(SUMPRODUCT(-- ISNUMBER(SEARCH({"Lookup","Master-Detail"}, $B96))) &gt; 0,$B96 &amp; "(" &amp; $E96 &amp; ")",IF(SUMPRODUCT(-- ISNUMBER(SEARCH({"Formula","Roll-Up Summary"}, $B96))) &gt; 0,$B96 &amp; " (" &amp; $E96 &amp; ")",IF(SUMPRODUCT(-- ISNUMBER(SEARCH({"Content","Currency","Number","Percent","Text","URL"}, $B96))) &gt; 0,$B96 &amp; "(" &amp; $C96 &amp; ")",$B96)))), "  ", TRIM(IF($S96 = "YES", "(External ID)", "") &amp; " " &amp; IF(SUMPRODUCT(-- ISNUMBER(SEARCH({"Unique","Unique Case Insensitive"}, $R96))) &gt; 0, "(" &amp; $R96 &amp; ")", ""))))</f>
        <v>na</v>
      </c>
      <c r="E96" s="7" t="s">
        <v>195</v>
      </c>
      <c r="F96" s="7" t="s">
        <v>195</v>
      </c>
      <c r="G96" s="7" t="s">
        <v>195</v>
      </c>
      <c r="H96" s="7" t="s">
        <v>195</v>
      </c>
      <c r="I96" s="7" t="s">
        <v>195</v>
      </c>
      <c r="J96" s="7" t="s">
        <v>195</v>
      </c>
      <c r="K96" s="7" t="s">
        <v>195</v>
      </c>
      <c r="L96" s="7" t="s">
        <v>195</v>
      </c>
      <c r="M96" s="7" t="s">
        <v>29</v>
      </c>
      <c r="N96" s="7" t="s">
        <v>29</v>
      </c>
      <c r="O96" s="7" t="s">
        <v>29</v>
      </c>
      <c r="P96" s="7" t="s">
        <v>29</v>
      </c>
      <c r="Q96" s="7" t="s">
        <v>29</v>
      </c>
      <c r="R96" s="7" t="s">
        <v>29</v>
      </c>
      <c r="S96" s="7" t="s">
        <v>29</v>
      </c>
    </row>
    <row r="97" spans="2:19">
      <c r="B97" s="9" t="s">
        <v>195</v>
      </c>
      <c r="C97" s="7" t="s">
        <v>195</v>
      </c>
      <c r="D97" s="5" t="str">
        <f>LRTRIM(CONCATENATE(IF(SUMPRODUCT(-- ISNUMBER(SEARCH({"Auto Number"}, $B97))) &gt; 0, $B97, IF(SUMPRODUCT(-- ISNUMBER(SEARCH({"Lookup","Master-Detail"}, $B97))) &gt; 0,$B97 &amp; "(" &amp; $E97 &amp; ")",IF(SUMPRODUCT(-- ISNUMBER(SEARCH({"Formula","Roll-Up Summary"}, $B97))) &gt; 0,$B97 &amp; " (" &amp; $E97 &amp; ")",IF(SUMPRODUCT(-- ISNUMBER(SEARCH({"Content","Currency","Number","Percent","Text","URL"}, $B97))) &gt; 0,$B97 &amp; "(" &amp; $C97 &amp; ")",$B97)))), "  ", TRIM(IF($S97 = "YES", "(External ID)", "") &amp; " " &amp; IF(SUMPRODUCT(-- ISNUMBER(SEARCH({"Unique","Unique Case Insensitive"}, $R97))) &gt; 0, "(" &amp; $R97 &amp; ")", ""))))</f>
        <v>na</v>
      </c>
      <c r="E97" s="7" t="s">
        <v>195</v>
      </c>
      <c r="F97" s="7" t="s">
        <v>195</v>
      </c>
      <c r="G97" s="7" t="s">
        <v>195</v>
      </c>
      <c r="H97" s="7" t="s">
        <v>195</v>
      </c>
      <c r="I97" s="7" t="s">
        <v>195</v>
      </c>
      <c r="J97" s="7" t="s">
        <v>195</v>
      </c>
      <c r="K97" s="7" t="s">
        <v>195</v>
      </c>
      <c r="L97" s="7" t="s">
        <v>195</v>
      </c>
      <c r="M97" s="7" t="s">
        <v>29</v>
      </c>
      <c r="N97" s="7" t="s">
        <v>29</v>
      </c>
      <c r="O97" s="7" t="s">
        <v>29</v>
      </c>
      <c r="P97" s="7" t="s">
        <v>29</v>
      </c>
      <c r="Q97" s="7" t="s">
        <v>29</v>
      </c>
      <c r="R97" s="7" t="s">
        <v>29</v>
      </c>
      <c r="S97" s="7" t="s">
        <v>29</v>
      </c>
    </row>
    <row r="98" spans="2:19">
      <c r="B98" s="9" t="s">
        <v>195</v>
      </c>
      <c r="C98" s="7" t="s">
        <v>195</v>
      </c>
      <c r="D98" s="5" t="str">
        <f>LRTRIM(CONCATENATE(IF(SUMPRODUCT(-- ISNUMBER(SEARCH({"Auto Number"}, $B98))) &gt; 0, $B98, IF(SUMPRODUCT(-- ISNUMBER(SEARCH({"Lookup","Master-Detail"}, $B98))) &gt; 0,$B98 &amp; "(" &amp; $E98 &amp; ")",IF(SUMPRODUCT(-- ISNUMBER(SEARCH({"Formula","Roll-Up Summary"}, $B98))) &gt; 0,$B98 &amp; " (" &amp; $E98 &amp; ")",IF(SUMPRODUCT(-- ISNUMBER(SEARCH({"Content","Currency","Number","Percent","Text","URL"}, $B98))) &gt; 0,$B98 &amp; "(" &amp; $C98 &amp; ")",$B98)))), "  ", TRIM(IF($S98 = "YES", "(External ID)", "") &amp; " " &amp; IF(SUMPRODUCT(-- ISNUMBER(SEARCH({"Unique","Unique Case Insensitive"}, $R98))) &gt; 0, "(" &amp; $R98 &amp; ")", ""))))</f>
        <v>na</v>
      </c>
      <c r="E98" s="7" t="s">
        <v>195</v>
      </c>
      <c r="F98" s="7" t="s">
        <v>195</v>
      </c>
      <c r="G98" s="7" t="s">
        <v>195</v>
      </c>
      <c r="H98" s="7" t="s">
        <v>195</v>
      </c>
      <c r="I98" s="7" t="s">
        <v>195</v>
      </c>
      <c r="J98" s="7" t="s">
        <v>195</v>
      </c>
      <c r="K98" s="7" t="s">
        <v>195</v>
      </c>
      <c r="L98" s="7" t="s">
        <v>195</v>
      </c>
      <c r="M98" s="7" t="s">
        <v>29</v>
      </c>
      <c r="N98" s="7" t="s">
        <v>29</v>
      </c>
      <c r="O98" s="7" t="s">
        <v>29</v>
      </c>
      <c r="P98" s="7" t="s">
        <v>29</v>
      </c>
      <c r="Q98" s="7" t="s">
        <v>29</v>
      </c>
      <c r="R98" s="7" t="s">
        <v>29</v>
      </c>
      <c r="S98" s="7" t="s">
        <v>29</v>
      </c>
    </row>
    <row r="99" spans="2:19">
      <c r="B99" s="9" t="s">
        <v>195</v>
      </c>
      <c r="C99" s="7" t="s">
        <v>195</v>
      </c>
      <c r="D99" s="5" t="str">
        <f>LRTRIM(CONCATENATE(IF(SUMPRODUCT(-- ISNUMBER(SEARCH({"Auto Number"}, $B99))) &gt; 0, $B99, IF(SUMPRODUCT(-- ISNUMBER(SEARCH({"Lookup","Master-Detail"}, $B99))) &gt; 0,$B99 &amp; "(" &amp; $E99 &amp; ")",IF(SUMPRODUCT(-- ISNUMBER(SEARCH({"Formula","Roll-Up Summary"}, $B99))) &gt; 0,$B99 &amp; " (" &amp; $E99 &amp; ")",IF(SUMPRODUCT(-- ISNUMBER(SEARCH({"Content","Currency","Number","Percent","Text","URL"}, $B99))) &gt; 0,$B99 &amp; "(" &amp; $C99 &amp; ")",$B99)))), "  ", TRIM(IF($S99 = "YES", "(External ID)", "") &amp; " " &amp; IF(SUMPRODUCT(-- ISNUMBER(SEARCH({"Unique","Unique Case Insensitive"}, $R99))) &gt; 0, "(" &amp; $R99 &amp; ")", ""))))</f>
        <v>na</v>
      </c>
      <c r="E99" s="7" t="s">
        <v>195</v>
      </c>
      <c r="F99" s="7" t="s">
        <v>195</v>
      </c>
      <c r="G99" s="7" t="s">
        <v>195</v>
      </c>
      <c r="H99" s="7" t="s">
        <v>195</v>
      </c>
      <c r="I99" s="7" t="s">
        <v>195</v>
      </c>
      <c r="J99" s="7" t="s">
        <v>195</v>
      </c>
      <c r="K99" s="7" t="s">
        <v>195</v>
      </c>
      <c r="L99" s="7" t="s">
        <v>195</v>
      </c>
      <c r="M99" s="7" t="s">
        <v>29</v>
      </c>
      <c r="N99" s="7" t="s">
        <v>29</v>
      </c>
      <c r="O99" s="7" t="s">
        <v>29</v>
      </c>
      <c r="P99" s="7" t="s">
        <v>29</v>
      </c>
      <c r="Q99" s="7" t="s">
        <v>29</v>
      </c>
      <c r="R99" s="7" t="s">
        <v>29</v>
      </c>
      <c r="S99" s="7" t="s">
        <v>29</v>
      </c>
    </row>
    <row r="100" spans="2:19">
      <c r="B100" s="9" t="s">
        <v>195</v>
      </c>
      <c r="C100" s="7" t="s">
        <v>195</v>
      </c>
      <c r="D100" s="5" t="str">
        <f>LRTRIM(CONCATENATE(IF(SUMPRODUCT(-- ISNUMBER(SEARCH({"Auto Number"}, $B100))) &gt; 0, $B100, IF(SUMPRODUCT(-- ISNUMBER(SEARCH({"Lookup","Master-Detail"}, $B100))) &gt; 0,$B100 &amp; "(" &amp; $E100 &amp; ")",IF(SUMPRODUCT(-- ISNUMBER(SEARCH({"Formula","Roll-Up Summary"}, $B100))) &gt; 0,$B100 &amp; " (" &amp; $E100 &amp; ")",IF(SUMPRODUCT(-- ISNUMBER(SEARCH({"Content","Currency","Number","Percent","Text","URL"}, $B100))) &gt; 0,$B100 &amp; "(" &amp; $C100 &amp; ")",$B100)))), "  ", TRIM(IF($S100 = "YES", "(External ID)", "") &amp; " " &amp; IF(SUMPRODUCT(-- ISNUMBER(SEARCH({"Unique","Unique Case Insensitive"}, $R100))) &gt; 0, "(" &amp; $R100 &amp; ")", ""))))</f>
        <v>na</v>
      </c>
      <c r="E100" s="7" t="s">
        <v>195</v>
      </c>
      <c r="F100" s="7" t="s">
        <v>195</v>
      </c>
      <c r="G100" s="7" t="s">
        <v>195</v>
      </c>
      <c r="H100" s="7" t="s">
        <v>195</v>
      </c>
      <c r="I100" s="7" t="s">
        <v>195</v>
      </c>
      <c r="J100" s="7" t="s">
        <v>195</v>
      </c>
      <c r="K100" s="7" t="s">
        <v>195</v>
      </c>
      <c r="L100" s="7" t="s">
        <v>195</v>
      </c>
      <c r="M100" s="7" t="s">
        <v>29</v>
      </c>
      <c r="N100" s="7" t="s">
        <v>29</v>
      </c>
      <c r="O100" s="7" t="s">
        <v>29</v>
      </c>
      <c r="P100" s="7" t="s">
        <v>29</v>
      </c>
      <c r="Q100" s="7" t="s">
        <v>29</v>
      </c>
      <c r="R100" s="7" t="s">
        <v>29</v>
      </c>
      <c r="S100" s="7" t="s">
        <v>29</v>
      </c>
    </row>
    <row r="101" spans="2:19">
      <c r="B101" s="9" t="s">
        <v>195</v>
      </c>
      <c r="C101" s="7" t="s">
        <v>195</v>
      </c>
      <c r="D101" s="5" t="str">
        <f>LRTRIM(CONCATENATE(IF(SUMPRODUCT(-- ISNUMBER(SEARCH({"Auto Number"}, $B101))) &gt; 0, $B101, IF(SUMPRODUCT(-- ISNUMBER(SEARCH({"Lookup","Master-Detail"}, $B101))) &gt; 0,$B101 &amp; "(" &amp; $E101 &amp; ")",IF(SUMPRODUCT(-- ISNUMBER(SEARCH({"Formula","Roll-Up Summary"}, $B101))) &gt; 0,$B101 &amp; " (" &amp; $E101 &amp; ")",IF(SUMPRODUCT(-- ISNUMBER(SEARCH({"Content","Currency","Number","Percent","Text","URL"}, $B101))) &gt; 0,$B101 &amp; "(" &amp; $C101 &amp; ")",$B101)))), "  ", TRIM(IF($S101 = "YES", "(External ID)", "") &amp; " " &amp; IF(SUMPRODUCT(-- ISNUMBER(SEARCH({"Unique","Unique Case Insensitive"}, $R101))) &gt; 0, "(" &amp; $R101 &amp; ")", ""))))</f>
        <v>na</v>
      </c>
      <c r="E101" s="7" t="s">
        <v>195</v>
      </c>
      <c r="F101" s="7" t="s">
        <v>195</v>
      </c>
      <c r="G101" s="7" t="s">
        <v>195</v>
      </c>
      <c r="H101" s="7" t="s">
        <v>195</v>
      </c>
      <c r="I101" s="7" t="s">
        <v>195</v>
      </c>
      <c r="J101" s="7" t="s">
        <v>195</v>
      </c>
      <c r="K101" s="7" t="s">
        <v>195</v>
      </c>
      <c r="L101" s="7" t="s">
        <v>195</v>
      </c>
      <c r="M101" s="7" t="s">
        <v>29</v>
      </c>
      <c r="N101" s="7" t="s">
        <v>29</v>
      </c>
      <c r="O101" s="7" t="s">
        <v>29</v>
      </c>
      <c r="P101" s="7" t="s">
        <v>29</v>
      </c>
      <c r="Q101" s="7" t="s">
        <v>29</v>
      </c>
      <c r="R101" s="7" t="s">
        <v>29</v>
      </c>
      <c r="S101" s="7" t="s">
        <v>29</v>
      </c>
    </row>
    <row r="102" spans="2:19">
      <c r="B102" s="9" t="s">
        <v>195</v>
      </c>
      <c r="C102" s="7" t="s">
        <v>195</v>
      </c>
      <c r="D102" s="5" t="str">
        <f>LRTRIM(CONCATENATE(IF(SUMPRODUCT(-- ISNUMBER(SEARCH({"Auto Number"}, $B102))) &gt; 0, $B102, IF(SUMPRODUCT(-- ISNUMBER(SEARCH({"Lookup","Master-Detail"}, $B102))) &gt; 0,$B102 &amp; "(" &amp; $E102 &amp; ")",IF(SUMPRODUCT(-- ISNUMBER(SEARCH({"Formula","Roll-Up Summary"}, $B102))) &gt; 0,$B102 &amp; " (" &amp; $E102 &amp; ")",IF(SUMPRODUCT(-- ISNUMBER(SEARCH({"Content","Currency","Number","Percent","Text","URL"}, $B102))) &gt; 0,$B102 &amp; "(" &amp; $C102 &amp; ")",$B102)))), "  ", TRIM(IF($S102 = "YES", "(External ID)", "") &amp; " " &amp; IF(SUMPRODUCT(-- ISNUMBER(SEARCH({"Unique","Unique Case Insensitive"}, $R102))) &gt; 0, "(" &amp; $R102 &amp; ")", ""))))</f>
        <v>na</v>
      </c>
      <c r="E102" s="7" t="s">
        <v>195</v>
      </c>
      <c r="F102" s="7" t="s">
        <v>195</v>
      </c>
      <c r="G102" s="7" t="s">
        <v>195</v>
      </c>
      <c r="H102" s="7" t="s">
        <v>195</v>
      </c>
      <c r="I102" s="7" t="s">
        <v>195</v>
      </c>
      <c r="J102" s="7" t="s">
        <v>195</v>
      </c>
      <c r="K102" s="7" t="s">
        <v>195</v>
      </c>
      <c r="L102" s="7" t="s">
        <v>195</v>
      </c>
      <c r="M102" s="7" t="s">
        <v>29</v>
      </c>
      <c r="N102" s="7" t="s">
        <v>29</v>
      </c>
      <c r="O102" s="7" t="s">
        <v>29</v>
      </c>
      <c r="P102" s="7" t="s">
        <v>29</v>
      </c>
      <c r="Q102" s="7" t="s">
        <v>29</v>
      </c>
      <c r="R102" s="7" t="s">
        <v>29</v>
      </c>
      <c r="S102" s="7" t="s">
        <v>29</v>
      </c>
    </row>
    <row r="103" spans="2:19">
      <c r="B103" s="9" t="s">
        <v>195</v>
      </c>
      <c r="C103" s="7" t="s">
        <v>195</v>
      </c>
      <c r="D103" s="5" t="str">
        <f>LRTRIM(CONCATENATE(IF(SUMPRODUCT(-- ISNUMBER(SEARCH({"Auto Number"}, $B103))) &gt; 0, $B103, IF(SUMPRODUCT(-- ISNUMBER(SEARCH({"Lookup","Master-Detail"}, $B103))) &gt; 0,$B103 &amp; "(" &amp; $E103 &amp; ")",IF(SUMPRODUCT(-- ISNUMBER(SEARCH({"Formula","Roll-Up Summary"}, $B103))) &gt; 0,$B103 &amp; " (" &amp; $E103 &amp; ")",IF(SUMPRODUCT(-- ISNUMBER(SEARCH({"Content","Currency","Number","Percent","Text","URL"}, $B103))) &gt; 0,$B103 &amp; "(" &amp; $C103 &amp; ")",$B103)))), "  ", TRIM(IF($S103 = "YES", "(External ID)", "") &amp; " " &amp; IF(SUMPRODUCT(-- ISNUMBER(SEARCH({"Unique","Unique Case Insensitive"}, $R103))) &gt; 0, "(" &amp; $R103 &amp; ")", ""))))</f>
        <v>na</v>
      </c>
      <c r="E103" s="7" t="s">
        <v>195</v>
      </c>
      <c r="F103" s="7" t="s">
        <v>195</v>
      </c>
      <c r="G103" s="7" t="s">
        <v>195</v>
      </c>
      <c r="H103" s="7" t="s">
        <v>195</v>
      </c>
      <c r="I103" s="7" t="s">
        <v>195</v>
      </c>
      <c r="J103" s="7" t="s">
        <v>195</v>
      </c>
      <c r="K103" s="7" t="s">
        <v>195</v>
      </c>
      <c r="L103" s="7" t="s">
        <v>195</v>
      </c>
      <c r="M103" s="7" t="s">
        <v>29</v>
      </c>
      <c r="N103" s="7" t="s">
        <v>29</v>
      </c>
      <c r="O103" s="7" t="s">
        <v>29</v>
      </c>
      <c r="P103" s="7" t="s">
        <v>29</v>
      </c>
      <c r="Q103" s="7" t="s">
        <v>29</v>
      </c>
      <c r="R103" s="7" t="s">
        <v>29</v>
      </c>
      <c r="S103" s="7" t="s">
        <v>29</v>
      </c>
    </row>
    <row r="104" spans="2:19">
      <c r="B104" s="9" t="s">
        <v>195</v>
      </c>
      <c r="C104" s="7" t="s">
        <v>195</v>
      </c>
      <c r="D104" s="5" t="str">
        <f>LRTRIM(CONCATENATE(IF(SUMPRODUCT(-- ISNUMBER(SEARCH({"Auto Number"}, $B104))) &gt; 0, $B104, IF(SUMPRODUCT(-- ISNUMBER(SEARCH({"Lookup","Master-Detail"}, $B104))) &gt; 0,$B104 &amp; "(" &amp; $E104 &amp; ")",IF(SUMPRODUCT(-- ISNUMBER(SEARCH({"Formula","Roll-Up Summary"}, $B104))) &gt; 0,$B104 &amp; " (" &amp; $E104 &amp; ")",IF(SUMPRODUCT(-- ISNUMBER(SEARCH({"Content","Currency","Number","Percent","Text","URL"}, $B104))) &gt; 0,$B104 &amp; "(" &amp; $C104 &amp; ")",$B104)))), "  ", TRIM(IF($S104 = "YES", "(External ID)", "") &amp; " " &amp; IF(SUMPRODUCT(-- ISNUMBER(SEARCH({"Unique","Unique Case Insensitive"}, $R104))) &gt; 0, "(" &amp; $R104 &amp; ")", ""))))</f>
        <v>na</v>
      </c>
      <c r="E104" s="7" t="s">
        <v>195</v>
      </c>
      <c r="F104" s="7" t="s">
        <v>195</v>
      </c>
      <c r="G104" s="7" t="s">
        <v>195</v>
      </c>
      <c r="H104" s="7" t="s">
        <v>195</v>
      </c>
      <c r="I104" s="7" t="s">
        <v>195</v>
      </c>
      <c r="J104" s="7" t="s">
        <v>195</v>
      </c>
      <c r="K104" s="7" t="s">
        <v>195</v>
      </c>
      <c r="L104" s="7" t="s">
        <v>195</v>
      </c>
      <c r="M104" s="7" t="s">
        <v>29</v>
      </c>
      <c r="N104" s="7" t="s">
        <v>29</v>
      </c>
      <c r="O104" s="7" t="s">
        <v>29</v>
      </c>
      <c r="P104" s="7" t="s">
        <v>29</v>
      </c>
      <c r="Q104" s="7" t="s">
        <v>29</v>
      </c>
      <c r="R104" s="7" t="s">
        <v>29</v>
      </c>
      <c r="S104" s="7" t="s">
        <v>29</v>
      </c>
    </row>
    <row r="105" spans="2:19">
      <c r="B105" s="9" t="s">
        <v>195</v>
      </c>
      <c r="C105" s="7" t="s">
        <v>195</v>
      </c>
      <c r="D105" s="5" t="str">
        <f>LRTRIM(CONCATENATE(IF(SUMPRODUCT(-- ISNUMBER(SEARCH({"Auto Number"}, $B105))) &gt; 0, $B105, IF(SUMPRODUCT(-- ISNUMBER(SEARCH({"Lookup","Master-Detail"}, $B105))) &gt; 0,$B105 &amp; "(" &amp; $E105 &amp; ")",IF(SUMPRODUCT(-- ISNUMBER(SEARCH({"Formula","Roll-Up Summary"}, $B105))) &gt; 0,$B105 &amp; " (" &amp; $E105 &amp; ")",IF(SUMPRODUCT(-- ISNUMBER(SEARCH({"Content","Currency","Number","Percent","Text","URL"}, $B105))) &gt; 0,$B105 &amp; "(" &amp; $C105 &amp; ")",$B105)))), "  ", TRIM(IF($S105 = "YES", "(External ID)", "") &amp; " " &amp; IF(SUMPRODUCT(-- ISNUMBER(SEARCH({"Unique","Unique Case Insensitive"}, $R105))) &gt; 0, "(" &amp; $R105 &amp; ")", ""))))</f>
        <v>na</v>
      </c>
      <c r="E105" s="7" t="s">
        <v>195</v>
      </c>
      <c r="F105" s="7" t="s">
        <v>195</v>
      </c>
      <c r="G105" s="7" t="s">
        <v>195</v>
      </c>
      <c r="H105" s="7" t="s">
        <v>195</v>
      </c>
      <c r="I105" s="7" t="s">
        <v>195</v>
      </c>
      <c r="J105" s="7" t="s">
        <v>195</v>
      </c>
      <c r="K105" s="7" t="s">
        <v>195</v>
      </c>
      <c r="L105" s="7" t="s">
        <v>195</v>
      </c>
      <c r="M105" s="7" t="s">
        <v>29</v>
      </c>
      <c r="N105" s="7" t="s">
        <v>29</v>
      </c>
      <c r="O105" s="7" t="s">
        <v>29</v>
      </c>
      <c r="P105" s="7" t="s">
        <v>29</v>
      </c>
      <c r="Q105" s="7" t="s">
        <v>29</v>
      </c>
      <c r="R105" s="7" t="s">
        <v>29</v>
      </c>
      <c r="S105" s="7" t="s">
        <v>29</v>
      </c>
    </row>
    <row r="106" spans="2:19">
      <c r="B106" s="9" t="s">
        <v>195</v>
      </c>
      <c r="C106" s="7" t="s">
        <v>195</v>
      </c>
      <c r="D106" s="5" t="str">
        <f>LRTRIM(CONCATENATE(IF(SUMPRODUCT(-- ISNUMBER(SEARCH({"Auto Number"}, $B106))) &gt; 0, $B106, IF(SUMPRODUCT(-- ISNUMBER(SEARCH({"Lookup","Master-Detail"}, $B106))) &gt; 0,$B106 &amp; "(" &amp; $E106 &amp; ")",IF(SUMPRODUCT(-- ISNUMBER(SEARCH({"Formula","Roll-Up Summary"}, $B106))) &gt; 0,$B106 &amp; " (" &amp; $E106 &amp; ")",IF(SUMPRODUCT(-- ISNUMBER(SEARCH({"Content","Currency","Number","Percent","Text","URL"}, $B106))) &gt; 0,$B106 &amp; "(" &amp; $C106 &amp; ")",$B106)))), "  ", TRIM(IF($S106 = "YES", "(External ID)", "") &amp; " " &amp; IF(SUMPRODUCT(-- ISNUMBER(SEARCH({"Unique","Unique Case Insensitive"}, $R106))) &gt; 0, "(" &amp; $R106 &amp; ")", ""))))</f>
        <v>na</v>
      </c>
      <c r="E106" s="7" t="s">
        <v>195</v>
      </c>
      <c r="F106" s="7" t="s">
        <v>195</v>
      </c>
      <c r="G106" s="7" t="s">
        <v>195</v>
      </c>
      <c r="H106" s="7" t="s">
        <v>195</v>
      </c>
      <c r="I106" s="7" t="s">
        <v>195</v>
      </c>
      <c r="J106" s="7" t="s">
        <v>195</v>
      </c>
      <c r="K106" s="7" t="s">
        <v>195</v>
      </c>
      <c r="L106" s="7" t="s">
        <v>195</v>
      </c>
      <c r="M106" s="7" t="s">
        <v>29</v>
      </c>
      <c r="N106" s="7" t="s">
        <v>29</v>
      </c>
      <c r="O106" s="7" t="s">
        <v>29</v>
      </c>
      <c r="P106" s="7" t="s">
        <v>29</v>
      </c>
      <c r="Q106" s="7" t="s">
        <v>29</v>
      </c>
      <c r="R106" s="7" t="s">
        <v>29</v>
      </c>
      <c r="S106" s="7" t="s">
        <v>29</v>
      </c>
    </row>
    <row r="107" spans="2:19">
      <c r="B107" s="9" t="s">
        <v>195</v>
      </c>
      <c r="C107" s="7" t="s">
        <v>195</v>
      </c>
      <c r="D107" s="5" t="str">
        <f>LRTRIM(CONCATENATE(IF(SUMPRODUCT(-- ISNUMBER(SEARCH({"Auto Number"}, $B107))) &gt; 0, $B107, IF(SUMPRODUCT(-- ISNUMBER(SEARCH({"Lookup","Master-Detail"}, $B107))) &gt; 0,$B107 &amp; "(" &amp; $E107 &amp; ")",IF(SUMPRODUCT(-- ISNUMBER(SEARCH({"Formula","Roll-Up Summary"}, $B107))) &gt; 0,$B107 &amp; " (" &amp; $E107 &amp; ")",IF(SUMPRODUCT(-- ISNUMBER(SEARCH({"Content","Currency","Number","Percent","Text","URL"}, $B107))) &gt; 0,$B107 &amp; "(" &amp; $C107 &amp; ")",$B107)))), "  ", TRIM(IF($S107 = "YES", "(External ID)", "") &amp; " " &amp; IF(SUMPRODUCT(-- ISNUMBER(SEARCH({"Unique","Unique Case Insensitive"}, $R107))) &gt; 0, "(" &amp; $R107 &amp; ")", ""))))</f>
        <v>na</v>
      </c>
      <c r="E107" s="7" t="s">
        <v>195</v>
      </c>
      <c r="F107" s="7" t="s">
        <v>195</v>
      </c>
      <c r="G107" s="7" t="s">
        <v>195</v>
      </c>
      <c r="H107" s="7" t="s">
        <v>195</v>
      </c>
      <c r="I107" s="7" t="s">
        <v>195</v>
      </c>
      <c r="J107" s="7" t="s">
        <v>195</v>
      </c>
      <c r="K107" s="7" t="s">
        <v>195</v>
      </c>
      <c r="L107" s="7" t="s">
        <v>195</v>
      </c>
      <c r="M107" s="7" t="s">
        <v>29</v>
      </c>
      <c r="N107" s="7" t="s">
        <v>29</v>
      </c>
      <c r="O107" s="7" t="s">
        <v>29</v>
      </c>
      <c r="P107" s="7" t="s">
        <v>29</v>
      </c>
      <c r="Q107" s="7" t="s">
        <v>29</v>
      </c>
      <c r="R107" s="7" t="s">
        <v>29</v>
      </c>
      <c r="S107" s="7" t="s">
        <v>29</v>
      </c>
    </row>
    <row r="108" spans="2:19">
      <c r="B108" s="9" t="s">
        <v>195</v>
      </c>
      <c r="C108" s="7" t="s">
        <v>195</v>
      </c>
      <c r="D108" s="5" t="str">
        <f>LRTRIM(CONCATENATE(IF(SUMPRODUCT(-- ISNUMBER(SEARCH({"Auto Number"}, $B108))) &gt; 0, $B108, IF(SUMPRODUCT(-- ISNUMBER(SEARCH({"Lookup","Master-Detail"}, $B108))) &gt; 0,$B108 &amp; "(" &amp; $E108 &amp; ")",IF(SUMPRODUCT(-- ISNUMBER(SEARCH({"Formula","Roll-Up Summary"}, $B108))) &gt; 0,$B108 &amp; " (" &amp; $E108 &amp; ")",IF(SUMPRODUCT(-- ISNUMBER(SEARCH({"Content","Currency","Number","Percent","Text","URL"}, $B108))) &gt; 0,$B108 &amp; "(" &amp; $C108 &amp; ")",$B108)))), "  ", TRIM(IF($S108 = "YES", "(External ID)", "") &amp; " " &amp; IF(SUMPRODUCT(-- ISNUMBER(SEARCH({"Unique","Unique Case Insensitive"}, $R108))) &gt; 0, "(" &amp; $R108 &amp; ")", ""))))</f>
        <v>na</v>
      </c>
      <c r="E108" s="7" t="s">
        <v>195</v>
      </c>
      <c r="F108" s="7" t="s">
        <v>195</v>
      </c>
      <c r="G108" s="7" t="s">
        <v>195</v>
      </c>
      <c r="H108" s="7" t="s">
        <v>195</v>
      </c>
      <c r="I108" s="7" t="s">
        <v>195</v>
      </c>
      <c r="J108" s="7" t="s">
        <v>195</v>
      </c>
      <c r="K108" s="7" t="s">
        <v>195</v>
      </c>
      <c r="L108" s="7" t="s">
        <v>195</v>
      </c>
      <c r="M108" s="7" t="s">
        <v>29</v>
      </c>
      <c r="N108" s="7" t="s">
        <v>29</v>
      </c>
      <c r="O108" s="7" t="s">
        <v>29</v>
      </c>
      <c r="P108" s="7" t="s">
        <v>29</v>
      </c>
      <c r="Q108" s="7" t="s">
        <v>29</v>
      </c>
      <c r="R108" s="7" t="s">
        <v>29</v>
      </c>
      <c r="S108" s="7" t="s">
        <v>29</v>
      </c>
    </row>
    <row r="109" spans="2:19">
      <c r="B109" s="9" t="s">
        <v>195</v>
      </c>
      <c r="C109" s="7" t="s">
        <v>195</v>
      </c>
      <c r="D109" s="5" t="str">
        <f>LRTRIM(CONCATENATE(IF(SUMPRODUCT(-- ISNUMBER(SEARCH({"Auto Number"}, $B109))) &gt; 0, $B109, IF(SUMPRODUCT(-- ISNUMBER(SEARCH({"Lookup","Master-Detail"}, $B109))) &gt; 0,$B109 &amp; "(" &amp; $E109 &amp; ")",IF(SUMPRODUCT(-- ISNUMBER(SEARCH({"Formula","Roll-Up Summary"}, $B109))) &gt; 0,$B109 &amp; " (" &amp; $E109 &amp; ")",IF(SUMPRODUCT(-- ISNUMBER(SEARCH({"Content","Currency","Number","Percent","Text","URL"}, $B109))) &gt; 0,$B109 &amp; "(" &amp; $C109 &amp; ")",$B109)))), "  ", TRIM(IF($S109 = "YES", "(External ID)", "") &amp; " " &amp; IF(SUMPRODUCT(-- ISNUMBER(SEARCH({"Unique","Unique Case Insensitive"}, $R109))) &gt; 0, "(" &amp; $R109 &amp; ")", ""))))</f>
        <v>na</v>
      </c>
      <c r="E109" s="7" t="s">
        <v>195</v>
      </c>
      <c r="F109" s="7" t="s">
        <v>195</v>
      </c>
      <c r="G109" s="7" t="s">
        <v>195</v>
      </c>
      <c r="H109" s="7" t="s">
        <v>195</v>
      </c>
      <c r="I109" s="7" t="s">
        <v>195</v>
      </c>
      <c r="J109" s="7" t="s">
        <v>195</v>
      </c>
      <c r="K109" s="7" t="s">
        <v>195</v>
      </c>
      <c r="L109" s="7" t="s">
        <v>195</v>
      </c>
      <c r="M109" s="7" t="s">
        <v>29</v>
      </c>
      <c r="N109" s="7" t="s">
        <v>29</v>
      </c>
      <c r="O109" s="7" t="s">
        <v>29</v>
      </c>
      <c r="P109" s="7" t="s">
        <v>29</v>
      </c>
      <c r="Q109" s="7" t="s">
        <v>29</v>
      </c>
      <c r="R109" s="7" t="s">
        <v>29</v>
      </c>
      <c r="S109" s="7" t="s">
        <v>29</v>
      </c>
    </row>
    <row r="110" spans="2:19">
      <c r="B110" s="9" t="s">
        <v>195</v>
      </c>
      <c r="C110" s="7" t="s">
        <v>195</v>
      </c>
      <c r="D110" s="5" t="str">
        <f>LRTRIM(CONCATENATE(IF(SUMPRODUCT(-- ISNUMBER(SEARCH({"Auto Number"}, $B110))) &gt; 0, $B110, IF(SUMPRODUCT(-- ISNUMBER(SEARCH({"Lookup","Master-Detail"}, $B110))) &gt; 0,$B110 &amp; "(" &amp; $E110 &amp; ")",IF(SUMPRODUCT(-- ISNUMBER(SEARCH({"Formula","Roll-Up Summary"}, $B110))) &gt; 0,$B110 &amp; " (" &amp; $E110 &amp; ")",IF(SUMPRODUCT(-- ISNUMBER(SEARCH({"Content","Currency","Number","Percent","Text","URL"}, $B110))) &gt; 0,$B110 &amp; "(" &amp; $C110 &amp; ")",$B110)))), "  ", TRIM(IF($S110 = "YES", "(External ID)", "") &amp; " " &amp; IF(SUMPRODUCT(-- ISNUMBER(SEARCH({"Unique","Unique Case Insensitive"}, $R110))) &gt; 0, "(" &amp; $R110 &amp; ")", ""))))</f>
        <v>na</v>
      </c>
      <c r="E110" s="7" t="s">
        <v>195</v>
      </c>
      <c r="F110" s="7" t="s">
        <v>195</v>
      </c>
      <c r="G110" s="7" t="s">
        <v>195</v>
      </c>
      <c r="H110" s="7" t="s">
        <v>195</v>
      </c>
      <c r="I110" s="7" t="s">
        <v>195</v>
      </c>
      <c r="J110" s="7" t="s">
        <v>195</v>
      </c>
      <c r="K110" s="7" t="s">
        <v>195</v>
      </c>
      <c r="L110" s="7" t="s">
        <v>195</v>
      </c>
      <c r="M110" s="7" t="s">
        <v>29</v>
      </c>
      <c r="N110" s="7" t="s">
        <v>29</v>
      </c>
      <c r="O110" s="7" t="s">
        <v>29</v>
      </c>
      <c r="P110" s="7" t="s">
        <v>29</v>
      </c>
      <c r="Q110" s="7" t="s">
        <v>29</v>
      </c>
      <c r="R110" s="7" t="s">
        <v>29</v>
      </c>
      <c r="S110" s="7" t="s">
        <v>29</v>
      </c>
    </row>
    <row r="111" spans="2:19">
      <c r="B111" s="9" t="s">
        <v>195</v>
      </c>
      <c r="C111" s="7" t="s">
        <v>195</v>
      </c>
      <c r="D111" s="5" t="str">
        <f>LRTRIM(CONCATENATE(IF(SUMPRODUCT(-- ISNUMBER(SEARCH({"Auto Number"}, $B111))) &gt; 0, $B111, IF(SUMPRODUCT(-- ISNUMBER(SEARCH({"Lookup","Master-Detail"}, $B111))) &gt; 0,$B111 &amp; "(" &amp; $E111 &amp; ")",IF(SUMPRODUCT(-- ISNUMBER(SEARCH({"Formula","Roll-Up Summary"}, $B111))) &gt; 0,$B111 &amp; " (" &amp; $E111 &amp; ")",IF(SUMPRODUCT(-- ISNUMBER(SEARCH({"Content","Currency","Number","Percent","Text","URL"}, $B111))) &gt; 0,$B111 &amp; "(" &amp; $C111 &amp; ")",$B111)))), "  ", TRIM(IF($S111 = "YES", "(External ID)", "") &amp; " " &amp; IF(SUMPRODUCT(-- ISNUMBER(SEARCH({"Unique","Unique Case Insensitive"}, $R111))) &gt; 0, "(" &amp; $R111 &amp; ")", ""))))</f>
        <v>na</v>
      </c>
      <c r="E111" s="7" t="s">
        <v>195</v>
      </c>
      <c r="F111" s="7" t="s">
        <v>195</v>
      </c>
      <c r="G111" s="7" t="s">
        <v>195</v>
      </c>
      <c r="H111" s="7" t="s">
        <v>195</v>
      </c>
      <c r="I111" s="7" t="s">
        <v>195</v>
      </c>
      <c r="J111" s="7" t="s">
        <v>195</v>
      </c>
      <c r="K111" s="7" t="s">
        <v>195</v>
      </c>
      <c r="L111" s="7" t="s">
        <v>195</v>
      </c>
      <c r="M111" s="7" t="s">
        <v>29</v>
      </c>
      <c r="N111" s="7" t="s">
        <v>29</v>
      </c>
      <c r="O111" s="7" t="s">
        <v>29</v>
      </c>
      <c r="P111" s="7" t="s">
        <v>29</v>
      </c>
      <c r="Q111" s="7" t="s">
        <v>29</v>
      </c>
      <c r="R111" s="7" t="s">
        <v>29</v>
      </c>
      <c r="S111" s="7" t="s">
        <v>29</v>
      </c>
    </row>
    <row r="112" spans="2:19">
      <c r="B112" s="9" t="s">
        <v>195</v>
      </c>
      <c r="C112" s="7" t="s">
        <v>195</v>
      </c>
      <c r="D112" s="5" t="str">
        <f>LRTRIM(CONCATENATE(IF(SUMPRODUCT(-- ISNUMBER(SEARCH({"Auto Number"}, $B112))) &gt; 0, $B112, IF(SUMPRODUCT(-- ISNUMBER(SEARCH({"Lookup","Master-Detail"}, $B112))) &gt; 0,$B112 &amp; "(" &amp; $E112 &amp; ")",IF(SUMPRODUCT(-- ISNUMBER(SEARCH({"Formula","Roll-Up Summary"}, $B112))) &gt; 0,$B112 &amp; " (" &amp; $E112 &amp; ")",IF(SUMPRODUCT(-- ISNUMBER(SEARCH({"Content","Currency","Number","Percent","Text","URL"}, $B112))) &gt; 0,$B112 &amp; "(" &amp; $C112 &amp; ")",$B112)))), "  ", TRIM(IF($S112 = "YES", "(External ID)", "") &amp; " " &amp; IF(SUMPRODUCT(-- ISNUMBER(SEARCH({"Unique","Unique Case Insensitive"}, $R112))) &gt; 0, "(" &amp; $R112 &amp; ")", ""))))</f>
        <v>na</v>
      </c>
      <c r="E112" s="7" t="s">
        <v>195</v>
      </c>
      <c r="F112" s="7" t="s">
        <v>195</v>
      </c>
      <c r="G112" s="7" t="s">
        <v>195</v>
      </c>
      <c r="H112" s="7" t="s">
        <v>195</v>
      </c>
      <c r="I112" s="7" t="s">
        <v>195</v>
      </c>
      <c r="J112" s="7" t="s">
        <v>195</v>
      </c>
      <c r="K112" s="7" t="s">
        <v>195</v>
      </c>
      <c r="L112" s="7" t="s">
        <v>195</v>
      </c>
      <c r="M112" s="7" t="s">
        <v>29</v>
      </c>
      <c r="N112" s="7" t="s">
        <v>29</v>
      </c>
      <c r="O112" s="7" t="s">
        <v>29</v>
      </c>
      <c r="P112" s="7" t="s">
        <v>29</v>
      </c>
      <c r="Q112" s="7" t="s">
        <v>29</v>
      </c>
      <c r="R112" s="7" t="s">
        <v>29</v>
      </c>
      <c r="S112" s="7" t="s">
        <v>29</v>
      </c>
    </row>
    <row r="113" spans="2:19">
      <c r="B113" s="9" t="s">
        <v>195</v>
      </c>
      <c r="C113" s="7" t="s">
        <v>195</v>
      </c>
      <c r="D113" s="5" t="str">
        <f>LRTRIM(CONCATENATE(IF(SUMPRODUCT(-- ISNUMBER(SEARCH({"Auto Number"}, $B113))) &gt; 0, $B113, IF(SUMPRODUCT(-- ISNUMBER(SEARCH({"Lookup","Master-Detail"}, $B113))) &gt; 0,$B113 &amp; "(" &amp; $E113 &amp; ")",IF(SUMPRODUCT(-- ISNUMBER(SEARCH({"Formula","Roll-Up Summary"}, $B113))) &gt; 0,$B113 &amp; " (" &amp; $E113 &amp; ")",IF(SUMPRODUCT(-- ISNUMBER(SEARCH({"Content","Currency","Number","Percent","Text","URL"}, $B113))) &gt; 0,$B113 &amp; "(" &amp; $C113 &amp; ")",$B113)))), "  ", TRIM(IF($S113 = "YES", "(External ID)", "") &amp; " " &amp; IF(SUMPRODUCT(-- ISNUMBER(SEARCH({"Unique","Unique Case Insensitive"}, $R113))) &gt; 0, "(" &amp; $R113 &amp; ")", ""))))</f>
        <v>na</v>
      </c>
      <c r="E113" s="7" t="s">
        <v>195</v>
      </c>
      <c r="F113" s="7" t="s">
        <v>195</v>
      </c>
      <c r="G113" s="7" t="s">
        <v>195</v>
      </c>
      <c r="H113" s="7" t="s">
        <v>195</v>
      </c>
      <c r="I113" s="7" t="s">
        <v>195</v>
      </c>
      <c r="J113" s="7" t="s">
        <v>195</v>
      </c>
      <c r="K113" s="7" t="s">
        <v>195</v>
      </c>
      <c r="L113" s="7" t="s">
        <v>195</v>
      </c>
      <c r="M113" s="7" t="s">
        <v>29</v>
      </c>
      <c r="N113" s="7" t="s">
        <v>29</v>
      </c>
      <c r="O113" s="7" t="s">
        <v>29</v>
      </c>
      <c r="P113" s="7" t="s">
        <v>29</v>
      </c>
      <c r="Q113" s="7" t="s">
        <v>29</v>
      </c>
      <c r="R113" s="7" t="s">
        <v>29</v>
      </c>
      <c r="S113" s="7" t="s">
        <v>29</v>
      </c>
    </row>
    <row r="114" spans="2:19">
      <c r="B114" s="9" t="s">
        <v>195</v>
      </c>
      <c r="C114" s="7" t="s">
        <v>195</v>
      </c>
      <c r="D114" s="5" t="str">
        <f>LRTRIM(CONCATENATE(IF(SUMPRODUCT(-- ISNUMBER(SEARCH({"Auto Number"}, $B114))) &gt; 0, $B114, IF(SUMPRODUCT(-- ISNUMBER(SEARCH({"Lookup","Master-Detail"}, $B114))) &gt; 0,$B114 &amp; "(" &amp; $E114 &amp; ")",IF(SUMPRODUCT(-- ISNUMBER(SEARCH({"Formula","Roll-Up Summary"}, $B114))) &gt; 0,$B114 &amp; " (" &amp; $E114 &amp; ")",IF(SUMPRODUCT(-- ISNUMBER(SEARCH({"Content","Currency","Number","Percent","Text","URL"}, $B114))) &gt; 0,$B114 &amp; "(" &amp; $C114 &amp; ")",$B114)))), "  ", TRIM(IF($S114 = "YES", "(External ID)", "") &amp; " " &amp; IF(SUMPRODUCT(-- ISNUMBER(SEARCH({"Unique","Unique Case Insensitive"}, $R114))) &gt; 0, "(" &amp; $R114 &amp; ")", ""))))</f>
        <v>na</v>
      </c>
      <c r="E114" s="7" t="s">
        <v>195</v>
      </c>
      <c r="F114" s="7" t="s">
        <v>195</v>
      </c>
      <c r="G114" s="7" t="s">
        <v>195</v>
      </c>
      <c r="H114" s="7" t="s">
        <v>195</v>
      </c>
      <c r="I114" s="7" t="s">
        <v>195</v>
      </c>
      <c r="J114" s="7" t="s">
        <v>195</v>
      </c>
      <c r="K114" s="7" t="s">
        <v>195</v>
      </c>
      <c r="L114" s="7" t="s">
        <v>195</v>
      </c>
      <c r="M114" s="7" t="s">
        <v>29</v>
      </c>
      <c r="N114" s="7" t="s">
        <v>29</v>
      </c>
      <c r="O114" s="7" t="s">
        <v>29</v>
      </c>
      <c r="P114" s="7" t="s">
        <v>29</v>
      </c>
      <c r="Q114" s="7" t="s">
        <v>29</v>
      </c>
      <c r="R114" s="7" t="s">
        <v>29</v>
      </c>
      <c r="S114" s="7" t="s">
        <v>29</v>
      </c>
    </row>
    <row r="115" spans="2:19">
      <c r="B115" s="9" t="s">
        <v>195</v>
      </c>
      <c r="C115" s="7" t="s">
        <v>195</v>
      </c>
      <c r="D115" s="5" t="str">
        <f>LRTRIM(CONCATENATE(IF(SUMPRODUCT(-- ISNUMBER(SEARCH({"Auto Number"}, $B115))) &gt; 0, $B115, IF(SUMPRODUCT(-- ISNUMBER(SEARCH({"Lookup","Master-Detail"}, $B115))) &gt; 0,$B115 &amp; "(" &amp; $E115 &amp; ")",IF(SUMPRODUCT(-- ISNUMBER(SEARCH({"Formula","Roll-Up Summary"}, $B115))) &gt; 0,$B115 &amp; " (" &amp; $E115 &amp; ")",IF(SUMPRODUCT(-- ISNUMBER(SEARCH({"Content","Currency","Number","Percent","Text","URL"}, $B115))) &gt; 0,$B115 &amp; "(" &amp; $C115 &amp; ")",$B115)))), "  ", TRIM(IF($S115 = "YES", "(External ID)", "") &amp; " " &amp; IF(SUMPRODUCT(-- ISNUMBER(SEARCH({"Unique","Unique Case Insensitive"}, $R115))) &gt; 0, "(" &amp; $R115 &amp; ")", ""))))</f>
        <v>na</v>
      </c>
      <c r="E115" s="7" t="s">
        <v>195</v>
      </c>
      <c r="F115" s="7" t="s">
        <v>195</v>
      </c>
      <c r="G115" s="7" t="s">
        <v>195</v>
      </c>
      <c r="H115" s="7" t="s">
        <v>195</v>
      </c>
      <c r="I115" s="7" t="s">
        <v>195</v>
      </c>
      <c r="J115" s="7" t="s">
        <v>195</v>
      </c>
      <c r="K115" s="7" t="s">
        <v>195</v>
      </c>
      <c r="L115" s="7" t="s">
        <v>195</v>
      </c>
      <c r="M115" s="7" t="s">
        <v>29</v>
      </c>
      <c r="N115" s="7" t="s">
        <v>29</v>
      </c>
      <c r="O115" s="7" t="s">
        <v>29</v>
      </c>
      <c r="P115" s="7" t="s">
        <v>29</v>
      </c>
      <c r="Q115" s="7" t="s">
        <v>29</v>
      </c>
      <c r="R115" s="7" t="s">
        <v>29</v>
      </c>
      <c r="S115" s="7" t="s">
        <v>29</v>
      </c>
    </row>
    <row r="116" spans="2:19">
      <c r="B116" s="9" t="s">
        <v>195</v>
      </c>
      <c r="C116" s="7" t="s">
        <v>195</v>
      </c>
      <c r="D116" s="5" t="str">
        <f>LRTRIM(CONCATENATE(IF(SUMPRODUCT(-- ISNUMBER(SEARCH({"Auto Number"}, $B116))) &gt; 0, $B116, IF(SUMPRODUCT(-- ISNUMBER(SEARCH({"Lookup","Master-Detail"}, $B116))) &gt; 0,$B116 &amp; "(" &amp; $E116 &amp; ")",IF(SUMPRODUCT(-- ISNUMBER(SEARCH({"Formula","Roll-Up Summary"}, $B116))) &gt; 0,$B116 &amp; " (" &amp; $E116 &amp; ")",IF(SUMPRODUCT(-- ISNUMBER(SEARCH({"Content","Currency","Number","Percent","Text","URL"}, $B116))) &gt; 0,$B116 &amp; "(" &amp; $C116 &amp; ")",$B116)))), "  ", TRIM(IF($S116 = "YES", "(External ID)", "") &amp; " " &amp; IF(SUMPRODUCT(-- ISNUMBER(SEARCH({"Unique","Unique Case Insensitive"}, $R116))) &gt; 0, "(" &amp; $R116 &amp; ")", ""))))</f>
        <v>na</v>
      </c>
      <c r="E116" s="7" t="s">
        <v>195</v>
      </c>
      <c r="F116" s="7" t="s">
        <v>195</v>
      </c>
      <c r="G116" s="7" t="s">
        <v>195</v>
      </c>
      <c r="H116" s="7" t="s">
        <v>195</v>
      </c>
      <c r="I116" s="7" t="s">
        <v>195</v>
      </c>
      <c r="J116" s="7" t="s">
        <v>195</v>
      </c>
      <c r="K116" s="7" t="s">
        <v>195</v>
      </c>
      <c r="L116" s="7" t="s">
        <v>195</v>
      </c>
      <c r="M116" s="7" t="s">
        <v>29</v>
      </c>
      <c r="N116" s="7" t="s">
        <v>29</v>
      </c>
      <c r="O116" s="7" t="s">
        <v>29</v>
      </c>
      <c r="P116" s="7" t="s">
        <v>29</v>
      </c>
      <c r="Q116" s="7" t="s">
        <v>29</v>
      </c>
      <c r="R116" s="7" t="s">
        <v>29</v>
      </c>
      <c r="S116" s="7" t="s">
        <v>29</v>
      </c>
    </row>
    <row r="117" spans="2:19">
      <c r="B117" s="9" t="s">
        <v>195</v>
      </c>
      <c r="C117" s="7" t="s">
        <v>195</v>
      </c>
      <c r="D117" s="5" t="str">
        <f>LRTRIM(CONCATENATE(IF(SUMPRODUCT(-- ISNUMBER(SEARCH({"Auto Number"}, $B117))) &gt; 0, $B117, IF(SUMPRODUCT(-- ISNUMBER(SEARCH({"Lookup","Master-Detail"}, $B117))) &gt; 0,$B117 &amp; "(" &amp; $E117 &amp; ")",IF(SUMPRODUCT(-- ISNUMBER(SEARCH({"Formula","Roll-Up Summary"}, $B117))) &gt; 0,$B117 &amp; " (" &amp; $E117 &amp; ")",IF(SUMPRODUCT(-- ISNUMBER(SEARCH({"Content","Currency","Number","Percent","Text","URL"}, $B117))) &gt; 0,$B117 &amp; "(" &amp; $C117 &amp; ")",$B117)))), "  ", TRIM(IF($S117 = "YES", "(External ID)", "") &amp; " " &amp; IF(SUMPRODUCT(-- ISNUMBER(SEARCH({"Unique","Unique Case Insensitive"}, $R117))) &gt; 0, "(" &amp; $R117 &amp; ")", ""))))</f>
        <v>na</v>
      </c>
      <c r="E117" s="7" t="s">
        <v>195</v>
      </c>
      <c r="F117" s="7" t="s">
        <v>195</v>
      </c>
      <c r="G117" s="7" t="s">
        <v>195</v>
      </c>
      <c r="H117" s="7" t="s">
        <v>195</v>
      </c>
      <c r="I117" s="7" t="s">
        <v>195</v>
      </c>
      <c r="J117" s="7" t="s">
        <v>195</v>
      </c>
      <c r="K117" s="7" t="s">
        <v>195</v>
      </c>
      <c r="L117" s="7" t="s">
        <v>195</v>
      </c>
      <c r="M117" s="7" t="s">
        <v>29</v>
      </c>
      <c r="N117" s="7" t="s">
        <v>29</v>
      </c>
      <c r="O117" s="7" t="s">
        <v>29</v>
      </c>
      <c r="P117" s="7" t="s">
        <v>29</v>
      </c>
      <c r="Q117" s="7" t="s">
        <v>29</v>
      </c>
      <c r="R117" s="7" t="s">
        <v>29</v>
      </c>
      <c r="S117" s="7" t="s">
        <v>29</v>
      </c>
    </row>
    <row r="118" spans="2:19">
      <c r="B118" s="9" t="s">
        <v>195</v>
      </c>
      <c r="C118" s="7" t="s">
        <v>195</v>
      </c>
      <c r="D118" s="5" t="str">
        <f>LRTRIM(CONCATENATE(IF(SUMPRODUCT(-- ISNUMBER(SEARCH({"Auto Number"}, $B118))) &gt; 0, $B118, IF(SUMPRODUCT(-- ISNUMBER(SEARCH({"Lookup","Master-Detail"}, $B118))) &gt; 0,$B118 &amp; "(" &amp; $E118 &amp; ")",IF(SUMPRODUCT(-- ISNUMBER(SEARCH({"Formula","Roll-Up Summary"}, $B118))) &gt; 0,$B118 &amp; " (" &amp; $E118 &amp; ")",IF(SUMPRODUCT(-- ISNUMBER(SEARCH({"Content","Currency","Number","Percent","Text","URL"}, $B118))) &gt; 0,$B118 &amp; "(" &amp; $C118 &amp; ")",$B118)))), "  ", TRIM(IF($S118 = "YES", "(External ID)", "") &amp; " " &amp; IF(SUMPRODUCT(-- ISNUMBER(SEARCH({"Unique","Unique Case Insensitive"}, $R118))) &gt; 0, "(" &amp; $R118 &amp; ")", ""))))</f>
        <v>na</v>
      </c>
      <c r="E118" s="7" t="s">
        <v>195</v>
      </c>
      <c r="F118" s="7" t="s">
        <v>195</v>
      </c>
      <c r="G118" s="7" t="s">
        <v>195</v>
      </c>
      <c r="H118" s="7" t="s">
        <v>195</v>
      </c>
      <c r="I118" s="7" t="s">
        <v>195</v>
      </c>
      <c r="J118" s="7" t="s">
        <v>195</v>
      </c>
      <c r="K118" s="7" t="s">
        <v>195</v>
      </c>
      <c r="L118" s="7" t="s">
        <v>195</v>
      </c>
      <c r="M118" s="7" t="s">
        <v>29</v>
      </c>
      <c r="N118" s="7" t="s">
        <v>29</v>
      </c>
      <c r="O118" s="7" t="s">
        <v>29</v>
      </c>
      <c r="P118" s="7" t="s">
        <v>29</v>
      </c>
      <c r="Q118" s="7" t="s">
        <v>29</v>
      </c>
      <c r="R118" s="7" t="s">
        <v>29</v>
      </c>
      <c r="S118" s="7" t="s">
        <v>29</v>
      </c>
    </row>
    <row r="119" spans="2:19">
      <c r="B119" s="9" t="s">
        <v>195</v>
      </c>
      <c r="C119" s="7" t="s">
        <v>195</v>
      </c>
      <c r="D119" s="5" t="str">
        <f>LRTRIM(CONCATENATE(IF(SUMPRODUCT(-- ISNUMBER(SEARCH({"Auto Number"}, $B119))) &gt; 0, $B119, IF(SUMPRODUCT(-- ISNUMBER(SEARCH({"Lookup","Master-Detail"}, $B119))) &gt; 0,$B119 &amp; "(" &amp; $E119 &amp; ")",IF(SUMPRODUCT(-- ISNUMBER(SEARCH({"Formula","Roll-Up Summary"}, $B119))) &gt; 0,$B119 &amp; " (" &amp; $E119 &amp; ")",IF(SUMPRODUCT(-- ISNUMBER(SEARCH({"Content","Currency","Number","Percent","Text","URL"}, $B119))) &gt; 0,$B119 &amp; "(" &amp; $C119 &amp; ")",$B119)))), "  ", TRIM(IF($S119 = "YES", "(External ID)", "") &amp; " " &amp; IF(SUMPRODUCT(-- ISNUMBER(SEARCH({"Unique","Unique Case Insensitive"}, $R119))) &gt; 0, "(" &amp; $R119 &amp; ")", ""))))</f>
        <v>na</v>
      </c>
      <c r="E119" s="7" t="s">
        <v>195</v>
      </c>
      <c r="F119" s="7" t="s">
        <v>195</v>
      </c>
      <c r="G119" s="7" t="s">
        <v>195</v>
      </c>
      <c r="H119" s="7" t="s">
        <v>195</v>
      </c>
      <c r="I119" s="7" t="s">
        <v>195</v>
      </c>
      <c r="J119" s="7" t="s">
        <v>195</v>
      </c>
      <c r="K119" s="7" t="s">
        <v>195</v>
      </c>
      <c r="L119" s="7" t="s">
        <v>195</v>
      </c>
      <c r="M119" s="7" t="s">
        <v>29</v>
      </c>
      <c r="N119" s="7" t="s">
        <v>29</v>
      </c>
      <c r="O119" s="7" t="s">
        <v>29</v>
      </c>
      <c r="P119" s="7" t="s">
        <v>29</v>
      </c>
      <c r="Q119" s="7" t="s">
        <v>29</v>
      </c>
      <c r="R119" s="7" t="s">
        <v>29</v>
      </c>
      <c r="S119" s="7" t="s">
        <v>29</v>
      </c>
    </row>
    <row r="120" spans="2:19">
      <c r="B120" s="9" t="s">
        <v>195</v>
      </c>
      <c r="C120" s="7" t="s">
        <v>195</v>
      </c>
      <c r="D120" s="5" t="str">
        <f>LRTRIM(CONCATENATE(IF(SUMPRODUCT(-- ISNUMBER(SEARCH({"Auto Number"}, $B120))) &gt; 0, $B120, IF(SUMPRODUCT(-- ISNUMBER(SEARCH({"Lookup","Master-Detail"}, $B120))) &gt; 0,$B120 &amp; "(" &amp; $E120 &amp; ")",IF(SUMPRODUCT(-- ISNUMBER(SEARCH({"Formula","Roll-Up Summary"}, $B120))) &gt; 0,$B120 &amp; " (" &amp; $E120 &amp; ")",IF(SUMPRODUCT(-- ISNUMBER(SEARCH({"Content","Currency","Number","Percent","Text","URL"}, $B120))) &gt; 0,$B120 &amp; "(" &amp; $C120 &amp; ")",$B120)))), "  ", TRIM(IF($S120 = "YES", "(External ID)", "") &amp; " " &amp; IF(SUMPRODUCT(-- ISNUMBER(SEARCH({"Unique","Unique Case Insensitive"}, $R120))) &gt; 0, "(" &amp; $R120 &amp; ")", ""))))</f>
        <v>na</v>
      </c>
      <c r="E120" s="7" t="s">
        <v>195</v>
      </c>
      <c r="F120" s="7" t="s">
        <v>195</v>
      </c>
      <c r="G120" s="7" t="s">
        <v>195</v>
      </c>
      <c r="H120" s="7" t="s">
        <v>195</v>
      </c>
      <c r="I120" s="7" t="s">
        <v>195</v>
      </c>
      <c r="J120" s="7" t="s">
        <v>195</v>
      </c>
      <c r="K120" s="7" t="s">
        <v>195</v>
      </c>
      <c r="L120" s="7" t="s">
        <v>195</v>
      </c>
      <c r="M120" s="7" t="s">
        <v>29</v>
      </c>
      <c r="N120" s="7" t="s">
        <v>29</v>
      </c>
      <c r="O120" s="7" t="s">
        <v>29</v>
      </c>
      <c r="P120" s="7" t="s">
        <v>29</v>
      </c>
      <c r="Q120" s="7" t="s">
        <v>29</v>
      </c>
      <c r="R120" s="7" t="s">
        <v>29</v>
      </c>
      <c r="S120" s="7" t="s">
        <v>29</v>
      </c>
    </row>
    <row r="121" spans="2:19">
      <c r="B121" s="9" t="s">
        <v>195</v>
      </c>
      <c r="C121" s="7" t="s">
        <v>195</v>
      </c>
      <c r="D121" s="5" t="str">
        <f>LRTRIM(CONCATENATE(IF(SUMPRODUCT(-- ISNUMBER(SEARCH({"Auto Number"}, $B121))) &gt; 0, $B121, IF(SUMPRODUCT(-- ISNUMBER(SEARCH({"Lookup","Master-Detail"}, $B121))) &gt; 0,$B121 &amp; "(" &amp; $E121 &amp; ")",IF(SUMPRODUCT(-- ISNUMBER(SEARCH({"Formula","Roll-Up Summary"}, $B121))) &gt; 0,$B121 &amp; " (" &amp; $E121 &amp; ")",IF(SUMPRODUCT(-- ISNUMBER(SEARCH({"Content","Currency","Number","Percent","Text","URL"}, $B121))) &gt; 0,$B121 &amp; "(" &amp; $C121 &amp; ")",$B121)))), "  ", TRIM(IF($S121 = "YES", "(External ID)", "") &amp; " " &amp; IF(SUMPRODUCT(-- ISNUMBER(SEARCH({"Unique","Unique Case Insensitive"}, $R121))) &gt; 0, "(" &amp; $R121 &amp; ")", ""))))</f>
        <v>na</v>
      </c>
      <c r="E121" s="7" t="s">
        <v>195</v>
      </c>
      <c r="F121" s="7" t="s">
        <v>195</v>
      </c>
      <c r="G121" s="7" t="s">
        <v>195</v>
      </c>
      <c r="H121" s="7" t="s">
        <v>195</v>
      </c>
      <c r="I121" s="7" t="s">
        <v>195</v>
      </c>
      <c r="J121" s="7" t="s">
        <v>195</v>
      </c>
      <c r="K121" s="7" t="s">
        <v>195</v>
      </c>
      <c r="L121" s="7" t="s">
        <v>195</v>
      </c>
      <c r="M121" s="7" t="s">
        <v>29</v>
      </c>
      <c r="N121" s="7" t="s">
        <v>29</v>
      </c>
      <c r="O121" s="7" t="s">
        <v>29</v>
      </c>
      <c r="P121" s="7" t="s">
        <v>29</v>
      </c>
      <c r="Q121" s="7" t="s">
        <v>29</v>
      </c>
      <c r="R121" s="7" t="s">
        <v>29</v>
      </c>
      <c r="S121" s="7" t="s">
        <v>29</v>
      </c>
    </row>
    <row r="122" spans="2:19">
      <c r="B122" s="9" t="s">
        <v>195</v>
      </c>
      <c r="C122" s="7" t="s">
        <v>195</v>
      </c>
      <c r="D122" s="5" t="str">
        <f>LRTRIM(CONCATENATE(IF(SUMPRODUCT(-- ISNUMBER(SEARCH({"Auto Number"}, $B122))) &gt; 0, $B122, IF(SUMPRODUCT(-- ISNUMBER(SEARCH({"Lookup","Master-Detail"}, $B122))) &gt; 0,$B122 &amp; "(" &amp; $E122 &amp; ")",IF(SUMPRODUCT(-- ISNUMBER(SEARCH({"Formula","Roll-Up Summary"}, $B122))) &gt; 0,$B122 &amp; " (" &amp; $E122 &amp; ")",IF(SUMPRODUCT(-- ISNUMBER(SEARCH({"Content","Currency","Number","Percent","Text","URL"}, $B122))) &gt; 0,$B122 &amp; "(" &amp; $C122 &amp; ")",$B122)))), "  ", TRIM(IF($S122 = "YES", "(External ID)", "") &amp; " " &amp; IF(SUMPRODUCT(-- ISNUMBER(SEARCH({"Unique","Unique Case Insensitive"}, $R122))) &gt; 0, "(" &amp; $R122 &amp; ")", ""))))</f>
        <v>na</v>
      </c>
      <c r="E122" s="7" t="s">
        <v>195</v>
      </c>
      <c r="F122" s="7" t="s">
        <v>195</v>
      </c>
      <c r="G122" s="7" t="s">
        <v>195</v>
      </c>
      <c r="H122" s="7" t="s">
        <v>195</v>
      </c>
      <c r="I122" s="7" t="s">
        <v>195</v>
      </c>
      <c r="J122" s="7" t="s">
        <v>195</v>
      </c>
      <c r="K122" s="7" t="s">
        <v>195</v>
      </c>
      <c r="L122" s="7" t="s">
        <v>195</v>
      </c>
      <c r="M122" s="7" t="s">
        <v>29</v>
      </c>
      <c r="N122" s="7" t="s">
        <v>29</v>
      </c>
      <c r="O122" s="7" t="s">
        <v>29</v>
      </c>
      <c r="P122" s="7" t="s">
        <v>29</v>
      </c>
      <c r="Q122" s="7" t="s">
        <v>29</v>
      </c>
      <c r="R122" s="7" t="s">
        <v>29</v>
      </c>
      <c r="S122" s="7" t="s">
        <v>29</v>
      </c>
    </row>
    <row r="123" spans="2:19">
      <c r="B123" s="9" t="s">
        <v>195</v>
      </c>
      <c r="C123" s="7" t="s">
        <v>195</v>
      </c>
      <c r="D123" s="5" t="str">
        <f>LRTRIM(CONCATENATE(IF(SUMPRODUCT(-- ISNUMBER(SEARCH({"Auto Number"}, $B123))) &gt; 0, $B123, IF(SUMPRODUCT(-- ISNUMBER(SEARCH({"Lookup","Master-Detail"}, $B123))) &gt; 0,$B123 &amp; "(" &amp; $E123 &amp; ")",IF(SUMPRODUCT(-- ISNUMBER(SEARCH({"Formula","Roll-Up Summary"}, $B123))) &gt; 0,$B123 &amp; " (" &amp; $E123 &amp; ")",IF(SUMPRODUCT(-- ISNUMBER(SEARCH({"Content","Currency","Number","Percent","Text","URL"}, $B123))) &gt; 0,$B123 &amp; "(" &amp; $C123 &amp; ")",$B123)))), "  ", TRIM(IF($S123 = "YES", "(External ID)", "") &amp; " " &amp; IF(SUMPRODUCT(-- ISNUMBER(SEARCH({"Unique","Unique Case Insensitive"}, $R123))) &gt; 0, "(" &amp; $R123 &amp; ")", ""))))</f>
        <v>na</v>
      </c>
      <c r="E123" s="7" t="s">
        <v>195</v>
      </c>
      <c r="F123" s="7" t="s">
        <v>195</v>
      </c>
      <c r="G123" s="7" t="s">
        <v>195</v>
      </c>
      <c r="H123" s="7" t="s">
        <v>195</v>
      </c>
      <c r="I123" s="7" t="s">
        <v>195</v>
      </c>
      <c r="J123" s="7" t="s">
        <v>195</v>
      </c>
      <c r="K123" s="7" t="s">
        <v>195</v>
      </c>
      <c r="L123" s="7" t="s">
        <v>195</v>
      </c>
      <c r="M123" s="7" t="s">
        <v>29</v>
      </c>
      <c r="N123" s="7" t="s">
        <v>29</v>
      </c>
      <c r="O123" s="7" t="s">
        <v>29</v>
      </c>
      <c r="P123" s="7" t="s">
        <v>29</v>
      </c>
      <c r="Q123" s="7" t="s">
        <v>29</v>
      </c>
      <c r="R123" s="7" t="s">
        <v>29</v>
      </c>
      <c r="S123" s="7" t="s">
        <v>29</v>
      </c>
    </row>
    <row r="124" spans="2:19">
      <c r="B124" s="9" t="s">
        <v>195</v>
      </c>
      <c r="C124" s="7" t="s">
        <v>195</v>
      </c>
      <c r="D124" s="5" t="str">
        <f>LRTRIM(CONCATENATE(IF(SUMPRODUCT(-- ISNUMBER(SEARCH({"Auto Number"}, $B124))) &gt; 0, $B124, IF(SUMPRODUCT(-- ISNUMBER(SEARCH({"Lookup","Master-Detail"}, $B124))) &gt; 0,$B124 &amp; "(" &amp; $E124 &amp; ")",IF(SUMPRODUCT(-- ISNUMBER(SEARCH({"Formula","Roll-Up Summary"}, $B124))) &gt; 0,$B124 &amp; " (" &amp; $E124 &amp; ")",IF(SUMPRODUCT(-- ISNUMBER(SEARCH({"Content","Currency","Number","Percent","Text","URL"}, $B124))) &gt; 0,$B124 &amp; "(" &amp; $C124 &amp; ")",$B124)))), "  ", TRIM(IF($S124 = "YES", "(External ID)", "") &amp; " " &amp; IF(SUMPRODUCT(-- ISNUMBER(SEARCH({"Unique","Unique Case Insensitive"}, $R124))) &gt; 0, "(" &amp; $R124 &amp; ")", ""))))</f>
        <v>na</v>
      </c>
      <c r="E124" s="7" t="s">
        <v>195</v>
      </c>
      <c r="F124" s="7" t="s">
        <v>195</v>
      </c>
      <c r="G124" s="7" t="s">
        <v>195</v>
      </c>
      <c r="H124" s="7" t="s">
        <v>195</v>
      </c>
      <c r="I124" s="7" t="s">
        <v>195</v>
      </c>
      <c r="J124" s="7" t="s">
        <v>195</v>
      </c>
      <c r="K124" s="7" t="s">
        <v>195</v>
      </c>
      <c r="L124" s="7" t="s">
        <v>195</v>
      </c>
      <c r="M124" s="7" t="s">
        <v>29</v>
      </c>
      <c r="N124" s="7" t="s">
        <v>29</v>
      </c>
      <c r="O124" s="7" t="s">
        <v>29</v>
      </c>
      <c r="P124" s="7" t="s">
        <v>29</v>
      </c>
      <c r="Q124" s="7" t="s">
        <v>29</v>
      </c>
      <c r="R124" s="7" t="s">
        <v>29</v>
      </c>
      <c r="S124" s="7" t="s">
        <v>29</v>
      </c>
    </row>
    <row r="125" spans="2:19">
      <c r="B125" s="9" t="s">
        <v>195</v>
      </c>
      <c r="C125" s="7" t="s">
        <v>195</v>
      </c>
      <c r="D125" s="5" t="str">
        <f>LRTRIM(CONCATENATE(IF(SUMPRODUCT(-- ISNUMBER(SEARCH({"Auto Number"}, $B125))) &gt; 0, $B125, IF(SUMPRODUCT(-- ISNUMBER(SEARCH({"Lookup","Master-Detail"}, $B125))) &gt; 0,$B125 &amp; "(" &amp; $E125 &amp; ")",IF(SUMPRODUCT(-- ISNUMBER(SEARCH({"Formula","Roll-Up Summary"}, $B125))) &gt; 0,$B125 &amp; " (" &amp; $E125 &amp; ")",IF(SUMPRODUCT(-- ISNUMBER(SEARCH({"Content","Currency","Number","Percent","Text","URL"}, $B125))) &gt; 0,$B125 &amp; "(" &amp; $C125 &amp; ")",$B125)))), "  ", TRIM(IF($S125 = "YES", "(External ID)", "") &amp; " " &amp; IF(SUMPRODUCT(-- ISNUMBER(SEARCH({"Unique","Unique Case Insensitive"}, $R125))) &gt; 0, "(" &amp; $R125 &amp; ")", ""))))</f>
        <v>na</v>
      </c>
      <c r="E125" s="7" t="s">
        <v>195</v>
      </c>
      <c r="F125" s="7" t="s">
        <v>195</v>
      </c>
      <c r="G125" s="7" t="s">
        <v>195</v>
      </c>
      <c r="H125" s="7" t="s">
        <v>195</v>
      </c>
      <c r="I125" s="7" t="s">
        <v>195</v>
      </c>
      <c r="J125" s="7" t="s">
        <v>195</v>
      </c>
      <c r="K125" s="7" t="s">
        <v>195</v>
      </c>
      <c r="L125" s="7" t="s">
        <v>195</v>
      </c>
      <c r="M125" s="7" t="s">
        <v>29</v>
      </c>
      <c r="N125" s="7" t="s">
        <v>29</v>
      </c>
      <c r="O125" s="7" t="s">
        <v>29</v>
      </c>
      <c r="P125" s="7" t="s">
        <v>29</v>
      </c>
      <c r="Q125" s="7" t="s">
        <v>29</v>
      </c>
      <c r="R125" s="7" t="s">
        <v>29</v>
      </c>
      <c r="S125" s="7" t="s">
        <v>29</v>
      </c>
    </row>
    <row r="126" spans="2:19">
      <c r="B126" s="9" t="s">
        <v>195</v>
      </c>
      <c r="C126" s="7" t="s">
        <v>195</v>
      </c>
      <c r="D126" s="5" t="str">
        <f>LRTRIM(CONCATENATE(IF(SUMPRODUCT(-- ISNUMBER(SEARCH({"Auto Number"}, $B126))) &gt; 0, $B126, IF(SUMPRODUCT(-- ISNUMBER(SEARCH({"Lookup","Master-Detail"}, $B126))) &gt; 0,$B126 &amp; "(" &amp; $E126 &amp; ")",IF(SUMPRODUCT(-- ISNUMBER(SEARCH({"Formula","Roll-Up Summary"}, $B126))) &gt; 0,$B126 &amp; " (" &amp; $E126 &amp; ")",IF(SUMPRODUCT(-- ISNUMBER(SEARCH({"Content","Currency","Number","Percent","Text","URL"}, $B126))) &gt; 0,$B126 &amp; "(" &amp; $C126 &amp; ")",$B126)))), "  ", TRIM(IF($S126 = "YES", "(External ID)", "") &amp; " " &amp; IF(SUMPRODUCT(-- ISNUMBER(SEARCH({"Unique","Unique Case Insensitive"}, $R126))) &gt; 0, "(" &amp; $R126 &amp; ")", ""))))</f>
        <v>na</v>
      </c>
      <c r="E126" s="7" t="s">
        <v>195</v>
      </c>
      <c r="F126" s="7" t="s">
        <v>195</v>
      </c>
      <c r="G126" s="7" t="s">
        <v>195</v>
      </c>
      <c r="H126" s="7" t="s">
        <v>195</v>
      </c>
      <c r="I126" s="7" t="s">
        <v>195</v>
      </c>
      <c r="J126" s="7" t="s">
        <v>195</v>
      </c>
      <c r="K126" s="7" t="s">
        <v>195</v>
      </c>
      <c r="L126" s="7" t="s">
        <v>195</v>
      </c>
      <c r="M126" s="7" t="s">
        <v>29</v>
      </c>
      <c r="N126" s="7" t="s">
        <v>29</v>
      </c>
      <c r="O126" s="7" t="s">
        <v>29</v>
      </c>
      <c r="P126" s="7" t="s">
        <v>29</v>
      </c>
      <c r="Q126" s="7" t="s">
        <v>29</v>
      </c>
      <c r="R126" s="7" t="s">
        <v>29</v>
      </c>
      <c r="S126" s="7" t="s">
        <v>29</v>
      </c>
    </row>
    <row r="127" spans="2:19">
      <c r="B127" s="9" t="s">
        <v>195</v>
      </c>
      <c r="C127" s="7" t="s">
        <v>195</v>
      </c>
      <c r="D127" s="5" t="str">
        <f>LRTRIM(CONCATENATE(IF(SUMPRODUCT(-- ISNUMBER(SEARCH({"Auto Number"}, $B127))) &gt; 0, $B127, IF(SUMPRODUCT(-- ISNUMBER(SEARCH({"Lookup","Master-Detail"}, $B127))) &gt; 0,$B127 &amp; "(" &amp; $E127 &amp; ")",IF(SUMPRODUCT(-- ISNUMBER(SEARCH({"Formula","Roll-Up Summary"}, $B127))) &gt; 0,$B127 &amp; " (" &amp; $E127 &amp; ")",IF(SUMPRODUCT(-- ISNUMBER(SEARCH({"Content","Currency","Number","Percent","Text","URL"}, $B127))) &gt; 0,$B127 &amp; "(" &amp; $C127 &amp; ")",$B127)))), "  ", TRIM(IF($S127 = "YES", "(External ID)", "") &amp; " " &amp; IF(SUMPRODUCT(-- ISNUMBER(SEARCH({"Unique","Unique Case Insensitive"}, $R127))) &gt; 0, "(" &amp; $R127 &amp; ")", ""))))</f>
        <v>na</v>
      </c>
      <c r="E127" s="7" t="s">
        <v>195</v>
      </c>
      <c r="F127" s="7" t="s">
        <v>195</v>
      </c>
      <c r="G127" s="7" t="s">
        <v>195</v>
      </c>
      <c r="H127" s="7" t="s">
        <v>195</v>
      </c>
      <c r="I127" s="7" t="s">
        <v>195</v>
      </c>
      <c r="J127" s="7" t="s">
        <v>195</v>
      </c>
      <c r="K127" s="7" t="s">
        <v>195</v>
      </c>
      <c r="L127" s="7" t="s">
        <v>195</v>
      </c>
      <c r="M127" s="7" t="s">
        <v>29</v>
      </c>
      <c r="N127" s="7" t="s">
        <v>29</v>
      </c>
      <c r="O127" s="7" t="s">
        <v>29</v>
      </c>
      <c r="P127" s="7" t="s">
        <v>29</v>
      </c>
      <c r="Q127" s="7" t="s">
        <v>29</v>
      </c>
      <c r="R127" s="7" t="s">
        <v>29</v>
      </c>
      <c r="S127" s="7" t="s">
        <v>29</v>
      </c>
    </row>
    <row r="128" spans="2:19">
      <c r="B128" s="9" t="s">
        <v>195</v>
      </c>
      <c r="C128" s="7" t="s">
        <v>195</v>
      </c>
      <c r="D128" s="5" t="str">
        <f>LRTRIM(CONCATENATE(IF(SUMPRODUCT(-- ISNUMBER(SEARCH({"Auto Number"}, $B128))) &gt; 0, $B128, IF(SUMPRODUCT(-- ISNUMBER(SEARCH({"Lookup","Master-Detail"}, $B128))) &gt; 0,$B128 &amp; "(" &amp; $E128 &amp; ")",IF(SUMPRODUCT(-- ISNUMBER(SEARCH({"Formula","Roll-Up Summary"}, $B128))) &gt; 0,$B128 &amp; " (" &amp; $E128 &amp; ")",IF(SUMPRODUCT(-- ISNUMBER(SEARCH({"Content","Currency","Number","Percent","Text","URL"}, $B128))) &gt; 0,$B128 &amp; "(" &amp; $C128 &amp; ")",$B128)))), "  ", TRIM(IF($S128 = "YES", "(External ID)", "") &amp; " " &amp; IF(SUMPRODUCT(-- ISNUMBER(SEARCH({"Unique","Unique Case Insensitive"}, $R128))) &gt; 0, "(" &amp; $R128 &amp; ")", ""))))</f>
        <v>na</v>
      </c>
      <c r="E128" s="7" t="s">
        <v>195</v>
      </c>
      <c r="F128" s="7" t="s">
        <v>195</v>
      </c>
      <c r="G128" s="7" t="s">
        <v>195</v>
      </c>
      <c r="H128" s="7" t="s">
        <v>195</v>
      </c>
      <c r="I128" s="7" t="s">
        <v>195</v>
      </c>
      <c r="J128" s="7" t="s">
        <v>195</v>
      </c>
      <c r="K128" s="7" t="s">
        <v>195</v>
      </c>
      <c r="L128" s="7" t="s">
        <v>195</v>
      </c>
      <c r="M128" s="7" t="s">
        <v>29</v>
      </c>
      <c r="N128" s="7" t="s">
        <v>29</v>
      </c>
      <c r="O128" s="7" t="s">
        <v>29</v>
      </c>
      <c r="P128" s="7" t="s">
        <v>29</v>
      </c>
      <c r="Q128" s="7" t="s">
        <v>29</v>
      </c>
      <c r="R128" s="7" t="s">
        <v>29</v>
      </c>
      <c r="S128" s="7" t="s">
        <v>29</v>
      </c>
    </row>
    <row r="129" spans="2:19">
      <c r="B129" s="9" t="s">
        <v>195</v>
      </c>
      <c r="C129" s="7" t="s">
        <v>195</v>
      </c>
      <c r="D129" s="5" t="str">
        <f>LRTRIM(CONCATENATE(IF(SUMPRODUCT(-- ISNUMBER(SEARCH({"Auto Number"}, $B129))) &gt; 0, $B129, IF(SUMPRODUCT(-- ISNUMBER(SEARCH({"Lookup","Master-Detail"}, $B129))) &gt; 0,$B129 &amp; "(" &amp; $E129 &amp; ")",IF(SUMPRODUCT(-- ISNUMBER(SEARCH({"Formula","Roll-Up Summary"}, $B129))) &gt; 0,$B129 &amp; " (" &amp; $E129 &amp; ")",IF(SUMPRODUCT(-- ISNUMBER(SEARCH({"Content","Currency","Number","Percent","Text","URL"}, $B129))) &gt; 0,$B129 &amp; "(" &amp; $C129 &amp; ")",$B129)))), "  ", TRIM(IF($S129 = "YES", "(External ID)", "") &amp; " " &amp; IF(SUMPRODUCT(-- ISNUMBER(SEARCH({"Unique","Unique Case Insensitive"}, $R129))) &gt; 0, "(" &amp; $R129 &amp; ")", ""))))</f>
        <v>na</v>
      </c>
      <c r="E129" s="7" t="s">
        <v>195</v>
      </c>
      <c r="F129" s="7" t="s">
        <v>195</v>
      </c>
      <c r="G129" s="7" t="s">
        <v>195</v>
      </c>
      <c r="H129" s="7" t="s">
        <v>195</v>
      </c>
      <c r="I129" s="7" t="s">
        <v>195</v>
      </c>
      <c r="J129" s="7" t="s">
        <v>195</v>
      </c>
      <c r="K129" s="7" t="s">
        <v>195</v>
      </c>
      <c r="L129" s="7" t="s">
        <v>195</v>
      </c>
      <c r="M129" s="7" t="s">
        <v>29</v>
      </c>
      <c r="N129" s="7" t="s">
        <v>29</v>
      </c>
      <c r="O129" s="7" t="s">
        <v>29</v>
      </c>
      <c r="P129" s="7" t="s">
        <v>29</v>
      </c>
      <c r="Q129" s="7" t="s">
        <v>29</v>
      </c>
      <c r="R129" s="7" t="s">
        <v>29</v>
      </c>
      <c r="S129" s="7" t="s">
        <v>29</v>
      </c>
    </row>
    <row r="130" spans="2:19">
      <c r="B130" s="9" t="s">
        <v>195</v>
      </c>
      <c r="C130" s="7" t="s">
        <v>195</v>
      </c>
      <c r="D130" s="5" t="str">
        <f>LRTRIM(CONCATENATE(IF(SUMPRODUCT(-- ISNUMBER(SEARCH({"Auto Number"}, $B130))) &gt; 0, $B130, IF(SUMPRODUCT(-- ISNUMBER(SEARCH({"Lookup","Master-Detail"}, $B130))) &gt; 0,$B130 &amp; "(" &amp; $E130 &amp; ")",IF(SUMPRODUCT(-- ISNUMBER(SEARCH({"Formula","Roll-Up Summary"}, $B130))) &gt; 0,$B130 &amp; " (" &amp; $E130 &amp; ")",IF(SUMPRODUCT(-- ISNUMBER(SEARCH({"Content","Currency","Number","Percent","Text","URL"}, $B130))) &gt; 0,$B130 &amp; "(" &amp; $C130 &amp; ")",$B130)))), "  ", TRIM(IF($S130 = "YES", "(External ID)", "") &amp; " " &amp; IF(SUMPRODUCT(-- ISNUMBER(SEARCH({"Unique","Unique Case Insensitive"}, $R130))) &gt; 0, "(" &amp; $R130 &amp; ")", ""))))</f>
        <v>na</v>
      </c>
      <c r="E130" s="7" t="s">
        <v>195</v>
      </c>
      <c r="F130" s="7" t="s">
        <v>195</v>
      </c>
      <c r="G130" s="7" t="s">
        <v>195</v>
      </c>
      <c r="H130" s="7" t="s">
        <v>195</v>
      </c>
      <c r="I130" s="7" t="s">
        <v>195</v>
      </c>
      <c r="J130" s="7" t="s">
        <v>195</v>
      </c>
      <c r="K130" s="7" t="s">
        <v>195</v>
      </c>
      <c r="L130" s="7" t="s">
        <v>195</v>
      </c>
      <c r="M130" s="7" t="s">
        <v>29</v>
      </c>
      <c r="N130" s="7" t="s">
        <v>29</v>
      </c>
      <c r="O130" s="7" t="s">
        <v>29</v>
      </c>
      <c r="P130" s="7" t="s">
        <v>29</v>
      </c>
      <c r="Q130" s="7" t="s">
        <v>29</v>
      </c>
      <c r="R130" s="7" t="s">
        <v>29</v>
      </c>
      <c r="S130" s="7" t="s">
        <v>29</v>
      </c>
    </row>
    <row r="131" spans="2:19">
      <c r="B131" s="9" t="s">
        <v>195</v>
      </c>
      <c r="C131" s="7" t="s">
        <v>195</v>
      </c>
      <c r="D131" s="5" t="str">
        <f>LRTRIM(CONCATENATE(IF(SUMPRODUCT(-- ISNUMBER(SEARCH({"Auto Number"}, $B131))) &gt; 0, $B131, IF(SUMPRODUCT(-- ISNUMBER(SEARCH({"Lookup","Master-Detail"}, $B131))) &gt; 0,$B131 &amp; "(" &amp; $E131 &amp; ")",IF(SUMPRODUCT(-- ISNUMBER(SEARCH({"Formula","Roll-Up Summary"}, $B131))) &gt; 0,$B131 &amp; " (" &amp; $E131 &amp; ")",IF(SUMPRODUCT(-- ISNUMBER(SEARCH({"Content","Currency","Number","Percent","Text","URL"}, $B131))) &gt; 0,$B131 &amp; "(" &amp; $C131 &amp; ")",$B131)))), "  ", TRIM(IF($S131 = "YES", "(External ID)", "") &amp; " " &amp; IF(SUMPRODUCT(-- ISNUMBER(SEARCH({"Unique","Unique Case Insensitive"}, $R131))) &gt; 0, "(" &amp; $R131 &amp; ")", ""))))</f>
        <v>na</v>
      </c>
      <c r="E131" s="7" t="s">
        <v>195</v>
      </c>
      <c r="F131" s="7" t="s">
        <v>195</v>
      </c>
      <c r="G131" s="7" t="s">
        <v>195</v>
      </c>
      <c r="H131" s="7" t="s">
        <v>195</v>
      </c>
      <c r="I131" s="7" t="s">
        <v>195</v>
      </c>
      <c r="J131" s="7" t="s">
        <v>195</v>
      </c>
      <c r="K131" s="7" t="s">
        <v>195</v>
      </c>
      <c r="L131" s="7" t="s">
        <v>195</v>
      </c>
      <c r="M131" s="7" t="s">
        <v>29</v>
      </c>
      <c r="N131" s="7" t="s">
        <v>29</v>
      </c>
      <c r="O131" s="7" t="s">
        <v>29</v>
      </c>
      <c r="P131" s="7" t="s">
        <v>29</v>
      </c>
      <c r="Q131" s="7" t="s">
        <v>29</v>
      </c>
      <c r="R131" s="7" t="s">
        <v>29</v>
      </c>
      <c r="S131" s="7" t="s">
        <v>29</v>
      </c>
    </row>
    <row r="132" spans="2:19">
      <c r="B132" s="9" t="s">
        <v>195</v>
      </c>
      <c r="C132" s="7" t="s">
        <v>195</v>
      </c>
      <c r="D132" s="5" t="str">
        <f>LRTRIM(CONCATENATE(IF(SUMPRODUCT(-- ISNUMBER(SEARCH({"Auto Number"}, $B132))) &gt; 0, $B132, IF(SUMPRODUCT(-- ISNUMBER(SEARCH({"Lookup","Master-Detail"}, $B132))) &gt; 0,$B132 &amp; "(" &amp; $E132 &amp; ")",IF(SUMPRODUCT(-- ISNUMBER(SEARCH({"Formula","Roll-Up Summary"}, $B132))) &gt; 0,$B132 &amp; " (" &amp; $E132 &amp; ")",IF(SUMPRODUCT(-- ISNUMBER(SEARCH({"Content","Currency","Number","Percent","Text","URL"}, $B132))) &gt; 0,$B132 &amp; "(" &amp; $C132 &amp; ")",$B132)))), "  ", TRIM(IF($S132 = "YES", "(External ID)", "") &amp; " " &amp; IF(SUMPRODUCT(-- ISNUMBER(SEARCH({"Unique","Unique Case Insensitive"}, $R132))) &gt; 0, "(" &amp; $R132 &amp; ")", ""))))</f>
        <v>na</v>
      </c>
      <c r="E132" s="7" t="s">
        <v>195</v>
      </c>
      <c r="F132" s="7" t="s">
        <v>195</v>
      </c>
      <c r="G132" s="7" t="s">
        <v>195</v>
      </c>
      <c r="H132" s="7" t="s">
        <v>195</v>
      </c>
      <c r="I132" s="7" t="s">
        <v>195</v>
      </c>
      <c r="J132" s="7" t="s">
        <v>195</v>
      </c>
      <c r="K132" s="7" t="s">
        <v>195</v>
      </c>
      <c r="L132" s="7" t="s">
        <v>195</v>
      </c>
      <c r="M132" s="7" t="s">
        <v>29</v>
      </c>
      <c r="N132" s="7" t="s">
        <v>29</v>
      </c>
      <c r="O132" s="7" t="s">
        <v>29</v>
      </c>
      <c r="P132" s="7" t="s">
        <v>29</v>
      </c>
      <c r="Q132" s="7" t="s">
        <v>29</v>
      </c>
      <c r="R132" s="7" t="s">
        <v>29</v>
      </c>
      <c r="S132" s="7" t="s">
        <v>29</v>
      </c>
    </row>
    <row r="133" spans="2:19">
      <c r="B133" s="9" t="s">
        <v>195</v>
      </c>
      <c r="C133" s="7" t="s">
        <v>195</v>
      </c>
      <c r="D133" s="5" t="str">
        <f>LRTRIM(CONCATENATE(IF(SUMPRODUCT(-- ISNUMBER(SEARCH({"Auto Number"}, $B133))) &gt; 0, $B133, IF(SUMPRODUCT(-- ISNUMBER(SEARCH({"Lookup","Master-Detail"}, $B133))) &gt; 0,$B133 &amp; "(" &amp; $E133 &amp; ")",IF(SUMPRODUCT(-- ISNUMBER(SEARCH({"Formula","Roll-Up Summary"}, $B133))) &gt; 0,$B133 &amp; " (" &amp; $E133 &amp; ")",IF(SUMPRODUCT(-- ISNUMBER(SEARCH({"Content","Currency","Number","Percent","Text","URL"}, $B133))) &gt; 0,$B133 &amp; "(" &amp; $C133 &amp; ")",$B133)))), "  ", TRIM(IF($S133 = "YES", "(External ID)", "") &amp; " " &amp; IF(SUMPRODUCT(-- ISNUMBER(SEARCH({"Unique","Unique Case Insensitive"}, $R133))) &gt; 0, "(" &amp; $R133 &amp; ")", ""))))</f>
        <v>na</v>
      </c>
      <c r="E133" s="7" t="s">
        <v>195</v>
      </c>
      <c r="F133" s="7" t="s">
        <v>195</v>
      </c>
      <c r="G133" s="7" t="s">
        <v>195</v>
      </c>
      <c r="H133" s="7" t="s">
        <v>195</v>
      </c>
      <c r="I133" s="7" t="s">
        <v>195</v>
      </c>
      <c r="J133" s="7" t="s">
        <v>195</v>
      </c>
      <c r="K133" s="7" t="s">
        <v>195</v>
      </c>
      <c r="L133" s="7" t="s">
        <v>195</v>
      </c>
      <c r="M133" s="7" t="s">
        <v>29</v>
      </c>
      <c r="N133" s="7" t="s">
        <v>29</v>
      </c>
      <c r="O133" s="7" t="s">
        <v>29</v>
      </c>
      <c r="P133" s="7" t="s">
        <v>29</v>
      </c>
      <c r="Q133" s="7" t="s">
        <v>29</v>
      </c>
      <c r="R133" s="7" t="s">
        <v>29</v>
      </c>
      <c r="S133" s="7" t="s">
        <v>29</v>
      </c>
    </row>
    <row r="134" spans="2:19">
      <c r="B134" s="9" t="s">
        <v>195</v>
      </c>
      <c r="C134" s="7" t="s">
        <v>195</v>
      </c>
      <c r="D134" s="5" t="str">
        <f>LRTRIM(CONCATENATE(IF(SUMPRODUCT(-- ISNUMBER(SEARCH({"Auto Number"}, $B134))) &gt; 0, $B134, IF(SUMPRODUCT(-- ISNUMBER(SEARCH({"Lookup","Master-Detail"}, $B134))) &gt; 0,$B134 &amp; "(" &amp; $E134 &amp; ")",IF(SUMPRODUCT(-- ISNUMBER(SEARCH({"Formula","Roll-Up Summary"}, $B134))) &gt; 0,$B134 &amp; " (" &amp; $E134 &amp; ")",IF(SUMPRODUCT(-- ISNUMBER(SEARCH({"Content","Currency","Number","Percent","Text","URL"}, $B134))) &gt; 0,$B134 &amp; "(" &amp; $C134 &amp; ")",$B134)))), "  ", TRIM(IF($S134 = "YES", "(External ID)", "") &amp; " " &amp; IF(SUMPRODUCT(-- ISNUMBER(SEARCH({"Unique","Unique Case Insensitive"}, $R134))) &gt; 0, "(" &amp; $R134 &amp; ")", ""))))</f>
        <v>na</v>
      </c>
      <c r="E134" s="7" t="s">
        <v>195</v>
      </c>
      <c r="F134" s="7" t="s">
        <v>195</v>
      </c>
      <c r="G134" s="7" t="s">
        <v>195</v>
      </c>
      <c r="H134" s="7" t="s">
        <v>195</v>
      </c>
      <c r="I134" s="7" t="s">
        <v>195</v>
      </c>
      <c r="J134" s="7" t="s">
        <v>195</v>
      </c>
      <c r="K134" s="7" t="s">
        <v>195</v>
      </c>
      <c r="L134" s="7" t="s">
        <v>195</v>
      </c>
      <c r="M134" s="7" t="s">
        <v>29</v>
      </c>
      <c r="N134" s="7" t="s">
        <v>29</v>
      </c>
      <c r="O134" s="7" t="s">
        <v>29</v>
      </c>
      <c r="P134" s="7" t="s">
        <v>29</v>
      </c>
      <c r="Q134" s="7" t="s">
        <v>29</v>
      </c>
      <c r="R134" s="7" t="s">
        <v>29</v>
      </c>
      <c r="S134" s="7" t="s">
        <v>29</v>
      </c>
    </row>
    <row r="135" spans="2:19">
      <c r="B135" s="9" t="s">
        <v>195</v>
      </c>
      <c r="C135" s="7" t="s">
        <v>195</v>
      </c>
      <c r="D135" s="5" t="str">
        <f>LRTRIM(CONCATENATE(IF(SUMPRODUCT(-- ISNUMBER(SEARCH({"Auto Number"}, $B135))) &gt; 0, $B135, IF(SUMPRODUCT(-- ISNUMBER(SEARCH({"Lookup","Master-Detail"}, $B135))) &gt; 0,$B135 &amp; "(" &amp; $E135 &amp; ")",IF(SUMPRODUCT(-- ISNUMBER(SEARCH({"Formula","Roll-Up Summary"}, $B135))) &gt; 0,$B135 &amp; " (" &amp; $E135 &amp; ")",IF(SUMPRODUCT(-- ISNUMBER(SEARCH({"Content","Currency","Number","Percent","Text","URL"}, $B135))) &gt; 0,$B135 &amp; "(" &amp; $C135 &amp; ")",$B135)))), "  ", TRIM(IF($S135 = "YES", "(External ID)", "") &amp; " " &amp; IF(SUMPRODUCT(-- ISNUMBER(SEARCH({"Unique","Unique Case Insensitive"}, $R135))) &gt; 0, "(" &amp; $R135 &amp; ")", ""))))</f>
        <v>na</v>
      </c>
      <c r="E135" s="7" t="s">
        <v>195</v>
      </c>
      <c r="F135" s="7" t="s">
        <v>195</v>
      </c>
      <c r="G135" s="7" t="s">
        <v>195</v>
      </c>
      <c r="H135" s="7" t="s">
        <v>195</v>
      </c>
      <c r="I135" s="7" t="s">
        <v>195</v>
      </c>
      <c r="J135" s="7" t="s">
        <v>195</v>
      </c>
      <c r="K135" s="7" t="s">
        <v>195</v>
      </c>
      <c r="L135" s="7" t="s">
        <v>195</v>
      </c>
      <c r="M135" s="7" t="s">
        <v>29</v>
      </c>
      <c r="N135" s="7" t="s">
        <v>29</v>
      </c>
      <c r="O135" s="7" t="s">
        <v>29</v>
      </c>
      <c r="P135" s="7" t="s">
        <v>29</v>
      </c>
      <c r="Q135" s="7" t="s">
        <v>29</v>
      </c>
      <c r="R135" s="7" t="s">
        <v>29</v>
      </c>
      <c r="S135" s="7" t="s">
        <v>29</v>
      </c>
    </row>
    <row r="136" spans="2:19">
      <c r="B136" s="9" t="s">
        <v>195</v>
      </c>
      <c r="C136" s="7" t="s">
        <v>195</v>
      </c>
      <c r="D136" s="5" t="str">
        <f>LRTRIM(CONCATENATE(IF(SUMPRODUCT(-- ISNUMBER(SEARCH({"Auto Number"}, $B136))) &gt; 0, $B136, IF(SUMPRODUCT(-- ISNUMBER(SEARCH({"Lookup","Master-Detail"}, $B136))) &gt; 0,$B136 &amp; "(" &amp; $E136 &amp; ")",IF(SUMPRODUCT(-- ISNUMBER(SEARCH({"Formula","Roll-Up Summary"}, $B136))) &gt; 0,$B136 &amp; " (" &amp; $E136 &amp; ")",IF(SUMPRODUCT(-- ISNUMBER(SEARCH({"Content","Currency","Number","Percent","Text","URL"}, $B136))) &gt; 0,$B136 &amp; "(" &amp; $C136 &amp; ")",$B136)))), "  ", TRIM(IF($S136 = "YES", "(External ID)", "") &amp; " " &amp; IF(SUMPRODUCT(-- ISNUMBER(SEARCH({"Unique","Unique Case Insensitive"}, $R136))) &gt; 0, "(" &amp; $R136 &amp; ")", ""))))</f>
        <v>na</v>
      </c>
      <c r="E136" s="7" t="s">
        <v>195</v>
      </c>
      <c r="F136" s="7" t="s">
        <v>195</v>
      </c>
      <c r="G136" s="7" t="s">
        <v>195</v>
      </c>
      <c r="H136" s="7" t="s">
        <v>195</v>
      </c>
      <c r="I136" s="7" t="s">
        <v>195</v>
      </c>
      <c r="J136" s="7" t="s">
        <v>195</v>
      </c>
      <c r="K136" s="7" t="s">
        <v>195</v>
      </c>
      <c r="L136" s="7" t="s">
        <v>195</v>
      </c>
      <c r="M136" s="7" t="s">
        <v>29</v>
      </c>
      <c r="N136" s="7" t="s">
        <v>29</v>
      </c>
      <c r="O136" s="7" t="s">
        <v>29</v>
      </c>
      <c r="P136" s="7" t="s">
        <v>29</v>
      </c>
      <c r="Q136" s="7" t="s">
        <v>29</v>
      </c>
      <c r="R136" s="7" t="s">
        <v>29</v>
      </c>
      <c r="S136" s="7" t="s">
        <v>29</v>
      </c>
    </row>
    <row r="137" spans="2:19">
      <c r="B137" s="9" t="s">
        <v>195</v>
      </c>
      <c r="C137" s="7" t="s">
        <v>195</v>
      </c>
      <c r="D137" s="5" t="str">
        <f>LRTRIM(CONCATENATE(IF(SUMPRODUCT(-- ISNUMBER(SEARCH({"Auto Number"}, $B137))) &gt; 0, $B137, IF(SUMPRODUCT(-- ISNUMBER(SEARCH({"Lookup","Master-Detail"}, $B137))) &gt; 0,$B137 &amp; "(" &amp; $E137 &amp; ")",IF(SUMPRODUCT(-- ISNUMBER(SEARCH({"Formula","Roll-Up Summary"}, $B137))) &gt; 0,$B137 &amp; " (" &amp; $E137 &amp; ")",IF(SUMPRODUCT(-- ISNUMBER(SEARCH({"Content","Currency","Number","Percent","Text","URL"}, $B137))) &gt; 0,$B137 &amp; "(" &amp; $C137 &amp; ")",$B137)))), "  ", TRIM(IF($S137 = "YES", "(External ID)", "") &amp; " " &amp; IF(SUMPRODUCT(-- ISNUMBER(SEARCH({"Unique","Unique Case Insensitive"}, $R137))) &gt; 0, "(" &amp; $R137 &amp; ")", ""))))</f>
        <v>na</v>
      </c>
      <c r="E137" s="7" t="s">
        <v>195</v>
      </c>
      <c r="F137" s="7" t="s">
        <v>195</v>
      </c>
      <c r="G137" s="7" t="s">
        <v>195</v>
      </c>
      <c r="H137" s="7" t="s">
        <v>195</v>
      </c>
      <c r="I137" s="7" t="s">
        <v>195</v>
      </c>
      <c r="J137" s="7" t="s">
        <v>195</v>
      </c>
      <c r="K137" s="7" t="s">
        <v>195</v>
      </c>
      <c r="L137" s="7" t="s">
        <v>195</v>
      </c>
      <c r="M137" s="7" t="s">
        <v>29</v>
      </c>
      <c r="N137" s="7" t="s">
        <v>29</v>
      </c>
      <c r="O137" s="7" t="s">
        <v>29</v>
      </c>
      <c r="P137" s="7" t="s">
        <v>29</v>
      </c>
      <c r="Q137" s="7" t="s">
        <v>29</v>
      </c>
      <c r="R137" s="7" t="s">
        <v>29</v>
      </c>
      <c r="S137" s="7" t="s">
        <v>29</v>
      </c>
    </row>
    <row r="138" spans="2:19">
      <c r="B138" s="9" t="s">
        <v>195</v>
      </c>
      <c r="C138" s="7" t="s">
        <v>195</v>
      </c>
      <c r="D138" s="5" t="str">
        <f>LRTRIM(CONCATENATE(IF(SUMPRODUCT(-- ISNUMBER(SEARCH({"Auto Number"}, $B138))) &gt; 0, $B138, IF(SUMPRODUCT(-- ISNUMBER(SEARCH({"Lookup","Master-Detail"}, $B138))) &gt; 0,$B138 &amp; "(" &amp; $E138 &amp; ")",IF(SUMPRODUCT(-- ISNUMBER(SEARCH({"Formula","Roll-Up Summary"}, $B138))) &gt; 0,$B138 &amp; " (" &amp; $E138 &amp; ")",IF(SUMPRODUCT(-- ISNUMBER(SEARCH({"Content","Currency","Number","Percent","Text","URL"}, $B138))) &gt; 0,$B138 &amp; "(" &amp; $C138 &amp; ")",$B138)))), "  ", TRIM(IF($S138 = "YES", "(External ID)", "") &amp; " " &amp; IF(SUMPRODUCT(-- ISNUMBER(SEARCH({"Unique","Unique Case Insensitive"}, $R138))) &gt; 0, "(" &amp; $R138 &amp; ")", ""))))</f>
        <v>na</v>
      </c>
      <c r="E138" s="7" t="s">
        <v>195</v>
      </c>
      <c r="F138" s="7" t="s">
        <v>195</v>
      </c>
      <c r="G138" s="7" t="s">
        <v>195</v>
      </c>
      <c r="H138" s="7" t="s">
        <v>195</v>
      </c>
      <c r="I138" s="7" t="s">
        <v>195</v>
      </c>
      <c r="J138" s="7" t="s">
        <v>195</v>
      </c>
      <c r="K138" s="7" t="s">
        <v>195</v>
      </c>
      <c r="L138" s="7" t="s">
        <v>195</v>
      </c>
      <c r="M138" s="7" t="s">
        <v>29</v>
      </c>
      <c r="N138" s="7" t="s">
        <v>29</v>
      </c>
      <c r="O138" s="7" t="s">
        <v>29</v>
      </c>
      <c r="P138" s="7" t="s">
        <v>29</v>
      </c>
      <c r="Q138" s="7" t="s">
        <v>29</v>
      </c>
      <c r="R138" s="7" t="s">
        <v>29</v>
      </c>
      <c r="S138" s="7" t="s">
        <v>29</v>
      </c>
    </row>
    <row r="139" spans="2:19">
      <c r="B139" s="9" t="s">
        <v>195</v>
      </c>
      <c r="C139" s="7" t="s">
        <v>195</v>
      </c>
      <c r="D139" s="5" t="str">
        <f>LRTRIM(CONCATENATE(IF(SUMPRODUCT(-- ISNUMBER(SEARCH({"Auto Number"}, $B139))) &gt; 0, $B139, IF(SUMPRODUCT(-- ISNUMBER(SEARCH({"Lookup","Master-Detail"}, $B139))) &gt; 0,$B139 &amp; "(" &amp; $E139 &amp; ")",IF(SUMPRODUCT(-- ISNUMBER(SEARCH({"Formula","Roll-Up Summary"}, $B139))) &gt; 0,$B139 &amp; " (" &amp; $E139 &amp; ")",IF(SUMPRODUCT(-- ISNUMBER(SEARCH({"Content","Currency","Number","Percent","Text","URL"}, $B139))) &gt; 0,$B139 &amp; "(" &amp; $C139 &amp; ")",$B139)))), "  ", TRIM(IF($S139 = "YES", "(External ID)", "") &amp; " " &amp; IF(SUMPRODUCT(-- ISNUMBER(SEARCH({"Unique","Unique Case Insensitive"}, $R139))) &gt; 0, "(" &amp; $R139 &amp; ")", ""))))</f>
        <v>na</v>
      </c>
      <c r="E139" s="7" t="s">
        <v>195</v>
      </c>
      <c r="F139" s="7" t="s">
        <v>195</v>
      </c>
      <c r="G139" s="7" t="s">
        <v>195</v>
      </c>
      <c r="H139" s="7" t="s">
        <v>195</v>
      </c>
      <c r="I139" s="7" t="s">
        <v>195</v>
      </c>
      <c r="J139" s="7" t="s">
        <v>195</v>
      </c>
      <c r="K139" s="7" t="s">
        <v>195</v>
      </c>
      <c r="L139" s="7" t="s">
        <v>195</v>
      </c>
      <c r="M139" s="7" t="s">
        <v>29</v>
      </c>
      <c r="N139" s="7" t="s">
        <v>29</v>
      </c>
      <c r="O139" s="7" t="s">
        <v>29</v>
      </c>
      <c r="P139" s="7" t="s">
        <v>29</v>
      </c>
      <c r="Q139" s="7" t="s">
        <v>29</v>
      </c>
      <c r="R139" s="7" t="s">
        <v>29</v>
      </c>
      <c r="S139" s="7" t="s">
        <v>29</v>
      </c>
    </row>
    <row r="140" spans="2:19">
      <c r="B140" s="9" t="s">
        <v>195</v>
      </c>
      <c r="C140" s="7" t="s">
        <v>195</v>
      </c>
      <c r="D140" s="5" t="str">
        <f>LRTRIM(CONCATENATE(IF(SUMPRODUCT(-- ISNUMBER(SEARCH({"Auto Number"}, $B140))) &gt; 0, $B140, IF(SUMPRODUCT(-- ISNUMBER(SEARCH({"Lookup","Master-Detail"}, $B140))) &gt; 0,$B140 &amp; "(" &amp; $E140 &amp; ")",IF(SUMPRODUCT(-- ISNUMBER(SEARCH({"Formula","Roll-Up Summary"}, $B140))) &gt; 0,$B140 &amp; " (" &amp; $E140 &amp; ")",IF(SUMPRODUCT(-- ISNUMBER(SEARCH({"Content","Currency","Number","Percent","Text","URL"}, $B140))) &gt; 0,$B140 &amp; "(" &amp; $C140 &amp; ")",$B140)))), "  ", TRIM(IF($S140 = "YES", "(External ID)", "") &amp; " " &amp; IF(SUMPRODUCT(-- ISNUMBER(SEARCH({"Unique","Unique Case Insensitive"}, $R140))) &gt; 0, "(" &amp; $R140 &amp; ")", ""))))</f>
        <v>na</v>
      </c>
      <c r="E140" s="7" t="s">
        <v>195</v>
      </c>
      <c r="F140" s="7" t="s">
        <v>195</v>
      </c>
      <c r="G140" s="7" t="s">
        <v>195</v>
      </c>
      <c r="H140" s="7" t="s">
        <v>195</v>
      </c>
      <c r="I140" s="7" t="s">
        <v>195</v>
      </c>
      <c r="J140" s="7" t="s">
        <v>195</v>
      </c>
      <c r="K140" s="7" t="s">
        <v>195</v>
      </c>
      <c r="L140" s="7" t="s">
        <v>195</v>
      </c>
      <c r="M140" s="7" t="s">
        <v>29</v>
      </c>
      <c r="N140" s="7" t="s">
        <v>29</v>
      </c>
      <c r="O140" s="7" t="s">
        <v>29</v>
      </c>
      <c r="P140" s="7" t="s">
        <v>29</v>
      </c>
      <c r="Q140" s="7" t="s">
        <v>29</v>
      </c>
      <c r="R140" s="7" t="s">
        <v>29</v>
      </c>
      <c r="S140" s="7" t="s">
        <v>29</v>
      </c>
    </row>
    <row r="141" spans="2:19">
      <c r="B141" s="9" t="s">
        <v>195</v>
      </c>
      <c r="C141" s="7" t="s">
        <v>195</v>
      </c>
      <c r="D141" s="5" t="str">
        <f>LRTRIM(CONCATENATE(IF(SUMPRODUCT(-- ISNUMBER(SEARCH({"Auto Number"}, $B141))) &gt; 0, $B141, IF(SUMPRODUCT(-- ISNUMBER(SEARCH({"Lookup","Master-Detail"}, $B141))) &gt; 0,$B141 &amp; "(" &amp; $E141 &amp; ")",IF(SUMPRODUCT(-- ISNUMBER(SEARCH({"Formula","Roll-Up Summary"}, $B141))) &gt; 0,$B141 &amp; " (" &amp; $E141 &amp; ")",IF(SUMPRODUCT(-- ISNUMBER(SEARCH({"Content","Currency","Number","Percent","Text","URL"}, $B141))) &gt; 0,$B141 &amp; "(" &amp; $C141 &amp; ")",$B141)))), "  ", TRIM(IF($S141 = "YES", "(External ID)", "") &amp; " " &amp; IF(SUMPRODUCT(-- ISNUMBER(SEARCH({"Unique","Unique Case Insensitive"}, $R141))) &gt; 0, "(" &amp; $R141 &amp; ")", ""))))</f>
        <v>na</v>
      </c>
      <c r="E141" s="7" t="s">
        <v>195</v>
      </c>
      <c r="F141" s="7" t="s">
        <v>195</v>
      </c>
      <c r="G141" s="7" t="s">
        <v>195</v>
      </c>
      <c r="H141" s="7" t="s">
        <v>195</v>
      </c>
      <c r="I141" s="7" t="s">
        <v>195</v>
      </c>
      <c r="J141" s="7" t="s">
        <v>195</v>
      </c>
      <c r="K141" s="7" t="s">
        <v>195</v>
      </c>
      <c r="L141" s="7" t="s">
        <v>195</v>
      </c>
      <c r="M141" s="7" t="s">
        <v>29</v>
      </c>
      <c r="N141" s="7" t="s">
        <v>29</v>
      </c>
      <c r="O141" s="7" t="s">
        <v>29</v>
      </c>
      <c r="P141" s="7" t="s">
        <v>29</v>
      </c>
      <c r="Q141" s="7" t="s">
        <v>29</v>
      </c>
      <c r="R141" s="7" t="s">
        <v>29</v>
      </c>
      <c r="S141" s="7" t="s">
        <v>29</v>
      </c>
    </row>
    <row r="142" spans="2:19">
      <c r="B142" s="9" t="s">
        <v>195</v>
      </c>
      <c r="C142" s="7" t="s">
        <v>195</v>
      </c>
      <c r="D142" s="5" t="str">
        <f>LRTRIM(CONCATENATE(IF(SUMPRODUCT(-- ISNUMBER(SEARCH({"Auto Number"}, $B142))) &gt; 0, $B142, IF(SUMPRODUCT(-- ISNUMBER(SEARCH({"Lookup","Master-Detail"}, $B142))) &gt; 0,$B142 &amp; "(" &amp; $E142 &amp; ")",IF(SUMPRODUCT(-- ISNUMBER(SEARCH({"Formula","Roll-Up Summary"}, $B142))) &gt; 0,$B142 &amp; " (" &amp; $E142 &amp; ")",IF(SUMPRODUCT(-- ISNUMBER(SEARCH({"Content","Currency","Number","Percent","Text","URL"}, $B142))) &gt; 0,$B142 &amp; "(" &amp; $C142 &amp; ")",$B142)))), "  ", TRIM(IF($S142 = "YES", "(External ID)", "") &amp; " " &amp; IF(SUMPRODUCT(-- ISNUMBER(SEARCH({"Unique","Unique Case Insensitive"}, $R142))) &gt; 0, "(" &amp; $R142 &amp; ")", ""))))</f>
        <v>na</v>
      </c>
      <c r="E142" s="7" t="s">
        <v>195</v>
      </c>
      <c r="F142" s="7" t="s">
        <v>195</v>
      </c>
      <c r="G142" s="7" t="s">
        <v>195</v>
      </c>
      <c r="H142" s="7" t="s">
        <v>195</v>
      </c>
      <c r="I142" s="7" t="s">
        <v>195</v>
      </c>
      <c r="J142" s="7" t="s">
        <v>195</v>
      </c>
      <c r="K142" s="7" t="s">
        <v>195</v>
      </c>
      <c r="L142" s="7" t="s">
        <v>195</v>
      </c>
      <c r="M142" s="7" t="s">
        <v>29</v>
      </c>
      <c r="N142" s="7" t="s">
        <v>29</v>
      </c>
      <c r="O142" s="7" t="s">
        <v>29</v>
      </c>
      <c r="P142" s="7" t="s">
        <v>29</v>
      </c>
      <c r="Q142" s="7" t="s">
        <v>29</v>
      </c>
      <c r="R142" s="7" t="s">
        <v>29</v>
      </c>
      <c r="S142" s="7" t="s">
        <v>29</v>
      </c>
    </row>
    <row r="143" spans="2:19">
      <c r="B143" s="9" t="s">
        <v>195</v>
      </c>
      <c r="C143" s="7" t="s">
        <v>195</v>
      </c>
      <c r="D143" s="5" t="str">
        <f>LRTRIM(CONCATENATE(IF(SUMPRODUCT(-- ISNUMBER(SEARCH({"Auto Number"}, $B143))) &gt; 0, $B143, IF(SUMPRODUCT(-- ISNUMBER(SEARCH({"Lookup","Master-Detail"}, $B143))) &gt; 0,$B143 &amp; "(" &amp; $E143 &amp; ")",IF(SUMPRODUCT(-- ISNUMBER(SEARCH({"Formula","Roll-Up Summary"}, $B143))) &gt; 0,$B143 &amp; " (" &amp; $E143 &amp; ")",IF(SUMPRODUCT(-- ISNUMBER(SEARCH({"Content","Currency","Number","Percent","Text","URL"}, $B143))) &gt; 0,$B143 &amp; "(" &amp; $C143 &amp; ")",$B143)))), "  ", TRIM(IF($S143 = "YES", "(External ID)", "") &amp; " " &amp; IF(SUMPRODUCT(-- ISNUMBER(SEARCH({"Unique","Unique Case Insensitive"}, $R143))) &gt; 0, "(" &amp; $R143 &amp; ")", ""))))</f>
        <v>na</v>
      </c>
      <c r="E143" s="7" t="s">
        <v>195</v>
      </c>
      <c r="F143" s="7" t="s">
        <v>195</v>
      </c>
      <c r="G143" s="7" t="s">
        <v>195</v>
      </c>
      <c r="H143" s="7" t="s">
        <v>195</v>
      </c>
      <c r="I143" s="7" t="s">
        <v>195</v>
      </c>
      <c r="J143" s="7" t="s">
        <v>195</v>
      </c>
      <c r="K143" s="7" t="s">
        <v>195</v>
      </c>
      <c r="L143" s="7" t="s">
        <v>195</v>
      </c>
      <c r="M143" s="7" t="s">
        <v>29</v>
      </c>
      <c r="N143" s="7" t="s">
        <v>29</v>
      </c>
      <c r="O143" s="7" t="s">
        <v>29</v>
      </c>
      <c r="P143" s="7" t="s">
        <v>29</v>
      </c>
      <c r="Q143" s="7" t="s">
        <v>29</v>
      </c>
      <c r="R143" s="7" t="s">
        <v>29</v>
      </c>
      <c r="S143" s="7" t="s">
        <v>29</v>
      </c>
    </row>
    <row r="144" spans="2:19">
      <c r="B144" s="9" t="s">
        <v>195</v>
      </c>
      <c r="C144" s="7" t="s">
        <v>195</v>
      </c>
      <c r="D144" s="5" t="str">
        <f>LRTRIM(CONCATENATE(IF(SUMPRODUCT(-- ISNUMBER(SEARCH({"Auto Number"}, $B144))) &gt; 0, $B144, IF(SUMPRODUCT(-- ISNUMBER(SEARCH({"Lookup","Master-Detail"}, $B144))) &gt; 0,$B144 &amp; "(" &amp; $E144 &amp; ")",IF(SUMPRODUCT(-- ISNUMBER(SEARCH({"Formula","Roll-Up Summary"}, $B144))) &gt; 0,$B144 &amp; " (" &amp; $E144 &amp; ")",IF(SUMPRODUCT(-- ISNUMBER(SEARCH({"Content","Currency","Number","Percent","Text","URL"}, $B144))) &gt; 0,$B144 &amp; "(" &amp; $C144 &amp; ")",$B144)))), "  ", TRIM(IF($S144 = "YES", "(External ID)", "") &amp; " " &amp; IF(SUMPRODUCT(-- ISNUMBER(SEARCH({"Unique","Unique Case Insensitive"}, $R144))) &gt; 0, "(" &amp; $R144 &amp; ")", ""))))</f>
        <v>na</v>
      </c>
      <c r="E144" s="7" t="s">
        <v>195</v>
      </c>
      <c r="F144" s="7" t="s">
        <v>195</v>
      </c>
      <c r="G144" s="7" t="s">
        <v>195</v>
      </c>
      <c r="H144" s="7" t="s">
        <v>195</v>
      </c>
      <c r="I144" s="7" t="s">
        <v>195</v>
      </c>
      <c r="J144" s="7" t="s">
        <v>195</v>
      </c>
      <c r="K144" s="7" t="s">
        <v>195</v>
      </c>
      <c r="L144" s="7" t="s">
        <v>195</v>
      </c>
      <c r="M144" s="7" t="s">
        <v>29</v>
      </c>
      <c r="N144" s="7" t="s">
        <v>29</v>
      </c>
      <c r="O144" s="7" t="s">
        <v>29</v>
      </c>
      <c r="P144" s="7" t="s">
        <v>29</v>
      </c>
      <c r="Q144" s="7" t="s">
        <v>29</v>
      </c>
      <c r="R144" s="7" t="s">
        <v>29</v>
      </c>
      <c r="S144" s="7" t="s">
        <v>29</v>
      </c>
    </row>
    <row r="145" spans="2:19">
      <c r="B145" s="9" t="s">
        <v>195</v>
      </c>
      <c r="C145" s="7" t="s">
        <v>195</v>
      </c>
      <c r="D145" s="5" t="str">
        <f>LRTRIM(CONCATENATE(IF(SUMPRODUCT(-- ISNUMBER(SEARCH({"Auto Number"}, $B145))) &gt; 0, $B145, IF(SUMPRODUCT(-- ISNUMBER(SEARCH({"Lookup","Master-Detail"}, $B145))) &gt; 0,$B145 &amp; "(" &amp; $E145 &amp; ")",IF(SUMPRODUCT(-- ISNUMBER(SEARCH({"Formula","Roll-Up Summary"}, $B145))) &gt; 0,$B145 &amp; " (" &amp; $E145 &amp; ")",IF(SUMPRODUCT(-- ISNUMBER(SEARCH({"Content","Currency","Number","Percent","Text","URL"}, $B145))) &gt; 0,$B145 &amp; "(" &amp; $C145 &amp; ")",$B145)))), "  ", TRIM(IF($S145 = "YES", "(External ID)", "") &amp; " " &amp; IF(SUMPRODUCT(-- ISNUMBER(SEARCH({"Unique","Unique Case Insensitive"}, $R145))) &gt; 0, "(" &amp; $R145 &amp; ")", ""))))</f>
        <v>na</v>
      </c>
      <c r="E145" s="7" t="s">
        <v>195</v>
      </c>
      <c r="F145" s="7" t="s">
        <v>195</v>
      </c>
      <c r="G145" s="7" t="s">
        <v>195</v>
      </c>
      <c r="H145" s="7" t="s">
        <v>195</v>
      </c>
      <c r="I145" s="7" t="s">
        <v>195</v>
      </c>
      <c r="J145" s="7" t="s">
        <v>195</v>
      </c>
      <c r="K145" s="7" t="s">
        <v>195</v>
      </c>
      <c r="L145" s="7" t="s">
        <v>195</v>
      </c>
      <c r="M145" s="7" t="s">
        <v>29</v>
      </c>
      <c r="N145" s="7" t="s">
        <v>29</v>
      </c>
      <c r="O145" s="7" t="s">
        <v>29</v>
      </c>
      <c r="P145" s="7" t="s">
        <v>29</v>
      </c>
      <c r="Q145" s="7" t="s">
        <v>29</v>
      </c>
      <c r="R145" s="7" t="s">
        <v>29</v>
      </c>
      <c r="S145" s="7" t="s">
        <v>29</v>
      </c>
    </row>
    <row r="146" spans="2:19">
      <c r="B146" s="9" t="s">
        <v>195</v>
      </c>
      <c r="C146" s="7" t="s">
        <v>195</v>
      </c>
      <c r="D146" s="5" t="str">
        <f>LRTRIM(CONCATENATE(IF(SUMPRODUCT(-- ISNUMBER(SEARCH({"Auto Number"}, $B146))) &gt; 0, $B146, IF(SUMPRODUCT(-- ISNUMBER(SEARCH({"Lookup","Master-Detail"}, $B146))) &gt; 0,$B146 &amp; "(" &amp; $E146 &amp; ")",IF(SUMPRODUCT(-- ISNUMBER(SEARCH({"Formula","Roll-Up Summary"}, $B146))) &gt; 0,$B146 &amp; " (" &amp; $E146 &amp; ")",IF(SUMPRODUCT(-- ISNUMBER(SEARCH({"Content","Currency","Number","Percent","Text","URL"}, $B146))) &gt; 0,$B146 &amp; "(" &amp; $C146 &amp; ")",$B146)))), "  ", TRIM(IF($S146 = "YES", "(External ID)", "") &amp; " " &amp; IF(SUMPRODUCT(-- ISNUMBER(SEARCH({"Unique","Unique Case Insensitive"}, $R146))) &gt; 0, "(" &amp; $R146 &amp; ")", ""))))</f>
        <v>na</v>
      </c>
      <c r="E146" s="7" t="s">
        <v>195</v>
      </c>
      <c r="F146" s="7" t="s">
        <v>195</v>
      </c>
      <c r="G146" s="7" t="s">
        <v>195</v>
      </c>
      <c r="H146" s="7" t="s">
        <v>195</v>
      </c>
      <c r="I146" s="7" t="s">
        <v>195</v>
      </c>
      <c r="J146" s="7" t="s">
        <v>195</v>
      </c>
      <c r="K146" s="7" t="s">
        <v>195</v>
      </c>
      <c r="L146" s="7" t="s">
        <v>195</v>
      </c>
      <c r="M146" s="7" t="s">
        <v>29</v>
      </c>
      <c r="N146" s="7" t="s">
        <v>29</v>
      </c>
      <c r="O146" s="7" t="s">
        <v>29</v>
      </c>
      <c r="P146" s="7" t="s">
        <v>29</v>
      </c>
      <c r="Q146" s="7" t="s">
        <v>29</v>
      </c>
      <c r="R146" s="7" t="s">
        <v>29</v>
      </c>
      <c r="S146" s="7" t="s">
        <v>29</v>
      </c>
    </row>
    <row r="147" spans="2:19">
      <c r="B147" s="9" t="s">
        <v>195</v>
      </c>
      <c r="C147" s="7" t="s">
        <v>195</v>
      </c>
      <c r="D147" s="5" t="str">
        <f>LRTRIM(CONCATENATE(IF(SUMPRODUCT(-- ISNUMBER(SEARCH({"Auto Number"}, $B147))) &gt; 0, $B147, IF(SUMPRODUCT(-- ISNUMBER(SEARCH({"Lookup","Master-Detail"}, $B147))) &gt; 0,$B147 &amp; "(" &amp; $E147 &amp; ")",IF(SUMPRODUCT(-- ISNUMBER(SEARCH({"Formula","Roll-Up Summary"}, $B147))) &gt; 0,$B147 &amp; " (" &amp; $E147 &amp; ")",IF(SUMPRODUCT(-- ISNUMBER(SEARCH({"Content","Currency","Number","Percent","Text","URL"}, $B147))) &gt; 0,$B147 &amp; "(" &amp; $C147 &amp; ")",$B147)))), "  ", TRIM(IF($S147 = "YES", "(External ID)", "") &amp; " " &amp; IF(SUMPRODUCT(-- ISNUMBER(SEARCH({"Unique","Unique Case Insensitive"}, $R147))) &gt; 0, "(" &amp; $R147 &amp; ")", ""))))</f>
        <v>na</v>
      </c>
      <c r="E147" s="7" t="s">
        <v>195</v>
      </c>
      <c r="F147" s="7" t="s">
        <v>195</v>
      </c>
      <c r="G147" s="7" t="s">
        <v>195</v>
      </c>
      <c r="H147" s="7" t="s">
        <v>195</v>
      </c>
      <c r="I147" s="7" t="s">
        <v>195</v>
      </c>
      <c r="J147" s="7" t="s">
        <v>195</v>
      </c>
      <c r="K147" s="7" t="s">
        <v>195</v>
      </c>
      <c r="L147" s="7" t="s">
        <v>195</v>
      </c>
      <c r="M147" s="7" t="s">
        <v>29</v>
      </c>
      <c r="N147" s="7" t="s">
        <v>29</v>
      </c>
      <c r="O147" s="7" t="s">
        <v>29</v>
      </c>
      <c r="P147" s="7" t="s">
        <v>29</v>
      </c>
      <c r="Q147" s="7" t="s">
        <v>29</v>
      </c>
      <c r="R147" s="7" t="s">
        <v>29</v>
      </c>
      <c r="S147" s="7" t="s">
        <v>29</v>
      </c>
    </row>
    <row r="148" spans="2:19">
      <c r="B148" s="9" t="s">
        <v>195</v>
      </c>
      <c r="C148" s="7" t="s">
        <v>195</v>
      </c>
      <c r="D148" s="5" t="str">
        <f>LRTRIM(CONCATENATE(IF(SUMPRODUCT(-- ISNUMBER(SEARCH({"Auto Number"}, $B148))) &gt; 0, $B148, IF(SUMPRODUCT(-- ISNUMBER(SEARCH({"Lookup","Master-Detail"}, $B148))) &gt; 0,$B148 &amp; "(" &amp; $E148 &amp; ")",IF(SUMPRODUCT(-- ISNUMBER(SEARCH({"Formula","Roll-Up Summary"}, $B148))) &gt; 0,$B148 &amp; " (" &amp; $E148 &amp; ")",IF(SUMPRODUCT(-- ISNUMBER(SEARCH({"Content","Currency","Number","Percent","Text","URL"}, $B148))) &gt; 0,$B148 &amp; "(" &amp; $C148 &amp; ")",$B148)))), "  ", TRIM(IF($S148 = "YES", "(External ID)", "") &amp; " " &amp; IF(SUMPRODUCT(-- ISNUMBER(SEARCH({"Unique","Unique Case Insensitive"}, $R148))) &gt; 0, "(" &amp; $R148 &amp; ")", ""))))</f>
        <v>na</v>
      </c>
      <c r="E148" s="7" t="s">
        <v>195</v>
      </c>
      <c r="F148" s="7" t="s">
        <v>195</v>
      </c>
      <c r="G148" s="7" t="s">
        <v>195</v>
      </c>
      <c r="H148" s="7" t="s">
        <v>195</v>
      </c>
      <c r="I148" s="7" t="s">
        <v>195</v>
      </c>
      <c r="J148" s="7" t="s">
        <v>195</v>
      </c>
      <c r="K148" s="7" t="s">
        <v>195</v>
      </c>
      <c r="L148" s="7" t="s">
        <v>195</v>
      </c>
      <c r="M148" s="7" t="s">
        <v>29</v>
      </c>
      <c r="N148" s="7" t="s">
        <v>29</v>
      </c>
      <c r="O148" s="7" t="s">
        <v>29</v>
      </c>
      <c r="P148" s="7" t="s">
        <v>29</v>
      </c>
      <c r="Q148" s="7" t="s">
        <v>29</v>
      </c>
      <c r="R148" s="7" t="s">
        <v>29</v>
      </c>
      <c r="S148" s="7" t="s">
        <v>29</v>
      </c>
    </row>
    <row r="149" spans="2:19">
      <c r="B149" s="9" t="s">
        <v>195</v>
      </c>
      <c r="C149" s="7" t="s">
        <v>195</v>
      </c>
      <c r="D149" s="5" t="str">
        <f>LRTRIM(CONCATENATE(IF(SUMPRODUCT(-- ISNUMBER(SEARCH({"Auto Number"}, $B149))) &gt; 0, $B149, IF(SUMPRODUCT(-- ISNUMBER(SEARCH({"Lookup","Master-Detail"}, $B149))) &gt; 0,$B149 &amp; "(" &amp; $E149 &amp; ")",IF(SUMPRODUCT(-- ISNUMBER(SEARCH({"Formula","Roll-Up Summary"}, $B149))) &gt; 0,$B149 &amp; " (" &amp; $E149 &amp; ")",IF(SUMPRODUCT(-- ISNUMBER(SEARCH({"Content","Currency","Number","Percent","Text","URL"}, $B149))) &gt; 0,$B149 &amp; "(" &amp; $C149 &amp; ")",$B149)))), "  ", TRIM(IF($S149 = "YES", "(External ID)", "") &amp; " " &amp; IF(SUMPRODUCT(-- ISNUMBER(SEARCH({"Unique","Unique Case Insensitive"}, $R149))) &gt; 0, "(" &amp; $R149 &amp; ")", ""))))</f>
        <v>na</v>
      </c>
      <c r="E149" s="7" t="s">
        <v>195</v>
      </c>
      <c r="F149" s="7" t="s">
        <v>195</v>
      </c>
      <c r="G149" s="7" t="s">
        <v>195</v>
      </c>
      <c r="H149" s="7" t="s">
        <v>195</v>
      </c>
      <c r="I149" s="7" t="s">
        <v>195</v>
      </c>
      <c r="J149" s="7" t="s">
        <v>195</v>
      </c>
      <c r="K149" s="7" t="s">
        <v>195</v>
      </c>
      <c r="L149" s="7" t="s">
        <v>195</v>
      </c>
      <c r="M149" s="7" t="s">
        <v>29</v>
      </c>
      <c r="N149" s="7" t="s">
        <v>29</v>
      </c>
      <c r="O149" s="7" t="s">
        <v>29</v>
      </c>
      <c r="P149" s="7" t="s">
        <v>29</v>
      </c>
      <c r="Q149" s="7" t="s">
        <v>29</v>
      </c>
      <c r="R149" s="7" t="s">
        <v>29</v>
      </c>
      <c r="S149" s="7" t="s">
        <v>29</v>
      </c>
    </row>
    <row r="150" spans="2:19">
      <c r="B150" s="9" t="s">
        <v>195</v>
      </c>
      <c r="C150" s="7" t="s">
        <v>195</v>
      </c>
      <c r="D150" s="5" t="str">
        <f>LRTRIM(CONCATENATE(IF(SUMPRODUCT(-- ISNUMBER(SEARCH({"Auto Number"}, $B150))) &gt; 0, $B150, IF(SUMPRODUCT(-- ISNUMBER(SEARCH({"Lookup","Master-Detail"}, $B150))) &gt; 0,$B150 &amp; "(" &amp; $E150 &amp; ")",IF(SUMPRODUCT(-- ISNUMBER(SEARCH({"Formula","Roll-Up Summary"}, $B150))) &gt; 0,$B150 &amp; " (" &amp; $E150 &amp; ")",IF(SUMPRODUCT(-- ISNUMBER(SEARCH({"Content","Currency","Number","Percent","Text","URL"}, $B150))) &gt; 0,$B150 &amp; "(" &amp; $C150 &amp; ")",$B150)))), "  ", TRIM(IF($S150 = "YES", "(External ID)", "") &amp; " " &amp; IF(SUMPRODUCT(-- ISNUMBER(SEARCH({"Unique","Unique Case Insensitive"}, $R150))) &gt; 0, "(" &amp; $R150 &amp; ")", ""))))</f>
        <v>na</v>
      </c>
      <c r="E150" s="7" t="s">
        <v>195</v>
      </c>
      <c r="F150" s="7" t="s">
        <v>195</v>
      </c>
      <c r="G150" s="7" t="s">
        <v>195</v>
      </c>
      <c r="H150" s="7" t="s">
        <v>195</v>
      </c>
      <c r="I150" s="7" t="s">
        <v>195</v>
      </c>
      <c r="J150" s="7" t="s">
        <v>195</v>
      </c>
      <c r="K150" s="7" t="s">
        <v>195</v>
      </c>
      <c r="L150" s="7" t="s">
        <v>195</v>
      </c>
      <c r="M150" s="7" t="s">
        <v>29</v>
      </c>
      <c r="N150" s="7" t="s">
        <v>29</v>
      </c>
      <c r="O150" s="7" t="s">
        <v>29</v>
      </c>
      <c r="P150" s="7" t="s">
        <v>29</v>
      </c>
      <c r="Q150" s="7" t="s">
        <v>29</v>
      </c>
      <c r="R150" s="7" t="s">
        <v>29</v>
      </c>
      <c r="S150" s="7" t="s">
        <v>29</v>
      </c>
    </row>
    <row r="151" spans="2:19">
      <c r="B151" s="9" t="s">
        <v>195</v>
      </c>
      <c r="C151" s="7" t="s">
        <v>195</v>
      </c>
      <c r="D151" s="5" t="str">
        <f>LRTRIM(CONCATENATE(IF(SUMPRODUCT(-- ISNUMBER(SEARCH({"Auto Number"}, $B151))) &gt; 0, $B151, IF(SUMPRODUCT(-- ISNUMBER(SEARCH({"Lookup","Master-Detail"}, $B151))) &gt; 0,$B151 &amp; "(" &amp; $E151 &amp; ")",IF(SUMPRODUCT(-- ISNUMBER(SEARCH({"Formula","Roll-Up Summary"}, $B151))) &gt; 0,$B151 &amp; " (" &amp; $E151 &amp; ")",IF(SUMPRODUCT(-- ISNUMBER(SEARCH({"Content","Currency","Number","Percent","Text","URL"}, $B151))) &gt; 0,$B151 &amp; "(" &amp; $C151 &amp; ")",$B151)))), "  ", TRIM(IF($S151 = "YES", "(External ID)", "") &amp; " " &amp; IF(SUMPRODUCT(-- ISNUMBER(SEARCH({"Unique","Unique Case Insensitive"}, $R151))) &gt; 0, "(" &amp; $R151 &amp; ")", ""))))</f>
        <v>na</v>
      </c>
      <c r="E151" s="7" t="s">
        <v>195</v>
      </c>
      <c r="F151" s="7" t="s">
        <v>195</v>
      </c>
      <c r="G151" s="7" t="s">
        <v>195</v>
      </c>
      <c r="H151" s="7" t="s">
        <v>195</v>
      </c>
      <c r="I151" s="7" t="s">
        <v>195</v>
      </c>
      <c r="J151" s="7" t="s">
        <v>195</v>
      </c>
      <c r="K151" s="7" t="s">
        <v>195</v>
      </c>
      <c r="L151" s="7" t="s">
        <v>195</v>
      </c>
      <c r="M151" s="7" t="s">
        <v>29</v>
      </c>
      <c r="N151" s="7" t="s">
        <v>29</v>
      </c>
      <c r="O151" s="7" t="s">
        <v>29</v>
      </c>
      <c r="P151" s="7" t="s">
        <v>29</v>
      </c>
      <c r="Q151" s="7" t="s">
        <v>29</v>
      </c>
      <c r="R151" s="7" t="s">
        <v>29</v>
      </c>
      <c r="S151" s="7" t="s">
        <v>29</v>
      </c>
    </row>
    <row r="152" spans="2:19">
      <c r="B152" s="9" t="s">
        <v>195</v>
      </c>
      <c r="C152" s="7" t="s">
        <v>195</v>
      </c>
      <c r="D152" s="5" t="str">
        <f>LRTRIM(CONCATENATE(IF(SUMPRODUCT(-- ISNUMBER(SEARCH({"Auto Number"}, $B152))) &gt; 0, $B152, IF(SUMPRODUCT(-- ISNUMBER(SEARCH({"Lookup","Master-Detail"}, $B152))) &gt; 0,$B152 &amp; "(" &amp; $E152 &amp; ")",IF(SUMPRODUCT(-- ISNUMBER(SEARCH({"Formula","Roll-Up Summary"}, $B152))) &gt; 0,$B152 &amp; " (" &amp; $E152 &amp; ")",IF(SUMPRODUCT(-- ISNUMBER(SEARCH({"Content","Currency","Number","Percent","Text","URL"}, $B152))) &gt; 0,$B152 &amp; "(" &amp; $C152 &amp; ")",$B152)))), "  ", TRIM(IF($S152 = "YES", "(External ID)", "") &amp; " " &amp; IF(SUMPRODUCT(-- ISNUMBER(SEARCH({"Unique","Unique Case Insensitive"}, $R152))) &gt; 0, "(" &amp; $R152 &amp; ")", ""))))</f>
        <v>na</v>
      </c>
      <c r="E152" s="7" t="s">
        <v>195</v>
      </c>
      <c r="F152" s="7" t="s">
        <v>195</v>
      </c>
      <c r="G152" s="7" t="s">
        <v>195</v>
      </c>
      <c r="H152" s="7" t="s">
        <v>195</v>
      </c>
      <c r="I152" s="7" t="s">
        <v>195</v>
      </c>
      <c r="J152" s="7" t="s">
        <v>195</v>
      </c>
      <c r="K152" s="7" t="s">
        <v>195</v>
      </c>
      <c r="L152" s="7" t="s">
        <v>195</v>
      </c>
      <c r="M152" s="7" t="s">
        <v>29</v>
      </c>
      <c r="N152" s="7" t="s">
        <v>29</v>
      </c>
      <c r="O152" s="7" t="s">
        <v>29</v>
      </c>
      <c r="P152" s="7" t="s">
        <v>29</v>
      </c>
      <c r="Q152" s="7" t="s">
        <v>29</v>
      </c>
      <c r="R152" s="7" t="s">
        <v>29</v>
      </c>
      <c r="S152" s="7" t="s">
        <v>29</v>
      </c>
    </row>
    <row r="153" spans="2:19">
      <c r="B153" s="9" t="s">
        <v>195</v>
      </c>
      <c r="C153" s="7" t="s">
        <v>195</v>
      </c>
      <c r="D153" s="5" t="str">
        <f>LRTRIM(CONCATENATE(IF(SUMPRODUCT(-- ISNUMBER(SEARCH({"Auto Number"}, $B153))) &gt; 0, $B153, IF(SUMPRODUCT(-- ISNUMBER(SEARCH({"Lookup","Master-Detail"}, $B153))) &gt; 0,$B153 &amp; "(" &amp; $E153 &amp; ")",IF(SUMPRODUCT(-- ISNUMBER(SEARCH({"Formula","Roll-Up Summary"}, $B153))) &gt; 0,$B153 &amp; " (" &amp; $E153 &amp; ")",IF(SUMPRODUCT(-- ISNUMBER(SEARCH({"Content","Currency","Number","Percent","Text","URL"}, $B153))) &gt; 0,$B153 &amp; "(" &amp; $C153 &amp; ")",$B153)))), "  ", TRIM(IF($S153 = "YES", "(External ID)", "") &amp; " " &amp; IF(SUMPRODUCT(-- ISNUMBER(SEARCH({"Unique","Unique Case Insensitive"}, $R153))) &gt; 0, "(" &amp; $R153 &amp; ")", ""))))</f>
        <v>na</v>
      </c>
      <c r="E153" s="7" t="s">
        <v>195</v>
      </c>
      <c r="F153" s="7" t="s">
        <v>195</v>
      </c>
      <c r="G153" s="7" t="s">
        <v>195</v>
      </c>
      <c r="H153" s="7" t="s">
        <v>195</v>
      </c>
      <c r="I153" s="7" t="s">
        <v>195</v>
      </c>
      <c r="J153" s="7" t="s">
        <v>195</v>
      </c>
      <c r="K153" s="7" t="s">
        <v>195</v>
      </c>
      <c r="L153" s="7" t="s">
        <v>195</v>
      </c>
      <c r="M153" s="7" t="s">
        <v>29</v>
      </c>
      <c r="N153" s="7" t="s">
        <v>29</v>
      </c>
      <c r="O153" s="7" t="s">
        <v>29</v>
      </c>
      <c r="P153" s="7" t="s">
        <v>29</v>
      </c>
      <c r="Q153" s="7" t="s">
        <v>29</v>
      </c>
      <c r="R153" s="7" t="s">
        <v>29</v>
      </c>
      <c r="S153" s="7" t="s">
        <v>29</v>
      </c>
    </row>
    <row r="154" spans="2:19">
      <c r="B154" s="9" t="s">
        <v>195</v>
      </c>
      <c r="C154" s="7" t="s">
        <v>195</v>
      </c>
      <c r="D154" s="5" t="str">
        <f>LRTRIM(CONCATENATE(IF(SUMPRODUCT(-- ISNUMBER(SEARCH({"Auto Number"}, $B154))) &gt; 0, $B154, IF(SUMPRODUCT(-- ISNUMBER(SEARCH({"Lookup","Master-Detail"}, $B154))) &gt; 0,$B154 &amp; "(" &amp; $E154 &amp; ")",IF(SUMPRODUCT(-- ISNUMBER(SEARCH({"Formula","Roll-Up Summary"}, $B154))) &gt; 0,$B154 &amp; " (" &amp; $E154 &amp; ")",IF(SUMPRODUCT(-- ISNUMBER(SEARCH({"Content","Currency","Number","Percent","Text","URL"}, $B154))) &gt; 0,$B154 &amp; "(" &amp; $C154 &amp; ")",$B154)))), "  ", TRIM(IF($S154 = "YES", "(External ID)", "") &amp; " " &amp; IF(SUMPRODUCT(-- ISNUMBER(SEARCH({"Unique","Unique Case Insensitive"}, $R154))) &gt; 0, "(" &amp; $R154 &amp; ")", ""))))</f>
        <v>na</v>
      </c>
      <c r="E154" s="7" t="s">
        <v>195</v>
      </c>
      <c r="F154" s="7" t="s">
        <v>195</v>
      </c>
      <c r="G154" s="7" t="s">
        <v>195</v>
      </c>
      <c r="H154" s="7" t="s">
        <v>195</v>
      </c>
      <c r="I154" s="7" t="s">
        <v>195</v>
      </c>
      <c r="J154" s="7" t="s">
        <v>195</v>
      </c>
      <c r="K154" s="7" t="s">
        <v>195</v>
      </c>
      <c r="L154" s="7" t="s">
        <v>195</v>
      </c>
      <c r="M154" s="7" t="s">
        <v>29</v>
      </c>
      <c r="N154" s="7" t="s">
        <v>29</v>
      </c>
      <c r="O154" s="7" t="s">
        <v>29</v>
      </c>
      <c r="P154" s="7" t="s">
        <v>29</v>
      </c>
      <c r="Q154" s="7" t="s">
        <v>29</v>
      </c>
      <c r="R154" s="7" t="s">
        <v>29</v>
      </c>
      <c r="S154" s="7" t="s">
        <v>29</v>
      </c>
    </row>
    <row r="155" spans="2:19">
      <c r="B155" s="9" t="s">
        <v>195</v>
      </c>
      <c r="C155" s="7" t="s">
        <v>195</v>
      </c>
      <c r="D155" s="5" t="str">
        <f>LRTRIM(CONCATENATE(IF(SUMPRODUCT(-- ISNUMBER(SEARCH({"Auto Number"}, $B155))) &gt; 0, $B155, IF(SUMPRODUCT(-- ISNUMBER(SEARCH({"Lookup","Master-Detail"}, $B155))) &gt; 0,$B155 &amp; "(" &amp; $E155 &amp; ")",IF(SUMPRODUCT(-- ISNUMBER(SEARCH({"Formula","Roll-Up Summary"}, $B155))) &gt; 0,$B155 &amp; " (" &amp; $E155 &amp; ")",IF(SUMPRODUCT(-- ISNUMBER(SEARCH({"Content","Currency","Number","Percent","Text","URL"}, $B155))) &gt; 0,$B155 &amp; "(" &amp; $C155 &amp; ")",$B155)))), "  ", TRIM(IF($S155 = "YES", "(External ID)", "") &amp; " " &amp; IF(SUMPRODUCT(-- ISNUMBER(SEARCH({"Unique","Unique Case Insensitive"}, $R155))) &gt; 0, "(" &amp; $R155 &amp; ")", ""))))</f>
        <v>na</v>
      </c>
      <c r="E155" s="7" t="s">
        <v>195</v>
      </c>
      <c r="F155" s="7" t="s">
        <v>195</v>
      </c>
      <c r="G155" s="7" t="s">
        <v>195</v>
      </c>
      <c r="H155" s="7" t="s">
        <v>195</v>
      </c>
      <c r="I155" s="7" t="s">
        <v>195</v>
      </c>
      <c r="J155" s="7" t="s">
        <v>195</v>
      </c>
      <c r="K155" s="7" t="s">
        <v>195</v>
      </c>
      <c r="L155" s="7" t="s">
        <v>195</v>
      </c>
      <c r="M155" s="7" t="s">
        <v>29</v>
      </c>
      <c r="N155" s="7" t="s">
        <v>29</v>
      </c>
      <c r="O155" s="7" t="s">
        <v>29</v>
      </c>
      <c r="P155" s="7" t="s">
        <v>29</v>
      </c>
      <c r="Q155" s="7" t="s">
        <v>29</v>
      </c>
      <c r="R155" s="7" t="s">
        <v>29</v>
      </c>
      <c r="S155" s="7" t="s">
        <v>29</v>
      </c>
    </row>
    <row r="156" spans="2:19">
      <c r="B156" s="9" t="s">
        <v>195</v>
      </c>
      <c r="C156" s="7" t="s">
        <v>195</v>
      </c>
      <c r="D156" s="5" t="str">
        <f>LRTRIM(CONCATENATE(IF(SUMPRODUCT(-- ISNUMBER(SEARCH({"Auto Number"}, $B156))) &gt; 0, $B156, IF(SUMPRODUCT(-- ISNUMBER(SEARCH({"Lookup","Master-Detail"}, $B156))) &gt; 0,$B156 &amp; "(" &amp; $E156 &amp; ")",IF(SUMPRODUCT(-- ISNUMBER(SEARCH({"Formula","Roll-Up Summary"}, $B156))) &gt; 0,$B156 &amp; " (" &amp; $E156 &amp; ")",IF(SUMPRODUCT(-- ISNUMBER(SEARCH({"Content","Currency","Number","Percent","Text","URL"}, $B156))) &gt; 0,$B156 &amp; "(" &amp; $C156 &amp; ")",$B156)))), "  ", TRIM(IF($S156 = "YES", "(External ID)", "") &amp; " " &amp; IF(SUMPRODUCT(-- ISNUMBER(SEARCH({"Unique","Unique Case Insensitive"}, $R156))) &gt; 0, "(" &amp; $R156 &amp; ")", ""))))</f>
        <v>na</v>
      </c>
      <c r="E156" s="7" t="s">
        <v>195</v>
      </c>
      <c r="F156" s="7" t="s">
        <v>195</v>
      </c>
      <c r="G156" s="7" t="s">
        <v>195</v>
      </c>
      <c r="H156" s="7" t="s">
        <v>195</v>
      </c>
      <c r="I156" s="7" t="s">
        <v>195</v>
      </c>
      <c r="J156" s="7" t="s">
        <v>195</v>
      </c>
      <c r="K156" s="7" t="s">
        <v>195</v>
      </c>
      <c r="L156" s="7" t="s">
        <v>195</v>
      </c>
      <c r="M156" s="7" t="s">
        <v>29</v>
      </c>
      <c r="N156" s="7" t="s">
        <v>29</v>
      </c>
      <c r="O156" s="7" t="s">
        <v>29</v>
      </c>
      <c r="P156" s="7" t="s">
        <v>29</v>
      </c>
      <c r="Q156" s="7" t="s">
        <v>29</v>
      </c>
      <c r="R156" s="7" t="s">
        <v>29</v>
      </c>
      <c r="S156" s="7" t="s">
        <v>29</v>
      </c>
    </row>
    <row r="157" spans="2:19">
      <c r="B157" s="9" t="s">
        <v>195</v>
      </c>
      <c r="C157" s="7" t="s">
        <v>195</v>
      </c>
      <c r="D157" s="5" t="str">
        <f>LRTRIM(CONCATENATE(IF(SUMPRODUCT(-- ISNUMBER(SEARCH({"Auto Number"}, $B157))) &gt; 0, $B157, IF(SUMPRODUCT(-- ISNUMBER(SEARCH({"Lookup","Master-Detail"}, $B157))) &gt; 0,$B157 &amp; "(" &amp; $E157 &amp; ")",IF(SUMPRODUCT(-- ISNUMBER(SEARCH({"Formula","Roll-Up Summary"}, $B157))) &gt; 0,$B157 &amp; " (" &amp; $E157 &amp; ")",IF(SUMPRODUCT(-- ISNUMBER(SEARCH({"Content","Currency","Number","Percent","Text","URL"}, $B157))) &gt; 0,$B157 &amp; "(" &amp; $C157 &amp; ")",$B157)))), "  ", TRIM(IF($S157 = "YES", "(External ID)", "") &amp; " " &amp; IF(SUMPRODUCT(-- ISNUMBER(SEARCH({"Unique","Unique Case Insensitive"}, $R157))) &gt; 0, "(" &amp; $R157 &amp; ")", ""))))</f>
        <v>na</v>
      </c>
      <c r="E157" s="7" t="s">
        <v>195</v>
      </c>
      <c r="F157" s="7" t="s">
        <v>195</v>
      </c>
      <c r="G157" s="7" t="s">
        <v>195</v>
      </c>
      <c r="H157" s="7" t="s">
        <v>195</v>
      </c>
      <c r="I157" s="7" t="s">
        <v>195</v>
      </c>
      <c r="J157" s="7" t="s">
        <v>195</v>
      </c>
      <c r="K157" s="7" t="s">
        <v>195</v>
      </c>
      <c r="L157" s="7" t="s">
        <v>195</v>
      </c>
      <c r="M157" s="7" t="s">
        <v>29</v>
      </c>
      <c r="N157" s="7" t="s">
        <v>29</v>
      </c>
      <c r="O157" s="7" t="s">
        <v>29</v>
      </c>
      <c r="P157" s="7" t="s">
        <v>29</v>
      </c>
      <c r="Q157" s="7" t="s">
        <v>29</v>
      </c>
      <c r="R157" s="7" t="s">
        <v>29</v>
      </c>
      <c r="S157" s="7" t="s">
        <v>29</v>
      </c>
    </row>
    <row r="158" spans="2:19">
      <c r="B158" s="9" t="s">
        <v>195</v>
      </c>
      <c r="C158" s="7" t="s">
        <v>195</v>
      </c>
      <c r="D158" s="5" t="str">
        <f>LRTRIM(CONCATENATE(IF(SUMPRODUCT(-- ISNUMBER(SEARCH({"Auto Number"}, $B158))) &gt; 0, $B158, IF(SUMPRODUCT(-- ISNUMBER(SEARCH({"Lookup","Master-Detail"}, $B158))) &gt; 0,$B158 &amp; "(" &amp; $E158 &amp; ")",IF(SUMPRODUCT(-- ISNUMBER(SEARCH({"Formula","Roll-Up Summary"}, $B158))) &gt; 0,$B158 &amp; " (" &amp; $E158 &amp; ")",IF(SUMPRODUCT(-- ISNUMBER(SEARCH({"Content","Currency","Number","Percent","Text","URL"}, $B158))) &gt; 0,$B158 &amp; "(" &amp; $C158 &amp; ")",$B158)))), "  ", TRIM(IF($S158 = "YES", "(External ID)", "") &amp; " " &amp; IF(SUMPRODUCT(-- ISNUMBER(SEARCH({"Unique","Unique Case Insensitive"}, $R158))) &gt; 0, "(" &amp; $R158 &amp; ")", ""))))</f>
        <v>na</v>
      </c>
      <c r="E158" s="7" t="s">
        <v>195</v>
      </c>
      <c r="F158" s="7" t="s">
        <v>195</v>
      </c>
      <c r="G158" s="7" t="s">
        <v>195</v>
      </c>
      <c r="H158" s="7" t="s">
        <v>195</v>
      </c>
      <c r="I158" s="7" t="s">
        <v>195</v>
      </c>
      <c r="J158" s="7" t="s">
        <v>195</v>
      </c>
      <c r="K158" s="7" t="s">
        <v>195</v>
      </c>
      <c r="L158" s="7" t="s">
        <v>195</v>
      </c>
      <c r="M158" s="7" t="s">
        <v>29</v>
      </c>
      <c r="N158" s="7" t="s">
        <v>29</v>
      </c>
      <c r="O158" s="7" t="s">
        <v>29</v>
      </c>
      <c r="P158" s="7" t="s">
        <v>29</v>
      </c>
      <c r="Q158" s="7" t="s">
        <v>29</v>
      </c>
      <c r="R158" s="7" t="s">
        <v>29</v>
      </c>
      <c r="S158" s="7" t="s">
        <v>29</v>
      </c>
    </row>
    <row r="159" spans="2:19">
      <c r="B159" s="9" t="s">
        <v>195</v>
      </c>
      <c r="C159" s="7" t="s">
        <v>195</v>
      </c>
      <c r="D159" s="5" t="str">
        <f>LRTRIM(CONCATENATE(IF(SUMPRODUCT(-- ISNUMBER(SEARCH({"Auto Number"}, $B159))) &gt; 0, $B159, IF(SUMPRODUCT(-- ISNUMBER(SEARCH({"Lookup","Master-Detail"}, $B159))) &gt; 0,$B159 &amp; "(" &amp; $E159 &amp; ")",IF(SUMPRODUCT(-- ISNUMBER(SEARCH({"Formula","Roll-Up Summary"}, $B159))) &gt; 0,$B159 &amp; " (" &amp; $E159 &amp; ")",IF(SUMPRODUCT(-- ISNUMBER(SEARCH({"Content","Currency","Number","Percent","Text","URL"}, $B159))) &gt; 0,$B159 &amp; "(" &amp; $C159 &amp; ")",$B159)))), "  ", TRIM(IF($S159 = "YES", "(External ID)", "") &amp; " " &amp; IF(SUMPRODUCT(-- ISNUMBER(SEARCH({"Unique","Unique Case Insensitive"}, $R159))) &gt; 0, "(" &amp; $R159 &amp; ")", ""))))</f>
        <v>na</v>
      </c>
      <c r="E159" s="7" t="s">
        <v>195</v>
      </c>
      <c r="F159" s="7" t="s">
        <v>195</v>
      </c>
      <c r="G159" s="7" t="s">
        <v>195</v>
      </c>
      <c r="H159" s="7" t="s">
        <v>195</v>
      </c>
      <c r="I159" s="7" t="s">
        <v>195</v>
      </c>
      <c r="J159" s="7" t="s">
        <v>195</v>
      </c>
      <c r="K159" s="7" t="s">
        <v>195</v>
      </c>
      <c r="L159" s="7" t="s">
        <v>195</v>
      </c>
      <c r="M159" s="7" t="s">
        <v>29</v>
      </c>
      <c r="N159" s="7" t="s">
        <v>29</v>
      </c>
      <c r="O159" s="7" t="s">
        <v>29</v>
      </c>
      <c r="P159" s="7" t="s">
        <v>29</v>
      </c>
      <c r="Q159" s="7" t="s">
        <v>29</v>
      </c>
      <c r="R159" s="7" t="s">
        <v>29</v>
      </c>
      <c r="S159" s="7" t="s">
        <v>29</v>
      </c>
    </row>
    <row r="160" spans="2:19">
      <c r="B160" s="9" t="s">
        <v>195</v>
      </c>
      <c r="C160" s="7" t="s">
        <v>195</v>
      </c>
      <c r="D160" s="5" t="str">
        <f>LRTRIM(CONCATENATE(IF(SUMPRODUCT(-- ISNUMBER(SEARCH({"Auto Number"}, $B160))) &gt; 0, $B160, IF(SUMPRODUCT(-- ISNUMBER(SEARCH({"Lookup","Master-Detail"}, $B160))) &gt; 0,$B160 &amp; "(" &amp; $E160 &amp; ")",IF(SUMPRODUCT(-- ISNUMBER(SEARCH({"Formula","Roll-Up Summary"}, $B160))) &gt; 0,$B160 &amp; " (" &amp; $E160 &amp; ")",IF(SUMPRODUCT(-- ISNUMBER(SEARCH({"Content","Currency","Number","Percent","Text","URL"}, $B160))) &gt; 0,$B160 &amp; "(" &amp; $C160 &amp; ")",$B160)))), "  ", TRIM(IF($S160 = "YES", "(External ID)", "") &amp; " " &amp; IF(SUMPRODUCT(-- ISNUMBER(SEARCH({"Unique","Unique Case Insensitive"}, $R160))) &gt; 0, "(" &amp; $R160 &amp; ")", ""))))</f>
        <v>na</v>
      </c>
      <c r="E160" s="7" t="s">
        <v>195</v>
      </c>
      <c r="F160" s="7" t="s">
        <v>195</v>
      </c>
      <c r="G160" s="7" t="s">
        <v>195</v>
      </c>
      <c r="H160" s="7" t="s">
        <v>195</v>
      </c>
      <c r="I160" s="7" t="s">
        <v>195</v>
      </c>
      <c r="J160" s="7" t="s">
        <v>195</v>
      </c>
      <c r="K160" s="7" t="s">
        <v>195</v>
      </c>
      <c r="L160" s="7" t="s">
        <v>195</v>
      </c>
      <c r="M160" s="7" t="s">
        <v>29</v>
      </c>
      <c r="N160" s="7" t="s">
        <v>29</v>
      </c>
      <c r="O160" s="7" t="s">
        <v>29</v>
      </c>
      <c r="P160" s="7" t="s">
        <v>29</v>
      </c>
      <c r="Q160" s="7" t="s">
        <v>29</v>
      </c>
      <c r="R160" s="7" t="s">
        <v>29</v>
      </c>
      <c r="S160" s="7" t="s">
        <v>29</v>
      </c>
    </row>
    <row r="161" spans="2:19">
      <c r="B161" s="9" t="s">
        <v>195</v>
      </c>
      <c r="C161" s="7" t="s">
        <v>195</v>
      </c>
      <c r="D161" s="5" t="str">
        <f>LRTRIM(CONCATENATE(IF(SUMPRODUCT(-- ISNUMBER(SEARCH({"Auto Number"}, $B161))) &gt; 0, $B161, IF(SUMPRODUCT(-- ISNUMBER(SEARCH({"Lookup","Master-Detail"}, $B161))) &gt; 0,$B161 &amp; "(" &amp; $E161 &amp; ")",IF(SUMPRODUCT(-- ISNUMBER(SEARCH({"Formula","Roll-Up Summary"}, $B161))) &gt; 0,$B161 &amp; " (" &amp; $E161 &amp; ")",IF(SUMPRODUCT(-- ISNUMBER(SEARCH({"Content","Currency","Number","Percent","Text","URL"}, $B161))) &gt; 0,$B161 &amp; "(" &amp; $C161 &amp; ")",$B161)))), "  ", TRIM(IF($S161 = "YES", "(External ID)", "") &amp; " " &amp; IF(SUMPRODUCT(-- ISNUMBER(SEARCH({"Unique","Unique Case Insensitive"}, $R161))) &gt; 0, "(" &amp; $R161 &amp; ")", ""))))</f>
        <v>na</v>
      </c>
      <c r="E161" s="7" t="s">
        <v>195</v>
      </c>
      <c r="F161" s="7" t="s">
        <v>195</v>
      </c>
      <c r="G161" s="7" t="s">
        <v>195</v>
      </c>
      <c r="H161" s="7" t="s">
        <v>195</v>
      </c>
      <c r="I161" s="7" t="s">
        <v>195</v>
      </c>
      <c r="J161" s="7" t="s">
        <v>195</v>
      </c>
      <c r="K161" s="7" t="s">
        <v>195</v>
      </c>
      <c r="L161" s="7" t="s">
        <v>195</v>
      </c>
      <c r="M161" s="7" t="s">
        <v>29</v>
      </c>
      <c r="N161" s="7" t="s">
        <v>29</v>
      </c>
      <c r="O161" s="7" t="s">
        <v>29</v>
      </c>
      <c r="P161" s="7" t="s">
        <v>29</v>
      </c>
      <c r="Q161" s="7" t="s">
        <v>29</v>
      </c>
      <c r="R161" s="7" t="s">
        <v>29</v>
      </c>
      <c r="S161" s="7" t="s">
        <v>29</v>
      </c>
    </row>
    <row r="162" spans="2:19">
      <c r="B162" s="9" t="s">
        <v>195</v>
      </c>
      <c r="C162" s="7" t="s">
        <v>195</v>
      </c>
      <c r="D162" s="5" t="str">
        <f>LRTRIM(CONCATENATE(IF(SUMPRODUCT(-- ISNUMBER(SEARCH({"Auto Number"}, $B162))) &gt; 0, $B162, IF(SUMPRODUCT(-- ISNUMBER(SEARCH({"Lookup","Master-Detail"}, $B162))) &gt; 0,$B162 &amp; "(" &amp; $E162 &amp; ")",IF(SUMPRODUCT(-- ISNUMBER(SEARCH({"Formula","Roll-Up Summary"}, $B162))) &gt; 0,$B162 &amp; " (" &amp; $E162 &amp; ")",IF(SUMPRODUCT(-- ISNUMBER(SEARCH({"Content","Currency","Number","Percent","Text","URL"}, $B162))) &gt; 0,$B162 &amp; "(" &amp; $C162 &amp; ")",$B162)))), "  ", TRIM(IF($S162 = "YES", "(External ID)", "") &amp; " " &amp; IF(SUMPRODUCT(-- ISNUMBER(SEARCH({"Unique","Unique Case Insensitive"}, $R162))) &gt; 0, "(" &amp; $R162 &amp; ")", ""))))</f>
        <v>na</v>
      </c>
      <c r="E162" s="7" t="s">
        <v>195</v>
      </c>
      <c r="F162" s="7" t="s">
        <v>195</v>
      </c>
      <c r="G162" s="7" t="s">
        <v>195</v>
      </c>
      <c r="H162" s="7" t="s">
        <v>195</v>
      </c>
      <c r="I162" s="7" t="s">
        <v>195</v>
      </c>
      <c r="J162" s="7" t="s">
        <v>195</v>
      </c>
      <c r="K162" s="7" t="s">
        <v>195</v>
      </c>
      <c r="L162" s="7" t="s">
        <v>195</v>
      </c>
      <c r="M162" s="7" t="s">
        <v>29</v>
      </c>
      <c r="N162" s="7" t="s">
        <v>29</v>
      </c>
      <c r="O162" s="7" t="s">
        <v>29</v>
      </c>
      <c r="P162" s="7" t="s">
        <v>29</v>
      </c>
      <c r="Q162" s="7" t="s">
        <v>29</v>
      </c>
      <c r="R162" s="7" t="s">
        <v>29</v>
      </c>
      <c r="S162" s="7" t="s">
        <v>29</v>
      </c>
    </row>
    <row r="163" spans="2:19">
      <c r="B163" s="9" t="s">
        <v>195</v>
      </c>
      <c r="C163" s="7" t="s">
        <v>195</v>
      </c>
      <c r="D163" s="5" t="str">
        <f>LRTRIM(CONCATENATE(IF(SUMPRODUCT(-- ISNUMBER(SEARCH({"Auto Number"}, $B163))) &gt; 0, $B163, IF(SUMPRODUCT(-- ISNUMBER(SEARCH({"Lookup","Master-Detail"}, $B163))) &gt; 0,$B163 &amp; "(" &amp; $E163 &amp; ")",IF(SUMPRODUCT(-- ISNUMBER(SEARCH({"Formula","Roll-Up Summary"}, $B163))) &gt; 0,$B163 &amp; " (" &amp; $E163 &amp; ")",IF(SUMPRODUCT(-- ISNUMBER(SEARCH({"Content","Currency","Number","Percent","Text","URL"}, $B163))) &gt; 0,$B163 &amp; "(" &amp; $C163 &amp; ")",$B163)))), "  ", TRIM(IF($S163 = "YES", "(External ID)", "") &amp; " " &amp; IF(SUMPRODUCT(-- ISNUMBER(SEARCH({"Unique","Unique Case Insensitive"}, $R163))) &gt; 0, "(" &amp; $R163 &amp; ")", ""))))</f>
        <v>na</v>
      </c>
      <c r="E163" s="7" t="s">
        <v>195</v>
      </c>
      <c r="F163" s="7" t="s">
        <v>195</v>
      </c>
      <c r="G163" s="7" t="s">
        <v>195</v>
      </c>
      <c r="H163" s="7" t="s">
        <v>195</v>
      </c>
      <c r="I163" s="7" t="s">
        <v>195</v>
      </c>
      <c r="J163" s="7" t="s">
        <v>195</v>
      </c>
      <c r="K163" s="7" t="s">
        <v>195</v>
      </c>
      <c r="L163" s="7" t="s">
        <v>195</v>
      </c>
      <c r="M163" s="7" t="s">
        <v>29</v>
      </c>
      <c r="N163" s="7" t="s">
        <v>29</v>
      </c>
      <c r="O163" s="7" t="s">
        <v>29</v>
      </c>
      <c r="P163" s="7" t="s">
        <v>29</v>
      </c>
      <c r="Q163" s="7" t="s">
        <v>29</v>
      </c>
      <c r="R163" s="7" t="s">
        <v>29</v>
      </c>
      <c r="S163" s="7" t="s">
        <v>29</v>
      </c>
    </row>
    <row r="164" spans="2:19">
      <c r="B164" s="9" t="s">
        <v>195</v>
      </c>
      <c r="C164" s="7" t="s">
        <v>195</v>
      </c>
      <c r="D164" s="5" t="str">
        <f>LRTRIM(CONCATENATE(IF(SUMPRODUCT(-- ISNUMBER(SEARCH({"Auto Number"}, $B164))) &gt; 0, $B164, IF(SUMPRODUCT(-- ISNUMBER(SEARCH({"Lookup","Master-Detail"}, $B164))) &gt; 0,$B164 &amp; "(" &amp; $E164 &amp; ")",IF(SUMPRODUCT(-- ISNUMBER(SEARCH({"Formula","Roll-Up Summary"}, $B164))) &gt; 0,$B164 &amp; " (" &amp; $E164 &amp; ")",IF(SUMPRODUCT(-- ISNUMBER(SEARCH({"Content","Currency","Number","Percent","Text","URL"}, $B164))) &gt; 0,$B164 &amp; "(" &amp; $C164 &amp; ")",$B164)))), "  ", TRIM(IF($S164 = "YES", "(External ID)", "") &amp; " " &amp; IF(SUMPRODUCT(-- ISNUMBER(SEARCH({"Unique","Unique Case Insensitive"}, $R164))) &gt; 0, "(" &amp; $R164 &amp; ")", ""))))</f>
        <v>na</v>
      </c>
      <c r="E164" s="7" t="s">
        <v>195</v>
      </c>
      <c r="F164" s="7" t="s">
        <v>195</v>
      </c>
      <c r="G164" s="7" t="s">
        <v>195</v>
      </c>
      <c r="H164" s="7" t="s">
        <v>195</v>
      </c>
      <c r="I164" s="7" t="s">
        <v>195</v>
      </c>
      <c r="J164" s="7" t="s">
        <v>195</v>
      </c>
      <c r="K164" s="7" t="s">
        <v>195</v>
      </c>
      <c r="L164" s="7" t="s">
        <v>195</v>
      </c>
      <c r="M164" s="7" t="s">
        <v>29</v>
      </c>
      <c r="N164" s="7" t="s">
        <v>29</v>
      </c>
      <c r="O164" s="7" t="s">
        <v>29</v>
      </c>
      <c r="P164" s="7" t="s">
        <v>29</v>
      </c>
      <c r="Q164" s="7" t="s">
        <v>29</v>
      </c>
      <c r="R164" s="7" t="s">
        <v>29</v>
      </c>
      <c r="S164" s="7" t="s">
        <v>29</v>
      </c>
    </row>
    <row r="165" spans="2:19">
      <c r="B165" s="9" t="s">
        <v>195</v>
      </c>
      <c r="C165" s="7" t="s">
        <v>195</v>
      </c>
      <c r="D165" s="5" t="str">
        <f>LRTRIM(CONCATENATE(IF(SUMPRODUCT(-- ISNUMBER(SEARCH({"Auto Number"}, $B165))) &gt; 0, $B165, IF(SUMPRODUCT(-- ISNUMBER(SEARCH({"Lookup","Master-Detail"}, $B165))) &gt; 0,$B165 &amp; "(" &amp; $E165 &amp; ")",IF(SUMPRODUCT(-- ISNUMBER(SEARCH({"Formula","Roll-Up Summary"}, $B165))) &gt; 0,$B165 &amp; " (" &amp; $E165 &amp; ")",IF(SUMPRODUCT(-- ISNUMBER(SEARCH({"Content","Currency","Number","Percent","Text","URL"}, $B165))) &gt; 0,$B165 &amp; "(" &amp; $C165 &amp; ")",$B165)))), "  ", TRIM(IF($S165 = "YES", "(External ID)", "") &amp; " " &amp; IF(SUMPRODUCT(-- ISNUMBER(SEARCH({"Unique","Unique Case Insensitive"}, $R165))) &gt; 0, "(" &amp; $R165 &amp; ")", ""))))</f>
        <v>na</v>
      </c>
      <c r="E165" s="7" t="s">
        <v>195</v>
      </c>
      <c r="F165" s="7" t="s">
        <v>195</v>
      </c>
      <c r="G165" s="7" t="s">
        <v>195</v>
      </c>
      <c r="H165" s="7" t="s">
        <v>195</v>
      </c>
      <c r="I165" s="7" t="s">
        <v>195</v>
      </c>
      <c r="J165" s="7" t="s">
        <v>195</v>
      </c>
      <c r="K165" s="7" t="s">
        <v>195</v>
      </c>
      <c r="L165" s="7" t="s">
        <v>195</v>
      </c>
      <c r="M165" s="7" t="s">
        <v>29</v>
      </c>
      <c r="N165" s="7" t="s">
        <v>29</v>
      </c>
      <c r="O165" s="7" t="s">
        <v>29</v>
      </c>
      <c r="P165" s="7" t="s">
        <v>29</v>
      </c>
      <c r="Q165" s="7" t="s">
        <v>29</v>
      </c>
      <c r="R165" s="7" t="s">
        <v>29</v>
      </c>
      <c r="S165" s="7" t="s">
        <v>29</v>
      </c>
    </row>
    <row r="166" spans="2:19">
      <c r="B166" s="9" t="s">
        <v>195</v>
      </c>
      <c r="C166" s="7" t="s">
        <v>195</v>
      </c>
      <c r="D166" s="5" t="str">
        <f>LRTRIM(CONCATENATE(IF(SUMPRODUCT(-- ISNUMBER(SEARCH({"Auto Number"}, $B166))) &gt; 0, $B166, IF(SUMPRODUCT(-- ISNUMBER(SEARCH({"Lookup","Master-Detail"}, $B166))) &gt; 0,$B166 &amp; "(" &amp; $E166 &amp; ")",IF(SUMPRODUCT(-- ISNUMBER(SEARCH({"Formula","Roll-Up Summary"}, $B166))) &gt; 0,$B166 &amp; " (" &amp; $E166 &amp; ")",IF(SUMPRODUCT(-- ISNUMBER(SEARCH({"Content","Currency","Number","Percent","Text","URL"}, $B166))) &gt; 0,$B166 &amp; "(" &amp; $C166 &amp; ")",$B166)))), "  ", TRIM(IF($S166 = "YES", "(External ID)", "") &amp; " " &amp; IF(SUMPRODUCT(-- ISNUMBER(SEARCH({"Unique","Unique Case Insensitive"}, $R166))) &gt; 0, "(" &amp; $R166 &amp; ")", ""))))</f>
        <v>na</v>
      </c>
      <c r="E166" s="7" t="s">
        <v>195</v>
      </c>
      <c r="F166" s="7" t="s">
        <v>195</v>
      </c>
      <c r="G166" s="7" t="s">
        <v>195</v>
      </c>
      <c r="H166" s="7" t="s">
        <v>195</v>
      </c>
      <c r="I166" s="7" t="s">
        <v>195</v>
      </c>
      <c r="J166" s="7" t="s">
        <v>195</v>
      </c>
      <c r="K166" s="7" t="s">
        <v>195</v>
      </c>
      <c r="L166" s="7" t="s">
        <v>195</v>
      </c>
      <c r="M166" s="7" t="s">
        <v>29</v>
      </c>
      <c r="N166" s="7" t="s">
        <v>29</v>
      </c>
      <c r="O166" s="7" t="s">
        <v>29</v>
      </c>
      <c r="P166" s="7" t="s">
        <v>29</v>
      </c>
      <c r="Q166" s="7" t="s">
        <v>29</v>
      </c>
      <c r="R166" s="7" t="s">
        <v>29</v>
      </c>
      <c r="S166" s="7" t="s">
        <v>29</v>
      </c>
    </row>
    <row r="167" spans="2:19">
      <c r="B167" s="9" t="s">
        <v>195</v>
      </c>
      <c r="C167" s="7" t="s">
        <v>195</v>
      </c>
      <c r="D167" s="5" t="str">
        <f>LRTRIM(CONCATENATE(IF(SUMPRODUCT(-- ISNUMBER(SEARCH({"Auto Number"}, $B167))) &gt; 0, $B167, IF(SUMPRODUCT(-- ISNUMBER(SEARCH({"Lookup","Master-Detail"}, $B167))) &gt; 0,$B167 &amp; "(" &amp; $E167 &amp; ")",IF(SUMPRODUCT(-- ISNUMBER(SEARCH({"Formula","Roll-Up Summary"}, $B167))) &gt; 0,$B167 &amp; " (" &amp; $E167 &amp; ")",IF(SUMPRODUCT(-- ISNUMBER(SEARCH({"Content","Currency","Number","Percent","Text","URL"}, $B167))) &gt; 0,$B167 &amp; "(" &amp; $C167 &amp; ")",$B167)))), "  ", TRIM(IF($S167 = "YES", "(External ID)", "") &amp; " " &amp; IF(SUMPRODUCT(-- ISNUMBER(SEARCH({"Unique","Unique Case Insensitive"}, $R167))) &gt; 0, "(" &amp; $R167 &amp; ")", ""))))</f>
        <v>na</v>
      </c>
      <c r="E167" s="7" t="s">
        <v>195</v>
      </c>
      <c r="F167" s="7" t="s">
        <v>195</v>
      </c>
      <c r="G167" s="7" t="s">
        <v>195</v>
      </c>
      <c r="H167" s="7" t="s">
        <v>195</v>
      </c>
      <c r="I167" s="7" t="s">
        <v>195</v>
      </c>
      <c r="J167" s="7" t="s">
        <v>195</v>
      </c>
      <c r="K167" s="7" t="s">
        <v>195</v>
      </c>
      <c r="L167" s="7" t="s">
        <v>195</v>
      </c>
      <c r="M167" s="7" t="s">
        <v>29</v>
      </c>
      <c r="N167" s="7" t="s">
        <v>29</v>
      </c>
      <c r="O167" s="7" t="s">
        <v>29</v>
      </c>
      <c r="P167" s="7" t="s">
        <v>29</v>
      </c>
      <c r="Q167" s="7" t="s">
        <v>29</v>
      </c>
      <c r="R167" s="7" t="s">
        <v>29</v>
      </c>
      <c r="S167" s="7" t="s">
        <v>29</v>
      </c>
    </row>
    <row r="168" spans="2:19">
      <c r="B168" s="9" t="s">
        <v>195</v>
      </c>
      <c r="C168" s="7" t="s">
        <v>195</v>
      </c>
      <c r="D168" s="5" t="str">
        <f>LRTRIM(CONCATENATE(IF(SUMPRODUCT(-- ISNUMBER(SEARCH({"Auto Number"}, $B168))) &gt; 0, $B168, IF(SUMPRODUCT(-- ISNUMBER(SEARCH({"Lookup","Master-Detail"}, $B168))) &gt; 0,$B168 &amp; "(" &amp; $E168 &amp; ")",IF(SUMPRODUCT(-- ISNUMBER(SEARCH({"Formula","Roll-Up Summary"}, $B168))) &gt; 0,$B168 &amp; " (" &amp; $E168 &amp; ")",IF(SUMPRODUCT(-- ISNUMBER(SEARCH({"Content","Currency","Number","Percent","Text","URL"}, $B168))) &gt; 0,$B168 &amp; "(" &amp; $C168 &amp; ")",$B168)))), "  ", TRIM(IF($S168 = "YES", "(External ID)", "") &amp; " " &amp; IF(SUMPRODUCT(-- ISNUMBER(SEARCH({"Unique","Unique Case Insensitive"}, $R168))) &gt; 0, "(" &amp; $R168 &amp; ")", ""))))</f>
        <v>na</v>
      </c>
      <c r="E168" s="7" t="s">
        <v>195</v>
      </c>
      <c r="F168" s="7" t="s">
        <v>195</v>
      </c>
      <c r="G168" s="7" t="s">
        <v>195</v>
      </c>
      <c r="H168" s="7" t="s">
        <v>195</v>
      </c>
      <c r="I168" s="7" t="s">
        <v>195</v>
      </c>
      <c r="J168" s="7" t="s">
        <v>195</v>
      </c>
      <c r="K168" s="7" t="s">
        <v>195</v>
      </c>
      <c r="L168" s="7" t="s">
        <v>195</v>
      </c>
      <c r="M168" s="7" t="s">
        <v>29</v>
      </c>
      <c r="N168" s="7" t="s">
        <v>29</v>
      </c>
      <c r="O168" s="7" t="s">
        <v>29</v>
      </c>
      <c r="P168" s="7" t="s">
        <v>29</v>
      </c>
      <c r="Q168" s="7" t="s">
        <v>29</v>
      </c>
      <c r="R168" s="7" t="s">
        <v>29</v>
      </c>
      <c r="S168" s="7" t="s">
        <v>29</v>
      </c>
    </row>
    <row r="169" spans="2:19">
      <c r="B169" s="9" t="s">
        <v>195</v>
      </c>
      <c r="C169" s="7" t="s">
        <v>195</v>
      </c>
      <c r="D169" s="5" t="str">
        <f>LRTRIM(CONCATENATE(IF(SUMPRODUCT(-- ISNUMBER(SEARCH({"Auto Number"}, $B169))) &gt; 0, $B169, IF(SUMPRODUCT(-- ISNUMBER(SEARCH({"Lookup","Master-Detail"}, $B169))) &gt; 0,$B169 &amp; "(" &amp; $E169 &amp; ")",IF(SUMPRODUCT(-- ISNUMBER(SEARCH({"Formula","Roll-Up Summary"}, $B169))) &gt; 0,$B169 &amp; " (" &amp; $E169 &amp; ")",IF(SUMPRODUCT(-- ISNUMBER(SEARCH({"Content","Currency","Number","Percent","Text","URL"}, $B169))) &gt; 0,$B169 &amp; "(" &amp; $C169 &amp; ")",$B169)))), "  ", TRIM(IF($S169 = "YES", "(External ID)", "") &amp; " " &amp; IF(SUMPRODUCT(-- ISNUMBER(SEARCH({"Unique","Unique Case Insensitive"}, $R169))) &gt; 0, "(" &amp; $R169 &amp; ")", ""))))</f>
        <v>na</v>
      </c>
      <c r="E169" s="7" t="s">
        <v>195</v>
      </c>
      <c r="F169" s="7" t="s">
        <v>195</v>
      </c>
      <c r="G169" s="7" t="s">
        <v>195</v>
      </c>
      <c r="H169" s="7" t="s">
        <v>195</v>
      </c>
      <c r="I169" s="7" t="s">
        <v>195</v>
      </c>
      <c r="J169" s="7" t="s">
        <v>195</v>
      </c>
      <c r="K169" s="7" t="s">
        <v>195</v>
      </c>
      <c r="L169" s="7" t="s">
        <v>195</v>
      </c>
      <c r="M169" s="7" t="s">
        <v>29</v>
      </c>
      <c r="N169" s="7" t="s">
        <v>29</v>
      </c>
      <c r="O169" s="7" t="s">
        <v>29</v>
      </c>
      <c r="P169" s="7" t="s">
        <v>29</v>
      </c>
      <c r="Q169" s="7" t="s">
        <v>29</v>
      </c>
      <c r="R169" s="7" t="s">
        <v>29</v>
      </c>
      <c r="S169" s="7" t="s">
        <v>29</v>
      </c>
    </row>
    <row r="170" spans="2:19">
      <c r="B170" s="9" t="s">
        <v>195</v>
      </c>
      <c r="C170" s="7" t="s">
        <v>195</v>
      </c>
      <c r="D170" s="5" t="str">
        <f>LRTRIM(CONCATENATE(IF(SUMPRODUCT(-- ISNUMBER(SEARCH({"Auto Number"}, $B170))) &gt; 0, $B170, IF(SUMPRODUCT(-- ISNUMBER(SEARCH({"Lookup","Master-Detail"}, $B170))) &gt; 0,$B170 &amp; "(" &amp; $E170 &amp; ")",IF(SUMPRODUCT(-- ISNUMBER(SEARCH({"Formula","Roll-Up Summary"}, $B170))) &gt; 0,$B170 &amp; " (" &amp; $E170 &amp; ")",IF(SUMPRODUCT(-- ISNUMBER(SEARCH({"Content","Currency","Number","Percent","Text","URL"}, $B170))) &gt; 0,$B170 &amp; "(" &amp; $C170 &amp; ")",$B170)))), "  ", TRIM(IF($S170 = "YES", "(External ID)", "") &amp; " " &amp; IF(SUMPRODUCT(-- ISNUMBER(SEARCH({"Unique","Unique Case Insensitive"}, $R170))) &gt; 0, "(" &amp; $R170 &amp; ")", ""))))</f>
        <v>na</v>
      </c>
      <c r="E170" s="7" t="s">
        <v>195</v>
      </c>
      <c r="F170" s="7" t="s">
        <v>195</v>
      </c>
      <c r="G170" s="7" t="s">
        <v>195</v>
      </c>
      <c r="H170" s="7" t="s">
        <v>195</v>
      </c>
      <c r="I170" s="7" t="s">
        <v>195</v>
      </c>
      <c r="J170" s="7" t="s">
        <v>195</v>
      </c>
      <c r="K170" s="7" t="s">
        <v>195</v>
      </c>
      <c r="L170" s="7" t="s">
        <v>195</v>
      </c>
      <c r="M170" s="7" t="s">
        <v>29</v>
      </c>
      <c r="N170" s="7" t="s">
        <v>29</v>
      </c>
      <c r="O170" s="7" t="s">
        <v>29</v>
      </c>
      <c r="P170" s="7" t="s">
        <v>29</v>
      </c>
      <c r="Q170" s="7" t="s">
        <v>29</v>
      </c>
      <c r="R170" s="7" t="s">
        <v>29</v>
      </c>
      <c r="S170" s="7" t="s">
        <v>29</v>
      </c>
    </row>
    <row r="171" spans="2:19">
      <c r="B171" s="9" t="s">
        <v>195</v>
      </c>
      <c r="C171" s="7" t="s">
        <v>195</v>
      </c>
      <c r="D171" s="5" t="str">
        <f>LRTRIM(CONCATENATE(IF(SUMPRODUCT(-- ISNUMBER(SEARCH({"Auto Number"}, $B171))) &gt; 0, $B171, IF(SUMPRODUCT(-- ISNUMBER(SEARCH({"Lookup","Master-Detail"}, $B171))) &gt; 0,$B171 &amp; "(" &amp; $E171 &amp; ")",IF(SUMPRODUCT(-- ISNUMBER(SEARCH({"Formula","Roll-Up Summary"}, $B171))) &gt; 0,$B171 &amp; " (" &amp; $E171 &amp; ")",IF(SUMPRODUCT(-- ISNUMBER(SEARCH({"Content","Currency","Number","Percent","Text","URL"}, $B171))) &gt; 0,$B171 &amp; "(" &amp; $C171 &amp; ")",$B171)))), "  ", TRIM(IF($S171 = "YES", "(External ID)", "") &amp; " " &amp; IF(SUMPRODUCT(-- ISNUMBER(SEARCH({"Unique","Unique Case Insensitive"}, $R171))) &gt; 0, "(" &amp; $R171 &amp; ")", ""))))</f>
        <v>na</v>
      </c>
      <c r="E171" s="7" t="s">
        <v>195</v>
      </c>
      <c r="F171" s="7" t="s">
        <v>195</v>
      </c>
      <c r="G171" s="7" t="s">
        <v>195</v>
      </c>
      <c r="H171" s="7" t="s">
        <v>195</v>
      </c>
      <c r="I171" s="7" t="s">
        <v>195</v>
      </c>
      <c r="J171" s="7" t="s">
        <v>195</v>
      </c>
      <c r="K171" s="7" t="s">
        <v>195</v>
      </c>
      <c r="L171" s="7" t="s">
        <v>195</v>
      </c>
      <c r="M171" s="7" t="s">
        <v>29</v>
      </c>
      <c r="N171" s="7" t="s">
        <v>29</v>
      </c>
      <c r="O171" s="7" t="s">
        <v>29</v>
      </c>
      <c r="P171" s="7" t="s">
        <v>29</v>
      </c>
      <c r="Q171" s="7" t="s">
        <v>29</v>
      </c>
      <c r="R171" s="7" t="s">
        <v>29</v>
      </c>
      <c r="S171" s="7" t="s">
        <v>29</v>
      </c>
    </row>
    <row r="172" spans="2:19">
      <c r="B172" s="9" t="s">
        <v>195</v>
      </c>
      <c r="C172" s="7" t="s">
        <v>195</v>
      </c>
      <c r="D172" s="5" t="str">
        <f>LRTRIM(CONCATENATE(IF(SUMPRODUCT(-- ISNUMBER(SEARCH({"Auto Number"}, $B172))) &gt; 0, $B172, IF(SUMPRODUCT(-- ISNUMBER(SEARCH({"Lookup","Master-Detail"}, $B172))) &gt; 0,$B172 &amp; "(" &amp; $E172 &amp; ")",IF(SUMPRODUCT(-- ISNUMBER(SEARCH({"Formula","Roll-Up Summary"}, $B172))) &gt; 0,$B172 &amp; " (" &amp; $E172 &amp; ")",IF(SUMPRODUCT(-- ISNUMBER(SEARCH({"Content","Currency","Number","Percent","Text","URL"}, $B172))) &gt; 0,$B172 &amp; "(" &amp; $C172 &amp; ")",$B172)))), "  ", TRIM(IF($S172 = "YES", "(External ID)", "") &amp; " " &amp; IF(SUMPRODUCT(-- ISNUMBER(SEARCH({"Unique","Unique Case Insensitive"}, $R172))) &gt; 0, "(" &amp; $R172 &amp; ")", ""))))</f>
        <v>na</v>
      </c>
      <c r="E172" s="7" t="s">
        <v>195</v>
      </c>
      <c r="F172" s="7" t="s">
        <v>195</v>
      </c>
      <c r="G172" s="7" t="s">
        <v>195</v>
      </c>
      <c r="H172" s="7" t="s">
        <v>195</v>
      </c>
      <c r="I172" s="7" t="s">
        <v>195</v>
      </c>
      <c r="J172" s="7" t="s">
        <v>195</v>
      </c>
      <c r="K172" s="7" t="s">
        <v>195</v>
      </c>
      <c r="L172" s="7" t="s">
        <v>195</v>
      </c>
      <c r="M172" s="7" t="s">
        <v>29</v>
      </c>
      <c r="N172" s="7" t="s">
        <v>29</v>
      </c>
      <c r="O172" s="7" t="s">
        <v>29</v>
      </c>
      <c r="P172" s="7" t="s">
        <v>29</v>
      </c>
      <c r="Q172" s="7" t="s">
        <v>29</v>
      </c>
      <c r="R172" s="7" t="s">
        <v>29</v>
      </c>
      <c r="S172" s="7" t="s">
        <v>29</v>
      </c>
    </row>
    <row r="173" spans="2:19">
      <c r="B173" s="9" t="s">
        <v>195</v>
      </c>
      <c r="C173" s="7" t="s">
        <v>195</v>
      </c>
      <c r="D173" s="5" t="str">
        <f>LRTRIM(CONCATENATE(IF(SUMPRODUCT(-- ISNUMBER(SEARCH({"Auto Number"}, $B173))) &gt; 0, $B173, IF(SUMPRODUCT(-- ISNUMBER(SEARCH({"Lookup","Master-Detail"}, $B173))) &gt; 0,$B173 &amp; "(" &amp; $E173 &amp; ")",IF(SUMPRODUCT(-- ISNUMBER(SEARCH({"Formula","Roll-Up Summary"}, $B173))) &gt; 0,$B173 &amp; " (" &amp; $E173 &amp; ")",IF(SUMPRODUCT(-- ISNUMBER(SEARCH({"Content","Currency","Number","Percent","Text","URL"}, $B173))) &gt; 0,$B173 &amp; "(" &amp; $C173 &amp; ")",$B173)))), "  ", TRIM(IF($S173 = "YES", "(External ID)", "") &amp; " " &amp; IF(SUMPRODUCT(-- ISNUMBER(SEARCH({"Unique","Unique Case Insensitive"}, $R173))) &gt; 0, "(" &amp; $R173 &amp; ")", ""))))</f>
        <v>na</v>
      </c>
      <c r="E173" s="7" t="s">
        <v>195</v>
      </c>
      <c r="F173" s="7" t="s">
        <v>195</v>
      </c>
      <c r="G173" s="7" t="s">
        <v>195</v>
      </c>
      <c r="H173" s="7" t="s">
        <v>195</v>
      </c>
      <c r="I173" s="7" t="s">
        <v>195</v>
      </c>
      <c r="J173" s="7" t="s">
        <v>195</v>
      </c>
      <c r="K173" s="7" t="s">
        <v>195</v>
      </c>
      <c r="L173" s="7" t="s">
        <v>195</v>
      </c>
      <c r="M173" s="7" t="s">
        <v>29</v>
      </c>
      <c r="N173" s="7" t="s">
        <v>29</v>
      </c>
      <c r="O173" s="7" t="s">
        <v>29</v>
      </c>
      <c r="P173" s="7" t="s">
        <v>29</v>
      </c>
      <c r="Q173" s="7" t="s">
        <v>29</v>
      </c>
      <c r="R173" s="7" t="s">
        <v>29</v>
      </c>
      <c r="S173" s="7" t="s">
        <v>29</v>
      </c>
    </row>
    <row r="174" spans="2:19">
      <c r="B174" s="9" t="s">
        <v>195</v>
      </c>
      <c r="C174" s="7" t="s">
        <v>195</v>
      </c>
      <c r="D174" s="5" t="str">
        <f>LRTRIM(CONCATENATE(IF(SUMPRODUCT(-- ISNUMBER(SEARCH({"Auto Number"}, $B174))) &gt; 0, $B174, IF(SUMPRODUCT(-- ISNUMBER(SEARCH({"Lookup","Master-Detail"}, $B174))) &gt; 0,$B174 &amp; "(" &amp; $E174 &amp; ")",IF(SUMPRODUCT(-- ISNUMBER(SEARCH({"Formula","Roll-Up Summary"}, $B174))) &gt; 0,$B174 &amp; " (" &amp; $E174 &amp; ")",IF(SUMPRODUCT(-- ISNUMBER(SEARCH({"Content","Currency","Number","Percent","Text","URL"}, $B174))) &gt; 0,$B174 &amp; "(" &amp; $C174 &amp; ")",$B174)))), "  ", TRIM(IF($S174 = "YES", "(External ID)", "") &amp; " " &amp; IF(SUMPRODUCT(-- ISNUMBER(SEARCH({"Unique","Unique Case Insensitive"}, $R174))) &gt; 0, "(" &amp; $R174 &amp; ")", ""))))</f>
        <v>na</v>
      </c>
      <c r="E174" s="7" t="s">
        <v>195</v>
      </c>
      <c r="F174" s="7" t="s">
        <v>195</v>
      </c>
      <c r="G174" s="7" t="s">
        <v>195</v>
      </c>
      <c r="H174" s="7" t="s">
        <v>195</v>
      </c>
      <c r="I174" s="7" t="s">
        <v>195</v>
      </c>
      <c r="J174" s="7" t="s">
        <v>195</v>
      </c>
      <c r="K174" s="7" t="s">
        <v>195</v>
      </c>
      <c r="L174" s="7" t="s">
        <v>195</v>
      </c>
      <c r="M174" s="7" t="s">
        <v>29</v>
      </c>
      <c r="N174" s="7" t="s">
        <v>29</v>
      </c>
      <c r="O174" s="7" t="s">
        <v>29</v>
      </c>
      <c r="P174" s="7" t="s">
        <v>29</v>
      </c>
      <c r="Q174" s="7" t="s">
        <v>29</v>
      </c>
      <c r="R174" s="7" t="s">
        <v>29</v>
      </c>
      <c r="S174" s="7" t="s">
        <v>29</v>
      </c>
    </row>
    <row r="175" spans="2:19">
      <c r="B175" s="9" t="s">
        <v>195</v>
      </c>
      <c r="C175" s="7" t="s">
        <v>195</v>
      </c>
      <c r="D175" s="5" t="str">
        <f>LRTRIM(CONCATENATE(IF(SUMPRODUCT(-- ISNUMBER(SEARCH({"Auto Number"}, $B175))) &gt; 0, $B175, IF(SUMPRODUCT(-- ISNUMBER(SEARCH({"Lookup","Master-Detail"}, $B175))) &gt; 0,$B175 &amp; "(" &amp; $E175 &amp; ")",IF(SUMPRODUCT(-- ISNUMBER(SEARCH({"Formula","Roll-Up Summary"}, $B175))) &gt; 0,$B175 &amp; " (" &amp; $E175 &amp; ")",IF(SUMPRODUCT(-- ISNUMBER(SEARCH({"Content","Currency","Number","Percent","Text","URL"}, $B175))) &gt; 0,$B175 &amp; "(" &amp; $C175 &amp; ")",$B175)))), "  ", TRIM(IF($S175 = "YES", "(External ID)", "") &amp; " " &amp; IF(SUMPRODUCT(-- ISNUMBER(SEARCH({"Unique","Unique Case Insensitive"}, $R175))) &gt; 0, "(" &amp; $R175 &amp; ")", ""))))</f>
        <v>na</v>
      </c>
      <c r="E175" s="7" t="s">
        <v>195</v>
      </c>
      <c r="F175" s="7" t="s">
        <v>195</v>
      </c>
      <c r="G175" s="7" t="s">
        <v>195</v>
      </c>
      <c r="H175" s="7" t="s">
        <v>195</v>
      </c>
      <c r="I175" s="7" t="s">
        <v>195</v>
      </c>
      <c r="J175" s="7" t="s">
        <v>195</v>
      </c>
      <c r="K175" s="7" t="s">
        <v>195</v>
      </c>
      <c r="L175" s="7" t="s">
        <v>195</v>
      </c>
      <c r="M175" s="7" t="s">
        <v>29</v>
      </c>
      <c r="N175" s="7" t="s">
        <v>29</v>
      </c>
      <c r="O175" s="7" t="s">
        <v>29</v>
      </c>
      <c r="P175" s="7" t="s">
        <v>29</v>
      </c>
      <c r="Q175" s="7" t="s">
        <v>29</v>
      </c>
      <c r="R175" s="7" t="s">
        <v>29</v>
      </c>
      <c r="S175" s="7" t="s">
        <v>29</v>
      </c>
    </row>
    <row r="176" spans="2:19">
      <c r="B176" s="9" t="s">
        <v>195</v>
      </c>
      <c r="C176" s="7" t="s">
        <v>195</v>
      </c>
      <c r="D176" s="5" t="str">
        <f>LRTRIM(CONCATENATE(IF(SUMPRODUCT(-- ISNUMBER(SEARCH({"Auto Number"}, $B176))) &gt; 0, $B176, IF(SUMPRODUCT(-- ISNUMBER(SEARCH({"Lookup","Master-Detail"}, $B176))) &gt; 0,$B176 &amp; "(" &amp; $E176 &amp; ")",IF(SUMPRODUCT(-- ISNUMBER(SEARCH({"Formula","Roll-Up Summary"}, $B176))) &gt; 0,$B176 &amp; " (" &amp; $E176 &amp; ")",IF(SUMPRODUCT(-- ISNUMBER(SEARCH({"Content","Currency","Number","Percent","Text","URL"}, $B176))) &gt; 0,$B176 &amp; "(" &amp; $C176 &amp; ")",$B176)))), "  ", TRIM(IF($S176 = "YES", "(External ID)", "") &amp; " " &amp; IF(SUMPRODUCT(-- ISNUMBER(SEARCH({"Unique","Unique Case Insensitive"}, $R176))) &gt; 0, "(" &amp; $R176 &amp; ")", ""))))</f>
        <v>na</v>
      </c>
      <c r="E176" s="7" t="s">
        <v>195</v>
      </c>
      <c r="F176" s="7" t="s">
        <v>195</v>
      </c>
      <c r="G176" s="7" t="s">
        <v>195</v>
      </c>
      <c r="H176" s="7" t="s">
        <v>195</v>
      </c>
      <c r="I176" s="7" t="s">
        <v>195</v>
      </c>
      <c r="J176" s="7" t="s">
        <v>195</v>
      </c>
      <c r="K176" s="7" t="s">
        <v>195</v>
      </c>
      <c r="L176" s="7" t="s">
        <v>195</v>
      </c>
      <c r="M176" s="7" t="s">
        <v>29</v>
      </c>
      <c r="N176" s="7" t="s">
        <v>29</v>
      </c>
      <c r="O176" s="7" t="s">
        <v>29</v>
      </c>
      <c r="P176" s="7" t="s">
        <v>29</v>
      </c>
      <c r="Q176" s="7" t="s">
        <v>29</v>
      </c>
      <c r="R176" s="7" t="s">
        <v>29</v>
      </c>
      <c r="S176" s="7" t="s">
        <v>29</v>
      </c>
    </row>
    <row r="177" spans="2:19">
      <c r="B177" s="9" t="s">
        <v>195</v>
      </c>
      <c r="C177" s="7" t="s">
        <v>195</v>
      </c>
      <c r="D177" s="5" t="str">
        <f>LRTRIM(CONCATENATE(IF(SUMPRODUCT(-- ISNUMBER(SEARCH({"Auto Number"}, $B177))) &gt; 0, $B177, IF(SUMPRODUCT(-- ISNUMBER(SEARCH({"Lookup","Master-Detail"}, $B177))) &gt; 0,$B177 &amp; "(" &amp; $E177 &amp; ")",IF(SUMPRODUCT(-- ISNUMBER(SEARCH({"Formula","Roll-Up Summary"}, $B177))) &gt; 0,$B177 &amp; " (" &amp; $E177 &amp; ")",IF(SUMPRODUCT(-- ISNUMBER(SEARCH({"Content","Currency","Number","Percent","Text","URL"}, $B177))) &gt; 0,$B177 &amp; "(" &amp; $C177 &amp; ")",$B177)))), "  ", TRIM(IF($S177 = "YES", "(External ID)", "") &amp; " " &amp; IF(SUMPRODUCT(-- ISNUMBER(SEARCH({"Unique","Unique Case Insensitive"}, $R177))) &gt; 0, "(" &amp; $R177 &amp; ")", ""))))</f>
        <v>na</v>
      </c>
      <c r="E177" s="7" t="s">
        <v>195</v>
      </c>
      <c r="F177" s="7" t="s">
        <v>195</v>
      </c>
      <c r="G177" s="7" t="s">
        <v>195</v>
      </c>
      <c r="H177" s="7" t="s">
        <v>195</v>
      </c>
      <c r="I177" s="7" t="s">
        <v>195</v>
      </c>
      <c r="J177" s="7" t="s">
        <v>195</v>
      </c>
      <c r="K177" s="7" t="s">
        <v>195</v>
      </c>
      <c r="L177" s="7" t="s">
        <v>195</v>
      </c>
      <c r="M177" s="7" t="s">
        <v>29</v>
      </c>
      <c r="N177" s="7" t="s">
        <v>29</v>
      </c>
      <c r="O177" s="7" t="s">
        <v>29</v>
      </c>
      <c r="P177" s="7" t="s">
        <v>29</v>
      </c>
      <c r="Q177" s="7" t="s">
        <v>29</v>
      </c>
      <c r="R177" s="7" t="s">
        <v>29</v>
      </c>
      <c r="S177" s="7" t="s">
        <v>29</v>
      </c>
    </row>
    <row r="178" spans="2:19">
      <c r="B178" s="9" t="s">
        <v>195</v>
      </c>
      <c r="C178" s="7" t="s">
        <v>195</v>
      </c>
      <c r="D178" s="5" t="str">
        <f>LRTRIM(CONCATENATE(IF(SUMPRODUCT(-- ISNUMBER(SEARCH({"Auto Number"}, $B178))) &gt; 0, $B178, IF(SUMPRODUCT(-- ISNUMBER(SEARCH({"Lookup","Master-Detail"}, $B178))) &gt; 0,$B178 &amp; "(" &amp; $E178 &amp; ")",IF(SUMPRODUCT(-- ISNUMBER(SEARCH({"Formula","Roll-Up Summary"}, $B178))) &gt; 0,$B178 &amp; " (" &amp; $E178 &amp; ")",IF(SUMPRODUCT(-- ISNUMBER(SEARCH({"Content","Currency","Number","Percent","Text","URL"}, $B178))) &gt; 0,$B178 &amp; "(" &amp; $C178 &amp; ")",$B178)))), "  ", TRIM(IF($S178 = "YES", "(External ID)", "") &amp; " " &amp; IF(SUMPRODUCT(-- ISNUMBER(SEARCH({"Unique","Unique Case Insensitive"}, $R178))) &gt; 0, "(" &amp; $R178 &amp; ")", ""))))</f>
        <v>na</v>
      </c>
      <c r="E178" s="7" t="s">
        <v>195</v>
      </c>
      <c r="F178" s="7" t="s">
        <v>195</v>
      </c>
      <c r="G178" s="7" t="s">
        <v>195</v>
      </c>
      <c r="H178" s="7" t="s">
        <v>195</v>
      </c>
      <c r="I178" s="7" t="s">
        <v>195</v>
      </c>
      <c r="J178" s="7" t="s">
        <v>195</v>
      </c>
      <c r="K178" s="7" t="s">
        <v>195</v>
      </c>
      <c r="L178" s="7" t="s">
        <v>195</v>
      </c>
      <c r="M178" s="7" t="s">
        <v>29</v>
      </c>
      <c r="N178" s="7" t="s">
        <v>29</v>
      </c>
      <c r="O178" s="7" t="s">
        <v>29</v>
      </c>
      <c r="P178" s="7" t="s">
        <v>29</v>
      </c>
      <c r="Q178" s="7" t="s">
        <v>29</v>
      </c>
      <c r="R178" s="7" t="s">
        <v>29</v>
      </c>
      <c r="S178" s="7" t="s">
        <v>29</v>
      </c>
    </row>
    <row r="179" spans="2:19">
      <c r="B179" s="9" t="s">
        <v>195</v>
      </c>
      <c r="C179" s="7" t="s">
        <v>195</v>
      </c>
      <c r="D179" s="5" t="str">
        <f>LRTRIM(CONCATENATE(IF(SUMPRODUCT(-- ISNUMBER(SEARCH({"Auto Number"}, $B179))) &gt; 0, $B179, IF(SUMPRODUCT(-- ISNUMBER(SEARCH({"Lookup","Master-Detail"}, $B179))) &gt; 0,$B179 &amp; "(" &amp; $E179 &amp; ")",IF(SUMPRODUCT(-- ISNUMBER(SEARCH({"Formula","Roll-Up Summary"}, $B179))) &gt; 0,$B179 &amp; " (" &amp; $E179 &amp; ")",IF(SUMPRODUCT(-- ISNUMBER(SEARCH({"Content","Currency","Number","Percent","Text","URL"}, $B179))) &gt; 0,$B179 &amp; "(" &amp; $C179 &amp; ")",$B179)))), "  ", TRIM(IF($S179 = "YES", "(External ID)", "") &amp; " " &amp; IF(SUMPRODUCT(-- ISNUMBER(SEARCH({"Unique","Unique Case Insensitive"}, $R179))) &gt; 0, "(" &amp; $R179 &amp; ")", ""))))</f>
        <v>na</v>
      </c>
      <c r="E179" s="7" t="s">
        <v>195</v>
      </c>
      <c r="F179" s="7" t="s">
        <v>195</v>
      </c>
      <c r="G179" s="7" t="s">
        <v>195</v>
      </c>
      <c r="H179" s="7" t="s">
        <v>195</v>
      </c>
      <c r="I179" s="7" t="s">
        <v>195</v>
      </c>
      <c r="J179" s="7" t="s">
        <v>195</v>
      </c>
      <c r="K179" s="7" t="s">
        <v>195</v>
      </c>
      <c r="L179" s="7" t="s">
        <v>195</v>
      </c>
      <c r="M179" s="7" t="s">
        <v>29</v>
      </c>
      <c r="N179" s="7" t="s">
        <v>29</v>
      </c>
      <c r="O179" s="7" t="s">
        <v>29</v>
      </c>
      <c r="P179" s="7" t="s">
        <v>29</v>
      </c>
      <c r="Q179" s="7" t="s">
        <v>29</v>
      </c>
      <c r="R179" s="7" t="s">
        <v>29</v>
      </c>
      <c r="S179" s="7" t="s">
        <v>29</v>
      </c>
    </row>
    <row r="180" spans="2:19">
      <c r="B180" s="9" t="s">
        <v>195</v>
      </c>
      <c r="C180" s="7" t="s">
        <v>195</v>
      </c>
      <c r="D180" s="5" t="str">
        <f>LRTRIM(CONCATENATE(IF(SUMPRODUCT(-- ISNUMBER(SEARCH({"Auto Number"}, $B180))) &gt; 0, $B180, IF(SUMPRODUCT(-- ISNUMBER(SEARCH({"Lookup","Master-Detail"}, $B180))) &gt; 0,$B180 &amp; "(" &amp; $E180 &amp; ")",IF(SUMPRODUCT(-- ISNUMBER(SEARCH({"Formula","Roll-Up Summary"}, $B180))) &gt; 0,$B180 &amp; " (" &amp; $E180 &amp; ")",IF(SUMPRODUCT(-- ISNUMBER(SEARCH({"Content","Currency","Number","Percent","Text","URL"}, $B180))) &gt; 0,$B180 &amp; "(" &amp; $C180 &amp; ")",$B180)))), "  ", TRIM(IF($S180 = "YES", "(External ID)", "") &amp; " " &amp; IF(SUMPRODUCT(-- ISNUMBER(SEARCH({"Unique","Unique Case Insensitive"}, $R180))) &gt; 0, "(" &amp; $R180 &amp; ")", ""))))</f>
        <v>na</v>
      </c>
      <c r="E180" s="7" t="s">
        <v>195</v>
      </c>
      <c r="F180" s="7" t="s">
        <v>195</v>
      </c>
      <c r="G180" s="7" t="s">
        <v>195</v>
      </c>
      <c r="H180" s="7" t="s">
        <v>195</v>
      </c>
      <c r="I180" s="7" t="s">
        <v>195</v>
      </c>
      <c r="J180" s="7" t="s">
        <v>195</v>
      </c>
      <c r="K180" s="7" t="s">
        <v>195</v>
      </c>
      <c r="L180" s="7" t="s">
        <v>195</v>
      </c>
      <c r="M180" s="7" t="s">
        <v>29</v>
      </c>
      <c r="N180" s="7" t="s">
        <v>29</v>
      </c>
      <c r="O180" s="7" t="s">
        <v>29</v>
      </c>
      <c r="P180" s="7" t="s">
        <v>29</v>
      </c>
      <c r="Q180" s="7" t="s">
        <v>29</v>
      </c>
      <c r="R180" s="7" t="s">
        <v>29</v>
      </c>
      <c r="S180" s="7" t="s">
        <v>29</v>
      </c>
    </row>
    <row r="181" spans="2:19">
      <c r="B181" s="9" t="s">
        <v>195</v>
      </c>
      <c r="C181" s="7" t="s">
        <v>195</v>
      </c>
      <c r="D181" s="5" t="str">
        <f>LRTRIM(CONCATENATE(IF(SUMPRODUCT(-- ISNUMBER(SEARCH({"Auto Number"}, $B181))) &gt; 0, $B181, IF(SUMPRODUCT(-- ISNUMBER(SEARCH({"Lookup","Master-Detail"}, $B181))) &gt; 0,$B181 &amp; "(" &amp; $E181 &amp; ")",IF(SUMPRODUCT(-- ISNUMBER(SEARCH({"Formula","Roll-Up Summary"}, $B181))) &gt; 0,$B181 &amp; " (" &amp; $E181 &amp; ")",IF(SUMPRODUCT(-- ISNUMBER(SEARCH({"Content","Currency","Number","Percent","Text","URL"}, $B181))) &gt; 0,$B181 &amp; "(" &amp; $C181 &amp; ")",$B181)))), "  ", TRIM(IF($S181 = "YES", "(External ID)", "") &amp; " " &amp; IF(SUMPRODUCT(-- ISNUMBER(SEARCH({"Unique","Unique Case Insensitive"}, $R181))) &gt; 0, "(" &amp; $R181 &amp; ")", ""))))</f>
        <v>na</v>
      </c>
      <c r="E181" s="7" t="s">
        <v>195</v>
      </c>
      <c r="F181" s="7" t="s">
        <v>195</v>
      </c>
      <c r="G181" s="7" t="s">
        <v>195</v>
      </c>
      <c r="H181" s="7" t="s">
        <v>195</v>
      </c>
      <c r="I181" s="7" t="s">
        <v>195</v>
      </c>
      <c r="J181" s="7" t="s">
        <v>195</v>
      </c>
      <c r="K181" s="7" t="s">
        <v>195</v>
      </c>
      <c r="L181" s="7" t="s">
        <v>195</v>
      </c>
      <c r="M181" s="7" t="s">
        <v>29</v>
      </c>
      <c r="N181" s="7" t="s">
        <v>29</v>
      </c>
      <c r="O181" s="7" t="s">
        <v>29</v>
      </c>
      <c r="P181" s="7" t="s">
        <v>29</v>
      </c>
      <c r="Q181" s="7" t="s">
        <v>29</v>
      </c>
      <c r="R181" s="7" t="s">
        <v>29</v>
      </c>
      <c r="S181" s="7" t="s">
        <v>29</v>
      </c>
    </row>
    <row r="182" spans="2:19">
      <c r="B182" s="9" t="s">
        <v>195</v>
      </c>
      <c r="C182" s="7" t="s">
        <v>195</v>
      </c>
      <c r="D182" s="5" t="str">
        <f>LRTRIM(CONCATENATE(IF(SUMPRODUCT(-- ISNUMBER(SEARCH({"Auto Number"}, $B182))) &gt; 0, $B182, IF(SUMPRODUCT(-- ISNUMBER(SEARCH({"Lookup","Master-Detail"}, $B182))) &gt; 0,$B182 &amp; "(" &amp; $E182 &amp; ")",IF(SUMPRODUCT(-- ISNUMBER(SEARCH({"Formula","Roll-Up Summary"}, $B182))) &gt; 0,$B182 &amp; " (" &amp; $E182 &amp; ")",IF(SUMPRODUCT(-- ISNUMBER(SEARCH({"Content","Currency","Number","Percent","Text","URL"}, $B182))) &gt; 0,$B182 &amp; "(" &amp; $C182 &amp; ")",$B182)))), "  ", TRIM(IF($S182 = "YES", "(External ID)", "") &amp; " " &amp; IF(SUMPRODUCT(-- ISNUMBER(SEARCH({"Unique","Unique Case Insensitive"}, $R182))) &gt; 0, "(" &amp; $R182 &amp; ")", ""))))</f>
        <v>na</v>
      </c>
      <c r="E182" s="7" t="s">
        <v>195</v>
      </c>
      <c r="F182" s="7" t="s">
        <v>195</v>
      </c>
      <c r="G182" s="7" t="s">
        <v>195</v>
      </c>
      <c r="H182" s="7" t="s">
        <v>195</v>
      </c>
      <c r="I182" s="7" t="s">
        <v>195</v>
      </c>
      <c r="J182" s="7" t="s">
        <v>195</v>
      </c>
      <c r="K182" s="7" t="s">
        <v>195</v>
      </c>
      <c r="L182" s="7" t="s">
        <v>195</v>
      </c>
      <c r="M182" s="7" t="s">
        <v>29</v>
      </c>
      <c r="N182" s="7" t="s">
        <v>29</v>
      </c>
      <c r="O182" s="7" t="s">
        <v>29</v>
      </c>
      <c r="P182" s="7" t="s">
        <v>29</v>
      </c>
      <c r="Q182" s="7" t="s">
        <v>29</v>
      </c>
      <c r="R182" s="7" t="s">
        <v>29</v>
      </c>
      <c r="S182" s="7" t="s">
        <v>29</v>
      </c>
    </row>
    <row r="183" spans="2:19">
      <c r="B183" s="9" t="s">
        <v>195</v>
      </c>
      <c r="C183" s="7" t="s">
        <v>195</v>
      </c>
      <c r="D183" s="5" t="str">
        <f>LRTRIM(CONCATENATE(IF(SUMPRODUCT(-- ISNUMBER(SEARCH({"Auto Number"}, $B183))) &gt; 0, $B183, IF(SUMPRODUCT(-- ISNUMBER(SEARCH({"Lookup","Master-Detail"}, $B183))) &gt; 0,$B183 &amp; "(" &amp; $E183 &amp; ")",IF(SUMPRODUCT(-- ISNUMBER(SEARCH({"Formula","Roll-Up Summary"}, $B183))) &gt; 0,$B183 &amp; " (" &amp; $E183 &amp; ")",IF(SUMPRODUCT(-- ISNUMBER(SEARCH({"Content","Currency","Number","Percent","Text","URL"}, $B183))) &gt; 0,$B183 &amp; "(" &amp; $C183 &amp; ")",$B183)))), "  ", TRIM(IF($S183 = "YES", "(External ID)", "") &amp; " " &amp; IF(SUMPRODUCT(-- ISNUMBER(SEARCH({"Unique","Unique Case Insensitive"}, $R183))) &gt; 0, "(" &amp; $R183 &amp; ")", ""))))</f>
        <v>na</v>
      </c>
      <c r="E183" s="7" t="s">
        <v>195</v>
      </c>
      <c r="F183" s="7" t="s">
        <v>195</v>
      </c>
      <c r="G183" s="7" t="s">
        <v>195</v>
      </c>
      <c r="H183" s="7" t="s">
        <v>195</v>
      </c>
      <c r="I183" s="7" t="s">
        <v>195</v>
      </c>
      <c r="J183" s="7" t="s">
        <v>195</v>
      </c>
      <c r="K183" s="7" t="s">
        <v>195</v>
      </c>
      <c r="L183" s="7" t="s">
        <v>195</v>
      </c>
      <c r="M183" s="7" t="s">
        <v>29</v>
      </c>
      <c r="N183" s="7" t="s">
        <v>29</v>
      </c>
      <c r="O183" s="7" t="s">
        <v>29</v>
      </c>
      <c r="P183" s="7" t="s">
        <v>29</v>
      </c>
      <c r="Q183" s="7" t="s">
        <v>29</v>
      </c>
      <c r="R183" s="7" t="s">
        <v>29</v>
      </c>
      <c r="S183" s="7" t="s">
        <v>29</v>
      </c>
    </row>
    <row r="184" spans="2:19">
      <c r="B184" s="9" t="s">
        <v>195</v>
      </c>
      <c r="C184" s="7" t="s">
        <v>195</v>
      </c>
      <c r="D184" s="5" t="str">
        <f>LRTRIM(CONCATENATE(IF(SUMPRODUCT(-- ISNUMBER(SEARCH({"Auto Number"}, $B184))) &gt; 0, $B184, IF(SUMPRODUCT(-- ISNUMBER(SEARCH({"Lookup","Master-Detail"}, $B184))) &gt; 0,$B184 &amp; "(" &amp; $E184 &amp; ")",IF(SUMPRODUCT(-- ISNUMBER(SEARCH({"Formula","Roll-Up Summary"}, $B184))) &gt; 0,$B184 &amp; " (" &amp; $E184 &amp; ")",IF(SUMPRODUCT(-- ISNUMBER(SEARCH({"Content","Currency","Number","Percent","Text","URL"}, $B184))) &gt; 0,$B184 &amp; "(" &amp; $C184 &amp; ")",$B184)))), "  ", TRIM(IF($S184 = "YES", "(External ID)", "") &amp; " " &amp; IF(SUMPRODUCT(-- ISNUMBER(SEARCH({"Unique","Unique Case Insensitive"}, $R184))) &gt; 0, "(" &amp; $R184 &amp; ")", ""))))</f>
        <v>na</v>
      </c>
      <c r="E184" s="7" t="s">
        <v>195</v>
      </c>
      <c r="F184" s="7" t="s">
        <v>195</v>
      </c>
      <c r="G184" s="7" t="s">
        <v>195</v>
      </c>
      <c r="H184" s="7" t="s">
        <v>195</v>
      </c>
      <c r="I184" s="7" t="s">
        <v>195</v>
      </c>
      <c r="J184" s="7" t="s">
        <v>195</v>
      </c>
      <c r="K184" s="7" t="s">
        <v>195</v>
      </c>
      <c r="L184" s="7" t="s">
        <v>195</v>
      </c>
      <c r="M184" s="7" t="s">
        <v>29</v>
      </c>
      <c r="N184" s="7" t="s">
        <v>29</v>
      </c>
      <c r="O184" s="7" t="s">
        <v>29</v>
      </c>
      <c r="P184" s="7" t="s">
        <v>29</v>
      </c>
      <c r="Q184" s="7" t="s">
        <v>29</v>
      </c>
      <c r="R184" s="7" t="s">
        <v>29</v>
      </c>
      <c r="S184" s="7" t="s">
        <v>29</v>
      </c>
    </row>
    <row r="185" spans="2:19">
      <c r="B185" s="9" t="s">
        <v>195</v>
      </c>
      <c r="C185" s="7" t="s">
        <v>195</v>
      </c>
      <c r="D185" s="5" t="str">
        <f>LRTRIM(CONCATENATE(IF(SUMPRODUCT(-- ISNUMBER(SEARCH({"Auto Number"}, $B185))) &gt; 0, $B185, IF(SUMPRODUCT(-- ISNUMBER(SEARCH({"Lookup","Master-Detail"}, $B185))) &gt; 0,$B185 &amp; "(" &amp; $E185 &amp; ")",IF(SUMPRODUCT(-- ISNUMBER(SEARCH({"Formula","Roll-Up Summary"}, $B185))) &gt; 0,$B185 &amp; " (" &amp; $E185 &amp; ")",IF(SUMPRODUCT(-- ISNUMBER(SEARCH({"Content","Currency","Number","Percent","Text","URL"}, $B185))) &gt; 0,$B185 &amp; "(" &amp; $C185 &amp; ")",$B185)))), "  ", TRIM(IF($S185 = "YES", "(External ID)", "") &amp; " " &amp; IF(SUMPRODUCT(-- ISNUMBER(SEARCH({"Unique","Unique Case Insensitive"}, $R185))) &gt; 0, "(" &amp; $R185 &amp; ")", ""))))</f>
        <v>na</v>
      </c>
      <c r="E185" s="7" t="s">
        <v>195</v>
      </c>
      <c r="F185" s="7" t="s">
        <v>195</v>
      </c>
      <c r="G185" s="7" t="s">
        <v>195</v>
      </c>
      <c r="H185" s="7" t="s">
        <v>195</v>
      </c>
      <c r="I185" s="7" t="s">
        <v>195</v>
      </c>
      <c r="J185" s="7" t="s">
        <v>195</v>
      </c>
      <c r="K185" s="7" t="s">
        <v>195</v>
      </c>
      <c r="L185" s="7" t="s">
        <v>195</v>
      </c>
      <c r="M185" s="7" t="s">
        <v>29</v>
      </c>
      <c r="N185" s="7" t="s">
        <v>29</v>
      </c>
      <c r="O185" s="7" t="s">
        <v>29</v>
      </c>
      <c r="P185" s="7" t="s">
        <v>29</v>
      </c>
      <c r="Q185" s="7" t="s">
        <v>29</v>
      </c>
      <c r="R185" s="7" t="s">
        <v>29</v>
      </c>
      <c r="S185" s="7" t="s">
        <v>29</v>
      </c>
    </row>
    <row r="186" spans="2:19">
      <c r="B186" s="9" t="s">
        <v>195</v>
      </c>
      <c r="C186" s="7" t="s">
        <v>195</v>
      </c>
      <c r="D186" s="5" t="str">
        <f>LRTRIM(CONCATENATE(IF(SUMPRODUCT(-- ISNUMBER(SEARCH({"Auto Number"}, $B186))) &gt; 0, $B186, IF(SUMPRODUCT(-- ISNUMBER(SEARCH({"Lookup","Master-Detail"}, $B186))) &gt; 0,$B186 &amp; "(" &amp; $E186 &amp; ")",IF(SUMPRODUCT(-- ISNUMBER(SEARCH({"Formula","Roll-Up Summary"}, $B186))) &gt; 0,$B186 &amp; " (" &amp; $E186 &amp; ")",IF(SUMPRODUCT(-- ISNUMBER(SEARCH({"Content","Currency","Number","Percent","Text","URL"}, $B186))) &gt; 0,$B186 &amp; "(" &amp; $C186 &amp; ")",$B186)))), "  ", TRIM(IF($S186 = "YES", "(External ID)", "") &amp; " " &amp; IF(SUMPRODUCT(-- ISNUMBER(SEARCH({"Unique","Unique Case Insensitive"}, $R186))) &gt; 0, "(" &amp; $R186 &amp; ")", ""))))</f>
        <v>na</v>
      </c>
      <c r="E186" s="7" t="s">
        <v>195</v>
      </c>
      <c r="F186" s="7" t="s">
        <v>195</v>
      </c>
      <c r="G186" s="7" t="s">
        <v>195</v>
      </c>
      <c r="H186" s="7" t="s">
        <v>195</v>
      </c>
      <c r="I186" s="7" t="s">
        <v>195</v>
      </c>
      <c r="J186" s="7" t="s">
        <v>195</v>
      </c>
      <c r="K186" s="7" t="s">
        <v>195</v>
      </c>
      <c r="L186" s="7" t="s">
        <v>195</v>
      </c>
      <c r="M186" s="7" t="s">
        <v>29</v>
      </c>
      <c r="N186" s="7" t="s">
        <v>29</v>
      </c>
      <c r="O186" s="7" t="s">
        <v>29</v>
      </c>
      <c r="P186" s="7" t="s">
        <v>29</v>
      </c>
      <c r="Q186" s="7" t="s">
        <v>29</v>
      </c>
      <c r="R186" s="7" t="s">
        <v>29</v>
      </c>
      <c r="S186" s="7" t="s">
        <v>29</v>
      </c>
    </row>
    <row r="187" spans="2:19">
      <c r="B187" s="9" t="s">
        <v>195</v>
      </c>
      <c r="C187" s="7" t="s">
        <v>195</v>
      </c>
      <c r="D187" s="5" t="str">
        <f>LRTRIM(CONCATENATE(IF(SUMPRODUCT(-- ISNUMBER(SEARCH({"Auto Number"}, $B187))) &gt; 0, $B187, IF(SUMPRODUCT(-- ISNUMBER(SEARCH({"Lookup","Master-Detail"}, $B187))) &gt; 0,$B187 &amp; "(" &amp; $E187 &amp; ")",IF(SUMPRODUCT(-- ISNUMBER(SEARCH({"Formula","Roll-Up Summary"}, $B187))) &gt; 0,$B187 &amp; " (" &amp; $E187 &amp; ")",IF(SUMPRODUCT(-- ISNUMBER(SEARCH({"Content","Currency","Number","Percent","Text","URL"}, $B187))) &gt; 0,$B187 &amp; "(" &amp; $C187 &amp; ")",$B187)))), "  ", TRIM(IF($S187 = "YES", "(External ID)", "") &amp; " " &amp; IF(SUMPRODUCT(-- ISNUMBER(SEARCH({"Unique","Unique Case Insensitive"}, $R187))) &gt; 0, "(" &amp; $R187 &amp; ")", ""))))</f>
        <v>na</v>
      </c>
      <c r="E187" s="7" t="s">
        <v>195</v>
      </c>
      <c r="F187" s="7" t="s">
        <v>195</v>
      </c>
      <c r="G187" s="7" t="s">
        <v>195</v>
      </c>
      <c r="H187" s="7" t="s">
        <v>195</v>
      </c>
      <c r="I187" s="7" t="s">
        <v>195</v>
      </c>
      <c r="J187" s="7" t="s">
        <v>195</v>
      </c>
      <c r="K187" s="7" t="s">
        <v>195</v>
      </c>
      <c r="L187" s="7" t="s">
        <v>195</v>
      </c>
      <c r="M187" s="7" t="s">
        <v>29</v>
      </c>
      <c r="N187" s="7" t="s">
        <v>29</v>
      </c>
      <c r="O187" s="7" t="s">
        <v>29</v>
      </c>
      <c r="P187" s="7" t="s">
        <v>29</v>
      </c>
      <c r="Q187" s="7" t="s">
        <v>29</v>
      </c>
      <c r="R187" s="7" t="s">
        <v>29</v>
      </c>
      <c r="S187" s="7" t="s">
        <v>29</v>
      </c>
    </row>
    <row r="188" spans="2:19">
      <c r="B188" s="9" t="s">
        <v>195</v>
      </c>
      <c r="C188" s="7" t="s">
        <v>195</v>
      </c>
      <c r="D188" s="5" t="str">
        <f>LRTRIM(CONCATENATE(IF(SUMPRODUCT(-- ISNUMBER(SEARCH({"Auto Number"}, $B188))) &gt; 0, $B188, IF(SUMPRODUCT(-- ISNUMBER(SEARCH({"Lookup","Master-Detail"}, $B188))) &gt; 0,$B188 &amp; "(" &amp; $E188 &amp; ")",IF(SUMPRODUCT(-- ISNUMBER(SEARCH({"Formula","Roll-Up Summary"}, $B188))) &gt; 0,$B188 &amp; " (" &amp; $E188 &amp; ")",IF(SUMPRODUCT(-- ISNUMBER(SEARCH({"Content","Currency","Number","Percent","Text","URL"}, $B188))) &gt; 0,$B188 &amp; "(" &amp; $C188 &amp; ")",$B188)))), "  ", TRIM(IF($S188 = "YES", "(External ID)", "") &amp; " " &amp; IF(SUMPRODUCT(-- ISNUMBER(SEARCH({"Unique","Unique Case Insensitive"}, $R188))) &gt; 0, "(" &amp; $R188 &amp; ")", ""))))</f>
        <v>na</v>
      </c>
      <c r="E188" s="7" t="s">
        <v>195</v>
      </c>
      <c r="F188" s="7" t="s">
        <v>195</v>
      </c>
      <c r="G188" s="7" t="s">
        <v>195</v>
      </c>
      <c r="H188" s="7" t="s">
        <v>195</v>
      </c>
      <c r="I188" s="7" t="s">
        <v>195</v>
      </c>
      <c r="J188" s="7" t="s">
        <v>195</v>
      </c>
      <c r="K188" s="7" t="s">
        <v>195</v>
      </c>
      <c r="L188" s="7" t="s">
        <v>195</v>
      </c>
      <c r="M188" s="7" t="s">
        <v>29</v>
      </c>
      <c r="N188" s="7" t="s">
        <v>29</v>
      </c>
      <c r="O188" s="7" t="s">
        <v>29</v>
      </c>
      <c r="P188" s="7" t="s">
        <v>29</v>
      </c>
      <c r="Q188" s="7" t="s">
        <v>29</v>
      </c>
      <c r="R188" s="7" t="s">
        <v>29</v>
      </c>
      <c r="S188" s="7" t="s">
        <v>29</v>
      </c>
    </row>
    <row r="189" spans="2:19">
      <c r="B189" s="9" t="s">
        <v>195</v>
      </c>
      <c r="C189" s="7" t="s">
        <v>195</v>
      </c>
      <c r="D189" s="5" t="str">
        <f>LRTRIM(CONCATENATE(IF(SUMPRODUCT(-- ISNUMBER(SEARCH({"Auto Number"}, $B189))) &gt; 0, $B189, IF(SUMPRODUCT(-- ISNUMBER(SEARCH({"Lookup","Master-Detail"}, $B189))) &gt; 0,$B189 &amp; "(" &amp; $E189 &amp; ")",IF(SUMPRODUCT(-- ISNUMBER(SEARCH({"Formula","Roll-Up Summary"}, $B189))) &gt; 0,$B189 &amp; " (" &amp; $E189 &amp; ")",IF(SUMPRODUCT(-- ISNUMBER(SEARCH({"Content","Currency","Number","Percent","Text","URL"}, $B189))) &gt; 0,$B189 &amp; "(" &amp; $C189 &amp; ")",$B189)))), "  ", TRIM(IF($S189 = "YES", "(External ID)", "") &amp; " " &amp; IF(SUMPRODUCT(-- ISNUMBER(SEARCH({"Unique","Unique Case Insensitive"}, $R189))) &gt; 0, "(" &amp; $R189 &amp; ")", ""))))</f>
        <v>na</v>
      </c>
      <c r="E189" s="7" t="s">
        <v>195</v>
      </c>
      <c r="F189" s="7" t="s">
        <v>195</v>
      </c>
      <c r="G189" s="7" t="s">
        <v>195</v>
      </c>
      <c r="H189" s="7" t="s">
        <v>195</v>
      </c>
      <c r="I189" s="7" t="s">
        <v>195</v>
      </c>
      <c r="J189" s="7" t="s">
        <v>195</v>
      </c>
      <c r="K189" s="7" t="s">
        <v>195</v>
      </c>
      <c r="L189" s="7" t="s">
        <v>195</v>
      </c>
      <c r="M189" s="7" t="s">
        <v>29</v>
      </c>
      <c r="N189" s="7" t="s">
        <v>29</v>
      </c>
      <c r="O189" s="7" t="s">
        <v>29</v>
      </c>
      <c r="P189" s="7" t="s">
        <v>29</v>
      </c>
      <c r="Q189" s="7" t="s">
        <v>29</v>
      </c>
      <c r="R189" s="7" t="s">
        <v>29</v>
      </c>
      <c r="S189" s="7" t="s">
        <v>29</v>
      </c>
    </row>
    <row r="190" spans="2:19">
      <c r="B190" s="9" t="s">
        <v>195</v>
      </c>
      <c r="C190" s="7" t="s">
        <v>195</v>
      </c>
      <c r="D190" s="5" t="str">
        <f>LRTRIM(CONCATENATE(IF(SUMPRODUCT(-- ISNUMBER(SEARCH({"Auto Number"}, $B190))) &gt; 0, $B190, IF(SUMPRODUCT(-- ISNUMBER(SEARCH({"Lookup","Master-Detail"}, $B190))) &gt; 0,$B190 &amp; "(" &amp; $E190 &amp; ")",IF(SUMPRODUCT(-- ISNUMBER(SEARCH({"Formula","Roll-Up Summary"}, $B190))) &gt; 0,$B190 &amp; " (" &amp; $E190 &amp; ")",IF(SUMPRODUCT(-- ISNUMBER(SEARCH({"Content","Currency","Number","Percent","Text","URL"}, $B190))) &gt; 0,$B190 &amp; "(" &amp; $C190 &amp; ")",$B190)))), "  ", TRIM(IF($S190 = "YES", "(External ID)", "") &amp; " " &amp; IF(SUMPRODUCT(-- ISNUMBER(SEARCH({"Unique","Unique Case Insensitive"}, $R190))) &gt; 0, "(" &amp; $R190 &amp; ")", ""))))</f>
        <v>na</v>
      </c>
      <c r="E190" s="7" t="s">
        <v>195</v>
      </c>
      <c r="F190" s="7" t="s">
        <v>195</v>
      </c>
      <c r="G190" s="7" t="s">
        <v>195</v>
      </c>
      <c r="H190" s="7" t="s">
        <v>195</v>
      </c>
      <c r="I190" s="7" t="s">
        <v>195</v>
      </c>
      <c r="J190" s="7" t="s">
        <v>195</v>
      </c>
      <c r="K190" s="7" t="s">
        <v>195</v>
      </c>
      <c r="L190" s="7" t="s">
        <v>195</v>
      </c>
      <c r="M190" s="7" t="s">
        <v>29</v>
      </c>
      <c r="N190" s="7" t="s">
        <v>29</v>
      </c>
      <c r="O190" s="7" t="s">
        <v>29</v>
      </c>
      <c r="P190" s="7" t="s">
        <v>29</v>
      </c>
      <c r="Q190" s="7" t="s">
        <v>29</v>
      </c>
      <c r="R190" s="7" t="s">
        <v>29</v>
      </c>
      <c r="S190" s="7" t="s">
        <v>29</v>
      </c>
    </row>
    <row r="191" spans="2:19">
      <c r="B191" s="9" t="s">
        <v>195</v>
      </c>
      <c r="C191" s="7" t="s">
        <v>195</v>
      </c>
      <c r="D191" s="5" t="str">
        <f>LRTRIM(CONCATENATE(IF(SUMPRODUCT(-- ISNUMBER(SEARCH({"Auto Number"}, $B191))) &gt; 0, $B191, IF(SUMPRODUCT(-- ISNUMBER(SEARCH({"Lookup","Master-Detail"}, $B191))) &gt; 0,$B191 &amp; "(" &amp; $E191 &amp; ")",IF(SUMPRODUCT(-- ISNUMBER(SEARCH({"Formula","Roll-Up Summary"}, $B191))) &gt; 0,$B191 &amp; " (" &amp; $E191 &amp; ")",IF(SUMPRODUCT(-- ISNUMBER(SEARCH({"Content","Currency","Number","Percent","Text","URL"}, $B191))) &gt; 0,$B191 &amp; "(" &amp; $C191 &amp; ")",$B191)))), "  ", TRIM(IF($S191 = "YES", "(External ID)", "") &amp; " " &amp; IF(SUMPRODUCT(-- ISNUMBER(SEARCH({"Unique","Unique Case Insensitive"}, $R191))) &gt; 0, "(" &amp; $R191 &amp; ")", ""))))</f>
        <v>na</v>
      </c>
      <c r="E191" s="7" t="s">
        <v>195</v>
      </c>
      <c r="F191" s="7" t="s">
        <v>195</v>
      </c>
      <c r="G191" s="7" t="s">
        <v>195</v>
      </c>
      <c r="H191" s="7" t="s">
        <v>195</v>
      </c>
      <c r="I191" s="7" t="s">
        <v>195</v>
      </c>
      <c r="J191" s="7" t="s">
        <v>195</v>
      </c>
      <c r="K191" s="7" t="s">
        <v>195</v>
      </c>
      <c r="L191" s="7" t="s">
        <v>195</v>
      </c>
      <c r="M191" s="7" t="s">
        <v>29</v>
      </c>
      <c r="N191" s="7" t="s">
        <v>29</v>
      </c>
      <c r="O191" s="7" t="s">
        <v>29</v>
      </c>
      <c r="P191" s="7" t="s">
        <v>29</v>
      </c>
      <c r="Q191" s="7" t="s">
        <v>29</v>
      </c>
      <c r="R191" s="7" t="s">
        <v>29</v>
      </c>
      <c r="S191" s="7" t="s">
        <v>29</v>
      </c>
    </row>
    <row r="192" spans="2:19">
      <c r="B192" s="9" t="s">
        <v>195</v>
      </c>
      <c r="C192" s="7" t="s">
        <v>195</v>
      </c>
      <c r="D192" s="5" t="str">
        <f>LRTRIM(CONCATENATE(IF(SUMPRODUCT(-- ISNUMBER(SEARCH({"Auto Number"}, $B192))) &gt; 0, $B192, IF(SUMPRODUCT(-- ISNUMBER(SEARCH({"Lookup","Master-Detail"}, $B192))) &gt; 0,$B192 &amp; "(" &amp; $E192 &amp; ")",IF(SUMPRODUCT(-- ISNUMBER(SEARCH({"Formula","Roll-Up Summary"}, $B192))) &gt; 0,$B192 &amp; " (" &amp; $E192 &amp; ")",IF(SUMPRODUCT(-- ISNUMBER(SEARCH({"Content","Currency","Number","Percent","Text","URL"}, $B192))) &gt; 0,$B192 &amp; "(" &amp; $C192 &amp; ")",$B192)))), "  ", TRIM(IF($S192 = "YES", "(External ID)", "") &amp; " " &amp; IF(SUMPRODUCT(-- ISNUMBER(SEARCH({"Unique","Unique Case Insensitive"}, $R192))) &gt; 0, "(" &amp; $R192 &amp; ")", ""))))</f>
        <v>na</v>
      </c>
      <c r="E192" s="7" t="s">
        <v>195</v>
      </c>
      <c r="F192" s="7" t="s">
        <v>195</v>
      </c>
      <c r="G192" s="7" t="s">
        <v>195</v>
      </c>
      <c r="H192" s="7" t="s">
        <v>195</v>
      </c>
      <c r="I192" s="7" t="s">
        <v>195</v>
      </c>
      <c r="J192" s="7" t="s">
        <v>195</v>
      </c>
      <c r="K192" s="7" t="s">
        <v>195</v>
      </c>
      <c r="L192" s="7" t="s">
        <v>195</v>
      </c>
      <c r="M192" s="7" t="s">
        <v>29</v>
      </c>
      <c r="N192" s="7" t="s">
        <v>29</v>
      </c>
      <c r="O192" s="7" t="s">
        <v>29</v>
      </c>
      <c r="P192" s="7" t="s">
        <v>29</v>
      </c>
      <c r="Q192" s="7" t="s">
        <v>29</v>
      </c>
      <c r="R192" s="7" t="s">
        <v>29</v>
      </c>
      <c r="S192" s="7" t="s">
        <v>29</v>
      </c>
    </row>
    <row r="193" spans="2:19">
      <c r="B193" s="9" t="s">
        <v>195</v>
      </c>
      <c r="C193" s="7" t="s">
        <v>195</v>
      </c>
      <c r="D193" s="5" t="str">
        <f>LRTRIM(CONCATENATE(IF(SUMPRODUCT(-- ISNUMBER(SEARCH({"Auto Number"}, $B193))) &gt; 0, $B193, IF(SUMPRODUCT(-- ISNUMBER(SEARCH({"Lookup","Master-Detail"}, $B193))) &gt; 0,$B193 &amp; "(" &amp; $E193 &amp; ")",IF(SUMPRODUCT(-- ISNUMBER(SEARCH({"Formula","Roll-Up Summary"}, $B193))) &gt; 0,$B193 &amp; " (" &amp; $E193 &amp; ")",IF(SUMPRODUCT(-- ISNUMBER(SEARCH({"Content","Currency","Number","Percent","Text","URL"}, $B193))) &gt; 0,$B193 &amp; "(" &amp; $C193 &amp; ")",$B193)))), "  ", TRIM(IF($S193 = "YES", "(External ID)", "") &amp; " " &amp; IF(SUMPRODUCT(-- ISNUMBER(SEARCH({"Unique","Unique Case Insensitive"}, $R193))) &gt; 0, "(" &amp; $R193 &amp; ")", ""))))</f>
        <v>na</v>
      </c>
      <c r="E193" s="7" t="s">
        <v>195</v>
      </c>
      <c r="F193" s="7" t="s">
        <v>195</v>
      </c>
      <c r="G193" s="7" t="s">
        <v>195</v>
      </c>
      <c r="H193" s="7" t="s">
        <v>195</v>
      </c>
      <c r="I193" s="7" t="s">
        <v>195</v>
      </c>
      <c r="J193" s="7" t="s">
        <v>195</v>
      </c>
      <c r="K193" s="7" t="s">
        <v>195</v>
      </c>
      <c r="L193" s="7" t="s">
        <v>195</v>
      </c>
      <c r="M193" s="7" t="s">
        <v>29</v>
      </c>
      <c r="N193" s="7" t="s">
        <v>29</v>
      </c>
      <c r="O193" s="7" t="s">
        <v>29</v>
      </c>
      <c r="P193" s="7" t="s">
        <v>29</v>
      </c>
      <c r="Q193" s="7" t="s">
        <v>29</v>
      </c>
      <c r="R193" s="7" t="s">
        <v>29</v>
      </c>
      <c r="S193" s="7" t="s">
        <v>29</v>
      </c>
    </row>
    <row r="194" spans="2:19">
      <c r="B194" s="9" t="s">
        <v>195</v>
      </c>
      <c r="C194" s="7" t="s">
        <v>195</v>
      </c>
      <c r="D194" s="5" t="str">
        <f>LRTRIM(CONCATENATE(IF(SUMPRODUCT(-- ISNUMBER(SEARCH({"Auto Number"}, $B194))) &gt; 0, $B194, IF(SUMPRODUCT(-- ISNUMBER(SEARCH({"Lookup","Master-Detail"}, $B194))) &gt; 0,$B194 &amp; "(" &amp; $E194 &amp; ")",IF(SUMPRODUCT(-- ISNUMBER(SEARCH({"Formula","Roll-Up Summary"}, $B194))) &gt; 0,$B194 &amp; " (" &amp; $E194 &amp; ")",IF(SUMPRODUCT(-- ISNUMBER(SEARCH({"Content","Currency","Number","Percent","Text","URL"}, $B194))) &gt; 0,$B194 &amp; "(" &amp; $C194 &amp; ")",$B194)))), "  ", TRIM(IF($S194 = "YES", "(External ID)", "") &amp; " " &amp; IF(SUMPRODUCT(-- ISNUMBER(SEARCH({"Unique","Unique Case Insensitive"}, $R194))) &gt; 0, "(" &amp; $R194 &amp; ")", ""))))</f>
        <v>na</v>
      </c>
      <c r="E194" s="7" t="s">
        <v>195</v>
      </c>
      <c r="F194" s="7" t="s">
        <v>195</v>
      </c>
      <c r="G194" s="7" t="s">
        <v>195</v>
      </c>
      <c r="H194" s="7" t="s">
        <v>195</v>
      </c>
      <c r="I194" s="7" t="s">
        <v>195</v>
      </c>
      <c r="J194" s="7" t="s">
        <v>195</v>
      </c>
      <c r="K194" s="7" t="s">
        <v>195</v>
      </c>
      <c r="L194" s="7" t="s">
        <v>195</v>
      </c>
      <c r="M194" s="7" t="s">
        <v>29</v>
      </c>
      <c r="N194" s="7" t="s">
        <v>29</v>
      </c>
      <c r="O194" s="7" t="s">
        <v>29</v>
      </c>
      <c r="P194" s="7" t="s">
        <v>29</v>
      </c>
      <c r="Q194" s="7" t="s">
        <v>29</v>
      </c>
      <c r="R194" s="7" t="s">
        <v>29</v>
      </c>
      <c r="S194" s="7" t="s">
        <v>29</v>
      </c>
    </row>
    <row r="195" spans="2:19">
      <c r="B195" s="9" t="s">
        <v>195</v>
      </c>
      <c r="C195" s="7" t="s">
        <v>195</v>
      </c>
      <c r="D195" s="5" t="str">
        <f>LRTRIM(CONCATENATE(IF(SUMPRODUCT(-- ISNUMBER(SEARCH({"Auto Number"}, $B195))) &gt; 0, $B195, IF(SUMPRODUCT(-- ISNUMBER(SEARCH({"Lookup","Master-Detail"}, $B195))) &gt; 0,$B195 &amp; "(" &amp; $E195 &amp; ")",IF(SUMPRODUCT(-- ISNUMBER(SEARCH({"Formula","Roll-Up Summary"}, $B195))) &gt; 0,$B195 &amp; " (" &amp; $E195 &amp; ")",IF(SUMPRODUCT(-- ISNUMBER(SEARCH({"Content","Currency","Number","Percent","Text","URL"}, $B195))) &gt; 0,$B195 &amp; "(" &amp; $C195 &amp; ")",$B195)))), "  ", TRIM(IF($S195 = "YES", "(External ID)", "") &amp; " " &amp; IF(SUMPRODUCT(-- ISNUMBER(SEARCH({"Unique","Unique Case Insensitive"}, $R195))) &gt; 0, "(" &amp; $R195 &amp; ")", ""))))</f>
        <v>na</v>
      </c>
      <c r="E195" s="7" t="s">
        <v>195</v>
      </c>
      <c r="F195" s="7" t="s">
        <v>195</v>
      </c>
      <c r="G195" s="7" t="s">
        <v>195</v>
      </c>
      <c r="H195" s="7" t="s">
        <v>195</v>
      </c>
      <c r="I195" s="7" t="s">
        <v>195</v>
      </c>
      <c r="J195" s="7" t="s">
        <v>195</v>
      </c>
      <c r="K195" s="7" t="s">
        <v>195</v>
      </c>
      <c r="L195" s="7" t="s">
        <v>195</v>
      </c>
      <c r="M195" s="7" t="s">
        <v>29</v>
      </c>
      <c r="N195" s="7" t="s">
        <v>29</v>
      </c>
      <c r="O195" s="7" t="s">
        <v>29</v>
      </c>
      <c r="P195" s="7" t="s">
        <v>29</v>
      </c>
      <c r="Q195" s="7" t="s">
        <v>29</v>
      </c>
      <c r="R195" s="7" t="s">
        <v>29</v>
      </c>
      <c r="S195" s="7" t="s">
        <v>29</v>
      </c>
    </row>
    <row r="196" spans="2:19">
      <c r="B196" s="9" t="s">
        <v>195</v>
      </c>
      <c r="C196" s="7" t="s">
        <v>195</v>
      </c>
      <c r="D196" s="5" t="str">
        <f>LRTRIM(CONCATENATE(IF(SUMPRODUCT(-- ISNUMBER(SEARCH({"Auto Number"}, $B196))) &gt; 0, $B196, IF(SUMPRODUCT(-- ISNUMBER(SEARCH({"Lookup","Master-Detail"}, $B196))) &gt; 0,$B196 &amp; "(" &amp; $E196 &amp; ")",IF(SUMPRODUCT(-- ISNUMBER(SEARCH({"Formula","Roll-Up Summary"}, $B196))) &gt; 0,$B196 &amp; " (" &amp; $E196 &amp; ")",IF(SUMPRODUCT(-- ISNUMBER(SEARCH({"Content","Currency","Number","Percent","Text","URL"}, $B196))) &gt; 0,$B196 &amp; "(" &amp; $C196 &amp; ")",$B196)))), "  ", TRIM(IF($S196 = "YES", "(External ID)", "") &amp; " " &amp; IF(SUMPRODUCT(-- ISNUMBER(SEARCH({"Unique","Unique Case Insensitive"}, $R196))) &gt; 0, "(" &amp; $R196 &amp; ")", ""))))</f>
        <v>na</v>
      </c>
      <c r="E196" s="7" t="s">
        <v>195</v>
      </c>
      <c r="F196" s="7" t="s">
        <v>195</v>
      </c>
      <c r="G196" s="7" t="s">
        <v>195</v>
      </c>
      <c r="H196" s="7" t="s">
        <v>195</v>
      </c>
      <c r="I196" s="7" t="s">
        <v>195</v>
      </c>
      <c r="J196" s="7" t="s">
        <v>195</v>
      </c>
      <c r="K196" s="7" t="s">
        <v>195</v>
      </c>
      <c r="L196" s="7" t="s">
        <v>195</v>
      </c>
      <c r="M196" s="7" t="s">
        <v>29</v>
      </c>
      <c r="N196" s="7" t="s">
        <v>29</v>
      </c>
      <c r="O196" s="7" t="s">
        <v>29</v>
      </c>
      <c r="P196" s="7" t="s">
        <v>29</v>
      </c>
      <c r="Q196" s="7" t="s">
        <v>29</v>
      </c>
      <c r="R196" s="7" t="s">
        <v>29</v>
      </c>
      <c r="S196" s="7" t="s">
        <v>29</v>
      </c>
    </row>
    <row r="197" spans="2:19">
      <c r="B197" s="9" t="s">
        <v>195</v>
      </c>
      <c r="C197" s="7" t="s">
        <v>195</v>
      </c>
      <c r="D197" s="5" t="str">
        <f>LRTRIM(CONCATENATE(IF(SUMPRODUCT(-- ISNUMBER(SEARCH({"Auto Number"}, $B197))) &gt; 0, $B197, IF(SUMPRODUCT(-- ISNUMBER(SEARCH({"Lookup","Master-Detail"}, $B197))) &gt; 0,$B197 &amp; "(" &amp; $E197 &amp; ")",IF(SUMPRODUCT(-- ISNUMBER(SEARCH({"Formula","Roll-Up Summary"}, $B197))) &gt; 0,$B197 &amp; " (" &amp; $E197 &amp; ")",IF(SUMPRODUCT(-- ISNUMBER(SEARCH({"Content","Currency","Number","Percent","Text","URL"}, $B197))) &gt; 0,$B197 &amp; "(" &amp; $C197 &amp; ")",$B197)))), "  ", TRIM(IF($S197 = "YES", "(External ID)", "") &amp; " " &amp; IF(SUMPRODUCT(-- ISNUMBER(SEARCH({"Unique","Unique Case Insensitive"}, $R197))) &gt; 0, "(" &amp; $R197 &amp; ")", ""))))</f>
        <v>na</v>
      </c>
      <c r="E197" s="7" t="s">
        <v>195</v>
      </c>
      <c r="F197" s="7" t="s">
        <v>195</v>
      </c>
      <c r="G197" s="7" t="s">
        <v>195</v>
      </c>
      <c r="H197" s="7" t="s">
        <v>195</v>
      </c>
      <c r="I197" s="7" t="s">
        <v>195</v>
      </c>
      <c r="J197" s="7" t="s">
        <v>195</v>
      </c>
      <c r="K197" s="7" t="s">
        <v>195</v>
      </c>
      <c r="L197" s="7" t="s">
        <v>195</v>
      </c>
      <c r="M197" s="7" t="s">
        <v>29</v>
      </c>
      <c r="N197" s="7" t="s">
        <v>29</v>
      </c>
      <c r="O197" s="7" t="s">
        <v>29</v>
      </c>
      <c r="P197" s="7" t="s">
        <v>29</v>
      </c>
      <c r="Q197" s="7" t="s">
        <v>29</v>
      </c>
      <c r="R197" s="7" t="s">
        <v>29</v>
      </c>
      <c r="S197" s="7" t="s">
        <v>29</v>
      </c>
    </row>
    <row r="198" spans="2:19">
      <c r="B198" s="9" t="s">
        <v>195</v>
      </c>
      <c r="C198" s="7" t="s">
        <v>195</v>
      </c>
      <c r="D198" s="5" t="str">
        <f>LRTRIM(CONCATENATE(IF(SUMPRODUCT(-- ISNUMBER(SEARCH({"Auto Number"}, $B198))) &gt; 0, $B198, IF(SUMPRODUCT(-- ISNUMBER(SEARCH({"Lookup","Master-Detail"}, $B198))) &gt; 0,$B198 &amp; "(" &amp; $E198 &amp; ")",IF(SUMPRODUCT(-- ISNUMBER(SEARCH({"Formula","Roll-Up Summary"}, $B198))) &gt; 0,$B198 &amp; " (" &amp; $E198 &amp; ")",IF(SUMPRODUCT(-- ISNUMBER(SEARCH({"Content","Currency","Number","Percent","Text","URL"}, $B198))) &gt; 0,$B198 &amp; "(" &amp; $C198 &amp; ")",$B198)))), "  ", TRIM(IF($S198 = "YES", "(External ID)", "") &amp; " " &amp; IF(SUMPRODUCT(-- ISNUMBER(SEARCH({"Unique","Unique Case Insensitive"}, $R198))) &gt; 0, "(" &amp; $R198 &amp; ")", ""))))</f>
        <v>na</v>
      </c>
      <c r="E198" s="7" t="s">
        <v>195</v>
      </c>
      <c r="F198" s="7" t="s">
        <v>195</v>
      </c>
      <c r="G198" s="7" t="s">
        <v>195</v>
      </c>
      <c r="H198" s="7" t="s">
        <v>195</v>
      </c>
      <c r="I198" s="7" t="s">
        <v>195</v>
      </c>
      <c r="J198" s="7" t="s">
        <v>195</v>
      </c>
      <c r="K198" s="7" t="s">
        <v>195</v>
      </c>
      <c r="L198" s="7" t="s">
        <v>195</v>
      </c>
      <c r="M198" s="7" t="s">
        <v>29</v>
      </c>
      <c r="N198" s="7" t="s">
        <v>29</v>
      </c>
      <c r="O198" s="7" t="s">
        <v>29</v>
      </c>
      <c r="P198" s="7" t="s">
        <v>29</v>
      </c>
      <c r="Q198" s="7" t="s">
        <v>29</v>
      </c>
      <c r="R198" s="7" t="s">
        <v>29</v>
      </c>
      <c r="S198" s="7" t="s">
        <v>29</v>
      </c>
    </row>
    <row r="199" spans="2:19">
      <c r="B199" s="9" t="s">
        <v>195</v>
      </c>
      <c r="C199" s="7" t="s">
        <v>195</v>
      </c>
      <c r="D199" s="5" t="str">
        <f>LRTRIM(CONCATENATE(IF(SUMPRODUCT(-- ISNUMBER(SEARCH({"Auto Number"}, $B199))) &gt; 0, $B199, IF(SUMPRODUCT(-- ISNUMBER(SEARCH({"Lookup","Master-Detail"}, $B199))) &gt; 0,$B199 &amp; "(" &amp; $E199 &amp; ")",IF(SUMPRODUCT(-- ISNUMBER(SEARCH({"Formula","Roll-Up Summary"}, $B199))) &gt; 0,$B199 &amp; " (" &amp; $E199 &amp; ")",IF(SUMPRODUCT(-- ISNUMBER(SEARCH({"Content","Currency","Number","Percent","Text","URL"}, $B199))) &gt; 0,$B199 &amp; "(" &amp; $C199 &amp; ")",$B199)))), "  ", TRIM(IF($S199 = "YES", "(External ID)", "") &amp; " " &amp; IF(SUMPRODUCT(-- ISNUMBER(SEARCH({"Unique","Unique Case Insensitive"}, $R199))) &gt; 0, "(" &amp; $R199 &amp; ")", ""))))</f>
        <v>na</v>
      </c>
      <c r="E199" s="7" t="s">
        <v>195</v>
      </c>
      <c r="F199" s="7" t="s">
        <v>195</v>
      </c>
      <c r="G199" s="7" t="s">
        <v>195</v>
      </c>
      <c r="H199" s="7" t="s">
        <v>195</v>
      </c>
      <c r="I199" s="7" t="s">
        <v>195</v>
      </c>
      <c r="J199" s="7" t="s">
        <v>195</v>
      </c>
      <c r="K199" s="7" t="s">
        <v>195</v>
      </c>
      <c r="L199" s="7" t="s">
        <v>195</v>
      </c>
      <c r="M199" s="7" t="s">
        <v>29</v>
      </c>
      <c r="N199" s="7" t="s">
        <v>29</v>
      </c>
      <c r="O199" s="7" t="s">
        <v>29</v>
      </c>
      <c r="P199" s="7" t="s">
        <v>29</v>
      </c>
      <c r="Q199" s="7" t="s">
        <v>29</v>
      </c>
      <c r="R199" s="7" t="s">
        <v>29</v>
      </c>
      <c r="S199" s="7" t="s">
        <v>29</v>
      </c>
    </row>
    <row r="200" spans="2:19">
      <c r="B200" s="9" t="s">
        <v>195</v>
      </c>
      <c r="C200" s="7" t="s">
        <v>195</v>
      </c>
      <c r="D200" s="5" t="str">
        <f>LRTRIM(CONCATENATE(IF(SUMPRODUCT(-- ISNUMBER(SEARCH({"Auto Number"}, $B200))) &gt; 0, $B200, IF(SUMPRODUCT(-- ISNUMBER(SEARCH({"Lookup","Master-Detail"}, $B200))) &gt; 0,$B200 &amp; "(" &amp; $E200 &amp; ")",IF(SUMPRODUCT(-- ISNUMBER(SEARCH({"Formula","Roll-Up Summary"}, $B200))) &gt; 0,$B200 &amp; " (" &amp; $E200 &amp; ")",IF(SUMPRODUCT(-- ISNUMBER(SEARCH({"Content","Currency","Number","Percent","Text","URL"}, $B200))) &gt; 0,$B200 &amp; "(" &amp; $C200 &amp; ")",$B200)))), "  ", TRIM(IF($S200 = "YES", "(External ID)", "") &amp; " " &amp; IF(SUMPRODUCT(-- ISNUMBER(SEARCH({"Unique","Unique Case Insensitive"}, $R200))) &gt; 0, "(" &amp; $R200 &amp; ")", ""))))</f>
        <v>na</v>
      </c>
      <c r="E200" s="7" t="s">
        <v>195</v>
      </c>
      <c r="F200" s="7" t="s">
        <v>195</v>
      </c>
      <c r="G200" s="7" t="s">
        <v>195</v>
      </c>
      <c r="H200" s="7" t="s">
        <v>195</v>
      </c>
      <c r="I200" s="7" t="s">
        <v>195</v>
      </c>
      <c r="J200" s="7" t="s">
        <v>195</v>
      </c>
      <c r="K200" s="7" t="s">
        <v>195</v>
      </c>
      <c r="L200" s="7" t="s">
        <v>195</v>
      </c>
      <c r="M200" s="7" t="s">
        <v>29</v>
      </c>
      <c r="N200" s="7" t="s">
        <v>29</v>
      </c>
      <c r="O200" s="7" t="s">
        <v>29</v>
      </c>
      <c r="P200" s="7" t="s">
        <v>29</v>
      </c>
      <c r="Q200" s="7" t="s">
        <v>29</v>
      </c>
      <c r="R200" s="7" t="s">
        <v>29</v>
      </c>
      <c r="S200" s="7" t="s">
        <v>29</v>
      </c>
    </row>
  </sheetData>
  <sheetProtection formatCells="0" formatColumns="0" formatRows="0" insertColumns="0" insertRows="0" insertHyperlinks="0" deleteColumns="0" deleteRows="0" sort="0" autoFilter="0" pivotTables="0"/>
  <conditionalFormatting sqref="D2:D5">
    <cfRule type="expression" dxfId="93" priority="3">
      <formula>NOT(_xlfn.ISFORMULA($D2))</formula>
    </cfRule>
  </conditionalFormatting>
  <conditionalFormatting sqref="D6">
    <cfRule type="expression" dxfId="92" priority="2">
      <formula>NOT(_xlfn.ISFORMULA($D6))</formula>
    </cfRule>
  </conditionalFormatting>
  <conditionalFormatting sqref="D7:D200">
    <cfRule type="expression" dxfId="91" priority="1">
      <formula>NOT(_xlfn.ISFORMULA($D7))</formula>
    </cfRule>
  </conditionalFormatting>
  <dataValidations count="1">
    <dataValidation allowBlank="1" showInputMessage="1" showErrorMessage="1" sqref="A2:A5"/>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5">
        <x14:dataValidation type="list" allowBlank="1" showInputMessage="1" showErrorMessage="1">
          <x14:formula1>
            <xm:f>OFFSET('Reference Fields'!$J$2,0,0,COUNTA('Reference Fields'!$J:$J)-1)</xm:f>
          </x14:formula1>
          <xm:sqref>M2:M200</xm:sqref>
        </x14:dataValidation>
        <x14:dataValidation type="list" allowBlank="1" showInputMessage="1" showErrorMessage="1">
          <x14:formula1>
            <xm:f>OFFSET('Reference Fields'!$J$2,0,0,COUNTA('Reference Fields'!$J:$J)-1)</xm:f>
          </x14:formula1>
          <xm:sqref>N2:N200</xm:sqref>
        </x14:dataValidation>
        <x14:dataValidation type="list" allowBlank="1" showInputMessage="1" showErrorMessage="1">
          <x14:formula1>
            <xm:f>OFFSET('Reference Fields'!$J$2,0,0,COUNTA('Reference Fields'!$J:$J)-1)</xm:f>
          </x14:formula1>
          <xm:sqref>O2:O200</xm:sqref>
        </x14:dataValidation>
        <x14:dataValidation type="list" allowBlank="1" showInputMessage="1" showErrorMessage="1">
          <x14:formula1>
            <xm:f>OFFSET('Reference Fields'!$J$2,0,0,COUNTA('Reference Fields'!$J:$J)-1)</xm:f>
          </x14:formula1>
          <xm:sqref>P2:P200</xm:sqref>
        </x14:dataValidation>
        <x14:dataValidation type="list" allowBlank="1" showInputMessage="1" showErrorMessage="1">
          <x14:formula1>
            <xm:f>OFFSET('Reference Fields'!$J$2,0,0,COUNTA('Reference Fields'!$J:$J)-1)</xm:f>
          </x14:formula1>
          <xm:sqref>Q2:Q200</xm:sqref>
        </x14:dataValidation>
        <x14:dataValidation type="list" allowBlank="1" showInputMessage="1" showErrorMessage="1">
          <x14:formula1>
            <xm:f>OFFSET('Reference Fields'!$J$2,0,0,COUNTA('Reference Fields'!$J:$J)-1)</xm:f>
          </x14:formula1>
          <xm:sqref>S2:S200</xm:sqref>
        </x14:dataValidation>
        <x14:dataValidation type="list" allowBlank="1" showInputMessage="1" showErrorMessage="1">
          <x14:formula1>
            <xm:f>OFFSET('Reference Fields'!$K$2,0,0,COUNTA('Reference Fields'!$K:$K)-1)</xm:f>
          </x14:formula1>
          <xm:sqref>R2:R200</xm:sqref>
        </x14:dataValidation>
        <x14:dataValidation type="list" allowBlank="1" showInputMessage="1" showErrorMessage="1">
          <x14:formula1>
            <xm:f>OFFSET('Reference Fields'!$B$2,0,0,COUNTA('Reference Fields'!$B:$B)-1)</xm:f>
          </x14:formula1>
          <xm:sqref>B2:B200</xm:sqref>
        </x14:dataValidation>
        <x14:dataValidation type="list" allowBlank="1" showInputMessage="1" showErrorMessage="1">
          <x14:formula1>
            <xm:f>OFFSET('Reference Fields'!$D$2,0,0,COUNTA('Reference Fields'!$D:$D)-1)</xm:f>
          </x14:formula1>
          <xm:sqref>F2:F200</xm:sqref>
        </x14:dataValidation>
        <x14:dataValidation type="list" allowBlank="1" showInputMessage="1" showErrorMessage="1">
          <x14:formula1>
            <xm:f>OFFSET('Reference Fields'!$E$2,0,0,COUNTA('Reference Fields'!$E:$E)-1)</xm:f>
          </x14:formula1>
          <xm:sqref>G2:G200</xm:sqref>
        </x14:dataValidation>
        <x14:dataValidation type="list" allowBlank="1" showInputMessage="1" showErrorMessage="1">
          <x14:formula1>
            <xm:f>OFFSET('Reference Fields'!$F$2,0,0,COUNTA('Reference Fields'!$F:$F)-1)</xm:f>
          </x14:formula1>
          <xm:sqref>H2:H200</xm:sqref>
        </x14:dataValidation>
        <x14:dataValidation type="list" allowBlank="1" showInputMessage="1" showErrorMessage="1">
          <x14:formula1>
            <xm:f>OFFSET('Reference Fields'!$F$2,0,0,COUNTA('Reference Fields'!$F:$F)-1)</xm:f>
          </x14:formula1>
          <xm:sqref>I2:I200</xm:sqref>
        </x14:dataValidation>
        <x14:dataValidation type="list" allowBlank="1" showInputMessage="1" showErrorMessage="1">
          <x14:formula1>
            <xm:f>OFFSET('Reference Fields'!$G$2,0,0,COUNTA('Reference Fields'!$G:$G)-1)</xm:f>
          </x14:formula1>
          <xm:sqref>J2:J200</xm:sqref>
        </x14:dataValidation>
        <x14:dataValidation type="list" allowBlank="1" showInputMessage="1" showErrorMessage="1">
          <x14:formula1>
            <xm:f>OFFSET('Reference Fields'!$H$2,0,0,COUNTA('Reference Fields'!$H:$H)-1)</xm:f>
          </x14:formula1>
          <xm:sqref>K2:K200</xm:sqref>
        </x14:dataValidation>
        <x14:dataValidation type="list" allowBlank="1" showInputMessage="1" showErrorMessage="1">
          <x14:formula1>
            <xm:f>OFFSET('Reference Fields'!$I$2,0,0,COUNTA('Reference Fields'!$I:$I)-1)</xm:f>
          </x14:formula1>
          <xm:sqref>L2:L200</xm:sqref>
        </x14:dataValidation>
      </x14:dataValidations>
    </ext>
  </extLst>
</worksheet>
</file>

<file path=xl/worksheets/sheet9.xml><?xml version="1.0" encoding="utf-8"?>
<worksheet xmlns="http://schemas.openxmlformats.org/spreadsheetml/2006/main" xmlns:r="http://schemas.openxmlformats.org/officeDocument/2006/relationships">
  <sheetPr codeName="Sheet29"/>
  <dimension ref="A1:S200"/>
  <sheetViews>
    <sheetView workbookViewId="0">
      <selection activeCell="A2" sqref="A2"/>
    </sheetView>
  </sheetViews>
  <sheetFormatPr defaultRowHeight="14.5"/>
  <cols>
    <col min="1" max="1" width="24" bestFit="1" customWidth="1"/>
  </cols>
  <sheetData>
    <row r="1" spans="1:19">
      <c r="A1" s="1" t="s">
        <v>2</v>
      </c>
      <c r="B1" s="1" t="s">
        <v>1198</v>
      </c>
      <c r="C1" s="1" t="s">
        <v>1199</v>
      </c>
      <c r="D1" s="1" t="s">
        <v>0</v>
      </c>
      <c r="E1" s="1" t="s">
        <v>1</v>
      </c>
      <c r="F1" s="1" t="s">
        <v>30</v>
      </c>
      <c r="G1" s="1" t="s">
        <v>31</v>
      </c>
      <c r="H1" s="1" t="s">
        <v>1262</v>
      </c>
      <c r="I1" s="1" t="s">
        <v>49</v>
      </c>
      <c r="J1" s="1" t="s">
        <v>48</v>
      </c>
      <c r="K1" s="1" t="s">
        <v>54</v>
      </c>
      <c r="L1" s="1" t="s">
        <v>55</v>
      </c>
      <c r="M1" s="1" t="s">
        <v>27</v>
      </c>
      <c r="N1" s="1" t="s">
        <v>175</v>
      </c>
      <c r="O1" s="1" t="s">
        <v>193</v>
      </c>
      <c r="P1" s="1" t="s">
        <v>1221</v>
      </c>
      <c r="Q1" s="1" t="s">
        <v>1264</v>
      </c>
      <c r="R1" s="1" t="s">
        <v>1263</v>
      </c>
      <c r="S1" s="1" t="s">
        <v>1265</v>
      </c>
    </row>
    <row r="2" spans="1:19">
      <c r="A2" s="7" t="s">
        <v>1317</v>
      </c>
      <c r="B2" s="9" t="s">
        <v>1212</v>
      </c>
      <c r="C2" s="7">
        <v>0</v>
      </c>
      <c r="D2" s="5" t="str">
        <f>LRTRIM(CONCATENATE(IF(SUMPRODUCT(-- ISNUMBER(SEARCH({"Auto Number"}, $B2))) &gt; 0, $B2, IF(SUMPRODUCT(-- ISNUMBER(SEARCH({"Lookup","Master-Detail"}, $B2))) &gt; 0,$B2 &amp; "(" &amp; $E2 &amp; ")",IF(SUMPRODUCT(-- ISNUMBER(SEARCH({"Formula","Roll-Up Summary"}, $B2))) &gt; 0,$B2 &amp; " (" &amp; $E2 &amp; ")",IF(SUMPRODUCT(-- ISNUMBER(SEARCH({"Content","Currency","Number","Percent","Text","URL"}, $B2))) &gt; 0,$B2 &amp; "(" &amp; $C2 &amp; ")",$B2)))), "  ", TRIM(IF($S2 = "YES", "(External ID)", "") &amp; " " &amp; IF(SUMPRODUCT(-- ISNUMBER(SEARCH({"Unique","Unique Case Insensitive"}, $R2))) &gt; 0, "(" &amp; $R2 &amp; ")", ""))))</f>
        <v>Master-Detail(Campaign Event Session)</v>
      </c>
      <c r="E2" s="7" t="s">
        <v>1322</v>
      </c>
      <c r="F2" s="7" t="s">
        <v>1322</v>
      </c>
      <c r="G2" s="7" t="s">
        <v>1325</v>
      </c>
      <c r="H2" s="7" t="s">
        <v>195</v>
      </c>
      <c r="I2" s="7" t="s">
        <v>195</v>
      </c>
      <c r="J2" s="7" t="s">
        <v>195</v>
      </c>
      <c r="K2" s="7" t="s">
        <v>195</v>
      </c>
      <c r="L2" s="7" t="s">
        <v>195</v>
      </c>
      <c r="M2" s="7" t="s">
        <v>28</v>
      </c>
      <c r="N2" s="7" t="s">
        <v>29</v>
      </c>
      <c r="O2" s="7" t="s">
        <v>29</v>
      </c>
      <c r="P2" s="7" t="s">
        <v>29</v>
      </c>
      <c r="Q2" s="7" t="s">
        <v>29</v>
      </c>
      <c r="R2" s="7" t="s">
        <v>29</v>
      </c>
      <c r="S2" s="7" t="s">
        <v>29</v>
      </c>
    </row>
    <row r="3" spans="1:19">
      <c r="A3" s="7" t="s">
        <v>1319</v>
      </c>
      <c r="B3" s="9" t="s">
        <v>1218</v>
      </c>
      <c r="C3" s="7">
        <v>18</v>
      </c>
      <c r="D3" s="5" t="str">
        <f>LRTRIM(CONCATENATE(IF(SUMPRODUCT(-- ISNUMBER(SEARCH({"Auto Number"}, $B3))) &gt; 0, $B3, IF(SUMPRODUCT(-- ISNUMBER(SEARCH({"Lookup","Master-Detail"}, $B3))) &gt; 0,$B3 &amp; "(" &amp; $E3 &amp; ")",IF(SUMPRODUCT(-- ISNUMBER(SEARCH({"Formula","Roll-Up Summary"}, $B3))) &gt; 0,$B3 &amp; " (" &amp; $E3 &amp; ")",IF(SUMPRODUCT(-- ISNUMBER(SEARCH({"Content","Currency","Number","Percent","Text","URL"}, $B3))) &gt; 0,$B3 &amp; "(" &amp; $C3 &amp; ")",$B3)))), "  ", TRIM(IF($S3 = "YES", "(External ID)", "") &amp; " " &amp; IF(SUMPRODUCT(-- ISNUMBER(SEARCH({"Unique","Unique Case Insensitive"}, $R3))) &gt; 0, "(" &amp; $R3 &amp; ")", ""))))</f>
        <v>Text(18)</v>
      </c>
      <c r="E3" s="7" t="s">
        <v>195</v>
      </c>
      <c r="F3" s="7" t="s">
        <v>1323</v>
      </c>
      <c r="G3" s="7" t="s">
        <v>1327</v>
      </c>
      <c r="H3" s="7" t="s">
        <v>195</v>
      </c>
      <c r="I3" s="7" t="s">
        <v>195</v>
      </c>
      <c r="J3" s="7" t="s">
        <v>195</v>
      </c>
      <c r="K3" s="7" t="s">
        <v>195</v>
      </c>
      <c r="L3" s="7" t="s">
        <v>195</v>
      </c>
      <c r="M3" s="7" t="s">
        <v>29</v>
      </c>
      <c r="N3" s="7" t="s">
        <v>29</v>
      </c>
      <c r="O3" s="7" t="s">
        <v>29</v>
      </c>
      <c r="P3" s="7" t="s">
        <v>29</v>
      </c>
      <c r="Q3" s="7" t="s">
        <v>29</v>
      </c>
      <c r="R3" s="7" t="s">
        <v>29</v>
      </c>
      <c r="S3" s="7" t="s">
        <v>29</v>
      </c>
    </row>
    <row r="4" spans="1:19">
      <c r="A4" s="7" t="s">
        <v>1320</v>
      </c>
      <c r="B4" s="9" t="s">
        <v>1218</v>
      </c>
      <c r="C4" s="7">
        <v>255</v>
      </c>
      <c r="D4" s="5" t="str">
        <f>LRTRIM(CONCATENATE(IF(SUMPRODUCT(-- ISNUMBER(SEARCH({"Auto Number"}, $B4))) &gt; 0, $B4, IF(SUMPRODUCT(-- ISNUMBER(SEARCH({"Lookup","Master-Detail"}, $B4))) &gt; 0,$B4 &amp; "(" &amp; $E4 &amp; ")",IF(SUMPRODUCT(-- ISNUMBER(SEARCH({"Formula","Roll-Up Summary"}, $B4))) &gt; 0,$B4 &amp; " (" &amp; $E4 &amp; ")",IF(SUMPRODUCT(-- ISNUMBER(SEARCH({"Content","Currency","Number","Percent","Text","URL"}, $B4))) &gt; 0,$B4 &amp; "(" &amp; $C4 &amp; ")",$B4)))), "  ", TRIM(IF($S4 = "YES", "(External ID)", "") &amp; " " &amp; IF(SUMPRODUCT(-- ISNUMBER(SEARCH({"Unique","Unique Case Insensitive"}, $R4))) &gt; 0, "(" &amp; $R4 &amp; ")", ""))))</f>
        <v>Text(255)</v>
      </c>
      <c r="E4" s="7" t="s">
        <v>195</v>
      </c>
      <c r="F4" s="7" t="s">
        <v>1324</v>
      </c>
      <c r="G4" s="7" t="s">
        <v>1328</v>
      </c>
      <c r="H4" s="7" t="s">
        <v>195</v>
      </c>
      <c r="I4" s="7" t="s">
        <v>195</v>
      </c>
      <c r="J4" s="7" t="s">
        <v>195</v>
      </c>
      <c r="K4" s="7" t="s">
        <v>195</v>
      </c>
      <c r="L4" s="7" t="s">
        <v>195</v>
      </c>
      <c r="M4" s="7" t="s">
        <v>29</v>
      </c>
      <c r="N4" s="7" t="s">
        <v>29</v>
      </c>
      <c r="O4" s="7" t="s">
        <v>29</v>
      </c>
      <c r="P4" s="7" t="s">
        <v>29</v>
      </c>
      <c r="Q4" s="7" t="s">
        <v>29</v>
      </c>
      <c r="R4" s="7" t="s">
        <v>29</v>
      </c>
      <c r="S4" s="7" t="s">
        <v>29</v>
      </c>
    </row>
    <row r="5" spans="1:19">
      <c r="A5" s="7" t="s">
        <v>1321</v>
      </c>
      <c r="B5" s="9" t="s">
        <v>1211</v>
      </c>
      <c r="C5" s="7">
        <v>0</v>
      </c>
      <c r="D5" s="5" t="str">
        <f>LRTRIM(CONCATENATE(IF(SUMPRODUCT(-- ISNUMBER(SEARCH({"Auto Number"}, $B5))) &gt; 0, $B5, IF(SUMPRODUCT(-- ISNUMBER(SEARCH({"Lookup","Master-Detail"}, $B5))) &gt; 0,$B5 &amp; "(" &amp; $E5 &amp; ")",IF(SUMPRODUCT(-- ISNUMBER(SEARCH({"Formula","Roll-Up Summary"}, $B5))) &gt; 0,$B5 &amp; " (" &amp; $E5 &amp; ")",IF(SUMPRODUCT(-- ISNUMBER(SEARCH({"Content","Currency","Number","Percent","Text","URL"}, $B5))) &gt; 0,$B5 &amp; "(" &amp; $C5 &amp; ")",$B5)))), "  ", TRIM(IF($S5 = "YES", "(External ID)", "") &amp; " " &amp; IF(SUMPRODUCT(-- ISNUMBER(SEARCH({"Unique","Unique Case Insensitive"}, $R5))) &gt; 0, "(" &amp; $R5 &amp; ")", ""))))</f>
        <v>Lookup(Lead)</v>
      </c>
      <c r="E5" s="7" t="s">
        <v>1318</v>
      </c>
      <c r="F5" s="7" t="s">
        <v>1318</v>
      </c>
      <c r="G5" s="7" t="s">
        <v>1326</v>
      </c>
      <c r="H5" s="7" t="s">
        <v>195</v>
      </c>
      <c r="I5" s="7" t="s">
        <v>195</v>
      </c>
      <c r="J5" s="7" t="s">
        <v>195</v>
      </c>
      <c r="K5" s="7" t="s">
        <v>195</v>
      </c>
      <c r="L5" s="7" t="s">
        <v>195</v>
      </c>
      <c r="M5" s="7" t="s">
        <v>29</v>
      </c>
      <c r="N5" s="7" t="s">
        <v>29</v>
      </c>
      <c r="O5" s="7" t="s">
        <v>29</v>
      </c>
      <c r="P5" s="7" t="s">
        <v>29</v>
      </c>
      <c r="Q5" s="7" t="s">
        <v>29</v>
      </c>
      <c r="R5" s="7" t="s">
        <v>29</v>
      </c>
      <c r="S5" s="7" t="s">
        <v>29</v>
      </c>
    </row>
    <row r="6" spans="1:19">
      <c r="B6" s="9" t="s">
        <v>195</v>
      </c>
      <c r="C6" s="7" t="s">
        <v>195</v>
      </c>
      <c r="D6" s="5" t="str">
        <f>LRTRIM(CONCATENATE(IF(SUMPRODUCT(-- ISNUMBER(SEARCH({"Auto Number"}, $B6))) &gt; 0, $B6, IF(SUMPRODUCT(-- ISNUMBER(SEARCH({"Lookup","Master-Detail"}, $B6))) &gt; 0,$B6 &amp; "(" &amp; $E6 &amp; ")",IF(SUMPRODUCT(-- ISNUMBER(SEARCH({"Formula","Roll-Up Summary"}, $B6))) &gt; 0,$B6 &amp; " (" &amp; $E6 &amp; ")",IF(SUMPRODUCT(-- ISNUMBER(SEARCH({"Content","Currency","Number","Percent","Text","URL"}, $B6))) &gt; 0,$B6 &amp; "(" &amp; $C6 &amp; ")",$B6)))), "  ", TRIM(IF($S6 = "YES", "(External ID)", "") &amp; " " &amp; IF(SUMPRODUCT(-- ISNUMBER(SEARCH({"Unique","Unique Case Insensitive"}, $R6))) &gt; 0, "(" &amp; $R6 &amp; ")", ""))))</f>
        <v>na</v>
      </c>
      <c r="E6" s="7" t="s">
        <v>195</v>
      </c>
      <c r="F6" s="7" t="s">
        <v>195</v>
      </c>
      <c r="G6" s="7" t="s">
        <v>195</v>
      </c>
      <c r="H6" s="7" t="s">
        <v>195</v>
      </c>
      <c r="I6" s="7" t="s">
        <v>195</v>
      </c>
      <c r="J6" s="7" t="s">
        <v>195</v>
      </c>
      <c r="K6" s="7" t="s">
        <v>195</v>
      </c>
      <c r="L6" s="7" t="s">
        <v>195</v>
      </c>
      <c r="M6" s="7" t="s">
        <v>29</v>
      </c>
      <c r="N6" s="7" t="s">
        <v>29</v>
      </c>
      <c r="O6" s="7" t="s">
        <v>29</v>
      </c>
      <c r="P6" s="7" t="s">
        <v>29</v>
      </c>
      <c r="Q6" s="7" t="s">
        <v>29</v>
      </c>
      <c r="R6" s="7" t="s">
        <v>29</v>
      </c>
      <c r="S6" s="7" t="s">
        <v>29</v>
      </c>
    </row>
    <row r="7" spans="1:19">
      <c r="B7" s="9" t="s">
        <v>195</v>
      </c>
      <c r="C7" s="7" t="s">
        <v>195</v>
      </c>
      <c r="D7" s="5" t="str">
        <f>LRTRIM(CONCATENATE(IF(SUMPRODUCT(-- ISNUMBER(SEARCH({"Auto Number"}, $B7))) &gt; 0, $B7, IF(SUMPRODUCT(-- ISNUMBER(SEARCH({"Lookup","Master-Detail"}, $B7))) &gt; 0,$B7 &amp; "(" &amp; $E7 &amp; ")",IF(SUMPRODUCT(-- ISNUMBER(SEARCH({"Formula","Roll-Up Summary"}, $B7))) &gt; 0,$B7 &amp; " (" &amp; $E7 &amp; ")",IF(SUMPRODUCT(-- ISNUMBER(SEARCH({"Content","Currency","Number","Percent","Text","URL"}, $B7))) &gt; 0,$B7 &amp; "(" &amp; $C7 &amp; ")",$B7)))), "  ", TRIM(IF($S7 = "YES", "(External ID)", "") &amp; " " &amp; IF(SUMPRODUCT(-- ISNUMBER(SEARCH({"Unique","Unique Case Insensitive"}, $R7))) &gt; 0, "(" &amp; $R7 &amp; ")", ""))))</f>
        <v>na</v>
      </c>
      <c r="E7" s="7" t="s">
        <v>195</v>
      </c>
      <c r="F7" s="7" t="s">
        <v>195</v>
      </c>
      <c r="G7" s="7" t="s">
        <v>195</v>
      </c>
      <c r="H7" s="7" t="s">
        <v>195</v>
      </c>
      <c r="I7" s="7" t="s">
        <v>195</v>
      </c>
      <c r="J7" s="7" t="s">
        <v>195</v>
      </c>
      <c r="K7" s="7" t="s">
        <v>195</v>
      </c>
      <c r="L7" s="7" t="s">
        <v>195</v>
      </c>
      <c r="M7" s="7" t="s">
        <v>29</v>
      </c>
      <c r="N7" s="7" t="s">
        <v>29</v>
      </c>
      <c r="O7" s="7" t="s">
        <v>29</v>
      </c>
      <c r="P7" s="7" t="s">
        <v>29</v>
      </c>
      <c r="Q7" s="7" t="s">
        <v>29</v>
      </c>
      <c r="R7" s="7" t="s">
        <v>29</v>
      </c>
      <c r="S7" s="7" t="s">
        <v>29</v>
      </c>
    </row>
    <row r="8" spans="1:19">
      <c r="B8" s="9" t="s">
        <v>195</v>
      </c>
      <c r="C8" s="7" t="s">
        <v>195</v>
      </c>
      <c r="D8" s="5" t="str">
        <f>LRTRIM(CONCATENATE(IF(SUMPRODUCT(-- ISNUMBER(SEARCH({"Auto Number"}, $B8))) &gt; 0, $B8, IF(SUMPRODUCT(-- ISNUMBER(SEARCH({"Lookup","Master-Detail"}, $B8))) &gt; 0,$B8 &amp; "(" &amp; $E8 &amp; ")",IF(SUMPRODUCT(-- ISNUMBER(SEARCH({"Formula","Roll-Up Summary"}, $B8))) &gt; 0,$B8 &amp; " (" &amp; $E8 &amp; ")",IF(SUMPRODUCT(-- ISNUMBER(SEARCH({"Content","Currency","Number","Percent","Text","URL"}, $B8))) &gt; 0,$B8 &amp; "(" &amp; $C8 &amp; ")",$B8)))), "  ", TRIM(IF($S8 = "YES", "(External ID)", "") &amp; " " &amp; IF(SUMPRODUCT(-- ISNUMBER(SEARCH({"Unique","Unique Case Insensitive"}, $R8))) &gt; 0, "(" &amp; $R8 &amp; ")", ""))))</f>
        <v>na</v>
      </c>
      <c r="E8" s="7" t="s">
        <v>195</v>
      </c>
      <c r="F8" s="7" t="s">
        <v>195</v>
      </c>
      <c r="G8" s="7" t="s">
        <v>195</v>
      </c>
      <c r="H8" s="7" t="s">
        <v>195</v>
      </c>
      <c r="I8" s="7" t="s">
        <v>195</v>
      </c>
      <c r="J8" s="7" t="s">
        <v>195</v>
      </c>
      <c r="K8" s="7" t="s">
        <v>195</v>
      </c>
      <c r="L8" s="7" t="s">
        <v>195</v>
      </c>
      <c r="M8" s="7" t="s">
        <v>29</v>
      </c>
      <c r="N8" s="7" t="s">
        <v>29</v>
      </c>
      <c r="O8" s="7" t="s">
        <v>29</v>
      </c>
      <c r="P8" s="7" t="s">
        <v>29</v>
      </c>
      <c r="Q8" s="7" t="s">
        <v>29</v>
      </c>
      <c r="R8" s="7" t="s">
        <v>29</v>
      </c>
      <c r="S8" s="7" t="s">
        <v>29</v>
      </c>
    </row>
    <row r="9" spans="1:19">
      <c r="B9" s="9" t="s">
        <v>195</v>
      </c>
      <c r="C9" s="7" t="s">
        <v>195</v>
      </c>
      <c r="D9" s="5" t="str">
        <f>LRTRIM(CONCATENATE(IF(SUMPRODUCT(-- ISNUMBER(SEARCH({"Auto Number"}, $B9))) &gt; 0, $B9, IF(SUMPRODUCT(-- ISNUMBER(SEARCH({"Lookup","Master-Detail"}, $B9))) &gt; 0,$B9 &amp; "(" &amp; $E9 &amp; ")",IF(SUMPRODUCT(-- ISNUMBER(SEARCH({"Formula","Roll-Up Summary"}, $B9))) &gt; 0,$B9 &amp; " (" &amp; $E9 &amp; ")",IF(SUMPRODUCT(-- ISNUMBER(SEARCH({"Content","Currency","Number","Percent","Text","URL"}, $B9))) &gt; 0,$B9 &amp; "(" &amp; $C9 &amp; ")",$B9)))), "  ", TRIM(IF($S9 = "YES", "(External ID)", "") &amp; " " &amp; IF(SUMPRODUCT(-- ISNUMBER(SEARCH({"Unique","Unique Case Insensitive"}, $R9))) &gt; 0, "(" &amp; $R9 &amp; ")", ""))))</f>
        <v>na</v>
      </c>
      <c r="E9" s="7" t="s">
        <v>195</v>
      </c>
      <c r="F9" s="7" t="s">
        <v>195</v>
      </c>
      <c r="G9" s="7" t="s">
        <v>195</v>
      </c>
      <c r="H9" s="7" t="s">
        <v>195</v>
      </c>
      <c r="I9" s="7" t="s">
        <v>195</v>
      </c>
      <c r="J9" s="7" t="s">
        <v>195</v>
      </c>
      <c r="K9" s="7" t="s">
        <v>195</v>
      </c>
      <c r="L9" s="7" t="s">
        <v>195</v>
      </c>
      <c r="M9" s="7" t="s">
        <v>29</v>
      </c>
      <c r="N9" s="7" t="s">
        <v>29</v>
      </c>
      <c r="O9" s="7" t="s">
        <v>29</v>
      </c>
      <c r="P9" s="7" t="s">
        <v>29</v>
      </c>
      <c r="Q9" s="7" t="s">
        <v>29</v>
      </c>
      <c r="R9" s="7" t="s">
        <v>29</v>
      </c>
      <c r="S9" s="7" t="s">
        <v>29</v>
      </c>
    </row>
    <row r="10" spans="1:19">
      <c r="B10" s="9" t="s">
        <v>195</v>
      </c>
      <c r="C10" s="7" t="s">
        <v>195</v>
      </c>
      <c r="D10" s="5" t="str">
        <f>LRTRIM(CONCATENATE(IF(SUMPRODUCT(-- ISNUMBER(SEARCH({"Auto Number"}, $B10))) &gt; 0, $B10, IF(SUMPRODUCT(-- ISNUMBER(SEARCH({"Lookup","Master-Detail"}, $B10))) &gt; 0,$B10 &amp; "(" &amp; $E10 &amp; ")",IF(SUMPRODUCT(-- ISNUMBER(SEARCH({"Formula","Roll-Up Summary"}, $B10))) &gt; 0,$B10 &amp; " (" &amp; $E10 &amp; ")",IF(SUMPRODUCT(-- ISNUMBER(SEARCH({"Content","Currency","Number","Percent","Text","URL"}, $B10))) &gt; 0,$B10 &amp; "(" &amp; $C10 &amp; ")",$B10)))), "  ", TRIM(IF($S10 = "YES", "(External ID)", "") &amp; " " &amp; IF(SUMPRODUCT(-- ISNUMBER(SEARCH({"Unique","Unique Case Insensitive"}, $R10))) &gt; 0, "(" &amp; $R10 &amp; ")", ""))))</f>
        <v>na</v>
      </c>
      <c r="E10" s="7" t="s">
        <v>195</v>
      </c>
      <c r="F10" s="7" t="s">
        <v>195</v>
      </c>
      <c r="G10" s="7" t="s">
        <v>195</v>
      </c>
      <c r="H10" s="7" t="s">
        <v>195</v>
      </c>
      <c r="I10" s="7" t="s">
        <v>195</v>
      </c>
      <c r="J10" s="7" t="s">
        <v>195</v>
      </c>
      <c r="K10" s="7" t="s">
        <v>195</v>
      </c>
      <c r="L10" s="7" t="s">
        <v>195</v>
      </c>
      <c r="M10" s="7" t="s">
        <v>29</v>
      </c>
      <c r="N10" s="7" t="s">
        <v>29</v>
      </c>
      <c r="O10" s="7" t="s">
        <v>29</v>
      </c>
      <c r="P10" s="7" t="s">
        <v>29</v>
      </c>
      <c r="Q10" s="7" t="s">
        <v>29</v>
      </c>
      <c r="R10" s="7" t="s">
        <v>29</v>
      </c>
      <c r="S10" s="7" t="s">
        <v>29</v>
      </c>
    </row>
    <row r="11" spans="1:19">
      <c r="B11" s="9" t="s">
        <v>195</v>
      </c>
      <c r="C11" s="7" t="s">
        <v>195</v>
      </c>
      <c r="D11" s="5" t="str">
        <f>LRTRIM(CONCATENATE(IF(SUMPRODUCT(-- ISNUMBER(SEARCH({"Auto Number"}, $B11))) &gt; 0, $B11, IF(SUMPRODUCT(-- ISNUMBER(SEARCH({"Lookup","Master-Detail"}, $B11))) &gt; 0,$B11 &amp; "(" &amp; $E11 &amp; ")",IF(SUMPRODUCT(-- ISNUMBER(SEARCH({"Formula","Roll-Up Summary"}, $B11))) &gt; 0,$B11 &amp; " (" &amp; $E11 &amp; ")",IF(SUMPRODUCT(-- ISNUMBER(SEARCH({"Content","Currency","Number","Percent","Text","URL"}, $B11))) &gt; 0,$B11 &amp; "(" &amp; $C11 &amp; ")",$B11)))), "  ", TRIM(IF($S11 = "YES", "(External ID)", "") &amp; " " &amp; IF(SUMPRODUCT(-- ISNUMBER(SEARCH({"Unique","Unique Case Insensitive"}, $R11))) &gt; 0, "(" &amp; $R11 &amp; ")", ""))))</f>
        <v>na</v>
      </c>
      <c r="E11" s="7" t="s">
        <v>195</v>
      </c>
      <c r="F11" s="7" t="s">
        <v>195</v>
      </c>
      <c r="G11" s="7" t="s">
        <v>195</v>
      </c>
      <c r="H11" s="7" t="s">
        <v>195</v>
      </c>
      <c r="I11" s="7" t="s">
        <v>195</v>
      </c>
      <c r="J11" s="7" t="s">
        <v>195</v>
      </c>
      <c r="K11" s="7" t="s">
        <v>195</v>
      </c>
      <c r="L11" s="7" t="s">
        <v>195</v>
      </c>
      <c r="M11" s="7" t="s">
        <v>29</v>
      </c>
      <c r="N11" s="7" t="s">
        <v>29</v>
      </c>
      <c r="O11" s="7" t="s">
        <v>29</v>
      </c>
      <c r="P11" s="7" t="s">
        <v>29</v>
      </c>
      <c r="Q11" s="7" t="s">
        <v>29</v>
      </c>
      <c r="R11" s="7" t="s">
        <v>29</v>
      </c>
      <c r="S11" s="7" t="s">
        <v>29</v>
      </c>
    </row>
    <row r="12" spans="1:19">
      <c r="B12" s="9" t="s">
        <v>195</v>
      </c>
      <c r="C12" s="7" t="s">
        <v>195</v>
      </c>
      <c r="D12" s="5" t="str">
        <f>LRTRIM(CONCATENATE(IF(SUMPRODUCT(-- ISNUMBER(SEARCH({"Auto Number"}, $B12))) &gt; 0, $B12, IF(SUMPRODUCT(-- ISNUMBER(SEARCH({"Lookup","Master-Detail"}, $B12))) &gt; 0,$B12 &amp; "(" &amp; $E12 &amp; ")",IF(SUMPRODUCT(-- ISNUMBER(SEARCH({"Formula","Roll-Up Summary"}, $B12))) &gt; 0,$B12 &amp; " (" &amp; $E12 &amp; ")",IF(SUMPRODUCT(-- ISNUMBER(SEARCH({"Content","Currency","Number","Percent","Text","URL"}, $B12))) &gt; 0,$B12 &amp; "(" &amp; $C12 &amp; ")",$B12)))), "  ", TRIM(IF($S12 = "YES", "(External ID)", "") &amp; " " &amp; IF(SUMPRODUCT(-- ISNUMBER(SEARCH({"Unique","Unique Case Insensitive"}, $R12))) &gt; 0, "(" &amp; $R12 &amp; ")", ""))))</f>
        <v>na</v>
      </c>
      <c r="E12" s="7" t="s">
        <v>195</v>
      </c>
      <c r="F12" s="7" t="s">
        <v>195</v>
      </c>
      <c r="G12" s="7" t="s">
        <v>195</v>
      </c>
      <c r="H12" s="7" t="s">
        <v>195</v>
      </c>
      <c r="I12" s="7" t="s">
        <v>195</v>
      </c>
      <c r="J12" s="7" t="s">
        <v>195</v>
      </c>
      <c r="K12" s="7" t="s">
        <v>195</v>
      </c>
      <c r="L12" s="7" t="s">
        <v>195</v>
      </c>
      <c r="M12" s="7" t="s">
        <v>29</v>
      </c>
      <c r="N12" s="7" t="s">
        <v>29</v>
      </c>
      <c r="O12" s="7" t="s">
        <v>29</v>
      </c>
      <c r="P12" s="7" t="s">
        <v>29</v>
      </c>
      <c r="Q12" s="7" t="s">
        <v>29</v>
      </c>
      <c r="R12" s="7" t="s">
        <v>29</v>
      </c>
      <c r="S12" s="7" t="s">
        <v>29</v>
      </c>
    </row>
    <row r="13" spans="1:19">
      <c r="B13" s="9" t="s">
        <v>195</v>
      </c>
      <c r="C13" s="7" t="s">
        <v>195</v>
      </c>
      <c r="D13" s="5" t="str">
        <f>LRTRIM(CONCATENATE(IF(SUMPRODUCT(-- ISNUMBER(SEARCH({"Auto Number"}, $B13))) &gt; 0, $B13, IF(SUMPRODUCT(-- ISNUMBER(SEARCH({"Lookup","Master-Detail"}, $B13))) &gt; 0,$B13 &amp; "(" &amp; $E13 &amp; ")",IF(SUMPRODUCT(-- ISNUMBER(SEARCH({"Formula","Roll-Up Summary"}, $B13))) &gt; 0,$B13 &amp; " (" &amp; $E13 &amp; ")",IF(SUMPRODUCT(-- ISNUMBER(SEARCH({"Content","Currency","Number","Percent","Text","URL"}, $B13))) &gt; 0,$B13 &amp; "(" &amp; $C13 &amp; ")",$B13)))), "  ", TRIM(IF($S13 = "YES", "(External ID)", "") &amp; " " &amp; IF(SUMPRODUCT(-- ISNUMBER(SEARCH({"Unique","Unique Case Insensitive"}, $R13))) &gt; 0, "(" &amp; $R13 &amp; ")", ""))))</f>
        <v>na</v>
      </c>
      <c r="E13" s="7" t="s">
        <v>195</v>
      </c>
      <c r="F13" s="7" t="s">
        <v>195</v>
      </c>
      <c r="G13" s="7" t="s">
        <v>195</v>
      </c>
      <c r="H13" s="7" t="s">
        <v>195</v>
      </c>
      <c r="I13" s="7" t="s">
        <v>195</v>
      </c>
      <c r="J13" s="7" t="s">
        <v>195</v>
      </c>
      <c r="K13" s="7" t="s">
        <v>195</v>
      </c>
      <c r="L13" s="7" t="s">
        <v>195</v>
      </c>
      <c r="M13" s="7" t="s">
        <v>29</v>
      </c>
      <c r="N13" s="7" t="s">
        <v>29</v>
      </c>
      <c r="O13" s="7" t="s">
        <v>29</v>
      </c>
      <c r="P13" s="7" t="s">
        <v>29</v>
      </c>
      <c r="Q13" s="7" t="s">
        <v>29</v>
      </c>
      <c r="R13" s="7" t="s">
        <v>29</v>
      </c>
      <c r="S13" s="7" t="s">
        <v>29</v>
      </c>
    </row>
    <row r="14" spans="1:19">
      <c r="B14" s="9" t="s">
        <v>195</v>
      </c>
      <c r="C14" s="7" t="s">
        <v>195</v>
      </c>
      <c r="D14" s="5" t="str">
        <f>LRTRIM(CONCATENATE(IF(SUMPRODUCT(-- ISNUMBER(SEARCH({"Auto Number"}, $B14))) &gt; 0, $B14, IF(SUMPRODUCT(-- ISNUMBER(SEARCH({"Lookup","Master-Detail"}, $B14))) &gt; 0,$B14 &amp; "(" &amp; $E14 &amp; ")",IF(SUMPRODUCT(-- ISNUMBER(SEARCH({"Formula","Roll-Up Summary"}, $B14))) &gt; 0,$B14 &amp; " (" &amp; $E14 &amp; ")",IF(SUMPRODUCT(-- ISNUMBER(SEARCH({"Content","Currency","Number","Percent","Text","URL"}, $B14))) &gt; 0,$B14 &amp; "(" &amp; $C14 &amp; ")",$B14)))), "  ", TRIM(IF($S14 = "YES", "(External ID)", "") &amp; " " &amp; IF(SUMPRODUCT(-- ISNUMBER(SEARCH({"Unique","Unique Case Insensitive"}, $R14))) &gt; 0, "(" &amp; $R14 &amp; ")", ""))))</f>
        <v>na</v>
      </c>
      <c r="E14" s="7" t="s">
        <v>195</v>
      </c>
      <c r="F14" s="7" t="s">
        <v>195</v>
      </c>
      <c r="G14" s="7" t="s">
        <v>195</v>
      </c>
      <c r="H14" s="7" t="s">
        <v>195</v>
      </c>
      <c r="I14" s="7" t="s">
        <v>195</v>
      </c>
      <c r="J14" s="7" t="s">
        <v>195</v>
      </c>
      <c r="K14" s="7" t="s">
        <v>195</v>
      </c>
      <c r="L14" s="7" t="s">
        <v>195</v>
      </c>
      <c r="M14" s="7" t="s">
        <v>29</v>
      </c>
      <c r="N14" s="7" t="s">
        <v>29</v>
      </c>
      <c r="O14" s="7" t="s">
        <v>29</v>
      </c>
      <c r="P14" s="7" t="s">
        <v>29</v>
      </c>
      <c r="Q14" s="7" t="s">
        <v>29</v>
      </c>
      <c r="R14" s="7" t="s">
        <v>29</v>
      </c>
      <c r="S14" s="7" t="s">
        <v>29</v>
      </c>
    </row>
    <row r="15" spans="1:19">
      <c r="B15" s="9" t="s">
        <v>195</v>
      </c>
      <c r="C15" s="7" t="s">
        <v>195</v>
      </c>
      <c r="D15" s="5" t="str">
        <f>LRTRIM(CONCATENATE(IF(SUMPRODUCT(-- ISNUMBER(SEARCH({"Auto Number"}, $B15))) &gt; 0, $B15, IF(SUMPRODUCT(-- ISNUMBER(SEARCH({"Lookup","Master-Detail"}, $B15))) &gt; 0,$B15 &amp; "(" &amp; $E15 &amp; ")",IF(SUMPRODUCT(-- ISNUMBER(SEARCH({"Formula","Roll-Up Summary"}, $B15))) &gt; 0,$B15 &amp; " (" &amp; $E15 &amp; ")",IF(SUMPRODUCT(-- ISNUMBER(SEARCH({"Content","Currency","Number","Percent","Text","URL"}, $B15))) &gt; 0,$B15 &amp; "(" &amp; $C15 &amp; ")",$B15)))), "  ", TRIM(IF($S15 = "YES", "(External ID)", "") &amp; " " &amp; IF(SUMPRODUCT(-- ISNUMBER(SEARCH({"Unique","Unique Case Insensitive"}, $R15))) &gt; 0, "(" &amp; $R15 &amp; ")", ""))))</f>
        <v>na</v>
      </c>
      <c r="E15" s="7" t="s">
        <v>195</v>
      </c>
      <c r="F15" s="7" t="s">
        <v>195</v>
      </c>
      <c r="G15" s="7" t="s">
        <v>195</v>
      </c>
      <c r="H15" s="7" t="s">
        <v>195</v>
      </c>
      <c r="I15" s="7" t="s">
        <v>195</v>
      </c>
      <c r="J15" s="7" t="s">
        <v>195</v>
      </c>
      <c r="K15" s="7" t="s">
        <v>195</v>
      </c>
      <c r="L15" s="7" t="s">
        <v>195</v>
      </c>
      <c r="M15" s="7" t="s">
        <v>29</v>
      </c>
      <c r="N15" s="7" t="s">
        <v>29</v>
      </c>
      <c r="O15" s="7" t="s">
        <v>29</v>
      </c>
      <c r="P15" s="7" t="s">
        <v>29</v>
      </c>
      <c r="Q15" s="7" t="s">
        <v>29</v>
      </c>
      <c r="R15" s="7" t="s">
        <v>29</v>
      </c>
      <c r="S15" s="7" t="s">
        <v>29</v>
      </c>
    </row>
    <row r="16" spans="1:19">
      <c r="B16" s="9" t="s">
        <v>195</v>
      </c>
      <c r="C16" s="7" t="s">
        <v>195</v>
      </c>
      <c r="D16" s="5" t="str">
        <f>LRTRIM(CONCATENATE(IF(SUMPRODUCT(-- ISNUMBER(SEARCH({"Auto Number"}, $B16))) &gt; 0, $B16, IF(SUMPRODUCT(-- ISNUMBER(SEARCH({"Lookup","Master-Detail"}, $B16))) &gt; 0,$B16 &amp; "(" &amp; $E16 &amp; ")",IF(SUMPRODUCT(-- ISNUMBER(SEARCH({"Formula","Roll-Up Summary"}, $B16))) &gt; 0,$B16 &amp; " (" &amp; $E16 &amp; ")",IF(SUMPRODUCT(-- ISNUMBER(SEARCH({"Content","Currency","Number","Percent","Text","URL"}, $B16))) &gt; 0,$B16 &amp; "(" &amp; $C16 &amp; ")",$B16)))), "  ", TRIM(IF($S16 = "YES", "(External ID)", "") &amp; " " &amp; IF(SUMPRODUCT(-- ISNUMBER(SEARCH({"Unique","Unique Case Insensitive"}, $R16))) &gt; 0, "(" &amp; $R16 &amp; ")", ""))))</f>
        <v>na</v>
      </c>
      <c r="E16" s="7" t="s">
        <v>195</v>
      </c>
      <c r="F16" s="7" t="s">
        <v>195</v>
      </c>
      <c r="G16" s="7" t="s">
        <v>195</v>
      </c>
      <c r="H16" s="7" t="s">
        <v>195</v>
      </c>
      <c r="I16" s="7" t="s">
        <v>195</v>
      </c>
      <c r="J16" s="7" t="s">
        <v>195</v>
      </c>
      <c r="K16" s="7" t="s">
        <v>195</v>
      </c>
      <c r="L16" s="7" t="s">
        <v>195</v>
      </c>
      <c r="M16" s="7" t="s">
        <v>29</v>
      </c>
      <c r="N16" s="7" t="s">
        <v>29</v>
      </c>
      <c r="O16" s="7" t="s">
        <v>29</v>
      </c>
      <c r="P16" s="7" t="s">
        <v>29</v>
      </c>
      <c r="Q16" s="7" t="s">
        <v>29</v>
      </c>
      <c r="R16" s="7" t="s">
        <v>29</v>
      </c>
      <c r="S16" s="7" t="s">
        <v>29</v>
      </c>
    </row>
    <row r="17" spans="2:19">
      <c r="B17" s="9" t="s">
        <v>195</v>
      </c>
      <c r="C17" s="7" t="s">
        <v>195</v>
      </c>
      <c r="D17" s="5" t="str">
        <f>LRTRIM(CONCATENATE(IF(SUMPRODUCT(-- ISNUMBER(SEARCH({"Auto Number"}, $B17))) &gt; 0, $B17, IF(SUMPRODUCT(-- ISNUMBER(SEARCH({"Lookup","Master-Detail"}, $B17))) &gt; 0,$B17 &amp; "(" &amp; $E17 &amp; ")",IF(SUMPRODUCT(-- ISNUMBER(SEARCH({"Formula","Roll-Up Summary"}, $B17))) &gt; 0,$B17 &amp; " (" &amp; $E17 &amp; ")",IF(SUMPRODUCT(-- ISNUMBER(SEARCH({"Content","Currency","Number","Percent","Text","URL"}, $B17))) &gt; 0,$B17 &amp; "(" &amp; $C17 &amp; ")",$B17)))), "  ", TRIM(IF($S17 = "YES", "(External ID)", "") &amp; " " &amp; IF(SUMPRODUCT(-- ISNUMBER(SEARCH({"Unique","Unique Case Insensitive"}, $R17))) &gt; 0, "(" &amp; $R17 &amp; ")", ""))))</f>
        <v>na</v>
      </c>
      <c r="E17" s="7" t="s">
        <v>195</v>
      </c>
      <c r="F17" s="7" t="s">
        <v>195</v>
      </c>
      <c r="G17" s="7" t="s">
        <v>195</v>
      </c>
      <c r="H17" s="7" t="s">
        <v>195</v>
      </c>
      <c r="I17" s="7" t="s">
        <v>195</v>
      </c>
      <c r="J17" s="7" t="s">
        <v>195</v>
      </c>
      <c r="K17" s="7" t="s">
        <v>195</v>
      </c>
      <c r="L17" s="7" t="s">
        <v>195</v>
      </c>
      <c r="M17" s="7" t="s">
        <v>29</v>
      </c>
      <c r="N17" s="7" t="s">
        <v>29</v>
      </c>
      <c r="O17" s="7" t="s">
        <v>29</v>
      </c>
      <c r="P17" s="7" t="s">
        <v>29</v>
      </c>
      <c r="Q17" s="7" t="s">
        <v>29</v>
      </c>
      <c r="R17" s="7" t="s">
        <v>29</v>
      </c>
      <c r="S17" s="7" t="s">
        <v>29</v>
      </c>
    </row>
    <row r="18" spans="2:19">
      <c r="B18" s="9" t="s">
        <v>195</v>
      </c>
      <c r="C18" s="7" t="s">
        <v>195</v>
      </c>
      <c r="D18" s="5" t="str">
        <f>LRTRIM(CONCATENATE(IF(SUMPRODUCT(-- ISNUMBER(SEARCH({"Auto Number"}, $B18))) &gt; 0, $B18, IF(SUMPRODUCT(-- ISNUMBER(SEARCH({"Lookup","Master-Detail"}, $B18))) &gt; 0,$B18 &amp; "(" &amp; $E18 &amp; ")",IF(SUMPRODUCT(-- ISNUMBER(SEARCH({"Formula","Roll-Up Summary"}, $B18))) &gt; 0,$B18 &amp; " (" &amp; $E18 &amp; ")",IF(SUMPRODUCT(-- ISNUMBER(SEARCH({"Content","Currency","Number","Percent","Text","URL"}, $B18))) &gt; 0,$B18 &amp; "(" &amp; $C18 &amp; ")",$B18)))), "  ", TRIM(IF($S18 = "YES", "(External ID)", "") &amp; " " &amp; IF(SUMPRODUCT(-- ISNUMBER(SEARCH({"Unique","Unique Case Insensitive"}, $R18))) &gt; 0, "(" &amp; $R18 &amp; ")", ""))))</f>
        <v>na</v>
      </c>
      <c r="E18" s="7" t="s">
        <v>195</v>
      </c>
      <c r="F18" s="7" t="s">
        <v>195</v>
      </c>
      <c r="G18" s="7" t="s">
        <v>195</v>
      </c>
      <c r="H18" s="7" t="s">
        <v>195</v>
      </c>
      <c r="I18" s="7" t="s">
        <v>195</v>
      </c>
      <c r="J18" s="7" t="s">
        <v>195</v>
      </c>
      <c r="K18" s="7" t="s">
        <v>195</v>
      </c>
      <c r="L18" s="7" t="s">
        <v>195</v>
      </c>
      <c r="M18" s="7" t="s">
        <v>29</v>
      </c>
      <c r="N18" s="7" t="s">
        <v>29</v>
      </c>
      <c r="O18" s="7" t="s">
        <v>29</v>
      </c>
      <c r="P18" s="7" t="s">
        <v>29</v>
      </c>
      <c r="Q18" s="7" t="s">
        <v>29</v>
      </c>
      <c r="R18" s="7" t="s">
        <v>29</v>
      </c>
      <c r="S18" s="7" t="s">
        <v>29</v>
      </c>
    </row>
    <row r="19" spans="2:19">
      <c r="B19" s="9" t="s">
        <v>195</v>
      </c>
      <c r="C19" s="7" t="s">
        <v>195</v>
      </c>
      <c r="D19" s="5" t="str">
        <f>LRTRIM(CONCATENATE(IF(SUMPRODUCT(-- ISNUMBER(SEARCH({"Auto Number"}, $B19))) &gt; 0, $B19, IF(SUMPRODUCT(-- ISNUMBER(SEARCH({"Lookup","Master-Detail"}, $B19))) &gt; 0,$B19 &amp; "(" &amp; $E19 &amp; ")",IF(SUMPRODUCT(-- ISNUMBER(SEARCH({"Formula","Roll-Up Summary"}, $B19))) &gt; 0,$B19 &amp; " (" &amp; $E19 &amp; ")",IF(SUMPRODUCT(-- ISNUMBER(SEARCH({"Content","Currency","Number","Percent","Text","URL"}, $B19))) &gt; 0,$B19 &amp; "(" &amp; $C19 &amp; ")",$B19)))), "  ", TRIM(IF($S19 = "YES", "(External ID)", "") &amp; " " &amp; IF(SUMPRODUCT(-- ISNUMBER(SEARCH({"Unique","Unique Case Insensitive"}, $R19))) &gt; 0, "(" &amp; $R19 &amp; ")", ""))))</f>
        <v>na</v>
      </c>
      <c r="E19" s="7" t="s">
        <v>195</v>
      </c>
      <c r="F19" s="7" t="s">
        <v>195</v>
      </c>
      <c r="G19" s="7" t="s">
        <v>195</v>
      </c>
      <c r="H19" s="7" t="s">
        <v>195</v>
      </c>
      <c r="I19" s="7" t="s">
        <v>195</v>
      </c>
      <c r="J19" s="7" t="s">
        <v>195</v>
      </c>
      <c r="K19" s="7" t="s">
        <v>195</v>
      </c>
      <c r="L19" s="7" t="s">
        <v>195</v>
      </c>
      <c r="M19" s="7" t="s">
        <v>29</v>
      </c>
      <c r="N19" s="7" t="s">
        <v>29</v>
      </c>
      <c r="O19" s="7" t="s">
        <v>29</v>
      </c>
      <c r="P19" s="7" t="s">
        <v>29</v>
      </c>
      <c r="Q19" s="7" t="s">
        <v>29</v>
      </c>
      <c r="R19" s="7" t="s">
        <v>29</v>
      </c>
      <c r="S19" s="7" t="s">
        <v>29</v>
      </c>
    </row>
    <row r="20" spans="2:19">
      <c r="B20" s="9" t="s">
        <v>195</v>
      </c>
      <c r="C20" s="7" t="s">
        <v>195</v>
      </c>
      <c r="D20" s="5" t="str">
        <f>LRTRIM(CONCATENATE(IF(SUMPRODUCT(-- ISNUMBER(SEARCH({"Auto Number"}, $B20))) &gt; 0, $B20, IF(SUMPRODUCT(-- ISNUMBER(SEARCH({"Lookup","Master-Detail"}, $B20))) &gt; 0,$B20 &amp; "(" &amp; $E20 &amp; ")",IF(SUMPRODUCT(-- ISNUMBER(SEARCH({"Formula","Roll-Up Summary"}, $B20))) &gt; 0,$B20 &amp; " (" &amp; $E20 &amp; ")",IF(SUMPRODUCT(-- ISNUMBER(SEARCH({"Content","Currency","Number","Percent","Text","URL"}, $B20))) &gt; 0,$B20 &amp; "(" &amp; $C20 &amp; ")",$B20)))), "  ", TRIM(IF($S20 = "YES", "(External ID)", "") &amp; " " &amp; IF(SUMPRODUCT(-- ISNUMBER(SEARCH({"Unique","Unique Case Insensitive"}, $R20))) &gt; 0, "(" &amp; $R20 &amp; ")", ""))))</f>
        <v>na</v>
      </c>
      <c r="E20" s="7" t="s">
        <v>195</v>
      </c>
      <c r="F20" s="7" t="s">
        <v>195</v>
      </c>
      <c r="G20" s="7" t="s">
        <v>195</v>
      </c>
      <c r="H20" s="7" t="s">
        <v>195</v>
      </c>
      <c r="I20" s="7" t="s">
        <v>195</v>
      </c>
      <c r="J20" s="7" t="s">
        <v>195</v>
      </c>
      <c r="K20" s="7" t="s">
        <v>195</v>
      </c>
      <c r="L20" s="7" t="s">
        <v>195</v>
      </c>
      <c r="M20" s="7" t="s">
        <v>29</v>
      </c>
      <c r="N20" s="7" t="s">
        <v>29</v>
      </c>
      <c r="O20" s="7" t="s">
        <v>29</v>
      </c>
      <c r="P20" s="7" t="s">
        <v>29</v>
      </c>
      <c r="Q20" s="7" t="s">
        <v>29</v>
      </c>
      <c r="R20" s="7" t="s">
        <v>29</v>
      </c>
      <c r="S20" s="7" t="s">
        <v>29</v>
      </c>
    </row>
    <row r="21" spans="2:19">
      <c r="B21" s="9" t="s">
        <v>195</v>
      </c>
      <c r="C21" s="7" t="s">
        <v>195</v>
      </c>
      <c r="D21" s="5" t="str">
        <f>LRTRIM(CONCATENATE(IF(SUMPRODUCT(-- ISNUMBER(SEARCH({"Auto Number"}, $B21))) &gt; 0, $B21, IF(SUMPRODUCT(-- ISNUMBER(SEARCH({"Lookup","Master-Detail"}, $B21))) &gt; 0,$B21 &amp; "(" &amp; $E21 &amp; ")",IF(SUMPRODUCT(-- ISNUMBER(SEARCH({"Formula","Roll-Up Summary"}, $B21))) &gt; 0,$B21 &amp; " (" &amp; $E21 &amp; ")",IF(SUMPRODUCT(-- ISNUMBER(SEARCH({"Content","Currency","Number","Percent","Text","URL"}, $B21))) &gt; 0,$B21 &amp; "(" &amp; $C21 &amp; ")",$B21)))), "  ", TRIM(IF($S21 = "YES", "(External ID)", "") &amp; " " &amp; IF(SUMPRODUCT(-- ISNUMBER(SEARCH({"Unique","Unique Case Insensitive"}, $R21))) &gt; 0, "(" &amp; $R21 &amp; ")", ""))))</f>
        <v>na</v>
      </c>
      <c r="E21" s="7" t="s">
        <v>195</v>
      </c>
      <c r="F21" s="7" t="s">
        <v>195</v>
      </c>
      <c r="G21" s="7" t="s">
        <v>195</v>
      </c>
      <c r="H21" s="7" t="s">
        <v>195</v>
      </c>
      <c r="I21" s="7" t="s">
        <v>195</v>
      </c>
      <c r="J21" s="7" t="s">
        <v>195</v>
      </c>
      <c r="K21" s="7" t="s">
        <v>195</v>
      </c>
      <c r="L21" s="7" t="s">
        <v>195</v>
      </c>
      <c r="M21" s="7" t="s">
        <v>29</v>
      </c>
      <c r="N21" s="7" t="s">
        <v>29</v>
      </c>
      <c r="O21" s="7" t="s">
        <v>29</v>
      </c>
      <c r="P21" s="7" t="s">
        <v>29</v>
      </c>
      <c r="Q21" s="7" t="s">
        <v>29</v>
      </c>
      <c r="R21" s="7" t="s">
        <v>29</v>
      </c>
      <c r="S21" s="7" t="s">
        <v>29</v>
      </c>
    </row>
    <row r="22" spans="2:19">
      <c r="B22" s="9" t="s">
        <v>195</v>
      </c>
      <c r="C22" s="7" t="s">
        <v>195</v>
      </c>
      <c r="D22" s="5" t="str">
        <f>LRTRIM(CONCATENATE(IF(SUMPRODUCT(-- ISNUMBER(SEARCH({"Auto Number"}, $B22))) &gt; 0, $B22, IF(SUMPRODUCT(-- ISNUMBER(SEARCH({"Lookup","Master-Detail"}, $B22))) &gt; 0,$B22 &amp; "(" &amp; $E22 &amp; ")",IF(SUMPRODUCT(-- ISNUMBER(SEARCH({"Formula","Roll-Up Summary"}, $B22))) &gt; 0,$B22 &amp; " (" &amp; $E22 &amp; ")",IF(SUMPRODUCT(-- ISNUMBER(SEARCH({"Content","Currency","Number","Percent","Text","URL"}, $B22))) &gt; 0,$B22 &amp; "(" &amp; $C22 &amp; ")",$B22)))), "  ", TRIM(IF($S22 = "YES", "(External ID)", "") &amp; " " &amp; IF(SUMPRODUCT(-- ISNUMBER(SEARCH({"Unique","Unique Case Insensitive"}, $R22))) &gt; 0, "(" &amp; $R22 &amp; ")", ""))))</f>
        <v>na</v>
      </c>
      <c r="E22" s="7" t="s">
        <v>195</v>
      </c>
      <c r="F22" s="7" t="s">
        <v>195</v>
      </c>
      <c r="G22" s="7" t="s">
        <v>195</v>
      </c>
      <c r="H22" s="7" t="s">
        <v>195</v>
      </c>
      <c r="I22" s="7" t="s">
        <v>195</v>
      </c>
      <c r="J22" s="7" t="s">
        <v>195</v>
      </c>
      <c r="K22" s="7" t="s">
        <v>195</v>
      </c>
      <c r="L22" s="7" t="s">
        <v>195</v>
      </c>
      <c r="M22" s="7" t="s">
        <v>29</v>
      </c>
      <c r="N22" s="7" t="s">
        <v>29</v>
      </c>
      <c r="O22" s="7" t="s">
        <v>29</v>
      </c>
      <c r="P22" s="7" t="s">
        <v>29</v>
      </c>
      <c r="Q22" s="7" t="s">
        <v>29</v>
      </c>
      <c r="R22" s="7" t="s">
        <v>29</v>
      </c>
      <c r="S22" s="7" t="s">
        <v>29</v>
      </c>
    </row>
    <row r="23" spans="2:19">
      <c r="B23" s="9" t="s">
        <v>195</v>
      </c>
      <c r="C23" s="7" t="s">
        <v>195</v>
      </c>
      <c r="D23" s="5" t="str">
        <f>LRTRIM(CONCATENATE(IF(SUMPRODUCT(-- ISNUMBER(SEARCH({"Auto Number"}, $B23))) &gt; 0, $B23, IF(SUMPRODUCT(-- ISNUMBER(SEARCH({"Lookup","Master-Detail"}, $B23))) &gt; 0,$B23 &amp; "(" &amp; $E23 &amp; ")",IF(SUMPRODUCT(-- ISNUMBER(SEARCH({"Formula","Roll-Up Summary"}, $B23))) &gt; 0,$B23 &amp; " (" &amp; $E23 &amp; ")",IF(SUMPRODUCT(-- ISNUMBER(SEARCH({"Content","Currency","Number","Percent","Text","URL"}, $B23))) &gt; 0,$B23 &amp; "(" &amp; $C23 &amp; ")",$B23)))), "  ", TRIM(IF($S23 = "YES", "(External ID)", "") &amp; " " &amp; IF(SUMPRODUCT(-- ISNUMBER(SEARCH({"Unique","Unique Case Insensitive"}, $R23))) &gt; 0, "(" &amp; $R23 &amp; ")", ""))))</f>
        <v>na</v>
      </c>
      <c r="E23" s="7" t="s">
        <v>195</v>
      </c>
      <c r="F23" s="7" t="s">
        <v>195</v>
      </c>
      <c r="G23" s="7" t="s">
        <v>195</v>
      </c>
      <c r="H23" s="7" t="s">
        <v>195</v>
      </c>
      <c r="I23" s="7" t="s">
        <v>195</v>
      </c>
      <c r="J23" s="7" t="s">
        <v>195</v>
      </c>
      <c r="K23" s="7" t="s">
        <v>195</v>
      </c>
      <c r="L23" s="7" t="s">
        <v>195</v>
      </c>
      <c r="M23" s="7" t="s">
        <v>29</v>
      </c>
      <c r="N23" s="7" t="s">
        <v>29</v>
      </c>
      <c r="O23" s="7" t="s">
        <v>29</v>
      </c>
      <c r="P23" s="7" t="s">
        <v>29</v>
      </c>
      <c r="Q23" s="7" t="s">
        <v>29</v>
      </c>
      <c r="R23" s="7" t="s">
        <v>29</v>
      </c>
      <c r="S23" s="7" t="s">
        <v>29</v>
      </c>
    </row>
    <row r="24" spans="2:19">
      <c r="B24" s="9" t="s">
        <v>195</v>
      </c>
      <c r="C24" s="7" t="s">
        <v>195</v>
      </c>
      <c r="D24" s="5" t="str">
        <f>LRTRIM(CONCATENATE(IF(SUMPRODUCT(-- ISNUMBER(SEARCH({"Auto Number"}, $B24))) &gt; 0, $B24, IF(SUMPRODUCT(-- ISNUMBER(SEARCH({"Lookup","Master-Detail"}, $B24))) &gt; 0,$B24 &amp; "(" &amp; $E24 &amp; ")",IF(SUMPRODUCT(-- ISNUMBER(SEARCH({"Formula","Roll-Up Summary"}, $B24))) &gt; 0,$B24 &amp; " (" &amp; $E24 &amp; ")",IF(SUMPRODUCT(-- ISNUMBER(SEARCH({"Content","Currency","Number","Percent","Text","URL"}, $B24))) &gt; 0,$B24 &amp; "(" &amp; $C24 &amp; ")",$B24)))), "  ", TRIM(IF($S24 = "YES", "(External ID)", "") &amp; " " &amp; IF(SUMPRODUCT(-- ISNUMBER(SEARCH({"Unique","Unique Case Insensitive"}, $R24))) &gt; 0, "(" &amp; $R24 &amp; ")", ""))))</f>
        <v>na</v>
      </c>
      <c r="E24" s="7" t="s">
        <v>195</v>
      </c>
      <c r="F24" s="7" t="s">
        <v>195</v>
      </c>
      <c r="G24" s="7" t="s">
        <v>195</v>
      </c>
      <c r="H24" s="7" t="s">
        <v>195</v>
      </c>
      <c r="I24" s="7" t="s">
        <v>195</v>
      </c>
      <c r="J24" s="7" t="s">
        <v>195</v>
      </c>
      <c r="K24" s="7" t="s">
        <v>195</v>
      </c>
      <c r="L24" s="7" t="s">
        <v>195</v>
      </c>
      <c r="M24" s="7" t="s">
        <v>29</v>
      </c>
      <c r="N24" s="7" t="s">
        <v>29</v>
      </c>
      <c r="O24" s="7" t="s">
        <v>29</v>
      </c>
      <c r="P24" s="7" t="s">
        <v>29</v>
      </c>
      <c r="Q24" s="7" t="s">
        <v>29</v>
      </c>
      <c r="R24" s="7" t="s">
        <v>29</v>
      </c>
      <c r="S24" s="7" t="s">
        <v>29</v>
      </c>
    </row>
    <row r="25" spans="2:19">
      <c r="B25" s="9" t="s">
        <v>195</v>
      </c>
      <c r="C25" s="7" t="s">
        <v>195</v>
      </c>
      <c r="D25" s="5" t="str">
        <f>LRTRIM(CONCATENATE(IF(SUMPRODUCT(-- ISNUMBER(SEARCH({"Auto Number"}, $B25))) &gt; 0, $B25, IF(SUMPRODUCT(-- ISNUMBER(SEARCH({"Lookup","Master-Detail"}, $B25))) &gt; 0,$B25 &amp; "(" &amp; $E25 &amp; ")",IF(SUMPRODUCT(-- ISNUMBER(SEARCH({"Formula","Roll-Up Summary"}, $B25))) &gt; 0,$B25 &amp; " (" &amp; $E25 &amp; ")",IF(SUMPRODUCT(-- ISNUMBER(SEARCH({"Content","Currency","Number","Percent","Text","URL"}, $B25))) &gt; 0,$B25 &amp; "(" &amp; $C25 &amp; ")",$B25)))), "  ", TRIM(IF($S25 = "YES", "(External ID)", "") &amp; " " &amp; IF(SUMPRODUCT(-- ISNUMBER(SEARCH({"Unique","Unique Case Insensitive"}, $R25))) &gt; 0, "(" &amp; $R25 &amp; ")", ""))))</f>
        <v>na</v>
      </c>
      <c r="E25" s="7" t="s">
        <v>195</v>
      </c>
      <c r="F25" s="7" t="s">
        <v>195</v>
      </c>
      <c r="G25" s="7" t="s">
        <v>195</v>
      </c>
      <c r="H25" s="7" t="s">
        <v>195</v>
      </c>
      <c r="I25" s="7" t="s">
        <v>195</v>
      </c>
      <c r="J25" s="7" t="s">
        <v>195</v>
      </c>
      <c r="K25" s="7" t="s">
        <v>195</v>
      </c>
      <c r="L25" s="7" t="s">
        <v>195</v>
      </c>
      <c r="M25" s="7" t="s">
        <v>29</v>
      </c>
      <c r="N25" s="7" t="s">
        <v>29</v>
      </c>
      <c r="O25" s="7" t="s">
        <v>29</v>
      </c>
      <c r="P25" s="7" t="s">
        <v>29</v>
      </c>
      <c r="Q25" s="7" t="s">
        <v>29</v>
      </c>
      <c r="R25" s="7" t="s">
        <v>29</v>
      </c>
      <c r="S25" s="7" t="s">
        <v>29</v>
      </c>
    </row>
    <row r="26" spans="2:19">
      <c r="B26" s="9" t="s">
        <v>195</v>
      </c>
      <c r="C26" s="7" t="s">
        <v>195</v>
      </c>
      <c r="D26" s="5" t="str">
        <f>LRTRIM(CONCATENATE(IF(SUMPRODUCT(-- ISNUMBER(SEARCH({"Auto Number"}, $B26))) &gt; 0, $B26, IF(SUMPRODUCT(-- ISNUMBER(SEARCH({"Lookup","Master-Detail"}, $B26))) &gt; 0,$B26 &amp; "(" &amp; $E26 &amp; ")",IF(SUMPRODUCT(-- ISNUMBER(SEARCH({"Formula","Roll-Up Summary"}, $B26))) &gt; 0,$B26 &amp; " (" &amp; $E26 &amp; ")",IF(SUMPRODUCT(-- ISNUMBER(SEARCH({"Content","Currency","Number","Percent","Text","URL"}, $B26))) &gt; 0,$B26 &amp; "(" &amp; $C26 &amp; ")",$B26)))), "  ", TRIM(IF($S26 = "YES", "(External ID)", "") &amp; " " &amp; IF(SUMPRODUCT(-- ISNUMBER(SEARCH({"Unique","Unique Case Insensitive"}, $R26))) &gt; 0, "(" &amp; $R26 &amp; ")", ""))))</f>
        <v>na</v>
      </c>
      <c r="E26" s="7" t="s">
        <v>195</v>
      </c>
      <c r="F26" s="7" t="s">
        <v>195</v>
      </c>
      <c r="G26" s="7" t="s">
        <v>195</v>
      </c>
      <c r="H26" s="7" t="s">
        <v>195</v>
      </c>
      <c r="I26" s="7" t="s">
        <v>195</v>
      </c>
      <c r="J26" s="7" t="s">
        <v>195</v>
      </c>
      <c r="K26" s="7" t="s">
        <v>195</v>
      </c>
      <c r="L26" s="7" t="s">
        <v>195</v>
      </c>
      <c r="M26" s="7" t="s">
        <v>29</v>
      </c>
      <c r="N26" s="7" t="s">
        <v>29</v>
      </c>
      <c r="O26" s="7" t="s">
        <v>29</v>
      </c>
      <c r="P26" s="7" t="s">
        <v>29</v>
      </c>
      <c r="Q26" s="7" t="s">
        <v>29</v>
      </c>
      <c r="R26" s="7" t="s">
        <v>29</v>
      </c>
      <c r="S26" s="7" t="s">
        <v>29</v>
      </c>
    </row>
    <row r="27" spans="2:19">
      <c r="B27" s="9" t="s">
        <v>195</v>
      </c>
      <c r="C27" s="7" t="s">
        <v>195</v>
      </c>
      <c r="D27" s="5" t="str">
        <f>LRTRIM(CONCATENATE(IF(SUMPRODUCT(-- ISNUMBER(SEARCH({"Auto Number"}, $B27))) &gt; 0, $B27, IF(SUMPRODUCT(-- ISNUMBER(SEARCH({"Lookup","Master-Detail"}, $B27))) &gt; 0,$B27 &amp; "(" &amp; $E27 &amp; ")",IF(SUMPRODUCT(-- ISNUMBER(SEARCH({"Formula","Roll-Up Summary"}, $B27))) &gt; 0,$B27 &amp; " (" &amp; $E27 &amp; ")",IF(SUMPRODUCT(-- ISNUMBER(SEARCH({"Content","Currency","Number","Percent","Text","URL"}, $B27))) &gt; 0,$B27 &amp; "(" &amp; $C27 &amp; ")",$B27)))), "  ", TRIM(IF($S27 = "YES", "(External ID)", "") &amp; " " &amp; IF(SUMPRODUCT(-- ISNUMBER(SEARCH({"Unique","Unique Case Insensitive"}, $R27))) &gt; 0, "(" &amp; $R27 &amp; ")", ""))))</f>
        <v>na</v>
      </c>
      <c r="E27" s="7" t="s">
        <v>195</v>
      </c>
      <c r="F27" s="7" t="s">
        <v>195</v>
      </c>
      <c r="G27" s="7" t="s">
        <v>195</v>
      </c>
      <c r="H27" s="7" t="s">
        <v>195</v>
      </c>
      <c r="I27" s="7" t="s">
        <v>195</v>
      </c>
      <c r="J27" s="7" t="s">
        <v>195</v>
      </c>
      <c r="K27" s="7" t="s">
        <v>195</v>
      </c>
      <c r="L27" s="7" t="s">
        <v>195</v>
      </c>
      <c r="M27" s="7" t="s">
        <v>29</v>
      </c>
      <c r="N27" s="7" t="s">
        <v>29</v>
      </c>
      <c r="O27" s="7" t="s">
        <v>29</v>
      </c>
      <c r="P27" s="7" t="s">
        <v>29</v>
      </c>
      <c r="Q27" s="7" t="s">
        <v>29</v>
      </c>
      <c r="R27" s="7" t="s">
        <v>29</v>
      </c>
      <c r="S27" s="7" t="s">
        <v>29</v>
      </c>
    </row>
    <row r="28" spans="2:19">
      <c r="B28" s="9" t="s">
        <v>195</v>
      </c>
      <c r="C28" s="7" t="s">
        <v>195</v>
      </c>
      <c r="D28" s="5" t="str">
        <f>LRTRIM(CONCATENATE(IF(SUMPRODUCT(-- ISNUMBER(SEARCH({"Auto Number"}, $B28))) &gt; 0, $B28, IF(SUMPRODUCT(-- ISNUMBER(SEARCH({"Lookup","Master-Detail"}, $B28))) &gt; 0,$B28 &amp; "(" &amp; $E28 &amp; ")",IF(SUMPRODUCT(-- ISNUMBER(SEARCH({"Formula","Roll-Up Summary"}, $B28))) &gt; 0,$B28 &amp; " (" &amp; $E28 &amp; ")",IF(SUMPRODUCT(-- ISNUMBER(SEARCH({"Content","Currency","Number","Percent","Text","URL"}, $B28))) &gt; 0,$B28 &amp; "(" &amp; $C28 &amp; ")",$B28)))), "  ", TRIM(IF($S28 = "YES", "(External ID)", "") &amp; " " &amp; IF(SUMPRODUCT(-- ISNUMBER(SEARCH({"Unique","Unique Case Insensitive"}, $R28))) &gt; 0, "(" &amp; $R28 &amp; ")", ""))))</f>
        <v>na</v>
      </c>
      <c r="E28" s="7" t="s">
        <v>195</v>
      </c>
      <c r="F28" s="7" t="s">
        <v>195</v>
      </c>
      <c r="G28" s="7" t="s">
        <v>195</v>
      </c>
      <c r="H28" s="7" t="s">
        <v>195</v>
      </c>
      <c r="I28" s="7" t="s">
        <v>195</v>
      </c>
      <c r="J28" s="7" t="s">
        <v>195</v>
      </c>
      <c r="K28" s="7" t="s">
        <v>195</v>
      </c>
      <c r="L28" s="7" t="s">
        <v>195</v>
      </c>
      <c r="M28" s="7" t="s">
        <v>29</v>
      </c>
      <c r="N28" s="7" t="s">
        <v>29</v>
      </c>
      <c r="O28" s="7" t="s">
        <v>29</v>
      </c>
      <c r="P28" s="7" t="s">
        <v>29</v>
      </c>
      <c r="Q28" s="7" t="s">
        <v>29</v>
      </c>
      <c r="R28" s="7" t="s">
        <v>29</v>
      </c>
      <c r="S28" s="7" t="s">
        <v>29</v>
      </c>
    </row>
    <row r="29" spans="2:19">
      <c r="B29" s="9" t="s">
        <v>195</v>
      </c>
      <c r="C29" s="7" t="s">
        <v>195</v>
      </c>
      <c r="D29" s="5" t="str">
        <f>LRTRIM(CONCATENATE(IF(SUMPRODUCT(-- ISNUMBER(SEARCH({"Auto Number"}, $B29))) &gt; 0, $B29, IF(SUMPRODUCT(-- ISNUMBER(SEARCH({"Lookup","Master-Detail"}, $B29))) &gt; 0,$B29 &amp; "(" &amp; $E29 &amp; ")",IF(SUMPRODUCT(-- ISNUMBER(SEARCH({"Formula","Roll-Up Summary"}, $B29))) &gt; 0,$B29 &amp; " (" &amp; $E29 &amp; ")",IF(SUMPRODUCT(-- ISNUMBER(SEARCH({"Content","Currency","Number","Percent","Text","URL"}, $B29))) &gt; 0,$B29 &amp; "(" &amp; $C29 &amp; ")",$B29)))), "  ", TRIM(IF($S29 = "YES", "(External ID)", "") &amp; " " &amp; IF(SUMPRODUCT(-- ISNUMBER(SEARCH({"Unique","Unique Case Insensitive"}, $R29))) &gt; 0, "(" &amp; $R29 &amp; ")", ""))))</f>
        <v>na</v>
      </c>
      <c r="E29" s="7" t="s">
        <v>195</v>
      </c>
      <c r="F29" s="7" t="s">
        <v>195</v>
      </c>
      <c r="G29" s="7" t="s">
        <v>195</v>
      </c>
      <c r="H29" s="7" t="s">
        <v>195</v>
      </c>
      <c r="I29" s="7" t="s">
        <v>195</v>
      </c>
      <c r="J29" s="7" t="s">
        <v>195</v>
      </c>
      <c r="K29" s="7" t="s">
        <v>195</v>
      </c>
      <c r="L29" s="7" t="s">
        <v>195</v>
      </c>
      <c r="M29" s="7" t="s">
        <v>29</v>
      </c>
      <c r="N29" s="7" t="s">
        <v>29</v>
      </c>
      <c r="O29" s="7" t="s">
        <v>29</v>
      </c>
      <c r="P29" s="7" t="s">
        <v>29</v>
      </c>
      <c r="Q29" s="7" t="s">
        <v>29</v>
      </c>
      <c r="R29" s="7" t="s">
        <v>29</v>
      </c>
      <c r="S29" s="7" t="s">
        <v>29</v>
      </c>
    </row>
    <row r="30" spans="2:19">
      <c r="B30" s="9" t="s">
        <v>195</v>
      </c>
      <c r="C30" s="7" t="s">
        <v>195</v>
      </c>
      <c r="D30" s="5" t="str">
        <f>LRTRIM(CONCATENATE(IF(SUMPRODUCT(-- ISNUMBER(SEARCH({"Auto Number"}, $B30))) &gt; 0, $B30, IF(SUMPRODUCT(-- ISNUMBER(SEARCH({"Lookup","Master-Detail"}, $B30))) &gt; 0,$B30 &amp; "(" &amp; $E30 &amp; ")",IF(SUMPRODUCT(-- ISNUMBER(SEARCH({"Formula","Roll-Up Summary"}, $B30))) &gt; 0,$B30 &amp; " (" &amp; $E30 &amp; ")",IF(SUMPRODUCT(-- ISNUMBER(SEARCH({"Content","Currency","Number","Percent","Text","URL"}, $B30))) &gt; 0,$B30 &amp; "(" &amp; $C30 &amp; ")",$B30)))), "  ", TRIM(IF($S30 = "YES", "(External ID)", "") &amp; " " &amp; IF(SUMPRODUCT(-- ISNUMBER(SEARCH({"Unique","Unique Case Insensitive"}, $R30))) &gt; 0, "(" &amp; $R30 &amp; ")", ""))))</f>
        <v>na</v>
      </c>
      <c r="E30" s="7" t="s">
        <v>195</v>
      </c>
      <c r="F30" s="7" t="s">
        <v>195</v>
      </c>
      <c r="G30" s="7" t="s">
        <v>195</v>
      </c>
      <c r="H30" s="7" t="s">
        <v>195</v>
      </c>
      <c r="I30" s="7" t="s">
        <v>195</v>
      </c>
      <c r="J30" s="7" t="s">
        <v>195</v>
      </c>
      <c r="K30" s="7" t="s">
        <v>195</v>
      </c>
      <c r="L30" s="7" t="s">
        <v>195</v>
      </c>
      <c r="M30" s="7" t="s">
        <v>29</v>
      </c>
      <c r="N30" s="7" t="s">
        <v>29</v>
      </c>
      <c r="O30" s="7" t="s">
        <v>29</v>
      </c>
      <c r="P30" s="7" t="s">
        <v>29</v>
      </c>
      <c r="Q30" s="7" t="s">
        <v>29</v>
      </c>
      <c r="R30" s="7" t="s">
        <v>29</v>
      </c>
      <c r="S30" s="7" t="s">
        <v>29</v>
      </c>
    </row>
    <row r="31" spans="2:19">
      <c r="B31" s="9" t="s">
        <v>195</v>
      </c>
      <c r="C31" s="7" t="s">
        <v>195</v>
      </c>
      <c r="D31" s="5" t="str">
        <f>LRTRIM(CONCATENATE(IF(SUMPRODUCT(-- ISNUMBER(SEARCH({"Auto Number"}, $B31))) &gt; 0, $B31, IF(SUMPRODUCT(-- ISNUMBER(SEARCH({"Lookup","Master-Detail"}, $B31))) &gt; 0,$B31 &amp; "(" &amp; $E31 &amp; ")",IF(SUMPRODUCT(-- ISNUMBER(SEARCH({"Formula","Roll-Up Summary"}, $B31))) &gt; 0,$B31 &amp; " (" &amp; $E31 &amp; ")",IF(SUMPRODUCT(-- ISNUMBER(SEARCH({"Content","Currency","Number","Percent","Text","URL"}, $B31))) &gt; 0,$B31 &amp; "(" &amp; $C31 &amp; ")",$B31)))), "  ", TRIM(IF($S31 = "YES", "(External ID)", "") &amp; " " &amp; IF(SUMPRODUCT(-- ISNUMBER(SEARCH({"Unique","Unique Case Insensitive"}, $R31))) &gt; 0, "(" &amp; $R31 &amp; ")", ""))))</f>
        <v>na</v>
      </c>
      <c r="E31" s="7" t="s">
        <v>195</v>
      </c>
      <c r="F31" s="7" t="s">
        <v>195</v>
      </c>
      <c r="G31" s="7" t="s">
        <v>195</v>
      </c>
      <c r="H31" s="7" t="s">
        <v>195</v>
      </c>
      <c r="I31" s="7" t="s">
        <v>195</v>
      </c>
      <c r="J31" s="7" t="s">
        <v>195</v>
      </c>
      <c r="K31" s="7" t="s">
        <v>195</v>
      </c>
      <c r="L31" s="7" t="s">
        <v>195</v>
      </c>
      <c r="M31" s="7" t="s">
        <v>29</v>
      </c>
      <c r="N31" s="7" t="s">
        <v>29</v>
      </c>
      <c r="O31" s="7" t="s">
        <v>29</v>
      </c>
      <c r="P31" s="7" t="s">
        <v>29</v>
      </c>
      <c r="Q31" s="7" t="s">
        <v>29</v>
      </c>
      <c r="R31" s="7" t="s">
        <v>29</v>
      </c>
      <c r="S31" s="7" t="s">
        <v>29</v>
      </c>
    </row>
    <row r="32" spans="2:19">
      <c r="B32" s="9" t="s">
        <v>195</v>
      </c>
      <c r="C32" s="7" t="s">
        <v>195</v>
      </c>
      <c r="D32" s="5" t="str">
        <f>LRTRIM(CONCATENATE(IF(SUMPRODUCT(-- ISNUMBER(SEARCH({"Auto Number"}, $B32))) &gt; 0, $B32, IF(SUMPRODUCT(-- ISNUMBER(SEARCH({"Lookup","Master-Detail"}, $B32))) &gt; 0,$B32 &amp; "(" &amp; $E32 &amp; ")",IF(SUMPRODUCT(-- ISNUMBER(SEARCH({"Formula","Roll-Up Summary"}, $B32))) &gt; 0,$B32 &amp; " (" &amp; $E32 &amp; ")",IF(SUMPRODUCT(-- ISNUMBER(SEARCH({"Content","Currency","Number","Percent","Text","URL"}, $B32))) &gt; 0,$B32 &amp; "(" &amp; $C32 &amp; ")",$B32)))), "  ", TRIM(IF($S32 = "YES", "(External ID)", "") &amp; " " &amp; IF(SUMPRODUCT(-- ISNUMBER(SEARCH({"Unique","Unique Case Insensitive"}, $R32))) &gt; 0, "(" &amp; $R32 &amp; ")", ""))))</f>
        <v>na</v>
      </c>
      <c r="E32" s="7" t="s">
        <v>195</v>
      </c>
      <c r="F32" s="7" t="s">
        <v>195</v>
      </c>
      <c r="G32" s="7" t="s">
        <v>195</v>
      </c>
      <c r="H32" s="7" t="s">
        <v>195</v>
      </c>
      <c r="I32" s="7" t="s">
        <v>195</v>
      </c>
      <c r="J32" s="7" t="s">
        <v>195</v>
      </c>
      <c r="K32" s="7" t="s">
        <v>195</v>
      </c>
      <c r="L32" s="7" t="s">
        <v>195</v>
      </c>
      <c r="M32" s="7" t="s">
        <v>29</v>
      </c>
      <c r="N32" s="7" t="s">
        <v>29</v>
      </c>
      <c r="O32" s="7" t="s">
        <v>29</v>
      </c>
      <c r="P32" s="7" t="s">
        <v>29</v>
      </c>
      <c r="Q32" s="7" t="s">
        <v>29</v>
      </c>
      <c r="R32" s="7" t="s">
        <v>29</v>
      </c>
      <c r="S32" s="7" t="s">
        <v>29</v>
      </c>
    </row>
    <row r="33" spans="2:19">
      <c r="B33" s="9" t="s">
        <v>195</v>
      </c>
      <c r="C33" s="7" t="s">
        <v>195</v>
      </c>
      <c r="D33" s="5" t="str">
        <f>LRTRIM(CONCATENATE(IF(SUMPRODUCT(-- ISNUMBER(SEARCH({"Auto Number"}, $B33))) &gt; 0, $B33, IF(SUMPRODUCT(-- ISNUMBER(SEARCH({"Lookup","Master-Detail"}, $B33))) &gt; 0,$B33 &amp; "(" &amp; $E33 &amp; ")",IF(SUMPRODUCT(-- ISNUMBER(SEARCH({"Formula","Roll-Up Summary"}, $B33))) &gt; 0,$B33 &amp; " (" &amp; $E33 &amp; ")",IF(SUMPRODUCT(-- ISNUMBER(SEARCH({"Content","Currency","Number","Percent","Text","URL"}, $B33))) &gt; 0,$B33 &amp; "(" &amp; $C33 &amp; ")",$B33)))), "  ", TRIM(IF($S33 = "YES", "(External ID)", "") &amp; " " &amp; IF(SUMPRODUCT(-- ISNUMBER(SEARCH({"Unique","Unique Case Insensitive"}, $R33))) &gt; 0, "(" &amp; $R33 &amp; ")", ""))))</f>
        <v>na</v>
      </c>
      <c r="E33" s="7" t="s">
        <v>195</v>
      </c>
      <c r="F33" s="7" t="s">
        <v>195</v>
      </c>
      <c r="G33" s="7" t="s">
        <v>195</v>
      </c>
      <c r="H33" s="7" t="s">
        <v>195</v>
      </c>
      <c r="I33" s="7" t="s">
        <v>195</v>
      </c>
      <c r="J33" s="7" t="s">
        <v>195</v>
      </c>
      <c r="K33" s="7" t="s">
        <v>195</v>
      </c>
      <c r="L33" s="7" t="s">
        <v>195</v>
      </c>
      <c r="M33" s="7" t="s">
        <v>29</v>
      </c>
      <c r="N33" s="7" t="s">
        <v>29</v>
      </c>
      <c r="O33" s="7" t="s">
        <v>29</v>
      </c>
      <c r="P33" s="7" t="s">
        <v>29</v>
      </c>
      <c r="Q33" s="7" t="s">
        <v>29</v>
      </c>
      <c r="R33" s="7" t="s">
        <v>29</v>
      </c>
      <c r="S33" s="7" t="s">
        <v>29</v>
      </c>
    </row>
    <row r="34" spans="2:19">
      <c r="B34" s="9" t="s">
        <v>195</v>
      </c>
      <c r="C34" s="7" t="s">
        <v>195</v>
      </c>
      <c r="D34" s="5" t="str">
        <f>LRTRIM(CONCATENATE(IF(SUMPRODUCT(-- ISNUMBER(SEARCH({"Auto Number"}, $B34))) &gt; 0, $B34, IF(SUMPRODUCT(-- ISNUMBER(SEARCH({"Lookup","Master-Detail"}, $B34))) &gt; 0,$B34 &amp; "(" &amp; $E34 &amp; ")",IF(SUMPRODUCT(-- ISNUMBER(SEARCH({"Formula","Roll-Up Summary"}, $B34))) &gt; 0,$B34 &amp; " (" &amp; $E34 &amp; ")",IF(SUMPRODUCT(-- ISNUMBER(SEARCH({"Content","Currency","Number","Percent","Text","URL"}, $B34))) &gt; 0,$B34 &amp; "(" &amp; $C34 &amp; ")",$B34)))), "  ", TRIM(IF($S34 = "YES", "(External ID)", "") &amp; " " &amp; IF(SUMPRODUCT(-- ISNUMBER(SEARCH({"Unique","Unique Case Insensitive"}, $R34))) &gt; 0, "(" &amp; $R34 &amp; ")", ""))))</f>
        <v>na</v>
      </c>
      <c r="E34" s="7" t="s">
        <v>195</v>
      </c>
      <c r="F34" s="7" t="s">
        <v>195</v>
      </c>
      <c r="G34" s="7" t="s">
        <v>195</v>
      </c>
      <c r="H34" s="7" t="s">
        <v>195</v>
      </c>
      <c r="I34" s="7" t="s">
        <v>195</v>
      </c>
      <c r="J34" s="7" t="s">
        <v>195</v>
      </c>
      <c r="K34" s="7" t="s">
        <v>195</v>
      </c>
      <c r="L34" s="7" t="s">
        <v>195</v>
      </c>
      <c r="M34" s="7" t="s">
        <v>29</v>
      </c>
      <c r="N34" s="7" t="s">
        <v>29</v>
      </c>
      <c r="O34" s="7" t="s">
        <v>29</v>
      </c>
      <c r="P34" s="7" t="s">
        <v>29</v>
      </c>
      <c r="Q34" s="7" t="s">
        <v>29</v>
      </c>
      <c r="R34" s="7" t="s">
        <v>29</v>
      </c>
      <c r="S34" s="7" t="s">
        <v>29</v>
      </c>
    </row>
    <row r="35" spans="2:19">
      <c r="B35" s="9" t="s">
        <v>195</v>
      </c>
      <c r="C35" s="7" t="s">
        <v>195</v>
      </c>
      <c r="D35" s="5" t="str">
        <f>LRTRIM(CONCATENATE(IF(SUMPRODUCT(-- ISNUMBER(SEARCH({"Auto Number"}, $B35))) &gt; 0, $B35, IF(SUMPRODUCT(-- ISNUMBER(SEARCH({"Lookup","Master-Detail"}, $B35))) &gt; 0,$B35 &amp; "(" &amp; $E35 &amp; ")",IF(SUMPRODUCT(-- ISNUMBER(SEARCH({"Formula","Roll-Up Summary"}, $B35))) &gt; 0,$B35 &amp; " (" &amp; $E35 &amp; ")",IF(SUMPRODUCT(-- ISNUMBER(SEARCH({"Content","Currency","Number","Percent","Text","URL"}, $B35))) &gt; 0,$B35 &amp; "(" &amp; $C35 &amp; ")",$B35)))), "  ", TRIM(IF($S35 = "YES", "(External ID)", "") &amp; " " &amp; IF(SUMPRODUCT(-- ISNUMBER(SEARCH({"Unique","Unique Case Insensitive"}, $R35))) &gt; 0, "(" &amp; $R35 &amp; ")", ""))))</f>
        <v>na</v>
      </c>
      <c r="E35" s="7" t="s">
        <v>195</v>
      </c>
      <c r="F35" s="7" t="s">
        <v>195</v>
      </c>
      <c r="G35" s="7" t="s">
        <v>195</v>
      </c>
      <c r="H35" s="7" t="s">
        <v>195</v>
      </c>
      <c r="I35" s="7" t="s">
        <v>195</v>
      </c>
      <c r="J35" s="7" t="s">
        <v>195</v>
      </c>
      <c r="K35" s="7" t="s">
        <v>195</v>
      </c>
      <c r="L35" s="7" t="s">
        <v>195</v>
      </c>
      <c r="M35" s="7" t="s">
        <v>29</v>
      </c>
      <c r="N35" s="7" t="s">
        <v>29</v>
      </c>
      <c r="O35" s="7" t="s">
        <v>29</v>
      </c>
      <c r="P35" s="7" t="s">
        <v>29</v>
      </c>
      <c r="Q35" s="7" t="s">
        <v>29</v>
      </c>
      <c r="R35" s="7" t="s">
        <v>29</v>
      </c>
      <c r="S35" s="7" t="s">
        <v>29</v>
      </c>
    </row>
    <row r="36" spans="2:19">
      <c r="B36" s="9" t="s">
        <v>195</v>
      </c>
      <c r="C36" s="7" t="s">
        <v>195</v>
      </c>
      <c r="D36" s="5" t="str">
        <f>LRTRIM(CONCATENATE(IF(SUMPRODUCT(-- ISNUMBER(SEARCH({"Auto Number"}, $B36))) &gt; 0, $B36, IF(SUMPRODUCT(-- ISNUMBER(SEARCH({"Lookup","Master-Detail"}, $B36))) &gt; 0,$B36 &amp; "(" &amp; $E36 &amp; ")",IF(SUMPRODUCT(-- ISNUMBER(SEARCH({"Formula","Roll-Up Summary"}, $B36))) &gt; 0,$B36 &amp; " (" &amp; $E36 &amp; ")",IF(SUMPRODUCT(-- ISNUMBER(SEARCH({"Content","Currency","Number","Percent","Text","URL"}, $B36))) &gt; 0,$B36 &amp; "(" &amp; $C36 &amp; ")",$B36)))), "  ", TRIM(IF($S36 = "YES", "(External ID)", "") &amp; " " &amp; IF(SUMPRODUCT(-- ISNUMBER(SEARCH({"Unique","Unique Case Insensitive"}, $R36))) &gt; 0, "(" &amp; $R36 &amp; ")", ""))))</f>
        <v>na</v>
      </c>
      <c r="E36" s="7" t="s">
        <v>195</v>
      </c>
      <c r="F36" s="7" t="s">
        <v>195</v>
      </c>
      <c r="G36" s="7" t="s">
        <v>195</v>
      </c>
      <c r="H36" s="7" t="s">
        <v>195</v>
      </c>
      <c r="I36" s="7" t="s">
        <v>195</v>
      </c>
      <c r="J36" s="7" t="s">
        <v>195</v>
      </c>
      <c r="K36" s="7" t="s">
        <v>195</v>
      </c>
      <c r="L36" s="7" t="s">
        <v>195</v>
      </c>
      <c r="M36" s="7" t="s">
        <v>29</v>
      </c>
      <c r="N36" s="7" t="s">
        <v>29</v>
      </c>
      <c r="O36" s="7" t="s">
        <v>29</v>
      </c>
      <c r="P36" s="7" t="s">
        <v>29</v>
      </c>
      <c r="Q36" s="7" t="s">
        <v>29</v>
      </c>
      <c r="R36" s="7" t="s">
        <v>29</v>
      </c>
      <c r="S36" s="7" t="s">
        <v>29</v>
      </c>
    </row>
    <row r="37" spans="2:19">
      <c r="B37" s="9" t="s">
        <v>195</v>
      </c>
      <c r="C37" s="7" t="s">
        <v>195</v>
      </c>
      <c r="D37" s="5" t="str">
        <f>LRTRIM(CONCATENATE(IF(SUMPRODUCT(-- ISNUMBER(SEARCH({"Auto Number"}, $B37))) &gt; 0, $B37, IF(SUMPRODUCT(-- ISNUMBER(SEARCH({"Lookup","Master-Detail"}, $B37))) &gt; 0,$B37 &amp; "(" &amp; $E37 &amp; ")",IF(SUMPRODUCT(-- ISNUMBER(SEARCH({"Formula","Roll-Up Summary"}, $B37))) &gt; 0,$B37 &amp; " (" &amp; $E37 &amp; ")",IF(SUMPRODUCT(-- ISNUMBER(SEARCH({"Content","Currency","Number","Percent","Text","URL"}, $B37))) &gt; 0,$B37 &amp; "(" &amp; $C37 &amp; ")",$B37)))), "  ", TRIM(IF($S37 = "YES", "(External ID)", "") &amp; " " &amp; IF(SUMPRODUCT(-- ISNUMBER(SEARCH({"Unique","Unique Case Insensitive"}, $R37))) &gt; 0, "(" &amp; $R37 &amp; ")", ""))))</f>
        <v>na</v>
      </c>
      <c r="E37" s="7" t="s">
        <v>195</v>
      </c>
      <c r="F37" s="7" t="s">
        <v>195</v>
      </c>
      <c r="G37" s="7" t="s">
        <v>195</v>
      </c>
      <c r="H37" s="7" t="s">
        <v>195</v>
      </c>
      <c r="I37" s="7" t="s">
        <v>195</v>
      </c>
      <c r="J37" s="7" t="s">
        <v>195</v>
      </c>
      <c r="K37" s="7" t="s">
        <v>195</v>
      </c>
      <c r="L37" s="7" t="s">
        <v>195</v>
      </c>
      <c r="M37" s="7" t="s">
        <v>29</v>
      </c>
      <c r="N37" s="7" t="s">
        <v>29</v>
      </c>
      <c r="O37" s="7" t="s">
        <v>29</v>
      </c>
      <c r="P37" s="7" t="s">
        <v>29</v>
      </c>
      <c r="Q37" s="7" t="s">
        <v>29</v>
      </c>
      <c r="R37" s="7" t="s">
        <v>29</v>
      </c>
      <c r="S37" s="7" t="s">
        <v>29</v>
      </c>
    </row>
    <row r="38" spans="2:19">
      <c r="B38" s="9" t="s">
        <v>195</v>
      </c>
      <c r="C38" s="7" t="s">
        <v>195</v>
      </c>
      <c r="D38" s="5" t="str">
        <f>LRTRIM(CONCATENATE(IF(SUMPRODUCT(-- ISNUMBER(SEARCH({"Auto Number"}, $B38))) &gt; 0, $B38, IF(SUMPRODUCT(-- ISNUMBER(SEARCH({"Lookup","Master-Detail"}, $B38))) &gt; 0,$B38 &amp; "(" &amp; $E38 &amp; ")",IF(SUMPRODUCT(-- ISNUMBER(SEARCH({"Formula","Roll-Up Summary"}, $B38))) &gt; 0,$B38 &amp; " (" &amp; $E38 &amp; ")",IF(SUMPRODUCT(-- ISNUMBER(SEARCH({"Content","Currency","Number","Percent","Text","URL"}, $B38))) &gt; 0,$B38 &amp; "(" &amp; $C38 &amp; ")",$B38)))), "  ", TRIM(IF($S38 = "YES", "(External ID)", "") &amp; " " &amp; IF(SUMPRODUCT(-- ISNUMBER(SEARCH({"Unique","Unique Case Insensitive"}, $R38))) &gt; 0, "(" &amp; $R38 &amp; ")", ""))))</f>
        <v>na</v>
      </c>
      <c r="E38" s="7" t="s">
        <v>195</v>
      </c>
      <c r="F38" s="7" t="s">
        <v>195</v>
      </c>
      <c r="G38" s="7" t="s">
        <v>195</v>
      </c>
      <c r="H38" s="7" t="s">
        <v>195</v>
      </c>
      <c r="I38" s="7" t="s">
        <v>195</v>
      </c>
      <c r="J38" s="7" t="s">
        <v>195</v>
      </c>
      <c r="K38" s="7" t="s">
        <v>195</v>
      </c>
      <c r="L38" s="7" t="s">
        <v>195</v>
      </c>
      <c r="M38" s="7" t="s">
        <v>29</v>
      </c>
      <c r="N38" s="7" t="s">
        <v>29</v>
      </c>
      <c r="O38" s="7" t="s">
        <v>29</v>
      </c>
      <c r="P38" s="7" t="s">
        <v>29</v>
      </c>
      <c r="Q38" s="7" t="s">
        <v>29</v>
      </c>
      <c r="R38" s="7" t="s">
        <v>29</v>
      </c>
      <c r="S38" s="7" t="s">
        <v>29</v>
      </c>
    </row>
    <row r="39" spans="2:19">
      <c r="B39" s="9" t="s">
        <v>195</v>
      </c>
      <c r="C39" s="7" t="s">
        <v>195</v>
      </c>
      <c r="D39" s="5" t="str">
        <f>LRTRIM(CONCATENATE(IF(SUMPRODUCT(-- ISNUMBER(SEARCH({"Auto Number"}, $B39))) &gt; 0, $B39, IF(SUMPRODUCT(-- ISNUMBER(SEARCH({"Lookup","Master-Detail"}, $B39))) &gt; 0,$B39 &amp; "(" &amp; $E39 &amp; ")",IF(SUMPRODUCT(-- ISNUMBER(SEARCH({"Formula","Roll-Up Summary"}, $B39))) &gt; 0,$B39 &amp; " (" &amp; $E39 &amp; ")",IF(SUMPRODUCT(-- ISNUMBER(SEARCH({"Content","Currency","Number","Percent","Text","URL"}, $B39))) &gt; 0,$B39 &amp; "(" &amp; $C39 &amp; ")",$B39)))), "  ", TRIM(IF($S39 = "YES", "(External ID)", "") &amp; " " &amp; IF(SUMPRODUCT(-- ISNUMBER(SEARCH({"Unique","Unique Case Insensitive"}, $R39))) &gt; 0, "(" &amp; $R39 &amp; ")", ""))))</f>
        <v>na</v>
      </c>
      <c r="E39" s="7" t="s">
        <v>195</v>
      </c>
      <c r="F39" s="7" t="s">
        <v>195</v>
      </c>
      <c r="G39" s="7" t="s">
        <v>195</v>
      </c>
      <c r="H39" s="7" t="s">
        <v>195</v>
      </c>
      <c r="I39" s="7" t="s">
        <v>195</v>
      </c>
      <c r="J39" s="7" t="s">
        <v>195</v>
      </c>
      <c r="K39" s="7" t="s">
        <v>195</v>
      </c>
      <c r="L39" s="7" t="s">
        <v>195</v>
      </c>
      <c r="M39" s="7" t="s">
        <v>29</v>
      </c>
      <c r="N39" s="7" t="s">
        <v>29</v>
      </c>
      <c r="O39" s="7" t="s">
        <v>29</v>
      </c>
      <c r="P39" s="7" t="s">
        <v>29</v>
      </c>
      <c r="Q39" s="7" t="s">
        <v>29</v>
      </c>
      <c r="R39" s="7" t="s">
        <v>29</v>
      </c>
      <c r="S39" s="7" t="s">
        <v>29</v>
      </c>
    </row>
    <row r="40" spans="2:19">
      <c r="B40" s="9" t="s">
        <v>195</v>
      </c>
      <c r="C40" s="7" t="s">
        <v>195</v>
      </c>
      <c r="D40" s="5" t="str">
        <f>LRTRIM(CONCATENATE(IF(SUMPRODUCT(-- ISNUMBER(SEARCH({"Auto Number"}, $B40))) &gt; 0, $B40, IF(SUMPRODUCT(-- ISNUMBER(SEARCH({"Lookup","Master-Detail"}, $B40))) &gt; 0,$B40 &amp; "(" &amp; $E40 &amp; ")",IF(SUMPRODUCT(-- ISNUMBER(SEARCH({"Formula","Roll-Up Summary"}, $B40))) &gt; 0,$B40 &amp; " (" &amp; $E40 &amp; ")",IF(SUMPRODUCT(-- ISNUMBER(SEARCH({"Content","Currency","Number","Percent","Text","URL"}, $B40))) &gt; 0,$B40 &amp; "(" &amp; $C40 &amp; ")",$B40)))), "  ", TRIM(IF($S40 = "YES", "(External ID)", "") &amp; " " &amp; IF(SUMPRODUCT(-- ISNUMBER(SEARCH({"Unique","Unique Case Insensitive"}, $R40))) &gt; 0, "(" &amp; $R40 &amp; ")", ""))))</f>
        <v>na</v>
      </c>
      <c r="E40" s="7" t="s">
        <v>195</v>
      </c>
      <c r="F40" s="7" t="s">
        <v>195</v>
      </c>
      <c r="G40" s="7" t="s">
        <v>195</v>
      </c>
      <c r="H40" s="7" t="s">
        <v>195</v>
      </c>
      <c r="I40" s="7" t="s">
        <v>195</v>
      </c>
      <c r="J40" s="7" t="s">
        <v>195</v>
      </c>
      <c r="K40" s="7" t="s">
        <v>195</v>
      </c>
      <c r="L40" s="7" t="s">
        <v>195</v>
      </c>
      <c r="M40" s="7" t="s">
        <v>29</v>
      </c>
      <c r="N40" s="7" t="s">
        <v>29</v>
      </c>
      <c r="O40" s="7" t="s">
        <v>29</v>
      </c>
      <c r="P40" s="7" t="s">
        <v>29</v>
      </c>
      <c r="Q40" s="7" t="s">
        <v>29</v>
      </c>
      <c r="R40" s="7" t="s">
        <v>29</v>
      </c>
      <c r="S40" s="7" t="s">
        <v>29</v>
      </c>
    </row>
    <row r="41" spans="2:19">
      <c r="B41" s="9" t="s">
        <v>195</v>
      </c>
      <c r="C41" s="7" t="s">
        <v>195</v>
      </c>
      <c r="D41" s="5" t="str">
        <f>LRTRIM(CONCATENATE(IF(SUMPRODUCT(-- ISNUMBER(SEARCH({"Auto Number"}, $B41))) &gt; 0, $B41, IF(SUMPRODUCT(-- ISNUMBER(SEARCH({"Lookup","Master-Detail"}, $B41))) &gt; 0,$B41 &amp; "(" &amp; $E41 &amp; ")",IF(SUMPRODUCT(-- ISNUMBER(SEARCH({"Formula","Roll-Up Summary"}, $B41))) &gt; 0,$B41 &amp; " (" &amp; $E41 &amp; ")",IF(SUMPRODUCT(-- ISNUMBER(SEARCH({"Content","Currency","Number","Percent","Text","URL"}, $B41))) &gt; 0,$B41 &amp; "(" &amp; $C41 &amp; ")",$B41)))), "  ", TRIM(IF($S41 = "YES", "(External ID)", "") &amp; " " &amp; IF(SUMPRODUCT(-- ISNUMBER(SEARCH({"Unique","Unique Case Insensitive"}, $R41))) &gt; 0, "(" &amp; $R41 &amp; ")", ""))))</f>
        <v>na</v>
      </c>
      <c r="E41" s="7" t="s">
        <v>195</v>
      </c>
      <c r="F41" s="7" t="s">
        <v>195</v>
      </c>
      <c r="G41" s="7" t="s">
        <v>195</v>
      </c>
      <c r="H41" s="7" t="s">
        <v>195</v>
      </c>
      <c r="I41" s="7" t="s">
        <v>195</v>
      </c>
      <c r="J41" s="7" t="s">
        <v>195</v>
      </c>
      <c r="K41" s="7" t="s">
        <v>195</v>
      </c>
      <c r="L41" s="7" t="s">
        <v>195</v>
      </c>
      <c r="M41" s="7" t="s">
        <v>29</v>
      </c>
      <c r="N41" s="7" t="s">
        <v>29</v>
      </c>
      <c r="O41" s="7" t="s">
        <v>29</v>
      </c>
      <c r="P41" s="7" t="s">
        <v>29</v>
      </c>
      <c r="Q41" s="7" t="s">
        <v>29</v>
      </c>
      <c r="R41" s="7" t="s">
        <v>29</v>
      </c>
      <c r="S41" s="7" t="s">
        <v>29</v>
      </c>
    </row>
    <row r="42" spans="2:19">
      <c r="B42" s="9" t="s">
        <v>195</v>
      </c>
      <c r="C42" s="7" t="s">
        <v>195</v>
      </c>
      <c r="D42" s="5" t="str">
        <f>LRTRIM(CONCATENATE(IF(SUMPRODUCT(-- ISNUMBER(SEARCH({"Auto Number"}, $B42))) &gt; 0, $B42, IF(SUMPRODUCT(-- ISNUMBER(SEARCH({"Lookup","Master-Detail"}, $B42))) &gt; 0,$B42 &amp; "(" &amp; $E42 &amp; ")",IF(SUMPRODUCT(-- ISNUMBER(SEARCH({"Formula","Roll-Up Summary"}, $B42))) &gt; 0,$B42 &amp; " (" &amp; $E42 &amp; ")",IF(SUMPRODUCT(-- ISNUMBER(SEARCH({"Content","Currency","Number","Percent","Text","URL"}, $B42))) &gt; 0,$B42 &amp; "(" &amp; $C42 &amp; ")",$B42)))), "  ", TRIM(IF($S42 = "YES", "(External ID)", "") &amp; " " &amp; IF(SUMPRODUCT(-- ISNUMBER(SEARCH({"Unique","Unique Case Insensitive"}, $R42))) &gt; 0, "(" &amp; $R42 &amp; ")", ""))))</f>
        <v>na</v>
      </c>
      <c r="E42" s="7" t="s">
        <v>195</v>
      </c>
      <c r="F42" s="7" t="s">
        <v>195</v>
      </c>
      <c r="G42" s="7" t="s">
        <v>195</v>
      </c>
      <c r="H42" s="7" t="s">
        <v>195</v>
      </c>
      <c r="I42" s="7" t="s">
        <v>195</v>
      </c>
      <c r="J42" s="7" t="s">
        <v>195</v>
      </c>
      <c r="K42" s="7" t="s">
        <v>195</v>
      </c>
      <c r="L42" s="7" t="s">
        <v>195</v>
      </c>
      <c r="M42" s="7" t="s">
        <v>29</v>
      </c>
      <c r="N42" s="7" t="s">
        <v>29</v>
      </c>
      <c r="O42" s="7" t="s">
        <v>29</v>
      </c>
      <c r="P42" s="7" t="s">
        <v>29</v>
      </c>
      <c r="Q42" s="7" t="s">
        <v>29</v>
      </c>
      <c r="R42" s="7" t="s">
        <v>29</v>
      </c>
      <c r="S42" s="7" t="s">
        <v>29</v>
      </c>
    </row>
    <row r="43" spans="2:19">
      <c r="B43" s="9" t="s">
        <v>195</v>
      </c>
      <c r="C43" s="7" t="s">
        <v>195</v>
      </c>
      <c r="D43" s="5" t="str">
        <f>LRTRIM(CONCATENATE(IF(SUMPRODUCT(-- ISNUMBER(SEARCH({"Auto Number"}, $B43))) &gt; 0, $B43, IF(SUMPRODUCT(-- ISNUMBER(SEARCH({"Lookup","Master-Detail"}, $B43))) &gt; 0,$B43 &amp; "(" &amp; $E43 &amp; ")",IF(SUMPRODUCT(-- ISNUMBER(SEARCH({"Formula","Roll-Up Summary"}, $B43))) &gt; 0,$B43 &amp; " (" &amp; $E43 &amp; ")",IF(SUMPRODUCT(-- ISNUMBER(SEARCH({"Content","Currency","Number","Percent","Text","URL"}, $B43))) &gt; 0,$B43 &amp; "(" &amp; $C43 &amp; ")",$B43)))), "  ", TRIM(IF($S43 = "YES", "(External ID)", "") &amp; " " &amp; IF(SUMPRODUCT(-- ISNUMBER(SEARCH({"Unique","Unique Case Insensitive"}, $R43))) &gt; 0, "(" &amp; $R43 &amp; ")", ""))))</f>
        <v>na</v>
      </c>
      <c r="E43" s="7" t="s">
        <v>195</v>
      </c>
      <c r="F43" s="7" t="s">
        <v>195</v>
      </c>
      <c r="G43" s="7" t="s">
        <v>195</v>
      </c>
      <c r="H43" s="7" t="s">
        <v>195</v>
      </c>
      <c r="I43" s="7" t="s">
        <v>195</v>
      </c>
      <c r="J43" s="7" t="s">
        <v>195</v>
      </c>
      <c r="K43" s="7" t="s">
        <v>195</v>
      </c>
      <c r="L43" s="7" t="s">
        <v>195</v>
      </c>
      <c r="M43" s="7" t="s">
        <v>29</v>
      </c>
      <c r="N43" s="7" t="s">
        <v>29</v>
      </c>
      <c r="O43" s="7" t="s">
        <v>29</v>
      </c>
      <c r="P43" s="7" t="s">
        <v>29</v>
      </c>
      <c r="Q43" s="7" t="s">
        <v>29</v>
      </c>
      <c r="R43" s="7" t="s">
        <v>29</v>
      </c>
      <c r="S43" s="7" t="s">
        <v>29</v>
      </c>
    </row>
    <row r="44" spans="2:19">
      <c r="B44" s="9" t="s">
        <v>195</v>
      </c>
      <c r="C44" s="7" t="s">
        <v>195</v>
      </c>
      <c r="D44" s="5" t="str">
        <f>LRTRIM(CONCATENATE(IF(SUMPRODUCT(-- ISNUMBER(SEARCH({"Auto Number"}, $B44))) &gt; 0, $B44, IF(SUMPRODUCT(-- ISNUMBER(SEARCH({"Lookup","Master-Detail"}, $B44))) &gt; 0,$B44 &amp; "(" &amp; $E44 &amp; ")",IF(SUMPRODUCT(-- ISNUMBER(SEARCH({"Formula","Roll-Up Summary"}, $B44))) &gt; 0,$B44 &amp; " (" &amp; $E44 &amp; ")",IF(SUMPRODUCT(-- ISNUMBER(SEARCH({"Content","Currency","Number","Percent","Text","URL"}, $B44))) &gt; 0,$B44 &amp; "(" &amp; $C44 &amp; ")",$B44)))), "  ", TRIM(IF($S44 = "YES", "(External ID)", "") &amp; " " &amp; IF(SUMPRODUCT(-- ISNUMBER(SEARCH({"Unique","Unique Case Insensitive"}, $R44))) &gt; 0, "(" &amp; $R44 &amp; ")", ""))))</f>
        <v>na</v>
      </c>
      <c r="E44" s="7" t="s">
        <v>195</v>
      </c>
      <c r="F44" s="7" t="s">
        <v>195</v>
      </c>
      <c r="G44" s="7" t="s">
        <v>195</v>
      </c>
      <c r="H44" s="7" t="s">
        <v>195</v>
      </c>
      <c r="I44" s="7" t="s">
        <v>195</v>
      </c>
      <c r="J44" s="7" t="s">
        <v>195</v>
      </c>
      <c r="K44" s="7" t="s">
        <v>195</v>
      </c>
      <c r="L44" s="7" t="s">
        <v>195</v>
      </c>
      <c r="M44" s="7" t="s">
        <v>29</v>
      </c>
      <c r="N44" s="7" t="s">
        <v>29</v>
      </c>
      <c r="O44" s="7" t="s">
        <v>29</v>
      </c>
      <c r="P44" s="7" t="s">
        <v>29</v>
      </c>
      <c r="Q44" s="7" t="s">
        <v>29</v>
      </c>
      <c r="R44" s="7" t="s">
        <v>29</v>
      </c>
      <c r="S44" s="7" t="s">
        <v>29</v>
      </c>
    </row>
    <row r="45" spans="2:19">
      <c r="B45" s="9" t="s">
        <v>195</v>
      </c>
      <c r="C45" s="7" t="s">
        <v>195</v>
      </c>
      <c r="D45" s="5" t="str">
        <f>LRTRIM(CONCATENATE(IF(SUMPRODUCT(-- ISNUMBER(SEARCH({"Auto Number"}, $B45))) &gt; 0, $B45, IF(SUMPRODUCT(-- ISNUMBER(SEARCH({"Lookup","Master-Detail"}, $B45))) &gt; 0,$B45 &amp; "(" &amp; $E45 &amp; ")",IF(SUMPRODUCT(-- ISNUMBER(SEARCH({"Formula","Roll-Up Summary"}, $B45))) &gt; 0,$B45 &amp; " (" &amp; $E45 &amp; ")",IF(SUMPRODUCT(-- ISNUMBER(SEARCH({"Content","Currency","Number","Percent","Text","URL"}, $B45))) &gt; 0,$B45 &amp; "(" &amp; $C45 &amp; ")",$B45)))), "  ", TRIM(IF($S45 = "YES", "(External ID)", "") &amp; " " &amp; IF(SUMPRODUCT(-- ISNUMBER(SEARCH({"Unique","Unique Case Insensitive"}, $R45))) &gt; 0, "(" &amp; $R45 &amp; ")", ""))))</f>
        <v>na</v>
      </c>
      <c r="E45" s="7" t="s">
        <v>195</v>
      </c>
      <c r="F45" s="7" t="s">
        <v>195</v>
      </c>
      <c r="G45" s="7" t="s">
        <v>195</v>
      </c>
      <c r="H45" s="7" t="s">
        <v>195</v>
      </c>
      <c r="I45" s="7" t="s">
        <v>195</v>
      </c>
      <c r="J45" s="7" t="s">
        <v>195</v>
      </c>
      <c r="K45" s="7" t="s">
        <v>195</v>
      </c>
      <c r="L45" s="7" t="s">
        <v>195</v>
      </c>
      <c r="M45" s="7" t="s">
        <v>29</v>
      </c>
      <c r="N45" s="7" t="s">
        <v>29</v>
      </c>
      <c r="O45" s="7" t="s">
        <v>29</v>
      </c>
      <c r="P45" s="7" t="s">
        <v>29</v>
      </c>
      <c r="Q45" s="7" t="s">
        <v>29</v>
      </c>
      <c r="R45" s="7" t="s">
        <v>29</v>
      </c>
      <c r="S45" s="7" t="s">
        <v>29</v>
      </c>
    </row>
    <row r="46" spans="2:19">
      <c r="B46" s="9" t="s">
        <v>195</v>
      </c>
      <c r="C46" s="7" t="s">
        <v>195</v>
      </c>
      <c r="D46" s="5" t="str">
        <f>LRTRIM(CONCATENATE(IF(SUMPRODUCT(-- ISNUMBER(SEARCH({"Auto Number"}, $B46))) &gt; 0, $B46, IF(SUMPRODUCT(-- ISNUMBER(SEARCH({"Lookup","Master-Detail"}, $B46))) &gt; 0,$B46 &amp; "(" &amp; $E46 &amp; ")",IF(SUMPRODUCT(-- ISNUMBER(SEARCH({"Formula","Roll-Up Summary"}, $B46))) &gt; 0,$B46 &amp; " (" &amp; $E46 &amp; ")",IF(SUMPRODUCT(-- ISNUMBER(SEARCH({"Content","Currency","Number","Percent","Text","URL"}, $B46))) &gt; 0,$B46 &amp; "(" &amp; $C46 &amp; ")",$B46)))), "  ", TRIM(IF($S46 = "YES", "(External ID)", "") &amp; " " &amp; IF(SUMPRODUCT(-- ISNUMBER(SEARCH({"Unique","Unique Case Insensitive"}, $R46))) &gt; 0, "(" &amp; $R46 &amp; ")", ""))))</f>
        <v>na</v>
      </c>
      <c r="E46" s="7" t="s">
        <v>195</v>
      </c>
      <c r="F46" s="7" t="s">
        <v>195</v>
      </c>
      <c r="G46" s="7" t="s">
        <v>195</v>
      </c>
      <c r="H46" s="7" t="s">
        <v>195</v>
      </c>
      <c r="I46" s="7" t="s">
        <v>195</v>
      </c>
      <c r="J46" s="7" t="s">
        <v>195</v>
      </c>
      <c r="K46" s="7" t="s">
        <v>195</v>
      </c>
      <c r="L46" s="7" t="s">
        <v>195</v>
      </c>
      <c r="M46" s="7" t="s">
        <v>29</v>
      </c>
      <c r="N46" s="7" t="s">
        <v>29</v>
      </c>
      <c r="O46" s="7" t="s">
        <v>29</v>
      </c>
      <c r="P46" s="7" t="s">
        <v>29</v>
      </c>
      <c r="Q46" s="7" t="s">
        <v>29</v>
      </c>
      <c r="R46" s="7" t="s">
        <v>29</v>
      </c>
      <c r="S46" s="7" t="s">
        <v>29</v>
      </c>
    </row>
    <row r="47" spans="2:19">
      <c r="B47" s="9" t="s">
        <v>195</v>
      </c>
      <c r="C47" s="7" t="s">
        <v>195</v>
      </c>
      <c r="D47" s="5" t="str">
        <f>LRTRIM(CONCATENATE(IF(SUMPRODUCT(-- ISNUMBER(SEARCH({"Auto Number"}, $B47))) &gt; 0, $B47, IF(SUMPRODUCT(-- ISNUMBER(SEARCH({"Lookup","Master-Detail"}, $B47))) &gt; 0,$B47 &amp; "(" &amp; $E47 &amp; ")",IF(SUMPRODUCT(-- ISNUMBER(SEARCH({"Formula","Roll-Up Summary"}, $B47))) &gt; 0,$B47 &amp; " (" &amp; $E47 &amp; ")",IF(SUMPRODUCT(-- ISNUMBER(SEARCH({"Content","Currency","Number","Percent","Text","URL"}, $B47))) &gt; 0,$B47 &amp; "(" &amp; $C47 &amp; ")",$B47)))), "  ", TRIM(IF($S47 = "YES", "(External ID)", "") &amp; " " &amp; IF(SUMPRODUCT(-- ISNUMBER(SEARCH({"Unique","Unique Case Insensitive"}, $R47))) &gt; 0, "(" &amp; $R47 &amp; ")", ""))))</f>
        <v>na</v>
      </c>
      <c r="E47" s="7" t="s">
        <v>195</v>
      </c>
      <c r="F47" s="7" t="s">
        <v>195</v>
      </c>
      <c r="G47" s="7" t="s">
        <v>195</v>
      </c>
      <c r="H47" s="7" t="s">
        <v>195</v>
      </c>
      <c r="I47" s="7" t="s">
        <v>195</v>
      </c>
      <c r="J47" s="7" t="s">
        <v>195</v>
      </c>
      <c r="K47" s="7" t="s">
        <v>195</v>
      </c>
      <c r="L47" s="7" t="s">
        <v>195</v>
      </c>
      <c r="M47" s="7" t="s">
        <v>29</v>
      </c>
      <c r="N47" s="7" t="s">
        <v>29</v>
      </c>
      <c r="O47" s="7" t="s">
        <v>29</v>
      </c>
      <c r="P47" s="7" t="s">
        <v>29</v>
      </c>
      <c r="Q47" s="7" t="s">
        <v>29</v>
      </c>
      <c r="R47" s="7" t="s">
        <v>29</v>
      </c>
      <c r="S47" s="7" t="s">
        <v>29</v>
      </c>
    </row>
    <row r="48" spans="2:19">
      <c r="B48" s="9" t="s">
        <v>195</v>
      </c>
      <c r="C48" s="7" t="s">
        <v>195</v>
      </c>
      <c r="D48" s="5" t="str">
        <f>LRTRIM(CONCATENATE(IF(SUMPRODUCT(-- ISNUMBER(SEARCH({"Auto Number"}, $B48))) &gt; 0, $B48, IF(SUMPRODUCT(-- ISNUMBER(SEARCH({"Lookup","Master-Detail"}, $B48))) &gt; 0,$B48 &amp; "(" &amp; $E48 &amp; ")",IF(SUMPRODUCT(-- ISNUMBER(SEARCH({"Formula","Roll-Up Summary"}, $B48))) &gt; 0,$B48 &amp; " (" &amp; $E48 &amp; ")",IF(SUMPRODUCT(-- ISNUMBER(SEARCH({"Content","Currency","Number","Percent","Text","URL"}, $B48))) &gt; 0,$B48 &amp; "(" &amp; $C48 &amp; ")",$B48)))), "  ", TRIM(IF($S48 = "YES", "(External ID)", "") &amp; " " &amp; IF(SUMPRODUCT(-- ISNUMBER(SEARCH({"Unique","Unique Case Insensitive"}, $R48))) &gt; 0, "(" &amp; $R48 &amp; ")", ""))))</f>
        <v>na</v>
      </c>
      <c r="E48" s="7" t="s">
        <v>195</v>
      </c>
      <c r="F48" s="7" t="s">
        <v>195</v>
      </c>
      <c r="G48" s="7" t="s">
        <v>195</v>
      </c>
      <c r="H48" s="7" t="s">
        <v>195</v>
      </c>
      <c r="I48" s="7" t="s">
        <v>195</v>
      </c>
      <c r="J48" s="7" t="s">
        <v>195</v>
      </c>
      <c r="K48" s="7" t="s">
        <v>195</v>
      </c>
      <c r="L48" s="7" t="s">
        <v>195</v>
      </c>
      <c r="M48" s="7" t="s">
        <v>29</v>
      </c>
      <c r="N48" s="7" t="s">
        <v>29</v>
      </c>
      <c r="O48" s="7" t="s">
        <v>29</v>
      </c>
      <c r="P48" s="7" t="s">
        <v>29</v>
      </c>
      <c r="Q48" s="7" t="s">
        <v>29</v>
      </c>
      <c r="R48" s="7" t="s">
        <v>29</v>
      </c>
      <c r="S48" s="7" t="s">
        <v>29</v>
      </c>
    </row>
    <row r="49" spans="2:19">
      <c r="B49" s="9" t="s">
        <v>195</v>
      </c>
      <c r="C49" s="7" t="s">
        <v>195</v>
      </c>
      <c r="D49" s="5" t="str">
        <f>LRTRIM(CONCATENATE(IF(SUMPRODUCT(-- ISNUMBER(SEARCH({"Auto Number"}, $B49))) &gt; 0, $B49, IF(SUMPRODUCT(-- ISNUMBER(SEARCH({"Lookup","Master-Detail"}, $B49))) &gt; 0,$B49 &amp; "(" &amp; $E49 &amp; ")",IF(SUMPRODUCT(-- ISNUMBER(SEARCH({"Formula","Roll-Up Summary"}, $B49))) &gt; 0,$B49 &amp; " (" &amp; $E49 &amp; ")",IF(SUMPRODUCT(-- ISNUMBER(SEARCH({"Content","Currency","Number","Percent","Text","URL"}, $B49))) &gt; 0,$B49 &amp; "(" &amp; $C49 &amp; ")",$B49)))), "  ", TRIM(IF($S49 = "YES", "(External ID)", "") &amp; " " &amp; IF(SUMPRODUCT(-- ISNUMBER(SEARCH({"Unique","Unique Case Insensitive"}, $R49))) &gt; 0, "(" &amp; $R49 &amp; ")", ""))))</f>
        <v>na</v>
      </c>
      <c r="E49" s="7" t="s">
        <v>195</v>
      </c>
      <c r="F49" s="7" t="s">
        <v>195</v>
      </c>
      <c r="G49" s="7" t="s">
        <v>195</v>
      </c>
      <c r="H49" s="7" t="s">
        <v>195</v>
      </c>
      <c r="I49" s="7" t="s">
        <v>195</v>
      </c>
      <c r="J49" s="7" t="s">
        <v>195</v>
      </c>
      <c r="K49" s="7" t="s">
        <v>195</v>
      </c>
      <c r="L49" s="7" t="s">
        <v>195</v>
      </c>
      <c r="M49" s="7" t="s">
        <v>29</v>
      </c>
      <c r="N49" s="7" t="s">
        <v>29</v>
      </c>
      <c r="O49" s="7" t="s">
        <v>29</v>
      </c>
      <c r="P49" s="7" t="s">
        <v>29</v>
      </c>
      <c r="Q49" s="7" t="s">
        <v>29</v>
      </c>
      <c r="R49" s="7" t="s">
        <v>29</v>
      </c>
      <c r="S49" s="7" t="s">
        <v>29</v>
      </c>
    </row>
    <row r="50" spans="2:19">
      <c r="B50" s="9" t="s">
        <v>195</v>
      </c>
      <c r="C50" s="7" t="s">
        <v>195</v>
      </c>
      <c r="D50" s="5" t="str">
        <f>LRTRIM(CONCATENATE(IF(SUMPRODUCT(-- ISNUMBER(SEARCH({"Auto Number"}, $B50))) &gt; 0, $B50, IF(SUMPRODUCT(-- ISNUMBER(SEARCH({"Lookup","Master-Detail"}, $B50))) &gt; 0,$B50 &amp; "(" &amp; $E50 &amp; ")",IF(SUMPRODUCT(-- ISNUMBER(SEARCH({"Formula","Roll-Up Summary"}, $B50))) &gt; 0,$B50 &amp; " (" &amp; $E50 &amp; ")",IF(SUMPRODUCT(-- ISNUMBER(SEARCH({"Content","Currency","Number","Percent","Text","URL"}, $B50))) &gt; 0,$B50 &amp; "(" &amp; $C50 &amp; ")",$B50)))), "  ", TRIM(IF($S50 = "YES", "(External ID)", "") &amp; " " &amp; IF(SUMPRODUCT(-- ISNUMBER(SEARCH({"Unique","Unique Case Insensitive"}, $R50))) &gt; 0, "(" &amp; $R50 &amp; ")", ""))))</f>
        <v>na</v>
      </c>
      <c r="E50" s="7" t="s">
        <v>195</v>
      </c>
      <c r="F50" s="7" t="s">
        <v>195</v>
      </c>
      <c r="G50" s="7" t="s">
        <v>195</v>
      </c>
      <c r="H50" s="7" t="s">
        <v>195</v>
      </c>
      <c r="I50" s="7" t="s">
        <v>195</v>
      </c>
      <c r="J50" s="7" t="s">
        <v>195</v>
      </c>
      <c r="K50" s="7" t="s">
        <v>195</v>
      </c>
      <c r="L50" s="7" t="s">
        <v>195</v>
      </c>
      <c r="M50" s="7" t="s">
        <v>29</v>
      </c>
      <c r="N50" s="7" t="s">
        <v>29</v>
      </c>
      <c r="O50" s="7" t="s">
        <v>29</v>
      </c>
      <c r="P50" s="7" t="s">
        <v>29</v>
      </c>
      <c r="Q50" s="7" t="s">
        <v>29</v>
      </c>
      <c r="R50" s="7" t="s">
        <v>29</v>
      </c>
      <c r="S50" s="7" t="s">
        <v>29</v>
      </c>
    </row>
    <row r="51" spans="2:19">
      <c r="B51" s="9" t="s">
        <v>195</v>
      </c>
      <c r="C51" s="7" t="s">
        <v>195</v>
      </c>
      <c r="D51" s="5" t="str">
        <f>LRTRIM(CONCATENATE(IF(SUMPRODUCT(-- ISNUMBER(SEARCH({"Auto Number"}, $B51))) &gt; 0, $B51, IF(SUMPRODUCT(-- ISNUMBER(SEARCH({"Lookup","Master-Detail"}, $B51))) &gt; 0,$B51 &amp; "(" &amp; $E51 &amp; ")",IF(SUMPRODUCT(-- ISNUMBER(SEARCH({"Formula","Roll-Up Summary"}, $B51))) &gt; 0,$B51 &amp; " (" &amp; $E51 &amp; ")",IF(SUMPRODUCT(-- ISNUMBER(SEARCH({"Content","Currency","Number","Percent","Text","URL"}, $B51))) &gt; 0,$B51 &amp; "(" &amp; $C51 &amp; ")",$B51)))), "  ", TRIM(IF($S51 = "YES", "(External ID)", "") &amp; " " &amp; IF(SUMPRODUCT(-- ISNUMBER(SEARCH({"Unique","Unique Case Insensitive"}, $R51))) &gt; 0, "(" &amp; $R51 &amp; ")", ""))))</f>
        <v>na</v>
      </c>
      <c r="E51" s="7" t="s">
        <v>195</v>
      </c>
      <c r="F51" s="7" t="s">
        <v>195</v>
      </c>
      <c r="G51" s="7" t="s">
        <v>195</v>
      </c>
      <c r="H51" s="7" t="s">
        <v>195</v>
      </c>
      <c r="I51" s="7" t="s">
        <v>195</v>
      </c>
      <c r="J51" s="7" t="s">
        <v>195</v>
      </c>
      <c r="K51" s="7" t="s">
        <v>195</v>
      </c>
      <c r="L51" s="7" t="s">
        <v>195</v>
      </c>
      <c r="M51" s="7" t="s">
        <v>29</v>
      </c>
      <c r="N51" s="7" t="s">
        <v>29</v>
      </c>
      <c r="O51" s="7" t="s">
        <v>29</v>
      </c>
      <c r="P51" s="7" t="s">
        <v>29</v>
      </c>
      <c r="Q51" s="7" t="s">
        <v>29</v>
      </c>
      <c r="R51" s="7" t="s">
        <v>29</v>
      </c>
      <c r="S51" s="7" t="s">
        <v>29</v>
      </c>
    </row>
    <row r="52" spans="2:19">
      <c r="B52" s="9" t="s">
        <v>195</v>
      </c>
      <c r="C52" s="7" t="s">
        <v>195</v>
      </c>
      <c r="D52" s="5" t="str">
        <f>LRTRIM(CONCATENATE(IF(SUMPRODUCT(-- ISNUMBER(SEARCH({"Auto Number"}, $B52))) &gt; 0, $B52, IF(SUMPRODUCT(-- ISNUMBER(SEARCH({"Lookup","Master-Detail"}, $B52))) &gt; 0,$B52 &amp; "(" &amp; $E52 &amp; ")",IF(SUMPRODUCT(-- ISNUMBER(SEARCH({"Formula","Roll-Up Summary"}, $B52))) &gt; 0,$B52 &amp; " (" &amp; $E52 &amp; ")",IF(SUMPRODUCT(-- ISNUMBER(SEARCH({"Content","Currency","Number","Percent","Text","URL"}, $B52))) &gt; 0,$B52 &amp; "(" &amp; $C52 &amp; ")",$B52)))), "  ", TRIM(IF($S52 = "YES", "(External ID)", "") &amp; " " &amp; IF(SUMPRODUCT(-- ISNUMBER(SEARCH({"Unique","Unique Case Insensitive"}, $R52))) &gt; 0, "(" &amp; $R52 &amp; ")", ""))))</f>
        <v>na</v>
      </c>
      <c r="E52" s="7" t="s">
        <v>195</v>
      </c>
      <c r="F52" s="7" t="s">
        <v>195</v>
      </c>
      <c r="G52" s="7" t="s">
        <v>195</v>
      </c>
      <c r="H52" s="7" t="s">
        <v>195</v>
      </c>
      <c r="I52" s="7" t="s">
        <v>195</v>
      </c>
      <c r="J52" s="7" t="s">
        <v>195</v>
      </c>
      <c r="K52" s="7" t="s">
        <v>195</v>
      </c>
      <c r="L52" s="7" t="s">
        <v>195</v>
      </c>
      <c r="M52" s="7" t="s">
        <v>29</v>
      </c>
      <c r="N52" s="7" t="s">
        <v>29</v>
      </c>
      <c r="O52" s="7" t="s">
        <v>29</v>
      </c>
      <c r="P52" s="7" t="s">
        <v>29</v>
      </c>
      <c r="Q52" s="7" t="s">
        <v>29</v>
      </c>
      <c r="R52" s="7" t="s">
        <v>29</v>
      </c>
      <c r="S52" s="7" t="s">
        <v>29</v>
      </c>
    </row>
    <row r="53" spans="2:19">
      <c r="B53" s="9" t="s">
        <v>195</v>
      </c>
      <c r="C53" s="7" t="s">
        <v>195</v>
      </c>
      <c r="D53" s="5" t="str">
        <f>LRTRIM(CONCATENATE(IF(SUMPRODUCT(-- ISNUMBER(SEARCH({"Auto Number"}, $B53))) &gt; 0, $B53, IF(SUMPRODUCT(-- ISNUMBER(SEARCH({"Lookup","Master-Detail"}, $B53))) &gt; 0,$B53 &amp; "(" &amp; $E53 &amp; ")",IF(SUMPRODUCT(-- ISNUMBER(SEARCH({"Formula","Roll-Up Summary"}, $B53))) &gt; 0,$B53 &amp; " (" &amp; $E53 &amp; ")",IF(SUMPRODUCT(-- ISNUMBER(SEARCH({"Content","Currency","Number","Percent","Text","URL"}, $B53))) &gt; 0,$B53 &amp; "(" &amp; $C53 &amp; ")",$B53)))), "  ", TRIM(IF($S53 = "YES", "(External ID)", "") &amp; " " &amp; IF(SUMPRODUCT(-- ISNUMBER(SEARCH({"Unique","Unique Case Insensitive"}, $R53))) &gt; 0, "(" &amp; $R53 &amp; ")", ""))))</f>
        <v>na</v>
      </c>
      <c r="E53" s="7" t="s">
        <v>195</v>
      </c>
      <c r="F53" s="7" t="s">
        <v>195</v>
      </c>
      <c r="G53" s="7" t="s">
        <v>195</v>
      </c>
      <c r="H53" s="7" t="s">
        <v>195</v>
      </c>
      <c r="I53" s="7" t="s">
        <v>195</v>
      </c>
      <c r="J53" s="7" t="s">
        <v>195</v>
      </c>
      <c r="K53" s="7" t="s">
        <v>195</v>
      </c>
      <c r="L53" s="7" t="s">
        <v>195</v>
      </c>
      <c r="M53" s="7" t="s">
        <v>29</v>
      </c>
      <c r="N53" s="7" t="s">
        <v>29</v>
      </c>
      <c r="O53" s="7" t="s">
        <v>29</v>
      </c>
      <c r="P53" s="7" t="s">
        <v>29</v>
      </c>
      <c r="Q53" s="7" t="s">
        <v>29</v>
      </c>
      <c r="R53" s="7" t="s">
        <v>29</v>
      </c>
      <c r="S53" s="7" t="s">
        <v>29</v>
      </c>
    </row>
    <row r="54" spans="2:19">
      <c r="B54" s="9" t="s">
        <v>195</v>
      </c>
      <c r="C54" s="7" t="s">
        <v>195</v>
      </c>
      <c r="D54" s="5" t="str">
        <f>LRTRIM(CONCATENATE(IF(SUMPRODUCT(-- ISNUMBER(SEARCH({"Auto Number"}, $B54))) &gt; 0, $B54, IF(SUMPRODUCT(-- ISNUMBER(SEARCH({"Lookup","Master-Detail"}, $B54))) &gt; 0,$B54 &amp; "(" &amp; $E54 &amp; ")",IF(SUMPRODUCT(-- ISNUMBER(SEARCH({"Formula","Roll-Up Summary"}, $B54))) &gt; 0,$B54 &amp; " (" &amp; $E54 &amp; ")",IF(SUMPRODUCT(-- ISNUMBER(SEARCH({"Content","Currency","Number","Percent","Text","URL"}, $B54))) &gt; 0,$B54 &amp; "(" &amp; $C54 &amp; ")",$B54)))), "  ", TRIM(IF($S54 = "YES", "(External ID)", "") &amp; " " &amp; IF(SUMPRODUCT(-- ISNUMBER(SEARCH({"Unique","Unique Case Insensitive"}, $R54))) &gt; 0, "(" &amp; $R54 &amp; ")", ""))))</f>
        <v>na</v>
      </c>
      <c r="E54" s="7" t="s">
        <v>195</v>
      </c>
      <c r="F54" s="7" t="s">
        <v>195</v>
      </c>
      <c r="G54" s="7" t="s">
        <v>195</v>
      </c>
      <c r="H54" s="7" t="s">
        <v>195</v>
      </c>
      <c r="I54" s="7" t="s">
        <v>195</v>
      </c>
      <c r="J54" s="7" t="s">
        <v>195</v>
      </c>
      <c r="K54" s="7" t="s">
        <v>195</v>
      </c>
      <c r="L54" s="7" t="s">
        <v>195</v>
      </c>
      <c r="M54" s="7" t="s">
        <v>29</v>
      </c>
      <c r="N54" s="7" t="s">
        <v>29</v>
      </c>
      <c r="O54" s="7" t="s">
        <v>29</v>
      </c>
      <c r="P54" s="7" t="s">
        <v>29</v>
      </c>
      <c r="Q54" s="7" t="s">
        <v>29</v>
      </c>
      <c r="R54" s="7" t="s">
        <v>29</v>
      </c>
      <c r="S54" s="7" t="s">
        <v>29</v>
      </c>
    </row>
    <row r="55" spans="2:19">
      <c r="B55" s="9" t="s">
        <v>195</v>
      </c>
      <c r="C55" s="7" t="s">
        <v>195</v>
      </c>
      <c r="D55" s="5" t="str">
        <f>LRTRIM(CONCATENATE(IF(SUMPRODUCT(-- ISNUMBER(SEARCH({"Auto Number"}, $B55))) &gt; 0, $B55, IF(SUMPRODUCT(-- ISNUMBER(SEARCH({"Lookup","Master-Detail"}, $B55))) &gt; 0,$B55 &amp; "(" &amp; $E55 &amp; ")",IF(SUMPRODUCT(-- ISNUMBER(SEARCH({"Formula","Roll-Up Summary"}, $B55))) &gt; 0,$B55 &amp; " (" &amp; $E55 &amp; ")",IF(SUMPRODUCT(-- ISNUMBER(SEARCH({"Content","Currency","Number","Percent","Text","URL"}, $B55))) &gt; 0,$B55 &amp; "(" &amp; $C55 &amp; ")",$B55)))), "  ", TRIM(IF($S55 = "YES", "(External ID)", "") &amp; " " &amp; IF(SUMPRODUCT(-- ISNUMBER(SEARCH({"Unique","Unique Case Insensitive"}, $R55))) &gt; 0, "(" &amp; $R55 &amp; ")", ""))))</f>
        <v>na</v>
      </c>
      <c r="E55" s="7" t="s">
        <v>195</v>
      </c>
      <c r="F55" s="7" t="s">
        <v>195</v>
      </c>
      <c r="G55" s="7" t="s">
        <v>195</v>
      </c>
      <c r="H55" s="7" t="s">
        <v>195</v>
      </c>
      <c r="I55" s="7" t="s">
        <v>195</v>
      </c>
      <c r="J55" s="7" t="s">
        <v>195</v>
      </c>
      <c r="K55" s="7" t="s">
        <v>195</v>
      </c>
      <c r="L55" s="7" t="s">
        <v>195</v>
      </c>
      <c r="M55" s="7" t="s">
        <v>29</v>
      </c>
      <c r="N55" s="7" t="s">
        <v>29</v>
      </c>
      <c r="O55" s="7" t="s">
        <v>29</v>
      </c>
      <c r="P55" s="7" t="s">
        <v>29</v>
      </c>
      <c r="Q55" s="7" t="s">
        <v>29</v>
      </c>
      <c r="R55" s="7" t="s">
        <v>29</v>
      </c>
      <c r="S55" s="7" t="s">
        <v>29</v>
      </c>
    </row>
    <row r="56" spans="2:19">
      <c r="B56" s="9" t="s">
        <v>195</v>
      </c>
      <c r="C56" s="7" t="s">
        <v>195</v>
      </c>
      <c r="D56" s="5" t="str">
        <f>LRTRIM(CONCATENATE(IF(SUMPRODUCT(-- ISNUMBER(SEARCH({"Auto Number"}, $B56))) &gt; 0, $B56, IF(SUMPRODUCT(-- ISNUMBER(SEARCH({"Lookup","Master-Detail"}, $B56))) &gt; 0,$B56 &amp; "(" &amp; $E56 &amp; ")",IF(SUMPRODUCT(-- ISNUMBER(SEARCH({"Formula","Roll-Up Summary"}, $B56))) &gt; 0,$B56 &amp; " (" &amp; $E56 &amp; ")",IF(SUMPRODUCT(-- ISNUMBER(SEARCH({"Content","Currency","Number","Percent","Text","URL"}, $B56))) &gt; 0,$B56 &amp; "(" &amp; $C56 &amp; ")",$B56)))), "  ", TRIM(IF($S56 = "YES", "(External ID)", "") &amp; " " &amp; IF(SUMPRODUCT(-- ISNUMBER(SEARCH({"Unique","Unique Case Insensitive"}, $R56))) &gt; 0, "(" &amp; $R56 &amp; ")", ""))))</f>
        <v>na</v>
      </c>
      <c r="E56" s="7" t="s">
        <v>195</v>
      </c>
      <c r="F56" s="7" t="s">
        <v>195</v>
      </c>
      <c r="G56" s="7" t="s">
        <v>195</v>
      </c>
      <c r="H56" s="7" t="s">
        <v>195</v>
      </c>
      <c r="I56" s="7" t="s">
        <v>195</v>
      </c>
      <c r="J56" s="7" t="s">
        <v>195</v>
      </c>
      <c r="K56" s="7" t="s">
        <v>195</v>
      </c>
      <c r="L56" s="7" t="s">
        <v>195</v>
      </c>
      <c r="M56" s="7" t="s">
        <v>29</v>
      </c>
      <c r="N56" s="7" t="s">
        <v>29</v>
      </c>
      <c r="O56" s="7" t="s">
        <v>29</v>
      </c>
      <c r="P56" s="7" t="s">
        <v>29</v>
      </c>
      <c r="Q56" s="7" t="s">
        <v>29</v>
      </c>
      <c r="R56" s="7" t="s">
        <v>29</v>
      </c>
      <c r="S56" s="7" t="s">
        <v>29</v>
      </c>
    </row>
    <row r="57" spans="2:19">
      <c r="B57" s="9" t="s">
        <v>195</v>
      </c>
      <c r="C57" s="7" t="s">
        <v>195</v>
      </c>
      <c r="D57" s="5" t="str">
        <f>LRTRIM(CONCATENATE(IF(SUMPRODUCT(-- ISNUMBER(SEARCH({"Auto Number"}, $B57))) &gt; 0, $B57, IF(SUMPRODUCT(-- ISNUMBER(SEARCH({"Lookup","Master-Detail"}, $B57))) &gt; 0,$B57 &amp; "(" &amp; $E57 &amp; ")",IF(SUMPRODUCT(-- ISNUMBER(SEARCH({"Formula","Roll-Up Summary"}, $B57))) &gt; 0,$B57 &amp; " (" &amp; $E57 &amp; ")",IF(SUMPRODUCT(-- ISNUMBER(SEARCH({"Content","Currency","Number","Percent","Text","URL"}, $B57))) &gt; 0,$B57 &amp; "(" &amp; $C57 &amp; ")",$B57)))), "  ", TRIM(IF($S57 = "YES", "(External ID)", "") &amp; " " &amp; IF(SUMPRODUCT(-- ISNUMBER(SEARCH({"Unique","Unique Case Insensitive"}, $R57))) &gt; 0, "(" &amp; $R57 &amp; ")", ""))))</f>
        <v>na</v>
      </c>
      <c r="E57" s="7" t="s">
        <v>195</v>
      </c>
      <c r="F57" s="7" t="s">
        <v>195</v>
      </c>
      <c r="G57" s="7" t="s">
        <v>195</v>
      </c>
      <c r="H57" s="7" t="s">
        <v>195</v>
      </c>
      <c r="I57" s="7" t="s">
        <v>195</v>
      </c>
      <c r="J57" s="7" t="s">
        <v>195</v>
      </c>
      <c r="K57" s="7" t="s">
        <v>195</v>
      </c>
      <c r="L57" s="7" t="s">
        <v>195</v>
      </c>
      <c r="M57" s="7" t="s">
        <v>29</v>
      </c>
      <c r="N57" s="7" t="s">
        <v>29</v>
      </c>
      <c r="O57" s="7" t="s">
        <v>29</v>
      </c>
      <c r="P57" s="7" t="s">
        <v>29</v>
      </c>
      <c r="Q57" s="7" t="s">
        <v>29</v>
      </c>
      <c r="R57" s="7" t="s">
        <v>29</v>
      </c>
      <c r="S57" s="7" t="s">
        <v>29</v>
      </c>
    </row>
    <row r="58" spans="2:19">
      <c r="B58" s="9" t="s">
        <v>195</v>
      </c>
      <c r="C58" s="7" t="s">
        <v>195</v>
      </c>
      <c r="D58" s="5" t="str">
        <f>LRTRIM(CONCATENATE(IF(SUMPRODUCT(-- ISNUMBER(SEARCH({"Auto Number"}, $B58))) &gt; 0, $B58, IF(SUMPRODUCT(-- ISNUMBER(SEARCH({"Lookup","Master-Detail"}, $B58))) &gt; 0,$B58 &amp; "(" &amp; $E58 &amp; ")",IF(SUMPRODUCT(-- ISNUMBER(SEARCH({"Formula","Roll-Up Summary"}, $B58))) &gt; 0,$B58 &amp; " (" &amp; $E58 &amp; ")",IF(SUMPRODUCT(-- ISNUMBER(SEARCH({"Content","Currency","Number","Percent","Text","URL"}, $B58))) &gt; 0,$B58 &amp; "(" &amp; $C58 &amp; ")",$B58)))), "  ", TRIM(IF($S58 = "YES", "(External ID)", "") &amp; " " &amp; IF(SUMPRODUCT(-- ISNUMBER(SEARCH({"Unique","Unique Case Insensitive"}, $R58))) &gt; 0, "(" &amp; $R58 &amp; ")", ""))))</f>
        <v>na</v>
      </c>
      <c r="E58" s="7" t="s">
        <v>195</v>
      </c>
      <c r="F58" s="7" t="s">
        <v>195</v>
      </c>
      <c r="G58" s="7" t="s">
        <v>195</v>
      </c>
      <c r="H58" s="7" t="s">
        <v>195</v>
      </c>
      <c r="I58" s="7" t="s">
        <v>195</v>
      </c>
      <c r="J58" s="7" t="s">
        <v>195</v>
      </c>
      <c r="K58" s="7" t="s">
        <v>195</v>
      </c>
      <c r="L58" s="7" t="s">
        <v>195</v>
      </c>
      <c r="M58" s="7" t="s">
        <v>29</v>
      </c>
      <c r="N58" s="7" t="s">
        <v>29</v>
      </c>
      <c r="O58" s="7" t="s">
        <v>29</v>
      </c>
      <c r="P58" s="7" t="s">
        <v>29</v>
      </c>
      <c r="Q58" s="7" t="s">
        <v>29</v>
      </c>
      <c r="R58" s="7" t="s">
        <v>29</v>
      </c>
      <c r="S58" s="7" t="s">
        <v>29</v>
      </c>
    </row>
    <row r="59" spans="2:19">
      <c r="B59" s="9" t="s">
        <v>195</v>
      </c>
      <c r="C59" s="7" t="s">
        <v>195</v>
      </c>
      <c r="D59" s="5" t="str">
        <f>LRTRIM(CONCATENATE(IF(SUMPRODUCT(-- ISNUMBER(SEARCH({"Auto Number"}, $B59))) &gt; 0, $B59, IF(SUMPRODUCT(-- ISNUMBER(SEARCH({"Lookup","Master-Detail"}, $B59))) &gt; 0,$B59 &amp; "(" &amp; $E59 &amp; ")",IF(SUMPRODUCT(-- ISNUMBER(SEARCH({"Formula","Roll-Up Summary"}, $B59))) &gt; 0,$B59 &amp; " (" &amp; $E59 &amp; ")",IF(SUMPRODUCT(-- ISNUMBER(SEARCH({"Content","Currency","Number","Percent","Text","URL"}, $B59))) &gt; 0,$B59 &amp; "(" &amp; $C59 &amp; ")",$B59)))), "  ", TRIM(IF($S59 = "YES", "(External ID)", "") &amp; " " &amp; IF(SUMPRODUCT(-- ISNUMBER(SEARCH({"Unique","Unique Case Insensitive"}, $R59))) &gt; 0, "(" &amp; $R59 &amp; ")", ""))))</f>
        <v>na</v>
      </c>
      <c r="E59" s="7" t="s">
        <v>195</v>
      </c>
      <c r="F59" s="7" t="s">
        <v>195</v>
      </c>
      <c r="G59" s="7" t="s">
        <v>195</v>
      </c>
      <c r="H59" s="7" t="s">
        <v>195</v>
      </c>
      <c r="I59" s="7" t="s">
        <v>195</v>
      </c>
      <c r="J59" s="7" t="s">
        <v>195</v>
      </c>
      <c r="K59" s="7" t="s">
        <v>195</v>
      </c>
      <c r="L59" s="7" t="s">
        <v>195</v>
      </c>
      <c r="M59" s="7" t="s">
        <v>29</v>
      </c>
      <c r="N59" s="7" t="s">
        <v>29</v>
      </c>
      <c r="O59" s="7" t="s">
        <v>29</v>
      </c>
      <c r="P59" s="7" t="s">
        <v>29</v>
      </c>
      <c r="Q59" s="7" t="s">
        <v>29</v>
      </c>
      <c r="R59" s="7" t="s">
        <v>29</v>
      </c>
      <c r="S59" s="7" t="s">
        <v>29</v>
      </c>
    </row>
    <row r="60" spans="2:19">
      <c r="B60" s="9" t="s">
        <v>195</v>
      </c>
      <c r="C60" s="7" t="s">
        <v>195</v>
      </c>
      <c r="D60" s="5" t="str">
        <f>LRTRIM(CONCATENATE(IF(SUMPRODUCT(-- ISNUMBER(SEARCH({"Auto Number"}, $B60))) &gt; 0, $B60, IF(SUMPRODUCT(-- ISNUMBER(SEARCH({"Lookup","Master-Detail"}, $B60))) &gt; 0,$B60 &amp; "(" &amp; $E60 &amp; ")",IF(SUMPRODUCT(-- ISNUMBER(SEARCH({"Formula","Roll-Up Summary"}, $B60))) &gt; 0,$B60 &amp; " (" &amp; $E60 &amp; ")",IF(SUMPRODUCT(-- ISNUMBER(SEARCH({"Content","Currency","Number","Percent","Text","URL"}, $B60))) &gt; 0,$B60 &amp; "(" &amp; $C60 &amp; ")",$B60)))), "  ", TRIM(IF($S60 = "YES", "(External ID)", "") &amp; " " &amp; IF(SUMPRODUCT(-- ISNUMBER(SEARCH({"Unique","Unique Case Insensitive"}, $R60))) &gt; 0, "(" &amp; $R60 &amp; ")", ""))))</f>
        <v>na</v>
      </c>
      <c r="E60" s="7" t="s">
        <v>195</v>
      </c>
      <c r="F60" s="7" t="s">
        <v>195</v>
      </c>
      <c r="G60" s="7" t="s">
        <v>195</v>
      </c>
      <c r="H60" s="7" t="s">
        <v>195</v>
      </c>
      <c r="I60" s="7" t="s">
        <v>195</v>
      </c>
      <c r="J60" s="7" t="s">
        <v>195</v>
      </c>
      <c r="K60" s="7" t="s">
        <v>195</v>
      </c>
      <c r="L60" s="7" t="s">
        <v>195</v>
      </c>
      <c r="M60" s="7" t="s">
        <v>29</v>
      </c>
      <c r="N60" s="7" t="s">
        <v>29</v>
      </c>
      <c r="O60" s="7" t="s">
        <v>29</v>
      </c>
      <c r="P60" s="7" t="s">
        <v>29</v>
      </c>
      <c r="Q60" s="7" t="s">
        <v>29</v>
      </c>
      <c r="R60" s="7" t="s">
        <v>29</v>
      </c>
      <c r="S60" s="7" t="s">
        <v>29</v>
      </c>
    </row>
    <row r="61" spans="2:19">
      <c r="B61" s="9" t="s">
        <v>195</v>
      </c>
      <c r="C61" s="7" t="s">
        <v>195</v>
      </c>
      <c r="D61" s="5" t="str">
        <f>LRTRIM(CONCATENATE(IF(SUMPRODUCT(-- ISNUMBER(SEARCH({"Auto Number"}, $B61))) &gt; 0, $B61, IF(SUMPRODUCT(-- ISNUMBER(SEARCH({"Lookup","Master-Detail"}, $B61))) &gt; 0,$B61 &amp; "(" &amp; $E61 &amp; ")",IF(SUMPRODUCT(-- ISNUMBER(SEARCH({"Formula","Roll-Up Summary"}, $B61))) &gt; 0,$B61 &amp; " (" &amp; $E61 &amp; ")",IF(SUMPRODUCT(-- ISNUMBER(SEARCH({"Content","Currency","Number","Percent","Text","URL"}, $B61))) &gt; 0,$B61 &amp; "(" &amp; $C61 &amp; ")",$B61)))), "  ", TRIM(IF($S61 = "YES", "(External ID)", "") &amp; " " &amp; IF(SUMPRODUCT(-- ISNUMBER(SEARCH({"Unique","Unique Case Insensitive"}, $R61))) &gt; 0, "(" &amp; $R61 &amp; ")", ""))))</f>
        <v>na</v>
      </c>
      <c r="E61" s="7" t="s">
        <v>195</v>
      </c>
      <c r="F61" s="7" t="s">
        <v>195</v>
      </c>
      <c r="G61" s="7" t="s">
        <v>195</v>
      </c>
      <c r="H61" s="7" t="s">
        <v>195</v>
      </c>
      <c r="I61" s="7" t="s">
        <v>195</v>
      </c>
      <c r="J61" s="7" t="s">
        <v>195</v>
      </c>
      <c r="K61" s="7" t="s">
        <v>195</v>
      </c>
      <c r="L61" s="7" t="s">
        <v>195</v>
      </c>
      <c r="M61" s="7" t="s">
        <v>29</v>
      </c>
      <c r="N61" s="7" t="s">
        <v>29</v>
      </c>
      <c r="O61" s="7" t="s">
        <v>29</v>
      </c>
      <c r="P61" s="7" t="s">
        <v>29</v>
      </c>
      <c r="Q61" s="7" t="s">
        <v>29</v>
      </c>
      <c r="R61" s="7" t="s">
        <v>29</v>
      </c>
      <c r="S61" s="7" t="s">
        <v>29</v>
      </c>
    </row>
    <row r="62" spans="2:19">
      <c r="B62" s="9" t="s">
        <v>195</v>
      </c>
      <c r="C62" s="7" t="s">
        <v>195</v>
      </c>
      <c r="D62" s="5" t="str">
        <f>LRTRIM(CONCATENATE(IF(SUMPRODUCT(-- ISNUMBER(SEARCH({"Auto Number"}, $B62))) &gt; 0, $B62, IF(SUMPRODUCT(-- ISNUMBER(SEARCH({"Lookup","Master-Detail"}, $B62))) &gt; 0,$B62 &amp; "(" &amp; $E62 &amp; ")",IF(SUMPRODUCT(-- ISNUMBER(SEARCH({"Formula","Roll-Up Summary"}, $B62))) &gt; 0,$B62 &amp; " (" &amp; $E62 &amp; ")",IF(SUMPRODUCT(-- ISNUMBER(SEARCH({"Content","Currency","Number","Percent","Text","URL"}, $B62))) &gt; 0,$B62 &amp; "(" &amp; $C62 &amp; ")",$B62)))), "  ", TRIM(IF($S62 = "YES", "(External ID)", "") &amp; " " &amp; IF(SUMPRODUCT(-- ISNUMBER(SEARCH({"Unique","Unique Case Insensitive"}, $R62))) &gt; 0, "(" &amp; $R62 &amp; ")", ""))))</f>
        <v>na</v>
      </c>
      <c r="E62" s="7" t="s">
        <v>195</v>
      </c>
      <c r="F62" s="7" t="s">
        <v>195</v>
      </c>
      <c r="G62" s="7" t="s">
        <v>195</v>
      </c>
      <c r="H62" s="7" t="s">
        <v>195</v>
      </c>
      <c r="I62" s="7" t="s">
        <v>195</v>
      </c>
      <c r="J62" s="7" t="s">
        <v>195</v>
      </c>
      <c r="K62" s="7" t="s">
        <v>195</v>
      </c>
      <c r="L62" s="7" t="s">
        <v>195</v>
      </c>
      <c r="M62" s="7" t="s">
        <v>29</v>
      </c>
      <c r="N62" s="7" t="s">
        <v>29</v>
      </c>
      <c r="O62" s="7" t="s">
        <v>29</v>
      </c>
      <c r="P62" s="7" t="s">
        <v>29</v>
      </c>
      <c r="Q62" s="7" t="s">
        <v>29</v>
      </c>
      <c r="R62" s="7" t="s">
        <v>29</v>
      </c>
      <c r="S62" s="7" t="s">
        <v>29</v>
      </c>
    </row>
    <row r="63" spans="2:19">
      <c r="B63" s="9" t="s">
        <v>195</v>
      </c>
      <c r="C63" s="7" t="s">
        <v>195</v>
      </c>
      <c r="D63" s="5" t="str">
        <f>LRTRIM(CONCATENATE(IF(SUMPRODUCT(-- ISNUMBER(SEARCH({"Auto Number"}, $B63))) &gt; 0, $B63, IF(SUMPRODUCT(-- ISNUMBER(SEARCH({"Lookup","Master-Detail"}, $B63))) &gt; 0,$B63 &amp; "(" &amp; $E63 &amp; ")",IF(SUMPRODUCT(-- ISNUMBER(SEARCH({"Formula","Roll-Up Summary"}, $B63))) &gt; 0,$B63 &amp; " (" &amp; $E63 &amp; ")",IF(SUMPRODUCT(-- ISNUMBER(SEARCH({"Content","Currency","Number","Percent","Text","URL"}, $B63))) &gt; 0,$B63 &amp; "(" &amp; $C63 &amp; ")",$B63)))), "  ", TRIM(IF($S63 = "YES", "(External ID)", "") &amp; " " &amp; IF(SUMPRODUCT(-- ISNUMBER(SEARCH({"Unique","Unique Case Insensitive"}, $R63))) &gt; 0, "(" &amp; $R63 &amp; ")", ""))))</f>
        <v>na</v>
      </c>
      <c r="E63" s="7" t="s">
        <v>195</v>
      </c>
      <c r="F63" s="7" t="s">
        <v>195</v>
      </c>
      <c r="G63" s="7" t="s">
        <v>195</v>
      </c>
      <c r="H63" s="7" t="s">
        <v>195</v>
      </c>
      <c r="I63" s="7" t="s">
        <v>195</v>
      </c>
      <c r="J63" s="7" t="s">
        <v>195</v>
      </c>
      <c r="K63" s="7" t="s">
        <v>195</v>
      </c>
      <c r="L63" s="7" t="s">
        <v>195</v>
      </c>
      <c r="M63" s="7" t="s">
        <v>29</v>
      </c>
      <c r="N63" s="7" t="s">
        <v>29</v>
      </c>
      <c r="O63" s="7" t="s">
        <v>29</v>
      </c>
      <c r="P63" s="7" t="s">
        <v>29</v>
      </c>
      <c r="Q63" s="7" t="s">
        <v>29</v>
      </c>
      <c r="R63" s="7" t="s">
        <v>29</v>
      </c>
      <c r="S63" s="7" t="s">
        <v>29</v>
      </c>
    </row>
    <row r="64" spans="2:19">
      <c r="B64" s="9" t="s">
        <v>195</v>
      </c>
      <c r="C64" s="7" t="s">
        <v>195</v>
      </c>
      <c r="D64" s="5" t="str">
        <f>LRTRIM(CONCATENATE(IF(SUMPRODUCT(-- ISNUMBER(SEARCH({"Auto Number"}, $B64))) &gt; 0, $B64, IF(SUMPRODUCT(-- ISNUMBER(SEARCH({"Lookup","Master-Detail"}, $B64))) &gt; 0,$B64 &amp; "(" &amp; $E64 &amp; ")",IF(SUMPRODUCT(-- ISNUMBER(SEARCH({"Formula","Roll-Up Summary"}, $B64))) &gt; 0,$B64 &amp; " (" &amp; $E64 &amp; ")",IF(SUMPRODUCT(-- ISNUMBER(SEARCH({"Content","Currency","Number","Percent","Text","URL"}, $B64))) &gt; 0,$B64 &amp; "(" &amp; $C64 &amp; ")",$B64)))), "  ", TRIM(IF($S64 = "YES", "(External ID)", "") &amp; " " &amp; IF(SUMPRODUCT(-- ISNUMBER(SEARCH({"Unique","Unique Case Insensitive"}, $R64))) &gt; 0, "(" &amp; $R64 &amp; ")", ""))))</f>
        <v>na</v>
      </c>
      <c r="E64" s="7" t="s">
        <v>195</v>
      </c>
      <c r="F64" s="7" t="s">
        <v>195</v>
      </c>
      <c r="G64" s="7" t="s">
        <v>195</v>
      </c>
      <c r="H64" s="7" t="s">
        <v>195</v>
      </c>
      <c r="I64" s="7" t="s">
        <v>195</v>
      </c>
      <c r="J64" s="7" t="s">
        <v>195</v>
      </c>
      <c r="K64" s="7" t="s">
        <v>195</v>
      </c>
      <c r="L64" s="7" t="s">
        <v>195</v>
      </c>
      <c r="M64" s="7" t="s">
        <v>29</v>
      </c>
      <c r="N64" s="7" t="s">
        <v>29</v>
      </c>
      <c r="O64" s="7" t="s">
        <v>29</v>
      </c>
      <c r="P64" s="7" t="s">
        <v>29</v>
      </c>
      <c r="Q64" s="7" t="s">
        <v>29</v>
      </c>
      <c r="R64" s="7" t="s">
        <v>29</v>
      </c>
      <c r="S64" s="7" t="s">
        <v>29</v>
      </c>
    </row>
    <row r="65" spans="2:19">
      <c r="B65" s="9" t="s">
        <v>195</v>
      </c>
      <c r="C65" s="7" t="s">
        <v>195</v>
      </c>
      <c r="D65" s="5" t="str">
        <f>LRTRIM(CONCATENATE(IF(SUMPRODUCT(-- ISNUMBER(SEARCH({"Auto Number"}, $B65))) &gt; 0, $B65, IF(SUMPRODUCT(-- ISNUMBER(SEARCH({"Lookup","Master-Detail"}, $B65))) &gt; 0,$B65 &amp; "(" &amp; $E65 &amp; ")",IF(SUMPRODUCT(-- ISNUMBER(SEARCH({"Formula","Roll-Up Summary"}, $B65))) &gt; 0,$B65 &amp; " (" &amp; $E65 &amp; ")",IF(SUMPRODUCT(-- ISNUMBER(SEARCH({"Content","Currency","Number","Percent","Text","URL"}, $B65))) &gt; 0,$B65 &amp; "(" &amp; $C65 &amp; ")",$B65)))), "  ", TRIM(IF($S65 = "YES", "(External ID)", "") &amp; " " &amp; IF(SUMPRODUCT(-- ISNUMBER(SEARCH({"Unique","Unique Case Insensitive"}, $R65))) &gt; 0, "(" &amp; $R65 &amp; ")", ""))))</f>
        <v>na</v>
      </c>
      <c r="E65" s="7" t="s">
        <v>195</v>
      </c>
      <c r="F65" s="7" t="s">
        <v>195</v>
      </c>
      <c r="G65" s="7" t="s">
        <v>195</v>
      </c>
      <c r="H65" s="7" t="s">
        <v>195</v>
      </c>
      <c r="I65" s="7" t="s">
        <v>195</v>
      </c>
      <c r="J65" s="7" t="s">
        <v>195</v>
      </c>
      <c r="K65" s="7" t="s">
        <v>195</v>
      </c>
      <c r="L65" s="7" t="s">
        <v>195</v>
      </c>
      <c r="M65" s="7" t="s">
        <v>29</v>
      </c>
      <c r="N65" s="7" t="s">
        <v>29</v>
      </c>
      <c r="O65" s="7" t="s">
        <v>29</v>
      </c>
      <c r="P65" s="7" t="s">
        <v>29</v>
      </c>
      <c r="Q65" s="7" t="s">
        <v>29</v>
      </c>
      <c r="R65" s="7" t="s">
        <v>29</v>
      </c>
      <c r="S65" s="7" t="s">
        <v>29</v>
      </c>
    </row>
    <row r="66" spans="2:19">
      <c r="B66" s="9" t="s">
        <v>195</v>
      </c>
      <c r="C66" s="7" t="s">
        <v>195</v>
      </c>
      <c r="D66" s="5" t="str">
        <f>LRTRIM(CONCATENATE(IF(SUMPRODUCT(-- ISNUMBER(SEARCH({"Auto Number"}, $B66))) &gt; 0, $B66, IF(SUMPRODUCT(-- ISNUMBER(SEARCH({"Lookup","Master-Detail"}, $B66))) &gt; 0,$B66 &amp; "(" &amp; $E66 &amp; ")",IF(SUMPRODUCT(-- ISNUMBER(SEARCH({"Formula","Roll-Up Summary"}, $B66))) &gt; 0,$B66 &amp; " (" &amp; $E66 &amp; ")",IF(SUMPRODUCT(-- ISNUMBER(SEARCH({"Content","Currency","Number","Percent","Text","URL"}, $B66))) &gt; 0,$B66 &amp; "(" &amp; $C66 &amp; ")",$B66)))), "  ", TRIM(IF($S66 = "YES", "(External ID)", "") &amp; " " &amp; IF(SUMPRODUCT(-- ISNUMBER(SEARCH({"Unique","Unique Case Insensitive"}, $R66))) &gt; 0, "(" &amp; $R66 &amp; ")", ""))))</f>
        <v>na</v>
      </c>
      <c r="E66" s="7" t="s">
        <v>195</v>
      </c>
      <c r="F66" s="7" t="s">
        <v>195</v>
      </c>
      <c r="G66" s="7" t="s">
        <v>195</v>
      </c>
      <c r="H66" s="7" t="s">
        <v>195</v>
      </c>
      <c r="I66" s="7" t="s">
        <v>195</v>
      </c>
      <c r="J66" s="7" t="s">
        <v>195</v>
      </c>
      <c r="K66" s="7" t="s">
        <v>195</v>
      </c>
      <c r="L66" s="7" t="s">
        <v>195</v>
      </c>
      <c r="M66" s="7" t="s">
        <v>29</v>
      </c>
      <c r="N66" s="7" t="s">
        <v>29</v>
      </c>
      <c r="O66" s="7" t="s">
        <v>29</v>
      </c>
      <c r="P66" s="7" t="s">
        <v>29</v>
      </c>
      <c r="Q66" s="7" t="s">
        <v>29</v>
      </c>
      <c r="R66" s="7" t="s">
        <v>29</v>
      </c>
      <c r="S66" s="7" t="s">
        <v>29</v>
      </c>
    </row>
    <row r="67" spans="2:19">
      <c r="B67" s="9" t="s">
        <v>195</v>
      </c>
      <c r="C67" s="7" t="s">
        <v>195</v>
      </c>
      <c r="D67" s="5" t="str">
        <f>LRTRIM(CONCATENATE(IF(SUMPRODUCT(-- ISNUMBER(SEARCH({"Auto Number"}, $B67))) &gt; 0, $B67, IF(SUMPRODUCT(-- ISNUMBER(SEARCH({"Lookup","Master-Detail"}, $B67))) &gt; 0,$B67 &amp; "(" &amp; $E67 &amp; ")",IF(SUMPRODUCT(-- ISNUMBER(SEARCH({"Formula","Roll-Up Summary"}, $B67))) &gt; 0,$B67 &amp; " (" &amp; $E67 &amp; ")",IF(SUMPRODUCT(-- ISNUMBER(SEARCH({"Content","Currency","Number","Percent","Text","URL"}, $B67))) &gt; 0,$B67 &amp; "(" &amp; $C67 &amp; ")",$B67)))), "  ", TRIM(IF($S67 = "YES", "(External ID)", "") &amp; " " &amp; IF(SUMPRODUCT(-- ISNUMBER(SEARCH({"Unique","Unique Case Insensitive"}, $R67))) &gt; 0, "(" &amp; $R67 &amp; ")", ""))))</f>
        <v>na</v>
      </c>
      <c r="E67" s="7" t="s">
        <v>195</v>
      </c>
      <c r="F67" s="7" t="s">
        <v>195</v>
      </c>
      <c r="G67" s="7" t="s">
        <v>195</v>
      </c>
      <c r="H67" s="7" t="s">
        <v>195</v>
      </c>
      <c r="I67" s="7" t="s">
        <v>195</v>
      </c>
      <c r="J67" s="7" t="s">
        <v>195</v>
      </c>
      <c r="K67" s="7" t="s">
        <v>195</v>
      </c>
      <c r="L67" s="7" t="s">
        <v>195</v>
      </c>
      <c r="M67" s="7" t="s">
        <v>29</v>
      </c>
      <c r="N67" s="7" t="s">
        <v>29</v>
      </c>
      <c r="O67" s="7" t="s">
        <v>29</v>
      </c>
      <c r="P67" s="7" t="s">
        <v>29</v>
      </c>
      <c r="Q67" s="7" t="s">
        <v>29</v>
      </c>
      <c r="R67" s="7" t="s">
        <v>29</v>
      </c>
      <c r="S67" s="7" t="s">
        <v>29</v>
      </c>
    </row>
    <row r="68" spans="2:19">
      <c r="B68" s="9" t="s">
        <v>195</v>
      </c>
      <c r="C68" s="7" t="s">
        <v>195</v>
      </c>
      <c r="D68" s="5" t="str">
        <f>LRTRIM(CONCATENATE(IF(SUMPRODUCT(-- ISNUMBER(SEARCH({"Auto Number"}, $B68))) &gt; 0, $B68, IF(SUMPRODUCT(-- ISNUMBER(SEARCH({"Lookup","Master-Detail"}, $B68))) &gt; 0,$B68 &amp; "(" &amp; $E68 &amp; ")",IF(SUMPRODUCT(-- ISNUMBER(SEARCH({"Formula","Roll-Up Summary"}, $B68))) &gt; 0,$B68 &amp; " (" &amp; $E68 &amp; ")",IF(SUMPRODUCT(-- ISNUMBER(SEARCH({"Content","Currency","Number","Percent","Text","URL"}, $B68))) &gt; 0,$B68 &amp; "(" &amp; $C68 &amp; ")",$B68)))), "  ", TRIM(IF($S68 = "YES", "(External ID)", "") &amp; " " &amp; IF(SUMPRODUCT(-- ISNUMBER(SEARCH({"Unique","Unique Case Insensitive"}, $R68))) &gt; 0, "(" &amp; $R68 &amp; ")", ""))))</f>
        <v>na</v>
      </c>
      <c r="E68" s="7" t="s">
        <v>195</v>
      </c>
      <c r="F68" s="7" t="s">
        <v>195</v>
      </c>
      <c r="G68" s="7" t="s">
        <v>195</v>
      </c>
      <c r="H68" s="7" t="s">
        <v>195</v>
      </c>
      <c r="I68" s="7" t="s">
        <v>195</v>
      </c>
      <c r="J68" s="7" t="s">
        <v>195</v>
      </c>
      <c r="K68" s="7" t="s">
        <v>195</v>
      </c>
      <c r="L68" s="7" t="s">
        <v>195</v>
      </c>
      <c r="M68" s="7" t="s">
        <v>29</v>
      </c>
      <c r="N68" s="7" t="s">
        <v>29</v>
      </c>
      <c r="O68" s="7" t="s">
        <v>29</v>
      </c>
      <c r="P68" s="7" t="s">
        <v>29</v>
      </c>
      <c r="Q68" s="7" t="s">
        <v>29</v>
      </c>
      <c r="R68" s="7" t="s">
        <v>29</v>
      </c>
      <c r="S68" s="7" t="s">
        <v>29</v>
      </c>
    </row>
    <row r="69" spans="2:19">
      <c r="B69" s="9" t="s">
        <v>195</v>
      </c>
      <c r="C69" s="7" t="s">
        <v>195</v>
      </c>
      <c r="D69" s="5" t="str">
        <f>LRTRIM(CONCATENATE(IF(SUMPRODUCT(-- ISNUMBER(SEARCH({"Auto Number"}, $B69))) &gt; 0, $B69, IF(SUMPRODUCT(-- ISNUMBER(SEARCH({"Lookup","Master-Detail"}, $B69))) &gt; 0,$B69 &amp; "(" &amp; $E69 &amp; ")",IF(SUMPRODUCT(-- ISNUMBER(SEARCH({"Formula","Roll-Up Summary"}, $B69))) &gt; 0,$B69 &amp; " (" &amp; $E69 &amp; ")",IF(SUMPRODUCT(-- ISNUMBER(SEARCH({"Content","Currency","Number","Percent","Text","URL"}, $B69))) &gt; 0,$B69 &amp; "(" &amp; $C69 &amp; ")",$B69)))), "  ", TRIM(IF($S69 = "YES", "(External ID)", "") &amp; " " &amp; IF(SUMPRODUCT(-- ISNUMBER(SEARCH({"Unique","Unique Case Insensitive"}, $R69))) &gt; 0, "(" &amp; $R69 &amp; ")", ""))))</f>
        <v>na</v>
      </c>
      <c r="E69" s="7" t="s">
        <v>195</v>
      </c>
      <c r="F69" s="7" t="s">
        <v>195</v>
      </c>
      <c r="G69" s="7" t="s">
        <v>195</v>
      </c>
      <c r="H69" s="7" t="s">
        <v>195</v>
      </c>
      <c r="I69" s="7" t="s">
        <v>195</v>
      </c>
      <c r="J69" s="7" t="s">
        <v>195</v>
      </c>
      <c r="K69" s="7" t="s">
        <v>195</v>
      </c>
      <c r="L69" s="7" t="s">
        <v>195</v>
      </c>
      <c r="M69" s="7" t="s">
        <v>29</v>
      </c>
      <c r="N69" s="7" t="s">
        <v>29</v>
      </c>
      <c r="O69" s="7" t="s">
        <v>29</v>
      </c>
      <c r="P69" s="7" t="s">
        <v>29</v>
      </c>
      <c r="Q69" s="7" t="s">
        <v>29</v>
      </c>
      <c r="R69" s="7" t="s">
        <v>29</v>
      </c>
      <c r="S69" s="7" t="s">
        <v>29</v>
      </c>
    </row>
    <row r="70" spans="2:19">
      <c r="B70" s="9" t="s">
        <v>195</v>
      </c>
      <c r="C70" s="7" t="s">
        <v>195</v>
      </c>
      <c r="D70" s="5" t="str">
        <f>LRTRIM(CONCATENATE(IF(SUMPRODUCT(-- ISNUMBER(SEARCH({"Auto Number"}, $B70))) &gt; 0, $B70, IF(SUMPRODUCT(-- ISNUMBER(SEARCH({"Lookup","Master-Detail"}, $B70))) &gt; 0,$B70 &amp; "(" &amp; $E70 &amp; ")",IF(SUMPRODUCT(-- ISNUMBER(SEARCH({"Formula","Roll-Up Summary"}, $B70))) &gt; 0,$B70 &amp; " (" &amp; $E70 &amp; ")",IF(SUMPRODUCT(-- ISNUMBER(SEARCH({"Content","Currency","Number","Percent","Text","URL"}, $B70))) &gt; 0,$B70 &amp; "(" &amp; $C70 &amp; ")",$B70)))), "  ", TRIM(IF($S70 = "YES", "(External ID)", "") &amp; " " &amp; IF(SUMPRODUCT(-- ISNUMBER(SEARCH({"Unique","Unique Case Insensitive"}, $R70))) &gt; 0, "(" &amp; $R70 &amp; ")", ""))))</f>
        <v>na</v>
      </c>
      <c r="E70" s="7" t="s">
        <v>195</v>
      </c>
      <c r="F70" s="7" t="s">
        <v>195</v>
      </c>
      <c r="G70" s="7" t="s">
        <v>195</v>
      </c>
      <c r="H70" s="7" t="s">
        <v>195</v>
      </c>
      <c r="I70" s="7" t="s">
        <v>195</v>
      </c>
      <c r="J70" s="7" t="s">
        <v>195</v>
      </c>
      <c r="K70" s="7" t="s">
        <v>195</v>
      </c>
      <c r="L70" s="7" t="s">
        <v>195</v>
      </c>
      <c r="M70" s="7" t="s">
        <v>29</v>
      </c>
      <c r="N70" s="7" t="s">
        <v>29</v>
      </c>
      <c r="O70" s="7" t="s">
        <v>29</v>
      </c>
      <c r="P70" s="7" t="s">
        <v>29</v>
      </c>
      <c r="Q70" s="7" t="s">
        <v>29</v>
      </c>
      <c r="R70" s="7" t="s">
        <v>29</v>
      </c>
      <c r="S70" s="7" t="s">
        <v>29</v>
      </c>
    </row>
    <row r="71" spans="2:19">
      <c r="B71" s="9" t="s">
        <v>195</v>
      </c>
      <c r="C71" s="7" t="s">
        <v>195</v>
      </c>
      <c r="D71" s="5" t="str">
        <f>LRTRIM(CONCATENATE(IF(SUMPRODUCT(-- ISNUMBER(SEARCH({"Auto Number"}, $B71))) &gt; 0, $B71, IF(SUMPRODUCT(-- ISNUMBER(SEARCH({"Lookup","Master-Detail"}, $B71))) &gt; 0,$B71 &amp; "(" &amp; $E71 &amp; ")",IF(SUMPRODUCT(-- ISNUMBER(SEARCH({"Formula","Roll-Up Summary"}, $B71))) &gt; 0,$B71 &amp; " (" &amp; $E71 &amp; ")",IF(SUMPRODUCT(-- ISNUMBER(SEARCH({"Content","Currency","Number","Percent","Text","URL"}, $B71))) &gt; 0,$B71 &amp; "(" &amp; $C71 &amp; ")",$B71)))), "  ", TRIM(IF($S71 = "YES", "(External ID)", "") &amp; " " &amp; IF(SUMPRODUCT(-- ISNUMBER(SEARCH({"Unique","Unique Case Insensitive"}, $R71))) &gt; 0, "(" &amp; $R71 &amp; ")", ""))))</f>
        <v>na</v>
      </c>
      <c r="E71" s="7" t="s">
        <v>195</v>
      </c>
      <c r="F71" s="7" t="s">
        <v>195</v>
      </c>
      <c r="G71" s="7" t="s">
        <v>195</v>
      </c>
      <c r="H71" s="7" t="s">
        <v>195</v>
      </c>
      <c r="I71" s="7" t="s">
        <v>195</v>
      </c>
      <c r="J71" s="7" t="s">
        <v>195</v>
      </c>
      <c r="K71" s="7" t="s">
        <v>195</v>
      </c>
      <c r="L71" s="7" t="s">
        <v>195</v>
      </c>
      <c r="M71" s="7" t="s">
        <v>29</v>
      </c>
      <c r="N71" s="7" t="s">
        <v>29</v>
      </c>
      <c r="O71" s="7" t="s">
        <v>29</v>
      </c>
      <c r="P71" s="7" t="s">
        <v>29</v>
      </c>
      <c r="Q71" s="7" t="s">
        <v>29</v>
      </c>
      <c r="R71" s="7" t="s">
        <v>29</v>
      </c>
      <c r="S71" s="7" t="s">
        <v>29</v>
      </c>
    </row>
    <row r="72" spans="2:19">
      <c r="B72" s="9" t="s">
        <v>195</v>
      </c>
      <c r="C72" s="7" t="s">
        <v>195</v>
      </c>
      <c r="D72" s="5" t="str">
        <f>LRTRIM(CONCATENATE(IF(SUMPRODUCT(-- ISNUMBER(SEARCH({"Auto Number"}, $B72))) &gt; 0, $B72, IF(SUMPRODUCT(-- ISNUMBER(SEARCH({"Lookup","Master-Detail"}, $B72))) &gt; 0,$B72 &amp; "(" &amp; $E72 &amp; ")",IF(SUMPRODUCT(-- ISNUMBER(SEARCH({"Formula","Roll-Up Summary"}, $B72))) &gt; 0,$B72 &amp; " (" &amp; $E72 &amp; ")",IF(SUMPRODUCT(-- ISNUMBER(SEARCH({"Content","Currency","Number","Percent","Text","URL"}, $B72))) &gt; 0,$B72 &amp; "(" &amp; $C72 &amp; ")",$B72)))), "  ", TRIM(IF($S72 = "YES", "(External ID)", "") &amp; " " &amp; IF(SUMPRODUCT(-- ISNUMBER(SEARCH({"Unique","Unique Case Insensitive"}, $R72))) &gt; 0, "(" &amp; $R72 &amp; ")", ""))))</f>
        <v>na</v>
      </c>
      <c r="E72" s="7" t="s">
        <v>195</v>
      </c>
      <c r="F72" s="7" t="s">
        <v>195</v>
      </c>
      <c r="G72" s="7" t="s">
        <v>195</v>
      </c>
      <c r="H72" s="7" t="s">
        <v>195</v>
      </c>
      <c r="I72" s="7" t="s">
        <v>195</v>
      </c>
      <c r="J72" s="7" t="s">
        <v>195</v>
      </c>
      <c r="K72" s="7" t="s">
        <v>195</v>
      </c>
      <c r="L72" s="7" t="s">
        <v>195</v>
      </c>
      <c r="M72" s="7" t="s">
        <v>29</v>
      </c>
      <c r="N72" s="7" t="s">
        <v>29</v>
      </c>
      <c r="O72" s="7" t="s">
        <v>29</v>
      </c>
      <c r="P72" s="7" t="s">
        <v>29</v>
      </c>
      <c r="Q72" s="7" t="s">
        <v>29</v>
      </c>
      <c r="R72" s="7" t="s">
        <v>29</v>
      </c>
      <c r="S72" s="7" t="s">
        <v>29</v>
      </c>
    </row>
    <row r="73" spans="2:19">
      <c r="B73" s="9" t="s">
        <v>195</v>
      </c>
      <c r="C73" s="7" t="s">
        <v>195</v>
      </c>
      <c r="D73" s="5" t="str">
        <f>LRTRIM(CONCATENATE(IF(SUMPRODUCT(-- ISNUMBER(SEARCH({"Auto Number"}, $B73))) &gt; 0, $B73, IF(SUMPRODUCT(-- ISNUMBER(SEARCH({"Lookup","Master-Detail"}, $B73))) &gt; 0,$B73 &amp; "(" &amp; $E73 &amp; ")",IF(SUMPRODUCT(-- ISNUMBER(SEARCH({"Formula","Roll-Up Summary"}, $B73))) &gt; 0,$B73 &amp; " (" &amp; $E73 &amp; ")",IF(SUMPRODUCT(-- ISNUMBER(SEARCH({"Content","Currency","Number","Percent","Text","URL"}, $B73))) &gt; 0,$B73 &amp; "(" &amp; $C73 &amp; ")",$B73)))), "  ", TRIM(IF($S73 = "YES", "(External ID)", "") &amp; " " &amp; IF(SUMPRODUCT(-- ISNUMBER(SEARCH({"Unique","Unique Case Insensitive"}, $R73))) &gt; 0, "(" &amp; $R73 &amp; ")", ""))))</f>
        <v>na</v>
      </c>
      <c r="E73" s="7" t="s">
        <v>195</v>
      </c>
      <c r="F73" s="7" t="s">
        <v>195</v>
      </c>
      <c r="G73" s="7" t="s">
        <v>195</v>
      </c>
      <c r="H73" s="7" t="s">
        <v>195</v>
      </c>
      <c r="I73" s="7" t="s">
        <v>195</v>
      </c>
      <c r="J73" s="7" t="s">
        <v>195</v>
      </c>
      <c r="K73" s="7" t="s">
        <v>195</v>
      </c>
      <c r="L73" s="7" t="s">
        <v>195</v>
      </c>
      <c r="M73" s="7" t="s">
        <v>29</v>
      </c>
      <c r="N73" s="7" t="s">
        <v>29</v>
      </c>
      <c r="O73" s="7" t="s">
        <v>29</v>
      </c>
      <c r="P73" s="7" t="s">
        <v>29</v>
      </c>
      <c r="Q73" s="7" t="s">
        <v>29</v>
      </c>
      <c r="R73" s="7" t="s">
        <v>29</v>
      </c>
      <c r="S73" s="7" t="s">
        <v>29</v>
      </c>
    </row>
    <row r="74" spans="2:19">
      <c r="B74" s="9" t="s">
        <v>195</v>
      </c>
      <c r="C74" s="7" t="s">
        <v>195</v>
      </c>
      <c r="D74" s="5" t="str">
        <f>LRTRIM(CONCATENATE(IF(SUMPRODUCT(-- ISNUMBER(SEARCH({"Auto Number"}, $B74))) &gt; 0, $B74, IF(SUMPRODUCT(-- ISNUMBER(SEARCH({"Lookup","Master-Detail"}, $B74))) &gt; 0,$B74 &amp; "(" &amp; $E74 &amp; ")",IF(SUMPRODUCT(-- ISNUMBER(SEARCH({"Formula","Roll-Up Summary"}, $B74))) &gt; 0,$B74 &amp; " (" &amp; $E74 &amp; ")",IF(SUMPRODUCT(-- ISNUMBER(SEARCH({"Content","Currency","Number","Percent","Text","URL"}, $B74))) &gt; 0,$B74 &amp; "(" &amp; $C74 &amp; ")",$B74)))), "  ", TRIM(IF($S74 = "YES", "(External ID)", "") &amp; " " &amp; IF(SUMPRODUCT(-- ISNUMBER(SEARCH({"Unique","Unique Case Insensitive"}, $R74))) &gt; 0, "(" &amp; $R74 &amp; ")", ""))))</f>
        <v>na</v>
      </c>
      <c r="E74" s="7" t="s">
        <v>195</v>
      </c>
      <c r="F74" s="7" t="s">
        <v>195</v>
      </c>
      <c r="G74" s="7" t="s">
        <v>195</v>
      </c>
      <c r="H74" s="7" t="s">
        <v>195</v>
      </c>
      <c r="I74" s="7" t="s">
        <v>195</v>
      </c>
      <c r="J74" s="7" t="s">
        <v>195</v>
      </c>
      <c r="K74" s="7" t="s">
        <v>195</v>
      </c>
      <c r="L74" s="7" t="s">
        <v>195</v>
      </c>
      <c r="M74" s="7" t="s">
        <v>29</v>
      </c>
      <c r="N74" s="7" t="s">
        <v>29</v>
      </c>
      <c r="O74" s="7" t="s">
        <v>29</v>
      </c>
      <c r="P74" s="7" t="s">
        <v>29</v>
      </c>
      <c r="Q74" s="7" t="s">
        <v>29</v>
      </c>
      <c r="R74" s="7" t="s">
        <v>29</v>
      </c>
      <c r="S74" s="7" t="s">
        <v>29</v>
      </c>
    </row>
    <row r="75" spans="2:19">
      <c r="B75" s="9" t="s">
        <v>195</v>
      </c>
      <c r="C75" s="7" t="s">
        <v>195</v>
      </c>
      <c r="D75" s="5" t="str">
        <f>LRTRIM(CONCATENATE(IF(SUMPRODUCT(-- ISNUMBER(SEARCH({"Auto Number"}, $B75))) &gt; 0, $B75, IF(SUMPRODUCT(-- ISNUMBER(SEARCH({"Lookup","Master-Detail"}, $B75))) &gt; 0,$B75 &amp; "(" &amp; $E75 &amp; ")",IF(SUMPRODUCT(-- ISNUMBER(SEARCH({"Formula","Roll-Up Summary"}, $B75))) &gt; 0,$B75 &amp; " (" &amp; $E75 &amp; ")",IF(SUMPRODUCT(-- ISNUMBER(SEARCH({"Content","Currency","Number","Percent","Text","URL"}, $B75))) &gt; 0,$B75 &amp; "(" &amp; $C75 &amp; ")",$B75)))), "  ", TRIM(IF($S75 = "YES", "(External ID)", "") &amp; " " &amp; IF(SUMPRODUCT(-- ISNUMBER(SEARCH({"Unique","Unique Case Insensitive"}, $R75))) &gt; 0, "(" &amp; $R75 &amp; ")", ""))))</f>
        <v>na</v>
      </c>
      <c r="E75" s="7" t="s">
        <v>195</v>
      </c>
      <c r="F75" s="7" t="s">
        <v>195</v>
      </c>
      <c r="G75" s="7" t="s">
        <v>195</v>
      </c>
      <c r="H75" s="7" t="s">
        <v>195</v>
      </c>
      <c r="I75" s="7" t="s">
        <v>195</v>
      </c>
      <c r="J75" s="7" t="s">
        <v>195</v>
      </c>
      <c r="K75" s="7" t="s">
        <v>195</v>
      </c>
      <c r="L75" s="7" t="s">
        <v>195</v>
      </c>
      <c r="M75" s="7" t="s">
        <v>29</v>
      </c>
      <c r="N75" s="7" t="s">
        <v>29</v>
      </c>
      <c r="O75" s="7" t="s">
        <v>29</v>
      </c>
      <c r="P75" s="7" t="s">
        <v>29</v>
      </c>
      <c r="Q75" s="7" t="s">
        <v>29</v>
      </c>
      <c r="R75" s="7" t="s">
        <v>29</v>
      </c>
      <c r="S75" s="7" t="s">
        <v>29</v>
      </c>
    </row>
    <row r="76" spans="2:19">
      <c r="B76" s="9" t="s">
        <v>195</v>
      </c>
      <c r="C76" s="7" t="s">
        <v>195</v>
      </c>
      <c r="D76" s="5" t="str">
        <f>LRTRIM(CONCATENATE(IF(SUMPRODUCT(-- ISNUMBER(SEARCH({"Auto Number"}, $B76))) &gt; 0, $B76, IF(SUMPRODUCT(-- ISNUMBER(SEARCH({"Lookup","Master-Detail"}, $B76))) &gt; 0,$B76 &amp; "(" &amp; $E76 &amp; ")",IF(SUMPRODUCT(-- ISNUMBER(SEARCH({"Formula","Roll-Up Summary"}, $B76))) &gt; 0,$B76 &amp; " (" &amp; $E76 &amp; ")",IF(SUMPRODUCT(-- ISNUMBER(SEARCH({"Content","Currency","Number","Percent","Text","URL"}, $B76))) &gt; 0,$B76 &amp; "(" &amp; $C76 &amp; ")",$B76)))), "  ", TRIM(IF($S76 = "YES", "(External ID)", "") &amp; " " &amp; IF(SUMPRODUCT(-- ISNUMBER(SEARCH({"Unique","Unique Case Insensitive"}, $R76))) &gt; 0, "(" &amp; $R76 &amp; ")", ""))))</f>
        <v>na</v>
      </c>
      <c r="E76" s="7" t="s">
        <v>195</v>
      </c>
      <c r="F76" s="7" t="s">
        <v>195</v>
      </c>
      <c r="G76" s="7" t="s">
        <v>195</v>
      </c>
      <c r="H76" s="7" t="s">
        <v>195</v>
      </c>
      <c r="I76" s="7" t="s">
        <v>195</v>
      </c>
      <c r="J76" s="7" t="s">
        <v>195</v>
      </c>
      <c r="K76" s="7" t="s">
        <v>195</v>
      </c>
      <c r="L76" s="7" t="s">
        <v>195</v>
      </c>
      <c r="M76" s="7" t="s">
        <v>29</v>
      </c>
      <c r="N76" s="7" t="s">
        <v>29</v>
      </c>
      <c r="O76" s="7" t="s">
        <v>29</v>
      </c>
      <c r="P76" s="7" t="s">
        <v>29</v>
      </c>
      <c r="Q76" s="7" t="s">
        <v>29</v>
      </c>
      <c r="R76" s="7" t="s">
        <v>29</v>
      </c>
      <c r="S76" s="7" t="s">
        <v>29</v>
      </c>
    </row>
    <row r="77" spans="2:19">
      <c r="B77" s="9" t="s">
        <v>195</v>
      </c>
      <c r="C77" s="7" t="s">
        <v>195</v>
      </c>
      <c r="D77" s="5" t="str">
        <f>LRTRIM(CONCATENATE(IF(SUMPRODUCT(-- ISNUMBER(SEARCH({"Auto Number"}, $B77))) &gt; 0, $B77, IF(SUMPRODUCT(-- ISNUMBER(SEARCH({"Lookup","Master-Detail"}, $B77))) &gt; 0,$B77 &amp; "(" &amp; $E77 &amp; ")",IF(SUMPRODUCT(-- ISNUMBER(SEARCH({"Formula","Roll-Up Summary"}, $B77))) &gt; 0,$B77 &amp; " (" &amp; $E77 &amp; ")",IF(SUMPRODUCT(-- ISNUMBER(SEARCH({"Content","Currency","Number","Percent","Text","URL"}, $B77))) &gt; 0,$B77 &amp; "(" &amp; $C77 &amp; ")",$B77)))), "  ", TRIM(IF($S77 = "YES", "(External ID)", "") &amp; " " &amp; IF(SUMPRODUCT(-- ISNUMBER(SEARCH({"Unique","Unique Case Insensitive"}, $R77))) &gt; 0, "(" &amp; $R77 &amp; ")", ""))))</f>
        <v>na</v>
      </c>
      <c r="E77" s="7" t="s">
        <v>195</v>
      </c>
      <c r="F77" s="7" t="s">
        <v>195</v>
      </c>
      <c r="G77" s="7" t="s">
        <v>195</v>
      </c>
      <c r="H77" s="7" t="s">
        <v>195</v>
      </c>
      <c r="I77" s="7" t="s">
        <v>195</v>
      </c>
      <c r="J77" s="7" t="s">
        <v>195</v>
      </c>
      <c r="K77" s="7" t="s">
        <v>195</v>
      </c>
      <c r="L77" s="7" t="s">
        <v>195</v>
      </c>
      <c r="M77" s="7" t="s">
        <v>29</v>
      </c>
      <c r="N77" s="7" t="s">
        <v>29</v>
      </c>
      <c r="O77" s="7" t="s">
        <v>29</v>
      </c>
      <c r="P77" s="7" t="s">
        <v>29</v>
      </c>
      <c r="Q77" s="7" t="s">
        <v>29</v>
      </c>
      <c r="R77" s="7" t="s">
        <v>29</v>
      </c>
      <c r="S77" s="7" t="s">
        <v>29</v>
      </c>
    </row>
    <row r="78" spans="2:19">
      <c r="B78" s="9" t="s">
        <v>195</v>
      </c>
      <c r="C78" s="7" t="s">
        <v>195</v>
      </c>
      <c r="D78" s="5" t="str">
        <f>LRTRIM(CONCATENATE(IF(SUMPRODUCT(-- ISNUMBER(SEARCH({"Auto Number"}, $B78))) &gt; 0, $B78, IF(SUMPRODUCT(-- ISNUMBER(SEARCH({"Lookup","Master-Detail"}, $B78))) &gt; 0,$B78 &amp; "(" &amp; $E78 &amp; ")",IF(SUMPRODUCT(-- ISNUMBER(SEARCH({"Formula","Roll-Up Summary"}, $B78))) &gt; 0,$B78 &amp; " (" &amp; $E78 &amp; ")",IF(SUMPRODUCT(-- ISNUMBER(SEARCH({"Content","Currency","Number","Percent","Text","URL"}, $B78))) &gt; 0,$B78 &amp; "(" &amp; $C78 &amp; ")",$B78)))), "  ", TRIM(IF($S78 = "YES", "(External ID)", "") &amp; " " &amp; IF(SUMPRODUCT(-- ISNUMBER(SEARCH({"Unique","Unique Case Insensitive"}, $R78))) &gt; 0, "(" &amp; $R78 &amp; ")", ""))))</f>
        <v>na</v>
      </c>
      <c r="E78" s="7" t="s">
        <v>195</v>
      </c>
      <c r="F78" s="7" t="s">
        <v>195</v>
      </c>
      <c r="G78" s="7" t="s">
        <v>195</v>
      </c>
      <c r="H78" s="7" t="s">
        <v>195</v>
      </c>
      <c r="I78" s="7" t="s">
        <v>195</v>
      </c>
      <c r="J78" s="7" t="s">
        <v>195</v>
      </c>
      <c r="K78" s="7" t="s">
        <v>195</v>
      </c>
      <c r="L78" s="7" t="s">
        <v>195</v>
      </c>
      <c r="M78" s="7" t="s">
        <v>29</v>
      </c>
      <c r="N78" s="7" t="s">
        <v>29</v>
      </c>
      <c r="O78" s="7" t="s">
        <v>29</v>
      </c>
      <c r="P78" s="7" t="s">
        <v>29</v>
      </c>
      <c r="Q78" s="7" t="s">
        <v>29</v>
      </c>
      <c r="R78" s="7" t="s">
        <v>29</v>
      </c>
      <c r="S78" s="7" t="s">
        <v>29</v>
      </c>
    </row>
    <row r="79" spans="2:19">
      <c r="B79" s="9" t="s">
        <v>195</v>
      </c>
      <c r="C79" s="7" t="s">
        <v>195</v>
      </c>
      <c r="D79" s="5" t="str">
        <f>LRTRIM(CONCATENATE(IF(SUMPRODUCT(-- ISNUMBER(SEARCH({"Auto Number"}, $B79))) &gt; 0, $B79, IF(SUMPRODUCT(-- ISNUMBER(SEARCH({"Lookup","Master-Detail"}, $B79))) &gt; 0,$B79 &amp; "(" &amp; $E79 &amp; ")",IF(SUMPRODUCT(-- ISNUMBER(SEARCH({"Formula","Roll-Up Summary"}, $B79))) &gt; 0,$B79 &amp; " (" &amp; $E79 &amp; ")",IF(SUMPRODUCT(-- ISNUMBER(SEARCH({"Content","Currency","Number","Percent","Text","URL"}, $B79))) &gt; 0,$B79 &amp; "(" &amp; $C79 &amp; ")",$B79)))), "  ", TRIM(IF($S79 = "YES", "(External ID)", "") &amp; " " &amp; IF(SUMPRODUCT(-- ISNUMBER(SEARCH({"Unique","Unique Case Insensitive"}, $R79))) &gt; 0, "(" &amp; $R79 &amp; ")", ""))))</f>
        <v>na</v>
      </c>
      <c r="E79" s="7" t="s">
        <v>195</v>
      </c>
      <c r="F79" s="7" t="s">
        <v>195</v>
      </c>
      <c r="G79" s="7" t="s">
        <v>195</v>
      </c>
      <c r="H79" s="7" t="s">
        <v>195</v>
      </c>
      <c r="I79" s="7" t="s">
        <v>195</v>
      </c>
      <c r="J79" s="7" t="s">
        <v>195</v>
      </c>
      <c r="K79" s="7" t="s">
        <v>195</v>
      </c>
      <c r="L79" s="7" t="s">
        <v>195</v>
      </c>
      <c r="M79" s="7" t="s">
        <v>29</v>
      </c>
      <c r="N79" s="7" t="s">
        <v>29</v>
      </c>
      <c r="O79" s="7" t="s">
        <v>29</v>
      </c>
      <c r="P79" s="7" t="s">
        <v>29</v>
      </c>
      <c r="Q79" s="7" t="s">
        <v>29</v>
      </c>
      <c r="R79" s="7" t="s">
        <v>29</v>
      </c>
      <c r="S79" s="7" t="s">
        <v>29</v>
      </c>
    </row>
    <row r="80" spans="2:19">
      <c r="B80" s="9" t="s">
        <v>195</v>
      </c>
      <c r="C80" s="7" t="s">
        <v>195</v>
      </c>
      <c r="D80" s="5" t="str">
        <f>LRTRIM(CONCATENATE(IF(SUMPRODUCT(-- ISNUMBER(SEARCH({"Auto Number"}, $B80))) &gt; 0, $B80, IF(SUMPRODUCT(-- ISNUMBER(SEARCH({"Lookup","Master-Detail"}, $B80))) &gt; 0,$B80 &amp; "(" &amp; $E80 &amp; ")",IF(SUMPRODUCT(-- ISNUMBER(SEARCH({"Formula","Roll-Up Summary"}, $B80))) &gt; 0,$B80 &amp; " (" &amp; $E80 &amp; ")",IF(SUMPRODUCT(-- ISNUMBER(SEARCH({"Content","Currency","Number","Percent","Text","URL"}, $B80))) &gt; 0,$B80 &amp; "(" &amp; $C80 &amp; ")",$B80)))), "  ", TRIM(IF($S80 = "YES", "(External ID)", "") &amp; " " &amp; IF(SUMPRODUCT(-- ISNUMBER(SEARCH({"Unique","Unique Case Insensitive"}, $R80))) &gt; 0, "(" &amp; $R80 &amp; ")", ""))))</f>
        <v>na</v>
      </c>
      <c r="E80" s="7" t="s">
        <v>195</v>
      </c>
      <c r="F80" s="7" t="s">
        <v>195</v>
      </c>
      <c r="G80" s="7" t="s">
        <v>195</v>
      </c>
      <c r="H80" s="7" t="s">
        <v>195</v>
      </c>
      <c r="I80" s="7" t="s">
        <v>195</v>
      </c>
      <c r="J80" s="7" t="s">
        <v>195</v>
      </c>
      <c r="K80" s="7" t="s">
        <v>195</v>
      </c>
      <c r="L80" s="7" t="s">
        <v>195</v>
      </c>
      <c r="M80" s="7" t="s">
        <v>29</v>
      </c>
      <c r="N80" s="7" t="s">
        <v>29</v>
      </c>
      <c r="O80" s="7" t="s">
        <v>29</v>
      </c>
      <c r="P80" s="7" t="s">
        <v>29</v>
      </c>
      <c r="Q80" s="7" t="s">
        <v>29</v>
      </c>
      <c r="R80" s="7" t="s">
        <v>29</v>
      </c>
      <c r="S80" s="7" t="s">
        <v>29</v>
      </c>
    </row>
    <row r="81" spans="2:19">
      <c r="B81" s="9" t="s">
        <v>195</v>
      </c>
      <c r="C81" s="7" t="s">
        <v>195</v>
      </c>
      <c r="D81" s="5" t="str">
        <f>LRTRIM(CONCATENATE(IF(SUMPRODUCT(-- ISNUMBER(SEARCH({"Auto Number"}, $B81))) &gt; 0, $B81, IF(SUMPRODUCT(-- ISNUMBER(SEARCH({"Lookup","Master-Detail"}, $B81))) &gt; 0,$B81 &amp; "(" &amp; $E81 &amp; ")",IF(SUMPRODUCT(-- ISNUMBER(SEARCH({"Formula","Roll-Up Summary"}, $B81))) &gt; 0,$B81 &amp; " (" &amp; $E81 &amp; ")",IF(SUMPRODUCT(-- ISNUMBER(SEARCH({"Content","Currency","Number","Percent","Text","URL"}, $B81))) &gt; 0,$B81 &amp; "(" &amp; $C81 &amp; ")",$B81)))), "  ", TRIM(IF($S81 = "YES", "(External ID)", "") &amp; " " &amp; IF(SUMPRODUCT(-- ISNUMBER(SEARCH({"Unique","Unique Case Insensitive"}, $R81))) &gt; 0, "(" &amp; $R81 &amp; ")", ""))))</f>
        <v>na</v>
      </c>
      <c r="E81" s="7" t="s">
        <v>195</v>
      </c>
      <c r="F81" s="7" t="s">
        <v>195</v>
      </c>
      <c r="G81" s="7" t="s">
        <v>195</v>
      </c>
      <c r="H81" s="7" t="s">
        <v>195</v>
      </c>
      <c r="I81" s="7" t="s">
        <v>195</v>
      </c>
      <c r="J81" s="7" t="s">
        <v>195</v>
      </c>
      <c r="K81" s="7" t="s">
        <v>195</v>
      </c>
      <c r="L81" s="7" t="s">
        <v>195</v>
      </c>
      <c r="M81" s="7" t="s">
        <v>29</v>
      </c>
      <c r="N81" s="7" t="s">
        <v>29</v>
      </c>
      <c r="O81" s="7" t="s">
        <v>29</v>
      </c>
      <c r="P81" s="7" t="s">
        <v>29</v>
      </c>
      <c r="Q81" s="7" t="s">
        <v>29</v>
      </c>
      <c r="R81" s="7" t="s">
        <v>29</v>
      </c>
      <c r="S81" s="7" t="s">
        <v>29</v>
      </c>
    </row>
    <row r="82" spans="2:19">
      <c r="B82" s="9" t="s">
        <v>195</v>
      </c>
      <c r="C82" s="7" t="s">
        <v>195</v>
      </c>
      <c r="D82" s="5" t="str">
        <f>LRTRIM(CONCATENATE(IF(SUMPRODUCT(-- ISNUMBER(SEARCH({"Auto Number"}, $B82))) &gt; 0, $B82, IF(SUMPRODUCT(-- ISNUMBER(SEARCH({"Lookup","Master-Detail"}, $B82))) &gt; 0,$B82 &amp; "(" &amp; $E82 &amp; ")",IF(SUMPRODUCT(-- ISNUMBER(SEARCH({"Formula","Roll-Up Summary"}, $B82))) &gt; 0,$B82 &amp; " (" &amp; $E82 &amp; ")",IF(SUMPRODUCT(-- ISNUMBER(SEARCH({"Content","Currency","Number","Percent","Text","URL"}, $B82))) &gt; 0,$B82 &amp; "(" &amp; $C82 &amp; ")",$B82)))), "  ", TRIM(IF($S82 = "YES", "(External ID)", "") &amp; " " &amp; IF(SUMPRODUCT(-- ISNUMBER(SEARCH({"Unique","Unique Case Insensitive"}, $R82))) &gt; 0, "(" &amp; $R82 &amp; ")", ""))))</f>
        <v>na</v>
      </c>
      <c r="E82" s="7" t="s">
        <v>195</v>
      </c>
      <c r="F82" s="7" t="s">
        <v>195</v>
      </c>
      <c r="G82" s="7" t="s">
        <v>195</v>
      </c>
      <c r="H82" s="7" t="s">
        <v>195</v>
      </c>
      <c r="I82" s="7" t="s">
        <v>195</v>
      </c>
      <c r="J82" s="7" t="s">
        <v>195</v>
      </c>
      <c r="K82" s="7" t="s">
        <v>195</v>
      </c>
      <c r="L82" s="7" t="s">
        <v>195</v>
      </c>
      <c r="M82" s="7" t="s">
        <v>29</v>
      </c>
      <c r="N82" s="7" t="s">
        <v>29</v>
      </c>
      <c r="O82" s="7" t="s">
        <v>29</v>
      </c>
      <c r="P82" s="7" t="s">
        <v>29</v>
      </c>
      <c r="Q82" s="7" t="s">
        <v>29</v>
      </c>
      <c r="R82" s="7" t="s">
        <v>29</v>
      </c>
      <c r="S82" s="7" t="s">
        <v>29</v>
      </c>
    </row>
    <row r="83" spans="2:19">
      <c r="B83" s="9" t="s">
        <v>195</v>
      </c>
      <c r="C83" s="7" t="s">
        <v>195</v>
      </c>
      <c r="D83" s="5" t="str">
        <f>LRTRIM(CONCATENATE(IF(SUMPRODUCT(-- ISNUMBER(SEARCH({"Auto Number"}, $B83))) &gt; 0, $B83, IF(SUMPRODUCT(-- ISNUMBER(SEARCH({"Lookup","Master-Detail"}, $B83))) &gt; 0,$B83 &amp; "(" &amp; $E83 &amp; ")",IF(SUMPRODUCT(-- ISNUMBER(SEARCH({"Formula","Roll-Up Summary"}, $B83))) &gt; 0,$B83 &amp; " (" &amp; $E83 &amp; ")",IF(SUMPRODUCT(-- ISNUMBER(SEARCH({"Content","Currency","Number","Percent","Text","URL"}, $B83))) &gt; 0,$B83 &amp; "(" &amp; $C83 &amp; ")",$B83)))), "  ", TRIM(IF($S83 = "YES", "(External ID)", "") &amp; " " &amp; IF(SUMPRODUCT(-- ISNUMBER(SEARCH({"Unique","Unique Case Insensitive"}, $R83))) &gt; 0, "(" &amp; $R83 &amp; ")", ""))))</f>
        <v>na</v>
      </c>
      <c r="E83" s="7" t="s">
        <v>195</v>
      </c>
      <c r="F83" s="7" t="s">
        <v>195</v>
      </c>
      <c r="G83" s="7" t="s">
        <v>195</v>
      </c>
      <c r="H83" s="7" t="s">
        <v>195</v>
      </c>
      <c r="I83" s="7" t="s">
        <v>195</v>
      </c>
      <c r="J83" s="7" t="s">
        <v>195</v>
      </c>
      <c r="K83" s="7" t="s">
        <v>195</v>
      </c>
      <c r="L83" s="7" t="s">
        <v>195</v>
      </c>
      <c r="M83" s="7" t="s">
        <v>29</v>
      </c>
      <c r="N83" s="7" t="s">
        <v>29</v>
      </c>
      <c r="O83" s="7" t="s">
        <v>29</v>
      </c>
      <c r="P83" s="7" t="s">
        <v>29</v>
      </c>
      <c r="Q83" s="7" t="s">
        <v>29</v>
      </c>
      <c r="R83" s="7" t="s">
        <v>29</v>
      </c>
      <c r="S83" s="7" t="s">
        <v>29</v>
      </c>
    </row>
    <row r="84" spans="2:19">
      <c r="B84" s="9" t="s">
        <v>195</v>
      </c>
      <c r="C84" s="7" t="s">
        <v>195</v>
      </c>
      <c r="D84" s="5" t="str">
        <f>LRTRIM(CONCATENATE(IF(SUMPRODUCT(-- ISNUMBER(SEARCH({"Auto Number"}, $B84))) &gt; 0, $B84, IF(SUMPRODUCT(-- ISNUMBER(SEARCH({"Lookup","Master-Detail"}, $B84))) &gt; 0,$B84 &amp; "(" &amp; $E84 &amp; ")",IF(SUMPRODUCT(-- ISNUMBER(SEARCH({"Formula","Roll-Up Summary"}, $B84))) &gt; 0,$B84 &amp; " (" &amp; $E84 &amp; ")",IF(SUMPRODUCT(-- ISNUMBER(SEARCH({"Content","Currency","Number","Percent","Text","URL"}, $B84))) &gt; 0,$B84 &amp; "(" &amp; $C84 &amp; ")",$B84)))), "  ", TRIM(IF($S84 = "YES", "(External ID)", "") &amp; " " &amp; IF(SUMPRODUCT(-- ISNUMBER(SEARCH({"Unique","Unique Case Insensitive"}, $R84))) &gt; 0, "(" &amp; $R84 &amp; ")", ""))))</f>
        <v>na</v>
      </c>
      <c r="E84" s="7" t="s">
        <v>195</v>
      </c>
      <c r="F84" s="7" t="s">
        <v>195</v>
      </c>
      <c r="G84" s="7" t="s">
        <v>195</v>
      </c>
      <c r="H84" s="7" t="s">
        <v>195</v>
      </c>
      <c r="I84" s="7" t="s">
        <v>195</v>
      </c>
      <c r="J84" s="7" t="s">
        <v>195</v>
      </c>
      <c r="K84" s="7" t="s">
        <v>195</v>
      </c>
      <c r="L84" s="7" t="s">
        <v>195</v>
      </c>
      <c r="M84" s="7" t="s">
        <v>29</v>
      </c>
      <c r="N84" s="7" t="s">
        <v>29</v>
      </c>
      <c r="O84" s="7" t="s">
        <v>29</v>
      </c>
      <c r="P84" s="7" t="s">
        <v>29</v>
      </c>
      <c r="Q84" s="7" t="s">
        <v>29</v>
      </c>
      <c r="R84" s="7" t="s">
        <v>29</v>
      </c>
      <c r="S84" s="7" t="s">
        <v>29</v>
      </c>
    </row>
    <row r="85" spans="2:19">
      <c r="B85" s="9" t="s">
        <v>195</v>
      </c>
      <c r="C85" s="7" t="s">
        <v>195</v>
      </c>
      <c r="D85" s="5" t="str">
        <f>LRTRIM(CONCATENATE(IF(SUMPRODUCT(-- ISNUMBER(SEARCH({"Auto Number"}, $B85))) &gt; 0, $B85, IF(SUMPRODUCT(-- ISNUMBER(SEARCH({"Lookup","Master-Detail"}, $B85))) &gt; 0,$B85 &amp; "(" &amp; $E85 &amp; ")",IF(SUMPRODUCT(-- ISNUMBER(SEARCH({"Formula","Roll-Up Summary"}, $B85))) &gt; 0,$B85 &amp; " (" &amp; $E85 &amp; ")",IF(SUMPRODUCT(-- ISNUMBER(SEARCH({"Content","Currency","Number","Percent","Text","URL"}, $B85))) &gt; 0,$B85 &amp; "(" &amp; $C85 &amp; ")",$B85)))), "  ", TRIM(IF($S85 = "YES", "(External ID)", "") &amp; " " &amp; IF(SUMPRODUCT(-- ISNUMBER(SEARCH({"Unique","Unique Case Insensitive"}, $R85))) &gt; 0, "(" &amp; $R85 &amp; ")", ""))))</f>
        <v>na</v>
      </c>
      <c r="E85" s="7" t="s">
        <v>195</v>
      </c>
      <c r="F85" s="7" t="s">
        <v>195</v>
      </c>
      <c r="G85" s="7" t="s">
        <v>195</v>
      </c>
      <c r="H85" s="7" t="s">
        <v>195</v>
      </c>
      <c r="I85" s="7" t="s">
        <v>195</v>
      </c>
      <c r="J85" s="7" t="s">
        <v>195</v>
      </c>
      <c r="K85" s="7" t="s">
        <v>195</v>
      </c>
      <c r="L85" s="7" t="s">
        <v>195</v>
      </c>
      <c r="M85" s="7" t="s">
        <v>29</v>
      </c>
      <c r="N85" s="7" t="s">
        <v>29</v>
      </c>
      <c r="O85" s="7" t="s">
        <v>29</v>
      </c>
      <c r="P85" s="7" t="s">
        <v>29</v>
      </c>
      <c r="Q85" s="7" t="s">
        <v>29</v>
      </c>
      <c r="R85" s="7" t="s">
        <v>29</v>
      </c>
      <c r="S85" s="7" t="s">
        <v>29</v>
      </c>
    </row>
    <row r="86" spans="2:19">
      <c r="B86" s="9" t="s">
        <v>195</v>
      </c>
      <c r="C86" s="7" t="s">
        <v>195</v>
      </c>
      <c r="D86" s="5" t="str">
        <f>LRTRIM(CONCATENATE(IF(SUMPRODUCT(-- ISNUMBER(SEARCH({"Auto Number"}, $B86))) &gt; 0, $B86, IF(SUMPRODUCT(-- ISNUMBER(SEARCH({"Lookup","Master-Detail"}, $B86))) &gt; 0,$B86 &amp; "(" &amp; $E86 &amp; ")",IF(SUMPRODUCT(-- ISNUMBER(SEARCH({"Formula","Roll-Up Summary"}, $B86))) &gt; 0,$B86 &amp; " (" &amp; $E86 &amp; ")",IF(SUMPRODUCT(-- ISNUMBER(SEARCH({"Content","Currency","Number","Percent","Text","URL"}, $B86))) &gt; 0,$B86 &amp; "(" &amp; $C86 &amp; ")",$B86)))), "  ", TRIM(IF($S86 = "YES", "(External ID)", "") &amp; " " &amp; IF(SUMPRODUCT(-- ISNUMBER(SEARCH({"Unique","Unique Case Insensitive"}, $R86))) &gt; 0, "(" &amp; $R86 &amp; ")", ""))))</f>
        <v>na</v>
      </c>
      <c r="E86" s="7" t="s">
        <v>195</v>
      </c>
      <c r="F86" s="7" t="s">
        <v>195</v>
      </c>
      <c r="G86" s="7" t="s">
        <v>195</v>
      </c>
      <c r="H86" s="7" t="s">
        <v>195</v>
      </c>
      <c r="I86" s="7" t="s">
        <v>195</v>
      </c>
      <c r="J86" s="7" t="s">
        <v>195</v>
      </c>
      <c r="K86" s="7" t="s">
        <v>195</v>
      </c>
      <c r="L86" s="7" t="s">
        <v>195</v>
      </c>
      <c r="M86" s="7" t="s">
        <v>29</v>
      </c>
      <c r="N86" s="7" t="s">
        <v>29</v>
      </c>
      <c r="O86" s="7" t="s">
        <v>29</v>
      </c>
      <c r="P86" s="7" t="s">
        <v>29</v>
      </c>
      <c r="Q86" s="7" t="s">
        <v>29</v>
      </c>
      <c r="R86" s="7" t="s">
        <v>29</v>
      </c>
      <c r="S86" s="7" t="s">
        <v>29</v>
      </c>
    </row>
    <row r="87" spans="2:19">
      <c r="B87" s="9" t="s">
        <v>195</v>
      </c>
      <c r="C87" s="7" t="s">
        <v>195</v>
      </c>
      <c r="D87" s="5" t="str">
        <f>LRTRIM(CONCATENATE(IF(SUMPRODUCT(-- ISNUMBER(SEARCH({"Auto Number"}, $B87))) &gt; 0, $B87, IF(SUMPRODUCT(-- ISNUMBER(SEARCH({"Lookup","Master-Detail"}, $B87))) &gt; 0,$B87 &amp; "(" &amp; $E87 &amp; ")",IF(SUMPRODUCT(-- ISNUMBER(SEARCH({"Formula","Roll-Up Summary"}, $B87))) &gt; 0,$B87 &amp; " (" &amp; $E87 &amp; ")",IF(SUMPRODUCT(-- ISNUMBER(SEARCH({"Content","Currency","Number","Percent","Text","URL"}, $B87))) &gt; 0,$B87 &amp; "(" &amp; $C87 &amp; ")",$B87)))), "  ", TRIM(IF($S87 = "YES", "(External ID)", "") &amp; " " &amp; IF(SUMPRODUCT(-- ISNUMBER(SEARCH({"Unique","Unique Case Insensitive"}, $R87))) &gt; 0, "(" &amp; $R87 &amp; ")", ""))))</f>
        <v>na</v>
      </c>
      <c r="E87" s="7" t="s">
        <v>195</v>
      </c>
      <c r="F87" s="7" t="s">
        <v>195</v>
      </c>
      <c r="G87" s="7" t="s">
        <v>195</v>
      </c>
      <c r="H87" s="7" t="s">
        <v>195</v>
      </c>
      <c r="I87" s="7" t="s">
        <v>195</v>
      </c>
      <c r="J87" s="7" t="s">
        <v>195</v>
      </c>
      <c r="K87" s="7" t="s">
        <v>195</v>
      </c>
      <c r="L87" s="7" t="s">
        <v>195</v>
      </c>
      <c r="M87" s="7" t="s">
        <v>29</v>
      </c>
      <c r="N87" s="7" t="s">
        <v>29</v>
      </c>
      <c r="O87" s="7" t="s">
        <v>29</v>
      </c>
      <c r="P87" s="7" t="s">
        <v>29</v>
      </c>
      <c r="Q87" s="7" t="s">
        <v>29</v>
      </c>
      <c r="R87" s="7" t="s">
        <v>29</v>
      </c>
      <c r="S87" s="7" t="s">
        <v>29</v>
      </c>
    </row>
    <row r="88" spans="2:19">
      <c r="B88" s="9" t="s">
        <v>195</v>
      </c>
      <c r="C88" s="7" t="s">
        <v>195</v>
      </c>
      <c r="D88" s="5" t="str">
        <f>LRTRIM(CONCATENATE(IF(SUMPRODUCT(-- ISNUMBER(SEARCH({"Auto Number"}, $B88))) &gt; 0, $B88, IF(SUMPRODUCT(-- ISNUMBER(SEARCH({"Lookup","Master-Detail"}, $B88))) &gt; 0,$B88 &amp; "(" &amp; $E88 &amp; ")",IF(SUMPRODUCT(-- ISNUMBER(SEARCH({"Formula","Roll-Up Summary"}, $B88))) &gt; 0,$B88 &amp; " (" &amp; $E88 &amp; ")",IF(SUMPRODUCT(-- ISNUMBER(SEARCH({"Content","Currency","Number","Percent","Text","URL"}, $B88))) &gt; 0,$B88 &amp; "(" &amp; $C88 &amp; ")",$B88)))), "  ", TRIM(IF($S88 = "YES", "(External ID)", "") &amp; " " &amp; IF(SUMPRODUCT(-- ISNUMBER(SEARCH({"Unique","Unique Case Insensitive"}, $R88))) &gt; 0, "(" &amp; $R88 &amp; ")", ""))))</f>
        <v>na</v>
      </c>
      <c r="E88" s="7" t="s">
        <v>195</v>
      </c>
      <c r="F88" s="7" t="s">
        <v>195</v>
      </c>
      <c r="G88" s="7" t="s">
        <v>195</v>
      </c>
      <c r="H88" s="7" t="s">
        <v>195</v>
      </c>
      <c r="I88" s="7" t="s">
        <v>195</v>
      </c>
      <c r="J88" s="7" t="s">
        <v>195</v>
      </c>
      <c r="K88" s="7" t="s">
        <v>195</v>
      </c>
      <c r="L88" s="7" t="s">
        <v>195</v>
      </c>
      <c r="M88" s="7" t="s">
        <v>29</v>
      </c>
      <c r="N88" s="7" t="s">
        <v>29</v>
      </c>
      <c r="O88" s="7" t="s">
        <v>29</v>
      </c>
      <c r="P88" s="7" t="s">
        <v>29</v>
      </c>
      <c r="Q88" s="7" t="s">
        <v>29</v>
      </c>
      <c r="R88" s="7" t="s">
        <v>29</v>
      </c>
      <c r="S88" s="7" t="s">
        <v>29</v>
      </c>
    </row>
    <row r="89" spans="2:19">
      <c r="B89" s="9" t="s">
        <v>195</v>
      </c>
      <c r="C89" s="7" t="s">
        <v>195</v>
      </c>
      <c r="D89" s="5" t="str">
        <f>LRTRIM(CONCATENATE(IF(SUMPRODUCT(-- ISNUMBER(SEARCH({"Auto Number"}, $B89))) &gt; 0, $B89, IF(SUMPRODUCT(-- ISNUMBER(SEARCH({"Lookup","Master-Detail"}, $B89))) &gt; 0,$B89 &amp; "(" &amp; $E89 &amp; ")",IF(SUMPRODUCT(-- ISNUMBER(SEARCH({"Formula","Roll-Up Summary"}, $B89))) &gt; 0,$B89 &amp; " (" &amp; $E89 &amp; ")",IF(SUMPRODUCT(-- ISNUMBER(SEARCH({"Content","Currency","Number","Percent","Text","URL"}, $B89))) &gt; 0,$B89 &amp; "(" &amp; $C89 &amp; ")",$B89)))), "  ", TRIM(IF($S89 = "YES", "(External ID)", "") &amp; " " &amp; IF(SUMPRODUCT(-- ISNUMBER(SEARCH({"Unique","Unique Case Insensitive"}, $R89))) &gt; 0, "(" &amp; $R89 &amp; ")", ""))))</f>
        <v>na</v>
      </c>
      <c r="E89" s="7" t="s">
        <v>195</v>
      </c>
      <c r="F89" s="7" t="s">
        <v>195</v>
      </c>
      <c r="G89" s="7" t="s">
        <v>195</v>
      </c>
      <c r="H89" s="7" t="s">
        <v>195</v>
      </c>
      <c r="I89" s="7" t="s">
        <v>195</v>
      </c>
      <c r="J89" s="7" t="s">
        <v>195</v>
      </c>
      <c r="K89" s="7" t="s">
        <v>195</v>
      </c>
      <c r="L89" s="7" t="s">
        <v>195</v>
      </c>
      <c r="M89" s="7" t="s">
        <v>29</v>
      </c>
      <c r="N89" s="7" t="s">
        <v>29</v>
      </c>
      <c r="O89" s="7" t="s">
        <v>29</v>
      </c>
      <c r="P89" s="7" t="s">
        <v>29</v>
      </c>
      <c r="Q89" s="7" t="s">
        <v>29</v>
      </c>
      <c r="R89" s="7" t="s">
        <v>29</v>
      </c>
      <c r="S89" s="7" t="s">
        <v>29</v>
      </c>
    </row>
    <row r="90" spans="2:19">
      <c r="B90" s="9" t="s">
        <v>195</v>
      </c>
      <c r="C90" s="7" t="s">
        <v>195</v>
      </c>
      <c r="D90" s="5" t="str">
        <f>LRTRIM(CONCATENATE(IF(SUMPRODUCT(-- ISNUMBER(SEARCH({"Auto Number"}, $B90))) &gt; 0, $B90, IF(SUMPRODUCT(-- ISNUMBER(SEARCH({"Lookup","Master-Detail"}, $B90))) &gt; 0,$B90 &amp; "(" &amp; $E90 &amp; ")",IF(SUMPRODUCT(-- ISNUMBER(SEARCH({"Formula","Roll-Up Summary"}, $B90))) &gt; 0,$B90 &amp; " (" &amp; $E90 &amp; ")",IF(SUMPRODUCT(-- ISNUMBER(SEARCH({"Content","Currency","Number","Percent","Text","URL"}, $B90))) &gt; 0,$B90 &amp; "(" &amp; $C90 &amp; ")",$B90)))), "  ", TRIM(IF($S90 = "YES", "(External ID)", "") &amp; " " &amp; IF(SUMPRODUCT(-- ISNUMBER(SEARCH({"Unique","Unique Case Insensitive"}, $R90))) &gt; 0, "(" &amp; $R90 &amp; ")", ""))))</f>
        <v>na</v>
      </c>
      <c r="E90" s="7" t="s">
        <v>195</v>
      </c>
      <c r="F90" s="7" t="s">
        <v>195</v>
      </c>
      <c r="G90" s="7" t="s">
        <v>195</v>
      </c>
      <c r="H90" s="7" t="s">
        <v>195</v>
      </c>
      <c r="I90" s="7" t="s">
        <v>195</v>
      </c>
      <c r="J90" s="7" t="s">
        <v>195</v>
      </c>
      <c r="K90" s="7" t="s">
        <v>195</v>
      </c>
      <c r="L90" s="7" t="s">
        <v>195</v>
      </c>
      <c r="M90" s="7" t="s">
        <v>29</v>
      </c>
      <c r="N90" s="7" t="s">
        <v>29</v>
      </c>
      <c r="O90" s="7" t="s">
        <v>29</v>
      </c>
      <c r="P90" s="7" t="s">
        <v>29</v>
      </c>
      <c r="Q90" s="7" t="s">
        <v>29</v>
      </c>
      <c r="R90" s="7" t="s">
        <v>29</v>
      </c>
      <c r="S90" s="7" t="s">
        <v>29</v>
      </c>
    </row>
    <row r="91" spans="2:19">
      <c r="B91" s="9" t="s">
        <v>195</v>
      </c>
      <c r="C91" s="7" t="s">
        <v>195</v>
      </c>
      <c r="D91" s="5" t="str">
        <f>LRTRIM(CONCATENATE(IF(SUMPRODUCT(-- ISNUMBER(SEARCH({"Auto Number"}, $B91))) &gt; 0, $B91, IF(SUMPRODUCT(-- ISNUMBER(SEARCH({"Lookup","Master-Detail"}, $B91))) &gt; 0,$B91 &amp; "(" &amp; $E91 &amp; ")",IF(SUMPRODUCT(-- ISNUMBER(SEARCH({"Formula","Roll-Up Summary"}, $B91))) &gt; 0,$B91 &amp; " (" &amp; $E91 &amp; ")",IF(SUMPRODUCT(-- ISNUMBER(SEARCH({"Content","Currency","Number","Percent","Text","URL"}, $B91))) &gt; 0,$B91 &amp; "(" &amp; $C91 &amp; ")",$B91)))), "  ", TRIM(IF($S91 = "YES", "(External ID)", "") &amp; " " &amp; IF(SUMPRODUCT(-- ISNUMBER(SEARCH({"Unique","Unique Case Insensitive"}, $R91))) &gt; 0, "(" &amp; $R91 &amp; ")", ""))))</f>
        <v>na</v>
      </c>
      <c r="E91" s="7" t="s">
        <v>195</v>
      </c>
      <c r="F91" s="7" t="s">
        <v>195</v>
      </c>
      <c r="G91" s="7" t="s">
        <v>195</v>
      </c>
      <c r="H91" s="7" t="s">
        <v>195</v>
      </c>
      <c r="I91" s="7" t="s">
        <v>195</v>
      </c>
      <c r="J91" s="7" t="s">
        <v>195</v>
      </c>
      <c r="K91" s="7" t="s">
        <v>195</v>
      </c>
      <c r="L91" s="7" t="s">
        <v>195</v>
      </c>
      <c r="M91" s="7" t="s">
        <v>29</v>
      </c>
      <c r="N91" s="7" t="s">
        <v>29</v>
      </c>
      <c r="O91" s="7" t="s">
        <v>29</v>
      </c>
      <c r="P91" s="7" t="s">
        <v>29</v>
      </c>
      <c r="Q91" s="7" t="s">
        <v>29</v>
      </c>
      <c r="R91" s="7" t="s">
        <v>29</v>
      </c>
      <c r="S91" s="7" t="s">
        <v>29</v>
      </c>
    </row>
    <row r="92" spans="2:19">
      <c r="B92" s="9" t="s">
        <v>195</v>
      </c>
      <c r="C92" s="7" t="s">
        <v>195</v>
      </c>
      <c r="D92" s="5" t="str">
        <f>LRTRIM(CONCATENATE(IF(SUMPRODUCT(-- ISNUMBER(SEARCH({"Auto Number"}, $B92))) &gt; 0, $B92, IF(SUMPRODUCT(-- ISNUMBER(SEARCH({"Lookup","Master-Detail"}, $B92))) &gt; 0,$B92 &amp; "(" &amp; $E92 &amp; ")",IF(SUMPRODUCT(-- ISNUMBER(SEARCH({"Formula","Roll-Up Summary"}, $B92))) &gt; 0,$B92 &amp; " (" &amp; $E92 &amp; ")",IF(SUMPRODUCT(-- ISNUMBER(SEARCH({"Content","Currency","Number","Percent","Text","URL"}, $B92))) &gt; 0,$B92 &amp; "(" &amp; $C92 &amp; ")",$B92)))), "  ", TRIM(IF($S92 = "YES", "(External ID)", "") &amp; " " &amp; IF(SUMPRODUCT(-- ISNUMBER(SEARCH({"Unique","Unique Case Insensitive"}, $R92))) &gt; 0, "(" &amp; $R92 &amp; ")", ""))))</f>
        <v>na</v>
      </c>
      <c r="E92" s="7" t="s">
        <v>195</v>
      </c>
      <c r="F92" s="7" t="s">
        <v>195</v>
      </c>
      <c r="G92" s="7" t="s">
        <v>195</v>
      </c>
      <c r="H92" s="7" t="s">
        <v>195</v>
      </c>
      <c r="I92" s="7" t="s">
        <v>195</v>
      </c>
      <c r="J92" s="7" t="s">
        <v>195</v>
      </c>
      <c r="K92" s="7" t="s">
        <v>195</v>
      </c>
      <c r="L92" s="7" t="s">
        <v>195</v>
      </c>
      <c r="M92" s="7" t="s">
        <v>29</v>
      </c>
      <c r="N92" s="7" t="s">
        <v>29</v>
      </c>
      <c r="O92" s="7" t="s">
        <v>29</v>
      </c>
      <c r="P92" s="7" t="s">
        <v>29</v>
      </c>
      <c r="Q92" s="7" t="s">
        <v>29</v>
      </c>
      <c r="R92" s="7" t="s">
        <v>29</v>
      </c>
      <c r="S92" s="7" t="s">
        <v>29</v>
      </c>
    </row>
    <row r="93" spans="2:19">
      <c r="B93" s="9" t="s">
        <v>195</v>
      </c>
      <c r="C93" s="7" t="s">
        <v>195</v>
      </c>
      <c r="D93" s="5" t="str">
        <f>LRTRIM(CONCATENATE(IF(SUMPRODUCT(-- ISNUMBER(SEARCH({"Auto Number"}, $B93))) &gt; 0, $B93, IF(SUMPRODUCT(-- ISNUMBER(SEARCH({"Lookup","Master-Detail"}, $B93))) &gt; 0,$B93 &amp; "(" &amp; $E93 &amp; ")",IF(SUMPRODUCT(-- ISNUMBER(SEARCH({"Formula","Roll-Up Summary"}, $B93))) &gt; 0,$B93 &amp; " (" &amp; $E93 &amp; ")",IF(SUMPRODUCT(-- ISNUMBER(SEARCH({"Content","Currency","Number","Percent","Text","URL"}, $B93))) &gt; 0,$B93 &amp; "(" &amp; $C93 &amp; ")",$B93)))), "  ", TRIM(IF($S93 = "YES", "(External ID)", "") &amp; " " &amp; IF(SUMPRODUCT(-- ISNUMBER(SEARCH({"Unique","Unique Case Insensitive"}, $R93))) &gt; 0, "(" &amp; $R93 &amp; ")", ""))))</f>
        <v>na</v>
      </c>
      <c r="E93" s="7" t="s">
        <v>195</v>
      </c>
      <c r="F93" s="7" t="s">
        <v>195</v>
      </c>
      <c r="G93" s="7" t="s">
        <v>195</v>
      </c>
      <c r="H93" s="7" t="s">
        <v>195</v>
      </c>
      <c r="I93" s="7" t="s">
        <v>195</v>
      </c>
      <c r="J93" s="7" t="s">
        <v>195</v>
      </c>
      <c r="K93" s="7" t="s">
        <v>195</v>
      </c>
      <c r="L93" s="7" t="s">
        <v>195</v>
      </c>
      <c r="M93" s="7" t="s">
        <v>29</v>
      </c>
      <c r="N93" s="7" t="s">
        <v>29</v>
      </c>
      <c r="O93" s="7" t="s">
        <v>29</v>
      </c>
      <c r="P93" s="7" t="s">
        <v>29</v>
      </c>
      <c r="Q93" s="7" t="s">
        <v>29</v>
      </c>
      <c r="R93" s="7" t="s">
        <v>29</v>
      </c>
      <c r="S93" s="7" t="s">
        <v>29</v>
      </c>
    </row>
    <row r="94" spans="2:19">
      <c r="B94" s="9" t="s">
        <v>195</v>
      </c>
      <c r="C94" s="7" t="s">
        <v>195</v>
      </c>
      <c r="D94" s="5" t="str">
        <f>LRTRIM(CONCATENATE(IF(SUMPRODUCT(-- ISNUMBER(SEARCH({"Auto Number"}, $B94))) &gt; 0, $B94, IF(SUMPRODUCT(-- ISNUMBER(SEARCH({"Lookup","Master-Detail"}, $B94))) &gt; 0,$B94 &amp; "(" &amp; $E94 &amp; ")",IF(SUMPRODUCT(-- ISNUMBER(SEARCH({"Formula","Roll-Up Summary"}, $B94))) &gt; 0,$B94 &amp; " (" &amp; $E94 &amp; ")",IF(SUMPRODUCT(-- ISNUMBER(SEARCH({"Content","Currency","Number","Percent","Text","URL"}, $B94))) &gt; 0,$B94 &amp; "(" &amp; $C94 &amp; ")",$B94)))), "  ", TRIM(IF($S94 = "YES", "(External ID)", "") &amp; " " &amp; IF(SUMPRODUCT(-- ISNUMBER(SEARCH({"Unique","Unique Case Insensitive"}, $R94))) &gt; 0, "(" &amp; $R94 &amp; ")", ""))))</f>
        <v>na</v>
      </c>
      <c r="E94" s="7" t="s">
        <v>195</v>
      </c>
      <c r="F94" s="7" t="s">
        <v>195</v>
      </c>
      <c r="G94" s="7" t="s">
        <v>195</v>
      </c>
      <c r="H94" s="7" t="s">
        <v>195</v>
      </c>
      <c r="I94" s="7" t="s">
        <v>195</v>
      </c>
      <c r="J94" s="7" t="s">
        <v>195</v>
      </c>
      <c r="K94" s="7" t="s">
        <v>195</v>
      </c>
      <c r="L94" s="7" t="s">
        <v>195</v>
      </c>
      <c r="M94" s="7" t="s">
        <v>29</v>
      </c>
      <c r="N94" s="7" t="s">
        <v>29</v>
      </c>
      <c r="O94" s="7" t="s">
        <v>29</v>
      </c>
      <c r="P94" s="7" t="s">
        <v>29</v>
      </c>
      <c r="Q94" s="7" t="s">
        <v>29</v>
      </c>
      <c r="R94" s="7" t="s">
        <v>29</v>
      </c>
      <c r="S94" s="7" t="s">
        <v>29</v>
      </c>
    </row>
    <row r="95" spans="2:19">
      <c r="B95" s="9" t="s">
        <v>195</v>
      </c>
      <c r="C95" s="7" t="s">
        <v>195</v>
      </c>
      <c r="D95" s="5" t="str">
        <f>LRTRIM(CONCATENATE(IF(SUMPRODUCT(-- ISNUMBER(SEARCH({"Auto Number"}, $B95))) &gt; 0, $B95, IF(SUMPRODUCT(-- ISNUMBER(SEARCH({"Lookup","Master-Detail"}, $B95))) &gt; 0,$B95 &amp; "(" &amp; $E95 &amp; ")",IF(SUMPRODUCT(-- ISNUMBER(SEARCH({"Formula","Roll-Up Summary"}, $B95))) &gt; 0,$B95 &amp; " (" &amp; $E95 &amp; ")",IF(SUMPRODUCT(-- ISNUMBER(SEARCH({"Content","Currency","Number","Percent","Text","URL"}, $B95))) &gt; 0,$B95 &amp; "(" &amp; $C95 &amp; ")",$B95)))), "  ", TRIM(IF($S95 = "YES", "(External ID)", "") &amp; " " &amp; IF(SUMPRODUCT(-- ISNUMBER(SEARCH({"Unique","Unique Case Insensitive"}, $R95))) &gt; 0, "(" &amp; $R95 &amp; ")", ""))))</f>
        <v>na</v>
      </c>
      <c r="E95" s="7" t="s">
        <v>195</v>
      </c>
      <c r="F95" s="7" t="s">
        <v>195</v>
      </c>
      <c r="G95" s="7" t="s">
        <v>195</v>
      </c>
      <c r="H95" s="7" t="s">
        <v>195</v>
      </c>
      <c r="I95" s="7" t="s">
        <v>195</v>
      </c>
      <c r="J95" s="7" t="s">
        <v>195</v>
      </c>
      <c r="K95" s="7" t="s">
        <v>195</v>
      </c>
      <c r="L95" s="7" t="s">
        <v>195</v>
      </c>
      <c r="M95" s="7" t="s">
        <v>29</v>
      </c>
      <c r="N95" s="7" t="s">
        <v>29</v>
      </c>
      <c r="O95" s="7" t="s">
        <v>29</v>
      </c>
      <c r="P95" s="7" t="s">
        <v>29</v>
      </c>
      <c r="Q95" s="7" t="s">
        <v>29</v>
      </c>
      <c r="R95" s="7" t="s">
        <v>29</v>
      </c>
      <c r="S95" s="7" t="s">
        <v>29</v>
      </c>
    </row>
    <row r="96" spans="2:19">
      <c r="B96" s="9" t="s">
        <v>195</v>
      </c>
      <c r="C96" s="7" t="s">
        <v>195</v>
      </c>
      <c r="D96" s="5" t="str">
        <f>LRTRIM(CONCATENATE(IF(SUMPRODUCT(-- ISNUMBER(SEARCH({"Auto Number"}, $B96))) &gt; 0, $B96, IF(SUMPRODUCT(-- ISNUMBER(SEARCH({"Lookup","Master-Detail"}, $B96))) &gt; 0,$B96 &amp; "(" &amp; $E96 &amp; ")",IF(SUMPRODUCT(-- ISNUMBER(SEARCH({"Formula","Roll-Up Summary"}, $B96))) &gt; 0,$B96 &amp; " (" &amp; $E96 &amp; ")",IF(SUMPRODUCT(-- ISNUMBER(SEARCH({"Content","Currency","Number","Percent","Text","URL"}, $B96))) &gt; 0,$B96 &amp; "(" &amp; $C96 &amp; ")",$B96)))), "  ", TRIM(IF($S96 = "YES", "(External ID)", "") &amp; " " &amp; IF(SUMPRODUCT(-- ISNUMBER(SEARCH({"Unique","Unique Case Insensitive"}, $R96))) &gt; 0, "(" &amp; $R96 &amp; ")", ""))))</f>
        <v>na</v>
      </c>
      <c r="E96" s="7" t="s">
        <v>195</v>
      </c>
      <c r="F96" s="7" t="s">
        <v>195</v>
      </c>
      <c r="G96" s="7" t="s">
        <v>195</v>
      </c>
      <c r="H96" s="7" t="s">
        <v>195</v>
      </c>
      <c r="I96" s="7" t="s">
        <v>195</v>
      </c>
      <c r="J96" s="7" t="s">
        <v>195</v>
      </c>
      <c r="K96" s="7" t="s">
        <v>195</v>
      </c>
      <c r="L96" s="7" t="s">
        <v>195</v>
      </c>
      <c r="M96" s="7" t="s">
        <v>29</v>
      </c>
      <c r="N96" s="7" t="s">
        <v>29</v>
      </c>
      <c r="O96" s="7" t="s">
        <v>29</v>
      </c>
      <c r="P96" s="7" t="s">
        <v>29</v>
      </c>
      <c r="Q96" s="7" t="s">
        <v>29</v>
      </c>
      <c r="R96" s="7" t="s">
        <v>29</v>
      </c>
      <c r="S96" s="7" t="s">
        <v>29</v>
      </c>
    </row>
    <row r="97" spans="2:19">
      <c r="B97" s="9" t="s">
        <v>195</v>
      </c>
      <c r="C97" s="7" t="s">
        <v>195</v>
      </c>
      <c r="D97" s="5" t="str">
        <f>LRTRIM(CONCATENATE(IF(SUMPRODUCT(-- ISNUMBER(SEARCH({"Auto Number"}, $B97))) &gt; 0, $B97, IF(SUMPRODUCT(-- ISNUMBER(SEARCH({"Lookup","Master-Detail"}, $B97))) &gt; 0,$B97 &amp; "(" &amp; $E97 &amp; ")",IF(SUMPRODUCT(-- ISNUMBER(SEARCH({"Formula","Roll-Up Summary"}, $B97))) &gt; 0,$B97 &amp; " (" &amp; $E97 &amp; ")",IF(SUMPRODUCT(-- ISNUMBER(SEARCH({"Content","Currency","Number","Percent","Text","URL"}, $B97))) &gt; 0,$B97 &amp; "(" &amp; $C97 &amp; ")",$B97)))), "  ", TRIM(IF($S97 = "YES", "(External ID)", "") &amp; " " &amp; IF(SUMPRODUCT(-- ISNUMBER(SEARCH({"Unique","Unique Case Insensitive"}, $R97))) &gt; 0, "(" &amp; $R97 &amp; ")", ""))))</f>
        <v>na</v>
      </c>
      <c r="E97" s="7" t="s">
        <v>195</v>
      </c>
      <c r="F97" s="7" t="s">
        <v>195</v>
      </c>
      <c r="G97" s="7" t="s">
        <v>195</v>
      </c>
      <c r="H97" s="7" t="s">
        <v>195</v>
      </c>
      <c r="I97" s="7" t="s">
        <v>195</v>
      </c>
      <c r="J97" s="7" t="s">
        <v>195</v>
      </c>
      <c r="K97" s="7" t="s">
        <v>195</v>
      </c>
      <c r="L97" s="7" t="s">
        <v>195</v>
      </c>
      <c r="M97" s="7" t="s">
        <v>29</v>
      </c>
      <c r="N97" s="7" t="s">
        <v>29</v>
      </c>
      <c r="O97" s="7" t="s">
        <v>29</v>
      </c>
      <c r="P97" s="7" t="s">
        <v>29</v>
      </c>
      <c r="Q97" s="7" t="s">
        <v>29</v>
      </c>
      <c r="R97" s="7" t="s">
        <v>29</v>
      </c>
      <c r="S97" s="7" t="s">
        <v>29</v>
      </c>
    </row>
    <row r="98" spans="2:19">
      <c r="B98" s="9" t="s">
        <v>195</v>
      </c>
      <c r="C98" s="7" t="s">
        <v>195</v>
      </c>
      <c r="D98" s="5" t="str">
        <f>LRTRIM(CONCATENATE(IF(SUMPRODUCT(-- ISNUMBER(SEARCH({"Auto Number"}, $B98))) &gt; 0, $B98, IF(SUMPRODUCT(-- ISNUMBER(SEARCH({"Lookup","Master-Detail"}, $B98))) &gt; 0,$B98 &amp; "(" &amp; $E98 &amp; ")",IF(SUMPRODUCT(-- ISNUMBER(SEARCH({"Formula","Roll-Up Summary"}, $B98))) &gt; 0,$B98 &amp; " (" &amp; $E98 &amp; ")",IF(SUMPRODUCT(-- ISNUMBER(SEARCH({"Content","Currency","Number","Percent","Text","URL"}, $B98))) &gt; 0,$B98 &amp; "(" &amp; $C98 &amp; ")",$B98)))), "  ", TRIM(IF($S98 = "YES", "(External ID)", "") &amp; " " &amp; IF(SUMPRODUCT(-- ISNUMBER(SEARCH({"Unique","Unique Case Insensitive"}, $R98))) &gt; 0, "(" &amp; $R98 &amp; ")", ""))))</f>
        <v>na</v>
      </c>
      <c r="E98" s="7" t="s">
        <v>195</v>
      </c>
      <c r="F98" s="7" t="s">
        <v>195</v>
      </c>
      <c r="G98" s="7" t="s">
        <v>195</v>
      </c>
      <c r="H98" s="7" t="s">
        <v>195</v>
      </c>
      <c r="I98" s="7" t="s">
        <v>195</v>
      </c>
      <c r="J98" s="7" t="s">
        <v>195</v>
      </c>
      <c r="K98" s="7" t="s">
        <v>195</v>
      </c>
      <c r="L98" s="7" t="s">
        <v>195</v>
      </c>
      <c r="M98" s="7" t="s">
        <v>29</v>
      </c>
      <c r="N98" s="7" t="s">
        <v>29</v>
      </c>
      <c r="O98" s="7" t="s">
        <v>29</v>
      </c>
      <c r="P98" s="7" t="s">
        <v>29</v>
      </c>
      <c r="Q98" s="7" t="s">
        <v>29</v>
      </c>
      <c r="R98" s="7" t="s">
        <v>29</v>
      </c>
      <c r="S98" s="7" t="s">
        <v>29</v>
      </c>
    </row>
    <row r="99" spans="2:19">
      <c r="B99" s="9" t="s">
        <v>195</v>
      </c>
      <c r="C99" s="7" t="s">
        <v>195</v>
      </c>
      <c r="D99" s="5" t="str">
        <f>LRTRIM(CONCATENATE(IF(SUMPRODUCT(-- ISNUMBER(SEARCH({"Auto Number"}, $B99))) &gt; 0, $B99, IF(SUMPRODUCT(-- ISNUMBER(SEARCH({"Lookup","Master-Detail"}, $B99))) &gt; 0,$B99 &amp; "(" &amp; $E99 &amp; ")",IF(SUMPRODUCT(-- ISNUMBER(SEARCH({"Formula","Roll-Up Summary"}, $B99))) &gt; 0,$B99 &amp; " (" &amp; $E99 &amp; ")",IF(SUMPRODUCT(-- ISNUMBER(SEARCH({"Content","Currency","Number","Percent","Text","URL"}, $B99))) &gt; 0,$B99 &amp; "(" &amp; $C99 &amp; ")",$B99)))), "  ", TRIM(IF($S99 = "YES", "(External ID)", "") &amp; " " &amp; IF(SUMPRODUCT(-- ISNUMBER(SEARCH({"Unique","Unique Case Insensitive"}, $R99))) &gt; 0, "(" &amp; $R99 &amp; ")", ""))))</f>
        <v>na</v>
      </c>
      <c r="E99" s="7" t="s">
        <v>195</v>
      </c>
      <c r="F99" s="7" t="s">
        <v>195</v>
      </c>
      <c r="G99" s="7" t="s">
        <v>195</v>
      </c>
      <c r="H99" s="7" t="s">
        <v>195</v>
      </c>
      <c r="I99" s="7" t="s">
        <v>195</v>
      </c>
      <c r="J99" s="7" t="s">
        <v>195</v>
      </c>
      <c r="K99" s="7" t="s">
        <v>195</v>
      </c>
      <c r="L99" s="7" t="s">
        <v>195</v>
      </c>
      <c r="M99" s="7" t="s">
        <v>29</v>
      </c>
      <c r="N99" s="7" t="s">
        <v>29</v>
      </c>
      <c r="O99" s="7" t="s">
        <v>29</v>
      </c>
      <c r="P99" s="7" t="s">
        <v>29</v>
      </c>
      <c r="Q99" s="7" t="s">
        <v>29</v>
      </c>
      <c r="R99" s="7" t="s">
        <v>29</v>
      </c>
      <c r="S99" s="7" t="s">
        <v>29</v>
      </c>
    </row>
    <row r="100" spans="2:19">
      <c r="B100" s="9" t="s">
        <v>195</v>
      </c>
      <c r="C100" s="7" t="s">
        <v>195</v>
      </c>
      <c r="D100" s="5" t="str">
        <f>LRTRIM(CONCATENATE(IF(SUMPRODUCT(-- ISNUMBER(SEARCH({"Auto Number"}, $B100))) &gt; 0, $B100, IF(SUMPRODUCT(-- ISNUMBER(SEARCH({"Lookup","Master-Detail"}, $B100))) &gt; 0,$B100 &amp; "(" &amp; $E100 &amp; ")",IF(SUMPRODUCT(-- ISNUMBER(SEARCH({"Formula","Roll-Up Summary"}, $B100))) &gt; 0,$B100 &amp; " (" &amp; $E100 &amp; ")",IF(SUMPRODUCT(-- ISNUMBER(SEARCH({"Content","Currency","Number","Percent","Text","URL"}, $B100))) &gt; 0,$B100 &amp; "(" &amp; $C100 &amp; ")",$B100)))), "  ", TRIM(IF($S100 = "YES", "(External ID)", "") &amp; " " &amp; IF(SUMPRODUCT(-- ISNUMBER(SEARCH({"Unique","Unique Case Insensitive"}, $R100))) &gt; 0, "(" &amp; $R100 &amp; ")", ""))))</f>
        <v>na</v>
      </c>
      <c r="E100" s="7" t="s">
        <v>195</v>
      </c>
      <c r="F100" s="7" t="s">
        <v>195</v>
      </c>
      <c r="G100" s="7" t="s">
        <v>195</v>
      </c>
      <c r="H100" s="7" t="s">
        <v>195</v>
      </c>
      <c r="I100" s="7" t="s">
        <v>195</v>
      </c>
      <c r="J100" s="7" t="s">
        <v>195</v>
      </c>
      <c r="K100" s="7" t="s">
        <v>195</v>
      </c>
      <c r="L100" s="7" t="s">
        <v>195</v>
      </c>
      <c r="M100" s="7" t="s">
        <v>29</v>
      </c>
      <c r="N100" s="7" t="s">
        <v>29</v>
      </c>
      <c r="O100" s="7" t="s">
        <v>29</v>
      </c>
      <c r="P100" s="7" t="s">
        <v>29</v>
      </c>
      <c r="Q100" s="7" t="s">
        <v>29</v>
      </c>
      <c r="R100" s="7" t="s">
        <v>29</v>
      </c>
      <c r="S100" s="7" t="s">
        <v>29</v>
      </c>
    </row>
    <row r="101" spans="2:19">
      <c r="B101" s="9" t="s">
        <v>195</v>
      </c>
      <c r="C101" s="7" t="s">
        <v>195</v>
      </c>
      <c r="D101" s="5" t="str">
        <f>LRTRIM(CONCATENATE(IF(SUMPRODUCT(-- ISNUMBER(SEARCH({"Auto Number"}, $B101))) &gt; 0, $B101, IF(SUMPRODUCT(-- ISNUMBER(SEARCH({"Lookup","Master-Detail"}, $B101))) &gt; 0,$B101 &amp; "(" &amp; $E101 &amp; ")",IF(SUMPRODUCT(-- ISNUMBER(SEARCH({"Formula","Roll-Up Summary"}, $B101))) &gt; 0,$B101 &amp; " (" &amp; $E101 &amp; ")",IF(SUMPRODUCT(-- ISNUMBER(SEARCH({"Content","Currency","Number","Percent","Text","URL"}, $B101))) &gt; 0,$B101 &amp; "(" &amp; $C101 &amp; ")",$B101)))), "  ", TRIM(IF($S101 = "YES", "(External ID)", "") &amp; " " &amp; IF(SUMPRODUCT(-- ISNUMBER(SEARCH({"Unique","Unique Case Insensitive"}, $R101))) &gt; 0, "(" &amp; $R101 &amp; ")", ""))))</f>
        <v>na</v>
      </c>
      <c r="E101" s="7" t="s">
        <v>195</v>
      </c>
      <c r="F101" s="7" t="s">
        <v>195</v>
      </c>
      <c r="G101" s="7" t="s">
        <v>195</v>
      </c>
      <c r="H101" s="7" t="s">
        <v>195</v>
      </c>
      <c r="I101" s="7" t="s">
        <v>195</v>
      </c>
      <c r="J101" s="7" t="s">
        <v>195</v>
      </c>
      <c r="K101" s="7" t="s">
        <v>195</v>
      </c>
      <c r="L101" s="7" t="s">
        <v>195</v>
      </c>
      <c r="M101" s="7" t="s">
        <v>29</v>
      </c>
      <c r="N101" s="7" t="s">
        <v>29</v>
      </c>
      <c r="O101" s="7" t="s">
        <v>29</v>
      </c>
      <c r="P101" s="7" t="s">
        <v>29</v>
      </c>
      <c r="Q101" s="7" t="s">
        <v>29</v>
      </c>
      <c r="R101" s="7" t="s">
        <v>29</v>
      </c>
      <c r="S101" s="7" t="s">
        <v>29</v>
      </c>
    </row>
    <row r="102" spans="2:19">
      <c r="B102" s="9" t="s">
        <v>195</v>
      </c>
      <c r="C102" s="7" t="s">
        <v>195</v>
      </c>
      <c r="D102" s="5" t="str">
        <f>LRTRIM(CONCATENATE(IF(SUMPRODUCT(-- ISNUMBER(SEARCH({"Auto Number"}, $B102))) &gt; 0, $B102, IF(SUMPRODUCT(-- ISNUMBER(SEARCH({"Lookup","Master-Detail"}, $B102))) &gt; 0,$B102 &amp; "(" &amp; $E102 &amp; ")",IF(SUMPRODUCT(-- ISNUMBER(SEARCH({"Formula","Roll-Up Summary"}, $B102))) &gt; 0,$B102 &amp; " (" &amp; $E102 &amp; ")",IF(SUMPRODUCT(-- ISNUMBER(SEARCH({"Content","Currency","Number","Percent","Text","URL"}, $B102))) &gt; 0,$B102 &amp; "(" &amp; $C102 &amp; ")",$B102)))), "  ", TRIM(IF($S102 = "YES", "(External ID)", "") &amp; " " &amp; IF(SUMPRODUCT(-- ISNUMBER(SEARCH({"Unique","Unique Case Insensitive"}, $R102))) &gt; 0, "(" &amp; $R102 &amp; ")", ""))))</f>
        <v>na</v>
      </c>
      <c r="E102" s="7" t="s">
        <v>195</v>
      </c>
      <c r="F102" s="7" t="s">
        <v>195</v>
      </c>
      <c r="G102" s="7" t="s">
        <v>195</v>
      </c>
      <c r="H102" s="7" t="s">
        <v>195</v>
      </c>
      <c r="I102" s="7" t="s">
        <v>195</v>
      </c>
      <c r="J102" s="7" t="s">
        <v>195</v>
      </c>
      <c r="K102" s="7" t="s">
        <v>195</v>
      </c>
      <c r="L102" s="7" t="s">
        <v>195</v>
      </c>
      <c r="M102" s="7" t="s">
        <v>29</v>
      </c>
      <c r="N102" s="7" t="s">
        <v>29</v>
      </c>
      <c r="O102" s="7" t="s">
        <v>29</v>
      </c>
      <c r="P102" s="7" t="s">
        <v>29</v>
      </c>
      <c r="Q102" s="7" t="s">
        <v>29</v>
      </c>
      <c r="R102" s="7" t="s">
        <v>29</v>
      </c>
      <c r="S102" s="7" t="s">
        <v>29</v>
      </c>
    </row>
    <row r="103" spans="2:19">
      <c r="B103" s="9" t="s">
        <v>195</v>
      </c>
      <c r="C103" s="7" t="s">
        <v>195</v>
      </c>
      <c r="D103" s="5" t="str">
        <f>LRTRIM(CONCATENATE(IF(SUMPRODUCT(-- ISNUMBER(SEARCH({"Auto Number"}, $B103))) &gt; 0, $B103, IF(SUMPRODUCT(-- ISNUMBER(SEARCH({"Lookup","Master-Detail"}, $B103))) &gt; 0,$B103 &amp; "(" &amp; $E103 &amp; ")",IF(SUMPRODUCT(-- ISNUMBER(SEARCH({"Formula","Roll-Up Summary"}, $B103))) &gt; 0,$B103 &amp; " (" &amp; $E103 &amp; ")",IF(SUMPRODUCT(-- ISNUMBER(SEARCH({"Content","Currency","Number","Percent","Text","URL"}, $B103))) &gt; 0,$B103 &amp; "(" &amp; $C103 &amp; ")",$B103)))), "  ", TRIM(IF($S103 = "YES", "(External ID)", "") &amp; " " &amp; IF(SUMPRODUCT(-- ISNUMBER(SEARCH({"Unique","Unique Case Insensitive"}, $R103))) &gt; 0, "(" &amp; $R103 &amp; ")", ""))))</f>
        <v>na</v>
      </c>
      <c r="E103" s="7" t="s">
        <v>195</v>
      </c>
      <c r="F103" s="7" t="s">
        <v>195</v>
      </c>
      <c r="G103" s="7" t="s">
        <v>195</v>
      </c>
      <c r="H103" s="7" t="s">
        <v>195</v>
      </c>
      <c r="I103" s="7" t="s">
        <v>195</v>
      </c>
      <c r="J103" s="7" t="s">
        <v>195</v>
      </c>
      <c r="K103" s="7" t="s">
        <v>195</v>
      </c>
      <c r="L103" s="7" t="s">
        <v>195</v>
      </c>
      <c r="M103" s="7" t="s">
        <v>29</v>
      </c>
      <c r="N103" s="7" t="s">
        <v>29</v>
      </c>
      <c r="O103" s="7" t="s">
        <v>29</v>
      </c>
      <c r="P103" s="7" t="s">
        <v>29</v>
      </c>
      <c r="Q103" s="7" t="s">
        <v>29</v>
      </c>
      <c r="R103" s="7" t="s">
        <v>29</v>
      </c>
      <c r="S103" s="7" t="s">
        <v>29</v>
      </c>
    </row>
    <row r="104" spans="2:19">
      <c r="B104" s="9" t="s">
        <v>195</v>
      </c>
      <c r="C104" s="7" t="s">
        <v>195</v>
      </c>
      <c r="D104" s="5" t="str">
        <f>LRTRIM(CONCATENATE(IF(SUMPRODUCT(-- ISNUMBER(SEARCH({"Auto Number"}, $B104))) &gt; 0, $B104, IF(SUMPRODUCT(-- ISNUMBER(SEARCH({"Lookup","Master-Detail"}, $B104))) &gt; 0,$B104 &amp; "(" &amp; $E104 &amp; ")",IF(SUMPRODUCT(-- ISNUMBER(SEARCH({"Formula","Roll-Up Summary"}, $B104))) &gt; 0,$B104 &amp; " (" &amp; $E104 &amp; ")",IF(SUMPRODUCT(-- ISNUMBER(SEARCH({"Content","Currency","Number","Percent","Text","URL"}, $B104))) &gt; 0,$B104 &amp; "(" &amp; $C104 &amp; ")",$B104)))), "  ", TRIM(IF($S104 = "YES", "(External ID)", "") &amp; " " &amp; IF(SUMPRODUCT(-- ISNUMBER(SEARCH({"Unique","Unique Case Insensitive"}, $R104))) &gt; 0, "(" &amp; $R104 &amp; ")", ""))))</f>
        <v>na</v>
      </c>
      <c r="E104" s="7" t="s">
        <v>195</v>
      </c>
      <c r="F104" s="7" t="s">
        <v>195</v>
      </c>
      <c r="G104" s="7" t="s">
        <v>195</v>
      </c>
      <c r="H104" s="7" t="s">
        <v>195</v>
      </c>
      <c r="I104" s="7" t="s">
        <v>195</v>
      </c>
      <c r="J104" s="7" t="s">
        <v>195</v>
      </c>
      <c r="K104" s="7" t="s">
        <v>195</v>
      </c>
      <c r="L104" s="7" t="s">
        <v>195</v>
      </c>
      <c r="M104" s="7" t="s">
        <v>29</v>
      </c>
      <c r="N104" s="7" t="s">
        <v>29</v>
      </c>
      <c r="O104" s="7" t="s">
        <v>29</v>
      </c>
      <c r="P104" s="7" t="s">
        <v>29</v>
      </c>
      <c r="Q104" s="7" t="s">
        <v>29</v>
      </c>
      <c r="R104" s="7" t="s">
        <v>29</v>
      </c>
      <c r="S104" s="7" t="s">
        <v>29</v>
      </c>
    </row>
    <row r="105" spans="2:19">
      <c r="B105" s="9" t="s">
        <v>195</v>
      </c>
      <c r="C105" s="7" t="s">
        <v>195</v>
      </c>
      <c r="D105" s="5" t="str">
        <f>LRTRIM(CONCATENATE(IF(SUMPRODUCT(-- ISNUMBER(SEARCH({"Auto Number"}, $B105))) &gt; 0, $B105, IF(SUMPRODUCT(-- ISNUMBER(SEARCH({"Lookup","Master-Detail"}, $B105))) &gt; 0,$B105 &amp; "(" &amp; $E105 &amp; ")",IF(SUMPRODUCT(-- ISNUMBER(SEARCH({"Formula","Roll-Up Summary"}, $B105))) &gt; 0,$B105 &amp; " (" &amp; $E105 &amp; ")",IF(SUMPRODUCT(-- ISNUMBER(SEARCH({"Content","Currency","Number","Percent","Text","URL"}, $B105))) &gt; 0,$B105 &amp; "(" &amp; $C105 &amp; ")",$B105)))), "  ", TRIM(IF($S105 = "YES", "(External ID)", "") &amp; " " &amp; IF(SUMPRODUCT(-- ISNUMBER(SEARCH({"Unique","Unique Case Insensitive"}, $R105))) &gt; 0, "(" &amp; $R105 &amp; ")", ""))))</f>
        <v>na</v>
      </c>
      <c r="E105" s="7" t="s">
        <v>195</v>
      </c>
      <c r="F105" s="7" t="s">
        <v>195</v>
      </c>
      <c r="G105" s="7" t="s">
        <v>195</v>
      </c>
      <c r="H105" s="7" t="s">
        <v>195</v>
      </c>
      <c r="I105" s="7" t="s">
        <v>195</v>
      </c>
      <c r="J105" s="7" t="s">
        <v>195</v>
      </c>
      <c r="K105" s="7" t="s">
        <v>195</v>
      </c>
      <c r="L105" s="7" t="s">
        <v>195</v>
      </c>
      <c r="M105" s="7" t="s">
        <v>29</v>
      </c>
      <c r="N105" s="7" t="s">
        <v>29</v>
      </c>
      <c r="O105" s="7" t="s">
        <v>29</v>
      </c>
      <c r="P105" s="7" t="s">
        <v>29</v>
      </c>
      <c r="Q105" s="7" t="s">
        <v>29</v>
      </c>
      <c r="R105" s="7" t="s">
        <v>29</v>
      </c>
      <c r="S105" s="7" t="s">
        <v>29</v>
      </c>
    </row>
    <row r="106" spans="2:19">
      <c r="B106" s="9" t="s">
        <v>195</v>
      </c>
      <c r="C106" s="7" t="s">
        <v>195</v>
      </c>
      <c r="D106" s="5" t="str">
        <f>LRTRIM(CONCATENATE(IF(SUMPRODUCT(-- ISNUMBER(SEARCH({"Auto Number"}, $B106))) &gt; 0, $B106, IF(SUMPRODUCT(-- ISNUMBER(SEARCH({"Lookup","Master-Detail"}, $B106))) &gt; 0,$B106 &amp; "(" &amp; $E106 &amp; ")",IF(SUMPRODUCT(-- ISNUMBER(SEARCH({"Formula","Roll-Up Summary"}, $B106))) &gt; 0,$B106 &amp; " (" &amp; $E106 &amp; ")",IF(SUMPRODUCT(-- ISNUMBER(SEARCH({"Content","Currency","Number","Percent","Text","URL"}, $B106))) &gt; 0,$B106 &amp; "(" &amp; $C106 &amp; ")",$B106)))), "  ", TRIM(IF($S106 = "YES", "(External ID)", "") &amp; " " &amp; IF(SUMPRODUCT(-- ISNUMBER(SEARCH({"Unique","Unique Case Insensitive"}, $R106))) &gt; 0, "(" &amp; $R106 &amp; ")", ""))))</f>
        <v>na</v>
      </c>
      <c r="E106" s="7" t="s">
        <v>195</v>
      </c>
      <c r="F106" s="7" t="s">
        <v>195</v>
      </c>
      <c r="G106" s="7" t="s">
        <v>195</v>
      </c>
      <c r="H106" s="7" t="s">
        <v>195</v>
      </c>
      <c r="I106" s="7" t="s">
        <v>195</v>
      </c>
      <c r="J106" s="7" t="s">
        <v>195</v>
      </c>
      <c r="K106" s="7" t="s">
        <v>195</v>
      </c>
      <c r="L106" s="7" t="s">
        <v>195</v>
      </c>
      <c r="M106" s="7" t="s">
        <v>29</v>
      </c>
      <c r="N106" s="7" t="s">
        <v>29</v>
      </c>
      <c r="O106" s="7" t="s">
        <v>29</v>
      </c>
      <c r="P106" s="7" t="s">
        <v>29</v>
      </c>
      <c r="Q106" s="7" t="s">
        <v>29</v>
      </c>
      <c r="R106" s="7" t="s">
        <v>29</v>
      </c>
      <c r="S106" s="7" t="s">
        <v>29</v>
      </c>
    </row>
    <row r="107" spans="2:19">
      <c r="B107" s="9" t="s">
        <v>195</v>
      </c>
      <c r="C107" s="7" t="s">
        <v>195</v>
      </c>
      <c r="D107" s="5" t="str">
        <f>LRTRIM(CONCATENATE(IF(SUMPRODUCT(-- ISNUMBER(SEARCH({"Auto Number"}, $B107))) &gt; 0, $B107, IF(SUMPRODUCT(-- ISNUMBER(SEARCH({"Lookup","Master-Detail"}, $B107))) &gt; 0,$B107 &amp; "(" &amp; $E107 &amp; ")",IF(SUMPRODUCT(-- ISNUMBER(SEARCH({"Formula","Roll-Up Summary"}, $B107))) &gt; 0,$B107 &amp; " (" &amp; $E107 &amp; ")",IF(SUMPRODUCT(-- ISNUMBER(SEARCH({"Content","Currency","Number","Percent","Text","URL"}, $B107))) &gt; 0,$B107 &amp; "(" &amp; $C107 &amp; ")",$B107)))), "  ", TRIM(IF($S107 = "YES", "(External ID)", "") &amp; " " &amp; IF(SUMPRODUCT(-- ISNUMBER(SEARCH({"Unique","Unique Case Insensitive"}, $R107))) &gt; 0, "(" &amp; $R107 &amp; ")", ""))))</f>
        <v>na</v>
      </c>
      <c r="E107" s="7" t="s">
        <v>195</v>
      </c>
      <c r="F107" s="7" t="s">
        <v>195</v>
      </c>
      <c r="G107" s="7" t="s">
        <v>195</v>
      </c>
      <c r="H107" s="7" t="s">
        <v>195</v>
      </c>
      <c r="I107" s="7" t="s">
        <v>195</v>
      </c>
      <c r="J107" s="7" t="s">
        <v>195</v>
      </c>
      <c r="K107" s="7" t="s">
        <v>195</v>
      </c>
      <c r="L107" s="7" t="s">
        <v>195</v>
      </c>
      <c r="M107" s="7" t="s">
        <v>29</v>
      </c>
      <c r="N107" s="7" t="s">
        <v>29</v>
      </c>
      <c r="O107" s="7" t="s">
        <v>29</v>
      </c>
      <c r="P107" s="7" t="s">
        <v>29</v>
      </c>
      <c r="Q107" s="7" t="s">
        <v>29</v>
      </c>
      <c r="R107" s="7" t="s">
        <v>29</v>
      </c>
      <c r="S107" s="7" t="s">
        <v>29</v>
      </c>
    </row>
    <row r="108" spans="2:19">
      <c r="B108" s="9" t="s">
        <v>195</v>
      </c>
      <c r="C108" s="7" t="s">
        <v>195</v>
      </c>
      <c r="D108" s="5" t="str">
        <f>LRTRIM(CONCATENATE(IF(SUMPRODUCT(-- ISNUMBER(SEARCH({"Auto Number"}, $B108))) &gt; 0, $B108, IF(SUMPRODUCT(-- ISNUMBER(SEARCH({"Lookup","Master-Detail"}, $B108))) &gt; 0,$B108 &amp; "(" &amp; $E108 &amp; ")",IF(SUMPRODUCT(-- ISNUMBER(SEARCH({"Formula","Roll-Up Summary"}, $B108))) &gt; 0,$B108 &amp; " (" &amp; $E108 &amp; ")",IF(SUMPRODUCT(-- ISNUMBER(SEARCH({"Content","Currency","Number","Percent","Text","URL"}, $B108))) &gt; 0,$B108 &amp; "(" &amp; $C108 &amp; ")",$B108)))), "  ", TRIM(IF($S108 = "YES", "(External ID)", "") &amp; " " &amp; IF(SUMPRODUCT(-- ISNUMBER(SEARCH({"Unique","Unique Case Insensitive"}, $R108))) &gt; 0, "(" &amp; $R108 &amp; ")", ""))))</f>
        <v>na</v>
      </c>
      <c r="E108" s="7" t="s">
        <v>195</v>
      </c>
      <c r="F108" s="7" t="s">
        <v>195</v>
      </c>
      <c r="G108" s="7" t="s">
        <v>195</v>
      </c>
      <c r="H108" s="7" t="s">
        <v>195</v>
      </c>
      <c r="I108" s="7" t="s">
        <v>195</v>
      </c>
      <c r="J108" s="7" t="s">
        <v>195</v>
      </c>
      <c r="K108" s="7" t="s">
        <v>195</v>
      </c>
      <c r="L108" s="7" t="s">
        <v>195</v>
      </c>
      <c r="M108" s="7" t="s">
        <v>29</v>
      </c>
      <c r="N108" s="7" t="s">
        <v>29</v>
      </c>
      <c r="O108" s="7" t="s">
        <v>29</v>
      </c>
      <c r="P108" s="7" t="s">
        <v>29</v>
      </c>
      <c r="Q108" s="7" t="s">
        <v>29</v>
      </c>
      <c r="R108" s="7" t="s">
        <v>29</v>
      </c>
      <c r="S108" s="7" t="s">
        <v>29</v>
      </c>
    </row>
    <row r="109" spans="2:19">
      <c r="B109" s="9" t="s">
        <v>195</v>
      </c>
      <c r="C109" s="7" t="s">
        <v>195</v>
      </c>
      <c r="D109" s="5" t="str">
        <f>LRTRIM(CONCATENATE(IF(SUMPRODUCT(-- ISNUMBER(SEARCH({"Auto Number"}, $B109))) &gt; 0, $B109, IF(SUMPRODUCT(-- ISNUMBER(SEARCH({"Lookup","Master-Detail"}, $B109))) &gt; 0,$B109 &amp; "(" &amp; $E109 &amp; ")",IF(SUMPRODUCT(-- ISNUMBER(SEARCH({"Formula","Roll-Up Summary"}, $B109))) &gt; 0,$B109 &amp; " (" &amp; $E109 &amp; ")",IF(SUMPRODUCT(-- ISNUMBER(SEARCH({"Content","Currency","Number","Percent","Text","URL"}, $B109))) &gt; 0,$B109 &amp; "(" &amp; $C109 &amp; ")",$B109)))), "  ", TRIM(IF($S109 = "YES", "(External ID)", "") &amp; " " &amp; IF(SUMPRODUCT(-- ISNUMBER(SEARCH({"Unique","Unique Case Insensitive"}, $R109))) &gt; 0, "(" &amp; $R109 &amp; ")", ""))))</f>
        <v>na</v>
      </c>
      <c r="E109" s="7" t="s">
        <v>195</v>
      </c>
      <c r="F109" s="7" t="s">
        <v>195</v>
      </c>
      <c r="G109" s="7" t="s">
        <v>195</v>
      </c>
      <c r="H109" s="7" t="s">
        <v>195</v>
      </c>
      <c r="I109" s="7" t="s">
        <v>195</v>
      </c>
      <c r="J109" s="7" t="s">
        <v>195</v>
      </c>
      <c r="K109" s="7" t="s">
        <v>195</v>
      </c>
      <c r="L109" s="7" t="s">
        <v>195</v>
      </c>
      <c r="M109" s="7" t="s">
        <v>29</v>
      </c>
      <c r="N109" s="7" t="s">
        <v>29</v>
      </c>
      <c r="O109" s="7" t="s">
        <v>29</v>
      </c>
      <c r="P109" s="7" t="s">
        <v>29</v>
      </c>
      <c r="Q109" s="7" t="s">
        <v>29</v>
      </c>
      <c r="R109" s="7" t="s">
        <v>29</v>
      </c>
      <c r="S109" s="7" t="s">
        <v>29</v>
      </c>
    </row>
    <row r="110" spans="2:19">
      <c r="B110" s="9" t="s">
        <v>195</v>
      </c>
      <c r="C110" s="7" t="s">
        <v>195</v>
      </c>
      <c r="D110" s="5" t="str">
        <f>LRTRIM(CONCATENATE(IF(SUMPRODUCT(-- ISNUMBER(SEARCH({"Auto Number"}, $B110))) &gt; 0, $B110, IF(SUMPRODUCT(-- ISNUMBER(SEARCH({"Lookup","Master-Detail"}, $B110))) &gt; 0,$B110 &amp; "(" &amp; $E110 &amp; ")",IF(SUMPRODUCT(-- ISNUMBER(SEARCH({"Formula","Roll-Up Summary"}, $B110))) &gt; 0,$B110 &amp; " (" &amp; $E110 &amp; ")",IF(SUMPRODUCT(-- ISNUMBER(SEARCH({"Content","Currency","Number","Percent","Text","URL"}, $B110))) &gt; 0,$B110 &amp; "(" &amp; $C110 &amp; ")",$B110)))), "  ", TRIM(IF($S110 = "YES", "(External ID)", "") &amp; " " &amp; IF(SUMPRODUCT(-- ISNUMBER(SEARCH({"Unique","Unique Case Insensitive"}, $R110))) &gt; 0, "(" &amp; $R110 &amp; ")", ""))))</f>
        <v>na</v>
      </c>
      <c r="E110" s="7" t="s">
        <v>195</v>
      </c>
      <c r="F110" s="7" t="s">
        <v>195</v>
      </c>
      <c r="G110" s="7" t="s">
        <v>195</v>
      </c>
      <c r="H110" s="7" t="s">
        <v>195</v>
      </c>
      <c r="I110" s="7" t="s">
        <v>195</v>
      </c>
      <c r="J110" s="7" t="s">
        <v>195</v>
      </c>
      <c r="K110" s="7" t="s">
        <v>195</v>
      </c>
      <c r="L110" s="7" t="s">
        <v>195</v>
      </c>
      <c r="M110" s="7" t="s">
        <v>29</v>
      </c>
      <c r="N110" s="7" t="s">
        <v>29</v>
      </c>
      <c r="O110" s="7" t="s">
        <v>29</v>
      </c>
      <c r="P110" s="7" t="s">
        <v>29</v>
      </c>
      <c r="Q110" s="7" t="s">
        <v>29</v>
      </c>
      <c r="R110" s="7" t="s">
        <v>29</v>
      </c>
      <c r="S110" s="7" t="s">
        <v>29</v>
      </c>
    </row>
    <row r="111" spans="2:19">
      <c r="B111" s="9" t="s">
        <v>195</v>
      </c>
      <c r="C111" s="7" t="s">
        <v>195</v>
      </c>
      <c r="D111" s="5" t="str">
        <f>LRTRIM(CONCATENATE(IF(SUMPRODUCT(-- ISNUMBER(SEARCH({"Auto Number"}, $B111))) &gt; 0, $B111, IF(SUMPRODUCT(-- ISNUMBER(SEARCH({"Lookup","Master-Detail"}, $B111))) &gt; 0,$B111 &amp; "(" &amp; $E111 &amp; ")",IF(SUMPRODUCT(-- ISNUMBER(SEARCH({"Formula","Roll-Up Summary"}, $B111))) &gt; 0,$B111 &amp; " (" &amp; $E111 &amp; ")",IF(SUMPRODUCT(-- ISNUMBER(SEARCH({"Content","Currency","Number","Percent","Text","URL"}, $B111))) &gt; 0,$B111 &amp; "(" &amp; $C111 &amp; ")",$B111)))), "  ", TRIM(IF($S111 = "YES", "(External ID)", "") &amp; " " &amp; IF(SUMPRODUCT(-- ISNUMBER(SEARCH({"Unique","Unique Case Insensitive"}, $R111))) &gt; 0, "(" &amp; $R111 &amp; ")", ""))))</f>
        <v>na</v>
      </c>
      <c r="E111" s="7" t="s">
        <v>195</v>
      </c>
      <c r="F111" s="7" t="s">
        <v>195</v>
      </c>
      <c r="G111" s="7" t="s">
        <v>195</v>
      </c>
      <c r="H111" s="7" t="s">
        <v>195</v>
      </c>
      <c r="I111" s="7" t="s">
        <v>195</v>
      </c>
      <c r="J111" s="7" t="s">
        <v>195</v>
      </c>
      <c r="K111" s="7" t="s">
        <v>195</v>
      </c>
      <c r="L111" s="7" t="s">
        <v>195</v>
      </c>
      <c r="M111" s="7" t="s">
        <v>29</v>
      </c>
      <c r="N111" s="7" t="s">
        <v>29</v>
      </c>
      <c r="O111" s="7" t="s">
        <v>29</v>
      </c>
      <c r="P111" s="7" t="s">
        <v>29</v>
      </c>
      <c r="Q111" s="7" t="s">
        <v>29</v>
      </c>
      <c r="R111" s="7" t="s">
        <v>29</v>
      </c>
      <c r="S111" s="7" t="s">
        <v>29</v>
      </c>
    </row>
    <row r="112" spans="2:19">
      <c r="B112" s="9" t="s">
        <v>195</v>
      </c>
      <c r="C112" s="7" t="s">
        <v>195</v>
      </c>
      <c r="D112" s="5" t="str">
        <f>LRTRIM(CONCATENATE(IF(SUMPRODUCT(-- ISNUMBER(SEARCH({"Auto Number"}, $B112))) &gt; 0, $B112, IF(SUMPRODUCT(-- ISNUMBER(SEARCH({"Lookup","Master-Detail"}, $B112))) &gt; 0,$B112 &amp; "(" &amp; $E112 &amp; ")",IF(SUMPRODUCT(-- ISNUMBER(SEARCH({"Formula","Roll-Up Summary"}, $B112))) &gt; 0,$B112 &amp; " (" &amp; $E112 &amp; ")",IF(SUMPRODUCT(-- ISNUMBER(SEARCH({"Content","Currency","Number","Percent","Text","URL"}, $B112))) &gt; 0,$B112 &amp; "(" &amp; $C112 &amp; ")",$B112)))), "  ", TRIM(IF($S112 = "YES", "(External ID)", "") &amp; " " &amp; IF(SUMPRODUCT(-- ISNUMBER(SEARCH({"Unique","Unique Case Insensitive"}, $R112))) &gt; 0, "(" &amp; $R112 &amp; ")", ""))))</f>
        <v>na</v>
      </c>
      <c r="E112" s="7" t="s">
        <v>195</v>
      </c>
      <c r="F112" s="7" t="s">
        <v>195</v>
      </c>
      <c r="G112" s="7" t="s">
        <v>195</v>
      </c>
      <c r="H112" s="7" t="s">
        <v>195</v>
      </c>
      <c r="I112" s="7" t="s">
        <v>195</v>
      </c>
      <c r="J112" s="7" t="s">
        <v>195</v>
      </c>
      <c r="K112" s="7" t="s">
        <v>195</v>
      </c>
      <c r="L112" s="7" t="s">
        <v>195</v>
      </c>
      <c r="M112" s="7" t="s">
        <v>29</v>
      </c>
      <c r="N112" s="7" t="s">
        <v>29</v>
      </c>
      <c r="O112" s="7" t="s">
        <v>29</v>
      </c>
      <c r="P112" s="7" t="s">
        <v>29</v>
      </c>
      <c r="Q112" s="7" t="s">
        <v>29</v>
      </c>
      <c r="R112" s="7" t="s">
        <v>29</v>
      </c>
      <c r="S112" s="7" t="s">
        <v>29</v>
      </c>
    </row>
    <row r="113" spans="2:19">
      <c r="B113" s="9" t="s">
        <v>195</v>
      </c>
      <c r="C113" s="7" t="s">
        <v>195</v>
      </c>
      <c r="D113" s="5" t="str">
        <f>LRTRIM(CONCATENATE(IF(SUMPRODUCT(-- ISNUMBER(SEARCH({"Auto Number"}, $B113))) &gt; 0, $B113, IF(SUMPRODUCT(-- ISNUMBER(SEARCH({"Lookup","Master-Detail"}, $B113))) &gt; 0,$B113 &amp; "(" &amp; $E113 &amp; ")",IF(SUMPRODUCT(-- ISNUMBER(SEARCH({"Formula","Roll-Up Summary"}, $B113))) &gt; 0,$B113 &amp; " (" &amp; $E113 &amp; ")",IF(SUMPRODUCT(-- ISNUMBER(SEARCH({"Content","Currency","Number","Percent","Text","URL"}, $B113))) &gt; 0,$B113 &amp; "(" &amp; $C113 &amp; ")",$B113)))), "  ", TRIM(IF($S113 = "YES", "(External ID)", "") &amp; " " &amp; IF(SUMPRODUCT(-- ISNUMBER(SEARCH({"Unique","Unique Case Insensitive"}, $R113))) &gt; 0, "(" &amp; $R113 &amp; ")", ""))))</f>
        <v>na</v>
      </c>
      <c r="E113" s="7" t="s">
        <v>195</v>
      </c>
      <c r="F113" s="7" t="s">
        <v>195</v>
      </c>
      <c r="G113" s="7" t="s">
        <v>195</v>
      </c>
      <c r="H113" s="7" t="s">
        <v>195</v>
      </c>
      <c r="I113" s="7" t="s">
        <v>195</v>
      </c>
      <c r="J113" s="7" t="s">
        <v>195</v>
      </c>
      <c r="K113" s="7" t="s">
        <v>195</v>
      </c>
      <c r="L113" s="7" t="s">
        <v>195</v>
      </c>
      <c r="M113" s="7" t="s">
        <v>29</v>
      </c>
      <c r="N113" s="7" t="s">
        <v>29</v>
      </c>
      <c r="O113" s="7" t="s">
        <v>29</v>
      </c>
      <c r="P113" s="7" t="s">
        <v>29</v>
      </c>
      <c r="Q113" s="7" t="s">
        <v>29</v>
      </c>
      <c r="R113" s="7" t="s">
        <v>29</v>
      </c>
      <c r="S113" s="7" t="s">
        <v>29</v>
      </c>
    </row>
    <row r="114" spans="2:19">
      <c r="B114" s="9" t="s">
        <v>195</v>
      </c>
      <c r="C114" s="7" t="s">
        <v>195</v>
      </c>
      <c r="D114" s="5" t="str">
        <f>LRTRIM(CONCATENATE(IF(SUMPRODUCT(-- ISNUMBER(SEARCH({"Auto Number"}, $B114))) &gt; 0, $B114, IF(SUMPRODUCT(-- ISNUMBER(SEARCH({"Lookup","Master-Detail"}, $B114))) &gt; 0,$B114 &amp; "(" &amp; $E114 &amp; ")",IF(SUMPRODUCT(-- ISNUMBER(SEARCH({"Formula","Roll-Up Summary"}, $B114))) &gt; 0,$B114 &amp; " (" &amp; $E114 &amp; ")",IF(SUMPRODUCT(-- ISNUMBER(SEARCH({"Content","Currency","Number","Percent","Text","URL"}, $B114))) &gt; 0,$B114 &amp; "(" &amp; $C114 &amp; ")",$B114)))), "  ", TRIM(IF($S114 = "YES", "(External ID)", "") &amp; " " &amp; IF(SUMPRODUCT(-- ISNUMBER(SEARCH({"Unique","Unique Case Insensitive"}, $R114))) &gt; 0, "(" &amp; $R114 &amp; ")", ""))))</f>
        <v>na</v>
      </c>
      <c r="E114" s="7" t="s">
        <v>195</v>
      </c>
      <c r="F114" s="7" t="s">
        <v>195</v>
      </c>
      <c r="G114" s="7" t="s">
        <v>195</v>
      </c>
      <c r="H114" s="7" t="s">
        <v>195</v>
      </c>
      <c r="I114" s="7" t="s">
        <v>195</v>
      </c>
      <c r="J114" s="7" t="s">
        <v>195</v>
      </c>
      <c r="K114" s="7" t="s">
        <v>195</v>
      </c>
      <c r="L114" s="7" t="s">
        <v>195</v>
      </c>
      <c r="M114" s="7" t="s">
        <v>29</v>
      </c>
      <c r="N114" s="7" t="s">
        <v>29</v>
      </c>
      <c r="O114" s="7" t="s">
        <v>29</v>
      </c>
      <c r="P114" s="7" t="s">
        <v>29</v>
      </c>
      <c r="Q114" s="7" t="s">
        <v>29</v>
      </c>
      <c r="R114" s="7" t="s">
        <v>29</v>
      </c>
      <c r="S114" s="7" t="s">
        <v>29</v>
      </c>
    </row>
    <row r="115" spans="2:19">
      <c r="B115" s="9" t="s">
        <v>195</v>
      </c>
      <c r="C115" s="7" t="s">
        <v>195</v>
      </c>
      <c r="D115" s="5" t="str">
        <f>LRTRIM(CONCATENATE(IF(SUMPRODUCT(-- ISNUMBER(SEARCH({"Auto Number"}, $B115))) &gt; 0, $B115, IF(SUMPRODUCT(-- ISNUMBER(SEARCH({"Lookup","Master-Detail"}, $B115))) &gt; 0,$B115 &amp; "(" &amp; $E115 &amp; ")",IF(SUMPRODUCT(-- ISNUMBER(SEARCH({"Formula","Roll-Up Summary"}, $B115))) &gt; 0,$B115 &amp; " (" &amp; $E115 &amp; ")",IF(SUMPRODUCT(-- ISNUMBER(SEARCH({"Content","Currency","Number","Percent","Text","URL"}, $B115))) &gt; 0,$B115 &amp; "(" &amp; $C115 &amp; ")",$B115)))), "  ", TRIM(IF($S115 = "YES", "(External ID)", "") &amp; " " &amp; IF(SUMPRODUCT(-- ISNUMBER(SEARCH({"Unique","Unique Case Insensitive"}, $R115))) &gt; 0, "(" &amp; $R115 &amp; ")", ""))))</f>
        <v>na</v>
      </c>
      <c r="E115" s="7" t="s">
        <v>195</v>
      </c>
      <c r="F115" s="7" t="s">
        <v>195</v>
      </c>
      <c r="G115" s="7" t="s">
        <v>195</v>
      </c>
      <c r="H115" s="7" t="s">
        <v>195</v>
      </c>
      <c r="I115" s="7" t="s">
        <v>195</v>
      </c>
      <c r="J115" s="7" t="s">
        <v>195</v>
      </c>
      <c r="K115" s="7" t="s">
        <v>195</v>
      </c>
      <c r="L115" s="7" t="s">
        <v>195</v>
      </c>
      <c r="M115" s="7" t="s">
        <v>29</v>
      </c>
      <c r="N115" s="7" t="s">
        <v>29</v>
      </c>
      <c r="O115" s="7" t="s">
        <v>29</v>
      </c>
      <c r="P115" s="7" t="s">
        <v>29</v>
      </c>
      <c r="Q115" s="7" t="s">
        <v>29</v>
      </c>
      <c r="R115" s="7" t="s">
        <v>29</v>
      </c>
      <c r="S115" s="7" t="s">
        <v>29</v>
      </c>
    </row>
    <row r="116" spans="2:19">
      <c r="B116" s="9" t="s">
        <v>195</v>
      </c>
      <c r="C116" s="7" t="s">
        <v>195</v>
      </c>
      <c r="D116" s="5" t="str">
        <f>LRTRIM(CONCATENATE(IF(SUMPRODUCT(-- ISNUMBER(SEARCH({"Auto Number"}, $B116))) &gt; 0, $B116, IF(SUMPRODUCT(-- ISNUMBER(SEARCH({"Lookup","Master-Detail"}, $B116))) &gt; 0,$B116 &amp; "(" &amp; $E116 &amp; ")",IF(SUMPRODUCT(-- ISNUMBER(SEARCH({"Formula","Roll-Up Summary"}, $B116))) &gt; 0,$B116 &amp; " (" &amp; $E116 &amp; ")",IF(SUMPRODUCT(-- ISNUMBER(SEARCH({"Content","Currency","Number","Percent","Text","URL"}, $B116))) &gt; 0,$B116 &amp; "(" &amp; $C116 &amp; ")",$B116)))), "  ", TRIM(IF($S116 = "YES", "(External ID)", "") &amp; " " &amp; IF(SUMPRODUCT(-- ISNUMBER(SEARCH({"Unique","Unique Case Insensitive"}, $R116))) &gt; 0, "(" &amp; $R116 &amp; ")", ""))))</f>
        <v>na</v>
      </c>
      <c r="E116" s="7" t="s">
        <v>195</v>
      </c>
      <c r="F116" s="7" t="s">
        <v>195</v>
      </c>
      <c r="G116" s="7" t="s">
        <v>195</v>
      </c>
      <c r="H116" s="7" t="s">
        <v>195</v>
      </c>
      <c r="I116" s="7" t="s">
        <v>195</v>
      </c>
      <c r="J116" s="7" t="s">
        <v>195</v>
      </c>
      <c r="K116" s="7" t="s">
        <v>195</v>
      </c>
      <c r="L116" s="7" t="s">
        <v>195</v>
      </c>
      <c r="M116" s="7" t="s">
        <v>29</v>
      </c>
      <c r="N116" s="7" t="s">
        <v>29</v>
      </c>
      <c r="O116" s="7" t="s">
        <v>29</v>
      </c>
      <c r="P116" s="7" t="s">
        <v>29</v>
      </c>
      <c r="Q116" s="7" t="s">
        <v>29</v>
      </c>
      <c r="R116" s="7" t="s">
        <v>29</v>
      </c>
      <c r="S116" s="7" t="s">
        <v>29</v>
      </c>
    </row>
    <row r="117" spans="2:19">
      <c r="B117" s="9" t="s">
        <v>195</v>
      </c>
      <c r="C117" s="7" t="s">
        <v>195</v>
      </c>
      <c r="D117" s="5" t="str">
        <f>LRTRIM(CONCATENATE(IF(SUMPRODUCT(-- ISNUMBER(SEARCH({"Auto Number"}, $B117))) &gt; 0, $B117, IF(SUMPRODUCT(-- ISNUMBER(SEARCH({"Lookup","Master-Detail"}, $B117))) &gt; 0,$B117 &amp; "(" &amp; $E117 &amp; ")",IF(SUMPRODUCT(-- ISNUMBER(SEARCH({"Formula","Roll-Up Summary"}, $B117))) &gt; 0,$B117 &amp; " (" &amp; $E117 &amp; ")",IF(SUMPRODUCT(-- ISNUMBER(SEARCH({"Content","Currency","Number","Percent","Text","URL"}, $B117))) &gt; 0,$B117 &amp; "(" &amp; $C117 &amp; ")",$B117)))), "  ", TRIM(IF($S117 = "YES", "(External ID)", "") &amp; " " &amp; IF(SUMPRODUCT(-- ISNUMBER(SEARCH({"Unique","Unique Case Insensitive"}, $R117))) &gt; 0, "(" &amp; $R117 &amp; ")", ""))))</f>
        <v>na</v>
      </c>
      <c r="E117" s="7" t="s">
        <v>195</v>
      </c>
      <c r="F117" s="7" t="s">
        <v>195</v>
      </c>
      <c r="G117" s="7" t="s">
        <v>195</v>
      </c>
      <c r="H117" s="7" t="s">
        <v>195</v>
      </c>
      <c r="I117" s="7" t="s">
        <v>195</v>
      </c>
      <c r="J117" s="7" t="s">
        <v>195</v>
      </c>
      <c r="K117" s="7" t="s">
        <v>195</v>
      </c>
      <c r="L117" s="7" t="s">
        <v>195</v>
      </c>
      <c r="M117" s="7" t="s">
        <v>29</v>
      </c>
      <c r="N117" s="7" t="s">
        <v>29</v>
      </c>
      <c r="O117" s="7" t="s">
        <v>29</v>
      </c>
      <c r="P117" s="7" t="s">
        <v>29</v>
      </c>
      <c r="Q117" s="7" t="s">
        <v>29</v>
      </c>
      <c r="R117" s="7" t="s">
        <v>29</v>
      </c>
      <c r="S117" s="7" t="s">
        <v>29</v>
      </c>
    </row>
    <row r="118" spans="2:19">
      <c r="B118" s="9" t="s">
        <v>195</v>
      </c>
      <c r="C118" s="7" t="s">
        <v>195</v>
      </c>
      <c r="D118" s="5" t="str">
        <f>LRTRIM(CONCATENATE(IF(SUMPRODUCT(-- ISNUMBER(SEARCH({"Auto Number"}, $B118))) &gt; 0, $B118, IF(SUMPRODUCT(-- ISNUMBER(SEARCH({"Lookup","Master-Detail"}, $B118))) &gt; 0,$B118 &amp; "(" &amp; $E118 &amp; ")",IF(SUMPRODUCT(-- ISNUMBER(SEARCH({"Formula","Roll-Up Summary"}, $B118))) &gt; 0,$B118 &amp; " (" &amp; $E118 &amp; ")",IF(SUMPRODUCT(-- ISNUMBER(SEARCH({"Content","Currency","Number","Percent","Text","URL"}, $B118))) &gt; 0,$B118 &amp; "(" &amp; $C118 &amp; ")",$B118)))), "  ", TRIM(IF($S118 = "YES", "(External ID)", "") &amp; " " &amp; IF(SUMPRODUCT(-- ISNUMBER(SEARCH({"Unique","Unique Case Insensitive"}, $R118))) &gt; 0, "(" &amp; $R118 &amp; ")", ""))))</f>
        <v>na</v>
      </c>
      <c r="E118" s="7" t="s">
        <v>195</v>
      </c>
      <c r="F118" s="7" t="s">
        <v>195</v>
      </c>
      <c r="G118" s="7" t="s">
        <v>195</v>
      </c>
      <c r="H118" s="7" t="s">
        <v>195</v>
      </c>
      <c r="I118" s="7" t="s">
        <v>195</v>
      </c>
      <c r="J118" s="7" t="s">
        <v>195</v>
      </c>
      <c r="K118" s="7" t="s">
        <v>195</v>
      </c>
      <c r="L118" s="7" t="s">
        <v>195</v>
      </c>
      <c r="M118" s="7" t="s">
        <v>29</v>
      </c>
      <c r="N118" s="7" t="s">
        <v>29</v>
      </c>
      <c r="O118" s="7" t="s">
        <v>29</v>
      </c>
      <c r="P118" s="7" t="s">
        <v>29</v>
      </c>
      <c r="Q118" s="7" t="s">
        <v>29</v>
      </c>
      <c r="R118" s="7" t="s">
        <v>29</v>
      </c>
      <c r="S118" s="7" t="s">
        <v>29</v>
      </c>
    </row>
    <row r="119" spans="2:19">
      <c r="B119" s="9" t="s">
        <v>195</v>
      </c>
      <c r="C119" s="7" t="s">
        <v>195</v>
      </c>
      <c r="D119" s="5" t="str">
        <f>LRTRIM(CONCATENATE(IF(SUMPRODUCT(-- ISNUMBER(SEARCH({"Auto Number"}, $B119))) &gt; 0, $B119, IF(SUMPRODUCT(-- ISNUMBER(SEARCH({"Lookup","Master-Detail"}, $B119))) &gt; 0,$B119 &amp; "(" &amp; $E119 &amp; ")",IF(SUMPRODUCT(-- ISNUMBER(SEARCH({"Formula","Roll-Up Summary"}, $B119))) &gt; 0,$B119 &amp; " (" &amp; $E119 &amp; ")",IF(SUMPRODUCT(-- ISNUMBER(SEARCH({"Content","Currency","Number","Percent","Text","URL"}, $B119))) &gt; 0,$B119 &amp; "(" &amp; $C119 &amp; ")",$B119)))), "  ", TRIM(IF($S119 = "YES", "(External ID)", "") &amp; " " &amp; IF(SUMPRODUCT(-- ISNUMBER(SEARCH({"Unique","Unique Case Insensitive"}, $R119))) &gt; 0, "(" &amp; $R119 &amp; ")", ""))))</f>
        <v>na</v>
      </c>
      <c r="E119" s="7" t="s">
        <v>195</v>
      </c>
      <c r="F119" s="7" t="s">
        <v>195</v>
      </c>
      <c r="G119" s="7" t="s">
        <v>195</v>
      </c>
      <c r="H119" s="7" t="s">
        <v>195</v>
      </c>
      <c r="I119" s="7" t="s">
        <v>195</v>
      </c>
      <c r="J119" s="7" t="s">
        <v>195</v>
      </c>
      <c r="K119" s="7" t="s">
        <v>195</v>
      </c>
      <c r="L119" s="7" t="s">
        <v>195</v>
      </c>
      <c r="M119" s="7" t="s">
        <v>29</v>
      </c>
      <c r="N119" s="7" t="s">
        <v>29</v>
      </c>
      <c r="O119" s="7" t="s">
        <v>29</v>
      </c>
      <c r="P119" s="7" t="s">
        <v>29</v>
      </c>
      <c r="Q119" s="7" t="s">
        <v>29</v>
      </c>
      <c r="R119" s="7" t="s">
        <v>29</v>
      </c>
      <c r="S119" s="7" t="s">
        <v>29</v>
      </c>
    </row>
    <row r="120" spans="2:19">
      <c r="B120" s="9" t="s">
        <v>195</v>
      </c>
      <c r="C120" s="7" t="s">
        <v>195</v>
      </c>
      <c r="D120" s="5" t="str">
        <f>LRTRIM(CONCATENATE(IF(SUMPRODUCT(-- ISNUMBER(SEARCH({"Auto Number"}, $B120))) &gt; 0, $B120, IF(SUMPRODUCT(-- ISNUMBER(SEARCH({"Lookup","Master-Detail"}, $B120))) &gt; 0,$B120 &amp; "(" &amp; $E120 &amp; ")",IF(SUMPRODUCT(-- ISNUMBER(SEARCH({"Formula","Roll-Up Summary"}, $B120))) &gt; 0,$B120 &amp; " (" &amp; $E120 &amp; ")",IF(SUMPRODUCT(-- ISNUMBER(SEARCH({"Content","Currency","Number","Percent","Text","URL"}, $B120))) &gt; 0,$B120 &amp; "(" &amp; $C120 &amp; ")",$B120)))), "  ", TRIM(IF($S120 = "YES", "(External ID)", "") &amp; " " &amp; IF(SUMPRODUCT(-- ISNUMBER(SEARCH({"Unique","Unique Case Insensitive"}, $R120))) &gt; 0, "(" &amp; $R120 &amp; ")", ""))))</f>
        <v>na</v>
      </c>
      <c r="E120" s="7" t="s">
        <v>195</v>
      </c>
      <c r="F120" s="7" t="s">
        <v>195</v>
      </c>
      <c r="G120" s="7" t="s">
        <v>195</v>
      </c>
      <c r="H120" s="7" t="s">
        <v>195</v>
      </c>
      <c r="I120" s="7" t="s">
        <v>195</v>
      </c>
      <c r="J120" s="7" t="s">
        <v>195</v>
      </c>
      <c r="K120" s="7" t="s">
        <v>195</v>
      </c>
      <c r="L120" s="7" t="s">
        <v>195</v>
      </c>
      <c r="M120" s="7" t="s">
        <v>29</v>
      </c>
      <c r="N120" s="7" t="s">
        <v>29</v>
      </c>
      <c r="O120" s="7" t="s">
        <v>29</v>
      </c>
      <c r="P120" s="7" t="s">
        <v>29</v>
      </c>
      <c r="Q120" s="7" t="s">
        <v>29</v>
      </c>
      <c r="R120" s="7" t="s">
        <v>29</v>
      </c>
      <c r="S120" s="7" t="s">
        <v>29</v>
      </c>
    </row>
    <row r="121" spans="2:19">
      <c r="B121" s="9" t="s">
        <v>195</v>
      </c>
      <c r="C121" s="7" t="s">
        <v>195</v>
      </c>
      <c r="D121" s="5" t="str">
        <f>LRTRIM(CONCATENATE(IF(SUMPRODUCT(-- ISNUMBER(SEARCH({"Auto Number"}, $B121))) &gt; 0, $B121, IF(SUMPRODUCT(-- ISNUMBER(SEARCH({"Lookup","Master-Detail"}, $B121))) &gt; 0,$B121 &amp; "(" &amp; $E121 &amp; ")",IF(SUMPRODUCT(-- ISNUMBER(SEARCH({"Formula","Roll-Up Summary"}, $B121))) &gt; 0,$B121 &amp; " (" &amp; $E121 &amp; ")",IF(SUMPRODUCT(-- ISNUMBER(SEARCH({"Content","Currency","Number","Percent","Text","URL"}, $B121))) &gt; 0,$B121 &amp; "(" &amp; $C121 &amp; ")",$B121)))), "  ", TRIM(IF($S121 = "YES", "(External ID)", "") &amp; " " &amp; IF(SUMPRODUCT(-- ISNUMBER(SEARCH({"Unique","Unique Case Insensitive"}, $R121))) &gt; 0, "(" &amp; $R121 &amp; ")", ""))))</f>
        <v>na</v>
      </c>
      <c r="E121" s="7" t="s">
        <v>195</v>
      </c>
      <c r="F121" s="7" t="s">
        <v>195</v>
      </c>
      <c r="G121" s="7" t="s">
        <v>195</v>
      </c>
      <c r="H121" s="7" t="s">
        <v>195</v>
      </c>
      <c r="I121" s="7" t="s">
        <v>195</v>
      </c>
      <c r="J121" s="7" t="s">
        <v>195</v>
      </c>
      <c r="K121" s="7" t="s">
        <v>195</v>
      </c>
      <c r="L121" s="7" t="s">
        <v>195</v>
      </c>
      <c r="M121" s="7" t="s">
        <v>29</v>
      </c>
      <c r="N121" s="7" t="s">
        <v>29</v>
      </c>
      <c r="O121" s="7" t="s">
        <v>29</v>
      </c>
      <c r="P121" s="7" t="s">
        <v>29</v>
      </c>
      <c r="Q121" s="7" t="s">
        <v>29</v>
      </c>
      <c r="R121" s="7" t="s">
        <v>29</v>
      </c>
      <c r="S121" s="7" t="s">
        <v>29</v>
      </c>
    </row>
    <row r="122" spans="2:19">
      <c r="B122" s="9" t="s">
        <v>195</v>
      </c>
      <c r="C122" s="7" t="s">
        <v>195</v>
      </c>
      <c r="D122" s="5" t="str">
        <f>LRTRIM(CONCATENATE(IF(SUMPRODUCT(-- ISNUMBER(SEARCH({"Auto Number"}, $B122))) &gt; 0, $B122, IF(SUMPRODUCT(-- ISNUMBER(SEARCH({"Lookup","Master-Detail"}, $B122))) &gt; 0,$B122 &amp; "(" &amp; $E122 &amp; ")",IF(SUMPRODUCT(-- ISNUMBER(SEARCH({"Formula","Roll-Up Summary"}, $B122))) &gt; 0,$B122 &amp; " (" &amp; $E122 &amp; ")",IF(SUMPRODUCT(-- ISNUMBER(SEARCH({"Content","Currency","Number","Percent","Text","URL"}, $B122))) &gt; 0,$B122 &amp; "(" &amp; $C122 &amp; ")",$B122)))), "  ", TRIM(IF($S122 = "YES", "(External ID)", "") &amp; " " &amp; IF(SUMPRODUCT(-- ISNUMBER(SEARCH({"Unique","Unique Case Insensitive"}, $R122))) &gt; 0, "(" &amp; $R122 &amp; ")", ""))))</f>
        <v>na</v>
      </c>
      <c r="E122" s="7" t="s">
        <v>195</v>
      </c>
      <c r="F122" s="7" t="s">
        <v>195</v>
      </c>
      <c r="G122" s="7" t="s">
        <v>195</v>
      </c>
      <c r="H122" s="7" t="s">
        <v>195</v>
      </c>
      <c r="I122" s="7" t="s">
        <v>195</v>
      </c>
      <c r="J122" s="7" t="s">
        <v>195</v>
      </c>
      <c r="K122" s="7" t="s">
        <v>195</v>
      </c>
      <c r="L122" s="7" t="s">
        <v>195</v>
      </c>
      <c r="M122" s="7" t="s">
        <v>29</v>
      </c>
      <c r="N122" s="7" t="s">
        <v>29</v>
      </c>
      <c r="O122" s="7" t="s">
        <v>29</v>
      </c>
      <c r="P122" s="7" t="s">
        <v>29</v>
      </c>
      <c r="Q122" s="7" t="s">
        <v>29</v>
      </c>
      <c r="R122" s="7" t="s">
        <v>29</v>
      </c>
      <c r="S122" s="7" t="s">
        <v>29</v>
      </c>
    </row>
    <row r="123" spans="2:19">
      <c r="B123" s="9" t="s">
        <v>195</v>
      </c>
      <c r="C123" s="7" t="s">
        <v>195</v>
      </c>
      <c r="D123" s="5" t="str">
        <f>LRTRIM(CONCATENATE(IF(SUMPRODUCT(-- ISNUMBER(SEARCH({"Auto Number"}, $B123))) &gt; 0, $B123, IF(SUMPRODUCT(-- ISNUMBER(SEARCH({"Lookup","Master-Detail"}, $B123))) &gt; 0,$B123 &amp; "(" &amp; $E123 &amp; ")",IF(SUMPRODUCT(-- ISNUMBER(SEARCH({"Formula","Roll-Up Summary"}, $B123))) &gt; 0,$B123 &amp; " (" &amp; $E123 &amp; ")",IF(SUMPRODUCT(-- ISNUMBER(SEARCH({"Content","Currency","Number","Percent","Text","URL"}, $B123))) &gt; 0,$B123 &amp; "(" &amp; $C123 &amp; ")",$B123)))), "  ", TRIM(IF($S123 = "YES", "(External ID)", "") &amp; " " &amp; IF(SUMPRODUCT(-- ISNUMBER(SEARCH({"Unique","Unique Case Insensitive"}, $R123))) &gt; 0, "(" &amp; $R123 &amp; ")", ""))))</f>
        <v>na</v>
      </c>
      <c r="E123" s="7" t="s">
        <v>195</v>
      </c>
      <c r="F123" s="7" t="s">
        <v>195</v>
      </c>
      <c r="G123" s="7" t="s">
        <v>195</v>
      </c>
      <c r="H123" s="7" t="s">
        <v>195</v>
      </c>
      <c r="I123" s="7" t="s">
        <v>195</v>
      </c>
      <c r="J123" s="7" t="s">
        <v>195</v>
      </c>
      <c r="K123" s="7" t="s">
        <v>195</v>
      </c>
      <c r="L123" s="7" t="s">
        <v>195</v>
      </c>
      <c r="M123" s="7" t="s">
        <v>29</v>
      </c>
      <c r="N123" s="7" t="s">
        <v>29</v>
      </c>
      <c r="O123" s="7" t="s">
        <v>29</v>
      </c>
      <c r="P123" s="7" t="s">
        <v>29</v>
      </c>
      <c r="Q123" s="7" t="s">
        <v>29</v>
      </c>
      <c r="R123" s="7" t="s">
        <v>29</v>
      </c>
      <c r="S123" s="7" t="s">
        <v>29</v>
      </c>
    </row>
    <row r="124" spans="2:19">
      <c r="B124" s="9" t="s">
        <v>195</v>
      </c>
      <c r="C124" s="7" t="s">
        <v>195</v>
      </c>
      <c r="D124" s="5" t="str">
        <f>LRTRIM(CONCATENATE(IF(SUMPRODUCT(-- ISNUMBER(SEARCH({"Auto Number"}, $B124))) &gt; 0, $B124, IF(SUMPRODUCT(-- ISNUMBER(SEARCH({"Lookup","Master-Detail"}, $B124))) &gt; 0,$B124 &amp; "(" &amp; $E124 &amp; ")",IF(SUMPRODUCT(-- ISNUMBER(SEARCH({"Formula","Roll-Up Summary"}, $B124))) &gt; 0,$B124 &amp; " (" &amp; $E124 &amp; ")",IF(SUMPRODUCT(-- ISNUMBER(SEARCH({"Content","Currency","Number","Percent","Text","URL"}, $B124))) &gt; 0,$B124 &amp; "(" &amp; $C124 &amp; ")",$B124)))), "  ", TRIM(IF($S124 = "YES", "(External ID)", "") &amp; " " &amp; IF(SUMPRODUCT(-- ISNUMBER(SEARCH({"Unique","Unique Case Insensitive"}, $R124))) &gt; 0, "(" &amp; $R124 &amp; ")", ""))))</f>
        <v>na</v>
      </c>
      <c r="E124" s="7" t="s">
        <v>195</v>
      </c>
      <c r="F124" s="7" t="s">
        <v>195</v>
      </c>
      <c r="G124" s="7" t="s">
        <v>195</v>
      </c>
      <c r="H124" s="7" t="s">
        <v>195</v>
      </c>
      <c r="I124" s="7" t="s">
        <v>195</v>
      </c>
      <c r="J124" s="7" t="s">
        <v>195</v>
      </c>
      <c r="K124" s="7" t="s">
        <v>195</v>
      </c>
      <c r="L124" s="7" t="s">
        <v>195</v>
      </c>
      <c r="M124" s="7" t="s">
        <v>29</v>
      </c>
      <c r="N124" s="7" t="s">
        <v>29</v>
      </c>
      <c r="O124" s="7" t="s">
        <v>29</v>
      </c>
      <c r="P124" s="7" t="s">
        <v>29</v>
      </c>
      <c r="Q124" s="7" t="s">
        <v>29</v>
      </c>
      <c r="R124" s="7" t="s">
        <v>29</v>
      </c>
      <c r="S124" s="7" t="s">
        <v>29</v>
      </c>
    </row>
    <row r="125" spans="2:19">
      <c r="B125" s="9" t="s">
        <v>195</v>
      </c>
      <c r="C125" s="7" t="s">
        <v>195</v>
      </c>
      <c r="D125" s="5" t="str">
        <f>LRTRIM(CONCATENATE(IF(SUMPRODUCT(-- ISNUMBER(SEARCH({"Auto Number"}, $B125))) &gt; 0, $B125, IF(SUMPRODUCT(-- ISNUMBER(SEARCH({"Lookup","Master-Detail"}, $B125))) &gt; 0,$B125 &amp; "(" &amp; $E125 &amp; ")",IF(SUMPRODUCT(-- ISNUMBER(SEARCH({"Formula","Roll-Up Summary"}, $B125))) &gt; 0,$B125 &amp; " (" &amp; $E125 &amp; ")",IF(SUMPRODUCT(-- ISNUMBER(SEARCH({"Content","Currency","Number","Percent","Text","URL"}, $B125))) &gt; 0,$B125 &amp; "(" &amp; $C125 &amp; ")",$B125)))), "  ", TRIM(IF($S125 = "YES", "(External ID)", "") &amp; " " &amp; IF(SUMPRODUCT(-- ISNUMBER(SEARCH({"Unique","Unique Case Insensitive"}, $R125))) &gt; 0, "(" &amp; $R125 &amp; ")", ""))))</f>
        <v>na</v>
      </c>
      <c r="E125" s="7" t="s">
        <v>195</v>
      </c>
      <c r="F125" s="7" t="s">
        <v>195</v>
      </c>
      <c r="G125" s="7" t="s">
        <v>195</v>
      </c>
      <c r="H125" s="7" t="s">
        <v>195</v>
      </c>
      <c r="I125" s="7" t="s">
        <v>195</v>
      </c>
      <c r="J125" s="7" t="s">
        <v>195</v>
      </c>
      <c r="K125" s="7" t="s">
        <v>195</v>
      </c>
      <c r="L125" s="7" t="s">
        <v>195</v>
      </c>
      <c r="M125" s="7" t="s">
        <v>29</v>
      </c>
      <c r="N125" s="7" t="s">
        <v>29</v>
      </c>
      <c r="O125" s="7" t="s">
        <v>29</v>
      </c>
      <c r="P125" s="7" t="s">
        <v>29</v>
      </c>
      <c r="Q125" s="7" t="s">
        <v>29</v>
      </c>
      <c r="R125" s="7" t="s">
        <v>29</v>
      </c>
      <c r="S125" s="7" t="s">
        <v>29</v>
      </c>
    </row>
    <row r="126" spans="2:19">
      <c r="B126" s="9" t="s">
        <v>195</v>
      </c>
      <c r="C126" s="7" t="s">
        <v>195</v>
      </c>
      <c r="D126" s="5" t="str">
        <f>LRTRIM(CONCATENATE(IF(SUMPRODUCT(-- ISNUMBER(SEARCH({"Auto Number"}, $B126))) &gt; 0, $B126, IF(SUMPRODUCT(-- ISNUMBER(SEARCH({"Lookup","Master-Detail"}, $B126))) &gt; 0,$B126 &amp; "(" &amp; $E126 &amp; ")",IF(SUMPRODUCT(-- ISNUMBER(SEARCH({"Formula","Roll-Up Summary"}, $B126))) &gt; 0,$B126 &amp; " (" &amp; $E126 &amp; ")",IF(SUMPRODUCT(-- ISNUMBER(SEARCH({"Content","Currency","Number","Percent","Text","URL"}, $B126))) &gt; 0,$B126 &amp; "(" &amp; $C126 &amp; ")",$B126)))), "  ", TRIM(IF($S126 = "YES", "(External ID)", "") &amp; " " &amp; IF(SUMPRODUCT(-- ISNUMBER(SEARCH({"Unique","Unique Case Insensitive"}, $R126))) &gt; 0, "(" &amp; $R126 &amp; ")", ""))))</f>
        <v>na</v>
      </c>
      <c r="E126" s="7" t="s">
        <v>195</v>
      </c>
      <c r="F126" s="7" t="s">
        <v>195</v>
      </c>
      <c r="G126" s="7" t="s">
        <v>195</v>
      </c>
      <c r="H126" s="7" t="s">
        <v>195</v>
      </c>
      <c r="I126" s="7" t="s">
        <v>195</v>
      </c>
      <c r="J126" s="7" t="s">
        <v>195</v>
      </c>
      <c r="K126" s="7" t="s">
        <v>195</v>
      </c>
      <c r="L126" s="7" t="s">
        <v>195</v>
      </c>
      <c r="M126" s="7" t="s">
        <v>29</v>
      </c>
      <c r="N126" s="7" t="s">
        <v>29</v>
      </c>
      <c r="O126" s="7" t="s">
        <v>29</v>
      </c>
      <c r="P126" s="7" t="s">
        <v>29</v>
      </c>
      <c r="Q126" s="7" t="s">
        <v>29</v>
      </c>
      <c r="R126" s="7" t="s">
        <v>29</v>
      </c>
      <c r="S126" s="7" t="s">
        <v>29</v>
      </c>
    </row>
    <row r="127" spans="2:19">
      <c r="B127" s="9" t="s">
        <v>195</v>
      </c>
      <c r="C127" s="7" t="s">
        <v>195</v>
      </c>
      <c r="D127" s="5" t="str">
        <f>LRTRIM(CONCATENATE(IF(SUMPRODUCT(-- ISNUMBER(SEARCH({"Auto Number"}, $B127))) &gt; 0, $B127, IF(SUMPRODUCT(-- ISNUMBER(SEARCH({"Lookup","Master-Detail"}, $B127))) &gt; 0,$B127 &amp; "(" &amp; $E127 &amp; ")",IF(SUMPRODUCT(-- ISNUMBER(SEARCH({"Formula","Roll-Up Summary"}, $B127))) &gt; 0,$B127 &amp; " (" &amp; $E127 &amp; ")",IF(SUMPRODUCT(-- ISNUMBER(SEARCH({"Content","Currency","Number","Percent","Text","URL"}, $B127))) &gt; 0,$B127 &amp; "(" &amp; $C127 &amp; ")",$B127)))), "  ", TRIM(IF($S127 = "YES", "(External ID)", "") &amp; " " &amp; IF(SUMPRODUCT(-- ISNUMBER(SEARCH({"Unique","Unique Case Insensitive"}, $R127))) &gt; 0, "(" &amp; $R127 &amp; ")", ""))))</f>
        <v>na</v>
      </c>
      <c r="E127" s="7" t="s">
        <v>195</v>
      </c>
      <c r="F127" s="7" t="s">
        <v>195</v>
      </c>
      <c r="G127" s="7" t="s">
        <v>195</v>
      </c>
      <c r="H127" s="7" t="s">
        <v>195</v>
      </c>
      <c r="I127" s="7" t="s">
        <v>195</v>
      </c>
      <c r="J127" s="7" t="s">
        <v>195</v>
      </c>
      <c r="K127" s="7" t="s">
        <v>195</v>
      </c>
      <c r="L127" s="7" t="s">
        <v>195</v>
      </c>
      <c r="M127" s="7" t="s">
        <v>29</v>
      </c>
      <c r="N127" s="7" t="s">
        <v>29</v>
      </c>
      <c r="O127" s="7" t="s">
        <v>29</v>
      </c>
      <c r="P127" s="7" t="s">
        <v>29</v>
      </c>
      <c r="Q127" s="7" t="s">
        <v>29</v>
      </c>
      <c r="R127" s="7" t="s">
        <v>29</v>
      </c>
      <c r="S127" s="7" t="s">
        <v>29</v>
      </c>
    </row>
    <row r="128" spans="2:19">
      <c r="B128" s="9" t="s">
        <v>195</v>
      </c>
      <c r="C128" s="7" t="s">
        <v>195</v>
      </c>
      <c r="D128" s="5" t="str">
        <f>LRTRIM(CONCATENATE(IF(SUMPRODUCT(-- ISNUMBER(SEARCH({"Auto Number"}, $B128))) &gt; 0, $B128, IF(SUMPRODUCT(-- ISNUMBER(SEARCH({"Lookup","Master-Detail"}, $B128))) &gt; 0,$B128 &amp; "(" &amp; $E128 &amp; ")",IF(SUMPRODUCT(-- ISNUMBER(SEARCH({"Formula","Roll-Up Summary"}, $B128))) &gt; 0,$B128 &amp; " (" &amp; $E128 &amp; ")",IF(SUMPRODUCT(-- ISNUMBER(SEARCH({"Content","Currency","Number","Percent","Text","URL"}, $B128))) &gt; 0,$B128 &amp; "(" &amp; $C128 &amp; ")",$B128)))), "  ", TRIM(IF($S128 = "YES", "(External ID)", "") &amp; " " &amp; IF(SUMPRODUCT(-- ISNUMBER(SEARCH({"Unique","Unique Case Insensitive"}, $R128))) &gt; 0, "(" &amp; $R128 &amp; ")", ""))))</f>
        <v>na</v>
      </c>
      <c r="E128" s="7" t="s">
        <v>195</v>
      </c>
      <c r="F128" s="7" t="s">
        <v>195</v>
      </c>
      <c r="G128" s="7" t="s">
        <v>195</v>
      </c>
      <c r="H128" s="7" t="s">
        <v>195</v>
      </c>
      <c r="I128" s="7" t="s">
        <v>195</v>
      </c>
      <c r="J128" s="7" t="s">
        <v>195</v>
      </c>
      <c r="K128" s="7" t="s">
        <v>195</v>
      </c>
      <c r="L128" s="7" t="s">
        <v>195</v>
      </c>
      <c r="M128" s="7" t="s">
        <v>29</v>
      </c>
      <c r="N128" s="7" t="s">
        <v>29</v>
      </c>
      <c r="O128" s="7" t="s">
        <v>29</v>
      </c>
      <c r="P128" s="7" t="s">
        <v>29</v>
      </c>
      <c r="Q128" s="7" t="s">
        <v>29</v>
      </c>
      <c r="R128" s="7" t="s">
        <v>29</v>
      </c>
      <c r="S128" s="7" t="s">
        <v>29</v>
      </c>
    </row>
    <row r="129" spans="2:19">
      <c r="B129" s="9" t="s">
        <v>195</v>
      </c>
      <c r="C129" s="7" t="s">
        <v>195</v>
      </c>
      <c r="D129" s="5" t="str">
        <f>LRTRIM(CONCATENATE(IF(SUMPRODUCT(-- ISNUMBER(SEARCH({"Auto Number"}, $B129))) &gt; 0, $B129, IF(SUMPRODUCT(-- ISNUMBER(SEARCH({"Lookup","Master-Detail"}, $B129))) &gt; 0,$B129 &amp; "(" &amp; $E129 &amp; ")",IF(SUMPRODUCT(-- ISNUMBER(SEARCH({"Formula","Roll-Up Summary"}, $B129))) &gt; 0,$B129 &amp; " (" &amp; $E129 &amp; ")",IF(SUMPRODUCT(-- ISNUMBER(SEARCH({"Content","Currency","Number","Percent","Text","URL"}, $B129))) &gt; 0,$B129 &amp; "(" &amp; $C129 &amp; ")",$B129)))), "  ", TRIM(IF($S129 = "YES", "(External ID)", "") &amp; " " &amp; IF(SUMPRODUCT(-- ISNUMBER(SEARCH({"Unique","Unique Case Insensitive"}, $R129))) &gt; 0, "(" &amp; $R129 &amp; ")", ""))))</f>
        <v>na</v>
      </c>
      <c r="E129" s="7" t="s">
        <v>195</v>
      </c>
      <c r="F129" s="7" t="s">
        <v>195</v>
      </c>
      <c r="G129" s="7" t="s">
        <v>195</v>
      </c>
      <c r="H129" s="7" t="s">
        <v>195</v>
      </c>
      <c r="I129" s="7" t="s">
        <v>195</v>
      </c>
      <c r="J129" s="7" t="s">
        <v>195</v>
      </c>
      <c r="K129" s="7" t="s">
        <v>195</v>
      </c>
      <c r="L129" s="7" t="s">
        <v>195</v>
      </c>
      <c r="M129" s="7" t="s">
        <v>29</v>
      </c>
      <c r="N129" s="7" t="s">
        <v>29</v>
      </c>
      <c r="O129" s="7" t="s">
        <v>29</v>
      </c>
      <c r="P129" s="7" t="s">
        <v>29</v>
      </c>
      <c r="Q129" s="7" t="s">
        <v>29</v>
      </c>
      <c r="R129" s="7" t="s">
        <v>29</v>
      </c>
      <c r="S129" s="7" t="s">
        <v>29</v>
      </c>
    </row>
    <row r="130" spans="2:19">
      <c r="B130" s="9" t="s">
        <v>195</v>
      </c>
      <c r="C130" s="7" t="s">
        <v>195</v>
      </c>
      <c r="D130" s="5" t="str">
        <f>LRTRIM(CONCATENATE(IF(SUMPRODUCT(-- ISNUMBER(SEARCH({"Auto Number"}, $B130))) &gt; 0, $B130, IF(SUMPRODUCT(-- ISNUMBER(SEARCH({"Lookup","Master-Detail"}, $B130))) &gt; 0,$B130 &amp; "(" &amp; $E130 &amp; ")",IF(SUMPRODUCT(-- ISNUMBER(SEARCH({"Formula","Roll-Up Summary"}, $B130))) &gt; 0,$B130 &amp; " (" &amp; $E130 &amp; ")",IF(SUMPRODUCT(-- ISNUMBER(SEARCH({"Content","Currency","Number","Percent","Text","URL"}, $B130))) &gt; 0,$B130 &amp; "(" &amp; $C130 &amp; ")",$B130)))), "  ", TRIM(IF($S130 = "YES", "(External ID)", "") &amp; " " &amp; IF(SUMPRODUCT(-- ISNUMBER(SEARCH({"Unique","Unique Case Insensitive"}, $R130))) &gt; 0, "(" &amp; $R130 &amp; ")", ""))))</f>
        <v>na</v>
      </c>
      <c r="E130" s="7" t="s">
        <v>195</v>
      </c>
      <c r="F130" s="7" t="s">
        <v>195</v>
      </c>
      <c r="G130" s="7" t="s">
        <v>195</v>
      </c>
      <c r="H130" s="7" t="s">
        <v>195</v>
      </c>
      <c r="I130" s="7" t="s">
        <v>195</v>
      </c>
      <c r="J130" s="7" t="s">
        <v>195</v>
      </c>
      <c r="K130" s="7" t="s">
        <v>195</v>
      </c>
      <c r="L130" s="7" t="s">
        <v>195</v>
      </c>
      <c r="M130" s="7" t="s">
        <v>29</v>
      </c>
      <c r="N130" s="7" t="s">
        <v>29</v>
      </c>
      <c r="O130" s="7" t="s">
        <v>29</v>
      </c>
      <c r="P130" s="7" t="s">
        <v>29</v>
      </c>
      <c r="Q130" s="7" t="s">
        <v>29</v>
      </c>
      <c r="R130" s="7" t="s">
        <v>29</v>
      </c>
      <c r="S130" s="7" t="s">
        <v>29</v>
      </c>
    </row>
    <row r="131" spans="2:19">
      <c r="B131" s="9" t="s">
        <v>195</v>
      </c>
      <c r="C131" s="7" t="s">
        <v>195</v>
      </c>
      <c r="D131" s="5" t="str">
        <f>LRTRIM(CONCATENATE(IF(SUMPRODUCT(-- ISNUMBER(SEARCH({"Auto Number"}, $B131))) &gt; 0, $B131, IF(SUMPRODUCT(-- ISNUMBER(SEARCH({"Lookup","Master-Detail"}, $B131))) &gt; 0,$B131 &amp; "(" &amp; $E131 &amp; ")",IF(SUMPRODUCT(-- ISNUMBER(SEARCH({"Formula","Roll-Up Summary"}, $B131))) &gt; 0,$B131 &amp; " (" &amp; $E131 &amp; ")",IF(SUMPRODUCT(-- ISNUMBER(SEARCH({"Content","Currency","Number","Percent","Text","URL"}, $B131))) &gt; 0,$B131 &amp; "(" &amp; $C131 &amp; ")",$B131)))), "  ", TRIM(IF($S131 = "YES", "(External ID)", "") &amp; " " &amp; IF(SUMPRODUCT(-- ISNUMBER(SEARCH({"Unique","Unique Case Insensitive"}, $R131))) &gt; 0, "(" &amp; $R131 &amp; ")", ""))))</f>
        <v>na</v>
      </c>
      <c r="E131" s="7" t="s">
        <v>195</v>
      </c>
      <c r="F131" s="7" t="s">
        <v>195</v>
      </c>
      <c r="G131" s="7" t="s">
        <v>195</v>
      </c>
      <c r="H131" s="7" t="s">
        <v>195</v>
      </c>
      <c r="I131" s="7" t="s">
        <v>195</v>
      </c>
      <c r="J131" s="7" t="s">
        <v>195</v>
      </c>
      <c r="K131" s="7" t="s">
        <v>195</v>
      </c>
      <c r="L131" s="7" t="s">
        <v>195</v>
      </c>
      <c r="M131" s="7" t="s">
        <v>29</v>
      </c>
      <c r="N131" s="7" t="s">
        <v>29</v>
      </c>
      <c r="O131" s="7" t="s">
        <v>29</v>
      </c>
      <c r="P131" s="7" t="s">
        <v>29</v>
      </c>
      <c r="Q131" s="7" t="s">
        <v>29</v>
      </c>
      <c r="R131" s="7" t="s">
        <v>29</v>
      </c>
      <c r="S131" s="7" t="s">
        <v>29</v>
      </c>
    </row>
    <row r="132" spans="2:19">
      <c r="B132" s="9" t="s">
        <v>195</v>
      </c>
      <c r="C132" s="7" t="s">
        <v>195</v>
      </c>
      <c r="D132" s="5" t="str">
        <f>LRTRIM(CONCATENATE(IF(SUMPRODUCT(-- ISNUMBER(SEARCH({"Auto Number"}, $B132))) &gt; 0, $B132, IF(SUMPRODUCT(-- ISNUMBER(SEARCH({"Lookup","Master-Detail"}, $B132))) &gt; 0,$B132 &amp; "(" &amp; $E132 &amp; ")",IF(SUMPRODUCT(-- ISNUMBER(SEARCH({"Formula","Roll-Up Summary"}, $B132))) &gt; 0,$B132 &amp; " (" &amp; $E132 &amp; ")",IF(SUMPRODUCT(-- ISNUMBER(SEARCH({"Content","Currency","Number","Percent","Text","URL"}, $B132))) &gt; 0,$B132 &amp; "(" &amp; $C132 &amp; ")",$B132)))), "  ", TRIM(IF($S132 = "YES", "(External ID)", "") &amp; " " &amp; IF(SUMPRODUCT(-- ISNUMBER(SEARCH({"Unique","Unique Case Insensitive"}, $R132))) &gt; 0, "(" &amp; $R132 &amp; ")", ""))))</f>
        <v>na</v>
      </c>
      <c r="E132" s="7" t="s">
        <v>195</v>
      </c>
      <c r="F132" s="7" t="s">
        <v>195</v>
      </c>
      <c r="G132" s="7" t="s">
        <v>195</v>
      </c>
      <c r="H132" s="7" t="s">
        <v>195</v>
      </c>
      <c r="I132" s="7" t="s">
        <v>195</v>
      </c>
      <c r="J132" s="7" t="s">
        <v>195</v>
      </c>
      <c r="K132" s="7" t="s">
        <v>195</v>
      </c>
      <c r="L132" s="7" t="s">
        <v>195</v>
      </c>
      <c r="M132" s="7" t="s">
        <v>29</v>
      </c>
      <c r="N132" s="7" t="s">
        <v>29</v>
      </c>
      <c r="O132" s="7" t="s">
        <v>29</v>
      </c>
      <c r="P132" s="7" t="s">
        <v>29</v>
      </c>
      <c r="Q132" s="7" t="s">
        <v>29</v>
      </c>
      <c r="R132" s="7" t="s">
        <v>29</v>
      </c>
      <c r="S132" s="7" t="s">
        <v>29</v>
      </c>
    </row>
    <row r="133" spans="2:19">
      <c r="B133" s="9" t="s">
        <v>195</v>
      </c>
      <c r="C133" s="7" t="s">
        <v>195</v>
      </c>
      <c r="D133" s="5" t="str">
        <f>LRTRIM(CONCATENATE(IF(SUMPRODUCT(-- ISNUMBER(SEARCH({"Auto Number"}, $B133))) &gt; 0, $B133, IF(SUMPRODUCT(-- ISNUMBER(SEARCH({"Lookup","Master-Detail"}, $B133))) &gt; 0,$B133 &amp; "(" &amp; $E133 &amp; ")",IF(SUMPRODUCT(-- ISNUMBER(SEARCH({"Formula","Roll-Up Summary"}, $B133))) &gt; 0,$B133 &amp; " (" &amp; $E133 &amp; ")",IF(SUMPRODUCT(-- ISNUMBER(SEARCH({"Content","Currency","Number","Percent","Text","URL"}, $B133))) &gt; 0,$B133 &amp; "(" &amp; $C133 &amp; ")",$B133)))), "  ", TRIM(IF($S133 = "YES", "(External ID)", "") &amp; " " &amp; IF(SUMPRODUCT(-- ISNUMBER(SEARCH({"Unique","Unique Case Insensitive"}, $R133))) &gt; 0, "(" &amp; $R133 &amp; ")", ""))))</f>
        <v>na</v>
      </c>
      <c r="E133" s="7" t="s">
        <v>195</v>
      </c>
      <c r="F133" s="7" t="s">
        <v>195</v>
      </c>
      <c r="G133" s="7" t="s">
        <v>195</v>
      </c>
      <c r="H133" s="7" t="s">
        <v>195</v>
      </c>
      <c r="I133" s="7" t="s">
        <v>195</v>
      </c>
      <c r="J133" s="7" t="s">
        <v>195</v>
      </c>
      <c r="K133" s="7" t="s">
        <v>195</v>
      </c>
      <c r="L133" s="7" t="s">
        <v>195</v>
      </c>
      <c r="M133" s="7" t="s">
        <v>29</v>
      </c>
      <c r="N133" s="7" t="s">
        <v>29</v>
      </c>
      <c r="O133" s="7" t="s">
        <v>29</v>
      </c>
      <c r="P133" s="7" t="s">
        <v>29</v>
      </c>
      <c r="Q133" s="7" t="s">
        <v>29</v>
      </c>
      <c r="R133" s="7" t="s">
        <v>29</v>
      </c>
      <c r="S133" s="7" t="s">
        <v>29</v>
      </c>
    </row>
    <row r="134" spans="2:19">
      <c r="B134" s="9" t="s">
        <v>195</v>
      </c>
      <c r="C134" s="7" t="s">
        <v>195</v>
      </c>
      <c r="D134" s="5" t="str">
        <f>LRTRIM(CONCATENATE(IF(SUMPRODUCT(-- ISNUMBER(SEARCH({"Auto Number"}, $B134))) &gt; 0, $B134, IF(SUMPRODUCT(-- ISNUMBER(SEARCH({"Lookup","Master-Detail"}, $B134))) &gt; 0,$B134 &amp; "(" &amp; $E134 &amp; ")",IF(SUMPRODUCT(-- ISNUMBER(SEARCH({"Formula","Roll-Up Summary"}, $B134))) &gt; 0,$B134 &amp; " (" &amp; $E134 &amp; ")",IF(SUMPRODUCT(-- ISNUMBER(SEARCH({"Content","Currency","Number","Percent","Text","URL"}, $B134))) &gt; 0,$B134 &amp; "(" &amp; $C134 &amp; ")",$B134)))), "  ", TRIM(IF($S134 = "YES", "(External ID)", "") &amp; " " &amp; IF(SUMPRODUCT(-- ISNUMBER(SEARCH({"Unique","Unique Case Insensitive"}, $R134))) &gt; 0, "(" &amp; $R134 &amp; ")", ""))))</f>
        <v>na</v>
      </c>
      <c r="E134" s="7" t="s">
        <v>195</v>
      </c>
      <c r="F134" s="7" t="s">
        <v>195</v>
      </c>
      <c r="G134" s="7" t="s">
        <v>195</v>
      </c>
      <c r="H134" s="7" t="s">
        <v>195</v>
      </c>
      <c r="I134" s="7" t="s">
        <v>195</v>
      </c>
      <c r="J134" s="7" t="s">
        <v>195</v>
      </c>
      <c r="K134" s="7" t="s">
        <v>195</v>
      </c>
      <c r="L134" s="7" t="s">
        <v>195</v>
      </c>
      <c r="M134" s="7" t="s">
        <v>29</v>
      </c>
      <c r="N134" s="7" t="s">
        <v>29</v>
      </c>
      <c r="O134" s="7" t="s">
        <v>29</v>
      </c>
      <c r="P134" s="7" t="s">
        <v>29</v>
      </c>
      <c r="Q134" s="7" t="s">
        <v>29</v>
      </c>
      <c r="R134" s="7" t="s">
        <v>29</v>
      </c>
      <c r="S134" s="7" t="s">
        <v>29</v>
      </c>
    </row>
    <row r="135" spans="2:19">
      <c r="B135" s="9" t="s">
        <v>195</v>
      </c>
      <c r="C135" s="7" t="s">
        <v>195</v>
      </c>
      <c r="D135" s="5" t="str">
        <f>LRTRIM(CONCATENATE(IF(SUMPRODUCT(-- ISNUMBER(SEARCH({"Auto Number"}, $B135))) &gt; 0, $B135, IF(SUMPRODUCT(-- ISNUMBER(SEARCH({"Lookup","Master-Detail"}, $B135))) &gt; 0,$B135 &amp; "(" &amp; $E135 &amp; ")",IF(SUMPRODUCT(-- ISNUMBER(SEARCH({"Formula","Roll-Up Summary"}, $B135))) &gt; 0,$B135 &amp; " (" &amp; $E135 &amp; ")",IF(SUMPRODUCT(-- ISNUMBER(SEARCH({"Content","Currency","Number","Percent","Text","URL"}, $B135))) &gt; 0,$B135 &amp; "(" &amp; $C135 &amp; ")",$B135)))), "  ", TRIM(IF($S135 = "YES", "(External ID)", "") &amp; " " &amp; IF(SUMPRODUCT(-- ISNUMBER(SEARCH({"Unique","Unique Case Insensitive"}, $R135))) &gt; 0, "(" &amp; $R135 &amp; ")", ""))))</f>
        <v>na</v>
      </c>
      <c r="E135" s="7" t="s">
        <v>195</v>
      </c>
      <c r="F135" s="7" t="s">
        <v>195</v>
      </c>
      <c r="G135" s="7" t="s">
        <v>195</v>
      </c>
      <c r="H135" s="7" t="s">
        <v>195</v>
      </c>
      <c r="I135" s="7" t="s">
        <v>195</v>
      </c>
      <c r="J135" s="7" t="s">
        <v>195</v>
      </c>
      <c r="K135" s="7" t="s">
        <v>195</v>
      </c>
      <c r="L135" s="7" t="s">
        <v>195</v>
      </c>
      <c r="M135" s="7" t="s">
        <v>29</v>
      </c>
      <c r="N135" s="7" t="s">
        <v>29</v>
      </c>
      <c r="O135" s="7" t="s">
        <v>29</v>
      </c>
      <c r="P135" s="7" t="s">
        <v>29</v>
      </c>
      <c r="Q135" s="7" t="s">
        <v>29</v>
      </c>
      <c r="R135" s="7" t="s">
        <v>29</v>
      </c>
      <c r="S135" s="7" t="s">
        <v>29</v>
      </c>
    </row>
    <row r="136" spans="2:19">
      <c r="B136" s="9" t="s">
        <v>195</v>
      </c>
      <c r="C136" s="7" t="s">
        <v>195</v>
      </c>
      <c r="D136" s="5" t="str">
        <f>LRTRIM(CONCATENATE(IF(SUMPRODUCT(-- ISNUMBER(SEARCH({"Auto Number"}, $B136))) &gt; 0, $B136, IF(SUMPRODUCT(-- ISNUMBER(SEARCH({"Lookup","Master-Detail"}, $B136))) &gt; 0,$B136 &amp; "(" &amp; $E136 &amp; ")",IF(SUMPRODUCT(-- ISNUMBER(SEARCH({"Formula","Roll-Up Summary"}, $B136))) &gt; 0,$B136 &amp; " (" &amp; $E136 &amp; ")",IF(SUMPRODUCT(-- ISNUMBER(SEARCH({"Content","Currency","Number","Percent","Text","URL"}, $B136))) &gt; 0,$B136 &amp; "(" &amp; $C136 &amp; ")",$B136)))), "  ", TRIM(IF($S136 = "YES", "(External ID)", "") &amp; " " &amp; IF(SUMPRODUCT(-- ISNUMBER(SEARCH({"Unique","Unique Case Insensitive"}, $R136))) &gt; 0, "(" &amp; $R136 &amp; ")", ""))))</f>
        <v>na</v>
      </c>
      <c r="E136" s="7" t="s">
        <v>195</v>
      </c>
      <c r="F136" s="7" t="s">
        <v>195</v>
      </c>
      <c r="G136" s="7" t="s">
        <v>195</v>
      </c>
      <c r="H136" s="7" t="s">
        <v>195</v>
      </c>
      <c r="I136" s="7" t="s">
        <v>195</v>
      </c>
      <c r="J136" s="7" t="s">
        <v>195</v>
      </c>
      <c r="K136" s="7" t="s">
        <v>195</v>
      </c>
      <c r="L136" s="7" t="s">
        <v>195</v>
      </c>
      <c r="M136" s="7" t="s">
        <v>29</v>
      </c>
      <c r="N136" s="7" t="s">
        <v>29</v>
      </c>
      <c r="O136" s="7" t="s">
        <v>29</v>
      </c>
      <c r="P136" s="7" t="s">
        <v>29</v>
      </c>
      <c r="Q136" s="7" t="s">
        <v>29</v>
      </c>
      <c r="R136" s="7" t="s">
        <v>29</v>
      </c>
      <c r="S136" s="7" t="s">
        <v>29</v>
      </c>
    </row>
    <row r="137" spans="2:19">
      <c r="B137" s="9" t="s">
        <v>195</v>
      </c>
      <c r="C137" s="7" t="s">
        <v>195</v>
      </c>
      <c r="D137" s="5" t="str">
        <f>LRTRIM(CONCATENATE(IF(SUMPRODUCT(-- ISNUMBER(SEARCH({"Auto Number"}, $B137))) &gt; 0, $B137, IF(SUMPRODUCT(-- ISNUMBER(SEARCH({"Lookup","Master-Detail"}, $B137))) &gt; 0,$B137 &amp; "(" &amp; $E137 &amp; ")",IF(SUMPRODUCT(-- ISNUMBER(SEARCH({"Formula","Roll-Up Summary"}, $B137))) &gt; 0,$B137 &amp; " (" &amp; $E137 &amp; ")",IF(SUMPRODUCT(-- ISNUMBER(SEARCH({"Content","Currency","Number","Percent","Text","URL"}, $B137))) &gt; 0,$B137 &amp; "(" &amp; $C137 &amp; ")",$B137)))), "  ", TRIM(IF($S137 = "YES", "(External ID)", "") &amp; " " &amp; IF(SUMPRODUCT(-- ISNUMBER(SEARCH({"Unique","Unique Case Insensitive"}, $R137))) &gt; 0, "(" &amp; $R137 &amp; ")", ""))))</f>
        <v>na</v>
      </c>
      <c r="E137" s="7" t="s">
        <v>195</v>
      </c>
      <c r="F137" s="7" t="s">
        <v>195</v>
      </c>
      <c r="G137" s="7" t="s">
        <v>195</v>
      </c>
      <c r="H137" s="7" t="s">
        <v>195</v>
      </c>
      <c r="I137" s="7" t="s">
        <v>195</v>
      </c>
      <c r="J137" s="7" t="s">
        <v>195</v>
      </c>
      <c r="K137" s="7" t="s">
        <v>195</v>
      </c>
      <c r="L137" s="7" t="s">
        <v>195</v>
      </c>
      <c r="M137" s="7" t="s">
        <v>29</v>
      </c>
      <c r="N137" s="7" t="s">
        <v>29</v>
      </c>
      <c r="O137" s="7" t="s">
        <v>29</v>
      </c>
      <c r="P137" s="7" t="s">
        <v>29</v>
      </c>
      <c r="Q137" s="7" t="s">
        <v>29</v>
      </c>
      <c r="R137" s="7" t="s">
        <v>29</v>
      </c>
      <c r="S137" s="7" t="s">
        <v>29</v>
      </c>
    </row>
    <row r="138" spans="2:19">
      <c r="B138" s="9" t="s">
        <v>195</v>
      </c>
      <c r="C138" s="7" t="s">
        <v>195</v>
      </c>
      <c r="D138" s="5" t="str">
        <f>LRTRIM(CONCATENATE(IF(SUMPRODUCT(-- ISNUMBER(SEARCH({"Auto Number"}, $B138))) &gt; 0, $B138, IF(SUMPRODUCT(-- ISNUMBER(SEARCH({"Lookup","Master-Detail"}, $B138))) &gt; 0,$B138 &amp; "(" &amp; $E138 &amp; ")",IF(SUMPRODUCT(-- ISNUMBER(SEARCH({"Formula","Roll-Up Summary"}, $B138))) &gt; 0,$B138 &amp; " (" &amp; $E138 &amp; ")",IF(SUMPRODUCT(-- ISNUMBER(SEARCH({"Content","Currency","Number","Percent","Text","URL"}, $B138))) &gt; 0,$B138 &amp; "(" &amp; $C138 &amp; ")",$B138)))), "  ", TRIM(IF($S138 = "YES", "(External ID)", "") &amp; " " &amp; IF(SUMPRODUCT(-- ISNUMBER(SEARCH({"Unique","Unique Case Insensitive"}, $R138))) &gt; 0, "(" &amp; $R138 &amp; ")", ""))))</f>
        <v>na</v>
      </c>
      <c r="E138" s="7" t="s">
        <v>195</v>
      </c>
      <c r="F138" s="7" t="s">
        <v>195</v>
      </c>
      <c r="G138" s="7" t="s">
        <v>195</v>
      </c>
      <c r="H138" s="7" t="s">
        <v>195</v>
      </c>
      <c r="I138" s="7" t="s">
        <v>195</v>
      </c>
      <c r="J138" s="7" t="s">
        <v>195</v>
      </c>
      <c r="K138" s="7" t="s">
        <v>195</v>
      </c>
      <c r="L138" s="7" t="s">
        <v>195</v>
      </c>
      <c r="M138" s="7" t="s">
        <v>29</v>
      </c>
      <c r="N138" s="7" t="s">
        <v>29</v>
      </c>
      <c r="O138" s="7" t="s">
        <v>29</v>
      </c>
      <c r="P138" s="7" t="s">
        <v>29</v>
      </c>
      <c r="Q138" s="7" t="s">
        <v>29</v>
      </c>
      <c r="R138" s="7" t="s">
        <v>29</v>
      </c>
      <c r="S138" s="7" t="s">
        <v>29</v>
      </c>
    </row>
    <row r="139" spans="2:19">
      <c r="B139" s="9" t="s">
        <v>195</v>
      </c>
      <c r="C139" s="7" t="s">
        <v>195</v>
      </c>
      <c r="D139" s="5" t="str">
        <f>LRTRIM(CONCATENATE(IF(SUMPRODUCT(-- ISNUMBER(SEARCH({"Auto Number"}, $B139))) &gt; 0, $B139, IF(SUMPRODUCT(-- ISNUMBER(SEARCH({"Lookup","Master-Detail"}, $B139))) &gt; 0,$B139 &amp; "(" &amp; $E139 &amp; ")",IF(SUMPRODUCT(-- ISNUMBER(SEARCH({"Formula","Roll-Up Summary"}, $B139))) &gt; 0,$B139 &amp; " (" &amp; $E139 &amp; ")",IF(SUMPRODUCT(-- ISNUMBER(SEARCH({"Content","Currency","Number","Percent","Text","URL"}, $B139))) &gt; 0,$B139 &amp; "(" &amp; $C139 &amp; ")",$B139)))), "  ", TRIM(IF($S139 = "YES", "(External ID)", "") &amp; " " &amp; IF(SUMPRODUCT(-- ISNUMBER(SEARCH({"Unique","Unique Case Insensitive"}, $R139))) &gt; 0, "(" &amp; $R139 &amp; ")", ""))))</f>
        <v>na</v>
      </c>
      <c r="E139" s="7" t="s">
        <v>195</v>
      </c>
      <c r="F139" s="7" t="s">
        <v>195</v>
      </c>
      <c r="G139" s="7" t="s">
        <v>195</v>
      </c>
      <c r="H139" s="7" t="s">
        <v>195</v>
      </c>
      <c r="I139" s="7" t="s">
        <v>195</v>
      </c>
      <c r="J139" s="7" t="s">
        <v>195</v>
      </c>
      <c r="K139" s="7" t="s">
        <v>195</v>
      </c>
      <c r="L139" s="7" t="s">
        <v>195</v>
      </c>
      <c r="M139" s="7" t="s">
        <v>29</v>
      </c>
      <c r="N139" s="7" t="s">
        <v>29</v>
      </c>
      <c r="O139" s="7" t="s">
        <v>29</v>
      </c>
      <c r="P139" s="7" t="s">
        <v>29</v>
      </c>
      <c r="Q139" s="7" t="s">
        <v>29</v>
      </c>
      <c r="R139" s="7" t="s">
        <v>29</v>
      </c>
      <c r="S139" s="7" t="s">
        <v>29</v>
      </c>
    </row>
    <row r="140" spans="2:19">
      <c r="B140" s="9" t="s">
        <v>195</v>
      </c>
      <c r="C140" s="7" t="s">
        <v>195</v>
      </c>
      <c r="D140" s="5" t="str">
        <f>LRTRIM(CONCATENATE(IF(SUMPRODUCT(-- ISNUMBER(SEARCH({"Auto Number"}, $B140))) &gt; 0, $B140, IF(SUMPRODUCT(-- ISNUMBER(SEARCH({"Lookup","Master-Detail"}, $B140))) &gt; 0,$B140 &amp; "(" &amp; $E140 &amp; ")",IF(SUMPRODUCT(-- ISNUMBER(SEARCH({"Formula","Roll-Up Summary"}, $B140))) &gt; 0,$B140 &amp; " (" &amp; $E140 &amp; ")",IF(SUMPRODUCT(-- ISNUMBER(SEARCH({"Content","Currency","Number","Percent","Text","URL"}, $B140))) &gt; 0,$B140 &amp; "(" &amp; $C140 &amp; ")",$B140)))), "  ", TRIM(IF($S140 = "YES", "(External ID)", "") &amp; " " &amp; IF(SUMPRODUCT(-- ISNUMBER(SEARCH({"Unique","Unique Case Insensitive"}, $R140))) &gt; 0, "(" &amp; $R140 &amp; ")", ""))))</f>
        <v>na</v>
      </c>
      <c r="E140" s="7" t="s">
        <v>195</v>
      </c>
      <c r="F140" s="7" t="s">
        <v>195</v>
      </c>
      <c r="G140" s="7" t="s">
        <v>195</v>
      </c>
      <c r="H140" s="7" t="s">
        <v>195</v>
      </c>
      <c r="I140" s="7" t="s">
        <v>195</v>
      </c>
      <c r="J140" s="7" t="s">
        <v>195</v>
      </c>
      <c r="K140" s="7" t="s">
        <v>195</v>
      </c>
      <c r="L140" s="7" t="s">
        <v>195</v>
      </c>
      <c r="M140" s="7" t="s">
        <v>29</v>
      </c>
      <c r="N140" s="7" t="s">
        <v>29</v>
      </c>
      <c r="O140" s="7" t="s">
        <v>29</v>
      </c>
      <c r="P140" s="7" t="s">
        <v>29</v>
      </c>
      <c r="Q140" s="7" t="s">
        <v>29</v>
      </c>
      <c r="R140" s="7" t="s">
        <v>29</v>
      </c>
      <c r="S140" s="7" t="s">
        <v>29</v>
      </c>
    </row>
    <row r="141" spans="2:19">
      <c r="B141" s="9" t="s">
        <v>195</v>
      </c>
      <c r="C141" s="7" t="s">
        <v>195</v>
      </c>
      <c r="D141" s="5" t="str">
        <f>LRTRIM(CONCATENATE(IF(SUMPRODUCT(-- ISNUMBER(SEARCH({"Auto Number"}, $B141))) &gt; 0, $B141, IF(SUMPRODUCT(-- ISNUMBER(SEARCH({"Lookup","Master-Detail"}, $B141))) &gt; 0,$B141 &amp; "(" &amp; $E141 &amp; ")",IF(SUMPRODUCT(-- ISNUMBER(SEARCH({"Formula","Roll-Up Summary"}, $B141))) &gt; 0,$B141 &amp; " (" &amp; $E141 &amp; ")",IF(SUMPRODUCT(-- ISNUMBER(SEARCH({"Content","Currency","Number","Percent","Text","URL"}, $B141))) &gt; 0,$B141 &amp; "(" &amp; $C141 &amp; ")",$B141)))), "  ", TRIM(IF($S141 = "YES", "(External ID)", "") &amp; " " &amp; IF(SUMPRODUCT(-- ISNUMBER(SEARCH({"Unique","Unique Case Insensitive"}, $R141))) &gt; 0, "(" &amp; $R141 &amp; ")", ""))))</f>
        <v>na</v>
      </c>
      <c r="E141" s="7" t="s">
        <v>195</v>
      </c>
      <c r="F141" s="7" t="s">
        <v>195</v>
      </c>
      <c r="G141" s="7" t="s">
        <v>195</v>
      </c>
      <c r="H141" s="7" t="s">
        <v>195</v>
      </c>
      <c r="I141" s="7" t="s">
        <v>195</v>
      </c>
      <c r="J141" s="7" t="s">
        <v>195</v>
      </c>
      <c r="K141" s="7" t="s">
        <v>195</v>
      </c>
      <c r="L141" s="7" t="s">
        <v>195</v>
      </c>
      <c r="M141" s="7" t="s">
        <v>29</v>
      </c>
      <c r="N141" s="7" t="s">
        <v>29</v>
      </c>
      <c r="O141" s="7" t="s">
        <v>29</v>
      </c>
      <c r="P141" s="7" t="s">
        <v>29</v>
      </c>
      <c r="Q141" s="7" t="s">
        <v>29</v>
      </c>
      <c r="R141" s="7" t="s">
        <v>29</v>
      </c>
      <c r="S141" s="7" t="s">
        <v>29</v>
      </c>
    </row>
    <row r="142" spans="2:19">
      <c r="B142" s="9" t="s">
        <v>195</v>
      </c>
      <c r="C142" s="7" t="s">
        <v>195</v>
      </c>
      <c r="D142" s="5" t="str">
        <f>LRTRIM(CONCATENATE(IF(SUMPRODUCT(-- ISNUMBER(SEARCH({"Auto Number"}, $B142))) &gt; 0, $B142, IF(SUMPRODUCT(-- ISNUMBER(SEARCH({"Lookup","Master-Detail"}, $B142))) &gt; 0,$B142 &amp; "(" &amp; $E142 &amp; ")",IF(SUMPRODUCT(-- ISNUMBER(SEARCH({"Formula","Roll-Up Summary"}, $B142))) &gt; 0,$B142 &amp; " (" &amp; $E142 &amp; ")",IF(SUMPRODUCT(-- ISNUMBER(SEARCH({"Content","Currency","Number","Percent","Text","URL"}, $B142))) &gt; 0,$B142 &amp; "(" &amp; $C142 &amp; ")",$B142)))), "  ", TRIM(IF($S142 = "YES", "(External ID)", "") &amp; " " &amp; IF(SUMPRODUCT(-- ISNUMBER(SEARCH({"Unique","Unique Case Insensitive"}, $R142))) &gt; 0, "(" &amp; $R142 &amp; ")", ""))))</f>
        <v>na</v>
      </c>
      <c r="E142" s="7" t="s">
        <v>195</v>
      </c>
      <c r="F142" s="7" t="s">
        <v>195</v>
      </c>
      <c r="G142" s="7" t="s">
        <v>195</v>
      </c>
      <c r="H142" s="7" t="s">
        <v>195</v>
      </c>
      <c r="I142" s="7" t="s">
        <v>195</v>
      </c>
      <c r="J142" s="7" t="s">
        <v>195</v>
      </c>
      <c r="K142" s="7" t="s">
        <v>195</v>
      </c>
      <c r="L142" s="7" t="s">
        <v>195</v>
      </c>
      <c r="M142" s="7" t="s">
        <v>29</v>
      </c>
      <c r="N142" s="7" t="s">
        <v>29</v>
      </c>
      <c r="O142" s="7" t="s">
        <v>29</v>
      </c>
      <c r="P142" s="7" t="s">
        <v>29</v>
      </c>
      <c r="Q142" s="7" t="s">
        <v>29</v>
      </c>
      <c r="R142" s="7" t="s">
        <v>29</v>
      </c>
      <c r="S142" s="7" t="s">
        <v>29</v>
      </c>
    </row>
    <row r="143" spans="2:19">
      <c r="B143" s="9" t="s">
        <v>195</v>
      </c>
      <c r="C143" s="7" t="s">
        <v>195</v>
      </c>
      <c r="D143" s="5" t="str">
        <f>LRTRIM(CONCATENATE(IF(SUMPRODUCT(-- ISNUMBER(SEARCH({"Auto Number"}, $B143))) &gt; 0, $B143, IF(SUMPRODUCT(-- ISNUMBER(SEARCH({"Lookup","Master-Detail"}, $B143))) &gt; 0,$B143 &amp; "(" &amp; $E143 &amp; ")",IF(SUMPRODUCT(-- ISNUMBER(SEARCH({"Formula","Roll-Up Summary"}, $B143))) &gt; 0,$B143 &amp; " (" &amp; $E143 &amp; ")",IF(SUMPRODUCT(-- ISNUMBER(SEARCH({"Content","Currency","Number","Percent","Text","URL"}, $B143))) &gt; 0,$B143 &amp; "(" &amp; $C143 &amp; ")",$B143)))), "  ", TRIM(IF($S143 = "YES", "(External ID)", "") &amp; " " &amp; IF(SUMPRODUCT(-- ISNUMBER(SEARCH({"Unique","Unique Case Insensitive"}, $R143))) &gt; 0, "(" &amp; $R143 &amp; ")", ""))))</f>
        <v>na</v>
      </c>
      <c r="E143" s="7" t="s">
        <v>195</v>
      </c>
      <c r="F143" s="7" t="s">
        <v>195</v>
      </c>
      <c r="G143" s="7" t="s">
        <v>195</v>
      </c>
      <c r="H143" s="7" t="s">
        <v>195</v>
      </c>
      <c r="I143" s="7" t="s">
        <v>195</v>
      </c>
      <c r="J143" s="7" t="s">
        <v>195</v>
      </c>
      <c r="K143" s="7" t="s">
        <v>195</v>
      </c>
      <c r="L143" s="7" t="s">
        <v>195</v>
      </c>
      <c r="M143" s="7" t="s">
        <v>29</v>
      </c>
      <c r="N143" s="7" t="s">
        <v>29</v>
      </c>
      <c r="O143" s="7" t="s">
        <v>29</v>
      </c>
      <c r="P143" s="7" t="s">
        <v>29</v>
      </c>
      <c r="Q143" s="7" t="s">
        <v>29</v>
      </c>
      <c r="R143" s="7" t="s">
        <v>29</v>
      </c>
      <c r="S143" s="7" t="s">
        <v>29</v>
      </c>
    </row>
    <row r="144" spans="2:19">
      <c r="B144" s="9" t="s">
        <v>195</v>
      </c>
      <c r="C144" s="7" t="s">
        <v>195</v>
      </c>
      <c r="D144" s="5" t="str">
        <f>LRTRIM(CONCATENATE(IF(SUMPRODUCT(-- ISNUMBER(SEARCH({"Auto Number"}, $B144))) &gt; 0, $B144, IF(SUMPRODUCT(-- ISNUMBER(SEARCH({"Lookup","Master-Detail"}, $B144))) &gt; 0,$B144 &amp; "(" &amp; $E144 &amp; ")",IF(SUMPRODUCT(-- ISNUMBER(SEARCH({"Formula","Roll-Up Summary"}, $B144))) &gt; 0,$B144 &amp; " (" &amp; $E144 &amp; ")",IF(SUMPRODUCT(-- ISNUMBER(SEARCH({"Content","Currency","Number","Percent","Text","URL"}, $B144))) &gt; 0,$B144 &amp; "(" &amp; $C144 &amp; ")",$B144)))), "  ", TRIM(IF($S144 = "YES", "(External ID)", "") &amp; " " &amp; IF(SUMPRODUCT(-- ISNUMBER(SEARCH({"Unique","Unique Case Insensitive"}, $R144))) &gt; 0, "(" &amp; $R144 &amp; ")", ""))))</f>
        <v>na</v>
      </c>
      <c r="E144" s="7" t="s">
        <v>195</v>
      </c>
      <c r="F144" s="7" t="s">
        <v>195</v>
      </c>
      <c r="G144" s="7" t="s">
        <v>195</v>
      </c>
      <c r="H144" s="7" t="s">
        <v>195</v>
      </c>
      <c r="I144" s="7" t="s">
        <v>195</v>
      </c>
      <c r="J144" s="7" t="s">
        <v>195</v>
      </c>
      <c r="K144" s="7" t="s">
        <v>195</v>
      </c>
      <c r="L144" s="7" t="s">
        <v>195</v>
      </c>
      <c r="M144" s="7" t="s">
        <v>29</v>
      </c>
      <c r="N144" s="7" t="s">
        <v>29</v>
      </c>
      <c r="O144" s="7" t="s">
        <v>29</v>
      </c>
      <c r="P144" s="7" t="s">
        <v>29</v>
      </c>
      <c r="Q144" s="7" t="s">
        <v>29</v>
      </c>
      <c r="R144" s="7" t="s">
        <v>29</v>
      </c>
      <c r="S144" s="7" t="s">
        <v>29</v>
      </c>
    </row>
    <row r="145" spans="2:19">
      <c r="B145" s="9" t="s">
        <v>195</v>
      </c>
      <c r="C145" s="7" t="s">
        <v>195</v>
      </c>
      <c r="D145" s="5" t="str">
        <f>LRTRIM(CONCATENATE(IF(SUMPRODUCT(-- ISNUMBER(SEARCH({"Auto Number"}, $B145))) &gt; 0, $B145, IF(SUMPRODUCT(-- ISNUMBER(SEARCH({"Lookup","Master-Detail"}, $B145))) &gt; 0,$B145 &amp; "(" &amp; $E145 &amp; ")",IF(SUMPRODUCT(-- ISNUMBER(SEARCH({"Formula","Roll-Up Summary"}, $B145))) &gt; 0,$B145 &amp; " (" &amp; $E145 &amp; ")",IF(SUMPRODUCT(-- ISNUMBER(SEARCH({"Content","Currency","Number","Percent","Text","URL"}, $B145))) &gt; 0,$B145 &amp; "(" &amp; $C145 &amp; ")",$B145)))), "  ", TRIM(IF($S145 = "YES", "(External ID)", "") &amp; " " &amp; IF(SUMPRODUCT(-- ISNUMBER(SEARCH({"Unique","Unique Case Insensitive"}, $R145))) &gt; 0, "(" &amp; $R145 &amp; ")", ""))))</f>
        <v>na</v>
      </c>
      <c r="E145" s="7" t="s">
        <v>195</v>
      </c>
      <c r="F145" s="7" t="s">
        <v>195</v>
      </c>
      <c r="G145" s="7" t="s">
        <v>195</v>
      </c>
      <c r="H145" s="7" t="s">
        <v>195</v>
      </c>
      <c r="I145" s="7" t="s">
        <v>195</v>
      </c>
      <c r="J145" s="7" t="s">
        <v>195</v>
      </c>
      <c r="K145" s="7" t="s">
        <v>195</v>
      </c>
      <c r="L145" s="7" t="s">
        <v>195</v>
      </c>
      <c r="M145" s="7" t="s">
        <v>29</v>
      </c>
      <c r="N145" s="7" t="s">
        <v>29</v>
      </c>
      <c r="O145" s="7" t="s">
        <v>29</v>
      </c>
      <c r="P145" s="7" t="s">
        <v>29</v>
      </c>
      <c r="Q145" s="7" t="s">
        <v>29</v>
      </c>
      <c r="R145" s="7" t="s">
        <v>29</v>
      </c>
      <c r="S145" s="7" t="s">
        <v>29</v>
      </c>
    </row>
    <row r="146" spans="2:19">
      <c r="B146" s="9" t="s">
        <v>195</v>
      </c>
      <c r="C146" s="7" t="s">
        <v>195</v>
      </c>
      <c r="D146" s="5" t="str">
        <f>LRTRIM(CONCATENATE(IF(SUMPRODUCT(-- ISNUMBER(SEARCH({"Auto Number"}, $B146))) &gt; 0, $B146, IF(SUMPRODUCT(-- ISNUMBER(SEARCH({"Lookup","Master-Detail"}, $B146))) &gt; 0,$B146 &amp; "(" &amp; $E146 &amp; ")",IF(SUMPRODUCT(-- ISNUMBER(SEARCH({"Formula","Roll-Up Summary"}, $B146))) &gt; 0,$B146 &amp; " (" &amp; $E146 &amp; ")",IF(SUMPRODUCT(-- ISNUMBER(SEARCH({"Content","Currency","Number","Percent","Text","URL"}, $B146))) &gt; 0,$B146 &amp; "(" &amp; $C146 &amp; ")",$B146)))), "  ", TRIM(IF($S146 = "YES", "(External ID)", "") &amp; " " &amp; IF(SUMPRODUCT(-- ISNUMBER(SEARCH({"Unique","Unique Case Insensitive"}, $R146))) &gt; 0, "(" &amp; $R146 &amp; ")", ""))))</f>
        <v>na</v>
      </c>
      <c r="E146" s="7" t="s">
        <v>195</v>
      </c>
      <c r="F146" s="7" t="s">
        <v>195</v>
      </c>
      <c r="G146" s="7" t="s">
        <v>195</v>
      </c>
      <c r="H146" s="7" t="s">
        <v>195</v>
      </c>
      <c r="I146" s="7" t="s">
        <v>195</v>
      </c>
      <c r="J146" s="7" t="s">
        <v>195</v>
      </c>
      <c r="K146" s="7" t="s">
        <v>195</v>
      </c>
      <c r="L146" s="7" t="s">
        <v>195</v>
      </c>
      <c r="M146" s="7" t="s">
        <v>29</v>
      </c>
      <c r="N146" s="7" t="s">
        <v>29</v>
      </c>
      <c r="O146" s="7" t="s">
        <v>29</v>
      </c>
      <c r="P146" s="7" t="s">
        <v>29</v>
      </c>
      <c r="Q146" s="7" t="s">
        <v>29</v>
      </c>
      <c r="R146" s="7" t="s">
        <v>29</v>
      </c>
      <c r="S146" s="7" t="s">
        <v>29</v>
      </c>
    </row>
    <row r="147" spans="2:19">
      <c r="B147" s="9" t="s">
        <v>195</v>
      </c>
      <c r="C147" s="7" t="s">
        <v>195</v>
      </c>
      <c r="D147" s="5" t="str">
        <f>LRTRIM(CONCATENATE(IF(SUMPRODUCT(-- ISNUMBER(SEARCH({"Auto Number"}, $B147))) &gt; 0, $B147, IF(SUMPRODUCT(-- ISNUMBER(SEARCH({"Lookup","Master-Detail"}, $B147))) &gt; 0,$B147 &amp; "(" &amp; $E147 &amp; ")",IF(SUMPRODUCT(-- ISNUMBER(SEARCH({"Formula","Roll-Up Summary"}, $B147))) &gt; 0,$B147 &amp; " (" &amp; $E147 &amp; ")",IF(SUMPRODUCT(-- ISNUMBER(SEARCH({"Content","Currency","Number","Percent","Text","URL"}, $B147))) &gt; 0,$B147 &amp; "(" &amp; $C147 &amp; ")",$B147)))), "  ", TRIM(IF($S147 = "YES", "(External ID)", "") &amp; " " &amp; IF(SUMPRODUCT(-- ISNUMBER(SEARCH({"Unique","Unique Case Insensitive"}, $R147))) &gt; 0, "(" &amp; $R147 &amp; ")", ""))))</f>
        <v>na</v>
      </c>
      <c r="E147" s="7" t="s">
        <v>195</v>
      </c>
      <c r="F147" s="7" t="s">
        <v>195</v>
      </c>
      <c r="G147" s="7" t="s">
        <v>195</v>
      </c>
      <c r="H147" s="7" t="s">
        <v>195</v>
      </c>
      <c r="I147" s="7" t="s">
        <v>195</v>
      </c>
      <c r="J147" s="7" t="s">
        <v>195</v>
      </c>
      <c r="K147" s="7" t="s">
        <v>195</v>
      </c>
      <c r="L147" s="7" t="s">
        <v>195</v>
      </c>
      <c r="M147" s="7" t="s">
        <v>29</v>
      </c>
      <c r="N147" s="7" t="s">
        <v>29</v>
      </c>
      <c r="O147" s="7" t="s">
        <v>29</v>
      </c>
      <c r="P147" s="7" t="s">
        <v>29</v>
      </c>
      <c r="Q147" s="7" t="s">
        <v>29</v>
      </c>
      <c r="R147" s="7" t="s">
        <v>29</v>
      </c>
      <c r="S147" s="7" t="s">
        <v>29</v>
      </c>
    </row>
    <row r="148" spans="2:19">
      <c r="B148" s="9" t="s">
        <v>195</v>
      </c>
      <c r="C148" s="7" t="s">
        <v>195</v>
      </c>
      <c r="D148" s="5" t="str">
        <f>LRTRIM(CONCATENATE(IF(SUMPRODUCT(-- ISNUMBER(SEARCH({"Auto Number"}, $B148))) &gt; 0, $B148, IF(SUMPRODUCT(-- ISNUMBER(SEARCH({"Lookup","Master-Detail"}, $B148))) &gt; 0,$B148 &amp; "(" &amp; $E148 &amp; ")",IF(SUMPRODUCT(-- ISNUMBER(SEARCH({"Formula","Roll-Up Summary"}, $B148))) &gt; 0,$B148 &amp; " (" &amp; $E148 &amp; ")",IF(SUMPRODUCT(-- ISNUMBER(SEARCH({"Content","Currency","Number","Percent","Text","URL"}, $B148))) &gt; 0,$B148 &amp; "(" &amp; $C148 &amp; ")",$B148)))), "  ", TRIM(IF($S148 = "YES", "(External ID)", "") &amp; " " &amp; IF(SUMPRODUCT(-- ISNUMBER(SEARCH({"Unique","Unique Case Insensitive"}, $R148))) &gt; 0, "(" &amp; $R148 &amp; ")", ""))))</f>
        <v>na</v>
      </c>
      <c r="E148" s="7" t="s">
        <v>195</v>
      </c>
      <c r="F148" s="7" t="s">
        <v>195</v>
      </c>
      <c r="G148" s="7" t="s">
        <v>195</v>
      </c>
      <c r="H148" s="7" t="s">
        <v>195</v>
      </c>
      <c r="I148" s="7" t="s">
        <v>195</v>
      </c>
      <c r="J148" s="7" t="s">
        <v>195</v>
      </c>
      <c r="K148" s="7" t="s">
        <v>195</v>
      </c>
      <c r="L148" s="7" t="s">
        <v>195</v>
      </c>
      <c r="M148" s="7" t="s">
        <v>29</v>
      </c>
      <c r="N148" s="7" t="s">
        <v>29</v>
      </c>
      <c r="O148" s="7" t="s">
        <v>29</v>
      </c>
      <c r="P148" s="7" t="s">
        <v>29</v>
      </c>
      <c r="Q148" s="7" t="s">
        <v>29</v>
      </c>
      <c r="R148" s="7" t="s">
        <v>29</v>
      </c>
      <c r="S148" s="7" t="s">
        <v>29</v>
      </c>
    </row>
    <row r="149" spans="2:19">
      <c r="B149" s="9" t="s">
        <v>195</v>
      </c>
      <c r="C149" s="7" t="s">
        <v>195</v>
      </c>
      <c r="D149" s="5" t="str">
        <f>LRTRIM(CONCATENATE(IF(SUMPRODUCT(-- ISNUMBER(SEARCH({"Auto Number"}, $B149))) &gt; 0, $B149, IF(SUMPRODUCT(-- ISNUMBER(SEARCH({"Lookup","Master-Detail"}, $B149))) &gt; 0,$B149 &amp; "(" &amp; $E149 &amp; ")",IF(SUMPRODUCT(-- ISNUMBER(SEARCH({"Formula","Roll-Up Summary"}, $B149))) &gt; 0,$B149 &amp; " (" &amp; $E149 &amp; ")",IF(SUMPRODUCT(-- ISNUMBER(SEARCH({"Content","Currency","Number","Percent","Text","URL"}, $B149))) &gt; 0,$B149 &amp; "(" &amp; $C149 &amp; ")",$B149)))), "  ", TRIM(IF($S149 = "YES", "(External ID)", "") &amp; " " &amp; IF(SUMPRODUCT(-- ISNUMBER(SEARCH({"Unique","Unique Case Insensitive"}, $R149))) &gt; 0, "(" &amp; $R149 &amp; ")", ""))))</f>
        <v>na</v>
      </c>
      <c r="E149" s="7" t="s">
        <v>195</v>
      </c>
      <c r="F149" s="7" t="s">
        <v>195</v>
      </c>
      <c r="G149" s="7" t="s">
        <v>195</v>
      </c>
      <c r="H149" s="7" t="s">
        <v>195</v>
      </c>
      <c r="I149" s="7" t="s">
        <v>195</v>
      </c>
      <c r="J149" s="7" t="s">
        <v>195</v>
      </c>
      <c r="K149" s="7" t="s">
        <v>195</v>
      </c>
      <c r="L149" s="7" t="s">
        <v>195</v>
      </c>
      <c r="M149" s="7" t="s">
        <v>29</v>
      </c>
      <c r="N149" s="7" t="s">
        <v>29</v>
      </c>
      <c r="O149" s="7" t="s">
        <v>29</v>
      </c>
      <c r="P149" s="7" t="s">
        <v>29</v>
      </c>
      <c r="Q149" s="7" t="s">
        <v>29</v>
      </c>
      <c r="R149" s="7" t="s">
        <v>29</v>
      </c>
      <c r="S149" s="7" t="s">
        <v>29</v>
      </c>
    </row>
    <row r="150" spans="2:19">
      <c r="B150" s="9" t="s">
        <v>195</v>
      </c>
      <c r="C150" s="7" t="s">
        <v>195</v>
      </c>
      <c r="D150" s="5" t="str">
        <f>LRTRIM(CONCATENATE(IF(SUMPRODUCT(-- ISNUMBER(SEARCH({"Auto Number"}, $B150))) &gt; 0, $B150, IF(SUMPRODUCT(-- ISNUMBER(SEARCH({"Lookup","Master-Detail"}, $B150))) &gt; 0,$B150 &amp; "(" &amp; $E150 &amp; ")",IF(SUMPRODUCT(-- ISNUMBER(SEARCH({"Formula","Roll-Up Summary"}, $B150))) &gt; 0,$B150 &amp; " (" &amp; $E150 &amp; ")",IF(SUMPRODUCT(-- ISNUMBER(SEARCH({"Content","Currency","Number","Percent","Text","URL"}, $B150))) &gt; 0,$B150 &amp; "(" &amp; $C150 &amp; ")",$B150)))), "  ", TRIM(IF($S150 = "YES", "(External ID)", "") &amp; " " &amp; IF(SUMPRODUCT(-- ISNUMBER(SEARCH({"Unique","Unique Case Insensitive"}, $R150))) &gt; 0, "(" &amp; $R150 &amp; ")", ""))))</f>
        <v>na</v>
      </c>
      <c r="E150" s="7" t="s">
        <v>195</v>
      </c>
      <c r="F150" s="7" t="s">
        <v>195</v>
      </c>
      <c r="G150" s="7" t="s">
        <v>195</v>
      </c>
      <c r="H150" s="7" t="s">
        <v>195</v>
      </c>
      <c r="I150" s="7" t="s">
        <v>195</v>
      </c>
      <c r="J150" s="7" t="s">
        <v>195</v>
      </c>
      <c r="K150" s="7" t="s">
        <v>195</v>
      </c>
      <c r="L150" s="7" t="s">
        <v>195</v>
      </c>
      <c r="M150" s="7" t="s">
        <v>29</v>
      </c>
      <c r="N150" s="7" t="s">
        <v>29</v>
      </c>
      <c r="O150" s="7" t="s">
        <v>29</v>
      </c>
      <c r="P150" s="7" t="s">
        <v>29</v>
      </c>
      <c r="Q150" s="7" t="s">
        <v>29</v>
      </c>
      <c r="R150" s="7" t="s">
        <v>29</v>
      </c>
      <c r="S150" s="7" t="s">
        <v>29</v>
      </c>
    </row>
    <row r="151" spans="2:19">
      <c r="B151" s="9" t="s">
        <v>195</v>
      </c>
      <c r="C151" s="7" t="s">
        <v>195</v>
      </c>
      <c r="D151" s="5" t="str">
        <f>LRTRIM(CONCATENATE(IF(SUMPRODUCT(-- ISNUMBER(SEARCH({"Auto Number"}, $B151))) &gt; 0, $B151, IF(SUMPRODUCT(-- ISNUMBER(SEARCH({"Lookup","Master-Detail"}, $B151))) &gt; 0,$B151 &amp; "(" &amp; $E151 &amp; ")",IF(SUMPRODUCT(-- ISNUMBER(SEARCH({"Formula","Roll-Up Summary"}, $B151))) &gt; 0,$B151 &amp; " (" &amp; $E151 &amp; ")",IF(SUMPRODUCT(-- ISNUMBER(SEARCH({"Content","Currency","Number","Percent","Text","URL"}, $B151))) &gt; 0,$B151 &amp; "(" &amp; $C151 &amp; ")",$B151)))), "  ", TRIM(IF($S151 = "YES", "(External ID)", "") &amp; " " &amp; IF(SUMPRODUCT(-- ISNUMBER(SEARCH({"Unique","Unique Case Insensitive"}, $R151))) &gt; 0, "(" &amp; $R151 &amp; ")", ""))))</f>
        <v>na</v>
      </c>
      <c r="E151" s="7" t="s">
        <v>195</v>
      </c>
      <c r="F151" s="7" t="s">
        <v>195</v>
      </c>
      <c r="G151" s="7" t="s">
        <v>195</v>
      </c>
      <c r="H151" s="7" t="s">
        <v>195</v>
      </c>
      <c r="I151" s="7" t="s">
        <v>195</v>
      </c>
      <c r="J151" s="7" t="s">
        <v>195</v>
      </c>
      <c r="K151" s="7" t="s">
        <v>195</v>
      </c>
      <c r="L151" s="7" t="s">
        <v>195</v>
      </c>
      <c r="M151" s="7" t="s">
        <v>29</v>
      </c>
      <c r="N151" s="7" t="s">
        <v>29</v>
      </c>
      <c r="O151" s="7" t="s">
        <v>29</v>
      </c>
      <c r="P151" s="7" t="s">
        <v>29</v>
      </c>
      <c r="Q151" s="7" t="s">
        <v>29</v>
      </c>
      <c r="R151" s="7" t="s">
        <v>29</v>
      </c>
      <c r="S151" s="7" t="s">
        <v>29</v>
      </c>
    </row>
    <row r="152" spans="2:19">
      <c r="B152" s="9" t="s">
        <v>195</v>
      </c>
      <c r="C152" s="7" t="s">
        <v>195</v>
      </c>
      <c r="D152" s="5" t="str">
        <f>LRTRIM(CONCATENATE(IF(SUMPRODUCT(-- ISNUMBER(SEARCH({"Auto Number"}, $B152))) &gt; 0, $B152, IF(SUMPRODUCT(-- ISNUMBER(SEARCH({"Lookup","Master-Detail"}, $B152))) &gt; 0,$B152 &amp; "(" &amp; $E152 &amp; ")",IF(SUMPRODUCT(-- ISNUMBER(SEARCH({"Formula","Roll-Up Summary"}, $B152))) &gt; 0,$B152 &amp; " (" &amp; $E152 &amp; ")",IF(SUMPRODUCT(-- ISNUMBER(SEARCH({"Content","Currency","Number","Percent","Text","URL"}, $B152))) &gt; 0,$B152 &amp; "(" &amp; $C152 &amp; ")",$B152)))), "  ", TRIM(IF($S152 = "YES", "(External ID)", "") &amp; " " &amp; IF(SUMPRODUCT(-- ISNUMBER(SEARCH({"Unique","Unique Case Insensitive"}, $R152))) &gt; 0, "(" &amp; $R152 &amp; ")", ""))))</f>
        <v>na</v>
      </c>
      <c r="E152" s="7" t="s">
        <v>195</v>
      </c>
      <c r="F152" s="7" t="s">
        <v>195</v>
      </c>
      <c r="G152" s="7" t="s">
        <v>195</v>
      </c>
      <c r="H152" s="7" t="s">
        <v>195</v>
      </c>
      <c r="I152" s="7" t="s">
        <v>195</v>
      </c>
      <c r="J152" s="7" t="s">
        <v>195</v>
      </c>
      <c r="K152" s="7" t="s">
        <v>195</v>
      </c>
      <c r="L152" s="7" t="s">
        <v>195</v>
      </c>
      <c r="M152" s="7" t="s">
        <v>29</v>
      </c>
      <c r="N152" s="7" t="s">
        <v>29</v>
      </c>
      <c r="O152" s="7" t="s">
        <v>29</v>
      </c>
      <c r="P152" s="7" t="s">
        <v>29</v>
      </c>
      <c r="Q152" s="7" t="s">
        <v>29</v>
      </c>
      <c r="R152" s="7" t="s">
        <v>29</v>
      </c>
      <c r="S152" s="7" t="s">
        <v>29</v>
      </c>
    </row>
    <row r="153" spans="2:19">
      <c r="B153" s="9" t="s">
        <v>195</v>
      </c>
      <c r="C153" s="7" t="s">
        <v>195</v>
      </c>
      <c r="D153" s="5" t="str">
        <f>LRTRIM(CONCATENATE(IF(SUMPRODUCT(-- ISNUMBER(SEARCH({"Auto Number"}, $B153))) &gt; 0, $B153, IF(SUMPRODUCT(-- ISNUMBER(SEARCH({"Lookup","Master-Detail"}, $B153))) &gt; 0,$B153 &amp; "(" &amp; $E153 &amp; ")",IF(SUMPRODUCT(-- ISNUMBER(SEARCH({"Formula","Roll-Up Summary"}, $B153))) &gt; 0,$B153 &amp; " (" &amp; $E153 &amp; ")",IF(SUMPRODUCT(-- ISNUMBER(SEARCH({"Content","Currency","Number","Percent","Text","URL"}, $B153))) &gt; 0,$B153 &amp; "(" &amp; $C153 &amp; ")",$B153)))), "  ", TRIM(IF($S153 = "YES", "(External ID)", "") &amp; " " &amp; IF(SUMPRODUCT(-- ISNUMBER(SEARCH({"Unique","Unique Case Insensitive"}, $R153))) &gt; 0, "(" &amp; $R153 &amp; ")", ""))))</f>
        <v>na</v>
      </c>
      <c r="E153" s="7" t="s">
        <v>195</v>
      </c>
      <c r="F153" s="7" t="s">
        <v>195</v>
      </c>
      <c r="G153" s="7" t="s">
        <v>195</v>
      </c>
      <c r="H153" s="7" t="s">
        <v>195</v>
      </c>
      <c r="I153" s="7" t="s">
        <v>195</v>
      </c>
      <c r="J153" s="7" t="s">
        <v>195</v>
      </c>
      <c r="K153" s="7" t="s">
        <v>195</v>
      </c>
      <c r="L153" s="7" t="s">
        <v>195</v>
      </c>
      <c r="M153" s="7" t="s">
        <v>29</v>
      </c>
      <c r="N153" s="7" t="s">
        <v>29</v>
      </c>
      <c r="O153" s="7" t="s">
        <v>29</v>
      </c>
      <c r="P153" s="7" t="s">
        <v>29</v>
      </c>
      <c r="Q153" s="7" t="s">
        <v>29</v>
      </c>
      <c r="R153" s="7" t="s">
        <v>29</v>
      </c>
      <c r="S153" s="7" t="s">
        <v>29</v>
      </c>
    </row>
    <row r="154" spans="2:19">
      <c r="B154" s="9" t="s">
        <v>195</v>
      </c>
      <c r="C154" s="7" t="s">
        <v>195</v>
      </c>
      <c r="D154" s="5" t="str">
        <f>LRTRIM(CONCATENATE(IF(SUMPRODUCT(-- ISNUMBER(SEARCH({"Auto Number"}, $B154))) &gt; 0, $B154, IF(SUMPRODUCT(-- ISNUMBER(SEARCH({"Lookup","Master-Detail"}, $B154))) &gt; 0,$B154 &amp; "(" &amp; $E154 &amp; ")",IF(SUMPRODUCT(-- ISNUMBER(SEARCH({"Formula","Roll-Up Summary"}, $B154))) &gt; 0,$B154 &amp; " (" &amp; $E154 &amp; ")",IF(SUMPRODUCT(-- ISNUMBER(SEARCH({"Content","Currency","Number","Percent","Text","URL"}, $B154))) &gt; 0,$B154 &amp; "(" &amp; $C154 &amp; ")",$B154)))), "  ", TRIM(IF($S154 = "YES", "(External ID)", "") &amp; " " &amp; IF(SUMPRODUCT(-- ISNUMBER(SEARCH({"Unique","Unique Case Insensitive"}, $R154))) &gt; 0, "(" &amp; $R154 &amp; ")", ""))))</f>
        <v>na</v>
      </c>
      <c r="E154" s="7" t="s">
        <v>195</v>
      </c>
      <c r="F154" s="7" t="s">
        <v>195</v>
      </c>
      <c r="G154" s="7" t="s">
        <v>195</v>
      </c>
      <c r="H154" s="7" t="s">
        <v>195</v>
      </c>
      <c r="I154" s="7" t="s">
        <v>195</v>
      </c>
      <c r="J154" s="7" t="s">
        <v>195</v>
      </c>
      <c r="K154" s="7" t="s">
        <v>195</v>
      </c>
      <c r="L154" s="7" t="s">
        <v>195</v>
      </c>
      <c r="M154" s="7" t="s">
        <v>29</v>
      </c>
      <c r="N154" s="7" t="s">
        <v>29</v>
      </c>
      <c r="O154" s="7" t="s">
        <v>29</v>
      </c>
      <c r="P154" s="7" t="s">
        <v>29</v>
      </c>
      <c r="Q154" s="7" t="s">
        <v>29</v>
      </c>
      <c r="R154" s="7" t="s">
        <v>29</v>
      </c>
      <c r="S154" s="7" t="s">
        <v>29</v>
      </c>
    </row>
    <row r="155" spans="2:19">
      <c r="B155" s="9" t="s">
        <v>195</v>
      </c>
      <c r="C155" s="7" t="s">
        <v>195</v>
      </c>
      <c r="D155" s="5" t="str">
        <f>LRTRIM(CONCATENATE(IF(SUMPRODUCT(-- ISNUMBER(SEARCH({"Auto Number"}, $B155))) &gt; 0, $B155, IF(SUMPRODUCT(-- ISNUMBER(SEARCH({"Lookup","Master-Detail"}, $B155))) &gt; 0,$B155 &amp; "(" &amp; $E155 &amp; ")",IF(SUMPRODUCT(-- ISNUMBER(SEARCH({"Formula","Roll-Up Summary"}, $B155))) &gt; 0,$B155 &amp; " (" &amp; $E155 &amp; ")",IF(SUMPRODUCT(-- ISNUMBER(SEARCH({"Content","Currency","Number","Percent","Text","URL"}, $B155))) &gt; 0,$B155 &amp; "(" &amp; $C155 &amp; ")",$B155)))), "  ", TRIM(IF($S155 = "YES", "(External ID)", "") &amp; " " &amp; IF(SUMPRODUCT(-- ISNUMBER(SEARCH({"Unique","Unique Case Insensitive"}, $R155))) &gt; 0, "(" &amp; $R155 &amp; ")", ""))))</f>
        <v>na</v>
      </c>
      <c r="E155" s="7" t="s">
        <v>195</v>
      </c>
      <c r="F155" s="7" t="s">
        <v>195</v>
      </c>
      <c r="G155" s="7" t="s">
        <v>195</v>
      </c>
      <c r="H155" s="7" t="s">
        <v>195</v>
      </c>
      <c r="I155" s="7" t="s">
        <v>195</v>
      </c>
      <c r="J155" s="7" t="s">
        <v>195</v>
      </c>
      <c r="K155" s="7" t="s">
        <v>195</v>
      </c>
      <c r="L155" s="7" t="s">
        <v>195</v>
      </c>
      <c r="M155" s="7" t="s">
        <v>29</v>
      </c>
      <c r="N155" s="7" t="s">
        <v>29</v>
      </c>
      <c r="O155" s="7" t="s">
        <v>29</v>
      </c>
      <c r="P155" s="7" t="s">
        <v>29</v>
      </c>
      <c r="Q155" s="7" t="s">
        <v>29</v>
      </c>
      <c r="R155" s="7" t="s">
        <v>29</v>
      </c>
      <c r="S155" s="7" t="s">
        <v>29</v>
      </c>
    </row>
    <row r="156" spans="2:19">
      <c r="B156" s="9" t="s">
        <v>195</v>
      </c>
      <c r="C156" s="7" t="s">
        <v>195</v>
      </c>
      <c r="D156" s="5" t="str">
        <f>LRTRIM(CONCATENATE(IF(SUMPRODUCT(-- ISNUMBER(SEARCH({"Auto Number"}, $B156))) &gt; 0, $B156, IF(SUMPRODUCT(-- ISNUMBER(SEARCH({"Lookup","Master-Detail"}, $B156))) &gt; 0,$B156 &amp; "(" &amp; $E156 &amp; ")",IF(SUMPRODUCT(-- ISNUMBER(SEARCH({"Formula","Roll-Up Summary"}, $B156))) &gt; 0,$B156 &amp; " (" &amp; $E156 &amp; ")",IF(SUMPRODUCT(-- ISNUMBER(SEARCH({"Content","Currency","Number","Percent","Text","URL"}, $B156))) &gt; 0,$B156 &amp; "(" &amp; $C156 &amp; ")",$B156)))), "  ", TRIM(IF($S156 = "YES", "(External ID)", "") &amp; " " &amp; IF(SUMPRODUCT(-- ISNUMBER(SEARCH({"Unique","Unique Case Insensitive"}, $R156))) &gt; 0, "(" &amp; $R156 &amp; ")", ""))))</f>
        <v>na</v>
      </c>
      <c r="E156" s="7" t="s">
        <v>195</v>
      </c>
      <c r="F156" s="7" t="s">
        <v>195</v>
      </c>
      <c r="G156" s="7" t="s">
        <v>195</v>
      </c>
      <c r="H156" s="7" t="s">
        <v>195</v>
      </c>
      <c r="I156" s="7" t="s">
        <v>195</v>
      </c>
      <c r="J156" s="7" t="s">
        <v>195</v>
      </c>
      <c r="K156" s="7" t="s">
        <v>195</v>
      </c>
      <c r="L156" s="7" t="s">
        <v>195</v>
      </c>
      <c r="M156" s="7" t="s">
        <v>29</v>
      </c>
      <c r="N156" s="7" t="s">
        <v>29</v>
      </c>
      <c r="O156" s="7" t="s">
        <v>29</v>
      </c>
      <c r="P156" s="7" t="s">
        <v>29</v>
      </c>
      <c r="Q156" s="7" t="s">
        <v>29</v>
      </c>
      <c r="R156" s="7" t="s">
        <v>29</v>
      </c>
      <c r="S156" s="7" t="s">
        <v>29</v>
      </c>
    </row>
    <row r="157" spans="2:19">
      <c r="B157" s="9" t="s">
        <v>195</v>
      </c>
      <c r="C157" s="7" t="s">
        <v>195</v>
      </c>
      <c r="D157" s="5" t="str">
        <f>LRTRIM(CONCATENATE(IF(SUMPRODUCT(-- ISNUMBER(SEARCH({"Auto Number"}, $B157))) &gt; 0, $B157, IF(SUMPRODUCT(-- ISNUMBER(SEARCH({"Lookup","Master-Detail"}, $B157))) &gt; 0,$B157 &amp; "(" &amp; $E157 &amp; ")",IF(SUMPRODUCT(-- ISNUMBER(SEARCH({"Formula","Roll-Up Summary"}, $B157))) &gt; 0,$B157 &amp; " (" &amp; $E157 &amp; ")",IF(SUMPRODUCT(-- ISNUMBER(SEARCH({"Content","Currency","Number","Percent","Text","URL"}, $B157))) &gt; 0,$B157 &amp; "(" &amp; $C157 &amp; ")",$B157)))), "  ", TRIM(IF($S157 = "YES", "(External ID)", "") &amp; " " &amp; IF(SUMPRODUCT(-- ISNUMBER(SEARCH({"Unique","Unique Case Insensitive"}, $R157))) &gt; 0, "(" &amp; $R157 &amp; ")", ""))))</f>
        <v>na</v>
      </c>
      <c r="E157" s="7" t="s">
        <v>195</v>
      </c>
      <c r="F157" s="7" t="s">
        <v>195</v>
      </c>
      <c r="G157" s="7" t="s">
        <v>195</v>
      </c>
      <c r="H157" s="7" t="s">
        <v>195</v>
      </c>
      <c r="I157" s="7" t="s">
        <v>195</v>
      </c>
      <c r="J157" s="7" t="s">
        <v>195</v>
      </c>
      <c r="K157" s="7" t="s">
        <v>195</v>
      </c>
      <c r="L157" s="7" t="s">
        <v>195</v>
      </c>
      <c r="M157" s="7" t="s">
        <v>29</v>
      </c>
      <c r="N157" s="7" t="s">
        <v>29</v>
      </c>
      <c r="O157" s="7" t="s">
        <v>29</v>
      </c>
      <c r="P157" s="7" t="s">
        <v>29</v>
      </c>
      <c r="Q157" s="7" t="s">
        <v>29</v>
      </c>
      <c r="R157" s="7" t="s">
        <v>29</v>
      </c>
      <c r="S157" s="7" t="s">
        <v>29</v>
      </c>
    </row>
    <row r="158" spans="2:19">
      <c r="B158" s="9" t="s">
        <v>195</v>
      </c>
      <c r="C158" s="7" t="s">
        <v>195</v>
      </c>
      <c r="D158" s="5" t="str">
        <f>LRTRIM(CONCATENATE(IF(SUMPRODUCT(-- ISNUMBER(SEARCH({"Auto Number"}, $B158))) &gt; 0, $B158, IF(SUMPRODUCT(-- ISNUMBER(SEARCH({"Lookup","Master-Detail"}, $B158))) &gt; 0,$B158 &amp; "(" &amp; $E158 &amp; ")",IF(SUMPRODUCT(-- ISNUMBER(SEARCH({"Formula","Roll-Up Summary"}, $B158))) &gt; 0,$B158 &amp; " (" &amp; $E158 &amp; ")",IF(SUMPRODUCT(-- ISNUMBER(SEARCH({"Content","Currency","Number","Percent","Text","URL"}, $B158))) &gt; 0,$B158 &amp; "(" &amp; $C158 &amp; ")",$B158)))), "  ", TRIM(IF($S158 = "YES", "(External ID)", "") &amp; " " &amp; IF(SUMPRODUCT(-- ISNUMBER(SEARCH({"Unique","Unique Case Insensitive"}, $R158))) &gt; 0, "(" &amp; $R158 &amp; ")", ""))))</f>
        <v>na</v>
      </c>
      <c r="E158" s="7" t="s">
        <v>195</v>
      </c>
      <c r="F158" s="7" t="s">
        <v>195</v>
      </c>
      <c r="G158" s="7" t="s">
        <v>195</v>
      </c>
      <c r="H158" s="7" t="s">
        <v>195</v>
      </c>
      <c r="I158" s="7" t="s">
        <v>195</v>
      </c>
      <c r="J158" s="7" t="s">
        <v>195</v>
      </c>
      <c r="K158" s="7" t="s">
        <v>195</v>
      </c>
      <c r="L158" s="7" t="s">
        <v>195</v>
      </c>
      <c r="M158" s="7" t="s">
        <v>29</v>
      </c>
      <c r="N158" s="7" t="s">
        <v>29</v>
      </c>
      <c r="O158" s="7" t="s">
        <v>29</v>
      </c>
      <c r="P158" s="7" t="s">
        <v>29</v>
      </c>
      <c r="Q158" s="7" t="s">
        <v>29</v>
      </c>
      <c r="R158" s="7" t="s">
        <v>29</v>
      </c>
      <c r="S158" s="7" t="s">
        <v>29</v>
      </c>
    </row>
    <row r="159" spans="2:19">
      <c r="B159" s="9" t="s">
        <v>195</v>
      </c>
      <c r="C159" s="7" t="s">
        <v>195</v>
      </c>
      <c r="D159" s="5" t="str">
        <f>LRTRIM(CONCATENATE(IF(SUMPRODUCT(-- ISNUMBER(SEARCH({"Auto Number"}, $B159))) &gt; 0, $B159, IF(SUMPRODUCT(-- ISNUMBER(SEARCH({"Lookup","Master-Detail"}, $B159))) &gt; 0,$B159 &amp; "(" &amp; $E159 &amp; ")",IF(SUMPRODUCT(-- ISNUMBER(SEARCH({"Formula","Roll-Up Summary"}, $B159))) &gt; 0,$B159 &amp; " (" &amp; $E159 &amp; ")",IF(SUMPRODUCT(-- ISNUMBER(SEARCH({"Content","Currency","Number","Percent","Text","URL"}, $B159))) &gt; 0,$B159 &amp; "(" &amp; $C159 &amp; ")",$B159)))), "  ", TRIM(IF($S159 = "YES", "(External ID)", "") &amp; " " &amp; IF(SUMPRODUCT(-- ISNUMBER(SEARCH({"Unique","Unique Case Insensitive"}, $R159))) &gt; 0, "(" &amp; $R159 &amp; ")", ""))))</f>
        <v>na</v>
      </c>
      <c r="E159" s="7" t="s">
        <v>195</v>
      </c>
      <c r="F159" s="7" t="s">
        <v>195</v>
      </c>
      <c r="G159" s="7" t="s">
        <v>195</v>
      </c>
      <c r="H159" s="7" t="s">
        <v>195</v>
      </c>
      <c r="I159" s="7" t="s">
        <v>195</v>
      </c>
      <c r="J159" s="7" t="s">
        <v>195</v>
      </c>
      <c r="K159" s="7" t="s">
        <v>195</v>
      </c>
      <c r="L159" s="7" t="s">
        <v>195</v>
      </c>
      <c r="M159" s="7" t="s">
        <v>29</v>
      </c>
      <c r="N159" s="7" t="s">
        <v>29</v>
      </c>
      <c r="O159" s="7" t="s">
        <v>29</v>
      </c>
      <c r="P159" s="7" t="s">
        <v>29</v>
      </c>
      <c r="Q159" s="7" t="s">
        <v>29</v>
      </c>
      <c r="R159" s="7" t="s">
        <v>29</v>
      </c>
      <c r="S159" s="7" t="s">
        <v>29</v>
      </c>
    </row>
    <row r="160" spans="2:19">
      <c r="B160" s="9" t="s">
        <v>195</v>
      </c>
      <c r="C160" s="7" t="s">
        <v>195</v>
      </c>
      <c r="D160" s="5" t="str">
        <f>LRTRIM(CONCATENATE(IF(SUMPRODUCT(-- ISNUMBER(SEARCH({"Auto Number"}, $B160))) &gt; 0, $B160, IF(SUMPRODUCT(-- ISNUMBER(SEARCH({"Lookup","Master-Detail"}, $B160))) &gt; 0,$B160 &amp; "(" &amp; $E160 &amp; ")",IF(SUMPRODUCT(-- ISNUMBER(SEARCH({"Formula","Roll-Up Summary"}, $B160))) &gt; 0,$B160 &amp; " (" &amp; $E160 &amp; ")",IF(SUMPRODUCT(-- ISNUMBER(SEARCH({"Content","Currency","Number","Percent","Text","URL"}, $B160))) &gt; 0,$B160 &amp; "(" &amp; $C160 &amp; ")",$B160)))), "  ", TRIM(IF($S160 = "YES", "(External ID)", "") &amp; " " &amp; IF(SUMPRODUCT(-- ISNUMBER(SEARCH({"Unique","Unique Case Insensitive"}, $R160))) &gt; 0, "(" &amp; $R160 &amp; ")", ""))))</f>
        <v>na</v>
      </c>
      <c r="E160" s="7" t="s">
        <v>195</v>
      </c>
      <c r="F160" s="7" t="s">
        <v>195</v>
      </c>
      <c r="G160" s="7" t="s">
        <v>195</v>
      </c>
      <c r="H160" s="7" t="s">
        <v>195</v>
      </c>
      <c r="I160" s="7" t="s">
        <v>195</v>
      </c>
      <c r="J160" s="7" t="s">
        <v>195</v>
      </c>
      <c r="K160" s="7" t="s">
        <v>195</v>
      </c>
      <c r="L160" s="7" t="s">
        <v>195</v>
      </c>
      <c r="M160" s="7" t="s">
        <v>29</v>
      </c>
      <c r="N160" s="7" t="s">
        <v>29</v>
      </c>
      <c r="O160" s="7" t="s">
        <v>29</v>
      </c>
      <c r="P160" s="7" t="s">
        <v>29</v>
      </c>
      <c r="Q160" s="7" t="s">
        <v>29</v>
      </c>
      <c r="R160" s="7" t="s">
        <v>29</v>
      </c>
      <c r="S160" s="7" t="s">
        <v>29</v>
      </c>
    </row>
    <row r="161" spans="2:19">
      <c r="B161" s="9" t="s">
        <v>195</v>
      </c>
      <c r="C161" s="7" t="s">
        <v>195</v>
      </c>
      <c r="D161" s="5" t="str">
        <f>LRTRIM(CONCATENATE(IF(SUMPRODUCT(-- ISNUMBER(SEARCH({"Auto Number"}, $B161))) &gt; 0, $B161, IF(SUMPRODUCT(-- ISNUMBER(SEARCH({"Lookup","Master-Detail"}, $B161))) &gt; 0,$B161 &amp; "(" &amp; $E161 &amp; ")",IF(SUMPRODUCT(-- ISNUMBER(SEARCH({"Formula","Roll-Up Summary"}, $B161))) &gt; 0,$B161 &amp; " (" &amp; $E161 &amp; ")",IF(SUMPRODUCT(-- ISNUMBER(SEARCH({"Content","Currency","Number","Percent","Text","URL"}, $B161))) &gt; 0,$B161 &amp; "(" &amp; $C161 &amp; ")",$B161)))), "  ", TRIM(IF($S161 = "YES", "(External ID)", "") &amp; " " &amp; IF(SUMPRODUCT(-- ISNUMBER(SEARCH({"Unique","Unique Case Insensitive"}, $R161))) &gt; 0, "(" &amp; $R161 &amp; ")", ""))))</f>
        <v>na</v>
      </c>
      <c r="E161" s="7" t="s">
        <v>195</v>
      </c>
      <c r="F161" s="7" t="s">
        <v>195</v>
      </c>
      <c r="G161" s="7" t="s">
        <v>195</v>
      </c>
      <c r="H161" s="7" t="s">
        <v>195</v>
      </c>
      <c r="I161" s="7" t="s">
        <v>195</v>
      </c>
      <c r="J161" s="7" t="s">
        <v>195</v>
      </c>
      <c r="K161" s="7" t="s">
        <v>195</v>
      </c>
      <c r="L161" s="7" t="s">
        <v>195</v>
      </c>
      <c r="M161" s="7" t="s">
        <v>29</v>
      </c>
      <c r="N161" s="7" t="s">
        <v>29</v>
      </c>
      <c r="O161" s="7" t="s">
        <v>29</v>
      </c>
      <c r="P161" s="7" t="s">
        <v>29</v>
      </c>
      <c r="Q161" s="7" t="s">
        <v>29</v>
      </c>
      <c r="R161" s="7" t="s">
        <v>29</v>
      </c>
      <c r="S161" s="7" t="s">
        <v>29</v>
      </c>
    </row>
    <row r="162" spans="2:19">
      <c r="B162" s="9" t="s">
        <v>195</v>
      </c>
      <c r="C162" s="7" t="s">
        <v>195</v>
      </c>
      <c r="D162" s="5" t="str">
        <f>LRTRIM(CONCATENATE(IF(SUMPRODUCT(-- ISNUMBER(SEARCH({"Auto Number"}, $B162))) &gt; 0, $B162, IF(SUMPRODUCT(-- ISNUMBER(SEARCH({"Lookup","Master-Detail"}, $B162))) &gt; 0,$B162 &amp; "(" &amp; $E162 &amp; ")",IF(SUMPRODUCT(-- ISNUMBER(SEARCH({"Formula","Roll-Up Summary"}, $B162))) &gt; 0,$B162 &amp; " (" &amp; $E162 &amp; ")",IF(SUMPRODUCT(-- ISNUMBER(SEARCH({"Content","Currency","Number","Percent","Text","URL"}, $B162))) &gt; 0,$B162 &amp; "(" &amp; $C162 &amp; ")",$B162)))), "  ", TRIM(IF($S162 = "YES", "(External ID)", "") &amp; " " &amp; IF(SUMPRODUCT(-- ISNUMBER(SEARCH({"Unique","Unique Case Insensitive"}, $R162))) &gt; 0, "(" &amp; $R162 &amp; ")", ""))))</f>
        <v>na</v>
      </c>
      <c r="E162" s="7" t="s">
        <v>195</v>
      </c>
      <c r="F162" s="7" t="s">
        <v>195</v>
      </c>
      <c r="G162" s="7" t="s">
        <v>195</v>
      </c>
      <c r="H162" s="7" t="s">
        <v>195</v>
      </c>
      <c r="I162" s="7" t="s">
        <v>195</v>
      </c>
      <c r="J162" s="7" t="s">
        <v>195</v>
      </c>
      <c r="K162" s="7" t="s">
        <v>195</v>
      </c>
      <c r="L162" s="7" t="s">
        <v>195</v>
      </c>
      <c r="M162" s="7" t="s">
        <v>29</v>
      </c>
      <c r="N162" s="7" t="s">
        <v>29</v>
      </c>
      <c r="O162" s="7" t="s">
        <v>29</v>
      </c>
      <c r="P162" s="7" t="s">
        <v>29</v>
      </c>
      <c r="Q162" s="7" t="s">
        <v>29</v>
      </c>
      <c r="R162" s="7" t="s">
        <v>29</v>
      </c>
      <c r="S162" s="7" t="s">
        <v>29</v>
      </c>
    </row>
    <row r="163" spans="2:19">
      <c r="B163" s="9" t="s">
        <v>195</v>
      </c>
      <c r="C163" s="7" t="s">
        <v>195</v>
      </c>
      <c r="D163" s="5" t="str">
        <f>LRTRIM(CONCATENATE(IF(SUMPRODUCT(-- ISNUMBER(SEARCH({"Auto Number"}, $B163))) &gt; 0, $B163, IF(SUMPRODUCT(-- ISNUMBER(SEARCH({"Lookup","Master-Detail"}, $B163))) &gt; 0,$B163 &amp; "(" &amp; $E163 &amp; ")",IF(SUMPRODUCT(-- ISNUMBER(SEARCH({"Formula","Roll-Up Summary"}, $B163))) &gt; 0,$B163 &amp; " (" &amp; $E163 &amp; ")",IF(SUMPRODUCT(-- ISNUMBER(SEARCH({"Content","Currency","Number","Percent","Text","URL"}, $B163))) &gt; 0,$B163 &amp; "(" &amp; $C163 &amp; ")",$B163)))), "  ", TRIM(IF($S163 = "YES", "(External ID)", "") &amp; " " &amp; IF(SUMPRODUCT(-- ISNUMBER(SEARCH({"Unique","Unique Case Insensitive"}, $R163))) &gt; 0, "(" &amp; $R163 &amp; ")", ""))))</f>
        <v>na</v>
      </c>
      <c r="E163" s="7" t="s">
        <v>195</v>
      </c>
      <c r="F163" s="7" t="s">
        <v>195</v>
      </c>
      <c r="G163" s="7" t="s">
        <v>195</v>
      </c>
      <c r="H163" s="7" t="s">
        <v>195</v>
      </c>
      <c r="I163" s="7" t="s">
        <v>195</v>
      </c>
      <c r="J163" s="7" t="s">
        <v>195</v>
      </c>
      <c r="K163" s="7" t="s">
        <v>195</v>
      </c>
      <c r="L163" s="7" t="s">
        <v>195</v>
      </c>
      <c r="M163" s="7" t="s">
        <v>29</v>
      </c>
      <c r="N163" s="7" t="s">
        <v>29</v>
      </c>
      <c r="O163" s="7" t="s">
        <v>29</v>
      </c>
      <c r="P163" s="7" t="s">
        <v>29</v>
      </c>
      <c r="Q163" s="7" t="s">
        <v>29</v>
      </c>
      <c r="R163" s="7" t="s">
        <v>29</v>
      </c>
      <c r="S163" s="7" t="s">
        <v>29</v>
      </c>
    </row>
    <row r="164" spans="2:19">
      <c r="B164" s="9" t="s">
        <v>195</v>
      </c>
      <c r="C164" s="7" t="s">
        <v>195</v>
      </c>
      <c r="D164" s="5" t="str">
        <f>LRTRIM(CONCATENATE(IF(SUMPRODUCT(-- ISNUMBER(SEARCH({"Auto Number"}, $B164))) &gt; 0, $B164, IF(SUMPRODUCT(-- ISNUMBER(SEARCH({"Lookup","Master-Detail"}, $B164))) &gt; 0,$B164 &amp; "(" &amp; $E164 &amp; ")",IF(SUMPRODUCT(-- ISNUMBER(SEARCH({"Formula","Roll-Up Summary"}, $B164))) &gt; 0,$B164 &amp; " (" &amp; $E164 &amp; ")",IF(SUMPRODUCT(-- ISNUMBER(SEARCH({"Content","Currency","Number","Percent","Text","URL"}, $B164))) &gt; 0,$B164 &amp; "(" &amp; $C164 &amp; ")",$B164)))), "  ", TRIM(IF($S164 = "YES", "(External ID)", "") &amp; " " &amp; IF(SUMPRODUCT(-- ISNUMBER(SEARCH({"Unique","Unique Case Insensitive"}, $R164))) &gt; 0, "(" &amp; $R164 &amp; ")", ""))))</f>
        <v>na</v>
      </c>
      <c r="E164" s="7" t="s">
        <v>195</v>
      </c>
      <c r="F164" s="7" t="s">
        <v>195</v>
      </c>
      <c r="G164" s="7" t="s">
        <v>195</v>
      </c>
      <c r="H164" s="7" t="s">
        <v>195</v>
      </c>
      <c r="I164" s="7" t="s">
        <v>195</v>
      </c>
      <c r="J164" s="7" t="s">
        <v>195</v>
      </c>
      <c r="K164" s="7" t="s">
        <v>195</v>
      </c>
      <c r="L164" s="7" t="s">
        <v>195</v>
      </c>
      <c r="M164" s="7" t="s">
        <v>29</v>
      </c>
      <c r="N164" s="7" t="s">
        <v>29</v>
      </c>
      <c r="O164" s="7" t="s">
        <v>29</v>
      </c>
      <c r="P164" s="7" t="s">
        <v>29</v>
      </c>
      <c r="Q164" s="7" t="s">
        <v>29</v>
      </c>
      <c r="R164" s="7" t="s">
        <v>29</v>
      </c>
      <c r="S164" s="7" t="s">
        <v>29</v>
      </c>
    </row>
    <row r="165" spans="2:19">
      <c r="B165" s="9" t="s">
        <v>195</v>
      </c>
      <c r="C165" s="7" t="s">
        <v>195</v>
      </c>
      <c r="D165" s="5" t="str">
        <f>LRTRIM(CONCATENATE(IF(SUMPRODUCT(-- ISNUMBER(SEARCH({"Auto Number"}, $B165))) &gt; 0, $B165, IF(SUMPRODUCT(-- ISNUMBER(SEARCH({"Lookup","Master-Detail"}, $B165))) &gt; 0,$B165 &amp; "(" &amp; $E165 &amp; ")",IF(SUMPRODUCT(-- ISNUMBER(SEARCH({"Formula","Roll-Up Summary"}, $B165))) &gt; 0,$B165 &amp; " (" &amp; $E165 &amp; ")",IF(SUMPRODUCT(-- ISNUMBER(SEARCH({"Content","Currency","Number","Percent","Text","URL"}, $B165))) &gt; 0,$B165 &amp; "(" &amp; $C165 &amp; ")",$B165)))), "  ", TRIM(IF($S165 = "YES", "(External ID)", "") &amp; " " &amp; IF(SUMPRODUCT(-- ISNUMBER(SEARCH({"Unique","Unique Case Insensitive"}, $R165))) &gt; 0, "(" &amp; $R165 &amp; ")", ""))))</f>
        <v>na</v>
      </c>
      <c r="E165" s="7" t="s">
        <v>195</v>
      </c>
      <c r="F165" s="7" t="s">
        <v>195</v>
      </c>
      <c r="G165" s="7" t="s">
        <v>195</v>
      </c>
      <c r="H165" s="7" t="s">
        <v>195</v>
      </c>
      <c r="I165" s="7" t="s">
        <v>195</v>
      </c>
      <c r="J165" s="7" t="s">
        <v>195</v>
      </c>
      <c r="K165" s="7" t="s">
        <v>195</v>
      </c>
      <c r="L165" s="7" t="s">
        <v>195</v>
      </c>
      <c r="M165" s="7" t="s">
        <v>29</v>
      </c>
      <c r="N165" s="7" t="s">
        <v>29</v>
      </c>
      <c r="O165" s="7" t="s">
        <v>29</v>
      </c>
      <c r="P165" s="7" t="s">
        <v>29</v>
      </c>
      <c r="Q165" s="7" t="s">
        <v>29</v>
      </c>
      <c r="R165" s="7" t="s">
        <v>29</v>
      </c>
      <c r="S165" s="7" t="s">
        <v>29</v>
      </c>
    </row>
    <row r="166" spans="2:19">
      <c r="B166" s="9" t="s">
        <v>195</v>
      </c>
      <c r="C166" s="7" t="s">
        <v>195</v>
      </c>
      <c r="D166" s="5" t="str">
        <f>LRTRIM(CONCATENATE(IF(SUMPRODUCT(-- ISNUMBER(SEARCH({"Auto Number"}, $B166))) &gt; 0, $B166, IF(SUMPRODUCT(-- ISNUMBER(SEARCH({"Lookup","Master-Detail"}, $B166))) &gt; 0,$B166 &amp; "(" &amp; $E166 &amp; ")",IF(SUMPRODUCT(-- ISNUMBER(SEARCH({"Formula","Roll-Up Summary"}, $B166))) &gt; 0,$B166 &amp; " (" &amp; $E166 &amp; ")",IF(SUMPRODUCT(-- ISNUMBER(SEARCH({"Content","Currency","Number","Percent","Text","URL"}, $B166))) &gt; 0,$B166 &amp; "(" &amp; $C166 &amp; ")",$B166)))), "  ", TRIM(IF($S166 = "YES", "(External ID)", "") &amp; " " &amp; IF(SUMPRODUCT(-- ISNUMBER(SEARCH({"Unique","Unique Case Insensitive"}, $R166))) &gt; 0, "(" &amp; $R166 &amp; ")", ""))))</f>
        <v>na</v>
      </c>
      <c r="E166" s="7" t="s">
        <v>195</v>
      </c>
      <c r="F166" s="7" t="s">
        <v>195</v>
      </c>
      <c r="G166" s="7" t="s">
        <v>195</v>
      </c>
      <c r="H166" s="7" t="s">
        <v>195</v>
      </c>
      <c r="I166" s="7" t="s">
        <v>195</v>
      </c>
      <c r="J166" s="7" t="s">
        <v>195</v>
      </c>
      <c r="K166" s="7" t="s">
        <v>195</v>
      </c>
      <c r="L166" s="7" t="s">
        <v>195</v>
      </c>
      <c r="M166" s="7" t="s">
        <v>29</v>
      </c>
      <c r="N166" s="7" t="s">
        <v>29</v>
      </c>
      <c r="O166" s="7" t="s">
        <v>29</v>
      </c>
      <c r="P166" s="7" t="s">
        <v>29</v>
      </c>
      <c r="Q166" s="7" t="s">
        <v>29</v>
      </c>
      <c r="R166" s="7" t="s">
        <v>29</v>
      </c>
      <c r="S166" s="7" t="s">
        <v>29</v>
      </c>
    </row>
    <row r="167" spans="2:19">
      <c r="B167" s="9" t="s">
        <v>195</v>
      </c>
      <c r="C167" s="7" t="s">
        <v>195</v>
      </c>
      <c r="D167" s="5" t="str">
        <f>LRTRIM(CONCATENATE(IF(SUMPRODUCT(-- ISNUMBER(SEARCH({"Auto Number"}, $B167))) &gt; 0, $B167, IF(SUMPRODUCT(-- ISNUMBER(SEARCH({"Lookup","Master-Detail"}, $B167))) &gt; 0,$B167 &amp; "(" &amp; $E167 &amp; ")",IF(SUMPRODUCT(-- ISNUMBER(SEARCH({"Formula","Roll-Up Summary"}, $B167))) &gt; 0,$B167 &amp; " (" &amp; $E167 &amp; ")",IF(SUMPRODUCT(-- ISNUMBER(SEARCH({"Content","Currency","Number","Percent","Text","URL"}, $B167))) &gt; 0,$B167 &amp; "(" &amp; $C167 &amp; ")",$B167)))), "  ", TRIM(IF($S167 = "YES", "(External ID)", "") &amp; " " &amp; IF(SUMPRODUCT(-- ISNUMBER(SEARCH({"Unique","Unique Case Insensitive"}, $R167))) &gt; 0, "(" &amp; $R167 &amp; ")", ""))))</f>
        <v>na</v>
      </c>
      <c r="E167" s="7" t="s">
        <v>195</v>
      </c>
      <c r="F167" s="7" t="s">
        <v>195</v>
      </c>
      <c r="G167" s="7" t="s">
        <v>195</v>
      </c>
      <c r="H167" s="7" t="s">
        <v>195</v>
      </c>
      <c r="I167" s="7" t="s">
        <v>195</v>
      </c>
      <c r="J167" s="7" t="s">
        <v>195</v>
      </c>
      <c r="K167" s="7" t="s">
        <v>195</v>
      </c>
      <c r="L167" s="7" t="s">
        <v>195</v>
      </c>
      <c r="M167" s="7" t="s">
        <v>29</v>
      </c>
      <c r="N167" s="7" t="s">
        <v>29</v>
      </c>
      <c r="O167" s="7" t="s">
        <v>29</v>
      </c>
      <c r="P167" s="7" t="s">
        <v>29</v>
      </c>
      <c r="Q167" s="7" t="s">
        <v>29</v>
      </c>
      <c r="R167" s="7" t="s">
        <v>29</v>
      </c>
      <c r="S167" s="7" t="s">
        <v>29</v>
      </c>
    </row>
    <row r="168" spans="2:19">
      <c r="B168" s="9" t="s">
        <v>195</v>
      </c>
      <c r="C168" s="7" t="s">
        <v>195</v>
      </c>
      <c r="D168" s="5" t="str">
        <f>LRTRIM(CONCATENATE(IF(SUMPRODUCT(-- ISNUMBER(SEARCH({"Auto Number"}, $B168))) &gt; 0, $B168, IF(SUMPRODUCT(-- ISNUMBER(SEARCH({"Lookup","Master-Detail"}, $B168))) &gt; 0,$B168 &amp; "(" &amp; $E168 &amp; ")",IF(SUMPRODUCT(-- ISNUMBER(SEARCH({"Formula","Roll-Up Summary"}, $B168))) &gt; 0,$B168 &amp; " (" &amp; $E168 &amp; ")",IF(SUMPRODUCT(-- ISNUMBER(SEARCH({"Content","Currency","Number","Percent","Text","URL"}, $B168))) &gt; 0,$B168 &amp; "(" &amp; $C168 &amp; ")",$B168)))), "  ", TRIM(IF($S168 = "YES", "(External ID)", "") &amp; " " &amp; IF(SUMPRODUCT(-- ISNUMBER(SEARCH({"Unique","Unique Case Insensitive"}, $R168))) &gt; 0, "(" &amp; $R168 &amp; ")", ""))))</f>
        <v>na</v>
      </c>
      <c r="E168" s="7" t="s">
        <v>195</v>
      </c>
      <c r="F168" s="7" t="s">
        <v>195</v>
      </c>
      <c r="G168" s="7" t="s">
        <v>195</v>
      </c>
      <c r="H168" s="7" t="s">
        <v>195</v>
      </c>
      <c r="I168" s="7" t="s">
        <v>195</v>
      </c>
      <c r="J168" s="7" t="s">
        <v>195</v>
      </c>
      <c r="K168" s="7" t="s">
        <v>195</v>
      </c>
      <c r="L168" s="7" t="s">
        <v>195</v>
      </c>
      <c r="M168" s="7" t="s">
        <v>29</v>
      </c>
      <c r="N168" s="7" t="s">
        <v>29</v>
      </c>
      <c r="O168" s="7" t="s">
        <v>29</v>
      </c>
      <c r="P168" s="7" t="s">
        <v>29</v>
      </c>
      <c r="Q168" s="7" t="s">
        <v>29</v>
      </c>
      <c r="R168" s="7" t="s">
        <v>29</v>
      </c>
      <c r="S168" s="7" t="s">
        <v>29</v>
      </c>
    </row>
    <row r="169" spans="2:19">
      <c r="B169" s="9" t="s">
        <v>195</v>
      </c>
      <c r="C169" s="7" t="s">
        <v>195</v>
      </c>
      <c r="D169" s="5" t="str">
        <f>LRTRIM(CONCATENATE(IF(SUMPRODUCT(-- ISNUMBER(SEARCH({"Auto Number"}, $B169))) &gt; 0, $B169, IF(SUMPRODUCT(-- ISNUMBER(SEARCH({"Lookup","Master-Detail"}, $B169))) &gt; 0,$B169 &amp; "(" &amp; $E169 &amp; ")",IF(SUMPRODUCT(-- ISNUMBER(SEARCH({"Formula","Roll-Up Summary"}, $B169))) &gt; 0,$B169 &amp; " (" &amp; $E169 &amp; ")",IF(SUMPRODUCT(-- ISNUMBER(SEARCH({"Content","Currency","Number","Percent","Text","URL"}, $B169))) &gt; 0,$B169 &amp; "(" &amp; $C169 &amp; ")",$B169)))), "  ", TRIM(IF($S169 = "YES", "(External ID)", "") &amp; " " &amp; IF(SUMPRODUCT(-- ISNUMBER(SEARCH({"Unique","Unique Case Insensitive"}, $R169))) &gt; 0, "(" &amp; $R169 &amp; ")", ""))))</f>
        <v>na</v>
      </c>
      <c r="E169" s="7" t="s">
        <v>195</v>
      </c>
      <c r="F169" s="7" t="s">
        <v>195</v>
      </c>
      <c r="G169" s="7" t="s">
        <v>195</v>
      </c>
      <c r="H169" s="7" t="s">
        <v>195</v>
      </c>
      <c r="I169" s="7" t="s">
        <v>195</v>
      </c>
      <c r="J169" s="7" t="s">
        <v>195</v>
      </c>
      <c r="K169" s="7" t="s">
        <v>195</v>
      </c>
      <c r="L169" s="7" t="s">
        <v>195</v>
      </c>
      <c r="M169" s="7" t="s">
        <v>29</v>
      </c>
      <c r="N169" s="7" t="s">
        <v>29</v>
      </c>
      <c r="O169" s="7" t="s">
        <v>29</v>
      </c>
      <c r="P169" s="7" t="s">
        <v>29</v>
      </c>
      <c r="Q169" s="7" t="s">
        <v>29</v>
      </c>
      <c r="R169" s="7" t="s">
        <v>29</v>
      </c>
      <c r="S169" s="7" t="s">
        <v>29</v>
      </c>
    </row>
    <row r="170" spans="2:19">
      <c r="B170" s="9" t="s">
        <v>195</v>
      </c>
      <c r="C170" s="7" t="s">
        <v>195</v>
      </c>
      <c r="D170" s="5" t="str">
        <f>LRTRIM(CONCATENATE(IF(SUMPRODUCT(-- ISNUMBER(SEARCH({"Auto Number"}, $B170))) &gt; 0, $B170, IF(SUMPRODUCT(-- ISNUMBER(SEARCH({"Lookup","Master-Detail"}, $B170))) &gt; 0,$B170 &amp; "(" &amp; $E170 &amp; ")",IF(SUMPRODUCT(-- ISNUMBER(SEARCH({"Formula","Roll-Up Summary"}, $B170))) &gt; 0,$B170 &amp; " (" &amp; $E170 &amp; ")",IF(SUMPRODUCT(-- ISNUMBER(SEARCH({"Content","Currency","Number","Percent","Text","URL"}, $B170))) &gt; 0,$B170 &amp; "(" &amp; $C170 &amp; ")",$B170)))), "  ", TRIM(IF($S170 = "YES", "(External ID)", "") &amp; " " &amp; IF(SUMPRODUCT(-- ISNUMBER(SEARCH({"Unique","Unique Case Insensitive"}, $R170))) &gt; 0, "(" &amp; $R170 &amp; ")", ""))))</f>
        <v>na</v>
      </c>
      <c r="E170" s="7" t="s">
        <v>195</v>
      </c>
      <c r="F170" s="7" t="s">
        <v>195</v>
      </c>
      <c r="G170" s="7" t="s">
        <v>195</v>
      </c>
      <c r="H170" s="7" t="s">
        <v>195</v>
      </c>
      <c r="I170" s="7" t="s">
        <v>195</v>
      </c>
      <c r="J170" s="7" t="s">
        <v>195</v>
      </c>
      <c r="K170" s="7" t="s">
        <v>195</v>
      </c>
      <c r="L170" s="7" t="s">
        <v>195</v>
      </c>
      <c r="M170" s="7" t="s">
        <v>29</v>
      </c>
      <c r="N170" s="7" t="s">
        <v>29</v>
      </c>
      <c r="O170" s="7" t="s">
        <v>29</v>
      </c>
      <c r="P170" s="7" t="s">
        <v>29</v>
      </c>
      <c r="Q170" s="7" t="s">
        <v>29</v>
      </c>
      <c r="R170" s="7" t="s">
        <v>29</v>
      </c>
      <c r="S170" s="7" t="s">
        <v>29</v>
      </c>
    </row>
    <row r="171" spans="2:19">
      <c r="B171" s="9" t="s">
        <v>195</v>
      </c>
      <c r="C171" s="7" t="s">
        <v>195</v>
      </c>
      <c r="D171" s="5" t="str">
        <f>LRTRIM(CONCATENATE(IF(SUMPRODUCT(-- ISNUMBER(SEARCH({"Auto Number"}, $B171))) &gt; 0, $B171, IF(SUMPRODUCT(-- ISNUMBER(SEARCH({"Lookup","Master-Detail"}, $B171))) &gt; 0,$B171 &amp; "(" &amp; $E171 &amp; ")",IF(SUMPRODUCT(-- ISNUMBER(SEARCH({"Formula","Roll-Up Summary"}, $B171))) &gt; 0,$B171 &amp; " (" &amp; $E171 &amp; ")",IF(SUMPRODUCT(-- ISNUMBER(SEARCH({"Content","Currency","Number","Percent","Text","URL"}, $B171))) &gt; 0,$B171 &amp; "(" &amp; $C171 &amp; ")",$B171)))), "  ", TRIM(IF($S171 = "YES", "(External ID)", "") &amp; " " &amp; IF(SUMPRODUCT(-- ISNUMBER(SEARCH({"Unique","Unique Case Insensitive"}, $R171))) &gt; 0, "(" &amp; $R171 &amp; ")", ""))))</f>
        <v>na</v>
      </c>
      <c r="E171" s="7" t="s">
        <v>195</v>
      </c>
      <c r="F171" s="7" t="s">
        <v>195</v>
      </c>
      <c r="G171" s="7" t="s">
        <v>195</v>
      </c>
      <c r="H171" s="7" t="s">
        <v>195</v>
      </c>
      <c r="I171" s="7" t="s">
        <v>195</v>
      </c>
      <c r="J171" s="7" t="s">
        <v>195</v>
      </c>
      <c r="K171" s="7" t="s">
        <v>195</v>
      </c>
      <c r="L171" s="7" t="s">
        <v>195</v>
      </c>
      <c r="M171" s="7" t="s">
        <v>29</v>
      </c>
      <c r="N171" s="7" t="s">
        <v>29</v>
      </c>
      <c r="O171" s="7" t="s">
        <v>29</v>
      </c>
      <c r="P171" s="7" t="s">
        <v>29</v>
      </c>
      <c r="Q171" s="7" t="s">
        <v>29</v>
      </c>
      <c r="R171" s="7" t="s">
        <v>29</v>
      </c>
      <c r="S171" s="7" t="s">
        <v>29</v>
      </c>
    </row>
    <row r="172" spans="2:19">
      <c r="B172" s="9" t="s">
        <v>195</v>
      </c>
      <c r="C172" s="7" t="s">
        <v>195</v>
      </c>
      <c r="D172" s="5" t="str">
        <f>LRTRIM(CONCATENATE(IF(SUMPRODUCT(-- ISNUMBER(SEARCH({"Auto Number"}, $B172))) &gt; 0, $B172, IF(SUMPRODUCT(-- ISNUMBER(SEARCH({"Lookup","Master-Detail"}, $B172))) &gt; 0,$B172 &amp; "(" &amp; $E172 &amp; ")",IF(SUMPRODUCT(-- ISNUMBER(SEARCH({"Formula","Roll-Up Summary"}, $B172))) &gt; 0,$B172 &amp; " (" &amp; $E172 &amp; ")",IF(SUMPRODUCT(-- ISNUMBER(SEARCH({"Content","Currency","Number","Percent","Text","URL"}, $B172))) &gt; 0,$B172 &amp; "(" &amp; $C172 &amp; ")",$B172)))), "  ", TRIM(IF($S172 = "YES", "(External ID)", "") &amp; " " &amp; IF(SUMPRODUCT(-- ISNUMBER(SEARCH({"Unique","Unique Case Insensitive"}, $R172))) &gt; 0, "(" &amp; $R172 &amp; ")", ""))))</f>
        <v>na</v>
      </c>
      <c r="E172" s="7" t="s">
        <v>195</v>
      </c>
      <c r="F172" s="7" t="s">
        <v>195</v>
      </c>
      <c r="G172" s="7" t="s">
        <v>195</v>
      </c>
      <c r="H172" s="7" t="s">
        <v>195</v>
      </c>
      <c r="I172" s="7" t="s">
        <v>195</v>
      </c>
      <c r="J172" s="7" t="s">
        <v>195</v>
      </c>
      <c r="K172" s="7" t="s">
        <v>195</v>
      </c>
      <c r="L172" s="7" t="s">
        <v>195</v>
      </c>
      <c r="M172" s="7" t="s">
        <v>29</v>
      </c>
      <c r="N172" s="7" t="s">
        <v>29</v>
      </c>
      <c r="O172" s="7" t="s">
        <v>29</v>
      </c>
      <c r="P172" s="7" t="s">
        <v>29</v>
      </c>
      <c r="Q172" s="7" t="s">
        <v>29</v>
      </c>
      <c r="R172" s="7" t="s">
        <v>29</v>
      </c>
      <c r="S172" s="7" t="s">
        <v>29</v>
      </c>
    </row>
    <row r="173" spans="2:19">
      <c r="B173" s="9" t="s">
        <v>195</v>
      </c>
      <c r="C173" s="7" t="s">
        <v>195</v>
      </c>
      <c r="D173" s="5" t="str">
        <f>LRTRIM(CONCATENATE(IF(SUMPRODUCT(-- ISNUMBER(SEARCH({"Auto Number"}, $B173))) &gt; 0, $B173, IF(SUMPRODUCT(-- ISNUMBER(SEARCH({"Lookup","Master-Detail"}, $B173))) &gt; 0,$B173 &amp; "(" &amp; $E173 &amp; ")",IF(SUMPRODUCT(-- ISNUMBER(SEARCH({"Formula","Roll-Up Summary"}, $B173))) &gt; 0,$B173 &amp; " (" &amp; $E173 &amp; ")",IF(SUMPRODUCT(-- ISNUMBER(SEARCH({"Content","Currency","Number","Percent","Text","URL"}, $B173))) &gt; 0,$B173 &amp; "(" &amp; $C173 &amp; ")",$B173)))), "  ", TRIM(IF($S173 = "YES", "(External ID)", "") &amp; " " &amp; IF(SUMPRODUCT(-- ISNUMBER(SEARCH({"Unique","Unique Case Insensitive"}, $R173))) &gt; 0, "(" &amp; $R173 &amp; ")", ""))))</f>
        <v>na</v>
      </c>
      <c r="E173" s="7" t="s">
        <v>195</v>
      </c>
      <c r="F173" s="7" t="s">
        <v>195</v>
      </c>
      <c r="G173" s="7" t="s">
        <v>195</v>
      </c>
      <c r="H173" s="7" t="s">
        <v>195</v>
      </c>
      <c r="I173" s="7" t="s">
        <v>195</v>
      </c>
      <c r="J173" s="7" t="s">
        <v>195</v>
      </c>
      <c r="K173" s="7" t="s">
        <v>195</v>
      </c>
      <c r="L173" s="7" t="s">
        <v>195</v>
      </c>
      <c r="M173" s="7" t="s">
        <v>29</v>
      </c>
      <c r="N173" s="7" t="s">
        <v>29</v>
      </c>
      <c r="O173" s="7" t="s">
        <v>29</v>
      </c>
      <c r="P173" s="7" t="s">
        <v>29</v>
      </c>
      <c r="Q173" s="7" t="s">
        <v>29</v>
      </c>
      <c r="R173" s="7" t="s">
        <v>29</v>
      </c>
      <c r="S173" s="7" t="s">
        <v>29</v>
      </c>
    </row>
    <row r="174" spans="2:19">
      <c r="B174" s="9" t="s">
        <v>195</v>
      </c>
      <c r="C174" s="7" t="s">
        <v>195</v>
      </c>
      <c r="D174" s="5" t="str">
        <f>LRTRIM(CONCATENATE(IF(SUMPRODUCT(-- ISNUMBER(SEARCH({"Auto Number"}, $B174))) &gt; 0, $B174, IF(SUMPRODUCT(-- ISNUMBER(SEARCH({"Lookup","Master-Detail"}, $B174))) &gt; 0,$B174 &amp; "(" &amp; $E174 &amp; ")",IF(SUMPRODUCT(-- ISNUMBER(SEARCH({"Formula","Roll-Up Summary"}, $B174))) &gt; 0,$B174 &amp; " (" &amp; $E174 &amp; ")",IF(SUMPRODUCT(-- ISNUMBER(SEARCH({"Content","Currency","Number","Percent","Text","URL"}, $B174))) &gt; 0,$B174 &amp; "(" &amp; $C174 &amp; ")",$B174)))), "  ", TRIM(IF($S174 = "YES", "(External ID)", "") &amp; " " &amp; IF(SUMPRODUCT(-- ISNUMBER(SEARCH({"Unique","Unique Case Insensitive"}, $R174))) &gt; 0, "(" &amp; $R174 &amp; ")", ""))))</f>
        <v>na</v>
      </c>
      <c r="E174" s="7" t="s">
        <v>195</v>
      </c>
      <c r="F174" s="7" t="s">
        <v>195</v>
      </c>
      <c r="G174" s="7" t="s">
        <v>195</v>
      </c>
      <c r="H174" s="7" t="s">
        <v>195</v>
      </c>
      <c r="I174" s="7" t="s">
        <v>195</v>
      </c>
      <c r="J174" s="7" t="s">
        <v>195</v>
      </c>
      <c r="K174" s="7" t="s">
        <v>195</v>
      </c>
      <c r="L174" s="7" t="s">
        <v>195</v>
      </c>
      <c r="M174" s="7" t="s">
        <v>29</v>
      </c>
      <c r="N174" s="7" t="s">
        <v>29</v>
      </c>
      <c r="O174" s="7" t="s">
        <v>29</v>
      </c>
      <c r="P174" s="7" t="s">
        <v>29</v>
      </c>
      <c r="Q174" s="7" t="s">
        <v>29</v>
      </c>
      <c r="R174" s="7" t="s">
        <v>29</v>
      </c>
      <c r="S174" s="7" t="s">
        <v>29</v>
      </c>
    </row>
    <row r="175" spans="2:19">
      <c r="B175" s="9" t="s">
        <v>195</v>
      </c>
      <c r="C175" s="7" t="s">
        <v>195</v>
      </c>
      <c r="D175" s="5" t="str">
        <f>LRTRIM(CONCATENATE(IF(SUMPRODUCT(-- ISNUMBER(SEARCH({"Auto Number"}, $B175))) &gt; 0, $B175, IF(SUMPRODUCT(-- ISNUMBER(SEARCH({"Lookup","Master-Detail"}, $B175))) &gt; 0,$B175 &amp; "(" &amp; $E175 &amp; ")",IF(SUMPRODUCT(-- ISNUMBER(SEARCH({"Formula","Roll-Up Summary"}, $B175))) &gt; 0,$B175 &amp; " (" &amp; $E175 &amp; ")",IF(SUMPRODUCT(-- ISNUMBER(SEARCH({"Content","Currency","Number","Percent","Text","URL"}, $B175))) &gt; 0,$B175 &amp; "(" &amp; $C175 &amp; ")",$B175)))), "  ", TRIM(IF($S175 = "YES", "(External ID)", "") &amp; " " &amp; IF(SUMPRODUCT(-- ISNUMBER(SEARCH({"Unique","Unique Case Insensitive"}, $R175))) &gt; 0, "(" &amp; $R175 &amp; ")", ""))))</f>
        <v>na</v>
      </c>
      <c r="E175" s="7" t="s">
        <v>195</v>
      </c>
      <c r="F175" s="7" t="s">
        <v>195</v>
      </c>
      <c r="G175" s="7" t="s">
        <v>195</v>
      </c>
      <c r="H175" s="7" t="s">
        <v>195</v>
      </c>
      <c r="I175" s="7" t="s">
        <v>195</v>
      </c>
      <c r="J175" s="7" t="s">
        <v>195</v>
      </c>
      <c r="K175" s="7" t="s">
        <v>195</v>
      </c>
      <c r="L175" s="7" t="s">
        <v>195</v>
      </c>
      <c r="M175" s="7" t="s">
        <v>29</v>
      </c>
      <c r="N175" s="7" t="s">
        <v>29</v>
      </c>
      <c r="O175" s="7" t="s">
        <v>29</v>
      </c>
      <c r="P175" s="7" t="s">
        <v>29</v>
      </c>
      <c r="Q175" s="7" t="s">
        <v>29</v>
      </c>
      <c r="R175" s="7" t="s">
        <v>29</v>
      </c>
      <c r="S175" s="7" t="s">
        <v>29</v>
      </c>
    </row>
    <row r="176" spans="2:19">
      <c r="B176" s="9" t="s">
        <v>195</v>
      </c>
      <c r="C176" s="7" t="s">
        <v>195</v>
      </c>
      <c r="D176" s="5" t="str">
        <f>LRTRIM(CONCATENATE(IF(SUMPRODUCT(-- ISNUMBER(SEARCH({"Auto Number"}, $B176))) &gt; 0, $B176, IF(SUMPRODUCT(-- ISNUMBER(SEARCH({"Lookup","Master-Detail"}, $B176))) &gt; 0,$B176 &amp; "(" &amp; $E176 &amp; ")",IF(SUMPRODUCT(-- ISNUMBER(SEARCH({"Formula","Roll-Up Summary"}, $B176))) &gt; 0,$B176 &amp; " (" &amp; $E176 &amp; ")",IF(SUMPRODUCT(-- ISNUMBER(SEARCH({"Content","Currency","Number","Percent","Text","URL"}, $B176))) &gt; 0,$B176 &amp; "(" &amp; $C176 &amp; ")",$B176)))), "  ", TRIM(IF($S176 = "YES", "(External ID)", "") &amp; " " &amp; IF(SUMPRODUCT(-- ISNUMBER(SEARCH({"Unique","Unique Case Insensitive"}, $R176))) &gt; 0, "(" &amp; $R176 &amp; ")", ""))))</f>
        <v>na</v>
      </c>
      <c r="E176" s="7" t="s">
        <v>195</v>
      </c>
      <c r="F176" s="7" t="s">
        <v>195</v>
      </c>
      <c r="G176" s="7" t="s">
        <v>195</v>
      </c>
      <c r="H176" s="7" t="s">
        <v>195</v>
      </c>
      <c r="I176" s="7" t="s">
        <v>195</v>
      </c>
      <c r="J176" s="7" t="s">
        <v>195</v>
      </c>
      <c r="K176" s="7" t="s">
        <v>195</v>
      </c>
      <c r="L176" s="7" t="s">
        <v>195</v>
      </c>
      <c r="M176" s="7" t="s">
        <v>29</v>
      </c>
      <c r="N176" s="7" t="s">
        <v>29</v>
      </c>
      <c r="O176" s="7" t="s">
        <v>29</v>
      </c>
      <c r="P176" s="7" t="s">
        <v>29</v>
      </c>
      <c r="Q176" s="7" t="s">
        <v>29</v>
      </c>
      <c r="R176" s="7" t="s">
        <v>29</v>
      </c>
      <c r="S176" s="7" t="s">
        <v>29</v>
      </c>
    </row>
    <row r="177" spans="2:19">
      <c r="B177" s="9" t="s">
        <v>195</v>
      </c>
      <c r="C177" s="7" t="s">
        <v>195</v>
      </c>
      <c r="D177" s="5" t="str">
        <f>LRTRIM(CONCATENATE(IF(SUMPRODUCT(-- ISNUMBER(SEARCH({"Auto Number"}, $B177))) &gt; 0, $B177, IF(SUMPRODUCT(-- ISNUMBER(SEARCH({"Lookup","Master-Detail"}, $B177))) &gt; 0,$B177 &amp; "(" &amp; $E177 &amp; ")",IF(SUMPRODUCT(-- ISNUMBER(SEARCH({"Formula","Roll-Up Summary"}, $B177))) &gt; 0,$B177 &amp; " (" &amp; $E177 &amp; ")",IF(SUMPRODUCT(-- ISNUMBER(SEARCH({"Content","Currency","Number","Percent","Text","URL"}, $B177))) &gt; 0,$B177 &amp; "(" &amp; $C177 &amp; ")",$B177)))), "  ", TRIM(IF($S177 = "YES", "(External ID)", "") &amp; " " &amp; IF(SUMPRODUCT(-- ISNUMBER(SEARCH({"Unique","Unique Case Insensitive"}, $R177))) &gt; 0, "(" &amp; $R177 &amp; ")", ""))))</f>
        <v>na</v>
      </c>
      <c r="E177" s="7" t="s">
        <v>195</v>
      </c>
      <c r="F177" s="7" t="s">
        <v>195</v>
      </c>
      <c r="G177" s="7" t="s">
        <v>195</v>
      </c>
      <c r="H177" s="7" t="s">
        <v>195</v>
      </c>
      <c r="I177" s="7" t="s">
        <v>195</v>
      </c>
      <c r="J177" s="7" t="s">
        <v>195</v>
      </c>
      <c r="K177" s="7" t="s">
        <v>195</v>
      </c>
      <c r="L177" s="7" t="s">
        <v>195</v>
      </c>
      <c r="M177" s="7" t="s">
        <v>29</v>
      </c>
      <c r="N177" s="7" t="s">
        <v>29</v>
      </c>
      <c r="O177" s="7" t="s">
        <v>29</v>
      </c>
      <c r="P177" s="7" t="s">
        <v>29</v>
      </c>
      <c r="Q177" s="7" t="s">
        <v>29</v>
      </c>
      <c r="R177" s="7" t="s">
        <v>29</v>
      </c>
      <c r="S177" s="7" t="s">
        <v>29</v>
      </c>
    </row>
    <row r="178" spans="2:19">
      <c r="B178" s="9" t="s">
        <v>195</v>
      </c>
      <c r="C178" s="7" t="s">
        <v>195</v>
      </c>
      <c r="D178" s="5" t="str">
        <f>LRTRIM(CONCATENATE(IF(SUMPRODUCT(-- ISNUMBER(SEARCH({"Auto Number"}, $B178))) &gt; 0, $B178, IF(SUMPRODUCT(-- ISNUMBER(SEARCH({"Lookup","Master-Detail"}, $B178))) &gt; 0,$B178 &amp; "(" &amp; $E178 &amp; ")",IF(SUMPRODUCT(-- ISNUMBER(SEARCH({"Formula","Roll-Up Summary"}, $B178))) &gt; 0,$B178 &amp; " (" &amp; $E178 &amp; ")",IF(SUMPRODUCT(-- ISNUMBER(SEARCH({"Content","Currency","Number","Percent","Text","URL"}, $B178))) &gt; 0,$B178 &amp; "(" &amp; $C178 &amp; ")",$B178)))), "  ", TRIM(IF($S178 = "YES", "(External ID)", "") &amp; " " &amp; IF(SUMPRODUCT(-- ISNUMBER(SEARCH({"Unique","Unique Case Insensitive"}, $R178))) &gt; 0, "(" &amp; $R178 &amp; ")", ""))))</f>
        <v>na</v>
      </c>
      <c r="E178" s="7" t="s">
        <v>195</v>
      </c>
      <c r="F178" s="7" t="s">
        <v>195</v>
      </c>
      <c r="G178" s="7" t="s">
        <v>195</v>
      </c>
      <c r="H178" s="7" t="s">
        <v>195</v>
      </c>
      <c r="I178" s="7" t="s">
        <v>195</v>
      </c>
      <c r="J178" s="7" t="s">
        <v>195</v>
      </c>
      <c r="K178" s="7" t="s">
        <v>195</v>
      </c>
      <c r="L178" s="7" t="s">
        <v>195</v>
      </c>
      <c r="M178" s="7" t="s">
        <v>29</v>
      </c>
      <c r="N178" s="7" t="s">
        <v>29</v>
      </c>
      <c r="O178" s="7" t="s">
        <v>29</v>
      </c>
      <c r="P178" s="7" t="s">
        <v>29</v>
      </c>
      <c r="Q178" s="7" t="s">
        <v>29</v>
      </c>
      <c r="R178" s="7" t="s">
        <v>29</v>
      </c>
      <c r="S178" s="7" t="s">
        <v>29</v>
      </c>
    </row>
    <row r="179" spans="2:19">
      <c r="B179" s="9" t="s">
        <v>195</v>
      </c>
      <c r="C179" s="7" t="s">
        <v>195</v>
      </c>
      <c r="D179" s="5" t="str">
        <f>LRTRIM(CONCATENATE(IF(SUMPRODUCT(-- ISNUMBER(SEARCH({"Auto Number"}, $B179))) &gt; 0, $B179, IF(SUMPRODUCT(-- ISNUMBER(SEARCH({"Lookup","Master-Detail"}, $B179))) &gt; 0,$B179 &amp; "(" &amp; $E179 &amp; ")",IF(SUMPRODUCT(-- ISNUMBER(SEARCH({"Formula","Roll-Up Summary"}, $B179))) &gt; 0,$B179 &amp; " (" &amp; $E179 &amp; ")",IF(SUMPRODUCT(-- ISNUMBER(SEARCH({"Content","Currency","Number","Percent","Text","URL"}, $B179))) &gt; 0,$B179 &amp; "(" &amp; $C179 &amp; ")",$B179)))), "  ", TRIM(IF($S179 = "YES", "(External ID)", "") &amp; " " &amp; IF(SUMPRODUCT(-- ISNUMBER(SEARCH({"Unique","Unique Case Insensitive"}, $R179))) &gt; 0, "(" &amp; $R179 &amp; ")", ""))))</f>
        <v>na</v>
      </c>
      <c r="E179" s="7" t="s">
        <v>195</v>
      </c>
      <c r="F179" s="7" t="s">
        <v>195</v>
      </c>
      <c r="G179" s="7" t="s">
        <v>195</v>
      </c>
      <c r="H179" s="7" t="s">
        <v>195</v>
      </c>
      <c r="I179" s="7" t="s">
        <v>195</v>
      </c>
      <c r="J179" s="7" t="s">
        <v>195</v>
      </c>
      <c r="K179" s="7" t="s">
        <v>195</v>
      </c>
      <c r="L179" s="7" t="s">
        <v>195</v>
      </c>
      <c r="M179" s="7" t="s">
        <v>29</v>
      </c>
      <c r="N179" s="7" t="s">
        <v>29</v>
      </c>
      <c r="O179" s="7" t="s">
        <v>29</v>
      </c>
      <c r="P179" s="7" t="s">
        <v>29</v>
      </c>
      <c r="Q179" s="7" t="s">
        <v>29</v>
      </c>
      <c r="R179" s="7" t="s">
        <v>29</v>
      </c>
      <c r="S179" s="7" t="s">
        <v>29</v>
      </c>
    </row>
    <row r="180" spans="2:19">
      <c r="B180" s="9" t="s">
        <v>195</v>
      </c>
      <c r="C180" s="7" t="s">
        <v>195</v>
      </c>
      <c r="D180" s="5" t="str">
        <f>LRTRIM(CONCATENATE(IF(SUMPRODUCT(-- ISNUMBER(SEARCH({"Auto Number"}, $B180))) &gt; 0, $B180, IF(SUMPRODUCT(-- ISNUMBER(SEARCH({"Lookup","Master-Detail"}, $B180))) &gt; 0,$B180 &amp; "(" &amp; $E180 &amp; ")",IF(SUMPRODUCT(-- ISNUMBER(SEARCH({"Formula","Roll-Up Summary"}, $B180))) &gt; 0,$B180 &amp; " (" &amp; $E180 &amp; ")",IF(SUMPRODUCT(-- ISNUMBER(SEARCH({"Content","Currency","Number","Percent","Text","URL"}, $B180))) &gt; 0,$B180 &amp; "(" &amp; $C180 &amp; ")",$B180)))), "  ", TRIM(IF($S180 = "YES", "(External ID)", "") &amp; " " &amp; IF(SUMPRODUCT(-- ISNUMBER(SEARCH({"Unique","Unique Case Insensitive"}, $R180))) &gt; 0, "(" &amp; $R180 &amp; ")", ""))))</f>
        <v>na</v>
      </c>
      <c r="E180" s="7" t="s">
        <v>195</v>
      </c>
      <c r="F180" s="7" t="s">
        <v>195</v>
      </c>
      <c r="G180" s="7" t="s">
        <v>195</v>
      </c>
      <c r="H180" s="7" t="s">
        <v>195</v>
      </c>
      <c r="I180" s="7" t="s">
        <v>195</v>
      </c>
      <c r="J180" s="7" t="s">
        <v>195</v>
      </c>
      <c r="K180" s="7" t="s">
        <v>195</v>
      </c>
      <c r="L180" s="7" t="s">
        <v>195</v>
      </c>
      <c r="M180" s="7" t="s">
        <v>29</v>
      </c>
      <c r="N180" s="7" t="s">
        <v>29</v>
      </c>
      <c r="O180" s="7" t="s">
        <v>29</v>
      </c>
      <c r="P180" s="7" t="s">
        <v>29</v>
      </c>
      <c r="Q180" s="7" t="s">
        <v>29</v>
      </c>
      <c r="R180" s="7" t="s">
        <v>29</v>
      </c>
      <c r="S180" s="7" t="s">
        <v>29</v>
      </c>
    </row>
    <row r="181" spans="2:19">
      <c r="B181" s="9" t="s">
        <v>195</v>
      </c>
      <c r="C181" s="7" t="s">
        <v>195</v>
      </c>
      <c r="D181" s="5" t="str">
        <f>LRTRIM(CONCATENATE(IF(SUMPRODUCT(-- ISNUMBER(SEARCH({"Auto Number"}, $B181))) &gt; 0, $B181, IF(SUMPRODUCT(-- ISNUMBER(SEARCH({"Lookup","Master-Detail"}, $B181))) &gt; 0,$B181 &amp; "(" &amp; $E181 &amp; ")",IF(SUMPRODUCT(-- ISNUMBER(SEARCH({"Formula","Roll-Up Summary"}, $B181))) &gt; 0,$B181 &amp; " (" &amp; $E181 &amp; ")",IF(SUMPRODUCT(-- ISNUMBER(SEARCH({"Content","Currency","Number","Percent","Text","URL"}, $B181))) &gt; 0,$B181 &amp; "(" &amp; $C181 &amp; ")",$B181)))), "  ", TRIM(IF($S181 = "YES", "(External ID)", "") &amp; " " &amp; IF(SUMPRODUCT(-- ISNUMBER(SEARCH({"Unique","Unique Case Insensitive"}, $R181))) &gt; 0, "(" &amp; $R181 &amp; ")", ""))))</f>
        <v>na</v>
      </c>
      <c r="E181" s="7" t="s">
        <v>195</v>
      </c>
      <c r="F181" s="7" t="s">
        <v>195</v>
      </c>
      <c r="G181" s="7" t="s">
        <v>195</v>
      </c>
      <c r="H181" s="7" t="s">
        <v>195</v>
      </c>
      <c r="I181" s="7" t="s">
        <v>195</v>
      </c>
      <c r="J181" s="7" t="s">
        <v>195</v>
      </c>
      <c r="K181" s="7" t="s">
        <v>195</v>
      </c>
      <c r="L181" s="7" t="s">
        <v>195</v>
      </c>
      <c r="M181" s="7" t="s">
        <v>29</v>
      </c>
      <c r="N181" s="7" t="s">
        <v>29</v>
      </c>
      <c r="O181" s="7" t="s">
        <v>29</v>
      </c>
      <c r="P181" s="7" t="s">
        <v>29</v>
      </c>
      <c r="Q181" s="7" t="s">
        <v>29</v>
      </c>
      <c r="R181" s="7" t="s">
        <v>29</v>
      </c>
      <c r="S181" s="7" t="s">
        <v>29</v>
      </c>
    </row>
    <row r="182" spans="2:19">
      <c r="B182" s="9" t="s">
        <v>195</v>
      </c>
      <c r="C182" s="7" t="s">
        <v>195</v>
      </c>
      <c r="D182" s="5" t="str">
        <f>LRTRIM(CONCATENATE(IF(SUMPRODUCT(-- ISNUMBER(SEARCH({"Auto Number"}, $B182))) &gt; 0, $B182, IF(SUMPRODUCT(-- ISNUMBER(SEARCH({"Lookup","Master-Detail"}, $B182))) &gt; 0,$B182 &amp; "(" &amp; $E182 &amp; ")",IF(SUMPRODUCT(-- ISNUMBER(SEARCH({"Formula","Roll-Up Summary"}, $B182))) &gt; 0,$B182 &amp; " (" &amp; $E182 &amp; ")",IF(SUMPRODUCT(-- ISNUMBER(SEARCH({"Content","Currency","Number","Percent","Text","URL"}, $B182))) &gt; 0,$B182 &amp; "(" &amp; $C182 &amp; ")",$B182)))), "  ", TRIM(IF($S182 = "YES", "(External ID)", "") &amp; " " &amp; IF(SUMPRODUCT(-- ISNUMBER(SEARCH({"Unique","Unique Case Insensitive"}, $R182))) &gt; 0, "(" &amp; $R182 &amp; ")", ""))))</f>
        <v>na</v>
      </c>
      <c r="E182" s="7" t="s">
        <v>195</v>
      </c>
      <c r="F182" s="7" t="s">
        <v>195</v>
      </c>
      <c r="G182" s="7" t="s">
        <v>195</v>
      </c>
      <c r="H182" s="7" t="s">
        <v>195</v>
      </c>
      <c r="I182" s="7" t="s">
        <v>195</v>
      </c>
      <c r="J182" s="7" t="s">
        <v>195</v>
      </c>
      <c r="K182" s="7" t="s">
        <v>195</v>
      </c>
      <c r="L182" s="7" t="s">
        <v>195</v>
      </c>
      <c r="M182" s="7" t="s">
        <v>29</v>
      </c>
      <c r="N182" s="7" t="s">
        <v>29</v>
      </c>
      <c r="O182" s="7" t="s">
        <v>29</v>
      </c>
      <c r="P182" s="7" t="s">
        <v>29</v>
      </c>
      <c r="Q182" s="7" t="s">
        <v>29</v>
      </c>
      <c r="R182" s="7" t="s">
        <v>29</v>
      </c>
      <c r="S182" s="7" t="s">
        <v>29</v>
      </c>
    </row>
    <row r="183" spans="2:19">
      <c r="B183" s="9" t="s">
        <v>195</v>
      </c>
      <c r="C183" s="7" t="s">
        <v>195</v>
      </c>
      <c r="D183" s="5" t="str">
        <f>LRTRIM(CONCATENATE(IF(SUMPRODUCT(-- ISNUMBER(SEARCH({"Auto Number"}, $B183))) &gt; 0, $B183, IF(SUMPRODUCT(-- ISNUMBER(SEARCH({"Lookup","Master-Detail"}, $B183))) &gt; 0,$B183 &amp; "(" &amp; $E183 &amp; ")",IF(SUMPRODUCT(-- ISNUMBER(SEARCH({"Formula","Roll-Up Summary"}, $B183))) &gt; 0,$B183 &amp; " (" &amp; $E183 &amp; ")",IF(SUMPRODUCT(-- ISNUMBER(SEARCH({"Content","Currency","Number","Percent","Text","URL"}, $B183))) &gt; 0,$B183 &amp; "(" &amp; $C183 &amp; ")",$B183)))), "  ", TRIM(IF($S183 = "YES", "(External ID)", "") &amp; " " &amp; IF(SUMPRODUCT(-- ISNUMBER(SEARCH({"Unique","Unique Case Insensitive"}, $R183))) &gt; 0, "(" &amp; $R183 &amp; ")", ""))))</f>
        <v>na</v>
      </c>
      <c r="E183" s="7" t="s">
        <v>195</v>
      </c>
      <c r="F183" s="7" t="s">
        <v>195</v>
      </c>
      <c r="G183" s="7" t="s">
        <v>195</v>
      </c>
      <c r="H183" s="7" t="s">
        <v>195</v>
      </c>
      <c r="I183" s="7" t="s">
        <v>195</v>
      </c>
      <c r="J183" s="7" t="s">
        <v>195</v>
      </c>
      <c r="K183" s="7" t="s">
        <v>195</v>
      </c>
      <c r="L183" s="7" t="s">
        <v>195</v>
      </c>
      <c r="M183" s="7" t="s">
        <v>29</v>
      </c>
      <c r="N183" s="7" t="s">
        <v>29</v>
      </c>
      <c r="O183" s="7" t="s">
        <v>29</v>
      </c>
      <c r="P183" s="7" t="s">
        <v>29</v>
      </c>
      <c r="Q183" s="7" t="s">
        <v>29</v>
      </c>
      <c r="R183" s="7" t="s">
        <v>29</v>
      </c>
      <c r="S183" s="7" t="s">
        <v>29</v>
      </c>
    </row>
    <row r="184" spans="2:19">
      <c r="B184" s="9" t="s">
        <v>195</v>
      </c>
      <c r="C184" s="7" t="s">
        <v>195</v>
      </c>
      <c r="D184" s="5" t="str">
        <f>LRTRIM(CONCATENATE(IF(SUMPRODUCT(-- ISNUMBER(SEARCH({"Auto Number"}, $B184))) &gt; 0, $B184, IF(SUMPRODUCT(-- ISNUMBER(SEARCH({"Lookup","Master-Detail"}, $B184))) &gt; 0,$B184 &amp; "(" &amp; $E184 &amp; ")",IF(SUMPRODUCT(-- ISNUMBER(SEARCH({"Formula","Roll-Up Summary"}, $B184))) &gt; 0,$B184 &amp; " (" &amp; $E184 &amp; ")",IF(SUMPRODUCT(-- ISNUMBER(SEARCH({"Content","Currency","Number","Percent","Text","URL"}, $B184))) &gt; 0,$B184 &amp; "(" &amp; $C184 &amp; ")",$B184)))), "  ", TRIM(IF($S184 = "YES", "(External ID)", "") &amp; " " &amp; IF(SUMPRODUCT(-- ISNUMBER(SEARCH({"Unique","Unique Case Insensitive"}, $R184))) &gt; 0, "(" &amp; $R184 &amp; ")", ""))))</f>
        <v>na</v>
      </c>
      <c r="E184" s="7" t="s">
        <v>195</v>
      </c>
      <c r="F184" s="7" t="s">
        <v>195</v>
      </c>
      <c r="G184" s="7" t="s">
        <v>195</v>
      </c>
      <c r="H184" s="7" t="s">
        <v>195</v>
      </c>
      <c r="I184" s="7" t="s">
        <v>195</v>
      </c>
      <c r="J184" s="7" t="s">
        <v>195</v>
      </c>
      <c r="K184" s="7" t="s">
        <v>195</v>
      </c>
      <c r="L184" s="7" t="s">
        <v>195</v>
      </c>
      <c r="M184" s="7" t="s">
        <v>29</v>
      </c>
      <c r="N184" s="7" t="s">
        <v>29</v>
      </c>
      <c r="O184" s="7" t="s">
        <v>29</v>
      </c>
      <c r="P184" s="7" t="s">
        <v>29</v>
      </c>
      <c r="Q184" s="7" t="s">
        <v>29</v>
      </c>
      <c r="R184" s="7" t="s">
        <v>29</v>
      </c>
      <c r="S184" s="7" t="s">
        <v>29</v>
      </c>
    </row>
    <row r="185" spans="2:19">
      <c r="B185" s="9" t="s">
        <v>195</v>
      </c>
      <c r="C185" s="7" t="s">
        <v>195</v>
      </c>
      <c r="D185" s="5" t="str">
        <f>LRTRIM(CONCATENATE(IF(SUMPRODUCT(-- ISNUMBER(SEARCH({"Auto Number"}, $B185))) &gt; 0, $B185, IF(SUMPRODUCT(-- ISNUMBER(SEARCH({"Lookup","Master-Detail"}, $B185))) &gt; 0,$B185 &amp; "(" &amp; $E185 &amp; ")",IF(SUMPRODUCT(-- ISNUMBER(SEARCH({"Formula","Roll-Up Summary"}, $B185))) &gt; 0,$B185 &amp; " (" &amp; $E185 &amp; ")",IF(SUMPRODUCT(-- ISNUMBER(SEARCH({"Content","Currency","Number","Percent","Text","URL"}, $B185))) &gt; 0,$B185 &amp; "(" &amp; $C185 &amp; ")",$B185)))), "  ", TRIM(IF($S185 = "YES", "(External ID)", "") &amp; " " &amp; IF(SUMPRODUCT(-- ISNUMBER(SEARCH({"Unique","Unique Case Insensitive"}, $R185))) &gt; 0, "(" &amp; $R185 &amp; ")", ""))))</f>
        <v>na</v>
      </c>
      <c r="E185" s="7" t="s">
        <v>195</v>
      </c>
      <c r="F185" s="7" t="s">
        <v>195</v>
      </c>
      <c r="G185" s="7" t="s">
        <v>195</v>
      </c>
      <c r="H185" s="7" t="s">
        <v>195</v>
      </c>
      <c r="I185" s="7" t="s">
        <v>195</v>
      </c>
      <c r="J185" s="7" t="s">
        <v>195</v>
      </c>
      <c r="K185" s="7" t="s">
        <v>195</v>
      </c>
      <c r="L185" s="7" t="s">
        <v>195</v>
      </c>
      <c r="M185" s="7" t="s">
        <v>29</v>
      </c>
      <c r="N185" s="7" t="s">
        <v>29</v>
      </c>
      <c r="O185" s="7" t="s">
        <v>29</v>
      </c>
      <c r="P185" s="7" t="s">
        <v>29</v>
      </c>
      <c r="Q185" s="7" t="s">
        <v>29</v>
      </c>
      <c r="R185" s="7" t="s">
        <v>29</v>
      </c>
      <c r="S185" s="7" t="s">
        <v>29</v>
      </c>
    </row>
    <row r="186" spans="2:19">
      <c r="B186" s="9" t="s">
        <v>195</v>
      </c>
      <c r="C186" s="7" t="s">
        <v>195</v>
      </c>
      <c r="D186" s="5" t="str">
        <f>LRTRIM(CONCATENATE(IF(SUMPRODUCT(-- ISNUMBER(SEARCH({"Auto Number"}, $B186))) &gt; 0, $B186, IF(SUMPRODUCT(-- ISNUMBER(SEARCH({"Lookup","Master-Detail"}, $B186))) &gt; 0,$B186 &amp; "(" &amp; $E186 &amp; ")",IF(SUMPRODUCT(-- ISNUMBER(SEARCH({"Formula","Roll-Up Summary"}, $B186))) &gt; 0,$B186 &amp; " (" &amp; $E186 &amp; ")",IF(SUMPRODUCT(-- ISNUMBER(SEARCH({"Content","Currency","Number","Percent","Text","URL"}, $B186))) &gt; 0,$B186 &amp; "(" &amp; $C186 &amp; ")",$B186)))), "  ", TRIM(IF($S186 = "YES", "(External ID)", "") &amp; " " &amp; IF(SUMPRODUCT(-- ISNUMBER(SEARCH({"Unique","Unique Case Insensitive"}, $R186))) &gt; 0, "(" &amp; $R186 &amp; ")", ""))))</f>
        <v>na</v>
      </c>
      <c r="E186" s="7" t="s">
        <v>195</v>
      </c>
      <c r="F186" s="7" t="s">
        <v>195</v>
      </c>
      <c r="G186" s="7" t="s">
        <v>195</v>
      </c>
      <c r="H186" s="7" t="s">
        <v>195</v>
      </c>
      <c r="I186" s="7" t="s">
        <v>195</v>
      </c>
      <c r="J186" s="7" t="s">
        <v>195</v>
      </c>
      <c r="K186" s="7" t="s">
        <v>195</v>
      </c>
      <c r="L186" s="7" t="s">
        <v>195</v>
      </c>
      <c r="M186" s="7" t="s">
        <v>29</v>
      </c>
      <c r="N186" s="7" t="s">
        <v>29</v>
      </c>
      <c r="O186" s="7" t="s">
        <v>29</v>
      </c>
      <c r="P186" s="7" t="s">
        <v>29</v>
      </c>
      <c r="Q186" s="7" t="s">
        <v>29</v>
      </c>
      <c r="R186" s="7" t="s">
        <v>29</v>
      </c>
      <c r="S186" s="7" t="s">
        <v>29</v>
      </c>
    </row>
    <row r="187" spans="2:19">
      <c r="B187" s="9" t="s">
        <v>195</v>
      </c>
      <c r="C187" s="7" t="s">
        <v>195</v>
      </c>
      <c r="D187" s="5" t="str">
        <f>LRTRIM(CONCATENATE(IF(SUMPRODUCT(-- ISNUMBER(SEARCH({"Auto Number"}, $B187))) &gt; 0, $B187, IF(SUMPRODUCT(-- ISNUMBER(SEARCH({"Lookup","Master-Detail"}, $B187))) &gt; 0,$B187 &amp; "(" &amp; $E187 &amp; ")",IF(SUMPRODUCT(-- ISNUMBER(SEARCH({"Formula","Roll-Up Summary"}, $B187))) &gt; 0,$B187 &amp; " (" &amp; $E187 &amp; ")",IF(SUMPRODUCT(-- ISNUMBER(SEARCH({"Content","Currency","Number","Percent","Text","URL"}, $B187))) &gt; 0,$B187 &amp; "(" &amp; $C187 &amp; ")",$B187)))), "  ", TRIM(IF($S187 = "YES", "(External ID)", "") &amp; " " &amp; IF(SUMPRODUCT(-- ISNUMBER(SEARCH({"Unique","Unique Case Insensitive"}, $R187))) &gt; 0, "(" &amp; $R187 &amp; ")", ""))))</f>
        <v>na</v>
      </c>
      <c r="E187" s="7" t="s">
        <v>195</v>
      </c>
      <c r="F187" s="7" t="s">
        <v>195</v>
      </c>
      <c r="G187" s="7" t="s">
        <v>195</v>
      </c>
      <c r="H187" s="7" t="s">
        <v>195</v>
      </c>
      <c r="I187" s="7" t="s">
        <v>195</v>
      </c>
      <c r="J187" s="7" t="s">
        <v>195</v>
      </c>
      <c r="K187" s="7" t="s">
        <v>195</v>
      </c>
      <c r="L187" s="7" t="s">
        <v>195</v>
      </c>
      <c r="M187" s="7" t="s">
        <v>29</v>
      </c>
      <c r="N187" s="7" t="s">
        <v>29</v>
      </c>
      <c r="O187" s="7" t="s">
        <v>29</v>
      </c>
      <c r="P187" s="7" t="s">
        <v>29</v>
      </c>
      <c r="Q187" s="7" t="s">
        <v>29</v>
      </c>
      <c r="R187" s="7" t="s">
        <v>29</v>
      </c>
      <c r="S187" s="7" t="s">
        <v>29</v>
      </c>
    </row>
    <row r="188" spans="2:19">
      <c r="B188" s="9" t="s">
        <v>195</v>
      </c>
      <c r="C188" s="7" t="s">
        <v>195</v>
      </c>
      <c r="D188" s="5" t="str">
        <f>LRTRIM(CONCATENATE(IF(SUMPRODUCT(-- ISNUMBER(SEARCH({"Auto Number"}, $B188))) &gt; 0, $B188, IF(SUMPRODUCT(-- ISNUMBER(SEARCH({"Lookup","Master-Detail"}, $B188))) &gt; 0,$B188 &amp; "(" &amp; $E188 &amp; ")",IF(SUMPRODUCT(-- ISNUMBER(SEARCH({"Formula","Roll-Up Summary"}, $B188))) &gt; 0,$B188 &amp; " (" &amp; $E188 &amp; ")",IF(SUMPRODUCT(-- ISNUMBER(SEARCH({"Content","Currency","Number","Percent","Text","URL"}, $B188))) &gt; 0,$B188 &amp; "(" &amp; $C188 &amp; ")",$B188)))), "  ", TRIM(IF($S188 = "YES", "(External ID)", "") &amp; " " &amp; IF(SUMPRODUCT(-- ISNUMBER(SEARCH({"Unique","Unique Case Insensitive"}, $R188))) &gt; 0, "(" &amp; $R188 &amp; ")", ""))))</f>
        <v>na</v>
      </c>
      <c r="E188" s="7" t="s">
        <v>195</v>
      </c>
      <c r="F188" s="7" t="s">
        <v>195</v>
      </c>
      <c r="G188" s="7" t="s">
        <v>195</v>
      </c>
      <c r="H188" s="7" t="s">
        <v>195</v>
      </c>
      <c r="I188" s="7" t="s">
        <v>195</v>
      </c>
      <c r="J188" s="7" t="s">
        <v>195</v>
      </c>
      <c r="K188" s="7" t="s">
        <v>195</v>
      </c>
      <c r="L188" s="7" t="s">
        <v>195</v>
      </c>
      <c r="M188" s="7" t="s">
        <v>29</v>
      </c>
      <c r="N188" s="7" t="s">
        <v>29</v>
      </c>
      <c r="O188" s="7" t="s">
        <v>29</v>
      </c>
      <c r="P188" s="7" t="s">
        <v>29</v>
      </c>
      <c r="Q188" s="7" t="s">
        <v>29</v>
      </c>
      <c r="R188" s="7" t="s">
        <v>29</v>
      </c>
      <c r="S188" s="7" t="s">
        <v>29</v>
      </c>
    </row>
    <row r="189" spans="2:19">
      <c r="B189" s="9" t="s">
        <v>195</v>
      </c>
      <c r="C189" s="7" t="s">
        <v>195</v>
      </c>
      <c r="D189" s="5" t="str">
        <f>LRTRIM(CONCATENATE(IF(SUMPRODUCT(-- ISNUMBER(SEARCH({"Auto Number"}, $B189))) &gt; 0, $B189, IF(SUMPRODUCT(-- ISNUMBER(SEARCH({"Lookup","Master-Detail"}, $B189))) &gt; 0,$B189 &amp; "(" &amp; $E189 &amp; ")",IF(SUMPRODUCT(-- ISNUMBER(SEARCH({"Formula","Roll-Up Summary"}, $B189))) &gt; 0,$B189 &amp; " (" &amp; $E189 &amp; ")",IF(SUMPRODUCT(-- ISNUMBER(SEARCH({"Content","Currency","Number","Percent","Text","URL"}, $B189))) &gt; 0,$B189 &amp; "(" &amp; $C189 &amp; ")",$B189)))), "  ", TRIM(IF($S189 = "YES", "(External ID)", "") &amp; " " &amp; IF(SUMPRODUCT(-- ISNUMBER(SEARCH({"Unique","Unique Case Insensitive"}, $R189))) &gt; 0, "(" &amp; $R189 &amp; ")", ""))))</f>
        <v>na</v>
      </c>
      <c r="E189" s="7" t="s">
        <v>195</v>
      </c>
      <c r="F189" s="7" t="s">
        <v>195</v>
      </c>
      <c r="G189" s="7" t="s">
        <v>195</v>
      </c>
      <c r="H189" s="7" t="s">
        <v>195</v>
      </c>
      <c r="I189" s="7" t="s">
        <v>195</v>
      </c>
      <c r="J189" s="7" t="s">
        <v>195</v>
      </c>
      <c r="K189" s="7" t="s">
        <v>195</v>
      </c>
      <c r="L189" s="7" t="s">
        <v>195</v>
      </c>
      <c r="M189" s="7" t="s">
        <v>29</v>
      </c>
      <c r="N189" s="7" t="s">
        <v>29</v>
      </c>
      <c r="O189" s="7" t="s">
        <v>29</v>
      </c>
      <c r="P189" s="7" t="s">
        <v>29</v>
      </c>
      <c r="Q189" s="7" t="s">
        <v>29</v>
      </c>
      <c r="R189" s="7" t="s">
        <v>29</v>
      </c>
      <c r="S189" s="7" t="s">
        <v>29</v>
      </c>
    </row>
    <row r="190" spans="2:19">
      <c r="B190" s="9" t="s">
        <v>195</v>
      </c>
      <c r="C190" s="7" t="s">
        <v>195</v>
      </c>
      <c r="D190" s="5" t="str">
        <f>LRTRIM(CONCATENATE(IF(SUMPRODUCT(-- ISNUMBER(SEARCH({"Auto Number"}, $B190))) &gt; 0, $B190, IF(SUMPRODUCT(-- ISNUMBER(SEARCH({"Lookup","Master-Detail"}, $B190))) &gt; 0,$B190 &amp; "(" &amp; $E190 &amp; ")",IF(SUMPRODUCT(-- ISNUMBER(SEARCH({"Formula","Roll-Up Summary"}, $B190))) &gt; 0,$B190 &amp; " (" &amp; $E190 &amp; ")",IF(SUMPRODUCT(-- ISNUMBER(SEARCH({"Content","Currency","Number","Percent","Text","URL"}, $B190))) &gt; 0,$B190 &amp; "(" &amp; $C190 &amp; ")",$B190)))), "  ", TRIM(IF($S190 = "YES", "(External ID)", "") &amp; " " &amp; IF(SUMPRODUCT(-- ISNUMBER(SEARCH({"Unique","Unique Case Insensitive"}, $R190))) &gt; 0, "(" &amp; $R190 &amp; ")", ""))))</f>
        <v>na</v>
      </c>
      <c r="E190" s="7" t="s">
        <v>195</v>
      </c>
      <c r="F190" s="7" t="s">
        <v>195</v>
      </c>
      <c r="G190" s="7" t="s">
        <v>195</v>
      </c>
      <c r="H190" s="7" t="s">
        <v>195</v>
      </c>
      <c r="I190" s="7" t="s">
        <v>195</v>
      </c>
      <c r="J190" s="7" t="s">
        <v>195</v>
      </c>
      <c r="K190" s="7" t="s">
        <v>195</v>
      </c>
      <c r="L190" s="7" t="s">
        <v>195</v>
      </c>
      <c r="M190" s="7" t="s">
        <v>29</v>
      </c>
      <c r="N190" s="7" t="s">
        <v>29</v>
      </c>
      <c r="O190" s="7" t="s">
        <v>29</v>
      </c>
      <c r="P190" s="7" t="s">
        <v>29</v>
      </c>
      <c r="Q190" s="7" t="s">
        <v>29</v>
      </c>
      <c r="R190" s="7" t="s">
        <v>29</v>
      </c>
      <c r="S190" s="7" t="s">
        <v>29</v>
      </c>
    </row>
    <row r="191" spans="2:19">
      <c r="B191" s="9" t="s">
        <v>195</v>
      </c>
      <c r="C191" s="7" t="s">
        <v>195</v>
      </c>
      <c r="D191" s="5" t="str">
        <f>LRTRIM(CONCATENATE(IF(SUMPRODUCT(-- ISNUMBER(SEARCH({"Auto Number"}, $B191))) &gt; 0, $B191, IF(SUMPRODUCT(-- ISNUMBER(SEARCH({"Lookup","Master-Detail"}, $B191))) &gt; 0,$B191 &amp; "(" &amp; $E191 &amp; ")",IF(SUMPRODUCT(-- ISNUMBER(SEARCH({"Formula","Roll-Up Summary"}, $B191))) &gt; 0,$B191 &amp; " (" &amp; $E191 &amp; ")",IF(SUMPRODUCT(-- ISNUMBER(SEARCH({"Content","Currency","Number","Percent","Text","URL"}, $B191))) &gt; 0,$B191 &amp; "(" &amp; $C191 &amp; ")",$B191)))), "  ", TRIM(IF($S191 = "YES", "(External ID)", "") &amp; " " &amp; IF(SUMPRODUCT(-- ISNUMBER(SEARCH({"Unique","Unique Case Insensitive"}, $R191))) &gt; 0, "(" &amp; $R191 &amp; ")", ""))))</f>
        <v>na</v>
      </c>
      <c r="E191" s="7" t="s">
        <v>195</v>
      </c>
      <c r="F191" s="7" t="s">
        <v>195</v>
      </c>
      <c r="G191" s="7" t="s">
        <v>195</v>
      </c>
      <c r="H191" s="7" t="s">
        <v>195</v>
      </c>
      <c r="I191" s="7" t="s">
        <v>195</v>
      </c>
      <c r="J191" s="7" t="s">
        <v>195</v>
      </c>
      <c r="K191" s="7" t="s">
        <v>195</v>
      </c>
      <c r="L191" s="7" t="s">
        <v>195</v>
      </c>
      <c r="M191" s="7" t="s">
        <v>29</v>
      </c>
      <c r="N191" s="7" t="s">
        <v>29</v>
      </c>
      <c r="O191" s="7" t="s">
        <v>29</v>
      </c>
      <c r="P191" s="7" t="s">
        <v>29</v>
      </c>
      <c r="Q191" s="7" t="s">
        <v>29</v>
      </c>
      <c r="R191" s="7" t="s">
        <v>29</v>
      </c>
      <c r="S191" s="7" t="s">
        <v>29</v>
      </c>
    </row>
    <row r="192" spans="2:19">
      <c r="B192" s="9" t="s">
        <v>195</v>
      </c>
      <c r="C192" s="7" t="s">
        <v>195</v>
      </c>
      <c r="D192" s="5" t="str">
        <f>LRTRIM(CONCATENATE(IF(SUMPRODUCT(-- ISNUMBER(SEARCH({"Auto Number"}, $B192))) &gt; 0, $B192, IF(SUMPRODUCT(-- ISNUMBER(SEARCH({"Lookup","Master-Detail"}, $B192))) &gt; 0,$B192 &amp; "(" &amp; $E192 &amp; ")",IF(SUMPRODUCT(-- ISNUMBER(SEARCH({"Formula","Roll-Up Summary"}, $B192))) &gt; 0,$B192 &amp; " (" &amp; $E192 &amp; ")",IF(SUMPRODUCT(-- ISNUMBER(SEARCH({"Content","Currency","Number","Percent","Text","URL"}, $B192))) &gt; 0,$B192 &amp; "(" &amp; $C192 &amp; ")",$B192)))), "  ", TRIM(IF($S192 = "YES", "(External ID)", "") &amp; " " &amp; IF(SUMPRODUCT(-- ISNUMBER(SEARCH({"Unique","Unique Case Insensitive"}, $R192))) &gt; 0, "(" &amp; $R192 &amp; ")", ""))))</f>
        <v>na</v>
      </c>
      <c r="E192" s="7" t="s">
        <v>195</v>
      </c>
      <c r="F192" s="7" t="s">
        <v>195</v>
      </c>
      <c r="G192" s="7" t="s">
        <v>195</v>
      </c>
      <c r="H192" s="7" t="s">
        <v>195</v>
      </c>
      <c r="I192" s="7" t="s">
        <v>195</v>
      </c>
      <c r="J192" s="7" t="s">
        <v>195</v>
      </c>
      <c r="K192" s="7" t="s">
        <v>195</v>
      </c>
      <c r="L192" s="7" t="s">
        <v>195</v>
      </c>
      <c r="M192" s="7" t="s">
        <v>29</v>
      </c>
      <c r="N192" s="7" t="s">
        <v>29</v>
      </c>
      <c r="O192" s="7" t="s">
        <v>29</v>
      </c>
      <c r="P192" s="7" t="s">
        <v>29</v>
      </c>
      <c r="Q192" s="7" t="s">
        <v>29</v>
      </c>
      <c r="R192" s="7" t="s">
        <v>29</v>
      </c>
      <c r="S192" s="7" t="s">
        <v>29</v>
      </c>
    </row>
    <row r="193" spans="2:19">
      <c r="B193" s="9" t="s">
        <v>195</v>
      </c>
      <c r="C193" s="7" t="s">
        <v>195</v>
      </c>
      <c r="D193" s="5" t="str">
        <f>LRTRIM(CONCATENATE(IF(SUMPRODUCT(-- ISNUMBER(SEARCH({"Auto Number"}, $B193))) &gt; 0, $B193, IF(SUMPRODUCT(-- ISNUMBER(SEARCH({"Lookup","Master-Detail"}, $B193))) &gt; 0,$B193 &amp; "(" &amp; $E193 &amp; ")",IF(SUMPRODUCT(-- ISNUMBER(SEARCH({"Formula","Roll-Up Summary"}, $B193))) &gt; 0,$B193 &amp; " (" &amp; $E193 &amp; ")",IF(SUMPRODUCT(-- ISNUMBER(SEARCH({"Content","Currency","Number","Percent","Text","URL"}, $B193))) &gt; 0,$B193 &amp; "(" &amp; $C193 &amp; ")",$B193)))), "  ", TRIM(IF($S193 = "YES", "(External ID)", "") &amp; " " &amp; IF(SUMPRODUCT(-- ISNUMBER(SEARCH({"Unique","Unique Case Insensitive"}, $R193))) &gt; 0, "(" &amp; $R193 &amp; ")", ""))))</f>
        <v>na</v>
      </c>
      <c r="E193" s="7" t="s">
        <v>195</v>
      </c>
      <c r="F193" s="7" t="s">
        <v>195</v>
      </c>
      <c r="G193" s="7" t="s">
        <v>195</v>
      </c>
      <c r="H193" s="7" t="s">
        <v>195</v>
      </c>
      <c r="I193" s="7" t="s">
        <v>195</v>
      </c>
      <c r="J193" s="7" t="s">
        <v>195</v>
      </c>
      <c r="K193" s="7" t="s">
        <v>195</v>
      </c>
      <c r="L193" s="7" t="s">
        <v>195</v>
      </c>
      <c r="M193" s="7" t="s">
        <v>29</v>
      </c>
      <c r="N193" s="7" t="s">
        <v>29</v>
      </c>
      <c r="O193" s="7" t="s">
        <v>29</v>
      </c>
      <c r="P193" s="7" t="s">
        <v>29</v>
      </c>
      <c r="Q193" s="7" t="s">
        <v>29</v>
      </c>
      <c r="R193" s="7" t="s">
        <v>29</v>
      </c>
      <c r="S193" s="7" t="s">
        <v>29</v>
      </c>
    </row>
    <row r="194" spans="2:19">
      <c r="B194" s="9" t="s">
        <v>195</v>
      </c>
      <c r="C194" s="7" t="s">
        <v>195</v>
      </c>
      <c r="D194" s="5" t="str">
        <f>LRTRIM(CONCATENATE(IF(SUMPRODUCT(-- ISNUMBER(SEARCH({"Auto Number"}, $B194))) &gt; 0, $B194, IF(SUMPRODUCT(-- ISNUMBER(SEARCH({"Lookup","Master-Detail"}, $B194))) &gt; 0,$B194 &amp; "(" &amp; $E194 &amp; ")",IF(SUMPRODUCT(-- ISNUMBER(SEARCH({"Formula","Roll-Up Summary"}, $B194))) &gt; 0,$B194 &amp; " (" &amp; $E194 &amp; ")",IF(SUMPRODUCT(-- ISNUMBER(SEARCH({"Content","Currency","Number","Percent","Text","URL"}, $B194))) &gt; 0,$B194 &amp; "(" &amp; $C194 &amp; ")",$B194)))), "  ", TRIM(IF($S194 = "YES", "(External ID)", "") &amp; " " &amp; IF(SUMPRODUCT(-- ISNUMBER(SEARCH({"Unique","Unique Case Insensitive"}, $R194))) &gt; 0, "(" &amp; $R194 &amp; ")", ""))))</f>
        <v>na</v>
      </c>
      <c r="E194" s="7" t="s">
        <v>195</v>
      </c>
      <c r="F194" s="7" t="s">
        <v>195</v>
      </c>
      <c r="G194" s="7" t="s">
        <v>195</v>
      </c>
      <c r="H194" s="7" t="s">
        <v>195</v>
      </c>
      <c r="I194" s="7" t="s">
        <v>195</v>
      </c>
      <c r="J194" s="7" t="s">
        <v>195</v>
      </c>
      <c r="K194" s="7" t="s">
        <v>195</v>
      </c>
      <c r="L194" s="7" t="s">
        <v>195</v>
      </c>
      <c r="M194" s="7" t="s">
        <v>29</v>
      </c>
      <c r="N194" s="7" t="s">
        <v>29</v>
      </c>
      <c r="O194" s="7" t="s">
        <v>29</v>
      </c>
      <c r="P194" s="7" t="s">
        <v>29</v>
      </c>
      <c r="Q194" s="7" t="s">
        <v>29</v>
      </c>
      <c r="R194" s="7" t="s">
        <v>29</v>
      </c>
      <c r="S194" s="7" t="s">
        <v>29</v>
      </c>
    </row>
    <row r="195" spans="2:19">
      <c r="B195" s="9" t="s">
        <v>195</v>
      </c>
      <c r="C195" s="7" t="s">
        <v>195</v>
      </c>
      <c r="D195" s="5" t="str">
        <f>LRTRIM(CONCATENATE(IF(SUMPRODUCT(-- ISNUMBER(SEARCH({"Auto Number"}, $B195))) &gt; 0, $B195, IF(SUMPRODUCT(-- ISNUMBER(SEARCH({"Lookup","Master-Detail"}, $B195))) &gt; 0,$B195 &amp; "(" &amp; $E195 &amp; ")",IF(SUMPRODUCT(-- ISNUMBER(SEARCH({"Formula","Roll-Up Summary"}, $B195))) &gt; 0,$B195 &amp; " (" &amp; $E195 &amp; ")",IF(SUMPRODUCT(-- ISNUMBER(SEARCH({"Content","Currency","Number","Percent","Text","URL"}, $B195))) &gt; 0,$B195 &amp; "(" &amp; $C195 &amp; ")",$B195)))), "  ", TRIM(IF($S195 = "YES", "(External ID)", "") &amp; " " &amp; IF(SUMPRODUCT(-- ISNUMBER(SEARCH({"Unique","Unique Case Insensitive"}, $R195))) &gt; 0, "(" &amp; $R195 &amp; ")", ""))))</f>
        <v>na</v>
      </c>
      <c r="E195" s="7" t="s">
        <v>195</v>
      </c>
      <c r="F195" s="7" t="s">
        <v>195</v>
      </c>
      <c r="G195" s="7" t="s">
        <v>195</v>
      </c>
      <c r="H195" s="7" t="s">
        <v>195</v>
      </c>
      <c r="I195" s="7" t="s">
        <v>195</v>
      </c>
      <c r="J195" s="7" t="s">
        <v>195</v>
      </c>
      <c r="K195" s="7" t="s">
        <v>195</v>
      </c>
      <c r="L195" s="7" t="s">
        <v>195</v>
      </c>
      <c r="M195" s="7" t="s">
        <v>29</v>
      </c>
      <c r="N195" s="7" t="s">
        <v>29</v>
      </c>
      <c r="O195" s="7" t="s">
        <v>29</v>
      </c>
      <c r="P195" s="7" t="s">
        <v>29</v>
      </c>
      <c r="Q195" s="7" t="s">
        <v>29</v>
      </c>
      <c r="R195" s="7" t="s">
        <v>29</v>
      </c>
      <c r="S195" s="7" t="s">
        <v>29</v>
      </c>
    </row>
    <row r="196" spans="2:19">
      <c r="B196" s="9" t="s">
        <v>195</v>
      </c>
      <c r="C196" s="7" t="s">
        <v>195</v>
      </c>
      <c r="D196" s="5" t="str">
        <f>LRTRIM(CONCATENATE(IF(SUMPRODUCT(-- ISNUMBER(SEARCH({"Auto Number"}, $B196))) &gt; 0, $B196, IF(SUMPRODUCT(-- ISNUMBER(SEARCH({"Lookup","Master-Detail"}, $B196))) &gt; 0,$B196 &amp; "(" &amp; $E196 &amp; ")",IF(SUMPRODUCT(-- ISNUMBER(SEARCH({"Formula","Roll-Up Summary"}, $B196))) &gt; 0,$B196 &amp; " (" &amp; $E196 &amp; ")",IF(SUMPRODUCT(-- ISNUMBER(SEARCH({"Content","Currency","Number","Percent","Text","URL"}, $B196))) &gt; 0,$B196 &amp; "(" &amp; $C196 &amp; ")",$B196)))), "  ", TRIM(IF($S196 = "YES", "(External ID)", "") &amp; " " &amp; IF(SUMPRODUCT(-- ISNUMBER(SEARCH({"Unique","Unique Case Insensitive"}, $R196))) &gt; 0, "(" &amp; $R196 &amp; ")", ""))))</f>
        <v>na</v>
      </c>
      <c r="E196" s="7" t="s">
        <v>195</v>
      </c>
      <c r="F196" s="7" t="s">
        <v>195</v>
      </c>
      <c r="G196" s="7" t="s">
        <v>195</v>
      </c>
      <c r="H196" s="7" t="s">
        <v>195</v>
      </c>
      <c r="I196" s="7" t="s">
        <v>195</v>
      </c>
      <c r="J196" s="7" t="s">
        <v>195</v>
      </c>
      <c r="K196" s="7" t="s">
        <v>195</v>
      </c>
      <c r="L196" s="7" t="s">
        <v>195</v>
      </c>
      <c r="M196" s="7" t="s">
        <v>29</v>
      </c>
      <c r="N196" s="7" t="s">
        <v>29</v>
      </c>
      <c r="O196" s="7" t="s">
        <v>29</v>
      </c>
      <c r="P196" s="7" t="s">
        <v>29</v>
      </c>
      <c r="Q196" s="7" t="s">
        <v>29</v>
      </c>
      <c r="R196" s="7" t="s">
        <v>29</v>
      </c>
      <c r="S196" s="7" t="s">
        <v>29</v>
      </c>
    </row>
    <row r="197" spans="2:19">
      <c r="B197" s="9" t="s">
        <v>195</v>
      </c>
      <c r="C197" s="7" t="s">
        <v>195</v>
      </c>
      <c r="D197" s="5" t="str">
        <f>LRTRIM(CONCATENATE(IF(SUMPRODUCT(-- ISNUMBER(SEARCH({"Auto Number"}, $B197))) &gt; 0, $B197, IF(SUMPRODUCT(-- ISNUMBER(SEARCH({"Lookup","Master-Detail"}, $B197))) &gt; 0,$B197 &amp; "(" &amp; $E197 &amp; ")",IF(SUMPRODUCT(-- ISNUMBER(SEARCH({"Formula","Roll-Up Summary"}, $B197))) &gt; 0,$B197 &amp; " (" &amp; $E197 &amp; ")",IF(SUMPRODUCT(-- ISNUMBER(SEARCH({"Content","Currency","Number","Percent","Text","URL"}, $B197))) &gt; 0,$B197 &amp; "(" &amp; $C197 &amp; ")",$B197)))), "  ", TRIM(IF($S197 = "YES", "(External ID)", "") &amp; " " &amp; IF(SUMPRODUCT(-- ISNUMBER(SEARCH({"Unique","Unique Case Insensitive"}, $R197))) &gt; 0, "(" &amp; $R197 &amp; ")", ""))))</f>
        <v>na</v>
      </c>
      <c r="E197" s="7" t="s">
        <v>195</v>
      </c>
      <c r="F197" s="7" t="s">
        <v>195</v>
      </c>
      <c r="G197" s="7" t="s">
        <v>195</v>
      </c>
      <c r="H197" s="7" t="s">
        <v>195</v>
      </c>
      <c r="I197" s="7" t="s">
        <v>195</v>
      </c>
      <c r="J197" s="7" t="s">
        <v>195</v>
      </c>
      <c r="K197" s="7" t="s">
        <v>195</v>
      </c>
      <c r="L197" s="7" t="s">
        <v>195</v>
      </c>
      <c r="M197" s="7" t="s">
        <v>29</v>
      </c>
      <c r="N197" s="7" t="s">
        <v>29</v>
      </c>
      <c r="O197" s="7" t="s">
        <v>29</v>
      </c>
      <c r="P197" s="7" t="s">
        <v>29</v>
      </c>
      <c r="Q197" s="7" t="s">
        <v>29</v>
      </c>
      <c r="R197" s="7" t="s">
        <v>29</v>
      </c>
      <c r="S197" s="7" t="s">
        <v>29</v>
      </c>
    </row>
    <row r="198" spans="2:19">
      <c r="B198" s="9" t="s">
        <v>195</v>
      </c>
      <c r="C198" s="7" t="s">
        <v>195</v>
      </c>
      <c r="D198" s="5" t="str">
        <f>LRTRIM(CONCATENATE(IF(SUMPRODUCT(-- ISNUMBER(SEARCH({"Auto Number"}, $B198))) &gt; 0, $B198, IF(SUMPRODUCT(-- ISNUMBER(SEARCH({"Lookup","Master-Detail"}, $B198))) &gt; 0,$B198 &amp; "(" &amp; $E198 &amp; ")",IF(SUMPRODUCT(-- ISNUMBER(SEARCH({"Formula","Roll-Up Summary"}, $B198))) &gt; 0,$B198 &amp; " (" &amp; $E198 &amp; ")",IF(SUMPRODUCT(-- ISNUMBER(SEARCH({"Content","Currency","Number","Percent","Text","URL"}, $B198))) &gt; 0,$B198 &amp; "(" &amp; $C198 &amp; ")",$B198)))), "  ", TRIM(IF($S198 = "YES", "(External ID)", "") &amp; " " &amp; IF(SUMPRODUCT(-- ISNUMBER(SEARCH({"Unique","Unique Case Insensitive"}, $R198))) &gt; 0, "(" &amp; $R198 &amp; ")", ""))))</f>
        <v>na</v>
      </c>
      <c r="E198" s="7" t="s">
        <v>195</v>
      </c>
      <c r="F198" s="7" t="s">
        <v>195</v>
      </c>
      <c r="G198" s="7" t="s">
        <v>195</v>
      </c>
      <c r="H198" s="7" t="s">
        <v>195</v>
      </c>
      <c r="I198" s="7" t="s">
        <v>195</v>
      </c>
      <c r="J198" s="7" t="s">
        <v>195</v>
      </c>
      <c r="K198" s="7" t="s">
        <v>195</v>
      </c>
      <c r="L198" s="7" t="s">
        <v>195</v>
      </c>
      <c r="M198" s="7" t="s">
        <v>29</v>
      </c>
      <c r="N198" s="7" t="s">
        <v>29</v>
      </c>
      <c r="O198" s="7" t="s">
        <v>29</v>
      </c>
      <c r="P198" s="7" t="s">
        <v>29</v>
      </c>
      <c r="Q198" s="7" t="s">
        <v>29</v>
      </c>
      <c r="R198" s="7" t="s">
        <v>29</v>
      </c>
      <c r="S198" s="7" t="s">
        <v>29</v>
      </c>
    </row>
    <row r="199" spans="2:19">
      <c r="B199" s="9" t="s">
        <v>195</v>
      </c>
      <c r="C199" s="7" t="s">
        <v>195</v>
      </c>
      <c r="D199" s="5" t="str">
        <f>LRTRIM(CONCATENATE(IF(SUMPRODUCT(-- ISNUMBER(SEARCH({"Auto Number"}, $B199))) &gt; 0, $B199, IF(SUMPRODUCT(-- ISNUMBER(SEARCH({"Lookup","Master-Detail"}, $B199))) &gt; 0,$B199 &amp; "(" &amp; $E199 &amp; ")",IF(SUMPRODUCT(-- ISNUMBER(SEARCH({"Formula","Roll-Up Summary"}, $B199))) &gt; 0,$B199 &amp; " (" &amp; $E199 &amp; ")",IF(SUMPRODUCT(-- ISNUMBER(SEARCH({"Content","Currency","Number","Percent","Text","URL"}, $B199))) &gt; 0,$B199 &amp; "(" &amp; $C199 &amp; ")",$B199)))), "  ", TRIM(IF($S199 = "YES", "(External ID)", "") &amp; " " &amp; IF(SUMPRODUCT(-- ISNUMBER(SEARCH({"Unique","Unique Case Insensitive"}, $R199))) &gt; 0, "(" &amp; $R199 &amp; ")", ""))))</f>
        <v>na</v>
      </c>
      <c r="E199" s="7" t="s">
        <v>195</v>
      </c>
      <c r="F199" s="7" t="s">
        <v>195</v>
      </c>
      <c r="G199" s="7" t="s">
        <v>195</v>
      </c>
      <c r="H199" s="7" t="s">
        <v>195</v>
      </c>
      <c r="I199" s="7" t="s">
        <v>195</v>
      </c>
      <c r="J199" s="7" t="s">
        <v>195</v>
      </c>
      <c r="K199" s="7" t="s">
        <v>195</v>
      </c>
      <c r="L199" s="7" t="s">
        <v>195</v>
      </c>
      <c r="M199" s="7" t="s">
        <v>29</v>
      </c>
      <c r="N199" s="7" t="s">
        <v>29</v>
      </c>
      <c r="O199" s="7" t="s">
        <v>29</v>
      </c>
      <c r="P199" s="7" t="s">
        <v>29</v>
      </c>
      <c r="Q199" s="7" t="s">
        <v>29</v>
      </c>
      <c r="R199" s="7" t="s">
        <v>29</v>
      </c>
      <c r="S199" s="7" t="s">
        <v>29</v>
      </c>
    </row>
    <row r="200" spans="2:19">
      <c r="B200" s="9" t="s">
        <v>195</v>
      </c>
      <c r="C200" s="7" t="s">
        <v>195</v>
      </c>
      <c r="D200" s="5" t="str">
        <f>LRTRIM(CONCATENATE(IF(SUMPRODUCT(-- ISNUMBER(SEARCH({"Auto Number"}, $B200))) &gt; 0, $B200, IF(SUMPRODUCT(-- ISNUMBER(SEARCH({"Lookup","Master-Detail"}, $B200))) &gt; 0,$B200 &amp; "(" &amp; $E200 &amp; ")",IF(SUMPRODUCT(-- ISNUMBER(SEARCH({"Formula","Roll-Up Summary"}, $B200))) &gt; 0,$B200 &amp; " (" &amp; $E200 &amp; ")",IF(SUMPRODUCT(-- ISNUMBER(SEARCH({"Content","Currency","Number","Percent","Text","URL"}, $B200))) &gt; 0,$B200 &amp; "(" &amp; $C200 &amp; ")",$B200)))), "  ", TRIM(IF($S200 = "YES", "(External ID)", "") &amp; " " &amp; IF(SUMPRODUCT(-- ISNUMBER(SEARCH({"Unique","Unique Case Insensitive"}, $R200))) &gt; 0, "(" &amp; $R200 &amp; ")", ""))))</f>
        <v>na</v>
      </c>
      <c r="E200" s="7" t="s">
        <v>195</v>
      </c>
      <c r="F200" s="7" t="s">
        <v>195</v>
      </c>
      <c r="G200" s="7" t="s">
        <v>195</v>
      </c>
      <c r="H200" s="7" t="s">
        <v>195</v>
      </c>
      <c r="I200" s="7" t="s">
        <v>195</v>
      </c>
      <c r="J200" s="7" t="s">
        <v>195</v>
      </c>
      <c r="K200" s="7" t="s">
        <v>195</v>
      </c>
      <c r="L200" s="7" t="s">
        <v>195</v>
      </c>
      <c r="M200" s="7" t="s">
        <v>29</v>
      </c>
      <c r="N200" s="7" t="s">
        <v>29</v>
      </c>
      <c r="O200" s="7" t="s">
        <v>29</v>
      </c>
      <c r="P200" s="7" t="s">
        <v>29</v>
      </c>
      <c r="Q200" s="7" t="s">
        <v>29</v>
      </c>
      <c r="R200" s="7" t="s">
        <v>29</v>
      </c>
      <c r="S200" s="7" t="s">
        <v>29</v>
      </c>
    </row>
  </sheetData>
  <sheetProtection formatCells="0" formatColumns="0" formatRows="0" insertColumns="0" insertRows="0" insertHyperlinks="0" deleteColumns="0" deleteRows="0" sort="0" autoFilter="0" pivotTables="0"/>
  <conditionalFormatting sqref="D2:D5">
    <cfRule type="expression" dxfId="90" priority="3">
      <formula>NOT(_xlfn.ISFORMULA($D2))</formula>
    </cfRule>
  </conditionalFormatting>
  <conditionalFormatting sqref="D6">
    <cfRule type="expression" dxfId="89" priority="2">
      <formula>NOT(_xlfn.ISFORMULA($D6))</formula>
    </cfRule>
  </conditionalFormatting>
  <conditionalFormatting sqref="D7:D200">
    <cfRule type="expression" dxfId="88" priority="1">
      <formula>NOT(_xlfn.ISFORMULA($D7))</formula>
    </cfRule>
  </conditionalFormatting>
  <dataValidations count="1">
    <dataValidation allowBlank="1" showInputMessage="1" showErrorMessage="1" sqref="A2:A5"/>
  </dataValidations>
  <pageMargins left="0.7" right="0.7" top="0.75" bottom="0.75" header="0.3" footer="0.3"/>
  <extLst>
    <ext xmlns:x14="http://schemas.microsoft.com/office/spreadsheetml/2009/9/main" uri="{CCE6A557-97BC-4b89-ADB6-D9C93CAAB3DF}">
      <x14:dataValidations xmlns:xm="http://schemas.microsoft.com/office/excel/2006/main" count="15">
        <x14:dataValidation type="list" allowBlank="1" showInputMessage="1" showErrorMessage="1">
          <x14:formula1>
            <xm:f>OFFSET('Reference Fields'!$K$2,0,0,COUNTA('Reference Fields'!$K:$K)-1)</xm:f>
          </x14:formula1>
          <xm:sqref>R2:R200</xm:sqref>
        </x14:dataValidation>
        <x14:dataValidation type="list" allowBlank="1" showInputMessage="1" showErrorMessage="1">
          <x14:formula1>
            <xm:f>OFFSET('Reference Fields'!$J$2,0,0,COUNTA('Reference Fields'!$J:$J)-1)</xm:f>
          </x14:formula1>
          <xm:sqref>Q2:Q200</xm:sqref>
        </x14:dataValidation>
        <x14:dataValidation type="list" allowBlank="1" showInputMessage="1" showErrorMessage="1">
          <x14:formula1>
            <xm:f>OFFSET('Reference Fields'!$J$2,0,0,COUNTA('Reference Fields'!$J:$J)-1)</xm:f>
          </x14:formula1>
          <xm:sqref>M2:M200</xm:sqref>
        </x14:dataValidation>
        <x14:dataValidation type="list" allowBlank="1" showInputMessage="1" showErrorMessage="1">
          <x14:formula1>
            <xm:f>OFFSET('Reference Fields'!$J$2,0,0,COUNTA('Reference Fields'!$J:$J)-1)</xm:f>
          </x14:formula1>
          <xm:sqref>N2:N200</xm:sqref>
        </x14:dataValidation>
        <x14:dataValidation type="list" allowBlank="1" showInputMessage="1" showErrorMessage="1">
          <x14:formula1>
            <xm:f>OFFSET('Reference Fields'!$J$2,0,0,COUNTA('Reference Fields'!$J:$J)-1)</xm:f>
          </x14:formula1>
          <xm:sqref>O2:O200</xm:sqref>
        </x14:dataValidation>
        <x14:dataValidation type="list" allowBlank="1" showInputMessage="1" showErrorMessage="1">
          <x14:formula1>
            <xm:f>OFFSET('Reference Fields'!$J$2,0,0,COUNTA('Reference Fields'!$J:$J)-1)</xm:f>
          </x14:formula1>
          <xm:sqref>P2:P200</xm:sqref>
        </x14:dataValidation>
        <x14:dataValidation type="list" allowBlank="1" showInputMessage="1" showErrorMessage="1">
          <x14:formula1>
            <xm:f>OFFSET('Reference Fields'!$J$2,0,0,COUNTA('Reference Fields'!$J:$J)-1)</xm:f>
          </x14:formula1>
          <xm:sqref>S2:S200</xm:sqref>
        </x14:dataValidation>
        <x14:dataValidation type="list" allowBlank="1" showInputMessage="1" showErrorMessage="1">
          <x14:formula1>
            <xm:f>OFFSET('Reference Fields'!$B$2,0,0,COUNTA('Reference Fields'!$B:$B)-1)</xm:f>
          </x14:formula1>
          <xm:sqref>B2:B200</xm:sqref>
        </x14:dataValidation>
        <x14:dataValidation type="list" allowBlank="1" showInputMessage="1" showErrorMessage="1">
          <x14:formula1>
            <xm:f>OFFSET('Reference Fields'!$D$2,0,0,COUNTA('Reference Fields'!$D:$D)-1)</xm:f>
          </x14:formula1>
          <xm:sqref>F2:F200</xm:sqref>
        </x14:dataValidation>
        <x14:dataValidation type="list" allowBlank="1" showInputMessage="1" showErrorMessage="1">
          <x14:formula1>
            <xm:f>OFFSET('Reference Fields'!$E$2,0,0,COUNTA('Reference Fields'!$E:$E)-1)</xm:f>
          </x14:formula1>
          <xm:sqref>G2:G200</xm:sqref>
        </x14:dataValidation>
        <x14:dataValidation type="list" allowBlank="1" showInputMessage="1" showErrorMessage="1">
          <x14:formula1>
            <xm:f>OFFSET('Reference Fields'!$F$2,0,0,COUNTA('Reference Fields'!$F:$F)-1)</xm:f>
          </x14:formula1>
          <xm:sqref>H2:H200</xm:sqref>
        </x14:dataValidation>
        <x14:dataValidation type="list" allowBlank="1" showInputMessage="1" showErrorMessage="1">
          <x14:formula1>
            <xm:f>OFFSET('Reference Fields'!$F$2,0,0,COUNTA('Reference Fields'!$F:$F)-1)</xm:f>
          </x14:formula1>
          <xm:sqref>I2:I200</xm:sqref>
        </x14:dataValidation>
        <x14:dataValidation type="list" allowBlank="1" showInputMessage="1" showErrorMessage="1">
          <x14:formula1>
            <xm:f>OFFSET('Reference Fields'!$G$2,0,0,COUNTA('Reference Fields'!$G:$G)-1)</xm:f>
          </x14:formula1>
          <xm:sqref>J2:J200</xm:sqref>
        </x14:dataValidation>
        <x14:dataValidation type="list" allowBlank="1" showInputMessage="1" showErrorMessage="1">
          <x14:formula1>
            <xm:f>OFFSET('Reference Fields'!$H$2,0,0,COUNTA('Reference Fields'!$H:$H)-1)</xm:f>
          </x14:formula1>
          <xm:sqref>K2:K200</xm:sqref>
        </x14:dataValidation>
        <x14:dataValidation type="list" allowBlank="1" showInputMessage="1" showErrorMessage="1">
          <x14:formula1>
            <xm:f>OFFSET('Reference Fields'!$I$2,0,0,COUNTA('Reference Fields'!$I:$I)-1)</xm:f>
          </x14:formula1>
          <xm:sqref>L2:L200</xm:sqref>
        </x14:dataValidation>
      </x14:dataValidations>
    </ext>
  </extLst>
</worksheet>
</file>

<file path=xl/worksheets/sheet10.xml><?xml version="1.0" encoding="utf-8"?>
<worksheet xmlns="http://schemas.openxmlformats.org/spreadsheetml/2006/main" xmlns:r="http://schemas.openxmlformats.org/officeDocument/2006/relationships">
  <sheetPr codeName="Sheet30"/>
  <dimension ref="A1:S200"/>
  <sheetViews>
    <sheetView workbookViewId="0">
      <selection activeCell="A2" sqref="A2"/>
    </sheetView>
  </sheetViews>
  <sheetFormatPr defaultRowHeight="14.5"/>
  <cols>
    <col min="1" max="1" width="11.90625" bestFit="1" customWidth="1"/>
  </cols>
  <sheetData>
    <row r="1" spans="1:19">
      <c r="A1" s="1" t="s">
        <v>2</v>
      </c>
      <c r="B1" s="1" t="s">
        <v>1198</v>
      </c>
      <c r="C1" s="1" t="s">
        <v>1199</v>
      </c>
      <c r="D1" s="1" t="s">
        <v>0</v>
      </c>
      <c r="E1" s="1" t="s">
        <v>1</v>
      </c>
      <c r="F1" s="1" t="s">
        <v>30</v>
      </c>
      <c r="G1" s="1" t="s">
        <v>31</v>
      </c>
      <c r="H1" s="1" t="s">
        <v>1262</v>
      </c>
      <c r="I1" s="1" t="s">
        <v>49</v>
      </c>
      <c r="J1" s="1" t="s">
        <v>48</v>
      </c>
      <c r="K1" s="1" t="s">
        <v>54</v>
      </c>
      <c r="L1" s="1" t="s">
        <v>55</v>
      </c>
      <c r="M1" s="1" t="s">
        <v>27</v>
      </c>
      <c r="N1" s="1" t="s">
        <v>175</v>
      </c>
      <c r="O1" s="1" t="s">
        <v>193</v>
      </c>
      <c r="P1" s="1" t="s">
        <v>1221</v>
      </c>
      <c r="Q1" s="1" t="s">
        <v>1264</v>
      </c>
      <c r="R1" s="1" t="s">
        <v>1263</v>
      </c>
      <c r="S1" s="1" t="s">
        <v>1265</v>
      </c>
    </row>
    <row r="2" spans="1:19">
      <c r="A2" s="7" t="s">
        <v>1456</v>
      </c>
      <c r="B2" s="9" t="s">
        <v>1212</v>
      </c>
      <c r="C2" s="7">
        <v>0</v>
      </c>
      <c r="D2" s="5" t="str">
        <f>LRTRIM(CONCATENATE(IF(SUMPRODUCT(-- ISNUMBER(SEARCH({"Auto Number"}, $B2))) &gt; 0, $B2, IF(SUMPRODUCT(-- ISNUMBER(SEARCH({"Lookup","Master-Detail"}, $B2))) &gt; 0,$B2 &amp; "(" &amp; $E2 &amp; ")",IF(SUMPRODUCT(-- ISNUMBER(SEARCH({"Formula","Roll-Up Summary"}, $B2))) &gt; 0,$B2 &amp; " (" &amp; $E2 &amp; ")",IF(SUMPRODUCT(-- ISNUMBER(SEARCH({"Content","Currency","Number","Percent","Text","URL"}, $B2))) &gt; 0,$B2 &amp; "(" &amp; $C2 &amp; ")",$B2)))), "  ", TRIM(IF($S2 = "YES", "(External ID)", "") &amp; " " &amp; IF(SUMPRODUCT(-- ISNUMBER(SEARCH({"Unique","Unique Case Insensitive"}, $R2))) &gt; 0, "(" &amp; $R2 &amp; ")", ""))))</f>
        <v>Master-Detail(Campaign)</v>
      </c>
      <c r="E2" s="7" t="s">
        <v>1457</v>
      </c>
      <c r="F2" s="7" t="s">
        <v>1457</v>
      </c>
      <c r="G2" s="7" t="s">
        <v>1458</v>
      </c>
      <c r="H2" s="7" t="s">
        <v>195</v>
      </c>
      <c r="I2" s="7" t="s">
        <v>195</v>
      </c>
      <c r="J2" s="7" t="s">
        <v>195</v>
      </c>
      <c r="K2" s="7" t="s">
        <v>195</v>
      </c>
      <c r="L2" s="7" t="s">
        <v>195</v>
      </c>
      <c r="M2" s="7" t="s">
        <v>28</v>
      </c>
      <c r="N2" s="7" t="s">
        <v>29</v>
      </c>
      <c r="O2" s="7" t="s">
        <v>29</v>
      </c>
      <c r="P2" s="7" t="s">
        <v>29</v>
      </c>
      <c r="Q2" s="7" t="s">
        <v>29</v>
      </c>
      <c r="R2" s="7" t="s">
        <v>29</v>
      </c>
      <c r="S2" s="7" t="s">
        <v>29</v>
      </c>
    </row>
    <row r="3" spans="1:19">
      <c r="A3" s="7" t="s">
        <v>1303</v>
      </c>
      <c r="B3" s="9" t="s">
        <v>1306</v>
      </c>
      <c r="C3" s="7">
        <v>255</v>
      </c>
      <c r="D3" s="5" t="str">
        <f>LRTRIM(CONCATENATE(IF(SUMPRODUCT(-- ISNUMBER(SEARCH({"Auto Number"}, $B3))) &gt; 0, $B3, IF(SUMPRODUCT(-- ISNUMBER(SEARCH({"Lookup","Master-Detail"}, $B3))) &gt; 0,$B3 &amp; "(" &amp; $E3 &amp; ")",IF(SUMPRODUCT(-- ISNUMBER(SEARCH({"Formula","Roll-Up Summary"}, $B3))) &gt; 0,$B3 &amp; " (" &amp; $E3 &amp; ")",IF(SUMPRODUCT(-- ISNUMBER(SEARCH({"Content","Currency","Number","Percent","Text","URL"}, $B3))) &gt; 0,$B3 &amp; "(" &amp; $C3 &amp; ")",$B3)))), "  ", TRIM(IF($S3 = "YES", "(External ID)", "") &amp; " " &amp; IF(SUMPRODUCT(-- ISNUMBER(SEARCH({"Unique","Unique Case Insensitive"}, $R3))) &gt; 0, "(" &amp; $R3 &amp; ")", ""))))</f>
        <v>Text Area(255)</v>
      </c>
      <c r="E3" s="7" t="s">
        <v>195</v>
      </c>
      <c r="F3" s="7" t="s">
        <v>1308</v>
      </c>
      <c r="G3" s="7" t="s">
        <v>931</v>
      </c>
      <c r="H3" s="7" t="s">
        <v>195</v>
      </c>
      <c r="I3" s="7" t="s">
        <v>195</v>
      </c>
      <c r="J3" s="7" t="s">
        <v>195</v>
      </c>
      <c r="K3" s="7" t="s">
        <v>195</v>
      </c>
      <c r="L3" s="7" t="s">
        <v>195</v>
      </c>
      <c r="M3" s="7" t="s">
        <v>29</v>
      </c>
      <c r="N3" s="7" t="s">
        <v>29</v>
      </c>
      <c r="O3" s="7" t="s">
        <v>29</v>
      </c>
      <c r="P3" s="7" t="s">
        <v>29</v>
      </c>
      <c r="Q3" s="7" t="s">
        <v>29</v>
      </c>
      <c r="R3" s="7" t="s">
        <v>29</v>
      </c>
      <c r="S3" s="7" t="s">
        <v>29</v>
      </c>
    </row>
    <row r="4" spans="1:19">
      <c r="A4" s="7" t="s">
        <v>1314</v>
      </c>
      <c r="B4" s="9" t="s">
        <v>1213</v>
      </c>
      <c r="C4" s="7" t="s">
        <v>1251</v>
      </c>
      <c r="D4" s="5" t="str">
        <f>LRTRIM(CONCATENATE(IF(SUMPRODUCT(-- ISNUMBER(SEARCH({"Auto Number"}, $B4))) &gt; 0, $B4, IF(SUMPRODUCT(-- ISNUMBER(SEARCH({"Lookup","Master-Detail"}, $B4))) &gt; 0,$B4 &amp; "(" &amp; $E4 &amp; ")",IF(SUMPRODUCT(-- ISNUMBER(SEARCH({"Formula","Roll-Up Summary"}, $B4))) &gt; 0,$B4 &amp; " (" &amp; $E4 &amp; ")",IF(SUMPRODUCT(-- ISNUMBER(SEARCH({"Content","Currency","Number","Percent","Text","URL"}, $B4))) &gt; 0,$B4 &amp; "(" &amp; $C4 &amp; ")",$B4)))), "  ", TRIM(IF($S4 = "YES", "(External ID)", "") &amp; " " &amp; IF(SUMPRODUCT(-- ISNUMBER(SEARCH({"Unique","Unique Case Insensitive"}, $R4))) &gt; 0, "(" &amp; $R4 &amp; ")", ""))))</f>
        <v>Number(2, 0)</v>
      </c>
      <c r="E4" s="7" t="s">
        <v>195</v>
      </c>
      <c r="F4" s="7" t="s">
        <v>1315</v>
      </c>
      <c r="G4" s="7" t="s">
        <v>1316</v>
      </c>
      <c r="H4" s="7" t="s">
        <v>195</v>
      </c>
      <c r="I4" s="7" t="s">
        <v>195</v>
      </c>
      <c r="J4" s="7" t="s">
        <v>195</v>
      </c>
      <c r="K4" s="7" t="s">
        <v>195</v>
      </c>
      <c r="L4" s="7" t="s">
        <v>195</v>
      </c>
      <c r="M4" s="7" t="s">
        <v>29</v>
      </c>
      <c r="N4" s="7" t="s">
        <v>29</v>
      </c>
      <c r="O4" s="7" t="s">
        <v>29</v>
      </c>
      <c r="P4" s="7" t="s">
        <v>29</v>
      </c>
      <c r="Q4" s="7" t="s">
        <v>29</v>
      </c>
      <c r="R4" s="7" t="s">
        <v>29</v>
      </c>
      <c r="S4" s="7" t="s">
        <v>29</v>
      </c>
    </row>
    <row r="5" spans="1:19">
      <c r="B5" s="9" t="s">
        <v>195</v>
      </c>
      <c r="C5" s="7" t="s">
        <v>195</v>
      </c>
      <c r="D5" s="5" t="str">
        <f>LRTRIM(CONCATENATE(IF(SUMPRODUCT(-- ISNUMBER(SEARCH({"Auto Number"}, $B5))) &gt; 0, $B5, IF(SUMPRODUCT(-- ISNUMBER(SEARCH({"Lookup","Master-Detail"}, $B5))) &gt; 0,$B5 &amp; "(" &amp; $E5 &amp; ")",IF(SUMPRODUCT(-- ISNUMBER(SEARCH({"Formula","Roll-Up Summary"}, $B5))) &gt; 0,$B5 &amp; " (" &amp; $E5 &amp; ")",IF(SUMPRODUCT(-- ISNUMBER(SEARCH({"Content","Currency","Number","Percent","Text","URL"}, $B5))) &gt; 0,$B5 &amp; "(" &amp; $C5 &amp; ")",$B5)))), "  ", TRIM(IF($S5 = "YES", "(External ID)", "") &amp; " " &amp; IF(SUMPRODUCT(-- ISNUMBER(SEARCH({"Unique","Unique Case Insensitive"}, $R5))) &gt; 0, "(" &amp; $R5 &amp; ")", ""))))</f>
        <v>na</v>
      </c>
      <c r="E5" s="7" t="s">
        <v>195</v>
      </c>
      <c r="F5" s="7" t="s">
        <v>195</v>
      </c>
      <c r="G5" s="7" t="s">
        <v>195</v>
      </c>
      <c r="H5" s="7" t="s">
        <v>195</v>
      </c>
      <c r="I5" s="7" t="s">
        <v>195</v>
      </c>
      <c r="J5" s="7" t="s">
        <v>195</v>
      </c>
      <c r="K5" s="7" t="s">
        <v>195</v>
      </c>
      <c r="L5" s="7" t="s">
        <v>195</v>
      </c>
      <c r="M5" s="7" t="s">
        <v>29</v>
      </c>
      <c r="N5" s="7" t="s">
        <v>29</v>
      </c>
      <c r="O5" s="7" t="s">
        <v>29</v>
      </c>
      <c r="P5" s="7" t="s">
        <v>29</v>
      </c>
      <c r="Q5" s="7" t="s">
        <v>29</v>
      </c>
      <c r="R5" s="7" t="s">
        <v>29</v>
      </c>
      <c r="S5" s="7" t="s">
        <v>29</v>
      </c>
    </row>
    <row r="6" spans="1:19">
      <c r="B6" s="9" t="s">
        <v>195</v>
      </c>
      <c r="C6" s="7" t="s">
        <v>195</v>
      </c>
      <c r="D6" s="5" t="str">
        <f>LRTRIM(CONCATENATE(IF(SUMPRODUCT(-- ISNUMBER(SEARCH({"Auto Number"}, $B6))) &gt; 0, $B6, IF(SUMPRODUCT(-- ISNUMBER(SEARCH({"Lookup","Master-Detail"}, $B6))) &gt; 0,$B6 &amp; "(" &amp; $E6 &amp; ")",IF(SUMPRODUCT(-- ISNUMBER(SEARCH({"Formula","Roll-Up Summary"}, $B6))) &gt; 0,$B6 &amp; " (" &amp; $E6 &amp; ")",IF(SUMPRODUCT(-- ISNUMBER(SEARCH({"Content","Currency","Number","Percent","Text","URL"}, $B6))) &gt; 0,$B6 &amp; "(" &amp; $C6 &amp; ")",$B6)))), "  ", TRIM(IF($S6 = "YES", "(External ID)", "") &amp; " " &amp; IF(SUMPRODUCT(-- ISNUMBER(SEARCH({"Unique","Unique Case Insensitive"}, $R6))) &gt; 0, "(" &amp; $R6 &amp; ")", ""))))</f>
        <v>na</v>
      </c>
      <c r="E6" s="7" t="s">
        <v>195</v>
      </c>
      <c r="F6" s="7" t="s">
        <v>195</v>
      </c>
      <c r="G6" s="7" t="s">
        <v>195</v>
      </c>
      <c r="H6" s="7" t="s">
        <v>195</v>
      </c>
      <c r="I6" s="7" t="s">
        <v>195</v>
      </c>
      <c r="J6" s="7" t="s">
        <v>195</v>
      </c>
      <c r="K6" s="7" t="s">
        <v>195</v>
      </c>
      <c r="L6" s="7" t="s">
        <v>195</v>
      </c>
      <c r="M6" s="7" t="s">
        <v>29</v>
      </c>
      <c r="N6" s="7" t="s">
        <v>29</v>
      </c>
      <c r="O6" s="7" t="s">
        <v>29</v>
      </c>
      <c r="P6" s="7" t="s">
        <v>29</v>
      </c>
      <c r="Q6" s="7" t="s">
        <v>29</v>
      </c>
      <c r="R6" s="7" t="s">
        <v>29</v>
      </c>
      <c r="S6" s="7" t="s">
        <v>29</v>
      </c>
    </row>
    <row r="7" spans="1:19">
      <c r="B7" s="9" t="s">
        <v>195</v>
      </c>
      <c r="C7" s="7" t="s">
        <v>195</v>
      </c>
      <c r="D7" s="5" t="str">
        <f>LRTRIM(CONCATENATE(IF(SUMPRODUCT(-- ISNUMBER(SEARCH({"Auto Number"}, $B7))) &gt; 0, $B7, IF(SUMPRODUCT(-- ISNUMBER(SEARCH({"Lookup","Master-Detail"}, $B7))) &gt; 0,$B7 &amp; "(" &amp; $E7 &amp; ")",IF(SUMPRODUCT(-- ISNUMBER(SEARCH({"Formula","Roll-Up Summary"}, $B7))) &gt; 0,$B7 &amp; " (" &amp; $E7 &amp; ")",IF(SUMPRODUCT(-- ISNUMBER(SEARCH({"Content","Currency","Number","Percent","Text","URL"}, $B7))) &gt; 0,$B7 &amp; "(" &amp; $C7 &amp; ")",$B7)))), "  ", TRIM(IF($S7 = "YES", "(External ID)", "") &amp; " " &amp; IF(SUMPRODUCT(-- ISNUMBER(SEARCH({"Unique","Unique Case Insensitive"}, $R7))) &gt; 0, "(" &amp; $R7 &amp; ")", ""))))</f>
        <v>na</v>
      </c>
      <c r="E7" s="7" t="s">
        <v>195</v>
      </c>
      <c r="F7" s="7" t="s">
        <v>195</v>
      </c>
      <c r="G7" s="7" t="s">
        <v>195</v>
      </c>
      <c r="H7" s="7" t="s">
        <v>195</v>
      </c>
      <c r="I7" s="7" t="s">
        <v>195</v>
      </c>
      <c r="J7" s="7" t="s">
        <v>195</v>
      </c>
      <c r="K7" s="7" t="s">
        <v>195</v>
      </c>
      <c r="L7" s="7" t="s">
        <v>195</v>
      </c>
      <c r="M7" s="7" t="s">
        <v>29</v>
      </c>
      <c r="N7" s="7" t="s">
        <v>29</v>
      </c>
      <c r="O7" s="7" t="s">
        <v>29</v>
      </c>
      <c r="P7" s="7" t="s">
        <v>29</v>
      </c>
      <c r="Q7" s="7" t="s">
        <v>29</v>
      </c>
      <c r="R7" s="7" t="s">
        <v>29</v>
      </c>
      <c r="S7" s="7" t="s">
        <v>29</v>
      </c>
    </row>
    <row r="8" spans="1:19">
      <c r="B8" s="9" t="s">
        <v>195</v>
      </c>
      <c r="C8" s="7" t="s">
        <v>195</v>
      </c>
      <c r="D8" s="5" t="str">
        <f>LRTRIM(CONCATENATE(IF(SUMPRODUCT(-- ISNUMBER(SEARCH({"Auto Number"}, $B8))) &gt; 0, $B8, IF(SUMPRODUCT(-- ISNUMBER(SEARCH({"Lookup","Master-Detail"}, $B8))) &gt; 0,$B8 &amp; "(" &amp; $E8 &amp; ")",IF(SUMPRODUCT(-- ISNUMBER(SEARCH({"Formula","Roll-Up Summary"}, $B8))) &gt; 0,$B8 &amp; " (" &amp; $E8 &amp; ")",IF(SUMPRODUCT(-- ISNUMBER(SEARCH({"Content","Currency","Number","Percent","Text","URL"}, $B8))) &gt; 0,$B8 &amp; "(" &amp; $C8 &amp; ")",$B8)))), "  ", TRIM(IF($S8 = "YES", "(External ID)", "") &amp; " " &amp; IF(SUMPRODUCT(-- ISNUMBER(SEARCH({"Unique","Unique Case Insensitive"}, $R8))) &gt; 0, "(" &amp; $R8 &amp; ")", ""))))</f>
        <v>na</v>
      </c>
      <c r="E8" s="7" t="s">
        <v>195</v>
      </c>
      <c r="F8" s="7" t="s">
        <v>195</v>
      </c>
      <c r="G8" s="7" t="s">
        <v>195</v>
      </c>
      <c r="H8" s="7" t="s">
        <v>195</v>
      </c>
      <c r="I8" s="7" t="s">
        <v>195</v>
      </c>
      <c r="J8" s="7" t="s">
        <v>195</v>
      </c>
      <c r="K8" s="7" t="s">
        <v>195</v>
      </c>
      <c r="L8" s="7" t="s">
        <v>195</v>
      </c>
      <c r="M8" s="7" t="s">
        <v>29</v>
      </c>
      <c r="N8" s="7" t="s">
        <v>29</v>
      </c>
      <c r="O8" s="7" t="s">
        <v>29</v>
      </c>
      <c r="P8" s="7" t="s">
        <v>29</v>
      </c>
      <c r="Q8" s="7" t="s">
        <v>29</v>
      </c>
      <c r="R8" s="7" t="s">
        <v>29</v>
      </c>
      <c r="S8" s="7" t="s">
        <v>29</v>
      </c>
    </row>
    <row r="9" spans="1:19">
      <c r="B9" s="9" t="s">
        <v>195</v>
      </c>
      <c r="C9" s="7" t="s">
        <v>195</v>
      </c>
      <c r="D9" s="5" t="str">
        <f>LRTRIM(CONCATENATE(IF(SUMPRODUCT(-- ISNUMBER(SEARCH({"Auto Number"}, $B9))) &gt; 0, $B9, IF(SUMPRODUCT(-- ISNUMBER(SEARCH({"Lookup","Master-Detail"}, $B9))) &gt; 0,$B9 &amp; "(" &amp; $E9 &amp; ")",IF(SUMPRODUCT(-- ISNUMBER(SEARCH({"Formula","Roll-Up Summary"}, $B9))) &gt; 0,$B9 &amp; " (" &amp; $E9 &amp; ")",IF(SUMPRODUCT(-- ISNUMBER(SEARCH({"Content","Currency","Number","Percent","Text","URL"}, $B9))) &gt; 0,$B9 &amp; "(" &amp; $C9 &amp; ")",$B9)))), "  ", TRIM(IF($S9 = "YES", "(External ID)", "") &amp; " " &amp; IF(SUMPRODUCT(-- ISNUMBER(SEARCH({"Unique","Unique Case Insensitive"}, $R9))) &gt; 0, "(" &amp; $R9 &amp; ")", ""))))</f>
        <v>na</v>
      </c>
      <c r="E9" s="7" t="s">
        <v>195</v>
      </c>
      <c r="F9" s="7" t="s">
        <v>195</v>
      </c>
      <c r="G9" s="7" t="s">
        <v>195</v>
      </c>
      <c r="H9" s="7" t="s">
        <v>195</v>
      </c>
      <c r="I9" s="7" t="s">
        <v>195</v>
      </c>
      <c r="J9" s="7" t="s">
        <v>195</v>
      </c>
      <c r="K9" s="7" t="s">
        <v>195</v>
      </c>
      <c r="L9" s="7" t="s">
        <v>195</v>
      </c>
      <c r="M9" s="7" t="s">
        <v>29</v>
      </c>
      <c r="N9" s="7" t="s">
        <v>29</v>
      </c>
      <c r="O9" s="7" t="s">
        <v>29</v>
      </c>
      <c r="P9" s="7" t="s">
        <v>29</v>
      </c>
      <c r="Q9" s="7" t="s">
        <v>29</v>
      </c>
      <c r="R9" s="7" t="s">
        <v>29</v>
      </c>
      <c r="S9" s="7" t="s">
        <v>29</v>
      </c>
    </row>
    <row r="10" spans="1:19">
      <c r="B10" s="9" t="s">
        <v>195</v>
      </c>
      <c r="C10" s="7" t="s">
        <v>195</v>
      </c>
      <c r="D10" s="5" t="str">
        <f>LRTRIM(CONCATENATE(IF(SUMPRODUCT(-- ISNUMBER(SEARCH({"Auto Number"}, $B10))) &gt; 0, $B10, IF(SUMPRODUCT(-- ISNUMBER(SEARCH({"Lookup","Master-Detail"}, $B10))) &gt; 0,$B10 &amp; "(" &amp; $E10 &amp; ")",IF(SUMPRODUCT(-- ISNUMBER(SEARCH({"Formula","Roll-Up Summary"}, $B10))) &gt; 0,$B10 &amp; " (" &amp; $E10 &amp; ")",IF(SUMPRODUCT(-- ISNUMBER(SEARCH({"Content","Currency","Number","Percent","Text","URL"}, $B10))) &gt; 0,$B10 &amp; "(" &amp; $C10 &amp; ")",$B10)))), "  ", TRIM(IF($S10 = "YES", "(External ID)", "") &amp; " " &amp; IF(SUMPRODUCT(-- ISNUMBER(SEARCH({"Unique","Unique Case Insensitive"}, $R10))) &gt; 0, "(" &amp; $R10 &amp; ")", ""))))</f>
        <v>na</v>
      </c>
      <c r="E10" s="7" t="s">
        <v>195</v>
      </c>
      <c r="F10" s="7" t="s">
        <v>195</v>
      </c>
      <c r="G10" s="7" t="s">
        <v>195</v>
      </c>
      <c r="H10" s="7" t="s">
        <v>195</v>
      </c>
      <c r="I10" s="7" t="s">
        <v>195</v>
      </c>
      <c r="J10" s="7" t="s">
        <v>195</v>
      </c>
      <c r="K10" s="7" t="s">
        <v>195</v>
      </c>
      <c r="L10" s="7" t="s">
        <v>195</v>
      </c>
      <c r="M10" s="7" t="s">
        <v>29</v>
      </c>
      <c r="N10" s="7" t="s">
        <v>29</v>
      </c>
      <c r="O10" s="7" t="s">
        <v>29</v>
      </c>
      <c r="P10" s="7" t="s">
        <v>29</v>
      </c>
      <c r="Q10" s="7" t="s">
        <v>29</v>
      </c>
      <c r="R10" s="7" t="s">
        <v>29</v>
      </c>
      <c r="S10" s="7" t="s">
        <v>29</v>
      </c>
    </row>
    <row r="11" spans="1:19">
      <c r="B11" s="9" t="s">
        <v>195</v>
      </c>
      <c r="C11" s="7" t="s">
        <v>195</v>
      </c>
      <c r="D11" s="5" t="str">
        <f>LRTRIM(CONCATENATE(IF(SUMPRODUCT(-- ISNUMBER(SEARCH({"Auto Number"}, $B11))) &gt; 0, $B11, IF(SUMPRODUCT(-- ISNUMBER(SEARCH({"Lookup","Master-Detail"}, $B11))) &gt; 0,$B11 &amp; "(" &amp; $E11 &amp; ")",IF(SUMPRODUCT(-- ISNUMBER(SEARCH({"Formula","Roll-Up Summary"}, $B11))) &gt; 0,$B11 &amp; " (" &amp; $E11 &amp; ")",IF(SUMPRODUCT(-- ISNUMBER(SEARCH({"Content","Currency","Number","Percent","Text","URL"}, $B11))) &gt; 0,$B11 &amp; "(" &amp; $C11 &amp; ")",$B11)))), "  ", TRIM(IF($S11 = "YES", "(External ID)", "") &amp; " " &amp; IF(SUMPRODUCT(-- ISNUMBER(SEARCH({"Unique","Unique Case Insensitive"}, $R11))) &gt; 0, "(" &amp; $R11 &amp; ")", ""))))</f>
        <v>na</v>
      </c>
      <c r="E11" s="7" t="s">
        <v>195</v>
      </c>
      <c r="F11" s="7" t="s">
        <v>195</v>
      </c>
      <c r="G11" s="7" t="s">
        <v>195</v>
      </c>
      <c r="H11" s="7" t="s">
        <v>195</v>
      </c>
      <c r="I11" s="7" t="s">
        <v>195</v>
      </c>
      <c r="J11" s="7" t="s">
        <v>195</v>
      </c>
      <c r="K11" s="7" t="s">
        <v>195</v>
      </c>
      <c r="L11" s="7" t="s">
        <v>195</v>
      </c>
      <c r="M11" s="7" t="s">
        <v>29</v>
      </c>
      <c r="N11" s="7" t="s">
        <v>29</v>
      </c>
      <c r="O11" s="7" t="s">
        <v>29</v>
      </c>
      <c r="P11" s="7" t="s">
        <v>29</v>
      </c>
      <c r="Q11" s="7" t="s">
        <v>29</v>
      </c>
      <c r="R11" s="7" t="s">
        <v>29</v>
      </c>
      <c r="S11" s="7" t="s">
        <v>29</v>
      </c>
    </row>
    <row r="12" spans="1:19">
      <c r="B12" s="9" t="s">
        <v>195</v>
      </c>
      <c r="C12" s="7" t="s">
        <v>195</v>
      </c>
      <c r="D12" s="5" t="str">
        <f>LRTRIM(CONCATENATE(IF(SUMPRODUCT(-- ISNUMBER(SEARCH({"Auto Number"}, $B12))) &gt; 0, $B12, IF(SUMPRODUCT(-- ISNUMBER(SEARCH({"Lookup","Master-Detail"}, $B12))) &gt; 0,$B12 &amp; "(" &amp; $E12 &amp; ")",IF(SUMPRODUCT(-- ISNUMBER(SEARCH({"Formula","Roll-Up Summary"}, $B12))) &gt; 0,$B12 &amp; " (" &amp; $E12 &amp; ")",IF(SUMPRODUCT(-- ISNUMBER(SEARCH({"Content","Currency","Number","Percent","Text","URL"}, $B12))) &gt; 0,$B12 &amp; "(" &amp; $C12 &amp; ")",$B12)))), "  ", TRIM(IF($S12 = "YES", "(External ID)", "") &amp; " " &amp; IF(SUMPRODUCT(-- ISNUMBER(SEARCH({"Unique","Unique Case Insensitive"}, $R12))) &gt; 0, "(" &amp; $R12 &amp; ")", ""))))</f>
        <v>na</v>
      </c>
      <c r="E12" s="7" t="s">
        <v>195</v>
      </c>
      <c r="F12" s="7" t="s">
        <v>195</v>
      </c>
      <c r="G12" s="7" t="s">
        <v>195</v>
      </c>
      <c r="H12" s="7" t="s">
        <v>195</v>
      </c>
      <c r="I12" s="7" t="s">
        <v>195</v>
      </c>
      <c r="J12" s="7" t="s">
        <v>195</v>
      </c>
      <c r="K12" s="7" t="s">
        <v>195</v>
      </c>
      <c r="L12" s="7" t="s">
        <v>195</v>
      </c>
      <c r="M12" s="7" t="s">
        <v>29</v>
      </c>
      <c r="N12" s="7" t="s">
        <v>29</v>
      </c>
      <c r="O12" s="7" t="s">
        <v>29</v>
      </c>
      <c r="P12" s="7" t="s">
        <v>29</v>
      </c>
      <c r="Q12" s="7" t="s">
        <v>29</v>
      </c>
      <c r="R12" s="7" t="s">
        <v>29</v>
      </c>
      <c r="S12" s="7" t="s">
        <v>29</v>
      </c>
    </row>
    <row r="13" spans="1:19">
      <c r="B13" s="9" t="s">
        <v>195</v>
      </c>
      <c r="C13" s="7" t="s">
        <v>195</v>
      </c>
      <c r="D13" s="5" t="str">
        <f>LRTRIM(CONCATENATE(IF(SUMPRODUCT(-- ISNUMBER(SEARCH({"Auto Number"}, $B13))) &gt; 0, $B13, IF(SUMPRODUCT(-- ISNUMBER(SEARCH({"Lookup","Master-Detail"}, $B13))) &gt; 0,$B13 &amp; "(" &amp; $E13 &amp; ")",IF(SUMPRODUCT(-- ISNUMBER(SEARCH({"Formula","Roll-Up Summary"}, $B13))) &gt; 0,$B13 &amp; " (" &amp; $E13 &amp; ")",IF(SUMPRODUCT(-- ISNUMBER(SEARCH({"Content","Currency","Number","Percent","Text","URL"}, $B13))) &gt; 0,$B13 &amp; "(" &amp; $C13 &amp; ")",$B13)))), "  ", TRIM(IF($S13 = "YES", "(External ID)", "") &amp; " " &amp; IF(SUMPRODUCT(-- ISNUMBER(SEARCH({"Unique","Unique Case Insensitive"}, $R13))) &gt; 0, "(" &amp; $R13 &amp; ")", ""))))</f>
        <v>na</v>
      </c>
      <c r="E13" s="7" t="s">
        <v>195</v>
      </c>
      <c r="F13" s="7" t="s">
        <v>195</v>
      </c>
      <c r="G13" s="7" t="s">
        <v>195</v>
      </c>
      <c r="H13" s="7" t="s">
        <v>195</v>
      </c>
      <c r="I13" s="7" t="s">
        <v>195</v>
      </c>
      <c r="J13" s="7" t="s">
        <v>195</v>
      </c>
      <c r="K13" s="7" t="s">
        <v>195</v>
      </c>
      <c r="L13" s="7" t="s">
        <v>195</v>
      </c>
      <c r="M13" s="7" t="s">
        <v>29</v>
      </c>
      <c r="N13" s="7" t="s">
        <v>29</v>
      </c>
      <c r="O13" s="7" t="s">
        <v>29</v>
      </c>
      <c r="P13" s="7" t="s">
        <v>29</v>
      </c>
      <c r="Q13" s="7" t="s">
        <v>29</v>
      </c>
      <c r="R13" s="7" t="s">
        <v>29</v>
      </c>
      <c r="S13" s="7" t="s">
        <v>29</v>
      </c>
    </row>
    <row r="14" spans="1:19">
      <c r="B14" s="9" t="s">
        <v>195</v>
      </c>
      <c r="C14" s="7" t="s">
        <v>195</v>
      </c>
      <c r="D14" s="5" t="str">
        <f>LRTRIM(CONCATENATE(IF(SUMPRODUCT(-- ISNUMBER(SEARCH({"Auto Number"}, $B14))) &gt; 0, $B14, IF(SUMPRODUCT(-- ISNUMBER(SEARCH({"Lookup","Master-Detail"}, $B14))) &gt; 0,$B14 &amp; "(" &amp; $E14 &amp; ")",IF(SUMPRODUCT(-- ISNUMBER(SEARCH({"Formula","Roll-Up Summary"}, $B14))) &gt; 0,$B14 &amp; " (" &amp; $E14 &amp; ")",IF(SUMPRODUCT(-- ISNUMBER(SEARCH({"Content","Currency","Number","Percent","Text","URL"}, $B14))) &gt; 0,$B14 &amp; "(" &amp; $C14 &amp; ")",$B14)))), "  ", TRIM(IF($S14 = "YES", "(External ID)", "") &amp; " " &amp; IF(SUMPRODUCT(-- ISNUMBER(SEARCH({"Unique","Unique Case Insensitive"}, $R14))) &gt; 0, "(" &amp; $R14 &amp; ")", ""))))</f>
        <v>na</v>
      </c>
      <c r="E14" s="7" t="s">
        <v>195</v>
      </c>
      <c r="F14" s="7" t="s">
        <v>195</v>
      </c>
      <c r="G14" s="7" t="s">
        <v>195</v>
      </c>
      <c r="H14" s="7" t="s">
        <v>195</v>
      </c>
      <c r="I14" s="7" t="s">
        <v>195</v>
      </c>
      <c r="J14" s="7" t="s">
        <v>195</v>
      </c>
      <c r="K14" s="7" t="s">
        <v>195</v>
      </c>
      <c r="L14" s="7" t="s">
        <v>195</v>
      </c>
      <c r="M14" s="7" t="s">
        <v>29</v>
      </c>
      <c r="N14" s="7" t="s">
        <v>29</v>
      </c>
      <c r="O14" s="7" t="s">
        <v>29</v>
      </c>
      <c r="P14" s="7" t="s">
        <v>29</v>
      </c>
      <c r="Q14" s="7" t="s">
        <v>29</v>
      </c>
      <c r="R14" s="7" t="s">
        <v>29</v>
      </c>
      <c r="S14" s="7" t="s">
        <v>29</v>
      </c>
    </row>
    <row r="15" spans="1:19">
      <c r="B15" s="9" t="s">
        <v>195</v>
      </c>
      <c r="C15" s="7" t="s">
        <v>195</v>
      </c>
      <c r="D15" s="5" t="str">
        <f>LRTRIM(CONCATENATE(IF(SUMPRODUCT(-- ISNUMBER(SEARCH({"Auto Number"}, $B15))) &gt; 0, $B15, IF(SUMPRODUCT(-- ISNUMBER(SEARCH({"Lookup","Master-Detail"}, $B15))) &gt; 0,$B15 &amp; "(" &amp; $E15 &amp; ")",IF(SUMPRODUCT(-- ISNUMBER(SEARCH({"Formula","Roll-Up Summary"}, $B15))) &gt; 0,$B15 &amp; " (" &amp; $E15 &amp; ")",IF(SUMPRODUCT(-- ISNUMBER(SEARCH({"Content","Currency","Number","Percent","Text","URL"}, $B15))) &gt; 0,$B15 &amp; "(" &amp; $C15 &amp; ")",$B15)))), "  ", TRIM(IF($S15 = "YES", "(External ID)", "") &amp; " " &amp; IF(SUMPRODUCT(-- ISNUMBER(SEARCH({"Unique","Unique Case Insensitive"}, $R15))) &gt; 0, "(" &amp; $R15 &amp; ")", ""))))</f>
        <v>na</v>
      </c>
      <c r="E15" s="7" t="s">
        <v>195</v>
      </c>
      <c r="F15" s="7" t="s">
        <v>195</v>
      </c>
      <c r="G15" s="7" t="s">
        <v>195</v>
      </c>
      <c r="H15" s="7" t="s">
        <v>195</v>
      </c>
      <c r="I15" s="7" t="s">
        <v>195</v>
      </c>
      <c r="J15" s="7" t="s">
        <v>195</v>
      </c>
      <c r="K15" s="7" t="s">
        <v>195</v>
      </c>
      <c r="L15" s="7" t="s">
        <v>195</v>
      </c>
      <c r="M15" s="7" t="s">
        <v>29</v>
      </c>
      <c r="N15" s="7" t="s">
        <v>29</v>
      </c>
      <c r="O15" s="7" t="s">
        <v>29</v>
      </c>
      <c r="P15" s="7" t="s">
        <v>29</v>
      </c>
      <c r="Q15" s="7" t="s">
        <v>29</v>
      </c>
      <c r="R15" s="7" t="s">
        <v>29</v>
      </c>
      <c r="S15" s="7" t="s">
        <v>29</v>
      </c>
    </row>
    <row r="16" spans="1:19">
      <c r="B16" s="9" t="s">
        <v>195</v>
      </c>
      <c r="C16" s="7" t="s">
        <v>195</v>
      </c>
      <c r="D16" s="5" t="str">
        <f>LRTRIM(CONCATENATE(IF(SUMPRODUCT(-- ISNUMBER(SEARCH({"Auto Number"}, $B16))) &gt; 0, $B16, IF(SUMPRODUCT(-- ISNUMBER(SEARCH({"Lookup","Master-Detail"}, $B16))) &gt; 0,$B16 &amp; "(" &amp; $E16 &amp; ")",IF(SUMPRODUCT(-- ISNUMBER(SEARCH({"Formula","Roll-Up Summary"}, $B16))) &gt; 0,$B16 &amp; " (" &amp; $E16 &amp; ")",IF(SUMPRODUCT(-- ISNUMBER(SEARCH({"Content","Currency","Number","Percent","Text","URL"}, $B16))) &gt; 0,$B16 &amp; "(" &amp; $C16 &amp; ")",$B16)))), "  ", TRIM(IF($S16 = "YES", "(External ID)", "") &amp; " " &amp; IF(SUMPRODUCT(-- ISNUMBER(SEARCH({"Unique","Unique Case Insensitive"}, $R16))) &gt; 0, "(" &amp; $R16 &amp; ")", ""))))</f>
        <v>na</v>
      </c>
      <c r="E16" s="7" t="s">
        <v>195</v>
      </c>
      <c r="F16" s="7" t="s">
        <v>195</v>
      </c>
      <c r="G16" s="7" t="s">
        <v>195</v>
      </c>
      <c r="H16" s="7" t="s">
        <v>195</v>
      </c>
      <c r="I16" s="7" t="s">
        <v>195</v>
      </c>
      <c r="J16" s="7" t="s">
        <v>195</v>
      </c>
      <c r="K16" s="7" t="s">
        <v>195</v>
      </c>
      <c r="L16" s="7" t="s">
        <v>195</v>
      </c>
      <c r="M16" s="7" t="s">
        <v>29</v>
      </c>
      <c r="N16" s="7" t="s">
        <v>29</v>
      </c>
      <c r="O16" s="7" t="s">
        <v>29</v>
      </c>
      <c r="P16" s="7" t="s">
        <v>29</v>
      </c>
      <c r="Q16" s="7" t="s">
        <v>29</v>
      </c>
      <c r="R16" s="7" t="s">
        <v>29</v>
      </c>
      <c r="S16" s="7" t="s">
        <v>29</v>
      </c>
    </row>
    <row r="17" spans="2:19">
      <c r="B17" s="9" t="s">
        <v>195</v>
      </c>
      <c r="C17" s="7" t="s">
        <v>195</v>
      </c>
      <c r="D17" s="5" t="str">
        <f>LRTRIM(CONCATENATE(IF(SUMPRODUCT(-- ISNUMBER(SEARCH({"Auto Number"}, $B17))) &gt; 0, $B17, IF(SUMPRODUCT(-- ISNUMBER(SEARCH({"Lookup","Master-Detail"}, $B17))) &gt; 0,$B17 &amp; "(" &amp; $E17 &amp; ")",IF(SUMPRODUCT(-- ISNUMBER(SEARCH({"Formula","Roll-Up Summary"}, $B17))) &gt; 0,$B17 &amp; " (" &amp; $E17 &amp; ")",IF(SUMPRODUCT(-- ISNUMBER(SEARCH({"Content","Currency","Number","Percent","Text","URL"}, $B17))) &gt; 0,$B17 &amp; "(" &amp; $C17 &amp; ")",$B17)))), "  ", TRIM(IF($S17 = "YES", "(External ID)", "") &amp; " " &amp; IF(SUMPRODUCT(-- ISNUMBER(SEARCH({"Unique","Unique Case Insensitive"}, $R17))) &gt; 0, "(" &amp; $R17 &amp; ")", ""))))</f>
        <v>na</v>
      </c>
      <c r="E17" s="7" t="s">
        <v>195</v>
      </c>
      <c r="F17" s="7" t="s">
        <v>195</v>
      </c>
      <c r="G17" s="7" t="s">
        <v>195</v>
      </c>
      <c r="H17" s="7" t="s">
        <v>195</v>
      </c>
      <c r="I17" s="7" t="s">
        <v>195</v>
      </c>
      <c r="J17" s="7" t="s">
        <v>195</v>
      </c>
      <c r="K17" s="7" t="s">
        <v>195</v>
      </c>
      <c r="L17" s="7" t="s">
        <v>195</v>
      </c>
      <c r="M17" s="7" t="s">
        <v>29</v>
      </c>
      <c r="N17" s="7" t="s">
        <v>29</v>
      </c>
      <c r="O17" s="7" t="s">
        <v>29</v>
      </c>
      <c r="P17" s="7" t="s">
        <v>29</v>
      </c>
      <c r="Q17" s="7" t="s">
        <v>29</v>
      </c>
      <c r="R17" s="7" t="s">
        <v>29</v>
      </c>
      <c r="S17" s="7" t="s">
        <v>29</v>
      </c>
    </row>
    <row r="18" spans="2:19">
      <c r="B18" s="9" t="s">
        <v>195</v>
      </c>
      <c r="C18" s="7" t="s">
        <v>195</v>
      </c>
      <c r="D18" s="5" t="str">
        <f>LRTRIM(CONCATENATE(IF(SUMPRODUCT(-- ISNUMBER(SEARCH({"Auto Number"}, $B18))) &gt; 0, $B18, IF(SUMPRODUCT(-- ISNUMBER(SEARCH({"Lookup","Master-Detail"}, $B18))) &gt; 0,$B18 &amp; "(" &amp; $E18 &amp; ")",IF(SUMPRODUCT(-- ISNUMBER(SEARCH({"Formula","Roll-Up Summary"}, $B18))) &gt; 0,$B18 &amp; " (" &amp; $E18 &amp; ")",IF(SUMPRODUCT(-- ISNUMBER(SEARCH({"Content","Currency","Number","Percent","Text","URL"}, $B18))) &gt; 0,$B18 &amp; "(" &amp; $C18 &amp; ")",$B18)))), "  ", TRIM(IF($S18 = "YES", "(External ID)", "") &amp; " " &amp; IF(SUMPRODUCT(-- ISNUMBER(SEARCH({"Unique","Unique Case Insensitive"}, $R18))) &gt; 0, "(" &amp; $R18 &amp; ")", ""))))</f>
        <v>na</v>
      </c>
      <c r="E18" s="7" t="s">
        <v>195</v>
      </c>
      <c r="F18" s="7" t="s">
        <v>195</v>
      </c>
      <c r="G18" s="7" t="s">
        <v>195</v>
      </c>
      <c r="H18" s="7" t="s">
        <v>195</v>
      </c>
      <c r="I18" s="7" t="s">
        <v>195</v>
      </c>
      <c r="J18" s="7" t="s">
        <v>195</v>
      </c>
      <c r="K18" s="7" t="s">
        <v>195</v>
      </c>
      <c r="L18" s="7" t="s">
        <v>195</v>
      </c>
      <c r="M18" s="7" t="s">
        <v>29</v>
      </c>
      <c r="N18" s="7" t="s">
        <v>29</v>
      </c>
      <c r="O18" s="7" t="s">
        <v>29</v>
      </c>
      <c r="P18" s="7" t="s">
        <v>29</v>
      </c>
      <c r="Q18" s="7" t="s">
        <v>29</v>
      </c>
      <c r="R18" s="7" t="s">
        <v>29</v>
      </c>
      <c r="S18" s="7" t="s">
        <v>29</v>
      </c>
    </row>
    <row r="19" spans="2:19">
      <c r="B19" s="9" t="s">
        <v>195</v>
      </c>
      <c r="C19" s="7" t="s">
        <v>195</v>
      </c>
      <c r="D19" s="5" t="str">
        <f>LRTRIM(CONCATENATE(IF(SUMPRODUCT(-- ISNUMBER(SEARCH({"Auto Number"}, $B19))) &gt; 0, $B19, IF(SUMPRODUCT(-- ISNUMBER(SEARCH({"Lookup","Master-Detail"}, $B19))) &gt; 0,$B19 &amp; "(" &amp; $E19 &amp; ")",IF(SUMPRODUCT(-- ISNUMBER(SEARCH({"Formula","Roll-Up Summary"}, $B19))) &gt; 0,$B19 &amp; " (" &amp; $E19 &amp; ")",IF(SUMPRODUCT(-- ISNUMBER(SEARCH({"Content","Currency","Number","Percent","Text","URL"}, $B19))) &gt; 0,$B19 &amp; "(" &amp; $C19 &amp; ")",$B19)))), "  ", TRIM(IF($S19 = "YES", "(External ID)", "") &amp; " " &amp; IF(SUMPRODUCT(-- ISNUMBER(SEARCH({"Unique","Unique Case Insensitive"}, $R19))) &gt; 0, "(" &amp; $R19 &amp; ")", ""))))</f>
        <v>na</v>
      </c>
      <c r="E19" s="7" t="s">
        <v>195</v>
      </c>
      <c r="F19" s="7" t="s">
        <v>195</v>
      </c>
      <c r="G19" s="7" t="s">
        <v>195</v>
      </c>
      <c r="H19" s="7" t="s">
        <v>195</v>
      </c>
      <c r="I19" s="7" t="s">
        <v>195</v>
      </c>
      <c r="J19" s="7" t="s">
        <v>195</v>
      </c>
      <c r="K19" s="7" t="s">
        <v>195</v>
      </c>
      <c r="L19" s="7" t="s">
        <v>195</v>
      </c>
      <c r="M19" s="7" t="s">
        <v>29</v>
      </c>
      <c r="N19" s="7" t="s">
        <v>29</v>
      </c>
      <c r="O19" s="7" t="s">
        <v>29</v>
      </c>
      <c r="P19" s="7" t="s">
        <v>29</v>
      </c>
      <c r="Q19" s="7" t="s">
        <v>29</v>
      </c>
      <c r="R19" s="7" t="s">
        <v>29</v>
      </c>
      <c r="S19" s="7" t="s">
        <v>29</v>
      </c>
    </row>
    <row r="20" spans="2:19">
      <c r="B20" s="9" t="s">
        <v>195</v>
      </c>
      <c r="C20" s="7" t="s">
        <v>195</v>
      </c>
      <c r="D20" s="5" t="str">
        <f>LRTRIM(CONCATENATE(IF(SUMPRODUCT(-- ISNUMBER(SEARCH({"Auto Number"}, $B20))) &gt; 0, $B20, IF(SUMPRODUCT(-- ISNUMBER(SEARCH({"Lookup","Master-Detail"}, $B20))) &gt; 0,$B20 &amp; "(" &amp; $E20 &amp; ")",IF(SUMPRODUCT(-- ISNUMBER(SEARCH({"Formula","Roll-Up Summary"}, $B20))) &gt; 0,$B20 &amp; " (" &amp; $E20 &amp; ")",IF(SUMPRODUCT(-- ISNUMBER(SEARCH({"Content","Currency","Number","Percent","Text","URL"}, $B20))) &gt; 0,$B20 &amp; "(" &amp; $C20 &amp; ")",$B20)))), "  ", TRIM(IF($S20 = "YES", "(External ID)", "") &amp; " " &amp; IF(SUMPRODUCT(-- ISNUMBER(SEARCH({"Unique","Unique Case Insensitive"}, $R20))) &gt; 0, "(" &amp; $R20 &amp; ")", ""))))</f>
        <v>na</v>
      </c>
      <c r="E20" s="7" t="s">
        <v>195</v>
      </c>
      <c r="F20" s="7" t="s">
        <v>195</v>
      </c>
      <c r="G20" s="7" t="s">
        <v>195</v>
      </c>
      <c r="H20" s="7" t="s">
        <v>195</v>
      </c>
      <c r="I20" s="7" t="s">
        <v>195</v>
      </c>
      <c r="J20" s="7" t="s">
        <v>195</v>
      </c>
      <c r="K20" s="7" t="s">
        <v>195</v>
      </c>
      <c r="L20" s="7" t="s">
        <v>195</v>
      </c>
      <c r="M20" s="7" t="s">
        <v>29</v>
      </c>
      <c r="N20" s="7" t="s">
        <v>29</v>
      </c>
      <c r="O20" s="7" t="s">
        <v>29</v>
      </c>
      <c r="P20" s="7" t="s">
        <v>29</v>
      </c>
      <c r="Q20" s="7" t="s">
        <v>29</v>
      </c>
      <c r="R20" s="7" t="s">
        <v>29</v>
      </c>
      <c r="S20" s="7" t="s">
        <v>29</v>
      </c>
    </row>
    <row r="21" spans="2:19">
      <c r="B21" s="9" t="s">
        <v>195</v>
      </c>
      <c r="C21" s="7" t="s">
        <v>195</v>
      </c>
      <c r="D21" s="5" t="str">
        <f>LRTRIM(CONCATENATE(IF(SUMPRODUCT(-- ISNUMBER(SEARCH({"Auto Number"}, $B21))) &gt; 0, $B21, IF(SUMPRODUCT(-- ISNUMBER(SEARCH({"Lookup","Master-Detail"}, $B21))) &gt; 0,$B21 &amp; "(" &amp; $E21 &amp; ")",IF(SUMPRODUCT(-- ISNUMBER(SEARCH({"Formula","Roll-Up Summary"}, $B21))) &gt; 0,$B21 &amp; " (" &amp; $E21 &amp; ")",IF(SUMPRODUCT(-- ISNUMBER(SEARCH({"Content","Currency","Number","Percent","Text","URL"}, $B21))) &gt; 0,$B21 &amp; "(" &amp; $C21 &amp; ")",$B21)))), "  ", TRIM(IF($S21 = "YES", "(External ID)", "") &amp; " " &amp; IF(SUMPRODUCT(-- ISNUMBER(SEARCH({"Unique","Unique Case Insensitive"}, $R21))) &gt; 0, "(" &amp; $R21 &amp; ")", ""))))</f>
        <v>na</v>
      </c>
      <c r="E21" s="7" t="s">
        <v>195</v>
      </c>
      <c r="F21" s="7" t="s">
        <v>195</v>
      </c>
      <c r="G21" s="7" t="s">
        <v>195</v>
      </c>
      <c r="H21" s="7" t="s">
        <v>195</v>
      </c>
      <c r="I21" s="7" t="s">
        <v>195</v>
      </c>
      <c r="J21" s="7" t="s">
        <v>195</v>
      </c>
      <c r="K21" s="7" t="s">
        <v>195</v>
      </c>
      <c r="L21" s="7" t="s">
        <v>195</v>
      </c>
      <c r="M21" s="7" t="s">
        <v>29</v>
      </c>
      <c r="N21" s="7" t="s">
        <v>29</v>
      </c>
      <c r="O21" s="7" t="s">
        <v>29</v>
      </c>
      <c r="P21" s="7" t="s">
        <v>29</v>
      </c>
      <c r="Q21" s="7" t="s">
        <v>29</v>
      </c>
      <c r="R21" s="7" t="s">
        <v>29</v>
      </c>
      <c r="S21" s="7" t="s">
        <v>29</v>
      </c>
    </row>
    <row r="22" spans="2:19">
      <c r="B22" s="9" t="s">
        <v>195</v>
      </c>
      <c r="C22" s="7" t="s">
        <v>195</v>
      </c>
      <c r="D22" s="5" t="str">
        <f>LRTRIM(CONCATENATE(IF(SUMPRODUCT(-- ISNUMBER(SEARCH({"Auto Number"}, $B22))) &gt; 0, $B22, IF(SUMPRODUCT(-- ISNUMBER(SEARCH({"Lookup","Master-Detail"}, $B22))) &gt; 0,$B22 &amp; "(" &amp; $E22 &amp; ")",IF(SUMPRODUCT(-- ISNUMBER(SEARCH({"Formula","Roll-Up Summary"}, $B22))) &gt; 0,$B22 &amp; " (" &amp; $E22 &amp; ")",IF(SUMPRODUCT(-- ISNUMBER(SEARCH({"Content","Currency","Number","Percent","Text","URL"}, $B22))) &gt; 0,$B22 &amp; "(" &amp; $C22 &amp; ")",$B22)))), "  ", TRIM(IF($S22 = "YES", "(External ID)", "") &amp; " " &amp; IF(SUMPRODUCT(-- ISNUMBER(SEARCH({"Unique","Unique Case Insensitive"}, $R22))) &gt; 0, "(" &amp; $R22 &amp; ")", ""))))</f>
        <v>na</v>
      </c>
      <c r="E22" s="7" t="s">
        <v>195</v>
      </c>
      <c r="F22" s="7" t="s">
        <v>195</v>
      </c>
      <c r="G22" s="7" t="s">
        <v>195</v>
      </c>
      <c r="H22" s="7" t="s">
        <v>195</v>
      </c>
      <c r="I22" s="7" t="s">
        <v>195</v>
      </c>
      <c r="J22" s="7" t="s">
        <v>195</v>
      </c>
      <c r="K22" s="7" t="s">
        <v>195</v>
      </c>
      <c r="L22" s="7" t="s">
        <v>195</v>
      </c>
      <c r="M22" s="7" t="s">
        <v>29</v>
      </c>
      <c r="N22" s="7" t="s">
        <v>29</v>
      </c>
      <c r="O22" s="7" t="s">
        <v>29</v>
      </c>
      <c r="P22" s="7" t="s">
        <v>29</v>
      </c>
      <c r="Q22" s="7" t="s">
        <v>29</v>
      </c>
      <c r="R22" s="7" t="s">
        <v>29</v>
      </c>
      <c r="S22" s="7" t="s">
        <v>29</v>
      </c>
    </row>
    <row r="23" spans="2:19">
      <c r="B23" s="9" t="s">
        <v>195</v>
      </c>
      <c r="C23" s="7" t="s">
        <v>195</v>
      </c>
      <c r="D23" s="5" t="str">
        <f>LRTRIM(CONCATENATE(IF(SUMPRODUCT(-- ISNUMBER(SEARCH({"Auto Number"}, $B23))) &gt; 0, $B23, IF(SUMPRODUCT(-- ISNUMBER(SEARCH({"Lookup","Master-Detail"}, $B23))) &gt; 0,$B23 &amp; "(" &amp; $E23 &amp; ")",IF(SUMPRODUCT(-- ISNUMBER(SEARCH({"Formula","Roll-Up Summary"}, $B23))) &gt; 0,$B23 &amp; " (" &amp; $E23 &amp; ")",IF(SUMPRODUCT(-- ISNUMBER(SEARCH({"Content","Currency","Number","Percent","Text","URL"}, $B23))) &gt; 0,$B23 &amp; "(" &amp; $C23 &amp; ")",$B23)))), "  ", TRIM(IF($S23 = "YES", "(External ID)", "") &amp; " " &amp; IF(SUMPRODUCT(-- ISNUMBER(SEARCH({"Unique","Unique Case Insensitive"}, $R23))) &gt; 0, "(" &amp; $R23 &amp; ")", ""))))</f>
        <v>na</v>
      </c>
      <c r="E23" s="7" t="s">
        <v>195</v>
      </c>
      <c r="F23" s="7" t="s">
        <v>195</v>
      </c>
      <c r="G23" s="7" t="s">
        <v>195</v>
      </c>
      <c r="H23" s="7" t="s">
        <v>195</v>
      </c>
      <c r="I23" s="7" t="s">
        <v>195</v>
      </c>
      <c r="J23" s="7" t="s">
        <v>195</v>
      </c>
      <c r="K23" s="7" t="s">
        <v>195</v>
      </c>
      <c r="L23" s="7" t="s">
        <v>195</v>
      </c>
      <c r="M23" s="7" t="s">
        <v>29</v>
      </c>
      <c r="N23" s="7" t="s">
        <v>29</v>
      </c>
      <c r="O23" s="7" t="s">
        <v>29</v>
      </c>
      <c r="P23" s="7" t="s">
        <v>29</v>
      </c>
      <c r="Q23" s="7" t="s">
        <v>29</v>
      </c>
      <c r="R23" s="7" t="s">
        <v>29</v>
      </c>
      <c r="S23" s="7" t="s">
        <v>29</v>
      </c>
    </row>
    <row r="24" spans="2:19">
      <c r="B24" s="9" t="s">
        <v>195</v>
      </c>
      <c r="C24" s="7" t="s">
        <v>195</v>
      </c>
      <c r="D24" s="5" t="str">
        <f>LRTRIM(CONCATENATE(IF(SUMPRODUCT(-- ISNUMBER(SEARCH({"Auto Number"}, $B24))) &gt; 0, $B24, IF(SUMPRODUCT(-- ISNUMBER(SEARCH({"Lookup","Master-Detail"}, $B24))) &gt; 0,$B24 &amp; "(" &amp; $E24 &amp; ")",IF(SUMPRODUCT(-- ISNUMBER(SEARCH({"Formula","Roll-Up Summary"}, $B24))) &gt; 0,$B24 &amp; " (" &amp; $E24 &amp; ")",IF(SUMPRODUCT(-- ISNUMBER(SEARCH({"Content","Currency","Number","Percent","Text","URL"}, $B24))) &gt; 0,$B24 &amp; "(" &amp; $C24 &amp; ")",$B24)))), "  ", TRIM(IF($S24 = "YES", "(External ID)", "") &amp; " " &amp; IF(SUMPRODUCT(-- ISNUMBER(SEARCH({"Unique","Unique Case Insensitive"}, $R24))) &gt; 0, "(" &amp; $R24 &amp; ")", ""))))</f>
        <v>na</v>
      </c>
      <c r="E24" s="7" t="s">
        <v>195</v>
      </c>
      <c r="F24" s="7" t="s">
        <v>195</v>
      </c>
      <c r="G24" s="7" t="s">
        <v>195</v>
      </c>
      <c r="H24" s="7" t="s">
        <v>195</v>
      </c>
      <c r="I24" s="7" t="s">
        <v>195</v>
      </c>
      <c r="J24" s="7" t="s">
        <v>195</v>
      </c>
      <c r="K24" s="7" t="s">
        <v>195</v>
      </c>
      <c r="L24" s="7" t="s">
        <v>195</v>
      </c>
      <c r="M24" s="7" t="s">
        <v>29</v>
      </c>
      <c r="N24" s="7" t="s">
        <v>29</v>
      </c>
      <c r="O24" s="7" t="s">
        <v>29</v>
      </c>
      <c r="P24" s="7" t="s">
        <v>29</v>
      </c>
      <c r="Q24" s="7" t="s">
        <v>29</v>
      </c>
      <c r="R24" s="7" t="s">
        <v>29</v>
      </c>
      <c r="S24" s="7" t="s">
        <v>29</v>
      </c>
    </row>
    <row r="25" spans="2:19">
      <c r="B25" s="9" t="s">
        <v>195</v>
      </c>
      <c r="C25" s="7" t="s">
        <v>195</v>
      </c>
      <c r="D25" s="5" t="str">
        <f>LRTRIM(CONCATENATE(IF(SUMPRODUCT(-- ISNUMBER(SEARCH({"Auto Number"}, $B25))) &gt; 0, $B25, IF(SUMPRODUCT(-- ISNUMBER(SEARCH({"Lookup","Master-Detail"}, $B25))) &gt; 0,$B25 &amp; "(" &amp; $E25 &amp; ")",IF(SUMPRODUCT(-- ISNUMBER(SEARCH({"Formula","Roll-Up Summary"}, $B25))) &gt; 0,$B25 &amp; " (" &amp; $E25 &amp; ")",IF(SUMPRODUCT(-- ISNUMBER(SEARCH({"Content","Currency","Number","Percent","Text","URL"}, $B25))) &gt; 0,$B25 &amp; "(" &amp; $C25 &amp; ")",$B25)))), "  ", TRIM(IF($S25 = "YES", "(External ID)", "") &amp; " " &amp; IF(SUMPRODUCT(-- ISNUMBER(SEARCH({"Unique","Unique Case Insensitive"}, $R25))) &gt; 0, "(" &amp; $R25 &amp; ")", ""))))</f>
        <v>na</v>
      </c>
      <c r="E25" s="7" t="s">
        <v>195</v>
      </c>
      <c r="F25" s="7" t="s">
        <v>195</v>
      </c>
      <c r="G25" s="7" t="s">
        <v>195</v>
      </c>
      <c r="H25" s="7" t="s">
        <v>195</v>
      </c>
      <c r="I25" s="7" t="s">
        <v>195</v>
      </c>
      <c r="J25" s="7" t="s">
        <v>195</v>
      </c>
      <c r="K25" s="7" t="s">
        <v>195</v>
      </c>
      <c r="L25" s="7" t="s">
        <v>195</v>
      </c>
      <c r="M25" s="7" t="s">
        <v>29</v>
      </c>
      <c r="N25" s="7" t="s">
        <v>29</v>
      </c>
      <c r="O25" s="7" t="s">
        <v>29</v>
      </c>
      <c r="P25" s="7" t="s">
        <v>29</v>
      </c>
      <c r="Q25" s="7" t="s">
        <v>29</v>
      </c>
      <c r="R25" s="7" t="s">
        <v>29</v>
      </c>
      <c r="S25" s="7" t="s">
        <v>29</v>
      </c>
    </row>
    <row r="26" spans="2:19">
      <c r="B26" s="9" t="s">
        <v>195</v>
      </c>
      <c r="C26" s="7" t="s">
        <v>195</v>
      </c>
      <c r="D26" s="5" t="str">
        <f>LRTRIM(CONCATENATE(IF(SUMPRODUCT(-- ISNUMBER(SEARCH({"Auto Number"}, $B26))) &gt; 0, $B26, IF(SUMPRODUCT(-- ISNUMBER(SEARCH({"Lookup","Master-Detail"}, $B26))) &gt; 0,$B26 &amp; "(" &amp; $E26 &amp; ")",IF(SUMPRODUCT(-- ISNUMBER(SEARCH({"Formula","Roll-Up Summary"}, $B26))) &gt; 0,$B26 &amp; " (" &amp; $E26 &amp; ")",IF(SUMPRODUCT(-- ISNUMBER(SEARCH({"Content","Currency","Number","Percent","Text","URL"}, $B26))) &gt; 0,$B26 &amp; "(" &amp; $C26 &amp; ")",$B26)))), "  ", TRIM(IF($S26 = "YES", "(External ID)", "") &amp; " " &amp; IF(SUMPRODUCT(-- ISNUMBER(SEARCH({"Unique","Unique Case Insensitive"}, $R26))) &gt; 0, "(" &amp; $R26 &amp; ")", ""))))</f>
        <v>na</v>
      </c>
      <c r="E26" s="7" t="s">
        <v>195</v>
      </c>
      <c r="F26" s="7" t="s">
        <v>195</v>
      </c>
      <c r="G26" s="7" t="s">
        <v>195</v>
      </c>
      <c r="H26" s="7" t="s">
        <v>195</v>
      </c>
      <c r="I26" s="7" t="s">
        <v>195</v>
      </c>
      <c r="J26" s="7" t="s">
        <v>195</v>
      </c>
      <c r="K26" s="7" t="s">
        <v>195</v>
      </c>
      <c r="L26" s="7" t="s">
        <v>195</v>
      </c>
      <c r="M26" s="7" t="s">
        <v>29</v>
      </c>
      <c r="N26" s="7" t="s">
        <v>29</v>
      </c>
      <c r="O26" s="7" t="s">
        <v>29</v>
      </c>
      <c r="P26" s="7" t="s">
        <v>29</v>
      </c>
      <c r="Q26" s="7" t="s">
        <v>29</v>
      </c>
      <c r="R26" s="7" t="s">
        <v>29</v>
      </c>
      <c r="S26" s="7" t="s">
        <v>29</v>
      </c>
    </row>
    <row r="27" spans="2:19">
      <c r="B27" s="9" t="s">
        <v>195</v>
      </c>
      <c r="C27" s="7" t="s">
        <v>195</v>
      </c>
      <c r="D27" s="5" t="str">
        <f>LRTRIM(CONCATENATE(IF(SUMPRODUCT(-- ISNUMBER(SEARCH({"Auto Number"}, $B27))) &gt; 0, $B27, IF(SUMPRODUCT(-- ISNUMBER(SEARCH({"Lookup","Master-Detail"}, $B27))) &gt; 0,$B27 &amp; "(" &amp; $E27 &amp; ")",IF(SUMPRODUCT(-- ISNUMBER(SEARCH({"Formula","Roll-Up Summary"}, $B27))) &gt; 0,$B27 &amp; " (" &amp; $E27 &amp; ")",IF(SUMPRODUCT(-- ISNUMBER(SEARCH({"Content","Currency","Number","Percent","Text","URL"}, $B27))) &gt; 0,$B27 &amp; "(" &amp; $C27 &amp; ")",$B27)))), "  ", TRIM(IF($S27 = "YES", "(External ID)", "") &amp; " " &amp; IF(SUMPRODUCT(-- ISNUMBER(SEARCH({"Unique","Unique Case Insensitive"}, $R27))) &gt; 0, "(" &amp; $R27 &amp; ")", ""))))</f>
        <v>na</v>
      </c>
      <c r="E27" s="7" t="s">
        <v>195</v>
      </c>
      <c r="F27" s="7" t="s">
        <v>195</v>
      </c>
      <c r="G27" s="7" t="s">
        <v>195</v>
      </c>
      <c r="H27" s="7" t="s">
        <v>195</v>
      </c>
      <c r="I27" s="7" t="s">
        <v>195</v>
      </c>
      <c r="J27" s="7" t="s">
        <v>195</v>
      </c>
      <c r="K27" s="7" t="s">
        <v>195</v>
      </c>
      <c r="L27" s="7" t="s">
        <v>195</v>
      </c>
      <c r="M27" s="7" t="s">
        <v>29</v>
      </c>
      <c r="N27" s="7" t="s">
        <v>29</v>
      </c>
      <c r="O27" s="7" t="s">
        <v>29</v>
      </c>
      <c r="P27" s="7" t="s">
        <v>29</v>
      </c>
      <c r="Q27" s="7" t="s">
        <v>29</v>
      </c>
      <c r="R27" s="7" t="s">
        <v>29</v>
      </c>
      <c r="S27" s="7" t="s">
        <v>29</v>
      </c>
    </row>
    <row r="28" spans="2:19">
      <c r="B28" s="9" t="s">
        <v>195</v>
      </c>
      <c r="C28" s="7" t="s">
        <v>195</v>
      </c>
      <c r="D28" s="5" t="str">
        <f>LRTRIM(CONCATENATE(IF(SUMPRODUCT(-- ISNUMBER(SEARCH({"Auto Number"}, $B28))) &gt; 0, $B28, IF(SUMPRODUCT(-- ISNUMBER(SEARCH({"Lookup","Master-Detail"}, $B28))) &gt; 0,$B28 &amp; "(" &amp; $E28 &amp; ")",IF(SUMPRODUCT(-- ISNUMBER(SEARCH({"Formula","Roll-Up Summary"}, $B28))) &gt; 0,$B28 &amp; " (" &amp; $E28 &amp; ")",IF(SUMPRODUCT(-- ISNUMBER(SEARCH({"Content","Currency","Number","Percent","Text","URL"}, $B28))) &gt; 0,$B28 &amp; "(" &amp; $C28 &amp; ")",$B28)))), "  ", TRIM(IF($S28 = "YES", "(External ID)", "") &amp; " " &amp; IF(SUMPRODUCT(-- ISNUMBER(SEARCH({"Unique","Unique Case Insensitive"}, $R28))) &gt; 0, "(" &amp; $R28 &amp; ")", ""))))</f>
        <v>na</v>
      </c>
      <c r="E28" s="7" t="s">
        <v>195</v>
      </c>
      <c r="F28" s="7" t="s">
        <v>195</v>
      </c>
      <c r="G28" s="7" t="s">
        <v>195</v>
      </c>
      <c r="H28" s="7" t="s">
        <v>195</v>
      </c>
      <c r="I28" s="7" t="s">
        <v>195</v>
      </c>
      <c r="J28" s="7" t="s">
        <v>195</v>
      </c>
      <c r="K28" s="7" t="s">
        <v>195</v>
      </c>
      <c r="L28" s="7" t="s">
        <v>195</v>
      </c>
      <c r="M28" s="7" t="s">
        <v>29</v>
      </c>
      <c r="N28" s="7" t="s">
        <v>29</v>
      </c>
      <c r="O28" s="7" t="s">
        <v>29</v>
      </c>
      <c r="P28" s="7" t="s">
        <v>29</v>
      </c>
      <c r="Q28" s="7" t="s">
        <v>29</v>
      </c>
      <c r="R28" s="7" t="s">
        <v>29</v>
      </c>
      <c r="S28" s="7" t="s">
        <v>29</v>
      </c>
    </row>
    <row r="29" spans="2:19">
      <c r="B29" s="9" t="s">
        <v>195</v>
      </c>
      <c r="C29" s="7" t="s">
        <v>195</v>
      </c>
      <c r="D29" s="5" t="str">
        <f>LRTRIM(CONCATENATE(IF(SUMPRODUCT(-- ISNUMBER(SEARCH({"Auto Number"}, $B29))) &gt; 0, $B29, IF(SUMPRODUCT(-- ISNUMBER(SEARCH({"Lookup","Master-Detail"}, $B29))) &gt; 0,$B29 &amp; "(" &amp; $E29 &amp; ")",IF(SUMPRODUCT(-- ISNUMBER(SEARCH({"Formula","Roll-Up Summary"}, $B29))) &gt; 0,$B29 &amp; " (" &amp; $E29 &amp; ")",IF(SUMPRODUCT(-- ISNUMBER(SEARCH({"Content","Currency","Number","Percent","Text","URL"}, $B29))) &gt; 0,$B29 &amp; "(" &amp; $C29 &amp; ")",$B29)))), "  ", TRIM(IF($S29 = "YES", "(External ID)", "") &amp; " " &amp; IF(SUMPRODUCT(-- ISNUMBER(SEARCH({"Unique","Unique Case Insensitive"}, $R29))) &gt; 0, "(" &amp; $R29 &amp; ")", ""))))</f>
        <v>na</v>
      </c>
      <c r="E29" s="7" t="s">
        <v>195</v>
      </c>
      <c r="F29" s="7" t="s">
        <v>195</v>
      </c>
      <c r="G29" s="7" t="s">
        <v>195</v>
      </c>
      <c r="H29" s="7" t="s">
        <v>195</v>
      </c>
      <c r="I29" s="7" t="s">
        <v>195</v>
      </c>
      <c r="J29" s="7" t="s">
        <v>195</v>
      </c>
      <c r="K29" s="7" t="s">
        <v>195</v>
      </c>
      <c r="L29" s="7" t="s">
        <v>195</v>
      </c>
      <c r="M29" s="7" t="s">
        <v>29</v>
      </c>
      <c r="N29" s="7" t="s">
        <v>29</v>
      </c>
      <c r="O29" s="7" t="s">
        <v>29</v>
      </c>
      <c r="P29" s="7" t="s">
        <v>29</v>
      </c>
      <c r="Q29" s="7" t="s">
        <v>29</v>
      </c>
      <c r="R29" s="7" t="s">
        <v>29</v>
      </c>
      <c r="S29" s="7" t="s">
        <v>29</v>
      </c>
    </row>
    <row r="30" spans="2:19">
      <c r="B30" s="9" t="s">
        <v>195</v>
      </c>
      <c r="C30" s="7" t="s">
        <v>195</v>
      </c>
      <c r="D30" s="5" t="str">
        <f>LRTRIM(CONCATENATE(IF(SUMPRODUCT(-- ISNUMBER(SEARCH({"Auto Number"}, $B30))) &gt; 0, $B30, IF(SUMPRODUCT(-- ISNUMBER(SEARCH({"Lookup","Master-Detail"}, $B30))) &gt; 0,$B30 &amp; "(" &amp; $E30 &amp; ")",IF(SUMPRODUCT(-- ISNUMBER(SEARCH({"Formula","Roll-Up Summary"}, $B30))) &gt; 0,$B30 &amp; " (" &amp; $E30 &amp; ")",IF(SUMPRODUCT(-- ISNUMBER(SEARCH({"Content","Currency","Number","Percent","Text","URL"}, $B30))) &gt; 0,$B30 &amp; "(" &amp; $C30 &amp; ")",$B30)))), "  ", TRIM(IF($S30 = "YES", "(External ID)", "") &amp; " " &amp; IF(SUMPRODUCT(-- ISNUMBER(SEARCH({"Unique","Unique Case Insensitive"}, $R30))) &gt; 0, "(" &amp; $R30 &amp; ")", ""))))</f>
        <v>na</v>
      </c>
      <c r="E30" s="7" t="s">
        <v>195</v>
      </c>
      <c r="F30" s="7" t="s">
        <v>195</v>
      </c>
      <c r="G30" s="7" t="s">
        <v>195</v>
      </c>
      <c r="H30" s="7" t="s">
        <v>195</v>
      </c>
      <c r="I30" s="7" t="s">
        <v>195</v>
      </c>
      <c r="J30" s="7" t="s">
        <v>195</v>
      </c>
      <c r="K30" s="7" t="s">
        <v>195</v>
      </c>
      <c r="L30" s="7" t="s">
        <v>195</v>
      </c>
      <c r="M30" s="7" t="s">
        <v>29</v>
      </c>
      <c r="N30" s="7" t="s">
        <v>29</v>
      </c>
      <c r="O30" s="7" t="s">
        <v>29</v>
      </c>
      <c r="P30" s="7" t="s">
        <v>29</v>
      </c>
      <c r="Q30" s="7" t="s">
        <v>29</v>
      </c>
      <c r="R30" s="7" t="s">
        <v>29</v>
      </c>
      <c r="S30" s="7" t="s">
        <v>29</v>
      </c>
    </row>
    <row r="31" spans="2:19">
      <c r="B31" s="9" t="s">
        <v>195</v>
      </c>
      <c r="C31" s="7" t="s">
        <v>195</v>
      </c>
      <c r="D31" s="5" t="str">
        <f>LRTRIM(CONCATENATE(IF(SUMPRODUCT(-- ISNUMBER(SEARCH({"Auto Number"}, $B31))) &gt; 0, $B31, IF(SUMPRODUCT(-- ISNUMBER(SEARCH({"Lookup","Master-Detail"}, $B31))) &gt; 0,$B31 &amp; "(" &amp; $E31 &amp; ")",IF(SUMPRODUCT(-- ISNUMBER(SEARCH({"Formula","Roll-Up Summary"}, $B31))) &gt; 0,$B31 &amp; " (" &amp; $E31 &amp; ")",IF(SUMPRODUCT(-- ISNUMBER(SEARCH({"Content","Currency","Number","Percent","Text","URL"}, $B31))) &gt; 0,$B31 &amp; "(" &amp; $C31 &amp; ")",$B31)))), "  ", TRIM(IF($S31 = "YES", "(External ID)", "") &amp; " " &amp; IF(SUMPRODUCT(-- ISNUMBER(SEARCH({"Unique","Unique Case Insensitive"}, $R31))) &gt; 0, "(" &amp; $R31 &amp; ")", ""))))</f>
        <v>na</v>
      </c>
      <c r="E31" s="7" t="s">
        <v>195</v>
      </c>
      <c r="F31" s="7" t="s">
        <v>195</v>
      </c>
      <c r="G31" s="7" t="s">
        <v>195</v>
      </c>
      <c r="H31" s="7" t="s">
        <v>195</v>
      </c>
      <c r="I31" s="7" t="s">
        <v>195</v>
      </c>
      <c r="J31" s="7" t="s">
        <v>195</v>
      </c>
      <c r="K31" s="7" t="s">
        <v>195</v>
      </c>
      <c r="L31" s="7" t="s">
        <v>195</v>
      </c>
      <c r="M31" s="7" t="s">
        <v>29</v>
      </c>
      <c r="N31" s="7" t="s">
        <v>29</v>
      </c>
      <c r="O31" s="7" t="s">
        <v>29</v>
      </c>
      <c r="P31" s="7" t="s">
        <v>29</v>
      </c>
      <c r="Q31" s="7" t="s">
        <v>29</v>
      </c>
      <c r="R31" s="7" t="s">
        <v>29</v>
      </c>
      <c r="S31" s="7" t="s">
        <v>29</v>
      </c>
    </row>
    <row r="32" spans="2:19">
      <c r="B32" s="9" t="s">
        <v>195</v>
      </c>
      <c r="C32" s="7" t="s">
        <v>195</v>
      </c>
      <c r="D32" s="5" t="str">
        <f>LRTRIM(CONCATENATE(IF(SUMPRODUCT(-- ISNUMBER(SEARCH({"Auto Number"}, $B32))) &gt; 0, $B32, IF(SUMPRODUCT(-- ISNUMBER(SEARCH({"Lookup","Master-Detail"}, $B32))) &gt; 0,$B32 &amp; "(" &amp; $E32 &amp; ")",IF(SUMPRODUCT(-- ISNUMBER(SEARCH({"Formula","Roll-Up Summary"}, $B32))) &gt; 0,$B32 &amp; " (" &amp; $E32 &amp; ")",IF(SUMPRODUCT(-- ISNUMBER(SEARCH({"Content","Currency","Number","Percent","Text","URL"}, $B32))) &gt; 0,$B32 &amp; "(" &amp; $C32 &amp; ")",$B32)))), "  ", TRIM(IF($S32 = "YES", "(External ID)", "") &amp; " " &amp; IF(SUMPRODUCT(-- ISNUMBER(SEARCH({"Unique","Unique Case Insensitive"}, $R32))) &gt; 0, "(" &amp; $R32 &amp; ")", ""))))</f>
        <v>na</v>
      </c>
      <c r="E32" s="7" t="s">
        <v>195</v>
      </c>
      <c r="F32" s="7" t="s">
        <v>195</v>
      </c>
      <c r="G32" s="7" t="s">
        <v>195</v>
      </c>
      <c r="H32" s="7" t="s">
        <v>195</v>
      </c>
      <c r="I32" s="7" t="s">
        <v>195</v>
      </c>
      <c r="J32" s="7" t="s">
        <v>195</v>
      </c>
      <c r="K32" s="7" t="s">
        <v>195</v>
      </c>
      <c r="L32" s="7" t="s">
        <v>195</v>
      </c>
      <c r="M32" s="7" t="s">
        <v>29</v>
      </c>
      <c r="N32" s="7" t="s">
        <v>29</v>
      </c>
      <c r="O32" s="7" t="s">
        <v>29</v>
      </c>
      <c r="P32" s="7" t="s">
        <v>29</v>
      </c>
      <c r="Q32" s="7" t="s">
        <v>29</v>
      </c>
      <c r="R32" s="7" t="s">
        <v>29</v>
      </c>
      <c r="S32" s="7" t="s">
        <v>29</v>
      </c>
    </row>
    <row r="33" spans="2:19">
      <c r="B33" s="9" t="s">
        <v>195</v>
      </c>
      <c r="C33" s="7" t="s">
        <v>195</v>
      </c>
      <c r="D33" s="5" t="str">
        <f>LRTRIM(CONCATENATE(IF(SUMPRODUCT(-- ISNUMBER(SEARCH({"Auto Number"}, $B33))) &gt; 0, $B33, IF(SUMPRODUCT(-- ISNUMBER(SEARCH({"Lookup","Master-Detail"}, $B33))) &gt; 0,$B33 &amp; "(" &amp; $E33 &amp; ")",IF(SUMPRODUCT(-- ISNUMBER(SEARCH({"Formula","Roll-Up Summary"}, $B33))) &gt; 0,$B33 &amp; " (" &amp; $E33 &amp; ")",IF(SUMPRODUCT(-- ISNUMBER(SEARCH({"Content","Currency","Number","Percent","Text","URL"}, $B33))) &gt; 0,$B33 &amp; "(" &amp; $C33 &amp; ")",$B33)))), "  ", TRIM(IF($S33 = "YES", "(External ID)", "") &amp; " " &amp; IF(SUMPRODUCT(-- ISNUMBER(SEARCH({"Unique","Unique Case Insensitive"}, $R33))) &gt; 0, "(" &amp; $R33 &amp; ")", ""))))</f>
        <v>na</v>
      </c>
      <c r="E33" s="7" t="s">
        <v>195</v>
      </c>
      <c r="F33" s="7" t="s">
        <v>195</v>
      </c>
      <c r="G33" s="7" t="s">
        <v>195</v>
      </c>
      <c r="H33" s="7" t="s">
        <v>195</v>
      </c>
      <c r="I33" s="7" t="s">
        <v>195</v>
      </c>
      <c r="J33" s="7" t="s">
        <v>195</v>
      </c>
      <c r="K33" s="7" t="s">
        <v>195</v>
      </c>
      <c r="L33" s="7" t="s">
        <v>195</v>
      </c>
      <c r="M33" s="7" t="s">
        <v>29</v>
      </c>
      <c r="N33" s="7" t="s">
        <v>29</v>
      </c>
      <c r="O33" s="7" t="s">
        <v>29</v>
      </c>
      <c r="P33" s="7" t="s">
        <v>29</v>
      </c>
      <c r="Q33" s="7" t="s">
        <v>29</v>
      </c>
      <c r="R33" s="7" t="s">
        <v>29</v>
      </c>
      <c r="S33" s="7" t="s">
        <v>29</v>
      </c>
    </row>
    <row r="34" spans="2:19">
      <c r="B34" s="9" t="s">
        <v>195</v>
      </c>
      <c r="C34" s="7" t="s">
        <v>195</v>
      </c>
      <c r="D34" s="5" t="str">
        <f>LRTRIM(CONCATENATE(IF(SUMPRODUCT(-- ISNUMBER(SEARCH({"Auto Number"}, $B34))) &gt; 0, $B34, IF(SUMPRODUCT(-- ISNUMBER(SEARCH({"Lookup","Master-Detail"}, $B34))) &gt; 0,$B34 &amp; "(" &amp; $E34 &amp; ")",IF(SUMPRODUCT(-- ISNUMBER(SEARCH({"Formula","Roll-Up Summary"}, $B34))) &gt; 0,$B34 &amp; " (" &amp; $E34 &amp; ")",IF(SUMPRODUCT(-- ISNUMBER(SEARCH({"Content","Currency","Number","Percent","Text","URL"}, $B34))) &gt; 0,$B34 &amp; "(" &amp; $C34 &amp; ")",$B34)))), "  ", TRIM(IF($S34 = "YES", "(External ID)", "") &amp; " " &amp; IF(SUMPRODUCT(-- ISNUMBER(SEARCH({"Unique","Unique Case Insensitive"}, $R34))) &gt; 0, "(" &amp; $R34 &amp; ")", ""))))</f>
        <v>na</v>
      </c>
      <c r="E34" s="7" t="s">
        <v>195</v>
      </c>
      <c r="F34" s="7" t="s">
        <v>195</v>
      </c>
      <c r="G34" s="7" t="s">
        <v>195</v>
      </c>
      <c r="H34" s="7" t="s">
        <v>195</v>
      </c>
      <c r="I34" s="7" t="s">
        <v>195</v>
      </c>
      <c r="J34" s="7" t="s">
        <v>195</v>
      </c>
      <c r="K34" s="7" t="s">
        <v>195</v>
      </c>
      <c r="L34" s="7" t="s">
        <v>195</v>
      </c>
      <c r="M34" s="7" t="s">
        <v>29</v>
      </c>
      <c r="N34" s="7" t="s">
        <v>29</v>
      </c>
      <c r="O34" s="7" t="s">
        <v>29</v>
      </c>
      <c r="P34" s="7" t="s">
        <v>29</v>
      </c>
      <c r="Q34" s="7" t="s">
        <v>29</v>
      </c>
      <c r="R34" s="7" t="s">
        <v>29</v>
      </c>
      <c r="S34" s="7" t="s">
        <v>29</v>
      </c>
    </row>
    <row r="35" spans="2:19">
      <c r="B35" s="9" t="s">
        <v>195</v>
      </c>
      <c r="C35" s="7" t="s">
        <v>195</v>
      </c>
      <c r="D35" s="5" t="str">
        <f>LRTRIM(CONCATENATE(IF(SUMPRODUCT(-- ISNUMBER(SEARCH({"Auto Number"}, $B35))) &gt; 0, $B35, IF(SUMPRODUCT(-- ISNUMBER(SEARCH({"Lookup","Master-Detail"}, $B35))) &gt; 0,$B35 &amp; "(" &amp; $E35 &amp; ")",IF(SUMPRODUCT(-- ISNUMBER(SEARCH({"Formula","Roll-Up Summary"}, $B35))) &gt; 0,$B35 &amp; " (" &amp; $E35 &amp; ")",IF(SUMPRODUCT(-- ISNUMBER(SEARCH({"Content","Currency","Number","Percent","Text","URL"}, $B35))) &gt; 0,$B35 &amp; "(" &amp; $C35 &amp; ")",$B35)))), "  ", TRIM(IF($S35 = "YES", "(External ID)", "") &amp; " " &amp; IF(SUMPRODUCT(-- ISNUMBER(SEARCH({"Unique","Unique Case Insensitive"}, $R35))) &gt; 0, "(" &amp; $R35 &amp; ")", ""))))</f>
        <v>na</v>
      </c>
      <c r="E35" s="7" t="s">
        <v>195</v>
      </c>
      <c r="F35" s="7" t="s">
        <v>195</v>
      </c>
      <c r="G35" s="7" t="s">
        <v>195</v>
      </c>
      <c r="H35" s="7" t="s">
        <v>195</v>
      </c>
      <c r="I35" s="7" t="s">
        <v>195</v>
      </c>
      <c r="J35" s="7" t="s">
        <v>195</v>
      </c>
      <c r="K35" s="7" t="s">
        <v>195</v>
      </c>
      <c r="L35" s="7" t="s">
        <v>195</v>
      </c>
      <c r="M35" s="7" t="s">
        <v>29</v>
      </c>
      <c r="N35" s="7" t="s">
        <v>29</v>
      </c>
      <c r="O35" s="7" t="s">
        <v>29</v>
      </c>
      <c r="P35" s="7" t="s">
        <v>29</v>
      </c>
      <c r="Q35" s="7" t="s">
        <v>29</v>
      </c>
      <c r="R35" s="7" t="s">
        <v>29</v>
      </c>
      <c r="S35" s="7" t="s">
        <v>29</v>
      </c>
    </row>
    <row r="36" spans="2:19">
      <c r="B36" s="9" t="s">
        <v>195</v>
      </c>
      <c r="C36" s="7" t="s">
        <v>195</v>
      </c>
      <c r="D36" s="5" t="str">
        <f>LRTRIM(CONCATENATE(IF(SUMPRODUCT(-- ISNUMBER(SEARCH({"Auto Number"}, $B36))) &gt; 0, $B36, IF(SUMPRODUCT(-- ISNUMBER(SEARCH({"Lookup","Master-Detail"}, $B36))) &gt; 0,$B36 &amp; "(" &amp; $E36 &amp; ")",IF(SUMPRODUCT(-- ISNUMBER(SEARCH({"Formula","Roll-Up Summary"}, $B36))) &gt; 0,$B36 &amp; " (" &amp; $E36 &amp; ")",IF(SUMPRODUCT(-- ISNUMBER(SEARCH({"Content","Currency","Number","Percent","Text","URL"}, $B36))) &gt; 0,$B36 &amp; "(" &amp; $C36 &amp; ")",$B36)))), "  ", TRIM(IF($S36 = "YES", "(External ID)", "") &amp; " " &amp; IF(SUMPRODUCT(-- ISNUMBER(SEARCH({"Unique","Unique Case Insensitive"}, $R36))) &gt; 0, "(" &amp; $R36 &amp; ")", ""))))</f>
        <v>na</v>
      </c>
      <c r="E36" s="7" t="s">
        <v>195</v>
      </c>
      <c r="F36" s="7" t="s">
        <v>195</v>
      </c>
      <c r="G36" s="7" t="s">
        <v>195</v>
      </c>
      <c r="H36" s="7" t="s">
        <v>195</v>
      </c>
      <c r="I36" s="7" t="s">
        <v>195</v>
      </c>
      <c r="J36" s="7" t="s">
        <v>195</v>
      </c>
      <c r="K36" s="7" t="s">
        <v>195</v>
      </c>
      <c r="L36" s="7" t="s">
        <v>195</v>
      </c>
      <c r="M36" s="7" t="s">
        <v>29</v>
      </c>
      <c r="N36" s="7" t="s">
        <v>29</v>
      </c>
      <c r="O36" s="7" t="s">
        <v>29</v>
      </c>
      <c r="P36" s="7" t="s">
        <v>29</v>
      </c>
      <c r="Q36" s="7" t="s">
        <v>29</v>
      </c>
      <c r="R36" s="7" t="s">
        <v>29</v>
      </c>
      <c r="S36" s="7" t="s">
        <v>29</v>
      </c>
    </row>
    <row r="37" spans="2:19">
      <c r="B37" s="9" t="s">
        <v>195</v>
      </c>
      <c r="C37" s="7" t="s">
        <v>195</v>
      </c>
      <c r="D37" s="5" t="str">
        <f>LRTRIM(CONCATENATE(IF(SUMPRODUCT(-- ISNUMBER(SEARCH({"Auto Number"}, $B37))) &gt; 0, $B37, IF(SUMPRODUCT(-- ISNUMBER(SEARCH({"Lookup","Master-Detail"}, $B37))) &gt; 0,$B37 &amp; "(" &amp; $E37 &amp; ")",IF(SUMPRODUCT(-- ISNUMBER(SEARCH({"Formula","Roll-Up Summary"}, $B37))) &gt; 0,$B37 &amp; " (" &amp; $E37 &amp; ")",IF(SUMPRODUCT(-- ISNUMBER(SEARCH({"Content","Currency","Number","Percent","Text","URL"}, $B37))) &gt; 0,$B37 &amp; "(" &amp; $C37 &amp; ")",$B37)))), "  ", TRIM(IF($S37 = "YES", "(External ID)", "") &amp; " " &amp; IF(SUMPRODUCT(-- ISNUMBER(SEARCH({"Unique","Unique Case Insensitive"}, $R37))) &gt; 0, "(" &amp; $R37 &amp; ")", ""))))</f>
        <v>na</v>
      </c>
      <c r="E37" s="7" t="s">
        <v>195</v>
      </c>
      <c r="F37" s="7" t="s">
        <v>195</v>
      </c>
      <c r="G37" s="7" t="s">
        <v>195</v>
      </c>
      <c r="H37" s="7" t="s">
        <v>195</v>
      </c>
      <c r="I37" s="7" t="s">
        <v>195</v>
      </c>
      <c r="J37" s="7" t="s">
        <v>195</v>
      </c>
      <c r="K37" s="7" t="s">
        <v>195</v>
      </c>
      <c r="L37" s="7" t="s">
        <v>195</v>
      </c>
      <c r="M37" s="7" t="s">
        <v>29</v>
      </c>
      <c r="N37" s="7" t="s">
        <v>29</v>
      </c>
      <c r="O37" s="7" t="s">
        <v>29</v>
      </c>
      <c r="P37" s="7" t="s">
        <v>29</v>
      </c>
      <c r="Q37" s="7" t="s">
        <v>29</v>
      </c>
      <c r="R37" s="7" t="s">
        <v>29</v>
      </c>
      <c r="S37" s="7" t="s">
        <v>29</v>
      </c>
    </row>
    <row r="38" spans="2:19">
      <c r="B38" s="9" t="s">
        <v>195</v>
      </c>
      <c r="C38" s="7" t="s">
        <v>195</v>
      </c>
      <c r="D38" s="5" t="str">
        <f>LRTRIM(CONCATENATE(IF(SUMPRODUCT(-- ISNUMBER(SEARCH({"Auto Number"}, $B38))) &gt; 0, $B38, IF(SUMPRODUCT(-- ISNUMBER(SEARCH({"Lookup","Master-Detail"}, $B38))) &gt; 0,$B38 &amp; "(" &amp; $E38 &amp; ")",IF(SUMPRODUCT(-- ISNUMBER(SEARCH({"Formula","Roll-Up Summary"}, $B38))) &gt; 0,$B38 &amp; " (" &amp; $E38 &amp; ")",IF(SUMPRODUCT(-- ISNUMBER(SEARCH({"Content","Currency","Number","Percent","Text","URL"}, $B38))) &gt; 0,$B38 &amp; "(" &amp; $C38 &amp; ")",$B38)))), "  ", TRIM(IF($S38 = "YES", "(External ID)", "") &amp; " " &amp; IF(SUMPRODUCT(-- ISNUMBER(SEARCH({"Unique","Unique Case Insensitive"}, $R38))) &gt; 0, "(" &amp; $R38 &amp; ")", ""))))</f>
        <v>na</v>
      </c>
      <c r="E38" s="7" t="s">
        <v>195</v>
      </c>
      <c r="F38" s="7" t="s">
        <v>195</v>
      </c>
      <c r="G38" s="7" t="s">
        <v>195</v>
      </c>
      <c r="H38" s="7" t="s">
        <v>195</v>
      </c>
      <c r="I38" s="7" t="s">
        <v>195</v>
      </c>
      <c r="J38" s="7" t="s">
        <v>195</v>
      </c>
      <c r="K38" s="7" t="s">
        <v>195</v>
      </c>
      <c r="L38" s="7" t="s">
        <v>195</v>
      </c>
      <c r="M38" s="7" t="s">
        <v>29</v>
      </c>
      <c r="N38" s="7" t="s">
        <v>29</v>
      </c>
      <c r="O38" s="7" t="s">
        <v>29</v>
      </c>
      <c r="P38" s="7" t="s">
        <v>29</v>
      </c>
      <c r="Q38" s="7" t="s">
        <v>29</v>
      </c>
      <c r="R38" s="7" t="s">
        <v>29</v>
      </c>
      <c r="S38" s="7" t="s">
        <v>29</v>
      </c>
    </row>
    <row r="39" spans="2:19">
      <c r="B39" s="9" t="s">
        <v>195</v>
      </c>
      <c r="C39" s="7" t="s">
        <v>195</v>
      </c>
      <c r="D39" s="5" t="str">
        <f>LRTRIM(CONCATENATE(IF(SUMPRODUCT(-- ISNUMBER(SEARCH({"Auto Number"}, $B39))) &gt; 0, $B39, IF(SUMPRODUCT(-- ISNUMBER(SEARCH({"Lookup","Master-Detail"}, $B39))) &gt; 0,$B39 &amp; "(" &amp; $E39 &amp; ")",IF(SUMPRODUCT(-- ISNUMBER(SEARCH({"Formula","Roll-Up Summary"}, $B39))) &gt; 0,$B39 &amp; " (" &amp; $E39 &amp; ")",IF(SUMPRODUCT(-- ISNUMBER(SEARCH({"Content","Currency","Number","Percent","Text","URL"}, $B39))) &gt; 0,$B39 &amp; "(" &amp; $C39 &amp; ")",$B39)))), "  ", TRIM(IF($S39 = "YES", "(External ID)", "") &amp; " " &amp; IF(SUMPRODUCT(-- ISNUMBER(SEARCH({"Unique","Unique Case Insensitive"}, $R39))) &gt; 0, "(" &amp; $R39 &amp; ")", ""))))</f>
        <v>na</v>
      </c>
      <c r="E39" s="7" t="s">
        <v>195</v>
      </c>
      <c r="F39" s="7" t="s">
        <v>195</v>
      </c>
      <c r="G39" s="7" t="s">
        <v>195</v>
      </c>
      <c r="H39" s="7" t="s">
        <v>195</v>
      </c>
      <c r="I39" s="7" t="s">
        <v>195</v>
      </c>
      <c r="J39" s="7" t="s">
        <v>195</v>
      </c>
      <c r="K39" s="7" t="s">
        <v>195</v>
      </c>
      <c r="L39" s="7" t="s">
        <v>195</v>
      </c>
      <c r="M39" s="7" t="s">
        <v>29</v>
      </c>
      <c r="N39" s="7" t="s">
        <v>29</v>
      </c>
      <c r="O39" s="7" t="s">
        <v>29</v>
      </c>
      <c r="P39" s="7" t="s">
        <v>29</v>
      </c>
      <c r="Q39" s="7" t="s">
        <v>29</v>
      </c>
      <c r="R39" s="7" t="s">
        <v>29</v>
      </c>
      <c r="S39" s="7" t="s">
        <v>29</v>
      </c>
    </row>
    <row r="40" spans="2:19">
      <c r="B40" s="9" t="s">
        <v>195</v>
      </c>
      <c r="C40" s="7" t="s">
        <v>195</v>
      </c>
      <c r="D40" s="5" t="str">
        <f>LRTRIM(CONCATENATE(IF(SUMPRODUCT(-- ISNUMBER(SEARCH({"Auto Number"}, $B40))) &gt; 0, $B40, IF(SUMPRODUCT(-- ISNUMBER(SEARCH({"Lookup","Master-Detail"}, $B40))) &gt; 0,$B40 &amp; "(" &amp; $E40 &amp; ")",IF(SUMPRODUCT(-- ISNUMBER(SEARCH({"Formula","Roll-Up Summary"}, $B40))) &gt; 0,$B40 &amp; " (" &amp; $E40 &amp; ")",IF(SUMPRODUCT(-- ISNUMBER(SEARCH({"Content","Currency","Number","Percent","Text","URL"}, $B40))) &gt; 0,$B40 &amp; "(" &amp; $C40 &amp; ")",$B40)))), "  ", TRIM(IF($S40 = "YES", "(External ID)", "") &amp; " " &amp; IF(SUMPRODUCT(-- ISNUMBER(SEARCH({"Unique","Unique Case Insensitive"}, $R40))) &gt; 0, "(" &amp; $R40 &amp; ")", ""))))</f>
        <v>na</v>
      </c>
      <c r="E40" s="7" t="s">
        <v>195</v>
      </c>
      <c r="F40" s="7" t="s">
        <v>195</v>
      </c>
      <c r="G40" s="7" t="s">
        <v>195</v>
      </c>
      <c r="H40" s="7" t="s">
        <v>195</v>
      </c>
      <c r="I40" s="7" t="s">
        <v>195</v>
      </c>
      <c r="J40" s="7" t="s">
        <v>195</v>
      </c>
      <c r="K40" s="7" t="s">
        <v>195</v>
      </c>
      <c r="L40" s="7" t="s">
        <v>195</v>
      </c>
      <c r="M40" s="7" t="s">
        <v>29</v>
      </c>
      <c r="N40" s="7" t="s">
        <v>29</v>
      </c>
      <c r="O40" s="7" t="s">
        <v>29</v>
      </c>
      <c r="P40" s="7" t="s">
        <v>29</v>
      </c>
      <c r="Q40" s="7" t="s">
        <v>29</v>
      </c>
      <c r="R40" s="7" t="s">
        <v>29</v>
      </c>
      <c r="S40" s="7" t="s">
        <v>29</v>
      </c>
    </row>
    <row r="41" spans="2:19">
      <c r="B41" s="9" t="s">
        <v>195</v>
      </c>
      <c r="C41" s="7" t="s">
        <v>195</v>
      </c>
      <c r="D41" s="5" t="str">
        <f>LRTRIM(CONCATENATE(IF(SUMPRODUCT(-- ISNUMBER(SEARCH({"Auto Number"}, $B41))) &gt; 0, $B41, IF(SUMPRODUCT(-- ISNUMBER(SEARCH({"Lookup","Master-Detail"}, $B41))) &gt; 0,$B41 &amp; "(" &amp; $E41 &amp; ")",IF(SUMPRODUCT(-- ISNUMBER(SEARCH({"Formula","Roll-Up Summary"}, $B41))) &gt; 0,$B41 &amp; " (" &amp; $E41 &amp; ")",IF(SUMPRODUCT(-- ISNUMBER(SEARCH({"Content","Currency","Number","Percent","Text","URL"}, $B41))) &gt; 0,$B41 &amp; "(" &amp; $C41 &amp; ")",$B41)))), "  ", TRIM(IF($S41 = "YES", "(External ID)", "") &amp; " " &amp; IF(SUMPRODUCT(-- ISNUMBER(SEARCH({"Unique","Unique Case Insensitive"}, $R41))) &gt; 0, "(" &amp; $R41 &amp; ")", ""))))</f>
        <v>na</v>
      </c>
      <c r="E41" s="7" t="s">
        <v>195</v>
      </c>
      <c r="F41" s="7" t="s">
        <v>195</v>
      </c>
      <c r="G41" s="7" t="s">
        <v>195</v>
      </c>
      <c r="H41" s="7" t="s">
        <v>195</v>
      </c>
      <c r="I41" s="7" t="s">
        <v>195</v>
      </c>
      <c r="J41" s="7" t="s">
        <v>195</v>
      </c>
      <c r="K41" s="7" t="s">
        <v>195</v>
      </c>
      <c r="L41" s="7" t="s">
        <v>195</v>
      </c>
      <c r="M41" s="7" t="s">
        <v>29</v>
      </c>
      <c r="N41" s="7" t="s">
        <v>29</v>
      </c>
      <c r="O41" s="7" t="s">
        <v>29</v>
      </c>
      <c r="P41" s="7" t="s">
        <v>29</v>
      </c>
      <c r="Q41" s="7" t="s">
        <v>29</v>
      </c>
      <c r="R41" s="7" t="s">
        <v>29</v>
      </c>
      <c r="S41" s="7" t="s">
        <v>29</v>
      </c>
    </row>
    <row r="42" spans="2:19">
      <c r="B42" s="9" t="s">
        <v>195</v>
      </c>
      <c r="C42" s="7" t="s">
        <v>195</v>
      </c>
      <c r="D42" s="5" t="str">
        <f>LRTRIM(CONCATENATE(IF(SUMPRODUCT(-- ISNUMBER(SEARCH({"Auto Number"}, $B42))) &gt; 0, $B42, IF(SUMPRODUCT(-- ISNUMBER(SEARCH({"Lookup","Master-Detail"}, $B42))) &gt; 0,$B42 &amp; "(" &amp; $E42 &amp; ")",IF(SUMPRODUCT(-- ISNUMBER(SEARCH({"Formula","Roll-Up Summary"}, $B42))) &gt; 0,$B42 &amp; " (" &amp; $E42 &amp; ")",IF(SUMPRODUCT(-- ISNUMBER(SEARCH({"Content","Currency","Number","Percent","Text","URL"}, $B42))) &gt; 0,$B42 &amp; "(" &amp; $C42 &amp; ")",$B42)))), "  ", TRIM(IF($S42 = "YES", "(External ID)", "") &amp; " " &amp; IF(SUMPRODUCT(-- ISNUMBER(SEARCH({"Unique","Unique Case Insensitive"}, $R42))) &gt; 0, "(" &amp; $R42 &amp; ")", ""))))</f>
        <v>na</v>
      </c>
      <c r="E42" s="7" t="s">
        <v>195</v>
      </c>
      <c r="F42" s="7" t="s">
        <v>195</v>
      </c>
      <c r="G42" s="7" t="s">
        <v>195</v>
      </c>
      <c r="H42" s="7" t="s">
        <v>195</v>
      </c>
      <c r="I42" s="7" t="s">
        <v>195</v>
      </c>
      <c r="J42" s="7" t="s">
        <v>195</v>
      </c>
      <c r="K42" s="7" t="s">
        <v>195</v>
      </c>
      <c r="L42" s="7" t="s">
        <v>195</v>
      </c>
      <c r="M42" s="7" t="s">
        <v>29</v>
      </c>
      <c r="N42" s="7" t="s">
        <v>29</v>
      </c>
      <c r="O42" s="7" t="s">
        <v>29</v>
      </c>
      <c r="P42" s="7" t="s">
        <v>29</v>
      </c>
      <c r="Q42" s="7" t="s">
        <v>29</v>
      </c>
      <c r="R42" s="7" t="s">
        <v>29</v>
      </c>
      <c r="S42" s="7" t="s">
        <v>29</v>
      </c>
    </row>
    <row r="43" spans="2:19">
      <c r="B43" s="9" t="s">
        <v>195</v>
      </c>
      <c r="C43" s="7" t="s">
        <v>195</v>
      </c>
      <c r="D43" s="5" t="str">
        <f>LRTRIM(CONCATENATE(IF(SUMPRODUCT(-- ISNUMBER(SEARCH({"Auto Number"}, $B43))) &gt; 0, $B43, IF(SUMPRODUCT(-- ISNUMBER(SEARCH({"Lookup","Master-Detail"}, $B43))) &gt; 0,$B43 &amp; "(" &amp; $E43 &amp; ")",IF(SUMPRODUCT(-- ISNUMBER(SEARCH({"Formula","Roll-Up Summary"}, $B43))) &gt; 0,$B43 &amp; " (" &amp; $E43 &amp; ")",IF(SUMPRODUCT(-- ISNUMBER(SEARCH({"Content","Currency","Number","Percent","Text","URL"}, $B43))) &gt; 0,$B43 &amp; "(" &amp; $C43 &amp; ")",$B43)))), "  ", TRIM(IF($S43 = "YES", "(External ID)", "") &amp; " " &amp; IF(SUMPRODUCT(-- ISNUMBER(SEARCH({"Unique","Unique Case Insensitive"}, $R43))) &gt; 0, "(" &amp; $R43 &amp; ")", ""))))</f>
        <v>na</v>
      </c>
      <c r="E43" s="7" t="s">
        <v>195</v>
      </c>
      <c r="F43" s="7" t="s">
        <v>195</v>
      </c>
      <c r="G43" s="7" t="s">
        <v>195</v>
      </c>
      <c r="H43" s="7" t="s">
        <v>195</v>
      </c>
      <c r="I43" s="7" t="s">
        <v>195</v>
      </c>
      <c r="J43" s="7" t="s">
        <v>195</v>
      </c>
      <c r="K43" s="7" t="s">
        <v>195</v>
      </c>
      <c r="L43" s="7" t="s">
        <v>195</v>
      </c>
      <c r="M43" s="7" t="s">
        <v>29</v>
      </c>
      <c r="N43" s="7" t="s">
        <v>29</v>
      </c>
      <c r="O43" s="7" t="s">
        <v>29</v>
      </c>
      <c r="P43" s="7" t="s">
        <v>29</v>
      </c>
      <c r="Q43" s="7" t="s">
        <v>29</v>
      </c>
      <c r="R43" s="7" t="s">
        <v>29</v>
      </c>
      <c r="S43" s="7" t="s">
        <v>29</v>
      </c>
    </row>
    <row r="44" spans="2:19">
      <c r="B44" s="9" t="s">
        <v>195</v>
      </c>
      <c r="C44" s="7" t="s">
        <v>195</v>
      </c>
      <c r="D44" s="5" t="str">
        <f>LRTRIM(CONCATENATE(IF(SUMPRODUCT(-- ISNUMBER(SEARCH({"Auto Number"}, $B44))) &gt; 0, $B44, IF(SUMPRODUCT(-- ISNUMBER(SEARCH({"Lookup","Master-Detail"}, $B44))) &gt; 0,$B44 &amp; "(" &amp; $E44 &amp; ")",IF(SUMPRODUCT(-- ISNUMBER(SEARCH({"Formula","Roll-Up Summary"}, $B44))) &gt; 0,$B44 &amp; " (" &amp; $E44 &amp; ")",IF(SUMPRODUCT(-- ISNUMBER(SEARCH({"Content","Currency","Number","Percent","Text","URL"}, $B44))) &gt; 0,$B44 &amp; "(" &amp; $C44 &amp; ")",$B44)))), "  ", TRIM(IF($S44 = "YES", "(External ID)", "") &amp; " " &amp; IF(SUMPRODUCT(-- ISNUMBER(SEARCH({"Unique","Unique Case Insensitive"}, $R44))) &gt; 0, "(" &amp; $R44 &amp; ")", ""))))</f>
        <v>na</v>
      </c>
      <c r="E44" s="7" t="s">
        <v>195</v>
      </c>
      <c r="F44" s="7" t="s">
        <v>195</v>
      </c>
      <c r="G44" s="7" t="s">
        <v>195</v>
      </c>
      <c r="H44" s="7" t="s">
        <v>195</v>
      </c>
      <c r="I44" s="7" t="s">
        <v>195</v>
      </c>
      <c r="J44" s="7" t="s">
        <v>195</v>
      </c>
      <c r="K44" s="7" t="s">
        <v>195</v>
      </c>
      <c r="L44" s="7" t="s">
        <v>195</v>
      </c>
      <c r="M44" s="7" t="s">
        <v>29</v>
      </c>
      <c r="N44" s="7" t="s">
        <v>29</v>
      </c>
      <c r="O44" s="7" t="s">
        <v>29</v>
      </c>
      <c r="P44" s="7" t="s">
        <v>29</v>
      </c>
      <c r="Q44" s="7" t="s">
        <v>29</v>
      </c>
      <c r="R44" s="7" t="s">
        <v>29</v>
      </c>
      <c r="S44" s="7" t="s">
        <v>29</v>
      </c>
    </row>
    <row r="45" spans="2:19">
      <c r="B45" s="9" t="s">
        <v>195</v>
      </c>
      <c r="C45" s="7" t="s">
        <v>195</v>
      </c>
      <c r="D45" s="5" t="str">
        <f>LRTRIM(CONCATENATE(IF(SUMPRODUCT(-- ISNUMBER(SEARCH({"Auto Number"}, $B45))) &gt; 0, $B45, IF(SUMPRODUCT(-- ISNUMBER(SEARCH({"Lookup","Master-Detail"}, $B45))) &gt; 0,$B45 &amp; "(" &amp; $E45 &amp; ")",IF(SUMPRODUCT(-- ISNUMBER(SEARCH({"Formula","Roll-Up Summary"}, $B45))) &gt; 0,$B45 &amp; " (" &amp; $E45 &amp; ")",IF(SUMPRODUCT(-- ISNUMBER(SEARCH({"Content","Currency","Number","Percent","Text","URL"}, $B45))) &gt; 0,$B45 &amp; "(" &amp; $C45 &amp; ")",$B45)))), "  ", TRIM(IF($S45 = "YES", "(External ID)", "") &amp; " " &amp; IF(SUMPRODUCT(-- ISNUMBER(SEARCH({"Unique","Unique Case Insensitive"}, $R45))) &gt; 0, "(" &amp; $R45 &amp; ")", ""))))</f>
        <v>na</v>
      </c>
      <c r="E45" s="7" t="s">
        <v>195</v>
      </c>
      <c r="F45" s="7" t="s">
        <v>195</v>
      </c>
      <c r="G45" s="7" t="s">
        <v>195</v>
      </c>
      <c r="H45" s="7" t="s">
        <v>195</v>
      </c>
      <c r="I45" s="7" t="s">
        <v>195</v>
      </c>
      <c r="J45" s="7" t="s">
        <v>195</v>
      </c>
      <c r="K45" s="7" t="s">
        <v>195</v>
      </c>
      <c r="L45" s="7" t="s">
        <v>195</v>
      </c>
      <c r="M45" s="7" t="s">
        <v>29</v>
      </c>
      <c r="N45" s="7" t="s">
        <v>29</v>
      </c>
      <c r="O45" s="7" t="s">
        <v>29</v>
      </c>
      <c r="P45" s="7" t="s">
        <v>29</v>
      </c>
      <c r="Q45" s="7" t="s">
        <v>29</v>
      </c>
      <c r="R45" s="7" t="s">
        <v>29</v>
      </c>
      <c r="S45" s="7" t="s">
        <v>29</v>
      </c>
    </row>
    <row r="46" spans="2:19">
      <c r="B46" s="9" t="s">
        <v>195</v>
      </c>
      <c r="C46" s="7" t="s">
        <v>195</v>
      </c>
      <c r="D46" s="5" t="str">
        <f>LRTRIM(CONCATENATE(IF(SUMPRODUCT(-- ISNUMBER(SEARCH({"Auto Number"}, $B46))) &gt; 0, $B46, IF(SUMPRODUCT(-- ISNUMBER(SEARCH({"Lookup","Master-Detail"}, $B46))) &gt; 0,$B46 &amp; "(" &amp; $E46 &amp; ")",IF(SUMPRODUCT(-- ISNUMBER(SEARCH({"Formula","Roll-Up Summary"}, $B46))) &gt; 0,$B46 &amp; " (" &amp; $E46 &amp; ")",IF(SUMPRODUCT(-- ISNUMBER(SEARCH({"Content","Currency","Number","Percent","Text","URL"}, $B46))) &gt; 0,$B46 &amp; "(" &amp; $C46 &amp; ")",$B46)))), "  ", TRIM(IF($S46 = "YES", "(External ID)", "") &amp; " " &amp; IF(SUMPRODUCT(-- ISNUMBER(SEARCH({"Unique","Unique Case Insensitive"}, $R46))) &gt; 0, "(" &amp; $R46 &amp; ")", ""))))</f>
        <v>na</v>
      </c>
      <c r="E46" s="7" t="s">
        <v>195</v>
      </c>
      <c r="F46" s="7" t="s">
        <v>195</v>
      </c>
      <c r="G46" s="7" t="s">
        <v>195</v>
      </c>
      <c r="H46" s="7" t="s">
        <v>195</v>
      </c>
      <c r="I46" s="7" t="s">
        <v>195</v>
      </c>
      <c r="J46" s="7" t="s">
        <v>195</v>
      </c>
      <c r="K46" s="7" t="s">
        <v>195</v>
      </c>
      <c r="L46" s="7" t="s">
        <v>195</v>
      </c>
      <c r="M46" s="7" t="s">
        <v>29</v>
      </c>
      <c r="N46" s="7" t="s">
        <v>29</v>
      </c>
      <c r="O46" s="7" t="s">
        <v>29</v>
      </c>
      <c r="P46" s="7" t="s">
        <v>29</v>
      </c>
      <c r="Q46" s="7" t="s">
        <v>29</v>
      </c>
      <c r="R46" s="7" t="s">
        <v>29</v>
      </c>
      <c r="S46" s="7" t="s">
        <v>29</v>
      </c>
    </row>
    <row r="47" spans="2:19">
      <c r="B47" s="9" t="s">
        <v>195</v>
      </c>
      <c r="C47" s="7" t="s">
        <v>195</v>
      </c>
      <c r="D47" s="5" t="str">
        <f>LRTRIM(CONCATENATE(IF(SUMPRODUCT(-- ISNUMBER(SEARCH({"Auto Number"}, $B47))) &gt; 0, $B47, IF(SUMPRODUCT(-- ISNUMBER(SEARCH({"Lookup","Master-Detail"}, $B47))) &gt; 0,$B47 &amp; "(" &amp; $E47 &amp; ")",IF(SUMPRODUCT(-- ISNUMBER(SEARCH({"Formula","Roll-Up Summary"}, $B47))) &gt; 0,$B47 &amp; " (" &amp; $E47 &amp; ")",IF(SUMPRODUCT(-- ISNUMBER(SEARCH({"Content","Currency","Number","Percent","Text","URL"}, $B47))) &gt; 0,$B47 &amp; "(" &amp; $C47 &amp; ")",$B47)))), "  ", TRIM(IF($S47 = "YES", "(External ID)", "") &amp; " " &amp; IF(SUMPRODUCT(-- ISNUMBER(SEARCH({"Unique","Unique Case Insensitive"}, $R47))) &gt; 0, "(" &amp; $R47 &amp; ")", ""))))</f>
        <v>na</v>
      </c>
      <c r="E47" s="7" t="s">
        <v>195</v>
      </c>
      <c r="F47" s="7" t="s">
        <v>195</v>
      </c>
      <c r="G47" s="7" t="s">
        <v>195</v>
      </c>
      <c r="H47" s="7" t="s">
        <v>195</v>
      </c>
      <c r="I47" s="7" t="s">
        <v>195</v>
      </c>
      <c r="J47" s="7" t="s">
        <v>195</v>
      </c>
      <c r="K47" s="7" t="s">
        <v>195</v>
      </c>
      <c r="L47" s="7" t="s">
        <v>195</v>
      </c>
      <c r="M47" s="7" t="s">
        <v>29</v>
      </c>
      <c r="N47" s="7" t="s">
        <v>29</v>
      </c>
      <c r="O47" s="7" t="s">
        <v>29</v>
      </c>
      <c r="P47" s="7" t="s">
        <v>29</v>
      </c>
      <c r="Q47" s="7" t="s">
        <v>29</v>
      </c>
      <c r="R47" s="7" t="s">
        <v>29</v>
      </c>
      <c r="S47" s="7" t="s">
        <v>29</v>
      </c>
    </row>
    <row r="48" spans="2:19">
      <c r="B48" s="9" t="s">
        <v>195</v>
      </c>
      <c r="C48" s="7" t="s">
        <v>195</v>
      </c>
      <c r="D48" s="5" t="str">
        <f>LRTRIM(CONCATENATE(IF(SUMPRODUCT(-- ISNUMBER(SEARCH({"Auto Number"}, $B48))) &gt; 0, $B48, IF(SUMPRODUCT(-- ISNUMBER(SEARCH({"Lookup","Master-Detail"}, $B48))) &gt; 0,$B48 &amp; "(" &amp; $E48 &amp; ")",IF(SUMPRODUCT(-- ISNUMBER(SEARCH({"Formula","Roll-Up Summary"}, $B48))) &gt; 0,$B48 &amp; " (" &amp; $E48 &amp; ")",IF(SUMPRODUCT(-- ISNUMBER(SEARCH({"Content","Currency","Number","Percent","Text","URL"}, $B48))) &gt; 0,$B48 &amp; "(" &amp; $C48 &amp; ")",$B48)))), "  ", TRIM(IF($S48 = "YES", "(External ID)", "") &amp; " " &amp; IF(SUMPRODUCT(-- ISNUMBER(SEARCH({"Unique","Unique Case Insensitive"}, $R48))) &gt; 0, "(" &amp; $R48 &amp; ")", ""))))</f>
        <v>na</v>
      </c>
      <c r="E48" s="7" t="s">
        <v>195</v>
      </c>
      <c r="F48" s="7" t="s">
        <v>195</v>
      </c>
      <c r="G48" s="7" t="s">
        <v>195</v>
      </c>
      <c r="H48" s="7" t="s">
        <v>195</v>
      </c>
      <c r="I48" s="7" t="s">
        <v>195</v>
      </c>
      <c r="J48" s="7" t="s">
        <v>195</v>
      </c>
      <c r="K48" s="7" t="s">
        <v>195</v>
      </c>
      <c r="L48" s="7" t="s">
        <v>195</v>
      </c>
      <c r="M48" s="7" t="s">
        <v>29</v>
      </c>
      <c r="N48" s="7" t="s">
        <v>29</v>
      </c>
      <c r="O48" s="7" t="s">
        <v>29</v>
      </c>
      <c r="P48" s="7" t="s">
        <v>29</v>
      </c>
      <c r="Q48" s="7" t="s">
        <v>29</v>
      </c>
      <c r="R48" s="7" t="s">
        <v>29</v>
      </c>
      <c r="S48" s="7" t="s">
        <v>29</v>
      </c>
    </row>
    <row r="49" spans="2:19">
      <c r="B49" s="9" t="s">
        <v>195</v>
      </c>
      <c r="C49" s="7" t="s">
        <v>195</v>
      </c>
      <c r="D49" s="5" t="str">
        <f>LRTRIM(CONCATENATE(IF(SUMPRODUCT(-- ISNUMBER(SEARCH({"Auto Number"}, $B49))) &gt; 0, $B49, IF(SUMPRODUCT(-- ISNUMBER(SEARCH({"Lookup","Master-Detail"}, $B49))) &gt; 0,$B49 &amp; "(" &amp; $E49 &amp; ")",IF(SUMPRODUCT(-- ISNUMBER(SEARCH({"Formula","Roll-Up Summary"}, $B49))) &gt; 0,$B49 &amp; " (" &amp; $E49 &amp; ")",IF(SUMPRODUCT(-- ISNUMBER(SEARCH({"Content","Currency","Number","Percent","Text","URL"}, $B49))) &gt; 0,$B49 &amp; "(" &amp; $C49 &amp; ")",$B49)))), "  ", TRIM(IF($S49 = "YES", "(External ID)", "") &amp; " " &amp; IF(SUMPRODUCT(-- ISNUMBER(SEARCH({"Unique","Unique Case Insensitive"}, $R49))) &gt; 0, "(" &amp; $R49 &amp; ")", ""))))</f>
        <v>na</v>
      </c>
      <c r="E49" s="7" t="s">
        <v>195</v>
      </c>
      <c r="F49" s="7" t="s">
        <v>195</v>
      </c>
      <c r="G49" s="7" t="s">
        <v>195</v>
      </c>
      <c r="H49" s="7" t="s">
        <v>195</v>
      </c>
      <c r="I49" s="7" t="s">
        <v>195</v>
      </c>
      <c r="J49" s="7" t="s">
        <v>195</v>
      </c>
      <c r="K49" s="7" t="s">
        <v>195</v>
      </c>
      <c r="L49" s="7" t="s">
        <v>195</v>
      </c>
      <c r="M49" s="7" t="s">
        <v>29</v>
      </c>
      <c r="N49" s="7" t="s">
        <v>29</v>
      </c>
      <c r="O49" s="7" t="s">
        <v>29</v>
      </c>
      <c r="P49" s="7" t="s">
        <v>29</v>
      </c>
      <c r="Q49" s="7" t="s">
        <v>29</v>
      </c>
      <c r="R49" s="7" t="s">
        <v>29</v>
      </c>
      <c r="S49" s="7" t="s">
        <v>29</v>
      </c>
    </row>
    <row r="50" spans="2:19">
      <c r="B50" s="9" t="s">
        <v>195</v>
      </c>
      <c r="C50" s="7" t="s">
        <v>195</v>
      </c>
      <c r="D50" s="5" t="str">
        <f>LRTRIM(CONCATENATE(IF(SUMPRODUCT(-- ISNUMBER(SEARCH({"Auto Number"}, $B50))) &gt; 0, $B50, IF(SUMPRODUCT(-- ISNUMBER(SEARCH({"Lookup","Master-Detail"}, $B50))) &gt; 0,$B50 &amp; "(" &amp; $E50 &amp; ")",IF(SUMPRODUCT(-- ISNUMBER(SEARCH({"Formula","Roll-Up Summary"}, $B50))) &gt; 0,$B50 &amp; " (" &amp; $E50 &amp; ")",IF(SUMPRODUCT(-- ISNUMBER(SEARCH({"Content","Currency","Number","Percent","Text","URL"}, $B50))) &gt; 0,$B50 &amp; "(" &amp; $C50 &amp; ")",$B50)))), "  ", TRIM(IF($S50 = "YES", "(External ID)", "") &amp; " " &amp; IF(SUMPRODUCT(-- ISNUMBER(SEARCH({"Unique","Unique Case Insensitive"}, $R50))) &gt; 0, "(" &amp; $R50 &amp; ")", ""))))</f>
        <v>na</v>
      </c>
      <c r="E50" s="7" t="s">
        <v>195</v>
      </c>
      <c r="F50" s="7" t="s">
        <v>195</v>
      </c>
      <c r="G50" s="7" t="s">
        <v>195</v>
      </c>
      <c r="H50" s="7" t="s">
        <v>195</v>
      </c>
      <c r="I50" s="7" t="s">
        <v>195</v>
      </c>
      <c r="J50" s="7" t="s">
        <v>195</v>
      </c>
      <c r="K50" s="7" t="s">
        <v>195</v>
      </c>
      <c r="L50" s="7" t="s">
        <v>195</v>
      </c>
      <c r="M50" s="7" t="s">
        <v>29</v>
      </c>
      <c r="N50" s="7" t="s">
        <v>29</v>
      </c>
      <c r="O50" s="7" t="s">
        <v>29</v>
      </c>
      <c r="P50" s="7" t="s">
        <v>29</v>
      </c>
      <c r="Q50" s="7" t="s">
        <v>29</v>
      </c>
      <c r="R50" s="7" t="s">
        <v>29</v>
      </c>
      <c r="S50" s="7" t="s">
        <v>29</v>
      </c>
    </row>
    <row r="51" spans="2:19">
      <c r="B51" s="9" t="s">
        <v>195</v>
      </c>
      <c r="C51" s="7" t="s">
        <v>195</v>
      </c>
      <c r="D51" s="5" t="str">
        <f>LRTRIM(CONCATENATE(IF(SUMPRODUCT(-- ISNUMBER(SEARCH({"Auto Number"}, $B51))) &gt; 0, $B51, IF(SUMPRODUCT(-- ISNUMBER(SEARCH({"Lookup","Master-Detail"}, $B51))) &gt; 0,$B51 &amp; "(" &amp; $E51 &amp; ")",IF(SUMPRODUCT(-- ISNUMBER(SEARCH({"Formula","Roll-Up Summary"}, $B51))) &gt; 0,$B51 &amp; " (" &amp; $E51 &amp; ")",IF(SUMPRODUCT(-- ISNUMBER(SEARCH({"Content","Currency","Number","Percent","Text","URL"}, $B51))) &gt; 0,$B51 &amp; "(" &amp; $C51 &amp; ")",$B51)))), "  ", TRIM(IF($S51 = "YES", "(External ID)", "") &amp; " " &amp; IF(SUMPRODUCT(-- ISNUMBER(SEARCH({"Unique","Unique Case Insensitive"}, $R51))) &gt; 0, "(" &amp; $R51 &amp; ")", ""))))</f>
        <v>na</v>
      </c>
      <c r="E51" s="7" t="s">
        <v>195</v>
      </c>
      <c r="F51" s="7" t="s">
        <v>195</v>
      </c>
      <c r="G51" s="7" t="s">
        <v>195</v>
      </c>
      <c r="H51" s="7" t="s">
        <v>195</v>
      </c>
      <c r="I51" s="7" t="s">
        <v>195</v>
      </c>
      <c r="J51" s="7" t="s">
        <v>195</v>
      </c>
      <c r="K51" s="7" t="s">
        <v>195</v>
      </c>
      <c r="L51" s="7" t="s">
        <v>195</v>
      </c>
      <c r="M51" s="7" t="s">
        <v>29</v>
      </c>
      <c r="N51" s="7" t="s">
        <v>29</v>
      </c>
      <c r="O51" s="7" t="s">
        <v>29</v>
      </c>
      <c r="P51" s="7" t="s">
        <v>29</v>
      </c>
      <c r="Q51" s="7" t="s">
        <v>29</v>
      </c>
      <c r="R51" s="7" t="s">
        <v>29</v>
      </c>
      <c r="S51" s="7" t="s">
        <v>29</v>
      </c>
    </row>
    <row r="52" spans="2:19">
      <c r="B52" s="9" t="s">
        <v>195</v>
      </c>
      <c r="C52" s="7" t="s">
        <v>195</v>
      </c>
      <c r="D52" s="5" t="str">
        <f>LRTRIM(CONCATENATE(IF(SUMPRODUCT(-- ISNUMBER(SEARCH({"Auto Number"}, $B52))) &gt; 0, $B52, IF(SUMPRODUCT(-- ISNUMBER(SEARCH({"Lookup","Master-Detail"}, $B52))) &gt; 0,$B52 &amp; "(" &amp; $E52 &amp; ")",IF(SUMPRODUCT(-- ISNUMBER(SEARCH({"Formula","Roll-Up Summary"}, $B52))) &gt; 0,$B52 &amp; " (" &amp; $E52 &amp; ")",IF(SUMPRODUCT(-- ISNUMBER(SEARCH({"Content","Currency","Number","Percent","Text","URL"}, $B52))) &gt; 0,$B52 &amp; "(" &amp; $C52 &amp; ")",$B52)))), "  ", TRIM(IF($S52 = "YES", "(External ID)", "") &amp; " " &amp; IF(SUMPRODUCT(-- ISNUMBER(SEARCH({"Unique","Unique Case Insensitive"}, $R52))) &gt; 0, "(" &amp; $R52 &amp; ")", ""))))</f>
        <v>na</v>
      </c>
      <c r="E52" s="7" t="s">
        <v>195</v>
      </c>
      <c r="F52" s="7" t="s">
        <v>195</v>
      </c>
      <c r="G52" s="7" t="s">
        <v>195</v>
      </c>
      <c r="H52" s="7" t="s">
        <v>195</v>
      </c>
      <c r="I52" s="7" t="s">
        <v>195</v>
      </c>
      <c r="J52" s="7" t="s">
        <v>195</v>
      </c>
      <c r="K52" s="7" t="s">
        <v>195</v>
      </c>
      <c r="L52" s="7" t="s">
        <v>195</v>
      </c>
      <c r="M52" s="7" t="s">
        <v>29</v>
      </c>
      <c r="N52" s="7" t="s">
        <v>29</v>
      </c>
      <c r="O52" s="7" t="s">
        <v>29</v>
      </c>
      <c r="P52" s="7" t="s">
        <v>29</v>
      </c>
      <c r="Q52" s="7" t="s">
        <v>29</v>
      </c>
      <c r="R52" s="7" t="s">
        <v>29</v>
      </c>
      <c r="S52" s="7" t="s">
        <v>29</v>
      </c>
    </row>
    <row r="53" spans="2:19">
      <c r="B53" s="9" t="s">
        <v>195</v>
      </c>
      <c r="C53" s="7" t="s">
        <v>195</v>
      </c>
      <c r="D53" s="5" t="str">
        <f>LRTRIM(CONCATENATE(IF(SUMPRODUCT(-- ISNUMBER(SEARCH({"Auto Number"}, $B53))) &gt; 0, $B53, IF(SUMPRODUCT(-- ISNUMBER(SEARCH({"Lookup","Master-Detail"}, $B53))) &gt; 0,$B53 &amp; "(" &amp; $E53 &amp; ")",IF(SUMPRODUCT(-- ISNUMBER(SEARCH({"Formula","Roll-Up Summary"}, $B53))) &gt; 0,$B53 &amp; " (" &amp; $E53 &amp; ")",IF(SUMPRODUCT(-- ISNUMBER(SEARCH({"Content","Currency","Number","Percent","Text","URL"}, $B53))) &gt; 0,$B53 &amp; "(" &amp; $C53 &amp; ")",$B53)))), "  ", TRIM(IF($S53 = "YES", "(External ID)", "") &amp; " " &amp; IF(SUMPRODUCT(-- ISNUMBER(SEARCH({"Unique","Unique Case Insensitive"}, $R53))) &gt; 0, "(" &amp; $R53 &amp; ")", ""))))</f>
        <v>na</v>
      </c>
      <c r="E53" s="7" t="s">
        <v>195</v>
      </c>
      <c r="F53" s="7" t="s">
        <v>195</v>
      </c>
      <c r="G53" s="7" t="s">
        <v>195</v>
      </c>
      <c r="H53" s="7" t="s">
        <v>195</v>
      </c>
      <c r="I53" s="7" t="s">
        <v>195</v>
      </c>
      <c r="J53" s="7" t="s">
        <v>195</v>
      </c>
      <c r="K53" s="7" t="s">
        <v>195</v>
      </c>
      <c r="L53" s="7" t="s">
        <v>195</v>
      </c>
      <c r="M53" s="7" t="s">
        <v>29</v>
      </c>
      <c r="N53" s="7" t="s">
        <v>29</v>
      </c>
      <c r="O53" s="7" t="s">
        <v>29</v>
      </c>
      <c r="P53" s="7" t="s">
        <v>29</v>
      </c>
      <c r="Q53" s="7" t="s">
        <v>29</v>
      </c>
      <c r="R53" s="7" t="s">
        <v>29</v>
      </c>
      <c r="S53" s="7" t="s">
        <v>29</v>
      </c>
    </row>
    <row r="54" spans="2:19">
      <c r="B54" s="9" t="s">
        <v>195</v>
      </c>
      <c r="C54" s="7" t="s">
        <v>195</v>
      </c>
      <c r="D54" s="5" t="str">
        <f>LRTRIM(CONCATENATE(IF(SUMPRODUCT(-- ISNUMBER(SEARCH({"Auto Number"}, $B54))) &gt; 0, $B54, IF(SUMPRODUCT(-- ISNUMBER(SEARCH({"Lookup","Master-Detail"}, $B54))) &gt; 0,$B54 &amp; "(" &amp; $E54 &amp; ")",IF(SUMPRODUCT(-- ISNUMBER(SEARCH({"Formula","Roll-Up Summary"}, $B54))) &gt; 0,$B54 &amp; " (" &amp; $E54 &amp; ")",IF(SUMPRODUCT(-- ISNUMBER(SEARCH({"Content","Currency","Number","Percent","Text","URL"}, $B54))) &gt; 0,$B54 &amp; "(" &amp; $C54 &amp; ")",$B54)))), "  ", TRIM(IF($S54 = "YES", "(External ID)", "") &amp; " " &amp; IF(SUMPRODUCT(-- ISNUMBER(SEARCH({"Unique","Unique Case Insensitive"}, $R54))) &gt; 0, "(" &amp; $R54 &amp; ")", ""))))</f>
        <v>na</v>
      </c>
      <c r="E54" s="7" t="s">
        <v>195</v>
      </c>
      <c r="F54" s="7" t="s">
        <v>195</v>
      </c>
      <c r="G54" s="7" t="s">
        <v>195</v>
      </c>
      <c r="H54" s="7" t="s">
        <v>195</v>
      </c>
      <c r="I54" s="7" t="s">
        <v>195</v>
      </c>
      <c r="J54" s="7" t="s">
        <v>195</v>
      </c>
      <c r="K54" s="7" t="s">
        <v>195</v>
      </c>
      <c r="L54" s="7" t="s">
        <v>195</v>
      </c>
      <c r="M54" s="7" t="s">
        <v>29</v>
      </c>
      <c r="N54" s="7" t="s">
        <v>29</v>
      </c>
      <c r="O54" s="7" t="s">
        <v>29</v>
      </c>
      <c r="P54" s="7" t="s">
        <v>29</v>
      </c>
      <c r="Q54" s="7" t="s">
        <v>29</v>
      </c>
      <c r="R54" s="7" t="s">
        <v>29</v>
      </c>
      <c r="S54" s="7" t="s">
        <v>29</v>
      </c>
    </row>
    <row r="55" spans="2:19">
      <c r="B55" s="9" t="s">
        <v>195</v>
      </c>
      <c r="C55" s="7" t="s">
        <v>195</v>
      </c>
      <c r="D55" s="5" t="str">
        <f>LRTRIM(CONCATENATE(IF(SUMPRODUCT(-- ISNUMBER(SEARCH({"Auto Number"}, $B55))) &gt; 0, $B55, IF(SUMPRODUCT(-- ISNUMBER(SEARCH({"Lookup","Master-Detail"}, $B55))) &gt; 0,$B55 &amp; "(" &amp; $E55 &amp; ")",IF(SUMPRODUCT(-- ISNUMBER(SEARCH({"Formula","Roll-Up Summary"}, $B55))) &gt; 0,$B55 &amp; " (" &amp; $E55 &amp; ")",IF(SUMPRODUCT(-- ISNUMBER(SEARCH({"Content","Currency","Number","Percent","Text","URL"}, $B55))) &gt; 0,$B55 &amp; "(" &amp; $C55 &amp; ")",$B55)))), "  ", TRIM(IF($S55 = "YES", "(External ID)", "") &amp; " " &amp; IF(SUMPRODUCT(-- ISNUMBER(SEARCH({"Unique","Unique Case Insensitive"}, $R55))) &gt; 0, "(" &amp; $R55 &amp; ")", ""))))</f>
        <v>na</v>
      </c>
      <c r="E55" s="7" t="s">
        <v>195</v>
      </c>
      <c r="F55" s="7" t="s">
        <v>195</v>
      </c>
      <c r="G55" s="7" t="s">
        <v>195</v>
      </c>
      <c r="H55" s="7" t="s">
        <v>195</v>
      </c>
      <c r="I55" s="7" t="s">
        <v>195</v>
      </c>
      <c r="J55" s="7" t="s">
        <v>195</v>
      </c>
      <c r="K55" s="7" t="s">
        <v>195</v>
      </c>
      <c r="L55" s="7" t="s">
        <v>195</v>
      </c>
      <c r="M55" s="7" t="s">
        <v>29</v>
      </c>
      <c r="N55" s="7" t="s">
        <v>29</v>
      </c>
      <c r="O55" s="7" t="s">
        <v>29</v>
      </c>
      <c r="P55" s="7" t="s">
        <v>29</v>
      </c>
      <c r="Q55" s="7" t="s">
        <v>29</v>
      </c>
      <c r="R55" s="7" t="s">
        <v>29</v>
      </c>
      <c r="S55" s="7" t="s">
        <v>29</v>
      </c>
    </row>
    <row r="56" spans="2:19">
      <c r="B56" s="9" t="s">
        <v>195</v>
      </c>
      <c r="C56" s="7" t="s">
        <v>195</v>
      </c>
      <c r="D56" s="5" t="str">
        <f>LRTRIM(CONCATENATE(IF(SUMPRODUCT(-- ISNUMBER(SEARCH({"Auto Number"}, $B56))) &gt; 0, $B56, IF(SUMPRODUCT(-- ISNUMBER(SEARCH({"Lookup","Master-Detail"}, $B56))) &gt; 0,$B56 &amp; "(" &amp; $E56 &amp; ")",IF(SUMPRODUCT(-- ISNUMBER(SEARCH({"Formula","Roll-Up Summary"}, $B56))) &gt; 0,$B56 &amp; " (" &amp; $E56 &amp; ")",IF(SUMPRODUCT(-- ISNUMBER(SEARCH({"Content","Currency","Number","Percent","Text","URL"}, $B56))) &gt; 0,$B56 &amp; "(" &amp; $C56 &amp; ")",$B56)))), "  ", TRIM(IF($S56 = "YES", "(External ID)", "") &amp; " " &amp; IF(SUMPRODUCT(-- ISNUMBER(SEARCH({"Unique","Unique Case Insensitive"}, $R56))) &gt; 0, "(" &amp; $R56 &amp; ")", ""))))</f>
        <v>na</v>
      </c>
      <c r="E56" s="7" t="s">
        <v>195</v>
      </c>
      <c r="F56" s="7" t="s">
        <v>195</v>
      </c>
      <c r="G56" s="7" t="s">
        <v>195</v>
      </c>
      <c r="H56" s="7" t="s">
        <v>195</v>
      </c>
      <c r="I56" s="7" t="s">
        <v>195</v>
      </c>
      <c r="J56" s="7" t="s">
        <v>195</v>
      </c>
      <c r="K56" s="7" t="s">
        <v>195</v>
      </c>
      <c r="L56" s="7" t="s">
        <v>195</v>
      </c>
      <c r="M56" s="7" t="s">
        <v>29</v>
      </c>
      <c r="N56" s="7" t="s">
        <v>29</v>
      </c>
      <c r="O56" s="7" t="s">
        <v>29</v>
      </c>
      <c r="P56" s="7" t="s">
        <v>29</v>
      </c>
      <c r="Q56" s="7" t="s">
        <v>29</v>
      </c>
      <c r="R56" s="7" t="s">
        <v>29</v>
      </c>
      <c r="S56" s="7" t="s">
        <v>29</v>
      </c>
    </row>
    <row r="57" spans="2:19">
      <c r="B57" s="9" t="s">
        <v>195</v>
      </c>
      <c r="C57" s="7" t="s">
        <v>195</v>
      </c>
      <c r="D57" s="5" t="str">
        <f>LRTRIM(CONCATENATE(IF(SUMPRODUCT(-- ISNUMBER(SEARCH({"Auto Number"}, $B57))) &gt; 0, $B57, IF(SUMPRODUCT(-- ISNUMBER(SEARCH({"Lookup","Master-Detail"}, $B57))) &gt; 0,$B57 &amp; "(" &amp; $E57 &amp; ")",IF(SUMPRODUCT(-- ISNUMBER(SEARCH({"Formula","Roll-Up Summary"}, $B57))) &gt; 0,$B57 &amp; " (" &amp; $E57 &amp; ")",IF(SUMPRODUCT(-- ISNUMBER(SEARCH({"Content","Currency","Number","Percent","Text","URL"}, $B57))) &gt; 0,$B57 &amp; "(" &amp; $C57 &amp; ")",$B57)))), "  ", TRIM(IF($S57 = "YES", "(External ID)", "") &amp; " " &amp; IF(SUMPRODUCT(-- ISNUMBER(SEARCH({"Unique","Unique Case Insensitive"}, $R57))) &gt; 0, "(" &amp; $R57 &amp; ")", ""))))</f>
        <v>na</v>
      </c>
      <c r="E57" s="7" t="s">
        <v>195</v>
      </c>
      <c r="F57" s="7" t="s">
        <v>195</v>
      </c>
      <c r="G57" s="7" t="s">
        <v>195</v>
      </c>
      <c r="H57" s="7" t="s">
        <v>195</v>
      </c>
      <c r="I57" s="7" t="s">
        <v>195</v>
      </c>
      <c r="J57" s="7" t="s">
        <v>195</v>
      </c>
      <c r="K57" s="7" t="s">
        <v>195</v>
      </c>
      <c r="L57" s="7" t="s">
        <v>195</v>
      </c>
      <c r="M57" s="7" t="s">
        <v>29</v>
      </c>
      <c r="N57" s="7" t="s">
        <v>29</v>
      </c>
      <c r="O57" s="7" t="s">
        <v>29</v>
      </c>
      <c r="P57" s="7" t="s">
        <v>29</v>
      </c>
      <c r="Q57" s="7" t="s">
        <v>29</v>
      </c>
      <c r="R57" s="7" t="s">
        <v>29</v>
      </c>
      <c r="S57" s="7" t="s">
        <v>29</v>
      </c>
    </row>
    <row r="58" spans="2:19">
      <c r="B58" s="9" t="s">
        <v>195</v>
      </c>
      <c r="C58" s="7" t="s">
        <v>195</v>
      </c>
      <c r="D58" s="5" t="str">
        <f>LRTRIM(CONCATENATE(IF(SUMPRODUCT(-- ISNUMBER(SEARCH({"Auto Number"}, $B58))) &gt; 0, $B58, IF(SUMPRODUCT(-- ISNUMBER(SEARCH({"Lookup","Master-Detail"}, $B58))) &gt; 0,$B58 &amp; "(" &amp; $E58 &amp; ")",IF(SUMPRODUCT(-- ISNUMBER(SEARCH({"Formula","Roll-Up Summary"}, $B58))) &gt; 0,$B58 &amp; " (" &amp; $E58 &amp; ")",IF(SUMPRODUCT(-- ISNUMBER(SEARCH({"Content","Currency","Number","Percent","Text","URL"}, $B58))) &gt; 0,$B58 &amp; "(" &amp; $C58 &amp; ")",$B58)))), "  ", TRIM(IF($S58 = "YES", "(External ID)", "") &amp; " " &amp; IF(SUMPRODUCT(-- ISNUMBER(SEARCH({"Unique","Unique Case Insensitive"}, $R58))) &gt; 0, "(" &amp; $R58 &amp; ")", ""))))</f>
        <v>na</v>
      </c>
      <c r="E58" s="7" t="s">
        <v>195</v>
      </c>
      <c r="F58" s="7" t="s">
        <v>195</v>
      </c>
      <c r="G58" s="7" t="s">
        <v>195</v>
      </c>
      <c r="H58" s="7" t="s">
        <v>195</v>
      </c>
      <c r="I58" s="7" t="s">
        <v>195</v>
      </c>
      <c r="J58" s="7" t="s">
        <v>195</v>
      </c>
      <c r="K58" s="7" t="s">
        <v>195</v>
      </c>
      <c r="L58" s="7" t="s">
        <v>195</v>
      </c>
      <c r="M58" s="7" t="s">
        <v>29</v>
      </c>
      <c r="N58" s="7" t="s">
        <v>29</v>
      </c>
      <c r="O58" s="7" t="s">
        <v>29</v>
      </c>
      <c r="P58" s="7" t="s">
        <v>29</v>
      </c>
      <c r="Q58" s="7" t="s">
        <v>29</v>
      </c>
      <c r="R58" s="7" t="s">
        <v>29</v>
      </c>
      <c r="S58" s="7" t="s">
        <v>29</v>
      </c>
    </row>
    <row r="59" spans="2:19">
      <c r="B59" s="9" t="s">
        <v>195</v>
      </c>
      <c r="C59" s="7" t="s">
        <v>195</v>
      </c>
      <c r="D59" s="5" t="str">
        <f>LRTRIM(CONCATENATE(IF(SUMPRODUCT(-- ISNUMBER(SEARCH({"Auto Number"}, $B59))) &gt; 0, $B59, IF(SUMPRODUCT(-- ISNUMBER(SEARCH({"Lookup","Master-Detail"}, $B59))) &gt; 0,$B59 &amp; "(" &amp; $E59 &amp; ")",IF(SUMPRODUCT(-- ISNUMBER(SEARCH({"Formula","Roll-Up Summary"}, $B59))) &gt; 0,$B59 &amp; " (" &amp; $E59 &amp; ")",IF(SUMPRODUCT(-- ISNUMBER(SEARCH({"Content","Currency","Number","Percent","Text","URL"}, $B59))) &gt; 0,$B59 &amp; "(" &amp; $C59 &amp; ")",$B59)))), "  ", TRIM(IF($S59 = "YES", "(External ID)", "") &amp; " " &amp; IF(SUMPRODUCT(-- ISNUMBER(SEARCH({"Unique","Unique Case Insensitive"}, $R59))) &gt; 0, "(" &amp; $R59 &amp; ")", ""))))</f>
        <v>na</v>
      </c>
      <c r="E59" s="7" t="s">
        <v>195</v>
      </c>
      <c r="F59" s="7" t="s">
        <v>195</v>
      </c>
      <c r="G59" s="7" t="s">
        <v>195</v>
      </c>
      <c r="H59" s="7" t="s">
        <v>195</v>
      </c>
      <c r="I59" s="7" t="s">
        <v>195</v>
      </c>
      <c r="J59" s="7" t="s">
        <v>195</v>
      </c>
      <c r="K59" s="7" t="s">
        <v>195</v>
      </c>
      <c r="L59" s="7" t="s">
        <v>195</v>
      </c>
      <c r="M59" s="7" t="s">
        <v>29</v>
      </c>
      <c r="N59" s="7" t="s">
        <v>29</v>
      </c>
      <c r="O59" s="7" t="s">
        <v>29</v>
      </c>
      <c r="P59" s="7" t="s">
        <v>29</v>
      </c>
      <c r="Q59" s="7" t="s">
        <v>29</v>
      </c>
      <c r="R59" s="7" t="s">
        <v>29</v>
      </c>
      <c r="S59" s="7" t="s">
        <v>29</v>
      </c>
    </row>
    <row r="60" spans="2:19">
      <c r="B60" s="9" t="s">
        <v>195</v>
      </c>
      <c r="C60" s="7" t="s">
        <v>195</v>
      </c>
      <c r="D60" s="5" t="str">
        <f>LRTRIM(CONCATENATE(IF(SUMPRODUCT(-- ISNUMBER(SEARCH({"Auto Number"}, $B60))) &gt; 0, $B60, IF(SUMPRODUCT(-- ISNUMBER(SEARCH({"Lookup","Master-Detail"}, $B60))) &gt; 0,$B60 &amp; "(" &amp; $E60 &amp; ")",IF(SUMPRODUCT(-- ISNUMBER(SEARCH({"Formula","Roll-Up Summary"}, $B60))) &gt; 0,$B60 &amp; " (" &amp; $E60 &amp; ")",IF(SUMPRODUCT(-- ISNUMBER(SEARCH({"Content","Currency","Number","Percent","Text","URL"}, $B60))) &gt; 0,$B60 &amp; "(" &amp; $C60 &amp; ")",$B60)))), "  ", TRIM(IF($S60 = "YES", "(External ID)", "") &amp; " " &amp; IF(SUMPRODUCT(-- ISNUMBER(SEARCH({"Unique","Unique Case Insensitive"}, $R60))) &gt; 0, "(" &amp; $R60 &amp; ")", ""))))</f>
        <v>na</v>
      </c>
      <c r="E60" s="7" t="s">
        <v>195</v>
      </c>
      <c r="F60" s="7" t="s">
        <v>195</v>
      </c>
      <c r="G60" s="7" t="s">
        <v>195</v>
      </c>
      <c r="H60" s="7" t="s">
        <v>195</v>
      </c>
      <c r="I60" s="7" t="s">
        <v>195</v>
      </c>
      <c r="J60" s="7" t="s">
        <v>195</v>
      </c>
      <c r="K60" s="7" t="s">
        <v>195</v>
      </c>
      <c r="L60" s="7" t="s">
        <v>195</v>
      </c>
      <c r="M60" s="7" t="s">
        <v>29</v>
      </c>
      <c r="N60" s="7" t="s">
        <v>29</v>
      </c>
      <c r="O60" s="7" t="s">
        <v>29</v>
      </c>
      <c r="P60" s="7" t="s">
        <v>29</v>
      </c>
      <c r="Q60" s="7" t="s">
        <v>29</v>
      </c>
      <c r="R60" s="7" t="s">
        <v>29</v>
      </c>
      <c r="S60" s="7" t="s">
        <v>29</v>
      </c>
    </row>
    <row r="61" spans="2:19">
      <c r="B61" s="9" t="s">
        <v>195</v>
      </c>
      <c r="C61" s="7" t="s">
        <v>195</v>
      </c>
      <c r="D61" s="5" t="str">
        <f>LRTRIM(CONCATENATE(IF(SUMPRODUCT(-- ISNUMBER(SEARCH({"Auto Number"}, $B61))) &gt; 0, $B61, IF(SUMPRODUCT(-- ISNUMBER(SEARCH({"Lookup","Master-Detail"}, $B61))) &gt; 0,$B61 &amp; "(" &amp; $E61 &amp; ")",IF(SUMPRODUCT(-- ISNUMBER(SEARCH({"Formula","Roll-Up Summary"}, $B61))) &gt; 0,$B61 &amp; " (" &amp; $E61 &amp; ")",IF(SUMPRODUCT(-- ISNUMBER(SEARCH({"Content","Currency","Number","Percent","Text","URL"}, $B61))) &gt; 0,$B61 &amp; "(" &amp; $C61 &amp; ")",$B61)))), "  ", TRIM(IF($S61 = "YES", "(External ID)", "") &amp; " " &amp; IF(SUMPRODUCT(-- ISNUMBER(SEARCH({"Unique","Unique Case Insensitive"}, $R61))) &gt; 0, "(" &amp; $R61 &amp; ")", ""))))</f>
        <v>na</v>
      </c>
      <c r="E61" s="7" t="s">
        <v>195</v>
      </c>
      <c r="F61" s="7" t="s">
        <v>195</v>
      </c>
      <c r="G61" s="7" t="s">
        <v>195</v>
      </c>
      <c r="H61" s="7" t="s">
        <v>195</v>
      </c>
      <c r="I61" s="7" t="s">
        <v>195</v>
      </c>
      <c r="J61" s="7" t="s">
        <v>195</v>
      </c>
      <c r="K61" s="7" t="s">
        <v>195</v>
      </c>
      <c r="L61" s="7" t="s">
        <v>195</v>
      </c>
      <c r="M61" s="7" t="s">
        <v>29</v>
      </c>
      <c r="N61" s="7" t="s">
        <v>29</v>
      </c>
      <c r="O61" s="7" t="s">
        <v>29</v>
      </c>
      <c r="P61" s="7" t="s">
        <v>29</v>
      </c>
      <c r="Q61" s="7" t="s">
        <v>29</v>
      </c>
      <c r="R61" s="7" t="s">
        <v>29</v>
      </c>
      <c r="S61" s="7" t="s">
        <v>29</v>
      </c>
    </row>
    <row r="62" spans="2:19">
      <c r="B62" s="9" t="s">
        <v>195</v>
      </c>
      <c r="C62" s="7" t="s">
        <v>195</v>
      </c>
      <c r="D62" s="5" t="str">
        <f>LRTRIM(CONCATENATE(IF(SUMPRODUCT(-- ISNUMBER(SEARCH({"Auto Number"}, $B62))) &gt; 0, $B62, IF(SUMPRODUCT(-- ISNUMBER(SEARCH({"Lookup","Master-Detail"}, $B62))) &gt; 0,$B62 &amp; "(" &amp; $E62 &amp; ")",IF(SUMPRODUCT(-- ISNUMBER(SEARCH({"Formula","Roll-Up Summary"}, $B62))) &gt; 0,$B62 &amp; " (" &amp; $E62 &amp; ")",IF(SUMPRODUCT(-- ISNUMBER(SEARCH({"Content","Currency","Number","Percent","Text","URL"}, $B62))) &gt; 0,$B62 &amp; "(" &amp; $C62 &amp; ")",$B62)))), "  ", TRIM(IF($S62 = "YES", "(External ID)", "") &amp; " " &amp; IF(SUMPRODUCT(-- ISNUMBER(SEARCH({"Unique","Unique Case Insensitive"}, $R62))) &gt; 0, "(" &amp; $R62 &amp; ")", ""))))</f>
        <v>na</v>
      </c>
      <c r="E62" s="7" t="s">
        <v>195</v>
      </c>
      <c r="F62" s="7" t="s">
        <v>195</v>
      </c>
      <c r="G62" s="7" t="s">
        <v>195</v>
      </c>
      <c r="H62" s="7" t="s">
        <v>195</v>
      </c>
      <c r="I62" s="7" t="s">
        <v>195</v>
      </c>
      <c r="J62" s="7" t="s">
        <v>195</v>
      </c>
      <c r="K62" s="7" t="s">
        <v>195</v>
      </c>
      <c r="L62" s="7" t="s">
        <v>195</v>
      </c>
      <c r="M62" s="7" t="s">
        <v>29</v>
      </c>
      <c r="N62" s="7" t="s">
        <v>29</v>
      </c>
      <c r="O62" s="7" t="s">
        <v>29</v>
      </c>
      <c r="P62" s="7" t="s">
        <v>29</v>
      </c>
      <c r="Q62" s="7" t="s">
        <v>29</v>
      </c>
      <c r="R62" s="7" t="s">
        <v>29</v>
      </c>
      <c r="S62" s="7" t="s">
        <v>29</v>
      </c>
    </row>
    <row r="63" spans="2:19">
      <c r="B63" s="9" t="s">
        <v>195</v>
      </c>
      <c r="C63" s="7" t="s">
        <v>195</v>
      </c>
      <c r="D63" s="5" t="str">
        <f>LRTRIM(CONCATENATE(IF(SUMPRODUCT(-- ISNUMBER(SEARCH({"Auto Number"}, $B63))) &gt; 0, $B63, IF(SUMPRODUCT(-- ISNUMBER(SEARCH({"Lookup","Master-Detail"}, $B63))) &gt; 0,$B63 &amp; "(" &amp; $E63 &amp; ")",IF(SUMPRODUCT(-- ISNUMBER(SEARCH({"Formula","Roll-Up Summary"}, $B63))) &gt; 0,$B63 &amp; " (" &amp; $E63 &amp; ")",IF(SUMPRODUCT(-- ISNUMBER(SEARCH({"Content","Currency","Number","Percent","Text","URL"}, $B63))) &gt; 0,$B63 &amp; "(" &amp; $C63 &amp; ")",$B63)))), "  ", TRIM(IF($S63 = "YES", "(External ID)", "") &amp; " " &amp; IF(SUMPRODUCT(-- ISNUMBER(SEARCH({"Unique","Unique Case Insensitive"}, $R63))) &gt; 0, "(" &amp; $R63 &amp; ")", ""))))</f>
        <v>na</v>
      </c>
      <c r="E63" s="7" t="s">
        <v>195</v>
      </c>
      <c r="F63" s="7" t="s">
        <v>195</v>
      </c>
      <c r="G63" s="7" t="s">
        <v>195</v>
      </c>
      <c r="H63" s="7" t="s">
        <v>195</v>
      </c>
      <c r="I63" s="7" t="s">
        <v>195</v>
      </c>
      <c r="J63" s="7" t="s">
        <v>195</v>
      </c>
      <c r="K63" s="7" t="s">
        <v>195</v>
      </c>
      <c r="L63" s="7" t="s">
        <v>195</v>
      </c>
      <c r="M63" s="7" t="s">
        <v>29</v>
      </c>
      <c r="N63" s="7" t="s">
        <v>29</v>
      </c>
      <c r="O63" s="7" t="s">
        <v>29</v>
      </c>
      <c r="P63" s="7" t="s">
        <v>29</v>
      </c>
      <c r="Q63" s="7" t="s">
        <v>29</v>
      </c>
      <c r="R63" s="7" t="s">
        <v>29</v>
      </c>
      <c r="S63" s="7" t="s">
        <v>29</v>
      </c>
    </row>
    <row r="64" spans="2:19">
      <c r="B64" s="9" t="s">
        <v>195</v>
      </c>
      <c r="C64" s="7" t="s">
        <v>195</v>
      </c>
      <c r="D64" s="5" t="str">
        <f>LRTRIM(CONCATENATE(IF(SUMPRODUCT(-- ISNUMBER(SEARCH({"Auto Number"}, $B64))) &gt; 0, $B64, IF(SUMPRODUCT(-- ISNUMBER(SEARCH({"Lookup","Master-Detail"}, $B64))) &gt; 0,$B64 &amp; "(" &amp; $E64 &amp; ")",IF(SUMPRODUCT(-- ISNUMBER(SEARCH({"Formula","Roll-Up Summary"}, $B64))) &gt; 0,$B64 &amp; " (" &amp; $E64 &amp; ")",IF(SUMPRODUCT(-- ISNUMBER(SEARCH({"Content","Currency","Number","Percent","Text","URL"}, $B64))) &gt; 0,$B64 &amp; "(" &amp; $C64 &amp; ")",$B64)))), "  ", TRIM(IF($S64 = "YES", "(External ID)", "") &amp; " " &amp; IF(SUMPRODUCT(-- ISNUMBER(SEARCH({"Unique","Unique Case Insensitive"}, $R64))) &gt; 0, "(" &amp; $R64 &amp; ")", ""))))</f>
        <v>na</v>
      </c>
      <c r="E64" s="7" t="s">
        <v>195</v>
      </c>
      <c r="F64" s="7" t="s">
        <v>195</v>
      </c>
      <c r="G64" s="7" t="s">
        <v>195</v>
      </c>
      <c r="H64" s="7" t="s">
        <v>195</v>
      </c>
      <c r="I64" s="7" t="s">
        <v>195</v>
      </c>
      <c r="J64" s="7" t="s">
        <v>195</v>
      </c>
      <c r="K64" s="7" t="s">
        <v>195</v>
      </c>
      <c r="L64" s="7" t="s">
        <v>195</v>
      </c>
      <c r="M64" s="7" t="s">
        <v>29</v>
      </c>
      <c r="N64" s="7" t="s">
        <v>29</v>
      </c>
      <c r="O64" s="7" t="s">
        <v>29</v>
      </c>
      <c r="P64" s="7" t="s">
        <v>29</v>
      </c>
      <c r="Q64" s="7" t="s">
        <v>29</v>
      </c>
      <c r="R64" s="7" t="s">
        <v>29</v>
      </c>
      <c r="S64" s="7" t="s">
        <v>29</v>
      </c>
    </row>
    <row r="65" spans="2:19">
      <c r="B65" s="9" t="s">
        <v>195</v>
      </c>
      <c r="C65" s="7" t="s">
        <v>195</v>
      </c>
      <c r="D65" s="5" t="str">
        <f>LRTRIM(CONCATENATE(IF(SUMPRODUCT(-- ISNUMBER(SEARCH({"Auto Number"}, $B65))) &gt; 0, $B65, IF(SUMPRODUCT(-- ISNUMBER(SEARCH({"Lookup","Master-Detail"}, $B65))) &gt; 0,$B65 &amp; "(" &amp; $E65 &amp; ")",IF(SUMPRODUCT(-- ISNUMBER(SEARCH({"Formula","Roll-Up Summary"}, $B65))) &gt; 0,$B65 &amp; " (" &amp; $E65 &amp; ")",IF(SUMPRODUCT(-- ISNUMBER(SEARCH({"Content","Currency","Number","Percent","Text","URL"}, $B65))) &gt; 0,$B65 &amp; "(" &amp; $C65 &amp; ")",$B65)))), "  ", TRIM(IF($S65 = "YES", "(External ID)", "") &amp; " " &amp; IF(SUMPRODUCT(-- ISNUMBER(SEARCH({"Unique","Unique Case Insensitive"}, $R65))) &gt; 0, "(" &amp; $R65 &amp; ")", ""))))</f>
        <v>na</v>
      </c>
      <c r="E65" s="7" t="s">
        <v>195</v>
      </c>
      <c r="F65" s="7" t="s">
        <v>195</v>
      </c>
      <c r="G65" s="7" t="s">
        <v>195</v>
      </c>
      <c r="H65" s="7" t="s">
        <v>195</v>
      </c>
      <c r="I65" s="7" t="s">
        <v>195</v>
      </c>
      <c r="J65" s="7" t="s">
        <v>195</v>
      </c>
      <c r="K65" s="7" t="s">
        <v>195</v>
      </c>
      <c r="L65" s="7" t="s">
        <v>195</v>
      </c>
      <c r="M65" s="7" t="s">
        <v>29</v>
      </c>
      <c r="N65" s="7" t="s">
        <v>29</v>
      </c>
      <c r="O65" s="7" t="s">
        <v>29</v>
      </c>
      <c r="P65" s="7" t="s">
        <v>29</v>
      </c>
      <c r="Q65" s="7" t="s">
        <v>29</v>
      </c>
      <c r="R65" s="7" t="s">
        <v>29</v>
      </c>
      <c r="S65" s="7" t="s">
        <v>29</v>
      </c>
    </row>
    <row r="66" spans="2:19">
      <c r="B66" s="9" t="s">
        <v>195</v>
      </c>
      <c r="C66" s="7" t="s">
        <v>195</v>
      </c>
      <c r="D66" s="5" t="str">
        <f>LRTRIM(CONCATENATE(IF(SUMPRODUCT(-- ISNUMBER(SEARCH({"Auto Number"}, $B66))) &gt; 0, $B66, IF(SUMPRODUCT(-- ISNUMBER(SEARCH({"Lookup","Master-Detail"}, $B66))) &gt; 0,$B66 &amp; "(" &amp; $E66 &amp; ")",IF(SUMPRODUCT(-- ISNUMBER(SEARCH({"Formula","Roll-Up Summary"}, $B66))) &gt; 0,$B66 &amp; " (" &amp; $E66 &amp; ")",IF(SUMPRODUCT(-- ISNUMBER(SEARCH({"Content","Currency","Number","Percent","Text","URL"}, $B66))) &gt; 0,$B66 &amp; "(" &amp; $C66 &amp; ")",$B66)))), "  ", TRIM(IF($S66 = "YES", "(External ID)", "") &amp; " " &amp; IF(SUMPRODUCT(-- ISNUMBER(SEARCH({"Unique","Unique Case Insensitive"}, $R66))) &gt; 0, "(" &amp; $R66 &amp; ")", ""))))</f>
        <v>na</v>
      </c>
      <c r="E66" s="7" t="s">
        <v>195</v>
      </c>
      <c r="F66" s="7" t="s">
        <v>195</v>
      </c>
      <c r="G66" s="7" t="s">
        <v>195</v>
      </c>
      <c r="H66" s="7" t="s">
        <v>195</v>
      </c>
      <c r="I66" s="7" t="s">
        <v>195</v>
      </c>
      <c r="J66" s="7" t="s">
        <v>195</v>
      </c>
      <c r="K66" s="7" t="s">
        <v>195</v>
      </c>
      <c r="L66" s="7" t="s">
        <v>195</v>
      </c>
      <c r="M66" s="7" t="s">
        <v>29</v>
      </c>
      <c r="N66" s="7" t="s">
        <v>29</v>
      </c>
      <c r="O66" s="7" t="s">
        <v>29</v>
      </c>
      <c r="P66" s="7" t="s">
        <v>29</v>
      </c>
      <c r="Q66" s="7" t="s">
        <v>29</v>
      </c>
      <c r="R66" s="7" t="s">
        <v>29</v>
      </c>
      <c r="S66" s="7" t="s">
        <v>29</v>
      </c>
    </row>
    <row r="67" spans="2:19">
      <c r="B67" s="9" t="s">
        <v>195</v>
      </c>
      <c r="C67" s="7" t="s">
        <v>195</v>
      </c>
      <c r="D67" s="5" t="str">
        <f>LRTRIM(CONCATENATE(IF(SUMPRODUCT(-- ISNUMBER(SEARCH({"Auto Number"}, $B67))) &gt; 0, $B67, IF(SUMPRODUCT(-- ISNUMBER(SEARCH({"Lookup","Master-Detail"}, $B67))) &gt; 0,$B67 &amp; "(" &amp; $E67 &amp; ")",IF(SUMPRODUCT(-- ISNUMBER(SEARCH({"Formula","Roll-Up Summary"}, $B67))) &gt; 0,$B67 &amp; " (" &amp; $E67 &amp; ")",IF(SUMPRODUCT(-- ISNUMBER(SEARCH({"Content","Currency","Number","Percent","Text","URL"}, $B67))) &gt; 0,$B67 &amp; "(" &amp; $C67 &amp; ")",$B67)))), "  ", TRIM(IF($S67 = "YES", "(External ID)", "") &amp; " " &amp; IF(SUMPRODUCT(-- ISNUMBER(SEARCH({"Unique","Unique Case Insensitive"}, $R67))) &gt; 0, "(" &amp; $R67 &amp; ")", ""))))</f>
        <v>na</v>
      </c>
      <c r="E67" s="7" t="s">
        <v>195</v>
      </c>
      <c r="F67" s="7" t="s">
        <v>195</v>
      </c>
      <c r="G67" s="7" t="s">
        <v>195</v>
      </c>
      <c r="H67" s="7" t="s">
        <v>195</v>
      </c>
      <c r="I67" s="7" t="s">
        <v>195</v>
      </c>
      <c r="J67" s="7" t="s">
        <v>195</v>
      </c>
      <c r="K67" s="7" t="s">
        <v>195</v>
      </c>
      <c r="L67" s="7" t="s">
        <v>195</v>
      </c>
      <c r="M67" s="7" t="s">
        <v>29</v>
      </c>
      <c r="N67" s="7" t="s">
        <v>29</v>
      </c>
      <c r="O67" s="7" t="s">
        <v>29</v>
      </c>
      <c r="P67" s="7" t="s">
        <v>29</v>
      </c>
      <c r="Q67" s="7" t="s">
        <v>29</v>
      </c>
      <c r="R67" s="7" t="s">
        <v>29</v>
      </c>
      <c r="S67" s="7" t="s">
        <v>29</v>
      </c>
    </row>
    <row r="68" spans="2:19">
      <c r="B68" s="9" t="s">
        <v>195</v>
      </c>
      <c r="C68" s="7" t="s">
        <v>195</v>
      </c>
      <c r="D68" s="5" t="str">
        <f>LRTRIM(CONCATENATE(IF(SUMPRODUCT(-- ISNUMBER(SEARCH({"Auto Number"}, $B68))) &gt; 0, $B68, IF(SUMPRODUCT(-- ISNUMBER(SEARCH({"Lookup","Master-Detail"}, $B68))) &gt; 0,$B68 &amp; "(" &amp; $E68 &amp; ")",IF(SUMPRODUCT(-- ISNUMBER(SEARCH({"Formula","Roll-Up Summary"}, $B68))) &gt; 0,$B68 &amp; " (" &amp; $E68 &amp; ")",IF(SUMPRODUCT(-- ISNUMBER(SEARCH({"Content","Currency","Number","Percent","Text","URL"}, $B68))) &gt; 0,$B68 &amp; "(" &amp; $C68 &amp; ")",$B68)))), "  ", TRIM(IF($S68 = "YES", "(External ID)", "") &amp; " " &amp; IF(SUMPRODUCT(-- ISNUMBER(SEARCH({"Unique","Unique Case Insensitive"}, $R68))) &gt; 0, "(" &amp; $R68 &amp; ")", ""))))</f>
        <v>na</v>
      </c>
      <c r="E68" s="7" t="s">
        <v>195</v>
      </c>
      <c r="F68" s="7" t="s">
        <v>195</v>
      </c>
      <c r="G68" s="7" t="s">
        <v>195</v>
      </c>
      <c r="H68" s="7" t="s">
        <v>195</v>
      </c>
      <c r="I68" s="7" t="s">
        <v>195</v>
      </c>
      <c r="J68" s="7" t="s">
        <v>195</v>
      </c>
      <c r="K68" s="7" t="s">
        <v>195</v>
      </c>
      <c r="L68" s="7" t="s">
        <v>195</v>
      </c>
      <c r="M68" s="7" t="s">
        <v>29</v>
      </c>
      <c r="N68" s="7" t="s">
        <v>29</v>
      </c>
      <c r="O68" s="7" t="s">
        <v>29</v>
      </c>
      <c r="P68" s="7" t="s">
        <v>29</v>
      </c>
      <c r="Q68" s="7" t="s">
        <v>29</v>
      </c>
      <c r="R68" s="7" t="s">
        <v>29</v>
      </c>
      <c r="S68" s="7" t="s">
        <v>29</v>
      </c>
    </row>
    <row r="69" spans="2:19">
      <c r="B69" s="9" t="s">
        <v>195</v>
      </c>
      <c r="C69" s="7" t="s">
        <v>195</v>
      </c>
      <c r="D69" s="5" t="str">
        <f>LRTRIM(CONCATENATE(IF(SUMPRODUCT(-- ISNUMBER(SEARCH({"Auto Number"}, $B69))) &gt; 0, $B69, IF(SUMPRODUCT(-- ISNUMBER(SEARCH({"Lookup","Master-Detail"}, $B69))) &gt; 0,$B69 &amp; "(" &amp; $E69 &amp; ")",IF(SUMPRODUCT(-- ISNUMBER(SEARCH({"Formula","Roll-Up Summary"}, $B69))) &gt; 0,$B69 &amp; " (" &amp; $E69 &amp; ")",IF(SUMPRODUCT(-- ISNUMBER(SEARCH({"Content","Currency","Number","Percent","Text","URL"}, $B69))) &gt; 0,$B69 &amp; "(" &amp; $C69 &amp; ")",$B69)))), "  ", TRIM(IF($S69 = "YES", "(External ID)", "") &amp; " " &amp; IF(SUMPRODUCT(-- ISNUMBER(SEARCH({"Unique","Unique Case Insensitive"}, $R69))) &gt; 0, "(" &amp; $R69 &amp; ")", ""))))</f>
        <v>na</v>
      </c>
      <c r="E69" s="7" t="s">
        <v>195</v>
      </c>
      <c r="F69" s="7" t="s">
        <v>195</v>
      </c>
      <c r="G69" s="7" t="s">
        <v>195</v>
      </c>
      <c r="H69" s="7" t="s">
        <v>195</v>
      </c>
      <c r="I69" s="7" t="s">
        <v>195</v>
      </c>
      <c r="J69" s="7" t="s">
        <v>195</v>
      </c>
      <c r="K69" s="7" t="s">
        <v>195</v>
      </c>
      <c r="L69" s="7" t="s">
        <v>195</v>
      </c>
      <c r="M69" s="7" t="s">
        <v>29</v>
      </c>
      <c r="N69" s="7" t="s">
        <v>29</v>
      </c>
      <c r="O69" s="7" t="s">
        <v>29</v>
      </c>
      <c r="P69" s="7" t="s">
        <v>29</v>
      </c>
      <c r="Q69" s="7" t="s">
        <v>29</v>
      </c>
      <c r="R69" s="7" t="s">
        <v>29</v>
      </c>
      <c r="S69" s="7" t="s">
        <v>29</v>
      </c>
    </row>
    <row r="70" spans="2:19">
      <c r="B70" s="9" t="s">
        <v>195</v>
      </c>
      <c r="C70" s="7" t="s">
        <v>195</v>
      </c>
      <c r="D70" s="5" t="str">
        <f>LRTRIM(CONCATENATE(IF(SUMPRODUCT(-- ISNUMBER(SEARCH({"Auto Number"}, $B70))) &gt; 0, $B70, IF(SUMPRODUCT(-- ISNUMBER(SEARCH({"Lookup","Master-Detail"}, $B70))) &gt; 0,$B70 &amp; "(" &amp; $E70 &amp; ")",IF(SUMPRODUCT(-- ISNUMBER(SEARCH({"Formula","Roll-Up Summary"}, $B70))) &gt; 0,$B70 &amp; " (" &amp; $E70 &amp; ")",IF(SUMPRODUCT(-- ISNUMBER(SEARCH({"Content","Currency","Number","Percent","Text","URL"}, $B70))) &gt; 0,$B70 &amp; "(" &amp; $C70 &amp; ")",$B70)))), "  ", TRIM(IF($S70 = "YES", "(External ID)", "") &amp; " " &amp; IF(SUMPRODUCT(-- ISNUMBER(SEARCH({"Unique","Unique Case Insensitive"}, $R70))) &gt; 0, "(" &amp; $R70 &amp; ")", ""))))</f>
        <v>na</v>
      </c>
      <c r="E70" s="7" t="s">
        <v>195</v>
      </c>
      <c r="F70" s="7" t="s">
        <v>195</v>
      </c>
      <c r="G70" s="7" t="s">
        <v>195</v>
      </c>
      <c r="H70" s="7" t="s">
        <v>195</v>
      </c>
      <c r="I70" s="7" t="s">
        <v>195</v>
      </c>
      <c r="J70" s="7" t="s">
        <v>195</v>
      </c>
      <c r="K70" s="7" t="s">
        <v>195</v>
      </c>
      <c r="L70" s="7" t="s">
        <v>195</v>
      </c>
      <c r="M70" s="7" t="s">
        <v>29</v>
      </c>
      <c r="N70" s="7" t="s">
        <v>29</v>
      </c>
      <c r="O70" s="7" t="s">
        <v>29</v>
      </c>
      <c r="P70" s="7" t="s">
        <v>29</v>
      </c>
      <c r="Q70" s="7" t="s">
        <v>29</v>
      </c>
      <c r="R70" s="7" t="s">
        <v>29</v>
      </c>
      <c r="S70" s="7" t="s">
        <v>29</v>
      </c>
    </row>
    <row r="71" spans="2:19">
      <c r="B71" s="9" t="s">
        <v>195</v>
      </c>
      <c r="C71" s="7" t="s">
        <v>195</v>
      </c>
      <c r="D71" s="5" t="str">
        <f>LRTRIM(CONCATENATE(IF(SUMPRODUCT(-- ISNUMBER(SEARCH({"Auto Number"}, $B71))) &gt; 0, $B71, IF(SUMPRODUCT(-- ISNUMBER(SEARCH({"Lookup","Master-Detail"}, $B71))) &gt; 0,$B71 &amp; "(" &amp; $E71 &amp; ")",IF(SUMPRODUCT(-- ISNUMBER(SEARCH({"Formula","Roll-Up Summary"}, $B71))) &gt; 0,$B71 &amp; " (" &amp; $E71 &amp; ")",IF(SUMPRODUCT(-- ISNUMBER(SEARCH({"Content","Currency","Number","Percent","Text","URL"}, $B71))) &gt; 0,$B71 &amp; "(" &amp; $C71 &amp; ")",$B71)))), "  ", TRIM(IF($S71 = "YES", "(External ID)", "") &amp; " " &amp; IF(SUMPRODUCT(-- ISNUMBER(SEARCH({"Unique","Unique Case Insensitive"}, $R71))) &gt; 0, "(" &amp; $R71 &amp; ")", ""))))</f>
        <v>na</v>
      </c>
      <c r="E71" s="7" t="s">
        <v>195</v>
      </c>
      <c r="F71" s="7" t="s">
        <v>195</v>
      </c>
      <c r="G71" s="7" t="s">
        <v>195</v>
      </c>
      <c r="H71" s="7" t="s">
        <v>195</v>
      </c>
      <c r="I71" s="7" t="s">
        <v>195</v>
      </c>
      <c r="J71" s="7" t="s">
        <v>195</v>
      </c>
      <c r="K71" s="7" t="s">
        <v>195</v>
      </c>
      <c r="L71" s="7" t="s">
        <v>195</v>
      </c>
      <c r="M71" s="7" t="s">
        <v>29</v>
      </c>
      <c r="N71" s="7" t="s">
        <v>29</v>
      </c>
      <c r="O71" s="7" t="s">
        <v>29</v>
      </c>
      <c r="P71" s="7" t="s">
        <v>29</v>
      </c>
      <c r="Q71" s="7" t="s">
        <v>29</v>
      </c>
      <c r="R71" s="7" t="s">
        <v>29</v>
      </c>
      <c r="S71" s="7" t="s">
        <v>29</v>
      </c>
    </row>
    <row r="72" spans="2:19">
      <c r="B72" s="9" t="s">
        <v>195</v>
      </c>
      <c r="C72" s="7" t="s">
        <v>195</v>
      </c>
      <c r="D72" s="5" t="str">
        <f>LRTRIM(CONCATENATE(IF(SUMPRODUCT(-- ISNUMBER(SEARCH({"Auto Number"}, $B72))) &gt; 0, $B72, IF(SUMPRODUCT(-- ISNUMBER(SEARCH({"Lookup","Master-Detail"}, $B72))) &gt; 0,$B72 &amp; "(" &amp; $E72 &amp; ")",IF(SUMPRODUCT(-- ISNUMBER(SEARCH({"Formula","Roll-Up Summary"}, $B72))) &gt; 0,$B72 &amp; " (" &amp; $E72 &amp; ")",IF(SUMPRODUCT(-- ISNUMBER(SEARCH({"Content","Currency","Number","Percent","Text","URL"}, $B72))) &gt; 0,$B72 &amp; "(" &amp; $C72 &amp; ")",$B72)))), "  ", TRIM(IF($S72 = "YES", "(External ID)", "") &amp; " " &amp; IF(SUMPRODUCT(-- ISNUMBER(SEARCH({"Unique","Unique Case Insensitive"}, $R72))) &gt; 0, "(" &amp; $R72 &amp; ")", ""))))</f>
        <v>na</v>
      </c>
      <c r="E72" s="7" t="s">
        <v>195</v>
      </c>
      <c r="F72" s="7" t="s">
        <v>195</v>
      </c>
      <c r="G72" s="7" t="s">
        <v>195</v>
      </c>
      <c r="H72" s="7" t="s">
        <v>195</v>
      </c>
      <c r="I72" s="7" t="s">
        <v>195</v>
      </c>
      <c r="J72" s="7" t="s">
        <v>195</v>
      </c>
      <c r="K72" s="7" t="s">
        <v>195</v>
      </c>
      <c r="L72" s="7" t="s">
        <v>195</v>
      </c>
      <c r="M72" s="7" t="s">
        <v>29</v>
      </c>
      <c r="N72" s="7" t="s">
        <v>29</v>
      </c>
      <c r="O72" s="7" t="s">
        <v>29</v>
      </c>
      <c r="P72" s="7" t="s">
        <v>29</v>
      </c>
      <c r="Q72" s="7" t="s">
        <v>29</v>
      </c>
      <c r="R72" s="7" t="s">
        <v>29</v>
      </c>
      <c r="S72" s="7" t="s">
        <v>29</v>
      </c>
    </row>
    <row r="73" spans="2:19">
      <c r="B73" s="9" t="s">
        <v>195</v>
      </c>
      <c r="C73" s="7" t="s">
        <v>195</v>
      </c>
      <c r="D73" s="5" t="str">
        <f>LRTRIM(CONCATENATE(IF(SUMPRODUCT(-- ISNUMBER(SEARCH({"Auto Number"}, $B73))) &gt; 0, $B73, IF(SUMPRODUCT(-- ISNUMBER(SEARCH({"Lookup","Master-Detail"}, $B73))) &gt; 0,$B73 &amp; "(" &amp; $E73 &amp; ")",IF(SUMPRODUCT(-- ISNUMBER(SEARCH({"Formula","Roll-Up Summary"}, $B73))) &gt; 0,$B73 &amp; " (" &amp; $E73 &amp; ")",IF(SUMPRODUCT(-- ISNUMBER(SEARCH({"Content","Currency","Number","Percent","Text","URL"}, $B73))) &gt; 0,$B73 &amp; "(" &amp; $C73 &amp; ")",$B73)))), "  ", TRIM(IF($S73 = "YES", "(External ID)", "") &amp; " " &amp; IF(SUMPRODUCT(-- ISNUMBER(SEARCH({"Unique","Unique Case Insensitive"}, $R73))) &gt; 0, "(" &amp; $R73 &amp; ")", ""))))</f>
        <v>na</v>
      </c>
      <c r="E73" s="7" t="s">
        <v>195</v>
      </c>
      <c r="F73" s="7" t="s">
        <v>195</v>
      </c>
      <c r="G73" s="7" t="s">
        <v>195</v>
      </c>
      <c r="H73" s="7" t="s">
        <v>195</v>
      </c>
      <c r="I73" s="7" t="s">
        <v>195</v>
      </c>
      <c r="J73" s="7" t="s">
        <v>195</v>
      </c>
      <c r="K73" s="7" t="s">
        <v>195</v>
      </c>
      <c r="L73" s="7" t="s">
        <v>195</v>
      </c>
      <c r="M73" s="7" t="s">
        <v>29</v>
      </c>
      <c r="N73" s="7" t="s">
        <v>29</v>
      </c>
      <c r="O73" s="7" t="s">
        <v>29</v>
      </c>
      <c r="P73" s="7" t="s">
        <v>29</v>
      </c>
      <c r="Q73" s="7" t="s">
        <v>29</v>
      </c>
      <c r="R73" s="7" t="s">
        <v>29</v>
      </c>
      <c r="S73" s="7" t="s">
        <v>29</v>
      </c>
    </row>
    <row r="74" spans="2:19">
      <c r="B74" s="9" t="s">
        <v>195</v>
      </c>
      <c r="C74" s="7" t="s">
        <v>195</v>
      </c>
      <c r="D74" s="5" t="str">
        <f>LRTRIM(CONCATENATE(IF(SUMPRODUCT(-- ISNUMBER(SEARCH({"Auto Number"}, $B74))) &gt; 0, $B74, IF(SUMPRODUCT(-- ISNUMBER(SEARCH({"Lookup","Master-Detail"}, $B74))) &gt; 0,$B74 &amp; "(" &amp; $E74 &amp; ")",IF(SUMPRODUCT(-- ISNUMBER(SEARCH({"Formula","Roll-Up Summary"}, $B74))) &gt; 0,$B74 &amp; " (" &amp; $E74 &amp; ")",IF(SUMPRODUCT(-- ISNUMBER(SEARCH({"Content","Currency","Number","Percent","Text","URL"}, $B74))) &gt; 0,$B74 &amp; "(" &amp; $C74 &amp; ")",$B74)))), "  ", TRIM(IF($S74 = "YES", "(External ID)", "") &amp; " " &amp; IF(SUMPRODUCT(-- ISNUMBER(SEARCH({"Unique","Unique Case Insensitive"}, $R74))) &gt; 0, "(" &amp; $R74 &amp; ")", ""))))</f>
        <v>na</v>
      </c>
      <c r="E74" s="7" t="s">
        <v>195</v>
      </c>
      <c r="F74" s="7" t="s">
        <v>195</v>
      </c>
      <c r="G74" s="7" t="s">
        <v>195</v>
      </c>
      <c r="H74" s="7" t="s">
        <v>195</v>
      </c>
      <c r="I74" s="7" t="s">
        <v>195</v>
      </c>
      <c r="J74" s="7" t="s">
        <v>195</v>
      </c>
      <c r="K74" s="7" t="s">
        <v>195</v>
      </c>
      <c r="L74" s="7" t="s">
        <v>195</v>
      </c>
      <c r="M74" s="7" t="s">
        <v>29</v>
      </c>
      <c r="N74" s="7" t="s">
        <v>29</v>
      </c>
      <c r="O74" s="7" t="s">
        <v>29</v>
      </c>
      <c r="P74" s="7" t="s">
        <v>29</v>
      </c>
      <c r="Q74" s="7" t="s">
        <v>29</v>
      </c>
      <c r="R74" s="7" t="s">
        <v>29</v>
      </c>
      <c r="S74" s="7" t="s">
        <v>29</v>
      </c>
    </row>
    <row r="75" spans="2:19">
      <c r="B75" s="9" t="s">
        <v>195</v>
      </c>
      <c r="C75" s="7" t="s">
        <v>195</v>
      </c>
      <c r="D75" s="5" t="str">
        <f>LRTRIM(CONCATENATE(IF(SUMPRODUCT(-- ISNUMBER(SEARCH({"Auto Number"}, $B75))) &gt; 0, $B75, IF(SUMPRODUCT(-- ISNUMBER(SEARCH({"Lookup","Master-Detail"}, $B75))) &gt; 0,$B75 &amp; "(" &amp; $E75 &amp; ")",IF(SUMPRODUCT(-- ISNUMBER(SEARCH({"Formula","Roll-Up Summary"}, $B75))) &gt; 0,$B75 &amp; " (" &amp; $E75 &amp; ")",IF(SUMPRODUCT(-- ISNUMBER(SEARCH({"Content","Currency","Number","Percent","Text","URL"}, $B75))) &gt; 0,$B75 &amp; "(" &amp; $C75 &amp; ")",$B75)))), "  ", TRIM(IF($S75 = "YES", "(External ID)", "") &amp; " " &amp; IF(SUMPRODUCT(-- ISNUMBER(SEARCH({"Unique","Unique Case Insensitive"}, $R75))) &gt; 0, "(" &amp; $R75 &amp; ")", ""))))</f>
        <v>na</v>
      </c>
      <c r="E75" s="7" t="s">
        <v>195</v>
      </c>
      <c r="F75" s="7" t="s">
        <v>195</v>
      </c>
      <c r="G75" s="7" t="s">
        <v>195</v>
      </c>
      <c r="H75" s="7" t="s">
        <v>195</v>
      </c>
      <c r="I75" s="7" t="s">
        <v>195</v>
      </c>
      <c r="J75" s="7" t="s">
        <v>195</v>
      </c>
      <c r="K75" s="7" t="s">
        <v>195</v>
      </c>
      <c r="L75" s="7" t="s">
        <v>195</v>
      </c>
      <c r="M75" s="7" t="s">
        <v>29</v>
      </c>
      <c r="N75" s="7" t="s">
        <v>29</v>
      </c>
      <c r="O75" s="7" t="s">
        <v>29</v>
      </c>
      <c r="P75" s="7" t="s">
        <v>29</v>
      </c>
      <c r="Q75" s="7" t="s">
        <v>29</v>
      </c>
      <c r="R75" s="7" t="s">
        <v>29</v>
      </c>
      <c r="S75" s="7" t="s">
        <v>29</v>
      </c>
    </row>
    <row r="76" spans="2:19">
      <c r="B76" s="9" t="s">
        <v>195</v>
      </c>
      <c r="C76" s="7" t="s">
        <v>195</v>
      </c>
      <c r="D76" s="5" t="str">
        <f>LRTRIM(CONCATENATE(IF(SUMPRODUCT(-- ISNUMBER(SEARCH({"Auto Number"}, $B76))) &gt; 0, $B76, IF(SUMPRODUCT(-- ISNUMBER(SEARCH({"Lookup","Master-Detail"}, $B76))) &gt; 0,$B76 &amp; "(" &amp; $E76 &amp; ")",IF(SUMPRODUCT(-- ISNUMBER(SEARCH({"Formula","Roll-Up Summary"}, $B76))) &gt; 0,$B76 &amp; " (" &amp; $E76 &amp; ")",IF(SUMPRODUCT(-- ISNUMBER(SEARCH({"Content","Currency","Number","Percent","Text","URL"}, $B76))) &gt; 0,$B76 &amp; "(" &amp; $C76 &amp; ")",$B76)))), "  ", TRIM(IF($S76 = "YES", "(External ID)", "") &amp; " " &amp; IF(SUMPRODUCT(-- ISNUMBER(SEARCH({"Unique","Unique Case Insensitive"}, $R76))) &gt; 0, "(" &amp; $R76 &amp; ")", ""))))</f>
        <v>na</v>
      </c>
      <c r="E76" s="7" t="s">
        <v>195</v>
      </c>
      <c r="F76" s="7" t="s">
        <v>195</v>
      </c>
      <c r="G76" s="7" t="s">
        <v>195</v>
      </c>
      <c r="H76" s="7" t="s">
        <v>195</v>
      </c>
      <c r="I76" s="7" t="s">
        <v>195</v>
      </c>
      <c r="J76" s="7" t="s">
        <v>195</v>
      </c>
      <c r="K76" s="7" t="s">
        <v>195</v>
      </c>
      <c r="L76" s="7" t="s">
        <v>195</v>
      </c>
      <c r="M76" s="7" t="s">
        <v>29</v>
      </c>
      <c r="N76" s="7" t="s">
        <v>29</v>
      </c>
      <c r="O76" s="7" t="s">
        <v>29</v>
      </c>
      <c r="P76" s="7" t="s">
        <v>29</v>
      </c>
      <c r="Q76" s="7" t="s">
        <v>29</v>
      </c>
      <c r="R76" s="7" t="s">
        <v>29</v>
      </c>
      <c r="S76" s="7" t="s">
        <v>29</v>
      </c>
    </row>
    <row r="77" spans="2:19">
      <c r="B77" s="9" t="s">
        <v>195</v>
      </c>
      <c r="C77" s="7" t="s">
        <v>195</v>
      </c>
      <c r="D77" s="5" t="str">
        <f>LRTRIM(CONCATENATE(IF(SUMPRODUCT(-- ISNUMBER(SEARCH({"Auto Number"}, $B77))) &gt; 0, $B77, IF(SUMPRODUCT(-- ISNUMBER(SEARCH({"Lookup","Master-Detail"}, $B77))) &gt; 0,$B77 &amp; "(" &amp; $E77 &amp; ")",IF(SUMPRODUCT(-- ISNUMBER(SEARCH({"Formula","Roll-Up Summary"}, $B77))) &gt; 0,$B77 &amp; " (" &amp; $E77 &amp; ")",IF(SUMPRODUCT(-- ISNUMBER(SEARCH({"Content","Currency","Number","Percent","Text","URL"}, $B77))) &gt; 0,$B77 &amp; "(" &amp; $C77 &amp; ")",$B77)))), "  ", TRIM(IF($S77 = "YES", "(External ID)", "") &amp; " " &amp; IF(SUMPRODUCT(-- ISNUMBER(SEARCH({"Unique","Unique Case Insensitive"}, $R77))) &gt; 0, "(" &amp; $R77 &amp; ")", ""))))</f>
        <v>na</v>
      </c>
      <c r="E77" s="7" t="s">
        <v>195</v>
      </c>
      <c r="F77" s="7" t="s">
        <v>195</v>
      </c>
      <c r="G77" s="7" t="s">
        <v>195</v>
      </c>
      <c r="H77" s="7" t="s">
        <v>195</v>
      </c>
      <c r="I77" s="7" t="s">
        <v>195</v>
      </c>
      <c r="J77" s="7" t="s">
        <v>195</v>
      </c>
      <c r="K77" s="7" t="s">
        <v>195</v>
      </c>
      <c r="L77" s="7" t="s">
        <v>195</v>
      </c>
      <c r="M77" s="7" t="s">
        <v>29</v>
      </c>
      <c r="N77" s="7" t="s">
        <v>29</v>
      </c>
      <c r="O77" s="7" t="s">
        <v>29</v>
      </c>
      <c r="P77" s="7" t="s">
        <v>29</v>
      </c>
      <c r="Q77" s="7" t="s">
        <v>29</v>
      </c>
      <c r="R77" s="7" t="s">
        <v>29</v>
      </c>
      <c r="S77" s="7" t="s">
        <v>29</v>
      </c>
    </row>
    <row r="78" spans="2:19">
      <c r="B78" s="9" t="s">
        <v>195</v>
      </c>
      <c r="C78" s="7" t="s">
        <v>195</v>
      </c>
      <c r="D78" s="5" t="str">
        <f>LRTRIM(CONCATENATE(IF(SUMPRODUCT(-- ISNUMBER(SEARCH({"Auto Number"}, $B78))) &gt; 0, $B78, IF(SUMPRODUCT(-- ISNUMBER(SEARCH({"Lookup","Master-Detail"}, $B78))) &gt; 0,$B78 &amp; "(" &amp; $E78 &amp; ")",IF(SUMPRODUCT(-- ISNUMBER(SEARCH({"Formula","Roll-Up Summary"}, $B78))) &gt; 0,$B78 &amp; " (" &amp; $E78 &amp; ")",IF(SUMPRODUCT(-- ISNUMBER(SEARCH({"Content","Currency","Number","Percent","Text","URL"}, $B78))) &gt; 0,$B78 &amp; "(" &amp; $C78 &amp; ")",$B78)))), "  ", TRIM(IF($S78 = "YES", "(External ID)", "") &amp; " " &amp; IF(SUMPRODUCT(-- ISNUMBER(SEARCH({"Unique","Unique Case Insensitive"}, $R78))) &gt; 0, "(" &amp; $R78 &amp; ")", ""))))</f>
        <v>na</v>
      </c>
      <c r="E78" s="7" t="s">
        <v>195</v>
      </c>
      <c r="F78" s="7" t="s">
        <v>195</v>
      </c>
      <c r="G78" s="7" t="s">
        <v>195</v>
      </c>
      <c r="H78" s="7" t="s">
        <v>195</v>
      </c>
      <c r="I78" s="7" t="s">
        <v>195</v>
      </c>
      <c r="J78" s="7" t="s">
        <v>195</v>
      </c>
      <c r="K78" s="7" t="s">
        <v>195</v>
      </c>
      <c r="L78" s="7" t="s">
        <v>195</v>
      </c>
      <c r="M78" s="7" t="s">
        <v>29</v>
      </c>
      <c r="N78" s="7" t="s">
        <v>29</v>
      </c>
      <c r="O78" s="7" t="s">
        <v>29</v>
      </c>
      <c r="P78" s="7" t="s">
        <v>29</v>
      </c>
      <c r="Q78" s="7" t="s">
        <v>29</v>
      </c>
      <c r="R78" s="7" t="s">
        <v>29</v>
      </c>
      <c r="S78" s="7" t="s">
        <v>29</v>
      </c>
    </row>
    <row r="79" spans="2:19">
      <c r="B79" s="9" t="s">
        <v>195</v>
      </c>
      <c r="C79" s="7" t="s">
        <v>195</v>
      </c>
      <c r="D79" s="5" t="str">
        <f>LRTRIM(CONCATENATE(IF(SUMPRODUCT(-- ISNUMBER(SEARCH({"Auto Number"}, $B79))) &gt; 0, $B79, IF(SUMPRODUCT(-- ISNUMBER(SEARCH({"Lookup","Master-Detail"}, $B79))) &gt; 0,$B79 &amp; "(" &amp; $E79 &amp; ")",IF(SUMPRODUCT(-- ISNUMBER(SEARCH({"Formula","Roll-Up Summary"}, $B79))) &gt; 0,$B79 &amp; " (" &amp; $E79 &amp; ")",IF(SUMPRODUCT(-- ISNUMBER(SEARCH({"Content","Currency","Number","Percent","Text","URL"}, $B79))) &gt; 0,$B79 &amp; "(" &amp; $C79 &amp; ")",$B79)))), "  ", TRIM(IF($S79 = "YES", "(External ID)", "") &amp; " " &amp; IF(SUMPRODUCT(-- ISNUMBER(SEARCH({"Unique","Unique Case Insensitive"}, $R79))) &gt; 0, "(" &amp; $R79 &amp; ")", ""))))</f>
        <v>na</v>
      </c>
      <c r="E79" s="7" t="s">
        <v>195</v>
      </c>
      <c r="F79" s="7" t="s">
        <v>195</v>
      </c>
      <c r="G79" s="7" t="s">
        <v>195</v>
      </c>
      <c r="H79" s="7" t="s">
        <v>195</v>
      </c>
      <c r="I79" s="7" t="s">
        <v>195</v>
      </c>
      <c r="J79" s="7" t="s">
        <v>195</v>
      </c>
      <c r="K79" s="7" t="s">
        <v>195</v>
      </c>
      <c r="L79" s="7" t="s">
        <v>195</v>
      </c>
      <c r="M79" s="7" t="s">
        <v>29</v>
      </c>
      <c r="N79" s="7" t="s">
        <v>29</v>
      </c>
      <c r="O79" s="7" t="s">
        <v>29</v>
      </c>
      <c r="P79" s="7" t="s">
        <v>29</v>
      </c>
      <c r="Q79" s="7" t="s">
        <v>29</v>
      </c>
      <c r="R79" s="7" t="s">
        <v>29</v>
      </c>
      <c r="S79" s="7" t="s">
        <v>29</v>
      </c>
    </row>
    <row r="80" spans="2:19">
      <c r="B80" s="9" t="s">
        <v>195</v>
      </c>
      <c r="C80" s="7" t="s">
        <v>195</v>
      </c>
      <c r="D80" s="5" t="str">
        <f>LRTRIM(CONCATENATE(IF(SUMPRODUCT(-- ISNUMBER(SEARCH({"Auto Number"}, $B80))) &gt; 0, $B80, IF(SUMPRODUCT(-- ISNUMBER(SEARCH({"Lookup","Master-Detail"}, $B80))) &gt; 0,$B80 &amp; "(" &amp; $E80 &amp; ")",IF(SUMPRODUCT(-- ISNUMBER(SEARCH({"Formula","Roll-Up Summary"}, $B80))) &gt; 0,$B80 &amp; " (" &amp; $E80 &amp; ")",IF(SUMPRODUCT(-- ISNUMBER(SEARCH({"Content","Currency","Number","Percent","Text","URL"}, $B80))) &gt; 0,$B80 &amp; "(" &amp; $C80 &amp; ")",$B80)))), "  ", TRIM(IF($S80 = "YES", "(External ID)", "") &amp; " " &amp; IF(SUMPRODUCT(-- ISNUMBER(SEARCH({"Unique","Unique Case Insensitive"}, $R80))) &gt; 0, "(" &amp; $R80 &amp; ")", ""))))</f>
        <v>na</v>
      </c>
      <c r="E80" s="7" t="s">
        <v>195</v>
      </c>
      <c r="F80" s="7" t="s">
        <v>195</v>
      </c>
      <c r="G80" s="7" t="s">
        <v>195</v>
      </c>
      <c r="H80" s="7" t="s">
        <v>195</v>
      </c>
      <c r="I80" s="7" t="s">
        <v>195</v>
      </c>
      <c r="J80" s="7" t="s">
        <v>195</v>
      </c>
      <c r="K80" s="7" t="s">
        <v>195</v>
      </c>
      <c r="L80" s="7" t="s">
        <v>195</v>
      </c>
      <c r="M80" s="7" t="s">
        <v>29</v>
      </c>
      <c r="N80" s="7" t="s">
        <v>29</v>
      </c>
      <c r="O80" s="7" t="s">
        <v>29</v>
      </c>
      <c r="P80" s="7" t="s">
        <v>29</v>
      </c>
      <c r="Q80" s="7" t="s">
        <v>29</v>
      </c>
      <c r="R80" s="7" t="s">
        <v>29</v>
      </c>
      <c r="S80" s="7" t="s">
        <v>29</v>
      </c>
    </row>
    <row r="81" spans="2:19">
      <c r="B81" s="9" t="s">
        <v>195</v>
      </c>
      <c r="C81" s="7" t="s">
        <v>195</v>
      </c>
      <c r="D81" s="5" t="str">
        <f>LRTRIM(CONCATENATE(IF(SUMPRODUCT(-- ISNUMBER(SEARCH({"Auto Number"}, $B81))) &gt; 0, $B81, IF(SUMPRODUCT(-- ISNUMBER(SEARCH({"Lookup","Master-Detail"}, $B81))) &gt; 0,$B81 &amp; "(" &amp; $E81 &amp; ")",IF(SUMPRODUCT(-- ISNUMBER(SEARCH({"Formula","Roll-Up Summary"}, $B81))) &gt; 0,$B81 &amp; " (" &amp; $E81 &amp; ")",IF(SUMPRODUCT(-- ISNUMBER(SEARCH({"Content","Currency","Number","Percent","Text","URL"}, $B81))) &gt; 0,$B81 &amp; "(" &amp; $C81 &amp; ")",$B81)))), "  ", TRIM(IF($S81 = "YES", "(External ID)", "") &amp; " " &amp; IF(SUMPRODUCT(-- ISNUMBER(SEARCH({"Unique","Unique Case Insensitive"}, $R81))) &gt; 0, "(" &amp; $R81 &amp; ")", ""))))</f>
        <v>na</v>
      </c>
      <c r="E81" s="7" t="s">
        <v>195</v>
      </c>
      <c r="F81" s="7" t="s">
        <v>195</v>
      </c>
      <c r="G81" s="7" t="s">
        <v>195</v>
      </c>
      <c r="H81" s="7" t="s">
        <v>195</v>
      </c>
      <c r="I81" s="7" t="s">
        <v>195</v>
      </c>
      <c r="J81" s="7" t="s">
        <v>195</v>
      </c>
      <c r="K81" s="7" t="s">
        <v>195</v>
      </c>
      <c r="L81" s="7" t="s">
        <v>195</v>
      </c>
      <c r="M81" s="7" t="s">
        <v>29</v>
      </c>
      <c r="N81" s="7" t="s">
        <v>29</v>
      </c>
      <c r="O81" s="7" t="s">
        <v>29</v>
      </c>
      <c r="P81" s="7" t="s">
        <v>29</v>
      </c>
      <c r="Q81" s="7" t="s">
        <v>29</v>
      </c>
      <c r="R81" s="7" t="s">
        <v>29</v>
      </c>
      <c r="S81" s="7" t="s">
        <v>29</v>
      </c>
    </row>
    <row r="82" spans="2:19">
      <c r="B82" s="9" t="s">
        <v>195</v>
      </c>
      <c r="C82" s="7" t="s">
        <v>195</v>
      </c>
      <c r="D82" s="5" t="str">
        <f>LRTRIM(CONCATENATE(IF(SUMPRODUCT(-- ISNUMBER(SEARCH({"Auto Number"}, $B82))) &gt; 0, $B82, IF(SUMPRODUCT(-- ISNUMBER(SEARCH({"Lookup","Master-Detail"}, $B82))) &gt; 0,$B82 &amp; "(" &amp; $E82 &amp; ")",IF(SUMPRODUCT(-- ISNUMBER(SEARCH({"Formula","Roll-Up Summary"}, $B82))) &gt; 0,$B82 &amp; " (" &amp; $E82 &amp; ")",IF(SUMPRODUCT(-- ISNUMBER(SEARCH({"Content","Currency","Number","Percent","Text","URL"}, $B82))) &gt; 0,$B82 &amp; "(" &amp; $C82 &amp; ")",$B82)))), "  ", TRIM(IF($S82 = "YES", "(External ID)", "") &amp; " " &amp; IF(SUMPRODUCT(-- ISNUMBER(SEARCH({"Unique","Unique Case Insensitive"}, $R82))) &gt; 0, "(" &amp; $R82 &amp; ")", ""))))</f>
        <v>na</v>
      </c>
      <c r="E82" s="7" t="s">
        <v>195</v>
      </c>
      <c r="F82" s="7" t="s">
        <v>195</v>
      </c>
      <c r="G82" s="7" t="s">
        <v>195</v>
      </c>
      <c r="H82" s="7" t="s">
        <v>195</v>
      </c>
      <c r="I82" s="7" t="s">
        <v>195</v>
      </c>
      <c r="J82" s="7" t="s">
        <v>195</v>
      </c>
      <c r="K82" s="7" t="s">
        <v>195</v>
      </c>
      <c r="L82" s="7" t="s">
        <v>195</v>
      </c>
      <c r="M82" s="7" t="s">
        <v>29</v>
      </c>
      <c r="N82" s="7" t="s">
        <v>29</v>
      </c>
      <c r="O82" s="7" t="s">
        <v>29</v>
      </c>
      <c r="P82" s="7" t="s">
        <v>29</v>
      </c>
      <c r="Q82" s="7" t="s">
        <v>29</v>
      </c>
      <c r="R82" s="7" t="s">
        <v>29</v>
      </c>
      <c r="S82" s="7" t="s">
        <v>29</v>
      </c>
    </row>
    <row r="83" spans="2:19">
      <c r="B83" s="9" t="s">
        <v>195</v>
      </c>
      <c r="C83" s="7" t="s">
        <v>195</v>
      </c>
      <c r="D83" s="5" t="str">
        <f>LRTRIM(CONCATENATE(IF(SUMPRODUCT(-- ISNUMBER(SEARCH({"Auto Number"}, $B83))) &gt; 0, $B83, IF(SUMPRODUCT(-- ISNUMBER(SEARCH({"Lookup","Master-Detail"}, $B83))) &gt; 0,$B83 &amp; "(" &amp; $E83 &amp; ")",IF(SUMPRODUCT(-- ISNUMBER(SEARCH({"Formula","Roll-Up Summary"}, $B83))) &gt; 0,$B83 &amp; " (" &amp; $E83 &amp; ")",IF(SUMPRODUCT(-- ISNUMBER(SEARCH({"Content","Currency","Number","Percent","Text","URL"}, $B83))) &gt; 0,$B83 &amp; "(" &amp; $C83 &amp; ")",$B83)))), "  ", TRIM(IF($S83 = "YES", "(External ID)", "") &amp; " " &amp; IF(SUMPRODUCT(-- ISNUMBER(SEARCH({"Unique","Unique Case Insensitive"}, $R83))) &gt; 0, "(" &amp; $R83 &amp; ")", ""))))</f>
        <v>na</v>
      </c>
      <c r="E83" s="7" t="s">
        <v>195</v>
      </c>
      <c r="F83" s="7" t="s">
        <v>195</v>
      </c>
      <c r="G83" s="7" t="s">
        <v>195</v>
      </c>
      <c r="H83" s="7" t="s">
        <v>195</v>
      </c>
      <c r="I83" s="7" t="s">
        <v>195</v>
      </c>
      <c r="J83" s="7" t="s">
        <v>195</v>
      </c>
      <c r="K83" s="7" t="s">
        <v>195</v>
      </c>
      <c r="L83" s="7" t="s">
        <v>195</v>
      </c>
      <c r="M83" s="7" t="s">
        <v>29</v>
      </c>
      <c r="N83" s="7" t="s">
        <v>29</v>
      </c>
      <c r="O83" s="7" t="s">
        <v>29</v>
      </c>
      <c r="P83" s="7" t="s">
        <v>29</v>
      </c>
      <c r="Q83" s="7" t="s">
        <v>29</v>
      </c>
      <c r="R83" s="7" t="s">
        <v>29</v>
      </c>
      <c r="S83" s="7" t="s">
        <v>29</v>
      </c>
    </row>
    <row r="84" spans="2:19">
      <c r="B84" s="9" t="s">
        <v>195</v>
      </c>
      <c r="C84" s="7" t="s">
        <v>195</v>
      </c>
      <c r="D84" s="5" t="str">
        <f>LRTRIM(CONCATENATE(IF(SUMPRODUCT(-- ISNUMBER(SEARCH({"Auto Number"}, $B84))) &gt; 0, $B84, IF(SUMPRODUCT(-- ISNUMBER(SEARCH({"Lookup","Master-Detail"}, $B84))) &gt; 0,$B84 &amp; "(" &amp; $E84 &amp; ")",IF(SUMPRODUCT(-- ISNUMBER(SEARCH({"Formula","Roll-Up Summary"}, $B84))) &gt; 0,$B84 &amp; " (" &amp; $E84 &amp; ")",IF(SUMPRODUCT(-- ISNUMBER(SEARCH({"Content","Currency","Number","Percent","Text","URL"}, $B84))) &gt; 0,$B84 &amp; "(" &amp; $C84 &amp; ")",$B84)))), "  ", TRIM(IF($S84 = "YES", "(External ID)", "") &amp; " " &amp; IF(SUMPRODUCT(-- ISNUMBER(SEARCH({"Unique","Unique Case Insensitive"}, $R84))) &gt; 0, "(" &amp; $R84 &amp; ")", ""))))</f>
        <v>na</v>
      </c>
      <c r="E84" s="7" t="s">
        <v>195</v>
      </c>
      <c r="F84" s="7" t="s">
        <v>195</v>
      </c>
      <c r="G84" s="7" t="s">
        <v>195</v>
      </c>
      <c r="H84" s="7" t="s">
        <v>195</v>
      </c>
      <c r="I84" s="7" t="s">
        <v>195</v>
      </c>
      <c r="J84" s="7" t="s">
        <v>195</v>
      </c>
      <c r="K84" s="7" t="s">
        <v>195</v>
      </c>
      <c r="L84" s="7" t="s">
        <v>195</v>
      </c>
      <c r="M84" s="7" t="s">
        <v>29</v>
      </c>
      <c r="N84" s="7" t="s">
        <v>29</v>
      </c>
      <c r="O84" s="7" t="s">
        <v>29</v>
      </c>
      <c r="P84" s="7" t="s">
        <v>29</v>
      </c>
      <c r="Q84" s="7" t="s">
        <v>29</v>
      </c>
      <c r="R84" s="7" t="s">
        <v>29</v>
      </c>
      <c r="S84" s="7" t="s">
        <v>29</v>
      </c>
    </row>
    <row r="85" spans="2:19">
      <c r="B85" s="9" t="s">
        <v>195</v>
      </c>
      <c r="C85" s="7" t="s">
        <v>195</v>
      </c>
      <c r="D85" s="5" t="str">
        <f>LRTRIM(CONCATENATE(IF(SUMPRODUCT(-- ISNUMBER(SEARCH({"Auto Number"}, $B85))) &gt; 0, $B85, IF(SUMPRODUCT(-- ISNUMBER(SEARCH({"Lookup","Master-Detail"}, $B85))) &gt; 0,$B85 &amp; "(" &amp; $E85 &amp; ")",IF(SUMPRODUCT(-- ISNUMBER(SEARCH({"Formula","Roll-Up Summary"}, $B85))) &gt; 0,$B85 &amp; " (" &amp; $E85 &amp; ")",IF(SUMPRODUCT(-- ISNUMBER(SEARCH({"Content","Currency","Number","Percent","Text","URL"}, $B85))) &gt; 0,$B85 &amp; "(" &amp; $C85 &amp; ")",$B85)))), "  ", TRIM(IF($S85 = "YES", "(External ID)", "") &amp; " " &amp; IF(SUMPRODUCT(-- ISNUMBER(SEARCH({"Unique","Unique Case Insensitive"}, $R85))) &gt; 0, "(" &amp; $R85 &amp; ")", ""))))</f>
        <v>na</v>
      </c>
      <c r="E85" s="7" t="s">
        <v>195</v>
      </c>
      <c r="F85" s="7" t="s">
        <v>195</v>
      </c>
      <c r="G85" s="7" t="s">
        <v>195</v>
      </c>
      <c r="H85" s="7" t="s">
        <v>195</v>
      </c>
      <c r="I85" s="7" t="s">
        <v>195</v>
      </c>
      <c r="J85" s="7" t="s">
        <v>195</v>
      </c>
      <c r="K85" s="7" t="s">
        <v>195</v>
      </c>
      <c r="L85" s="7" t="s">
        <v>195</v>
      </c>
      <c r="M85" s="7" t="s">
        <v>29</v>
      </c>
      <c r="N85" s="7" t="s">
        <v>29</v>
      </c>
      <c r="O85" s="7" t="s">
        <v>29</v>
      </c>
      <c r="P85" s="7" t="s">
        <v>29</v>
      </c>
      <c r="Q85" s="7" t="s">
        <v>29</v>
      </c>
      <c r="R85" s="7" t="s">
        <v>29</v>
      </c>
      <c r="S85" s="7" t="s">
        <v>29</v>
      </c>
    </row>
    <row r="86" spans="2:19">
      <c r="B86" s="9" t="s">
        <v>195</v>
      </c>
      <c r="C86" s="7" t="s">
        <v>195</v>
      </c>
      <c r="D86" s="5" t="str">
        <f>LRTRIM(CONCATENATE(IF(SUMPRODUCT(-- ISNUMBER(SEARCH({"Auto Number"}, $B86))) &gt; 0, $B86, IF(SUMPRODUCT(-- ISNUMBER(SEARCH({"Lookup","Master-Detail"}, $B86))) &gt; 0,$B86 &amp; "(" &amp; $E86 &amp; ")",IF(SUMPRODUCT(-- ISNUMBER(SEARCH({"Formula","Roll-Up Summary"}, $B86))) &gt; 0,$B86 &amp; " (" &amp; $E86 &amp; ")",IF(SUMPRODUCT(-- ISNUMBER(SEARCH({"Content","Currency","Number","Percent","Text","URL"}, $B86))) &gt; 0,$B86 &amp; "(" &amp; $C86 &amp; ")",$B86)))), "  ", TRIM(IF($S86 = "YES", "(External ID)", "") &amp; " " &amp; IF(SUMPRODUCT(-- ISNUMBER(SEARCH({"Unique","Unique Case Insensitive"}, $R86))) &gt; 0, "(" &amp; $R86 &amp; ")", ""))))</f>
        <v>na</v>
      </c>
      <c r="E86" s="7" t="s">
        <v>195</v>
      </c>
      <c r="F86" s="7" t="s">
        <v>195</v>
      </c>
      <c r="G86" s="7" t="s">
        <v>195</v>
      </c>
      <c r="H86" s="7" t="s">
        <v>195</v>
      </c>
      <c r="I86" s="7" t="s">
        <v>195</v>
      </c>
      <c r="J86" s="7" t="s">
        <v>195</v>
      </c>
      <c r="K86" s="7" t="s">
        <v>195</v>
      </c>
      <c r="L86" s="7" t="s">
        <v>195</v>
      </c>
      <c r="M86" s="7" t="s">
        <v>29</v>
      </c>
      <c r="N86" s="7" t="s">
        <v>29</v>
      </c>
      <c r="O86" s="7" t="s">
        <v>29</v>
      </c>
      <c r="P86" s="7" t="s">
        <v>29</v>
      </c>
      <c r="Q86" s="7" t="s">
        <v>29</v>
      </c>
      <c r="R86" s="7" t="s">
        <v>29</v>
      </c>
      <c r="S86" s="7" t="s">
        <v>29</v>
      </c>
    </row>
    <row r="87" spans="2:19">
      <c r="B87" s="9" t="s">
        <v>195</v>
      </c>
      <c r="C87" s="7" t="s">
        <v>195</v>
      </c>
      <c r="D87" s="5" t="str">
        <f>LRTRIM(CONCATENATE(IF(SUMPRODUCT(-- ISNUMBER(SEARCH({"Auto Number"}, $B87))) &gt; 0, $B87, IF(SUMPRODUCT(-- ISNUMBER(SEARCH({"Lookup","Master-Detail"}, $B87))) &gt; 0,$B87 &amp; "(" &amp; $E87 &amp; ")",IF(SUMPRODUCT(-- ISNUMBER(SEARCH({"Formula","Roll-Up Summary"}, $B87))) &gt; 0,$B87 &amp; " (" &amp; $E87 &amp; ")",IF(SUMPRODUCT(-- ISNUMBER(SEARCH({"Content","Currency","Number","Percent","Text","URL"}, $B87))) &gt; 0,$B87 &amp; "(" &amp; $C87 &amp; ")",$B87)))), "  ", TRIM(IF($S87 = "YES", "(External ID)", "") &amp; " " &amp; IF(SUMPRODUCT(-- ISNUMBER(SEARCH({"Unique","Unique Case Insensitive"}, $R87))) &gt; 0, "(" &amp; $R87 &amp; ")", ""))))</f>
        <v>na</v>
      </c>
      <c r="E87" s="7" t="s">
        <v>195</v>
      </c>
      <c r="F87" s="7" t="s">
        <v>195</v>
      </c>
      <c r="G87" s="7" t="s">
        <v>195</v>
      </c>
      <c r="H87" s="7" t="s">
        <v>195</v>
      </c>
      <c r="I87" s="7" t="s">
        <v>195</v>
      </c>
      <c r="J87" s="7" t="s">
        <v>195</v>
      </c>
      <c r="K87" s="7" t="s">
        <v>195</v>
      </c>
      <c r="L87" s="7" t="s">
        <v>195</v>
      </c>
      <c r="M87" s="7" t="s">
        <v>29</v>
      </c>
      <c r="N87" s="7" t="s">
        <v>29</v>
      </c>
      <c r="O87" s="7" t="s">
        <v>29</v>
      </c>
      <c r="P87" s="7" t="s">
        <v>29</v>
      </c>
      <c r="Q87" s="7" t="s">
        <v>29</v>
      </c>
      <c r="R87" s="7" t="s">
        <v>29</v>
      </c>
      <c r="S87" s="7" t="s">
        <v>29</v>
      </c>
    </row>
    <row r="88" spans="2:19">
      <c r="B88" s="9" t="s">
        <v>195</v>
      </c>
      <c r="C88" s="7" t="s">
        <v>195</v>
      </c>
      <c r="D88" s="5" t="str">
        <f>LRTRIM(CONCATENATE(IF(SUMPRODUCT(-- ISNUMBER(SEARCH({"Auto Number"}, $B88))) &gt; 0, $B88, IF(SUMPRODUCT(-- ISNUMBER(SEARCH({"Lookup","Master-Detail"}, $B88))) &gt; 0,$B88 &amp; "(" &amp; $E88 &amp; ")",IF(SUMPRODUCT(-- ISNUMBER(SEARCH({"Formula","Roll-Up Summary"}, $B88))) &gt; 0,$B88 &amp; " (" &amp; $E88 &amp; ")",IF(SUMPRODUCT(-- ISNUMBER(SEARCH({"Content","Currency","Number","Percent","Text","URL"}, $B88))) &gt; 0,$B88 &amp; "(" &amp; $C88 &amp; ")",$B88)))), "  ", TRIM(IF($S88 = "YES", "(External ID)", "") &amp; " " &amp; IF(SUMPRODUCT(-- ISNUMBER(SEARCH({"Unique","Unique Case Insensitive"}, $R88))) &gt; 0, "(" &amp; $R88 &amp; ")", ""))))</f>
        <v>na</v>
      </c>
      <c r="E88" s="7" t="s">
        <v>195</v>
      </c>
      <c r="F88" s="7" t="s">
        <v>195</v>
      </c>
      <c r="G88" s="7" t="s">
        <v>195</v>
      </c>
      <c r="H88" s="7" t="s">
        <v>195</v>
      </c>
      <c r="I88" s="7" t="s">
        <v>195</v>
      </c>
      <c r="J88" s="7" t="s">
        <v>195</v>
      </c>
      <c r="K88" s="7" t="s">
        <v>195</v>
      </c>
      <c r="L88" s="7" t="s">
        <v>195</v>
      </c>
      <c r="M88" s="7" t="s">
        <v>29</v>
      </c>
      <c r="N88" s="7" t="s">
        <v>29</v>
      </c>
      <c r="O88" s="7" t="s">
        <v>29</v>
      </c>
      <c r="P88" s="7" t="s">
        <v>29</v>
      </c>
      <c r="Q88" s="7" t="s">
        <v>29</v>
      </c>
      <c r="R88" s="7" t="s">
        <v>29</v>
      </c>
      <c r="S88" s="7" t="s">
        <v>29</v>
      </c>
    </row>
    <row r="89" spans="2:19">
      <c r="B89" s="9" t="s">
        <v>195</v>
      </c>
      <c r="C89" s="7" t="s">
        <v>195</v>
      </c>
      <c r="D89" s="5" t="str">
        <f>LRTRIM(CONCATENATE(IF(SUMPRODUCT(-- ISNUMBER(SEARCH({"Auto Number"}, $B89))) &gt; 0, $B89, IF(SUMPRODUCT(-- ISNUMBER(SEARCH({"Lookup","Master-Detail"}, $B89))) &gt; 0,$B89 &amp; "(" &amp; $E89 &amp; ")",IF(SUMPRODUCT(-- ISNUMBER(SEARCH({"Formula","Roll-Up Summary"}, $B89))) &gt; 0,$B89 &amp; " (" &amp; $E89 &amp; ")",IF(SUMPRODUCT(-- ISNUMBER(SEARCH({"Content","Currency","Number","Percent","Text","URL"}, $B89))) &gt; 0,$B89 &amp; "(" &amp; $C89 &amp; ")",$B89)))), "  ", TRIM(IF($S89 = "YES", "(External ID)", "") &amp; " " &amp; IF(SUMPRODUCT(-- ISNUMBER(SEARCH({"Unique","Unique Case Insensitive"}, $R89))) &gt; 0, "(" &amp; $R89 &amp; ")", ""))))</f>
        <v>na</v>
      </c>
      <c r="E89" s="7" t="s">
        <v>195</v>
      </c>
      <c r="F89" s="7" t="s">
        <v>195</v>
      </c>
      <c r="G89" s="7" t="s">
        <v>195</v>
      </c>
      <c r="H89" s="7" t="s">
        <v>195</v>
      </c>
      <c r="I89" s="7" t="s">
        <v>195</v>
      </c>
      <c r="J89" s="7" t="s">
        <v>195</v>
      </c>
      <c r="K89" s="7" t="s">
        <v>195</v>
      </c>
      <c r="L89" s="7" t="s">
        <v>195</v>
      </c>
      <c r="M89" s="7" t="s">
        <v>29</v>
      </c>
      <c r="N89" s="7" t="s">
        <v>29</v>
      </c>
      <c r="O89" s="7" t="s">
        <v>29</v>
      </c>
      <c r="P89" s="7" t="s">
        <v>29</v>
      </c>
      <c r="Q89" s="7" t="s">
        <v>29</v>
      </c>
      <c r="R89" s="7" t="s">
        <v>29</v>
      </c>
      <c r="S89" s="7" t="s">
        <v>29</v>
      </c>
    </row>
    <row r="90" spans="2:19">
      <c r="B90" s="9" t="s">
        <v>195</v>
      </c>
      <c r="C90" s="7" t="s">
        <v>195</v>
      </c>
      <c r="D90" s="5" t="str">
        <f>LRTRIM(CONCATENATE(IF(SUMPRODUCT(-- ISNUMBER(SEARCH({"Auto Number"}, $B90))) &gt; 0, $B90, IF(SUMPRODUCT(-- ISNUMBER(SEARCH({"Lookup","Master-Detail"}, $B90))) &gt; 0,$B90 &amp; "(" &amp; $E90 &amp; ")",IF(SUMPRODUCT(-- ISNUMBER(SEARCH({"Formula","Roll-Up Summary"}, $B90))) &gt; 0,$B90 &amp; " (" &amp; $E90 &amp; ")",IF(SUMPRODUCT(-- ISNUMBER(SEARCH({"Content","Currency","Number","Percent","Text","URL"}, $B90))) &gt; 0,$B90 &amp; "(" &amp; $C90 &amp; ")",$B90)))), "  ", TRIM(IF($S90 = "YES", "(External ID)", "") &amp; " " &amp; IF(SUMPRODUCT(-- ISNUMBER(SEARCH({"Unique","Unique Case Insensitive"}, $R90))) &gt; 0, "(" &amp; $R90 &amp; ")", ""))))</f>
        <v>na</v>
      </c>
      <c r="E90" s="7" t="s">
        <v>195</v>
      </c>
      <c r="F90" s="7" t="s">
        <v>195</v>
      </c>
      <c r="G90" s="7" t="s">
        <v>195</v>
      </c>
      <c r="H90" s="7" t="s">
        <v>195</v>
      </c>
      <c r="I90" s="7" t="s">
        <v>195</v>
      </c>
      <c r="J90" s="7" t="s">
        <v>195</v>
      </c>
      <c r="K90" s="7" t="s">
        <v>195</v>
      </c>
      <c r="L90" s="7" t="s">
        <v>195</v>
      </c>
      <c r="M90" s="7" t="s">
        <v>29</v>
      </c>
      <c r="N90" s="7" t="s">
        <v>29</v>
      </c>
      <c r="O90" s="7" t="s">
        <v>29</v>
      </c>
      <c r="P90" s="7" t="s">
        <v>29</v>
      </c>
      <c r="Q90" s="7" t="s">
        <v>29</v>
      </c>
      <c r="R90" s="7" t="s">
        <v>29</v>
      </c>
      <c r="S90" s="7" t="s">
        <v>29</v>
      </c>
    </row>
    <row r="91" spans="2:19">
      <c r="B91" s="9" t="s">
        <v>195</v>
      </c>
      <c r="C91" s="7" t="s">
        <v>195</v>
      </c>
      <c r="D91" s="5" t="str">
        <f>LRTRIM(CONCATENATE(IF(SUMPRODUCT(-- ISNUMBER(SEARCH({"Auto Number"}, $B91))) &gt; 0, $B91, IF(SUMPRODUCT(-- ISNUMBER(SEARCH({"Lookup","Master-Detail"}, $B91))) &gt; 0,$B91 &amp; "(" &amp; $E91 &amp; ")",IF(SUMPRODUCT(-- ISNUMBER(SEARCH({"Formula","Roll-Up Summary"}, $B91))) &gt; 0,$B91 &amp; " (" &amp; $E91 &amp; ")",IF(SUMPRODUCT(-- ISNUMBER(SEARCH({"Content","Currency","Number","Percent","Text","URL"}, $B91))) &gt; 0,$B91 &amp; "(" &amp; $C91 &amp; ")",$B91)))), "  ", TRIM(IF($S91 = "YES", "(External ID)", "") &amp; " " &amp; IF(SUMPRODUCT(-- ISNUMBER(SEARCH({"Unique","Unique Case Insensitive"}, $R91))) &gt; 0, "(" &amp; $R91 &amp; ")", ""))))</f>
        <v>na</v>
      </c>
      <c r="E91" s="7" t="s">
        <v>195</v>
      </c>
      <c r="F91" s="7" t="s">
        <v>195</v>
      </c>
      <c r="G91" s="7" t="s">
        <v>195</v>
      </c>
      <c r="H91" s="7" t="s">
        <v>195</v>
      </c>
      <c r="I91" s="7" t="s">
        <v>195</v>
      </c>
      <c r="J91" s="7" t="s">
        <v>195</v>
      </c>
      <c r="K91" s="7" t="s">
        <v>195</v>
      </c>
      <c r="L91" s="7" t="s">
        <v>195</v>
      </c>
      <c r="M91" s="7" t="s">
        <v>29</v>
      </c>
      <c r="N91" s="7" t="s">
        <v>29</v>
      </c>
      <c r="O91" s="7" t="s">
        <v>29</v>
      </c>
      <c r="P91" s="7" t="s">
        <v>29</v>
      </c>
      <c r="Q91" s="7" t="s">
        <v>29</v>
      </c>
      <c r="R91" s="7" t="s">
        <v>29</v>
      </c>
      <c r="S91" s="7" t="s">
        <v>29</v>
      </c>
    </row>
    <row r="92" spans="2:19">
      <c r="B92" s="9" t="s">
        <v>195</v>
      </c>
      <c r="C92" s="7" t="s">
        <v>195</v>
      </c>
      <c r="D92" s="5" t="str">
        <f>LRTRIM(CONCATENATE(IF(SUMPRODUCT(-- ISNUMBER(SEARCH({"Auto Number"}, $B92))) &gt; 0, $B92, IF(SUMPRODUCT(-- ISNUMBER(SEARCH({"Lookup","Master-Detail"}, $B92))) &gt; 0,$B92 &amp; "(" &amp; $E92 &amp; ")",IF(SUMPRODUCT(-- ISNUMBER(SEARCH({"Formula","Roll-Up Summary"}, $B92))) &gt; 0,$B92 &amp; " (" &amp; $E92 &amp; ")",IF(SUMPRODUCT(-- ISNUMBER(SEARCH({"Content","Currency","Number","Percent","Text","URL"}, $B92))) &gt; 0,$B92 &amp; "(" &amp; $C92 &amp; ")",$B92)))), "  ", TRIM(IF($S92 = "YES", "(External ID)", "") &amp; " " &amp; IF(SUMPRODUCT(-- ISNUMBER(SEARCH({"Unique","Unique Case Insensitive"}, $R92))) &gt; 0, "(" &amp; $R92 &amp; ")", ""))))</f>
        <v>na</v>
      </c>
      <c r="E92" s="7" t="s">
        <v>195</v>
      </c>
      <c r="F92" s="7" t="s">
        <v>195</v>
      </c>
      <c r="G92" s="7" t="s">
        <v>195</v>
      </c>
      <c r="H92" s="7" t="s">
        <v>195</v>
      </c>
      <c r="I92" s="7" t="s">
        <v>195</v>
      </c>
      <c r="J92" s="7" t="s">
        <v>195</v>
      </c>
      <c r="K92" s="7" t="s">
        <v>195</v>
      </c>
      <c r="L92" s="7" t="s">
        <v>195</v>
      </c>
      <c r="M92" s="7" t="s">
        <v>29</v>
      </c>
      <c r="N92" s="7" t="s">
        <v>29</v>
      </c>
      <c r="O92" s="7" t="s">
        <v>29</v>
      </c>
      <c r="P92" s="7" t="s">
        <v>29</v>
      </c>
      <c r="Q92" s="7" t="s">
        <v>29</v>
      </c>
      <c r="R92" s="7" t="s">
        <v>29</v>
      </c>
      <c r="S92" s="7" t="s">
        <v>29</v>
      </c>
    </row>
    <row r="93" spans="2:19">
      <c r="B93" s="9" t="s">
        <v>195</v>
      </c>
      <c r="C93" s="7" t="s">
        <v>195</v>
      </c>
      <c r="D93" s="5" t="str">
        <f>LRTRIM(CONCATENATE(IF(SUMPRODUCT(-- ISNUMBER(SEARCH({"Auto Number"}, $B93))) &gt; 0, $B93, IF(SUMPRODUCT(-- ISNUMBER(SEARCH({"Lookup","Master-Detail"}, $B93))) &gt; 0,$B93 &amp; "(" &amp; $E93 &amp; ")",IF(SUMPRODUCT(-- ISNUMBER(SEARCH({"Formula","Roll-Up Summary"}, $B93))) &gt; 0,$B93 &amp; " (" &amp; $E93 &amp; ")",IF(SUMPRODUCT(-- ISNUMBER(SEARCH({"Content","Currency","Number","Percent","Text","URL"}, $B93))) &gt; 0,$B93 &amp; "(" &amp; $C93 &amp; ")",$B93)))), "  ", TRIM(IF($S93 = "YES", "(External ID)", "") &amp; " " &amp; IF(SUMPRODUCT(-- ISNUMBER(SEARCH({"Unique","Unique Case Insensitive"}, $R93))) &gt; 0, "(" &amp; $R93 &amp; ")", ""))))</f>
        <v>na</v>
      </c>
      <c r="E93" s="7" t="s">
        <v>195</v>
      </c>
      <c r="F93" s="7" t="s">
        <v>195</v>
      </c>
      <c r="G93" s="7" t="s">
        <v>195</v>
      </c>
      <c r="H93" s="7" t="s">
        <v>195</v>
      </c>
      <c r="I93" s="7" t="s">
        <v>195</v>
      </c>
      <c r="J93" s="7" t="s">
        <v>195</v>
      </c>
      <c r="K93" s="7" t="s">
        <v>195</v>
      </c>
      <c r="L93" s="7" t="s">
        <v>195</v>
      </c>
      <c r="M93" s="7" t="s">
        <v>29</v>
      </c>
      <c r="N93" s="7" t="s">
        <v>29</v>
      </c>
      <c r="O93" s="7" t="s">
        <v>29</v>
      </c>
      <c r="P93" s="7" t="s">
        <v>29</v>
      </c>
      <c r="Q93" s="7" t="s">
        <v>29</v>
      </c>
      <c r="R93" s="7" t="s">
        <v>29</v>
      </c>
      <c r="S93" s="7" t="s">
        <v>29</v>
      </c>
    </row>
    <row r="94" spans="2:19">
      <c r="B94" s="9" t="s">
        <v>195</v>
      </c>
      <c r="C94" s="7" t="s">
        <v>195</v>
      </c>
      <c r="D94" s="5" t="str">
        <f>LRTRIM(CONCATENATE(IF(SUMPRODUCT(-- ISNUMBER(SEARCH({"Auto Number"}, $B94))) &gt; 0, $B94, IF(SUMPRODUCT(-- ISNUMBER(SEARCH({"Lookup","Master-Detail"}, $B94))) &gt; 0,$B94 &amp; "(" &amp; $E94 &amp; ")",IF(SUMPRODUCT(-- ISNUMBER(SEARCH({"Formula","Roll-Up Summary"}, $B94))) &gt; 0,$B94 &amp; " (" &amp; $E94 &amp; ")",IF(SUMPRODUCT(-- ISNUMBER(SEARCH({"Content","Currency","Number","Percent","Text","URL"}, $B94))) &gt; 0,$B94 &amp; "(" &amp; $C94 &amp; ")",$B94)))), "  ", TRIM(IF($S94 = "YES", "(External ID)", "") &amp; " " &amp; IF(SUMPRODUCT(-- ISNUMBER(SEARCH({"Unique","Unique Case Insensitive"}, $R94))) &gt; 0, "(" &amp; $R94 &amp; ")", ""))))</f>
        <v>na</v>
      </c>
      <c r="E94" s="7" t="s">
        <v>195</v>
      </c>
      <c r="F94" s="7" t="s">
        <v>195</v>
      </c>
      <c r="G94" s="7" t="s">
        <v>195</v>
      </c>
      <c r="H94" s="7" t="s">
        <v>195</v>
      </c>
      <c r="I94" s="7" t="s">
        <v>195</v>
      </c>
      <c r="J94" s="7" t="s">
        <v>195</v>
      </c>
      <c r="K94" s="7" t="s">
        <v>195</v>
      </c>
      <c r="L94" s="7" t="s">
        <v>195</v>
      </c>
      <c r="M94" s="7" t="s">
        <v>29</v>
      </c>
      <c r="N94" s="7" t="s">
        <v>29</v>
      </c>
      <c r="O94" s="7" t="s">
        <v>29</v>
      </c>
      <c r="P94" s="7" t="s">
        <v>29</v>
      </c>
      <c r="Q94" s="7" t="s">
        <v>29</v>
      </c>
      <c r="R94" s="7" t="s">
        <v>29</v>
      </c>
      <c r="S94" s="7" t="s">
        <v>29</v>
      </c>
    </row>
    <row r="95" spans="2:19">
      <c r="B95" s="9" t="s">
        <v>195</v>
      </c>
      <c r="C95" s="7" t="s">
        <v>195</v>
      </c>
      <c r="D95" s="5" t="str">
        <f>LRTRIM(CONCATENATE(IF(SUMPRODUCT(-- ISNUMBER(SEARCH({"Auto Number"}, $B95))) &gt; 0, $B95, IF(SUMPRODUCT(-- ISNUMBER(SEARCH({"Lookup","Master-Detail"}, $B95))) &gt; 0,$B95 &amp; "(" &amp; $E95 &amp; ")",IF(SUMPRODUCT(-- ISNUMBER(SEARCH({"Formula","Roll-Up Summary"}, $B95))) &gt; 0,$B95 &amp; " (" &amp; $E95 &amp; ")",IF(SUMPRODUCT(-- ISNUMBER(SEARCH({"Content","Currency","Number","Percent","Text","URL"}, $B95))) &gt; 0,$B95 &amp; "(" &amp; $C95 &amp; ")",$B95)))), "  ", TRIM(IF($S95 = "YES", "(External ID)", "") &amp; " " &amp; IF(SUMPRODUCT(-- ISNUMBER(SEARCH({"Unique","Unique Case Insensitive"}, $R95))) &gt; 0, "(" &amp; $R95 &amp; ")", ""))))</f>
        <v>na</v>
      </c>
      <c r="E95" s="7" t="s">
        <v>195</v>
      </c>
      <c r="F95" s="7" t="s">
        <v>195</v>
      </c>
      <c r="G95" s="7" t="s">
        <v>195</v>
      </c>
      <c r="H95" s="7" t="s">
        <v>195</v>
      </c>
      <c r="I95" s="7" t="s">
        <v>195</v>
      </c>
      <c r="J95" s="7" t="s">
        <v>195</v>
      </c>
      <c r="K95" s="7" t="s">
        <v>195</v>
      </c>
      <c r="L95" s="7" t="s">
        <v>195</v>
      </c>
      <c r="M95" s="7" t="s">
        <v>29</v>
      </c>
      <c r="N95" s="7" t="s">
        <v>29</v>
      </c>
      <c r="O95" s="7" t="s">
        <v>29</v>
      </c>
      <c r="P95" s="7" t="s">
        <v>29</v>
      </c>
      <c r="Q95" s="7" t="s">
        <v>29</v>
      </c>
      <c r="R95" s="7" t="s">
        <v>29</v>
      </c>
      <c r="S95" s="7" t="s">
        <v>29</v>
      </c>
    </row>
    <row r="96" spans="2:19">
      <c r="B96" s="9" t="s">
        <v>195</v>
      </c>
      <c r="C96" s="7" t="s">
        <v>195</v>
      </c>
      <c r="D96" s="5" t="str">
        <f>LRTRIM(CONCATENATE(IF(SUMPRODUCT(-- ISNUMBER(SEARCH({"Auto Number"}, $B96))) &gt; 0, $B96, IF(SUMPRODUCT(-- ISNUMBER(SEARCH({"Lookup","Master-Detail"}, $B96))) &gt; 0,$B96 &amp; "(" &amp; $E96 &amp; ")",IF(SUMPRODUCT(-- ISNUMBER(SEARCH({"Formula","Roll-Up Summary"}, $B96))) &gt; 0,$B96 &amp; " (" &amp; $E96 &amp; ")",IF(SUMPRODUCT(-- ISNUMBER(SEARCH({"Content","Currency","Number","Percent","Text","URL"}, $B96))) &gt; 0,$B96 &amp; "(" &amp; $C96 &amp; ")",$B96)))), "  ", TRIM(IF($S96 = "YES", "(External ID)", "") &amp; " " &amp; IF(SUMPRODUCT(-- ISNUMBER(SEARCH({"Unique","Unique Case Insensitive"}, $R96))) &gt; 0, "(" &amp; $R96 &amp; ")", ""))))</f>
        <v>na</v>
      </c>
      <c r="E96" s="7" t="s">
        <v>195</v>
      </c>
      <c r="F96" s="7" t="s">
        <v>195</v>
      </c>
      <c r="G96" s="7" t="s">
        <v>195</v>
      </c>
      <c r="H96" s="7" t="s">
        <v>195</v>
      </c>
      <c r="I96" s="7" t="s">
        <v>195</v>
      </c>
      <c r="J96" s="7" t="s">
        <v>195</v>
      </c>
      <c r="K96" s="7" t="s">
        <v>195</v>
      </c>
      <c r="L96" s="7" t="s">
        <v>195</v>
      </c>
      <c r="M96" s="7" t="s">
        <v>29</v>
      </c>
      <c r="N96" s="7" t="s">
        <v>29</v>
      </c>
      <c r="O96" s="7" t="s">
        <v>29</v>
      </c>
      <c r="P96" s="7" t="s">
        <v>29</v>
      </c>
      <c r="Q96" s="7" t="s">
        <v>29</v>
      </c>
      <c r="R96" s="7" t="s">
        <v>29</v>
      </c>
      <c r="S96" s="7" t="s">
        <v>29</v>
      </c>
    </row>
    <row r="97" spans="2:19">
      <c r="B97" s="9" t="s">
        <v>195</v>
      </c>
      <c r="C97" s="7" t="s">
        <v>195</v>
      </c>
      <c r="D97" s="5" t="str">
        <f>LRTRIM(CONCATENATE(IF(SUMPRODUCT(-- ISNUMBER(SEARCH({"Auto Number"}, $B97))) &gt; 0, $B97, IF(SUMPRODUCT(-- ISNUMBER(SEARCH({"Lookup","Master-Detail"}, $B97))) &gt; 0,$B97 &amp; "(" &amp; $E97 &amp; ")",IF(SUMPRODUCT(-- ISNUMBER(SEARCH({"Formula","Roll-Up Summary"}, $B97))) &gt; 0,$B97 &amp; " (" &amp; $E97 &amp; ")",IF(SUMPRODUCT(-- ISNUMBER(SEARCH({"Content","Currency","Number","Percent","Text","URL"}, $B97))) &gt; 0,$B97 &amp; "(" &amp; $C97 &amp; ")",$B97)))), "  ", TRIM(IF($S97 = "YES", "(External ID)", "") &amp; " " &amp; IF(SUMPRODUCT(-- ISNUMBER(SEARCH({"Unique","Unique Case Insensitive"}, $R97))) &gt; 0, "(" &amp; $R97 &amp; ")", ""))))</f>
        <v>na</v>
      </c>
      <c r="E97" s="7" t="s">
        <v>195</v>
      </c>
      <c r="F97" s="7" t="s">
        <v>195</v>
      </c>
      <c r="G97" s="7" t="s">
        <v>195</v>
      </c>
      <c r="H97" s="7" t="s">
        <v>195</v>
      </c>
      <c r="I97" s="7" t="s">
        <v>195</v>
      </c>
      <c r="J97" s="7" t="s">
        <v>195</v>
      </c>
      <c r="K97" s="7" t="s">
        <v>195</v>
      </c>
      <c r="L97" s="7" t="s">
        <v>195</v>
      </c>
      <c r="M97" s="7" t="s">
        <v>29</v>
      </c>
      <c r="N97" s="7" t="s">
        <v>29</v>
      </c>
      <c r="O97" s="7" t="s">
        <v>29</v>
      </c>
      <c r="P97" s="7" t="s">
        <v>29</v>
      </c>
      <c r="Q97" s="7" t="s">
        <v>29</v>
      </c>
      <c r="R97" s="7" t="s">
        <v>29</v>
      </c>
      <c r="S97" s="7" t="s">
        <v>29</v>
      </c>
    </row>
    <row r="98" spans="2:19">
      <c r="B98" s="9" t="s">
        <v>195</v>
      </c>
      <c r="C98" s="7" t="s">
        <v>195</v>
      </c>
      <c r="D98" s="5" t="str">
        <f>LRTRIM(CONCATENATE(IF(SUMPRODUCT(-- ISNUMBER(SEARCH({"Auto Number"}, $B98))) &gt; 0, $B98, IF(SUMPRODUCT(-- ISNUMBER(SEARCH({"Lookup","Master-Detail"}, $B98))) &gt; 0,$B98 &amp; "(" &amp; $E98 &amp; ")",IF(SUMPRODUCT(-- ISNUMBER(SEARCH({"Formula","Roll-Up Summary"}, $B98))) &gt; 0,$B98 &amp; " (" &amp; $E98 &amp; ")",IF(SUMPRODUCT(-- ISNUMBER(SEARCH({"Content","Currency","Number","Percent","Text","URL"}, $B98))) &gt; 0,$B98 &amp; "(" &amp; $C98 &amp; ")",$B98)))), "  ", TRIM(IF($S98 = "YES", "(External ID)", "") &amp; " " &amp; IF(SUMPRODUCT(-- ISNUMBER(SEARCH({"Unique","Unique Case Insensitive"}, $R98))) &gt; 0, "(" &amp; $R98 &amp; ")", ""))))</f>
        <v>na</v>
      </c>
      <c r="E98" s="7" t="s">
        <v>195</v>
      </c>
      <c r="F98" s="7" t="s">
        <v>195</v>
      </c>
      <c r="G98" s="7" t="s">
        <v>195</v>
      </c>
      <c r="H98" s="7" t="s">
        <v>195</v>
      </c>
      <c r="I98" s="7" t="s">
        <v>195</v>
      </c>
      <c r="J98" s="7" t="s">
        <v>195</v>
      </c>
      <c r="K98" s="7" t="s">
        <v>195</v>
      </c>
      <c r="L98" s="7" t="s">
        <v>195</v>
      </c>
      <c r="M98" s="7" t="s">
        <v>29</v>
      </c>
      <c r="N98" s="7" t="s">
        <v>29</v>
      </c>
      <c r="O98" s="7" t="s">
        <v>29</v>
      </c>
      <c r="P98" s="7" t="s">
        <v>29</v>
      </c>
      <c r="Q98" s="7" t="s">
        <v>29</v>
      </c>
      <c r="R98" s="7" t="s">
        <v>29</v>
      </c>
      <c r="S98" s="7" t="s">
        <v>29</v>
      </c>
    </row>
    <row r="99" spans="2:19">
      <c r="B99" s="9" t="s">
        <v>195</v>
      </c>
      <c r="C99" s="7" t="s">
        <v>195</v>
      </c>
      <c r="D99" s="5" t="str">
        <f>LRTRIM(CONCATENATE(IF(SUMPRODUCT(-- ISNUMBER(SEARCH({"Auto Number"}, $B99))) &gt; 0, $B99, IF(SUMPRODUCT(-- ISNUMBER(SEARCH({"Lookup","Master-Detail"}, $B99))) &gt; 0,$B99 &amp; "(" &amp; $E99 &amp; ")",IF(SUMPRODUCT(-- ISNUMBER(SEARCH({"Formula","Roll-Up Summary"}, $B99))) &gt; 0,$B99 &amp; " (" &amp; $E99 &amp; ")",IF(SUMPRODUCT(-- ISNUMBER(SEARCH({"Content","Currency","Number","Percent","Text","URL"}, $B99))) &gt; 0,$B99 &amp; "(" &amp; $C99 &amp; ")",$B99)))), "  ", TRIM(IF($S99 = "YES", "(External ID)", "") &amp; " " &amp; IF(SUMPRODUCT(-- ISNUMBER(SEARCH({"Unique","Unique Case Insensitive"}, $R99))) &gt; 0, "(" &amp; $R99 &amp; ")", ""))))</f>
        <v>na</v>
      </c>
      <c r="E99" s="7" t="s">
        <v>195</v>
      </c>
      <c r="F99" s="7" t="s">
        <v>195</v>
      </c>
      <c r="G99" s="7" t="s">
        <v>195</v>
      </c>
      <c r="H99" s="7" t="s">
        <v>195</v>
      </c>
      <c r="I99" s="7" t="s">
        <v>195</v>
      </c>
      <c r="J99" s="7" t="s">
        <v>195</v>
      </c>
      <c r="K99" s="7" t="s">
        <v>195</v>
      </c>
      <c r="L99" s="7" t="s">
        <v>195</v>
      </c>
      <c r="M99" s="7" t="s">
        <v>29</v>
      </c>
      <c r="N99" s="7" t="s">
        <v>29</v>
      </c>
      <c r="O99" s="7" t="s">
        <v>29</v>
      </c>
      <c r="P99" s="7" t="s">
        <v>29</v>
      </c>
      <c r="Q99" s="7" t="s">
        <v>29</v>
      </c>
      <c r="R99" s="7" t="s">
        <v>29</v>
      </c>
      <c r="S99" s="7" t="s">
        <v>29</v>
      </c>
    </row>
    <row r="100" spans="2:19">
      <c r="B100" s="9" t="s">
        <v>195</v>
      </c>
      <c r="C100" s="7" t="s">
        <v>195</v>
      </c>
      <c r="D100" s="5" t="str">
        <f>LRTRIM(CONCATENATE(IF(SUMPRODUCT(-- ISNUMBER(SEARCH({"Auto Number"}, $B100))) &gt; 0, $B100, IF(SUMPRODUCT(-- ISNUMBER(SEARCH({"Lookup","Master-Detail"}, $B100))) &gt; 0,$B100 &amp; "(" &amp; $E100 &amp; ")",IF(SUMPRODUCT(-- ISNUMBER(SEARCH({"Formula","Roll-Up Summary"}, $B100))) &gt; 0,$B100 &amp; " (" &amp; $E100 &amp; ")",IF(SUMPRODUCT(-- ISNUMBER(SEARCH({"Content","Currency","Number","Percent","Text","URL"}, $B100))) &gt; 0,$B100 &amp; "(" &amp; $C100 &amp; ")",$B100)))), "  ", TRIM(IF($S100 = "YES", "(External ID)", "") &amp; " " &amp; IF(SUMPRODUCT(-- ISNUMBER(SEARCH({"Unique","Unique Case Insensitive"}, $R100))) &gt; 0, "(" &amp; $R100 &amp; ")", ""))))</f>
        <v>na</v>
      </c>
      <c r="E100" s="7" t="s">
        <v>195</v>
      </c>
      <c r="F100" s="7" t="s">
        <v>195</v>
      </c>
      <c r="G100" s="7" t="s">
        <v>195</v>
      </c>
      <c r="H100" s="7" t="s">
        <v>195</v>
      </c>
      <c r="I100" s="7" t="s">
        <v>195</v>
      </c>
      <c r="J100" s="7" t="s">
        <v>195</v>
      </c>
      <c r="K100" s="7" t="s">
        <v>195</v>
      </c>
      <c r="L100" s="7" t="s">
        <v>195</v>
      </c>
      <c r="M100" s="7" t="s">
        <v>29</v>
      </c>
      <c r="N100" s="7" t="s">
        <v>29</v>
      </c>
      <c r="O100" s="7" t="s">
        <v>29</v>
      </c>
      <c r="P100" s="7" t="s">
        <v>29</v>
      </c>
      <c r="Q100" s="7" t="s">
        <v>29</v>
      </c>
      <c r="R100" s="7" t="s">
        <v>29</v>
      </c>
      <c r="S100" s="7" t="s">
        <v>29</v>
      </c>
    </row>
    <row r="101" spans="2:19">
      <c r="B101" s="9" t="s">
        <v>195</v>
      </c>
      <c r="C101" s="7" t="s">
        <v>195</v>
      </c>
      <c r="D101" s="5" t="str">
        <f>LRTRIM(CONCATENATE(IF(SUMPRODUCT(-- ISNUMBER(SEARCH({"Auto Number"}, $B101))) &gt; 0, $B101, IF(SUMPRODUCT(-- ISNUMBER(SEARCH({"Lookup","Master-Detail"}, $B101))) &gt; 0,$B101 &amp; "(" &amp; $E101 &amp; ")",IF(SUMPRODUCT(-- ISNUMBER(SEARCH({"Formula","Roll-Up Summary"}, $B101))) &gt; 0,$B101 &amp; " (" &amp; $E101 &amp; ")",IF(SUMPRODUCT(-- ISNUMBER(SEARCH({"Content","Currency","Number","Percent","Text","URL"}, $B101))) &gt; 0,$B101 &amp; "(" &amp; $C101 &amp; ")",$B101)))), "  ", TRIM(IF($S101 = "YES", "(External ID)", "") &amp; " " &amp; IF(SUMPRODUCT(-- ISNUMBER(SEARCH({"Unique","Unique Case Insensitive"}, $R101))) &gt; 0, "(" &amp; $R101 &amp; ")", ""))))</f>
        <v>na</v>
      </c>
      <c r="E101" s="7" t="s">
        <v>195</v>
      </c>
      <c r="F101" s="7" t="s">
        <v>195</v>
      </c>
      <c r="G101" s="7" t="s">
        <v>195</v>
      </c>
      <c r="H101" s="7" t="s">
        <v>195</v>
      </c>
      <c r="I101" s="7" t="s">
        <v>195</v>
      </c>
      <c r="J101" s="7" t="s">
        <v>195</v>
      </c>
      <c r="K101" s="7" t="s">
        <v>195</v>
      </c>
      <c r="L101" s="7" t="s">
        <v>195</v>
      </c>
      <c r="M101" s="7" t="s">
        <v>29</v>
      </c>
      <c r="N101" s="7" t="s">
        <v>29</v>
      </c>
      <c r="O101" s="7" t="s">
        <v>29</v>
      </c>
      <c r="P101" s="7" t="s">
        <v>29</v>
      </c>
      <c r="Q101" s="7" t="s">
        <v>29</v>
      </c>
      <c r="R101" s="7" t="s">
        <v>29</v>
      </c>
      <c r="S101" s="7" t="s">
        <v>29</v>
      </c>
    </row>
    <row r="102" spans="2:19">
      <c r="B102" s="9" t="s">
        <v>195</v>
      </c>
      <c r="C102" s="7" t="s">
        <v>195</v>
      </c>
      <c r="D102" s="5" t="str">
        <f>LRTRIM(CONCATENATE(IF(SUMPRODUCT(-- ISNUMBER(SEARCH({"Auto Number"}, $B102))) &gt; 0, $B102, IF(SUMPRODUCT(-- ISNUMBER(SEARCH({"Lookup","Master-Detail"}, $B102))) &gt; 0,$B102 &amp; "(" &amp; $E102 &amp; ")",IF(SUMPRODUCT(-- ISNUMBER(SEARCH({"Formula","Roll-Up Summary"}, $B102))) &gt; 0,$B102 &amp; " (" &amp; $E102 &amp; ")",IF(SUMPRODUCT(-- ISNUMBER(SEARCH({"Content","Currency","Number","Percent","Text","URL"}, $B102))) &gt; 0,$B102 &amp; "(" &amp; $C102 &amp; ")",$B102)))), "  ", TRIM(IF($S102 = "YES", "(External ID)", "") &amp; " " &amp; IF(SUMPRODUCT(-- ISNUMBER(SEARCH({"Unique","Unique Case Insensitive"}, $R102))) &gt; 0, "(" &amp; $R102 &amp; ")", ""))))</f>
        <v>na</v>
      </c>
      <c r="E102" s="7" t="s">
        <v>195</v>
      </c>
      <c r="F102" s="7" t="s">
        <v>195</v>
      </c>
      <c r="G102" s="7" t="s">
        <v>195</v>
      </c>
      <c r="H102" s="7" t="s">
        <v>195</v>
      </c>
      <c r="I102" s="7" t="s">
        <v>195</v>
      </c>
      <c r="J102" s="7" t="s">
        <v>195</v>
      </c>
      <c r="K102" s="7" t="s">
        <v>195</v>
      </c>
      <c r="L102" s="7" t="s">
        <v>195</v>
      </c>
      <c r="M102" s="7" t="s">
        <v>29</v>
      </c>
      <c r="N102" s="7" t="s">
        <v>29</v>
      </c>
      <c r="O102" s="7" t="s">
        <v>29</v>
      </c>
      <c r="P102" s="7" t="s">
        <v>29</v>
      </c>
      <c r="Q102" s="7" t="s">
        <v>29</v>
      </c>
      <c r="R102" s="7" t="s">
        <v>29</v>
      </c>
      <c r="S102" s="7" t="s">
        <v>29</v>
      </c>
    </row>
    <row r="103" spans="2:19">
      <c r="B103" s="9" t="s">
        <v>195</v>
      </c>
      <c r="C103" s="7" t="s">
        <v>195</v>
      </c>
      <c r="D103" s="5" t="str">
        <f>LRTRIM(CONCATENATE(IF(SUMPRODUCT(-- ISNUMBER(SEARCH({"Auto Number"}, $B103))) &gt; 0, $B103, IF(SUMPRODUCT(-- ISNUMBER(SEARCH({"Lookup","Master-Detail"}, $B103))) &gt; 0,$B103 &amp; "(" &amp; $E103 &amp; ")",IF(SUMPRODUCT(-- ISNUMBER(SEARCH({"Formula","Roll-Up Summary"}, $B103))) &gt; 0,$B103 &amp; " (" &amp; $E103 &amp; ")",IF(SUMPRODUCT(-- ISNUMBER(SEARCH({"Content","Currency","Number","Percent","Text","URL"}, $B103))) &gt; 0,$B103 &amp; "(" &amp; $C103 &amp; ")",$B103)))), "  ", TRIM(IF($S103 = "YES", "(External ID)", "") &amp; " " &amp; IF(SUMPRODUCT(-- ISNUMBER(SEARCH({"Unique","Unique Case Insensitive"}, $R103))) &gt; 0, "(" &amp; $R103 &amp; ")", ""))))</f>
        <v>na</v>
      </c>
      <c r="E103" s="7" t="s">
        <v>195</v>
      </c>
      <c r="F103" s="7" t="s">
        <v>195</v>
      </c>
      <c r="G103" s="7" t="s">
        <v>195</v>
      </c>
      <c r="H103" s="7" t="s">
        <v>195</v>
      </c>
      <c r="I103" s="7" t="s">
        <v>195</v>
      </c>
      <c r="J103" s="7" t="s">
        <v>195</v>
      </c>
      <c r="K103" s="7" t="s">
        <v>195</v>
      </c>
      <c r="L103" s="7" t="s">
        <v>195</v>
      </c>
      <c r="M103" s="7" t="s">
        <v>29</v>
      </c>
      <c r="N103" s="7" t="s">
        <v>29</v>
      </c>
      <c r="O103" s="7" t="s">
        <v>29</v>
      </c>
      <c r="P103" s="7" t="s">
        <v>29</v>
      </c>
      <c r="Q103" s="7" t="s">
        <v>29</v>
      </c>
      <c r="R103" s="7" t="s">
        <v>29</v>
      </c>
      <c r="S103" s="7" t="s">
        <v>29</v>
      </c>
    </row>
    <row r="104" spans="2:19">
      <c r="B104" s="9" t="s">
        <v>195</v>
      </c>
      <c r="C104" s="7" t="s">
        <v>195</v>
      </c>
      <c r="D104" s="5" t="str">
        <f>LRTRIM(CONCATENATE(IF(SUMPRODUCT(-- ISNUMBER(SEARCH({"Auto Number"}, $B104))) &gt; 0, $B104, IF(SUMPRODUCT(-- ISNUMBER(SEARCH({"Lookup","Master-Detail"}, $B104))) &gt; 0,$B104 &amp; "(" &amp; $E104 &amp; ")",IF(SUMPRODUCT(-- ISNUMBER(SEARCH({"Formula","Roll-Up Summary"}, $B104))) &gt; 0,$B104 &amp; " (" &amp; $E104 &amp; ")",IF(SUMPRODUCT(-- ISNUMBER(SEARCH({"Content","Currency","Number","Percent","Text","URL"}, $B104))) &gt; 0,$B104 &amp; "(" &amp; $C104 &amp; ")",$B104)))), "  ", TRIM(IF($S104 = "YES", "(External ID)", "") &amp; " " &amp; IF(SUMPRODUCT(-- ISNUMBER(SEARCH({"Unique","Unique Case Insensitive"}, $R104))) &gt; 0, "(" &amp; $R104 &amp; ")", ""))))</f>
        <v>na</v>
      </c>
      <c r="E104" s="7" t="s">
        <v>195</v>
      </c>
      <c r="F104" s="7" t="s">
        <v>195</v>
      </c>
      <c r="G104" s="7" t="s">
        <v>195</v>
      </c>
      <c r="H104" s="7" t="s">
        <v>195</v>
      </c>
      <c r="I104" s="7" t="s">
        <v>195</v>
      </c>
      <c r="J104" s="7" t="s">
        <v>195</v>
      </c>
      <c r="K104" s="7" t="s">
        <v>195</v>
      </c>
      <c r="L104" s="7" t="s">
        <v>195</v>
      </c>
      <c r="M104" s="7" t="s">
        <v>29</v>
      </c>
      <c r="N104" s="7" t="s">
        <v>29</v>
      </c>
      <c r="O104" s="7" t="s">
        <v>29</v>
      </c>
      <c r="P104" s="7" t="s">
        <v>29</v>
      </c>
      <c r="Q104" s="7" t="s">
        <v>29</v>
      </c>
      <c r="R104" s="7" t="s">
        <v>29</v>
      </c>
      <c r="S104" s="7" t="s">
        <v>29</v>
      </c>
    </row>
    <row r="105" spans="2:19">
      <c r="B105" s="9" t="s">
        <v>195</v>
      </c>
      <c r="C105" s="7" t="s">
        <v>195</v>
      </c>
      <c r="D105" s="5" t="str">
        <f>LRTRIM(CONCATENATE(IF(SUMPRODUCT(-- ISNUMBER(SEARCH({"Auto Number"}, $B105))) &gt; 0, $B105, IF(SUMPRODUCT(-- ISNUMBER(SEARCH({"Lookup","Master-Detail"}, $B105))) &gt; 0,$B105 &amp; "(" &amp; $E105 &amp; ")",IF(SUMPRODUCT(-- ISNUMBER(SEARCH({"Formula","Roll-Up Summary"}, $B105))) &gt; 0,$B105 &amp; " (" &amp; $E105 &amp; ")",IF(SUMPRODUCT(-- ISNUMBER(SEARCH({"Content","Currency","Number","Percent","Text","URL"}, $B105))) &gt; 0,$B105 &amp; "(" &amp; $C105 &amp; ")",$B105)))), "  ", TRIM(IF($S105 = "YES", "(External ID)", "") &amp; " " &amp; IF(SUMPRODUCT(-- ISNUMBER(SEARCH({"Unique","Unique Case Insensitive"}, $R105))) &gt; 0, "(" &amp; $R105 &amp; ")", ""))))</f>
        <v>na</v>
      </c>
      <c r="E105" s="7" t="s">
        <v>195</v>
      </c>
      <c r="F105" s="7" t="s">
        <v>195</v>
      </c>
      <c r="G105" s="7" t="s">
        <v>195</v>
      </c>
      <c r="H105" s="7" t="s">
        <v>195</v>
      </c>
      <c r="I105" s="7" t="s">
        <v>195</v>
      </c>
      <c r="J105" s="7" t="s">
        <v>195</v>
      </c>
      <c r="K105" s="7" t="s">
        <v>195</v>
      </c>
      <c r="L105" s="7" t="s">
        <v>195</v>
      </c>
      <c r="M105" s="7" t="s">
        <v>29</v>
      </c>
      <c r="N105" s="7" t="s">
        <v>29</v>
      </c>
      <c r="O105" s="7" t="s">
        <v>29</v>
      </c>
      <c r="P105" s="7" t="s">
        <v>29</v>
      </c>
      <c r="Q105" s="7" t="s">
        <v>29</v>
      </c>
      <c r="R105" s="7" t="s">
        <v>29</v>
      </c>
      <c r="S105" s="7" t="s">
        <v>29</v>
      </c>
    </row>
    <row r="106" spans="2:19">
      <c r="B106" s="9" t="s">
        <v>195</v>
      </c>
      <c r="C106" s="7" t="s">
        <v>195</v>
      </c>
      <c r="D106" s="5" t="str">
        <f>LRTRIM(CONCATENATE(IF(SUMPRODUCT(-- ISNUMBER(SEARCH({"Auto Number"}, $B106))) &gt; 0, $B106, IF(SUMPRODUCT(-- ISNUMBER(SEARCH({"Lookup","Master-Detail"}, $B106))) &gt; 0,$B106 &amp; "(" &amp; $E106 &amp; ")",IF(SUMPRODUCT(-- ISNUMBER(SEARCH({"Formula","Roll-Up Summary"}, $B106))) &gt; 0,$B106 &amp; " (" &amp; $E106 &amp; ")",IF(SUMPRODUCT(-- ISNUMBER(SEARCH({"Content","Currency","Number","Percent","Text","URL"}, $B106))) &gt; 0,$B106 &amp; "(" &amp; $C106 &amp; ")",$B106)))), "  ", TRIM(IF($S106 = "YES", "(External ID)", "") &amp; " " &amp; IF(SUMPRODUCT(-- ISNUMBER(SEARCH({"Unique","Unique Case Insensitive"}, $R106))) &gt; 0, "(" &amp; $R106 &amp; ")", ""))))</f>
        <v>na</v>
      </c>
      <c r="E106" s="7" t="s">
        <v>195</v>
      </c>
      <c r="F106" s="7" t="s">
        <v>195</v>
      </c>
      <c r="G106" s="7" t="s">
        <v>195</v>
      </c>
      <c r="H106" s="7" t="s">
        <v>195</v>
      </c>
      <c r="I106" s="7" t="s">
        <v>195</v>
      </c>
      <c r="J106" s="7" t="s">
        <v>195</v>
      </c>
      <c r="K106" s="7" t="s">
        <v>195</v>
      </c>
      <c r="L106" s="7" t="s">
        <v>195</v>
      </c>
      <c r="M106" s="7" t="s">
        <v>29</v>
      </c>
      <c r="N106" s="7" t="s">
        <v>29</v>
      </c>
      <c r="O106" s="7" t="s">
        <v>29</v>
      </c>
      <c r="P106" s="7" t="s">
        <v>29</v>
      </c>
      <c r="Q106" s="7" t="s">
        <v>29</v>
      </c>
      <c r="R106" s="7" t="s">
        <v>29</v>
      </c>
      <c r="S106" s="7" t="s">
        <v>29</v>
      </c>
    </row>
    <row r="107" spans="2:19">
      <c r="B107" s="9" t="s">
        <v>195</v>
      </c>
      <c r="C107" s="7" t="s">
        <v>195</v>
      </c>
      <c r="D107" s="5" t="str">
        <f>LRTRIM(CONCATENATE(IF(SUMPRODUCT(-- ISNUMBER(SEARCH({"Auto Number"}, $B107))) &gt; 0, $B107, IF(SUMPRODUCT(-- ISNUMBER(SEARCH({"Lookup","Master-Detail"}, $B107))) &gt; 0,$B107 &amp; "(" &amp; $E107 &amp; ")",IF(SUMPRODUCT(-- ISNUMBER(SEARCH({"Formula","Roll-Up Summary"}, $B107))) &gt; 0,$B107 &amp; " (" &amp; $E107 &amp; ")",IF(SUMPRODUCT(-- ISNUMBER(SEARCH({"Content","Currency","Number","Percent","Text","URL"}, $B107))) &gt; 0,$B107 &amp; "(" &amp; $C107 &amp; ")",$B107)))), "  ", TRIM(IF($S107 = "YES", "(External ID)", "") &amp; " " &amp; IF(SUMPRODUCT(-- ISNUMBER(SEARCH({"Unique","Unique Case Insensitive"}, $R107))) &gt; 0, "(" &amp; $R107 &amp; ")", ""))))</f>
        <v>na</v>
      </c>
      <c r="E107" s="7" t="s">
        <v>195</v>
      </c>
      <c r="F107" s="7" t="s">
        <v>195</v>
      </c>
      <c r="G107" s="7" t="s">
        <v>195</v>
      </c>
      <c r="H107" s="7" t="s">
        <v>195</v>
      </c>
      <c r="I107" s="7" t="s">
        <v>195</v>
      </c>
      <c r="J107" s="7" t="s">
        <v>195</v>
      </c>
      <c r="K107" s="7" t="s">
        <v>195</v>
      </c>
      <c r="L107" s="7" t="s">
        <v>195</v>
      </c>
      <c r="M107" s="7" t="s">
        <v>29</v>
      </c>
      <c r="N107" s="7" t="s">
        <v>29</v>
      </c>
      <c r="O107" s="7" t="s">
        <v>29</v>
      </c>
      <c r="P107" s="7" t="s">
        <v>29</v>
      </c>
      <c r="Q107" s="7" t="s">
        <v>29</v>
      </c>
      <c r="R107" s="7" t="s">
        <v>29</v>
      </c>
      <c r="S107" s="7" t="s">
        <v>29</v>
      </c>
    </row>
    <row r="108" spans="2:19">
      <c r="B108" s="9" t="s">
        <v>195</v>
      </c>
      <c r="C108" s="7" t="s">
        <v>195</v>
      </c>
      <c r="D108" s="5" t="str">
        <f>LRTRIM(CONCATENATE(IF(SUMPRODUCT(-- ISNUMBER(SEARCH({"Auto Number"}, $B108))) &gt; 0, $B108, IF(SUMPRODUCT(-- ISNUMBER(SEARCH({"Lookup","Master-Detail"}, $B108))) &gt; 0,$B108 &amp; "(" &amp; $E108 &amp; ")",IF(SUMPRODUCT(-- ISNUMBER(SEARCH({"Formula","Roll-Up Summary"}, $B108))) &gt; 0,$B108 &amp; " (" &amp; $E108 &amp; ")",IF(SUMPRODUCT(-- ISNUMBER(SEARCH({"Content","Currency","Number","Percent","Text","URL"}, $B108))) &gt; 0,$B108 &amp; "(" &amp; $C108 &amp; ")",$B108)))), "  ", TRIM(IF($S108 = "YES", "(External ID)", "") &amp; " " &amp; IF(SUMPRODUCT(-- ISNUMBER(SEARCH({"Unique","Unique Case Insensitive"}, $R108))) &gt; 0, "(" &amp; $R108 &amp; ")", ""))))</f>
        <v>na</v>
      </c>
      <c r="E108" s="7" t="s">
        <v>195</v>
      </c>
      <c r="F108" s="7" t="s">
        <v>195</v>
      </c>
      <c r="G108" s="7" t="s">
        <v>195</v>
      </c>
      <c r="H108" s="7" t="s">
        <v>195</v>
      </c>
      <c r="I108" s="7" t="s">
        <v>195</v>
      </c>
      <c r="J108" s="7" t="s">
        <v>195</v>
      </c>
      <c r="K108" s="7" t="s">
        <v>195</v>
      </c>
      <c r="L108" s="7" t="s">
        <v>195</v>
      </c>
      <c r="M108" s="7" t="s">
        <v>29</v>
      </c>
      <c r="N108" s="7" t="s">
        <v>29</v>
      </c>
      <c r="O108" s="7" t="s">
        <v>29</v>
      </c>
      <c r="P108" s="7" t="s">
        <v>29</v>
      </c>
      <c r="Q108" s="7" t="s">
        <v>29</v>
      </c>
      <c r="R108" s="7" t="s">
        <v>29</v>
      </c>
      <c r="S108" s="7" t="s">
        <v>29</v>
      </c>
    </row>
    <row r="109" spans="2:19">
      <c r="B109" s="9" t="s">
        <v>195</v>
      </c>
      <c r="C109" s="7" t="s">
        <v>195</v>
      </c>
      <c r="D109" s="5" t="str">
        <f>LRTRIM(CONCATENATE(IF(SUMPRODUCT(-- ISNUMBER(SEARCH({"Auto Number"}, $B109))) &gt; 0, $B109, IF(SUMPRODUCT(-- ISNUMBER(SEARCH({"Lookup","Master-Detail"}, $B109))) &gt; 0,$B109 &amp; "(" &amp; $E109 &amp; ")",IF(SUMPRODUCT(-- ISNUMBER(SEARCH({"Formula","Roll-Up Summary"}, $B109))) &gt; 0,$B109 &amp; " (" &amp; $E109 &amp; ")",IF(SUMPRODUCT(-- ISNUMBER(SEARCH({"Content","Currency","Number","Percent","Text","URL"}, $B109))) &gt; 0,$B109 &amp; "(" &amp; $C109 &amp; ")",$B109)))), "  ", TRIM(IF($S109 = "YES", "(External ID)", "") &amp; " " &amp; IF(SUMPRODUCT(-- ISNUMBER(SEARCH({"Unique","Unique Case Insensitive"}, $R109))) &gt; 0, "(" &amp; $R109 &amp; ")", ""))))</f>
        <v>na</v>
      </c>
      <c r="E109" s="7" t="s">
        <v>195</v>
      </c>
      <c r="F109" s="7" t="s">
        <v>195</v>
      </c>
      <c r="G109" s="7" t="s">
        <v>195</v>
      </c>
      <c r="H109" s="7" t="s">
        <v>195</v>
      </c>
      <c r="I109" s="7" t="s">
        <v>195</v>
      </c>
      <c r="J109" s="7" t="s">
        <v>195</v>
      </c>
      <c r="K109" s="7" t="s">
        <v>195</v>
      </c>
      <c r="L109" s="7" t="s">
        <v>195</v>
      </c>
      <c r="M109" s="7" t="s">
        <v>29</v>
      </c>
      <c r="N109" s="7" t="s">
        <v>29</v>
      </c>
      <c r="O109" s="7" t="s">
        <v>29</v>
      </c>
      <c r="P109" s="7" t="s">
        <v>29</v>
      </c>
      <c r="Q109" s="7" t="s">
        <v>29</v>
      </c>
      <c r="R109" s="7" t="s">
        <v>29</v>
      </c>
      <c r="S109" s="7" t="s">
        <v>29</v>
      </c>
    </row>
    <row r="110" spans="2:19">
      <c r="B110" s="9" t="s">
        <v>195</v>
      </c>
      <c r="C110" s="7" t="s">
        <v>195</v>
      </c>
      <c r="D110" s="5" t="str">
        <f>LRTRIM(CONCATENATE(IF(SUMPRODUCT(-- ISNUMBER(SEARCH({"Auto Number"}, $B110))) &gt; 0, $B110, IF(SUMPRODUCT(-- ISNUMBER(SEARCH({"Lookup","Master-Detail"}, $B110))) &gt; 0,$B110 &amp; "(" &amp; $E110 &amp; ")",IF(SUMPRODUCT(-- ISNUMBER(SEARCH({"Formula","Roll-Up Summary"}, $B110))) &gt; 0,$B110 &amp; " (" &amp; $E110 &amp; ")",IF(SUMPRODUCT(-- ISNUMBER(SEARCH({"Content","Currency","Number","Percent","Text","URL"}, $B110))) &gt; 0,$B110 &amp; "(" &amp; $C110 &amp; ")",$B110)))), "  ", TRIM(IF($S110 = "YES", "(External ID)", "") &amp; " " &amp; IF(SUMPRODUCT(-- ISNUMBER(SEARCH({"Unique","Unique Case Insensitive"}, $R110))) &gt; 0, "(" &amp; $R110 &amp; ")", ""))))</f>
        <v>na</v>
      </c>
      <c r="E110" s="7" t="s">
        <v>195</v>
      </c>
      <c r="F110" s="7" t="s">
        <v>195</v>
      </c>
      <c r="G110" s="7" t="s">
        <v>195</v>
      </c>
      <c r="H110" s="7" t="s">
        <v>195</v>
      </c>
      <c r="I110" s="7" t="s">
        <v>195</v>
      </c>
      <c r="J110" s="7" t="s">
        <v>195</v>
      </c>
      <c r="K110" s="7" t="s">
        <v>195</v>
      </c>
      <c r="L110" s="7" t="s">
        <v>195</v>
      </c>
      <c r="M110" s="7" t="s">
        <v>29</v>
      </c>
      <c r="N110" s="7" t="s">
        <v>29</v>
      </c>
      <c r="O110" s="7" t="s">
        <v>29</v>
      </c>
      <c r="P110" s="7" t="s">
        <v>29</v>
      </c>
      <c r="Q110" s="7" t="s">
        <v>29</v>
      </c>
      <c r="R110" s="7" t="s">
        <v>29</v>
      </c>
      <c r="S110" s="7" t="s">
        <v>29</v>
      </c>
    </row>
    <row r="111" spans="2:19">
      <c r="B111" s="9" t="s">
        <v>195</v>
      </c>
      <c r="C111" s="7" t="s">
        <v>195</v>
      </c>
      <c r="D111" s="5" t="str">
        <f>LRTRIM(CONCATENATE(IF(SUMPRODUCT(-- ISNUMBER(SEARCH({"Auto Number"}, $B111))) &gt; 0, $B111, IF(SUMPRODUCT(-- ISNUMBER(SEARCH({"Lookup","Master-Detail"}, $B111))) &gt; 0,$B111 &amp; "(" &amp; $E111 &amp; ")",IF(SUMPRODUCT(-- ISNUMBER(SEARCH({"Formula","Roll-Up Summary"}, $B111))) &gt; 0,$B111 &amp; " (" &amp; $E111 &amp; ")",IF(SUMPRODUCT(-- ISNUMBER(SEARCH({"Content","Currency","Number","Percent","Text","URL"}, $B111))) &gt; 0,$B111 &amp; "(" &amp; $C111 &amp; ")",$B111)))), "  ", TRIM(IF($S111 = "YES", "(External ID)", "") &amp; " " &amp; IF(SUMPRODUCT(-- ISNUMBER(SEARCH({"Unique","Unique Case Insensitive"}, $R111))) &gt; 0, "(" &amp; $R111 &amp; ")", ""))))</f>
        <v>na</v>
      </c>
      <c r="E111" s="7" t="s">
        <v>195</v>
      </c>
      <c r="F111" s="7" t="s">
        <v>195</v>
      </c>
      <c r="G111" s="7" t="s">
        <v>195</v>
      </c>
      <c r="H111" s="7" t="s">
        <v>195</v>
      </c>
      <c r="I111" s="7" t="s">
        <v>195</v>
      </c>
      <c r="J111" s="7" t="s">
        <v>195</v>
      </c>
      <c r="K111" s="7" t="s">
        <v>195</v>
      </c>
      <c r="L111" s="7" t="s">
        <v>195</v>
      </c>
      <c r="M111" s="7" t="s">
        <v>29</v>
      </c>
      <c r="N111" s="7" t="s">
        <v>29</v>
      </c>
      <c r="O111" s="7" t="s">
        <v>29</v>
      </c>
      <c r="P111" s="7" t="s">
        <v>29</v>
      </c>
      <c r="Q111" s="7" t="s">
        <v>29</v>
      </c>
      <c r="R111" s="7" t="s">
        <v>29</v>
      </c>
      <c r="S111" s="7" t="s">
        <v>29</v>
      </c>
    </row>
    <row r="112" spans="2:19">
      <c r="B112" s="9" t="s">
        <v>195</v>
      </c>
      <c r="C112" s="7" t="s">
        <v>195</v>
      </c>
      <c r="D112" s="5" t="str">
        <f>LRTRIM(CONCATENATE(IF(SUMPRODUCT(-- ISNUMBER(SEARCH({"Auto Number"}, $B112))) &gt; 0, $B112, IF(SUMPRODUCT(-- ISNUMBER(SEARCH({"Lookup","Master-Detail"}, $B112))) &gt; 0,$B112 &amp; "(" &amp; $E112 &amp; ")",IF(SUMPRODUCT(-- ISNUMBER(SEARCH({"Formula","Roll-Up Summary"}, $B112))) &gt; 0,$B112 &amp; " (" &amp; $E112 &amp; ")",IF(SUMPRODUCT(-- ISNUMBER(SEARCH({"Content","Currency","Number","Percent","Text","URL"}, $B112))) &gt; 0,$B112 &amp; "(" &amp; $C112 &amp; ")",$B112)))), "  ", TRIM(IF($S112 = "YES", "(External ID)", "") &amp; " " &amp; IF(SUMPRODUCT(-- ISNUMBER(SEARCH({"Unique","Unique Case Insensitive"}, $R112))) &gt; 0, "(" &amp; $R112 &amp; ")", ""))))</f>
        <v>na</v>
      </c>
      <c r="E112" s="7" t="s">
        <v>195</v>
      </c>
      <c r="F112" s="7" t="s">
        <v>195</v>
      </c>
      <c r="G112" s="7" t="s">
        <v>195</v>
      </c>
      <c r="H112" s="7" t="s">
        <v>195</v>
      </c>
      <c r="I112" s="7" t="s">
        <v>195</v>
      </c>
      <c r="J112" s="7" t="s">
        <v>195</v>
      </c>
      <c r="K112" s="7" t="s">
        <v>195</v>
      </c>
      <c r="L112" s="7" t="s">
        <v>195</v>
      </c>
      <c r="M112" s="7" t="s">
        <v>29</v>
      </c>
      <c r="N112" s="7" t="s">
        <v>29</v>
      </c>
      <c r="O112" s="7" t="s">
        <v>29</v>
      </c>
      <c r="P112" s="7" t="s">
        <v>29</v>
      </c>
      <c r="Q112" s="7" t="s">
        <v>29</v>
      </c>
      <c r="R112" s="7" t="s">
        <v>29</v>
      </c>
      <c r="S112" s="7" t="s">
        <v>29</v>
      </c>
    </row>
    <row r="113" spans="2:19">
      <c r="B113" s="9" t="s">
        <v>195</v>
      </c>
      <c r="C113" s="7" t="s">
        <v>195</v>
      </c>
      <c r="D113" s="5" t="str">
        <f>LRTRIM(CONCATENATE(IF(SUMPRODUCT(-- ISNUMBER(SEARCH({"Auto Number"}, $B113))) &gt; 0, $B113, IF(SUMPRODUCT(-- ISNUMBER(SEARCH({"Lookup","Master-Detail"}, $B113))) &gt; 0,$B113 &amp; "(" &amp; $E113 &amp; ")",IF(SUMPRODUCT(-- ISNUMBER(SEARCH({"Formula","Roll-Up Summary"}, $B113))) &gt; 0,$B113 &amp; " (" &amp; $E113 &amp; ")",IF(SUMPRODUCT(-- ISNUMBER(SEARCH({"Content","Currency","Number","Percent","Text","URL"}, $B113))) &gt; 0,$B113 &amp; "(" &amp; $C113 &amp; ")",$B113)))), "  ", TRIM(IF($S113 = "YES", "(External ID)", "") &amp; " " &amp; IF(SUMPRODUCT(-- ISNUMBER(SEARCH({"Unique","Unique Case Insensitive"}, $R113))) &gt; 0, "(" &amp; $R113 &amp; ")", ""))))</f>
        <v>na</v>
      </c>
      <c r="E113" s="7" t="s">
        <v>195</v>
      </c>
      <c r="F113" s="7" t="s">
        <v>195</v>
      </c>
      <c r="G113" s="7" t="s">
        <v>195</v>
      </c>
      <c r="H113" s="7" t="s">
        <v>195</v>
      </c>
      <c r="I113" s="7" t="s">
        <v>195</v>
      </c>
      <c r="J113" s="7" t="s">
        <v>195</v>
      </c>
      <c r="K113" s="7" t="s">
        <v>195</v>
      </c>
      <c r="L113" s="7" t="s">
        <v>195</v>
      </c>
      <c r="M113" s="7" t="s">
        <v>29</v>
      </c>
      <c r="N113" s="7" t="s">
        <v>29</v>
      </c>
      <c r="O113" s="7" t="s">
        <v>29</v>
      </c>
      <c r="P113" s="7" t="s">
        <v>29</v>
      </c>
      <c r="Q113" s="7" t="s">
        <v>29</v>
      </c>
      <c r="R113" s="7" t="s">
        <v>29</v>
      </c>
      <c r="S113" s="7" t="s">
        <v>29</v>
      </c>
    </row>
    <row r="114" spans="2:19">
      <c r="B114" s="9" t="s">
        <v>195</v>
      </c>
      <c r="C114" s="7" t="s">
        <v>195</v>
      </c>
      <c r="D114" s="5" t="str">
        <f>LRTRIM(CONCATENATE(IF(SUMPRODUCT(-- ISNUMBER(SEARCH({"Auto Number"}, $B114))) &gt; 0, $B114, IF(SUMPRODUCT(-- ISNUMBER(SEARCH({"Lookup","Master-Detail"}, $B114))) &gt; 0,$B114 &amp; "(" &amp; $E114 &amp; ")",IF(SUMPRODUCT(-- ISNUMBER(SEARCH({"Formula","Roll-Up Summary"}, $B114))) &gt; 0,$B114 &amp; " (" &amp; $E114 &amp; ")",IF(SUMPRODUCT(-- ISNUMBER(SEARCH({"Content","Currency","Number","Percent","Text","URL"}, $B114))) &gt; 0,$B114 &amp; "(" &amp; $C114 &amp; ")",$B114)))), "  ", TRIM(IF($S114 = "YES", "(External ID)", "") &amp; " " &amp; IF(SUMPRODUCT(-- ISNUMBER(SEARCH({"Unique","Unique Case Insensitive"}, $R114))) &gt; 0, "(" &amp; $R114 &amp; ")", ""))))</f>
        <v>na</v>
      </c>
      <c r="E114" s="7" t="s">
        <v>195</v>
      </c>
      <c r="F114" s="7" t="s">
        <v>195</v>
      </c>
      <c r="G114" s="7" t="s">
        <v>195</v>
      </c>
      <c r="H114" s="7" t="s">
        <v>195</v>
      </c>
      <c r="I114" s="7" t="s">
        <v>195</v>
      </c>
      <c r="J114" s="7" t="s">
        <v>195</v>
      </c>
      <c r="K114" s="7" t="s">
        <v>195</v>
      </c>
      <c r="L114" s="7" t="s">
        <v>195</v>
      </c>
      <c r="M114" s="7" t="s">
        <v>29</v>
      </c>
      <c r="N114" s="7" t="s">
        <v>29</v>
      </c>
      <c r="O114" s="7" t="s">
        <v>29</v>
      </c>
      <c r="P114" s="7" t="s">
        <v>29</v>
      </c>
      <c r="Q114" s="7" t="s">
        <v>29</v>
      </c>
      <c r="R114" s="7" t="s">
        <v>29</v>
      </c>
      <c r="S114" s="7" t="s">
        <v>29</v>
      </c>
    </row>
    <row r="115" spans="2:19">
      <c r="B115" s="9" t="s">
        <v>195</v>
      </c>
      <c r="C115" s="7" t="s">
        <v>195</v>
      </c>
      <c r="D115" s="5" t="str">
        <f>LRTRIM(CONCATENATE(IF(SUMPRODUCT(-- ISNUMBER(SEARCH({"Auto Number"}, $B115))) &gt; 0, $B115, IF(SUMPRODUCT(-- ISNUMBER(SEARCH({"Lookup","Master-Detail"}, $B115))) &gt; 0,$B115 &amp; "(" &amp; $E115 &amp; ")",IF(SUMPRODUCT(-- ISNUMBER(SEARCH({"Formula","Roll-Up Summary"}, $B115))) &gt; 0,$B115 &amp; " (" &amp; $E115 &amp; ")",IF(SUMPRODUCT(-- ISNUMBER(SEARCH({"Content","Currency","Number","Percent","Text","URL"}, $B115))) &gt; 0,$B115 &amp; "(" &amp; $C115 &amp; ")",$B115)))), "  ", TRIM(IF($S115 = "YES", "(External ID)", "") &amp; " " &amp; IF(SUMPRODUCT(-- ISNUMBER(SEARCH({"Unique","Unique Case Insensitive"}, $R115))) &gt; 0, "(" &amp; $R115 &amp; ")", ""))))</f>
        <v>na</v>
      </c>
      <c r="E115" s="7" t="s">
        <v>195</v>
      </c>
      <c r="F115" s="7" t="s">
        <v>195</v>
      </c>
      <c r="G115" s="7" t="s">
        <v>195</v>
      </c>
      <c r="H115" s="7" t="s">
        <v>195</v>
      </c>
      <c r="I115" s="7" t="s">
        <v>195</v>
      </c>
      <c r="J115" s="7" t="s">
        <v>195</v>
      </c>
      <c r="K115" s="7" t="s">
        <v>195</v>
      </c>
      <c r="L115" s="7" t="s">
        <v>195</v>
      </c>
      <c r="M115" s="7" t="s">
        <v>29</v>
      </c>
      <c r="N115" s="7" t="s">
        <v>29</v>
      </c>
      <c r="O115" s="7" t="s">
        <v>29</v>
      </c>
      <c r="P115" s="7" t="s">
        <v>29</v>
      </c>
      <c r="Q115" s="7" t="s">
        <v>29</v>
      </c>
      <c r="R115" s="7" t="s">
        <v>29</v>
      </c>
      <c r="S115" s="7" t="s">
        <v>29</v>
      </c>
    </row>
    <row r="116" spans="2:19">
      <c r="B116" s="9" t="s">
        <v>195</v>
      </c>
      <c r="C116" s="7" t="s">
        <v>195</v>
      </c>
      <c r="D116" s="5" t="str">
        <f>LRTRIM(CONCATENATE(IF(SUMPRODUCT(-- ISNUMBER(SEARCH({"Auto Number"}, $B116))) &gt; 0, $B116, IF(SUMPRODUCT(-- ISNUMBER(SEARCH({"Lookup","Master-Detail"}, $B116))) &gt; 0,$B116 &amp; "(" &amp; $E116 &amp; ")",IF(SUMPRODUCT(-- ISNUMBER(SEARCH({"Formula","Roll-Up Summary"}, $B116))) &gt; 0,$B116 &amp; " (" &amp; $E116 &amp; ")",IF(SUMPRODUCT(-- ISNUMBER(SEARCH({"Content","Currency","Number","Percent","Text","URL"}, $B116))) &gt; 0,$B116 &amp; "(" &amp; $C116 &amp; ")",$B116)))), "  ", TRIM(IF($S116 = "YES", "(External ID)", "") &amp; " " &amp; IF(SUMPRODUCT(-- ISNUMBER(SEARCH({"Unique","Unique Case Insensitive"}, $R116))) &gt; 0, "(" &amp; $R116 &amp; ")", ""))))</f>
        <v>na</v>
      </c>
      <c r="E116" s="7" t="s">
        <v>195</v>
      </c>
      <c r="F116" s="7" t="s">
        <v>195</v>
      </c>
      <c r="G116" s="7" t="s">
        <v>195</v>
      </c>
      <c r="H116" s="7" t="s">
        <v>195</v>
      </c>
      <c r="I116" s="7" t="s">
        <v>195</v>
      </c>
      <c r="J116" s="7" t="s">
        <v>195</v>
      </c>
      <c r="K116" s="7" t="s">
        <v>195</v>
      </c>
      <c r="L116" s="7" t="s">
        <v>195</v>
      </c>
      <c r="M116" s="7" t="s">
        <v>29</v>
      </c>
      <c r="N116" s="7" t="s">
        <v>29</v>
      </c>
      <c r="O116" s="7" t="s">
        <v>29</v>
      </c>
      <c r="P116" s="7" t="s">
        <v>29</v>
      </c>
      <c r="Q116" s="7" t="s">
        <v>29</v>
      </c>
      <c r="R116" s="7" t="s">
        <v>29</v>
      </c>
      <c r="S116" s="7" t="s">
        <v>29</v>
      </c>
    </row>
    <row r="117" spans="2:19">
      <c r="B117" s="9" t="s">
        <v>195</v>
      </c>
      <c r="C117" s="7" t="s">
        <v>195</v>
      </c>
      <c r="D117" s="5" t="str">
        <f>LRTRIM(CONCATENATE(IF(SUMPRODUCT(-- ISNUMBER(SEARCH({"Auto Number"}, $B117))) &gt; 0, $B117, IF(SUMPRODUCT(-- ISNUMBER(SEARCH({"Lookup","Master-Detail"}, $B117))) &gt; 0,$B117 &amp; "(" &amp; $E117 &amp; ")",IF(SUMPRODUCT(-- ISNUMBER(SEARCH({"Formula","Roll-Up Summary"}, $B117))) &gt; 0,$B117 &amp; " (" &amp; $E117 &amp; ")",IF(SUMPRODUCT(-- ISNUMBER(SEARCH({"Content","Currency","Number","Percent","Text","URL"}, $B117))) &gt; 0,$B117 &amp; "(" &amp; $C117 &amp; ")",$B117)))), "  ", TRIM(IF($S117 = "YES", "(External ID)", "") &amp; " " &amp; IF(SUMPRODUCT(-- ISNUMBER(SEARCH({"Unique","Unique Case Insensitive"}, $R117))) &gt; 0, "(" &amp; $R117 &amp; ")", ""))))</f>
        <v>na</v>
      </c>
      <c r="E117" s="7" t="s">
        <v>195</v>
      </c>
      <c r="F117" s="7" t="s">
        <v>195</v>
      </c>
      <c r="G117" s="7" t="s">
        <v>195</v>
      </c>
      <c r="H117" s="7" t="s">
        <v>195</v>
      </c>
      <c r="I117" s="7" t="s">
        <v>195</v>
      </c>
      <c r="J117" s="7" t="s">
        <v>195</v>
      </c>
      <c r="K117" s="7" t="s">
        <v>195</v>
      </c>
      <c r="L117" s="7" t="s">
        <v>195</v>
      </c>
      <c r="M117" s="7" t="s">
        <v>29</v>
      </c>
      <c r="N117" s="7" t="s">
        <v>29</v>
      </c>
      <c r="O117" s="7" t="s">
        <v>29</v>
      </c>
      <c r="P117" s="7" t="s">
        <v>29</v>
      </c>
      <c r="Q117" s="7" t="s">
        <v>29</v>
      </c>
      <c r="R117" s="7" t="s">
        <v>29</v>
      </c>
      <c r="S117" s="7" t="s">
        <v>29</v>
      </c>
    </row>
    <row r="118" spans="2:19">
      <c r="B118" s="9" t="s">
        <v>195</v>
      </c>
      <c r="C118" s="7" t="s">
        <v>195</v>
      </c>
      <c r="D118" s="5" t="str">
        <f>LRTRIM(CONCATENATE(IF(SUMPRODUCT(-- ISNUMBER(SEARCH({"Auto Number"}, $B118))) &gt; 0, $B118, IF(SUMPRODUCT(-- ISNUMBER(SEARCH({"Lookup","Master-Detail"}, $B118))) &gt; 0,$B118 &amp; "(" &amp; $E118 &amp; ")",IF(SUMPRODUCT(-- ISNUMBER(SEARCH({"Formula","Roll-Up Summary"}, $B118))) &gt; 0,$B118 &amp; " (" &amp; $E118 &amp; ")",IF(SUMPRODUCT(-- ISNUMBER(SEARCH({"Content","Currency","Number","Percent","Text","URL"}, $B118))) &gt; 0,$B118 &amp; "(" &amp; $C118 &amp; ")",$B118)))), "  ", TRIM(IF($S118 = "YES", "(External ID)", "") &amp; " " &amp; IF(SUMPRODUCT(-- ISNUMBER(SEARCH({"Unique","Unique Case Insensitive"}, $R118))) &gt; 0, "(" &amp; $R118 &amp; ")", ""))))</f>
        <v>na</v>
      </c>
      <c r="E118" s="7" t="s">
        <v>195</v>
      </c>
      <c r="F118" s="7" t="s">
        <v>195</v>
      </c>
      <c r="G118" s="7" t="s">
        <v>195</v>
      </c>
      <c r="H118" s="7" t="s">
        <v>195</v>
      </c>
      <c r="I118" s="7" t="s">
        <v>195</v>
      </c>
      <c r="J118" s="7" t="s">
        <v>195</v>
      </c>
      <c r="K118" s="7" t="s">
        <v>195</v>
      </c>
      <c r="L118" s="7" t="s">
        <v>195</v>
      </c>
      <c r="M118" s="7" t="s">
        <v>29</v>
      </c>
      <c r="N118" s="7" t="s">
        <v>29</v>
      </c>
      <c r="O118" s="7" t="s">
        <v>29</v>
      </c>
      <c r="P118" s="7" t="s">
        <v>29</v>
      </c>
      <c r="Q118" s="7" t="s">
        <v>29</v>
      </c>
      <c r="R118" s="7" t="s">
        <v>29</v>
      </c>
      <c r="S118" s="7" t="s">
        <v>29</v>
      </c>
    </row>
    <row r="119" spans="2:19">
      <c r="B119" s="9" t="s">
        <v>195</v>
      </c>
      <c r="C119" s="7" t="s">
        <v>195</v>
      </c>
      <c r="D119" s="5" t="str">
        <f>LRTRIM(CONCATENATE(IF(SUMPRODUCT(-- ISNUMBER(SEARCH({"Auto Number"}, $B119))) &gt; 0, $B119, IF(SUMPRODUCT(-- ISNUMBER(SEARCH({"Lookup","Master-Detail"}, $B119))) &gt; 0,$B119 &amp; "(" &amp; $E119 &amp; ")",IF(SUMPRODUCT(-- ISNUMBER(SEARCH({"Formula","Roll-Up Summary"}, $B119))) &gt; 0,$B119 &amp; " (" &amp; $E119 &amp; ")",IF(SUMPRODUCT(-- ISNUMBER(SEARCH({"Content","Currency","Number","Percent","Text","URL"}, $B119))) &gt; 0,$B119 &amp; "(" &amp; $C119 &amp; ")",$B119)))), "  ", TRIM(IF($S119 = "YES", "(External ID)", "") &amp; " " &amp; IF(SUMPRODUCT(-- ISNUMBER(SEARCH({"Unique","Unique Case Insensitive"}, $R119))) &gt; 0, "(" &amp; $R119 &amp; ")", ""))))</f>
        <v>na</v>
      </c>
      <c r="E119" s="7" t="s">
        <v>195</v>
      </c>
      <c r="F119" s="7" t="s">
        <v>195</v>
      </c>
      <c r="G119" s="7" t="s">
        <v>195</v>
      </c>
      <c r="H119" s="7" t="s">
        <v>195</v>
      </c>
      <c r="I119" s="7" t="s">
        <v>195</v>
      </c>
      <c r="J119" s="7" t="s">
        <v>195</v>
      </c>
      <c r="K119" s="7" t="s">
        <v>195</v>
      </c>
      <c r="L119" s="7" t="s">
        <v>195</v>
      </c>
      <c r="M119" s="7" t="s">
        <v>29</v>
      </c>
      <c r="N119" s="7" t="s">
        <v>29</v>
      </c>
      <c r="O119" s="7" t="s">
        <v>29</v>
      </c>
      <c r="P119" s="7" t="s">
        <v>29</v>
      </c>
      <c r="Q119" s="7" t="s">
        <v>29</v>
      </c>
      <c r="R119" s="7" t="s">
        <v>29</v>
      </c>
      <c r="S119" s="7" t="s">
        <v>29</v>
      </c>
    </row>
    <row r="120" spans="2:19">
      <c r="B120" s="9" t="s">
        <v>195</v>
      </c>
      <c r="C120" s="7" t="s">
        <v>195</v>
      </c>
      <c r="D120" s="5" t="str">
        <f>LRTRIM(CONCATENATE(IF(SUMPRODUCT(-- ISNUMBER(SEARCH({"Auto Number"}, $B120))) &gt; 0, $B120, IF(SUMPRODUCT(-- ISNUMBER(SEARCH({"Lookup","Master-Detail"}, $B120))) &gt; 0,$B120 &amp; "(" &amp; $E120 &amp; ")",IF(SUMPRODUCT(-- ISNUMBER(SEARCH({"Formula","Roll-Up Summary"}, $B120))) &gt; 0,$B120 &amp; " (" &amp; $E120 &amp; ")",IF(SUMPRODUCT(-- ISNUMBER(SEARCH({"Content","Currency","Number","Percent","Text","URL"}, $B120))) &gt; 0,$B120 &amp; "(" &amp; $C120 &amp; ")",$B120)))), "  ", TRIM(IF($S120 = "YES", "(External ID)", "") &amp; " " &amp; IF(SUMPRODUCT(-- ISNUMBER(SEARCH({"Unique","Unique Case Insensitive"}, $R120))) &gt; 0, "(" &amp; $R120 &amp; ")", ""))))</f>
        <v>na</v>
      </c>
      <c r="E120" s="7" t="s">
        <v>195</v>
      </c>
      <c r="F120" s="7" t="s">
        <v>195</v>
      </c>
      <c r="G120" s="7" t="s">
        <v>195</v>
      </c>
      <c r="H120" s="7" t="s">
        <v>195</v>
      </c>
      <c r="I120" s="7" t="s">
        <v>195</v>
      </c>
      <c r="J120" s="7" t="s">
        <v>195</v>
      </c>
      <c r="K120" s="7" t="s">
        <v>195</v>
      </c>
      <c r="L120" s="7" t="s">
        <v>195</v>
      </c>
      <c r="M120" s="7" t="s">
        <v>29</v>
      </c>
      <c r="N120" s="7" t="s">
        <v>29</v>
      </c>
      <c r="O120" s="7" t="s">
        <v>29</v>
      </c>
      <c r="P120" s="7" t="s">
        <v>29</v>
      </c>
      <c r="Q120" s="7" t="s">
        <v>29</v>
      </c>
      <c r="R120" s="7" t="s">
        <v>29</v>
      </c>
      <c r="S120" s="7" t="s">
        <v>29</v>
      </c>
    </row>
    <row r="121" spans="2:19">
      <c r="B121" s="9" t="s">
        <v>195</v>
      </c>
      <c r="C121" s="7" t="s">
        <v>195</v>
      </c>
      <c r="D121" s="5" t="str">
        <f>LRTRIM(CONCATENATE(IF(SUMPRODUCT(-- ISNUMBER(SEARCH({"Auto Number"}, $B121))) &gt; 0, $B121, IF(SUMPRODUCT(-- ISNUMBER(SEARCH({"Lookup","Master-Detail"}, $B121))) &gt; 0,$B121 &amp; "(" &amp; $E121 &amp; ")",IF(SUMPRODUCT(-- ISNUMBER(SEARCH({"Formula","Roll-Up Summary"}, $B121))) &gt; 0,$B121 &amp; " (" &amp; $E121 &amp; ")",IF(SUMPRODUCT(-- ISNUMBER(SEARCH({"Content","Currency","Number","Percent","Text","URL"}, $B121))) &gt; 0,$B121 &amp; "(" &amp; $C121 &amp; ")",$B121)))), "  ", TRIM(IF($S121 = "YES", "(External ID)", "") &amp; " " &amp; IF(SUMPRODUCT(-- ISNUMBER(SEARCH({"Unique","Unique Case Insensitive"}, $R121))) &gt; 0, "(" &amp; $R121 &amp; ")", ""))))</f>
        <v>na</v>
      </c>
      <c r="E121" s="7" t="s">
        <v>195</v>
      </c>
      <c r="F121" s="7" t="s">
        <v>195</v>
      </c>
      <c r="G121" s="7" t="s">
        <v>195</v>
      </c>
      <c r="H121" s="7" t="s">
        <v>195</v>
      </c>
      <c r="I121" s="7" t="s">
        <v>195</v>
      </c>
      <c r="J121" s="7" t="s">
        <v>195</v>
      </c>
      <c r="K121" s="7" t="s">
        <v>195</v>
      </c>
      <c r="L121" s="7" t="s">
        <v>195</v>
      </c>
      <c r="M121" s="7" t="s">
        <v>29</v>
      </c>
      <c r="N121" s="7" t="s">
        <v>29</v>
      </c>
      <c r="O121" s="7" t="s">
        <v>29</v>
      </c>
      <c r="P121" s="7" t="s">
        <v>29</v>
      </c>
      <c r="Q121" s="7" t="s">
        <v>29</v>
      </c>
      <c r="R121" s="7" t="s">
        <v>29</v>
      </c>
      <c r="S121" s="7" t="s">
        <v>29</v>
      </c>
    </row>
    <row r="122" spans="2:19">
      <c r="B122" s="9" t="s">
        <v>195</v>
      </c>
      <c r="C122" s="7" t="s">
        <v>195</v>
      </c>
      <c r="D122" s="5" t="str">
        <f>LRTRIM(CONCATENATE(IF(SUMPRODUCT(-- ISNUMBER(SEARCH({"Auto Number"}, $B122))) &gt; 0, $B122, IF(SUMPRODUCT(-- ISNUMBER(SEARCH({"Lookup","Master-Detail"}, $B122))) &gt; 0,$B122 &amp; "(" &amp; $E122 &amp; ")",IF(SUMPRODUCT(-- ISNUMBER(SEARCH({"Formula","Roll-Up Summary"}, $B122))) &gt; 0,$B122 &amp; " (" &amp; $E122 &amp; ")",IF(SUMPRODUCT(-- ISNUMBER(SEARCH({"Content","Currency","Number","Percent","Text","URL"}, $B122))) &gt; 0,$B122 &amp; "(" &amp; $C122 &amp; ")",$B122)))), "  ", TRIM(IF($S122 = "YES", "(External ID)", "") &amp; " " &amp; IF(SUMPRODUCT(-- ISNUMBER(SEARCH({"Unique","Unique Case Insensitive"}, $R122))) &gt; 0, "(" &amp; $R122 &amp; ")", ""))))</f>
        <v>na</v>
      </c>
      <c r="E122" s="7" t="s">
        <v>195</v>
      </c>
      <c r="F122" s="7" t="s">
        <v>195</v>
      </c>
      <c r="G122" s="7" t="s">
        <v>195</v>
      </c>
      <c r="H122" s="7" t="s">
        <v>195</v>
      </c>
      <c r="I122" s="7" t="s">
        <v>195</v>
      </c>
      <c r="J122" s="7" t="s">
        <v>195</v>
      </c>
      <c r="K122" s="7" t="s">
        <v>195</v>
      </c>
      <c r="L122" s="7" t="s">
        <v>195</v>
      </c>
      <c r="M122" s="7" t="s">
        <v>29</v>
      </c>
      <c r="N122" s="7" t="s">
        <v>29</v>
      </c>
      <c r="O122" s="7" t="s">
        <v>29</v>
      </c>
      <c r="P122" s="7" t="s">
        <v>29</v>
      </c>
      <c r="Q122" s="7" t="s">
        <v>29</v>
      </c>
      <c r="R122" s="7" t="s">
        <v>29</v>
      </c>
      <c r="S122" s="7" t="s">
        <v>29</v>
      </c>
    </row>
    <row r="123" spans="2:19">
      <c r="B123" s="9" t="s">
        <v>195</v>
      </c>
      <c r="C123" s="7" t="s">
        <v>195</v>
      </c>
      <c r="D123" s="5" t="str">
        <f>LRTRIM(CONCATENATE(IF(SUMPRODUCT(-- ISNUMBER(SEARCH({"Auto Number"}, $B123))) &gt; 0, $B123, IF(SUMPRODUCT(-- ISNUMBER(SEARCH({"Lookup","Master-Detail"}, $B123))) &gt; 0,$B123 &amp; "(" &amp; $E123 &amp; ")",IF(SUMPRODUCT(-- ISNUMBER(SEARCH({"Formula","Roll-Up Summary"}, $B123))) &gt; 0,$B123 &amp; " (" &amp; $E123 &amp; ")",IF(SUMPRODUCT(-- ISNUMBER(SEARCH({"Content","Currency","Number","Percent","Text","URL"}, $B123))) &gt; 0,$B123 &amp; "(" &amp; $C123 &amp; ")",$B123)))), "  ", TRIM(IF($S123 = "YES", "(External ID)", "") &amp; " " &amp; IF(SUMPRODUCT(-- ISNUMBER(SEARCH({"Unique","Unique Case Insensitive"}, $R123))) &gt; 0, "(" &amp; $R123 &amp; ")", ""))))</f>
        <v>na</v>
      </c>
      <c r="E123" s="7" t="s">
        <v>195</v>
      </c>
      <c r="F123" s="7" t="s">
        <v>195</v>
      </c>
      <c r="G123" s="7" t="s">
        <v>195</v>
      </c>
      <c r="H123" s="7" t="s">
        <v>195</v>
      </c>
      <c r="I123" s="7" t="s">
        <v>195</v>
      </c>
      <c r="J123" s="7" t="s">
        <v>195</v>
      </c>
      <c r="K123" s="7" t="s">
        <v>195</v>
      </c>
      <c r="L123" s="7" t="s">
        <v>195</v>
      </c>
      <c r="M123" s="7" t="s">
        <v>29</v>
      </c>
      <c r="N123" s="7" t="s">
        <v>29</v>
      </c>
      <c r="O123" s="7" t="s">
        <v>29</v>
      </c>
      <c r="P123" s="7" t="s">
        <v>29</v>
      </c>
      <c r="Q123" s="7" t="s">
        <v>29</v>
      </c>
      <c r="R123" s="7" t="s">
        <v>29</v>
      </c>
      <c r="S123" s="7" t="s">
        <v>29</v>
      </c>
    </row>
    <row r="124" spans="2:19">
      <c r="B124" s="9" t="s">
        <v>195</v>
      </c>
      <c r="C124" s="7" t="s">
        <v>195</v>
      </c>
      <c r="D124" s="5" t="str">
        <f>LRTRIM(CONCATENATE(IF(SUMPRODUCT(-- ISNUMBER(SEARCH({"Auto Number"}, $B124))) &gt; 0, $B124, IF(SUMPRODUCT(-- ISNUMBER(SEARCH({"Lookup","Master-Detail"}, $B124))) &gt; 0,$B124 &amp; "(" &amp; $E124 &amp; ")",IF(SUMPRODUCT(-- ISNUMBER(SEARCH({"Formula","Roll-Up Summary"}, $B124))) &gt; 0,$B124 &amp; " (" &amp; $E124 &amp; ")",IF(SUMPRODUCT(-- ISNUMBER(SEARCH({"Content","Currency","Number","Percent","Text","URL"}, $B124))) &gt; 0,$B124 &amp; "(" &amp; $C124 &amp; ")",$B124)))), "  ", TRIM(IF($S124 = "YES", "(External ID)", "") &amp; " " &amp; IF(SUMPRODUCT(-- ISNUMBER(SEARCH({"Unique","Unique Case Insensitive"}, $R124))) &gt; 0, "(" &amp; $R124 &amp; ")", ""))))</f>
        <v>na</v>
      </c>
      <c r="E124" s="7" t="s">
        <v>195</v>
      </c>
      <c r="F124" s="7" t="s">
        <v>195</v>
      </c>
      <c r="G124" s="7" t="s">
        <v>195</v>
      </c>
      <c r="H124" s="7" t="s">
        <v>195</v>
      </c>
      <c r="I124" s="7" t="s">
        <v>195</v>
      </c>
      <c r="J124" s="7" t="s">
        <v>195</v>
      </c>
      <c r="K124" s="7" t="s">
        <v>195</v>
      </c>
      <c r="L124" s="7" t="s">
        <v>195</v>
      </c>
      <c r="M124" s="7" t="s">
        <v>29</v>
      </c>
      <c r="N124" s="7" t="s">
        <v>29</v>
      </c>
      <c r="O124" s="7" t="s">
        <v>29</v>
      </c>
      <c r="P124" s="7" t="s">
        <v>29</v>
      </c>
      <c r="Q124" s="7" t="s">
        <v>29</v>
      </c>
      <c r="R124" s="7" t="s">
        <v>29</v>
      </c>
      <c r="S124" s="7" t="s">
        <v>29</v>
      </c>
    </row>
    <row r="125" spans="2:19">
      <c r="B125" s="9" t="s">
        <v>195</v>
      </c>
      <c r="C125" s="7" t="s">
        <v>195</v>
      </c>
      <c r="D125" s="5" t="str">
        <f>LRTRIM(CONCATENATE(IF(SUMPRODUCT(-- ISNUMBER(SEARCH({"Auto Number"}, $B125))) &gt; 0, $B125, IF(SUMPRODUCT(-- ISNUMBER(SEARCH({"Lookup","Master-Detail"}, $B125))) &gt; 0,$B125 &amp; "(" &amp; $E125 &amp; ")",IF(SUMPRODUCT(-- ISNUMBER(SEARCH({"Formula","Roll-Up Summary"}, $B125))) &gt; 0,$B125 &amp; " (" &amp; $E125 &amp; ")",IF(SUMPRODUCT(-- ISNUMBER(SEARCH({"Content","Currency","Number","Percent","Text","URL"}, $B125))) &gt; 0,$B125 &amp; "(" &amp; $C125 &amp; ")",$B125)))), "  ", TRIM(IF($S125 = "YES", "(External ID)", "") &amp; " " &amp; IF(SUMPRODUCT(-- ISNUMBER(SEARCH({"Unique","Unique Case Insensitive"}, $R125))) &gt; 0, "(" &amp; $R125 &amp; ")", ""))))</f>
        <v>na</v>
      </c>
      <c r="E125" s="7" t="s">
        <v>195</v>
      </c>
      <c r="F125" s="7" t="s">
        <v>195</v>
      </c>
      <c r="G125" s="7" t="s">
        <v>195</v>
      </c>
      <c r="H125" s="7" t="s">
        <v>195</v>
      </c>
      <c r="I125" s="7" t="s">
        <v>195</v>
      </c>
      <c r="J125" s="7" t="s">
        <v>195</v>
      </c>
      <c r="K125" s="7" t="s">
        <v>195</v>
      </c>
      <c r="L125" s="7" t="s">
        <v>195</v>
      </c>
      <c r="M125" s="7" t="s">
        <v>29</v>
      </c>
      <c r="N125" s="7" t="s">
        <v>29</v>
      </c>
      <c r="O125" s="7" t="s">
        <v>29</v>
      </c>
      <c r="P125" s="7" t="s">
        <v>29</v>
      </c>
      <c r="Q125" s="7" t="s">
        <v>29</v>
      </c>
      <c r="R125" s="7" t="s">
        <v>29</v>
      </c>
      <c r="S125" s="7" t="s">
        <v>29</v>
      </c>
    </row>
    <row r="126" spans="2:19">
      <c r="B126" s="9" t="s">
        <v>195</v>
      </c>
      <c r="C126" s="7" t="s">
        <v>195</v>
      </c>
      <c r="D126" s="5" t="str">
        <f>LRTRIM(CONCATENATE(IF(SUMPRODUCT(-- ISNUMBER(SEARCH({"Auto Number"}, $B126))) &gt; 0, $B126, IF(SUMPRODUCT(-- ISNUMBER(SEARCH({"Lookup","Master-Detail"}, $B126))) &gt; 0,$B126 &amp; "(" &amp; $E126 &amp; ")",IF(SUMPRODUCT(-- ISNUMBER(SEARCH({"Formula","Roll-Up Summary"}, $B126))) &gt; 0,$B126 &amp; " (" &amp; $E126 &amp; ")",IF(SUMPRODUCT(-- ISNUMBER(SEARCH({"Content","Currency","Number","Percent","Text","URL"}, $B126))) &gt; 0,$B126 &amp; "(" &amp; $C126 &amp; ")",$B126)))), "  ", TRIM(IF($S126 = "YES", "(External ID)", "") &amp; " " &amp; IF(SUMPRODUCT(-- ISNUMBER(SEARCH({"Unique","Unique Case Insensitive"}, $R126))) &gt; 0, "(" &amp; $R126 &amp; ")", ""))))</f>
        <v>na</v>
      </c>
      <c r="E126" s="7" t="s">
        <v>195</v>
      </c>
      <c r="F126" s="7" t="s">
        <v>195</v>
      </c>
      <c r="G126" s="7" t="s">
        <v>195</v>
      </c>
      <c r="H126" s="7" t="s">
        <v>195</v>
      </c>
      <c r="I126" s="7" t="s">
        <v>195</v>
      </c>
      <c r="J126" s="7" t="s">
        <v>195</v>
      </c>
      <c r="K126" s="7" t="s">
        <v>195</v>
      </c>
      <c r="L126" s="7" t="s">
        <v>195</v>
      </c>
      <c r="M126" s="7" t="s">
        <v>29</v>
      </c>
      <c r="N126" s="7" t="s">
        <v>29</v>
      </c>
      <c r="O126" s="7" t="s">
        <v>29</v>
      </c>
      <c r="P126" s="7" t="s">
        <v>29</v>
      </c>
      <c r="Q126" s="7" t="s">
        <v>29</v>
      </c>
      <c r="R126" s="7" t="s">
        <v>29</v>
      </c>
      <c r="S126" s="7" t="s">
        <v>29</v>
      </c>
    </row>
    <row r="127" spans="2:19">
      <c r="B127" s="9" t="s">
        <v>195</v>
      </c>
      <c r="C127" s="7" t="s">
        <v>195</v>
      </c>
      <c r="D127" s="5" t="str">
        <f>LRTRIM(CONCATENATE(IF(SUMPRODUCT(-- ISNUMBER(SEARCH({"Auto Number"}, $B127))) &gt; 0, $B127, IF(SUMPRODUCT(-- ISNUMBER(SEARCH({"Lookup","Master-Detail"}, $B127))) &gt; 0,$B127 &amp; "(" &amp; $E127 &amp; ")",IF(SUMPRODUCT(-- ISNUMBER(SEARCH({"Formula","Roll-Up Summary"}, $B127))) &gt; 0,$B127 &amp; " (" &amp; $E127 &amp; ")",IF(SUMPRODUCT(-- ISNUMBER(SEARCH({"Content","Currency","Number","Percent","Text","URL"}, $B127))) &gt; 0,$B127 &amp; "(" &amp; $C127 &amp; ")",$B127)))), "  ", TRIM(IF($S127 = "YES", "(External ID)", "") &amp; " " &amp; IF(SUMPRODUCT(-- ISNUMBER(SEARCH({"Unique","Unique Case Insensitive"}, $R127))) &gt; 0, "(" &amp; $R127 &amp; ")", ""))))</f>
        <v>na</v>
      </c>
      <c r="E127" s="7" t="s">
        <v>195</v>
      </c>
      <c r="F127" s="7" t="s">
        <v>195</v>
      </c>
      <c r="G127" s="7" t="s">
        <v>195</v>
      </c>
      <c r="H127" s="7" t="s">
        <v>195</v>
      </c>
      <c r="I127" s="7" t="s">
        <v>195</v>
      </c>
      <c r="J127" s="7" t="s">
        <v>195</v>
      </c>
      <c r="K127" s="7" t="s">
        <v>195</v>
      </c>
      <c r="L127" s="7" t="s">
        <v>195</v>
      </c>
      <c r="M127" s="7" t="s">
        <v>29</v>
      </c>
      <c r="N127" s="7" t="s">
        <v>29</v>
      </c>
      <c r="O127" s="7" t="s">
        <v>29</v>
      </c>
      <c r="P127" s="7" t="s">
        <v>29</v>
      </c>
      <c r="Q127" s="7" t="s">
        <v>29</v>
      </c>
      <c r="R127" s="7" t="s">
        <v>29</v>
      </c>
      <c r="S127" s="7" t="s">
        <v>29</v>
      </c>
    </row>
    <row r="128" spans="2:19">
      <c r="B128" s="9" t="s">
        <v>195</v>
      </c>
      <c r="C128" s="7" t="s">
        <v>195</v>
      </c>
      <c r="D128" s="5" t="str">
        <f>LRTRIM(CONCATENATE(IF(SUMPRODUCT(-- ISNUMBER(SEARCH({"Auto Number"}, $B128))) &gt; 0, $B128, IF(SUMPRODUCT(-- ISNUMBER(SEARCH({"Lookup","Master-Detail"}, $B128))) &gt; 0,$B128 &amp; "(" &amp; $E128 &amp; ")",IF(SUMPRODUCT(-- ISNUMBER(SEARCH({"Formula","Roll-Up Summary"}, $B128))) &gt; 0,$B128 &amp; " (" &amp; $E128 &amp; ")",IF(SUMPRODUCT(-- ISNUMBER(SEARCH({"Content","Currency","Number","Percent","Text","URL"}, $B128))) &gt; 0,$B128 &amp; "(" &amp; $C128 &amp; ")",$B128)))), "  ", TRIM(IF($S128 = "YES", "(External ID)", "") &amp; " " &amp; IF(SUMPRODUCT(-- ISNUMBER(SEARCH({"Unique","Unique Case Insensitive"}, $R128))) &gt; 0, "(" &amp; $R128 &amp; ")", ""))))</f>
        <v>na</v>
      </c>
      <c r="E128" s="7" t="s">
        <v>195</v>
      </c>
      <c r="F128" s="7" t="s">
        <v>195</v>
      </c>
      <c r="G128" s="7" t="s">
        <v>195</v>
      </c>
      <c r="H128" s="7" t="s">
        <v>195</v>
      </c>
      <c r="I128" s="7" t="s">
        <v>195</v>
      </c>
      <c r="J128" s="7" t="s">
        <v>195</v>
      </c>
      <c r="K128" s="7" t="s">
        <v>195</v>
      </c>
      <c r="L128" s="7" t="s">
        <v>195</v>
      </c>
      <c r="M128" s="7" t="s">
        <v>29</v>
      </c>
      <c r="N128" s="7" t="s">
        <v>29</v>
      </c>
      <c r="O128" s="7" t="s">
        <v>29</v>
      </c>
      <c r="P128" s="7" t="s">
        <v>29</v>
      </c>
      <c r="Q128" s="7" t="s">
        <v>29</v>
      </c>
      <c r="R128" s="7" t="s">
        <v>29</v>
      </c>
      <c r="S128" s="7" t="s">
        <v>29</v>
      </c>
    </row>
    <row r="129" spans="2:19">
      <c r="B129" s="9" t="s">
        <v>195</v>
      </c>
      <c r="C129" s="7" t="s">
        <v>195</v>
      </c>
      <c r="D129" s="5" t="str">
        <f>LRTRIM(CONCATENATE(IF(SUMPRODUCT(-- ISNUMBER(SEARCH({"Auto Number"}, $B129))) &gt; 0, $B129, IF(SUMPRODUCT(-- ISNUMBER(SEARCH({"Lookup","Master-Detail"}, $B129))) &gt; 0,$B129 &amp; "(" &amp; $E129 &amp; ")",IF(SUMPRODUCT(-- ISNUMBER(SEARCH({"Formula","Roll-Up Summary"}, $B129))) &gt; 0,$B129 &amp; " (" &amp; $E129 &amp; ")",IF(SUMPRODUCT(-- ISNUMBER(SEARCH({"Content","Currency","Number","Percent","Text","URL"}, $B129))) &gt; 0,$B129 &amp; "(" &amp; $C129 &amp; ")",$B129)))), "  ", TRIM(IF($S129 = "YES", "(External ID)", "") &amp; " " &amp; IF(SUMPRODUCT(-- ISNUMBER(SEARCH({"Unique","Unique Case Insensitive"}, $R129))) &gt; 0, "(" &amp; $R129 &amp; ")", ""))))</f>
        <v>na</v>
      </c>
      <c r="E129" s="7" t="s">
        <v>195</v>
      </c>
      <c r="F129" s="7" t="s">
        <v>195</v>
      </c>
      <c r="G129" s="7" t="s">
        <v>195</v>
      </c>
      <c r="H129" s="7" t="s">
        <v>195</v>
      </c>
      <c r="I129" s="7" t="s">
        <v>195</v>
      </c>
      <c r="J129" s="7" t="s">
        <v>195</v>
      </c>
      <c r="K129" s="7" t="s">
        <v>195</v>
      </c>
      <c r="L129" s="7" t="s">
        <v>195</v>
      </c>
      <c r="M129" s="7" t="s">
        <v>29</v>
      </c>
      <c r="N129" s="7" t="s">
        <v>29</v>
      </c>
      <c r="O129" s="7" t="s">
        <v>29</v>
      </c>
      <c r="P129" s="7" t="s">
        <v>29</v>
      </c>
      <c r="Q129" s="7" t="s">
        <v>29</v>
      </c>
      <c r="R129" s="7" t="s">
        <v>29</v>
      </c>
      <c r="S129" s="7" t="s">
        <v>29</v>
      </c>
    </row>
    <row r="130" spans="2:19">
      <c r="B130" s="9" t="s">
        <v>195</v>
      </c>
      <c r="C130" s="7" t="s">
        <v>195</v>
      </c>
      <c r="D130" s="5" t="str">
        <f>LRTRIM(CONCATENATE(IF(SUMPRODUCT(-- ISNUMBER(SEARCH({"Auto Number"}, $B130))) &gt; 0, $B130, IF(SUMPRODUCT(-- ISNUMBER(SEARCH({"Lookup","Master-Detail"}, $B130))) &gt; 0,$B130 &amp; "(" &amp; $E130 &amp; ")",IF(SUMPRODUCT(-- ISNUMBER(SEARCH({"Formula","Roll-Up Summary"}, $B130))) &gt; 0,$B130 &amp; " (" &amp; $E130 &amp; ")",IF(SUMPRODUCT(-- ISNUMBER(SEARCH({"Content","Currency","Number","Percent","Text","URL"}, $B130))) &gt; 0,$B130 &amp; "(" &amp; $C130 &amp; ")",$B130)))), "  ", TRIM(IF($S130 = "YES", "(External ID)", "") &amp; " " &amp; IF(SUMPRODUCT(-- ISNUMBER(SEARCH({"Unique","Unique Case Insensitive"}, $R130))) &gt; 0, "(" &amp; $R130 &amp; ")", ""))))</f>
        <v>na</v>
      </c>
      <c r="E130" s="7" t="s">
        <v>195</v>
      </c>
      <c r="F130" s="7" t="s">
        <v>195</v>
      </c>
      <c r="G130" s="7" t="s">
        <v>195</v>
      </c>
      <c r="H130" s="7" t="s">
        <v>195</v>
      </c>
      <c r="I130" s="7" t="s">
        <v>195</v>
      </c>
      <c r="J130" s="7" t="s">
        <v>195</v>
      </c>
      <c r="K130" s="7" t="s">
        <v>195</v>
      </c>
      <c r="L130" s="7" t="s">
        <v>195</v>
      </c>
      <c r="M130" s="7" t="s">
        <v>29</v>
      </c>
      <c r="N130" s="7" t="s">
        <v>29</v>
      </c>
      <c r="O130" s="7" t="s">
        <v>29</v>
      </c>
      <c r="P130" s="7" t="s">
        <v>29</v>
      </c>
      <c r="Q130" s="7" t="s">
        <v>29</v>
      </c>
      <c r="R130" s="7" t="s">
        <v>29</v>
      </c>
      <c r="S130" s="7" t="s">
        <v>29</v>
      </c>
    </row>
    <row r="131" spans="2:19">
      <c r="B131" s="9" t="s">
        <v>195</v>
      </c>
      <c r="C131" s="7" t="s">
        <v>195</v>
      </c>
      <c r="D131" s="5" t="str">
        <f>LRTRIM(CONCATENATE(IF(SUMPRODUCT(-- ISNUMBER(SEARCH({"Auto Number"}, $B131))) &gt; 0, $B131, IF(SUMPRODUCT(-- ISNUMBER(SEARCH({"Lookup","Master-Detail"}, $B131))) &gt; 0,$B131 &amp; "(" &amp; $E131 &amp; ")",IF(SUMPRODUCT(-- ISNUMBER(SEARCH({"Formula","Roll-Up Summary"}, $B131))) &gt; 0,$B131 &amp; " (" &amp; $E131 &amp; ")",IF(SUMPRODUCT(-- ISNUMBER(SEARCH({"Content","Currency","Number","Percent","Text","URL"}, $B131))) &gt; 0,$B131 &amp; "(" &amp; $C131 &amp; ")",$B131)))), "  ", TRIM(IF($S131 = "YES", "(External ID)", "") &amp; " " &amp; IF(SUMPRODUCT(-- ISNUMBER(SEARCH({"Unique","Unique Case Insensitive"}, $R131))) &gt; 0, "(" &amp; $R131 &amp; ")", ""))))</f>
        <v>na</v>
      </c>
      <c r="E131" s="7" t="s">
        <v>195</v>
      </c>
      <c r="F131" s="7" t="s">
        <v>195</v>
      </c>
      <c r="G131" s="7" t="s">
        <v>195</v>
      </c>
      <c r="H131" s="7" t="s">
        <v>195</v>
      </c>
      <c r="I131" s="7" t="s">
        <v>195</v>
      </c>
      <c r="J131" s="7" t="s">
        <v>195</v>
      </c>
      <c r="K131" s="7" t="s">
        <v>195</v>
      </c>
      <c r="L131" s="7" t="s">
        <v>195</v>
      </c>
      <c r="M131" s="7" t="s">
        <v>29</v>
      </c>
      <c r="N131" s="7" t="s">
        <v>29</v>
      </c>
      <c r="O131" s="7" t="s">
        <v>29</v>
      </c>
      <c r="P131" s="7" t="s">
        <v>29</v>
      </c>
      <c r="Q131" s="7" t="s">
        <v>29</v>
      </c>
      <c r="R131" s="7" t="s">
        <v>29</v>
      </c>
      <c r="S131" s="7" t="s">
        <v>29</v>
      </c>
    </row>
    <row r="132" spans="2:19">
      <c r="B132" s="9" t="s">
        <v>195</v>
      </c>
      <c r="C132" s="7" t="s">
        <v>195</v>
      </c>
      <c r="D132" s="5" t="str">
        <f>LRTRIM(CONCATENATE(IF(SUMPRODUCT(-- ISNUMBER(SEARCH({"Auto Number"}, $B132))) &gt; 0, $B132, IF(SUMPRODUCT(-- ISNUMBER(SEARCH({"Lookup","Master-Detail"}, $B132))) &gt; 0,$B132 &amp; "(" &amp; $E132 &amp; ")",IF(SUMPRODUCT(-- ISNUMBER(SEARCH({"Formula","Roll-Up Summary"}, $B132))) &gt; 0,$B132 &amp; " (" &amp; $E132 &amp; ")",IF(SUMPRODUCT(-- ISNUMBER(SEARCH({"Content","Currency","Number","Percent","Text","URL"}, $B132))) &gt; 0,$B132 &amp; "(" &amp; $C132 &amp; ")",$B132)))), "  ", TRIM(IF($S132 = "YES", "(External ID)", "") &amp; " " &amp; IF(SUMPRODUCT(-- ISNUMBER(SEARCH({"Unique","Unique Case Insensitive"}, $R132))) &gt; 0, "(" &amp; $R132 &amp; ")", ""))))</f>
        <v>na</v>
      </c>
      <c r="E132" s="7" t="s">
        <v>195</v>
      </c>
      <c r="F132" s="7" t="s">
        <v>195</v>
      </c>
      <c r="G132" s="7" t="s">
        <v>195</v>
      </c>
      <c r="H132" s="7" t="s">
        <v>195</v>
      </c>
      <c r="I132" s="7" t="s">
        <v>195</v>
      </c>
      <c r="J132" s="7" t="s">
        <v>195</v>
      </c>
      <c r="K132" s="7" t="s">
        <v>195</v>
      </c>
      <c r="L132" s="7" t="s">
        <v>195</v>
      </c>
      <c r="M132" s="7" t="s">
        <v>29</v>
      </c>
      <c r="N132" s="7" t="s">
        <v>29</v>
      </c>
      <c r="O132" s="7" t="s">
        <v>29</v>
      </c>
      <c r="P132" s="7" t="s">
        <v>29</v>
      </c>
      <c r="Q132" s="7" t="s">
        <v>29</v>
      </c>
      <c r="R132" s="7" t="s">
        <v>29</v>
      </c>
      <c r="S132" s="7" t="s">
        <v>29</v>
      </c>
    </row>
    <row r="133" spans="2:19">
      <c r="B133" s="9" t="s">
        <v>195</v>
      </c>
      <c r="C133" s="7" t="s">
        <v>195</v>
      </c>
      <c r="D133" s="5" t="str">
        <f>LRTRIM(CONCATENATE(IF(SUMPRODUCT(-- ISNUMBER(SEARCH({"Auto Number"}, $B133))) &gt; 0, $B133, IF(SUMPRODUCT(-- ISNUMBER(SEARCH({"Lookup","Master-Detail"}, $B133))) &gt; 0,$B133 &amp; "(" &amp; $E133 &amp; ")",IF(SUMPRODUCT(-- ISNUMBER(SEARCH({"Formula","Roll-Up Summary"}, $B133))) &gt; 0,$B133 &amp; " (" &amp; $E133 &amp; ")",IF(SUMPRODUCT(-- ISNUMBER(SEARCH({"Content","Currency","Number","Percent","Text","URL"}, $B133))) &gt; 0,$B133 &amp; "(" &amp; $C133 &amp; ")",$B133)))), "  ", TRIM(IF($S133 = "YES", "(External ID)", "") &amp; " " &amp; IF(SUMPRODUCT(-- ISNUMBER(SEARCH({"Unique","Unique Case Insensitive"}, $R133))) &gt; 0, "(" &amp; $R133 &amp; ")", ""))))</f>
        <v>na</v>
      </c>
      <c r="E133" s="7" t="s">
        <v>195</v>
      </c>
      <c r="F133" s="7" t="s">
        <v>195</v>
      </c>
      <c r="G133" s="7" t="s">
        <v>195</v>
      </c>
      <c r="H133" s="7" t="s">
        <v>195</v>
      </c>
      <c r="I133" s="7" t="s">
        <v>195</v>
      </c>
      <c r="J133" s="7" t="s">
        <v>195</v>
      </c>
      <c r="K133" s="7" t="s">
        <v>195</v>
      </c>
      <c r="L133" s="7" t="s">
        <v>195</v>
      </c>
      <c r="M133" s="7" t="s">
        <v>29</v>
      </c>
      <c r="N133" s="7" t="s">
        <v>29</v>
      </c>
      <c r="O133" s="7" t="s">
        <v>29</v>
      </c>
      <c r="P133" s="7" t="s">
        <v>29</v>
      </c>
      <c r="Q133" s="7" t="s">
        <v>29</v>
      </c>
      <c r="R133" s="7" t="s">
        <v>29</v>
      </c>
      <c r="S133" s="7" t="s">
        <v>29</v>
      </c>
    </row>
    <row r="134" spans="2:19">
      <c r="B134" s="9" t="s">
        <v>195</v>
      </c>
      <c r="C134" s="7" t="s">
        <v>195</v>
      </c>
      <c r="D134" s="5" t="str">
        <f>LRTRIM(CONCATENATE(IF(SUMPRODUCT(-- ISNUMBER(SEARCH({"Auto Number"}, $B134))) &gt; 0, $B134, IF(SUMPRODUCT(-- ISNUMBER(SEARCH({"Lookup","Master-Detail"}, $B134))) &gt; 0,$B134 &amp; "(" &amp; $E134 &amp; ")",IF(SUMPRODUCT(-- ISNUMBER(SEARCH({"Formula","Roll-Up Summary"}, $B134))) &gt; 0,$B134 &amp; " (" &amp; $E134 &amp; ")",IF(SUMPRODUCT(-- ISNUMBER(SEARCH({"Content","Currency","Number","Percent","Text","URL"}, $B134))) &gt; 0,$B134 &amp; "(" &amp; $C134 &amp; ")",$B134)))), "  ", TRIM(IF($S134 = "YES", "(External ID)", "") &amp; " " &amp; IF(SUMPRODUCT(-- ISNUMBER(SEARCH({"Unique","Unique Case Insensitive"}, $R134))) &gt; 0, "(" &amp; $R134 &amp; ")", ""))))</f>
        <v>na</v>
      </c>
      <c r="E134" s="7" t="s">
        <v>195</v>
      </c>
      <c r="F134" s="7" t="s">
        <v>195</v>
      </c>
      <c r="G134" s="7" t="s">
        <v>195</v>
      </c>
      <c r="H134" s="7" t="s">
        <v>195</v>
      </c>
      <c r="I134" s="7" t="s">
        <v>195</v>
      </c>
      <c r="J134" s="7" t="s">
        <v>195</v>
      </c>
      <c r="K134" s="7" t="s">
        <v>195</v>
      </c>
      <c r="L134" s="7" t="s">
        <v>195</v>
      </c>
      <c r="M134" s="7" t="s">
        <v>29</v>
      </c>
      <c r="N134" s="7" t="s">
        <v>29</v>
      </c>
      <c r="O134" s="7" t="s">
        <v>29</v>
      </c>
      <c r="P134" s="7" t="s">
        <v>29</v>
      </c>
      <c r="Q134" s="7" t="s">
        <v>29</v>
      </c>
      <c r="R134" s="7" t="s">
        <v>29</v>
      </c>
      <c r="S134" s="7" t="s">
        <v>29</v>
      </c>
    </row>
    <row r="135" spans="2:19">
      <c r="B135" s="9" t="s">
        <v>195</v>
      </c>
      <c r="C135" s="7" t="s">
        <v>195</v>
      </c>
      <c r="D135" s="5" t="str">
        <f>LRTRIM(CONCATENATE(IF(SUMPRODUCT(-- ISNUMBER(SEARCH({"Auto Number"}, $B135))) &gt; 0, $B135, IF(SUMPRODUCT(-- ISNUMBER(SEARCH({"Lookup","Master-Detail"}, $B135))) &gt; 0,$B135 &amp; "(" &amp; $E135 &amp; ")",IF(SUMPRODUCT(-- ISNUMBER(SEARCH({"Formula","Roll-Up Summary"}, $B135))) &gt; 0,$B135 &amp; " (" &amp; $E135 &amp; ")",IF(SUMPRODUCT(-- ISNUMBER(SEARCH({"Content","Currency","Number","Percent","Text","URL"}, $B135))) &gt; 0,$B135 &amp; "(" &amp; $C135 &amp; ")",$B135)))), "  ", TRIM(IF($S135 = "YES", "(External ID)", "") &amp; " " &amp; IF(SUMPRODUCT(-- ISNUMBER(SEARCH({"Unique","Unique Case Insensitive"}, $R135))) &gt; 0, "(" &amp; $R135 &amp; ")", ""))))</f>
        <v>na</v>
      </c>
      <c r="E135" s="7" t="s">
        <v>195</v>
      </c>
      <c r="F135" s="7" t="s">
        <v>195</v>
      </c>
      <c r="G135" s="7" t="s">
        <v>195</v>
      </c>
      <c r="H135" s="7" t="s">
        <v>195</v>
      </c>
      <c r="I135" s="7" t="s">
        <v>195</v>
      </c>
      <c r="J135" s="7" t="s">
        <v>195</v>
      </c>
      <c r="K135" s="7" t="s">
        <v>195</v>
      </c>
      <c r="L135" s="7" t="s">
        <v>195</v>
      </c>
      <c r="M135" s="7" t="s">
        <v>29</v>
      </c>
      <c r="N135" s="7" t="s">
        <v>29</v>
      </c>
      <c r="O135" s="7" t="s">
        <v>29</v>
      </c>
      <c r="P135" s="7" t="s">
        <v>29</v>
      </c>
      <c r="Q135" s="7" t="s">
        <v>29</v>
      </c>
      <c r="R135" s="7" t="s">
        <v>29</v>
      </c>
      <c r="S135" s="7" t="s">
        <v>29</v>
      </c>
    </row>
    <row r="136" spans="2:19">
      <c r="B136" s="9" t="s">
        <v>195</v>
      </c>
      <c r="C136" s="7" t="s">
        <v>195</v>
      </c>
      <c r="D136" s="5" t="str">
        <f>LRTRIM(CONCATENATE(IF(SUMPRODUCT(-- ISNUMBER(SEARCH({"Auto Number"}, $B136))) &gt; 0, $B136, IF(SUMPRODUCT(-- ISNUMBER(SEARCH({"Lookup","Master-Detail"}, $B136))) &gt; 0,$B136 &amp; "(" &amp; $E136 &amp; ")",IF(SUMPRODUCT(-- ISNUMBER(SEARCH({"Formula","Roll-Up Summary"}, $B136))) &gt; 0,$B136 &amp; " (" &amp; $E136 &amp; ")",IF(SUMPRODUCT(-- ISNUMBER(SEARCH({"Content","Currency","Number","Percent","Text","URL"}, $B136))) &gt; 0,$B136 &amp; "(" &amp; $C136 &amp; ")",$B136)))), "  ", TRIM(IF($S136 = "YES", "(External ID)", "") &amp; " " &amp; IF(SUMPRODUCT(-- ISNUMBER(SEARCH({"Unique","Unique Case Insensitive"}, $R136))) &gt; 0, "(" &amp; $R136 &amp; ")", ""))))</f>
        <v>na</v>
      </c>
      <c r="E136" s="7" t="s">
        <v>195</v>
      </c>
      <c r="F136" s="7" t="s">
        <v>195</v>
      </c>
      <c r="G136" s="7" t="s">
        <v>195</v>
      </c>
      <c r="H136" s="7" t="s">
        <v>195</v>
      </c>
      <c r="I136" s="7" t="s">
        <v>195</v>
      </c>
      <c r="J136" s="7" t="s">
        <v>195</v>
      </c>
      <c r="K136" s="7" t="s">
        <v>195</v>
      </c>
      <c r="L136" s="7" t="s">
        <v>195</v>
      </c>
      <c r="M136" s="7" t="s">
        <v>29</v>
      </c>
      <c r="N136" s="7" t="s">
        <v>29</v>
      </c>
      <c r="O136" s="7" t="s">
        <v>29</v>
      </c>
      <c r="P136" s="7" t="s">
        <v>29</v>
      </c>
      <c r="Q136" s="7" t="s">
        <v>29</v>
      </c>
      <c r="R136" s="7" t="s">
        <v>29</v>
      </c>
      <c r="S136" s="7" t="s">
        <v>29</v>
      </c>
    </row>
    <row r="137" spans="2:19">
      <c r="B137" s="9" t="s">
        <v>195</v>
      </c>
      <c r="C137" s="7" t="s">
        <v>195</v>
      </c>
      <c r="D137" s="5" t="str">
        <f>LRTRIM(CONCATENATE(IF(SUMPRODUCT(-- ISNUMBER(SEARCH({"Auto Number"}, $B137))) &gt; 0, $B137, IF(SUMPRODUCT(-- ISNUMBER(SEARCH({"Lookup","Master-Detail"}, $B137))) &gt; 0,$B137 &amp; "(" &amp; $E137 &amp; ")",IF(SUMPRODUCT(-- ISNUMBER(SEARCH({"Formula","Roll-Up Summary"}, $B137))) &gt; 0,$B137 &amp; " (" &amp; $E137 &amp; ")",IF(SUMPRODUCT(-- ISNUMBER(SEARCH({"Content","Currency","Number","Percent","Text","URL"}, $B137))) &gt; 0,$B137 &amp; "(" &amp; $C137 &amp; ")",$B137)))), "  ", TRIM(IF($S137 = "YES", "(External ID)", "") &amp; " " &amp; IF(SUMPRODUCT(-- ISNUMBER(SEARCH({"Unique","Unique Case Insensitive"}, $R137))) &gt; 0, "(" &amp; $R137 &amp; ")", ""))))</f>
        <v>na</v>
      </c>
      <c r="E137" s="7" t="s">
        <v>195</v>
      </c>
      <c r="F137" s="7" t="s">
        <v>195</v>
      </c>
      <c r="G137" s="7" t="s">
        <v>195</v>
      </c>
      <c r="H137" s="7" t="s">
        <v>195</v>
      </c>
      <c r="I137" s="7" t="s">
        <v>195</v>
      </c>
      <c r="J137" s="7" t="s">
        <v>195</v>
      </c>
      <c r="K137" s="7" t="s">
        <v>195</v>
      </c>
      <c r="L137" s="7" t="s">
        <v>195</v>
      </c>
      <c r="M137" s="7" t="s">
        <v>29</v>
      </c>
      <c r="N137" s="7" t="s">
        <v>29</v>
      </c>
      <c r="O137" s="7" t="s">
        <v>29</v>
      </c>
      <c r="P137" s="7" t="s">
        <v>29</v>
      </c>
      <c r="Q137" s="7" t="s">
        <v>29</v>
      </c>
      <c r="R137" s="7" t="s">
        <v>29</v>
      </c>
      <c r="S137" s="7" t="s">
        <v>29</v>
      </c>
    </row>
    <row r="138" spans="2:19">
      <c r="B138" s="9" t="s">
        <v>195</v>
      </c>
      <c r="C138" s="7" t="s">
        <v>195</v>
      </c>
      <c r="D138" s="5" t="str">
        <f>LRTRIM(CONCATENATE(IF(SUMPRODUCT(-- ISNUMBER(SEARCH({"Auto Number"}, $B138))) &gt; 0, $B138, IF(SUMPRODUCT(-- ISNUMBER(SEARCH({"Lookup","Master-Detail"}, $B138))) &gt; 0,$B138 &amp; "(" &amp; $E138 &amp; ")",IF(SUMPRODUCT(-- ISNUMBER(SEARCH({"Formula","Roll-Up Summary"}, $B138))) &gt; 0,$B138 &amp; " (" &amp; $E138 &amp; ")",IF(SUMPRODUCT(-- ISNUMBER(SEARCH({"Content","Currency","Number","Percent","Text","URL"}, $B138))) &gt; 0,$B138 &amp; "(" &amp; $C138 &amp; ")",$B138)))), "  ", TRIM(IF($S138 = "YES", "(External ID)", "") &amp; " " &amp; IF(SUMPRODUCT(-- ISNUMBER(SEARCH({"Unique","Unique Case Insensitive"}, $R138))) &gt; 0, "(" &amp; $R138 &amp; ")", ""))))</f>
        <v>na</v>
      </c>
      <c r="E138" s="7" t="s">
        <v>195</v>
      </c>
      <c r="F138" s="7" t="s">
        <v>195</v>
      </c>
      <c r="G138" s="7" t="s">
        <v>195</v>
      </c>
      <c r="H138" s="7" t="s">
        <v>195</v>
      </c>
      <c r="I138" s="7" t="s">
        <v>195</v>
      </c>
      <c r="J138" s="7" t="s">
        <v>195</v>
      </c>
      <c r="K138" s="7" t="s">
        <v>195</v>
      </c>
      <c r="L138" s="7" t="s">
        <v>195</v>
      </c>
      <c r="M138" s="7" t="s">
        <v>29</v>
      </c>
      <c r="N138" s="7" t="s">
        <v>29</v>
      </c>
      <c r="O138" s="7" t="s">
        <v>29</v>
      </c>
      <c r="P138" s="7" t="s">
        <v>29</v>
      </c>
      <c r="Q138" s="7" t="s">
        <v>29</v>
      </c>
      <c r="R138" s="7" t="s">
        <v>29</v>
      </c>
      <c r="S138" s="7" t="s">
        <v>29</v>
      </c>
    </row>
    <row r="139" spans="2:19">
      <c r="B139" s="9" t="s">
        <v>195</v>
      </c>
      <c r="C139" s="7" t="s">
        <v>195</v>
      </c>
      <c r="D139" s="5" t="str">
        <f>LRTRIM(CONCATENATE(IF(SUMPRODUCT(-- ISNUMBER(SEARCH({"Auto Number"}, $B139))) &gt; 0, $B139, IF(SUMPRODUCT(-- ISNUMBER(SEARCH({"Lookup","Master-Detail"}, $B139))) &gt; 0,$B139 &amp; "(" &amp; $E139 &amp; ")",IF(SUMPRODUCT(-- ISNUMBER(SEARCH({"Formula","Roll-Up Summary"}, $B139))) &gt; 0,$B139 &amp; " (" &amp; $E139 &amp; ")",IF(SUMPRODUCT(-- ISNUMBER(SEARCH({"Content","Currency","Number","Percent","Text","URL"}, $B139))) &gt; 0,$B139 &amp; "(" &amp; $C139 &amp; ")",$B139)))), "  ", TRIM(IF($S139 = "YES", "(External ID)", "") &amp; " " &amp; IF(SUMPRODUCT(-- ISNUMBER(SEARCH({"Unique","Unique Case Insensitive"}, $R139))) &gt; 0, "(" &amp; $R139 &amp; ")", ""))))</f>
        <v>na</v>
      </c>
      <c r="E139" s="7" t="s">
        <v>195</v>
      </c>
      <c r="F139" s="7" t="s">
        <v>195</v>
      </c>
      <c r="G139" s="7" t="s">
        <v>195</v>
      </c>
      <c r="H139" s="7" t="s">
        <v>195</v>
      </c>
      <c r="I139" s="7" t="s">
        <v>195</v>
      </c>
      <c r="J139" s="7" t="s">
        <v>195</v>
      </c>
      <c r="K139" s="7" t="s">
        <v>195</v>
      </c>
      <c r="L139" s="7" t="s">
        <v>195</v>
      </c>
      <c r="M139" s="7" t="s">
        <v>29</v>
      </c>
      <c r="N139" s="7" t="s">
        <v>29</v>
      </c>
      <c r="O139" s="7" t="s">
        <v>29</v>
      </c>
      <c r="P139" s="7" t="s">
        <v>29</v>
      </c>
      <c r="Q139" s="7" t="s">
        <v>29</v>
      </c>
      <c r="R139" s="7" t="s">
        <v>29</v>
      </c>
      <c r="S139" s="7" t="s">
        <v>29</v>
      </c>
    </row>
    <row r="140" spans="2:19">
      <c r="B140" s="9" t="s">
        <v>195</v>
      </c>
      <c r="C140" s="7" t="s">
        <v>195</v>
      </c>
      <c r="D140" s="5" t="str">
        <f>LRTRIM(CONCATENATE(IF(SUMPRODUCT(-- ISNUMBER(SEARCH({"Auto Number"}, $B140))) &gt; 0, $B140, IF(SUMPRODUCT(-- ISNUMBER(SEARCH({"Lookup","Master-Detail"}, $B140))) &gt; 0,$B140 &amp; "(" &amp; $E140 &amp; ")",IF(SUMPRODUCT(-- ISNUMBER(SEARCH({"Formula","Roll-Up Summary"}, $B140))) &gt; 0,$B140 &amp; " (" &amp; $E140 &amp; ")",IF(SUMPRODUCT(-- ISNUMBER(SEARCH({"Content","Currency","Number","Percent","Text","URL"}, $B140))) &gt; 0,$B140 &amp; "(" &amp; $C140 &amp; ")",$B140)))), "  ", TRIM(IF($S140 = "YES", "(External ID)", "") &amp; " " &amp; IF(SUMPRODUCT(-- ISNUMBER(SEARCH({"Unique","Unique Case Insensitive"}, $R140))) &gt; 0, "(" &amp; $R140 &amp; ")", ""))))</f>
        <v>na</v>
      </c>
      <c r="E140" s="7" t="s">
        <v>195</v>
      </c>
      <c r="F140" s="7" t="s">
        <v>195</v>
      </c>
      <c r="G140" s="7" t="s">
        <v>195</v>
      </c>
      <c r="H140" s="7" t="s">
        <v>195</v>
      </c>
      <c r="I140" s="7" t="s">
        <v>195</v>
      </c>
      <c r="J140" s="7" t="s">
        <v>195</v>
      </c>
      <c r="K140" s="7" t="s">
        <v>195</v>
      </c>
      <c r="L140" s="7" t="s">
        <v>195</v>
      </c>
      <c r="M140" s="7" t="s">
        <v>29</v>
      </c>
      <c r="N140" s="7" t="s">
        <v>29</v>
      </c>
      <c r="O140" s="7" t="s">
        <v>29</v>
      </c>
      <c r="P140" s="7" t="s">
        <v>29</v>
      </c>
      <c r="Q140" s="7" t="s">
        <v>29</v>
      </c>
      <c r="R140" s="7" t="s">
        <v>29</v>
      </c>
      <c r="S140" s="7" t="s">
        <v>29</v>
      </c>
    </row>
    <row r="141" spans="2:19">
      <c r="B141" s="9" t="s">
        <v>195</v>
      </c>
      <c r="C141" s="7" t="s">
        <v>195</v>
      </c>
      <c r="D141" s="5" t="str">
        <f>LRTRIM(CONCATENATE(IF(SUMPRODUCT(-- ISNUMBER(SEARCH({"Auto Number"}, $B141))) &gt; 0, $B141, IF(SUMPRODUCT(-- ISNUMBER(SEARCH({"Lookup","Master-Detail"}, $B141))) &gt; 0,$B141 &amp; "(" &amp; $E141 &amp; ")",IF(SUMPRODUCT(-- ISNUMBER(SEARCH({"Formula","Roll-Up Summary"}, $B141))) &gt; 0,$B141 &amp; " (" &amp; $E141 &amp; ")",IF(SUMPRODUCT(-- ISNUMBER(SEARCH({"Content","Currency","Number","Percent","Text","URL"}, $B141))) &gt; 0,$B141 &amp; "(" &amp; $C141 &amp; ")",$B141)))), "  ", TRIM(IF($S141 = "YES", "(External ID)", "") &amp; " " &amp; IF(SUMPRODUCT(-- ISNUMBER(SEARCH({"Unique","Unique Case Insensitive"}, $R141))) &gt; 0, "(" &amp; $R141 &amp; ")", ""))))</f>
        <v>na</v>
      </c>
      <c r="E141" s="7" t="s">
        <v>195</v>
      </c>
      <c r="F141" s="7" t="s">
        <v>195</v>
      </c>
      <c r="G141" s="7" t="s">
        <v>195</v>
      </c>
      <c r="H141" s="7" t="s">
        <v>195</v>
      </c>
      <c r="I141" s="7" t="s">
        <v>195</v>
      </c>
      <c r="J141" s="7" t="s">
        <v>195</v>
      </c>
      <c r="K141" s="7" t="s">
        <v>195</v>
      </c>
      <c r="L141" s="7" t="s">
        <v>195</v>
      </c>
      <c r="M141" s="7" t="s">
        <v>29</v>
      </c>
      <c r="N141" s="7" t="s">
        <v>29</v>
      </c>
      <c r="O141" s="7" t="s">
        <v>29</v>
      </c>
      <c r="P141" s="7" t="s">
        <v>29</v>
      </c>
      <c r="Q141" s="7" t="s">
        <v>29</v>
      </c>
      <c r="R141" s="7" t="s">
        <v>29</v>
      </c>
      <c r="S141" s="7" t="s">
        <v>29</v>
      </c>
    </row>
    <row r="142" spans="2:19">
      <c r="B142" s="9" t="s">
        <v>195</v>
      </c>
      <c r="C142" s="7" t="s">
        <v>195</v>
      </c>
      <c r="D142" s="5" t="str">
        <f>LRTRIM(CONCATENATE(IF(SUMPRODUCT(-- ISNUMBER(SEARCH({"Auto Number"}, $B142))) &gt; 0, $B142, IF(SUMPRODUCT(-- ISNUMBER(SEARCH({"Lookup","Master-Detail"}, $B142))) &gt; 0,$B142 &amp; "(" &amp; $E142 &amp; ")",IF(SUMPRODUCT(-- ISNUMBER(SEARCH({"Formula","Roll-Up Summary"}, $B142))) &gt; 0,$B142 &amp; " (" &amp; $E142 &amp; ")",IF(SUMPRODUCT(-- ISNUMBER(SEARCH({"Content","Currency","Number","Percent","Text","URL"}, $B142))) &gt; 0,$B142 &amp; "(" &amp; $C142 &amp; ")",$B142)))), "  ", TRIM(IF($S142 = "YES", "(External ID)", "") &amp; " " &amp; IF(SUMPRODUCT(-- ISNUMBER(SEARCH({"Unique","Unique Case Insensitive"}, $R142))) &gt; 0, "(" &amp; $R142 &amp; ")", ""))))</f>
        <v>na</v>
      </c>
      <c r="E142" s="7" t="s">
        <v>195</v>
      </c>
      <c r="F142" s="7" t="s">
        <v>195</v>
      </c>
      <c r="G142" s="7" t="s">
        <v>195</v>
      </c>
      <c r="H142" s="7" t="s">
        <v>195</v>
      </c>
      <c r="I142" s="7" t="s">
        <v>195</v>
      </c>
      <c r="J142" s="7" t="s">
        <v>195</v>
      </c>
      <c r="K142" s="7" t="s">
        <v>195</v>
      </c>
      <c r="L142" s="7" t="s">
        <v>195</v>
      </c>
      <c r="M142" s="7" t="s">
        <v>29</v>
      </c>
      <c r="N142" s="7" t="s">
        <v>29</v>
      </c>
      <c r="O142" s="7" t="s">
        <v>29</v>
      </c>
      <c r="P142" s="7" t="s">
        <v>29</v>
      </c>
      <c r="Q142" s="7" t="s">
        <v>29</v>
      </c>
      <c r="R142" s="7" t="s">
        <v>29</v>
      </c>
      <c r="S142" s="7" t="s">
        <v>29</v>
      </c>
    </row>
    <row r="143" spans="2:19">
      <c r="B143" s="9" t="s">
        <v>195</v>
      </c>
      <c r="C143" s="7" t="s">
        <v>195</v>
      </c>
      <c r="D143" s="5" t="str">
        <f>LRTRIM(CONCATENATE(IF(SUMPRODUCT(-- ISNUMBER(SEARCH({"Auto Number"}, $B143))) &gt; 0, $B143, IF(SUMPRODUCT(-- ISNUMBER(SEARCH({"Lookup","Master-Detail"}, $B143))) &gt; 0,$B143 &amp; "(" &amp; $E143 &amp; ")",IF(SUMPRODUCT(-- ISNUMBER(SEARCH({"Formula","Roll-Up Summary"}, $B143))) &gt; 0,$B143 &amp; " (" &amp; $E143 &amp; ")",IF(SUMPRODUCT(-- ISNUMBER(SEARCH({"Content","Currency","Number","Percent","Text","URL"}, $B143))) &gt; 0,$B143 &amp; "(" &amp; $C143 &amp; ")",$B143)))), "  ", TRIM(IF($S143 = "YES", "(External ID)", "") &amp; " " &amp; IF(SUMPRODUCT(-- ISNUMBER(SEARCH({"Unique","Unique Case Insensitive"}, $R143))) &gt; 0, "(" &amp; $R143 &amp; ")", ""))))</f>
        <v>na</v>
      </c>
      <c r="E143" s="7" t="s">
        <v>195</v>
      </c>
      <c r="F143" s="7" t="s">
        <v>195</v>
      </c>
      <c r="G143" s="7" t="s">
        <v>195</v>
      </c>
      <c r="H143" s="7" t="s">
        <v>195</v>
      </c>
      <c r="I143" s="7" t="s">
        <v>195</v>
      </c>
      <c r="J143" s="7" t="s">
        <v>195</v>
      </c>
      <c r="K143" s="7" t="s">
        <v>195</v>
      </c>
      <c r="L143" s="7" t="s">
        <v>195</v>
      </c>
      <c r="M143" s="7" t="s">
        <v>29</v>
      </c>
      <c r="N143" s="7" t="s">
        <v>29</v>
      </c>
      <c r="O143" s="7" t="s">
        <v>29</v>
      </c>
      <c r="P143" s="7" t="s">
        <v>29</v>
      </c>
      <c r="Q143" s="7" t="s">
        <v>29</v>
      </c>
      <c r="R143" s="7" t="s">
        <v>29</v>
      </c>
      <c r="S143" s="7" t="s">
        <v>29</v>
      </c>
    </row>
    <row r="144" spans="2:19">
      <c r="B144" s="9" t="s">
        <v>195</v>
      </c>
      <c r="C144" s="7" t="s">
        <v>195</v>
      </c>
      <c r="D144" s="5" t="str">
        <f>LRTRIM(CONCATENATE(IF(SUMPRODUCT(-- ISNUMBER(SEARCH({"Auto Number"}, $B144))) &gt; 0, $B144, IF(SUMPRODUCT(-- ISNUMBER(SEARCH({"Lookup","Master-Detail"}, $B144))) &gt; 0,$B144 &amp; "(" &amp; $E144 &amp; ")",IF(SUMPRODUCT(-- ISNUMBER(SEARCH({"Formula","Roll-Up Summary"}, $B144))) &gt; 0,$B144 &amp; " (" &amp; $E144 &amp; ")",IF(SUMPRODUCT(-- ISNUMBER(SEARCH({"Content","Currency","Number","Percent","Text","URL"}, $B144))) &gt; 0,$B144 &amp; "(" &amp; $C144 &amp; ")",$B144)))), "  ", TRIM(IF($S144 = "YES", "(External ID)", "") &amp; " " &amp; IF(SUMPRODUCT(-- ISNUMBER(SEARCH({"Unique","Unique Case Insensitive"}, $R144))) &gt; 0, "(" &amp; $R144 &amp; ")", ""))))</f>
        <v>na</v>
      </c>
      <c r="E144" s="7" t="s">
        <v>195</v>
      </c>
      <c r="F144" s="7" t="s">
        <v>195</v>
      </c>
      <c r="G144" s="7" t="s">
        <v>195</v>
      </c>
      <c r="H144" s="7" t="s">
        <v>195</v>
      </c>
      <c r="I144" s="7" t="s">
        <v>195</v>
      </c>
      <c r="J144" s="7" t="s">
        <v>195</v>
      </c>
      <c r="K144" s="7" t="s">
        <v>195</v>
      </c>
      <c r="L144" s="7" t="s">
        <v>195</v>
      </c>
      <c r="M144" s="7" t="s">
        <v>29</v>
      </c>
      <c r="N144" s="7" t="s">
        <v>29</v>
      </c>
      <c r="O144" s="7" t="s">
        <v>29</v>
      </c>
      <c r="P144" s="7" t="s">
        <v>29</v>
      </c>
      <c r="Q144" s="7" t="s">
        <v>29</v>
      </c>
      <c r="R144" s="7" t="s">
        <v>29</v>
      </c>
      <c r="S144" s="7" t="s">
        <v>29</v>
      </c>
    </row>
    <row r="145" spans="2:19">
      <c r="B145" s="9" t="s">
        <v>195</v>
      </c>
      <c r="C145" s="7" t="s">
        <v>195</v>
      </c>
      <c r="D145" s="5" t="str">
        <f>LRTRIM(CONCATENATE(IF(SUMPRODUCT(-- ISNUMBER(SEARCH({"Auto Number"}, $B145))) &gt; 0, $B145, IF(SUMPRODUCT(-- ISNUMBER(SEARCH({"Lookup","Master-Detail"}, $B145))) &gt; 0,$B145 &amp; "(" &amp; $E145 &amp; ")",IF(SUMPRODUCT(-- ISNUMBER(SEARCH({"Formula","Roll-Up Summary"}, $B145))) &gt; 0,$B145 &amp; " (" &amp; $E145 &amp; ")",IF(SUMPRODUCT(-- ISNUMBER(SEARCH({"Content","Currency","Number","Percent","Text","URL"}, $B145))) &gt; 0,$B145 &amp; "(" &amp; $C145 &amp; ")",$B145)))), "  ", TRIM(IF($S145 = "YES", "(External ID)", "") &amp; " " &amp; IF(SUMPRODUCT(-- ISNUMBER(SEARCH({"Unique","Unique Case Insensitive"}, $R145))) &gt; 0, "(" &amp; $R145 &amp; ")", ""))))</f>
        <v>na</v>
      </c>
      <c r="E145" s="7" t="s">
        <v>195</v>
      </c>
      <c r="F145" s="7" t="s">
        <v>195</v>
      </c>
      <c r="G145" s="7" t="s">
        <v>195</v>
      </c>
      <c r="H145" s="7" t="s">
        <v>195</v>
      </c>
      <c r="I145" s="7" t="s">
        <v>195</v>
      </c>
      <c r="J145" s="7" t="s">
        <v>195</v>
      </c>
      <c r="K145" s="7" t="s">
        <v>195</v>
      </c>
      <c r="L145" s="7" t="s">
        <v>195</v>
      </c>
      <c r="M145" s="7" t="s">
        <v>29</v>
      </c>
      <c r="N145" s="7" t="s">
        <v>29</v>
      </c>
      <c r="O145" s="7" t="s">
        <v>29</v>
      </c>
      <c r="P145" s="7" t="s">
        <v>29</v>
      </c>
      <c r="Q145" s="7" t="s">
        <v>29</v>
      </c>
      <c r="R145" s="7" t="s">
        <v>29</v>
      </c>
      <c r="S145" s="7" t="s">
        <v>29</v>
      </c>
    </row>
    <row r="146" spans="2:19">
      <c r="B146" s="9" t="s">
        <v>195</v>
      </c>
      <c r="C146" s="7" t="s">
        <v>195</v>
      </c>
      <c r="D146" s="5" t="str">
        <f>LRTRIM(CONCATENATE(IF(SUMPRODUCT(-- ISNUMBER(SEARCH({"Auto Number"}, $B146))) &gt; 0, $B146, IF(SUMPRODUCT(-- ISNUMBER(SEARCH({"Lookup","Master-Detail"}, $B146))) &gt; 0,$B146 &amp; "(" &amp; $E146 &amp; ")",IF(SUMPRODUCT(-- ISNUMBER(SEARCH({"Formula","Roll-Up Summary"}, $B146))) &gt; 0,$B146 &amp; " (" &amp; $E146 &amp; ")",IF(SUMPRODUCT(-- ISNUMBER(SEARCH({"Content","Currency","Number","Percent","Text","URL"}, $B146))) &gt; 0,$B146 &amp; "(" &amp; $C146 &amp; ")",$B146)))), "  ", TRIM(IF($S146 = "YES", "(External ID)", "") &amp; " " &amp; IF(SUMPRODUCT(-- ISNUMBER(SEARCH({"Unique","Unique Case Insensitive"}, $R146))) &gt; 0, "(" &amp; $R146 &amp; ")", ""))))</f>
        <v>na</v>
      </c>
      <c r="E146" s="7" t="s">
        <v>195</v>
      </c>
      <c r="F146" s="7" t="s">
        <v>195</v>
      </c>
      <c r="G146" s="7" t="s">
        <v>195</v>
      </c>
      <c r="H146" s="7" t="s">
        <v>195</v>
      </c>
      <c r="I146" s="7" t="s">
        <v>195</v>
      </c>
      <c r="J146" s="7" t="s">
        <v>195</v>
      </c>
      <c r="K146" s="7" t="s">
        <v>195</v>
      </c>
      <c r="L146" s="7" t="s">
        <v>195</v>
      </c>
      <c r="M146" s="7" t="s">
        <v>29</v>
      </c>
      <c r="N146" s="7" t="s">
        <v>29</v>
      </c>
      <c r="O146" s="7" t="s">
        <v>29</v>
      </c>
      <c r="P146" s="7" t="s">
        <v>29</v>
      </c>
      <c r="Q146" s="7" t="s">
        <v>29</v>
      </c>
      <c r="R146" s="7" t="s">
        <v>29</v>
      </c>
      <c r="S146" s="7" t="s">
        <v>29</v>
      </c>
    </row>
    <row r="147" spans="2:19">
      <c r="B147" s="9" t="s">
        <v>195</v>
      </c>
      <c r="C147" s="7" t="s">
        <v>195</v>
      </c>
      <c r="D147" s="5" t="str">
        <f>LRTRIM(CONCATENATE(IF(SUMPRODUCT(-- ISNUMBER(SEARCH({"Auto Number"}, $B147))) &gt; 0, $B147, IF(SUMPRODUCT(-- ISNUMBER(SEARCH({"Lookup","Master-Detail"}, $B147))) &gt; 0,$B147 &amp; "(" &amp; $E147 &amp; ")",IF(SUMPRODUCT(-- ISNUMBER(SEARCH({"Formula","Roll-Up Summary"}, $B147))) &gt; 0,$B147 &amp; " (" &amp; $E147 &amp; ")",IF(SUMPRODUCT(-- ISNUMBER(SEARCH({"Content","Currency","Number","Percent","Text","URL"}, $B147))) &gt; 0,$B147 &amp; "(" &amp; $C147 &amp; ")",$B147)))), "  ", TRIM(IF($S147 = "YES", "(External ID)", "") &amp; " " &amp; IF(SUMPRODUCT(-- ISNUMBER(SEARCH({"Unique","Unique Case Insensitive"}, $R147))) &gt; 0, "(" &amp; $R147 &amp; ")", ""))))</f>
        <v>na</v>
      </c>
      <c r="E147" s="7" t="s">
        <v>195</v>
      </c>
      <c r="F147" s="7" t="s">
        <v>195</v>
      </c>
      <c r="G147" s="7" t="s">
        <v>195</v>
      </c>
      <c r="H147" s="7" t="s">
        <v>195</v>
      </c>
      <c r="I147" s="7" t="s">
        <v>195</v>
      </c>
      <c r="J147" s="7" t="s">
        <v>195</v>
      </c>
      <c r="K147" s="7" t="s">
        <v>195</v>
      </c>
      <c r="L147" s="7" t="s">
        <v>195</v>
      </c>
      <c r="M147" s="7" t="s">
        <v>29</v>
      </c>
      <c r="N147" s="7" t="s">
        <v>29</v>
      </c>
      <c r="O147" s="7" t="s">
        <v>29</v>
      </c>
      <c r="P147" s="7" t="s">
        <v>29</v>
      </c>
      <c r="Q147" s="7" t="s">
        <v>29</v>
      </c>
      <c r="R147" s="7" t="s">
        <v>29</v>
      </c>
      <c r="S147" s="7" t="s">
        <v>29</v>
      </c>
    </row>
    <row r="148" spans="2:19">
      <c r="B148" s="9" t="s">
        <v>195</v>
      </c>
      <c r="C148" s="7" t="s">
        <v>195</v>
      </c>
      <c r="D148" s="5" t="str">
        <f>LRTRIM(CONCATENATE(IF(SUMPRODUCT(-- ISNUMBER(SEARCH({"Auto Number"}, $B148))) &gt; 0, $B148, IF(SUMPRODUCT(-- ISNUMBER(SEARCH({"Lookup","Master-Detail"}, $B148))) &gt; 0,$B148 &amp; "(" &amp; $E148 &amp; ")",IF(SUMPRODUCT(-- ISNUMBER(SEARCH({"Formula","Roll-Up Summary"}, $B148))) &gt; 0,$B148 &amp; " (" &amp; $E148 &amp; ")",IF(SUMPRODUCT(-- ISNUMBER(SEARCH({"Content","Currency","Number","Percent","Text","URL"}, $B148))) &gt; 0,$B148 &amp; "(" &amp; $C148 &amp; ")",$B148)))), "  ", TRIM(IF($S148 = "YES", "(External ID)", "") &amp; " " &amp; IF(SUMPRODUCT(-- ISNUMBER(SEARCH({"Unique","Unique Case Insensitive"}, $R148))) &gt; 0, "(" &amp; $R148 &amp; ")", ""))))</f>
        <v>na</v>
      </c>
      <c r="E148" s="7" t="s">
        <v>195</v>
      </c>
      <c r="F148" s="7" t="s">
        <v>195</v>
      </c>
      <c r="G148" s="7" t="s">
        <v>195</v>
      </c>
      <c r="H148" s="7" t="s">
        <v>195</v>
      </c>
      <c r="I148" s="7" t="s">
        <v>195</v>
      </c>
      <c r="J148" s="7" t="s">
        <v>195</v>
      </c>
      <c r="K148" s="7" t="s">
        <v>195</v>
      </c>
      <c r="L148" s="7" t="s">
        <v>195</v>
      </c>
      <c r="M148" s="7" t="s">
        <v>29</v>
      </c>
      <c r="N148" s="7" t="s">
        <v>29</v>
      </c>
      <c r="O148" s="7" t="s">
        <v>29</v>
      </c>
      <c r="P148" s="7" t="s">
        <v>29</v>
      </c>
      <c r="Q148" s="7" t="s">
        <v>29</v>
      </c>
      <c r="R148" s="7" t="s">
        <v>29</v>
      </c>
      <c r="S148" s="7" t="s">
        <v>29</v>
      </c>
    </row>
    <row r="149" spans="2:19">
      <c r="B149" s="9" t="s">
        <v>195</v>
      </c>
      <c r="C149" s="7" t="s">
        <v>195</v>
      </c>
      <c r="D149" s="5" t="str">
        <f>LRTRIM(CONCATENATE(IF(SUMPRODUCT(-- ISNUMBER(SEARCH({"Auto Number"}, $B149))) &gt; 0, $B149, IF(SUMPRODUCT(-- ISNUMBER(SEARCH({"Lookup","Master-Detail"}, $B149))) &gt; 0,$B149 &amp; "(" &amp; $E149 &amp; ")",IF(SUMPRODUCT(-- ISNUMBER(SEARCH({"Formula","Roll-Up Summary"}, $B149))) &gt; 0,$B149 &amp; " (" &amp; $E149 &amp; ")",IF(SUMPRODUCT(-- ISNUMBER(SEARCH({"Content","Currency","Number","Percent","Text","URL"}, $B149))) &gt; 0,$B149 &amp; "(" &amp; $C149 &amp; ")",$B149)))), "  ", TRIM(IF($S149 = "YES", "(External ID)", "") &amp; " " &amp; IF(SUMPRODUCT(-- ISNUMBER(SEARCH({"Unique","Unique Case Insensitive"}, $R149))) &gt; 0, "(" &amp; $R149 &amp; ")", ""))))</f>
        <v>na</v>
      </c>
      <c r="E149" s="7" t="s">
        <v>195</v>
      </c>
      <c r="F149" s="7" t="s">
        <v>195</v>
      </c>
      <c r="G149" s="7" t="s">
        <v>195</v>
      </c>
      <c r="H149" s="7" t="s">
        <v>195</v>
      </c>
      <c r="I149" s="7" t="s">
        <v>195</v>
      </c>
      <c r="J149" s="7" t="s">
        <v>195</v>
      </c>
      <c r="K149" s="7" t="s">
        <v>195</v>
      </c>
      <c r="L149" s="7" t="s">
        <v>195</v>
      </c>
      <c r="M149" s="7" t="s">
        <v>29</v>
      </c>
      <c r="N149" s="7" t="s">
        <v>29</v>
      </c>
      <c r="O149" s="7" t="s">
        <v>29</v>
      </c>
      <c r="P149" s="7" t="s">
        <v>29</v>
      </c>
      <c r="Q149" s="7" t="s">
        <v>29</v>
      </c>
      <c r="R149" s="7" t="s">
        <v>29</v>
      </c>
      <c r="S149" s="7" t="s">
        <v>29</v>
      </c>
    </row>
    <row r="150" spans="2:19">
      <c r="B150" s="9" t="s">
        <v>195</v>
      </c>
      <c r="C150" s="7" t="s">
        <v>195</v>
      </c>
      <c r="D150" s="5" t="str">
        <f>LRTRIM(CONCATENATE(IF(SUMPRODUCT(-- ISNUMBER(SEARCH({"Auto Number"}, $B150))) &gt; 0, $B150, IF(SUMPRODUCT(-- ISNUMBER(SEARCH({"Lookup","Master-Detail"}, $B150))) &gt; 0,$B150 &amp; "(" &amp; $E150 &amp; ")",IF(SUMPRODUCT(-- ISNUMBER(SEARCH({"Formula","Roll-Up Summary"}, $B150))) &gt; 0,$B150 &amp; " (" &amp; $E150 &amp; ")",IF(SUMPRODUCT(-- ISNUMBER(SEARCH({"Content","Currency","Number","Percent","Text","URL"}, $B150))) &gt; 0,$B150 &amp; "(" &amp; $C150 &amp; ")",$B150)))), "  ", TRIM(IF($S150 = "YES", "(External ID)", "") &amp; " " &amp; IF(SUMPRODUCT(-- ISNUMBER(SEARCH({"Unique","Unique Case Insensitive"}, $R150))) &gt; 0, "(" &amp; $R150 &amp; ")", ""))))</f>
        <v>na</v>
      </c>
      <c r="E150" s="7" t="s">
        <v>195</v>
      </c>
      <c r="F150" s="7" t="s">
        <v>195</v>
      </c>
      <c r="G150" s="7" t="s">
        <v>195</v>
      </c>
      <c r="H150" s="7" t="s">
        <v>195</v>
      </c>
      <c r="I150" s="7" t="s">
        <v>195</v>
      </c>
      <c r="J150" s="7" t="s">
        <v>195</v>
      </c>
      <c r="K150" s="7" t="s">
        <v>195</v>
      </c>
      <c r="L150" s="7" t="s">
        <v>195</v>
      </c>
      <c r="M150" s="7" t="s">
        <v>29</v>
      </c>
      <c r="N150" s="7" t="s">
        <v>29</v>
      </c>
      <c r="O150" s="7" t="s">
        <v>29</v>
      </c>
      <c r="P150" s="7" t="s">
        <v>29</v>
      </c>
      <c r="Q150" s="7" t="s">
        <v>29</v>
      </c>
      <c r="R150" s="7" t="s">
        <v>29</v>
      </c>
      <c r="S150" s="7" t="s">
        <v>29</v>
      </c>
    </row>
    <row r="151" spans="2:19">
      <c r="B151" s="9" t="s">
        <v>195</v>
      </c>
      <c r="C151" s="7" t="s">
        <v>195</v>
      </c>
      <c r="D151" s="5" t="str">
        <f>LRTRIM(CONCATENATE(IF(SUMPRODUCT(-- ISNUMBER(SEARCH({"Auto Number"}, $B151))) &gt; 0, $B151, IF(SUMPRODUCT(-- ISNUMBER(SEARCH({"Lookup","Master-Detail"}, $B151))) &gt; 0,$B151 &amp; "(" &amp; $E151 &amp; ")",IF(SUMPRODUCT(-- ISNUMBER(SEARCH({"Formula","Roll-Up Summary"}, $B151))) &gt; 0,$B151 &amp; " (" &amp; $E151 &amp; ")",IF(SUMPRODUCT(-- ISNUMBER(SEARCH({"Content","Currency","Number","Percent","Text","URL"}, $B151))) &gt; 0,$B151 &amp; "(" &amp; $C151 &amp; ")",$B151)))), "  ", TRIM(IF($S151 = "YES", "(External ID)", "") &amp; " " &amp; IF(SUMPRODUCT(-- ISNUMBER(SEARCH({"Unique","Unique Case Insensitive"}, $R151))) &gt; 0, "(" &amp; $R151 &amp; ")", ""))))</f>
        <v>na</v>
      </c>
      <c r="E151" s="7" t="s">
        <v>195</v>
      </c>
      <c r="F151" s="7" t="s">
        <v>195</v>
      </c>
      <c r="G151" s="7" t="s">
        <v>195</v>
      </c>
      <c r="H151" s="7" t="s">
        <v>195</v>
      </c>
      <c r="I151" s="7" t="s">
        <v>195</v>
      </c>
      <c r="J151" s="7" t="s">
        <v>195</v>
      </c>
      <c r="K151" s="7" t="s">
        <v>195</v>
      </c>
      <c r="L151" s="7" t="s">
        <v>195</v>
      </c>
      <c r="M151" s="7" t="s">
        <v>29</v>
      </c>
      <c r="N151" s="7" t="s">
        <v>29</v>
      </c>
      <c r="O151" s="7" t="s">
        <v>29</v>
      </c>
      <c r="P151" s="7" t="s">
        <v>29</v>
      </c>
      <c r="Q151" s="7" t="s">
        <v>29</v>
      </c>
      <c r="R151" s="7" t="s">
        <v>29</v>
      </c>
      <c r="S151" s="7" t="s">
        <v>29</v>
      </c>
    </row>
    <row r="152" spans="2:19">
      <c r="B152" s="9" t="s">
        <v>195</v>
      </c>
      <c r="C152" s="7" t="s">
        <v>195</v>
      </c>
      <c r="D152" s="5" t="str">
        <f>LRTRIM(CONCATENATE(IF(SUMPRODUCT(-- ISNUMBER(SEARCH({"Auto Number"}, $B152))) &gt; 0, $B152, IF(SUMPRODUCT(-- ISNUMBER(SEARCH({"Lookup","Master-Detail"}, $B152))) &gt; 0,$B152 &amp; "(" &amp; $E152 &amp; ")",IF(SUMPRODUCT(-- ISNUMBER(SEARCH({"Formula","Roll-Up Summary"}, $B152))) &gt; 0,$B152 &amp; " (" &amp; $E152 &amp; ")",IF(SUMPRODUCT(-- ISNUMBER(SEARCH({"Content","Currency","Number","Percent","Text","URL"}, $B152))) &gt; 0,$B152 &amp; "(" &amp; $C152 &amp; ")",$B152)))), "  ", TRIM(IF($S152 = "YES", "(External ID)", "") &amp; " " &amp; IF(SUMPRODUCT(-- ISNUMBER(SEARCH({"Unique","Unique Case Insensitive"}, $R152))) &gt; 0, "(" &amp; $R152 &amp; ")", ""))))</f>
        <v>na</v>
      </c>
      <c r="E152" s="7" t="s">
        <v>195</v>
      </c>
      <c r="F152" s="7" t="s">
        <v>195</v>
      </c>
      <c r="G152" s="7" t="s">
        <v>195</v>
      </c>
      <c r="H152" s="7" t="s">
        <v>195</v>
      </c>
      <c r="I152" s="7" t="s">
        <v>195</v>
      </c>
      <c r="J152" s="7" t="s">
        <v>195</v>
      </c>
      <c r="K152" s="7" t="s">
        <v>195</v>
      </c>
      <c r="L152" s="7" t="s">
        <v>195</v>
      </c>
      <c r="M152" s="7" t="s">
        <v>29</v>
      </c>
      <c r="N152" s="7" t="s">
        <v>29</v>
      </c>
      <c r="O152" s="7" t="s">
        <v>29</v>
      </c>
      <c r="P152" s="7" t="s">
        <v>29</v>
      </c>
      <c r="Q152" s="7" t="s">
        <v>29</v>
      </c>
      <c r="R152" s="7" t="s">
        <v>29</v>
      </c>
      <c r="S152" s="7" t="s">
        <v>29</v>
      </c>
    </row>
    <row r="153" spans="2:19">
      <c r="B153" s="9" t="s">
        <v>195</v>
      </c>
      <c r="C153" s="7" t="s">
        <v>195</v>
      </c>
      <c r="D153" s="5" t="str">
        <f>LRTRIM(CONCATENATE(IF(SUMPRODUCT(-- ISNUMBER(SEARCH({"Auto Number"}, $B153))) &gt; 0, $B153, IF(SUMPRODUCT(-- ISNUMBER(SEARCH({"Lookup","Master-Detail"}, $B153))) &gt; 0,$B153 &amp; "(" &amp; $E153 &amp; ")",IF(SUMPRODUCT(-- ISNUMBER(SEARCH({"Formula","Roll-Up Summary"}, $B153))) &gt; 0,$B153 &amp; " (" &amp; $E153 &amp; ")",IF(SUMPRODUCT(-- ISNUMBER(SEARCH({"Content","Currency","Number","Percent","Text","URL"}, $B153))) &gt; 0,$B153 &amp; "(" &amp; $C153 &amp; ")",$B153)))), "  ", TRIM(IF($S153 = "YES", "(External ID)", "") &amp; " " &amp; IF(SUMPRODUCT(-- ISNUMBER(SEARCH({"Unique","Unique Case Insensitive"}, $R153))) &gt; 0, "(" &amp; $R153 &amp; ")", ""))))</f>
        <v>na</v>
      </c>
      <c r="E153" s="7" t="s">
        <v>195</v>
      </c>
      <c r="F153" s="7" t="s">
        <v>195</v>
      </c>
      <c r="G153" s="7" t="s">
        <v>195</v>
      </c>
      <c r="H153" s="7" t="s">
        <v>195</v>
      </c>
      <c r="I153" s="7" t="s">
        <v>195</v>
      </c>
      <c r="J153" s="7" t="s">
        <v>195</v>
      </c>
      <c r="K153" s="7" t="s">
        <v>195</v>
      </c>
      <c r="L153" s="7" t="s">
        <v>195</v>
      </c>
      <c r="M153" s="7" t="s">
        <v>29</v>
      </c>
      <c r="N153" s="7" t="s">
        <v>29</v>
      </c>
      <c r="O153" s="7" t="s">
        <v>29</v>
      </c>
      <c r="P153" s="7" t="s">
        <v>29</v>
      </c>
      <c r="Q153" s="7" t="s">
        <v>29</v>
      </c>
      <c r="R153" s="7" t="s">
        <v>29</v>
      </c>
      <c r="S153" s="7" t="s">
        <v>29</v>
      </c>
    </row>
    <row r="154" spans="2:19">
      <c r="B154" s="9" t="s">
        <v>195</v>
      </c>
      <c r="C154" s="7" t="s">
        <v>195</v>
      </c>
      <c r="D154" s="5" t="str">
        <f>LRTRIM(CONCATENATE(IF(SUMPRODUCT(-- ISNUMBER(SEARCH({"Auto Number"}, $B154))) &gt; 0, $B154, IF(SUMPRODUCT(-- ISNUMBER(SEARCH({"Lookup","Master-Detail"}, $B154))) &gt; 0,$B154 &amp; "(" &amp; $E154 &amp; ")",IF(SUMPRODUCT(-- ISNUMBER(SEARCH({"Formula","Roll-Up Summary"}, $B154))) &gt; 0,$B154 &amp; " (" &amp; $E154 &amp; ")",IF(SUMPRODUCT(-- ISNUMBER(SEARCH({"Content","Currency","Number","Percent","Text","URL"}, $B154))) &gt; 0,$B154 &amp; "(" &amp; $C154 &amp; ")",$B154)))), "  ", TRIM(IF($S154 = "YES", "(External ID)", "") &amp; " " &amp; IF(SUMPRODUCT(-- ISNUMBER(SEARCH({"Unique","Unique Case Insensitive"}, $R154))) &gt; 0, "(" &amp; $R154 &amp; ")", ""))))</f>
        <v>na</v>
      </c>
      <c r="E154" s="7" t="s">
        <v>195</v>
      </c>
      <c r="F154" s="7" t="s">
        <v>195</v>
      </c>
      <c r="G154" s="7" t="s">
        <v>195</v>
      </c>
      <c r="H154" s="7" t="s">
        <v>195</v>
      </c>
      <c r="I154" s="7" t="s">
        <v>195</v>
      </c>
      <c r="J154" s="7" t="s">
        <v>195</v>
      </c>
      <c r="K154" s="7" t="s">
        <v>195</v>
      </c>
      <c r="L154" s="7" t="s">
        <v>195</v>
      </c>
      <c r="M154" s="7" t="s">
        <v>29</v>
      </c>
      <c r="N154" s="7" t="s">
        <v>29</v>
      </c>
      <c r="O154" s="7" t="s">
        <v>29</v>
      </c>
      <c r="P154" s="7" t="s">
        <v>29</v>
      </c>
      <c r="Q154" s="7" t="s">
        <v>29</v>
      </c>
      <c r="R154" s="7" t="s">
        <v>29</v>
      </c>
      <c r="S154" s="7" t="s">
        <v>29</v>
      </c>
    </row>
    <row r="155" spans="2:19">
      <c r="B155" s="9" t="s">
        <v>195</v>
      </c>
      <c r="C155" s="7" t="s">
        <v>195</v>
      </c>
      <c r="D155" s="5" t="str">
        <f>LRTRIM(CONCATENATE(IF(SUMPRODUCT(-- ISNUMBER(SEARCH({"Auto Number"}, $B155))) &gt; 0, $B155, IF(SUMPRODUCT(-- ISNUMBER(SEARCH({"Lookup","Master-Detail"}, $B155))) &gt; 0,$B155 &amp; "(" &amp; $E155 &amp; ")",IF(SUMPRODUCT(-- ISNUMBER(SEARCH({"Formula","Roll-Up Summary"}, $B155))) &gt; 0,$B155 &amp; " (" &amp; $E155 &amp; ")",IF(SUMPRODUCT(-- ISNUMBER(SEARCH({"Content","Currency","Number","Percent","Text","URL"}, $B155))) &gt; 0,$B155 &amp; "(" &amp; $C155 &amp; ")",$B155)))), "  ", TRIM(IF($S155 = "YES", "(External ID)", "") &amp; " " &amp; IF(SUMPRODUCT(-- ISNUMBER(SEARCH({"Unique","Unique Case Insensitive"}, $R155))) &gt; 0, "(" &amp; $R155 &amp; ")", ""))))</f>
        <v>na</v>
      </c>
      <c r="E155" s="7" t="s">
        <v>195</v>
      </c>
      <c r="F155" s="7" t="s">
        <v>195</v>
      </c>
      <c r="G155" s="7" t="s">
        <v>195</v>
      </c>
      <c r="H155" s="7" t="s">
        <v>195</v>
      </c>
      <c r="I155" s="7" t="s">
        <v>195</v>
      </c>
      <c r="J155" s="7" t="s">
        <v>195</v>
      </c>
      <c r="K155" s="7" t="s">
        <v>195</v>
      </c>
      <c r="L155" s="7" t="s">
        <v>195</v>
      </c>
      <c r="M155" s="7" t="s">
        <v>29</v>
      </c>
      <c r="N155" s="7" t="s">
        <v>29</v>
      </c>
      <c r="O155" s="7" t="s">
        <v>29</v>
      </c>
      <c r="P155" s="7" t="s">
        <v>29</v>
      </c>
      <c r="Q155" s="7" t="s">
        <v>29</v>
      </c>
      <c r="R155" s="7" t="s">
        <v>29</v>
      </c>
      <c r="S155" s="7" t="s">
        <v>29</v>
      </c>
    </row>
    <row r="156" spans="2:19">
      <c r="B156" s="9" t="s">
        <v>195</v>
      </c>
      <c r="C156" s="7" t="s">
        <v>195</v>
      </c>
      <c r="D156" s="5" t="str">
        <f>LRTRIM(CONCATENATE(IF(SUMPRODUCT(-- ISNUMBER(SEARCH({"Auto Number"}, $B156))) &gt; 0, $B156, IF(SUMPRODUCT(-- ISNUMBER(SEARCH({"Lookup","Master-Detail"}, $B156))) &gt; 0,$B156 &amp; "(" &amp; $E156 &amp; ")",IF(SUMPRODUCT(-- ISNUMBER(SEARCH({"Formula","Roll-Up Summary"}, $B156))) &gt; 0,$B156 &amp; " (" &amp; $E156 &amp; ")",IF(SUMPRODUCT(-- ISNUMBER(SEARCH({"Content","Currency","Number","Percent","Text","URL"}, $B156))) &gt; 0,$B156 &amp; "(" &amp; $C156 &amp; ")",$B156)))), "  ", TRIM(IF($S156 = "YES", "(External ID)", "") &amp; " " &amp; IF(SUMPRODUCT(-- ISNUMBER(SEARCH({"Unique","Unique Case Insensitive"}, $R156))) &gt; 0, "(" &amp; $R156 &amp; ")", ""))))</f>
        <v>na</v>
      </c>
      <c r="E156" s="7" t="s">
        <v>195</v>
      </c>
      <c r="F156" s="7" t="s">
        <v>195</v>
      </c>
      <c r="G156" s="7" t="s">
        <v>195</v>
      </c>
      <c r="H156" s="7" t="s">
        <v>195</v>
      </c>
      <c r="I156" s="7" t="s">
        <v>195</v>
      </c>
      <c r="J156" s="7" t="s">
        <v>195</v>
      </c>
      <c r="K156" s="7" t="s">
        <v>195</v>
      </c>
      <c r="L156" s="7" t="s">
        <v>195</v>
      </c>
      <c r="M156" s="7" t="s">
        <v>29</v>
      </c>
      <c r="N156" s="7" t="s">
        <v>29</v>
      </c>
      <c r="O156" s="7" t="s">
        <v>29</v>
      </c>
      <c r="P156" s="7" t="s">
        <v>29</v>
      </c>
      <c r="Q156" s="7" t="s">
        <v>29</v>
      </c>
      <c r="R156" s="7" t="s">
        <v>29</v>
      </c>
      <c r="S156" s="7" t="s">
        <v>29</v>
      </c>
    </row>
    <row r="157" spans="2:19">
      <c r="B157" s="9" t="s">
        <v>195</v>
      </c>
      <c r="C157" s="7" t="s">
        <v>195</v>
      </c>
      <c r="D157" s="5" t="str">
        <f>LRTRIM(CONCATENATE(IF(SUMPRODUCT(-- ISNUMBER(SEARCH({"Auto Number"}, $B157))) &gt; 0, $B157, IF(SUMPRODUCT(-- ISNUMBER(SEARCH({"Lookup","Master-Detail"}, $B157))) &gt; 0,$B157 &amp; "(" &amp; $E157 &amp; ")",IF(SUMPRODUCT(-- ISNUMBER(SEARCH({"Formula","Roll-Up Summary"}, $B157))) &gt; 0,$B157 &amp; " (" &amp; $E157 &amp; ")",IF(SUMPRODUCT(-- ISNUMBER(SEARCH({"Content","Currency","Number","Percent","Text","URL"}, $B157))) &gt; 0,$B157 &amp; "(" &amp; $C157 &amp; ")",$B157)))), "  ", TRIM(IF($S157 = "YES", "(External ID)", "") &amp; " " &amp; IF(SUMPRODUCT(-- ISNUMBER(SEARCH({"Unique","Unique Case Insensitive"}, $R157))) &gt; 0, "(" &amp; $R157 &amp; ")", ""))))</f>
        <v>na</v>
      </c>
      <c r="E157" s="7" t="s">
        <v>195</v>
      </c>
      <c r="F157" s="7" t="s">
        <v>195</v>
      </c>
      <c r="G157" s="7" t="s">
        <v>195</v>
      </c>
      <c r="H157" s="7" t="s">
        <v>195</v>
      </c>
      <c r="I157" s="7" t="s">
        <v>195</v>
      </c>
      <c r="J157" s="7" t="s">
        <v>195</v>
      </c>
      <c r="K157" s="7" t="s">
        <v>195</v>
      </c>
      <c r="L157" s="7" t="s">
        <v>195</v>
      </c>
      <c r="M157" s="7" t="s">
        <v>29</v>
      </c>
      <c r="N157" s="7" t="s">
        <v>29</v>
      </c>
      <c r="O157" s="7" t="s">
        <v>29</v>
      </c>
      <c r="P157" s="7" t="s">
        <v>29</v>
      </c>
      <c r="Q157" s="7" t="s">
        <v>29</v>
      </c>
      <c r="R157" s="7" t="s">
        <v>29</v>
      </c>
      <c r="S157" s="7" t="s">
        <v>29</v>
      </c>
    </row>
    <row r="158" spans="2:19">
      <c r="B158" s="9" t="s">
        <v>195</v>
      </c>
      <c r="C158" s="7" t="s">
        <v>195</v>
      </c>
      <c r="D158" s="5" t="str">
        <f>LRTRIM(CONCATENATE(IF(SUMPRODUCT(-- ISNUMBER(SEARCH({"Auto Number"}, $B158))) &gt; 0, $B158, IF(SUMPRODUCT(-- ISNUMBER(SEARCH({"Lookup","Master-Detail"}, $B158))) &gt; 0,$B158 &amp; "(" &amp; $E158 &amp; ")",IF(SUMPRODUCT(-- ISNUMBER(SEARCH({"Formula","Roll-Up Summary"}, $B158))) &gt; 0,$B158 &amp; " (" &amp; $E158 &amp; ")",IF(SUMPRODUCT(-- ISNUMBER(SEARCH({"Content","Currency","Number","Percent","Text","URL"}, $B158))) &gt; 0,$B158 &amp; "(" &amp; $C158 &amp; ")",$B158)))), "  ", TRIM(IF($S158 = "YES", "(External ID)", "") &amp; " " &amp; IF(SUMPRODUCT(-- ISNUMBER(SEARCH({"Unique","Unique Case Insensitive"}, $R158))) &gt; 0, "(" &amp; $R158 &amp; ")", ""))))</f>
        <v>na</v>
      </c>
      <c r="E158" s="7" t="s">
        <v>195</v>
      </c>
      <c r="F158" s="7" t="s">
        <v>195</v>
      </c>
      <c r="G158" s="7" t="s">
        <v>195</v>
      </c>
      <c r="H158" s="7" t="s">
        <v>195</v>
      </c>
      <c r="I158" s="7" t="s">
        <v>195</v>
      </c>
      <c r="J158" s="7" t="s">
        <v>195</v>
      </c>
      <c r="K158" s="7" t="s">
        <v>195</v>
      </c>
      <c r="L158" s="7" t="s">
        <v>195</v>
      </c>
      <c r="M158" s="7" t="s">
        <v>29</v>
      </c>
      <c r="N158" s="7" t="s">
        <v>29</v>
      </c>
      <c r="O158" s="7" t="s">
        <v>29</v>
      </c>
      <c r="P158" s="7" t="s">
        <v>29</v>
      </c>
      <c r="Q158" s="7" t="s">
        <v>29</v>
      </c>
      <c r="R158" s="7" t="s">
        <v>29</v>
      </c>
      <c r="S158" s="7" t="s">
        <v>29</v>
      </c>
    </row>
    <row r="159" spans="2:19">
      <c r="B159" s="9" t="s">
        <v>195</v>
      </c>
      <c r="C159" s="7" t="s">
        <v>195</v>
      </c>
      <c r="D159" s="5" t="str">
        <f>LRTRIM(CONCATENATE(IF(SUMPRODUCT(-- ISNUMBER(SEARCH({"Auto Number"}, $B159))) &gt; 0, $B159, IF(SUMPRODUCT(-- ISNUMBER(SEARCH({"Lookup","Master-Detail"}, $B159))) &gt; 0,$B159 &amp; "(" &amp; $E159 &amp; ")",IF(SUMPRODUCT(-- ISNUMBER(SEARCH({"Formula","Roll-Up Summary"}, $B159))) &gt; 0,$B159 &amp; " (" &amp; $E159 &amp; ")",IF(SUMPRODUCT(-- ISNUMBER(SEARCH({"Content","Currency","Number","Percent","Text","URL"}, $B159))) &gt; 0,$B159 &amp; "(" &amp; $C159 &amp; ")",$B159)))), "  ", TRIM(IF($S159 = "YES", "(External ID)", "") &amp; " " &amp; IF(SUMPRODUCT(-- ISNUMBER(SEARCH({"Unique","Unique Case Insensitive"}, $R159))) &gt; 0, "(" &amp; $R159 &amp; ")", ""))))</f>
        <v>na</v>
      </c>
      <c r="E159" s="7" t="s">
        <v>195</v>
      </c>
      <c r="F159" s="7" t="s">
        <v>195</v>
      </c>
      <c r="G159" s="7" t="s">
        <v>195</v>
      </c>
      <c r="H159" s="7" t="s">
        <v>195</v>
      </c>
      <c r="I159" s="7" t="s">
        <v>195</v>
      </c>
      <c r="J159" s="7" t="s">
        <v>195</v>
      </c>
      <c r="K159" s="7" t="s">
        <v>195</v>
      </c>
      <c r="L159" s="7" t="s">
        <v>195</v>
      </c>
      <c r="M159" s="7" t="s">
        <v>29</v>
      </c>
      <c r="N159" s="7" t="s">
        <v>29</v>
      </c>
      <c r="O159" s="7" t="s">
        <v>29</v>
      </c>
      <c r="P159" s="7" t="s">
        <v>29</v>
      </c>
      <c r="Q159" s="7" t="s">
        <v>29</v>
      </c>
      <c r="R159" s="7" t="s">
        <v>29</v>
      </c>
      <c r="S159" s="7" t="s">
        <v>29</v>
      </c>
    </row>
    <row r="160" spans="2:19">
      <c r="B160" s="9" t="s">
        <v>195</v>
      </c>
      <c r="C160" s="7" t="s">
        <v>195</v>
      </c>
      <c r="D160" s="5" t="str">
        <f>LRTRIM(CONCATENATE(IF(SUMPRODUCT(-- ISNUMBER(SEARCH({"Auto Number"}, $B160))) &gt; 0, $B160, IF(SUMPRODUCT(-- ISNUMBER(SEARCH({"Lookup","Master-Detail"}, $B160))) &gt; 0,$B160 &amp; "(" &amp; $E160 &amp; ")",IF(SUMPRODUCT(-- ISNUMBER(SEARCH({"Formula","Roll-Up Summary"}, $B160))) &gt; 0,$B160 &amp; " (" &amp; $E160 &amp; ")",IF(SUMPRODUCT(-- ISNUMBER(SEARCH({"Content","Currency","Number","Percent","Text","URL"}, $B160))) &gt; 0,$B160 &amp; "(" &amp; $C160 &amp; ")",$B160)))), "  ", TRIM(IF($S160 = "YES", "(External ID)", "") &amp; " " &amp; IF(SUMPRODUCT(-- ISNUMBER(SEARCH({"Unique","Unique Case Insensitive"}, $R160))) &gt; 0, "(" &amp; $R160 &amp; ")", ""))))</f>
        <v>na</v>
      </c>
      <c r="E160" s="7" t="s">
        <v>195</v>
      </c>
      <c r="F160" s="7" t="s">
        <v>195</v>
      </c>
      <c r="G160" s="7" t="s">
        <v>195</v>
      </c>
      <c r="H160" s="7" t="s">
        <v>195</v>
      </c>
      <c r="I160" s="7" t="s">
        <v>195</v>
      </c>
      <c r="J160" s="7" t="s">
        <v>195</v>
      </c>
      <c r="K160" s="7" t="s">
        <v>195</v>
      </c>
      <c r="L160" s="7" t="s">
        <v>195</v>
      </c>
      <c r="M160" s="7" t="s">
        <v>29</v>
      </c>
      <c r="N160" s="7" t="s">
        <v>29</v>
      </c>
      <c r="O160" s="7" t="s">
        <v>29</v>
      </c>
      <c r="P160" s="7" t="s">
        <v>29</v>
      </c>
      <c r="Q160" s="7" t="s">
        <v>29</v>
      </c>
      <c r="R160" s="7" t="s">
        <v>29</v>
      </c>
      <c r="S160" s="7" t="s">
        <v>29</v>
      </c>
    </row>
    <row r="161" spans="2:19">
      <c r="B161" s="9" t="s">
        <v>195</v>
      </c>
      <c r="C161" s="7" t="s">
        <v>195</v>
      </c>
      <c r="D161" s="5" t="str">
        <f>LRTRIM(CONCATENATE(IF(SUMPRODUCT(-- ISNUMBER(SEARCH({"Auto Number"}, $B161))) &gt; 0, $B161, IF(SUMPRODUCT(-- ISNUMBER(SEARCH({"Lookup","Master-Detail"}, $B161))) &gt; 0,$B161 &amp; "(" &amp; $E161 &amp; ")",IF(SUMPRODUCT(-- ISNUMBER(SEARCH({"Formula","Roll-Up Summary"}, $B161))) &gt; 0,$B161 &amp; " (" &amp; $E161 &amp; ")",IF(SUMPRODUCT(-- ISNUMBER(SEARCH({"Content","Currency","Number","Percent","Text","URL"}, $B161))) &gt; 0,$B161 &amp; "(" &amp; $C161 &amp; ")",$B161)))), "  ", TRIM(IF($S161 = "YES", "(External ID)", "") &amp; " " &amp; IF(SUMPRODUCT(-- ISNUMBER(SEARCH({"Unique","Unique Case Insensitive"}, $R161))) &gt; 0, "(" &amp; $R161 &amp; ")", ""))))</f>
        <v>na</v>
      </c>
      <c r="E161" s="7" t="s">
        <v>195</v>
      </c>
      <c r="F161" s="7" t="s">
        <v>195</v>
      </c>
      <c r="G161" s="7" t="s">
        <v>195</v>
      </c>
      <c r="H161" s="7" t="s">
        <v>195</v>
      </c>
      <c r="I161" s="7" t="s">
        <v>195</v>
      </c>
      <c r="J161" s="7" t="s">
        <v>195</v>
      </c>
      <c r="K161" s="7" t="s">
        <v>195</v>
      </c>
      <c r="L161" s="7" t="s">
        <v>195</v>
      </c>
      <c r="M161" s="7" t="s">
        <v>29</v>
      </c>
      <c r="N161" s="7" t="s">
        <v>29</v>
      </c>
      <c r="O161" s="7" t="s">
        <v>29</v>
      </c>
      <c r="P161" s="7" t="s">
        <v>29</v>
      </c>
      <c r="Q161" s="7" t="s">
        <v>29</v>
      </c>
      <c r="R161" s="7" t="s">
        <v>29</v>
      </c>
      <c r="S161" s="7" t="s">
        <v>29</v>
      </c>
    </row>
    <row r="162" spans="2:19">
      <c r="B162" s="9" t="s">
        <v>195</v>
      </c>
      <c r="C162" s="7" t="s">
        <v>195</v>
      </c>
      <c r="D162" s="5" t="str">
        <f>LRTRIM(CONCATENATE(IF(SUMPRODUCT(-- ISNUMBER(SEARCH({"Auto Number"}, $B162))) &gt; 0, $B162, IF(SUMPRODUCT(-- ISNUMBER(SEARCH({"Lookup","Master-Detail"}, $B162))) &gt; 0,$B162 &amp; "(" &amp; $E162 &amp; ")",IF(SUMPRODUCT(-- ISNUMBER(SEARCH({"Formula","Roll-Up Summary"}, $B162))) &gt; 0,$B162 &amp; " (" &amp; $E162 &amp; ")",IF(SUMPRODUCT(-- ISNUMBER(SEARCH({"Content","Currency","Number","Percent","Text","URL"}, $B162))) &gt; 0,$B162 &amp; "(" &amp; $C162 &amp; ")",$B162)))), "  ", TRIM(IF($S162 = "YES", "(External ID)", "") &amp; " " &amp; IF(SUMPRODUCT(-- ISNUMBER(SEARCH({"Unique","Unique Case Insensitive"}, $R162))) &gt; 0, "(" &amp; $R162 &amp; ")", ""))))</f>
        <v>na</v>
      </c>
      <c r="E162" s="7" t="s">
        <v>195</v>
      </c>
      <c r="F162" s="7" t="s">
        <v>195</v>
      </c>
      <c r="G162" s="7" t="s">
        <v>195</v>
      </c>
      <c r="H162" s="7" t="s">
        <v>195</v>
      </c>
      <c r="I162" s="7" t="s">
        <v>195</v>
      </c>
      <c r="J162" s="7" t="s">
        <v>195</v>
      </c>
      <c r="K162" s="7" t="s">
        <v>195</v>
      </c>
      <c r="L162" s="7" t="s">
        <v>195</v>
      </c>
      <c r="M162" s="7" t="s">
        <v>29</v>
      </c>
      <c r="N162" s="7" t="s">
        <v>29</v>
      </c>
      <c r="O162" s="7" t="s">
        <v>29</v>
      </c>
      <c r="P162" s="7" t="s">
        <v>29</v>
      </c>
      <c r="Q162" s="7" t="s">
        <v>29</v>
      </c>
      <c r="R162" s="7" t="s">
        <v>29</v>
      </c>
      <c r="S162" s="7" t="s">
        <v>29</v>
      </c>
    </row>
    <row r="163" spans="2:19">
      <c r="B163" s="9" t="s">
        <v>195</v>
      </c>
      <c r="C163" s="7" t="s">
        <v>195</v>
      </c>
      <c r="D163" s="5" t="str">
        <f>LRTRIM(CONCATENATE(IF(SUMPRODUCT(-- ISNUMBER(SEARCH({"Auto Number"}, $B163))) &gt; 0, $B163, IF(SUMPRODUCT(-- ISNUMBER(SEARCH({"Lookup","Master-Detail"}, $B163))) &gt; 0,$B163 &amp; "(" &amp; $E163 &amp; ")",IF(SUMPRODUCT(-- ISNUMBER(SEARCH({"Formula","Roll-Up Summary"}, $B163))) &gt; 0,$B163 &amp; " (" &amp; $E163 &amp; ")",IF(SUMPRODUCT(-- ISNUMBER(SEARCH({"Content","Currency","Number","Percent","Text","URL"}, $B163))) &gt; 0,$B163 &amp; "(" &amp; $C163 &amp; ")",$B163)))), "  ", TRIM(IF($S163 = "YES", "(External ID)", "") &amp; " " &amp; IF(SUMPRODUCT(-- ISNUMBER(SEARCH({"Unique","Unique Case Insensitive"}, $R163))) &gt; 0, "(" &amp; $R163 &amp; ")", ""))))</f>
        <v>na</v>
      </c>
      <c r="E163" s="7" t="s">
        <v>195</v>
      </c>
      <c r="F163" s="7" t="s">
        <v>195</v>
      </c>
      <c r="G163" s="7" t="s">
        <v>195</v>
      </c>
      <c r="H163" s="7" t="s">
        <v>195</v>
      </c>
      <c r="I163" s="7" t="s">
        <v>195</v>
      </c>
      <c r="J163" s="7" t="s">
        <v>195</v>
      </c>
      <c r="K163" s="7" t="s">
        <v>195</v>
      </c>
      <c r="L163" s="7" t="s">
        <v>195</v>
      </c>
      <c r="M163" s="7" t="s">
        <v>29</v>
      </c>
      <c r="N163" s="7" t="s">
        <v>29</v>
      </c>
      <c r="O163" s="7" t="s">
        <v>29</v>
      </c>
      <c r="P163" s="7" t="s">
        <v>29</v>
      </c>
      <c r="Q163" s="7" t="s">
        <v>29</v>
      </c>
      <c r="R163" s="7" t="s">
        <v>29</v>
      </c>
      <c r="S163" s="7" t="s">
        <v>29</v>
      </c>
    </row>
    <row r="164" spans="2:19">
      <c r="B164" s="9" t="s">
        <v>195</v>
      </c>
      <c r="C164" s="7" t="s">
        <v>195</v>
      </c>
      <c r="D164" s="5" t="str">
        <f>LRTRIM(CONCATENATE(IF(SUMPRODUCT(-- ISNUMBER(SEARCH({"Auto Number"}, $B164))) &gt; 0, $B164, IF(SUMPRODUCT(-- ISNUMBER(SEARCH({"Lookup","Master-Detail"}, $B164))) &gt; 0,$B164 &amp; "(" &amp; $E164 &amp; ")",IF(SUMPRODUCT(-- ISNUMBER(SEARCH({"Formula","Roll-Up Summary"}, $B164))) &gt; 0,$B164 &amp; " (" &amp; $E164 &amp; ")",IF(SUMPRODUCT(-- ISNUMBER(SEARCH({"Content","Currency","Number","Percent","Text","URL"}, $B164))) &gt; 0,$B164 &amp; "(" &amp; $C164 &amp; ")",$B164)))), "  ", TRIM(IF($S164 = "YES", "(External ID)", "") &amp; " " &amp; IF(SUMPRODUCT(-- ISNUMBER(SEARCH({"Unique","Unique Case Insensitive"}, $R164))) &gt; 0, "(" &amp; $R164 &amp; ")", ""))))</f>
        <v>na</v>
      </c>
      <c r="E164" s="7" t="s">
        <v>195</v>
      </c>
      <c r="F164" s="7" t="s">
        <v>195</v>
      </c>
      <c r="G164" s="7" t="s">
        <v>195</v>
      </c>
      <c r="H164" s="7" t="s">
        <v>195</v>
      </c>
      <c r="I164" s="7" t="s">
        <v>195</v>
      </c>
      <c r="J164" s="7" t="s">
        <v>195</v>
      </c>
      <c r="K164" s="7" t="s">
        <v>195</v>
      </c>
      <c r="L164" s="7" t="s">
        <v>195</v>
      </c>
      <c r="M164" s="7" t="s">
        <v>29</v>
      </c>
      <c r="N164" s="7" t="s">
        <v>29</v>
      </c>
      <c r="O164" s="7" t="s">
        <v>29</v>
      </c>
      <c r="P164" s="7" t="s">
        <v>29</v>
      </c>
      <c r="Q164" s="7" t="s">
        <v>29</v>
      </c>
      <c r="R164" s="7" t="s">
        <v>29</v>
      </c>
      <c r="S164" s="7" t="s">
        <v>29</v>
      </c>
    </row>
    <row r="165" spans="2:19">
      <c r="B165" s="9" t="s">
        <v>195</v>
      </c>
      <c r="C165" s="7" t="s">
        <v>195</v>
      </c>
      <c r="D165" s="5" t="str">
        <f>LRTRIM(CONCATENATE(IF(SUMPRODUCT(-- ISNUMBER(SEARCH({"Auto Number"}, $B165))) &gt; 0, $B165, IF(SUMPRODUCT(-- ISNUMBER(SEARCH({"Lookup","Master-Detail"}, $B165))) &gt; 0,$B165 &amp; "(" &amp; $E165 &amp; ")",IF(SUMPRODUCT(-- ISNUMBER(SEARCH({"Formula","Roll-Up Summary"}, $B165))) &gt; 0,$B165 &amp; " (" &amp; $E165 &amp; ")",IF(SUMPRODUCT(-- ISNUMBER(SEARCH({"Content","Currency","Number","Percent","Text","URL"}, $B165))) &gt; 0,$B165 &amp; "(" &amp; $C165 &amp; ")",$B165)))), "  ", TRIM(IF($S165 = "YES", "(External ID)", "") &amp; " " &amp; IF(SUMPRODUCT(-- ISNUMBER(SEARCH({"Unique","Unique Case Insensitive"}, $R165))) &gt; 0, "(" &amp; $R165 &amp; ")", ""))))</f>
        <v>na</v>
      </c>
      <c r="E165" s="7" t="s">
        <v>195</v>
      </c>
      <c r="F165" s="7" t="s">
        <v>195</v>
      </c>
      <c r="G165" s="7" t="s">
        <v>195</v>
      </c>
      <c r="H165" s="7" t="s">
        <v>195</v>
      </c>
      <c r="I165" s="7" t="s">
        <v>195</v>
      </c>
      <c r="J165" s="7" t="s">
        <v>195</v>
      </c>
      <c r="K165" s="7" t="s">
        <v>195</v>
      </c>
      <c r="L165" s="7" t="s">
        <v>195</v>
      </c>
      <c r="M165" s="7" t="s">
        <v>29</v>
      </c>
      <c r="N165" s="7" t="s">
        <v>29</v>
      </c>
      <c r="O165" s="7" t="s">
        <v>29</v>
      </c>
      <c r="P165" s="7" t="s">
        <v>29</v>
      </c>
      <c r="Q165" s="7" t="s">
        <v>29</v>
      </c>
      <c r="R165" s="7" t="s">
        <v>29</v>
      </c>
      <c r="S165" s="7" t="s">
        <v>29</v>
      </c>
    </row>
    <row r="166" spans="2:19">
      <c r="B166" s="9" t="s">
        <v>195</v>
      </c>
      <c r="C166" s="7" t="s">
        <v>195</v>
      </c>
      <c r="D166" s="5" t="str">
        <f>LRTRIM(CONCATENATE(IF(SUMPRODUCT(-- ISNUMBER(SEARCH({"Auto Number"}, $B166))) &gt; 0, $B166, IF(SUMPRODUCT(-- ISNUMBER(SEARCH({"Lookup","Master-Detail"}, $B166))) &gt; 0,$B166 &amp; "(" &amp; $E166 &amp; ")",IF(SUMPRODUCT(-- ISNUMBER(SEARCH({"Formula","Roll-Up Summary"}, $B166))) &gt; 0,$B166 &amp; " (" &amp; $E166 &amp; ")",IF(SUMPRODUCT(-- ISNUMBER(SEARCH({"Content","Currency","Number","Percent","Text","URL"}, $B166))) &gt; 0,$B166 &amp; "(" &amp; $C166 &amp; ")",$B166)))), "  ", TRIM(IF($S166 = "YES", "(External ID)", "") &amp; " " &amp; IF(SUMPRODUCT(-- ISNUMBER(SEARCH({"Unique","Unique Case Insensitive"}, $R166))) &gt; 0, "(" &amp; $R166 &amp; ")", ""))))</f>
        <v>na</v>
      </c>
      <c r="E166" s="7" t="s">
        <v>195</v>
      </c>
      <c r="F166" s="7" t="s">
        <v>195</v>
      </c>
      <c r="G166" s="7" t="s">
        <v>195</v>
      </c>
      <c r="H166" s="7" t="s">
        <v>195</v>
      </c>
      <c r="I166" s="7" t="s">
        <v>195</v>
      </c>
      <c r="J166" s="7" t="s">
        <v>195</v>
      </c>
      <c r="K166" s="7" t="s">
        <v>195</v>
      </c>
      <c r="L166" s="7" t="s">
        <v>195</v>
      </c>
      <c r="M166" s="7" t="s">
        <v>29</v>
      </c>
      <c r="N166" s="7" t="s">
        <v>29</v>
      </c>
      <c r="O166" s="7" t="s">
        <v>29</v>
      </c>
      <c r="P166" s="7" t="s">
        <v>29</v>
      </c>
      <c r="Q166" s="7" t="s">
        <v>29</v>
      </c>
      <c r="R166" s="7" t="s">
        <v>29</v>
      </c>
      <c r="S166" s="7" t="s">
        <v>29</v>
      </c>
    </row>
    <row r="167" spans="2:19">
      <c r="B167" s="9" t="s">
        <v>195</v>
      </c>
      <c r="C167" s="7" t="s">
        <v>195</v>
      </c>
      <c r="D167" s="5" t="str">
        <f>LRTRIM(CONCATENATE(IF(SUMPRODUCT(-- ISNUMBER(SEARCH({"Auto Number"}, $B167))) &gt; 0, $B167, IF(SUMPRODUCT(-- ISNUMBER(SEARCH({"Lookup","Master-Detail"}, $B167))) &gt; 0,$B167 &amp; "(" &amp; $E167 &amp; ")",IF(SUMPRODUCT(-- ISNUMBER(SEARCH({"Formula","Roll-Up Summary"}, $B167))) &gt; 0,$B167 &amp; " (" &amp; $E167 &amp; ")",IF(SUMPRODUCT(-- ISNUMBER(SEARCH({"Content","Currency","Number","Percent","Text","URL"}, $B167))) &gt; 0,$B167 &amp; "(" &amp; $C167 &amp; ")",$B167)))), "  ", TRIM(IF($S167 = "YES", "(External ID)", "") &amp; " " &amp; IF(SUMPRODUCT(-- ISNUMBER(SEARCH({"Unique","Unique Case Insensitive"}, $R167))) &gt; 0, "(" &amp; $R167 &amp; ")", ""))))</f>
        <v>na</v>
      </c>
      <c r="E167" s="7" t="s">
        <v>195</v>
      </c>
      <c r="F167" s="7" t="s">
        <v>195</v>
      </c>
      <c r="G167" s="7" t="s">
        <v>195</v>
      </c>
      <c r="H167" s="7" t="s">
        <v>195</v>
      </c>
      <c r="I167" s="7" t="s">
        <v>195</v>
      </c>
      <c r="J167" s="7" t="s">
        <v>195</v>
      </c>
      <c r="K167" s="7" t="s">
        <v>195</v>
      </c>
      <c r="L167" s="7" t="s">
        <v>195</v>
      </c>
      <c r="M167" s="7" t="s">
        <v>29</v>
      </c>
      <c r="N167" s="7" t="s">
        <v>29</v>
      </c>
      <c r="O167" s="7" t="s">
        <v>29</v>
      </c>
      <c r="P167" s="7" t="s">
        <v>29</v>
      </c>
      <c r="Q167" s="7" t="s">
        <v>29</v>
      </c>
      <c r="R167" s="7" t="s">
        <v>29</v>
      </c>
      <c r="S167" s="7" t="s">
        <v>29</v>
      </c>
    </row>
    <row r="168" spans="2:19">
      <c r="B168" s="9" t="s">
        <v>195</v>
      </c>
      <c r="C168" s="7" t="s">
        <v>195</v>
      </c>
      <c r="D168" s="5" t="str">
        <f>LRTRIM(CONCATENATE(IF(SUMPRODUCT(-- ISNUMBER(SEARCH({"Auto Number"}, $B168))) &gt; 0, $B168, IF(SUMPRODUCT(-- ISNUMBER(SEARCH({"Lookup","Master-Detail"}, $B168))) &gt; 0,$B168 &amp; "(" &amp; $E168 &amp; ")",IF(SUMPRODUCT(-- ISNUMBER(SEARCH({"Formula","Roll-Up Summary"}, $B168))) &gt; 0,$B168 &amp; " (" &amp; $E168 &amp; ")",IF(SUMPRODUCT(-- ISNUMBER(SEARCH({"Content","Currency","Number","Percent","Text","URL"}, $B168))) &gt; 0,$B168 &amp; "(" &amp; $C168 &amp; ")",$B168)))), "  ", TRIM(IF($S168 = "YES", "(External ID)", "") &amp; " " &amp; IF(SUMPRODUCT(-- ISNUMBER(SEARCH({"Unique","Unique Case Insensitive"}, $R168))) &gt; 0, "(" &amp; $R168 &amp; ")", ""))))</f>
        <v>na</v>
      </c>
      <c r="E168" s="7" t="s">
        <v>195</v>
      </c>
      <c r="F168" s="7" t="s">
        <v>195</v>
      </c>
      <c r="G168" s="7" t="s">
        <v>195</v>
      </c>
      <c r="H168" s="7" t="s">
        <v>195</v>
      </c>
      <c r="I168" s="7" t="s">
        <v>195</v>
      </c>
      <c r="J168" s="7" t="s">
        <v>195</v>
      </c>
      <c r="K168" s="7" t="s">
        <v>195</v>
      </c>
      <c r="L168" s="7" t="s">
        <v>195</v>
      </c>
      <c r="M168" s="7" t="s">
        <v>29</v>
      </c>
      <c r="N168" s="7" t="s">
        <v>29</v>
      </c>
      <c r="O168" s="7" t="s">
        <v>29</v>
      </c>
      <c r="P168" s="7" t="s">
        <v>29</v>
      </c>
      <c r="Q168" s="7" t="s">
        <v>29</v>
      </c>
      <c r="R168" s="7" t="s">
        <v>29</v>
      </c>
      <c r="S168" s="7" t="s">
        <v>29</v>
      </c>
    </row>
    <row r="169" spans="2:19">
      <c r="B169" s="9" t="s">
        <v>195</v>
      </c>
      <c r="C169" s="7" t="s">
        <v>195</v>
      </c>
      <c r="D169" s="5" t="str">
        <f>LRTRIM(CONCATENATE(IF(SUMPRODUCT(-- ISNUMBER(SEARCH({"Auto Number"}, $B169))) &gt; 0, $B169, IF(SUMPRODUCT(-- ISNUMBER(SEARCH({"Lookup","Master-Detail"}, $B169))) &gt; 0,$B169 &amp; "(" &amp; $E169 &amp; ")",IF(SUMPRODUCT(-- ISNUMBER(SEARCH({"Formula","Roll-Up Summary"}, $B169))) &gt; 0,$B169 &amp; " (" &amp; $E169 &amp; ")",IF(SUMPRODUCT(-- ISNUMBER(SEARCH({"Content","Currency","Number","Percent","Text","URL"}, $B169))) &gt; 0,$B169 &amp; "(" &amp; $C169 &amp; ")",$B169)))), "  ", TRIM(IF($S169 = "YES", "(External ID)", "") &amp; " " &amp; IF(SUMPRODUCT(-- ISNUMBER(SEARCH({"Unique","Unique Case Insensitive"}, $R169))) &gt; 0, "(" &amp; $R169 &amp; ")", ""))))</f>
        <v>na</v>
      </c>
      <c r="E169" s="7" t="s">
        <v>195</v>
      </c>
      <c r="F169" s="7" t="s">
        <v>195</v>
      </c>
      <c r="G169" s="7" t="s">
        <v>195</v>
      </c>
      <c r="H169" s="7" t="s">
        <v>195</v>
      </c>
      <c r="I169" s="7" t="s">
        <v>195</v>
      </c>
      <c r="J169" s="7" t="s">
        <v>195</v>
      </c>
      <c r="K169" s="7" t="s">
        <v>195</v>
      </c>
      <c r="L169" s="7" t="s">
        <v>195</v>
      </c>
      <c r="M169" s="7" t="s">
        <v>29</v>
      </c>
      <c r="N169" s="7" t="s">
        <v>29</v>
      </c>
      <c r="O169" s="7" t="s">
        <v>29</v>
      </c>
      <c r="P169" s="7" t="s">
        <v>29</v>
      </c>
      <c r="Q169" s="7" t="s">
        <v>29</v>
      </c>
      <c r="R169" s="7" t="s">
        <v>29</v>
      </c>
      <c r="S169" s="7" t="s">
        <v>29</v>
      </c>
    </row>
    <row r="170" spans="2:19">
      <c r="B170" s="9" t="s">
        <v>195</v>
      </c>
      <c r="C170" s="7" t="s">
        <v>195</v>
      </c>
      <c r="D170" s="5" t="str">
        <f>LRTRIM(CONCATENATE(IF(SUMPRODUCT(-- ISNUMBER(SEARCH({"Auto Number"}, $B170))) &gt; 0, $B170, IF(SUMPRODUCT(-- ISNUMBER(SEARCH({"Lookup","Master-Detail"}, $B170))) &gt; 0,$B170 &amp; "(" &amp; $E170 &amp; ")",IF(SUMPRODUCT(-- ISNUMBER(SEARCH({"Formula","Roll-Up Summary"}, $B170))) &gt; 0,$B170 &amp; " (" &amp; $E170 &amp; ")",IF(SUMPRODUCT(-- ISNUMBER(SEARCH({"Content","Currency","Number","Percent","Text","URL"}, $B170))) &gt; 0,$B170 &amp; "(" &amp; $C170 &amp; ")",$B170)))), "  ", TRIM(IF($S170 = "YES", "(External ID)", "") &amp; " " &amp; IF(SUMPRODUCT(-- ISNUMBER(SEARCH({"Unique","Unique Case Insensitive"}, $R170))) &gt; 0, "(" &amp; $R170 &amp; ")", ""))))</f>
        <v>na</v>
      </c>
      <c r="E170" s="7" t="s">
        <v>195</v>
      </c>
      <c r="F170" s="7" t="s">
        <v>195</v>
      </c>
      <c r="G170" s="7" t="s">
        <v>195</v>
      </c>
      <c r="H170" s="7" t="s">
        <v>195</v>
      </c>
      <c r="I170" s="7" t="s">
        <v>195</v>
      </c>
      <c r="J170" s="7" t="s">
        <v>195</v>
      </c>
      <c r="K170" s="7" t="s">
        <v>195</v>
      </c>
      <c r="L170" s="7" t="s">
        <v>195</v>
      </c>
      <c r="M170" s="7" t="s">
        <v>29</v>
      </c>
      <c r="N170" s="7" t="s">
        <v>29</v>
      </c>
      <c r="O170" s="7" t="s">
        <v>29</v>
      </c>
      <c r="P170" s="7" t="s">
        <v>29</v>
      </c>
      <c r="Q170" s="7" t="s">
        <v>29</v>
      </c>
      <c r="R170" s="7" t="s">
        <v>29</v>
      </c>
      <c r="S170" s="7" t="s">
        <v>29</v>
      </c>
    </row>
    <row r="171" spans="2:19">
      <c r="B171" s="9" t="s">
        <v>195</v>
      </c>
      <c r="C171" s="7" t="s">
        <v>195</v>
      </c>
      <c r="D171" s="5" t="str">
        <f>LRTRIM(CONCATENATE(IF(SUMPRODUCT(-- ISNUMBER(SEARCH({"Auto Number"}, $B171))) &gt; 0, $B171, IF(SUMPRODUCT(-- ISNUMBER(SEARCH({"Lookup","Master-Detail"}, $B171))) &gt; 0,$B171 &amp; "(" &amp; $E171 &amp; ")",IF(SUMPRODUCT(-- ISNUMBER(SEARCH({"Formula","Roll-Up Summary"}, $B171))) &gt; 0,$B171 &amp; " (" &amp; $E171 &amp; ")",IF(SUMPRODUCT(-- ISNUMBER(SEARCH({"Content","Currency","Number","Percent","Text","URL"}, $B171))) &gt; 0,$B171 &amp; "(" &amp; $C171 &amp; ")",$B171)))), "  ", TRIM(IF($S171 = "YES", "(External ID)", "") &amp; " " &amp; IF(SUMPRODUCT(-- ISNUMBER(SEARCH({"Unique","Unique Case Insensitive"}, $R171))) &gt; 0, "(" &amp; $R171 &amp; ")", ""))))</f>
        <v>na</v>
      </c>
      <c r="E171" s="7" t="s">
        <v>195</v>
      </c>
      <c r="F171" s="7" t="s">
        <v>195</v>
      </c>
      <c r="G171" s="7" t="s">
        <v>195</v>
      </c>
      <c r="H171" s="7" t="s">
        <v>195</v>
      </c>
      <c r="I171" s="7" t="s">
        <v>195</v>
      </c>
      <c r="J171" s="7" t="s">
        <v>195</v>
      </c>
      <c r="K171" s="7" t="s">
        <v>195</v>
      </c>
      <c r="L171" s="7" t="s">
        <v>195</v>
      </c>
      <c r="M171" s="7" t="s">
        <v>29</v>
      </c>
      <c r="N171" s="7" t="s">
        <v>29</v>
      </c>
      <c r="O171" s="7" t="s">
        <v>29</v>
      </c>
      <c r="P171" s="7" t="s">
        <v>29</v>
      </c>
      <c r="Q171" s="7" t="s">
        <v>29</v>
      </c>
      <c r="R171" s="7" t="s">
        <v>29</v>
      </c>
      <c r="S171" s="7" t="s">
        <v>29</v>
      </c>
    </row>
    <row r="172" spans="2:19">
      <c r="B172" s="9" t="s">
        <v>195</v>
      </c>
      <c r="C172" s="7" t="s">
        <v>195</v>
      </c>
      <c r="D172" s="5" t="str">
        <f>LRTRIM(CONCATENATE(IF(SUMPRODUCT(-- ISNUMBER(SEARCH({"Auto Number"}, $B172))) &gt; 0, $B172, IF(SUMPRODUCT(-- ISNUMBER(SEARCH({"Lookup","Master-Detail"}, $B172))) &gt; 0,$B172 &amp; "(" &amp; $E172 &amp; ")",IF(SUMPRODUCT(-- ISNUMBER(SEARCH({"Formula","Roll-Up Summary"}, $B172))) &gt; 0,$B172 &amp; " (" &amp; $E172 &amp; ")",IF(SUMPRODUCT(-- ISNUMBER(SEARCH({"Content","Currency","Number","Percent","Text","URL"}, $B172))) &gt; 0,$B172 &amp; "(" &amp; $C172 &amp; ")",$B172)))), "  ", TRIM(IF($S172 = "YES", "(External ID)", "") &amp; " " &amp; IF(SUMPRODUCT(-- ISNUMBER(SEARCH({"Unique","Unique Case Insensitive"}, $R172))) &gt; 0, "(" &amp; $R172 &amp; ")", ""))))</f>
        <v>na</v>
      </c>
      <c r="E172" s="7" t="s">
        <v>195</v>
      </c>
      <c r="F172" s="7" t="s">
        <v>195</v>
      </c>
      <c r="G172" s="7" t="s">
        <v>195</v>
      </c>
      <c r="H172" s="7" t="s">
        <v>195</v>
      </c>
      <c r="I172" s="7" t="s">
        <v>195</v>
      </c>
      <c r="J172" s="7" t="s">
        <v>195</v>
      </c>
      <c r="K172" s="7" t="s">
        <v>195</v>
      </c>
      <c r="L172" s="7" t="s">
        <v>195</v>
      </c>
      <c r="M172" s="7" t="s">
        <v>29</v>
      </c>
      <c r="N172" s="7" t="s">
        <v>29</v>
      </c>
      <c r="O172" s="7" t="s">
        <v>29</v>
      </c>
      <c r="P172" s="7" t="s">
        <v>29</v>
      </c>
      <c r="Q172" s="7" t="s">
        <v>29</v>
      </c>
      <c r="R172" s="7" t="s">
        <v>29</v>
      </c>
      <c r="S172" s="7" t="s">
        <v>29</v>
      </c>
    </row>
    <row r="173" spans="2:19">
      <c r="B173" s="9" t="s">
        <v>195</v>
      </c>
      <c r="C173" s="7" t="s">
        <v>195</v>
      </c>
      <c r="D173" s="5" t="str">
        <f>LRTRIM(CONCATENATE(IF(SUMPRODUCT(-- ISNUMBER(SEARCH({"Auto Number"}, $B173))) &gt; 0, $B173, IF(SUMPRODUCT(-- ISNUMBER(SEARCH({"Lookup","Master-Detail"}, $B173))) &gt; 0,$B173 &amp; "(" &amp; $E173 &amp; ")",IF(SUMPRODUCT(-- ISNUMBER(SEARCH({"Formula","Roll-Up Summary"}, $B173))) &gt; 0,$B173 &amp; " (" &amp; $E173 &amp; ")",IF(SUMPRODUCT(-- ISNUMBER(SEARCH({"Content","Currency","Number","Percent","Text","URL"}, $B173))) &gt; 0,$B173 &amp; "(" &amp; $C173 &amp; ")",$B173)))), "  ", TRIM(IF($S173 = "YES", "(External ID)", "") &amp; " " &amp; IF(SUMPRODUCT(-- ISNUMBER(SEARCH({"Unique","Unique Case Insensitive"}, $R173))) &gt; 0, "(" &amp; $R173 &amp; ")", ""))))</f>
        <v>na</v>
      </c>
      <c r="E173" s="7" t="s">
        <v>195</v>
      </c>
      <c r="F173" s="7" t="s">
        <v>195</v>
      </c>
      <c r="G173" s="7" t="s">
        <v>195</v>
      </c>
      <c r="H173" s="7" t="s">
        <v>195</v>
      </c>
      <c r="I173" s="7" t="s">
        <v>195</v>
      </c>
      <c r="J173" s="7" t="s">
        <v>195</v>
      </c>
      <c r="K173" s="7" t="s">
        <v>195</v>
      </c>
      <c r="L173" s="7" t="s">
        <v>195</v>
      </c>
      <c r="M173" s="7" t="s">
        <v>29</v>
      </c>
      <c r="N173" s="7" t="s">
        <v>29</v>
      </c>
      <c r="O173" s="7" t="s">
        <v>29</v>
      </c>
      <c r="P173" s="7" t="s">
        <v>29</v>
      </c>
      <c r="Q173" s="7" t="s">
        <v>29</v>
      </c>
      <c r="R173" s="7" t="s">
        <v>29</v>
      </c>
      <c r="S173" s="7" t="s">
        <v>29</v>
      </c>
    </row>
    <row r="174" spans="2:19">
      <c r="B174" s="9" t="s">
        <v>195</v>
      </c>
      <c r="C174" s="7" t="s">
        <v>195</v>
      </c>
      <c r="D174" s="5" t="str">
        <f>LRTRIM(CONCATENATE(IF(SUMPRODUCT(-- ISNUMBER(SEARCH({"Auto Number"}, $B174))) &gt; 0, $B174, IF(SUMPRODUCT(-- ISNUMBER(SEARCH({"Lookup","Master-Detail"}, $B174))) &gt; 0,$B174 &amp; "(" &amp; $E174 &amp; ")",IF(SUMPRODUCT(-- ISNUMBER(SEARCH({"Formula","Roll-Up Summary"}, $B174))) &gt; 0,$B174 &amp; " (" &amp; $E174 &amp; ")",IF(SUMPRODUCT(-- ISNUMBER(SEARCH({"Content","Currency","Number","Percent","Text","URL"}, $B174))) &gt; 0,$B174 &amp; "(" &amp; $C174 &amp; ")",$B174)))), "  ", TRIM(IF($S174 = "YES", "(External ID)", "") &amp; " " &amp; IF(SUMPRODUCT(-- ISNUMBER(SEARCH({"Unique","Unique Case Insensitive"}, $R174))) &gt; 0, "(" &amp; $R174 &amp; ")", ""))))</f>
        <v>na</v>
      </c>
      <c r="E174" s="7" t="s">
        <v>195</v>
      </c>
      <c r="F174" s="7" t="s">
        <v>195</v>
      </c>
      <c r="G174" s="7" t="s">
        <v>195</v>
      </c>
      <c r="H174" s="7" t="s">
        <v>195</v>
      </c>
      <c r="I174" s="7" t="s">
        <v>195</v>
      </c>
      <c r="J174" s="7" t="s">
        <v>195</v>
      </c>
      <c r="K174" s="7" t="s">
        <v>195</v>
      </c>
      <c r="L174" s="7" t="s">
        <v>195</v>
      </c>
      <c r="M174" s="7" t="s">
        <v>29</v>
      </c>
      <c r="N174" s="7" t="s">
        <v>29</v>
      </c>
      <c r="O174" s="7" t="s">
        <v>29</v>
      </c>
      <c r="P174" s="7" t="s">
        <v>29</v>
      </c>
      <c r="Q174" s="7" t="s">
        <v>29</v>
      </c>
      <c r="R174" s="7" t="s">
        <v>29</v>
      </c>
      <c r="S174" s="7" t="s">
        <v>29</v>
      </c>
    </row>
    <row r="175" spans="2:19">
      <c r="B175" s="9" t="s">
        <v>195</v>
      </c>
      <c r="C175" s="7" t="s">
        <v>195</v>
      </c>
      <c r="D175" s="5" t="str">
        <f>LRTRIM(CONCATENATE(IF(SUMPRODUCT(-- ISNUMBER(SEARCH({"Auto Number"}, $B175))) &gt; 0, $B175, IF(SUMPRODUCT(-- ISNUMBER(SEARCH({"Lookup","Master-Detail"}, $B175))) &gt; 0,$B175 &amp; "(" &amp; $E175 &amp; ")",IF(SUMPRODUCT(-- ISNUMBER(SEARCH({"Formula","Roll-Up Summary"}, $B175))) &gt; 0,$B175 &amp; " (" &amp; $E175 &amp; ")",IF(SUMPRODUCT(-- ISNUMBER(SEARCH({"Content","Currency","Number","Percent","Text","URL"}, $B175))) &gt; 0,$B175 &amp; "(" &amp; $C175 &amp; ")",$B175)))), "  ", TRIM(IF($S175 = "YES", "(External ID)", "") &amp; " " &amp; IF(SUMPRODUCT(-- ISNUMBER(SEARCH({"Unique","Unique Case Insensitive"}, $R175))) &gt; 0, "(" &amp; $R175 &amp; ")", ""))))</f>
        <v>na</v>
      </c>
      <c r="E175" s="7" t="s">
        <v>195</v>
      </c>
      <c r="F175" s="7" t="s">
        <v>195</v>
      </c>
      <c r="G175" s="7" t="s">
        <v>195</v>
      </c>
      <c r="H175" s="7" t="s">
        <v>195</v>
      </c>
      <c r="I175" s="7" t="s">
        <v>195</v>
      </c>
      <c r="J175" s="7" t="s">
        <v>195</v>
      </c>
      <c r="K175" s="7" t="s">
        <v>195</v>
      </c>
      <c r="L175" s="7" t="s">
        <v>195</v>
      </c>
      <c r="M175" s="7" t="s">
        <v>29</v>
      </c>
      <c r="N175" s="7" t="s">
        <v>29</v>
      </c>
      <c r="O175" s="7" t="s">
        <v>29</v>
      </c>
      <c r="P175" s="7" t="s">
        <v>29</v>
      </c>
      <c r="Q175" s="7" t="s">
        <v>29</v>
      </c>
      <c r="R175" s="7" t="s">
        <v>29</v>
      </c>
      <c r="S175" s="7" t="s">
        <v>29</v>
      </c>
    </row>
    <row r="176" spans="2:19">
      <c r="B176" s="9" t="s">
        <v>195</v>
      </c>
      <c r="C176" s="7" t="s">
        <v>195</v>
      </c>
      <c r="D176" s="5" t="str">
        <f>LRTRIM(CONCATENATE(IF(SUMPRODUCT(-- ISNUMBER(SEARCH({"Auto Number"}, $B176))) &gt; 0, $B176, IF(SUMPRODUCT(-- ISNUMBER(SEARCH({"Lookup","Master-Detail"}, $B176))) &gt; 0,$B176 &amp; "(" &amp; $E176 &amp; ")",IF(SUMPRODUCT(-- ISNUMBER(SEARCH({"Formula","Roll-Up Summary"}, $B176))) &gt; 0,$B176 &amp; " (" &amp; $E176 &amp; ")",IF(SUMPRODUCT(-- ISNUMBER(SEARCH({"Content","Currency","Number","Percent","Text","URL"}, $B176))) &gt; 0,$B176 &amp; "(" &amp; $C176 &amp; ")",$B176)))), "  ", TRIM(IF($S176 = "YES", "(External ID)", "") &amp; " " &amp; IF(SUMPRODUCT(-- ISNUMBER(SEARCH({"Unique","Unique Case Insensitive"}, $R176))) &gt; 0, "(" &amp; $R176 &amp; ")", ""))))</f>
        <v>na</v>
      </c>
      <c r="E176" s="7" t="s">
        <v>195</v>
      </c>
      <c r="F176" s="7" t="s">
        <v>195</v>
      </c>
      <c r="G176" s="7" t="s">
        <v>195</v>
      </c>
      <c r="H176" s="7" t="s">
        <v>195</v>
      </c>
      <c r="I176" s="7" t="s">
        <v>195</v>
      </c>
      <c r="J176" s="7" t="s">
        <v>195</v>
      </c>
      <c r="K176" s="7" t="s">
        <v>195</v>
      </c>
      <c r="L176" s="7" t="s">
        <v>195</v>
      </c>
      <c r="M176" s="7" t="s">
        <v>29</v>
      </c>
      <c r="N176" s="7" t="s">
        <v>29</v>
      </c>
      <c r="O176" s="7" t="s">
        <v>29</v>
      </c>
      <c r="P176" s="7" t="s">
        <v>29</v>
      </c>
      <c r="Q176" s="7" t="s">
        <v>29</v>
      </c>
      <c r="R176" s="7" t="s">
        <v>29</v>
      </c>
      <c r="S176" s="7" t="s">
        <v>29</v>
      </c>
    </row>
    <row r="177" spans="2:19">
      <c r="B177" s="9" t="s">
        <v>195</v>
      </c>
      <c r="C177" s="7" t="s">
        <v>195</v>
      </c>
      <c r="D177" s="5" t="str">
        <f>LRTRIM(CONCATENATE(IF(SUMPRODUCT(-- ISNUMBER(SEARCH({"Auto Number"}, $B177))) &gt; 0, $B177, IF(SUMPRODUCT(-- ISNUMBER(SEARCH({"Lookup","Master-Detail"}, $B177))) &gt; 0,$B177 &amp; "(" &amp; $E177 &amp; ")",IF(SUMPRODUCT(-- ISNUMBER(SEARCH({"Formula","Roll-Up Summary"}, $B177))) &gt; 0,$B177 &amp; " (" &amp; $E177 &amp; ")",IF(SUMPRODUCT(-- ISNUMBER(SEARCH({"Content","Currency","Number","Percent","Text","URL"}, $B177))) &gt; 0,$B177 &amp; "(" &amp; $C177 &amp; ")",$B177)))), "  ", TRIM(IF($S177 = "YES", "(External ID)", "") &amp; " " &amp; IF(SUMPRODUCT(-- ISNUMBER(SEARCH({"Unique","Unique Case Insensitive"}, $R177))) &gt; 0, "(" &amp; $R177 &amp; ")", ""))))</f>
        <v>na</v>
      </c>
      <c r="E177" s="7" t="s">
        <v>195</v>
      </c>
      <c r="F177" s="7" t="s">
        <v>195</v>
      </c>
      <c r="G177" s="7" t="s">
        <v>195</v>
      </c>
      <c r="H177" s="7" t="s">
        <v>195</v>
      </c>
      <c r="I177" s="7" t="s">
        <v>195</v>
      </c>
      <c r="J177" s="7" t="s">
        <v>195</v>
      </c>
      <c r="K177" s="7" t="s">
        <v>195</v>
      </c>
      <c r="L177" s="7" t="s">
        <v>195</v>
      </c>
      <c r="M177" s="7" t="s">
        <v>29</v>
      </c>
      <c r="N177" s="7" t="s">
        <v>29</v>
      </c>
      <c r="O177" s="7" t="s">
        <v>29</v>
      </c>
      <c r="P177" s="7" t="s">
        <v>29</v>
      </c>
      <c r="Q177" s="7" t="s">
        <v>29</v>
      </c>
      <c r="R177" s="7" t="s">
        <v>29</v>
      </c>
      <c r="S177" s="7" t="s">
        <v>29</v>
      </c>
    </row>
    <row r="178" spans="2:19">
      <c r="B178" s="9" t="s">
        <v>195</v>
      </c>
      <c r="C178" s="7" t="s">
        <v>195</v>
      </c>
      <c r="D178" s="5" t="str">
        <f>LRTRIM(CONCATENATE(IF(SUMPRODUCT(-- ISNUMBER(SEARCH({"Auto Number"}, $B178))) &gt; 0, $B178, IF(SUMPRODUCT(-- ISNUMBER(SEARCH({"Lookup","Master-Detail"}, $B178))) &gt; 0,$B178 &amp; "(" &amp; $E178 &amp; ")",IF(SUMPRODUCT(-- ISNUMBER(SEARCH({"Formula","Roll-Up Summary"}, $B178))) &gt; 0,$B178 &amp; " (" &amp; $E178 &amp; ")",IF(SUMPRODUCT(-- ISNUMBER(SEARCH({"Content","Currency","Number","Percent","Text","URL"}, $B178))) &gt; 0,$B178 &amp; "(" &amp; $C178 &amp; ")",$B178)))), "  ", TRIM(IF($S178 = "YES", "(External ID)", "") &amp; " " &amp; IF(SUMPRODUCT(-- ISNUMBER(SEARCH({"Unique","Unique Case Insensitive"}, $R178))) &gt; 0, "(" &amp; $R178 &amp; ")", ""))))</f>
        <v>na</v>
      </c>
      <c r="E178" s="7" t="s">
        <v>195</v>
      </c>
      <c r="F178" s="7" t="s">
        <v>195</v>
      </c>
      <c r="G178" s="7" t="s">
        <v>195</v>
      </c>
      <c r="H178" s="7" t="s">
        <v>195</v>
      </c>
      <c r="I178" s="7" t="s">
        <v>195</v>
      </c>
      <c r="J178" s="7" t="s">
        <v>195</v>
      </c>
      <c r="K178" s="7" t="s">
        <v>195</v>
      </c>
      <c r="L178" s="7" t="s">
        <v>195</v>
      </c>
      <c r="M178" s="7" t="s">
        <v>29</v>
      </c>
      <c r="N178" s="7" t="s">
        <v>29</v>
      </c>
      <c r="O178" s="7" t="s">
        <v>29</v>
      </c>
      <c r="P178" s="7" t="s">
        <v>29</v>
      </c>
      <c r="Q178" s="7" t="s">
        <v>29</v>
      </c>
      <c r="R178" s="7" t="s">
        <v>29</v>
      </c>
      <c r="S178" s="7" t="s">
        <v>29</v>
      </c>
    </row>
    <row r="179" spans="2:19">
      <c r="B179" s="9" t="s">
        <v>195</v>
      </c>
      <c r="C179" s="7" t="s">
        <v>195</v>
      </c>
      <c r="D179" s="5" t="str">
        <f>LRTRIM(CONCATENATE(IF(SUMPRODUCT(-- ISNUMBER(SEARCH({"Auto Number"}, $B179))) &gt; 0, $B179, IF(SUMPRODUCT(-- ISNUMBER(SEARCH({"Lookup","Master-Detail"}, $B179))) &gt; 0,$B179 &amp; "(" &amp; $E179 &amp; ")",IF(SUMPRODUCT(-- ISNUMBER(SEARCH({"Formula","Roll-Up Summary"}, $B179))) &gt; 0,$B179 &amp; " (" &amp; $E179 &amp; ")",IF(SUMPRODUCT(-- ISNUMBER(SEARCH({"Content","Currency","Number","Percent","Text","URL"}, $B179))) &gt; 0,$B179 &amp; "(" &amp; $C179 &amp; ")",$B179)))), "  ", TRIM(IF($S179 = "YES", "(External ID)", "") &amp; " " &amp; IF(SUMPRODUCT(-- ISNUMBER(SEARCH({"Unique","Unique Case Insensitive"}, $R179))) &gt; 0, "(" &amp; $R179 &amp; ")", ""))))</f>
        <v>na</v>
      </c>
      <c r="E179" s="7" t="s">
        <v>195</v>
      </c>
      <c r="F179" s="7" t="s">
        <v>195</v>
      </c>
      <c r="G179" s="7" t="s">
        <v>195</v>
      </c>
      <c r="H179" s="7" t="s">
        <v>195</v>
      </c>
      <c r="I179" s="7" t="s">
        <v>195</v>
      </c>
      <c r="J179" s="7" t="s">
        <v>195</v>
      </c>
      <c r="K179" s="7" t="s">
        <v>195</v>
      </c>
      <c r="L179" s="7" t="s">
        <v>195</v>
      </c>
      <c r="M179" s="7" t="s">
        <v>29</v>
      </c>
      <c r="N179" s="7" t="s">
        <v>29</v>
      </c>
      <c r="O179" s="7" t="s">
        <v>29</v>
      </c>
      <c r="P179" s="7" t="s">
        <v>29</v>
      </c>
      <c r="Q179" s="7" t="s">
        <v>29</v>
      </c>
      <c r="R179" s="7" t="s">
        <v>29</v>
      </c>
      <c r="S179" s="7" t="s">
        <v>29</v>
      </c>
    </row>
    <row r="180" spans="2:19">
      <c r="B180" s="9" t="s">
        <v>195</v>
      </c>
      <c r="C180" s="7" t="s">
        <v>195</v>
      </c>
      <c r="D180" s="5" t="str">
        <f>LRTRIM(CONCATENATE(IF(SUMPRODUCT(-- ISNUMBER(SEARCH({"Auto Number"}, $B180))) &gt; 0, $B180, IF(SUMPRODUCT(-- ISNUMBER(SEARCH({"Lookup","Master-Detail"}, $B180))) &gt; 0,$B180 &amp; "(" &amp; $E180 &amp; ")",IF(SUMPRODUCT(-- ISNUMBER(SEARCH({"Formula","Roll-Up Summary"}, $B180))) &gt; 0,$B180 &amp; " (" &amp; $E180 &amp; ")",IF(SUMPRODUCT(-- ISNUMBER(SEARCH({"Content","Currency","Number","Percent","Text","URL"}, $B180))) &gt; 0,$B180 &amp; "(" &amp; $C180 &amp; ")",$B180)))), "  ", TRIM(IF($S180 = "YES", "(External ID)", "") &amp; " " &amp; IF(SUMPRODUCT(-- ISNUMBER(SEARCH({"Unique","Unique Case Insensitive"}, $R180))) &gt; 0, "(" &amp; $R180 &amp; ")", ""))))</f>
        <v>na</v>
      </c>
      <c r="E180" s="7" t="s">
        <v>195</v>
      </c>
      <c r="F180" s="7" t="s">
        <v>195</v>
      </c>
      <c r="G180" s="7" t="s">
        <v>195</v>
      </c>
      <c r="H180" s="7" t="s">
        <v>195</v>
      </c>
      <c r="I180" s="7" t="s">
        <v>195</v>
      </c>
      <c r="J180" s="7" t="s">
        <v>195</v>
      </c>
      <c r="K180" s="7" t="s">
        <v>195</v>
      </c>
      <c r="L180" s="7" t="s">
        <v>195</v>
      </c>
      <c r="M180" s="7" t="s">
        <v>29</v>
      </c>
      <c r="N180" s="7" t="s">
        <v>29</v>
      </c>
      <c r="O180" s="7" t="s">
        <v>29</v>
      </c>
      <c r="P180" s="7" t="s">
        <v>29</v>
      </c>
      <c r="Q180" s="7" t="s">
        <v>29</v>
      </c>
      <c r="R180" s="7" t="s">
        <v>29</v>
      </c>
      <c r="S180" s="7" t="s">
        <v>29</v>
      </c>
    </row>
    <row r="181" spans="2:19">
      <c r="B181" s="9" t="s">
        <v>195</v>
      </c>
      <c r="C181" s="7" t="s">
        <v>195</v>
      </c>
      <c r="D181" s="5" t="str">
        <f>LRTRIM(CONCATENATE(IF(SUMPRODUCT(-- ISNUMBER(SEARCH({"Auto Number"}, $B181))) &gt; 0, $B181, IF(SUMPRODUCT(-- ISNUMBER(SEARCH({"Lookup","Master-Detail"}, $B181))) &gt; 0,$B181 &amp; "(" &amp; $E181 &amp; ")",IF(SUMPRODUCT(-- ISNUMBER(SEARCH({"Formula","Roll-Up Summary"}, $B181))) &gt; 0,$B181 &amp; " (" &amp; $E181 &amp; ")",IF(SUMPRODUCT(-- ISNUMBER(SEARCH({"Content","Currency","Number","Percent","Text","URL"}, $B181))) &gt; 0,$B181 &amp; "(" &amp; $C181 &amp; ")",$B181)))), "  ", TRIM(IF($S181 = "YES", "(External ID)", "") &amp; " " &amp; IF(SUMPRODUCT(-- ISNUMBER(SEARCH({"Unique","Unique Case Insensitive"}, $R181))) &gt; 0, "(" &amp; $R181 &amp; ")", ""))))</f>
        <v>na</v>
      </c>
      <c r="E181" s="7" t="s">
        <v>195</v>
      </c>
      <c r="F181" s="7" t="s">
        <v>195</v>
      </c>
      <c r="G181" s="7" t="s">
        <v>195</v>
      </c>
      <c r="H181" s="7" t="s">
        <v>195</v>
      </c>
      <c r="I181" s="7" t="s">
        <v>195</v>
      </c>
      <c r="J181" s="7" t="s">
        <v>195</v>
      </c>
      <c r="K181" s="7" t="s">
        <v>195</v>
      </c>
      <c r="L181" s="7" t="s">
        <v>195</v>
      </c>
      <c r="M181" s="7" t="s">
        <v>29</v>
      </c>
      <c r="N181" s="7" t="s">
        <v>29</v>
      </c>
      <c r="O181" s="7" t="s">
        <v>29</v>
      </c>
      <c r="P181" s="7" t="s">
        <v>29</v>
      </c>
      <c r="Q181" s="7" t="s">
        <v>29</v>
      </c>
      <c r="R181" s="7" t="s">
        <v>29</v>
      </c>
      <c r="S181" s="7" t="s">
        <v>29</v>
      </c>
    </row>
    <row r="182" spans="2:19">
      <c r="B182" s="9" t="s">
        <v>195</v>
      </c>
      <c r="C182" s="7" t="s">
        <v>195</v>
      </c>
      <c r="D182" s="5" t="str">
        <f>LRTRIM(CONCATENATE(IF(SUMPRODUCT(-- ISNUMBER(SEARCH({"Auto Number"}, $B182))) &gt; 0, $B182, IF(SUMPRODUCT(-- ISNUMBER(SEARCH({"Lookup","Master-Detail"}, $B182))) &gt; 0,$B182 &amp; "(" &amp; $E182 &amp; ")",IF(SUMPRODUCT(-- ISNUMBER(SEARCH({"Formula","Roll-Up Summary"}, $B182))) &gt; 0,$B182 &amp; " (" &amp; $E182 &amp; ")",IF(SUMPRODUCT(-- ISNUMBER(SEARCH({"Content","Currency","Number","Percent","Text","URL"}, $B182))) &gt; 0,$B182 &amp; "(" &amp; $C182 &amp; ")",$B182)))), "  ", TRIM(IF($S182 = "YES", "(External ID)", "") &amp; " " &amp; IF(SUMPRODUCT(-- ISNUMBER(SEARCH({"Unique","Unique Case Insensitive"}, $R182))) &gt; 0, "(" &amp; $R182 &amp; ")", ""))))</f>
        <v>na</v>
      </c>
      <c r="E182" s="7" t="s">
        <v>195</v>
      </c>
      <c r="F182" s="7" t="s">
        <v>195</v>
      </c>
      <c r="G182" s="7" t="s">
        <v>195</v>
      </c>
      <c r="H182" s="7" t="s">
        <v>195</v>
      </c>
      <c r="I182" s="7" t="s">
        <v>195</v>
      </c>
      <c r="J182" s="7" t="s">
        <v>195</v>
      </c>
      <c r="K182" s="7" t="s">
        <v>195</v>
      </c>
      <c r="L182" s="7" t="s">
        <v>195</v>
      </c>
      <c r="M182" s="7" t="s">
        <v>29</v>
      </c>
      <c r="N182" s="7" t="s">
        <v>29</v>
      </c>
      <c r="O182" s="7" t="s">
        <v>29</v>
      </c>
      <c r="P182" s="7" t="s">
        <v>29</v>
      </c>
      <c r="Q182" s="7" t="s">
        <v>29</v>
      </c>
      <c r="R182" s="7" t="s">
        <v>29</v>
      </c>
      <c r="S182" s="7" t="s">
        <v>29</v>
      </c>
    </row>
    <row r="183" spans="2:19">
      <c r="B183" s="9" t="s">
        <v>195</v>
      </c>
      <c r="C183" s="7" t="s">
        <v>195</v>
      </c>
      <c r="D183" s="5" t="str">
        <f>LRTRIM(CONCATENATE(IF(SUMPRODUCT(-- ISNUMBER(SEARCH({"Auto Number"}, $B183))) &gt; 0, $B183, IF(SUMPRODUCT(-- ISNUMBER(SEARCH({"Lookup","Master-Detail"}, $B183))) &gt; 0,$B183 &amp; "(" &amp; $E183 &amp; ")",IF(SUMPRODUCT(-- ISNUMBER(SEARCH({"Formula","Roll-Up Summary"}, $B183))) &gt; 0,$B183 &amp; " (" &amp; $E183 &amp; ")",IF(SUMPRODUCT(-- ISNUMBER(SEARCH({"Content","Currency","Number","Percent","Text","URL"}, $B183))) &gt; 0,$B183 &amp; "(" &amp; $C183 &amp; ")",$B183)))), "  ", TRIM(IF($S183 = "YES", "(External ID)", "") &amp; " " &amp; IF(SUMPRODUCT(-- ISNUMBER(SEARCH({"Unique","Unique Case Insensitive"}, $R183))) &gt; 0, "(" &amp; $R183 &amp; ")", ""))))</f>
        <v>na</v>
      </c>
      <c r="E183" s="7" t="s">
        <v>195</v>
      </c>
      <c r="F183" s="7" t="s">
        <v>195</v>
      </c>
      <c r="G183" s="7" t="s">
        <v>195</v>
      </c>
      <c r="H183" s="7" t="s">
        <v>195</v>
      </c>
      <c r="I183" s="7" t="s">
        <v>195</v>
      </c>
      <c r="J183" s="7" t="s">
        <v>195</v>
      </c>
      <c r="K183" s="7" t="s">
        <v>195</v>
      </c>
      <c r="L183" s="7" t="s">
        <v>195</v>
      </c>
      <c r="M183" s="7" t="s">
        <v>29</v>
      </c>
      <c r="N183" s="7" t="s">
        <v>29</v>
      </c>
      <c r="O183" s="7" t="s">
        <v>29</v>
      </c>
      <c r="P183" s="7" t="s">
        <v>29</v>
      </c>
      <c r="Q183" s="7" t="s">
        <v>29</v>
      </c>
      <c r="R183" s="7" t="s">
        <v>29</v>
      </c>
      <c r="S183" s="7" t="s">
        <v>29</v>
      </c>
    </row>
    <row r="184" spans="2:19">
      <c r="B184" s="9" t="s">
        <v>195</v>
      </c>
      <c r="C184" s="7" t="s">
        <v>195</v>
      </c>
      <c r="D184" s="5" t="str">
        <f>LRTRIM(CONCATENATE(IF(SUMPRODUCT(-- ISNUMBER(SEARCH({"Auto Number"}, $B184))) &gt; 0, $B184, IF(SUMPRODUCT(-- ISNUMBER(SEARCH({"Lookup","Master-Detail"}, $B184))) &gt; 0,$B184 &amp; "(" &amp; $E184 &amp; ")",IF(SUMPRODUCT(-- ISNUMBER(SEARCH({"Formula","Roll-Up Summary"}, $B184))) &gt; 0,$B184 &amp; " (" &amp; $E184 &amp; ")",IF(SUMPRODUCT(-- ISNUMBER(SEARCH({"Content","Currency","Number","Percent","Text","URL"}, $B184))) &gt; 0,$B184 &amp; "(" &amp; $C184 &amp; ")",$B184)))), "  ", TRIM(IF($S184 = "YES", "(External ID)", "") &amp; " " &amp; IF(SUMPRODUCT(-- ISNUMBER(SEARCH({"Unique","Unique Case Insensitive"}, $R184))) &gt; 0, "(" &amp; $R184 &amp; ")", ""))))</f>
        <v>na</v>
      </c>
      <c r="E184" s="7" t="s">
        <v>195</v>
      </c>
      <c r="F184" s="7" t="s">
        <v>195</v>
      </c>
      <c r="G184" s="7" t="s">
        <v>195</v>
      </c>
      <c r="H184" s="7" t="s">
        <v>195</v>
      </c>
      <c r="I184" s="7" t="s">
        <v>195</v>
      </c>
      <c r="J184" s="7" t="s">
        <v>195</v>
      </c>
      <c r="K184" s="7" t="s">
        <v>195</v>
      </c>
      <c r="L184" s="7" t="s">
        <v>195</v>
      </c>
      <c r="M184" s="7" t="s">
        <v>29</v>
      </c>
      <c r="N184" s="7" t="s">
        <v>29</v>
      </c>
      <c r="O184" s="7" t="s">
        <v>29</v>
      </c>
      <c r="P184" s="7" t="s">
        <v>29</v>
      </c>
      <c r="Q184" s="7" t="s">
        <v>29</v>
      </c>
      <c r="R184" s="7" t="s">
        <v>29</v>
      </c>
      <c r="S184" s="7" t="s">
        <v>29</v>
      </c>
    </row>
    <row r="185" spans="2:19">
      <c r="B185" s="9" t="s">
        <v>195</v>
      </c>
      <c r="C185" s="7" t="s">
        <v>195</v>
      </c>
      <c r="D185" s="5" t="str">
        <f>LRTRIM(CONCATENATE(IF(SUMPRODUCT(-- ISNUMBER(SEARCH({"Auto Number"}, $B185))) &gt; 0, $B185, IF(SUMPRODUCT(-- ISNUMBER(SEARCH({"Lookup","Master-Detail"}, $B185))) &gt; 0,$B185 &amp; "(" &amp; $E185 &amp; ")",IF(SUMPRODUCT(-- ISNUMBER(SEARCH({"Formula","Roll-Up Summary"}, $B185))) &gt; 0,$B185 &amp; " (" &amp; $E185 &amp; ")",IF(SUMPRODUCT(-- ISNUMBER(SEARCH({"Content","Currency","Number","Percent","Text","URL"}, $B185))) &gt; 0,$B185 &amp; "(" &amp; $C185 &amp; ")",$B185)))), "  ", TRIM(IF($S185 = "YES", "(External ID)", "") &amp; " " &amp; IF(SUMPRODUCT(-- ISNUMBER(SEARCH({"Unique","Unique Case Insensitive"}, $R185))) &gt; 0, "(" &amp; $R185 &amp; ")", ""))))</f>
        <v>na</v>
      </c>
      <c r="E185" s="7" t="s">
        <v>195</v>
      </c>
      <c r="F185" s="7" t="s">
        <v>195</v>
      </c>
      <c r="G185" s="7" t="s">
        <v>195</v>
      </c>
      <c r="H185" s="7" t="s">
        <v>195</v>
      </c>
      <c r="I185" s="7" t="s">
        <v>195</v>
      </c>
      <c r="J185" s="7" t="s">
        <v>195</v>
      </c>
      <c r="K185" s="7" t="s">
        <v>195</v>
      </c>
      <c r="L185" s="7" t="s">
        <v>195</v>
      </c>
      <c r="M185" s="7" t="s">
        <v>29</v>
      </c>
      <c r="N185" s="7" t="s">
        <v>29</v>
      </c>
      <c r="O185" s="7" t="s">
        <v>29</v>
      </c>
      <c r="P185" s="7" t="s">
        <v>29</v>
      </c>
      <c r="Q185" s="7" t="s">
        <v>29</v>
      </c>
      <c r="R185" s="7" t="s">
        <v>29</v>
      </c>
      <c r="S185" s="7" t="s">
        <v>29</v>
      </c>
    </row>
    <row r="186" spans="2:19">
      <c r="B186" s="9" t="s">
        <v>195</v>
      </c>
      <c r="C186" s="7" t="s">
        <v>195</v>
      </c>
      <c r="D186" s="5" t="str">
        <f>LRTRIM(CONCATENATE(IF(SUMPRODUCT(-- ISNUMBER(SEARCH({"Auto Number"}, $B186))) &gt; 0, $B186, IF(SUMPRODUCT(-- ISNUMBER(SEARCH({"Lookup","Master-Detail"}, $B186))) &gt; 0,$B186 &amp; "(" &amp; $E186 &amp; ")",IF(SUMPRODUCT(-- ISNUMBER(SEARCH({"Formula","Roll-Up Summary"}, $B186))) &gt; 0,$B186 &amp; " (" &amp; $E186 &amp; ")",IF(SUMPRODUCT(-- ISNUMBER(SEARCH({"Content","Currency","Number","Percent","Text","URL"}, $B186))) &gt; 0,$B186 &amp; "(" &amp; $C186 &amp; ")",$B186)))), "  ", TRIM(IF($S186 = "YES", "(External ID)", "") &amp; " " &amp; IF(SUMPRODUCT(-- ISNUMBER(SEARCH({"Unique","Unique Case Insensitive"}, $R186))) &gt; 0, "(" &amp; $R186 &amp; ")", ""))))</f>
        <v>na</v>
      </c>
      <c r="E186" s="7" t="s">
        <v>195</v>
      </c>
      <c r="F186" s="7" t="s">
        <v>195</v>
      </c>
      <c r="G186" s="7" t="s">
        <v>195</v>
      </c>
      <c r="H186" s="7" t="s">
        <v>195</v>
      </c>
      <c r="I186" s="7" t="s">
        <v>195</v>
      </c>
      <c r="J186" s="7" t="s">
        <v>195</v>
      </c>
      <c r="K186" s="7" t="s">
        <v>195</v>
      </c>
      <c r="L186" s="7" t="s">
        <v>195</v>
      </c>
      <c r="M186" s="7" t="s">
        <v>29</v>
      </c>
      <c r="N186" s="7" t="s">
        <v>29</v>
      </c>
      <c r="O186" s="7" t="s">
        <v>29</v>
      </c>
      <c r="P186" s="7" t="s">
        <v>29</v>
      </c>
      <c r="Q186" s="7" t="s">
        <v>29</v>
      </c>
      <c r="R186" s="7" t="s">
        <v>29</v>
      </c>
      <c r="S186" s="7" t="s">
        <v>29</v>
      </c>
    </row>
    <row r="187" spans="2:19">
      <c r="B187" s="9" t="s">
        <v>195</v>
      </c>
      <c r="C187" s="7" t="s">
        <v>195</v>
      </c>
      <c r="D187" s="5" t="str">
        <f>LRTRIM(CONCATENATE(IF(SUMPRODUCT(-- ISNUMBER(SEARCH({"Auto Number"}, $B187))) &gt; 0, $B187, IF(SUMPRODUCT(-- ISNUMBER(SEARCH({"Lookup","Master-Detail"}, $B187))) &gt; 0,$B187 &amp; "(" &amp; $E187 &amp; ")",IF(SUMPRODUCT(-- ISNUMBER(SEARCH({"Formula","Roll-Up Summary"}, $B187))) &gt; 0,$B187 &amp; " (" &amp; $E187 &amp; ")",IF(SUMPRODUCT(-- ISNUMBER(SEARCH({"Content","Currency","Number","Percent","Text","URL"}, $B187))) &gt; 0,$B187 &amp; "(" &amp; $C187 &amp; ")",$B187)))), "  ", TRIM(IF($S187 = "YES", "(External ID)", "") &amp; " " &amp; IF(SUMPRODUCT(-- ISNUMBER(SEARCH({"Unique","Unique Case Insensitive"}, $R187))) &gt; 0, "(" &amp; $R187 &amp; ")", ""))))</f>
        <v>na</v>
      </c>
      <c r="E187" s="7" t="s">
        <v>195</v>
      </c>
      <c r="F187" s="7" t="s">
        <v>195</v>
      </c>
      <c r="G187" s="7" t="s">
        <v>195</v>
      </c>
      <c r="H187" s="7" t="s">
        <v>195</v>
      </c>
      <c r="I187" s="7" t="s">
        <v>195</v>
      </c>
      <c r="J187" s="7" t="s">
        <v>195</v>
      </c>
      <c r="K187" s="7" t="s">
        <v>195</v>
      </c>
      <c r="L187" s="7" t="s">
        <v>195</v>
      </c>
      <c r="M187" s="7" t="s">
        <v>29</v>
      </c>
      <c r="N187" s="7" t="s">
        <v>29</v>
      </c>
      <c r="O187" s="7" t="s">
        <v>29</v>
      </c>
      <c r="P187" s="7" t="s">
        <v>29</v>
      </c>
      <c r="Q187" s="7" t="s">
        <v>29</v>
      </c>
      <c r="R187" s="7" t="s">
        <v>29</v>
      </c>
      <c r="S187" s="7" t="s">
        <v>29</v>
      </c>
    </row>
    <row r="188" spans="2:19">
      <c r="B188" s="9" t="s">
        <v>195</v>
      </c>
      <c r="C188" s="7" t="s">
        <v>195</v>
      </c>
      <c r="D188" s="5" t="str">
        <f>LRTRIM(CONCATENATE(IF(SUMPRODUCT(-- ISNUMBER(SEARCH({"Auto Number"}, $B188))) &gt; 0, $B188, IF(SUMPRODUCT(-- ISNUMBER(SEARCH({"Lookup","Master-Detail"}, $B188))) &gt; 0,$B188 &amp; "(" &amp; $E188 &amp; ")",IF(SUMPRODUCT(-- ISNUMBER(SEARCH({"Formula","Roll-Up Summary"}, $B188))) &gt; 0,$B188 &amp; " (" &amp; $E188 &amp; ")",IF(SUMPRODUCT(-- ISNUMBER(SEARCH({"Content","Currency","Number","Percent","Text","URL"}, $B188))) &gt; 0,$B188 &amp; "(" &amp; $C188 &amp; ")",$B188)))), "  ", TRIM(IF($S188 = "YES", "(External ID)", "") &amp; " " &amp; IF(SUMPRODUCT(-- ISNUMBER(SEARCH({"Unique","Unique Case Insensitive"}, $R188))) &gt; 0, "(" &amp; $R188 &amp; ")", ""))))</f>
        <v>na</v>
      </c>
      <c r="E188" s="7" t="s">
        <v>195</v>
      </c>
      <c r="F188" s="7" t="s">
        <v>195</v>
      </c>
      <c r="G188" s="7" t="s">
        <v>195</v>
      </c>
      <c r="H188" s="7" t="s">
        <v>195</v>
      </c>
      <c r="I188" s="7" t="s">
        <v>195</v>
      </c>
      <c r="J188" s="7" t="s">
        <v>195</v>
      </c>
      <c r="K188" s="7" t="s">
        <v>195</v>
      </c>
      <c r="L188" s="7" t="s">
        <v>195</v>
      </c>
      <c r="M188" s="7" t="s">
        <v>29</v>
      </c>
      <c r="N188" s="7" t="s">
        <v>29</v>
      </c>
      <c r="O188" s="7" t="s">
        <v>29</v>
      </c>
      <c r="P188" s="7" t="s">
        <v>29</v>
      </c>
      <c r="Q188" s="7" t="s">
        <v>29</v>
      </c>
      <c r="R188" s="7" t="s">
        <v>29</v>
      </c>
      <c r="S188" s="7" t="s">
        <v>29</v>
      </c>
    </row>
    <row r="189" spans="2:19">
      <c r="B189" s="9" t="s">
        <v>195</v>
      </c>
      <c r="C189" s="7" t="s">
        <v>195</v>
      </c>
      <c r="D189" s="5" t="str">
        <f>LRTRIM(CONCATENATE(IF(SUMPRODUCT(-- ISNUMBER(SEARCH({"Auto Number"}, $B189))) &gt; 0, $B189, IF(SUMPRODUCT(-- ISNUMBER(SEARCH({"Lookup","Master-Detail"}, $B189))) &gt; 0,$B189 &amp; "(" &amp; $E189 &amp; ")",IF(SUMPRODUCT(-- ISNUMBER(SEARCH({"Formula","Roll-Up Summary"}, $B189))) &gt; 0,$B189 &amp; " (" &amp; $E189 &amp; ")",IF(SUMPRODUCT(-- ISNUMBER(SEARCH({"Content","Currency","Number","Percent","Text","URL"}, $B189))) &gt; 0,$B189 &amp; "(" &amp; $C189 &amp; ")",$B189)))), "  ", TRIM(IF($S189 = "YES", "(External ID)", "") &amp; " " &amp; IF(SUMPRODUCT(-- ISNUMBER(SEARCH({"Unique","Unique Case Insensitive"}, $R189))) &gt; 0, "(" &amp; $R189 &amp; ")", ""))))</f>
        <v>na</v>
      </c>
      <c r="E189" s="7" t="s">
        <v>195</v>
      </c>
      <c r="F189" s="7" t="s">
        <v>195</v>
      </c>
      <c r="G189" s="7" t="s">
        <v>195</v>
      </c>
      <c r="H189" s="7" t="s">
        <v>195</v>
      </c>
      <c r="I189" s="7" t="s">
        <v>195</v>
      </c>
      <c r="J189" s="7" t="s">
        <v>195</v>
      </c>
      <c r="K189" s="7" t="s">
        <v>195</v>
      </c>
      <c r="L189" s="7" t="s">
        <v>195</v>
      </c>
      <c r="M189" s="7" t="s">
        <v>29</v>
      </c>
      <c r="N189" s="7" t="s">
        <v>29</v>
      </c>
      <c r="O189" s="7" t="s">
        <v>29</v>
      </c>
      <c r="P189" s="7" t="s">
        <v>29</v>
      </c>
      <c r="Q189" s="7" t="s">
        <v>29</v>
      </c>
      <c r="R189" s="7" t="s">
        <v>29</v>
      </c>
      <c r="S189" s="7" t="s">
        <v>29</v>
      </c>
    </row>
    <row r="190" spans="2:19">
      <c r="B190" s="9" t="s">
        <v>195</v>
      </c>
      <c r="C190" s="7" t="s">
        <v>195</v>
      </c>
      <c r="D190" s="5" t="str">
        <f>LRTRIM(CONCATENATE(IF(SUMPRODUCT(-- ISNUMBER(SEARCH({"Auto Number"}, $B190))) &gt; 0, $B190, IF(SUMPRODUCT(-- ISNUMBER(SEARCH({"Lookup","Master-Detail"}, $B190))) &gt; 0,$B190 &amp; "(" &amp; $E190 &amp; ")",IF(SUMPRODUCT(-- ISNUMBER(SEARCH({"Formula","Roll-Up Summary"}, $B190))) &gt; 0,$B190 &amp; " (" &amp; $E190 &amp; ")",IF(SUMPRODUCT(-- ISNUMBER(SEARCH({"Content","Currency","Number","Percent","Text","URL"}, $B190))) &gt; 0,$B190 &amp; "(" &amp; $C190 &amp; ")",$B190)))), "  ", TRIM(IF($S190 = "YES", "(External ID)", "") &amp; " " &amp; IF(SUMPRODUCT(-- ISNUMBER(SEARCH({"Unique","Unique Case Insensitive"}, $R190))) &gt; 0, "(" &amp; $R190 &amp; ")", ""))))</f>
        <v>na</v>
      </c>
      <c r="E190" s="7" t="s">
        <v>195</v>
      </c>
      <c r="F190" s="7" t="s">
        <v>195</v>
      </c>
      <c r="G190" s="7" t="s">
        <v>195</v>
      </c>
      <c r="H190" s="7" t="s">
        <v>195</v>
      </c>
      <c r="I190" s="7" t="s">
        <v>195</v>
      </c>
      <c r="J190" s="7" t="s">
        <v>195</v>
      </c>
      <c r="K190" s="7" t="s">
        <v>195</v>
      </c>
      <c r="L190" s="7" t="s">
        <v>195</v>
      </c>
      <c r="M190" s="7" t="s">
        <v>29</v>
      </c>
      <c r="N190" s="7" t="s">
        <v>29</v>
      </c>
      <c r="O190" s="7" t="s">
        <v>29</v>
      </c>
      <c r="P190" s="7" t="s">
        <v>29</v>
      </c>
      <c r="Q190" s="7" t="s">
        <v>29</v>
      </c>
      <c r="R190" s="7" t="s">
        <v>29</v>
      </c>
      <c r="S190" s="7" t="s">
        <v>29</v>
      </c>
    </row>
    <row r="191" spans="2:19">
      <c r="B191" s="9" t="s">
        <v>195</v>
      </c>
      <c r="C191" s="7" t="s">
        <v>195</v>
      </c>
      <c r="D191" s="5" t="str">
        <f>LRTRIM(CONCATENATE(IF(SUMPRODUCT(-- ISNUMBER(SEARCH({"Auto Number"}, $B191))) &gt; 0, $B191, IF(SUMPRODUCT(-- ISNUMBER(SEARCH({"Lookup","Master-Detail"}, $B191))) &gt; 0,$B191 &amp; "(" &amp; $E191 &amp; ")",IF(SUMPRODUCT(-- ISNUMBER(SEARCH({"Formula","Roll-Up Summary"}, $B191))) &gt; 0,$B191 &amp; " (" &amp; $E191 &amp; ")",IF(SUMPRODUCT(-- ISNUMBER(SEARCH({"Content","Currency","Number","Percent","Text","URL"}, $B191))) &gt; 0,$B191 &amp; "(" &amp; $C191 &amp; ")",$B191)))), "  ", TRIM(IF($S191 = "YES", "(External ID)", "") &amp; " " &amp; IF(SUMPRODUCT(-- ISNUMBER(SEARCH({"Unique","Unique Case Insensitive"}, $R191))) &gt; 0, "(" &amp; $R191 &amp; ")", ""))))</f>
        <v>na</v>
      </c>
      <c r="E191" s="7" t="s">
        <v>195</v>
      </c>
      <c r="F191" s="7" t="s">
        <v>195</v>
      </c>
      <c r="G191" s="7" t="s">
        <v>195</v>
      </c>
      <c r="H191" s="7" t="s">
        <v>195</v>
      </c>
      <c r="I191" s="7" t="s">
        <v>195</v>
      </c>
      <c r="J191" s="7" t="s">
        <v>195</v>
      </c>
      <c r="K191" s="7" t="s">
        <v>195</v>
      </c>
      <c r="L191" s="7" t="s">
        <v>195</v>
      </c>
      <c r="M191" s="7" t="s">
        <v>29</v>
      </c>
      <c r="N191" s="7" t="s">
        <v>29</v>
      </c>
      <c r="O191" s="7" t="s">
        <v>29</v>
      </c>
      <c r="P191" s="7" t="s">
        <v>29</v>
      </c>
      <c r="Q191" s="7" t="s">
        <v>29</v>
      </c>
      <c r="R191" s="7" t="s">
        <v>29</v>
      </c>
      <c r="S191" s="7" t="s">
        <v>29</v>
      </c>
    </row>
    <row r="192" spans="2:19">
      <c r="B192" s="9" t="s">
        <v>195</v>
      </c>
      <c r="C192" s="7" t="s">
        <v>195</v>
      </c>
      <c r="D192" s="5" t="str">
        <f>LRTRIM(CONCATENATE(IF(SUMPRODUCT(-- ISNUMBER(SEARCH({"Auto Number"}, $B192))) &gt; 0, $B192, IF(SUMPRODUCT(-- ISNUMBER(SEARCH({"Lookup","Master-Detail"}, $B192))) &gt; 0,$B192 &amp; "(" &amp; $E192 &amp; ")",IF(SUMPRODUCT(-- ISNUMBER(SEARCH({"Formula","Roll-Up Summary"}, $B192))) &gt; 0,$B192 &amp; " (" &amp; $E192 &amp; ")",IF(SUMPRODUCT(-- ISNUMBER(SEARCH({"Content","Currency","Number","Percent","Text","URL"}, $B192))) &gt; 0,$B192 &amp; "(" &amp; $C192 &amp; ")",$B192)))), "  ", TRIM(IF($S192 = "YES", "(External ID)", "") &amp; " " &amp; IF(SUMPRODUCT(-- ISNUMBER(SEARCH({"Unique","Unique Case Insensitive"}, $R192))) &gt; 0, "(" &amp; $R192 &amp; ")", ""))))</f>
        <v>na</v>
      </c>
      <c r="E192" s="7" t="s">
        <v>195</v>
      </c>
      <c r="F192" s="7" t="s">
        <v>195</v>
      </c>
      <c r="G192" s="7" t="s">
        <v>195</v>
      </c>
      <c r="H192" s="7" t="s">
        <v>195</v>
      </c>
      <c r="I192" s="7" t="s">
        <v>195</v>
      </c>
      <c r="J192" s="7" t="s">
        <v>195</v>
      </c>
      <c r="K192" s="7" t="s">
        <v>195</v>
      </c>
      <c r="L192" s="7" t="s">
        <v>195</v>
      </c>
      <c r="M192" s="7" t="s">
        <v>29</v>
      </c>
      <c r="N192" s="7" t="s">
        <v>29</v>
      </c>
      <c r="O192" s="7" t="s">
        <v>29</v>
      </c>
      <c r="P192" s="7" t="s">
        <v>29</v>
      </c>
      <c r="Q192" s="7" t="s">
        <v>29</v>
      </c>
      <c r="R192" s="7" t="s">
        <v>29</v>
      </c>
      <c r="S192" s="7" t="s">
        <v>29</v>
      </c>
    </row>
    <row r="193" spans="2:19">
      <c r="B193" s="9" t="s">
        <v>195</v>
      </c>
      <c r="C193" s="7" t="s">
        <v>195</v>
      </c>
      <c r="D193" s="5" t="str">
        <f>LRTRIM(CONCATENATE(IF(SUMPRODUCT(-- ISNUMBER(SEARCH({"Auto Number"}, $B193))) &gt; 0, $B193, IF(SUMPRODUCT(-- ISNUMBER(SEARCH({"Lookup","Master-Detail"}, $B193))) &gt; 0,$B193 &amp; "(" &amp; $E193 &amp; ")",IF(SUMPRODUCT(-- ISNUMBER(SEARCH({"Formula","Roll-Up Summary"}, $B193))) &gt; 0,$B193 &amp; " (" &amp; $E193 &amp; ")",IF(SUMPRODUCT(-- ISNUMBER(SEARCH({"Content","Currency","Number","Percent","Text","URL"}, $B193))) &gt; 0,$B193 &amp; "(" &amp; $C193 &amp; ")",$B193)))), "  ", TRIM(IF($S193 = "YES", "(External ID)", "") &amp; " " &amp; IF(SUMPRODUCT(-- ISNUMBER(SEARCH({"Unique","Unique Case Insensitive"}, $R193))) &gt; 0, "(" &amp; $R193 &amp; ")", ""))))</f>
        <v>na</v>
      </c>
      <c r="E193" s="7" t="s">
        <v>195</v>
      </c>
      <c r="F193" s="7" t="s">
        <v>195</v>
      </c>
      <c r="G193" s="7" t="s">
        <v>195</v>
      </c>
      <c r="H193" s="7" t="s">
        <v>195</v>
      </c>
      <c r="I193" s="7" t="s">
        <v>195</v>
      </c>
      <c r="J193" s="7" t="s">
        <v>195</v>
      </c>
      <c r="K193" s="7" t="s">
        <v>195</v>
      </c>
      <c r="L193" s="7" t="s">
        <v>195</v>
      </c>
      <c r="M193" s="7" t="s">
        <v>29</v>
      </c>
      <c r="N193" s="7" t="s">
        <v>29</v>
      </c>
      <c r="O193" s="7" t="s">
        <v>29</v>
      </c>
      <c r="P193" s="7" t="s">
        <v>29</v>
      </c>
      <c r="Q193" s="7" t="s">
        <v>29</v>
      </c>
      <c r="R193" s="7" t="s">
        <v>29</v>
      </c>
      <c r="S193" s="7" t="s">
        <v>29</v>
      </c>
    </row>
    <row r="194" spans="2:19">
      <c r="B194" s="9" t="s">
        <v>195</v>
      </c>
      <c r="C194" s="7" t="s">
        <v>195</v>
      </c>
      <c r="D194" s="5" t="str">
        <f>LRTRIM(CONCATENATE(IF(SUMPRODUCT(-- ISNUMBER(SEARCH({"Auto Number"}, $B194))) &gt; 0, $B194, IF(SUMPRODUCT(-- ISNUMBER(SEARCH({"Lookup","Master-Detail"}, $B194))) &gt; 0,$B194 &amp; "(" &amp; $E194 &amp; ")",IF(SUMPRODUCT(-- ISNUMBER(SEARCH({"Formula","Roll-Up Summary"}, $B194))) &gt; 0,$B194 &amp; " (" &amp; $E194 &amp; ")",IF(SUMPRODUCT(-- ISNUMBER(SEARCH({"Content","Currency","Number","Percent","Text","URL"}, $B194))) &gt; 0,$B194 &amp; "(" &amp; $C194 &amp; ")",$B194)))), "  ", TRIM(IF($S194 = "YES", "(External ID)", "") &amp; " " &amp; IF(SUMPRODUCT(-- ISNUMBER(SEARCH({"Unique","Unique Case Insensitive"}, $R194))) &gt; 0, "(" &amp; $R194 &amp; ")", ""))))</f>
        <v>na</v>
      </c>
      <c r="E194" s="7" t="s">
        <v>195</v>
      </c>
      <c r="F194" s="7" t="s">
        <v>195</v>
      </c>
      <c r="G194" s="7" t="s">
        <v>195</v>
      </c>
      <c r="H194" s="7" t="s">
        <v>195</v>
      </c>
      <c r="I194" s="7" t="s">
        <v>195</v>
      </c>
      <c r="J194" s="7" t="s">
        <v>195</v>
      </c>
      <c r="K194" s="7" t="s">
        <v>195</v>
      </c>
      <c r="L194" s="7" t="s">
        <v>195</v>
      </c>
      <c r="M194" s="7" t="s">
        <v>29</v>
      </c>
      <c r="N194" s="7" t="s">
        <v>29</v>
      </c>
      <c r="O194" s="7" t="s">
        <v>29</v>
      </c>
      <c r="P194" s="7" t="s">
        <v>29</v>
      </c>
      <c r="Q194" s="7" t="s">
        <v>29</v>
      </c>
      <c r="R194" s="7" t="s">
        <v>29</v>
      </c>
      <c r="S194" s="7" t="s">
        <v>29</v>
      </c>
    </row>
    <row r="195" spans="2:19">
      <c r="B195" s="9" t="s">
        <v>195</v>
      </c>
      <c r="C195" s="7" t="s">
        <v>195</v>
      </c>
      <c r="D195" s="5" t="str">
        <f>LRTRIM(CONCATENATE(IF(SUMPRODUCT(-- ISNUMBER(SEARCH({"Auto Number"}, $B195))) &gt; 0, $B195, IF(SUMPRODUCT(-- ISNUMBER(SEARCH({"Lookup","Master-Detail"}, $B195))) &gt; 0,$B195 &amp; "(" &amp; $E195 &amp; ")",IF(SUMPRODUCT(-- ISNUMBER(SEARCH({"Formula","Roll-Up Summary"}, $B195))) &gt; 0,$B195 &amp; " (" &amp; $E195 &amp; ")",IF(SUMPRODUCT(-- ISNUMBER(SEARCH({"Content","Currency","Number","Percent","Text","URL"}, $B195))) &gt; 0,$B195 &amp; "(" &amp; $C195 &amp; ")",$B195)))), "  ", TRIM(IF($S195 = "YES", "(External ID)", "") &amp; " " &amp; IF(SUMPRODUCT(-- ISNUMBER(SEARCH({"Unique","Unique Case Insensitive"}, $R195))) &gt; 0, "(" &amp; $R195 &amp; ")", ""))))</f>
        <v>na</v>
      </c>
      <c r="E195" s="7" t="s">
        <v>195</v>
      </c>
      <c r="F195" s="7" t="s">
        <v>195</v>
      </c>
      <c r="G195" s="7" t="s">
        <v>195</v>
      </c>
      <c r="H195" s="7" t="s">
        <v>195</v>
      </c>
      <c r="I195" s="7" t="s">
        <v>195</v>
      </c>
      <c r="J195" s="7" t="s">
        <v>195</v>
      </c>
      <c r="K195" s="7" t="s">
        <v>195</v>
      </c>
      <c r="L195" s="7" t="s">
        <v>195</v>
      </c>
      <c r="M195" s="7" t="s">
        <v>29</v>
      </c>
      <c r="N195" s="7" t="s">
        <v>29</v>
      </c>
      <c r="O195" s="7" t="s">
        <v>29</v>
      </c>
      <c r="P195" s="7" t="s">
        <v>29</v>
      </c>
      <c r="Q195" s="7" t="s">
        <v>29</v>
      </c>
      <c r="R195" s="7" t="s">
        <v>29</v>
      </c>
      <c r="S195" s="7" t="s">
        <v>29</v>
      </c>
    </row>
    <row r="196" spans="2:19">
      <c r="B196" s="9" t="s">
        <v>195</v>
      </c>
      <c r="C196" s="7" t="s">
        <v>195</v>
      </c>
      <c r="D196" s="5" t="str">
        <f>LRTRIM(CONCATENATE(IF(SUMPRODUCT(-- ISNUMBER(SEARCH({"Auto Number"}, $B196))) &gt; 0, $B196, IF(SUMPRODUCT(-- ISNUMBER(SEARCH({"Lookup","Master-Detail"}, $B196))) &gt; 0,$B196 &amp; "(" &amp; $E196 &amp; ")",IF(SUMPRODUCT(-- ISNUMBER(SEARCH({"Formula","Roll-Up Summary"}, $B196))) &gt; 0,$B196 &amp; " (" &amp; $E196 &amp; ")",IF(SUMPRODUCT(-- ISNUMBER(SEARCH({"Content","Currency","Number","Percent","Text","URL"}, $B196))) &gt; 0,$B196 &amp; "(" &amp; $C196 &amp; ")",$B196)))), "  ", TRIM(IF($S196 = "YES", "(External ID)", "") &amp; " " &amp; IF(SUMPRODUCT(-- ISNUMBER(SEARCH({"Unique","Unique Case Insensitive"}, $R196))) &gt; 0, "(" &amp; $R196 &amp; ")", ""))))</f>
        <v>na</v>
      </c>
      <c r="E196" s="7" t="s">
        <v>195</v>
      </c>
      <c r="F196" s="7" t="s">
        <v>195</v>
      </c>
      <c r="G196" s="7" t="s">
        <v>195</v>
      </c>
      <c r="H196" s="7" t="s">
        <v>195</v>
      </c>
      <c r="I196" s="7" t="s">
        <v>195</v>
      </c>
      <c r="J196" s="7" t="s">
        <v>195</v>
      </c>
      <c r="K196" s="7" t="s">
        <v>195</v>
      </c>
      <c r="L196" s="7" t="s">
        <v>195</v>
      </c>
      <c r="M196" s="7" t="s">
        <v>29</v>
      </c>
      <c r="N196" s="7" t="s">
        <v>29</v>
      </c>
      <c r="O196" s="7" t="s">
        <v>29</v>
      </c>
      <c r="P196" s="7" t="s">
        <v>29</v>
      </c>
      <c r="Q196" s="7" t="s">
        <v>29</v>
      </c>
      <c r="R196" s="7" t="s">
        <v>29</v>
      </c>
      <c r="S196" s="7" t="s">
        <v>29</v>
      </c>
    </row>
    <row r="197" spans="2:19">
      <c r="B197" s="9" t="s">
        <v>195</v>
      </c>
      <c r="C197" s="7" t="s">
        <v>195</v>
      </c>
      <c r="D197" s="5" t="str">
        <f>LRTRIM(CONCATENATE(IF(SUMPRODUCT(-- ISNUMBER(SEARCH({"Auto Number"}, $B197))) &gt; 0, $B197, IF(SUMPRODUCT(-- ISNUMBER(SEARCH({"Lookup","Master-Detail"}, $B197))) &gt; 0,$B197 &amp; "(" &amp; $E197 &amp; ")",IF(SUMPRODUCT(-- ISNUMBER(SEARCH({"Formula","Roll-Up Summary"}, $B197))) &gt; 0,$B197 &amp; " (" &amp; $E197 &amp; ")",IF(SUMPRODUCT(-- ISNUMBER(SEARCH({"Content","Currency","Number","Percent","Text","URL"}, $B197))) &gt; 0,$B197 &amp; "(" &amp; $C197 &amp; ")",$B197)))), "  ", TRIM(IF($S197 = "YES", "(External ID)", "") &amp; " " &amp; IF(SUMPRODUCT(-- ISNUMBER(SEARCH({"Unique","Unique Case Insensitive"}, $R197))) &gt; 0, "(" &amp; $R197 &amp; ")", ""))))</f>
        <v>na</v>
      </c>
      <c r="E197" s="7" t="s">
        <v>195</v>
      </c>
      <c r="F197" s="7" t="s">
        <v>195</v>
      </c>
      <c r="G197" s="7" t="s">
        <v>195</v>
      </c>
      <c r="H197" s="7" t="s">
        <v>195</v>
      </c>
      <c r="I197" s="7" t="s">
        <v>195</v>
      </c>
      <c r="J197" s="7" t="s">
        <v>195</v>
      </c>
      <c r="K197" s="7" t="s">
        <v>195</v>
      </c>
      <c r="L197" s="7" t="s">
        <v>195</v>
      </c>
      <c r="M197" s="7" t="s">
        <v>29</v>
      </c>
      <c r="N197" s="7" t="s">
        <v>29</v>
      </c>
      <c r="O197" s="7" t="s">
        <v>29</v>
      </c>
      <c r="P197" s="7" t="s">
        <v>29</v>
      </c>
      <c r="Q197" s="7" t="s">
        <v>29</v>
      </c>
      <c r="R197" s="7" t="s">
        <v>29</v>
      </c>
      <c r="S197" s="7" t="s">
        <v>29</v>
      </c>
    </row>
    <row r="198" spans="2:19">
      <c r="B198" s="9" t="s">
        <v>195</v>
      </c>
      <c r="C198" s="7" t="s">
        <v>195</v>
      </c>
      <c r="D198" s="5" t="str">
        <f>LRTRIM(CONCATENATE(IF(SUMPRODUCT(-- ISNUMBER(SEARCH({"Auto Number"}, $B198))) &gt; 0, $B198, IF(SUMPRODUCT(-- ISNUMBER(SEARCH({"Lookup","Master-Detail"}, $B198))) &gt; 0,$B198 &amp; "(" &amp; $E198 &amp; ")",IF(SUMPRODUCT(-- ISNUMBER(SEARCH({"Formula","Roll-Up Summary"}, $B198))) &gt; 0,$B198 &amp; " (" &amp; $E198 &amp; ")",IF(SUMPRODUCT(-- ISNUMBER(SEARCH({"Content","Currency","Number","Percent","Text","URL"}, $B198))) &gt; 0,$B198 &amp; "(" &amp; $C198 &amp; ")",$B198)))), "  ", TRIM(IF($S198 = "YES", "(External ID)", "") &amp; " " &amp; IF(SUMPRODUCT(-- ISNUMBER(SEARCH({"Unique","Unique Case Insensitive"}, $R198))) &gt; 0, "(" &amp; $R198 &amp; ")", ""))))</f>
        <v>na</v>
      </c>
      <c r="E198" s="7" t="s">
        <v>195</v>
      </c>
      <c r="F198" s="7" t="s">
        <v>195</v>
      </c>
      <c r="G198" s="7" t="s">
        <v>195</v>
      </c>
      <c r="H198" s="7" t="s">
        <v>195</v>
      </c>
      <c r="I198" s="7" t="s">
        <v>195</v>
      </c>
      <c r="J198" s="7" t="s">
        <v>195</v>
      </c>
      <c r="K198" s="7" t="s">
        <v>195</v>
      </c>
      <c r="L198" s="7" t="s">
        <v>195</v>
      </c>
      <c r="M198" s="7" t="s">
        <v>29</v>
      </c>
      <c r="N198" s="7" t="s">
        <v>29</v>
      </c>
      <c r="O198" s="7" t="s">
        <v>29</v>
      </c>
      <c r="P198" s="7" t="s">
        <v>29</v>
      </c>
      <c r="Q198" s="7" t="s">
        <v>29</v>
      </c>
      <c r="R198" s="7" t="s">
        <v>29</v>
      </c>
      <c r="S198" s="7" t="s">
        <v>29</v>
      </c>
    </row>
    <row r="199" spans="2:19">
      <c r="B199" s="9" t="s">
        <v>195</v>
      </c>
      <c r="C199" s="7" t="s">
        <v>195</v>
      </c>
      <c r="D199" s="5" t="str">
        <f>LRTRIM(CONCATENATE(IF(SUMPRODUCT(-- ISNUMBER(SEARCH({"Auto Number"}, $B199))) &gt; 0, $B199, IF(SUMPRODUCT(-- ISNUMBER(SEARCH({"Lookup","Master-Detail"}, $B199))) &gt; 0,$B199 &amp; "(" &amp; $E199 &amp; ")",IF(SUMPRODUCT(-- ISNUMBER(SEARCH({"Formula","Roll-Up Summary"}, $B199))) &gt; 0,$B199 &amp; " (" &amp; $E199 &amp; ")",IF(SUMPRODUCT(-- ISNUMBER(SEARCH({"Content","Currency","Number","Percent","Text","URL"}, $B199))) &gt; 0,$B199 &amp; "(" &amp; $C199 &amp; ")",$B199)))), "  ", TRIM(IF($S199 = "YES", "(External ID)", "") &amp; " " &amp; IF(SUMPRODUCT(-- ISNUMBER(SEARCH({"Unique","Unique Case Insensitive"}, $R199))) &gt; 0, "(" &amp; $R199 &amp; ")", ""))))</f>
        <v>na</v>
      </c>
      <c r="E199" s="7" t="s">
        <v>195</v>
      </c>
      <c r="F199" s="7" t="s">
        <v>195</v>
      </c>
      <c r="G199" s="7" t="s">
        <v>195</v>
      </c>
      <c r="H199" s="7" t="s">
        <v>195</v>
      </c>
      <c r="I199" s="7" t="s">
        <v>195</v>
      </c>
      <c r="J199" s="7" t="s">
        <v>195</v>
      </c>
      <c r="K199" s="7" t="s">
        <v>195</v>
      </c>
      <c r="L199" s="7" t="s">
        <v>195</v>
      </c>
      <c r="M199" s="7" t="s">
        <v>29</v>
      </c>
      <c r="N199" s="7" t="s">
        <v>29</v>
      </c>
      <c r="O199" s="7" t="s">
        <v>29</v>
      </c>
      <c r="P199" s="7" t="s">
        <v>29</v>
      </c>
      <c r="Q199" s="7" t="s">
        <v>29</v>
      </c>
      <c r="R199" s="7" t="s">
        <v>29</v>
      </c>
      <c r="S199" s="7" t="s">
        <v>29</v>
      </c>
    </row>
    <row r="200" spans="2:19">
      <c r="B200" s="9" t="s">
        <v>195</v>
      </c>
      <c r="C200" s="7" t="s">
        <v>195</v>
      </c>
      <c r="D200" s="5" t="str">
        <f>LRTRIM(CONCATENATE(IF(SUMPRODUCT(-- ISNUMBER(SEARCH({"Auto Number"}, $B200))) &gt; 0, $B200, IF(SUMPRODUCT(-- ISNUMBER(SEARCH({"Lookup","Master-Detail"}, $B200))) &gt; 0,$B200 &amp; "(" &amp; $E200 &amp; ")",IF(SUMPRODUCT(-- ISNUMBER(SEARCH({"Formula","Roll-Up Summary"}, $B200))) &gt; 0,$B200 &amp; " (" &amp; $E200 &amp; ")",IF(SUMPRODUCT(-- ISNUMBER(SEARCH({"Content","Currency","Number","Percent","Text","URL"}, $B200))) &gt; 0,$B200 &amp; "(" &amp; $C200 &amp; ")",$B200)))), "  ", TRIM(IF($S200 = "YES", "(External ID)", "") &amp; " " &amp; IF(SUMPRODUCT(-- ISNUMBER(SEARCH({"Unique","Unique Case Insensitive"}, $R200))) &gt; 0, "(" &amp; $R200 &amp; ")", ""))))</f>
        <v>na</v>
      </c>
      <c r="E200" s="7" t="s">
        <v>195</v>
      </c>
      <c r="F200" s="7" t="s">
        <v>195</v>
      </c>
      <c r="G200" s="7" t="s">
        <v>195</v>
      </c>
      <c r="H200" s="7" t="s">
        <v>195</v>
      </c>
      <c r="I200" s="7" t="s">
        <v>195</v>
      </c>
      <c r="J200" s="7" t="s">
        <v>195</v>
      </c>
      <c r="K200" s="7" t="s">
        <v>195</v>
      </c>
      <c r="L200" s="7" t="s">
        <v>195</v>
      </c>
      <c r="M200" s="7" t="s">
        <v>29</v>
      </c>
      <c r="N200" s="7" t="s">
        <v>29</v>
      </c>
      <c r="O200" s="7" t="s">
        <v>29</v>
      </c>
      <c r="P200" s="7" t="s">
        <v>29</v>
      </c>
      <c r="Q200" s="7" t="s">
        <v>29</v>
      </c>
      <c r="R200" s="7" t="s">
        <v>29</v>
      </c>
      <c r="S200" s="7" t="s">
        <v>29</v>
      </c>
    </row>
  </sheetData>
  <sheetProtection formatCells="0" formatColumns="0" formatRows="0" insertColumns="0" insertRows="0" insertHyperlinks="0" deleteColumns="0" deleteRows="0" sort="0" autoFilter="0" pivotTables="0"/>
  <conditionalFormatting sqref="D2:D4">
    <cfRule type="expression" dxfId="87" priority="3">
      <formula>NOT(_xlfn.ISFORMULA($D2))</formula>
    </cfRule>
  </conditionalFormatting>
  <conditionalFormatting sqref="D5">
    <cfRule type="expression" dxfId="86" priority="2">
      <formula>NOT(_xlfn.ISFORMULA($D5))</formula>
    </cfRule>
  </conditionalFormatting>
  <conditionalFormatting sqref="D6:D200">
    <cfRule type="expression" dxfId="85" priority="1">
      <formula>NOT(_xlfn.ISFORMULA($D6))</formula>
    </cfRule>
  </conditionalFormatting>
  <dataValidations count="1">
    <dataValidation allowBlank="1" showInputMessage="1" showErrorMessage="1" sqref="A2:A4"/>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5">
        <x14:dataValidation type="list" allowBlank="1" showInputMessage="1" showErrorMessage="1">
          <x14:formula1>
            <xm:f>OFFSET('Reference Fields'!$K$2,0,0,COUNTA('Reference Fields'!$K:$K)-1)</xm:f>
          </x14:formula1>
          <xm:sqref>R2:R200</xm:sqref>
        </x14:dataValidation>
        <x14:dataValidation type="list" allowBlank="1" showInputMessage="1" showErrorMessage="1">
          <x14:formula1>
            <xm:f>OFFSET('Reference Fields'!$J$2,0,0,COUNTA('Reference Fields'!$J:$J)-1)</xm:f>
          </x14:formula1>
          <xm:sqref>M2:M200</xm:sqref>
        </x14:dataValidation>
        <x14:dataValidation type="list" allowBlank="1" showInputMessage="1" showErrorMessage="1">
          <x14:formula1>
            <xm:f>OFFSET('Reference Fields'!$J$2,0,0,COUNTA('Reference Fields'!$J:$J)-1)</xm:f>
          </x14:formula1>
          <xm:sqref>N2:N200</xm:sqref>
        </x14:dataValidation>
        <x14:dataValidation type="list" allowBlank="1" showInputMessage="1" showErrorMessage="1">
          <x14:formula1>
            <xm:f>OFFSET('Reference Fields'!$J$2,0,0,COUNTA('Reference Fields'!$J:$J)-1)</xm:f>
          </x14:formula1>
          <xm:sqref>O2:O200</xm:sqref>
        </x14:dataValidation>
        <x14:dataValidation type="list" allowBlank="1" showInputMessage="1" showErrorMessage="1">
          <x14:formula1>
            <xm:f>OFFSET('Reference Fields'!$J$2,0,0,COUNTA('Reference Fields'!$J:$J)-1)</xm:f>
          </x14:formula1>
          <xm:sqref>P2:P200</xm:sqref>
        </x14:dataValidation>
        <x14:dataValidation type="list" allowBlank="1" showInputMessage="1" showErrorMessage="1">
          <x14:formula1>
            <xm:f>OFFSET('Reference Fields'!$J$2,0,0,COUNTA('Reference Fields'!$J:$J)-1)</xm:f>
          </x14:formula1>
          <xm:sqref>Q2:Q200</xm:sqref>
        </x14:dataValidation>
        <x14:dataValidation type="list" allowBlank="1" showInputMessage="1" showErrorMessage="1">
          <x14:formula1>
            <xm:f>OFFSET('Reference Fields'!$J$2,0,0,COUNTA('Reference Fields'!$J:$J)-1)</xm:f>
          </x14:formula1>
          <xm:sqref>S2:S200</xm:sqref>
        </x14:dataValidation>
        <x14:dataValidation type="list" allowBlank="1" showInputMessage="1" showErrorMessage="1">
          <x14:formula1>
            <xm:f>OFFSET('Reference Fields'!$B$2,0,0,COUNTA('Reference Fields'!$B:$B)-1)</xm:f>
          </x14:formula1>
          <xm:sqref>B2:B200</xm:sqref>
        </x14:dataValidation>
        <x14:dataValidation type="list" allowBlank="1" showInputMessage="1" showErrorMessage="1">
          <x14:formula1>
            <xm:f>OFFSET('Reference Fields'!$D$2,0,0,COUNTA('Reference Fields'!$D:$D)-1)</xm:f>
          </x14:formula1>
          <xm:sqref>F2:F200</xm:sqref>
        </x14:dataValidation>
        <x14:dataValidation type="list" allowBlank="1" showInputMessage="1" showErrorMessage="1">
          <x14:formula1>
            <xm:f>OFFSET('Reference Fields'!$E$2,0,0,COUNTA('Reference Fields'!$E:$E)-1)</xm:f>
          </x14:formula1>
          <xm:sqref>G2:G200</xm:sqref>
        </x14:dataValidation>
        <x14:dataValidation type="list" allowBlank="1" showInputMessage="1" showErrorMessage="1">
          <x14:formula1>
            <xm:f>OFFSET('Reference Fields'!$F$2,0,0,COUNTA('Reference Fields'!$F:$F)-1)</xm:f>
          </x14:formula1>
          <xm:sqref>H2:H200</xm:sqref>
        </x14:dataValidation>
        <x14:dataValidation type="list" allowBlank="1" showInputMessage="1" showErrorMessage="1">
          <x14:formula1>
            <xm:f>OFFSET('Reference Fields'!$F$2,0,0,COUNTA('Reference Fields'!$F:$F)-1)</xm:f>
          </x14:formula1>
          <xm:sqref>I2:I200</xm:sqref>
        </x14:dataValidation>
        <x14:dataValidation type="list" allowBlank="1" showInputMessage="1" showErrorMessage="1">
          <x14:formula1>
            <xm:f>OFFSET('Reference Fields'!$G$2,0,0,COUNTA('Reference Fields'!$G:$G)-1)</xm:f>
          </x14:formula1>
          <xm:sqref>J2:J200</xm:sqref>
        </x14:dataValidation>
        <x14:dataValidation type="list" allowBlank="1" showInputMessage="1" showErrorMessage="1">
          <x14:formula1>
            <xm:f>OFFSET('Reference Fields'!$H$2,0,0,COUNTA('Reference Fields'!$H:$H)-1)</xm:f>
          </x14:formula1>
          <xm:sqref>K2:K200</xm:sqref>
        </x14:dataValidation>
        <x14:dataValidation type="list" allowBlank="1" showInputMessage="1" showErrorMessage="1">
          <x14:formula1>
            <xm:f>OFFSET('Reference Fields'!$I$2,0,0,COUNTA('Reference Fields'!$I:$I)-1)</xm:f>
          </x14:formula1>
          <xm:sqref>L2:L200</xm:sqref>
        </x14:dataValidation>
      </x14:dataValidations>
    </ext>
  </extLst>
</worksheet>
</file>

<file path=xl/worksheets/sheet11.xml><?xml version="1.0" encoding="utf-8"?>
<worksheet xmlns="http://schemas.openxmlformats.org/spreadsheetml/2006/main" xmlns:r="http://schemas.openxmlformats.org/officeDocument/2006/relationships">
  <sheetPr codeName="Sheet31"/>
  <dimension ref="A1:S200"/>
  <sheetViews>
    <sheetView workbookViewId="0">
      <selection activeCell="A2" sqref="A2"/>
    </sheetView>
  </sheetViews>
  <sheetFormatPr defaultRowHeight="14.5"/>
  <cols>
    <col min="1" max="1" width="26.81640625" bestFit="1" customWidth="1"/>
    <col min="7" max="7" width="29.6328125" bestFit="1" customWidth="1"/>
  </cols>
  <sheetData>
    <row r="1" spans="1:19">
      <c r="A1" s="1" t="s">
        <v>2</v>
      </c>
      <c r="B1" s="1" t="s">
        <v>1198</v>
      </c>
      <c r="C1" s="1" t="s">
        <v>1199</v>
      </c>
      <c r="D1" s="1" t="s">
        <v>0</v>
      </c>
      <c r="E1" s="1" t="s">
        <v>1</v>
      </c>
      <c r="F1" s="1" t="s">
        <v>30</v>
      </c>
      <c r="G1" s="1" t="s">
        <v>31</v>
      </c>
      <c r="H1" s="1" t="s">
        <v>1262</v>
      </c>
      <c r="I1" s="1" t="s">
        <v>49</v>
      </c>
      <c r="J1" s="1" t="s">
        <v>48</v>
      </c>
      <c r="K1" s="1" t="s">
        <v>54</v>
      </c>
      <c r="L1" s="1" t="s">
        <v>55</v>
      </c>
      <c r="M1" s="1" t="s">
        <v>27</v>
      </c>
      <c r="N1" s="1" t="s">
        <v>175</v>
      </c>
      <c r="O1" s="1" t="s">
        <v>193</v>
      </c>
      <c r="P1" s="1" t="s">
        <v>1221</v>
      </c>
      <c r="Q1" s="1" t="s">
        <v>1264</v>
      </c>
      <c r="R1" s="1" t="s">
        <v>1263</v>
      </c>
      <c r="S1" s="1" t="s">
        <v>1265</v>
      </c>
    </row>
    <row r="2" spans="1:19">
      <c r="A2" s="7" t="s">
        <v>1332</v>
      </c>
      <c r="B2" s="9" t="s">
        <v>1213</v>
      </c>
      <c r="C2" s="7" t="s">
        <v>1250</v>
      </c>
      <c r="D2" s="5" t="str">
        <f>LRTRIM(CONCATENATE(IF(SUMPRODUCT(-- ISNUMBER(SEARCH({"Auto Number"}, $B2))) &gt; 0, $B2, IF(SUMPRODUCT(-- ISNUMBER(SEARCH({"Lookup","Master-Detail"}, $B2))) &gt; 0,$B2 &amp; "(" &amp; $E2 &amp; ")",IF(SUMPRODUCT(-- ISNUMBER(SEARCH({"Formula","Roll-Up Summary"}, $B2))) &gt; 0,$B2 &amp; " (" &amp; $E2 &amp; ")",IF(SUMPRODUCT(-- ISNUMBER(SEARCH({"Content","Currency","Number","Percent","Text","URL"}, $B2))) &gt; 0,$B2 &amp; "(" &amp; $C2 &amp; ")",$B2)))), "  ", TRIM(IF($S2 = "YES", "(External ID)", "") &amp; " " &amp; IF(SUMPRODUCT(-- ISNUMBER(SEARCH({"Unique","Unique Case Insensitive"}, $R2))) &gt; 0, "(" &amp; $R2 &amp; ")", ""))))</f>
        <v>Number(18, 0)</v>
      </c>
      <c r="E2" s="7" t="s">
        <v>195</v>
      </c>
      <c r="F2" s="7" t="s">
        <v>1342</v>
      </c>
      <c r="G2" s="7" t="s">
        <v>1352</v>
      </c>
      <c r="H2" s="7" t="s">
        <v>195</v>
      </c>
      <c r="I2" s="7" t="s">
        <v>195</v>
      </c>
      <c r="J2" s="7" t="s">
        <v>195</v>
      </c>
      <c r="K2" s="7" t="s">
        <v>195</v>
      </c>
      <c r="L2" s="7" t="s">
        <v>195</v>
      </c>
      <c r="M2" s="7" t="s">
        <v>29</v>
      </c>
      <c r="N2" s="7" t="s">
        <v>29</v>
      </c>
      <c r="O2" s="7" t="s">
        <v>29</v>
      </c>
      <c r="P2" s="7" t="s">
        <v>29</v>
      </c>
      <c r="Q2" s="7" t="s">
        <v>29</v>
      </c>
      <c r="R2" s="7" t="s">
        <v>29</v>
      </c>
      <c r="S2" s="7" t="s">
        <v>29</v>
      </c>
    </row>
    <row r="3" spans="1:19">
      <c r="A3" s="7" t="s">
        <v>1333</v>
      </c>
      <c r="B3" s="9" t="s">
        <v>1213</v>
      </c>
      <c r="C3" s="7" t="s">
        <v>1250</v>
      </c>
      <c r="D3" s="5" t="str">
        <f>LRTRIM(CONCATENATE(IF(SUMPRODUCT(-- ISNUMBER(SEARCH({"Auto Number"}, $B3))) &gt; 0, $B3, IF(SUMPRODUCT(-- ISNUMBER(SEARCH({"Lookup","Master-Detail"}, $B3))) &gt; 0,$B3 &amp; "(" &amp; $E3 &amp; ")",IF(SUMPRODUCT(-- ISNUMBER(SEARCH({"Formula","Roll-Up Summary"}, $B3))) &gt; 0,$B3 &amp; " (" &amp; $E3 &amp; ")",IF(SUMPRODUCT(-- ISNUMBER(SEARCH({"Content","Currency","Number","Percent","Text","URL"}, $B3))) &gt; 0,$B3 &amp; "(" &amp; $C3 &amp; ")",$B3)))), "  ", TRIM(IF($S3 = "YES", "(External ID)", "") &amp; " " &amp; IF(SUMPRODUCT(-- ISNUMBER(SEARCH({"Unique","Unique Case Insensitive"}, $R3))) &gt; 0, "(" &amp; $R3 &amp; ")", ""))))</f>
        <v>Number(18, 0)</v>
      </c>
      <c r="E3" s="7" t="s">
        <v>195</v>
      </c>
      <c r="F3" s="7" t="s">
        <v>1343</v>
      </c>
      <c r="G3" s="7" t="s">
        <v>1353</v>
      </c>
      <c r="H3" s="7" t="s">
        <v>195</v>
      </c>
      <c r="I3" s="7" t="s">
        <v>195</v>
      </c>
      <c r="J3" s="7" t="s">
        <v>195</v>
      </c>
      <c r="K3" s="7" t="s">
        <v>195</v>
      </c>
      <c r="L3" s="7" t="s">
        <v>195</v>
      </c>
      <c r="M3" s="7" t="s">
        <v>29</v>
      </c>
      <c r="N3" s="7" t="s">
        <v>29</v>
      </c>
      <c r="O3" s="7" t="s">
        <v>29</v>
      </c>
      <c r="P3" s="7" t="s">
        <v>29</v>
      </c>
      <c r="Q3" s="7" t="s">
        <v>29</v>
      </c>
      <c r="R3" s="7" t="s">
        <v>29</v>
      </c>
      <c r="S3" s="7" t="s">
        <v>29</v>
      </c>
    </row>
    <row r="4" spans="1:19">
      <c r="A4" s="7" t="s">
        <v>1334</v>
      </c>
      <c r="B4" s="9" t="s">
        <v>1209</v>
      </c>
      <c r="C4" s="7" t="s">
        <v>195</v>
      </c>
      <c r="D4" s="5" t="str">
        <f>LRTRIM(CONCATENATE(IF(SUMPRODUCT(-- ISNUMBER(SEARCH({"Auto Number"}, $B4))) &gt; 0, $B4, IF(SUMPRODUCT(-- ISNUMBER(SEARCH({"Lookup","Master-Detail"}, $B4))) &gt; 0,$B4 &amp; "(" &amp; $E4 &amp; ")",IF(SUMPRODUCT(-- ISNUMBER(SEARCH({"Formula","Roll-Up Summary"}, $B4))) &gt; 0,$B4 &amp; " (" &amp; $E4 &amp; ")",IF(SUMPRODUCT(-- ISNUMBER(SEARCH({"Content","Currency","Number","Percent","Text","URL"}, $B4))) &gt; 0,$B4 &amp; "(" &amp; $C4 &amp; ")",$B4)))), "  ", TRIM(IF($S4 = "YES", "(External ID)", "") &amp; " " &amp; IF(SUMPRODUCT(-- ISNUMBER(SEARCH({"Unique","Unique Case Insensitive"}, $R4))) &gt; 0, "(" &amp; $R4 &amp; ")", ""))))</f>
        <v>Formula (Text)</v>
      </c>
      <c r="E4" s="7" t="s">
        <v>1218</v>
      </c>
      <c r="F4" s="7" t="s">
        <v>245</v>
      </c>
      <c r="G4" s="7" t="s">
        <v>195</v>
      </c>
      <c r="H4" s="7" t="s">
        <v>195</v>
      </c>
      <c r="I4" s="7" t="s">
        <v>195</v>
      </c>
      <c r="J4" s="7" t="s">
        <v>195</v>
      </c>
      <c r="K4" s="7" t="s">
        <v>195</v>
      </c>
      <c r="L4" s="7" t="s">
        <v>195</v>
      </c>
      <c r="M4" s="7" t="s">
        <v>29</v>
      </c>
      <c r="N4" s="7" t="s">
        <v>29</v>
      </c>
      <c r="O4" s="7" t="s">
        <v>29</v>
      </c>
      <c r="P4" s="7" t="s">
        <v>29</v>
      </c>
      <c r="Q4" s="7" t="s">
        <v>29</v>
      </c>
      <c r="R4" s="7" t="s">
        <v>29</v>
      </c>
      <c r="S4" s="7" t="s">
        <v>29</v>
      </c>
    </row>
    <row r="5" spans="1:19">
      <c r="A5" s="7" t="s">
        <v>1335</v>
      </c>
      <c r="B5" s="9" t="s">
        <v>1218</v>
      </c>
      <c r="C5" s="7">
        <v>255</v>
      </c>
      <c r="D5" s="5" t="str">
        <f>LRTRIM(CONCATENATE(IF(SUMPRODUCT(-- ISNUMBER(SEARCH({"Auto Number"}, $B5))) &gt; 0, $B5, IF(SUMPRODUCT(-- ISNUMBER(SEARCH({"Lookup","Master-Detail"}, $B5))) &gt; 0,$B5 &amp; "(" &amp; $E5 &amp; ")",IF(SUMPRODUCT(-- ISNUMBER(SEARCH({"Formula","Roll-Up Summary"}, $B5))) &gt; 0,$B5 &amp; " (" &amp; $E5 &amp; ")",IF(SUMPRODUCT(-- ISNUMBER(SEARCH({"Content","Currency","Number","Percent","Text","URL"}, $B5))) &gt; 0,$B5 &amp; "(" &amp; $C5 &amp; ")",$B5)))), "  ", TRIM(IF($S5 = "YES", "(External ID)", "") &amp; " " &amp; IF(SUMPRODUCT(-- ISNUMBER(SEARCH({"Unique","Unique Case Insensitive"}, $R5))) &gt; 0, "(" &amp; $R5 &amp; ")", ""))))</f>
        <v>Text(255)</v>
      </c>
      <c r="E5" s="7" t="s">
        <v>195</v>
      </c>
      <c r="F5" s="7" t="s">
        <v>1344</v>
      </c>
      <c r="G5" s="7" t="s">
        <v>1355</v>
      </c>
      <c r="H5" s="7" t="s">
        <v>195</v>
      </c>
      <c r="I5" s="7" t="s">
        <v>195</v>
      </c>
      <c r="J5" s="7" t="s">
        <v>195</v>
      </c>
      <c r="K5" s="7" t="s">
        <v>195</v>
      </c>
      <c r="L5" s="7" t="s">
        <v>195</v>
      </c>
      <c r="M5" s="7" t="s">
        <v>29</v>
      </c>
      <c r="N5" s="7" t="s">
        <v>29</v>
      </c>
      <c r="O5" s="7" t="s">
        <v>29</v>
      </c>
      <c r="P5" s="7" t="s">
        <v>29</v>
      </c>
      <c r="Q5" s="7" t="s">
        <v>29</v>
      </c>
      <c r="R5" s="7" t="s">
        <v>29</v>
      </c>
      <c r="S5" s="7" t="s">
        <v>29</v>
      </c>
    </row>
    <row r="6" spans="1:19">
      <c r="A6" s="7" t="s">
        <v>1459</v>
      </c>
      <c r="B6" s="9" t="s">
        <v>1213</v>
      </c>
      <c r="C6" s="7" t="s">
        <v>1266</v>
      </c>
      <c r="D6" s="5" t="str">
        <f>LRTRIM(CONCATENATE(IF(SUMPRODUCT(-- ISNUMBER(SEARCH({"Auto Number"}, $B6))) &gt; 0, $B6, IF(SUMPRODUCT(-- ISNUMBER(SEARCH({"Lookup","Master-Detail"}, $B6))) &gt; 0,$B6 &amp; "(" &amp; $E6 &amp; ")",IF(SUMPRODUCT(-- ISNUMBER(SEARCH({"Formula","Roll-Up Summary"}, $B6))) &gt; 0,$B6 &amp; " (" &amp; $E6 &amp; ")",IF(SUMPRODUCT(-- ISNUMBER(SEARCH({"Content","Currency","Number","Percent","Text","URL"}, $B6))) &gt; 0,$B6 &amp; "(" &amp; $C6 &amp; ")",$B6)))), "  ", TRIM(IF($S6 = "YES", "(External ID)", "") &amp; " " &amp; IF(SUMPRODUCT(-- ISNUMBER(SEARCH({"Unique","Unique Case Insensitive"}, $R6))) &gt; 0, "(" &amp; $R6 &amp; ")", ""))))</f>
        <v>Number(12, 0)</v>
      </c>
      <c r="E6" s="7" t="s">
        <v>195</v>
      </c>
      <c r="F6" s="7" t="s">
        <v>1471</v>
      </c>
      <c r="G6" s="7" t="s">
        <v>1473</v>
      </c>
      <c r="H6" s="7" t="s">
        <v>195</v>
      </c>
      <c r="I6" s="7" t="s">
        <v>195</v>
      </c>
      <c r="J6" s="7" t="s">
        <v>195</v>
      </c>
      <c r="K6" s="7" t="s">
        <v>195</v>
      </c>
      <c r="L6" s="7" t="s">
        <v>195</v>
      </c>
      <c r="M6" s="7" t="s">
        <v>29</v>
      </c>
      <c r="N6" s="7" t="s">
        <v>29</v>
      </c>
      <c r="O6" s="7" t="s">
        <v>29</v>
      </c>
      <c r="P6" s="7" t="s">
        <v>29</v>
      </c>
      <c r="Q6" s="7" t="s">
        <v>29</v>
      </c>
      <c r="R6" s="7" t="s">
        <v>29</v>
      </c>
      <c r="S6" s="7" t="s">
        <v>29</v>
      </c>
    </row>
    <row r="7" spans="1:19">
      <c r="A7" s="7" t="s">
        <v>1460</v>
      </c>
      <c r="B7" s="9" t="s">
        <v>1476</v>
      </c>
      <c r="C7" s="7">
        <v>32768</v>
      </c>
      <c r="D7" s="5" t="str">
        <f>LRTRIM(CONCATENATE(IF(SUMPRODUCT(-- ISNUMBER(SEARCH({"Auto Number"}, $B7))) &gt; 0, $B7, IF(SUMPRODUCT(-- ISNUMBER(SEARCH({"Lookup","Master-Detail"}, $B7))) &gt; 0,$B7 &amp; "(" &amp; $E7 &amp; ")",IF(SUMPRODUCT(-- ISNUMBER(SEARCH({"Formula","Roll-Up Summary"}, $B7))) &gt; 0,$B7 &amp; " (" &amp; $E7 &amp; ")",IF(SUMPRODUCT(-- ISNUMBER(SEARCH({"Content","Currency","Number","Percent","Text","URL"}, $B7))) &gt; 0,$B7 &amp; "(" &amp; $C7 &amp; ")",$B7)))), "  ", TRIM(IF($S7 = "YES", "(External ID)", "") &amp; " " &amp; IF(SUMPRODUCT(-- ISNUMBER(SEARCH({"Unique","Unique Case Insensitive"}, $R7))) &gt; 0, "(" &amp; $R7 &amp; ")", ""))))</f>
        <v>Long Text Area(32768)</v>
      </c>
      <c r="E7" s="7" t="s">
        <v>195</v>
      </c>
      <c r="F7" s="7" t="s">
        <v>1465</v>
      </c>
      <c r="G7" s="7" t="s">
        <v>195</v>
      </c>
      <c r="H7" s="7" t="s">
        <v>195</v>
      </c>
      <c r="I7" s="7" t="s">
        <v>195</v>
      </c>
      <c r="J7" s="7" t="s">
        <v>195</v>
      </c>
      <c r="K7" s="7" t="s">
        <v>195</v>
      </c>
      <c r="L7" s="7" t="s">
        <v>195</v>
      </c>
      <c r="M7" s="7" t="s">
        <v>29</v>
      </c>
      <c r="N7" s="7" t="s">
        <v>29</v>
      </c>
      <c r="O7" s="7" t="s">
        <v>29</v>
      </c>
      <c r="P7" s="7" t="s">
        <v>29</v>
      </c>
      <c r="Q7" s="7" t="s">
        <v>29</v>
      </c>
      <c r="R7" s="7" t="s">
        <v>29</v>
      </c>
      <c r="S7" s="7" t="s">
        <v>29</v>
      </c>
    </row>
    <row r="8" spans="1:19">
      <c r="A8" s="7" t="s">
        <v>1461</v>
      </c>
      <c r="B8" s="9" t="s">
        <v>1207</v>
      </c>
      <c r="C8" s="7">
        <v>0</v>
      </c>
      <c r="D8" s="5" t="str">
        <f>LRTRIM(CONCATENATE(IF(SUMPRODUCT(-- ISNUMBER(SEARCH({"Auto Number"}, $B8))) &gt; 0, $B8, IF(SUMPRODUCT(-- ISNUMBER(SEARCH({"Lookup","Master-Detail"}, $B8))) &gt; 0,$B8 &amp; "(" &amp; $E8 &amp; ")",IF(SUMPRODUCT(-- ISNUMBER(SEARCH({"Formula","Roll-Up Summary"}, $B8))) &gt; 0,$B8 &amp; " (" &amp; $E8 &amp; ")",IF(SUMPRODUCT(-- ISNUMBER(SEARCH({"Content","Currency","Number","Percent","Text","URL"}, $B8))) &gt; 0,$B8 &amp; "(" &amp; $C8 &amp; ")",$B8)))), "  ", TRIM(IF($S8 = "YES", "(External ID)", "") &amp; " " &amp; IF(SUMPRODUCT(-- ISNUMBER(SEARCH({"Unique","Unique Case Insensitive"}, $R8))) &gt; 0, "(" &amp; $R8 &amp; ")", ""))))</f>
        <v>Date/Time</v>
      </c>
      <c r="E8" s="7" t="s">
        <v>195</v>
      </c>
      <c r="F8" s="7" t="s">
        <v>1469</v>
      </c>
      <c r="G8" s="7" t="s">
        <v>1472</v>
      </c>
      <c r="H8" s="7" t="s">
        <v>195</v>
      </c>
      <c r="I8" s="7" t="s">
        <v>195</v>
      </c>
      <c r="J8" s="7" t="s">
        <v>195</v>
      </c>
      <c r="K8" s="7" t="s">
        <v>195</v>
      </c>
      <c r="L8" s="7" t="s">
        <v>195</v>
      </c>
      <c r="M8" s="7" t="s">
        <v>29</v>
      </c>
      <c r="N8" s="7" t="s">
        <v>29</v>
      </c>
      <c r="O8" s="7" t="s">
        <v>29</v>
      </c>
      <c r="P8" s="7" t="s">
        <v>29</v>
      </c>
      <c r="Q8" s="7" t="s">
        <v>29</v>
      </c>
      <c r="R8" s="7" t="s">
        <v>29</v>
      </c>
      <c r="S8" s="7" t="s">
        <v>29</v>
      </c>
    </row>
    <row r="9" spans="1:19">
      <c r="A9" s="7" t="s">
        <v>1462</v>
      </c>
      <c r="B9" s="9" t="s">
        <v>1219</v>
      </c>
      <c r="C9" s="7">
        <v>255</v>
      </c>
      <c r="D9" s="5" t="str">
        <f>LRTRIM(CONCATENATE(IF(SUMPRODUCT(-- ISNUMBER(SEARCH({"Auto Number"}, $B9))) &gt; 0, $B9, IF(SUMPRODUCT(-- ISNUMBER(SEARCH({"Lookup","Master-Detail"}, $B9))) &gt; 0,$B9 &amp; "(" &amp; $E9 &amp; ")",IF(SUMPRODUCT(-- ISNUMBER(SEARCH({"Formula","Roll-Up Summary"}, $B9))) &gt; 0,$B9 &amp; " (" &amp; $E9 &amp; ")",IF(SUMPRODUCT(-- ISNUMBER(SEARCH({"Content","Currency","Number","Percent","Text","URL"}, $B9))) &gt; 0,$B9 &amp; "(" &amp; $C9 &amp; ")",$B9)))), "  ", TRIM(IF($S9 = "YES", "(External ID)", "") &amp; " " &amp; IF(SUMPRODUCT(-- ISNUMBER(SEARCH({"Unique","Unique Case Insensitive"}, $R9))) &gt; 0, "(" &amp; $R9 &amp; ")", ""))))</f>
        <v>URL(255)</v>
      </c>
      <c r="E9" s="7" t="s">
        <v>195</v>
      </c>
      <c r="F9" s="7" t="s">
        <v>1466</v>
      </c>
      <c r="G9" s="7" t="s">
        <v>195</v>
      </c>
      <c r="H9" s="7" t="s">
        <v>195</v>
      </c>
      <c r="I9" s="7" t="s">
        <v>195</v>
      </c>
      <c r="J9" s="7" t="s">
        <v>195</v>
      </c>
      <c r="K9" s="7" t="s">
        <v>195</v>
      </c>
      <c r="L9" s="7" t="s">
        <v>195</v>
      </c>
      <c r="M9" s="7" t="s">
        <v>29</v>
      </c>
      <c r="N9" s="7" t="s">
        <v>29</v>
      </c>
      <c r="O9" s="7" t="s">
        <v>29</v>
      </c>
      <c r="P9" s="7" t="s">
        <v>29</v>
      </c>
      <c r="Q9" s="7" t="s">
        <v>29</v>
      </c>
      <c r="R9" s="7" t="s">
        <v>29</v>
      </c>
      <c r="S9" s="7" t="s">
        <v>29</v>
      </c>
    </row>
    <row r="10" spans="1:19">
      <c r="A10" s="7" t="s">
        <v>1463</v>
      </c>
      <c r="B10" s="9" t="s">
        <v>1207</v>
      </c>
      <c r="C10" s="7">
        <v>0</v>
      </c>
      <c r="D10" s="5" t="str">
        <f>LRTRIM(CONCATENATE(IF(SUMPRODUCT(-- ISNUMBER(SEARCH({"Auto Number"}, $B10))) &gt; 0, $B10, IF(SUMPRODUCT(-- ISNUMBER(SEARCH({"Lookup","Master-Detail"}, $B10))) &gt; 0,$B10 &amp; "(" &amp; $E10 &amp; ")",IF(SUMPRODUCT(-- ISNUMBER(SEARCH({"Formula","Roll-Up Summary"}, $B10))) &gt; 0,$B10 &amp; " (" &amp; $E10 &amp; ")",IF(SUMPRODUCT(-- ISNUMBER(SEARCH({"Content","Currency","Number","Percent","Text","URL"}, $B10))) &gt; 0,$B10 &amp; "(" &amp; $C10 &amp; ")",$B10)))), "  ", TRIM(IF($S10 = "YES", "(External ID)", "") &amp; " " &amp; IF(SUMPRODUCT(-- ISNUMBER(SEARCH({"Unique","Unique Case Insensitive"}, $R10))) &gt; 0, "(" &amp; $R10 &amp; ")", ""))))</f>
        <v>Date/Time</v>
      </c>
      <c r="E10" s="7" t="s">
        <v>195</v>
      </c>
      <c r="F10" s="7" t="s">
        <v>1470</v>
      </c>
      <c r="G10" s="7" t="s">
        <v>1475</v>
      </c>
      <c r="H10" s="7" t="s">
        <v>195</v>
      </c>
      <c r="I10" s="7" t="s">
        <v>195</v>
      </c>
      <c r="J10" s="7" t="s">
        <v>195</v>
      </c>
      <c r="K10" s="7" t="s">
        <v>195</v>
      </c>
      <c r="L10" s="7" t="s">
        <v>195</v>
      </c>
      <c r="M10" s="7" t="s">
        <v>29</v>
      </c>
      <c r="N10" s="7" t="s">
        <v>29</v>
      </c>
      <c r="O10" s="7" t="s">
        <v>29</v>
      </c>
      <c r="P10" s="7" t="s">
        <v>29</v>
      </c>
      <c r="Q10" s="7" t="s">
        <v>29</v>
      </c>
      <c r="R10" s="7" t="s">
        <v>29</v>
      </c>
      <c r="S10" s="7" t="s">
        <v>29</v>
      </c>
    </row>
    <row r="11" spans="1:19">
      <c r="A11" s="7" t="s">
        <v>1464</v>
      </c>
      <c r="B11" s="9" t="s">
        <v>1218</v>
      </c>
      <c r="C11" s="7">
        <v>100</v>
      </c>
      <c r="D11" s="5" t="str">
        <f>LRTRIM(CONCATENATE(IF(SUMPRODUCT(-- ISNUMBER(SEARCH({"Auto Number"}, $B11))) &gt; 0, $B11, IF(SUMPRODUCT(-- ISNUMBER(SEARCH({"Lookup","Master-Detail"}, $B11))) &gt; 0,$B11 &amp; "(" &amp; $E11 &amp; ")",IF(SUMPRODUCT(-- ISNUMBER(SEARCH({"Formula","Roll-Up Summary"}, $B11))) &gt; 0,$B11 &amp; " (" &amp; $E11 &amp; ")",IF(SUMPRODUCT(-- ISNUMBER(SEARCH({"Content","Currency","Number","Percent","Text","URL"}, $B11))) &gt; 0,$B11 &amp; "(" &amp; $C11 &amp; ")",$B11)))), "  ", TRIM(IF($S11 = "YES", "(External ID)", "") &amp; " " &amp; IF(SUMPRODUCT(-- ISNUMBER(SEARCH({"Unique","Unique Case Insensitive"}, $R11))) &gt; 0, "(" &amp; $R11 &amp; ")", ""))))</f>
        <v>Text(100)</v>
      </c>
      <c r="E11" s="7" t="s">
        <v>195</v>
      </c>
      <c r="F11" s="7" t="s">
        <v>1468</v>
      </c>
      <c r="G11" s="7" t="s">
        <v>1474</v>
      </c>
      <c r="H11" s="7" t="s">
        <v>195</v>
      </c>
      <c r="I11" s="7" t="s">
        <v>195</v>
      </c>
      <c r="J11" s="7" t="s">
        <v>195</v>
      </c>
      <c r="K11" s="7" t="s">
        <v>195</v>
      </c>
      <c r="L11" s="7" t="s">
        <v>195</v>
      </c>
      <c r="M11" s="7" t="s">
        <v>29</v>
      </c>
      <c r="N11" s="7" t="s">
        <v>29</v>
      </c>
      <c r="O11" s="7" t="s">
        <v>29</v>
      </c>
      <c r="P11" s="7" t="s">
        <v>29</v>
      </c>
      <c r="Q11" s="7" t="s">
        <v>29</v>
      </c>
      <c r="R11" s="7" t="s">
        <v>29</v>
      </c>
      <c r="S11" s="7" t="s">
        <v>29</v>
      </c>
    </row>
    <row r="12" spans="1:19">
      <c r="A12" s="7" t="s">
        <v>1477</v>
      </c>
      <c r="B12" s="9" t="s">
        <v>1211</v>
      </c>
      <c r="C12" s="7">
        <v>0</v>
      </c>
      <c r="D12" s="5" t="str">
        <f>LRTRIM(CONCATENATE(IF(SUMPRODUCT(-- ISNUMBER(SEARCH({"Auto Number"}, $B12))) &gt; 0, $B12, IF(SUMPRODUCT(-- ISNUMBER(SEARCH({"Lookup","Master-Detail"}, $B12))) &gt; 0,$B12 &amp; "(" &amp; $E12 &amp; ")",IF(SUMPRODUCT(-- ISNUMBER(SEARCH({"Formula","Roll-Up Summary"}, $B12))) &gt; 0,$B12 &amp; " (" &amp; $E12 &amp; ")",IF(SUMPRODUCT(-- ISNUMBER(SEARCH({"Content","Currency","Number","Percent","Text","URL"}, $B12))) &gt; 0,$B12 &amp; "(" &amp; $C12 &amp; ")",$B12)))), "  ", TRIM(IF($S12 = "YES", "(External ID)", "") &amp; " " &amp; IF(SUMPRODUCT(-- ISNUMBER(SEARCH({"Unique","Unique Case Insensitive"}, $R12))) &gt; 0, "(" &amp; $R12 &amp; ")", ""))))</f>
        <v>Lookup(GoToWebinar Session)</v>
      </c>
      <c r="E12" s="7" t="s">
        <v>1467</v>
      </c>
      <c r="F12" s="7" t="s">
        <v>1467</v>
      </c>
      <c r="G12" s="7" t="s">
        <v>195</v>
      </c>
      <c r="H12" s="7" t="s">
        <v>195</v>
      </c>
      <c r="I12" s="7" t="s">
        <v>195</v>
      </c>
      <c r="J12" s="7" t="s">
        <v>195</v>
      </c>
      <c r="K12" s="7" t="s">
        <v>195</v>
      </c>
      <c r="L12" s="7" t="s">
        <v>195</v>
      </c>
      <c r="M12" s="7" t="s">
        <v>29</v>
      </c>
      <c r="N12" s="7" t="s">
        <v>29</v>
      </c>
      <c r="O12" s="7" t="s">
        <v>29</v>
      </c>
      <c r="P12" s="7" t="s">
        <v>29</v>
      </c>
      <c r="Q12" s="7" t="s">
        <v>29</v>
      </c>
      <c r="R12" s="7" t="s">
        <v>29</v>
      </c>
      <c r="S12" s="7" t="s">
        <v>29</v>
      </c>
    </row>
    <row r="13" spans="1:19">
      <c r="A13" s="7" t="s">
        <v>1336</v>
      </c>
      <c r="B13" s="9" t="s">
        <v>1213</v>
      </c>
      <c r="C13" s="7" t="s">
        <v>1250</v>
      </c>
      <c r="D13" s="5" t="str">
        <f>LRTRIM(CONCATENATE(IF(SUMPRODUCT(-- ISNUMBER(SEARCH({"Auto Number"}, $B13))) &gt; 0, $B13, IF(SUMPRODUCT(-- ISNUMBER(SEARCH({"Lookup","Master-Detail"}, $B13))) &gt; 0,$B13 &amp; "(" &amp; $E13 &amp; ")",IF(SUMPRODUCT(-- ISNUMBER(SEARCH({"Formula","Roll-Up Summary"}, $B13))) &gt; 0,$B13 &amp; " (" &amp; $E13 &amp; ")",IF(SUMPRODUCT(-- ISNUMBER(SEARCH({"Content","Currency","Number","Percent","Text","URL"}, $B13))) &gt; 0,$B13 &amp; "(" &amp; $C13 &amp; ")",$B13)))), "  ", TRIM(IF($S13 = "YES", "(External ID)", "") &amp; " " &amp; IF(SUMPRODUCT(-- ISNUMBER(SEARCH({"Unique","Unique Case Insensitive"}, $R13))) &gt; 0, "(" &amp; $R13 &amp; ")", ""))))</f>
        <v>Number(18, 0)</v>
      </c>
      <c r="E13" s="7" t="s">
        <v>1301</v>
      </c>
      <c r="F13" s="7" t="s">
        <v>1345</v>
      </c>
      <c r="G13" s="7" t="s">
        <v>1354</v>
      </c>
      <c r="H13" s="7" t="s">
        <v>195</v>
      </c>
      <c r="I13" s="7" t="s">
        <v>195</v>
      </c>
      <c r="J13" s="7" t="s">
        <v>195</v>
      </c>
      <c r="K13" s="7" t="s">
        <v>195</v>
      </c>
      <c r="L13" s="7" t="s">
        <v>195</v>
      </c>
      <c r="M13" s="7" t="s">
        <v>29</v>
      </c>
      <c r="N13" s="7" t="s">
        <v>29</v>
      </c>
      <c r="O13" s="7" t="s">
        <v>29</v>
      </c>
      <c r="P13" s="7" t="s">
        <v>29</v>
      </c>
      <c r="Q13" s="7" t="s">
        <v>29</v>
      </c>
      <c r="R13" s="7" t="s">
        <v>29</v>
      </c>
      <c r="S13" s="7" t="s">
        <v>29</v>
      </c>
    </row>
    <row r="14" spans="1:19">
      <c r="A14" s="7" t="s">
        <v>1418</v>
      </c>
      <c r="B14" s="9" t="s">
        <v>1209</v>
      </c>
      <c r="C14" s="7">
        <v>0</v>
      </c>
      <c r="D14" s="5" t="str">
        <f>LRTRIM(CONCATENATE(IF(SUMPRODUCT(-- ISNUMBER(SEARCH({"Auto Number"}, $B14))) &gt; 0, $B14, IF(SUMPRODUCT(-- ISNUMBER(SEARCH({"Lookup","Master-Detail"}, $B14))) &gt; 0,$B14 &amp; "(" &amp; $E14 &amp; ")",IF(SUMPRODUCT(-- ISNUMBER(SEARCH({"Formula","Roll-Up Summary"}, $B14))) &gt; 0,$B14 &amp; " (" &amp; $E14 &amp; ")",IF(SUMPRODUCT(-- ISNUMBER(SEARCH({"Content","Currency","Number","Percent","Text","URL"}, $B14))) &gt; 0,$B14 &amp; "(" &amp; $C14 &amp; ")",$B14)))), "  ", TRIM(IF($S14 = "YES", "(External ID)", "") &amp; " " &amp; IF(SUMPRODUCT(-- ISNUMBER(SEARCH({"Unique","Unique Case Insensitive"}, $R14))) &gt; 0, "(" &amp; $R14 &amp; ")", ""))))</f>
        <v>Formula (Text)</v>
      </c>
      <c r="E14" s="7" t="s">
        <v>1218</v>
      </c>
      <c r="F14" s="7" t="s">
        <v>564</v>
      </c>
      <c r="G14" s="7" t="s">
        <v>1446</v>
      </c>
      <c r="H14" s="7" t="s">
        <v>195</v>
      </c>
      <c r="I14" s="7" t="s">
        <v>195</v>
      </c>
      <c r="J14" s="7" t="s">
        <v>195</v>
      </c>
      <c r="K14" s="7" t="s">
        <v>195</v>
      </c>
      <c r="L14" s="7" t="s">
        <v>195</v>
      </c>
      <c r="M14" s="7" t="s">
        <v>29</v>
      </c>
      <c r="N14" s="7" t="s">
        <v>29</v>
      </c>
      <c r="O14" s="7" t="s">
        <v>29</v>
      </c>
      <c r="P14" s="7" t="s">
        <v>29</v>
      </c>
      <c r="Q14" s="7" t="s">
        <v>29</v>
      </c>
      <c r="R14" s="7" t="s">
        <v>29</v>
      </c>
      <c r="S14" s="7" t="s">
        <v>29</v>
      </c>
    </row>
    <row r="15" spans="1:19">
      <c r="A15" s="7" t="s">
        <v>1414</v>
      </c>
      <c r="B15" s="9" t="s">
        <v>1209</v>
      </c>
      <c r="C15" s="7">
        <v>0</v>
      </c>
      <c r="D15" s="5" t="str">
        <f>LRTRIM(CONCATENATE(IF(SUMPRODUCT(-- ISNUMBER(SEARCH({"Auto Number"}, $B15))) &gt; 0, $B15, IF(SUMPRODUCT(-- ISNUMBER(SEARCH({"Lookup","Master-Detail"}, $B15))) &gt; 0,$B15 &amp; "(" &amp; $E15 &amp; ")",IF(SUMPRODUCT(-- ISNUMBER(SEARCH({"Formula","Roll-Up Summary"}, $B15))) &gt; 0,$B15 &amp; " (" &amp; $E15 &amp; ")",IF(SUMPRODUCT(-- ISNUMBER(SEARCH({"Content","Currency","Number","Percent","Text","URL"}, $B15))) &gt; 0,$B15 &amp; "(" &amp; $C15 &amp; ")",$B15)))), "  ", TRIM(IF($S15 = "YES", "(External ID)", "") &amp; " " &amp; IF(SUMPRODUCT(-- ISNUMBER(SEARCH({"Unique","Unique Case Insensitive"}, $R15))) &gt; 0, "(" &amp; $R15 &amp; ")", ""))))</f>
        <v>Formula (Text)</v>
      </c>
      <c r="E15" s="7" t="s">
        <v>1218</v>
      </c>
      <c r="F15" s="7" t="s">
        <v>1433</v>
      </c>
      <c r="G15" s="7" t="s">
        <v>1448</v>
      </c>
      <c r="H15" s="7" t="s">
        <v>195</v>
      </c>
      <c r="I15" s="7" t="s">
        <v>195</v>
      </c>
      <c r="J15" s="7" t="s">
        <v>195</v>
      </c>
      <c r="K15" s="7" t="s">
        <v>195</v>
      </c>
      <c r="L15" s="7" t="s">
        <v>195</v>
      </c>
      <c r="M15" s="7" t="s">
        <v>29</v>
      </c>
      <c r="N15" s="7" t="s">
        <v>29</v>
      </c>
      <c r="O15" s="7" t="s">
        <v>29</v>
      </c>
      <c r="P15" s="7" t="s">
        <v>29</v>
      </c>
      <c r="Q15" s="7" t="s">
        <v>29</v>
      </c>
      <c r="R15" s="7" t="s">
        <v>29</v>
      </c>
      <c r="S15" s="7" t="s">
        <v>29</v>
      </c>
    </row>
    <row r="16" spans="1:19">
      <c r="A16" s="7" t="s">
        <v>1415</v>
      </c>
      <c r="B16" s="9" t="s">
        <v>1209</v>
      </c>
      <c r="C16" s="7">
        <v>0</v>
      </c>
      <c r="D16" s="5" t="str">
        <f>LRTRIM(CONCATENATE(IF(SUMPRODUCT(-- ISNUMBER(SEARCH({"Auto Number"}, $B16))) &gt; 0, $B16, IF(SUMPRODUCT(-- ISNUMBER(SEARCH({"Lookup","Master-Detail"}, $B16))) &gt; 0,$B16 &amp; "(" &amp; $E16 &amp; ")",IF(SUMPRODUCT(-- ISNUMBER(SEARCH({"Formula","Roll-Up Summary"}, $B16))) &gt; 0,$B16 &amp; " (" &amp; $E16 &amp; ")",IF(SUMPRODUCT(-- ISNUMBER(SEARCH({"Content","Currency","Number","Percent","Text","URL"}, $B16))) &gt; 0,$B16 &amp; "(" &amp; $C16 &amp; ")",$B16)))), "  ", TRIM(IF($S16 = "YES", "(External ID)", "") &amp; " " &amp; IF(SUMPRODUCT(-- ISNUMBER(SEARCH({"Unique","Unique Case Insensitive"}, $R16))) &gt; 0, "(" &amp; $R16 &amp; ")", ""))))</f>
        <v>Formula (Text)</v>
      </c>
      <c r="E16" s="7" t="s">
        <v>1218</v>
      </c>
      <c r="F16" s="7" t="s">
        <v>1434</v>
      </c>
      <c r="G16" s="7" t="s">
        <v>1447</v>
      </c>
      <c r="H16" s="7" t="s">
        <v>195</v>
      </c>
      <c r="I16" s="7" t="s">
        <v>195</v>
      </c>
      <c r="J16" s="7" t="s">
        <v>195</v>
      </c>
      <c r="K16" s="7" t="s">
        <v>195</v>
      </c>
      <c r="L16" s="7" t="s">
        <v>195</v>
      </c>
      <c r="M16" s="7" t="s">
        <v>29</v>
      </c>
      <c r="N16" s="7" t="s">
        <v>29</v>
      </c>
      <c r="O16" s="7" t="s">
        <v>29</v>
      </c>
      <c r="P16" s="7" t="s">
        <v>29</v>
      </c>
      <c r="Q16" s="7" t="s">
        <v>29</v>
      </c>
      <c r="R16" s="7" t="s">
        <v>29</v>
      </c>
      <c r="S16" s="7" t="s">
        <v>29</v>
      </c>
    </row>
    <row r="17" spans="1:19">
      <c r="A17" s="7" t="s">
        <v>1416</v>
      </c>
      <c r="B17" s="9" t="s">
        <v>1209</v>
      </c>
      <c r="C17" s="7">
        <v>0</v>
      </c>
      <c r="D17" s="5" t="str">
        <f>LRTRIM(CONCATENATE(IF(SUMPRODUCT(-- ISNUMBER(SEARCH({"Auto Number"}, $B17))) &gt; 0, $B17, IF(SUMPRODUCT(-- ISNUMBER(SEARCH({"Lookup","Master-Detail"}, $B17))) &gt; 0,$B17 &amp; "(" &amp; $E17 &amp; ")",IF(SUMPRODUCT(-- ISNUMBER(SEARCH({"Formula","Roll-Up Summary"}, $B17))) &gt; 0,$B17 &amp; " (" &amp; $E17 &amp; ")",IF(SUMPRODUCT(-- ISNUMBER(SEARCH({"Content","Currency","Number","Percent","Text","URL"}, $B17))) &gt; 0,$B17 &amp; "(" &amp; $C17 &amp; ")",$B17)))), "  ", TRIM(IF($S17 = "YES", "(External ID)", "") &amp; " " &amp; IF(SUMPRODUCT(-- ISNUMBER(SEARCH({"Unique","Unique Case Insensitive"}, $R17))) &gt; 0, "(" &amp; $R17 &amp; ")", ""))))</f>
        <v>Formula (Text)</v>
      </c>
      <c r="E17" s="7" t="s">
        <v>1218</v>
      </c>
      <c r="F17" s="7" t="s">
        <v>583</v>
      </c>
      <c r="G17" s="7" t="s">
        <v>1449</v>
      </c>
      <c r="H17" s="7" t="s">
        <v>195</v>
      </c>
      <c r="I17" s="7" t="s">
        <v>195</v>
      </c>
      <c r="J17" s="7" t="s">
        <v>195</v>
      </c>
      <c r="K17" s="7" t="s">
        <v>195</v>
      </c>
      <c r="L17" s="7" t="s">
        <v>195</v>
      </c>
      <c r="M17" s="7" t="s">
        <v>29</v>
      </c>
      <c r="N17" s="7" t="s">
        <v>29</v>
      </c>
      <c r="O17" s="7" t="s">
        <v>29</v>
      </c>
      <c r="P17" s="7" t="s">
        <v>29</v>
      </c>
      <c r="Q17" s="7" t="s">
        <v>29</v>
      </c>
      <c r="R17" s="7" t="s">
        <v>29</v>
      </c>
      <c r="S17" s="7" t="s">
        <v>29</v>
      </c>
    </row>
    <row r="18" spans="1:19">
      <c r="A18" s="7" t="s">
        <v>1419</v>
      </c>
      <c r="B18" s="9" t="s">
        <v>1209</v>
      </c>
      <c r="C18" s="7">
        <v>0</v>
      </c>
      <c r="D18" s="5" t="str">
        <f>LRTRIM(CONCATENATE(IF(SUMPRODUCT(-- ISNUMBER(SEARCH({"Auto Number"}, $B18))) &gt; 0, $B18, IF(SUMPRODUCT(-- ISNUMBER(SEARCH({"Lookup","Master-Detail"}, $B18))) &gt; 0,$B18 &amp; "(" &amp; $E18 &amp; ")",IF(SUMPRODUCT(-- ISNUMBER(SEARCH({"Formula","Roll-Up Summary"}, $B18))) &gt; 0,$B18 &amp; " (" &amp; $E18 &amp; ")",IF(SUMPRODUCT(-- ISNUMBER(SEARCH({"Content","Currency","Number","Percent","Text","URL"}, $B18))) &gt; 0,$B18 &amp; "(" &amp; $C18 &amp; ")",$B18)))), "  ", TRIM(IF($S18 = "YES", "(External ID)", "") &amp; " " &amp; IF(SUMPRODUCT(-- ISNUMBER(SEARCH({"Unique","Unique Case Insensitive"}, $R18))) &gt; 0, "(" &amp; $R18 &amp; ")", ""))))</f>
        <v>Formula (Text)</v>
      </c>
      <c r="E18" s="7" t="s">
        <v>1218</v>
      </c>
      <c r="F18" s="7" t="s">
        <v>101</v>
      </c>
      <c r="G18" s="7" t="s">
        <v>195</v>
      </c>
      <c r="H18" s="7" t="s">
        <v>195</v>
      </c>
      <c r="I18" s="7" t="s">
        <v>195</v>
      </c>
      <c r="J18" s="7" t="s">
        <v>195</v>
      </c>
      <c r="K18" s="7" t="s">
        <v>195</v>
      </c>
      <c r="L18" s="7" t="s">
        <v>195</v>
      </c>
      <c r="M18" s="7" t="s">
        <v>29</v>
      </c>
      <c r="N18" s="7" t="s">
        <v>29</v>
      </c>
      <c r="O18" s="7" t="s">
        <v>29</v>
      </c>
      <c r="P18" s="7" t="s">
        <v>29</v>
      </c>
      <c r="Q18" s="7" t="s">
        <v>29</v>
      </c>
      <c r="R18" s="7" t="s">
        <v>29</v>
      </c>
      <c r="S18" s="7" t="s">
        <v>29</v>
      </c>
    </row>
    <row r="19" spans="1:19">
      <c r="A19" s="7" t="s">
        <v>1417</v>
      </c>
      <c r="B19" s="9" t="s">
        <v>1209</v>
      </c>
      <c r="C19" s="7">
        <v>0</v>
      </c>
      <c r="D19" s="5" t="str">
        <f>LRTRIM(CONCATENATE(IF(SUMPRODUCT(-- ISNUMBER(SEARCH({"Auto Number"}, $B19))) &gt; 0, $B19, IF(SUMPRODUCT(-- ISNUMBER(SEARCH({"Lookup","Master-Detail"}, $B19))) &gt; 0,$B19 &amp; "(" &amp; $E19 &amp; ")",IF(SUMPRODUCT(-- ISNUMBER(SEARCH({"Formula","Roll-Up Summary"}, $B19))) &gt; 0,$B19 &amp; " (" &amp; $E19 &amp; ")",IF(SUMPRODUCT(-- ISNUMBER(SEARCH({"Content","Currency","Number","Percent","Text","URL"}, $B19))) &gt; 0,$B19 &amp; "(" &amp; $C19 &amp; ")",$B19)))), "  ", TRIM(IF($S19 = "YES", "(External ID)", "") &amp; " " &amp; IF(SUMPRODUCT(-- ISNUMBER(SEARCH({"Unique","Unique Case Insensitive"}, $R19))) &gt; 0, "(" &amp; $R19 &amp; ")", ""))))</f>
        <v>Formula (Text)</v>
      </c>
      <c r="E19" s="7" t="s">
        <v>1218</v>
      </c>
      <c r="F19" s="7" t="s">
        <v>1435</v>
      </c>
      <c r="G19" s="7" t="s">
        <v>1450</v>
      </c>
      <c r="H19" s="7" t="s">
        <v>195</v>
      </c>
      <c r="I19" s="7" t="s">
        <v>195</v>
      </c>
      <c r="J19" s="7" t="s">
        <v>195</v>
      </c>
      <c r="K19" s="7" t="s">
        <v>195</v>
      </c>
      <c r="L19" s="7" t="s">
        <v>195</v>
      </c>
      <c r="M19" s="7" t="s">
        <v>29</v>
      </c>
      <c r="N19" s="7" t="s">
        <v>29</v>
      </c>
      <c r="O19" s="7" t="s">
        <v>29</v>
      </c>
      <c r="P19" s="7" t="s">
        <v>29</v>
      </c>
      <c r="Q19" s="7" t="s">
        <v>29</v>
      </c>
      <c r="R19" s="7" t="s">
        <v>29</v>
      </c>
      <c r="S19" s="7" t="s">
        <v>29</v>
      </c>
    </row>
    <row r="20" spans="1:19">
      <c r="A20" s="7" t="s">
        <v>1357</v>
      </c>
      <c r="B20" s="9" t="s">
        <v>1204</v>
      </c>
      <c r="C20" s="7" t="s">
        <v>195</v>
      </c>
      <c r="D20" s="5" t="str">
        <f>LRTRIM(CONCATENATE(IF(SUMPRODUCT(-- ISNUMBER(SEARCH({"Auto Number"}, $B20))) &gt; 0, $B20, IF(SUMPRODUCT(-- ISNUMBER(SEARCH({"Lookup","Master-Detail"}, $B20))) &gt; 0,$B20 &amp; "(" &amp; $E20 &amp; ")",IF(SUMPRODUCT(-- ISNUMBER(SEARCH({"Formula","Roll-Up Summary"}, $B20))) &gt; 0,$B20 &amp; " (" &amp; $E20 &amp; ")",IF(SUMPRODUCT(-- ISNUMBER(SEARCH({"Content","Currency","Number","Percent","Text","URL"}, $B20))) &gt; 0,$B20 &amp; "(" &amp; $C20 &amp; ")",$B20)))), "  ", TRIM(IF($S20 = "YES", "(External ID)", "") &amp; " " &amp; IF(SUMPRODUCT(-- ISNUMBER(SEARCH({"Unique","Unique Case Insensitive"}, $R20))) &gt; 0, "(" &amp; $R20 &amp; ")", ""))))</f>
        <v>Checkbox</v>
      </c>
      <c r="E20" s="7" t="s">
        <v>195</v>
      </c>
      <c r="F20" s="7" t="s">
        <v>1347</v>
      </c>
      <c r="G20" s="7" t="s">
        <v>633</v>
      </c>
      <c r="H20" s="7" t="s">
        <v>195</v>
      </c>
      <c r="I20" s="7" t="s">
        <v>195</v>
      </c>
      <c r="J20" s="7" t="s">
        <v>195</v>
      </c>
      <c r="K20" s="7" t="s">
        <v>195</v>
      </c>
      <c r="L20" s="7" t="s">
        <v>195</v>
      </c>
      <c r="M20" s="7" t="s">
        <v>28</v>
      </c>
      <c r="N20" s="7" t="s">
        <v>29</v>
      </c>
      <c r="O20" s="7" t="s">
        <v>29</v>
      </c>
      <c r="P20" s="7" t="s">
        <v>29</v>
      </c>
      <c r="Q20" s="7" t="s">
        <v>29</v>
      </c>
      <c r="R20" s="7" t="s">
        <v>29</v>
      </c>
      <c r="S20" s="7" t="s">
        <v>29</v>
      </c>
    </row>
    <row r="21" spans="1:19">
      <c r="A21" s="7" t="s">
        <v>1337</v>
      </c>
      <c r="B21" s="9" t="s">
        <v>1213</v>
      </c>
      <c r="C21" s="7" t="s">
        <v>1250</v>
      </c>
      <c r="D21" s="5" t="str">
        <f>LRTRIM(CONCATENATE(IF(SUMPRODUCT(-- ISNUMBER(SEARCH({"Auto Number"}, $B21))) &gt; 0, $B21, IF(SUMPRODUCT(-- ISNUMBER(SEARCH({"Lookup","Master-Detail"}, $B21))) &gt; 0,$B21 &amp; "(" &amp; $E21 &amp; ")",IF(SUMPRODUCT(-- ISNUMBER(SEARCH({"Formula","Roll-Up Summary"}, $B21))) &gt; 0,$B21 &amp; " (" &amp; $E21 &amp; ")",IF(SUMPRODUCT(-- ISNUMBER(SEARCH({"Content","Currency","Number","Percent","Text","URL"}, $B21))) &gt; 0,$B21 &amp; "(" &amp; $C21 &amp; ")",$B21)))), "  ", TRIM(IF($S21 = "YES", "(External ID)", "") &amp; " " &amp; IF(SUMPRODUCT(-- ISNUMBER(SEARCH({"Unique","Unique Case Insensitive"}, $R21))) &gt; 0, "(" &amp; $R21 &amp; ")", ""))))</f>
        <v>Number(18, 0)</v>
      </c>
      <c r="E21" s="7" t="s">
        <v>1301</v>
      </c>
      <c r="F21" s="7" t="s">
        <v>1346</v>
      </c>
      <c r="G21" s="7" t="s">
        <v>1356</v>
      </c>
      <c r="H21" s="7" t="s">
        <v>195</v>
      </c>
      <c r="I21" s="7" t="s">
        <v>195</v>
      </c>
      <c r="J21" s="7" t="s">
        <v>195</v>
      </c>
      <c r="K21" s="7" t="s">
        <v>195</v>
      </c>
      <c r="L21" s="7" t="s">
        <v>195</v>
      </c>
      <c r="M21" s="7" t="s">
        <v>29</v>
      </c>
      <c r="N21" s="7" t="s">
        <v>29</v>
      </c>
      <c r="O21" s="7" t="s">
        <v>29</v>
      </c>
      <c r="P21" s="7" t="s">
        <v>29</v>
      </c>
      <c r="Q21" s="7" t="s">
        <v>29</v>
      </c>
      <c r="R21" s="7" t="s">
        <v>29</v>
      </c>
      <c r="S21" s="7" t="s">
        <v>29</v>
      </c>
    </row>
    <row r="22" spans="1:19">
      <c r="A22" s="7" t="s">
        <v>1338</v>
      </c>
      <c r="B22" s="9" t="s">
        <v>1209</v>
      </c>
      <c r="C22" s="7" t="s">
        <v>195</v>
      </c>
      <c r="D22" s="5" t="str">
        <f>LRTRIM(CONCATENATE(IF(SUMPRODUCT(-- ISNUMBER(SEARCH({"Auto Number"}, $B22))) &gt; 0, $B22, IF(SUMPRODUCT(-- ISNUMBER(SEARCH({"Lookup","Master-Detail"}, $B22))) &gt; 0,$B22 &amp; "(" &amp; $E22 &amp; ")",IF(SUMPRODUCT(-- ISNUMBER(SEARCH({"Formula","Roll-Up Summary"}, $B22))) &gt; 0,$B22 &amp; " (" &amp; $E22 &amp; ")",IF(SUMPRODUCT(-- ISNUMBER(SEARCH({"Content","Currency","Number","Percent","Text","URL"}, $B22))) &gt; 0,$B22 &amp; "(" &amp; $C22 &amp; ")",$B22)))), "  ", TRIM(IF($S22 = "YES", "(External ID)", "") &amp; " " &amp; IF(SUMPRODUCT(-- ISNUMBER(SEARCH({"Unique","Unique Case Insensitive"}, $R22))) &gt; 0, "(" &amp; $R22 &amp; ")", ""))))</f>
        <v>Formula (Text)</v>
      </c>
      <c r="E22" s="7" t="s">
        <v>1218</v>
      </c>
      <c r="F22" s="7" t="s">
        <v>1348</v>
      </c>
      <c r="G22" s="7" t="s">
        <v>195</v>
      </c>
      <c r="H22" s="7" t="s">
        <v>195</v>
      </c>
      <c r="I22" s="7" t="s">
        <v>195</v>
      </c>
      <c r="J22" s="7" t="s">
        <v>195</v>
      </c>
      <c r="K22" s="7" t="s">
        <v>195</v>
      </c>
      <c r="L22" s="7" t="s">
        <v>195</v>
      </c>
      <c r="M22" s="7" t="s">
        <v>29</v>
      </c>
      <c r="N22" s="7" t="s">
        <v>29</v>
      </c>
      <c r="O22" s="7" t="s">
        <v>29</v>
      </c>
      <c r="P22" s="7" t="s">
        <v>29</v>
      </c>
      <c r="Q22" s="7" t="s">
        <v>29</v>
      </c>
      <c r="R22" s="7" t="s">
        <v>29</v>
      </c>
      <c r="S22" s="7" t="s">
        <v>29</v>
      </c>
    </row>
    <row r="23" spans="1:19">
      <c r="A23" s="7" t="s">
        <v>1339</v>
      </c>
      <c r="B23" s="9" t="s">
        <v>1218</v>
      </c>
      <c r="C23" s="7">
        <v>255</v>
      </c>
      <c r="D23" s="5" t="str">
        <f>LRTRIM(CONCATENATE(IF(SUMPRODUCT(-- ISNUMBER(SEARCH({"Auto Number"}, $B23))) &gt; 0, $B23, IF(SUMPRODUCT(-- ISNUMBER(SEARCH({"Lookup","Master-Detail"}, $B23))) &gt; 0,$B23 &amp; "(" &amp; $E23 &amp; ")",IF(SUMPRODUCT(-- ISNUMBER(SEARCH({"Formula","Roll-Up Summary"}, $B23))) &gt; 0,$B23 &amp; " (" &amp; $E23 &amp; ")",IF(SUMPRODUCT(-- ISNUMBER(SEARCH({"Content","Currency","Number","Percent","Text","URL"}, $B23))) &gt; 0,$B23 &amp; "(" &amp; $C23 &amp; ")",$B23)))), "  ", TRIM(IF($S23 = "YES", "(External ID)", "") &amp; " " &amp; IF(SUMPRODUCT(-- ISNUMBER(SEARCH({"Unique","Unique Case Insensitive"}, $R23))) &gt; 0, "(" &amp; $R23 &amp; ")", ""))))</f>
        <v>Text(255)</v>
      </c>
      <c r="E23" s="7" t="s">
        <v>195</v>
      </c>
      <c r="F23" s="7" t="s">
        <v>1349</v>
      </c>
      <c r="G23" s="7" t="s">
        <v>195</v>
      </c>
      <c r="H23" s="7" t="s">
        <v>195</v>
      </c>
      <c r="I23" s="7" t="s">
        <v>195</v>
      </c>
      <c r="J23" s="7" t="s">
        <v>195</v>
      </c>
      <c r="K23" s="7" t="s">
        <v>195</v>
      </c>
      <c r="L23" s="7" t="s">
        <v>195</v>
      </c>
      <c r="M23" s="7" t="s">
        <v>29</v>
      </c>
      <c r="N23" s="7" t="s">
        <v>29</v>
      </c>
      <c r="O23" s="7" t="s">
        <v>29</v>
      </c>
      <c r="P23" s="7" t="s">
        <v>29</v>
      </c>
      <c r="Q23" s="7" t="s">
        <v>29</v>
      </c>
      <c r="R23" s="7" t="s">
        <v>29</v>
      </c>
      <c r="S23" s="7" t="s">
        <v>29</v>
      </c>
    </row>
    <row r="24" spans="1:19">
      <c r="A24" s="7" t="s">
        <v>1340</v>
      </c>
      <c r="B24" s="9" t="s">
        <v>1209</v>
      </c>
      <c r="C24" s="7" t="s">
        <v>1330</v>
      </c>
      <c r="D24" s="5" t="str">
        <f>LRTRIM(CONCATENATE(IF(SUMPRODUCT(-- ISNUMBER(SEARCH({"Auto Number"}, $B24))) &gt; 0, $B24, IF(SUMPRODUCT(-- ISNUMBER(SEARCH({"Lookup","Master-Detail"}, $B24))) &gt; 0,$B24 &amp; "(" &amp; $E24 &amp; ")",IF(SUMPRODUCT(-- ISNUMBER(SEARCH({"Formula","Roll-Up Summary"}, $B24))) &gt; 0,$B24 &amp; " (" &amp; $E24 &amp; ")",IF(SUMPRODUCT(-- ISNUMBER(SEARCH({"Content","Currency","Number","Percent","Text","URL"}, $B24))) &gt; 0,$B24 &amp; "(" &amp; $C24 &amp; ")",$B24)))), "  ", TRIM(IF($S24 = "YES", "(External ID)", "") &amp; " " &amp; IF(SUMPRODUCT(-- ISNUMBER(SEARCH({"Unique","Unique Case Insensitive"}, $R24))) &gt; 0, "(" &amp; $R24 &amp; ")", ""))))</f>
        <v>Formula (Date)</v>
      </c>
      <c r="E24" s="7" t="s">
        <v>386</v>
      </c>
      <c r="F24" s="7" t="s">
        <v>1350</v>
      </c>
      <c r="G24" s="7" t="s">
        <v>195</v>
      </c>
      <c r="H24" s="7" t="s">
        <v>195</v>
      </c>
      <c r="I24" s="7" t="s">
        <v>195</v>
      </c>
      <c r="J24" s="7" t="s">
        <v>195</v>
      </c>
      <c r="K24" s="7" t="s">
        <v>195</v>
      </c>
      <c r="L24" s="7" t="s">
        <v>195</v>
      </c>
      <c r="M24" s="7" t="s">
        <v>29</v>
      </c>
      <c r="N24" s="7" t="s">
        <v>29</v>
      </c>
      <c r="O24" s="7" t="s">
        <v>29</v>
      </c>
      <c r="P24" s="7" t="s">
        <v>29</v>
      </c>
      <c r="Q24" s="7" t="s">
        <v>29</v>
      </c>
      <c r="R24" s="7" t="s">
        <v>29</v>
      </c>
      <c r="S24" s="7" t="s">
        <v>29</v>
      </c>
    </row>
    <row r="25" spans="1:19">
      <c r="A25" s="7" t="s">
        <v>1341</v>
      </c>
      <c r="B25" s="9" t="s">
        <v>1209</v>
      </c>
      <c r="C25" s="7" t="s">
        <v>1331</v>
      </c>
      <c r="D25" s="5" t="str">
        <f>LRTRIM(CONCATENATE(IF(SUMPRODUCT(-- ISNUMBER(SEARCH({"Auto Number"}, $B25))) &gt; 0, $B25, IF(SUMPRODUCT(-- ISNUMBER(SEARCH({"Lookup","Master-Detail"}, $B25))) &gt; 0,$B25 &amp; "(" &amp; $E25 &amp; ")",IF(SUMPRODUCT(-- ISNUMBER(SEARCH({"Formula","Roll-Up Summary"}, $B25))) &gt; 0,$B25 &amp; " (" &amp; $E25 &amp; ")",IF(SUMPRODUCT(-- ISNUMBER(SEARCH({"Content","Currency","Number","Percent","Text","URL"}, $B25))) &gt; 0,$B25 &amp; "(" &amp; $C25 &amp; ")",$B25)))), "  ", TRIM(IF($S25 = "YES", "(External ID)", "") &amp; " " &amp; IF(SUMPRODUCT(-- ISNUMBER(SEARCH({"Unique","Unique Case Insensitive"}, $R25))) &gt; 0, "(" &amp; $R25 &amp; ")", ""))))</f>
        <v>Formula (Date/Time)</v>
      </c>
      <c r="E25" s="7" t="s">
        <v>1207</v>
      </c>
      <c r="F25" s="7" t="s">
        <v>1351</v>
      </c>
      <c r="G25" s="7" t="s">
        <v>195</v>
      </c>
      <c r="H25" s="7" t="s">
        <v>195</v>
      </c>
      <c r="I25" s="7" t="s">
        <v>195</v>
      </c>
      <c r="J25" s="7" t="s">
        <v>195</v>
      </c>
      <c r="K25" s="7" t="s">
        <v>195</v>
      </c>
      <c r="L25" s="7" t="s">
        <v>195</v>
      </c>
      <c r="M25" s="7" t="s">
        <v>29</v>
      </c>
      <c r="N25" s="7" t="s">
        <v>29</v>
      </c>
      <c r="O25" s="7" t="s">
        <v>29</v>
      </c>
      <c r="P25" s="7" t="s">
        <v>29</v>
      </c>
      <c r="Q25" s="7" t="s">
        <v>29</v>
      </c>
      <c r="R25" s="7" t="s">
        <v>29</v>
      </c>
      <c r="S25" s="7" t="s">
        <v>29</v>
      </c>
    </row>
    <row r="26" spans="1:19">
      <c r="B26" s="9" t="s">
        <v>195</v>
      </c>
      <c r="C26" s="7" t="s">
        <v>195</v>
      </c>
      <c r="D26" s="5" t="str">
        <f>LRTRIM(CONCATENATE(IF(SUMPRODUCT(-- ISNUMBER(SEARCH({"Auto Number"}, $B26))) &gt; 0, $B26, IF(SUMPRODUCT(-- ISNUMBER(SEARCH({"Lookup","Master-Detail"}, $B26))) &gt; 0,$B26 &amp; "(" &amp; $E26 &amp; ")",IF(SUMPRODUCT(-- ISNUMBER(SEARCH({"Formula","Roll-Up Summary"}, $B26))) &gt; 0,$B26 &amp; " (" &amp; $E26 &amp; ")",IF(SUMPRODUCT(-- ISNUMBER(SEARCH({"Content","Currency","Number","Percent","Text","URL"}, $B26))) &gt; 0,$B26 &amp; "(" &amp; $C26 &amp; ")",$B26)))), "  ", TRIM(IF($S26 = "YES", "(External ID)", "") &amp; " " &amp; IF(SUMPRODUCT(-- ISNUMBER(SEARCH({"Unique","Unique Case Insensitive"}, $R26))) &gt; 0, "(" &amp; $R26 &amp; ")", ""))))</f>
        <v>na</v>
      </c>
      <c r="E26" s="7" t="s">
        <v>195</v>
      </c>
      <c r="F26" s="7" t="s">
        <v>195</v>
      </c>
      <c r="G26" s="7" t="s">
        <v>195</v>
      </c>
      <c r="H26" s="7" t="s">
        <v>195</v>
      </c>
      <c r="I26" s="7" t="s">
        <v>195</v>
      </c>
      <c r="J26" s="7" t="s">
        <v>195</v>
      </c>
      <c r="K26" s="7" t="s">
        <v>195</v>
      </c>
      <c r="L26" s="7" t="s">
        <v>195</v>
      </c>
      <c r="M26" s="7" t="s">
        <v>29</v>
      </c>
      <c r="N26" s="7" t="s">
        <v>29</v>
      </c>
      <c r="O26" s="7" t="s">
        <v>29</v>
      </c>
      <c r="P26" s="7" t="s">
        <v>29</v>
      </c>
      <c r="Q26" s="7" t="s">
        <v>29</v>
      </c>
      <c r="R26" s="7" t="s">
        <v>29</v>
      </c>
      <c r="S26" s="7" t="s">
        <v>29</v>
      </c>
    </row>
    <row r="27" spans="1:19">
      <c r="B27" s="9" t="s">
        <v>195</v>
      </c>
      <c r="C27" s="7" t="s">
        <v>195</v>
      </c>
      <c r="D27" s="5" t="str">
        <f>LRTRIM(CONCATENATE(IF(SUMPRODUCT(-- ISNUMBER(SEARCH({"Auto Number"}, $B27))) &gt; 0, $B27, IF(SUMPRODUCT(-- ISNUMBER(SEARCH({"Lookup","Master-Detail"}, $B27))) &gt; 0,$B27 &amp; "(" &amp; $E27 &amp; ")",IF(SUMPRODUCT(-- ISNUMBER(SEARCH({"Formula","Roll-Up Summary"}, $B27))) &gt; 0,$B27 &amp; " (" &amp; $E27 &amp; ")",IF(SUMPRODUCT(-- ISNUMBER(SEARCH({"Content","Currency","Number","Percent","Text","URL"}, $B27))) &gt; 0,$B27 &amp; "(" &amp; $C27 &amp; ")",$B27)))), "  ", TRIM(IF($S27 = "YES", "(External ID)", "") &amp; " " &amp; IF(SUMPRODUCT(-- ISNUMBER(SEARCH({"Unique","Unique Case Insensitive"}, $R27))) &gt; 0, "(" &amp; $R27 &amp; ")", ""))))</f>
        <v>na</v>
      </c>
      <c r="E27" s="7" t="s">
        <v>195</v>
      </c>
      <c r="F27" s="7" t="s">
        <v>195</v>
      </c>
      <c r="G27" s="7" t="s">
        <v>195</v>
      </c>
      <c r="H27" s="7" t="s">
        <v>195</v>
      </c>
      <c r="I27" s="7" t="s">
        <v>195</v>
      </c>
      <c r="J27" s="7" t="s">
        <v>195</v>
      </c>
      <c r="K27" s="7" t="s">
        <v>195</v>
      </c>
      <c r="L27" s="7" t="s">
        <v>195</v>
      </c>
      <c r="M27" s="7" t="s">
        <v>29</v>
      </c>
      <c r="N27" s="7" t="s">
        <v>29</v>
      </c>
      <c r="O27" s="7" t="s">
        <v>29</v>
      </c>
      <c r="P27" s="7" t="s">
        <v>29</v>
      </c>
      <c r="Q27" s="7" t="s">
        <v>29</v>
      </c>
      <c r="R27" s="7" t="s">
        <v>29</v>
      </c>
      <c r="S27" s="7" t="s">
        <v>29</v>
      </c>
    </row>
    <row r="28" spans="1:19">
      <c r="B28" s="9" t="s">
        <v>195</v>
      </c>
      <c r="C28" s="7" t="s">
        <v>195</v>
      </c>
      <c r="D28" s="5" t="str">
        <f>LRTRIM(CONCATENATE(IF(SUMPRODUCT(-- ISNUMBER(SEARCH({"Auto Number"}, $B28))) &gt; 0, $B28, IF(SUMPRODUCT(-- ISNUMBER(SEARCH({"Lookup","Master-Detail"}, $B28))) &gt; 0,$B28 &amp; "(" &amp; $E28 &amp; ")",IF(SUMPRODUCT(-- ISNUMBER(SEARCH({"Formula","Roll-Up Summary"}, $B28))) &gt; 0,$B28 &amp; " (" &amp; $E28 &amp; ")",IF(SUMPRODUCT(-- ISNUMBER(SEARCH({"Content","Currency","Number","Percent","Text","URL"}, $B28))) &gt; 0,$B28 &amp; "(" &amp; $C28 &amp; ")",$B28)))), "  ", TRIM(IF($S28 = "YES", "(External ID)", "") &amp; " " &amp; IF(SUMPRODUCT(-- ISNUMBER(SEARCH({"Unique","Unique Case Insensitive"}, $R28))) &gt; 0, "(" &amp; $R28 &amp; ")", ""))))</f>
        <v>na</v>
      </c>
      <c r="E28" s="7" t="s">
        <v>195</v>
      </c>
      <c r="F28" s="7" t="s">
        <v>195</v>
      </c>
      <c r="G28" s="7" t="s">
        <v>195</v>
      </c>
      <c r="H28" s="7" t="s">
        <v>195</v>
      </c>
      <c r="I28" s="7" t="s">
        <v>195</v>
      </c>
      <c r="J28" s="7" t="s">
        <v>195</v>
      </c>
      <c r="K28" s="7" t="s">
        <v>195</v>
      </c>
      <c r="L28" s="7" t="s">
        <v>195</v>
      </c>
      <c r="M28" s="7" t="s">
        <v>29</v>
      </c>
      <c r="N28" s="7" t="s">
        <v>29</v>
      </c>
      <c r="O28" s="7" t="s">
        <v>29</v>
      </c>
      <c r="P28" s="7" t="s">
        <v>29</v>
      </c>
      <c r="Q28" s="7" t="s">
        <v>29</v>
      </c>
      <c r="R28" s="7" t="s">
        <v>29</v>
      </c>
      <c r="S28" s="7" t="s">
        <v>29</v>
      </c>
    </row>
    <row r="29" spans="1:19">
      <c r="B29" s="9" t="s">
        <v>195</v>
      </c>
      <c r="C29" s="7" t="s">
        <v>195</v>
      </c>
      <c r="D29" s="5" t="str">
        <f>LRTRIM(CONCATENATE(IF(SUMPRODUCT(-- ISNUMBER(SEARCH({"Auto Number"}, $B29))) &gt; 0, $B29, IF(SUMPRODUCT(-- ISNUMBER(SEARCH({"Lookup","Master-Detail"}, $B29))) &gt; 0,$B29 &amp; "(" &amp; $E29 &amp; ")",IF(SUMPRODUCT(-- ISNUMBER(SEARCH({"Formula","Roll-Up Summary"}, $B29))) &gt; 0,$B29 &amp; " (" &amp; $E29 &amp; ")",IF(SUMPRODUCT(-- ISNUMBER(SEARCH({"Content","Currency","Number","Percent","Text","URL"}, $B29))) &gt; 0,$B29 &amp; "(" &amp; $C29 &amp; ")",$B29)))), "  ", TRIM(IF($S29 = "YES", "(External ID)", "") &amp; " " &amp; IF(SUMPRODUCT(-- ISNUMBER(SEARCH({"Unique","Unique Case Insensitive"}, $R29))) &gt; 0, "(" &amp; $R29 &amp; ")", ""))))</f>
        <v>na</v>
      </c>
      <c r="E29" s="7" t="s">
        <v>195</v>
      </c>
      <c r="F29" s="7" t="s">
        <v>195</v>
      </c>
      <c r="G29" s="7" t="s">
        <v>195</v>
      </c>
      <c r="H29" s="7" t="s">
        <v>195</v>
      </c>
      <c r="I29" s="7" t="s">
        <v>195</v>
      </c>
      <c r="J29" s="7" t="s">
        <v>195</v>
      </c>
      <c r="K29" s="7" t="s">
        <v>195</v>
      </c>
      <c r="L29" s="7" t="s">
        <v>195</v>
      </c>
      <c r="M29" s="7" t="s">
        <v>29</v>
      </c>
      <c r="N29" s="7" t="s">
        <v>29</v>
      </c>
      <c r="O29" s="7" t="s">
        <v>29</v>
      </c>
      <c r="P29" s="7" t="s">
        <v>29</v>
      </c>
      <c r="Q29" s="7" t="s">
        <v>29</v>
      </c>
      <c r="R29" s="7" t="s">
        <v>29</v>
      </c>
      <c r="S29" s="7" t="s">
        <v>29</v>
      </c>
    </row>
    <row r="30" spans="1:19">
      <c r="B30" s="9" t="s">
        <v>195</v>
      </c>
      <c r="C30" s="7" t="s">
        <v>195</v>
      </c>
      <c r="D30" s="5" t="str">
        <f>LRTRIM(CONCATENATE(IF(SUMPRODUCT(-- ISNUMBER(SEARCH({"Auto Number"}, $B30))) &gt; 0, $B30, IF(SUMPRODUCT(-- ISNUMBER(SEARCH({"Lookup","Master-Detail"}, $B30))) &gt; 0,$B30 &amp; "(" &amp; $E30 &amp; ")",IF(SUMPRODUCT(-- ISNUMBER(SEARCH({"Formula","Roll-Up Summary"}, $B30))) &gt; 0,$B30 &amp; " (" &amp; $E30 &amp; ")",IF(SUMPRODUCT(-- ISNUMBER(SEARCH({"Content","Currency","Number","Percent","Text","URL"}, $B30))) &gt; 0,$B30 &amp; "(" &amp; $C30 &amp; ")",$B30)))), "  ", TRIM(IF($S30 = "YES", "(External ID)", "") &amp; " " &amp; IF(SUMPRODUCT(-- ISNUMBER(SEARCH({"Unique","Unique Case Insensitive"}, $R30))) &gt; 0, "(" &amp; $R30 &amp; ")", ""))))</f>
        <v>na</v>
      </c>
      <c r="E30" s="7" t="s">
        <v>195</v>
      </c>
      <c r="F30" s="7" t="s">
        <v>195</v>
      </c>
      <c r="G30" s="7" t="s">
        <v>195</v>
      </c>
      <c r="H30" s="7" t="s">
        <v>195</v>
      </c>
      <c r="I30" s="7" t="s">
        <v>195</v>
      </c>
      <c r="J30" s="7" t="s">
        <v>195</v>
      </c>
      <c r="K30" s="7" t="s">
        <v>195</v>
      </c>
      <c r="L30" s="7" t="s">
        <v>195</v>
      </c>
      <c r="M30" s="7" t="s">
        <v>29</v>
      </c>
      <c r="N30" s="7" t="s">
        <v>29</v>
      </c>
      <c r="O30" s="7" t="s">
        <v>29</v>
      </c>
      <c r="P30" s="7" t="s">
        <v>29</v>
      </c>
      <c r="Q30" s="7" t="s">
        <v>29</v>
      </c>
      <c r="R30" s="7" t="s">
        <v>29</v>
      </c>
      <c r="S30" s="7" t="s">
        <v>29</v>
      </c>
    </row>
    <row r="31" spans="1:19">
      <c r="B31" s="9" t="s">
        <v>195</v>
      </c>
      <c r="C31" s="7" t="s">
        <v>195</v>
      </c>
      <c r="D31" s="5" t="str">
        <f>LRTRIM(CONCATENATE(IF(SUMPRODUCT(-- ISNUMBER(SEARCH({"Auto Number"}, $B31))) &gt; 0, $B31, IF(SUMPRODUCT(-- ISNUMBER(SEARCH({"Lookup","Master-Detail"}, $B31))) &gt; 0,$B31 &amp; "(" &amp; $E31 &amp; ")",IF(SUMPRODUCT(-- ISNUMBER(SEARCH({"Formula","Roll-Up Summary"}, $B31))) &gt; 0,$B31 &amp; " (" &amp; $E31 &amp; ")",IF(SUMPRODUCT(-- ISNUMBER(SEARCH({"Content","Currency","Number","Percent","Text","URL"}, $B31))) &gt; 0,$B31 &amp; "(" &amp; $C31 &amp; ")",$B31)))), "  ", TRIM(IF($S31 = "YES", "(External ID)", "") &amp; " " &amp; IF(SUMPRODUCT(-- ISNUMBER(SEARCH({"Unique","Unique Case Insensitive"}, $R31))) &gt; 0, "(" &amp; $R31 &amp; ")", ""))))</f>
        <v>na</v>
      </c>
      <c r="E31" s="7" t="s">
        <v>195</v>
      </c>
      <c r="F31" s="7" t="s">
        <v>195</v>
      </c>
      <c r="G31" s="7" t="s">
        <v>195</v>
      </c>
      <c r="H31" s="7" t="s">
        <v>195</v>
      </c>
      <c r="I31" s="7" t="s">
        <v>195</v>
      </c>
      <c r="J31" s="7" t="s">
        <v>195</v>
      </c>
      <c r="K31" s="7" t="s">
        <v>195</v>
      </c>
      <c r="L31" s="7" t="s">
        <v>195</v>
      </c>
      <c r="M31" s="7" t="s">
        <v>29</v>
      </c>
      <c r="N31" s="7" t="s">
        <v>29</v>
      </c>
      <c r="O31" s="7" t="s">
        <v>29</v>
      </c>
      <c r="P31" s="7" t="s">
        <v>29</v>
      </c>
      <c r="Q31" s="7" t="s">
        <v>29</v>
      </c>
      <c r="R31" s="7" t="s">
        <v>29</v>
      </c>
      <c r="S31" s="7" t="s">
        <v>29</v>
      </c>
    </row>
    <row r="32" spans="1:19">
      <c r="B32" s="9" t="s">
        <v>195</v>
      </c>
      <c r="C32" s="7" t="s">
        <v>195</v>
      </c>
      <c r="D32" s="5" t="str">
        <f>LRTRIM(CONCATENATE(IF(SUMPRODUCT(-- ISNUMBER(SEARCH({"Auto Number"}, $B32))) &gt; 0, $B32, IF(SUMPRODUCT(-- ISNUMBER(SEARCH({"Lookup","Master-Detail"}, $B32))) &gt; 0,$B32 &amp; "(" &amp; $E32 &amp; ")",IF(SUMPRODUCT(-- ISNUMBER(SEARCH({"Formula","Roll-Up Summary"}, $B32))) &gt; 0,$B32 &amp; " (" &amp; $E32 &amp; ")",IF(SUMPRODUCT(-- ISNUMBER(SEARCH({"Content","Currency","Number","Percent","Text","URL"}, $B32))) &gt; 0,$B32 &amp; "(" &amp; $C32 &amp; ")",$B32)))), "  ", TRIM(IF($S32 = "YES", "(External ID)", "") &amp; " " &amp; IF(SUMPRODUCT(-- ISNUMBER(SEARCH({"Unique","Unique Case Insensitive"}, $R32))) &gt; 0, "(" &amp; $R32 &amp; ")", ""))))</f>
        <v>na</v>
      </c>
      <c r="E32" s="7" t="s">
        <v>195</v>
      </c>
      <c r="F32" s="7" t="s">
        <v>195</v>
      </c>
      <c r="G32" s="7" t="s">
        <v>195</v>
      </c>
      <c r="H32" s="7" t="s">
        <v>195</v>
      </c>
      <c r="I32" s="7" t="s">
        <v>195</v>
      </c>
      <c r="J32" s="7" t="s">
        <v>195</v>
      </c>
      <c r="K32" s="7" t="s">
        <v>195</v>
      </c>
      <c r="L32" s="7" t="s">
        <v>195</v>
      </c>
      <c r="M32" s="7" t="s">
        <v>29</v>
      </c>
      <c r="N32" s="7" t="s">
        <v>29</v>
      </c>
      <c r="O32" s="7" t="s">
        <v>29</v>
      </c>
      <c r="P32" s="7" t="s">
        <v>29</v>
      </c>
      <c r="Q32" s="7" t="s">
        <v>29</v>
      </c>
      <c r="R32" s="7" t="s">
        <v>29</v>
      </c>
      <c r="S32" s="7" t="s">
        <v>29</v>
      </c>
    </row>
    <row r="33" spans="2:19">
      <c r="B33" s="9" t="s">
        <v>195</v>
      </c>
      <c r="C33" s="7" t="s">
        <v>195</v>
      </c>
      <c r="D33" s="5" t="str">
        <f>LRTRIM(CONCATENATE(IF(SUMPRODUCT(-- ISNUMBER(SEARCH({"Auto Number"}, $B33))) &gt; 0, $B33, IF(SUMPRODUCT(-- ISNUMBER(SEARCH({"Lookup","Master-Detail"}, $B33))) &gt; 0,$B33 &amp; "(" &amp; $E33 &amp; ")",IF(SUMPRODUCT(-- ISNUMBER(SEARCH({"Formula","Roll-Up Summary"}, $B33))) &gt; 0,$B33 &amp; " (" &amp; $E33 &amp; ")",IF(SUMPRODUCT(-- ISNUMBER(SEARCH({"Content","Currency","Number","Percent","Text","URL"}, $B33))) &gt; 0,$B33 &amp; "(" &amp; $C33 &amp; ")",$B33)))), "  ", TRIM(IF($S33 = "YES", "(External ID)", "") &amp; " " &amp; IF(SUMPRODUCT(-- ISNUMBER(SEARCH({"Unique","Unique Case Insensitive"}, $R33))) &gt; 0, "(" &amp; $R33 &amp; ")", ""))))</f>
        <v>na</v>
      </c>
      <c r="E33" s="7" t="s">
        <v>195</v>
      </c>
      <c r="F33" s="7" t="s">
        <v>195</v>
      </c>
      <c r="G33" s="7" t="s">
        <v>195</v>
      </c>
      <c r="H33" s="7" t="s">
        <v>195</v>
      </c>
      <c r="I33" s="7" t="s">
        <v>195</v>
      </c>
      <c r="J33" s="7" t="s">
        <v>195</v>
      </c>
      <c r="K33" s="7" t="s">
        <v>195</v>
      </c>
      <c r="L33" s="7" t="s">
        <v>195</v>
      </c>
      <c r="M33" s="7" t="s">
        <v>29</v>
      </c>
      <c r="N33" s="7" t="s">
        <v>29</v>
      </c>
      <c r="O33" s="7" t="s">
        <v>29</v>
      </c>
      <c r="P33" s="7" t="s">
        <v>29</v>
      </c>
      <c r="Q33" s="7" t="s">
        <v>29</v>
      </c>
      <c r="R33" s="7" t="s">
        <v>29</v>
      </c>
      <c r="S33" s="7" t="s">
        <v>29</v>
      </c>
    </row>
    <row r="34" spans="2:19">
      <c r="B34" s="9" t="s">
        <v>195</v>
      </c>
      <c r="C34" s="7" t="s">
        <v>195</v>
      </c>
      <c r="D34" s="5" t="str">
        <f>LRTRIM(CONCATENATE(IF(SUMPRODUCT(-- ISNUMBER(SEARCH({"Auto Number"}, $B34))) &gt; 0, $B34, IF(SUMPRODUCT(-- ISNUMBER(SEARCH({"Lookup","Master-Detail"}, $B34))) &gt; 0,$B34 &amp; "(" &amp; $E34 &amp; ")",IF(SUMPRODUCT(-- ISNUMBER(SEARCH({"Formula","Roll-Up Summary"}, $B34))) &gt; 0,$B34 &amp; " (" &amp; $E34 &amp; ")",IF(SUMPRODUCT(-- ISNUMBER(SEARCH({"Content","Currency","Number","Percent","Text","URL"}, $B34))) &gt; 0,$B34 &amp; "(" &amp; $C34 &amp; ")",$B34)))), "  ", TRIM(IF($S34 = "YES", "(External ID)", "") &amp; " " &amp; IF(SUMPRODUCT(-- ISNUMBER(SEARCH({"Unique","Unique Case Insensitive"}, $R34))) &gt; 0, "(" &amp; $R34 &amp; ")", ""))))</f>
        <v>na</v>
      </c>
      <c r="E34" s="7" t="s">
        <v>195</v>
      </c>
      <c r="F34" s="7" t="s">
        <v>195</v>
      </c>
      <c r="G34" s="7" t="s">
        <v>195</v>
      </c>
      <c r="H34" s="7" t="s">
        <v>195</v>
      </c>
      <c r="I34" s="7" t="s">
        <v>195</v>
      </c>
      <c r="J34" s="7" t="s">
        <v>195</v>
      </c>
      <c r="K34" s="7" t="s">
        <v>195</v>
      </c>
      <c r="L34" s="7" t="s">
        <v>195</v>
      </c>
      <c r="M34" s="7" t="s">
        <v>29</v>
      </c>
      <c r="N34" s="7" t="s">
        <v>29</v>
      </c>
      <c r="O34" s="7" t="s">
        <v>29</v>
      </c>
      <c r="P34" s="7" t="s">
        <v>29</v>
      </c>
      <c r="Q34" s="7" t="s">
        <v>29</v>
      </c>
      <c r="R34" s="7" t="s">
        <v>29</v>
      </c>
      <c r="S34" s="7" t="s">
        <v>29</v>
      </c>
    </row>
    <row r="35" spans="2:19">
      <c r="B35" s="9" t="s">
        <v>195</v>
      </c>
      <c r="C35" s="7" t="s">
        <v>195</v>
      </c>
      <c r="D35" s="5" t="str">
        <f>LRTRIM(CONCATENATE(IF(SUMPRODUCT(-- ISNUMBER(SEARCH({"Auto Number"}, $B35))) &gt; 0, $B35, IF(SUMPRODUCT(-- ISNUMBER(SEARCH({"Lookup","Master-Detail"}, $B35))) &gt; 0,$B35 &amp; "(" &amp; $E35 &amp; ")",IF(SUMPRODUCT(-- ISNUMBER(SEARCH({"Formula","Roll-Up Summary"}, $B35))) &gt; 0,$B35 &amp; " (" &amp; $E35 &amp; ")",IF(SUMPRODUCT(-- ISNUMBER(SEARCH({"Content","Currency","Number","Percent","Text","URL"}, $B35))) &gt; 0,$B35 &amp; "(" &amp; $C35 &amp; ")",$B35)))), "  ", TRIM(IF($S35 = "YES", "(External ID)", "") &amp; " " &amp; IF(SUMPRODUCT(-- ISNUMBER(SEARCH({"Unique","Unique Case Insensitive"}, $R35))) &gt; 0, "(" &amp; $R35 &amp; ")", ""))))</f>
        <v>na</v>
      </c>
      <c r="E35" s="7" t="s">
        <v>195</v>
      </c>
      <c r="F35" s="7" t="s">
        <v>195</v>
      </c>
      <c r="G35" s="7" t="s">
        <v>195</v>
      </c>
      <c r="H35" s="7" t="s">
        <v>195</v>
      </c>
      <c r="I35" s="7" t="s">
        <v>195</v>
      </c>
      <c r="J35" s="7" t="s">
        <v>195</v>
      </c>
      <c r="K35" s="7" t="s">
        <v>195</v>
      </c>
      <c r="L35" s="7" t="s">
        <v>195</v>
      </c>
      <c r="M35" s="7" t="s">
        <v>29</v>
      </c>
      <c r="N35" s="7" t="s">
        <v>29</v>
      </c>
      <c r="O35" s="7" t="s">
        <v>29</v>
      </c>
      <c r="P35" s="7" t="s">
        <v>29</v>
      </c>
      <c r="Q35" s="7" t="s">
        <v>29</v>
      </c>
      <c r="R35" s="7" t="s">
        <v>29</v>
      </c>
      <c r="S35" s="7" t="s">
        <v>29</v>
      </c>
    </row>
    <row r="36" spans="2:19">
      <c r="B36" s="9" t="s">
        <v>195</v>
      </c>
      <c r="C36" s="7" t="s">
        <v>195</v>
      </c>
      <c r="D36" s="5" t="str">
        <f>LRTRIM(CONCATENATE(IF(SUMPRODUCT(-- ISNUMBER(SEARCH({"Auto Number"}, $B36))) &gt; 0, $B36, IF(SUMPRODUCT(-- ISNUMBER(SEARCH({"Lookup","Master-Detail"}, $B36))) &gt; 0,$B36 &amp; "(" &amp; $E36 &amp; ")",IF(SUMPRODUCT(-- ISNUMBER(SEARCH({"Formula","Roll-Up Summary"}, $B36))) &gt; 0,$B36 &amp; " (" &amp; $E36 &amp; ")",IF(SUMPRODUCT(-- ISNUMBER(SEARCH({"Content","Currency","Number","Percent","Text","URL"}, $B36))) &gt; 0,$B36 &amp; "(" &amp; $C36 &amp; ")",$B36)))), "  ", TRIM(IF($S36 = "YES", "(External ID)", "") &amp; " " &amp; IF(SUMPRODUCT(-- ISNUMBER(SEARCH({"Unique","Unique Case Insensitive"}, $R36))) &gt; 0, "(" &amp; $R36 &amp; ")", ""))))</f>
        <v>na</v>
      </c>
      <c r="E36" s="7" t="s">
        <v>195</v>
      </c>
      <c r="F36" s="7" t="s">
        <v>195</v>
      </c>
      <c r="G36" s="7" t="s">
        <v>195</v>
      </c>
      <c r="H36" s="7" t="s">
        <v>195</v>
      </c>
      <c r="I36" s="7" t="s">
        <v>195</v>
      </c>
      <c r="J36" s="7" t="s">
        <v>195</v>
      </c>
      <c r="K36" s="7" t="s">
        <v>195</v>
      </c>
      <c r="L36" s="7" t="s">
        <v>195</v>
      </c>
      <c r="M36" s="7" t="s">
        <v>29</v>
      </c>
      <c r="N36" s="7" t="s">
        <v>29</v>
      </c>
      <c r="O36" s="7" t="s">
        <v>29</v>
      </c>
      <c r="P36" s="7" t="s">
        <v>29</v>
      </c>
      <c r="Q36" s="7" t="s">
        <v>29</v>
      </c>
      <c r="R36" s="7" t="s">
        <v>29</v>
      </c>
      <c r="S36" s="7" t="s">
        <v>29</v>
      </c>
    </row>
    <row r="37" spans="2:19">
      <c r="B37" s="9" t="s">
        <v>195</v>
      </c>
      <c r="C37" s="7" t="s">
        <v>195</v>
      </c>
      <c r="D37" s="5" t="str">
        <f>LRTRIM(CONCATENATE(IF(SUMPRODUCT(-- ISNUMBER(SEARCH({"Auto Number"}, $B37))) &gt; 0, $B37, IF(SUMPRODUCT(-- ISNUMBER(SEARCH({"Lookup","Master-Detail"}, $B37))) &gt; 0,$B37 &amp; "(" &amp; $E37 &amp; ")",IF(SUMPRODUCT(-- ISNUMBER(SEARCH({"Formula","Roll-Up Summary"}, $B37))) &gt; 0,$B37 &amp; " (" &amp; $E37 &amp; ")",IF(SUMPRODUCT(-- ISNUMBER(SEARCH({"Content","Currency","Number","Percent","Text","URL"}, $B37))) &gt; 0,$B37 &amp; "(" &amp; $C37 &amp; ")",$B37)))), "  ", TRIM(IF($S37 = "YES", "(External ID)", "") &amp; " " &amp; IF(SUMPRODUCT(-- ISNUMBER(SEARCH({"Unique","Unique Case Insensitive"}, $R37))) &gt; 0, "(" &amp; $R37 &amp; ")", ""))))</f>
        <v>na</v>
      </c>
      <c r="E37" s="7" t="s">
        <v>195</v>
      </c>
      <c r="F37" s="7" t="s">
        <v>195</v>
      </c>
      <c r="G37" s="7" t="s">
        <v>195</v>
      </c>
      <c r="H37" s="7" t="s">
        <v>195</v>
      </c>
      <c r="I37" s="7" t="s">
        <v>195</v>
      </c>
      <c r="J37" s="7" t="s">
        <v>195</v>
      </c>
      <c r="K37" s="7" t="s">
        <v>195</v>
      </c>
      <c r="L37" s="7" t="s">
        <v>195</v>
      </c>
      <c r="M37" s="7" t="s">
        <v>29</v>
      </c>
      <c r="N37" s="7" t="s">
        <v>29</v>
      </c>
      <c r="O37" s="7" t="s">
        <v>29</v>
      </c>
      <c r="P37" s="7" t="s">
        <v>29</v>
      </c>
      <c r="Q37" s="7" t="s">
        <v>29</v>
      </c>
      <c r="R37" s="7" t="s">
        <v>29</v>
      </c>
      <c r="S37" s="7" t="s">
        <v>29</v>
      </c>
    </row>
    <row r="38" spans="2:19">
      <c r="B38" s="9" t="s">
        <v>195</v>
      </c>
      <c r="C38" s="7" t="s">
        <v>195</v>
      </c>
      <c r="D38" s="5" t="str">
        <f>LRTRIM(CONCATENATE(IF(SUMPRODUCT(-- ISNUMBER(SEARCH({"Auto Number"}, $B38))) &gt; 0, $B38, IF(SUMPRODUCT(-- ISNUMBER(SEARCH({"Lookup","Master-Detail"}, $B38))) &gt; 0,$B38 &amp; "(" &amp; $E38 &amp; ")",IF(SUMPRODUCT(-- ISNUMBER(SEARCH({"Formula","Roll-Up Summary"}, $B38))) &gt; 0,$B38 &amp; " (" &amp; $E38 &amp; ")",IF(SUMPRODUCT(-- ISNUMBER(SEARCH({"Content","Currency","Number","Percent","Text","URL"}, $B38))) &gt; 0,$B38 &amp; "(" &amp; $C38 &amp; ")",$B38)))), "  ", TRIM(IF($S38 = "YES", "(External ID)", "") &amp; " " &amp; IF(SUMPRODUCT(-- ISNUMBER(SEARCH({"Unique","Unique Case Insensitive"}, $R38))) &gt; 0, "(" &amp; $R38 &amp; ")", ""))))</f>
        <v>na</v>
      </c>
      <c r="E38" s="7" t="s">
        <v>195</v>
      </c>
      <c r="F38" s="7" t="s">
        <v>195</v>
      </c>
      <c r="G38" s="7" t="s">
        <v>195</v>
      </c>
      <c r="H38" s="7" t="s">
        <v>195</v>
      </c>
      <c r="I38" s="7" t="s">
        <v>195</v>
      </c>
      <c r="J38" s="7" t="s">
        <v>195</v>
      </c>
      <c r="K38" s="7" t="s">
        <v>195</v>
      </c>
      <c r="L38" s="7" t="s">
        <v>195</v>
      </c>
      <c r="M38" s="7" t="s">
        <v>29</v>
      </c>
      <c r="N38" s="7" t="s">
        <v>29</v>
      </c>
      <c r="O38" s="7" t="s">
        <v>29</v>
      </c>
      <c r="P38" s="7" t="s">
        <v>29</v>
      </c>
      <c r="Q38" s="7" t="s">
        <v>29</v>
      </c>
      <c r="R38" s="7" t="s">
        <v>29</v>
      </c>
      <c r="S38" s="7" t="s">
        <v>29</v>
      </c>
    </row>
    <row r="39" spans="2:19">
      <c r="B39" s="9" t="s">
        <v>195</v>
      </c>
      <c r="C39" s="7" t="s">
        <v>195</v>
      </c>
      <c r="D39" s="5" t="str">
        <f>LRTRIM(CONCATENATE(IF(SUMPRODUCT(-- ISNUMBER(SEARCH({"Auto Number"}, $B39))) &gt; 0, $B39, IF(SUMPRODUCT(-- ISNUMBER(SEARCH({"Lookup","Master-Detail"}, $B39))) &gt; 0,$B39 &amp; "(" &amp; $E39 &amp; ")",IF(SUMPRODUCT(-- ISNUMBER(SEARCH({"Formula","Roll-Up Summary"}, $B39))) &gt; 0,$B39 &amp; " (" &amp; $E39 &amp; ")",IF(SUMPRODUCT(-- ISNUMBER(SEARCH({"Content","Currency","Number","Percent","Text","URL"}, $B39))) &gt; 0,$B39 &amp; "(" &amp; $C39 &amp; ")",$B39)))), "  ", TRIM(IF($S39 = "YES", "(External ID)", "") &amp; " " &amp; IF(SUMPRODUCT(-- ISNUMBER(SEARCH({"Unique","Unique Case Insensitive"}, $R39))) &gt; 0, "(" &amp; $R39 &amp; ")", ""))))</f>
        <v>na</v>
      </c>
      <c r="E39" s="7" t="s">
        <v>195</v>
      </c>
      <c r="F39" s="7" t="s">
        <v>195</v>
      </c>
      <c r="G39" s="7" t="s">
        <v>195</v>
      </c>
      <c r="H39" s="7" t="s">
        <v>195</v>
      </c>
      <c r="I39" s="7" t="s">
        <v>195</v>
      </c>
      <c r="J39" s="7" t="s">
        <v>195</v>
      </c>
      <c r="K39" s="7" t="s">
        <v>195</v>
      </c>
      <c r="L39" s="7" t="s">
        <v>195</v>
      </c>
      <c r="M39" s="7" t="s">
        <v>29</v>
      </c>
      <c r="N39" s="7" t="s">
        <v>29</v>
      </c>
      <c r="O39" s="7" t="s">
        <v>29</v>
      </c>
      <c r="P39" s="7" t="s">
        <v>29</v>
      </c>
      <c r="Q39" s="7" t="s">
        <v>29</v>
      </c>
      <c r="R39" s="7" t="s">
        <v>29</v>
      </c>
      <c r="S39" s="7" t="s">
        <v>29</v>
      </c>
    </row>
    <row r="40" spans="2:19">
      <c r="B40" s="9" t="s">
        <v>195</v>
      </c>
      <c r="C40" s="7" t="s">
        <v>195</v>
      </c>
      <c r="D40" s="5" t="str">
        <f>LRTRIM(CONCATENATE(IF(SUMPRODUCT(-- ISNUMBER(SEARCH({"Auto Number"}, $B40))) &gt; 0, $B40, IF(SUMPRODUCT(-- ISNUMBER(SEARCH({"Lookup","Master-Detail"}, $B40))) &gt; 0,$B40 &amp; "(" &amp; $E40 &amp; ")",IF(SUMPRODUCT(-- ISNUMBER(SEARCH({"Formula","Roll-Up Summary"}, $B40))) &gt; 0,$B40 &amp; " (" &amp; $E40 &amp; ")",IF(SUMPRODUCT(-- ISNUMBER(SEARCH({"Content","Currency","Number","Percent","Text","URL"}, $B40))) &gt; 0,$B40 &amp; "(" &amp; $C40 &amp; ")",$B40)))), "  ", TRIM(IF($S40 = "YES", "(External ID)", "") &amp; " " &amp; IF(SUMPRODUCT(-- ISNUMBER(SEARCH({"Unique","Unique Case Insensitive"}, $R40))) &gt; 0, "(" &amp; $R40 &amp; ")", ""))))</f>
        <v>na</v>
      </c>
      <c r="E40" s="7" t="s">
        <v>195</v>
      </c>
      <c r="F40" s="7" t="s">
        <v>195</v>
      </c>
      <c r="G40" s="7" t="s">
        <v>195</v>
      </c>
      <c r="H40" s="7" t="s">
        <v>195</v>
      </c>
      <c r="I40" s="7" t="s">
        <v>195</v>
      </c>
      <c r="J40" s="7" t="s">
        <v>195</v>
      </c>
      <c r="K40" s="7" t="s">
        <v>195</v>
      </c>
      <c r="L40" s="7" t="s">
        <v>195</v>
      </c>
      <c r="M40" s="7" t="s">
        <v>29</v>
      </c>
      <c r="N40" s="7" t="s">
        <v>29</v>
      </c>
      <c r="O40" s="7" t="s">
        <v>29</v>
      </c>
      <c r="P40" s="7" t="s">
        <v>29</v>
      </c>
      <c r="Q40" s="7" t="s">
        <v>29</v>
      </c>
      <c r="R40" s="7" t="s">
        <v>29</v>
      </c>
      <c r="S40" s="7" t="s">
        <v>29</v>
      </c>
    </row>
    <row r="41" spans="2:19">
      <c r="B41" s="9" t="s">
        <v>195</v>
      </c>
      <c r="C41" s="7" t="s">
        <v>195</v>
      </c>
      <c r="D41" s="5" t="str">
        <f>LRTRIM(CONCATENATE(IF(SUMPRODUCT(-- ISNUMBER(SEARCH({"Auto Number"}, $B41))) &gt; 0, $B41, IF(SUMPRODUCT(-- ISNUMBER(SEARCH({"Lookup","Master-Detail"}, $B41))) &gt; 0,$B41 &amp; "(" &amp; $E41 &amp; ")",IF(SUMPRODUCT(-- ISNUMBER(SEARCH({"Formula","Roll-Up Summary"}, $B41))) &gt; 0,$B41 &amp; " (" &amp; $E41 &amp; ")",IF(SUMPRODUCT(-- ISNUMBER(SEARCH({"Content","Currency","Number","Percent","Text","URL"}, $B41))) &gt; 0,$B41 &amp; "(" &amp; $C41 &amp; ")",$B41)))), "  ", TRIM(IF($S41 = "YES", "(External ID)", "") &amp; " " &amp; IF(SUMPRODUCT(-- ISNUMBER(SEARCH({"Unique","Unique Case Insensitive"}, $R41))) &gt; 0, "(" &amp; $R41 &amp; ")", ""))))</f>
        <v>na</v>
      </c>
      <c r="E41" s="7" t="s">
        <v>195</v>
      </c>
      <c r="F41" s="7" t="s">
        <v>195</v>
      </c>
      <c r="G41" s="7" t="s">
        <v>195</v>
      </c>
      <c r="H41" s="7" t="s">
        <v>195</v>
      </c>
      <c r="I41" s="7" t="s">
        <v>195</v>
      </c>
      <c r="J41" s="7" t="s">
        <v>195</v>
      </c>
      <c r="K41" s="7" t="s">
        <v>195</v>
      </c>
      <c r="L41" s="7" t="s">
        <v>195</v>
      </c>
      <c r="M41" s="7" t="s">
        <v>29</v>
      </c>
      <c r="N41" s="7" t="s">
        <v>29</v>
      </c>
      <c r="O41" s="7" t="s">
        <v>29</v>
      </c>
      <c r="P41" s="7" t="s">
        <v>29</v>
      </c>
      <c r="Q41" s="7" t="s">
        <v>29</v>
      </c>
      <c r="R41" s="7" t="s">
        <v>29</v>
      </c>
      <c r="S41" s="7" t="s">
        <v>29</v>
      </c>
    </row>
    <row r="42" spans="2:19">
      <c r="B42" s="9" t="s">
        <v>195</v>
      </c>
      <c r="C42" s="7" t="s">
        <v>195</v>
      </c>
      <c r="D42" s="5" t="str">
        <f>LRTRIM(CONCATENATE(IF(SUMPRODUCT(-- ISNUMBER(SEARCH({"Auto Number"}, $B42))) &gt; 0, $B42, IF(SUMPRODUCT(-- ISNUMBER(SEARCH({"Lookup","Master-Detail"}, $B42))) &gt; 0,$B42 &amp; "(" &amp; $E42 &amp; ")",IF(SUMPRODUCT(-- ISNUMBER(SEARCH({"Formula","Roll-Up Summary"}, $B42))) &gt; 0,$B42 &amp; " (" &amp; $E42 &amp; ")",IF(SUMPRODUCT(-- ISNUMBER(SEARCH({"Content","Currency","Number","Percent","Text","URL"}, $B42))) &gt; 0,$B42 &amp; "(" &amp; $C42 &amp; ")",$B42)))), "  ", TRIM(IF($S42 = "YES", "(External ID)", "") &amp; " " &amp; IF(SUMPRODUCT(-- ISNUMBER(SEARCH({"Unique","Unique Case Insensitive"}, $R42))) &gt; 0, "(" &amp; $R42 &amp; ")", ""))))</f>
        <v>na</v>
      </c>
      <c r="E42" s="7" t="s">
        <v>195</v>
      </c>
      <c r="F42" s="7" t="s">
        <v>195</v>
      </c>
      <c r="G42" s="7" t="s">
        <v>195</v>
      </c>
      <c r="H42" s="7" t="s">
        <v>195</v>
      </c>
      <c r="I42" s="7" t="s">
        <v>195</v>
      </c>
      <c r="J42" s="7" t="s">
        <v>195</v>
      </c>
      <c r="K42" s="7" t="s">
        <v>195</v>
      </c>
      <c r="L42" s="7" t="s">
        <v>195</v>
      </c>
      <c r="M42" s="7" t="s">
        <v>29</v>
      </c>
      <c r="N42" s="7" t="s">
        <v>29</v>
      </c>
      <c r="O42" s="7" t="s">
        <v>29</v>
      </c>
      <c r="P42" s="7" t="s">
        <v>29</v>
      </c>
      <c r="Q42" s="7" t="s">
        <v>29</v>
      </c>
      <c r="R42" s="7" t="s">
        <v>29</v>
      </c>
      <c r="S42" s="7" t="s">
        <v>29</v>
      </c>
    </row>
    <row r="43" spans="2:19">
      <c r="B43" s="9" t="s">
        <v>195</v>
      </c>
      <c r="C43" s="7" t="s">
        <v>195</v>
      </c>
      <c r="D43" s="5" t="str">
        <f>LRTRIM(CONCATENATE(IF(SUMPRODUCT(-- ISNUMBER(SEARCH({"Auto Number"}, $B43))) &gt; 0, $B43, IF(SUMPRODUCT(-- ISNUMBER(SEARCH({"Lookup","Master-Detail"}, $B43))) &gt; 0,$B43 &amp; "(" &amp; $E43 &amp; ")",IF(SUMPRODUCT(-- ISNUMBER(SEARCH({"Formula","Roll-Up Summary"}, $B43))) &gt; 0,$B43 &amp; " (" &amp; $E43 &amp; ")",IF(SUMPRODUCT(-- ISNUMBER(SEARCH({"Content","Currency","Number","Percent","Text","URL"}, $B43))) &gt; 0,$B43 &amp; "(" &amp; $C43 &amp; ")",$B43)))), "  ", TRIM(IF($S43 = "YES", "(External ID)", "") &amp; " " &amp; IF(SUMPRODUCT(-- ISNUMBER(SEARCH({"Unique","Unique Case Insensitive"}, $R43))) &gt; 0, "(" &amp; $R43 &amp; ")", ""))))</f>
        <v>na</v>
      </c>
      <c r="E43" s="7" t="s">
        <v>195</v>
      </c>
      <c r="F43" s="7" t="s">
        <v>195</v>
      </c>
      <c r="G43" s="7" t="s">
        <v>195</v>
      </c>
      <c r="H43" s="7" t="s">
        <v>195</v>
      </c>
      <c r="I43" s="7" t="s">
        <v>195</v>
      </c>
      <c r="J43" s="7" t="s">
        <v>195</v>
      </c>
      <c r="K43" s="7" t="s">
        <v>195</v>
      </c>
      <c r="L43" s="7" t="s">
        <v>195</v>
      </c>
      <c r="M43" s="7" t="s">
        <v>29</v>
      </c>
      <c r="N43" s="7" t="s">
        <v>29</v>
      </c>
      <c r="O43" s="7" t="s">
        <v>29</v>
      </c>
      <c r="P43" s="7" t="s">
        <v>29</v>
      </c>
      <c r="Q43" s="7" t="s">
        <v>29</v>
      </c>
      <c r="R43" s="7" t="s">
        <v>29</v>
      </c>
      <c r="S43" s="7" t="s">
        <v>29</v>
      </c>
    </row>
    <row r="44" spans="2:19">
      <c r="B44" s="9" t="s">
        <v>195</v>
      </c>
      <c r="C44" s="7" t="s">
        <v>195</v>
      </c>
      <c r="D44" s="5" t="str">
        <f>LRTRIM(CONCATENATE(IF(SUMPRODUCT(-- ISNUMBER(SEARCH({"Auto Number"}, $B44))) &gt; 0, $B44, IF(SUMPRODUCT(-- ISNUMBER(SEARCH({"Lookup","Master-Detail"}, $B44))) &gt; 0,$B44 &amp; "(" &amp; $E44 &amp; ")",IF(SUMPRODUCT(-- ISNUMBER(SEARCH({"Formula","Roll-Up Summary"}, $B44))) &gt; 0,$B44 &amp; " (" &amp; $E44 &amp; ")",IF(SUMPRODUCT(-- ISNUMBER(SEARCH({"Content","Currency","Number","Percent","Text","URL"}, $B44))) &gt; 0,$B44 &amp; "(" &amp; $C44 &amp; ")",$B44)))), "  ", TRIM(IF($S44 = "YES", "(External ID)", "") &amp; " " &amp; IF(SUMPRODUCT(-- ISNUMBER(SEARCH({"Unique","Unique Case Insensitive"}, $R44))) &gt; 0, "(" &amp; $R44 &amp; ")", ""))))</f>
        <v>na</v>
      </c>
      <c r="E44" s="7" t="s">
        <v>195</v>
      </c>
      <c r="F44" s="7" t="s">
        <v>195</v>
      </c>
      <c r="G44" s="7" t="s">
        <v>195</v>
      </c>
      <c r="H44" s="7" t="s">
        <v>195</v>
      </c>
      <c r="I44" s="7" t="s">
        <v>195</v>
      </c>
      <c r="J44" s="7" t="s">
        <v>195</v>
      </c>
      <c r="K44" s="7" t="s">
        <v>195</v>
      </c>
      <c r="L44" s="7" t="s">
        <v>195</v>
      </c>
      <c r="M44" s="7" t="s">
        <v>29</v>
      </c>
      <c r="N44" s="7" t="s">
        <v>29</v>
      </c>
      <c r="O44" s="7" t="s">
        <v>29</v>
      </c>
      <c r="P44" s="7" t="s">
        <v>29</v>
      </c>
      <c r="Q44" s="7" t="s">
        <v>29</v>
      </c>
      <c r="R44" s="7" t="s">
        <v>29</v>
      </c>
      <c r="S44" s="7" t="s">
        <v>29</v>
      </c>
    </row>
    <row r="45" spans="2:19">
      <c r="B45" s="9" t="s">
        <v>195</v>
      </c>
      <c r="C45" s="7" t="s">
        <v>195</v>
      </c>
      <c r="D45" s="5" t="str">
        <f>LRTRIM(CONCATENATE(IF(SUMPRODUCT(-- ISNUMBER(SEARCH({"Auto Number"}, $B45))) &gt; 0, $B45, IF(SUMPRODUCT(-- ISNUMBER(SEARCH({"Lookup","Master-Detail"}, $B45))) &gt; 0,$B45 &amp; "(" &amp; $E45 &amp; ")",IF(SUMPRODUCT(-- ISNUMBER(SEARCH({"Formula","Roll-Up Summary"}, $B45))) &gt; 0,$B45 &amp; " (" &amp; $E45 &amp; ")",IF(SUMPRODUCT(-- ISNUMBER(SEARCH({"Content","Currency","Number","Percent","Text","URL"}, $B45))) &gt; 0,$B45 &amp; "(" &amp; $C45 &amp; ")",$B45)))), "  ", TRIM(IF($S45 = "YES", "(External ID)", "") &amp; " " &amp; IF(SUMPRODUCT(-- ISNUMBER(SEARCH({"Unique","Unique Case Insensitive"}, $R45))) &gt; 0, "(" &amp; $R45 &amp; ")", ""))))</f>
        <v>na</v>
      </c>
      <c r="E45" s="7" t="s">
        <v>195</v>
      </c>
      <c r="F45" s="7" t="s">
        <v>195</v>
      </c>
      <c r="G45" s="7" t="s">
        <v>195</v>
      </c>
      <c r="H45" s="7" t="s">
        <v>195</v>
      </c>
      <c r="I45" s="7" t="s">
        <v>195</v>
      </c>
      <c r="J45" s="7" t="s">
        <v>195</v>
      </c>
      <c r="K45" s="7" t="s">
        <v>195</v>
      </c>
      <c r="L45" s="7" t="s">
        <v>195</v>
      </c>
      <c r="M45" s="7" t="s">
        <v>29</v>
      </c>
      <c r="N45" s="7" t="s">
        <v>29</v>
      </c>
      <c r="O45" s="7" t="s">
        <v>29</v>
      </c>
      <c r="P45" s="7" t="s">
        <v>29</v>
      </c>
      <c r="Q45" s="7" t="s">
        <v>29</v>
      </c>
      <c r="R45" s="7" t="s">
        <v>29</v>
      </c>
      <c r="S45" s="7" t="s">
        <v>29</v>
      </c>
    </row>
    <row r="46" spans="2:19">
      <c r="B46" s="9" t="s">
        <v>195</v>
      </c>
      <c r="C46" s="7" t="s">
        <v>195</v>
      </c>
      <c r="D46" s="5" t="str">
        <f>LRTRIM(CONCATENATE(IF(SUMPRODUCT(-- ISNUMBER(SEARCH({"Auto Number"}, $B46))) &gt; 0, $B46, IF(SUMPRODUCT(-- ISNUMBER(SEARCH({"Lookup","Master-Detail"}, $B46))) &gt; 0,$B46 &amp; "(" &amp; $E46 &amp; ")",IF(SUMPRODUCT(-- ISNUMBER(SEARCH({"Formula","Roll-Up Summary"}, $B46))) &gt; 0,$B46 &amp; " (" &amp; $E46 &amp; ")",IF(SUMPRODUCT(-- ISNUMBER(SEARCH({"Content","Currency","Number","Percent","Text","URL"}, $B46))) &gt; 0,$B46 &amp; "(" &amp; $C46 &amp; ")",$B46)))), "  ", TRIM(IF($S46 = "YES", "(External ID)", "") &amp; " " &amp; IF(SUMPRODUCT(-- ISNUMBER(SEARCH({"Unique","Unique Case Insensitive"}, $R46))) &gt; 0, "(" &amp; $R46 &amp; ")", ""))))</f>
        <v>na</v>
      </c>
      <c r="E46" s="7" t="s">
        <v>195</v>
      </c>
      <c r="F46" s="7" t="s">
        <v>195</v>
      </c>
      <c r="G46" s="7" t="s">
        <v>195</v>
      </c>
      <c r="H46" s="7" t="s">
        <v>195</v>
      </c>
      <c r="I46" s="7" t="s">
        <v>195</v>
      </c>
      <c r="J46" s="7" t="s">
        <v>195</v>
      </c>
      <c r="K46" s="7" t="s">
        <v>195</v>
      </c>
      <c r="L46" s="7" t="s">
        <v>195</v>
      </c>
      <c r="M46" s="7" t="s">
        <v>29</v>
      </c>
      <c r="N46" s="7" t="s">
        <v>29</v>
      </c>
      <c r="O46" s="7" t="s">
        <v>29</v>
      </c>
      <c r="P46" s="7" t="s">
        <v>29</v>
      </c>
      <c r="Q46" s="7" t="s">
        <v>29</v>
      </c>
      <c r="R46" s="7" t="s">
        <v>29</v>
      </c>
      <c r="S46" s="7" t="s">
        <v>29</v>
      </c>
    </row>
    <row r="47" spans="2:19">
      <c r="B47" s="9" t="s">
        <v>195</v>
      </c>
      <c r="C47" s="7" t="s">
        <v>195</v>
      </c>
      <c r="D47" s="5" t="str">
        <f>LRTRIM(CONCATENATE(IF(SUMPRODUCT(-- ISNUMBER(SEARCH({"Auto Number"}, $B47))) &gt; 0, $B47, IF(SUMPRODUCT(-- ISNUMBER(SEARCH({"Lookup","Master-Detail"}, $B47))) &gt; 0,$B47 &amp; "(" &amp; $E47 &amp; ")",IF(SUMPRODUCT(-- ISNUMBER(SEARCH({"Formula","Roll-Up Summary"}, $B47))) &gt; 0,$B47 &amp; " (" &amp; $E47 &amp; ")",IF(SUMPRODUCT(-- ISNUMBER(SEARCH({"Content","Currency","Number","Percent","Text","URL"}, $B47))) &gt; 0,$B47 &amp; "(" &amp; $C47 &amp; ")",$B47)))), "  ", TRIM(IF($S47 = "YES", "(External ID)", "") &amp; " " &amp; IF(SUMPRODUCT(-- ISNUMBER(SEARCH({"Unique","Unique Case Insensitive"}, $R47))) &gt; 0, "(" &amp; $R47 &amp; ")", ""))))</f>
        <v>na</v>
      </c>
      <c r="E47" s="7" t="s">
        <v>195</v>
      </c>
      <c r="F47" s="7" t="s">
        <v>195</v>
      </c>
      <c r="G47" s="7" t="s">
        <v>195</v>
      </c>
      <c r="H47" s="7" t="s">
        <v>195</v>
      </c>
      <c r="I47" s="7" t="s">
        <v>195</v>
      </c>
      <c r="J47" s="7" t="s">
        <v>195</v>
      </c>
      <c r="K47" s="7" t="s">
        <v>195</v>
      </c>
      <c r="L47" s="7" t="s">
        <v>195</v>
      </c>
      <c r="M47" s="7" t="s">
        <v>29</v>
      </c>
      <c r="N47" s="7" t="s">
        <v>29</v>
      </c>
      <c r="O47" s="7" t="s">
        <v>29</v>
      </c>
      <c r="P47" s="7" t="s">
        <v>29</v>
      </c>
      <c r="Q47" s="7" t="s">
        <v>29</v>
      </c>
      <c r="R47" s="7" t="s">
        <v>29</v>
      </c>
      <c r="S47" s="7" t="s">
        <v>29</v>
      </c>
    </row>
    <row r="48" spans="2:19">
      <c r="B48" s="9" t="s">
        <v>195</v>
      </c>
      <c r="C48" s="7" t="s">
        <v>195</v>
      </c>
      <c r="D48" s="5" t="str">
        <f>LRTRIM(CONCATENATE(IF(SUMPRODUCT(-- ISNUMBER(SEARCH({"Auto Number"}, $B48))) &gt; 0, $B48, IF(SUMPRODUCT(-- ISNUMBER(SEARCH({"Lookup","Master-Detail"}, $B48))) &gt; 0,$B48 &amp; "(" &amp; $E48 &amp; ")",IF(SUMPRODUCT(-- ISNUMBER(SEARCH({"Formula","Roll-Up Summary"}, $B48))) &gt; 0,$B48 &amp; " (" &amp; $E48 &amp; ")",IF(SUMPRODUCT(-- ISNUMBER(SEARCH({"Content","Currency","Number","Percent","Text","URL"}, $B48))) &gt; 0,$B48 &amp; "(" &amp; $C48 &amp; ")",$B48)))), "  ", TRIM(IF($S48 = "YES", "(External ID)", "") &amp; " " &amp; IF(SUMPRODUCT(-- ISNUMBER(SEARCH({"Unique","Unique Case Insensitive"}, $R48))) &gt; 0, "(" &amp; $R48 &amp; ")", ""))))</f>
        <v>na</v>
      </c>
      <c r="E48" s="7" t="s">
        <v>195</v>
      </c>
      <c r="F48" s="7" t="s">
        <v>195</v>
      </c>
      <c r="G48" s="7" t="s">
        <v>195</v>
      </c>
      <c r="H48" s="7" t="s">
        <v>195</v>
      </c>
      <c r="I48" s="7" t="s">
        <v>195</v>
      </c>
      <c r="J48" s="7" t="s">
        <v>195</v>
      </c>
      <c r="K48" s="7" t="s">
        <v>195</v>
      </c>
      <c r="L48" s="7" t="s">
        <v>195</v>
      </c>
      <c r="M48" s="7" t="s">
        <v>29</v>
      </c>
      <c r="N48" s="7" t="s">
        <v>29</v>
      </c>
      <c r="O48" s="7" t="s">
        <v>29</v>
      </c>
      <c r="P48" s="7" t="s">
        <v>29</v>
      </c>
      <c r="Q48" s="7" t="s">
        <v>29</v>
      </c>
      <c r="R48" s="7" t="s">
        <v>29</v>
      </c>
      <c r="S48" s="7" t="s">
        <v>29</v>
      </c>
    </row>
    <row r="49" spans="2:19">
      <c r="B49" s="9" t="s">
        <v>195</v>
      </c>
      <c r="C49" s="7" t="s">
        <v>195</v>
      </c>
      <c r="D49" s="5" t="str">
        <f>LRTRIM(CONCATENATE(IF(SUMPRODUCT(-- ISNUMBER(SEARCH({"Auto Number"}, $B49))) &gt; 0, $B49, IF(SUMPRODUCT(-- ISNUMBER(SEARCH({"Lookup","Master-Detail"}, $B49))) &gt; 0,$B49 &amp; "(" &amp; $E49 &amp; ")",IF(SUMPRODUCT(-- ISNUMBER(SEARCH({"Formula","Roll-Up Summary"}, $B49))) &gt; 0,$B49 &amp; " (" &amp; $E49 &amp; ")",IF(SUMPRODUCT(-- ISNUMBER(SEARCH({"Content","Currency","Number","Percent","Text","URL"}, $B49))) &gt; 0,$B49 &amp; "(" &amp; $C49 &amp; ")",$B49)))), "  ", TRIM(IF($S49 = "YES", "(External ID)", "") &amp; " " &amp; IF(SUMPRODUCT(-- ISNUMBER(SEARCH({"Unique","Unique Case Insensitive"}, $R49))) &gt; 0, "(" &amp; $R49 &amp; ")", ""))))</f>
        <v>na</v>
      </c>
      <c r="E49" s="7" t="s">
        <v>195</v>
      </c>
      <c r="F49" s="7" t="s">
        <v>195</v>
      </c>
      <c r="G49" s="7" t="s">
        <v>195</v>
      </c>
      <c r="H49" s="7" t="s">
        <v>195</v>
      </c>
      <c r="I49" s="7" t="s">
        <v>195</v>
      </c>
      <c r="J49" s="7" t="s">
        <v>195</v>
      </c>
      <c r="K49" s="7" t="s">
        <v>195</v>
      </c>
      <c r="L49" s="7" t="s">
        <v>195</v>
      </c>
      <c r="M49" s="7" t="s">
        <v>29</v>
      </c>
      <c r="N49" s="7" t="s">
        <v>29</v>
      </c>
      <c r="O49" s="7" t="s">
        <v>29</v>
      </c>
      <c r="P49" s="7" t="s">
        <v>29</v>
      </c>
      <c r="Q49" s="7" t="s">
        <v>29</v>
      </c>
      <c r="R49" s="7" t="s">
        <v>29</v>
      </c>
      <c r="S49" s="7" t="s">
        <v>29</v>
      </c>
    </row>
    <row r="50" spans="2:19">
      <c r="B50" s="9" t="s">
        <v>195</v>
      </c>
      <c r="C50" s="7" t="s">
        <v>195</v>
      </c>
      <c r="D50" s="5" t="str">
        <f>LRTRIM(CONCATENATE(IF(SUMPRODUCT(-- ISNUMBER(SEARCH({"Auto Number"}, $B50))) &gt; 0, $B50, IF(SUMPRODUCT(-- ISNUMBER(SEARCH({"Lookup","Master-Detail"}, $B50))) &gt; 0,$B50 &amp; "(" &amp; $E50 &amp; ")",IF(SUMPRODUCT(-- ISNUMBER(SEARCH({"Formula","Roll-Up Summary"}, $B50))) &gt; 0,$B50 &amp; " (" &amp; $E50 &amp; ")",IF(SUMPRODUCT(-- ISNUMBER(SEARCH({"Content","Currency","Number","Percent","Text","URL"}, $B50))) &gt; 0,$B50 &amp; "(" &amp; $C50 &amp; ")",$B50)))), "  ", TRIM(IF($S50 = "YES", "(External ID)", "") &amp; " " &amp; IF(SUMPRODUCT(-- ISNUMBER(SEARCH({"Unique","Unique Case Insensitive"}, $R50))) &gt; 0, "(" &amp; $R50 &amp; ")", ""))))</f>
        <v>na</v>
      </c>
      <c r="E50" s="7" t="s">
        <v>195</v>
      </c>
      <c r="F50" s="7" t="s">
        <v>195</v>
      </c>
      <c r="G50" s="7" t="s">
        <v>195</v>
      </c>
      <c r="H50" s="7" t="s">
        <v>195</v>
      </c>
      <c r="I50" s="7" t="s">
        <v>195</v>
      </c>
      <c r="J50" s="7" t="s">
        <v>195</v>
      </c>
      <c r="K50" s="7" t="s">
        <v>195</v>
      </c>
      <c r="L50" s="7" t="s">
        <v>195</v>
      </c>
      <c r="M50" s="7" t="s">
        <v>29</v>
      </c>
      <c r="N50" s="7" t="s">
        <v>29</v>
      </c>
      <c r="O50" s="7" t="s">
        <v>29</v>
      </c>
      <c r="P50" s="7" t="s">
        <v>29</v>
      </c>
      <c r="Q50" s="7" t="s">
        <v>29</v>
      </c>
      <c r="R50" s="7" t="s">
        <v>29</v>
      </c>
      <c r="S50" s="7" t="s">
        <v>29</v>
      </c>
    </row>
    <row r="51" spans="2:19">
      <c r="B51" s="9" t="s">
        <v>195</v>
      </c>
      <c r="C51" s="7" t="s">
        <v>195</v>
      </c>
      <c r="D51" s="5" t="str">
        <f>LRTRIM(CONCATENATE(IF(SUMPRODUCT(-- ISNUMBER(SEARCH({"Auto Number"}, $B51))) &gt; 0, $B51, IF(SUMPRODUCT(-- ISNUMBER(SEARCH({"Lookup","Master-Detail"}, $B51))) &gt; 0,$B51 &amp; "(" &amp; $E51 &amp; ")",IF(SUMPRODUCT(-- ISNUMBER(SEARCH({"Formula","Roll-Up Summary"}, $B51))) &gt; 0,$B51 &amp; " (" &amp; $E51 &amp; ")",IF(SUMPRODUCT(-- ISNUMBER(SEARCH({"Content","Currency","Number","Percent","Text","URL"}, $B51))) &gt; 0,$B51 &amp; "(" &amp; $C51 &amp; ")",$B51)))), "  ", TRIM(IF($S51 = "YES", "(External ID)", "") &amp; " " &amp; IF(SUMPRODUCT(-- ISNUMBER(SEARCH({"Unique","Unique Case Insensitive"}, $R51))) &gt; 0, "(" &amp; $R51 &amp; ")", ""))))</f>
        <v>na</v>
      </c>
      <c r="E51" s="7" t="s">
        <v>195</v>
      </c>
      <c r="F51" s="7" t="s">
        <v>195</v>
      </c>
      <c r="G51" s="7" t="s">
        <v>195</v>
      </c>
      <c r="H51" s="7" t="s">
        <v>195</v>
      </c>
      <c r="I51" s="7" t="s">
        <v>195</v>
      </c>
      <c r="J51" s="7" t="s">
        <v>195</v>
      </c>
      <c r="K51" s="7" t="s">
        <v>195</v>
      </c>
      <c r="L51" s="7" t="s">
        <v>195</v>
      </c>
      <c r="M51" s="7" t="s">
        <v>29</v>
      </c>
      <c r="N51" s="7" t="s">
        <v>29</v>
      </c>
      <c r="O51" s="7" t="s">
        <v>29</v>
      </c>
      <c r="P51" s="7" t="s">
        <v>29</v>
      </c>
      <c r="Q51" s="7" t="s">
        <v>29</v>
      </c>
      <c r="R51" s="7" t="s">
        <v>29</v>
      </c>
      <c r="S51" s="7" t="s">
        <v>29</v>
      </c>
    </row>
    <row r="52" spans="2:19">
      <c r="B52" s="9" t="s">
        <v>195</v>
      </c>
      <c r="C52" s="7" t="s">
        <v>195</v>
      </c>
      <c r="D52" s="5" t="str">
        <f>LRTRIM(CONCATENATE(IF(SUMPRODUCT(-- ISNUMBER(SEARCH({"Auto Number"}, $B52))) &gt; 0, $B52, IF(SUMPRODUCT(-- ISNUMBER(SEARCH({"Lookup","Master-Detail"}, $B52))) &gt; 0,$B52 &amp; "(" &amp; $E52 &amp; ")",IF(SUMPRODUCT(-- ISNUMBER(SEARCH({"Formula","Roll-Up Summary"}, $B52))) &gt; 0,$B52 &amp; " (" &amp; $E52 &amp; ")",IF(SUMPRODUCT(-- ISNUMBER(SEARCH({"Content","Currency","Number","Percent","Text","URL"}, $B52))) &gt; 0,$B52 &amp; "(" &amp; $C52 &amp; ")",$B52)))), "  ", TRIM(IF($S52 = "YES", "(External ID)", "") &amp; " " &amp; IF(SUMPRODUCT(-- ISNUMBER(SEARCH({"Unique","Unique Case Insensitive"}, $R52))) &gt; 0, "(" &amp; $R52 &amp; ")", ""))))</f>
        <v>na</v>
      </c>
      <c r="E52" s="7" t="s">
        <v>195</v>
      </c>
      <c r="F52" s="7" t="s">
        <v>195</v>
      </c>
      <c r="G52" s="7" t="s">
        <v>195</v>
      </c>
      <c r="H52" s="7" t="s">
        <v>195</v>
      </c>
      <c r="I52" s="7" t="s">
        <v>195</v>
      </c>
      <c r="J52" s="7" t="s">
        <v>195</v>
      </c>
      <c r="K52" s="7" t="s">
        <v>195</v>
      </c>
      <c r="L52" s="7" t="s">
        <v>195</v>
      </c>
      <c r="M52" s="7" t="s">
        <v>29</v>
      </c>
      <c r="N52" s="7" t="s">
        <v>29</v>
      </c>
      <c r="O52" s="7" t="s">
        <v>29</v>
      </c>
      <c r="P52" s="7" t="s">
        <v>29</v>
      </c>
      <c r="Q52" s="7" t="s">
        <v>29</v>
      </c>
      <c r="R52" s="7" t="s">
        <v>29</v>
      </c>
      <c r="S52" s="7" t="s">
        <v>29</v>
      </c>
    </row>
    <row r="53" spans="2:19">
      <c r="B53" s="9" t="s">
        <v>195</v>
      </c>
      <c r="C53" s="7" t="s">
        <v>195</v>
      </c>
      <c r="D53" s="5" t="str">
        <f>LRTRIM(CONCATENATE(IF(SUMPRODUCT(-- ISNUMBER(SEARCH({"Auto Number"}, $B53))) &gt; 0, $B53, IF(SUMPRODUCT(-- ISNUMBER(SEARCH({"Lookup","Master-Detail"}, $B53))) &gt; 0,$B53 &amp; "(" &amp; $E53 &amp; ")",IF(SUMPRODUCT(-- ISNUMBER(SEARCH({"Formula","Roll-Up Summary"}, $B53))) &gt; 0,$B53 &amp; " (" &amp; $E53 &amp; ")",IF(SUMPRODUCT(-- ISNUMBER(SEARCH({"Content","Currency","Number","Percent","Text","URL"}, $B53))) &gt; 0,$B53 &amp; "(" &amp; $C53 &amp; ")",$B53)))), "  ", TRIM(IF($S53 = "YES", "(External ID)", "") &amp; " " &amp; IF(SUMPRODUCT(-- ISNUMBER(SEARCH({"Unique","Unique Case Insensitive"}, $R53))) &gt; 0, "(" &amp; $R53 &amp; ")", ""))))</f>
        <v>na</v>
      </c>
      <c r="E53" s="7" t="s">
        <v>195</v>
      </c>
      <c r="F53" s="7" t="s">
        <v>195</v>
      </c>
      <c r="G53" s="7" t="s">
        <v>195</v>
      </c>
      <c r="H53" s="7" t="s">
        <v>195</v>
      </c>
      <c r="I53" s="7" t="s">
        <v>195</v>
      </c>
      <c r="J53" s="7" t="s">
        <v>195</v>
      </c>
      <c r="K53" s="7" t="s">
        <v>195</v>
      </c>
      <c r="L53" s="7" t="s">
        <v>195</v>
      </c>
      <c r="M53" s="7" t="s">
        <v>29</v>
      </c>
      <c r="N53" s="7" t="s">
        <v>29</v>
      </c>
      <c r="O53" s="7" t="s">
        <v>29</v>
      </c>
      <c r="P53" s="7" t="s">
        <v>29</v>
      </c>
      <c r="Q53" s="7" t="s">
        <v>29</v>
      </c>
      <c r="R53" s="7" t="s">
        <v>29</v>
      </c>
      <c r="S53" s="7" t="s">
        <v>29</v>
      </c>
    </row>
    <row r="54" spans="2:19">
      <c r="B54" s="9" t="s">
        <v>195</v>
      </c>
      <c r="C54" s="7" t="s">
        <v>195</v>
      </c>
      <c r="D54" s="5" t="str">
        <f>LRTRIM(CONCATENATE(IF(SUMPRODUCT(-- ISNUMBER(SEARCH({"Auto Number"}, $B54))) &gt; 0, $B54, IF(SUMPRODUCT(-- ISNUMBER(SEARCH({"Lookup","Master-Detail"}, $B54))) &gt; 0,$B54 &amp; "(" &amp; $E54 &amp; ")",IF(SUMPRODUCT(-- ISNUMBER(SEARCH({"Formula","Roll-Up Summary"}, $B54))) &gt; 0,$B54 &amp; " (" &amp; $E54 &amp; ")",IF(SUMPRODUCT(-- ISNUMBER(SEARCH({"Content","Currency","Number","Percent","Text","URL"}, $B54))) &gt; 0,$B54 &amp; "(" &amp; $C54 &amp; ")",$B54)))), "  ", TRIM(IF($S54 = "YES", "(External ID)", "") &amp; " " &amp; IF(SUMPRODUCT(-- ISNUMBER(SEARCH({"Unique","Unique Case Insensitive"}, $R54))) &gt; 0, "(" &amp; $R54 &amp; ")", ""))))</f>
        <v>na</v>
      </c>
      <c r="E54" s="7" t="s">
        <v>195</v>
      </c>
      <c r="F54" s="7" t="s">
        <v>195</v>
      </c>
      <c r="G54" s="7" t="s">
        <v>195</v>
      </c>
      <c r="H54" s="7" t="s">
        <v>195</v>
      </c>
      <c r="I54" s="7" t="s">
        <v>195</v>
      </c>
      <c r="J54" s="7" t="s">
        <v>195</v>
      </c>
      <c r="K54" s="7" t="s">
        <v>195</v>
      </c>
      <c r="L54" s="7" t="s">
        <v>195</v>
      </c>
      <c r="M54" s="7" t="s">
        <v>29</v>
      </c>
      <c r="N54" s="7" t="s">
        <v>29</v>
      </c>
      <c r="O54" s="7" t="s">
        <v>29</v>
      </c>
      <c r="P54" s="7" t="s">
        <v>29</v>
      </c>
      <c r="Q54" s="7" t="s">
        <v>29</v>
      </c>
      <c r="R54" s="7" t="s">
        <v>29</v>
      </c>
      <c r="S54" s="7" t="s">
        <v>29</v>
      </c>
    </row>
    <row r="55" spans="2:19">
      <c r="B55" s="9" t="s">
        <v>195</v>
      </c>
      <c r="C55" s="7" t="s">
        <v>195</v>
      </c>
      <c r="D55" s="5" t="str">
        <f>LRTRIM(CONCATENATE(IF(SUMPRODUCT(-- ISNUMBER(SEARCH({"Auto Number"}, $B55))) &gt; 0, $B55, IF(SUMPRODUCT(-- ISNUMBER(SEARCH({"Lookup","Master-Detail"}, $B55))) &gt; 0,$B55 &amp; "(" &amp; $E55 &amp; ")",IF(SUMPRODUCT(-- ISNUMBER(SEARCH({"Formula","Roll-Up Summary"}, $B55))) &gt; 0,$B55 &amp; " (" &amp; $E55 &amp; ")",IF(SUMPRODUCT(-- ISNUMBER(SEARCH({"Content","Currency","Number","Percent","Text","URL"}, $B55))) &gt; 0,$B55 &amp; "(" &amp; $C55 &amp; ")",$B55)))), "  ", TRIM(IF($S55 = "YES", "(External ID)", "") &amp; " " &amp; IF(SUMPRODUCT(-- ISNUMBER(SEARCH({"Unique","Unique Case Insensitive"}, $R55))) &gt; 0, "(" &amp; $R55 &amp; ")", ""))))</f>
        <v>na</v>
      </c>
      <c r="E55" s="7" t="s">
        <v>195</v>
      </c>
      <c r="F55" s="7" t="s">
        <v>195</v>
      </c>
      <c r="G55" s="7" t="s">
        <v>195</v>
      </c>
      <c r="H55" s="7" t="s">
        <v>195</v>
      </c>
      <c r="I55" s="7" t="s">
        <v>195</v>
      </c>
      <c r="J55" s="7" t="s">
        <v>195</v>
      </c>
      <c r="K55" s="7" t="s">
        <v>195</v>
      </c>
      <c r="L55" s="7" t="s">
        <v>195</v>
      </c>
      <c r="M55" s="7" t="s">
        <v>29</v>
      </c>
      <c r="N55" s="7" t="s">
        <v>29</v>
      </c>
      <c r="O55" s="7" t="s">
        <v>29</v>
      </c>
      <c r="P55" s="7" t="s">
        <v>29</v>
      </c>
      <c r="Q55" s="7" t="s">
        <v>29</v>
      </c>
      <c r="R55" s="7" t="s">
        <v>29</v>
      </c>
      <c r="S55" s="7" t="s">
        <v>29</v>
      </c>
    </row>
    <row r="56" spans="2:19">
      <c r="B56" s="9" t="s">
        <v>195</v>
      </c>
      <c r="C56" s="7" t="s">
        <v>195</v>
      </c>
      <c r="D56" s="5" t="str">
        <f>LRTRIM(CONCATENATE(IF(SUMPRODUCT(-- ISNUMBER(SEARCH({"Auto Number"}, $B56))) &gt; 0, $B56, IF(SUMPRODUCT(-- ISNUMBER(SEARCH({"Lookup","Master-Detail"}, $B56))) &gt; 0,$B56 &amp; "(" &amp; $E56 &amp; ")",IF(SUMPRODUCT(-- ISNUMBER(SEARCH({"Formula","Roll-Up Summary"}, $B56))) &gt; 0,$B56 &amp; " (" &amp; $E56 &amp; ")",IF(SUMPRODUCT(-- ISNUMBER(SEARCH({"Content","Currency","Number","Percent","Text","URL"}, $B56))) &gt; 0,$B56 &amp; "(" &amp; $C56 &amp; ")",$B56)))), "  ", TRIM(IF($S56 = "YES", "(External ID)", "") &amp; " " &amp; IF(SUMPRODUCT(-- ISNUMBER(SEARCH({"Unique","Unique Case Insensitive"}, $R56))) &gt; 0, "(" &amp; $R56 &amp; ")", ""))))</f>
        <v>na</v>
      </c>
      <c r="E56" s="7" t="s">
        <v>195</v>
      </c>
      <c r="F56" s="7" t="s">
        <v>195</v>
      </c>
      <c r="G56" s="7" t="s">
        <v>195</v>
      </c>
      <c r="H56" s="7" t="s">
        <v>195</v>
      </c>
      <c r="I56" s="7" t="s">
        <v>195</v>
      </c>
      <c r="J56" s="7" t="s">
        <v>195</v>
      </c>
      <c r="K56" s="7" t="s">
        <v>195</v>
      </c>
      <c r="L56" s="7" t="s">
        <v>195</v>
      </c>
      <c r="M56" s="7" t="s">
        <v>29</v>
      </c>
      <c r="N56" s="7" t="s">
        <v>29</v>
      </c>
      <c r="O56" s="7" t="s">
        <v>29</v>
      </c>
      <c r="P56" s="7" t="s">
        <v>29</v>
      </c>
      <c r="Q56" s="7" t="s">
        <v>29</v>
      </c>
      <c r="R56" s="7" t="s">
        <v>29</v>
      </c>
      <c r="S56" s="7" t="s">
        <v>29</v>
      </c>
    </row>
    <row r="57" spans="2:19">
      <c r="B57" s="9" t="s">
        <v>195</v>
      </c>
      <c r="C57" s="7" t="s">
        <v>195</v>
      </c>
      <c r="D57" s="5" t="str">
        <f>LRTRIM(CONCATENATE(IF(SUMPRODUCT(-- ISNUMBER(SEARCH({"Auto Number"}, $B57))) &gt; 0, $B57, IF(SUMPRODUCT(-- ISNUMBER(SEARCH({"Lookup","Master-Detail"}, $B57))) &gt; 0,$B57 &amp; "(" &amp; $E57 &amp; ")",IF(SUMPRODUCT(-- ISNUMBER(SEARCH({"Formula","Roll-Up Summary"}, $B57))) &gt; 0,$B57 &amp; " (" &amp; $E57 &amp; ")",IF(SUMPRODUCT(-- ISNUMBER(SEARCH({"Content","Currency","Number","Percent","Text","URL"}, $B57))) &gt; 0,$B57 &amp; "(" &amp; $C57 &amp; ")",$B57)))), "  ", TRIM(IF($S57 = "YES", "(External ID)", "") &amp; " " &amp; IF(SUMPRODUCT(-- ISNUMBER(SEARCH({"Unique","Unique Case Insensitive"}, $R57))) &gt; 0, "(" &amp; $R57 &amp; ")", ""))))</f>
        <v>na</v>
      </c>
      <c r="E57" s="7" t="s">
        <v>195</v>
      </c>
      <c r="F57" s="7" t="s">
        <v>195</v>
      </c>
      <c r="G57" s="7" t="s">
        <v>195</v>
      </c>
      <c r="H57" s="7" t="s">
        <v>195</v>
      </c>
      <c r="I57" s="7" t="s">
        <v>195</v>
      </c>
      <c r="J57" s="7" t="s">
        <v>195</v>
      </c>
      <c r="K57" s="7" t="s">
        <v>195</v>
      </c>
      <c r="L57" s="7" t="s">
        <v>195</v>
      </c>
      <c r="M57" s="7" t="s">
        <v>29</v>
      </c>
      <c r="N57" s="7" t="s">
        <v>29</v>
      </c>
      <c r="O57" s="7" t="s">
        <v>29</v>
      </c>
      <c r="P57" s="7" t="s">
        <v>29</v>
      </c>
      <c r="Q57" s="7" t="s">
        <v>29</v>
      </c>
      <c r="R57" s="7" t="s">
        <v>29</v>
      </c>
      <c r="S57" s="7" t="s">
        <v>29</v>
      </c>
    </row>
    <row r="58" spans="2:19">
      <c r="B58" s="9" t="s">
        <v>195</v>
      </c>
      <c r="C58" s="7" t="s">
        <v>195</v>
      </c>
      <c r="D58" s="5" t="str">
        <f>LRTRIM(CONCATENATE(IF(SUMPRODUCT(-- ISNUMBER(SEARCH({"Auto Number"}, $B58))) &gt; 0, $B58, IF(SUMPRODUCT(-- ISNUMBER(SEARCH({"Lookup","Master-Detail"}, $B58))) &gt; 0,$B58 &amp; "(" &amp; $E58 &amp; ")",IF(SUMPRODUCT(-- ISNUMBER(SEARCH({"Formula","Roll-Up Summary"}, $B58))) &gt; 0,$B58 &amp; " (" &amp; $E58 &amp; ")",IF(SUMPRODUCT(-- ISNUMBER(SEARCH({"Content","Currency","Number","Percent","Text","URL"}, $B58))) &gt; 0,$B58 &amp; "(" &amp; $C58 &amp; ")",$B58)))), "  ", TRIM(IF($S58 = "YES", "(External ID)", "") &amp; " " &amp; IF(SUMPRODUCT(-- ISNUMBER(SEARCH({"Unique","Unique Case Insensitive"}, $R58))) &gt; 0, "(" &amp; $R58 &amp; ")", ""))))</f>
        <v>na</v>
      </c>
      <c r="E58" s="7" t="s">
        <v>195</v>
      </c>
      <c r="F58" s="7" t="s">
        <v>195</v>
      </c>
      <c r="G58" s="7" t="s">
        <v>195</v>
      </c>
      <c r="H58" s="7" t="s">
        <v>195</v>
      </c>
      <c r="I58" s="7" t="s">
        <v>195</v>
      </c>
      <c r="J58" s="7" t="s">
        <v>195</v>
      </c>
      <c r="K58" s="7" t="s">
        <v>195</v>
      </c>
      <c r="L58" s="7" t="s">
        <v>195</v>
      </c>
      <c r="M58" s="7" t="s">
        <v>29</v>
      </c>
      <c r="N58" s="7" t="s">
        <v>29</v>
      </c>
      <c r="O58" s="7" t="s">
        <v>29</v>
      </c>
      <c r="P58" s="7" t="s">
        <v>29</v>
      </c>
      <c r="Q58" s="7" t="s">
        <v>29</v>
      </c>
      <c r="R58" s="7" t="s">
        <v>29</v>
      </c>
      <c r="S58" s="7" t="s">
        <v>29</v>
      </c>
    </row>
    <row r="59" spans="2:19">
      <c r="B59" s="9" t="s">
        <v>195</v>
      </c>
      <c r="C59" s="7" t="s">
        <v>195</v>
      </c>
      <c r="D59" s="5" t="str">
        <f>LRTRIM(CONCATENATE(IF(SUMPRODUCT(-- ISNUMBER(SEARCH({"Auto Number"}, $B59))) &gt; 0, $B59, IF(SUMPRODUCT(-- ISNUMBER(SEARCH({"Lookup","Master-Detail"}, $B59))) &gt; 0,$B59 &amp; "(" &amp; $E59 &amp; ")",IF(SUMPRODUCT(-- ISNUMBER(SEARCH({"Formula","Roll-Up Summary"}, $B59))) &gt; 0,$B59 &amp; " (" &amp; $E59 &amp; ")",IF(SUMPRODUCT(-- ISNUMBER(SEARCH({"Content","Currency","Number","Percent","Text","URL"}, $B59))) &gt; 0,$B59 &amp; "(" &amp; $C59 &amp; ")",$B59)))), "  ", TRIM(IF($S59 = "YES", "(External ID)", "") &amp; " " &amp; IF(SUMPRODUCT(-- ISNUMBER(SEARCH({"Unique","Unique Case Insensitive"}, $R59))) &gt; 0, "(" &amp; $R59 &amp; ")", ""))))</f>
        <v>na</v>
      </c>
      <c r="E59" s="7" t="s">
        <v>195</v>
      </c>
      <c r="F59" s="7" t="s">
        <v>195</v>
      </c>
      <c r="G59" s="7" t="s">
        <v>195</v>
      </c>
      <c r="H59" s="7" t="s">
        <v>195</v>
      </c>
      <c r="I59" s="7" t="s">
        <v>195</v>
      </c>
      <c r="J59" s="7" t="s">
        <v>195</v>
      </c>
      <c r="K59" s="7" t="s">
        <v>195</v>
      </c>
      <c r="L59" s="7" t="s">
        <v>195</v>
      </c>
      <c r="M59" s="7" t="s">
        <v>29</v>
      </c>
      <c r="N59" s="7" t="s">
        <v>29</v>
      </c>
      <c r="O59" s="7" t="s">
        <v>29</v>
      </c>
      <c r="P59" s="7" t="s">
        <v>29</v>
      </c>
      <c r="Q59" s="7" t="s">
        <v>29</v>
      </c>
      <c r="R59" s="7" t="s">
        <v>29</v>
      </c>
      <c r="S59" s="7" t="s">
        <v>29</v>
      </c>
    </row>
    <row r="60" spans="2:19">
      <c r="B60" s="9" t="s">
        <v>195</v>
      </c>
      <c r="C60" s="7" t="s">
        <v>195</v>
      </c>
      <c r="D60" s="5" t="str">
        <f>LRTRIM(CONCATENATE(IF(SUMPRODUCT(-- ISNUMBER(SEARCH({"Auto Number"}, $B60))) &gt; 0, $B60, IF(SUMPRODUCT(-- ISNUMBER(SEARCH({"Lookup","Master-Detail"}, $B60))) &gt; 0,$B60 &amp; "(" &amp; $E60 &amp; ")",IF(SUMPRODUCT(-- ISNUMBER(SEARCH({"Formula","Roll-Up Summary"}, $B60))) &gt; 0,$B60 &amp; " (" &amp; $E60 &amp; ")",IF(SUMPRODUCT(-- ISNUMBER(SEARCH({"Content","Currency","Number","Percent","Text","URL"}, $B60))) &gt; 0,$B60 &amp; "(" &amp; $C60 &amp; ")",$B60)))), "  ", TRIM(IF($S60 = "YES", "(External ID)", "") &amp; " " &amp; IF(SUMPRODUCT(-- ISNUMBER(SEARCH({"Unique","Unique Case Insensitive"}, $R60))) &gt; 0, "(" &amp; $R60 &amp; ")", ""))))</f>
        <v>na</v>
      </c>
      <c r="E60" s="7" t="s">
        <v>195</v>
      </c>
      <c r="F60" s="7" t="s">
        <v>195</v>
      </c>
      <c r="G60" s="7" t="s">
        <v>195</v>
      </c>
      <c r="H60" s="7" t="s">
        <v>195</v>
      </c>
      <c r="I60" s="7" t="s">
        <v>195</v>
      </c>
      <c r="J60" s="7" t="s">
        <v>195</v>
      </c>
      <c r="K60" s="7" t="s">
        <v>195</v>
      </c>
      <c r="L60" s="7" t="s">
        <v>195</v>
      </c>
      <c r="M60" s="7" t="s">
        <v>29</v>
      </c>
      <c r="N60" s="7" t="s">
        <v>29</v>
      </c>
      <c r="O60" s="7" t="s">
        <v>29</v>
      </c>
      <c r="P60" s="7" t="s">
        <v>29</v>
      </c>
      <c r="Q60" s="7" t="s">
        <v>29</v>
      </c>
      <c r="R60" s="7" t="s">
        <v>29</v>
      </c>
      <c r="S60" s="7" t="s">
        <v>29</v>
      </c>
    </row>
    <row r="61" spans="2:19">
      <c r="B61" s="9" t="s">
        <v>195</v>
      </c>
      <c r="C61" s="7" t="s">
        <v>195</v>
      </c>
      <c r="D61" s="5" t="str">
        <f>LRTRIM(CONCATENATE(IF(SUMPRODUCT(-- ISNUMBER(SEARCH({"Auto Number"}, $B61))) &gt; 0, $B61, IF(SUMPRODUCT(-- ISNUMBER(SEARCH({"Lookup","Master-Detail"}, $B61))) &gt; 0,$B61 &amp; "(" &amp; $E61 &amp; ")",IF(SUMPRODUCT(-- ISNUMBER(SEARCH({"Formula","Roll-Up Summary"}, $B61))) &gt; 0,$B61 &amp; " (" &amp; $E61 &amp; ")",IF(SUMPRODUCT(-- ISNUMBER(SEARCH({"Content","Currency","Number","Percent","Text","URL"}, $B61))) &gt; 0,$B61 &amp; "(" &amp; $C61 &amp; ")",$B61)))), "  ", TRIM(IF($S61 = "YES", "(External ID)", "") &amp; " " &amp; IF(SUMPRODUCT(-- ISNUMBER(SEARCH({"Unique","Unique Case Insensitive"}, $R61))) &gt; 0, "(" &amp; $R61 &amp; ")", ""))))</f>
        <v>na</v>
      </c>
      <c r="E61" s="7" t="s">
        <v>195</v>
      </c>
      <c r="F61" s="7" t="s">
        <v>195</v>
      </c>
      <c r="G61" s="7" t="s">
        <v>195</v>
      </c>
      <c r="H61" s="7" t="s">
        <v>195</v>
      </c>
      <c r="I61" s="7" t="s">
        <v>195</v>
      </c>
      <c r="J61" s="7" t="s">
        <v>195</v>
      </c>
      <c r="K61" s="7" t="s">
        <v>195</v>
      </c>
      <c r="L61" s="7" t="s">
        <v>195</v>
      </c>
      <c r="M61" s="7" t="s">
        <v>29</v>
      </c>
      <c r="N61" s="7" t="s">
        <v>29</v>
      </c>
      <c r="O61" s="7" t="s">
        <v>29</v>
      </c>
      <c r="P61" s="7" t="s">
        <v>29</v>
      </c>
      <c r="Q61" s="7" t="s">
        <v>29</v>
      </c>
      <c r="R61" s="7" t="s">
        <v>29</v>
      </c>
      <c r="S61" s="7" t="s">
        <v>29</v>
      </c>
    </row>
    <row r="62" spans="2:19">
      <c r="B62" s="9" t="s">
        <v>195</v>
      </c>
      <c r="C62" s="7" t="s">
        <v>195</v>
      </c>
      <c r="D62" s="5" t="str">
        <f>LRTRIM(CONCATENATE(IF(SUMPRODUCT(-- ISNUMBER(SEARCH({"Auto Number"}, $B62))) &gt; 0, $B62, IF(SUMPRODUCT(-- ISNUMBER(SEARCH({"Lookup","Master-Detail"}, $B62))) &gt; 0,$B62 &amp; "(" &amp; $E62 &amp; ")",IF(SUMPRODUCT(-- ISNUMBER(SEARCH({"Formula","Roll-Up Summary"}, $B62))) &gt; 0,$B62 &amp; " (" &amp; $E62 &amp; ")",IF(SUMPRODUCT(-- ISNUMBER(SEARCH({"Content","Currency","Number","Percent","Text","URL"}, $B62))) &gt; 0,$B62 &amp; "(" &amp; $C62 &amp; ")",$B62)))), "  ", TRIM(IF($S62 = "YES", "(External ID)", "") &amp; " " &amp; IF(SUMPRODUCT(-- ISNUMBER(SEARCH({"Unique","Unique Case Insensitive"}, $R62))) &gt; 0, "(" &amp; $R62 &amp; ")", ""))))</f>
        <v>na</v>
      </c>
      <c r="E62" s="7" t="s">
        <v>195</v>
      </c>
      <c r="F62" s="7" t="s">
        <v>195</v>
      </c>
      <c r="G62" s="7" t="s">
        <v>195</v>
      </c>
      <c r="H62" s="7" t="s">
        <v>195</v>
      </c>
      <c r="I62" s="7" t="s">
        <v>195</v>
      </c>
      <c r="J62" s="7" t="s">
        <v>195</v>
      </c>
      <c r="K62" s="7" t="s">
        <v>195</v>
      </c>
      <c r="L62" s="7" t="s">
        <v>195</v>
      </c>
      <c r="M62" s="7" t="s">
        <v>29</v>
      </c>
      <c r="N62" s="7" t="s">
        <v>29</v>
      </c>
      <c r="O62" s="7" t="s">
        <v>29</v>
      </c>
      <c r="P62" s="7" t="s">
        <v>29</v>
      </c>
      <c r="Q62" s="7" t="s">
        <v>29</v>
      </c>
      <c r="R62" s="7" t="s">
        <v>29</v>
      </c>
      <c r="S62" s="7" t="s">
        <v>29</v>
      </c>
    </row>
    <row r="63" spans="2:19">
      <c r="B63" s="9" t="s">
        <v>195</v>
      </c>
      <c r="C63" s="7" t="s">
        <v>195</v>
      </c>
      <c r="D63" s="5" t="str">
        <f>LRTRIM(CONCATENATE(IF(SUMPRODUCT(-- ISNUMBER(SEARCH({"Auto Number"}, $B63))) &gt; 0, $B63, IF(SUMPRODUCT(-- ISNUMBER(SEARCH({"Lookup","Master-Detail"}, $B63))) &gt; 0,$B63 &amp; "(" &amp; $E63 &amp; ")",IF(SUMPRODUCT(-- ISNUMBER(SEARCH({"Formula","Roll-Up Summary"}, $B63))) &gt; 0,$B63 &amp; " (" &amp; $E63 &amp; ")",IF(SUMPRODUCT(-- ISNUMBER(SEARCH({"Content","Currency","Number","Percent","Text","URL"}, $B63))) &gt; 0,$B63 &amp; "(" &amp; $C63 &amp; ")",$B63)))), "  ", TRIM(IF($S63 = "YES", "(External ID)", "") &amp; " " &amp; IF(SUMPRODUCT(-- ISNUMBER(SEARCH({"Unique","Unique Case Insensitive"}, $R63))) &gt; 0, "(" &amp; $R63 &amp; ")", ""))))</f>
        <v>na</v>
      </c>
      <c r="E63" s="7" t="s">
        <v>195</v>
      </c>
      <c r="F63" s="7" t="s">
        <v>195</v>
      </c>
      <c r="G63" s="7" t="s">
        <v>195</v>
      </c>
      <c r="H63" s="7" t="s">
        <v>195</v>
      </c>
      <c r="I63" s="7" t="s">
        <v>195</v>
      </c>
      <c r="J63" s="7" t="s">
        <v>195</v>
      </c>
      <c r="K63" s="7" t="s">
        <v>195</v>
      </c>
      <c r="L63" s="7" t="s">
        <v>195</v>
      </c>
      <c r="M63" s="7" t="s">
        <v>29</v>
      </c>
      <c r="N63" s="7" t="s">
        <v>29</v>
      </c>
      <c r="O63" s="7" t="s">
        <v>29</v>
      </c>
      <c r="P63" s="7" t="s">
        <v>29</v>
      </c>
      <c r="Q63" s="7" t="s">
        <v>29</v>
      </c>
      <c r="R63" s="7" t="s">
        <v>29</v>
      </c>
      <c r="S63" s="7" t="s">
        <v>29</v>
      </c>
    </row>
    <row r="64" spans="2:19">
      <c r="B64" s="9" t="s">
        <v>195</v>
      </c>
      <c r="C64" s="7" t="s">
        <v>195</v>
      </c>
      <c r="D64" s="5" t="str">
        <f>LRTRIM(CONCATENATE(IF(SUMPRODUCT(-- ISNUMBER(SEARCH({"Auto Number"}, $B64))) &gt; 0, $B64, IF(SUMPRODUCT(-- ISNUMBER(SEARCH({"Lookup","Master-Detail"}, $B64))) &gt; 0,$B64 &amp; "(" &amp; $E64 &amp; ")",IF(SUMPRODUCT(-- ISNUMBER(SEARCH({"Formula","Roll-Up Summary"}, $B64))) &gt; 0,$B64 &amp; " (" &amp; $E64 &amp; ")",IF(SUMPRODUCT(-- ISNUMBER(SEARCH({"Content","Currency","Number","Percent","Text","URL"}, $B64))) &gt; 0,$B64 &amp; "(" &amp; $C64 &amp; ")",$B64)))), "  ", TRIM(IF($S64 = "YES", "(External ID)", "") &amp; " " &amp; IF(SUMPRODUCT(-- ISNUMBER(SEARCH({"Unique","Unique Case Insensitive"}, $R64))) &gt; 0, "(" &amp; $R64 &amp; ")", ""))))</f>
        <v>na</v>
      </c>
      <c r="E64" s="7" t="s">
        <v>195</v>
      </c>
      <c r="F64" s="7" t="s">
        <v>195</v>
      </c>
      <c r="G64" s="7" t="s">
        <v>195</v>
      </c>
      <c r="H64" s="7" t="s">
        <v>195</v>
      </c>
      <c r="I64" s="7" t="s">
        <v>195</v>
      </c>
      <c r="J64" s="7" t="s">
        <v>195</v>
      </c>
      <c r="K64" s="7" t="s">
        <v>195</v>
      </c>
      <c r="L64" s="7" t="s">
        <v>195</v>
      </c>
      <c r="M64" s="7" t="s">
        <v>29</v>
      </c>
      <c r="N64" s="7" t="s">
        <v>29</v>
      </c>
      <c r="O64" s="7" t="s">
        <v>29</v>
      </c>
      <c r="P64" s="7" t="s">
        <v>29</v>
      </c>
      <c r="Q64" s="7" t="s">
        <v>29</v>
      </c>
      <c r="R64" s="7" t="s">
        <v>29</v>
      </c>
      <c r="S64" s="7" t="s">
        <v>29</v>
      </c>
    </row>
    <row r="65" spans="2:19">
      <c r="B65" s="9" t="s">
        <v>195</v>
      </c>
      <c r="C65" s="7" t="s">
        <v>195</v>
      </c>
      <c r="D65" s="5" t="str">
        <f>LRTRIM(CONCATENATE(IF(SUMPRODUCT(-- ISNUMBER(SEARCH({"Auto Number"}, $B65))) &gt; 0, $B65, IF(SUMPRODUCT(-- ISNUMBER(SEARCH({"Lookup","Master-Detail"}, $B65))) &gt; 0,$B65 &amp; "(" &amp; $E65 &amp; ")",IF(SUMPRODUCT(-- ISNUMBER(SEARCH({"Formula","Roll-Up Summary"}, $B65))) &gt; 0,$B65 &amp; " (" &amp; $E65 &amp; ")",IF(SUMPRODUCT(-- ISNUMBER(SEARCH({"Content","Currency","Number","Percent","Text","URL"}, $B65))) &gt; 0,$B65 &amp; "(" &amp; $C65 &amp; ")",$B65)))), "  ", TRIM(IF($S65 = "YES", "(External ID)", "") &amp; " " &amp; IF(SUMPRODUCT(-- ISNUMBER(SEARCH({"Unique","Unique Case Insensitive"}, $R65))) &gt; 0, "(" &amp; $R65 &amp; ")", ""))))</f>
        <v>na</v>
      </c>
      <c r="E65" s="7" t="s">
        <v>195</v>
      </c>
      <c r="F65" s="7" t="s">
        <v>195</v>
      </c>
      <c r="G65" s="7" t="s">
        <v>195</v>
      </c>
      <c r="H65" s="7" t="s">
        <v>195</v>
      </c>
      <c r="I65" s="7" t="s">
        <v>195</v>
      </c>
      <c r="J65" s="7" t="s">
        <v>195</v>
      </c>
      <c r="K65" s="7" t="s">
        <v>195</v>
      </c>
      <c r="L65" s="7" t="s">
        <v>195</v>
      </c>
      <c r="M65" s="7" t="s">
        <v>29</v>
      </c>
      <c r="N65" s="7" t="s">
        <v>29</v>
      </c>
      <c r="O65" s="7" t="s">
        <v>29</v>
      </c>
      <c r="P65" s="7" t="s">
        <v>29</v>
      </c>
      <c r="Q65" s="7" t="s">
        <v>29</v>
      </c>
      <c r="R65" s="7" t="s">
        <v>29</v>
      </c>
      <c r="S65" s="7" t="s">
        <v>29</v>
      </c>
    </row>
    <row r="66" spans="2:19">
      <c r="B66" s="9" t="s">
        <v>195</v>
      </c>
      <c r="C66" s="7" t="s">
        <v>195</v>
      </c>
      <c r="D66" s="5" t="str">
        <f>LRTRIM(CONCATENATE(IF(SUMPRODUCT(-- ISNUMBER(SEARCH({"Auto Number"}, $B66))) &gt; 0, $B66, IF(SUMPRODUCT(-- ISNUMBER(SEARCH({"Lookup","Master-Detail"}, $B66))) &gt; 0,$B66 &amp; "(" &amp; $E66 &amp; ")",IF(SUMPRODUCT(-- ISNUMBER(SEARCH({"Formula","Roll-Up Summary"}, $B66))) &gt; 0,$B66 &amp; " (" &amp; $E66 &amp; ")",IF(SUMPRODUCT(-- ISNUMBER(SEARCH({"Content","Currency","Number","Percent","Text","URL"}, $B66))) &gt; 0,$B66 &amp; "(" &amp; $C66 &amp; ")",$B66)))), "  ", TRIM(IF($S66 = "YES", "(External ID)", "") &amp; " " &amp; IF(SUMPRODUCT(-- ISNUMBER(SEARCH({"Unique","Unique Case Insensitive"}, $R66))) &gt; 0, "(" &amp; $R66 &amp; ")", ""))))</f>
        <v>na</v>
      </c>
      <c r="E66" s="7" t="s">
        <v>195</v>
      </c>
      <c r="F66" s="7" t="s">
        <v>195</v>
      </c>
      <c r="G66" s="7" t="s">
        <v>195</v>
      </c>
      <c r="H66" s="7" t="s">
        <v>195</v>
      </c>
      <c r="I66" s="7" t="s">
        <v>195</v>
      </c>
      <c r="J66" s="7" t="s">
        <v>195</v>
      </c>
      <c r="K66" s="7" t="s">
        <v>195</v>
      </c>
      <c r="L66" s="7" t="s">
        <v>195</v>
      </c>
      <c r="M66" s="7" t="s">
        <v>29</v>
      </c>
      <c r="N66" s="7" t="s">
        <v>29</v>
      </c>
      <c r="O66" s="7" t="s">
        <v>29</v>
      </c>
      <c r="P66" s="7" t="s">
        <v>29</v>
      </c>
      <c r="Q66" s="7" t="s">
        <v>29</v>
      </c>
      <c r="R66" s="7" t="s">
        <v>29</v>
      </c>
      <c r="S66" s="7" t="s">
        <v>29</v>
      </c>
    </row>
    <row r="67" spans="2:19">
      <c r="B67" s="9" t="s">
        <v>195</v>
      </c>
      <c r="C67" s="7" t="s">
        <v>195</v>
      </c>
      <c r="D67" s="5" t="str">
        <f>LRTRIM(CONCATENATE(IF(SUMPRODUCT(-- ISNUMBER(SEARCH({"Auto Number"}, $B67))) &gt; 0, $B67, IF(SUMPRODUCT(-- ISNUMBER(SEARCH({"Lookup","Master-Detail"}, $B67))) &gt; 0,$B67 &amp; "(" &amp; $E67 &amp; ")",IF(SUMPRODUCT(-- ISNUMBER(SEARCH({"Formula","Roll-Up Summary"}, $B67))) &gt; 0,$B67 &amp; " (" &amp; $E67 &amp; ")",IF(SUMPRODUCT(-- ISNUMBER(SEARCH({"Content","Currency","Number","Percent","Text","URL"}, $B67))) &gt; 0,$B67 &amp; "(" &amp; $C67 &amp; ")",$B67)))), "  ", TRIM(IF($S67 = "YES", "(External ID)", "") &amp; " " &amp; IF(SUMPRODUCT(-- ISNUMBER(SEARCH({"Unique","Unique Case Insensitive"}, $R67))) &gt; 0, "(" &amp; $R67 &amp; ")", ""))))</f>
        <v>na</v>
      </c>
      <c r="E67" s="7" t="s">
        <v>195</v>
      </c>
      <c r="F67" s="7" t="s">
        <v>195</v>
      </c>
      <c r="G67" s="7" t="s">
        <v>195</v>
      </c>
      <c r="H67" s="7" t="s">
        <v>195</v>
      </c>
      <c r="I67" s="7" t="s">
        <v>195</v>
      </c>
      <c r="J67" s="7" t="s">
        <v>195</v>
      </c>
      <c r="K67" s="7" t="s">
        <v>195</v>
      </c>
      <c r="L67" s="7" t="s">
        <v>195</v>
      </c>
      <c r="M67" s="7" t="s">
        <v>29</v>
      </c>
      <c r="N67" s="7" t="s">
        <v>29</v>
      </c>
      <c r="O67" s="7" t="s">
        <v>29</v>
      </c>
      <c r="P67" s="7" t="s">
        <v>29</v>
      </c>
      <c r="Q67" s="7" t="s">
        <v>29</v>
      </c>
      <c r="R67" s="7" t="s">
        <v>29</v>
      </c>
      <c r="S67" s="7" t="s">
        <v>29</v>
      </c>
    </row>
    <row r="68" spans="2:19">
      <c r="B68" s="9" t="s">
        <v>195</v>
      </c>
      <c r="C68" s="7" t="s">
        <v>195</v>
      </c>
      <c r="D68" s="5" t="str">
        <f>LRTRIM(CONCATENATE(IF(SUMPRODUCT(-- ISNUMBER(SEARCH({"Auto Number"}, $B68))) &gt; 0, $B68, IF(SUMPRODUCT(-- ISNUMBER(SEARCH({"Lookup","Master-Detail"}, $B68))) &gt; 0,$B68 &amp; "(" &amp; $E68 &amp; ")",IF(SUMPRODUCT(-- ISNUMBER(SEARCH({"Formula","Roll-Up Summary"}, $B68))) &gt; 0,$B68 &amp; " (" &amp; $E68 &amp; ")",IF(SUMPRODUCT(-- ISNUMBER(SEARCH({"Content","Currency","Number","Percent","Text","URL"}, $B68))) &gt; 0,$B68 &amp; "(" &amp; $C68 &amp; ")",$B68)))), "  ", TRIM(IF($S68 = "YES", "(External ID)", "") &amp; " " &amp; IF(SUMPRODUCT(-- ISNUMBER(SEARCH({"Unique","Unique Case Insensitive"}, $R68))) &gt; 0, "(" &amp; $R68 &amp; ")", ""))))</f>
        <v>na</v>
      </c>
      <c r="E68" s="7" t="s">
        <v>195</v>
      </c>
      <c r="F68" s="7" t="s">
        <v>195</v>
      </c>
      <c r="G68" s="7" t="s">
        <v>195</v>
      </c>
      <c r="H68" s="7" t="s">
        <v>195</v>
      </c>
      <c r="I68" s="7" t="s">
        <v>195</v>
      </c>
      <c r="J68" s="7" t="s">
        <v>195</v>
      </c>
      <c r="K68" s="7" t="s">
        <v>195</v>
      </c>
      <c r="L68" s="7" t="s">
        <v>195</v>
      </c>
      <c r="M68" s="7" t="s">
        <v>29</v>
      </c>
      <c r="N68" s="7" t="s">
        <v>29</v>
      </c>
      <c r="O68" s="7" t="s">
        <v>29</v>
      </c>
      <c r="P68" s="7" t="s">
        <v>29</v>
      </c>
      <c r="Q68" s="7" t="s">
        <v>29</v>
      </c>
      <c r="R68" s="7" t="s">
        <v>29</v>
      </c>
      <c r="S68" s="7" t="s">
        <v>29</v>
      </c>
    </row>
    <row r="69" spans="2:19">
      <c r="B69" s="9" t="s">
        <v>195</v>
      </c>
      <c r="C69" s="7" t="s">
        <v>195</v>
      </c>
      <c r="D69" s="5" t="str">
        <f>LRTRIM(CONCATENATE(IF(SUMPRODUCT(-- ISNUMBER(SEARCH({"Auto Number"}, $B69))) &gt; 0, $B69, IF(SUMPRODUCT(-- ISNUMBER(SEARCH({"Lookup","Master-Detail"}, $B69))) &gt; 0,$B69 &amp; "(" &amp; $E69 &amp; ")",IF(SUMPRODUCT(-- ISNUMBER(SEARCH({"Formula","Roll-Up Summary"}, $B69))) &gt; 0,$B69 &amp; " (" &amp; $E69 &amp; ")",IF(SUMPRODUCT(-- ISNUMBER(SEARCH({"Content","Currency","Number","Percent","Text","URL"}, $B69))) &gt; 0,$B69 &amp; "(" &amp; $C69 &amp; ")",$B69)))), "  ", TRIM(IF($S69 = "YES", "(External ID)", "") &amp; " " &amp; IF(SUMPRODUCT(-- ISNUMBER(SEARCH({"Unique","Unique Case Insensitive"}, $R69))) &gt; 0, "(" &amp; $R69 &amp; ")", ""))))</f>
        <v>na</v>
      </c>
      <c r="E69" s="7" t="s">
        <v>195</v>
      </c>
      <c r="F69" s="7" t="s">
        <v>195</v>
      </c>
      <c r="G69" s="7" t="s">
        <v>195</v>
      </c>
      <c r="H69" s="7" t="s">
        <v>195</v>
      </c>
      <c r="I69" s="7" t="s">
        <v>195</v>
      </c>
      <c r="J69" s="7" t="s">
        <v>195</v>
      </c>
      <c r="K69" s="7" t="s">
        <v>195</v>
      </c>
      <c r="L69" s="7" t="s">
        <v>195</v>
      </c>
      <c r="M69" s="7" t="s">
        <v>29</v>
      </c>
      <c r="N69" s="7" t="s">
        <v>29</v>
      </c>
      <c r="O69" s="7" t="s">
        <v>29</v>
      </c>
      <c r="P69" s="7" t="s">
        <v>29</v>
      </c>
      <c r="Q69" s="7" t="s">
        <v>29</v>
      </c>
      <c r="R69" s="7" t="s">
        <v>29</v>
      </c>
      <c r="S69" s="7" t="s">
        <v>29</v>
      </c>
    </row>
    <row r="70" spans="2:19">
      <c r="B70" s="9" t="s">
        <v>195</v>
      </c>
      <c r="C70" s="7" t="s">
        <v>195</v>
      </c>
      <c r="D70" s="5" t="str">
        <f>LRTRIM(CONCATENATE(IF(SUMPRODUCT(-- ISNUMBER(SEARCH({"Auto Number"}, $B70))) &gt; 0, $B70, IF(SUMPRODUCT(-- ISNUMBER(SEARCH({"Lookup","Master-Detail"}, $B70))) &gt; 0,$B70 &amp; "(" &amp; $E70 &amp; ")",IF(SUMPRODUCT(-- ISNUMBER(SEARCH({"Formula","Roll-Up Summary"}, $B70))) &gt; 0,$B70 &amp; " (" &amp; $E70 &amp; ")",IF(SUMPRODUCT(-- ISNUMBER(SEARCH({"Content","Currency","Number","Percent","Text","URL"}, $B70))) &gt; 0,$B70 &amp; "(" &amp; $C70 &amp; ")",$B70)))), "  ", TRIM(IF($S70 = "YES", "(External ID)", "") &amp; " " &amp; IF(SUMPRODUCT(-- ISNUMBER(SEARCH({"Unique","Unique Case Insensitive"}, $R70))) &gt; 0, "(" &amp; $R70 &amp; ")", ""))))</f>
        <v>na</v>
      </c>
      <c r="E70" s="7" t="s">
        <v>195</v>
      </c>
      <c r="F70" s="7" t="s">
        <v>195</v>
      </c>
      <c r="G70" s="7" t="s">
        <v>195</v>
      </c>
      <c r="H70" s="7" t="s">
        <v>195</v>
      </c>
      <c r="I70" s="7" t="s">
        <v>195</v>
      </c>
      <c r="J70" s="7" t="s">
        <v>195</v>
      </c>
      <c r="K70" s="7" t="s">
        <v>195</v>
      </c>
      <c r="L70" s="7" t="s">
        <v>195</v>
      </c>
      <c r="M70" s="7" t="s">
        <v>29</v>
      </c>
      <c r="N70" s="7" t="s">
        <v>29</v>
      </c>
      <c r="O70" s="7" t="s">
        <v>29</v>
      </c>
      <c r="P70" s="7" t="s">
        <v>29</v>
      </c>
      <c r="Q70" s="7" t="s">
        <v>29</v>
      </c>
      <c r="R70" s="7" t="s">
        <v>29</v>
      </c>
      <c r="S70" s="7" t="s">
        <v>29</v>
      </c>
    </row>
    <row r="71" spans="2:19">
      <c r="B71" s="9" t="s">
        <v>195</v>
      </c>
      <c r="C71" s="7" t="s">
        <v>195</v>
      </c>
      <c r="D71" s="5" t="str">
        <f>LRTRIM(CONCATENATE(IF(SUMPRODUCT(-- ISNUMBER(SEARCH({"Auto Number"}, $B71))) &gt; 0, $B71, IF(SUMPRODUCT(-- ISNUMBER(SEARCH({"Lookup","Master-Detail"}, $B71))) &gt; 0,$B71 &amp; "(" &amp; $E71 &amp; ")",IF(SUMPRODUCT(-- ISNUMBER(SEARCH({"Formula","Roll-Up Summary"}, $B71))) &gt; 0,$B71 &amp; " (" &amp; $E71 &amp; ")",IF(SUMPRODUCT(-- ISNUMBER(SEARCH({"Content","Currency","Number","Percent","Text","URL"}, $B71))) &gt; 0,$B71 &amp; "(" &amp; $C71 &amp; ")",$B71)))), "  ", TRIM(IF($S71 = "YES", "(External ID)", "") &amp; " " &amp; IF(SUMPRODUCT(-- ISNUMBER(SEARCH({"Unique","Unique Case Insensitive"}, $R71))) &gt; 0, "(" &amp; $R71 &amp; ")", ""))))</f>
        <v>na</v>
      </c>
      <c r="E71" s="7" t="s">
        <v>195</v>
      </c>
      <c r="F71" s="7" t="s">
        <v>195</v>
      </c>
      <c r="G71" s="7" t="s">
        <v>195</v>
      </c>
      <c r="H71" s="7" t="s">
        <v>195</v>
      </c>
      <c r="I71" s="7" t="s">
        <v>195</v>
      </c>
      <c r="J71" s="7" t="s">
        <v>195</v>
      </c>
      <c r="K71" s="7" t="s">
        <v>195</v>
      </c>
      <c r="L71" s="7" t="s">
        <v>195</v>
      </c>
      <c r="M71" s="7" t="s">
        <v>29</v>
      </c>
      <c r="N71" s="7" t="s">
        <v>29</v>
      </c>
      <c r="O71" s="7" t="s">
        <v>29</v>
      </c>
      <c r="P71" s="7" t="s">
        <v>29</v>
      </c>
      <c r="Q71" s="7" t="s">
        <v>29</v>
      </c>
      <c r="R71" s="7" t="s">
        <v>29</v>
      </c>
      <c r="S71" s="7" t="s">
        <v>29</v>
      </c>
    </row>
    <row r="72" spans="2:19">
      <c r="B72" s="9" t="s">
        <v>195</v>
      </c>
      <c r="C72" s="7" t="s">
        <v>195</v>
      </c>
      <c r="D72" s="5" t="str">
        <f>LRTRIM(CONCATENATE(IF(SUMPRODUCT(-- ISNUMBER(SEARCH({"Auto Number"}, $B72))) &gt; 0, $B72, IF(SUMPRODUCT(-- ISNUMBER(SEARCH({"Lookup","Master-Detail"}, $B72))) &gt; 0,$B72 &amp; "(" &amp; $E72 &amp; ")",IF(SUMPRODUCT(-- ISNUMBER(SEARCH({"Formula","Roll-Up Summary"}, $B72))) &gt; 0,$B72 &amp; " (" &amp; $E72 &amp; ")",IF(SUMPRODUCT(-- ISNUMBER(SEARCH({"Content","Currency","Number","Percent","Text","URL"}, $B72))) &gt; 0,$B72 &amp; "(" &amp; $C72 &amp; ")",$B72)))), "  ", TRIM(IF($S72 = "YES", "(External ID)", "") &amp; " " &amp; IF(SUMPRODUCT(-- ISNUMBER(SEARCH({"Unique","Unique Case Insensitive"}, $R72))) &gt; 0, "(" &amp; $R72 &amp; ")", ""))))</f>
        <v>na</v>
      </c>
      <c r="E72" s="7" t="s">
        <v>195</v>
      </c>
      <c r="F72" s="7" t="s">
        <v>195</v>
      </c>
      <c r="G72" s="7" t="s">
        <v>195</v>
      </c>
      <c r="H72" s="7" t="s">
        <v>195</v>
      </c>
      <c r="I72" s="7" t="s">
        <v>195</v>
      </c>
      <c r="J72" s="7" t="s">
        <v>195</v>
      </c>
      <c r="K72" s="7" t="s">
        <v>195</v>
      </c>
      <c r="L72" s="7" t="s">
        <v>195</v>
      </c>
      <c r="M72" s="7" t="s">
        <v>29</v>
      </c>
      <c r="N72" s="7" t="s">
        <v>29</v>
      </c>
      <c r="O72" s="7" t="s">
        <v>29</v>
      </c>
      <c r="P72" s="7" t="s">
        <v>29</v>
      </c>
      <c r="Q72" s="7" t="s">
        <v>29</v>
      </c>
      <c r="R72" s="7" t="s">
        <v>29</v>
      </c>
      <c r="S72" s="7" t="s">
        <v>29</v>
      </c>
    </row>
    <row r="73" spans="2:19">
      <c r="B73" s="9" t="s">
        <v>195</v>
      </c>
      <c r="C73" s="7" t="s">
        <v>195</v>
      </c>
      <c r="D73" s="5" t="str">
        <f>LRTRIM(CONCATENATE(IF(SUMPRODUCT(-- ISNUMBER(SEARCH({"Auto Number"}, $B73))) &gt; 0, $B73, IF(SUMPRODUCT(-- ISNUMBER(SEARCH({"Lookup","Master-Detail"}, $B73))) &gt; 0,$B73 &amp; "(" &amp; $E73 &amp; ")",IF(SUMPRODUCT(-- ISNUMBER(SEARCH({"Formula","Roll-Up Summary"}, $B73))) &gt; 0,$B73 &amp; " (" &amp; $E73 &amp; ")",IF(SUMPRODUCT(-- ISNUMBER(SEARCH({"Content","Currency","Number","Percent","Text","URL"}, $B73))) &gt; 0,$B73 &amp; "(" &amp; $C73 &amp; ")",$B73)))), "  ", TRIM(IF($S73 = "YES", "(External ID)", "") &amp; " " &amp; IF(SUMPRODUCT(-- ISNUMBER(SEARCH({"Unique","Unique Case Insensitive"}, $R73))) &gt; 0, "(" &amp; $R73 &amp; ")", ""))))</f>
        <v>na</v>
      </c>
      <c r="E73" s="7" t="s">
        <v>195</v>
      </c>
      <c r="F73" s="7" t="s">
        <v>195</v>
      </c>
      <c r="G73" s="7" t="s">
        <v>195</v>
      </c>
      <c r="H73" s="7" t="s">
        <v>195</v>
      </c>
      <c r="I73" s="7" t="s">
        <v>195</v>
      </c>
      <c r="J73" s="7" t="s">
        <v>195</v>
      </c>
      <c r="K73" s="7" t="s">
        <v>195</v>
      </c>
      <c r="L73" s="7" t="s">
        <v>195</v>
      </c>
      <c r="M73" s="7" t="s">
        <v>29</v>
      </c>
      <c r="N73" s="7" t="s">
        <v>29</v>
      </c>
      <c r="O73" s="7" t="s">
        <v>29</v>
      </c>
      <c r="P73" s="7" t="s">
        <v>29</v>
      </c>
      <c r="Q73" s="7" t="s">
        <v>29</v>
      </c>
      <c r="R73" s="7" t="s">
        <v>29</v>
      </c>
      <c r="S73" s="7" t="s">
        <v>29</v>
      </c>
    </row>
    <row r="74" spans="2:19">
      <c r="B74" s="9" t="s">
        <v>195</v>
      </c>
      <c r="C74" s="7" t="s">
        <v>195</v>
      </c>
      <c r="D74" s="5" t="str">
        <f>LRTRIM(CONCATENATE(IF(SUMPRODUCT(-- ISNUMBER(SEARCH({"Auto Number"}, $B74))) &gt; 0, $B74, IF(SUMPRODUCT(-- ISNUMBER(SEARCH({"Lookup","Master-Detail"}, $B74))) &gt; 0,$B74 &amp; "(" &amp; $E74 &amp; ")",IF(SUMPRODUCT(-- ISNUMBER(SEARCH({"Formula","Roll-Up Summary"}, $B74))) &gt; 0,$B74 &amp; " (" &amp; $E74 &amp; ")",IF(SUMPRODUCT(-- ISNUMBER(SEARCH({"Content","Currency","Number","Percent","Text","URL"}, $B74))) &gt; 0,$B74 &amp; "(" &amp; $C74 &amp; ")",$B74)))), "  ", TRIM(IF($S74 = "YES", "(External ID)", "") &amp; " " &amp; IF(SUMPRODUCT(-- ISNUMBER(SEARCH({"Unique","Unique Case Insensitive"}, $R74))) &gt; 0, "(" &amp; $R74 &amp; ")", ""))))</f>
        <v>na</v>
      </c>
      <c r="E74" s="7" t="s">
        <v>195</v>
      </c>
      <c r="F74" s="7" t="s">
        <v>195</v>
      </c>
      <c r="G74" s="7" t="s">
        <v>195</v>
      </c>
      <c r="H74" s="7" t="s">
        <v>195</v>
      </c>
      <c r="I74" s="7" t="s">
        <v>195</v>
      </c>
      <c r="J74" s="7" t="s">
        <v>195</v>
      </c>
      <c r="K74" s="7" t="s">
        <v>195</v>
      </c>
      <c r="L74" s="7" t="s">
        <v>195</v>
      </c>
      <c r="M74" s="7" t="s">
        <v>29</v>
      </c>
      <c r="N74" s="7" t="s">
        <v>29</v>
      </c>
      <c r="O74" s="7" t="s">
        <v>29</v>
      </c>
      <c r="P74" s="7" t="s">
        <v>29</v>
      </c>
      <c r="Q74" s="7" t="s">
        <v>29</v>
      </c>
      <c r="R74" s="7" t="s">
        <v>29</v>
      </c>
      <c r="S74" s="7" t="s">
        <v>29</v>
      </c>
    </row>
    <row r="75" spans="2:19">
      <c r="B75" s="9" t="s">
        <v>195</v>
      </c>
      <c r="C75" s="7" t="s">
        <v>195</v>
      </c>
      <c r="D75" s="5" t="str">
        <f>LRTRIM(CONCATENATE(IF(SUMPRODUCT(-- ISNUMBER(SEARCH({"Auto Number"}, $B75))) &gt; 0, $B75, IF(SUMPRODUCT(-- ISNUMBER(SEARCH({"Lookup","Master-Detail"}, $B75))) &gt; 0,$B75 &amp; "(" &amp; $E75 &amp; ")",IF(SUMPRODUCT(-- ISNUMBER(SEARCH({"Formula","Roll-Up Summary"}, $B75))) &gt; 0,$B75 &amp; " (" &amp; $E75 &amp; ")",IF(SUMPRODUCT(-- ISNUMBER(SEARCH({"Content","Currency","Number","Percent","Text","URL"}, $B75))) &gt; 0,$B75 &amp; "(" &amp; $C75 &amp; ")",$B75)))), "  ", TRIM(IF($S75 = "YES", "(External ID)", "") &amp; " " &amp; IF(SUMPRODUCT(-- ISNUMBER(SEARCH({"Unique","Unique Case Insensitive"}, $R75))) &gt; 0, "(" &amp; $R75 &amp; ")", ""))))</f>
        <v>na</v>
      </c>
      <c r="E75" s="7" t="s">
        <v>195</v>
      </c>
      <c r="F75" s="7" t="s">
        <v>195</v>
      </c>
      <c r="G75" s="7" t="s">
        <v>195</v>
      </c>
      <c r="H75" s="7" t="s">
        <v>195</v>
      </c>
      <c r="I75" s="7" t="s">
        <v>195</v>
      </c>
      <c r="J75" s="7" t="s">
        <v>195</v>
      </c>
      <c r="K75" s="7" t="s">
        <v>195</v>
      </c>
      <c r="L75" s="7" t="s">
        <v>195</v>
      </c>
      <c r="M75" s="7" t="s">
        <v>29</v>
      </c>
      <c r="N75" s="7" t="s">
        <v>29</v>
      </c>
      <c r="O75" s="7" t="s">
        <v>29</v>
      </c>
      <c r="P75" s="7" t="s">
        <v>29</v>
      </c>
      <c r="Q75" s="7" t="s">
        <v>29</v>
      </c>
      <c r="R75" s="7" t="s">
        <v>29</v>
      </c>
      <c r="S75" s="7" t="s">
        <v>29</v>
      </c>
    </row>
    <row r="76" spans="2:19">
      <c r="B76" s="9" t="s">
        <v>195</v>
      </c>
      <c r="C76" s="7" t="s">
        <v>195</v>
      </c>
      <c r="D76" s="5" t="str">
        <f>LRTRIM(CONCATENATE(IF(SUMPRODUCT(-- ISNUMBER(SEARCH({"Auto Number"}, $B76))) &gt; 0, $B76, IF(SUMPRODUCT(-- ISNUMBER(SEARCH({"Lookup","Master-Detail"}, $B76))) &gt; 0,$B76 &amp; "(" &amp; $E76 &amp; ")",IF(SUMPRODUCT(-- ISNUMBER(SEARCH({"Formula","Roll-Up Summary"}, $B76))) &gt; 0,$B76 &amp; " (" &amp; $E76 &amp; ")",IF(SUMPRODUCT(-- ISNUMBER(SEARCH({"Content","Currency","Number","Percent","Text","URL"}, $B76))) &gt; 0,$B76 &amp; "(" &amp; $C76 &amp; ")",$B76)))), "  ", TRIM(IF($S76 = "YES", "(External ID)", "") &amp; " " &amp; IF(SUMPRODUCT(-- ISNUMBER(SEARCH({"Unique","Unique Case Insensitive"}, $R76))) &gt; 0, "(" &amp; $R76 &amp; ")", ""))))</f>
        <v>na</v>
      </c>
      <c r="E76" s="7" t="s">
        <v>195</v>
      </c>
      <c r="F76" s="7" t="s">
        <v>195</v>
      </c>
      <c r="G76" s="7" t="s">
        <v>195</v>
      </c>
      <c r="H76" s="7" t="s">
        <v>195</v>
      </c>
      <c r="I76" s="7" t="s">
        <v>195</v>
      </c>
      <c r="J76" s="7" t="s">
        <v>195</v>
      </c>
      <c r="K76" s="7" t="s">
        <v>195</v>
      </c>
      <c r="L76" s="7" t="s">
        <v>195</v>
      </c>
      <c r="M76" s="7" t="s">
        <v>29</v>
      </c>
      <c r="N76" s="7" t="s">
        <v>29</v>
      </c>
      <c r="O76" s="7" t="s">
        <v>29</v>
      </c>
      <c r="P76" s="7" t="s">
        <v>29</v>
      </c>
      <c r="Q76" s="7" t="s">
        <v>29</v>
      </c>
      <c r="R76" s="7" t="s">
        <v>29</v>
      </c>
      <c r="S76" s="7" t="s">
        <v>29</v>
      </c>
    </row>
    <row r="77" spans="2:19">
      <c r="B77" s="9" t="s">
        <v>195</v>
      </c>
      <c r="C77" s="7" t="s">
        <v>195</v>
      </c>
      <c r="D77" s="5" t="str">
        <f>LRTRIM(CONCATENATE(IF(SUMPRODUCT(-- ISNUMBER(SEARCH({"Auto Number"}, $B77))) &gt; 0, $B77, IF(SUMPRODUCT(-- ISNUMBER(SEARCH({"Lookup","Master-Detail"}, $B77))) &gt; 0,$B77 &amp; "(" &amp; $E77 &amp; ")",IF(SUMPRODUCT(-- ISNUMBER(SEARCH({"Formula","Roll-Up Summary"}, $B77))) &gt; 0,$B77 &amp; " (" &amp; $E77 &amp; ")",IF(SUMPRODUCT(-- ISNUMBER(SEARCH({"Content","Currency","Number","Percent","Text","URL"}, $B77))) &gt; 0,$B77 &amp; "(" &amp; $C77 &amp; ")",$B77)))), "  ", TRIM(IF($S77 = "YES", "(External ID)", "") &amp; " " &amp; IF(SUMPRODUCT(-- ISNUMBER(SEARCH({"Unique","Unique Case Insensitive"}, $R77))) &gt; 0, "(" &amp; $R77 &amp; ")", ""))))</f>
        <v>na</v>
      </c>
      <c r="E77" s="7" t="s">
        <v>195</v>
      </c>
      <c r="F77" s="7" t="s">
        <v>195</v>
      </c>
      <c r="G77" s="7" t="s">
        <v>195</v>
      </c>
      <c r="H77" s="7" t="s">
        <v>195</v>
      </c>
      <c r="I77" s="7" t="s">
        <v>195</v>
      </c>
      <c r="J77" s="7" t="s">
        <v>195</v>
      </c>
      <c r="K77" s="7" t="s">
        <v>195</v>
      </c>
      <c r="L77" s="7" t="s">
        <v>195</v>
      </c>
      <c r="M77" s="7" t="s">
        <v>29</v>
      </c>
      <c r="N77" s="7" t="s">
        <v>29</v>
      </c>
      <c r="O77" s="7" t="s">
        <v>29</v>
      </c>
      <c r="P77" s="7" t="s">
        <v>29</v>
      </c>
      <c r="Q77" s="7" t="s">
        <v>29</v>
      </c>
      <c r="R77" s="7" t="s">
        <v>29</v>
      </c>
      <c r="S77" s="7" t="s">
        <v>29</v>
      </c>
    </row>
    <row r="78" spans="2:19">
      <c r="B78" s="9" t="s">
        <v>195</v>
      </c>
      <c r="C78" s="7" t="s">
        <v>195</v>
      </c>
      <c r="D78" s="5" t="str">
        <f>LRTRIM(CONCATENATE(IF(SUMPRODUCT(-- ISNUMBER(SEARCH({"Auto Number"}, $B78))) &gt; 0, $B78, IF(SUMPRODUCT(-- ISNUMBER(SEARCH({"Lookup","Master-Detail"}, $B78))) &gt; 0,$B78 &amp; "(" &amp; $E78 &amp; ")",IF(SUMPRODUCT(-- ISNUMBER(SEARCH({"Formula","Roll-Up Summary"}, $B78))) &gt; 0,$B78 &amp; " (" &amp; $E78 &amp; ")",IF(SUMPRODUCT(-- ISNUMBER(SEARCH({"Content","Currency","Number","Percent","Text","URL"}, $B78))) &gt; 0,$B78 &amp; "(" &amp; $C78 &amp; ")",$B78)))), "  ", TRIM(IF($S78 = "YES", "(External ID)", "") &amp; " " &amp; IF(SUMPRODUCT(-- ISNUMBER(SEARCH({"Unique","Unique Case Insensitive"}, $R78))) &gt; 0, "(" &amp; $R78 &amp; ")", ""))))</f>
        <v>na</v>
      </c>
      <c r="E78" s="7" t="s">
        <v>195</v>
      </c>
      <c r="F78" s="7" t="s">
        <v>195</v>
      </c>
      <c r="G78" s="7" t="s">
        <v>195</v>
      </c>
      <c r="H78" s="7" t="s">
        <v>195</v>
      </c>
      <c r="I78" s="7" t="s">
        <v>195</v>
      </c>
      <c r="J78" s="7" t="s">
        <v>195</v>
      </c>
      <c r="K78" s="7" t="s">
        <v>195</v>
      </c>
      <c r="L78" s="7" t="s">
        <v>195</v>
      </c>
      <c r="M78" s="7" t="s">
        <v>29</v>
      </c>
      <c r="N78" s="7" t="s">
        <v>29</v>
      </c>
      <c r="O78" s="7" t="s">
        <v>29</v>
      </c>
      <c r="P78" s="7" t="s">
        <v>29</v>
      </c>
      <c r="Q78" s="7" t="s">
        <v>29</v>
      </c>
      <c r="R78" s="7" t="s">
        <v>29</v>
      </c>
      <c r="S78" s="7" t="s">
        <v>29</v>
      </c>
    </row>
    <row r="79" spans="2:19">
      <c r="B79" s="9" t="s">
        <v>195</v>
      </c>
      <c r="C79" s="7" t="s">
        <v>195</v>
      </c>
      <c r="D79" s="5" t="str">
        <f>LRTRIM(CONCATENATE(IF(SUMPRODUCT(-- ISNUMBER(SEARCH({"Auto Number"}, $B79))) &gt; 0, $B79, IF(SUMPRODUCT(-- ISNUMBER(SEARCH({"Lookup","Master-Detail"}, $B79))) &gt; 0,$B79 &amp; "(" &amp; $E79 &amp; ")",IF(SUMPRODUCT(-- ISNUMBER(SEARCH({"Formula","Roll-Up Summary"}, $B79))) &gt; 0,$B79 &amp; " (" &amp; $E79 &amp; ")",IF(SUMPRODUCT(-- ISNUMBER(SEARCH({"Content","Currency","Number","Percent","Text","URL"}, $B79))) &gt; 0,$B79 &amp; "(" &amp; $C79 &amp; ")",$B79)))), "  ", TRIM(IF($S79 = "YES", "(External ID)", "") &amp; " " &amp; IF(SUMPRODUCT(-- ISNUMBER(SEARCH({"Unique","Unique Case Insensitive"}, $R79))) &gt; 0, "(" &amp; $R79 &amp; ")", ""))))</f>
        <v>na</v>
      </c>
      <c r="E79" s="7" t="s">
        <v>195</v>
      </c>
      <c r="F79" s="7" t="s">
        <v>195</v>
      </c>
      <c r="G79" s="7" t="s">
        <v>195</v>
      </c>
      <c r="H79" s="7" t="s">
        <v>195</v>
      </c>
      <c r="I79" s="7" t="s">
        <v>195</v>
      </c>
      <c r="J79" s="7" t="s">
        <v>195</v>
      </c>
      <c r="K79" s="7" t="s">
        <v>195</v>
      </c>
      <c r="L79" s="7" t="s">
        <v>195</v>
      </c>
      <c r="M79" s="7" t="s">
        <v>29</v>
      </c>
      <c r="N79" s="7" t="s">
        <v>29</v>
      </c>
      <c r="O79" s="7" t="s">
        <v>29</v>
      </c>
      <c r="P79" s="7" t="s">
        <v>29</v>
      </c>
      <c r="Q79" s="7" t="s">
        <v>29</v>
      </c>
      <c r="R79" s="7" t="s">
        <v>29</v>
      </c>
      <c r="S79" s="7" t="s">
        <v>29</v>
      </c>
    </row>
    <row r="80" spans="2:19">
      <c r="B80" s="9" t="s">
        <v>195</v>
      </c>
      <c r="C80" s="7" t="s">
        <v>195</v>
      </c>
      <c r="D80" s="5" t="str">
        <f>LRTRIM(CONCATENATE(IF(SUMPRODUCT(-- ISNUMBER(SEARCH({"Auto Number"}, $B80))) &gt; 0, $B80, IF(SUMPRODUCT(-- ISNUMBER(SEARCH({"Lookup","Master-Detail"}, $B80))) &gt; 0,$B80 &amp; "(" &amp; $E80 &amp; ")",IF(SUMPRODUCT(-- ISNUMBER(SEARCH({"Formula","Roll-Up Summary"}, $B80))) &gt; 0,$B80 &amp; " (" &amp; $E80 &amp; ")",IF(SUMPRODUCT(-- ISNUMBER(SEARCH({"Content","Currency","Number","Percent","Text","URL"}, $B80))) &gt; 0,$B80 &amp; "(" &amp; $C80 &amp; ")",$B80)))), "  ", TRIM(IF($S80 = "YES", "(External ID)", "") &amp; " " &amp; IF(SUMPRODUCT(-- ISNUMBER(SEARCH({"Unique","Unique Case Insensitive"}, $R80))) &gt; 0, "(" &amp; $R80 &amp; ")", ""))))</f>
        <v>na</v>
      </c>
      <c r="E80" s="7" t="s">
        <v>195</v>
      </c>
      <c r="F80" s="7" t="s">
        <v>195</v>
      </c>
      <c r="G80" s="7" t="s">
        <v>195</v>
      </c>
      <c r="H80" s="7" t="s">
        <v>195</v>
      </c>
      <c r="I80" s="7" t="s">
        <v>195</v>
      </c>
      <c r="J80" s="7" t="s">
        <v>195</v>
      </c>
      <c r="K80" s="7" t="s">
        <v>195</v>
      </c>
      <c r="L80" s="7" t="s">
        <v>195</v>
      </c>
      <c r="M80" s="7" t="s">
        <v>29</v>
      </c>
      <c r="N80" s="7" t="s">
        <v>29</v>
      </c>
      <c r="O80" s="7" t="s">
        <v>29</v>
      </c>
      <c r="P80" s="7" t="s">
        <v>29</v>
      </c>
      <c r="Q80" s="7" t="s">
        <v>29</v>
      </c>
      <c r="R80" s="7" t="s">
        <v>29</v>
      </c>
      <c r="S80" s="7" t="s">
        <v>29</v>
      </c>
    </row>
    <row r="81" spans="2:19">
      <c r="B81" s="9" t="s">
        <v>195</v>
      </c>
      <c r="C81" s="7" t="s">
        <v>195</v>
      </c>
      <c r="D81" s="5" t="str">
        <f>LRTRIM(CONCATENATE(IF(SUMPRODUCT(-- ISNUMBER(SEARCH({"Auto Number"}, $B81))) &gt; 0, $B81, IF(SUMPRODUCT(-- ISNUMBER(SEARCH({"Lookup","Master-Detail"}, $B81))) &gt; 0,$B81 &amp; "(" &amp; $E81 &amp; ")",IF(SUMPRODUCT(-- ISNUMBER(SEARCH({"Formula","Roll-Up Summary"}, $B81))) &gt; 0,$B81 &amp; " (" &amp; $E81 &amp; ")",IF(SUMPRODUCT(-- ISNUMBER(SEARCH({"Content","Currency","Number","Percent","Text","URL"}, $B81))) &gt; 0,$B81 &amp; "(" &amp; $C81 &amp; ")",$B81)))), "  ", TRIM(IF($S81 = "YES", "(External ID)", "") &amp; " " &amp; IF(SUMPRODUCT(-- ISNUMBER(SEARCH({"Unique","Unique Case Insensitive"}, $R81))) &gt; 0, "(" &amp; $R81 &amp; ")", ""))))</f>
        <v>na</v>
      </c>
      <c r="E81" s="7" t="s">
        <v>195</v>
      </c>
      <c r="F81" s="7" t="s">
        <v>195</v>
      </c>
      <c r="G81" s="7" t="s">
        <v>195</v>
      </c>
      <c r="H81" s="7" t="s">
        <v>195</v>
      </c>
      <c r="I81" s="7" t="s">
        <v>195</v>
      </c>
      <c r="J81" s="7" t="s">
        <v>195</v>
      </c>
      <c r="K81" s="7" t="s">
        <v>195</v>
      </c>
      <c r="L81" s="7" t="s">
        <v>195</v>
      </c>
      <c r="M81" s="7" t="s">
        <v>29</v>
      </c>
      <c r="N81" s="7" t="s">
        <v>29</v>
      </c>
      <c r="O81" s="7" t="s">
        <v>29</v>
      </c>
      <c r="P81" s="7" t="s">
        <v>29</v>
      </c>
      <c r="Q81" s="7" t="s">
        <v>29</v>
      </c>
      <c r="R81" s="7" t="s">
        <v>29</v>
      </c>
      <c r="S81" s="7" t="s">
        <v>29</v>
      </c>
    </row>
    <row r="82" spans="2:19">
      <c r="B82" s="9" t="s">
        <v>195</v>
      </c>
      <c r="C82" s="7" t="s">
        <v>195</v>
      </c>
      <c r="D82" s="5" t="str">
        <f>LRTRIM(CONCATENATE(IF(SUMPRODUCT(-- ISNUMBER(SEARCH({"Auto Number"}, $B82))) &gt; 0, $B82, IF(SUMPRODUCT(-- ISNUMBER(SEARCH({"Lookup","Master-Detail"}, $B82))) &gt; 0,$B82 &amp; "(" &amp; $E82 &amp; ")",IF(SUMPRODUCT(-- ISNUMBER(SEARCH({"Formula","Roll-Up Summary"}, $B82))) &gt; 0,$B82 &amp; " (" &amp; $E82 &amp; ")",IF(SUMPRODUCT(-- ISNUMBER(SEARCH({"Content","Currency","Number","Percent","Text","URL"}, $B82))) &gt; 0,$B82 &amp; "(" &amp; $C82 &amp; ")",$B82)))), "  ", TRIM(IF($S82 = "YES", "(External ID)", "") &amp; " " &amp; IF(SUMPRODUCT(-- ISNUMBER(SEARCH({"Unique","Unique Case Insensitive"}, $R82))) &gt; 0, "(" &amp; $R82 &amp; ")", ""))))</f>
        <v>na</v>
      </c>
      <c r="E82" s="7" t="s">
        <v>195</v>
      </c>
      <c r="F82" s="7" t="s">
        <v>195</v>
      </c>
      <c r="G82" s="7" t="s">
        <v>195</v>
      </c>
      <c r="H82" s="7" t="s">
        <v>195</v>
      </c>
      <c r="I82" s="7" t="s">
        <v>195</v>
      </c>
      <c r="J82" s="7" t="s">
        <v>195</v>
      </c>
      <c r="K82" s="7" t="s">
        <v>195</v>
      </c>
      <c r="L82" s="7" t="s">
        <v>195</v>
      </c>
      <c r="M82" s="7" t="s">
        <v>29</v>
      </c>
      <c r="N82" s="7" t="s">
        <v>29</v>
      </c>
      <c r="O82" s="7" t="s">
        <v>29</v>
      </c>
      <c r="P82" s="7" t="s">
        <v>29</v>
      </c>
      <c r="Q82" s="7" t="s">
        <v>29</v>
      </c>
      <c r="R82" s="7" t="s">
        <v>29</v>
      </c>
      <c r="S82" s="7" t="s">
        <v>29</v>
      </c>
    </row>
    <row r="83" spans="2:19">
      <c r="B83" s="9" t="s">
        <v>195</v>
      </c>
      <c r="C83" s="7" t="s">
        <v>195</v>
      </c>
      <c r="D83" s="5" t="str">
        <f>LRTRIM(CONCATENATE(IF(SUMPRODUCT(-- ISNUMBER(SEARCH({"Auto Number"}, $B83))) &gt; 0, $B83, IF(SUMPRODUCT(-- ISNUMBER(SEARCH({"Lookup","Master-Detail"}, $B83))) &gt; 0,$B83 &amp; "(" &amp; $E83 &amp; ")",IF(SUMPRODUCT(-- ISNUMBER(SEARCH({"Formula","Roll-Up Summary"}, $B83))) &gt; 0,$B83 &amp; " (" &amp; $E83 &amp; ")",IF(SUMPRODUCT(-- ISNUMBER(SEARCH({"Content","Currency","Number","Percent","Text","URL"}, $B83))) &gt; 0,$B83 &amp; "(" &amp; $C83 &amp; ")",$B83)))), "  ", TRIM(IF($S83 = "YES", "(External ID)", "") &amp; " " &amp; IF(SUMPRODUCT(-- ISNUMBER(SEARCH({"Unique","Unique Case Insensitive"}, $R83))) &gt; 0, "(" &amp; $R83 &amp; ")", ""))))</f>
        <v>na</v>
      </c>
      <c r="E83" s="7" t="s">
        <v>195</v>
      </c>
      <c r="F83" s="7" t="s">
        <v>195</v>
      </c>
      <c r="G83" s="7" t="s">
        <v>195</v>
      </c>
      <c r="H83" s="7" t="s">
        <v>195</v>
      </c>
      <c r="I83" s="7" t="s">
        <v>195</v>
      </c>
      <c r="J83" s="7" t="s">
        <v>195</v>
      </c>
      <c r="K83" s="7" t="s">
        <v>195</v>
      </c>
      <c r="L83" s="7" t="s">
        <v>195</v>
      </c>
      <c r="M83" s="7" t="s">
        <v>29</v>
      </c>
      <c r="N83" s="7" t="s">
        <v>29</v>
      </c>
      <c r="O83" s="7" t="s">
        <v>29</v>
      </c>
      <c r="P83" s="7" t="s">
        <v>29</v>
      </c>
      <c r="Q83" s="7" t="s">
        <v>29</v>
      </c>
      <c r="R83" s="7" t="s">
        <v>29</v>
      </c>
      <c r="S83" s="7" t="s">
        <v>29</v>
      </c>
    </row>
    <row r="84" spans="2:19">
      <c r="B84" s="9" t="s">
        <v>195</v>
      </c>
      <c r="C84" s="7" t="s">
        <v>195</v>
      </c>
      <c r="D84" s="5" t="str">
        <f>LRTRIM(CONCATENATE(IF(SUMPRODUCT(-- ISNUMBER(SEARCH({"Auto Number"}, $B84))) &gt; 0, $B84, IF(SUMPRODUCT(-- ISNUMBER(SEARCH({"Lookup","Master-Detail"}, $B84))) &gt; 0,$B84 &amp; "(" &amp; $E84 &amp; ")",IF(SUMPRODUCT(-- ISNUMBER(SEARCH({"Formula","Roll-Up Summary"}, $B84))) &gt; 0,$B84 &amp; " (" &amp; $E84 &amp; ")",IF(SUMPRODUCT(-- ISNUMBER(SEARCH({"Content","Currency","Number","Percent","Text","URL"}, $B84))) &gt; 0,$B84 &amp; "(" &amp; $C84 &amp; ")",$B84)))), "  ", TRIM(IF($S84 = "YES", "(External ID)", "") &amp; " " &amp; IF(SUMPRODUCT(-- ISNUMBER(SEARCH({"Unique","Unique Case Insensitive"}, $R84))) &gt; 0, "(" &amp; $R84 &amp; ")", ""))))</f>
        <v>na</v>
      </c>
      <c r="E84" s="7" t="s">
        <v>195</v>
      </c>
      <c r="F84" s="7" t="s">
        <v>195</v>
      </c>
      <c r="G84" s="7" t="s">
        <v>195</v>
      </c>
      <c r="H84" s="7" t="s">
        <v>195</v>
      </c>
      <c r="I84" s="7" t="s">
        <v>195</v>
      </c>
      <c r="J84" s="7" t="s">
        <v>195</v>
      </c>
      <c r="K84" s="7" t="s">
        <v>195</v>
      </c>
      <c r="L84" s="7" t="s">
        <v>195</v>
      </c>
      <c r="M84" s="7" t="s">
        <v>29</v>
      </c>
      <c r="N84" s="7" t="s">
        <v>29</v>
      </c>
      <c r="O84" s="7" t="s">
        <v>29</v>
      </c>
      <c r="P84" s="7" t="s">
        <v>29</v>
      </c>
      <c r="Q84" s="7" t="s">
        <v>29</v>
      </c>
      <c r="R84" s="7" t="s">
        <v>29</v>
      </c>
      <c r="S84" s="7" t="s">
        <v>29</v>
      </c>
    </row>
    <row r="85" spans="2:19">
      <c r="B85" s="9" t="s">
        <v>195</v>
      </c>
      <c r="C85" s="7" t="s">
        <v>195</v>
      </c>
      <c r="D85" s="5" t="str">
        <f>LRTRIM(CONCATENATE(IF(SUMPRODUCT(-- ISNUMBER(SEARCH({"Auto Number"}, $B85))) &gt; 0, $B85, IF(SUMPRODUCT(-- ISNUMBER(SEARCH({"Lookup","Master-Detail"}, $B85))) &gt; 0,$B85 &amp; "(" &amp; $E85 &amp; ")",IF(SUMPRODUCT(-- ISNUMBER(SEARCH({"Formula","Roll-Up Summary"}, $B85))) &gt; 0,$B85 &amp; " (" &amp; $E85 &amp; ")",IF(SUMPRODUCT(-- ISNUMBER(SEARCH({"Content","Currency","Number","Percent","Text","URL"}, $B85))) &gt; 0,$B85 &amp; "(" &amp; $C85 &amp; ")",$B85)))), "  ", TRIM(IF($S85 = "YES", "(External ID)", "") &amp; " " &amp; IF(SUMPRODUCT(-- ISNUMBER(SEARCH({"Unique","Unique Case Insensitive"}, $R85))) &gt; 0, "(" &amp; $R85 &amp; ")", ""))))</f>
        <v>na</v>
      </c>
      <c r="E85" s="7" t="s">
        <v>195</v>
      </c>
      <c r="F85" s="7" t="s">
        <v>195</v>
      </c>
      <c r="G85" s="7" t="s">
        <v>195</v>
      </c>
      <c r="H85" s="7" t="s">
        <v>195</v>
      </c>
      <c r="I85" s="7" t="s">
        <v>195</v>
      </c>
      <c r="J85" s="7" t="s">
        <v>195</v>
      </c>
      <c r="K85" s="7" t="s">
        <v>195</v>
      </c>
      <c r="L85" s="7" t="s">
        <v>195</v>
      </c>
      <c r="M85" s="7" t="s">
        <v>29</v>
      </c>
      <c r="N85" s="7" t="s">
        <v>29</v>
      </c>
      <c r="O85" s="7" t="s">
        <v>29</v>
      </c>
      <c r="P85" s="7" t="s">
        <v>29</v>
      </c>
      <c r="Q85" s="7" t="s">
        <v>29</v>
      </c>
      <c r="R85" s="7" t="s">
        <v>29</v>
      </c>
      <c r="S85" s="7" t="s">
        <v>29</v>
      </c>
    </row>
    <row r="86" spans="2:19">
      <c r="B86" s="9" t="s">
        <v>195</v>
      </c>
      <c r="C86" s="7" t="s">
        <v>195</v>
      </c>
      <c r="D86" s="5" t="str">
        <f>LRTRIM(CONCATENATE(IF(SUMPRODUCT(-- ISNUMBER(SEARCH({"Auto Number"}, $B86))) &gt; 0, $B86, IF(SUMPRODUCT(-- ISNUMBER(SEARCH({"Lookup","Master-Detail"}, $B86))) &gt; 0,$B86 &amp; "(" &amp; $E86 &amp; ")",IF(SUMPRODUCT(-- ISNUMBER(SEARCH({"Formula","Roll-Up Summary"}, $B86))) &gt; 0,$B86 &amp; " (" &amp; $E86 &amp; ")",IF(SUMPRODUCT(-- ISNUMBER(SEARCH({"Content","Currency","Number","Percent","Text","URL"}, $B86))) &gt; 0,$B86 &amp; "(" &amp; $C86 &amp; ")",$B86)))), "  ", TRIM(IF($S86 = "YES", "(External ID)", "") &amp; " " &amp; IF(SUMPRODUCT(-- ISNUMBER(SEARCH({"Unique","Unique Case Insensitive"}, $R86))) &gt; 0, "(" &amp; $R86 &amp; ")", ""))))</f>
        <v>na</v>
      </c>
      <c r="E86" s="7" t="s">
        <v>195</v>
      </c>
      <c r="F86" s="7" t="s">
        <v>195</v>
      </c>
      <c r="G86" s="7" t="s">
        <v>195</v>
      </c>
      <c r="H86" s="7" t="s">
        <v>195</v>
      </c>
      <c r="I86" s="7" t="s">
        <v>195</v>
      </c>
      <c r="J86" s="7" t="s">
        <v>195</v>
      </c>
      <c r="K86" s="7" t="s">
        <v>195</v>
      </c>
      <c r="L86" s="7" t="s">
        <v>195</v>
      </c>
      <c r="M86" s="7" t="s">
        <v>29</v>
      </c>
      <c r="N86" s="7" t="s">
        <v>29</v>
      </c>
      <c r="O86" s="7" t="s">
        <v>29</v>
      </c>
      <c r="P86" s="7" t="s">
        <v>29</v>
      </c>
      <c r="Q86" s="7" t="s">
        <v>29</v>
      </c>
      <c r="R86" s="7" t="s">
        <v>29</v>
      </c>
      <c r="S86" s="7" t="s">
        <v>29</v>
      </c>
    </row>
    <row r="87" spans="2:19">
      <c r="B87" s="9" t="s">
        <v>195</v>
      </c>
      <c r="C87" s="7" t="s">
        <v>195</v>
      </c>
      <c r="D87" s="5" t="str">
        <f>LRTRIM(CONCATENATE(IF(SUMPRODUCT(-- ISNUMBER(SEARCH({"Auto Number"}, $B87))) &gt; 0, $B87, IF(SUMPRODUCT(-- ISNUMBER(SEARCH({"Lookup","Master-Detail"}, $B87))) &gt; 0,$B87 &amp; "(" &amp; $E87 &amp; ")",IF(SUMPRODUCT(-- ISNUMBER(SEARCH({"Formula","Roll-Up Summary"}, $B87))) &gt; 0,$B87 &amp; " (" &amp; $E87 &amp; ")",IF(SUMPRODUCT(-- ISNUMBER(SEARCH({"Content","Currency","Number","Percent","Text","URL"}, $B87))) &gt; 0,$B87 &amp; "(" &amp; $C87 &amp; ")",$B87)))), "  ", TRIM(IF($S87 = "YES", "(External ID)", "") &amp; " " &amp; IF(SUMPRODUCT(-- ISNUMBER(SEARCH({"Unique","Unique Case Insensitive"}, $R87))) &gt; 0, "(" &amp; $R87 &amp; ")", ""))))</f>
        <v>na</v>
      </c>
      <c r="E87" s="7" t="s">
        <v>195</v>
      </c>
      <c r="F87" s="7" t="s">
        <v>195</v>
      </c>
      <c r="G87" s="7" t="s">
        <v>195</v>
      </c>
      <c r="H87" s="7" t="s">
        <v>195</v>
      </c>
      <c r="I87" s="7" t="s">
        <v>195</v>
      </c>
      <c r="J87" s="7" t="s">
        <v>195</v>
      </c>
      <c r="K87" s="7" t="s">
        <v>195</v>
      </c>
      <c r="L87" s="7" t="s">
        <v>195</v>
      </c>
      <c r="M87" s="7" t="s">
        <v>29</v>
      </c>
      <c r="N87" s="7" t="s">
        <v>29</v>
      </c>
      <c r="O87" s="7" t="s">
        <v>29</v>
      </c>
      <c r="P87" s="7" t="s">
        <v>29</v>
      </c>
      <c r="Q87" s="7" t="s">
        <v>29</v>
      </c>
      <c r="R87" s="7" t="s">
        <v>29</v>
      </c>
      <c r="S87" s="7" t="s">
        <v>29</v>
      </c>
    </row>
    <row r="88" spans="2:19">
      <c r="B88" s="9" t="s">
        <v>195</v>
      </c>
      <c r="C88" s="7" t="s">
        <v>195</v>
      </c>
      <c r="D88" s="5" t="str">
        <f>LRTRIM(CONCATENATE(IF(SUMPRODUCT(-- ISNUMBER(SEARCH({"Auto Number"}, $B88))) &gt; 0, $B88, IF(SUMPRODUCT(-- ISNUMBER(SEARCH({"Lookup","Master-Detail"}, $B88))) &gt; 0,$B88 &amp; "(" &amp; $E88 &amp; ")",IF(SUMPRODUCT(-- ISNUMBER(SEARCH({"Formula","Roll-Up Summary"}, $B88))) &gt; 0,$B88 &amp; " (" &amp; $E88 &amp; ")",IF(SUMPRODUCT(-- ISNUMBER(SEARCH({"Content","Currency","Number","Percent","Text","URL"}, $B88))) &gt; 0,$B88 &amp; "(" &amp; $C88 &amp; ")",$B88)))), "  ", TRIM(IF($S88 = "YES", "(External ID)", "") &amp; " " &amp; IF(SUMPRODUCT(-- ISNUMBER(SEARCH({"Unique","Unique Case Insensitive"}, $R88))) &gt; 0, "(" &amp; $R88 &amp; ")", ""))))</f>
        <v>na</v>
      </c>
      <c r="E88" s="7" t="s">
        <v>195</v>
      </c>
      <c r="F88" s="7" t="s">
        <v>195</v>
      </c>
      <c r="G88" s="7" t="s">
        <v>195</v>
      </c>
      <c r="H88" s="7" t="s">
        <v>195</v>
      </c>
      <c r="I88" s="7" t="s">
        <v>195</v>
      </c>
      <c r="J88" s="7" t="s">
        <v>195</v>
      </c>
      <c r="K88" s="7" t="s">
        <v>195</v>
      </c>
      <c r="L88" s="7" t="s">
        <v>195</v>
      </c>
      <c r="M88" s="7" t="s">
        <v>29</v>
      </c>
      <c r="N88" s="7" t="s">
        <v>29</v>
      </c>
      <c r="O88" s="7" t="s">
        <v>29</v>
      </c>
      <c r="P88" s="7" t="s">
        <v>29</v>
      </c>
      <c r="Q88" s="7" t="s">
        <v>29</v>
      </c>
      <c r="R88" s="7" t="s">
        <v>29</v>
      </c>
      <c r="S88" s="7" t="s">
        <v>29</v>
      </c>
    </row>
    <row r="89" spans="2:19">
      <c r="B89" s="9" t="s">
        <v>195</v>
      </c>
      <c r="C89" s="7" t="s">
        <v>195</v>
      </c>
      <c r="D89" s="5" t="str">
        <f>LRTRIM(CONCATENATE(IF(SUMPRODUCT(-- ISNUMBER(SEARCH({"Auto Number"}, $B89))) &gt; 0, $B89, IF(SUMPRODUCT(-- ISNUMBER(SEARCH({"Lookup","Master-Detail"}, $B89))) &gt; 0,$B89 &amp; "(" &amp; $E89 &amp; ")",IF(SUMPRODUCT(-- ISNUMBER(SEARCH({"Formula","Roll-Up Summary"}, $B89))) &gt; 0,$B89 &amp; " (" &amp; $E89 &amp; ")",IF(SUMPRODUCT(-- ISNUMBER(SEARCH({"Content","Currency","Number","Percent","Text","URL"}, $B89))) &gt; 0,$B89 &amp; "(" &amp; $C89 &amp; ")",$B89)))), "  ", TRIM(IF($S89 = "YES", "(External ID)", "") &amp; " " &amp; IF(SUMPRODUCT(-- ISNUMBER(SEARCH({"Unique","Unique Case Insensitive"}, $R89))) &gt; 0, "(" &amp; $R89 &amp; ")", ""))))</f>
        <v>na</v>
      </c>
      <c r="E89" s="7" t="s">
        <v>195</v>
      </c>
      <c r="F89" s="7" t="s">
        <v>195</v>
      </c>
      <c r="G89" s="7" t="s">
        <v>195</v>
      </c>
      <c r="H89" s="7" t="s">
        <v>195</v>
      </c>
      <c r="I89" s="7" t="s">
        <v>195</v>
      </c>
      <c r="J89" s="7" t="s">
        <v>195</v>
      </c>
      <c r="K89" s="7" t="s">
        <v>195</v>
      </c>
      <c r="L89" s="7" t="s">
        <v>195</v>
      </c>
      <c r="M89" s="7" t="s">
        <v>29</v>
      </c>
      <c r="N89" s="7" t="s">
        <v>29</v>
      </c>
      <c r="O89" s="7" t="s">
        <v>29</v>
      </c>
      <c r="P89" s="7" t="s">
        <v>29</v>
      </c>
      <c r="Q89" s="7" t="s">
        <v>29</v>
      </c>
      <c r="R89" s="7" t="s">
        <v>29</v>
      </c>
      <c r="S89" s="7" t="s">
        <v>29</v>
      </c>
    </row>
    <row r="90" spans="2:19">
      <c r="B90" s="9" t="s">
        <v>195</v>
      </c>
      <c r="C90" s="7" t="s">
        <v>195</v>
      </c>
      <c r="D90" s="5" t="str">
        <f>LRTRIM(CONCATENATE(IF(SUMPRODUCT(-- ISNUMBER(SEARCH({"Auto Number"}, $B90))) &gt; 0, $B90, IF(SUMPRODUCT(-- ISNUMBER(SEARCH({"Lookup","Master-Detail"}, $B90))) &gt; 0,$B90 &amp; "(" &amp; $E90 &amp; ")",IF(SUMPRODUCT(-- ISNUMBER(SEARCH({"Formula","Roll-Up Summary"}, $B90))) &gt; 0,$B90 &amp; " (" &amp; $E90 &amp; ")",IF(SUMPRODUCT(-- ISNUMBER(SEARCH({"Content","Currency","Number","Percent","Text","URL"}, $B90))) &gt; 0,$B90 &amp; "(" &amp; $C90 &amp; ")",$B90)))), "  ", TRIM(IF($S90 = "YES", "(External ID)", "") &amp; " " &amp; IF(SUMPRODUCT(-- ISNUMBER(SEARCH({"Unique","Unique Case Insensitive"}, $R90))) &gt; 0, "(" &amp; $R90 &amp; ")", ""))))</f>
        <v>na</v>
      </c>
      <c r="E90" s="7" t="s">
        <v>195</v>
      </c>
      <c r="F90" s="7" t="s">
        <v>195</v>
      </c>
      <c r="G90" s="7" t="s">
        <v>195</v>
      </c>
      <c r="H90" s="7" t="s">
        <v>195</v>
      </c>
      <c r="I90" s="7" t="s">
        <v>195</v>
      </c>
      <c r="J90" s="7" t="s">
        <v>195</v>
      </c>
      <c r="K90" s="7" t="s">
        <v>195</v>
      </c>
      <c r="L90" s="7" t="s">
        <v>195</v>
      </c>
      <c r="M90" s="7" t="s">
        <v>29</v>
      </c>
      <c r="N90" s="7" t="s">
        <v>29</v>
      </c>
      <c r="O90" s="7" t="s">
        <v>29</v>
      </c>
      <c r="P90" s="7" t="s">
        <v>29</v>
      </c>
      <c r="Q90" s="7" t="s">
        <v>29</v>
      </c>
      <c r="R90" s="7" t="s">
        <v>29</v>
      </c>
      <c r="S90" s="7" t="s">
        <v>29</v>
      </c>
    </row>
    <row r="91" spans="2:19">
      <c r="B91" s="9" t="s">
        <v>195</v>
      </c>
      <c r="C91" s="7" t="s">
        <v>195</v>
      </c>
      <c r="D91" s="5" t="str">
        <f>LRTRIM(CONCATENATE(IF(SUMPRODUCT(-- ISNUMBER(SEARCH({"Auto Number"}, $B91))) &gt; 0, $B91, IF(SUMPRODUCT(-- ISNUMBER(SEARCH({"Lookup","Master-Detail"}, $B91))) &gt; 0,$B91 &amp; "(" &amp; $E91 &amp; ")",IF(SUMPRODUCT(-- ISNUMBER(SEARCH({"Formula","Roll-Up Summary"}, $B91))) &gt; 0,$B91 &amp; " (" &amp; $E91 &amp; ")",IF(SUMPRODUCT(-- ISNUMBER(SEARCH({"Content","Currency","Number","Percent","Text","URL"}, $B91))) &gt; 0,$B91 &amp; "(" &amp; $C91 &amp; ")",$B91)))), "  ", TRIM(IF($S91 = "YES", "(External ID)", "") &amp; " " &amp; IF(SUMPRODUCT(-- ISNUMBER(SEARCH({"Unique","Unique Case Insensitive"}, $R91))) &gt; 0, "(" &amp; $R91 &amp; ")", ""))))</f>
        <v>na</v>
      </c>
      <c r="E91" s="7" t="s">
        <v>195</v>
      </c>
      <c r="F91" s="7" t="s">
        <v>195</v>
      </c>
      <c r="G91" s="7" t="s">
        <v>195</v>
      </c>
      <c r="H91" s="7" t="s">
        <v>195</v>
      </c>
      <c r="I91" s="7" t="s">
        <v>195</v>
      </c>
      <c r="J91" s="7" t="s">
        <v>195</v>
      </c>
      <c r="K91" s="7" t="s">
        <v>195</v>
      </c>
      <c r="L91" s="7" t="s">
        <v>195</v>
      </c>
      <c r="M91" s="7" t="s">
        <v>29</v>
      </c>
      <c r="N91" s="7" t="s">
        <v>29</v>
      </c>
      <c r="O91" s="7" t="s">
        <v>29</v>
      </c>
      <c r="P91" s="7" t="s">
        <v>29</v>
      </c>
      <c r="Q91" s="7" t="s">
        <v>29</v>
      </c>
      <c r="R91" s="7" t="s">
        <v>29</v>
      </c>
      <c r="S91" s="7" t="s">
        <v>29</v>
      </c>
    </row>
    <row r="92" spans="2:19">
      <c r="B92" s="9" t="s">
        <v>195</v>
      </c>
      <c r="C92" s="7" t="s">
        <v>195</v>
      </c>
      <c r="D92" s="5" t="str">
        <f>LRTRIM(CONCATENATE(IF(SUMPRODUCT(-- ISNUMBER(SEARCH({"Auto Number"}, $B92))) &gt; 0, $B92, IF(SUMPRODUCT(-- ISNUMBER(SEARCH({"Lookup","Master-Detail"}, $B92))) &gt; 0,$B92 &amp; "(" &amp; $E92 &amp; ")",IF(SUMPRODUCT(-- ISNUMBER(SEARCH({"Formula","Roll-Up Summary"}, $B92))) &gt; 0,$B92 &amp; " (" &amp; $E92 &amp; ")",IF(SUMPRODUCT(-- ISNUMBER(SEARCH({"Content","Currency","Number","Percent","Text","URL"}, $B92))) &gt; 0,$B92 &amp; "(" &amp; $C92 &amp; ")",$B92)))), "  ", TRIM(IF($S92 = "YES", "(External ID)", "") &amp; " " &amp; IF(SUMPRODUCT(-- ISNUMBER(SEARCH({"Unique","Unique Case Insensitive"}, $R92))) &gt; 0, "(" &amp; $R92 &amp; ")", ""))))</f>
        <v>na</v>
      </c>
      <c r="E92" s="7" t="s">
        <v>195</v>
      </c>
      <c r="F92" s="7" t="s">
        <v>195</v>
      </c>
      <c r="G92" s="7" t="s">
        <v>195</v>
      </c>
      <c r="H92" s="7" t="s">
        <v>195</v>
      </c>
      <c r="I92" s="7" t="s">
        <v>195</v>
      </c>
      <c r="J92" s="7" t="s">
        <v>195</v>
      </c>
      <c r="K92" s="7" t="s">
        <v>195</v>
      </c>
      <c r="L92" s="7" t="s">
        <v>195</v>
      </c>
      <c r="M92" s="7" t="s">
        <v>29</v>
      </c>
      <c r="N92" s="7" t="s">
        <v>29</v>
      </c>
      <c r="O92" s="7" t="s">
        <v>29</v>
      </c>
      <c r="P92" s="7" t="s">
        <v>29</v>
      </c>
      <c r="Q92" s="7" t="s">
        <v>29</v>
      </c>
      <c r="R92" s="7" t="s">
        <v>29</v>
      </c>
      <c r="S92" s="7" t="s">
        <v>29</v>
      </c>
    </row>
    <row r="93" spans="2:19">
      <c r="B93" s="9" t="s">
        <v>195</v>
      </c>
      <c r="C93" s="7" t="s">
        <v>195</v>
      </c>
      <c r="D93" s="5" t="str">
        <f>LRTRIM(CONCATENATE(IF(SUMPRODUCT(-- ISNUMBER(SEARCH({"Auto Number"}, $B93))) &gt; 0, $B93, IF(SUMPRODUCT(-- ISNUMBER(SEARCH({"Lookup","Master-Detail"}, $B93))) &gt; 0,$B93 &amp; "(" &amp; $E93 &amp; ")",IF(SUMPRODUCT(-- ISNUMBER(SEARCH({"Formula","Roll-Up Summary"}, $B93))) &gt; 0,$B93 &amp; " (" &amp; $E93 &amp; ")",IF(SUMPRODUCT(-- ISNUMBER(SEARCH({"Content","Currency","Number","Percent","Text","URL"}, $B93))) &gt; 0,$B93 &amp; "(" &amp; $C93 &amp; ")",$B93)))), "  ", TRIM(IF($S93 = "YES", "(External ID)", "") &amp; " " &amp; IF(SUMPRODUCT(-- ISNUMBER(SEARCH({"Unique","Unique Case Insensitive"}, $R93))) &gt; 0, "(" &amp; $R93 &amp; ")", ""))))</f>
        <v>na</v>
      </c>
      <c r="E93" s="7" t="s">
        <v>195</v>
      </c>
      <c r="F93" s="7" t="s">
        <v>195</v>
      </c>
      <c r="G93" s="7" t="s">
        <v>195</v>
      </c>
      <c r="H93" s="7" t="s">
        <v>195</v>
      </c>
      <c r="I93" s="7" t="s">
        <v>195</v>
      </c>
      <c r="J93" s="7" t="s">
        <v>195</v>
      </c>
      <c r="K93" s="7" t="s">
        <v>195</v>
      </c>
      <c r="L93" s="7" t="s">
        <v>195</v>
      </c>
      <c r="M93" s="7" t="s">
        <v>29</v>
      </c>
      <c r="N93" s="7" t="s">
        <v>29</v>
      </c>
      <c r="O93" s="7" t="s">
        <v>29</v>
      </c>
      <c r="P93" s="7" t="s">
        <v>29</v>
      </c>
      <c r="Q93" s="7" t="s">
        <v>29</v>
      </c>
      <c r="R93" s="7" t="s">
        <v>29</v>
      </c>
      <c r="S93" s="7" t="s">
        <v>29</v>
      </c>
    </row>
    <row r="94" spans="2:19">
      <c r="B94" s="9" t="s">
        <v>195</v>
      </c>
      <c r="C94" s="7" t="s">
        <v>195</v>
      </c>
      <c r="D94" s="5" t="str">
        <f>LRTRIM(CONCATENATE(IF(SUMPRODUCT(-- ISNUMBER(SEARCH({"Auto Number"}, $B94))) &gt; 0, $B94, IF(SUMPRODUCT(-- ISNUMBER(SEARCH({"Lookup","Master-Detail"}, $B94))) &gt; 0,$B94 &amp; "(" &amp; $E94 &amp; ")",IF(SUMPRODUCT(-- ISNUMBER(SEARCH({"Formula","Roll-Up Summary"}, $B94))) &gt; 0,$B94 &amp; " (" &amp; $E94 &amp; ")",IF(SUMPRODUCT(-- ISNUMBER(SEARCH({"Content","Currency","Number","Percent","Text","URL"}, $B94))) &gt; 0,$B94 &amp; "(" &amp; $C94 &amp; ")",$B94)))), "  ", TRIM(IF($S94 = "YES", "(External ID)", "") &amp; " " &amp; IF(SUMPRODUCT(-- ISNUMBER(SEARCH({"Unique","Unique Case Insensitive"}, $R94))) &gt; 0, "(" &amp; $R94 &amp; ")", ""))))</f>
        <v>na</v>
      </c>
      <c r="E94" s="7" t="s">
        <v>195</v>
      </c>
      <c r="F94" s="7" t="s">
        <v>195</v>
      </c>
      <c r="G94" s="7" t="s">
        <v>195</v>
      </c>
      <c r="H94" s="7" t="s">
        <v>195</v>
      </c>
      <c r="I94" s="7" t="s">
        <v>195</v>
      </c>
      <c r="J94" s="7" t="s">
        <v>195</v>
      </c>
      <c r="K94" s="7" t="s">
        <v>195</v>
      </c>
      <c r="L94" s="7" t="s">
        <v>195</v>
      </c>
      <c r="M94" s="7" t="s">
        <v>29</v>
      </c>
      <c r="N94" s="7" t="s">
        <v>29</v>
      </c>
      <c r="O94" s="7" t="s">
        <v>29</v>
      </c>
      <c r="P94" s="7" t="s">
        <v>29</v>
      </c>
      <c r="Q94" s="7" t="s">
        <v>29</v>
      </c>
      <c r="R94" s="7" t="s">
        <v>29</v>
      </c>
      <c r="S94" s="7" t="s">
        <v>29</v>
      </c>
    </row>
    <row r="95" spans="2:19">
      <c r="B95" s="9" t="s">
        <v>195</v>
      </c>
      <c r="C95" s="7" t="s">
        <v>195</v>
      </c>
      <c r="D95" s="5" t="str">
        <f>LRTRIM(CONCATENATE(IF(SUMPRODUCT(-- ISNUMBER(SEARCH({"Auto Number"}, $B95))) &gt; 0, $B95, IF(SUMPRODUCT(-- ISNUMBER(SEARCH({"Lookup","Master-Detail"}, $B95))) &gt; 0,$B95 &amp; "(" &amp; $E95 &amp; ")",IF(SUMPRODUCT(-- ISNUMBER(SEARCH({"Formula","Roll-Up Summary"}, $B95))) &gt; 0,$B95 &amp; " (" &amp; $E95 &amp; ")",IF(SUMPRODUCT(-- ISNUMBER(SEARCH({"Content","Currency","Number","Percent","Text","URL"}, $B95))) &gt; 0,$B95 &amp; "(" &amp; $C95 &amp; ")",$B95)))), "  ", TRIM(IF($S95 = "YES", "(External ID)", "") &amp; " " &amp; IF(SUMPRODUCT(-- ISNUMBER(SEARCH({"Unique","Unique Case Insensitive"}, $R95))) &gt; 0, "(" &amp; $R95 &amp; ")", ""))))</f>
        <v>na</v>
      </c>
      <c r="E95" s="7" t="s">
        <v>195</v>
      </c>
      <c r="F95" s="7" t="s">
        <v>195</v>
      </c>
      <c r="G95" s="7" t="s">
        <v>195</v>
      </c>
      <c r="H95" s="7" t="s">
        <v>195</v>
      </c>
      <c r="I95" s="7" t="s">
        <v>195</v>
      </c>
      <c r="J95" s="7" t="s">
        <v>195</v>
      </c>
      <c r="K95" s="7" t="s">
        <v>195</v>
      </c>
      <c r="L95" s="7" t="s">
        <v>195</v>
      </c>
      <c r="M95" s="7" t="s">
        <v>29</v>
      </c>
      <c r="N95" s="7" t="s">
        <v>29</v>
      </c>
      <c r="O95" s="7" t="s">
        <v>29</v>
      </c>
      <c r="P95" s="7" t="s">
        <v>29</v>
      </c>
      <c r="Q95" s="7" t="s">
        <v>29</v>
      </c>
      <c r="R95" s="7" t="s">
        <v>29</v>
      </c>
      <c r="S95" s="7" t="s">
        <v>29</v>
      </c>
    </row>
    <row r="96" spans="2:19">
      <c r="B96" s="9" t="s">
        <v>195</v>
      </c>
      <c r="C96" s="7" t="s">
        <v>195</v>
      </c>
      <c r="D96" s="5" t="str">
        <f>LRTRIM(CONCATENATE(IF(SUMPRODUCT(-- ISNUMBER(SEARCH({"Auto Number"}, $B96))) &gt; 0, $B96, IF(SUMPRODUCT(-- ISNUMBER(SEARCH({"Lookup","Master-Detail"}, $B96))) &gt; 0,$B96 &amp; "(" &amp; $E96 &amp; ")",IF(SUMPRODUCT(-- ISNUMBER(SEARCH({"Formula","Roll-Up Summary"}, $B96))) &gt; 0,$B96 &amp; " (" &amp; $E96 &amp; ")",IF(SUMPRODUCT(-- ISNUMBER(SEARCH({"Content","Currency","Number","Percent","Text","URL"}, $B96))) &gt; 0,$B96 &amp; "(" &amp; $C96 &amp; ")",$B96)))), "  ", TRIM(IF($S96 = "YES", "(External ID)", "") &amp; " " &amp; IF(SUMPRODUCT(-- ISNUMBER(SEARCH({"Unique","Unique Case Insensitive"}, $R96))) &gt; 0, "(" &amp; $R96 &amp; ")", ""))))</f>
        <v>na</v>
      </c>
      <c r="E96" s="7" t="s">
        <v>195</v>
      </c>
      <c r="F96" s="7" t="s">
        <v>195</v>
      </c>
      <c r="G96" s="7" t="s">
        <v>195</v>
      </c>
      <c r="H96" s="7" t="s">
        <v>195</v>
      </c>
      <c r="I96" s="7" t="s">
        <v>195</v>
      </c>
      <c r="J96" s="7" t="s">
        <v>195</v>
      </c>
      <c r="K96" s="7" t="s">
        <v>195</v>
      </c>
      <c r="L96" s="7" t="s">
        <v>195</v>
      </c>
      <c r="M96" s="7" t="s">
        <v>29</v>
      </c>
      <c r="N96" s="7" t="s">
        <v>29</v>
      </c>
      <c r="O96" s="7" t="s">
        <v>29</v>
      </c>
      <c r="P96" s="7" t="s">
        <v>29</v>
      </c>
      <c r="Q96" s="7" t="s">
        <v>29</v>
      </c>
      <c r="R96" s="7" t="s">
        <v>29</v>
      </c>
      <c r="S96" s="7" t="s">
        <v>29</v>
      </c>
    </row>
    <row r="97" spans="2:19">
      <c r="B97" s="9" t="s">
        <v>195</v>
      </c>
      <c r="C97" s="7" t="s">
        <v>195</v>
      </c>
      <c r="D97" s="5" t="str">
        <f>LRTRIM(CONCATENATE(IF(SUMPRODUCT(-- ISNUMBER(SEARCH({"Auto Number"}, $B97))) &gt; 0, $B97, IF(SUMPRODUCT(-- ISNUMBER(SEARCH({"Lookup","Master-Detail"}, $B97))) &gt; 0,$B97 &amp; "(" &amp; $E97 &amp; ")",IF(SUMPRODUCT(-- ISNUMBER(SEARCH({"Formula","Roll-Up Summary"}, $B97))) &gt; 0,$B97 &amp; " (" &amp; $E97 &amp; ")",IF(SUMPRODUCT(-- ISNUMBER(SEARCH({"Content","Currency","Number","Percent","Text","URL"}, $B97))) &gt; 0,$B97 &amp; "(" &amp; $C97 &amp; ")",$B97)))), "  ", TRIM(IF($S97 = "YES", "(External ID)", "") &amp; " " &amp; IF(SUMPRODUCT(-- ISNUMBER(SEARCH({"Unique","Unique Case Insensitive"}, $R97))) &gt; 0, "(" &amp; $R97 &amp; ")", ""))))</f>
        <v>na</v>
      </c>
      <c r="E97" s="7" t="s">
        <v>195</v>
      </c>
      <c r="F97" s="7" t="s">
        <v>195</v>
      </c>
      <c r="G97" s="7" t="s">
        <v>195</v>
      </c>
      <c r="H97" s="7" t="s">
        <v>195</v>
      </c>
      <c r="I97" s="7" t="s">
        <v>195</v>
      </c>
      <c r="J97" s="7" t="s">
        <v>195</v>
      </c>
      <c r="K97" s="7" t="s">
        <v>195</v>
      </c>
      <c r="L97" s="7" t="s">
        <v>195</v>
      </c>
      <c r="M97" s="7" t="s">
        <v>29</v>
      </c>
      <c r="N97" s="7" t="s">
        <v>29</v>
      </c>
      <c r="O97" s="7" t="s">
        <v>29</v>
      </c>
      <c r="P97" s="7" t="s">
        <v>29</v>
      </c>
      <c r="Q97" s="7" t="s">
        <v>29</v>
      </c>
      <c r="R97" s="7" t="s">
        <v>29</v>
      </c>
      <c r="S97" s="7" t="s">
        <v>29</v>
      </c>
    </row>
    <row r="98" spans="2:19">
      <c r="B98" s="9" t="s">
        <v>195</v>
      </c>
      <c r="C98" s="7" t="s">
        <v>195</v>
      </c>
      <c r="D98" s="5" t="str">
        <f>LRTRIM(CONCATENATE(IF(SUMPRODUCT(-- ISNUMBER(SEARCH({"Auto Number"}, $B98))) &gt; 0, $B98, IF(SUMPRODUCT(-- ISNUMBER(SEARCH({"Lookup","Master-Detail"}, $B98))) &gt; 0,$B98 &amp; "(" &amp; $E98 &amp; ")",IF(SUMPRODUCT(-- ISNUMBER(SEARCH({"Formula","Roll-Up Summary"}, $B98))) &gt; 0,$B98 &amp; " (" &amp; $E98 &amp; ")",IF(SUMPRODUCT(-- ISNUMBER(SEARCH({"Content","Currency","Number","Percent","Text","URL"}, $B98))) &gt; 0,$B98 &amp; "(" &amp; $C98 &amp; ")",$B98)))), "  ", TRIM(IF($S98 = "YES", "(External ID)", "") &amp; " " &amp; IF(SUMPRODUCT(-- ISNUMBER(SEARCH({"Unique","Unique Case Insensitive"}, $R98))) &gt; 0, "(" &amp; $R98 &amp; ")", ""))))</f>
        <v>na</v>
      </c>
      <c r="E98" s="7" t="s">
        <v>195</v>
      </c>
      <c r="F98" s="7" t="s">
        <v>195</v>
      </c>
      <c r="G98" s="7" t="s">
        <v>195</v>
      </c>
      <c r="H98" s="7" t="s">
        <v>195</v>
      </c>
      <c r="I98" s="7" t="s">
        <v>195</v>
      </c>
      <c r="J98" s="7" t="s">
        <v>195</v>
      </c>
      <c r="K98" s="7" t="s">
        <v>195</v>
      </c>
      <c r="L98" s="7" t="s">
        <v>195</v>
      </c>
      <c r="M98" s="7" t="s">
        <v>29</v>
      </c>
      <c r="N98" s="7" t="s">
        <v>29</v>
      </c>
      <c r="O98" s="7" t="s">
        <v>29</v>
      </c>
      <c r="P98" s="7" t="s">
        <v>29</v>
      </c>
      <c r="Q98" s="7" t="s">
        <v>29</v>
      </c>
      <c r="R98" s="7" t="s">
        <v>29</v>
      </c>
      <c r="S98" s="7" t="s">
        <v>29</v>
      </c>
    </row>
    <row r="99" spans="2:19">
      <c r="B99" s="9" t="s">
        <v>195</v>
      </c>
      <c r="C99" s="7" t="s">
        <v>195</v>
      </c>
      <c r="D99" s="5" t="str">
        <f>LRTRIM(CONCATENATE(IF(SUMPRODUCT(-- ISNUMBER(SEARCH({"Auto Number"}, $B99))) &gt; 0, $B99, IF(SUMPRODUCT(-- ISNUMBER(SEARCH({"Lookup","Master-Detail"}, $B99))) &gt; 0,$B99 &amp; "(" &amp; $E99 &amp; ")",IF(SUMPRODUCT(-- ISNUMBER(SEARCH({"Formula","Roll-Up Summary"}, $B99))) &gt; 0,$B99 &amp; " (" &amp; $E99 &amp; ")",IF(SUMPRODUCT(-- ISNUMBER(SEARCH({"Content","Currency","Number","Percent","Text","URL"}, $B99))) &gt; 0,$B99 &amp; "(" &amp; $C99 &amp; ")",$B99)))), "  ", TRIM(IF($S99 = "YES", "(External ID)", "") &amp; " " &amp; IF(SUMPRODUCT(-- ISNUMBER(SEARCH({"Unique","Unique Case Insensitive"}, $R99))) &gt; 0, "(" &amp; $R99 &amp; ")", ""))))</f>
        <v>na</v>
      </c>
      <c r="E99" s="7" t="s">
        <v>195</v>
      </c>
      <c r="F99" s="7" t="s">
        <v>195</v>
      </c>
      <c r="G99" s="7" t="s">
        <v>195</v>
      </c>
      <c r="H99" s="7" t="s">
        <v>195</v>
      </c>
      <c r="I99" s="7" t="s">
        <v>195</v>
      </c>
      <c r="J99" s="7" t="s">
        <v>195</v>
      </c>
      <c r="K99" s="7" t="s">
        <v>195</v>
      </c>
      <c r="L99" s="7" t="s">
        <v>195</v>
      </c>
      <c r="M99" s="7" t="s">
        <v>29</v>
      </c>
      <c r="N99" s="7" t="s">
        <v>29</v>
      </c>
      <c r="O99" s="7" t="s">
        <v>29</v>
      </c>
      <c r="P99" s="7" t="s">
        <v>29</v>
      </c>
      <c r="Q99" s="7" t="s">
        <v>29</v>
      </c>
      <c r="R99" s="7" t="s">
        <v>29</v>
      </c>
      <c r="S99" s="7" t="s">
        <v>29</v>
      </c>
    </row>
    <row r="100" spans="2:19">
      <c r="B100" s="9" t="s">
        <v>195</v>
      </c>
      <c r="C100" s="7" t="s">
        <v>195</v>
      </c>
      <c r="D100" s="5" t="str">
        <f>LRTRIM(CONCATENATE(IF(SUMPRODUCT(-- ISNUMBER(SEARCH({"Auto Number"}, $B100))) &gt; 0, $B100, IF(SUMPRODUCT(-- ISNUMBER(SEARCH({"Lookup","Master-Detail"}, $B100))) &gt; 0,$B100 &amp; "(" &amp; $E100 &amp; ")",IF(SUMPRODUCT(-- ISNUMBER(SEARCH({"Formula","Roll-Up Summary"}, $B100))) &gt; 0,$B100 &amp; " (" &amp; $E100 &amp; ")",IF(SUMPRODUCT(-- ISNUMBER(SEARCH({"Content","Currency","Number","Percent","Text","URL"}, $B100))) &gt; 0,$B100 &amp; "(" &amp; $C100 &amp; ")",$B100)))), "  ", TRIM(IF($S100 = "YES", "(External ID)", "") &amp; " " &amp; IF(SUMPRODUCT(-- ISNUMBER(SEARCH({"Unique","Unique Case Insensitive"}, $R100))) &gt; 0, "(" &amp; $R100 &amp; ")", ""))))</f>
        <v>na</v>
      </c>
      <c r="E100" s="7" t="s">
        <v>195</v>
      </c>
      <c r="F100" s="7" t="s">
        <v>195</v>
      </c>
      <c r="G100" s="7" t="s">
        <v>195</v>
      </c>
      <c r="H100" s="7" t="s">
        <v>195</v>
      </c>
      <c r="I100" s="7" t="s">
        <v>195</v>
      </c>
      <c r="J100" s="7" t="s">
        <v>195</v>
      </c>
      <c r="K100" s="7" t="s">
        <v>195</v>
      </c>
      <c r="L100" s="7" t="s">
        <v>195</v>
      </c>
      <c r="M100" s="7" t="s">
        <v>29</v>
      </c>
      <c r="N100" s="7" t="s">
        <v>29</v>
      </c>
      <c r="O100" s="7" t="s">
        <v>29</v>
      </c>
      <c r="P100" s="7" t="s">
        <v>29</v>
      </c>
      <c r="Q100" s="7" t="s">
        <v>29</v>
      </c>
      <c r="R100" s="7" t="s">
        <v>29</v>
      </c>
      <c r="S100" s="7" t="s">
        <v>29</v>
      </c>
    </row>
    <row r="101" spans="2:19">
      <c r="B101" s="9" t="s">
        <v>195</v>
      </c>
      <c r="C101" s="7" t="s">
        <v>195</v>
      </c>
      <c r="D101" s="5" t="str">
        <f>LRTRIM(CONCATENATE(IF(SUMPRODUCT(-- ISNUMBER(SEARCH({"Auto Number"}, $B101))) &gt; 0, $B101, IF(SUMPRODUCT(-- ISNUMBER(SEARCH({"Lookup","Master-Detail"}, $B101))) &gt; 0,$B101 &amp; "(" &amp; $E101 &amp; ")",IF(SUMPRODUCT(-- ISNUMBER(SEARCH({"Formula","Roll-Up Summary"}, $B101))) &gt; 0,$B101 &amp; " (" &amp; $E101 &amp; ")",IF(SUMPRODUCT(-- ISNUMBER(SEARCH({"Content","Currency","Number","Percent","Text","URL"}, $B101))) &gt; 0,$B101 &amp; "(" &amp; $C101 &amp; ")",$B101)))), "  ", TRIM(IF($S101 = "YES", "(External ID)", "") &amp; " " &amp; IF(SUMPRODUCT(-- ISNUMBER(SEARCH({"Unique","Unique Case Insensitive"}, $R101))) &gt; 0, "(" &amp; $R101 &amp; ")", ""))))</f>
        <v>na</v>
      </c>
      <c r="E101" s="7" t="s">
        <v>195</v>
      </c>
      <c r="F101" s="7" t="s">
        <v>195</v>
      </c>
      <c r="G101" s="7" t="s">
        <v>195</v>
      </c>
      <c r="H101" s="7" t="s">
        <v>195</v>
      </c>
      <c r="I101" s="7" t="s">
        <v>195</v>
      </c>
      <c r="J101" s="7" t="s">
        <v>195</v>
      </c>
      <c r="K101" s="7" t="s">
        <v>195</v>
      </c>
      <c r="L101" s="7" t="s">
        <v>195</v>
      </c>
      <c r="M101" s="7" t="s">
        <v>29</v>
      </c>
      <c r="N101" s="7" t="s">
        <v>29</v>
      </c>
      <c r="O101" s="7" t="s">
        <v>29</v>
      </c>
      <c r="P101" s="7" t="s">
        <v>29</v>
      </c>
      <c r="Q101" s="7" t="s">
        <v>29</v>
      </c>
      <c r="R101" s="7" t="s">
        <v>29</v>
      </c>
      <c r="S101" s="7" t="s">
        <v>29</v>
      </c>
    </row>
    <row r="102" spans="2:19">
      <c r="B102" s="9" t="s">
        <v>195</v>
      </c>
      <c r="C102" s="7" t="s">
        <v>195</v>
      </c>
      <c r="D102" s="5" t="str">
        <f>LRTRIM(CONCATENATE(IF(SUMPRODUCT(-- ISNUMBER(SEARCH({"Auto Number"}, $B102))) &gt; 0, $B102, IF(SUMPRODUCT(-- ISNUMBER(SEARCH({"Lookup","Master-Detail"}, $B102))) &gt; 0,$B102 &amp; "(" &amp; $E102 &amp; ")",IF(SUMPRODUCT(-- ISNUMBER(SEARCH({"Formula","Roll-Up Summary"}, $B102))) &gt; 0,$B102 &amp; " (" &amp; $E102 &amp; ")",IF(SUMPRODUCT(-- ISNUMBER(SEARCH({"Content","Currency","Number","Percent","Text","URL"}, $B102))) &gt; 0,$B102 &amp; "(" &amp; $C102 &amp; ")",$B102)))), "  ", TRIM(IF($S102 = "YES", "(External ID)", "") &amp; " " &amp; IF(SUMPRODUCT(-- ISNUMBER(SEARCH({"Unique","Unique Case Insensitive"}, $R102))) &gt; 0, "(" &amp; $R102 &amp; ")", ""))))</f>
        <v>na</v>
      </c>
      <c r="E102" s="7" t="s">
        <v>195</v>
      </c>
      <c r="F102" s="7" t="s">
        <v>195</v>
      </c>
      <c r="G102" s="7" t="s">
        <v>195</v>
      </c>
      <c r="H102" s="7" t="s">
        <v>195</v>
      </c>
      <c r="I102" s="7" t="s">
        <v>195</v>
      </c>
      <c r="J102" s="7" t="s">
        <v>195</v>
      </c>
      <c r="K102" s="7" t="s">
        <v>195</v>
      </c>
      <c r="L102" s="7" t="s">
        <v>195</v>
      </c>
      <c r="M102" s="7" t="s">
        <v>29</v>
      </c>
      <c r="N102" s="7" t="s">
        <v>29</v>
      </c>
      <c r="O102" s="7" t="s">
        <v>29</v>
      </c>
      <c r="P102" s="7" t="s">
        <v>29</v>
      </c>
      <c r="Q102" s="7" t="s">
        <v>29</v>
      </c>
      <c r="R102" s="7" t="s">
        <v>29</v>
      </c>
      <c r="S102" s="7" t="s">
        <v>29</v>
      </c>
    </row>
    <row r="103" spans="2:19">
      <c r="B103" s="9" t="s">
        <v>195</v>
      </c>
      <c r="C103" s="7" t="s">
        <v>195</v>
      </c>
      <c r="D103" s="5" t="str">
        <f>LRTRIM(CONCATENATE(IF(SUMPRODUCT(-- ISNUMBER(SEARCH({"Auto Number"}, $B103))) &gt; 0, $B103, IF(SUMPRODUCT(-- ISNUMBER(SEARCH({"Lookup","Master-Detail"}, $B103))) &gt; 0,$B103 &amp; "(" &amp; $E103 &amp; ")",IF(SUMPRODUCT(-- ISNUMBER(SEARCH({"Formula","Roll-Up Summary"}, $B103))) &gt; 0,$B103 &amp; " (" &amp; $E103 &amp; ")",IF(SUMPRODUCT(-- ISNUMBER(SEARCH({"Content","Currency","Number","Percent","Text","URL"}, $B103))) &gt; 0,$B103 &amp; "(" &amp; $C103 &amp; ")",$B103)))), "  ", TRIM(IF($S103 = "YES", "(External ID)", "") &amp; " " &amp; IF(SUMPRODUCT(-- ISNUMBER(SEARCH({"Unique","Unique Case Insensitive"}, $R103))) &gt; 0, "(" &amp; $R103 &amp; ")", ""))))</f>
        <v>na</v>
      </c>
      <c r="E103" s="7" t="s">
        <v>195</v>
      </c>
      <c r="F103" s="7" t="s">
        <v>195</v>
      </c>
      <c r="G103" s="7" t="s">
        <v>195</v>
      </c>
      <c r="H103" s="7" t="s">
        <v>195</v>
      </c>
      <c r="I103" s="7" t="s">
        <v>195</v>
      </c>
      <c r="J103" s="7" t="s">
        <v>195</v>
      </c>
      <c r="K103" s="7" t="s">
        <v>195</v>
      </c>
      <c r="L103" s="7" t="s">
        <v>195</v>
      </c>
      <c r="M103" s="7" t="s">
        <v>29</v>
      </c>
      <c r="N103" s="7" t="s">
        <v>29</v>
      </c>
      <c r="O103" s="7" t="s">
        <v>29</v>
      </c>
      <c r="P103" s="7" t="s">
        <v>29</v>
      </c>
      <c r="Q103" s="7" t="s">
        <v>29</v>
      </c>
      <c r="R103" s="7" t="s">
        <v>29</v>
      </c>
      <c r="S103" s="7" t="s">
        <v>29</v>
      </c>
    </row>
    <row r="104" spans="2:19">
      <c r="B104" s="9" t="s">
        <v>195</v>
      </c>
      <c r="C104" s="7" t="s">
        <v>195</v>
      </c>
      <c r="D104" s="5" t="str">
        <f>LRTRIM(CONCATENATE(IF(SUMPRODUCT(-- ISNUMBER(SEARCH({"Auto Number"}, $B104))) &gt; 0, $B104, IF(SUMPRODUCT(-- ISNUMBER(SEARCH({"Lookup","Master-Detail"}, $B104))) &gt; 0,$B104 &amp; "(" &amp; $E104 &amp; ")",IF(SUMPRODUCT(-- ISNUMBER(SEARCH({"Formula","Roll-Up Summary"}, $B104))) &gt; 0,$B104 &amp; " (" &amp; $E104 &amp; ")",IF(SUMPRODUCT(-- ISNUMBER(SEARCH({"Content","Currency","Number","Percent","Text","URL"}, $B104))) &gt; 0,$B104 &amp; "(" &amp; $C104 &amp; ")",$B104)))), "  ", TRIM(IF($S104 = "YES", "(External ID)", "") &amp; " " &amp; IF(SUMPRODUCT(-- ISNUMBER(SEARCH({"Unique","Unique Case Insensitive"}, $R104))) &gt; 0, "(" &amp; $R104 &amp; ")", ""))))</f>
        <v>na</v>
      </c>
      <c r="E104" s="7" t="s">
        <v>195</v>
      </c>
      <c r="F104" s="7" t="s">
        <v>195</v>
      </c>
      <c r="G104" s="7" t="s">
        <v>195</v>
      </c>
      <c r="H104" s="7" t="s">
        <v>195</v>
      </c>
      <c r="I104" s="7" t="s">
        <v>195</v>
      </c>
      <c r="J104" s="7" t="s">
        <v>195</v>
      </c>
      <c r="K104" s="7" t="s">
        <v>195</v>
      </c>
      <c r="L104" s="7" t="s">
        <v>195</v>
      </c>
      <c r="M104" s="7" t="s">
        <v>29</v>
      </c>
      <c r="N104" s="7" t="s">
        <v>29</v>
      </c>
      <c r="O104" s="7" t="s">
        <v>29</v>
      </c>
      <c r="P104" s="7" t="s">
        <v>29</v>
      </c>
      <c r="Q104" s="7" t="s">
        <v>29</v>
      </c>
      <c r="R104" s="7" t="s">
        <v>29</v>
      </c>
      <c r="S104" s="7" t="s">
        <v>29</v>
      </c>
    </row>
    <row r="105" spans="2:19">
      <c r="B105" s="9" t="s">
        <v>195</v>
      </c>
      <c r="C105" s="7" t="s">
        <v>195</v>
      </c>
      <c r="D105" s="5" t="str">
        <f>LRTRIM(CONCATENATE(IF(SUMPRODUCT(-- ISNUMBER(SEARCH({"Auto Number"}, $B105))) &gt; 0, $B105, IF(SUMPRODUCT(-- ISNUMBER(SEARCH({"Lookup","Master-Detail"}, $B105))) &gt; 0,$B105 &amp; "(" &amp; $E105 &amp; ")",IF(SUMPRODUCT(-- ISNUMBER(SEARCH({"Formula","Roll-Up Summary"}, $B105))) &gt; 0,$B105 &amp; " (" &amp; $E105 &amp; ")",IF(SUMPRODUCT(-- ISNUMBER(SEARCH({"Content","Currency","Number","Percent","Text","URL"}, $B105))) &gt; 0,$B105 &amp; "(" &amp; $C105 &amp; ")",$B105)))), "  ", TRIM(IF($S105 = "YES", "(External ID)", "") &amp; " " &amp; IF(SUMPRODUCT(-- ISNUMBER(SEARCH({"Unique","Unique Case Insensitive"}, $R105))) &gt; 0, "(" &amp; $R105 &amp; ")", ""))))</f>
        <v>na</v>
      </c>
      <c r="E105" s="7" t="s">
        <v>195</v>
      </c>
      <c r="F105" s="7" t="s">
        <v>195</v>
      </c>
      <c r="G105" s="7" t="s">
        <v>195</v>
      </c>
      <c r="H105" s="7" t="s">
        <v>195</v>
      </c>
      <c r="I105" s="7" t="s">
        <v>195</v>
      </c>
      <c r="J105" s="7" t="s">
        <v>195</v>
      </c>
      <c r="K105" s="7" t="s">
        <v>195</v>
      </c>
      <c r="L105" s="7" t="s">
        <v>195</v>
      </c>
      <c r="M105" s="7" t="s">
        <v>29</v>
      </c>
      <c r="N105" s="7" t="s">
        <v>29</v>
      </c>
      <c r="O105" s="7" t="s">
        <v>29</v>
      </c>
      <c r="P105" s="7" t="s">
        <v>29</v>
      </c>
      <c r="Q105" s="7" t="s">
        <v>29</v>
      </c>
      <c r="R105" s="7" t="s">
        <v>29</v>
      </c>
      <c r="S105" s="7" t="s">
        <v>29</v>
      </c>
    </row>
    <row r="106" spans="2:19">
      <c r="B106" s="9" t="s">
        <v>195</v>
      </c>
      <c r="C106" s="7" t="s">
        <v>195</v>
      </c>
      <c r="D106" s="5" t="str">
        <f>LRTRIM(CONCATENATE(IF(SUMPRODUCT(-- ISNUMBER(SEARCH({"Auto Number"}, $B106))) &gt; 0, $B106, IF(SUMPRODUCT(-- ISNUMBER(SEARCH({"Lookup","Master-Detail"}, $B106))) &gt; 0,$B106 &amp; "(" &amp; $E106 &amp; ")",IF(SUMPRODUCT(-- ISNUMBER(SEARCH({"Formula","Roll-Up Summary"}, $B106))) &gt; 0,$B106 &amp; " (" &amp; $E106 &amp; ")",IF(SUMPRODUCT(-- ISNUMBER(SEARCH({"Content","Currency","Number","Percent","Text","URL"}, $B106))) &gt; 0,$B106 &amp; "(" &amp; $C106 &amp; ")",$B106)))), "  ", TRIM(IF($S106 = "YES", "(External ID)", "") &amp; " " &amp; IF(SUMPRODUCT(-- ISNUMBER(SEARCH({"Unique","Unique Case Insensitive"}, $R106))) &gt; 0, "(" &amp; $R106 &amp; ")", ""))))</f>
        <v>na</v>
      </c>
      <c r="E106" s="7" t="s">
        <v>195</v>
      </c>
      <c r="F106" s="7" t="s">
        <v>195</v>
      </c>
      <c r="G106" s="7" t="s">
        <v>195</v>
      </c>
      <c r="H106" s="7" t="s">
        <v>195</v>
      </c>
      <c r="I106" s="7" t="s">
        <v>195</v>
      </c>
      <c r="J106" s="7" t="s">
        <v>195</v>
      </c>
      <c r="K106" s="7" t="s">
        <v>195</v>
      </c>
      <c r="L106" s="7" t="s">
        <v>195</v>
      </c>
      <c r="M106" s="7" t="s">
        <v>29</v>
      </c>
      <c r="N106" s="7" t="s">
        <v>29</v>
      </c>
      <c r="O106" s="7" t="s">
        <v>29</v>
      </c>
      <c r="P106" s="7" t="s">
        <v>29</v>
      </c>
      <c r="Q106" s="7" t="s">
        <v>29</v>
      </c>
      <c r="R106" s="7" t="s">
        <v>29</v>
      </c>
      <c r="S106" s="7" t="s">
        <v>29</v>
      </c>
    </row>
    <row r="107" spans="2:19">
      <c r="B107" s="9" t="s">
        <v>195</v>
      </c>
      <c r="C107" s="7" t="s">
        <v>195</v>
      </c>
      <c r="D107" s="5" t="str">
        <f>LRTRIM(CONCATENATE(IF(SUMPRODUCT(-- ISNUMBER(SEARCH({"Auto Number"}, $B107))) &gt; 0, $B107, IF(SUMPRODUCT(-- ISNUMBER(SEARCH({"Lookup","Master-Detail"}, $B107))) &gt; 0,$B107 &amp; "(" &amp; $E107 &amp; ")",IF(SUMPRODUCT(-- ISNUMBER(SEARCH({"Formula","Roll-Up Summary"}, $B107))) &gt; 0,$B107 &amp; " (" &amp; $E107 &amp; ")",IF(SUMPRODUCT(-- ISNUMBER(SEARCH({"Content","Currency","Number","Percent","Text","URL"}, $B107))) &gt; 0,$B107 &amp; "(" &amp; $C107 &amp; ")",$B107)))), "  ", TRIM(IF($S107 = "YES", "(External ID)", "") &amp; " " &amp; IF(SUMPRODUCT(-- ISNUMBER(SEARCH({"Unique","Unique Case Insensitive"}, $R107))) &gt; 0, "(" &amp; $R107 &amp; ")", ""))))</f>
        <v>na</v>
      </c>
      <c r="E107" s="7" t="s">
        <v>195</v>
      </c>
      <c r="F107" s="7" t="s">
        <v>195</v>
      </c>
      <c r="G107" s="7" t="s">
        <v>195</v>
      </c>
      <c r="H107" s="7" t="s">
        <v>195</v>
      </c>
      <c r="I107" s="7" t="s">
        <v>195</v>
      </c>
      <c r="J107" s="7" t="s">
        <v>195</v>
      </c>
      <c r="K107" s="7" t="s">
        <v>195</v>
      </c>
      <c r="L107" s="7" t="s">
        <v>195</v>
      </c>
      <c r="M107" s="7" t="s">
        <v>29</v>
      </c>
      <c r="N107" s="7" t="s">
        <v>29</v>
      </c>
      <c r="O107" s="7" t="s">
        <v>29</v>
      </c>
      <c r="P107" s="7" t="s">
        <v>29</v>
      </c>
      <c r="Q107" s="7" t="s">
        <v>29</v>
      </c>
      <c r="R107" s="7" t="s">
        <v>29</v>
      </c>
      <c r="S107" s="7" t="s">
        <v>29</v>
      </c>
    </row>
    <row r="108" spans="2:19">
      <c r="B108" s="9" t="s">
        <v>195</v>
      </c>
      <c r="C108" s="7" t="s">
        <v>195</v>
      </c>
      <c r="D108" s="5" t="str">
        <f>LRTRIM(CONCATENATE(IF(SUMPRODUCT(-- ISNUMBER(SEARCH({"Auto Number"}, $B108))) &gt; 0, $B108, IF(SUMPRODUCT(-- ISNUMBER(SEARCH({"Lookup","Master-Detail"}, $B108))) &gt; 0,$B108 &amp; "(" &amp; $E108 &amp; ")",IF(SUMPRODUCT(-- ISNUMBER(SEARCH({"Formula","Roll-Up Summary"}, $B108))) &gt; 0,$B108 &amp; " (" &amp; $E108 &amp; ")",IF(SUMPRODUCT(-- ISNUMBER(SEARCH({"Content","Currency","Number","Percent","Text","URL"}, $B108))) &gt; 0,$B108 &amp; "(" &amp; $C108 &amp; ")",$B108)))), "  ", TRIM(IF($S108 = "YES", "(External ID)", "") &amp; " " &amp; IF(SUMPRODUCT(-- ISNUMBER(SEARCH({"Unique","Unique Case Insensitive"}, $R108))) &gt; 0, "(" &amp; $R108 &amp; ")", ""))))</f>
        <v>na</v>
      </c>
      <c r="E108" s="7" t="s">
        <v>195</v>
      </c>
      <c r="F108" s="7" t="s">
        <v>195</v>
      </c>
      <c r="G108" s="7" t="s">
        <v>195</v>
      </c>
      <c r="H108" s="7" t="s">
        <v>195</v>
      </c>
      <c r="I108" s="7" t="s">
        <v>195</v>
      </c>
      <c r="J108" s="7" t="s">
        <v>195</v>
      </c>
      <c r="K108" s="7" t="s">
        <v>195</v>
      </c>
      <c r="L108" s="7" t="s">
        <v>195</v>
      </c>
      <c r="M108" s="7" t="s">
        <v>29</v>
      </c>
      <c r="N108" s="7" t="s">
        <v>29</v>
      </c>
      <c r="O108" s="7" t="s">
        <v>29</v>
      </c>
      <c r="P108" s="7" t="s">
        <v>29</v>
      </c>
      <c r="Q108" s="7" t="s">
        <v>29</v>
      </c>
      <c r="R108" s="7" t="s">
        <v>29</v>
      </c>
      <c r="S108" s="7" t="s">
        <v>29</v>
      </c>
    </row>
    <row r="109" spans="2:19">
      <c r="B109" s="9" t="s">
        <v>195</v>
      </c>
      <c r="C109" s="7" t="s">
        <v>195</v>
      </c>
      <c r="D109" s="5" t="str">
        <f>LRTRIM(CONCATENATE(IF(SUMPRODUCT(-- ISNUMBER(SEARCH({"Auto Number"}, $B109))) &gt; 0, $B109, IF(SUMPRODUCT(-- ISNUMBER(SEARCH({"Lookup","Master-Detail"}, $B109))) &gt; 0,$B109 &amp; "(" &amp; $E109 &amp; ")",IF(SUMPRODUCT(-- ISNUMBER(SEARCH({"Formula","Roll-Up Summary"}, $B109))) &gt; 0,$B109 &amp; " (" &amp; $E109 &amp; ")",IF(SUMPRODUCT(-- ISNUMBER(SEARCH({"Content","Currency","Number","Percent","Text","URL"}, $B109))) &gt; 0,$B109 &amp; "(" &amp; $C109 &amp; ")",$B109)))), "  ", TRIM(IF($S109 = "YES", "(External ID)", "") &amp; " " &amp; IF(SUMPRODUCT(-- ISNUMBER(SEARCH({"Unique","Unique Case Insensitive"}, $R109))) &gt; 0, "(" &amp; $R109 &amp; ")", ""))))</f>
        <v>na</v>
      </c>
      <c r="E109" s="7" t="s">
        <v>195</v>
      </c>
      <c r="F109" s="7" t="s">
        <v>195</v>
      </c>
      <c r="G109" s="7" t="s">
        <v>195</v>
      </c>
      <c r="H109" s="7" t="s">
        <v>195</v>
      </c>
      <c r="I109" s="7" t="s">
        <v>195</v>
      </c>
      <c r="J109" s="7" t="s">
        <v>195</v>
      </c>
      <c r="K109" s="7" t="s">
        <v>195</v>
      </c>
      <c r="L109" s="7" t="s">
        <v>195</v>
      </c>
      <c r="M109" s="7" t="s">
        <v>29</v>
      </c>
      <c r="N109" s="7" t="s">
        <v>29</v>
      </c>
      <c r="O109" s="7" t="s">
        <v>29</v>
      </c>
      <c r="P109" s="7" t="s">
        <v>29</v>
      </c>
      <c r="Q109" s="7" t="s">
        <v>29</v>
      </c>
      <c r="R109" s="7" t="s">
        <v>29</v>
      </c>
      <c r="S109" s="7" t="s">
        <v>29</v>
      </c>
    </row>
    <row r="110" spans="2:19">
      <c r="B110" s="9" t="s">
        <v>195</v>
      </c>
      <c r="C110" s="7" t="s">
        <v>195</v>
      </c>
      <c r="D110" s="5" t="str">
        <f>LRTRIM(CONCATENATE(IF(SUMPRODUCT(-- ISNUMBER(SEARCH({"Auto Number"}, $B110))) &gt; 0, $B110, IF(SUMPRODUCT(-- ISNUMBER(SEARCH({"Lookup","Master-Detail"}, $B110))) &gt; 0,$B110 &amp; "(" &amp; $E110 &amp; ")",IF(SUMPRODUCT(-- ISNUMBER(SEARCH({"Formula","Roll-Up Summary"}, $B110))) &gt; 0,$B110 &amp; " (" &amp; $E110 &amp; ")",IF(SUMPRODUCT(-- ISNUMBER(SEARCH({"Content","Currency","Number","Percent","Text","URL"}, $B110))) &gt; 0,$B110 &amp; "(" &amp; $C110 &amp; ")",$B110)))), "  ", TRIM(IF($S110 = "YES", "(External ID)", "") &amp; " " &amp; IF(SUMPRODUCT(-- ISNUMBER(SEARCH({"Unique","Unique Case Insensitive"}, $R110))) &gt; 0, "(" &amp; $R110 &amp; ")", ""))))</f>
        <v>na</v>
      </c>
      <c r="E110" s="7" t="s">
        <v>195</v>
      </c>
      <c r="F110" s="7" t="s">
        <v>195</v>
      </c>
      <c r="G110" s="7" t="s">
        <v>195</v>
      </c>
      <c r="H110" s="7" t="s">
        <v>195</v>
      </c>
      <c r="I110" s="7" t="s">
        <v>195</v>
      </c>
      <c r="J110" s="7" t="s">
        <v>195</v>
      </c>
      <c r="K110" s="7" t="s">
        <v>195</v>
      </c>
      <c r="L110" s="7" t="s">
        <v>195</v>
      </c>
      <c r="M110" s="7" t="s">
        <v>29</v>
      </c>
      <c r="N110" s="7" t="s">
        <v>29</v>
      </c>
      <c r="O110" s="7" t="s">
        <v>29</v>
      </c>
      <c r="P110" s="7" t="s">
        <v>29</v>
      </c>
      <c r="Q110" s="7" t="s">
        <v>29</v>
      </c>
      <c r="R110" s="7" t="s">
        <v>29</v>
      </c>
      <c r="S110" s="7" t="s">
        <v>29</v>
      </c>
    </row>
    <row r="111" spans="2:19">
      <c r="B111" s="9" t="s">
        <v>195</v>
      </c>
      <c r="C111" s="7" t="s">
        <v>195</v>
      </c>
      <c r="D111" s="5" t="str">
        <f>LRTRIM(CONCATENATE(IF(SUMPRODUCT(-- ISNUMBER(SEARCH({"Auto Number"}, $B111))) &gt; 0, $B111, IF(SUMPRODUCT(-- ISNUMBER(SEARCH({"Lookup","Master-Detail"}, $B111))) &gt; 0,$B111 &amp; "(" &amp; $E111 &amp; ")",IF(SUMPRODUCT(-- ISNUMBER(SEARCH({"Formula","Roll-Up Summary"}, $B111))) &gt; 0,$B111 &amp; " (" &amp; $E111 &amp; ")",IF(SUMPRODUCT(-- ISNUMBER(SEARCH({"Content","Currency","Number","Percent","Text","URL"}, $B111))) &gt; 0,$B111 &amp; "(" &amp; $C111 &amp; ")",$B111)))), "  ", TRIM(IF($S111 = "YES", "(External ID)", "") &amp; " " &amp; IF(SUMPRODUCT(-- ISNUMBER(SEARCH({"Unique","Unique Case Insensitive"}, $R111))) &gt; 0, "(" &amp; $R111 &amp; ")", ""))))</f>
        <v>na</v>
      </c>
      <c r="E111" s="7" t="s">
        <v>195</v>
      </c>
      <c r="F111" s="7" t="s">
        <v>195</v>
      </c>
      <c r="G111" s="7" t="s">
        <v>195</v>
      </c>
      <c r="H111" s="7" t="s">
        <v>195</v>
      </c>
      <c r="I111" s="7" t="s">
        <v>195</v>
      </c>
      <c r="J111" s="7" t="s">
        <v>195</v>
      </c>
      <c r="K111" s="7" t="s">
        <v>195</v>
      </c>
      <c r="L111" s="7" t="s">
        <v>195</v>
      </c>
      <c r="M111" s="7" t="s">
        <v>29</v>
      </c>
      <c r="N111" s="7" t="s">
        <v>29</v>
      </c>
      <c r="O111" s="7" t="s">
        <v>29</v>
      </c>
      <c r="P111" s="7" t="s">
        <v>29</v>
      </c>
      <c r="Q111" s="7" t="s">
        <v>29</v>
      </c>
      <c r="R111" s="7" t="s">
        <v>29</v>
      </c>
      <c r="S111" s="7" t="s">
        <v>29</v>
      </c>
    </row>
    <row r="112" spans="2:19">
      <c r="B112" s="9" t="s">
        <v>195</v>
      </c>
      <c r="C112" s="7" t="s">
        <v>195</v>
      </c>
      <c r="D112" s="5" t="str">
        <f>LRTRIM(CONCATENATE(IF(SUMPRODUCT(-- ISNUMBER(SEARCH({"Auto Number"}, $B112))) &gt; 0, $B112, IF(SUMPRODUCT(-- ISNUMBER(SEARCH({"Lookup","Master-Detail"}, $B112))) &gt; 0,$B112 &amp; "(" &amp; $E112 &amp; ")",IF(SUMPRODUCT(-- ISNUMBER(SEARCH({"Formula","Roll-Up Summary"}, $B112))) &gt; 0,$B112 &amp; " (" &amp; $E112 &amp; ")",IF(SUMPRODUCT(-- ISNUMBER(SEARCH({"Content","Currency","Number","Percent","Text","URL"}, $B112))) &gt; 0,$B112 &amp; "(" &amp; $C112 &amp; ")",$B112)))), "  ", TRIM(IF($S112 = "YES", "(External ID)", "") &amp; " " &amp; IF(SUMPRODUCT(-- ISNUMBER(SEARCH({"Unique","Unique Case Insensitive"}, $R112))) &gt; 0, "(" &amp; $R112 &amp; ")", ""))))</f>
        <v>na</v>
      </c>
      <c r="E112" s="7" t="s">
        <v>195</v>
      </c>
      <c r="F112" s="7" t="s">
        <v>195</v>
      </c>
      <c r="G112" s="7" t="s">
        <v>195</v>
      </c>
      <c r="H112" s="7" t="s">
        <v>195</v>
      </c>
      <c r="I112" s="7" t="s">
        <v>195</v>
      </c>
      <c r="J112" s="7" t="s">
        <v>195</v>
      </c>
      <c r="K112" s="7" t="s">
        <v>195</v>
      </c>
      <c r="L112" s="7" t="s">
        <v>195</v>
      </c>
      <c r="M112" s="7" t="s">
        <v>29</v>
      </c>
      <c r="N112" s="7" t="s">
        <v>29</v>
      </c>
      <c r="O112" s="7" t="s">
        <v>29</v>
      </c>
      <c r="P112" s="7" t="s">
        <v>29</v>
      </c>
      <c r="Q112" s="7" t="s">
        <v>29</v>
      </c>
      <c r="R112" s="7" t="s">
        <v>29</v>
      </c>
      <c r="S112" s="7" t="s">
        <v>29</v>
      </c>
    </row>
    <row r="113" spans="2:19">
      <c r="B113" s="9" t="s">
        <v>195</v>
      </c>
      <c r="C113" s="7" t="s">
        <v>195</v>
      </c>
      <c r="D113" s="5" t="str">
        <f>LRTRIM(CONCATENATE(IF(SUMPRODUCT(-- ISNUMBER(SEARCH({"Auto Number"}, $B113))) &gt; 0, $B113, IF(SUMPRODUCT(-- ISNUMBER(SEARCH({"Lookup","Master-Detail"}, $B113))) &gt; 0,$B113 &amp; "(" &amp; $E113 &amp; ")",IF(SUMPRODUCT(-- ISNUMBER(SEARCH({"Formula","Roll-Up Summary"}, $B113))) &gt; 0,$B113 &amp; " (" &amp; $E113 &amp; ")",IF(SUMPRODUCT(-- ISNUMBER(SEARCH({"Content","Currency","Number","Percent","Text","URL"}, $B113))) &gt; 0,$B113 &amp; "(" &amp; $C113 &amp; ")",$B113)))), "  ", TRIM(IF($S113 = "YES", "(External ID)", "") &amp; " " &amp; IF(SUMPRODUCT(-- ISNUMBER(SEARCH({"Unique","Unique Case Insensitive"}, $R113))) &gt; 0, "(" &amp; $R113 &amp; ")", ""))))</f>
        <v>na</v>
      </c>
      <c r="E113" s="7" t="s">
        <v>195</v>
      </c>
      <c r="F113" s="7" t="s">
        <v>195</v>
      </c>
      <c r="G113" s="7" t="s">
        <v>195</v>
      </c>
      <c r="H113" s="7" t="s">
        <v>195</v>
      </c>
      <c r="I113" s="7" t="s">
        <v>195</v>
      </c>
      <c r="J113" s="7" t="s">
        <v>195</v>
      </c>
      <c r="K113" s="7" t="s">
        <v>195</v>
      </c>
      <c r="L113" s="7" t="s">
        <v>195</v>
      </c>
      <c r="M113" s="7" t="s">
        <v>29</v>
      </c>
      <c r="N113" s="7" t="s">
        <v>29</v>
      </c>
      <c r="O113" s="7" t="s">
        <v>29</v>
      </c>
      <c r="P113" s="7" t="s">
        <v>29</v>
      </c>
      <c r="Q113" s="7" t="s">
        <v>29</v>
      </c>
      <c r="R113" s="7" t="s">
        <v>29</v>
      </c>
      <c r="S113" s="7" t="s">
        <v>29</v>
      </c>
    </row>
    <row r="114" spans="2:19">
      <c r="B114" s="9" t="s">
        <v>195</v>
      </c>
      <c r="C114" s="7" t="s">
        <v>195</v>
      </c>
      <c r="D114" s="5" t="str">
        <f>LRTRIM(CONCATENATE(IF(SUMPRODUCT(-- ISNUMBER(SEARCH({"Auto Number"}, $B114))) &gt; 0, $B114, IF(SUMPRODUCT(-- ISNUMBER(SEARCH({"Lookup","Master-Detail"}, $B114))) &gt; 0,$B114 &amp; "(" &amp; $E114 &amp; ")",IF(SUMPRODUCT(-- ISNUMBER(SEARCH({"Formula","Roll-Up Summary"}, $B114))) &gt; 0,$B114 &amp; " (" &amp; $E114 &amp; ")",IF(SUMPRODUCT(-- ISNUMBER(SEARCH({"Content","Currency","Number","Percent","Text","URL"}, $B114))) &gt; 0,$B114 &amp; "(" &amp; $C114 &amp; ")",$B114)))), "  ", TRIM(IF($S114 = "YES", "(External ID)", "") &amp; " " &amp; IF(SUMPRODUCT(-- ISNUMBER(SEARCH({"Unique","Unique Case Insensitive"}, $R114))) &gt; 0, "(" &amp; $R114 &amp; ")", ""))))</f>
        <v>na</v>
      </c>
      <c r="E114" s="7" t="s">
        <v>195</v>
      </c>
      <c r="F114" s="7" t="s">
        <v>195</v>
      </c>
      <c r="G114" s="7" t="s">
        <v>195</v>
      </c>
      <c r="H114" s="7" t="s">
        <v>195</v>
      </c>
      <c r="I114" s="7" t="s">
        <v>195</v>
      </c>
      <c r="J114" s="7" t="s">
        <v>195</v>
      </c>
      <c r="K114" s="7" t="s">
        <v>195</v>
      </c>
      <c r="L114" s="7" t="s">
        <v>195</v>
      </c>
      <c r="M114" s="7" t="s">
        <v>29</v>
      </c>
      <c r="N114" s="7" t="s">
        <v>29</v>
      </c>
      <c r="O114" s="7" t="s">
        <v>29</v>
      </c>
      <c r="P114" s="7" t="s">
        <v>29</v>
      </c>
      <c r="Q114" s="7" t="s">
        <v>29</v>
      </c>
      <c r="R114" s="7" t="s">
        <v>29</v>
      </c>
      <c r="S114" s="7" t="s">
        <v>29</v>
      </c>
    </row>
    <row r="115" spans="2:19">
      <c r="B115" s="9" t="s">
        <v>195</v>
      </c>
      <c r="C115" s="7" t="s">
        <v>195</v>
      </c>
      <c r="D115" s="5" t="str">
        <f>LRTRIM(CONCATENATE(IF(SUMPRODUCT(-- ISNUMBER(SEARCH({"Auto Number"}, $B115))) &gt; 0, $B115, IF(SUMPRODUCT(-- ISNUMBER(SEARCH({"Lookup","Master-Detail"}, $B115))) &gt; 0,$B115 &amp; "(" &amp; $E115 &amp; ")",IF(SUMPRODUCT(-- ISNUMBER(SEARCH({"Formula","Roll-Up Summary"}, $B115))) &gt; 0,$B115 &amp; " (" &amp; $E115 &amp; ")",IF(SUMPRODUCT(-- ISNUMBER(SEARCH({"Content","Currency","Number","Percent","Text","URL"}, $B115))) &gt; 0,$B115 &amp; "(" &amp; $C115 &amp; ")",$B115)))), "  ", TRIM(IF($S115 = "YES", "(External ID)", "") &amp; " " &amp; IF(SUMPRODUCT(-- ISNUMBER(SEARCH({"Unique","Unique Case Insensitive"}, $R115))) &gt; 0, "(" &amp; $R115 &amp; ")", ""))))</f>
        <v>na</v>
      </c>
      <c r="E115" s="7" t="s">
        <v>195</v>
      </c>
      <c r="F115" s="7" t="s">
        <v>195</v>
      </c>
      <c r="G115" s="7" t="s">
        <v>195</v>
      </c>
      <c r="H115" s="7" t="s">
        <v>195</v>
      </c>
      <c r="I115" s="7" t="s">
        <v>195</v>
      </c>
      <c r="J115" s="7" t="s">
        <v>195</v>
      </c>
      <c r="K115" s="7" t="s">
        <v>195</v>
      </c>
      <c r="L115" s="7" t="s">
        <v>195</v>
      </c>
      <c r="M115" s="7" t="s">
        <v>29</v>
      </c>
      <c r="N115" s="7" t="s">
        <v>29</v>
      </c>
      <c r="O115" s="7" t="s">
        <v>29</v>
      </c>
      <c r="P115" s="7" t="s">
        <v>29</v>
      </c>
      <c r="Q115" s="7" t="s">
        <v>29</v>
      </c>
      <c r="R115" s="7" t="s">
        <v>29</v>
      </c>
      <c r="S115" s="7" t="s">
        <v>29</v>
      </c>
    </row>
    <row r="116" spans="2:19">
      <c r="B116" s="9" t="s">
        <v>195</v>
      </c>
      <c r="C116" s="7" t="s">
        <v>195</v>
      </c>
      <c r="D116" s="5" t="str">
        <f>LRTRIM(CONCATENATE(IF(SUMPRODUCT(-- ISNUMBER(SEARCH({"Auto Number"}, $B116))) &gt; 0, $B116, IF(SUMPRODUCT(-- ISNUMBER(SEARCH({"Lookup","Master-Detail"}, $B116))) &gt; 0,$B116 &amp; "(" &amp; $E116 &amp; ")",IF(SUMPRODUCT(-- ISNUMBER(SEARCH({"Formula","Roll-Up Summary"}, $B116))) &gt; 0,$B116 &amp; " (" &amp; $E116 &amp; ")",IF(SUMPRODUCT(-- ISNUMBER(SEARCH({"Content","Currency","Number","Percent","Text","URL"}, $B116))) &gt; 0,$B116 &amp; "(" &amp; $C116 &amp; ")",$B116)))), "  ", TRIM(IF($S116 = "YES", "(External ID)", "") &amp; " " &amp; IF(SUMPRODUCT(-- ISNUMBER(SEARCH({"Unique","Unique Case Insensitive"}, $R116))) &gt; 0, "(" &amp; $R116 &amp; ")", ""))))</f>
        <v>na</v>
      </c>
      <c r="E116" s="7" t="s">
        <v>195</v>
      </c>
      <c r="F116" s="7" t="s">
        <v>195</v>
      </c>
      <c r="G116" s="7" t="s">
        <v>195</v>
      </c>
      <c r="H116" s="7" t="s">
        <v>195</v>
      </c>
      <c r="I116" s="7" t="s">
        <v>195</v>
      </c>
      <c r="J116" s="7" t="s">
        <v>195</v>
      </c>
      <c r="K116" s="7" t="s">
        <v>195</v>
      </c>
      <c r="L116" s="7" t="s">
        <v>195</v>
      </c>
      <c r="M116" s="7" t="s">
        <v>29</v>
      </c>
      <c r="N116" s="7" t="s">
        <v>29</v>
      </c>
      <c r="O116" s="7" t="s">
        <v>29</v>
      </c>
      <c r="P116" s="7" t="s">
        <v>29</v>
      </c>
      <c r="Q116" s="7" t="s">
        <v>29</v>
      </c>
      <c r="R116" s="7" t="s">
        <v>29</v>
      </c>
      <c r="S116" s="7" t="s">
        <v>29</v>
      </c>
    </row>
    <row r="117" spans="2:19">
      <c r="B117" s="9" t="s">
        <v>195</v>
      </c>
      <c r="C117" s="7" t="s">
        <v>195</v>
      </c>
      <c r="D117" s="5" t="str">
        <f>LRTRIM(CONCATENATE(IF(SUMPRODUCT(-- ISNUMBER(SEARCH({"Auto Number"}, $B117))) &gt; 0, $B117, IF(SUMPRODUCT(-- ISNUMBER(SEARCH({"Lookup","Master-Detail"}, $B117))) &gt; 0,$B117 &amp; "(" &amp; $E117 &amp; ")",IF(SUMPRODUCT(-- ISNUMBER(SEARCH({"Formula","Roll-Up Summary"}, $B117))) &gt; 0,$B117 &amp; " (" &amp; $E117 &amp; ")",IF(SUMPRODUCT(-- ISNUMBER(SEARCH({"Content","Currency","Number","Percent","Text","URL"}, $B117))) &gt; 0,$B117 &amp; "(" &amp; $C117 &amp; ")",$B117)))), "  ", TRIM(IF($S117 = "YES", "(External ID)", "") &amp; " " &amp; IF(SUMPRODUCT(-- ISNUMBER(SEARCH({"Unique","Unique Case Insensitive"}, $R117))) &gt; 0, "(" &amp; $R117 &amp; ")", ""))))</f>
        <v>na</v>
      </c>
      <c r="E117" s="7" t="s">
        <v>195</v>
      </c>
      <c r="F117" s="7" t="s">
        <v>195</v>
      </c>
      <c r="G117" s="7" t="s">
        <v>195</v>
      </c>
      <c r="H117" s="7" t="s">
        <v>195</v>
      </c>
      <c r="I117" s="7" t="s">
        <v>195</v>
      </c>
      <c r="J117" s="7" t="s">
        <v>195</v>
      </c>
      <c r="K117" s="7" t="s">
        <v>195</v>
      </c>
      <c r="L117" s="7" t="s">
        <v>195</v>
      </c>
      <c r="M117" s="7" t="s">
        <v>29</v>
      </c>
      <c r="N117" s="7" t="s">
        <v>29</v>
      </c>
      <c r="O117" s="7" t="s">
        <v>29</v>
      </c>
      <c r="P117" s="7" t="s">
        <v>29</v>
      </c>
      <c r="Q117" s="7" t="s">
        <v>29</v>
      </c>
      <c r="R117" s="7" t="s">
        <v>29</v>
      </c>
      <c r="S117" s="7" t="s">
        <v>29</v>
      </c>
    </row>
    <row r="118" spans="2:19">
      <c r="B118" s="9" t="s">
        <v>195</v>
      </c>
      <c r="C118" s="7" t="s">
        <v>195</v>
      </c>
      <c r="D118" s="5" t="str">
        <f>LRTRIM(CONCATENATE(IF(SUMPRODUCT(-- ISNUMBER(SEARCH({"Auto Number"}, $B118))) &gt; 0, $B118, IF(SUMPRODUCT(-- ISNUMBER(SEARCH({"Lookup","Master-Detail"}, $B118))) &gt; 0,$B118 &amp; "(" &amp; $E118 &amp; ")",IF(SUMPRODUCT(-- ISNUMBER(SEARCH({"Formula","Roll-Up Summary"}, $B118))) &gt; 0,$B118 &amp; " (" &amp; $E118 &amp; ")",IF(SUMPRODUCT(-- ISNUMBER(SEARCH({"Content","Currency","Number","Percent","Text","URL"}, $B118))) &gt; 0,$B118 &amp; "(" &amp; $C118 &amp; ")",$B118)))), "  ", TRIM(IF($S118 = "YES", "(External ID)", "") &amp; " " &amp; IF(SUMPRODUCT(-- ISNUMBER(SEARCH({"Unique","Unique Case Insensitive"}, $R118))) &gt; 0, "(" &amp; $R118 &amp; ")", ""))))</f>
        <v>na</v>
      </c>
      <c r="E118" s="7" t="s">
        <v>195</v>
      </c>
      <c r="F118" s="7" t="s">
        <v>195</v>
      </c>
      <c r="G118" s="7" t="s">
        <v>195</v>
      </c>
      <c r="H118" s="7" t="s">
        <v>195</v>
      </c>
      <c r="I118" s="7" t="s">
        <v>195</v>
      </c>
      <c r="J118" s="7" t="s">
        <v>195</v>
      </c>
      <c r="K118" s="7" t="s">
        <v>195</v>
      </c>
      <c r="L118" s="7" t="s">
        <v>195</v>
      </c>
      <c r="M118" s="7" t="s">
        <v>29</v>
      </c>
      <c r="N118" s="7" t="s">
        <v>29</v>
      </c>
      <c r="O118" s="7" t="s">
        <v>29</v>
      </c>
      <c r="P118" s="7" t="s">
        <v>29</v>
      </c>
      <c r="Q118" s="7" t="s">
        <v>29</v>
      </c>
      <c r="R118" s="7" t="s">
        <v>29</v>
      </c>
      <c r="S118" s="7" t="s">
        <v>29</v>
      </c>
    </row>
    <row r="119" spans="2:19">
      <c r="B119" s="9" t="s">
        <v>195</v>
      </c>
      <c r="C119" s="7" t="s">
        <v>195</v>
      </c>
      <c r="D119" s="5" t="str">
        <f>LRTRIM(CONCATENATE(IF(SUMPRODUCT(-- ISNUMBER(SEARCH({"Auto Number"}, $B119))) &gt; 0, $B119, IF(SUMPRODUCT(-- ISNUMBER(SEARCH({"Lookup","Master-Detail"}, $B119))) &gt; 0,$B119 &amp; "(" &amp; $E119 &amp; ")",IF(SUMPRODUCT(-- ISNUMBER(SEARCH({"Formula","Roll-Up Summary"}, $B119))) &gt; 0,$B119 &amp; " (" &amp; $E119 &amp; ")",IF(SUMPRODUCT(-- ISNUMBER(SEARCH({"Content","Currency","Number","Percent","Text","URL"}, $B119))) &gt; 0,$B119 &amp; "(" &amp; $C119 &amp; ")",$B119)))), "  ", TRIM(IF($S119 = "YES", "(External ID)", "") &amp; " " &amp; IF(SUMPRODUCT(-- ISNUMBER(SEARCH({"Unique","Unique Case Insensitive"}, $R119))) &gt; 0, "(" &amp; $R119 &amp; ")", ""))))</f>
        <v>na</v>
      </c>
      <c r="E119" s="7" t="s">
        <v>195</v>
      </c>
      <c r="F119" s="7" t="s">
        <v>195</v>
      </c>
      <c r="G119" s="7" t="s">
        <v>195</v>
      </c>
      <c r="H119" s="7" t="s">
        <v>195</v>
      </c>
      <c r="I119" s="7" t="s">
        <v>195</v>
      </c>
      <c r="J119" s="7" t="s">
        <v>195</v>
      </c>
      <c r="K119" s="7" t="s">
        <v>195</v>
      </c>
      <c r="L119" s="7" t="s">
        <v>195</v>
      </c>
      <c r="M119" s="7" t="s">
        <v>29</v>
      </c>
      <c r="N119" s="7" t="s">
        <v>29</v>
      </c>
      <c r="O119" s="7" t="s">
        <v>29</v>
      </c>
      <c r="P119" s="7" t="s">
        <v>29</v>
      </c>
      <c r="Q119" s="7" t="s">
        <v>29</v>
      </c>
      <c r="R119" s="7" t="s">
        <v>29</v>
      </c>
      <c r="S119" s="7" t="s">
        <v>29</v>
      </c>
    </row>
    <row r="120" spans="2:19">
      <c r="B120" s="9" t="s">
        <v>195</v>
      </c>
      <c r="C120" s="7" t="s">
        <v>195</v>
      </c>
      <c r="D120" s="5" t="str">
        <f>LRTRIM(CONCATENATE(IF(SUMPRODUCT(-- ISNUMBER(SEARCH({"Auto Number"}, $B120))) &gt; 0, $B120, IF(SUMPRODUCT(-- ISNUMBER(SEARCH({"Lookup","Master-Detail"}, $B120))) &gt; 0,$B120 &amp; "(" &amp; $E120 &amp; ")",IF(SUMPRODUCT(-- ISNUMBER(SEARCH({"Formula","Roll-Up Summary"}, $B120))) &gt; 0,$B120 &amp; " (" &amp; $E120 &amp; ")",IF(SUMPRODUCT(-- ISNUMBER(SEARCH({"Content","Currency","Number","Percent","Text","URL"}, $B120))) &gt; 0,$B120 &amp; "(" &amp; $C120 &amp; ")",$B120)))), "  ", TRIM(IF($S120 = "YES", "(External ID)", "") &amp; " " &amp; IF(SUMPRODUCT(-- ISNUMBER(SEARCH({"Unique","Unique Case Insensitive"}, $R120))) &gt; 0, "(" &amp; $R120 &amp; ")", ""))))</f>
        <v>na</v>
      </c>
      <c r="E120" s="7" t="s">
        <v>195</v>
      </c>
      <c r="F120" s="7" t="s">
        <v>195</v>
      </c>
      <c r="G120" s="7" t="s">
        <v>195</v>
      </c>
      <c r="H120" s="7" t="s">
        <v>195</v>
      </c>
      <c r="I120" s="7" t="s">
        <v>195</v>
      </c>
      <c r="J120" s="7" t="s">
        <v>195</v>
      </c>
      <c r="K120" s="7" t="s">
        <v>195</v>
      </c>
      <c r="L120" s="7" t="s">
        <v>195</v>
      </c>
      <c r="M120" s="7" t="s">
        <v>29</v>
      </c>
      <c r="N120" s="7" t="s">
        <v>29</v>
      </c>
      <c r="O120" s="7" t="s">
        <v>29</v>
      </c>
      <c r="P120" s="7" t="s">
        <v>29</v>
      </c>
      <c r="Q120" s="7" t="s">
        <v>29</v>
      </c>
      <c r="R120" s="7" t="s">
        <v>29</v>
      </c>
      <c r="S120" s="7" t="s">
        <v>29</v>
      </c>
    </row>
    <row r="121" spans="2:19">
      <c r="B121" s="9" t="s">
        <v>195</v>
      </c>
      <c r="C121" s="7" t="s">
        <v>195</v>
      </c>
      <c r="D121" s="5" t="str">
        <f>LRTRIM(CONCATENATE(IF(SUMPRODUCT(-- ISNUMBER(SEARCH({"Auto Number"}, $B121))) &gt; 0, $B121, IF(SUMPRODUCT(-- ISNUMBER(SEARCH({"Lookup","Master-Detail"}, $B121))) &gt; 0,$B121 &amp; "(" &amp; $E121 &amp; ")",IF(SUMPRODUCT(-- ISNUMBER(SEARCH({"Formula","Roll-Up Summary"}, $B121))) &gt; 0,$B121 &amp; " (" &amp; $E121 &amp; ")",IF(SUMPRODUCT(-- ISNUMBER(SEARCH({"Content","Currency","Number","Percent","Text","URL"}, $B121))) &gt; 0,$B121 &amp; "(" &amp; $C121 &amp; ")",$B121)))), "  ", TRIM(IF($S121 = "YES", "(External ID)", "") &amp; " " &amp; IF(SUMPRODUCT(-- ISNUMBER(SEARCH({"Unique","Unique Case Insensitive"}, $R121))) &gt; 0, "(" &amp; $R121 &amp; ")", ""))))</f>
        <v>na</v>
      </c>
      <c r="E121" s="7" t="s">
        <v>195</v>
      </c>
      <c r="F121" s="7" t="s">
        <v>195</v>
      </c>
      <c r="G121" s="7" t="s">
        <v>195</v>
      </c>
      <c r="H121" s="7" t="s">
        <v>195</v>
      </c>
      <c r="I121" s="7" t="s">
        <v>195</v>
      </c>
      <c r="J121" s="7" t="s">
        <v>195</v>
      </c>
      <c r="K121" s="7" t="s">
        <v>195</v>
      </c>
      <c r="L121" s="7" t="s">
        <v>195</v>
      </c>
      <c r="M121" s="7" t="s">
        <v>29</v>
      </c>
      <c r="N121" s="7" t="s">
        <v>29</v>
      </c>
      <c r="O121" s="7" t="s">
        <v>29</v>
      </c>
      <c r="P121" s="7" t="s">
        <v>29</v>
      </c>
      <c r="Q121" s="7" t="s">
        <v>29</v>
      </c>
      <c r="R121" s="7" t="s">
        <v>29</v>
      </c>
      <c r="S121" s="7" t="s">
        <v>29</v>
      </c>
    </row>
    <row r="122" spans="2:19">
      <c r="B122" s="9" t="s">
        <v>195</v>
      </c>
      <c r="C122" s="7" t="s">
        <v>195</v>
      </c>
      <c r="D122" s="5" t="str">
        <f>LRTRIM(CONCATENATE(IF(SUMPRODUCT(-- ISNUMBER(SEARCH({"Auto Number"}, $B122))) &gt; 0, $B122, IF(SUMPRODUCT(-- ISNUMBER(SEARCH({"Lookup","Master-Detail"}, $B122))) &gt; 0,$B122 &amp; "(" &amp; $E122 &amp; ")",IF(SUMPRODUCT(-- ISNUMBER(SEARCH({"Formula","Roll-Up Summary"}, $B122))) &gt; 0,$B122 &amp; " (" &amp; $E122 &amp; ")",IF(SUMPRODUCT(-- ISNUMBER(SEARCH({"Content","Currency","Number","Percent","Text","URL"}, $B122))) &gt; 0,$B122 &amp; "(" &amp; $C122 &amp; ")",$B122)))), "  ", TRIM(IF($S122 = "YES", "(External ID)", "") &amp; " " &amp; IF(SUMPRODUCT(-- ISNUMBER(SEARCH({"Unique","Unique Case Insensitive"}, $R122))) &gt; 0, "(" &amp; $R122 &amp; ")", ""))))</f>
        <v>na</v>
      </c>
      <c r="E122" s="7" t="s">
        <v>195</v>
      </c>
      <c r="F122" s="7" t="s">
        <v>195</v>
      </c>
      <c r="G122" s="7" t="s">
        <v>195</v>
      </c>
      <c r="H122" s="7" t="s">
        <v>195</v>
      </c>
      <c r="I122" s="7" t="s">
        <v>195</v>
      </c>
      <c r="J122" s="7" t="s">
        <v>195</v>
      </c>
      <c r="K122" s="7" t="s">
        <v>195</v>
      </c>
      <c r="L122" s="7" t="s">
        <v>195</v>
      </c>
      <c r="M122" s="7" t="s">
        <v>29</v>
      </c>
      <c r="N122" s="7" t="s">
        <v>29</v>
      </c>
      <c r="O122" s="7" t="s">
        <v>29</v>
      </c>
      <c r="P122" s="7" t="s">
        <v>29</v>
      </c>
      <c r="Q122" s="7" t="s">
        <v>29</v>
      </c>
      <c r="R122" s="7" t="s">
        <v>29</v>
      </c>
      <c r="S122" s="7" t="s">
        <v>29</v>
      </c>
    </row>
    <row r="123" spans="2:19">
      <c r="B123" s="9" t="s">
        <v>195</v>
      </c>
      <c r="C123" s="7" t="s">
        <v>195</v>
      </c>
      <c r="D123" s="5" t="str">
        <f>LRTRIM(CONCATENATE(IF(SUMPRODUCT(-- ISNUMBER(SEARCH({"Auto Number"}, $B123))) &gt; 0, $B123, IF(SUMPRODUCT(-- ISNUMBER(SEARCH({"Lookup","Master-Detail"}, $B123))) &gt; 0,$B123 &amp; "(" &amp; $E123 &amp; ")",IF(SUMPRODUCT(-- ISNUMBER(SEARCH({"Formula","Roll-Up Summary"}, $B123))) &gt; 0,$B123 &amp; " (" &amp; $E123 &amp; ")",IF(SUMPRODUCT(-- ISNUMBER(SEARCH({"Content","Currency","Number","Percent","Text","URL"}, $B123))) &gt; 0,$B123 &amp; "(" &amp; $C123 &amp; ")",$B123)))), "  ", TRIM(IF($S123 = "YES", "(External ID)", "") &amp; " " &amp; IF(SUMPRODUCT(-- ISNUMBER(SEARCH({"Unique","Unique Case Insensitive"}, $R123))) &gt; 0, "(" &amp; $R123 &amp; ")", ""))))</f>
        <v>na</v>
      </c>
      <c r="E123" s="7" t="s">
        <v>195</v>
      </c>
      <c r="F123" s="7" t="s">
        <v>195</v>
      </c>
      <c r="G123" s="7" t="s">
        <v>195</v>
      </c>
      <c r="H123" s="7" t="s">
        <v>195</v>
      </c>
      <c r="I123" s="7" t="s">
        <v>195</v>
      </c>
      <c r="J123" s="7" t="s">
        <v>195</v>
      </c>
      <c r="K123" s="7" t="s">
        <v>195</v>
      </c>
      <c r="L123" s="7" t="s">
        <v>195</v>
      </c>
      <c r="M123" s="7" t="s">
        <v>29</v>
      </c>
      <c r="N123" s="7" t="s">
        <v>29</v>
      </c>
      <c r="O123" s="7" t="s">
        <v>29</v>
      </c>
      <c r="P123" s="7" t="s">
        <v>29</v>
      </c>
      <c r="Q123" s="7" t="s">
        <v>29</v>
      </c>
      <c r="R123" s="7" t="s">
        <v>29</v>
      </c>
      <c r="S123" s="7" t="s">
        <v>29</v>
      </c>
    </row>
    <row r="124" spans="2:19">
      <c r="B124" s="9" t="s">
        <v>195</v>
      </c>
      <c r="C124" s="7" t="s">
        <v>195</v>
      </c>
      <c r="D124" s="5" t="str">
        <f>LRTRIM(CONCATENATE(IF(SUMPRODUCT(-- ISNUMBER(SEARCH({"Auto Number"}, $B124))) &gt; 0, $B124, IF(SUMPRODUCT(-- ISNUMBER(SEARCH({"Lookup","Master-Detail"}, $B124))) &gt; 0,$B124 &amp; "(" &amp; $E124 &amp; ")",IF(SUMPRODUCT(-- ISNUMBER(SEARCH({"Formula","Roll-Up Summary"}, $B124))) &gt; 0,$B124 &amp; " (" &amp; $E124 &amp; ")",IF(SUMPRODUCT(-- ISNUMBER(SEARCH({"Content","Currency","Number","Percent","Text","URL"}, $B124))) &gt; 0,$B124 &amp; "(" &amp; $C124 &amp; ")",$B124)))), "  ", TRIM(IF($S124 = "YES", "(External ID)", "") &amp; " " &amp; IF(SUMPRODUCT(-- ISNUMBER(SEARCH({"Unique","Unique Case Insensitive"}, $R124))) &gt; 0, "(" &amp; $R124 &amp; ")", ""))))</f>
        <v>na</v>
      </c>
      <c r="E124" s="7" t="s">
        <v>195</v>
      </c>
      <c r="F124" s="7" t="s">
        <v>195</v>
      </c>
      <c r="G124" s="7" t="s">
        <v>195</v>
      </c>
      <c r="H124" s="7" t="s">
        <v>195</v>
      </c>
      <c r="I124" s="7" t="s">
        <v>195</v>
      </c>
      <c r="J124" s="7" t="s">
        <v>195</v>
      </c>
      <c r="K124" s="7" t="s">
        <v>195</v>
      </c>
      <c r="L124" s="7" t="s">
        <v>195</v>
      </c>
      <c r="M124" s="7" t="s">
        <v>29</v>
      </c>
      <c r="N124" s="7" t="s">
        <v>29</v>
      </c>
      <c r="O124" s="7" t="s">
        <v>29</v>
      </c>
      <c r="P124" s="7" t="s">
        <v>29</v>
      </c>
      <c r="Q124" s="7" t="s">
        <v>29</v>
      </c>
      <c r="R124" s="7" t="s">
        <v>29</v>
      </c>
      <c r="S124" s="7" t="s">
        <v>29</v>
      </c>
    </row>
    <row r="125" spans="2:19">
      <c r="B125" s="9" t="s">
        <v>195</v>
      </c>
      <c r="C125" s="7" t="s">
        <v>195</v>
      </c>
      <c r="D125" s="5" t="str">
        <f>LRTRIM(CONCATENATE(IF(SUMPRODUCT(-- ISNUMBER(SEARCH({"Auto Number"}, $B125))) &gt; 0, $B125, IF(SUMPRODUCT(-- ISNUMBER(SEARCH({"Lookup","Master-Detail"}, $B125))) &gt; 0,$B125 &amp; "(" &amp; $E125 &amp; ")",IF(SUMPRODUCT(-- ISNUMBER(SEARCH({"Formula","Roll-Up Summary"}, $B125))) &gt; 0,$B125 &amp; " (" &amp; $E125 &amp; ")",IF(SUMPRODUCT(-- ISNUMBER(SEARCH({"Content","Currency","Number","Percent","Text","URL"}, $B125))) &gt; 0,$B125 &amp; "(" &amp; $C125 &amp; ")",$B125)))), "  ", TRIM(IF($S125 = "YES", "(External ID)", "") &amp; " " &amp; IF(SUMPRODUCT(-- ISNUMBER(SEARCH({"Unique","Unique Case Insensitive"}, $R125))) &gt; 0, "(" &amp; $R125 &amp; ")", ""))))</f>
        <v>na</v>
      </c>
      <c r="E125" s="7" t="s">
        <v>195</v>
      </c>
      <c r="F125" s="7" t="s">
        <v>195</v>
      </c>
      <c r="G125" s="7" t="s">
        <v>195</v>
      </c>
      <c r="H125" s="7" t="s">
        <v>195</v>
      </c>
      <c r="I125" s="7" t="s">
        <v>195</v>
      </c>
      <c r="J125" s="7" t="s">
        <v>195</v>
      </c>
      <c r="K125" s="7" t="s">
        <v>195</v>
      </c>
      <c r="L125" s="7" t="s">
        <v>195</v>
      </c>
      <c r="M125" s="7" t="s">
        <v>29</v>
      </c>
      <c r="N125" s="7" t="s">
        <v>29</v>
      </c>
      <c r="O125" s="7" t="s">
        <v>29</v>
      </c>
      <c r="P125" s="7" t="s">
        <v>29</v>
      </c>
      <c r="Q125" s="7" t="s">
        <v>29</v>
      </c>
      <c r="R125" s="7" t="s">
        <v>29</v>
      </c>
      <c r="S125" s="7" t="s">
        <v>29</v>
      </c>
    </row>
    <row r="126" spans="2:19">
      <c r="B126" s="9" t="s">
        <v>195</v>
      </c>
      <c r="C126" s="7" t="s">
        <v>195</v>
      </c>
      <c r="D126" s="5" t="str">
        <f>LRTRIM(CONCATENATE(IF(SUMPRODUCT(-- ISNUMBER(SEARCH({"Auto Number"}, $B126))) &gt; 0, $B126, IF(SUMPRODUCT(-- ISNUMBER(SEARCH({"Lookup","Master-Detail"}, $B126))) &gt; 0,$B126 &amp; "(" &amp; $E126 &amp; ")",IF(SUMPRODUCT(-- ISNUMBER(SEARCH({"Formula","Roll-Up Summary"}, $B126))) &gt; 0,$B126 &amp; " (" &amp; $E126 &amp; ")",IF(SUMPRODUCT(-- ISNUMBER(SEARCH({"Content","Currency","Number","Percent","Text","URL"}, $B126))) &gt; 0,$B126 &amp; "(" &amp; $C126 &amp; ")",$B126)))), "  ", TRIM(IF($S126 = "YES", "(External ID)", "") &amp; " " &amp; IF(SUMPRODUCT(-- ISNUMBER(SEARCH({"Unique","Unique Case Insensitive"}, $R126))) &gt; 0, "(" &amp; $R126 &amp; ")", ""))))</f>
        <v>na</v>
      </c>
      <c r="E126" s="7" t="s">
        <v>195</v>
      </c>
      <c r="F126" s="7" t="s">
        <v>195</v>
      </c>
      <c r="G126" s="7" t="s">
        <v>195</v>
      </c>
      <c r="H126" s="7" t="s">
        <v>195</v>
      </c>
      <c r="I126" s="7" t="s">
        <v>195</v>
      </c>
      <c r="J126" s="7" t="s">
        <v>195</v>
      </c>
      <c r="K126" s="7" t="s">
        <v>195</v>
      </c>
      <c r="L126" s="7" t="s">
        <v>195</v>
      </c>
      <c r="M126" s="7" t="s">
        <v>29</v>
      </c>
      <c r="N126" s="7" t="s">
        <v>29</v>
      </c>
      <c r="O126" s="7" t="s">
        <v>29</v>
      </c>
      <c r="P126" s="7" t="s">
        <v>29</v>
      </c>
      <c r="Q126" s="7" t="s">
        <v>29</v>
      </c>
      <c r="R126" s="7" t="s">
        <v>29</v>
      </c>
      <c r="S126" s="7" t="s">
        <v>29</v>
      </c>
    </row>
    <row r="127" spans="2:19">
      <c r="B127" s="9" t="s">
        <v>195</v>
      </c>
      <c r="C127" s="7" t="s">
        <v>195</v>
      </c>
      <c r="D127" s="5" t="str">
        <f>LRTRIM(CONCATENATE(IF(SUMPRODUCT(-- ISNUMBER(SEARCH({"Auto Number"}, $B127))) &gt; 0, $B127, IF(SUMPRODUCT(-- ISNUMBER(SEARCH({"Lookup","Master-Detail"}, $B127))) &gt; 0,$B127 &amp; "(" &amp; $E127 &amp; ")",IF(SUMPRODUCT(-- ISNUMBER(SEARCH({"Formula","Roll-Up Summary"}, $B127))) &gt; 0,$B127 &amp; " (" &amp; $E127 &amp; ")",IF(SUMPRODUCT(-- ISNUMBER(SEARCH({"Content","Currency","Number","Percent","Text","URL"}, $B127))) &gt; 0,$B127 &amp; "(" &amp; $C127 &amp; ")",$B127)))), "  ", TRIM(IF($S127 = "YES", "(External ID)", "") &amp; " " &amp; IF(SUMPRODUCT(-- ISNUMBER(SEARCH({"Unique","Unique Case Insensitive"}, $R127))) &gt; 0, "(" &amp; $R127 &amp; ")", ""))))</f>
        <v>na</v>
      </c>
      <c r="E127" s="7" t="s">
        <v>195</v>
      </c>
      <c r="F127" s="7" t="s">
        <v>195</v>
      </c>
      <c r="G127" s="7" t="s">
        <v>195</v>
      </c>
      <c r="H127" s="7" t="s">
        <v>195</v>
      </c>
      <c r="I127" s="7" t="s">
        <v>195</v>
      </c>
      <c r="J127" s="7" t="s">
        <v>195</v>
      </c>
      <c r="K127" s="7" t="s">
        <v>195</v>
      </c>
      <c r="L127" s="7" t="s">
        <v>195</v>
      </c>
      <c r="M127" s="7" t="s">
        <v>29</v>
      </c>
      <c r="N127" s="7" t="s">
        <v>29</v>
      </c>
      <c r="O127" s="7" t="s">
        <v>29</v>
      </c>
      <c r="P127" s="7" t="s">
        <v>29</v>
      </c>
      <c r="Q127" s="7" t="s">
        <v>29</v>
      </c>
      <c r="R127" s="7" t="s">
        <v>29</v>
      </c>
      <c r="S127" s="7" t="s">
        <v>29</v>
      </c>
    </row>
    <row r="128" spans="2:19">
      <c r="B128" s="9" t="s">
        <v>195</v>
      </c>
      <c r="C128" s="7" t="s">
        <v>195</v>
      </c>
      <c r="D128" s="5" t="str">
        <f>LRTRIM(CONCATENATE(IF(SUMPRODUCT(-- ISNUMBER(SEARCH({"Auto Number"}, $B128))) &gt; 0, $B128, IF(SUMPRODUCT(-- ISNUMBER(SEARCH({"Lookup","Master-Detail"}, $B128))) &gt; 0,$B128 &amp; "(" &amp; $E128 &amp; ")",IF(SUMPRODUCT(-- ISNUMBER(SEARCH({"Formula","Roll-Up Summary"}, $B128))) &gt; 0,$B128 &amp; " (" &amp; $E128 &amp; ")",IF(SUMPRODUCT(-- ISNUMBER(SEARCH({"Content","Currency","Number","Percent","Text","URL"}, $B128))) &gt; 0,$B128 &amp; "(" &amp; $C128 &amp; ")",$B128)))), "  ", TRIM(IF($S128 = "YES", "(External ID)", "") &amp; " " &amp; IF(SUMPRODUCT(-- ISNUMBER(SEARCH({"Unique","Unique Case Insensitive"}, $R128))) &gt; 0, "(" &amp; $R128 &amp; ")", ""))))</f>
        <v>na</v>
      </c>
      <c r="E128" s="7" t="s">
        <v>195</v>
      </c>
      <c r="F128" s="7" t="s">
        <v>195</v>
      </c>
      <c r="G128" s="7" t="s">
        <v>195</v>
      </c>
      <c r="H128" s="7" t="s">
        <v>195</v>
      </c>
      <c r="I128" s="7" t="s">
        <v>195</v>
      </c>
      <c r="J128" s="7" t="s">
        <v>195</v>
      </c>
      <c r="K128" s="7" t="s">
        <v>195</v>
      </c>
      <c r="L128" s="7" t="s">
        <v>195</v>
      </c>
      <c r="M128" s="7" t="s">
        <v>29</v>
      </c>
      <c r="N128" s="7" t="s">
        <v>29</v>
      </c>
      <c r="O128" s="7" t="s">
        <v>29</v>
      </c>
      <c r="P128" s="7" t="s">
        <v>29</v>
      </c>
      <c r="Q128" s="7" t="s">
        <v>29</v>
      </c>
      <c r="R128" s="7" t="s">
        <v>29</v>
      </c>
      <c r="S128" s="7" t="s">
        <v>29</v>
      </c>
    </row>
    <row r="129" spans="2:19">
      <c r="B129" s="9" t="s">
        <v>195</v>
      </c>
      <c r="C129" s="7" t="s">
        <v>195</v>
      </c>
      <c r="D129" s="5" t="str">
        <f>LRTRIM(CONCATENATE(IF(SUMPRODUCT(-- ISNUMBER(SEARCH({"Auto Number"}, $B129))) &gt; 0, $B129, IF(SUMPRODUCT(-- ISNUMBER(SEARCH({"Lookup","Master-Detail"}, $B129))) &gt; 0,$B129 &amp; "(" &amp; $E129 &amp; ")",IF(SUMPRODUCT(-- ISNUMBER(SEARCH({"Formula","Roll-Up Summary"}, $B129))) &gt; 0,$B129 &amp; " (" &amp; $E129 &amp; ")",IF(SUMPRODUCT(-- ISNUMBER(SEARCH({"Content","Currency","Number","Percent","Text","URL"}, $B129))) &gt; 0,$B129 &amp; "(" &amp; $C129 &amp; ")",$B129)))), "  ", TRIM(IF($S129 = "YES", "(External ID)", "") &amp; " " &amp; IF(SUMPRODUCT(-- ISNUMBER(SEARCH({"Unique","Unique Case Insensitive"}, $R129))) &gt; 0, "(" &amp; $R129 &amp; ")", ""))))</f>
        <v>na</v>
      </c>
      <c r="E129" s="7" t="s">
        <v>195</v>
      </c>
      <c r="F129" s="7" t="s">
        <v>195</v>
      </c>
      <c r="G129" s="7" t="s">
        <v>195</v>
      </c>
      <c r="H129" s="7" t="s">
        <v>195</v>
      </c>
      <c r="I129" s="7" t="s">
        <v>195</v>
      </c>
      <c r="J129" s="7" t="s">
        <v>195</v>
      </c>
      <c r="K129" s="7" t="s">
        <v>195</v>
      </c>
      <c r="L129" s="7" t="s">
        <v>195</v>
      </c>
      <c r="M129" s="7" t="s">
        <v>29</v>
      </c>
      <c r="N129" s="7" t="s">
        <v>29</v>
      </c>
      <c r="O129" s="7" t="s">
        <v>29</v>
      </c>
      <c r="P129" s="7" t="s">
        <v>29</v>
      </c>
      <c r="Q129" s="7" t="s">
        <v>29</v>
      </c>
      <c r="R129" s="7" t="s">
        <v>29</v>
      </c>
      <c r="S129" s="7" t="s">
        <v>29</v>
      </c>
    </row>
    <row r="130" spans="2:19">
      <c r="B130" s="9" t="s">
        <v>195</v>
      </c>
      <c r="C130" s="7" t="s">
        <v>195</v>
      </c>
      <c r="D130" s="5" t="str">
        <f>LRTRIM(CONCATENATE(IF(SUMPRODUCT(-- ISNUMBER(SEARCH({"Auto Number"}, $B130))) &gt; 0, $B130, IF(SUMPRODUCT(-- ISNUMBER(SEARCH({"Lookup","Master-Detail"}, $B130))) &gt; 0,$B130 &amp; "(" &amp; $E130 &amp; ")",IF(SUMPRODUCT(-- ISNUMBER(SEARCH({"Formula","Roll-Up Summary"}, $B130))) &gt; 0,$B130 &amp; " (" &amp; $E130 &amp; ")",IF(SUMPRODUCT(-- ISNUMBER(SEARCH({"Content","Currency","Number","Percent","Text","URL"}, $B130))) &gt; 0,$B130 &amp; "(" &amp; $C130 &amp; ")",$B130)))), "  ", TRIM(IF($S130 = "YES", "(External ID)", "") &amp; " " &amp; IF(SUMPRODUCT(-- ISNUMBER(SEARCH({"Unique","Unique Case Insensitive"}, $R130))) &gt; 0, "(" &amp; $R130 &amp; ")", ""))))</f>
        <v>na</v>
      </c>
      <c r="E130" s="7" t="s">
        <v>195</v>
      </c>
      <c r="F130" s="7" t="s">
        <v>195</v>
      </c>
      <c r="G130" s="7" t="s">
        <v>195</v>
      </c>
      <c r="H130" s="7" t="s">
        <v>195</v>
      </c>
      <c r="I130" s="7" t="s">
        <v>195</v>
      </c>
      <c r="J130" s="7" t="s">
        <v>195</v>
      </c>
      <c r="K130" s="7" t="s">
        <v>195</v>
      </c>
      <c r="L130" s="7" t="s">
        <v>195</v>
      </c>
      <c r="M130" s="7" t="s">
        <v>29</v>
      </c>
      <c r="N130" s="7" t="s">
        <v>29</v>
      </c>
      <c r="O130" s="7" t="s">
        <v>29</v>
      </c>
      <c r="P130" s="7" t="s">
        <v>29</v>
      </c>
      <c r="Q130" s="7" t="s">
        <v>29</v>
      </c>
      <c r="R130" s="7" t="s">
        <v>29</v>
      </c>
      <c r="S130" s="7" t="s">
        <v>29</v>
      </c>
    </row>
    <row r="131" spans="2:19">
      <c r="B131" s="9" t="s">
        <v>195</v>
      </c>
      <c r="C131" s="7" t="s">
        <v>195</v>
      </c>
      <c r="D131" s="5" t="str">
        <f>LRTRIM(CONCATENATE(IF(SUMPRODUCT(-- ISNUMBER(SEARCH({"Auto Number"}, $B131))) &gt; 0, $B131, IF(SUMPRODUCT(-- ISNUMBER(SEARCH({"Lookup","Master-Detail"}, $B131))) &gt; 0,$B131 &amp; "(" &amp; $E131 &amp; ")",IF(SUMPRODUCT(-- ISNUMBER(SEARCH({"Formula","Roll-Up Summary"}, $B131))) &gt; 0,$B131 &amp; " (" &amp; $E131 &amp; ")",IF(SUMPRODUCT(-- ISNUMBER(SEARCH({"Content","Currency","Number","Percent","Text","URL"}, $B131))) &gt; 0,$B131 &amp; "(" &amp; $C131 &amp; ")",$B131)))), "  ", TRIM(IF($S131 = "YES", "(External ID)", "") &amp; " " &amp; IF(SUMPRODUCT(-- ISNUMBER(SEARCH({"Unique","Unique Case Insensitive"}, $R131))) &gt; 0, "(" &amp; $R131 &amp; ")", ""))))</f>
        <v>na</v>
      </c>
      <c r="E131" s="7" t="s">
        <v>195</v>
      </c>
      <c r="F131" s="7" t="s">
        <v>195</v>
      </c>
      <c r="G131" s="7" t="s">
        <v>195</v>
      </c>
      <c r="H131" s="7" t="s">
        <v>195</v>
      </c>
      <c r="I131" s="7" t="s">
        <v>195</v>
      </c>
      <c r="J131" s="7" t="s">
        <v>195</v>
      </c>
      <c r="K131" s="7" t="s">
        <v>195</v>
      </c>
      <c r="L131" s="7" t="s">
        <v>195</v>
      </c>
      <c r="M131" s="7" t="s">
        <v>29</v>
      </c>
      <c r="N131" s="7" t="s">
        <v>29</v>
      </c>
      <c r="O131" s="7" t="s">
        <v>29</v>
      </c>
      <c r="P131" s="7" t="s">
        <v>29</v>
      </c>
      <c r="Q131" s="7" t="s">
        <v>29</v>
      </c>
      <c r="R131" s="7" t="s">
        <v>29</v>
      </c>
      <c r="S131" s="7" t="s">
        <v>29</v>
      </c>
    </row>
    <row r="132" spans="2:19">
      <c r="B132" s="9" t="s">
        <v>195</v>
      </c>
      <c r="C132" s="7" t="s">
        <v>195</v>
      </c>
      <c r="D132" s="5" t="str">
        <f>LRTRIM(CONCATENATE(IF(SUMPRODUCT(-- ISNUMBER(SEARCH({"Auto Number"}, $B132))) &gt; 0, $B132, IF(SUMPRODUCT(-- ISNUMBER(SEARCH({"Lookup","Master-Detail"}, $B132))) &gt; 0,$B132 &amp; "(" &amp; $E132 &amp; ")",IF(SUMPRODUCT(-- ISNUMBER(SEARCH({"Formula","Roll-Up Summary"}, $B132))) &gt; 0,$B132 &amp; " (" &amp; $E132 &amp; ")",IF(SUMPRODUCT(-- ISNUMBER(SEARCH({"Content","Currency","Number","Percent","Text","URL"}, $B132))) &gt; 0,$B132 &amp; "(" &amp; $C132 &amp; ")",$B132)))), "  ", TRIM(IF($S132 = "YES", "(External ID)", "") &amp; " " &amp; IF(SUMPRODUCT(-- ISNUMBER(SEARCH({"Unique","Unique Case Insensitive"}, $R132))) &gt; 0, "(" &amp; $R132 &amp; ")", ""))))</f>
        <v>na</v>
      </c>
      <c r="E132" s="7" t="s">
        <v>195</v>
      </c>
      <c r="F132" s="7" t="s">
        <v>195</v>
      </c>
      <c r="G132" s="7" t="s">
        <v>195</v>
      </c>
      <c r="H132" s="7" t="s">
        <v>195</v>
      </c>
      <c r="I132" s="7" t="s">
        <v>195</v>
      </c>
      <c r="J132" s="7" t="s">
        <v>195</v>
      </c>
      <c r="K132" s="7" t="s">
        <v>195</v>
      </c>
      <c r="L132" s="7" t="s">
        <v>195</v>
      </c>
      <c r="M132" s="7" t="s">
        <v>29</v>
      </c>
      <c r="N132" s="7" t="s">
        <v>29</v>
      </c>
      <c r="O132" s="7" t="s">
        <v>29</v>
      </c>
      <c r="P132" s="7" t="s">
        <v>29</v>
      </c>
      <c r="Q132" s="7" t="s">
        <v>29</v>
      </c>
      <c r="R132" s="7" t="s">
        <v>29</v>
      </c>
      <c r="S132" s="7" t="s">
        <v>29</v>
      </c>
    </row>
    <row r="133" spans="2:19">
      <c r="B133" s="9" t="s">
        <v>195</v>
      </c>
      <c r="C133" s="7" t="s">
        <v>195</v>
      </c>
      <c r="D133" s="5" t="str">
        <f>LRTRIM(CONCATENATE(IF(SUMPRODUCT(-- ISNUMBER(SEARCH({"Auto Number"}, $B133))) &gt; 0, $B133, IF(SUMPRODUCT(-- ISNUMBER(SEARCH({"Lookup","Master-Detail"}, $B133))) &gt; 0,$B133 &amp; "(" &amp; $E133 &amp; ")",IF(SUMPRODUCT(-- ISNUMBER(SEARCH({"Formula","Roll-Up Summary"}, $B133))) &gt; 0,$B133 &amp; " (" &amp; $E133 &amp; ")",IF(SUMPRODUCT(-- ISNUMBER(SEARCH({"Content","Currency","Number","Percent","Text","URL"}, $B133))) &gt; 0,$B133 &amp; "(" &amp; $C133 &amp; ")",$B133)))), "  ", TRIM(IF($S133 = "YES", "(External ID)", "") &amp; " " &amp; IF(SUMPRODUCT(-- ISNUMBER(SEARCH({"Unique","Unique Case Insensitive"}, $R133))) &gt; 0, "(" &amp; $R133 &amp; ")", ""))))</f>
        <v>na</v>
      </c>
      <c r="E133" s="7" t="s">
        <v>195</v>
      </c>
      <c r="F133" s="7" t="s">
        <v>195</v>
      </c>
      <c r="G133" s="7" t="s">
        <v>195</v>
      </c>
      <c r="H133" s="7" t="s">
        <v>195</v>
      </c>
      <c r="I133" s="7" t="s">
        <v>195</v>
      </c>
      <c r="J133" s="7" t="s">
        <v>195</v>
      </c>
      <c r="K133" s="7" t="s">
        <v>195</v>
      </c>
      <c r="L133" s="7" t="s">
        <v>195</v>
      </c>
      <c r="M133" s="7" t="s">
        <v>29</v>
      </c>
      <c r="N133" s="7" t="s">
        <v>29</v>
      </c>
      <c r="O133" s="7" t="s">
        <v>29</v>
      </c>
      <c r="P133" s="7" t="s">
        <v>29</v>
      </c>
      <c r="Q133" s="7" t="s">
        <v>29</v>
      </c>
      <c r="R133" s="7" t="s">
        <v>29</v>
      </c>
      <c r="S133" s="7" t="s">
        <v>29</v>
      </c>
    </row>
    <row r="134" spans="2:19">
      <c r="B134" s="9" t="s">
        <v>195</v>
      </c>
      <c r="C134" s="7" t="s">
        <v>195</v>
      </c>
      <c r="D134" s="5" t="str">
        <f>LRTRIM(CONCATENATE(IF(SUMPRODUCT(-- ISNUMBER(SEARCH({"Auto Number"}, $B134))) &gt; 0, $B134, IF(SUMPRODUCT(-- ISNUMBER(SEARCH({"Lookup","Master-Detail"}, $B134))) &gt; 0,$B134 &amp; "(" &amp; $E134 &amp; ")",IF(SUMPRODUCT(-- ISNUMBER(SEARCH({"Formula","Roll-Up Summary"}, $B134))) &gt; 0,$B134 &amp; " (" &amp; $E134 &amp; ")",IF(SUMPRODUCT(-- ISNUMBER(SEARCH({"Content","Currency","Number","Percent","Text","URL"}, $B134))) &gt; 0,$B134 &amp; "(" &amp; $C134 &amp; ")",$B134)))), "  ", TRIM(IF($S134 = "YES", "(External ID)", "") &amp; " " &amp; IF(SUMPRODUCT(-- ISNUMBER(SEARCH({"Unique","Unique Case Insensitive"}, $R134))) &gt; 0, "(" &amp; $R134 &amp; ")", ""))))</f>
        <v>na</v>
      </c>
      <c r="E134" s="7" t="s">
        <v>195</v>
      </c>
      <c r="F134" s="7" t="s">
        <v>195</v>
      </c>
      <c r="G134" s="7" t="s">
        <v>195</v>
      </c>
      <c r="H134" s="7" t="s">
        <v>195</v>
      </c>
      <c r="I134" s="7" t="s">
        <v>195</v>
      </c>
      <c r="J134" s="7" t="s">
        <v>195</v>
      </c>
      <c r="K134" s="7" t="s">
        <v>195</v>
      </c>
      <c r="L134" s="7" t="s">
        <v>195</v>
      </c>
      <c r="M134" s="7" t="s">
        <v>29</v>
      </c>
      <c r="N134" s="7" t="s">
        <v>29</v>
      </c>
      <c r="O134" s="7" t="s">
        <v>29</v>
      </c>
      <c r="P134" s="7" t="s">
        <v>29</v>
      </c>
      <c r="Q134" s="7" t="s">
        <v>29</v>
      </c>
      <c r="R134" s="7" t="s">
        <v>29</v>
      </c>
      <c r="S134" s="7" t="s">
        <v>29</v>
      </c>
    </row>
    <row r="135" spans="2:19">
      <c r="B135" s="9" t="s">
        <v>195</v>
      </c>
      <c r="C135" s="7" t="s">
        <v>195</v>
      </c>
      <c r="D135" s="5" t="str">
        <f>LRTRIM(CONCATENATE(IF(SUMPRODUCT(-- ISNUMBER(SEARCH({"Auto Number"}, $B135))) &gt; 0, $B135, IF(SUMPRODUCT(-- ISNUMBER(SEARCH({"Lookup","Master-Detail"}, $B135))) &gt; 0,$B135 &amp; "(" &amp; $E135 &amp; ")",IF(SUMPRODUCT(-- ISNUMBER(SEARCH({"Formula","Roll-Up Summary"}, $B135))) &gt; 0,$B135 &amp; " (" &amp; $E135 &amp; ")",IF(SUMPRODUCT(-- ISNUMBER(SEARCH({"Content","Currency","Number","Percent","Text","URL"}, $B135))) &gt; 0,$B135 &amp; "(" &amp; $C135 &amp; ")",$B135)))), "  ", TRIM(IF($S135 = "YES", "(External ID)", "") &amp; " " &amp; IF(SUMPRODUCT(-- ISNUMBER(SEARCH({"Unique","Unique Case Insensitive"}, $R135))) &gt; 0, "(" &amp; $R135 &amp; ")", ""))))</f>
        <v>na</v>
      </c>
      <c r="E135" s="7" t="s">
        <v>195</v>
      </c>
      <c r="F135" s="7" t="s">
        <v>195</v>
      </c>
      <c r="G135" s="7" t="s">
        <v>195</v>
      </c>
      <c r="H135" s="7" t="s">
        <v>195</v>
      </c>
      <c r="I135" s="7" t="s">
        <v>195</v>
      </c>
      <c r="J135" s="7" t="s">
        <v>195</v>
      </c>
      <c r="K135" s="7" t="s">
        <v>195</v>
      </c>
      <c r="L135" s="7" t="s">
        <v>195</v>
      </c>
      <c r="M135" s="7" t="s">
        <v>29</v>
      </c>
      <c r="N135" s="7" t="s">
        <v>29</v>
      </c>
      <c r="O135" s="7" t="s">
        <v>29</v>
      </c>
      <c r="P135" s="7" t="s">
        <v>29</v>
      </c>
      <c r="Q135" s="7" t="s">
        <v>29</v>
      </c>
      <c r="R135" s="7" t="s">
        <v>29</v>
      </c>
      <c r="S135" s="7" t="s">
        <v>29</v>
      </c>
    </row>
    <row r="136" spans="2:19">
      <c r="B136" s="9" t="s">
        <v>195</v>
      </c>
      <c r="C136" s="7" t="s">
        <v>195</v>
      </c>
      <c r="D136" s="5" t="str">
        <f>LRTRIM(CONCATENATE(IF(SUMPRODUCT(-- ISNUMBER(SEARCH({"Auto Number"}, $B136))) &gt; 0, $B136, IF(SUMPRODUCT(-- ISNUMBER(SEARCH({"Lookup","Master-Detail"}, $B136))) &gt; 0,$B136 &amp; "(" &amp; $E136 &amp; ")",IF(SUMPRODUCT(-- ISNUMBER(SEARCH({"Formula","Roll-Up Summary"}, $B136))) &gt; 0,$B136 &amp; " (" &amp; $E136 &amp; ")",IF(SUMPRODUCT(-- ISNUMBER(SEARCH({"Content","Currency","Number","Percent","Text","URL"}, $B136))) &gt; 0,$B136 &amp; "(" &amp; $C136 &amp; ")",$B136)))), "  ", TRIM(IF($S136 = "YES", "(External ID)", "") &amp; " " &amp; IF(SUMPRODUCT(-- ISNUMBER(SEARCH({"Unique","Unique Case Insensitive"}, $R136))) &gt; 0, "(" &amp; $R136 &amp; ")", ""))))</f>
        <v>na</v>
      </c>
      <c r="E136" s="7" t="s">
        <v>195</v>
      </c>
      <c r="F136" s="7" t="s">
        <v>195</v>
      </c>
      <c r="G136" s="7" t="s">
        <v>195</v>
      </c>
      <c r="H136" s="7" t="s">
        <v>195</v>
      </c>
      <c r="I136" s="7" t="s">
        <v>195</v>
      </c>
      <c r="J136" s="7" t="s">
        <v>195</v>
      </c>
      <c r="K136" s="7" t="s">
        <v>195</v>
      </c>
      <c r="L136" s="7" t="s">
        <v>195</v>
      </c>
      <c r="M136" s="7" t="s">
        <v>29</v>
      </c>
      <c r="N136" s="7" t="s">
        <v>29</v>
      </c>
      <c r="O136" s="7" t="s">
        <v>29</v>
      </c>
      <c r="P136" s="7" t="s">
        <v>29</v>
      </c>
      <c r="Q136" s="7" t="s">
        <v>29</v>
      </c>
      <c r="R136" s="7" t="s">
        <v>29</v>
      </c>
      <c r="S136" s="7" t="s">
        <v>29</v>
      </c>
    </row>
    <row r="137" spans="2:19">
      <c r="B137" s="9" t="s">
        <v>195</v>
      </c>
      <c r="C137" s="7" t="s">
        <v>195</v>
      </c>
      <c r="D137" s="5" t="str">
        <f>LRTRIM(CONCATENATE(IF(SUMPRODUCT(-- ISNUMBER(SEARCH({"Auto Number"}, $B137))) &gt; 0, $B137, IF(SUMPRODUCT(-- ISNUMBER(SEARCH({"Lookup","Master-Detail"}, $B137))) &gt; 0,$B137 &amp; "(" &amp; $E137 &amp; ")",IF(SUMPRODUCT(-- ISNUMBER(SEARCH({"Formula","Roll-Up Summary"}, $B137))) &gt; 0,$B137 &amp; " (" &amp; $E137 &amp; ")",IF(SUMPRODUCT(-- ISNUMBER(SEARCH({"Content","Currency","Number","Percent","Text","URL"}, $B137))) &gt; 0,$B137 &amp; "(" &amp; $C137 &amp; ")",$B137)))), "  ", TRIM(IF($S137 = "YES", "(External ID)", "") &amp; " " &amp; IF(SUMPRODUCT(-- ISNUMBER(SEARCH({"Unique","Unique Case Insensitive"}, $R137))) &gt; 0, "(" &amp; $R137 &amp; ")", ""))))</f>
        <v>na</v>
      </c>
      <c r="E137" s="7" t="s">
        <v>195</v>
      </c>
      <c r="F137" s="7" t="s">
        <v>195</v>
      </c>
      <c r="G137" s="7" t="s">
        <v>195</v>
      </c>
      <c r="H137" s="7" t="s">
        <v>195</v>
      </c>
      <c r="I137" s="7" t="s">
        <v>195</v>
      </c>
      <c r="J137" s="7" t="s">
        <v>195</v>
      </c>
      <c r="K137" s="7" t="s">
        <v>195</v>
      </c>
      <c r="L137" s="7" t="s">
        <v>195</v>
      </c>
      <c r="M137" s="7" t="s">
        <v>29</v>
      </c>
      <c r="N137" s="7" t="s">
        <v>29</v>
      </c>
      <c r="O137" s="7" t="s">
        <v>29</v>
      </c>
      <c r="P137" s="7" t="s">
        <v>29</v>
      </c>
      <c r="Q137" s="7" t="s">
        <v>29</v>
      </c>
      <c r="R137" s="7" t="s">
        <v>29</v>
      </c>
      <c r="S137" s="7" t="s">
        <v>29</v>
      </c>
    </row>
    <row r="138" spans="2:19">
      <c r="B138" s="9" t="s">
        <v>195</v>
      </c>
      <c r="C138" s="7" t="s">
        <v>195</v>
      </c>
      <c r="D138" s="5" t="str">
        <f>LRTRIM(CONCATENATE(IF(SUMPRODUCT(-- ISNUMBER(SEARCH({"Auto Number"}, $B138))) &gt; 0, $B138, IF(SUMPRODUCT(-- ISNUMBER(SEARCH({"Lookup","Master-Detail"}, $B138))) &gt; 0,$B138 &amp; "(" &amp; $E138 &amp; ")",IF(SUMPRODUCT(-- ISNUMBER(SEARCH({"Formula","Roll-Up Summary"}, $B138))) &gt; 0,$B138 &amp; " (" &amp; $E138 &amp; ")",IF(SUMPRODUCT(-- ISNUMBER(SEARCH({"Content","Currency","Number","Percent","Text","URL"}, $B138))) &gt; 0,$B138 &amp; "(" &amp; $C138 &amp; ")",$B138)))), "  ", TRIM(IF($S138 = "YES", "(External ID)", "") &amp; " " &amp; IF(SUMPRODUCT(-- ISNUMBER(SEARCH({"Unique","Unique Case Insensitive"}, $R138))) &gt; 0, "(" &amp; $R138 &amp; ")", ""))))</f>
        <v>na</v>
      </c>
      <c r="E138" s="7" t="s">
        <v>195</v>
      </c>
      <c r="F138" s="7" t="s">
        <v>195</v>
      </c>
      <c r="G138" s="7" t="s">
        <v>195</v>
      </c>
      <c r="H138" s="7" t="s">
        <v>195</v>
      </c>
      <c r="I138" s="7" t="s">
        <v>195</v>
      </c>
      <c r="J138" s="7" t="s">
        <v>195</v>
      </c>
      <c r="K138" s="7" t="s">
        <v>195</v>
      </c>
      <c r="L138" s="7" t="s">
        <v>195</v>
      </c>
      <c r="M138" s="7" t="s">
        <v>29</v>
      </c>
      <c r="N138" s="7" t="s">
        <v>29</v>
      </c>
      <c r="O138" s="7" t="s">
        <v>29</v>
      </c>
      <c r="P138" s="7" t="s">
        <v>29</v>
      </c>
      <c r="Q138" s="7" t="s">
        <v>29</v>
      </c>
      <c r="R138" s="7" t="s">
        <v>29</v>
      </c>
      <c r="S138" s="7" t="s">
        <v>29</v>
      </c>
    </row>
    <row r="139" spans="2:19">
      <c r="B139" s="9" t="s">
        <v>195</v>
      </c>
      <c r="C139" s="7" t="s">
        <v>195</v>
      </c>
      <c r="D139" s="5" t="str">
        <f>LRTRIM(CONCATENATE(IF(SUMPRODUCT(-- ISNUMBER(SEARCH({"Auto Number"}, $B139))) &gt; 0, $B139, IF(SUMPRODUCT(-- ISNUMBER(SEARCH({"Lookup","Master-Detail"}, $B139))) &gt; 0,$B139 &amp; "(" &amp; $E139 &amp; ")",IF(SUMPRODUCT(-- ISNUMBER(SEARCH({"Formula","Roll-Up Summary"}, $B139))) &gt; 0,$B139 &amp; " (" &amp; $E139 &amp; ")",IF(SUMPRODUCT(-- ISNUMBER(SEARCH({"Content","Currency","Number","Percent","Text","URL"}, $B139))) &gt; 0,$B139 &amp; "(" &amp; $C139 &amp; ")",$B139)))), "  ", TRIM(IF($S139 = "YES", "(External ID)", "") &amp; " " &amp; IF(SUMPRODUCT(-- ISNUMBER(SEARCH({"Unique","Unique Case Insensitive"}, $R139))) &gt; 0, "(" &amp; $R139 &amp; ")", ""))))</f>
        <v>na</v>
      </c>
      <c r="E139" s="7" t="s">
        <v>195</v>
      </c>
      <c r="F139" s="7" t="s">
        <v>195</v>
      </c>
      <c r="G139" s="7" t="s">
        <v>195</v>
      </c>
      <c r="H139" s="7" t="s">
        <v>195</v>
      </c>
      <c r="I139" s="7" t="s">
        <v>195</v>
      </c>
      <c r="J139" s="7" t="s">
        <v>195</v>
      </c>
      <c r="K139" s="7" t="s">
        <v>195</v>
      </c>
      <c r="L139" s="7" t="s">
        <v>195</v>
      </c>
      <c r="M139" s="7" t="s">
        <v>29</v>
      </c>
      <c r="N139" s="7" t="s">
        <v>29</v>
      </c>
      <c r="O139" s="7" t="s">
        <v>29</v>
      </c>
      <c r="P139" s="7" t="s">
        <v>29</v>
      </c>
      <c r="Q139" s="7" t="s">
        <v>29</v>
      </c>
      <c r="R139" s="7" t="s">
        <v>29</v>
      </c>
      <c r="S139" s="7" t="s">
        <v>29</v>
      </c>
    </row>
    <row r="140" spans="2:19">
      <c r="B140" s="9" t="s">
        <v>195</v>
      </c>
      <c r="C140" s="7" t="s">
        <v>195</v>
      </c>
      <c r="D140" s="5" t="str">
        <f>LRTRIM(CONCATENATE(IF(SUMPRODUCT(-- ISNUMBER(SEARCH({"Auto Number"}, $B140))) &gt; 0, $B140, IF(SUMPRODUCT(-- ISNUMBER(SEARCH({"Lookup","Master-Detail"}, $B140))) &gt; 0,$B140 &amp; "(" &amp; $E140 &amp; ")",IF(SUMPRODUCT(-- ISNUMBER(SEARCH({"Formula","Roll-Up Summary"}, $B140))) &gt; 0,$B140 &amp; " (" &amp; $E140 &amp; ")",IF(SUMPRODUCT(-- ISNUMBER(SEARCH({"Content","Currency","Number","Percent","Text","URL"}, $B140))) &gt; 0,$B140 &amp; "(" &amp; $C140 &amp; ")",$B140)))), "  ", TRIM(IF($S140 = "YES", "(External ID)", "") &amp; " " &amp; IF(SUMPRODUCT(-- ISNUMBER(SEARCH({"Unique","Unique Case Insensitive"}, $R140))) &gt; 0, "(" &amp; $R140 &amp; ")", ""))))</f>
        <v>na</v>
      </c>
      <c r="E140" s="7" t="s">
        <v>195</v>
      </c>
      <c r="F140" s="7" t="s">
        <v>195</v>
      </c>
      <c r="G140" s="7" t="s">
        <v>195</v>
      </c>
      <c r="H140" s="7" t="s">
        <v>195</v>
      </c>
      <c r="I140" s="7" t="s">
        <v>195</v>
      </c>
      <c r="J140" s="7" t="s">
        <v>195</v>
      </c>
      <c r="K140" s="7" t="s">
        <v>195</v>
      </c>
      <c r="L140" s="7" t="s">
        <v>195</v>
      </c>
      <c r="M140" s="7" t="s">
        <v>29</v>
      </c>
      <c r="N140" s="7" t="s">
        <v>29</v>
      </c>
      <c r="O140" s="7" t="s">
        <v>29</v>
      </c>
      <c r="P140" s="7" t="s">
        <v>29</v>
      </c>
      <c r="Q140" s="7" t="s">
        <v>29</v>
      </c>
      <c r="R140" s="7" t="s">
        <v>29</v>
      </c>
      <c r="S140" s="7" t="s">
        <v>29</v>
      </c>
    </row>
    <row r="141" spans="2:19">
      <c r="B141" s="9" t="s">
        <v>195</v>
      </c>
      <c r="C141" s="7" t="s">
        <v>195</v>
      </c>
      <c r="D141" s="5" t="str">
        <f>LRTRIM(CONCATENATE(IF(SUMPRODUCT(-- ISNUMBER(SEARCH({"Auto Number"}, $B141))) &gt; 0, $B141, IF(SUMPRODUCT(-- ISNUMBER(SEARCH({"Lookup","Master-Detail"}, $B141))) &gt; 0,$B141 &amp; "(" &amp; $E141 &amp; ")",IF(SUMPRODUCT(-- ISNUMBER(SEARCH({"Formula","Roll-Up Summary"}, $B141))) &gt; 0,$B141 &amp; " (" &amp; $E141 &amp; ")",IF(SUMPRODUCT(-- ISNUMBER(SEARCH({"Content","Currency","Number","Percent","Text","URL"}, $B141))) &gt; 0,$B141 &amp; "(" &amp; $C141 &amp; ")",$B141)))), "  ", TRIM(IF($S141 = "YES", "(External ID)", "") &amp; " " &amp; IF(SUMPRODUCT(-- ISNUMBER(SEARCH({"Unique","Unique Case Insensitive"}, $R141))) &gt; 0, "(" &amp; $R141 &amp; ")", ""))))</f>
        <v>na</v>
      </c>
      <c r="E141" s="7" t="s">
        <v>195</v>
      </c>
      <c r="F141" s="7" t="s">
        <v>195</v>
      </c>
      <c r="G141" s="7" t="s">
        <v>195</v>
      </c>
      <c r="H141" s="7" t="s">
        <v>195</v>
      </c>
      <c r="I141" s="7" t="s">
        <v>195</v>
      </c>
      <c r="J141" s="7" t="s">
        <v>195</v>
      </c>
      <c r="K141" s="7" t="s">
        <v>195</v>
      </c>
      <c r="L141" s="7" t="s">
        <v>195</v>
      </c>
      <c r="M141" s="7" t="s">
        <v>29</v>
      </c>
      <c r="N141" s="7" t="s">
        <v>29</v>
      </c>
      <c r="O141" s="7" t="s">
        <v>29</v>
      </c>
      <c r="P141" s="7" t="s">
        <v>29</v>
      </c>
      <c r="Q141" s="7" t="s">
        <v>29</v>
      </c>
      <c r="R141" s="7" t="s">
        <v>29</v>
      </c>
      <c r="S141" s="7" t="s">
        <v>29</v>
      </c>
    </row>
    <row r="142" spans="2:19">
      <c r="B142" s="9" t="s">
        <v>195</v>
      </c>
      <c r="C142" s="7" t="s">
        <v>195</v>
      </c>
      <c r="D142" s="5" t="str">
        <f>LRTRIM(CONCATENATE(IF(SUMPRODUCT(-- ISNUMBER(SEARCH({"Auto Number"}, $B142))) &gt; 0, $B142, IF(SUMPRODUCT(-- ISNUMBER(SEARCH({"Lookup","Master-Detail"}, $B142))) &gt; 0,$B142 &amp; "(" &amp; $E142 &amp; ")",IF(SUMPRODUCT(-- ISNUMBER(SEARCH({"Formula","Roll-Up Summary"}, $B142))) &gt; 0,$B142 &amp; " (" &amp; $E142 &amp; ")",IF(SUMPRODUCT(-- ISNUMBER(SEARCH({"Content","Currency","Number","Percent","Text","URL"}, $B142))) &gt; 0,$B142 &amp; "(" &amp; $C142 &amp; ")",$B142)))), "  ", TRIM(IF($S142 = "YES", "(External ID)", "") &amp; " " &amp; IF(SUMPRODUCT(-- ISNUMBER(SEARCH({"Unique","Unique Case Insensitive"}, $R142))) &gt; 0, "(" &amp; $R142 &amp; ")", ""))))</f>
        <v>na</v>
      </c>
      <c r="E142" s="7" t="s">
        <v>195</v>
      </c>
      <c r="F142" s="7" t="s">
        <v>195</v>
      </c>
      <c r="G142" s="7" t="s">
        <v>195</v>
      </c>
      <c r="H142" s="7" t="s">
        <v>195</v>
      </c>
      <c r="I142" s="7" t="s">
        <v>195</v>
      </c>
      <c r="J142" s="7" t="s">
        <v>195</v>
      </c>
      <c r="K142" s="7" t="s">
        <v>195</v>
      </c>
      <c r="L142" s="7" t="s">
        <v>195</v>
      </c>
      <c r="M142" s="7" t="s">
        <v>29</v>
      </c>
      <c r="N142" s="7" t="s">
        <v>29</v>
      </c>
      <c r="O142" s="7" t="s">
        <v>29</v>
      </c>
      <c r="P142" s="7" t="s">
        <v>29</v>
      </c>
      <c r="Q142" s="7" t="s">
        <v>29</v>
      </c>
      <c r="R142" s="7" t="s">
        <v>29</v>
      </c>
      <c r="S142" s="7" t="s">
        <v>29</v>
      </c>
    </row>
    <row r="143" spans="2:19">
      <c r="B143" s="9" t="s">
        <v>195</v>
      </c>
      <c r="C143" s="7" t="s">
        <v>195</v>
      </c>
      <c r="D143" s="5" t="str">
        <f>LRTRIM(CONCATENATE(IF(SUMPRODUCT(-- ISNUMBER(SEARCH({"Auto Number"}, $B143))) &gt; 0, $B143, IF(SUMPRODUCT(-- ISNUMBER(SEARCH({"Lookup","Master-Detail"}, $B143))) &gt; 0,$B143 &amp; "(" &amp; $E143 &amp; ")",IF(SUMPRODUCT(-- ISNUMBER(SEARCH({"Formula","Roll-Up Summary"}, $B143))) &gt; 0,$B143 &amp; " (" &amp; $E143 &amp; ")",IF(SUMPRODUCT(-- ISNUMBER(SEARCH({"Content","Currency","Number","Percent","Text","URL"}, $B143))) &gt; 0,$B143 &amp; "(" &amp; $C143 &amp; ")",$B143)))), "  ", TRIM(IF($S143 = "YES", "(External ID)", "") &amp; " " &amp; IF(SUMPRODUCT(-- ISNUMBER(SEARCH({"Unique","Unique Case Insensitive"}, $R143))) &gt; 0, "(" &amp; $R143 &amp; ")", ""))))</f>
        <v>na</v>
      </c>
      <c r="E143" s="7" t="s">
        <v>195</v>
      </c>
      <c r="F143" s="7" t="s">
        <v>195</v>
      </c>
      <c r="G143" s="7" t="s">
        <v>195</v>
      </c>
      <c r="H143" s="7" t="s">
        <v>195</v>
      </c>
      <c r="I143" s="7" t="s">
        <v>195</v>
      </c>
      <c r="J143" s="7" t="s">
        <v>195</v>
      </c>
      <c r="K143" s="7" t="s">
        <v>195</v>
      </c>
      <c r="L143" s="7" t="s">
        <v>195</v>
      </c>
      <c r="M143" s="7" t="s">
        <v>29</v>
      </c>
      <c r="N143" s="7" t="s">
        <v>29</v>
      </c>
      <c r="O143" s="7" t="s">
        <v>29</v>
      </c>
      <c r="P143" s="7" t="s">
        <v>29</v>
      </c>
      <c r="Q143" s="7" t="s">
        <v>29</v>
      </c>
      <c r="R143" s="7" t="s">
        <v>29</v>
      </c>
      <c r="S143" s="7" t="s">
        <v>29</v>
      </c>
    </row>
    <row r="144" spans="2:19">
      <c r="B144" s="9" t="s">
        <v>195</v>
      </c>
      <c r="C144" s="7" t="s">
        <v>195</v>
      </c>
      <c r="D144" s="5" t="str">
        <f>LRTRIM(CONCATENATE(IF(SUMPRODUCT(-- ISNUMBER(SEARCH({"Auto Number"}, $B144))) &gt; 0, $B144, IF(SUMPRODUCT(-- ISNUMBER(SEARCH({"Lookup","Master-Detail"}, $B144))) &gt; 0,$B144 &amp; "(" &amp; $E144 &amp; ")",IF(SUMPRODUCT(-- ISNUMBER(SEARCH({"Formula","Roll-Up Summary"}, $B144))) &gt; 0,$B144 &amp; " (" &amp; $E144 &amp; ")",IF(SUMPRODUCT(-- ISNUMBER(SEARCH({"Content","Currency","Number","Percent","Text","URL"}, $B144))) &gt; 0,$B144 &amp; "(" &amp; $C144 &amp; ")",$B144)))), "  ", TRIM(IF($S144 = "YES", "(External ID)", "") &amp; " " &amp; IF(SUMPRODUCT(-- ISNUMBER(SEARCH({"Unique","Unique Case Insensitive"}, $R144))) &gt; 0, "(" &amp; $R144 &amp; ")", ""))))</f>
        <v>na</v>
      </c>
      <c r="E144" s="7" t="s">
        <v>195</v>
      </c>
      <c r="F144" s="7" t="s">
        <v>195</v>
      </c>
      <c r="G144" s="7" t="s">
        <v>195</v>
      </c>
      <c r="H144" s="7" t="s">
        <v>195</v>
      </c>
      <c r="I144" s="7" t="s">
        <v>195</v>
      </c>
      <c r="J144" s="7" t="s">
        <v>195</v>
      </c>
      <c r="K144" s="7" t="s">
        <v>195</v>
      </c>
      <c r="L144" s="7" t="s">
        <v>195</v>
      </c>
      <c r="M144" s="7" t="s">
        <v>29</v>
      </c>
      <c r="N144" s="7" t="s">
        <v>29</v>
      </c>
      <c r="O144" s="7" t="s">
        <v>29</v>
      </c>
      <c r="P144" s="7" t="s">
        <v>29</v>
      </c>
      <c r="Q144" s="7" t="s">
        <v>29</v>
      </c>
      <c r="R144" s="7" t="s">
        <v>29</v>
      </c>
      <c r="S144" s="7" t="s">
        <v>29</v>
      </c>
    </row>
    <row r="145" spans="2:19">
      <c r="B145" s="9" t="s">
        <v>195</v>
      </c>
      <c r="C145" s="7" t="s">
        <v>195</v>
      </c>
      <c r="D145" s="5" t="str">
        <f>LRTRIM(CONCATENATE(IF(SUMPRODUCT(-- ISNUMBER(SEARCH({"Auto Number"}, $B145))) &gt; 0, $B145, IF(SUMPRODUCT(-- ISNUMBER(SEARCH({"Lookup","Master-Detail"}, $B145))) &gt; 0,$B145 &amp; "(" &amp; $E145 &amp; ")",IF(SUMPRODUCT(-- ISNUMBER(SEARCH({"Formula","Roll-Up Summary"}, $B145))) &gt; 0,$B145 &amp; " (" &amp; $E145 &amp; ")",IF(SUMPRODUCT(-- ISNUMBER(SEARCH({"Content","Currency","Number","Percent","Text","URL"}, $B145))) &gt; 0,$B145 &amp; "(" &amp; $C145 &amp; ")",$B145)))), "  ", TRIM(IF($S145 = "YES", "(External ID)", "") &amp; " " &amp; IF(SUMPRODUCT(-- ISNUMBER(SEARCH({"Unique","Unique Case Insensitive"}, $R145))) &gt; 0, "(" &amp; $R145 &amp; ")", ""))))</f>
        <v>na</v>
      </c>
      <c r="E145" s="7" t="s">
        <v>195</v>
      </c>
      <c r="F145" s="7" t="s">
        <v>195</v>
      </c>
      <c r="G145" s="7" t="s">
        <v>195</v>
      </c>
      <c r="H145" s="7" t="s">
        <v>195</v>
      </c>
      <c r="I145" s="7" t="s">
        <v>195</v>
      </c>
      <c r="J145" s="7" t="s">
        <v>195</v>
      </c>
      <c r="K145" s="7" t="s">
        <v>195</v>
      </c>
      <c r="L145" s="7" t="s">
        <v>195</v>
      </c>
      <c r="M145" s="7" t="s">
        <v>29</v>
      </c>
      <c r="N145" s="7" t="s">
        <v>29</v>
      </c>
      <c r="O145" s="7" t="s">
        <v>29</v>
      </c>
      <c r="P145" s="7" t="s">
        <v>29</v>
      </c>
      <c r="Q145" s="7" t="s">
        <v>29</v>
      </c>
      <c r="R145" s="7" t="s">
        <v>29</v>
      </c>
      <c r="S145" s="7" t="s">
        <v>29</v>
      </c>
    </row>
    <row r="146" spans="2:19">
      <c r="B146" s="9" t="s">
        <v>195</v>
      </c>
      <c r="C146" s="7" t="s">
        <v>195</v>
      </c>
      <c r="D146" s="5" t="str">
        <f>LRTRIM(CONCATENATE(IF(SUMPRODUCT(-- ISNUMBER(SEARCH({"Auto Number"}, $B146))) &gt; 0, $B146, IF(SUMPRODUCT(-- ISNUMBER(SEARCH({"Lookup","Master-Detail"}, $B146))) &gt; 0,$B146 &amp; "(" &amp; $E146 &amp; ")",IF(SUMPRODUCT(-- ISNUMBER(SEARCH({"Formula","Roll-Up Summary"}, $B146))) &gt; 0,$B146 &amp; " (" &amp; $E146 &amp; ")",IF(SUMPRODUCT(-- ISNUMBER(SEARCH({"Content","Currency","Number","Percent","Text","URL"}, $B146))) &gt; 0,$B146 &amp; "(" &amp; $C146 &amp; ")",$B146)))), "  ", TRIM(IF($S146 = "YES", "(External ID)", "") &amp; " " &amp; IF(SUMPRODUCT(-- ISNUMBER(SEARCH({"Unique","Unique Case Insensitive"}, $R146))) &gt; 0, "(" &amp; $R146 &amp; ")", ""))))</f>
        <v>na</v>
      </c>
      <c r="E146" s="7" t="s">
        <v>195</v>
      </c>
      <c r="F146" s="7" t="s">
        <v>195</v>
      </c>
      <c r="G146" s="7" t="s">
        <v>195</v>
      </c>
      <c r="H146" s="7" t="s">
        <v>195</v>
      </c>
      <c r="I146" s="7" t="s">
        <v>195</v>
      </c>
      <c r="J146" s="7" t="s">
        <v>195</v>
      </c>
      <c r="K146" s="7" t="s">
        <v>195</v>
      </c>
      <c r="L146" s="7" t="s">
        <v>195</v>
      </c>
      <c r="M146" s="7" t="s">
        <v>29</v>
      </c>
      <c r="N146" s="7" t="s">
        <v>29</v>
      </c>
      <c r="O146" s="7" t="s">
        <v>29</v>
      </c>
      <c r="P146" s="7" t="s">
        <v>29</v>
      </c>
      <c r="Q146" s="7" t="s">
        <v>29</v>
      </c>
      <c r="R146" s="7" t="s">
        <v>29</v>
      </c>
      <c r="S146" s="7" t="s">
        <v>29</v>
      </c>
    </row>
    <row r="147" spans="2:19">
      <c r="B147" s="9" t="s">
        <v>195</v>
      </c>
      <c r="C147" s="7" t="s">
        <v>195</v>
      </c>
      <c r="D147" s="5" t="str">
        <f>LRTRIM(CONCATENATE(IF(SUMPRODUCT(-- ISNUMBER(SEARCH({"Auto Number"}, $B147))) &gt; 0, $B147, IF(SUMPRODUCT(-- ISNUMBER(SEARCH({"Lookup","Master-Detail"}, $B147))) &gt; 0,$B147 &amp; "(" &amp; $E147 &amp; ")",IF(SUMPRODUCT(-- ISNUMBER(SEARCH({"Formula","Roll-Up Summary"}, $B147))) &gt; 0,$B147 &amp; " (" &amp; $E147 &amp; ")",IF(SUMPRODUCT(-- ISNUMBER(SEARCH({"Content","Currency","Number","Percent","Text","URL"}, $B147))) &gt; 0,$B147 &amp; "(" &amp; $C147 &amp; ")",$B147)))), "  ", TRIM(IF($S147 = "YES", "(External ID)", "") &amp; " " &amp; IF(SUMPRODUCT(-- ISNUMBER(SEARCH({"Unique","Unique Case Insensitive"}, $R147))) &gt; 0, "(" &amp; $R147 &amp; ")", ""))))</f>
        <v>na</v>
      </c>
      <c r="E147" s="7" t="s">
        <v>195</v>
      </c>
      <c r="F147" s="7" t="s">
        <v>195</v>
      </c>
      <c r="G147" s="7" t="s">
        <v>195</v>
      </c>
      <c r="H147" s="7" t="s">
        <v>195</v>
      </c>
      <c r="I147" s="7" t="s">
        <v>195</v>
      </c>
      <c r="J147" s="7" t="s">
        <v>195</v>
      </c>
      <c r="K147" s="7" t="s">
        <v>195</v>
      </c>
      <c r="L147" s="7" t="s">
        <v>195</v>
      </c>
      <c r="M147" s="7" t="s">
        <v>29</v>
      </c>
      <c r="N147" s="7" t="s">
        <v>29</v>
      </c>
      <c r="O147" s="7" t="s">
        <v>29</v>
      </c>
      <c r="P147" s="7" t="s">
        <v>29</v>
      </c>
      <c r="Q147" s="7" t="s">
        <v>29</v>
      </c>
      <c r="R147" s="7" t="s">
        <v>29</v>
      </c>
      <c r="S147" s="7" t="s">
        <v>29</v>
      </c>
    </row>
    <row r="148" spans="2:19">
      <c r="B148" s="9" t="s">
        <v>195</v>
      </c>
      <c r="C148" s="7" t="s">
        <v>195</v>
      </c>
      <c r="D148" s="5" t="str">
        <f>LRTRIM(CONCATENATE(IF(SUMPRODUCT(-- ISNUMBER(SEARCH({"Auto Number"}, $B148))) &gt; 0, $B148, IF(SUMPRODUCT(-- ISNUMBER(SEARCH({"Lookup","Master-Detail"}, $B148))) &gt; 0,$B148 &amp; "(" &amp; $E148 &amp; ")",IF(SUMPRODUCT(-- ISNUMBER(SEARCH({"Formula","Roll-Up Summary"}, $B148))) &gt; 0,$B148 &amp; " (" &amp; $E148 &amp; ")",IF(SUMPRODUCT(-- ISNUMBER(SEARCH({"Content","Currency","Number","Percent","Text","URL"}, $B148))) &gt; 0,$B148 &amp; "(" &amp; $C148 &amp; ")",$B148)))), "  ", TRIM(IF($S148 = "YES", "(External ID)", "") &amp; " " &amp; IF(SUMPRODUCT(-- ISNUMBER(SEARCH({"Unique","Unique Case Insensitive"}, $R148))) &gt; 0, "(" &amp; $R148 &amp; ")", ""))))</f>
        <v>na</v>
      </c>
      <c r="E148" s="7" t="s">
        <v>195</v>
      </c>
      <c r="F148" s="7" t="s">
        <v>195</v>
      </c>
      <c r="G148" s="7" t="s">
        <v>195</v>
      </c>
      <c r="H148" s="7" t="s">
        <v>195</v>
      </c>
      <c r="I148" s="7" t="s">
        <v>195</v>
      </c>
      <c r="J148" s="7" t="s">
        <v>195</v>
      </c>
      <c r="K148" s="7" t="s">
        <v>195</v>
      </c>
      <c r="L148" s="7" t="s">
        <v>195</v>
      </c>
      <c r="M148" s="7" t="s">
        <v>29</v>
      </c>
      <c r="N148" s="7" t="s">
        <v>29</v>
      </c>
      <c r="O148" s="7" t="s">
        <v>29</v>
      </c>
      <c r="P148" s="7" t="s">
        <v>29</v>
      </c>
      <c r="Q148" s="7" t="s">
        <v>29</v>
      </c>
      <c r="R148" s="7" t="s">
        <v>29</v>
      </c>
      <c r="S148" s="7" t="s">
        <v>29</v>
      </c>
    </row>
    <row r="149" spans="2:19">
      <c r="B149" s="9" t="s">
        <v>195</v>
      </c>
      <c r="C149" s="7" t="s">
        <v>195</v>
      </c>
      <c r="D149" s="5" t="str">
        <f>LRTRIM(CONCATENATE(IF(SUMPRODUCT(-- ISNUMBER(SEARCH({"Auto Number"}, $B149))) &gt; 0, $B149, IF(SUMPRODUCT(-- ISNUMBER(SEARCH({"Lookup","Master-Detail"}, $B149))) &gt; 0,$B149 &amp; "(" &amp; $E149 &amp; ")",IF(SUMPRODUCT(-- ISNUMBER(SEARCH({"Formula","Roll-Up Summary"}, $B149))) &gt; 0,$B149 &amp; " (" &amp; $E149 &amp; ")",IF(SUMPRODUCT(-- ISNUMBER(SEARCH({"Content","Currency","Number","Percent","Text","URL"}, $B149))) &gt; 0,$B149 &amp; "(" &amp; $C149 &amp; ")",$B149)))), "  ", TRIM(IF($S149 = "YES", "(External ID)", "") &amp; " " &amp; IF(SUMPRODUCT(-- ISNUMBER(SEARCH({"Unique","Unique Case Insensitive"}, $R149))) &gt; 0, "(" &amp; $R149 &amp; ")", ""))))</f>
        <v>na</v>
      </c>
      <c r="E149" s="7" t="s">
        <v>195</v>
      </c>
      <c r="F149" s="7" t="s">
        <v>195</v>
      </c>
      <c r="G149" s="7" t="s">
        <v>195</v>
      </c>
      <c r="H149" s="7" t="s">
        <v>195</v>
      </c>
      <c r="I149" s="7" t="s">
        <v>195</v>
      </c>
      <c r="J149" s="7" t="s">
        <v>195</v>
      </c>
      <c r="K149" s="7" t="s">
        <v>195</v>
      </c>
      <c r="L149" s="7" t="s">
        <v>195</v>
      </c>
      <c r="M149" s="7" t="s">
        <v>29</v>
      </c>
      <c r="N149" s="7" t="s">
        <v>29</v>
      </c>
      <c r="O149" s="7" t="s">
        <v>29</v>
      </c>
      <c r="P149" s="7" t="s">
        <v>29</v>
      </c>
      <c r="Q149" s="7" t="s">
        <v>29</v>
      </c>
      <c r="R149" s="7" t="s">
        <v>29</v>
      </c>
      <c r="S149" s="7" t="s">
        <v>29</v>
      </c>
    </row>
    <row r="150" spans="2:19">
      <c r="B150" s="9" t="s">
        <v>195</v>
      </c>
      <c r="C150" s="7" t="s">
        <v>195</v>
      </c>
      <c r="D150" s="5" t="str">
        <f>LRTRIM(CONCATENATE(IF(SUMPRODUCT(-- ISNUMBER(SEARCH({"Auto Number"}, $B150))) &gt; 0, $B150, IF(SUMPRODUCT(-- ISNUMBER(SEARCH({"Lookup","Master-Detail"}, $B150))) &gt; 0,$B150 &amp; "(" &amp; $E150 &amp; ")",IF(SUMPRODUCT(-- ISNUMBER(SEARCH({"Formula","Roll-Up Summary"}, $B150))) &gt; 0,$B150 &amp; " (" &amp; $E150 &amp; ")",IF(SUMPRODUCT(-- ISNUMBER(SEARCH({"Content","Currency","Number","Percent","Text","URL"}, $B150))) &gt; 0,$B150 &amp; "(" &amp; $C150 &amp; ")",$B150)))), "  ", TRIM(IF($S150 = "YES", "(External ID)", "") &amp; " " &amp; IF(SUMPRODUCT(-- ISNUMBER(SEARCH({"Unique","Unique Case Insensitive"}, $R150))) &gt; 0, "(" &amp; $R150 &amp; ")", ""))))</f>
        <v>na</v>
      </c>
      <c r="E150" s="7" t="s">
        <v>195</v>
      </c>
      <c r="F150" s="7" t="s">
        <v>195</v>
      </c>
      <c r="G150" s="7" t="s">
        <v>195</v>
      </c>
      <c r="H150" s="7" t="s">
        <v>195</v>
      </c>
      <c r="I150" s="7" t="s">
        <v>195</v>
      </c>
      <c r="J150" s="7" t="s">
        <v>195</v>
      </c>
      <c r="K150" s="7" t="s">
        <v>195</v>
      </c>
      <c r="L150" s="7" t="s">
        <v>195</v>
      </c>
      <c r="M150" s="7" t="s">
        <v>29</v>
      </c>
      <c r="N150" s="7" t="s">
        <v>29</v>
      </c>
      <c r="O150" s="7" t="s">
        <v>29</v>
      </c>
      <c r="P150" s="7" t="s">
        <v>29</v>
      </c>
      <c r="Q150" s="7" t="s">
        <v>29</v>
      </c>
      <c r="R150" s="7" t="s">
        <v>29</v>
      </c>
      <c r="S150" s="7" t="s">
        <v>29</v>
      </c>
    </row>
    <row r="151" spans="2:19">
      <c r="B151" s="9" t="s">
        <v>195</v>
      </c>
      <c r="C151" s="7" t="s">
        <v>195</v>
      </c>
      <c r="D151" s="5" t="str">
        <f>LRTRIM(CONCATENATE(IF(SUMPRODUCT(-- ISNUMBER(SEARCH({"Auto Number"}, $B151))) &gt; 0, $B151, IF(SUMPRODUCT(-- ISNUMBER(SEARCH({"Lookup","Master-Detail"}, $B151))) &gt; 0,$B151 &amp; "(" &amp; $E151 &amp; ")",IF(SUMPRODUCT(-- ISNUMBER(SEARCH({"Formula","Roll-Up Summary"}, $B151))) &gt; 0,$B151 &amp; " (" &amp; $E151 &amp; ")",IF(SUMPRODUCT(-- ISNUMBER(SEARCH({"Content","Currency","Number","Percent","Text","URL"}, $B151))) &gt; 0,$B151 &amp; "(" &amp; $C151 &amp; ")",$B151)))), "  ", TRIM(IF($S151 = "YES", "(External ID)", "") &amp; " " &amp; IF(SUMPRODUCT(-- ISNUMBER(SEARCH({"Unique","Unique Case Insensitive"}, $R151))) &gt; 0, "(" &amp; $R151 &amp; ")", ""))))</f>
        <v>na</v>
      </c>
      <c r="E151" s="7" t="s">
        <v>195</v>
      </c>
      <c r="F151" s="7" t="s">
        <v>195</v>
      </c>
      <c r="G151" s="7" t="s">
        <v>195</v>
      </c>
      <c r="H151" s="7" t="s">
        <v>195</v>
      </c>
      <c r="I151" s="7" t="s">
        <v>195</v>
      </c>
      <c r="J151" s="7" t="s">
        <v>195</v>
      </c>
      <c r="K151" s="7" t="s">
        <v>195</v>
      </c>
      <c r="L151" s="7" t="s">
        <v>195</v>
      </c>
      <c r="M151" s="7" t="s">
        <v>29</v>
      </c>
      <c r="N151" s="7" t="s">
        <v>29</v>
      </c>
      <c r="O151" s="7" t="s">
        <v>29</v>
      </c>
      <c r="P151" s="7" t="s">
        <v>29</v>
      </c>
      <c r="Q151" s="7" t="s">
        <v>29</v>
      </c>
      <c r="R151" s="7" t="s">
        <v>29</v>
      </c>
      <c r="S151" s="7" t="s">
        <v>29</v>
      </c>
    </row>
    <row r="152" spans="2:19">
      <c r="B152" s="9" t="s">
        <v>195</v>
      </c>
      <c r="C152" s="7" t="s">
        <v>195</v>
      </c>
      <c r="D152" s="5" t="str">
        <f>LRTRIM(CONCATENATE(IF(SUMPRODUCT(-- ISNUMBER(SEARCH({"Auto Number"}, $B152))) &gt; 0, $B152, IF(SUMPRODUCT(-- ISNUMBER(SEARCH({"Lookup","Master-Detail"}, $B152))) &gt; 0,$B152 &amp; "(" &amp; $E152 &amp; ")",IF(SUMPRODUCT(-- ISNUMBER(SEARCH({"Formula","Roll-Up Summary"}, $B152))) &gt; 0,$B152 &amp; " (" &amp; $E152 &amp; ")",IF(SUMPRODUCT(-- ISNUMBER(SEARCH({"Content","Currency","Number","Percent","Text","URL"}, $B152))) &gt; 0,$B152 &amp; "(" &amp; $C152 &amp; ")",$B152)))), "  ", TRIM(IF($S152 = "YES", "(External ID)", "") &amp; " " &amp; IF(SUMPRODUCT(-- ISNUMBER(SEARCH({"Unique","Unique Case Insensitive"}, $R152))) &gt; 0, "(" &amp; $R152 &amp; ")", ""))))</f>
        <v>na</v>
      </c>
      <c r="E152" s="7" t="s">
        <v>195</v>
      </c>
      <c r="F152" s="7" t="s">
        <v>195</v>
      </c>
      <c r="G152" s="7" t="s">
        <v>195</v>
      </c>
      <c r="H152" s="7" t="s">
        <v>195</v>
      </c>
      <c r="I152" s="7" t="s">
        <v>195</v>
      </c>
      <c r="J152" s="7" t="s">
        <v>195</v>
      </c>
      <c r="K152" s="7" t="s">
        <v>195</v>
      </c>
      <c r="L152" s="7" t="s">
        <v>195</v>
      </c>
      <c r="M152" s="7" t="s">
        <v>29</v>
      </c>
      <c r="N152" s="7" t="s">
        <v>29</v>
      </c>
      <c r="O152" s="7" t="s">
        <v>29</v>
      </c>
      <c r="P152" s="7" t="s">
        <v>29</v>
      </c>
      <c r="Q152" s="7" t="s">
        <v>29</v>
      </c>
      <c r="R152" s="7" t="s">
        <v>29</v>
      </c>
      <c r="S152" s="7" t="s">
        <v>29</v>
      </c>
    </row>
    <row r="153" spans="2:19">
      <c r="B153" s="9" t="s">
        <v>195</v>
      </c>
      <c r="C153" s="7" t="s">
        <v>195</v>
      </c>
      <c r="D153" s="5" t="str">
        <f>LRTRIM(CONCATENATE(IF(SUMPRODUCT(-- ISNUMBER(SEARCH({"Auto Number"}, $B153))) &gt; 0, $B153, IF(SUMPRODUCT(-- ISNUMBER(SEARCH({"Lookup","Master-Detail"}, $B153))) &gt; 0,$B153 &amp; "(" &amp; $E153 &amp; ")",IF(SUMPRODUCT(-- ISNUMBER(SEARCH({"Formula","Roll-Up Summary"}, $B153))) &gt; 0,$B153 &amp; " (" &amp; $E153 &amp; ")",IF(SUMPRODUCT(-- ISNUMBER(SEARCH({"Content","Currency","Number","Percent","Text","URL"}, $B153))) &gt; 0,$B153 &amp; "(" &amp; $C153 &amp; ")",$B153)))), "  ", TRIM(IF($S153 = "YES", "(External ID)", "") &amp; " " &amp; IF(SUMPRODUCT(-- ISNUMBER(SEARCH({"Unique","Unique Case Insensitive"}, $R153))) &gt; 0, "(" &amp; $R153 &amp; ")", ""))))</f>
        <v>na</v>
      </c>
      <c r="E153" s="7" t="s">
        <v>195</v>
      </c>
      <c r="F153" s="7" t="s">
        <v>195</v>
      </c>
      <c r="G153" s="7" t="s">
        <v>195</v>
      </c>
      <c r="H153" s="7" t="s">
        <v>195</v>
      </c>
      <c r="I153" s="7" t="s">
        <v>195</v>
      </c>
      <c r="J153" s="7" t="s">
        <v>195</v>
      </c>
      <c r="K153" s="7" t="s">
        <v>195</v>
      </c>
      <c r="L153" s="7" t="s">
        <v>195</v>
      </c>
      <c r="M153" s="7" t="s">
        <v>29</v>
      </c>
      <c r="N153" s="7" t="s">
        <v>29</v>
      </c>
      <c r="O153" s="7" t="s">
        <v>29</v>
      </c>
      <c r="P153" s="7" t="s">
        <v>29</v>
      </c>
      <c r="Q153" s="7" t="s">
        <v>29</v>
      </c>
      <c r="R153" s="7" t="s">
        <v>29</v>
      </c>
      <c r="S153" s="7" t="s">
        <v>29</v>
      </c>
    </row>
    <row r="154" spans="2:19">
      <c r="B154" s="9" t="s">
        <v>195</v>
      </c>
      <c r="C154" s="7" t="s">
        <v>195</v>
      </c>
      <c r="D154" s="5" t="str">
        <f>LRTRIM(CONCATENATE(IF(SUMPRODUCT(-- ISNUMBER(SEARCH({"Auto Number"}, $B154))) &gt; 0, $B154, IF(SUMPRODUCT(-- ISNUMBER(SEARCH({"Lookup","Master-Detail"}, $B154))) &gt; 0,$B154 &amp; "(" &amp; $E154 &amp; ")",IF(SUMPRODUCT(-- ISNUMBER(SEARCH({"Formula","Roll-Up Summary"}, $B154))) &gt; 0,$B154 &amp; " (" &amp; $E154 &amp; ")",IF(SUMPRODUCT(-- ISNUMBER(SEARCH({"Content","Currency","Number","Percent","Text","URL"}, $B154))) &gt; 0,$B154 &amp; "(" &amp; $C154 &amp; ")",$B154)))), "  ", TRIM(IF($S154 = "YES", "(External ID)", "") &amp; " " &amp; IF(SUMPRODUCT(-- ISNUMBER(SEARCH({"Unique","Unique Case Insensitive"}, $R154))) &gt; 0, "(" &amp; $R154 &amp; ")", ""))))</f>
        <v>na</v>
      </c>
      <c r="E154" s="7" t="s">
        <v>195</v>
      </c>
      <c r="F154" s="7" t="s">
        <v>195</v>
      </c>
      <c r="G154" s="7" t="s">
        <v>195</v>
      </c>
      <c r="H154" s="7" t="s">
        <v>195</v>
      </c>
      <c r="I154" s="7" t="s">
        <v>195</v>
      </c>
      <c r="J154" s="7" t="s">
        <v>195</v>
      </c>
      <c r="K154" s="7" t="s">
        <v>195</v>
      </c>
      <c r="L154" s="7" t="s">
        <v>195</v>
      </c>
      <c r="M154" s="7" t="s">
        <v>29</v>
      </c>
      <c r="N154" s="7" t="s">
        <v>29</v>
      </c>
      <c r="O154" s="7" t="s">
        <v>29</v>
      </c>
      <c r="P154" s="7" t="s">
        <v>29</v>
      </c>
      <c r="Q154" s="7" t="s">
        <v>29</v>
      </c>
      <c r="R154" s="7" t="s">
        <v>29</v>
      </c>
      <c r="S154" s="7" t="s">
        <v>29</v>
      </c>
    </row>
    <row r="155" spans="2:19">
      <c r="B155" s="9" t="s">
        <v>195</v>
      </c>
      <c r="C155" s="7" t="s">
        <v>195</v>
      </c>
      <c r="D155" s="5" t="str">
        <f>LRTRIM(CONCATENATE(IF(SUMPRODUCT(-- ISNUMBER(SEARCH({"Auto Number"}, $B155))) &gt; 0, $B155, IF(SUMPRODUCT(-- ISNUMBER(SEARCH({"Lookup","Master-Detail"}, $B155))) &gt; 0,$B155 &amp; "(" &amp; $E155 &amp; ")",IF(SUMPRODUCT(-- ISNUMBER(SEARCH({"Formula","Roll-Up Summary"}, $B155))) &gt; 0,$B155 &amp; " (" &amp; $E155 &amp; ")",IF(SUMPRODUCT(-- ISNUMBER(SEARCH({"Content","Currency","Number","Percent","Text","URL"}, $B155))) &gt; 0,$B155 &amp; "(" &amp; $C155 &amp; ")",$B155)))), "  ", TRIM(IF($S155 = "YES", "(External ID)", "") &amp; " " &amp; IF(SUMPRODUCT(-- ISNUMBER(SEARCH({"Unique","Unique Case Insensitive"}, $R155))) &gt; 0, "(" &amp; $R155 &amp; ")", ""))))</f>
        <v>na</v>
      </c>
      <c r="E155" s="7" t="s">
        <v>195</v>
      </c>
      <c r="F155" s="7" t="s">
        <v>195</v>
      </c>
      <c r="G155" s="7" t="s">
        <v>195</v>
      </c>
      <c r="H155" s="7" t="s">
        <v>195</v>
      </c>
      <c r="I155" s="7" t="s">
        <v>195</v>
      </c>
      <c r="J155" s="7" t="s">
        <v>195</v>
      </c>
      <c r="K155" s="7" t="s">
        <v>195</v>
      </c>
      <c r="L155" s="7" t="s">
        <v>195</v>
      </c>
      <c r="M155" s="7" t="s">
        <v>29</v>
      </c>
      <c r="N155" s="7" t="s">
        <v>29</v>
      </c>
      <c r="O155" s="7" t="s">
        <v>29</v>
      </c>
      <c r="P155" s="7" t="s">
        <v>29</v>
      </c>
      <c r="Q155" s="7" t="s">
        <v>29</v>
      </c>
      <c r="R155" s="7" t="s">
        <v>29</v>
      </c>
      <c r="S155" s="7" t="s">
        <v>29</v>
      </c>
    </row>
    <row r="156" spans="2:19">
      <c r="B156" s="9" t="s">
        <v>195</v>
      </c>
      <c r="C156" s="7" t="s">
        <v>195</v>
      </c>
      <c r="D156" s="5" t="str">
        <f>LRTRIM(CONCATENATE(IF(SUMPRODUCT(-- ISNUMBER(SEARCH({"Auto Number"}, $B156))) &gt; 0, $B156, IF(SUMPRODUCT(-- ISNUMBER(SEARCH({"Lookup","Master-Detail"}, $B156))) &gt; 0,$B156 &amp; "(" &amp; $E156 &amp; ")",IF(SUMPRODUCT(-- ISNUMBER(SEARCH({"Formula","Roll-Up Summary"}, $B156))) &gt; 0,$B156 &amp; " (" &amp; $E156 &amp; ")",IF(SUMPRODUCT(-- ISNUMBER(SEARCH({"Content","Currency","Number","Percent","Text","URL"}, $B156))) &gt; 0,$B156 &amp; "(" &amp; $C156 &amp; ")",$B156)))), "  ", TRIM(IF($S156 = "YES", "(External ID)", "") &amp; " " &amp; IF(SUMPRODUCT(-- ISNUMBER(SEARCH({"Unique","Unique Case Insensitive"}, $R156))) &gt; 0, "(" &amp; $R156 &amp; ")", ""))))</f>
        <v>na</v>
      </c>
      <c r="E156" s="7" t="s">
        <v>195</v>
      </c>
      <c r="F156" s="7" t="s">
        <v>195</v>
      </c>
      <c r="G156" s="7" t="s">
        <v>195</v>
      </c>
      <c r="H156" s="7" t="s">
        <v>195</v>
      </c>
      <c r="I156" s="7" t="s">
        <v>195</v>
      </c>
      <c r="J156" s="7" t="s">
        <v>195</v>
      </c>
      <c r="K156" s="7" t="s">
        <v>195</v>
      </c>
      <c r="L156" s="7" t="s">
        <v>195</v>
      </c>
      <c r="M156" s="7" t="s">
        <v>29</v>
      </c>
      <c r="N156" s="7" t="s">
        <v>29</v>
      </c>
      <c r="O156" s="7" t="s">
        <v>29</v>
      </c>
      <c r="P156" s="7" t="s">
        <v>29</v>
      </c>
      <c r="Q156" s="7" t="s">
        <v>29</v>
      </c>
      <c r="R156" s="7" t="s">
        <v>29</v>
      </c>
      <c r="S156" s="7" t="s">
        <v>29</v>
      </c>
    </row>
    <row r="157" spans="2:19">
      <c r="B157" s="9" t="s">
        <v>195</v>
      </c>
      <c r="C157" s="7" t="s">
        <v>195</v>
      </c>
      <c r="D157" s="5" t="str">
        <f>LRTRIM(CONCATENATE(IF(SUMPRODUCT(-- ISNUMBER(SEARCH({"Auto Number"}, $B157))) &gt; 0, $B157, IF(SUMPRODUCT(-- ISNUMBER(SEARCH({"Lookup","Master-Detail"}, $B157))) &gt; 0,$B157 &amp; "(" &amp; $E157 &amp; ")",IF(SUMPRODUCT(-- ISNUMBER(SEARCH({"Formula","Roll-Up Summary"}, $B157))) &gt; 0,$B157 &amp; " (" &amp; $E157 &amp; ")",IF(SUMPRODUCT(-- ISNUMBER(SEARCH({"Content","Currency","Number","Percent","Text","URL"}, $B157))) &gt; 0,$B157 &amp; "(" &amp; $C157 &amp; ")",$B157)))), "  ", TRIM(IF($S157 = "YES", "(External ID)", "") &amp; " " &amp; IF(SUMPRODUCT(-- ISNUMBER(SEARCH({"Unique","Unique Case Insensitive"}, $R157))) &gt; 0, "(" &amp; $R157 &amp; ")", ""))))</f>
        <v>na</v>
      </c>
      <c r="E157" s="7" t="s">
        <v>195</v>
      </c>
      <c r="F157" s="7" t="s">
        <v>195</v>
      </c>
      <c r="G157" s="7" t="s">
        <v>195</v>
      </c>
      <c r="H157" s="7" t="s">
        <v>195</v>
      </c>
      <c r="I157" s="7" t="s">
        <v>195</v>
      </c>
      <c r="J157" s="7" t="s">
        <v>195</v>
      </c>
      <c r="K157" s="7" t="s">
        <v>195</v>
      </c>
      <c r="L157" s="7" t="s">
        <v>195</v>
      </c>
      <c r="M157" s="7" t="s">
        <v>29</v>
      </c>
      <c r="N157" s="7" t="s">
        <v>29</v>
      </c>
      <c r="O157" s="7" t="s">
        <v>29</v>
      </c>
      <c r="P157" s="7" t="s">
        <v>29</v>
      </c>
      <c r="Q157" s="7" t="s">
        <v>29</v>
      </c>
      <c r="R157" s="7" t="s">
        <v>29</v>
      </c>
      <c r="S157" s="7" t="s">
        <v>29</v>
      </c>
    </row>
    <row r="158" spans="2:19">
      <c r="B158" s="9" t="s">
        <v>195</v>
      </c>
      <c r="C158" s="7" t="s">
        <v>195</v>
      </c>
      <c r="D158" s="5" t="str">
        <f>LRTRIM(CONCATENATE(IF(SUMPRODUCT(-- ISNUMBER(SEARCH({"Auto Number"}, $B158))) &gt; 0, $B158, IF(SUMPRODUCT(-- ISNUMBER(SEARCH({"Lookup","Master-Detail"}, $B158))) &gt; 0,$B158 &amp; "(" &amp; $E158 &amp; ")",IF(SUMPRODUCT(-- ISNUMBER(SEARCH({"Formula","Roll-Up Summary"}, $B158))) &gt; 0,$B158 &amp; " (" &amp; $E158 &amp; ")",IF(SUMPRODUCT(-- ISNUMBER(SEARCH({"Content","Currency","Number","Percent","Text","URL"}, $B158))) &gt; 0,$B158 &amp; "(" &amp; $C158 &amp; ")",$B158)))), "  ", TRIM(IF($S158 = "YES", "(External ID)", "") &amp; " " &amp; IF(SUMPRODUCT(-- ISNUMBER(SEARCH({"Unique","Unique Case Insensitive"}, $R158))) &gt; 0, "(" &amp; $R158 &amp; ")", ""))))</f>
        <v>na</v>
      </c>
      <c r="E158" s="7" t="s">
        <v>195</v>
      </c>
      <c r="F158" s="7" t="s">
        <v>195</v>
      </c>
      <c r="G158" s="7" t="s">
        <v>195</v>
      </c>
      <c r="H158" s="7" t="s">
        <v>195</v>
      </c>
      <c r="I158" s="7" t="s">
        <v>195</v>
      </c>
      <c r="J158" s="7" t="s">
        <v>195</v>
      </c>
      <c r="K158" s="7" t="s">
        <v>195</v>
      </c>
      <c r="L158" s="7" t="s">
        <v>195</v>
      </c>
      <c r="M158" s="7" t="s">
        <v>29</v>
      </c>
      <c r="N158" s="7" t="s">
        <v>29</v>
      </c>
      <c r="O158" s="7" t="s">
        <v>29</v>
      </c>
      <c r="P158" s="7" t="s">
        <v>29</v>
      </c>
      <c r="Q158" s="7" t="s">
        <v>29</v>
      </c>
      <c r="R158" s="7" t="s">
        <v>29</v>
      </c>
      <c r="S158" s="7" t="s">
        <v>29</v>
      </c>
    </row>
    <row r="159" spans="2:19">
      <c r="B159" s="9" t="s">
        <v>195</v>
      </c>
      <c r="C159" s="7" t="s">
        <v>195</v>
      </c>
      <c r="D159" s="5" t="str">
        <f>LRTRIM(CONCATENATE(IF(SUMPRODUCT(-- ISNUMBER(SEARCH({"Auto Number"}, $B159))) &gt; 0, $B159, IF(SUMPRODUCT(-- ISNUMBER(SEARCH({"Lookup","Master-Detail"}, $B159))) &gt; 0,$B159 &amp; "(" &amp; $E159 &amp; ")",IF(SUMPRODUCT(-- ISNUMBER(SEARCH({"Formula","Roll-Up Summary"}, $B159))) &gt; 0,$B159 &amp; " (" &amp; $E159 &amp; ")",IF(SUMPRODUCT(-- ISNUMBER(SEARCH({"Content","Currency","Number","Percent","Text","URL"}, $B159))) &gt; 0,$B159 &amp; "(" &amp; $C159 &amp; ")",$B159)))), "  ", TRIM(IF($S159 = "YES", "(External ID)", "") &amp; " " &amp; IF(SUMPRODUCT(-- ISNUMBER(SEARCH({"Unique","Unique Case Insensitive"}, $R159))) &gt; 0, "(" &amp; $R159 &amp; ")", ""))))</f>
        <v>na</v>
      </c>
      <c r="E159" s="7" t="s">
        <v>195</v>
      </c>
      <c r="F159" s="7" t="s">
        <v>195</v>
      </c>
      <c r="G159" s="7" t="s">
        <v>195</v>
      </c>
      <c r="H159" s="7" t="s">
        <v>195</v>
      </c>
      <c r="I159" s="7" t="s">
        <v>195</v>
      </c>
      <c r="J159" s="7" t="s">
        <v>195</v>
      </c>
      <c r="K159" s="7" t="s">
        <v>195</v>
      </c>
      <c r="L159" s="7" t="s">
        <v>195</v>
      </c>
      <c r="M159" s="7" t="s">
        <v>29</v>
      </c>
      <c r="N159" s="7" t="s">
        <v>29</v>
      </c>
      <c r="O159" s="7" t="s">
        <v>29</v>
      </c>
      <c r="P159" s="7" t="s">
        <v>29</v>
      </c>
      <c r="Q159" s="7" t="s">
        <v>29</v>
      </c>
      <c r="R159" s="7" t="s">
        <v>29</v>
      </c>
      <c r="S159" s="7" t="s">
        <v>29</v>
      </c>
    </row>
    <row r="160" spans="2:19">
      <c r="B160" s="9" t="s">
        <v>195</v>
      </c>
      <c r="C160" s="7" t="s">
        <v>195</v>
      </c>
      <c r="D160" s="5" t="str">
        <f>LRTRIM(CONCATENATE(IF(SUMPRODUCT(-- ISNUMBER(SEARCH({"Auto Number"}, $B160))) &gt; 0, $B160, IF(SUMPRODUCT(-- ISNUMBER(SEARCH({"Lookup","Master-Detail"}, $B160))) &gt; 0,$B160 &amp; "(" &amp; $E160 &amp; ")",IF(SUMPRODUCT(-- ISNUMBER(SEARCH({"Formula","Roll-Up Summary"}, $B160))) &gt; 0,$B160 &amp; " (" &amp; $E160 &amp; ")",IF(SUMPRODUCT(-- ISNUMBER(SEARCH({"Content","Currency","Number","Percent","Text","URL"}, $B160))) &gt; 0,$B160 &amp; "(" &amp; $C160 &amp; ")",$B160)))), "  ", TRIM(IF($S160 = "YES", "(External ID)", "") &amp; " " &amp; IF(SUMPRODUCT(-- ISNUMBER(SEARCH({"Unique","Unique Case Insensitive"}, $R160))) &gt; 0, "(" &amp; $R160 &amp; ")", ""))))</f>
        <v>na</v>
      </c>
      <c r="E160" s="7" t="s">
        <v>195</v>
      </c>
      <c r="F160" s="7" t="s">
        <v>195</v>
      </c>
      <c r="G160" s="7" t="s">
        <v>195</v>
      </c>
      <c r="H160" s="7" t="s">
        <v>195</v>
      </c>
      <c r="I160" s="7" t="s">
        <v>195</v>
      </c>
      <c r="J160" s="7" t="s">
        <v>195</v>
      </c>
      <c r="K160" s="7" t="s">
        <v>195</v>
      </c>
      <c r="L160" s="7" t="s">
        <v>195</v>
      </c>
      <c r="M160" s="7" t="s">
        <v>29</v>
      </c>
      <c r="N160" s="7" t="s">
        <v>29</v>
      </c>
      <c r="O160" s="7" t="s">
        <v>29</v>
      </c>
      <c r="P160" s="7" t="s">
        <v>29</v>
      </c>
      <c r="Q160" s="7" t="s">
        <v>29</v>
      </c>
      <c r="R160" s="7" t="s">
        <v>29</v>
      </c>
      <c r="S160" s="7" t="s">
        <v>29</v>
      </c>
    </row>
    <row r="161" spans="2:19">
      <c r="B161" s="9" t="s">
        <v>195</v>
      </c>
      <c r="C161" s="7" t="s">
        <v>195</v>
      </c>
      <c r="D161" s="5" t="str">
        <f>LRTRIM(CONCATENATE(IF(SUMPRODUCT(-- ISNUMBER(SEARCH({"Auto Number"}, $B161))) &gt; 0, $B161, IF(SUMPRODUCT(-- ISNUMBER(SEARCH({"Lookup","Master-Detail"}, $B161))) &gt; 0,$B161 &amp; "(" &amp; $E161 &amp; ")",IF(SUMPRODUCT(-- ISNUMBER(SEARCH({"Formula","Roll-Up Summary"}, $B161))) &gt; 0,$B161 &amp; " (" &amp; $E161 &amp; ")",IF(SUMPRODUCT(-- ISNUMBER(SEARCH({"Content","Currency","Number","Percent","Text","URL"}, $B161))) &gt; 0,$B161 &amp; "(" &amp; $C161 &amp; ")",$B161)))), "  ", TRIM(IF($S161 = "YES", "(External ID)", "") &amp; " " &amp; IF(SUMPRODUCT(-- ISNUMBER(SEARCH({"Unique","Unique Case Insensitive"}, $R161))) &gt; 0, "(" &amp; $R161 &amp; ")", ""))))</f>
        <v>na</v>
      </c>
      <c r="E161" s="7" t="s">
        <v>195</v>
      </c>
      <c r="F161" s="7" t="s">
        <v>195</v>
      </c>
      <c r="G161" s="7" t="s">
        <v>195</v>
      </c>
      <c r="H161" s="7" t="s">
        <v>195</v>
      </c>
      <c r="I161" s="7" t="s">
        <v>195</v>
      </c>
      <c r="J161" s="7" t="s">
        <v>195</v>
      </c>
      <c r="K161" s="7" t="s">
        <v>195</v>
      </c>
      <c r="L161" s="7" t="s">
        <v>195</v>
      </c>
      <c r="M161" s="7" t="s">
        <v>29</v>
      </c>
      <c r="N161" s="7" t="s">
        <v>29</v>
      </c>
      <c r="O161" s="7" t="s">
        <v>29</v>
      </c>
      <c r="P161" s="7" t="s">
        <v>29</v>
      </c>
      <c r="Q161" s="7" t="s">
        <v>29</v>
      </c>
      <c r="R161" s="7" t="s">
        <v>29</v>
      </c>
      <c r="S161" s="7" t="s">
        <v>29</v>
      </c>
    </row>
    <row r="162" spans="2:19">
      <c r="B162" s="9" t="s">
        <v>195</v>
      </c>
      <c r="C162" s="7" t="s">
        <v>195</v>
      </c>
      <c r="D162" s="5" t="str">
        <f>LRTRIM(CONCATENATE(IF(SUMPRODUCT(-- ISNUMBER(SEARCH({"Auto Number"}, $B162))) &gt; 0, $B162, IF(SUMPRODUCT(-- ISNUMBER(SEARCH({"Lookup","Master-Detail"}, $B162))) &gt; 0,$B162 &amp; "(" &amp; $E162 &amp; ")",IF(SUMPRODUCT(-- ISNUMBER(SEARCH({"Formula","Roll-Up Summary"}, $B162))) &gt; 0,$B162 &amp; " (" &amp; $E162 &amp; ")",IF(SUMPRODUCT(-- ISNUMBER(SEARCH({"Content","Currency","Number","Percent","Text","URL"}, $B162))) &gt; 0,$B162 &amp; "(" &amp; $C162 &amp; ")",$B162)))), "  ", TRIM(IF($S162 = "YES", "(External ID)", "") &amp; " " &amp; IF(SUMPRODUCT(-- ISNUMBER(SEARCH({"Unique","Unique Case Insensitive"}, $R162))) &gt; 0, "(" &amp; $R162 &amp; ")", ""))))</f>
        <v>na</v>
      </c>
      <c r="E162" s="7" t="s">
        <v>195</v>
      </c>
      <c r="F162" s="7" t="s">
        <v>195</v>
      </c>
      <c r="G162" s="7" t="s">
        <v>195</v>
      </c>
      <c r="H162" s="7" t="s">
        <v>195</v>
      </c>
      <c r="I162" s="7" t="s">
        <v>195</v>
      </c>
      <c r="J162" s="7" t="s">
        <v>195</v>
      </c>
      <c r="K162" s="7" t="s">
        <v>195</v>
      </c>
      <c r="L162" s="7" t="s">
        <v>195</v>
      </c>
      <c r="M162" s="7" t="s">
        <v>29</v>
      </c>
      <c r="N162" s="7" t="s">
        <v>29</v>
      </c>
      <c r="O162" s="7" t="s">
        <v>29</v>
      </c>
      <c r="P162" s="7" t="s">
        <v>29</v>
      </c>
      <c r="Q162" s="7" t="s">
        <v>29</v>
      </c>
      <c r="R162" s="7" t="s">
        <v>29</v>
      </c>
      <c r="S162" s="7" t="s">
        <v>29</v>
      </c>
    </row>
    <row r="163" spans="2:19">
      <c r="B163" s="9" t="s">
        <v>195</v>
      </c>
      <c r="C163" s="7" t="s">
        <v>195</v>
      </c>
      <c r="D163" s="5" t="str">
        <f>LRTRIM(CONCATENATE(IF(SUMPRODUCT(-- ISNUMBER(SEARCH({"Auto Number"}, $B163))) &gt; 0, $B163, IF(SUMPRODUCT(-- ISNUMBER(SEARCH({"Lookup","Master-Detail"}, $B163))) &gt; 0,$B163 &amp; "(" &amp; $E163 &amp; ")",IF(SUMPRODUCT(-- ISNUMBER(SEARCH({"Formula","Roll-Up Summary"}, $B163))) &gt; 0,$B163 &amp; " (" &amp; $E163 &amp; ")",IF(SUMPRODUCT(-- ISNUMBER(SEARCH({"Content","Currency","Number","Percent","Text","URL"}, $B163))) &gt; 0,$B163 &amp; "(" &amp; $C163 &amp; ")",$B163)))), "  ", TRIM(IF($S163 = "YES", "(External ID)", "") &amp; " " &amp; IF(SUMPRODUCT(-- ISNUMBER(SEARCH({"Unique","Unique Case Insensitive"}, $R163))) &gt; 0, "(" &amp; $R163 &amp; ")", ""))))</f>
        <v>na</v>
      </c>
      <c r="E163" s="7" t="s">
        <v>195</v>
      </c>
      <c r="F163" s="7" t="s">
        <v>195</v>
      </c>
      <c r="G163" s="7" t="s">
        <v>195</v>
      </c>
      <c r="H163" s="7" t="s">
        <v>195</v>
      </c>
      <c r="I163" s="7" t="s">
        <v>195</v>
      </c>
      <c r="J163" s="7" t="s">
        <v>195</v>
      </c>
      <c r="K163" s="7" t="s">
        <v>195</v>
      </c>
      <c r="L163" s="7" t="s">
        <v>195</v>
      </c>
      <c r="M163" s="7" t="s">
        <v>29</v>
      </c>
      <c r="N163" s="7" t="s">
        <v>29</v>
      </c>
      <c r="O163" s="7" t="s">
        <v>29</v>
      </c>
      <c r="P163" s="7" t="s">
        <v>29</v>
      </c>
      <c r="Q163" s="7" t="s">
        <v>29</v>
      </c>
      <c r="R163" s="7" t="s">
        <v>29</v>
      </c>
      <c r="S163" s="7" t="s">
        <v>29</v>
      </c>
    </row>
    <row r="164" spans="2:19">
      <c r="B164" s="9" t="s">
        <v>195</v>
      </c>
      <c r="C164" s="7" t="s">
        <v>195</v>
      </c>
      <c r="D164" s="5" t="str">
        <f>LRTRIM(CONCATENATE(IF(SUMPRODUCT(-- ISNUMBER(SEARCH({"Auto Number"}, $B164))) &gt; 0, $B164, IF(SUMPRODUCT(-- ISNUMBER(SEARCH({"Lookup","Master-Detail"}, $B164))) &gt; 0,$B164 &amp; "(" &amp; $E164 &amp; ")",IF(SUMPRODUCT(-- ISNUMBER(SEARCH({"Formula","Roll-Up Summary"}, $B164))) &gt; 0,$B164 &amp; " (" &amp; $E164 &amp; ")",IF(SUMPRODUCT(-- ISNUMBER(SEARCH({"Content","Currency","Number","Percent","Text","URL"}, $B164))) &gt; 0,$B164 &amp; "(" &amp; $C164 &amp; ")",$B164)))), "  ", TRIM(IF($S164 = "YES", "(External ID)", "") &amp; " " &amp; IF(SUMPRODUCT(-- ISNUMBER(SEARCH({"Unique","Unique Case Insensitive"}, $R164))) &gt; 0, "(" &amp; $R164 &amp; ")", ""))))</f>
        <v>na</v>
      </c>
      <c r="E164" s="7" t="s">
        <v>195</v>
      </c>
      <c r="F164" s="7" t="s">
        <v>195</v>
      </c>
      <c r="G164" s="7" t="s">
        <v>195</v>
      </c>
      <c r="H164" s="7" t="s">
        <v>195</v>
      </c>
      <c r="I164" s="7" t="s">
        <v>195</v>
      </c>
      <c r="J164" s="7" t="s">
        <v>195</v>
      </c>
      <c r="K164" s="7" t="s">
        <v>195</v>
      </c>
      <c r="L164" s="7" t="s">
        <v>195</v>
      </c>
      <c r="M164" s="7" t="s">
        <v>29</v>
      </c>
      <c r="N164" s="7" t="s">
        <v>29</v>
      </c>
      <c r="O164" s="7" t="s">
        <v>29</v>
      </c>
      <c r="P164" s="7" t="s">
        <v>29</v>
      </c>
      <c r="Q164" s="7" t="s">
        <v>29</v>
      </c>
      <c r="R164" s="7" t="s">
        <v>29</v>
      </c>
      <c r="S164" s="7" t="s">
        <v>29</v>
      </c>
    </row>
    <row r="165" spans="2:19">
      <c r="B165" s="9" t="s">
        <v>195</v>
      </c>
      <c r="C165" s="7" t="s">
        <v>195</v>
      </c>
      <c r="D165" s="5" t="str">
        <f>LRTRIM(CONCATENATE(IF(SUMPRODUCT(-- ISNUMBER(SEARCH({"Auto Number"}, $B165))) &gt; 0, $B165, IF(SUMPRODUCT(-- ISNUMBER(SEARCH({"Lookup","Master-Detail"}, $B165))) &gt; 0,$B165 &amp; "(" &amp; $E165 &amp; ")",IF(SUMPRODUCT(-- ISNUMBER(SEARCH({"Formula","Roll-Up Summary"}, $B165))) &gt; 0,$B165 &amp; " (" &amp; $E165 &amp; ")",IF(SUMPRODUCT(-- ISNUMBER(SEARCH({"Content","Currency","Number","Percent","Text","URL"}, $B165))) &gt; 0,$B165 &amp; "(" &amp; $C165 &amp; ")",$B165)))), "  ", TRIM(IF($S165 = "YES", "(External ID)", "") &amp; " " &amp; IF(SUMPRODUCT(-- ISNUMBER(SEARCH({"Unique","Unique Case Insensitive"}, $R165))) &gt; 0, "(" &amp; $R165 &amp; ")", ""))))</f>
        <v>na</v>
      </c>
      <c r="E165" s="7" t="s">
        <v>195</v>
      </c>
      <c r="F165" s="7" t="s">
        <v>195</v>
      </c>
      <c r="G165" s="7" t="s">
        <v>195</v>
      </c>
      <c r="H165" s="7" t="s">
        <v>195</v>
      </c>
      <c r="I165" s="7" t="s">
        <v>195</v>
      </c>
      <c r="J165" s="7" t="s">
        <v>195</v>
      </c>
      <c r="K165" s="7" t="s">
        <v>195</v>
      </c>
      <c r="L165" s="7" t="s">
        <v>195</v>
      </c>
      <c r="M165" s="7" t="s">
        <v>29</v>
      </c>
      <c r="N165" s="7" t="s">
        <v>29</v>
      </c>
      <c r="O165" s="7" t="s">
        <v>29</v>
      </c>
      <c r="P165" s="7" t="s">
        <v>29</v>
      </c>
      <c r="Q165" s="7" t="s">
        <v>29</v>
      </c>
      <c r="R165" s="7" t="s">
        <v>29</v>
      </c>
      <c r="S165" s="7" t="s">
        <v>29</v>
      </c>
    </row>
    <row r="166" spans="2:19">
      <c r="B166" s="9" t="s">
        <v>195</v>
      </c>
      <c r="C166" s="7" t="s">
        <v>195</v>
      </c>
      <c r="D166" s="5" t="str">
        <f>LRTRIM(CONCATENATE(IF(SUMPRODUCT(-- ISNUMBER(SEARCH({"Auto Number"}, $B166))) &gt; 0, $B166, IF(SUMPRODUCT(-- ISNUMBER(SEARCH({"Lookup","Master-Detail"}, $B166))) &gt; 0,$B166 &amp; "(" &amp; $E166 &amp; ")",IF(SUMPRODUCT(-- ISNUMBER(SEARCH({"Formula","Roll-Up Summary"}, $B166))) &gt; 0,$B166 &amp; " (" &amp; $E166 &amp; ")",IF(SUMPRODUCT(-- ISNUMBER(SEARCH({"Content","Currency","Number","Percent","Text","URL"}, $B166))) &gt; 0,$B166 &amp; "(" &amp; $C166 &amp; ")",$B166)))), "  ", TRIM(IF($S166 = "YES", "(External ID)", "") &amp; " " &amp; IF(SUMPRODUCT(-- ISNUMBER(SEARCH({"Unique","Unique Case Insensitive"}, $R166))) &gt; 0, "(" &amp; $R166 &amp; ")", ""))))</f>
        <v>na</v>
      </c>
      <c r="E166" s="7" t="s">
        <v>195</v>
      </c>
      <c r="F166" s="7" t="s">
        <v>195</v>
      </c>
      <c r="G166" s="7" t="s">
        <v>195</v>
      </c>
      <c r="H166" s="7" t="s">
        <v>195</v>
      </c>
      <c r="I166" s="7" t="s">
        <v>195</v>
      </c>
      <c r="J166" s="7" t="s">
        <v>195</v>
      </c>
      <c r="K166" s="7" t="s">
        <v>195</v>
      </c>
      <c r="L166" s="7" t="s">
        <v>195</v>
      </c>
      <c r="M166" s="7" t="s">
        <v>29</v>
      </c>
      <c r="N166" s="7" t="s">
        <v>29</v>
      </c>
      <c r="O166" s="7" t="s">
        <v>29</v>
      </c>
      <c r="P166" s="7" t="s">
        <v>29</v>
      </c>
      <c r="Q166" s="7" t="s">
        <v>29</v>
      </c>
      <c r="R166" s="7" t="s">
        <v>29</v>
      </c>
      <c r="S166" s="7" t="s">
        <v>29</v>
      </c>
    </row>
    <row r="167" spans="2:19">
      <c r="B167" s="9" t="s">
        <v>195</v>
      </c>
      <c r="C167" s="7" t="s">
        <v>195</v>
      </c>
      <c r="D167" s="5" t="str">
        <f>LRTRIM(CONCATENATE(IF(SUMPRODUCT(-- ISNUMBER(SEARCH({"Auto Number"}, $B167))) &gt; 0, $B167, IF(SUMPRODUCT(-- ISNUMBER(SEARCH({"Lookup","Master-Detail"}, $B167))) &gt; 0,$B167 &amp; "(" &amp; $E167 &amp; ")",IF(SUMPRODUCT(-- ISNUMBER(SEARCH({"Formula","Roll-Up Summary"}, $B167))) &gt; 0,$B167 &amp; " (" &amp; $E167 &amp; ")",IF(SUMPRODUCT(-- ISNUMBER(SEARCH({"Content","Currency","Number","Percent","Text","URL"}, $B167))) &gt; 0,$B167 &amp; "(" &amp; $C167 &amp; ")",$B167)))), "  ", TRIM(IF($S167 = "YES", "(External ID)", "") &amp; " " &amp; IF(SUMPRODUCT(-- ISNUMBER(SEARCH({"Unique","Unique Case Insensitive"}, $R167))) &gt; 0, "(" &amp; $R167 &amp; ")", ""))))</f>
        <v>na</v>
      </c>
      <c r="E167" s="7" t="s">
        <v>195</v>
      </c>
      <c r="F167" s="7" t="s">
        <v>195</v>
      </c>
      <c r="G167" s="7" t="s">
        <v>195</v>
      </c>
      <c r="H167" s="7" t="s">
        <v>195</v>
      </c>
      <c r="I167" s="7" t="s">
        <v>195</v>
      </c>
      <c r="J167" s="7" t="s">
        <v>195</v>
      </c>
      <c r="K167" s="7" t="s">
        <v>195</v>
      </c>
      <c r="L167" s="7" t="s">
        <v>195</v>
      </c>
      <c r="M167" s="7" t="s">
        <v>29</v>
      </c>
      <c r="N167" s="7" t="s">
        <v>29</v>
      </c>
      <c r="O167" s="7" t="s">
        <v>29</v>
      </c>
      <c r="P167" s="7" t="s">
        <v>29</v>
      </c>
      <c r="Q167" s="7" t="s">
        <v>29</v>
      </c>
      <c r="R167" s="7" t="s">
        <v>29</v>
      </c>
      <c r="S167" s="7" t="s">
        <v>29</v>
      </c>
    </row>
    <row r="168" spans="2:19">
      <c r="B168" s="9" t="s">
        <v>195</v>
      </c>
      <c r="C168" s="7" t="s">
        <v>195</v>
      </c>
      <c r="D168" s="5" t="str">
        <f>LRTRIM(CONCATENATE(IF(SUMPRODUCT(-- ISNUMBER(SEARCH({"Auto Number"}, $B168))) &gt; 0, $B168, IF(SUMPRODUCT(-- ISNUMBER(SEARCH({"Lookup","Master-Detail"}, $B168))) &gt; 0,$B168 &amp; "(" &amp; $E168 &amp; ")",IF(SUMPRODUCT(-- ISNUMBER(SEARCH({"Formula","Roll-Up Summary"}, $B168))) &gt; 0,$B168 &amp; " (" &amp; $E168 &amp; ")",IF(SUMPRODUCT(-- ISNUMBER(SEARCH({"Content","Currency","Number","Percent","Text","URL"}, $B168))) &gt; 0,$B168 &amp; "(" &amp; $C168 &amp; ")",$B168)))), "  ", TRIM(IF($S168 = "YES", "(External ID)", "") &amp; " " &amp; IF(SUMPRODUCT(-- ISNUMBER(SEARCH({"Unique","Unique Case Insensitive"}, $R168))) &gt; 0, "(" &amp; $R168 &amp; ")", ""))))</f>
        <v>na</v>
      </c>
      <c r="E168" s="7" t="s">
        <v>195</v>
      </c>
      <c r="F168" s="7" t="s">
        <v>195</v>
      </c>
      <c r="G168" s="7" t="s">
        <v>195</v>
      </c>
      <c r="H168" s="7" t="s">
        <v>195</v>
      </c>
      <c r="I168" s="7" t="s">
        <v>195</v>
      </c>
      <c r="J168" s="7" t="s">
        <v>195</v>
      </c>
      <c r="K168" s="7" t="s">
        <v>195</v>
      </c>
      <c r="L168" s="7" t="s">
        <v>195</v>
      </c>
      <c r="M168" s="7" t="s">
        <v>29</v>
      </c>
      <c r="N168" s="7" t="s">
        <v>29</v>
      </c>
      <c r="O168" s="7" t="s">
        <v>29</v>
      </c>
      <c r="P168" s="7" t="s">
        <v>29</v>
      </c>
      <c r="Q168" s="7" t="s">
        <v>29</v>
      </c>
      <c r="R168" s="7" t="s">
        <v>29</v>
      </c>
      <c r="S168" s="7" t="s">
        <v>29</v>
      </c>
    </row>
    <row r="169" spans="2:19">
      <c r="B169" s="9" t="s">
        <v>195</v>
      </c>
      <c r="C169" s="7" t="s">
        <v>195</v>
      </c>
      <c r="D169" s="5" t="str">
        <f>LRTRIM(CONCATENATE(IF(SUMPRODUCT(-- ISNUMBER(SEARCH({"Auto Number"}, $B169))) &gt; 0, $B169, IF(SUMPRODUCT(-- ISNUMBER(SEARCH({"Lookup","Master-Detail"}, $B169))) &gt; 0,$B169 &amp; "(" &amp; $E169 &amp; ")",IF(SUMPRODUCT(-- ISNUMBER(SEARCH({"Formula","Roll-Up Summary"}, $B169))) &gt; 0,$B169 &amp; " (" &amp; $E169 &amp; ")",IF(SUMPRODUCT(-- ISNUMBER(SEARCH({"Content","Currency","Number","Percent","Text","URL"}, $B169))) &gt; 0,$B169 &amp; "(" &amp; $C169 &amp; ")",$B169)))), "  ", TRIM(IF($S169 = "YES", "(External ID)", "") &amp; " " &amp; IF(SUMPRODUCT(-- ISNUMBER(SEARCH({"Unique","Unique Case Insensitive"}, $R169))) &gt; 0, "(" &amp; $R169 &amp; ")", ""))))</f>
        <v>na</v>
      </c>
      <c r="E169" s="7" t="s">
        <v>195</v>
      </c>
      <c r="F169" s="7" t="s">
        <v>195</v>
      </c>
      <c r="G169" s="7" t="s">
        <v>195</v>
      </c>
      <c r="H169" s="7" t="s">
        <v>195</v>
      </c>
      <c r="I169" s="7" t="s">
        <v>195</v>
      </c>
      <c r="J169" s="7" t="s">
        <v>195</v>
      </c>
      <c r="K169" s="7" t="s">
        <v>195</v>
      </c>
      <c r="L169" s="7" t="s">
        <v>195</v>
      </c>
      <c r="M169" s="7" t="s">
        <v>29</v>
      </c>
      <c r="N169" s="7" t="s">
        <v>29</v>
      </c>
      <c r="O169" s="7" t="s">
        <v>29</v>
      </c>
      <c r="P169" s="7" t="s">
        <v>29</v>
      </c>
      <c r="Q169" s="7" t="s">
        <v>29</v>
      </c>
      <c r="R169" s="7" t="s">
        <v>29</v>
      </c>
      <c r="S169" s="7" t="s">
        <v>29</v>
      </c>
    </row>
    <row r="170" spans="2:19">
      <c r="B170" s="9" t="s">
        <v>195</v>
      </c>
      <c r="C170" s="7" t="s">
        <v>195</v>
      </c>
      <c r="D170" s="5" t="str">
        <f>LRTRIM(CONCATENATE(IF(SUMPRODUCT(-- ISNUMBER(SEARCH({"Auto Number"}, $B170))) &gt; 0, $B170, IF(SUMPRODUCT(-- ISNUMBER(SEARCH({"Lookup","Master-Detail"}, $B170))) &gt; 0,$B170 &amp; "(" &amp; $E170 &amp; ")",IF(SUMPRODUCT(-- ISNUMBER(SEARCH({"Formula","Roll-Up Summary"}, $B170))) &gt; 0,$B170 &amp; " (" &amp; $E170 &amp; ")",IF(SUMPRODUCT(-- ISNUMBER(SEARCH({"Content","Currency","Number","Percent","Text","URL"}, $B170))) &gt; 0,$B170 &amp; "(" &amp; $C170 &amp; ")",$B170)))), "  ", TRIM(IF($S170 = "YES", "(External ID)", "") &amp; " " &amp; IF(SUMPRODUCT(-- ISNUMBER(SEARCH({"Unique","Unique Case Insensitive"}, $R170))) &gt; 0, "(" &amp; $R170 &amp; ")", ""))))</f>
        <v>na</v>
      </c>
      <c r="E170" s="7" t="s">
        <v>195</v>
      </c>
      <c r="F170" s="7" t="s">
        <v>195</v>
      </c>
      <c r="G170" s="7" t="s">
        <v>195</v>
      </c>
      <c r="H170" s="7" t="s">
        <v>195</v>
      </c>
      <c r="I170" s="7" t="s">
        <v>195</v>
      </c>
      <c r="J170" s="7" t="s">
        <v>195</v>
      </c>
      <c r="K170" s="7" t="s">
        <v>195</v>
      </c>
      <c r="L170" s="7" t="s">
        <v>195</v>
      </c>
      <c r="M170" s="7" t="s">
        <v>29</v>
      </c>
      <c r="N170" s="7" t="s">
        <v>29</v>
      </c>
      <c r="O170" s="7" t="s">
        <v>29</v>
      </c>
      <c r="P170" s="7" t="s">
        <v>29</v>
      </c>
      <c r="Q170" s="7" t="s">
        <v>29</v>
      </c>
      <c r="R170" s="7" t="s">
        <v>29</v>
      </c>
      <c r="S170" s="7" t="s">
        <v>29</v>
      </c>
    </row>
    <row r="171" spans="2:19">
      <c r="B171" s="9" t="s">
        <v>195</v>
      </c>
      <c r="C171" s="7" t="s">
        <v>195</v>
      </c>
      <c r="D171" s="5" t="str">
        <f>LRTRIM(CONCATENATE(IF(SUMPRODUCT(-- ISNUMBER(SEARCH({"Auto Number"}, $B171))) &gt; 0, $B171, IF(SUMPRODUCT(-- ISNUMBER(SEARCH({"Lookup","Master-Detail"}, $B171))) &gt; 0,$B171 &amp; "(" &amp; $E171 &amp; ")",IF(SUMPRODUCT(-- ISNUMBER(SEARCH({"Formula","Roll-Up Summary"}, $B171))) &gt; 0,$B171 &amp; " (" &amp; $E171 &amp; ")",IF(SUMPRODUCT(-- ISNUMBER(SEARCH({"Content","Currency","Number","Percent","Text","URL"}, $B171))) &gt; 0,$B171 &amp; "(" &amp; $C171 &amp; ")",$B171)))), "  ", TRIM(IF($S171 = "YES", "(External ID)", "") &amp; " " &amp; IF(SUMPRODUCT(-- ISNUMBER(SEARCH({"Unique","Unique Case Insensitive"}, $R171))) &gt; 0, "(" &amp; $R171 &amp; ")", ""))))</f>
        <v>na</v>
      </c>
      <c r="E171" s="7" t="s">
        <v>195</v>
      </c>
      <c r="F171" s="7" t="s">
        <v>195</v>
      </c>
      <c r="G171" s="7" t="s">
        <v>195</v>
      </c>
      <c r="H171" s="7" t="s">
        <v>195</v>
      </c>
      <c r="I171" s="7" t="s">
        <v>195</v>
      </c>
      <c r="J171" s="7" t="s">
        <v>195</v>
      </c>
      <c r="K171" s="7" t="s">
        <v>195</v>
      </c>
      <c r="L171" s="7" t="s">
        <v>195</v>
      </c>
      <c r="M171" s="7" t="s">
        <v>29</v>
      </c>
      <c r="N171" s="7" t="s">
        <v>29</v>
      </c>
      <c r="O171" s="7" t="s">
        <v>29</v>
      </c>
      <c r="P171" s="7" t="s">
        <v>29</v>
      </c>
      <c r="Q171" s="7" t="s">
        <v>29</v>
      </c>
      <c r="R171" s="7" t="s">
        <v>29</v>
      </c>
      <c r="S171" s="7" t="s">
        <v>29</v>
      </c>
    </row>
    <row r="172" spans="2:19">
      <c r="B172" s="9" t="s">
        <v>195</v>
      </c>
      <c r="C172" s="7" t="s">
        <v>195</v>
      </c>
      <c r="D172" s="5" t="str">
        <f>LRTRIM(CONCATENATE(IF(SUMPRODUCT(-- ISNUMBER(SEARCH({"Auto Number"}, $B172))) &gt; 0, $B172, IF(SUMPRODUCT(-- ISNUMBER(SEARCH({"Lookup","Master-Detail"}, $B172))) &gt; 0,$B172 &amp; "(" &amp; $E172 &amp; ")",IF(SUMPRODUCT(-- ISNUMBER(SEARCH({"Formula","Roll-Up Summary"}, $B172))) &gt; 0,$B172 &amp; " (" &amp; $E172 &amp; ")",IF(SUMPRODUCT(-- ISNUMBER(SEARCH({"Content","Currency","Number","Percent","Text","URL"}, $B172))) &gt; 0,$B172 &amp; "(" &amp; $C172 &amp; ")",$B172)))), "  ", TRIM(IF($S172 = "YES", "(External ID)", "") &amp; " " &amp; IF(SUMPRODUCT(-- ISNUMBER(SEARCH({"Unique","Unique Case Insensitive"}, $R172))) &gt; 0, "(" &amp; $R172 &amp; ")", ""))))</f>
        <v>na</v>
      </c>
      <c r="E172" s="7" t="s">
        <v>195</v>
      </c>
      <c r="F172" s="7" t="s">
        <v>195</v>
      </c>
      <c r="G172" s="7" t="s">
        <v>195</v>
      </c>
      <c r="H172" s="7" t="s">
        <v>195</v>
      </c>
      <c r="I172" s="7" t="s">
        <v>195</v>
      </c>
      <c r="J172" s="7" t="s">
        <v>195</v>
      </c>
      <c r="K172" s="7" t="s">
        <v>195</v>
      </c>
      <c r="L172" s="7" t="s">
        <v>195</v>
      </c>
      <c r="M172" s="7" t="s">
        <v>29</v>
      </c>
      <c r="N172" s="7" t="s">
        <v>29</v>
      </c>
      <c r="O172" s="7" t="s">
        <v>29</v>
      </c>
      <c r="P172" s="7" t="s">
        <v>29</v>
      </c>
      <c r="Q172" s="7" t="s">
        <v>29</v>
      </c>
      <c r="R172" s="7" t="s">
        <v>29</v>
      </c>
      <c r="S172" s="7" t="s">
        <v>29</v>
      </c>
    </row>
    <row r="173" spans="2:19">
      <c r="B173" s="9" t="s">
        <v>195</v>
      </c>
      <c r="C173" s="7" t="s">
        <v>195</v>
      </c>
      <c r="D173" s="5" t="str">
        <f>LRTRIM(CONCATENATE(IF(SUMPRODUCT(-- ISNUMBER(SEARCH({"Auto Number"}, $B173))) &gt; 0, $B173, IF(SUMPRODUCT(-- ISNUMBER(SEARCH({"Lookup","Master-Detail"}, $B173))) &gt; 0,$B173 &amp; "(" &amp; $E173 &amp; ")",IF(SUMPRODUCT(-- ISNUMBER(SEARCH({"Formula","Roll-Up Summary"}, $B173))) &gt; 0,$B173 &amp; " (" &amp; $E173 &amp; ")",IF(SUMPRODUCT(-- ISNUMBER(SEARCH({"Content","Currency","Number","Percent","Text","URL"}, $B173))) &gt; 0,$B173 &amp; "(" &amp; $C173 &amp; ")",$B173)))), "  ", TRIM(IF($S173 = "YES", "(External ID)", "") &amp; " " &amp; IF(SUMPRODUCT(-- ISNUMBER(SEARCH({"Unique","Unique Case Insensitive"}, $R173))) &gt; 0, "(" &amp; $R173 &amp; ")", ""))))</f>
        <v>na</v>
      </c>
      <c r="E173" s="7" t="s">
        <v>195</v>
      </c>
      <c r="F173" s="7" t="s">
        <v>195</v>
      </c>
      <c r="G173" s="7" t="s">
        <v>195</v>
      </c>
      <c r="H173" s="7" t="s">
        <v>195</v>
      </c>
      <c r="I173" s="7" t="s">
        <v>195</v>
      </c>
      <c r="J173" s="7" t="s">
        <v>195</v>
      </c>
      <c r="K173" s="7" t="s">
        <v>195</v>
      </c>
      <c r="L173" s="7" t="s">
        <v>195</v>
      </c>
      <c r="M173" s="7" t="s">
        <v>29</v>
      </c>
      <c r="N173" s="7" t="s">
        <v>29</v>
      </c>
      <c r="O173" s="7" t="s">
        <v>29</v>
      </c>
      <c r="P173" s="7" t="s">
        <v>29</v>
      </c>
      <c r="Q173" s="7" t="s">
        <v>29</v>
      </c>
      <c r="R173" s="7" t="s">
        <v>29</v>
      </c>
      <c r="S173" s="7" t="s">
        <v>29</v>
      </c>
    </row>
    <row r="174" spans="2:19">
      <c r="B174" s="9" t="s">
        <v>195</v>
      </c>
      <c r="C174" s="7" t="s">
        <v>195</v>
      </c>
      <c r="D174" s="5" t="str">
        <f>LRTRIM(CONCATENATE(IF(SUMPRODUCT(-- ISNUMBER(SEARCH({"Auto Number"}, $B174))) &gt; 0, $B174, IF(SUMPRODUCT(-- ISNUMBER(SEARCH({"Lookup","Master-Detail"}, $B174))) &gt; 0,$B174 &amp; "(" &amp; $E174 &amp; ")",IF(SUMPRODUCT(-- ISNUMBER(SEARCH({"Formula","Roll-Up Summary"}, $B174))) &gt; 0,$B174 &amp; " (" &amp; $E174 &amp; ")",IF(SUMPRODUCT(-- ISNUMBER(SEARCH({"Content","Currency","Number","Percent","Text","URL"}, $B174))) &gt; 0,$B174 &amp; "(" &amp; $C174 &amp; ")",$B174)))), "  ", TRIM(IF($S174 = "YES", "(External ID)", "") &amp; " " &amp; IF(SUMPRODUCT(-- ISNUMBER(SEARCH({"Unique","Unique Case Insensitive"}, $R174))) &gt; 0, "(" &amp; $R174 &amp; ")", ""))))</f>
        <v>na</v>
      </c>
      <c r="E174" s="7" t="s">
        <v>195</v>
      </c>
      <c r="F174" s="7" t="s">
        <v>195</v>
      </c>
      <c r="G174" s="7" t="s">
        <v>195</v>
      </c>
      <c r="H174" s="7" t="s">
        <v>195</v>
      </c>
      <c r="I174" s="7" t="s">
        <v>195</v>
      </c>
      <c r="J174" s="7" t="s">
        <v>195</v>
      </c>
      <c r="K174" s="7" t="s">
        <v>195</v>
      </c>
      <c r="L174" s="7" t="s">
        <v>195</v>
      </c>
      <c r="M174" s="7" t="s">
        <v>29</v>
      </c>
      <c r="N174" s="7" t="s">
        <v>29</v>
      </c>
      <c r="O174" s="7" t="s">
        <v>29</v>
      </c>
      <c r="P174" s="7" t="s">
        <v>29</v>
      </c>
      <c r="Q174" s="7" t="s">
        <v>29</v>
      </c>
      <c r="R174" s="7" t="s">
        <v>29</v>
      </c>
      <c r="S174" s="7" t="s">
        <v>29</v>
      </c>
    </row>
    <row r="175" spans="2:19">
      <c r="B175" s="9" t="s">
        <v>195</v>
      </c>
      <c r="C175" s="7" t="s">
        <v>195</v>
      </c>
      <c r="D175" s="5" t="str">
        <f>LRTRIM(CONCATENATE(IF(SUMPRODUCT(-- ISNUMBER(SEARCH({"Auto Number"}, $B175))) &gt; 0, $B175, IF(SUMPRODUCT(-- ISNUMBER(SEARCH({"Lookup","Master-Detail"}, $B175))) &gt; 0,$B175 &amp; "(" &amp; $E175 &amp; ")",IF(SUMPRODUCT(-- ISNUMBER(SEARCH({"Formula","Roll-Up Summary"}, $B175))) &gt; 0,$B175 &amp; " (" &amp; $E175 &amp; ")",IF(SUMPRODUCT(-- ISNUMBER(SEARCH({"Content","Currency","Number","Percent","Text","URL"}, $B175))) &gt; 0,$B175 &amp; "(" &amp; $C175 &amp; ")",$B175)))), "  ", TRIM(IF($S175 = "YES", "(External ID)", "") &amp; " " &amp; IF(SUMPRODUCT(-- ISNUMBER(SEARCH({"Unique","Unique Case Insensitive"}, $R175))) &gt; 0, "(" &amp; $R175 &amp; ")", ""))))</f>
        <v>na</v>
      </c>
      <c r="E175" s="7" t="s">
        <v>195</v>
      </c>
      <c r="F175" s="7" t="s">
        <v>195</v>
      </c>
      <c r="G175" s="7" t="s">
        <v>195</v>
      </c>
      <c r="H175" s="7" t="s">
        <v>195</v>
      </c>
      <c r="I175" s="7" t="s">
        <v>195</v>
      </c>
      <c r="J175" s="7" t="s">
        <v>195</v>
      </c>
      <c r="K175" s="7" t="s">
        <v>195</v>
      </c>
      <c r="L175" s="7" t="s">
        <v>195</v>
      </c>
      <c r="M175" s="7" t="s">
        <v>29</v>
      </c>
      <c r="N175" s="7" t="s">
        <v>29</v>
      </c>
      <c r="O175" s="7" t="s">
        <v>29</v>
      </c>
      <c r="P175" s="7" t="s">
        <v>29</v>
      </c>
      <c r="Q175" s="7" t="s">
        <v>29</v>
      </c>
      <c r="R175" s="7" t="s">
        <v>29</v>
      </c>
      <c r="S175" s="7" t="s">
        <v>29</v>
      </c>
    </row>
    <row r="176" spans="2:19">
      <c r="B176" s="9" t="s">
        <v>195</v>
      </c>
      <c r="C176" s="7" t="s">
        <v>195</v>
      </c>
      <c r="D176" s="5" t="str">
        <f>LRTRIM(CONCATENATE(IF(SUMPRODUCT(-- ISNUMBER(SEARCH({"Auto Number"}, $B176))) &gt; 0, $B176, IF(SUMPRODUCT(-- ISNUMBER(SEARCH({"Lookup","Master-Detail"}, $B176))) &gt; 0,$B176 &amp; "(" &amp; $E176 &amp; ")",IF(SUMPRODUCT(-- ISNUMBER(SEARCH({"Formula","Roll-Up Summary"}, $B176))) &gt; 0,$B176 &amp; " (" &amp; $E176 &amp; ")",IF(SUMPRODUCT(-- ISNUMBER(SEARCH({"Content","Currency","Number","Percent","Text","URL"}, $B176))) &gt; 0,$B176 &amp; "(" &amp; $C176 &amp; ")",$B176)))), "  ", TRIM(IF($S176 = "YES", "(External ID)", "") &amp; " " &amp; IF(SUMPRODUCT(-- ISNUMBER(SEARCH({"Unique","Unique Case Insensitive"}, $R176))) &gt; 0, "(" &amp; $R176 &amp; ")", ""))))</f>
        <v>na</v>
      </c>
      <c r="E176" s="7" t="s">
        <v>195</v>
      </c>
      <c r="F176" s="7" t="s">
        <v>195</v>
      </c>
      <c r="G176" s="7" t="s">
        <v>195</v>
      </c>
      <c r="H176" s="7" t="s">
        <v>195</v>
      </c>
      <c r="I176" s="7" t="s">
        <v>195</v>
      </c>
      <c r="J176" s="7" t="s">
        <v>195</v>
      </c>
      <c r="K176" s="7" t="s">
        <v>195</v>
      </c>
      <c r="L176" s="7" t="s">
        <v>195</v>
      </c>
      <c r="M176" s="7" t="s">
        <v>29</v>
      </c>
      <c r="N176" s="7" t="s">
        <v>29</v>
      </c>
      <c r="O176" s="7" t="s">
        <v>29</v>
      </c>
      <c r="P176" s="7" t="s">
        <v>29</v>
      </c>
      <c r="Q176" s="7" t="s">
        <v>29</v>
      </c>
      <c r="R176" s="7" t="s">
        <v>29</v>
      </c>
      <c r="S176" s="7" t="s">
        <v>29</v>
      </c>
    </row>
    <row r="177" spans="2:19">
      <c r="B177" s="9" t="s">
        <v>195</v>
      </c>
      <c r="C177" s="7" t="s">
        <v>195</v>
      </c>
      <c r="D177" s="5" t="str">
        <f>LRTRIM(CONCATENATE(IF(SUMPRODUCT(-- ISNUMBER(SEARCH({"Auto Number"}, $B177))) &gt; 0, $B177, IF(SUMPRODUCT(-- ISNUMBER(SEARCH({"Lookup","Master-Detail"}, $B177))) &gt; 0,$B177 &amp; "(" &amp; $E177 &amp; ")",IF(SUMPRODUCT(-- ISNUMBER(SEARCH({"Formula","Roll-Up Summary"}, $B177))) &gt; 0,$B177 &amp; " (" &amp; $E177 &amp; ")",IF(SUMPRODUCT(-- ISNUMBER(SEARCH({"Content","Currency","Number","Percent","Text","URL"}, $B177))) &gt; 0,$B177 &amp; "(" &amp; $C177 &amp; ")",$B177)))), "  ", TRIM(IF($S177 = "YES", "(External ID)", "") &amp; " " &amp; IF(SUMPRODUCT(-- ISNUMBER(SEARCH({"Unique","Unique Case Insensitive"}, $R177))) &gt; 0, "(" &amp; $R177 &amp; ")", ""))))</f>
        <v>na</v>
      </c>
      <c r="E177" s="7" t="s">
        <v>195</v>
      </c>
      <c r="F177" s="7" t="s">
        <v>195</v>
      </c>
      <c r="G177" s="7" t="s">
        <v>195</v>
      </c>
      <c r="H177" s="7" t="s">
        <v>195</v>
      </c>
      <c r="I177" s="7" t="s">
        <v>195</v>
      </c>
      <c r="J177" s="7" t="s">
        <v>195</v>
      </c>
      <c r="K177" s="7" t="s">
        <v>195</v>
      </c>
      <c r="L177" s="7" t="s">
        <v>195</v>
      </c>
      <c r="M177" s="7" t="s">
        <v>29</v>
      </c>
      <c r="N177" s="7" t="s">
        <v>29</v>
      </c>
      <c r="O177" s="7" t="s">
        <v>29</v>
      </c>
      <c r="P177" s="7" t="s">
        <v>29</v>
      </c>
      <c r="Q177" s="7" t="s">
        <v>29</v>
      </c>
      <c r="R177" s="7" t="s">
        <v>29</v>
      </c>
      <c r="S177" s="7" t="s">
        <v>29</v>
      </c>
    </row>
    <row r="178" spans="2:19">
      <c r="B178" s="9" t="s">
        <v>195</v>
      </c>
      <c r="C178" s="7" t="s">
        <v>195</v>
      </c>
      <c r="D178" s="5" t="str">
        <f>LRTRIM(CONCATENATE(IF(SUMPRODUCT(-- ISNUMBER(SEARCH({"Auto Number"}, $B178))) &gt; 0, $B178, IF(SUMPRODUCT(-- ISNUMBER(SEARCH({"Lookup","Master-Detail"}, $B178))) &gt; 0,$B178 &amp; "(" &amp; $E178 &amp; ")",IF(SUMPRODUCT(-- ISNUMBER(SEARCH({"Formula","Roll-Up Summary"}, $B178))) &gt; 0,$B178 &amp; " (" &amp; $E178 &amp; ")",IF(SUMPRODUCT(-- ISNUMBER(SEARCH({"Content","Currency","Number","Percent","Text","URL"}, $B178))) &gt; 0,$B178 &amp; "(" &amp; $C178 &amp; ")",$B178)))), "  ", TRIM(IF($S178 = "YES", "(External ID)", "") &amp; " " &amp; IF(SUMPRODUCT(-- ISNUMBER(SEARCH({"Unique","Unique Case Insensitive"}, $R178))) &gt; 0, "(" &amp; $R178 &amp; ")", ""))))</f>
        <v>na</v>
      </c>
      <c r="E178" s="7" t="s">
        <v>195</v>
      </c>
      <c r="F178" s="7" t="s">
        <v>195</v>
      </c>
      <c r="G178" s="7" t="s">
        <v>195</v>
      </c>
      <c r="H178" s="7" t="s">
        <v>195</v>
      </c>
      <c r="I178" s="7" t="s">
        <v>195</v>
      </c>
      <c r="J178" s="7" t="s">
        <v>195</v>
      </c>
      <c r="K178" s="7" t="s">
        <v>195</v>
      </c>
      <c r="L178" s="7" t="s">
        <v>195</v>
      </c>
      <c r="M178" s="7" t="s">
        <v>29</v>
      </c>
      <c r="N178" s="7" t="s">
        <v>29</v>
      </c>
      <c r="O178" s="7" t="s">
        <v>29</v>
      </c>
      <c r="P178" s="7" t="s">
        <v>29</v>
      </c>
      <c r="Q178" s="7" t="s">
        <v>29</v>
      </c>
      <c r="R178" s="7" t="s">
        <v>29</v>
      </c>
      <c r="S178" s="7" t="s">
        <v>29</v>
      </c>
    </row>
    <row r="179" spans="2:19">
      <c r="B179" s="9" t="s">
        <v>195</v>
      </c>
      <c r="C179" s="7" t="s">
        <v>195</v>
      </c>
      <c r="D179" s="5" t="str">
        <f>LRTRIM(CONCATENATE(IF(SUMPRODUCT(-- ISNUMBER(SEARCH({"Auto Number"}, $B179))) &gt; 0, $B179, IF(SUMPRODUCT(-- ISNUMBER(SEARCH({"Lookup","Master-Detail"}, $B179))) &gt; 0,$B179 &amp; "(" &amp; $E179 &amp; ")",IF(SUMPRODUCT(-- ISNUMBER(SEARCH({"Formula","Roll-Up Summary"}, $B179))) &gt; 0,$B179 &amp; " (" &amp; $E179 &amp; ")",IF(SUMPRODUCT(-- ISNUMBER(SEARCH({"Content","Currency","Number","Percent","Text","URL"}, $B179))) &gt; 0,$B179 &amp; "(" &amp; $C179 &amp; ")",$B179)))), "  ", TRIM(IF($S179 = "YES", "(External ID)", "") &amp; " " &amp; IF(SUMPRODUCT(-- ISNUMBER(SEARCH({"Unique","Unique Case Insensitive"}, $R179))) &gt; 0, "(" &amp; $R179 &amp; ")", ""))))</f>
        <v>na</v>
      </c>
      <c r="E179" s="7" t="s">
        <v>195</v>
      </c>
      <c r="F179" s="7" t="s">
        <v>195</v>
      </c>
      <c r="G179" s="7" t="s">
        <v>195</v>
      </c>
      <c r="H179" s="7" t="s">
        <v>195</v>
      </c>
      <c r="I179" s="7" t="s">
        <v>195</v>
      </c>
      <c r="J179" s="7" t="s">
        <v>195</v>
      </c>
      <c r="K179" s="7" t="s">
        <v>195</v>
      </c>
      <c r="L179" s="7" t="s">
        <v>195</v>
      </c>
      <c r="M179" s="7" t="s">
        <v>29</v>
      </c>
      <c r="N179" s="7" t="s">
        <v>29</v>
      </c>
      <c r="O179" s="7" t="s">
        <v>29</v>
      </c>
      <c r="P179" s="7" t="s">
        <v>29</v>
      </c>
      <c r="Q179" s="7" t="s">
        <v>29</v>
      </c>
      <c r="R179" s="7" t="s">
        <v>29</v>
      </c>
      <c r="S179" s="7" t="s">
        <v>29</v>
      </c>
    </row>
    <row r="180" spans="2:19">
      <c r="B180" s="9" t="s">
        <v>195</v>
      </c>
      <c r="C180" s="7" t="s">
        <v>195</v>
      </c>
      <c r="D180" s="5" t="str">
        <f>LRTRIM(CONCATENATE(IF(SUMPRODUCT(-- ISNUMBER(SEARCH({"Auto Number"}, $B180))) &gt; 0, $B180, IF(SUMPRODUCT(-- ISNUMBER(SEARCH({"Lookup","Master-Detail"}, $B180))) &gt; 0,$B180 &amp; "(" &amp; $E180 &amp; ")",IF(SUMPRODUCT(-- ISNUMBER(SEARCH({"Formula","Roll-Up Summary"}, $B180))) &gt; 0,$B180 &amp; " (" &amp; $E180 &amp; ")",IF(SUMPRODUCT(-- ISNUMBER(SEARCH({"Content","Currency","Number","Percent","Text","URL"}, $B180))) &gt; 0,$B180 &amp; "(" &amp; $C180 &amp; ")",$B180)))), "  ", TRIM(IF($S180 = "YES", "(External ID)", "") &amp; " " &amp; IF(SUMPRODUCT(-- ISNUMBER(SEARCH({"Unique","Unique Case Insensitive"}, $R180))) &gt; 0, "(" &amp; $R180 &amp; ")", ""))))</f>
        <v>na</v>
      </c>
      <c r="E180" s="7" t="s">
        <v>195</v>
      </c>
      <c r="F180" s="7" t="s">
        <v>195</v>
      </c>
      <c r="G180" s="7" t="s">
        <v>195</v>
      </c>
      <c r="H180" s="7" t="s">
        <v>195</v>
      </c>
      <c r="I180" s="7" t="s">
        <v>195</v>
      </c>
      <c r="J180" s="7" t="s">
        <v>195</v>
      </c>
      <c r="K180" s="7" t="s">
        <v>195</v>
      </c>
      <c r="L180" s="7" t="s">
        <v>195</v>
      </c>
      <c r="M180" s="7" t="s">
        <v>29</v>
      </c>
      <c r="N180" s="7" t="s">
        <v>29</v>
      </c>
      <c r="O180" s="7" t="s">
        <v>29</v>
      </c>
      <c r="P180" s="7" t="s">
        <v>29</v>
      </c>
      <c r="Q180" s="7" t="s">
        <v>29</v>
      </c>
      <c r="R180" s="7" t="s">
        <v>29</v>
      </c>
      <c r="S180" s="7" t="s">
        <v>29</v>
      </c>
    </row>
    <row r="181" spans="2:19">
      <c r="B181" s="9" t="s">
        <v>195</v>
      </c>
      <c r="C181" s="7" t="s">
        <v>195</v>
      </c>
      <c r="D181" s="5" t="str">
        <f>LRTRIM(CONCATENATE(IF(SUMPRODUCT(-- ISNUMBER(SEARCH({"Auto Number"}, $B181))) &gt; 0, $B181, IF(SUMPRODUCT(-- ISNUMBER(SEARCH({"Lookup","Master-Detail"}, $B181))) &gt; 0,$B181 &amp; "(" &amp; $E181 &amp; ")",IF(SUMPRODUCT(-- ISNUMBER(SEARCH({"Formula","Roll-Up Summary"}, $B181))) &gt; 0,$B181 &amp; " (" &amp; $E181 &amp; ")",IF(SUMPRODUCT(-- ISNUMBER(SEARCH({"Content","Currency","Number","Percent","Text","URL"}, $B181))) &gt; 0,$B181 &amp; "(" &amp; $C181 &amp; ")",$B181)))), "  ", TRIM(IF($S181 = "YES", "(External ID)", "") &amp; " " &amp; IF(SUMPRODUCT(-- ISNUMBER(SEARCH({"Unique","Unique Case Insensitive"}, $R181))) &gt; 0, "(" &amp; $R181 &amp; ")", ""))))</f>
        <v>na</v>
      </c>
      <c r="E181" s="7" t="s">
        <v>195</v>
      </c>
      <c r="F181" s="7" t="s">
        <v>195</v>
      </c>
      <c r="G181" s="7" t="s">
        <v>195</v>
      </c>
      <c r="H181" s="7" t="s">
        <v>195</v>
      </c>
      <c r="I181" s="7" t="s">
        <v>195</v>
      </c>
      <c r="J181" s="7" t="s">
        <v>195</v>
      </c>
      <c r="K181" s="7" t="s">
        <v>195</v>
      </c>
      <c r="L181" s="7" t="s">
        <v>195</v>
      </c>
      <c r="M181" s="7" t="s">
        <v>29</v>
      </c>
      <c r="N181" s="7" t="s">
        <v>29</v>
      </c>
      <c r="O181" s="7" t="s">
        <v>29</v>
      </c>
      <c r="P181" s="7" t="s">
        <v>29</v>
      </c>
      <c r="Q181" s="7" t="s">
        <v>29</v>
      </c>
      <c r="R181" s="7" t="s">
        <v>29</v>
      </c>
      <c r="S181" s="7" t="s">
        <v>29</v>
      </c>
    </row>
    <row r="182" spans="2:19">
      <c r="B182" s="9" t="s">
        <v>195</v>
      </c>
      <c r="C182" s="7" t="s">
        <v>195</v>
      </c>
      <c r="D182" s="5" t="str">
        <f>LRTRIM(CONCATENATE(IF(SUMPRODUCT(-- ISNUMBER(SEARCH({"Auto Number"}, $B182))) &gt; 0, $B182, IF(SUMPRODUCT(-- ISNUMBER(SEARCH({"Lookup","Master-Detail"}, $B182))) &gt; 0,$B182 &amp; "(" &amp; $E182 &amp; ")",IF(SUMPRODUCT(-- ISNUMBER(SEARCH({"Formula","Roll-Up Summary"}, $B182))) &gt; 0,$B182 &amp; " (" &amp; $E182 &amp; ")",IF(SUMPRODUCT(-- ISNUMBER(SEARCH({"Content","Currency","Number","Percent","Text","URL"}, $B182))) &gt; 0,$B182 &amp; "(" &amp; $C182 &amp; ")",$B182)))), "  ", TRIM(IF($S182 = "YES", "(External ID)", "") &amp; " " &amp; IF(SUMPRODUCT(-- ISNUMBER(SEARCH({"Unique","Unique Case Insensitive"}, $R182))) &gt; 0, "(" &amp; $R182 &amp; ")", ""))))</f>
        <v>na</v>
      </c>
      <c r="E182" s="7" t="s">
        <v>195</v>
      </c>
      <c r="F182" s="7" t="s">
        <v>195</v>
      </c>
      <c r="G182" s="7" t="s">
        <v>195</v>
      </c>
      <c r="H182" s="7" t="s">
        <v>195</v>
      </c>
      <c r="I182" s="7" t="s">
        <v>195</v>
      </c>
      <c r="J182" s="7" t="s">
        <v>195</v>
      </c>
      <c r="K182" s="7" t="s">
        <v>195</v>
      </c>
      <c r="L182" s="7" t="s">
        <v>195</v>
      </c>
      <c r="M182" s="7" t="s">
        <v>29</v>
      </c>
      <c r="N182" s="7" t="s">
        <v>29</v>
      </c>
      <c r="O182" s="7" t="s">
        <v>29</v>
      </c>
      <c r="P182" s="7" t="s">
        <v>29</v>
      </c>
      <c r="Q182" s="7" t="s">
        <v>29</v>
      </c>
      <c r="R182" s="7" t="s">
        <v>29</v>
      </c>
      <c r="S182" s="7" t="s">
        <v>29</v>
      </c>
    </row>
    <row r="183" spans="2:19">
      <c r="B183" s="9" t="s">
        <v>195</v>
      </c>
      <c r="C183" s="7" t="s">
        <v>195</v>
      </c>
      <c r="D183" s="5" t="str">
        <f>LRTRIM(CONCATENATE(IF(SUMPRODUCT(-- ISNUMBER(SEARCH({"Auto Number"}, $B183))) &gt; 0, $B183, IF(SUMPRODUCT(-- ISNUMBER(SEARCH({"Lookup","Master-Detail"}, $B183))) &gt; 0,$B183 &amp; "(" &amp; $E183 &amp; ")",IF(SUMPRODUCT(-- ISNUMBER(SEARCH({"Formula","Roll-Up Summary"}, $B183))) &gt; 0,$B183 &amp; " (" &amp; $E183 &amp; ")",IF(SUMPRODUCT(-- ISNUMBER(SEARCH({"Content","Currency","Number","Percent","Text","URL"}, $B183))) &gt; 0,$B183 &amp; "(" &amp; $C183 &amp; ")",$B183)))), "  ", TRIM(IF($S183 = "YES", "(External ID)", "") &amp; " " &amp; IF(SUMPRODUCT(-- ISNUMBER(SEARCH({"Unique","Unique Case Insensitive"}, $R183))) &gt; 0, "(" &amp; $R183 &amp; ")", ""))))</f>
        <v>na</v>
      </c>
      <c r="E183" s="7" t="s">
        <v>195</v>
      </c>
      <c r="F183" s="7" t="s">
        <v>195</v>
      </c>
      <c r="G183" s="7" t="s">
        <v>195</v>
      </c>
      <c r="H183" s="7" t="s">
        <v>195</v>
      </c>
      <c r="I183" s="7" t="s">
        <v>195</v>
      </c>
      <c r="J183" s="7" t="s">
        <v>195</v>
      </c>
      <c r="K183" s="7" t="s">
        <v>195</v>
      </c>
      <c r="L183" s="7" t="s">
        <v>195</v>
      </c>
      <c r="M183" s="7" t="s">
        <v>29</v>
      </c>
      <c r="N183" s="7" t="s">
        <v>29</v>
      </c>
      <c r="O183" s="7" t="s">
        <v>29</v>
      </c>
      <c r="P183" s="7" t="s">
        <v>29</v>
      </c>
      <c r="Q183" s="7" t="s">
        <v>29</v>
      </c>
      <c r="R183" s="7" t="s">
        <v>29</v>
      </c>
      <c r="S183" s="7" t="s">
        <v>29</v>
      </c>
    </row>
    <row r="184" spans="2:19">
      <c r="B184" s="9" t="s">
        <v>195</v>
      </c>
      <c r="C184" s="7" t="s">
        <v>195</v>
      </c>
      <c r="D184" s="5" t="str">
        <f>LRTRIM(CONCATENATE(IF(SUMPRODUCT(-- ISNUMBER(SEARCH({"Auto Number"}, $B184))) &gt; 0, $B184, IF(SUMPRODUCT(-- ISNUMBER(SEARCH({"Lookup","Master-Detail"}, $B184))) &gt; 0,$B184 &amp; "(" &amp; $E184 &amp; ")",IF(SUMPRODUCT(-- ISNUMBER(SEARCH({"Formula","Roll-Up Summary"}, $B184))) &gt; 0,$B184 &amp; " (" &amp; $E184 &amp; ")",IF(SUMPRODUCT(-- ISNUMBER(SEARCH({"Content","Currency","Number","Percent","Text","URL"}, $B184))) &gt; 0,$B184 &amp; "(" &amp; $C184 &amp; ")",$B184)))), "  ", TRIM(IF($S184 = "YES", "(External ID)", "") &amp; " " &amp; IF(SUMPRODUCT(-- ISNUMBER(SEARCH({"Unique","Unique Case Insensitive"}, $R184))) &gt; 0, "(" &amp; $R184 &amp; ")", ""))))</f>
        <v>na</v>
      </c>
      <c r="E184" s="7" t="s">
        <v>195</v>
      </c>
      <c r="F184" s="7" t="s">
        <v>195</v>
      </c>
      <c r="G184" s="7" t="s">
        <v>195</v>
      </c>
      <c r="H184" s="7" t="s">
        <v>195</v>
      </c>
      <c r="I184" s="7" t="s">
        <v>195</v>
      </c>
      <c r="J184" s="7" t="s">
        <v>195</v>
      </c>
      <c r="K184" s="7" t="s">
        <v>195</v>
      </c>
      <c r="L184" s="7" t="s">
        <v>195</v>
      </c>
      <c r="M184" s="7" t="s">
        <v>29</v>
      </c>
      <c r="N184" s="7" t="s">
        <v>29</v>
      </c>
      <c r="O184" s="7" t="s">
        <v>29</v>
      </c>
      <c r="P184" s="7" t="s">
        <v>29</v>
      </c>
      <c r="Q184" s="7" t="s">
        <v>29</v>
      </c>
      <c r="R184" s="7" t="s">
        <v>29</v>
      </c>
      <c r="S184" s="7" t="s">
        <v>29</v>
      </c>
    </row>
    <row r="185" spans="2:19">
      <c r="B185" s="9" t="s">
        <v>195</v>
      </c>
      <c r="C185" s="7" t="s">
        <v>195</v>
      </c>
      <c r="D185" s="5" t="str">
        <f>LRTRIM(CONCATENATE(IF(SUMPRODUCT(-- ISNUMBER(SEARCH({"Auto Number"}, $B185))) &gt; 0, $B185, IF(SUMPRODUCT(-- ISNUMBER(SEARCH({"Lookup","Master-Detail"}, $B185))) &gt; 0,$B185 &amp; "(" &amp; $E185 &amp; ")",IF(SUMPRODUCT(-- ISNUMBER(SEARCH({"Formula","Roll-Up Summary"}, $B185))) &gt; 0,$B185 &amp; " (" &amp; $E185 &amp; ")",IF(SUMPRODUCT(-- ISNUMBER(SEARCH({"Content","Currency","Number","Percent","Text","URL"}, $B185))) &gt; 0,$B185 &amp; "(" &amp; $C185 &amp; ")",$B185)))), "  ", TRIM(IF($S185 = "YES", "(External ID)", "") &amp; " " &amp; IF(SUMPRODUCT(-- ISNUMBER(SEARCH({"Unique","Unique Case Insensitive"}, $R185))) &gt; 0, "(" &amp; $R185 &amp; ")", ""))))</f>
        <v>na</v>
      </c>
      <c r="E185" s="7" t="s">
        <v>195</v>
      </c>
      <c r="F185" s="7" t="s">
        <v>195</v>
      </c>
      <c r="G185" s="7" t="s">
        <v>195</v>
      </c>
      <c r="H185" s="7" t="s">
        <v>195</v>
      </c>
      <c r="I185" s="7" t="s">
        <v>195</v>
      </c>
      <c r="J185" s="7" t="s">
        <v>195</v>
      </c>
      <c r="K185" s="7" t="s">
        <v>195</v>
      </c>
      <c r="L185" s="7" t="s">
        <v>195</v>
      </c>
      <c r="M185" s="7" t="s">
        <v>29</v>
      </c>
      <c r="N185" s="7" t="s">
        <v>29</v>
      </c>
      <c r="O185" s="7" t="s">
        <v>29</v>
      </c>
      <c r="P185" s="7" t="s">
        <v>29</v>
      </c>
      <c r="Q185" s="7" t="s">
        <v>29</v>
      </c>
      <c r="R185" s="7" t="s">
        <v>29</v>
      </c>
      <c r="S185" s="7" t="s">
        <v>29</v>
      </c>
    </row>
    <row r="186" spans="2:19">
      <c r="B186" s="9" t="s">
        <v>195</v>
      </c>
      <c r="C186" s="7" t="s">
        <v>195</v>
      </c>
      <c r="D186" s="5" t="str">
        <f>LRTRIM(CONCATENATE(IF(SUMPRODUCT(-- ISNUMBER(SEARCH({"Auto Number"}, $B186))) &gt; 0, $B186, IF(SUMPRODUCT(-- ISNUMBER(SEARCH({"Lookup","Master-Detail"}, $B186))) &gt; 0,$B186 &amp; "(" &amp; $E186 &amp; ")",IF(SUMPRODUCT(-- ISNUMBER(SEARCH({"Formula","Roll-Up Summary"}, $B186))) &gt; 0,$B186 &amp; " (" &amp; $E186 &amp; ")",IF(SUMPRODUCT(-- ISNUMBER(SEARCH({"Content","Currency","Number","Percent","Text","URL"}, $B186))) &gt; 0,$B186 &amp; "(" &amp; $C186 &amp; ")",$B186)))), "  ", TRIM(IF($S186 = "YES", "(External ID)", "") &amp; " " &amp; IF(SUMPRODUCT(-- ISNUMBER(SEARCH({"Unique","Unique Case Insensitive"}, $R186))) &gt; 0, "(" &amp; $R186 &amp; ")", ""))))</f>
        <v>na</v>
      </c>
      <c r="E186" s="7" t="s">
        <v>195</v>
      </c>
      <c r="F186" s="7" t="s">
        <v>195</v>
      </c>
      <c r="G186" s="7" t="s">
        <v>195</v>
      </c>
      <c r="H186" s="7" t="s">
        <v>195</v>
      </c>
      <c r="I186" s="7" t="s">
        <v>195</v>
      </c>
      <c r="J186" s="7" t="s">
        <v>195</v>
      </c>
      <c r="K186" s="7" t="s">
        <v>195</v>
      </c>
      <c r="L186" s="7" t="s">
        <v>195</v>
      </c>
      <c r="M186" s="7" t="s">
        <v>29</v>
      </c>
      <c r="N186" s="7" t="s">
        <v>29</v>
      </c>
      <c r="O186" s="7" t="s">
        <v>29</v>
      </c>
      <c r="P186" s="7" t="s">
        <v>29</v>
      </c>
      <c r="Q186" s="7" t="s">
        <v>29</v>
      </c>
      <c r="R186" s="7" t="s">
        <v>29</v>
      </c>
      <c r="S186" s="7" t="s">
        <v>29</v>
      </c>
    </row>
    <row r="187" spans="2:19">
      <c r="B187" s="9" t="s">
        <v>195</v>
      </c>
      <c r="C187" s="7" t="s">
        <v>195</v>
      </c>
      <c r="D187" s="5" t="str">
        <f>LRTRIM(CONCATENATE(IF(SUMPRODUCT(-- ISNUMBER(SEARCH({"Auto Number"}, $B187))) &gt; 0, $B187, IF(SUMPRODUCT(-- ISNUMBER(SEARCH({"Lookup","Master-Detail"}, $B187))) &gt; 0,$B187 &amp; "(" &amp; $E187 &amp; ")",IF(SUMPRODUCT(-- ISNUMBER(SEARCH({"Formula","Roll-Up Summary"}, $B187))) &gt; 0,$B187 &amp; " (" &amp; $E187 &amp; ")",IF(SUMPRODUCT(-- ISNUMBER(SEARCH({"Content","Currency","Number","Percent","Text","URL"}, $B187))) &gt; 0,$B187 &amp; "(" &amp; $C187 &amp; ")",$B187)))), "  ", TRIM(IF($S187 = "YES", "(External ID)", "") &amp; " " &amp; IF(SUMPRODUCT(-- ISNUMBER(SEARCH({"Unique","Unique Case Insensitive"}, $R187))) &gt; 0, "(" &amp; $R187 &amp; ")", ""))))</f>
        <v>na</v>
      </c>
      <c r="E187" s="7" t="s">
        <v>195</v>
      </c>
      <c r="F187" s="7" t="s">
        <v>195</v>
      </c>
      <c r="G187" s="7" t="s">
        <v>195</v>
      </c>
      <c r="H187" s="7" t="s">
        <v>195</v>
      </c>
      <c r="I187" s="7" t="s">
        <v>195</v>
      </c>
      <c r="J187" s="7" t="s">
        <v>195</v>
      </c>
      <c r="K187" s="7" t="s">
        <v>195</v>
      </c>
      <c r="L187" s="7" t="s">
        <v>195</v>
      </c>
      <c r="M187" s="7" t="s">
        <v>29</v>
      </c>
      <c r="N187" s="7" t="s">
        <v>29</v>
      </c>
      <c r="O187" s="7" t="s">
        <v>29</v>
      </c>
      <c r="P187" s="7" t="s">
        <v>29</v>
      </c>
      <c r="Q187" s="7" t="s">
        <v>29</v>
      </c>
      <c r="R187" s="7" t="s">
        <v>29</v>
      </c>
      <c r="S187" s="7" t="s">
        <v>29</v>
      </c>
    </row>
    <row r="188" spans="2:19">
      <c r="B188" s="9" t="s">
        <v>195</v>
      </c>
      <c r="C188" s="7" t="s">
        <v>195</v>
      </c>
      <c r="D188" s="5" t="str">
        <f>LRTRIM(CONCATENATE(IF(SUMPRODUCT(-- ISNUMBER(SEARCH({"Auto Number"}, $B188))) &gt; 0, $B188, IF(SUMPRODUCT(-- ISNUMBER(SEARCH({"Lookup","Master-Detail"}, $B188))) &gt; 0,$B188 &amp; "(" &amp; $E188 &amp; ")",IF(SUMPRODUCT(-- ISNUMBER(SEARCH({"Formula","Roll-Up Summary"}, $B188))) &gt; 0,$B188 &amp; " (" &amp; $E188 &amp; ")",IF(SUMPRODUCT(-- ISNUMBER(SEARCH({"Content","Currency","Number","Percent","Text","URL"}, $B188))) &gt; 0,$B188 &amp; "(" &amp; $C188 &amp; ")",$B188)))), "  ", TRIM(IF($S188 = "YES", "(External ID)", "") &amp; " " &amp; IF(SUMPRODUCT(-- ISNUMBER(SEARCH({"Unique","Unique Case Insensitive"}, $R188))) &gt; 0, "(" &amp; $R188 &amp; ")", ""))))</f>
        <v>na</v>
      </c>
      <c r="E188" s="7" t="s">
        <v>195</v>
      </c>
      <c r="F188" s="7" t="s">
        <v>195</v>
      </c>
      <c r="G188" s="7" t="s">
        <v>195</v>
      </c>
      <c r="H188" s="7" t="s">
        <v>195</v>
      </c>
      <c r="I188" s="7" t="s">
        <v>195</v>
      </c>
      <c r="J188" s="7" t="s">
        <v>195</v>
      </c>
      <c r="K188" s="7" t="s">
        <v>195</v>
      </c>
      <c r="L188" s="7" t="s">
        <v>195</v>
      </c>
      <c r="M188" s="7" t="s">
        <v>29</v>
      </c>
      <c r="N188" s="7" t="s">
        <v>29</v>
      </c>
      <c r="O188" s="7" t="s">
        <v>29</v>
      </c>
      <c r="P188" s="7" t="s">
        <v>29</v>
      </c>
      <c r="Q188" s="7" t="s">
        <v>29</v>
      </c>
      <c r="R188" s="7" t="s">
        <v>29</v>
      </c>
      <c r="S188" s="7" t="s">
        <v>29</v>
      </c>
    </row>
    <row r="189" spans="2:19">
      <c r="B189" s="9" t="s">
        <v>195</v>
      </c>
      <c r="C189" s="7" t="s">
        <v>195</v>
      </c>
      <c r="D189" s="5" t="str">
        <f>LRTRIM(CONCATENATE(IF(SUMPRODUCT(-- ISNUMBER(SEARCH({"Auto Number"}, $B189))) &gt; 0, $B189, IF(SUMPRODUCT(-- ISNUMBER(SEARCH({"Lookup","Master-Detail"}, $B189))) &gt; 0,$B189 &amp; "(" &amp; $E189 &amp; ")",IF(SUMPRODUCT(-- ISNUMBER(SEARCH({"Formula","Roll-Up Summary"}, $B189))) &gt; 0,$B189 &amp; " (" &amp; $E189 &amp; ")",IF(SUMPRODUCT(-- ISNUMBER(SEARCH({"Content","Currency","Number","Percent","Text","URL"}, $B189))) &gt; 0,$B189 &amp; "(" &amp; $C189 &amp; ")",$B189)))), "  ", TRIM(IF($S189 = "YES", "(External ID)", "") &amp; " " &amp; IF(SUMPRODUCT(-- ISNUMBER(SEARCH({"Unique","Unique Case Insensitive"}, $R189))) &gt; 0, "(" &amp; $R189 &amp; ")", ""))))</f>
        <v>na</v>
      </c>
      <c r="E189" s="7" t="s">
        <v>195</v>
      </c>
      <c r="F189" s="7" t="s">
        <v>195</v>
      </c>
      <c r="G189" s="7" t="s">
        <v>195</v>
      </c>
      <c r="H189" s="7" t="s">
        <v>195</v>
      </c>
      <c r="I189" s="7" t="s">
        <v>195</v>
      </c>
      <c r="J189" s="7" t="s">
        <v>195</v>
      </c>
      <c r="K189" s="7" t="s">
        <v>195</v>
      </c>
      <c r="L189" s="7" t="s">
        <v>195</v>
      </c>
      <c r="M189" s="7" t="s">
        <v>29</v>
      </c>
      <c r="N189" s="7" t="s">
        <v>29</v>
      </c>
      <c r="O189" s="7" t="s">
        <v>29</v>
      </c>
      <c r="P189" s="7" t="s">
        <v>29</v>
      </c>
      <c r="Q189" s="7" t="s">
        <v>29</v>
      </c>
      <c r="R189" s="7" t="s">
        <v>29</v>
      </c>
      <c r="S189" s="7" t="s">
        <v>29</v>
      </c>
    </row>
    <row r="190" spans="2:19">
      <c r="B190" s="9" t="s">
        <v>195</v>
      </c>
      <c r="C190" s="7" t="s">
        <v>195</v>
      </c>
      <c r="D190" s="5" t="str">
        <f>LRTRIM(CONCATENATE(IF(SUMPRODUCT(-- ISNUMBER(SEARCH({"Auto Number"}, $B190))) &gt; 0, $B190, IF(SUMPRODUCT(-- ISNUMBER(SEARCH({"Lookup","Master-Detail"}, $B190))) &gt; 0,$B190 &amp; "(" &amp; $E190 &amp; ")",IF(SUMPRODUCT(-- ISNUMBER(SEARCH({"Formula","Roll-Up Summary"}, $B190))) &gt; 0,$B190 &amp; " (" &amp; $E190 &amp; ")",IF(SUMPRODUCT(-- ISNUMBER(SEARCH({"Content","Currency","Number","Percent","Text","URL"}, $B190))) &gt; 0,$B190 &amp; "(" &amp; $C190 &amp; ")",$B190)))), "  ", TRIM(IF($S190 = "YES", "(External ID)", "") &amp; " " &amp; IF(SUMPRODUCT(-- ISNUMBER(SEARCH({"Unique","Unique Case Insensitive"}, $R190))) &gt; 0, "(" &amp; $R190 &amp; ")", ""))))</f>
        <v>na</v>
      </c>
      <c r="E190" s="7" t="s">
        <v>195</v>
      </c>
      <c r="F190" s="7" t="s">
        <v>195</v>
      </c>
      <c r="G190" s="7" t="s">
        <v>195</v>
      </c>
      <c r="H190" s="7" t="s">
        <v>195</v>
      </c>
      <c r="I190" s="7" t="s">
        <v>195</v>
      </c>
      <c r="J190" s="7" t="s">
        <v>195</v>
      </c>
      <c r="K190" s="7" t="s">
        <v>195</v>
      </c>
      <c r="L190" s="7" t="s">
        <v>195</v>
      </c>
      <c r="M190" s="7" t="s">
        <v>29</v>
      </c>
      <c r="N190" s="7" t="s">
        <v>29</v>
      </c>
      <c r="O190" s="7" t="s">
        <v>29</v>
      </c>
      <c r="P190" s="7" t="s">
        <v>29</v>
      </c>
      <c r="Q190" s="7" t="s">
        <v>29</v>
      </c>
      <c r="R190" s="7" t="s">
        <v>29</v>
      </c>
      <c r="S190" s="7" t="s">
        <v>29</v>
      </c>
    </row>
    <row r="191" spans="2:19">
      <c r="B191" s="9" t="s">
        <v>195</v>
      </c>
      <c r="C191" s="7" t="s">
        <v>195</v>
      </c>
      <c r="D191" s="5" t="str">
        <f>LRTRIM(CONCATENATE(IF(SUMPRODUCT(-- ISNUMBER(SEARCH({"Auto Number"}, $B191))) &gt; 0, $B191, IF(SUMPRODUCT(-- ISNUMBER(SEARCH({"Lookup","Master-Detail"}, $B191))) &gt; 0,$B191 &amp; "(" &amp; $E191 &amp; ")",IF(SUMPRODUCT(-- ISNUMBER(SEARCH({"Formula","Roll-Up Summary"}, $B191))) &gt; 0,$B191 &amp; " (" &amp; $E191 &amp; ")",IF(SUMPRODUCT(-- ISNUMBER(SEARCH({"Content","Currency","Number","Percent","Text","URL"}, $B191))) &gt; 0,$B191 &amp; "(" &amp; $C191 &amp; ")",$B191)))), "  ", TRIM(IF($S191 = "YES", "(External ID)", "") &amp; " " &amp; IF(SUMPRODUCT(-- ISNUMBER(SEARCH({"Unique","Unique Case Insensitive"}, $R191))) &gt; 0, "(" &amp; $R191 &amp; ")", ""))))</f>
        <v>na</v>
      </c>
      <c r="E191" s="7" t="s">
        <v>195</v>
      </c>
      <c r="F191" s="7" t="s">
        <v>195</v>
      </c>
      <c r="G191" s="7" t="s">
        <v>195</v>
      </c>
      <c r="H191" s="7" t="s">
        <v>195</v>
      </c>
      <c r="I191" s="7" t="s">
        <v>195</v>
      </c>
      <c r="J191" s="7" t="s">
        <v>195</v>
      </c>
      <c r="K191" s="7" t="s">
        <v>195</v>
      </c>
      <c r="L191" s="7" t="s">
        <v>195</v>
      </c>
      <c r="M191" s="7" t="s">
        <v>29</v>
      </c>
      <c r="N191" s="7" t="s">
        <v>29</v>
      </c>
      <c r="O191" s="7" t="s">
        <v>29</v>
      </c>
      <c r="P191" s="7" t="s">
        <v>29</v>
      </c>
      <c r="Q191" s="7" t="s">
        <v>29</v>
      </c>
      <c r="R191" s="7" t="s">
        <v>29</v>
      </c>
      <c r="S191" s="7" t="s">
        <v>29</v>
      </c>
    </row>
    <row r="192" spans="2:19">
      <c r="B192" s="9" t="s">
        <v>195</v>
      </c>
      <c r="C192" s="7" t="s">
        <v>195</v>
      </c>
      <c r="D192" s="5" t="str">
        <f>LRTRIM(CONCATENATE(IF(SUMPRODUCT(-- ISNUMBER(SEARCH({"Auto Number"}, $B192))) &gt; 0, $B192, IF(SUMPRODUCT(-- ISNUMBER(SEARCH({"Lookup","Master-Detail"}, $B192))) &gt; 0,$B192 &amp; "(" &amp; $E192 &amp; ")",IF(SUMPRODUCT(-- ISNUMBER(SEARCH({"Formula","Roll-Up Summary"}, $B192))) &gt; 0,$B192 &amp; " (" &amp; $E192 &amp; ")",IF(SUMPRODUCT(-- ISNUMBER(SEARCH({"Content","Currency","Number","Percent","Text","URL"}, $B192))) &gt; 0,$B192 &amp; "(" &amp; $C192 &amp; ")",$B192)))), "  ", TRIM(IF($S192 = "YES", "(External ID)", "") &amp; " " &amp; IF(SUMPRODUCT(-- ISNUMBER(SEARCH({"Unique","Unique Case Insensitive"}, $R192))) &gt; 0, "(" &amp; $R192 &amp; ")", ""))))</f>
        <v>na</v>
      </c>
      <c r="E192" s="7" t="s">
        <v>195</v>
      </c>
      <c r="F192" s="7" t="s">
        <v>195</v>
      </c>
      <c r="G192" s="7" t="s">
        <v>195</v>
      </c>
      <c r="H192" s="7" t="s">
        <v>195</v>
      </c>
      <c r="I192" s="7" t="s">
        <v>195</v>
      </c>
      <c r="J192" s="7" t="s">
        <v>195</v>
      </c>
      <c r="K192" s="7" t="s">
        <v>195</v>
      </c>
      <c r="L192" s="7" t="s">
        <v>195</v>
      </c>
      <c r="M192" s="7" t="s">
        <v>29</v>
      </c>
      <c r="N192" s="7" t="s">
        <v>29</v>
      </c>
      <c r="O192" s="7" t="s">
        <v>29</v>
      </c>
      <c r="P192" s="7" t="s">
        <v>29</v>
      </c>
      <c r="Q192" s="7" t="s">
        <v>29</v>
      </c>
      <c r="R192" s="7" t="s">
        <v>29</v>
      </c>
      <c r="S192" s="7" t="s">
        <v>29</v>
      </c>
    </row>
    <row r="193" spans="2:19">
      <c r="B193" s="9" t="s">
        <v>195</v>
      </c>
      <c r="C193" s="7" t="s">
        <v>195</v>
      </c>
      <c r="D193" s="5" t="str">
        <f>LRTRIM(CONCATENATE(IF(SUMPRODUCT(-- ISNUMBER(SEARCH({"Auto Number"}, $B193))) &gt; 0, $B193, IF(SUMPRODUCT(-- ISNUMBER(SEARCH({"Lookup","Master-Detail"}, $B193))) &gt; 0,$B193 &amp; "(" &amp; $E193 &amp; ")",IF(SUMPRODUCT(-- ISNUMBER(SEARCH({"Formula","Roll-Up Summary"}, $B193))) &gt; 0,$B193 &amp; " (" &amp; $E193 &amp; ")",IF(SUMPRODUCT(-- ISNUMBER(SEARCH({"Content","Currency","Number","Percent","Text","URL"}, $B193))) &gt; 0,$B193 &amp; "(" &amp; $C193 &amp; ")",$B193)))), "  ", TRIM(IF($S193 = "YES", "(External ID)", "") &amp; " " &amp; IF(SUMPRODUCT(-- ISNUMBER(SEARCH({"Unique","Unique Case Insensitive"}, $R193))) &gt; 0, "(" &amp; $R193 &amp; ")", ""))))</f>
        <v>na</v>
      </c>
      <c r="E193" s="7" t="s">
        <v>195</v>
      </c>
      <c r="F193" s="7" t="s">
        <v>195</v>
      </c>
      <c r="G193" s="7" t="s">
        <v>195</v>
      </c>
      <c r="H193" s="7" t="s">
        <v>195</v>
      </c>
      <c r="I193" s="7" t="s">
        <v>195</v>
      </c>
      <c r="J193" s="7" t="s">
        <v>195</v>
      </c>
      <c r="K193" s="7" t="s">
        <v>195</v>
      </c>
      <c r="L193" s="7" t="s">
        <v>195</v>
      </c>
      <c r="M193" s="7" t="s">
        <v>29</v>
      </c>
      <c r="N193" s="7" t="s">
        <v>29</v>
      </c>
      <c r="O193" s="7" t="s">
        <v>29</v>
      </c>
      <c r="P193" s="7" t="s">
        <v>29</v>
      </c>
      <c r="Q193" s="7" t="s">
        <v>29</v>
      </c>
      <c r="R193" s="7" t="s">
        <v>29</v>
      </c>
      <c r="S193" s="7" t="s">
        <v>29</v>
      </c>
    </row>
    <row r="194" spans="2:19">
      <c r="B194" s="9" t="s">
        <v>195</v>
      </c>
      <c r="C194" s="7" t="s">
        <v>195</v>
      </c>
      <c r="D194" s="5" t="str">
        <f>LRTRIM(CONCATENATE(IF(SUMPRODUCT(-- ISNUMBER(SEARCH({"Auto Number"}, $B194))) &gt; 0, $B194, IF(SUMPRODUCT(-- ISNUMBER(SEARCH({"Lookup","Master-Detail"}, $B194))) &gt; 0,$B194 &amp; "(" &amp; $E194 &amp; ")",IF(SUMPRODUCT(-- ISNUMBER(SEARCH({"Formula","Roll-Up Summary"}, $B194))) &gt; 0,$B194 &amp; " (" &amp; $E194 &amp; ")",IF(SUMPRODUCT(-- ISNUMBER(SEARCH({"Content","Currency","Number","Percent","Text","URL"}, $B194))) &gt; 0,$B194 &amp; "(" &amp; $C194 &amp; ")",$B194)))), "  ", TRIM(IF($S194 = "YES", "(External ID)", "") &amp; " " &amp; IF(SUMPRODUCT(-- ISNUMBER(SEARCH({"Unique","Unique Case Insensitive"}, $R194))) &gt; 0, "(" &amp; $R194 &amp; ")", ""))))</f>
        <v>na</v>
      </c>
      <c r="E194" s="7" t="s">
        <v>195</v>
      </c>
      <c r="F194" s="7" t="s">
        <v>195</v>
      </c>
      <c r="G194" s="7" t="s">
        <v>195</v>
      </c>
      <c r="H194" s="7" t="s">
        <v>195</v>
      </c>
      <c r="I194" s="7" t="s">
        <v>195</v>
      </c>
      <c r="J194" s="7" t="s">
        <v>195</v>
      </c>
      <c r="K194" s="7" t="s">
        <v>195</v>
      </c>
      <c r="L194" s="7" t="s">
        <v>195</v>
      </c>
      <c r="M194" s="7" t="s">
        <v>29</v>
      </c>
      <c r="N194" s="7" t="s">
        <v>29</v>
      </c>
      <c r="O194" s="7" t="s">
        <v>29</v>
      </c>
      <c r="P194" s="7" t="s">
        <v>29</v>
      </c>
      <c r="Q194" s="7" t="s">
        <v>29</v>
      </c>
      <c r="R194" s="7" t="s">
        <v>29</v>
      </c>
      <c r="S194" s="7" t="s">
        <v>29</v>
      </c>
    </row>
    <row r="195" spans="2:19">
      <c r="B195" s="9" t="s">
        <v>195</v>
      </c>
      <c r="C195" s="7" t="s">
        <v>195</v>
      </c>
      <c r="D195" s="5" t="str">
        <f>LRTRIM(CONCATENATE(IF(SUMPRODUCT(-- ISNUMBER(SEARCH({"Auto Number"}, $B195))) &gt; 0, $B195, IF(SUMPRODUCT(-- ISNUMBER(SEARCH({"Lookup","Master-Detail"}, $B195))) &gt; 0,$B195 &amp; "(" &amp; $E195 &amp; ")",IF(SUMPRODUCT(-- ISNUMBER(SEARCH({"Formula","Roll-Up Summary"}, $B195))) &gt; 0,$B195 &amp; " (" &amp; $E195 &amp; ")",IF(SUMPRODUCT(-- ISNUMBER(SEARCH({"Content","Currency","Number","Percent","Text","URL"}, $B195))) &gt; 0,$B195 &amp; "(" &amp; $C195 &amp; ")",$B195)))), "  ", TRIM(IF($S195 = "YES", "(External ID)", "") &amp; " " &amp; IF(SUMPRODUCT(-- ISNUMBER(SEARCH({"Unique","Unique Case Insensitive"}, $R195))) &gt; 0, "(" &amp; $R195 &amp; ")", ""))))</f>
        <v>na</v>
      </c>
      <c r="E195" s="7" t="s">
        <v>195</v>
      </c>
      <c r="F195" s="7" t="s">
        <v>195</v>
      </c>
      <c r="G195" s="7" t="s">
        <v>195</v>
      </c>
      <c r="H195" s="7" t="s">
        <v>195</v>
      </c>
      <c r="I195" s="7" t="s">
        <v>195</v>
      </c>
      <c r="J195" s="7" t="s">
        <v>195</v>
      </c>
      <c r="K195" s="7" t="s">
        <v>195</v>
      </c>
      <c r="L195" s="7" t="s">
        <v>195</v>
      </c>
      <c r="M195" s="7" t="s">
        <v>29</v>
      </c>
      <c r="N195" s="7" t="s">
        <v>29</v>
      </c>
      <c r="O195" s="7" t="s">
        <v>29</v>
      </c>
      <c r="P195" s="7" t="s">
        <v>29</v>
      </c>
      <c r="Q195" s="7" t="s">
        <v>29</v>
      </c>
      <c r="R195" s="7" t="s">
        <v>29</v>
      </c>
      <c r="S195" s="7" t="s">
        <v>29</v>
      </c>
    </row>
    <row r="196" spans="2:19">
      <c r="B196" s="9" t="s">
        <v>195</v>
      </c>
      <c r="C196" s="7" t="s">
        <v>195</v>
      </c>
      <c r="D196" s="5" t="str">
        <f>LRTRIM(CONCATENATE(IF(SUMPRODUCT(-- ISNUMBER(SEARCH({"Auto Number"}, $B196))) &gt; 0, $B196, IF(SUMPRODUCT(-- ISNUMBER(SEARCH({"Lookup","Master-Detail"}, $B196))) &gt; 0,$B196 &amp; "(" &amp; $E196 &amp; ")",IF(SUMPRODUCT(-- ISNUMBER(SEARCH({"Formula","Roll-Up Summary"}, $B196))) &gt; 0,$B196 &amp; " (" &amp; $E196 &amp; ")",IF(SUMPRODUCT(-- ISNUMBER(SEARCH({"Content","Currency","Number","Percent","Text","URL"}, $B196))) &gt; 0,$B196 &amp; "(" &amp; $C196 &amp; ")",$B196)))), "  ", TRIM(IF($S196 = "YES", "(External ID)", "") &amp; " " &amp; IF(SUMPRODUCT(-- ISNUMBER(SEARCH({"Unique","Unique Case Insensitive"}, $R196))) &gt; 0, "(" &amp; $R196 &amp; ")", ""))))</f>
        <v>na</v>
      </c>
      <c r="E196" s="7" t="s">
        <v>195</v>
      </c>
      <c r="F196" s="7" t="s">
        <v>195</v>
      </c>
      <c r="G196" s="7" t="s">
        <v>195</v>
      </c>
      <c r="H196" s="7" t="s">
        <v>195</v>
      </c>
      <c r="I196" s="7" t="s">
        <v>195</v>
      </c>
      <c r="J196" s="7" t="s">
        <v>195</v>
      </c>
      <c r="K196" s="7" t="s">
        <v>195</v>
      </c>
      <c r="L196" s="7" t="s">
        <v>195</v>
      </c>
      <c r="M196" s="7" t="s">
        <v>29</v>
      </c>
      <c r="N196" s="7" t="s">
        <v>29</v>
      </c>
      <c r="O196" s="7" t="s">
        <v>29</v>
      </c>
      <c r="P196" s="7" t="s">
        <v>29</v>
      </c>
      <c r="Q196" s="7" t="s">
        <v>29</v>
      </c>
      <c r="R196" s="7" t="s">
        <v>29</v>
      </c>
      <c r="S196" s="7" t="s">
        <v>29</v>
      </c>
    </row>
    <row r="197" spans="2:19">
      <c r="B197" s="9" t="s">
        <v>195</v>
      </c>
      <c r="C197" s="7" t="s">
        <v>195</v>
      </c>
      <c r="D197" s="5" t="str">
        <f>LRTRIM(CONCATENATE(IF(SUMPRODUCT(-- ISNUMBER(SEARCH({"Auto Number"}, $B197))) &gt; 0, $B197, IF(SUMPRODUCT(-- ISNUMBER(SEARCH({"Lookup","Master-Detail"}, $B197))) &gt; 0,$B197 &amp; "(" &amp; $E197 &amp; ")",IF(SUMPRODUCT(-- ISNUMBER(SEARCH({"Formula","Roll-Up Summary"}, $B197))) &gt; 0,$B197 &amp; " (" &amp; $E197 &amp; ")",IF(SUMPRODUCT(-- ISNUMBER(SEARCH({"Content","Currency","Number","Percent","Text","URL"}, $B197))) &gt; 0,$B197 &amp; "(" &amp; $C197 &amp; ")",$B197)))), "  ", TRIM(IF($S197 = "YES", "(External ID)", "") &amp; " " &amp; IF(SUMPRODUCT(-- ISNUMBER(SEARCH({"Unique","Unique Case Insensitive"}, $R197))) &gt; 0, "(" &amp; $R197 &amp; ")", ""))))</f>
        <v>na</v>
      </c>
      <c r="E197" s="7" t="s">
        <v>195</v>
      </c>
      <c r="F197" s="7" t="s">
        <v>195</v>
      </c>
      <c r="G197" s="7" t="s">
        <v>195</v>
      </c>
      <c r="H197" s="7" t="s">
        <v>195</v>
      </c>
      <c r="I197" s="7" t="s">
        <v>195</v>
      </c>
      <c r="J197" s="7" t="s">
        <v>195</v>
      </c>
      <c r="K197" s="7" t="s">
        <v>195</v>
      </c>
      <c r="L197" s="7" t="s">
        <v>195</v>
      </c>
      <c r="M197" s="7" t="s">
        <v>29</v>
      </c>
      <c r="N197" s="7" t="s">
        <v>29</v>
      </c>
      <c r="O197" s="7" t="s">
        <v>29</v>
      </c>
      <c r="P197" s="7" t="s">
        <v>29</v>
      </c>
      <c r="Q197" s="7" t="s">
        <v>29</v>
      </c>
      <c r="R197" s="7" t="s">
        <v>29</v>
      </c>
      <c r="S197" s="7" t="s">
        <v>29</v>
      </c>
    </row>
    <row r="198" spans="2:19">
      <c r="B198" s="9" t="s">
        <v>195</v>
      </c>
      <c r="C198" s="7" t="s">
        <v>195</v>
      </c>
      <c r="D198" s="5" t="str">
        <f>LRTRIM(CONCATENATE(IF(SUMPRODUCT(-- ISNUMBER(SEARCH({"Auto Number"}, $B198))) &gt; 0, $B198, IF(SUMPRODUCT(-- ISNUMBER(SEARCH({"Lookup","Master-Detail"}, $B198))) &gt; 0,$B198 &amp; "(" &amp; $E198 &amp; ")",IF(SUMPRODUCT(-- ISNUMBER(SEARCH({"Formula","Roll-Up Summary"}, $B198))) &gt; 0,$B198 &amp; " (" &amp; $E198 &amp; ")",IF(SUMPRODUCT(-- ISNUMBER(SEARCH({"Content","Currency","Number","Percent","Text","URL"}, $B198))) &gt; 0,$B198 &amp; "(" &amp; $C198 &amp; ")",$B198)))), "  ", TRIM(IF($S198 = "YES", "(External ID)", "") &amp; " " &amp; IF(SUMPRODUCT(-- ISNUMBER(SEARCH({"Unique","Unique Case Insensitive"}, $R198))) &gt; 0, "(" &amp; $R198 &amp; ")", ""))))</f>
        <v>na</v>
      </c>
      <c r="E198" s="7" t="s">
        <v>195</v>
      </c>
      <c r="F198" s="7" t="s">
        <v>195</v>
      </c>
      <c r="G198" s="7" t="s">
        <v>195</v>
      </c>
      <c r="H198" s="7" t="s">
        <v>195</v>
      </c>
      <c r="I198" s="7" t="s">
        <v>195</v>
      </c>
      <c r="J198" s="7" t="s">
        <v>195</v>
      </c>
      <c r="K198" s="7" t="s">
        <v>195</v>
      </c>
      <c r="L198" s="7" t="s">
        <v>195</v>
      </c>
      <c r="M198" s="7" t="s">
        <v>29</v>
      </c>
      <c r="N198" s="7" t="s">
        <v>29</v>
      </c>
      <c r="O198" s="7" t="s">
        <v>29</v>
      </c>
      <c r="P198" s="7" t="s">
        <v>29</v>
      </c>
      <c r="Q198" s="7" t="s">
        <v>29</v>
      </c>
      <c r="R198" s="7" t="s">
        <v>29</v>
      </c>
      <c r="S198" s="7" t="s">
        <v>29</v>
      </c>
    </row>
    <row r="199" spans="2:19">
      <c r="B199" s="9" t="s">
        <v>195</v>
      </c>
      <c r="C199" s="7" t="s">
        <v>195</v>
      </c>
      <c r="D199" s="5" t="str">
        <f>LRTRIM(CONCATENATE(IF(SUMPRODUCT(-- ISNUMBER(SEARCH({"Auto Number"}, $B199))) &gt; 0, $B199, IF(SUMPRODUCT(-- ISNUMBER(SEARCH({"Lookup","Master-Detail"}, $B199))) &gt; 0,$B199 &amp; "(" &amp; $E199 &amp; ")",IF(SUMPRODUCT(-- ISNUMBER(SEARCH({"Formula","Roll-Up Summary"}, $B199))) &gt; 0,$B199 &amp; " (" &amp; $E199 &amp; ")",IF(SUMPRODUCT(-- ISNUMBER(SEARCH({"Content","Currency","Number","Percent","Text","URL"}, $B199))) &gt; 0,$B199 &amp; "(" &amp; $C199 &amp; ")",$B199)))), "  ", TRIM(IF($S199 = "YES", "(External ID)", "") &amp; " " &amp; IF(SUMPRODUCT(-- ISNUMBER(SEARCH({"Unique","Unique Case Insensitive"}, $R199))) &gt; 0, "(" &amp; $R199 &amp; ")", ""))))</f>
        <v>na</v>
      </c>
      <c r="E199" s="7" t="s">
        <v>195</v>
      </c>
      <c r="F199" s="7" t="s">
        <v>195</v>
      </c>
      <c r="G199" s="7" t="s">
        <v>195</v>
      </c>
      <c r="H199" s="7" t="s">
        <v>195</v>
      </c>
      <c r="I199" s="7" t="s">
        <v>195</v>
      </c>
      <c r="J199" s="7" t="s">
        <v>195</v>
      </c>
      <c r="K199" s="7" t="s">
        <v>195</v>
      </c>
      <c r="L199" s="7" t="s">
        <v>195</v>
      </c>
      <c r="M199" s="7" t="s">
        <v>29</v>
      </c>
      <c r="N199" s="7" t="s">
        <v>29</v>
      </c>
      <c r="O199" s="7" t="s">
        <v>29</v>
      </c>
      <c r="P199" s="7" t="s">
        <v>29</v>
      </c>
      <c r="Q199" s="7" t="s">
        <v>29</v>
      </c>
      <c r="R199" s="7" t="s">
        <v>29</v>
      </c>
      <c r="S199" s="7" t="s">
        <v>29</v>
      </c>
    </row>
    <row r="200" spans="2:19">
      <c r="B200" s="9" t="s">
        <v>195</v>
      </c>
      <c r="C200" s="7" t="s">
        <v>195</v>
      </c>
      <c r="D200" s="5" t="str">
        <f>LRTRIM(CONCATENATE(IF(SUMPRODUCT(-- ISNUMBER(SEARCH({"Auto Number"}, $B200))) &gt; 0, $B200, IF(SUMPRODUCT(-- ISNUMBER(SEARCH({"Lookup","Master-Detail"}, $B200))) &gt; 0,$B200 &amp; "(" &amp; $E200 &amp; ")",IF(SUMPRODUCT(-- ISNUMBER(SEARCH({"Formula","Roll-Up Summary"}, $B200))) &gt; 0,$B200 &amp; " (" &amp; $E200 &amp; ")",IF(SUMPRODUCT(-- ISNUMBER(SEARCH({"Content","Currency","Number","Percent","Text","URL"}, $B200))) &gt; 0,$B200 &amp; "(" &amp; $C200 &amp; ")",$B200)))), "  ", TRIM(IF($S200 = "YES", "(External ID)", "") &amp; " " &amp; IF(SUMPRODUCT(-- ISNUMBER(SEARCH({"Unique","Unique Case Insensitive"}, $R200))) &gt; 0, "(" &amp; $R200 &amp; ")", ""))))</f>
        <v>na</v>
      </c>
      <c r="E200" s="7" t="s">
        <v>195</v>
      </c>
      <c r="F200" s="7" t="s">
        <v>195</v>
      </c>
      <c r="G200" s="7" t="s">
        <v>195</v>
      </c>
      <c r="H200" s="7" t="s">
        <v>195</v>
      </c>
      <c r="I200" s="7" t="s">
        <v>195</v>
      </c>
      <c r="J200" s="7" t="s">
        <v>195</v>
      </c>
      <c r="K200" s="7" t="s">
        <v>195</v>
      </c>
      <c r="L200" s="7" t="s">
        <v>195</v>
      </c>
      <c r="M200" s="7" t="s">
        <v>29</v>
      </c>
      <c r="N200" s="7" t="s">
        <v>29</v>
      </c>
      <c r="O200" s="7" t="s">
        <v>29</v>
      </c>
      <c r="P200" s="7" t="s">
        <v>29</v>
      </c>
      <c r="Q200" s="7" t="s">
        <v>29</v>
      </c>
      <c r="R200" s="7" t="s">
        <v>29</v>
      </c>
      <c r="S200" s="7" t="s">
        <v>29</v>
      </c>
    </row>
  </sheetData>
  <sheetProtection formatCells="0" formatColumns="0" formatRows="0" insertColumns="0" insertRows="0" insertHyperlinks="0" deleteColumns="0" deleteRows="0" sort="0" autoFilter="0" pivotTables="0"/>
  <conditionalFormatting sqref="D2:D25">
    <cfRule type="expression" dxfId="84" priority="3">
      <formula>NOT(_xlfn.ISFORMULA($D2))</formula>
    </cfRule>
  </conditionalFormatting>
  <conditionalFormatting sqref="D26">
    <cfRule type="expression" dxfId="83" priority="2">
      <formula>NOT(_xlfn.ISFORMULA($D26))</formula>
    </cfRule>
  </conditionalFormatting>
  <conditionalFormatting sqref="D27:D200">
    <cfRule type="expression" dxfId="82" priority="1">
      <formula>NOT(_xlfn.ISFORMULA($D27))</formula>
    </cfRule>
  </conditionalFormatting>
  <dataValidations count="1">
    <dataValidation allowBlank="1" showInputMessage="1" showErrorMessage="1" sqref="A2:A25"/>
  </dataValidations>
  <pageMargins left="0.7" right="0.7" top="0.75" bottom="0.75" header="0.3" footer="0.3"/>
  <extLst>
    <ext xmlns:x14="http://schemas.microsoft.com/office/spreadsheetml/2009/9/main" uri="{CCE6A557-97BC-4b89-ADB6-D9C93CAAB3DF}">
      <x14:dataValidations xmlns:xm="http://schemas.microsoft.com/office/excel/2006/main" count="15">
        <x14:dataValidation type="list" allowBlank="1" showInputMessage="1" showErrorMessage="1">
          <x14:formula1>
            <xm:f>OFFSET('Reference Fields'!$J$2,0,0,COUNTA('Reference Fields'!$J:$J)-1)</xm:f>
          </x14:formula1>
          <xm:sqref>M2:M200</xm:sqref>
        </x14:dataValidation>
        <x14:dataValidation type="list" allowBlank="1" showInputMessage="1" showErrorMessage="1">
          <x14:formula1>
            <xm:f>OFFSET('Reference Fields'!$J$2,0,0,COUNTA('Reference Fields'!$J:$J)-1)</xm:f>
          </x14:formula1>
          <xm:sqref>N2:N200</xm:sqref>
        </x14:dataValidation>
        <x14:dataValidation type="list" allowBlank="1" showInputMessage="1" showErrorMessage="1">
          <x14:formula1>
            <xm:f>OFFSET('Reference Fields'!$J$2,0,0,COUNTA('Reference Fields'!$J:$J)-1)</xm:f>
          </x14:formula1>
          <xm:sqref>O2:O200</xm:sqref>
        </x14:dataValidation>
        <x14:dataValidation type="list" allowBlank="1" showInputMessage="1" showErrorMessage="1">
          <x14:formula1>
            <xm:f>OFFSET('Reference Fields'!$J$2,0,0,COUNTA('Reference Fields'!$J:$J)-1)</xm:f>
          </x14:formula1>
          <xm:sqref>P2:P200</xm:sqref>
        </x14:dataValidation>
        <x14:dataValidation type="list" allowBlank="1" showInputMessage="1" showErrorMessage="1">
          <x14:formula1>
            <xm:f>OFFSET('Reference Fields'!$J$2,0,0,COUNTA('Reference Fields'!$J:$J)-1)</xm:f>
          </x14:formula1>
          <xm:sqref>Q2:Q200</xm:sqref>
        </x14:dataValidation>
        <x14:dataValidation type="list" allowBlank="1" showInputMessage="1" showErrorMessage="1">
          <x14:formula1>
            <xm:f>OFFSET('Reference Fields'!$J$2,0,0,COUNTA('Reference Fields'!$J:$J)-1)</xm:f>
          </x14:formula1>
          <xm:sqref>S2:S200</xm:sqref>
        </x14:dataValidation>
        <x14:dataValidation type="list" allowBlank="1" showInputMessage="1" showErrorMessage="1">
          <x14:formula1>
            <xm:f>OFFSET('Reference Fields'!$K$2,0,0,COUNTA('Reference Fields'!$K:$K)-1)</xm:f>
          </x14:formula1>
          <xm:sqref>R2:R200</xm:sqref>
        </x14:dataValidation>
        <x14:dataValidation type="list" allowBlank="1" showInputMessage="1" showErrorMessage="1">
          <x14:formula1>
            <xm:f>OFFSET('Reference Fields'!$B$2,0,0,COUNTA('Reference Fields'!$B:$B)-1)</xm:f>
          </x14:formula1>
          <xm:sqref>B2:B200</xm:sqref>
        </x14:dataValidation>
        <x14:dataValidation type="list" allowBlank="1" showInputMessage="1" showErrorMessage="1">
          <x14:formula1>
            <xm:f>OFFSET('Reference Fields'!$D$2,0,0,COUNTA('Reference Fields'!$D:$D)-1)</xm:f>
          </x14:formula1>
          <xm:sqref>F2:F200</xm:sqref>
        </x14:dataValidation>
        <x14:dataValidation type="list" allowBlank="1" showInputMessage="1" showErrorMessage="1">
          <x14:formula1>
            <xm:f>OFFSET('Reference Fields'!$E$2,0,0,COUNTA('Reference Fields'!$E:$E)-1)</xm:f>
          </x14:formula1>
          <xm:sqref>G2:G200</xm:sqref>
        </x14:dataValidation>
        <x14:dataValidation type="list" allowBlank="1" showInputMessage="1" showErrorMessage="1">
          <x14:formula1>
            <xm:f>OFFSET('Reference Fields'!$F$2,0,0,COUNTA('Reference Fields'!$F:$F)-1)</xm:f>
          </x14:formula1>
          <xm:sqref>H2:H200</xm:sqref>
        </x14:dataValidation>
        <x14:dataValidation type="list" allowBlank="1" showInputMessage="1" showErrorMessage="1">
          <x14:formula1>
            <xm:f>OFFSET('Reference Fields'!$F$2,0,0,COUNTA('Reference Fields'!$F:$F)-1)</xm:f>
          </x14:formula1>
          <xm:sqref>I2:I200</xm:sqref>
        </x14:dataValidation>
        <x14:dataValidation type="list" allowBlank="1" showInputMessage="1" showErrorMessage="1">
          <x14:formula1>
            <xm:f>OFFSET('Reference Fields'!$G$2,0,0,COUNTA('Reference Fields'!$G:$G)-1)</xm:f>
          </x14:formula1>
          <xm:sqref>J2:J200</xm:sqref>
        </x14:dataValidation>
        <x14:dataValidation type="list" allowBlank="1" showInputMessage="1" showErrorMessage="1">
          <x14:formula1>
            <xm:f>OFFSET('Reference Fields'!$H$2,0,0,COUNTA('Reference Fields'!$H:$H)-1)</xm:f>
          </x14:formula1>
          <xm:sqref>K2:K200</xm:sqref>
        </x14:dataValidation>
        <x14:dataValidation type="list" allowBlank="1" showInputMessage="1" showErrorMessage="1">
          <x14:formula1>
            <xm:f>OFFSET('Reference Fields'!$I$2,0,0,COUNTA('Reference Fields'!$I:$I)-1)</xm:f>
          </x14:formula1>
          <xm:sqref>L2:L200</xm:sqref>
        </x14:dataValidation>
      </x14:dataValidations>
    </ext>
  </extLst>
</worksheet>
</file>

<file path=xl/worksheets/sheet12.xml><?xml version="1.0" encoding="utf-8"?>
<worksheet xmlns="http://schemas.openxmlformats.org/spreadsheetml/2006/main" xmlns:r="http://schemas.openxmlformats.org/officeDocument/2006/relationships">
  <sheetPr codeName="Sheet8"/>
  <dimension ref="A1:S200"/>
  <sheetViews>
    <sheetView workbookViewId="0">
      <pane ySplit="1" topLeftCell="A2" activePane="bottomLeft" state="frozen"/>
      <selection pane="bottomLeft" activeCell="A2" sqref="A2"/>
    </sheetView>
  </sheetViews>
  <sheetFormatPr defaultRowHeight="14.5"/>
  <cols>
    <col min="1" max="1" width="17.90625" customWidth="1"/>
    <col min="2" max="2" width="13.54296875" customWidth="1"/>
    <col min="3" max="3" width="8.90625" customWidth="1"/>
    <col min="4" max="4" width="35.90625" bestFit="1" customWidth="1"/>
    <col min="5" max="5" width="12.6328125" customWidth="1"/>
    <col min="6" max="6" width="15.6328125" bestFit="1" customWidth="1"/>
    <col min="7" max="8" width="15.453125" customWidth="1"/>
    <col min="9" max="9" width="22.6328125" customWidth="1"/>
    <col min="10" max="10" width="23.36328125" customWidth="1"/>
    <col min="11" max="11" width="17.54296875" customWidth="1"/>
    <col min="12" max="12" width="14.08984375" customWidth="1"/>
    <col min="13" max="13" width="10.453125" bestFit="1" customWidth="1"/>
    <col min="14" max="14" width="10.453125" customWidth="1"/>
    <col min="15" max="15" width="12.453125" bestFit="1" customWidth="1"/>
  </cols>
  <sheetData>
    <row r="1" spans="1:19" s="1" customFormat="1">
      <c r="A1" s="1" t="s">
        <v>2</v>
      </c>
      <c r="B1" s="1" t="s">
        <v>1198</v>
      </c>
      <c r="C1" s="1" t="s">
        <v>1199</v>
      </c>
      <c r="D1" s="1" t="s">
        <v>0</v>
      </c>
      <c r="E1" s="1" t="s">
        <v>1</v>
      </c>
      <c r="F1" s="1" t="s">
        <v>30</v>
      </c>
      <c r="G1" s="1" t="s">
        <v>31</v>
      </c>
      <c r="H1" s="1" t="s">
        <v>1262</v>
      </c>
      <c r="I1" s="1" t="s">
        <v>49</v>
      </c>
      <c r="J1" s="1" t="s">
        <v>48</v>
      </c>
      <c r="K1" s="1" t="s">
        <v>54</v>
      </c>
      <c r="L1" s="1" t="s">
        <v>55</v>
      </c>
      <c r="M1" s="1" t="s">
        <v>27</v>
      </c>
      <c r="N1" s="1" t="s">
        <v>175</v>
      </c>
      <c r="O1" s="1" t="s">
        <v>193</v>
      </c>
      <c r="P1" s="1" t="s">
        <v>1221</v>
      </c>
      <c r="Q1" s="1" t="s">
        <v>1264</v>
      </c>
      <c r="R1" s="1" t="s">
        <v>1263</v>
      </c>
      <c r="S1" s="1" t="s">
        <v>1265</v>
      </c>
    </row>
    <row r="2" spans="1:19">
      <c r="A2" s="7" t="s">
        <v>275</v>
      </c>
      <c r="B2" s="7" t="s">
        <v>386</v>
      </c>
      <c r="C2" s="8">
        <v>0</v>
      </c>
      <c r="D2" s="5" t="str">
        <f>LRTRIM(CONCATENATE(IF(SUMPRODUCT(-- ISNUMBER(SEARCH({"Auto Number"}, $B2))) &gt; 0, $B2, IF(SUMPRODUCT(-- ISNUMBER(SEARCH({"Lookup","Master-Detail"}, $B2))) &gt; 0,$B2 &amp; "(" &amp; $E2 &amp; ")",IF(SUMPRODUCT(-- ISNUMBER(SEARCH({"Formula","Roll-Up Summary"}, $B2))) &gt; 0,$B2 &amp; " (" &amp; $E2 &amp; ")",IF(SUMPRODUCT(-- ISNUMBER(SEARCH({"Content","Currency","Number","Percent","Text","URL"}, $B2))) &gt; 0,$B2 &amp; "(" &amp; $C2 &amp; ")",$B2)))), "  ", TRIM(IF($S2 = "YES", "(External ID)", "") &amp; " " &amp; IF(SUMPRODUCT(-- ISNUMBER(SEARCH({"Unique","Unique Case Insensitive"}, $R2))) &gt; 0, "(" &amp; $R2 &amp; ")", ""))))</f>
        <v>Date</v>
      </c>
      <c r="E2" s="7" t="s">
        <v>195</v>
      </c>
      <c r="F2" s="7" t="s">
        <v>301</v>
      </c>
      <c r="G2" s="7" t="s">
        <v>327</v>
      </c>
      <c r="H2" s="7" t="s">
        <v>195</v>
      </c>
      <c r="I2" s="7" t="s">
        <v>195</v>
      </c>
      <c r="J2" s="7" t="s">
        <v>195</v>
      </c>
      <c r="K2" s="7" t="s">
        <v>195</v>
      </c>
      <c r="L2" s="7" t="s">
        <v>195</v>
      </c>
      <c r="M2" s="7" t="s">
        <v>29</v>
      </c>
      <c r="N2" s="7" t="s">
        <v>29</v>
      </c>
      <c r="O2" s="7" t="s">
        <v>29</v>
      </c>
      <c r="P2" s="7" t="s">
        <v>29</v>
      </c>
      <c r="Q2" s="7" t="s">
        <v>29</v>
      </c>
      <c r="R2" s="7" t="s">
        <v>29</v>
      </c>
      <c r="S2" s="7" t="s">
        <v>29</v>
      </c>
    </row>
    <row r="3" spans="1:19">
      <c r="A3" s="7" t="s">
        <v>276</v>
      </c>
      <c r="B3" s="7" t="s">
        <v>386</v>
      </c>
      <c r="C3" s="8">
        <v>0</v>
      </c>
      <c r="D3" s="5" t="str">
        <f>LRTRIM(CONCATENATE(IF(SUMPRODUCT(-- ISNUMBER(SEARCH({"Auto Number"}, $B3))) &gt; 0, $B3, IF(SUMPRODUCT(-- ISNUMBER(SEARCH({"Lookup","Master-Detail"}, $B3))) &gt; 0,$B3 &amp; "(" &amp; $E3 &amp; ")",IF(SUMPRODUCT(-- ISNUMBER(SEARCH({"Formula","Roll-Up Summary"}, $B3))) &gt; 0,$B3 &amp; " (" &amp; $E3 &amp; ")",IF(SUMPRODUCT(-- ISNUMBER(SEARCH({"Content","Currency","Number","Percent","Text","URL"}, $B3))) &gt; 0,$B3 &amp; "(" &amp; $C3 &amp; ")",$B3)))), "  ", TRIM(IF($S3 = "YES", "(External ID)", "") &amp; " " &amp; IF(SUMPRODUCT(-- ISNUMBER(SEARCH({"Unique","Unique Case Insensitive"}, $R3))) &gt; 0, "(" &amp; $R3 &amp; ")", ""))))</f>
        <v>Date</v>
      </c>
      <c r="E3" s="7" t="s">
        <v>195</v>
      </c>
      <c r="F3" s="7" t="s">
        <v>302</v>
      </c>
      <c r="G3" s="7" t="s">
        <v>328</v>
      </c>
      <c r="H3" s="7" t="s">
        <v>195</v>
      </c>
      <c r="I3" s="7" t="s">
        <v>195</v>
      </c>
      <c r="J3" s="7" t="s">
        <v>195</v>
      </c>
      <c r="K3" s="7" t="s">
        <v>195</v>
      </c>
      <c r="L3" s="7" t="s">
        <v>195</v>
      </c>
      <c r="M3" s="7" t="s">
        <v>29</v>
      </c>
      <c r="N3" s="7" t="s">
        <v>29</v>
      </c>
      <c r="O3" s="7" t="s">
        <v>29</v>
      </c>
      <c r="P3" s="7" t="s">
        <v>29</v>
      </c>
      <c r="Q3" s="7" t="s">
        <v>29</v>
      </c>
      <c r="R3" s="7" t="s">
        <v>29</v>
      </c>
      <c r="S3" s="7" t="s">
        <v>29</v>
      </c>
    </row>
    <row r="4" spans="1:19">
      <c r="A4" s="7" t="s">
        <v>277</v>
      </c>
      <c r="B4" s="7" t="s">
        <v>386</v>
      </c>
      <c r="C4" s="8">
        <v>0</v>
      </c>
      <c r="D4" s="5" t="str">
        <f>LRTRIM(CONCATENATE(IF(SUMPRODUCT(-- ISNUMBER(SEARCH({"Auto Number"}, $B4))) &gt; 0, $B4, IF(SUMPRODUCT(-- ISNUMBER(SEARCH({"Lookup","Master-Detail"}, $B4))) &gt; 0,$B4 &amp; "(" &amp; $E4 &amp; ")",IF(SUMPRODUCT(-- ISNUMBER(SEARCH({"Formula","Roll-Up Summary"}, $B4))) &gt; 0,$B4 &amp; " (" &amp; $E4 &amp; ")",IF(SUMPRODUCT(-- ISNUMBER(SEARCH({"Content","Currency","Number","Percent","Text","URL"}, $B4))) &gt; 0,$B4 &amp; "(" &amp; $C4 &amp; ")",$B4)))), "  ", TRIM(IF($S4 = "YES", "(External ID)", "") &amp; " " &amp; IF(SUMPRODUCT(-- ISNUMBER(SEARCH({"Unique","Unique Case Insensitive"}, $R4))) &gt; 0, "(" &amp; $R4 &amp; ")", ""))))</f>
        <v>Date</v>
      </c>
      <c r="E4" s="7" t="s">
        <v>195</v>
      </c>
      <c r="F4" s="7" t="s">
        <v>303</v>
      </c>
      <c r="G4" s="7" t="s">
        <v>329</v>
      </c>
      <c r="H4" s="7" t="s">
        <v>195</v>
      </c>
      <c r="I4" s="7" t="s">
        <v>195</v>
      </c>
      <c r="J4" s="7" t="s">
        <v>195</v>
      </c>
      <c r="K4" s="7" t="s">
        <v>195</v>
      </c>
      <c r="L4" s="7" t="s">
        <v>195</v>
      </c>
      <c r="M4" s="7" t="s">
        <v>29</v>
      </c>
      <c r="N4" s="7" t="s">
        <v>29</v>
      </c>
      <c r="O4" s="7" t="s">
        <v>29</v>
      </c>
      <c r="P4" s="7" t="s">
        <v>29</v>
      </c>
      <c r="Q4" s="7" t="s">
        <v>29</v>
      </c>
      <c r="R4" s="7" t="s">
        <v>29</v>
      </c>
      <c r="S4" s="7" t="s">
        <v>29</v>
      </c>
    </row>
    <row r="5" spans="1:19">
      <c r="A5" s="7" t="s">
        <v>102</v>
      </c>
      <c r="B5" s="7" t="s">
        <v>1204</v>
      </c>
      <c r="C5" s="8">
        <v>0</v>
      </c>
      <c r="D5" s="5" t="str">
        <f>LRTRIM(CONCATENATE(IF(SUMPRODUCT(-- ISNUMBER(SEARCH({"Auto Number"}, $B5))) &gt; 0, $B5, IF(SUMPRODUCT(-- ISNUMBER(SEARCH({"Lookup","Master-Detail"}, $B5))) &gt; 0,$B5 &amp; "(" &amp; $E5 &amp; ")",IF(SUMPRODUCT(-- ISNUMBER(SEARCH({"Formula","Roll-Up Summary"}, $B5))) &gt; 0,$B5 &amp; " (" &amp; $E5 &amp; ")",IF(SUMPRODUCT(-- ISNUMBER(SEARCH({"Content","Currency","Number","Percent","Text","URL"}, $B5))) &gt; 0,$B5 &amp; "(" &amp; $C5 &amp; ")",$B5)))), "  ", TRIM(IF($S5 = "YES", "(External ID)", "") &amp; " " &amp; IF(SUMPRODUCT(-- ISNUMBER(SEARCH({"Unique","Unique Case Insensitive"}, $R5))) &gt; 0, "(" &amp; $R5 &amp; ")", ""))))</f>
        <v>Checkbox</v>
      </c>
      <c r="E5" s="7" t="s">
        <v>195</v>
      </c>
      <c r="F5" s="7" t="s">
        <v>304</v>
      </c>
      <c r="G5" s="7" t="s">
        <v>330</v>
      </c>
      <c r="H5" s="7" t="s">
        <v>195</v>
      </c>
      <c r="I5" s="7" t="s">
        <v>195</v>
      </c>
      <c r="J5" s="7" t="s">
        <v>195</v>
      </c>
      <c r="K5" s="7" t="s">
        <v>195</v>
      </c>
      <c r="L5" s="7" t="s">
        <v>195</v>
      </c>
      <c r="M5" s="7" t="s">
        <v>28</v>
      </c>
      <c r="N5" s="7" t="s">
        <v>29</v>
      </c>
      <c r="O5" s="7" t="s">
        <v>29</v>
      </c>
      <c r="P5" s="7" t="s">
        <v>29</v>
      </c>
      <c r="Q5" s="7" t="s">
        <v>29</v>
      </c>
      <c r="R5" s="7" t="s">
        <v>29</v>
      </c>
      <c r="S5" s="7" t="s">
        <v>29</v>
      </c>
    </row>
    <row r="6" spans="1:19">
      <c r="A6" s="7" t="s">
        <v>9</v>
      </c>
      <c r="B6" s="7" t="s">
        <v>1218</v>
      </c>
      <c r="C6" s="8">
        <v>50</v>
      </c>
      <c r="D6" s="5" t="str">
        <f>LRTRIM(CONCATENATE(IF(SUMPRODUCT(-- ISNUMBER(SEARCH({"Auto Number"}, $B6))) &gt; 0, $B6, IF(SUMPRODUCT(-- ISNUMBER(SEARCH({"Lookup","Master-Detail"}, $B6))) &gt; 0,$B6 &amp; "(" &amp; $E6 &amp; ")",IF(SUMPRODUCT(-- ISNUMBER(SEARCH({"Formula","Roll-Up Summary"}, $B6))) &gt; 0,$B6 &amp; " (" &amp; $E6 &amp; ")",IF(SUMPRODUCT(-- ISNUMBER(SEARCH({"Content","Currency","Number","Percent","Text","URL"}, $B6))) &gt; 0,$B6 &amp; "(" &amp; $C6 &amp; ")",$B6)))), "  ", TRIM(IF($S6 = "YES", "(External ID)", "") &amp; " " &amp; IF(SUMPRODUCT(-- ISNUMBER(SEARCH({"Unique","Unique Case Insensitive"}, $R6))) &gt; 0, "(" &amp; $R6 &amp; ")", ""))))</f>
        <v>Text(50)</v>
      </c>
      <c r="E6" s="7" t="s">
        <v>195</v>
      </c>
      <c r="F6" s="7" t="s">
        <v>18</v>
      </c>
      <c r="G6" s="7" t="s">
        <v>195</v>
      </c>
      <c r="H6" s="7" t="s">
        <v>195</v>
      </c>
      <c r="I6" s="7" t="s">
        <v>195</v>
      </c>
      <c r="J6" s="7" t="s">
        <v>195</v>
      </c>
      <c r="K6" s="7" t="s">
        <v>195</v>
      </c>
      <c r="L6" s="7" t="s">
        <v>195</v>
      </c>
      <c r="M6" s="7" t="s">
        <v>29</v>
      </c>
      <c r="N6" s="7" t="s">
        <v>29</v>
      </c>
      <c r="O6" s="7" t="s">
        <v>29</v>
      </c>
      <c r="P6" s="7" t="s">
        <v>29</v>
      </c>
      <c r="Q6" s="7" t="s">
        <v>29</v>
      </c>
      <c r="R6" s="7" t="s">
        <v>29</v>
      </c>
      <c r="S6" s="7" t="s">
        <v>29</v>
      </c>
    </row>
    <row r="7" spans="1:19">
      <c r="A7" s="7" t="s">
        <v>278</v>
      </c>
      <c r="B7" s="7" t="s">
        <v>1218</v>
      </c>
      <c r="C7" s="8">
        <v>10</v>
      </c>
      <c r="D7" s="5" t="str">
        <f>LRTRIM(CONCATENATE(IF(SUMPRODUCT(-- ISNUMBER(SEARCH({"Auto Number"}, $B7))) &gt; 0, $B7, IF(SUMPRODUCT(-- ISNUMBER(SEARCH({"Lookup","Master-Detail"}, $B7))) &gt; 0,$B7 &amp; "(" &amp; $E7 &amp; ")",IF(SUMPRODUCT(-- ISNUMBER(SEARCH({"Formula","Roll-Up Summary"}, $B7))) &gt; 0,$B7 &amp; " (" &amp; $E7 &amp; ")",IF(SUMPRODUCT(-- ISNUMBER(SEARCH({"Content","Currency","Number","Percent","Text","URL"}, $B7))) &gt; 0,$B7 &amp; "(" &amp; $C7 &amp; ")",$B7)))), "  ", TRIM(IF($S7 = "YES", "(External ID)", "") &amp; " " &amp; IF(SUMPRODUCT(-- ISNUMBER(SEARCH({"Unique","Unique Case Insensitive"}, $R7))) &gt; 0, "(" &amp; $R7 &amp; ")", ""))))</f>
        <v>Text(10)</v>
      </c>
      <c r="E7" s="7" t="s">
        <v>195</v>
      </c>
      <c r="F7" s="7" t="s">
        <v>1294</v>
      </c>
      <c r="G7" s="7" t="s">
        <v>331</v>
      </c>
      <c r="H7" s="7" t="s">
        <v>195</v>
      </c>
      <c r="I7" s="7" t="s">
        <v>195</v>
      </c>
      <c r="J7" s="7" t="s">
        <v>195</v>
      </c>
      <c r="K7" s="7" t="s">
        <v>195</v>
      </c>
      <c r="L7" s="7" t="s">
        <v>195</v>
      </c>
      <c r="M7" s="7" t="s">
        <v>29</v>
      </c>
      <c r="N7" s="7" t="s">
        <v>29</v>
      </c>
      <c r="O7" s="7" t="s">
        <v>29</v>
      </c>
      <c r="P7" s="7" t="s">
        <v>29</v>
      </c>
      <c r="Q7" s="7" t="s">
        <v>29</v>
      </c>
      <c r="R7" s="7" t="s">
        <v>29</v>
      </c>
      <c r="S7" s="7" t="s">
        <v>29</v>
      </c>
    </row>
    <row r="8" spans="1:19">
      <c r="A8" s="7" t="s">
        <v>69</v>
      </c>
      <c r="B8" s="7" t="s">
        <v>1211</v>
      </c>
      <c r="C8" s="8">
        <v>18</v>
      </c>
      <c r="D8" s="5" t="str">
        <f>LRTRIM(CONCATENATE(IF(SUMPRODUCT(-- ISNUMBER(SEARCH({"Auto Number"}, $B8))) &gt; 0, $B8, IF(SUMPRODUCT(-- ISNUMBER(SEARCH({"Lookup","Master-Detail"}, $B8))) &gt; 0,$B8 &amp; "(" &amp; $E8 &amp; ")",IF(SUMPRODUCT(-- ISNUMBER(SEARCH({"Formula","Roll-Up Summary"}, $B8))) &gt; 0,$B8 &amp; " (" &amp; $E8 &amp; ")",IF(SUMPRODUCT(-- ISNUMBER(SEARCH({"Content","Currency","Number","Percent","Text","URL"}, $B8))) &gt; 0,$B8 &amp; "(" &amp; $C8 &amp; ")",$B8)))), "  ", TRIM(IF($S8 = "YES", "(External ID)", "") &amp; " " &amp; IF(SUMPRODUCT(-- ISNUMBER(SEARCH({"Unique","Unique Case Insensitive"}, $R8))) &gt; 0, "(" &amp; $R8 &amp; ")", ""))))</f>
        <v>Lookup(Broker Consultant Account)</v>
      </c>
      <c r="E8" s="7" t="s">
        <v>122</v>
      </c>
      <c r="F8" s="7" t="s">
        <v>122</v>
      </c>
      <c r="G8" s="7" t="s">
        <v>332</v>
      </c>
      <c r="H8" s="7" t="s">
        <v>195</v>
      </c>
      <c r="I8" s="7" t="s">
        <v>195</v>
      </c>
      <c r="J8" s="7" t="s">
        <v>195</v>
      </c>
      <c r="K8" s="7" t="s">
        <v>195</v>
      </c>
      <c r="L8" s="7" t="s">
        <v>195</v>
      </c>
      <c r="M8" s="7" t="s">
        <v>29</v>
      </c>
      <c r="N8" s="7" t="s">
        <v>29</v>
      </c>
      <c r="O8" s="7" t="s">
        <v>29</v>
      </c>
      <c r="P8" s="7" t="s">
        <v>29</v>
      </c>
      <c r="Q8" s="7" t="s">
        <v>29</v>
      </c>
      <c r="R8" s="7" t="s">
        <v>29</v>
      </c>
      <c r="S8" s="7" t="s">
        <v>29</v>
      </c>
    </row>
    <row r="9" spans="1:19">
      <c r="A9" s="7" t="s">
        <v>279</v>
      </c>
      <c r="B9" s="7" t="s">
        <v>1211</v>
      </c>
      <c r="C9" s="8">
        <v>18</v>
      </c>
      <c r="D9" s="5" t="str">
        <f>LRTRIM(CONCATENATE(IF(SUMPRODUCT(-- ISNUMBER(SEARCH({"Auto Number"}, $B9))) &gt; 0, $B9, IF(SUMPRODUCT(-- ISNUMBER(SEARCH({"Lookup","Master-Detail"}, $B9))) &gt; 0,$B9 &amp; "(" &amp; $E9 &amp; ")",IF(SUMPRODUCT(-- ISNUMBER(SEARCH({"Formula","Roll-Up Summary"}, $B9))) &gt; 0,$B9 &amp; " (" &amp; $E9 &amp; ")",IF(SUMPRODUCT(-- ISNUMBER(SEARCH({"Content","Currency","Number","Percent","Text","URL"}, $B9))) &gt; 0,$B9 &amp; "(" &amp; $C9 &amp; ")",$B9)))), "  ", TRIM(IF($S9 = "YES", "(External ID)", "") &amp; " " &amp; IF(SUMPRODUCT(-- ISNUMBER(SEARCH({"Unique","Unique Case Insensitive"}, $R9))) &gt; 0, "(" &amp; $R9 &amp; ")", ""))))</f>
        <v>Lookup(Account)</v>
      </c>
      <c r="E9" s="7" t="s">
        <v>5</v>
      </c>
      <c r="F9" s="7" t="s">
        <v>136</v>
      </c>
      <c r="G9" s="7" t="s">
        <v>163</v>
      </c>
      <c r="H9" s="7" t="s">
        <v>195</v>
      </c>
      <c r="I9" s="7" t="s">
        <v>195</v>
      </c>
      <c r="J9" s="7" t="s">
        <v>195</v>
      </c>
      <c r="K9" s="7" t="s">
        <v>195</v>
      </c>
      <c r="L9" s="7" t="s">
        <v>195</v>
      </c>
      <c r="M9" s="7" t="s">
        <v>29</v>
      </c>
      <c r="N9" s="7" t="s">
        <v>29</v>
      </c>
      <c r="O9" s="7" t="s">
        <v>29</v>
      </c>
      <c r="P9" s="7" t="s">
        <v>29</v>
      </c>
      <c r="Q9" s="7" t="s">
        <v>29</v>
      </c>
      <c r="R9" s="7" t="s">
        <v>29</v>
      </c>
      <c r="S9" s="7" t="s">
        <v>29</v>
      </c>
    </row>
    <row r="10" spans="1:19">
      <c r="A10" s="7" t="s">
        <v>73</v>
      </c>
      <c r="B10" s="7" t="s">
        <v>1211</v>
      </c>
      <c r="C10" s="8">
        <v>18</v>
      </c>
      <c r="D10" s="5" t="str">
        <f>LRTRIM(CONCATENATE(IF(SUMPRODUCT(-- ISNUMBER(SEARCH({"Auto Number"}, $B10))) &gt; 0, $B10, IF(SUMPRODUCT(-- ISNUMBER(SEARCH({"Lookup","Master-Detail"}, $B10))) &gt; 0,$B10 &amp; "(" &amp; $E10 &amp; ")",IF(SUMPRODUCT(-- ISNUMBER(SEARCH({"Formula","Roll-Up Summary"}, $B10))) &gt; 0,$B10 &amp; " (" &amp; $E10 &amp; ")",IF(SUMPRODUCT(-- ISNUMBER(SEARCH({"Content","Currency","Number","Percent","Text","URL"}, $B10))) &gt; 0,$B10 &amp; "(" &amp; $C10 &amp; ")",$B10)))), "  ", TRIM(IF($S10 = "YES", "(External ID)", "") &amp; " " &amp; IF(SUMPRODUCT(-- ISNUMBER(SEARCH({"Unique","Unique Case Insensitive"}, $R10))) &gt; 0, "(" &amp; $R10 &amp; ")", ""))))</f>
        <v>Lookup(User)</v>
      </c>
      <c r="E10" s="7" t="s">
        <v>7</v>
      </c>
      <c r="F10" s="7" t="s">
        <v>126</v>
      </c>
      <c r="G10" s="7" t="s">
        <v>158</v>
      </c>
      <c r="H10" s="7" t="s">
        <v>195</v>
      </c>
      <c r="I10" s="7" t="s">
        <v>195</v>
      </c>
      <c r="J10" s="7" t="s">
        <v>195</v>
      </c>
      <c r="K10" s="7" t="s">
        <v>195</v>
      </c>
      <c r="L10" s="7" t="s">
        <v>195</v>
      </c>
      <c r="M10" s="7" t="s">
        <v>29</v>
      </c>
      <c r="N10" s="7" t="s">
        <v>29</v>
      </c>
      <c r="O10" s="7" t="s">
        <v>29</v>
      </c>
      <c r="P10" s="7" t="s">
        <v>29</v>
      </c>
      <c r="Q10" s="7" t="s">
        <v>29</v>
      </c>
      <c r="R10" s="7" t="s">
        <v>29</v>
      </c>
      <c r="S10" s="7" t="s">
        <v>29</v>
      </c>
    </row>
    <row r="11" spans="1:19">
      <c r="A11" s="7" t="s">
        <v>280</v>
      </c>
      <c r="B11" s="7" t="s">
        <v>386</v>
      </c>
      <c r="C11" s="8">
        <v>0</v>
      </c>
      <c r="D11" s="5" t="str">
        <f>LRTRIM(CONCATENATE(IF(SUMPRODUCT(-- ISNUMBER(SEARCH({"Auto Number"}, $B11))) &gt; 0, $B11, IF(SUMPRODUCT(-- ISNUMBER(SEARCH({"Lookup","Master-Detail"}, $B11))) &gt; 0,$B11 &amp; "(" &amp; $E11 &amp; ")",IF(SUMPRODUCT(-- ISNUMBER(SEARCH({"Formula","Roll-Up Summary"}, $B11))) &gt; 0,$B11 &amp; " (" &amp; $E11 &amp; ")",IF(SUMPRODUCT(-- ISNUMBER(SEARCH({"Content","Currency","Number","Percent","Text","URL"}, $B11))) &gt; 0,$B11 &amp; "(" &amp; $C11 &amp; ")",$B11)))), "  ", TRIM(IF($S11 = "YES", "(External ID)", "") &amp; " " &amp; IF(SUMPRODUCT(-- ISNUMBER(SEARCH({"Unique","Unique Case Insensitive"}, $R11))) &gt; 0, "(" &amp; $R11 &amp; ")", ""))))</f>
        <v>Date</v>
      </c>
      <c r="E11" s="7" t="s">
        <v>195</v>
      </c>
      <c r="F11" s="7" t="s">
        <v>305</v>
      </c>
      <c r="G11" s="7" t="s">
        <v>333</v>
      </c>
      <c r="H11" s="7" t="s">
        <v>195</v>
      </c>
      <c r="I11" s="7" t="s">
        <v>195</v>
      </c>
      <c r="J11" s="7" t="s">
        <v>195</v>
      </c>
      <c r="K11" s="7" t="s">
        <v>195</v>
      </c>
      <c r="L11" s="7" t="s">
        <v>195</v>
      </c>
      <c r="M11" s="7" t="s">
        <v>29</v>
      </c>
      <c r="N11" s="7" t="s">
        <v>29</v>
      </c>
      <c r="O11" s="7" t="s">
        <v>29</v>
      </c>
      <c r="P11" s="7" t="s">
        <v>29</v>
      </c>
      <c r="Q11" s="7" t="s">
        <v>29</v>
      </c>
      <c r="R11" s="7" t="s">
        <v>29</v>
      </c>
      <c r="S11" s="7" t="s">
        <v>29</v>
      </c>
    </row>
    <row r="12" spans="1:19">
      <c r="A12" s="7" t="s">
        <v>281</v>
      </c>
      <c r="B12" s="7" t="s">
        <v>1216</v>
      </c>
      <c r="C12" s="8">
        <v>4099</v>
      </c>
      <c r="D12" s="5" t="str">
        <f>LRTRIM(CONCATENATE(IF(SUMPRODUCT(-- ISNUMBER(SEARCH({"Auto Number"}, $B12))) &gt; 0, $B12, IF(SUMPRODUCT(-- ISNUMBER(SEARCH({"Lookup","Master-Detail"}, $B12))) &gt; 0,$B12 &amp; "(" &amp; $E12 &amp; ")",IF(SUMPRODUCT(-- ISNUMBER(SEARCH({"Formula","Roll-Up Summary"}, $B12))) &gt; 0,$B12 &amp; " (" &amp; $E12 &amp; ")",IF(SUMPRODUCT(-- ISNUMBER(SEARCH({"Content","Currency","Number","Percent","Text","URL"}, $B12))) &gt; 0,$B12 &amp; "(" &amp; $C12 &amp; ")",$B12)))), "  ", TRIM(IF($S12 = "YES", "(External ID)", "") &amp; " " &amp; IF(SUMPRODUCT(-- ISNUMBER(SEARCH({"Unique","Unique Case Insensitive"}, $R12))) &gt; 0, "(" &amp; $R12 &amp; ")", ""))))</f>
        <v>Picklist (Multi-Select)</v>
      </c>
      <c r="E12" s="7" t="s">
        <v>195</v>
      </c>
      <c r="F12" s="7" t="s">
        <v>306</v>
      </c>
      <c r="G12" s="7" t="s">
        <v>334</v>
      </c>
      <c r="H12" s="7" t="s">
        <v>195</v>
      </c>
      <c r="I12" s="7" t="s">
        <v>360</v>
      </c>
      <c r="J12" s="7" t="s">
        <v>195</v>
      </c>
      <c r="K12" s="7" t="s">
        <v>360</v>
      </c>
      <c r="L12" s="7" t="s">
        <v>195</v>
      </c>
      <c r="M12" s="7" t="s">
        <v>29</v>
      </c>
      <c r="N12" s="7" t="s">
        <v>29</v>
      </c>
      <c r="O12" s="7" t="s">
        <v>29</v>
      </c>
      <c r="P12" s="7" t="s">
        <v>29</v>
      </c>
      <c r="Q12" s="7" t="s">
        <v>29</v>
      </c>
      <c r="R12" s="7" t="s">
        <v>29</v>
      </c>
      <c r="S12" s="7" t="s">
        <v>29</v>
      </c>
    </row>
    <row r="13" spans="1:19">
      <c r="A13" s="7" t="s">
        <v>282</v>
      </c>
      <c r="B13" s="7" t="s">
        <v>1218</v>
      </c>
      <c r="C13" s="8">
        <v>20</v>
      </c>
      <c r="D13" s="5" t="str">
        <f>LRTRIM(CONCATENATE(IF(SUMPRODUCT(-- ISNUMBER(SEARCH({"Auto Number"}, $B13))) &gt; 0, $B13, IF(SUMPRODUCT(-- ISNUMBER(SEARCH({"Lookup","Master-Detail"}, $B13))) &gt; 0,$B13 &amp; "(" &amp; $E13 &amp; ")",IF(SUMPRODUCT(-- ISNUMBER(SEARCH({"Formula","Roll-Up Summary"}, $B13))) &gt; 0,$B13 &amp; " (" &amp; $E13 &amp; ")",IF(SUMPRODUCT(-- ISNUMBER(SEARCH({"Content","Currency","Number","Percent","Text","URL"}, $B13))) &gt; 0,$B13 &amp; "(" &amp; $C13 &amp; ")",$B13)))), "  ", TRIM(IF($S13 = "YES", "(External ID)", "") &amp; " " &amp; IF(SUMPRODUCT(-- ISNUMBER(SEARCH({"Unique","Unique Case Insensitive"}, $R13))) &gt; 0, "(" &amp; $R13 &amp; ")", ""))))</f>
        <v>Text(20)  (External ID) (Unique Case Sensitive)</v>
      </c>
      <c r="E13" s="7" t="s">
        <v>195</v>
      </c>
      <c r="F13" s="7" t="s">
        <v>307</v>
      </c>
      <c r="G13" s="7" t="s">
        <v>335</v>
      </c>
      <c r="H13" s="7" t="s">
        <v>195</v>
      </c>
      <c r="I13" s="7" t="s">
        <v>195</v>
      </c>
      <c r="J13" s="7" t="s">
        <v>195</v>
      </c>
      <c r="K13" s="7" t="s">
        <v>195</v>
      </c>
      <c r="L13" s="7" t="s">
        <v>195</v>
      </c>
      <c r="M13" s="7" t="s">
        <v>29</v>
      </c>
      <c r="N13" s="7" t="s">
        <v>29</v>
      </c>
      <c r="O13" s="7" t="s">
        <v>29</v>
      </c>
      <c r="P13" s="7" t="s">
        <v>29</v>
      </c>
      <c r="Q13" s="7" t="s">
        <v>29</v>
      </c>
      <c r="R13" s="7" t="s">
        <v>1329</v>
      </c>
      <c r="S13" s="7" t="s">
        <v>28</v>
      </c>
    </row>
    <row r="14" spans="1:19">
      <c r="A14" s="7" t="s">
        <v>283</v>
      </c>
      <c r="B14" s="7" t="s">
        <v>1215</v>
      </c>
      <c r="C14" s="8">
        <v>255</v>
      </c>
      <c r="D14" s="5" t="str">
        <f>LRTRIM(CONCATENATE(IF(SUMPRODUCT(-- ISNUMBER(SEARCH({"Auto Number"}, $B14))) &gt; 0, $B14, IF(SUMPRODUCT(-- ISNUMBER(SEARCH({"Lookup","Master-Detail"}, $B14))) &gt; 0,$B14 &amp; "(" &amp; $E14 &amp; ")",IF(SUMPRODUCT(-- ISNUMBER(SEARCH({"Formula","Roll-Up Summary"}, $B14))) &gt; 0,$B14 &amp; " (" &amp; $E14 &amp; ")",IF(SUMPRODUCT(-- ISNUMBER(SEARCH({"Content","Currency","Number","Percent","Text","URL"}, $B14))) &gt; 0,$B14 &amp; "(" &amp; $C14 &amp; ")",$B14)))), "  ", TRIM(IF($S14 = "YES", "(External ID)", "") &amp; " " &amp; IF(SUMPRODUCT(-- ISNUMBER(SEARCH({"Unique","Unique Case Insensitive"}, $R14))) &gt; 0, "(" &amp; $R14 &amp; ")", ""))))</f>
        <v>Picklist</v>
      </c>
      <c r="E14" s="7" t="s">
        <v>195</v>
      </c>
      <c r="F14" s="7" t="s">
        <v>308</v>
      </c>
      <c r="G14" s="7" t="s">
        <v>308</v>
      </c>
      <c r="H14" s="7" t="s">
        <v>195</v>
      </c>
      <c r="I14" s="7" t="s">
        <v>1788</v>
      </c>
      <c r="J14" s="7" t="s">
        <v>195</v>
      </c>
      <c r="K14" s="7" t="s">
        <v>195</v>
      </c>
      <c r="L14" s="7" t="s">
        <v>195</v>
      </c>
      <c r="M14" s="7" t="s">
        <v>29</v>
      </c>
      <c r="N14" s="7" t="s">
        <v>29</v>
      </c>
      <c r="O14" s="7" t="s">
        <v>29</v>
      </c>
      <c r="P14" s="7" t="s">
        <v>29</v>
      </c>
      <c r="Q14" s="7" t="s">
        <v>29</v>
      </c>
      <c r="R14" s="7" t="s">
        <v>29</v>
      </c>
      <c r="S14" s="7" t="s">
        <v>29</v>
      </c>
    </row>
    <row r="15" spans="1:19">
      <c r="A15" s="7" t="s">
        <v>284</v>
      </c>
      <c r="B15" s="7" t="s">
        <v>1215</v>
      </c>
      <c r="C15" s="8">
        <v>255</v>
      </c>
      <c r="D15" s="5" t="str">
        <f>LRTRIM(CONCATENATE(IF(SUMPRODUCT(-- ISNUMBER(SEARCH({"Auto Number"}, $B15))) &gt; 0, $B15, IF(SUMPRODUCT(-- ISNUMBER(SEARCH({"Lookup","Master-Detail"}, $B15))) &gt; 0,$B15 &amp; "(" &amp; $E15 &amp; ")",IF(SUMPRODUCT(-- ISNUMBER(SEARCH({"Formula","Roll-Up Summary"}, $B15))) &gt; 0,$B15 &amp; " (" &amp; $E15 &amp; ")",IF(SUMPRODUCT(-- ISNUMBER(SEARCH({"Content","Currency","Number","Percent","Text","URL"}, $B15))) &gt; 0,$B15 &amp; "(" &amp; $C15 &amp; ")",$B15)))), "  ", TRIM(IF($S15 = "YES", "(External ID)", "") &amp; " " &amp; IF(SUMPRODUCT(-- ISNUMBER(SEARCH({"Unique","Unique Case Insensitive"}, $R15))) &gt; 0, "(" &amp; $R15 &amp; ")", ""))))</f>
        <v>Picklist</v>
      </c>
      <c r="E15" s="7" t="s">
        <v>195</v>
      </c>
      <c r="F15" s="7" t="s">
        <v>309</v>
      </c>
      <c r="G15" s="7" t="s">
        <v>336</v>
      </c>
      <c r="H15" s="7" t="s">
        <v>195</v>
      </c>
      <c r="I15" s="7" t="s">
        <v>351</v>
      </c>
      <c r="J15" s="7" t="s">
        <v>353</v>
      </c>
      <c r="K15" s="7" t="s">
        <v>195</v>
      </c>
      <c r="L15" s="7" t="s">
        <v>195</v>
      </c>
      <c r="M15" s="7" t="s">
        <v>29</v>
      </c>
      <c r="N15" s="7" t="s">
        <v>29</v>
      </c>
      <c r="O15" s="7" t="s">
        <v>29</v>
      </c>
      <c r="P15" s="7" t="s">
        <v>29</v>
      </c>
      <c r="Q15" s="7" t="s">
        <v>29</v>
      </c>
      <c r="R15" s="7" t="s">
        <v>29</v>
      </c>
      <c r="S15" s="7" t="s">
        <v>29</v>
      </c>
    </row>
    <row r="16" spans="1:19">
      <c r="A16" s="7" t="s">
        <v>285</v>
      </c>
      <c r="B16" s="7" t="s">
        <v>1206</v>
      </c>
      <c r="C16" s="8" t="s">
        <v>1289</v>
      </c>
      <c r="D16" s="5" t="str">
        <f>LRTRIM(CONCATENATE(IF(SUMPRODUCT(-- ISNUMBER(SEARCH({"Auto Number"}, $B16))) &gt; 0, $B16, IF(SUMPRODUCT(-- ISNUMBER(SEARCH({"Lookup","Master-Detail"}, $B16))) &gt; 0,$B16 &amp; "(" &amp; $E16 &amp; ")",IF(SUMPRODUCT(-- ISNUMBER(SEARCH({"Formula","Roll-Up Summary"}, $B16))) &gt; 0,$B16 &amp; " (" &amp; $E16 &amp; ")",IF(SUMPRODUCT(-- ISNUMBER(SEARCH({"Content","Currency","Number","Percent","Text","URL"}, $B16))) &gt; 0,$B16 &amp; "(" &amp; $C16 &amp; ")",$B16)))), "  ", TRIM(IF($S16 = "YES", "(External ID)", "") &amp; " " &amp; IF(SUMPRODUCT(-- ISNUMBER(SEARCH({"Unique","Unique Case Insensitive"}, $R16))) &gt; 0, "(" &amp; $R16 &amp; ")", ""))))</f>
        <v>Currency(16, 2)</v>
      </c>
      <c r="E16" s="7" t="s">
        <v>195</v>
      </c>
      <c r="F16" s="7" t="s">
        <v>310</v>
      </c>
      <c r="G16" s="7" t="s">
        <v>337</v>
      </c>
      <c r="H16" s="7" t="s">
        <v>195</v>
      </c>
      <c r="I16" s="7" t="s">
        <v>195</v>
      </c>
      <c r="J16" s="7" t="s">
        <v>195</v>
      </c>
      <c r="K16" s="7" t="s">
        <v>195</v>
      </c>
      <c r="L16" s="7" t="s">
        <v>195</v>
      </c>
      <c r="M16" s="7" t="s">
        <v>29</v>
      </c>
      <c r="N16" s="7" t="s">
        <v>29</v>
      </c>
      <c r="O16" s="7" t="s">
        <v>29</v>
      </c>
      <c r="P16" s="7" t="s">
        <v>29</v>
      </c>
      <c r="Q16" s="7" t="s">
        <v>29</v>
      </c>
      <c r="R16" s="7" t="s">
        <v>29</v>
      </c>
      <c r="S16" s="7" t="s">
        <v>29</v>
      </c>
    </row>
    <row r="17" spans="1:19">
      <c r="A17" s="7" t="s">
        <v>11</v>
      </c>
      <c r="B17" s="7" t="s">
        <v>1218</v>
      </c>
      <c r="C17" s="8">
        <v>200</v>
      </c>
      <c r="D17" s="5" t="str">
        <f>LRTRIM(CONCATENATE(IF(SUMPRODUCT(-- ISNUMBER(SEARCH({"Auto Number"}, $B17))) &gt; 0, $B17, IF(SUMPRODUCT(-- ISNUMBER(SEARCH({"Lookup","Master-Detail"}, $B17))) &gt; 0,$B17 &amp; "(" &amp; $E17 &amp; ")",IF(SUMPRODUCT(-- ISNUMBER(SEARCH({"Formula","Roll-Up Summary"}, $B17))) &gt; 0,$B17 &amp; " (" &amp; $E17 &amp; ")",IF(SUMPRODUCT(-- ISNUMBER(SEARCH({"Content","Currency","Number","Percent","Text","URL"}, $B17))) &gt; 0,$B17 &amp; "(" &amp; $C17 &amp; ")",$B17)))), "  ", TRIM(IF($S17 = "YES", "(External ID)", "") &amp; " " &amp; IF(SUMPRODUCT(-- ISNUMBER(SEARCH({"Unique","Unique Case Insensitive"}, $R17))) &gt; 0, "(" &amp; $R17 &amp; ")", ""))))</f>
        <v>Text(200)</v>
      </c>
      <c r="E17" s="7" t="s">
        <v>195</v>
      </c>
      <c r="F17" s="7" t="s">
        <v>20</v>
      </c>
      <c r="G17" s="7" t="s">
        <v>195</v>
      </c>
      <c r="H17" s="7" t="s">
        <v>195</v>
      </c>
      <c r="I17" s="7" t="s">
        <v>195</v>
      </c>
      <c r="J17" s="7" t="s">
        <v>195</v>
      </c>
      <c r="K17" s="7" t="s">
        <v>195</v>
      </c>
      <c r="L17" s="7" t="s">
        <v>195</v>
      </c>
      <c r="M17" s="7" t="s">
        <v>29</v>
      </c>
      <c r="N17" s="7" t="s">
        <v>29</v>
      </c>
      <c r="O17" s="7" t="s">
        <v>29</v>
      </c>
      <c r="P17" s="7" t="s">
        <v>29</v>
      </c>
      <c r="Q17" s="7" t="s">
        <v>29</v>
      </c>
      <c r="R17" s="7" t="s">
        <v>29</v>
      </c>
      <c r="S17" s="7" t="s">
        <v>29</v>
      </c>
    </row>
    <row r="18" spans="1:19">
      <c r="A18" s="7" t="s">
        <v>13</v>
      </c>
      <c r="B18" s="7" t="s">
        <v>1218</v>
      </c>
      <c r="C18" s="8">
        <v>10</v>
      </c>
      <c r="D18" s="5" t="str">
        <f>LRTRIM(CONCATENATE(IF(SUMPRODUCT(-- ISNUMBER(SEARCH({"Auto Number"}, $B18))) &gt; 0, $B18, IF(SUMPRODUCT(-- ISNUMBER(SEARCH({"Lookup","Master-Detail"}, $B18))) &gt; 0,$B18 &amp; "(" &amp; $E18 &amp; ")",IF(SUMPRODUCT(-- ISNUMBER(SEARCH({"Formula","Roll-Up Summary"}, $B18))) &gt; 0,$B18 &amp; " (" &amp; $E18 &amp; ")",IF(SUMPRODUCT(-- ISNUMBER(SEARCH({"Content","Currency","Number","Percent","Text","URL"}, $B18))) &gt; 0,$B18 &amp; "(" &amp; $C18 &amp; ")",$B18)))), "  ", TRIM(IF($S18 = "YES", "(External ID)", "") &amp; " " &amp; IF(SUMPRODUCT(-- ISNUMBER(SEARCH({"Unique","Unique Case Insensitive"}, $R18))) &gt; 0, "(" &amp; $R18 &amp; ")", ""))))</f>
        <v>Text(10)</v>
      </c>
      <c r="E18" s="7" t="s">
        <v>195</v>
      </c>
      <c r="F18" s="7" t="s">
        <v>24</v>
      </c>
      <c r="G18" s="7" t="s">
        <v>160</v>
      </c>
      <c r="H18" s="7" t="s">
        <v>195</v>
      </c>
      <c r="I18" s="7" t="s">
        <v>195</v>
      </c>
      <c r="J18" s="7" t="s">
        <v>195</v>
      </c>
      <c r="K18" s="7" t="s">
        <v>195</v>
      </c>
      <c r="L18" s="7" t="s">
        <v>195</v>
      </c>
      <c r="M18" s="7" t="s">
        <v>29</v>
      </c>
      <c r="N18" s="7" t="s">
        <v>29</v>
      </c>
      <c r="O18" s="7" t="s">
        <v>29</v>
      </c>
      <c r="P18" s="7" t="s">
        <v>29</v>
      </c>
      <c r="Q18" s="7" t="s">
        <v>29</v>
      </c>
      <c r="R18" s="7" t="s">
        <v>29</v>
      </c>
      <c r="S18" s="7" t="s">
        <v>29</v>
      </c>
    </row>
    <row r="19" spans="1:19">
      <c r="A19" s="7" t="s">
        <v>286</v>
      </c>
      <c r="B19" s="7" t="s">
        <v>386</v>
      </c>
      <c r="C19" s="8">
        <v>0</v>
      </c>
      <c r="D19" s="5" t="str">
        <f>LRTRIM(CONCATENATE(IF(SUMPRODUCT(-- ISNUMBER(SEARCH({"Auto Number"}, $B19))) &gt; 0, $B19, IF(SUMPRODUCT(-- ISNUMBER(SEARCH({"Lookup","Master-Detail"}, $B19))) &gt; 0,$B19 &amp; "(" &amp; $E19 &amp; ")",IF(SUMPRODUCT(-- ISNUMBER(SEARCH({"Formula","Roll-Up Summary"}, $B19))) &gt; 0,$B19 &amp; " (" &amp; $E19 &amp; ")",IF(SUMPRODUCT(-- ISNUMBER(SEARCH({"Content","Currency","Number","Percent","Text","URL"}, $B19))) &gt; 0,$B19 &amp; "(" &amp; $C19 &amp; ")",$B19)))), "  ", TRIM(IF($S19 = "YES", "(External ID)", "") &amp; " " &amp; IF(SUMPRODUCT(-- ISNUMBER(SEARCH({"Unique","Unique Case Insensitive"}, $R19))) &gt; 0, "(" &amp; $R19 &amp; ")", ""))))</f>
        <v>Date</v>
      </c>
      <c r="E19" s="7" t="s">
        <v>195</v>
      </c>
      <c r="F19" s="7" t="s">
        <v>311</v>
      </c>
      <c r="G19" s="7" t="s">
        <v>338</v>
      </c>
      <c r="H19" s="7" t="s">
        <v>195</v>
      </c>
      <c r="I19" s="7" t="s">
        <v>195</v>
      </c>
      <c r="J19" s="7" t="s">
        <v>195</v>
      </c>
      <c r="K19" s="7" t="s">
        <v>195</v>
      </c>
      <c r="L19" s="7" t="s">
        <v>195</v>
      </c>
      <c r="M19" s="7" t="s">
        <v>29</v>
      </c>
      <c r="N19" s="7" t="s">
        <v>29</v>
      </c>
      <c r="O19" s="7" t="s">
        <v>29</v>
      </c>
      <c r="P19" s="7" t="s">
        <v>29</v>
      </c>
      <c r="Q19" s="7" t="s">
        <v>29</v>
      </c>
      <c r="R19" s="7" t="s">
        <v>29</v>
      </c>
      <c r="S19" s="7" t="s">
        <v>29</v>
      </c>
    </row>
    <row r="20" spans="1:19">
      <c r="A20" s="7" t="s">
        <v>287</v>
      </c>
      <c r="B20" s="7" t="s">
        <v>1218</v>
      </c>
      <c r="C20" s="8">
        <v>255</v>
      </c>
      <c r="D20" s="5" t="str">
        <f>LRTRIM(CONCATENATE(IF(SUMPRODUCT(-- ISNUMBER(SEARCH({"Auto Number"}, $B20))) &gt; 0, $B20, IF(SUMPRODUCT(-- ISNUMBER(SEARCH({"Lookup","Master-Detail"}, $B20))) &gt; 0,$B20 &amp; "(" &amp; $E20 &amp; ")",IF(SUMPRODUCT(-- ISNUMBER(SEARCH({"Formula","Roll-Up Summary"}, $B20))) &gt; 0,$B20 &amp; " (" &amp; $E20 &amp; ")",IF(SUMPRODUCT(-- ISNUMBER(SEARCH({"Content","Currency","Number","Percent","Text","URL"}, $B20))) &gt; 0,$B20 &amp; "(" &amp; $C20 &amp; ")",$B20)))), "  ", TRIM(IF($S20 = "YES", "(External ID)", "") &amp; " " &amp; IF(SUMPRODUCT(-- ISNUMBER(SEARCH({"Unique","Unique Case Insensitive"}, $R20))) &gt; 0, "(" &amp; $R20 &amp; ")", ""))))</f>
        <v>Text(255)</v>
      </c>
      <c r="E20" s="7" t="s">
        <v>195</v>
      </c>
      <c r="F20" s="7" t="s">
        <v>312</v>
      </c>
      <c r="G20" s="7" t="s">
        <v>339</v>
      </c>
      <c r="H20" s="7" t="s">
        <v>195</v>
      </c>
      <c r="I20" s="7" t="s">
        <v>195</v>
      </c>
      <c r="J20" s="7" t="s">
        <v>195</v>
      </c>
      <c r="K20" s="7" t="s">
        <v>195</v>
      </c>
      <c r="L20" s="7" t="s">
        <v>195</v>
      </c>
      <c r="M20" s="7" t="s">
        <v>29</v>
      </c>
      <c r="N20" s="7" t="s">
        <v>29</v>
      </c>
      <c r="O20" s="7" t="s">
        <v>29</v>
      </c>
      <c r="P20" s="7" t="s">
        <v>29</v>
      </c>
      <c r="Q20" s="7" t="s">
        <v>29</v>
      </c>
      <c r="R20" s="7" t="s">
        <v>29</v>
      </c>
      <c r="S20" s="7" t="s">
        <v>29</v>
      </c>
    </row>
    <row r="21" spans="1:19">
      <c r="A21" s="7" t="s">
        <v>288</v>
      </c>
      <c r="B21" s="7" t="s">
        <v>1206</v>
      </c>
      <c r="C21" s="8" t="s">
        <v>1289</v>
      </c>
      <c r="D21" s="5" t="str">
        <f>LRTRIM(CONCATENATE(IF(SUMPRODUCT(-- ISNUMBER(SEARCH({"Auto Number"}, $B21))) &gt; 0, $B21, IF(SUMPRODUCT(-- ISNUMBER(SEARCH({"Lookup","Master-Detail"}, $B21))) &gt; 0,$B21 &amp; "(" &amp; $E21 &amp; ")",IF(SUMPRODUCT(-- ISNUMBER(SEARCH({"Formula","Roll-Up Summary"}, $B21))) &gt; 0,$B21 &amp; " (" &amp; $E21 &amp; ")",IF(SUMPRODUCT(-- ISNUMBER(SEARCH({"Content","Currency","Number","Percent","Text","URL"}, $B21))) &gt; 0,$B21 &amp; "(" &amp; $C21 &amp; ")",$B21)))), "  ", TRIM(IF($S21 = "YES", "(External ID)", "") &amp; " " &amp; IF(SUMPRODUCT(-- ISNUMBER(SEARCH({"Unique","Unique Case Insensitive"}, $R21))) &gt; 0, "(" &amp; $R21 &amp; ")", ""))))</f>
        <v>Currency(16, 2)</v>
      </c>
      <c r="E21" s="7" t="s">
        <v>195</v>
      </c>
      <c r="F21" s="7" t="s">
        <v>313</v>
      </c>
      <c r="G21" s="7" t="s">
        <v>340</v>
      </c>
      <c r="H21" s="7" t="s">
        <v>195</v>
      </c>
      <c r="I21" s="7" t="s">
        <v>195</v>
      </c>
      <c r="J21" s="7" t="s">
        <v>195</v>
      </c>
      <c r="K21" s="7" t="s">
        <v>195</v>
      </c>
      <c r="L21" s="7" t="s">
        <v>195</v>
      </c>
      <c r="M21" s="7" t="s">
        <v>29</v>
      </c>
      <c r="N21" s="7" t="s">
        <v>29</v>
      </c>
      <c r="O21" s="7" t="s">
        <v>29</v>
      </c>
      <c r="P21" s="7" t="s">
        <v>29</v>
      </c>
      <c r="Q21" s="7" t="s">
        <v>29</v>
      </c>
      <c r="R21" s="7" t="s">
        <v>29</v>
      </c>
      <c r="S21" s="7" t="s">
        <v>29</v>
      </c>
    </row>
    <row r="22" spans="1:19">
      <c r="A22" s="7" t="s">
        <v>289</v>
      </c>
      <c r="B22" s="7" t="s">
        <v>1206</v>
      </c>
      <c r="C22" s="8" t="s">
        <v>1289</v>
      </c>
      <c r="D22" s="5" t="str">
        <f>LRTRIM(CONCATENATE(IF(SUMPRODUCT(-- ISNUMBER(SEARCH({"Auto Number"}, $B22))) &gt; 0, $B22, IF(SUMPRODUCT(-- ISNUMBER(SEARCH({"Lookup","Master-Detail"}, $B22))) &gt; 0,$B22 &amp; "(" &amp; $E22 &amp; ")",IF(SUMPRODUCT(-- ISNUMBER(SEARCH({"Formula","Roll-Up Summary"}, $B22))) &gt; 0,$B22 &amp; " (" &amp; $E22 &amp; ")",IF(SUMPRODUCT(-- ISNUMBER(SEARCH({"Content","Currency","Number","Percent","Text","URL"}, $B22))) &gt; 0,$B22 &amp; "(" &amp; $C22 &amp; ")",$B22)))), "  ", TRIM(IF($S22 = "YES", "(External ID)", "") &amp; " " &amp; IF(SUMPRODUCT(-- ISNUMBER(SEARCH({"Unique","Unique Case Insensitive"}, $R22))) &gt; 0, "(" &amp; $R22 &amp; ")", ""))))</f>
        <v>Currency(16, 2)</v>
      </c>
      <c r="E22" s="7" t="s">
        <v>195</v>
      </c>
      <c r="F22" s="7" t="s">
        <v>314</v>
      </c>
      <c r="G22" s="7" t="s">
        <v>341</v>
      </c>
      <c r="H22" s="7" t="s">
        <v>195</v>
      </c>
      <c r="I22" s="7" t="s">
        <v>195</v>
      </c>
      <c r="J22" s="7" t="s">
        <v>195</v>
      </c>
      <c r="K22" s="7" t="s">
        <v>195</v>
      </c>
      <c r="L22" s="7" t="s">
        <v>195</v>
      </c>
      <c r="M22" s="7" t="s">
        <v>29</v>
      </c>
      <c r="N22" s="7" t="s">
        <v>29</v>
      </c>
      <c r="O22" s="7" t="s">
        <v>29</v>
      </c>
      <c r="P22" s="7" t="s">
        <v>29</v>
      </c>
      <c r="Q22" s="7" t="s">
        <v>29</v>
      </c>
      <c r="R22" s="7" t="s">
        <v>29</v>
      </c>
      <c r="S22" s="7" t="s">
        <v>29</v>
      </c>
    </row>
    <row r="23" spans="1:19">
      <c r="A23" s="7" t="s">
        <v>290</v>
      </c>
      <c r="B23" s="7" t="s">
        <v>1214</v>
      </c>
      <c r="C23" s="8" t="s">
        <v>1289</v>
      </c>
      <c r="D23" s="5" t="str">
        <f>LRTRIM(CONCATENATE(IF(SUMPRODUCT(-- ISNUMBER(SEARCH({"Auto Number"}, $B23))) &gt; 0, $B23, IF(SUMPRODUCT(-- ISNUMBER(SEARCH({"Lookup","Master-Detail"}, $B23))) &gt; 0,$B23 &amp; "(" &amp; $E23 &amp; ")",IF(SUMPRODUCT(-- ISNUMBER(SEARCH({"Formula","Roll-Up Summary"}, $B23))) &gt; 0,$B23 &amp; " (" &amp; $E23 &amp; ")",IF(SUMPRODUCT(-- ISNUMBER(SEARCH({"Content","Currency","Number","Percent","Text","URL"}, $B23))) &gt; 0,$B23 &amp; "(" &amp; $C23 &amp; ")",$B23)))), "  ", TRIM(IF($S23 = "YES", "(External ID)", "") &amp; " " &amp; IF(SUMPRODUCT(-- ISNUMBER(SEARCH({"Unique","Unique Case Insensitive"}, $R23))) &gt; 0, "(" &amp; $R23 &amp; ")", ""))))</f>
        <v>Percent(16, 2)</v>
      </c>
      <c r="E23" s="7" t="s">
        <v>195</v>
      </c>
      <c r="F23" s="7" t="s">
        <v>315</v>
      </c>
      <c r="G23" s="7" t="s">
        <v>342</v>
      </c>
      <c r="H23" s="7" t="s">
        <v>195</v>
      </c>
      <c r="I23" s="7" t="s">
        <v>195</v>
      </c>
      <c r="J23" s="7" t="s">
        <v>195</v>
      </c>
      <c r="K23" s="7" t="s">
        <v>195</v>
      </c>
      <c r="L23" s="7" t="s">
        <v>195</v>
      </c>
      <c r="M23" s="7" t="s">
        <v>29</v>
      </c>
      <c r="N23" s="7" t="s">
        <v>29</v>
      </c>
      <c r="O23" s="7" t="s">
        <v>29</v>
      </c>
      <c r="P23" s="7" t="s">
        <v>29</v>
      </c>
      <c r="Q23" s="7" t="s">
        <v>29</v>
      </c>
      <c r="R23" s="7" t="s">
        <v>29</v>
      </c>
      <c r="S23" s="7" t="s">
        <v>29</v>
      </c>
    </row>
    <row r="24" spans="1:19">
      <c r="A24" s="7" t="s">
        <v>1401</v>
      </c>
      <c r="B24" s="7" t="s">
        <v>1209</v>
      </c>
      <c r="C24" s="8">
        <v>0</v>
      </c>
      <c r="D24" s="5" t="str">
        <f>LRTRIM(CONCATENATE(IF(SUMPRODUCT(-- ISNUMBER(SEARCH({"Auto Number"}, $B24))) &gt; 0, $B24, IF(SUMPRODUCT(-- ISNUMBER(SEARCH({"Lookup","Master-Detail"}, $B24))) &gt; 0,$B24 &amp; "(" &amp; $E24 &amp; ")",IF(SUMPRODUCT(-- ISNUMBER(SEARCH({"Formula","Roll-Up Summary"}, $B24))) &gt; 0,$B24 &amp; " (" &amp; $E24 &amp; ")",IF(SUMPRODUCT(-- ISNUMBER(SEARCH({"Content","Currency","Number","Percent","Text","URL"}, $B24))) &gt; 0,$B24 &amp; "(" &amp; $C24 &amp; ")",$B24)))), "  ", TRIM(IF($S24 = "YES", "(External ID)", "") &amp; " " &amp; IF(SUMPRODUCT(-- ISNUMBER(SEARCH({"Unique","Unique Case Insensitive"}, $R24))) &gt; 0, "(" &amp; $R24 &amp; ")", ""))))</f>
        <v>Formula (Percent)</v>
      </c>
      <c r="E24" s="7" t="s">
        <v>1214</v>
      </c>
      <c r="F24" s="7" t="s">
        <v>315</v>
      </c>
      <c r="G24" s="7" t="s">
        <v>342</v>
      </c>
      <c r="H24" s="7" t="s">
        <v>195</v>
      </c>
      <c r="I24" s="7" t="s">
        <v>195</v>
      </c>
      <c r="J24" s="7" t="s">
        <v>195</v>
      </c>
      <c r="K24" s="7" t="s">
        <v>195</v>
      </c>
      <c r="L24" s="7" t="s">
        <v>195</v>
      </c>
      <c r="M24" s="7" t="s">
        <v>29</v>
      </c>
      <c r="N24" s="7" t="s">
        <v>29</v>
      </c>
      <c r="O24" s="7" t="s">
        <v>29</v>
      </c>
      <c r="P24" s="7" t="s">
        <v>29</v>
      </c>
      <c r="Q24" s="7" t="s">
        <v>29</v>
      </c>
      <c r="R24" s="7" t="s">
        <v>29</v>
      </c>
      <c r="S24" s="7" t="s">
        <v>29</v>
      </c>
    </row>
    <row r="25" spans="1:19">
      <c r="A25" s="7" t="s">
        <v>291</v>
      </c>
      <c r="B25" s="7" t="s">
        <v>386</v>
      </c>
      <c r="C25" s="8">
        <v>0</v>
      </c>
      <c r="D25" s="5" t="str">
        <f>LRTRIM(CONCATENATE(IF(SUMPRODUCT(-- ISNUMBER(SEARCH({"Auto Number"}, $B25))) &gt; 0, $B25, IF(SUMPRODUCT(-- ISNUMBER(SEARCH({"Lookup","Master-Detail"}, $B25))) &gt; 0,$B25 &amp; "(" &amp; $E25 &amp; ")",IF(SUMPRODUCT(-- ISNUMBER(SEARCH({"Formula","Roll-Up Summary"}, $B25))) &gt; 0,$B25 &amp; " (" &amp; $E25 &amp; ")",IF(SUMPRODUCT(-- ISNUMBER(SEARCH({"Content","Currency","Number","Percent","Text","URL"}, $B25))) &gt; 0,$B25 &amp; "(" &amp; $C25 &amp; ")",$B25)))), "  ", TRIM(IF($S25 = "YES", "(External ID)", "") &amp; " " &amp; IF(SUMPRODUCT(-- ISNUMBER(SEARCH({"Unique","Unique Case Insensitive"}, $R25))) &gt; 0, "(" &amp; $R25 &amp; ")", ""))))</f>
        <v>Date</v>
      </c>
      <c r="E25" s="7" t="s">
        <v>195</v>
      </c>
      <c r="F25" s="7" t="s">
        <v>316</v>
      </c>
      <c r="G25" s="7" t="s">
        <v>343</v>
      </c>
      <c r="H25" s="7" t="s">
        <v>195</v>
      </c>
      <c r="I25" s="7" t="s">
        <v>195</v>
      </c>
      <c r="J25" s="7" t="s">
        <v>195</v>
      </c>
      <c r="K25" s="7" t="s">
        <v>195</v>
      </c>
      <c r="L25" s="7" t="s">
        <v>195</v>
      </c>
      <c r="M25" s="7" t="s">
        <v>29</v>
      </c>
      <c r="N25" s="7" t="s">
        <v>29</v>
      </c>
      <c r="O25" s="7" t="s">
        <v>29</v>
      </c>
      <c r="P25" s="7" t="s">
        <v>29</v>
      </c>
      <c r="Q25" s="7" t="s">
        <v>29</v>
      </c>
      <c r="R25" s="7" t="s">
        <v>29</v>
      </c>
      <c r="S25" s="7" t="s">
        <v>29</v>
      </c>
    </row>
    <row r="26" spans="1:19">
      <c r="A26" s="7" t="s">
        <v>292</v>
      </c>
      <c r="B26" s="7" t="s">
        <v>386</v>
      </c>
      <c r="C26" s="8">
        <v>0</v>
      </c>
      <c r="D26" s="5" t="str">
        <f>LRTRIM(CONCATENATE(IF(SUMPRODUCT(-- ISNUMBER(SEARCH({"Auto Number"}, $B26))) &gt; 0, $B26, IF(SUMPRODUCT(-- ISNUMBER(SEARCH({"Lookup","Master-Detail"}, $B26))) &gt; 0,$B26 &amp; "(" &amp; $E26 &amp; ")",IF(SUMPRODUCT(-- ISNUMBER(SEARCH({"Formula","Roll-Up Summary"}, $B26))) &gt; 0,$B26 &amp; " (" &amp; $E26 &amp; ")",IF(SUMPRODUCT(-- ISNUMBER(SEARCH({"Content","Currency","Number","Percent","Text","URL"}, $B26))) &gt; 0,$B26 &amp; "(" &amp; $C26 &amp; ")",$B26)))), "  ", TRIM(IF($S26 = "YES", "(External ID)", "") &amp; " " &amp; IF(SUMPRODUCT(-- ISNUMBER(SEARCH({"Unique","Unique Case Insensitive"}, $R26))) &gt; 0, "(" &amp; $R26 &amp; ")", ""))))</f>
        <v>Date</v>
      </c>
      <c r="E26" s="7" t="s">
        <v>195</v>
      </c>
      <c r="F26" s="7" t="s">
        <v>317</v>
      </c>
      <c r="G26" s="7" t="s">
        <v>344</v>
      </c>
      <c r="H26" s="7" t="s">
        <v>195</v>
      </c>
      <c r="I26" s="7" t="s">
        <v>195</v>
      </c>
      <c r="J26" s="7" t="s">
        <v>195</v>
      </c>
      <c r="K26" s="7" t="s">
        <v>195</v>
      </c>
      <c r="L26" s="7" t="s">
        <v>195</v>
      </c>
      <c r="M26" s="7" t="s">
        <v>29</v>
      </c>
      <c r="N26" s="7" t="s">
        <v>29</v>
      </c>
      <c r="O26" s="7" t="s">
        <v>29</v>
      </c>
      <c r="P26" s="7" t="s">
        <v>29</v>
      </c>
      <c r="Q26" s="7" t="s">
        <v>29</v>
      </c>
      <c r="R26" s="7" t="s">
        <v>29</v>
      </c>
      <c r="S26" s="7" t="s">
        <v>29</v>
      </c>
    </row>
    <row r="27" spans="1:19">
      <c r="A27" s="7" t="s">
        <v>14</v>
      </c>
      <c r="B27" s="7" t="s">
        <v>1204</v>
      </c>
      <c r="C27" s="8">
        <v>0</v>
      </c>
      <c r="D27" s="5" t="str">
        <f>LRTRIM(CONCATENATE(IF(SUMPRODUCT(-- ISNUMBER(SEARCH({"Auto Number"}, $B27))) &gt; 0, $B27, IF(SUMPRODUCT(-- ISNUMBER(SEARCH({"Lookup","Master-Detail"}, $B27))) &gt; 0,$B27 &amp; "(" &amp; $E27 &amp; ")",IF(SUMPRODUCT(-- ISNUMBER(SEARCH({"Formula","Roll-Up Summary"}, $B27))) &gt; 0,$B27 &amp; " (" &amp; $E27 &amp; ")",IF(SUMPRODUCT(-- ISNUMBER(SEARCH({"Content","Currency","Number","Percent","Text","URL"}, $B27))) &gt; 0,$B27 &amp; "(" &amp; $C27 &amp; ")",$B27)))), "  ", TRIM(IF($S27 = "YES", "(External ID)", "") &amp; " " &amp; IF(SUMPRODUCT(-- ISNUMBER(SEARCH({"Unique","Unique Case Insensitive"}, $R27))) &gt; 0, "(" &amp; $R27 &amp; ")", ""))))</f>
        <v>Checkbox</v>
      </c>
      <c r="E27" s="7" t="s">
        <v>195</v>
      </c>
      <c r="F27" s="7" t="s">
        <v>25</v>
      </c>
      <c r="G27" s="7" t="s">
        <v>195</v>
      </c>
      <c r="H27" s="7" t="s">
        <v>195</v>
      </c>
      <c r="I27" s="7" t="s">
        <v>195</v>
      </c>
      <c r="J27" s="7" t="s">
        <v>195</v>
      </c>
      <c r="K27" s="7" t="s">
        <v>195</v>
      </c>
      <c r="L27" s="7" t="s">
        <v>195</v>
      </c>
      <c r="M27" s="7" t="s">
        <v>28</v>
      </c>
      <c r="N27" s="7" t="s">
        <v>29</v>
      </c>
      <c r="O27" s="7" t="s">
        <v>29</v>
      </c>
      <c r="P27" s="7" t="s">
        <v>29</v>
      </c>
      <c r="Q27" s="7" t="s">
        <v>29</v>
      </c>
      <c r="R27" s="7" t="s">
        <v>29</v>
      </c>
      <c r="S27" s="7" t="s">
        <v>29</v>
      </c>
    </row>
    <row r="28" spans="1:19">
      <c r="A28" s="7" t="s">
        <v>2</v>
      </c>
      <c r="B28" s="7" t="s">
        <v>1218</v>
      </c>
      <c r="C28" s="8">
        <v>80</v>
      </c>
      <c r="D28" s="5" t="str">
        <f>LRTRIM(CONCATENATE(IF(SUMPRODUCT(-- ISNUMBER(SEARCH({"Auto Number"}, $B28))) &gt; 0, $B28, IF(SUMPRODUCT(-- ISNUMBER(SEARCH({"Lookup","Master-Detail"}, $B28))) &gt; 0,$B28 &amp; "(" &amp; $E28 &amp; ")",IF(SUMPRODUCT(-- ISNUMBER(SEARCH({"Formula","Roll-Up Summary"}, $B28))) &gt; 0,$B28 &amp; " (" &amp; $E28 &amp; ")",IF(SUMPRODUCT(-- ISNUMBER(SEARCH({"Content","Currency","Number","Percent","Text","URL"}, $B28))) &gt; 0,$B28 &amp; "(" &amp; $C28 &amp; ")",$B28)))), "  ", TRIM(IF($S28 = "YES", "(External ID)", "") &amp; " " &amp; IF(SUMPRODUCT(-- ISNUMBER(SEARCH({"Unique","Unique Case Insensitive"}, $R28))) &gt; 0, "(" &amp; $R28 &amp; ")", ""))))</f>
        <v>Text(80)</v>
      </c>
      <c r="E28" s="7" t="s">
        <v>195</v>
      </c>
      <c r="F28" s="7" t="s">
        <v>318</v>
      </c>
      <c r="G28" s="7" t="s">
        <v>195</v>
      </c>
      <c r="H28" s="7" t="s">
        <v>195</v>
      </c>
      <c r="I28" s="7" t="s">
        <v>195</v>
      </c>
      <c r="J28" s="7" t="s">
        <v>195</v>
      </c>
      <c r="K28" s="7" t="s">
        <v>195</v>
      </c>
      <c r="L28" s="7" t="s">
        <v>195</v>
      </c>
      <c r="M28" s="7" t="s">
        <v>29</v>
      </c>
      <c r="N28" s="7" t="s">
        <v>29</v>
      </c>
      <c r="O28" s="7" t="s">
        <v>29</v>
      </c>
      <c r="P28" s="7" t="s">
        <v>29</v>
      </c>
      <c r="Q28" s="7" t="s">
        <v>29</v>
      </c>
      <c r="R28" s="7" t="s">
        <v>29</v>
      </c>
      <c r="S28" s="7" t="s">
        <v>29</v>
      </c>
    </row>
    <row r="29" spans="1:19">
      <c r="A29" s="7" t="s">
        <v>87</v>
      </c>
      <c r="B29" s="7" t="s">
        <v>1211</v>
      </c>
      <c r="C29" s="8">
        <v>18</v>
      </c>
      <c r="D29" s="5" t="str">
        <f>LRTRIM(CONCATENATE(IF(SUMPRODUCT(-- ISNUMBER(SEARCH({"Auto Number"}, $B29))) &gt; 0, $B29, IF(SUMPRODUCT(-- ISNUMBER(SEARCH({"Lookup","Master-Detail"}, $B29))) &gt; 0,$B29 &amp; "(" &amp; $E29 &amp; ")",IF(SUMPRODUCT(-- ISNUMBER(SEARCH({"Formula","Roll-Up Summary"}, $B29))) &gt; 0,$B29 &amp; " (" &amp; $E29 &amp; ")",IF(SUMPRODUCT(-- ISNUMBER(SEARCH({"Content","Currency","Number","Percent","Text","URL"}, $B29))) &gt; 0,$B29 &amp; "(" &amp; $C29 &amp; ")",$B29)))), "  ", TRIM(IF($S29 = "YES", "(External ID)", "") &amp; " " &amp; IF(SUMPRODUCT(-- ISNUMBER(SEARCH({"Unique","Unique Case Insensitive"}, $R29))) &gt; 0, "(" &amp; $R29 &amp; ")", ""))))</f>
        <v>Lookup(User,Group)</v>
      </c>
      <c r="E29" s="7" t="s">
        <v>1290</v>
      </c>
      <c r="F29" s="7" t="s">
        <v>1292</v>
      </c>
      <c r="G29" s="7" t="s">
        <v>195</v>
      </c>
      <c r="H29" s="7" t="s">
        <v>195</v>
      </c>
      <c r="I29" s="7" t="s">
        <v>195</v>
      </c>
      <c r="J29" s="7" t="s">
        <v>195</v>
      </c>
      <c r="K29" s="7" t="s">
        <v>195</v>
      </c>
      <c r="L29" s="7" t="s">
        <v>195</v>
      </c>
      <c r="M29" s="7" t="s">
        <v>28</v>
      </c>
      <c r="N29" s="7" t="s">
        <v>29</v>
      </c>
      <c r="O29" s="7" t="s">
        <v>29</v>
      </c>
      <c r="P29" s="7" t="s">
        <v>29</v>
      </c>
      <c r="Q29" s="7" t="s">
        <v>29</v>
      </c>
      <c r="R29" s="7" t="s">
        <v>29</v>
      </c>
      <c r="S29" s="7" t="s">
        <v>29</v>
      </c>
    </row>
    <row r="30" spans="1:19">
      <c r="A30" s="7" t="s">
        <v>293</v>
      </c>
      <c r="B30" s="7" t="s">
        <v>1211</v>
      </c>
      <c r="C30" s="8">
        <v>18</v>
      </c>
      <c r="D30" s="5" t="str">
        <f>LRTRIM(CONCATENATE(IF(SUMPRODUCT(-- ISNUMBER(SEARCH({"Auto Number"}, $B30))) &gt; 0, $B30, IF(SUMPRODUCT(-- ISNUMBER(SEARCH({"Lookup","Master-Detail"}, $B30))) &gt; 0,$B30 &amp; "(" &amp; $E30 &amp; ")",IF(SUMPRODUCT(-- ISNUMBER(SEARCH({"Formula","Roll-Up Summary"}, $B30))) &gt; 0,$B30 &amp; " (" &amp; $E30 &amp; ")",IF(SUMPRODUCT(-- ISNUMBER(SEARCH({"Content","Currency","Number","Percent","Text","URL"}, $B30))) &gt; 0,$B30 &amp; "(" &amp; $C30 &amp; ")",$B30)))), "  ", TRIM(IF($S30 = "YES", "(External ID)", "") &amp; " " &amp; IF(SUMPRODUCT(-- ISNUMBER(SEARCH({"Unique","Unique Case Insensitive"}, $R30))) &gt; 0, "(" &amp; $R30 &amp; ")", ""))))</f>
        <v>Lookup(Commission Agreement)</v>
      </c>
      <c r="E30" s="7" t="s">
        <v>202</v>
      </c>
      <c r="F30" s="7" t="s">
        <v>319</v>
      </c>
      <c r="G30" s="7" t="s">
        <v>346</v>
      </c>
      <c r="H30" s="7" t="s">
        <v>195</v>
      </c>
      <c r="I30" s="7" t="s">
        <v>195</v>
      </c>
      <c r="J30" s="7" t="s">
        <v>195</v>
      </c>
      <c r="K30" s="7" t="s">
        <v>195</v>
      </c>
      <c r="L30" s="7" t="s">
        <v>195</v>
      </c>
      <c r="M30" s="7" t="s">
        <v>29</v>
      </c>
      <c r="N30" s="7" t="s">
        <v>29</v>
      </c>
      <c r="O30" s="7" t="s">
        <v>29</v>
      </c>
      <c r="P30" s="7" t="s">
        <v>29</v>
      </c>
      <c r="Q30" s="7" t="s">
        <v>29</v>
      </c>
      <c r="R30" s="7" t="s">
        <v>29</v>
      </c>
      <c r="S30" s="7" t="s">
        <v>29</v>
      </c>
    </row>
    <row r="31" spans="1:19">
      <c r="A31" s="7" t="s">
        <v>294</v>
      </c>
      <c r="B31" s="7" t="s">
        <v>1216</v>
      </c>
      <c r="C31" s="8">
        <v>4099</v>
      </c>
      <c r="D31" s="5" t="str">
        <f>LRTRIM(CONCATENATE(IF(SUMPRODUCT(-- ISNUMBER(SEARCH({"Auto Number"}, $B31))) &gt; 0, $B31, IF(SUMPRODUCT(-- ISNUMBER(SEARCH({"Lookup","Master-Detail"}, $B31))) &gt; 0,$B31 &amp; "(" &amp; $E31 &amp; ")",IF(SUMPRODUCT(-- ISNUMBER(SEARCH({"Formula","Roll-Up Summary"}, $B31))) &gt; 0,$B31 &amp; " (" &amp; $E31 &amp; ")",IF(SUMPRODUCT(-- ISNUMBER(SEARCH({"Content","Currency","Number","Percent","Text","URL"}, $B31))) &gt; 0,$B31 &amp; "(" &amp; $C31 &amp; ")",$B31)))), "  ", TRIM(IF($S31 = "YES", "(External ID)", "") &amp; " " &amp; IF(SUMPRODUCT(-- ISNUMBER(SEARCH({"Unique","Unique Case Insensitive"}, $R31))) &gt; 0, "(" &amp; $R31 &amp; ")", ""))))</f>
        <v>Picklist (Multi-Select)</v>
      </c>
      <c r="E31" s="7" t="s">
        <v>195</v>
      </c>
      <c r="F31" s="7" t="s">
        <v>320</v>
      </c>
      <c r="G31" s="7" t="s">
        <v>195</v>
      </c>
      <c r="H31" s="7" t="s">
        <v>195</v>
      </c>
      <c r="I31" s="7" t="s">
        <v>352</v>
      </c>
      <c r="J31" s="7" t="s">
        <v>1482</v>
      </c>
      <c r="K31" s="7" t="s">
        <v>352</v>
      </c>
      <c r="L31" s="7" t="s">
        <v>195</v>
      </c>
      <c r="M31" s="7" t="s">
        <v>29</v>
      </c>
      <c r="N31" s="7" t="s">
        <v>29</v>
      </c>
      <c r="O31" s="7" t="s">
        <v>29</v>
      </c>
      <c r="P31" s="7" t="s">
        <v>29</v>
      </c>
      <c r="Q31" s="7" t="s">
        <v>29</v>
      </c>
      <c r="R31" s="7" t="s">
        <v>29</v>
      </c>
      <c r="S31" s="7" t="s">
        <v>29</v>
      </c>
    </row>
    <row r="32" spans="1:19">
      <c r="A32" s="7" t="s">
        <v>295</v>
      </c>
      <c r="B32" s="7" t="s">
        <v>1211</v>
      </c>
      <c r="C32" s="8">
        <v>18</v>
      </c>
      <c r="D32" s="5" t="str">
        <f>LRTRIM(CONCATENATE(IF(SUMPRODUCT(-- ISNUMBER(SEARCH({"Auto Number"}, $B32))) &gt; 0, $B32, IF(SUMPRODUCT(-- ISNUMBER(SEARCH({"Lookup","Master-Detail"}, $B32))) &gt; 0,$B32 &amp; "(" &amp; $E32 &amp; ")",IF(SUMPRODUCT(-- ISNUMBER(SEARCH({"Formula","Roll-Up Summary"}, $B32))) &gt; 0,$B32 &amp; " (" &amp; $E32 &amp; ")",IF(SUMPRODUCT(-- ISNUMBER(SEARCH({"Content","Currency","Number","Percent","Text","URL"}, $B32))) &gt; 0,$B32 &amp; "(" &amp; $C32 &amp; ")",$B32)))), "  ", TRIM(IF($S32 = "YES", "(External ID)", "") &amp; " " &amp; IF(SUMPRODUCT(-- ISNUMBER(SEARCH({"Unique","Unique Case Insensitive"}, $R32))) &gt; 0, "(" &amp; $R32 &amp; ")", ""))))</f>
        <v>Lookup(Statement Broker)</v>
      </c>
      <c r="E32" s="7" t="s">
        <v>375</v>
      </c>
      <c r="F32" s="7" t="s">
        <v>321</v>
      </c>
      <c r="G32" s="7" t="s">
        <v>321</v>
      </c>
      <c r="H32" s="7" t="s">
        <v>195</v>
      </c>
      <c r="I32" s="7" t="s">
        <v>195</v>
      </c>
      <c r="J32" s="7" t="s">
        <v>195</v>
      </c>
      <c r="K32" s="7" t="s">
        <v>195</v>
      </c>
      <c r="L32" s="7" t="s">
        <v>195</v>
      </c>
      <c r="M32" s="7" t="s">
        <v>29</v>
      </c>
      <c r="N32" s="7" t="s">
        <v>29</v>
      </c>
      <c r="O32" s="7" t="s">
        <v>29</v>
      </c>
      <c r="P32" s="7" t="s">
        <v>29</v>
      </c>
      <c r="Q32" s="7" t="s">
        <v>29</v>
      </c>
      <c r="R32" s="7" t="s">
        <v>29</v>
      </c>
      <c r="S32" s="7" t="s">
        <v>29</v>
      </c>
    </row>
    <row r="33" spans="1:19">
      <c r="A33" s="7" t="s">
        <v>296</v>
      </c>
      <c r="B33" s="7" t="s">
        <v>1218</v>
      </c>
      <c r="C33" s="8">
        <v>50</v>
      </c>
      <c r="D33" s="5" t="str">
        <f>LRTRIM(CONCATENATE(IF(SUMPRODUCT(-- ISNUMBER(SEARCH({"Auto Number"}, $B33))) &gt; 0, $B33, IF(SUMPRODUCT(-- ISNUMBER(SEARCH({"Lookup","Master-Detail"}, $B33))) &gt; 0,$B33 &amp; "(" &amp; $E33 &amp; ")",IF(SUMPRODUCT(-- ISNUMBER(SEARCH({"Formula","Roll-Up Summary"}, $B33))) &gt; 0,$B33 &amp; " (" &amp; $E33 &amp; ")",IF(SUMPRODUCT(-- ISNUMBER(SEARCH({"Content","Currency","Number","Percent","Text","URL"}, $B33))) &gt; 0,$B33 &amp; "(" &amp; $C33 &amp; ")",$B33)))), "  ", TRIM(IF($S33 = "YES", "(External ID)", "") &amp; " " &amp; IF(SUMPRODUCT(-- ISNUMBER(SEARCH({"Unique","Unique Case Insensitive"}, $R33))) &gt; 0, "(" &amp; $R33 &amp; ")", ""))))</f>
        <v>Text(50)</v>
      </c>
      <c r="E33" s="7" t="s">
        <v>195</v>
      </c>
      <c r="F33" s="7" t="s">
        <v>322</v>
      </c>
      <c r="G33" s="7" t="s">
        <v>347</v>
      </c>
      <c r="H33" s="7" t="s">
        <v>195</v>
      </c>
      <c r="I33" s="7" t="s">
        <v>195</v>
      </c>
      <c r="J33" s="7" t="s">
        <v>195</v>
      </c>
      <c r="K33" s="7" t="s">
        <v>195</v>
      </c>
      <c r="L33" s="7" t="s">
        <v>195</v>
      </c>
      <c r="M33" s="7" t="s">
        <v>29</v>
      </c>
      <c r="N33" s="7" t="s">
        <v>29</v>
      </c>
      <c r="O33" s="7" t="s">
        <v>29</v>
      </c>
      <c r="P33" s="7" t="s">
        <v>29</v>
      </c>
      <c r="Q33" s="7" t="s">
        <v>29</v>
      </c>
      <c r="R33" s="7" t="s">
        <v>29</v>
      </c>
      <c r="S33" s="7" t="s">
        <v>29</v>
      </c>
    </row>
    <row r="34" spans="1:19">
      <c r="A34" s="7" t="s">
        <v>297</v>
      </c>
      <c r="B34" s="7" t="s">
        <v>1206</v>
      </c>
      <c r="C34" s="8" t="s">
        <v>1289</v>
      </c>
      <c r="D34" s="5" t="str">
        <f>LRTRIM(CONCATENATE(IF(SUMPRODUCT(-- ISNUMBER(SEARCH({"Auto Number"}, $B34))) &gt; 0, $B34, IF(SUMPRODUCT(-- ISNUMBER(SEARCH({"Lookup","Master-Detail"}, $B34))) &gt; 0,$B34 &amp; "(" &amp; $E34 &amp; ")",IF(SUMPRODUCT(-- ISNUMBER(SEARCH({"Formula","Roll-Up Summary"}, $B34))) &gt; 0,$B34 &amp; " (" &amp; $E34 &amp; ")",IF(SUMPRODUCT(-- ISNUMBER(SEARCH({"Content","Currency","Number","Percent","Text","URL"}, $B34))) &gt; 0,$B34 &amp; "(" &amp; $C34 &amp; ")",$B34)))), "  ", TRIM(IF($S34 = "YES", "(External ID)", "") &amp; " " &amp; IF(SUMPRODUCT(-- ISNUMBER(SEARCH({"Unique","Unique Case Insensitive"}, $R34))) &gt; 0, "(" &amp; $R34 &amp; ")", ""))))</f>
        <v>Currency(16, 2)</v>
      </c>
      <c r="E34" s="7" t="s">
        <v>195</v>
      </c>
      <c r="F34" s="7" t="s">
        <v>323</v>
      </c>
      <c r="G34" s="7" t="s">
        <v>348</v>
      </c>
      <c r="H34" s="7" t="s">
        <v>195</v>
      </c>
      <c r="I34" s="7" t="s">
        <v>195</v>
      </c>
      <c r="J34" s="7" t="s">
        <v>195</v>
      </c>
      <c r="K34" s="7" t="s">
        <v>195</v>
      </c>
      <c r="L34" s="7" t="s">
        <v>195</v>
      </c>
      <c r="M34" s="7" t="s">
        <v>29</v>
      </c>
      <c r="N34" s="7" t="s">
        <v>29</v>
      </c>
      <c r="O34" s="7" t="s">
        <v>29</v>
      </c>
      <c r="P34" s="7" t="s">
        <v>29</v>
      </c>
      <c r="Q34" s="7" t="s">
        <v>29</v>
      </c>
      <c r="R34" s="7" t="s">
        <v>29</v>
      </c>
      <c r="S34" s="7" t="s">
        <v>29</v>
      </c>
    </row>
    <row r="35" spans="1:19">
      <c r="A35" s="7" t="s">
        <v>298</v>
      </c>
      <c r="B35" s="7" t="s">
        <v>1204</v>
      </c>
      <c r="C35" s="8">
        <v>0</v>
      </c>
      <c r="D35" s="5" t="str">
        <f>LRTRIM(CONCATENATE(IF(SUMPRODUCT(-- ISNUMBER(SEARCH({"Auto Number"}, $B35))) &gt; 0, $B35, IF(SUMPRODUCT(-- ISNUMBER(SEARCH({"Lookup","Master-Detail"}, $B35))) &gt; 0,$B35 &amp; "(" &amp; $E35 &amp; ")",IF(SUMPRODUCT(-- ISNUMBER(SEARCH({"Formula","Roll-Up Summary"}, $B35))) &gt; 0,$B35 &amp; " (" &amp; $E35 &amp; ")",IF(SUMPRODUCT(-- ISNUMBER(SEARCH({"Content","Currency","Number","Percent","Text","URL"}, $B35))) &gt; 0,$B35 &amp; "(" &amp; $C35 &amp; ")",$B35)))), "  ", TRIM(IF($S35 = "YES", "(External ID)", "") &amp; " " &amp; IF(SUMPRODUCT(-- ISNUMBER(SEARCH({"Unique","Unique Case Insensitive"}, $R35))) &gt; 0, "(" &amp; $R35 &amp; ")", ""))))</f>
        <v>Checkbox</v>
      </c>
      <c r="E35" s="7" t="s">
        <v>195</v>
      </c>
      <c r="F35" s="7" t="s">
        <v>324</v>
      </c>
      <c r="G35" s="7" t="s">
        <v>324</v>
      </c>
      <c r="H35" s="7" t="s">
        <v>195</v>
      </c>
      <c r="I35" s="7" t="s">
        <v>195</v>
      </c>
      <c r="J35" s="7" t="s">
        <v>195</v>
      </c>
      <c r="K35" s="7" t="s">
        <v>195</v>
      </c>
      <c r="L35" s="7" t="s">
        <v>195</v>
      </c>
      <c r="M35" s="7" t="s">
        <v>28</v>
      </c>
      <c r="N35" s="7" t="s">
        <v>29</v>
      </c>
      <c r="O35" s="7" t="s">
        <v>29</v>
      </c>
      <c r="P35" s="7" t="s">
        <v>29</v>
      </c>
      <c r="Q35" s="7" t="s">
        <v>29</v>
      </c>
      <c r="R35" s="7" t="s">
        <v>29</v>
      </c>
      <c r="S35" s="7" t="s">
        <v>29</v>
      </c>
    </row>
    <row r="36" spans="1:19">
      <c r="A36" s="7" t="s">
        <v>299</v>
      </c>
      <c r="B36" s="7" t="s">
        <v>1211</v>
      </c>
      <c r="C36" s="8">
        <v>18</v>
      </c>
      <c r="D36" s="5" t="str">
        <f>LRTRIM(CONCATENATE(IF(SUMPRODUCT(-- ISNUMBER(SEARCH({"Auto Number"}, $B36))) &gt; 0, $B36, IF(SUMPRODUCT(-- ISNUMBER(SEARCH({"Lookup","Master-Detail"}, $B36))) &gt; 0,$B36 &amp; "(" &amp; $E36 &amp; ")",IF(SUMPRODUCT(-- ISNUMBER(SEARCH({"Formula","Roll-Up Summary"}, $B36))) &gt; 0,$B36 &amp; " (" &amp; $E36 &amp; ")",IF(SUMPRODUCT(-- ISNUMBER(SEARCH({"Content","Currency","Number","Percent","Text","URL"}, $B36))) &gt; 0,$B36 &amp; "(" &amp; $C36 &amp; ")",$B36)))), "  ", TRIM(IF($S36 = "YES", "(External ID)", "") &amp; " " &amp; IF(SUMPRODUCT(-- ISNUMBER(SEARCH({"Unique","Unique Case Insensitive"}, $R36))) &gt; 0, "(" &amp; $R36 &amp; ")", ""))))</f>
        <v>Lookup(Statement Broker)</v>
      </c>
      <c r="E36" s="7" t="s">
        <v>375</v>
      </c>
      <c r="F36" s="7" t="s">
        <v>325</v>
      </c>
      <c r="G36" s="7" t="s">
        <v>349</v>
      </c>
      <c r="H36" s="7" t="s">
        <v>195</v>
      </c>
      <c r="I36" s="7" t="s">
        <v>195</v>
      </c>
      <c r="J36" s="7" t="s">
        <v>195</v>
      </c>
      <c r="K36" s="7" t="s">
        <v>195</v>
      </c>
      <c r="L36" s="7" t="s">
        <v>195</v>
      </c>
      <c r="M36" s="7" t="s">
        <v>29</v>
      </c>
      <c r="N36" s="7" t="s">
        <v>29</v>
      </c>
      <c r="O36" s="7" t="s">
        <v>29</v>
      </c>
      <c r="P36" s="7" t="s">
        <v>29</v>
      </c>
      <c r="Q36" s="7" t="s">
        <v>29</v>
      </c>
      <c r="R36" s="7" t="s">
        <v>29</v>
      </c>
      <c r="S36" s="7" t="s">
        <v>29</v>
      </c>
    </row>
    <row r="37" spans="1:19">
      <c r="A37" s="7" t="s">
        <v>300</v>
      </c>
      <c r="B37" s="7" t="s">
        <v>1218</v>
      </c>
      <c r="C37" s="8">
        <v>100</v>
      </c>
      <c r="D37" s="5" t="str">
        <f>LRTRIM(CONCATENATE(IF(SUMPRODUCT(-- ISNUMBER(SEARCH({"Auto Number"}, $B37))) &gt; 0, $B37, IF(SUMPRODUCT(-- ISNUMBER(SEARCH({"Lookup","Master-Detail"}, $B37))) &gt; 0,$B37 &amp; "(" &amp; $E37 &amp; ")",IF(SUMPRODUCT(-- ISNUMBER(SEARCH({"Formula","Roll-Up Summary"}, $B37))) &gt; 0,$B37 &amp; " (" &amp; $E37 &amp; ")",IF(SUMPRODUCT(-- ISNUMBER(SEARCH({"Content","Currency","Number","Percent","Text","URL"}, $B37))) &gt; 0,$B37 &amp; "(" &amp; $C37 &amp; ")",$B37)))), "  ", TRIM(IF($S37 = "YES", "(External ID)", "") &amp; " " &amp; IF(SUMPRODUCT(-- ISNUMBER(SEARCH({"Unique","Unique Case Insensitive"}, $R37))) &gt; 0, "(" &amp; $R37 &amp; ")", ""))))</f>
        <v>Text(100)</v>
      </c>
      <c r="E37" s="7" t="s">
        <v>195</v>
      </c>
      <c r="F37" s="7" t="s">
        <v>326</v>
      </c>
      <c r="G37" s="7" t="s">
        <v>350</v>
      </c>
      <c r="H37" s="7" t="s">
        <v>195</v>
      </c>
      <c r="I37" s="7" t="s">
        <v>195</v>
      </c>
      <c r="J37" s="7" t="s">
        <v>195</v>
      </c>
      <c r="K37" s="7" t="s">
        <v>195</v>
      </c>
      <c r="L37" s="7" t="s">
        <v>195</v>
      </c>
      <c r="M37" s="7" t="s">
        <v>29</v>
      </c>
      <c r="N37" s="7" t="s">
        <v>29</v>
      </c>
      <c r="O37" s="7" t="s">
        <v>29</v>
      </c>
      <c r="P37" s="7" t="s">
        <v>29</v>
      </c>
      <c r="Q37" s="7" t="s">
        <v>29</v>
      </c>
      <c r="R37" s="7" t="s">
        <v>29</v>
      </c>
      <c r="S37" s="7" t="s">
        <v>29</v>
      </c>
    </row>
    <row r="38" spans="1:19">
      <c r="A38" s="7" t="s">
        <v>103</v>
      </c>
      <c r="B38" s="7" t="s">
        <v>195</v>
      </c>
      <c r="C38" s="8" t="s">
        <v>195</v>
      </c>
      <c r="D38" s="5" t="str">
        <f>LRTRIM(CONCATENATE(IF(SUMPRODUCT(-- ISNUMBER(SEARCH({"Auto Number"}, $B38))) &gt; 0, $B38, IF(SUMPRODUCT(-- ISNUMBER(SEARCH({"Lookup","Master-Detail"}, $B38))) &gt; 0,$B38 &amp; "(" &amp; $E38 &amp; ")",IF(SUMPRODUCT(-- ISNUMBER(SEARCH({"Formula","Roll-Up Summary"}, $B38))) &gt; 0,$B38 &amp; " (" &amp; $E38 &amp; ")",IF(SUMPRODUCT(-- ISNUMBER(SEARCH({"Content","Currency","Number","Percent","Text","URL"}, $B38))) &gt; 0,$B38 &amp; "(" &amp; $C38 &amp; ")",$B38)))), "  ", TRIM(IF($S38 = "YES", "(External ID)", "") &amp; " " &amp; IF(SUMPRODUCT(-- ISNUMBER(SEARCH({"Unique","Unique Case Insensitive"}, $R38))) &gt; 0, "(" &amp; $R38 &amp; ")", ""))))</f>
        <v>na</v>
      </c>
      <c r="E38" s="7" t="s">
        <v>195</v>
      </c>
      <c r="F38" s="7" t="s">
        <v>195</v>
      </c>
      <c r="G38" s="7" t="s">
        <v>195</v>
      </c>
      <c r="H38" s="7" t="s">
        <v>195</v>
      </c>
      <c r="I38" s="7" t="s">
        <v>195</v>
      </c>
      <c r="J38" s="7" t="s">
        <v>195</v>
      </c>
      <c r="K38" s="7" t="s">
        <v>195</v>
      </c>
      <c r="L38" s="7" t="s">
        <v>195</v>
      </c>
      <c r="M38" s="7" t="s">
        <v>29</v>
      </c>
      <c r="N38" s="7" t="s">
        <v>28</v>
      </c>
      <c r="O38" s="7" t="s">
        <v>29</v>
      </c>
      <c r="P38" s="7" t="s">
        <v>29</v>
      </c>
      <c r="Q38" s="7" t="s">
        <v>29</v>
      </c>
      <c r="R38" s="7" t="s">
        <v>29</v>
      </c>
      <c r="S38" s="7" t="s">
        <v>29</v>
      </c>
    </row>
    <row r="39" spans="1:19">
      <c r="A39" s="7" t="s">
        <v>354</v>
      </c>
      <c r="B39" s="7" t="s">
        <v>195</v>
      </c>
      <c r="C39" s="8" t="s">
        <v>195</v>
      </c>
      <c r="D39" s="5" t="str">
        <f>LRTRIM(CONCATENATE(IF(SUMPRODUCT(-- ISNUMBER(SEARCH({"Auto Number"}, $B39))) &gt; 0, $B39, IF(SUMPRODUCT(-- ISNUMBER(SEARCH({"Lookup","Master-Detail"}, $B39))) &gt; 0,$B39 &amp; "(" &amp; $E39 &amp; ")",IF(SUMPRODUCT(-- ISNUMBER(SEARCH({"Formula","Roll-Up Summary"}, $B39))) &gt; 0,$B39 &amp; " (" &amp; $E39 &amp; ")",IF(SUMPRODUCT(-- ISNUMBER(SEARCH({"Content","Currency","Number","Percent","Text","URL"}, $B39))) &gt; 0,$B39 &amp; "(" &amp; $C39 &amp; ")",$B39)))), "  ", TRIM(IF($S39 = "YES", "(External ID)", "") &amp; " " &amp; IF(SUMPRODUCT(-- ISNUMBER(SEARCH({"Unique","Unique Case Insensitive"}, $R39))) &gt; 0, "(" &amp; $R39 &amp; ")", ""))))</f>
        <v>na</v>
      </c>
      <c r="E39" s="7" t="s">
        <v>195</v>
      </c>
      <c r="F39" s="7" t="s">
        <v>195</v>
      </c>
      <c r="G39" s="7" t="s">
        <v>195</v>
      </c>
      <c r="H39" s="7" t="s">
        <v>195</v>
      </c>
      <c r="I39" s="7" t="s">
        <v>195</v>
      </c>
      <c r="J39" s="7" t="s">
        <v>195</v>
      </c>
      <c r="K39" s="7" t="s">
        <v>195</v>
      </c>
      <c r="L39" s="7" t="s">
        <v>195</v>
      </c>
      <c r="M39" s="7" t="s">
        <v>29</v>
      </c>
      <c r="N39" s="7" t="s">
        <v>28</v>
      </c>
      <c r="O39" s="7" t="s">
        <v>29</v>
      </c>
      <c r="P39" s="7" t="s">
        <v>29</v>
      </c>
      <c r="Q39" s="7" t="s">
        <v>29</v>
      </c>
      <c r="R39" s="7" t="s">
        <v>29</v>
      </c>
      <c r="S39" s="7" t="s">
        <v>29</v>
      </c>
    </row>
    <row r="40" spans="1:19">
      <c r="A40" s="7" t="s">
        <v>355</v>
      </c>
      <c r="B40" s="7" t="s">
        <v>195</v>
      </c>
      <c r="C40" s="8" t="s">
        <v>195</v>
      </c>
      <c r="D40" s="5" t="str">
        <f>LRTRIM(CONCATENATE(IF(SUMPRODUCT(-- ISNUMBER(SEARCH({"Auto Number"}, $B40))) &gt; 0, $B40, IF(SUMPRODUCT(-- ISNUMBER(SEARCH({"Lookup","Master-Detail"}, $B40))) &gt; 0,$B40 &amp; "(" &amp; $E40 &amp; ")",IF(SUMPRODUCT(-- ISNUMBER(SEARCH({"Formula","Roll-Up Summary"}, $B40))) &gt; 0,$B40 &amp; " (" &amp; $E40 &amp; ")",IF(SUMPRODUCT(-- ISNUMBER(SEARCH({"Content","Currency","Number","Percent","Text","URL"}, $B40))) &gt; 0,$B40 &amp; "(" &amp; $C40 &amp; ")",$B40)))), "  ", TRIM(IF($S40 = "YES", "(External ID)", "") &amp; " " &amp; IF(SUMPRODUCT(-- ISNUMBER(SEARCH({"Unique","Unique Case Insensitive"}, $R40))) &gt; 0, "(" &amp; $R40 &amp; ")", ""))))</f>
        <v>na</v>
      </c>
      <c r="E40" s="7" t="s">
        <v>195</v>
      </c>
      <c r="F40" s="7" t="s">
        <v>195</v>
      </c>
      <c r="G40" s="7" t="s">
        <v>195</v>
      </c>
      <c r="H40" s="7" t="s">
        <v>195</v>
      </c>
      <c r="I40" s="7" t="s">
        <v>195</v>
      </c>
      <c r="J40" s="7" t="s">
        <v>195</v>
      </c>
      <c r="K40" s="7" t="s">
        <v>195</v>
      </c>
      <c r="L40" s="7" t="s">
        <v>195</v>
      </c>
      <c r="M40" s="7" t="s">
        <v>29</v>
      </c>
      <c r="N40" s="7" t="s">
        <v>28</v>
      </c>
      <c r="O40" s="7" t="s">
        <v>29</v>
      </c>
      <c r="P40" s="7" t="s">
        <v>29</v>
      </c>
      <c r="Q40" s="7" t="s">
        <v>29</v>
      </c>
      <c r="R40" s="7" t="s">
        <v>29</v>
      </c>
      <c r="S40" s="7" t="s">
        <v>29</v>
      </c>
    </row>
    <row r="41" spans="1:19">
      <c r="A41" s="7" t="s">
        <v>356</v>
      </c>
      <c r="B41" s="7" t="s">
        <v>195</v>
      </c>
      <c r="C41" s="8" t="s">
        <v>195</v>
      </c>
      <c r="D41" s="5" t="str">
        <f>LRTRIM(CONCATENATE(IF(SUMPRODUCT(-- ISNUMBER(SEARCH({"Auto Number"}, $B41))) &gt; 0, $B41, IF(SUMPRODUCT(-- ISNUMBER(SEARCH({"Lookup","Master-Detail"}, $B41))) &gt; 0,$B41 &amp; "(" &amp; $E41 &amp; ")",IF(SUMPRODUCT(-- ISNUMBER(SEARCH({"Formula","Roll-Up Summary"}, $B41))) &gt; 0,$B41 &amp; " (" &amp; $E41 &amp; ")",IF(SUMPRODUCT(-- ISNUMBER(SEARCH({"Content","Currency","Number","Percent","Text","URL"}, $B41))) &gt; 0,$B41 &amp; "(" &amp; $C41 &amp; ")",$B41)))), "  ", TRIM(IF($S41 = "YES", "(External ID)", "") &amp; " " &amp; IF(SUMPRODUCT(-- ISNUMBER(SEARCH({"Unique","Unique Case Insensitive"}, $R41))) &gt; 0, "(" &amp; $R41 &amp; ")", ""))))</f>
        <v>na</v>
      </c>
      <c r="E41" s="7" t="s">
        <v>195</v>
      </c>
      <c r="F41" s="7" t="s">
        <v>195</v>
      </c>
      <c r="G41" s="7" t="s">
        <v>195</v>
      </c>
      <c r="H41" s="7" t="s">
        <v>195</v>
      </c>
      <c r="I41" s="7" t="s">
        <v>195</v>
      </c>
      <c r="J41" s="7" t="s">
        <v>195</v>
      </c>
      <c r="K41" s="7" t="s">
        <v>195</v>
      </c>
      <c r="L41" s="7" t="s">
        <v>195</v>
      </c>
      <c r="M41" s="7" t="s">
        <v>29</v>
      </c>
      <c r="N41" s="7" t="s">
        <v>28</v>
      </c>
      <c r="O41" s="7" t="s">
        <v>29</v>
      </c>
      <c r="P41" s="7" t="s">
        <v>29</v>
      </c>
      <c r="Q41" s="7" t="s">
        <v>29</v>
      </c>
      <c r="R41" s="7" t="s">
        <v>29</v>
      </c>
      <c r="S41" s="7" t="s">
        <v>29</v>
      </c>
    </row>
    <row r="42" spans="1:19">
      <c r="A42" s="7" t="s">
        <v>357</v>
      </c>
      <c r="B42" s="7" t="s">
        <v>195</v>
      </c>
      <c r="C42" s="8" t="s">
        <v>195</v>
      </c>
      <c r="D42" s="5" t="str">
        <f>LRTRIM(CONCATENATE(IF(SUMPRODUCT(-- ISNUMBER(SEARCH({"Auto Number"}, $B42))) &gt; 0, $B42, IF(SUMPRODUCT(-- ISNUMBER(SEARCH({"Lookup","Master-Detail"}, $B42))) &gt; 0,$B42 &amp; "(" &amp; $E42 &amp; ")",IF(SUMPRODUCT(-- ISNUMBER(SEARCH({"Formula","Roll-Up Summary"}, $B42))) &gt; 0,$B42 &amp; " (" &amp; $E42 &amp; ")",IF(SUMPRODUCT(-- ISNUMBER(SEARCH({"Content","Currency","Number","Percent","Text","URL"}, $B42))) &gt; 0,$B42 &amp; "(" &amp; $C42 &amp; ")",$B42)))), "  ", TRIM(IF($S42 = "YES", "(External ID)", "") &amp; " " &amp; IF(SUMPRODUCT(-- ISNUMBER(SEARCH({"Unique","Unique Case Insensitive"}, $R42))) &gt; 0, "(" &amp; $R42 &amp; ")", ""))))</f>
        <v>na</v>
      </c>
      <c r="E42" s="7" t="s">
        <v>195</v>
      </c>
      <c r="F42" s="7" t="s">
        <v>195</v>
      </c>
      <c r="G42" s="7" t="s">
        <v>195</v>
      </c>
      <c r="H42" s="7" t="s">
        <v>195</v>
      </c>
      <c r="I42" s="7" t="s">
        <v>195</v>
      </c>
      <c r="J42" s="7" t="s">
        <v>195</v>
      </c>
      <c r="K42" s="7" t="s">
        <v>195</v>
      </c>
      <c r="L42" s="7" t="s">
        <v>195</v>
      </c>
      <c r="M42" s="7" t="s">
        <v>29</v>
      </c>
      <c r="N42" s="7" t="s">
        <v>28</v>
      </c>
      <c r="O42" s="7" t="s">
        <v>29</v>
      </c>
      <c r="P42" s="7" t="s">
        <v>29</v>
      </c>
      <c r="Q42" s="7" t="s">
        <v>29</v>
      </c>
      <c r="R42" s="7" t="s">
        <v>29</v>
      </c>
      <c r="S42" s="7" t="s">
        <v>29</v>
      </c>
    </row>
    <row r="43" spans="1:19">
      <c r="A43" s="7" t="s">
        <v>358</v>
      </c>
      <c r="B43" s="7" t="s">
        <v>195</v>
      </c>
      <c r="C43" s="8" t="s">
        <v>195</v>
      </c>
      <c r="D43" s="5" t="str">
        <f>LRTRIM(CONCATENATE(IF(SUMPRODUCT(-- ISNUMBER(SEARCH({"Auto Number"}, $B43))) &gt; 0, $B43, IF(SUMPRODUCT(-- ISNUMBER(SEARCH({"Lookup","Master-Detail"}, $B43))) &gt; 0,$B43 &amp; "(" &amp; $E43 &amp; ")",IF(SUMPRODUCT(-- ISNUMBER(SEARCH({"Formula","Roll-Up Summary"}, $B43))) &gt; 0,$B43 &amp; " (" &amp; $E43 &amp; ")",IF(SUMPRODUCT(-- ISNUMBER(SEARCH({"Content","Currency","Number","Percent","Text","URL"}, $B43))) &gt; 0,$B43 &amp; "(" &amp; $C43 &amp; ")",$B43)))), "  ", TRIM(IF($S43 = "YES", "(External ID)", "") &amp; " " &amp; IF(SUMPRODUCT(-- ISNUMBER(SEARCH({"Unique","Unique Case Insensitive"}, $R43))) &gt; 0, "(" &amp; $R43 &amp; ")", ""))))</f>
        <v>na</v>
      </c>
      <c r="E43" s="7" t="s">
        <v>195</v>
      </c>
      <c r="F43" s="7" t="s">
        <v>195</v>
      </c>
      <c r="G43" s="7" t="s">
        <v>195</v>
      </c>
      <c r="H43" s="7" t="s">
        <v>195</v>
      </c>
      <c r="I43" s="7" t="s">
        <v>195</v>
      </c>
      <c r="J43" s="7" t="s">
        <v>195</v>
      </c>
      <c r="K43" s="7" t="s">
        <v>195</v>
      </c>
      <c r="L43" s="7" t="s">
        <v>195</v>
      </c>
      <c r="M43" s="7" t="s">
        <v>29</v>
      </c>
      <c r="N43" s="7" t="s">
        <v>28</v>
      </c>
      <c r="O43" s="7" t="s">
        <v>29</v>
      </c>
      <c r="P43" s="7" t="s">
        <v>29</v>
      </c>
      <c r="Q43" s="7" t="s">
        <v>29</v>
      </c>
      <c r="R43" s="7" t="s">
        <v>29</v>
      </c>
      <c r="S43" s="7" t="s">
        <v>29</v>
      </c>
    </row>
    <row r="44" spans="1:19">
      <c r="A44" s="7" t="s">
        <v>97</v>
      </c>
      <c r="B44" s="7" t="s">
        <v>195</v>
      </c>
      <c r="C44" s="8" t="s">
        <v>195</v>
      </c>
      <c r="D44" s="5" t="str">
        <f>LRTRIM(CONCATENATE(IF(SUMPRODUCT(-- ISNUMBER(SEARCH({"Auto Number"}, $B44))) &gt; 0, $B44, IF(SUMPRODUCT(-- ISNUMBER(SEARCH({"Lookup","Master-Detail"}, $B44))) &gt; 0,$B44 &amp; "(" &amp; $E44 &amp; ")",IF(SUMPRODUCT(-- ISNUMBER(SEARCH({"Formula","Roll-Up Summary"}, $B44))) &gt; 0,$B44 &amp; " (" &amp; $E44 &amp; ")",IF(SUMPRODUCT(-- ISNUMBER(SEARCH({"Content","Currency","Number","Percent","Text","URL"}, $B44))) &gt; 0,$B44 &amp; "(" &amp; $C44 &amp; ")",$B44)))), "  ", TRIM(IF($S44 = "YES", "(External ID)", "") &amp; " " &amp; IF(SUMPRODUCT(-- ISNUMBER(SEARCH({"Unique","Unique Case Insensitive"}, $R44))) &gt; 0, "(" &amp; $R44 &amp; ")", ""))))</f>
        <v>na</v>
      </c>
      <c r="E44" s="7" t="s">
        <v>195</v>
      </c>
      <c r="F44" s="7" t="s">
        <v>195</v>
      </c>
      <c r="G44" s="7" t="s">
        <v>195</v>
      </c>
      <c r="H44" s="7" t="s">
        <v>195</v>
      </c>
      <c r="I44" s="7" t="s">
        <v>195</v>
      </c>
      <c r="J44" s="7" t="s">
        <v>195</v>
      </c>
      <c r="K44" s="7" t="s">
        <v>195</v>
      </c>
      <c r="L44" s="7" t="s">
        <v>195</v>
      </c>
      <c r="M44" s="7" t="s">
        <v>29</v>
      </c>
      <c r="N44" s="7" t="s">
        <v>28</v>
      </c>
      <c r="O44" s="7" t="s">
        <v>29</v>
      </c>
      <c r="P44" s="7" t="s">
        <v>29</v>
      </c>
      <c r="Q44" s="7" t="s">
        <v>29</v>
      </c>
      <c r="R44" s="7" t="s">
        <v>29</v>
      </c>
      <c r="S44" s="7" t="s">
        <v>29</v>
      </c>
    </row>
    <row r="45" spans="1:19">
      <c r="A45" s="7" t="s">
        <v>359</v>
      </c>
      <c r="B45" s="7" t="s">
        <v>195</v>
      </c>
      <c r="C45" s="8" t="s">
        <v>195</v>
      </c>
      <c r="D45" s="5" t="str">
        <f>LRTRIM(CONCATENATE(IF(SUMPRODUCT(-- ISNUMBER(SEARCH({"Auto Number"}, $B45))) &gt; 0, $B45, IF(SUMPRODUCT(-- ISNUMBER(SEARCH({"Lookup","Master-Detail"}, $B45))) &gt; 0,$B45 &amp; "(" &amp; $E45 &amp; ")",IF(SUMPRODUCT(-- ISNUMBER(SEARCH({"Formula","Roll-Up Summary"}, $B45))) &gt; 0,$B45 &amp; " (" &amp; $E45 &amp; ")",IF(SUMPRODUCT(-- ISNUMBER(SEARCH({"Content","Currency","Number","Percent","Text","URL"}, $B45))) &gt; 0,$B45 &amp; "(" &amp; $C45 &amp; ")",$B45)))), "  ", TRIM(IF($S45 = "YES", "(External ID)", "") &amp; " " &amp; IF(SUMPRODUCT(-- ISNUMBER(SEARCH({"Unique","Unique Case Insensitive"}, $R45))) &gt; 0, "(" &amp; $R45 &amp; ")", ""))))</f>
        <v>na</v>
      </c>
      <c r="E45" s="7" t="s">
        <v>195</v>
      </c>
      <c r="F45" s="7" t="s">
        <v>195</v>
      </c>
      <c r="G45" s="7" t="s">
        <v>195</v>
      </c>
      <c r="H45" s="7" t="s">
        <v>195</v>
      </c>
      <c r="I45" s="7" t="s">
        <v>195</v>
      </c>
      <c r="J45" s="7" t="s">
        <v>195</v>
      </c>
      <c r="K45" s="7" t="s">
        <v>195</v>
      </c>
      <c r="L45" s="7" t="s">
        <v>195</v>
      </c>
      <c r="M45" s="7" t="s">
        <v>29</v>
      </c>
      <c r="N45" s="7" t="s">
        <v>28</v>
      </c>
      <c r="O45" s="7" t="s">
        <v>29</v>
      </c>
      <c r="P45" s="7" t="s">
        <v>29</v>
      </c>
      <c r="Q45" s="7" t="s">
        <v>29</v>
      </c>
      <c r="R45" s="7" t="s">
        <v>29</v>
      </c>
      <c r="S45" s="7" t="s">
        <v>29</v>
      </c>
    </row>
    <row r="46" spans="1:19">
      <c r="A46" s="7" t="s">
        <v>36</v>
      </c>
      <c r="B46" s="7" t="s">
        <v>195</v>
      </c>
      <c r="C46" s="8" t="s">
        <v>195</v>
      </c>
      <c r="D46" s="5" t="str">
        <f>LRTRIM(CONCATENATE(IF(SUMPRODUCT(-- ISNUMBER(SEARCH({"Auto Number"}, $B46))) &gt; 0, $B46, IF(SUMPRODUCT(-- ISNUMBER(SEARCH({"Lookup","Master-Detail"}, $B46))) &gt; 0,$B46 &amp; "(" &amp; $E46 &amp; ")",IF(SUMPRODUCT(-- ISNUMBER(SEARCH({"Formula","Roll-Up Summary"}, $B46))) &gt; 0,$B46 &amp; " (" &amp; $E46 &amp; ")",IF(SUMPRODUCT(-- ISNUMBER(SEARCH({"Content","Currency","Number","Percent","Text","URL"}, $B46))) &gt; 0,$B46 &amp; "(" &amp; $C46 &amp; ")",$B46)))), "  ", TRIM(IF($S46 = "YES", "(External ID)", "") &amp; " " &amp; IF(SUMPRODUCT(-- ISNUMBER(SEARCH({"Unique","Unique Case Insensitive"}, $R46))) &gt; 0, "(" &amp; $R46 &amp; ")", ""))))</f>
        <v>na</v>
      </c>
      <c r="E46" s="7" t="s">
        <v>195</v>
      </c>
      <c r="F46" s="7" t="s">
        <v>195</v>
      </c>
      <c r="G46" s="7" t="s">
        <v>195</v>
      </c>
      <c r="H46" s="7" t="s">
        <v>195</v>
      </c>
      <c r="I46" s="7" t="s">
        <v>195</v>
      </c>
      <c r="J46" s="7" t="s">
        <v>195</v>
      </c>
      <c r="K46" s="7" t="s">
        <v>195</v>
      </c>
      <c r="L46" s="7" t="s">
        <v>195</v>
      </c>
      <c r="M46" s="7" t="s">
        <v>28</v>
      </c>
      <c r="N46" s="7" t="s">
        <v>29</v>
      </c>
      <c r="O46" s="7" t="s">
        <v>29</v>
      </c>
      <c r="P46" s="7" t="s">
        <v>29</v>
      </c>
      <c r="Q46" s="7" t="s">
        <v>29</v>
      </c>
      <c r="R46" s="7" t="s">
        <v>29</v>
      </c>
      <c r="S46" s="7" t="s">
        <v>29</v>
      </c>
    </row>
    <row r="47" spans="1:19">
      <c r="A47" s="7" t="s">
        <v>35</v>
      </c>
      <c r="B47" s="7" t="s">
        <v>195</v>
      </c>
      <c r="C47" s="8" t="s">
        <v>195</v>
      </c>
      <c r="D47" s="5" t="str">
        <f>LRTRIM(CONCATENATE(IF(SUMPRODUCT(-- ISNUMBER(SEARCH({"Auto Number"}, $B47))) &gt; 0, $B47, IF(SUMPRODUCT(-- ISNUMBER(SEARCH({"Lookup","Master-Detail"}, $B47))) &gt; 0,$B47 &amp; "(" &amp; $E47 &amp; ")",IF(SUMPRODUCT(-- ISNUMBER(SEARCH({"Formula","Roll-Up Summary"}, $B47))) &gt; 0,$B47 &amp; " (" &amp; $E47 &amp; ")",IF(SUMPRODUCT(-- ISNUMBER(SEARCH({"Content","Currency","Number","Percent","Text","URL"}, $B47))) &gt; 0,$B47 &amp; "(" &amp; $C47 &amp; ")",$B47)))), "  ", TRIM(IF($S47 = "YES", "(External ID)", "") &amp; " " &amp; IF(SUMPRODUCT(-- ISNUMBER(SEARCH({"Unique","Unique Case Insensitive"}, $R47))) &gt; 0, "(" &amp; $R47 &amp; ")", ""))))</f>
        <v>na</v>
      </c>
      <c r="E47" s="7" t="s">
        <v>195</v>
      </c>
      <c r="F47" s="7" t="s">
        <v>195</v>
      </c>
      <c r="G47" s="7" t="s">
        <v>195</v>
      </c>
      <c r="H47" s="7" t="s">
        <v>195</v>
      </c>
      <c r="I47" s="7" t="s">
        <v>195</v>
      </c>
      <c r="J47" s="7" t="s">
        <v>195</v>
      </c>
      <c r="K47" s="7" t="s">
        <v>195</v>
      </c>
      <c r="L47" s="7" t="s">
        <v>195</v>
      </c>
      <c r="M47" s="7" t="s">
        <v>28</v>
      </c>
      <c r="N47" s="7" t="s">
        <v>29</v>
      </c>
      <c r="O47" s="7" t="s">
        <v>29</v>
      </c>
      <c r="P47" s="7" t="s">
        <v>29</v>
      </c>
      <c r="Q47" s="7" t="s">
        <v>29</v>
      </c>
      <c r="R47" s="7" t="s">
        <v>29</v>
      </c>
      <c r="S47" s="7" t="s">
        <v>29</v>
      </c>
    </row>
    <row r="48" spans="1:19">
      <c r="A48" s="7" t="s">
        <v>34</v>
      </c>
      <c r="B48" s="7" t="s">
        <v>195</v>
      </c>
      <c r="C48" s="8" t="s">
        <v>195</v>
      </c>
      <c r="D48" s="5" t="str">
        <f>LRTRIM(CONCATENATE(IF(SUMPRODUCT(-- ISNUMBER(SEARCH({"Auto Number"}, $B48))) &gt; 0, $B48, IF(SUMPRODUCT(-- ISNUMBER(SEARCH({"Lookup","Master-Detail"}, $B48))) &gt; 0,$B48 &amp; "(" &amp; $E48 &amp; ")",IF(SUMPRODUCT(-- ISNUMBER(SEARCH({"Formula","Roll-Up Summary"}, $B48))) &gt; 0,$B48 &amp; " (" &amp; $E48 &amp; ")",IF(SUMPRODUCT(-- ISNUMBER(SEARCH({"Content","Currency","Number","Percent","Text","URL"}, $B48))) &gt; 0,$B48 &amp; "(" &amp; $C48 &amp; ")",$B48)))), "  ", TRIM(IF($S48 = "YES", "(External ID)", "") &amp; " " &amp; IF(SUMPRODUCT(-- ISNUMBER(SEARCH({"Unique","Unique Case Insensitive"}, $R48))) &gt; 0, "(" &amp; $R48 &amp; ")", ""))))</f>
        <v>na</v>
      </c>
      <c r="E48" s="7" t="s">
        <v>195</v>
      </c>
      <c r="F48" s="7" t="s">
        <v>195</v>
      </c>
      <c r="G48" s="7" t="s">
        <v>195</v>
      </c>
      <c r="H48" s="7" t="s">
        <v>195</v>
      </c>
      <c r="I48" s="7" t="s">
        <v>195</v>
      </c>
      <c r="J48" s="7" t="s">
        <v>195</v>
      </c>
      <c r="K48" s="7" t="s">
        <v>195</v>
      </c>
      <c r="L48" s="7" t="s">
        <v>195</v>
      </c>
      <c r="M48" s="7" t="s">
        <v>28</v>
      </c>
      <c r="N48" s="7" t="s">
        <v>29</v>
      </c>
      <c r="O48" s="7" t="s">
        <v>29</v>
      </c>
      <c r="P48" s="7" t="s">
        <v>29</v>
      </c>
      <c r="Q48" s="7" t="s">
        <v>29</v>
      </c>
      <c r="R48" s="7" t="s">
        <v>29</v>
      </c>
      <c r="S48" s="7" t="s">
        <v>29</v>
      </c>
    </row>
    <row r="49" spans="1:19">
      <c r="A49" s="7" t="s">
        <v>38</v>
      </c>
      <c r="B49" s="7" t="s">
        <v>195</v>
      </c>
      <c r="C49" s="8" t="s">
        <v>195</v>
      </c>
      <c r="D49" s="5" t="str">
        <f>LRTRIM(CONCATENATE(IF(SUMPRODUCT(-- ISNUMBER(SEARCH({"Auto Number"}, $B49))) &gt; 0, $B49, IF(SUMPRODUCT(-- ISNUMBER(SEARCH({"Lookup","Master-Detail"}, $B49))) &gt; 0,$B49 &amp; "(" &amp; $E49 &amp; ")",IF(SUMPRODUCT(-- ISNUMBER(SEARCH({"Formula","Roll-Up Summary"}, $B49))) &gt; 0,$B49 &amp; " (" &amp; $E49 &amp; ")",IF(SUMPRODUCT(-- ISNUMBER(SEARCH({"Content","Currency","Number","Percent","Text","URL"}, $B49))) &gt; 0,$B49 &amp; "(" &amp; $C49 &amp; ")",$B49)))), "  ", TRIM(IF($S49 = "YES", "(External ID)", "") &amp; " " &amp; IF(SUMPRODUCT(-- ISNUMBER(SEARCH({"Unique","Unique Case Insensitive"}, $R49))) &gt; 0, "(" &amp; $R49 &amp; ")", ""))))</f>
        <v>na</v>
      </c>
      <c r="E49" s="7" t="s">
        <v>195</v>
      </c>
      <c r="F49" s="7" t="s">
        <v>195</v>
      </c>
      <c r="G49" s="7" t="s">
        <v>195</v>
      </c>
      <c r="H49" s="7" t="s">
        <v>195</v>
      </c>
      <c r="I49" s="7" t="s">
        <v>195</v>
      </c>
      <c r="J49" s="7" t="s">
        <v>195</v>
      </c>
      <c r="K49" s="7" t="s">
        <v>195</v>
      </c>
      <c r="L49" s="7" t="s">
        <v>195</v>
      </c>
      <c r="M49" s="7" t="s">
        <v>28</v>
      </c>
      <c r="N49" s="7" t="s">
        <v>29</v>
      </c>
      <c r="O49" s="7" t="s">
        <v>29</v>
      </c>
      <c r="P49" s="7" t="s">
        <v>29</v>
      </c>
      <c r="Q49" s="7" t="s">
        <v>29</v>
      </c>
      <c r="R49" s="7" t="s">
        <v>29</v>
      </c>
      <c r="S49" s="7" t="s">
        <v>29</v>
      </c>
    </row>
    <row r="50" spans="1:19">
      <c r="A50" s="7" t="s">
        <v>37</v>
      </c>
      <c r="B50" s="7" t="s">
        <v>195</v>
      </c>
      <c r="C50" s="8" t="s">
        <v>195</v>
      </c>
      <c r="D50" s="5" t="str">
        <f>LRTRIM(CONCATENATE(IF(SUMPRODUCT(-- ISNUMBER(SEARCH({"Auto Number"}, $B50))) &gt; 0, $B50, IF(SUMPRODUCT(-- ISNUMBER(SEARCH({"Lookup","Master-Detail"}, $B50))) &gt; 0,$B50 &amp; "(" &amp; $E50 &amp; ")",IF(SUMPRODUCT(-- ISNUMBER(SEARCH({"Formula","Roll-Up Summary"}, $B50))) &gt; 0,$B50 &amp; " (" &amp; $E50 &amp; ")",IF(SUMPRODUCT(-- ISNUMBER(SEARCH({"Content","Currency","Number","Percent","Text","URL"}, $B50))) &gt; 0,$B50 &amp; "(" &amp; $C50 &amp; ")",$B50)))), "  ", TRIM(IF($S50 = "YES", "(External ID)", "") &amp; " " &amp; IF(SUMPRODUCT(-- ISNUMBER(SEARCH({"Unique","Unique Case Insensitive"}, $R50))) &gt; 0, "(" &amp; $R50 &amp; ")", ""))))</f>
        <v>na</v>
      </c>
      <c r="E50" s="7" t="s">
        <v>195</v>
      </c>
      <c r="F50" s="7" t="s">
        <v>195</v>
      </c>
      <c r="G50" s="7" t="s">
        <v>195</v>
      </c>
      <c r="H50" s="7" t="s">
        <v>195</v>
      </c>
      <c r="I50" s="7" t="s">
        <v>195</v>
      </c>
      <c r="J50" s="7" t="s">
        <v>195</v>
      </c>
      <c r="K50" s="7" t="s">
        <v>195</v>
      </c>
      <c r="L50" s="7" t="s">
        <v>195</v>
      </c>
      <c r="M50" s="7" t="s">
        <v>28</v>
      </c>
      <c r="N50" s="7" t="s">
        <v>29</v>
      </c>
      <c r="O50" s="7" t="s">
        <v>29</v>
      </c>
      <c r="P50" s="7" t="s">
        <v>29</v>
      </c>
      <c r="Q50" s="7" t="s">
        <v>29</v>
      </c>
      <c r="R50" s="7" t="s">
        <v>29</v>
      </c>
      <c r="S50" s="7" t="s">
        <v>29</v>
      </c>
    </row>
    <row r="51" spans="1:19">
      <c r="A51" s="7" t="s">
        <v>39</v>
      </c>
      <c r="B51" s="7" t="s">
        <v>195</v>
      </c>
      <c r="C51" s="8" t="s">
        <v>195</v>
      </c>
      <c r="D51" s="5" t="str">
        <f>LRTRIM(CONCATENATE(IF(SUMPRODUCT(-- ISNUMBER(SEARCH({"Auto Number"}, $B51))) &gt; 0, $B51, IF(SUMPRODUCT(-- ISNUMBER(SEARCH({"Lookup","Master-Detail"}, $B51))) &gt; 0,$B51 &amp; "(" &amp; $E51 &amp; ")",IF(SUMPRODUCT(-- ISNUMBER(SEARCH({"Formula","Roll-Up Summary"}, $B51))) &gt; 0,$B51 &amp; " (" &amp; $E51 &amp; ")",IF(SUMPRODUCT(-- ISNUMBER(SEARCH({"Content","Currency","Number","Percent","Text","URL"}, $B51))) &gt; 0,$B51 &amp; "(" &amp; $C51 &amp; ")",$B51)))), "  ", TRIM(IF($S51 = "YES", "(External ID)", "") &amp; " " &amp; IF(SUMPRODUCT(-- ISNUMBER(SEARCH({"Unique","Unique Case Insensitive"}, $R51))) &gt; 0, "(" &amp; $R51 &amp; ")", ""))))</f>
        <v>na</v>
      </c>
      <c r="E51" s="7" t="s">
        <v>195</v>
      </c>
      <c r="F51" s="7" t="s">
        <v>195</v>
      </c>
      <c r="G51" s="7" t="s">
        <v>195</v>
      </c>
      <c r="H51" s="7" t="s">
        <v>195</v>
      </c>
      <c r="I51" s="7" t="s">
        <v>195</v>
      </c>
      <c r="J51" s="7" t="s">
        <v>195</v>
      </c>
      <c r="K51" s="7" t="s">
        <v>195</v>
      </c>
      <c r="L51" s="7" t="s">
        <v>195</v>
      </c>
      <c r="M51" s="7" t="s">
        <v>28</v>
      </c>
      <c r="N51" s="7" t="s">
        <v>29</v>
      </c>
      <c r="O51" s="7" t="s">
        <v>29</v>
      </c>
      <c r="P51" s="7" t="s">
        <v>29</v>
      </c>
      <c r="Q51" s="7" t="s">
        <v>29</v>
      </c>
      <c r="R51" s="7" t="s">
        <v>29</v>
      </c>
      <c r="S51" s="7" t="s">
        <v>29</v>
      </c>
    </row>
    <row r="52" spans="1:19">
      <c r="B52" s="7" t="s">
        <v>195</v>
      </c>
      <c r="C52" s="8" t="s">
        <v>195</v>
      </c>
      <c r="D52" s="5" t="str">
        <f>LRTRIM(CONCATENATE(IF(SUMPRODUCT(-- ISNUMBER(SEARCH({"Auto Number"}, $B52))) &gt; 0, $B52, IF(SUMPRODUCT(-- ISNUMBER(SEARCH({"Lookup","Master-Detail"}, $B52))) &gt; 0,$B52 &amp; "(" &amp; $E52 &amp; ")",IF(SUMPRODUCT(-- ISNUMBER(SEARCH({"Formula","Roll-Up Summary"}, $B52))) &gt; 0,$B52 &amp; " (" &amp; $E52 &amp; ")",IF(SUMPRODUCT(-- ISNUMBER(SEARCH({"Content","Currency","Number","Percent","Text","URL"}, $B52))) &gt; 0,$B52 &amp; "(" &amp; $C52 &amp; ")",$B52)))), "  ", TRIM(IF($S52 = "YES", "(External ID)", "") &amp; " " &amp; IF(SUMPRODUCT(-- ISNUMBER(SEARCH({"Unique","Unique Case Insensitive"}, $R52))) &gt; 0, "(" &amp; $R52 &amp; ")", ""))))</f>
        <v>na</v>
      </c>
      <c r="E52" s="7" t="s">
        <v>195</v>
      </c>
      <c r="F52" s="7" t="s">
        <v>195</v>
      </c>
      <c r="G52" s="7" t="s">
        <v>195</v>
      </c>
      <c r="H52" s="7" t="s">
        <v>195</v>
      </c>
      <c r="I52" s="7" t="s">
        <v>195</v>
      </c>
      <c r="J52" s="7" t="s">
        <v>195</v>
      </c>
      <c r="K52" s="7" t="s">
        <v>195</v>
      </c>
      <c r="L52" s="7" t="s">
        <v>195</v>
      </c>
      <c r="M52" s="7" t="s">
        <v>29</v>
      </c>
      <c r="N52" s="7" t="s">
        <v>29</v>
      </c>
      <c r="O52" s="7" t="s">
        <v>29</v>
      </c>
      <c r="P52" s="7" t="s">
        <v>29</v>
      </c>
      <c r="Q52" s="7" t="s">
        <v>29</v>
      </c>
      <c r="R52" s="7" t="s">
        <v>29</v>
      </c>
      <c r="S52" s="7" t="s">
        <v>29</v>
      </c>
    </row>
    <row r="53" spans="1:19">
      <c r="B53" s="7" t="s">
        <v>195</v>
      </c>
      <c r="C53" s="8" t="s">
        <v>195</v>
      </c>
      <c r="D53" s="5" t="str">
        <f>LRTRIM(CONCATENATE(IF(SUMPRODUCT(-- ISNUMBER(SEARCH({"Auto Number"}, $B53))) &gt; 0, $B53, IF(SUMPRODUCT(-- ISNUMBER(SEARCH({"Lookup","Master-Detail"}, $B53))) &gt; 0,$B53 &amp; "(" &amp; $E53 &amp; ")",IF(SUMPRODUCT(-- ISNUMBER(SEARCH({"Formula","Roll-Up Summary"}, $B53))) &gt; 0,$B53 &amp; " (" &amp; $E53 &amp; ")",IF(SUMPRODUCT(-- ISNUMBER(SEARCH({"Content","Currency","Number","Percent","Text","URL"}, $B53))) &gt; 0,$B53 &amp; "(" &amp; $C53 &amp; ")",$B53)))), "  ", TRIM(IF($S53 = "YES", "(External ID)", "") &amp; " " &amp; IF(SUMPRODUCT(-- ISNUMBER(SEARCH({"Unique","Unique Case Insensitive"}, $R53))) &gt; 0, "(" &amp; $R53 &amp; ")", ""))))</f>
        <v>na</v>
      </c>
      <c r="E53" s="7" t="s">
        <v>195</v>
      </c>
      <c r="F53" s="7" t="s">
        <v>195</v>
      </c>
      <c r="G53" s="7" t="s">
        <v>195</v>
      </c>
      <c r="H53" s="7" t="s">
        <v>195</v>
      </c>
      <c r="I53" s="7" t="s">
        <v>195</v>
      </c>
      <c r="J53" s="7" t="s">
        <v>195</v>
      </c>
      <c r="K53" s="7" t="s">
        <v>195</v>
      </c>
      <c r="L53" s="7" t="s">
        <v>195</v>
      </c>
      <c r="M53" s="7" t="s">
        <v>29</v>
      </c>
      <c r="N53" s="7" t="s">
        <v>29</v>
      </c>
      <c r="O53" s="7" t="s">
        <v>29</v>
      </c>
      <c r="P53" s="7" t="s">
        <v>29</v>
      </c>
      <c r="Q53" s="7" t="s">
        <v>29</v>
      </c>
      <c r="R53" s="7" t="s">
        <v>29</v>
      </c>
      <c r="S53" s="7" t="s">
        <v>29</v>
      </c>
    </row>
    <row r="54" spans="1:19">
      <c r="B54" s="7" t="s">
        <v>195</v>
      </c>
      <c r="C54" s="8" t="s">
        <v>195</v>
      </c>
      <c r="D54" s="5" t="str">
        <f>LRTRIM(CONCATENATE(IF(SUMPRODUCT(-- ISNUMBER(SEARCH({"Auto Number"}, $B54))) &gt; 0, $B54, IF(SUMPRODUCT(-- ISNUMBER(SEARCH({"Lookup","Master-Detail"}, $B54))) &gt; 0,$B54 &amp; "(" &amp; $E54 &amp; ")",IF(SUMPRODUCT(-- ISNUMBER(SEARCH({"Formula","Roll-Up Summary"}, $B54))) &gt; 0,$B54 &amp; " (" &amp; $E54 &amp; ")",IF(SUMPRODUCT(-- ISNUMBER(SEARCH({"Content","Currency","Number","Percent","Text","URL"}, $B54))) &gt; 0,$B54 &amp; "(" &amp; $C54 &amp; ")",$B54)))), "  ", TRIM(IF($S54 = "YES", "(External ID)", "") &amp; " " &amp; IF(SUMPRODUCT(-- ISNUMBER(SEARCH({"Unique","Unique Case Insensitive"}, $R54))) &gt; 0, "(" &amp; $R54 &amp; ")", ""))))</f>
        <v>na</v>
      </c>
      <c r="E54" s="7" t="s">
        <v>195</v>
      </c>
      <c r="F54" s="7" t="s">
        <v>195</v>
      </c>
      <c r="G54" s="7" t="s">
        <v>195</v>
      </c>
      <c r="H54" s="7" t="s">
        <v>195</v>
      </c>
      <c r="I54" s="7" t="s">
        <v>195</v>
      </c>
      <c r="J54" s="7" t="s">
        <v>195</v>
      </c>
      <c r="K54" s="7" t="s">
        <v>195</v>
      </c>
      <c r="L54" s="7" t="s">
        <v>195</v>
      </c>
      <c r="M54" s="7" t="s">
        <v>29</v>
      </c>
      <c r="N54" s="7" t="s">
        <v>29</v>
      </c>
      <c r="O54" s="7" t="s">
        <v>29</v>
      </c>
      <c r="P54" s="7" t="s">
        <v>29</v>
      </c>
      <c r="Q54" s="7" t="s">
        <v>29</v>
      </c>
      <c r="R54" s="7" t="s">
        <v>29</v>
      </c>
      <c r="S54" s="7" t="s">
        <v>29</v>
      </c>
    </row>
    <row r="55" spans="1:19">
      <c r="B55" s="7" t="s">
        <v>195</v>
      </c>
      <c r="C55" s="8" t="s">
        <v>195</v>
      </c>
      <c r="D55" s="5" t="str">
        <f>LRTRIM(CONCATENATE(IF(SUMPRODUCT(-- ISNUMBER(SEARCH({"Auto Number"}, $B55))) &gt; 0, $B55, IF(SUMPRODUCT(-- ISNUMBER(SEARCH({"Lookup","Master-Detail"}, $B55))) &gt; 0,$B55 &amp; "(" &amp; $E55 &amp; ")",IF(SUMPRODUCT(-- ISNUMBER(SEARCH({"Formula","Roll-Up Summary"}, $B55))) &gt; 0,$B55 &amp; " (" &amp; $E55 &amp; ")",IF(SUMPRODUCT(-- ISNUMBER(SEARCH({"Content","Currency","Number","Percent","Text","URL"}, $B55))) &gt; 0,$B55 &amp; "(" &amp; $C55 &amp; ")",$B55)))), "  ", TRIM(IF($S55 = "YES", "(External ID)", "") &amp; " " &amp; IF(SUMPRODUCT(-- ISNUMBER(SEARCH({"Unique","Unique Case Insensitive"}, $R55))) &gt; 0, "(" &amp; $R55 &amp; ")", ""))))</f>
        <v>na</v>
      </c>
      <c r="E55" s="7" t="s">
        <v>195</v>
      </c>
      <c r="F55" s="7" t="s">
        <v>195</v>
      </c>
      <c r="G55" s="7" t="s">
        <v>195</v>
      </c>
      <c r="H55" s="7" t="s">
        <v>195</v>
      </c>
      <c r="I55" s="7" t="s">
        <v>195</v>
      </c>
      <c r="J55" s="7" t="s">
        <v>195</v>
      </c>
      <c r="K55" s="7" t="s">
        <v>195</v>
      </c>
      <c r="L55" s="7" t="s">
        <v>195</v>
      </c>
      <c r="M55" s="7" t="s">
        <v>29</v>
      </c>
      <c r="N55" s="7" t="s">
        <v>29</v>
      </c>
      <c r="O55" s="7" t="s">
        <v>29</v>
      </c>
      <c r="P55" s="7" t="s">
        <v>29</v>
      </c>
      <c r="Q55" s="7" t="s">
        <v>29</v>
      </c>
      <c r="R55" s="7" t="s">
        <v>29</v>
      </c>
      <c r="S55" s="7" t="s">
        <v>29</v>
      </c>
    </row>
    <row r="56" spans="1:19">
      <c r="B56" s="7" t="s">
        <v>195</v>
      </c>
      <c r="C56" s="8" t="s">
        <v>195</v>
      </c>
      <c r="D56" s="5" t="str">
        <f>LRTRIM(CONCATENATE(IF(SUMPRODUCT(-- ISNUMBER(SEARCH({"Auto Number"}, $B56))) &gt; 0, $B56, IF(SUMPRODUCT(-- ISNUMBER(SEARCH({"Lookup","Master-Detail"}, $B56))) &gt; 0,$B56 &amp; "(" &amp; $E56 &amp; ")",IF(SUMPRODUCT(-- ISNUMBER(SEARCH({"Formula","Roll-Up Summary"}, $B56))) &gt; 0,$B56 &amp; " (" &amp; $E56 &amp; ")",IF(SUMPRODUCT(-- ISNUMBER(SEARCH({"Content","Currency","Number","Percent","Text","URL"}, $B56))) &gt; 0,$B56 &amp; "(" &amp; $C56 &amp; ")",$B56)))), "  ", TRIM(IF($S56 = "YES", "(External ID)", "") &amp; " " &amp; IF(SUMPRODUCT(-- ISNUMBER(SEARCH({"Unique","Unique Case Insensitive"}, $R56))) &gt; 0, "(" &amp; $R56 &amp; ")", ""))))</f>
        <v>na</v>
      </c>
      <c r="E56" s="7" t="s">
        <v>195</v>
      </c>
      <c r="F56" s="7" t="s">
        <v>195</v>
      </c>
      <c r="G56" s="7" t="s">
        <v>195</v>
      </c>
      <c r="H56" s="7" t="s">
        <v>195</v>
      </c>
      <c r="I56" s="7" t="s">
        <v>195</v>
      </c>
      <c r="J56" s="7" t="s">
        <v>195</v>
      </c>
      <c r="K56" s="7" t="s">
        <v>195</v>
      </c>
      <c r="L56" s="7" t="s">
        <v>195</v>
      </c>
      <c r="M56" s="7" t="s">
        <v>29</v>
      </c>
      <c r="N56" s="7" t="s">
        <v>29</v>
      </c>
      <c r="O56" s="7" t="s">
        <v>29</v>
      </c>
      <c r="P56" s="7" t="s">
        <v>29</v>
      </c>
      <c r="Q56" s="7" t="s">
        <v>29</v>
      </c>
      <c r="R56" s="7" t="s">
        <v>29</v>
      </c>
      <c r="S56" s="7" t="s">
        <v>29</v>
      </c>
    </row>
    <row r="57" spans="1:19">
      <c r="B57" s="7" t="s">
        <v>195</v>
      </c>
      <c r="C57" s="8" t="s">
        <v>195</v>
      </c>
      <c r="D57" s="5" t="str">
        <f>LRTRIM(CONCATENATE(IF(SUMPRODUCT(-- ISNUMBER(SEARCH({"Auto Number"}, $B57))) &gt; 0, $B57, IF(SUMPRODUCT(-- ISNUMBER(SEARCH({"Lookup","Master-Detail"}, $B57))) &gt; 0,$B57 &amp; "(" &amp; $E57 &amp; ")",IF(SUMPRODUCT(-- ISNUMBER(SEARCH({"Formula","Roll-Up Summary"}, $B57))) &gt; 0,$B57 &amp; " (" &amp; $E57 &amp; ")",IF(SUMPRODUCT(-- ISNUMBER(SEARCH({"Content","Currency","Number","Percent","Text","URL"}, $B57))) &gt; 0,$B57 &amp; "(" &amp; $C57 &amp; ")",$B57)))), "  ", TRIM(IF($S57 = "YES", "(External ID)", "") &amp; " " &amp; IF(SUMPRODUCT(-- ISNUMBER(SEARCH({"Unique","Unique Case Insensitive"}, $R57))) &gt; 0, "(" &amp; $R57 &amp; ")", ""))))</f>
        <v>na</v>
      </c>
      <c r="E57" s="7" t="s">
        <v>195</v>
      </c>
      <c r="F57" s="7" t="s">
        <v>195</v>
      </c>
      <c r="G57" s="7" t="s">
        <v>195</v>
      </c>
      <c r="H57" s="7" t="s">
        <v>195</v>
      </c>
      <c r="I57" s="7" t="s">
        <v>195</v>
      </c>
      <c r="J57" s="7" t="s">
        <v>195</v>
      </c>
      <c r="K57" s="7" t="s">
        <v>195</v>
      </c>
      <c r="L57" s="7" t="s">
        <v>195</v>
      </c>
      <c r="M57" s="7" t="s">
        <v>29</v>
      </c>
      <c r="N57" s="7" t="s">
        <v>29</v>
      </c>
      <c r="O57" s="7" t="s">
        <v>29</v>
      </c>
      <c r="P57" s="7" t="s">
        <v>29</v>
      </c>
      <c r="Q57" s="7" t="s">
        <v>29</v>
      </c>
      <c r="R57" s="7" t="s">
        <v>29</v>
      </c>
      <c r="S57" s="7" t="s">
        <v>29</v>
      </c>
    </row>
    <row r="58" spans="1:19">
      <c r="B58" s="7" t="s">
        <v>195</v>
      </c>
      <c r="C58" s="8" t="s">
        <v>195</v>
      </c>
      <c r="D58" s="5" t="str">
        <f>LRTRIM(CONCATENATE(IF(SUMPRODUCT(-- ISNUMBER(SEARCH({"Auto Number"}, $B58))) &gt; 0, $B58, IF(SUMPRODUCT(-- ISNUMBER(SEARCH({"Lookup","Master-Detail"}, $B58))) &gt; 0,$B58 &amp; "(" &amp; $E58 &amp; ")",IF(SUMPRODUCT(-- ISNUMBER(SEARCH({"Formula","Roll-Up Summary"}, $B58))) &gt; 0,$B58 &amp; " (" &amp; $E58 &amp; ")",IF(SUMPRODUCT(-- ISNUMBER(SEARCH({"Content","Currency","Number","Percent","Text","URL"}, $B58))) &gt; 0,$B58 &amp; "(" &amp; $C58 &amp; ")",$B58)))), "  ", TRIM(IF($S58 = "YES", "(External ID)", "") &amp; " " &amp; IF(SUMPRODUCT(-- ISNUMBER(SEARCH({"Unique","Unique Case Insensitive"}, $R58))) &gt; 0, "(" &amp; $R58 &amp; ")", ""))))</f>
        <v>na</v>
      </c>
      <c r="E58" s="7" t="s">
        <v>195</v>
      </c>
      <c r="F58" s="7" t="s">
        <v>195</v>
      </c>
      <c r="G58" s="7" t="s">
        <v>195</v>
      </c>
      <c r="H58" s="7" t="s">
        <v>195</v>
      </c>
      <c r="I58" s="7" t="s">
        <v>195</v>
      </c>
      <c r="J58" s="7" t="s">
        <v>195</v>
      </c>
      <c r="K58" s="7" t="s">
        <v>195</v>
      </c>
      <c r="L58" s="7" t="s">
        <v>195</v>
      </c>
      <c r="M58" s="7" t="s">
        <v>29</v>
      </c>
      <c r="N58" s="7" t="s">
        <v>29</v>
      </c>
      <c r="O58" s="7" t="s">
        <v>29</v>
      </c>
      <c r="P58" s="7" t="s">
        <v>29</v>
      </c>
      <c r="Q58" s="7" t="s">
        <v>29</v>
      </c>
      <c r="R58" s="7" t="s">
        <v>29</v>
      </c>
      <c r="S58" s="7" t="s">
        <v>29</v>
      </c>
    </row>
    <row r="59" spans="1:19">
      <c r="B59" s="7" t="s">
        <v>195</v>
      </c>
      <c r="C59" s="8" t="s">
        <v>195</v>
      </c>
      <c r="D59" s="5" t="str">
        <f>LRTRIM(CONCATENATE(IF(SUMPRODUCT(-- ISNUMBER(SEARCH({"Auto Number"}, $B59))) &gt; 0, $B59, IF(SUMPRODUCT(-- ISNUMBER(SEARCH({"Lookup","Master-Detail"}, $B59))) &gt; 0,$B59 &amp; "(" &amp; $E59 &amp; ")",IF(SUMPRODUCT(-- ISNUMBER(SEARCH({"Formula","Roll-Up Summary"}, $B59))) &gt; 0,$B59 &amp; " (" &amp; $E59 &amp; ")",IF(SUMPRODUCT(-- ISNUMBER(SEARCH({"Content","Currency","Number","Percent","Text","URL"}, $B59))) &gt; 0,$B59 &amp; "(" &amp; $C59 &amp; ")",$B59)))), "  ", TRIM(IF($S59 = "YES", "(External ID)", "") &amp; " " &amp; IF(SUMPRODUCT(-- ISNUMBER(SEARCH({"Unique","Unique Case Insensitive"}, $R59))) &gt; 0, "(" &amp; $R59 &amp; ")", ""))))</f>
        <v>na</v>
      </c>
      <c r="E59" s="7" t="s">
        <v>195</v>
      </c>
      <c r="F59" s="7" t="s">
        <v>195</v>
      </c>
      <c r="G59" s="7" t="s">
        <v>195</v>
      </c>
      <c r="H59" s="7" t="s">
        <v>195</v>
      </c>
      <c r="I59" s="7" t="s">
        <v>195</v>
      </c>
      <c r="J59" s="7" t="s">
        <v>195</v>
      </c>
      <c r="K59" s="7" t="s">
        <v>195</v>
      </c>
      <c r="L59" s="7" t="s">
        <v>195</v>
      </c>
      <c r="M59" s="7" t="s">
        <v>29</v>
      </c>
      <c r="N59" s="7" t="s">
        <v>29</v>
      </c>
      <c r="O59" s="7" t="s">
        <v>29</v>
      </c>
      <c r="P59" s="7" t="s">
        <v>29</v>
      </c>
      <c r="Q59" s="7" t="s">
        <v>29</v>
      </c>
      <c r="R59" s="7" t="s">
        <v>29</v>
      </c>
      <c r="S59" s="7" t="s">
        <v>29</v>
      </c>
    </row>
    <row r="60" spans="1:19">
      <c r="B60" s="7" t="s">
        <v>195</v>
      </c>
      <c r="C60" s="8" t="s">
        <v>195</v>
      </c>
      <c r="D60" s="5" t="str">
        <f>LRTRIM(CONCATENATE(IF(SUMPRODUCT(-- ISNUMBER(SEARCH({"Auto Number"}, $B60))) &gt; 0, $B60, IF(SUMPRODUCT(-- ISNUMBER(SEARCH({"Lookup","Master-Detail"}, $B60))) &gt; 0,$B60 &amp; "(" &amp; $E60 &amp; ")",IF(SUMPRODUCT(-- ISNUMBER(SEARCH({"Formula","Roll-Up Summary"}, $B60))) &gt; 0,$B60 &amp; " (" &amp; $E60 &amp; ")",IF(SUMPRODUCT(-- ISNUMBER(SEARCH({"Content","Currency","Number","Percent","Text","URL"}, $B60))) &gt; 0,$B60 &amp; "(" &amp; $C60 &amp; ")",$B60)))), "  ", TRIM(IF($S60 = "YES", "(External ID)", "") &amp; " " &amp; IF(SUMPRODUCT(-- ISNUMBER(SEARCH({"Unique","Unique Case Insensitive"}, $R60))) &gt; 0, "(" &amp; $R60 &amp; ")", ""))))</f>
        <v>na</v>
      </c>
      <c r="E60" s="7" t="s">
        <v>195</v>
      </c>
      <c r="F60" s="7" t="s">
        <v>195</v>
      </c>
      <c r="G60" s="7" t="s">
        <v>195</v>
      </c>
      <c r="H60" s="7" t="s">
        <v>195</v>
      </c>
      <c r="I60" s="7" t="s">
        <v>195</v>
      </c>
      <c r="J60" s="7" t="s">
        <v>195</v>
      </c>
      <c r="K60" s="7" t="s">
        <v>195</v>
      </c>
      <c r="L60" s="7" t="s">
        <v>195</v>
      </c>
      <c r="M60" s="7" t="s">
        <v>29</v>
      </c>
      <c r="N60" s="7" t="s">
        <v>29</v>
      </c>
      <c r="O60" s="7" t="s">
        <v>29</v>
      </c>
      <c r="P60" s="7" t="s">
        <v>29</v>
      </c>
      <c r="Q60" s="7" t="s">
        <v>29</v>
      </c>
      <c r="R60" s="7" t="s">
        <v>29</v>
      </c>
      <c r="S60" s="7" t="s">
        <v>29</v>
      </c>
    </row>
    <row r="61" spans="1:19">
      <c r="B61" s="7" t="s">
        <v>195</v>
      </c>
      <c r="C61" s="8" t="s">
        <v>195</v>
      </c>
      <c r="D61" s="5" t="str">
        <f>LRTRIM(CONCATENATE(IF(SUMPRODUCT(-- ISNUMBER(SEARCH({"Auto Number"}, $B61))) &gt; 0, $B61, IF(SUMPRODUCT(-- ISNUMBER(SEARCH({"Lookup","Master-Detail"}, $B61))) &gt; 0,$B61 &amp; "(" &amp; $E61 &amp; ")",IF(SUMPRODUCT(-- ISNUMBER(SEARCH({"Formula","Roll-Up Summary"}, $B61))) &gt; 0,$B61 &amp; " (" &amp; $E61 &amp; ")",IF(SUMPRODUCT(-- ISNUMBER(SEARCH({"Content","Currency","Number","Percent","Text","URL"}, $B61))) &gt; 0,$B61 &amp; "(" &amp; $C61 &amp; ")",$B61)))), "  ", TRIM(IF($S61 = "YES", "(External ID)", "") &amp; " " &amp; IF(SUMPRODUCT(-- ISNUMBER(SEARCH({"Unique","Unique Case Insensitive"}, $R61))) &gt; 0, "(" &amp; $R61 &amp; ")", ""))))</f>
        <v>na</v>
      </c>
      <c r="E61" s="7" t="s">
        <v>195</v>
      </c>
      <c r="F61" s="7" t="s">
        <v>195</v>
      </c>
      <c r="G61" s="7" t="s">
        <v>195</v>
      </c>
      <c r="H61" s="7" t="s">
        <v>195</v>
      </c>
      <c r="I61" s="7" t="s">
        <v>195</v>
      </c>
      <c r="J61" s="7" t="s">
        <v>195</v>
      </c>
      <c r="K61" s="7" t="s">
        <v>195</v>
      </c>
      <c r="L61" s="7" t="s">
        <v>195</v>
      </c>
      <c r="M61" s="7" t="s">
        <v>29</v>
      </c>
      <c r="N61" s="7" t="s">
        <v>29</v>
      </c>
      <c r="O61" s="7" t="s">
        <v>29</v>
      </c>
      <c r="P61" s="7" t="s">
        <v>29</v>
      </c>
      <c r="Q61" s="7" t="s">
        <v>29</v>
      </c>
      <c r="R61" s="7" t="s">
        <v>29</v>
      </c>
      <c r="S61" s="7" t="s">
        <v>29</v>
      </c>
    </row>
    <row r="62" spans="1:19">
      <c r="B62" s="7" t="s">
        <v>195</v>
      </c>
      <c r="C62" s="8" t="s">
        <v>195</v>
      </c>
      <c r="D62" s="5" t="str">
        <f>LRTRIM(CONCATENATE(IF(SUMPRODUCT(-- ISNUMBER(SEARCH({"Auto Number"}, $B62))) &gt; 0, $B62, IF(SUMPRODUCT(-- ISNUMBER(SEARCH({"Lookup","Master-Detail"}, $B62))) &gt; 0,$B62 &amp; "(" &amp; $E62 &amp; ")",IF(SUMPRODUCT(-- ISNUMBER(SEARCH({"Formula","Roll-Up Summary"}, $B62))) &gt; 0,$B62 &amp; " (" &amp; $E62 &amp; ")",IF(SUMPRODUCT(-- ISNUMBER(SEARCH({"Content","Currency","Number","Percent","Text","URL"}, $B62))) &gt; 0,$B62 &amp; "(" &amp; $C62 &amp; ")",$B62)))), "  ", TRIM(IF($S62 = "YES", "(External ID)", "") &amp; " " &amp; IF(SUMPRODUCT(-- ISNUMBER(SEARCH({"Unique","Unique Case Insensitive"}, $R62))) &gt; 0, "(" &amp; $R62 &amp; ")", ""))))</f>
        <v>na</v>
      </c>
      <c r="E62" s="7" t="s">
        <v>195</v>
      </c>
      <c r="F62" s="7" t="s">
        <v>195</v>
      </c>
      <c r="G62" s="7" t="s">
        <v>195</v>
      </c>
      <c r="H62" s="7" t="s">
        <v>195</v>
      </c>
      <c r="I62" s="7" t="s">
        <v>195</v>
      </c>
      <c r="J62" s="7" t="s">
        <v>195</v>
      </c>
      <c r="K62" s="7" t="s">
        <v>195</v>
      </c>
      <c r="L62" s="7" t="s">
        <v>195</v>
      </c>
      <c r="M62" s="7" t="s">
        <v>29</v>
      </c>
      <c r="N62" s="7" t="s">
        <v>29</v>
      </c>
      <c r="O62" s="7" t="s">
        <v>29</v>
      </c>
      <c r="P62" s="7" t="s">
        <v>29</v>
      </c>
      <c r="Q62" s="7" t="s">
        <v>29</v>
      </c>
      <c r="R62" s="7" t="s">
        <v>29</v>
      </c>
      <c r="S62" s="7" t="s">
        <v>29</v>
      </c>
    </row>
    <row r="63" spans="1:19">
      <c r="B63" s="7" t="s">
        <v>195</v>
      </c>
      <c r="C63" s="8" t="s">
        <v>195</v>
      </c>
      <c r="D63" s="5" t="str">
        <f>LRTRIM(CONCATENATE(IF(SUMPRODUCT(-- ISNUMBER(SEARCH({"Auto Number"}, $B63))) &gt; 0, $B63, IF(SUMPRODUCT(-- ISNUMBER(SEARCH({"Lookup","Master-Detail"}, $B63))) &gt; 0,$B63 &amp; "(" &amp; $E63 &amp; ")",IF(SUMPRODUCT(-- ISNUMBER(SEARCH({"Formula","Roll-Up Summary"}, $B63))) &gt; 0,$B63 &amp; " (" &amp; $E63 &amp; ")",IF(SUMPRODUCT(-- ISNUMBER(SEARCH({"Content","Currency","Number","Percent","Text","URL"}, $B63))) &gt; 0,$B63 &amp; "(" &amp; $C63 &amp; ")",$B63)))), "  ", TRIM(IF($S63 = "YES", "(External ID)", "") &amp; " " &amp; IF(SUMPRODUCT(-- ISNUMBER(SEARCH({"Unique","Unique Case Insensitive"}, $R63))) &gt; 0, "(" &amp; $R63 &amp; ")", ""))))</f>
        <v>na</v>
      </c>
      <c r="E63" s="7" t="s">
        <v>195</v>
      </c>
      <c r="F63" s="7" t="s">
        <v>195</v>
      </c>
      <c r="G63" s="7" t="s">
        <v>195</v>
      </c>
      <c r="H63" s="7" t="s">
        <v>195</v>
      </c>
      <c r="I63" s="7" t="s">
        <v>195</v>
      </c>
      <c r="J63" s="7" t="s">
        <v>195</v>
      </c>
      <c r="K63" s="7" t="s">
        <v>195</v>
      </c>
      <c r="L63" s="7" t="s">
        <v>195</v>
      </c>
      <c r="M63" s="7" t="s">
        <v>29</v>
      </c>
      <c r="N63" s="7" t="s">
        <v>29</v>
      </c>
      <c r="O63" s="7" t="s">
        <v>29</v>
      </c>
      <c r="P63" s="7" t="s">
        <v>29</v>
      </c>
      <c r="Q63" s="7" t="s">
        <v>29</v>
      </c>
      <c r="R63" s="7" t="s">
        <v>29</v>
      </c>
      <c r="S63" s="7" t="s">
        <v>29</v>
      </c>
    </row>
    <row r="64" spans="1:19">
      <c r="B64" s="7" t="s">
        <v>195</v>
      </c>
      <c r="C64" s="8" t="s">
        <v>195</v>
      </c>
      <c r="D64" s="5" t="str">
        <f>LRTRIM(CONCATENATE(IF(SUMPRODUCT(-- ISNUMBER(SEARCH({"Auto Number"}, $B64))) &gt; 0, $B64, IF(SUMPRODUCT(-- ISNUMBER(SEARCH({"Lookup","Master-Detail"}, $B64))) &gt; 0,$B64 &amp; "(" &amp; $E64 &amp; ")",IF(SUMPRODUCT(-- ISNUMBER(SEARCH({"Formula","Roll-Up Summary"}, $B64))) &gt; 0,$B64 &amp; " (" &amp; $E64 &amp; ")",IF(SUMPRODUCT(-- ISNUMBER(SEARCH({"Content","Currency","Number","Percent","Text","URL"}, $B64))) &gt; 0,$B64 &amp; "(" &amp; $C64 &amp; ")",$B64)))), "  ", TRIM(IF($S64 = "YES", "(External ID)", "") &amp; " " &amp; IF(SUMPRODUCT(-- ISNUMBER(SEARCH({"Unique","Unique Case Insensitive"}, $R64))) &gt; 0, "(" &amp; $R64 &amp; ")", ""))))</f>
        <v>na</v>
      </c>
      <c r="E64" s="7" t="s">
        <v>195</v>
      </c>
      <c r="F64" s="7" t="s">
        <v>195</v>
      </c>
      <c r="G64" s="7" t="s">
        <v>195</v>
      </c>
      <c r="H64" s="7" t="s">
        <v>195</v>
      </c>
      <c r="I64" s="7" t="s">
        <v>195</v>
      </c>
      <c r="J64" s="7" t="s">
        <v>195</v>
      </c>
      <c r="K64" s="7" t="s">
        <v>195</v>
      </c>
      <c r="L64" s="7" t="s">
        <v>195</v>
      </c>
      <c r="M64" s="7" t="s">
        <v>29</v>
      </c>
      <c r="N64" s="7" t="s">
        <v>29</v>
      </c>
      <c r="O64" s="7" t="s">
        <v>29</v>
      </c>
      <c r="P64" s="7" t="s">
        <v>29</v>
      </c>
      <c r="Q64" s="7" t="s">
        <v>29</v>
      </c>
      <c r="R64" s="7" t="s">
        <v>29</v>
      </c>
      <c r="S64" s="7" t="s">
        <v>29</v>
      </c>
    </row>
    <row r="65" spans="2:19">
      <c r="B65" s="7" t="s">
        <v>195</v>
      </c>
      <c r="C65" s="8" t="s">
        <v>195</v>
      </c>
      <c r="D65" s="5" t="str">
        <f>LRTRIM(CONCATENATE(IF(SUMPRODUCT(-- ISNUMBER(SEARCH({"Auto Number"}, $B65))) &gt; 0, $B65, IF(SUMPRODUCT(-- ISNUMBER(SEARCH({"Lookup","Master-Detail"}, $B65))) &gt; 0,$B65 &amp; "(" &amp; $E65 &amp; ")",IF(SUMPRODUCT(-- ISNUMBER(SEARCH({"Formula","Roll-Up Summary"}, $B65))) &gt; 0,$B65 &amp; " (" &amp; $E65 &amp; ")",IF(SUMPRODUCT(-- ISNUMBER(SEARCH({"Content","Currency","Number","Percent","Text","URL"}, $B65))) &gt; 0,$B65 &amp; "(" &amp; $C65 &amp; ")",$B65)))), "  ", TRIM(IF($S65 = "YES", "(External ID)", "") &amp; " " &amp; IF(SUMPRODUCT(-- ISNUMBER(SEARCH({"Unique","Unique Case Insensitive"}, $R65))) &gt; 0, "(" &amp; $R65 &amp; ")", ""))))</f>
        <v>na</v>
      </c>
      <c r="E65" s="7" t="s">
        <v>195</v>
      </c>
      <c r="F65" s="7" t="s">
        <v>195</v>
      </c>
      <c r="G65" s="7" t="s">
        <v>195</v>
      </c>
      <c r="H65" s="7" t="s">
        <v>195</v>
      </c>
      <c r="I65" s="7" t="s">
        <v>195</v>
      </c>
      <c r="J65" s="7" t="s">
        <v>195</v>
      </c>
      <c r="K65" s="7" t="s">
        <v>195</v>
      </c>
      <c r="L65" s="7" t="s">
        <v>195</v>
      </c>
      <c r="M65" s="7" t="s">
        <v>29</v>
      </c>
      <c r="N65" s="7" t="s">
        <v>29</v>
      </c>
      <c r="O65" s="7" t="s">
        <v>29</v>
      </c>
      <c r="P65" s="7" t="s">
        <v>29</v>
      </c>
      <c r="Q65" s="7" t="s">
        <v>29</v>
      </c>
      <c r="R65" s="7" t="s">
        <v>29</v>
      </c>
      <c r="S65" s="7" t="s">
        <v>29</v>
      </c>
    </row>
    <row r="66" spans="2:19">
      <c r="B66" s="7" t="s">
        <v>195</v>
      </c>
      <c r="C66" s="8" t="s">
        <v>195</v>
      </c>
      <c r="D66" s="5" t="str">
        <f>LRTRIM(CONCATENATE(IF(SUMPRODUCT(-- ISNUMBER(SEARCH({"Auto Number"}, $B66))) &gt; 0, $B66, IF(SUMPRODUCT(-- ISNUMBER(SEARCH({"Lookup","Master-Detail"}, $B66))) &gt; 0,$B66 &amp; "(" &amp; $E66 &amp; ")",IF(SUMPRODUCT(-- ISNUMBER(SEARCH({"Formula","Roll-Up Summary"}, $B66))) &gt; 0,$B66 &amp; " (" &amp; $E66 &amp; ")",IF(SUMPRODUCT(-- ISNUMBER(SEARCH({"Content","Currency","Number","Percent","Text","URL"}, $B66))) &gt; 0,$B66 &amp; "(" &amp; $C66 &amp; ")",$B66)))), "  ", TRIM(IF($S66 = "YES", "(External ID)", "") &amp; " " &amp; IF(SUMPRODUCT(-- ISNUMBER(SEARCH({"Unique","Unique Case Insensitive"}, $R66))) &gt; 0, "(" &amp; $R66 &amp; ")", ""))))</f>
        <v>na</v>
      </c>
      <c r="E66" s="7" t="s">
        <v>195</v>
      </c>
      <c r="F66" s="7" t="s">
        <v>195</v>
      </c>
      <c r="G66" s="7" t="s">
        <v>195</v>
      </c>
      <c r="H66" s="7" t="s">
        <v>195</v>
      </c>
      <c r="I66" s="7" t="s">
        <v>195</v>
      </c>
      <c r="J66" s="7" t="s">
        <v>195</v>
      </c>
      <c r="K66" s="7" t="s">
        <v>195</v>
      </c>
      <c r="L66" s="7" t="s">
        <v>195</v>
      </c>
      <c r="M66" s="7" t="s">
        <v>29</v>
      </c>
      <c r="N66" s="7" t="s">
        <v>29</v>
      </c>
      <c r="O66" s="7" t="s">
        <v>29</v>
      </c>
      <c r="P66" s="7" t="s">
        <v>29</v>
      </c>
      <c r="Q66" s="7" t="s">
        <v>29</v>
      </c>
      <c r="R66" s="7" t="s">
        <v>29</v>
      </c>
      <c r="S66" s="7" t="s">
        <v>29</v>
      </c>
    </row>
    <row r="67" spans="2:19">
      <c r="B67" s="7" t="s">
        <v>195</v>
      </c>
      <c r="C67" s="8" t="s">
        <v>195</v>
      </c>
      <c r="D67" s="5" t="str">
        <f>LRTRIM(CONCATENATE(IF(SUMPRODUCT(-- ISNUMBER(SEARCH({"Auto Number"}, $B67))) &gt; 0, $B67, IF(SUMPRODUCT(-- ISNUMBER(SEARCH({"Lookup","Master-Detail"}, $B67))) &gt; 0,$B67 &amp; "(" &amp; $E67 &amp; ")",IF(SUMPRODUCT(-- ISNUMBER(SEARCH({"Formula","Roll-Up Summary"}, $B67))) &gt; 0,$B67 &amp; " (" &amp; $E67 &amp; ")",IF(SUMPRODUCT(-- ISNUMBER(SEARCH({"Content","Currency","Number","Percent","Text","URL"}, $B67))) &gt; 0,$B67 &amp; "(" &amp; $C67 &amp; ")",$B67)))), "  ", TRIM(IF($S67 = "YES", "(External ID)", "") &amp; " " &amp; IF(SUMPRODUCT(-- ISNUMBER(SEARCH({"Unique","Unique Case Insensitive"}, $R67))) &gt; 0, "(" &amp; $R67 &amp; ")", ""))))</f>
        <v>na</v>
      </c>
      <c r="E67" s="7" t="s">
        <v>195</v>
      </c>
      <c r="F67" s="7" t="s">
        <v>195</v>
      </c>
      <c r="G67" s="7" t="s">
        <v>195</v>
      </c>
      <c r="H67" s="7" t="s">
        <v>195</v>
      </c>
      <c r="I67" s="7" t="s">
        <v>195</v>
      </c>
      <c r="J67" s="7" t="s">
        <v>195</v>
      </c>
      <c r="K67" s="7" t="s">
        <v>195</v>
      </c>
      <c r="L67" s="7" t="s">
        <v>195</v>
      </c>
      <c r="M67" s="7" t="s">
        <v>29</v>
      </c>
      <c r="N67" s="7" t="s">
        <v>29</v>
      </c>
      <c r="O67" s="7" t="s">
        <v>29</v>
      </c>
      <c r="P67" s="7" t="s">
        <v>29</v>
      </c>
      <c r="Q67" s="7" t="s">
        <v>29</v>
      </c>
      <c r="R67" s="7" t="s">
        <v>29</v>
      </c>
      <c r="S67" s="7" t="s">
        <v>29</v>
      </c>
    </row>
    <row r="68" spans="2:19">
      <c r="B68" s="7" t="s">
        <v>195</v>
      </c>
      <c r="C68" s="8" t="s">
        <v>195</v>
      </c>
      <c r="D68" s="5" t="str">
        <f>LRTRIM(CONCATENATE(IF(SUMPRODUCT(-- ISNUMBER(SEARCH({"Auto Number"}, $B68))) &gt; 0, $B68, IF(SUMPRODUCT(-- ISNUMBER(SEARCH({"Lookup","Master-Detail"}, $B68))) &gt; 0,$B68 &amp; "(" &amp; $E68 &amp; ")",IF(SUMPRODUCT(-- ISNUMBER(SEARCH({"Formula","Roll-Up Summary"}, $B68))) &gt; 0,$B68 &amp; " (" &amp; $E68 &amp; ")",IF(SUMPRODUCT(-- ISNUMBER(SEARCH({"Content","Currency","Number","Percent","Text","URL"}, $B68))) &gt; 0,$B68 &amp; "(" &amp; $C68 &amp; ")",$B68)))), "  ", TRIM(IF($S68 = "YES", "(External ID)", "") &amp; " " &amp; IF(SUMPRODUCT(-- ISNUMBER(SEARCH({"Unique","Unique Case Insensitive"}, $R68))) &gt; 0, "(" &amp; $R68 &amp; ")", ""))))</f>
        <v>na</v>
      </c>
      <c r="E68" s="7" t="s">
        <v>195</v>
      </c>
      <c r="F68" s="7" t="s">
        <v>195</v>
      </c>
      <c r="G68" s="7" t="s">
        <v>195</v>
      </c>
      <c r="H68" s="7" t="s">
        <v>195</v>
      </c>
      <c r="I68" s="7" t="s">
        <v>195</v>
      </c>
      <c r="J68" s="7" t="s">
        <v>195</v>
      </c>
      <c r="K68" s="7" t="s">
        <v>195</v>
      </c>
      <c r="L68" s="7" t="s">
        <v>195</v>
      </c>
      <c r="M68" s="7" t="s">
        <v>29</v>
      </c>
      <c r="N68" s="7" t="s">
        <v>29</v>
      </c>
      <c r="O68" s="7" t="s">
        <v>29</v>
      </c>
      <c r="P68" s="7" t="s">
        <v>29</v>
      </c>
      <c r="Q68" s="7" t="s">
        <v>29</v>
      </c>
      <c r="R68" s="7" t="s">
        <v>29</v>
      </c>
      <c r="S68" s="7" t="s">
        <v>29</v>
      </c>
    </row>
    <row r="69" spans="2:19">
      <c r="B69" s="7" t="s">
        <v>195</v>
      </c>
      <c r="C69" s="8" t="s">
        <v>195</v>
      </c>
      <c r="D69" s="5" t="str">
        <f>LRTRIM(CONCATENATE(IF(SUMPRODUCT(-- ISNUMBER(SEARCH({"Auto Number"}, $B69))) &gt; 0, $B69, IF(SUMPRODUCT(-- ISNUMBER(SEARCH({"Lookup","Master-Detail"}, $B69))) &gt; 0,$B69 &amp; "(" &amp; $E69 &amp; ")",IF(SUMPRODUCT(-- ISNUMBER(SEARCH({"Formula","Roll-Up Summary"}, $B69))) &gt; 0,$B69 &amp; " (" &amp; $E69 &amp; ")",IF(SUMPRODUCT(-- ISNUMBER(SEARCH({"Content","Currency","Number","Percent","Text","URL"}, $B69))) &gt; 0,$B69 &amp; "(" &amp; $C69 &amp; ")",$B69)))), "  ", TRIM(IF($S69 = "YES", "(External ID)", "") &amp; " " &amp; IF(SUMPRODUCT(-- ISNUMBER(SEARCH({"Unique","Unique Case Insensitive"}, $R69))) &gt; 0, "(" &amp; $R69 &amp; ")", ""))))</f>
        <v>na</v>
      </c>
      <c r="E69" s="7" t="s">
        <v>195</v>
      </c>
      <c r="F69" s="7" t="s">
        <v>195</v>
      </c>
      <c r="G69" s="7" t="s">
        <v>195</v>
      </c>
      <c r="H69" s="7" t="s">
        <v>195</v>
      </c>
      <c r="I69" s="7" t="s">
        <v>195</v>
      </c>
      <c r="J69" s="7" t="s">
        <v>195</v>
      </c>
      <c r="K69" s="7" t="s">
        <v>195</v>
      </c>
      <c r="L69" s="7" t="s">
        <v>195</v>
      </c>
      <c r="M69" s="7" t="s">
        <v>29</v>
      </c>
      <c r="N69" s="7" t="s">
        <v>29</v>
      </c>
      <c r="O69" s="7" t="s">
        <v>29</v>
      </c>
      <c r="P69" s="7" t="s">
        <v>29</v>
      </c>
      <c r="Q69" s="7" t="s">
        <v>29</v>
      </c>
      <c r="R69" s="7" t="s">
        <v>29</v>
      </c>
      <c r="S69" s="7" t="s">
        <v>29</v>
      </c>
    </row>
    <row r="70" spans="2:19">
      <c r="B70" s="7" t="s">
        <v>195</v>
      </c>
      <c r="C70" s="8" t="s">
        <v>195</v>
      </c>
      <c r="D70" s="5" t="str">
        <f>LRTRIM(CONCATENATE(IF(SUMPRODUCT(-- ISNUMBER(SEARCH({"Auto Number"}, $B70))) &gt; 0, $B70, IF(SUMPRODUCT(-- ISNUMBER(SEARCH({"Lookup","Master-Detail"}, $B70))) &gt; 0,$B70 &amp; "(" &amp; $E70 &amp; ")",IF(SUMPRODUCT(-- ISNUMBER(SEARCH({"Formula","Roll-Up Summary"}, $B70))) &gt; 0,$B70 &amp; " (" &amp; $E70 &amp; ")",IF(SUMPRODUCT(-- ISNUMBER(SEARCH({"Content","Currency","Number","Percent","Text","URL"}, $B70))) &gt; 0,$B70 &amp; "(" &amp; $C70 &amp; ")",$B70)))), "  ", TRIM(IF($S70 = "YES", "(External ID)", "") &amp; " " &amp; IF(SUMPRODUCT(-- ISNUMBER(SEARCH({"Unique","Unique Case Insensitive"}, $R70))) &gt; 0, "(" &amp; $R70 &amp; ")", ""))))</f>
        <v>na</v>
      </c>
      <c r="E70" s="7" t="s">
        <v>195</v>
      </c>
      <c r="F70" s="7" t="s">
        <v>195</v>
      </c>
      <c r="G70" s="7" t="s">
        <v>195</v>
      </c>
      <c r="H70" s="7" t="s">
        <v>195</v>
      </c>
      <c r="I70" s="7" t="s">
        <v>195</v>
      </c>
      <c r="J70" s="7" t="s">
        <v>195</v>
      </c>
      <c r="K70" s="7" t="s">
        <v>195</v>
      </c>
      <c r="L70" s="7" t="s">
        <v>195</v>
      </c>
      <c r="M70" s="7" t="s">
        <v>29</v>
      </c>
      <c r="N70" s="7" t="s">
        <v>29</v>
      </c>
      <c r="O70" s="7" t="s">
        <v>29</v>
      </c>
      <c r="P70" s="7" t="s">
        <v>29</v>
      </c>
      <c r="Q70" s="7" t="s">
        <v>29</v>
      </c>
      <c r="R70" s="7" t="s">
        <v>29</v>
      </c>
      <c r="S70" s="7" t="s">
        <v>29</v>
      </c>
    </row>
    <row r="71" spans="2:19">
      <c r="B71" s="7" t="s">
        <v>195</v>
      </c>
      <c r="C71" s="8" t="s">
        <v>195</v>
      </c>
      <c r="D71" s="5" t="str">
        <f>LRTRIM(CONCATENATE(IF(SUMPRODUCT(-- ISNUMBER(SEARCH({"Auto Number"}, $B71))) &gt; 0, $B71, IF(SUMPRODUCT(-- ISNUMBER(SEARCH({"Lookup","Master-Detail"}, $B71))) &gt; 0,$B71 &amp; "(" &amp; $E71 &amp; ")",IF(SUMPRODUCT(-- ISNUMBER(SEARCH({"Formula","Roll-Up Summary"}, $B71))) &gt; 0,$B71 &amp; " (" &amp; $E71 &amp; ")",IF(SUMPRODUCT(-- ISNUMBER(SEARCH({"Content","Currency","Number","Percent","Text","URL"}, $B71))) &gt; 0,$B71 &amp; "(" &amp; $C71 &amp; ")",$B71)))), "  ", TRIM(IF($S71 = "YES", "(External ID)", "") &amp; " " &amp; IF(SUMPRODUCT(-- ISNUMBER(SEARCH({"Unique","Unique Case Insensitive"}, $R71))) &gt; 0, "(" &amp; $R71 &amp; ")", ""))))</f>
        <v>na</v>
      </c>
      <c r="E71" s="7" t="s">
        <v>195</v>
      </c>
      <c r="F71" s="7" t="s">
        <v>195</v>
      </c>
      <c r="G71" s="7" t="s">
        <v>195</v>
      </c>
      <c r="H71" s="7" t="s">
        <v>195</v>
      </c>
      <c r="I71" s="7" t="s">
        <v>195</v>
      </c>
      <c r="J71" s="7" t="s">
        <v>195</v>
      </c>
      <c r="K71" s="7" t="s">
        <v>195</v>
      </c>
      <c r="L71" s="7" t="s">
        <v>195</v>
      </c>
      <c r="M71" s="7" t="s">
        <v>29</v>
      </c>
      <c r="N71" s="7" t="s">
        <v>29</v>
      </c>
      <c r="O71" s="7" t="s">
        <v>29</v>
      </c>
      <c r="P71" s="7" t="s">
        <v>29</v>
      </c>
      <c r="Q71" s="7" t="s">
        <v>29</v>
      </c>
      <c r="R71" s="7" t="s">
        <v>29</v>
      </c>
      <c r="S71" s="7" t="s">
        <v>29</v>
      </c>
    </row>
    <row r="72" spans="2:19">
      <c r="B72" s="7" t="s">
        <v>195</v>
      </c>
      <c r="C72" s="8" t="s">
        <v>195</v>
      </c>
      <c r="D72" s="5" t="str">
        <f>LRTRIM(CONCATENATE(IF(SUMPRODUCT(-- ISNUMBER(SEARCH({"Auto Number"}, $B72))) &gt; 0, $B72, IF(SUMPRODUCT(-- ISNUMBER(SEARCH({"Lookup","Master-Detail"}, $B72))) &gt; 0,$B72 &amp; "(" &amp; $E72 &amp; ")",IF(SUMPRODUCT(-- ISNUMBER(SEARCH({"Formula","Roll-Up Summary"}, $B72))) &gt; 0,$B72 &amp; " (" &amp; $E72 &amp; ")",IF(SUMPRODUCT(-- ISNUMBER(SEARCH({"Content","Currency","Number","Percent","Text","URL"}, $B72))) &gt; 0,$B72 &amp; "(" &amp; $C72 &amp; ")",$B72)))), "  ", TRIM(IF($S72 = "YES", "(External ID)", "") &amp; " " &amp; IF(SUMPRODUCT(-- ISNUMBER(SEARCH({"Unique","Unique Case Insensitive"}, $R72))) &gt; 0, "(" &amp; $R72 &amp; ")", ""))))</f>
        <v>na</v>
      </c>
      <c r="E72" s="7" t="s">
        <v>195</v>
      </c>
      <c r="F72" s="7" t="s">
        <v>195</v>
      </c>
      <c r="G72" s="7" t="s">
        <v>195</v>
      </c>
      <c r="H72" s="7" t="s">
        <v>195</v>
      </c>
      <c r="I72" s="7" t="s">
        <v>195</v>
      </c>
      <c r="J72" s="7" t="s">
        <v>195</v>
      </c>
      <c r="K72" s="7" t="s">
        <v>195</v>
      </c>
      <c r="L72" s="7" t="s">
        <v>195</v>
      </c>
      <c r="M72" s="7" t="s">
        <v>29</v>
      </c>
      <c r="N72" s="7" t="s">
        <v>29</v>
      </c>
      <c r="O72" s="7" t="s">
        <v>29</v>
      </c>
      <c r="P72" s="7" t="s">
        <v>29</v>
      </c>
      <c r="Q72" s="7" t="s">
        <v>29</v>
      </c>
      <c r="R72" s="7" t="s">
        <v>29</v>
      </c>
      <c r="S72" s="7" t="s">
        <v>29</v>
      </c>
    </row>
    <row r="73" spans="2:19">
      <c r="B73" s="7" t="s">
        <v>195</v>
      </c>
      <c r="C73" s="8" t="s">
        <v>195</v>
      </c>
      <c r="D73" s="5" t="str">
        <f>LRTRIM(CONCATENATE(IF(SUMPRODUCT(-- ISNUMBER(SEARCH({"Auto Number"}, $B73))) &gt; 0, $B73, IF(SUMPRODUCT(-- ISNUMBER(SEARCH({"Lookup","Master-Detail"}, $B73))) &gt; 0,$B73 &amp; "(" &amp; $E73 &amp; ")",IF(SUMPRODUCT(-- ISNUMBER(SEARCH({"Formula","Roll-Up Summary"}, $B73))) &gt; 0,$B73 &amp; " (" &amp; $E73 &amp; ")",IF(SUMPRODUCT(-- ISNUMBER(SEARCH({"Content","Currency","Number","Percent","Text","URL"}, $B73))) &gt; 0,$B73 &amp; "(" &amp; $C73 &amp; ")",$B73)))), "  ", TRIM(IF($S73 = "YES", "(External ID)", "") &amp; " " &amp; IF(SUMPRODUCT(-- ISNUMBER(SEARCH({"Unique","Unique Case Insensitive"}, $R73))) &gt; 0, "(" &amp; $R73 &amp; ")", ""))))</f>
        <v>na</v>
      </c>
      <c r="E73" s="7" t="s">
        <v>195</v>
      </c>
      <c r="F73" s="7" t="s">
        <v>195</v>
      </c>
      <c r="G73" s="7" t="s">
        <v>195</v>
      </c>
      <c r="H73" s="7" t="s">
        <v>195</v>
      </c>
      <c r="I73" s="7" t="s">
        <v>195</v>
      </c>
      <c r="J73" s="7" t="s">
        <v>195</v>
      </c>
      <c r="K73" s="7" t="s">
        <v>195</v>
      </c>
      <c r="L73" s="7" t="s">
        <v>195</v>
      </c>
      <c r="M73" s="7" t="s">
        <v>29</v>
      </c>
      <c r="N73" s="7" t="s">
        <v>29</v>
      </c>
      <c r="O73" s="7" t="s">
        <v>29</v>
      </c>
      <c r="P73" s="7" t="s">
        <v>29</v>
      </c>
      <c r="Q73" s="7" t="s">
        <v>29</v>
      </c>
      <c r="R73" s="7" t="s">
        <v>29</v>
      </c>
      <c r="S73" s="7" t="s">
        <v>29</v>
      </c>
    </row>
    <row r="74" spans="2:19">
      <c r="B74" s="7" t="s">
        <v>195</v>
      </c>
      <c r="C74" s="8" t="s">
        <v>195</v>
      </c>
      <c r="D74" s="5" t="str">
        <f>LRTRIM(CONCATENATE(IF(SUMPRODUCT(-- ISNUMBER(SEARCH({"Auto Number"}, $B74))) &gt; 0, $B74, IF(SUMPRODUCT(-- ISNUMBER(SEARCH({"Lookup","Master-Detail"}, $B74))) &gt; 0,$B74 &amp; "(" &amp; $E74 &amp; ")",IF(SUMPRODUCT(-- ISNUMBER(SEARCH({"Formula","Roll-Up Summary"}, $B74))) &gt; 0,$B74 &amp; " (" &amp; $E74 &amp; ")",IF(SUMPRODUCT(-- ISNUMBER(SEARCH({"Content","Currency","Number","Percent","Text","URL"}, $B74))) &gt; 0,$B74 &amp; "(" &amp; $C74 &amp; ")",$B74)))), "  ", TRIM(IF($S74 = "YES", "(External ID)", "") &amp; " " &amp; IF(SUMPRODUCT(-- ISNUMBER(SEARCH({"Unique","Unique Case Insensitive"}, $R74))) &gt; 0, "(" &amp; $R74 &amp; ")", ""))))</f>
        <v>na</v>
      </c>
      <c r="E74" s="7" t="s">
        <v>195</v>
      </c>
      <c r="F74" s="7" t="s">
        <v>195</v>
      </c>
      <c r="G74" s="7" t="s">
        <v>195</v>
      </c>
      <c r="H74" s="7" t="s">
        <v>195</v>
      </c>
      <c r="I74" s="7" t="s">
        <v>195</v>
      </c>
      <c r="J74" s="7" t="s">
        <v>195</v>
      </c>
      <c r="K74" s="7" t="s">
        <v>195</v>
      </c>
      <c r="L74" s="7" t="s">
        <v>195</v>
      </c>
      <c r="M74" s="7" t="s">
        <v>29</v>
      </c>
      <c r="N74" s="7" t="s">
        <v>29</v>
      </c>
      <c r="O74" s="7" t="s">
        <v>29</v>
      </c>
      <c r="P74" s="7" t="s">
        <v>29</v>
      </c>
      <c r="Q74" s="7" t="s">
        <v>29</v>
      </c>
      <c r="R74" s="7" t="s">
        <v>29</v>
      </c>
      <c r="S74" s="7" t="s">
        <v>29</v>
      </c>
    </row>
    <row r="75" spans="2:19">
      <c r="B75" s="7" t="s">
        <v>195</v>
      </c>
      <c r="C75" s="8" t="s">
        <v>195</v>
      </c>
      <c r="D75" s="5" t="str">
        <f>LRTRIM(CONCATENATE(IF(SUMPRODUCT(-- ISNUMBER(SEARCH({"Auto Number"}, $B75))) &gt; 0, $B75, IF(SUMPRODUCT(-- ISNUMBER(SEARCH({"Lookup","Master-Detail"}, $B75))) &gt; 0,$B75 &amp; "(" &amp; $E75 &amp; ")",IF(SUMPRODUCT(-- ISNUMBER(SEARCH({"Formula","Roll-Up Summary"}, $B75))) &gt; 0,$B75 &amp; " (" &amp; $E75 &amp; ")",IF(SUMPRODUCT(-- ISNUMBER(SEARCH({"Content","Currency","Number","Percent","Text","URL"}, $B75))) &gt; 0,$B75 &amp; "(" &amp; $C75 &amp; ")",$B75)))), "  ", TRIM(IF($S75 = "YES", "(External ID)", "") &amp; " " &amp; IF(SUMPRODUCT(-- ISNUMBER(SEARCH({"Unique","Unique Case Insensitive"}, $R75))) &gt; 0, "(" &amp; $R75 &amp; ")", ""))))</f>
        <v>na</v>
      </c>
      <c r="E75" s="7" t="s">
        <v>195</v>
      </c>
      <c r="F75" s="7" t="s">
        <v>195</v>
      </c>
      <c r="G75" s="7" t="s">
        <v>195</v>
      </c>
      <c r="H75" s="7" t="s">
        <v>195</v>
      </c>
      <c r="I75" s="7" t="s">
        <v>195</v>
      </c>
      <c r="J75" s="7" t="s">
        <v>195</v>
      </c>
      <c r="K75" s="7" t="s">
        <v>195</v>
      </c>
      <c r="L75" s="7" t="s">
        <v>195</v>
      </c>
      <c r="M75" s="7" t="s">
        <v>29</v>
      </c>
      <c r="N75" s="7" t="s">
        <v>29</v>
      </c>
      <c r="O75" s="7" t="s">
        <v>29</v>
      </c>
      <c r="P75" s="7" t="s">
        <v>29</v>
      </c>
      <c r="Q75" s="7" t="s">
        <v>29</v>
      </c>
      <c r="R75" s="7" t="s">
        <v>29</v>
      </c>
      <c r="S75" s="7" t="s">
        <v>29</v>
      </c>
    </row>
    <row r="76" spans="2:19">
      <c r="B76" s="7" t="s">
        <v>195</v>
      </c>
      <c r="C76" s="8" t="s">
        <v>195</v>
      </c>
      <c r="D76" s="5" t="str">
        <f>LRTRIM(CONCATENATE(IF(SUMPRODUCT(-- ISNUMBER(SEARCH({"Auto Number"}, $B76))) &gt; 0, $B76, IF(SUMPRODUCT(-- ISNUMBER(SEARCH({"Lookup","Master-Detail"}, $B76))) &gt; 0,$B76 &amp; "(" &amp; $E76 &amp; ")",IF(SUMPRODUCT(-- ISNUMBER(SEARCH({"Formula","Roll-Up Summary"}, $B76))) &gt; 0,$B76 &amp; " (" &amp; $E76 &amp; ")",IF(SUMPRODUCT(-- ISNUMBER(SEARCH({"Content","Currency","Number","Percent","Text","URL"}, $B76))) &gt; 0,$B76 &amp; "(" &amp; $C76 &amp; ")",$B76)))), "  ", TRIM(IF($S76 = "YES", "(External ID)", "") &amp; " " &amp; IF(SUMPRODUCT(-- ISNUMBER(SEARCH({"Unique","Unique Case Insensitive"}, $R76))) &gt; 0, "(" &amp; $R76 &amp; ")", ""))))</f>
        <v>na</v>
      </c>
      <c r="E76" s="7" t="s">
        <v>195</v>
      </c>
      <c r="F76" s="7" t="s">
        <v>195</v>
      </c>
      <c r="G76" s="7" t="s">
        <v>195</v>
      </c>
      <c r="H76" s="7" t="s">
        <v>195</v>
      </c>
      <c r="I76" s="7" t="s">
        <v>195</v>
      </c>
      <c r="J76" s="7" t="s">
        <v>195</v>
      </c>
      <c r="K76" s="7" t="s">
        <v>195</v>
      </c>
      <c r="L76" s="7" t="s">
        <v>195</v>
      </c>
      <c r="M76" s="7" t="s">
        <v>29</v>
      </c>
      <c r="N76" s="7" t="s">
        <v>29</v>
      </c>
      <c r="O76" s="7" t="s">
        <v>29</v>
      </c>
      <c r="P76" s="7" t="s">
        <v>29</v>
      </c>
      <c r="Q76" s="7" t="s">
        <v>29</v>
      </c>
      <c r="R76" s="7" t="s">
        <v>29</v>
      </c>
      <c r="S76" s="7" t="s">
        <v>29</v>
      </c>
    </row>
    <row r="77" spans="2:19">
      <c r="B77" s="7" t="s">
        <v>195</v>
      </c>
      <c r="C77" s="8" t="s">
        <v>195</v>
      </c>
      <c r="D77" s="5" t="str">
        <f>LRTRIM(CONCATENATE(IF(SUMPRODUCT(-- ISNUMBER(SEARCH({"Auto Number"}, $B77))) &gt; 0, $B77, IF(SUMPRODUCT(-- ISNUMBER(SEARCH({"Lookup","Master-Detail"}, $B77))) &gt; 0,$B77 &amp; "(" &amp; $E77 &amp; ")",IF(SUMPRODUCT(-- ISNUMBER(SEARCH({"Formula","Roll-Up Summary"}, $B77))) &gt; 0,$B77 &amp; " (" &amp; $E77 &amp; ")",IF(SUMPRODUCT(-- ISNUMBER(SEARCH({"Content","Currency","Number","Percent","Text","URL"}, $B77))) &gt; 0,$B77 &amp; "(" &amp; $C77 &amp; ")",$B77)))), "  ", TRIM(IF($S77 = "YES", "(External ID)", "") &amp; " " &amp; IF(SUMPRODUCT(-- ISNUMBER(SEARCH({"Unique","Unique Case Insensitive"}, $R77))) &gt; 0, "(" &amp; $R77 &amp; ")", ""))))</f>
        <v>na</v>
      </c>
      <c r="E77" s="7" t="s">
        <v>195</v>
      </c>
      <c r="F77" s="7" t="s">
        <v>195</v>
      </c>
      <c r="G77" s="7" t="s">
        <v>195</v>
      </c>
      <c r="H77" s="7" t="s">
        <v>195</v>
      </c>
      <c r="I77" s="7" t="s">
        <v>195</v>
      </c>
      <c r="J77" s="7" t="s">
        <v>195</v>
      </c>
      <c r="K77" s="7" t="s">
        <v>195</v>
      </c>
      <c r="L77" s="7" t="s">
        <v>195</v>
      </c>
      <c r="M77" s="7" t="s">
        <v>29</v>
      </c>
      <c r="N77" s="7" t="s">
        <v>29</v>
      </c>
      <c r="O77" s="7" t="s">
        <v>29</v>
      </c>
      <c r="P77" s="7" t="s">
        <v>29</v>
      </c>
      <c r="Q77" s="7" t="s">
        <v>29</v>
      </c>
      <c r="R77" s="7" t="s">
        <v>29</v>
      </c>
      <c r="S77" s="7" t="s">
        <v>29</v>
      </c>
    </row>
    <row r="78" spans="2:19">
      <c r="B78" s="7" t="s">
        <v>195</v>
      </c>
      <c r="C78" s="8" t="s">
        <v>195</v>
      </c>
      <c r="D78" s="5" t="str">
        <f>LRTRIM(CONCATENATE(IF(SUMPRODUCT(-- ISNUMBER(SEARCH({"Auto Number"}, $B78))) &gt; 0, $B78, IF(SUMPRODUCT(-- ISNUMBER(SEARCH({"Lookup","Master-Detail"}, $B78))) &gt; 0,$B78 &amp; "(" &amp; $E78 &amp; ")",IF(SUMPRODUCT(-- ISNUMBER(SEARCH({"Formula","Roll-Up Summary"}, $B78))) &gt; 0,$B78 &amp; " (" &amp; $E78 &amp; ")",IF(SUMPRODUCT(-- ISNUMBER(SEARCH({"Content","Currency","Number","Percent","Text","URL"}, $B78))) &gt; 0,$B78 &amp; "(" &amp; $C78 &amp; ")",$B78)))), "  ", TRIM(IF($S78 = "YES", "(External ID)", "") &amp; " " &amp; IF(SUMPRODUCT(-- ISNUMBER(SEARCH({"Unique","Unique Case Insensitive"}, $R78))) &gt; 0, "(" &amp; $R78 &amp; ")", ""))))</f>
        <v>na</v>
      </c>
      <c r="E78" s="7" t="s">
        <v>195</v>
      </c>
      <c r="F78" s="7" t="s">
        <v>195</v>
      </c>
      <c r="G78" s="7" t="s">
        <v>195</v>
      </c>
      <c r="H78" s="7" t="s">
        <v>195</v>
      </c>
      <c r="I78" s="7" t="s">
        <v>195</v>
      </c>
      <c r="J78" s="7" t="s">
        <v>195</v>
      </c>
      <c r="K78" s="7" t="s">
        <v>195</v>
      </c>
      <c r="L78" s="7" t="s">
        <v>195</v>
      </c>
      <c r="M78" s="7" t="s">
        <v>29</v>
      </c>
      <c r="N78" s="7" t="s">
        <v>29</v>
      </c>
      <c r="O78" s="7" t="s">
        <v>29</v>
      </c>
      <c r="P78" s="7" t="s">
        <v>29</v>
      </c>
      <c r="Q78" s="7" t="s">
        <v>29</v>
      </c>
      <c r="R78" s="7" t="s">
        <v>29</v>
      </c>
      <c r="S78" s="7" t="s">
        <v>29</v>
      </c>
    </row>
    <row r="79" spans="2:19">
      <c r="B79" s="7" t="s">
        <v>195</v>
      </c>
      <c r="C79" s="8" t="s">
        <v>195</v>
      </c>
      <c r="D79" s="5" t="str">
        <f>LRTRIM(CONCATENATE(IF(SUMPRODUCT(-- ISNUMBER(SEARCH({"Auto Number"}, $B79))) &gt; 0, $B79, IF(SUMPRODUCT(-- ISNUMBER(SEARCH({"Lookup","Master-Detail"}, $B79))) &gt; 0,$B79 &amp; "(" &amp; $E79 &amp; ")",IF(SUMPRODUCT(-- ISNUMBER(SEARCH({"Formula","Roll-Up Summary"}, $B79))) &gt; 0,$B79 &amp; " (" &amp; $E79 &amp; ")",IF(SUMPRODUCT(-- ISNUMBER(SEARCH({"Content","Currency","Number","Percent","Text","URL"}, $B79))) &gt; 0,$B79 &amp; "(" &amp; $C79 &amp; ")",$B79)))), "  ", TRIM(IF($S79 = "YES", "(External ID)", "") &amp; " " &amp; IF(SUMPRODUCT(-- ISNUMBER(SEARCH({"Unique","Unique Case Insensitive"}, $R79))) &gt; 0, "(" &amp; $R79 &amp; ")", ""))))</f>
        <v>na</v>
      </c>
      <c r="E79" s="7" t="s">
        <v>195</v>
      </c>
      <c r="F79" s="7" t="s">
        <v>195</v>
      </c>
      <c r="G79" s="7" t="s">
        <v>195</v>
      </c>
      <c r="H79" s="7" t="s">
        <v>195</v>
      </c>
      <c r="I79" s="7" t="s">
        <v>195</v>
      </c>
      <c r="J79" s="7" t="s">
        <v>195</v>
      </c>
      <c r="K79" s="7" t="s">
        <v>195</v>
      </c>
      <c r="L79" s="7" t="s">
        <v>195</v>
      </c>
      <c r="M79" s="7" t="s">
        <v>29</v>
      </c>
      <c r="N79" s="7" t="s">
        <v>29</v>
      </c>
      <c r="O79" s="7" t="s">
        <v>29</v>
      </c>
      <c r="P79" s="7" t="s">
        <v>29</v>
      </c>
      <c r="Q79" s="7" t="s">
        <v>29</v>
      </c>
      <c r="R79" s="7" t="s">
        <v>29</v>
      </c>
      <c r="S79" s="7" t="s">
        <v>29</v>
      </c>
    </row>
    <row r="80" spans="2:19">
      <c r="B80" s="7" t="s">
        <v>195</v>
      </c>
      <c r="C80" s="8" t="s">
        <v>195</v>
      </c>
      <c r="D80" s="5" t="str">
        <f>LRTRIM(CONCATENATE(IF(SUMPRODUCT(-- ISNUMBER(SEARCH({"Auto Number"}, $B80))) &gt; 0, $B80, IF(SUMPRODUCT(-- ISNUMBER(SEARCH({"Lookup","Master-Detail"}, $B80))) &gt; 0,$B80 &amp; "(" &amp; $E80 &amp; ")",IF(SUMPRODUCT(-- ISNUMBER(SEARCH({"Formula","Roll-Up Summary"}, $B80))) &gt; 0,$B80 &amp; " (" &amp; $E80 &amp; ")",IF(SUMPRODUCT(-- ISNUMBER(SEARCH({"Content","Currency","Number","Percent","Text","URL"}, $B80))) &gt; 0,$B80 &amp; "(" &amp; $C80 &amp; ")",$B80)))), "  ", TRIM(IF($S80 = "YES", "(External ID)", "") &amp; " " &amp; IF(SUMPRODUCT(-- ISNUMBER(SEARCH({"Unique","Unique Case Insensitive"}, $R80))) &gt; 0, "(" &amp; $R80 &amp; ")", ""))))</f>
        <v>na</v>
      </c>
      <c r="E80" s="7" t="s">
        <v>195</v>
      </c>
      <c r="F80" s="7" t="s">
        <v>195</v>
      </c>
      <c r="G80" s="7" t="s">
        <v>195</v>
      </c>
      <c r="H80" s="7" t="s">
        <v>195</v>
      </c>
      <c r="I80" s="7" t="s">
        <v>195</v>
      </c>
      <c r="J80" s="7" t="s">
        <v>195</v>
      </c>
      <c r="K80" s="7" t="s">
        <v>195</v>
      </c>
      <c r="L80" s="7" t="s">
        <v>195</v>
      </c>
      <c r="M80" s="7" t="s">
        <v>29</v>
      </c>
      <c r="N80" s="7" t="s">
        <v>29</v>
      </c>
      <c r="O80" s="7" t="s">
        <v>29</v>
      </c>
      <c r="P80" s="7" t="s">
        <v>29</v>
      </c>
      <c r="Q80" s="7" t="s">
        <v>29</v>
      </c>
      <c r="R80" s="7" t="s">
        <v>29</v>
      </c>
      <c r="S80" s="7" t="s">
        <v>29</v>
      </c>
    </row>
    <row r="81" spans="2:19">
      <c r="B81" s="7" t="s">
        <v>195</v>
      </c>
      <c r="C81" s="8" t="s">
        <v>195</v>
      </c>
      <c r="D81" s="5" t="str">
        <f>LRTRIM(CONCATENATE(IF(SUMPRODUCT(-- ISNUMBER(SEARCH({"Auto Number"}, $B81))) &gt; 0, $B81, IF(SUMPRODUCT(-- ISNUMBER(SEARCH({"Lookup","Master-Detail"}, $B81))) &gt; 0,$B81 &amp; "(" &amp; $E81 &amp; ")",IF(SUMPRODUCT(-- ISNUMBER(SEARCH({"Formula","Roll-Up Summary"}, $B81))) &gt; 0,$B81 &amp; " (" &amp; $E81 &amp; ")",IF(SUMPRODUCT(-- ISNUMBER(SEARCH({"Content","Currency","Number","Percent","Text","URL"}, $B81))) &gt; 0,$B81 &amp; "(" &amp; $C81 &amp; ")",$B81)))), "  ", TRIM(IF($S81 = "YES", "(External ID)", "") &amp; " " &amp; IF(SUMPRODUCT(-- ISNUMBER(SEARCH({"Unique","Unique Case Insensitive"}, $R81))) &gt; 0, "(" &amp; $R81 &amp; ")", ""))))</f>
        <v>na</v>
      </c>
      <c r="E81" s="7" t="s">
        <v>195</v>
      </c>
      <c r="F81" s="7" t="s">
        <v>195</v>
      </c>
      <c r="G81" s="7" t="s">
        <v>195</v>
      </c>
      <c r="H81" s="7" t="s">
        <v>195</v>
      </c>
      <c r="I81" s="7" t="s">
        <v>195</v>
      </c>
      <c r="J81" s="7" t="s">
        <v>195</v>
      </c>
      <c r="K81" s="7" t="s">
        <v>195</v>
      </c>
      <c r="L81" s="7" t="s">
        <v>195</v>
      </c>
      <c r="M81" s="7" t="s">
        <v>29</v>
      </c>
      <c r="N81" s="7" t="s">
        <v>29</v>
      </c>
      <c r="O81" s="7" t="s">
        <v>29</v>
      </c>
      <c r="P81" s="7" t="s">
        <v>29</v>
      </c>
      <c r="Q81" s="7" t="s">
        <v>29</v>
      </c>
      <c r="R81" s="7" t="s">
        <v>29</v>
      </c>
      <c r="S81" s="7" t="s">
        <v>29</v>
      </c>
    </row>
    <row r="82" spans="2:19">
      <c r="B82" s="7" t="s">
        <v>195</v>
      </c>
      <c r="C82" s="8" t="s">
        <v>195</v>
      </c>
      <c r="D82" s="5" t="str">
        <f>LRTRIM(CONCATENATE(IF(SUMPRODUCT(-- ISNUMBER(SEARCH({"Auto Number"}, $B82))) &gt; 0, $B82, IF(SUMPRODUCT(-- ISNUMBER(SEARCH({"Lookup","Master-Detail"}, $B82))) &gt; 0,$B82 &amp; "(" &amp; $E82 &amp; ")",IF(SUMPRODUCT(-- ISNUMBER(SEARCH({"Formula","Roll-Up Summary"}, $B82))) &gt; 0,$B82 &amp; " (" &amp; $E82 &amp; ")",IF(SUMPRODUCT(-- ISNUMBER(SEARCH({"Content","Currency","Number","Percent","Text","URL"}, $B82))) &gt; 0,$B82 &amp; "(" &amp; $C82 &amp; ")",$B82)))), "  ", TRIM(IF($S82 = "YES", "(External ID)", "") &amp; " " &amp; IF(SUMPRODUCT(-- ISNUMBER(SEARCH({"Unique","Unique Case Insensitive"}, $R82))) &gt; 0, "(" &amp; $R82 &amp; ")", ""))))</f>
        <v>na</v>
      </c>
      <c r="E82" s="7" t="s">
        <v>195</v>
      </c>
      <c r="F82" s="7" t="s">
        <v>195</v>
      </c>
      <c r="G82" s="7" t="s">
        <v>195</v>
      </c>
      <c r="H82" s="7" t="s">
        <v>195</v>
      </c>
      <c r="I82" s="7" t="s">
        <v>195</v>
      </c>
      <c r="J82" s="7" t="s">
        <v>195</v>
      </c>
      <c r="K82" s="7" t="s">
        <v>195</v>
      </c>
      <c r="L82" s="7" t="s">
        <v>195</v>
      </c>
      <c r="M82" s="7" t="s">
        <v>29</v>
      </c>
      <c r="N82" s="7" t="s">
        <v>29</v>
      </c>
      <c r="O82" s="7" t="s">
        <v>29</v>
      </c>
      <c r="P82" s="7" t="s">
        <v>29</v>
      </c>
      <c r="Q82" s="7" t="s">
        <v>29</v>
      </c>
      <c r="R82" s="7" t="s">
        <v>29</v>
      </c>
      <c r="S82" s="7" t="s">
        <v>29</v>
      </c>
    </row>
    <row r="83" spans="2:19">
      <c r="B83" s="7" t="s">
        <v>195</v>
      </c>
      <c r="C83" s="8" t="s">
        <v>195</v>
      </c>
      <c r="D83" s="5" t="str">
        <f>LRTRIM(CONCATENATE(IF(SUMPRODUCT(-- ISNUMBER(SEARCH({"Auto Number"}, $B83))) &gt; 0, $B83, IF(SUMPRODUCT(-- ISNUMBER(SEARCH({"Lookup","Master-Detail"}, $B83))) &gt; 0,$B83 &amp; "(" &amp; $E83 &amp; ")",IF(SUMPRODUCT(-- ISNUMBER(SEARCH({"Formula","Roll-Up Summary"}, $B83))) &gt; 0,$B83 &amp; " (" &amp; $E83 &amp; ")",IF(SUMPRODUCT(-- ISNUMBER(SEARCH({"Content","Currency","Number","Percent","Text","URL"}, $B83))) &gt; 0,$B83 &amp; "(" &amp; $C83 &amp; ")",$B83)))), "  ", TRIM(IF($S83 = "YES", "(External ID)", "") &amp; " " &amp; IF(SUMPRODUCT(-- ISNUMBER(SEARCH({"Unique","Unique Case Insensitive"}, $R83))) &gt; 0, "(" &amp; $R83 &amp; ")", ""))))</f>
        <v>na</v>
      </c>
      <c r="E83" s="7" t="s">
        <v>195</v>
      </c>
      <c r="F83" s="7" t="s">
        <v>195</v>
      </c>
      <c r="G83" s="7" t="s">
        <v>195</v>
      </c>
      <c r="H83" s="7" t="s">
        <v>195</v>
      </c>
      <c r="I83" s="7" t="s">
        <v>195</v>
      </c>
      <c r="J83" s="7" t="s">
        <v>195</v>
      </c>
      <c r="K83" s="7" t="s">
        <v>195</v>
      </c>
      <c r="L83" s="7" t="s">
        <v>195</v>
      </c>
      <c r="M83" s="7" t="s">
        <v>29</v>
      </c>
      <c r="N83" s="7" t="s">
        <v>29</v>
      </c>
      <c r="O83" s="7" t="s">
        <v>29</v>
      </c>
      <c r="P83" s="7" t="s">
        <v>29</v>
      </c>
      <c r="Q83" s="7" t="s">
        <v>29</v>
      </c>
      <c r="R83" s="7" t="s">
        <v>29</v>
      </c>
      <c r="S83" s="7" t="s">
        <v>29</v>
      </c>
    </row>
    <row r="84" spans="2:19">
      <c r="B84" s="7" t="s">
        <v>195</v>
      </c>
      <c r="C84" s="8" t="s">
        <v>195</v>
      </c>
      <c r="D84" s="5" t="str">
        <f>LRTRIM(CONCATENATE(IF(SUMPRODUCT(-- ISNUMBER(SEARCH({"Auto Number"}, $B84))) &gt; 0, $B84, IF(SUMPRODUCT(-- ISNUMBER(SEARCH({"Lookup","Master-Detail"}, $B84))) &gt; 0,$B84 &amp; "(" &amp; $E84 &amp; ")",IF(SUMPRODUCT(-- ISNUMBER(SEARCH({"Formula","Roll-Up Summary"}, $B84))) &gt; 0,$B84 &amp; " (" &amp; $E84 &amp; ")",IF(SUMPRODUCT(-- ISNUMBER(SEARCH({"Content","Currency","Number","Percent","Text","URL"}, $B84))) &gt; 0,$B84 &amp; "(" &amp; $C84 &amp; ")",$B84)))), "  ", TRIM(IF($S84 = "YES", "(External ID)", "") &amp; " " &amp; IF(SUMPRODUCT(-- ISNUMBER(SEARCH({"Unique","Unique Case Insensitive"}, $R84))) &gt; 0, "(" &amp; $R84 &amp; ")", ""))))</f>
        <v>na</v>
      </c>
      <c r="E84" s="7" t="s">
        <v>195</v>
      </c>
      <c r="F84" s="7" t="s">
        <v>195</v>
      </c>
      <c r="G84" s="7" t="s">
        <v>195</v>
      </c>
      <c r="H84" s="7" t="s">
        <v>195</v>
      </c>
      <c r="I84" s="7" t="s">
        <v>195</v>
      </c>
      <c r="J84" s="7" t="s">
        <v>195</v>
      </c>
      <c r="K84" s="7" t="s">
        <v>195</v>
      </c>
      <c r="L84" s="7" t="s">
        <v>195</v>
      </c>
      <c r="M84" s="7" t="s">
        <v>29</v>
      </c>
      <c r="N84" s="7" t="s">
        <v>29</v>
      </c>
      <c r="O84" s="7" t="s">
        <v>29</v>
      </c>
      <c r="P84" s="7" t="s">
        <v>29</v>
      </c>
      <c r="Q84" s="7" t="s">
        <v>29</v>
      </c>
      <c r="R84" s="7" t="s">
        <v>29</v>
      </c>
      <c r="S84" s="7" t="s">
        <v>29</v>
      </c>
    </row>
    <row r="85" spans="2:19">
      <c r="B85" s="7" t="s">
        <v>195</v>
      </c>
      <c r="C85" s="8" t="s">
        <v>195</v>
      </c>
      <c r="D85" s="5" t="str">
        <f>LRTRIM(CONCATENATE(IF(SUMPRODUCT(-- ISNUMBER(SEARCH({"Auto Number"}, $B85))) &gt; 0, $B85, IF(SUMPRODUCT(-- ISNUMBER(SEARCH({"Lookup","Master-Detail"}, $B85))) &gt; 0,$B85 &amp; "(" &amp; $E85 &amp; ")",IF(SUMPRODUCT(-- ISNUMBER(SEARCH({"Formula","Roll-Up Summary"}, $B85))) &gt; 0,$B85 &amp; " (" &amp; $E85 &amp; ")",IF(SUMPRODUCT(-- ISNUMBER(SEARCH({"Content","Currency","Number","Percent","Text","URL"}, $B85))) &gt; 0,$B85 &amp; "(" &amp; $C85 &amp; ")",$B85)))), "  ", TRIM(IF($S85 = "YES", "(External ID)", "") &amp; " " &amp; IF(SUMPRODUCT(-- ISNUMBER(SEARCH({"Unique","Unique Case Insensitive"}, $R85))) &gt; 0, "(" &amp; $R85 &amp; ")", ""))))</f>
        <v>na</v>
      </c>
      <c r="E85" s="7" t="s">
        <v>195</v>
      </c>
      <c r="F85" s="7" t="s">
        <v>195</v>
      </c>
      <c r="G85" s="7" t="s">
        <v>195</v>
      </c>
      <c r="H85" s="7" t="s">
        <v>195</v>
      </c>
      <c r="I85" s="7" t="s">
        <v>195</v>
      </c>
      <c r="J85" s="7" t="s">
        <v>195</v>
      </c>
      <c r="K85" s="7" t="s">
        <v>195</v>
      </c>
      <c r="L85" s="7" t="s">
        <v>195</v>
      </c>
      <c r="M85" s="7" t="s">
        <v>29</v>
      </c>
      <c r="N85" s="7" t="s">
        <v>29</v>
      </c>
      <c r="O85" s="7" t="s">
        <v>29</v>
      </c>
      <c r="P85" s="7" t="s">
        <v>29</v>
      </c>
      <c r="Q85" s="7" t="s">
        <v>29</v>
      </c>
      <c r="R85" s="7" t="s">
        <v>29</v>
      </c>
      <c r="S85" s="7" t="s">
        <v>29</v>
      </c>
    </row>
    <row r="86" spans="2:19">
      <c r="B86" s="7" t="s">
        <v>195</v>
      </c>
      <c r="C86" s="8" t="s">
        <v>195</v>
      </c>
      <c r="D86" s="5" t="str">
        <f>LRTRIM(CONCATENATE(IF(SUMPRODUCT(-- ISNUMBER(SEARCH({"Auto Number"}, $B86))) &gt; 0, $B86, IF(SUMPRODUCT(-- ISNUMBER(SEARCH({"Lookup","Master-Detail"}, $B86))) &gt; 0,$B86 &amp; "(" &amp; $E86 &amp; ")",IF(SUMPRODUCT(-- ISNUMBER(SEARCH({"Formula","Roll-Up Summary"}, $B86))) &gt; 0,$B86 &amp; " (" &amp; $E86 &amp; ")",IF(SUMPRODUCT(-- ISNUMBER(SEARCH({"Content","Currency","Number","Percent","Text","URL"}, $B86))) &gt; 0,$B86 &amp; "(" &amp; $C86 &amp; ")",$B86)))), "  ", TRIM(IF($S86 = "YES", "(External ID)", "") &amp; " " &amp; IF(SUMPRODUCT(-- ISNUMBER(SEARCH({"Unique","Unique Case Insensitive"}, $R86))) &gt; 0, "(" &amp; $R86 &amp; ")", ""))))</f>
        <v>na</v>
      </c>
      <c r="E86" s="7" t="s">
        <v>195</v>
      </c>
      <c r="F86" s="7" t="s">
        <v>195</v>
      </c>
      <c r="G86" s="7" t="s">
        <v>195</v>
      </c>
      <c r="H86" s="7" t="s">
        <v>195</v>
      </c>
      <c r="I86" s="7" t="s">
        <v>195</v>
      </c>
      <c r="J86" s="7" t="s">
        <v>195</v>
      </c>
      <c r="K86" s="7" t="s">
        <v>195</v>
      </c>
      <c r="L86" s="7" t="s">
        <v>195</v>
      </c>
      <c r="M86" s="7" t="s">
        <v>29</v>
      </c>
      <c r="N86" s="7" t="s">
        <v>29</v>
      </c>
      <c r="O86" s="7" t="s">
        <v>29</v>
      </c>
      <c r="P86" s="7" t="s">
        <v>29</v>
      </c>
      <c r="Q86" s="7" t="s">
        <v>29</v>
      </c>
      <c r="R86" s="7" t="s">
        <v>29</v>
      </c>
      <c r="S86" s="7" t="s">
        <v>29</v>
      </c>
    </row>
    <row r="87" spans="2:19">
      <c r="B87" s="7" t="s">
        <v>195</v>
      </c>
      <c r="C87" s="8" t="s">
        <v>195</v>
      </c>
      <c r="D87" s="5" t="str">
        <f>LRTRIM(CONCATENATE(IF(SUMPRODUCT(-- ISNUMBER(SEARCH({"Auto Number"}, $B87))) &gt; 0, $B87, IF(SUMPRODUCT(-- ISNUMBER(SEARCH({"Lookup","Master-Detail"}, $B87))) &gt; 0,$B87 &amp; "(" &amp; $E87 &amp; ")",IF(SUMPRODUCT(-- ISNUMBER(SEARCH({"Formula","Roll-Up Summary"}, $B87))) &gt; 0,$B87 &amp; " (" &amp; $E87 &amp; ")",IF(SUMPRODUCT(-- ISNUMBER(SEARCH({"Content","Currency","Number","Percent","Text","URL"}, $B87))) &gt; 0,$B87 &amp; "(" &amp; $C87 &amp; ")",$B87)))), "  ", TRIM(IF($S87 = "YES", "(External ID)", "") &amp; " " &amp; IF(SUMPRODUCT(-- ISNUMBER(SEARCH({"Unique","Unique Case Insensitive"}, $R87))) &gt; 0, "(" &amp; $R87 &amp; ")", ""))))</f>
        <v>na</v>
      </c>
      <c r="E87" s="7" t="s">
        <v>195</v>
      </c>
      <c r="F87" s="7" t="s">
        <v>195</v>
      </c>
      <c r="G87" s="7" t="s">
        <v>195</v>
      </c>
      <c r="H87" s="7" t="s">
        <v>195</v>
      </c>
      <c r="I87" s="7" t="s">
        <v>195</v>
      </c>
      <c r="J87" s="7" t="s">
        <v>195</v>
      </c>
      <c r="K87" s="7" t="s">
        <v>195</v>
      </c>
      <c r="L87" s="7" t="s">
        <v>195</v>
      </c>
      <c r="M87" s="7" t="s">
        <v>29</v>
      </c>
      <c r="N87" s="7" t="s">
        <v>29</v>
      </c>
      <c r="O87" s="7" t="s">
        <v>29</v>
      </c>
      <c r="P87" s="7" t="s">
        <v>29</v>
      </c>
      <c r="Q87" s="7" t="s">
        <v>29</v>
      </c>
      <c r="R87" s="7" t="s">
        <v>29</v>
      </c>
      <c r="S87" s="7" t="s">
        <v>29</v>
      </c>
    </row>
    <row r="88" spans="2:19">
      <c r="B88" s="7" t="s">
        <v>195</v>
      </c>
      <c r="C88" s="8" t="s">
        <v>195</v>
      </c>
      <c r="D88" s="5" t="str">
        <f>LRTRIM(CONCATENATE(IF(SUMPRODUCT(-- ISNUMBER(SEARCH({"Auto Number"}, $B88))) &gt; 0, $B88, IF(SUMPRODUCT(-- ISNUMBER(SEARCH({"Lookup","Master-Detail"}, $B88))) &gt; 0,$B88 &amp; "(" &amp; $E88 &amp; ")",IF(SUMPRODUCT(-- ISNUMBER(SEARCH({"Formula","Roll-Up Summary"}, $B88))) &gt; 0,$B88 &amp; " (" &amp; $E88 &amp; ")",IF(SUMPRODUCT(-- ISNUMBER(SEARCH({"Content","Currency","Number","Percent","Text","URL"}, $B88))) &gt; 0,$B88 &amp; "(" &amp; $C88 &amp; ")",$B88)))), "  ", TRIM(IF($S88 = "YES", "(External ID)", "") &amp; " " &amp; IF(SUMPRODUCT(-- ISNUMBER(SEARCH({"Unique","Unique Case Insensitive"}, $R88))) &gt; 0, "(" &amp; $R88 &amp; ")", ""))))</f>
        <v>na</v>
      </c>
      <c r="E88" s="7" t="s">
        <v>195</v>
      </c>
      <c r="F88" s="7" t="s">
        <v>195</v>
      </c>
      <c r="G88" s="7" t="s">
        <v>195</v>
      </c>
      <c r="H88" s="7" t="s">
        <v>195</v>
      </c>
      <c r="I88" s="7" t="s">
        <v>195</v>
      </c>
      <c r="J88" s="7" t="s">
        <v>195</v>
      </c>
      <c r="K88" s="7" t="s">
        <v>195</v>
      </c>
      <c r="L88" s="7" t="s">
        <v>195</v>
      </c>
      <c r="M88" s="7" t="s">
        <v>29</v>
      </c>
      <c r="N88" s="7" t="s">
        <v>29</v>
      </c>
      <c r="O88" s="7" t="s">
        <v>29</v>
      </c>
      <c r="P88" s="7" t="s">
        <v>29</v>
      </c>
      <c r="Q88" s="7" t="s">
        <v>29</v>
      </c>
      <c r="R88" s="7" t="s">
        <v>29</v>
      </c>
      <c r="S88" s="7" t="s">
        <v>29</v>
      </c>
    </row>
    <row r="89" spans="2:19">
      <c r="B89" s="7" t="s">
        <v>195</v>
      </c>
      <c r="C89" s="8" t="s">
        <v>195</v>
      </c>
      <c r="D89" s="5" t="str">
        <f>LRTRIM(CONCATENATE(IF(SUMPRODUCT(-- ISNUMBER(SEARCH({"Auto Number"}, $B89))) &gt; 0, $B89, IF(SUMPRODUCT(-- ISNUMBER(SEARCH({"Lookup","Master-Detail"}, $B89))) &gt; 0,$B89 &amp; "(" &amp; $E89 &amp; ")",IF(SUMPRODUCT(-- ISNUMBER(SEARCH({"Formula","Roll-Up Summary"}, $B89))) &gt; 0,$B89 &amp; " (" &amp; $E89 &amp; ")",IF(SUMPRODUCT(-- ISNUMBER(SEARCH({"Content","Currency","Number","Percent","Text","URL"}, $B89))) &gt; 0,$B89 &amp; "(" &amp; $C89 &amp; ")",$B89)))), "  ", TRIM(IF($S89 = "YES", "(External ID)", "") &amp; " " &amp; IF(SUMPRODUCT(-- ISNUMBER(SEARCH({"Unique","Unique Case Insensitive"}, $R89))) &gt; 0, "(" &amp; $R89 &amp; ")", ""))))</f>
        <v>na</v>
      </c>
      <c r="E89" s="7" t="s">
        <v>195</v>
      </c>
      <c r="F89" s="7" t="s">
        <v>195</v>
      </c>
      <c r="G89" s="7" t="s">
        <v>195</v>
      </c>
      <c r="H89" s="7" t="s">
        <v>195</v>
      </c>
      <c r="I89" s="7" t="s">
        <v>195</v>
      </c>
      <c r="J89" s="7" t="s">
        <v>195</v>
      </c>
      <c r="K89" s="7" t="s">
        <v>195</v>
      </c>
      <c r="L89" s="7" t="s">
        <v>195</v>
      </c>
      <c r="M89" s="7" t="s">
        <v>29</v>
      </c>
      <c r="N89" s="7" t="s">
        <v>29</v>
      </c>
      <c r="O89" s="7" t="s">
        <v>29</v>
      </c>
      <c r="P89" s="7" t="s">
        <v>29</v>
      </c>
      <c r="Q89" s="7" t="s">
        <v>29</v>
      </c>
      <c r="R89" s="7" t="s">
        <v>29</v>
      </c>
      <c r="S89" s="7" t="s">
        <v>29</v>
      </c>
    </row>
    <row r="90" spans="2:19">
      <c r="B90" s="7" t="s">
        <v>195</v>
      </c>
      <c r="C90" s="8" t="s">
        <v>195</v>
      </c>
      <c r="D90" s="5" t="str">
        <f>LRTRIM(CONCATENATE(IF(SUMPRODUCT(-- ISNUMBER(SEARCH({"Auto Number"}, $B90))) &gt; 0, $B90, IF(SUMPRODUCT(-- ISNUMBER(SEARCH({"Lookup","Master-Detail"}, $B90))) &gt; 0,$B90 &amp; "(" &amp; $E90 &amp; ")",IF(SUMPRODUCT(-- ISNUMBER(SEARCH({"Formula","Roll-Up Summary"}, $B90))) &gt; 0,$B90 &amp; " (" &amp; $E90 &amp; ")",IF(SUMPRODUCT(-- ISNUMBER(SEARCH({"Content","Currency","Number","Percent","Text","URL"}, $B90))) &gt; 0,$B90 &amp; "(" &amp; $C90 &amp; ")",$B90)))), "  ", TRIM(IF($S90 = "YES", "(External ID)", "") &amp; " " &amp; IF(SUMPRODUCT(-- ISNUMBER(SEARCH({"Unique","Unique Case Insensitive"}, $R90))) &gt; 0, "(" &amp; $R90 &amp; ")", ""))))</f>
        <v>na</v>
      </c>
      <c r="E90" s="7" t="s">
        <v>195</v>
      </c>
      <c r="F90" s="7" t="s">
        <v>195</v>
      </c>
      <c r="G90" s="7" t="s">
        <v>195</v>
      </c>
      <c r="H90" s="7" t="s">
        <v>195</v>
      </c>
      <c r="I90" s="7" t="s">
        <v>195</v>
      </c>
      <c r="J90" s="7" t="s">
        <v>195</v>
      </c>
      <c r="K90" s="7" t="s">
        <v>195</v>
      </c>
      <c r="L90" s="7" t="s">
        <v>195</v>
      </c>
      <c r="M90" s="7" t="s">
        <v>29</v>
      </c>
      <c r="N90" s="7" t="s">
        <v>29</v>
      </c>
      <c r="O90" s="7" t="s">
        <v>29</v>
      </c>
      <c r="P90" s="7" t="s">
        <v>29</v>
      </c>
      <c r="Q90" s="7" t="s">
        <v>29</v>
      </c>
      <c r="R90" s="7" t="s">
        <v>29</v>
      </c>
      <c r="S90" s="7" t="s">
        <v>29</v>
      </c>
    </row>
    <row r="91" spans="2:19">
      <c r="B91" s="7" t="s">
        <v>195</v>
      </c>
      <c r="C91" s="8" t="s">
        <v>195</v>
      </c>
      <c r="D91" s="5" t="str">
        <f>LRTRIM(CONCATENATE(IF(SUMPRODUCT(-- ISNUMBER(SEARCH({"Auto Number"}, $B91))) &gt; 0, $B91, IF(SUMPRODUCT(-- ISNUMBER(SEARCH({"Lookup","Master-Detail"}, $B91))) &gt; 0,$B91 &amp; "(" &amp; $E91 &amp; ")",IF(SUMPRODUCT(-- ISNUMBER(SEARCH({"Formula","Roll-Up Summary"}, $B91))) &gt; 0,$B91 &amp; " (" &amp; $E91 &amp; ")",IF(SUMPRODUCT(-- ISNUMBER(SEARCH({"Content","Currency","Number","Percent","Text","URL"}, $B91))) &gt; 0,$B91 &amp; "(" &amp; $C91 &amp; ")",$B91)))), "  ", TRIM(IF($S91 = "YES", "(External ID)", "") &amp; " " &amp; IF(SUMPRODUCT(-- ISNUMBER(SEARCH({"Unique","Unique Case Insensitive"}, $R91))) &gt; 0, "(" &amp; $R91 &amp; ")", ""))))</f>
        <v>na</v>
      </c>
      <c r="E91" s="7" t="s">
        <v>195</v>
      </c>
      <c r="F91" s="7" t="s">
        <v>195</v>
      </c>
      <c r="G91" s="7" t="s">
        <v>195</v>
      </c>
      <c r="H91" s="7" t="s">
        <v>195</v>
      </c>
      <c r="I91" s="7" t="s">
        <v>195</v>
      </c>
      <c r="J91" s="7" t="s">
        <v>195</v>
      </c>
      <c r="K91" s="7" t="s">
        <v>195</v>
      </c>
      <c r="L91" s="7" t="s">
        <v>195</v>
      </c>
      <c r="M91" s="7" t="s">
        <v>29</v>
      </c>
      <c r="N91" s="7" t="s">
        <v>29</v>
      </c>
      <c r="O91" s="7" t="s">
        <v>29</v>
      </c>
      <c r="P91" s="7" t="s">
        <v>29</v>
      </c>
      <c r="Q91" s="7" t="s">
        <v>29</v>
      </c>
      <c r="R91" s="7" t="s">
        <v>29</v>
      </c>
      <c r="S91" s="7" t="s">
        <v>29</v>
      </c>
    </row>
    <row r="92" spans="2:19">
      <c r="B92" s="7" t="s">
        <v>195</v>
      </c>
      <c r="C92" s="8" t="s">
        <v>195</v>
      </c>
      <c r="D92" s="5" t="str">
        <f>LRTRIM(CONCATENATE(IF(SUMPRODUCT(-- ISNUMBER(SEARCH({"Auto Number"}, $B92))) &gt; 0, $B92, IF(SUMPRODUCT(-- ISNUMBER(SEARCH({"Lookup","Master-Detail"}, $B92))) &gt; 0,$B92 &amp; "(" &amp; $E92 &amp; ")",IF(SUMPRODUCT(-- ISNUMBER(SEARCH({"Formula","Roll-Up Summary"}, $B92))) &gt; 0,$B92 &amp; " (" &amp; $E92 &amp; ")",IF(SUMPRODUCT(-- ISNUMBER(SEARCH({"Content","Currency","Number","Percent","Text","URL"}, $B92))) &gt; 0,$B92 &amp; "(" &amp; $C92 &amp; ")",$B92)))), "  ", TRIM(IF($S92 = "YES", "(External ID)", "") &amp; " " &amp; IF(SUMPRODUCT(-- ISNUMBER(SEARCH({"Unique","Unique Case Insensitive"}, $R92))) &gt; 0, "(" &amp; $R92 &amp; ")", ""))))</f>
        <v>na</v>
      </c>
      <c r="E92" s="7" t="s">
        <v>195</v>
      </c>
      <c r="F92" s="7" t="s">
        <v>195</v>
      </c>
      <c r="G92" s="7" t="s">
        <v>195</v>
      </c>
      <c r="H92" s="7" t="s">
        <v>195</v>
      </c>
      <c r="I92" s="7" t="s">
        <v>195</v>
      </c>
      <c r="J92" s="7" t="s">
        <v>195</v>
      </c>
      <c r="K92" s="7" t="s">
        <v>195</v>
      </c>
      <c r="L92" s="7" t="s">
        <v>195</v>
      </c>
      <c r="M92" s="7" t="s">
        <v>29</v>
      </c>
      <c r="N92" s="7" t="s">
        <v>29</v>
      </c>
      <c r="O92" s="7" t="s">
        <v>29</v>
      </c>
      <c r="P92" s="7" t="s">
        <v>29</v>
      </c>
      <c r="Q92" s="7" t="s">
        <v>29</v>
      </c>
      <c r="R92" s="7" t="s">
        <v>29</v>
      </c>
      <c r="S92" s="7" t="s">
        <v>29</v>
      </c>
    </row>
    <row r="93" spans="2:19">
      <c r="B93" s="7" t="s">
        <v>195</v>
      </c>
      <c r="C93" s="8" t="s">
        <v>195</v>
      </c>
      <c r="D93" s="5" t="str">
        <f>LRTRIM(CONCATENATE(IF(SUMPRODUCT(-- ISNUMBER(SEARCH({"Auto Number"}, $B93))) &gt; 0, $B93, IF(SUMPRODUCT(-- ISNUMBER(SEARCH({"Lookup","Master-Detail"}, $B93))) &gt; 0,$B93 &amp; "(" &amp; $E93 &amp; ")",IF(SUMPRODUCT(-- ISNUMBER(SEARCH({"Formula","Roll-Up Summary"}, $B93))) &gt; 0,$B93 &amp; " (" &amp; $E93 &amp; ")",IF(SUMPRODUCT(-- ISNUMBER(SEARCH({"Content","Currency","Number","Percent","Text","URL"}, $B93))) &gt; 0,$B93 &amp; "(" &amp; $C93 &amp; ")",$B93)))), "  ", TRIM(IF($S93 = "YES", "(External ID)", "") &amp; " " &amp; IF(SUMPRODUCT(-- ISNUMBER(SEARCH({"Unique","Unique Case Insensitive"}, $R93))) &gt; 0, "(" &amp; $R93 &amp; ")", ""))))</f>
        <v>na</v>
      </c>
      <c r="E93" s="7" t="s">
        <v>195</v>
      </c>
      <c r="F93" s="7" t="s">
        <v>195</v>
      </c>
      <c r="G93" s="7" t="s">
        <v>195</v>
      </c>
      <c r="H93" s="7" t="s">
        <v>195</v>
      </c>
      <c r="I93" s="7" t="s">
        <v>195</v>
      </c>
      <c r="J93" s="7" t="s">
        <v>195</v>
      </c>
      <c r="K93" s="7" t="s">
        <v>195</v>
      </c>
      <c r="L93" s="7" t="s">
        <v>195</v>
      </c>
      <c r="M93" s="7" t="s">
        <v>29</v>
      </c>
      <c r="N93" s="7" t="s">
        <v>29</v>
      </c>
      <c r="O93" s="7" t="s">
        <v>29</v>
      </c>
      <c r="P93" s="7" t="s">
        <v>29</v>
      </c>
      <c r="Q93" s="7" t="s">
        <v>29</v>
      </c>
      <c r="R93" s="7" t="s">
        <v>29</v>
      </c>
      <c r="S93" s="7" t="s">
        <v>29</v>
      </c>
    </row>
    <row r="94" spans="2:19">
      <c r="B94" s="7" t="s">
        <v>195</v>
      </c>
      <c r="C94" s="8" t="s">
        <v>195</v>
      </c>
      <c r="D94" s="5" t="str">
        <f>LRTRIM(CONCATENATE(IF(SUMPRODUCT(-- ISNUMBER(SEARCH({"Auto Number"}, $B94))) &gt; 0, $B94, IF(SUMPRODUCT(-- ISNUMBER(SEARCH({"Lookup","Master-Detail"}, $B94))) &gt; 0,$B94 &amp; "(" &amp; $E94 &amp; ")",IF(SUMPRODUCT(-- ISNUMBER(SEARCH({"Formula","Roll-Up Summary"}, $B94))) &gt; 0,$B94 &amp; " (" &amp; $E94 &amp; ")",IF(SUMPRODUCT(-- ISNUMBER(SEARCH({"Content","Currency","Number","Percent","Text","URL"}, $B94))) &gt; 0,$B94 &amp; "(" &amp; $C94 &amp; ")",$B94)))), "  ", TRIM(IF($S94 = "YES", "(External ID)", "") &amp; " " &amp; IF(SUMPRODUCT(-- ISNUMBER(SEARCH({"Unique","Unique Case Insensitive"}, $R94))) &gt; 0, "(" &amp; $R94 &amp; ")", ""))))</f>
        <v>na</v>
      </c>
      <c r="E94" s="7" t="s">
        <v>195</v>
      </c>
      <c r="F94" s="7" t="s">
        <v>195</v>
      </c>
      <c r="G94" s="7" t="s">
        <v>195</v>
      </c>
      <c r="H94" s="7" t="s">
        <v>195</v>
      </c>
      <c r="I94" s="7" t="s">
        <v>195</v>
      </c>
      <c r="J94" s="7" t="s">
        <v>195</v>
      </c>
      <c r="K94" s="7" t="s">
        <v>195</v>
      </c>
      <c r="L94" s="7" t="s">
        <v>195</v>
      </c>
      <c r="M94" s="7" t="s">
        <v>29</v>
      </c>
      <c r="N94" s="7" t="s">
        <v>29</v>
      </c>
      <c r="O94" s="7" t="s">
        <v>29</v>
      </c>
      <c r="P94" s="7" t="s">
        <v>29</v>
      </c>
      <c r="Q94" s="7" t="s">
        <v>29</v>
      </c>
      <c r="R94" s="7" t="s">
        <v>29</v>
      </c>
      <c r="S94" s="7" t="s">
        <v>29</v>
      </c>
    </row>
    <row r="95" spans="2:19">
      <c r="B95" s="7" t="s">
        <v>195</v>
      </c>
      <c r="C95" s="8" t="s">
        <v>195</v>
      </c>
      <c r="D95" s="5" t="str">
        <f>LRTRIM(CONCATENATE(IF(SUMPRODUCT(-- ISNUMBER(SEARCH({"Auto Number"}, $B95))) &gt; 0, $B95, IF(SUMPRODUCT(-- ISNUMBER(SEARCH({"Lookup","Master-Detail"}, $B95))) &gt; 0,$B95 &amp; "(" &amp; $E95 &amp; ")",IF(SUMPRODUCT(-- ISNUMBER(SEARCH({"Formula","Roll-Up Summary"}, $B95))) &gt; 0,$B95 &amp; " (" &amp; $E95 &amp; ")",IF(SUMPRODUCT(-- ISNUMBER(SEARCH({"Content","Currency","Number","Percent","Text","URL"}, $B95))) &gt; 0,$B95 &amp; "(" &amp; $C95 &amp; ")",$B95)))), "  ", TRIM(IF($S95 = "YES", "(External ID)", "") &amp; " " &amp; IF(SUMPRODUCT(-- ISNUMBER(SEARCH({"Unique","Unique Case Insensitive"}, $R95))) &gt; 0, "(" &amp; $R95 &amp; ")", ""))))</f>
        <v>na</v>
      </c>
      <c r="E95" s="7" t="s">
        <v>195</v>
      </c>
      <c r="F95" s="7" t="s">
        <v>195</v>
      </c>
      <c r="G95" s="7" t="s">
        <v>195</v>
      </c>
      <c r="H95" s="7" t="s">
        <v>195</v>
      </c>
      <c r="I95" s="7" t="s">
        <v>195</v>
      </c>
      <c r="J95" s="7" t="s">
        <v>195</v>
      </c>
      <c r="K95" s="7" t="s">
        <v>195</v>
      </c>
      <c r="L95" s="7" t="s">
        <v>195</v>
      </c>
      <c r="M95" s="7" t="s">
        <v>29</v>
      </c>
      <c r="N95" s="7" t="s">
        <v>29</v>
      </c>
      <c r="O95" s="7" t="s">
        <v>29</v>
      </c>
      <c r="P95" s="7" t="s">
        <v>29</v>
      </c>
      <c r="Q95" s="7" t="s">
        <v>29</v>
      </c>
      <c r="R95" s="7" t="s">
        <v>29</v>
      </c>
      <c r="S95" s="7" t="s">
        <v>29</v>
      </c>
    </row>
    <row r="96" spans="2:19">
      <c r="B96" s="7" t="s">
        <v>195</v>
      </c>
      <c r="C96" s="8" t="s">
        <v>195</v>
      </c>
      <c r="D96" s="5" t="str">
        <f>LRTRIM(CONCATENATE(IF(SUMPRODUCT(-- ISNUMBER(SEARCH({"Auto Number"}, $B96))) &gt; 0, $B96, IF(SUMPRODUCT(-- ISNUMBER(SEARCH({"Lookup","Master-Detail"}, $B96))) &gt; 0,$B96 &amp; "(" &amp; $E96 &amp; ")",IF(SUMPRODUCT(-- ISNUMBER(SEARCH({"Formula","Roll-Up Summary"}, $B96))) &gt; 0,$B96 &amp; " (" &amp; $E96 &amp; ")",IF(SUMPRODUCT(-- ISNUMBER(SEARCH({"Content","Currency","Number","Percent","Text","URL"}, $B96))) &gt; 0,$B96 &amp; "(" &amp; $C96 &amp; ")",$B96)))), "  ", TRIM(IF($S96 = "YES", "(External ID)", "") &amp; " " &amp; IF(SUMPRODUCT(-- ISNUMBER(SEARCH({"Unique","Unique Case Insensitive"}, $R96))) &gt; 0, "(" &amp; $R96 &amp; ")", ""))))</f>
        <v>na</v>
      </c>
      <c r="E96" s="7" t="s">
        <v>195</v>
      </c>
      <c r="F96" s="7" t="s">
        <v>195</v>
      </c>
      <c r="G96" s="7" t="s">
        <v>195</v>
      </c>
      <c r="H96" s="7" t="s">
        <v>195</v>
      </c>
      <c r="I96" s="7" t="s">
        <v>195</v>
      </c>
      <c r="J96" s="7" t="s">
        <v>195</v>
      </c>
      <c r="K96" s="7" t="s">
        <v>195</v>
      </c>
      <c r="L96" s="7" t="s">
        <v>195</v>
      </c>
      <c r="M96" s="7" t="s">
        <v>29</v>
      </c>
      <c r="N96" s="7" t="s">
        <v>29</v>
      </c>
      <c r="O96" s="7" t="s">
        <v>29</v>
      </c>
      <c r="P96" s="7" t="s">
        <v>29</v>
      </c>
      <c r="Q96" s="7" t="s">
        <v>29</v>
      </c>
      <c r="R96" s="7" t="s">
        <v>29</v>
      </c>
      <c r="S96" s="7" t="s">
        <v>29</v>
      </c>
    </row>
    <row r="97" spans="2:19">
      <c r="B97" s="7" t="s">
        <v>195</v>
      </c>
      <c r="C97" s="8" t="s">
        <v>195</v>
      </c>
      <c r="D97" s="5" t="str">
        <f>LRTRIM(CONCATENATE(IF(SUMPRODUCT(-- ISNUMBER(SEARCH({"Auto Number"}, $B97))) &gt; 0, $B97, IF(SUMPRODUCT(-- ISNUMBER(SEARCH({"Lookup","Master-Detail"}, $B97))) &gt; 0,$B97 &amp; "(" &amp; $E97 &amp; ")",IF(SUMPRODUCT(-- ISNUMBER(SEARCH({"Formula","Roll-Up Summary"}, $B97))) &gt; 0,$B97 &amp; " (" &amp; $E97 &amp; ")",IF(SUMPRODUCT(-- ISNUMBER(SEARCH({"Content","Currency","Number","Percent","Text","URL"}, $B97))) &gt; 0,$B97 &amp; "(" &amp; $C97 &amp; ")",$B97)))), "  ", TRIM(IF($S97 = "YES", "(External ID)", "") &amp; " " &amp; IF(SUMPRODUCT(-- ISNUMBER(SEARCH({"Unique","Unique Case Insensitive"}, $R97))) &gt; 0, "(" &amp; $R97 &amp; ")", ""))))</f>
        <v>na</v>
      </c>
      <c r="E97" s="7" t="s">
        <v>195</v>
      </c>
      <c r="F97" s="7" t="s">
        <v>195</v>
      </c>
      <c r="G97" s="7" t="s">
        <v>195</v>
      </c>
      <c r="H97" s="7" t="s">
        <v>195</v>
      </c>
      <c r="I97" s="7" t="s">
        <v>195</v>
      </c>
      <c r="J97" s="7" t="s">
        <v>195</v>
      </c>
      <c r="K97" s="7" t="s">
        <v>195</v>
      </c>
      <c r="L97" s="7" t="s">
        <v>195</v>
      </c>
      <c r="M97" s="7" t="s">
        <v>29</v>
      </c>
      <c r="N97" s="7" t="s">
        <v>29</v>
      </c>
      <c r="O97" s="7" t="s">
        <v>29</v>
      </c>
      <c r="P97" s="7" t="s">
        <v>29</v>
      </c>
      <c r="Q97" s="7" t="s">
        <v>29</v>
      </c>
      <c r="R97" s="7" t="s">
        <v>29</v>
      </c>
      <c r="S97" s="7" t="s">
        <v>29</v>
      </c>
    </row>
    <row r="98" spans="2:19">
      <c r="B98" s="7" t="s">
        <v>195</v>
      </c>
      <c r="C98" s="8" t="s">
        <v>195</v>
      </c>
      <c r="D98" s="5" t="str">
        <f>LRTRIM(CONCATENATE(IF(SUMPRODUCT(-- ISNUMBER(SEARCH({"Auto Number"}, $B98))) &gt; 0, $B98, IF(SUMPRODUCT(-- ISNUMBER(SEARCH({"Lookup","Master-Detail"}, $B98))) &gt; 0,$B98 &amp; "(" &amp; $E98 &amp; ")",IF(SUMPRODUCT(-- ISNUMBER(SEARCH({"Formula","Roll-Up Summary"}, $B98))) &gt; 0,$B98 &amp; " (" &amp; $E98 &amp; ")",IF(SUMPRODUCT(-- ISNUMBER(SEARCH({"Content","Currency","Number","Percent","Text","URL"}, $B98))) &gt; 0,$B98 &amp; "(" &amp; $C98 &amp; ")",$B98)))), "  ", TRIM(IF($S98 = "YES", "(External ID)", "") &amp; " " &amp; IF(SUMPRODUCT(-- ISNUMBER(SEARCH({"Unique","Unique Case Insensitive"}, $R98))) &gt; 0, "(" &amp; $R98 &amp; ")", ""))))</f>
        <v>na</v>
      </c>
      <c r="E98" s="7" t="s">
        <v>195</v>
      </c>
      <c r="F98" s="7" t="s">
        <v>195</v>
      </c>
      <c r="G98" s="7" t="s">
        <v>195</v>
      </c>
      <c r="H98" s="7" t="s">
        <v>195</v>
      </c>
      <c r="I98" s="7" t="s">
        <v>195</v>
      </c>
      <c r="J98" s="7" t="s">
        <v>195</v>
      </c>
      <c r="K98" s="7" t="s">
        <v>195</v>
      </c>
      <c r="L98" s="7" t="s">
        <v>195</v>
      </c>
      <c r="M98" s="7" t="s">
        <v>29</v>
      </c>
      <c r="N98" s="7" t="s">
        <v>29</v>
      </c>
      <c r="O98" s="7" t="s">
        <v>29</v>
      </c>
      <c r="P98" s="7" t="s">
        <v>29</v>
      </c>
      <c r="Q98" s="7" t="s">
        <v>29</v>
      </c>
      <c r="R98" s="7" t="s">
        <v>29</v>
      </c>
      <c r="S98" s="7" t="s">
        <v>29</v>
      </c>
    </row>
    <row r="99" spans="2:19">
      <c r="B99" s="7" t="s">
        <v>195</v>
      </c>
      <c r="C99" s="8" t="s">
        <v>195</v>
      </c>
      <c r="D99" s="5" t="str">
        <f>LRTRIM(CONCATENATE(IF(SUMPRODUCT(-- ISNUMBER(SEARCH({"Auto Number"}, $B99))) &gt; 0, $B99, IF(SUMPRODUCT(-- ISNUMBER(SEARCH({"Lookup","Master-Detail"}, $B99))) &gt; 0,$B99 &amp; "(" &amp; $E99 &amp; ")",IF(SUMPRODUCT(-- ISNUMBER(SEARCH({"Formula","Roll-Up Summary"}, $B99))) &gt; 0,$B99 &amp; " (" &amp; $E99 &amp; ")",IF(SUMPRODUCT(-- ISNUMBER(SEARCH({"Content","Currency","Number","Percent","Text","URL"}, $B99))) &gt; 0,$B99 &amp; "(" &amp; $C99 &amp; ")",$B99)))), "  ", TRIM(IF($S99 = "YES", "(External ID)", "") &amp; " " &amp; IF(SUMPRODUCT(-- ISNUMBER(SEARCH({"Unique","Unique Case Insensitive"}, $R99))) &gt; 0, "(" &amp; $R99 &amp; ")", ""))))</f>
        <v>na</v>
      </c>
      <c r="E99" s="7" t="s">
        <v>195</v>
      </c>
      <c r="F99" s="7" t="s">
        <v>195</v>
      </c>
      <c r="G99" s="7" t="s">
        <v>195</v>
      </c>
      <c r="H99" s="7" t="s">
        <v>195</v>
      </c>
      <c r="I99" s="7" t="s">
        <v>195</v>
      </c>
      <c r="J99" s="7" t="s">
        <v>195</v>
      </c>
      <c r="K99" s="7" t="s">
        <v>195</v>
      </c>
      <c r="L99" s="7" t="s">
        <v>195</v>
      </c>
      <c r="M99" s="7" t="s">
        <v>29</v>
      </c>
      <c r="N99" s="7" t="s">
        <v>29</v>
      </c>
      <c r="O99" s="7" t="s">
        <v>29</v>
      </c>
      <c r="P99" s="7" t="s">
        <v>29</v>
      </c>
      <c r="Q99" s="7" t="s">
        <v>29</v>
      </c>
      <c r="R99" s="7" t="s">
        <v>29</v>
      </c>
      <c r="S99" s="7" t="s">
        <v>29</v>
      </c>
    </row>
    <row r="100" spans="2:19">
      <c r="B100" s="7" t="s">
        <v>195</v>
      </c>
      <c r="C100" s="8" t="s">
        <v>195</v>
      </c>
      <c r="D100" s="5" t="str">
        <f>LRTRIM(CONCATENATE(IF(SUMPRODUCT(-- ISNUMBER(SEARCH({"Auto Number"}, $B100))) &gt; 0, $B100, IF(SUMPRODUCT(-- ISNUMBER(SEARCH({"Lookup","Master-Detail"}, $B100))) &gt; 0,$B100 &amp; "(" &amp; $E100 &amp; ")",IF(SUMPRODUCT(-- ISNUMBER(SEARCH({"Formula","Roll-Up Summary"}, $B100))) &gt; 0,$B100 &amp; " (" &amp; $E100 &amp; ")",IF(SUMPRODUCT(-- ISNUMBER(SEARCH({"Content","Currency","Number","Percent","Text","URL"}, $B100))) &gt; 0,$B100 &amp; "(" &amp; $C100 &amp; ")",$B100)))), "  ", TRIM(IF($S100 = "YES", "(External ID)", "") &amp; " " &amp; IF(SUMPRODUCT(-- ISNUMBER(SEARCH({"Unique","Unique Case Insensitive"}, $R100))) &gt; 0, "(" &amp; $R100 &amp; ")", ""))))</f>
        <v>na</v>
      </c>
      <c r="E100" s="7" t="s">
        <v>195</v>
      </c>
      <c r="F100" s="7" t="s">
        <v>195</v>
      </c>
      <c r="G100" s="7" t="s">
        <v>195</v>
      </c>
      <c r="H100" s="7" t="s">
        <v>195</v>
      </c>
      <c r="I100" s="7" t="s">
        <v>195</v>
      </c>
      <c r="J100" s="7" t="s">
        <v>195</v>
      </c>
      <c r="K100" s="7" t="s">
        <v>195</v>
      </c>
      <c r="L100" s="7" t="s">
        <v>195</v>
      </c>
      <c r="M100" s="7" t="s">
        <v>29</v>
      </c>
      <c r="N100" s="7" t="s">
        <v>29</v>
      </c>
      <c r="O100" s="7" t="s">
        <v>29</v>
      </c>
      <c r="P100" s="7" t="s">
        <v>29</v>
      </c>
      <c r="Q100" s="7" t="s">
        <v>29</v>
      </c>
      <c r="R100" s="7" t="s">
        <v>29</v>
      </c>
      <c r="S100" s="7" t="s">
        <v>29</v>
      </c>
    </row>
    <row r="101" spans="2:19">
      <c r="B101" s="7" t="s">
        <v>195</v>
      </c>
      <c r="C101" s="8" t="s">
        <v>195</v>
      </c>
      <c r="D101" s="5" t="str">
        <f>LRTRIM(CONCATENATE(IF(SUMPRODUCT(-- ISNUMBER(SEARCH({"Auto Number"}, $B101))) &gt; 0, $B101, IF(SUMPRODUCT(-- ISNUMBER(SEARCH({"Lookup","Master-Detail"}, $B101))) &gt; 0,$B101 &amp; "(" &amp; $E101 &amp; ")",IF(SUMPRODUCT(-- ISNUMBER(SEARCH({"Formula","Roll-Up Summary"}, $B101))) &gt; 0,$B101 &amp; " (" &amp; $E101 &amp; ")",IF(SUMPRODUCT(-- ISNUMBER(SEARCH({"Content","Currency","Number","Percent","Text","URL"}, $B101))) &gt; 0,$B101 &amp; "(" &amp; $C101 &amp; ")",$B101)))), "  ", TRIM(IF($S101 = "YES", "(External ID)", "") &amp; " " &amp; IF(SUMPRODUCT(-- ISNUMBER(SEARCH({"Unique","Unique Case Insensitive"}, $R101))) &gt; 0, "(" &amp; $R101 &amp; ")", ""))))</f>
        <v>na</v>
      </c>
      <c r="E101" s="7" t="s">
        <v>195</v>
      </c>
      <c r="F101" s="7" t="s">
        <v>195</v>
      </c>
      <c r="G101" s="7" t="s">
        <v>195</v>
      </c>
      <c r="H101" s="7" t="s">
        <v>195</v>
      </c>
      <c r="I101" s="7" t="s">
        <v>195</v>
      </c>
      <c r="J101" s="7" t="s">
        <v>195</v>
      </c>
      <c r="K101" s="7" t="s">
        <v>195</v>
      </c>
      <c r="L101" s="7" t="s">
        <v>195</v>
      </c>
      <c r="M101" s="7" t="s">
        <v>29</v>
      </c>
      <c r="N101" s="7" t="s">
        <v>29</v>
      </c>
      <c r="O101" s="7" t="s">
        <v>29</v>
      </c>
      <c r="P101" s="7" t="s">
        <v>29</v>
      </c>
      <c r="Q101" s="7" t="s">
        <v>29</v>
      </c>
      <c r="R101" s="7" t="s">
        <v>29</v>
      </c>
      <c r="S101" s="7" t="s">
        <v>29</v>
      </c>
    </row>
    <row r="102" spans="2:19">
      <c r="B102" s="7" t="s">
        <v>195</v>
      </c>
      <c r="C102" s="8" t="s">
        <v>195</v>
      </c>
      <c r="D102" s="5" t="str">
        <f>LRTRIM(CONCATENATE(IF(SUMPRODUCT(-- ISNUMBER(SEARCH({"Auto Number"}, $B102))) &gt; 0, $B102, IF(SUMPRODUCT(-- ISNUMBER(SEARCH({"Lookup","Master-Detail"}, $B102))) &gt; 0,$B102 &amp; "(" &amp; $E102 &amp; ")",IF(SUMPRODUCT(-- ISNUMBER(SEARCH({"Formula","Roll-Up Summary"}, $B102))) &gt; 0,$B102 &amp; " (" &amp; $E102 &amp; ")",IF(SUMPRODUCT(-- ISNUMBER(SEARCH({"Content","Currency","Number","Percent","Text","URL"}, $B102))) &gt; 0,$B102 &amp; "(" &amp; $C102 &amp; ")",$B102)))), "  ", TRIM(IF($S102 = "YES", "(External ID)", "") &amp; " " &amp; IF(SUMPRODUCT(-- ISNUMBER(SEARCH({"Unique","Unique Case Insensitive"}, $R102))) &gt; 0, "(" &amp; $R102 &amp; ")", ""))))</f>
        <v>na</v>
      </c>
      <c r="E102" s="7" t="s">
        <v>195</v>
      </c>
      <c r="F102" s="7" t="s">
        <v>195</v>
      </c>
      <c r="G102" s="7" t="s">
        <v>195</v>
      </c>
      <c r="H102" s="7" t="s">
        <v>195</v>
      </c>
      <c r="I102" s="7" t="s">
        <v>195</v>
      </c>
      <c r="J102" s="7" t="s">
        <v>195</v>
      </c>
      <c r="K102" s="7" t="s">
        <v>195</v>
      </c>
      <c r="L102" s="7" t="s">
        <v>195</v>
      </c>
      <c r="M102" s="7" t="s">
        <v>29</v>
      </c>
      <c r="N102" s="7" t="s">
        <v>29</v>
      </c>
      <c r="O102" s="7" t="s">
        <v>29</v>
      </c>
      <c r="P102" s="7" t="s">
        <v>29</v>
      </c>
      <c r="Q102" s="7" t="s">
        <v>29</v>
      </c>
      <c r="R102" s="7" t="s">
        <v>29</v>
      </c>
      <c r="S102" s="7" t="s">
        <v>29</v>
      </c>
    </row>
    <row r="103" spans="2:19">
      <c r="B103" s="7" t="s">
        <v>195</v>
      </c>
      <c r="C103" s="8" t="s">
        <v>195</v>
      </c>
      <c r="D103" s="5" t="str">
        <f>LRTRIM(CONCATENATE(IF(SUMPRODUCT(-- ISNUMBER(SEARCH({"Auto Number"}, $B103))) &gt; 0, $B103, IF(SUMPRODUCT(-- ISNUMBER(SEARCH({"Lookup","Master-Detail"}, $B103))) &gt; 0,$B103 &amp; "(" &amp; $E103 &amp; ")",IF(SUMPRODUCT(-- ISNUMBER(SEARCH({"Formula","Roll-Up Summary"}, $B103))) &gt; 0,$B103 &amp; " (" &amp; $E103 &amp; ")",IF(SUMPRODUCT(-- ISNUMBER(SEARCH({"Content","Currency","Number","Percent","Text","URL"}, $B103))) &gt; 0,$B103 &amp; "(" &amp; $C103 &amp; ")",$B103)))), "  ", TRIM(IF($S103 = "YES", "(External ID)", "") &amp; " " &amp; IF(SUMPRODUCT(-- ISNUMBER(SEARCH({"Unique","Unique Case Insensitive"}, $R103))) &gt; 0, "(" &amp; $R103 &amp; ")", ""))))</f>
        <v>na</v>
      </c>
      <c r="E103" s="7" t="s">
        <v>195</v>
      </c>
      <c r="F103" s="7" t="s">
        <v>195</v>
      </c>
      <c r="G103" s="7" t="s">
        <v>195</v>
      </c>
      <c r="H103" s="7" t="s">
        <v>195</v>
      </c>
      <c r="I103" s="7" t="s">
        <v>195</v>
      </c>
      <c r="J103" s="7" t="s">
        <v>195</v>
      </c>
      <c r="K103" s="7" t="s">
        <v>195</v>
      </c>
      <c r="L103" s="7" t="s">
        <v>195</v>
      </c>
      <c r="M103" s="7" t="s">
        <v>29</v>
      </c>
      <c r="N103" s="7" t="s">
        <v>29</v>
      </c>
      <c r="O103" s="7" t="s">
        <v>29</v>
      </c>
      <c r="P103" s="7" t="s">
        <v>29</v>
      </c>
      <c r="Q103" s="7" t="s">
        <v>29</v>
      </c>
      <c r="R103" s="7" t="s">
        <v>29</v>
      </c>
      <c r="S103" s="7" t="s">
        <v>29</v>
      </c>
    </row>
    <row r="104" spans="2:19">
      <c r="B104" s="7" t="s">
        <v>195</v>
      </c>
      <c r="C104" s="8" t="s">
        <v>195</v>
      </c>
      <c r="D104" s="5" t="str">
        <f>LRTRIM(CONCATENATE(IF(SUMPRODUCT(-- ISNUMBER(SEARCH({"Auto Number"}, $B104))) &gt; 0, $B104, IF(SUMPRODUCT(-- ISNUMBER(SEARCH({"Lookup","Master-Detail"}, $B104))) &gt; 0,$B104 &amp; "(" &amp; $E104 &amp; ")",IF(SUMPRODUCT(-- ISNUMBER(SEARCH({"Formula","Roll-Up Summary"}, $B104))) &gt; 0,$B104 &amp; " (" &amp; $E104 &amp; ")",IF(SUMPRODUCT(-- ISNUMBER(SEARCH({"Content","Currency","Number","Percent","Text","URL"}, $B104))) &gt; 0,$B104 &amp; "(" &amp; $C104 &amp; ")",$B104)))), "  ", TRIM(IF($S104 = "YES", "(External ID)", "") &amp; " " &amp; IF(SUMPRODUCT(-- ISNUMBER(SEARCH({"Unique","Unique Case Insensitive"}, $R104))) &gt; 0, "(" &amp; $R104 &amp; ")", ""))))</f>
        <v>na</v>
      </c>
      <c r="E104" s="7" t="s">
        <v>195</v>
      </c>
      <c r="F104" s="7" t="s">
        <v>195</v>
      </c>
      <c r="G104" s="7" t="s">
        <v>195</v>
      </c>
      <c r="H104" s="7" t="s">
        <v>195</v>
      </c>
      <c r="I104" s="7" t="s">
        <v>195</v>
      </c>
      <c r="J104" s="7" t="s">
        <v>195</v>
      </c>
      <c r="K104" s="7" t="s">
        <v>195</v>
      </c>
      <c r="L104" s="7" t="s">
        <v>195</v>
      </c>
      <c r="M104" s="7" t="s">
        <v>29</v>
      </c>
      <c r="N104" s="7" t="s">
        <v>29</v>
      </c>
      <c r="O104" s="7" t="s">
        <v>29</v>
      </c>
      <c r="P104" s="7" t="s">
        <v>29</v>
      </c>
      <c r="Q104" s="7" t="s">
        <v>29</v>
      </c>
      <c r="R104" s="7" t="s">
        <v>29</v>
      </c>
      <c r="S104" s="7" t="s">
        <v>29</v>
      </c>
    </row>
    <row r="105" spans="2:19">
      <c r="B105" s="7" t="s">
        <v>195</v>
      </c>
      <c r="C105" s="8" t="s">
        <v>195</v>
      </c>
      <c r="D105" s="5" t="str">
        <f>LRTRIM(CONCATENATE(IF(SUMPRODUCT(-- ISNUMBER(SEARCH({"Auto Number"}, $B105))) &gt; 0, $B105, IF(SUMPRODUCT(-- ISNUMBER(SEARCH({"Lookup","Master-Detail"}, $B105))) &gt; 0,$B105 &amp; "(" &amp; $E105 &amp; ")",IF(SUMPRODUCT(-- ISNUMBER(SEARCH({"Formula","Roll-Up Summary"}, $B105))) &gt; 0,$B105 &amp; " (" &amp; $E105 &amp; ")",IF(SUMPRODUCT(-- ISNUMBER(SEARCH({"Content","Currency","Number","Percent","Text","URL"}, $B105))) &gt; 0,$B105 &amp; "(" &amp; $C105 &amp; ")",$B105)))), "  ", TRIM(IF($S105 = "YES", "(External ID)", "") &amp; " " &amp; IF(SUMPRODUCT(-- ISNUMBER(SEARCH({"Unique","Unique Case Insensitive"}, $R105))) &gt; 0, "(" &amp; $R105 &amp; ")", ""))))</f>
        <v>na</v>
      </c>
      <c r="E105" s="7" t="s">
        <v>195</v>
      </c>
      <c r="F105" s="7" t="s">
        <v>195</v>
      </c>
      <c r="G105" s="7" t="s">
        <v>195</v>
      </c>
      <c r="H105" s="7" t="s">
        <v>195</v>
      </c>
      <c r="I105" s="7" t="s">
        <v>195</v>
      </c>
      <c r="J105" s="7" t="s">
        <v>195</v>
      </c>
      <c r="K105" s="7" t="s">
        <v>195</v>
      </c>
      <c r="L105" s="7" t="s">
        <v>195</v>
      </c>
      <c r="M105" s="7" t="s">
        <v>29</v>
      </c>
      <c r="N105" s="7" t="s">
        <v>29</v>
      </c>
      <c r="O105" s="7" t="s">
        <v>29</v>
      </c>
      <c r="P105" s="7" t="s">
        <v>29</v>
      </c>
      <c r="Q105" s="7" t="s">
        <v>29</v>
      </c>
      <c r="R105" s="7" t="s">
        <v>29</v>
      </c>
      <c r="S105" s="7" t="s">
        <v>29</v>
      </c>
    </row>
    <row r="106" spans="2:19">
      <c r="B106" s="7" t="s">
        <v>195</v>
      </c>
      <c r="C106" s="8" t="s">
        <v>195</v>
      </c>
      <c r="D106" s="5" t="str">
        <f>LRTRIM(CONCATENATE(IF(SUMPRODUCT(-- ISNUMBER(SEARCH({"Auto Number"}, $B106))) &gt; 0, $B106, IF(SUMPRODUCT(-- ISNUMBER(SEARCH({"Lookup","Master-Detail"}, $B106))) &gt; 0,$B106 &amp; "(" &amp; $E106 &amp; ")",IF(SUMPRODUCT(-- ISNUMBER(SEARCH({"Formula","Roll-Up Summary"}, $B106))) &gt; 0,$B106 &amp; " (" &amp; $E106 &amp; ")",IF(SUMPRODUCT(-- ISNUMBER(SEARCH({"Content","Currency","Number","Percent","Text","URL"}, $B106))) &gt; 0,$B106 &amp; "(" &amp; $C106 &amp; ")",$B106)))), "  ", TRIM(IF($S106 = "YES", "(External ID)", "") &amp; " " &amp; IF(SUMPRODUCT(-- ISNUMBER(SEARCH({"Unique","Unique Case Insensitive"}, $R106))) &gt; 0, "(" &amp; $R106 &amp; ")", ""))))</f>
        <v>na</v>
      </c>
      <c r="E106" s="7" t="s">
        <v>195</v>
      </c>
      <c r="F106" s="7" t="s">
        <v>195</v>
      </c>
      <c r="G106" s="7" t="s">
        <v>195</v>
      </c>
      <c r="H106" s="7" t="s">
        <v>195</v>
      </c>
      <c r="I106" s="7" t="s">
        <v>195</v>
      </c>
      <c r="J106" s="7" t="s">
        <v>195</v>
      </c>
      <c r="K106" s="7" t="s">
        <v>195</v>
      </c>
      <c r="L106" s="7" t="s">
        <v>195</v>
      </c>
      <c r="M106" s="7" t="s">
        <v>29</v>
      </c>
      <c r="N106" s="7" t="s">
        <v>29</v>
      </c>
      <c r="O106" s="7" t="s">
        <v>29</v>
      </c>
      <c r="P106" s="7" t="s">
        <v>29</v>
      </c>
      <c r="Q106" s="7" t="s">
        <v>29</v>
      </c>
      <c r="R106" s="7" t="s">
        <v>29</v>
      </c>
      <c r="S106" s="7" t="s">
        <v>29</v>
      </c>
    </row>
    <row r="107" spans="2:19">
      <c r="B107" s="7" t="s">
        <v>195</v>
      </c>
      <c r="C107" s="8" t="s">
        <v>195</v>
      </c>
      <c r="D107" s="5" t="str">
        <f>LRTRIM(CONCATENATE(IF(SUMPRODUCT(-- ISNUMBER(SEARCH({"Auto Number"}, $B107))) &gt; 0, $B107, IF(SUMPRODUCT(-- ISNUMBER(SEARCH({"Lookup","Master-Detail"}, $B107))) &gt; 0,$B107 &amp; "(" &amp; $E107 &amp; ")",IF(SUMPRODUCT(-- ISNUMBER(SEARCH({"Formula","Roll-Up Summary"}, $B107))) &gt; 0,$B107 &amp; " (" &amp; $E107 &amp; ")",IF(SUMPRODUCT(-- ISNUMBER(SEARCH({"Content","Currency","Number","Percent","Text","URL"}, $B107))) &gt; 0,$B107 &amp; "(" &amp; $C107 &amp; ")",$B107)))), "  ", TRIM(IF($S107 = "YES", "(External ID)", "") &amp; " " &amp; IF(SUMPRODUCT(-- ISNUMBER(SEARCH({"Unique","Unique Case Insensitive"}, $R107))) &gt; 0, "(" &amp; $R107 &amp; ")", ""))))</f>
        <v>na</v>
      </c>
      <c r="E107" s="7" t="s">
        <v>195</v>
      </c>
      <c r="F107" s="7" t="s">
        <v>195</v>
      </c>
      <c r="G107" s="7" t="s">
        <v>195</v>
      </c>
      <c r="H107" s="7" t="s">
        <v>195</v>
      </c>
      <c r="I107" s="7" t="s">
        <v>195</v>
      </c>
      <c r="J107" s="7" t="s">
        <v>195</v>
      </c>
      <c r="K107" s="7" t="s">
        <v>195</v>
      </c>
      <c r="L107" s="7" t="s">
        <v>195</v>
      </c>
      <c r="M107" s="7" t="s">
        <v>29</v>
      </c>
      <c r="N107" s="7" t="s">
        <v>29</v>
      </c>
      <c r="O107" s="7" t="s">
        <v>29</v>
      </c>
      <c r="P107" s="7" t="s">
        <v>29</v>
      </c>
      <c r="Q107" s="7" t="s">
        <v>29</v>
      </c>
      <c r="R107" s="7" t="s">
        <v>29</v>
      </c>
      <c r="S107" s="7" t="s">
        <v>29</v>
      </c>
    </row>
    <row r="108" spans="2:19">
      <c r="B108" s="7" t="s">
        <v>195</v>
      </c>
      <c r="C108" s="8" t="s">
        <v>195</v>
      </c>
      <c r="D108" s="5" t="str">
        <f>LRTRIM(CONCATENATE(IF(SUMPRODUCT(-- ISNUMBER(SEARCH({"Auto Number"}, $B108))) &gt; 0, $B108, IF(SUMPRODUCT(-- ISNUMBER(SEARCH({"Lookup","Master-Detail"}, $B108))) &gt; 0,$B108 &amp; "(" &amp; $E108 &amp; ")",IF(SUMPRODUCT(-- ISNUMBER(SEARCH({"Formula","Roll-Up Summary"}, $B108))) &gt; 0,$B108 &amp; " (" &amp; $E108 &amp; ")",IF(SUMPRODUCT(-- ISNUMBER(SEARCH({"Content","Currency","Number","Percent","Text","URL"}, $B108))) &gt; 0,$B108 &amp; "(" &amp; $C108 &amp; ")",$B108)))), "  ", TRIM(IF($S108 = "YES", "(External ID)", "") &amp; " " &amp; IF(SUMPRODUCT(-- ISNUMBER(SEARCH({"Unique","Unique Case Insensitive"}, $R108))) &gt; 0, "(" &amp; $R108 &amp; ")", ""))))</f>
        <v>na</v>
      </c>
      <c r="E108" s="7" t="s">
        <v>195</v>
      </c>
      <c r="F108" s="7" t="s">
        <v>195</v>
      </c>
      <c r="G108" s="7" t="s">
        <v>195</v>
      </c>
      <c r="H108" s="7" t="s">
        <v>195</v>
      </c>
      <c r="I108" s="7" t="s">
        <v>195</v>
      </c>
      <c r="J108" s="7" t="s">
        <v>195</v>
      </c>
      <c r="K108" s="7" t="s">
        <v>195</v>
      </c>
      <c r="L108" s="7" t="s">
        <v>195</v>
      </c>
      <c r="M108" s="7" t="s">
        <v>29</v>
      </c>
      <c r="N108" s="7" t="s">
        <v>29</v>
      </c>
      <c r="O108" s="7" t="s">
        <v>29</v>
      </c>
      <c r="P108" s="7" t="s">
        <v>29</v>
      </c>
      <c r="Q108" s="7" t="s">
        <v>29</v>
      </c>
      <c r="R108" s="7" t="s">
        <v>29</v>
      </c>
      <c r="S108" s="7" t="s">
        <v>29</v>
      </c>
    </row>
    <row r="109" spans="2:19">
      <c r="B109" s="7" t="s">
        <v>195</v>
      </c>
      <c r="C109" s="8" t="s">
        <v>195</v>
      </c>
      <c r="D109" s="5" t="str">
        <f>LRTRIM(CONCATENATE(IF(SUMPRODUCT(-- ISNUMBER(SEARCH({"Auto Number"}, $B109))) &gt; 0, $B109, IF(SUMPRODUCT(-- ISNUMBER(SEARCH({"Lookup","Master-Detail"}, $B109))) &gt; 0,$B109 &amp; "(" &amp; $E109 &amp; ")",IF(SUMPRODUCT(-- ISNUMBER(SEARCH({"Formula","Roll-Up Summary"}, $B109))) &gt; 0,$B109 &amp; " (" &amp; $E109 &amp; ")",IF(SUMPRODUCT(-- ISNUMBER(SEARCH({"Content","Currency","Number","Percent","Text","URL"}, $B109))) &gt; 0,$B109 &amp; "(" &amp; $C109 &amp; ")",$B109)))), "  ", TRIM(IF($S109 = "YES", "(External ID)", "") &amp; " " &amp; IF(SUMPRODUCT(-- ISNUMBER(SEARCH({"Unique","Unique Case Insensitive"}, $R109))) &gt; 0, "(" &amp; $R109 &amp; ")", ""))))</f>
        <v>na</v>
      </c>
      <c r="E109" s="7" t="s">
        <v>195</v>
      </c>
      <c r="F109" s="7" t="s">
        <v>195</v>
      </c>
      <c r="G109" s="7" t="s">
        <v>195</v>
      </c>
      <c r="H109" s="7" t="s">
        <v>195</v>
      </c>
      <c r="I109" s="7" t="s">
        <v>195</v>
      </c>
      <c r="J109" s="7" t="s">
        <v>195</v>
      </c>
      <c r="K109" s="7" t="s">
        <v>195</v>
      </c>
      <c r="L109" s="7" t="s">
        <v>195</v>
      </c>
      <c r="M109" s="7" t="s">
        <v>29</v>
      </c>
      <c r="N109" s="7" t="s">
        <v>29</v>
      </c>
      <c r="O109" s="7" t="s">
        <v>29</v>
      </c>
      <c r="P109" s="7" t="s">
        <v>29</v>
      </c>
      <c r="Q109" s="7" t="s">
        <v>29</v>
      </c>
      <c r="R109" s="7" t="s">
        <v>29</v>
      </c>
      <c r="S109" s="7" t="s">
        <v>29</v>
      </c>
    </row>
    <row r="110" spans="2:19">
      <c r="B110" s="7" t="s">
        <v>195</v>
      </c>
      <c r="C110" s="8" t="s">
        <v>195</v>
      </c>
      <c r="D110" s="5" t="str">
        <f>LRTRIM(CONCATENATE(IF(SUMPRODUCT(-- ISNUMBER(SEARCH({"Auto Number"}, $B110))) &gt; 0, $B110, IF(SUMPRODUCT(-- ISNUMBER(SEARCH({"Lookup","Master-Detail"}, $B110))) &gt; 0,$B110 &amp; "(" &amp; $E110 &amp; ")",IF(SUMPRODUCT(-- ISNUMBER(SEARCH({"Formula","Roll-Up Summary"}, $B110))) &gt; 0,$B110 &amp; " (" &amp; $E110 &amp; ")",IF(SUMPRODUCT(-- ISNUMBER(SEARCH({"Content","Currency","Number","Percent","Text","URL"}, $B110))) &gt; 0,$B110 &amp; "(" &amp; $C110 &amp; ")",$B110)))), "  ", TRIM(IF($S110 = "YES", "(External ID)", "") &amp; " " &amp; IF(SUMPRODUCT(-- ISNUMBER(SEARCH({"Unique","Unique Case Insensitive"}, $R110))) &gt; 0, "(" &amp; $R110 &amp; ")", ""))))</f>
        <v>na</v>
      </c>
      <c r="E110" s="7" t="s">
        <v>195</v>
      </c>
      <c r="F110" s="7" t="s">
        <v>195</v>
      </c>
      <c r="G110" s="7" t="s">
        <v>195</v>
      </c>
      <c r="H110" s="7" t="s">
        <v>195</v>
      </c>
      <c r="I110" s="7" t="s">
        <v>195</v>
      </c>
      <c r="J110" s="7" t="s">
        <v>195</v>
      </c>
      <c r="K110" s="7" t="s">
        <v>195</v>
      </c>
      <c r="L110" s="7" t="s">
        <v>195</v>
      </c>
      <c r="M110" s="7" t="s">
        <v>29</v>
      </c>
      <c r="N110" s="7" t="s">
        <v>29</v>
      </c>
      <c r="O110" s="7" t="s">
        <v>29</v>
      </c>
      <c r="P110" s="7" t="s">
        <v>29</v>
      </c>
      <c r="Q110" s="7" t="s">
        <v>29</v>
      </c>
      <c r="R110" s="7" t="s">
        <v>29</v>
      </c>
      <c r="S110" s="7" t="s">
        <v>29</v>
      </c>
    </row>
    <row r="111" spans="2:19">
      <c r="B111" s="7" t="s">
        <v>195</v>
      </c>
      <c r="C111" s="8" t="s">
        <v>195</v>
      </c>
      <c r="D111" s="5" t="str">
        <f>LRTRIM(CONCATENATE(IF(SUMPRODUCT(-- ISNUMBER(SEARCH({"Auto Number"}, $B111))) &gt; 0, $B111, IF(SUMPRODUCT(-- ISNUMBER(SEARCH({"Lookup","Master-Detail"}, $B111))) &gt; 0,$B111 &amp; "(" &amp; $E111 &amp; ")",IF(SUMPRODUCT(-- ISNUMBER(SEARCH({"Formula","Roll-Up Summary"}, $B111))) &gt; 0,$B111 &amp; " (" &amp; $E111 &amp; ")",IF(SUMPRODUCT(-- ISNUMBER(SEARCH({"Content","Currency","Number","Percent","Text","URL"}, $B111))) &gt; 0,$B111 &amp; "(" &amp; $C111 &amp; ")",$B111)))), "  ", TRIM(IF($S111 = "YES", "(External ID)", "") &amp; " " &amp; IF(SUMPRODUCT(-- ISNUMBER(SEARCH({"Unique","Unique Case Insensitive"}, $R111))) &gt; 0, "(" &amp; $R111 &amp; ")", ""))))</f>
        <v>na</v>
      </c>
      <c r="E111" s="7" t="s">
        <v>195</v>
      </c>
      <c r="F111" s="7" t="s">
        <v>195</v>
      </c>
      <c r="G111" s="7" t="s">
        <v>195</v>
      </c>
      <c r="H111" s="7" t="s">
        <v>195</v>
      </c>
      <c r="I111" s="7" t="s">
        <v>195</v>
      </c>
      <c r="J111" s="7" t="s">
        <v>195</v>
      </c>
      <c r="K111" s="7" t="s">
        <v>195</v>
      </c>
      <c r="L111" s="7" t="s">
        <v>195</v>
      </c>
      <c r="M111" s="7" t="s">
        <v>29</v>
      </c>
      <c r="N111" s="7" t="s">
        <v>29</v>
      </c>
      <c r="O111" s="7" t="s">
        <v>29</v>
      </c>
      <c r="P111" s="7" t="s">
        <v>29</v>
      </c>
      <c r="Q111" s="7" t="s">
        <v>29</v>
      </c>
      <c r="R111" s="7" t="s">
        <v>29</v>
      </c>
      <c r="S111" s="7" t="s">
        <v>29</v>
      </c>
    </row>
    <row r="112" spans="2:19">
      <c r="B112" s="7" t="s">
        <v>195</v>
      </c>
      <c r="C112" s="8" t="s">
        <v>195</v>
      </c>
      <c r="D112" s="5" t="str">
        <f>LRTRIM(CONCATENATE(IF(SUMPRODUCT(-- ISNUMBER(SEARCH({"Auto Number"}, $B112))) &gt; 0, $B112, IF(SUMPRODUCT(-- ISNUMBER(SEARCH({"Lookup","Master-Detail"}, $B112))) &gt; 0,$B112 &amp; "(" &amp; $E112 &amp; ")",IF(SUMPRODUCT(-- ISNUMBER(SEARCH({"Formula","Roll-Up Summary"}, $B112))) &gt; 0,$B112 &amp; " (" &amp; $E112 &amp; ")",IF(SUMPRODUCT(-- ISNUMBER(SEARCH({"Content","Currency","Number","Percent","Text","URL"}, $B112))) &gt; 0,$B112 &amp; "(" &amp; $C112 &amp; ")",$B112)))), "  ", TRIM(IF($S112 = "YES", "(External ID)", "") &amp; " " &amp; IF(SUMPRODUCT(-- ISNUMBER(SEARCH({"Unique","Unique Case Insensitive"}, $R112))) &gt; 0, "(" &amp; $R112 &amp; ")", ""))))</f>
        <v>na</v>
      </c>
      <c r="E112" s="7" t="s">
        <v>195</v>
      </c>
      <c r="F112" s="7" t="s">
        <v>195</v>
      </c>
      <c r="G112" s="7" t="s">
        <v>195</v>
      </c>
      <c r="H112" s="7" t="s">
        <v>195</v>
      </c>
      <c r="I112" s="7" t="s">
        <v>195</v>
      </c>
      <c r="J112" s="7" t="s">
        <v>195</v>
      </c>
      <c r="K112" s="7" t="s">
        <v>195</v>
      </c>
      <c r="L112" s="7" t="s">
        <v>195</v>
      </c>
      <c r="M112" s="7" t="s">
        <v>29</v>
      </c>
      <c r="N112" s="7" t="s">
        <v>29</v>
      </c>
      <c r="O112" s="7" t="s">
        <v>29</v>
      </c>
      <c r="P112" s="7" t="s">
        <v>29</v>
      </c>
      <c r="Q112" s="7" t="s">
        <v>29</v>
      </c>
      <c r="R112" s="7" t="s">
        <v>29</v>
      </c>
      <c r="S112" s="7" t="s">
        <v>29</v>
      </c>
    </row>
    <row r="113" spans="2:19">
      <c r="B113" s="7" t="s">
        <v>195</v>
      </c>
      <c r="C113" s="8" t="s">
        <v>195</v>
      </c>
      <c r="D113" s="5" t="str">
        <f>LRTRIM(CONCATENATE(IF(SUMPRODUCT(-- ISNUMBER(SEARCH({"Auto Number"}, $B113))) &gt; 0, $B113, IF(SUMPRODUCT(-- ISNUMBER(SEARCH({"Lookup","Master-Detail"}, $B113))) &gt; 0,$B113 &amp; "(" &amp; $E113 &amp; ")",IF(SUMPRODUCT(-- ISNUMBER(SEARCH({"Formula","Roll-Up Summary"}, $B113))) &gt; 0,$B113 &amp; " (" &amp; $E113 &amp; ")",IF(SUMPRODUCT(-- ISNUMBER(SEARCH({"Content","Currency","Number","Percent","Text","URL"}, $B113))) &gt; 0,$B113 &amp; "(" &amp; $C113 &amp; ")",$B113)))), "  ", TRIM(IF($S113 = "YES", "(External ID)", "") &amp; " " &amp; IF(SUMPRODUCT(-- ISNUMBER(SEARCH({"Unique","Unique Case Insensitive"}, $R113))) &gt; 0, "(" &amp; $R113 &amp; ")", ""))))</f>
        <v>na</v>
      </c>
      <c r="E113" s="7" t="s">
        <v>195</v>
      </c>
      <c r="F113" s="7" t="s">
        <v>195</v>
      </c>
      <c r="G113" s="7" t="s">
        <v>195</v>
      </c>
      <c r="H113" s="7" t="s">
        <v>195</v>
      </c>
      <c r="I113" s="7" t="s">
        <v>195</v>
      </c>
      <c r="J113" s="7" t="s">
        <v>195</v>
      </c>
      <c r="K113" s="7" t="s">
        <v>195</v>
      </c>
      <c r="L113" s="7" t="s">
        <v>195</v>
      </c>
      <c r="M113" s="7" t="s">
        <v>29</v>
      </c>
      <c r="N113" s="7" t="s">
        <v>29</v>
      </c>
      <c r="O113" s="7" t="s">
        <v>29</v>
      </c>
      <c r="P113" s="7" t="s">
        <v>29</v>
      </c>
      <c r="Q113" s="7" t="s">
        <v>29</v>
      </c>
      <c r="R113" s="7" t="s">
        <v>29</v>
      </c>
      <c r="S113" s="7" t="s">
        <v>29</v>
      </c>
    </row>
    <row r="114" spans="2:19">
      <c r="B114" s="7" t="s">
        <v>195</v>
      </c>
      <c r="C114" s="8" t="s">
        <v>195</v>
      </c>
      <c r="D114" s="5" t="str">
        <f>LRTRIM(CONCATENATE(IF(SUMPRODUCT(-- ISNUMBER(SEARCH({"Auto Number"}, $B114))) &gt; 0, $B114, IF(SUMPRODUCT(-- ISNUMBER(SEARCH({"Lookup","Master-Detail"}, $B114))) &gt; 0,$B114 &amp; "(" &amp; $E114 &amp; ")",IF(SUMPRODUCT(-- ISNUMBER(SEARCH({"Formula","Roll-Up Summary"}, $B114))) &gt; 0,$B114 &amp; " (" &amp; $E114 &amp; ")",IF(SUMPRODUCT(-- ISNUMBER(SEARCH({"Content","Currency","Number","Percent","Text","URL"}, $B114))) &gt; 0,$B114 &amp; "(" &amp; $C114 &amp; ")",$B114)))), "  ", TRIM(IF($S114 = "YES", "(External ID)", "") &amp; " " &amp; IF(SUMPRODUCT(-- ISNUMBER(SEARCH({"Unique","Unique Case Insensitive"}, $R114))) &gt; 0, "(" &amp; $R114 &amp; ")", ""))))</f>
        <v>na</v>
      </c>
      <c r="E114" s="7" t="s">
        <v>195</v>
      </c>
      <c r="F114" s="7" t="s">
        <v>195</v>
      </c>
      <c r="G114" s="7" t="s">
        <v>195</v>
      </c>
      <c r="H114" s="7" t="s">
        <v>195</v>
      </c>
      <c r="I114" s="7" t="s">
        <v>195</v>
      </c>
      <c r="J114" s="7" t="s">
        <v>195</v>
      </c>
      <c r="K114" s="7" t="s">
        <v>195</v>
      </c>
      <c r="L114" s="7" t="s">
        <v>195</v>
      </c>
      <c r="M114" s="7" t="s">
        <v>29</v>
      </c>
      <c r="N114" s="7" t="s">
        <v>29</v>
      </c>
      <c r="O114" s="7" t="s">
        <v>29</v>
      </c>
      <c r="P114" s="7" t="s">
        <v>29</v>
      </c>
      <c r="Q114" s="7" t="s">
        <v>29</v>
      </c>
      <c r="R114" s="7" t="s">
        <v>29</v>
      </c>
      <c r="S114" s="7" t="s">
        <v>29</v>
      </c>
    </row>
    <row r="115" spans="2:19">
      <c r="B115" s="7" t="s">
        <v>195</v>
      </c>
      <c r="C115" s="8" t="s">
        <v>195</v>
      </c>
      <c r="D115" s="5" t="str">
        <f>LRTRIM(CONCATENATE(IF(SUMPRODUCT(-- ISNUMBER(SEARCH({"Auto Number"}, $B115))) &gt; 0, $B115, IF(SUMPRODUCT(-- ISNUMBER(SEARCH({"Lookup","Master-Detail"}, $B115))) &gt; 0,$B115 &amp; "(" &amp; $E115 &amp; ")",IF(SUMPRODUCT(-- ISNUMBER(SEARCH({"Formula","Roll-Up Summary"}, $B115))) &gt; 0,$B115 &amp; " (" &amp; $E115 &amp; ")",IF(SUMPRODUCT(-- ISNUMBER(SEARCH({"Content","Currency","Number","Percent","Text","URL"}, $B115))) &gt; 0,$B115 &amp; "(" &amp; $C115 &amp; ")",$B115)))), "  ", TRIM(IF($S115 = "YES", "(External ID)", "") &amp; " " &amp; IF(SUMPRODUCT(-- ISNUMBER(SEARCH({"Unique","Unique Case Insensitive"}, $R115))) &gt; 0, "(" &amp; $R115 &amp; ")", ""))))</f>
        <v>na</v>
      </c>
      <c r="E115" s="7" t="s">
        <v>195</v>
      </c>
      <c r="F115" s="7" t="s">
        <v>195</v>
      </c>
      <c r="G115" s="7" t="s">
        <v>195</v>
      </c>
      <c r="H115" s="7" t="s">
        <v>195</v>
      </c>
      <c r="I115" s="7" t="s">
        <v>195</v>
      </c>
      <c r="J115" s="7" t="s">
        <v>195</v>
      </c>
      <c r="K115" s="7" t="s">
        <v>195</v>
      </c>
      <c r="L115" s="7" t="s">
        <v>195</v>
      </c>
      <c r="M115" s="7" t="s">
        <v>29</v>
      </c>
      <c r="N115" s="7" t="s">
        <v>29</v>
      </c>
      <c r="O115" s="7" t="s">
        <v>29</v>
      </c>
      <c r="P115" s="7" t="s">
        <v>29</v>
      </c>
      <c r="Q115" s="7" t="s">
        <v>29</v>
      </c>
      <c r="R115" s="7" t="s">
        <v>29</v>
      </c>
      <c r="S115" s="7" t="s">
        <v>29</v>
      </c>
    </row>
    <row r="116" spans="2:19">
      <c r="B116" s="7" t="s">
        <v>195</v>
      </c>
      <c r="C116" s="8" t="s">
        <v>195</v>
      </c>
      <c r="D116" s="5" t="str">
        <f>LRTRIM(CONCATENATE(IF(SUMPRODUCT(-- ISNUMBER(SEARCH({"Auto Number"}, $B116))) &gt; 0, $B116, IF(SUMPRODUCT(-- ISNUMBER(SEARCH({"Lookup","Master-Detail"}, $B116))) &gt; 0,$B116 &amp; "(" &amp; $E116 &amp; ")",IF(SUMPRODUCT(-- ISNUMBER(SEARCH({"Formula","Roll-Up Summary"}, $B116))) &gt; 0,$B116 &amp; " (" &amp; $E116 &amp; ")",IF(SUMPRODUCT(-- ISNUMBER(SEARCH({"Content","Currency","Number","Percent","Text","URL"}, $B116))) &gt; 0,$B116 &amp; "(" &amp; $C116 &amp; ")",$B116)))), "  ", TRIM(IF($S116 = "YES", "(External ID)", "") &amp; " " &amp; IF(SUMPRODUCT(-- ISNUMBER(SEARCH({"Unique","Unique Case Insensitive"}, $R116))) &gt; 0, "(" &amp; $R116 &amp; ")", ""))))</f>
        <v>na</v>
      </c>
      <c r="E116" s="7" t="s">
        <v>195</v>
      </c>
      <c r="F116" s="7" t="s">
        <v>195</v>
      </c>
      <c r="G116" s="7" t="s">
        <v>195</v>
      </c>
      <c r="H116" s="7" t="s">
        <v>195</v>
      </c>
      <c r="I116" s="7" t="s">
        <v>195</v>
      </c>
      <c r="J116" s="7" t="s">
        <v>195</v>
      </c>
      <c r="K116" s="7" t="s">
        <v>195</v>
      </c>
      <c r="L116" s="7" t="s">
        <v>195</v>
      </c>
      <c r="M116" s="7" t="s">
        <v>29</v>
      </c>
      <c r="N116" s="7" t="s">
        <v>29</v>
      </c>
      <c r="O116" s="7" t="s">
        <v>29</v>
      </c>
      <c r="P116" s="7" t="s">
        <v>29</v>
      </c>
      <c r="Q116" s="7" t="s">
        <v>29</v>
      </c>
      <c r="R116" s="7" t="s">
        <v>29</v>
      </c>
      <c r="S116" s="7" t="s">
        <v>29</v>
      </c>
    </row>
    <row r="117" spans="2:19">
      <c r="B117" s="7" t="s">
        <v>195</v>
      </c>
      <c r="C117" s="8" t="s">
        <v>195</v>
      </c>
      <c r="D117" s="5" t="str">
        <f>LRTRIM(CONCATENATE(IF(SUMPRODUCT(-- ISNUMBER(SEARCH({"Auto Number"}, $B117))) &gt; 0, $B117, IF(SUMPRODUCT(-- ISNUMBER(SEARCH({"Lookup","Master-Detail"}, $B117))) &gt; 0,$B117 &amp; "(" &amp; $E117 &amp; ")",IF(SUMPRODUCT(-- ISNUMBER(SEARCH({"Formula","Roll-Up Summary"}, $B117))) &gt; 0,$B117 &amp; " (" &amp; $E117 &amp; ")",IF(SUMPRODUCT(-- ISNUMBER(SEARCH({"Content","Currency","Number","Percent","Text","URL"}, $B117))) &gt; 0,$B117 &amp; "(" &amp; $C117 &amp; ")",$B117)))), "  ", TRIM(IF($S117 = "YES", "(External ID)", "") &amp; " " &amp; IF(SUMPRODUCT(-- ISNUMBER(SEARCH({"Unique","Unique Case Insensitive"}, $R117))) &gt; 0, "(" &amp; $R117 &amp; ")", ""))))</f>
        <v>na</v>
      </c>
      <c r="E117" s="7" t="s">
        <v>195</v>
      </c>
      <c r="F117" s="7" t="s">
        <v>195</v>
      </c>
      <c r="G117" s="7" t="s">
        <v>195</v>
      </c>
      <c r="H117" s="7" t="s">
        <v>195</v>
      </c>
      <c r="I117" s="7" t="s">
        <v>195</v>
      </c>
      <c r="J117" s="7" t="s">
        <v>195</v>
      </c>
      <c r="K117" s="7" t="s">
        <v>195</v>
      </c>
      <c r="L117" s="7" t="s">
        <v>195</v>
      </c>
      <c r="M117" s="7" t="s">
        <v>29</v>
      </c>
      <c r="N117" s="7" t="s">
        <v>29</v>
      </c>
      <c r="O117" s="7" t="s">
        <v>29</v>
      </c>
      <c r="P117" s="7" t="s">
        <v>29</v>
      </c>
      <c r="Q117" s="7" t="s">
        <v>29</v>
      </c>
      <c r="R117" s="7" t="s">
        <v>29</v>
      </c>
      <c r="S117" s="7" t="s">
        <v>29</v>
      </c>
    </row>
    <row r="118" spans="2:19">
      <c r="B118" s="7" t="s">
        <v>195</v>
      </c>
      <c r="C118" s="8" t="s">
        <v>195</v>
      </c>
      <c r="D118" s="5" t="str">
        <f>LRTRIM(CONCATENATE(IF(SUMPRODUCT(-- ISNUMBER(SEARCH({"Auto Number"}, $B118))) &gt; 0, $B118, IF(SUMPRODUCT(-- ISNUMBER(SEARCH({"Lookup","Master-Detail"}, $B118))) &gt; 0,$B118 &amp; "(" &amp; $E118 &amp; ")",IF(SUMPRODUCT(-- ISNUMBER(SEARCH({"Formula","Roll-Up Summary"}, $B118))) &gt; 0,$B118 &amp; " (" &amp; $E118 &amp; ")",IF(SUMPRODUCT(-- ISNUMBER(SEARCH({"Content","Currency","Number","Percent","Text","URL"}, $B118))) &gt; 0,$B118 &amp; "(" &amp; $C118 &amp; ")",$B118)))), "  ", TRIM(IF($S118 = "YES", "(External ID)", "") &amp; " " &amp; IF(SUMPRODUCT(-- ISNUMBER(SEARCH({"Unique","Unique Case Insensitive"}, $R118))) &gt; 0, "(" &amp; $R118 &amp; ")", ""))))</f>
        <v>na</v>
      </c>
      <c r="E118" s="7" t="s">
        <v>195</v>
      </c>
      <c r="F118" s="7" t="s">
        <v>195</v>
      </c>
      <c r="G118" s="7" t="s">
        <v>195</v>
      </c>
      <c r="H118" s="7" t="s">
        <v>195</v>
      </c>
      <c r="I118" s="7" t="s">
        <v>195</v>
      </c>
      <c r="J118" s="7" t="s">
        <v>195</v>
      </c>
      <c r="K118" s="7" t="s">
        <v>195</v>
      </c>
      <c r="L118" s="7" t="s">
        <v>195</v>
      </c>
      <c r="M118" s="7" t="s">
        <v>29</v>
      </c>
      <c r="N118" s="7" t="s">
        <v>29</v>
      </c>
      <c r="O118" s="7" t="s">
        <v>29</v>
      </c>
      <c r="P118" s="7" t="s">
        <v>29</v>
      </c>
      <c r="Q118" s="7" t="s">
        <v>29</v>
      </c>
      <c r="R118" s="7" t="s">
        <v>29</v>
      </c>
      <c r="S118" s="7" t="s">
        <v>29</v>
      </c>
    </row>
    <row r="119" spans="2:19">
      <c r="B119" s="7" t="s">
        <v>195</v>
      </c>
      <c r="C119" s="8" t="s">
        <v>195</v>
      </c>
      <c r="D119" s="5" t="str">
        <f>LRTRIM(CONCATENATE(IF(SUMPRODUCT(-- ISNUMBER(SEARCH({"Auto Number"}, $B119))) &gt; 0, $B119, IF(SUMPRODUCT(-- ISNUMBER(SEARCH({"Lookup","Master-Detail"}, $B119))) &gt; 0,$B119 &amp; "(" &amp; $E119 &amp; ")",IF(SUMPRODUCT(-- ISNUMBER(SEARCH({"Formula","Roll-Up Summary"}, $B119))) &gt; 0,$B119 &amp; " (" &amp; $E119 &amp; ")",IF(SUMPRODUCT(-- ISNUMBER(SEARCH({"Content","Currency","Number","Percent","Text","URL"}, $B119))) &gt; 0,$B119 &amp; "(" &amp; $C119 &amp; ")",$B119)))), "  ", TRIM(IF($S119 = "YES", "(External ID)", "") &amp; " " &amp; IF(SUMPRODUCT(-- ISNUMBER(SEARCH({"Unique","Unique Case Insensitive"}, $R119))) &gt; 0, "(" &amp; $R119 &amp; ")", ""))))</f>
        <v>na</v>
      </c>
      <c r="E119" s="7" t="s">
        <v>195</v>
      </c>
      <c r="F119" s="7" t="s">
        <v>195</v>
      </c>
      <c r="G119" s="7" t="s">
        <v>195</v>
      </c>
      <c r="H119" s="7" t="s">
        <v>195</v>
      </c>
      <c r="I119" s="7" t="s">
        <v>195</v>
      </c>
      <c r="J119" s="7" t="s">
        <v>195</v>
      </c>
      <c r="K119" s="7" t="s">
        <v>195</v>
      </c>
      <c r="L119" s="7" t="s">
        <v>195</v>
      </c>
      <c r="M119" s="7" t="s">
        <v>29</v>
      </c>
      <c r="N119" s="7" t="s">
        <v>29</v>
      </c>
      <c r="O119" s="7" t="s">
        <v>29</v>
      </c>
      <c r="P119" s="7" t="s">
        <v>29</v>
      </c>
      <c r="Q119" s="7" t="s">
        <v>29</v>
      </c>
      <c r="R119" s="7" t="s">
        <v>29</v>
      </c>
      <c r="S119" s="7" t="s">
        <v>29</v>
      </c>
    </row>
    <row r="120" spans="2:19">
      <c r="B120" s="7" t="s">
        <v>195</v>
      </c>
      <c r="C120" s="8" t="s">
        <v>195</v>
      </c>
      <c r="D120" s="5" t="str">
        <f>LRTRIM(CONCATENATE(IF(SUMPRODUCT(-- ISNUMBER(SEARCH({"Auto Number"}, $B120))) &gt; 0, $B120, IF(SUMPRODUCT(-- ISNUMBER(SEARCH({"Lookup","Master-Detail"}, $B120))) &gt; 0,$B120 &amp; "(" &amp; $E120 &amp; ")",IF(SUMPRODUCT(-- ISNUMBER(SEARCH({"Formula","Roll-Up Summary"}, $B120))) &gt; 0,$B120 &amp; " (" &amp; $E120 &amp; ")",IF(SUMPRODUCT(-- ISNUMBER(SEARCH({"Content","Currency","Number","Percent","Text","URL"}, $B120))) &gt; 0,$B120 &amp; "(" &amp; $C120 &amp; ")",$B120)))), "  ", TRIM(IF($S120 = "YES", "(External ID)", "") &amp; " " &amp; IF(SUMPRODUCT(-- ISNUMBER(SEARCH({"Unique","Unique Case Insensitive"}, $R120))) &gt; 0, "(" &amp; $R120 &amp; ")", ""))))</f>
        <v>na</v>
      </c>
      <c r="E120" s="7" t="s">
        <v>195</v>
      </c>
      <c r="F120" s="7" t="s">
        <v>195</v>
      </c>
      <c r="G120" s="7" t="s">
        <v>195</v>
      </c>
      <c r="H120" s="7" t="s">
        <v>195</v>
      </c>
      <c r="I120" s="7" t="s">
        <v>195</v>
      </c>
      <c r="J120" s="7" t="s">
        <v>195</v>
      </c>
      <c r="K120" s="7" t="s">
        <v>195</v>
      </c>
      <c r="L120" s="7" t="s">
        <v>195</v>
      </c>
      <c r="M120" s="7" t="s">
        <v>29</v>
      </c>
      <c r="N120" s="7" t="s">
        <v>29</v>
      </c>
      <c r="O120" s="7" t="s">
        <v>29</v>
      </c>
      <c r="P120" s="7" t="s">
        <v>29</v>
      </c>
      <c r="Q120" s="7" t="s">
        <v>29</v>
      </c>
      <c r="R120" s="7" t="s">
        <v>29</v>
      </c>
      <c r="S120" s="7" t="s">
        <v>29</v>
      </c>
    </row>
    <row r="121" spans="2:19">
      <c r="B121" s="7" t="s">
        <v>195</v>
      </c>
      <c r="C121" s="8" t="s">
        <v>195</v>
      </c>
      <c r="D121" s="5" t="str">
        <f>LRTRIM(CONCATENATE(IF(SUMPRODUCT(-- ISNUMBER(SEARCH({"Auto Number"}, $B121))) &gt; 0, $B121, IF(SUMPRODUCT(-- ISNUMBER(SEARCH({"Lookup","Master-Detail"}, $B121))) &gt; 0,$B121 &amp; "(" &amp; $E121 &amp; ")",IF(SUMPRODUCT(-- ISNUMBER(SEARCH({"Formula","Roll-Up Summary"}, $B121))) &gt; 0,$B121 &amp; " (" &amp; $E121 &amp; ")",IF(SUMPRODUCT(-- ISNUMBER(SEARCH({"Content","Currency","Number","Percent","Text","URL"}, $B121))) &gt; 0,$B121 &amp; "(" &amp; $C121 &amp; ")",$B121)))), "  ", TRIM(IF($S121 = "YES", "(External ID)", "") &amp; " " &amp; IF(SUMPRODUCT(-- ISNUMBER(SEARCH({"Unique","Unique Case Insensitive"}, $R121))) &gt; 0, "(" &amp; $R121 &amp; ")", ""))))</f>
        <v>na</v>
      </c>
      <c r="E121" s="7" t="s">
        <v>195</v>
      </c>
      <c r="F121" s="7" t="s">
        <v>195</v>
      </c>
      <c r="G121" s="7" t="s">
        <v>195</v>
      </c>
      <c r="H121" s="7" t="s">
        <v>195</v>
      </c>
      <c r="I121" s="7" t="s">
        <v>195</v>
      </c>
      <c r="J121" s="7" t="s">
        <v>195</v>
      </c>
      <c r="K121" s="7" t="s">
        <v>195</v>
      </c>
      <c r="L121" s="7" t="s">
        <v>195</v>
      </c>
      <c r="M121" s="7" t="s">
        <v>29</v>
      </c>
      <c r="N121" s="7" t="s">
        <v>29</v>
      </c>
      <c r="O121" s="7" t="s">
        <v>29</v>
      </c>
      <c r="P121" s="7" t="s">
        <v>29</v>
      </c>
      <c r="Q121" s="7" t="s">
        <v>29</v>
      </c>
      <c r="R121" s="7" t="s">
        <v>29</v>
      </c>
      <c r="S121" s="7" t="s">
        <v>29</v>
      </c>
    </row>
    <row r="122" spans="2:19">
      <c r="B122" s="7" t="s">
        <v>195</v>
      </c>
      <c r="C122" s="8" t="s">
        <v>195</v>
      </c>
      <c r="D122" s="5" t="str">
        <f>LRTRIM(CONCATENATE(IF(SUMPRODUCT(-- ISNUMBER(SEARCH({"Auto Number"}, $B122))) &gt; 0, $B122, IF(SUMPRODUCT(-- ISNUMBER(SEARCH({"Lookup","Master-Detail"}, $B122))) &gt; 0,$B122 &amp; "(" &amp; $E122 &amp; ")",IF(SUMPRODUCT(-- ISNUMBER(SEARCH({"Formula","Roll-Up Summary"}, $B122))) &gt; 0,$B122 &amp; " (" &amp; $E122 &amp; ")",IF(SUMPRODUCT(-- ISNUMBER(SEARCH({"Content","Currency","Number","Percent","Text","URL"}, $B122))) &gt; 0,$B122 &amp; "(" &amp; $C122 &amp; ")",$B122)))), "  ", TRIM(IF($S122 = "YES", "(External ID)", "") &amp; " " &amp; IF(SUMPRODUCT(-- ISNUMBER(SEARCH({"Unique","Unique Case Insensitive"}, $R122))) &gt; 0, "(" &amp; $R122 &amp; ")", ""))))</f>
        <v>na</v>
      </c>
      <c r="E122" s="7" t="s">
        <v>195</v>
      </c>
      <c r="F122" s="7" t="s">
        <v>195</v>
      </c>
      <c r="G122" s="7" t="s">
        <v>195</v>
      </c>
      <c r="H122" s="7" t="s">
        <v>195</v>
      </c>
      <c r="I122" s="7" t="s">
        <v>195</v>
      </c>
      <c r="J122" s="7" t="s">
        <v>195</v>
      </c>
      <c r="K122" s="7" t="s">
        <v>195</v>
      </c>
      <c r="L122" s="7" t="s">
        <v>195</v>
      </c>
      <c r="M122" s="7" t="s">
        <v>29</v>
      </c>
      <c r="N122" s="7" t="s">
        <v>29</v>
      </c>
      <c r="O122" s="7" t="s">
        <v>29</v>
      </c>
      <c r="P122" s="7" t="s">
        <v>29</v>
      </c>
      <c r="Q122" s="7" t="s">
        <v>29</v>
      </c>
      <c r="R122" s="7" t="s">
        <v>29</v>
      </c>
      <c r="S122" s="7" t="s">
        <v>29</v>
      </c>
    </row>
    <row r="123" spans="2:19">
      <c r="B123" s="7" t="s">
        <v>195</v>
      </c>
      <c r="C123" s="8" t="s">
        <v>195</v>
      </c>
      <c r="D123" s="5" t="str">
        <f>LRTRIM(CONCATENATE(IF(SUMPRODUCT(-- ISNUMBER(SEARCH({"Auto Number"}, $B123))) &gt; 0, $B123, IF(SUMPRODUCT(-- ISNUMBER(SEARCH({"Lookup","Master-Detail"}, $B123))) &gt; 0,$B123 &amp; "(" &amp; $E123 &amp; ")",IF(SUMPRODUCT(-- ISNUMBER(SEARCH({"Formula","Roll-Up Summary"}, $B123))) &gt; 0,$B123 &amp; " (" &amp; $E123 &amp; ")",IF(SUMPRODUCT(-- ISNUMBER(SEARCH({"Content","Currency","Number","Percent","Text","URL"}, $B123))) &gt; 0,$B123 &amp; "(" &amp; $C123 &amp; ")",$B123)))), "  ", TRIM(IF($S123 = "YES", "(External ID)", "") &amp; " " &amp; IF(SUMPRODUCT(-- ISNUMBER(SEARCH({"Unique","Unique Case Insensitive"}, $R123))) &gt; 0, "(" &amp; $R123 &amp; ")", ""))))</f>
        <v>na</v>
      </c>
      <c r="E123" s="7" t="s">
        <v>195</v>
      </c>
      <c r="F123" s="7" t="s">
        <v>195</v>
      </c>
      <c r="G123" s="7" t="s">
        <v>195</v>
      </c>
      <c r="H123" s="7" t="s">
        <v>195</v>
      </c>
      <c r="I123" s="7" t="s">
        <v>195</v>
      </c>
      <c r="J123" s="7" t="s">
        <v>195</v>
      </c>
      <c r="K123" s="7" t="s">
        <v>195</v>
      </c>
      <c r="L123" s="7" t="s">
        <v>195</v>
      </c>
      <c r="M123" s="7" t="s">
        <v>29</v>
      </c>
      <c r="N123" s="7" t="s">
        <v>29</v>
      </c>
      <c r="O123" s="7" t="s">
        <v>29</v>
      </c>
      <c r="P123" s="7" t="s">
        <v>29</v>
      </c>
      <c r="Q123" s="7" t="s">
        <v>29</v>
      </c>
      <c r="R123" s="7" t="s">
        <v>29</v>
      </c>
      <c r="S123" s="7" t="s">
        <v>29</v>
      </c>
    </row>
    <row r="124" spans="2:19">
      <c r="B124" s="7" t="s">
        <v>195</v>
      </c>
      <c r="C124" s="8" t="s">
        <v>195</v>
      </c>
      <c r="D124" s="5" t="str">
        <f>LRTRIM(CONCATENATE(IF(SUMPRODUCT(-- ISNUMBER(SEARCH({"Auto Number"}, $B124))) &gt; 0, $B124, IF(SUMPRODUCT(-- ISNUMBER(SEARCH({"Lookup","Master-Detail"}, $B124))) &gt; 0,$B124 &amp; "(" &amp; $E124 &amp; ")",IF(SUMPRODUCT(-- ISNUMBER(SEARCH({"Formula","Roll-Up Summary"}, $B124))) &gt; 0,$B124 &amp; " (" &amp; $E124 &amp; ")",IF(SUMPRODUCT(-- ISNUMBER(SEARCH({"Content","Currency","Number","Percent","Text","URL"}, $B124))) &gt; 0,$B124 &amp; "(" &amp; $C124 &amp; ")",$B124)))), "  ", TRIM(IF($S124 = "YES", "(External ID)", "") &amp; " " &amp; IF(SUMPRODUCT(-- ISNUMBER(SEARCH({"Unique","Unique Case Insensitive"}, $R124))) &gt; 0, "(" &amp; $R124 &amp; ")", ""))))</f>
        <v>na</v>
      </c>
      <c r="E124" s="7" t="s">
        <v>195</v>
      </c>
      <c r="F124" s="7" t="s">
        <v>195</v>
      </c>
      <c r="G124" s="7" t="s">
        <v>195</v>
      </c>
      <c r="H124" s="7" t="s">
        <v>195</v>
      </c>
      <c r="I124" s="7" t="s">
        <v>195</v>
      </c>
      <c r="J124" s="7" t="s">
        <v>195</v>
      </c>
      <c r="K124" s="7" t="s">
        <v>195</v>
      </c>
      <c r="L124" s="7" t="s">
        <v>195</v>
      </c>
      <c r="M124" s="7" t="s">
        <v>29</v>
      </c>
      <c r="N124" s="7" t="s">
        <v>29</v>
      </c>
      <c r="O124" s="7" t="s">
        <v>29</v>
      </c>
      <c r="P124" s="7" t="s">
        <v>29</v>
      </c>
      <c r="Q124" s="7" t="s">
        <v>29</v>
      </c>
      <c r="R124" s="7" t="s">
        <v>29</v>
      </c>
      <c r="S124" s="7" t="s">
        <v>29</v>
      </c>
    </row>
    <row r="125" spans="2:19">
      <c r="B125" s="7" t="s">
        <v>195</v>
      </c>
      <c r="C125" s="8" t="s">
        <v>195</v>
      </c>
      <c r="D125" s="5" t="str">
        <f>LRTRIM(CONCATENATE(IF(SUMPRODUCT(-- ISNUMBER(SEARCH({"Auto Number"}, $B125))) &gt; 0, $B125, IF(SUMPRODUCT(-- ISNUMBER(SEARCH({"Lookup","Master-Detail"}, $B125))) &gt; 0,$B125 &amp; "(" &amp; $E125 &amp; ")",IF(SUMPRODUCT(-- ISNUMBER(SEARCH({"Formula","Roll-Up Summary"}, $B125))) &gt; 0,$B125 &amp; " (" &amp; $E125 &amp; ")",IF(SUMPRODUCT(-- ISNUMBER(SEARCH({"Content","Currency","Number","Percent","Text","URL"}, $B125))) &gt; 0,$B125 &amp; "(" &amp; $C125 &amp; ")",$B125)))), "  ", TRIM(IF($S125 = "YES", "(External ID)", "") &amp; " " &amp; IF(SUMPRODUCT(-- ISNUMBER(SEARCH({"Unique","Unique Case Insensitive"}, $R125))) &gt; 0, "(" &amp; $R125 &amp; ")", ""))))</f>
        <v>na</v>
      </c>
      <c r="E125" s="7" t="s">
        <v>195</v>
      </c>
      <c r="F125" s="7" t="s">
        <v>195</v>
      </c>
      <c r="G125" s="7" t="s">
        <v>195</v>
      </c>
      <c r="H125" s="7" t="s">
        <v>195</v>
      </c>
      <c r="I125" s="7" t="s">
        <v>195</v>
      </c>
      <c r="J125" s="7" t="s">
        <v>195</v>
      </c>
      <c r="K125" s="7" t="s">
        <v>195</v>
      </c>
      <c r="L125" s="7" t="s">
        <v>195</v>
      </c>
      <c r="M125" s="7" t="s">
        <v>29</v>
      </c>
      <c r="N125" s="7" t="s">
        <v>29</v>
      </c>
      <c r="O125" s="7" t="s">
        <v>29</v>
      </c>
      <c r="P125" s="7" t="s">
        <v>29</v>
      </c>
      <c r="Q125" s="7" t="s">
        <v>29</v>
      </c>
      <c r="R125" s="7" t="s">
        <v>29</v>
      </c>
      <c r="S125" s="7" t="s">
        <v>29</v>
      </c>
    </row>
    <row r="126" spans="2:19">
      <c r="B126" s="7" t="s">
        <v>195</v>
      </c>
      <c r="C126" s="8" t="s">
        <v>195</v>
      </c>
      <c r="D126" s="5" t="str">
        <f>LRTRIM(CONCATENATE(IF(SUMPRODUCT(-- ISNUMBER(SEARCH({"Auto Number"}, $B126))) &gt; 0, $B126, IF(SUMPRODUCT(-- ISNUMBER(SEARCH({"Lookup","Master-Detail"}, $B126))) &gt; 0,$B126 &amp; "(" &amp; $E126 &amp; ")",IF(SUMPRODUCT(-- ISNUMBER(SEARCH({"Formula","Roll-Up Summary"}, $B126))) &gt; 0,$B126 &amp; " (" &amp; $E126 &amp; ")",IF(SUMPRODUCT(-- ISNUMBER(SEARCH({"Content","Currency","Number","Percent","Text","URL"}, $B126))) &gt; 0,$B126 &amp; "(" &amp; $C126 &amp; ")",$B126)))), "  ", TRIM(IF($S126 = "YES", "(External ID)", "") &amp; " " &amp; IF(SUMPRODUCT(-- ISNUMBER(SEARCH({"Unique","Unique Case Insensitive"}, $R126))) &gt; 0, "(" &amp; $R126 &amp; ")", ""))))</f>
        <v>na</v>
      </c>
      <c r="E126" s="7" t="s">
        <v>195</v>
      </c>
      <c r="F126" s="7" t="s">
        <v>195</v>
      </c>
      <c r="G126" s="7" t="s">
        <v>195</v>
      </c>
      <c r="H126" s="7" t="s">
        <v>195</v>
      </c>
      <c r="I126" s="7" t="s">
        <v>195</v>
      </c>
      <c r="J126" s="7" t="s">
        <v>195</v>
      </c>
      <c r="K126" s="7" t="s">
        <v>195</v>
      </c>
      <c r="L126" s="7" t="s">
        <v>195</v>
      </c>
      <c r="M126" s="7" t="s">
        <v>29</v>
      </c>
      <c r="N126" s="7" t="s">
        <v>29</v>
      </c>
      <c r="O126" s="7" t="s">
        <v>29</v>
      </c>
      <c r="P126" s="7" t="s">
        <v>29</v>
      </c>
      <c r="Q126" s="7" t="s">
        <v>29</v>
      </c>
      <c r="R126" s="7" t="s">
        <v>29</v>
      </c>
      <c r="S126" s="7" t="s">
        <v>29</v>
      </c>
    </row>
    <row r="127" spans="2:19">
      <c r="B127" s="7" t="s">
        <v>195</v>
      </c>
      <c r="C127" s="8" t="s">
        <v>195</v>
      </c>
      <c r="D127" s="5" t="str">
        <f>LRTRIM(CONCATENATE(IF(SUMPRODUCT(-- ISNUMBER(SEARCH({"Auto Number"}, $B127))) &gt; 0, $B127, IF(SUMPRODUCT(-- ISNUMBER(SEARCH({"Lookup","Master-Detail"}, $B127))) &gt; 0,$B127 &amp; "(" &amp; $E127 &amp; ")",IF(SUMPRODUCT(-- ISNUMBER(SEARCH({"Formula","Roll-Up Summary"}, $B127))) &gt; 0,$B127 &amp; " (" &amp; $E127 &amp; ")",IF(SUMPRODUCT(-- ISNUMBER(SEARCH({"Content","Currency","Number","Percent","Text","URL"}, $B127))) &gt; 0,$B127 &amp; "(" &amp; $C127 &amp; ")",$B127)))), "  ", TRIM(IF($S127 = "YES", "(External ID)", "") &amp; " " &amp; IF(SUMPRODUCT(-- ISNUMBER(SEARCH({"Unique","Unique Case Insensitive"}, $R127))) &gt; 0, "(" &amp; $R127 &amp; ")", ""))))</f>
        <v>na</v>
      </c>
      <c r="E127" s="7" t="s">
        <v>195</v>
      </c>
      <c r="F127" s="7" t="s">
        <v>195</v>
      </c>
      <c r="G127" s="7" t="s">
        <v>195</v>
      </c>
      <c r="H127" s="7" t="s">
        <v>195</v>
      </c>
      <c r="I127" s="7" t="s">
        <v>195</v>
      </c>
      <c r="J127" s="7" t="s">
        <v>195</v>
      </c>
      <c r="K127" s="7" t="s">
        <v>195</v>
      </c>
      <c r="L127" s="7" t="s">
        <v>195</v>
      </c>
      <c r="M127" s="7" t="s">
        <v>29</v>
      </c>
      <c r="N127" s="7" t="s">
        <v>29</v>
      </c>
      <c r="O127" s="7" t="s">
        <v>29</v>
      </c>
      <c r="P127" s="7" t="s">
        <v>29</v>
      </c>
      <c r="Q127" s="7" t="s">
        <v>29</v>
      </c>
      <c r="R127" s="7" t="s">
        <v>29</v>
      </c>
      <c r="S127" s="7" t="s">
        <v>29</v>
      </c>
    </row>
    <row r="128" spans="2:19">
      <c r="B128" s="7" t="s">
        <v>195</v>
      </c>
      <c r="C128" s="8" t="s">
        <v>195</v>
      </c>
      <c r="D128" s="5" t="str">
        <f>LRTRIM(CONCATENATE(IF(SUMPRODUCT(-- ISNUMBER(SEARCH({"Auto Number"}, $B128))) &gt; 0, $B128, IF(SUMPRODUCT(-- ISNUMBER(SEARCH({"Lookup","Master-Detail"}, $B128))) &gt; 0,$B128 &amp; "(" &amp; $E128 &amp; ")",IF(SUMPRODUCT(-- ISNUMBER(SEARCH({"Formula","Roll-Up Summary"}, $B128))) &gt; 0,$B128 &amp; " (" &amp; $E128 &amp; ")",IF(SUMPRODUCT(-- ISNUMBER(SEARCH({"Content","Currency","Number","Percent","Text","URL"}, $B128))) &gt; 0,$B128 &amp; "(" &amp; $C128 &amp; ")",$B128)))), "  ", TRIM(IF($S128 = "YES", "(External ID)", "") &amp; " " &amp; IF(SUMPRODUCT(-- ISNUMBER(SEARCH({"Unique","Unique Case Insensitive"}, $R128))) &gt; 0, "(" &amp; $R128 &amp; ")", ""))))</f>
        <v>na</v>
      </c>
      <c r="E128" s="7" t="s">
        <v>195</v>
      </c>
      <c r="F128" s="7" t="s">
        <v>195</v>
      </c>
      <c r="G128" s="7" t="s">
        <v>195</v>
      </c>
      <c r="H128" s="7" t="s">
        <v>195</v>
      </c>
      <c r="I128" s="7" t="s">
        <v>195</v>
      </c>
      <c r="J128" s="7" t="s">
        <v>195</v>
      </c>
      <c r="K128" s="7" t="s">
        <v>195</v>
      </c>
      <c r="L128" s="7" t="s">
        <v>195</v>
      </c>
      <c r="M128" s="7" t="s">
        <v>29</v>
      </c>
      <c r="N128" s="7" t="s">
        <v>29</v>
      </c>
      <c r="O128" s="7" t="s">
        <v>29</v>
      </c>
      <c r="P128" s="7" t="s">
        <v>29</v>
      </c>
      <c r="Q128" s="7" t="s">
        <v>29</v>
      </c>
      <c r="R128" s="7" t="s">
        <v>29</v>
      </c>
      <c r="S128" s="7" t="s">
        <v>29</v>
      </c>
    </row>
    <row r="129" spans="2:19">
      <c r="B129" s="7" t="s">
        <v>195</v>
      </c>
      <c r="C129" s="8" t="s">
        <v>195</v>
      </c>
      <c r="D129" s="5" t="str">
        <f>LRTRIM(CONCATENATE(IF(SUMPRODUCT(-- ISNUMBER(SEARCH({"Auto Number"}, $B129))) &gt; 0, $B129, IF(SUMPRODUCT(-- ISNUMBER(SEARCH({"Lookup","Master-Detail"}, $B129))) &gt; 0,$B129 &amp; "(" &amp; $E129 &amp; ")",IF(SUMPRODUCT(-- ISNUMBER(SEARCH({"Formula","Roll-Up Summary"}, $B129))) &gt; 0,$B129 &amp; " (" &amp; $E129 &amp; ")",IF(SUMPRODUCT(-- ISNUMBER(SEARCH({"Content","Currency","Number","Percent","Text","URL"}, $B129))) &gt; 0,$B129 &amp; "(" &amp; $C129 &amp; ")",$B129)))), "  ", TRIM(IF($S129 = "YES", "(External ID)", "") &amp; " " &amp; IF(SUMPRODUCT(-- ISNUMBER(SEARCH({"Unique","Unique Case Insensitive"}, $R129))) &gt; 0, "(" &amp; $R129 &amp; ")", ""))))</f>
        <v>na</v>
      </c>
      <c r="E129" s="7" t="s">
        <v>195</v>
      </c>
      <c r="F129" s="7" t="s">
        <v>195</v>
      </c>
      <c r="G129" s="7" t="s">
        <v>195</v>
      </c>
      <c r="H129" s="7" t="s">
        <v>195</v>
      </c>
      <c r="I129" s="7" t="s">
        <v>195</v>
      </c>
      <c r="J129" s="7" t="s">
        <v>195</v>
      </c>
      <c r="K129" s="7" t="s">
        <v>195</v>
      </c>
      <c r="L129" s="7" t="s">
        <v>195</v>
      </c>
      <c r="M129" s="7" t="s">
        <v>29</v>
      </c>
      <c r="N129" s="7" t="s">
        <v>29</v>
      </c>
      <c r="O129" s="7" t="s">
        <v>29</v>
      </c>
      <c r="P129" s="7" t="s">
        <v>29</v>
      </c>
      <c r="Q129" s="7" t="s">
        <v>29</v>
      </c>
      <c r="R129" s="7" t="s">
        <v>29</v>
      </c>
      <c r="S129" s="7" t="s">
        <v>29</v>
      </c>
    </row>
    <row r="130" spans="2:19">
      <c r="B130" s="7" t="s">
        <v>195</v>
      </c>
      <c r="C130" s="8" t="s">
        <v>195</v>
      </c>
      <c r="D130" s="5" t="str">
        <f>LRTRIM(CONCATENATE(IF(SUMPRODUCT(-- ISNUMBER(SEARCH({"Auto Number"}, $B130))) &gt; 0, $B130, IF(SUMPRODUCT(-- ISNUMBER(SEARCH({"Lookup","Master-Detail"}, $B130))) &gt; 0,$B130 &amp; "(" &amp; $E130 &amp; ")",IF(SUMPRODUCT(-- ISNUMBER(SEARCH({"Formula","Roll-Up Summary"}, $B130))) &gt; 0,$B130 &amp; " (" &amp; $E130 &amp; ")",IF(SUMPRODUCT(-- ISNUMBER(SEARCH({"Content","Currency","Number","Percent","Text","URL"}, $B130))) &gt; 0,$B130 &amp; "(" &amp; $C130 &amp; ")",$B130)))), "  ", TRIM(IF($S130 = "YES", "(External ID)", "") &amp; " " &amp; IF(SUMPRODUCT(-- ISNUMBER(SEARCH({"Unique","Unique Case Insensitive"}, $R130))) &gt; 0, "(" &amp; $R130 &amp; ")", ""))))</f>
        <v>na</v>
      </c>
      <c r="E130" s="7" t="s">
        <v>195</v>
      </c>
      <c r="F130" s="7" t="s">
        <v>195</v>
      </c>
      <c r="G130" s="7" t="s">
        <v>195</v>
      </c>
      <c r="H130" s="7" t="s">
        <v>195</v>
      </c>
      <c r="I130" s="7" t="s">
        <v>195</v>
      </c>
      <c r="J130" s="7" t="s">
        <v>195</v>
      </c>
      <c r="K130" s="7" t="s">
        <v>195</v>
      </c>
      <c r="L130" s="7" t="s">
        <v>195</v>
      </c>
      <c r="M130" s="7" t="s">
        <v>29</v>
      </c>
      <c r="N130" s="7" t="s">
        <v>29</v>
      </c>
      <c r="O130" s="7" t="s">
        <v>29</v>
      </c>
      <c r="P130" s="7" t="s">
        <v>29</v>
      </c>
      <c r="Q130" s="7" t="s">
        <v>29</v>
      </c>
      <c r="R130" s="7" t="s">
        <v>29</v>
      </c>
      <c r="S130" s="7" t="s">
        <v>29</v>
      </c>
    </row>
    <row r="131" spans="2:19">
      <c r="B131" s="7" t="s">
        <v>195</v>
      </c>
      <c r="C131" s="8" t="s">
        <v>195</v>
      </c>
      <c r="D131" s="5" t="str">
        <f>LRTRIM(CONCATENATE(IF(SUMPRODUCT(-- ISNUMBER(SEARCH({"Auto Number"}, $B131))) &gt; 0, $B131, IF(SUMPRODUCT(-- ISNUMBER(SEARCH({"Lookup","Master-Detail"}, $B131))) &gt; 0,$B131 &amp; "(" &amp; $E131 &amp; ")",IF(SUMPRODUCT(-- ISNUMBER(SEARCH({"Formula","Roll-Up Summary"}, $B131))) &gt; 0,$B131 &amp; " (" &amp; $E131 &amp; ")",IF(SUMPRODUCT(-- ISNUMBER(SEARCH({"Content","Currency","Number","Percent","Text","URL"}, $B131))) &gt; 0,$B131 &amp; "(" &amp; $C131 &amp; ")",$B131)))), "  ", TRIM(IF($S131 = "YES", "(External ID)", "") &amp; " " &amp; IF(SUMPRODUCT(-- ISNUMBER(SEARCH({"Unique","Unique Case Insensitive"}, $R131))) &gt; 0, "(" &amp; $R131 &amp; ")", ""))))</f>
        <v>na</v>
      </c>
      <c r="E131" s="7" t="s">
        <v>195</v>
      </c>
      <c r="F131" s="7" t="s">
        <v>195</v>
      </c>
      <c r="G131" s="7" t="s">
        <v>195</v>
      </c>
      <c r="H131" s="7" t="s">
        <v>195</v>
      </c>
      <c r="I131" s="7" t="s">
        <v>195</v>
      </c>
      <c r="J131" s="7" t="s">
        <v>195</v>
      </c>
      <c r="K131" s="7" t="s">
        <v>195</v>
      </c>
      <c r="L131" s="7" t="s">
        <v>195</v>
      </c>
      <c r="M131" s="7" t="s">
        <v>29</v>
      </c>
      <c r="N131" s="7" t="s">
        <v>29</v>
      </c>
      <c r="O131" s="7" t="s">
        <v>29</v>
      </c>
      <c r="P131" s="7" t="s">
        <v>29</v>
      </c>
      <c r="Q131" s="7" t="s">
        <v>29</v>
      </c>
      <c r="R131" s="7" t="s">
        <v>29</v>
      </c>
      <c r="S131" s="7" t="s">
        <v>29</v>
      </c>
    </row>
    <row r="132" spans="2:19">
      <c r="B132" s="7" t="s">
        <v>195</v>
      </c>
      <c r="C132" s="8" t="s">
        <v>195</v>
      </c>
      <c r="D132" s="5" t="str">
        <f>LRTRIM(CONCATENATE(IF(SUMPRODUCT(-- ISNUMBER(SEARCH({"Auto Number"}, $B132))) &gt; 0, $B132, IF(SUMPRODUCT(-- ISNUMBER(SEARCH({"Lookup","Master-Detail"}, $B132))) &gt; 0,$B132 &amp; "(" &amp; $E132 &amp; ")",IF(SUMPRODUCT(-- ISNUMBER(SEARCH({"Formula","Roll-Up Summary"}, $B132))) &gt; 0,$B132 &amp; " (" &amp; $E132 &amp; ")",IF(SUMPRODUCT(-- ISNUMBER(SEARCH({"Content","Currency","Number","Percent","Text","URL"}, $B132))) &gt; 0,$B132 &amp; "(" &amp; $C132 &amp; ")",$B132)))), "  ", TRIM(IF($S132 = "YES", "(External ID)", "") &amp; " " &amp; IF(SUMPRODUCT(-- ISNUMBER(SEARCH({"Unique","Unique Case Insensitive"}, $R132))) &gt; 0, "(" &amp; $R132 &amp; ")", ""))))</f>
        <v>na</v>
      </c>
      <c r="E132" s="7" t="s">
        <v>195</v>
      </c>
      <c r="F132" s="7" t="s">
        <v>195</v>
      </c>
      <c r="G132" s="7" t="s">
        <v>195</v>
      </c>
      <c r="H132" s="7" t="s">
        <v>195</v>
      </c>
      <c r="I132" s="7" t="s">
        <v>195</v>
      </c>
      <c r="J132" s="7" t="s">
        <v>195</v>
      </c>
      <c r="K132" s="7" t="s">
        <v>195</v>
      </c>
      <c r="L132" s="7" t="s">
        <v>195</v>
      </c>
      <c r="M132" s="7" t="s">
        <v>29</v>
      </c>
      <c r="N132" s="7" t="s">
        <v>29</v>
      </c>
      <c r="O132" s="7" t="s">
        <v>29</v>
      </c>
      <c r="P132" s="7" t="s">
        <v>29</v>
      </c>
      <c r="Q132" s="7" t="s">
        <v>29</v>
      </c>
      <c r="R132" s="7" t="s">
        <v>29</v>
      </c>
      <c r="S132" s="7" t="s">
        <v>29</v>
      </c>
    </row>
    <row r="133" spans="2:19">
      <c r="B133" s="7" t="s">
        <v>195</v>
      </c>
      <c r="C133" s="8" t="s">
        <v>195</v>
      </c>
      <c r="D133" s="5" t="str">
        <f>LRTRIM(CONCATENATE(IF(SUMPRODUCT(-- ISNUMBER(SEARCH({"Auto Number"}, $B133))) &gt; 0, $B133, IF(SUMPRODUCT(-- ISNUMBER(SEARCH({"Lookup","Master-Detail"}, $B133))) &gt; 0,$B133 &amp; "(" &amp; $E133 &amp; ")",IF(SUMPRODUCT(-- ISNUMBER(SEARCH({"Formula","Roll-Up Summary"}, $B133))) &gt; 0,$B133 &amp; " (" &amp; $E133 &amp; ")",IF(SUMPRODUCT(-- ISNUMBER(SEARCH({"Content","Currency","Number","Percent","Text","URL"}, $B133))) &gt; 0,$B133 &amp; "(" &amp; $C133 &amp; ")",$B133)))), "  ", TRIM(IF($S133 = "YES", "(External ID)", "") &amp; " " &amp; IF(SUMPRODUCT(-- ISNUMBER(SEARCH({"Unique","Unique Case Insensitive"}, $R133))) &gt; 0, "(" &amp; $R133 &amp; ")", ""))))</f>
        <v>na</v>
      </c>
      <c r="E133" s="7" t="s">
        <v>195</v>
      </c>
      <c r="F133" s="7" t="s">
        <v>195</v>
      </c>
      <c r="G133" s="7" t="s">
        <v>195</v>
      </c>
      <c r="H133" s="7" t="s">
        <v>195</v>
      </c>
      <c r="I133" s="7" t="s">
        <v>195</v>
      </c>
      <c r="J133" s="7" t="s">
        <v>195</v>
      </c>
      <c r="K133" s="7" t="s">
        <v>195</v>
      </c>
      <c r="L133" s="7" t="s">
        <v>195</v>
      </c>
      <c r="M133" s="7" t="s">
        <v>29</v>
      </c>
      <c r="N133" s="7" t="s">
        <v>29</v>
      </c>
      <c r="O133" s="7" t="s">
        <v>29</v>
      </c>
      <c r="P133" s="7" t="s">
        <v>29</v>
      </c>
      <c r="Q133" s="7" t="s">
        <v>29</v>
      </c>
      <c r="R133" s="7" t="s">
        <v>29</v>
      </c>
      <c r="S133" s="7" t="s">
        <v>29</v>
      </c>
    </row>
    <row r="134" spans="2:19">
      <c r="B134" s="7" t="s">
        <v>195</v>
      </c>
      <c r="C134" s="8" t="s">
        <v>195</v>
      </c>
      <c r="D134" s="5" t="str">
        <f>LRTRIM(CONCATENATE(IF(SUMPRODUCT(-- ISNUMBER(SEARCH({"Auto Number"}, $B134))) &gt; 0, $B134, IF(SUMPRODUCT(-- ISNUMBER(SEARCH({"Lookup","Master-Detail"}, $B134))) &gt; 0,$B134 &amp; "(" &amp; $E134 &amp; ")",IF(SUMPRODUCT(-- ISNUMBER(SEARCH({"Formula","Roll-Up Summary"}, $B134))) &gt; 0,$B134 &amp; " (" &amp; $E134 &amp; ")",IF(SUMPRODUCT(-- ISNUMBER(SEARCH({"Content","Currency","Number","Percent","Text","URL"}, $B134))) &gt; 0,$B134 &amp; "(" &amp; $C134 &amp; ")",$B134)))), "  ", TRIM(IF($S134 = "YES", "(External ID)", "") &amp; " " &amp; IF(SUMPRODUCT(-- ISNUMBER(SEARCH({"Unique","Unique Case Insensitive"}, $R134))) &gt; 0, "(" &amp; $R134 &amp; ")", ""))))</f>
        <v>na</v>
      </c>
      <c r="E134" s="7" t="s">
        <v>195</v>
      </c>
      <c r="F134" s="7" t="s">
        <v>195</v>
      </c>
      <c r="G134" s="7" t="s">
        <v>195</v>
      </c>
      <c r="H134" s="7" t="s">
        <v>195</v>
      </c>
      <c r="I134" s="7" t="s">
        <v>195</v>
      </c>
      <c r="J134" s="7" t="s">
        <v>195</v>
      </c>
      <c r="K134" s="7" t="s">
        <v>195</v>
      </c>
      <c r="L134" s="7" t="s">
        <v>195</v>
      </c>
      <c r="M134" s="7" t="s">
        <v>29</v>
      </c>
      <c r="N134" s="7" t="s">
        <v>29</v>
      </c>
      <c r="O134" s="7" t="s">
        <v>29</v>
      </c>
      <c r="P134" s="7" t="s">
        <v>29</v>
      </c>
      <c r="Q134" s="7" t="s">
        <v>29</v>
      </c>
      <c r="R134" s="7" t="s">
        <v>29</v>
      </c>
      <c r="S134" s="7" t="s">
        <v>29</v>
      </c>
    </row>
    <row r="135" spans="2:19">
      <c r="B135" s="7" t="s">
        <v>195</v>
      </c>
      <c r="C135" s="8" t="s">
        <v>195</v>
      </c>
      <c r="D135" s="5" t="str">
        <f>LRTRIM(CONCATENATE(IF(SUMPRODUCT(-- ISNUMBER(SEARCH({"Auto Number"}, $B135))) &gt; 0, $B135, IF(SUMPRODUCT(-- ISNUMBER(SEARCH({"Lookup","Master-Detail"}, $B135))) &gt; 0,$B135 &amp; "(" &amp; $E135 &amp; ")",IF(SUMPRODUCT(-- ISNUMBER(SEARCH({"Formula","Roll-Up Summary"}, $B135))) &gt; 0,$B135 &amp; " (" &amp; $E135 &amp; ")",IF(SUMPRODUCT(-- ISNUMBER(SEARCH({"Content","Currency","Number","Percent","Text","URL"}, $B135))) &gt; 0,$B135 &amp; "(" &amp; $C135 &amp; ")",$B135)))), "  ", TRIM(IF($S135 = "YES", "(External ID)", "") &amp; " " &amp; IF(SUMPRODUCT(-- ISNUMBER(SEARCH({"Unique","Unique Case Insensitive"}, $R135))) &gt; 0, "(" &amp; $R135 &amp; ")", ""))))</f>
        <v>na</v>
      </c>
      <c r="E135" s="7" t="s">
        <v>195</v>
      </c>
      <c r="F135" s="7" t="s">
        <v>195</v>
      </c>
      <c r="G135" s="7" t="s">
        <v>195</v>
      </c>
      <c r="H135" s="7" t="s">
        <v>195</v>
      </c>
      <c r="I135" s="7" t="s">
        <v>195</v>
      </c>
      <c r="J135" s="7" t="s">
        <v>195</v>
      </c>
      <c r="K135" s="7" t="s">
        <v>195</v>
      </c>
      <c r="L135" s="7" t="s">
        <v>195</v>
      </c>
      <c r="M135" s="7" t="s">
        <v>29</v>
      </c>
      <c r="N135" s="7" t="s">
        <v>29</v>
      </c>
      <c r="O135" s="7" t="s">
        <v>29</v>
      </c>
      <c r="P135" s="7" t="s">
        <v>29</v>
      </c>
      <c r="Q135" s="7" t="s">
        <v>29</v>
      </c>
      <c r="R135" s="7" t="s">
        <v>29</v>
      </c>
      <c r="S135" s="7" t="s">
        <v>29</v>
      </c>
    </row>
    <row r="136" spans="2:19">
      <c r="B136" s="7" t="s">
        <v>195</v>
      </c>
      <c r="C136" s="8" t="s">
        <v>195</v>
      </c>
      <c r="D136" s="5" t="str">
        <f>LRTRIM(CONCATENATE(IF(SUMPRODUCT(-- ISNUMBER(SEARCH({"Auto Number"}, $B136))) &gt; 0, $B136, IF(SUMPRODUCT(-- ISNUMBER(SEARCH({"Lookup","Master-Detail"}, $B136))) &gt; 0,$B136 &amp; "(" &amp; $E136 &amp; ")",IF(SUMPRODUCT(-- ISNUMBER(SEARCH({"Formula","Roll-Up Summary"}, $B136))) &gt; 0,$B136 &amp; " (" &amp; $E136 &amp; ")",IF(SUMPRODUCT(-- ISNUMBER(SEARCH({"Content","Currency","Number","Percent","Text","URL"}, $B136))) &gt; 0,$B136 &amp; "(" &amp; $C136 &amp; ")",$B136)))), "  ", TRIM(IF($S136 = "YES", "(External ID)", "") &amp; " " &amp; IF(SUMPRODUCT(-- ISNUMBER(SEARCH({"Unique","Unique Case Insensitive"}, $R136))) &gt; 0, "(" &amp; $R136 &amp; ")", ""))))</f>
        <v>na</v>
      </c>
      <c r="E136" s="7" t="s">
        <v>195</v>
      </c>
      <c r="F136" s="7" t="s">
        <v>195</v>
      </c>
      <c r="G136" s="7" t="s">
        <v>195</v>
      </c>
      <c r="H136" s="7" t="s">
        <v>195</v>
      </c>
      <c r="I136" s="7" t="s">
        <v>195</v>
      </c>
      <c r="J136" s="7" t="s">
        <v>195</v>
      </c>
      <c r="K136" s="7" t="s">
        <v>195</v>
      </c>
      <c r="L136" s="7" t="s">
        <v>195</v>
      </c>
      <c r="M136" s="7" t="s">
        <v>29</v>
      </c>
      <c r="N136" s="7" t="s">
        <v>29</v>
      </c>
      <c r="O136" s="7" t="s">
        <v>29</v>
      </c>
      <c r="P136" s="7" t="s">
        <v>29</v>
      </c>
      <c r="Q136" s="7" t="s">
        <v>29</v>
      </c>
      <c r="R136" s="7" t="s">
        <v>29</v>
      </c>
      <c r="S136" s="7" t="s">
        <v>29</v>
      </c>
    </row>
    <row r="137" spans="2:19">
      <c r="B137" s="7" t="s">
        <v>195</v>
      </c>
      <c r="C137" s="8" t="s">
        <v>195</v>
      </c>
      <c r="D137" s="5" t="str">
        <f>LRTRIM(CONCATENATE(IF(SUMPRODUCT(-- ISNUMBER(SEARCH({"Auto Number"}, $B137))) &gt; 0, $B137, IF(SUMPRODUCT(-- ISNUMBER(SEARCH({"Lookup","Master-Detail"}, $B137))) &gt; 0,$B137 &amp; "(" &amp; $E137 &amp; ")",IF(SUMPRODUCT(-- ISNUMBER(SEARCH({"Formula","Roll-Up Summary"}, $B137))) &gt; 0,$B137 &amp; " (" &amp; $E137 &amp; ")",IF(SUMPRODUCT(-- ISNUMBER(SEARCH({"Content","Currency","Number","Percent","Text","URL"}, $B137))) &gt; 0,$B137 &amp; "(" &amp; $C137 &amp; ")",$B137)))), "  ", TRIM(IF($S137 = "YES", "(External ID)", "") &amp; " " &amp; IF(SUMPRODUCT(-- ISNUMBER(SEARCH({"Unique","Unique Case Insensitive"}, $R137))) &gt; 0, "(" &amp; $R137 &amp; ")", ""))))</f>
        <v>na</v>
      </c>
      <c r="E137" s="7" t="s">
        <v>195</v>
      </c>
      <c r="F137" s="7" t="s">
        <v>195</v>
      </c>
      <c r="G137" s="7" t="s">
        <v>195</v>
      </c>
      <c r="H137" s="7" t="s">
        <v>195</v>
      </c>
      <c r="I137" s="7" t="s">
        <v>195</v>
      </c>
      <c r="J137" s="7" t="s">
        <v>195</v>
      </c>
      <c r="K137" s="7" t="s">
        <v>195</v>
      </c>
      <c r="L137" s="7" t="s">
        <v>195</v>
      </c>
      <c r="M137" s="7" t="s">
        <v>29</v>
      </c>
      <c r="N137" s="7" t="s">
        <v>29</v>
      </c>
      <c r="O137" s="7" t="s">
        <v>29</v>
      </c>
      <c r="P137" s="7" t="s">
        <v>29</v>
      </c>
      <c r="Q137" s="7" t="s">
        <v>29</v>
      </c>
      <c r="R137" s="7" t="s">
        <v>29</v>
      </c>
      <c r="S137" s="7" t="s">
        <v>29</v>
      </c>
    </row>
    <row r="138" spans="2:19">
      <c r="B138" s="7" t="s">
        <v>195</v>
      </c>
      <c r="C138" s="8" t="s">
        <v>195</v>
      </c>
      <c r="D138" s="5" t="str">
        <f>LRTRIM(CONCATENATE(IF(SUMPRODUCT(-- ISNUMBER(SEARCH({"Auto Number"}, $B138))) &gt; 0, $B138, IF(SUMPRODUCT(-- ISNUMBER(SEARCH({"Lookup","Master-Detail"}, $B138))) &gt; 0,$B138 &amp; "(" &amp; $E138 &amp; ")",IF(SUMPRODUCT(-- ISNUMBER(SEARCH({"Formula","Roll-Up Summary"}, $B138))) &gt; 0,$B138 &amp; " (" &amp; $E138 &amp; ")",IF(SUMPRODUCT(-- ISNUMBER(SEARCH({"Content","Currency","Number","Percent","Text","URL"}, $B138))) &gt; 0,$B138 &amp; "(" &amp; $C138 &amp; ")",$B138)))), "  ", TRIM(IF($S138 = "YES", "(External ID)", "") &amp; " " &amp; IF(SUMPRODUCT(-- ISNUMBER(SEARCH({"Unique","Unique Case Insensitive"}, $R138))) &gt; 0, "(" &amp; $R138 &amp; ")", ""))))</f>
        <v>na</v>
      </c>
      <c r="E138" s="7" t="s">
        <v>195</v>
      </c>
      <c r="F138" s="7" t="s">
        <v>195</v>
      </c>
      <c r="G138" s="7" t="s">
        <v>195</v>
      </c>
      <c r="H138" s="7" t="s">
        <v>195</v>
      </c>
      <c r="I138" s="7" t="s">
        <v>195</v>
      </c>
      <c r="J138" s="7" t="s">
        <v>195</v>
      </c>
      <c r="K138" s="7" t="s">
        <v>195</v>
      </c>
      <c r="L138" s="7" t="s">
        <v>195</v>
      </c>
      <c r="M138" s="7" t="s">
        <v>29</v>
      </c>
      <c r="N138" s="7" t="s">
        <v>29</v>
      </c>
      <c r="O138" s="7" t="s">
        <v>29</v>
      </c>
      <c r="P138" s="7" t="s">
        <v>29</v>
      </c>
      <c r="Q138" s="7" t="s">
        <v>29</v>
      </c>
      <c r="R138" s="7" t="s">
        <v>29</v>
      </c>
      <c r="S138" s="7" t="s">
        <v>29</v>
      </c>
    </row>
    <row r="139" spans="2:19">
      <c r="B139" s="7" t="s">
        <v>195</v>
      </c>
      <c r="C139" s="8" t="s">
        <v>195</v>
      </c>
      <c r="D139" s="5" t="str">
        <f>LRTRIM(CONCATENATE(IF(SUMPRODUCT(-- ISNUMBER(SEARCH({"Auto Number"}, $B139))) &gt; 0, $B139, IF(SUMPRODUCT(-- ISNUMBER(SEARCH({"Lookup","Master-Detail"}, $B139))) &gt; 0,$B139 &amp; "(" &amp; $E139 &amp; ")",IF(SUMPRODUCT(-- ISNUMBER(SEARCH({"Formula","Roll-Up Summary"}, $B139))) &gt; 0,$B139 &amp; " (" &amp; $E139 &amp; ")",IF(SUMPRODUCT(-- ISNUMBER(SEARCH({"Content","Currency","Number","Percent","Text","URL"}, $B139))) &gt; 0,$B139 &amp; "(" &amp; $C139 &amp; ")",$B139)))), "  ", TRIM(IF($S139 = "YES", "(External ID)", "") &amp; " " &amp; IF(SUMPRODUCT(-- ISNUMBER(SEARCH({"Unique","Unique Case Insensitive"}, $R139))) &gt; 0, "(" &amp; $R139 &amp; ")", ""))))</f>
        <v>na</v>
      </c>
      <c r="E139" s="7" t="s">
        <v>195</v>
      </c>
      <c r="F139" s="7" t="s">
        <v>195</v>
      </c>
      <c r="G139" s="7" t="s">
        <v>195</v>
      </c>
      <c r="H139" s="7" t="s">
        <v>195</v>
      </c>
      <c r="I139" s="7" t="s">
        <v>195</v>
      </c>
      <c r="J139" s="7" t="s">
        <v>195</v>
      </c>
      <c r="K139" s="7" t="s">
        <v>195</v>
      </c>
      <c r="L139" s="7" t="s">
        <v>195</v>
      </c>
      <c r="M139" s="7" t="s">
        <v>29</v>
      </c>
      <c r="N139" s="7" t="s">
        <v>29</v>
      </c>
      <c r="O139" s="7" t="s">
        <v>29</v>
      </c>
      <c r="P139" s="7" t="s">
        <v>29</v>
      </c>
      <c r="Q139" s="7" t="s">
        <v>29</v>
      </c>
      <c r="R139" s="7" t="s">
        <v>29</v>
      </c>
      <c r="S139" s="7" t="s">
        <v>29</v>
      </c>
    </row>
    <row r="140" spans="2:19">
      <c r="B140" s="7" t="s">
        <v>195</v>
      </c>
      <c r="C140" s="8" t="s">
        <v>195</v>
      </c>
      <c r="D140" s="5" t="str">
        <f>LRTRIM(CONCATENATE(IF(SUMPRODUCT(-- ISNUMBER(SEARCH({"Auto Number"}, $B140))) &gt; 0, $B140, IF(SUMPRODUCT(-- ISNUMBER(SEARCH({"Lookup","Master-Detail"}, $B140))) &gt; 0,$B140 &amp; "(" &amp; $E140 &amp; ")",IF(SUMPRODUCT(-- ISNUMBER(SEARCH({"Formula","Roll-Up Summary"}, $B140))) &gt; 0,$B140 &amp; " (" &amp; $E140 &amp; ")",IF(SUMPRODUCT(-- ISNUMBER(SEARCH({"Content","Currency","Number","Percent","Text","URL"}, $B140))) &gt; 0,$B140 &amp; "(" &amp; $C140 &amp; ")",$B140)))), "  ", TRIM(IF($S140 = "YES", "(External ID)", "") &amp; " " &amp; IF(SUMPRODUCT(-- ISNUMBER(SEARCH({"Unique","Unique Case Insensitive"}, $R140))) &gt; 0, "(" &amp; $R140 &amp; ")", ""))))</f>
        <v>na</v>
      </c>
      <c r="E140" s="7" t="s">
        <v>195</v>
      </c>
      <c r="F140" s="7" t="s">
        <v>195</v>
      </c>
      <c r="G140" s="7" t="s">
        <v>195</v>
      </c>
      <c r="H140" s="7" t="s">
        <v>195</v>
      </c>
      <c r="I140" s="7" t="s">
        <v>195</v>
      </c>
      <c r="J140" s="7" t="s">
        <v>195</v>
      </c>
      <c r="K140" s="7" t="s">
        <v>195</v>
      </c>
      <c r="L140" s="7" t="s">
        <v>195</v>
      </c>
      <c r="M140" s="7" t="s">
        <v>29</v>
      </c>
      <c r="N140" s="7" t="s">
        <v>29</v>
      </c>
      <c r="O140" s="7" t="s">
        <v>29</v>
      </c>
      <c r="P140" s="7" t="s">
        <v>29</v>
      </c>
      <c r="Q140" s="7" t="s">
        <v>29</v>
      </c>
      <c r="R140" s="7" t="s">
        <v>29</v>
      </c>
      <c r="S140" s="7" t="s">
        <v>29</v>
      </c>
    </row>
    <row r="141" spans="2:19">
      <c r="B141" s="7" t="s">
        <v>195</v>
      </c>
      <c r="C141" s="8" t="s">
        <v>195</v>
      </c>
      <c r="D141" s="5" t="str">
        <f>LRTRIM(CONCATENATE(IF(SUMPRODUCT(-- ISNUMBER(SEARCH({"Auto Number"}, $B141))) &gt; 0, $B141, IF(SUMPRODUCT(-- ISNUMBER(SEARCH({"Lookup","Master-Detail"}, $B141))) &gt; 0,$B141 &amp; "(" &amp; $E141 &amp; ")",IF(SUMPRODUCT(-- ISNUMBER(SEARCH({"Formula","Roll-Up Summary"}, $B141))) &gt; 0,$B141 &amp; " (" &amp; $E141 &amp; ")",IF(SUMPRODUCT(-- ISNUMBER(SEARCH({"Content","Currency","Number","Percent","Text","URL"}, $B141))) &gt; 0,$B141 &amp; "(" &amp; $C141 &amp; ")",$B141)))), "  ", TRIM(IF($S141 = "YES", "(External ID)", "") &amp; " " &amp; IF(SUMPRODUCT(-- ISNUMBER(SEARCH({"Unique","Unique Case Insensitive"}, $R141))) &gt; 0, "(" &amp; $R141 &amp; ")", ""))))</f>
        <v>na</v>
      </c>
      <c r="E141" s="7" t="s">
        <v>195</v>
      </c>
      <c r="F141" s="7" t="s">
        <v>195</v>
      </c>
      <c r="G141" s="7" t="s">
        <v>195</v>
      </c>
      <c r="H141" s="7" t="s">
        <v>195</v>
      </c>
      <c r="I141" s="7" t="s">
        <v>195</v>
      </c>
      <c r="J141" s="7" t="s">
        <v>195</v>
      </c>
      <c r="K141" s="7" t="s">
        <v>195</v>
      </c>
      <c r="L141" s="7" t="s">
        <v>195</v>
      </c>
      <c r="M141" s="7" t="s">
        <v>29</v>
      </c>
      <c r="N141" s="7" t="s">
        <v>29</v>
      </c>
      <c r="O141" s="7" t="s">
        <v>29</v>
      </c>
      <c r="P141" s="7" t="s">
        <v>29</v>
      </c>
      <c r="Q141" s="7" t="s">
        <v>29</v>
      </c>
      <c r="R141" s="7" t="s">
        <v>29</v>
      </c>
      <c r="S141" s="7" t="s">
        <v>29</v>
      </c>
    </row>
    <row r="142" spans="2:19">
      <c r="B142" s="7" t="s">
        <v>195</v>
      </c>
      <c r="C142" s="8" t="s">
        <v>195</v>
      </c>
      <c r="D142" s="5" t="str">
        <f>LRTRIM(CONCATENATE(IF(SUMPRODUCT(-- ISNUMBER(SEARCH({"Auto Number"}, $B142))) &gt; 0, $B142, IF(SUMPRODUCT(-- ISNUMBER(SEARCH({"Lookup","Master-Detail"}, $B142))) &gt; 0,$B142 &amp; "(" &amp; $E142 &amp; ")",IF(SUMPRODUCT(-- ISNUMBER(SEARCH({"Formula","Roll-Up Summary"}, $B142))) &gt; 0,$B142 &amp; " (" &amp; $E142 &amp; ")",IF(SUMPRODUCT(-- ISNUMBER(SEARCH({"Content","Currency","Number","Percent","Text","URL"}, $B142))) &gt; 0,$B142 &amp; "(" &amp; $C142 &amp; ")",$B142)))), "  ", TRIM(IF($S142 = "YES", "(External ID)", "") &amp; " " &amp; IF(SUMPRODUCT(-- ISNUMBER(SEARCH({"Unique","Unique Case Insensitive"}, $R142))) &gt; 0, "(" &amp; $R142 &amp; ")", ""))))</f>
        <v>na</v>
      </c>
      <c r="E142" s="7" t="s">
        <v>195</v>
      </c>
      <c r="F142" s="7" t="s">
        <v>195</v>
      </c>
      <c r="G142" s="7" t="s">
        <v>195</v>
      </c>
      <c r="H142" s="7" t="s">
        <v>195</v>
      </c>
      <c r="I142" s="7" t="s">
        <v>195</v>
      </c>
      <c r="J142" s="7" t="s">
        <v>195</v>
      </c>
      <c r="K142" s="7" t="s">
        <v>195</v>
      </c>
      <c r="L142" s="7" t="s">
        <v>195</v>
      </c>
      <c r="M142" s="7" t="s">
        <v>29</v>
      </c>
      <c r="N142" s="7" t="s">
        <v>29</v>
      </c>
      <c r="O142" s="7" t="s">
        <v>29</v>
      </c>
      <c r="P142" s="7" t="s">
        <v>29</v>
      </c>
      <c r="Q142" s="7" t="s">
        <v>29</v>
      </c>
      <c r="R142" s="7" t="s">
        <v>29</v>
      </c>
      <c r="S142" s="7" t="s">
        <v>29</v>
      </c>
    </row>
    <row r="143" spans="2:19">
      <c r="B143" s="7" t="s">
        <v>195</v>
      </c>
      <c r="C143" s="8" t="s">
        <v>195</v>
      </c>
      <c r="D143" s="5" t="str">
        <f>LRTRIM(CONCATENATE(IF(SUMPRODUCT(-- ISNUMBER(SEARCH({"Auto Number"}, $B143))) &gt; 0, $B143, IF(SUMPRODUCT(-- ISNUMBER(SEARCH({"Lookup","Master-Detail"}, $B143))) &gt; 0,$B143 &amp; "(" &amp; $E143 &amp; ")",IF(SUMPRODUCT(-- ISNUMBER(SEARCH({"Formula","Roll-Up Summary"}, $B143))) &gt; 0,$B143 &amp; " (" &amp; $E143 &amp; ")",IF(SUMPRODUCT(-- ISNUMBER(SEARCH({"Content","Currency","Number","Percent","Text","URL"}, $B143))) &gt; 0,$B143 &amp; "(" &amp; $C143 &amp; ")",$B143)))), "  ", TRIM(IF($S143 = "YES", "(External ID)", "") &amp; " " &amp; IF(SUMPRODUCT(-- ISNUMBER(SEARCH({"Unique","Unique Case Insensitive"}, $R143))) &gt; 0, "(" &amp; $R143 &amp; ")", ""))))</f>
        <v>na</v>
      </c>
      <c r="E143" s="7" t="s">
        <v>195</v>
      </c>
      <c r="F143" s="7" t="s">
        <v>195</v>
      </c>
      <c r="G143" s="7" t="s">
        <v>195</v>
      </c>
      <c r="H143" s="7" t="s">
        <v>195</v>
      </c>
      <c r="I143" s="7" t="s">
        <v>195</v>
      </c>
      <c r="J143" s="7" t="s">
        <v>195</v>
      </c>
      <c r="K143" s="7" t="s">
        <v>195</v>
      </c>
      <c r="L143" s="7" t="s">
        <v>195</v>
      </c>
      <c r="M143" s="7" t="s">
        <v>29</v>
      </c>
      <c r="N143" s="7" t="s">
        <v>29</v>
      </c>
      <c r="O143" s="7" t="s">
        <v>29</v>
      </c>
      <c r="P143" s="7" t="s">
        <v>29</v>
      </c>
      <c r="Q143" s="7" t="s">
        <v>29</v>
      </c>
      <c r="R143" s="7" t="s">
        <v>29</v>
      </c>
      <c r="S143" s="7" t="s">
        <v>29</v>
      </c>
    </row>
    <row r="144" spans="2:19">
      <c r="B144" s="7" t="s">
        <v>195</v>
      </c>
      <c r="C144" s="8" t="s">
        <v>195</v>
      </c>
      <c r="D144" s="5" t="str">
        <f>LRTRIM(CONCATENATE(IF(SUMPRODUCT(-- ISNUMBER(SEARCH({"Auto Number"}, $B144))) &gt; 0, $B144, IF(SUMPRODUCT(-- ISNUMBER(SEARCH({"Lookup","Master-Detail"}, $B144))) &gt; 0,$B144 &amp; "(" &amp; $E144 &amp; ")",IF(SUMPRODUCT(-- ISNUMBER(SEARCH({"Formula","Roll-Up Summary"}, $B144))) &gt; 0,$B144 &amp; " (" &amp; $E144 &amp; ")",IF(SUMPRODUCT(-- ISNUMBER(SEARCH({"Content","Currency","Number","Percent","Text","URL"}, $B144))) &gt; 0,$B144 &amp; "(" &amp; $C144 &amp; ")",$B144)))), "  ", TRIM(IF($S144 = "YES", "(External ID)", "") &amp; " " &amp; IF(SUMPRODUCT(-- ISNUMBER(SEARCH({"Unique","Unique Case Insensitive"}, $R144))) &gt; 0, "(" &amp; $R144 &amp; ")", ""))))</f>
        <v>na</v>
      </c>
      <c r="E144" s="7" t="s">
        <v>195</v>
      </c>
      <c r="F144" s="7" t="s">
        <v>195</v>
      </c>
      <c r="G144" s="7" t="s">
        <v>195</v>
      </c>
      <c r="H144" s="7" t="s">
        <v>195</v>
      </c>
      <c r="I144" s="7" t="s">
        <v>195</v>
      </c>
      <c r="J144" s="7" t="s">
        <v>195</v>
      </c>
      <c r="K144" s="7" t="s">
        <v>195</v>
      </c>
      <c r="L144" s="7" t="s">
        <v>195</v>
      </c>
      <c r="M144" s="7" t="s">
        <v>29</v>
      </c>
      <c r="N144" s="7" t="s">
        <v>29</v>
      </c>
      <c r="O144" s="7" t="s">
        <v>29</v>
      </c>
      <c r="P144" s="7" t="s">
        <v>29</v>
      </c>
      <c r="Q144" s="7" t="s">
        <v>29</v>
      </c>
      <c r="R144" s="7" t="s">
        <v>29</v>
      </c>
      <c r="S144" s="7" t="s">
        <v>29</v>
      </c>
    </row>
    <row r="145" spans="2:19">
      <c r="B145" s="7" t="s">
        <v>195</v>
      </c>
      <c r="C145" s="8" t="s">
        <v>195</v>
      </c>
      <c r="D145" s="5" t="str">
        <f>LRTRIM(CONCATENATE(IF(SUMPRODUCT(-- ISNUMBER(SEARCH({"Auto Number"}, $B145))) &gt; 0, $B145, IF(SUMPRODUCT(-- ISNUMBER(SEARCH({"Lookup","Master-Detail"}, $B145))) &gt; 0,$B145 &amp; "(" &amp; $E145 &amp; ")",IF(SUMPRODUCT(-- ISNUMBER(SEARCH({"Formula","Roll-Up Summary"}, $B145))) &gt; 0,$B145 &amp; " (" &amp; $E145 &amp; ")",IF(SUMPRODUCT(-- ISNUMBER(SEARCH({"Content","Currency","Number","Percent","Text","URL"}, $B145))) &gt; 0,$B145 &amp; "(" &amp; $C145 &amp; ")",$B145)))), "  ", TRIM(IF($S145 = "YES", "(External ID)", "") &amp; " " &amp; IF(SUMPRODUCT(-- ISNUMBER(SEARCH({"Unique","Unique Case Insensitive"}, $R145))) &gt; 0, "(" &amp; $R145 &amp; ")", ""))))</f>
        <v>na</v>
      </c>
      <c r="E145" s="7" t="s">
        <v>195</v>
      </c>
      <c r="F145" s="7" t="s">
        <v>195</v>
      </c>
      <c r="G145" s="7" t="s">
        <v>195</v>
      </c>
      <c r="H145" s="7" t="s">
        <v>195</v>
      </c>
      <c r="I145" s="7" t="s">
        <v>195</v>
      </c>
      <c r="J145" s="7" t="s">
        <v>195</v>
      </c>
      <c r="K145" s="7" t="s">
        <v>195</v>
      </c>
      <c r="L145" s="7" t="s">
        <v>195</v>
      </c>
      <c r="M145" s="7" t="s">
        <v>29</v>
      </c>
      <c r="N145" s="7" t="s">
        <v>29</v>
      </c>
      <c r="O145" s="7" t="s">
        <v>29</v>
      </c>
      <c r="P145" s="7" t="s">
        <v>29</v>
      </c>
      <c r="Q145" s="7" t="s">
        <v>29</v>
      </c>
      <c r="R145" s="7" t="s">
        <v>29</v>
      </c>
      <c r="S145" s="7" t="s">
        <v>29</v>
      </c>
    </row>
    <row r="146" spans="2:19">
      <c r="B146" s="7" t="s">
        <v>195</v>
      </c>
      <c r="C146" s="8" t="s">
        <v>195</v>
      </c>
      <c r="D146" s="5" t="str">
        <f>LRTRIM(CONCATENATE(IF(SUMPRODUCT(-- ISNUMBER(SEARCH({"Auto Number"}, $B146))) &gt; 0, $B146, IF(SUMPRODUCT(-- ISNUMBER(SEARCH({"Lookup","Master-Detail"}, $B146))) &gt; 0,$B146 &amp; "(" &amp; $E146 &amp; ")",IF(SUMPRODUCT(-- ISNUMBER(SEARCH({"Formula","Roll-Up Summary"}, $B146))) &gt; 0,$B146 &amp; " (" &amp; $E146 &amp; ")",IF(SUMPRODUCT(-- ISNUMBER(SEARCH({"Content","Currency","Number","Percent","Text","URL"}, $B146))) &gt; 0,$B146 &amp; "(" &amp; $C146 &amp; ")",$B146)))), "  ", TRIM(IF($S146 = "YES", "(External ID)", "") &amp; " " &amp; IF(SUMPRODUCT(-- ISNUMBER(SEARCH({"Unique","Unique Case Insensitive"}, $R146))) &gt; 0, "(" &amp; $R146 &amp; ")", ""))))</f>
        <v>na</v>
      </c>
      <c r="E146" s="7" t="s">
        <v>195</v>
      </c>
      <c r="F146" s="7" t="s">
        <v>195</v>
      </c>
      <c r="G146" s="7" t="s">
        <v>195</v>
      </c>
      <c r="H146" s="7" t="s">
        <v>195</v>
      </c>
      <c r="I146" s="7" t="s">
        <v>195</v>
      </c>
      <c r="J146" s="7" t="s">
        <v>195</v>
      </c>
      <c r="K146" s="7" t="s">
        <v>195</v>
      </c>
      <c r="L146" s="7" t="s">
        <v>195</v>
      </c>
      <c r="M146" s="7" t="s">
        <v>29</v>
      </c>
      <c r="N146" s="7" t="s">
        <v>29</v>
      </c>
      <c r="O146" s="7" t="s">
        <v>29</v>
      </c>
      <c r="P146" s="7" t="s">
        <v>29</v>
      </c>
      <c r="Q146" s="7" t="s">
        <v>29</v>
      </c>
      <c r="R146" s="7" t="s">
        <v>29</v>
      </c>
      <c r="S146" s="7" t="s">
        <v>29</v>
      </c>
    </row>
    <row r="147" spans="2:19">
      <c r="B147" s="7" t="s">
        <v>195</v>
      </c>
      <c r="C147" s="8" t="s">
        <v>195</v>
      </c>
      <c r="D147" s="5" t="str">
        <f>LRTRIM(CONCATENATE(IF(SUMPRODUCT(-- ISNUMBER(SEARCH({"Auto Number"}, $B147))) &gt; 0, $B147, IF(SUMPRODUCT(-- ISNUMBER(SEARCH({"Lookup","Master-Detail"}, $B147))) &gt; 0,$B147 &amp; "(" &amp; $E147 &amp; ")",IF(SUMPRODUCT(-- ISNUMBER(SEARCH({"Formula","Roll-Up Summary"}, $B147))) &gt; 0,$B147 &amp; " (" &amp; $E147 &amp; ")",IF(SUMPRODUCT(-- ISNUMBER(SEARCH({"Content","Currency","Number","Percent","Text","URL"}, $B147))) &gt; 0,$B147 &amp; "(" &amp; $C147 &amp; ")",$B147)))), "  ", TRIM(IF($S147 = "YES", "(External ID)", "") &amp; " " &amp; IF(SUMPRODUCT(-- ISNUMBER(SEARCH({"Unique","Unique Case Insensitive"}, $R147))) &gt; 0, "(" &amp; $R147 &amp; ")", ""))))</f>
        <v>na</v>
      </c>
      <c r="E147" s="7" t="s">
        <v>195</v>
      </c>
      <c r="F147" s="7" t="s">
        <v>195</v>
      </c>
      <c r="G147" s="7" t="s">
        <v>195</v>
      </c>
      <c r="H147" s="7" t="s">
        <v>195</v>
      </c>
      <c r="I147" s="7" t="s">
        <v>195</v>
      </c>
      <c r="J147" s="7" t="s">
        <v>195</v>
      </c>
      <c r="K147" s="7" t="s">
        <v>195</v>
      </c>
      <c r="L147" s="7" t="s">
        <v>195</v>
      </c>
      <c r="M147" s="7" t="s">
        <v>29</v>
      </c>
      <c r="N147" s="7" t="s">
        <v>29</v>
      </c>
      <c r="O147" s="7" t="s">
        <v>29</v>
      </c>
      <c r="P147" s="7" t="s">
        <v>29</v>
      </c>
      <c r="Q147" s="7" t="s">
        <v>29</v>
      </c>
      <c r="R147" s="7" t="s">
        <v>29</v>
      </c>
      <c r="S147" s="7" t="s">
        <v>29</v>
      </c>
    </row>
    <row r="148" spans="2:19">
      <c r="B148" s="7" t="s">
        <v>195</v>
      </c>
      <c r="C148" s="8" t="s">
        <v>195</v>
      </c>
      <c r="D148" s="5" t="str">
        <f>LRTRIM(CONCATENATE(IF(SUMPRODUCT(-- ISNUMBER(SEARCH({"Auto Number"}, $B148))) &gt; 0, $B148, IF(SUMPRODUCT(-- ISNUMBER(SEARCH({"Lookup","Master-Detail"}, $B148))) &gt; 0,$B148 &amp; "(" &amp; $E148 &amp; ")",IF(SUMPRODUCT(-- ISNUMBER(SEARCH({"Formula","Roll-Up Summary"}, $B148))) &gt; 0,$B148 &amp; " (" &amp; $E148 &amp; ")",IF(SUMPRODUCT(-- ISNUMBER(SEARCH({"Content","Currency","Number","Percent","Text","URL"}, $B148))) &gt; 0,$B148 &amp; "(" &amp; $C148 &amp; ")",$B148)))), "  ", TRIM(IF($S148 = "YES", "(External ID)", "") &amp; " " &amp; IF(SUMPRODUCT(-- ISNUMBER(SEARCH({"Unique","Unique Case Insensitive"}, $R148))) &gt; 0, "(" &amp; $R148 &amp; ")", ""))))</f>
        <v>na</v>
      </c>
      <c r="E148" s="7" t="s">
        <v>195</v>
      </c>
      <c r="F148" s="7" t="s">
        <v>195</v>
      </c>
      <c r="G148" s="7" t="s">
        <v>195</v>
      </c>
      <c r="H148" s="7" t="s">
        <v>195</v>
      </c>
      <c r="I148" s="7" t="s">
        <v>195</v>
      </c>
      <c r="J148" s="7" t="s">
        <v>195</v>
      </c>
      <c r="K148" s="7" t="s">
        <v>195</v>
      </c>
      <c r="L148" s="7" t="s">
        <v>195</v>
      </c>
      <c r="M148" s="7" t="s">
        <v>29</v>
      </c>
      <c r="N148" s="7" t="s">
        <v>29</v>
      </c>
      <c r="O148" s="7" t="s">
        <v>29</v>
      </c>
      <c r="P148" s="7" t="s">
        <v>29</v>
      </c>
      <c r="Q148" s="7" t="s">
        <v>29</v>
      </c>
      <c r="R148" s="7" t="s">
        <v>29</v>
      </c>
      <c r="S148" s="7" t="s">
        <v>29</v>
      </c>
    </row>
    <row r="149" spans="2:19">
      <c r="B149" s="7" t="s">
        <v>195</v>
      </c>
      <c r="C149" s="8" t="s">
        <v>195</v>
      </c>
      <c r="D149" s="5" t="str">
        <f>LRTRIM(CONCATENATE(IF(SUMPRODUCT(-- ISNUMBER(SEARCH({"Auto Number"}, $B149))) &gt; 0, $B149, IF(SUMPRODUCT(-- ISNUMBER(SEARCH({"Lookup","Master-Detail"}, $B149))) &gt; 0,$B149 &amp; "(" &amp; $E149 &amp; ")",IF(SUMPRODUCT(-- ISNUMBER(SEARCH({"Formula","Roll-Up Summary"}, $B149))) &gt; 0,$B149 &amp; " (" &amp; $E149 &amp; ")",IF(SUMPRODUCT(-- ISNUMBER(SEARCH({"Content","Currency","Number","Percent","Text","URL"}, $B149))) &gt; 0,$B149 &amp; "(" &amp; $C149 &amp; ")",$B149)))), "  ", TRIM(IF($S149 = "YES", "(External ID)", "") &amp; " " &amp; IF(SUMPRODUCT(-- ISNUMBER(SEARCH({"Unique","Unique Case Insensitive"}, $R149))) &gt; 0, "(" &amp; $R149 &amp; ")", ""))))</f>
        <v>na</v>
      </c>
      <c r="E149" s="7" t="s">
        <v>195</v>
      </c>
      <c r="F149" s="7" t="s">
        <v>195</v>
      </c>
      <c r="G149" s="7" t="s">
        <v>195</v>
      </c>
      <c r="H149" s="7" t="s">
        <v>195</v>
      </c>
      <c r="I149" s="7" t="s">
        <v>195</v>
      </c>
      <c r="J149" s="7" t="s">
        <v>195</v>
      </c>
      <c r="K149" s="7" t="s">
        <v>195</v>
      </c>
      <c r="L149" s="7" t="s">
        <v>195</v>
      </c>
      <c r="M149" s="7" t="s">
        <v>29</v>
      </c>
      <c r="N149" s="7" t="s">
        <v>29</v>
      </c>
      <c r="O149" s="7" t="s">
        <v>29</v>
      </c>
      <c r="P149" s="7" t="s">
        <v>29</v>
      </c>
      <c r="Q149" s="7" t="s">
        <v>29</v>
      </c>
      <c r="R149" s="7" t="s">
        <v>29</v>
      </c>
      <c r="S149" s="7" t="s">
        <v>29</v>
      </c>
    </row>
    <row r="150" spans="2:19">
      <c r="B150" s="7" t="s">
        <v>195</v>
      </c>
      <c r="C150" s="8" t="s">
        <v>195</v>
      </c>
      <c r="D150" s="5" t="str">
        <f>LRTRIM(CONCATENATE(IF(SUMPRODUCT(-- ISNUMBER(SEARCH({"Auto Number"}, $B150))) &gt; 0, $B150, IF(SUMPRODUCT(-- ISNUMBER(SEARCH({"Lookup","Master-Detail"}, $B150))) &gt; 0,$B150 &amp; "(" &amp; $E150 &amp; ")",IF(SUMPRODUCT(-- ISNUMBER(SEARCH({"Formula","Roll-Up Summary"}, $B150))) &gt; 0,$B150 &amp; " (" &amp; $E150 &amp; ")",IF(SUMPRODUCT(-- ISNUMBER(SEARCH({"Content","Currency","Number","Percent","Text","URL"}, $B150))) &gt; 0,$B150 &amp; "(" &amp; $C150 &amp; ")",$B150)))), "  ", TRIM(IF($S150 = "YES", "(External ID)", "") &amp; " " &amp; IF(SUMPRODUCT(-- ISNUMBER(SEARCH({"Unique","Unique Case Insensitive"}, $R150))) &gt; 0, "(" &amp; $R150 &amp; ")", ""))))</f>
        <v>na</v>
      </c>
      <c r="E150" s="7" t="s">
        <v>195</v>
      </c>
      <c r="F150" s="7" t="s">
        <v>195</v>
      </c>
      <c r="G150" s="7" t="s">
        <v>195</v>
      </c>
      <c r="H150" s="7" t="s">
        <v>195</v>
      </c>
      <c r="I150" s="7" t="s">
        <v>195</v>
      </c>
      <c r="J150" s="7" t="s">
        <v>195</v>
      </c>
      <c r="K150" s="7" t="s">
        <v>195</v>
      </c>
      <c r="L150" s="7" t="s">
        <v>195</v>
      </c>
      <c r="M150" s="7" t="s">
        <v>29</v>
      </c>
      <c r="N150" s="7" t="s">
        <v>29</v>
      </c>
      <c r="O150" s="7" t="s">
        <v>29</v>
      </c>
      <c r="P150" s="7" t="s">
        <v>29</v>
      </c>
      <c r="Q150" s="7" t="s">
        <v>29</v>
      </c>
      <c r="R150" s="7" t="s">
        <v>29</v>
      </c>
      <c r="S150" s="7" t="s">
        <v>29</v>
      </c>
    </row>
    <row r="151" spans="2:19">
      <c r="B151" s="7" t="s">
        <v>195</v>
      </c>
      <c r="C151" s="8" t="s">
        <v>195</v>
      </c>
      <c r="D151" s="5" t="str">
        <f>LRTRIM(CONCATENATE(IF(SUMPRODUCT(-- ISNUMBER(SEARCH({"Auto Number"}, $B151))) &gt; 0, $B151, IF(SUMPRODUCT(-- ISNUMBER(SEARCH({"Lookup","Master-Detail"}, $B151))) &gt; 0,$B151 &amp; "(" &amp; $E151 &amp; ")",IF(SUMPRODUCT(-- ISNUMBER(SEARCH({"Formula","Roll-Up Summary"}, $B151))) &gt; 0,$B151 &amp; " (" &amp; $E151 &amp; ")",IF(SUMPRODUCT(-- ISNUMBER(SEARCH({"Content","Currency","Number","Percent","Text","URL"}, $B151))) &gt; 0,$B151 &amp; "(" &amp; $C151 &amp; ")",$B151)))), "  ", TRIM(IF($S151 = "YES", "(External ID)", "") &amp; " " &amp; IF(SUMPRODUCT(-- ISNUMBER(SEARCH({"Unique","Unique Case Insensitive"}, $R151))) &gt; 0, "(" &amp; $R151 &amp; ")", ""))))</f>
        <v>na</v>
      </c>
      <c r="E151" s="7" t="s">
        <v>195</v>
      </c>
      <c r="F151" s="7" t="s">
        <v>195</v>
      </c>
      <c r="G151" s="7" t="s">
        <v>195</v>
      </c>
      <c r="H151" s="7" t="s">
        <v>195</v>
      </c>
      <c r="I151" s="7" t="s">
        <v>195</v>
      </c>
      <c r="J151" s="7" t="s">
        <v>195</v>
      </c>
      <c r="K151" s="7" t="s">
        <v>195</v>
      </c>
      <c r="L151" s="7" t="s">
        <v>195</v>
      </c>
      <c r="M151" s="7" t="s">
        <v>29</v>
      </c>
      <c r="N151" s="7" t="s">
        <v>29</v>
      </c>
      <c r="O151" s="7" t="s">
        <v>29</v>
      </c>
      <c r="P151" s="7" t="s">
        <v>29</v>
      </c>
      <c r="Q151" s="7" t="s">
        <v>29</v>
      </c>
      <c r="R151" s="7" t="s">
        <v>29</v>
      </c>
      <c r="S151" s="7" t="s">
        <v>29</v>
      </c>
    </row>
    <row r="152" spans="2:19">
      <c r="B152" s="7" t="s">
        <v>195</v>
      </c>
      <c r="C152" s="8" t="s">
        <v>195</v>
      </c>
      <c r="D152" s="5" t="str">
        <f>LRTRIM(CONCATENATE(IF(SUMPRODUCT(-- ISNUMBER(SEARCH({"Auto Number"}, $B152))) &gt; 0, $B152, IF(SUMPRODUCT(-- ISNUMBER(SEARCH({"Lookup","Master-Detail"}, $B152))) &gt; 0,$B152 &amp; "(" &amp; $E152 &amp; ")",IF(SUMPRODUCT(-- ISNUMBER(SEARCH({"Formula","Roll-Up Summary"}, $B152))) &gt; 0,$B152 &amp; " (" &amp; $E152 &amp; ")",IF(SUMPRODUCT(-- ISNUMBER(SEARCH({"Content","Currency","Number","Percent","Text","URL"}, $B152))) &gt; 0,$B152 &amp; "(" &amp; $C152 &amp; ")",$B152)))), "  ", TRIM(IF($S152 = "YES", "(External ID)", "") &amp; " " &amp; IF(SUMPRODUCT(-- ISNUMBER(SEARCH({"Unique","Unique Case Insensitive"}, $R152))) &gt; 0, "(" &amp; $R152 &amp; ")", ""))))</f>
        <v>na</v>
      </c>
      <c r="E152" s="7" t="s">
        <v>195</v>
      </c>
      <c r="F152" s="7" t="s">
        <v>195</v>
      </c>
      <c r="G152" s="7" t="s">
        <v>195</v>
      </c>
      <c r="H152" s="7" t="s">
        <v>195</v>
      </c>
      <c r="I152" s="7" t="s">
        <v>195</v>
      </c>
      <c r="J152" s="7" t="s">
        <v>195</v>
      </c>
      <c r="K152" s="7" t="s">
        <v>195</v>
      </c>
      <c r="L152" s="7" t="s">
        <v>195</v>
      </c>
      <c r="M152" s="7" t="s">
        <v>29</v>
      </c>
      <c r="N152" s="7" t="s">
        <v>29</v>
      </c>
      <c r="O152" s="7" t="s">
        <v>29</v>
      </c>
      <c r="P152" s="7" t="s">
        <v>29</v>
      </c>
      <c r="Q152" s="7" t="s">
        <v>29</v>
      </c>
      <c r="R152" s="7" t="s">
        <v>29</v>
      </c>
      <c r="S152" s="7" t="s">
        <v>29</v>
      </c>
    </row>
    <row r="153" spans="2:19">
      <c r="B153" s="7" t="s">
        <v>195</v>
      </c>
      <c r="C153" s="8" t="s">
        <v>195</v>
      </c>
      <c r="D153" s="5" t="str">
        <f>LRTRIM(CONCATENATE(IF(SUMPRODUCT(-- ISNUMBER(SEARCH({"Auto Number"}, $B153))) &gt; 0, $B153, IF(SUMPRODUCT(-- ISNUMBER(SEARCH({"Lookup","Master-Detail"}, $B153))) &gt; 0,$B153 &amp; "(" &amp; $E153 &amp; ")",IF(SUMPRODUCT(-- ISNUMBER(SEARCH({"Formula","Roll-Up Summary"}, $B153))) &gt; 0,$B153 &amp; " (" &amp; $E153 &amp; ")",IF(SUMPRODUCT(-- ISNUMBER(SEARCH({"Content","Currency","Number","Percent","Text","URL"}, $B153))) &gt; 0,$B153 &amp; "(" &amp; $C153 &amp; ")",$B153)))), "  ", TRIM(IF($S153 = "YES", "(External ID)", "") &amp; " " &amp; IF(SUMPRODUCT(-- ISNUMBER(SEARCH({"Unique","Unique Case Insensitive"}, $R153))) &gt; 0, "(" &amp; $R153 &amp; ")", ""))))</f>
        <v>na</v>
      </c>
      <c r="E153" s="7" t="s">
        <v>195</v>
      </c>
      <c r="F153" s="7" t="s">
        <v>195</v>
      </c>
      <c r="G153" s="7" t="s">
        <v>195</v>
      </c>
      <c r="H153" s="7" t="s">
        <v>195</v>
      </c>
      <c r="I153" s="7" t="s">
        <v>195</v>
      </c>
      <c r="J153" s="7" t="s">
        <v>195</v>
      </c>
      <c r="K153" s="7" t="s">
        <v>195</v>
      </c>
      <c r="L153" s="7" t="s">
        <v>195</v>
      </c>
      <c r="M153" s="7" t="s">
        <v>29</v>
      </c>
      <c r="N153" s="7" t="s">
        <v>29</v>
      </c>
      <c r="O153" s="7" t="s">
        <v>29</v>
      </c>
      <c r="P153" s="7" t="s">
        <v>29</v>
      </c>
      <c r="Q153" s="7" t="s">
        <v>29</v>
      </c>
      <c r="R153" s="7" t="s">
        <v>29</v>
      </c>
      <c r="S153" s="7" t="s">
        <v>29</v>
      </c>
    </row>
    <row r="154" spans="2:19">
      <c r="B154" s="7" t="s">
        <v>195</v>
      </c>
      <c r="C154" s="8" t="s">
        <v>195</v>
      </c>
      <c r="D154" s="5" t="str">
        <f>LRTRIM(CONCATENATE(IF(SUMPRODUCT(-- ISNUMBER(SEARCH({"Auto Number"}, $B154))) &gt; 0, $B154, IF(SUMPRODUCT(-- ISNUMBER(SEARCH({"Lookup","Master-Detail"}, $B154))) &gt; 0,$B154 &amp; "(" &amp; $E154 &amp; ")",IF(SUMPRODUCT(-- ISNUMBER(SEARCH({"Formula","Roll-Up Summary"}, $B154))) &gt; 0,$B154 &amp; " (" &amp; $E154 &amp; ")",IF(SUMPRODUCT(-- ISNUMBER(SEARCH({"Content","Currency","Number","Percent","Text","URL"}, $B154))) &gt; 0,$B154 &amp; "(" &amp; $C154 &amp; ")",$B154)))), "  ", TRIM(IF($S154 = "YES", "(External ID)", "") &amp; " " &amp; IF(SUMPRODUCT(-- ISNUMBER(SEARCH({"Unique","Unique Case Insensitive"}, $R154))) &gt; 0, "(" &amp; $R154 &amp; ")", ""))))</f>
        <v>na</v>
      </c>
      <c r="E154" s="7" t="s">
        <v>195</v>
      </c>
      <c r="F154" s="7" t="s">
        <v>195</v>
      </c>
      <c r="G154" s="7" t="s">
        <v>195</v>
      </c>
      <c r="H154" s="7" t="s">
        <v>195</v>
      </c>
      <c r="I154" s="7" t="s">
        <v>195</v>
      </c>
      <c r="J154" s="7" t="s">
        <v>195</v>
      </c>
      <c r="K154" s="7" t="s">
        <v>195</v>
      </c>
      <c r="L154" s="7" t="s">
        <v>195</v>
      </c>
      <c r="M154" s="7" t="s">
        <v>29</v>
      </c>
      <c r="N154" s="7" t="s">
        <v>29</v>
      </c>
      <c r="O154" s="7" t="s">
        <v>29</v>
      </c>
      <c r="P154" s="7" t="s">
        <v>29</v>
      </c>
      <c r="Q154" s="7" t="s">
        <v>29</v>
      </c>
      <c r="R154" s="7" t="s">
        <v>29</v>
      </c>
      <c r="S154" s="7" t="s">
        <v>29</v>
      </c>
    </row>
    <row r="155" spans="2:19">
      <c r="B155" s="7" t="s">
        <v>195</v>
      </c>
      <c r="C155" s="8" t="s">
        <v>195</v>
      </c>
      <c r="D155" s="5" t="str">
        <f>LRTRIM(CONCATENATE(IF(SUMPRODUCT(-- ISNUMBER(SEARCH({"Auto Number"}, $B155))) &gt; 0, $B155, IF(SUMPRODUCT(-- ISNUMBER(SEARCH({"Lookup","Master-Detail"}, $B155))) &gt; 0,$B155 &amp; "(" &amp; $E155 &amp; ")",IF(SUMPRODUCT(-- ISNUMBER(SEARCH({"Formula","Roll-Up Summary"}, $B155))) &gt; 0,$B155 &amp; " (" &amp; $E155 &amp; ")",IF(SUMPRODUCT(-- ISNUMBER(SEARCH({"Content","Currency","Number","Percent","Text","URL"}, $B155))) &gt; 0,$B155 &amp; "(" &amp; $C155 &amp; ")",$B155)))), "  ", TRIM(IF($S155 = "YES", "(External ID)", "") &amp; " " &amp; IF(SUMPRODUCT(-- ISNUMBER(SEARCH({"Unique","Unique Case Insensitive"}, $R155))) &gt; 0, "(" &amp; $R155 &amp; ")", ""))))</f>
        <v>na</v>
      </c>
      <c r="E155" s="7" t="s">
        <v>195</v>
      </c>
      <c r="F155" s="7" t="s">
        <v>195</v>
      </c>
      <c r="G155" s="7" t="s">
        <v>195</v>
      </c>
      <c r="H155" s="7" t="s">
        <v>195</v>
      </c>
      <c r="I155" s="7" t="s">
        <v>195</v>
      </c>
      <c r="J155" s="7" t="s">
        <v>195</v>
      </c>
      <c r="K155" s="7" t="s">
        <v>195</v>
      </c>
      <c r="L155" s="7" t="s">
        <v>195</v>
      </c>
      <c r="M155" s="7" t="s">
        <v>29</v>
      </c>
      <c r="N155" s="7" t="s">
        <v>29</v>
      </c>
      <c r="O155" s="7" t="s">
        <v>29</v>
      </c>
      <c r="P155" s="7" t="s">
        <v>29</v>
      </c>
      <c r="Q155" s="7" t="s">
        <v>29</v>
      </c>
      <c r="R155" s="7" t="s">
        <v>29</v>
      </c>
      <c r="S155" s="7" t="s">
        <v>29</v>
      </c>
    </row>
    <row r="156" spans="2:19">
      <c r="B156" s="7" t="s">
        <v>195</v>
      </c>
      <c r="C156" s="8" t="s">
        <v>195</v>
      </c>
      <c r="D156" s="5" t="str">
        <f>LRTRIM(CONCATENATE(IF(SUMPRODUCT(-- ISNUMBER(SEARCH({"Auto Number"}, $B156))) &gt; 0, $B156, IF(SUMPRODUCT(-- ISNUMBER(SEARCH({"Lookup","Master-Detail"}, $B156))) &gt; 0,$B156 &amp; "(" &amp; $E156 &amp; ")",IF(SUMPRODUCT(-- ISNUMBER(SEARCH({"Formula","Roll-Up Summary"}, $B156))) &gt; 0,$B156 &amp; " (" &amp; $E156 &amp; ")",IF(SUMPRODUCT(-- ISNUMBER(SEARCH({"Content","Currency","Number","Percent","Text","URL"}, $B156))) &gt; 0,$B156 &amp; "(" &amp; $C156 &amp; ")",$B156)))), "  ", TRIM(IF($S156 = "YES", "(External ID)", "") &amp; " " &amp; IF(SUMPRODUCT(-- ISNUMBER(SEARCH({"Unique","Unique Case Insensitive"}, $R156))) &gt; 0, "(" &amp; $R156 &amp; ")", ""))))</f>
        <v>na</v>
      </c>
      <c r="E156" s="7" t="s">
        <v>195</v>
      </c>
      <c r="F156" s="7" t="s">
        <v>195</v>
      </c>
      <c r="G156" s="7" t="s">
        <v>195</v>
      </c>
      <c r="H156" s="7" t="s">
        <v>195</v>
      </c>
      <c r="I156" s="7" t="s">
        <v>195</v>
      </c>
      <c r="J156" s="7" t="s">
        <v>195</v>
      </c>
      <c r="K156" s="7" t="s">
        <v>195</v>
      </c>
      <c r="L156" s="7" t="s">
        <v>195</v>
      </c>
      <c r="M156" s="7" t="s">
        <v>29</v>
      </c>
      <c r="N156" s="7" t="s">
        <v>29</v>
      </c>
      <c r="O156" s="7" t="s">
        <v>29</v>
      </c>
      <c r="P156" s="7" t="s">
        <v>29</v>
      </c>
      <c r="Q156" s="7" t="s">
        <v>29</v>
      </c>
      <c r="R156" s="7" t="s">
        <v>29</v>
      </c>
      <c r="S156" s="7" t="s">
        <v>29</v>
      </c>
    </row>
    <row r="157" spans="2:19">
      <c r="B157" s="7" t="s">
        <v>195</v>
      </c>
      <c r="C157" s="8" t="s">
        <v>195</v>
      </c>
      <c r="D157" s="5" t="str">
        <f>LRTRIM(CONCATENATE(IF(SUMPRODUCT(-- ISNUMBER(SEARCH({"Auto Number"}, $B157))) &gt; 0, $B157, IF(SUMPRODUCT(-- ISNUMBER(SEARCH({"Lookup","Master-Detail"}, $B157))) &gt; 0,$B157 &amp; "(" &amp; $E157 &amp; ")",IF(SUMPRODUCT(-- ISNUMBER(SEARCH({"Formula","Roll-Up Summary"}, $B157))) &gt; 0,$B157 &amp; " (" &amp; $E157 &amp; ")",IF(SUMPRODUCT(-- ISNUMBER(SEARCH({"Content","Currency","Number","Percent","Text","URL"}, $B157))) &gt; 0,$B157 &amp; "(" &amp; $C157 &amp; ")",$B157)))), "  ", TRIM(IF($S157 = "YES", "(External ID)", "") &amp; " " &amp; IF(SUMPRODUCT(-- ISNUMBER(SEARCH({"Unique","Unique Case Insensitive"}, $R157))) &gt; 0, "(" &amp; $R157 &amp; ")", ""))))</f>
        <v>na</v>
      </c>
      <c r="E157" s="7" t="s">
        <v>195</v>
      </c>
      <c r="F157" s="7" t="s">
        <v>195</v>
      </c>
      <c r="G157" s="7" t="s">
        <v>195</v>
      </c>
      <c r="H157" s="7" t="s">
        <v>195</v>
      </c>
      <c r="I157" s="7" t="s">
        <v>195</v>
      </c>
      <c r="J157" s="7" t="s">
        <v>195</v>
      </c>
      <c r="K157" s="7" t="s">
        <v>195</v>
      </c>
      <c r="L157" s="7" t="s">
        <v>195</v>
      </c>
      <c r="M157" s="7" t="s">
        <v>29</v>
      </c>
      <c r="N157" s="7" t="s">
        <v>29</v>
      </c>
      <c r="O157" s="7" t="s">
        <v>29</v>
      </c>
      <c r="P157" s="7" t="s">
        <v>29</v>
      </c>
      <c r="Q157" s="7" t="s">
        <v>29</v>
      </c>
      <c r="R157" s="7" t="s">
        <v>29</v>
      </c>
      <c r="S157" s="7" t="s">
        <v>29</v>
      </c>
    </row>
    <row r="158" spans="2:19">
      <c r="B158" s="7" t="s">
        <v>195</v>
      </c>
      <c r="C158" s="8" t="s">
        <v>195</v>
      </c>
      <c r="D158" s="5" t="str">
        <f>LRTRIM(CONCATENATE(IF(SUMPRODUCT(-- ISNUMBER(SEARCH({"Auto Number"}, $B158))) &gt; 0, $B158, IF(SUMPRODUCT(-- ISNUMBER(SEARCH({"Lookup","Master-Detail"}, $B158))) &gt; 0,$B158 &amp; "(" &amp; $E158 &amp; ")",IF(SUMPRODUCT(-- ISNUMBER(SEARCH({"Formula","Roll-Up Summary"}, $B158))) &gt; 0,$B158 &amp; " (" &amp; $E158 &amp; ")",IF(SUMPRODUCT(-- ISNUMBER(SEARCH({"Content","Currency","Number","Percent","Text","URL"}, $B158))) &gt; 0,$B158 &amp; "(" &amp; $C158 &amp; ")",$B158)))), "  ", TRIM(IF($S158 = "YES", "(External ID)", "") &amp; " " &amp; IF(SUMPRODUCT(-- ISNUMBER(SEARCH({"Unique","Unique Case Insensitive"}, $R158))) &gt; 0, "(" &amp; $R158 &amp; ")", ""))))</f>
        <v>na</v>
      </c>
      <c r="E158" s="7" t="s">
        <v>195</v>
      </c>
      <c r="F158" s="7" t="s">
        <v>195</v>
      </c>
      <c r="G158" s="7" t="s">
        <v>195</v>
      </c>
      <c r="H158" s="7" t="s">
        <v>195</v>
      </c>
      <c r="I158" s="7" t="s">
        <v>195</v>
      </c>
      <c r="J158" s="7" t="s">
        <v>195</v>
      </c>
      <c r="K158" s="7" t="s">
        <v>195</v>
      </c>
      <c r="L158" s="7" t="s">
        <v>195</v>
      </c>
      <c r="M158" s="7" t="s">
        <v>29</v>
      </c>
      <c r="N158" s="7" t="s">
        <v>29</v>
      </c>
      <c r="O158" s="7" t="s">
        <v>29</v>
      </c>
      <c r="P158" s="7" t="s">
        <v>29</v>
      </c>
      <c r="Q158" s="7" t="s">
        <v>29</v>
      </c>
      <c r="R158" s="7" t="s">
        <v>29</v>
      </c>
      <c r="S158" s="7" t="s">
        <v>29</v>
      </c>
    </row>
    <row r="159" spans="2:19">
      <c r="B159" s="7" t="s">
        <v>195</v>
      </c>
      <c r="C159" s="8" t="s">
        <v>195</v>
      </c>
      <c r="D159" s="5" t="str">
        <f>LRTRIM(CONCATENATE(IF(SUMPRODUCT(-- ISNUMBER(SEARCH({"Auto Number"}, $B159))) &gt; 0, $B159, IF(SUMPRODUCT(-- ISNUMBER(SEARCH({"Lookup","Master-Detail"}, $B159))) &gt; 0,$B159 &amp; "(" &amp; $E159 &amp; ")",IF(SUMPRODUCT(-- ISNUMBER(SEARCH({"Formula","Roll-Up Summary"}, $B159))) &gt; 0,$B159 &amp; " (" &amp; $E159 &amp; ")",IF(SUMPRODUCT(-- ISNUMBER(SEARCH({"Content","Currency","Number","Percent","Text","URL"}, $B159))) &gt; 0,$B159 &amp; "(" &amp; $C159 &amp; ")",$B159)))), "  ", TRIM(IF($S159 = "YES", "(External ID)", "") &amp; " " &amp; IF(SUMPRODUCT(-- ISNUMBER(SEARCH({"Unique","Unique Case Insensitive"}, $R159))) &gt; 0, "(" &amp; $R159 &amp; ")", ""))))</f>
        <v>na</v>
      </c>
      <c r="E159" s="7" t="s">
        <v>195</v>
      </c>
      <c r="F159" s="7" t="s">
        <v>195</v>
      </c>
      <c r="G159" s="7" t="s">
        <v>195</v>
      </c>
      <c r="H159" s="7" t="s">
        <v>195</v>
      </c>
      <c r="I159" s="7" t="s">
        <v>195</v>
      </c>
      <c r="J159" s="7" t="s">
        <v>195</v>
      </c>
      <c r="K159" s="7" t="s">
        <v>195</v>
      </c>
      <c r="L159" s="7" t="s">
        <v>195</v>
      </c>
      <c r="M159" s="7" t="s">
        <v>29</v>
      </c>
      <c r="N159" s="7" t="s">
        <v>29</v>
      </c>
      <c r="O159" s="7" t="s">
        <v>29</v>
      </c>
      <c r="P159" s="7" t="s">
        <v>29</v>
      </c>
      <c r="Q159" s="7" t="s">
        <v>29</v>
      </c>
      <c r="R159" s="7" t="s">
        <v>29</v>
      </c>
      <c r="S159" s="7" t="s">
        <v>29</v>
      </c>
    </row>
    <row r="160" spans="2:19">
      <c r="B160" s="7" t="s">
        <v>195</v>
      </c>
      <c r="C160" s="8" t="s">
        <v>195</v>
      </c>
      <c r="D160" s="5" t="str">
        <f>LRTRIM(CONCATENATE(IF(SUMPRODUCT(-- ISNUMBER(SEARCH({"Auto Number"}, $B160))) &gt; 0, $B160, IF(SUMPRODUCT(-- ISNUMBER(SEARCH({"Lookup","Master-Detail"}, $B160))) &gt; 0,$B160 &amp; "(" &amp; $E160 &amp; ")",IF(SUMPRODUCT(-- ISNUMBER(SEARCH({"Formula","Roll-Up Summary"}, $B160))) &gt; 0,$B160 &amp; " (" &amp; $E160 &amp; ")",IF(SUMPRODUCT(-- ISNUMBER(SEARCH({"Content","Currency","Number","Percent","Text","URL"}, $B160))) &gt; 0,$B160 &amp; "(" &amp; $C160 &amp; ")",$B160)))), "  ", TRIM(IF($S160 = "YES", "(External ID)", "") &amp; " " &amp; IF(SUMPRODUCT(-- ISNUMBER(SEARCH({"Unique","Unique Case Insensitive"}, $R160))) &gt; 0, "(" &amp; $R160 &amp; ")", ""))))</f>
        <v>na</v>
      </c>
      <c r="E160" s="7" t="s">
        <v>195</v>
      </c>
      <c r="F160" s="7" t="s">
        <v>195</v>
      </c>
      <c r="G160" s="7" t="s">
        <v>195</v>
      </c>
      <c r="H160" s="7" t="s">
        <v>195</v>
      </c>
      <c r="I160" s="7" t="s">
        <v>195</v>
      </c>
      <c r="J160" s="7" t="s">
        <v>195</v>
      </c>
      <c r="K160" s="7" t="s">
        <v>195</v>
      </c>
      <c r="L160" s="7" t="s">
        <v>195</v>
      </c>
      <c r="M160" s="7" t="s">
        <v>29</v>
      </c>
      <c r="N160" s="7" t="s">
        <v>29</v>
      </c>
      <c r="O160" s="7" t="s">
        <v>29</v>
      </c>
      <c r="P160" s="7" t="s">
        <v>29</v>
      </c>
      <c r="Q160" s="7" t="s">
        <v>29</v>
      </c>
      <c r="R160" s="7" t="s">
        <v>29</v>
      </c>
      <c r="S160" s="7" t="s">
        <v>29</v>
      </c>
    </row>
    <row r="161" spans="2:19">
      <c r="B161" s="7" t="s">
        <v>195</v>
      </c>
      <c r="C161" s="8" t="s">
        <v>195</v>
      </c>
      <c r="D161" s="5" t="str">
        <f>LRTRIM(CONCATENATE(IF(SUMPRODUCT(-- ISNUMBER(SEARCH({"Auto Number"}, $B161))) &gt; 0, $B161, IF(SUMPRODUCT(-- ISNUMBER(SEARCH({"Lookup","Master-Detail"}, $B161))) &gt; 0,$B161 &amp; "(" &amp; $E161 &amp; ")",IF(SUMPRODUCT(-- ISNUMBER(SEARCH({"Formula","Roll-Up Summary"}, $B161))) &gt; 0,$B161 &amp; " (" &amp; $E161 &amp; ")",IF(SUMPRODUCT(-- ISNUMBER(SEARCH({"Content","Currency","Number","Percent","Text","URL"}, $B161))) &gt; 0,$B161 &amp; "(" &amp; $C161 &amp; ")",$B161)))), "  ", TRIM(IF($S161 = "YES", "(External ID)", "") &amp; " " &amp; IF(SUMPRODUCT(-- ISNUMBER(SEARCH({"Unique","Unique Case Insensitive"}, $R161))) &gt; 0, "(" &amp; $R161 &amp; ")", ""))))</f>
        <v>na</v>
      </c>
      <c r="E161" s="7" t="s">
        <v>195</v>
      </c>
      <c r="F161" s="7" t="s">
        <v>195</v>
      </c>
      <c r="G161" s="7" t="s">
        <v>195</v>
      </c>
      <c r="H161" s="7" t="s">
        <v>195</v>
      </c>
      <c r="I161" s="7" t="s">
        <v>195</v>
      </c>
      <c r="J161" s="7" t="s">
        <v>195</v>
      </c>
      <c r="K161" s="7" t="s">
        <v>195</v>
      </c>
      <c r="L161" s="7" t="s">
        <v>195</v>
      </c>
      <c r="M161" s="7" t="s">
        <v>29</v>
      </c>
      <c r="N161" s="7" t="s">
        <v>29</v>
      </c>
      <c r="O161" s="7" t="s">
        <v>29</v>
      </c>
      <c r="P161" s="7" t="s">
        <v>29</v>
      </c>
      <c r="Q161" s="7" t="s">
        <v>29</v>
      </c>
      <c r="R161" s="7" t="s">
        <v>29</v>
      </c>
      <c r="S161" s="7" t="s">
        <v>29</v>
      </c>
    </row>
    <row r="162" spans="2:19">
      <c r="B162" s="7" t="s">
        <v>195</v>
      </c>
      <c r="C162" s="8" t="s">
        <v>195</v>
      </c>
      <c r="D162" s="5" t="str">
        <f>LRTRIM(CONCATENATE(IF(SUMPRODUCT(-- ISNUMBER(SEARCH({"Auto Number"}, $B162))) &gt; 0, $B162, IF(SUMPRODUCT(-- ISNUMBER(SEARCH({"Lookup","Master-Detail"}, $B162))) &gt; 0,$B162 &amp; "(" &amp; $E162 &amp; ")",IF(SUMPRODUCT(-- ISNUMBER(SEARCH({"Formula","Roll-Up Summary"}, $B162))) &gt; 0,$B162 &amp; " (" &amp; $E162 &amp; ")",IF(SUMPRODUCT(-- ISNUMBER(SEARCH({"Content","Currency","Number","Percent","Text","URL"}, $B162))) &gt; 0,$B162 &amp; "(" &amp; $C162 &amp; ")",$B162)))), "  ", TRIM(IF($S162 = "YES", "(External ID)", "") &amp; " " &amp; IF(SUMPRODUCT(-- ISNUMBER(SEARCH({"Unique","Unique Case Insensitive"}, $R162))) &gt; 0, "(" &amp; $R162 &amp; ")", ""))))</f>
        <v>na</v>
      </c>
      <c r="E162" s="7" t="s">
        <v>195</v>
      </c>
      <c r="F162" s="7" t="s">
        <v>195</v>
      </c>
      <c r="G162" s="7" t="s">
        <v>195</v>
      </c>
      <c r="H162" s="7" t="s">
        <v>195</v>
      </c>
      <c r="I162" s="7" t="s">
        <v>195</v>
      </c>
      <c r="J162" s="7" t="s">
        <v>195</v>
      </c>
      <c r="K162" s="7" t="s">
        <v>195</v>
      </c>
      <c r="L162" s="7" t="s">
        <v>195</v>
      </c>
      <c r="M162" s="7" t="s">
        <v>29</v>
      </c>
      <c r="N162" s="7" t="s">
        <v>29</v>
      </c>
      <c r="O162" s="7" t="s">
        <v>29</v>
      </c>
      <c r="P162" s="7" t="s">
        <v>29</v>
      </c>
      <c r="Q162" s="7" t="s">
        <v>29</v>
      </c>
      <c r="R162" s="7" t="s">
        <v>29</v>
      </c>
      <c r="S162" s="7" t="s">
        <v>29</v>
      </c>
    </row>
    <row r="163" spans="2:19">
      <c r="B163" s="7" t="s">
        <v>195</v>
      </c>
      <c r="C163" s="8" t="s">
        <v>195</v>
      </c>
      <c r="D163" s="5" t="str">
        <f>LRTRIM(CONCATENATE(IF(SUMPRODUCT(-- ISNUMBER(SEARCH({"Auto Number"}, $B163))) &gt; 0, $B163, IF(SUMPRODUCT(-- ISNUMBER(SEARCH({"Lookup","Master-Detail"}, $B163))) &gt; 0,$B163 &amp; "(" &amp; $E163 &amp; ")",IF(SUMPRODUCT(-- ISNUMBER(SEARCH({"Formula","Roll-Up Summary"}, $B163))) &gt; 0,$B163 &amp; " (" &amp; $E163 &amp; ")",IF(SUMPRODUCT(-- ISNUMBER(SEARCH({"Content","Currency","Number","Percent","Text","URL"}, $B163))) &gt; 0,$B163 &amp; "(" &amp; $C163 &amp; ")",$B163)))), "  ", TRIM(IF($S163 = "YES", "(External ID)", "") &amp; " " &amp; IF(SUMPRODUCT(-- ISNUMBER(SEARCH({"Unique","Unique Case Insensitive"}, $R163))) &gt; 0, "(" &amp; $R163 &amp; ")", ""))))</f>
        <v>na</v>
      </c>
      <c r="E163" s="7" t="s">
        <v>195</v>
      </c>
      <c r="F163" s="7" t="s">
        <v>195</v>
      </c>
      <c r="G163" s="7" t="s">
        <v>195</v>
      </c>
      <c r="H163" s="7" t="s">
        <v>195</v>
      </c>
      <c r="I163" s="7" t="s">
        <v>195</v>
      </c>
      <c r="J163" s="7" t="s">
        <v>195</v>
      </c>
      <c r="K163" s="7" t="s">
        <v>195</v>
      </c>
      <c r="L163" s="7" t="s">
        <v>195</v>
      </c>
      <c r="M163" s="7" t="s">
        <v>29</v>
      </c>
      <c r="N163" s="7" t="s">
        <v>29</v>
      </c>
      <c r="O163" s="7" t="s">
        <v>29</v>
      </c>
      <c r="P163" s="7" t="s">
        <v>29</v>
      </c>
      <c r="Q163" s="7" t="s">
        <v>29</v>
      </c>
      <c r="R163" s="7" t="s">
        <v>29</v>
      </c>
      <c r="S163" s="7" t="s">
        <v>29</v>
      </c>
    </row>
    <row r="164" spans="2:19">
      <c r="B164" s="7" t="s">
        <v>195</v>
      </c>
      <c r="C164" s="8" t="s">
        <v>195</v>
      </c>
      <c r="D164" s="5" t="str">
        <f>LRTRIM(CONCATENATE(IF(SUMPRODUCT(-- ISNUMBER(SEARCH({"Auto Number"}, $B164))) &gt; 0, $B164, IF(SUMPRODUCT(-- ISNUMBER(SEARCH({"Lookup","Master-Detail"}, $B164))) &gt; 0,$B164 &amp; "(" &amp; $E164 &amp; ")",IF(SUMPRODUCT(-- ISNUMBER(SEARCH({"Formula","Roll-Up Summary"}, $B164))) &gt; 0,$B164 &amp; " (" &amp; $E164 &amp; ")",IF(SUMPRODUCT(-- ISNUMBER(SEARCH({"Content","Currency","Number","Percent","Text","URL"}, $B164))) &gt; 0,$B164 &amp; "(" &amp; $C164 &amp; ")",$B164)))), "  ", TRIM(IF($S164 = "YES", "(External ID)", "") &amp; " " &amp; IF(SUMPRODUCT(-- ISNUMBER(SEARCH({"Unique","Unique Case Insensitive"}, $R164))) &gt; 0, "(" &amp; $R164 &amp; ")", ""))))</f>
        <v>na</v>
      </c>
      <c r="E164" s="7" t="s">
        <v>195</v>
      </c>
      <c r="F164" s="7" t="s">
        <v>195</v>
      </c>
      <c r="G164" s="7" t="s">
        <v>195</v>
      </c>
      <c r="H164" s="7" t="s">
        <v>195</v>
      </c>
      <c r="I164" s="7" t="s">
        <v>195</v>
      </c>
      <c r="J164" s="7" t="s">
        <v>195</v>
      </c>
      <c r="K164" s="7" t="s">
        <v>195</v>
      </c>
      <c r="L164" s="7" t="s">
        <v>195</v>
      </c>
      <c r="M164" s="7" t="s">
        <v>29</v>
      </c>
      <c r="N164" s="7" t="s">
        <v>29</v>
      </c>
      <c r="O164" s="7" t="s">
        <v>29</v>
      </c>
      <c r="P164" s="7" t="s">
        <v>29</v>
      </c>
      <c r="Q164" s="7" t="s">
        <v>29</v>
      </c>
      <c r="R164" s="7" t="s">
        <v>29</v>
      </c>
      <c r="S164" s="7" t="s">
        <v>29</v>
      </c>
    </row>
    <row r="165" spans="2:19">
      <c r="B165" s="7" t="s">
        <v>195</v>
      </c>
      <c r="C165" s="8" t="s">
        <v>195</v>
      </c>
      <c r="D165" s="5" t="str">
        <f>LRTRIM(CONCATENATE(IF(SUMPRODUCT(-- ISNUMBER(SEARCH({"Auto Number"}, $B165))) &gt; 0, $B165, IF(SUMPRODUCT(-- ISNUMBER(SEARCH({"Lookup","Master-Detail"}, $B165))) &gt; 0,$B165 &amp; "(" &amp; $E165 &amp; ")",IF(SUMPRODUCT(-- ISNUMBER(SEARCH({"Formula","Roll-Up Summary"}, $B165))) &gt; 0,$B165 &amp; " (" &amp; $E165 &amp; ")",IF(SUMPRODUCT(-- ISNUMBER(SEARCH({"Content","Currency","Number","Percent","Text","URL"}, $B165))) &gt; 0,$B165 &amp; "(" &amp; $C165 &amp; ")",$B165)))), "  ", TRIM(IF($S165 = "YES", "(External ID)", "") &amp; " " &amp; IF(SUMPRODUCT(-- ISNUMBER(SEARCH({"Unique","Unique Case Insensitive"}, $R165))) &gt; 0, "(" &amp; $R165 &amp; ")", ""))))</f>
        <v>na</v>
      </c>
      <c r="E165" s="7" t="s">
        <v>195</v>
      </c>
      <c r="F165" s="7" t="s">
        <v>195</v>
      </c>
      <c r="G165" s="7" t="s">
        <v>195</v>
      </c>
      <c r="H165" s="7" t="s">
        <v>195</v>
      </c>
      <c r="I165" s="7" t="s">
        <v>195</v>
      </c>
      <c r="J165" s="7" t="s">
        <v>195</v>
      </c>
      <c r="K165" s="7" t="s">
        <v>195</v>
      </c>
      <c r="L165" s="7" t="s">
        <v>195</v>
      </c>
      <c r="M165" s="7" t="s">
        <v>29</v>
      </c>
      <c r="N165" s="7" t="s">
        <v>29</v>
      </c>
      <c r="O165" s="7" t="s">
        <v>29</v>
      </c>
      <c r="P165" s="7" t="s">
        <v>29</v>
      </c>
      <c r="Q165" s="7" t="s">
        <v>29</v>
      </c>
      <c r="R165" s="7" t="s">
        <v>29</v>
      </c>
      <c r="S165" s="7" t="s">
        <v>29</v>
      </c>
    </row>
    <row r="166" spans="2:19">
      <c r="B166" s="7" t="s">
        <v>195</v>
      </c>
      <c r="C166" s="8" t="s">
        <v>195</v>
      </c>
      <c r="D166" s="5" t="str">
        <f>LRTRIM(CONCATENATE(IF(SUMPRODUCT(-- ISNUMBER(SEARCH({"Auto Number"}, $B166))) &gt; 0, $B166, IF(SUMPRODUCT(-- ISNUMBER(SEARCH({"Lookup","Master-Detail"}, $B166))) &gt; 0,$B166 &amp; "(" &amp; $E166 &amp; ")",IF(SUMPRODUCT(-- ISNUMBER(SEARCH({"Formula","Roll-Up Summary"}, $B166))) &gt; 0,$B166 &amp; " (" &amp; $E166 &amp; ")",IF(SUMPRODUCT(-- ISNUMBER(SEARCH({"Content","Currency","Number","Percent","Text","URL"}, $B166))) &gt; 0,$B166 &amp; "(" &amp; $C166 &amp; ")",$B166)))), "  ", TRIM(IF($S166 = "YES", "(External ID)", "") &amp; " " &amp; IF(SUMPRODUCT(-- ISNUMBER(SEARCH({"Unique","Unique Case Insensitive"}, $R166))) &gt; 0, "(" &amp; $R166 &amp; ")", ""))))</f>
        <v>na</v>
      </c>
      <c r="E166" s="7" t="s">
        <v>195</v>
      </c>
      <c r="F166" s="7" t="s">
        <v>195</v>
      </c>
      <c r="G166" s="7" t="s">
        <v>195</v>
      </c>
      <c r="H166" s="7" t="s">
        <v>195</v>
      </c>
      <c r="I166" s="7" t="s">
        <v>195</v>
      </c>
      <c r="J166" s="7" t="s">
        <v>195</v>
      </c>
      <c r="K166" s="7" t="s">
        <v>195</v>
      </c>
      <c r="L166" s="7" t="s">
        <v>195</v>
      </c>
      <c r="M166" s="7" t="s">
        <v>29</v>
      </c>
      <c r="N166" s="7" t="s">
        <v>29</v>
      </c>
      <c r="O166" s="7" t="s">
        <v>29</v>
      </c>
      <c r="P166" s="7" t="s">
        <v>29</v>
      </c>
      <c r="Q166" s="7" t="s">
        <v>29</v>
      </c>
      <c r="R166" s="7" t="s">
        <v>29</v>
      </c>
      <c r="S166" s="7" t="s">
        <v>29</v>
      </c>
    </row>
    <row r="167" spans="2:19">
      <c r="B167" s="7" t="s">
        <v>195</v>
      </c>
      <c r="C167" s="8" t="s">
        <v>195</v>
      </c>
      <c r="D167" s="5" t="str">
        <f>LRTRIM(CONCATENATE(IF(SUMPRODUCT(-- ISNUMBER(SEARCH({"Auto Number"}, $B167))) &gt; 0, $B167, IF(SUMPRODUCT(-- ISNUMBER(SEARCH({"Lookup","Master-Detail"}, $B167))) &gt; 0,$B167 &amp; "(" &amp; $E167 &amp; ")",IF(SUMPRODUCT(-- ISNUMBER(SEARCH({"Formula","Roll-Up Summary"}, $B167))) &gt; 0,$B167 &amp; " (" &amp; $E167 &amp; ")",IF(SUMPRODUCT(-- ISNUMBER(SEARCH({"Content","Currency","Number","Percent","Text","URL"}, $B167))) &gt; 0,$B167 &amp; "(" &amp; $C167 &amp; ")",$B167)))), "  ", TRIM(IF($S167 = "YES", "(External ID)", "") &amp; " " &amp; IF(SUMPRODUCT(-- ISNUMBER(SEARCH({"Unique","Unique Case Insensitive"}, $R167))) &gt; 0, "(" &amp; $R167 &amp; ")", ""))))</f>
        <v>na</v>
      </c>
      <c r="E167" s="7" t="s">
        <v>195</v>
      </c>
      <c r="F167" s="7" t="s">
        <v>195</v>
      </c>
      <c r="G167" s="7" t="s">
        <v>195</v>
      </c>
      <c r="H167" s="7" t="s">
        <v>195</v>
      </c>
      <c r="I167" s="7" t="s">
        <v>195</v>
      </c>
      <c r="J167" s="7" t="s">
        <v>195</v>
      </c>
      <c r="K167" s="7" t="s">
        <v>195</v>
      </c>
      <c r="L167" s="7" t="s">
        <v>195</v>
      </c>
      <c r="M167" s="7" t="s">
        <v>29</v>
      </c>
      <c r="N167" s="7" t="s">
        <v>29</v>
      </c>
      <c r="O167" s="7" t="s">
        <v>29</v>
      </c>
      <c r="P167" s="7" t="s">
        <v>29</v>
      </c>
      <c r="Q167" s="7" t="s">
        <v>29</v>
      </c>
      <c r="R167" s="7" t="s">
        <v>29</v>
      </c>
      <c r="S167" s="7" t="s">
        <v>29</v>
      </c>
    </row>
    <row r="168" spans="2:19">
      <c r="B168" s="7" t="s">
        <v>195</v>
      </c>
      <c r="C168" s="8" t="s">
        <v>195</v>
      </c>
      <c r="D168" s="5" t="str">
        <f>LRTRIM(CONCATENATE(IF(SUMPRODUCT(-- ISNUMBER(SEARCH({"Auto Number"}, $B168))) &gt; 0, $B168, IF(SUMPRODUCT(-- ISNUMBER(SEARCH({"Lookup","Master-Detail"}, $B168))) &gt; 0,$B168 &amp; "(" &amp; $E168 &amp; ")",IF(SUMPRODUCT(-- ISNUMBER(SEARCH({"Formula","Roll-Up Summary"}, $B168))) &gt; 0,$B168 &amp; " (" &amp; $E168 &amp; ")",IF(SUMPRODUCT(-- ISNUMBER(SEARCH({"Content","Currency","Number","Percent","Text","URL"}, $B168))) &gt; 0,$B168 &amp; "(" &amp; $C168 &amp; ")",$B168)))), "  ", TRIM(IF($S168 = "YES", "(External ID)", "") &amp; " " &amp; IF(SUMPRODUCT(-- ISNUMBER(SEARCH({"Unique","Unique Case Insensitive"}, $R168))) &gt; 0, "(" &amp; $R168 &amp; ")", ""))))</f>
        <v>na</v>
      </c>
      <c r="E168" s="7" t="s">
        <v>195</v>
      </c>
      <c r="F168" s="7" t="s">
        <v>195</v>
      </c>
      <c r="G168" s="7" t="s">
        <v>195</v>
      </c>
      <c r="H168" s="7" t="s">
        <v>195</v>
      </c>
      <c r="I168" s="7" t="s">
        <v>195</v>
      </c>
      <c r="J168" s="7" t="s">
        <v>195</v>
      </c>
      <c r="K168" s="7" t="s">
        <v>195</v>
      </c>
      <c r="L168" s="7" t="s">
        <v>195</v>
      </c>
      <c r="M168" s="7" t="s">
        <v>29</v>
      </c>
      <c r="N168" s="7" t="s">
        <v>29</v>
      </c>
      <c r="O168" s="7" t="s">
        <v>29</v>
      </c>
      <c r="P168" s="7" t="s">
        <v>29</v>
      </c>
      <c r="Q168" s="7" t="s">
        <v>29</v>
      </c>
      <c r="R168" s="7" t="s">
        <v>29</v>
      </c>
      <c r="S168" s="7" t="s">
        <v>29</v>
      </c>
    </row>
    <row r="169" spans="2:19">
      <c r="B169" s="7" t="s">
        <v>195</v>
      </c>
      <c r="C169" s="8" t="s">
        <v>195</v>
      </c>
      <c r="D169" s="5" t="str">
        <f>LRTRIM(CONCATENATE(IF(SUMPRODUCT(-- ISNUMBER(SEARCH({"Auto Number"}, $B169))) &gt; 0, $B169, IF(SUMPRODUCT(-- ISNUMBER(SEARCH({"Lookup","Master-Detail"}, $B169))) &gt; 0,$B169 &amp; "(" &amp; $E169 &amp; ")",IF(SUMPRODUCT(-- ISNUMBER(SEARCH({"Formula","Roll-Up Summary"}, $B169))) &gt; 0,$B169 &amp; " (" &amp; $E169 &amp; ")",IF(SUMPRODUCT(-- ISNUMBER(SEARCH({"Content","Currency","Number","Percent","Text","URL"}, $B169))) &gt; 0,$B169 &amp; "(" &amp; $C169 &amp; ")",$B169)))), "  ", TRIM(IF($S169 = "YES", "(External ID)", "") &amp; " " &amp; IF(SUMPRODUCT(-- ISNUMBER(SEARCH({"Unique","Unique Case Insensitive"}, $R169))) &gt; 0, "(" &amp; $R169 &amp; ")", ""))))</f>
        <v>na</v>
      </c>
      <c r="E169" s="7" t="s">
        <v>195</v>
      </c>
      <c r="F169" s="7" t="s">
        <v>195</v>
      </c>
      <c r="G169" s="7" t="s">
        <v>195</v>
      </c>
      <c r="H169" s="7" t="s">
        <v>195</v>
      </c>
      <c r="I169" s="7" t="s">
        <v>195</v>
      </c>
      <c r="J169" s="7" t="s">
        <v>195</v>
      </c>
      <c r="K169" s="7" t="s">
        <v>195</v>
      </c>
      <c r="L169" s="7" t="s">
        <v>195</v>
      </c>
      <c r="M169" s="7" t="s">
        <v>29</v>
      </c>
      <c r="N169" s="7" t="s">
        <v>29</v>
      </c>
      <c r="O169" s="7" t="s">
        <v>29</v>
      </c>
      <c r="P169" s="7" t="s">
        <v>29</v>
      </c>
      <c r="Q169" s="7" t="s">
        <v>29</v>
      </c>
      <c r="R169" s="7" t="s">
        <v>29</v>
      </c>
      <c r="S169" s="7" t="s">
        <v>29</v>
      </c>
    </row>
    <row r="170" spans="2:19">
      <c r="B170" s="7" t="s">
        <v>195</v>
      </c>
      <c r="C170" s="8" t="s">
        <v>195</v>
      </c>
      <c r="D170" s="5" t="str">
        <f>LRTRIM(CONCATENATE(IF(SUMPRODUCT(-- ISNUMBER(SEARCH({"Auto Number"}, $B170))) &gt; 0, $B170, IF(SUMPRODUCT(-- ISNUMBER(SEARCH({"Lookup","Master-Detail"}, $B170))) &gt; 0,$B170 &amp; "(" &amp; $E170 &amp; ")",IF(SUMPRODUCT(-- ISNUMBER(SEARCH({"Formula","Roll-Up Summary"}, $B170))) &gt; 0,$B170 &amp; " (" &amp; $E170 &amp; ")",IF(SUMPRODUCT(-- ISNUMBER(SEARCH({"Content","Currency","Number","Percent","Text","URL"}, $B170))) &gt; 0,$B170 &amp; "(" &amp; $C170 &amp; ")",$B170)))), "  ", TRIM(IF($S170 = "YES", "(External ID)", "") &amp; " " &amp; IF(SUMPRODUCT(-- ISNUMBER(SEARCH({"Unique","Unique Case Insensitive"}, $R170))) &gt; 0, "(" &amp; $R170 &amp; ")", ""))))</f>
        <v>na</v>
      </c>
      <c r="E170" s="7" t="s">
        <v>195</v>
      </c>
      <c r="F170" s="7" t="s">
        <v>195</v>
      </c>
      <c r="G170" s="7" t="s">
        <v>195</v>
      </c>
      <c r="H170" s="7" t="s">
        <v>195</v>
      </c>
      <c r="I170" s="7" t="s">
        <v>195</v>
      </c>
      <c r="J170" s="7" t="s">
        <v>195</v>
      </c>
      <c r="K170" s="7" t="s">
        <v>195</v>
      </c>
      <c r="L170" s="7" t="s">
        <v>195</v>
      </c>
      <c r="M170" s="7" t="s">
        <v>29</v>
      </c>
      <c r="N170" s="7" t="s">
        <v>29</v>
      </c>
      <c r="O170" s="7" t="s">
        <v>29</v>
      </c>
      <c r="P170" s="7" t="s">
        <v>29</v>
      </c>
      <c r="Q170" s="7" t="s">
        <v>29</v>
      </c>
      <c r="R170" s="7" t="s">
        <v>29</v>
      </c>
      <c r="S170" s="7" t="s">
        <v>29</v>
      </c>
    </row>
    <row r="171" spans="2:19">
      <c r="B171" s="7" t="s">
        <v>195</v>
      </c>
      <c r="C171" s="8" t="s">
        <v>195</v>
      </c>
      <c r="D171" s="5" t="str">
        <f>LRTRIM(CONCATENATE(IF(SUMPRODUCT(-- ISNUMBER(SEARCH({"Auto Number"}, $B171))) &gt; 0, $B171, IF(SUMPRODUCT(-- ISNUMBER(SEARCH({"Lookup","Master-Detail"}, $B171))) &gt; 0,$B171 &amp; "(" &amp; $E171 &amp; ")",IF(SUMPRODUCT(-- ISNUMBER(SEARCH({"Formula","Roll-Up Summary"}, $B171))) &gt; 0,$B171 &amp; " (" &amp; $E171 &amp; ")",IF(SUMPRODUCT(-- ISNUMBER(SEARCH({"Content","Currency","Number","Percent","Text","URL"}, $B171))) &gt; 0,$B171 &amp; "(" &amp; $C171 &amp; ")",$B171)))), "  ", TRIM(IF($S171 = "YES", "(External ID)", "") &amp; " " &amp; IF(SUMPRODUCT(-- ISNUMBER(SEARCH({"Unique","Unique Case Insensitive"}, $R171))) &gt; 0, "(" &amp; $R171 &amp; ")", ""))))</f>
        <v>na</v>
      </c>
      <c r="E171" s="7" t="s">
        <v>195</v>
      </c>
      <c r="F171" s="7" t="s">
        <v>195</v>
      </c>
      <c r="G171" s="7" t="s">
        <v>195</v>
      </c>
      <c r="H171" s="7" t="s">
        <v>195</v>
      </c>
      <c r="I171" s="7" t="s">
        <v>195</v>
      </c>
      <c r="J171" s="7" t="s">
        <v>195</v>
      </c>
      <c r="K171" s="7" t="s">
        <v>195</v>
      </c>
      <c r="L171" s="7" t="s">
        <v>195</v>
      </c>
      <c r="M171" s="7" t="s">
        <v>29</v>
      </c>
      <c r="N171" s="7" t="s">
        <v>29</v>
      </c>
      <c r="O171" s="7" t="s">
        <v>29</v>
      </c>
      <c r="P171" s="7" t="s">
        <v>29</v>
      </c>
      <c r="Q171" s="7" t="s">
        <v>29</v>
      </c>
      <c r="R171" s="7" t="s">
        <v>29</v>
      </c>
      <c r="S171" s="7" t="s">
        <v>29</v>
      </c>
    </row>
    <row r="172" spans="2:19">
      <c r="B172" s="7" t="s">
        <v>195</v>
      </c>
      <c r="C172" s="8" t="s">
        <v>195</v>
      </c>
      <c r="D172" s="5" t="str">
        <f>LRTRIM(CONCATENATE(IF(SUMPRODUCT(-- ISNUMBER(SEARCH({"Auto Number"}, $B172))) &gt; 0, $B172, IF(SUMPRODUCT(-- ISNUMBER(SEARCH({"Lookup","Master-Detail"}, $B172))) &gt; 0,$B172 &amp; "(" &amp; $E172 &amp; ")",IF(SUMPRODUCT(-- ISNUMBER(SEARCH({"Formula","Roll-Up Summary"}, $B172))) &gt; 0,$B172 &amp; " (" &amp; $E172 &amp; ")",IF(SUMPRODUCT(-- ISNUMBER(SEARCH({"Content","Currency","Number","Percent","Text","URL"}, $B172))) &gt; 0,$B172 &amp; "(" &amp; $C172 &amp; ")",$B172)))), "  ", TRIM(IF($S172 = "YES", "(External ID)", "") &amp; " " &amp; IF(SUMPRODUCT(-- ISNUMBER(SEARCH({"Unique","Unique Case Insensitive"}, $R172))) &gt; 0, "(" &amp; $R172 &amp; ")", ""))))</f>
        <v>na</v>
      </c>
      <c r="E172" s="7" t="s">
        <v>195</v>
      </c>
      <c r="F172" s="7" t="s">
        <v>195</v>
      </c>
      <c r="G172" s="7" t="s">
        <v>195</v>
      </c>
      <c r="H172" s="7" t="s">
        <v>195</v>
      </c>
      <c r="I172" s="7" t="s">
        <v>195</v>
      </c>
      <c r="J172" s="7" t="s">
        <v>195</v>
      </c>
      <c r="K172" s="7" t="s">
        <v>195</v>
      </c>
      <c r="L172" s="7" t="s">
        <v>195</v>
      </c>
      <c r="M172" s="7" t="s">
        <v>29</v>
      </c>
      <c r="N172" s="7" t="s">
        <v>29</v>
      </c>
      <c r="O172" s="7" t="s">
        <v>29</v>
      </c>
      <c r="P172" s="7" t="s">
        <v>29</v>
      </c>
      <c r="Q172" s="7" t="s">
        <v>29</v>
      </c>
      <c r="R172" s="7" t="s">
        <v>29</v>
      </c>
      <c r="S172" s="7" t="s">
        <v>29</v>
      </c>
    </row>
    <row r="173" spans="2:19">
      <c r="B173" s="7" t="s">
        <v>195</v>
      </c>
      <c r="C173" s="8" t="s">
        <v>195</v>
      </c>
      <c r="D173" s="5" t="str">
        <f>LRTRIM(CONCATENATE(IF(SUMPRODUCT(-- ISNUMBER(SEARCH({"Auto Number"}, $B173))) &gt; 0, $B173, IF(SUMPRODUCT(-- ISNUMBER(SEARCH({"Lookup","Master-Detail"}, $B173))) &gt; 0,$B173 &amp; "(" &amp; $E173 &amp; ")",IF(SUMPRODUCT(-- ISNUMBER(SEARCH({"Formula","Roll-Up Summary"}, $B173))) &gt; 0,$B173 &amp; " (" &amp; $E173 &amp; ")",IF(SUMPRODUCT(-- ISNUMBER(SEARCH({"Content","Currency","Number","Percent","Text","URL"}, $B173))) &gt; 0,$B173 &amp; "(" &amp; $C173 &amp; ")",$B173)))), "  ", TRIM(IF($S173 = "YES", "(External ID)", "") &amp; " " &amp; IF(SUMPRODUCT(-- ISNUMBER(SEARCH({"Unique","Unique Case Insensitive"}, $R173))) &gt; 0, "(" &amp; $R173 &amp; ")", ""))))</f>
        <v>na</v>
      </c>
      <c r="E173" s="7" t="s">
        <v>195</v>
      </c>
      <c r="F173" s="7" t="s">
        <v>195</v>
      </c>
      <c r="G173" s="7" t="s">
        <v>195</v>
      </c>
      <c r="H173" s="7" t="s">
        <v>195</v>
      </c>
      <c r="I173" s="7" t="s">
        <v>195</v>
      </c>
      <c r="J173" s="7" t="s">
        <v>195</v>
      </c>
      <c r="K173" s="7" t="s">
        <v>195</v>
      </c>
      <c r="L173" s="7" t="s">
        <v>195</v>
      </c>
      <c r="M173" s="7" t="s">
        <v>29</v>
      </c>
      <c r="N173" s="7" t="s">
        <v>29</v>
      </c>
      <c r="O173" s="7" t="s">
        <v>29</v>
      </c>
      <c r="P173" s="7" t="s">
        <v>29</v>
      </c>
      <c r="Q173" s="7" t="s">
        <v>29</v>
      </c>
      <c r="R173" s="7" t="s">
        <v>29</v>
      </c>
      <c r="S173" s="7" t="s">
        <v>29</v>
      </c>
    </row>
    <row r="174" spans="2:19">
      <c r="B174" s="7" t="s">
        <v>195</v>
      </c>
      <c r="C174" s="8" t="s">
        <v>195</v>
      </c>
      <c r="D174" s="5" t="str">
        <f>LRTRIM(CONCATENATE(IF(SUMPRODUCT(-- ISNUMBER(SEARCH({"Auto Number"}, $B174))) &gt; 0, $B174, IF(SUMPRODUCT(-- ISNUMBER(SEARCH({"Lookup","Master-Detail"}, $B174))) &gt; 0,$B174 &amp; "(" &amp; $E174 &amp; ")",IF(SUMPRODUCT(-- ISNUMBER(SEARCH({"Formula","Roll-Up Summary"}, $B174))) &gt; 0,$B174 &amp; " (" &amp; $E174 &amp; ")",IF(SUMPRODUCT(-- ISNUMBER(SEARCH({"Content","Currency","Number","Percent","Text","URL"}, $B174))) &gt; 0,$B174 &amp; "(" &amp; $C174 &amp; ")",$B174)))), "  ", TRIM(IF($S174 = "YES", "(External ID)", "") &amp; " " &amp; IF(SUMPRODUCT(-- ISNUMBER(SEARCH({"Unique","Unique Case Insensitive"}, $R174))) &gt; 0, "(" &amp; $R174 &amp; ")", ""))))</f>
        <v>na</v>
      </c>
      <c r="E174" s="7" t="s">
        <v>195</v>
      </c>
      <c r="F174" s="7" t="s">
        <v>195</v>
      </c>
      <c r="G174" s="7" t="s">
        <v>195</v>
      </c>
      <c r="H174" s="7" t="s">
        <v>195</v>
      </c>
      <c r="I174" s="7" t="s">
        <v>195</v>
      </c>
      <c r="J174" s="7" t="s">
        <v>195</v>
      </c>
      <c r="K174" s="7" t="s">
        <v>195</v>
      </c>
      <c r="L174" s="7" t="s">
        <v>195</v>
      </c>
      <c r="M174" s="7" t="s">
        <v>29</v>
      </c>
      <c r="N174" s="7" t="s">
        <v>29</v>
      </c>
      <c r="O174" s="7" t="s">
        <v>29</v>
      </c>
      <c r="P174" s="7" t="s">
        <v>29</v>
      </c>
      <c r="Q174" s="7" t="s">
        <v>29</v>
      </c>
      <c r="R174" s="7" t="s">
        <v>29</v>
      </c>
      <c r="S174" s="7" t="s">
        <v>29</v>
      </c>
    </row>
    <row r="175" spans="2:19">
      <c r="B175" s="7" t="s">
        <v>195</v>
      </c>
      <c r="C175" s="8" t="s">
        <v>195</v>
      </c>
      <c r="D175" s="5" t="str">
        <f>LRTRIM(CONCATENATE(IF(SUMPRODUCT(-- ISNUMBER(SEARCH({"Auto Number"}, $B175))) &gt; 0, $B175, IF(SUMPRODUCT(-- ISNUMBER(SEARCH({"Lookup","Master-Detail"}, $B175))) &gt; 0,$B175 &amp; "(" &amp; $E175 &amp; ")",IF(SUMPRODUCT(-- ISNUMBER(SEARCH({"Formula","Roll-Up Summary"}, $B175))) &gt; 0,$B175 &amp; " (" &amp; $E175 &amp; ")",IF(SUMPRODUCT(-- ISNUMBER(SEARCH({"Content","Currency","Number","Percent","Text","URL"}, $B175))) &gt; 0,$B175 &amp; "(" &amp; $C175 &amp; ")",$B175)))), "  ", TRIM(IF($S175 = "YES", "(External ID)", "") &amp; " " &amp; IF(SUMPRODUCT(-- ISNUMBER(SEARCH({"Unique","Unique Case Insensitive"}, $R175))) &gt; 0, "(" &amp; $R175 &amp; ")", ""))))</f>
        <v>na</v>
      </c>
      <c r="E175" s="7" t="s">
        <v>195</v>
      </c>
      <c r="F175" s="7" t="s">
        <v>195</v>
      </c>
      <c r="G175" s="7" t="s">
        <v>195</v>
      </c>
      <c r="H175" s="7" t="s">
        <v>195</v>
      </c>
      <c r="I175" s="7" t="s">
        <v>195</v>
      </c>
      <c r="J175" s="7" t="s">
        <v>195</v>
      </c>
      <c r="K175" s="7" t="s">
        <v>195</v>
      </c>
      <c r="L175" s="7" t="s">
        <v>195</v>
      </c>
      <c r="M175" s="7" t="s">
        <v>29</v>
      </c>
      <c r="N175" s="7" t="s">
        <v>29</v>
      </c>
      <c r="O175" s="7" t="s">
        <v>29</v>
      </c>
      <c r="P175" s="7" t="s">
        <v>29</v>
      </c>
      <c r="Q175" s="7" t="s">
        <v>29</v>
      </c>
      <c r="R175" s="7" t="s">
        <v>29</v>
      </c>
      <c r="S175" s="7" t="s">
        <v>29</v>
      </c>
    </row>
    <row r="176" spans="2:19">
      <c r="B176" s="7" t="s">
        <v>195</v>
      </c>
      <c r="C176" s="8" t="s">
        <v>195</v>
      </c>
      <c r="D176" s="5" t="str">
        <f>LRTRIM(CONCATENATE(IF(SUMPRODUCT(-- ISNUMBER(SEARCH({"Auto Number"}, $B176))) &gt; 0, $B176, IF(SUMPRODUCT(-- ISNUMBER(SEARCH({"Lookup","Master-Detail"}, $B176))) &gt; 0,$B176 &amp; "(" &amp; $E176 &amp; ")",IF(SUMPRODUCT(-- ISNUMBER(SEARCH({"Formula","Roll-Up Summary"}, $B176))) &gt; 0,$B176 &amp; " (" &amp; $E176 &amp; ")",IF(SUMPRODUCT(-- ISNUMBER(SEARCH({"Content","Currency","Number","Percent","Text","URL"}, $B176))) &gt; 0,$B176 &amp; "(" &amp; $C176 &amp; ")",$B176)))), "  ", TRIM(IF($S176 = "YES", "(External ID)", "") &amp; " " &amp; IF(SUMPRODUCT(-- ISNUMBER(SEARCH({"Unique","Unique Case Insensitive"}, $R176))) &gt; 0, "(" &amp; $R176 &amp; ")", ""))))</f>
        <v>na</v>
      </c>
      <c r="E176" s="7" t="s">
        <v>195</v>
      </c>
      <c r="F176" s="7" t="s">
        <v>195</v>
      </c>
      <c r="G176" s="7" t="s">
        <v>195</v>
      </c>
      <c r="H176" s="7" t="s">
        <v>195</v>
      </c>
      <c r="I176" s="7" t="s">
        <v>195</v>
      </c>
      <c r="J176" s="7" t="s">
        <v>195</v>
      </c>
      <c r="K176" s="7" t="s">
        <v>195</v>
      </c>
      <c r="L176" s="7" t="s">
        <v>195</v>
      </c>
      <c r="M176" s="7" t="s">
        <v>29</v>
      </c>
      <c r="N176" s="7" t="s">
        <v>29</v>
      </c>
      <c r="O176" s="7" t="s">
        <v>29</v>
      </c>
      <c r="P176" s="7" t="s">
        <v>29</v>
      </c>
      <c r="Q176" s="7" t="s">
        <v>29</v>
      </c>
      <c r="R176" s="7" t="s">
        <v>29</v>
      </c>
      <c r="S176" s="7" t="s">
        <v>29</v>
      </c>
    </row>
    <row r="177" spans="2:19">
      <c r="B177" s="7" t="s">
        <v>195</v>
      </c>
      <c r="C177" s="8" t="s">
        <v>195</v>
      </c>
      <c r="D177" s="5" t="str">
        <f>LRTRIM(CONCATENATE(IF(SUMPRODUCT(-- ISNUMBER(SEARCH({"Auto Number"}, $B177))) &gt; 0, $B177, IF(SUMPRODUCT(-- ISNUMBER(SEARCH({"Lookup","Master-Detail"}, $B177))) &gt; 0,$B177 &amp; "(" &amp; $E177 &amp; ")",IF(SUMPRODUCT(-- ISNUMBER(SEARCH({"Formula","Roll-Up Summary"}, $B177))) &gt; 0,$B177 &amp; " (" &amp; $E177 &amp; ")",IF(SUMPRODUCT(-- ISNUMBER(SEARCH({"Content","Currency","Number","Percent","Text","URL"}, $B177))) &gt; 0,$B177 &amp; "(" &amp; $C177 &amp; ")",$B177)))), "  ", TRIM(IF($S177 = "YES", "(External ID)", "") &amp; " " &amp; IF(SUMPRODUCT(-- ISNUMBER(SEARCH({"Unique","Unique Case Insensitive"}, $R177))) &gt; 0, "(" &amp; $R177 &amp; ")", ""))))</f>
        <v>na</v>
      </c>
      <c r="E177" s="7" t="s">
        <v>195</v>
      </c>
      <c r="F177" s="7" t="s">
        <v>195</v>
      </c>
      <c r="G177" s="7" t="s">
        <v>195</v>
      </c>
      <c r="H177" s="7" t="s">
        <v>195</v>
      </c>
      <c r="I177" s="7" t="s">
        <v>195</v>
      </c>
      <c r="J177" s="7" t="s">
        <v>195</v>
      </c>
      <c r="K177" s="7" t="s">
        <v>195</v>
      </c>
      <c r="L177" s="7" t="s">
        <v>195</v>
      </c>
      <c r="M177" s="7" t="s">
        <v>29</v>
      </c>
      <c r="N177" s="7" t="s">
        <v>29</v>
      </c>
      <c r="O177" s="7" t="s">
        <v>29</v>
      </c>
      <c r="P177" s="7" t="s">
        <v>29</v>
      </c>
      <c r="Q177" s="7" t="s">
        <v>29</v>
      </c>
      <c r="R177" s="7" t="s">
        <v>29</v>
      </c>
      <c r="S177" s="7" t="s">
        <v>29</v>
      </c>
    </row>
    <row r="178" spans="2:19">
      <c r="B178" s="7" t="s">
        <v>195</v>
      </c>
      <c r="C178" s="8" t="s">
        <v>195</v>
      </c>
      <c r="D178" s="5" t="str">
        <f>LRTRIM(CONCATENATE(IF(SUMPRODUCT(-- ISNUMBER(SEARCH({"Auto Number"}, $B178))) &gt; 0, $B178, IF(SUMPRODUCT(-- ISNUMBER(SEARCH({"Lookup","Master-Detail"}, $B178))) &gt; 0,$B178 &amp; "(" &amp; $E178 &amp; ")",IF(SUMPRODUCT(-- ISNUMBER(SEARCH({"Formula","Roll-Up Summary"}, $B178))) &gt; 0,$B178 &amp; " (" &amp; $E178 &amp; ")",IF(SUMPRODUCT(-- ISNUMBER(SEARCH({"Content","Currency","Number","Percent","Text","URL"}, $B178))) &gt; 0,$B178 &amp; "(" &amp; $C178 &amp; ")",$B178)))), "  ", TRIM(IF($S178 = "YES", "(External ID)", "") &amp; " " &amp; IF(SUMPRODUCT(-- ISNUMBER(SEARCH({"Unique","Unique Case Insensitive"}, $R178))) &gt; 0, "(" &amp; $R178 &amp; ")", ""))))</f>
        <v>na</v>
      </c>
      <c r="E178" s="7" t="s">
        <v>195</v>
      </c>
      <c r="F178" s="7" t="s">
        <v>195</v>
      </c>
      <c r="G178" s="7" t="s">
        <v>195</v>
      </c>
      <c r="H178" s="7" t="s">
        <v>195</v>
      </c>
      <c r="I178" s="7" t="s">
        <v>195</v>
      </c>
      <c r="J178" s="7" t="s">
        <v>195</v>
      </c>
      <c r="K178" s="7" t="s">
        <v>195</v>
      </c>
      <c r="L178" s="7" t="s">
        <v>195</v>
      </c>
      <c r="M178" s="7" t="s">
        <v>29</v>
      </c>
      <c r="N178" s="7" t="s">
        <v>29</v>
      </c>
      <c r="O178" s="7" t="s">
        <v>29</v>
      </c>
      <c r="P178" s="7" t="s">
        <v>29</v>
      </c>
      <c r="Q178" s="7" t="s">
        <v>29</v>
      </c>
      <c r="R178" s="7" t="s">
        <v>29</v>
      </c>
      <c r="S178" s="7" t="s">
        <v>29</v>
      </c>
    </row>
    <row r="179" spans="2:19">
      <c r="B179" s="7" t="s">
        <v>195</v>
      </c>
      <c r="C179" s="8" t="s">
        <v>195</v>
      </c>
      <c r="D179" s="5" t="str">
        <f>LRTRIM(CONCATENATE(IF(SUMPRODUCT(-- ISNUMBER(SEARCH({"Auto Number"}, $B179))) &gt; 0, $B179, IF(SUMPRODUCT(-- ISNUMBER(SEARCH({"Lookup","Master-Detail"}, $B179))) &gt; 0,$B179 &amp; "(" &amp; $E179 &amp; ")",IF(SUMPRODUCT(-- ISNUMBER(SEARCH({"Formula","Roll-Up Summary"}, $B179))) &gt; 0,$B179 &amp; " (" &amp; $E179 &amp; ")",IF(SUMPRODUCT(-- ISNUMBER(SEARCH({"Content","Currency","Number","Percent","Text","URL"}, $B179))) &gt; 0,$B179 &amp; "(" &amp; $C179 &amp; ")",$B179)))), "  ", TRIM(IF($S179 = "YES", "(External ID)", "") &amp; " " &amp; IF(SUMPRODUCT(-- ISNUMBER(SEARCH({"Unique","Unique Case Insensitive"}, $R179))) &gt; 0, "(" &amp; $R179 &amp; ")", ""))))</f>
        <v>na</v>
      </c>
      <c r="E179" s="7" t="s">
        <v>195</v>
      </c>
      <c r="F179" s="7" t="s">
        <v>195</v>
      </c>
      <c r="G179" s="7" t="s">
        <v>195</v>
      </c>
      <c r="H179" s="7" t="s">
        <v>195</v>
      </c>
      <c r="I179" s="7" t="s">
        <v>195</v>
      </c>
      <c r="J179" s="7" t="s">
        <v>195</v>
      </c>
      <c r="K179" s="7" t="s">
        <v>195</v>
      </c>
      <c r="L179" s="7" t="s">
        <v>195</v>
      </c>
      <c r="M179" s="7" t="s">
        <v>29</v>
      </c>
      <c r="N179" s="7" t="s">
        <v>29</v>
      </c>
      <c r="O179" s="7" t="s">
        <v>29</v>
      </c>
      <c r="P179" s="7" t="s">
        <v>29</v>
      </c>
      <c r="Q179" s="7" t="s">
        <v>29</v>
      </c>
      <c r="R179" s="7" t="s">
        <v>29</v>
      </c>
      <c r="S179" s="7" t="s">
        <v>29</v>
      </c>
    </row>
    <row r="180" spans="2:19">
      <c r="B180" s="7" t="s">
        <v>195</v>
      </c>
      <c r="C180" s="8" t="s">
        <v>195</v>
      </c>
      <c r="D180" s="5" t="str">
        <f>LRTRIM(CONCATENATE(IF(SUMPRODUCT(-- ISNUMBER(SEARCH({"Auto Number"}, $B180))) &gt; 0, $B180, IF(SUMPRODUCT(-- ISNUMBER(SEARCH({"Lookup","Master-Detail"}, $B180))) &gt; 0,$B180 &amp; "(" &amp; $E180 &amp; ")",IF(SUMPRODUCT(-- ISNUMBER(SEARCH({"Formula","Roll-Up Summary"}, $B180))) &gt; 0,$B180 &amp; " (" &amp; $E180 &amp; ")",IF(SUMPRODUCT(-- ISNUMBER(SEARCH({"Content","Currency","Number","Percent","Text","URL"}, $B180))) &gt; 0,$B180 &amp; "(" &amp; $C180 &amp; ")",$B180)))), "  ", TRIM(IF($S180 = "YES", "(External ID)", "") &amp; " " &amp; IF(SUMPRODUCT(-- ISNUMBER(SEARCH({"Unique","Unique Case Insensitive"}, $R180))) &gt; 0, "(" &amp; $R180 &amp; ")", ""))))</f>
        <v>na</v>
      </c>
      <c r="E180" s="7" t="s">
        <v>195</v>
      </c>
      <c r="F180" s="7" t="s">
        <v>195</v>
      </c>
      <c r="G180" s="7" t="s">
        <v>195</v>
      </c>
      <c r="H180" s="7" t="s">
        <v>195</v>
      </c>
      <c r="I180" s="7" t="s">
        <v>195</v>
      </c>
      <c r="J180" s="7" t="s">
        <v>195</v>
      </c>
      <c r="K180" s="7" t="s">
        <v>195</v>
      </c>
      <c r="L180" s="7" t="s">
        <v>195</v>
      </c>
      <c r="M180" s="7" t="s">
        <v>29</v>
      </c>
      <c r="N180" s="7" t="s">
        <v>29</v>
      </c>
      <c r="O180" s="7" t="s">
        <v>29</v>
      </c>
      <c r="P180" s="7" t="s">
        <v>29</v>
      </c>
      <c r="Q180" s="7" t="s">
        <v>29</v>
      </c>
      <c r="R180" s="7" t="s">
        <v>29</v>
      </c>
      <c r="S180" s="7" t="s">
        <v>29</v>
      </c>
    </row>
    <row r="181" spans="2:19">
      <c r="B181" s="7" t="s">
        <v>195</v>
      </c>
      <c r="C181" s="8" t="s">
        <v>195</v>
      </c>
      <c r="D181" s="5" t="str">
        <f>LRTRIM(CONCATENATE(IF(SUMPRODUCT(-- ISNUMBER(SEARCH({"Auto Number"}, $B181))) &gt; 0, $B181, IF(SUMPRODUCT(-- ISNUMBER(SEARCH({"Lookup","Master-Detail"}, $B181))) &gt; 0,$B181 &amp; "(" &amp; $E181 &amp; ")",IF(SUMPRODUCT(-- ISNUMBER(SEARCH({"Formula","Roll-Up Summary"}, $B181))) &gt; 0,$B181 &amp; " (" &amp; $E181 &amp; ")",IF(SUMPRODUCT(-- ISNUMBER(SEARCH({"Content","Currency","Number","Percent","Text","URL"}, $B181))) &gt; 0,$B181 &amp; "(" &amp; $C181 &amp; ")",$B181)))), "  ", TRIM(IF($S181 = "YES", "(External ID)", "") &amp; " " &amp; IF(SUMPRODUCT(-- ISNUMBER(SEARCH({"Unique","Unique Case Insensitive"}, $R181))) &gt; 0, "(" &amp; $R181 &amp; ")", ""))))</f>
        <v>na</v>
      </c>
      <c r="E181" s="7" t="s">
        <v>195</v>
      </c>
      <c r="F181" s="7" t="s">
        <v>195</v>
      </c>
      <c r="G181" s="7" t="s">
        <v>195</v>
      </c>
      <c r="H181" s="7" t="s">
        <v>195</v>
      </c>
      <c r="I181" s="7" t="s">
        <v>195</v>
      </c>
      <c r="J181" s="7" t="s">
        <v>195</v>
      </c>
      <c r="K181" s="7" t="s">
        <v>195</v>
      </c>
      <c r="L181" s="7" t="s">
        <v>195</v>
      </c>
      <c r="M181" s="7" t="s">
        <v>29</v>
      </c>
      <c r="N181" s="7" t="s">
        <v>29</v>
      </c>
      <c r="O181" s="7" t="s">
        <v>29</v>
      </c>
      <c r="P181" s="7" t="s">
        <v>29</v>
      </c>
      <c r="Q181" s="7" t="s">
        <v>29</v>
      </c>
      <c r="R181" s="7" t="s">
        <v>29</v>
      </c>
      <c r="S181" s="7" t="s">
        <v>29</v>
      </c>
    </row>
    <row r="182" spans="2:19">
      <c r="B182" s="7" t="s">
        <v>195</v>
      </c>
      <c r="C182" s="8" t="s">
        <v>195</v>
      </c>
      <c r="D182" s="5" t="str">
        <f>LRTRIM(CONCATENATE(IF(SUMPRODUCT(-- ISNUMBER(SEARCH({"Auto Number"}, $B182))) &gt; 0, $B182, IF(SUMPRODUCT(-- ISNUMBER(SEARCH({"Lookup","Master-Detail"}, $B182))) &gt; 0,$B182 &amp; "(" &amp; $E182 &amp; ")",IF(SUMPRODUCT(-- ISNUMBER(SEARCH({"Formula","Roll-Up Summary"}, $B182))) &gt; 0,$B182 &amp; " (" &amp; $E182 &amp; ")",IF(SUMPRODUCT(-- ISNUMBER(SEARCH({"Content","Currency","Number","Percent","Text","URL"}, $B182))) &gt; 0,$B182 &amp; "(" &amp; $C182 &amp; ")",$B182)))), "  ", TRIM(IF($S182 = "YES", "(External ID)", "") &amp; " " &amp; IF(SUMPRODUCT(-- ISNUMBER(SEARCH({"Unique","Unique Case Insensitive"}, $R182))) &gt; 0, "(" &amp; $R182 &amp; ")", ""))))</f>
        <v>na</v>
      </c>
      <c r="E182" s="7" t="s">
        <v>195</v>
      </c>
      <c r="F182" s="7" t="s">
        <v>195</v>
      </c>
      <c r="G182" s="7" t="s">
        <v>195</v>
      </c>
      <c r="H182" s="7" t="s">
        <v>195</v>
      </c>
      <c r="I182" s="7" t="s">
        <v>195</v>
      </c>
      <c r="J182" s="7" t="s">
        <v>195</v>
      </c>
      <c r="K182" s="7" t="s">
        <v>195</v>
      </c>
      <c r="L182" s="7" t="s">
        <v>195</v>
      </c>
      <c r="M182" s="7" t="s">
        <v>29</v>
      </c>
      <c r="N182" s="7" t="s">
        <v>29</v>
      </c>
      <c r="O182" s="7" t="s">
        <v>29</v>
      </c>
      <c r="P182" s="7" t="s">
        <v>29</v>
      </c>
      <c r="Q182" s="7" t="s">
        <v>29</v>
      </c>
      <c r="R182" s="7" t="s">
        <v>29</v>
      </c>
      <c r="S182" s="7" t="s">
        <v>29</v>
      </c>
    </row>
    <row r="183" spans="2:19">
      <c r="B183" s="7" t="s">
        <v>195</v>
      </c>
      <c r="C183" s="8" t="s">
        <v>195</v>
      </c>
      <c r="D183" s="5" t="str">
        <f>LRTRIM(CONCATENATE(IF(SUMPRODUCT(-- ISNUMBER(SEARCH({"Auto Number"}, $B183))) &gt; 0, $B183, IF(SUMPRODUCT(-- ISNUMBER(SEARCH({"Lookup","Master-Detail"}, $B183))) &gt; 0,$B183 &amp; "(" &amp; $E183 &amp; ")",IF(SUMPRODUCT(-- ISNUMBER(SEARCH({"Formula","Roll-Up Summary"}, $B183))) &gt; 0,$B183 &amp; " (" &amp; $E183 &amp; ")",IF(SUMPRODUCT(-- ISNUMBER(SEARCH({"Content","Currency","Number","Percent","Text","URL"}, $B183))) &gt; 0,$B183 &amp; "(" &amp; $C183 &amp; ")",$B183)))), "  ", TRIM(IF($S183 = "YES", "(External ID)", "") &amp; " " &amp; IF(SUMPRODUCT(-- ISNUMBER(SEARCH({"Unique","Unique Case Insensitive"}, $R183))) &gt; 0, "(" &amp; $R183 &amp; ")", ""))))</f>
        <v>na</v>
      </c>
      <c r="E183" s="7" t="s">
        <v>195</v>
      </c>
      <c r="F183" s="7" t="s">
        <v>195</v>
      </c>
      <c r="G183" s="7" t="s">
        <v>195</v>
      </c>
      <c r="H183" s="7" t="s">
        <v>195</v>
      </c>
      <c r="I183" s="7" t="s">
        <v>195</v>
      </c>
      <c r="J183" s="7" t="s">
        <v>195</v>
      </c>
      <c r="K183" s="7" t="s">
        <v>195</v>
      </c>
      <c r="L183" s="7" t="s">
        <v>195</v>
      </c>
      <c r="M183" s="7" t="s">
        <v>29</v>
      </c>
      <c r="N183" s="7" t="s">
        <v>29</v>
      </c>
      <c r="O183" s="7" t="s">
        <v>29</v>
      </c>
      <c r="P183" s="7" t="s">
        <v>29</v>
      </c>
      <c r="Q183" s="7" t="s">
        <v>29</v>
      </c>
      <c r="R183" s="7" t="s">
        <v>29</v>
      </c>
      <c r="S183" s="7" t="s">
        <v>29</v>
      </c>
    </row>
    <row r="184" spans="2:19">
      <c r="B184" s="7" t="s">
        <v>195</v>
      </c>
      <c r="C184" s="8" t="s">
        <v>195</v>
      </c>
      <c r="D184" s="5" t="str">
        <f>LRTRIM(CONCATENATE(IF(SUMPRODUCT(-- ISNUMBER(SEARCH({"Auto Number"}, $B184))) &gt; 0, $B184, IF(SUMPRODUCT(-- ISNUMBER(SEARCH({"Lookup","Master-Detail"}, $B184))) &gt; 0,$B184 &amp; "(" &amp; $E184 &amp; ")",IF(SUMPRODUCT(-- ISNUMBER(SEARCH({"Formula","Roll-Up Summary"}, $B184))) &gt; 0,$B184 &amp; " (" &amp; $E184 &amp; ")",IF(SUMPRODUCT(-- ISNUMBER(SEARCH({"Content","Currency","Number","Percent","Text","URL"}, $B184))) &gt; 0,$B184 &amp; "(" &amp; $C184 &amp; ")",$B184)))), "  ", TRIM(IF($S184 = "YES", "(External ID)", "") &amp; " " &amp; IF(SUMPRODUCT(-- ISNUMBER(SEARCH({"Unique","Unique Case Insensitive"}, $R184))) &gt; 0, "(" &amp; $R184 &amp; ")", ""))))</f>
        <v>na</v>
      </c>
      <c r="E184" s="7" t="s">
        <v>195</v>
      </c>
      <c r="F184" s="7" t="s">
        <v>195</v>
      </c>
      <c r="G184" s="7" t="s">
        <v>195</v>
      </c>
      <c r="H184" s="7" t="s">
        <v>195</v>
      </c>
      <c r="I184" s="7" t="s">
        <v>195</v>
      </c>
      <c r="J184" s="7" t="s">
        <v>195</v>
      </c>
      <c r="K184" s="7" t="s">
        <v>195</v>
      </c>
      <c r="L184" s="7" t="s">
        <v>195</v>
      </c>
      <c r="M184" s="7" t="s">
        <v>29</v>
      </c>
      <c r="N184" s="7" t="s">
        <v>29</v>
      </c>
      <c r="O184" s="7" t="s">
        <v>29</v>
      </c>
      <c r="P184" s="7" t="s">
        <v>29</v>
      </c>
      <c r="Q184" s="7" t="s">
        <v>29</v>
      </c>
      <c r="R184" s="7" t="s">
        <v>29</v>
      </c>
      <c r="S184" s="7" t="s">
        <v>29</v>
      </c>
    </row>
    <row r="185" spans="2:19">
      <c r="B185" s="7" t="s">
        <v>195</v>
      </c>
      <c r="C185" s="8" t="s">
        <v>195</v>
      </c>
      <c r="D185" s="5" t="str">
        <f>LRTRIM(CONCATENATE(IF(SUMPRODUCT(-- ISNUMBER(SEARCH({"Auto Number"}, $B185))) &gt; 0, $B185, IF(SUMPRODUCT(-- ISNUMBER(SEARCH({"Lookup","Master-Detail"}, $B185))) &gt; 0,$B185 &amp; "(" &amp; $E185 &amp; ")",IF(SUMPRODUCT(-- ISNUMBER(SEARCH({"Formula","Roll-Up Summary"}, $B185))) &gt; 0,$B185 &amp; " (" &amp; $E185 &amp; ")",IF(SUMPRODUCT(-- ISNUMBER(SEARCH({"Content","Currency","Number","Percent","Text","URL"}, $B185))) &gt; 0,$B185 &amp; "(" &amp; $C185 &amp; ")",$B185)))), "  ", TRIM(IF($S185 = "YES", "(External ID)", "") &amp; " " &amp; IF(SUMPRODUCT(-- ISNUMBER(SEARCH({"Unique","Unique Case Insensitive"}, $R185))) &gt; 0, "(" &amp; $R185 &amp; ")", ""))))</f>
        <v>na</v>
      </c>
      <c r="E185" s="7" t="s">
        <v>195</v>
      </c>
      <c r="F185" s="7" t="s">
        <v>195</v>
      </c>
      <c r="G185" s="7" t="s">
        <v>195</v>
      </c>
      <c r="H185" s="7" t="s">
        <v>195</v>
      </c>
      <c r="I185" s="7" t="s">
        <v>195</v>
      </c>
      <c r="J185" s="7" t="s">
        <v>195</v>
      </c>
      <c r="K185" s="7" t="s">
        <v>195</v>
      </c>
      <c r="L185" s="7" t="s">
        <v>195</v>
      </c>
      <c r="M185" s="7" t="s">
        <v>29</v>
      </c>
      <c r="N185" s="7" t="s">
        <v>29</v>
      </c>
      <c r="O185" s="7" t="s">
        <v>29</v>
      </c>
      <c r="P185" s="7" t="s">
        <v>29</v>
      </c>
      <c r="Q185" s="7" t="s">
        <v>29</v>
      </c>
      <c r="R185" s="7" t="s">
        <v>29</v>
      </c>
      <c r="S185" s="7" t="s">
        <v>29</v>
      </c>
    </row>
    <row r="186" spans="2:19">
      <c r="B186" s="7" t="s">
        <v>195</v>
      </c>
      <c r="C186" s="8" t="s">
        <v>195</v>
      </c>
      <c r="D186" s="5" t="str">
        <f>LRTRIM(CONCATENATE(IF(SUMPRODUCT(-- ISNUMBER(SEARCH({"Auto Number"}, $B186))) &gt; 0, $B186, IF(SUMPRODUCT(-- ISNUMBER(SEARCH({"Lookup","Master-Detail"}, $B186))) &gt; 0,$B186 &amp; "(" &amp; $E186 &amp; ")",IF(SUMPRODUCT(-- ISNUMBER(SEARCH({"Formula","Roll-Up Summary"}, $B186))) &gt; 0,$B186 &amp; " (" &amp; $E186 &amp; ")",IF(SUMPRODUCT(-- ISNUMBER(SEARCH({"Content","Currency","Number","Percent","Text","URL"}, $B186))) &gt; 0,$B186 &amp; "(" &amp; $C186 &amp; ")",$B186)))), "  ", TRIM(IF($S186 = "YES", "(External ID)", "") &amp; " " &amp; IF(SUMPRODUCT(-- ISNUMBER(SEARCH({"Unique","Unique Case Insensitive"}, $R186))) &gt; 0, "(" &amp; $R186 &amp; ")", ""))))</f>
        <v>na</v>
      </c>
      <c r="E186" s="7" t="s">
        <v>195</v>
      </c>
      <c r="F186" s="7" t="s">
        <v>195</v>
      </c>
      <c r="G186" s="7" t="s">
        <v>195</v>
      </c>
      <c r="H186" s="7" t="s">
        <v>195</v>
      </c>
      <c r="I186" s="7" t="s">
        <v>195</v>
      </c>
      <c r="J186" s="7" t="s">
        <v>195</v>
      </c>
      <c r="K186" s="7" t="s">
        <v>195</v>
      </c>
      <c r="L186" s="7" t="s">
        <v>195</v>
      </c>
      <c r="M186" s="7" t="s">
        <v>29</v>
      </c>
      <c r="N186" s="7" t="s">
        <v>29</v>
      </c>
      <c r="O186" s="7" t="s">
        <v>29</v>
      </c>
      <c r="P186" s="7" t="s">
        <v>29</v>
      </c>
      <c r="Q186" s="7" t="s">
        <v>29</v>
      </c>
      <c r="R186" s="7" t="s">
        <v>29</v>
      </c>
      <c r="S186" s="7" t="s">
        <v>29</v>
      </c>
    </row>
    <row r="187" spans="2:19">
      <c r="B187" s="7" t="s">
        <v>195</v>
      </c>
      <c r="C187" s="8" t="s">
        <v>195</v>
      </c>
      <c r="D187" s="5" t="str">
        <f>LRTRIM(CONCATENATE(IF(SUMPRODUCT(-- ISNUMBER(SEARCH({"Auto Number"}, $B187))) &gt; 0, $B187, IF(SUMPRODUCT(-- ISNUMBER(SEARCH({"Lookup","Master-Detail"}, $B187))) &gt; 0,$B187 &amp; "(" &amp; $E187 &amp; ")",IF(SUMPRODUCT(-- ISNUMBER(SEARCH({"Formula","Roll-Up Summary"}, $B187))) &gt; 0,$B187 &amp; " (" &amp; $E187 &amp; ")",IF(SUMPRODUCT(-- ISNUMBER(SEARCH({"Content","Currency","Number","Percent","Text","URL"}, $B187))) &gt; 0,$B187 &amp; "(" &amp; $C187 &amp; ")",$B187)))), "  ", TRIM(IF($S187 = "YES", "(External ID)", "") &amp; " " &amp; IF(SUMPRODUCT(-- ISNUMBER(SEARCH({"Unique","Unique Case Insensitive"}, $R187))) &gt; 0, "(" &amp; $R187 &amp; ")", ""))))</f>
        <v>na</v>
      </c>
      <c r="E187" s="7" t="s">
        <v>195</v>
      </c>
      <c r="F187" s="7" t="s">
        <v>195</v>
      </c>
      <c r="G187" s="7" t="s">
        <v>195</v>
      </c>
      <c r="H187" s="7" t="s">
        <v>195</v>
      </c>
      <c r="I187" s="7" t="s">
        <v>195</v>
      </c>
      <c r="J187" s="7" t="s">
        <v>195</v>
      </c>
      <c r="K187" s="7" t="s">
        <v>195</v>
      </c>
      <c r="L187" s="7" t="s">
        <v>195</v>
      </c>
      <c r="M187" s="7" t="s">
        <v>29</v>
      </c>
      <c r="N187" s="7" t="s">
        <v>29</v>
      </c>
      <c r="O187" s="7" t="s">
        <v>29</v>
      </c>
      <c r="P187" s="7" t="s">
        <v>29</v>
      </c>
      <c r="Q187" s="7" t="s">
        <v>29</v>
      </c>
      <c r="R187" s="7" t="s">
        <v>29</v>
      </c>
      <c r="S187" s="7" t="s">
        <v>29</v>
      </c>
    </row>
    <row r="188" spans="2:19">
      <c r="B188" s="7" t="s">
        <v>195</v>
      </c>
      <c r="C188" s="8" t="s">
        <v>195</v>
      </c>
      <c r="D188" s="5" t="str">
        <f>LRTRIM(CONCATENATE(IF(SUMPRODUCT(-- ISNUMBER(SEARCH({"Auto Number"}, $B188))) &gt; 0, $B188, IF(SUMPRODUCT(-- ISNUMBER(SEARCH({"Lookup","Master-Detail"}, $B188))) &gt; 0,$B188 &amp; "(" &amp; $E188 &amp; ")",IF(SUMPRODUCT(-- ISNUMBER(SEARCH({"Formula","Roll-Up Summary"}, $B188))) &gt; 0,$B188 &amp; " (" &amp; $E188 &amp; ")",IF(SUMPRODUCT(-- ISNUMBER(SEARCH({"Content","Currency","Number","Percent","Text","URL"}, $B188))) &gt; 0,$B188 &amp; "(" &amp; $C188 &amp; ")",$B188)))), "  ", TRIM(IF($S188 = "YES", "(External ID)", "") &amp; " " &amp; IF(SUMPRODUCT(-- ISNUMBER(SEARCH({"Unique","Unique Case Insensitive"}, $R188))) &gt; 0, "(" &amp; $R188 &amp; ")", ""))))</f>
        <v>na</v>
      </c>
      <c r="E188" s="7" t="s">
        <v>195</v>
      </c>
      <c r="F188" s="7" t="s">
        <v>195</v>
      </c>
      <c r="G188" s="7" t="s">
        <v>195</v>
      </c>
      <c r="H188" s="7" t="s">
        <v>195</v>
      </c>
      <c r="I188" s="7" t="s">
        <v>195</v>
      </c>
      <c r="J188" s="7" t="s">
        <v>195</v>
      </c>
      <c r="K188" s="7" t="s">
        <v>195</v>
      </c>
      <c r="L188" s="7" t="s">
        <v>195</v>
      </c>
      <c r="M188" s="7" t="s">
        <v>29</v>
      </c>
      <c r="N188" s="7" t="s">
        <v>29</v>
      </c>
      <c r="O188" s="7" t="s">
        <v>29</v>
      </c>
      <c r="P188" s="7" t="s">
        <v>29</v>
      </c>
      <c r="Q188" s="7" t="s">
        <v>29</v>
      </c>
      <c r="R188" s="7" t="s">
        <v>29</v>
      </c>
      <c r="S188" s="7" t="s">
        <v>29</v>
      </c>
    </row>
    <row r="189" spans="2:19">
      <c r="B189" s="7" t="s">
        <v>195</v>
      </c>
      <c r="C189" s="8" t="s">
        <v>195</v>
      </c>
      <c r="D189" s="5" t="str">
        <f>LRTRIM(CONCATENATE(IF(SUMPRODUCT(-- ISNUMBER(SEARCH({"Auto Number"}, $B189))) &gt; 0, $B189, IF(SUMPRODUCT(-- ISNUMBER(SEARCH({"Lookup","Master-Detail"}, $B189))) &gt; 0,$B189 &amp; "(" &amp; $E189 &amp; ")",IF(SUMPRODUCT(-- ISNUMBER(SEARCH({"Formula","Roll-Up Summary"}, $B189))) &gt; 0,$B189 &amp; " (" &amp; $E189 &amp; ")",IF(SUMPRODUCT(-- ISNUMBER(SEARCH({"Content","Currency","Number","Percent","Text","URL"}, $B189))) &gt; 0,$B189 &amp; "(" &amp; $C189 &amp; ")",$B189)))), "  ", TRIM(IF($S189 = "YES", "(External ID)", "") &amp; " " &amp; IF(SUMPRODUCT(-- ISNUMBER(SEARCH({"Unique","Unique Case Insensitive"}, $R189))) &gt; 0, "(" &amp; $R189 &amp; ")", ""))))</f>
        <v>na</v>
      </c>
      <c r="E189" s="7" t="s">
        <v>195</v>
      </c>
      <c r="F189" s="7" t="s">
        <v>195</v>
      </c>
      <c r="G189" s="7" t="s">
        <v>195</v>
      </c>
      <c r="H189" s="7" t="s">
        <v>195</v>
      </c>
      <c r="I189" s="7" t="s">
        <v>195</v>
      </c>
      <c r="J189" s="7" t="s">
        <v>195</v>
      </c>
      <c r="K189" s="7" t="s">
        <v>195</v>
      </c>
      <c r="L189" s="7" t="s">
        <v>195</v>
      </c>
      <c r="M189" s="7" t="s">
        <v>29</v>
      </c>
      <c r="N189" s="7" t="s">
        <v>29</v>
      </c>
      <c r="O189" s="7" t="s">
        <v>29</v>
      </c>
      <c r="P189" s="7" t="s">
        <v>29</v>
      </c>
      <c r="Q189" s="7" t="s">
        <v>29</v>
      </c>
      <c r="R189" s="7" t="s">
        <v>29</v>
      </c>
      <c r="S189" s="7" t="s">
        <v>29</v>
      </c>
    </row>
    <row r="190" spans="2:19">
      <c r="B190" s="7" t="s">
        <v>195</v>
      </c>
      <c r="C190" s="8" t="s">
        <v>195</v>
      </c>
      <c r="D190" s="5" t="str">
        <f>LRTRIM(CONCATENATE(IF(SUMPRODUCT(-- ISNUMBER(SEARCH({"Auto Number"}, $B190))) &gt; 0, $B190, IF(SUMPRODUCT(-- ISNUMBER(SEARCH({"Lookup","Master-Detail"}, $B190))) &gt; 0,$B190 &amp; "(" &amp; $E190 &amp; ")",IF(SUMPRODUCT(-- ISNUMBER(SEARCH({"Formula","Roll-Up Summary"}, $B190))) &gt; 0,$B190 &amp; " (" &amp; $E190 &amp; ")",IF(SUMPRODUCT(-- ISNUMBER(SEARCH({"Content","Currency","Number","Percent","Text","URL"}, $B190))) &gt; 0,$B190 &amp; "(" &amp; $C190 &amp; ")",$B190)))), "  ", TRIM(IF($S190 = "YES", "(External ID)", "") &amp; " " &amp; IF(SUMPRODUCT(-- ISNUMBER(SEARCH({"Unique","Unique Case Insensitive"}, $R190))) &gt; 0, "(" &amp; $R190 &amp; ")", ""))))</f>
        <v>na</v>
      </c>
      <c r="E190" s="7" t="s">
        <v>195</v>
      </c>
      <c r="F190" s="7" t="s">
        <v>195</v>
      </c>
      <c r="G190" s="7" t="s">
        <v>195</v>
      </c>
      <c r="H190" s="7" t="s">
        <v>195</v>
      </c>
      <c r="I190" s="7" t="s">
        <v>195</v>
      </c>
      <c r="J190" s="7" t="s">
        <v>195</v>
      </c>
      <c r="K190" s="7" t="s">
        <v>195</v>
      </c>
      <c r="L190" s="7" t="s">
        <v>195</v>
      </c>
      <c r="M190" s="7" t="s">
        <v>29</v>
      </c>
      <c r="N190" s="7" t="s">
        <v>29</v>
      </c>
      <c r="O190" s="7" t="s">
        <v>29</v>
      </c>
      <c r="P190" s="7" t="s">
        <v>29</v>
      </c>
      <c r="Q190" s="7" t="s">
        <v>29</v>
      </c>
      <c r="R190" s="7" t="s">
        <v>29</v>
      </c>
      <c r="S190" s="7" t="s">
        <v>29</v>
      </c>
    </row>
    <row r="191" spans="2:19">
      <c r="B191" s="7" t="s">
        <v>195</v>
      </c>
      <c r="C191" s="8" t="s">
        <v>195</v>
      </c>
      <c r="D191" s="5" t="str">
        <f>LRTRIM(CONCATENATE(IF(SUMPRODUCT(-- ISNUMBER(SEARCH({"Auto Number"}, $B191))) &gt; 0, $B191, IF(SUMPRODUCT(-- ISNUMBER(SEARCH({"Lookup","Master-Detail"}, $B191))) &gt; 0,$B191 &amp; "(" &amp; $E191 &amp; ")",IF(SUMPRODUCT(-- ISNUMBER(SEARCH({"Formula","Roll-Up Summary"}, $B191))) &gt; 0,$B191 &amp; " (" &amp; $E191 &amp; ")",IF(SUMPRODUCT(-- ISNUMBER(SEARCH({"Content","Currency","Number","Percent","Text","URL"}, $B191))) &gt; 0,$B191 &amp; "(" &amp; $C191 &amp; ")",$B191)))), "  ", TRIM(IF($S191 = "YES", "(External ID)", "") &amp; " " &amp; IF(SUMPRODUCT(-- ISNUMBER(SEARCH({"Unique","Unique Case Insensitive"}, $R191))) &gt; 0, "(" &amp; $R191 &amp; ")", ""))))</f>
        <v>na</v>
      </c>
      <c r="E191" s="7" t="s">
        <v>195</v>
      </c>
      <c r="F191" s="7" t="s">
        <v>195</v>
      </c>
      <c r="G191" s="7" t="s">
        <v>195</v>
      </c>
      <c r="H191" s="7" t="s">
        <v>195</v>
      </c>
      <c r="I191" s="7" t="s">
        <v>195</v>
      </c>
      <c r="J191" s="7" t="s">
        <v>195</v>
      </c>
      <c r="K191" s="7" t="s">
        <v>195</v>
      </c>
      <c r="L191" s="7" t="s">
        <v>195</v>
      </c>
      <c r="M191" s="7" t="s">
        <v>29</v>
      </c>
      <c r="N191" s="7" t="s">
        <v>29</v>
      </c>
      <c r="O191" s="7" t="s">
        <v>29</v>
      </c>
      <c r="P191" s="7" t="s">
        <v>29</v>
      </c>
      <c r="Q191" s="7" t="s">
        <v>29</v>
      </c>
      <c r="R191" s="7" t="s">
        <v>29</v>
      </c>
      <c r="S191" s="7" t="s">
        <v>29</v>
      </c>
    </row>
    <row r="192" spans="2:19">
      <c r="B192" s="7" t="s">
        <v>195</v>
      </c>
      <c r="C192" s="8" t="s">
        <v>195</v>
      </c>
      <c r="D192" s="5" t="str">
        <f>LRTRIM(CONCATENATE(IF(SUMPRODUCT(-- ISNUMBER(SEARCH({"Auto Number"}, $B192))) &gt; 0, $B192, IF(SUMPRODUCT(-- ISNUMBER(SEARCH({"Lookup","Master-Detail"}, $B192))) &gt; 0,$B192 &amp; "(" &amp; $E192 &amp; ")",IF(SUMPRODUCT(-- ISNUMBER(SEARCH({"Formula","Roll-Up Summary"}, $B192))) &gt; 0,$B192 &amp; " (" &amp; $E192 &amp; ")",IF(SUMPRODUCT(-- ISNUMBER(SEARCH({"Content","Currency","Number","Percent","Text","URL"}, $B192))) &gt; 0,$B192 &amp; "(" &amp; $C192 &amp; ")",$B192)))), "  ", TRIM(IF($S192 = "YES", "(External ID)", "") &amp; " " &amp; IF(SUMPRODUCT(-- ISNUMBER(SEARCH({"Unique","Unique Case Insensitive"}, $R192))) &gt; 0, "(" &amp; $R192 &amp; ")", ""))))</f>
        <v>na</v>
      </c>
      <c r="E192" s="7" t="s">
        <v>195</v>
      </c>
      <c r="F192" s="7" t="s">
        <v>195</v>
      </c>
      <c r="G192" s="7" t="s">
        <v>195</v>
      </c>
      <c r="H192" s="7" t="s">
        <v>195</v>
      </c>
      <c r="I192" s="7" t="s">
        <v>195</v>
      </c>
      <c r="J192" s="7" t="s">
        <v>195</v>
      </c>
      <c r="K192" s="7" t="s">
        <v>195</v>
      </c>
      <c r="L192" s="7" t="s">
        <v>195</v>
      </c>
      <c r="M192" s="7" t="s">
        <v>29</v>
      </c>
      <c r="N192" s="7" t="s">
        <v>29</v>
      </c>
      <c r="O192" s="7" t="s">
        <v>29</v>
      </c>
      <c r="P192" s="7" t="s">
        <v>29</v>
      </c>
      <c r="Q192" s="7" t="s">
        <v>29</v>
      </c>
      <c r="R192" s="7" t="s">
        <v>29</v>
      </c>
      <c r="S192" s="7" t="s">
        <v>29</v>
      </c>
    </row>
    <row r="193" spans="2:19">
      <c r="B193" s="7" t="s">
        <v>195</v>
      </c>
      <c r="C193" s="8" t="s">
        <v>195</v>
      </c>
      <c r="D193" s="5" t="str">
        <f>LRTRIM(CONCATENATE(IF(SUMPRODUCT(-- ISNUMBER(SEARCH({"Auto Number"}, $B193))) &gt; 0, $B193, IF(SUMPRODUCT(-- ISNUMBER(SEARCH({"Lookup","Master-Detail"}, $B193))) &gt; 0,$B193 &amp; "(" &amp; $E193 &amp; ")",IF(SUMPRODUCT(-- ISNUMBER(SEARCH({"Formula","Roll-Up Summary"}, $B193))) &gt; 0,$B193 &amp; " (" &amp; $E193 &amp; ")",IF(SUMPRODUCT(-- ISNUMBER(SEARCH({"Content","Currency","Number","Percent","Text","URL"}, $B193))) &gt; 0,$B193 &amp; "(" &amp; $C193 &amp; ")",$B193)))), "  ", TRIM(IF($S193 = "YES", "(External ID)", "") &amp; " " &amp; IF(SUMPRODUCT(-- ISNUMBER(SEARCH({"Unique","Unique Case Insensitive"}, $R193))) &gt; 0, "(" &amp; $R193 &amp; ")", ""))))</f>
        <v>na</v>
      </c>
      <c r="E193" s="7" t="s">
        <v>195</v>
      </c>
      <c r="F193" s="7" t="s">
        <v>195</v>
      </c>
      <c r="G193" s="7" t="s">
        <v>195</v>
      </c>
      <c r="H193" s="7" t="s">
        <v>195</v>
      </c>
      <c r="I193" s="7" t="s">
        <v>195</v>
      </c>
      <c r="J193" s="7" t="s">
        <v>195</v>
      </c>
      <c r="K193" s="7" t="s">
        <v>195</v>
      </c>
      <c r="L193" s="7" t="s">
        <v>195</v>
      </c>
      <c r="M193" s="7" t="s">
        <v>29</v>
      </c>
      <c r="N193" s="7" t="s">
        <v>29</v>
      </c>
      <c r="O193" s="7" t="s">
        <v>29</v>
      </c>
      <c r="P193" s="7" t="s">
        <v>29</v>
      </c>
      <c r="Q193" s="7" t="s">
        <v>29</v>
      </c>
      <c r="R193" s="7" t="s">
        <v>29</v>
      </c>
      <c r="S193" s="7" t="s">
        <v>29</v>
      </c>
    </row>
    <row r="194" spans="2:19">
      <c r="B194" s="7" t="s">
        <v>195</v>
      </c>
      <c r="C194" s="8" t="s">
        <v>195</v>
      </c>
      <c r="D194" s="5" t="str">
        <f>LRTRIM(CONCATENATE(IF(SUMPRODUCT(-- ISNUMBER(SEARCH({"Auto Number"}, $B194))) &gt; 0, $B194, IF(SUMPRODUCT(-- ISNUMBER(SEARCH({"Lookup","Master-Detail"}, $B194))) &gt; 0,$B194 &amp; "(" &amp; $E194 &amp; ")",IF(SUMPRODUCT(-- ISNUMBER(SEARCH({"Formula","Roll-Up Summary"}, $B194))) &gt; 0,$B194 &amp; " (" &amp; $E194 &amp; ")",IF(SUMPRODUCT(-- ISNUMBER(SEARCH({"Content","Currency","Number","Percent","Text","URL"}, $B194))) &gt; 0,$B194 &amp; "(" &amp; $C194 &amp; ")",$B194)))), "  ", TRIM(IF($S194 = "YES", "(External ID)", "") &amp; " " &amp; IF(SUMPRODUCT(-- ISNUMBER(SEARCH({"Unique","Unique Case Insensitive"}, $R194))) &gt; 0, "(" &amp; $R194 &amp; ")", ""))))</f>
        <v>na</v>
      </c>
      <c r="E194" s="7" t="s">
        <v>195</v>
      </c>
      <c r="F194" s="7" t="s">
        <v>195</v>
      </c>
      <c r="G194" s="7" t="s">
        <v>195</v>
      </c>
      <c r="H194" s="7" t="s">
        <v>195</v>
      </c>
      <c r="I194" s="7" t="s">
        <v>195</v>
      </c>
      <c r="J194" s="7" t="s">
        <v>195</v>
      </c>
      <c r="K194" s="7" t="s">
        <v>195</v>
      </c>
      <c r="L194" s="7" t="s">
        <v>195</v>
      </c>
      <c r="M194" s="7" t="s">
        <v>29</v>
      </c>
      <c r="N194" s="7" t="s">
        <v>29</v>
      </c>
      <c r="O194" s="7" t="s">
        <v>29</v>
      </c>
      <c r="P194" s="7" t="s">
        <v>29</v>
      </c>
      <c r="Q194" s="7" t="s">
        <v>29</v>
      </c>
      <c r="R194" s="7" t="s">
        <v>29</v>
      </c>
      <c r="S194" s="7" t="s">
        <v>29</v>
      </c>
    </row>
    <row r="195" spans="2:19">
      <c r="B195" s="7" t="s">
        <v>195</v>
      </c>
      <c r="C195" s="8" t="s">
        <v>195</v>
      </c>
      <c r="D195" s="5" t="str">
        <f>LRTRIM(CONCATENATE(IF(SUMPRODUCT(-- ISNUMBER(SEARCH({"Auto Number"}, $B195))) &gt; 0, $B195, IF(SUMPRODUCT(-- ISNUMBER(SEARCH({"Lookup","Master-Detail"}, $B195))) &gt; 0,$B195 &amp; "(" &amp; $E195 &amp; ")",IF(SUMPRODUCT(-- ISNUMBER(SEARCH({"Formula","Roll-Up Summary"}, $B195))) &gt; 0,$B195 &amp; " (" &amp; $E195 &amp; ")",IF(SUMPRODUCT(-- ISNUMBER(SEARCH({"Content","Currency","Number","Percent","Text","URL"}, $B195))) &gt; 0,$B195 &amp; "(" &amp; $C195 &amp; ")",$B195)))), "  ", TRIM(IF($S195 = "YES", "(External ID)", "") &amp; " " &amp; IF(SUMPRODUCT(-- ISNUMBER(SEARCH({"Unique","Unique Case Insensitive"}, $R195))) &gt; 0, "(" &amp; $R195 &amp; ")", ""))))</f>
        <v>na</v>
      </c>
      <c r="E195" s="7" t="s">
        <v>195</v>
      </c>
      <c r="F195" s="7" t="s">
        <v>195</v>
      </c>
      <c r="G195" s="7" t="s">
        <v>195</v>
      </c>
      <c r="H195" s="7" t="s">
        <v>195</v>
      </c>
      <c r="I195" s="7" t="s">
        <v>195</v>
      </c>
      <c r="J195" s="7" t="s">
        <v>195</v>
      </c>
      <c r="K195" s="7" t="s">
        <v>195</v>
      </c>
      <c r="L195" s="7" t="s">
        <v>195</v>
      </c>
      <c r="M195" s="7" t="s">
        <v>29</v>
      </c>
      <c r="N195" s="7" t="s">
        <v>29</v>
      </c>
      <c r="O195" s="7" t="s">
        <v>29</v>
      </c>
      <c r="P195" s="7" t="s">
        <v>29</v>
      </c>
      <c r="Q195" s="7" t="s">
        <v>29</v>
      </c>
      <c r="R195" s="7" t="s">
        <v>29</v>
      </c>
      <c r="S195" s="7" t="s">
        <v>29</v>
      </c>
    </row>
    <row r="196" spans="2:19">
      <c r="B196" s="7" t="s">
        <v>195</v>
      </c>
      <c r="C196" s="8" t="s">
        <v>195</v>
      </c>
      <c r="D196" s="5" t="str">
        <f>LRTRIM(CONCATENATE(IF(SUMPRODUCT(-- ISNUMBER(SEARCH({"Auto Number"}, $B196))) &gt; 0, $B196, IF(SUMPRODUCT(-- ISNUMBER(SEARCH({"Lookup","Master-Detail"}, $B196))) &gt; 0,$B196 &amp; "(" &amp; $E196 &amp; ")",IF(SUMPRODUCT(-- ISNUMBER(SEARCH({"Formula","Roll-Up Summary"}, $B196))) &gt; 0,$B196 &amp; " (" &amp; $E196 &amp; ")",IF(SUMPRODUCT(-- ISNUMBER(SEARCH({"Content","Currency","Number","Percent","Text","URL"}, $B196))) &gt; 0,$B196 &amp; "(" &amp; $C196 &amp; ")",$B196)))), "  ", TRIM(IF($S196 = "YES", "(External ID)", "") &amp; " " &amp; IF(SUMPRODUCT(-- ISNUMBER(SEARCH({"Unique","Unique Case Insensitive"}, $R196))) &gt; 0, "(" &amp; $R196 &amp; ")", ""))))</f>
        <v>na</v>
      </c>
      <c r="E196" s="7" t="s">
        <v>195</v>
      </c>
      <c r="F196" s="7" t="s">
        <v>195</v>
      </c>
      <c r="G196" s="7" t="s">
        <v>195</v>
      </c>
      <c r="H196" s="7" t="s">
        <v>195</v>
      </c>
      <c r="I196" s="7" t="s">
        <v>195</v>
      </c>
      <c r="J196" s="7" t="s">
        <v>195</v>
      </c>
      <c r="K196" s="7" t="s">
        <v>195</v>
      </c>
      <c r="L196" s="7" t="s">
        <v>195</v>
      </c>
      <c r="M196" s="7" t="s">
        <v>29</v>
      </c>
      <c r="N196" s="7" t="s">
        <v>29</v>
      </c>
      <c r="O196" s="7" t="s">
        <v>29</v>
      </c>
      <c r="P196" s="7" t="s">
        <v>29</v>
      </c>
      <c r="Q196" s="7" t="s">
        <v>29</v>
      </c>
      <c r="R196" s="7" t="s">
        <v>29</v>
      </c>
      <c r="S196" s="7" t="s">
        <v>29</v>
      </c>
    </row>
    <row r="197" spans="2:19">
      <c r="B197" s="7" t="s">
        <v>195</v>
      </c>
      <c r="C197" s="8" t="s">
        <v>195</v>
      </c>
      <c r="D197" s="5" t="str">
        <f>LRTRIM(CONCATENATE(IF(SUMPRODUCT(-- ISNUMBER(SEARCH({"Auto Number"}, $B197))) &gt; 0, $B197, IF(SUMPRODUCT(-- ISNUMBER(SEARCH({"Lookup","Master-Detail"}, $B197))) &gt; 0,$B197 &amp; "(" &amp; $E197 &amp; ")",IF(SUMPRODUCT(-- ISNUMBER(SEARCH({"Formula","Roll-Up Summary"}, $B197))) &gt; 0,$B197 &amp; " (" &amp; $E197 &amp; ")",IF(SUMPRODUCT(-- ISNUMBER(SEARCH({"Content","Currency","Number","Percent","Text","URL"}, $B197))) &gt; 0,$B197 &amp; "(" &amp; $C197 &amp; ")",$B197)))), "  ", TRIM(IF($S197 = "YES", "(External ID)", "") &amp; " " &amp; IF(SUMPRODUCT(-- ISNUMBER(SEARCH({"Unique","Unique Case Insensitive"}, $R197))) &gt; 0, "(" &amp; $R197 &amp; ")", ""))))</f>
        <v>na</v>
      </c>
      <c r="E197" s="7" t="s">
        <v>195</v>
      </c>
      <c r="F197" s="7" t="s">
        <v>195</v>
      </c>
      <c r="G197" s="7" t="s">
        <v>195</v>
      </c>
      <c r="H197" s="7" t="s">
        <v>195</v>
      </c>
      <c r="I197" s="7" t="s">
        <v>195</v>
      </c>
      <c r="J197" s="7" t="s">
        <v>195</v>
      </c>
      <c r="K197" s="7" t="s">
        <v>195</v>
      </c>
      <c r="L197" s="7" t="s">
        <v>195</v>
      </c>
      <c r="M197" s="7" t="s">
        <v>29</v>
      </c>
      <c r="N197" s="7" t="s">
        <v>29</v>
      </c>
      <c r="O197" s="7" t="s">
        <v>29</v>
      </c>
      <c r="P197" s="7" t="s">
        <v>29</v>
      </c>
      <c r="Q197" s="7" t="s">
        <v>29</v>
      </c>
      <c r="R197" s="7" t="s">
        <v>29</v>
      </c>
      <c r="S197" s="7" t="s">
        <v>29</v>
      </c>
    </row>
    <row r="198" spans="2:19">
      <c r="B198" s="7" t="s">
        <v>195</v>
      </c>
      <c r="C198" s="8" t="s">
        <v>195</v>
      </c>
      <c r="D198" s="5" t="str">
        <f>LRTRIM(CONCATENATE(IF(SUMPRODUCT(-- ISNUMBER(SEARCH({"Auto Number"}, $B198))) &gt; 0, $B198, IF(SUMPRODUCT(-- ISNUMBER(SEARCH({"Lookup","Master-Detail"}, $B198))) &gt; 0,$B198 &amp; "(" &amp; $E198 &amp; ")",IF(SUMPRODUCT(-- ISNUMBER(SEARCH({"Formula","Roll-Up Summary"}, $B198))) &gt; 0,$B198 &amp; " (" &amp; $E198 &amp; ")",IF(SUMPRODUCT(-- ISNUMBER(SEARCH({"Content","Currency","Number","Percent","Text","URL"}, $B198))) &gt; 0,$B198 &amp; "(" &amp; $C198 &amp; ")",$B198)))), "  ", TRIM(IF($S198 = "YES", "(External ID)", "") &amp; " " &amp; IF(SUMPRODUCT(-- ISNUMBER(SEARCH({"Unique","Unique Case Insensitive"}, $R198))) &gt; 0, "(" &amp; $R198 &amp; ")", ""))))</f>
        <v>na</v>
      </c>
      <c r="E198" s="7" t="s">
        <v>195</v>
      </c>
      <c r="F198" s="7" t="s">
        <v>195</v>
      </c>
      <c r="G198" s="7" t="s">
        <v>195</v>
      </c>
      <c r="H198" s="7" t="s">
        <v>195</v>
      </c>
      <c r="I198" s="7" t="s">
        <v>195</v>
      </c>
      <c r="J198" s="7" t="s">
        <v>195</v>
      </c>
      <c r="K198" s="7" t="s">
        <v>195</v>
      </c>
      <c r="L198" s="7" t="s">
        <v>195</v>
      </c>
      <c r="M198" s="7" t="s">
        <v>29</v>
      </c>
      <c r="N198" s="7" t="s">
        <v>29</v>
      </c>
      <c r="O198" s="7" t="s">
        <v>29</v>
      </c>
      <c r="P198" s="7" t="s">
        <v>29</v>
      </c>
      <c r="Q198" s="7" t="s">
        <v>29</v>
      </c>
      <c r="R198" s="7" t="s">
        <v>29</v>
      </c>
      <c r="S198" s="7" t="s">
        <v>29</v>
      </c>
    </row>
    <row r="199" spans="2:19">
      <c r="B199" s="7" t="s">
        <v>195</v>
      </c>
      <c r="C199" s="8" t="s">
        <v>195</v>
      </c>
      <c r="D199" s="5" t="str">
        <f>LRTRIM(CONCATENATE(IF(SUMPRODUCT(-- ISNUMBER(SEARCH({"Auto Number"}, $B199))) &gt; 0, $B199, IF(SUMPRODUCT(-- ISNUMBER(SEARCH({"Lookup","Master-Detail"}, $B199))) &gt; 0,$B199 &amp; "(" &amp; $E199 &amp; ")",IF(SUMPRODUCT(-- ISNUMBER(SEARCH({"Formula","Roll-Up Summary"}, $B199))) &gt; 0,$B199 &amp; " (" &amp; $E199 &amp; ")",IF(SUMPRODUCT(-- ISNUMBER(SEARCH({"Content","Currency","Number","Percent","Text","URL"}, $B199))) &gt; 0,$B199 &amp; "(" &amp; $C199 &amp; ")",$B199)))), "  ", TRIM(IF($S199 = "YES", "(External ID)", "") &amp; " " &amp; IF(SUMPRODUCT(-- ISNUMBER(SEARCH({"Unique","Unique Case Insensitive"}, $R199))) &gt; 0, "(" &amp; $R199 &amp; ")", ""))))</f>
        <v>na</v>
      </c>
      <c r="E199" s="7" t="s">
        <v>195</v>
      </c>
      <c r="F199" s="7" t="s">
        <v>195</v>
      </c>
      <c r="G199" s="7" t="s">
        <v>195</v>
      </c>
      <c r="H199" s="7" t="s">
        <v>195</v>
      </c>
      <c r="I199" s="7" t="s">
        <v>195</v>
      </c>
      <c r="J199" s="7" t="s">
        <v>195</v>
      </c>
      <c r="K199" s="7" t="s">
        <v>195</v>
      </c>
      <c r="L199" s="7" t="s">
        <v>195</v>
      </c>
      <c r="M199" s="7" t="s">
        <v>29</v>
      </c>
      <c r="N199" s="7" t="s">
        <v>29</v>
      </c>
      <c r="O199" s="7" t="s">
        <v>29</v>
      </c>
      <c r="P199" s="7" t="s">
        <v>29</v>
      </c>
      <c r="Q199" s="7" t="s">
        <v>29</v>
      </c>
      <c r="R199" s="7" t="s">
        <v>29</v>
      </c>
      <c r="S199" s="7" t="s">
        <v>29</v>
      </c>
    </row>
    <row r="200" spans="2:19">
      <c r="B200" s="7" t="s">
        <v>195</v>
      </c>
      <c r="C200" s="8" t="s">
        <v>195</v>
      </c>
      <c r="D200" s="5" t="str">
        <f>LRTRIM(CONCATENATE(IF(SUMPRODUCT(-- ISNUMBER(SEARCH({"Auto Number"}, $B200))) &gt; 0, $B200, IF(SUMPRODUCT(-- ISNUMBER(SEARCH({"Lookup","Master-Detail"}, $B200))) &gt; 0,$B200 &amp; "(" &amp; $E200 &amp; ")",IF(SUMPRODUCT(-- ISNUMBER(SEARCH({"Formula","Roll-Up Summary"}, $B200))) &gt; 0,$B200 &amp; " (" &amp; $E200 &amp; ")",IF(SUMPRODUCT(-- ISNUMBER(SEARCH({"Content","Currency","Number","Percent","Text","URL"}, $B200))) &gt; 0,$B200 &amp; "(" &amp; $C200 &amp; ")",$B200)))), "  ", TRIM(IF($S200 = "YES", "(External ID)", "") &amp; " " &amp; IF(SUMPRODUCT(-- ISNUMBER(SEARCH({"Unique","Unique Case Insensitive"}, $R200))) &gt; 0, "(" &amp; $R200 &amp; ")", ""))))</f>
        <v>na</v>
      </c>
      <c r="E200" s="7" t="s">
        <v>195</v>
      </c>
      <c r="F200" s="7" t="s">
        <v>195</v>
      </c>
      <c r="G200" s="7" t="s">
        <v>195</v>
      </c>
      <c r="H200" s="7" t="s">
        <v>195</v>
      </c>
      <c r="I200" s="7" t="s">
        <v>195</v>
      </c>
      <c r="J200" s="7" t="s">
        <v>195</v>
      </c>
      <c r="K200" s="7" t="s">
        <v>195</v>
      </c>
      <c r="L200" s="7" t="s">
        <v>195</v>
      </c>
      <c r="M200" s="7" t="s">
        <v>29</v>
      </c>
      <c r="N200" s="7" t="s">
        <v>29</v>
      </c>
      <c r="O200" s="7" t="s">
        <v>29</v>
      </c>
      <c r="P200" s="7" t="s">
        <v>29</v>
      </c>
      <c r="Q200" s="7" t="s">
        <v>29</v>
      </c>
      <c r="R200" s="7" t="s">
        <v>29</v>
      </c>
      <c r="S200" s="7" t="s">
        <v>29</v>
      </c>
    </row>
  </sheetData>
  <sheetProtection formatCells="0" formatColumns="0" formatRows="0" insertColumns="0" insertRows="0" insertHyperlinks="0" deleteColumns="0" deleteRows="0" sort="0" autoFilter="0" pivotTables="0"/>
  <conditionalFormatting sqref="D2:D51">
    <cfRule type="expression" dxfId="81" priority="3">
      <formula>NOT(_xlfn.ISFORMULA($D2))</formula>
    </cfRule>
  </conditionalFormatting>
  <conditionalFormatting sqref="D52">
    <cfRule type="expression" dxfId="80" priority="2">
      <formula>NOT(_xlfn.ISFORMULA($D52))</formula>
    </cfRule>
  </conditionalFormatting>
  <conditionalFormatting sqref="D53:D200">
    <cfRule type="expression" dxfId="79" priority="1">
      <formula>NOT(_xlfn.ISFORMULA($D53))</formula>
    </cfRule>
  </conditionalFormatting>
  <dataValidations count="1">
    <dataValidation allowBlank="1" showInputMessage="1" showErrorMessage="1" sqref="A2:A51"/>
  </dataValidations>
  <pageMargins left="0.7" right="0.7" top="0.75" bottom="0.75" header="0.3" footer="0.3"/>
  <extLst>
    <ext xmlns:x14="http://schemas.microsoft.com/office/spreadsheetml/2009/9/main" uri="{CCE6A557-97BC-4b89-ADB6-D9C93CAAB3DF}">
      <x14:dataValidations xmlns:xm="http://schemas.microsoft.com/office/excel/2006/main" count="15">
        <x14:dataValidation type="list" allowBlank="1" showInputMessage="1" showErrorMessage="1">
          <x14:formula1>
            <xm:f>OFFSET('Reference Fields'!$K$2,0,0,COUNTA('Reference Fields'!$K:$K)-1)</xm:f>
          </x14:formula1>
          <xm:sqref>R2:R200</xm:sqref>
        </x14:dataValidation>
        <x14:dataValidation type="list" allowBlank="1" showInputMessage="1" showErrorMessage="1">
          <x14:formula1>
            <xm:f>OFFSET('Reference Fields'!$J$2,0,0,COUNTA('Reference Fields'!$J:$J)-1)</xm:f>
          </x14:formula1>
          <xm:sqref>Q2:Q200</xm:sqref>
        </x14:dataValidation>
        <x14:dataValidation type="list" allowBlank="1" showInputMessage="1" showErrorMessage="1">
          <x14:formula1>
            <xm:f>OFFSET('Reference Fields'!$J$2,0,0,COUNTA('Reference Fields'!$J:$J)-1)</xm:f>
          </x14:formula1>
          <xm:sqref>M2:M200</xm:sqref>
        </x14:dataValidation>
        <x14:dataValidation type="list" allowBlank="1" showInputMessage="1" showErrorMessage="1">
          <x14:formula1>
            <xm:f>OFFSET('Reference Fields'!$J$2,0,0,COUNTA('Reference Fields'!$J:$J)-1)</xm:f>
          </x14:formula1>
          <xm:sqref>N2:N200</xm:sqref>
        </x14:dataValidation>
        <x14:dataValidation type="list" allowBlank="1" showInputMessage="1" showErrorMessage="1">
          <x14:formula1>
            <xm:f>OFFSET('Reference Fields'!$J$2,0,0,COUNTA('Reference Fields'!$J:$J)-1)</xm:f>
          </x14:formula1>
          <xm:sqref>O2:O200</xm:sqref>
        </x14:dataValidation>
        <x14:dataValidation type="list" allowBlank="1" showInputMessage="1" showErrorMessage="1">
          <x14:formula1>
            <xm:f>OFFSET('Reference Fields'!$J$2,0,0,COUNTA('Reference Fields'!$J:$J)-1)</xm:f>
          </x14:formula1>
          <xm:sqref>P2:P200</xm:sqref>
        </x14:dataValidation>
        <x14:dataValidation type="list" allowBlank="1" showInputMessage="1" showErrorMessage="1">
          <x14:formula1>
            <xm:f>OFFSET('Reference Fields'!$J$2,0,0,COUNTA('Reference Fields'!$J:$J)-1)</xm:f>
          </x14:formula1>
          <xm:sqref>S2:S200</xm:sqref>
        </x14:dataValidation>
        <x14:dataValidation type="list" allowBlank="1" showInputMessage="1" showErrorMessage="1">
          <x14:formula1>
            <xm:f>OFFSET('Reference Fields'!$B$2,0,0,COUNTA('Reference Fields'!$B:$B)-1)</xm:f>
          </x14:formula1>
          <xm:sqref>B2:B200</xm:sqref>
        </x14:dataValidation>
        <x14:dataValidation type="list" allowBlank="1" showInputMessage="1" showErrorMessage="1">
          <x14:formula1>
            <xm:f>OFFSET('Reference Fields'!$D$2,0,0,COUNTA('Reference Fields'!$D:$D)-1)</xm:f>
          </x14:formula1>
          <xm:sqref>F2:F200</xm:sqref>
        </x14:dataValidation>
        <x14:dataValidation type="list" allowBlank="1" showInputMessage="1" showErrorMessage="1">
          <x14:formula1>
            <xm:f>OFFSET('Reference Fields'!$E$2,0,0,COUNTA('Reference Fields'!$E:$E)-1)</xm:f>
          </x14:formula1>
          <xm:sqref>G2:G200</xm:sqref>
        </x14:dataValidation>
        <x14:dataValidation type="list" allowBlank="1" showInputMessage="1" showErrorMessage="1">
          <x14:formula1>
            <xm:f>OFFSET('Reference Fields'!$F$2,0,0,COUNTA('Reference Fields'!$F:$F)-1)</xm:f>
          </x14:formula1>
          <xm:sqref>H2:H200</xm:sqref>
        </x14:dataValidation>
        <x14:dataValidation type="list" allowBlank="1" showInputMessage="1" showErrorMessage="1">
          <x14:formula1>
            <xm:f>OFFSET('Reference Fields'!$F$2,0,0,COUNTA('Reference Fields'!$F:$F)-1)</xm:f>
          </x14:formula1>
          <xm:sqref>I2:I200</xm:sqref>
        </x14:dataValidation>
        <x14:dataValidation type="list" allowBlank="1" showInputMessage="1" showErrorMessage="1">
          <x14:formula1>
            <xm:f>OFFSET('Reference Fields'!$G$2,0,0,COUNTA('Reference Fields'!$G:$G)-1)</xm:f>
          </x14:formula1>
          <xm:sqref>J2:J200</xm:sqref>
        </x14:dataValidation>
        <x14:dataValidation type="list" allowBlank="1" showInputMessage="1" showErrorMessage="1">
          <x14:formula1>
            <xm:f>OFFSET('Reference Fields'!$H$2,0,0,COUNTA('Reference Fields'!$H:$H)-1)</xm:f>
          </x14:formula1>
          <xm:sqref>K2:K200</xm:sqref>
        </x14:dataValidation>
        <x14:dataValidation type="list" allowBlank="1" showInputMessage="1" showErrorMessage="1">
          <x14:formula1>
            <xm:f>OFFSET('Reference Fields'!$I$2,0,0,COUNTA('Reference Fields'!$I:$I)-1)</xm:f>
          </x14:formula1>
          <xm:sqref>L2:L200</xm:sqref>
        </x14:dataValidation>
      </x14:dataValidations>
    </ext>
  </extLst>
</worksheet>
</file>

<file path=xl/worksheets/sheet13.xml><?xml version="1.0" encoding="utf-8"?>
<worksheet xmlns="http://schemas.openxmlformats.org/spreadsheetml/2006/main" xmlns:r="http://schemas.openxmlformats.org/officeDocument/2006/relationships">
  <sheetPr codeName="Sheet9"/>
  <dimension ref="A1:S200"/>
  <sheetViews>
    <sheetView workbookViewId="0">
      <selection activeCell="C3" sqref="C3"/>
    </sheetView>
  </sheetViews>
  <sheetFormatPr defaultRowHeight="14.5"/>
  <cols>
    <col min="1" max="1" width="23" bestFit="1" customWidth="1"/>
    <col min="2" max="2" width="13.54296875" customWidth="1"/>
    <col min="3" max="3" width="8.90625" customWidth="1"/>
    <col min="4" max="4" width="14.90625" customWidth="1"/>
    <col min="5" max="5" width="12.6328125" customWidth="1"/>
    <col min="6" max="6" width="15.6328125" bestFit="1" customWidth="1"/>
    <col min="7" max="8" width="15.453125" customWidth="1"/>
    <col min="9" max="9" width="22.6328125" customWidth="1"/>
    <col min="10" max="10" width="23.36328125" customWidth="1"/>
    <col min="11" max="11" width="17.54296875" customWidth="1"/>
    <col min="12" max="12" width="14.08984375" customWidth="1"/>
    <col min="13" max="13" width="10.453125" bestFit="1" customWidth="1"/>
    <col min="14" max="14" width="10.453125" customWidth="1"/>
    <col min="15" max="15" width="12.453125" bestFit="1" customWidth="1"/>
  </cols>
  <sheetData>
    <row r="1" spans="1:19" s="1" customFormat="1">
      <c r="A1" s="1" t="s">
        <v>2</v>
      </c>
      <c r="B1" s="1" t="s">
        <v>1198</v>
      </c>
      <c r="C1" s="1" t="s">
        <v>1199</v>
      </c>
      <c r="D1" s="1" t="s">
        <v>0</v>
      </c>
      <c r="E1" s="1" t="s">
        <v>1</v>
      </c>
      <c r="F1" s="1" t="s">
        <v>30</v>
      </c>
      <c r="G1" s="1" t="s">
        <v>31</v>
      </c>
      <c r="H1" s="1" t="s">
        <v>1262</v>
      </c>
      <c r="I1" s="1" t="s">
        <v>49</v>
      </c>
      <c r="J1" s="1" t="s">
        <v>48</v>
      </c>
      <c r="K1" s="1" t="s">
        <v>54</v>
      </c>
      <c r="L1" s="1" t="s">
        <v>55</v>
      </c>
      <c r="M1" s="1" t="s">
        <v>27</v>
      </c>
      <c r="N1" s="1" t="s">
        <v>175</v>
      </c>
      <c r="O1" s="1" t="s">
        <v>193</v>
      </c>
      <c r="P1" s="1" t="s">
        <v>1221</v>
      </c>
      <c r="Q1" s="1" t="s">
        <v>1264</v>
      </c>
      <c r="R1" s="1" t="s">
        <v>1263</v>
      </c>
      <c r="S1" s="1" t="s">
        <v>1265</v>
      </c>
    </row>
    <row r="2" spans="1:19">
      <c r="A2" s="7" t="s">
        <v>9</v>
      </c>
      <c r="B2" s="7" t="s">
        <v>1218</v>
      </c>
      <c r="C2" s="8">
        <v>50</v>
      </c>
      <c r="D2" s="5" t="str">
        <f>LRTRIM(CONCATENATE(IF(SUMPRODUCT(-- ISNUMBER(SEARCH({"Auto Number"}, $B2))) &gt; 0, $B2, IF(SUMPRODUCT(-- ISNUMBER(SEARCH({"Lookup","Master-Detail"}, $B2))) &gt; 0,$B2 &amp; "(" &amp; $E2 &amp; ")",IF(SUMPRODUCT(-- ISNUMBER(SEARCH({"Formula","Roll-Up Summary"}, $B2))) &gt; 0,$B2 &amp; " (" &amp; $E2 &amp; ")",IF(SUMPRODUCT(-- ISNUMBER(SEARCH({"Content","Currency","Number","Percent","Text","URL"}, $B2))) &gt; 0,$B2 &amp; "(" &amp; $C2 &amp; ")",$B2)))), "  ", TRIM(IF($S2 = "YES", "(External ID)", "") &amp; " " &amp; IF(SUMPRODUCT(-- ISNUMBER(SEARCH({"Unique","Unique Case Insensitive"}, $R2))) &gt; 0, "(" &amp; $R2 &amp; ")", ""))))</f>
        <v>Text(50)</v>
      </c>
      <c r="E2" s="7" t="s">
        <v>195</v>
      </c>
      <c r="F2" s="7" t="s">
        <v>18</v>
      </c>
      <c r="G2" s="7" t="s">
        <v>195</v>
      </c>
      <c r="H2" s="7" t="s">
        <v>195</v>
      </c>
      <c r="I2" s="7" t="s">
        <v>195</v>
      </c>
      <c r="J2" s="7" t="s">
        <v>195</v>
      </c>
      <c r="K2" s="7" t="s">
        <v>195</v>
      </c>
      <c r="L2" s="7" t="s">
        <v>195</v>
      </c>
      <c r="M2" s="7" t="s">
        <v>29</v>
      </c>
      <c r="N2" s="7" t="s">
        <v>29</v>
      </c>
      <c r="O2" s="7" t="s">
        <v>29</v>
      </c>
      <c r="P2" s="7" t="s">
        <v>29</v>
      </c>
      <c r="Q2" s="7" t="s">
        <v>29</v>
      </c>
      <c r="R2" s="7" t="s">
        <v>29</v>
      </c>
      <c r="S2" s="7" t="s">
        <v>29</v>
      </c>
    </row>
    <row r="3" spans="1:19">
      <c r="A3" s="7" t="s">
        <v>103</v>
      </c>
      <c r="B3" s="7" t="s">
        <v>1211</v>
      </c>
      <c r="C3" s="8">
        <v>18</v>
      </c>
      <c r="D3" s="5" t="str">
        <f>LRTRIM(CONCATENATE(IF(SUMPRODUCT(-- ISNUMBER(SEARCH({"Auto Number"}, $B3))) &gt; 0, $B3, IF(SUMPRODUCT(-- ISNUMBER(SEARCH({"Lookup","Master-Detail"}, $B3))) &gt; 0,$B3 &amp; "(" &amp; $E3 &amp; ")",IF(SUMPRODUCT(-- ISNUMBER(SEARCH({"Formula","Roll-Up Summary"}, $B3))) &gt; 0,$B3 &amp; " (" &amp; $E3 &amp; ")",IF(SUMPRODUCT(-- ISNUMBER(SEARCH({"Content","Currency","Number","Percent","Text","URL"}, $B3))) &gt; 0,$B3 &amp; "(" &amp; $C3 &amp; ")",$B3)))), "  ", TRIM(IF($S3 = "YES", "(External ID)", "") &amp; " " &amp; IF(SUMPRODUCT(-- ISNUMBER(SEARCH({"Unique","Unique Case Insensitive"}, $R3))) &gt; 0, "(" &amp; $R3 &amp; ")", ""))))</f>
        <v>Lookup(Commission Agreement)</v>
      </c>
      <c r="E3" s="7" t="s">
        <v>202</v>
      </c>
      <c r="F3" s="7" t="s">
        <v>202</v>
      </c>
      <c r="G3" s="7" t="s">
        <v>377</v>
      </c>
      <c r="H3" s="7" t="s">
        <v>195</v>
      </c>
      <c r="I3" s="7" t="s">
        <v>195</v>
      </c>
      <c r="J3" s="7" t="s">
        <v>195</v>
      </c>
      <c r="K3" s="7" t="s">
        <v>195</v>
      </c>
      <c r="L3" s="7" t="s">
        <v>195</v>
      </c>
      <c r="M3" s="7" t="s">
        <v>29</v>
      </c>
      <c r="N3" s="7" t="s">
        <v>29</v>
      </c>
      <c r="O3" s="7" t="s">
        <v>29</v>
      </c>
      <c r="P3" s="7" t="s">
        <v>29</v>
      </c>
      <c r="Q3" s="7" t="s">
        <v>29</v>
      </c>
      <c r="R3" s="7" t="s">
        <v>29</v>
      </c>
      <c r="S3" s="7" t="s">
        <v>29</v>
      </c>
    </row>
    <row r="4" spans="1:19">
      <c r="A4" s="7" t="s">
        <v>361</v>
      </c>
      <c r="B4" s="7" t="s">
        <v>1218</v>
      </c>
      <c r="C4" s="8">
        <v>255</v>
      </c>
      <c r="D4" s="5" t="str">
        <f>LRTRIM(CONCATENATE(IF(SUMPRODUCT(-- ISNUMBER(SEARCH({"Auto Number"}, $B4))) &gt; 0, $B4, IF(SUMPRODUCT(-- ISNUMBER(SEARCH({"Lookup","Master-Detail"}, $B4))) &gt; 0,$B4 &amp; "(" &amp; $E4 &amp; ")",IF(SUMPRODUCT(-- ISNUMBER(SEARCH({"Formula","Roll-Up Summary"}, $B4))) &gt; 0,$B4 &amp; " (" &amp; $E4 &amp; ")",IF(SUMPRODUCT(-- ISNUMBER(SEARCH({"Content","Currency","Number","Percent","Text","URL"}, $B4))) &gt; 0,$B4 &amp; "(" &amp; $C4 &amp; ")",$B4)))), "  ", TRIM(IF($S4 = "YES", "(External ID)", "") &amp; " " &amp; IF(SUMPRODUCT(-- ISNUMBER(SEARCH({"Unique","Unique Case Insensitive"}, $R4))) &gt; 0, "(" &amp; $R4 &amp; ")", ""))))</f>
        <v>Text(255)  (External ID) (Unique Case Insensitive)</v>
      </c>
      <c r="E4" s="7" t="s">
        <v>195</v>
      </c>
      <c r="F4" s="7" t="s">
        <v>368</v>
      </c>
      <c r="G4" s="7" t="s">
        <v>378</v>
      </c>
      <c r="H4" s="7" t="s">
        <v>195</v>
      </c>
      <c r="I4" s="7" t="s">
        <v>195</v>
      </c>
      <c r="J4" s="7" t="s">
        <v>195</v>
      </c>
      <c r="K4" s="7" t="s">
        <v>195</v>
      </c>
      <c r="L4" s="7" t="s">
        <v>195</v>
      </c>
      <c r="M4" s="7" t="s">
        <v>29</v>
      </c>
      <c r="N4" s="7" t="s">
        <v>29</v>
      </c>
      <c r="O4" s="7" t="s">
        <v>29</v>
      </c>
      <c r="P4" s="7" t="s">
        <v>29</v>
      </c>
      <c r="Q4" s="7" t="s">
        <v>29</v>
      </c>
      <c r="R4" s="7" t="s">
        <v>1271</v>
      </c>
      <c r="S4" s="7" t="s">
        <v>28</v>
      </c>
    </row>
    <row r="5" spans="1:19">
      <c r="A5" s="7" t="s">
        <v>11</v>
      </c>
      <c r="B5" s="7" t="s">
        <v>1218</v>
      </c>
      <c r="C5" s="8">
        <v>200</v>
      </c>
      <c r="D5" s="5" t="str">
        <f>LRTRIM(CONCATENATE(IF(SUMPRODUCT(-- ISNUMBER(SEARCH({"Auto Number"}, $B5))) &gt; 0, $B5, IF(SUMPRODUCT(-- ISNUMBER(SEARCH({"Lookup","Master-Detail"}, $B5))) &gt; 0,$B5 &amp; "(" &amp; $E5 &amp; ")",IF(SUMPRODUCT(-- ISNUMBER(SEARCH({"Formula","Roll-Up Summary"}, $B5))) &gt; 0,$B5 &amp; " (" &amp; $E5 &amp; ")",IF(SUMPRODUCT(-- ISNUMBER(SEARCH({"Content","Currency","Number","Percent","Text","URL"}, $B5))) &gt; 0,$B5 &amp; "(" &amp; $C5 &amp; ")",$B5)))), "  ", TRIM(IF($S5 = "YES", "(External ID)", "") &amp; " " &amp; IF(SUMPRODUCT(-- ISNUMBER(SEARCH({"Unique","Unique Case Insensitive"}, $R5))) &gt; 0, "(" &amp; $R5 &amp; ")", ""))))</f>
        <v>Text(200)</v>
      </c>
      <c r="E5" s="7" t="s">
        <v>195</v>
      </c>
      <c r="F5" s="7" t="s">
        <v>20</v>
      </c>
      <c r="G5" s="7" t="s">
        <v>195</v>
      </c>
      <c r="H5" s="7" t="s">
        <v>195</v>
      </c>
      <c r="I5" s="7" t="s">
        <v>195</v>
      </c>
      <c r="J5" s="7" t="s">
        <v>195</v>
      </c>
      <c r="K5" s="7" t="s">
        <v>195</v>
      </c>
      <c r="L5" s="7" t="s">
        <v>195</v>
      </c>
      <c r="M5" s="7" t="s">
        <v>29</v>
      </c>
      <c r="N5" s="7" t="s">
        <v>29</v>
      </c>
      <c r="O5" s="7" t="s">
        <v>29</v>
      </c>
      <c r="P5" s="7" t="s">
        <v>29</v>
      </c>
      <c r="Q5" s="7" t="s">
        <v>29</v>
      </c>
      <c r="R5" s="7" t="s">
        <v>29</v>
      </c>
      <c r="S5" s="7" t="s">
        <v>29</v>
      </c>
    </row>
    <row r="6" spans="1:19">
      <c r="A6" s="7" t="s">
        <v>362</v>
      </c>
      <c r="B6" s="7" t="s">
        <v>1206</v>
      </c>
      <c r="C6" s="8" t="s">
        <v>1289</v>
      </c>
      <c r="D6" s="5" t="str">
        <f>LRTRIM(CONCATENATE(IF(SUMPRODUCT(-- ISNUMBER(SEARCH({"Auto Number"}, $B6))) &gt; 0, $B6, IF(SUMPRODUCT(-- ISNUMBER(SEARCH({"Lookup","Master-Detail"}, $B6))) &gt; 0,$B6 &amp; "(" &amp; $E6 &amp; ")",IF(SUMPRODUCT(-- ISNUMBER(SEARCH({"Formula","Roll-Up Summary"}, $B6))) &gt; 0,$B6 &amp; " (" &amp; $E6 &amp; ")",IF(SUMPRODUCT(-- ISNUMBER(SEARCH({"Content","Currency","Number","Percent","Text","URL"}, $B6))) &gt; 0,$B6 &amp; "(" &amp; $C6 &amp; ")",$B6)))), "  ", TRIM(IF($S6 = "YES", "(External ID)", "") &amp; " " &amp; IF(SUMPRODUCT(-- ISNUMBER(SEARCH({"Unique","Unique Case Insensitive"}, $R6))) &gt; 0, "(" &amp; $R6 &amp; ")", ""))))</f>
        <v>Currency(16, 2)</v>
      </c>
      <c r="E6" s="7" t="s">
        <v>195</v>
      </c>
      <c r="F6" s="7" t="s">
        <v>369</v>
      </c>
      <c r="G6" s="7" t="s">
        <v>379</v>
      </c>
      <c r="H6" s="7" t="s">
        <v>195</v>
      </c>
      <c r="I6" s="7" t="s">
        <v>195</v>
      </c>
      <c r="J6" s="7" t="s">
        <v>195</v>
      </c>
      <c r="K6" s="7" t="s">
        <v>195</v>
      </c>
      <c r="L6" s="7" t="s">
        <v>195</v>
      </c>
      <c r="M6" s="7" t="s">
        <v>29</v>
      </c>
      <c r="N6" s="7" t="s">
        <v>29</v>
      </c>
      <c r="O6" s="7" t="s">
        <v>29</v>
      </c>
      <c r="P6" s="7" t="s">
        <v>29</v>
      </c>
      <c r="Q6" s="7" t="s">
        <v>29</v>
      </c>
      <c r="R6" s="7" t="s">
        <v>29</v>
      </c>
      <c r="S6" s="7" t="s">
        <v>29</v>
      </c>
    </row>
    <row r="7" spans="1:19">
      <c r="A7" s="7" t="s">
        <v>13</v>
      </c>
      <c r="B7" s="7" t="s">
        <v>1218</v>
      </c>
      <c r="C7" s="8">
        <v>10</v>
      </c>
      <c r="D7" s="5" t="str">
        <f>LRTRIM(CONCATENATE(IF(SUMPRODUCT(-- ISNUMBER(SEARCH({"Auto Number"}, $B7))) &gt; 0, $B7, IF(SUMPRODUCT(-- ISNUMBER(SEARCH({"Lookup","Master-Detail"}, $B7))) &gt; 0,$B7 &amp; "(" &amp; $E7 &amp; ")",IF(SUMPRODUCT(-- ISNUMBER(SEARCH({"Formula","Roll-Up Summary"}, $B7))) &gt; 0,$B7 &amp; " (" &amp; $E7 &amp; ")",IF(SUMPRODUCT(-- ISNUMBER(SEARCH({"Content","Currency","Number","Percent","Text","URL"}, $B7))) &gt; 0,$B7 &amp; "(" &amp; $C7 &amp; ")",$B7)))), "  ", TRIM(IF($S7 = "YES", "(External ID)", "") &amp; " " &amp; IF(SUMPRODUCT(-- ISNUMBER(SEARCH({"Unique","Unique Case Insensitive"}, $R7))) &gt; 0, "(" &amp; $R7 &amp; ")", ""))))</f>
        <v>Text(10)</v>
      </c>
      <c r="E7" s="7" t="s">
        <v>195</v>
      </c>
      <c r="F7" s="7" t="s">
        <v>24</v>
      </c>
      <c r="G7" s="7" t="s">
        <v>160</v>
      </c>
      <c r="H7" s="7" t="s">
        <v>195</v>
      </c>
      <c r="I7" s="7" t="s">
        <v>195</v>
      </c>
      <c r="J7" s="7" t="s">
        <v>195</v>
      </c>
      <c r="K7" s="7" t="s">
        <v>195</v>
      </c>
      <c r="L7" s="7" t="s">
        <v>195</v>
      </c>
      <c r="M7" s="7" t="s">
        <v>29</v>
      </c>
      <c r="N7" s="7" t="s">
        <v>29</v>
      </c>
      <c r="O7" s="7" t="s">
        <v>29</v>
      </c>
      <c r="P7" s="7" t="s">
        <v>29</v>
      </c>
      <c r="Q7" s="7" t="s">
        <v>29</v>
      </c>
      <c r="R7" s="7" t="s">
        <v>29</v>
      </c>
      <c r="S7" s="7" t="s">
        <v>29</v>
      </c>
    </row>
    <row r="8" spans="1:19">
      <c r="A8" s="7" t="s">
        <v>288</v>
      </c>
      <c r="B8" s="7" t="s">
        <v>1206</v>
      </c>
      <c r="C8" s="8" t="s">
        <v>1289</v>
      </c>
      <c r="D8" s="5" t="str">
        <f>LRTRIM(CONCATENATE(IF(SUMPRODUCT(-- ISNUMBER(SEARCH({"Auto Number"}, $B8))) &gt; 0, $B8, IF(SUMPRODUCT(-- ISNUMBER(SEARCH({"Lookup","Master-Detail"}, $B8))) &gt; 0,$B8 &amp; "(" &amp; $E8 &amp; ")",IF(SUMPRODUCT(-- ISNUMBER(SEARCH({"Formula","Roll-Up Summary"}, $B8))) &gt; 0,$B8 &amp; " (" &amp; $E8 &amp; ")",IF(SUMPRODUCT(-- ISNUMBER(SEARCH({"Content","Currency","Number","Percent","Text","URL"}, $B8))) &gt; 0,$B8 &amp; "(" &amp; $C8 &amp; ")",$B8)))), "  ", TRIM(IF($S8 = "YES", "(External ID)", "") &amp; " " &amp; IF(SUMPRODUCT(-- ISNUMBER(SEARCH({"Unique","Unique Case Insensitive"}, $R8))) &gt; 0, "(" &amp; $R8 &amp; ")", ""))))</f>
        <v>Currency(16, 2)</v>
      </c>
      <c r="E8" s="7" t="s">
        <v>195</v>
      </c>
      <c r="F8" s="7" t="s">
        <v>313</v>
      </c>
      <c r="G8" s="7" t="s">
        <v>340</v>
      </c>
      <c r="H8" s="7" t="s">
        <v>195</v>
      </c>
      <c r="I8" s="7" t="s">
        <v>195</v>
      </c>
      <c r="J8" s="7" t="s">
        <v>195</v>
      </c>
      <c r="K8" s="7" t="s">
        <v>195</v>
      </c>
      <c r="L8" s="7" t="s">
        <v>195</v>
      </c>
      <c r="M8" s="7" t="s">
        <v>29</v>
      </c>
      <c r="N8" s="7" t="s">
        <v>29</v>
      </c>
      <c r="O8" s="7" t="s">
        <v>29</v>
      </c>
      <c r="P8" s="7" t="s">
        <v>29</v>
      </c>
      <c r="Q8" s="7" t="s">
        <v>29</v>
      </c>
      <c r="R8" s="7" t="s">
        <v>29</v>
      </c>
      <c r="S8" s="7" t="s">
        <v>29</v>
      </c>
    </row>
    <row r="9" spans="1:19">
      <c r="A9" s="7" t="s">
        <v>363</v>
      </c>
      <c r="B9" s="7" t="s">
        <v>1206</v>
      </c>
      <c r="C9" s="8" t="s">
        <v>1289</v>
      </c>
      <c r="D9" s="5" t="str">
        <f>LRTRIM(CONCATENATE(IF(SUMPRODUCT(-- ISNUMBER(SEARCH({"Auto Number"}, $B9))) &gt; 0, $B9, IF(SUMPRODUCT(-- ISNUMBER(SEARCH({"Lookup","Master-Detail"}, $B9))) &gt; 0,$B9 &amp; "(" &amp; $E9 &amp; ")",IF(SUMPRODUCT(-- ISNUMBER(SEARCH({"Formula","Roll-Up Summary"}, $B9))) &gt; 0,$B9 &amp; " (" &amp; $E9 &amp; ")",IF(SUMPRODUCT(-- ISNUMBER(SEARCH({"Content","Currency","Number","Percent","Text","URL"}, $B9))) &gt; 0,$B9 &amp; "(" &amp; $C9 &amp; ")",$B9)))), "  ", TRIM(IF($S9 = "YES", "(External ID)", "") &amp; " " &amp; IF(SUMPRODUCT(-- ISNUMBER(SEARCH({"Unique","Unique Case Insensitive"}, $R9))) &gt; 0, "(" &amp; $R9 &amp; ")", ""))))</f>
        <v>Currency(16, 2)</v>
      </c>
      <c r="E9" s="7" t="s">
        <v>195</v>
      </c>
      <c r="F9" s="7" t="s">
        <v>370</v>
      </c>
      <c r="G9" s="7" t="s">
        <v>380</v>
      </c>
      <c r="H9" s="7" t="s">
        <v>195</v>
      </c>
      <c r="I9" s="7" t="s">
        <v>195</v>
      </c>
      <c r="J9" s="7" t="s">
        <v>195</v>
      </c>
      <c r="K9" s="7" t="s">
        <v>195</v>
      </c>
      <c r="L9" s="7" t="s">
        <v>195</v>
      </c>
      <c r="M9" s="7" t="s">
        <v>29</v>
      </c>
      <c r="N9" s="7" t="s">
        <v>29</v>
      </c>
      <c r="O9" s="7" t="s">
        <v>29</v>
      </c>
      <c r="P9" s="7" t="s">
        <v>29</v>
      </c>
      <c r="Q9" s="7" t="s">
        <v>29</v>
      </c>
      <c r="R9" s="7" t="s">
        <v>29</v>
      </c>
      <c r="S9" s="7" t="s">
        <v>29</v>
      </c>
    </row>
    <row r="10" spans="1:19">
      <c r="A10" s="7" t="s">
        <v>14</v>
      </c>
      <c r="B10" s="7" t="s">
        <v>1204</v>
      </c>
      <c r="C10" s="8">
        <v>0</v>
      </c>
      <c r="D10" s="5" t="str">
        <f>LRTRIM(CONCATENATE(IF(SUMPRODUCT(-- ISNUMBER(SEARCH({"Auto Number"}, $B10))) &gt; 0, $B10, IF(SUMPRODUCT(-- ISNUMBER(SEARCH({"Lookup","Master-Detail"}, $B10))) &gt; 0,$B10 &amp; "(" &amp; $E10 &amp; ")",IF(SUMPRODUCT(-- ISNUMBER(SEARCH({"Formula","Roll-Up Summary"}, $B10))) &gt; 0,$B10 &amp; " (" &amp; $E10 &amp; ")",IF(SUMPRODUCT(-- ISNUMBER(SEARCH({"Content","Currency","Number","Percent","Text","URL"}, $B10))) &gt; 0,$B10 &amp; "(" &amp; $C10 &amp; ")",$B10)))), "  ", TRIM(IF($S10 = "YES", "(External ID)", "") &amp; " " &amp; IF(SUMPRODUCT(-- ISNUMBER(SEARCH({"Unique","Unique Case Insensitive"}, $R10))) &gt; 0, "(" &amp; $R10 &amp; ")", ""))))</f>
        <v>Checkbox</v>
      </c>
      <c r="E10" s="7" t="s">
        <v>195</v>
      </c>
      <c r="F10" s="7" t="s">
        <v>25</v>
      </c>
      <c r="G10" s="7" t="s">
        <v>195</v>
      </c>
      <c r="H10" s="7" t="s">
        <v>195</v>
      </c>
      <c r="I10" s="7" t="s">
        <v>195</v>
      </c>
      <c r="J10" s="7" t="s">
        <v>195</v>
      </c>
      <c r="K10" s="7" t="s">
        <v>195</v>
      </c>
      <c r="L10" s="7" t="s">
        <v>195</v>
      </c>
      <c r="M10" s="7" t="s">
        <v>28</v>
      </c>
      <c r="N10" s="7" t="s">
        <v>29</v>
      </c>
      <c r="O10" s="7" t="s">
        <v>29</v>
      </c>
      <c r="P10" s="7" t="s">
        <v>29</v>
      </c>
      <c r="Q10" s="7" t="s">
        <v>29</v>
      </c>
      <c r="R10" s="7" t="s">
        <v>29</v>
      </c>
      <c r="S10" s="7" t="s">
        <v>29</v>
      </c>
    </row>
    <row r="11" spans="1:19">
      <c r="A11" s="7" t="s">
        <v>2</v>
      </c>
      <c r="B11" s="7" t="s">
        <v>1218</v>
      </c>
      <c r="C11" s="8">
        <v>80</v>
      </c>
      <c r="D11" s="5" t="str">
        <f>LRTRIM(CONCATENATE(IF(SUMPRODUCT(-- ISNUMBER(SEARCH({"Auto Number"}, $B11))) &gt; 0, $B11, IF(SUMPRODUCT(-- ISNUMBER(SEARCH({"Lookup","Master-Detail"}, $B11))) &gt; 0,$B11 &amp; "(" &amp; $E11 &amp; ")",IF(SUMPRODUCT(-- ISNUMBER(SEARCH({"Formula","Roll-Up Summary"}, $B11))) &gt; 0,$B11 &amp; " (" &amp; $E11 &amp; ")",IF(SUMPRODUCT(-- ISNUMBER(SEARCH({"Content","Currency","Number","Percent","Text","URL"}, $B11))) &gt; 0,$B11 &amp; "(" &amp; $C11 &amp; ")",$B11)))), "  ", TRIM(IF($S11 = "YES", "(External ID)", "") &amp; " " &amp; IF(SUMPRODUCT(-- ISNUMBER(SEARCH({"Unique","Unique Case Insensitive"}, $R11))) &gt; 0, "(" &amp; $R11 &amp; ")", ""))))</f>
        <v>Text(80)</v>
      </c>
      <c r="E11" s="7" t="s">
        <v>195</v>
      </c>
      <c r="F11" s="7" t="s">
        <v>371</v>
      </c>
      <c r="G11" s="7" t="s">
        <v>195</v>
      </c>
      <c r="H11" s="7" t="s">
        <v>195</v>
      </c>
      <c r="I11" s="7" t="s">
        <v>195</v>
      </c>
      <c r="J11" s="7" t="s">
        <v>195</v>
      </c>
      <c r="K11" s="7" t="s">
        <v>195</v>
      </c>
      <c r="L11" s="7" t="s">
        <v>195</v>
      </c>
      <c r="M11" s="7" t="s">
        <v>29</v>
      </c>
      <c r="N11" s="7" t="s">
        <v>29</v>
      </c>
      <c r="O11" s="7" t="s">
        <v>29</v>
      </c>
      <c r="P11" s="7" t="s">
        <v>29</v>
      </c>
      <c r="Q11" s="7" t="s">
        <v>29</v>
      </c>
      <c r="R11" s="7" t="s">
        <v>29</v>
      </c>
      <c r="S11" s="7" t="s">
        <v>29</v>
      </c>
    </row>
    <row r="12" spans="1:19">
      <c r="A12" s="7" t="s">
        <v>364</v>
      </c>
      <c r="B12" s="7" t="s">
        <v>1206</v>
      </c>
      <c r="C12" s="8" t="s">
        <v>1289</v>
      </c>
      <c r="D12" s="5" t="str">
        <f>LRTRIM(CONCATENATE(IF(SUMPRODUCT(-- ISNUMBER(SEARCH({"Auto Number"}, $B12))) &gt; 0, $B12, IF(SUMPRODUCT(-- ISNUMBER(SEARCH({"Lookup","Master-Detail"}, $B12))) &gt; 0,$B12 &amp; "(" &amp; $E12 &amp; ")",IF(SUMPRODUCT(-- ISNUMBER(SEARCH({"Formula","Roll-Up Summary"}, $B12))) &gt; 0,$B12 &amp; " (" &amp; $E12 &amp; ")",IF(SUMPRODUCT(-- ISNUMBER(SEARCH({"Content","Currency","Number","Percent","Text","URL"}, $B12))) &gt; 0,$B12 &amp; "(" &amp; $C12 &amp; ")",$B12)))), "  ", TRIM(IF($S12 = "YES", "(External ID)", "") &amp; " " &amp; IF(SUMPRODUCT(-- ISNUMBER(SEARCH({"Unique","Unique Case Insensitive"}, $R12))) &gt; 0, "(" &amp; $R12 &amp; ")", ""))))</f>
        <v>Currency(16, 2)</v>
      </c>
      <c r="E12" s="7" t="s">
        <v>195</v>
      </c>
      <c r="F12" s="7" t="s">
        <v>372</v>
      </c>
      <c r="G12" s="7" t="s">
        <v>382</v>
      </c>
      <c r="H12" s="7" t="s">
        <v>195</v>
      </c>
      <c r="I12" s="7" t="s">
        <v>195</v>
      </c>
      <c r="J12" s="7" t="s">
        <v>195</v>
      </c>
      <c r="K12" s="7" t="s">
        <v>195</v>
      </c>
      <c r="L12" s="7" t="s">
        <v>195</v>
      </c>
      <c r="M12" s="7" t="s">
        <v>29</v>
      </c>
      <c r="N12" s="7" t="s">
        <v>29</v>
      </c>
      <c r="O12" s="7" t="s">
        <v>29</v>
      </c>
      <c r="P12" s="7" t="s">
        <v>29</v>
      </c>
      <c r="Q12" s="7" t="s">
        <v>29</v>
      </c>
      <c r="R12" s="7" t="s">
        <v>29</v>
      </c>
      <c r="S12" s="7" t="s">
        <v>29</v>
      </c>
    </row>
    <row r="13" spans="1:19">
      <c r="A13" s="7" t="s">
        <v>365</v>
      </c>
      <c r="B13" s="7" t="s">
        <v>1206</v>
      </c>
      <c r="C13" s="8" t="s">
        <v>1289</v>
      </c>
      <c r="D13" s="5" t="str">
        <f>LRTRIM(CONCATENATE(IF(SUMPRODUCT(-- ISNUMBER(SEARCH({"Auto Number"}, $B13))) &gt; 0, $B13, IF(SUMPRODUCT(-- ISNUMBER(SEARCH({"Lookup","Master-Detail"}, $B13))) &gt; 0,$B13 &amp; "(" &amp; $E13 &amp; ")",IF(SUMPRODUCT(-- ISNUMBER(SEARCH({"Formula","Roll-Up Summary"}, $B13))) &gt; 0,$B13 &amp; " (" &amp; $E13 &amp; ")",IF(SUMPRODUCT(-- ISNUMBER(SEARCH({"Content","Currency","Number","Percent","Text","URL"}, $B13))) &gt; 0,$B13 &amp; "(" &amp; $C13 &amp; ")",$B13)))), "  ", TRIM(IF($S13 = "YES", "(External ID)", "") &amp; " " &amp; IF(SUMPRODUCT(-- ISNUMBER(SEARCH({"Unique","Unique Case Insensitive"}, $R13))) &gt; 0, "(" &amp; $R13 &amp; ")", ""))))</f>
        <v>Currency(16, 2)</v>
      </c>
      <c r="E13" s="7" t="s">
        <v>195</v>
      </c>
      <c r="F13" s="7" t="s">
        <v>373</v>
      </c>
      <c r="G13" s="7" t="s">
        <v>383</v>
      </c>
      <c r="H13" s="7" t="s">
        <v>195</v>
      </c>
      <c r="I13" s="7" t="s">
        <v>195</v>
      </c>
      <c r="J13" s="7" t="s">
        <v>195</v>
      </c>
      <c r="K13" s="7" t="s">
        <v>195</v>
      </c>
      <c r="L13" s="7" t="s">
        <v>195</v>
      </c>
      <c r="M13" s="7" t="s">
        <v>29</v>
      </c>
      <c r="N13" s="7" t="s">
        <v>29</v>
      </c>
      <c r="O13" s="7" t="s">
        <v>29</v>
      </c>
      <c r="P13" s="7" t="s">
        <v>29</v>
      </c>
      <c r="Q13" s="7" t="s">
        <v>29</v>
      </c>
      <c r="R13" s="7" t="s">
        <v>29</v>
      </c>
      <c r="S13" s="7" t="s">
        <v>29</v>
      </c>
    </row>
    <row r="14" spans="1:19">
      <c r="A14" s="7" t="s">
        <v>366</v>
      </c>
      <c r="B14" s="7" t="s">
        <v>1206</v>
      </c>
      <c r="C14" s="8" t="s">
        <v>1289</v>
      </c>
      <c r="D14" s="5" t="str">
        <f>LRTRIM(CONCATENATE(IF(SUMPRODUCT(-- ISNUMBER(SEARCH({"Auto Number"}, $B14))) &gt; 0, $B14, IF(SUMPRODUCT(-- ISNUMBER(SEARCH({"Lookup","Master-Detail"}, $B14))) &gt; 0,$B14 &amp; "(" &amp; $E14 &amp; ")",IF(SUMPRODUCT(-- ISNUMBER(SEARCH({"Formula","Roll-Up Summary"}, $B14))) &gt; 0,$B14 &amp; " (" &amp; $E14 &amp; ")",IF(SUMPRODUCT(-- ISNUMBER(SEARCH({"Content","Currency","Number","Percent","Text","URL"}, $B14))) &gt; 0,$B14 &amp; "(" &amp; $C14 &amp; ")",$B14)))), "  ", TRIM(IF($S14 = "YES", "(External ID)", "") &amp; " " &amp; IF(SUMPRODUCT(-- ISNUMBER(SEARCH({"Unique","Unique Case Insensitive"}, $R14))) &gt; 0, "(" &amp; $R14 &amp; ")", ""))))</f>
        <v>Currency(16, 2)</v>
      </c>
      <c r="E14" s="7" t="s">
        <v>195</v>
      </c>
      <c r="F14" s="7" t="s">
        <v>374</v>
      </c>
      <c r="G14" s="7" t="s">
        <v>384</v>
      </c>
      <c r="H14" s="7" t="s">
        <v>195</v>
      </c>
      <c r="I14" s="7" t="s">
        <v>195</v>
      </c>
      <c r="J14" s="7" t="s">
        <v>195</v>
      </c>
      <c r="K14" s="7" t="s">
        <v>195</v>
      </c>
      <c r="L14" s="7" t="s">
        <v>195</v>
      </c>
      <c r="M14" s="7" t="s">
        <v>29</v>
      </c>
      <c r="N14" s="7" t="s">
        <v>29</v>
      </c>
      <c r="O14" s="7" t="s">
        <v>29</v>
      </c>
      <c r="P14" s="7" t="s">
        <v>29</v>
      </c>
      <c r="Q14" s="7" t="s">
        <v>29</v>
      </c>
      <c r="R14" s="7" t="s">
        <v>29</v>
      </c>
      <c r="S14" s="7" t="s">
        <v>29</v>
      </c>
    </row>
    <row r="15" spans="1:19">
      <c r="A15" s="7" t="s">
        <v>299</v>
      </c>
      <c r="B15" s="7" t="s">
        <v>1212</v>
      </c>
      <c r="C15" s="8">
        <v>18</v>
      </c>
      <c r="D15" s="5" t="str">
        <f>LRTRIM(CONCATENATE(IF(SUMPRODUCT(-- ISNUMBER(SEARCH({"Auto Number"}, $B15))) &gt; 0, $B15, IF(SUMPRODUCT(-- ISNUMBER(SEARCH({"Lookup","Master-Detail"}, $B15))) &gt; 0,$B15 &amp; "(" &amp; $E15 &amp; ")",IF(SUMPRODUCT(-- ISNUMBER(SEARCH({"Formula","Roll-Up Summary"}, $B15))) &gt; 0,$B15 &amp; " (" &amp; $E15 &amp; ")",IF(SUMPRODUCT(-- ISNUMBER(SEARCH({"Content","Currency","Number","Percent","Text","URL"}, $B15))) &gt; 0,$B15 &amp; "(" &amp; $C15 &amp; ")",$B15)))), "  ", TRIM(IF($S15 = "YES", "(External ID)", "") &amp; " " &amp; IF(SUMPRODUCT(-- ISNUMBER(SEARCH({"Unique","Unique Case Insensitive"}, $R15))) &gt; 0, "(" &amp; $R15 &amp; ")", ""))))</f>
        <v>Master-Detail(Statement Broker)</v>
      </c>
      <c r="E15" s="7" t="s">
        <v>375</v>
      </c>
      <c r="F15" s="7" t="s">
        <v>375</v>
      </c>
      <c r="G15" s="7" t="s">
        <v>385</v>
      </c>
      <c r="H15" s="7" t="s">
        <v>195</v>
      </c>
      <c r="I15" s="7" t="s">
        <v>195</v>
      </c>
      <c r="J15" s="7" t="s">
        <v>195</v>
      </c>
      <c r="K15" s="7" t="s">
        <v>195</v>
      </c>
      <c r="L15" s="7" t="s">
        <v>195</v>
      </c>
      <c r="M15" s="7" t="s">
        <v>28</v>
      </c>
      <c r="N15" s="7" t="s">
        <v>29</v>
      </c>
      <c r="O15" s="7" t="s">
        <v>29</v>
      </c>
      <c r="P15" s="7" t="s">
        <v>29</v>
      </c>
      <c r="Q15" s="7" t="s">
        <v>29</v>
      </c>
      <c r="R15" s="7" t="s">
        <v>29</v>
      </c>
      <c r="S15" s="7" t="s">
        <v>29</v>
      </c>
    </row>
    <row r="16" spans="1:19">
      <c r="A16" s="7" t="s">
        <v>367</v>
      </c>
      <c r="B16" s="7" t="s">
        <v>386</v>
      </c>
      <c r="C16" s="8">
        <v>0</v>
      </c>
      <c r="D16" s="5" t="str">
        <f>LRTRIM(CONCATENATE(IF(SUMPRODUCT(-- ISNUMBER(SEARCH({"Auto Number"}, $B16))) &gt; 0, $B16, IF(SUMPRODUCT(-- ISNUMBER(SEARCH({"Lookup","Master-Detail"}, $B16))) &gt; 0,$B16 &amp; "(" &amp; $E16 &amp; ")",IF(SUMPRODUCT(-- ISNUMBER(SEARCH({"Formula","Roll-Up Summary"}, $B16))) &gt; 0,$B16 &amp; " (" &amp; $E16 &amp; ")",IF(SUMPRODUCT(-- ISNUMBER(SEARCH({"Content","Currency","Number","Percent","Text","URL"}, $B16))) &gt; 0,$B16 &amp; "(" &amp; $C16 &amp; ")",$B16)))), "  ", TRIM(IF($S16 = "YES", "(External ID)", "") &amp; " " &amp; IF(SUMPRODUCT(-- ISNUMBER(SEARCH({"Unique","Unique Case Insensitive"}, $R16))) &gt; 0, "(" &amp; $R16 &amp; ")", ""))))</f>
        <v>Date</v>
      </c>
      <c r="E16" s="7" t="s">
        <v>195</v>
      </c>
      <c r="F16" s="7" t="s">
        <v>376</v>
      </c>
      <c r="G16" s="7" t="s">
        <v>386</v>
      </c>
      <c r="H16" s="7" t="s">
        <v>195</v>
      </c>
      <c r="I16" s="7" t="s">
        <v>195</v>
      </c>
      <c r="J16" s="7" t="s">
        <v>195</v>
      </c>
      <c r="K16" s="7" t="s">
        <v>195</v>
      </c>
      <c r="L16" s="7" t="s">
        <v>195</v>
      </c>
      <c r="M16" s="7" t="s">
        <v>29</v>
      </c>
      <c r="N16" s="7" t="s">
        <v>29</v>
      </c>
      <c r="O16" s="7" t="s">
        <v>29</v>
      </c>
      <c r="P16" s="7" t="s">
        <v>29</v>
      </c>
      <c r="Q16" s="7" t="s">
        <v>29</v>
      </c>
      <c r="R16" s="7" t="s">
        <v>29</v>
      </c>
      <c r="S16" s="7" t="s">
        <v>29</v>
      </c>
    </row>
    <row r="17" spans="1:19">
      <c r="A17" s="7" t="s">
        <v>387</v>
      </c>
      <c r="B17" s="7" t="s">
        <v>195</v>
      </c>
      <c r="C17" s="8" t="s">
        <v>195</v>
      </c>
      <c r="D17" s="5" t="str">
        <f>LRTRIM(CONCATENATE(IF(SUMPRODUCT(-- ISNUMBER(SEARCH({"Auto Number"}, $B17))) &gt; 0, $B17, IF(SUMPRODUCT(-- ISNUMBER(SEARCH({"Lookup","Master-Detail"}, $B17))) &gt; 0,$B17 &amp; "(" &amp; $E17 &amp; ")",IF(SUMPRODUCT(-- ISNUMBER(SEARCH({"Formula","Roll-Up Summary"}, $B17))) &gt; 0,$B17 &amp; " (" &amp; $E17 &amp; ")",IF(SUMPRODUCT(-- ISNUMBER(SEARCH({"Content","Currency","Number","Percent","Text","URL"}, $B17))) &gt; 0,$B17 &amp; "(" &amp; $C17 &amp; ")",$B17)))), "  ", TRIM(IF($S17 = "YES", "(External ID)", "") &amp; " " &amp; IF(SUMPRODUCT(-- ISNUMBER(SEARCH({"Unique","Unique Case Insensitive"}, $R17))) &gt; 0, "(" &amp; $R17 &amp; ")", ""))))</f>
        <v>na</v>
      </c>
      <c r="E17" s="7" t="s">
        <v>195</v>
      </c>
      <c r="F17" s="7" t="s">
        <v>195</v>
      </c>
      <c r="G17" s="7" t="s">
        <v>195</v>
      </c>
      <c r="H17" s="7" t="s">
        <v>195</v>
      </c>
      <c r="I17" s="7" t="s">
        <v>195</v>
      </c>
      <c r="J17" s="7" t="s">
        <v>195</v>
      </c>
      <c r="K17" s="7" t="s">
        <v>195</v>
      </c>
      <c r="L17" s="7" t="s">
        <v>195</v>
      </c>
      <c r="M17" s="7" t="s">
        <v>29</v>
      </c>
      <c r="N17" s="7" t="s">
        <v>28</v>
      </c>
      <c r="O17" s="7" t="s">
        <v>29</v>
      </c>
      <c r="P17" s="7" t="s">
        <v>29</v>
      </c>
      <c r="Q17" s="7" t="s">
        <v>29</v>
      </c>
      <c r="R17" s="7" t="s">
        <v>29</v>
      </c>
      <c r="S17" s="7" t="s">
        <v>29</v>
      </c>
    </row>
    <row r="18" spans="1:19">
      <c r="A18" s="7" t="s">
        <v>36</v>
      </c>
      <c r="B18" s="7" t="s">
        <v>195</v>
      </c>
      <c r="C18" s="8" t="s">
        <v>195</v>
      </c>
      <c r="D18" s="5" t="str">
        <f>LRTRIM(CONCATENATE(IF(SUMPRODUCT(-- ISNUMBER(SEARCH({"Auto Number"}, $B18))) &gt; 0, $B18, IF(SUMPRODUCT(-- ISNUMBER(SEARCH({"Lookup","Master-Detail"}, $B18))) &gt; 0,$B18 &amp; "(" &amp; $E18 &amp; ")",IF(SUMPRODUCT(-- ISNUMBER(SEARCH({"Formula","Roll-Up Summary"}, $B18))) &gt; 0,$B18 &amp; " (" &amp; $E18 &amp; ")",IF(SUMPRODUCT(-- ISNUMBER(SEARCH({"Content","Currency","Number","Percent","Text","URL"}, $B18))) &gt; 0,$B18 &amp; "(" &amp; $C18 &amp; ")",$B18)))), "  ", TRIM(IF($S18 = "YES", "(External ID)", "") &amp; " " &amp; IF(SUMPRODUCT(-- ISNUMBER(SEARCH({"Unique","Unique Case Insensitive"}, $R18))) &gt; 0, "(" &amp; $R18 &amp; ")", ""))))</f>
        <v>na</v>
      </c>
      <c r="E18" s="7" t="s">
        <v>195</v>
      </c>
      <c r="F18" s="7" t="s">
        <v>195</v>
      </c>
      <c r="G18" s="7" t="s">
        <v>195</v>
      </c>
      <c r="H18" s="7" t="s">
        <v>195</v>
      </c>
      <c r="I18" s="7" t="s">
        <v>195</v>
      </c>
      <c r="J18" s="7" t="s">
        <v>195</v>
      </c>
      <c r="K18" s="7" t="s">
        <v>195</v>
      </c>
      <c r="L18" s="7" t="s">
        <v>195</v>
      </c>
      <c r="M18" s="7" t="s">
        <v>28</v>
      </c>
      <c r="N18" s="7" t="s">
        <v>29</v>
      </c>
      <c r="O18" s="7" t="s">
        <v>29</v>
      </c>
      <c r="P18" s="7" t="s">
        <v>29</v>
      </c>
      <c r="Q18" s="7" t="s">
        <v>29</v>
      </c>
      <c r="R18" s="7" t="s">
        <v>29</v>
      </c>
      <c r="S18" s="7" t="s">
        <v>29</v>
      </c>
    </row>
    <row r="19" spans="1:19">
      <c r="A19" s="7" t="s">
        <v>35</v>
      </c>
      <c r="B19" s="7" t="s">
        <v>195</v>
      </c>
      <c r="C19" s="8" t="s">
        <v>195</v>
      </c>
      <c r="D19" s="5" t="str">
        <f>LRTRIM(CONCATENATE(IF(SUMPRODUCT(-- ISNUMBER(SEARCH({"Auto Number"}, $B19))) &gt; 0, $B19, IF(SUMPRODUCT(-- ISNUMBER(SEARCH({"Lookup","Master-Detail"}, $B19))) &gt; 0,$B19 &amp; "(" &amp; $E19 &amp; ")",IF(SUMPRODUCT(-- ISNUMBER(SEARCH({"Formula","Roll-Up Summary"}, $B19))) &gt; 0,$B19 &amp; " (" &amp; $E19 &amp; ")",IF(SUMPRODUCT(-- ISNUMBER(SEARCH({"Content","Currency","Number","Percent","Text","URL"}, $B19))) &gt; 0,$B19 &amp; "(" &amp; $C19 &amp; ")",$B19)))), "  ", TRIM(IF($S19 = "YES", "(External ID)", "") &amp; " " &amp; IF(SUMPRODUCT(-- ISNUMBER(SEARCH({"Unique","Unique Case Insensitive"}, $R19))) &gt; 0, "(" &amp; $R19 &amp; ")", ""))))</f>
        <v>na</v>
      </c>
      <c r="E19" s="7" t="s">
        <v>195</v>
      </c>
      <c r="F19" s="7" t="s">
        <v>195</v>
      </c>
      <c r="G19" s="7" t="s">
        <v>195</v>
      </c>
      <c r="H19" s="7" t="s">
        <v>195</v>
      </c>
      <c r="I19" s="7" t="s">
        <v>195</v>
      </c>
      <c r="J19" s="7" t="s">
        <v>195</v>
      </c>
      <c r="K19" s="7" t="s">
        <v>195</v>
      </c>
      <c r="L19" s="7" t="s">
        <v>195</v>
      </c>
      <c r="M19" s="7" t="s">
        <v>28</v>
      </c>
      <c r="N19" s="7" t="s">
        <v>29</v>
      </c>
      <c r="O19" s="7" t="s">
        <v>29</v>
      </c>
      <c r="P19" s="7" t="s">
        <v>29</v>
      </c>
      <c r="Q19" s="7" t="s">
        <v>29</v>
      </c>
      <c r="R19" s="7" t="s">
        <v>29</v>
      </c>
      <c r="S19" s="7" t="s">
        <v>29</v>
      </c>
    </row>
    <row r="20" spans="1:19">
      <c r="A20" s="7" t="s">
        <v>34</v>
      </c>
      <c r="B20" s="7" t="s">
        <v>195</v>
      </c>
      <c r="C20" s="8" t="s">
        <v>195</v>
      </c>
      <c r="D20" s="5" t="str">
        <f>LRTRIM(CONCATENATE(IF(SUMPRODUCT(-- ISNUMBER(SEARCH({"Auto Number"}, $B20))) &gt; 0, $B20, IF(SUMPRODUCT(-- ISNUMBER(SEARCH({"Lookup","Master-Detail"}, $B20))) &gt; 0,$B20 &amp; "(" &amp; $E20 &amp; ")",IF(SUMPRODUCT(-- ISNUMBER(SEARCH({"Formula","Roll-Up Summary"}, $B20))) &gt; 0,$B20 &amp; " (" &amp; $E20 &amp; ")",IF(SUMPRODUCT(-- ISNUMBER(SEARCH({"Content","Currency","Number","Percent","Text","URL"}, $B20))) &gt; 0,$B20 &amp; "(" &amp; $C20 &amp; ")",$B20)))), "  ", TRIM(IF($S20 = "YES", "(External ID)", "") &amp; " " &amp; IF(SUMPRODUCT(-- ISNUMBER(SEARCH({"Unique","Unique Case Insensitive"}, $R20))) &gt; 0, "(" &amp; $R20 &amp; ")", ""))))</f>
        <v>na</v>
      </c>
      <c r="E20" s="7" t="s">
        <v>195</v>
      </c>
      <c r="F20" s="7" t="s">
        <v>195</v>
      </c>
      <c r="G20" s="7" t="s">
        <v>195</v>
      </c>
      <c r="H20" s="7" t="s">
        <v>195</v>
      </c>
      <c r="I20" s="7" t="s">
        <v>195</v>
      </c>
      <c r="J20" s="7" t="s">
        <v>195</v>
      </c>
      <c r="K20" s="7" t="s">
        <v>195</v>
      </c>
      <c r="L20" s="7" t="s">
        <v>195</v>
      </c>
      <c r="M20" s="7" t="s">
        <v>28</v>
      </c>
      <c r="N20" s="7" t="s">
        <v>29</v>
      </c>
      <c r="O20" s="7" t="s">
        <v>29</v>
      </c>
      <c r="P20" s="7" t="s">
        <v>29</v>
      </c>
      <c r="Q20" s="7" t="s">
        <v>29</v>
      </c>
      <c r="R20" s="7" t="s">
        <v>29</v>
      </c>
      <c r="S20" s="7" t="s">
        <v>29</v>
      </c>
    </row>
    <row r="21" spans="1:19">
      <c r="A21" s="7" t="s">
        <v>38</v>
      </c>
      <c r="B21" s="7" t="s">
        <v>195</v>
      </c>
      <c r="C21" s="8" t="s">
        <v>195</v>
      </c>
      <c r="D21" s="5" t="str">
        <f>LRTRIM(CONCATENATE(IF(SUMPRODUCT(-- ISNUMBER(SEARCH({"Auto Number"}, $B21))) &gt; 0, $B21, IF(SUMPRODUCT(-- ISNUMBER(SEARCH({"Lookup","Master-Detail"}, $B21))) &gt; 0,$B21 &amp; "(" &amp; $E21 &amp; ")",IF(SUMPRODUCT(-- ISNUMBER(SEARCH({"Formula","Roll-Up Summary"}, $B21))) &gt; 0,$B21 &amp; " (" &amp; $E21 &amp; ")",IF(SUMPRODUCT(-- ISNUMBER(SEARCH({"Content","Currency","Number","Percent","Text","URL"}, $B21))) &gt; 0,$B21 &amp; "(" &amp; $C21 &amp; ")",$B21)))), "  ", TRIM(IF($S21 = "YES", "(External ID)", "") &amp; " " &amp; IF(SUMPRODUCT(-- ISNUMBER(SEARCH({"Unique","Unique Case Insensitive"}, $R21))) &gt; 0, "(" &amp; $R21 &amp; ")", ""))))</f>
        <v>na</v>
      </c>
      <c r="E21" s="7" t="s">
        <v>195</v>
      </c>
      <c r="F21" s="7" t="s">
        <v>195</v>
      </c>
      <c r="G21" s="7" t="s">
        <v>195</v>
      </c>
      <c r="H21" s="7" t="s">
        <v>195</v>
      </c>
      <c r="I21" s="7" t="s">
        <v>195</v>
      </c>
      <c r="J21" s="7" t="s">
        <v>195</v>
      </c>
      <c r="K21" s="7" t="s">
        <v>195</v>
      </c>
      <c r="L21" s="7" t="s">
        <v>195</v>
      </c>
      <c r="M21" s="7" t="s">
        <v>28</v>
      </c>
      <c r="N21" s="7" t="s">
        <v>29</v>
      </c>
      <c r="O21" s="7" t="s">
        <v>29</v>
      </c>
      <c r="P21" s="7" t="s">
        <v>29</v>
      </c>
      <c r="Q21" s="7" t="s">
        <v>29</v>
      </c>
      <c r="R21" s="7" t="s">
        <v>29</v>
      </c>
      <c r="S21" s="7" t="s">
        <v>29</v>
      </c>
    </row>
    <row r="22" spans="1:19">
      <c r="A22" s="7" t="s">
        <v>37</v>
      </c>
      <c r="B22" s="7" t="s">
        <v>195</v>
      </c>
      <c r="C22" s="8" t="s">
        <v>195</v>
      </c>
      <c r="D22" s="5" t="str">
        <f>LRTRIM(CONCATENATE(IF(SUMPRODUCT(-- ISNUMBER(SEARCH({"Auto Number"}, $B22))) &gt; 0, $B22, IF(SUMPRODUCT(-- ISNUMBER(SEARCH({"Lookup","Master-Detail"}, $B22))) &gt; 0,$B22 &amp; "(" &amp; $E22 &amp; ")",IF(SUMPRODUCT(-- ISNUMBER(SEARCH({"Formula","Roll-Up Summary"}, $B22))) &gt; 0,$B22 &amp; " (" &amp; $E22 &amp; ")",IF(SUMPRODUCT(-- ISNUMBER(SEARCH({"Content","Currency","Number","Percent","Text","URL"}, $B22))) &gt; 0,$B22 &amp; "(" &amp; $C22 &amp; ")",$B22)))), "  ", TRIM(IF($S22 = "YES", "(External ID)", "") &amp; " " &amp; IF(SUMPRODUCT(-- ISNUMBER(SEARCH({"Unique","Unique Case Insensitive"}, $R22))) &gt; 0, "(" &amp; $R22 &amp; ")", ""))))</f>
        <v>na</v>
      </c>
      <c r="E22" s="7" t="s">
        <v>195</v>
      </c>
      <c r="F22" s="7" t="s">
        <v>195</v>
      </c>
      <c r="G22" s="7" t="s">
        <v>195</v>
      </c>
      <c r="H22" s="7" t="s">
        <v>195</v>
      </c>
      <c r="I22" s="7" t="s">
        <v>195</v>
      </c>
      <c r="J22" s="7" t="s">
        <v>195</v>
      </c>
      <c r="K22" s="7" t="s">
        <v>195</v>
      </c>
      <c r="L22" s="7" t="s">
        <v>195</v>
      </c>
      <c r="M22" s="7" t="s">
        <v>28</v>
      </c>
      <c r="N22" s="7" t="s">
        <v>29</v>
      </c>
      <c r="O22" s="7" t="s">
        <v>29</v>
      </c>
      <c r="P22" s="7" t="s">
        <v>29</v>
      </c>
      <c r="Q22" s="7" t="s">
        <v>29</v>
      </c>
      <c r="R22" s="7" t="s">
        <v>29</v>
      </c>
      <c r="S22" s="7" t="s">
        <v>29</v>
      </c>
    </row>
    <row r="23" spans="1:19">
      <c r="A23" s="7" t="s">
        <v>39</v>
      </c>
      <c r="B23" s="7" t="s">
        <v>195</v>
      </c>
      <c r="C23" s="8" t="s">
        <v>195</v>
      </c>
      <c r="D23" s="5" t="str">
        <f>LRTRIM(CONCATENATE(IF(SUMPRODUCT(-- ISNUMBER(SEARCH({"Auto Number"}, $B23))) &gt; 0, $B23, IF(SUMPRODUCT(-- ISNUMBER(SEARCH({"Lookup","Master-Detail"}, $B23))) &gt; 0,$B23 &amp; "(" &amp; $E23 &amp; ")",IF(SUMPRODUCT(-- ISNUMBER(SEARCH({"Formula","Roll-Up Summary"}, $B23))) &gt; 0,$B23 &amp; " (" &amp; $E23 &amp; ")",IF(SUMPRODUCT(-- ISNUMBER(SEARCH({"Content","Currency","Number","Percent","Text","URL"}, $B23))) &gt; 0,$B23 &amp; "(" &amp; $C23 &amp; ")",$B23)))), "  ", TRIM(IF($S23 = "YES", "(External ID)", "") &amp; " " &amp; IF(SUMPRODUCT(-- ISNUMBER(SEARCH({"Unique","Unique Case Insensitive"}, $R23))) &gt; 0, "(" &amp; $R23 &amp; ")", ""))))</f>
        <v>na</v>
      </c>
      <c r="E23" s="7" t="s">
        <v>195</v>
      </c>
      <c r="F23" s="7" t="s">
        <v>195</v>
      </c>
      <c r="G23" s="7" t="s">
        <v>195</v>
      </c>
      <c r="H23" s="7" t="s">
        <v>195</v>
      </c>
      <c r="I23" s="7" t="s">
        <v>195</v>
      </c>
      <c r="J23" s="7" t="s">
        <v>195</v>
      </c>
      <c r="K23" s="7" t="s">
        <v>195</v>
      </c>
      <c r="L23" s="7" t="s">
        <v>195</v>
      </c>
      <c r="M23" s="7" t="s">
        <v>28</v>
      </c>
      <c r="N23" s="7" t="s">
        <v>29</v>
      </c>
      <c r="O23" s="7" t="s">
        <v>29</v>
      </c>
      <c r="P23" s="7" t="s">
        <v>29</v>
      </c>
      <c r="Q23" s="7" t="s">
        <v>29</v>
      </c>
      <c r="R23" s="7" t="s">
        <v>29</v>
      </c>
      <c r="S23" s="7" t="s">
        <v>29</v>
      </c>
    </row>
    <row r="24" spans="1:19">
      <c r="B24" s="7" t="s">
        <v>195</v>
      </c>
      <c r="C24" s="8" t="s">
        <v>195</v>
      </c>
      <c r="D24" s="5" t="str">
        <f>LRTRIM(CONCATENATE(IF(SUMPRODUCT(-- ISNUMBER(SEARCH({"Auto Number"}, $B24))) &gt; 0, $B24, IF(SUMPRODUCT(-- ISNUMBER(SEARCH({"Lookup","Master-Detail"}, $B24))) &gt; 0,$B24 &amp; "(" &amp; $E24 &amp; ")",IF(SUMPRODUCT(-- ISNUMBER(SEARCH({"Formula","Roll-Up Summary"}, $B24))) &gt; 0,$B24 &amp; " (" &amp; $E24 &amp; ")",IF(SUMPRODUCT(-- ISNUMBER(SEARCH({"Content","Currency","Number","Percent","Text","URL"}, $B24))) &gt; 0,$B24 &amp; "(" &amp; $C24 &amp; ")",$B24)))), "  ", TRIM(IF($S24 = "YES", "(External ID)", "") &amp; " " &amp; IF(SUMPRODUCT(-- ISNUMBER(SEARCH({"Unique","Unique Case Insensitive"}, $R24))) &gt; 0, "(" &amp; $R24 &amp; ")", ""))))</f>
        <v>na</v>
      </c>
      <c r="E24" s="7" t="s">
        <v>195</v>
      </c>
      <c r="F24" s="7" t="s">
        <v>195</v>
      </c>
      <c r="G24" s="7" t="s">
        <v>195</v>
      </c>
      <c r="H24" s="7" t="s">
        <v>195</v>
      </c>
      <c r="I24" s="7" t="s">
        <v>195</v>
      </c>
      <c r="J24" s="7" t="s">
        <v>195</v>
      </c>
      <c r="K24" s="7" t="s">
        <v>195</v>
      </c>
      <c r="L24" s="7" t="s">
        <v>195</v>
      </c>
      <c r="M24" s="7" t="s">
        <v>29</v>
      </c>
      <c r="N24" s="7" t="s">
        <v>29</v>
      </c>
      <c r="O24" s="7" t="s">
        <v>29</v>
      </c>
      <c r="P24" s="7" t="s">
        <v>29</v>
      </c>
      <c r="Q24" s="7" t="s">
        <v>29</v>
      </c>
      <c r="R24" s="7" t="s">
        <v>29</v>
      </c>
      <c r="S24" s="7" t="s">
        <v>29</v>
      </c>
    </row>
    <row r="25" spans="1:19">
      <c r="B25" s="7" t="s">
        <v>195</v>
      </c>
      <c r="C25" s="8" t="s">
        <v>195</v>
      </c>
      <c r="D25" s="5" t="str">
        <f>LRTRIM(CONCATENATE(IF(SUMPRODUCT(-- ISNUMBER(SEARCH({"Auto Number"}, $B25))) &gt; 0, $B25, IF(SUMPRODUCT(-- ISNUMBER(SEARCH({"Lookup","Master-Detail"}, $B25))) &gt; 0,$B25 &amp; "(" &amp; $E25 &amp; ")",IF(SUMPRODUCT(-- ISNUMBER(SEARCH({"Formula","Roll-Up Summary"}, $B25))) &gt; 0,$B25 &amp; " (" &amp; $E25 &amp; ")",IF(SUMPRODUCT(-- ISNUMBER(SEARCH({"Content","Currency","Number","Percent","Text","URL"}, $B25))) &gt; 0,$B25 &amp; "(" &amp; $C25 &amp; ")",$B25)))), "  ", TRIM(IF($S25 = "YES", "(External ID)", "") &amp; " " &amp; IF(SUMPRODUCT(-- ISNUMBER(SEARCH({"Unique","Unique Case Insensitive"}, $R25))) &gt; 0, "(" &amp; $R25 &amp; ")", ""))))</f>
        <v>na</v>
      </c>
      <c r="E25" s="7" t="s">
        <v>195</v>
      </c>
      <c r="F25" s="7" t="s">
        <v>195</v>
      </c>
      <c r="G25" s="7" t="s">
        <v>195</v>
      </c>
      <c r="H25" s="7" t="s">
        <v>195</v>
      </c>
      <c r="I25" s="7" t="s">
        <v>195</v>
      </c>
      <c r="J25" s="7" t="s">
        <v>195</v>
      </c>
      <c r="K25" s="7" t="s">
        <v>195</v>
      </c>
      <c r="L25" s="7" t="s">
        <v>195</v>
      </c>
      <c r="M25" s="7" t="s">
        <v>29</v>
      </c>
      <c r="N25" s="7" t="s">
        <v>29</v>
      </c>
      <c r="O25" s="7" t="s">
        <v>29</v>
      </c>
      <c r="P25" s="7" t="s">
        <v>29</v>
      </c>
      <c r="Q25" s="7" t="s">
        <v>29</v>
      </c>
      <c r="R25" s="7" t="s">
        <v>29</v>
      </c>
      <c r="S25" s="7" t="s">
        <v>29</v>
      </c>
    </row>
    <row r="26" spans="1:19">
      <c r="B26" s="7" t="s">
        <v>195</v>
      </c>
      <c r="C26" s="8" t="s">
        <v>195</v>
      </c>
      <c r="D26" s="5" t="str">
        <f>LRTRIM(CONCATENATE(IF(SUMPRODUCT(-- ISNUMBER(SEARCH({"Auto Number"}, $B26))) &gt; 0, $B26, IF(SUMPRODUCT(-- ISNUMBER(SEARCH({"Lookup","Master-Detail"}, $B26))) &gt; 0,$B26 &amp; "(" &amp; $E26 &amp; ")",IF(SUMPRODUCT(-- ISNUMBER(SEARCH({"Formula","Roll-Up Summary"}, $B26))) &gt; 0,$B26 &amp; " (" &amp; $E26 &amp; ")",IF(SUMPRODUCT(-- ISNUMBER(SEARCH({"Content","Currency","Number","Percent","Text","URL"}, $B26))) &gt; 0,$B26 &amp; "(" &amp; $C26 &amp; ")",$B26)))), "  ", TRIM(IF($S26 = "YES", "(External ID)", "") &amp; " " &amp; IF(SUMPRODUCT(-- ISNUMBER(SEARCH({"Unique","Unique Case Insensitive"}, $R26))) &gt; 0, "(" &amp; $R26 &amp; ")", ""))))</f>
        <v>na</v>
      </c>
      <c r="E26" s="7" t="s">
        <v>195</v>
      </c>
      <c r="F26" s="7" t="s">
        <v>195</v>
      </c>
      <c r="G26" s="7" t="s">
        <v>195</v>
      </c>
      <c r="H26" s="7" t="s">
        <v>195</v>
      </c>
      <c r="I26" s="7" t="s">
        <v>195</v>
      </c>
      <c r="J26" s="7" t="s">
        <v>195</v>
      </c>
      <c r="K26" s="7" t="s">
        <v>195</v>
      </c>
      <c r="L26" s="7" t="s">
        <v>195</v>
      </c>
      <c r="M26" s="7" t="s">
        <v>29</v>
      </c>
      <c r="N26" s="7" t="s">
        <v>29</v>
      </c>
      <c r="O26" s="7" t="s">
        <v>29</v>
      </c>
      <c r="P26" s="7" t="s">
        <v>29</v>
      </c>
      <c r="Q26" s="7" t="s">
        <v>29</v>
      </c>
      <c r="R26" s="7" t="s">
        <v>29</v>
      </c>
      <c r="S26" s="7" t="s">
        <v>29</v>
      </c>
    </row>
    <row r="27" spans="1:19">
      <c r="B27" s="7" t="s">
        <v>195</v>
      </c>
      <c r="C27" s="8" t="s">
        <v>195</v>
      </c>
      <c r="D27" s="5" t="str">
        <f>LRTRIM(CONCATENATE(IF(SUMPRODUCT(-- ISNUMBER(SEARCH({"Auto Number"}, $B27))) &gt; 0, $B27, IF(SUMPRODUCT(-- ISNUMBER(SEARCH({"Lookup","Master-Detail"}, $B27))) &gt; 0,$B27 &amp; "(" &amp; $E27 &amp; ")",IF(SUMPRODUCT(-- ISNUMBER(SEARCH({"Formula","Roll-Up Summary"}, $B27))) &gt; 0,$B27 &amp; " (" &amp; $E27 &amp; ")",IF(SUMPRODUCT(-- ISNUMBER(SEARCH({"Content","Currency","Number","Percent","Text","URL"}, $B27))) &gt; 0,$B27 &amp; "(" &amp; $C27 &amp; ")",$B27)))), "  ", TRIM(IF($S27 = "YES", "(External ID)", "") &amp; " " &amp; IF(SUMPRODUCT(-- ISNUMBER(SEARCH({"Unique","Unique Case Insensitive"}, $R27))) &gt; 0, "(" &amp; $R27 &amp; ")", ""))))</f>
        <v>na</v>
      </c>
      <c r="E27" s="7" t="s">
        <v>195</v>
      </c>
      <c r="F27" s="7" t="s">
        <v>195</v>
      </c>
      <c r="G27" s="7" t="s">
        <v>195</v>
      </c>
      <c r="H27" s="7" t="s">
        <v>195</v>
      </c>
      <c r="I27" s="7" t="s">
        <v>195</v>
      </c>
      <c r="J27" s="7" t="s">
        <v>195</v>
      </c>
      <c r="K27" s="7" t="s">
        <v>195</v>
      </c>
      <c r="L27" s="7" t="s">
        <v>195</v>
      </c>
      <c r="M27" s="7" t="s">
        <v>29</v>
      </c>
      <c r="N27" s="7" t="s">
        <v>29</v>
      </c>
      <c r="O27" s="7" t="s">
        <v>29</v>
      </c>
      <c r="P27" s="7" t="s">
        <v>29</v>
      </c>
      <c r="Q27" s="7" t="s">
        <v>29</v>
      </c>
      <c r="R27" s="7" t="s">
        <v>29</v>
      </c>
      <c r="S27" s="7" t="s">
        <v>29</v>
      </c>
    </row>
    <row r="28" spans="1:19">
      <c r="B28" s="7" t="s">
        <v>195</v>
      </c>
      <c r="C28" s="8" t="s">
        <v>195</v>
      </c>
      <c r="D28" s="5" t="str">
        <f>LRTRIM(CONCATENATE(IF(SUMPRODUCT(-- ISNUMBER(SEARCH({"Auto Number"}, $B28))) &gt; 0, $B28, IF(SUMPRODUCT(-- ISNUMBER(SEARCH({"Lookup","Master-Detail"}, $B28))) &gt; 0,$B28 &amp; "(" &amp; $E28 &amp; ")",IF(SUMPRODUCT(-- ISNUMBER(SEARCH({"Formula","Roll-Up Summary"}, $B28))) &gt; 0,$B28 &amp; " (" &amp; $E28 &amp; ")",IF(SUMPRODUCT(-- ISNUMBER(SEARCH({"Content","Currency","Number","Percent","Text","URL"}, $B28))) &gt; 0,$B28 &amp; "(" &amp; $C28 &amp; ")",$B28)))), "  ", TRIM(IF($S28 = "YES", "(External ID)", "") &amp; " " &amp; IF(SUMPRODUCT(-- ISNUMBER(SEARCH({"Unique","Unique Case Insensitive"}, $R28))) &gt; 0, "(" &amp; $R28 &amp; ")", ""))))</f>
        <v>na</v>
      </c>
      <c r="E28" s="7" t="s">
        <v>195</v>
      </c>
      <c r="F28" s="7" t="s">
        <v>195</v>
      </c>
      <c r="G28" s="7" t="s">
        <v>195</v>
      </c>
      <c r="H28" s="7" t="s">
        <v>195</v>
      </c>
      <c r="I28" s="7" t="s">
        <v>195</v>
      </c>
      <c r="J28" s="7" t="s">
        <v>195</v>
      </c>
      <c r="K28" s="7" t="s">
        <v>195</v>
      </c>
      <c r="L28" s="7" t="s">
        <v>195</v>
      </c>
      <c r="M28" s="7" t="s">
        <v>29</v>
      </c>
      <c r="N28" s="7" t="s">
        <v>29</v>
      </c>
      <c r="O28" s="7" t="s">
        <v>29</v>
      </c>
      <c r="P28" s="7" t="s">
        <v>29</v>
      </c>
      <c r="Q28" s="7" t="s">
        <v>29</v>
      </c>
      <c r="R28" s="7" t="s">
        <v>29</v>
      </c>
      <c r="S28" s="7" t="s">
        <v>29</v>
      </c>
    </row>
    <row r="29" spans="1:19">
      <c r="B29" s="7" t="s">
        <v>195</v>
      </c>
      <c r="C29" s="8" t="s">
        <v>195</v>
      </c>
      <c r="D29" s="5" t="str">
        <f>LRTRIM(CONCATENATE(IF(SUMPRODUCT(-- ISNUMBER(SEARCH({"Auto Number"}, $B29))) &gt; 0, $B29, IF(SUMPRODUCT(-- ISNUMBER(SEARCH({"Lookup","Master-Detail"}, $B29))) &gt; 0,$B29 &amp; "(" &amp; $E29 &amp; ")",IF(SUMPRODUCT(-- ISNUMBER(SEARCH({"Formula","Roll-Up Summary"}, $B29))) &gt; 0,$B29 &amp; " (" &amp; $E29 &amp; ")",IF(SUMPRODUCT(-- ISNUMBER(SEARCH({"Content","Currency","Number","Percent","Text","URL"}, $B29))) &gt; 0,$B29 &amp; "(" &amp; $C29 &amp; ")",$B29)))), "  ", TRIM(IF($S29 = "YES", "(External ID)", "") &amp; " " &amp; IF(SUMPRODUCT(-- ISNUMBER(SEARCH({"Unique","Unique Case Insensitive"}, $R29))) &gt; 0, "(" &amp; $R29 &amp; ")", ""))))</f>
        <v>na</v>
      </c>
      <c r="E29" s="7" t="s">
        <v>195</v>
      </c>
      <c r="F29" s="7" t="s">
        <v>195</v>
      </c>
      <c r="G29" s="7" t="s">
        <v>195</v>
      </c>
      <c r="H29" s="7" t="s">
        <v>195</v>
      </c>
      <c r="I29" s="7" t="s">
        <v>195</v>
      </c>
      <c r="J29" s="7" t="s">
        <v>195</v>
      </c>
      <c r="K29" s="7" t="s">
        <v>195</v>
      </c>
      <c r="L29" s="7" t="s">
        <v>195</v>
      </c>
      <c r="M29" s="7" t="s">
        <v>29</v>
      </c>
      <c r="N29" s="7" t="s">
        <v>29</v>
      </c>
      <c r="O29" s="7" t="s">
        <v>29</v>
      </c>
      <c r="P29" s="7" t="s">
        <v>29</v>
      </c>
      <c r="Q29" s="7" t="s">
        <v>29</v>
      </c>
      <c r="R29" s="7" t="s">
        <v>29</v>
      </c>
      <c r="S29" s="7" t="s">
        <v>29</v>
      </c>
    </row>
    <row r="30" spans="1:19">
      <c r="B30" s="7" t="s">
        <v>195</v>
      </c>
      <c r="C30" s="8" t="s">
        <v>195</v>
      </c>
      <c r="D30" s="5" t="str">
        <f>LRTRIM(CONCATENATE(IF(SUMPRODUCT(-- ISNUMBER(SEARCH({"Auto Number"}, $B30))) &gt; 0, $B30, IF(SUMPRODUCT(-- ISNUMBER(SEARCH({"Lookup","Master-Detail"}, $B30))) &gt; 0,$B30 &amp; "(" &amp; $E30 &amp; ")",IF(SUMPRODUCT(-- ISNUMBER(SEARCH({"Formula","Roll-Up Summary"}, $B30))) &gt; 0,$B30 &amp; " (" &amp; $E30 &amp; ")",IF(SUMPRODUCT(-- ISNUMBER(SEARCH({"Content","Currency","Number","Percent","Text","URL"}, $B30))) &gt; 0,$B30 &amp; "(" &amp; $C30 &amp; ")",$B30)))), "  ", TRIM(IF($S30 = "YES", "(External ID)", "") &amp; " " &amp; IF(SUMPRODUCT(-- ISNUMBER(SEARCH({"Unique","Unique Case Insensitive"}, $R30))) &gt; 0, "(" &amp; $R30 &amp; ")", ""))))</f>
        <v>na</v>
      </c>
      <c r="E30" s="7" t="s">
        <v>195</v>
      </c>
      <c r="F30" s="7" t="s">
        <v>195</v>
      </c>
      <c r="G30" s="7" t="s">
        <v>195</v>
      </c>
      <c r="H30" s="7" t="s">
        <v>195</v>
      </c>
      <c r="I30" s="7" t="s">
        <v>195</v>
      </c>
      <c r="J30" s="7" t="s">
        <v>195</v>
      </c>
      <c r="K30" s="7" t="s">
        <v>195</v>
      </c>
      <c r="L30" s="7" t="s">
        <v>195</v>
      </c>
      <c r="M30" s="7" t="s">
        <v>29</v>
      </c>
      <c r="N30" s="7" t="s">
        <v>29</v>
      </c>
      <c r="O30" s="7" t="s">
        <v>29</v>
      </c>
      <c r="P30" s="7" t="s">
        <v>29</v>
      </c>
      <c r="Q30" s="7" t="s">
        <v>29</v>
      </c>
      <c r="R30" s="7" t="s">
        <v>29</v>
      </c>
      <c r="S30" s="7" t="s">
        <v>29</v>
      </c>
    </row>
    <row r="31" spans="1:19">
      <c r="B31" s="7" t="s">
        <v>195</v>
      </c>
      <c r="C31" s="8" t="s">
        <v>195</v>
      </c>
      <c r="D31" s="5" t="str">
        <f>LRTRIM(CONCATENATE(IF(SUMPRODUCT(-- ISNUMBER(SEARCH({"Auto Number"}, $B31))) &gt; 0, $B31, IF(SUMPRODUCT(-- ISNUMBER(SEARCH({"Lookup","Master-Detail"}, $B31))) &gt; 0,$B31 &amp; "(" &amp; $E31 &amp; ")",IF(SUMPRODUCT(-- ISNUMBER(SEARCH({"Formula","Roll-Up Summary"}, $B31))) &gt; 0,$B31 &amp; " (" &amp; $E31 &amp; ")",IF(SUMPRODUCT(-- ISNUMBER(SEARCH({"Content","Currency","Number","Percent","Text","URL"}, $B31))) &gt; 0,$B31 &amp; "(" &amp; $C31 &amp; ")",$B31)))), "  ", TRIM(IF($S31 = "YES", "(External ID)", "") &amp; " " &amp; IF(SUMPRODUCT(-- ISNUMBER(SEARCH({"Unique","Unique Case Insensitive"}, $R31))) &gt; 0, "(" &amp; $R31 &amp; ")", ""))))</f>
        <v>na</v>
      </c>
      <c r="E31" s="7" t="s">
        <v>195</v>
      </c>
      <c r="F31" s="7" t="s">
        <v>195</v>
      </c>
      <c r="G31" s="7" t="s">
        <v>195</v>
      </c>
      <c r="H31" s="7" t="s">
        <v>195</v>
      </c>
      <c r="I31" s="7" t="s">
        <v>195</v>
      </c>
      <c r="J31" s="7" t="s">
        <v>195</v>
      </c>
      <c r="K31" s="7" t="s">
        <v>195</v>
      </c>
      <c r="L31" s="7" t="s">
        <v>195</v>
      </c>
      <c r="M31" s="7" t="s">
        <v>29</v>
      </c>
      <c r="N31" s="7" t="s">
        <v>29</v>
      </c>
      <c r="O31" s="7" t="s">
        <v>29</v>
      </c>
      <c r="P31" s="7" t="s">
        <v>29</v>
      </c>
      <c r="Q31" s="7" t="s">
        <v>29</v>
      </c>
      <c r="R31" s="7" t="s">
        <v>29</v>
      </c>
      <c r="S31" s="7" t="s">
        <v>29</v>
      </c>
    </row>
    <row r="32" spans="1:19">
      <c r="B32" s="7" t="s">
        <v>195</v>
      </c>
      <c r="C32" s="8" t="s">
        <v>195</v>
      </c>
      <c r="D32" s="5" t="str">
        <f>LRTRIM(CONCATENATE(IF(SUMPRODUCT(-- ISNUMBER(SEARCH({"Auto Number"}, $B32))) &gt; 0, $B32, IF(SUMPRODUCT(-- ISNUMBER(SEARCH({"Lookup","Master-Detail"}, $B32))) &gt; 0,$B32 &amp; "(" &amp; $E32 &amp; ")",IF(SUMPRODUCT(-- ISNUMBER(SEARCH({"Formula","Roll-Up Summary"}, $B32))) &gt; 0,$B32 &amp; " (" &amp; $E32 &amp; ")",IF(SUMPRODUCT(-- ISNUMBER(SEARCH({"Content","Currency","Number","Percent","Text","URL"}, $B32))) &gt; 0,$B32 &amp; "(" &amp; $C32 &amp; ")",$B32)))), "  ", TRIM(IF($S32 = "YES", "(External ID)", "") &amp; " " &amp; IF(SUMPRODUCT(-- ISNUMBER(SEARCH({"Unique","Unique Case Insensitive"}, $R32))) &gt; 0, "(" &amp; $R32 &amp; ")", ""))))</f>
        <v>na</v>
      </c>
      <c r="E32" s="7" t="s">
        <v>195</v>
      </c>
      <c r="F32" s="7" t="s">
        <v>195</v>
      </c>
      <c r="G32" s="7" t="s">
        <v>195</v>
      </c>
      <c r="H32" s="7" t="s">
        <v>195</v>
      </c>
      <c r="I32" s="7" t="s">
        <v>195</v>
      </c>
      <c r="J32" s="7" t="s">
        <v>195</v>
      </c>
      <c r="K32" s="7" t="s">
        <v>195</v>
      </c>
      <c r="L32" s="7" t="s">
        <v>195</v>
      </c>
      <c r="M32" s="7" t="s">
        <v>29</v>
      </c>
      <c r="N32" s="7" t="s">
        <v>29</v>
      </c>
      <c r="O32" s="7" t="s">
        <v>29</v>
      </c>
      <c r="P32" s="7" t="s">
        <v>29</v>
      </c>
      <c r="Q32" s="7" t="s">
        <v>29</v>
      </c>
      <c r="R32" s="7" t="s">
        <v>29</v>
      </c>
      <c r="S32" s="7" t="s">
        <v>29</v>
      </c>
    </row>
    <row r="33" spans="2:19">
      <c r="B33" s="7" t="s">
        <v>195</v>
      </c>
      <c r="C33" s="8" t="s">
        <v>195</v>
      </c>
      <c r="D33" s="5" t="str">
        <f>LRTRIM(CONCATENATE(IF(SUMPRODUCT(-- ISNUMBER(SEARCH({"Auto Number"}, $B33))) &gt; 0, $B33, IF(SUMPRODUCT(-- ISNUMBER(SEARCH({"Lookup","Master-Detail"}, $B33))) &gt; 0,$B33 &amp; "(" &amp; $E33 &amp; ")",IF(SUMPRODUCT(-- ISNUMBER(SEARCH({"Formula","Roll-Up Summary"}, $B33))) &gt; 0,$B33 &amp; " (" &amp; $E33 &amp; ")",IF(SUMPRODUCT(-- ISNUMBER(SEARCH({"Content","Currency","Number","Percent","Text","URL"}, $B33))) &gt; 0,$B33 &amp; "(" &amp; $C33 &amp; ")",$B33)))), "  ", TRIM(IF($S33 = "YES", "(External ID)", "") &amp; " " &amp; IF(SUMPRODUCT(-- ISNUMBER(SEARCH({"Unique","Unique Case Insensitive"}, $R33))) &gt; 0, "(" &amp; $R33 &amp; ")", ""))))</f>
        <v>na</v>
      </c>
      <c r="E33" s="7" t="s">
        <v>195</v>
      </c>
      <c r="F33" s="7" t="s">
        <v>195</v>
      </c>
      <c r="G33" s="7" t="s">
        <v>195</v>
      </c>
      <c r="H33" s="7" t="s">
        <v>195</v>
      </c>
      <c r="I33" s="7" t="s">
        <v>195</v>
      </c>
      <c r="J33" s="7" t="s">
        <v>195</v>
      </c>
      <c r="K33" s="7" t="s">
        <v>195</v>
      </c>
      <c r="L33" s="7" t="s">
        <v>195</v>
      </c>
      <c r="M33" s="7" t="s">
        <v>29</v>
      </c>
      <c r="N33" s="7" t="s">
        <v>29</v>
      </c>
      <c r="O33" s="7" t="s">
        <v>29</v>
      </c>
      <c r="P33" s="7" t="s">
        <v>29</v>
      </c>
      <c r="Q33" s="7" t="s">
        <v>29</v>
      </c>
      <c r="R33" s="7" t="s">
        <v>29</v>
      </c>
      <c r="S33" s="7" t="s">
        <v>29</v>
      </c>
    </row>
    <row r="34" spans="2:19">
      <c r="B34" s="7" t="s">
        <v>195</v>
      </c>
      <c r="C34" s="8" t="s">
        <v>195</v>
      </c>
      <c r="D34" s="5" t="str">
        <f>LRTRIM(CONCATENATE(IF(SUMPRODUCT(-- ISNUMBER(SEARCH({"Auto Number"}, $B34))) &gt; 0, $B34, IF(SUMPRODUCT(-- ISNUMBER(SEARCH({"Lookup","Master-Detail"}, $B34))) &gt; 0,$B34 &amp; "(" &amp; $E34 &amp; ")",IF(SUMPRODUCT(-- ISNUMBER(SEARCH({"Formula","Roll-Up Summary"}, $B34))) &gt; 0,$B34 &amp; " (" &amp; $E34 &amp; ")",IF(SUMPRODUCT(-- ISNUMBER(SEARCH({"Content","Currency","Number","Percent","Text","URL"}, $B34))) &gt; 0,$B34 &amp; "(" &amp; $C34 &amp; ")",$B34)))), "  ", TRIM(IF($S34 = "YES", "(External ID)", "") &amp; " " &amp; IF(SUMPRODUCT(-- ISNUMBER(SEARCH({"Unique","Unique Case Insensitive"}, $R34))) &gt; 0, "(" &amp; $R34 &amp; ")", ""))))</f>
        <v>na</v>
      </c>
      <c r="E34" s="7" t="s">
        <v>195</v>
      </c>
      <c r="F34" s="7" t="s">
        <v>195</v>
      </c>
      <c r="G34" s="7" t="s">
        <v>195</v>
      </c>
      <c r="H34" s="7" t="s">
        <v>195</v>
      </c>
      <c r="I34" s="7" t="s">
        <v>195</v>
      </c>
      <c r="J34" s="7" t="s">
        <v>195</v>
      </c>
      <c r="K34" s="7" t="s">
        <v>195</v>
      </c>
      <c r="L34" s="7" t="s">
        <v>195</v>
      </c>
      <c r="M34" s="7" t="s">
        <v>29</v>
      </c>
      <c r="N34" s="7" t="s">
        <v>29</v>
      </c>
      <c r="O34" s="7" t="s">
        <v>29</v>
      </c>
      <c r="P34" s="7" t="s">
        <v>29</v>
      </c>
      <c r="Q34" s="7" t="s">
        <v>29</v>
      </c>
      <c r="R34" s="7" t="s">
        <v>29</v>
      </c>
      <c r="S34" s="7" t="s">
        <v>29</v>
      </c>
    </row>
    <row r="35" spans="2:19">
      <c r="B35" s="7" t="s">
        <v>195</v>
      </c>
      <c r="C35" s="8" t="s">
        <v>195</v>
      </c>
      <c r="D35" s="5" t="str">
        <f>LRTRIM(CONCATENATE(IF(SUMPRODUCT(-- ISNUMBER(SEARCH({"Auto Number"}, $B35))) &gt; 0, $B35, IF(SUMPRODUCT(-- ISNUMBER(SEARCH({"Lookup","Master-Detail"}, $B35))) &gt; 0,$B35 &amp; "(" &amp; $E35 &amp; ")",IF(SUMPRODUCT(-- ISNUMBER(SEARCH({"Formula","Roll-Up Summary"}, $B35))) &gt; 0,$B35 &amp; " (" &amp; $E35 &amp; ")",IF(SUMPRODUCT(-- ISNUMBER(SEARCH({"Content","Currency","Number","Percent","Text","URL"}, $B35))) &gt; 0,$B35 &amp; "(" &amp; $C35 &amp; ")",$B35)))), "  ", TRIM(IF($S35 = "YES", "(External ID)", "") &amp; " " &amp; IF(SUMPRODUCT(-- ISNUMBER(SEARCH({"Unique","Unique Case Insensitive"}, $R35))) &gt; 0, "(" &amp; $R35 &amp; ")", ""))))</f>
        <v>na</v>
      </c>
      <c r="E35" s="7" t="s">
        <v>195</v>
      </c>
      <c r="F35" s="7" t="s">
        <v>195</v>
      </c>
      <c r="G35" s="7" t="s">
        <v>195</v>
      </c>
      <c r="H35" s="7" t="s">
        <v>195</v>
      </c>
      <c r="I35" s="7" t="s">
        <v>195</v>
      </c>
      <c r="J35" s="7" t="s">
        <v>195</v>
      </c>
      <c r="K35" s="7" t="s">
        <v>195</v>
      </c>
      <c r="L35" s="7" t="s">
        <v>195</v>
      </c>
      <c r="M35" s="7" t="s">
        <v>29</v>
      </c>
      <c r="N35" s="7" t="s">
        <v>29</v>
      </c>
      <c r="O35" s="7" t="s">
        <v>29</v>
      </c>
      <c r="P35" s="7" t="s">
        <v>29</v>
      </c>
      <c r="Q35" s="7" t="s">
        <v>29</v>
      </c>
      <c r="R35" s="7" t="s">
        <v>29</v>
      </c>
      <c r="S35" s="7" t="s">
        <v>29</v>
      </c>
    </row>
    <row r="36" spans="2:19">
      <c r="B36" s="7" t="s">
        <v>195</v>
      </c>
      <c r="C36" s="8" t="s">
        <v>195</v>
      </c>
      <c r="D36" s="5" t="str">
        <f>LRTRIM(CONCATENATE(IF(SUMPRODUCT(-- ISNUMBER(SEARCH({"Auto Number"}, $B36))) &gt; 0, $B36, IF(SUMPRODUCT(-- ISNUMBER(SEARCH({"Lookup","Master-Detail"}, $B36))) &gt; 0,$B36 &amp; "(" &amp; $E36 &amp; ")",IF(SUMPRODUCT(-- ISNUMBER(SEARCH({"Formula","Roll-Up Summary"}, $B36))) &gt; 0,$B36 &amp; " (" &amp; $E36 &amp; ")",IF(SUMPRODUCT(-- ISNUMBER(SEARCH({"Content","Currency","Number","Percent","Text","URL"}, $B36))) &gt; 0,$B36 &amp; "(" &amp; $C36 &amp; ")",$B36)))), "  ", TRIM(IF($S36 = "YES", "(External ID)", "") &amp; " " &amp; IF(SUMPRODUCT(-- ISNUMBER(SEARCH({"Unique","Unique Case Insensitive"}, $R36))) &gt; 0, "(" &amp; $R36 &amp; ")", ""))))</f>
        <v>na</v>
      </c>
      <c r="E36" s="7" t="s">
        <v>195</v>
      </c>
      <c r="F36" s="7" t="s">
        <v>195</v>
      </c>
      <c r="G36" s="7" t="s">
        <v>195</v>
      </c>
      <c r="H36" s="7" t="s">
        <v>195</v>
      </c>
      <c r="I36" s="7" t="s">
        <v>195</v>
      </c>
      <c r="J36" s="7" t="s">
        <v>195</v>
      </c>
      <c r="K36" s="7" t="s">
        <v>195</v>
      </c>
      <c r="L36" s="7" t="s">
        <v>195</v>
      </c>
      <c r="M36" s="7" t="s">
        <v>29</v>
      </c>
      <c r="N36" s="7" t="s">
        <v>29</v>
      </c>
      <c r="O36" s="7" t="s">
        <v>29</v>
      </c>
      <c r="P36" s="7" t="s">
        <v>29</v>
      </c>
      <c r="Q36" s="7" t="s">
        <v>29</v>
      </c>
      <c r="R36" s="7" t="s">
        <v>29</v>
      </c>
      <c r="S36" s="7" t="s">
        <v>29</v>
      </c>
    </row>
    <row r="37" spans="2:19">
      <c r="B37" s="7" t="s">
        <v>195</v>
      </c>
      <c r="C37" s="8" t="s">
        <v>195</v>
      </c>
      <c r="D37" s="5" t="str">
        <f>LRTRIM(CONCATENATE(IF(SUMPRODUCT(-- ISNUMBER(SEARCH({"Auto Number"}, $B37))) &gt; 0, $B37, IF(SUMPRODUCT(-- ISNUMBER(SEARCH({"Lookup","Master-Detail"}, $B37))) &gt; 0,$B37 &amp; "(" &amp; $E37 &amp; ")",IF(SUMPRODUCT(-- ISNUMBER(SEARCH({"Formula","Roll-Up Summary"}, $B37))) &gt; 0,$B37 &amp; " (" &amp; $E37 &amp; ")",IF(SUMPRODUCT(-- ISNUMBER(SEARCH({"Content","Currency","Number","Percent","Text","URL"}, $B37))) &gt; 0,$B37 &amp; "(" &amp; $C37 &amp; ")",$B37)))), "  ", TRIM(IF($S37 = "YES", "(External ID)", "") &amp; " " &amp; IF(SUMPRODUCT(-- ISNUMBER(SEARCH({"Unique","Unique Case Insensitive"}, $R37))) &gt; 0, "(" &amp; $R37 &amp; ")", ""))))</f>
        <v>na</v>
      </c>
      <c r="E37" s="7" t="s">
        <v>195</v>
      </c>
      <c r="F37" s="7" t="s">
        <v>195</v>
      </c>
      <c r="G37" s="7" t="s">
        <v>195</v>
      </c>
      <c r="H37" s="7" t="s">
        <v>195</v>
      </c>
      <c r="I37" s="7" t="s">
        <v>195</v>
      </c>
      <c r="J37" s="7" t="s">
        <v>195</v>
      </c>
      <c r="K37" s="7" t="s">
        <v>195</v>
      </c>
      <c r="L37" s="7" t="s">
        <v>195</v>
      </c>
      <c r="M37" s="7" t="s">
        <v>29</v>
      </c>
      <c r="N37" s="7" t="s">
        <v>29</v>
      </c>
      <c r="O37" s="7" t="s">
        <v>29</v>
      </c>
      <c r="P37" s="7" t="s">
        <v>29</v>
      </c>
      <c r="Q37" s="7" t="s">
        <v>29</v>
      </c>
      <c r="R37" s="7" t="s">
        <v>29</v>
      </c>
      <c r="S37" s="7" t="s">
        <v>29</v>
      </c>
    </row>
    <row r="38" spans="2:19">
      <c r="B38" s="7" t="s">
        <v>195</v>
      </c>
      <c r="C38" s="8" t="s">
        <v>195</v>
      </c>
      <c r="D38" s="5" t="str">
        <f>LRTRIM(CONCATENATE(IF(SUMPRODUCT(-- ISNUMBER(SEARCH({"Auto Number"}, $B38))) &gt; 0, $B38, IF(SUMPRODUCT(-- ISNUMBER(SEARCH({"Lookup","Master-Detail"}, $B38))) &gt; 0,$B38 &amp; "(" &amp; $E38 &amp; ")",IF(SUMPRODUCT(-- ISNUMBER(SEARCH({"Formula","Roll-Up Summary"}, $B38))) &gt; 0,$B38 &amp; " (" &amp; $E38 &amp; ")",IF(SUMPRODUCT(-- ISNUMBER(SEARCH({"Content","Currency","Number","Percent","Text","URL"}, $B38))) &gt; 0,$B38 &amp; "(" &amp; $C38 &amp; ")",$B38)))), "  ", TRIM(IF($S38 = "YES", "(External ID)", "") &amp; " " &amp; IF(SUMPRODUCT(-- ISNUMBER(SEARCH({"Unique","Unique Case Insensitive"}, $R38))) &gt; 0, "(" &amp; $R38 &amp; ")", ""))))</f>
        <v>na</v>
      </c>
      <c r="E38" s="7" t="s">
        <v>195</v>
      </c>
      <c r="F38" s="7" t="s">
        <v>195</v>
      </c>
      <c r="G38" s="7" t="s">
        <v>195</v>
      </c>
      <c r="H38" s="7" t="s">
        <v>195</v>
      </c>
      <c r="I38" s="7" t="s">
        <v>195</v>
      </c>
      <c r="J38" s="7" t="s">
        <v>195</v>
      </c>
      <c r="K38" s="7" t="s">
        <v>195</v>
      </c>
      <c r="L38" s="7" t="s">
        <v>195</v>
      </c>
      <c r="M38" s="7" t="s">
        <v>29</v>
      </c>
      <c r="N38" s="7" t="s">
        <v>29</v>
      </c>
      <c r="O38" s="7" t="s">
        <v>29</v>
      </c>
      <c r="P38" s="7" t="s">
        <v>29</v>
      </c>
      <c r="Q38" s="7" t="s">
        <v>29</v>
      </c>
      <c r="R38" s="7" t="s">
        <v>29</v>
      </c>
      <c r="S38" s="7" t="s">
        <v>29</v>
      </c>
    </row>
    <row r="39" spans="2:19">
      <c r="B39" s="7" t="s">
        <v>195</v>
      </c>
      <c r="C39" s="8" t="s">
        <v>195</v>
      </c>
      <c r="D39" s="5" t="str">
        <f>LRTRIM(CONCATENATE(IF(SUMPRODUCT(-- ISNUMBER(SEARCH({"Auto Number"}, $B39))) &gt; 0, $B39, IF(SUMPRODUCT(-- ISNUMBER(SEARCH({"Lookup","Master-Detail"}, $B39))) &gt; 0,$B39 &amp; "(" &amp; $E39 &amp; ")",IF(SUMPRODUCT(-- ISNUMBER(SEARCH({"Formula","Roll-Up Summary"}, $B39))) &gt; 0,$B39 &amp; " (" &amp; $E39 &amp; ")",IF(SUMPRODUCT(-- ISNUMBER(SEARCH({"Content","Currency","Number","Percent","Text","URL"}, $B39))) &gt; 0,$B39 &amp; "(" &amp; $C39 &amp; ")",$B39)))), "  ", TRIM(IF($S39 = "YES", "(External ID)", "") &amp; " " &amp; IF(SUMPRODUCT(-- ISNUMBER(SEARCH({"Unique","Unique Case Insensitive"}, $R39))) &gt; 0, "(" &amp; $R39 &amp; ")", ""))))</f>
        <v>na</v>
      </c>
      <c r="E39" s="7" t="s">
        <v>195</v>
      </c>
      <c r="F39" s="7" t="s">
        <v>195</v>
      </c>
      <c r="G39" s="7" t="s">
        <v>195</v>
      </c>
      <c r="H39" s="7" t="s">
        <v>195</v>
      </c>
      <c r="I39" s="7" t="s">
        <v>195</v>
      </c>
      <c r="J39" s="7" t="s">
        <v>195</v>
      </c>
      <c r="K39" s="7" t="s">
        <v>195</v>
      </c>
      <c r="L39" s="7" t="s">
        <v>195</v>
      </c>
      <c r="M39" s="7" t="s">
        <v>29</v>
      </c>
      <c r="N39" s="7" t="s">
        <v>29</v>
      </c>
      <c r="O39" s="7" t="s">
        <v>29</v>
      </c>
      <c r="P39" s="7" t="s">
        <v>29</v>
      </c>
      <c r="Q39" s="7" t="s">
        <v>29</v>
      </c>
      <c r="R39" s="7" t="s">
        <v>29</v>
      </c>
      <c r="S39" s="7" t="s">
        <v>29</v>
      </c>
    </row>
    <row r="40" spans="2:19">
      <c r="B40" s="7" t="s">
        <v>195</v>
      </c>
      <c r="C40" s="8" t="s">
        <v>195</v>
      </c>
      <c r="D40" s="5" t="str">
        <f>LRTRIM(CONCATENATE(IF(SUMPRODUCT(-- ISNUMBER(SEARCH({"Auto Number"}, $B40))) &gt; 0, $B40, IF(SUMPRODUCT(-- ISNUMBER(SEARCH({"Lookup","Master-Detail"}, $B40))) &gt; 0,$B40 &amp; "(" &amp; $E40 &amp; ")",IF(SUMPRODUCT(-- ISNUMBER(SEARCH({"Formula","Roll-Up Summary"}, $B40))) &gt; 0,$B40 &amp; " (" &amp; $E40 &amp; ")",IF(SUMPRODUCT(-- ISNUMBER(SEARCH({"Content","Currency","Number","Percent","Text","URL"}, $B40))) &gt; 0,$B40 &amp; "(" &amp; $C40 &amp; ")",$B40)))), "  ", TRIM(IF($S40 = "YES", "(External ID)", "") &amp; " " &amp; IF(SUMPRODUCT(-- ISNUMBER(SEARCH({"Unique","Unique Case Insensitive"}, $R40))) &gt; 0, "(" &amp; $R40 &amp; ")", ""))))</f>
        <v>na</v>
      </c>
      <c r="E40" s="7" t="s">
        <v>195</v>
      </c>
      <c r="F40" s="7" t="s">
        <v>195</v>
      </c>
      <c r="G40" s="7" t="s">
        <v>195</v>
      </c>
      <c r="H40" s="7" t="s">
        <v>195</v>
      </c>
      <c r="I40" s="7" t="s">
        <v>195</v>
      </c>
      <c r="J40" s="7" t="s">
        <v>195</v>
      </c>
      <c r="K40" s="7" t="s">
        <v>195</v>
      </c>
      <c r="L40" s="7" t="s">
        <v>195</v>
      </c>
      <c r="M40" s="7" t="s">
        <v>29</v>
      </c>
      <c r="N40" s="7" t="s">
        <v>29</v>
      </c>
      <c r="O40" s="7" t="s">
        <v>29</v>
      </c>
      <c r="P40" s="7" t="s">
        <v>29</v>
      </c>
      <c r="Q40" s="7" t="s">
        <v>29</v>
      </c>
      <c r="R40" s="7" t="s">
        <v>29</v>
      </c>
      <c r="S40" s="7" t="s">
        <v>29</v>
      </c>
    </row>
    <row r="41" spans="2:19">
      <c r="B41" s="7" t="s">
        <v>195</v>
      </c>
      <c r="C41" s="8" t="s">
        <v>195</v>
      </c>
      <c r="D41" s="5" t="str">
        <f>LRTRIM(CONCATENATE(IF(SUMPRODUCT(-- ISNUMBER(SEARCH({"Auto Number"}, $B41))) &gt; 0, $B41, IF(SUMPRODUCT(-- ISNUMBER(SEARCH({"Lookup","Master-Detail"}, $B41))) &gt; 0,$B41 &amp; "(" &amp; $E41 &amp; ")",IF(SUMPRODUCT(-- ISNUMBER(SEARCH({"Formula","Roll-Up Summary"}, $B41))) &gt; 0,$B41 &amp; " (" &amp; $E41 &amp; ")",IF(SUMPRODUCT(-- ISNUMBER(SEARCH({"Content","Currency","Number","Percent","Text","URL"}, $B41))) &gt; 0,$B41 &amp; "(" &amp; $C41 &amp; ")",$B41)))), "  ", TRIM(IF($S41 = "YES", "(External ID)", "") &amp; " " &amp; IF(SUMPRODUCT(-- ISNUMBER(SEARCH({"Unique","Unique Case Insensitive"}, $R41))) &gt; 0, "(" &amp; $R41 &amp; ")", ""))))</f>
        <v>na</v>
      </c>
      <c r="E41" s="7" t="s">
        <v>195</v>
      </c>
      <c r="F41" s="7" t="s">
        <v>195</v>
      </c>
      <c r="G41" s="7" t="s">
        <v>195</v>
      </c>
      <c r="H41" s="7" t="s">
        <v>195</v>
      </c>
      <c r="I41" s="7" t="s">
        <v>195</v>
      </c>
      <c r="J41" s="7" t="s">
        <v>195</v>
      </c>
      <c r="K41" s="7" t="s">
        <v>195</v>
      </c>
      <c r="L41" s="7" t="s">
        <v>195</v>
      </c>
      <c r="M41" s="7" t="s">
        <v>29</v>
      </c>
      <c r="N41" s="7" t="s">
        <v>29</v>
      </c>
      <c r="O41" s="7" t="s">
        <v>29</v>
      </c>
      <c r="P41" s="7" t="s">
        <v>29</v>
      </c>
      <c r="Q41" s="7" t="s">
        <v>29</v>
      </c>
      <c r="R41" s="7" t="s">
        <v>29</v>
      </c>
      <c r="S41" s="7" t="s">
        <v>29</v>
      </c>
    </row>
    <row r="42" spans="2:19">
      <c r="B42" s="7" t="s">
        <v>195</v>
      </c>
      <c r="C42" s="8" t="s">
        <v>195</v>
      </c>
      <c r="D42" s="5" t="str">
        <f>LRTRIM(CONCATENATE(IF(SUMPRODUCT(-- ISNUMBER(SEARCH({"Auto Number"}, $B42))) &gt; 0, $B42, IF(SUMPRODUCT(-- ISNUMBER(SEARCH({"Lookup","Master-Detail"}, $B42))) &gt; 0,$B42 &amp; "(" &amp; $E42 &amp; ")",IF(SUMPRODUCT(-- ISNUMBER(SEARCH({"Formula","Roll-Up Summary"}, $B42))) &gt; 0,$B42 &amp; " (" &amp; $E42 &amp; ")",IF(SUMPRODUCT(-- ISNUMBER(SEARCH({"Content","Currency","Number","Percent","Text","URL"}, $B42))) &gt; 0,$B42 &amp; "(" &amp; $C42 &amp; ")",$B42)))), "  ", TRIM(IF($S42 = "YES", "(External ID)", "") &amp; " " &amp; IF(SUMPRODUCT(-- ISNUMBER(SEARCH({"Unique","Unique Case Insensitive"}, $R42))) &gt; 0, "(" &amp; $R42 &amp; ")", ""))))</f>
        <v>na</v>
      </c>
      <c r="E42" s="7" t="s">
        <v>195</v>
      </c>
      <c r="F42" s="7" t="s">
        <v>195</v>
      </c>
      <c r="G42" s="7" t="s">
        <v>195</v>
      </c>
      <c r="H42" s="7" t="s">
        <v>195</v>
      </c>
      <c r="I42" s="7" t="s">
        <v>195</v>
      </c>
      <c r="J42" s="7" t="s">
        <v>195</v>
      </c>
      <c r="K42" s="7" t="s">
        <v>195</v>
      </c>
      <c r="L42" s="7" t="s">
        <v>195</v>
      </c>
      <c r="M42" s="7" t="s">
        <v>29</v>
      </c>
      <c r="N42" s="7" t="s">
        <v>29</v>
      </c>
      <c r="O42" s="7" t="s">
        <v>29</v>
      </c>
      <c r="P42" s="7" t="s">
        <v>29</v>
      </c>
      <c r="Q42" s="7" t="s">
        <v>29</v>
      </c>
      <c r="R42" s="7" t="s">
        <v>29</v>
      </c>
      <c r="S42" s="7" t="s">
        <v>29</v>
      </c>
    </row>
    <row r="43" spans="2:19">
      <c r="B43" s="7" t="s">
        <v>195</v>
      </c>
      <c r="C43" s="8" t="s">
        <v>195</v>
      </c>
      <c r="D43" s="5" t="str">
        <f>LRTRIM(CONCATENATE(IF(SUMPRODUCT(-- ISNUMBER(SEARCH({"Auto Number"}, $B43))) &gt; 0, $B43, IF(SUMPRODUCT(-- ISNUMBER(SEARCH({"Lookup","Master-Detail"}, $B43))) &gt; 0,$B43 &amp; "(" &amp; $E43 &amp; ")",IF(SUMPRODUCT(-- ISNUMBER(SEARCH({"Formula","Roll-Up Summary"}, $B43))) &gt; 0,$B43 &amp; " (" &amp; $E43 &amp; ")",IF(SUMPRODUCT(-- ISNUMBER(SEARCH({"Content","Currency","Number","Percent","Text","URL"}, $B43))) &gt; 0,$B43 &amp; "(" &amp; $C43 &amp; ")",$B43)))), "  ", TRIM(IF($S43 = "YES", "(External ID)", "") &amp; " " &amp; IF(SUMPRODUCT(-- ISNUMBER(SEARCH({"Unique","Unique Case Insensitive"}, $R43))) &gt; 0, "(" &amp; $R43 &amp; ")", ""))))</f>
        <v>na</v>
      </c>
      <c r="E43" s="7" t="s">
        <v>195</v>
      </c>
      <c r="F43" s="7" t="s">
        <v>195</v>
      </c>
      <c r="G43" s="7" t="s">
        <v>195</v>
      </c>
      <c r="H43" s="7" t="s">
        <v>195</v>
      </c>
      <c r="I43" s="7" t="s">
        <v>195</v>
      </c>
      <c r="J43" s="7" t="s">
        <v>195</v>
      </c>
      <c r="K43" s="7" t="s">
        <v>195</v>
      </c>
      <c r="L43" s="7" t="s">
        <v>195</v>
      </c>
      <c r="M43" s="7" t="s">
        <v>29</v>
      </c>
      <c r="N43" s="7" t="s">
        <v>29</v>
      </c>
      <c r="O43" s="7" t="s">
        <v>29</v>
      </c>
      <c r="P43" s="7" t="s">
        <v>29</v>
      </c>
      <c r="Q43" s="7" t="s">
        <v>29</v>
      </c>
      <c r="R43" s="7" t="s">
        <v>29</v>
      </c>
      <c r="S43" s="7" t="s">
        <v>29</v>
      </c>
    </row>
    <row r="44" spans="2:19">
      <c r="B44" s="7" t="s">
        <v>195</v>
      </c>
      <c r="C44" s="8" t="s">
        <v>195</v>
      </c>
      <c r="D44" s="5" t="str">
        <f>LRTRIM(CONCATENATE(IF(SUMPRODUCT(-- ISNUMBER(SEARCH({"Auto Number"}, $B44))) &gt; 0, $B44, IF(SUMPRODUCT(-- ISNUMBER(SEARCH({"Lookup","Master-Detail"}, $B44))) &gt; 0,$B44 &amp; "(" &amp; $E44 &amp; ")",IF(SUMPRODUCT(-- ISNUMBER(SEARCH({"Formula","Roll-Up Summary"}, $B44))) &gt; 0,$B44 &amp; " (" &amp; $E44 &amp; ")",IF(SUMPRODUCT(-- ISNUMBER(SEARCH({"Content","Currency","Number","Percent","Text","URL"}, $B44))) &gt; 0,$B44 &amp; "(" &amp; $C44 &amp; ")",$B44)))), "  ", TRIM(IF($S44 = "YES", "(External ID)", "") &amp; " " &amp; IF(SUMPRODUCT(-- ISNUMBER(SEARCH({"Unique","Unique Case Insensitive"}, $R44))) &gt; 0, "(" &amp; $R44 &amp; ")", ""))))</f>
        <v>na</v>
      </c>
      <c r="E44" s="7" t="s">
        <v>195</v>
      </c>
      <c r="F44" s="7" t="s">
        <v>195</v>
      </c>
      <c r="G44" s="7" t="s">
        <v>195</v>
      </c>
      <c r="H44" s="7" t="s">
        <v>195</v>
      </c>
      <c r="I44" s="7" t="s">
        <v>195</v>
      </c>
      <c r="J44" s="7" t="s">
        <v>195</v>
      </c>
      <c r="K44" s="7" t="s">
        <v>195</v>
      </c>
      <c r="L44" s="7" t="s">
        <v>195</v>
      </c>
      <c r="M44" s="7" t="s">
        <v>29</v>
      </c>
      <c r="N44" s="7" t="s">
        <v>29</v>
      </c>
      <c r="O44" s="7" t="s">
        <v>29</v>
      </c>
      <c r="P44" s="7" t="s">
        <v>29</v>
      </c>
      <c r="Q44" s="7" t="s">
        <v>29</v>
      </c>
      <c r="R44" s="7" t="s">
        <v>29</v>
      </c>
      <c r="S44" s="7" t="s">
        <v>29</v>
      </c>
    </row>
    <row r="45" spans="2:19">
      <c r="B45" s="7" t="s">
        <v>195</v>
      </c>
      <c r="C45" s="8" t="s">
        <v>195</v>
      </c>
      <c r="D45" s="5" t="str">
        <f>LRTRIM(CONCATENATE(IF(SUMPRODUCT(-- ISNUMBER(SEARCH({"Auto Number"}, $B45))) &gt; 0, $B45, IF(SUMPRODUCT(-- ISNUMBER(SEARCH({"Lookup","Master-Detail"}, $B45))) &gt; 0,$B45 &amp; "(" &amp; $E45 &amp; ")",IF(SUMPRODUCT(-- ISNUMBER(SEARCH({"Formula","Roll-Up Summary"}, $B45))) &gt; 0,$B45 &amp; " (" &amp; $E45 &amp; ")",IF(SUMPRODUCT(-- ISNUMBER(SEARCH({"Content","Currency","Number","Percent","Text","URL"}, $B45))) &gt; 0,$B45 &amp; "(" &amp; $C45 &amp; ")",$B45)))), "  ", TRIM(IF($S45 = "YES", "(External ID)", "") &amp; " " &amp; IF(SUMPRODUCT(-- ISNUMBER(SEARCH({"Unique","Unique Case Insensitive"}, $R45))) &gt; 0, "(" &amp; $R45 &amp; ")", ""))))</f>
        <v>na</v>
      </c>
      <c r="E45" s="7" t="s">
        <v>195</v>
      </c>
      <c r="F45" s="7" t="s">
        <v>195</v>
      </c>
      <c r="G45" s="7" t="s">
        <v>195</v>
      </c>
      <c r="H45" s="7" t="s">
        <v>195</v>
      </c>
      <c r="I45" s="7" t="s">
        <v>195</v>
      </c>
      <c r="J45" s="7" t="s">
        <v>195</v>
      </c>
      <c r="K45" s="7" t="s">
        <v>195</v>
      </c>
      <c r="L45" s="7" t="s">
        <v>195</v>
      </c>
      <c r="M45" s="7" t="s">
        <v>29</v>
      </c>
      <c r="N45" s="7" t="s">
        <v>29</v>
      </c>
      <c r="O45" s="7" t="s">
        <v>29</v>
      </c>
      <c r="P45" s="7" t="s">
        <v>29</v>
      </c>
      <c r="Q45" s="7" t="s">
        <v>29</v>
      </c>
      <c r="R45" s="7" t="s">
        <v>29</v>
      </c>
      <c r="S45" s="7" t="s">
        <v>29</v>
      </c>
    </row>
    <row r="46" spans="2:19">
      <c r="B46" s="7" t="s">
        <v>195</v>
      </c>
      <c r="C46" s="8" t="s">
        <v>195</v>
      </c>
      <c r="D46" s="5" t="str">
        <f>LRTRIM(CONCATENATE(IF(SUMPRODUCT(-- ISNUMBER(SEARCH({"Auto Number"}, $B46))) &gt; 0, $B46, IF(SUMPRODUCT(-- ISNUMBER(SEARCH({"Lookup","Master-Detail"}, $B46))) &gt; 0,$B46 &amp; "(" &amp; $E46 &amp; ")",IF(SUMPRODUCT(-- ISNUMBER(SEARCH({"Formula","Roll-Up Summary"}, $B46))) &gt; 0,$B46 &amp; " (" &amp; $E46 &amp; ")",IF(SUMPRODUCT(-- ISNUMBER(SEARCH({"Content","Currency","Number","Percent","Text","URL"}, $B46))) &gt; 0,$B46 &amp; "(" &amp; $C46 &amp; ")",$B46)))), "  ", TRIM(IF($S46 = "YES", "(External ID)", "") &amp; " " &amp; IF(SUMPRODUCT(-- ISNUMBER(SEARCH({"Unique","Unique Case Insensitive"}, $R46))) &gt; 0, "(" &amp; $R46 &amp; ")", ""))))</f>
        <v>na</v>
      </c>
      <c r="E46" s="7" t="s">
        <v>195</v>
      </c>
      <c r="F46" s="7" t="s">
        <v>195</v>
      </c>
      <c r="G46" s="7" t="s">
        <v>195</v>
      </c>
      <c r="H46" s="7" t="s">
        <v>195</v>
      </c>
      <c r="I46" s="7" t="s">
        <v>195</v>
      </c>
      <c r="J46" s="7" t="s">
        <v>195</v>
      </c>
      <c r="K46" s="7" t="s">
        <v>195</v>
      </c>
      <c r="L46" s="7" t="s">
        <v>195</v>
      </c>
      <c r="M46" s="7" t="s">
        <v>29</v>
      </c>
      <c r="N46" s="7" t="s">
        <v>29</v>
      </c>
      <c r="O46" s="7" t="s">
        <v>29</v>
      </c>
      <c r="P46" s="7" t="s">
        <v>29</v>
      </c>
      <c r="Q46" s="7" t="s">
        <v>29</v>
      </c>
      <c r="R46" s="7" t="s">
        <v>29</v>
      </c>
      <c r="S46" s="7" t="s">
        <v>29</v>
      </c>
    </row>
    <row r="47" spans="2:19">
      <c r="B47" s="7" t="s">
        <v>195</v>
      </c>
      <c r="C47" s="8" t="s">
        <v>195</v>
      </c>
      <c r="D47" s="5" t="str">
        <f>LRTRIM(CONCATENATE(IF(SUMPRODUCT(-- ISNUMBER(SEARCH({"Auto Number"}, $B47))) &gt; 0, $B47, IF(SUMPRODUCT(-- ISNUMBER(SEARCH({"Lookup","Master-Detail"}, $B47))) &gt; 0,$B47 &amp; "(" &amp; $E47 &amp; ")",IF(SUMPRODUCT(-- ISNUMBER(SEARCH({"Formula","Roll-Up Summary"}, $B47))) &gt; 0,$B47 &amp; " (" &amp; $E47 &amp; ")",IF(SUMPRODUCT(-- ISNUMBER(SEARCH({"Content","Currency","Number","Percent","Text","URL"}, $B47))) &gt; 0,$B47 &amp; "(" &amp; $C47 &amp; ")",$B47)))), "  ", TRIM(IF($S47 = "YES", "(External ID)", "") &amp; " " &amp; IF(SUMPRODUCT(-- ISNUMBER(SEARCH({"Unique","Unique Case Insensitive"}, $R47))) &gt; 0, "(" &amp; $R47 &amp; ")", ""))))</f>
        <v>na</v>
      </c>
      <c r="E47" s="7" t="s">
        <v>195</v>
      </c>
      <c r="F47" s="7" t="s">
        <v>195</v>
      </c>
      <c r="G47" s="7" t="s">
        <v>195</v>
      </c>
      <c r="H47" s="7" t="s">
        <v>195</v>
      </c>
      <c r="I47" s="7" t="s">
        <v>195</v>
      </c>
      <c r="J47" s="7" t="s">
        <v>195</v>
      </c>
      <c r="K47" s="7" t="s">
        <v>195</v>
      </c>
      <c r="L47" s="7" t="s">
        <v>195</v>
      </c>
      <c r="M47" s="7" t="s">
        <v>29</v>
      </c>
      <c r="N47" s="7" t="s">
        <v>29</v>
      </c>
      <c r="O47" s="7" t="s">
        <v>29</v>
      </c>
      <c r="P47" s="7" t="s">
        <v>29</v>
      </c>
      <c r="Q47" s="7" t="s">
        <v>29</v>
      </c>
      <c r="R47" s="7" t="s">
        <v>29</v>
      </c>
      <c r="S47" s="7" t="s">
        <v>29</v>
      </c>
    </row>
    <row r="48" spans="2:19">
      <c r="B48" s="7" t="s">
        <v>195</v>
      </c>
      <c r="C48" s="8" t="s">
        <v>195</v>
      </c>
      <c r="D48" s="5" t="str">
        <f>LRTRIM(CONCATENATE(IF(SUMPRODUCT(-- ISNUMBER(SEARCH({"Auto Number"}, $B48))) &gt; 0, $B48, IF(SUMPRODUCT(-- ISNUMBER(SEARCH({"Lookup","Master-Detail"}, $B48))) &gt; 0,$B48 &amp; "(" &amp; $E48 &amp; ")",IF(SUMPRODUCT(-- ISNUMBER(SEARCH({"Formula","Roll-Up Summary"}, $B48))) &gt; 0,$B48 &amp; " (" &amp; $E48 &amp; ")",IF(SUMPRODUCT(-- ISNUMBER(SEARCH({"Content","Currency","Number","Percent","Text","URL"}, $B48))) &gt; 0,$B48 &amp; "(" &amp; $C48 &amp; ")",$B48)))), "  ", TRIM(IF($S48 = "YES", "(External ID)", "") &amp; " " &amp; IF(SUMPRODUCT(-- ISNUMBER(SEARCH({"Unique","Unique Case Insensitive"}, $R48))) &gt; 0, "(" &amp; $R48 &amp; ")", ""))))</f>
        <v>na</v>
      </c>
      <c r="E48" s="7" t="s">
        <v>195</v>
      </c>
      <c r="F48" s="7" t="s">
        <v>195</v>
      </c>
      <c r="G48" s="7" t="s">
        <v>195</v>
      </c>
      <c r="H48" s="7" t="s">
        <v>195</v>
      </c>
      <c r="I48" s="7" t="s">
        <v>195</v>
      </c>
      <c r="J48" s="7" t="s">
        <v>195</v>
      </c>
      <c r="K48" s="7" t="s">
        <v>195</v>
      </c>
      <c r="L48" s="7" t="s">
        <v>195</v>
      </c>
      <c r="M48" s="7" t="s">
        <v>29</v>
      </c>
      <c r="N48" s="7" t="s">
        <v>29</v>
      </c>
      <c r="O48" s="7" t="s">
        <v>29</v>
      </c>
      <c r="P48" s="7" t="s">
        <v>29</v>
      </c>
      <c r="Q48" s="7" t="s">
        <v>29</v>
      </c>
      <c r="R48" s="7" t="s">
        <v>29</v>
      </c>
      <c r="S48" s="7" t="s">
        <v>29</v>
      </c>
    </row>
    <row r="49" spans="2:19">
      <c r="B49" s="7" t="s">
        <v>195</v>
      </c>
      <c r="C49" s="8" t="s">
        <v>195</v>
      </c>
      <c r="D49" s="5" t="str">
        <f>LRTRIM(CONCATENATE(IF(SUMPRODUCT(-- ISNUMBER(SEARCH({"Auto Number"}, $B49))) &gt; 0, $B49, IF(SUMPRODUCT(-- ISNUMBER(SEARCH({"Lookup","Master-Detail"}, $B49))) &gt; 0,$B49 &amp; "(" &amp; $E49 &amp; ")",IF(SUMPRODUCT(-- ISNUMBER(SEARCH({"Formula","Roll-Up Summary"}, $B49))) &gt; 0,$B49 &amp; " (" &amp; $E49 &amp; ")",IF(SUMPRODUCT(-- ISNUMBER(SEARCH({"Content","Currency","Number","Percent","Text","URL"}, $B49))) &gt; 0,$B49 &amp; "(" &amp; $C49 &amp; ")",$B49)))), "  ", TRIM(IF($S49 = "YES", "(External ID)", "") &amp; " " &amp; IF(SUMPRODUCT(-- ISNUMBER(SEARCH({"Unique","Unique Case Insensitive"}, $R49))) &gt; 0, "(" &amp; $R49 &amp; ")", ""))))</f>
        <v>na</v>
      </c>
      <c r="E49" s="7" t="s">
        <v>195</v>
      </c>
      <c r="F49" s="7" t="s">
        <v>195</v>
      </c>
      <c r="G49" s="7" t="s">
        <v>195</v>
      </c>
      <c r="H49" s="7" t="s">
        <v>195</v>
      </c>
      <c r="I49" s="7" t="s">
        <v>195</v>
      </c>
      <c r="J49" s="7" t="s">
        <v>195</v>
      </c>
      <c r="K49" s="7" t="s">
        <v>195</v>
      </c>
      <c r="L49" s="7" t="s">
        <v>195</v>
      </c>
      <c r="M49" s="7" t="s">
        <v>29</v>
      </c>
      <c r="N49" s="7" t="s">
        <v>29</v>
      </c>
      <c r="O49" s="7" t="s">
        <v>29</v>
      </c>
      <c r="P49" s="7" t="s">
        <v>29</v>
      </c>
      <c r="Q49" s="7" t="s">
        <v>29</v>
      </c>
      <c r="R49" s="7" t="s">
        <v>29</v>
      </c>
      <c r="S49" s="7" t="s">
        <v>29</v>
      </c>
    </row>
    <row r="50" spans="2:19">
      <c r="B50" s="7" t="s">
        <v>195</v>
      </c>
      <c r="C50" s="8" t="s">
        <v>195</v>
      </c>
      <c r="D50" s="5" t="str">
        <f>LRTRIM(CONCATENATE(IF(SUMPRODUCT(-- ISNUMBER(SEARCH({"Auto Number"}, $B50))) &gt; 0, $B50, IF(SUMPRODUCT(-- ISNUMBER(SEARCH({"Lookup","Master-Detail"}, $B50))) &gt; 0,$B50 &amp; "(" &amp; $E50 &amp; ")",IF(SUMPRODUCT(-- ISNUMBER(SEARCH({"Formula","Roll-Up Summary"}, $B50))) &gt; 0,$B50 &amp; " (" &amp; $E50 &amp; ")",IF(SUMPRODUCT(-- ISNUMBER(SEARCH({"Content","Currency","Number","Percent","Text","URL"}, $B50))) &gt; 0,$B50 &amp; "(" &amp; $C50 &amp; ")",$B50)))), "  ", TRIM(IF($S50 = "YES", "(External ID)", "") &amp; " " &amp; IF(SUMPRODUCT(-- ISNUMBER(SEARCH({"Unique","Unique Case Insensitive"}, $R50))) &gt; 0, "(" &amp; $R50 &amp; ")", ""))))</f>
        <v>na</v>
      </c>
      <c r="E50" s="7" t="s">
        <v>195</v>
      </c>
      <c r="F50" s="7" t="s">
        <v>195</v>
      </c>
      <c r="G50" s="7" t="s">
        <v>195</v>
      </c>
      <c r="H50" s="7" t="s">
        <v>195</v>
      </c>
      <c r="I50" s="7" t="s">
        <v>195</v>
      </c>
      <c r="J50" s="7" t="s">
        <v>195</v>
      </c>
      <c r="K50" s="7" t="s">
        <v>195</v>
      </c>
      <c r="L50" s="7" t="s">
        <v>195</v>
      </c>
      <c r="M50" s="7" t="s">
        <v>29</v>
      </c>
      <c r="N50" s="7" t="s">
        <v>29</v>
      </c>
      <c r="O50" s="7" t="s">
        <v>29</v>
      </c>
      <c r="P50" s="7" t="s">
        <v>29</v>
      </c>
      <c r="Q50" s="7" t="s">
        <v>29</v>
      </c>
      <c r="R50" s="7" t="s">
        <v>29</v>
      </c>
      <c r="S50" s="7" t="s">
        <v>29</v>
      </c>
    </row>
    <row r="51" spans="2:19">
      <c r="B51" s="7" t="s">
        <v>195</v>
      </c>
      <c r="C51" s="8" t="s">
        <v>195</v>
      </c>
      <c r="D51" s="5" t="str">
        <f>LRTRIM(CONCATENATE(IF(SUMPRODUCT(-- ISNUMBER(SEARCH({"Auto Number"}, $B51))) &gt; 0, $B51, IF(SUMPRODUCT(-- ISNUMBER(SEARCH({"Lookup","Master-Detail"}, $B51))) &gt; 0,$B51 &amp; "(" &amp; $E51 &amp; ")",IF(SUMPRODUCT(-- ISNUMBER(SEARCH({"Formula","Roll-Up Summary"}, $B51))) &gt; 0,$B51 &amp; " (" &amp; $E51 &amp; ")",IF(SUMPRODUCT(-- ISNUMBER(SEARCH({"Content","Currency","Number","Percent","Text","URL"}, $B51))) &gt; 0,$B51 &amp; "(" &amp; $C51 &amp; ")",$B51)))), "  ", TRIM(IF($S51 = "YES", "(External ID)", "") &amp; " " &amp; IF(SUMPRODUCT(-- ISNUMBER(SEARCH({"Unique","Unique Case Insensitive"}, $R51))) &gt; 0, "(" &amp; $R51 &amp; ")", ""))))</f>
        <v>na</v>
      </c>
      <c r="E51" s="7" t="s">
        <v>195</v>
      </c>
      <c r="F51" s="7" t="s">
        <v>195</v>
      </c>
      <c r="G51" s="7" t="s">
        <v>195</v>
      </c>
      <c r="H51" s="7" t="s">
        <v>195</v>
      </c>
      <c r="I51" s="7" t="s">
        <v>195</v>
      </c>
      <c r="J51" s="7" t="s">
        <v>195</v>
      </c>
      <c r="K51" s="7" t="s">
        <v>195</v>
      </c>
      <c r="L51" s="7" t="s">
        <v>195</v>
      </c>
      <c r="M51" s="7" t="s">
        <v>29</v>
      </c>
      <c r="N51" s="7" t="s">
        <v>29</v>
      </c>
      <c r="O51" s="7" t="s">
        <v>29</v>
      </c>
      <c r="P51" s="7" t="s">
        <v>29</v>
      </c>
      <c r="Q51" s="7" t="s">
        <v>29</v>
      </c>
      <c r="R51" s="7" t="s">
        <v>29</v>
      </c>
      <c r="S51" s="7" t="s">
        <v>29</v>
      </c>
    </row>
    <row r="52" spans="2:19">
      <c r="B52" s="7" t="s">
        <v>195</v>
      </c>
      <c r="C52" s="8" t="s">
        <v>195</v>
      </c>
      <c r="D52" s="5" t="str">
        <f>LRTRIM(CONCATENATE(IF(SUMPRODUCT(-- ISNUMBER(SEARCH({"Auto Number"}, $B52))) &gt; 0, $B52, IF(SUMPRODUCT(-- ISNUMBER(SEARCH({"Lookup","Master-Detail"}, $B52))) &gt; 0,$B52 &amp; "(" &amp; $E52 &amp; ")",IF(SUMPRODUCT(-- ISNUMBER(SEARCH({"Formula","Roll-Up Summary"}, $B52))) &gt; 0,$B52 &amp; " (" &amp; $E52 &amp; ")",IF(SUMPRODUCT(-- ISNUMBER(SEARCH({"Content","Currency","Number","Percent","Text","URL"}, $B52))) &gt; 0,$B52 &amp; "(" &amp; $C52 &amp; ")",$B52)))), "  ", TRIM(IF($S52 = "YES", "(External ID)", "") &amp; " " &amp; IF(SUMPRODUCT(-- ISNUMBER(SEARCH({"Unique","Unique Case Insensitive"}, $R52))) &gt; 0, "(" &amp; $R52 &amp; ")", ""))))</f>
        <v>na</v>
      </c>
      <c r="E52" s="7" t="s">
        <v>195</v>
      </c>
      <c r="F52" s="7" t="s">
        <v>195</v>
      </c>
      <c r="G52" s="7" t="s">
        <v>195</v>
      </c>
      <c r="H52" s="7" t="s">
        <v>195</v>
      </c>
      <c r="I52" s="7" t="s">
        <v>195</v>
      </c>
      <c r="J52" s="7" t="s">
        <v>195</v>
      </c>
      <c r="K52" s="7" t="s">
        <v>195</v>
      </c>
      <c r="L52" s="7" t="s">
        <v>195</v>
      </c>
      <c r="M52" s="7" t="s">
        <v>29</v>
      </c>
      <c r="N52" s="7" t="s">
        <v>29</v>
      </c>
      <c r="O52" s="7" t="s">
        <v>29</v>
      </c>
      <c r="P52" s="7" t="s">
        <v>29</v>
      </c>
      <c r="Q52" s="7" t="s">
        <v>29</v>
      </c>
      <c r="R52" s="7" t="s">
        <v>29</v>
      </c>
      <c r="S52" s="7" t="s">
        <v>29</v>
      </c>
    </row>
    <row r="53" spans="2:19">
      <c r="B53" s="7" t="s">
        <v>195</v>
      </c>
      <c r="C53" s="8" t="s">
        <v>195</v>
      </c>
      <c r="D53" s="5" t="str">
        <f>LRTRIM(CONCATENATE(IF(SUMPRODUCT(-- ISNUMBER(SEARCH({"Auto Number"}, $B53))) &gt; 0, $B53, IF(SUMPRODUCT(-- ISNUMBER(SEARCH({"Lookup","Master-Detail"}, $B53))) &gt; 0,$B53 &amp; "(" &amp; $E53 &amp; ")",IF(SUMPRODUCT(-- ISNUMBER(SEARCH({"Formula","Roll-Up Summary"}, $B53))) &gt; 0,$B53 &amp; " (" &amp; $E53 &amp; ")",IF(SUMPRODUCT(-- ISNUMBER(SEARCH({"Content","Currency","Number","Percent","Text","URL"}, $B53))) &gt; 0,$B53 &amp; "(" &amp; $C53 &amp; ")",$B53)))), "  ", TRIM(IF($S53 = "YES", "(External ID)", "") &amp; " " &amp; IF(SUMPRODUCT(-- ISNUMBER(SEARCH({"Unique","Unique Case Insensitive"}, $R53))) &gt; 0, "(" &amp; $R53 &amp; ")", ""))))</f>
        <v>na</v>
      </c>
      <c r="E53" s="7" t="s">
        <v>195</v>
      </c>
      <c r="F53" s="7" t="s">
        <v>195</v>
      </c>
      <c r="G53" s="7" t="s">
        <v>195</v>
      </c>
      <c r="H53" s="7" t="s">
        <v>195</v>
      </c>
      <c r="I53" s="7" t="s">
        <v>195</v>
      </c>
      <c r="J53" s="7" t="s">
        <v>195</v>
      </c>
      <c r="K53" s="7" t="s">
        <v>195</v>
      </c>
      <c r="L53" s="7" t="s">
        <v>195</v>
      </c>
      <c r="M53" s="7" t="s">
        <v>29</v>
      </c>
      <c r="N53" s="7" t="s">
        <v>29</v>
      </c>
      <c r="O53" s="7" t="s">
        <v>29</v>
      </c>
      <c r="P53" s="7" t="s">
        <v>29</v>
      </c>
      <c r="Q53" s="7" t="s">
        <v>29</v>
      </c>
      <c r="R53" s="7" t="s">
        <v>29</v>
      </c>
      <c r="S53" s="7" t="s">
        <v>29</v>
      </c>
    </row>
    <row r="54" spans="2:19">
      <c r="B54" s="7" t="s">
        <v>195</v>
      </c>
      <c r="C54" s="8" t="s">
        <v>195</v>
      </c>
      <c r="D54" s="5" t="str">
        <f>LRTRIM(CONCATENATE(IF(SUMPRODUCT(-- ISNUMBER(SEARCH({"Auto Number"}, $B54))) &gt; 0, $B54, IF(SUMPRODUCT(-- ISNUMBER(SEARCH({"Lookup","Master-Detail"}, $B54))) &gt; 0,$B54 &amp; "(" &amp; $E54 &amp; ")",IF(SUMPRODUCT(-- ISNUMBER(SEARCH({"Formula","Roll-Up Summary"}, $B54))) &gt; 0,$B54 &amp; " (" &amp; $E54 &amp; ")",IF(SUMPRODUCT(-- ISNUMBER(SEARCH({"Content","Currency","Number","Percent","Text","URL"}, $B54))) &gt; 0,$B54 &amp; "(" &amp; $C54 &amp; ")",$B54)))), "  ", TRIM(IF($S54 = "YES", "(External ID)", "") &amp; " " &amp; IF(SUMPRODUCT(-- ISNUMBER(SEARCH({"Unique","Unique Case Insensitive"}, $R54))) &gt; 0, "(" &amp; $R54 &amp; ")", ""))))</f>
        <v>na</v>
      </c>
      <c r="E54" s="7" t="s">
        <v>195</v>
      </c>
      <c r="F54" s="7" t="s">
        <v>195</v>
      </c>
      <c r="G54" s="7" t="s">
        <v>195</v>
      </c>
      <c r="H54" s="7" t="s">
        <v>195</v>
      </c>
      <c r="I54" s="7" t="s">
        <v>195</v>
      </c>
      <c r="J54" s="7" t="s">
        <v>195</v>
      </c>
      <c r="K54" s="7" t="s">
        <v>195</v>
      </c>
      <c r="L54" s="7" t="s">
        <v>195</v>
      </c>
      <c r="M54" s="7" t="s">
        <v>29</v>
      </c>
      <c r="N54" s="7" t="s">
        <v>29</v>
      </c>
      <c r="O54" s="7" t="s">
        <v>29</v>
      </c>
      <c r="P54" s="7" t="s">
        <v>29</v>
      </c>
      <c r="Q54" s="7" t="s">
        <v>29</v>
      </c>
      <c r="R54" s="7" t="s">
        <v>29</v>
      </c>
      <c r="S54" s="7" t="s">
        <v>29</v>
      </c>
    </row>
    <row r="55" spans="2:19">
      <c r="B55" s="7" t="s">
        <v>195</v>
      </c>
      <c r="C55" s="8" t="s">
        <v>195</v>
      </c>
      <c r="D55" s="5" t="str">
        <f>LRTRIM(CONCATENATE(IF(SUMPRODUCT(-- ISNUMBER(SEARCH({"Auto Number"}, $B55))) &gt; 0, $B55, IF(SUMPRODUCT(-- ISNUMBER(SEARCH({"Lookup","Master-Detail"}, $B55))) &gt; 0,$B55 &amp; "(" &amp; $E55 &amp; ")",IF(SUMPRODUCT(-- ISNUMBER(SEARCH({"Formula","Roll-Up Summary"}, $B55))) &gt; 0,$B55 &amp; " (" &amp; $E55 &amp; ")",IF(SUMPRODUCT(-- ISNUMBER(SEARCH({"Content","Currency","Number","Percent","Text","URL"}, $B55))) &gt; 0,$B55 &amp; "(" &amp; $C55 &amp; ")",$B55)))), "  ", TRIM(IF($S55 = "YES", "(External ID)", "") &amp; " " &amp; IF(SUMPRODUCT(-- ISNUMBER(SEARCH({"Unique","Unique Case Insensitive"}, $R55))) &gt; 0, "(" &amp; $R55 &amp; ")", ""))))</f>
        <v>na</v>
      </c>
      <c r="E55" s="7" t="s">
        <v>195</v>
      </c>
      <c r="F55" s="7" t="s">
        <v>195</v>
      </c>
      <c r="G55" s="7" t="s">
        <v>195</v>
      </c>
      <c r="H55" s="7" t="s">
        <v>195</v>
      </c>
      <c r="I55" s="7" t="s">
        <v>195</v>
      </c>
      <c r="J55" s="7" t="s">
        <v>195</v>
      </c>
      <c r="K55" s="7" t="s">
        <v>195</v>
      </c>
      <c r="L55" s="7" t="s">
        <v>195</v>
      </c>
      <c r="M55" s="7" t="s">
        <v>29</v>
      </c>
      <c r="N55" s="7" t="s">
        <v>29</v>
      </c>
      <c r="O55" s="7" t="s">
        <v>29</v>
      </c>
      <c r="P55" s="7" t="s">
        <v>29</v>
      </c>
      <c r="Q55" s="7" t="s">
        <v>29</v>
      </c>
      <c r="R55" s="7" t="s">
        <v>29</v>
      </c>
      <c r="S55" s="7" t="s">
        <v>29</v>
      </c>
    </row>
    <row r="56" spans="2:19">
      <c r="B56" s="7" t="s">
        <v>195</v>
      </c>
      <c r="C56" s="8" t="s">
        <v>195</v>
      </c>
      <c r="D56" s="5" t="str">
        <f>LRTRIM(CONCATENATE(IF(SUMPRODUCT(-- ISNUMBER(SEARCH({"Auto Number"}, $B56))) &gt; 0, $B56, IF(SUMPRODUCT(-- ISNUMBER(SEARCH({"Lookup","Master-Detail"}, $B56))) &gt; 0,$B56 &amp; "(" &amp; $E56 &amp; ")",IF(SUMPRODUCT(-- ISNUMBER(SEARCH({"Formula","Roll-Up Summary"}, $B56))) &gt; 0,$B56 &amp; " (" &amp; $E56 &amp; ")",IF(SUMPRODUCT(-- ISNUMBER(SEARCH({"Content","Currency","Number","Percent","Text","URL"}, $B56))) &gt; 0,$B56 &amp; "(" &amp; $C56 &amp; ")",$B56)))), "  ", TRIM(IF($S56 = "YES", "(External ID)", "") &amp; " " &amp; IF(SUMPRODUCT(-- ISNUMBER(SEARCH({"Unique","Unique Case Insensitive"}, $R56))) &gt; 0, "(" &amp; $R56 &amp; ")", ""))))</f>
        <v>na</v>
      </c>
      <c r="E56" s="7" t="s">
        <v>195</v>
      </c>
      <c r="F56" s="7" t="s">
        <v>195</v>
      </c>
      <c r="G56" s="7" t="s">
        <v>195</v>
      </c>
      <c r="H56" s="7" t="s">
        <v>195</v>
      </c>
      <c r="I56" s="7" t="s">
        <v>195</v>
      </c>
      <c r="J56" s="7" t="s">
        <v>195</v>
      </c>
      <c r="K56" s="7" t="s">
        <v>195</v>
      </c>
      <c r="L56" s="7" t="s">
        <v>195</v>
      </c>
      <c r="M56" s="7" t="s">
        <v>29</v>
      </c>
      <c r="N56" s="7" t="s">
        <v>29</v>
      </c>
      <c r="O56" s="7" t="s">
        <v>29</v>
      </c>
      <c r="P56" s="7" t="s">
        <v>29</v>
      </c>
      <c r="Q56" s="7" t="s">
        <v>29</v>
      </c>
      <c r="R56" s="7" t="s">
        <v>29</v>
      </c>
      <c r="S56" s="7" t="s">
        <v>29</v>
      </c>
    </row>
    <row r="57" spans="2:19">
      <c r="B57" s="7" t="s">
        <v>195</v>
      </c>
      <c r="C57" s="8" t="s">
        <v>195</v>
      </c>
      <c r="D57" s="5" t="str">
        <f>LRTRIM(CONCATENATE(IF(SUMPRODUCT(-- ISNUMBER(SEARCH({"Auto Number"}, $B57))) &gt; 0, $B57, IF(SUMPRODUCT(-- ISNUMBER(SEARCH({"Lookup","Master-Detail"}, $B57))) &gt; 0,$B57 &amp; "(" &amp; $E57 &amp; ")",IF(SUMPRODUCT(-- ISNUMBER(SEARCH({"Formula","Roll-Up Summary"}, $B57))) &gt; 0,$B57 &amp; " (" &amp; $E57 &amp; ")",IF(SUMPRODUCT(-- ISNUMBER(SEARCH({"Content","Currency","Number","Percent","Text","URL"}, $B57))) &gt; 0,$B57 &amp; "(" &amp; $C57 &amp; ")",$B57)))), "  ", TRIM(IF($S57 = "YES", "(External ID)", "") &amp; " " &amp; IF(SUMPRODUCT(-- ISNUMBER(SEARCH({"Unique","Unique Case Insensitive"}, $R57))) &gt; 0, "(" &amp; $R57 &amp; ")", ""))))</f>
        <v>na</v>
      </c>
      <c r="E57" s="7" t="s">
        <v>195</v>
      </c>
      <c r="F57" s="7" t="s">
        <v>195</v>
      </c>
      <c r="G57" s="7" t="s">
        <v>195</v>
      </c>
      <c r="H57" s="7" t="s">
        <v>195</v>
      </c>
      <c r="I57" s="7" t="s">
        <v>195</v>
      </c>
      <c r="J57" s="7" t="s">
        <v>195</v>
      </c>
      <c r="K57" s="7" t="s">
        <v>195</v>
      </c>
      <c r="L57" s="7" t="s">
        <v>195</v>
      </c>
      <c r="M57" s="7" t="s">
        <v>29</v>
      </c>
      <c r="N57" s="7" t="s">
        <v>29</v>
      </c>
      <c r="O57" s="7" t="s">
        <v>29</v>
      </c>
      <c r="P57" s="7" t="s">
        <v>29</v>
      </c>
      <c r="Q57" s="7" t="s">
        <v>29</v>
      </c>
      <c r="R57" s="7" t="s">
        <v>29</v>
      </c>
      <c r="S57" s="7" t="s">
        <v>29</v>
      </c>
    </row>
    <row r="58" spans="2:19">
      <c r="B58" s="7" t="s">
        <v>195</v>
      </c>
      <c r="C58" s="8" t="s">
        <v>195</v>
      </c>
      <c r="D58" s="5" t="str">
        <f>LRTRIM(CONCATENATE(IF(SUMPRODUCT(-- ISNUMBER(SEARCH({"Auto Number"}, $B58))) &gt; 0, $B58, IF(SUMPRODUCT(-- ISNUMBER(SEARCH({"Lookup","Master-Detail"}, $B58))) &gt; 0,$B58 &amp; "(" &amp; $E58 &amp; ")",IF(SUMPRODUCT(-- ISNUMBER(SEARCH({"Formula","Roll-Up Summary"}, $B58))) &gt; 0,$B58 &amp; " (" &amp; $E58 &amp; ")",IF(SUMPRODUCT(-- ISNUMBER(SEARCH({"Content","Currency","Number","Percent","Text","URL"}, $B58))) &gt; 0,$B58 &amp; "(" &amp; $C58 &amp; ")",$B58)))), "  ", TRIM(IF($S58 = "YES", "(External ID)", "") &amp; " " &amp; IF(SUMPRODUCT(-- ISNUMBER(SEARCH({"Unique","Unique Case Insensitive"}, $R58))) &gt; 0, "(" &amp; $R58 &amp; ")", ""))))</f>
        <v>na</v>
      </c>
      <c r="E58" s="7" t="s">
        <v>195</v>
      </c>
      <c r="F58" s="7" t="s">
        <v>195</v>
      </c>
      <c r="G58" s="7" t="s">
        <v>195</v>
      </c>
      <c r="H58" s="7" t="s">
        <v>195</v>
      </c>
      <c r="I58" s="7" t="s">
        <v>195</v>
      </c>
      <c r="J58" s="7" t="s">
        <v>195</v>
      </c>
      <c r="K58" s="7" t="s">
        <v>195</v>
      </c>
      <c r="L58" s="7" t="s">
        <v>195</v>
      </c>
      <c r="M58" s="7" t="s">
        <v>29</v>
      </c>
      <c r="N58" s="7" t="s">
        <v>29</v>
      </c>
      <c r="O58" s="7" t="s">
        <v>29</v>
      </c>
      <c r="P58" s="7" t="s">
        <v>29</v>
      </c>
      <c r="Q58" s="7" t="s">
        <v>29</v>
      </c>
      <c r="R58" s="7" t="s">
        <v>29</v>
      </c>
      <c r="S58" s="7" t="s">
        <v>29</v>
      </c>
    </row>
    <row r="59" spans="2:19">
      <c r="B59" s="7" t="s">
        <v>195</v>
      </c>
      <c r="C59" s="8" t="s">
        <v>195</v>
      </c>
      <c r="D59" s="5" t="str">
        <f>LRTRIM(CONCATENATE(IF(SUMPRODUCT(-- ISNUMBER(SEARCH({"Auto Number"}, $B59))) &gt; 0, $B59, IF(SUMPRODUCT(-- ISNUMBER(SEARCH({"Lookup","Master-Detail"}, $B59))) &gt; 0,$B59 &amp; "(" &amp; $E59 &amp; ")",IF(SUMPRODUCT(-- ISNUMBER(SEARCH({"Formula","Roll-Up Summary"}, $B59))) &gt; 0,$B59 &amp; " (" &amp; $E59 &amp; ")",IF(SUMPRODUCT(-- ISNUMBER(SEARCH({"Content","Currency","Number","Percent","Text","URL"}, $B59))) &gt; 0,$B59 &amp; "(" &amp; $C59 &amp; ")",$B59)))), "  ", TRIM(IF($S59 = "YES", "(External ID)", "") &amp; " " &amp; IF(SUMPRODUCT(-- ISNUMBER(SEARCH({"Unique","Unique Case Insensitive"}, $R59))) &gt; 0, "(" &amp; $R59 &amp; ")", ""))))</f>
        <v>na</v>
      </c>
      <c r="E59" s="7" t="s">
        <v>195</v>
      </c>
      <c r="F59" s="7" t="s">
        <v>195</v>
      </c>
      <c r="G59" s="7" t="s">
        <v>195</v>
      </c>
      <c r="H59" s="7" t="s">
        <v>195</v>
      </c>
      <c r="I59" s="7" t="s">
        <v>195</v>
      </c>
      <c r="J59" s="7" t="s">
        <v>195</v>
      </c>
      <c r="K59" s="7" t="s">
        <v>195</v>
      </c>
      <c r="L59" s="7" t="s">
        <v>195</v>
      </c>
      <c r="M59" s="7" t="s">
        <v>29</v>
      </c>
      <c r="N59" s="7" t="s">
        <v>29</v>
      </c>
      <c r="O59" s="7" t="s">
        <v>29</v>
      </c>
      <c r="P59" s="7" t="s">
        <v>29</v>
      </c>
      <c r="Q59" s="7" t="s">
        <v>29</v>
      </c>
      <c r="R59" s="7" t="s">
        <v>29</v>
      </c>
      <c r="S59" s="7" t="s">
        <v>29</v>
      </c>
    </row>
    <row r="60" spans="2:19">
      <c r="B60" s="7" t="s">
        <v>195</v>
      </c>
      <c r="C60" s="8" t="s">
        <v>195</v>
      </c>
      <c r="D60" s="5" t="str">
        <f>LRTRIM(CONCATENATE(IF(SUMPRODUCT(-- ISNUMBER(SEARCH({"Auto Number"}, $B60))) &gt; 0, $B60, IF(SUMPRODUCT(-- ISNUMBER(SEARCH({"Lookup","Master-Detail"}, $B60))) &gt; 0,$B60 &amp; "(" &amp; $E60 &amp; ")",IF(SUMPRODUCT(-- ISNUMBER(SEARCH({"Formula","Roll-Up Summary"}, $B60))) &gt; 0,$B60 &amp; " (" &amp; $E60 &amp; ")",IF(SUMPRODUCT(-- ISNUMBER(SEARCH({"Content","Currency","Number","Percent","Text","URL"}, $B60))) &gt; 0,$B60 &amp; "(" &amp; $C60 &amp; ")",$B60)))), "  ", TRIM(IF($S60 = "YES", "(External ID)", "") &amp; " " &amp; IF(SUMPRODUCT(-- ISNUMBER(SEARCH({"Unique","Unique Case Insensitive"}, $R60))) &gt; 0, "(" &amp; $R60 &amp; ")", ""))))</f>
        <v>na</v>
      </c>
      <c r="E60" s="7" t="s">
        <v>195</v>
      </c>
      <c r="F60" s="7" t="s">
        <v>195</v>
      </c>
      <c r="G60" s="7" t="s">
        <v>195</v>
      </c>
      <c r="H60" s="7" t="s">
        <v>195</v>
      </c>
      <c r="I60" s="7" t="s">
        <v>195</v>
      </c>
      <c r="J60" s="7" t="s">
        <v>195</v>
      </c>
      <c r="K60" s="7" t="s">
        <v>195</v>
      </c>
      <c r="L60" s="7" t="s">
        <v>195</v>
      </c>
      <c r="M60" s="7" t="s">
        <v>29</v>
      </c>
      <c r="N60" s="7" t="s">
        <v>29</v>
      </c>
      <c r="O60" s="7" t="s">
        <v>29</v>
      </c>
      <c r="P60" s="7" t="s">
        <v>29</v>
      </c>
      <c r="Q60" s="7" t="s">
        <v>29</v>
      </c>
      <c r="R60" s="7" t="s">
        <v>29</v>
      </c>
      <c r="S60" s="7" t="s">
        <v>29</v>
      </c>
    </row>
    <row r="61" spans="2:19">
      <c r="B61" s="7" t="s">
        <v>195</v>
      </c>
      <c r="C61" s="8" t="s">
        <v>195</v>
      </c>
      <c r="D61" s="5" t="str">
        <f>LRTRIM(CONCATENATE(IF(SUMPRODUCT(-- ISNUMBER(SEARCH({"Auto Number"}, $B61))) &gt; 0, $B61, IF(SUMPRODUCT(-- ISNUMBER(SEARCH({"Lookup","Master-Detail"}, $B61))) &gt; 0,$B61 &amp; "(" &amp; $E61 &amp; ")",IF(SUMPRODUCT(-- ISNUMBER(SEARCH({"Formula","Roll-Up Summary"}, $B61))) &gt; 0,$B61 &amp; " (" &amp; $E61 &amp; ")",IF(SUMPRODUCT(-- ISNUMBER(SEARCH({"Content","Currency","Number","Percent","Text","URL"}, $B61))) &gt; 0,$B61 &amp; "(" &amp; $C61 &amp; ")",$B61)))), "  ", TRIM(IF($S61 = "YES", "(External ID)", "") &amp; " " &amp; IF(SUMPRODUCT(-- ISNUMBER(SEARCH({"Unique","Unique Case Insensitive"}, $R61))) &gt; 0, "(" &amp; $R61 &amp; ")", ""))))</f>
        <v>na</v>
      </c>
      <c r="E61" s="7" t="s">
        <v>195</v>
      </c>
      <c r="F61" s="7" t="s">
        <v>195</v>
      </c>
      <c r="G61" s="7" t="s">
        <v>195</v>
      </c>
      <c r="H61" s="7" t="s">
        <v>195</v>
      </c>
      <c r="I61" s="7" t="s">
        <v>195</v>
      </c>
      <c r="J61" s="7" t="s">
        <v>195</v>
      </c>
      <c r="K61" s="7" t="s">
        <v>195</v>
      </c>
      <c r="L61" s="7" t="s">
        <v>195</v>
      </c>
      <c r="M61" s="7" t="s">
        <v>29</v>
      </c>
      <c r="N61" s="7" t="s">
        <v>29</v>
      </c>
      <c r="O61" s="7" t="s">
        <v>29</v>
      </c>
      <c r="P61" s="7" t="s">
        <v>29</v>
      </c>
      <c r="Q61" s="7" t="s">
        <v>29</v>
      </c>
      <c r="R61" s="7" t="s">
        <v>29</v>
      </c>
      <c r="S61" s="7" t="s">
        <v>29</v>
      </c>
    </row>
    <row r="62" spans="2:19">
      <c r="B62" s="7" t="s">
        <v>195</v>
      </c>
      <c r="C62" s="8" t="s">
        <v>195</v>
      </c>
      <c r="D62" s="5" t="str">
        <f>LRTRIM(CONCATENATE(IF(SUMPRODUCT(-- ISNUMBER(SEARCH({"Auto Number"}, $B62))) &gt; 0, $B62, IF(SUMPRODUCT(-- ISNUMBER(SEARCH({"Lookup","Master-Detail"}, $B62))) &gt; 0,$B62 &amp; "(" &amp; $E62 &amp; ")",IF(SUMPRODUCT(-- ISNUMBER(SEARCH({"Formula","Roll-Up Summary"}, $B62))) &gt; 0,$B62 &amp; " (" &amp; $E62 &amp; ")",IF(SUMPRODUCT(-- ISNUMBER(SEARCH({"Content","Currency","Number","Percent","Text","URL"}, $B62))) &gt; 0,$B62 &amp; "(" &amp; $C62 &amp; ")",$B62)))), "  ", TRIM(IF($S62 = "YES", "(External ID)", "") &amp; " " &amp; IF(SUMPRODUCT(-- ISNUMBER(SEARCH({"Unique","Unique Case Insensitive"}, $R62))) &gt; 0, "(" &amp; $R62 &amp; ")", ""))))</f>
        <v>na</v>
      </c>
      <c r="E62" s="7" t="s">
        <v>195</v>
      </c>
      <c r="F62" s="7" t="s">
        <v>195</v>
      </c>
      <c r="G62" s="7" t="s">
        <v>195</v>
      </c>
      <c r="H62" s="7" t="s">
        <v>195</v>
      </c>
      <c r="I62" s="7" t="s">
        <v>195</v>
      </c>
      <c r="J62" s="7" t="s">
        <v>195</v>
      </c>
      <c r="K62" s="7" t="s">
        <v>195</v>
      </c>
      <c r="L62" s="7" t="s">
        <v>195</v>
      </c>
      <c r="M62" s="7" t="s">
        <v>29</v>
      </c>
      <c r="N62" s="7" t="s">
        <v>29</v>
      </c>
      <c r="O62" s="7" t="s">
        <v>29</v>
      </c>
      <c r="P62" s="7" t="s">
        <v>29</v>
      </c>
      <c r="Q62" s="7" t="s">
        <v>29</v>
      </c>
      <c r="R62" s="7" t="s">
        <v>29</v>
      </c>
      <c r="S62" s="7" t="s">
        <v>29</v>
      </c>
    </row>
    <row r="63" spans="2:19">
      <c r="B63" s="7" t="s">
        <v>195</v>
      </c>
      <c r="C63" s="8" t="s">
        <v>195</v>
      </c>
      <c r="D63" s="5" t="str">
        <f>LRTRIM(CONCATENATE(IF(SUMPRODUCT(-- ISNUMBER(SEARCH({"Auto Number"}, $B63))) &gt; 0, $B63, IF(SUMPRODUCT(-- ISNUMBER(SEARCH({"Lookup","Master-Detail"}, $B63))) &gt; 0,$B63 &amp; "(" &amp; $E63 &amp; ")",IF(SUMPRODUCT(-- ISNUMBER(SEARCH({"Formula","Roll-Up Summary"}, $B63))) &gt; 0,$B63 &amp; " (" &amp; $E63 &amp; ")",IF(SUMPRODUCT(-- ISNUMBER(SEARCH({"Content","Currency","Number","Percent","Text","URL"}, $B63))) &gt; 0,$B63 &amp; "(" &amp; $C63 &amp; ")",$B63)))), "  ", TRIM(IF($S63 = "YES", "(External ID)", "") &amp; " " &amp; IF(SUMPRODUCT(-- ISNUMBER(SEARCH({"Unique","Unique Case Insensitive"}, $R63))) &gt; 0, "(" &amp; $R63 &amp; ")", ""))))</f>
        <v>na</v>
      </c>
      <c r="E63" s="7" t="s">
        <v>195</v>
      </c>
      <c r="F63" s="7" t="s">
        <v>195</v>
      </c>
      <c r="G63" s="7" t="s">
        <v>195</v>
      </c>
      <c r="H63" s="7" t="s">
        <v>195</v>
      </c>
      <c r="I63" s="7" t="s">
        <v>195</v>
      </c>
      <c r="J63" s="7" t="s">
        <v>195</v>
      </c>
      <c r="K63" s="7" t="s">
        <v>195</v>
      </c>
      <c r="L63" s="7" t="s">
        <v>195</v>
      </c>
      <c r="M63" s="7" t="s">
        <v>29</v>
      </c>
      <c r="N63" s="7" t="s">
        <v>29</v>
      </c>
      <c r="O63" s="7" t="s">
        <v>29</v>
      </c>
      <c r="P63" s="7" t="s">
        <v>29</v>
      </c>
      <c r="Q63" s="7" t="s">
        <v>29</v>
      </c>
      <c r="R63" s="7" t="s">
        <v>29</v>
      </c>
      <c r="S63" s="7" t="s">
        <v>29</v>
      </c>
    </row>
    <row r="64" spans="2:19">
      <c r="B64" s="7" t="s">
        <v>195</v>
      </c>
      <c r="C64" s="8" t="s">
        <v>195</v>
      </c>
      <c r="D64" s="5" t="str">
        <f>LRTRIM(CONCATENATE(IF(SUMPRODUCT(-- ISNUMBER(SEARCH({"Auto Number"}, $B64))) &gt; 0, $B64, IF(SUMPRODUCT(-- ISNUMBER(SEARCH({"Lookup","Master-Detail"}, $B64))) &gt; 0,$B64 &amp; "(" &amp; $E64 &amp; ")",IF(SUMPRODUCT(-- ISNUMBER(SEARCH({"Formula","Roll-Up Summary"}, $B64))) &gt; 0,$B64 &amp; " (" &amp; $E64 &amp; ")",IF(SUMPRODUCT(-- ISNUMBER(SEARCH({"Content","Currency","Number","Percent","Text","URL"}, $B64))) &gt; 0,$B64 &amp; "(" &amp; $C64 &amp; ")",$B64)))), "  ", TRIM(IF($S64 = "YES", "(External ID)", "") &amp; " " &amp; IF(SUMPRODUCT(-- ISNUMBER(SEARCH({"Unique","Unique Case Insensitive"}, $R64))) &gt; 0, "(" &amp; $R64 &amp; ")", ""))))</f>
        <v>na</v>
      </c>
      <c r="E64" s="7" t="s">
        <v>195</v>
      </c>
      <c r="F64" s="7" t="s">
        <v>195</v>
      </c>
      <c r="G64" s="7" t="s">
        <v>195</v>
      </c>
      <c r="H64" s="7" t="s">
        <v>195</v>
      </c>
      <c r="I64" s="7" t="s">
        <v>195</v>
      </c>
      <c r="J64" s="7" t="s">
        <v>195</v>
      </c>
      <c r="K64" s="7" t="s">
        <v>195</v>
      </c>
      <c r="L64" s="7" t="s">
        <v>195</v>
      </c>
      <c r="M64" s="7" t="s">
        <v>29</v>
      </c>
      <c r="N64" s="7" t="s">
        <v>29</v>
      </c>
      <c r="O64" s="7" t="s">
        <v>29</v>
      </c>
      <c r="P64" s="7" t="s">
        <v>29</v>
      </c>
      <c r="Q64" s="7" t="s">
        <v>29</v>
      </c>
      <c r="R64" s="7" t="s">
        <v>29</v>
      </c>
      <c r="S64" s="7" t="s">
        <v>29</v>
      </c>
    </row>
    <row r="65" spans="2:19">
      <c r="B65" s="7" t="s">
        <v>195</v>
      </c>
      <c r="C65" s="8" t="s">
        <v>195</v>
      </c>
      <c r="D65" s="5" t="str">
        <f>LRTRIM(CONCATENATE(IF(SUMPRODUCT(-- ISNUMBER(SEARCH({"Auto Number"}, $B65))) &gt; 0, $B65, IF(SUMPRODUCT(-- ISNUMBER(SEARCH({"Lookup","Master-Detail"}, $B65))) &gt; 0,$B65 &amp; "(" &amp; $E65 &amp; ")",IF(SUMPRODUCT(-- ISNUMBER(SEARCH({"Formula","Roll-Up Summary"}, $B65))) &gt; 0,$B65 &amp; " (" &amp; $E65 &amp; ")",IF(SUMPRODUCT(-- ISNUMBER(SEARCH({"Content","Currency","Number","Percent","Text","URL"}, $B65))) &gt; 0,$B65 &amp; "(" &amp; $C65 &amp; ")",$B65)))), "  ", TRIM(IF($S65 = "YES", "(External ID)", "") &amp; " " &amp; IF(SUMPRODUCT(-- ISNUMBER(SEARCH({"Unique","Unique Case Insensitive"}, $R65))) &gt; 0, "(" &amp; $R65 &amp; ")", ""))))</f>
        <v>na</v>
      </c>
      <c r="E65" s="7" t="s">
        <v>195</v>
      </c>
      <c r="F65" s="7" t="s">
        <v>195</v>
      </c>
      <c r="G65" s="7" t="s">
        <v>195</v>
      </c>
      <c r="H65" s="7" t="s">
        <v>195</v>
      </c>
      <c r="I65" s="7" t="s">
        <v>195</v>
      </c>
      <c r="J65" s="7" t="s">
        <v>195</v>
      </c>
      <c r="K65" s="7" t="s">
        <v>195</v>
      </c>
      <c r="L65" s="7" t="s">
        <v>195</v>
      </c>
      <c r="M65" s="7" t="s">
        <v>29</v>
      </c>
      <c r="N65" s="7" t="s">
        <v>29</v>
      </c>
      <c r="O65" s="7" t="s">
        <v>29</v>
      </c>
      <c r="P65" s="7" t="s">
        <v>29</v>
      </c>
      <c r="Q65" s="7" t="s">
        <v>29</v>
      </c>
      <c r="R65" s="7" t="s">
        <v>29</v>
      </c>
      <c r="S65" s="7" t="s">
        <v>29</v>
      </c>
    </row>
    <row r="66" spans="2:19">
      <c r="B66" s="7" t="s">
        <v>195</v>
      </c>
      <c r="C66" s="8" t="s">
        <v>195</v>
      </c>
      <c r="D66" s="5" t="str">
        <f>LRTRIM(CONCATENATE(IF(SUMPRODUCT(-- ISNUMBER(SEARCH({"Auto Number"}, $B66))) &gt; 0, $B66, IF(SUMPRODUCT(-- ISNUMBER(SEARCH({"Lookup","Master-Detail"}, $B66))) &gt; 0,$B66 &amp; "(" &amp; $E66 &amp; ")",IF(SUMPRODUCT(-- ISNUMBER(SEARCH({"Formula","Roll-Up Summary"}, $B66))) &gt; 0,$B66 &amp; " (" &amp; $E66 &amp; ")",IF(SUMPRODUCT(-- ISNUMBER(SEARCH({"Content","Currency","Number","Percent","Text","URL"}, $B66))) &gt; 0,$B66 &amp; "(" &amp; $C66 &amp; ")",$B66)))), "  ", TRIM(IF($S66 = "YES", "(External ID)", "") &amp; " " &amp; IF(SUMPRODUCT(-- ISNUMBER(SEARCH({"Unique","Unique Case Insensitive"}, $R66))) &gt; 0, "(" &amp; $R66 &amp; ")", ""))))</f>
        <v>na</v>
      </c>
      <c r="E66" s="7" t="s">
        <v>195</v>
      </c>
      <c r="F66" s="7" t="s">
        <v>195</v>
      </c>
      <c r="G66" s="7" t="s">
        <v>195</v>
      </c>
      <c r="H66" s="7" t="s">
        <v>195</v>
      </c>
      <c r="I66" s="7" t="s">
        <v>195</v>
      </c>
      <c r="J66" s="7" t="s">
        <v>195</v>
      </c>
      <c r="K66" s="7" t="s">
        <v>195</v>
      </c>
      <c r="L66" s="7" t="s">
        <v>195</v>
      </c>
      <c r="M66" s="7" t="s">
        <v>29</v>
      </c>
      <c r="N66" s="7" t="s">
        <v>29</v>
      </c>
      <c r="O66" s="7" t="s">
        <v>29</v>
      </c>
      <c r="P66" s="7" t="s">
        <v>29</v>
      </c>
      <c r="Q66" s="7" t="s">
        <v>29</v>
      </c>
      <c r="R66" s="7" t="s">
        <v>29</v>
      </c>
      <c r="S66" s="7" t="s">
        <v>29</v>
      </c>
    </row>
    <row r="67" spans="2:19">
      <c r="B67" s="7" t="s">
        <v>195</v>
      </c>
      <c r="C67" s="8" t="s">
        <v>195</v>
      </c>
      <c r="D67" s="5" t="str">
        <f>LRTRIM(CONCATENATE(IF(SUMPRODUCT(-- ISNUMBER(SEARCH({"Auto Number"}, $B67))) &gt; 0, $B67, IF(SUMPRODUCT(-- ISNUMBER(SEARCH({"Lookup","Master-Detail"}, $B67))) &gt; 0,$B67 &amp; "(" &amp; $E67 &amp; ")",IF(SUMPRODUCT(-- ISNUMBER(SEARCH({"Formula","Roll-Up Summary"}, $B67))) &gt; 0,$B67 &amp; " (" &amp; $E67 &amp; ")",IF(SUMPRODUCT(-- ISNUMBER(SEARCH({"Content","Currency","Number","Percent","Text","URL"}, $B67))) &gt; 0,$B67 &amp; "(" &amp; $C67 &amp; ")",$B67)))), "  ", TRIM(IF($S67 = "YES", "(External ID)", "") &amp; " " &amp; IF(SUMPRODUCT(-- ISNUMBER(SEARCH({"Unique","Unique Case Insensitive"}, $R67))) &gt; 0, "(" &amp; $R67 &amp; ")", ""))))</f>
        <v>na</v>
      </c>
      <c r="E67" s="7" t="s">
        <v>195</v>
      </c>
      <c r="F67" s="7" t="s">
        <v>195</v>
      </c>
      <c r="G67" s="7" t="s">
        <v>195</v>
      </c>
      <c r="H67" s="7" t="s">
        <v>195</v>
      </c>
      <c r="I67" s="7" t="s">
        <v>195</v>
      </c>
      <c r="J67" s="7" t="s">
        <v>195</v>
      </c>
      <c r="K67" s="7" t="s">
        <v>195</v>
      </c>
      <c r="L67" s="7" t="s">
        <v>195</v>
      </c>
      <c r="M67" s="7" t="s">
        <v>29</v>
      </c>
      <c r="N67" s="7" t="s">
        <v>29</v>
      </c>
      <c r="O67" s="7" t="s">
        <v>29</v>
      </c>
      <c r="P67" s="7" t="s">
        <v>29</v>
      </c>
      <c r="Q67" s="7" t="s">
        <v>29</v>
      </c>
      <c r="R67" s="7" t="s">
        <v>29</v>
      </c>
      <c r="S67" s="7" t="s">
        <v>29</v>
      </c>
    </row>
    <row r="68" spans="2:19">
      <c r="B68" s="7" t="s">
        <v>195</v>
      </c>
      <c r="C68" s="8" t="s">
        <v>195</v>
      </c>
      <c r="D68" s="5" t="str">
        <f>LRTRIM(CONCATENATE(IF(SUMPRODUCT(-- ISNUMBER(SEARCH({"Auto Number"}, $B68))) &gt; 0, $B68, IF(SUMPRODUCT(-- ISNUMBER(SEARCH({"Lookup","Master-Detail"}, $B68))) &gt; 0,$B68 &amp; "(" &amp; $E68 &amp; ")",IF(SUMPRODUCT(-- ISNUMBER(SEARCH({"Formula","Roll-Up Summary"}, $B68))) &gt; 0,$B68 &amp; " (" &amp; $E68 &amp; ")",IF(SUMPRODUCT(-- ISNUMBER(SEARCH({"Content","Currency","Number","Percent","Text","URL"}, $B68))) &gt; 0,$B68 &amp; "(" &amp; $C68 &amp; ")",$B68)))), "  ", TRIM(IF($S68 = "YES", "(External ID)", "") &amp; " " &amp; IF(SUMPRODUCT(-- ISNUMBER(SEARCH({"Unique","Unique Case Insensitive"}, $R68))) &gt; 0, "(" &amp; $R68 &amp; ")", ""))))</f>
        <v>na</v>
      </c>
      <c r="E68" s="7" t="s">
        <v>195</v>
      </c>
      <c r="F68" s="7" t="s">
        <v>195</v>
      </c>
      <c r="G68" s="7" t="s">
        <v>195</v>
      </c>
      <c r="H68" s="7" t="s">
        <v>195</v>
      </c>
      <c r="I68" s="7" t="s">
        <v>195</v>
      </c>
      <c r="J68" s="7" t="s">
        <v>195</v>
      </c>
      <c r="K68" s="7" t="s">
        <v>195</v>
      </c>
      <c r="L68" s="7" t="s">
        <v>195</v>
      </c>
      <c r="M68" s="7" t="s">
        <v>29</v>
      </c>
      <c r="N68" s="7" t="s">
        <v>29</v>
      </c>
      <c r="O68" s="7" t="s">
        <v>29</v>
      </c>
      <c r="P68" s="7" t="s">
        <v>29</v>
      </c>
      <c r="Q68" s="7" t="s">
        <v>29</v>
      </c>
      <c r="R68" s="7" t="s">
        <v>29</v>
      </c>
      <c r="S68" s="7" t="s">
        <v>29</v>
      </c>
    </row>
    <row r="69" spans="2:19">
      <c r="B69" s="7" t="s">
        <v>195</v>
      </c>
      <c r="C69" s="8" t="s">
        <v>195</v>
      </c>
      <c r="D69" s="5" t="str">
        <f>LRTRIM(CONCATENATE(IF(SUMPRODUCT(-- ISNUMBER(SEARCH({"Auto Number"}, $B69))) &gt; 0, $B69, IF(SUMPRODUCT(-- ISNUMBER(SEARCH({"Lookup","Master-Detail"}, $B69))) &gt; 0,$B69 &amp; "(" &amp; $E69 &amp; ")",IF(SUMPRODUCT(-- ISNUMBER(SEARCH({"Formula","Roll-Up Summary"}, $B69))) &gt; 0,$B69 &amp; " (" &amp; $E69 &amp; ")",IF(SUMPRODUCT(-- ISNUMBER(SEARCH({"Content","Currency","Number","Percent","Text","URL"}, $B69))) &gt; 0,$B69 &amp; "(" &amp; $C69 &amp; ")",$B69)))), "  ", TRIM(IF($S69 = "YES", "(External ID)", "") &amp; " " &amp; IF(SUMPRODUCT(-- ISNUMBER(SEARCH({"Unique","Unique Case Insensitive"}, $R69))) &gt; 0, "(" &amp; $R69 &amp; ")", ""))))</f>
        <v>na</v>
      </c>
      <c r="E69" s="7" t="s">
        <v>195</v>
      </c>
      <c r="F69" s="7" t="s">
        <v>195</v>
      </c>
      <c r="G69" s="7" t="s">
        <v>195</v>
      </c>
      <c r="H69" s="7" t="s">
        <v>195</v>
      </c>
      <c r="I69" s="7" t="s">
        <v>195</v>
      </c>
      <c r="J69" s="7" t="s">
        <v>195</v>
      </c>
      <c r="K69" s="7" t="s">
        <v>195</v>
      </c>
      <c r="L69" s="7" t="s">
        <v>195</v>
      </c>
      <c r="M69" s="7" t="s">
        <v>29</v>
      </c>
      <c r="N69" s="7" t="s">
        <v>29</v>
      </c>
      <c r="O69" s="7" t="s">
        <v>29</v>
      </c>
      <c r="P69" s="7" t="s">
        <v>29</v>
      </c>
      <c r="Q69" s="7" t="s">
        <v>29</v>
      </c>
      <c r="R69" s="7" t="s">
        <v>29</v>
      </c>
      <c r="S69" s="7" t="s">
        <v>29</v>
      </c>
    </row>
    <row r="70" spans="2:19">
      <c r="B70" s="7" t="s">
        <v>195</v>
      </c>
      <c r="C70" s="8" t="s">
        <v>195</v>
      </c>
      <c r="D70" s="5" t="str">
        <f>LRTRIM(CONCATENATE(IF(SUMPRODUCT(-- ISNUMBER(SEARCH({"Auto Number"}, $B70))) &gt; 0, $B70, IF(SUMPRODUCT(-- ISNUMBER(SEARCH({"Lookup","Master-Detail"}, $B70))) &gt; 0,$B70 &amp; "(" &amp; $E70 &amp; ")",IF(SUMPRODUCT(-- ISNUMBER(SEARCH({"Formula","Roll-Up Summary"}, $B70))) &gt; 0,$B70 &amp; " (" &amp; $E70 &amp; ")",IF(SUMPRODUCT(-- ISNUMBER(SEARCH({"Content","Currency","Number","Percent","Text","URL"}, $B70))) &gt; 0,$B70 &amp; "(" &amp; $C70 &amp; ")",$B70)))), "  ", TRIM(IF($S70 = "YES", "(External ID)", "") &amp; " " &amp; IF(SUMPRODUCT(-- ISNUMBER(SEARCH({"Unique","Unique Case Insensitive"}, $R70))) &gt; 0, "(" &amp; $R70 &amp; ")", ""))))</f>
        <v>na</v>
      </c>
      <c r="E70" s="7" t="s">
        <v>195</v>
      </c>
      <c r="F70" s="7" t="s">
        <v>195</v>
      </c>
      <c r="G70" s="7" t="s">
        <v>195</v>
      </c>
      <c r="H70" s="7" t="s">
        <v>195</v>
      </c>
      <c r="I70" s="7" t="s">
        <v>195</v>
      </c>
      <c r="J70" s="7" t="s">
        <v>195</v>
      </c>
      <c r="K70" s="7" t="s">
        <v>195</v>
      </c>
      <c r="L70" s="7" t="s">
        <v>195</v>
      </c>
      <c r="M70" s="7" t="s">
        <v>29</v>
      </c>
      <c r="N70" s="7" t="s">
        <v>29</v>
      </c>
      <c r="O70" s="7" t="s">
        <v>29</v>
      </c>
      <c r="P70" s="7" t="s">
        <v>29</v>
      </c>
      <c r="Q70" s="7" t="s">
        <v>29</v>
      </c>
      <c r="R70" s="7" t="s">
        <v>29</v>
      </c>
      <c r="S70" s="7" t="s">
        <v>29</v>
      </c>
    </row>
    <row r="71" spans="2:19">
      <c r="B71" s="7" t="s">
        <v>195</v>
      </c>
      <c r="C71" s="8" t="s">
        <v>195</v>
      </c>
      <c r="D71" s="5" t="str">
        <f>LRTRIM(CONCATENATE(IF(SUMPRODUCT(-- ISNUMBER(SEARCH({"Auto Number"}, $B71))) &gt; 0, $B71, IF(SUMPRODUCT(-- ISNUMBER(SEARCH({"Lookup","Master-Detail"}, $B71))) &gt; 0,$B71 &amp; "(" &amp; $E71 &amp; ")",IF(SUMPRODUCT(-- ISNUMBER(SEARCH({"Formula","Roll-Up Summary"}, $B71))) &gt; 0,$B71 &amp; " (" &amp; $E71 &amp; ")",IF(SUMPRODUCT(-- ISNUMBER(SEARCH({"Content","Currency","Number","Percent","Text","URL"}, $B71))) &gt; 0,$B71 &amp; "(" &amp; $C71 &amp; ")",$B71)))), "  ", TRIM(IF($S71 = "YES", "(External ID)", "") &amp; " " &amp; IF(SUMPRODUCT(-- ISNUMBER(SEARCH({"Unique","Unique Case Insensitive"}, $R71))) &gt; 0, "(" &amp; $R71 &amp; ")", ""))))</f>
        <v>na</v>
      </c>
      <c r="E71" s="7" t="s">
        <v>195</v>
      </c>
      <c r="F71" s="7" t="s">
        <v>195</v>
      </c>
      <c r="G71" s="7" t="s">
        <v>195</v>
      </c>
      <c r="H71" s="7" t="s">
        <v>195</v>
      </c>
      <c r="I71" s="7" t="s">
        <v>195</v>
      </c>
      <c r="J71" s="7" t="s">
        <v>195</v>
      </c>
      <c r="K71" s="7" t="s">
        <v>195</v>
      </c>
      <c r="L71" s="7" t="s">
        <v>195</v>
      </c>
      <c r="M71" s="7" t="s">
        <v>29</v>
      </c>
      <c r="N71" s="7" t="s">
        <v>29</v>
      </c>
      <c r="O71" s="7" t="s">
        <v>29</v>
      </c>
      <c r="P71" s="7" t="s">
        <v>29</v>
      </c>
      <c r="Q71" s="7" t="s">
        <v>29</v>
      </c>
      <c r="R71" s="7" t="s">
        <v>29</v>
      </c>
      <c r="S71" s="7" t="s">
        <v>29</v>
      </c>
    </row>
    <row r="72" spans="2:19">
      <c r="B72" s="7" t="s">
        <v>195</v>
      </c>
      <c r="C72" s="8" t="s">
        <v>195</v>
      </c>
      <c r="D72" s="5" t="str">
        <f>LRTRIM(CONCATENATE(IF(SUMPRODUCT(-- ISNUMBER(SEARCH({"Auto Number"}, $B72))) &gt; 0, $B72, IF(SUMPRODUCT(-- ISNUMBER(SEARCH({"Lookup","Master-Detail"}, $B72))) &gt; 0,$B72 &amp; "(" &amp; $E72 &amp; ")",IF(SUMPRODUCT(-- ISNUMBER(SEARCH({"Formula","Roll-Up Summary"}, $B72))) &gt; 0,$B72 &amp; " (" &amp; $E72 &amp; ")",IF(SUMPRODUCT(-- ISNUMBER(SEARCH({"Content","Currency","Number","Percent","Text","URL"}, $B72))) &gt; 0,$B72 &amp; "(" &amp; $C72 &amp; ")",$B72)))), "  ", TRIM(IF($S72 = "YES", "(External ID)", "") &amp; " " &amp; IF(SUMPRODUCT(-- ISNUMBER(SEARCH({"Unique","Unique Case Insensitive"}, $R72))) &gt; 0, "(" &amp; $R72 &amp; ")", ""))))</f>
        <v>na</v>
      </c>
      <c r="E72" s="7" t="s">
        <v>195</v>
      </c>
      <c r="F72" s="7" t="s">
        <v>195</v>
      </c>
      <c r="G72" s="7" t="s">
        <v>195</v>
      </c>
      <c r="H72" s="7" t="s">
        <v>195</v>
      </c>
      <c r="I72" s="7" t="s">
        <v>195</v>
      </c>
      <c r="J72" s="7" t="s">
        <v>195</v>
      </c>
      <c r="K72" s="7" t="s">
        <v>195</v>
      </c>
      <c r="L72" s="7" t="s">
        <v>195</v>
      </c>
      <c r="M72" s="7" t="s">
        <v>29</v>
      </c>
      <c r="N72" s="7" t="s">
        <v>29</v>
      </c>
      <c r="O72" s="7" t="s">
        <v>29</v>
      </c>
      <c r="P72" s="7" t="s">
        <v>29</v>
      </c>
      <c r="Q72" s="7" t="s">
        <v>29</v>
      </c>
      <c r="R72" s="7" t="s">
        <v>29</v>
      </c>
      <c r="S72" s="7" t="s">
        <v>29</v>
      </c>
    </row>
    <row r="73" spans="2:19">
      <c r="B73" s="7" t="s">
        <v>195</v>
      </c>
      <c r="C73" s="8" t="s">
        <v>195</v>
      </c>
      <c r="D73" s="5" t="str">
        <f>LRTRIM(CONCATENATE(IF(SUMPRODUCT(-- ISNUMBER(SEARCH({"Auto Number"}, $B73))) &gt; 0, $B73, IF(SUMPRODUCT(-- ISNUMBER(SEARCH({"Lookup","Master-Detail"}, $B73))) &gt; 0,$B73 &amp; "(" &amp; $E73 &amp; ")",IF(SUMPRODUCT(-- ISNUMBER(SEARCH({"Formula","Roll-Up Summary"}, $B73))) &gt; 0,$B73 &amp; " (" &amp; $E73 &amp; ")",IF(SUMPRODUCT(-- ISNUMBER(SEARCH({"Content","Currency","Number","Percent","Text","URL"}, $B73))) &gt; 0,$B73 &amp; "(" &amp; $C73 &amp; ")",$B73)))), "  ", TRIM(IF($S73 = "YES", "(External ID)", "") &amp; " " &amp; IF(SUMPRODUCT(-- ISNUMBER(SEARCH({"Unique","Unique Case Insensitive"}, $R73))) &gt; 0, "(" &amp; $R73 &amp; ")", ""))))</f>
        <v>na</v>
      </c>
      <c r="E73" s="7" t="s">
        <v>195</v>
      </c>
      <c r="F73" s="7" t="s">
        <v>195</v>
      </c>
      <c r="G73" s="7" t="s">
        <v>195</v>
      </c>
      <c r="H73" s="7" t="s">
        <v>195</v>
      </c>
      <c r="I73" s="7" t="s">
        <v>195</v>
      </c>
      <c r="J73" s="7" t="s">
        <v>195</v>
      </c>
      <c r="K73" s="7" t="s">
        <v>195</v>
      </c>
      <c r="L73" s="7" t="s">
        <v>195</v>
      </c>
      <c r="M73" s="7" t="s">
        <v>29</v>
      </c>
      <c r="N73" s="7" t="s">
        <v>29</v>
      </c>
      <c r="O73" s="7" t="s">
        <v>29</v>
      </c>
      <c r="P73" s="7" t="s">
        <v>29</v>
      </c>
      <c r="Q73" s="7" t="s">
        <v>29</v>
      </c>
      <c r="R73" s="7" t="s">
        <v>29</v>
      </c>
      <c r="S73" s="7" t="s">
        <v>29</v>
      </c>
    </row>
    <row r="74" spans="2:19">
      <c r="B74" s="7" t="s">
        <v>195</v>
      </c>
      <c r="C74" s="8" t="s">
        <v>195</v>
      </c>
      <c r="D74" s="5" t="str">
        <f>LRTRIM(CONCATENATE(IF(SUMPRODUCT(-- ISNUMBER(SEARCH({"Auto Number"}, $B74))) &gt; 0, $B74, IF(SUMPRODUCT(-- ISNUMBER(SEARCH({"Lookup","Master-Detail"}, $B74))) &gt; 0,$B74 &amp; "(" &amp; $E74 &amp; ")",IF(SUMPRODUCT(-- ISNUMBER(SEARCH({"Formula","Roll-Up Summary"}, $B74))) &gt; 0,$B74 &amp; " (" &amp; $E74 &amp; ")",IF(SUMPRODUCT(-- ISNUMBER(SEARCH({"Content","Currency","Number","Percent","Text","URL"}, $B74))) &gt; 0,$B74 &amp; "(" &amp; $C74 &amp; ")",$B74)))), "  ", TRIM(IF($S74 = "YES", "(External ID)", "") &amp; " " &amp; IF(SUMPRODUCT(-- ISNUMBER(SEARCH({"Unique","Unique Case Insensitive"}, $R74))) &gt; 0, "(" &amp; $R74 &amp; ")", ""))))</f>
        <v>na</v>
      </c>
      <c r="E74" s="7" t="s">
        <v>195</v>
      </c>
      <c r="F74" s="7" t="s">
        <v>195</v>
      </c>
      <c r="G74" s="7" t="s">
        <v>195</v>
      </c>
      <c r="H74" s="7" t="s">
        <v>195</v>
      </c>
      <c r="I74" s="7" t="s">
        <v>195</v>
      </c>
      <c r="J74" s="7" t="s">
        <v>195</v>
      </c>
      <c r="K74" s="7" t="s">
        <v>195</v>
      </c>
      <c r="L74" s="7" t="s">
        <v>195</v>
      </c>
      <c r="M74" s="7" t="s">
        <v>29</v>
      </c>
      <c r="N74" s="7" t="s">
        <v>29</v>
      </c>
      <c r="O74" s="7" t="s">
        <v>29</v>
      </c>
      <c r="P74" s="7" t="s">
        <v>29</v>
      </c>
      <c r="Q74" s="7" t="s">
        <v>29</v>
      </c>
      <c r="R74" s="7" t="s">
        <v>29</v>
      </c>
      <c r="S74" s="7" t="s">
        <v>29</v>
      </c>
    </row>
    <row r="75" spans="2:19">
      <c r="B75" s="7" t="s">
        <v>195</v>
      </c>
      <c r="C75" s="8" t="s">
        <v>195</v>
      </c>
      <c r="D75" s="5" t="str">
        <f>LRTRIM(CONCATENATE(IF(SUMPRODUCT(-- ISNUMBER(SEARCH({"Auto Number"}, $B75))) &gt; 0, $B75, IF(SUMPRODUCT(-- ISNUMBER(SEARCH({"Lookup","Master-Detail"}, $B75))) &gt; 0,$B75 &amp; "(" &amp; $E75 &amp; ")",IF(SUMPRODUCT(-- ISNUMBER(SEARCH({"Formula","Roll-Up Summary"}, $B75))) &gt; 0,$B75 &amp; " (" &amp; $E75 &amp; ")",IF(SUMPRODUCT(-- ISNUMBER(SEARCH({"Content","Currency","Number","Percent","Text","URL"}, $B75))) &gt; 0,$B75 &amp; "(" &amp; $C75 &amp; ")",$B75)))), "  ", TRIM(IF($S75 = "YES", "(External ID)", "") &amp; " " &amp; IF(SUMPRODUCT(-- ISNUMBER(SEARCH({"Unique","Unique Case Insensitive"}, $R75))) &gt; 0, "(" &amp; $R75 &amp; ")", ""))))</f>
        <v>na</v>
      </c>
      <c r="E75" s="7" t="s">
        <v>195</v>
      </c>
      <c r="F75" s="7" t="s">
        <v>195</v>
      </c>
      <c r="G75" s="7" t="s">
        <v>195</v>
      </c>
      <c r="H75" s="7" t="s">
        <v>195</v>
      </c>
      <c r="I75" s="7" t="s">
        <v>195</v>
      </c>
      <c r="J75" s="7" t="s">
        <v>195</v>
      </c>
      <c r="K75" s="7" t="s">
        <v>195</v>
      </c>
      <c r="L75" s="7" t="s">
        <v>195</v>
      </c>
      <c r="M75" s="7" t="s">
        <v>29</v>
      </c>
      <c r="N75" s="7" t="s">
        <v>29</v>
      </c>
      <c r="O75" s="7" t="s">
        <v>29</v>
      </c>
      <c r="P75" s="7" t="s">
        <v>29</v>
      </c>
      <c r="Q75" s="7" t="s">
        <v>29</v>
      </c>
      <c r="R75" s="7" t="s">
        <v>29</v>
      </c>
      <c r="S75" s="7" t="s">
        <v>29</v>
      </c>
    </row>
    <row r="76" spans="2:19">
      <c r="B76" s="7" t="s">
        <v>195</v>
      </c>
      <c r="C76" s="8" t="s">
        <v>195</v>
      </c>
      <c r="D76" s="5" t="str">
        <f>LRTRIM(CONCATENATE(IF(SUMPRODUCT(-- ISNUMBER(SEARCH({"Auto Number"}, $B76))) &gt; 0, $B76, IF(SUMPRODUCT(-- ISNUMBER(SEARCH({"Lookup","Master-Detail"}, $B76))) &gt; 0,$B76 &amp; "(" &amp; $E76 &amp; ")",IF(SUMPRODUCT(-- ISNUMBER(SEARCH({"Formula","Roll-Up Summary"}, $B76))) &gt; 0,$B76 &amp; " (" &amp; $E76 &amp; ")",IF(SUMPRODUCT(-- ISNUMBER(SEARCH({"Content","Currency","Number","Percent","Text","URL"}, $B76))) &gt; 0,$B76 &amp; "(" &amp; $C76 &amp; ")",$B76)))), "  ", TRIM(IF($S76 = "YES", "(External ID)", "") &amp; " " &amp; IF(SUMPRODUCT(-- ISNUMBER(SEARCH({"Unique","Unique Case Insensitive"}, $R76))) &gt; 0, "(" &amp; $R76 &amp; ")", ""))))</f>
        <v>na</v>
      </c>
      <c r="E76" s="7" t="s">
        <v>195</v>
      </c>
      <c r="F76" s="7" t="s">
        <v>195</v>
      </c>
      <c r="G76" s="7" t="s">
        <v>195</v>
      </c>
      <c r="H76" s="7" t="s">
        <v>195</v>
      </c>
      <c r="I76" s="7" t="s">
        <v>195</v>
      </c>
      <c r="J76" s="7" t="s">
        <v>195</v>
      </c>
      <c r="K76" s="7" t="s">
        <v>195</v>
      </c>
      <c r="L76" s="7" t="s">
        <v>195</v>
      </c>
      <c r="M76" s="7" t="s">
        <v>29</v>
      </c>
      <c r="N76" s="7" t="s">
        <v>29</v>
      </c>
      <c r="O76" s="7" t="s">
        <v>29</v>
      </c>
      <c r="P76" s="7" t="s">
        <v>29</v>
      </c>
      <c r="Q76" s="7" t="s">
        <v>29</v>
      </c>
      <c r="R76" s="7" t="s">
        <v>29</v>
      </c>
      <c r="S76" s="7" t="s">
        <v>29</v>
      </c>
    </row>
    <row r="77" spans="2:19">
      <c r="B77" s="7" t="s">
        <v>195</v>
      </c>
      <c r="C77" s="8" t="s">
        <v>195</v>
      </c>
      <c r="D77" s="5" t="str">
        <f>LRTRIM(CONCATENATE(IF(SUMPRODUCT(-- ISNUMBER(SEARCH({"Auto Number"}, $B77))) &gt; 0, $B77, IF(SUMPRODUCT(-- ISNUMBER(SEARCH({"Lookup","Master-Detail"}, $B77))) &gt; 0,$B77 &amp; "(" &amp; $E77 &amp; ")",IF(SUMPRODUCT(-- ISNUMBER(SEARCH({"Formula","Roll-Up Summary"}, $B77))) &gt; 0,$B77 &amp; " (" &amp; $E77 &amp; ")",IF(SUMPRODUCT(-- ISNUMBER(SEARCH({"Content","Currency","Number","Percent","Text","URL"}, $B77))) &gt; 0,$B77 &amp; "(" &amp; $C77 &amp; ")",$B77)))), "  ", TRIM(IF($S77 = "YES", "(External ID)", "") &amp; " " &amp; IF(SUMPRODUCT(-- ISNUMBER(SEARCH({"Unique","Unique Case Insensitive"}, $R77))) &gt; 0, "(" &amp; $R77 &amp; ")", ""))))</f>
        <v>na</v>
      </c>
      <c r="E77" s="7" t="s">
        <v>195</v>
      </c>
      <c r="F77" s="7" t="s">
        <v>195</v>
      </c>
      <c r="G77" s="7" t="s">
        <v>195</v>
      </c>
      <c r="H77" s="7" t="s">
        <v>195</v>
      </c>
      <c r="I77" s="7" t="s">
        <v>195</v>
      </c>
      <c r="J77" s="7" t="s">
        <v>195</v>
      </c>
      <c r="K77" s="7" t="s">
        <v>195</v>
      </c>
      <c r="L77" s="7" t="s">
        <v>195</v>
      </c>
      <c r="M77" s="7" t="s">
        <v>29</v>
      </c>
      <c r="N77" s="7" t="s">
        <v>29</v>
      </c>
      <c r="O77" s="7" t="s">
        <v>29</v>
      </c>
      <c r="P77" s="7" t="s">
        <v>29</v>
      </c>
      <c r="Q77" s="7" t="s">
        <v>29</v>
      </c>
      <c r="R77" s="7" t="s">
        <v>29</v>
      </c>
      <c r="S77" s="7" t="s">
        <v>29</v>
      </c>
    </row>
    <row r="78" spans="2:19">
      <c r="B78" s="7" t="s">
        <v>195</v>
      </c>
      <c r="C78" s="8" t="s">
        <v>195</v>
      </c>
      <c r="D78" s="5" t="str">
        <f>LRTRIM(CONCATENATE(IF(SUMPRODUCT(-- ISNUMBER(SEARCH({"Auto Number"}, $B78))) &gt; 0, $B78, IF(SUMPRODUCT(-- ISNUMBER(SEARCH({"Lookup","Master-Detail"}, $B78))) &gt; 0,$B78 &amp; "(" &amp; $E78 &amp; ")",IF(SUMPRODUCT(-- ISNUMBER(SEARCH({"Formula","Roll-Up Summary"}, $B78))) &gt; 0,$B78 &amp; " (" &amp; $E78 &amp; ")",IF(SUMPRODUCT(-- ISNUMBER(SEARCH({"Content","Currency","Number","Percent","Text","URL"}, $B78))) &gt; 0,$B78 &amp; "(" &amp; $C78 &amp; ")",$B78)))), "  ", TRIM(IF($S78 = "YES", "(External ID)", "") &amp; " " &amp; IF(SUMPRODUCT(-- ISNUMBER(SEARCH({"Unique","Unique Case Insensitive"}, $R78))) &gt; 0, "(" &amp; $R78 &amp; ")", ""))))</f>
        <v>na</v>
      </c>
      <c r="E78" s="7" t="s">
        <v>195</v>
      </c>
      <c r="F78" s="7" t="s">
        <v>195</v>
      </c>
      <c r="G78" s="7" t="s">
        <v>195</v>
      </c>
      <c r="H78" s="7" t="s">
        <v>195</v>
      </c>
      <c r="I78" s="7" t="s">
        <v>195</v>
      </c>
      <c r="J78" s="7" t="s">
        <v>195</v>
      </c>
      <c r="K78" s="7" t="s">
        <v>195</v>
      </c>
      <c r="L78" s="7" t="s">
        <v>195</v>
      </c>
      <c r="M78" s="7" t="s">
        <v>29</v>
      </c>
      <c r="N78" s="7" t="s">
        <v>29</v>
      </c>
      <c r="O78" s="7" t="s">
        <v>29</v>
      </c>
      <c r="P78" s="7" t="s">
        <v>29</v>
      </c>
      <c r="Q78" s="7" t="s">
        <v>29</v>
      </c>
      <c r="R78" s="7" t="s">
        <v>29</v>
      </c>
      <c r="S78" s="7" t="s">
        <v>29</v>
      </c>
    </row>
    <row r="79" spans="2:19">
      <c r="B79" s="7" t="s">
        <v>195</v>
      </c>
      <c r="C79" s="8" t="s">
        <v>195</v>
      </c>
      <c r="D79" s="5" t="str">
        <f>LRTRIM(CONCATENATE(IF(SUMPRODUCT(-- ISNUMBER(SEARCH({"Auto Number"}, $B79))) &gt; 0, $B79, IF(SUMPRODUCT(-- ISNUMBER(SEARCH({"Lookup","Master-Detail"}, $B79))) &gt; 0,$B79 &amp; "(" &amp; $E79 &amp; ")",IF(SUMPRODUCT(-- ISNUMBER(SEARCH({"Formula","Roll-Up Summary"}, $B79))) &gt; 0,$B79 &amp; " (" &amp; $E79 &amp; ")",IF(SUMPRODUCT(-- ISNUMBER(SEARCH({"Content","Currency","Number","Percent","Text","URL"}, $B79))) &gt; 0,$B79 &amp; "(" &amp; $C79 &amp; ")",$B79)))), "  ", TRIM(IF($S79 = "YES", "(External ID)", "") &amp; " " &amp; IF(SUMPRODUCT(-- ISNUMBER(SEARCH({"Unique","Unique Case Insensitive"}, $R79))) &gt; 0, "(" &amp; $R79 &amp; ")", ""))))</f>
        <v>na</v>
      </c>
      <c r="E79" s="7" t="s">
        <v>195</v>
      </c>
      <c r="F79" s="7" t="s">
        <v>195</v>
      </c>
      <c r="G79" s="7" t="s">
        <v>195</v>
      </c>
      <c r="H79" s="7" t="s">
        <v>195</v>
      </c>
      <c r="I79" s="7" t="s">
        <v>195</v>
      </c>
      <c r="J79" s="7" t="s">
        <v>195</v>
      </c>
      <c r="K79" s="7" t="s">
        <v>195</v>
      </c>
      <c r="L79" s="7" t="s">
        <v>195</v>
      </c>
      <c r="M79" s="7" t="s">
        <v>29</v>
      </c>
      <c r="N79" s="7" t="s">
        <v>29</v>
      </c>
      <c r="O79" s="7" t="s">
        <v>29</v>
      </c>
      <c r="P79" s="7" t="s">
        <v>29</v>
      </c>
      <c r="Q79" s="7" t="s">
        <v>29</v>
      </c>
      <c r="R79" s="7" t="s">
        <v>29</v>
      </c>
      <c r="S79" s="7" t="s">
        <v>29</v>
      </c>
    </row>
    <row r="80" spans="2:19">
      <c r="B80" s="7" t="s">
        <v>195</v>
      </c>
      <c r="C80" s="8" t="s">
        <v>195</v>
      </c>
      <c r="D80" s="5" t="str">
        <f>LRTRIM(CONCATENATE(IF(SUMPRODUCT(-- ISNUMBER(SEARCH({"Auto Number"}, $B80))) &gt; 0, $B80, IF(SUMPRODUCT(-- ISNUMBER(SEARCH({"Lookup","Master-Detail"}, $B80))) &gt; 0,$B80 &amp; "(" &amp; $E80 &amp; ")",IF(SUMPRODUCT(-- ISNUMBER(SEARCH({"Formula","Roll-Up Summary"}, $B80))) &gt; 0,$B80 &amp; " (" &amp; $E80 &amp; ")",IF(SUMPRODUCT(-- ISNUMBER(SEARCH({"Content","Currency","Number","Percent","Text","URL"}, $B80))) &gt; 0,$B80 &amp; "(" &amp; $C80 &amp; ")",$B80)))), "  ", TRIM(IF($S80 = "YES", "(External ID)", "") &amp; " " &amp; IF(SUMPRODUCT(-- ISNUMBER(SEARCH({"Unique","Unique Case Insensitive"}, $R80))) &gt; 0, "(" &amp; $R80 &amp; ")", ""))))</f>
        <v>na</v>
      </c>
      <c r="E80" s="7" t="s">
        <v>195</v>
      </c>
      <c r="F80" s="7" t="s">
        <v>195</v>
      </c>
      <c r="G80" s="7" t="s">
        <v>195</v>
      </c>
      <c r="H80" s="7" t="s">
        <v>195</v>
      </c>
      <c r="I80" s="7" t="s">
        <v>195</v>
      </c>
      <c r="J80" s="7" t="s">
        <v>195</v>
      </c>
      <c r="K80" s="7" t="s">
        <v>195</v>
      </c>
      <c r="L80" s="7" t="s">
        <v>195</v>
      </c>
      <c r="M80" s="7" t="s">
        <v>29</v>
      </c>
      <c r="N80" s="7" t="s">
        <v>29</v>
      </c>
      <c r="O80" s="7" t="s">
        <v>29</v>
      </c>
      <c r="P80" s="7" t="s">
        <v>29</v>
      </c>
      <c r="Q80" s="7" t="s">
        <v>29</v>
      </c>
      <c r="R80" s="7" t="s">
        <v>29</v>
      </c>
      <c r="S80" s="7" t="s">
        <v>29</v>
      </c>
    </row>
    <row r="81" spans="2:19">
      <c r="B81" s="7" t="s">
        <v>195</v>
      </c>
      <c r="C81" s="8" t="s">
        <v>195</v>
      </c>
      <c r="D81" s="5" t="str">
        <f>LRTRIM(CONCATENATE(IF(SUMPRODUCT(-- ISNUMBER(SEARCH({"Auto Number"}, $B81))) &gt; 0, $B81, IF(SUMPRODUCT(-- ISNUMBER(SEARCH({"Lookup","Master-Detail"}, $B81))) &gt; 0,$B81 &amp; "(" &amp; $E81 &amp; ")",IF(SUMPRODUCT(-- ISNUMBER(SEARCH({"Formula","Roll-Up Summary"}, $B81))) &gt; 0,$B81 &amp; " (" &amp; $E81 &amp; ")",IF(SUMPRODUCT(-- ISNUMBER(SEARCH({"Content","Currency","Number","Percent","Text","URL"}, $B81))) &gt; 0,$B81 &amp; "(" &amp; $C81 &amp; ")",$B81)))), "  ", TRIM(IF($S81 = "YES", "(External ID)", "") &amp; " " &amp; IF(SUMPRODUCT(-- ISNUMBER(SEARCH({"Unique","Unique Case Insensitive"}, $R81))) &gt; 0, "(" &amp; $R81 &amp; ")", ""))))</f>
        <v>na</v>
      </c>
      <c r="E81" s="7" t="s">
        <v>195</v>
      </c>
      <c r="F81" s="7" t="s">
        <v>195</v>
      </c>
      <c r="G81" s="7" t="s">
        <v>195</v>
      </c>
      <c r="H81" s="7" t="s">
        <v>195</v>
      </c>
      <c r="I81" s="7" t="s">
        <v>195</v>
      </c>
      <c r="J81" s="7" t="s">
        <v>195</v>
      </c>
      <c r="K81" s="7" t="s">
        <v>195</v>
      </c>
      <c r="L81" s="7" t="s">
        <v>195</v>
      </c>
      <c r="M81" s="7" t="s">
        <v>29</v>
      </c>
      <c r="N81" s="7" t="s">
        <v>29</v>
      </c>
      <c r="O81" s="7" t="s">
        <v>29</v>
      </c>
      <c r="P81" s="7" t="s">
        <v>29</v>
      </c>
      <c r="Q81" s="7" t="s">
        <v>29</v>
      </c>
      <c r="R81" s="7" t="s">
        <v>29</v>
      </c>
      <c r="S81" s="7" t="s">
        <v>29</v>
      </c>
    </row>
    <row r="82" spans="2:19">
      <c r="B82" s="7" t="s">
        <v>195</v>
      </c>
      <c r="C82" s="8" t="s">
        <v>195</v>
      </c>
      <c r="D82" s="5" t="str">
        <f>LRTRIM(CONCATENATE(IF(SUMPRODUCT(-- ISNUMBER(SEARCH({"Auto Number"}, $B82))) &gt; 0, $B82, IF(SUMPRODUCT(-- ISNUMBER(SEARCH({"Lookup","Master-Detail"}, $B82))) &gt; 0,$B82 &amp; "(" &amp; $E82 &amp; ")",IF(SUMPRODUCT(-- ISNUMBER(SEARCH({"Formula","Roll-Up Summary"}, $B82))) &gt; 0,$B82 &amp; " (" &amp; $E82 &amp; ")",IF(SUMPRODUCT(-- ISNUMBER(SEARCH({"Content","Currency","Number","Percent","Text","URL"}, $B82))) &gt; 0,$B82 &amp; "(" &amp; $C82 &amp; ")",$B82)))), "  ", TRIM(IF($S82 = "YES", "(External ID)", "") &amp; " " &amp; IF(SUMPRODUCT(-- ISNUMBER(SEARCH({"Unique","Unique Case Insensitive"}, $R82))) &gt; 0, "(" &amp; $R82 &amp; ")", ""))))</f>
        <v>na</v>
      </c>
      <c r="E82" s="7" t="s">
        <v>195</v>
      </c>
      <c r="F82" s="7" t="s">
        <v>195</v>
      </c>
      <c r="G82" s="7" t="s">
        <v>195</v>
      </c>
      <c r="H82" s="7" t="s">
        <v>195</v>
      </c>
      <c r="I82" s="7" t="s">
        <v>195</v>
      </c>
      <c r="J82" s="7" t="s">
        <v>195</v>
      </c>
      <c r="K82" s="7" t="s">
        <v>195</v>
      </c>
      <c r="L82" s="7" t="s">
        <v>195</v>
      </c>
      <c r="M82" s="7" t="s">
        <v>29</v>
      </c>
      <c r="N82" s="7" t="s">
        <v>29</v>
      </c>
      <c r="O82" s="7" t="s">
        <v>29</v>
      </c>
      <c r="P82" s="7" t="s">
        <v>29</v>
      </c>
      <c r="Q82" s="7" t="s">
        <v>29</v>
      </c>
      <c r="R82" s="7" t="s">
        <v>29</v>
      </c>
      <c r="S82" s="7" t="s">
        <v>29</v>
      </c>
    </row>
    <row r="83" spans="2:19">
      <c r="B83" s="7" t="s">
        <v>195</v>
      </c>
      <c r="C83" s="8" t="s">
        <v>195</v>
      </c>
      <c r="D83" s="5" t="str">
        <f>LRTRIM(CONCATENATE(IF(SUMPRODUCT(-- ISNUMBER(SEARCH({"Auto Number"}, $B83))) &gt; 0, $B83, IF(SUMPRODUCT(-- ISNUMBER(SEARCH({"Lookup","Master-Detail"}, $B83))) &gt; 0,$B83 &amp; "(" &amp; $E83 &amp; ")",IF(SUMPRODUCT(-- ISNUMBER(SEARCH({"Formula","Roll-Up Summary"}, $B83))) &gt; 0,$B83 &amp; " (" &amp; $E83 &amp; ")",IF(SUMPRODUCT(-- ISNUMBER(SEARCH({"Content","Currency","Number","Percent","Text","URL"}, $B83))) &gt; 0,$B83 &amp; "(" &amp; $C83 &amp; ")",$B83)))), "  ", TRIM(IF($S83 = "YES", "(External ID)", "") &amp; " " &amp; IF(SUMPRODUCT(-- ISNUMBER(SEARCH({"Unique","Unique Case Insensitive"}, $R83))) &gt; 0, "(" &amp; $R83 &amp; ")", ""))))</f>
        <v>na</v>
      </c>
      <c r="E83" s="7" t="s">
        <v>195</v>
      </c>
      <c r="F83" s="7" t="s">
        <v>195</v>
      </c>
      <c r="G83" s="7" t="s">
        <v>195</v>
      </c>
      <c r="H83" s="7" t="s">
        <v>195</v>
      </c>
      <c r="I83" s="7" t="s">
        <v>195</v>
      </c>
      <c r="J83" s="7" t="s">
        <v>195</v>
      </c>
      <c r="K83" s="7" t="s">
        <v>195</v>
      </c>
      <c r="L83" s="7" t="s">
        <v>195</v>
      </c>
      <c r="M83" s="7" t="s">
        <v>29</v>
      </c>
      <c r="N83" s="7" t="s">
        <v>29</v>
      </c>
      <c r="O83" s="7" t="s">
        <v>29</v>
      </c>
      <c r="P83" s="7" t="s">
        <v>29</v>
      </c>
      <c r="Q83" s="7" t="s">
        <v>29</v>
      </c>
      <c r="R83" s="7" t="s">
        <v>29</v>
      </c>
      <c r="S83" s="7" t="s">
        <v>29</v>
      </c>
    </row>
    <row r="84" spans="2:19">
      <c r="B84" s="7" t="s">
        <v>195</v>
      </c>
      <c r="C84" s="8" t="s">
        <v>195</v>
      </c>
      <c r="D84" s="5" t="str">
        <f>LRTRIM(CONCATENATE(IF(SUMPRODUCT(-- ISNUMBER(SEARCH({"Auto Number"}, $B84))) &gt; 0, $B84, IF(SUMPRODUCT(-- ISNUMBER(SEARCH({"Lookup","Master-Detail"}, $B84))) &gt; 0,$B84 &amp; "(" &amp; $E84 &amp; ")",IF(SUMPRODUCT(-- ISNUMBER(SEARCH({"Formula","Roll-Up Summary"}, $B84))) &gt; 0,$B84 &amp; " (" &amp; $E84 &amp; ")",IF(SUMPRODUCT(-- ISNUMBER(SEARCH({"Content","Currency","Number","Percent","Text","URL"}, $B84))) &gt; 0,$B84 &amp; "(" &amp; $C84 &amp; ")",$B84)))), "  ", TRIM(IF($S84 = "YES", "(External ID)", "") &amp; " " &amp; IF(SUMPRODUCT(-- ISNUMBER(SEARCH({"Unique","Unique Case Insensitive"}, $R84))) &gt; 0, "(" &amp; $R84 &amp; ")", ""))))</f>
        <v>na</v>
      </c>
      <c r="E84" s="7" t="s">
        <v>195</v>
      </c>
      <c r="F84" s="7" t="s">
        <v>195</v>
      </c>
      <c r="G84" s="7" t="s">
        <v>195</v>
      </c>
      <c r="H84" s="7" t="s">
        <v>195</v>
      </c>
      <c r="I84" s="7" t="s">
        <v>195</v>
      </c>
      <c r="J84" s="7" t="s">
        <v>195</v>
      </c>
      <c r="K84" s="7" t="s">
        <v>195</v>
      </c>
      <c r="L84" s="7" t="s">
        <v>195</v>
      </c>
      <c r="M84" s="7" t="s">
        <v>29</v>
      </c>
      <c r="N84" s="7" t="s">
        <v>29</v>
      </c>
      <c r="O84" s="7" t="s">
        <v>29</v>
      </c>
      <c r="P84" s="7" t="s">
        <v>29</v>
      </c>
      <c r="Q84" s="7" t="s">
        <v>29</v>
      </c>
      <c r="R84" s="7" t="s">
        <v>29</v>
      </c>
      <c r="S84" s="7" t="s">
        <v>29</v>
      </c>
    </row>
    <row r="85" spans="2:19">
      <c r="B85" s="7" t="s">
        <v>195</v>
      </c>
      <c r="C85" s="8" t="s">
        <v>195</v>
      </c>
      <c r="D85" s="5" t="str">
        <f>LRTRIM(CONCATENATE(IF(SUMPRODUCT(-- ISNUMBER(SEARCH({"Auto Number"}, $B85))) &gt; 0, $B85, IF(SUMPRODUCT(-- ISNUMBER(SEARCH({"Lookup","Master-Detail"}, $B85))) &gt; 0,$B85 &amp; "(" &amp; $E85 &amp; ")",IF(SUMPRODUCT(-- ISNUMBER(SEARCH({"Formula","Roll-Up Summary"}, $B85))) &gt; 0,$B85 &amp; " (" &amp; $E85 &amp; ")",IF(SUMPRODUCT(-- ISNUMBER(SEARCH({"Content","Currency","Number","Percent","Text","URL"}, $B85))) &gt; 0,$B85 &amp; "(" &amp; $C85 &amp; ")",$B85)))), "  ", TRIM(IF($S85 = "YES", "(External ID)", "") &amp; " " &amp; IF(SUMPRODUCT(-- ISNUMBER(SEARCH({"Unique","Unique Case Insensitive"}, $R85))) &gt; 0, "(" &amp; $R85 &amp; ")", ""))))</f>
        <v>na</v>
      </c>
      <c r="E85" s="7" t="s">
        <v>195</v>
      </c>
      <c r="F85" s="7" t="s">
        <v>195</v>
      </c>
      <c r="G85" s="7" t="s">
        <v>195</v>
      </c>
      <c r="H85" s="7" t="s">
        <v>195</v>
      </c>
      <c r="I85" s="7" t="s">
        <v>195</v>
      </c>
      <c r="J85" s="7" t="s">
        <v>195</v>
      </c>
      <c r="K85" s="7" t="s">
        <v>195</v>
      </c>
      <c r="L85" s="7" t="s">
        <v>195</v>
      </c>
      <c r="M85" s="7" t="s">
        <v>29</v>
      </c>
      <c r="N85" s="7" t="s">
        <v>29</v>
      </c>
      <c r="O85" s="7" t="s">
        <v>29</v>
      </c>
      <c r="P85" s="7" t="s">
        <v>29</v>
      </c>
      <c r="Q85" s="7" t="s">
        <v>29</v>
      </c>
      <c r="R85" s="7" t="s">
        <v>29</v>
      </c>
      <c r="S85" s="7" t="s">
        <v>29</v>
      </c>
    </row>
    <row r="86" spans="2:19">
      <c r="B86" s="7" t="s">
        <v>195</v>
      </c>
      <c r="C86" s="8" t="s">
        <v>195</v>
      </c>
      <c r="D86" s="5" t="str">
        <f>LRTRIM(CONCATENATE(IF(SUMPRODUCT(-- ISNUMBER(SEARCH({"Auto Number"}, $B86))) &gt; 0, $B86, IF(SUMPRODUCT(-- ISNUMBER(SEARCH({"Lookup","Master-Detail"}, $B86))) &gt; 0,$B86 &amp; "(" &amp; $E86 &amp; ")",IF(SUMPRODUCT(-- ISNUMBER(SEARCH({"Formula","Roll-Up Summary"}, $B86))) &gt; 0,$B86 &amp; " (" &amp; $E86 &amp; ")",IF(SUMPRODUCT(-- ISNUMBER(SEARCH({"Content","Currency","Number","Percent","Text","URL"}, $B86))) &gt; 0,$B86 &amp; "(" &amp; $C86 &amp; ")",$B86)))), "  ", TRIM(IF($S86 = "YES", "(External ID)", "") &amp; " " &amp; IF(SUMPRODUCT(-- ISNUMBER(SEARCH({"Unique","Unique Case Insensitive"}, $R86))) &gt; 0, "(" &amp; $R86 &amp; ")", ""))))</f>
        <v>na</v>
      </c>
      <c r="E86" s="7" t="s">
        <v>195</v>
      </c>
      <c r="F86" s="7" t="s">
        <v>195</v>
      </c>
      <c r="G86" s="7" t="s">
        <v>195</v>
      </c>
      <c r="H86" s="7" t="s">
        <v>195</v>
      </c>
      <c r="I86" s="7" t="s">
        <v>195</v>
      </c>
      <c r="J86" s="7" t="s">
        <v>195</v>
      </c>
      <c r="K86" s="7" t="s">
        <v>195</v>
      </c>
      <c r="L86" s="7" t="s">
        <v>195</v>
      </c>
      <c r="M86" s="7" t="s">
        <v>29</v>
      </c>
      <c r="N86" s="7" t="s">
        <v>29</v>
      </c>
      <c r="O86" s="7" t="s">
        <v>29</v>
      </c>
      <c r="P86" s="7" t="s">
        <v>29</v>
      </c>
      <c r="Q86" s="7" t="s">
        <v>29</v>
      </c>
      <c r="R86" s="7" t="s">
        <v>29</v>
      </c>
      <c r="S86" s="7" t="s">
        <v>29</v>
      </c>
    </row>
    <row r="87" spans="2:19">
      <c r="B87" s="7" t="s">
        <v>195</v>
      </c>
      <c r="C87" s="8" t="s">
        <v>195</v>
      </c>
      <c r="D87" s="5" t="str">
        <f>LRTRIM(CONCATENATE(IF(SUMPRODUCT(-- ISNUMBER(SEARCH({"Auto Number"}, $B87))) &gt; 0, $B87, IF(SUMPRODUCT(-- ISNUMBER(SEARCH({"Lookup","Master-Detail"}, $B87))) &gt; 0,$B87 &amp; "(" &amp; $E87 &amp; ")",IF(SUMPRODUCT(-- ISNUMBER(SEARCH({"Formula","Roll-Up Summary"}, $B87))) &gt; 0,$B87 &amp; " (" &amp; $E87 &amp; ")",IF(SUMPRODUCT(-- ISNUMBER(SEARCH({"Content","Currency","Number","Percent","Text","URL"}, $B87))) &gt; 0,$B87 &amp; "(" &amp; $C87 &amp; ")",$B87)))), "  ", TRIM(IF($S87 = "YES", "(External ID)", "") &amp; " " &amp; IF(SUMPRODUCT(-- ISNUMBER(SEARCH({"Unique","Unique Case Insensitive"}, $R87))) &gt; 0, "(" &amp; $R87 &amp; ")", ""))))</f>
        <v>na</v>
      </c>
      <c r="E87" s="7" t="s">
        <v>195</v>
      </c>
      <c r="F87" s="7" t="s">
        <v>195</v>
      </c>
      <c r="G87" s="7" t="s">
        <v>195</v>
      </c>
      <c r="H87" s="7" t="s">
        <v>195</v>
      </c>
      <c r="I87" s="7" t="s">
        <v>195</v>
      </c>
      <c r="J87" s="7" t="s">
        <v>195</v>
      </c>
      <c r="K87" s="7" t="s">
        <v>195</v>
      </c>
      <c r="L87" s="7" t="s">
        <v>195</v>
      </c>
      <c r="M87" s="7" t="s">
        <v>29</v>
      </c>
      <c r="N87" s="7" t="s">
        <v>29</v>
      </c>
      <c r="O87" s="7" t="s">
        <v>29</v>
      </c>
      <c r="P87" s="7" t="s">
        <v>29</v>
      </c>
      <c r="Q87" s="7" t="s">
        <v>29</v>
      </c>
      <c r="R87" s="7" t="s">
        <v>29</v>
      </c>
      <c r="S87" s="7" t="s">
        <v>29</v>
      </c>
    </row>
    <row r="88" spans="2:19">
      <c r="B88" s="7" t="s">
        <v>195</v>
      </c>
      <c r="C88" s="8" t="s">
        <v>195</v>
      </c>
      <c r="D88" s="5" t="str">
        <f>LRTRIM(CONCATENATE(IF(SUMPRODUCT(-- ISNUMBER(SEARCH({"Auto Number"}, $B88))) &gt; 0, $B88, IF(SUMPRODUCT(-- ISNUMBER(SEARCH({"Lookup","Master-Detail"}, $B88))) &gt; 0,$B88 &amp; "(" &amp; $E88 &amp; ")",IF(SUMPRODUCT(-- ISNUMBER(SEARCH({"Formula","Roll-Up Summary"}, $B88))) &gt; 0,$B88 &amp; " (" &amp; $E88 &amp; ")",IF(SUMPRODUCT(-- ISNUMBER(SEARCH({"Content","Currency","Number","Percent","Text","URL"}, $B88))) &gt; 0,$B88 &amp; "(" &amp; $C88 &amp; ")",$B88)))), "  ", TRIM(IF($S88 = "YES", "(External ID)", "") &amp; " " &amp; IF(SUMPRODUCT(-- ISNUMBER(SEARCH({"Unique","Unique Case Insensitive"}, $R88))) &gt; 0, "(" &amp; $R88 &amp; ")", ""))))</f>
        <v>na</v>
      </c>
      <c r="E88" s="7" t="s">
        <v>195</v>
      </c>
      <c r="F88" s="7" t="s">
        <v>195</v>
      </c>
      <c r="G88" s="7" t="s">
        <v>195</v>
      </c>
      <c r="H88" s="7" t="s">
        <v>195</v>
      </c>
      <c r="I88" s="7" t="s">
        <v>195</v>
      </c>
      <c r="J88" s="7" t="s">
        <v>195</v>
      </c>
      <c r="K88" s="7" t="s">
        <v>195</v>
      </c>
      <c r="L88" s="7" t="s">
        <v>195</v>
      </c>
      <c r="M88" s="7" t="s">
        <v>29</v>
      </c>
      <c r="N88" s="7" t="s">
        <v>29</v>
      </c>
      <c r="O88" s="7" t="s">
        <v>29</v>
      </c>
      <c r="P88" s="7" t="s">
        <v>29</v>
      </c>
      <c r="Q88" s="7" t="s">
        <v>29</v>
      </c>
      <c r="R88" s="7" t="s">
        <v>29</v>
      </c>
      <c r="S88" s="7" t="s">
        <v>29</v>
      </c>
    </row>
    <row r="89" spans="2:19">
      <c r="B89" s="7" t="s">
        <v>195</v>
      </c>
      <c r="C89" s="8" t="s">
        <v>195</v>
      </c>
      <c r="D89" s="5" t="str">
        <f>LRTRIM(CONCATENATE(IF(SUMPRODUCT(-- ISNUMBER(SEARCH({"Auto Number"}, $B89))) &gt; 0, $B89, IF(SUMPRODUCT(-- ISNUMBER(SEARCH({"Lookup","Master-Detail"}, $B89))) &gt; 0,$B89 &amp; "(" &amp; $E89 &amp; ")",IF(SUMPRODUCT(-- ISNUMBER(SEARCH({"Formula","Roll-Up Summary"}, $B89))) &gt; 0,$B89 &amp; " (" &amp; $E89 &amp; ")",IF(SUMPRODUCT(-- ISNUMBER(SEARCH({"Content","Currency","Number","Percent","Text","URL"}, $B89))) &gt; 0,$B89 &amp; "(" &amp; $C89 &amp; ")",$B89)))), "  ", TRIM(IF($S89 = "YES", "(External ID)", "") &amp; " " &amp; IF(SUMPRODUCT(-- ISNUMBER(SEARCH({"Unique","Unique Case Insensitive"}, $R89))) &gt; 0, "(" &amp; $R89 &amp; ")", ""))))</f>
        <v>na</v>
      </c>
      <c r="E89" s="7" t="s">
        <v>195</v>
      </c>
      <c r="F89" s="7" t="s">
        <v>195</v>
      </c>
      <c r="G89" s="7" t="s">
        <v>195</v>
      </c>
      <c r="H89" s="7" t="s">
        <v>195</v>
      </c>
      <c r="I89" s="7" t="s">
        <v>195</v>
      </c>
      <c r="J89" s="7" t="s">
        <v>195</v>
      </c>
      <c r="K89" s="7" t="s">
        <v>195</v>
      </c>
      <c r="L89" s="7" t="s">
        <v>195</v>
      </c>
      <c r="M89" s="7" t="s">
        <v>29</v>
      </c>
      <c r="N89" s="7" t="s">
        <v>29</v>
      </c>
      <c r="O89" s="7" t="s">
        <v>29</v>
      </c>
      <c r="P89" s="7" t="s">
        <v>29</v>
      </c>
      <c r="Q89" s="7" t="s">
        <v>29</v>
      </c>
      <c r="R89" s="7" t="s">
        <v>29</v>
      </c>
      <c r="S89" s="7" t="s">
        <v>29</v>
      </c>
    </row>
    <row r="90" spans="2:19">
      <c r="B90" s="7" t="s">
        <v>195</v>
      </c>
      <c r="C90" s="8" t="s">
        <v>195</v>
      </c>
      <c r="D90" s="5" t="str">
        <f>LRTRIM(CONCATENATE(IF(SUMPRODUCT(-- ISNUMBER(SEARCH({"Auto Number"}, $B90))) &gt; 0, $B90, IF(SUMPRODUCT(-- ISNUMBER(SEARCH({"Lookup","Master-Detail"}, $B90))) &gt; 0,$B90 &amp; "(" &amp; $E90 &amp; ")",IF(SUMPRODUCT(-- ISNUMBER(SEARCH({"Formula","Roll-Up Summary"}, $B90))) &gt; 0,$B90 &amp; " (" &amp; $E90 &amp; ")",IF(SUMPRODUCT(-- ISNUMBER(SEARCH({"Content","Currency","Number","Percent","Text","URL"}, $B90))) &gt; 0,$B90 &amp; "(" &amp; $C90 &amp; ")",$B90)))), "  ", TRIM(IF($S90 = "YES", "(External ID)", "") &amp; " " &amp; IF(SUMPRODUCT(-- ISNUMBER(SEARCH({"Unique","Unique Case Insensitive"}, $R90))) &gt; 0, "(" &amp; $R90 &amp; ")", ""))))</f>
        <v>na</v>
      </c>
      <c r="E90" s="7" t="s">
        <v>195</v>
      </c>
      <c r="F90" s="7" t="s">
        <v>195</v>
      </c>
      <c r="G90" s="7" t="s">
        <v>195</v>
      </c>
      <c r="H90" s="7" t="s">
        <v>195</v>
      </c>
      <c r="I90" s="7" t="s">
        <v>195</v>
      </c>
      <c r="J90" s="7" t="s">
        <v>195</v>
      </c>
      <c r="K90" s="7" t="s">
        <v>195</v>
      </c>
      <c r="L90" s="7" t="s">
        <v>195</v>
      </c>
      <c r="M90" s="7" t="s">
        <v>29</v>
      </c>
      <c r="N90" s="7" t="s">
        <v>29</v>
      </c>
      <c r="O90" s="7" t="s">
        <v>29</v>
      </c>
      <c r="P90" s="7" t="s">
        <v>29</v>
      </c>
      <c r="Q90" s="7" t="s">
        <v>29</v>
      </c>
      <c r="R90" s="7" t="s">
        <v>29</v>
      </c>
      <c r="S90" s="7" t="s">
        <v>29</v>
      </c>
    </row>
    <row r="91" spans="2:19">
      <c r="B91" s="7" t="s">
        <v>195</v>
      </c>
      <c r="C91" s="8" t="s">
        <v>195</v>
      </c>
      <c r="D91" s="5" t="str">
        <f>LRTRIM(CONCATENATE(IF(SUMPRODUCT(-- ISNUMBER(SEARCH({"Auto Number"}, $B91))) &gt; 0, $B91, IF(SUMPRODUCT(-- ISNUMBER(SEARCH({"Lookup","Master-Detail"}, $B91))) &gt; 0,$B91 &amp; "(" &amp; $E91 &amp; ")",IF(SUMPRODUCT(-- ISNUMBER(SEARCH({"Formula","Roll-Up Summary"}, $B91))) &gt; 0,$B91 &amp; " (" &amp; $E91 &amp; ")",IF(SUMPRODUCT(-- ISNUMBER(SEARCH({"Content","Currency","Number","Percent","Text","URL"}, $B91))) &gt; 0,$B91 &amp; "(" &amp; $C91 &amp; ")",$B91)))), "  ", TRIM(IF($S91 = "YES", "(External ID)", "") &amp; " " &amp; IF(SUMPRODUCT(-- ISNUMBER(SEARCH({"Unique","Unique Case Insensitive"}, $R91))) &gt; 0, "(" &amp; $R91 &amp; ")", ""))))</f>
        <v>na</v>
      </c>
      <c r="E91" s="7" t="s">
        <v>195</v>
      </c>
      <c r="F91" s="7" t="s">
        <v>195</v>
      </c>
      <c r="G91" s="7" t="s">
        <v>195</v>
      </c>
      <c r="H91" s="7" t="s">
        <v>195</v>
      </c>
      <c r="I91" s="7" t="s">
        <v>195</v>
      </c>
      <c r="J91" s="7" t="s">
        <v>195</v>
      </c>
      <c r="K91" s="7" t="s">
        <v>195</v>
      </c>
      <c r="L91" s="7" t="s">
        <v>195</v>
      </c>
      <c r="M91" s="7" t="s">
        <v>29</v>
      </c>
      <c r="N91" s="7" t="s">
        <v>29</v>
      </c>
      <c r="O91" s="7" t="s">
        <v>29</v>
      </c>
      <c r="P91" s="7" t="s">
        <v>29</v>
      </c>
      <c r="Q91" s="7" t="s">
        <v>29</v>
      </c>
      <c r="R91" s="7" t="s">
        <v>29</v>
      </c>
      <c r="S91" s="7" t="s">
        <v>29</v>
      </c>
    </row>
    <row r="92" spans="2:19">
      <c r="B92" s="7" t="s">
        <v>195</v>
      </c>
      <c r="C92" s="8" t="s">
        <v>195</v>
      </c>
      <c r="D92" s="5" t="str">
        <f>LRTRIM(CONCATENATE(IF(SUMPRODUCT(-- ISNUMBER(SEARCH({"Auto Number"}, $B92))) &gt; 0, $B92, IF(SUMPRODUCT(-- ISNUMBER(SEARCH({"Lookup","Master-Detail"}, $B92))) &gt; 0,$B92 &amp; "(" &amp; $E92 &amp; ")",IF(SUMPRODUCT(-- ISNUMBER(SEARCH({"Formula","Roll-Up Summary"}, $B92))) &gt; 0,$B92 &amp; " (" &amp; $E92 &amp; ")",IF(SUMPRODUCT(-- ISNUMBER(SEARCH({"Content","Currency","Number","Percent","Text","URL"}, $B92))) &gt; 0,$B92 &amp; "(" &amp; $C92 &amp; ")",$B92)))), "  ", TRIM(IF($S92 = "YES", "(External ID)", "") &amp; " " &amp; IF(SUMPRODUCT(-- ISNUMBER(SEARCH({"Unique","Unique Case Insensitive"}, $R92))) &gt; 0, "(" &amp; $R92 &amp; ")", ""))))</f>
        <v>na</v>
      </c>
      <c r="E92" s="7" t="s">
        <v>195</v>
      </c>
      <c r="F92" s="7" t="s">
        <v>195</v>
      </c>
      <c r="G92" s="7" t="s">
        <v>195</v>
      </c>
      <c r="H92" s="7" t="s">
        <v>195</v>
      </c>
      <c r="I92" s="7" t="s">
        <v>195</v>
      </c>
      <c r="J92" s="7" t="s">
        <v>195</v>
      </c>
      <c r="K92" s="7" t="s">
        <v>195</v>
      </c>
      <c r="L92" s="7" t="s">
        <v>195</v>
      </c>
      <c r="M92" s="7" t="s">
        <v>29</v>
      </c>
      <c r="N92" s="7" t="s">
        <v>29</v>
      </c>
      <c r="O92" s="7" t="s">
        <v>29</v>
      </c>
      <c r="P92" s="7" t="s">
        <v>29</v>
      </c>
      <c r="Q92" s="7" t="s">
        <v>29</v>
      </c>
      <c r="R92" s="7" t="s">
        <v>29</v>
      </c>
      <c r="S92" s="7" t="s">
        <v>29</v>
      </c>
    </row>
    <row r="93" spans="2:19">
      <c r="B93" s="7" t="s">
        <v>195</v>
      </c>
      <c r="C93" s="8" t="s">
        <v>195</v>
      </c>
      <c r="D93" s="5" t="str">
        <f>LRTRIM(CONCATENATE(IF(SUMPRODUCT(-- ISNUMBER(SEARCH({"Auto Number"}, $B93))) &gt; 0, $B93, IF(SUMPRODUCT(-- ISNUMBER(SEARCH({"Lookup","Master-Detail"}, $B93))) &gt; 0,$B93 &amp; "(" &amp; $E93 &amp; ")",IF(SUMPRODUCT(-- ISNUMBER(SEARCH({"Formula","Roll-Up Summary"}, $B93))) &gt; 0,$B93 &amp; " (" &amp; $E93 &amp; ")",IF(SUMPRODUCT(-- ISNUMBER(SEARCH({"Content","Currency","Number","Percent","Text","URL"}, $B93))) &gt; 0,$B93 &amp; "(" &amp; $C93 &amp; ")",$B93)))), "  ", TRIM(IF($S93 = "YES", "(External ID)", "") &amp; " " &amp; IF(SUMPRODUCT(-- ISNUMBER(SEARCH({"Unique","Unique Case Insensitive"}, $R93))) &gt; 0, "(" &amp; $R93 &amp; ")", ""))))</f>
        <v>na</v>
      </c>
      <c r="E93" s="7" t="s">
        <v>195</v>
      </c>
      <c r="F93" s="7" t="s">
        <v>195</v>
      </c>
      <c r="G93" s="7" t="s">
        <v>195</v>
      </c>
      <c r="H93" s="7" t="s">
        <v>195</v>
      </c>
      <c r="I93" s="7" t="s">
        <v>195</v>
      </c>
      <c r="J93" s="7" t="s">
        <v>195</v>
      </c>
      <c r="K93" s="7" t="s">
        <v>195</v>
      </c>
      <c r="L93" s="7" t="s">
        <v>195</v>
      </c>
      <c r="M93" s="7" t="s">
        <v>29</v>
      </c>
      <c r="N93" s="7" t="s">
        <v>29</v>
      </c>
      <c r="O93" s="7" t="s">
        <v>29</v>
      </c>
      <c r="P93" s="7" t="s">
        <v>29</v>
      </c>
      <c r="Q93" s="7" t="s">
        <v>29</v>
      </c>
      <c r="R93" s="7" t="s">
        <v>29</v>
      </c>
      <c r="S93" s="7" t="s">
        <v>29</v>
      </c>
    </row>
    <row r="94" spans="2:19">
      <c r="B94" s="7" t="s">
        <v>195</v>
      </c>
      <c r="C94" s="8" t="s">
        <v>195</v>
      </c>
      <c r="D94" s="5" t="str">
        <f>LRTRIM(CONCATENATE(IF(SUMPRODUCT(-- ISNUMBER(SEARCH({"Auto Number"}, $B94))) &gt; 0, $B94, IF(SUMPRODUCT(-- ISNUMBER(SEARCH({"Lookup","Master-Detail"}, $B94))) &gt; 0,$B94 &amp; "(" &amp; $E94 &amp; ")",IF(SUMPRODUCT(-- ISNUMBER(SEARCH({"Formula","Roll-Up Summary"}, $B94))) &gt; 0,$B94 &amp; " (" &amp; $E94 &amp; ")",IF(SUMPRODUCT(-- ISNUMBER(SEARCH({"Content","Currency","Number","Percent","Text","URL"}, $B94))) &gt; 0,$B94 &amp; "(" &amp; $C94 &amp; ")",$B94)))), "  ", TRIM(IF($S94 = "YES", "(External ID)", "") &amp; " " &amp; IF(SUMPRODUCT(-- ISNUMBER(SEARCH({"Unique","Unique Case Insensitive"}, $R94))) &gt; 0, "(" &amp; $R94 &amp; ")", ""))))</f>
        <v>na</v>
      </c>
      <c r="E94" s="7" t="s">
        <v>195</v>
      </c>
      <c r="F94" s="7" t="s">
        <v>195</v>
      </c>
      <c r="G94" s="7" t="s">
        <v>195</v>
      </c>
      <c r="H94" s="7" t="s">
        <v>195</v>
      </c>
      <c r="I94" s="7" t="s">
        <v>195</v>
      </c>
      <c r="J94" s="7" t="s">
        <v>195</v>
      </c>
      <c r="K94" s="7" t="s">
        <v>195</v>
      </c>
      <c r="L94" s="7" t="s">
        <v>195</v>
      </c>
      <c r="M94" s="7" t="s">
        <v>29</v>
      </c>
      <c r="N94" s="7" t="s">
        <v>29</v>
      </c>
      <c r="O94" s="7" t="s">
        <v>29</v>
      </c>
      <c r="P94" s="7" t="s">
        <v>29</v>
      </c>
      <c r="Q94" s="7" t="s">
        <v>29</v>
      </c>
      <c r="R94" s="7" t="s">
        <v>29</v>
      </c>
      <c r="S94" s="7" t="s">
        <v>29</v>
      </c>
    </row>
    <row r="95" spans="2:19">
      <c r="B95" s="7" t="s">
        <v>195</v>
      </c>
      <c r="C95" s="8" t="s">
        <v>195</v>
      </c>
      <c r="D95" s="5" t="str">
        <f>LRTRIM(CONCATENATE(IF(SUMPRODUCT(-- ISNUMBER(SEARCH({"Auto Number"}, $B95))) &gt; 0, $B95, IF(SUMPRODUCT(-- ISNUMBER(SEARCH({"Lookup","Master-Detail"}, $B95))) &gt; 0,$B95 &amp; "(" &amp; $E95 &amp; ")",IF(SUMPRODUCT(-- ISNUMBER(SEARCH({"Formula","Roll-Up Summary"}, $B95))) &gt; 0,$B95 &amp; " (" &amp; $E95 &amp; ")",IF(SUMPRODUCT(-- ISNUMBER(SEARCH({"Content","Currency","Number","Percent","Text","URL"}, $B95))) &gt; 0,$B95 &amp; "(" &amp; $C95 &amp; ")",$B95)))), "  ", TRIM(IF($S95 = "YES", "(External ID)", "") &amp; " " &amp; IF(SUMPRODUCT(-- ISNUMBER(SEARCH({"Unique","Unique Case Insensitive"}, $R95))) &gt; 0, "(" &amp; $R95 &amp; ")", ""))))</f>
        <v>na</v>
      </c>
      <c r="E95" s="7" t="s">
        <v>195</v>
      </c>
      <c r="F95" s="7" t="s">
        <v>195</v>
      </c>
      <c r="G95" s="7" t="s">
        <v>195</v>
      </c>
      <c r="H95" s="7" t="s">
        <v>195</v>
      </c>
      <c r="I95" s="7" t="s">
        <v>195</v>
      </c>
      <c r="J95" s="7" t="s">
        <v>195</v>
      </c>
      <c r="K95" s="7" t="s">
        <v>195</v>
      </c>
      <c r="L95" s="7" t="s">
        <v>195</v>
      </c>
      <c r="M95" s="7" t="s">
        <v>29</v>
      </c>
      <c r="N95" s="7" t="s">
        <v>29</v>
      </c>
      <c r="O95" s="7" t="s">
        <v>29</v>
      </c>
      <c r="P95" s="7" t="s">
        <v>29</v>
      </c>
      <c r="Q95" s="7" t="s">
        <v>29</v>
      </c>
      <c r="R95" s="7" t="s">
        <v>29</v>
      </c>
      <c r="S95" s="7" t="s">
        <v>29</v>
      </c>
    </row>
    <row r="96" spans="2:19">
      <c r="B96" s="7" t="s">
        <v>195</v>
      </c>
      <c r="C96" s="8" t="s">
        <v>195</v>
      </c>
      <c r="D96" s="5" t="str">
        <f>LRTRIM(CONCATENATE(IF(SUMPRODUCT(-- ISNUMBER(SEARCH({"Auto Number"}, $B96))) &gt; 0, $B96, IF(SUMPRODUCT(-- ISNUMBER(SEARCH({"Lookup","Master-Detail"}, $B96))) &gt; 0,$B96 &amp; "(" &amp; $E96 &amp; ")",IF(SUMPRODUCT(-- ISNUMBER(SEARCH({"Formula","Roll-Up Summary"}, $B96))) &gt; 0,$B96 &amp; " (" &amp; $E96 &amp; ")",IF(SUMPRODUCT(-- ISNUMBER(SEARCH({"Content","Currency","Number","Percent","Text","URL"}, $B96))) &gt; 0,$B96 &amp; "(" &amp; $C96 &amp; ")",$B96)))), "  ", TRIM(IF($S96 = "YES", "(External ID)", "") &amp; " " &amp; IF(SUMPRODUCT(-- ISNUMBER(SEARCH({"Unique","Unique Case Insensitive"}, $R96))) &gt; 0, "(" &amp; $R96 &amp; ")", ""))))</f>
        <v>na</v>
      </c>
      <c r="E96" s="7" t="s">
        <v>195</v>
      </c>
      <c r="F96" s="7" t="s">
        <v>195</v>
      </c>
      <c r="G96" s="7" t="s">
        <v>195</v>
      </c>
      <c r="H96" s="7" t="s">
        <v>195</v>
      </c>
      <c r="I96" s="7" t="s">
        <v>195</v>
      </c>
      <c r="J96" s="7" t="s">
        <v>195</v>
      </c>
      <c r="K96" s="7" t="s">
        <v>195</v>
      </c>
      <c r="L96" s="7" t="s">
        <v>195</v>
      </c>
      <c r="M96" s="7" t="s">
        <v>29</v>
      </c>
      <c r="N96" s="7" t="s">
        <v>29</v>
      </c>
      <c r="O96" s="7" t="s">
        <v>29</v>
      </c>
      <c r="P96" s="7" t="s">
        <v>29</v>
      </c>
      <c r="Q96" s="7" t="s">
        <v>29</v>
      </c>
      <c r="R96" s="7" t="s">
        <v>29</v>
      </c>
      <c r="S96" s="7" t="s">
        <v>29</v>
      </c>
    </row>
    <row r="97" spans="2:19">
      <c r="B97" s="7" t="s">
        <v>195</v>
      </c>
      <c r="C97" s="8" t="s">
        <v>195</v>
      </c>
      <c r="D97" s="5" t="str">
        <f>LRTRIM(CONCATENATE(IF(SUMPRODUCT(-- ISNUMBER(SEARCH({"Auto Number"}, $B97))) &gt; 0, $B97, IF(SUMPRODUCT(-- ISNUMBER(SEARCH({"Lookup","Master-Detail"}, $B97))) &gt; 0,$B97 &amp; "(" &amp; $E97 &amp; ")",IF(SUMPRODUCT(-- ISNUMBER(SEARCH({"Formula","Roll-Up Summary"}, $B97))) &gt; 0,$B97 &amp; " (" &amp; $E97 &amp; ")",IF(SUMPRODUCT(-- ISNUMBER(SEARCH({"Content","Currency","Number","Percent","Text","URL"}, $B97))) &gt; 0,$B97 &amp; "(" &amp; $C97 &amp; ")",$B97)))), "  ", TRIM(IF($S97 = "YES", "(External ID)", "") &amp; " " &amp; IF(SUMPRODUCT(-- ISNUMBER(SEARCH({"Unique","Unique Case Insensitive"}, $R97))) &gt; 0, "(" &amp; $R97 &amp; ")", ""))))</f>
        <v>na</v>
      </c>
      <c r="E97" s="7" t="s">
        <v>195</v>
      </c>
      <c r="F97" s="7" t="s">
        <v>195</v>
      </c>
      <c r="G97" s="7" t="s">
        <v>195</v>
      </c>
      <c r="H97" s="7" t="s">
        <v>195</v>
      </c>
      <c r="I97" s="7" t="s">
        <v>195</v>
      </c>
      <c r="J97" s="7" t="s">
        <v>195</v>
      </c>
      <c r="K97" s="7" t="s">
        <v>195</v>
      </c>
      <c r="L97" s="7" t="s">
        <v>195</v>
      </c>
      <c r="M97" s="7" t="s">
        <v>29</v>
      </c>
      <c r="N97" s="7" t="s">
        <v>29</v>
      </c>
      <c r="O97" s="7" t="s">
        <v>29</v>
      </c>
      <c r="P97" s="7" t="s">
        <v>29</v>
      </c>
      <c r="Q97" s="7" t="s">
        <v>29</v>
      </c>
      <c r="R97" s="7" t="s">
        <v>29</v>
      </c>
      <c r="S97" s="7" t="s">
        <v>29</v>
      </c>
    </row>
    <row r="98" spans="2:19">
      <c r="B98" s="7" t="s">
        <v>195</v>
      </c>
      <c r="C98" s="8" t="s">
        <v>195</v>
      </c>
      <c r="D98" s="5" t="str">
        <f>LRTRIM(CONCATENATE(IF(SUMPRODUCT(-- ISNUMBER(SEARCH({"Auto Number"}, $B98))) &gt; 0, $B98, IF(SUMPRODUCT(-- ISNUMBER(SEARCH({"Lookup","Master-Detail"}, $B98))) &gt; 0,$B98 &amp; "(" &amp; $E98 &amp; ")",IF(SUMPRODUCT(-- ISNUMBER(SEARCH({"Formula","Roll-Up Summary"}, $B98))) &gt; 0,$B98 &amp; " (" &amp; $E98 &amp; ")",IF(SUMPRODUCT(-- ISNUMBER(SEARCH({"Content","Currency","Number","Percent","Text","URL"}, $B98))) &gt; 0,$B98 &amp; "(" &amp; $C98 &amp; ")",$B98)))), "  ", TRIM(IF($S98 = "YES", "(External ID)", "") &amp; " " &amp; IF(SUMPRODUCT(-- ISNUMBER(SEARCH({"Unique","Unique Case Insensitive"}, $R98))) &gt; 0, "(" &amp; $R98 &amp; ")", ""))))</f>
        <v>na</v>
      </c>
      <c r="E98" s="7" t="s">
        <v>195</v>
      </c>
      <c r="F98" s="7" t="s">
        <v>195</v>
      </c>
      <c r="G98" s="7" t="s">
        <v>195</v>
      </c>
      <c r="H98" s="7" t="s">
        <v>195</v>
      </c>
      <c r="I98" s="7" t="s">
        <v>195</v>
      </c>
      <c r="J98" s="7" t="s">
        <v>195</v>
      </c>
      <c r="K98" s="7" t="s">
        <v>195</v>
      </c>
      <c r="L98" s="7" t="s">
        <v>195</v>
      </c>
      <c r="M98" s="7" t="s">
        <v>29</v>
      </c>
      <c r="N98" s="7" t="s">
        <v>29</v>
      </c>
      <c r="O98" s="7" t="s">
        <v>29</v>
      </c>
      <c r="P98" s="7" t="s">
        <v>29</v>
      </c>
      <c r="Q98" s="7" t="s">
        <v>29</v>
      </c>
      <c r="R98" s="7" t="s">
        <v>29</v>
      </c>
      <c r="S98" s="7" t="s">
        <v>29</v>
      </c>
    </row>
    <row r="99" spans="2:19">
      <c r="B99" s="7" t="s">
        <v>195</v>
      </c>
      <c r="C99" s="8" t="s">
        <v>195</v>
      </c>
      <c r="D99" s="5" t="str">
        <f>LRTRIM(CONCATENATE(IF(SUMPRODUCT(-- ISNUMBER(SEARCH({"Auto Number"}, $B99))) &gt; 0, $B99, IF(SUMPRODUCT(-- ISNUMBER(SEARCH({"Lookup","Master-Detail"}, $B99))) &gt; 0,$B99 &amp; "(" &amp; $E99 &amp; ")",IF(SUMPRODUCT(-- ISNUMBER(SEARCH({"Formula","Roll-Up Summary"}, $B99))) &gt; 0,$B99 &amp; " (" &amp; $E99 &amp; ")",IF(SUMPRODUCT(-- ISNUMBER(SEARCH({"Content","Currency","Number","Percent","Text","URL"}, $B99))) &gt; 0,$B99 &amp; "(" &amp; $C99 &amp; ")",$B99)))), "  ", TRIM(IF($S99 = "YES", "(External ID)", "") &amp; " " &amp; IF(SUMPRODUCT(-- ISNUMBER(SEARCH({"Unique","Unique Case Insensitive"}, $R99))) &gt; 0, "(" &amp; $R99 &amp; ")", ""))))</f>
        <v>na</v>
      </c>
      <c r="E99" s="7" t="s">
        <v>195</v>
      </c>
      <c r="F99" s="7" t="s">
        <v>195</v>
      </c>
      <c r="G99" s="7" t="s">
        <v>195</v>
      </c>
      <c r="H99" s="7" t="s">
        <v>195</v>
      </c>
      <c r="I99" s="7" t="s">
        <v>195</v>
      </c>
      <c r="J99" s="7" t="s">
        <v>195</v>
      </c>
      <c r="K99" s="7" t="s">
        <v>195</v>
      </c>
      <c r="L99" s="7" t="s">
        <v>195</v>
      </c>
      <c r="M99" s="7" t="s">
        <v>29</v>
      </c>
      <c r="N99" s="7" t="s">
        <v>29</v>
      </c>
      <c r="O99" s="7" t="s">
        <v>29</v>
      </c>
      <c r="P99" s="7" t="s">
        <v>29</v>
      </c>
      <c r="Q99" s="7" t="s">
        <v>29</v>
      </c>
      <c r="R99" s="7" t="s">
        <v>29</v>
      </c>
      <c r="S99" s="7" t="s">
        <v>29</v>
      </c>
    </row>
    <row r="100" spans="2:19">
      <c r="B100" s="7" t="s">
        <v>195</v>
      </c>
      <c r="C100" s="8" t="s">
        <v>195</v>
      </c>
      <c r="D100" s="5" t="str">
        <f>LRTRIM(CONCATENATE(IF(SUMPRODUCT(-- ISNUMBER(SEARCH({"Auto Number"}, $B100))) &gt; 0, $B100, IF(SUMPRODUCT(-- ISNUMBER(SEARCH({"Lookup","Master-Detail"}, $B100))) &gt; 0,$B100 &amp; "(" &amp; $E100 &amp; ")",IF(SUMPRODUCT(-- ISNUMBER(SEARCH({"Formula","Roll-Up Summary"}, $B100))) &gt; 0,$B100 &amp; " (" &amp; $E100 &amp; ")",IF(SUMPRODUCT(-- ISNUMBER(SEARCH({"Content","Currency","Number","Percent","Text","URL"}, $B100))) &gt; 0,$B100 &amp; "(" &amp; $C100 &amp; ")",$B100)))), "  ", TRIM(IF($S100 = "YES", "(External ID)", "") &amp; " " &amp; IF(SUMPRODUCT(-- ISNUMBER(SEARCH({"Unique","Unique Case Insensitive"}, $R100))) &gt; 0, "(" &amp; $R100 &amp; ")", ""))))</f>
        <v>na</v>
      </c>
      <c r="E100" s="7" t="s">
        <v>195</v>
      </c>
      <c r="F100" s="7" t="s">
        <v>195</v>
      </c>
      <c r="G100" s="7" t="s">
        <v>195</v>
      </c>
      <c r="H100" s="7" t="s">
        <v>195</v>
      </c>
      <c r="I100" s="7" t="s">
        <v>195</v>
      </c>
      <c r="J100" s="7" t="s">
        <v>195</v>
      </c>
      <c r="K100" s="7" t="s">
        <v>195</v>
      </c>
      <c r="L100" s="7" t="s">
        <v>195</v>
      </c>
      <c r="M100" s="7" t="s">
        <v>29</v>
      </c>
      <c r="N100" s="7" t="s">
        <v>29</v>
      </c>
      <c r="O100" s="7" t="s">
        <v>29</v>
      </c>
      <c r="P100" s="7" t="s">
        <v>29</v>
      </c>
      <c r="Q100" s="7" t="s">
        <v>29</v>
      </c>
      <c r="R100" s="7" t="s">
        <v>29</v>
      </c>
      <c r="S100" s="7" t="s">
        <v>29</v>
      </c>
    </row>
    <row r="101" spans="2:19">
      <c r="B101" s="7" t="s">
        <v>195</v>
      </c>
      <c r="C101" s="8" t="s">
        <v>195</v>
      </c>
      <c r="D101" s="5" t="str">
        <f>LRTRIM(CONCATENATE(IF(SUMPRODUCT(-- ISNUMBER(SEARCH({"Auto Number"}, $B101))) &gt; 0, $B101, IF(SUMPRODUCT(-- ISNUMBER(SEARCH({"Lookup","Master-Detail"}, $B101))) &gt; 0,$B101 &amp; "(" &amp; $E101 &amp; ")",IF(SUMPRODUCT(-- ISNUMBER(SEARCH({"Formula","Roll-Up Summary"}, $B101))) &gt; 0,$B101 &amp; " (" &amp; $E101 &amp; ")",IF(SUMPRODUCT(-- ISNUMBER(SEARCH({"Content","Currency","Number","Percent","Text","URL"}, $B101))) &gt; 0,$B101 &amp; "(" &amp; $C101 &amp; ")",$B101)))), "  ", TRIM(IF($S101 = "YES", "(External ID)", "") &amp; " " &amp; IF(SUMPRODUCT(-- ISNUMBER(SEARCH({"Unique","Unique Case Insensitive"}, $R101))) &gt; 0, "(" &amp; $R101 &amp; ")", ""))))</f>
        <v>na</v>
      </c>
      <c r="E101" s="7" t="s">
        <v>195</v>
      </c>
      <c r="F101" s="7" t="s">
        <v>195</v>
      </c>
      <c r="G101" s="7" t="s">
        <v>195</v>
      </c>
      <c r="H101" s="7" t="s">
        <v>195</v>
      </c>
      <c r="I101" s="7" t="s">
        <v>195</v>
      </c>
      <c r="J101" s="7" t="s">
        <v>195</v>
      </c>
      <c r="K101" s="7" t="s">
        <v>195</v>
      </c>
      <c r="L101" s="7" t="s">
        <v>195</v>
      </c>
      <c r="M101" s="7" t="s">
        <v>29</v>
      </c>
      <c r="N101" s="7" t="s">
        <v>29</v>
      </c>
      <c r="O101" s="7" t="s">
        <v>29</v>
      </c>
      <c r="P101" s="7" t="s">
        <v>29</v>
      </c>
      <c r="Q101" s="7" t="s">
        <v>29</v>
      </c>
      <c r="R101" s="7" t="s">
        <v>29</v>
      </c>
      <c r="S101" s="7" t="s">
        <v>29</v>
      </c>
    </row>
    <row r="102" spans="2:19">
      <c r="B102" s="7" t="s">
        <v>195</v>
      </c>
      <c r="C102" s="8" t="s">
        <v>195</v>
      </c>
      <c r="D102" s="5" t="str">
        <f>LRTRIM(CONCATENATE(IF(SUMPRODUCT(-- ISNUMBER(SEARCH({"Auto Number"}, $B102))) &gt; 0, $B102, IF(SUMPRODUCT(-- ISNUMBER(SEARCH({"Lookup","Master-Detail"}, $B102))) &gt; 0,$B102 &amp; "(" &amp; $E102 &amp; ")",IF(SUMPRODUCT(-- ISNUMBER(SEARCH({"Formula","Roll-Up Summary"}, $B102))) &gt; 0,$B102 &amp; " (" &amp; $E102 &amp; ")",IF(SUMPRODUCT(-- ISNUMBER(SEARCH({"Content","Currency","Number","Percent","Text","URL"}, $B102))) &gt; 0,$B102 &amp; "(" &amp; $C102 &amp; ")",$B102)))), "  ", TRIM(IF($S102 = "YES", "(External ID)", "") &amp; " " &amp; IF(SUMPRODUCT(-- ISNUMBER(SEARCH({"Unique","Unique Case Insensitive"}, $R102))) &gt; 0, "(" &amp; $R102 &amp; ")", ""))))</f>
        <v>na</v>
      </c>
      <c r="E102" s="7" t="s">
        <v>195</v>
      </c>
      <c r="F102" s="7" t="s">
        <v>195</v>
      </c>
      <c r="G102" s="7" t="s">
        <v>195</v>
      </c>
      <c r="H102" s="7" t="s">
        <v>195</v>
      </c>
      <c r="I102" s="7" t="s">
        <v>195</v>
      </c>
      <c r="J102" s="7" t="s">
        <v>195</v>
      </c>
      <c r="K102" s="7" t="s">
        <v>195</v>
      </c>
      <c r="L102" s="7" t="s">
        <v>195</v>
      </c>
      <c r="M102" s="7" t="s">
        <v>29</v>
      </c>
      <c r="N102" s="7" t="s">
        <v>29</v>
      </c>
      <c r="O102" s="7" t="s">
        <v>29</v>
      </c>
      <c r="P102" s="7" t="s">
        <v>29</v>
      </c>
      <c r="Q102" s="7" t="s">
        <v>29</v>
      </c>
      <c r="R102" s="7" t="s">
        <v>29</v>
      </c>
      <c r="S102" s="7" t="s">
        <v>29</v>
      </c>
    </row>
    <row r="103" spans="2:19">
      <c r="B103" s="7" t="s">
        <v>195</v>
      </c>
      <c r="C103" s="8" t="s">
        <v>195</v>
      </c>
      <c r="D103" s="5" t="str">
        <f>LRTRIM(CONCATENATE(IF(SUMPRODUCT(-- ISNUMBER(SEARCH({"Auto Number"}, $B103))) &gt; 0, $B103, IF(SUMPRODUCT(-- ISNUMBER(SEARCH({"Lookup","Master-Detail"}, $B103))) &gt; 0,$B103 &amp; "(" &amp; $E103 &amp; ")",IF(SUMPRODUCT(-- ISNUMBER(SEARCH({"Formula","Roll-Up Summary"}, $B103))) &gt; 0,$B103 &amp; " (" &amp; $E103 &amp; ")",IF(SUMPRODUCT(-- ISNUMBER(SEARCH({"Content","Currency","Number","Percent","Text","URL"}, $B103))) &gt; 0,$B103 &amp; "(" &amp; $C103 &amp; ")",$B103)))), "  ", TRIM(IF($S103 = "YES", "(External ID)", "") &amp; " " &amp; IF(SUMPRODUCT(-- ISNUMBER(SEARCH({"Unique","Unique Case Insensitive"}, $R103))) &gt; 0, "(" &amp; $R103 &amp; ")", ""))))</f>
        <v>na</v>
      </c>
      <c r="E103" s="7" t="s">
        <v>195</v>
      </c>
      <c r="F103" s="7" t="s">
        <v>195</v>
      </c>
      <c r="G103" s="7" t="s">
        <v>195</v>
      </c>
      <c r="H103" s="7" t="s">
        <v>195</v>
      </c>
      <c r="I103" s="7" t="s">
        <v>195</v>
      </c>
      <c r="J103" s="7" t="s">
        <v>195</v>
      </c>
      <c r="K103" s="7" t="s">
        <v>195</v>
      </c>
      <c r="L103" s="7" t="s">
        <v>195</v>
      </c>
      <c r="M103" s="7" t="s">
        <v>29</v>
      </c>
      <c r="N103" s="7" t="s">
        <v>29</v>
      </c>
      <c r="O103" s="7" t="s">
        <v>29</v>
      </c>
      <c r="P103" s="7" t="s">
        <v>29</v>
      </c>
      <c r="Q103" s="7" t="s">
        <v>29</v>
      </c>
      <c r="R103" s="7" t="s">
        <v>29</v>
      </c>
      <c r="S103" s="7" t="s">
        <v>29</v>
      </c>
    </row>
    <row r="104" spans="2:19">
      <c r="B104" s="7" t="s">
        <v>195</v>
      </c>
      <c r="C104" s="8" t="s">
        <v>195</v>
      </c>
      <c r="D104" s="5" t="str">
        <f>LRTRIM(CONCATENATE(IF(SUMPRODUCT(-- ISNUMBER(SEARCH({"Auto Number"}, $B104))) &gt; 0, $B104, IF(SUMPRODUCT(-- ISNUMBER(SEARCH({"Lookup","Master-Detail"}, $B104))) &gt; 0,$B104 &amp; "(" &amp; $E104 &amp; ")",IF(SUMPRODUCT(-- ISNUMBER(SEARCH({"Formula","Roll-Up Summary"}, $B104))) &gt; 0,$B104 &amp; " (" &amp; $E104 &amp; ")",IF(SUMPRODUCT(-- ISNUMBER(SEARCH({"Content","Currency","Number","Percent","Text","URL"}, $B104))) &gt; 0,$B104 &amp; "(" &amp; $C104 &amp; ")",$B104)))), "  ", TRIM(IF($S104 = "YES", "(External ID)", "") &amp; " " &amp; IF(SUMPRODUCT(-- ISNUMBER(SEARCH({"Unique","Unique Case Insensitive"}, $R104))) &gt; 0, "(" &amp; $R104 &amp; ")", ""))))</f>
        <v>na</v>
      </c>
      <c r="E104" s="7" t="s">
        <v>195</v>
      </c>
      <c r="F104" s="7" t="s">
        <v>195</v>
      </c>
      <c r="G104" s="7" t="s">
        <v>195</v>
      </c>
      <c r="H104" s="7" t="s">
        <v>195</v>
      </c>
      <c r="I104" s="7" t="s">
        <v>195</v>
      </c>
      <c r="J104" s="7" t="s">
        <v>195</v>
      </c>
      <c r="K104" s="7" t="s">
        <v>195</v>
      </c>
      <c r="L104" s="7" t="s">
        <v>195</v>
      </c>
      <c r="M104" s="7" t="s">
        <v>29</v>
      </c>
      <c r="N104" s="7" t="s">
        <v>29</v>
      </c>
      <c r="O104" s="7" t="s">
        <v>29</v>
      </c>
      <c r="P104" s="7" t="s">
        <v>29</v>
      </c>
      <c r="Q104" s="7" t="s">
        <v>29</v>
      </c>
      <c r="R104" s="7" t="s">
        <v>29</v>
      </c>
      <c r="S104" s="7" t="s">
        <v>29</v>
      </c>
    </row>
    <row r="105" spans="2:19">
      <c r="B105" s="7" t="s">
        <v>195</v>
      </c>
      <c r="C105" s="8" t="s">
        <v>195</v>
      </c>
      <c r="D105" s="5" t="str">
        <f>LRTRIM(CONCATENATE(IF(SUMPRODUCT(-- ISNUMBER(SEARCH({"Auto Number"}, $B105))) &gt; 0, $B105, IF(SUMPRODUCT(-- ISNUMBER(SEARCH({"Lookup","Master-Detail"}, $B105))) &gt; 0,$B105 &amp; "(" &amp; $E105 &amp; ")",IF(SUMPRODUCT(-- ISNUMBER(SEARCH({"Formula","Roll-Up Summary"}, $B105))) &gt; 0,$B105 &amp; " (" &amp; $E105 &amp; ")",IF(SUMPRODUCT(-- ISNUMBER(SEARCH({"Content","Currency","Number","Percent","Text","URL"}, $B105))) &gt; 0,$B105 &amp; "(" &amp; $C105 &amp; ")",$B105)))), "  ", TRIM(IF($S105 = "YES", "(External ID)", "") &amp; " " &amp; IF(SUMPRODUCT(-- ISNUMBER(SEARCH({"Unique","Unique Case Insensitive"}, $R105))) &gt; 0, "(" &amp; $R105 &amp; ")", ""))))</f>
        <v>na</v>
      </c>
      <c r="E105" s="7" t="s">
        <v>195</v>
      </c>
      <c r="F105" s="7" t="s">
        <v>195</v>
      </c>
      <c r="G105" s="7" t="s">
        <v>195</v>
      </c>
      <c r="H105" s="7" t="s">
        <v>195</v>
      </c>
      <c r="I105" s="7" t="s">
        <v>195</v>
      </c>
      <c r="J105" s="7" t="s">
        <v>195</v>
      </c>
      <c r="K105" s="7" t="s">
        <v>195</v>
      </c>
      <c r="L105" s="7" t="s">
        <v>195</v>
      </c>
      <c r="M105" s="7" t="s">
        <v>29</v>
      </c>
      <c r="N105" s="7" t="s">
        <v>29</v>
      </c>
      <c r="O105" s="7" t="s">
        <v>29</v>
      </c>
      <c r="P105" s="7" t="s">
        <v>29</v>
      </c>
      <c r="Q105" s="7" t="s">
        <v>29</v>
      </c>
      <c r="R105" s="7" t="s">
        <v>29</v>
      </c>
      <c r="S105" s="7" t="s">
        <v>29</v>
      </c>
    </row>
    <row r="106" spans="2:19">
      <c r="B106" s="7" t="s">
        <v>195</v>
      </c>
      <c r="C106" s="8" t="s">
        <v>195</v>
      </c>
      <c r="D106" s="5" t="str">
        <f>LRTRIM(CONCATENATE(IF(SUMPRODUCT(-- ISNUMBER(SEARCH({"Auto Number"}, $B106))) &gt; 0, $B106, IF(SUMPRODUCT(-- ISNUMBER(SEARCH({"Lookup","Master-Detail"}, $B106))) &gt; 0,$B106 &amp; "(" &amp; $E106 &amp; ")",IF(SUMPRODUCT(-- ISNUMBER(SEARCH({"Formula","Roll-Up Summary"}, $B106))) &gt; 0,$B106 &amp; " (" &amp; $E106 &amp; ")",IF(SUMPRODUCT(-- ISNUMBER(SEARCH({"Content","Currency","Number","Percent","Text","URL"}, $B106))) &gt; 0,$B106 &amp; "(" &amp; $C106 &amp; ")",$B106)))), "  ", TRIM(IF($S106 = "YES", "(External ID)", "") &amp; " " &amp; IF(SUMPRODUCT(-- ISNUMBER(SEARCH({"Unique","Unique Case Insensitive"}, $R106))) &gt; 0, "(" &amp; $R106 &amp; ")", ""))))</f>
        <v>na</v>
      </c>
      <c r="E106" s="7" t="s">
        <v>195</v>
      </c>
      <c r="F106" s="7" t="s">
        <v>195</v>
      </c>
      <c r="G106" s="7" t="s">
        <v>195</v>
      </c>
      <c r="H106" s="7" t="s">
        <v>195</v>
      </c>
      <c r="I106" s="7" t="s">
        <v>195</v>
      </c>
      <c r="J106" s="7" t="s">
        <v>195</v>
      </c>
      <c r="K106" s="7" t="s">
        <v>195</v>
      </c>
      <c r="L106" s="7" t="s">
        <v>195</v>
      </c>
      <c r="M106" s="7" t="s">
        <v>29</v>
      </c>
      <c r="N106" s="7" t="s">
        <v>29</v>
      </c>
      <c r="O106" s="7" t="s">
        <v>29</v>
      </c>
      <c r="P106" s="7" t="s">
        <v>29</v>
      </c>
      <c r="Q106" s="7" t="s">
        <v>29</v>
      </c>
      <c r="R106" s="7" t="s">
        <v>29</v>
      </c>
      <c r="S106" s="7" t="s">
        <v>29</v>
      </c>
    </row>
    <row r="107" spans="2:19">
      <c r="B107" s="7" t="s">
        <v>195</v>
      </c>
      <c r="C107" s="8" t="s">
        <v>195</v>
      </c>
      <c r="D107" s="5" t="str">
        <f>LRTRIM(CONCATENATE(IF(SUMPRODUCT(-- ISNUMBER(SEARCH({"Auto Number"}, $B107))) &gt; 0, $B107, IF(SUMPRODUCT(-- ISNUMBER(SEARCH({"Lookup","Master-Detail"}, $B107))) &gt; 0,$B107 &amp; "(" &amp; $E107 &amp; ")",IF(SUMPRODUCT(-- ISNUMBER(SEARCH({"Formula","Roll-Up Summary"}, $B107))) &gt; 0,$B107 &amp; " (" &amp; $E107 &amp; ")",IF(SUMPRODUCT(-- ISNUMBER(SEARCH({"Content","Currency","Number","Percent","Text","URL"}, $B107))) &gt; 0,$B107 &amp; "(" &amp; $C107 &amp; ")",$B107)))), "  ", TRIM(IF($S107 = "YES", "(External ID)", "") &amp; " " &amp; IF(SUMPRODUCT(-- ISNUMBER(SEARCH({"Unique","Unique Case Insensitive"}, $R107))) &gt; 0, "(" &amp; $R107 &amp; ")", ""))))</f>
        <v>na</v>
      </c>
      <c r="E107" s="7" t="s">
        <v>195</v>
      </c>
      <c r="F107" s="7" t="s">
        <v>195</v>
      </c>
      <c r="G107" s="7" t="s">
        <v>195</v>
      </c>
      <c r="H107" s="7" t="s">
        <v>195</v>
      </c>
      <c r="I107" s="7" t="s">
        <v>195</v>
      </c>
      <c r="J107" s="7" t="s">
        <v>195</v>
      </c>
      <c r="K107" s="7" t="s">
        <v>195</v>
      </c>
      <c r="L107" s="7" t="s">
        <v>195</v>
      </c>
      <c r="M107" s="7" t="s">
        <v>29</v>
      </c>
      <c r="N107" s="7" t="s">
        <v>29</v>
      </c>
      <c r="O107" s="7" t="s">
        <v>29</v>
      </c>
      <c r="P107" s="7" t="s">
        <v>29</v>
      </c>
      <c r="Q107" s="7" t="s">
        <v>29</v>
      </c>
      <c r="R107" s="7" t="s">
        <v>29</v>
      </c>
      <c r="S107" s="7" t="s">
        <v>29</v>
      </c>
    </row>
    <row r="108" spans="2:19">
      <c r="B108" s="7" t="s">
        <v>195</v>
      </c>
      <c r="C108" s="8" t="s">
        <v>195</v>
      </c>
      <c r="D108" s="5" t="str">
        <f>LRTRIM(CONCATENATE(IF(SUMPRODUCT(-- ISNUMBER(SEARCH({"Auto Number"}, $B108))) &gt; 0, $B108, IF(SUMPRODUCT(-- ISNUMBER(SEARCH({"Lookup","Master-Detail"}, $B108))) &gt; 0,$B108 &amp; "(" &amp; $E108 &amp; ")",IF(SUMPRODUCT(-- ISNUMBER(SEARCH({"Formula","Roll-Up Summary"}, $B108))) &gt; 0,$B108 &amp; " (" &amp; $E108 &amp; ")",IF(SUMPRODUCT(-- ISNUMBER(SEARCH({"Content","Currency","Number","Percent","Text","URL"}, $B108))) &gt; 0,$B108 &amp; "(" &amp; $C108 &amp; ")",$B108)))), "  ", TRIM(IF($S108 = "YES", "(External ID)", "") &amp; " " &amp; IF(SUMPRODUCT(-- ISNUMBER(SEARCH({"Unique","Unique Case Insensitive"}, $R108))) &gt; 0, "(" &amp; $R108 &amp; ")", ""))))</f>
        <v>na</v>
      </c>
      <c r="E108" s="7" t="s">
        <v>195</v>
      </c>
      <c r="F108" s="7" t="s">
        <v>195</v>
      </c>
      <c r="G108" s="7" t="s">
        <v>195</v>
      </c>
      <c r="H108" s="7" t="s">
        <v>195</v>
      </c>
      <c r="I108" s="7" t="s">
        <v>195</v>
      </c>
      <c r="J108" s="7" t="s">
        <v>195</v>
      </c>
      <c r="K108" s="7" t="s">
        <v>195</v>
      </c>
      <c r="L108" s="7" t="s">
        <v>195</v>
      </c>
      <c r="M108" s="7" t="s">
        <v>29</v>
      </c>
      <c r="N108" s="7" t="s">
        <v>29</v>
      </c>
      <c r="O108" s="7" t="s">
        <v>29</v>
      </c>
      <c r="P108" s="7" t="s">
        <v>29</v>
      </c>
      <c r="Q108" s="7" t="s">
        <v>29</v>
      </c>
      <c r="R108" s="7" t="s">
        <v>29</v>
      </c>
      <c r="S108" s="7" t="s">
        <v>29</v>
      </c>
    </row>
    <row r="109" spans="2:19">
      <c r="B109" s="7" t="s">
        <v>195</v>
      </c>
      <c r="C109" s="8" t="s">
        <v>195</v>
      </c>
      <c r="D109" s="5" t="str">
        <f>LRTRIM(CONCATENATE(IF(SUMPRODUCT(-- ISNUMBER(SEARCH({"Auto Number"}, $B109))) &gt; 0, $B109, IF(SUMPRODUCT(-- ISNUMBER(SEARCH({"Lookup","Master-Detail"}, $B109))) &gt; 0,$B109 &amp; "(" &amp; $E109 &amp; ")",IF(SUMPRODUCT(-- ISNUMBER(SEARCH({"Formula","Roll-Up Summary"}, $B109))) &gt; 0,$B109 &amp; " (" &amp; $E109 &amp; ")",IF(SUMPRODUCT(-- ISNUMBER(SEARCH({"Content","Currency","Number","Percent","Text","URL"}, $B109))) &gt; 0,$B109 &amp; "(" &amp; $C109 &amp; ")",$B109)))), "  ", TRIM(IF($S109 = "YES", "(External ID)", "") &amp; " " &amp; IF(SUMPRODUCT(-- ISNUMBER(SEARCH({"Unique","Unique Case Insensitive"}, $R109))) &gt; 0, "(" &amp; $R109 &amp; ")", ""))))</f>
        <v>na</v>
      </c>
      <c r="E109" s="7" t="s">
        <v>195</v>
      </c>
      <c r="F109" s="7" t="s">
        <v>195</v>
      </c>
      <c r="G109" s="7" t="s">
        <v>195</v>
      </c>
      <c r="H109" s="7" t="s">
        <v>195</v>
      </c>
      <c r="I109" s="7" t="s">
        <v>195</v>
      </c>
      <c r="J109" s="7" t="s">
        <v>195</v>
      </c>
      <c r="K109" s="7" t="s">
        <v>195</v>
      </c>
      <c r="L109" s="7" t="s">
        <v>195</v>
      </c>
      <c r="M109" s="7" t="s">
        <v>29</v>
      </c>
      <c r="N109" s="7" t="s">
        <v>29</v>
      </c>
      <c r="O109" s="7" t="s">
        <v>29</v>
      </c>
      <c r="P109" s="7" t="s">
        <v>29</v>
      </c>
      <c r="Q109" s="7" t="s">
        <v>29</v>
      </c>
      <c r="R109" s="7" t="s">
        <v>29</v>
      </c>
      <c r="S109" s="7" t="s">
        <v>29</v>
      </c>
    </row>
    <row r="110" spans="2:19">
      <c r="B110" s="7" t="s">
        <v>195</v>
      </c>
      <c r="C110" s="8" t="s">
        <v>195</v>
      </c>
      <c r="D110" s="5" t="str">
        <f>LRTRIM(CONCATENATE(IF(SUMPRODUCT(-- ISNUMBER(SEARCH({"Auto Number"}, $B110))) &gt; 0, $B110, IF(SUMPRODUCT(-- ISNUMBER(SEARCH({"Lookup","Master-Detail"}, $B110))) &gt; 0,$B110 &amp; "(" &amp; $E110 &amp; ")",IF(SUMPRODUCT(-- ISNUMBER(SEARCH({"Formula","Roll-Up Summary"}, $B110))) &gt; 0,$B110 &amp; " (" &amp; $E110 &amp; ")",IF(SUMPRODUCT(-- ISNUMBER(SEARCH({"Content","Currency","Number","Percent","Text","URL"}, $B110))) &gt; 0,$B110 &amp; "(" &amp; $C110 &amp; ")",$B110)))), "  ", TRIM(IF($S110 = "YES", "(External ID)", "") &amp; " " &amp; IF(SUMPRODUCT(-- ISNUMBER(SEARCH({"Unique","Unique Case Insensitive"}, $R110))) &gt; 0, "(" &amp; $R110 &amp; ")", ""))))</f>
        <v>na</v>
      </c>
      <c r="E110" s="7" t="s">
        <v>195</v>
      </c>
      <c r="F110" s="7" t="s">
        <v>195</v>
      </c>
      <c r="G110" s="7" t="s">
        <v>195</v>
      </c>
      <c r="H110" s="7" t="s">
        <v>195</v>
      </c>
      <c r="I110" s="7" t="s">
        <v>195</v>
      </c>
      <c r="J110" s="7" t="s">
        <v>195</v>
      </c>
      <c r="K110" s="7" t="s">
        <v>195</v>
      </c>
      <c r="L110" s="7" t="s">
        <v>195</v>
      </c>
      <c r="M110" s="7" t="s">
        <v>29</v>
      </c>
      <c r="N110" s="7" t="s">
        <v>29</v>
      </c>
      <c r="O110" s="7" t="s">
        <v>29</v>
      </c>
      <c r="P110" s="7" t="s">
        <v>29</v>
      </c>
      <c r="Q110" s="7" t="s">
        <v>29</v>
      </c>
      <c r="R110" s="7" t="s">
        <v>29</v>
      </c>
      <c r="S110" s="7" t="s">
        <v>29</v>
      </c>
    </row>
    <row r="111" spans="2:19">
      <c r="B111" s="7" t="s">
        <v>195</v>
      </c>
      <c r="C111" s="8" t="s">
        <v>195</v>
      </c>
      <c r="D111" s="5" t="str">
        <f>LRTRIM(CONCATENATE(IF(SUMPRODUCT(-- ISNUMBER(SEARCH({"Auto Number"}, $B111))) &gt; 0, $B111, IF(SUMPRODUCT(-- ISNUMBER(SEARCH({"Lookup","Master-Detail"}, $B111))) &gt; 0,$B111 &amp; "(" &amp; $E111 &amp; ")",IF(SUMPRODUCT(-- ISNUMBER(SEARCH({"Formula","Roll-Up Summary"}, $B111))) &gt; 0,$B111 &amp; " (" &amp; $E111 &amp; ")",IF(SUMPRODUCT(-- ISNUMBER(SEARCH({"Content","Currency","Number","Percent","Text","URL"}, $B111))) &gt; 0,$B111 &amp; "(" &amp; $C111 &amp; ")",$B111)))), "  ", TRIM(IF($S111 = "YES", "(External ID)", "") &amp; " " &amp; IF(SUMPRODUCT(-- ISNUMBER(SEARCH({"Unique","Unique Case Insensitive"}, $R111))) &gt; 0, "(" &amp; $R111 &amp; ")", ""))))</f>
        <v>na</v>
      </c>
      <c r="E111" s="7" t="s">
        <v>195</v>
      </c>
      <c r="F111" s="7" t="s">
        <v>195</v>
      </c>
      <c r="G111" s="7" t="s">
        <v>195</v>
      </c>
      <c r="H111" s="7" t="s">
        <v>195</v>
      </c>
      <c r="I111" s="7" t="s">
        <v>195</v>
      </c>
      <c r="J111" s="7" t="s">
        <v>195</v>
      </c>
      <c r="K111" s="7" t="s">
        <v>195</v>
      </c>
      <c r="L111" s="7" t="s">
        <v>195</v>
      </c>
      <c r="M111" s="7" t="s">
        <v>29</v>
      </c>
      <c r="N111" s="7" t="s">
        <v>29</v>
      </c>
      <c r="O111" s="7" t="s">
        <v>29</v>
      </c>
      <c r="P111" s="7" t="s">
        <v>29</v>
      </c>
      <c r="Q111" s="7" t="s">
        <v>29</v>
      </c>
      <c r="R111" s="7" t="s">
        <v>29</v>
      </c>
      <c r="S111" s="7" t="s">
        <v>29</v>
      </c>
    </row>
    <row r="112" spans="2:19">
      <c r="B112" s="7" t="s">
        <v>195</v>
      </c>
      <c r="C112" s="8" t="s">
        <v>195</v>
      </c>
      <c r="D112" s="5" t="str">
        <f>LRTRIM(CONCATENATE(IF(SUMPRODUCT(-- ISNUMBER(SEARCH({"Auto Number"}, $B112))) &gt; 0, $B112, IF(SUMPRODUCT(-- ISNUMBER(SEARCH({"Lookup","Master-Detail"}, $B112))) &gt; 0,$B112 &amp; "(" &amp; $E112 &amp; ")",IF(SUMPRODUCT(-- ISNUMBER(SEARCH({"Formula","Roll-Up Summary"}, $B112))) &gt; 0,$B112 &amp; " (" &amp; $E112 &amp; ")",IF(SUMPRODUCT(-- ISNUMBER(SEARCH({"Content","Currency","Number","Percent","Text","URL"}, $B112))) &gt; 0,$B112 &amp; "(" &amp; $C112 &amp; ")",$B112)))), "  ", TRIM(IF($S112 = "YES", "(External ID)", "") &amp; " " &amp; IF(SUMPRODUCT(-- ISNUMBER(SEARCH({"Unique","Unique Case Insensitive"}, $R112))) &gt; 0, "(" &amp; $R112 &amp; ")", ""))))</f>
        <v>na</v>
      </c>
      <c r="E112" s="7" t="s">
        <v>195</v>
      </c>
      <c r="F112" s="7" t="s">
        <v>195</v>
      </c>
      <c r="G112" s="7" t="s">
        <v>195</v>
      </c>
      <c r="H112" s="7" t="s">
        <v>195</v>
      </c>
      <c r="I112" s="7" t="s">
        <v>195</v>
      </c>
      <c r="J112" s="7" t="s">
        <v>195</v>
      </c>
      <c r="K112" s="7" t="s">
        <v>195</v>
      </c>
      <c r="L112" s="7" t="s">
        <v>195</v>
      </c>
      <c r="M112" s="7" t="s">
        <v>29</v>
      </c>
      <c r="N112" s="7" t="s">
        <v>29</v>
      </c>
      <c r="O112" s="7" t="s">
        <v>29</v>
      </c>
      <c r="P112" s="7" t="s">
        <v>29</v>
      </c>
      <c r="Q112" s="7" t="s">
        <v>29</v>
      </c>
      <c r="R112" s="7" t="s">
        <v>29</v>
      </c>
      <c r="S112" s="7" t="s">
        <v>29</v>
      </c>
    </row>
    <row r="113" spans="2:19">
      <c r="B113" s="7" t="s">
        <v>195</v>
      </c>
      <c r="C113" s="8" t="s">
        <v>195</v>
      </c>
      <c r="D113" s="5" t="str">
        <f>LRTRIM(CONCATENATE(IF(SUMPRODUCT(-- ISNUMBER(SEARCH({"Auto Number"}, $B113))) &gt; 0, $B113, IF(SUMPRODUCT(-- ISNUMBER(SEARCH({"Lookup","Master-Detail"}, $B113))) &gt; 0,$B113 &amp; "(" &amp; $E113 &amp; ")",IF(SUMPRODUCT(-- ISNUMBER(SEARCH({"Formula","Roll-Up Summary"}, $B113))) &gt; 0,$B113 &amp; " (" &amp; $E113 &amp; ")",IF(SUMPRODUCT(-- ISNUMBER(SEARCH({"Content","Currency","Number","Percent","Text","URL"}, $B113))) &gt; 0,$B113 &amp; "(" &amp; $C113 &amp; ")",$B113)))), "  ", TRIM(IF($S113 = "YES", "(External ID)", "") &amp; " " &amp; IF(SUMPRODUCT(-- ISNUMBER(SEARCH({"Unique","Unique Case Insensitive"}, $R113))) &gt; 0, "(" &amp; $R113 &amp; ")", ""))))</f>
        <v>na</v>
      </c>
      <c r="E113" s="7" t="s">
        <v>195</v>
      </c>
      <c r="F113" s="7" t="s">
        <v>195</v>
      </c>
      <c r="G113" s="7" t="s">
        <v>195</v>
      </c>
      <c r="H113" s="7" t="s">
        <v>195</v>
      </c>
      <c r="I113" s="7" t="s">
        <v>195</v>
      </c>
      <c r="J113" s="7" t="s">
        <v>195</v>
      </c>
      <c r="K113" s="7" t="s">
        <v>195</v>
      </c>
      <c r="L113" s="7" t="s">
        <v>195</v>
      </c>
      <c r="M113" s="7" t="s">
        <v>29</v>
      </c>
      <c r="N113" s="7" t="s">
        <v>29</v>
      </c>
      <c r="O113" s="7" t="s">
        <v>29</v>
      </c>
      <c r="P113" s="7" t="s">
        <v>29</v>
      </c>
      <c r="Q113" s="7" t="s">
        <v>29</v>
      </c>
      <c r="R113" s="7" t="s">
        <v>29</v>
      </c>
      <c r="S113" s="7" t="s">
        <v>29</v>
      </c>
    </row>
    <row r="114" spans="2:19">
      <c r="B114" s="7" t="s">
        <v>195</v>
      </c>
      <c r="C114" s="8" t="s">
        <v>195</v>
      </c>
      <c r="D114" s="5" t="str">
        <f>LRTRIM(CONCATENATE(IF(SUMPRODUCT(-- ISNUMBER(SEARCH({"Auto Number"}, $B114))) &gt; 0, $B114, IF(SUMPRODUCT(-- ISNUMBER(SEARCH({"Lookup","Master-Detail"}, $B114))) &gt; 0,$B114 &amp; "(" &amp; $E114 &amp; ")",IF(SUMPRODUCT(-- ISNUMBER(SEARCH({"Formula","Roll-Up Summary"}, $B114))) &gt; 0,$B114 &amp; " (" &amp; $E114 &amp; ")",IF(SUMPRODUCT(-- ISNUMBER(SEARCH({"Content","Currency","Number","Percent","Text","URL"}, $B114))) &gt; 0,$B114 &amp; "(" &amp; $C114 &amp; ")",$B114)))), "  ", TRIM(IF($S114 = "YES", "(External ID)", "") &amp; " " &amp; IF(SUMPRODUCT(-- ISNUMBER(SEARCH({"Unique","Unique Case Insensitive"}, $R114))) &gt; 0, "(" &amp; $R114 &amp; ")", ""))))</f>
        <v>na</v>
      </c>
      <c r="E114" s="7" t="s">
        <v>195</v>
      </c>
      <c r="F114" s="7" t="s">
        <v>195</v>
      </c>
      <c r="G114" s="7" t="s">
        <v>195</v>
      </c>
      <c r="H114" s="7" t="s">
        <v>195</v>
      </c>
      <c r="I114" s="7" t="s">
        <v>195</v>
      </c>
      <c r="J114" s="7" t="s">
        <v>195</v>
      </c>
      <c r="K114" s="7" t="s">
        <v>195</v>
      </c>
      <c r="L114" s="7" t="s">
        <v>195</v>
      </c>
      <c r="M114" s="7" t="s">
        <v>29</v>
      </c>
      <c r="N114" s="7" t="s">
        <v>29</v>
      </c>
      <c r="O114" s="7" t="s">
        <v>29</v>
      </c>
      <c r="P114" s="7" t="s">
        <v>29</v>
      </c>
      <c r="Q114" s="7" t="s">
        <v>29</v>
      </c>
      <c r="R114" s="7" t="s">
        <v>29</v>
      </c>
      <c r="S114" s="7" t="s">
        <v>29</v>
      </c>
    </row>
    <row r="115" spans="2:19">
      <c r="B115" s="7" t="s">
        <v>195</v>
      </c>
      <c r="C115" s="8" t="s">
        <v>195</v>
      </c>
      <c r="D115" s="5" t="str">
        <f>LRTRIM(CONCATENATE(IF(SUMPRODUCT(-- ISNUMBER(SEARCH({"Auto Number"}, $B115))) &gt; 0, $B115, IF(SUMPRODUCT(-- ISNUMBER(SEARCH({"Lookup","Master-Detail"}, $B115))) &gt; 0,$B115 &amp; "(" &amp; $E115 &amp; ")",IF(SUMPRODUCT(-- ISNUMBER(SEARCH({"Formula","Roll-Up Summary"}, $B115))) &gt; 0,$B115 &amp; " (" &amp; $E115 &amp; ")",IF(SUMPRODUCT(-- ISNUMBER(SEARCH({"Content","Currency","Number","Percent","Text","URL"}, $B115))) &gt; 0,$B115 &amp; "(" &amp; $C115 &amp; ")",$B115)))), "  ", TRIM(IF($S115 = "YES", "(External ID)", "") &amp; " " &amp; IF(SUMPRODUCT(-- ISNUMBER(SEARCH({"Unique","Unique Case Insensitive"}, $R115))) &gt; 0, "(" &amp; $R115 &amp; ")", ""))))</f>
        <v>na</v>
      </c>
      <c r="E115" s="7" t="s">
        <v>195</v>
      </c>
      <c r="F115" s="7" t="s">
        <v>195</v>
      </c>
      <c r="G115" s="7" t="s">
        <v>195</v>
      </c>
      <c r="H115" s="7" t="s">
        <v>195</v>
      </c>
      <c r="I115" s="7" t="s">
        <v>195</v>
      </c>
      <c r="J115" s="7" t="s">
        <v>195</v>
      </c>
      <c r="K115" s="7" t="s">
        <v>195</v>
      </c>
      <c r="L115" s="7" t="s">
        <v>195</v>
      </c>
      <c r="M115" s="7" t="s">
        <v>29</v>
      </c>
      <c r="N115" s="7" t="s">
        <v>29</v>
      </c>
      <c r="O115" s="7" t="s">
        <v>29</v>
      </c>
      <c r="P115" s="7" t="s">
        <v>29</v>
      </c>
      <c r="Q115" s="7" t="s">
        <v>29</v>
      </c>
      <c r="R115" s="7" t="s">
        <v>29</v>
      </c>
      <c r="S115" s="7" t="s">
        <v>29</v>
      </c>
    </row>
    <row r="116" spans="2:19">
      <c r="B116" s="7" t="s">
        <v>195</v>
      </c>
      <c r="C116" s="8" t="s">
        <v>195</v>
      </c>
      <c r="D116" s="5" t="str">
        <f>LRTRIM(CONCATENATE(IF(SUMPRODUCT(-- ISNUMBER(SEARCH({"Auto Number"}, $B116))) &gt; 0, $B116, IF(SUMPRODUCT(-- ISNUMBER(SEARCH({"Lookup","Master-Detail"}, $B116))) &gt; 0,$B116 &amp; "(" &amp; $E116 &amp; ")",IF(SUMPRODUCT(-- ISNUMBER(SEARCH({"Formula","Roll-Up Summary"}, $B116))) &gt; 0,$B116 &amp; " (" &amp; $E116 &amp; ")",IF(SUMPRODUCT(-- ISNUMBER(SEARCH({"Content","Currency","Number","Percent","Text","URL"}, $B116))) &gt; 0,$B116 &amp; "(" &amp; $C116 &amp; ")",$B116)))), "  ", TRIM(IF($S116 = "YES", "(External ID)", "") &amp; " " &amp; IF(SUMPRODUCT(-- ISNUMBER(SEARCH({"Unique","Unique Case Insensitive"}, $R116))) &gt; 0, "(" &amp; $R116 &amp; ")", ""))))</f>
        <v>na</v>
      </c>
      <c r="E116" s="7" t="s">
        <v>195</v>
      </c>
      <c r="F116" s="7" t="s">
        <v>195</v>
      </c>
      <c r="G116" s="7" t="s">
        <v>195</v>
      </c>
      <c r="H116" s="7" t="s">
        <v>195</v>
      </c>
      <c r="I116" s="7" t="s">
        <v>195</v>
      </c>
      <c r="J116" s="7" t="s">
        <v>195</v>
      </c>
      <c r="K116" s="7" t="s">
        <v>195</v>
      </c>
      <c r="L116" s="7" t="s">
        <v>195</v>
      </c>
      <c r="M116" s="7" t="s">
        <v>29</v>
      </c>
      <c r="N116" s="7" t="s">
        <v>29</v>
      </c>
      <c r="O116" s="7" t="s">
        <v>29</v>
      </c>
      <c r="P116" s="7" t="s">
        <v>29</v>
      </c>
      <c r="Q116" s="7" t="s">
        <v>29</v>
      </c>
      <c r="R116" s="7" t="s">
        <v>29</v>
      </c>
      <c r="S116" s="7" t="s">
        <v>29</v>
      </c>
    </row>
    <row r="117" spans="2:19">
      <c r="B117" s="7" t="s">
        <v>195</v>
      </c>
      <c r="C117" s="8" t="s">
        <v>195</v>
      </c>
      <c r="D117" s="5" t="str">
        <f>LRTRIM(CONCATENATE(IF(SUMPRODUCT(-- ISNUMBER(SEARCH({"Auto Number"}, $B117))) &gt; 0, $B117, IF(SUMPRODUCT(-- ISNUMBER(SEARCH({"Lookup","Master-Detail"}, $B117))) &gt; 0,$B117 &amp; "(" &amp; $E117 &amp; ")",IF(SUMPRODUCT(-- ISNUMBER(SEARCH({"Formula","Roll-Up Summary"}, $B117))) &gt; 0,$B117 &amp; " (" &amp; $E117 &amp; ")",IF(SUMPRODUCT(-- ISNUMBER(SEARCH({"Content","Currency","Number","Percent","Text","URL"}, $B117))) &gt; 0,$B117 &amp; "(" &amp; $C117 &amp; ")",$B117)))), "  ", TRIM(IF($S117 = "YES", "(External ID)", "") &amp; " " &amp; IF(SUMPRODUCT(-- ISNUMBER(SEARCH({"Unique","Unique Case Insensitive"}, $R117))) &gt; 0, "(" &amp; $R117 &amp; ")", ""))))</f>
        <v>na</v>
      </c>
      <c r="E117" s="7" t="s">
        <v>195</v>
      </c>
      <c r="F117" s="7" t="s">
        <v>195</v>
      </c>
      <c r="G117" s="7" t="s">
        <v>195</v>
      </c>
      <c r="H117" s="7" t="s">
        <v>195</v>
      </c>
      <c r="I117" s="7" t="s">
        <v>195</v>
      </c>
      <c r="J117" s="7" t="s">
        <v>195</v>
      </c>
      <c r="K117" s="7" t="s">
        <v>195</v>
      </c>
      <c r="L117" s="7" t="s">
        <v>195</v>
      </c>
      <c r="M117" s="7" t="s">
        <v>29</v>
      </c>
      <c r="N117" s="7" t="s">
        <v>29</v>
      </c>
      <c r="O117" s="7" t="s">
        <v>29</v>
      </c>
      <c r="P117" s="7" t="s">
        <v>29</v>
      </c>
      <c r="Q117" s="7" t="s">
        <v>29</v>
      </c>
      <c r="R117" s="7" t="s">
        <v>29</v>
      </c>
      <c r="S117" s="7" t="s">
        <v>29</v>
      </c>
    </row>
    <row r="118" spans="2:19">
      <c r="B118" s="7" t="s">
        <v>195</v>
      </c>
      <c r="C118" s="8" t="s">
        <v>195</v>
      </c>
      <c r="D118" s="5" t="str">
        <f>LRTRIM(CONCATENATE(IF(SUMPRODUCT(-- ISNUMBER(SEARCH({"Auto Number"}, $B118))) &gt; 0, $B118, IF(SUMPRODUCT(-- ISNUMBER(SEARCH({"Lookup","Master-Detail"}, $B118))) &gt; 0,$B118 &amp; "(" &amp; $E118 &amp; ")",IF(SUMPRODUCT(-- ISNUMBER(SEARCH({"Formula","Roll-Up Summary"}, $B118))) &gt; 0,$B118 &amp; " (" &amp; $E118 &amp; ")",IF(SUMPRODUCT(-- ISNUMBER(SEARCH({"Content","Currency","Number","Percent","Text","URL"}, $B118))) &gt; 0,$B118 &amp; "(" &amp; $C118 &amp; ")",$B118)))), "  ", TRIM(IF($S118 = "YES", "(External ID)", "") &amp; " " &amp; IF(SUMPRODUCT(-- ISNUMBER(SEARCH({"Unique","Unique Case Insensitive"}, $R118))) &gt; 0, "(" &amp; $R118 &amp; ")", ""))))</f>
        <v>na</v>
      </c>
      <c r="E118" s="7" t="s">
        <v>195</v>
      </c>
      <c r="F118" s="7" t="s">
        <v>195</v>
      </c>
      <c r="G118" s="7" t="s">
        <v>195</v>
      </c>
      <c r="H118" s="7" t="s">
        <v>195</v>
      </c>
      <c r="I118" s="7" t="s">
        <v>195</v>
      </c>
      <c r="J118" s="7" t="s">
        <v>195</v>
      </c>
      <c r="K118" s="7" t="s">
        <v>195</v>
      </c>
      <c r="L118" s="7" t="s">
        <v>195</v>
      </c>
      <c r="M118" s="7" t="s">
        <v>29</v>
      </c>
      <c r="N118" s="7" t="s">
        <v>29</v>
      </c>
      <c r="O118" s="7" t="s">
        <v>29</v>
      </c>
      <c r="P118" s="7" t="s">
        <v>29</v>
      </c>
      <c r="Q118" s="7" t="s">
        <v>29</v>
      </c>
      <c r="R118" s="7" t="s">
        <v>29</v>
      </c>
      <c r="S118" s="7" t="s">
        <v>29</v>
      </c>
    </row>
    <row r="119" spans="2:19">
      <c r="B119" s="7" t="s">
        <v>195</v>
      </c>
      <c r="C119" s="8" t="s">
        <v>195</v>
      </c>
      <c r="D119" s="5" t="str">
        <f>LRTRIM(CONCATENATE(IF(SUMPRODUCT(-- ISNUMBER(SEARCH({"Auto Number"}, $B119))) &gt; 0, $B119, IF(SUMPRODUCT(-- ISNUMBER(SEARCH({"Lookup","Master-Detail"}, $B119))) &gt; 0,$B119 &amp; "(" &amp; $E119 &amp; ")",IF(SUMPRODUCT(-- ISNUMBER(SEARCH({"Formula","Roll-Up Summary"}, $B119))) &gt; 0,$B119 &amp; " (" &amp; $E119 &amp; ")",IF(SUMPRODUCT(-- ISNUMBER(SEARCH({"Content","Currency","Number","Percent","Text","URL"}, $B119))) &gt; 0,$B119 &amp; "(" &amp; $C119 &amp; ")",$B119)))), "  ", TRIM(IF($S119 = "YES", "(External ID)", "") &amp; " " &amp; IF(SUMPRODUCT(-- ISNUMBER(SEARCH({"Unique","Unique Case Insensitive"}, $R119))) &gt; 0, "(" &amp; $R119 &amp; ")", ""))))</f>
        <v>na</v>
      </c>
      <c r="E119" s="7" t="s">
        <v>195</v>
      </c>
      <c r="F119" s="7" t="s">
        <v>195</v>
      </c>
      <c r="G119" s="7" t="s">
        <v>195</v>
      </c>
      <c r="H119" s="7" t="s">
        <v>195</v>
      </c>
      <c r="I119" s="7" t="s">
        <v>195</v>
      </c>
      <c r="J119" s="7" t="s">
        <v>195</v>
      </c>
      <c r="K119" s="7" t="s">
        <v>195</v>
      </c>
      <c r="L119" s="7" t="s">
        <v>195</v>
      </c>
      <c r="M119" s="7" t="s">
        <v>29</v>
      </c>
      <c r="N119" s="7" t="s">
        <v>29</v>
      </c>
      <c r="O119" s="7" t="s">
        <v>29</v>
      </c>
      <c r="P119" s="7" t="s">
        <v>29</v>
      </c>
      <c r="Q119" s="7" t="s">
        <v>29</v>
      </c>
      <c r="R119" s="7" t="s">
        <v>29</v>
      </c>
      <c r="S119" s="7" t="s">
        <v>29</v>
      </c>
    </row>
    <row r="120" spans="2:19">
      <c r="B120" s="7" t="s">
        <v>195</v>
      </c>
      <c r="C120" s="8" t="s">
        <v>195</v>
      </c>
      <c r="D120" s="5" t="str">
        <f>LRTRIM(CONCATENATE(IF(SUMPRODUCT(-- ISNUMBER(SEARCH({"Auto Number"}, $B120))) &gt; 0, $B120, IF(SUMPRODUCT(-- ISNUMBER(SEARCH({"Lookup","Master-Detail"}, $B120))) &gt; 0,$B120 &amp; "(" &amp; $E120 &amp; ")",IF(SUMPRODUCT(-- ISNUMBER(SEARCH({"Formula","Roll-Up Summary"}, $B120))) &gt; 0,$B120 &amp; " (" &amp; $E120 &amp; ")",IF(SUMPRODUCT(-- ISNUMBER(SEARCH({"Content","Currency","Number","Percent","Text","URL"}, $B120))) &gt; 0,$B120 &amp; "(" &amp; $C120 &amp; ")",$B120)))), "  ", TRIM(IF($S120 = "YES", "(External ID)", "") &amp; " " &amp; IF(SUMPRODUCT(-- ISNUMBER(SEARCH({"Unique","Unique Case Insensitive"}, $R120))) &gt; 0, "(" &amp; $R120 &amp; ")", ""))))</f>
        <v>na</v>
      </c>
      <c r="E120" s="7" t="s">
        <v>195</v>
      </c>
      <c r="F120" s="7" t="s">
        <v>195</v>
      </c>
      <c r="G120" s="7" t="s">
        <v>195</v>
      </c>
      <c r="H120" s="7" t="s">
        <v>195</v>
      </c>
      <c r="I120" s="7" t="s">
        <v>195</v>
      </c>
      <c r="J120" s="7" t="s">
        <v>195</v>
      </c>
      <c r="K120" s="7" t="s">
        <v>195</v>
      </c>
      <c r="L120" s="7" t="s">
        <v>195</v>
      </c>
      <c r="M120" s="7" t="s">
        <v>29</v>
      </c>
      <c r="N120" s="7" t="s">
        <v>29</v>
      </c>
      <c r="O120" s="7" t="s">
        <v>29</v>
      </c>
      <c r="P120" s="7" t="s">
        <v>29</v>
      </c>
      <c r="Q120" s="7" t="s">
        <v>29</v>
      </c>
      <c r="R120" s="7" t="s">
        <v>29</v>
      </c>
      <c r="S120" s="7" t="s">
        <v>29</v>
      </c>
    </row>
    <row r="121" spans="2:19">
      <c r="B121" s="7" t="s">
        <v>195</v>
      </c>
      <c r="C121" s="8" t="s">
        <v>195</v>
      </c>
      <c r="D121" s="5" t="str">
        <f>LRTRIM(CONCATENATE(IF(SUMPRODUCT(-- ISNUMBER(SEARCH({"Auto Number"}, $B121))) &gt; 0, $B121, IF(SUMPRODUCT(-- ISNUMBER(SEARCH({"Lookup","Master-Detail"}, $B121))) &gt; 0,$B121 &amp; "(" &amp; $E121 &amp; ")",IF(SUMPRODUCT(-- ISNUMBER(SEARCH({"Formula","Roll-Up Summary"}, $B121))) &gt; 0,$B121 &amp; " (" &amp; $E121 &amp; ")",IF(SUMPRODUCT(-- ISNUMBER(SEARCH({"Content","Currency","Number","Percent","Text","URL"}, $B121))) &gt; 0,$B121 &amp; "(" &amp; $C121 &amp; ")",$B121)))), "  ", TRIM(IF($S121 = "YES", "(External ID)", "") &amp; " " &amp; IF(SUMPRODUCT(-- ISNUMBER(SEARCH({"Unique","Unique Case Insensitive"}, $R121))) &gt; 0, "(" &amp; $R121 &amp; ")", ""))))</f>
        <v>na</v>
      </c>
      <c r="E121" s="7" t="s">
        <v>195</v>
      </c>
      <c r="F121" s="7" t="s">
        <v>195</v>
      </c>
      <c r="G121" s="7" t="s">
        <v>195</v>
      </c>
      <c r="H121" s="7" t="s">
        <v>195</v>
      </c>
      <c r="I121" s="7" t="s">
        <v>195</v>
      </c>
      <c r="J121" s="7" t="s">
        <v>195</v>
      </c>
      <c r="K121" s="7" t="s">
        <v>195</v>
      </c>
      <c r="L121" s="7" t="s">
        <v>195</v>
      </c>
      <c r="M121" s="7" t="s">
        <v>29</v>
      </c>
      <c r="N121" s="7" t="s">
        <v>29</v>
      </c>
      <c r="O121" s="7" t="s">
        <v>29</v>
      </c>
      <c r="P121" s="7" t="s">
        <v>29</v>
      </c>
      <c r="Q121" s="7" t="s">
        <v>29</v>
      </c>
      <c r="R121" s="7" t="s">
        <v>29</v>
      </c>
      <c r="S121" s="7" t="s">
        <v>29</v>
      </c>
    </row>
    <row r="122" spans="2:19">
      <c r="B122" s="7" t="s">
        <v>195</v>
      </c>
      <c r="C122" s="8" t="s">
        <v>195</v>
      </c>
      <c r="D122" s="5" t="str">
        <f>LRTRIM(CONCATENATE(IF(SUMPRODUCT(-- ISNUMBER(SEARCH({"Auto Number"}, $B122))) &gt; 0, $B122, IF(SUMPRODUCT(-- ISNUMBER(SEARCH({"Lookup","Master-Detail"}, $B122))) &gt; 0,$B122 &amp; "(" &amp; $E122 &amp; ")",IF(SUMPRODUCT(-- ISNUMBER(SEARCH({"Formula","Roll-Up Summary"}, $B122))) &gt; 0,$B122 &amp; " (" &amp; $E122 &amp; ")",IF(SUMPRODUCT(-- ISNUMBER(SEARCH({"Content","Currency","Number","Percent","Text","URL"}, $B122))) &gt; 0,$B122 &amp; "(" &amp; $C122 &amp; ")",$B122)))), "  ", TRIM(IF($S122 = "YES", "(External ID)", "") &amp; " " &amp; IF(SUMPRODUCT(-- ISNUMBER(SEARCH({"Unique","Unique Case Insensitive"}, $R122))) &gt; 0, "(" &amp; $R122 &amp; ")", ""))))</f>
        <v>na</v>
      </c>
      <c r="E122" s="7" t="s">
        <v>195</v>
      </c>
      <c r="F122" s="7" t="s">
        <v>195</v>
      </c>
      <c r="G122" s="7" t="s">
        <v>195</v>
      </c>
      <c r="H122" s="7" t="s">
        <v>195</v>
      </c>
      <c r="I122" s="7" t="s">
        <v>195</v>
      </c>
      <c r="J122" s="7" t="s">
        <v>195</v>
      </c>
      <c r="K122" s="7" t="s">
        <v>195</v>
      </c>
      <c r="L122" s="7" t="s">
        <v>195</v>
      </c>
      <c r="M122" s="7" t="s">
        <v>29</v>
      </c>
      <c r="N122" s="7" t="s">
        <v>29</v>
      </c>
      <c r="O122" s="7" t="s">
        <v>29</v>
      </c>
      <c r="P122" s="7" t="s">
        <v>29</v>
      </c>
      <c r="Q122" s="7" t="s">
        <v>29</v>
      </c>
      <c r="R122" s="7" t="s">
        <v>29</v>
      </c>
      <c r="S122" s="7" t="s">
        <v>29</v>
      </c>
    </row>
    <row r="123" spans="2:19">
      <c r="B123" s="7" t="s">
        <v>195</v>
      </c>
      <c r="C123" s="8" t="s">
        <v>195</v>
      </c>
      <c r="D123" s="5" t="str">
        <f>LRTRIM(CONCATENATE(IF(SUMPRODUCT(-- ISNUMBER(SEARCH({"Auto Number"}, $B123))) &gt; 0, $B123, IF(SUMPRODUCT(-- ISNUMBER(SEARCH({"Lookup","Master-Detail"}, $B123))) &gt; 0,$B123 &amp; "(" &amp; $E123 &amp; ")",IF(SUMPRODUCT(-- ISNUMBER(SEARCH({"Formula","Roll-Up Summary"}, $B123))) &gt; 0,$B123 &amp; " (" &amp; $E123 &amp; ")",IF(SUMPRODUCT(-- ISNUMBER(SEARCH({"Content","Currency","Number","Percent","Text","URL"}, $B123))) &gt; 0,$B123 &amp; "(" &amp; $C123 &amp; ")",$B123)))), "  ", TRIM(IF($S123 = "YES", "(External ID)", "") &amp; " " &amp; IF(SUMPRODUCT(-- ISNUMBER(SEARCH({"Unique","Unique Case Insensitive"}, $R123))) &gt; 0, "(" &amp; $R123 &amp; ")", ""))))</f>
        <v>na</v>
      </c>
      <c r="E123" s="7" t="s">
        <v>195</v>
      </c>
      <c r="F123" s="7" t="s">
        <v>195</v>
      </c>
      <c r="G123" s="7" t="s">
        <v>195</v>
      </c>
      <c r="H123" s="7" t="s">
        <v>195</v>
      </c>
      <c r="I123" s="7" t="s">
        <v>195</v>
      </c>
      <c r="J123" s="7" t="s">
        <v>195</v>
      </c>
      <c r="K123" s="7" t="s">
        <v>195</v>
      </c>
      <c r="L123" s="7" t="s">
        <v>195</v>
      </c>
      <c r="M123" s="7" t="s">
        <v>29</v>
      </c>
      <c r="N123" s="7" t="s">
        <v>29</v>
      </c>
      <c r="O123" s="7" t="s">
        <v>29</v>
      </c>
      <c r="P123" s="7" t="s">
        <v>29</v>
      </c>
      <c r="Q123" s="7" t="s">
        <v>29</v>
      </c>
      <c r="R123" s="7" t="s">
        <v>29</v>
      </c>
      <c r="S123" s="7" t="s">
        <v>29</v>
      </c>
    </row>
    <row r="124" spans="2:19">
      <c r="B124" s="7" t="s">
        <v>195</v>
      </c>
      <c r="C124" s="8" t="s">
        <v>195</v>
      </c>
      <c r="D124" s="5" t="str">
        <f>LRTRIM(CONCATENATE(IF(SUMPRODUCT(-- ISNUMBER(SEARCH({"Auto Number"}, $B124))) &gt; 0, $B124, IF(SUMPRODUCT(-- ISNUMBER(SEARCH({"Lookup","Master-Detail"}, $B124))) &gt; 0,$B124 &amp; "(" &amp; $E124 &amp; ")",IF(SUMPRODUCT(-- ISNUMBER(SEARCH({"Formula","Roll-Up Summary"}, $B124))) &gt; 0,$B124 &amp; " (" &amp; $E124 &amp; ")",IF(SUMPRODUCT(-- ISNUMBER(SEARCH({"Content","Currency","Number","Percent","Text","URL"}, $B124))) &gt; 0,$B124 &amp; "(" &amp; $C124 &amp; ")",$B124)))), "  ", TRIM(IF($S124 = "YES", "(External ID)", "") &amp; " " &amp; IF(SUMPRODUCT(-- ISNUMBER(SEARCH({"Unique","Unique Case Insensitive"}, $R124))) &gt; 0, "(" &amp; $R124 &amp; ")", ""))))</f>
        <v>na</v>
      </c>
      <c r="E124" s="7" t="s">
        <v>195</v>
      </c>
      <c r="F124" s="7" t="s">
        <v>195</v>
      </c>
      <c r="G124" s="7" t="s">
        <v>195</v>
      </c>
      <c r="H124" s="7" t="s">
        <v>195</v>
      </c>
      <c r="I124" s="7" t="s">
        <v>195</v>
      </c>
      <c r="J124" s="7" t="s">
        <v>195</v>
      </c>
      <c r="K124" s="7" t="s">
        <v>195</v>
      </c>
      <c r="L124" s="7" t="s">
        <v>195</v>
      </c>
      <c r="M124" s="7" t="s">
        <v>29</v>
      </c>
      <c r="N124" s="7" t="s">
        <v>29</v>
      </c>
      <c r="O124" s="7" t="s">
        <v>29</v>
      </c>
      <c r="P124" s="7" t="s">
        <v>29</v>
      </c>
      <c r="Q124" s="7" t="s">
        <v>29</v>
      </c>
      <c r="R124" s="7" t="s">
        <v>29</v>
      </c>
      <c r="S124" s="7" t="s">
        <v>29</v>
      </c>
    </row>
    <row r="125" spans="2:19">
      <c r="B125" s="7" t="s">
        <v>195</v>
      </c>
      <c r="C125" s="8" t="s">
        <v>195</v>
      </c>
      <c r="D125" s="5" t="str">
        <f>LRTRIM(CONCATENATE(IF(SUMPRODUCT(-- ISNUMBER(SEARCH({"Auto Number"}, $B125))) &gt; 0, $B125, IF(SUMPRODUCT(-- ISNUMBER(SEARCH({"Lookup","Master-Detail"}, $B125))) &gt; 0,$B125 &amp; "(" &amp; $E125 &amp; ")",IF(SUMPRODUCT(-- ISNUMBER(SEARCH({"Formula","Roll-Up Summary"}, $B125))) &gt; 0,$B125 &amp; " (" &amp; $E125 &amp; ")",IF(SUMPRODUCT(-- ISNUMBER(SEARCH({"Content","Currency","Number","Percent","Text","URL"}, $B125))) &gt; 0,$B125 &amp; "(" &amp; $C125 &amp; ")",$B125)))), "  ", TRIM(IF($S125 = "YES", "(External ID)", "") &amp; " " &amp; IF(SUMPRODUCT(-- ISNUMBER(SEARCH({"Unique","Unique Case Insensitive"}, $R125))) &gt; 0, "(" &amp; $R125 &amp; ")", ""))))</f>
        <v>na</v>
      </c>
      <c r="E125" s="7" t="s">
        <v>195</v>
      </c>
      <c r="F125" s="7" t="s">
        <v>195</v>
      </c>
      <c r="G125" s="7" t="s">
        <v>195</v>
      </c>
      <c r="H125" s="7" t="s">
        <v>195</v>
      </c>
      <c r="I125" s="7" t="s">
        <v>195</v>
      </c>
      <c r="J125" s="7" t="s">
        <v>195</v>
      </c>
      <c r="K125" s="7" t="s">
        <v>195</v>
      </c>
      <c r="L125" s="7" t="s">
        <v>195</v>
      </c>
      <c r="M125" s="7" t="s">
        <v>29</v>
      </c>
      <c r="N125" s="7" t="s">
        <v>29</v>
      </c>
      <c r="O125" s="7" t="s">
        <v>29</v>
      </c>
      <c r="P125" s="7" t="s">
        <v>29</v>
      </c>
      <c r="Q125" s="7" t="s">
        <v>29</v>
      </c>
      <c r="R125" s="7" t="s">
        <v>29</v>
      </c>
      <c r="S125" s="7" t="s">
        <v>29</v>
      </c>
    </row>
    <row r="126" spans="2:19">
      <c r="B126" s="7" t="s">
        <v>195</v>
      </c>
      <c r="C126" s="8" t="s">
        <v>195</v>
      </c>
      <c r="D126" s="5" t="str">
        <f>LRTRIM(CONCATENATE(IF(SUMPRODUCT(-- ISNUMBER(SEARCH({"Auto Number"}, $B126))) &gt; 0, $B126, IF(SUMPRODUCT(-- ISNUMBER(SEARCH({"Lookup","Master-Detail"}, $B126))) &gt; 0,$B126 &amp; "(" &amp; $E126 &amp; ")",IF(SUMPRODUCT(-- ISNUMBER(SEARCH({"Formula","Roll-Up Summary"}, $B126))) &gt; 0,$B126 &amp; " (" &amp; $E126 &amp; ")",IF(SUMPRODUCT(-- ISNUMBER(SEARCH({"Content","Currency","Number","Percent","Text","URL"}, $B126))) &gt; 0,$B126 &amp; "(" &amp; $C126 &amp; ")",$B126)))), "  ", TRIM(IF($S126 = "YES", "(External ID)", "") &amp; " " &amp; IF(SUMPRODUCT(-- ISNUMBER(SEARCH({"Unique","Unique Case Insensitive"}, $R126))) &gt; 0, "(" &amp; $R126 &amp; ")", ""))))</f>
        <v>na</v>
      </c>
      <c r="E126" s="7" t="s">
        <v>195</v>
      </c>
      <c r="F126" s="7" t="s">
        <v>195</v>
      </c>
      <c r="G126" s="7" t="s">
        <v>195</v>
      </c>
      <c r="H126" s="7" t="s">
        <v>195</v>
      </c>
      <c r="I126" s="7" t="s">
        <v>195</v>
      </c>
      <c r="J126" s="7" t="s">
        <v>195</v>
      </c>
      <c r="K126" s="7" t="s">
        <v>195</v>
      </c>
      <c r="L126" s="7" t="s">
        <v>195</v>
      </c>
      <c r="M126" s="7" t="s">
        <v>29</v>
      </c>
      <c r="N126" s="7" t="s">
        <v>29</v>
      </c>
      <c r="O126" s="7" t="s">
        <v>29</v>
      </c>
      <c r="P126" s="7" t="s">
        <v>29</v>
      </c>
      <c r="Q126" s="7" t="s">
        <v>29</v>
      </c>
      <c r="R126" s="7" t="s">
        <v>29</v>
      </c>
      <c r="S126" s="7" t="s">
        <v>29</v>
      </c>
    </row>
    <row r="127" spans="2:19">
      <c r="B127" s="7" t="s">
        <v>195</v>
      </c>
      <c r="C127" s="8" t="s">
        <v>195</v>
      </c>
      <c r="D127" s="5" t="str">
        <f>LRTRIM(CONCATENATE(IF(SUMPRODUCT(-- ISNUMBER(SEARCH({"Auto Number"}, $B127))) &gt; 0, $B127, IF(SUMPRODUCT(-- ISNUMBER(SEARCH({"Lookup","Master-Detail"}, $B127))) &gt; 0,$B127 &amp; "(" &amp; $E127 &amp; ")",IF(SUMPRODUCT(-- ISNUMBER(SEARCH({"Formula","Roll-Up Summary"}, $B127))) &gt; 0,$B127 &amp; " (" &amp; $E127 &amp; ")",IF(SUMPRODUCT(-- ISNUMBER(SEARCH({"Content","Currency","Number","Percent","Text","URL"}, $B127))) &gt; 0,$B127 &amp; "(" &amp; $C127 &amp; ")",$B127)))), "  ", TRIM(IF($S127 = "YES", "(External ID)", "") &amp; " " &amp; IF(SUMPRODUCT(-- ISNUMBER(SEARCH({"Unique","Unique Case Insensitive"}, $R127))) &gt; 0, "(" &amp; $R127 &amp; ")", ""))))</f>
        <v>na</v>
      </c>
      <c r="E127" s="7" t="s">
        <v>195</v>
      </c>
      <c r="F127" s="7" t="s">
        <v>195</v>
      </c>
      <c r="G127" s="7" t="s">
        <v>195</v>
      </c>
      <c r="H127" s="7" t="s">
        <v>195</v>
      </c>
      <c r="I127" s="7" t="s">
        <v>195</v>
      </c>
      <c r="J127" s="7" t="s">
        <v>195</v>
      </c>
      <c r="K127" s="7" t="s">
        <v>195</v>
      </c>
      <c r="L127" s="7" t="s">
        <v>195</v>
      </c>
      <c r="M127" s="7" t="s">
        <v>29</v>
      </c>
      <c r="N127" s="7" t="s">
        <v>29</v>
      </c>
      <c r="O127" s="7" t="s">
        <v>29</v>
      </c>
      <c r="P127" s="7" t="s">
        <v>29</v>
      </c>
      <c r="Q127" s="7" t="s">
        <v>29</v>
      </c>
      <c r="R127" s="7" t="s">
        <v>29</v>
      </c>
      <c r="S127" s="7" t="s">
        <v>29</v>
      </c>
    </row>
    <row r="128" spans="2:19">
      <c r="B128" s="7" t="s">
        <v>195</v>
      </c>
      <c r="C128" s="8" t="s">
        <v>195</v>
      </c>
      <c r="D128" s="5" t="str">
        <f>LRTRIM(CONCATENATE(IF(SUMPRODUCT(-- ISNUMBER(SEARCH({"Auto Number"}, $B128))) &gt; 0, $B128, IF(SUMPRODUCT(-- ISNUMBER(SEARCH({"Lookup","Master-Detail"}, $B128))) &gt; 0,$B128 &amp; "(" &amp; $E128 &amp; ")",IF(SUMPRODUCT(-- ISNUMBER(SEARCH({"Formula","Roll-Up Summary"}, $B128))) &gt; 0,$B128 &amp; " (" &amp; $E128 &amp; ")",IF(SUMPRODUCT(-- ISNUMBER(SEARCH({"Content","Currency","Number","Percent","Text","URL"}, $B128))) &gt; 0,$B128 &amp; "(" &amp; $C128 &amp; ")",$B128)))), "  ", TRIM(IF($S128 = "YES", "(External ID)", "") &amp; " " &amp; IF(SUMPRODUCT(-- ISNUMBER(SEARCH({"Unique","Unique Case Insensitive"}, $R128))) &gt; 0, "(" &amp; $R128 &amp; ")", ""))))</f>
        <v>na</v>
      </c>
      <c r="E128" s="7" t="s">
        <v>195</v>
      </c>
      <c r="F128" s="7" t="s">
        <v>195</v>
      </c>
      <c r="G128" s="7" t="s">
        <v>195</v>
      </c>
      <c r="H128" s="7" t="s">
        <v>195</v>
      </c>
      <c r="I128" s="7" t="s">
        <v>195</v>
      </c>
      <c r="J128" s="7" t="s">
        <v>195</v>
      </c>
      <c r="K128" s="7" t="s">
        <v>195</v>
      </c>
      <c r="L128" s="7" t="s">
        <v>195</v>
      </c>
      <c r="M128" s="7" t="s">
        <v>29</v>
      </c>
      <c r="N128" s="7" t="s">
        <v>29</v>
      </c>
      <c r="O128" s="7" t="s">
        <v>29</v>
      </c>
      <c r="P128" s="7" t="s">
        <v>29</v>
      </c>
      <c r="Q128" s="7" t="s">
        <v>29</v>
      </c>
      <c r="R128" s="7" t="s">
        <v>29</v>
      </c>
      <c r="S128" s="7" t="s">
        <v>29</v>
      </c>
    </row>
    <row r="129" spans="2:19">
      <c r="B129" s="7" t="s">
        <v>195</v>
      </c>
      <c r="C129" s="8" t="s">
        <v>195</v>
      </c>
      <c r="D129" s="5" t="str">
        <f>LRTRIM(CONCATENATE(IF(SUMPRODUCT(-- ISNUMBER(SEARCH({"Auto Number"}, $B129))) &gt; 0, $B129, IF(SUMPRODUCT(-- ISNUMBER(SEARCH({"Lookup","Master-Detail"}, $B129))) &gt; 0,$B129 &amp; "(" &amp; $E129 &amp; ")",IF(SUMPRODUCT(-- ISNUMBER(SEARCH({"Formula","Roll-Up Summary"}, $B129))) &gt; 0,$B129 &amp; " (" &amp; $E129 &amp; ")",IF(SUMPRODUCT(-- ISNUMBER(SEARCH({"Content","Currency","Number","Percent","Text","URL"}, $B129))) &gt; 0,$B129 &amp; "(" &amp; $C129 &amp; ")",$B129)))), "  ", TRIM(IF($S129 = "YES", "(External ID)", "") &amp; " " &amp; IF(SUMPRODUCT(-- ISNUMBER(SEARCH({"Unique","Unique Case Insensitive"}, $R129))) &gt; 0, "(" &amp; $R129 &amp; ")", ""))))</f>
        <v>na</v>
      </c>
      <c r="E129" s="7" t="s">
        <v>195</v>
      </c>
      <c r="F129" s="7" t="s">
        <v>195</v>
      </c>
      <c r="G129" s="7" t="s">
        <v>195</v>
      </c>
      <c r="H129" s="7" t="s">
        <v>195</v>
      </c>
      <c r="I129" s="7" t="s">
        <v>195</v>
      </c>
      <c r="J129" s="7" t="s">
        <v>195</v>
      </c>
      <c r="K129" s="7" t="s">
        <v>195</v>
      </c>
      <c r="L129" s="7" t="s">
        <v>195</v>
      </c>
      <c r="M129" s="7" t="s">
        <v>29</v>
      </c>
      <c r="N129" s="7" t="s">
        <v>29</v>
      </c>
      <c r="O129" s="7" t="s">
        <v>29</v>
      </c>
      <c r="P129" s="7" t="s">
        <v>29</v>
      </c>
      <c r="Q129" s="7" t="s">
        <v>29</v>
      </c>
      <c r="R129" s="7" t="s">
        <v>29</v>
      </c>
      <c r="S129" s="7" t="s">
        <v>29</v>
      </c>
    </row>
    <row r="130" spans="2:19">
      <c r="B130" s="7" t="s">
        <v>195</v>
      </c>
      <c r="C130" s="8" t="s">
        <v>195</v>
      </c>
      <c r="D130" s="5" t="str">
        <f>LRTRIM(CONCATENATE(IF(SUMPRODUCT(-- ISNUMBER(SEARCH({"Auto Number"}, $B130))) &gt; 0, $B130, IF(SUMPRODUCT(-- ISNUMBER(SEARCH({"Lookup","Master-Detail"}, $B130))) &gt; 0,$B130 &amp; "(" &amp; $E130 &amp; ")",IF(SUMPRODUCT(-- ISNUMBER(SEARCH({"Formula","Roll-Up Summary"}, $B130))) &gt; 0,$B130 &amp; " (" &amp; $E130 &amp; ")",IF(SUMPRODUCT(-- ISNUMBER(SEARCH({"Content","Currency","Number","Percent","Text","URL"}, $B130))) &gt; 0,$B130 &amp; "(" &amp; $C130 &amp; ")",$B130)))), "  ", TRIM(IF($S130 = "YES", "(External ID)", "") &amp; " " &amp; IF(SUMPRODUCT(-- ISNUMBER(SEARCH({"Unique","Unique Case Insensitive"}, $R130))) &gt; 0, "(" &amp; $R130 &amp; ")", ""))))</f>
        <v>na</v>
      </c>
      <c r="E130" s="7" t="s">
        <v>195</v>
      </c>
      <c r="F130" s="7" t="s">
        <v>195</v>
      </c>
      <c r="G130" s="7" t="s">
        <v>195</v>
      </c>
      <c r="H130" s="7" t="s">
        <v>195</v>
      </c>
      <c r="I130" s="7" t="s">
        <v>195</v>
      </c>
      <c r="J130" s="7" t="s">
        <v>195</v>
      </c>
      <c r="K130" s="7" t="s">
        <v>195</v>
      </c>
      <c r="L130" s="7" t="s">
        <v>195</v>
      </c>
      <c r="M130" s="7" t="s">
        <v>29</v>
      </c>
      <c r="N130" s="7" t="s">
        <v>29</v>
      </c>
      <c r="O130" s="7" t="s">
        <v>29</v>
      </c>
      <c r="P130" s="7" t="s">
        <v>29</v>
      </c>
      <c r="Q130" s="7" t="s">
        <v>29</v>
      </c>
      <c r="R130" s="7" t="s">
        <v>29</v>
      </c>
      <c r="S130" s="7" t="s">
        <v>29</v>
      </c>
    </row>
    <row r="131" spans="2:19">
      <c r="B131" s="7" t="s">
        <v>195</v>
      </c>
      <c r="C131" s="8" t="s">
        <v>195</v>
      </c>
      <c r="D131" s="5" t="str">
        <f>LRTRIM(CONCATENATE(IF(SUMPRODUCT(-- ISNUMBER(SEARCH({"Auto Number"}, $B131))) &gt; 0, $B131, IF(SUMPRODUCT(-- ISNUMBER(SEARCH({"Lookup","Master-Detail"}, $B131))) &gt; 0,$B131 &amp; "(" &amp; $E131 &amp; ")",IF(SUMPRODUCT(-- ISNUMBER(SEARCH({"Formula","Roll-Up Summary"}, $B131))) &gt; 0,$B131 &amp; " (" &amp; $E131 &amp; ")",IF(SUMPRODUCT(-- ISNUMBER(SEARCH({"Content","Currency","Number","Percent","Text","URL"}, $B131))) &gt; 0,$B131 &amp; "(" &amp; $C131 &amp; ")",$B131)))), "  ", TRIM(IF($S131 = "YES", "(External ID)", "") &amp; " " &amp; IF(SUMPRODUCT(-- ISNUMBER(SEARCH({"Unique","Unique Case Insensitive"}, $R131))) &gt; 0, "(" &amp; $R131 &amp; ")", ""))))</f>
        <v>na</v>
      </c>
      <c r="E131" s="7" t="s">
        <v>195</v>
      </c>
      <c r="F131" s="7" t="s">
        <v>195</v>
      </c>
      <c r="G131" s="7" t="s">
        <v>195</v>
      </c>
      <c r="H131" s="7" t="s">
        <v>195</v>
      </c>
      <c r="I131" s="7" t="s">
        <v>195</v>
      </c>
      <c r="J131" s="7" t="s">
        <v>195</v>
      </c>
      <c r="K131" s="7" t="s">
        <v>195</v>
      </c>
      <c r="L131" s="7" t="s">
        <v>195</v>
      </c>
      <c r="M131" s="7" t="s">
        <v>29</v>
      </c>
      <c r="N131" s="7" t="s">
        <v>29</v>
      </c>
      <c r="O131" s="7" t="s">
        <v>29</v>
      </c>
      <c r="P131" s="7" t="s">
        <v>29</v>
      </c>
      <c r="Q131" s="7" t="s">
        <v>29</v>
      </c>
      <c r="R131" s="7" t="s">
        <v>29</v>
      </c>
      <c r="S131" s="7" t="s">
        <v>29</v>
      </c>
    </row>
    <row r="132" spans="2:19">
      <c r="B132" s="7" t="s">
        <v>195</v>
      </c>
      <c r="C132" s="8" t="s">
        <v>195</v>
      </c>
      <c r="D132" s="5" t="str">
        <f>LRTRIM(CONCATENATE(IF(SUMPRODUCT(-- ISNUMBER(SEARCH({"Auto Number"}, $B132))) &gt; 0, $B132, IF(SUMPRODUCT(-- ISNUMBER(SEARCH({"Lookup","Master-Detail"}, $B132))) &gt; 0,$B132 &amp; "(" &amp; $E132 &amp; ")",IF(SUMPRODUCT(-- ISNUMBER(SEARCH({"Formula","Roll-Up Summary"}, $B132))) &gt; 0,$B132 &amp; " (" &amp; $E132 &amp; ")",IF(SUMPRODUCT(-- ISNUMBER(SEARCH({"Content","Currency","Number","Percent","Text","URL"}, $B132))) &gt; 0,$B132 &amp; "(" &amp; $C132 &amp; ")",$B132)))), "  ", TRIM(IF($S132 = "YES", "(External ID)", "") &amp; " " &amp; IF(SUMPRODUCT(-- ISNUMBER(SEARCH({"Unique","Unique Case Insensitive"}, $R132))) &gt; 0, "(" &amp; $R132 &amp; ")", ""))))</f>
        <v>na</v>
      </c>
      <c r="E132" s="7" t="s">
        <v>195</v>
      </c>
      <c r="F132" s="7" t="s">
        <v>195</v>
      </c>
      <c r="G132" s="7" t="s">
        <v>195</v>
      </c>
      <c r="H132" s="7" t="s">
        <v>195</v>
      </c>
      <c r="I132" s="7" t="s">
        <v>195</v>
      </c>
      <c r="J132" s="7" t="s">
        <v>195</v>
      </c>
      <c r="K132" s="7" t="s">
        <v>195</v>
      </c>
      <c r="L132" s="7" t="s">
        <v>195</v>
      </c>
      <c r="M132" s="7" t="s">
        <v>29</v>
      </c>
      <c r="N132" s="7" t="s">
        <v>29</v>
      </c>
      <c r="O132" s="7" t="s">
        <v>29</v>
      </c>
      <c r="P132" s="7" t="s">
        <v>29</v>
      </c>
      <c r="Q132" s="7" t="s">
        <v>29</v>
      </c>
      <c r="R132" s="7" t="s">
        <v>29</v>
      </c>
      <c r="S132" s="7" t="s">
        <v>29</v>
      </c>
    </row>
    <row r="133" spans="2:19">
      <c r="B133" s="7" t="s">
        <v>195</v>
      </c>
      <c r="C133" s="8" t="s">
        <v>195</v>
      </c>
      <c r="D133" s="5" t="str">
        <f>LRTRIM(CONCATENATE(IF(SUMPRODUCT(-- ISNUMBER(SEARCH({"Auto Number"}, $B133))) &gt; 0, $B133, IF(SUMPRODUCT(-- ISNUMBER(SEARCH({"Lookup","Master-Detail"}, $B133))) &gt; 0,$B133 &amp; "(" &amp; $E133 &amp; ")",IF(SUMPRODUCT(-- ISNUMBER(SEARCH({"Formula","Roll-Up Summary"}, $B133))) &gt; 0,$B133 &amp; " (" &amp; $E133 &amp; ")",IF(SUMPRODUCT(-- ISNUMBER(SEARCH({"Content","Currency","Number","Percent","Text","URL"}, $B133))) &gt; 0,$B133 &amp; "(" &amp; $C133 &amp; ")",$B133)))), "  ", TRIM(IF($S133 = "YES", "(External ID)", "") &amp; " " &amp; IF(SUMPRODUCT(-- ISNUMBER(SEARCH({"Unique","Unique Case Insensitive"}, $R133))) &gt; 0, "(" &amp; $R133 &amp; ")", ""))))</f>
        <v>na</v>
      </c>
      <c r="E133" s="7" t="s">
        <v>195</v>
      </c>
      <c r="F133" s="7" t="s">
        <v>195</v>
      </c>
      <c r="G133" s="7" t="s">
        <v>195</v>
      </c>
      <c r="H133" s="7" t="s">
        <v>195</v>
      </c>
      <c r="I133" s="7" t="s">
        <v>195</v>
      </c>
      <c r="J133" s="7" t="s">
        <v>195</v>
      </c>
      <c r="K133" s="7" t="s">
        <v>195</v>
      </c>
      <c r="L133" s="7" t="s">
        <v>195</v>
      </c>
      <c r="M133" s="7" t="s">
        <v>29</v>
      </c>
      <c r="N133" s="7" t="s">
        <v>29</v>
      </c>
      <c r="O133" s="7" t="s">
        <v>29</v>
      </c>
      <c r="P133" s="7" t="s">
        <v>29</v>
      </c>
      <c r="Q133" s="7" t="s">
        <v>29</v>
      </c>
      <c r="R133" s="7" t="s">
        <v>29</v>
      </c>
      <c r="S133" s="7" t="s">
        <v>29</v>
      </c>
    </row>
    <row r="134" spans="2:19">
      <c r="B134" s="7" t="s">
        <v>195</v>
      </c>
      <c r="C134" s="8" t="s">
        <v>195</v>
      </c>
      <c r="D134" s="5" t="str">
        <f>LRTRIM(CONCATENATE(IF(SUMPRODUCT(-- ISNUMBER(SEARCH({"Auto Number"}, $B134))) &gt; 0, $B134, IF(SUMPRODUCT(-- ISNUMBER(SEARCH({"Lookup","Master-Detail"}, $B134))) &gt; 0,$B134 &amp; "(" &amp; $E134 &amp; ")",IF(SUMPRODUCT(-- ISNUMBER(SEARCH({"Formula","Roll-Up Summary"}, $B134))) &gt; 0,$B134 &amp; " (" &amp; $E134 &amp; ")",IF(SUMPRODUCT(-- ISNUMBER(SEARCH({"Content","Currency","Number","Percent","Text","URL"}, $B134))) &gt; 0,$B134 &amp; "(" &amp; $C134 &amp; ")",$B134)))), "  ", TRIM(IF($S134 = "YES", "(External ID)", "") &amp; " " &amp; IF(SUMPRODUCT(-- ISNUMBER(SEARCH({"Unique","Unique Case Insensitive"}, $R134))) &gt; 0, "(" &amp; $R134 &amp; ")", ""))))</f>
        <v>na</v>
      </c>
      <c r="E134" s="7" t="s">
        <v>195</v>
      </c>
      <c r="F134" s="7" t="s">
        <v>195</v>
      </c>
      <c r="G134" s="7" t="s">
        <v>195</v>
      </c>
      <c r="H134" s="7" t="s">
        <v>195</v>
      </c>
      <c r="I134" s="7" t="s">
        <v>195</v>
      </c>
      <c r="J134" s="7" t="s">
        <v>195</v>
      </c>
      <c r="K134" s="7" t="s">
        <v>195</v>
      </c>
      <c r="L134" s="7" t="s">
        <v>195</v>
      </c>
      <c r="M134" s="7" t="s">
        <v>29</v>
      </c>
      <c r="N134" s="7" t="s">
        <v>29</v>
      </c>
      <c r="O134" s="7" t="s">
        <v>29</v>
      </c>
      <c r="P134" s="7" t="s">
        <v>29</v>
      </c>
      <c r="Q134" s="7" t="s">
        <v>29</v>
      </c>
      <c r="R134" s="7" t="s">
        <v>29</v>
      </c>
      <c r="S134" s="7" t="s">
        <v>29</v>
      </c>
    </row>
    <row r="135" spans="2:19">
      <c r="B135" s="7" t="s">
        <v>195</v>
      </c>
      <c r="C135" s="8" t="s">
        <v>195</v>
      </c>
      <c r="D135" s="5" t="str">
        <f>LRTRIM(CONCATENATE(IF(SUMPRODUCT(-- ISNUMBER(SEARCH({"Auto Number"}, $B135))) &gt; 0, $B135, IF(SUMPRODUCT(-- ISNUMBER(SEARCH({"Lookup","Master-Detail"}, $B135))) &gt; 0,$B135 &amp; "(" &amp; $E135 &amp; ")",IF(SUMPRODUCT(-- ISNUMBER(SEARCH({"Formula","Roll-Up Summary"}, $B135))) &gt; 0,$B135 &amp; " (" &amp; $E135 &amp; ")",IF(SUMPRODUCT(-- ISNUMBER(SEARCH({"Content","Currency","Number","Percent","Text","URL"}, $B135))) &gt; 0,$B135 &amp; "(" &amp; $C135 &amp; ")",$B135)))), "  ", TRIM(IF($S135 = "YES", "(External ID)", "") &amp; " " &amp; IF(SUMPRODUCT(-- ISNUMBER(SEARCH({"Unique","Unique Case Insensitive"}, $R135))) &gt; 0, "(" &amp; $R135 &amp; ")", ""))))</f>
        <v>na</v>
      </c>
      <c r="E135" s="7" t="s">
        <v>195</v>
      </c>
      <c r="F135" s="7" t="s">
        <v>195</v>
      </c>
      <c r="G135" s="7" t="s">
        <v>195</v>
      </c>
      <c r="H135" s="7" t="s">
        <v>195</v>
      </c>
      <c r="I135" s="7" t="s">
        <v>195</v>
      </c>
      <c r="J135" s="7" t="s">
        <v>195</v>
      </c>
      <c r="K135" s="7" t="s">
        <v>195</v>
      </c>
      <c r="L135" s="7" t="s">
        <v>195</v>
      </c>
      <c r="M135" s="7" t="s">
        <v>29</v>
      </c>
      <c r="N135" s="7" t="s">
        <v>29</v>
      </c>
      <c r="O135" s="7" t="s">
        <v>29</v>
      </c>
      <c r="P135" s="7" t="s">
        <v>29</v>
      </c>
      <c r="Q135" s="7" t="s">
        <v>29</v>
      </c>
      <c r="R135" s="7" t="s">
        <v>29</v>
      </c>
      <c r="S135" s="7" t="s">
        <v>29</v>
      </c>
    </row>
    <row r="136" spans="2:19">
      <c r="B136" s="7" t="s">
        <v>195</v>
      </c>
      <c r="C136" s="8" t="s">
        <v>195</v>
      </c>
      <c r="D136" s="5" t="str">
        <f>LRTRIM(CONCATENATE(IF(SUMPRODUCT(-- ISNUMBER(SEARCH({"Auto Number"}, $B136))) &gt; 0, $B136, IF(SUMPRODUCT(-- ISNUMBER(SEARCH({"Lookup","Master-Detail"}, $B136))) &gt; 0,$B136 &amp; "(" &amp; $E136 &amp; ")",IF(SUMPRODUCT(-- ISNUMBER(SEARCH({"Formula","Roll-Up Summary"}, $B136))) &gt; 0,$B136 &amp; " (" &amp; $E136 &amp; ")",IF(SUMPRODUCT(-- ISNUMBER(SEARCH({"Content","Currency","Number","Percent","Text","URL"}, $B136))) &gt; 0,$B136 &amp; "(" &amp; $C136 &amp; ")",$B136)))), "  ", TRIM(IF($S136 = "YES", "(External ID)", "") &amp; " " &amp; IF(SUMPRODUCT(-- ISNUMBER(SEARCH({"Unique","Unique Case Insensitive"}, $R136))) &gt; 0, "(" &amp; $R136 &amp; ")", ""))))</f>
        <v>na</v>
      </c>
      <c r="E136" s="7" t="s">
        <v>195</v>
      </c>
      <c r="F136" s="7" t="s">
        <v>195</v>
      </c>
      <c r="G136" s="7" t="s">
        <v>195</v>
      </c>
      <c r="H136" s="7" t="s">
        <v>195</v>
      </c>
      <c r="I136" s="7" t="s">
        <v>195</v>
      </c>
      <c r="J136" s="7" t="s">
        <v>195</v>
      </c>
      <c r="K136" s="7" t="s">
        <v>195</v>
      </c>
      <c r="L136" s="7" t="s">
        <v>195</v>
      </c>
      <c r="M136" s="7" t="s">
        <v>29</v>
      </c>
      <c r="N136" s="7" t="s">
        <v>29</v>
      </c>
      <c r="O136" s="7" t="s">
        <v>29</v>
      </c>
      <c r="P136" s="7" t="s">
        <v>29</v>
      </c>
      <c r="Q136" s="7" t="s">
        <v>29</v>
      </c>
      <c r="R136" s="7" t="s">
        <v>29</v>
      </c>
      <c r="S136" s="7" t="s">
        <v>29</v>
      </c>
    </row>
    <row r="137" spans="2:19">
      <c r="B137" s="7" t="s">
        <v>195</v>
      </c>
      <c r="C137" s="8" t="s">
        <v>195</v>
      </c>
      <c r="D137" s="5" t="str">
        <f>LRTRIM(CONCATENATE(IF(SUMPRODUCT(-- ISNUMBER(SEARCH({"Auto Number"}, $B137))) &gt; 0, $B137, IF(SUMPRODUCT(-- ISNUMBER(SEARCH({"Lookup","Master-Detail"}, $B137))) &gt; 0,$B137 &amp; "(" &amp; $E137 &amp; ")",IF(SUMPRODUCT(-- ISNUMBER(SEARCH({"Formula","Roll-Up Summary"}, $B137))) &gt; 0,$B137 &amp; " (" &amp; $E137 &amp; ")",IF(SUMPRODUCT(-- ISNUMBER(SEARCH({"Content","Currency","Number","Percent","Text","URL"}, $B137))) &gt; 0,$B137 &amp; "(" &amp; $C137 &amp; ")",$B137)))), "  ", TRIM(IF($S137 = "YES", "(External ID)", "") &amp; " " &amp; IF(SUMPRODUCT(-- ISNUMBER(SEARCH({"Unique","Unique Case Insensitive"}, $R137))) &gt; 0, "(" &amp; $R137 &amp; ")", ""))))</f>
        <v>na</v>
      </c>
      <c r="E137" s="7" t="s">
        <v>195</v>
      </c>
      <c r="F137" s="7" t="s">
        <v>195</v>
      </c>
      <c r="G137" s="7" t="s">
        <v>195</v>
      </c>
      <c r="H137" s="7" t="s">
        <v>195</v>
      </c>
      <c r="I137" s="7" t="s">
        <v>195</v>
      </c>
      <c r="J137" s="7" t="s">
        <v>195</v>
      </c>
      <c r="K137" s="7" t="s">
        <v>195</v>
      </c>
      <c r="L137" s="7" t="s">
        <v>195</v>
      </c>
      <c r="M137" s="7" t="s">
        <v>29</v>
      </c>
      <c r="N137" s="7" t="s">
        <v>29</v>
      </c>
      <c r="O137" s="7" t="s">
        <v>29</v>
      </c>
      <c r="P137" s="7" t="s">
        <v>29</v>
      </c>
      <c r="Q137" s="7" t="s">
        <v>29</v>
      </c>
      <c r="R137" s="7" t="s">
        <v>29</v>
      </c>
      <c r="S137" s="7" t="s">
        <v>29</v>
      </c>
    </row>
    <row r="138" spans="2:19">
      <c r="B138" s="7" t="s">
        <v>195</v>
      </c>
      <c r="C138" s="8" t="s">
        <v>195</v>
      </c>
      <c r="D138" s="5" t="str">
        <f>LRTRIM(CONCATENATE(IF(SUMPRODUCT(-- ISNUMBER(SEARCH({"Auto Number"}, $B138))) &gt; 0, $B138, IF(SUMPRODUCT(-- ISNUMBER(SEARCH({"Lookup","Master-Detail"}, $B138))) &gt; 0,$B138 &amp; "(" &amp; $E138 &amp; ")",IF(SUMPRODUCT(-- ISNUMBER(SEARCH({"Formula","Roll-Up Summary"}, $B138))) &gt; 0,$B138 &amp; " (" &amp; $E138 &amp; ")",IF(SUMPRODUCT(-- ISNUMBER(SEARCH({"Content","Currency","Number","Percent","Text","URL"}, $B138))) &gt; 0,$B138 &amp; "(" &amp; $C138 &amp; ")",$B138)))), "  ", TRIM(IF($S138 = "YES", "(External ID)", "") &amp; " " &amp; IF(SUMPRODUCT(-- ISNUMBER(SEARCH({"Unique","Unique Case Insensitive"}, $R138))) &gt; 0, "(" &amp; $R138 &amp; ")", ""))))</f>
        <v>na</v>
      </c>
      <c r="E138" s="7" t="s">
        <v>195</v>
      </c>
      <c r="F138" s="7" t="s">
        <v>195</v>
      </c>
      <c r="G138" s="7" t="s">
        <v>195</v>
      </c>
      <c r="H138" s="7" t="s">
        <v>195</v>
      </c>
      <c r="I138" s="7" t="s">
        <v>195</v>
      </c>
      <c r="J138" s="7" t="s">
        <v>195</v>
      </c>
      <c r="K138" s="7" t="s">
        <v>195</v>
      </c>
      <c r="L138" s="7" t="s">
        <v>195</v>
      </c>
      <c r="M138" s="7" t="s">
        <v>29</v>
      </c>
      <c r="N138" s="7" t="s">
        <v>29</v>
      </c>
      <c r="O138" s="7" t="s">
        <v>29</v>
      </c>
      <c r="P138" s="7" t="s">
        <v>29</v>
      </c>
      <c r="Q138" s="7" t="s">
        <v>29</v>
      </c>
      <c r="R138" s="7" t="s">
        <v>29</v>
      </c>
      <c r="S138" s="7" t="s">
        <v>29</v>
      </c>
    </row>
    <row r="139" spans="2:19">
      <c r="B139" s="7" t="s">
        <v>195</v>
      </c>
      <c r="C139" s="8" t="s">
        <v>195</v>
      </c>
      <c r="D139" s="5" t="str">
        <f>LRTRIM(CONCATENATE(IF(SUMPRODUCT(-- ISNUMBER(SEARCH({"Auto Number"}, $B139))) &gt; 0, $B139, IF(SUMPRODUCT(-- ISNUMBER(SEARCH({"Lookup","Master-Detail"}, $B139))) &gt; 0,$B139 &amp; "(" &amp; $E139 &amp; ")",IF(SUMPRODUCT(-- ISNUMBER(SEARCH({"Formula","Roll-Up Summary"}, $B139))) &gt; 0,$B139 &amp; " (" &amp; $E139 &amp; ")",IF(SUMPRODUCT(-- ISNUMBER(SEARCH({"Content","Currency","Number","Percent","Text","URL"}, $B139))) &gt; 0,$B139 &amp; "(" &amp; $C139 &amp; ")",$B139)))), "  ", TRIM(IF($S139 = "YES", "(External ID)", "") &amp; " " &amp; IF(SUMPRODUCT(-- ISNUMBER(SEARCH({"Unique","Unique Case Insensitive"}, $R139))) &gt; 0, "(" &amp; $R139 &amp; ")", ""))))</f>
        <v>na</v>
      </c>
      <c r="E139" s="7" t="s">
        <v>195</v>
      </c>
      <c r="F139" s="7" t="s">
        <v>195</v>
      </c>
      <c r="G139" s="7" t="s">
        <v>195</v>
      </c>
      <c r="H139" s="7" t="s">
        <v>195</v>
      </c>
      <c r="I139" s="7" t="s">
        <v>195</v>
      </c>
      <c r="J139" s="7" t="s">
        <v>195</v>
      </c>
      <c r="K139" s="7" t="s">
        <v>195</v>
      </c>
      <c r="L139" s="7" t="s">
        <v>195</v>
      </c>
      <c r="M139" s="7" t="s">
        <v>29</v>
      </c>
      <c r="N139" s="7" t="s">
        <v>29</v>
      </c>
      <c r="O139" s="7" t="s">
        <v>29</v>
      </c>
      <c r="P139" s="7" t="s">
        <v>29</v>
      </c>
      <c r="Q139" s="7" t="s">
        <v>29</v>
      </c>
      <c r="R139" s="7" t="s">
        <v>29</v>
      </c>
      <c r="S139" s="7" t="s">
        <v>29</v>
      </c>
    </row>
    <row r="140" spans="2:19">
      <c r="B140" s="7" t="s">
        <v>195</v>
      </c>
      <c r="C140" s="8" t="s">
        <v>195</v>
      </c>
      <c r="D140" s="5" t="str">
        <f>LRTRIM(CONCATENATE(IF(SUMPRODUCT(-- ISNUMBER(SEARCH({"Auto Number"}, $B140))) &gt; 0, $B140, IF(SUMPRODUCT(-- ISNUMBER(SEARCH({"Lookup","Master-Detail"}, $B140))) &gt; 0,$B140 &amp; "(" &amp; $E140 &amp; ")",IF(SUMPRODUCT(-- ISNUMBER(SEARCH({"Formula","Roll-Up Summary"}, $B140))) &gt; 0,$B140 &amp; " (" &amp; $E140 &amp; ")",IF(SUMPRODUCT(-- ISNUMBER(SEARCH({"Content","Currency","Number","Percent","Text","URL"}, $B140))) &gt; 0,$B140 &amp; "(" &amp; $C140 &amp; ")",$B140)))), "  ", TRIM(IF($S140 = "YES", "(External ID)", "") &amp; " " &amp; IF(SUMPRODUCT(-- ISNUMBER(SEARCH({"Unique","Unique Case Insensitive"}, $R140))) &gt; 0, "(" &amp; $R140 &amp; ")", ""))))</f>
        <v>na</v>
      </c>
      <c r="E140" s="7" t="s">
        <v>195</v>
      </c>
      <c r="F140" s="7" t="s">
        <v>195</v>
      </c>
      <c r="G140" s="7" t="s">
        <v>195</v>
      </c>
      <c r="H140" s="7" t="s">
        <v>195</v>
      </c>
      <c r="I140" s="7" t="s">
        <v>195</v>
      </c>
      <c r="J140" s="7" t="s">
        <v>195</v>
      </c>
      <c r="K140" s="7" t="s">
        <v>195</v>
      </c>
      <c r="L140" s="7" t="s">
        <v>195</v>
      </c>
      <c r="M140" s="7" t="s">
        <v>29</v>
      </c>
      <c r="N140" s="7" t="s">
        <v>29</v>
      </c>
      <c r="O140" s="7" t="s">
        <v>29</v>
      </c>
      <c r="P140" s="7" t="s">
        <v>29</v>
      </c>
      <c r="Q140" s="7" t="s">
        <v>29</v>
      </c>
      <c r="R140" s="7" t="s">
        <v>29</v>
      </c>
      <c r="S140" s="7" t="s">
        <v>29</v>
      </c>
    </row>
    <row r="141" spans="2:19">
      <c r="B141" s="7" t="s">
        <v>195</v>
      </c>
      <c r="C141" s="8" t="s">
        <v>195</v>
      </c>
      <c r="D141" s="5" t="str">
        <f>LRTRIM(CONCATENATE(IF(SUMPRODUCT(-- ISNUMBER(SEARCH({"Auto Number"}, $B141))) &gt; 0, $B141, IF(SUMPRODUCT(-- ISNUMBER(SEARCH({"Lookup","Master-Detail"}, $B141))) &gt; 0,$B141 &amp; "(" &amp; $E141 &amp; ")",IF(SUMPRODUCT(-- ISNUMBER(SEARCH({"Formula","Roll-Up Summary"}, $B141))) &gt; 0,$B141 &amp; " (" &amp; $E141 &amp; ")",IF(SUMPRODUCT(-- ISNUMBER(SEARCH({"Content","Currency","Number","Percent","Text","URL"}, $B141))) &gt; 0,$B141 &amp; "(" &amp; $C141 &amp; ")",$B141)))), "  ", TRIM(IF($S141 = "YES", "(External ID)", "") &amp; " " &amp; IF(SUMPRODUCT(-- ISNUMBER(SEARCH({"Unique","Unique Case Insensitive"}, $R141))) &gt; 0, "(" &amp; $R141 &amp; ")", ""))))</f>
        <v>na</v>
      </c>
      <c r="E141" s="7" t="s">
        <v>195</v>
      </c>
      <c r="F141" s="7" t="s">
        <v>195</v>
      </c>
      <c r="G141" s="7" t="s">
        <v>195</v>
      </c>
      <c r="H141" s="7" t="s">
        <v>195</v>
      </c>
      <c r="I141" s="7" t="s">
        <v>195</v>
      </c>
      <c r="J141" s="7" t="s">
        <v>195</v>
      </c>
      <c r="K141" s="7" t="s">
        <v>195</v>
      </c>
      <c r="L141" s="7" t="s">
        <v>195</v>
      </c>
      <c r="M141" s="7" t="s">
        <v>29</v>
      </c>
      <c r="N141" s="7" t="s">
        <v>29</v>
      </c>
      <c r="O141" s="7" t="s">
        <v>29</v>
      </c>
      <c r="P141" s="7" t="s">
        <v>29</v>
      </c>
      <c r="Q141" s="7" t="s">
        <v>29</v>
      </c>
      <c r="R141" s="7" t="s">
        <v>29</v>
      </c>
      <c r="S141" s="7" t="s">
        <v>29</v>
      </c>
    </row>
    <row r="142" spans="2:19">
      <c r="B142" s="7" t="s">
        <v>195</v>
      </c>
      <c r="C142" s="8" t="s">
        <v>195</v>
      </c>
      <c r="D142" s="5" t="str">
        <f>LRTRIM(CONCATENATE(IF(SUMPRODUCT(-- ISNUMBER(SEARCH({"Auto Number"}, $B142))) &gt; 0, $B142, IF(SUMPRODUCT(-- ISNUMBER(SEARCH({"Lookup","Master-Detail"}, $B142))) &gt; 0,$B142 &amp; "(" &amp; $E142 &amp; ")",IF(SUMPRODUCT(-- ISNUMBER(SEARCH({"Formula","Roll-Up Summary"}, $B142))) &gt; 0,$B142 &amp; " (" &amp; $E142 &amp; ")",IF(SUMPRODUCT(-- ISNUMBER(SEARCH({"Content","Currency","Number","Percent","Text","URL"}, $B142))) &gt; 0,$B142 &amp; "(" &amp; $C142 &amp; ")",$B142)))), "  ", TRIM(IF($S142 = "YES", "(External ID)", "") &amp; " " &amp; IF(SUMPRODUCT(-- ISNUMBER(SEARCH({"Unique","Unique Case Insensitive"}, $R142))) &gt; 0, "(" &amp; $R142 &amp; ")", ""))))</f>
        <v>na</v>
      </c>
      <c r="E142" s="7" t="s">
        <v>195</v>
      </c>
      <c r="F142" s="7" t="s">
        <v>195</v>
      </c>
      <c r="G142" s="7" t="s">
        <v>195</v>
      </c>
      <c r="H142" s="7" t="s">
        <v>195</v>
      </c>
      <c r="I142" s="7" t="s">
        <v>195</v>
      </c>
      <c r="J142" s="7" t="s">
        <v>195</v>
      </c>
      <c r="K142" s="7" t="s">
        <v>195</v>
      </c>
      <c r="L142" s="7" t="s">
        <v>195</v>
      </c>
      <c r="M142" s="7" t="s">
        <v>29</v>
      </c>
      <c r="N142" s="7" t="s">
        <v>29</v>
      </c>
      <c r="O142" s="7" t="s">
        <v>29</v>
      </c>
      <c r="P142" s="7" t="s">
        <v>29</v>
      </c>
      <c r="Q142" s="7" t="s">
        <v>29</v>
      </c>
      <c r="R142" s="7" t="s">
        <v>29</v>
      </c>
      <c r="S142" s="7" t="s">
        <v>29</v>
      </c>
    </row>
    <row r="143" spans="2:19">
      <c r="B143" s="7" t="s">
        <v>195</v>
      </c>
      <c r="C143" s="8" t="s">
        <v>195</v>
      </c>
      <c r="D143" s="5" t="str">
        <f>LRTRIM(CONCATENATE(IF(SUMPRODUCT(-- ISNUMBER(SEARCH({"Auto Number"}, $B143))) &gt; 0, $B143, IF(SUMPRODUCT(-- ISNUMBER(SEARCH({"Lookup","Master-Detail"}, $B143))) &gt; 0,$B143 &amp; "(" &amp; $E143 &amp; ")",IF(SUMPRODUCT(-- ISNUMBER(SEARCH({"Formula","Roll-Up Summary"}, $B143))) &gt; 0,$B143 &amp; " (" &amp; $E143 &amp; ")",IF(SUMPRODUCT(-- ISNUMBER(SEARCH({"Content","Currency","Number","Percent","Text","URL"}, $B143))) &gt; 0,$B143 &amp; "(" &amp; $C143 &amp; ")",$B143)))), "  ", TRIM(IF($S143 = "YES", "(External ID)", "") &amp; " " &amp; IF(SUMPRODUCT(-- ISNUMBER(SEARCH({"Unique","Unique Case Insensitive"}, $R143))) &gt; 0, "(" &amp; $R143 &amp; ")", ""))))</f>
        <v>na</v>
      </c>
      <c r="E143" s="7" t="s">
        <v>195</v>
      </c>
      <c r="F143" s="7" t="s">
        <v>195</v>
      </c>
      <c r="G143" s="7" t="s">
        <v>195</v>
      </c>
      <c r="H143" s="7" t="s">
        <v>195</v>
      </c>
      <c r="I143" s="7" t="s">
        <v>195</v>
      </c>
      <c r="J143" s="7" t="s">
        <v>195</v>
      </c>
      <c r="K143" s="7" t="s">
        <v>195</v>
      </c>
      <c r="L143" s="7" t="s">
        <v>195</v>
      </c>
      <c r="M143" s="7" t="s">
        <v>29</v>
      </c>
      <c r="N143" s="7" t="s">
        <v>29</v>
      </c>
      <c r="O143" s="7" t="s">
        <v>29</v>
      </c>
      <c r="P143" s="7" t="s">
        <v>29</v>
      </c>
      <c r="Q143" s="7" t="s">
        <v>29</v>
      </c>
      <c r="R143" s="7" t="s">
        <v>29</v>
      </c>
      <c r="S143" s="7" t="s">
        <v>29</v>
      </c>
    </row>
    <row r="144" spans="2:19">
      <c r="B144" s="7" t="s">
        <v>195</v>
      </c>
      <c r="C144" s="8" t="s">
        <v>195</v>
      </c>
      <c r="D144" s="5" t="str">
        <f>LRTRIM(CONCATENATE(IF(SUMPRODUCT(-- ISNUMBER(SEARCH({"Auto Number"}, $B144))) &gt; 0, $B144, IF(SUMPRODUCT(-- ISNUMBER(SEARCH({"Lookup","Master-Detail"}, $B144))) &gt; 0,$B144 &amp; "(" &amp; $E144 &amp; ")",IF(SUMPRODUCT(-- ISNUMBER(SEARCH({"Formula","Roll-Up Summary"}, $B144))) &gt; 0,$B144 &amp; " (" &amp; $E144 &amp; ")",IF(SUMPRODUCT(-- ISNUMBER(SEARCH({"Content","Currency","Number","Percent","Text","URL"}, $B144))) &gt; 0,$B144 &amp; "(" &amp; $C144 &amp; ")",$B144)))), "  ", TRIM(IF($S144 = "YES", "(External ID)", "") &amp; " " &amp; IF(SUMPRODUCT(-- ISNUMBER(SEARCH({"Unique","Unique Case Insensitive"}, $R144))) &gt; 0, "(" &amp; $R144 &amp; ")", ""))))</f>
        <v>na</v>
      </c>
      <c r="E144" s="7" t="s">
        <v>195</v>
      </c>
      <c r="F144" s="7" t="s">
        <v>195</v>
      </c>
      <c r="G144" s="7" t="s">
        <v>195</v>
      </c>
      <c r="H144" s="7" t="s">
        <v>195</v>
      </c>
      <c r="I144" s="7" t="s">
        <v>195</v>
      </c>
      <c r="J144" s="7" t="s">
        <v>195</v>
      </c>
      <c r="K144" s="7" t="s">
        <v>195</v>
      </c>
      <c r="L144" s="7" t="s">
        <v>195</v>
      </c>
      <c r="M144" s="7" t="s">
        <v>29</v>
      </c>
      <c r="N144" s="7" t="s">
        <v>29</v>
      </c>
      <c r="O144" s="7" t="s">
        <v>29</v>
      </c>
      <c r="P144" s="7" t="s">
        <v>29</v>
      </c>
      <c r="Q144" s="7" t="s">
        <v>29</v>
      </c>
      <c r="R144" s="7" t="s">
        <v>29</v>
      </c>
      <c r="S144" s="7" t="s">
        <v>29</v>
      </c>
    </row>
    <row r="145" spans="2:19">
      <c r="B145" s="7" t="s">
        <v>195</v>
      </c>
      <c r="C145" s="8" t="s">
        <v>195</v>
      </c>
      <c r="D145" s="5" t="str">
        <f>LRTRIM(CONCATENATE(IF(SUMPRODUCT(-- ISNUMBER(SEARCH({"Auto Number"}, $B145))) &gt; 0, $B145, IF(SUMPRODUCT(-- ISNUMBER(SEARCH({"Lookup","Master-Detail"}, $B145))) &gt; 0,$B145 &amp; "(" &amp; $E145 &amp; ")",IF(SUMPRODUCT(-- ISNUMBER(SEARCH({"Formula","Roll-Up Summary"}, $B145))) &gt; 0,$B145 &amp; " (" &amp; $E145 &amp; ")",IF(SUMPRODUCT(-- ISNUMBER(SEARCH({"Content","Currency","Number","Percent","Text","URL"}, $B145))) &gt; 0,$B145 &amp; "(" &amp; $C145 &amp; ")",$B145)))), "  ", TRIM(IF($S145 = "YES", "(External ID)", "") &amp; " " &amp; IF(SUMPRODUCT(-- ISNUMBER(SEARCH({"Unique","Unique Case Insensitive"}, $R145))) &gt; 0, "(" &amp; $R145 &amp; ")", ""))))</f>
        <v>na</v>
      </c>
      <c r="E145" s="7" t="s">
        <v>195</v>
      </c>
      <c r="F145" s="7" t="s">
        <v>195</v>
      </c>
      <c r="G145" s="7" t="s">
        <v>195</v>
      </c>
      <c r="H145" s="7" t="s">
        <v>195</v>
      </c>
      <c r="I145" s="7" t="s">
        <v>195</v>
      </c>
      <c r="J145" s="7" t="s">
        <v>195</v>
      </c>
      <c r="K145" s="7" t="s">
        <v>195</v>
      </c>
      <c r="L145" s="7" t="s">
        <v>195</v>
      </c>
      <c r="M145" s="7" t="s">
        <v>29</v>
      </c>
      <c r="N145" s="7" t="s">
        <v>29</v>
      </c>
      <c r="O145" s="7" t="s">
        <v>29</v>
      </c>
      <c r="P145" s="7" t="s">
        <v>29</v>
      </c>
      <c r="Q145" s="7" t="s">
        <v>29</v>
      </c>
      <c r="R145" s="7" t="s">
        <v>29</v>
      </c>
      <c r="S145" s="7" t="s">
        <v>29</v>
      </c>
    </row>
    <row r="146" spans="2:19">
      <c r="B146" s="7" t="s">
        <v>195</v>
      </c>
      <c r="C146" s="8" t="s">
        <v>195</v>
      </c>
      <c r="D146" s="5" t="str">
        <f>LRTRIM(CONCATENATE(IF(SUMPRODUCT(-- ISNUMBER(SEARCH({"Auto Number"}, $B146))) &gt; 0, $B146, IF(SUMPRODUCT(-- ISNUMBER(SEARCH({"Lookup","Master-Detail"}, $B146))) &gt; 0,$B146 &amp; "(" &amp; $E146 &amp; ")",IF(SUMPRODUCT(-- ISNUMBER(SEARCH({"Formula","Roll-Up Summary"}, $B146))) &gt; 0,$B146 &amp; " (" &amp; $E146 &amp; ")",IF(SUMPRODUCT(-- ISNUMBER(SEARCH({"Content","Currency","Number","Percent","Text","URL"}, $B146))) &gt; 0,$B146 &amp; "(" &amp; $C146 &amp; ")",$B146)))), "  ", TRIM(IF($S146 = "YES", "(External ID)", "") &amp; " " &amp; IF(SUMPRODUCT(-- ISNUMBER(SEARCH({"Unique","Unique Case Insensitive"}, $R146))) &gt; 0, "(" &amp; $R146 &amp; ")", ""))))</f>
        <v>na</v>
      </c>
      <c r="E146" s="7" t="s">
        <v>195</v>
      </c>
      <c r="F146" s="7" t="s">
        <v>195</v>
      </c>
      <c r="G146" s="7" t="s">
        <v>195</v>
      </c>
      <c r="H146" s="7" t="s">
        <v>195</v>
      </c>
      <c r="I146" s="7" t="s">
        <v>195</v>
      </c>
      <c r="J146" s="7" t="s">
        <v>195</v>
      </c>
      <c r="K146" s="7" t="s">
        <v>195</v>
      </c>
      <c r="L146" s="7" t="s">
        <v>195</v>
      </c>
      <c r="M146" s="7" t="s">
        <v>29</v>
      </c>
      <c r="N146" s="7" t="s">
        <v>29</v>
      </c>
      <c r="O146" s="7" t="s">
        <v>29</v>
      </c>
      <c r="P146" s="7" t="s">
        <v>29</v>
      </c>
      <c r="Q146" s="7" t="s">
        <v>29</v>
      </c>
      <c r="R146" s="7" t="s">
        <v>29</v>
      </c>
      <c r="S146" s="7" t="s">
        <v>29</v>
      </c>
    </row>
    <row r="147" spans="2:19">
      <c r="B147" s="7" t="s">
        <v>195</v>
      </c>
      <c r="C147" s="8" t="s">
        <v>195</v>
      </c>
      <c r="D147" s="5" t="str">
        <f>LRTRIM(CONCATENATE(IF(SUMPRODUCT(-- ISNUMBER(SEARCH({"Auto Number"}, $B147))) &gt; 0, $B147, IF(SUMPRODUCT(-- ISNUMBER(SEARCH({"Lookup","Master-Detail"}, $B147))) &gt; 0,$B147 &amp; "(" &amp; $E147 &amp; ")",IF(SUMPRODUCT(-- ISNUMBER(SEARCH({"Formula","Roll-Up Summary"}, $B147))) &gt; 0,$B147 &amp; " (" &amp; $E147 &amp; ")",IF(SUMPRODUCT(-- ISNUMBER(SEARCH({"Content","Currency","Number","Percent","Text","URL"}, $B147))) &gt; 0,$B147 &amp; "(" &amp; $C147 &amp; ")",$B147)))), "  ", TRIM(IF($S147 = "YES", "(External ID)", "") &amp; " " &amp; IF(SUMPRODUCT(-- ISNUMBER(SEARCH({"Unique","Unique Case Insensitive"}, $R147))) &gt; 0, "(" &amp; $R147 &amp; ")", ""))))</f>
        <v>na</v>
      </c>
      <c r="E147" s="7" t="s">
        <v>195</v>
      </c>
      <c r="F147" s="7" t="s">
        <v>195</v>
      </c>
      <c r="G147" s="7" t="s">
        <v>195</v>
      </c>
      <c r="H147" s="7" t="s">
        <v>195</v>
      </c>
      <c r="I147" s="7" t="s">
        <v>195</v>
      </c>
      <c r="J147" s="7" t="s">
        <v>195</v>
      </c>
      <c r="K147" s="7" t="s">
        <v>195</v>
      </c>
      <c r="L147" s="7" t="s">
        <v>195</v>
      </c>
      <c r="M147" s="7" t="s">
        <v>29</v>
      </c>
      <c r="N147" s="7" t="s">
        <v>29</v>
      </c>
      <c r="O147" s="7" t="s">
        <v>29</v>
      </c>
      <c r="P147" s="7" t="s">
        <v>29</v>
      </c>
      <c r="Q147" s="7" t="s">
        <v>29</v>
      </c>
      <c r="R147" s="7" t="s">
        <v>29</v>
      </c>
      <c r="S147" s="7" t="s">
        <v>29</v>
      </c>
    </row>
    <row r="148" spans="2:19">
      <c r="B148" s="7" t="s">
        <v>195</v>
      </c>
      <c r="C148" s="8" t="s">
        <v>195</v>
      </c>
      <c r="D148" s="5" t="str">
        <f>LRTRIM(CONCATENATE(IF(SUMPRODUCT(-- ISNUMBER(SEARCH({"Auto Number"}, $B148))) &gt; 0, $B148, IF(SUMPRODUCT(-- ISNUMBER(SEARCH({"Lookup","Master-Detail"}, $B148))) &gt; 0,$B148 &amp; "(" &amp; $E148 &amp; ")",IF(SUMPRODUCT(-- ISNUMBER(SEARCH({"Formula","Roll-Up Summary"}, $B148))) &gt; 0,$B148 &amp; " (" &amp; $E148 &amp; ")",IF(SUMPRODUCT(-- ISNUMBER(SEARCH({"Content","Currency","Number","Percent","Text","URL"}, $B148))) &gt; 0,$B148 &amp; "(" &amp; $C148 &amp; ")",$B148)))), "  ", TRIM(IF($S148 = "YES", "(External ID)", "") &amp; " " &amp; IF(SUMPRODUCT(-- ISNUMBER(SEARCH({"Unique","Unique Case Insensitive"}, $R148))) &gt; 0, "(" &amp; $R148 &amp; ")", ""))))</f>
        <v>na</v>
      </c>
      <c r="E148" s="7" t="s">
        <v>195</v>
      </c>
      <c r="F148" s="7" t="s">
        <v>195</v>
      </c>
      <c r="G148" s="7" t="s">
        <v>195</v>
      </c>
      <c r="H148" s="7" t="s">
        <v>195</v>
      </c>
      <c r="I148" s="7" t="s">
        <v>195</v>
      </c>
      <c r="J148" s="7" t="s">
        <v>195</v>
      </c>
      <c r="K148" s="7" t="s">
        <v>195</v>
      </c>
      <c r="L148" s="7" t="s">
        <v>195</v>
      </c>
      <c r="M148" s="7" t="s">
        <v>29</v>
      </c>
      <c r="N148" s="7" t="s">
        <v>29</v>
      </c>
      <c r="O148" s="7" t="s">
        <v>29</v>
      </c>
      <c r="P148" s="7" t="s">
        <v>29</v>
      </c>
      <c r="Q148" s="7" t="s">
        <v>29</v>
      </c>
      <c r="R148" s="7" t="s">
        <v>29</v>
      </c>
      <c r="S148" s="7" t="s">
        <v>29</v>
      </c>
    </row>
    <row r="149" spans="2:19">
      <c r="B149" s="7" t="s">
        <v>195</v>
      </c>
      <c r="C149" s="8" t="s">
        <v>195</v>
      </c>
      <c r="D149" s="5" t="str">
        <f>LRTRIM(CONCATENATE(IF(SUMPRODUCT(-- ISNUMBER(SEARCH({"Auto Number"}, $B149))) &gt; 0, $B149, IF(SUMPRODUCT(-- ISNUMBER(SEARCH({"Lookup","Master-Detail"}, $B149))) &gt; 0,$B149 &amp; "(" &amp; $E149 &amp; ")",IF(SUMPRODUCT(-- ISNUMBER(SEARCH({"Formula","Roll-Up Summary"}, $B149))) &gt; 0,$B149 &amp; " (" &amp; $E149 &amp; ")",IF(SUMPRODUCT(-- ISNUMBER(SEARCH({"Content","Currency","Number","Percent","Text","URL"}, $B149))) &gt; 0,$B149 &amp; "(" &amp; $C149 &amp; ")",$B149)))), "  ", TRIM(IF($S149 = "YES", "(External ID)", "") &amp; " " &amp; IF(SUMPRODUCT(-- ISNUMBER(SEARCH({"Unique","Unique Case Insensitive"}, $R149))) &gt; 0, "(" &amp; $R149 &amp; ")", ""))))</f>
        <v>na</v>
      </c>
      <c r="E149" s="7" t="s">
        <v>195</v>
      </c>
      <c r="F149" s="7" t="s">
        <v>195</v>
      </c>
      <c r="G149" s="7" t="s">
        <v>195</v>
      </c>
      <c r="H149" s="7" t="s">
        <v>195</v>
      </c>
      <c r="I149" s="7" t="s">
        <v>195</v>
      </c>
      <c r="J149" s="7" t="s">
        <v>195</v>
      </c>
      <c r="K149" s="7" t="s">
        <v>195</v>
      </c>
      <c r="L149" s="7" t="s">
        <v>195</v>
      </c>
      <c r="M149" s="7" t="s">
        <v>29</v>
      </c>
      <c r="N149" s="7" t="s">
        <v>29</v>
      </c>
      <c r="O149" s="7" t="s">
        <v>29</v>
      </c>
      <c r="P149" s="7" t="s">
        <v>29</v>
      </c>
      <c r="Q149" s="7" t="s">
        <v>29</v>
      </c>
      <c r="R149" s="7" t="s">
        <v>29</v>
      </c>
      <c r="S149" s="7" t="s">
        <v>29</v>
      </c>
    </row>
    <row r="150" spans="2:19">
      <c r="B150" s="7" t="s">
        <v>195</v>
      </c>
      <c r="C150" s="8" t="s">
        <v>195</v>
      </c>
      <c r="D150" s="5" t="str">
        <f>LRTRIM(CONCATENATE(IF(SUMPRODUCT(-- ISNUMBER(SEARCH({"Auto Number"}, $B150))) &gt; 0, $B150, IF(SUMPRODUCT(-- ISNUMBER(SEARCH({"Lookup","Master-Detail"}, $B150))) &gt; 0,$B150 &amp; "(" &amp; $E150 &amp; ")",IF(SUMPRODUCT(-- ISNUMBER(SEARCH({"Formula","Roll-Up Summary"}, $B150))) &gt; 0,$B150 &amp; " (" &amp; $E150 &amp; ")",IF(SUMPRODUCT(-- ISNUMBER(SEARCH({"Content","Currency","Number","Percent","Text","URL"}, $B150))) &gt; 0,$B150 &amp; "(" &amp; $C150 &amp; ")",$B150)))), "  ", TRIM(IF($S150 = "YES", "(External ID)", "") &amp; " " &amp; IF(SUMPRODUCT(-- ISNUMBER(SEARCH({"Unique","Unique Case Insensitive"}, $R150))) &gt; 0, "(" &amp; $R150 &amp; ")", ""))))</f>
        <v>na</v>
      </c>
      <c r="E150" s="7" t="s">
        <v>195</v>
      </c>
      <c r="F150" s="7" t="s">
        <v>195</v>
      </c>
      <c r="G150" s="7" t="s">
        <v>195</v>
      </c>
      <c r="H150" s="7" t="s">
        <v>195</v>
      </c>
      <c r="I150" s="7" t="s">
        <v>195</v>
      </c>
      <c r="J150" s="7" t="s">
        <v>195</v>
      </c>
      <c r="K150" s="7" t="s">
        <v>195</v>
      </c>
      <c r="L150" s="7" t="s">
        <v>195</v>
      </c>
      <c r="M150" s="7" t="s">
        <v>29</v>
      </c>
      <c r="N150" s="7" t="s">
        <v>29</v>
      </c>
      <c r="O150" s="7" t="s">
        <v>29</v>
      </c>
      <c r="P150" s="7" t="s">
        <v>29</v>
      </c>
      <c r="Q150" s="7" t="s">
        <v>29</v>
      </c>
      <c r="R150" s="7" t="s">
        <v>29</v>
      </c>
      <c r="S150" s="7" t="s">
        <v>29</v>
      </c>
    </row>
    <row r="151" spans="2:19">
      <c r="B151" s="7" t="s">
        <v>195</v>
      </c>
      <c r="C151" s="8" t="s">
        <v>195</v>
      </c>
      <c r="D151" s="5" t="str">
        <f>LRTRIM(CONCATENATE(IF(SUMPRODUCT(-- ISNUMBER(SEARCH({"Auto Number"}, $B151))) &gt; 0, $B151, IF(SUMPRODUCT(-- ISNUMBER(SEARCH({"Lookup","Master-Detail"}, $B151))) &gt; 0,$B151 &amp; "(" &amp; $E151 &amp; ")",IF(SUMPRODUCT(-- ISNUMBER(SEARCH({"Formula","Roll-Up Summary"}, $B151))) &gt; 0,$B151 &amp; " (" &amp; $E151 &amp; ")",IF(SUMPRODUCT(-- ISNUMBER(SEARCH({"Content","Currency","Number","Percent","Text","URL"}, $B151))) &gt; 0,$B151 &amp; "(" &amp; $C151 &amp; ")",$B151)))), "  ", TRIM(IF($S151 = "YES", "(External ID)", "") &amp; " " &amp; IF(SUMPRODUCT(-- ISNUMBER(SEARCH({"Unique","Unique Case Insensitive"}, $R151))) &gt; 0, "(" &amp; $R151 &amp; ")", ""))))</f>
        <v>na</v>
      </c>
      <c r="E151" s="7" t="s">
        <v>195</v>
      </c>
      <c r="F151" s="7" t="s">
        <v>195</v>
      </c>
      <c r="G151" s="7" t="s">
        <v>195</v>
      </c>
      <c r="H151" s="7" t="s">
        <v>195</v>
      </c>
      <c r="I151" s="7" t="s">
        <v>195</v>
      </c>
      <c r="J151" s="7" t="s">
        <v>195</v>
      </c>
      <c r="K151" s="7" t="s">
        <v>195</v>
      </c>
      <c r="L151" s="7" t="s">
        <v>195</v>
      </c>
      <c r="M151" s="7" t="s">
        <v>29</v>
      </c>
      <c r="N151" s="7" t="s">
        <v>29</v>
      </c>
      <c r="O151" s="7" t="s">
        <v>29</v>
      </c>
      <c r="P151" s="7" t="s">
        <v>29</v>
      </c>
      <c r="Q151" s="7" t="s">
        <v>29</v>
      </c>
      <c r="R151" s="7" t="s">
        <v>29</v>
      </c>
      <c r="S151" s="7" t="s">
        <v>29</v>
      </c>
    </row>
    <row r="152" spans="2:19">
      <c r="B152" s="7" t="s">
        <v>195</v>
      </c>
      <c r="C152" s="8" t="s">
        <v>195</v>
      </c>
      <c r="D152" s="5" t="str">
        <f>LRTRIM(CONCATENATE(IF(SUMPRODUCT(-- ISNUMBER(SEARCH({"Auto Number"}, $B152))) &gt; 0, $B152, IF(SUMPRODUCT(-- ISNUMBER(SEARCH({"Lookup","Master-Detail"}, $B152))) &gt; 0,$B152 &amp; "(" &amp; $E152 &amp; ")",IF(SUMPRODUCT(-- ISNUMBER(SEARCH({"Formula","Roll-Up Summary"}, $B152))) &gt; 0,$B152 &amp; " (" &amp; $E152 &amp; ")",IF(SUMPRODUCT(-- ISNUMBER(SEARCH({"Content","Currency","Number","Percent","Text","URL"}, $B152))) &gt; 0,$B152 &amp; "(" &amp; $C152 &amp; ")",$B152)))), "  ", TRIM(IF($S152 = "YES", "(External ID)", "") &amp; " " &amp; IF(SUMPRODUCT(-- ISNUMBER(SEARCH({"Unique","Unique Case Insensitive"}, $R152))) &gt; 0, "(" &amp; $R152 &amp; ")", ""))))</f>
        <v>na</v>
      </c>
      <c r="E152" s="7" t="s">
        <v>195</v>
      </c>
      <c r="F152" s="7" t="s">
        <v>195</v>
      </c>
      <c r="G152" s="7" t="s">
        <v>195</v>
      </c>
      <c r="H152" s="7" t="s">
        <v>195</v>
      </c>
      <c r="I152" s="7" t="s">
        <v>195</v>
      </c>
      <c r="J152" s="7" t="s">
        <v>195</v>
      </c>
      <c r="K152" s="7" t="s">
        <v>195</v>
      </c>
      <c r="L152" s="7" t="s">
        <v>195</v>
      </c>
      <c r="M152" s="7" t="s">
        <v>29</v>
      </c>
      <c r="N152" s="7" t="s">
        <v>29</v>
      </c>
      <c r="O152" s="7" t="s">
        <v>29</v>
      </c>
      <c r="P152" s="7" t="s">
        <v>29</v>
      </c>
      <c r="Q152" s="7" t="s">
        <v>29</v>
      </c>
      <c r="R152" s="7" t="s">
        <v>29</v>
      </c>
      <c r="S152" s="7" t="s">
        <v>29</v>
      </c>
    </row>
    <row r="153" spans="2:19">
      <c r="B153" s="7" t="s">
        <v>195</v>
      </c>
      <c r="C153" s="8" t="s">
        <v>195</v>
      </c>
      <c r="D153" s="5" t="str">
        <f>LRTRIM(CONCATENATE(IF(SUMPRODUCT(-- ISNUMBER(SEARCH({"Auto Number"}, $B153))) &gt; 0, $B153, IF(SUMPRODUCT(-- ISNUMBER(SEARCH({"Lookup","Master-Detail"}, $B153))) &gt; 0,$B153 &amp; "(" &amp; $E153 &amp; ")",IF(SUMPRODUCT(-- ISNUMBER(SEARCH({"Formula","Roll-Up Summary"}, $B153))) &gt; 0,$B153 &amp; " (" &amp; $E153 &amp; ")",IF(SUMPRODUCT(-- ISNUMBER(SEARCH({"Content","Currency","Number","Percent","Text","URL"}, $B153))) &gt; 0,$B153 &amp; "(" &amp; $C153 &amp; ")",$B153)))), "  ", TRIM(IF($S153 = "YES", "(External ID)", "") &amp; " " &amp; IF(SUMPRODUCT(-- ISNUMBER(SEARCH({"Unique","Unique Case Insensitive"}, $R153))) &gt; 0, "(" &amp; $R153 &amp; ")", ""))))</f>
        <v>na</v>
      </c>
      <c r="E153" s="7" t="s">
        <v>195</v>
      </c>
      <c r="F153" s="7" t="s">
        <v>195</v>
      </c>
      <c r="G153" s="7" t="s">
        <v>195</v>
      </c>
      <c r="H153" s="7" t="s">
        <v>195</v>
      </c>
      <c r="I153" s="7" t="s">
        <v>195</v>
      </c>
      <c r="J153" s="7" t="s">
        <v>195</v>
      </c>
      <c r="K153" s="7" t="s">
        <v>195</v>
      </c>
      <c r="L153" s="7" t="s">
        <v>195</v>
      </c>
      <c r="M153" s="7" t="s">
        <v>29</v>
      </c>
      <c r="N153" s="7" t="s">
        <v>29</v>
      </c>
      <c r="O153" s="7" t="s">
        <v>29</v>
      </c>
      <c r="P153" s="7" t="s">
        <v>29</v>
      </c>
      <c r="Q153" s="7" t="s">
        <v>29</v>
      </c>
      <c r="R153" s="7" t="s">
        <v>29</v>
      </c>
      <c r="S153" s="7" t="s">
        <v>29</v>
      </c>
    </row>
    <row r="154" spans="2:19">
      <c r="B154" s="7" t="s">
        <v>195</v>
      </c>
      <c r="C154" s="8" t="s">
        <v>195</v>
      </c>
      <c r="D154" s="5" t="str">
        <f>LRTRIM(CONCATENATE(IF(SUMPRODUCT(-- ISNUMBER(SEARCH({"Auto Number"}, $B154))) &gt; 0, $B154, IF(SUMPRODUCT(-- ISNUMBER(SEARCH({"Lookup","Master-Detail"}, $B154))) &gt; 0,$B154 &amp; "(" &amp; $E154 &amp; ")",IF(SUMPRODUCT(-- ISNUMBER(SEARCH({"Formula","Roll-Up Summary"}, $B154))) &gt; 0,$B154 &amp; " (" &amp; $E154 &amp; ")",IF(SUMPRODUCT(-- ISNUMBER(SEARCH({"Content","Currency","Number","Percent","Text","URL"}, $B154))) &gt; 0,$B154 &amp; "(" &amp; $C154 &amp; ")",$B154)))), "  ", TRIM(IF($S154 = "YES", "(External ID)", "") &amp; " " &amp; IF(SUMPRODUCT(-- ISNUMBER(SEARCH({"Unique","Unique Case Insensitive"}, $R154))) &gt; 0, "(" &amp; $R154 &amp; ")", ""))))</f>
        <v>na</v>
      </c>
      <c r="E154" s="7" t="s">
        <v>195</v>
      </c>
      <c r="F154" s="7" t="s">
        <v>195</v>
      </c>
      <c r="G154" s="7" t="s">
        <v>195</v>
      </c>
      <c r="H154" s="7" t="s">
        <v>195</v>
      </c>
      <c r="I154" s="7" t="s">
        <v>195</v>
      </c>
      <c r="J154" s="7" t="s">
        <v>195</v>
      </c>
      <c r="K154" s="7" t="s">
        <v>195</v>
      </c>
      <c r="L154" s="7" t="s">
        <v>195</v>
      </c>
      <c r="M154" s="7" t="s">
        <v>29</v>
      </c>
      <c r="N154" s="7" t="s">
        <v>29</v>
      </c>
      <c r="O154" s="7" t="s">
        <v>29</v>
      </c>
      <c r="P154" s="7" t="s">
        <v>29</v>
      </c>
      <c r="Q154" s="7" t="s">
        <v>29</v>
      </c>
      <c r="R154" s="7" t="s">
        <v>29</v>
      </c>
      <c r="S154" s="7" t="s">
        <v>29</v>
      </c>
    </row>
    <row r="155" spans="2:19">
      <c r="B155" s="7" t="s">
        <v>195</v>
      </c>
      <c r="C155" s="8" t="s">
        <v>195</v>
      </c>
      <c r="D155" s="5" t="str">
        <f>LRTRIM(CONCATENATE(IF(SUMPRODUCT(-- ISNUMBER(SEARCH({"Auto Number"}, $B155))) &gt; 0, $B155, IF(SUMPRODUCT(-- ISNUMBER(SEARCH({"Lookup","Master-Detail"}, $B155))) &gt; 0,$B155 &amp; "(" &amp; $E155 &amp; ")",IF(SUMPRODUCT(-- ISNUMBER(SEARCH({"Formula","Roll-Up Summary"}, $B155))) &gt; 0,$B155 &amp; " (" &amp; $E155 &amp; ")",IF(SUMPRODUCT(-- ISNUMBER(SEARCH({"Content","Currency","Number","Percent","Text","URL"}, $B155))) &gt; 0,$B155 &amp; "(" &amp; $C155 &amp; ")",$B155)))), "  ", TRIM(IF($S155 = "YES", "(External ID)", "") &amp; " " &amp; IF(SUMPRODUCT(-- ISNUMBER(SEARCH({"Unique","Unique Case Insensitive"}, $R155))) &gt; 0, "(" &amp; $R155 &amp; ")", ""))))</f>
        <v>na</v>
      </c>
      <c r="E155" s="7" t="s">
        <v>195</v>
      </c>
      <c r="F155" s="7" t="s">
        <v>195</v>
      </c>
      <c r="G155" s="7" t="s">
        <v>195</v>
      </c>
      <c r="H155" s="7" t="s">
        <v>195</v>
      </c>
      <c r="I155" s="7" t="s">
        <v>195</v>
      </c>
      <c r="J155" s="7" t="s">
        <v>195</v>
      </c>
      <c r="K155" s="7" t="s">
        <v>195</v>
      </c>
      <c r="L155" s="7" t="s">
        <v>195</v>
      </c>
      <c r="M155" s="7" t="s">
        <v>29</v>
      </c>
      <c r="N155" s="7" t="s">
        <v>29</v>
      </c>
      <c r="O155" s="7" t="s">
        <v>29</v>
      </c>
      <c r="P155" s="7" t="s">
        <v>29</v>
      </c>
      <c r="Q155" s="7" t="s">
        <v>29</v>
      </c>
      <c r="R155" s="7" t="s">
        <v>29</v>
      </c>
      <c r="S155" s="7" t="s">
        <v>29</v>
      </c>
    </row>
    <row r="156" spans="2:19">
      <c r="B156" s="7" t="s">
        <v>195</v>
      </c>
      <c r="C156" s="8" t="s">
        <v>195</v>
      </c>
      <c r="D156" s="5" t="str">
        <f>LRTRIM(CONCATENATE(IF(SUMPRODUCT(-- ISNUMBER(SEARCH({"Auto Number"}, $B156))) &gt; 0, $B156, IF(SUMPRODUCT(-- ISNUMBER(SEARCH({"Lookup","Master-Detail"}, $B156))) &gt; 0,$B156 &amp; "(" &amp; $E156 &amp; ")",IF(SUMPRODUCT(-- ISNUMBER(SEARCH({"Formula","Roll-Up Summary"}, $B156))) &gt; 0,$B156 &amp; " (" &amp; $E156 &amp; ")",IF(SUMPRODUCT(-- ISNUMBER(SEARCH({"Content","Currency","Number","Percent","Text","URL"}, $B156))) &gt; 0,$B156 &amp; "(" &amp; $C156 &amp; ")",$B156)))), "  ", TRIM(IF($S156 = "YES", "(External ID)", "") &amp; " " &amp; IF(SUMPRODUCT(-- ISNUMBER(SEARCH({"Unique","Unique Case Insensitive"}, $R156))) &gt; 0, "(" &amp; $R156 &amp; ")", ""))))</f>
        <v>na</v>
      </c>
      <c r="E156" s="7" t="s">
        <v>195</v>
      </c>
      <c r="F156" s="7" t="s">
        <v>195</v>
      </c>
      <c r="G156" s="7" t="s">
        <v>195</v>
      </c>
      <c r="H156" s="7" t="s">
        <v>195</v>
      </c>
      <c r="I156" s="7" t="s">
        <v>195</v>
      </c>
      <c r="J156" s="7" t="s">
        <v>195</v>
      </c>
      <c r="K156" s="7" t="s">
        <v>195</v>
      </c>
      <c r="L156" s="7" t="s">
        <v>195</v>
      </c>
      <c r="M156" s="7" t="s">
        <v>29</v>
      </c>
      <c r="N156" s="7" t="s">
        <v>29</v>
      </c>
      <c r="O156" s="7" t="s">
        <v>29</v>
      </c>
      <c r="P156" s="7" t="s">
        <v>29</v>
      </c>
      <c r="Q156" s="7" t="s">
        <v>29</v>
      </c>
      <c r="R156" s="7" t="s">
        <v>29</v>
      </c>
      <c r="S156" s="7" t="s">
        <v>29</v>
      </c>
    </row>
    <row r="157" spans="2:19">
      <c r="B157" s="7" t="s">
        <v>195</v>
      </c>
      <c r="C157" s="8" t="s">
        <v>195</v>
      </c>
      <c r="D157" s="5" t="str">
        <f>LRTRIM(CONCATENATE(IF(SUMPRODUCT(-- ISNUMBER(SEARCH({"Auto Number"}, $B157))) &gt; 0, $B157, IF(SUMPRODUCT(-- ISNUMBER(SEARCH({"Lookup","Master-Detail"}, $B157))) &gt; 0,$B157 &amp; "(" &amp; $E157 &amp; ")",IF(SUMPRODUCT(-- ISNUMBER(SEARCH({"Formula","Roll-Up Summary"}, $B157))) &gt; 0,$B157 &amp; " (" &amp; $E157 &amp; ")",IF(SUMPRODUCT(-- ISNUMBER(SEARCH({"Content","Currency","Number","Percent","Text","URL"}, $B157))) &gt; 0,$B157 &amp; "(" &amp; $C157 &amp; ")",$B157)))), "  ", TRIM(IF($S157 = "YES", "(External ID)", "") &amp; " " &amp; IF(SUMPRODUCT(-- ISNUMBER(SEARCH({"Unique","Unique Case Insensitive"}, $R157))) &gt; 0, "(" &amp; $R157 &amp; ")", ""))))</f>
        <v>na</v>
      </c>
      <c r="E157" s="7" t="s">
        <v>195</v>
      </c>
      <c r="F157" s="7" t="s">
        <v>195</v>
      </c>
      <c r="G157" s="7" t="s">
        <v>195</v>
      </c>
      <c r="H157" s="7" t="s">
        <v>195</v>
      </c>
      <c r="I157" s="7" t="s">
        <v>195</v>
      </c>
      <c r="J157" s="7" t="s">
        <v>195</v>
      </c>
      <c r="K157" s="7" t="s">
        <v>195</v>
      </c>
      <c r="L157" s="7" t="s">
        <v>195</v>
      </c>
      <c r="M157" s="7" t="s">
        <v>29</v>
      </c>
      <c r="N157" s="7" t="s">
        <v>29</v>
      </c>
      <c r="O157" s="7" t="s">
        <v>29</v>
      </c>
      <c r="P157" s="7" t="s">
        <v>29</v>
      </c>
      <c r="Q157" s="7" t="s">
        <v>29</v>
      </c>
      <c r="R157" s="7" t="s">
        <v>29</v>
      </c>
      <c r="S157" s="7" t="s">
        <v>29</v>
      </c>
    </row>
    <row r="158" spans="2:19">
      <c r="B158" s="7" t="s">
        <v>195</v>
      </c>
      <c r="C158" s="8" t="s">
        <v>195</v>
      </c>
      <c r="D158" s="5" t="str">
        <f>LRTRIM(CONCATENATE(IF(SUMPRODUCT(-- ISNUMBER(SEARCH({"Auto Number"}, $B158))) &gt; 0, $B158, IF(SUMPRODUCT(-- ISNUMBER(SEARCH({"Lookup","Master-Detail"}, $B158))) &gt; 0,$B158 &amp; "(" &amp; $E158 &amp; ")",IF(SUMPRODUCT(-- ISNUMBER(SEARCH({"Formula","Roll-Up Summary"}, $B158))) &gt; 0,$B158 &amp; " (" &amp; $E158 &amp; ")",IF(SUMPRODUCT(-- ISNUMBER(SEARCH({"Content","Currency","Number","Percent","Text","URL"}, $B158))) &gt; 0,$B158 &amp; "(" &amp; $C158 &amp; ")",$B158)))), "  ", TRIM(IF($S158 = "YES", "(External ID)", "") &amp; " " &amp; IF(SUMPRODUCT(-- ISNUMBER(SEARCH({"Unique","Unique Case Insensitive"}, $R158))) &gt; 0, "(" &amp; $R158 &amp; ")", ""))))</f>
        <v>na</v>
      </c>
      <c r="E158" s="7" t="s">
        <v>195</v>
      </c>
      <c r="F158" s="7" t="s">
        <v>195</v>
      </c>
      <c r="G158" s="7" t="s">
        <v>195</v>
      </c>
      <c r="H158" s="7" t="s">
        <v>195</v>
      </c>
      <c r="I158" s="7" t="s">
        <v>195</v>
      </c>
      <c r="J158" s="7" t="s">
        <v>195</v>
      </c>
      <c r="K158" s="7" t="s">
        <v>195</v>
      </c>
      <c r="L158" s="7" t="s">
        <v>195</v>
      </c>
      <c r="M158" s="7" t="s">
        <v>29</v>
      </c>
      <c r="N158" s="7" t="s">
        <v>29</v>
      </c>
      <c r="O158" s="7" t="s">
        <v>29</v>
      </c>
      <c r="P158" s="7" t="s">
        <v>29</v>
      </c>
      <c r="Q158" s="7" t="s">
        <v>29</v>
      </c>
      <c r="R158" s="7" t="s">
        <v>29</v>
      </c>
      <c r="S158" s="7" t="s">
        <v>29</v>
      </c>
    </row>
    <row r="159" spans="2:19">
      <c r="B159" s="7" t="s">
        <v>195</v>
      </c>
      <c r="C159" s="8" t="s">
        <v>195</v>
      </c>
      <c r="D159" s="5" t="str">
        <f>LRTRIM(CONCATENATE(IF(SUMPRODUCT(-- ISNUMBER(SEARCH({"Auto Number"}, $B159))) &gt; 0, $B159, IF(SUMPRODUCT(-- ISNUMBER(SEARCH({"Lookup","Master-Detail"}, $B159))) &gt; 0,$B159 &amp; "(" &amp; $E159 &amp; ")",IF(SUMPRODUCT(-- ISNUMBER(SEARCH({"Formula","Roll-Up Summary"}, $B159))) &gt; 0,$B159 &amp; " (" &amp; $E159 &amp; ")",IF(SUMPRODUCT(-- ISNUMBER(SEARCH({"Content","Currency","Number","Percent","Text","URL"}, $B159))) &gt; 0,$B159 &amp; "(" &amp; $C159 &amp; ")",$B159)))), "  ", TRIM(IF($S159 = "YES", "(External ID)", "") &amp; " " &amp; IF(SUMPRODUCT(-- ISNUMBER(SEARCH({"Unique","Unique Case Insensitive"}, $R159))) &gt; 0, "(" &amp; $R159 &amp; ")", ""))))</f>
        <v>na</v>
      </c>
      <c r="E159" s="7" t="s">
        <v>195</v>
      </c>
      <c r="F159" s="7" t="s">
        <v>195</v>
      </c>
      <c r="G159" s="7" t="s">
        <v>195</v>
      </c>
      <c r="H159" s="7" t="s">
        <v>195</v>
      </c>
      <c r="I159" s="7" t="s">
        <v>195</v>
      </c>
      <c r="J159" s="7" t="s">
        <v>195</v>
      </c>
      <c r="K159" s="7" t="s">
        <v>195</v>
      </c>
      <c r="L159" s="7" t="s">
        <v>195</v>
      </c>
      <c r="M159" s="7" t="s">
        <v>29</v>
      </c>
      <c r="N159" s="7" t="s">
        <v>29</v>
      </c>
      <c r="O159" s="7" t="s">
        <v>29</v>
      </c>
      <c r="P159" s="7" t="s">
        <v>29</v>
      </c>
      <c r="Q159" s="7" t="s">
        <v>29</v>
      </c>
      <c r="R159" s="7" t="s">
        <v>29</v>
      </c>
      <c r="S159" s="7" t="s">
        <v>29</v>
      </c>
    </row>
    <row r="160" spans="2:19">
      <c r="B160" s="7" t="s">
        <v>195</v>
      </c>
      <c r="C160" s="8" t="s">
        <v>195</v>
      </c>
      <c r="D160" s="5" t="str">
        <f>LRTRIM(CONCATENATE(IF(SUMPRODUCT(-- ISNUMBER(SEARCH({"Auto Number"}, $B160))) &gt; 0, $B160, IF(SUMPRODUCT(-- ISNUMBER(SEARCH({"Lookup","Master-Detail"}, $B160))) &gt; 0,$B160 &amp; "(" &amp; $E160 &amp; ")",IF(SUMPRODUCT(-- ISNUMBER(SEARCH({"Formula","Roll-Up Summary"}, $B160))) &gt; 0,$B160 &amp; " (" &amp; $E160 &amp; ")",IF(SUMPRODUCT(-- ISNUMBER(SEARCH({"Content","Currency","Number","Percent","Text","URL"}, $B160))) &gt; 0,$B160 &amp; "(" &amp; $C160 &amp; ")",$B160)))), "  ", TRIM(IF($S160 = "YES", "(External ID)", "") &amp; " " &amp; IF(SUMPRODUCT(-- ISNUMBER(SEARCH({"Unique","Unique Case Insensitive"}, $R160))) &gt; 0, "(" &amp; $R160 &amp; ")", ""))))</f>
        <v>na</v>
      </c>
      <c r="E160" s="7" t="s">
        <v>195</v>
      </c>
      <c r="F160" s="7" t="s">
        <v>195</v>
      </c>
      <c r="G160" s="7" t="s">
        <v>195</v>
      </c>
      <c r="H160" s="7" t="s">
        <v>195</v>
      </c>
      <c r="I160" s="7" t="s">
        <v>195</v>
      </c>
      <c r="J160" s="7" t="s">
        <v>195</v>
      </c>
      <c r="K160" s="7" t="s">
        <v>195</v>
      </c>
      <c r="L160" s="7" t="s">
        <v>195</v>
      </c>
      <c r="M160" s="7" t="s">
        <v>29</v>
      </c>
      <c r="N160" s="7" t="s">
        <v>29</v>
      </c>
      <c r="O160" s="7" t="s">
        <v>29</v>
      </c>
      <c r="P160" s="7" t="s">
        <v>29</v>
      </c>
      <c r="Q160" s="7" t="s">
        <v>29</v>
      </c>
      <c r="R160" s="7" t="s">
        <v>29</v>
      </c>
      <c r="S160" s="7" t="s">
        <v>29</v>
      </c>
    </row>
    <row r="161" spans="2:19">
      <c r="B161" s="7" t="s">
        <v>195</v>
      </c>
      <c r="C161" s="8" t="s">
        <v>195</v>
      </c>
      <c r="D161" s="5" t="str">
        <f>LRTRIM(CONCATENATE(IF(SUMPRODUCT(-- ISNUMBER(SEARCH({"Auto Number"}, $B161))) &gt; 0, $B161, IF(SUMPRODUCT(-- ISNUMBER(SEARCH({"Lookup","Master-Detail"}, $B161))) &gt; 0,$B161 &amp; "(" &amp; $E161 &amp; ")",IF(SUMPRODUCT(-- ISNUMBER(SEARCH({"Formula","Roll-Up Summary"}, $B161))) &gt; 0,$B161 &amp; " (" &amp; $E161 &amp; ")",IF(SUMPRODUCT(-- ISNUMBER(SEARCH({"Content","Currency","Number","Percent","Text","URL"}, $B161))) &gt; 0,$B161 &amp; "(" &amp; $C161 &amp; ")",$B161)))), "  ", TRIM(IF($S161 = "YES", "(External ID)", "") &amp; " " &amp; IF(SUMPRODUCT(-- ISNUMBER(SEARCH({"Unique","Unique Case Insensitive"}, $R161))) &gt; 0, "(" &amp; $R161 &amp; ")", ""))))</f>
        <v>na</v>
      </c>
      <c r="E161" s="7" t="s">
        <v>195</v>
      </c>
      <c r="F161" s="7" t="s">
        <v>195</v>
      </c>
      <c r="G161" s="7" t="s">
        <v>195</v>
      </c>
      <c r="H161" s="7" t="s">
        <v>195</v>
      </c>
      <c r="I161" s="7" t="s">
        <v>195</v>
      </c>
      <c r="J161" s="7" t="s">
        <v>195</v>
      </c>
      <c r="K161" s="7" t="s">
        <v>195</v>
      </c>
      <c r="L161" s="7" t="s">
        <v>195</v>
      </c>
      <c r="M161" s="7" t="s">
        <v>29</v>
      </c>
      <c r="N161" s="7" t="s">
        <v>29</v>
      </c>
      <c r="O161" s="7" t="s">
        <v>29</v>
      </c>
      <c r="P161" s="7" t="s">
        <v>29</v>
      </c>
      <c r="Q161" s="7" t="s">
        <v>29</v>
      </c>
      <c r="R161" s="7" t="s">
        <v>29</v>
      </c>
      <c r="S161" s="7" t="s">
        <v>29</v>
      </c>
    </row>
    <row r="162" spans="2:19">
      <c r="B162" s="7" t="s">
        <v>195</v>
      </c>
      <c r="C162" s="8" t="s">
        <v>195</v>
      </c>
      <c r="D162" s="5" t="str">
        <f>LRTRIM(CONCATENATE(IF(SUMPRODUCT(-- ISNUMBER(SEARCH({"Auto Number"}, $B162))) &gt; 0, $B162, IF(SUMPRODUCT(-- ISNUMBER(SEARCH({"Lookup","Master-Detail"}, $B162))) &gt; 0,$B162 &amp; "(" &amp; $E162 &amp; ")",IF(SUMPRODUCT(-- ISNUMBER(SEARCH({"Formula","Roll-Up Summary"}, $B162))) &gt; 0,$B162 &amp; " (" &amp; $E162 &amp; ")",IF(SUMPRODUCT(-- ISNUMBER(SEARCH({"Content","Currency","Number","Percent","Text","URL"}, $B162))) &gt; 0,$B162 &amp; "(" &amp; $C162 &amp; ")",$B162)))), "  ", TRIM(IF($S162 = "YES", "(External ID)", "") &amp; " " &amp; IF(SUMPRODUCT(-- ISNUMBER(SEARCH({"Unique","Unique Case Insensitive"}, $R162))) &gt; 0, "(" &amp; $R162 &amp; ")", ""))))</f>
        <v>na</v>
      </c>
      <c r="E162" s="7" t="s">
        <v>195</v>
      </c>
      <c r="F162" s="7" t="s">
        <v>195</v>
      </c>
      <c r="G162" s="7" t="s">
        <v>195</v>
      </c>
      <c r="H162" s="7" t="s">
        <v>195</v>
      </c>
      <c r="I162" s="7" t="s">
        <v>195</v>
      </c>
      <c r="J162" s="7" t="s">
        <v>195</v>
      </c>
      <c r="K162" s="7" t="s">
        <v>195</v>
      </c>
      <c r="L162" s="7" t="s">
        <v>195</v>
      </c>
      <c r="M162" s="7" t="s">
        <v>29</v>
      </c>
      <c r="N162" s="7" t="s">
        <v>29</v>
      </c>
      <c r="O162" s="7" t="s">
        <v>29</v>
      </c>
      <c r="P162" s="7" t="s">
        <v>29</v>
      </c>
      <c r="Q162" s="7" t="s">
        <v>29</v>
      </c>
      <c r="R162" s="7" t="s">
        <v>29</v>
      </c>
      <c r="S162" s="7" t="s">
        <v>29</v>
      </c>
    </row>
    <row r="163" spans="2:19">
      <c r="B163" s="7" t="s">
        <v>195</v>
      </c>
      <c r="C163" s="8" t="s">
        <v>195</v>
      </c>
      <c r="D163" s="5" t="str">
        <f>LRTRIM(CONCATENATE(IF(SUMPRODUCT(-- ISNUMBER(SEARCH({"Auto Number"}, $B163))) &gt; 0, $B163, IF(SUMPRODUCT(-- ISNUMBER(SEARCH({"Lookup","Master-Detail"}, $B163))) &gt; 0,$B163 &amp; "(" &amp; $E163 &amp; ")",IF(SUMPRODUCT(-- ISNUMBER(SEARCH({"Formula","Roll-Up Summary"}, $B163))) &gt; 0,$B163 &amp; " (" &amp; $E163 &amp; ")",IF(SUMPRODUCT(-- ISNUMBER(SEARCH({"Content","Currency","Number","Percent","Text","URL"}, $B163))) &gt; 0,$B163 &amp; "(" &amp; $C163 &amp; ")",$B163)))), "  ", TRIM(IF($S163 = "YES", "(External ID)", "") &amp; " " &amp; IF(SUMPRODUCT(-- ISNUMBER(SEARCH({"Unique","Unique Case Insensitive"}, $R163))) &gt; 0, "(" &amp; $R163 &amp; ")", ""))))</f>
        <v>na</v>
      </c>
      <c r="E163" s="7" t="s">
        <v>195</v>
      </c>
      <c r="F163" s="7" t="s">
        <v>195</v>
      </c>
      <c r="G163" s="7" t="s">
        <v>195</v>
      </c>
      <c r="H163" s="7" t="s">
        <v>195</v>
      </c>
      <c r="I163" s="7" t="s">
        <v>195</v>
      </c>
      <c r="J163" s="7" t="s">
        <v>195</v>
      </c>
      <c r="K163" s="7" t="s">
        <v>195</v>
      </c>
      <c r="L163" s="7" t="s">
        <v>195</v>
      </c>
      <c r="M163" s="7" t="s">
        <v>29</v>
      </c>
      <c r="N163" s="7" t="s">
        <v>29</v>
      </c>
      <c r="O163" s="7" t="s">
        <v>29</v>
      </c>
      <c r="P163" s="7" t="s">
        <v>29</v>
      </c>
      <c r="Q163" s="7" t="s">
        <v>29</v>
      </c>
      <c r="R163" s="7" t="s">
        <v>29</v>
      </c>
      <c r="S163" s="7" t="s">
        <v>29</v>
      </c>
    </row>
    <row r="164" spans="2:19">
      <c r="B164" s="7" t="s">
        <v>195</v>
      </c>
      <c r="C164" s="8" t="s">
        <v>195</v>
      </c>
      <c r="D164" s="5" t="str">
        <f>LRTRIM(CONCATENATE(IF(SUMPRODUCT(-- ISNUMBER(SEARCH({"Auto Number"}, $B164))) &gt; 0, $B164, IF(SUMPRODUCT(-- ISNUMBER(SEARCH({"Lookup","Master-Detail"}, $B164))) &gt; 0,$B164 &amp; "(" &amp; $E164 &amp; ")",IF(SUMPRODUCT(-- ISNUMBER(SEARCH({"Formula","Roll-Up Summary"}, $B164))) &gt; 0,$B164 &amp; " (" &amp; $E164 &amp; ")",IF(SUMPRODUCT(-- ISNUMBER(SEARCH({"Content","Currency","Number","Percent","Text","URL"}, $B164))) &gt; 0,$B164 &amp; "(" &amp; $C164 &amp; ")",$B164)))), "  ", TRIM(IF($S164 = "YES", "(External ID)", "") &amp; " " &amp; IF(SUMPRODUCT(-- ISNUMBER(SEARCH({"Unique","Unique Case Insensitive"}, $R164))) &gt; 0, "(" &amp; $R164 &amp; ")", ""))))</f>
        <v>na</v>
      </c>
      <c r="E164" s="7" t="s">
        <v>195</v>
      </c>
      <c r="F164" s="7" t="s">
        <v>195</v>
      </c>
      <c r="G164" s="7" t="s">
        <v>195</v>
      </c>
      <c r="H164" s="7" t="s">
        <v>195</v>
      </c>
      <c r="I164" s="7" t="s">
        <v>195</v>
      </c>
      <c r="J164" s="7" t="s">
        <v>195</v>
      </c>
      <c r="K164" s="7" t="s">
        <v>195</v>
      </c>
      <c r="L164" s="7" t="s">
        <v>195</v>
      </c>
      <c r="M164" s="7" t="s">
        <v>29</v>
      </c>
      <c r="N164" s="7" t="s">
        <v>29</v>
      </c>
      <c r="O164" s="7" t="s">
        <v>29</v>
      </c>
      <c r="P164" s="7" t="s">
        <v>29</v>
      </c>
      <c r="Q164" s="7" t="s">
        <v>29</v>
      </c>
      <c r="R164" s="7" t="s">
        <v>29</v>
      </c>
      <c r="S164" s="7" t="s">
        <v>29</v>
      </c>
    </row>
    <row r="165" spans="2:19">
      <c r="B165" s="7" t="s">
        <v>195</v>
      </c>
      <c r="C165" s="8" t="s">
        <v>195</v>
      </c>
      <c r="D165" s="5" t="str">
        <f>LRTRIM(CONCATENATE(IF(SUMPRODUCT(-- ISNUMBER(SEARCH({"Auto Number"}, $B165))) &gt; 0, $B165, IF(SUMPRODUCT(-- ISNUMBER(SEARCH({"Lookup","Master-Detail"}, $B165))) &gt; 0,$B165 &amp; "(" &amp; $E165 &amp; ")",IF(SUMPRODUCT(-- ISNUMBER(SEARCH({"Formula","Roll-Up Summary"}, $B165))) &gt; 0,$B165 &amp; " (" &amp; $E165 &amp; ")",IF(SUMPRODUCT(-- ISNUMBER(SEARCH({"Content","Currency","Number","Percent","Text","URL"}, $B165))) &gt; 0,$B165 &amp; "(" &amp; $C165 &amp; ")",$B165)))), "  ", TRIM(IF($S165 = "YES", "(External ID)", "") &amp; " " &amp; IF(SUMPRODUCT(-- ISNUMBER(SEARCH({"Unique","Unique Case Insensitive"}, $R165))) &gt; 0, "(" &amp; $R165 &amp; ")", ""))))</f>
        <v>na</v>
      </c>
      <c r="E165" s="7" t="s">
        <v>195</v>
      </c>
      <c r="F165" s="7" t="s">
        <v>195</v>
      </c>
      <c r="G165" s="7" t="s">
        <v>195</v>
      </c>
      <c r="H165" s="7" t="s">
        <v>195</v>
      </c>
      <c r="I165" s="7" t="s">
        <v>195</v>
      </c>
      <c r="J165" s="7" t="s">
        <v>195</v>
      </c>
      <c r="K165" s="7" t="s">
        <v>195</v>
      </c>
      <c r="L165" s="7" t="s">
        <v>195</v>
      </c>
      <c r="M165" s="7" t="s">
        <v>29</v>
      </c>
      <c r="N165" s="7" t="s">
        <v>29</v>
      </c>
      <c r="O165" s="7" t="s">
        <v>29</v>
      </c>
      <c r="P165" s="7" t="s">
        <v>29</v>
      </c>
      <c r="Q165" s="7" t="s">
        <v>29</v>
      </c>
      <c r="R165" s="7" t="s">
        <v>29</v>
      </c>
      <c r="S165" s="7" t="s">
        <v>29</v>
      </c>
    </row>
    <row r="166" spans="2:19">
      <c r="B166" s="7" t="s">
        <v>195</v>
      </c>
      <c r="C166" s="8" t="s">
        <v>195</v>
      </c>
      <c r="D166" s="5" t="str">
        <f>LRTRIM(CONCATENATE(IF(SUMPRODUCT(-- ISNUMBER(SEARCH({"Auto Number"}, $B166))) &gt; 0, $B166, IF(SUMPRODUCT(-- ISNUMBER(SEARCH({"Lookup","Master-Detail"}, $B166))) &gt; 0,$B166 &amp; "(" &amp; $E166 &amp; ")",IF(SUMPRODUCT(-- ISNUMBER(SEARCH({"Formula","Roll-Up Summary"}, $B166))) &gt; 0,$B166 &amp; " (" &amp; $E166 &amp; ")",IF(SUMPRODUCT(-- ISNUMBER(SEARCH({"Content","Currency","Number","Percent","Text","URL"}, $B166))) &gt; 0,$B166 &amp; "(" &amp; $C166 &amp; ")",$B166)))), "  ", TRIM(IF($S166 = "YES", "(External ID)", "") &amp; " " &amp; IF(SUMPRODUCT(-- ISNUMBER(SEARCH({"Unique","Unique Case Insensitive"}, $R166))) &gt; 0, "(" &amp; $R166 &amp; ")", ""))))</f>
        <v>na</v>
      </c>
      <c r="E166" s="7" t="s">
        <v>195</v>
      </c>
      <c r="F166" s="7" t="s">
        <v>195</v>
      </c>
      <c r="G166" s="7" t="s">
        <v>195</v>
      </c>
      <c r="H166" s="7" t="s">
        <v>195</v>
      </c>
      <c r="I166" s="7" t="s">
        <v>195</v>
      </c>
      <c r="J166" s="7" t="s">
        <v>195</v>
      </c>
      <c r="K166" s="7" t="s">
        <v>195</v>
      </c>
      <c r="L166" s="7" t="s">
        <v>195</v>
      </c>
      <c r="M166" s="7" t="s">
        <v>29</v>
      </c>
      <c r="N166" s="7" t="s">
        <v>29</v>
      </c>
      <c r="O166" s="7" t="s">
        <v>29</v>
      </c>
      <c r="P166" s="7" t="s">
        <v>29</v>
      </c>
      <c r="Q166" s="7" t="s">
        <v>29</v>
      </c>
      <c r="R166" s="7" t="s">
        <v>29</v>
      </c>
      <c r="S166" s="7" t="s">
        <v>29</v>
      </c>
    </row>
    <row r="167" spans="2:19">
      <c r="B167" s="7" t="s">
        <v>195</v>
      </c>
      <c r="C167" s="8" t="s">
        <v>195</v>
      </c>
      <c r="D167" s="5" t="str">
        <f>LRTRIM(CONCATENATE(IF(SUMPRODUCT(-- ISNUMBER(SEARCH({"Auto Number"}, $B167))) &gt; 0, $B167, IF(SUMPRODUCT(-- ISNUMBER(SEARCH({"Lookup","Master-Detail"}, $B167))) &gt; 0,$B167 &amp; "(" &amp; $E167 &amp; ")",IF(SUMPRODUCT(-- ISNUMBER(SEARCH({"Formula","Roll-Up Summary"}, $B167))) &gt; 0,$B167 &amp; " (" &amp; $E167 &amp; ")",IF(SUMPRODUCT(-- ISNUMBER(SEARCH({"Content","Currency","Number","Percent","Text","URL"}, $B167))) &gt; 0,$B167 &amp; "(" &amp; $C167 &amp; ")",$B167)))), "  ", TRIM(IF($S167 = "YES", "(External ID)", "") &amp; " " &amp; IF(SUMPRODUCT(-- ISNUMBER(SEARCH({"Unique","Unique Case Insensitive"}, $R167))) &gt; 0, "(" &amp; $R167 &amp; ")", ""))))</f>
        <v>na</v>
      </c>
      <c r="E167" s="7" t="s">
        <v>195</v>
      </c>
      <c r="F167" s="7" t="s">
        <v>195</v>
      </c>
      <c r="G167" s="7" t="s">
        <v>195</v>
      </c>
      <c r="H167" s="7" t="s">
        <v>195</v>
      </c>
      <c r="I167" s="7" t="s">
        <v>195</v>
      </c>
      <c r="J167" s="7" t="s">
        <v>195</v>
      </c>
      <c r="K167" s="7" t="s">
        <v>195</v>
      </c>
      <c r="L167" s="7" t="s">
        <v>195</v>
      </c>
      <c r="M167" s="7" t="s">
        <v>29</v>
      </c>
      <c r="N167" s="7" t="s">
        <v>29</v>
      </c>
      <c r="O167" s="7" t="s">
        <v>29</v>
      </c>
      <c r="P167" s="7" t="s">
        <v>29</v>
      </c>
      <c r="Q167" s="7" t="s">
        <v>29</v>
      </c>
      <c r="R167" s="7" t="s">
        <v>29</v>
      </c>
      <c r="S167" s="7" t="s">
        <v>29</v>
      </c>
    </row>
    <row r="168" spans="2:19">
      <c r="B168" s="7" t="s">
        <v>195</v>
      </c>
      <c r="C168" s="8" t="s">
        <v>195</v>
      </c>
      <c r="D168" s="5" t="str">
        <f>LRTRIM(CONCATENATE(IF(SUMPRODUCT(-- ISNUMBER(SEARCH({"Auto Number"}, $B168))) &gt; 0, $B168, IF(SUMPRODUCT(-- ISNUMBER(SEARCH({"Lookup","Master-Detail"}, $B168))) &gt; 0,$B168 &amp; "(" &amp; $E168 &amp; ")",IF(SUMPRODUCT(-- ISNUMBER(SEARCH({"Formula","Roll-Up Summary"}, $B168))) &gt; 0,$B168 &amp; " (" &amp; $E168 &amp; ")",IF(SUMPRODUCT(-- ISNUMBER(SEARCH({"Content","Currency","Number","Percent","Text","URL"}, $B168))) &gt; 0,$B168 &amp; "(" &amp; $C168 &amp; ")",$B168)))), "  ", TRIM(IF($S168 = "YES", "(External ID)", "") &amp; " " &amp; IF(SUMPRODUCT(-- ISNUMBER(SEARCH({"Unique","Unique Case Insensitive"}, $R168))) &gt; 0, "(" &amp; $R168 &amp; ")", ""))))</f>
        <v>na</v>
      </c>
      <c r="E168" s="7" t="s">
        <v>195</v>
      </c>
      <c r="F168" s="7" t="s">
        <v>195</v>
      </c>
      <c r="G168" s="7" t="s">
        <v>195</v>
      </c>
      <c r="H168" s="7" t="s">
        <v>195</v>
      </c>
      <c r="I168" s="7" t="s">
        <v>195</v>
      </c>
      <c r="J168" s="7" t="s">
        <v>195</v>
      </c>
      <c r="K168" s="7" t="s">
        <v>195</v>
      </c>
      <c r="L168" s="7" t="s">
        <v>195</v>
      </c>
      <c r="M168" s="7" t="s">
        <v>29</v>
      </c>
      <c r="N168" s="7" t="s">
        <v>29</v>
      </c>
      <c r="O168" s="7" t="s">
        <v>29</v>
      </c>
      <c r="P168" s="7" t="s">
        <v>29</v>
      </c>
      <c r="Q168" s="7" t="s">
        <v>29</v>
      </c>
      <c r="R168" s="7" t="s">
        <v>29</v>
      </c>
      <c r="S168" s="7" t="s">
        <v>29</v>
      </c>
    </row>
    <row r="169" spans="2:19">
      <c r="B169" s="7" t="s">
        <v>195</v>
      </c>
      <c r="C169" s="8" t="s">
        <v>195</v>
      </c>
      <c r="D169" s="5" t="str">
        <f>LRTRIM(CONCATENATE(IF(SUMPRODUCT(-- ISNUMBER(SEARCH({"Auto Number"}, $B169))) &gt; 0, $B169, IF(SUMPRODUCT(-- ISNUMBER(SEARCH({"Lookup","Master-Detail"}, $B169))) &gt; 0,$B169 &amp; "(" &amp; $E169 &amp; ")",IF(SUMPRODUCT(-- ISNUMBER(SEARCH({"Formula","Roll-Up Summary"}, $B169))) &gt; 0,$B169 &amp; " (" &amp; $E169 &amp; ")",IF(SUMPRODUCT(-- ISNUMBER(SEARCH({"Content","Currency","Number","Percent","Text","URL"}, $B169))) &gt; 0,$B169 &amp; "(" &amp; $C169 &amp; ")",$B169)))), "  ", TRIM(IF($S169 = "YES", "(External ID)", "") &amp; " " &amp; IF(SUMPRODUCT(-- ISNUMBER(SEARCH({"Unique","Unique Case Insensitive"}, $R169))) &gt; 0, "(" &amp; $R169 &amp; ")", ""))))</f>
        <v>na</v>
      </c>
      <c r="E169" s="7" t="s">
        <v>195</v>
      </c>
      <c r="F169" s="7" t="s">
        <v>195</v>
      </c>
      <c r="G169" s="7" t="s">
        <v>195</v>
      </c>
      <c r="H169" s="7" t="s">
        <v>195</v>
      </c>
      <c r="I169" s="7" t="s">
        <v>195</v>
      </c>
      <c r="J169" s="7" t="s">
        <v>195</v>
      </c>
      <c r="K169" s="7" t="s">
        <v>195</v>
      </c>
      <c r="L169" s="7" t="s">
        <v>195</v>
      </c>
      <c r="M169" s="7" t="s">
        <v>29</v>
      </c>
      <c r="N169" s="7" t="s">
        <v>29</v>
      </c>
      <c r="O169" s="7" t="s">
        <v>29</v>
      </c>
      <c r="P169" s="7" t="s">
        <v>29</v>
      </c>
      <c r="Q169" s="7" t="s">
        <v>29</v>
      </c>
      <c r="R169" s="7" t="s">
        <v>29</v>
      </c>
      <c r="S169" s="7" t="s">
        <v>29</v>
      </c>
    </row>
    <row r="170" spans="2:19">
      <c r="B170" s="7" t="s">
        <v>195</v>
      </c>
      <c r="C170" s="8" t="s">
        <v>195</v>
      </c>
      <c r="D170" s="5" t="str">
        <f>LRTRIM(CONCATENATE(IF(SUMPRODUCT(-- ISNUMBER(SEARCH({"Auto Number"}, $B170))) &gt; 0, $B170, IF(SUMPRODUCT(-- ISNUMBER(SEARCH({"Lookup","Master-Detail"}, $B170))) &gt; 0,$B170 &amp; "(" &amp; $E170 &amp; ")",IF(SUMPRODUCT(-- ISNUMBER(SEARCH({"Formula","Roll-Up Summary"}, $B170))) &gt; 0,$B170 &amp; " (" &amp; $E170 &amp; ")",IF(SUMPRODUCT(-- ISNUMBER(SEARCH({"Content","Currency","Number","Percent","Text","URL"}, $B170))) &gt; 0,$B170 &amp; "(" &amp; $C170 &amp; ")",$B170)))), "  ", TRIM(IF($S170 = "YES", "(External ID)", "") &amp; " " &amp; IF(SUMPRODUCT(-- ISNUMBER(SEARCH({"Unique","Unique Case Insensitive"}, $R170))) &gt; 0, "(" &amp; $R170 &amp; ")", ""))))</f>
        <v>na</v>
      </c>
      <c r="E170" s="7" t="s">
        <v>195</v>
      </c>
      <c r="F170" s="7" t="s">
        <v>195</v>
      </c>
      <c r="G170" s="7" t="s">
        <v>195</v>
      </c>
      <c r="H170" s="7" t="s">
        <v>195</v>
      </c>
      <c r="I170" s="7" t="s">
        <v>195</v>
      </c>
      <c r="J170" s="7" t="s">
        <v>195</v>
      </c>
      <c r="K170" s="7" t="s">
        <v>195</v>
      </c>
      <c r="L170" s="7" t="s">
        <v>195</v>
      </c>
      <c r="M170" s="7" t="s">
        <v>29</v>
      </c>
      <c r="N170" s="7" t="s">
        <v>29</v>
      </c>
      <c r="O170" s="7" t="s">
        <v>29</v>
      </c>
      <c r="P170" s="7" t="s">
        <v>29</v>
      </c>
      <c r="Q170" s="7" t="s">
        <v>29</v>
      </c>
      <c r="R170" s="7" t="s">
        <v>29</v>
      </c>
      <c r="S170" s="7" t="s">
        <v>29</v>
      </c>
    </row>
    <row r="171" spans="2:19">
      <c r="B171" s="7" t="s">
        <v>195</v>
      </c>
      <c r="C171" s="8" t="s">
        <v>195</v>
      </c>
      <c r="D171" s="5" t="str">
        <f>LRTRIM(CONCATENATE(IF(SUMPRODUCT(-- ISNUMBER(SEARCH({"Auto Number"}, $B171))) &gt; 0, $B171, IF(SUMPRODUCT(-- ISNUMBER(SEARCH({"Lookup","Master-Detail"}, $B171))) &gt; 0,$B171 &amp; "(" &amp; $E171 &amp; ")",IF(SUMPRODUCT(-- ISNUMBER(SEARCH({"Formula","Roll-Up Summary"}, $B171))) &gt; 0,$B171 &amp; " (" &amp; $E171 &amp; ")",IF(SUMPRODUCT(-- ISNUMBER(SEARCH({"Content","Currency","Number","Percent","Text","URL"}, $B171))) &gt; 0,$B171 &amp; "(" &amp; $C171 &amp; ")",$B171)))), "  ", TRIM(IF($S171 = "YES", "(External ID)", "") &amp; " " &amp; IF(SUMPRODUCT(-- ISNUMBER(SEARCH({"Unique","Unique Case Insensitive"}, $R171))) &gt; 0, "(" &amp; $R171 &amp; ")", ""))))</f>
        <v>na</v>
      </c>
      <c r="E171" s="7" t="s">
        <v>195</v>
      </c>
      <c r="F171" s="7" t="s">
        <v>195</v>
      </c>
      <c r="G171" s="7" t="s">
        <v>195</v>
      </c>
      <c r="H171" s="7" t="s">
        <v>195</v>
      </c>
      <c r="I171" s="7" t="s">
        <v>195</v>
      </c>
      <c r="J171" s="7" t="s">
        <v>195</v>
      </c>
      <c r="K171" s="7" t="s">
        <v>195</v>
      </c>
      <c r="L171" s="7" t="s">
        <v>195</v>
      </c>
      <c r="M171" s="7" t="s">
        <v>29</v>
      </c>
      <c r="N171" s="7" t="s">
        <v>29</v>
      </c>
      <c r="O171" s="7" t="s">
        <v>29</v>
      </c>
      <c r="P171" s="7" t="s">
        <v>29</v>
      </c>
      <c r="Q171" s="7" t="s">
        <v>29</v>
      </c>
      <c r="R171" s="7" t="s">
        <v>29</v>
      </c>
      <c r="S171" s="7" t="s">
        <v>29</v>
      </c>
    </row>
    <row r="172" spans="2:19">
      <c r="B172" s="7" t="s">
        <v>195</v>
      </c>
      <c r="C172" s="8" t="s">
        <v>195</v>
      </c>
      <c r="D172" s="5" t="str">
        <f>LRTRIM(CONCATENATE(IF(SUMPRODUCT(-- ISNUMBER(SEARCH({"Auto Number"}, $B172))) &gt; 0, $B172, IF(SUMPRODUCT(-- ISNUMBER(SEARCH({"Lookup","Master-Detail"}, $B172))) &gt; 0,$B172 &amp; "(" &amp; $E172 &amp; ")",IF(SUMPRODUCT(-- ISNUMBER(SEARCH({"Formula","Roll-Up Summary"}, $B172))) &gt; 0,$B172 &amp; " (" &amp; $E172 &amp; ")",IF(SUMPRODUCT(-- ISNUMBER(SEARCH({"Content","Currency","Number","Percent","Text","URL"}, $B172))) &gt; 0,$B172 &amp; "(" &amp; $C172 &amp; ")",$B172)))), "  ", TRIM(IF($S172 = "YES", "(External ID)", "") &amp; " " &amp; IF(SUMPRODUCT(-- ISNUMBER(SEARCH({"Unique","Unique Case Insensitive"}, $R172))) &gt; 0, "(" &amp; $R172 &amp; ")", ""))))</f>
        <v>na</v>
      </c>
      <c r="E172" s="7" t="s">
        <v>195</v>
      </c>
      <c r="F172" s="7" t="s">
        <v>195</v>
      </c>
      <c r="G172" s="7" t="s">
        <v>195</v>
      </c>
      <c r="H172" s="7" t="s">
        <v>195</v>
      </c>
      <c r="I172" s="7" t="s">
        <v>195</v>
      </c>
      <c r="J172" s="7" t="s">
        <v>195</v>
      </c>
      <c r="K172" s="7" t="s">
        <v>195</v>
      </c>
      <c r="L172" s="7" t="s">
        <v>195</v>
      </c>
      <c r="M172" s="7" t="s">
        <v>29</v>
      </c>
      <c r="N172" s="7" t="s">
        <v>29</v>
      </c>
      <c r="O172" s="7" t="s">
        <v>29</v>
      </c>
      <c r="P172" s="7" t="s">
        <v>29</v>
      </c>
      <c r="Q172" s="7" t="s">
        <v>29</v>
      </c>
      <c r="R172" s="7" t="s">
        <v>29</v>
      </c>
      <c r="S172" s="7" t="s">
        <v>29</v>
      </c>
    </row>
    <row r="173" spans="2:19">
      <c r="B173" s="7" t="s">
        <v>195</v>
      </c>
      <c r="C173" s="8" t="s">
        <v>195</v>
      </c>
      <c r="D173" s="5" t="str">
        <f>LRTRIM(CONCATENATE(IF(SUMPRODUCT(-- ISNUMBER(SEARCH({"Auto Number"}, $B173))) &gt; 0, $B173, IF(SUMPRODUCT(-- ISNUMBER(SEARCH({"Lookup","Master-Detail"}, $B173))) &gt; 0,$B173 &amp; "(" &amp; $E173 &amp; ")",IF(SUMPRODUCT(-- ISNUMBER(SEARCH({"Formula","Roll-Up Summary"}, $B173))) &gt; 0,$B173 &amp; " (" &amp; $E173 &amp; ")",IF(SUMPRODUCT(-- ISNUMBER(SEARCH({"Content","Currency","Number","Percent","Text","URL"}, $B173))) &gt; 0,$B173 &amp; "(" &amp; $C173 &amp; ")",$B173)))), "  ", TRIM(IF($S173 = "YES", "(External ID)", "") &amp; " " &amp; IF(SUMPRODUCT(-- ISNUMBER(SEARCH({"Unique","Unique Case Insensitive"}, $R173))) &gt; 0, "(" &amp; $R173 &amp; ")", ""))))</f>
        <v>na</v>
      </c>
      <c r="E173" s="7" t="s">
        <v>195</v>
      </c>
      <c r="F173" s="7" t="s">
        <v>195</v>
      </c>
      <c r="G173" s="7" t="s">
        <v>195</v>
      </c>
      <c r="H173" s="7" t="s">
        <v>195</v>
      </c>
      <c r="I173" s="7" t="s">
        <v>195</v>
      </c>
      <c r="J173" s="7" t="s">
        <v>195</v>
      </c>
      <c r="K173" s="7" t="s">
        <v>195</v>
      </c>
      <c r="L173" s="7" t="s">
        <v>195</v>
      </c>
      <c r="M173" s="7" t="s">
        <v>29</v>
      </c>
      <c r="N173" s="7" t="s">
        <v>29</v>
      </c>
      <c r="O173" s="7" t="s">
        <v>29</v>
      </c>
      <c r="P173" s="7" t="s">
        <v>29</v>
      </c>
      <c r="Q173" s="7" t="s">
        <v>29</v>
      </c>
      <c r="R173" s="7" t="s">
        <v>29</v>
      </c>
      <c r="S173" s="7" t="s">
        <v>29</v>
      </c>
    </row>
    <row r="174" spans="2:19">
      <c r="B174" s="7" t="s">
        <v>195</v>
      </c>
      <c r="C174" s="8" t="s">
        <v>195</v>
      </c>
      <c r="D174" s="5" t="str">
        <f>LRTRIM(CONCATENATE(IF(SUMPRODUCT(-- ISNUMBER(SEARCH({"Auto Number"}, $B174))) &gt; 0, $B174, IF(SUMPRODUCT(-- ISNUMBER(SEARCH({"Lookup","Master-Detail"}, $B174))) &gt; 0,$B174 &amp; "(" &amp; $E174 &amp; ")",IF(SUMPRODUCT(-- ISNUMBER(SEARCH({"Formula","Roll-Up Summary"}, $B174))) &gt; 0,$B174 &amp; " (" &amp; $E174 &amp; ")",IF(SUMPRODUCT(-- ISNUMBER(SEARCH({"Content","Currency","Number","Percent","Text","URL"}, $B174))) &gt; 0,$B174 &amp; "(" &amp; $C174 &amp; ")",$B174)))), "  ", TRIM(IF($S174 = "YES", "(External ID)", "") &amp; " " &amp; IF(SUMPRODUCT(-- ISNUMBER(SEARCH({"Unique","Unique Case Insensitive"}, $R174))) &gt; 0, "(" &amp; $R174 &amp; ")", ""))))</f>
        <v>na</v>
      </c>
      <c r="E174" s="7" t="s">
        <v>195</v>
      </c>
      <c r="F174" s="7" t="s">
        <v>195</v>
      </c>
      <c r="G174" s="7" t="s">
        <v>195</v>
      </c>
      <c r="H174" s="7" t="s">
        <v>195</v>
      </c>
      <c r="I174" s="7" t="s">
        <v>195</v>
      </c>
      <c r="J174" s="7" t="s">
        <v>195</v>
      </c>
      <c r="K174" s="7" t="s">
        <v>195</v>
      </c>
      <c r="L174" s="7" t="s">
        <v>195</v>
      </c>
      <c r="M174" s="7" t="s">
        <v>29</v>
      </c>
      <c r="N174" s="7" t="s">
        <v>29</v>
      </c>
      <c r="O174" s="7" t="s">
        <v>29</v>
      </c>
      <c r="P174" s="7" t="s">
        <v>29</v>
      </c>
      <c r="Q174" s="7" t="s">
        <v>29</v>
      </c>
      <c r="R174" s="7" t="s">
        <v>29</v>
      </c>
      <c r="S174" s="7" t="s">
        <v>29</v>
      </c>
    </row>
    <row r="175" spans="2:19">
      <c r="B175" s="7" t="s">
        <v>195</v>
      </c>
      <c r="C175" s="8" t="s">
        <v>195</v>
      </c>
      <c r="D175" s="5" t="str">
        <f>LRTRIM(CONCATENATE(IF(SUMPRODUCT(-- ISNUMBER(SEARCH({"Auto Number"}, $B175))) &gt; 0, $B175, IF(SUMPRODUCT(-- ISNUMBER(SEARCH({"Lookup","Master-Detail"}, $B175))) &gt; 0,$B175 &amp; "(" &amp; $E175 &amp; ")",IF(SUMPRODUCT(-- ISNUMBER(SEARCH({"Formula","Roll-Up Summary"}, $B175))) &gt; 0,$B175 &amp; " (" &amp; $E175 &amp; ")",IF(SUMPRODUCT(-- ISNUMBER(SEARCH({"Content","Currency","Number","Percent","Text","URL"}, $B175))) &gt; 0,$B175 &amp; "(" &amp; $C175 &amp; ")",$B175)))), "  ", TRIM(IF($S175 = "YES", "(External ID)", "") &amp; " " &amp; IF(SUMPRODUCT(-- ISNUMBER(SEARCH({"Unique","Unique Case Insensitive"}, $R175))) &gt; 0, "(" &amp; $R175 &amp; ")", ""))))</f>
        <v>na</v>
      </c>
      <c r="E175" s="7" t="s">
        <v>195</v>
      </c>
      <c r="F175" s="7" t="s">
        <v>195</v>
      </c>
      <c r="G175" s="7" t="s">
        <v>195</v>
      </c>
      <c r="H175" s="7" t="s">
        <v>195</v>
      </c>
      <c r="I175" s="7" t="s">
        <v>195</v>
      </c>
      <c r="J175" s="7" t="s">
        <v>195</v>
      </c>
      <c r="K175" s="7" t="s">
        <v>195</v>
      </c>
      <c r="L175" s="7" t="s">
        <v>195</v>
      </c>
      <c r="M175" s="7" t="s">
        <v>29</v>
      </c>
      <c r="N175" s="7" t="s">
        <v>29</v>
      </c>
      <c r="O175" s="7" t="s">
        <v>29</v>
      </c>
      <c r="P175" s="7" t="s">
        <v>29</v>
      </c>
      <c r="Q175" s="7" t="s">
        <v>29</v>
      </c>
      <c r="R175" s="7" t="s">
        <v>29</v>
      </c>
      <c r="S175" s="7" t="s">
        <v>29</v>
      </c>
    </row>
    <row r="176" spans="2:19">
      <c r="B176" s="7" t="s">
        <v>195</v>
      </c>
      <c r="C176" s="8" t="s">
        <v>195</v>
      </c>
      <c r="D176" s="5" t="str">
        <f>LRTRIM(CONCATENATE(IF(SUMPRODUCT(-- ISNUMBER(SEARCH({"Auto Number"}, $B176))) &gt; 0, $B176, IF(SUMPRODUCT(-- ISNUMBER(SEARCH({"Lookup","Master-Detail"}, $B176))) &gt; 0,$B176 &amp; "(" &amp; $E176 &amp; ")",IF(SUMPRODUCT(-- ISNUMBER(SEARCH({"Formula","Roll-Up Summary"}, $B176))) &gt; 0,$B176 &amp; " (" &amp; $E176 &amp; ")",IF(SUMPRODUCT(-- ISNUMBER(SEARCH({"Content","Currency","Number","Percent","Text","URL"}, $B176))) &gt; 0,$B176 &amp; "(" &amp; $C176 &amp; ")",$B176)))), "  ", TRIM(IF($S176 = "YES", "(External ID)", "") &amp; " " &amp; IF(SUMPRODUCT(-- ISNUMBER(SEARCH({"Unique","Unique Case Insensitive"}, $R176))) &gt; 0, "(" &amp; $R176 &amp; ")", ""))))</f>
        <v>na</v>
      </c>
      <c r="E176" s="7" t="s">
        <v>195</v>
      </c>
      <c r="F176" s="7" t="s">
        <v>195</v>
      </c>
      <c r="G176" s="7" t="s">
        <v>195</v>
      </c>
      <c r="H176" s="7" t="s">
        <v>195</v>
      </c>
      <c r="I176" s="7" t="s">
        <v>195</v>
      </c>
      <c r="J176" s="7" t="s">
        <v>195</v>
      </c>
      <c r="K176" s="7" t="s">
        <v>195</v>
      </c>
      <c r="L176" s="7" t="s">
        <v>195</v>
      </c>
      <c r="M176" s="7" t="s">
        <v>29</v>
      </c>
      <c r="N176" s="7" t="s">
        <v>29</v>
      </c>
      <c r="O176" s="7" t="s">
        <v>29</v>
      </c>
      <c r="P176" s="7" t="s">
        <v>29</v>
      </c>
      <c r="Q176" s="7" t="s">
        <v>29</v>
      </c>
      <c r="R176" s="7" t="s">
        <v>29</v>
      </c>
      <c r="S176" s="7" t="s">
        <v>29</v>
      </c>
    </row>
    <row r="177" spans="2:19">
      <c r="B177" s="7" t="s">
        <v>195</v>
      </c>
      <c r="C177" s="8" t="s">
        <v>195</v>
      </c>
      <c r="D177" s="5" t="str">
        <f>LRTRIM(CONCATENATE(IF(SUMPRODUCT(-- ISNUMBER(SEARCH({"Auto Number"}, $B177))) &gt; 0, $B177, IF(SUMPRODUCT(-- ISNUMBER(SEARCH({"Lookup","Master-Detail"}, $B177))) &gt; 0,$B177 &amp; "(" &amp; $E177 &amp; ")",IF(SUMPRODUCT(-- ISNUMBER(SEARCH({"Formula","Roll-Up Summary"}, $B177))) &gt; 0,$B177 &amp; " (" &amp; $E177 &amp; ")",IF(SUMPRODUCT(-- ISNUMBER(SEARCH({"Content","Currency","Number","Percent","Text","URL"}, $B177))) &gt; 0,$B177 &amp; "(" &amp; $C177 &amp; ")",$B177)))), "  ", TRIM(IF($S177 = "YES", "(External ID)", "") &amp; " " &amp; IF(SUMPRODUCT(-- ISNUMBER(SEARCH({"Unique","Unique Case Insensitive"}, $R177))) &gt; 0, "(" &amp; $R177 &amp; ")", ""))))</f>
        <v>na</v>
      </c>
      <c r="E177" s="7" t="s">
        <v>195</v>
      </c>
      <c r="F177" s="7" t="s">
        <v>195</v>
      </c>
      <c r="G177" s="7" t="s">
        <v>195</v>
      </c>
      <c r="H177" s="7" t="s">
        <v>195</v>
      </c>
      <c r="I177" s="7" t="s">
        <v>195</v>
      </c>
      <c r="J177" s="7" t="s">
        <v>195</v>
      </c>
      <c r="K177" s="7" t="s">
        <v>195</v>
      </c>
      <c r="L177" s="7" t="s">
        <v>195</v>
      </c>
      <c r="M177" s="7" t="s">
        <v>29</v>
      </c>
      <c r="N177" s="7" t="s">
        <v>29</v>
      </c>
      <c r="O177" s="7" t="s">
        <v>29</v>
      </c>
      <c r="P177" s="7" t="s">
        <v>29</v>
      </c>
      <c r="Q177" s="7" t="s">
        <v>29</v>
      </c>
      <c r="R177" s="7" t="s">
        <v>29</v>
      </c>
      <c r="S177" s="7" t="s">
        <v>29</v>
      </c>
    </row>
    <row r="178" spans="2:19">
      <c r="B178" s="7" t="s">
        <v>195</v>
      </c>
      <c r="C178" s="8" t="s">
        <v>195</v>
      </c>
      <c r="D178" s="5" t="str">
        <f>LRTRIM(CONCATENATE(IF(SUMPRODUCT(-- ISNUMBER(SEARCH({"Auto Number"}, $B178))) &gt; 0, $B178, IF(SUMPRODUCT(-- ISNUMBER(SEARCH({"Lookup","Master-Detail"}, $B178))) &gt; 0,$B178 &amp; "(" &amp; $E178 &amp; ")",IF(SUMPRODUCT(-- ISNUMBER(SEARCH({"Formula","Roll-Up Summary"}, $B178))) &gt; 0,$B178 &amp; " (" &amp; $E178 &amp; ")",IF(SUMPRODUCT(-- ISNUMBER(SEARCH({"Content","Currency","Number","Percent","Text","URL"}, $B178))) &gt; 0,$B178 &amp; "(" &amp; $C178 &amp; ")",$B178)))), "  ", TRIM(IF($S178 = "YES", "(External ID)", "") &amp; " " &amp; IF(SUMPRODUCT(-- ISNUMBER(SEARCH({"Unique","Unique Case Insensitive"}, $R178))) &gt; 0, "(" &amp; $R178 &amp; ")", ""))))</f>
        <v>na</v>
      </c>
      <c r="E178" s="7" t="s">
        <v>195</v>
      </c>
      <c r="F178" s="7" t="s">
        <v>195</v>
      </c>
      <c r="G178" s="7" t="s">
        <v>195</v>
      </c>
      <c r="H178" s="7" t="s">
        <v>195</v>
      </c>
      <c r="I178" s="7" t="s">
        <v>195</v>
      </c>
      <c r="J178" s="7" t="s">
        <v>195</v>
      </c>
      <c r="K178" s="7" t="s">
        <v>195</v>
      </c>
      <c r="L178" s="7" t="s">
        <v>195</v>
      </c>
      <c r="M178" s="7" t="s">
        <v>29</v>
      </c>
      <c r="N178" s="7" t="s">
        <v>29</v>
      </c>
      <c r="O178" s="7" t="s">
        <v>29</v>
      </c>
      <c r="P178" s="7" t="s">
        <v>29</v>
      </c>
      <c r="Q178" s="7" t="s">
        <v>29</v>
      </c>
      <c r="R178" s="7" t="s">
        <v>29</v>
      </c>
      <c r="S178" s="7" t="s">
        <v>29</v>
      </c>
    </row>
    <row r="179" spans="2:19">
      <c r="B179" s="7" t="s">
        <v>195</v>
      </c>
      <c r="C179" s="8" t="s">
        <v>195</v>
      </c>
      <c r="D179" s="5" t="str">
        <f>LRTRIM(CONCATENATE(IF(SUMPRODUCT(-- ISNUMBER(SEARCH({"Auto Number"}, $B179))) &gt; 0, $B179, IF(SUMPRODUCT(-- ISNUMBER(SEARCH({"Lookup","Master-Detail"}, $B179))) &gt; 0,$B179 &amp; "(" &amp; $E179 &amp; ")",IF(SUMPRODUCT(-- ISNUMBER(SEARCH({"Formula","Roll-Up Summary"}, $B179))) &gt; 0,$B179 &amp; " (" &amp; $E179 &amp; ")",IF(SUMPRODUCT(-- ISNUMBER(SEARCH({"Content","Currency","Number","Percent","Text","URL"}, $B179))) &gt; 0,$B179 &amp; "(" &amp; $C179 &amp; ")",$B179)))), "  ", TRIM(IF($S179 = "YES", "(External ID)", "") &amp; " " &amp; IF(SUMPRODUCT(-- ISNUMBER(SEARCH({"Unique","Unique Case Insensitive"}, $R179))) &gt; 0, "(" &amp; $R179 &amp; ")", ""))))</f>
        <v>na</v>
      </c>
      <c r="E179" s="7" t="s">
        <v>195</v>
      </c>
      <c r="F179" s="7" t="s">
        <v>195</v>
      </c>
      <c r="G179" s="7" t="s">
        <v>195</v>
      </c>
      <c r="H179" s="7" t="s">
        <v>195</v>
      </c>
      <c r="I179" s="7" t="s">
        <v>195</v>
      </c>
      <c r="J179" s="7" t="s">
        <v>195</v>
      </c>
      <c r="K179" s="7" t="s">
        <v>195</v>
      </c>
      <c r="L179" s="7" t="s">
        <v>195</v>
      </c>
      <c r="M179" s="7" t="s">
        <v>29</v>
      </c>
      <c r="N179" s="7" t="s">
        <v>29</v>
      </c>
      <c r="O179" s="7" t="s">
        <v>29</v>
      </c>
      <c r="P179" s="7" t="s">
        <v>29</v>
      </c>
      <c r="Q179" s="7" t="s">
        <v>29</v>
      </c>
      <c r="R179" s="7" t="s">
        <v>29</v>
      </c>
      <c r="S179" s="7" t="s">
        <v>29</v>
      </c>
    </row>
    <row r="180" spans="2:19">
      <c r="B180" s="7" t="s">
        <v>195</v>
      </c>
      <c r="C180" s="8" t="s">
        <v>195</v>
      </c>
      <c r="D180" s="5" t="str">
        <f>LRTRIM(CONCATENATE(IF(SUMPRODUCT(-- ISNUMBER(SEARCH({"Auto Number"}, $B180))) &gt; 0, $B180, IF(SUMPRODUCT(-- ISNUMBER(SEARCH({"Lookup","Master-Detail"}, $B180))) &gt; 0,$B180 &amp; "(" &amp; $E180 &amp; ")",IF(SUMPRODUCT(-- ISNUMBER(SEARCH({"Formula","Roll-Up Summary"}, $B180))) &gt; 0,$B180 &amp; " (" &amp; $E180 &amp; ")",IF(SUMPRODUCT(-- ISNUMBER(SEARCH({"Content","Currency","Number","Percent","Text","URL"}, $B180))) &gt; 0,$B180 &amp; "(" &amp; $C180 &amp; ")",$B180)))), "  ", TRIM(IF($S180 = "YES", "(External ID)", "") &amp; " " &amp; IF(SUMPRODUCT(-- ISNUMBER(SEARCH({"Unique","Unique Case Insensitive"}, $R180))) &gt; 0, "(" &amp; $R180 &amp; ")", ""))))</f>
        <v>na</v>
      </c>
      <c r="E180" s="7" t="s">
        <v>195</v>
      </c>
      <c r="F180" s="7" t="s">
        <v>195</v>
      </c>
      <c r="G180" s="7" t="s">
        <v>195</v>
      </c>
      <c r="H180" s="7" t="s">
        <v>195</v>
      </c>
      <c r="I180" s="7" t="s">
        <v>195</v>
      </c>
      <c r="J180" s="7" t="s">
        <v>195</v>
      </c>
      <c r="K180" s="7" t="s">
        <v>195</v>
      </c>
      <c r="L180" s="7" t="s">
        <v>195</v>
      </c>
      <c r="M180" s="7" t="s">
        <v>29</v>
      </c>
      <c r="N180" s="7" t="s">
        <v>29</v>
      </c>
      <c r="O180" s="7" t="s">
        <v>29</v>
      </c>
      <c r="P180" s="7" t="s">
        <v>29</v>
      </c>
      <c r="Q180" s="7" t="s">
        <v>29</v>
      </c>
      <c r="R180" s="7" t="s">
        <v>29</v>
      </c>
      <c r="S180" s="7" t="s">
        <v>29</v>
      </c>
    </row>
    <row r="181" spans="2:19">
      <c r="B181" s="7" t="s">
        <v>195</v>
      </c>
      <c r="C181" s="8" t="s">
        <v>195</v>
      </c>
      <c r="D181" s="5" t="str">
        <f>LRTRIM(CONCATENATE(IF(SUMPRODUCT(-- ISNUMBER(SEARCH({"Auto Number"}, $B181))) &gt; 0, $B181, IF(SUMPRODUCT(-- ISNUMBER(SEARCH({"Lookup","Master-Detail"}, $B181))) &gt; 0,$B181 &amp; "(" &amp; $E181 &amp; ")",IF(SUMPRODUCT(-- ISNUMBER(SEARCH({"Formula","Roll-Up Summary"}, $B181))) &gt; 0,$B181 &amp; " (" &amp; $E181 &amp; ")",IF(SUMPRODUCT(-- ISNUMBER(SEARCH({"Content","Currency","Number","Percent","Text","URL"}, $B181))) &gt; 0,$B181 &amp; "(" &amp; $C181 &amp; ")",$B181)))), "  ", TRIM(IF($S181 = "YES", "(External ID)", "") &amp; " " &amp; IF(SUMPRODUCT(-- ISNUMBER(SEARCH({"Unique","Unique Case Insensitive"}, $R181))) &gt; 0, "(" &amp; $R181 &amp; ")", ""))))</f>
        <v>na</v>
      </c>
      <c r="E181" s="7" t="s">
        <v>195</v>
      </c>
      <c r="F181" s="7" t="s">
        <v>195</v>
      </c>
      <c r="G181" s="7" t="s">
        <v>195</v>
      </c>
      <c r="H181" s="7" t="s">
        <v>195</v>
      </c>
      <c r="I181" s="7" t="s">
        <v>195</v>
      </c>
      <c r="J181" s="7" t="s">
        <v>195</v>
      </c>
      <c r="K181" s="7" t="s">
        <v>195</v>
      </c>
      <c r="L181" s="7" t="s">
        <v>195</v>
      </c>
      <c r="M181" s="7" t="s">
        <v>29</v>
      </c>
      <c r="N181" s="7" t="s">
        <v>29</v>
      </c>
      <c r="O181" s="7" t="s">
        <v>29</v>
      </c>
      <c r="P181" s="7" t="s">
        <v>29</v>
      </c>
      <c r="Q181" s="7" t="s">
        <v>29</v>
      </c>
      <c r="R181" s="7" t="s">
        <v>29</v>
      </c>
      <c r="S181" s="7" t="s">
        <v>29</v>
      </c>
    </row>
    <row r="182" spans="2:19">
      <c r="B182" s="7" t="s">
        <v>195</v>
      </c>
      <c r="C182" s="8" t="s">
        <v>195</v>
      </c>
      <c r="D182" s="5" t="str">
        <f>LRTRIM(CONCATENATE(IF(SUMPRODUCT(-- ISNUMBER(SEARCH({"Auto Number"}, $B182))) &gt; 0, $B182, IF(SUMPRODUCT(-- ISNUMBER(SEARCH({"Lookup","Master-Detail"}, $B182))) &gt; 0,$B182 &amp; "(" &amp; $E182 &amp; ")",IF(SUMPRODUCT(-- ISNUMBER(SEARCH({"Formula","Roll-Up Summary"}, $B182))) &gt; 0,$B182 &amp; " (" &amp; $E182 &amp; ")",IF(SUMPRODUCT(-- ISNUMBER(SEARCH({"Content","Currency","Number","Percent","Text","URL"}, $B182))) &gt; 0,$B182 &amp; "(" &amp; $C182 &amp; ")",$B182)))), "  ", TRIM(IF($S182 = "YES", "(External ID)", "") &amp; " " &amp; IF(SUMPRODUCT(-- ISNUMBER(SEARCH({"Unique","Unique Case Insensitive"}, $R182))) &gt; 0, "(" &amp; $R182 &amp; ")", ""))))</f>
        <v>na</v>
      </c>
      <c r="E182" s="7" t="s">
        <v>195</v>
      </c>
      <c r="F182" s="7" t="s">
        <v>195</v>
      </c>
      <c r="G182" s="7" t="s">
        <v>195</v>
      </c>
      <c r="H182" s="7" t="s">
        <v>195</v>
      </c>
      <c r="I182" s="7" t="s">
        <v>195</v>
      </c>
      <c r="J182" s="7" t="s">
        <v>195</v>
      </c>
      <c r="K182" s="7" t="s">
        <v>195</v>
      </c>
      <c r="L182" s="7" t="s">
        <v>195</v>
      </c>
      <c r="M182" s="7" t="s">
        <v>29</v>
      </c>
      <c r="N182" s="7" t="s">
        <v>29</v>
      </c>
      <c r="O182" s="7" t="s">
        <v>29</v>
      </c>
      <c r="P182" s="7" t="s">
        <v>29</v>
      </c>
      <c r="Q182" s="7" t="s">
        <v>29</v>
      </c>
      <c r="R182" s="7" t="s">
        <v>29</v>
      </c>
      <c r="S182" s="7" t="s">
        <v>29</v>
      </c>
    </row>
    <row r="183" spans="2:19">
      <c r="B183" s="7" t="s">
        <v>195</v>
      </c>
      <c r="C183" s="8" t="s">
        <v>195</v>
      </c>
      <c r="D183" s="5" t="str">
        <f>LRTRIM(CONCATENATE(IF(SUMPRODUCT(-- ISNUMBER(SEARCH({"Auto Number"}, $B183))) &gt; 0, $B183, IF(SUMPRODUCT(-- ISNUMBER(SEARCH({"Lookup","Master-Detail"}, $B183))) &gt; 0,$B183 &amp; "(" &amp; $E183 &amp; ")",IF(SUMPRODUCT(-- ISNUMBER(SEARCH({"Formula","Roll-Up Summary"}, $B183))) &gt; 0,$B183 &amp; " (" &amp; $E183 &amp; ")",IF(SUMPRODUCT(-- ISNUMBER(SEARCH({"Content","Currency","Number","Percent","Text","URL"}, $B183))) &gt; 0,$B183 &amp; "(" &amp; $C183 &amp; ")",$B183)))), "  ", TRIM(IF($S183 = "YES", "(External ID)", "") &amp; " " &amp; IF(SUMPRODUCT(-- ISNUMBER(SEARCH({"Unique","Unique Case Insensitive"}, $R183))) &gt; 0, "(" &amp; $R183 &amp; ")", ""))))</f>
        <v>na</v>
      </c>
      <c r="E183" s="7" t="s">
        <v>195</v>
      </c>
      <c r="F183" s="7" t="s">
        <v>195</v>
      </c>
      <c r="G183" s="7" t="s">
        <v>195</v>
      </c>
      <c r="H183" s="7" t="s">
        <v>195</v>
      </c>
      <c r="I183" s="7" t="s">
        <v>195</v>
      </c>
      <c r="J183" s="7" t="s">
        <v>195</v>
      </c>
      <c r="K183" s="7" t="s">
        <v>195</v>
      </c>
      <c r="L183" s="7" t="s">
        <v>195</v>
      </c>
      <c r="M183" s="7" t="s">
        <v>29</v>
      </c>
      <c r="N183" s="7" t="s">
        <v>29</v>
      </c>
      <c r="O183" s="7" t="s">
        <v>29</v>
      </c>
      <c r="P183" s="7" t="s">
        <v>29</v>
      </c>
      <c r="Q183" s="7" t="s">
        <v>29</v>
      </c>
      <c r="R183" s="7" t="s">
        <v>29</v>
      </c>
      <c r="S183" s="7" t="s">
        <v>29</v>
      </c>
    </row>
    <row r="184" spans="2:19">
      <c r="B184" s="7" t="s">
        <v>195</v>
      </c>
      <c r="C184" s="8" t="s">
        <v>195</v>
      </c>
      <c r="D184" s="5" t="str">
        <f>LRTRIM(CONCATENATE(IF(SUMPRODUCT(-- ISNUMBER(SEARCH({"Auto Number"}, $B184))) &gt; 0, $B184, IF(SUMPRODUCT(-- ISNUMBER(SEARCH({"Lookup","Master-Detail"}, $B184))) &gt; 0,$B184 &amp; "(" &amp; $E184 &amp; ")",IF(SUMPRODUCT(-- ISNUMBER(SEARCH({"Formula","Roll-Up Summary"}, $B184))) &gt; 0,$B184 &amp; " (" &amp; $E184 &amp; ")",IF(SUMPRODUCT(-- ISNUMBER(SEARCH({"Content","Currency","Number","Percent","Text","URL"}, $B184))) &gt; 0,$B184 &amp; "(" &amp; $C184 &amp; ")",$B184)))), "  ", TRIM(IF($S184 = "YES", "(External ID)", "") &amp; " " &amp; IF(SUMPRODUCT(-- ISNUMBER(SEARCH({"Unique","Unique Case Insensitive"}, $R184))) &gt; 0, "(" &amp; $R184 &amp; ")", ""))))</f>
        <v>na</v>
      </c>
      <c r="E184" s="7" t="s">
        <v>195</v>
      </c>
      <c r="F184" s="7" t="s">
        <v>195</v>
      </c>
      <c r="G184" s="7" t="s">
        <v>195</v>
      </c>
      <c r="H184" s="7" t="s">
        <v>195</v>
      </c>
      <c r="I184" s="7" t="s">
        <v>195</v>
      </c>
      <c r="J184" s="7" t="s">
        <v>195</v>
      </c>
      <c r="K184" s="7" t="s">
        <v>195</v>
      </c>
      <c r="L184" s="7" t="s">
        <v>195</v>
      </c>
      <c r="M184" s="7" t="s">
        <v>29</v>
      </c>
      <c r="N184" s="7" t="s">
        <v>29</v>
      </c>
      <c r="O184" s="7" t="s">
        <v>29</v>
      </c>
      <c r="P184" s="7" t="s">
        <v>29</v>
      </c>
      <c r="Q184" s="7" t="s">
        <v>29</v>
      </c>
      <c r="R184" s="7" t="s">
        <v>29</v>
      </c>
      <c r="S184" s="7" t="s">
        <v>29</v>
      </c>
    </row>
    <row r="185" spans="2:19">
      <c r="B185" s="7" t="s">
        <v>195</v>
      </c>
      <c r="C185" s="8" t="s">
        <v>195</v>
      </c>
      <c r="D185" s="5" t="str">
        <f>LRTRIM(CONCATENATE(IF(SUMPRODUCT(-- ISNUMBER(SEARCH({"Auto Number"}, $B185))) &gt; 0, $B185, IF(SUMPRODUCT(-- ISNUMBER(SEARCH({"Lookup","Master-Detail"}, $B185))) &gt; 0,$B185 &amp; "(" &amp; $E185 &amp; ")",IF(SUMPRODUCT(-- ISNUMBER(SEARCH({"Formula","Roll-Up Summary"}, $B185))) &gt; 0,$B185 &amp; " (" &amp; $E185 &amp; ")",IF(SUMPRODUCT(-- ISNUMBER(SEARCH({"Content","Currency","Number","Percent","Text","URL"}, $B185))) &gt; 0,$B185 &amp; "(" &amp; $C185 &amp; ")",$B185)))), "  ", TRIM(IF($S185 = "YES", "(External ID)", "") &amp; " " &amp; IF(SUMPRODUCT(-- ISNUMBER(SEARCH({"Unique","Unique Case Insensitive"}, $R185))) &gt; 0, "(" &amp; $R185 &amp; ")", ""))))</f>
        <v>na</v>
      </c>
      <c r="E185" s="7" t="s">
        <v>195</v>
      </c>
      <c r="F185" s="7" t="s">
        <v>195</v>
      </c>
      <c r="G185" s="7" t="s">
        <v>195</v>
      </c>
      <c r="H185" s="7" t="s">
        <v>195</v>
      </c>
      <c r="I185" s="7" t="s">
        <v>195</v>
      </c>
      <c r="J185" s="7" t="s">
        <v>195</v>
      </c>
      <c r="K185" s="7" t="s">
        <v>195</v>
      </c>
      <c r="L185" s="7" t="s">
        <v>195</v>
      </c>
      <c r="M185" s="7" t="s">
        <v>29</v>
      </c>
      <c r="N185" s="7" t="s">
        <v>29</v>
      </c>
      <c r="O185" s="7" t="s">
        <v>29</v>
      </c>
      <c r="P185" s="7" t="s">
        <v>29</v>
      </c>
      <c r="Q185" s="7" t="s">
        <v>29</v>
      </c>
      <c r="R185" s="7" t="s">
        <v>29</v>
      </c>
      <c r="S185" s="7" t="s">
        <v>29</v>
      </c>
    </row>
    <row r="186" spans="2:19">
      <c r="B186" s="7" t="s">
        <v>195</v>
      </c>
      <c r="C186" s="8" t="s">
        <v>195</v>
      </c>
      <c r="D186" s="5" t="str">
        <f>LRTRIM(CONCATENATE(IF(SUMPRODUCT(-- ISNUMBER(SEARCH({"Auto Number"}, $B186))) &gt; 0, $B186, IF(SUMPRODUCT(-- ISNUMBER(SEARCH({"Lookup","Master-Detail"}, $B186))) &gt; 0,$B186 &amp; "(" &amp; $E186 &amp; ")",IF(SUMPRODUCT(-- ISNUMBER(SEARCH({"Formula","Roll-Up Summary"}, $B186))) &gt; 0,$B186 &amp; " (" &amp; $E186 &amp; ")",IF(SUMPRODUCT(-- ISNUMBER(SEARCH({"Content","Currency","Number","Percent","Text","URL"}, $B186))) &gt; 0,$B186 &amp; "(" &amp; $C186 &amp; ")",$B186)))), "  ", TRIM(IF($S186 = "YES", "(External ID)", "") &amp; " " &amp; IF(SUMPRODUCT(-- ISNUMBER(SEARCH({"Unique","Unique Case Insensitive"}, $R186))) &gt; 0, "(" &amp; $R186 &amp; ")", ""))))</f>
        <v>na</v>
      </c>
      <c r="E186" s="7" t="s">
        <v>195</v>
      </c>
      <c r="F186" s="7" t="s">
        <v>195</v>
      </c>
      <c r="G186" s="7" t="s">
        <v>195</v>
      </c>
      <c r="H186" s="7" t="s">
        <v>195</v>
      </c>
      <c r="I186" s="7" t="s">
        <v>195</v>
      </c>
      <c r="J186" s="7" t="s">
        <v>195</v>
      </c>
      <c r="K186" s="7" t="s">
        <v>195</v>
      </c>
      <c r="L186" s="7" t="s">
        <v>195</v>
      </c>
      <c r="M186" s="7" t="s">
        <v>29</v>
      </c>
      <c r="N186" s="7" t="s">
        <v>29</v>
      </c>
      <c r="O186" s="7" t="s">
        <v>29</v>
      </c>
      <c r="P186" s="7" t="s">
        <v>29</v>
      </c>
      <c r="Q186" s="7" t="s">
        <v>29</v>
      </c>
      <c r="R186" s="7" t="s">
        <v>29</v>
      </c>
      <c r="S186" s="7" t="s">
        <v>29</v>
      </c>
    </row>
    <row r="187" spans="2:19">
      <c r="B187" s="7" t="s">
        <v>195</v>
      </c>
      <c r="C187" s="8" t="s">
        <v>195</v>
      </c>
      <c r="D187" s="5" t="str">
        <f>LRTRIM(CONCATENATE(IF(SUMPRODUCT(-- ISNUMBER(SEARCH({"Auto Number"}, $B187))) &gt; 0, $B187, IF(SUMPRODUCT(-- ISNUMBER(SEARCH({"Lookup","Master-Detail"}, $B187))) &gt; 0,$B187 &amp; "(" &amp; $E187 &amp; ")",IF(SUMPRODUCT(-- ISNUMBER(SEARCH({"Formula","Roll-Up Summary"}, $B187))) &gt; 0,$B187 &amp; " (" &amp; $E187 &amp; ")",IF(SUMPRODUCT(-- ISNUMBER(SEARCH({"Content","Currency","Number","Percent","Text","URL"}, $B187))) &gt; 0,$B187 &amp; "(" &amp; $C187 &amp; ")",$B187)))), "  ", TRIM(IF($S187 = "YES", "(External ID)", "") &amp; " " &amp; IF(SUMPRODUCT(-- ISNUMBER(SEARCH({"Unique","Unique Case Insensitive"}, $R187))) &gt; 0, "(" &amp; $R187 &amp; ")", ""))))</f>
        <v>na</v>
      </c>
      <c r="E187" s="7" t="s">
        <v>195</v>
      </c>
      <c r="F187" s="7" t="s">
        <v>195</v>
      </c>
      <c r="G187" s="7" t="s">
        <v>195</v>
      </c>
      <c r="H187" s="7" t="s">
        <v>195</v>
      </c>
      <c r="I187" s="7" t="s">
        <v>195</v>
      </c>
      <c r="J187" s="7" t="s">
        <v>195</v>
      </c>
      <c r="K187" s="7" t="s">
        <v>195</v>
      </c>
      <c r="L187" s="7" t="s">
        <v>195</v>
      </c>
      <c r="M187" s="7" t="s">
        <v>29</v>
      </c>
      <c r="N187" s="7" t="s">
        <v>29</v>
      </c>
      <c r="O187" s="7" t="s">
        <v>29</v>
      </c>
      <c r="P187" s="7" t="s">
        <v>29</v>
      </c>
      <c r="Q187" s="7" t="s">
        <v>29</v>
      </c>
      <c r="R187" s="7" t="s">
        <v>29</v>
      </c>
      <c r="S187" s="7" t="s">
        <v>29</v>
      </c>
    </row>
    <row r="188" spans="2:19">
      <c r="B188" s="7" t="s">
        <v>195</v>
      </c>
      <c r="C188" s="8" t="s">
        <v>195</v>
      </c>
      <c r="D188" s="5" t="str">
        <f>LRTRIM(CONCATENATE(IF(SUMPRODUCT(-- ISNUMBER(SEARCH({"Auto Number"}, $B188))) &gt; 0, $B188, IF(SUMPRODUCT(-- ISNUMBER(SEARCH({"Lookup","Master-Detail"}, $B188))) &gt; 0,$B188 &amp; "(" &amp; $E188 &amp; ")",IF(SUMPRODUCT(-- ISNUMBER(SEARCH({"Formula","Roll-Up Summary"}, $B188))) &gt; 0,$B188 &amp; " (" &amp; $E188 &amp; ")",IF(SUMPRODUCT(-- ISNUMBER(SEARCH({"Content","Currency","Number","Percent","Text","URL"}, $B188))) &gt; 0,$B188 &amp; "(" &amp; $C188 &amp; ")",$B188)))), "  ", TRIM(IF($S188 = "YES", "(External ID)", "") &amp; " " &amp; IF(SUMPRODUCT(-- ISNUMBER(SEARCH({"Unique","Unique Case Insensitive"}, $R188))) &gt; 0, "(" &amp; $R188 &amp; ")", ""))))</f>
        <v>na</v>
      </c>
      <c r="E188" s="7" t="s">
        <v>195</v>
      </c>
      <c r="F188" s="7" t="s">
        <v>195</v>
      </c>
      <c r="G188" s="7" t="s">
        <v>195</v>
      </c>
      <c r="H188" s="7" t="s">
        <v>195</v>
      </c>
      <c r="I188" s="7" t="s">
        <v>195</v>
      </c>
      <c r="J188" s="7" t="s">
        <v>195</v>
      </c>
      <c r="K188" s="7" t="s">
        <v>195</v>
      </c>
      <c r="L188" s="7" t="s">
        <v>195</v>
      </c>
      <c r="M188" s="7" t="s">
        <v>29</v>
      </c>
      <c r="N188" s="7" t="s">
        <v>29</v>
      </c>
      <c r="O188" s="7" t="s">
        <v>29</v>
      </c>
      <c r="P188" s="7" t="s">
        <v>29</v>
      </c>
      <c r="Q188" s="7" t="s">
        <v>29</v>
      </c>
      <c r="R188" s="7" t="s">
        <v>29</v>
      </c>
      <c r="S188" s="7" t="s">
        <v>29</v>
      </c>
    </row>
    <row r="189" spans="2:19">
      <c r="B189" s="7" t="s">
        <v>195</v>
      </c>
      <c r="C189" s="8" t="s">
        <v>195</v>
      </c>
      <c r="D189" s="5" t="str">
        <f>LRTRIM(CONCATENATE(IF(SUMPRODUCT(-- ISNUMBER(SEARCH({"Auto Number"}, $B189))) &gt; 0, $B189, IF(SUMPRODUCT(-- ISNUMBER(SEARCH({"Lookup","Master-Detail"}, $B189))) &gt; 0,$B189 &amp; "(" &amp; $E189 &amp; ")",IF(SUMPRODUCT(-- ISNUMBER(SEARCH({"Formula","Roll-Up Summary"}, $B189))) &gt; 0,$B189 &amp; " (" &amp; $E189 &amp; ")",IF(SUMPRODUCT(-- ISNUMBER(SEARCH({"Content","Currency","Number","Percent","Text","URL"}, $B189))) &gt; 0,$B189 &amp; "(" &amp; $C189 &amp; ")",$B189)))), "  ", TRIM(IF($S189 = "YES", "(External ID)", "") &amp; " " &amp; IF(SUMPRODUCT(-- ISNUMBER(SEARCH({"Unique","Unique Case Insensitive"}, $R189))) &gt; 0, "(" &amp; $R189 &amp; ")", ""))))</f>
        <v>na</v>
      </c>
      <c r="E189" s="7" t="s">
        <v>195</v>
      </c>
      <c r="F189" s="7" t="s">
        <v>195</v>
      </c>
      <c r="G189" s="7" t="s">
        <v>195</v>
      </c>
      <c r="H189" s="7" t="s">
        <v>195</v>
      </c>
      <c r="I189" s="7" t="s">
        <v>195</v>
      </c>
      <c r="J189" s="7" t="s">
        <v>195</v>
      </c>
      <c r="K189" s="7" t="s">
        <v>195</v>
      </c>
      <c r="L189" s="7" t="s">
        <v>195</v>
      </c>
      <c r="M189" s="7" t="s">
        <v>29</v>
      </c>
      <c r="N189" s="7" t="s">
        <v>29</v>
      </c>
      <c r="O189" s="7" t="s">
        <v>29</v>
      </c>
      <c r="P189" s="7" t="s">
        <v>29</v>
      </c>
      <c r="Q189" s="7" t="s">
        <v>29</v>
      </c>
      <c r="R189" s="7" t="s">
        <v>29</v>
      </c>
      <c r="S189" s="7" t="s">
        <v>29</v>
      </c>
    </row>
    <row r="190" spans="2:19">
      <c r="B190" s="7" t="s">
        <v>195</v>
      </c>
      <c r="C190" s="8" t="s">
        <v>195</v>
      </c>
      <c r="D190" s="5" t="str">
        <f>LRTRIM(CONCATENATE(IF(SUMPRODUCT(-- ISNUMBER(SEARCH({"Auto Number"}, $B190))) &gt; 0, $B190, IF(SUMPRODUCT(-- ISNUMBER(SEARCH({"Lookup","Master-Detail"}, $B190))) &gt; 0,$B190 &amp; "(" &amp; $E190 &amp; ")",IF(SUMPRODUCT(-- ISNUMBER(SEARCH({"Formula","Roll-Up Summary"}, $B190))) &gt; 0,$B190 &amp; " (" &amp; $E190 &amp; ")",IF(SUMPRODUCT(-- ISNUMBER(SEARCH({"Content","Currency","Number","Percent","Text","URL"}, $B190))) &gt; 0,$B190 &amp; "(" &amp; $C190 &amp; ")",$B190)))), "  ", TRIM(IF($S190 = "YES", "(External ID)", "") &amp; " " &amp; IF(SUMPRODUCT(-- ISNUMBER(SEARCH({"Unique","Unique Case Insensitive"}, $R190))) &gt; 0, "(" &amp; $R190 &amp; ")", ""))))</f>
        <v>na</v>
      </c>
      <c r="E190" s="7" t="s">
        <v>195</v>
      </c>
      <c r="F190" s="7" t="s">
        <v>195</v>
      </c>
      <c r="G190" s="7" t="s">
        <v>195</v>
      </c>
      <c r="H190" s="7" t="s">
        <v>195</v>
      </c>
      <c r="I190" s="7" t="s">
        <v>195</v>
      </c>
      <c r="J190" s="7" t="s">
        <v>195</v>
      </c>
      <c r="K190" s="7" t="s">
        <v>195</v>
      </c>
      <c r="L190" s="7" t="s">
        <v>195</v>
      </c>
      <c r="M190" s="7" t="s">
        <v>29</v>
      </c>
      <c r="N190" s="7" t="s">
        <v>29</v>
      </c>
      <c r="O190" s="7" t="s">
        <v>29</v>
      </c>
      <c r="P190" s="7" t="s">
        <v>29</v>
      </c>
      <c r="Q190" s="7" t="s">
        <v>29</v>
      </c>
      <c r="R190" s="7" t="s">
        <v>29</v>
      </c>
      <c r="S190" s="7" t="s">
        <v>29</v>
      </c>
    </row>
    <row r="191" spans="2:19">
      <c r="B191" s="7" t="s">
        <v>195</v>
      </c>
      <c r="C191" s="8" t="s">
        <v>195</v>
      </c>
      <c r="D191" s="5" t="str">
        <f>LRTRIM(CONCATENATE(IF(SUMPRODUCT(-- ISNUMBER(SEARCH({"Auto Number"}, $B191))) &gt; 0, $B191, IF(SUMPRODUCT(-- ISNUMBER(SEARCH({"Lookup","Master-Detail"}, $B191))) &gt; 0,$B191 &amp; "(" &amp; $E191 &amp; ")",IF(SUMPRODUCT(-- ISNUMBER(SEARCH({"Formula","Roll-Up Summary"}, $B191))) &gt; 0,$B191 &amp; " (" &amp; $E191 &amp; ")",IF(SUMPRODUCT(-- ISNUMBER(SEARCH({"Content","Currency","Number","Percent","Text","URL"}, $B191))) &gt; 0,$B191 &amp; "(" &amp; $C191 &amp; ")",$B191)))), "  ", TRIM(IF($S191 = "YES", "(External ID)", "") &amp; " " &amp; IF(SUMPRODUCT(-- ISNUMBER(SEARCH({"Unique","Unique Case Insensitive"}, $R191))) &gt; 0, "(" &amp; $R191 &amp; ")", ""))))</f>
        <v>na</v>
      </c>
      <c r="E191" s="7" t="s">
        <v>195</v>
      </c>
      <c r="F191" s="7" t="s">
        <v>195</v>
      </c>
      <c r="G191" s="7" t="s">
        <v>195</v>
      </c>
      <c r="H191" s="7" t="s">
        <v>195</v>
      </c>
      <c r="I191" s="7" t="s">
        <v>195</v>
      </c>
      <c r="J191" s="7" t="s">
        <v>195</v>
      </c>
      <c r="K191" s="7" t="s">
        <v>195</v>
      </c>
      <c r="L191" s="7" t="s">
        <v>195</v>
      </c>
      <c r="M191" s="7" t="s">
        <v>29</v>
      </c>
      <c r="N191" s="7" t="s">
        <v>29</v>
      </c>
      <c r="O191" s="7" t="s">
        <v>29</v>
      </c>
      <c r="P191" s="7" t="s">
        <v>29</v>
      </c>
      <c r="Q191" s="7" t="s">
        <v>29</v>
      </c>
      <c r="R191" s="7" t="s">
        <v>29</v>
      </c>
      <c r="S191" s="7" t="s">
        <v>29</v>
      </c>
    </row>
    <row r="192" spans="2:19">
      <c r="B192" s="7" t="s">
        <v>195</v>
      </c>
      <c r="C192" s="8" t="s">
        <v>195</v>
      </c>
      <c r="D192" s="5" t="str">
        <f>LRTRIM(CONCATENATE(IF(SUMPRODUCT(-- ISNUMBER(SEARCH({"Auto Number"}, $B192))) &gt; 0, $B192, IF(SUMPRODUCT(-- ISNUMBER(SEARCH({"Lookup","Master-Detail"}, $B192))) &gt; 0,$B192 &amp; "(" &amp; $E192 &amp; ")",IF(SUMPRODUCT(-- ISNUMBER(SEARCH({"Formula","Roll-Up Summary"}, $B192))) &gt; 0,$B192 &amp; " (" &amp; $E192 &amp; ")",IF(SUMPRODUCT(-- ISNUMBER(SEARCH({"Content","Currency","Number","Percent","Text","URL"}, $B192))) &gt; 0,$B192 &amp; "(" &amp; $C192 &amp; ")",$B192)))), "  ", TRIM(IF($S192 = "YES", "(External ID)", "") &amp; " " &amp; IF(SUMPRODUCT(-- ISNUMBER(SEARCH({"Unique","Unique Case Insensitive"}, $R192))) &gt; 0, "(" &amp; $R192 &amp; ")", ""))))</f>
        <v>na</v>
      </c>
      <c r="E192" s="7" t="s">
        <v>195</v>
      </c>
      <c r="F192" s="7" t="s">
        <v>195</v>
      </c>
      <c r="G192" s="7" t="s">
        <v>195</v>
      </c>
      <c r="H192" s="7" t="s">
        <v>195</v>
      </c>
      <c r="I192" s="7" t="s">
        <v>195</v>
      </c>
      <c r="J192" s="7" t="s">
        <v>195</v>
      </c>
      <c r="K192" s="7" t="s">
        <v>195</v>
      </c>
      <c r="L192" s="7" t="s">
        <v>195</v>
      </c>
      <c r="M192" s="7" t="s">
        <v>29</v>
      </c>
      <c r="N192" s="7" t="s">
        <v>29</v>
      </c>
      <c r="O192" s="7" t="s">
        <v>29</v>
      </c>
      <c r="P192" s="7" t="s">
        <v>29</v>
      </c>
      <c r="Q192" s="7" t="s">
        <v>29</v>
      </c>
      <c r="R192" s="7" t="s">
        <v>29</v>
      </c>
      <c r="S192" s="7" t="s">
        <v>29</v>
      </c>
    </row>
    <row r="193" spans="2:19">
      <c r="B193" s="7" t="s">
        <v>195</v>
      </c>
      <c r="C193" s="8" t="s">
        <v>195</v>
      </c>
      <c r="D193" s="5" t="str">
        <f>LRTRIM(CONCATENATE(IF(SUMPRODUCT(-- ISNUMBER(SEARCH({"Auto Number"}, $B193))) &gt; 0, $B193, IF(SUMPRODUCT(-- ISNUMBER(SEARCH({"Lookup","Master-Detail"}, $B193))) &gt; 0,$B193 &amp; "(" &amp; $E193 &amp; ")",IF(SUMPRODUCT(-- ISNUMBER(SEARCH({"Formula","Roll-Up Summary"}, $B193))) &gt; 0,$B193 &amp; " (" &amp; $E193 &amp; ")",IF(SUMPRODUCT(-- ISNUMBER(SEARCH({"Content","Currency","Number","Percent","Text","URL"}, $B193))) &gt; 0,$B193 &amp; "(" &amp; $C193 &amp; ")",$B193)))), "  ", TRIM(IF($S193 = "YES", "(External ID)", "") &amp; " " &amp; IF(SUMPRODUCT(-- ISNUMBER(SEARCH({"Unique","Unique Case Insensitive"}, $R193))) &gt; 0, "(" &amp; $R193 &amp; ")", ""))))</f>
        <v>na</v>
      </c>
      <c r="E193" s="7" t="s">
        <v>195</v>
      </c>
      <c r="F193" s="7" t="s">
        <v>195</v>
      </c>
      <c r="G193" s="7" t="s">
        <v>195</v>
      </c>
      <c r="H193" s="7" t="s">
        <v>195</v>
      </c>
      <c r="I193" s="7" t="s">
        <v>195</v>
      </c>
      <c r="J193" s="7" t="s">
        <v>195</v>
      </c>
      <c r="K193" s="7" t="s">
        <v>195</v>
      </c>
      <c r="L193" s="7" t="s">
        <v>195</v>
      </c>
      <c r="M193" s="7" t="s">
        <v>29</v>
      </c>
      <c r="N193" s="7" t="s">
        <v>29</v>
      </c>
      <c r="O193" s="7" t="s">
        <v>29</v>
      </c>
      <c r="P193" s="7" t="s">
        <v>29</v>
      </c>
      <c r="Q193" s="7" t="s">
        <v>29</v>
      </c>
      <c r="R193" s="7" t="s">
        <v>29</v>
      </c>
      <c r="S193" s="7" t="s">
        <v>29</v>
      </c>
    </row>
    <row r="194" spans="2:19">
      <c r="B194" s="7" t="s">
        <v>195</v>
      </c>
      <c r="C194" s="8" t="s">
        <v>195</v>
      </c>
      <c r="D194" s="5" t="str">
        <f>LRTRIM(CONCATENATE(IF(SUMPRODUCT(-- ISNUMBER(SEARCH({"Auto Number"}, $B194))) &gt; 0, $B194, IF(SUMPRODUCT(-- ISNUMBER(SEARCH({"Lookup","Master-Detail"}, $B194))) &gt; 0,$B194 &amp; "(" &amp; $E194 &amp; ")",IF(SUMPRODUCT(-- ISNUMBER(SEARCH({"Formula","Roll-Up Summary"}, $B194))) &gt; 0,$B194 &amp; " (" &amp; $E194 &amp; ")",IF(SUMPRODUCT(-- ISNUMBER(SEARCH({"Content","Currency","Number","Percent","Text","URL"}, $B194))) &gt; 0,$B194 &amp; "(" &amp; $C194 &amp; ")",$B194)))), "  ", TRIM(IF($S194 = "YES", "(External ID)", "") &amp; " " &amp; IF(SUMPRODUCT(-- ISNUMBER(SEARCH({"Unique","Unique Case Insensitive"}, $R194))) &gt; 0, "(" &amp; $R194 &amp; ")", ""))))</f>
        <v>na</v>
      </c>
      <c r="E194" s="7" t="s">
        <v>195</v>
      </c>
      <c r="F194" s="7" t="s">
        <v>195</v>
      </c>
      <c r="G194" s="7" t="s">
        <v>195</v>
      </c>
      <c r="H194" s="7" t="s">
        <v>195</v>
      </c>
      <c r="I194" s="7" t="s">
        <v>195</v>
      </c>
      <c r="J194" s="7" t="s">
        <v>195</v>
      </c>
      <c r="K194" s="7" t="s">
        <v>195</v>
      </c>
      <c r="L194" s="7" t="s">
        <v>195</v>
      </c>
      <c r="M194" s="7" t="s">
        <v>29</v>
      </c>
      <c r="N194" s="7" t="s">
        <v>29</v>
      </c>
      <c r="O194" s="7" t="s">
        <v>29</v>
      </c>
      <c r="P194" s="7" t="s">
        <v>29</v>
      </c>
      <c r="Q194" s="7" t="s">
        <v>29</v>
      </c>
      <c r="R194" s="7" t="s">
        <v>29</v>
      </c>
      <c r="S194" s="7" t="s">
        <v>29</v>
      </c>
    </row>
    <row r="195" spans="2:19">
      <c r="B195" s="7" t="s">
        <v>195</v>
      </c>
      <c r="C195" s="8" t="s">
        <v>195</v>
      </c>
      <c r="D195" s="5" t="str">
        <f>LRTRIM(CONCATENATE(IF(SUMPRODUCT(-- ISNUMBER(SEARCH({"Auto Number"}, $B195))) &gt; 0, $B195, IF(SUMPRODUCT(-- ISNUMBER(SEARCH({"Lookup","Master-Detail"}, $B195))) &gt; 0,$B195 &amp; "(" &amp; $E195 &amp; ")",IF(SUMPRODUCT(-- ISNUMBER(SEARCH({"Formula","Roll-Up Summary"}, $B195))) &gt; 0,$B195 &amp; " (" &amp; $E195 &amp; ")",IF(SUMPRODUCT(-- ISNUMBER(SEARCH({"Content","Currency","Number","Percent","Text","URL"}, $B195))) &gt; 0,$B195 &amp; "(" &amp; $C195 &amp; ")",$B195)))), "  ", TRIM(IF($S195 = "YES", "(External ID)", "") &amp; " " &amp; IF(SUMPRODUCT(-- ISNUMBER(SEARCH({"Unique","Unique Case Insensitive"}, $R195))) &gt; 0, "(" &amp; $R195 &amp; ")", ""))))</f>
        <v>na</v>
      </c>
      <c r="E195" s="7" t="s">
        <v>195</v>
      </c>
      <c r="F195" s="7" t="s">
        <v>195</v>
      </c>
      <c r="G195" s="7" t="s">
        <v>195</v>
      </c>
      <c r="H195" s="7" t="s">
        <v>195</v>
      </c>
      <c r="I195" s="7" t="s">
        <v>195</v>
      </c>
      <c r="J195" s="7" t="s">
        <v>195</v>
      </c>
      <c r="K195" s="7" t="s">
        <v>195</v>
      </c>
      <c r="L195" s="7" t="s">
        <v>195</v>
      </c>
      <c r="M195" s="7" t="s">
        <v>29</v>
      </c>
      <c r="N195" s="7" t="s">
        <v>29</v>
      </c>
      <c r="O195" s="7" t="s">
        <v>29</v>
      </c>
      <c r="P195" s="7" t="s">
        <v>29</v>
      </c>
      <c r="Q195" s="7" t="s">
        <v>29</v>
      </c>
      <c r="R195" s="7" t="s">
        <v>29</v>
      </c>
      <c r="S195" s="7" t="s">
        <v>29</v>
      </c>
    </row>
    <row r="196" spans="2:19">
      <c r="B196" s="7" t="s">
        <v>195</v>
      </c>
      <c r="C196" s="8" t="s">
        <v>195</v>
      </c>
      <c r="D196" s="5" t="str">
        <f>LRTRIM(CONCATENATE(IF(SUMPRODUCT(-- ISNUMBER(SEARCH({"Auto Number"}, $B196))) &gt; 0, $B196, IF(SUMPRODUCT(-- ISNUMBER(SEARCH({"Lookup","Master-Detail"}, $B196))) &gt; 0,$B196 &amp; "(" &amp; $E196 &amp; ")",IF(SUMPRODUCT(-- ISNUMBER(SEARCH({"Formula","Roll-Up Summary"}, $B196))) &gt; 0,$B196 &amp; " (" &amp; $E196 &amp; ")",IF(SUMPRODUCT(-- ISNUMBER(SEARCH({"Content","Currency","Number","Percent","Text","URL"}, $B196))) &gt; 0,$B196 &amp; "(" &amp; $C196 &amp; ")",$B196)))), "  ", TRIM(IF($S196 = "YES", "(External ID)", "") &amp; " " &amp; IF(SUMPRODUCT(-- ISNUMBER(SEARCH({"Unique","Unique Case Insensitive"}, $R196))) &gt; 0, "(" &amp; $R196 &amp; ")", ""))))</f>
        <v>na</v>
      </c>
      <c r="E196" s="7" t="s">
        <v>195</v>
      </c>
      <c r="F196" s="7" t="s">
        <v>195</v>
      </c>
      <c r="G196" s="7" t="s">
        <v>195</v>
      </c>
      <c r="H196" s="7" t="s">
        <v>195</v>
      </c>
      <c r="I196" s="7" t="s">
        <v>195</v>
      </c>
      <c r="J196" s="7" t="s">
        <v>195</v>
      </c>
      <c r="K196" s="7" t="s">
        <v>195</v>
      </c>
      <c r="L196" s="7" t="s">
        <v>195</v>
      </c>
      <c r="M196" s="7" t="s">
        <v>29</v>
      </c>
      <c r="N196" s="7" t="s">
        <v>29</v>
      </c>
      <c r="O196" s="7" t="s">
        <v>29</v>
      </c>
      <c r="P196" s="7" t="s">
        <v>29</v>
      </c>
      <c r="Q196" s="7" t="s">
        <v>29</v>
      </c>
      <c r="R196" s="7" t="s">
        <v>29</v>
      </c>
      <c r="S196" s="7" t="s">
        <v>29</v>
      </c>
    </row>
    <row r="197" spans="2:19">
      <c r="B197" s="7" t="s">
        <v>195</v>
      </c>
      <c r="C197" s="8" t="s">
        <v>195</v>
      </c>
      <c r="D197" s="5" t="str">
        <f>LRTRIM(CONCATENATE(IF(SUMPRODUCT(-- ISNUMBER(SEARCH({"Auto Number"}, $B197))) &gt; 0, $B197, IF(SUMPRODUCT(-- ISNUMBER(SEARCH({"Lookup","Master-Detail"}, $B197))) &gt; 0,$B197 &amp; "(" &amp; $E197 &amp; ")",IF(SUMPRODUCT(-- ISNUMBER(SEARCH({"Formula","Roll-Up Summary"}, $B197))) &gt; 0,$B197 &amp; " (" &amp; $E197 &amp; ")",IF(SUMPRODUCT(-- ISNUMBER(SEARCH({"Content","Currency","Number","Percent","Text","URL"}, $B197))) &gt; 0,$B197 &amp; "(" &amp; $C197 &amp; ")",$B197)))), "  ", TRIM(IF($S197 = "YES", "(External ID)", "") &amp; " " &amp; IF(SUMPRODUCT(-- ISNUMBER(SEARCH({"Unique","Unique Case Insensitive"}, $R197))) &gt; 0, "(" &amp; $R197 &amp; ")", ""))))</f>
        <v>na</v>
      </c>
      <c r="E197" s="7" t="s">
        <v>195</v>
      </c>
      <c r="F197" s="7" t="s">
        <v>195</v>
      </c>
      <c r="G197" s="7" t="s">
        <v>195</v>
      </c>
      <c r="H197" s="7" t="s">
        <v>195</v>
      </c>
      <c r="I197" s="7" t="s">
        <v>195</v>
      </c>
      <c r="J197" s="7" t="s">
        <v>195</v>
      </c>
      <c r="K197" s="7" t="s">
        <v>195</v>
      </c>
      <c r="L197" s="7" t="s">
        <v>195</v>
      </c>
      <c r="M197" s="7" t="s">
        <v>29</v>
      </c>
      <c r="N197" s="7" t="s">
        <v>29</v>
      </c>
      <c r="O197" s="7" t="s">
        <v>29</v>
      </c>
      <c r="P197" s="7" t="s">
        <v>29</v>
      </c>
      <c r="Q197" s="7" t="s">
        <v>29</v>
      </c>
      <c r="R197" s="7" t="s">
        <v>29</v>
      </c>
      <c r="S197" s="7" t="s">
        <v>29</v>
      </c>
    </row>
    <row r="198" spans="2:19">
      <c r="B198" s="7" t="s">
        <v>195</v>
      </c>
      <c r="C198" s="8" t="s">
        <v>195</v>
      </c>
      <c r="D198" s="5" t="str">
        <f>LRTRIM(CONCATENATE(IF(SUMPRODUCT(-- ISNUMBER(SEARCH({"Auto Number"}, $B198))) &gt; 0, $B198, IF(SUMPRODUCT(-- ISNUMBER(SEARCH({"Lookup","Master-Detail"}, $B198))) &gt; 0,$B198 &amp; "(" &amp; $E198 &amp; ")",IF(SUMPRODUCT(-- ISNUMBER(SEARCH({"Formula","Roll-Up Summary"}, $B198))) &gt; 0,$B198 &amp; " (" &amp; $E198 &amp; ")",IF(SUMPRODUCT(-- ISNUMBER(SEARCH({"Content","Currency","Number","Percent","Text","URL"}, $B198))) &gt; 0,$B198 &amp; "(" &amp; $C198 &amp; ")",$B198)))), "  ", TRIM(IF($S198 = "YES", "(External ID)", "") &amp; " " &amp; IF(SUMPRODUCT(-- ISNUMBER(SEARCH({"Unique","Unique Case Insensitive"}, $R198))) &gt; 0, "(" &amp; $R198 &amp; ")", ""))))</f>
        <v>na</v>
      </c>
      <c r="E198" s="7" t="s">
        <v>195</v>
      </c>
      <c r="F198" s="7" t="s">
        <v>195</v>
      </c>
      <c r="G198" s="7" t="s">
        <v>195</v>
      </c>
      <c r="H198" s="7" t="s">
        <v>195</v>
      </c>
      <c r="I198" s="7" t="s">
        <v>195</v>
      </c>
      <c r="J198" s="7" t="s">
        <v>195</v>
      </c>
      <c r="K198" s="7" t="s">
        <v>195</v>
      </c>
      <c r="L198" s="7" t="s">
        <v>195</v>
      </c>
      <c r="M198" s="7" t="s">
        <v>29</v>
      </c>
      <c r="N198" s="7" t="s">
        <v>29</v>
      </c>
      <c r="O198" s="7" t="s">
        <v>29</v>
      </c>
      <c r="P198" s="7" t="s">
        <v>29</v>
      </c>
      <c r="Q198" s="7" t="s">
        <v>29</v>
      </c>
      <c r="R198" s="7" t="s">
        <v>29</v>
      </c>
      <c r="S198" s="7" t="s">
        <v>29</v>
      </c>
    </row>
    <row r="199" spans="2:19">
      <c r="B199" s="7" t="s">
        <v>195</v>
      </c>
      <c r="C199" s="8" t="s">
        <v>195</v>
      </c>
      <c r="D199" s="5" t="str">
        <f>LRTRIM(CONCATENATE(IF(SUMPRODUCT(-- ISNUMBER(SEARCH({"Auto Number"}, $B199))) &gt; 0, $B199, IF(SUMPRODUCT(-- ISNUMBER(SEARCH({"Lookup","Master-Detail"}, $B199))) &gt; 0,$B199 &amp; "(" &amp; $E199 &amp; ")",IF(SUMPRODUCT(-- ISNUMBER(SEARCH({"Formula","Roll-Up Summary"}, $B199))) &gt; 0,$B199 &amp; " (" &amp; $E199 &amp; ")",IF(SUMPRODUCT(-- ISNUMBER(SEARCH({"Content","Currency","Number","Percent","Text","URL"}, $B199))) &gt; 0,$B199 &amp; "(" &amp; $C199 &amp; ")",$B199)))), "  ", TRIM(IF($S199 = "YES", "(External ID)", "") &amp; " " &amp; IF(SUMPRODUCT(-- ISNUMBER(SEARCH({"Unique","Unique Case Insensitive"}, $R199))) &gt; 0, "(" &amp; $R199 &amp; ")", ""))))</f>
        <v>na</v>
      </c>
      <c r="E199" s="7" t="s">
        <v>195</v>
      </c>
      <c r="F199" s="7" t="s">
        <v>195</v>
      </c>
      <c r="G199" s="7" t="s">
        <v>195</v>
      </c>
      <c r="H199" s="7" t="s">
        <v>195</v>
      </c>
      <c r="I199" s="7" t="s">
        <v>195</v>
      </c>
      <c r="J199" s="7" t="s">
        <v>195</v>
      </c>
      <c r="K199" s="7" t="s">
        <v>195</v>
      </c>
      <c r="L199" s="7" t="s">
        <v>195</v>
      </c>
      <c r="M199" s="7" t="s">
        <v>29</v>
      </c>
      <c r="N199" s="7" t="s">
        <v>29</v>
      </c>
      <c r="O199" s="7" t="s">
        <v>29</v>
      </c>
      <c r="P199" s="7" t="s">
        <v>29</v>
      </c>
      <c r="Q199" s="7" t="s">
        <v>29</v>
      </c>
      <c r="R199" s="7" t="s">
        <v>29</v>
      </c>
      <c r="S199" s="7" t="s">
        <v>29</v>
      </c>
    </row>
    <row r="200" spans="2:19">
      <c r="B200" s="7" t="s">
        <v>195</v>
      </c>
      <c r="C200" s="8" t="s">
        <v>195</v>
      </c>
      <c r="D200" s="5" t="str">
        <f>LRTRIM(CONCATENATE(IF(SUMPRODUCT(-- ISNUMBER(SEARCH({"Auto Number"}, $B200))) &gt; 0, $B200, IF(SUMPRODUCT(-- ISNUMBER(SEARCH({"Lookup","Master-Detail"}, $B200))) &gt; 0,$B200 &amp; "(" &amp; $E200 &amp; ")",IF(SUMPRODUCT(-- ISNUMBER(SEARCH({"Formula","Roll-Up Summary"}, $B200))) &gt; 0,$B200 &amp; " (" &amp; $E200 &amp; ")",IF(SUMPRODUCT(-- ISNUMBER(SEARCH({"Content","Currency","Number","Percent","Text","URL"}, $B200))) &gt; 0,$B200 &amp; "(" &amp; $C200 &amp; ")",$B200)))), "  ", TRIM(IF($S200 = "YES", "(External ID)", "") &amp; " " &amp; IF(SUMPRODUCT(-- ISNUMBER(SEARCH({"Unique","Unique Case Insensitive"}, $R200))) &gt; 0, "(" &amp; $R200 &amp; ")", ""))))</f>
        <v>na</v>
      </c>
      <c r="E200" s="7" t="s">
        <v>195</v>
      </c>
      <c r="F200" s="7" t="s">
        <v>195</v>
      </c>
      <c r="G200" s="7" t="s">
        <v>195</v>
      </c>
      <c r="H200" s="7" t="s">
        <v>195</v>
      </c>
      <c r="I200" s="7" t="s">
        <v>195</v>
      </c>
      <c r="J200" s="7" t="s">
        <v>195</v>
      </c>
      <c r="K200" s="7" t="s">
        <v>195</v>
      </c>
      <c r="L200" s="7" t="s">
        <v>195</v>
      </c>
      <c r="M200" s="7" t="s">
        <v>29</v>
      </c>
      <c r="N200" s="7" t="s">
        <v>29</v>
      </c>
      <c r="O200" s="7" t="s">
        <v>29</v>
      </c>
      <c r="P200" s="7" t="s">
        <v>29</v>
      </c>
      <c r="Q200" s="7" t="s">
        <v>29</v>
      </c>
      <c r="R200" s="7" t="s">
        <v>29</v>
      </c>
      <c r="S200" s="7" t="s">
        <v>29</v>
      </c>
    </row>
  </sheetData>
  <sheetProtection formatCells="0" formatColumns="0" formatRows="0" insertColumns="0" insertRows="0" insertHyperlinks="0" deleteColumns="0" deleteRows="0" sort="0" autoFilter="0" pivotTables="0"/>
  <conditionalFormatting sqref="D2:D23">
    <cfRule type="expression" dxfId="78" priority="3">
      <formula>NOT(_xlfn.ISFORMULA($D2))</formula>
    </cfRule>
  </conditionalFormatting>
  <conditionalFormatting sqref="D24">
    <cfRule type="expression" dxfId="77" priority="2">
      <formula>NOT(_xlfn.ISFORMULA($D24))</formula>
    </cfRule>
  </conditionalFormatting>
  <conditionalFormatting sqref="D25:D200">
    <cfRule type="expression" dxfId="76" priority="1">
      <formula>NOT(_xlfn.ISFORMULA($D25))</formula>
    </cfRule>
  </conditionalFormatting>
  <dataValidations count="1">
    <dataValidation allowBlank="1" showInputMessage="1" showErrorMessage="1" sqref="A2:A23"/>
  </dataValidations>
  <pageMargins left="0.7" right="0.7" top="0.75" bottom="0.75" header="0.3" footer="0.3"/>
  <extLst>
    <ext xmlns:x14="http://schemas.microsoft.com/office/spreadsheetml/2009/9/main" uri="{CCE6A557-97BC-4b89-ADB6-D9C93CAAB3DF}">
      <x14:dataValidations xmlns:xm="http://schemas.microsoft.com/office/excel/2006/main" count="15">
        <x14:dataValidation type="list" allowBlank="1" showInputMessage="1" showErrorMessage="1">
          <x14:formula1>
            <xm:f>OFFSET('Reference Fields'!$K$2,0,0,COUNTA('Reference Fields'!$K:$K)-1)</xm:f>
          </x14:formula1>
          <xm:sqref>R2:R200</xm:sqref>
        </x14:dataValidation>
        <x14:dataValidation type="list" allowBlank="1" showInputMessage="1" showErrorMessage="1">
          <x14:formula1>
            <xm:f>OFFSET('Reference Fields'!$J$2,0,0,COUNTA('Reference Fields'!$J:$J)-1)</xm:f>
          </x14:formula1>
          <xm:sqref>P2:P200</xm:sqref>
        </x14:dataValidation>
        <x14:dataValidation type="list" allowBlank="1" showInputMessage="1" showErrorMessage="1">
          <x14:formula1>
            <xm:f>OFFSET('Reference Fields'!$J$2,0,0,COUNTA('Reference Fields'!$J:$J)-1)</xm:f>
          </x14:formula1>
          <xm:sqref>M2:M200</xm:sqref>
        </x14:dataValidation>
        <x14:dataValidation type="list" allowBlank="1" showInputMessage="1" showErrorMessage="1">
          <x14:formula1>
            <xm:f>OFFSET('Reference Fields'!$J$2,0,0,COUNTA('Reference Fields'!$J:$J)-1)</xm:f>
          </x14:formula1>
          <xm:sqref>N2:N200</xm:sqref>
        </x14:dataValidation>
        <x14:dataValidation type="list" allowBlank="1" showInputMessage="1" showErrorMessage="1">
          <x14:formula1>
            <xm:f>OFFSET('Reference Fields'!$J$2,0,0,COUNTA('Reference Fields'!$J:$J)-1)</xm:f>
          </x14:formula1>
          <xm:sqref>O2:O200</xm:sqref>
        </x14:dataValidation>
        <x14:dataValidation type="list" allowBlank="1" showInputMessage="1" showErrorMessage="1">
          <x14:formula1>
            <xm:f>OFFSET('Reference Fields'!$J$2,0,0,COUNTA('Reference Fields'!$J:$J)-1)</xm:f>
          </x14:formula1>
          <xm:sqref>Q2:Q200</xm:sqref>
        </x14:dataValidation>
        <x14:dataValidation type="list" allowBlank="1" showInputMessage="1" showErrorMessage="1">
          <x14:formula1>
            <xm:f>OFFSET('Reference Fields'!$J$2,0,0,COUNTA('Reference Fields'!$J:$J)-1)</xm:f>
          </x14:formula1>
          <xm:sqref>S2:S200</xm:sqref>
        </x14:dataValidation>
        <x14:dataValidation type="list" allowBlank="1" showInputMessage="1" showErrorMessage="1">
          <x14:formula1>
            <xm:f>OFFSET('Reference Fields'!$B$2,0,0,COUNTA('Reference Fields'!$B:$B)-1)</xm:f>
          </x14:formula1>
          <xm:sqref>B2:B200</xm:sqref>
        </x14:dataValidation>
        <x14:dataValidation type="list" allowBlank="1" showInputMessage="1" showErrorMessage="1">
          <x14:formula1>
            <xm:f>OFFSET('Reference Fields'!$D$2,0,0,COUNTA('Reference Fields'!$D:$D)-1)</xm:f>
          </x14:formula1>
          <xm:sqref>F2:F200</xm:sqref>
        </x14:dataValidation>
        <x14:dataValidation type="list" allowBlank="1" showInputMessage="1" showErrorMessage="1">
          <x14:formula1>
            <xm:f>OFFSET('Reference Fields'!$E$2,0,0,COUNTA('Reference Fields'!$E:$E)-1)</xm:f>
          </x14:formula1>
          <xm:sqref>G2:G200</xm:sqref>
        </x14:dataValidation>
        <x14:dataValidation type="list" allowBlank="1" showInputMessage="1" showErrorMessage="1">
          <x14:formula1>
            <xm:f>OFFSET('Reference Fields'!$F$2,0,0,COUNTA('Reference Fields'!$F:$F)-1)</xm:f>
          </x14:formula1>
          <xm:sqref>H2:H200</xm:sqref>
        </x14:dataValidation>
        <x14:dataValidation type="list" allowBlank="1" showInputMessage="1" showErrorMessage="1">
          <x14:formula1>
            <xm:f>OFFSET('Reference Fields'!$F$2,0,0,COUNTA('Reference Fields'!$F:$F)-1)</xm:f>
          </x14:formula1>
          <xm:sqref>I2:I200</xm:sqref>
        </x14:dataValidation>
        <x14:dataValidation type="list" allowBlank="1" showInputMessage="1" showErrorMessage="1">
          <x14:formula1>
            <xm:f>OFFSET('Reference Fields'!$G$2,0,0,COUNTA('Reference Fields'!$G:$G)-1)</xm:f>
          </x14:formula1>
          <xm:sqref>J2:J200</xm:sqref>
        </x14:dataValidation>
        <x14:dataValidation type="list" allowBlank="1" showInputMessage="1" showErrorMessage="1">
          <x14:formula1>
            <xm:f>OFFSET('Reference Fields'!$H$2,0,0,COUNTA('Reference Fields'!$H:$H)-1)</xm:f>
          </x14:formula1>
          <xm:sqref>K2:K200</xm:sqref>
        </x14:dataValidation>
        <x14:dataValidation type="list" allowBlank="1" showInputMessage="1" showErrorMessage="1">
          <x14:formula1>
            <xm:f>OFFSET('Reference Fields'!$I$2,0,0,COUNTA('Reference Fields'!$I:$I)-1)</xm:f>
          </x14:formula1>
          <xm:sqref>L2:L200</xm:sqref>
        </x14:dataValidation>
      </x14:dataValidations>
    </ext>
  </extLst>
</worksheet>
</file>

<file path=xl/worksheets/sheet14.xml><?xml version="1.0" encoding="utf-8"?>
<worksheet xmlns="http://schemas.openxmlformats.org/spreadsheetml/2006/main" xmlns:r="http://schemas.openxmlformats.org/officeDocument/2006/relationships">
  <sheetPr codeName="Sheet10"/>
  <dimension ref="A1:S200"/>
  <sheetViews>
    <sheetView workbookViewId="0">
      <selection activeCell="A2" sqref="A2"/>
    </sheetView>
  </sheetViews>
  <sheetFormatPr defaultRowHeight="14.5"/>
  <cols>
    <col min="1" max="1" width="23" bestFit="1" customWidth="1"/>
    <col min="2" max="2" width="13.54296875" customWidth="1"/>
    <col min="3" max="3" width="8.90625" customWidth="1"/>
    <col min="4" max="4" width="12.6328125" customWidth="1"/>
    <col min="5" max="5" width="15.6328125" bestFit="1" customWidth="1"/>
    <col min="6" max="6" width="15.453125" customWidth="1"/>
    <col min="7" max="7" width="22.6328125" customWidth="1"/>
    <col min="8" max="8" width="8.453125" customWidth="1"/>
    <col min="9" max="9" width="8.1796875" customWidth="1"/>
    <col min="10" max="10" width="5.08984375" customWidth="1"/>
    <col min="11" max="11" width="10.453125" bestFit="1" customWidth="1"/>
    <col min="12" max="12" width="10.453125" customWidth="1"/>
    <col min="13" max="13" width="12.453125" bestFit="1" customWidth="1"/>
  </cols>
  <sheetData>
    <row r="1" spans="1:19">
      <c r="A1" s="1" t="s">
        <v>2</v>
      </c>
      <c r="B1" s="1" t="s">
        <v>1198</v>
      </c>
      <c r="C1" s="1" t="s">
        <v>1199</v>
      </c>
      <c r="D1" s="1" t="s">
        <v>0</v>
      </c>
      <c r="E1" s="1" t="s">
        <v>1</v>
      </c>
      <c r="F1" s="1" t="s">
        <v>30</v>
      </c>
      <c r="G1" s="1" t="s">
        <v>31</v>
      </c>
      <c r="H1" s="1" t="s">
        <v>1262</v>
      </c>
      <c r="I1" s="1" t="s">
        <v>49</v>
      </c>
      <c r="J1" s="1" t="s">
        <v>48</v>
      </c>
      <c r="K1" s="1" t="s">
        <v>54</v>
      </c>
      <c r="L1" s="1" t="s">
        <v>55</v>
      </c>
      <c r="M1" s="1" t="s">
        <v>27</v>
      </c>
      <c r="N1" s="1" t="s">
        <v>175</v>
      </c>
      <c r="O1" s="1" t="s">
        <v>193</v>
      </c>
      <c r="P1" s="1" t="s">
        <v>1221</v>
      </c>
      <c r="Q1" s="1" t="s">
        <v>1264</v>
      </c>
      <c r="R1" s="1" t="s">
        <v>1263</v>
      </c>
      <c r="S1" s="1" t="s">
        <v>1265</v>
      </c>
    </row>
    <row r="2" spans="1:19">
      <c r="A2" s="7" t="s">
        <v>60</v>
      </c>
      <c r="B2" s="7" t="s">
        <v>1212</v>
      </c>
      <c r="C2" s="8" t="s">
        <v>195</v>
      </c>
      <c r="D2" s="5" t="str">
        <f>LRTRIM(CONCATENATE(IF(SUMPRODUCT(-- ISNUMBER(SEARCH({"Auto Number"}, $B2))) &gt; 0, $B2, IF(SUMPRODUCT(-- ISNUMBER(SEARCH({"Lookup","Master-Detail"}, $B2))) &gt; 0,$B2 &amp; "(" &amp; $E2 &amp; ")",IF(SUMPRODUCT(-- ISNUMBER(SEARCH({"Formula","Roll-Up Summary"}, $B2))) &gt; 0,$B2 &amp; " (" &amp; $E2 &amp; ")",IF(SUMPRODUCT(-- ISNUMBER(SEARCH({"Content","Currency","Number","Percent","Text","URL"}, $B2))) &gt; 0,$B2 &amp; "(" &amp; $C2 &amp; ")",$B2)))), "  ", TRIM(IF($S2 = "YES", "(External ID)", "") &amp; " " &amp; IF(SUMPRODUCT(-- ISNUMBER(SEARCH({"Unique","Unique Case Insensitive"}, $R2))) &gt; 0, "(" &amp; $R2 &amp; ")", ""))))</f>
        <v>Master-Detail(Account)</v>
      </c>
      <c r="E2" s="7" t="s">
        <v>5</v>
      </c>
      <c r="F2" s="7" t="s">
        <v>136</v>
      </c>
      <c r="G2" s="7" t="s">
        <v>559</v>
      </c>
      <c r="H2" s="7" t="s">
        <v>195</v>
      </c>
      <c r="I2" s="7" t="s">
        <v>195</v>
      </c>
      <c r="J2" s="7" t="s">
        <v>195</v>
      </c>
      <c r="K2" s="7" t="s">
        <v>195</v>
      </c>
      <c r="L2" s="7" t="s">
        <v>195</v>
      </c>
      <c r="M2" s="7" t="s">
        <v>28</v>
      </c>
      <c r="N2" s="7" t="s">
        <v>29</v>
      </c>
      <c r="O2" s="7" t="s">
        <v>29</v>
      </c>
      <c r="P2" s="7" t="s">
        <v>29</v>
      </c>
      <c r="Q2" s="7" t="s">
        <v>29</v>
      </c>
      <c r="R2" s="7" t="s">
        <v>29</v>
      </c>
      <c r="S2" s="7" t="s">
        <v>29</v>
      </c>
    </row>
    <row r="3" spans="1:19">
      <c r="A3" s="7" t="s">
        <v>9</v>
      </c>
      <c r="B3" s="7" t="s">
        <v>1218</v>
      </c>
      <c r="C3" s="8">
        <v>50</v>
      </c>
      <c r="D3" s="5" t="str">
        <f>LRTRIM(CONCATENATE(IF(SUMPRODUCT(-- ISNUMBER(SEARCH({"Auto Number"}, $B3))) &gt; 0, $B3, IF(SUMPRODUCT(-- ISNUMBER(SEARCH({"Lookup","Master-Detail"}, $B3))) &gt; 0,$B3 &amp; "(" &amp; $E3 &amp; ")",IF(SUMPRODUCT(-- ISNUMBER(SEARCH({"Formula","Roll-Up Summary"}, $B3))) &gt; 0,$B3 &amp; " (" &amp; $E3 &amp; ")",IF(SUMPRODUCT(-- ISNUMBER(SEARCH({"Content","Currency","Number","Percent","Text","URL"}, $B3))) &gt; 0,$B3 &amp; "(" &amp; $C3 &amp; ")",$B3)))), "  ", TRIM(IF($S3 = "YES", "(External ID)", "") &amp; " " &amp; IF(SUMPRODUCT(-- ISNUMBER(SEARCH({"Unique","Unique Case Insensitive"}, $R3))) &gt; 0, "(" &amp; $R3 &amp; ")", ""))))</f>
        <v>Text(50)</v>
      </c>
      <c r="E3" s="7" t="s">
        <v>195</v>
      </c>
      <c r="F3" s="7" t="s">
        <v>18</v>
      </c>
      <c r="G3" s="7" t="s">
        <v>195</v>
      </c>
      <c r="H3" s="7" t="s">
        <v>195</v>
      </c>
      <c r="I3" s="7" t="s">
        <v>195</v>
      </c>
      <c r="J3" s="7" t="s">
        <v>195</v>
      </c>
      <c r="K3" s="7" t="s">
        <v>195</v>
      </c>
      <c r="L3" s="7" t="s">
        <v>195</v>
      </c>
      <c r="M3" s="7" t="s">
        <v>29</v>
      </c>
      <c r="N3" s="7" t="s">
        <v>29</v>
      </c>
      <c r="O3" s="7" t="s">
        <v>29</v>
      </c>
      <c r="P3" s="7" t="s">
        <v>29</v>
      </c>
      <c r="Q3" s="7" t="s">
        <v>29</v>
      </c>
      <c r="R3" s="7" t="s">
        <v>29</v>
      </c>
      <c r="S3" s="7" t="s">
        <v>29</v>
      </c>
    </row>
    <row r="4" spans="1:19">
      <c r="A4" s="7" t="s">
        <v>1358</v>
      </c>
      <c r="B4" s="7" t="s">
        <v>1215</v>
      </c>
      <c r="C4" s="8" t="s">
        <v>195</v>
      </c>
      <c r="D4" s="5" t="str">
        <f>LRTRIM(CONCATENATE(IF(SUMPRODUCT(-- ISNUMBER(SEARCH({"Auto Number"}, $B4))) &gt; 0, $B4, IF(SUMPRODUCT(-- ISNUMBER(SEARCH({"Lookup","Master-Detail"}, $B4))) &gt; 0,$B4 &amp; "(" &amp; $E4 &amp; ")",IF(SUMPRODUCT(-- ISNUMBER(SEARCH({"Formula","Roll-Up Summary"}, $B4))) &gt; 0,$B4 &amp; " (" &amp; $E4 &amp; ")",IF(SUMPRODUCT(-- ISNUMBER(SEARCH({"Content","Currency","Number","Percent","Text","URL"}, $B4))) &gt; 0,$B4 &amp; "(" &amp; $C4 &amp; ")",$B4)))), "  ", TRIM(IF($S4 = "YES", "(External ID)", "") &amp; " " &amp; IF(SUMPRODUCT(-- ISNUMBER(SEARCH({"Unique","Unique Case Insensitive"}, $R4))) &gt; 0, "(" &amp; $R4 &amp; ")", ""))))</f>
        <v>Picklist</v>
      </c>
      <c r="E4" s="7" t="s">
        <v>195</v>
      </c>
      <c r="F4" s="7" t="s">
        <v>1376</v>
      </c>
      <c r="G4" s="7" t="s">
        <v>1369</v>
      </c>
      <c r="H4" s="7" t="s">
        <v>195</v>
      </c>
      <c r="I4" s="7" t="s">
        <v>1374</v>
      </c>
      <c r="J4" s="7" t="s">
        <v>1372</v>
      </c>
      <c r="K4" s="7" t="s">
        <v>195</v>
      </c>
      <c r="L4" s="7" t="s">
        <v>195</v>
      </c>
      <c r="M4" s="7" t="s">
        <v>29</v>
      </c>
      <c r="N4" s="7" t="s">
        <v>29</v>
      </c>
      <c r="O4" s="7" t="s">
        <v>29</v>
      </c>
      <c r="P4" s="7" t="s">
        <v>29</v>
      </c>
      <c r="Q4" s="7" t="s">
        <v>29</v>
      </c>
      <c r="R4" s="7" t="s">
        <v>29</v>
      </c>
      <c r="S4" s="7" t="s">
        <v>29</v>
      </c>
    </row>
    <row r="5" spans="1:19">
      <c r="A5" s="7" t="s">
        <v>1359</v>
      </c>
      <c r="B5" s="7" t="s">
        <v>1218</v>
      </c>
      <c r="C5" s="8">
        <v>255</v>
      </c>
      <c r="D5" s="5" t="str">
        <f>LRTRIM(CONCATENATE(IF(SUMPRODUCT(-- ISNUMBER(SEARCH({"Auto Number"}, $B5))) &gt; 0, $B5, IF(SUMPRODUCT(-- ISNUMBER(SEARCH({"Lookup","Master-Detail"}, $B5))) &gt; 0,$B5 &amp; "(" &amp; $E5 &amp; ")",IF(SUMPRODUCT(-- ISNUMBER(SEARCH({"Formula","Roll-Up Summary"}, $B5))) &gt; 0,$B5 &amp; " (" &amp; $E5 &amp; ")",IF(SUMPRODUCT(-- ISNUMBER(SEARCH({"Content","Currency","Number","Percent","Text","URL"}, $B5))) &gt; 0,$B5 &amp; "(" &amp; $C5 &amp; ")",$B5)))), "  ", TRIM(IF($S5 = "YES", "(External ID)", "") &amp; " " &amp; IF(SUMPRODUCT(-- ISNUMBER(SEARCH({"Unique","Unique Case Insensitive"}, $R5))) &gt; 0, "(" &amp; $R5 &amp; ")", ""))))</f>
        <v>Text(255)  (External ID) (Unique Case Insensitive)</v>
      </c>
      <c r="E5" s="7" t="s">
        <v>195</v>
      </c>
      <c r="F5" s="7" t="s">
        <v>1363</v>
      </c>
      <c r="G5" s="7" t="s">
        <v>195</v>
      </c>
      <c r="H5" s="7" t="s">
        <v>195</v>
      </c>
      <c r="I5" s="7" t="s">
        <v>195</v>
      </c>
      <c r="J5" s="7" t="s">
        <v>195</v>
      </c>
      <c r="K5" s="7" t="s">
        <v>195</v>
      </c>
      <c r="L5" s="7" t="s">
        <v>195</v>
      </c>
      <c r="M5" s="7" t="s">
        <v>29</v>
      </c>
      <c r="N5" s="7" t="s">
        <v>29</v>
      </c>
      <c r="O5" s="7" t="s">
        <v>29</v>
      </c>
      <c r="P5" s="7" t="s">
        <v>29</v>
      </c>
      <c r="Q5" s="7" t="s">
        <v>29</v>
      </c>
      <c r="R5" s="7" t="s">
        <v>1271</v>
      </c>
      <c r="S5" s="7" t="s">
        <v>28</v>
      </c>
    </row>
    <row r="6" spans="1:19">
      <c r="A6" s="7" t="s">
        <v>1377</v>
      </c>
      <c r="B6" s="7" t="s">
        <v>1215</v>
      </c>
      <c r="C6" s="8" t="s">
        <v>195</v>
      </c>
      <c r="D6" s="5" t="str">
        <f>LRTRIM(CONCATENATE(IF(SUMPRODUCT(-- ISNUMBER(SEARCH({"Auto Number"}, $B6))) &gt; 0, $B6, IF(SUMPRODUCT(-- ISNUMBER(SEARCH({"Lookup","Master-Detail"}, $B6))) &gt; 0,$B6 &amp; "(" &amp; $E6 &amp; ")",IF(SUMPRODUCT(-- ISNUMBER(SEARCH({"Formula","Roll-Up Summary"}, $B6))) &gt; 0,$B6 &amp; " (" &amp; $E6 &amp; ")",IF(SUMPRODUCT(-- ISNUMBER(SEARCH({"Content","Currency","Number","Percent","Text","URL"}, $B6))) &gt; 0,$B6 &amp; "(" &amp; $C6 &amp; ")",$B6)))), "  ", TRIM(IF($S6 = "YES", "(External ID)", "") &amp; " " &amp; IF(SUMPRODUCT(-- ISNUMBER(SEARCH({"Unique","Unique Case Insensitive"}, $R6))) &gt; 0, "(" &amp; $R6 &amp; ")", ""))))</f>
        <v>Picklist</v>
      </c>
      <c r="E6" s="7" t="s">
        <v>195</v>
      </c>
      <c r="F6" s="7" t="s">
        <v>1364</v>
      </c>
      <c r="G6" s="7" t="s">
        <v>1368</v>
      </c>
      <c r="H6" s="7" t="s">
        <v>195</v>
      </c>
      <c r="I6" s="7" t="s">
        <v>1481</v>
      </c>
      <c r="J6" s="7" t="s">
        <v>195</v>
      </c>
      <c r="K6" s="7" t="s">
        <v>195</v>
      </c>
      <c r="L6" s="7" t="s">
        <v>195</v>
      </c>
      <c r="M6" s="7" t="s">
        <v>29</v>
      </c>
      <c r="N6" s="7" t="s">
        <v>29</v>
      </c>
      <c r="O6" s="7" t="s">
        <v>29</v>
      </c>
      <c r="P6" s="7" t="s">
        <v>29</v>
      </c>
      <c r="Q6" s="7" t="s">
        <v>29</v>
      </c>
      <c r="R6" s="7" t="s">
        <v>29</v>
      </c>
      <c r="S6" s="7" t="s">
        <v>29</v>
      </c>
    </row>
    <row r="7" spans="1:19">
      <c r="A7" s="7" t="s">
        <v>1360</v>
      </c>
      <c r="B7" s="7" t="s">
        <v>1215</v>
      </c>
      <c r="C7" s="8" t="s">
        <v>195</v>
      </c>
      <c r="D7" s="5" t="str">
        <f>LRTRIM(CONCATENATE(IF(SUMPRODUCT(-- ISNUMBER(SEARCH({"Auto Number"}, $B7))) &gt; 0, $B7, IF(SUMPRODUCT(-- ISNUMBER(SEARCH({"Lookup","Master-Detail"}, $B7))) &gt; 0,$B7 &amp; "(" &amp; $E7 &amp; ")",IF(SUMPRODUCT(-- ISNUMBER(SEARCH({"Formula","Roll-Up Summary"}, $B7))) &gt; 0,$B7 &amp; " (" &amp; $E7 &amp; ")",IF(SUMPRODUCT(-- ISNUMBER(SEARCH({"Content","Currency","Number","Percent","Text","URL"}, $B7))) &gt; 0,$B7 &amp; "(" &amp; $C7 &amp; ")",$B7)))), "  ", TRIM(IF($S7 = "YES", "(External ID)", "") &amp; " " &amp; IF(SUMPRODUCT(-- ISNUMBER(SEARCH({"Unique","Unique Case Insensitive"}, $R7))) &gt; 0, "(" &amp; $R7 &amp; ")", ""))))</f>
        <v>Picklist</v>
      </c>
      <c r="E7" s="7" t="s">
        <v>195</v>
      </c>
      <c r="F7" s="7" t="s">
        <v>1367</v>
      </c>
      <c r="G7" s="7" t="s">
        <v>1370</v>
      </c>
      <c r="H7" s="7" t="s">
        <v>195</v>
      </c>
      <c r="I7" s="7" t="s">
        <v>1378</v>
      </c>
      <c r="J7" s="7" t="s">
        <v>1373</v>
      </c>
      <c r="K7" s="7" t="s">
        <v>195</v>
      </c>
      <c r="L7" s="7" t="s">
        <v>195</v>
      </c>
      <c r="M7" s="7" t="s">
        <v>29</v>
      </c>
      <c r="N7" s="7" t="s">
        <v>29</v>
      </c>
      <c r="O7" s="7" t="s">
        <v>29</v>
      </c>
      <c r="P7" s="7" t="s">
        <v>29</v>
      </c>
      <c r="Q7" s="7" t="s">
        <v>29</v>
      </c>
      <c r="R7" s="7" t="s">
        <v>29</v>
      </c>
      <c r="S7" s="7" t="s">
        <v>29</v>
      </c>
    </row>
    <row r="8" spans="1:19">
      <c r="A8" s="7" t="s">
        <v>11</v>
      </c>
      <c r="B8" s="7" t="s">
        <v>1218</v>
      </c>
      <c r="C8" s="8">
        <v>200</v>
      </c>
      <c r="D8" s="5" t="str">
        <f>LRTRIM(CONCATENATE(IF(SUMPRODUCT(-- ISNUMBER(SEARCH({"Auto Number"}, $B8))) &gt; 0, $B8, IF(SUMPRODUCT(-- ISNUMBER(SEARCH({"Lookup","Master-Detail"}, $B8))) &gt; 0,$B8 &amp; "(" &amp; $E8 &amp; ")",IF(SUMPRODUCT(-- ISNUMBER(SEARCH({"Formula","Roll-Up Summary"}, $B8))) &gt; 0,$B8 &amp; " (" &amp; $E8 &amp; ")",IF(SUMPRODUCT(-- ISNUMBER(SEARCH({"Content","Currency","Number","Percent","Text","URL"}, $B8))) &gt; 0,$B8 &amp; "(" &amp; $C8 &amp; ")",$B8)))), "  ", TRIM(IF($S8 = "YES", "(External ID)", "") &amp; " " &amp; IF(SUMPRODUCT(-- ISNUMBER(SEARCH({"Unique","Unique Case Insensitive"}, $R8))) &gt; 0, "(" &amp; $R8 &amp; ")", ""))))</f>
        <v>Text(200)</v>
      </c>
      <c r="E8" s="7" t="s">
        <v>195</v>
      </c>
      <c r="F8" s="7" t="s">
        <v>20</v>
      </c>
      <c r="G8" s="7" t="s">
        <v>195</v>
      </c>
      <c r="H8" s="7" t="s">
        <v>195</v>
      </c>
      <c r="I8" s="7" t="s">
        <v>195</v>
      </c>
      <c r="J8" s="7" t="s">
        <v>195</v>
      </c>
      <c r="K8" s="7" t="s">
        <v>195</v>
      </c>
      <c r="L8" s="7" t="s">
        <v>195</v>
      </c>
      <c r="M8" s="7" t="s">
        <v>29</v>
      </c>
      <c r="N8" s="7" t="s">
        <v>29</v>
      </c>
      <c r="O8" s="7" t="s">
        <v>29</v>
      </c>
      <c r="P8" s="7" t="s">
        <v>29</v>
      </c>
      <c r="Q8" s="7" t="s">
        <v>29</v>
      </c>
      <c r="R8" s="7" t="s">
        <v>29</v>
      </c>
      <c r="S8" s="7" t="s">
        <v>29</v>
      </c>
    </row>
    <row r="9" spans="1:19">
      <c r="A9" s="7" t="s">
        <v>13</v>
      </c>
      <c r="B9" s="7" t="s">
        <v>1218</v>
      </c>
      <c r="C9" s="8">
        <v>10</v>
      </c>
      <c r="D9" s="5" t="str">
        <f>LRTRIM(CONCATENATE(IF(SUMPRODUCT(-- ISNUMBER(SEARCH({"Auto Number"}, $B9))) &gt; 0, $B9, IF(SUMPRODUCT(-- ISNUMBER(SEARCH({"Lookup","Master-Detail"}, $B9))) &gt; 0,$B9 &amp; "(" &amp; $E9 &amp; ")",IF(SUMPRODUCT(-- ISNUMBER(SEARCH({"Formula","Roll-Up Summary"}, $B9))) &gt; 0,$B9 &amp; " (" &amp; $E9 &amp; ")",IF(SUMPRODUCT(-- ISNUMBER(SEARCH({"Content","Currency","Number","Percent","Text","URL"}, $B9))) &gt; 0,$B9 &amp; "(" &amp; $C9 &amp; ")",$B9)))), "  ", TRIM(IF($S9 = "YES", "(External ID)", "") &amp; " " &amp; IF(SUMPRODUCT(-- ISNUMBER(SEARCH({"Unique","Unique Case Insensitive"}, $R9))) &gt; 0, "(" &amp; $R9 &amp; ")", ""))))</f>
        <v>Text(10)</v>
      </c>
      <c r="E9" s="7" t="s">
        <v>195</v>
      </c>
      <c r="F9" s="7" t="s">
        <v>24</v>
      </c>
      <c r="G9" s="7" t="s">
        <v>195</v>
      </c>
      <c r="H9" s="7" t="s">
        <v>195</v>
      </c>
      <c r="I9" s="7" t="s">
        <v>195</v>
      </c>
      <c r="J9" s="7" t="s">
        <v>195</v>
      </c>
      <c r="K9" s="7" t="s">
        <v>195</v>
      </c>
      <c r="L9" s="7" t="s">
        <v>195</v>
      </c>
      <c r="M9" s="7" t="s">
        <v>29</v>
      </c>
      <c r="N9" s="7" t="s">
        <v>29</v>
      </c>
      <c r="O9" s="7" t="s">
        <v>29</v>
      </c>
      <c r="P9" s="7" t="s">
        <v>29</v>
      </c>
      <c r="Q9" s="7" t="s">
        <v>29</v>
      </c>
      <c r="R9" s="7" t="s">
        <v>29</v>
      </c>
      <c r="S9" s="7" t="s">
        <v>29</v>
      </c>
    </row>
    <row r="10" spans="1:19">
      <c r="A10" s="7" t="s">
        <v>14</v>
      </c>
      <c r="B10" s="7" t="s">
        <v>1204</v>
      </c>
      <c r="C10" s="8" t="s">
        <v>195</v>
      </c>
      <c r="D10" s="5" t="str">
        <f>LRTRIM(CONCATENATE(IF(SUMPRODUCT(-- ISNUMBER(SEARCH({"Auto Number"}, $B10))) &gt; 0, $B10, IF(SUMPRODUCT(-- ISNUMBER(SEARCH({"Lookup","Master-Detail"}, $B10))) &gt; 0,$B10 &amp; "(" &amp; $E10 &amp; ")",IF(SUMPRODUCT(-- ISNUMBER(SEARCH({"Formula","Roll-Up Summary"}, $B10))) &gt; 0,$B10 &amp; " (" &amp; $E10 &amp; ")",IF(SUMPRODUCT(-- ISNUMBER(SEARCH({"Content","Currency","Number","Percent","Text","URL"}, $B10))) &gt; 0,$B10 &amp; "(" &amp; $C10 &amp; ")",$B10)))), "  ", TRIM(IF($S10 = "YES", "(External ID)", "") &amp; " " &amp; IF(SUMPRODUCT(-- ISNUMBER(SEARCH({"Unique","Unique Case Insensitive"}, $R10))) &gt; 0, "(" &amp; $R10 &amp; ")", ""))))</f>
        <v>Checkbox</v>
      </c>
      <c r="E10" s="7" t="s">
        <v>195</v>
      </c>
      <c r="F10" s="7" t="s">
        <v>25</v>
      </c>
      <c r="G10" s="7" t="s">
        <v>195</v>
      </c>
      <c r="H10" s="7" t="s">
        <v>195</v>
      </c>
      <c r="I10" s="7" t="s">
        <v>195</v>
      </c>
      <c r="J10" s="7" t="s">
        <v>195</v>
      </c>
      <c r="K10" s="7" t="s">
        <v>195</v>
      </c>
      <c r="L10" s="7" t="s">
        <v>195</v>
      </c>
      <c r="M10" s="7" t="s">
        <v>28</v>
      </c>
      <c r="N10" s="7" t="s">
        <v>29</v>
      </c>
      <c r="O10" s="7" t="s">
        <v>29</v>
      </c>
      <c r="P10" s="7" t="s">
        <v>29</v>
      </c>
      <c r="Q10" s="7" t="s">
        <v>29</v>
      </c>
      <c r="R10" s="7" t="s">
        <v>29</v>
      </c>
      <c r="S10" s="7" t="s">
        <v>29</v>
      </c>
    </row>
    <row r="11" spans="1:19">
      <c r="A11" s="7" t="s">
        <v>2</v>
      </c>
      <c r="B11" s="7" t="s">
        <v>1379</v>
      </c>
      <c r="C11" s="8" t="s">
        <v>195</v>
      </c>
      <c r="D11" s="5" t="str">
        <f>LRTRIM(CONCATENATE(IF(SUMPRODUCT(-- ISNUMBER(SEARCH({"Auto Number"}, $B11))) &gt; 0, $B11, IF(SUMPRODUCT(-- ISNUMBER(SEARCH({"Lookup","Master-Detail"}, $B11))) &gt; 0,$B11 &amp; "(" &amp; $E11 &amp; ")",IF(SUMPRODUCT(-- ISNUMBER(SEARCH({"Formula","Roll-Up Summary"}, $B11))) &gt; 0,$B11 &amp; " (" &amp; $E11 &amp; ")",IF(SUMPRODUCT(-- ISNUMBER(SEARCH({"Content","Currency","Number","Percent","Text","URL"}, $B11))) &gt; 0,$B11 &amp; "(" &amp; $C11 &amp; ")",$B11)))), "  ", TRIM(IF($S11 = "YES", "(External ID)", "") &amp; " " &amp; IF(SUMPRODUCT(-- ISNUMBER(SEARCH({"Unique","Unique Case Insensitive"}, $R11))) &gt; 0, "(" &amp; $R11 &amp; ")", ""))))</f>
        <v>Auto Number</v>
      </c>
      <c r="E11" s="7" t="s">
        <v>195</v>
      </c>
      <c r="F11" s="7" t="s">
        <v>1364</v>
      </c>
      <c r="G11" s="7" t="s">
        <v>195</v>
      </c>
      <c r="H11" s="7" t="s">
        <v>195</v>
      </c>
      <c r="I11" s="7" t="s">
        <v>195</v>
      </c>
      <c r="J11" s="7" t="s">
        <v>195</v>
      </c>
      <c r="K11" s="7" t="s">
        <v>195</v>
      </c>
      <c r="L11" s="7" t="s">
        <v>195</v>
      </c>
      <c r="M11" s="7" t="s">
        <v>28</v>
      </c>
      <c r="N11" s="7" t="s">
        <v>29</v>
      </c>
      <c r="O11" s="7" t="s">
        <v>29</v>
      </c>
      <c r="P11" s="7" t="s">
        <v>29</v>
      </c>
      <c r="Q11" s="7" t="s">
        <v>29</v>
      </c>
      <c r="R11" s="7" t="s">
        <v>29</v>
      </c>
      <c r="S11" s="7" t="s">
        <v>29</v>
      </c>
    </row>
    <row r="12" spans="1:19">
      <c r="A12" s="7" t="s">
        <v>1361</v>
      </c>
      <c r="B12" s="7" t="s">
        <v>1218</v>
      </c>
      <c r="C12" s="8">
        <v>255</v>
      </c>
      <c r="D12" s="5" t="str">
        <f>LRTRIM(CONCATENATE(IF(SUMPRODUCT(-- ISNUMBER(SEARCH({"Auto Number"}, $B12))) &gt; 0, $B12, IF(SUMPRODUCT(-- ISNUMBER(SEARCH({"Lookup","Master-Detail"}, $B12))) &gt; 0,$B12 &amp; "(" &amp; $E12 &amp; ")",IF(SUMPRODUCT(-- ISNUMBER(SEARCH({"Formula","Roll-Up Summary"}, $B12))) &gt; 0,$B12 &amp; " (" &amp; $E12 &amp; ")",IF(SUMPRODUCT(-- ISNUMBER(SEARCH({"Content","Currency","Number","Percent","Text","URL"}, $B12))) &gt; 0,$B12 &amp; "(" &amp; $C12 &amp; ")",$B12)))), "  ", TRIM(IF($S12 = "YES", "(External ID)", "") &amp; " " &amp; IF(SUMPRODUCT(-- ISNUMBER(SEARCH({"Unique","Unique Case Insensitive"}, $R12))) &gt; 0, "(" &amp; $R12 &amp; ")", ""))))</f>
        <v>Text(255)  (Unique Case Sensitive)</v>
      </c>
      <c r="E12" s="7" t="s">
        <v>195</v>
      </c>
      <c r="F12" s="7" t="s">
        <v>1365</v>
      </c>
      <c r="G12" s="7" t="s">
        <v>195</v>
      </c>
      <c r="H12" s="7" t="s">
        <v>195</v>
      </c>
      <c r="I12" s="7" t="s">
        <v>195</v>
      </c>
      <c r="J12" s="7" t="s">
        <v>195</v>
      </c>
      <c r="K12" s="7" t="s">
        <v>195</v>
      </c>
      <c r="L12" s="7" t="s">
        <v>195</v>
      </c>
      <c r="M12" s="7" t="s">
        <v>29</v>
      </c>
      <c r="N12" s="7" t="s">
        <v>29</v>
      </c>
      <c r="O12" s="7" t="s">
        <v>29</v>
      </c>
      <c r="P12" s="7" t="s">
        <v>29</v>
      </c>
      <c r="Q12" s="7" t="s">
        <v>29</v>
      </c>
      <c r="R12" s="7" t="s">
        <v>1329</v>
      </c>
      <c r="S12" s="7" t="s">
        <v>29</v>
      </c>
    </row>
    <row r="13" spans="1:19">
      <c r="A13" s="7" t="s">
        <v>1362</v>
      </c>
      <c r="B13" s="7" t="s">
        <v>1216</v>
      </c>
      <c r="C13" s="8" t="s">
        <v>195</v>
      </c>
      <c r="D13" s="5" t="str">
        <f>LRTRIM(CONCATENATE(IF(SUMPRODUCT(-- ISNUMBER(SEARCH({"Auto Number"}, $B13))) &gt; 0, $B13, IF(SUMPRODUCT(-- ISNUMBER(SEARCH({"Lookup","Master-Detail"}, $B13))) &gt; 0,$B13 &amp; "(" &amp; $E13 &amp; ")",IF(SUMPRODUCT(-- ISNUMBER(SEARCH({"Formula","Roll-Up Summary"}, $B13))) &gt; 0,$B13 &amp; " (" &amp; $E13 &amp; ")",IF(SUMPRODUCT(-- ISNUMBER(SEARCH({"Content","Currency","Number","Percent","Text","URL"}, $B13))) &gt; 0,$B13 &amp; "(" &amp; $C13 &amp; ")",$B13)))), "  ", TRIM(IF($S13 = "YES", "(External ID)", "") &amp; " " &amp; IF(SUMPRODUCT(-- ISNUMBER(SEARCH({"Unique","Unique Case Insensitive"}, $R13))) &gt; 0, "(" &amp; $R13 &amp; ")", ""))))</f>
        <v>Picklist (Multi-Select)</v>
      </c>
      <c r="E13" s="7" t="s">
        <v>195</v>
      </c>
      <c r="F13" s="7" t="s">
        <v>1366</v>
      </c>
      <c r="G13" s="7" t="s">
        <v>1371</v>
      </c>
      <c r="H13" s="7" t="s">
        <v>195</v>
      </c>
      <c r="I13" s="7" t="s">
        <v>1375</v>
      </c>
      <c r="J13" s="7" t="s">
        <v>1480</v>
      </c>
      <c r="K13" s="7" t="s">
        <v>195</v>
      </c>
      <c r="L13" s="7" t="s">
        <v>195</v>
      </c>
      <c r="M13" s="7" t="s">
        <v>29</v>
      </c>
      <c r="N13" s="7" t="s">
        <v>29</v>
      </c>
      <c r="O13" s="7" t="s">
        <v>29</v>
      </c>
      <c r="P13" s="7" t="s">
        <v>29</v>
      </c>
      <c r="Q13" s="7" t="s">
        <v>29</v>
      </c>
      <c r="R13" s="7" t="s">
        <v>29</v>
      </c>
      <c r="S13" s="7" t="s">
        <v>29</v>
      </c>
    </row>
    <row r="14" spans="1:19">
      <c r="A14" s="7" t="s">
        <v>36</v>
      </c>
      <c r="B14" s="7" t="s">
        <v>195</v>
      </c>
      <c r="C14" s="8" t="s">
        <v>195</v>
      </c>
      <c r="D14" s="5" t="str">
        <f>LRTRIM(CONCATENATE(IF(SUMPRODUCT(-- ISNUMBER(SEARCH({"Auto Number"}, $B14))) &gt; 0, $B14, IF(SUMPRODUCT(-- ISNUMBER(SEARCH({"Lookup","Master-Detail"}, $B14))) &gt; 0,$B14 &amp; "(" &amp; $E14 &amp; ")",IF(SUMPRODUCT(-- ISNUMBER(SEARCH({"Formula","Roll-Up Summary"}, $B14))) &gt; 0,$B14 &amp; " (" &amp; $E14 &amp; ")",IF(SUMPRODUCT(-- ISNUMBER(SEARCH({"Content","Currency","Number","Percent","Text","URL"}, $B14))) &gt; 0,$B14 &amp; "(" &amp; $C14 &amp; ")",$B14)))), "  ", TRIM(IF($S14 = "YES", "(External ID)", "") &amp; " " &amp; IF(SUMPRODUCT(-- ISNUMBER(SEARCH({"Unique","Unique Case Insensitive"}, $R14))) &gt; 0, "(" &amp; $R14 &amp; ")", ""))))</f>
        <v>na</v>
      </c>
      <c r="E14" s="7" t="s">
        <v>195</v>
      </c>
      <c r="F14" s="7" t="s">
        <v>195</v>
      </c>
      <c r="G14" s="7" t="s">
        <v>195</v>
      </c>
      <c r="H14" s="7" t="s">
        <v>195</v>
      </c>
      <c r="I14" s="7" t="s">
        <v>195</v>
      </c>
      <c r="J14" s="7" t="s">
        <v>195</v>
      </c>
      <c r="K14" s="7" t="s">
        <v>195</v>
      </c>
      <c r="L14" s="7" t="s">
        <v>195</v>
      </c>
      <c r="M14" s="7" t="s">
        <v>28</v>
      </c>
      <c r="N14" s="7" t="s">
        <v>29</v>
      </c>
      <c r="O14" s="7" t="s">
        <v>29</v>
      </c>
      <c r="P14" s="7" t="s">
        <v>29</v>
      </c>
      <c r="Q14" s="7" t="s">
        <v>29</v>
      </c>
      <c r="R14" s="7" t="s">
        <v>29</v>
      </c>
      <c r="S14" s="7" t="s">
        <v>29</v>
      </c>
    </row>
    <row r="15" spans="1:19">
      <c r="A15" s="7" t="s">
        <v>35</v>
      </c>
      <c r="B15" s="7" t="s">
        <v>195</v>
      </c>
      <c r="C15" s="8" t="s">
        <v>195</v>
      </c>
      <c r="D15" s="5" t="str">
        <f>LRTRIM(CONCATENATE(IF(SUMPRODUCT(-- ISNUMBER(SEARCH({"Auto Number"}, $B15))) &gt; 0, $B15, IF(SUMPRODUCT(-- ISNUMBER(SEARCH({"Lookup","Master-Detail"}, $B15))) &gt; 0,$B15 &amp; "(" &amp; $E15 &amp; ")",IF(SUMPRODUCT(-- ISNUMBER(SEARCH({"Formula","Roll-Up Summary"}, $B15))) &gt; 0,$B15 &amp; " (" &amp; $E15 &amp; ")",IF(SUMPRODUCT(-- ISNUMBER(SEARCH({"Content","Currency","Number","Percent","Text","URL"}, $B15))) &gt; 0,$B15 &amp; "(" &amp; $C15 &amp; ")",$B15)))), "  ", TRIM(IF($S15 = "YES", "(External ID)", "") &amp; " " &amp; IF(SUMPRODUCT(-- ISNUMBER(SEARCH({"Unique","Unique Case Insensitive"}, $R15))) &gt; 0, "(" &amp; $R15 &amp; ")", ""))))</f>
        <v>na</v>
      </c>
      <c r="E15" s="7" t="s">
        <v>195</v>
      </c>
      <c r="F15" s="7" t="s">
        <v>195</v>
      </c>
      <c r="G15" s="7" t="s">
        <v>195</v>
      </c>
      <c r="H15" s="7" t="s">
        <v>195</v>
      </c>
      <c r="I15" s="7" t="s">
        <v>195</v>
      </c>
      <c r="J15" s="7" t="s">
        <v>195</v>
      </c>
      <c r="K15" s="7" t="s">
        <v>195</v>
      </c>
      <c r="L15" s="7" t="s">
        <v>195</v>
      </c>
      <c r="M15" s="7" t="s">
        <v>28</v>
      </c>
      <c r="N15" s="7" t="s">
        <v>29</v>
      </c>
      <c r="O15" s="7" t="s">
        <v>29</v>
      </c>
      <c r="P15" s="7" t="s">
        <v>29</v>
      </c>
      <c r="Q15" s="7" t="s">
        <v>29</v>
      </c>
      <c r="R15" s="7" t="s">
        <v>29</v>
      </c>
      <c r="S15" s="7" t="s">
        <v>29</v>
      </c>
    </row>
    <row r="16" spans="1:19">
      <c r="A16" s="7" t="s">
        <v>34</v>
      </c>
      <c r="B16" s="7" t="s">
        <v>195</v>
      </c>
      <c r="C16" s="8" t="s">
        <v>195</v>
      </c>
      <c r="D16" s="5" t="str">
        <f>LRTRIM(CONCATENATE(IF(SUMPRODUCT(-- ISNUMBER(SEARCH({"Auto Number"}, $B16))) &gt; 0, $B16, IF(SUMPRODUCT(-- ISNUMBER(SEARCH({"Lookup","Master-Detail"}, $B16))) &gt; 0,$B16 &amp; "(" &amp; $E16 &amp; ")",IF(SUMPRODUCT(-- ISNUMBER(SEARCH({"Formula","Roll-Up Summary"}, $B16))) &gt; 0,$B16 &amp; " (" &amp; $E16 &amp; ")",IF(SUMPRODUCT(-- ISNUMBER(SEARCH({"Content","Currency","Number","Percent","Text","URL"}, $B16))) &gt; 0,$B16 &amp; "(" &amp; $C16 &amp; ")",$B16)))), "  ", TRIM(IF($S16 = "YES", "(External ID)", "") &amp; " " &amp; IF(SUMPRODUCT(-- ISNUMBER(SEARCH({"Unique","Unique Case Insensitive"}, $R16))) &gt; 0, "(" &amp; $R16 &amp; ")", ""))))</f>
        <v>na</v>
      </c>
      <c r="E16" s="7" t="s">
        <v>195</v>
      </c>
      <c r="F16" s="7" t="s">
        <v>195</v>
      </c>
      <c r="G16" s="7" t="s">
        <v>195</v>
      </c>
      <c r="H16" s="7" t="s">
        <v>195</v>
      </c>
      <c r="I16" s="7" t="s">
        <v>195</v>
      </c>
      <c r="J16" s="7" t="s">
        <v>195</v>
      </c>
      <c r="K16" s="7" t="s">
        <v>195</v>
      </c>
      <c r="L16" s="7" t="s">
        <v>195</v>
      </c>
      <c r="M16" s="7" t="s">
        <v>28</v>
      </c>
      <c r="N16" s="7" t="s">
        <v>29</v>
      </c>
      <c r="O16" s="7" t="s">
        <v>29</v>
      </c>
      <c r="P16" s="7" t="s">
        <v>29</v>
      </c>
      <c r="Q16" s="7" t="s">
        <v>29</v>
      </c>
      <c r="R16" s="7" t="s">
        <v>29</v>
      </c>
      <c r="S16" s="7" t="s">
        <v>29</v>
      </c>
    </row>
    <row r="17" spans="1:19">
      <c r="A17" s="7" t="s">
        <v>38</v>
      </c>
      <c r="B17" s="7" t="s">
        <v>195</v>
      </c>
      <c r="C17" s="8" t="s">
        <v>195</v>
      </c>
      <c r="D17" s="5" t="str">
        <f>LRTRIM(CONCATENATE(IF(SUMPRODUCT(-- ISNUMBER(SEARCH({"Auto Number"}, $B17))) &gt; 0, $B17, IF(SUMPRODUCT(-- ISNUMBER(SEARCH({"Lookup","Master-Detail"}, $B17))) &gt; 0,$B17 &amp; "(" &amp; $E17 &amp; ")",IF(SUMPRODUCT(-- ISNUMBER(SEARCH({"Formula","Roll-Up Summary"}, $B17))) &gt; 0,$B17 &amp; " (" &amp; $E17 &amp; ")",IF(SUMPRODUCT(-- ISNUMBER(SEARCH({"Content","Currency","Number","Percent","Text","URL"}, $B17))) &gt; 0,$B17 &amp; "(" &amp; $C17 &amp; ")",$B17)))), "  ", TRIM(IF($S17 = "YES", "(External ID)", "") &amp; " " &amp; IF(SUMPRODUCT(-- ISNUMBER(SEARCH({"Unique","Unique Case Insensitive"}, $R17))) &gt; 0, "(" &amp; $R17 &amp; ")", ""))))</f>
        <v>na</v>
      </c>
      <c r="E17" s="7" t="s">
        <v>195</v>
      </c>
      <c r="F17" s="7" t="s">
        <v>195</v>
      </c>
      <c r="G17" s="7" t="s">
        <v>195</v>
      </c>
      <c r="H17" s="7" t="s">
        <v>195</v>
      </c>
      <c r="I17" s="7" t="s">
        <v>195</v>
      </c>
      <c r="J17" s="7" t="s">
        <v>195</v>
      </c>
      <c r="K17" s="7" t="s">
        <v>195</v>
      </c>
      <c r="L17" s="7" t="s">
        <v>195</v>
      </c>
      <c r="M17" s="7" t="s">
        <v>28</v>
      </c>
      <c r="N17" s="7" t="s">
        <v>29</v>
      </c>
      <c r="O17" s="7" t="s">
        <v>29</v>
      </c>
      <c r="P17" s="7" t="s">
        <v>29</v>
      </c>
      <c r="Q17" s="7" t="s">
        <v>29</v>
      </c>
      <c r="R17" s="7" t="s">
        <v>29</v>
      </c>
      <c r="S17" s="7" t="s">
        <v>29</v>
      </c>
    </row>
    <row r="18" spans="1:19">
      <c r="A18" s="7" t="s">
        <v>37</v>
      </c>
      <c r="B18" s="7" t="s">
        <v>195</v>
      </c>
      <c r="C18" s="8" t="s">
        <v>195</v>
      </c>
      <c r="D18" s="5" t="str">
        <f>LRTRIM(CONCATENATE(IF(SUMPRODUCT(-- ISNUMBER(SEARCH({"Auto Number"}, $B18))) &gt; 0, $B18, IF(SUMPRODUCT(-- ISNUMBER(SEARCH({"Lookup","Master-Detail"}, $B18))) &gt; 0,$B18 &amp; "(" &amp; $E18 &amp; ")",IF(SUMPRODUCT(-- ISNUMBER(SEARCH({"Formula","Roll-Up Summary"}, $B18))) &gt; 0,$B18 &amp; " (" &amp; $E18 &amp; ")",IF(SUMPRODUCT(-- ISNUMBER(SEARCH({"Content","Currency","Number","Percent","Text","URL"}, $B18))) &gt; 0,$B18 &amp; "(" &amp; $C18 &amp; ")",$B18)))), "  ", TRIM(IF($S18 = "YES", "(External ID)", "") &amp; " " &amp; IF(SUMPRODUCT(-- ISNUMBER(SEARCH({"Unique","Unique Case Insensitive"}, $R18))) &gt; 0, "(" &amp; $R18 &amp; ")", ""))))</f>
        <v>na</v>
      </c>
      <c r="E18" s="7" t="s">
        <v>195</v>
      </c>
      <c r="F18" s="7" t="s">
        <v>195</v>
      </c>
      <c r="G18" s="7" t="s">
        <v>195</v>
      </c>
      <c r="H18" s="7" t="s">
        <v>195</v>
      </c>
      <c r="I18" s="7" t="s">
        <v>195</v>
      </c>
      <c r="J18" s="7" t="s">
        <v>195</v>
      </c>
      <c r="K18" s="7" t="s">
        <v>195</v>
      </c>
      <c r="L18" s="7" t="s">
        <v>195</v>
      </c>
      <c r="M18" s="7" t="s">
        <v>28</v>
      </c>
      <c r="N18" s="7" t="s">
        <v>29</v>
      </c>
      <c r="O18" s="7" t="s">
        <v>29</v>
      </c>
      <c r="P18" s="7" t="s">
        <v>29</v>
      </c>
      <c r="Q18" s="7" t="s">
        <v>29</v>
      </c>
      <c r="R18" s="7" t="s">
        <v>29</v>
      </c>
      <c r="S18" s="7" t="s">
        <v>29</v>
      </c>
    </row>
    <row r="19" spans="1:19">
      <c r="A19" s="7" t="s">
        <v>39</v>
      </c>
      <c r="B19" s="7" t="s">
        <v>195</v>
      </c>
      <c r="C19" s="8" t="s">
        <v>195</v>
      </c>
      <c r="D19" s="5" t="str">
        <f>LRTRIM(CONCATENATE(IF(SUMPRODUCT(-- ISNUMBER(SEARCH({"Auto Number"}, $B19))) &gt; 0, $B19, IF(SUMPRODUCT(-- ISNUMBER(SEARCH({"Lookup","Master-Detail"}, $B19))) &gt; 0,$B19 &amp; "(" &amp; $E19 &amp; ")",IF(SUMPRODUCT(-- ISNUMBER(SEARCH({"Formula","Roll-Up Summary"}, $B19))) &gt; 0,$B19 &amp; " (" &amp; $E19 &amp; ")",IF(SUMPRODUCT(-- ISNUMBER(SEARCH({"Content","Currency","Number","Percent","Text","URL"}, $B19))) &gt; 0,$B19 &amp; "(" &amp; $C19 &amp; ")",$B19)))), "  ", TRIM(IF($S19 = "YES", "(External ID)", "") &amp; " " &amp; IF(SUMPRODUCT(-- ISNUMBER(SEARCH({"Unique","Unique Case Insensitive"}, $R19))) &gt; 0, "(" &amp; $R19 &amp; ")", ""))))</f>
        <v>na</v>
      </c>
      <c r="E19" s="7" t="s">
        <v>195</v>
      </c>
      <c r="F19" s="7" t="s">
        <v>195</v>
      </c>
      <c r="G19" s="7" t="s">
        <v>195</v>
      </c>
      <c r="H19" s="7" t="s">
        <v>195</v>
      </c>
      <c r="I19" s="7" t="s">
        <v>195</v>
      </c>
      <c r="J19" s="7" t="s">
        <v>195</v>
      </c>
      <c r="K19" s="7" t="s">
        <v>195</v>
      </c>
      <c r="L19" s="7" t="s">
        <v>195</v>
      </c>
      <c r="M19" s="7" t="s">
        <v>28</v>
      </c>
      <c r="N19" s="7" t="s">
        <v>29</v>
      </c>
      <c r="O19" s="7" t="s">
        <v>29</v>
      </c>
      <c r="P19" s="7" t="s">
        <v>29</v>
      </c>
      <c r="Q19" s="7" t="s">
        <v>29</v>
      </c>
      <c r="R19" s="7" t="s">
        <v>29</v>
      </c>
      <c r="S19" s="7" t="s">
        <v>29</v>
      </c>
    </row>
    <row r="20" spans="1:19">
      <c r="B20" s="7" t="s">
        <v>195</v>
      </c>
      <c r="C20" s="8" t="s">
        <v>195</v>
      </c>
      <c r="D20" s="5" t="str">
        <f>LRTRIM(CONCATENATE(IF(SUMPRODUCT(-- ISNUMBER(SEARCH({"Auto Number"}, $B20))) &gt; 0, $B20, IF(SUMPRODUCT(-- ISNUMBER(SEARCH({"Lookup","Master-Detail"}, $B20))) &gt; 0,$B20 &amp; "(" &amp; $E20 &amp; ")",IF(SUMPRODUCT(-- ISNUMBER(SEARCH({"Formula","Roll-Up Summary"}, $B20))) &gt; 0,$B20 &amp; " (" &amp; $E20 &amp; ")",IF(SUMPRODUCT(-- ISNUMBER(SEARCH({"Content","Currency","Number","Percent","Text","URL"}, $B20))) &gt; 0,$B20 &amp; "(" &amp; $C20 &amp; ")",$B20)))), "  ", TRIM(IF($S20 = "YES", "(External ID)", "") &amp; " " &amp; IF(SUMPRODUCT(-- ISNUMBER(SEARCH({"Unique","Unique Case Insensitive"}, $R20))) &gt; 0, "(" &amp; $R20 &amp; ")", ""))))</f>
        <v>na</v>
      </c>
      <c r="E20" s="7" t="s">
        <v>195</v>
      </c>
      <c r="F20" s="7" t="s">
        <v>195</v>
      </c>
      <c r="G20" s="7" t="s">
        <v>195</v>
      </c>
      <c r="H20" s="7" t="s">
        <v>195</v>
      </c>
      <c r="I20" s="7" t="s">
        <v>195</v>
      </c>
      <c r="J20" s="7" t="s">
        <v>195</v>
      </c>
      <c r="K20" s="7" t="s">
        <v>195</v>
      </c>
      <c r="L20" s="7" t="s">
        <v>195</v>
      </c>
      <c r="M20" s="7" t="s">
        <v>29</v>
      </c>
      <c r="N20" s="7" t="s">
        <v>29</v>
      </c>
      <c r="O20" s="7" t="s">
        <v>29</v>
      </c>
      <c r="P20" s="7" t="s">
        <v>29</v>
      </c>
      <c r="Q20" s="7" t="s">
        <v>29</v>
      </c>
      <c r="R20" s="7" t="s">
        <v>29</v>
      </c>
      <c r="S20" s="7" t="s">
        <v>29</v>
      </c>
    </row>
    <row r="21" spans="1:19">
      <c r="B21" s="7" t="s">
        <v>195</v>
      </c>
      <c r="C21" s="8" t="s">
        <v>195</v>
      </c>
      <c r="D21" s="5" t="str">
        <f>LRTRIM(CONCATENATE(IF(SUMPRODUCT(-- ISNUMBER(SEARCH({"Auto Number"}, $B21))) &gt; 0, $B21, IF(SUMPRODUCT(-- ISNUMBER(SEARCH({"Lookup","Master-Detail"}, $B21))) &gt; 0,$B21 &amp; "(" &amp; $E21 &amp; ")",IF(SUMPRODUCT(-- ISNUMBER(SEARCH({"Formula","Roll-Up Summary"}, $B21))) &gt; 0,$B21 &amp; " (" &amp; $E21 &amp; ")",IF(SUMPRODUCT(-- ISNUMBER(SEARCH({"Content","Currency","Number","Percent","Text","URL"}, $B21))) &gt; 0,$B21 &amp; "(" &amp; $C21 &amp; ")",$B21)))), "  ", TRIM(IF($S21 = "YES", "(External ID)", "") &amp; " " &amp; IF(SUMPRODUCT(-- ISNUMBER(SEARCH({"Unique","Unique Case Insensitive"}, $R21))) &gt; 0, "(" &amp; $R21 &amp; ")", ""))))</f>
        <v>na</v>
      </c>
      <c r="E21" s="7" t="s">
        <v>195</v>
      </c>
      <c r="F21" s="7" t="s">
        <v>195</v>
      </c>
      <c r="G21" s="7" t="s">
        <v>195</v>
      </c>
      <c r="H21" s="7" t="s">
        <v>195</v>
      </c>
      <c r="I21" s="7" t="s">
        <v>195</v>
      </c>
      <c r="J21" s="7" t="s">
        <v>195</v>
      </c>
      <c r="K21" s="7" t="s">
        <v>195</v>
      </c>
      <c r="L21" s="7" t="s">
        <v>195</v>
      </c>
      <c r="M21" s="7" t="s">
        <v>29</v>
      </c>
      <c r="N21" s="7" t="s">
        <v>29</v>
      </c>
      <c r="O21" s="7" t="s">
        <v>29</v>
      </c>
      <c r="P21" s="7" t="s">
        <v>29</v>
      </c>
      <c r="Q21" s="7" t="s">
        <v>29</v>
      </c>
      <c r="R21" s="7" t="s">
        <v>29</v>
      </c>
      <c r="S21" s="7" t="s">
        <v>29</v>
      </c>
    </row>
    <row r="22" spans="1:19">
      <c r="B22" s="7" t="s">
        <v>195</v>
      </c>
      <c r="C22" s="8" t="s">
        <v>195</v>
      </c>
      <c r="D22" s="5" t="str">
        <f>LRTRIM(CONCATENATE(IF(SUMPRODUCT(-- ISNUMBER(SEARCH({"Auto Number"}, $B22))) &gt; 0, $B22, IF(SUMPRODUCT(-- ISNUMBER(SEARCH({"Lookup","Master-Detail"}, $B22))) &gt; 0,$B22 &amp; "(" &amp; $E22 &amp; ")",IF(SUMPRODUCT(-- ISNUMBER(SEARCH({"Formula","Roll-Up Summary"}, $B22))) &gt; 0,$B22 &amp; " (" &amp; $E22 &amp; ")",IF(SUMPRODUCT(-- ISNUMBER(SEARCH({"Content","Currency","Number","Percent","Text","URL"}, $B22))) &gt; 0,$B22 &amp; "(" &amp; $C22 &amp; ")",$B22)))), "  ", TRIM(IF($S22 = "YES", "(External ID)", "") &amp; " " &amp; IF(SUMPRODUCT(-- ISNUMBER(SEARCH({"Unique","Unique Case Insensitive"}, $R22))) &gt; 0, "(" &amp; $R22 &amp; ")", ""))))</f>
        <v>na</v>
      </c>
      <c r="E22" s="7" t="s">
        <v>195</v>
      </c>
      <c r="F22" s="7" t="s">
        <v>195</v>
      </c>
      <c r="G22" s="7" t="s">
        <v>195</v>
      </c>
      <c r="H22" s="7" t="s">
        <v>195</v>
      </c>
      <c r="I22" s="7" t="s">
        <v>195</v>
      </c>
      <c r="J22" s="7" t="s">
        <v>195</v>
      </c>
      <c r="K22" s="7" t="s">
        <v>195</v>
      </c>
      <c r="L22" s="7" t="s">
        <v>195</v>
      </c>
      <c r="M22" s="7" t="s">
        <v>29</v>
      </c>
      <c r="N22" s="7" t="s">
        <v>29</v>
      </c>
      <c r="O22" s="7" t="s">
        <v>29</v>
      </c>
      <c r="P22" s="7" t="s">
        <v>29</v>
      </c>
      <c r="Q22" s="7" t="s">
        <v>29</v>
      </c>
      <c r="R22" s="7" t="s">
        <v>29</v>
      </c>
      <c r="S22" s="7" t="s">
        <v>29</v>
      </c>
    </row>
    <row r="23" spans="1:19">
      <c r="B23" s="7" t="s">
        <v>195</v>
      </c>
      <c r="C23" s="8" t="s">
        <v>195</v>
      </c>
      <c r="D23" s="5" t="str">
        <f>LRTRIM(CONCATENATE(IF(SUMPRODUCT(-- ISNUMBER(SEARCH({"Auto Number"}, $B23))) &gt; 0, $B23, IF(SUMPRODUCT(-- ISNUMBER(SEARCH({"Lookup","Master-Detail"}, $B23))) &gt; 0,$B23 &amp; "(" &amp; $E23 &amp; ")",IF(SUMPRODUCT(-- ISNUMBER(SEARCH({"Formula","Roll-Up Summary"}, $B23))) &gt; 0,$B23 &amp; " (" &amp; $E23 &amp; ")",IF(SUMPRODUCT(-- ISNUMBER(SEARCH({"Content","Currency","Number","Percent","Text","URL"}, $B23))) &gt; 0,$B23 &amp; "(" &amp; $C23 &amp; ")",$B23)))), "  ", TRIM(IF($S23 = "YES", "(External ID)", "") &amp; " " &amp; IF(SUMPRODUCT(-- ISNUMBER(SEARCH({"Unique","Unique Case Insensitive"}, $R23))) &gt; 0, "(" &amp; $R23 &amp; ")", ""))))</f>
        <v>na</v>
      </c>
      <c r="E23" s="7" t="s">
        <v>195</v>
      </c>
      <c r="F23" s="7" t="s">
        <v>195</v>
      </c>
      <c r="G23" s="7" t="s">
        <v>195</v>
      </c>
      <c r="H23" s="7" t="s">
        <v>195</v>
      </c>
      <c r="I23" s="7" t="s">
        <v>195</v>
      </c>
      <c r="J23" s="7" t="s">
        <v>195</v>
      </c>
      <c r="K23" s="7" t="s">
        <v>195</v>
      </c>
      <c r="L23" s="7" t="s">
        <v>195</v>
      </c>
      <c r="M23" s="7" t="s">
        <v>29</v>
      </c>
      <c r="N23" s="7" t="s">
        <v>29</v>
      </c>
      <c r="O23" s="7" t="s">
        <v>29</v>
      </c>
      <c r="P23" s="7" t="s">
        <v>29</v>
      </c>
      <c r="Q23" s="7" t="s">
        <v>29</v>
      </c>
      <c r="R23" s="7" t="s">
        <v>29</v>
      </c>
      <c r="S23" s="7" t="s">
        <v>29</v>
      </c>
    </row>
    <row r="24" spans="1:19">
      <c r="B24" s="7" t="s">
        <v>195</v>
      </c>
      <c r="C24" s="8" t="s">
        <v>195</v>
      </c>
      <c r="D24" s="5" t="str">
        <f>LRTRIM(CONCATENATE(IF(SUMPRODUCT(-- ISNUMBER(SEARCH({"Auto Number"}, $B24))) &gt; 0, $B24, IF(SUMPRODUCT(-- ISNUMBER(SEARCH({"Lookup","Master-Detail"}, $B24))) &gt; 0,$B24 &amp; "(" &amp; $E24 &amp; ")",IF(SUMPRODUCT(-- ISNUMBER(SEARCH({"Formula","Roll-Up Summary"}, $B24))) &gt; 0,$B24 &amp; " (" &amp; $E24 &amp; ")",IF(SUMPRODUCT(-- ISNUMBER(SEARCH({"Content","Currency","Number","Percent","Text","URL"}, $B24))) &gt; 0,$B24 &amp; "(" &amp; $C24 &amp; ")",$B24)))), "  ", TRIM(IF($S24 = "YES", "(External ID)", "") &amp; " " &amp; IF(SUMPRODUCT(-- ISNUMBER(SEARCH({"Unique","Unique Case Insensitive"}, $R24))) &gt; 0, "(" &amp; $R24 &amp; ")", ""))))</f>
        <v>na</v>
      </c>
      <c r="E24" s="7" t="s">
        <v>195</v>
      </c>
      <c r="F24" s="7" t="s">
        <v>195</v>
      </c>
      <c r="G24" s="7" t="s">
        <v>195</v>
      </c>
      <c r="H24" s="7" t="s">
        <v>195</v>
      </c>
      <c r="I24" s="7" t="s">
        <v>195</v>
      </c>
      <c r="J24" s="7" t="s">
        <v>195</v>
      </c>
      <c r="K24" s="7" t="s">
        <v>195</v>
      </c>
      <c r="L24" s="7" t="s">
        <v>195</v>
      </c>
      <c r="M24" s="7" t="s">
        <v>29</v>
      </c>
      <c r="N24" s="7" t="s">
        <v>29</v>
      </c>
      <c r="O24" s="7" t="s">
        <v>29</v>
      </c>
      <c r="P24" s="7" t="s">
        <v>29</v>
      </c>
      <c r="Q24" s="7" t="s">
        <v>29</v>
      </c>
      <c r="R24" s="7" t="s">
        <v>29</v>
      </c>
      <c r="S24" s="7" t="s">
        <v>29</v>
      </c>
    </row>
    <row r="25" spans="1:19">
      <c r="B25" s="7" t="s">
        <v>195</v>
      </c>
      <c r="C25" s="8" t="s">
        <v>195</v>
      </c>
      <c r="D25" s="5" t="str">
        <f>LRTRIM(CONCATENATE(IF(SUMPRODUCT(-- ISNUMBER(SEARCH({"Auto Number"}, $B25))) &gt; 0, $B25, IF(SUMPRODUCT(-- ISNUMBER(SEARCH({"Lookup","Master-Detail"}, $B25))) &gt; 0,$B25 &amp; "(" &amp; $E25 &amp; ")",IF(SUMPRODUCT(-- ISNUMBER(SEARCH({"Formula","Roll-Up Summary"}, $B25))) &gt; 0,$B25 &amp; " (" &amp; $E25 &amp; ")",IF(SUMPRODUCT(-- ISNUMBER(SEARCH({"Content","Currency","Number","Percent","Text","URL"}, $B25))) &gt; 0,$B25 &amp; "(" &amp; $C25 &amp; ")",$B25)))), "  ", TRIM(IF($S25 = "YES", "(External ID)", "") &amp; " " &amp; IF(SUMPRODUCT(-- ISNUMBER(SEARCH({"Unique","Unique Case Insensitive"}, $R25))) &gt; 0, "(" &amp; $R25 &amp; ")", ""))))</f>
        <v>na</v>
      </c>
      <c r="E25" s="7" t="s">
        <v>195</v>
      </c>
      <c r="F25" s="7" t="s">
        <v>195</v>
      </c>
      <c r="G25" s="7" t="s">
        <v>195</v>
      </c>
      <c r="H25" s="7" t="s">
        <v>195</v>
      </c>
      <c r="I25" s="7" t="s">
        <v>195</v>
      </c>
      <c r="J25" s="7" t="s">
        <v>195</v>
      </c>
      <c r="K25" s="7" t="s">
        <v>195</v>
      </c>
      <c r="L25" s="7" t="s">
        <v>195</v>
      </c>
      <c r="M25" s="7" t="s">
        <v>29</v>
      </c>
      <c r="N25" s="7" t="s">
        <v>29</v>
      </c>
      <c r="O25" s="7" t="s">
        <v>29</v>
      </c>
      <c r="P25" s="7" t="s">
        <v>29</v>
      </c>
      <c r="Q25" s="7" t="s">
        <v>29</v>
      </c>
      <c r="R25" s="7" t="s">
        <v>29</v>
      </c>
      <c r="S25" s="7" t="s">
        <v>29</v>
      </c>
    </row>
    <row r="26" spans="1:19">
      <c r="B26" s="7" t="s">
        <v>195</v>
      </c>
      <c r="C26" s="8" t="s">
        <v>195</v>
      </c>
      <c r="D26" s="5" t="str">
        <f>LRTRIM(CONCATENATE(IF(SUMPRODUCT(-- ISNUMBER(SEARCH({"Auto Number"}, $B26))) &gt; 0, $B26, IF(SUMPRODUCT(-- ISNUMBER(SEARCH({"Lookup","Master-Detail"}, $B26))) &gt; 0,$B26 &amp; "(" &amp; $E26 &amp; ")",IF(SUMPRODUCT(-- ISNUMBER(SEARCH({"Formula","Roll-Up Summary"}, $B26))) &gt; 0,$B26 &amp; " (" &amp; $E26 &amp; ")",IF(SUMPRODUCT(-- ISNUMBER(SEARCH({"Content","Currency","Number","Percent","Text","URL"}, $B26))) &gt; 0,$B26 &amp; "(" &amp; $C26 &amp; ")",$B26)))), "  ", TRIM(IF($S26 = "YES", "(External ID)", "") &amp; " " &amp; IF(SUMPRODUCT(-- ISNUMBER(SEARCH({"Unique","Unique Case Insensitive"}, $R26))) &gt; 0, "(" &amp; $R26 &amp; ")", ""))))</f>
        <v>na</v>
      </c>
      <c r="E26" s="7" t="s">
        <v>195</v>
      </c>
      <c r="F26" s="7" t="s">
        <v>195</v>
      </c>
      <c r="G26" s="7" t="s">
        <v>195</v>
      </c>
      <c r="H26" s="7" t="s">
        <v>195</v>
      </c>
      <c r="I26" s="7" t="s">
        <v>195</v>
      </c>
      <c r="J26" s="7" t="s">
        <v>195</v>
      </c>
      <c r="K26" s="7" t="s">
        <v>195</v>
      </c>
      <c r="L26" s="7" t="s">
        <v>195</v>
      </c>
      <c r="M26" s="7" t="s">
        <v>29</v>
      </c>
      <c r="N26" s="7" t="s">
        <v>29</v>
      </c>
      <c r="O26" s="7" t="s">
        <v>29</v>
      </c>
      <c r="P26" s="7" t="s">
        <v>29</v>
      </c>
      <c r="Q26" s="7" t="s">
        <v>29</v>
      </c>
      <c r="R26" s="7" t="s">
        <v>29</v>
      </c>
      <c r="S26" s="7" t="s">
        <v>29</v>
      </c>
    </row>
    <row r="27" spans="1:19">
      <c r="B27" s="7" t="s">
        <v>195</v>
      </c>
      <c r="C27" s="8" t="s">
        <v>195</v>
      </c>
      <c r="D27" s="5" t="str">
        <f>LRTRIM(CONCATENATE(IF(SUMPRODUCT(-- ISNUMBER(SEARCH({"Auto Number"}, $B27))) &gt; 0, $B27, IF(SUMPRODUCT(-- ISNUMBER(SEARCH({"Lookup","Master-Detail"}, $B27))) &gt; 0,$B27 &amp; "(" &amp; $E27 &amp; ")",IF(SUMPRODUCT(-- ISNUMBER(SEARCH({"Formula","Roll-Up Summary"}, $B27))) &gt; 0,$B27 &amp; " (" &amp; $E27 &amp; ")",IF(SUMPRODUCT(-- ISNUMBER(SEARCH({"Content","Currency","Number","Percent","Text","URL"}, $B27))) &gt; 0,$B27 &amp; "(" &amp; $C27 &amp; ")",$B27)))), "  ", TRIM(IF($S27 = "YES", "(External ID)", "") &amp; " " &amp; IF(SUMPRODUCT(-- ISNUMBER(SEARCH({"Unique","Unique Case Insensitive"}, $R27))) &gt; 0, "(" &amp; $R27 &amp; ")", ""))))</f>
        <v>na</v>
      </c>
      <c r="E27" s="7" t="s">
        <v>195</v>
      </c>
      <c r="F27" s="7" t="s">
        <v>195</v>
      </c>
      <c r="G27" s="7" t="s">
        <v>195</v>
      </c>
      <c r="H27" s="7" t="s">
        <v>195</v>
      </c>
      <c r="I27" s="7" t="s">
        <v>195</v>
      </c>
      <c r="J27" s="7" t="s">
        <v>195</v>
      </c>
      <c r="K27" s="7" t="s">
        <v>195</v>
      </c>
      <c r="L27" s="7" t="s">
        <v>195</v>
      </c>
      <c r="M27" s="7" t="s">
        <v>29</v>
      </c>
      <c r="N27" s="7" t="s">
        <v>29</v>
      </c>
      <c r="O27" s="7" t="s">
        <v>29</v>
      </c>
      <c r="P27" s="7" t="s">
        <v>29</v>
      </c>
      <c r="Q27" s="7" t="s">
        <v>29</v>
      </c>
      <c r="R27" s="7" t="s">
        <v>29</v>
      </c>
      <c r="S27" s="7" t="s">
        <v>29</v>
      </c>
    </row>
    <row r="28" spans="1:19">
      <c r="B28" s="7" t="s">
        <v>195</v>
      </c>
      <c r="C28" s="8" t="s">
        <v>195</v>
      </c>
      <c r="D28" s="5" t="str">
        <f>LRTRIM(CONCATENATE(IF(SUMPRODUCT(-- ISNUMBER(SEARCH({"Auto Number"}, $B28))) &gt; 0, $B28, IF(SUMPRODUCT(-- ISNUMBER(SEARCH({"Lookup","Master-Detail"}, $B28))) &gt; 0,$B28 &amp; "(" &amp; $E28 &amp; ")",IF(SUMPRODUCT(-- ISNUMBER(SEARCH({"Formula","Roll-Up Summary"}, $B28))) &gt; 0,$B28 &amp; " (" &amp; $E28 &amp; ")",IF(SUMPRODUCT(-- ISNUMBER(SEARCH({"Content","Currency","Number","Percent","Text","URL"}, $B28))) &gt; 0,$B28 &amp; "(" &amp; $C28 &amp; ")",$B28)))), "  ", TRIM(IF($S28 = "YES", "(External ID)", "") &amp; " " &amp; IF(SUMPRODUCT(-- ISNUMBER(SEARCH({"Unique","Unique Case Insensitive"}, $R28))) &gt; 0, "(" &amp; $R28 &amp; ")", ""))))</f>
        <v>na</v>
      </c>
      <c r="E28" s="7" t="s">
        <v>195</v>
      </c>
      <c r="F28" s="7" t="s">
        <v>195</v>
      </c>
      <c r="G28" s="7" t="s">
        <v>195</v>
      </c>
      <c r="H28" s="7" t="s">
        <v>195</v>
      </c>
      <c r="I28" s="7" t="s">
        <v>195</v>
      </c>
      <c r="J28" s="7" t="s">
        <v>195</v>
      </c>
      <c r="K28" s="7" t="s">
        <v>195</v>
      </c>
      <c r="L28" s="7" t="s">
        <v>195</v>
      </c>
      <c r="M28" s="7" t="s">
        <v>29</v>
      </c>
      <c r="N28" s="7" t="s">
        <v>29</v>
      </c>
      <c r="O28" s="7" t="s">
        <v>29</v>
      </c>
      <c r="P28" s="7" t="s">
        <v>29</v>
      </c>
      <c r="Q28" s="7" t="s">
        <v>29</v>
      </c>
      <c r="R28" s="7" t="s">
        <v>29</v>
      </c>
      <c r="S28" s="7" t="s">
        <v>29</v>
      </c>
    </row>
    <row r="29" spans="1:19">
      <c r="B29" s="7" t="s">
        <v>195</v>
      </c>
      <c r="C29" s="8" t="s">
        <v>195</v>
      </c>
      <c r="D29" s="5" t="str">
        <f>LRTRIM(CONCATENATE(IF(SUMPRODUCT(-- ISNUMBER(SEARCH({"Auto Number"}, $B29))) &gt; 0, $B29, IF(SUMPRODUCT(-- ISNUMBER(SEARCH({"Lookup","Master-Detail"}, $B29))) &gt; 0,$B29 &amp; "(" &amp; $E29 &amp; ")",IF(SUMPRODUCT(-- ISNUMBER(SEARCH({"Formula","Roll-Up Summary"}, $B29))) &gt; 0,$B29 &amp; " (" &amp; $E29 &amp; ")",IF(SUMPRODUCT(-- ISNUMBER(SEARCH({"Content","Currency","Number","Percent","Text","URL"}, $B29))) &gt; 0,$B29 &amp; "(" &amp; $C29 &amp; ")",$B29)))), "  ", TRIM(IF($S29 = "YES", "(External ID)", "") &amp; " " &amp; IF(SUMPRODUCT(-- ISNUMBER(SEARCH({"Unique","Unique Case Insensitive"}, $R29))) &gt; 0, "(" &amp; $R29 &amp; ")", ""))))</f>
        <v>na</v>
      </c>
      <c r="E29" s="7" t="s">
        <v>195</v>
      </c>
      <c r="F29" s="7" t="s">
        <v>195</v>
      </c>
      <c r="G29" s="7" t="s">
        <v>195</v>
      </c>
      <c r="H29" s="7" t="s">
        <v>195</v>
      </c>
      <c r="I29" s="7" t="s">
        <v>195</v>
      </c>
      <c r="J29" s="7" t="s">
        <v>195</v>
      </c>
      <c r="K29" s="7" t="s">
        <v>195</v>
      </c>
      <c r="L29" s="7" t="s">
        <v>195</v>
      </c>
      <c r="M29" s="7" t="s">
        <v>29</v>
      </c>
      <c r="N29" s="7" t="s">
        <v>29</v>
      </c>
      <c r="O29" s="7" t="s">
        <v>29</v>
      </c>
      <c r="P29" s="7" t="s">
        <v>29</v>
      </c>
      <c r="Q29" s="7" t="s">
        <v>29</v>
      </c>
      <c r="R29" s="7" t="s">
        <v>29</v>
      </c>
      <c r="S29" s="7" t="s">
        <v>29</v>
      </c>
    </row>
    <row r="30" spans="1:19">
      <c r="B30" s="7" t="s">
        <v>195</v>
      </c>
      <c r="C30" s="8" t="s">
        <v>195</v>
      </c>
      <c r="D30" s="5" t="str">
        <f>LRTRIM(CONCATENATE(IF(SUMPRODUCT(-- ISNUMBER(SEARCH({"Auto Number"}, $B30))) &gt; 0, $B30, IF(SUMPRODUCT(-- ISNUMBER(SEARCH({"Lookup","Master-Detail"}, $B30))) &gt; 0,$B30 &amp; "(" &amp; $E30 &amp; ")",IF(SUMPRODUCT(-- ISNUMBER(SEARCH({"Formula","Roll-Up Summary"}, $B30))) &gt; 0,$B30 &amp; " (" &amp; $E30 &amp; ")",IF(SUMPRODUCT(-- ISNUMBER(SEARCH({"Content","Currency","Number","Percent","Text","URL"}, $B30))) &gt; 0,$B30 &amp; "(" &amp; $C30 &amp; ")",$B30)))), "  ", TRIM(IF($S30 = "YES", "(External ID)", "") &amp; " " &amp; IF(SUMPRODUCT(-- ISNUMBER(SEARCH({"Unique","Unique Case Insensitive"}, $R30))) &gt; 0, "(" &amp; $R30 &amp; ")", ""))))</f>
        <v>na</v>
      </c>
      <c r="E30" s="7" t="s">
        <v>195</v>
      </c>
      <c r="F30" s="7" t="s">
        <v>195</v>
      </c>
      <c r="G30" s="7" t="s">
        <v>195</v>
      </c>
      <c r="H30" s="7" t="s">
        <v>195</v>
      </c>
      <c r="I30" s="7" t="s">
        <v>195</v>
      </c>
      <c r="J30" s="7" t="s">
        <v>195</v>
      </c>
      <c r="K30" s="7" t="s">
        <v>195</v>
      </c>
      <c r="L30" s="7" t="s">
        <v>195</v>
      </c>
      <c r="M30" s="7" t="s">
        <v>29</v>
      </c>
      <c r="N30" s="7" t="s">
        <v>29</v>
      </c>
      <c r="O30" s="7" t="s">
        <v>29</v>
      </c>
      <c r="P30" s="7" t="s">
        <v>29</v>
      </c>
      <c r="Q30" s="7" t="s">
        <v>29</v>
      </c>
      <c r="R30" s="7" t="s">
        <v>29</v>
      </c>
      <c r="S30" s="7" t="s">
        <v>29</v>
      </c>
    </row>
    <row r="31" spans="1:19">
      <c r="B31" s="7" t="s">
        <v>195</v>
      </c>
      <c r="C31" s="8" t="s">
        <v>195</v>
      </c>
      <c r="D31" s="5" t="str">
        <f>LRTRIM(CONCATENATE(IF(SUMPRODUCT(-- ISNUMBER(SEARCH({"Auto Number"}, $B31))) &gt; 0, $B31, IF(SUMPRODUCT(-- ISNUMBER(SEARCH({"Lookup","Master-Detail"}, $B31))) &gt; 0,$B31 &amp; "(" &amp; $E31 &amp; ")",IF(SUMPRODUCT(-- ISNUMBER(SEARCH({"Formula","Roll-Up Summary"}, $B31))) &gt; 0,$B31 &amp; " (" &amp; $E31 &amp; ")",IF(SUMPRODUCT(-- ISNUMBER(SEARCH({"Content","Currency","Number","Percent","Text","URL"}, $B31))) &gt; 0,$B31 &amp; "(" &amp; $C31 &amp; ")",$B31)))), "  ", TRIM(IF($S31 = "YES", "(External ID)", "") &amp; " " &amp; IF(SUMPRODUCT(-- ISNUMBER(SEARCH({"Unique","Unique Case Insensitive"}, $R31))) &gt; 0, "(" &amp; $R31 &amp; ")", ""))))</f>
        <v>na</v>
      </c>
      <c r="E31" s="7" t="s">
        <v>195</v>
      </c>
      <c r="F31" s="7" t="s">
        <v>195</v>
      </c>
      <c r="G31" s="7" t="s">
        <v>195</v>
      </c>
      <c r="H31" s="7" t="s">
        <v>195</v>
      </c>
      <c r="I31" s="7" t="s">
        <v>195</v>
      </c>
      <c r="J31" s="7" t="s">
        <v>195</v>
      </c>
      <c r="K31" s="7" t="s">
        <v>195</v>
      </c>
      <c r="L31" s="7" t="s">
        <v>195</v>
      </c>
      <c r="M31" s="7" t="s">
        <v>29</v>
      </c>
      <c r="N31" s="7" t="s">
        <v>29</v>
      </c>
      <c r="O31" s="7" t="s">
        <v>29</v>
      </c>
      <c r="P31" s="7" t="s">
        <v>29</v>
      </c>
      <c r="Q31" s="7" t="s">
        <v>29</v>
      </c>
      <c r="R31" s="7" t="s">
        <v>29</v>
      </c>
      <c r="S31" s="7" t="s">
        <v>29</v>
      </c>
    </row>
    <row r="32" spans="1:19">
      <c r="B32" s="7" t="s">
        <v>195</v>
      </c>
      <c r="C32" s="8" t="s">
        <v>195</v>
      </c>
      <c r="D32" s="5" t="str">
        <f>LRTRIM(CONCATENATE(IF(SUMPRODUCT(-- ISNUMBER(SEARCH({"Auto Number"}, $B32))) &gt; 0, $B32, IF(SUMPRODUCT(-- ISNUMBER(SEARCH({"Lookup","Master-Detail"}, $B32))) &gt; 0,$B32 &amp; "(" &amp; $E32 &amp; ")",IF(SUMPRODUCT(-- ISNUMBER(SEARCH({"Formula","Roll-Up Summary"}, $B32))) &gt; 0,$B32 &amp; " (" &amp; $E32 &amp; ")",IF(SUMPRODUCT(-- ISNUMBER(SEARCH({"Content","Currency","Number","Percent","Text","URL"}, $B32))) &gt; 0,$B32 &amp; "(" &amp; $C32 &amp; ")",$B32)))), "  ", TRIM(IF($S32 = "YES", "(External ID)", "") &amp; " " &amp; IF(SUMPRODUCT(-- ISNUMBER(SEARCH({"Unique","Unique Case Insensitive"}, $R32))) &gt; 0, "(" &amp; $R32 &amp; ")", ""))))</f>
        <v>na</v>
      </c>
      <c r="E32" s="7" t="s">
        <v>195</v>
      </c>
      <c r="F32" s="7" t="s">
        <v>195</v>
      </c>
      <c r="G32" s="7" t="s">
        <v>195</v>
      </c>
      <c r="H32" s="7" t="s">
        <v>195</v>
      </c>
      <c r="I32" s="7" t="s">
        <v>195</v>
      </c>
      <c r="J32" s="7" t="s">
        <v>195</v>
      </c>
      <c r="K32" s="7" t="s">
        <v>195</v>
      </c>
      <c r="L32" s="7" t="s">
        <v>195</v>
      </c>
      <c r="M32" s="7" t="s">
        <v>29</v>
      </c>
      <c r="N32" s="7" t="s">
        <v>29</v>
      </c>
      <c r="O32" s="7" t="s">
        <v>29</v>
      </c>
      <c r="P32" s="7" t="s">
        <v>29</v>
      </c>
      <c r="Q32" s="7" t="s">
        <v>29</v>
      </c>
      <c r="R32" s="7" t="s">
        <v>29</v>
      </c>
      <c r="S32" s="7" t="s">
        <v>29</v>
      </c>
    </row>
    <row r="33" spans="2:19">
      <c r="B33" s="7" t="s">
        <v>195</v>
      </c>
      <c r="C33" s="8" t="s">
        <v>195</v>
      </c>
      <c r="D33" s="5" t="str">
        <f>LRTRIM(CONCATENATE(IF(SUMPRODUCT(-- ISNUMBER(SEARCH({"Auto Number"}, $B33))) &gt; 0, $B33, IF(SUMPRODUCT(-- ISNUMBER(SEARCH({"Lookup","Master-Detail"}, $B33))) &gt; 0,$B33 &amp; "(" &amp; $E33 &amp; ")",IF(SUMPRODUCT(-- ISNUMBER(SEARCH({"Formula","Roll-Up Summary"}, $B33))) &gt; 0,$B33 &amp; " (" &amp; $E33 &amp; ")",IF(SUMPRODUCT(-- ISNUMBER(SEARCH({"Content","Currency","Number","Percent","Text","URL"}, $B33))) &gt; 0,$B33 &amp; "(" &amp; $C33 &amp; ")",$B33)))), "  ", TRIM(IF($S33 = "YES", "(External ID)", "") &amp; " " &amp; IF(SUMPRODUCT(-- ISNUMBER(SEARCH({"Unique","Unique Case Insensitive"}, $R33))) &gt; 0, "(" &amp; $R33 &amp; ")", ""))))</f>
        <v>na</v>
      </c>
      <c r="E33" s="7" t="s">
        <v>195</v>
      </c>
      <c r="F33" s="7" t="s">
        <v>195</v>
      </c>
      <c r="G33" s="7" t="s">
        <v>195</v>
      </c>
      <c r="H33" s="7" t="s">
        <v>195</v>
      </c>
      <c r="I33" s="7" t="s">
        <v>195</v>
      </c>
      <c r="J33" s="7" t="s">
        <v>195</v>
      </c>
      <c r="K33" s="7" t="s">
        <v>195</v>
      </c>
      <c r="L33" s="7" t="s">
        <v>195</v>
      </c>
      <c r="M33" s="7" t="s">
        <v>29</v>
      </c>
      <c r="N33" s="7" t="s">
        <v>29</v>
      </c>
      <c r="O33" s="7" t="s">
        <v>29</v>
      </c>
      <c r="P33" s="7" t="s">
        <v>29</v>
      </c>
      <c r="Q33" s="7" t="s">
        <v>29</v>
      </c>
      <c r="R33" s="7" t="s">
        <v>29</v>
      </c>
      <c r="S33" s="7" t="s">
        <v>29</v>
      </c>
    </row>
    <row r="34" spans="2:19">
      <c r="B34" s="7" t="s">
        <v>195</v>
      </c>
      <c r="C34" s="8" t="s">
        <v>195</v>
      </c>
      <c r="D34" s="5" t="str">
        <f>LRTRIM(CONCATENATE(IF(SUMPRODUCT(-- ISNUMBER(SEARCH({"Auto Number"}, $B34))) &gt; 0, $B34, IF(SUMPRODUCT(-- ISNUMBER(SEARCH({"Lookup","Master-Detail"}, $B34))) &gt; 0,$B34 &amp; "(" &amp; $E34 &amp; ")",IF(SUMPRODUCT(-- ISNUMBER(SEARCH({"Formula","Roll-Up Summary"}, $B34))) &gt; 0,$B34 &amp; " (" &amp; $E34 &amp; ")",IF(SUMPRODUCT(-- ISNUMBER(SEARCH({"Content","Currency","Number","Percent","Text","URL"}, $B34))) &gt; 0,$B34 &amp; "(" &amp; $C34 &amp; ")",$B34)))), "  ", TRIM(IF($S34 = "YES", "(External ID)", "") &amp; " " &amp; IF(SUMPRODUCT(-- ISNUMBER(SEARCH({"Unique","Unique Case Insensitive"}, $R34))) &gt; 0, "(" &amp; $R34 &amp; ")", ""))))</f>
        <v>na</v>
      </c>
      <c r="E34" s="7" t="s">
        <v>195</v>
      </c>
      <c r="F34" s="7" t="s">
        <v>195</v>
      </c>
      <c r="G34" s="7" t="s">
        <v>195</v>
      </c>
      <c r="H34" s="7" t="s">
        <v>195</v>
      </c>
      <c r="I34" s="7" t="s">
        <v>195</v>
      </c>
      <c r="J34" s="7" t="s">
        <v>195</v>
      </c>
      <c r="K34" s="7" t="s">
        <v>195</v>
      </c>
      <c r="L34" s="7" t="s">
        <v>195</v>
      </c>
      <c r="M34" s="7" t="s">
        <v>29</v>
      </c>
      <c r="N34" s="7" t="s">
        <v>29</v>
      </c>
      <c r="O34" s="7" t="s">
        <v>29</v>
      </c>
      <c r="P34" s="7" t="s">
        <v>29</v>
      </c>
      <c r="Q34" s="7" t="s">
        <v>29</v>
      </c>
      <c r="R34" s="7" t="s">
        <v>29</v>
      </c>
      <c r="S34" s="7" t="s">
        <v>29</v>
      </c>
    </row>
    <row r="35" spans="2:19">
      <c r="B35" s="7" t="s">
        <v>195</v>
      </c>
      <c r="C35" s="8" t="s">
        <v>195</v>
      </c>
      <c r="D35" s="5" t="str">
        <f>LRTRIM(CONCATENATE(IF(SUMPRODUCT(-- ISNUMBER(SEARCH({"Auto Number"}, $B35))) &gt; 0, $B35, IF(SUMPRODUCT(-- ISNUMBER(SEARCH({"Lookup","Master-Detail"}, $B35))) &gt; 0,$B35 &amp; "(" &amp; $E35 &amp; ")",IF(SUMPRODUCT(-- ISNUMBER(SEARCH({"Formula","Roll-Up Summary"}, $B35))) &gt; 0,$B35 &amp; " (" &amp; $E35 &amp; ")",IF(SUMPRODUCT(-- ISNUMBER(SEARCH({"Content","Currency","Number","Percent","Text","URL"}, $B35))) &gt; 0,$B35 &amp; "(" &amp; $C35 &amp; ")",$B35)))), "  ", TRIM(IF($S35 = "YES", "(External ID)", "") &amp; " " &amp; IF(SUMPRODUCT(-- ISNUMBER(SEARCH({"Unique","Unique Case Insensitive"}, $R35))) &gt; 0, "(" &amp; $R35 &amp; ")", ""))))</f>
        <v>na</v>
      </c>
      <c r="E35" s="7" t="s">
        <v>195</v>
      </c>
      <c r="F35" s="7" t="s">
        <v>195</v>
      </c>
      <c r="G35" s="7" t="s">
        <v>195</v>
      </c>
      <c r="H35" s="7" t="s">
        <v>195</v>
      </c>
      <c r="I35" s="7" t="s">
        <v>195</v>
      </c>
      <c r="J35" s="7" t="s">
        <v>195</v>
      </c>
      <c r="K35" s="7" t="s">
        <v>195</v>
      </c>
      <c r="L35" s="7" t="s">
        <v>195</v>
      </c>
      <c r="M35" s="7" t="s">
        <v>29</v>
      </c>
      <c r="N35" s="7" t="s">
        <v>29</v>
      </c>
      <c r="O35" s="7" t="s">
        <v>29</v>
      </c>
      <c r="P35" s="7" t="s">
        <v>29</v>
      </c>
      <c r="Q35" s="7" t="s">
        <v>29</v>
      </c>
      <c r="R35" s="7" t="s">
        <v>29</v>
      </c>
      <c r="S35" s="7" t="s">
        <v>29</v>
      </c>
    </row>
    <row r="36" spans="2:19">
      <c r="B36" s="7" t="s">
        <v>195</v>
      </c>
      <c r="C36" s="8" t="s">
        <v>195</v>
      </c>
      <c r="D36" s="5" t="str">
        <f>LRTRIM(CONCATENATE(IF(SUMPRODUCT(-- ISNUMBER(SEARCH({"Auto Number"}, $B36))) &gt; 0, $B36, IF(SUMPRODUCT(-- ISNUMBER(SEARCH({"Lookup","Master-Detail"}, $B36))) &gt; 0,$B36 &amp; "(" &amp; $E36 &amp; ")",IF(SUMPRODUCT(-- ISNUMBER(SEARCH({"Formula","Roll-Up Summary"}, $B36))) &gt; 0,$B36 &amp; " (" &amp; $E36 &amp; ")",IF(SUMPRODUCT(-- ISNUMBER(SEARCH({"Content","Currency","Number","Percent","Text","URL"}, $B36))) &gt; 0,$B36 &amp; "(" &amp; $C36 &amp; ")",$B36)))), "  ", TRIM(IF($S36 = "YES", "(External ID)", "") &amp; " " &amp; IF(SUMPRODUCT(-- ISNUMBER(SEARCH({"Unique","Unique Case Insensitive"}, $R36))) &gt; 0, "(" &amp; $R36 &amp; ")", ""))))</f>
        <v>na</v>
      </c>
      <c r="E36" s="7" t="s">
        <v>195</v>
      </c>
      <c r="F36" s="7" t="s">
        <v>195</v>
      </c>
      <c r="G36" s="7" t="s">
        <v>195</v>
      </c>
      <c r="H36" s="7" t="s">
        <v>195</v>
      </c>
      <c r="I36" s="7" t="s">
        <v>195</v>
      </c>
      <c r="J36" s="7" t="s">
        <v>195</v>
      </c>
      <c r="K36" s="7" t="s">
        <v>195</v>
      </c>
      <c r="L36" s="7" t="s">
        <v>195</v>
      </c>
      <c r="M36" s="7" t="s">
        <v>29</v>
      </c>
      <c r="N36" s="7" t="s">
        <v>29</v>
      </c>
      <c r="O36" s="7" t="s">
        <v>29</v>
      </c>
      <c r="P36" s="7" t="s">
        <v>29</v>
      </c>
      <c r="Q36" s="7" t="s">
        <v>29</v>
      </c>
      <c r="R36" s="7" t="s">
        <v>29</v>
      </c>
      <c r="S36" s="7" t="s">
        <v>29</v>
      </c>
    </row>
    <row r="37" spans="2:19">
      <c r="B37" s="7" t="s">
        <v>195</v>
      </c>
      <c r="C37" s="8" t="s">
        <v>195</v>
      </c>
      <c r="D37" s="5" t="str">
        <f>LRTRIM(CONCATENATE(IF(SUMPRODUCT(-- ISNUMBER(SEARCH({"Auto Number"}, $B37))) &gt; 0, $B37, IF(SUMPRODUCT(-- ISNUMBER(SEARCH({"Lookup","Master-Detail"}, $B37))) &gt; 0,$B37 &amp; "(" &amp; $E37 &amp; ")",IF(SUMPRODUCT(-- ISNUMBER(SEARCH({"Formula","Roll-Up Summary"}, $B37))) &gt; 0,$B37 &amp; " (" &amp; $E37 &amp; ")",IF(SUMPRODUCT(-- ISNUMBER(SEARCH({"Content","Currency","Number","Percent","Text","URL"}, $B37))) &gt; 0,$B37 &amp; "(" &amp; $C37 &amp; ")",$B37)))), "  ", TRIM(IF($S37 = "YES", "(External ID)", "") &amp; " " &amp; IF(SUMPRODUCT(-- ISNUMBER(SEARCH({"Unique","Unique Case Insensitive"}, $R37))) &gt; 0, "(" &amp; $R37 &amp; ")", ""))))</f>
        <v>na</v>
      </c>
      <c r="E37" s="7" t="s">
        <v>195</v>
      </c>
      <c r="F37" s="7" t="s">
        <v>195</v>
      </c>
      <c r="G37" s="7" t="s">
        <v>195</v>
      </c>
      <c r="H37" s="7" t="s">
        <v>195</v>
      </c>
      <c r="I37" s="7" t="s">
        <v>195</v>
      </c>
      <c r="J37" s="7" t="s">
        <v>195</v>
      </c>
      <c r="K37" s="7" t="s">
        <v>195</v>
      </c>
      <c r="L37" s="7" t="s">
        <v>195</v>
      </c>
      <c r="M37" s="7" t="s">
        <v>29</v>
      </c>
      <c r="N37" s="7" t="s">
        <v>29</v>
      </c>
      <c r="O37" s="7" t="s">
        <v>29</v>
      </c>
      <c r="P37" s="7" t="s">
        <v>29</v>
      </c>
      <c r="Q37" s="7" t="s">
        <v>29</v>
      </c>
      <c r="R37" s="7" t="s">
        <v>29</v>
      </c>
      <c r="S37" s="7" t="s">
        <v>29</v>
      </c>
    </row>
    <row r="38" spans="2:19">
      <c r="B38" s="7" t="s">
        <v>195</v>
      </c>
      <c r="C38" s="8" t="s">
        <v>195</v>
      </c>
      <c r="D38" s="5" t="str">
        <f>LRTRIM(CONCATENATE(IF(SUMPRODUCT(-- ISNUMBER(SEARCH({"Auto Number"}, $B38))) &gt; 0, $B38, IF(SUMPRODUCT(-- ISNUMBER(SEARCH({"Lookup","Master-Detail"}, $B38))) &gt; 0,$B38 &amp; "(" &amp; $E38 &amp; ")",IF(SUMPRODUCT(-- ISNUMBER(SEARCH({"Formula","Roll-Up Summary"}, $B38))) &gt; 0,$B38 &amp; " (" &amp; $E38 &amp; ")",IF(SUMPRODUCT(-- ISNUMBER(SEARCH({"Content","Currency","Number","Percent","Text","URL"}, $B38))) &gt; 0,$B38 &amp; "(" &amp; $C38 &amp; ")",$B38)))), "  ", TRIM(IF($S38 = "YES", "(External ID)", "") &amp; " " &amp; IF(SUMPRODUCT(-- ISNUMBER(SEARCH({"Unique","Unique Case Insensitive"}, $R38))) &gt; 0, "(" &amp; $R38 &amp; ")", ""))))</f>
        <v>na</v>
      </c>
      <c r="E38" s="7" t="s">
        <v>195</v>
      </c>
      <c r="F38" s="7" t="s">
        <v>195</v>
      </c>
      <c r="G38" s="7" t="s">
        <v>195</v>
      </c>
      <c r="H38" s="7" t="s">
        <v>195</v>
      </c>
      <c r="I38" s="7" t="s">
        <v>195</v>
      </c>
      <c r="J38" s="7" t="s">
        <v>195</v>
      </c>
      <c r="K38" s="7" t="s">
        <v>195</v>
      </c>
      <c r="L38" s="7" t="s">
        <v>195</v>
      </c>
      <c r="M38" s="7" t="s">
        <v>29</v>
      </c>
      <c r="N38" s="7" t="s">
        <v>29</v>
      </c>
      <c r="O38" s="7" t="s">
        <v>29</v>
      </c>
      <c r="P38" s="7" t="s">
        <v>29</v>
      </c>
      <c r="Q38" s="7" t="s">
        <v>29</v>
      </c>
      <c r="R38" s="7" t="s">
        <v>29</v>
      </c>
      <c r="S38" s="7" t="s">
        <v>29</v>
      </c>
    </row>
    <row r="39" spans="2:19">
      <c r="B39" s="7" t="s">
        <v>195</v>
      </c>
      <c r="C39" s="8" t="s">
        <v>195</v>
      </c>
      <c r="D39" s="5" t="str">
        <f>LRTRIM(CONCATENATE(IF(SUMPRODUCT(-- ISNUMBER(SEARCH({"Auto Number"}, $B39))) &gt; 0, $B39, IF(SUMPRODUCT(-- ISNUMBER(SEARCH({"Lookup","Master-Detail"}, $B39))) &gt; 0,$B39 &amp; "(" &amp; $E39 &amp; ")",IF(SUMPRODUCT(-- ISNUMBER(SEARCH({"Formula","Roll-Up Summary"}, $B39))) &gt; 0,$B39 &amp; " (" &amp; $E39 &amp; ")",IF(SUMPRODUCT(-- ISNUMBER(SEARCH({"Content","Currency","Number","Percent","Text","URL"}, $B39))) &gt; 0,$B39 &amp; "(" &amp; $C39 &amp; ")",$B39)))), "  ", TRIM(IF($S39 = "YES", "(External ID)", "") &amp; " " &amp; IF(SUMPRODUCT(-- ISNUMBER(SEARCH({"Unique","Unique Case Insensitive"}, $R39))) &gt; 0, "(" &amp; $R39 &amp; ")", ""))))</f>
        <v>na</v>
      </c>
      <c r="E39" s="7" t="s">
        <v>195</v>
      </c>
      <c r="F39" s="7" t="s">
        <v>195</v>
      </c>
      <c r="G39" s="7" t="s">
        <v>195</v>
      </c>
      <c r="H39" s="7" t="s">
        <v>195</v>
      </c>
      <c r="I39" s="7" t="s">
        <v>195</v>
      </c>
      <c r="J39" s="7" t="s">
        <v>195</v>
      </c>
      <c r="K39" s="7" t="s">
        <v>195</v>
      </c>
      <c r="L39" s="7" t="s">
        <v>195</v>
      </c>
      <c r="M39" s="7" t="s">
        <v>29</v>
      </c>
      <c r="N39" s="7" t="s">
        <v>29</v>
      </c>
      <c r="O39" s="7" t="s">
        <v>29</v>
      </c>
      <c r="P39" s="7" t="s">
        <v>29</v>
      </c>
      <c r="Q39" s="7" t="s">
        <v>29</v>
      </c>
      <c r="R39" s="7" t="s">
        <v>29</v>
      </c>
      <c r="S39" s="7" t="s">
        <v>29</v>
      </c>
    </row>
    <row r="40" spans="2:19">
      <c r="B40" s="7" t="s">
        <v>195</v>
      </c>
      <c r="C40" s="8" t="s">
        <v>195</v>
      </c>
      <c r="D40" s="5" t="str">
        <f>LRTRIM(CONCATENATE(IF(SUMPRODUCT(-- ISNUMBER(SEARCH({"Auto Number"}, $B40))) &gt; 0, $B40, IF(SUMPRODUCT(-- ISNUMBER(SEARCH({"Lookup","Master-Detail"}, $B40))) &gt; 0,$B40 &amp; "(" &amp; $E40 &amp; ")",IF(SUMPRODUCT(-- ISNUMBER(SEARCH({"Formula","Roll-Up Summary"}, $B40))) &gt; 0,$B40 &amp; " (" &amp; $E40 &amp; ")",IF(SUMPRODUCT(-- ISNUMBER(SEARCH({"Content","Currency","Number","Percent","Text","URL"}, $B40))) &gt; 0,$B40 &amp; "(" &amp; $C40 &amp; ")",$B40)))), "  ", TRIM(IF($S40 = "YES", "(External ID)", "") &amp; " " &amp; IF(SUMPRODUCT(-- ISNUMBER(SEARCH({"Unique","Unique Case Insensitive"}, $R40))) &gt; 0, "(" &amp; $R40 &amp; ")", ""))))</f>
        <v>na</v>
      </c>
      <c r="E40" s="7" t="s">
        <v>195</v>
      </c>
      <c r="F40" s="7" t="s">
        <v>195</v>
      </c>
      <c r="G40" s="7" t="s">
        <v>195</v>
      </c>
      <c r="H40" s="7" t="s">
        <v>195</v>
      </c>
      <c r="I40" s="7" t="s">
        <v>195</v>
      </c>
      <c r="J40" s="7" t="s">
        <v>195</v>
      </c>
      <c r="K40" s="7" t="s">
        <v>195</v>
      </c>
      <c r="L40" s="7" t="s">
        <v>195</v>
      </c>
      <c r="M40" s="7" t="s">
        <v>29</v>
      </c>
      <c r="N40" s="7" t="s">
        <v>29</v>
      </c>
      <c r="O40" s="7" t="s">
        <v>29</v>
      </c>
      <c r="P40" s="7" t="s">
        <v>29</v>
      </c>
      <c r="Q40" s="7" t="s">
        <v>29</v>
      </c>
      <c r="R40" s="7" t="s">
        <v>29</v>
      </c>
      <c r="S40" s="7" t="s">
        <v>29</v>
      </c>
    </row>
    <row r="41" spans="2:19">
      <c r="B41" s="7" t="s">
        <v>195</v>
      </c>
      <c r="C41" s="8" t="s">
        <v>195</v>
      </c>
      <c r="D41" s="5" t="str">
        <f>LRTRIM(CONCATENATE(IF(SUMPRODUCT(-- ISNUMBER(SEARCH({"Auto Number"}, $B41))) &gt; 0, $B41, IF(SUMPRODUCT(-- ISNUMBER(SEARCH({"Lookup","Master-Detail"}, $B41))) &gt; 0,$B41 &amp; "(" &amp; $E41 &amp; ")",IF(SUMPRODUCT(-- ISNUMBER(SEARCH({"Formula","Roll-Up Summary"}, $B41))) &gt; 0,$B41 &amp; " (" &amp; $E41 &amp; ")",IF(SUMPRODUCT(-- ISNUMBER(SEARCH({"Content","Currency","Number","Percent","Text","URL"}, $B41))) &gt; 0,$B41 &amp; "(" &amp; $C41 &amp; ")",$B41)))), "  ", TRIM(IF($S41 = "YES", "(External ID)", "") &amp; " " &amp; IF(SUMPRODUCT(-- ISNUMBER(SEARCH({"Unique","Unique Case Insensitive"}, $R41))) &gt; 0, "(" &amp; $R41 &amp; ")", ""))))</f>
        <v>na</v>
      </c>
      <c r="E41" s="7" t="s">
        <v>195</v>
      </c>
      <c r="F41" s="7" t="s">
        <v>195</v>
      </c>
      <c r="G41" s="7" t="s">
        <v>195</v>
      </c>
      <c r="H41" s="7" t="s">
        <v>195</v>
      </c>
      <c r="I41" s="7" t="s">
        <v>195</v>
      </c>
      <c r="J41" s="7" t="s">
        <v>195</v>
      </c>
      <c r="K41" s="7" t="s">
        <v>195</v>
      </c>
      <c r="L41" s="7" t="s">
        <v>195</v>
      </c>
      <c r="M41" s="7" t="s">
        <v>29</v>
      </c>
      <c r="N41" s="7" t="s">
        <v>29</v>
      </c>
      <c r="O41" s="7" t="s">
        <v>29</v>
      </c>
      <c r="P41" s="7" t="s">
        <v>29</v>
      </c>
      <c r="Q41" s="7" t="s">
        <v>29</v>
      </c>
      <c r="R41" s="7" t="s">
        <v>29</v>
      </c>
      <c r="S41" s="7" t="s">
        <v>29</v>
      </c>
    </row>
    <row r="42" spans="2:19">
      <c r="B42" s="7" t="s">
        <v>195</v>
      </c>
      <c r="C42" s="8" t="s">
        <v>195</v>
      </c>
      <c r="D42" s="5" t="str">
        <f>LRTRIM(CONCATENATE(IF(SUMPRODUCT(-- ISNUMBER(SEARCH({"Auto Number"}, $B42))) &gt; 0, $B42, IF(SUMPRODUCT(-- ISNUMBER(SEARCH({"Lookup","Master-Detail"}, $B42))) &gt; 0,$B42 &amp; "(" &amp; $E42 &amp; ")",IF(SUMPRODUCT(-- ISNUMBER(SEARCH({"Formula","Roll-Up Summary"}, $B42))) &gt; 0,$B42 &amp; " (" &amp; $E42 &amp; ")",IF(SUMPRODUCT(-- ISNUMBER(SEARCH({"Content","Currency","Number","Percent","Text","URL"}, $B42))) &gt; 0,$B42 &amp; "(" &amp; $C42 &amp; ")",$B42)))), "  ", TRIM(IF($S42 = "YES", "(External ID)", "") &amp; " " &amp; IF(SUMPRODUCT(-- ISNUMBER(SEARCH({"Unique","Unique Case Insensitive"}, $R42))) &gt; 0, "(" &amp; $R42 &amp; ")", ""))))</f>
        <v>na</v>
      </c>
      <c r="E42" s="7" t="s">
        <v>195</v>
      </c>
      <c r="F42" s="7" t="s">
        <v>195</v>
      </c>
      <c r="G42" s="7" t="s">
        <v>195</v>
      </c>
      <c r="H42" s="7" t="s">
        <v>195</v>
      </c>
      <c r="I42" s="7" t="s">
        <v>195</v>
      </c>
      <c r="J42" s="7" t="s">
        <v>195</v>
      </c>
      <c r="K42" s="7" t="s">
        <v>195</v>
      </c>
      <c r="L42" s="7" t="s">
        <v>195</v>
      </c>
      <c r="M42" s="7" t="s">
        <v>29</v>
      </c>
      <c r="N42" s="7" t="s">
        <v>29</v>
      </c>
      <c r="O42" s="7" t="s">
        <v>29</v>
      </c>
      <c r="P42" s="7" t="s">
        <v>29</v>
      </c>
      <c r="Q42" s="7" t="s">
        <v>29</v>
      </c>
      <c r="R42" s="7" t="s">
        <v>29</v>
      </c>
      <c r="S42" s="7" t="s">
        <v>29</v>
      </c>
    </row>
    <row r="43" spans="2:19">
      <c r="B43" s="7" t="s">
        <v>195</v>
      </c>
      <c r="C43" s="8" t="s">
        <v>195</v>
      </c>
      <c r="D43" s="5" t="str">
        <f>LRTRIM(CONCATENATE(IF(SUMPRODUCT(-- ISNUMBER(SEARCH({"Auto Number"}, $B43))) &gt; 0, $B43, IF(SUMPRODUCT(-- ISNUMBER(SEARCH({"Lookup","Master-Detail"}, $B43))) &gt; 0,$B43 &amp; "(" &amp; $E43 &amp; ")",IF(SUMPRODUCT(-- ISNUMBER(SEARCH({"Formula","Roll-Up Summary"}, $B43))) &gt; 0,$B43 &amp; " (" &amp; $E43 &amp; ")",IF(SUMPRODUCT(-- ISNUMBER(SEARCH({"Content","Currency","Number","Percent","Text","URL"}, $B43))) &gt; 0,$B43 &amp; "(" &amp; $C43 &amp; ")",$B43)))), "  ", TRIM(IF($S43 = "YES", "(External ID)", "") &amp; " " &amp; IF(SUMPRODUCT(-- ISNUMBER(SEARCH({"Unique","Unique Case Insensitive"}, $R43))) &gt; 0, "(" &amp; $R43 &amp; ")", ""))))</f>
        <v>na</v>
      </c>
      <c r="E43" s="7" t="s">
        <v>195</v>
      </c>
      <c r="F43" s="7" t="s">
        <v>195</v>
      </c>
      <c r="G43" s="7" t="s">
        <v>195</v>
      </c>
      <c r="H43" s="7" t="s">
        <v>195</v>
      </c>
      <c r="I43" s="7" t="s">
        <v>195</v>
      </c>
      <c r="J43" s="7" t="s">
        <v>195</v>
      </c>
      <c r="K43" s="7" t="s">
        <v>195</v>
      </c>
      <c r="L43" s="7" t="s">
        <v>195</v>
      </c>
      <c r="M43" s="7" t="s">
        <v>29</v>
      </c>
      <c r="N43" s="7" t="s">
        <v>29</v>
      </c>
      <c r="O43" s="7" t="s">
        <v>29</v>
      </c>
      <c r="P43" s="7" t="s">
        <v>29</v>
      </c>
      <c r="Q43" s="7" t="s">
        <v>29</v>
      </c>
      <c r="R43" s="7" t="s">
        <v>29</v>
      </c>
      <c r="S43" s="7" t="s">
        <v>29</v>
      </c>
    </row>
    <row r="44" spans="2:19">
      <c r="B44" s="7" t="s">
        <v>195</v>
      </c>
      <c r="C44" s="8" t="s">
        <v>195</v>
      </c>
      <c r="D44" s="5" t="str">
        <f>LRTRIM(CONCATENATE(IF(SUMPRODUCT(-- ISNUMBER(SEARCH({"Auto Number"}, $B44))) &gt; 0, $B44, IF(SUMPRODUCT(-- ISNUMBER(SEARCH({"Lookup","Master-Detail"}, $B44))) &gt; 0,$B44 &amp; "(" &amp; $E44 &amp; ")",IF(SUMPRODUCT(-- ISNUMBER(SEARCH({"Formula","Roll-Up Summary"}, $B44))) &gt; 0,$B44 &amp; " (" &amp; $E44 &amp; ")",IF(SUMPRODUCT(-- ISNUMBER(SEARCH({"Content","Currency","Number","Percent","Text","URL"}, $B44))) &gt; 0,$B44 &amp; "(" &amp; $C44 &amp; ")",$B44)))), "  ", TRIM(IF($S44 = "YES", "(External ID)", "") &amp; " " &amp; IF(SUMPRODUCT(-- ISNUMBER(SEARCH({"Unique","Unique Case Insensitive"}, $R44))) &gt; 0, "(" &amp; $R44 &amp; ")", ""))))</f>
        <v>na</v>
      </c>
      <c r="E44" s="7" t="s">
        <v>195</v>
      </c>
      <c r="F44" s="7" t="s">
        <v>195</v>
      </c>
      <c r="G44" s="7" t="s">
        <v>195</v>
      </c>
      <c r="H44" s="7" t="s">
        <v>195</v>
      </c>
      <c r="I44" s="7" t="s">
        <v>195</v>
      </c>
      <c r="J44" s="7" t="s">
        <v>195</v>
      </c>
      <c r="K44" s="7" t="s">
        <v>195</v>
      </c>
      <c r="L44" s="7" t="s">
        <v>195</v>
      </c>
      <c r="M44" s="7" t="s">
        <v>29</v>
      </c>
      <c r="N44" s="7" t="s">
        <v>29</v>
      </c>
      <c r="O44" s="7" t="s">
        <v>29</v>
      </c>
      <c r="P44" s="7" t="s">
        <v>29</v>
      </c>
      <c r="Q44" s="7" t="s">
        <v>29</v>
      </c>
      <c r="R44" s="7" t="s">
        <v>29</v>
      </c>
      <c r="S44" s="7" t="s">
        <v>29</v>
      </c>
    </row>
    <row r="45" spans="2:19">
      <c r="B45" s="7" t="s">
        <v>195</v>
      </c>
      <c r="C45" s="8" t="s">
        <v>195</v>
      </c>
      <c r="D45" s="5" t="str">
        <f>LRTRIM(CONCATENATE(IF(SUMPRODUCT(-- ISNUMBER(SEARCH({"Auto Number"}, $B45))) &gt; 0, $B45, IF(SUMPRODUCT(-- ISNUMBER(SEARCH({"Lookup","Master-Detail"}, $B45))) &gt; 0,$B45 &amp; "(" &amp; $E45 &amp; ")",IF(SUMPRODUCT(-- ISNUMBER(SEARCH({"Formula","Roll-Up Summary"}, $B45))) &gt; 0,$B45 &amp; " (" &amp; $E45 &amp; ")",IF(SUMPRODUCT(-- ISNUMBER(SEARCH({"Content","Currency","Number","Percent","Text","URL"}, $B45))) &gt; 0,$B45 &amp; "(" &amp; $C45 &amp; ")",$B45)))), "  ", TRIM(IF($S45 = "YES", "(External ID)", "") &amp; " " &amp; IF(SUMPRODUCT(-- ISNUMBER(SEARCH({"Unique","Unique Case Insensitive"}, $R45))) &gt; 0, "(" &amp; $R45 &amp; ")", ""))))</f>
        <v>na</v>
      </c>
      <c r="E45" s="7" t="s">
        <v>195</v>
      </c>
      <c r="F45" s="7" t="s">
        <v>195</v>
      </c>
      <c r="G45" s="7" t="s">
        <v>195</v>
      </c>
      <c r="H45" s="7" t="s">
        <v>195</v>
      </c>
      <c r="I45" s="7" t="s">
        <v>195</v>
      </c>
      <c r="J45" s="7" t="s">
        <v>195</v>
      </c>
      <c r="K45" s="7" t="s">
        <v>195</v>
      </c>
      <c r="L45" s="7" t="s">
        <v>195</v>
      </c>
      <c r="M45" s="7" t="s">
        <v>29</v>
      </c>
      <c r="N45" s="7" t="s">
        <v>29</v>
      </c>
      <c r="O45" s="7" t="s">
        <v>29</v>
      </c>
      <c r="P45" s="7" t="s">
        <v>29</v>
      </c>
      <c r="Q45" s="7" t="s">
        <v>29</v>
      </c>
      <c r="R45" s="7" t="s">
        <v>29</v>
      </c>
      <c r="S45" s="7" t="s">
        <v>29</v>
      </c>
    </row>
    <row r="46" spans="2:19">
      <c r="B46" s="7" t="s">
        <v>195</v>
      </c>
      <c r="C46" s="8" t="s">
        <v>195</v>
      </c>
      <c r="D46" s="5" t="str">
        <f>LRTRIM(CONCATENATE(IF(SUMPRODUCT(-- ISNUMBER(SEARCH({"Auto Number"}, $B46))) &gt; 0, $B46, IF(SUMPRODUCT(-- ISNUMBER(SEARCH({"Lookup","Master-Detail"}, $B46))) &gt; 0,$B46 &amp; "(" &amp; $E46 &amp; ")",IF(SUMPRODUCT(-- ISNUMBER(SEARCH({"Formula","Roll-Up Summary"}, $B46))) &gt; 0,$B46 &amp; " (" &amp; $E46 &amp; ")",IF(SUMPRODUCT(-- ISNUMBER(SEARCH({"Content","Currency","Number","Percent","Text","URL"}, $B46))) &gt; 0,$B46 &amp; "(" &amp; $C46 &amp; ")",$B46)))), "  ", TRIM(IF($S46 = "YES", "(External ID)", "") &amp; " " &amp; IF(SUMPRODUCT(-- ISNUMBER(SEARCH({"Unique","Unique Case Insensitive"}, $R46))) &gt; 0, "(" &amp; $R46 &amp; ")", ""))))</f>
        <v>na</v>
      </c>
      <c r="E46" s="7" t="s">
        <v>195</v>
      </c>
      <c r="F46" s="7" t="s">
        <v>195</v>
      </c>
      <c r="G46" s="7" t="s">
        <v>195</v>
      </c>
      <c r="H46" s="7" t="s">
        <v>195</v>
      </c>
      <c r="I46" s="7" t="s">
        <v>195</v>
      </c>
      <c r="J46" s="7" t="s">
        <v>195</v>
      </c>
      <c r="K46" s="7" t="s">
        <v>195</v>
      </c>
      <c r="L46" s="7" t="s">
        <v>195</v>
      </c>
      <c r="M46" s="7" t="s">
        <v>29</v>
      </c>
      <c r="N46" s="7" t="s">
        <v>29</v>
      </c>
      <c r="O46" s="7" t="s">
        <v>29</v>
      </c>
      <c r="P46" s="7" t="s">
        <v>29</v>
      </c>
      <c r="Q46" s="7" t="s">
        <v>29</v>
      </c>
      <c r="R46" s="7" t="s">
        <v>29</v>
      </c>
      <c r="S46" s="7" t="s">
        <v>29</v>
      </c>
    </row>
    <row r="47" spans="2:19">
      <c r="B47" s="7" t="s">
        <v>195</v>
      </c>
      <c r="C47" s="8" t="s">
        <v>195</v>
      </c>
      <c r="D47" s="5" t="str">
        <f>LRTRIM(CONCATENATE(IF(SUMPRODUCT(-- ISNUMBER(SEARCH({"Auto Number"}, $B47))) &gt; 0, $B47, IF(SUMPRODUCT(-- ISNUMBER(SEARCH({"Lookup","Master-Detail"}, $B47))) &gt; 0,$B47 &amp; "(" &amp; $E47 &amp; ")",IF(SUMPRODUCT(-- ISNUMBER(SEARCH({"Formula","Roll-Up Summary"}, $B47))) &gt; 0,$B47 &amp; " (" &amp; $E47 &amp; ")",IF(SUMPRODUCT(-- ISNUMBER(SEARCH({"Content","Currency","Number","Percent","Text","URL"}, $B47))) &gt; 0,$B47 &amp; "(" &amp; $C47 &amp; ")",$B47)))), "  ", TRIM(IF($S47 = "YES", "(External ID)", "") &amp; " " &amp; IF(SUMPRODUCT(-- ISNUMBER(SEARCH({"Unique","Unique Case Insensitive"}, $R47))) &gt; 0, "(" &amp; $R47 &amp; ")", ""))))</f>
        <v>na</v>
      </c>
      <c r="E47" s="7" t="s">
        <v>195</v>
      </c>
      <c r="F47" s="7" t="s">
        <v>195</v>
      </c>
      <c r="G47" s="7" t="s">
        <v>195</v>
      </c>
      <c r="H47" s="7" t="s">
        <v>195</v>
      </c>
      <c r="I47" s="7" t="s">
        <v>195</v>
      </c>
      <c r="J47" s="7" t="s">
        <v>195</v>
      </c>
      <c r="K47" s="7" t="s">
        <v>195</v>
      </c>
      <c r="L47" s="7" t="s">
        <v>195</v>
      </c>
      <c r="M47" s="7" t="s">
        <v>29</v>
      </c>
      <c r="N47" s="7" t="s">
        <v>29</v>
      </c>
      <c r="O47" s="7" t="s">
        <v>29</v>
      </c>
      <c r="P47" s="7" t="s">
        <v>29</v>
      </c>
      <c r="Q47" s="7" t="s">
        <v>29</v>
      </c>
      <c r="R47" s="7" t="s">
        <v>29</v>
      </c>
      <c r="S47" s="7" t="s">
        <v>29</v>
      </c>
    </row>
    <row r="48" spans="2:19">
      <c r="B48" s="7" t="s">
        <v>195</v>
      </c>
      <c r="C48" s="8" t="s">
        <v>195</v>
      </c>
      <c r="D48" s="5" t="str">
        <f>LRTRIM(CONCATENATE(IF(SUMPRODUCT(-- ISNUMBER(SEARCH({"Auto Number"}, $B48))) &gt; 0, $B48, IF(SUMPRODUCT(-- ISNUMBER(SEARCH({"Lookup","Master-Detail"}, $B48))) &gt; 0,$B48 &amp; "(" &amp; $E48 &amp; ")",IF(SUMPRODUCT(-- ISNUMBER(SEARCH({"Formula","Roll-Up Summary"}, $B48))) &gt; 0,$B48 &amp; " (" &amp; $E48 &amp; ")",IF(SUMPRODUCT(-- ISNUMBER(SEARCH({"Content","Currency","Number","Percent","Text","URL"}, $B48))) &gt; 0,$B48 &amp; "(" &amp; $C48 &amp; ")",$B48)))), "  ", TRIM(IF($S48 = "YES", "(External ID)", "") &amp; " " &amp; IF(SUMPRODUCT(-- ISNUMBER(SEARCH({"Unique","Unique Case Insensitive"}, $R48))) &gt; 0, "(" &amp; $R48 &amp; ")", ""))))</f>
        <v>na</v>
      </c>
      <c r="E48" s="7" t="s">
        <v>195</v>
      </c>
      <c r="F48" s="7" t="s">
        <v>195</v>
      </c>
      <c r="G48" s="7" t="s">
        <v>195</v>
      </c>
      <c r="H48" s="7" t="s">
        <v>195</v>
      </c>
      <c r="I48" s="7" t="s">
        <v>195</v>
      </c>
      <c r="J48" s="7" t="s">
        <v>195</v>
      </c>
      <c r="K48" s="7" t="s">
        <v>195</v>
      </c>
      <c r="L48" s="7" t="s">
        <v>195</v>
      </c>
      <c r="M48" s="7" t="s">
        <v>29</v>
      </c>
      <c r="N48" s="7" t="s">
        <v>29</v>
      </c>
      <c r="O48" s="7" t="s">
        <v>29</v>
      </c>
      <c r="P48" s="7" t="s">
        <v>29</v>
      </c>
      <c r="Q48" s="7" t="s">
        <v>29</v>
      </c>
      <c r="R48" s="7" t="s">
        <v>29</v>
      </c>
      <c r="S48" s="7" t="s">
        <v>29</v>
      </c>
    </row>
    <row r="49" spans="2:19">
      <c r="B49" s="7" t="s">
        <v>195</v>
      </c>
      <c r="C49" s="8" t="s">
        <v>195</v>
      </c>
      <c r="D49" s="5" t="str">
        <f>LRTRIM(CONCATENATE(IF(SUMPRODUCT(-- ISNUMBER(SEARCH({"Auto Number"}, $B49))) &gt; 0, $B49, IF(SUMPRODUCT(-- ISNUMBER(SEARCH({"Lookup","Master-Detail"}, $B49))) &gt; 0,$B49 &amp; "(" &amp; $E49 &amp; ")",IF(SUMPRODUCT(-- ISNUMBER(SEARCH({"Formula","Roll-Up Summary"}, $B49))) &gt; 0,$B49 &amp; " (" &amp; $E49 &amp; ")",IF(SUMPRODUCT(-- ISNUMBER(SEARCH({"Content","Currency","Number","Percent","Text","URL"}, $B49))) &gt; 0,$B49 &amp; "(" &amp; $C49 &amp; ")",$B49)))), "  ", TRIM(IF($S49 = "YES", "(External ID)", "") &amp; " " &amp; IF(SUMPRODUCT(-- ISNUMBER(SEARCH({"Unique","Unique Case Insensitive"}, $R49))) &gt; 0, "(" &amp; $R49 &amp; ")", ""))))</f>
        <v>na</v>
      </c>
      <c r="E49" s="7" t="s">
        <v>195</v>
      </c>
      <c r="F49" s="7" t="s">
        <v>195</v>
      </c>
      <c r="G49" s="7" t="s">
        <v>195</v>
      </c>
      <c r="H49" s="7" t="s">
        <v>195</v>
      </c>
      <c r="I49" s="7" t="s">
        <v>195</v>
      </c>
      <c r="J49" s="7" t="s">
        <v>195</v>
      </c>
      <c r="K49" s="7" t="s">
        <v>195</v>
      </c>
      <c r="L49" s="7" t="s">
        <v>195</v>
      </c>
      <c r="M49" s="7" t="s">
        <v>29</v>
      </c>
      <c r="N49" s="7" t="s">
        <v>29</v>
      </c>
      <c r="O49" s="7" t="s">
        <v>29</v>
      </c>
      <c r="P49" s="7" t="s">
        <v>29</v>
      </c>
      <c r="Q49" s="7" t="s">
        <v>29</v>
      </c>
      <c r="R49" s="7" t="s">
        <v>29</v>
      </c>
      <c r="S49" s="7" t="s">
        <v>29</v>
      </c>
    </row>
    <row r="50" spans="2:19">
      <c r="B50" s="7" t="s">
        <v>195</v>
      </c>
      <c r="C50" s="8" t="s">
        <v>195</v>
      </c>
      <c r="D50" s="5" t="str">
        <f>LRTRIM(CONCATENATE(IF(SUMPRODUCT(-- ISNUMBER(SEARCH({"Auto Number"}, $B50))) &gt; 0, $B50, IF(SUMPRODUCT(-- ISNUMBER(SEARCH({"Lookup","Master-Detail"}, $B50))) &gt; 0,$B50 &amp; "(" &amp; $E50 &amp; ")",IF(SUMPRODUCT(-- ISNUMBER(SEARCH({"Formula","Roll-Up Summary"}, $B50))) &gt; 0,$B50 &amp; " (" &amp; $E50 &amp; ")",IF(SUMPRODUCT(-- ISNUMBER(SEARCH({"Content","Currency","Number","Percent","Text","URL"}, $B50))) &gt; 0,$B50 &amp; "(" &amp; $C50 &amp; ")",$B50)))), "  ", TRIM(IF($S50 = "YES", "(External ID)", "") &amp; " " &amp; IF(SUMPRODUCT(-- ISNUMBER(SEARCH({"Unique","Unique Case Insensitive"}, $R50))) &gt; 0, "(" &amp; $R50 &amp; ")", ""))))</f>
        <v>na</v>
      </c>
      <c r="E50" s="7" t="s">
        <v>195</v>
      </c>
      <c r="F50" s="7" t="s">
        <v>195</v>
      </c>
      <c r="G50" s="7" t="s">
        <v>195</v>
      </c>
      <c r="H50" s="7" t="s">
        <v>195</v>
      </c>
      <c r="I50" s="7" t="s">
        <v>195</v>
      </c>
      <c r="J50" s="7" t="s">
        <v>195</v>
      </c>
      <c r="K50" s="7" t="s">
        <v>195</v>
      </c>
      <c r="L50" s="7" t="s">
        <v>195</v>
      </c>
      <c r="M50" s="7" t="s">
        <v>29</v>
      </c>
      <c r="N50" s="7" t="s">
        <v>29</v>
      </c>
      <c r="O50" s="7" t="s">
        <v>29</v>
      </c>
      <c r="P50" s="7" t="s">
        <v>29</v>
      </c>
      <c r="Q50" s="7" t="s">
        <v>29</v>
      </c>
      <c r="R50" s="7" t="s">
        <v>29</v>
      </c>
      <c r="S50" s="7" t="s">
        <v>29</v>
      </c>
    </row>
    <row r="51" spans="2:19">
      <c r="B51" s="7" t="s">
        <v>195</v>
      </c>
      <c r="C51" s="8" t="s">
        <v>195</v>
      </c>
      <c r="D51" s="5" t="str">
        <f>LRTRIM(CONCATENATE(IF(SUMPRODUCT(-- ISNUMBER(SEARCH({"Auto Number"}, $B51))) &gt; 0, $B51, IF(SUMPRODUCT(-- ISNUMBER(SEARCH({"Lookup","Master-Detail"}, $B51))) &gt; 0,$B51 &amp; "(" &amp; $E51 &amp; ")",IF(SUMPRODUCT(-- ISNUMBER(SEARCH({"Formula","Roll-Up Summary"}, $B51))) &gt; 0,$B51 &amp; " (" &amp; $E51 &amp; ")",IF(SUMPRODUCT(-- ISNUMBER(SEARCH({"Content","Currency","Number","Percent","Text","URL"}, $B51))) &gt; 0,$B51 &amp; "(" &amp; $C51 &amp; ")",$B51)))), "  ", TRIM(IF($S51 = "YES", "(External ID)", "") &amp; " " &amp; IF(SUMPRODUCT(-- ISNUMBER(SEARCH({"Unique","Unique Case Insensitive"}, $R51))) &gt; 0, "(" &amp; $R51 &amp; ")", ""))))</f>
        <v>na</v>
      </c>
      <c r="E51" s="7" t="s">
        <v>195</v>
      </c>
      <c r="F51" s="7" t="s">
        <v>195</v>
      </c>
      <c r="G51" s="7" t="s">
        <v>195</v>
      </c>
      <c r="H51" s="7" t="s">
        <v>195</v>
      </c>
      <c r="I51" s="7" t="s">
        <v>195</v>
      </c>
      <c r="J51" s="7" t="s">
        <v>195</v>
      </c>
      <c r="K51" s="7" t="s">
        <v>195</v>
      </c>
      <c r="L51" s="7" t="s">
        <v>195</v>
      </c>
      <c r="M51" s="7" t="s">
        <v>29</v>
      </c>
      <c r="N51" s="7" t="s">
        <v>29</v>
      </c>
      <c r="O51" s="7" t="s">
        <v>29</v>
      </c>
      <c r="P51" s="7" t="s">
        <v>29</v>
      </c>
      <c r="Q51" s="7" t="s">
        <v>29</v>
      </c>
      <c r="R51" s="7" t="s">
        <v>29</v>
      </c>
      <c r="S51" s="7" t="s">
        <v>29</v>
      </c>
    </row>
    <row r="52" spans="2:19">
      <c r="B52" s="7" t="s">
        <v>195</v>
      </c>
      <c r="C52" s="8" t="s">
        <v>195</v>
      </c>
      <c r="D52" s="5" t="str">
        <f>LRTRIM(CONCATENATE(IF(SUMPRODUCT(-- ISNUMBER(SEARCH({"Auto Number"}, $B52))) &gt; 0, $B52, IF(SUMPRODUCT(-- ISNUMBER(SEARCH({"Lookup","Master-Detail"}, $B52))) &gt; 0,$B52 &amp; "(" &amp; $E52 &amp; ")",IF(SUMPRODUCT(-- ISNUMBER(SEARCH({"Formula","Roll-Up Summary"}, $B52))) &gt; 0,$B52 &amp; " (" &amp; $E52 &amp; ")",IF(SUMPRODUCT(-- ISNUMBER(SEARCH({"Content","Currency","Number","Percent","Text","URL"}, $B52))) &gt; 0,$B52 &amp; "(" &amp; $C52 &amp; ")",$B52)))), "  ", TRIM(IF($S52 = "YES", "(External ID)", "") &amp; " " &amp; IF(SUMPRODUCT(-- ISNUMBER(SEARCH({"Unique","Unique Case Insensitive"}, $R52))) &gt; 0, "(" &amp; $R52 &amp; ")", ""))))</f>
        <v>na</v>
      </c>
      <c r="E52" s="7" t="s">
        <v>195</v>
      </c>
      <c r="F52" s="7" t="s">
        <v>195</v>
      </c>
      <c r="G52" s="7" t="s">
        <v>195</v>
      </c>
      <c r="H52" s="7" t="s">
        <v>195</v>
      </c>
      <c r="I52" s="7" t="s">
        <v>195</v>
      </c>
      <c r="J52" s="7" t="s">
        <v>195</v>
      </c>
      <c r="K52" s="7" t="s">
        <v>195</v>
      </c>
      <c r="L52" s="7" t="s">
        <v>195</v>
      </c>
      <c r="M52" s="7" t="s">
        <v>29</v>
      </c>
      <c r="N52" s="7" t="s">
        <v>29</v>
      </c>
      <c r="O52" s="7" t="s">
        <v>29</v>
      </c>
      <c r="P52" s="7" t="s">
        <v>29</v>
      </c>
      <c r="Q52" s="7" t="s">
        <v>29</v>
      </c>
      <c r="R52" s="7" t="s">
        <v>29</v>
      </c>
      <c r="S52" s="7" t="s">
        <v>29</v>
      </c>
    </row>
    <row r="53" spans="2:19">
      <c r="B53" s="7" t="s">
        <v>195</v>
      </c>
      <c r="C53" s="8" t="s">
        <v>195</v>
      </c>
      <c r="D53" s="5" t="str">
        <f>LRTRIM(CONCATENATE(IF(SUMPRODUCT(-- ISNUMBER(SEARCH({"Auto Number"}, $B53))) &gt; 0, $B53, IF(SUMPRODUCT(-- ISNUMBER(SEARCH({"Lookup","Master-Detail"}, $B53))) &gt; 0,$B53 &amp; "(" &amp; $E53 &amp; ")",IF(SUMPRODUCT(-- ISNUMBER(SEARCH({"Formula","Roll-Up Summary"}, $B53))) &gt; 0,$B53 &amp; " (" &amp; $E53 &amp; ")",IF(SUMPRODUCT(-- ISNUMBER(SEARCH({"Content","Currency","Number","Percent","Text","URL"}, $B53))) &gt; 0,$B53 &amp; "(" &amp; $C53 &amp; ")",$B53)))), "  ", TRIM(IF($S53 = "YES", "(External ID)", "") &amp; " " &amp; IF(SUMPRODUCT(-- ISNUMBER(SEARCH({"Unique","Unique Case Insensitive"}, $R53))) &gt; 0, "(" &amp; $R53 &amp; ")", ""))))</f>
        <v>na</v>
      </c>
      <c r="E53" s="7" t="s">
        <v>195</v>
      </c>
      <c r="F53" s="7" t="s">
        <v>195</v>
      </c>
      <c r="G53" s="7" t="s">
        <v>195</v>
      </c>
      <c r="H53" s="7" t="s">
        <v>195</v>
      </c>
      <c r="I53" s="7" t="s">
        <v>195</v>
      </c>
      <c r="J53" s="7" t="s">
        <v>195</v>
      </c>
      <c r="K53" s="7" t="s">
        <v>195</v>
      </c>
      <c r="L53" s="7" t="s">
        <v>195</v>
      </c>
      <c r="M53" s="7" t="s">
        <v>29</v>
      </c>
      <c r="N53" s="7" t="s">
        <v>29</v>
      </c>
      <c r="O53" s="7" t="s">
        <v>29</v>
      </c>
      <c r="P53" s="7" t="s">
        <v>29</v>
      </c>
      <c r="Q53" s="7" t="s">
        <v>29</v>
      </c>
      <c r="R53" s="7" t="s">
        <v>29</v>
      </c>
      <c r="S53" s="7" t="s">
        <v>29</v>
      </c>
    </row>
    <row r="54" spans="2:19">
      <c r="B54" s="7" t="s">
        <v>195</v>
      </c>
      <c r="C54" s="8" t="s">
        <v>195</v>
      </c>
      <c r="D54" s="5" t="str">
        <f>LRTRIM(CONCATENATE(IF(SUMPRODUCT(-- ISNUMBER(SEARCH({"Auto Number"}, $B54))) &gt; 0, $B54, IF(SUMPRODUCT(-- ISNUMBER(SEARCH({"Lookup","Master-Detail"}, $B54))) &gt; 0,$B54 &amp; "(" &amp; $E54 &amp; ")",IF(SUMPRODUCT(-- ISNUMBER(SEARCH({"Formula","Roll-Up Summary"}, $B54))) &gt; 0,$B54 &amp; " (" &amp; $E54 &amp; ")",IF(SUMPRODUCT(-- ISNUMBER(SEARCH({"Content","Currency","Number","Percent","Text","URL"}, $B54))) &gt; 0,$B54 &amp; "(" &amp; $C54 &amp; ")",$B54)))), "  ", TRIM(IF($S54 = "YES", "(External ID)", "") &amp; " " &amp; IF(SUMPRODUCT(-- ISNUMBER(SEARCH({"Unique","Unique Case Insensitive"}, $R54))) &gt; 0, "(" &amp; $R54 &amp; ")", ""))))</f>
        <v>na</v>
      </c>
      <c r="E54" s="7" t="s">
        <v>195</v>
      </c>
      <c r="F54" s="7" t="s">
        <v>195</v>
      </c>
      <c r="G54" s="7" t="s">
        <v>195</v>
      </c>
      <c r="H54" s="7" t="s">
        <v>195</v>
      </c>
      <c r="I54" s="7" t="s">
        <v>195</v>
      </c>
      <c r="J54" s="7" t="s">
        <v>195</v>
      </c>
      <c r="K54" s="7" t="s">
        <v>195</v>
      </c>
      <c r="L54" s="7" t="s">
        <v>195</v>
      </c>
      <c r="M54" s="7" t="s">
        <v>29</v>
      </c>
      <c r="N54" s="7" t="s">
        <v>29</v>
      </c>
      <c r="O54" s="7" t="s">
        <v>29</v>
      </c>
      <c r="P54" s="7" t="s">
        <v>29</v>
      </c>
      <c r="Q54" s="7" t="s">
        <v>29</v>
      </c>
      <c r="R54" s="7" t="s">
        <v>29</v>
      </c>
      <c r="S54" s="7" t="s">
        <v>29</v>
      </c>
    </row>
    <row r="55" spans="2:19">
      <c r="B55" s="7" t="s">
        <v>195</v>
      </c>
      <c r="C55" s="8" t="s">
        <v>195</v>
      </c>
      <c r="D55" s="5" t="str">
        <f>LRTRIM(CONCATENATE(IF(SUMPRODUCT(-- ISNUMBER(SEARCH({"Auto Number"}, $B55))) &gt; 0, $B55, IF(SUMPRODUCT(-- ISNUMBER(SEARCH({"Lookup","Master-Detail"}, $B55))) &gt; 0,$B55 &amp; "(" &amp; $E55 &amp; ")",IF(SUMPRODUCT(-- ISNUMBER(SEARCH({"Formula","Roll-Up Summary"}, $B55))) &gt; 0,$B55 &amp; " (" &amp; $E55 &amp; ")",IF(SUMPRODUCT(-- ISNUMBER(SEARCH({"Content","Currency","Number","Percent","Text","URL"}, $B55))) &gt; 0,$B55 &amp; "(" &amp; $C55 &amp; ")",$B55)))), "  ", TRIM(IF($S55 = "YES", "(External ID)", "") &amp; " " &amp; IF(SUMPRODUCT(-- ISNUMBER(SEARCH({"Unique","Unique Case Insensitive"}, $R55))) &gt; 0, "(" &amp; $R55 &amp; ")", ""))))</f>
        <v>na</v>
      </c>
      <c r="E55" s="7" t="s">
        <v>195</v>
      </c>
      <c r="F55" s="7" t="s">
        <v>195</v>
      </c>
      <c r="G55" s="7" t="s">
        <v>195</v>
      </c>
      <c r="H55" s="7" t="s">
        <v>195</v>
      </c>
      <c r="I55" s="7" t="s">
        <v>195</v>
      </c>
      <c r="J55" s="7" t="s">
        <v>195</v>
      </c>
      <c r="K55" s="7" t="s">
        <v>195</v>
      </c>
      <c r="L55" s="7" t="s">
        <v>195</v>
      </c>
      <c r="M55" s="7" t="s">
        <v>29</v>
      </c>
      <c r="N55" s="7" t="s">
        <v>29</v>
      </c>
      <c r="O55" s="7" t="s">
        <v>29</v>
      </c>
      <c r="P55" s="7" t="s">
        <v>29</v>
      </c>
      <c r="Q55" s="7" t="s">
        <v>29</v>
      </c>
      <c r="R55" s="7" t="s">
        <v>29</v>
      </c>
      <c r="S55" s="7" t="s">
        <v>29</v>
      </c>
    </row>
    <row r="56" spans="2:19">
      <c r="B56" s="7" t="s">
        <v>195</v>
      </c>
      <c r="C56" s="8" t="s">
        <v>195</v>
      </c>
      <c r="D56" s="5" t="str">
        <f>LRTRIM(CONCATENATE(IF(SUMPRODUCT(-- ISNUMBER(SEARCH({"Auto Number"}, $B56))) &gt; 0, $B56, IF(SUMPRODUCT(-- ISNUMBER(SEARCH({"Lookup","Master-Detail"}, $B56))) &gt; 0,$B56 &amp; "(" &amp; $E56 &amp; ")",IF(SUMPRODUCT(-- ISNUMBER(SEARCH({"Formula","Roll-Up Summary"}, $B56))) &gt; 0,$B56 &amp; " (" &amp; $E56 &amp; ")",IF(SUMPRODUCT(-- ISNUMBER(SEARCH({"Content","Currency","Number","Percent","Text","URL"}, $B56))) &gt; 0,$B56 &amp; "(" &amp; $C56 &amp; ")",$B56)))), "  ", TRIM(IF($S56 = "YES", "(External ID)", "") &amp; " " &amp; IF(SUMPRODUCT(-- ISNUMBER(SEARCH({"Unique","Unique Case Insensitive"}, $R56))) &gt; 0, "(" &amp; $R56 &amp; ")", ""))))</f>
        <v>na</v>
      </c>
      <c r="E56" s="7" t="s">
        <v>195</v>
      </c>
      <c r="F56" s="7" t="s">
        <v>195</v>
      </c>
      <c r="G56" s="7" t="s">
        <v>195</v>
      </c>
      <c r="H56" s="7" t="s">
        <v>195</v>
      </c>
      <c r="I56" s="7" t="s">
        <v>195</v>
      </c>
      <c r="J56" s="7" t="s">
        <v>195</v>
      </c>
      <c r="K56" s="7" t="s">
        <v>195</v>
      </c>
      <c r="L56" s="7" t="s">
        <v>195</v>
      </c>
      <c r="M56" s="7" t="s">
        <v>29</v>
      </c>
      <c r="N56" s="7" t="s">
        <v>29</v>
      </c>
      <c r="O56" s="7" t="s">
        <v>29</v>
      </c>
      <c r="P56" s="7" t="s">
        <v>29</v>
      </c>
      <c r="Q56" s="7" t="s">
        <v>29</v>
      </c>
      <c r="R56" s="7" t="s">
        <v>29</v>
      </c>
      <c r="S56" s="7" t="s">
        <v>29</v>
      </c>
    </row>
    <row r="57" spans="2:19">
      <c r="B57" s="7" t="s">
        <v>195</v>
      </c>
      <c r="C57" s="8" t="s">
        <v>195</v>
      </c>
      <c r="D57" s="5" t="str">
        <f>LRTRIM(CONCATENATE(IF(SUMPRODUCT(-- ISNUMBER(SEARCH({"Auto Number"}, $B57))) &gt; 0, $B57, IF(SUMPRODUCT(-- ISNUMBER(SEARCH({"Lookup","Master-Detail"}, $B57))) &gt; 0,$B57 &amp; "(" &amp; $E57 &amp; ")",IF(SUMPRODUCT(-- ISNUMBER(SEARCH({"Formula","Roll-Up Summary"}, $B57))) &gt; 0,$B57 &amp; " (" &amp; $E57 &amp; ")",IF(SUMPRODUCT(-- ISNUMBER(SEARCH({"Content","Currency","Number","Percent","Text","URL"}, $B57))) &gt; 0,$B57 &amp; "(" &amp; $C57 &amp; ")",$B57)))), "  ", TRIM(IF($S57 = "YES", "(External ID)", "") &amp; " " &amp; IF(SUMPRODUCT(-- ISNUMBER(SEARCH({"Unique","Unique Case Insensitive"}, $R57))) &gt; 0, "(" &amp; $R57 &amp; ")", ""))))</f>
        <v>na</v>
      </c>
      <c r="E57" s="7" t="s">
        <v>195</v>
      </c>
      <c r="F57" s="7" t="s">
        <v>195</v>
      </c>
      <c r="G57" s="7" t="s">
        <v>195</v>
      </c>
      <c r="H57" s="7" t="s">
        <v>195</v>
      </c>
      <c r="I57" s="7" t="s">
        <v>195</v>
      </c>
      <c r="J57" s="7" t="s">
        <v>195</v>
      </c>
      <c r="K57" s="7" t="s">
        <v>195</v>
      </c>
      <c r="L57" s="7" t="s">
        <v>195</v>
      </c>
      <c r="M57" s="7" t="s">
        <v>29</v>
      </c>
      <c r="N57" s="7" t="s">
        <v>29</v>
      </c>
      <c r="O57" s="7" t="s">
        <v>29</v>
      </c>
      <c r="P57" s="7" t="s">
        <v>29</v>
      </c>
      <c r="Q57" s="7" t="s">
        <v>29</v>
      </c>
      <c r="R57" s="7" t="s">
        <v>29</v>
      </c>
      <c r="S57" s="7" t="s">
        <v>29</v>
      </c>
    </row>
    <row r="58" spans="2:19">
      <c r="B58" s="7" t="s">
        <v>195</v>
      </c>
      <c r="C58" s="8" t="s">
        <v>195</v>
      </c>
      <c r="D58" s="5" t="str">
        <f>LRTRIM(CONCATENATE(IF(SUMPRODUCT(-- ISNUMBER(SEARCH({"Auto Number"}, $B58))) &gt; 0, $B58, IF(SUMPRODUCT(-- ISNUMBER(SEARCH({"Lookup","Master-Detail"}, $B58))) &gt; 0,$B58 &amp; "(" &amp; $E58 &amp; ")",IF(SUMPRODUCT(-- ISNUMBER(SEARCH({"Formula","Roll-Up Summary"}, $B58))) &gt; 0,$B58 &amp; " (" &amp; $E58 &amp; ")",IF(SUMPRODUCT(-- ISNUMBER(SEARCH({"Content","Currency","Number","Percent","Text","URL"}, $B58))) &gt; 0,$B58 &amp; "(" &amp; $C58 &amp; ")",$B58)))), "  ", TRIM(IF($S58 = "YES", "(External ID)", "") &amp; " " &amp; IF(SUMPRODUCT(-- ISNUMBER(SEARCH({"Unique","Unique Case Insensitive"}, $R58))) &gt; 0, "(" &amp; $R58 &amp; ")", ""))))</f>
        <v>na</v>
      </c>
      <c r="E58" s="7" t="s">
        <v>195</v>
      </c>
      <c r="F58" s="7" t="s">
        <v>195</v>
      </c>
      <c r="G58" s="7" t="s">
        <v>195</v>
      </c>
      <c r="H58" s="7" t="s">
        <v>195</v>
      </c>
      <c r="I58" s="7" t="s">
        <v>195</v>
      </c>
      <c r="J58" s="7" t="s">
        <v>195</v>
      </c>
      <c r="K58" s="7" t="s">
        <v>195</v>
      </c>
      <c r="L58" s="7" t="s">
        <v>195</v>
      </c>
      <c r="M58" s="7" t="s">
        <v>29</v>
      </c>
      <c r="N58" s="7" t="s">
        <v>29</v>
      </c>
      <c r="O58" s="7" t="s">
        <v>29</v>
      </c>
      <c r="P58" s="7" t="s">
        <v>29</v>
      </c>
      <c r="Q58" s="7" t="s">
        <v>29</v>
      </c>
      <c r="R58" s="7" t="s">
        <v>29</v>
      </c>
      <c r="S58" s="7" t="s">
        <v>29</v>
      </c>
    </row>
    <row r="59" spans="2:19">
      <c r="B59" s="7" t="s">
        <v>195</v>
      </c>
      <c r="C59" s="8" t="s">
        <v>195</v>
      </c>
      <c r="D59" s="5" t="str">
        <f>LRTRIM(CONCATENATE(IF(SUMPRODUCT(-- ISNUMBER(SEARCH({"Auto Number"}, $B59))) &gt; 0, $B59, IF(SUMPRODUCT(-- ISNUMBER(SEARCH({"Lookup","Master-Detail"}, $B59))) &gt; 0,$B59 &amp; "(" &amp; $E59 &amp; ")",IF(SUMPRODUCT(-- ISNUMBER(SEARCH({"Formula","Roll-Up Summary"}, $B59))) &gt; 0,$B59 &amp; " (" &amp; $E59 &amp; ")",IF(SUMPRODUCT(-- ISNUMBER(SEARCH({"Content","Currency","Number","Percent","Text","URL"}, $B59))) &gt; 0,$B59 &amp; "(" &amp; $C59 &amp; ")",$B59)))), "  ", TRIM(IF($S59 = "YES", "(External ID)", "") &amp; " " &amp; IF(SUMPRODUCT(-- ISNUMBER(SEARCH({"Unique","Unique Case Insensitive"}, $R59))) &gt; 0, "(" &amp; $R59 &amp; ")", ""))))</f>
        <v>na</v>
      </c>
      <c r="E59" s="7" t="s">
        <v>195</v>
      </c>
      <c r="F59" s="7" t="s">
        <v>195</v>
      </c>
      <c r="G59" s="7" t="s">
        <v>195</v>
      </c>
      <c r="H59" s="7" t="s">
        <v>195</v>
      </c>
      <c r="I59" s="7" t="s">
        <v>195</v>
      </c>
      <c r="J59" s="7" t="s">
        <v>195</v>
      </c>
      <c r="K59" s="7" t="s">
        <v>195</v>
      </c>
      <c r="L59" s="7" t="s">
        <v>195</v>
      </c>
      <c r="M59" s="7" t="s">
        <v>29</v>
      </c>
      <c r="N59" s="7" t="s">
        <v>29</v>
      </c>
      <c r="O59" s="7" t="s">
        <v>29</v>
      </c>
      <c r="P59" s="7" t="s">
        <v>29</v>
      </c>
      <c r="Q59" s="7" t="s">
        <v>29</v>
      </c>
      <c r="R59" s="7" t="s">
        <v>29</v>
      </c>
      <c r="S59" s="7" t="s">
        <v>29</v>
      </c>
    </row>
    <row r="60" spans="2:19">
      <c r="B60" s="7" t="s">
        <v>195</v>
      </c>
      <c r="C60" s="8" t="s">
        <v>195</v>
      </c>
      <c r="D60" s="5" t="str">
        <f>LRTRIM(CONCATENATE(IF(SUMPRODUCT(-- ISNUMBER(SEARCH({"Auto Number"}, $B60))) &gt; 0, $B60, IF(SUMPRODUCT(-- ISNUMBER(SEARCH({"Lookup","Master-Detail"}, $B60))) &gt; 0,$B60 &amp; "(" &amp; $E60 &amp; ")",IF(SUMPRODUCT(-- ISNUMBER(SEARCH({"Formula","Roll-Up Summary"}, $B60))) &gt; 0,$B60 &amp; " (" &amp; $E60 &amp; ")",IF(SUMPRODUCT(-- ISNUMBER(SEARCH({"Content","Currency","Number","Percent","Text","URL"}, $B60))) &gt; 0,$B60 &amp; "(" &amp; $C60 &amp; ")",$B60)))), "  ", TRIM(IF($S60 = "YES", "(External ID)", "") &amp; " " &amp; IF(SUMPRODUCT(-- ISNUMBER(SEARCH({"Unique","Unique Case Insensitive"}, $R60))) &gt; 0, "(" &amp; $R60 &amp; ")", ""))))</f>
        <v>na</v>
      </c>
      <c r="E60" s="7" t="s">
        <v>195</v>
      </c>
      <c r="F60" s="7" t="s">
        <v>195</v>
      </c>
      <c r="G60" s="7" t="s">
        <v>195</v>
      </c>
      <c r="H60" s="7" t="s">
        <v>195</v>
      </c>
      <c r="I60" s="7" t="s">
        <v>195</v>
      </c>
      <c r="J60" s="7" t="s">
        <v>195</v>
      </c>
      <c r="K60" s="7" t="s">
        <v>195</v>
      </c>
      <c r="L60" s="7" t="s">
        <v>195</v>
      </c>
      <c r="M60" s="7" t="s">
        <v>29</v>
      </c>
      <c r="N60" s="7" t="s">
        <v>29</v>
      </c>
      <c r="O60" s="7" t="s">
        <v>29</v>
      </c>
      <c r="P60" s="7" t="s">
        <v>29</v>
      </c>
      <c r="Q60" s="7" t="s">
        <v>29</v>
      </c>
      <c r="R60" s="7" t="s">
        <v>29</v>
      </c>
      <c r="S60" s="7" t="s">
        <v>29</v>
      </c>
    </row>
    <row r="61" spans="2:19">
      <c r="B61" s="7" t="s">
        <v>195</v>
      </c>
      <c r="C61" s="8" t="s">
        <v>195</v>
      </c>
      <c r="D61" s="5" t="str">
        <f>LRTRIM(CONCATENATE(IF(SUMPRODUCT(-- ISNUMBER(SEARCH({"Auto Number"}, $B61))) &gt; 0, $B61, IF(SUMPRODUCT(-- ISNUMBER(SEARCH({"Lookup","Master-Detail"}, $B61))) &gt; 0,$B61 &amp; "(" &amp; $E61 &amp; ")",IF(SUMPRODUCT(-- ISNUMBER(SEARCH({"Formula","Roll-Up Summary"}, $B61))) &gt; 0,$B61 &amp; " (" &amp; $E61 &amp; ")",IF(SUMPRODUCT(-- ISNUMBER(SEARCH({"Content","Currency","Number","Percent","Text","URL"}, $B61))) &gt; 0,$B61 &amp; "(" &amp; $C61 &amp; ")",$B61)))), "  ", TRIM(IF($S61 = "YES", "(External ID)", "") &amp; " " &amp; IF(SUMPRODUCT(-- ISNUMBER(SEARCH({"Unique","Unique Case Insensitive"}, $R61))) &gt; 0, "(" &amp; $R61 &amp; ")", ""))))</f>
        <v>na</v>
      </c>
      <c r="E61" s="7" t="s">
        <v>195</v>
      </c>
      <c r="F61" s="7" t="s">
        <v>195</v>
      </c>
      <c r="G61" s="7" t="s">
        <v>195</v>
      </c>
      <c r="H61" s="7" t="s">
        <v>195</v>
      </c>
      <c r="I61" s="7" t="s">
        <v>195</v>
      </c>
      <c r="J61" s="7" t="s">
        <v>195</v>
      </c>
      <c r="K61" s="7" t="s">
        <v>195</v>
      </c>
      <c r="L61" s="7" t="s">
        <v>195</v>
      </c>
      <c r="M61" s="7" t="s">
        <v>29</v>
      </c>
      <c r="N61" s="7" t="s">
        <v>29</v>
      </c>
      <c r="O61" s="7" t="s">
        <v>29</v>
      </c>
      <c r="P61" s="7" t="s">
        <v>29</v>
      </c>
      <c r="Q61" s="7" t="s">
        <v>29</v>
      </c>
      <c r="R61" s="7" t="s">
        <v>29</v>
      </c>
      <c r="S61" s="7" t="s">
        <v>29</v>
      </c>
    </row>
    <row r="62" spans="2:19">
      <c r="B62" s="7" t="s">
        <v>195</v>
      </c>
      <c r="C62" s="8" t="s">
        <v>195</v>
      </c>
      <c r="D62" s="5" t="str">
        <f>LRTRIM(CONCATENATE(IF(SUMPRODUCT(-- ISNUMBER(SEARCH({"Auto Number"}, $B62))) &gt; 0, $B62, IF(SUMPRODUCT(-- ISNUMBER(SEARCH({"Lookup","Master-Detail"}, $B62))) &gt; 0,$B62 &amp; "(" &amp; $E62 &amp; ")",IF(SUMPRODUCT(-- ISNUMBER(SEARCH({"Formula","Roll-Up Summary"}, $B62))) &gt; 0,$B62 &amp; " (" &amp; $E62 &amp; ")",IF(SUMPRODUCT(-- ISNUMBER(SEARCH({"Content","Currency","Number","Percent","Text","URL"}, $B62))) &gt; 0,$B62 &amp; "(" &amp; $C62 &amp; ")",$B62)))), "  ", TRIM(IF($S62 = "YES", "(External ID)", "") &amp; " " &amp; IF(SUMPRODUCT(-- ISNUMBER(SEARCH({"Unique","Unique Case Insensitive"}, $R62))) &gt; 0, "(" &amp; $R62 &amp; ")", ""))))</f>
        <v>na</v>
      </c>
      <c r="E62" s="7" t="s">
        <v>195</v>
      </c>
      <c r="F62" s="7" t="s">
        <v>195</v>
      </c>
      <c r="G62" s="7" t="s">
        <v>195</v>
      </c>
      <c r="H62" s="7" t="s">
        <v>195</v>
      </c>
      <c r="I62" s="7" t="s">
        <v>195</v>
      </c>
      <c r="J62" s="7" t="s">
        <v>195</v>
      </c>
      <c r="K62" s="7" t="s">
        <v>195</v>
      </c>
      <c r="L62" s="7" t="s">
        <v>195</v>
      </c>
      <c r="M62" s="7" t="s">
        <v>29</v>
      </c>
      <c r="N62" s="7" t="s">
        <v>29</v>
      </c>
      <c r="O62" s="7" t="s">
        <v>29</v>
      </c>
      <c r="P62" s="7" t="s">
        <v>29</v>
      </c>
      <c r="Q62" s="7" t="s">
        <v>29</v>
      </c>
      <c r="R62" s="7" t="s">
        <v>29</v>
      </c>
      <c r="S62" s="7" t="s">
        <v>29</v>
      </c>
    </row>
    <row r="63" spans="2:19">
      <c r="B63" s="7" t="s">
        <v>195</v>
      </c>
      <c r="C63" s="8" t="s">
        <v>195</v>
      </c>
      <c r="D63" s="5" t="str">
        <f>LRTRIM(CONCATENATE(IF(SUMPRODUCT(-- ISNUMBER(SEARCH({"Auto Number"}, $B63))) &gt; 0, $B63, IF(SUMPRODUCT(-- ISNUMBER(SEARCH({"Lookup","Master-Detail"}, $B63))) &gt; 0,$B63 &amp; "(" &amp; $E63 &amp; ")",IF(SUMPRODUCT(-- ISNUMBER(SEARCH({"Formula","Roll-Up Summary"}, $B63))) &gt; 0,$B63 &amp; " (" &amp; $E63 &amp; ")",IF(SUMPRODUCT(-- ISNUMBER(SEARCH({"Content","Currency","Number","Percent","Text","URL"}, $B63))) &gt; 0,$B63 &amp; "(" &amp; $C63 &amp; ")",$B63)))), "  ", TRIM(IF($S63 = "YES", "(External ID)", "") &amp; " " &amp; IF(SUMPRODUCT(-- ISNUMBER(SEARCH({"Unique","Unique Case Insensitive"}, $R63))) &gt; 0, "(" &amp; $R63 &amp; ")", ""))))</f>
        <v>na</v>
      </c>
      <c r="E63" s="7" t="s">
        <v>195</v>
      </c>
      <c r="F63" s="7" t="s">
        <v>195</v>
      </c>
      <c r="G63" s="7" t="s">
        <v>195</v>
      </c>
      <c r="H63" s="7" t="s">
        <v>195</v>
      </c>
      <c r="I63" s="7" t="s">
        <v>195</v>
      </c>
      <c r="J63" s="7" t="s">
        <v>195</v>
      </c>
      <c r="K63" s="7" t="s">
        <v>195</v>
      </c>
      <c r="L63" s="7" t="s">
        <v>195</v>
      </c>
      <c r="M63" s="7" t="s">
        <v>29</v>
      </c>
      <c r="N63" s="7" t="s">
        <v>29</v>
      </c>
      <c r="O63" s="7" t="s">
        <v>29</v>
      </c>
      <c r="P63" s="7" t="s">
        <v>29</v>
      </c>
      <c r="Q63" s="7" t="s">
        <v>29</v>
      </c>
      <c r="R63" s="7" t="s">
        <v>29</v>
      </c>
      <c r="S63" s="7" t="s">
        <v>29</v>
      </c>
    </row>
    <row r="64" spans="2:19">
      <c r="B64" s="7" t="s">
        <v>195</v>
      </c>
      <c r="C64" s="8" t="s">
        <v>195</v>
      </c>
      <c r="D64" s="5" t="str">
        <f>LRTRIM(CONCATENATE(IF(SUMPRODUCT(-- ISNUMBER(SEARCH({"Auto Number"}, $B64))) &gt; 0, $B64, IF(SUMPRODUCT(-- ISNUMBER(SEARCH({"Lookup","Master-Detail"}, $B64))) &gt; 0,$B64 &amp; "(" &amp; $E64 &amp; ")",IF(SUMPRODUCT(-- ISNUMBER(SEARCH({"Formula","Roll-Up Summary"}, $B64))) &gt; 0,$B64 &amp; " (" &amp; $E64 &amp; ")",IF(SUMPRODUCT(-- ISNUMBER(SEARCH({"Content","Currency","Number","Percent","Text","URL"}, $B64))) &gt; 0,$B64 &amp; "(" &amp; $C64 &amp; ")",$B64)))), "  ", TRIM(IF($S64 = "YES", "(External ID)", "") &amp; " " &amp; IF(SUMPRODUCT(-- ISNUMBER(SEARCH({"Unique","Unique Case Insensitive"}, $R64))) &gt; 0, "(" &amp; $R64 &amp; ")", ""))))</f>
        <v>na</v>
      </c>
      <c r="E64" s="7" t="s">
        <v>195</v>
      </c>
      <c r="F64" s="7" t="s">
        <v>195</v>
      </c>
      <c r="G64" s="7" t="s">
        <v>195</v>
      </c>
      <c r="H64" s="7" t="s">
        <v>195</v>
      </c>
      <c r="I64" s="7" t="s">
        <v>195</v>
      </c>
      <c r="J64" s="7" t="s">
        <v>195</v>
      </c>
      <c r="K64" s="7" t="s">
        <v>195</v>
      </c>
      <c r="L64" s="7" t="s">
        <v>195</v>
      </c>
      <c r="M64" s="7" t="s">
        <v>29</v>
      </c>
      <c r="N64" s="7" t="s">
        <v>29</v>
      </c>
      <c r="O64" s="7" t="s">
        <v>29</v>
      </c>
      <c r="P64" s="7" t="s">
        <v>29</v>
      </c>
      <c r="Q64" s="7" t="s">
        <v>29</v>
      </c>
      <c r="R64" s="7" t="s">
        <v>29</v>
      </c>
      <c r="S64" s="7" t="s">
        <v>29</v>
      </c>
    </row>
    <row r="65" spans="2:19">
      <c r="B65" s="7" t="s">
        <v>195</v>
      </c>
      <c r="C65" s="8" t="s">
        <v>195</v>
      </c>
      <c r="D65" s="5" t="str">
        <f>LRTRIM(CONCATENATE(IF(SUMPRODUCT(-- ISNUMBER(SEARCH({"Auto Number"}, $B65))) &gt; 0, $B65, IF(SUMPRODUCT(-- ISNUMBER(SEARCH({"Lookup","Master-Detail"}, $B65))) &gt; 0,$B65 &amp; "(" &amp; $E65 &amp; ")",IF(SUMPRODUCT(-- ISNUMBER(SEARCH({"Formula","Roll-Up Summary"}, $B65))) &gt; 0,$B65 &amp; " (" &amp; $E65 &amp; ")",IF(SUMPRODUCT(-- ISNUMBER(SEARCH({"Content","Currency","Number","Percent","Text","URL"}, $B65))) &gt; 0,$B65 &amp; "(" &amp; $C65 &amp; ")",$B65)))), "  ", TRIM(IF($S65 = "YES", "(External ID)", "") &amp; " " &amp; IF(SUMPRODUCT(-- ISNUMBER(SEARCH({"Unique","Unique Case Insensitive"}, $R65))) &gt; 0, "(" &amp; $R65 &amp; ")", ""))))</f>
        <v>na</v>
      </c>
      <c r="E65" s="7" t="s">
        <v>195</v>
      </c>
      <c r="F65" s="7" t="s">
        <v>195</v>
      </c>
      <c r="G65" s="7" t="s">
        <v>195</v>
      </c>
      <c r="H65" s="7" t="s">
        <v>195</v>
      </c>
      <c r="I65" s="7" t="s">
        <v>195</v>
      </c>
      <c r="J65" s="7" t="s">
        <v>195</v>
      </c>
      <c r="K65" s="7" t="s">
        <v>195</v>
      </c>
      <c r="L65" s="7" t="s">
        <v>195</v>
      </c>
      <c r="M65" s="7" t="s">
        <v>29</v>
      </c>
      <c r="N65" s="7" t="s">
        <v>29</v>
      </c>
      <c r="O65" s="7" t="s">
        <v>29</v>
      </c>
      <c r="P65" s="7" t="s">
        <v>29</v>
      </c>
      <c r="Q65" s="7" t="s">
        <v>29</v>
      </c>
      <c r="R65" s="7" t="s">
        <v>29</v>
      </c>
      <c r="S65" s="7" t="s">
        <v>29</v>
      </c>
    </row>
    <row r="66" spans="2:19">
      <c r="B66" s="7" t="s">
        <v>195</v>
      </c>
      <c r="C66" s="8" t="s">
        <v>195</v>
      </c>
      <c r="D66" s="5" t="str">
        <f>LRTRIM(CONCATENATE(IF(SUMPRODUCT(-- ISNUMBER(SEARCH({"Auto Number"}, $B66))) &gt; 0, $B66, IF(SUMPRODUCT(-- ISNUMBER(SEARCH({"Lookup","Master-Detail"}, $B66))) &gt; 0,$B66 &amp; "(" &amp; $E66 &amp; ")",IF(SUMPRODUCT(-- ISNUMBER(SEARCH({"Formula","Roll-Up Summary"}, $B66))) &gt; 0,$B66 &amp; " (" &amp; $E66 &amp; ")",IF(SUMPRODUCT(-- ISNUMBER(SEARCH({"Content","Currency","Number","Percent","Text","URL"}, $B66))) &gt; 0,$B66 &amp; "(" &amp; $C66 &amp; ")",$B66)))), "  ", TRIM(IF($S66 = "YES", "(External ID)", "") &amp; " " &amp; IF(SUMPRODUCT(-- ISNUMBER(SEARCH({"Unique","Unique Case Insensitive"}, $R66))) &gt; 0, "(" &amp; $R66 &amp; ")", ""))))</f>
        <v>na</v>
      </c>
      <c r="E66" s="7" t="s">
        <v>195</v>
      </c>
      <c r="F66" s="7" t="s">
        <v>195</v>
      </c>
      <c r="G66" s="7" t="s">
        <v>195</v>
      </c>
      <c r="H66" s="7" t="s">
        <v>195</v>
      </c>
      <c r="I66" s="7" t="s">
        <v>195</v>
      </c>
      <c r="J66" s="7" t="s">
        <v>195</v>
      </c>
      <c r="K66" s="7" t="s">
        <v>195</v>
      </c>
      <c r="L66" s="7" t="s">
        <v>195</v>
      </c>
      <c r="M66" s="7" t="s">
        <v>29</v>
      </c>
      <c r="N66" s="7" t="s">
        <v>29</v>
      </c>
      <c r="O66" s="7" t="s">
        <v>29</v>
      </c>
      <c r="P66" s="7" t="s">
        <v>29</v>
      </c>
      <c r="Q66" s="7" t="s">
        <v>29</v>
      </c>
      <c r="R66" s="7" t="s">
        <v>29</v>
      </c>
      <c r="S66" s="7" t="s">
        <v>29</v>
      </c>
    </row>
    <row r="67" spans="2:19">
      <c r="B67" s="7" t="s">
        <v>195</v>
      </c>
      <c r="C67" s="8" t="s">
        <v>195</v>
      </c>
      <c r="D67" s="5" t="str">
        <f>LRTRIM(CONCATENATE(IF(SUMPRODUCT(-- ISNUMBER(SEARCH({"Auto Number"}, $B67))) &gt; 0, $B67, IF(SUMPRODUCT(-- ISNUMBER(SEARCH({"Lookup","Master-Detail"}, $B67))) &gt; 0,$B67 &amp; "(" &amp; $E67 &amp; ")",IF(SUMPRODUCT(-- ISNUMBER(SEARCH({"Formula","Roll-Up Summary"}, $B67))) &gt; 0,$B67 &amp; " (" &amp; $E67 &amp; ")",IF(SUMPRODUCT(-- ISNUMBER(SEARCH({"Content","Currency","Number","Percent","Text","URL"}, $B67))) &gt; 0,$B67 &amp; "(" &amp; $C67 &amp; ")",$B67)))), "  ", TRIM(IF($S67 = "YES", "(External ID)", "") &amp; " " &amp; IF(SUMPRODUCT(-- ISNUMBER(SEARCH({"Unique","Unique Case Insensitive"}, $R67))) &gt; 0, "(" &amp; $R67 &amp; ")", ""))))</f>
        <v>na</v>
      </c>
      <c r="E67" s="7" t="s">
        <v>195</v>
      </c>
      <c r="F67" s="7" t="s">
        <v>195</v>
      </c>
      <c r="G67" s="7" t="s">
        <v>195</v>
      </c>
      <c r="H67" s="7" t="s">
        <v>195</v>
      </c>
      <c r="I67" s="7" t="s">
        <v>195</v>
      </c>
      <c r="J67" s="7" t="s">
        <v>195</v>
      </c>
      <c r="K67" s="7" t="s">
        <v>195</v>
      </c>
      <c r="L67" s="7" t="s">
        <v>195</v>
      </c>
      <c r="M67" s="7" t="s">
        <v>29</v>
      </c>
      <c r="N67" s="7" t="s">
        <v>29</v>
      </c>
      <c r="O67" s="7" t="s">
        <v>29</v>
      </c>
      <c r="P67" s="7" t="s">
        <v>29</v>
      </c>
      <c r="Q67" s="7" t="s">
        <v>29</v>
      </c>
      <c r="R67" s="7" t="s">
        <v>29</v>
      </c>
      <c r="S67" s="7" t="s">
        <v>29</v>
      </c>
    </row>
    <row r="68" spans="2:19">
      <c r="B68" s="7" t="s">
        <v>195</v>
      </c>
      <c r="C68" s="8" t="s">
        <v>195</v>
      </c>
      <c r="D68" s="5" t="str">
        <f>LRTRIM(CONCATENATE(IF(SUMPRODUCT(-- ISNUMBER(SEARCH({"Auto Number"}, $B68))) &gt; 0, $B68, IF(SUMPRODUCT(-- ISNUMBER(SEARCH({"Lookup","Master-Detail"}, $B68))) &gt; 0,$B68 &amp; "(" &amp; $E68 &amp; ")",IF(SUMPRODUCT(-- ISNUMBER(SEARCH({"Formula","Roll-Up Summary"}, $B68))) &gt; 0,$B68 &amp; " (" &amp; $E68 &amp; ")",IF(SUMPRODUCT(-- ISNUMBER(SEARCH({"Content","Currency","Number","Percent","Text","URL"}, $B68))) &gt; 0,$B68 &amp; "(" &amp; $C68 &amp; ")",$B68)))), "  ", TRIM(IF($S68 = "YES", "(External ID)", "") &amp; " " &amp; IF(SUMPRODUCT(-- ISNUMBER(SEARCH({"Unique","Unique Case Insensitive"}, $R68))) &gt; 0, "(" &amp; $R68 &amp; ")", ""))))</f>
        <v>na</v>
      </c>
      <c r="E68" s="7" t="s">
        <v>195</v>
      </c>
      <c r="F68" s="7" t="s">
        <v>195</v>
      </c>
      <c r="G68" s="7" t="s">
        <v>195</v>
      </c>
      <c r="H68" s="7" t="s">
        <v>195</v>
      </c>
      <c r="I68" s="7" t="s">
        <v>195</v>
      </c>
      <c r="J68" s="7" t="s">
        <v>195</v>
      </c>
      <c r="K68" s="7" t="s">
        <v>195</v>
      </c>
      <c r="L68" s="7" t="s">
        <v>195</v>
      </c>
      <c r="M68" s="7" t="s">
        <v>29</v>
      </c>
      <c r="N68" s="7" t="s">
        <v>29</v>
      </c>
      <c r="O68" s="7" t="s">
        <v>29</v>
      </c>
      <c r="P68" s="7" t="s">
        <v>29</v>
      </c>
      <c r="Q68" s="7" t="s">
        <v>29</v>
      </c>
      <c r="R68" s="7" t="s">
        <v>29</v>
      </c>
      <c r="S68" s="7" t="s">
        <v>29</v>
      </c>
    </row>
    <row r="69" spans="2:19">
      <c r="B69" s="7" t="s">
        <v>195</v>
      </c>
      <c r="C69" s="8" t="s">
        <v>195</v>
      </c>
      <c r="D69" s="5" t="str">
        <f>LRTRIM(CONCATENATE(IF(SUMPRODUCT(-- ISNUMBER(SEARCH({"Auto Number"}, $B69))) &gt; 0, $B69, IF(SUMPRODUCT(-- ISNUMBER(SEARCH({"Lookup","Master-Detail"}, $B69))) &gt; 0,$B69 &amp; "(" &amp; $E69 &amp; ")",IF(SUMPRODUCT(-- ISNUMBER(SEARCH({"Formula","Roll-Up Summary"}, $B69))) &gt; 0,$B69 &amp; " (" &amp; $E69 &amp; ")",IF(SUMPRODUCT(-- ISNUMBER(SEARCH({"Content","Currency","Number","Percent","Text","URL"}, $B69))) &gt; 0,$B69 &amp; "(" &amp; $C69 &amp; ")",$B69)))), "  ", TRIM(IF($S69 = "YES", "(External ID)", "") &amp; " " &amp; IF(SUMPRODUCT(-- ISNUMBER(SEARCH({"Unique","Unique Case Insensitive"}, $R69))) &gt; 0, "(" &amp; $R69 &amp; ")", ""))))</f>
        <v>na</v>
      </c>
      <c r="E69" s="7" t="s">
        <v>195</v>
      </c>
      <c r="F69" s="7" t="s">
        <v>195</v>
      </c>
      <c r="G69" s="7" t="s">
        <v>195</v>
      </c>
      <c r="H69" s="7" t="s">
        <v>195</v>
      </c>
      <c r="I69" s="7" t="s">
        <v>195</v>
      </c>
      <c r="J69" s="7" t="s">
        <v>195</v>
      </c>
      <c r="K69" s="7" t="s">
        <v>195</v>
      </c>
      <c r="L69" s="7" t="s">
        <v>195</v>
      </c>
      <c r="M69" s="7" t="s">
        <v>29</v>
      </c>
      <c r="N69" s="7" t="s">
        <v>29</v>
      </c>
      <c r="O69" s="7" t="s">
        <v>29</v>
      </c>
      <c r="P69" s="7" t="s">
        <v>29</v>
      </c>
      <c r="Q69" s="7" t="s">
        <v>29</v>
      </c>
      <c r="R69" s="7" t="s">
        <v>29</v>
      </c>
      <c r="S69" s="7" t="s">
        <v>29</v>
      </c>
    </row>
    <row r="70" spans="2:19">
      <c r="B70" s="7" t="s">
        <v>195</v>
      </c>
      <c r="C70" s="8" t="s">
        <v>195</v>
      </c>
      <c r="D70" s="5" t="str">
        <f>LRTRIM(CONCATENATE(IF(SUMPRODUCT(-- ISNUMBER(SEARCH({"Auto Number"}, $B70))) &gt; 0, $B70, IF(SUMPRODUCT(-- ISNUMBER(SEARCH({"Lookup","Master-Detail"}, $B70))) &gt; 0,$B70 &amp; "(" &amp; $E70 &amp; ")",IF(SUMPRODUCT(-- ISNUMBER(SEARCH({"Formula","Roll-Up Summary"}, $B70))) &gt; 0,$B70 &amp; " (" &amp; $E70 &amp; ")",IF(SUMPRODUCT(-- ISNUMBER(SEARCH({"Content","Currency","Number","Percent","Text","URL"}, $B70))) &gt; 0,$B70 &amp; "(" &amp; $C70 &amp; ")",$B70)))), "  ", TRIM(IF($S70 = "YES", "(External ID)", "") &amp; " " &amp; IF(SUMPRODUCT(-- ISNUMBER(SEARCH({"Unique","Unique Case Insensitive"}, $R70))) &gt; 0, "(" &amp; $R70 &amp; ")", ""))))</f>
        <v>na</v>
      </c>
      <c r="E70" s="7" t="s">
        <v>195</v>
      </c>
      <c r="F70" s="7" t="s">
        <v>195</v>
      </c>
      <c r="G70" s="7" t="s">
        <v>195</v>
      </c>
      <c r="H70" s="7" t="s">
        <v>195</v>
      </c>
      <c r="I70" s="7" t="s">
        <v>195</v>
      </c>
      <c r="J70" s="7" t="s">
        <v>195</v>
      </c>
      <c r="K70" s="7" t="s">
        <v>195</v>
      </c>
      <c r="L70" s="7" t="s">
        <v>195</v>
      </c>
      <c r="M70" s="7" t="s">
        <v>29</v>
      </c>
      <c r="N70" s="7" t="s">
        <v>29</v>
      </c>
      <c r="O70" s="7" t="s">
        <v>29</v>
      </c>
      <c r="P70" s="7" t="s">
        <v>29</v>
      </c>
      <c r="Q70" s="7" t="s">
        <v>29</v>
      </c>
      <c r="R70" s="7" t="s">
        <v>29</v>
      </c>
      <c r="S70" s="7" t="s">
        <v>29</v>
      </c>
    </row>
    <row r="71" spans="2:19">
      <c r="B71" s="7" t="s">
        <v>195</v>
      </c>
      <c r="C71" s="8" t="s">
        <v>195</v>
      </c>
      <c r="D71" s="5" t="str">
        <f>LRTRIM(CONCATENATE(IF(SUMPRODUCT(-- ISNUMBER(SEARCH({"Auto Number"}, $B71))) &gt; 0, $B71, IF(SUMPRODUCT(-- ISNUMBER(SEARCH({"Lookup","Master-Detail"}, $B71))) &gt; 0,$B71 &amp; "(" &amp; $E71 &amp; ")",IF(SUMPRODUCT(-- ISNUMBER(SEARCH({"Formula","Roll-Up Summary"}, $B71))) &gt; 0,$B71 &amp; " (" &amp; $E71 &amp; ")",IF(SUMPRODUCT(-- ISNUMBER(SEARCH({"Content","Currency","Number","Percent","Text","URL"}, $B71))) &gt; 0,$B71 &amp; "(" &amp; $C71 &amp; ")",$B71)))), "  ", TRIM(IF($S71 = "YES", "(External ID)", "") &amp; " " &amp; IF(SUMPRODUCT(-- ISNUMBER(SEARCH({"Unique","Unique Case Insensitive"}, $R71))) &gt; 0, "(" &amp; $R71 &amp; ")", ""))))</f>
        <v>na</v>
      </c>
      <c r="E71" s="7" t="s">
        <v>195</v>
      </c>
      <c r="F71" s="7" t="s">
        <v>195</v>
      </c>
      <c r="G71" s="7" t="s">
        <v>195</v>
      </c>
      <c r="H71" s="7" t="s">
        <v>195</v>
      </c>
      <c r="I71" s="7" t="s">
        <v>195</v>
      </c>
      <c r="J71" s="7" t="s">
        <v>195</v>
      </c>
      <c r="K71" s="7" t="s">
        <v>195</v>
      </c>
      <c r="L71" s="7" t="s">
        <v>195</v>
      </c>
      <c r="M71" s="7" t="s">
        <v>29</v>
      </c>
      <c r="N71" s="7" t="s">
        <v>29</v>
      </c>
      <c r="O71" s="7" t="s">
        <v>29</v>
      </c>
      <c r="P71" s="7" t="s">
        <v>29</v>
      </c>
      <c r="Q71" s="7" t="s">
        <v>29</v>
      </c>
      <c r="R71" s="7" t="s">
        <v>29</v>
      </c>
      <c r="S71" s="7" t="s">
        <v>29</v>
      </c>
    </row>
    <row r="72" spans="2:19">
      <c r="B72" s="7" t="s">
        <v>195</v>
      </c>
      <c r="C72" s="8" t="s">
        <v>195</v>
      </c>
      <c r="D72" s="5" t="str">
        <f>LRTRIM(CONCATENATE(IF(SUMPRODUCT(-- ISNUMBER(SEARCH({"Auto Number"}, $B72))) &gt; 0, $B72, IF(SUMPRODUCT(-- ISNUMBER(SEARCH({"Lookup","Master-Detail"}, $B72))) &gt; 0,$B72 &amp; "(" &amp; $E72 &amp; ")",IF(SUMPRODUCT(-- ISNUMBER(SEARCH({"Formula","Roll-Up Summary"}, $B72))) &gt; 0,$B72 &amp; " (" &amp; $E72 &amp; ")",IF(SUMPRODUCT(-- ISNUMBER(SEARCH({"Content","Currency","Number","Percent","Text","URL"}, $B72))) &gt; 0,$B72 &amp; "(" &amp; $C72 &amp; ")",$B72)))), "  ", TRIM(IF($S72 = "YES", "(External ID)", "") &amp; " " &amp; IF(SUMPRODUCT(-- ISNUMBER(SEARCH({"Unique","Unique Case Insensitive"}, $R72))) &gt; 0, "(" &amp; $R72 &amp; ")", ""))))</f>
        <v>na</v>
      </c>
      <c r="E72" s="7" t="s">
        <v>195</v>
      </c>
      <c r="F72" s="7" t="s">
        <v>195</v>
      </c>
      <c r="G72" s="7" t="s">
        <v>195</v>
      </c>
      <c r="H72" s="7" t="s">
        <v>195</v>
      </c>
      <c r="I72" s="7" t="s">
        <v>195</v>
      </c>
      <c r="J72" s="7" t="s">
        <v>195</v>
      </c>
      <c r="K72" s="7" t="s">
        <v>195</v>
      </c>
      <c r="L72" s="7" t="s">
        <v>195</v>
      </c>
      <c r="M72" s="7" t="s">
        <v>29</v>
      </c>
      <c r="N72" s="7" t="s">
        <v>29</v>
      </c>
      <c r="O72" s="7" t="s">
        <v>29</v>
      </c>
      <c r="P72" s="7" t="s">
        <v>29</v>
      </c>
      <c r="Q72" s="7" t="s">
        <v>29</v>
      </c>
      <c r="R72" s="7" t="s">
        <v>29</v>
      </c>
      <c r="S72" s="7" t="s">
        <v>29</v>
      </c>
    </row>
    <row r="73" spans="2:19">
      <c r="B73" s="7" t="s">
        <v>195</v>
      </c>
      <c r="C73" s="8" t="s">
        <v>195</v>
      </c>
      <c r="D73" s="5" t="str">
        <f>LRTRIM(CONCATENATE(IF(SUMPRODUCT(-- ISNUMBER(SEARCH({"Auto Number"}, $B73))) &gt; 0, $B73, IF(SUMPRODUCT(-- ISNUMBER(SEARCH({"Lookup","Master-Detail"}, $B73))) &gt; 0,$B73 &amp; "(" &amp; $E73 &amp; ")",IF(SUMPRODUCT(-- ISNUMBER(SEARCH({"Formula","Roll-Up Summary"}, $B73))) &gt; 0,$B73 &amp; " (" &amp; $E73 &amp; ")",IF(SUMPRODUCT(-- ISNUMBER(SEARCH({"Content","Currency","Number","Percent","Text","URL"}, $B73))) &gt; 0,$B73 &amp; "(" &amp; $C73 &amp; ")",$B73)))), "  ", TRIM(IF($S73 = "YES", "(External ID)", "") &amp; " " &amp; IF(SUMPRODUCT(-- ISNUMBER(SEARCH({"Unique","Unique Case Insensitive"}, $R73))) &gt; 0, "(" &amp; $R73 &amp; ")", ""))))</f>
        <v>na</v>
      </c>
      <c r="E73" s="7" t="s">
        <v>195</v>
      </c>
      <c r="F73" s="7" t="s">
        <v>195</v>
      </c>
      <c r="G73" s="7" t="s">
        <v>195</v>
      </c>
      <c r="H73" s="7" t="s">
        <v>195</v>
      </c>
      <c r="I73" s="7" t="s">
        <v>195</v>
      </c>
      <c r="J73" s="7" t="s">
        <v>195</v>
      </c>
      <c r="K73" s="7" t="s">
        <v>195</v>
      </c>
      <c r="L73" s="7" t="s">
        <v>195</v>
      </c>
      <c r="M73" s="7" t="s">
        <v>29</v>
      </c>
      <c r="N73" s="7" t="s">
        <v>29</v>
      </c>
      <c r="O73" s="7" t="s">
        <v>29</v>
      </c>
      <c r="P73" s="7" t="s">
        <v>29</v>
      </c>
      <c r="Q73" s="7" t="s">
        <v>29</v>
      </c>
      <c r="R73" s="7" t="s">
        <v>29</v>
      </c>
      <c r="S73" s="7" t="s">
        <v>29</v>
      </c>
    </row>
    <row r="74" spans="2:19">
      <c r="B74" s="7" t="s">
        <v>195</v>
      </c>
      <c r="C74" s="8" t="s">
        <v>195</v>
      </c>
      <c r="D74" s="5" t="str">
        <f>LRTRIM(CONCATENATE(IF(SUMPRODUCT(-- ISNUMBER(SEARCH({"Auto Number"}, $B74))) &gt; 0, $B74, IF(SUMPRODUCT(-- ISNUMBER(SEARCH({"Lookup","Master-Detail"}, $B74))) &gt; 0,$B74 &amp; "(" &amp; $E74 &amp; ")",IF(SUMPRODUCT(-- ISNUMBER(SEARCH({"Formula","Roll-Up Summary"}, $B74))) &gt; 0,$B74 &amp; " (" &amp; $E74 &amp; ")",IF(SUMPRODUCT(-- ISNUMBER(SEARCH({"Content","Currency","Number","Percent","Text","URL"}, $B74))) &gt; 0,$B74 &amp; "(" &amp; $C74 &amp; ")",$B74)))), "  ", TRIM(IF($S74 = "YES", "(External ID)", "") &amp; " " &amp; IF(SUMPRODUCT(-- ISNUMBER(SEARCH({"Unique","Unique Case Insensitive"}, $R74))) &gt; 0, "(" &amp; $R74 &amp; ")", ""))))</f>
        <v>na</v>
      </c>
      <c r="E74" s="7" t="s">
        <v>195</v>
      </c>
      <c r="F74" s="7" t="s">
        <v>195</v>
      </c>
      <c r="G74" s="7" t="s">
        <v>195</v>
      </c>
      <c r="H74" s="7" t="s">
        <v>195</v>
      </c>
      <c r="I74" s="7" t="s">
        <v>195</v>
      </c>
      <c r="J74" s="7" t="s">
        <v>195</v>
      </c>
      <c r="K74" s="7" t="s">
        <v>195</v>
      </c>
      <c r="L74" s="7" t="s">
        <v>195</v>
      </c>
      <c r="M74" s="7" t="s">
        <v>29</v>
      </c>
      <c r="N74" s="7" t="s">
        <v>29</v>
      </c>
      <c r="O74" s="7" t="s">
        <v>29</v>
      </c>
      <c r="P74" s="7" t="s">
        <v>29</v>
      </c>
      <c r="Q74" s="7" t="s">
        <v>29</v>
      </c>
      <c r="R74" s="7" t="s">
        <v>29</v>
      </c>
      <c r="S74" s="7" t="s">
        <v>29</v>
      </c>
    </row>
    <row r="75" spans="2:19">
      <c r="B75" s="7" t="s">
        <v>195</v>
      </c>
      <c r="C75" s="8" t="s">
        <v>195</v>
      </c>
      <c r="D75" s="5" t="str">
        <f>LRTRIM(CONCATENATE(IF(SUMPRODUCT(-- ISNUMBER(SEARCH({"Auto Number"}, $B75))) &gt; 0, $B75, IF(SUMPRODUCT(-- ISNUMBER(SEARCH({"Lookup","Master-Detail"}, $B75))) &gt; 0,$B75 &amp; "(" &amp; $E75 &amp; ")",IF(SUMPRODUCT(-- ISNUMBER(SEARCH({"Formula","Roll-Up Summary"}, $B75))) &gt; 0,$B75 &amp; " (" &amp; $E75 &amp; ")",IF(SUMPRODUCT(-- ISNUMBER(SEARCH({"Content","Currency","Number","Percent","Text","URL"}, $B75))) &gt; 0,$B75 &amp; "(" &amp; $C75 &amp; ")",$B75)))), "  ", TRIM(IF($S75 = "YES", "(External ID)", "") &amp; " " &amp; IF(SUMPRODUCT(-- ISNUMBER(SEARCH({"Unique","Unique Case Insensitive"}, $R75))) &gt; 0, "(" &amp; $R75 &amp; ")", ""))))</f>
        <v>na</v>
      </c>
      <c r="E75" s="7" t="s">
        <v>195</v>
      </c>
      <c r="F75" s="7" t="s">
        <v>195</v>
      </c>
      <c r="G75" s="7" t="s">
        <v>195</v>
      </c>
      <c r="H75" s="7" t="s">
        <v>195</v>
      </c>
      <c r="I75" s="7" t="s">
        <v>195</v>
      </c>
      <c r="J75" s="7" t="s">
        <v>195</v>
      </c>
      <c r="K75" s="7" t="s">
        <v>195</v>
      </c>
      <c r="L75" s="7" t="s">
        <v>195</v>
      </c>
      <c r="M75" s="7" t="s">
        <v>29</v>
      </c>
      <c r="N75" s="7" t="s">
        <v>29</v>
      </c>
      <c r="O75" s="7" t="s">
        <v>29</v>
      </c>
      <c r="P75" s="7" t="s">
        <v>29</v>
      </c>
      <c r="Q75" s="7" t="s">
        <v>29</v>
      </c>
      <c r="R75" s="7" t="s">
        <v>29</v>
      </c>
      <c r="S75" s="7" t="s">
        <v>29</v>
      </c>
    </row>
    <row r="76" spans="2:19">
      <c r="B76" s="7" t="s">
        <v>195</v>
      </c>
      <c r="C76" s="8" t="s">
        <v>195</v>
      </c>
      <c r="D76" s="5" t="str">
        <f>LRTRIM(CONCATENATE(IF(SUMPRODUCT(-- ISNUMBER(SEARCH({"Auto Number"}, $B76))) &gt; 0, $B76, IF(SUMPRODUCT(-- ISNUMBER(SEARCH({"Lookup","Master-Detail"}, $B76))) &gt; 0,$B76 &amp; "(" &amp; $E76 &amp; ")",IF(SUMPRODUCT(-- ISNUMBER(SEARCH({"Formula","Roll-Up Summary"}, $B76))) &gt; 0,$B76 &amp; " (" &amp; $E76 &amp; ")",IF(SUMPRODUCT(-- ISNUMBER(SEARCH({"Content","Currency","Number","Percent","Text","URL"}, $B76))) &gt; 0,$B76 &amp; "(" &amp; $C76 &amp; ")",$B76)))), "  ", TRIM(IF($S76 = "YES", "(External ID)", "") &amp; " " &amp; IF(SUMPRODUCT(-- ISNUMBER(SEARCH({"Unique","Unique Case Insensitive"}, $R76))) &gt; 0, "(" &amp; $R76 &amp; ")", ""))))</f>
        <v>na</v>
      </c>
      <c r="E76" s="7" t="s">
        <v>195</v>
      </c>
      <c r="F76" s="7" t="s">
        <v>195</v>
      </c>
      <c r="G76" s="7" t="s">
        <v>195</v>
      </c>
      <c r="H76" s="7" t="s">
        <v>195</v>
      </c>
      <c r="I76" s="7" t="s">
        <v>195</v>
      </c>
      <c r="J76" s="7" t="s">
        <v>195</v>
      </c>
      <c r="K76" s="7" t="s">
        <v>195</v>
      </c>
      <c r="L76" s="7" t="s">
        <v>195</v>
      </c>
      <c r="M76" s="7" t="s">
        <v>29</v>
      </c>
      <c r="N76" s="7" t="s">
        <v>29</v>
      </c>
      <c r="O76" s="7" t="s">
        <v>29</v>
      </c>
      <c r="P76" s="7" t="s">
        <v>29</v>
      </c>
      <c r="Q76" s="7" t="s">
        <v>29</v>
      </c>
      <c r="R76" s="7" t="s">
        <v>29</v>
      </c>
      <c r="S76" s="7" t="s">
        <v>29</v>
      </c>
    </row>
    <row r="77" spans="2:19">
      <c r="B77" s="7" t="s">
        <v>195</v>
      </c>
      <c r="C77" s="8" t="s">
        <v>195</v>
      </c>
      <c r="D77" s="5" t="str">
        <f>LRTRIM(CONCATENATE(IF(SUMPRODUCT(-- ISNUMBER(SEARCH({"Auto Number"}, $B77))) &gt; 0, $B77, IF(SUMPRODUCT(-- ISNUMBER(SEARCH({"Lookup","Master-Detail"}, $B77))) &gt; 0,$B77 &amp; "(" &amp; $E77 &amp; ")",IF(SUMPRODUCT(-- ISNUMBER(SEARCH({"Formula","Roll-Up Summary"}, $B77))) &gt; 0,$B77 &amp; " (" &amp; $E77 &amp; ")",IF(SUMPRODUCT(-- ISNUMBER(SEARCH({"Content","Currency","Number","Percent","Text","URL"}, $B77))) &gt; 0,$B77 &amp; "(" &amp; $C77 &amp; ")",$B77)))), "  ", TRIM(IF($S77 = "YES", "(External ID)", "") &amp; " " &amp; IF(SUMPRODUCT(-- ISNUMBER(SEARCH({"Unique","Unique Case Insensitive"}, $R77))) &gt; 0, "(" &amp; $R77 &amp; ")", ""))))</f>
        <v>na</v>
      </c>
      <c r="E77" s="7" t="s">
        <v>195</v>
      </c>
      <c r="F77" s="7" t="s">
        <v>195</v>
      </c>
      <c r="G77" s="7" t="s">
        <v>195</v>
      </c>
      <c r="H77" s="7" t="s">
        <v>195</v>
      </c>
      <c r="I77" s="7" t="s">
        <v>195</v>
      </c>
      <c r="J77" s="7" t="s">
        <v>195</v>
      </c>
      <c r="K77" s="7" t="s">
        <v>195</v>
      </c>
      <c r="L77" s="7" t="s">
        <v>195</v>
      </c>
      <c r="M77" s="7" t="s">
        <v>29</v>
      </c>
      <c r="N77" s="7" t="s">
        <v>29</v>
      </c>
      <c r="O77" s="7" t="s">
        <v>29</v>
      </c>
      <c r="P77" s="7" t="s">
        <v>29</v>
      </c>
      <c r="Q77" s="7" t="s">
        <v>29</v>
      </c>
      <c r="R77" s="7" t="s">
        <v>29</v>
      </c>
      <c r="S77" s="7" t="s">
        <v>29</v>
      </c>
    </row>
    <row r="78" spans="2:19">
      <c r="B78" s="7" t="s">
        <v>195</v>
      </c>
      <c r="C78" s="8" t="s">
        <v>195</v>
      </c>
      <c r="D78" s="5" t="str">
        <f>LRTRIM(CONCATENATE(IF(SUMPRODUCT(-- ISNUMBER(SEARCH({"Auto Number"}, $B78))) &gt; 0, $B78, IF(SUMPRODUCT(-- ISNUMBER(SEARCH({"Lookup","Master-Detail"}, $B78))) &gt; 0,$B78 &amp; "(" &amp; $E78 &amp; ")",IF(SUMPRODUCT(-- ISNUMBER(SEARCH({"Formula","Roll-Up Summary"}, $B78))) &gt; 0,$B78 &amp; " (" &amp; $E78 &amp; ")",IF(SUMPRODUCT(-- ISNUMBER(SEARCH({"Content","Currency","Number","Percent","Text","URL"}, $B78))) &gt; 0,$B78 &amp; "(" &amp; $C78 &amp; ")",$B78)))), "  ", TRIM(IF($S78 = "YES", "(External ID)", "") &amp; " " &amp; IF(SUMPRODUCT(-- ISNUMBER(SEARCH({"Unique","Unique Case Insensitive"}, $R78))) &gt; 0, "(" &amp; $R78 &amp; ")", ""))))</f>
        <v>na</v>
      </c>
      <c r="E78" s="7" t="s">
        <v>195</v>
      </c>
      <c r="F78" s="7" t="s">
        <v>195</v>
      </c>
      <c r="G78" s="7" t="s">
        <v>195</v>
      </c>
      <c r="H78" s="7" t="s">
        <v>195</v>
      </c>
      <c r="I78" s="7" t="s">
        <v>195</v>
      </c>
      <c r="J78" s="7" t="s">
        <v>195</v>
      </c>
      <c r="K78" s="7" t="s">
        <v>195</v>
      </c>
      <c r="L78" s="7" t="s">
        <v>195</v>
      </c>
      <c r="M78" s="7" t="s">
        <v>29</v>
      </c>
      <c r="N78" s="7" t="s">
        <v>29</v>
      </c>
      <c r="O78" s="7" t="s">
        <v>29</v>
      </c>
      <c r="P78" s="7" t="s">
        <v>29</v>
      </c>
      <c r="Q78" s="7" t="s">
        <v>29</v>
      </c>
      <c r="R78" s="7" t="s">
        <v>29</v>
      </c>
      <c r="S78" s="7" t="s">
        <v>29</v>
      </c>
    </row>
    <row r="79" spans="2:19">
      <c r="B79" s="7" t="s">
        <v>195</v>
      </c>
      <c r="C79" s="8" t="s">
        <v>195</v>
      </c>
      <c r="D79" s="5" t="str">
        <f>LRTRIM(CONCATENATE(IF(SUMPRODUCT(-- ISNUMBER(SEARCH({"Auto Number"}, $B79))) &gt; 0, $B79, IF(SUMPRODUCT(-- ISNUMBER(SEARCH({"Lookup","Master-Detail"}, $B79))) &gt; 0,$B79 &amp; "(" &amp; $E79 &amp; ")",IF(SUMPRODUCT(-- ISNUMBER(SEARCH({"Formula","Roll-Up Summary"}, $B79))) &gt; 0,$B79 &amp; " (" &amp; $E79 &amp; ")",IF(SUMPRODUCT(-- ISNUMBER(SEARCH({"Content","Currency","Number","Percent","Text","URL"}, $B79))) &gt; 0,$B79 &amp; "(" &amp; $C79 &amp; ")",$B79)))), "  ", TRIM(IF($S79 = "YES", "(External ID)", "") &amp; " " &amp; IF(SUMPRODUCT(-- ISNUMBER(SEARCH({"Unique","Unique Case Insensitive"}, $R79))) &gt; 0, "(" &amp; $R79 &amp; ")", ""))))</f>
        <v>na</v>
      </c>
      <c r="E79" s="7" t="s">
        <v>195</v>
      </c>
      <c r="F79" s="7" t="s">
        <v>195</v>
      </c>
      <c r="G79" s="7" t="s">
        <v>195</v>
      </c>
      <c r="H79" s="7" t="s">
        <v>195</v>
      </c>
      <c r="I79" s="7" t="s">
        <v>195</v>
      </c>
      <c r="J79" s="7" t="s">
        <v>195</v>
      </c>
      <c r="K79" s="7" t="s">
        <v>195</v>
      </c>
      <c r="L79" s="7" t="s">
        <v>195</v>
      </c>
      <c r="M79" s="7" t="s">
        <v>29</v>
      </c>
      <c r="N79" s="7" t="s">
        <v>29</v>
      </c>
      <c r="O79" s="7" t="s">
        <v>29</v>
      </c>
      <c r="P79" s="7" t="s">
        <v>29</v>
      </c>
      <c r="Q79" s="7" t="s">
        <v>29</v>
      </c>
      <c r="R79" s="7" t="s">
        <v>29</v>
      </c>
      <c r="S79" s="7" t="s">
        <v>29</v>
      </c>
    </row>
    <row r="80" spans="2:19">
      <c r="B80" s="7" t="s">
        <v>195</v>
      </c>
      <c r="C80" s="8" t="s">
        <v>195</v>
      </c>
      <c r="D80" s="5" t="str">
        <f>LRTRIM(CONCATENATE(IF(SUMPRODUCT(-- ISNUMBER(SEARCH({"Auto Number"}, $B80))) &gt; 0, $B80, IF(SUMPRODUCT(-- ISNUMBER(SEARCH({"Lookup","Master-Detail"}, $B80))) &gt; 0,$B80 &amp; "(" &amp; $E80 &amp; ")",IF(SUMPRODUCT(-- ISNUMBER(SEARCH({"Formula","Roll-Up Summary"}, $B80))) &gt; 0,$B80 &amp; " (" &amp; $E80 &amp; ")",IF(SUMPRODUCT(-- ISNUMBER(SEARCH({"Content","Currency","Number","Percent","Text","URL"}, $B80))) &gt; 0,$B80 &amp; "(" &amp; $C80 &amp; ")",$B80)))), "  ", TRIM(IF($S80 = "YES", "(External ID)", "") &amp; " " &amp; IF(SUMPRODUCT(-- ISNUMBER(SEARCH({"Unique","Unique Case Insensitive"}, $R80))) &gt; 0, "(" &amp; $R80 &amp; ")", ""))))</f>
        <v>na</v>
      </c>
      <c r="E80" s="7" t="s">
        <v>195</v>
      </c>
      <c r="F80" s="7" t="s">
        <v>195</v>
      </c>
      <c r="G80" s="7" t="s">
        <v>195</v>
      </c>
      <c r="H80" s="7" t="s">
        <v>195</v>
      </c>
      <c r="I80" s="7" t="s">
        <v>195</v>
      </c>
      <c r="J80" s="7" t="s">
        <v>195</v>
      </c>
      <c r="K80" s="7" t="s">
        <v>195</v>
      </c>
      <c r="L80" s="7" t="s">
        <v>195</v>
      </c>
      <c r="M80" s="7" t="s">
        <v>29</v>
      </c>
      <c r="N80" s="7" t="s">
        <v>29</v>
      </c>
      <c r="O80" s="7" t="s">
        <v>29</v>
      </c>
      <c r="P80" s="7" t="s">
        <v>29</v>
      </c>
      <c r="Q80" s="7" t="s">
        <v>29</v>
      </c>
      <c r="R80" s="7" t="s">
        <v>29</v>
      </c>
      <c r="S80" s="7" t="s">
        <v>29</v>
      </c>
    </row>
    <row r="81" spans="2:19">
      <c r="B81" s="7" t="s">
        <v>195</v>
      </c>
      <c r="C81" s="8" t="s">
        <v>195</v>
      </c>
      <c r="D81" s="5" t="str">
        <f>LRTRIM(CONCATENATE(IF(SUMPRODUCT(-- ISNUMBER(SEARCH({"Auto Number"}, $B81))) &gt; 0, $B81, IF(SUMPRODUCT(-- ISNUMBER(SEARCH({"Lookup","Master-Detail"}, $B81))) &gt; 0,$B81 &amp; "(" &amp; $E81 &amp; ")",IF(SUMPRODUCT(-- ISNUMBER(SEARCH({"Formula","Roll-Up Summary"}, $B81))) &gt; 0,$B81 &amp; " (" &amp; $E81 &amp; ")",IF(SUMPRODUCT(-- ISNUMBER(SEARCH({"Content","Currency","Number","Percent","Text","URL"}, $B81))) &gt; 0,$B81 &amp; "(" &amp; $C81 &amp; ")",$B81)))), "  ", TRIM(IF($S81 = "YES", "(External ID)", "") &amp; " " &amp; IF(SUMPRODUCT(-- ISNUMBER(SEARCH({"Unique","Unique Case Insensitive"}, $R81))) &gt; 0, "(" &amp; $R81 &amp; ")", ""))))</f>
        <v>na</v>
      </c>
      <c r="E81" s="7" t="s">
        <v>195</v>
      </c>
      <c r="F81" s="7" t="s">
        <v>195</v>
      </c>
      <c r="G81" s="7" t="s">
        <v>195</v>
      </c>
      <c r="H81" s="7" t="s">
        <v>195</v>
      </c>
      <c r="I81" s="7" t="s">
        <v>195</v>
      </c>
      <c r="J81" s="7" t="s">
        <v>195</v>
      </c>
      <c r="K81" s="7" t="s">
        <v>195</v>
      </c>
      <c r="L81" s="7" t="s">
        <v>195</v>
      </c>
      <c r="M81" s="7" t="s">
        <v>29</v>
      </c>
      <c r="N81" s="7" t="s">
        <v>29</v>
      </c>
      <c r="O81" s="7" t="s">
        <v>29</v>
      </c>
      <c r="P81" s="7" t="s">
        <v>29</v>
      </c>
      <c r="Q81" s="7" t="s">
        <v>29</v>
      </c>
      <c r="R81" s="7" t="s">
        <v>29</v>
      </c>
      <c r="S81" s="7" t="s">
        <v>29</v>
      </c>
    </row>
    <row r="82" spans="2:19">
      <c r="B82" s="7" t="s">
        <v>195</v>
      </c>
      <c r="C82" s="8" t="s">
        <v>195</v>
      </c>
      <c r="D82" s="5" t="str">
        <f>LRTRIM(CONCATENATE(IF(SUMPRODUCT(-- ISNUMBER(SEARCH({"Auto Number"}, $B82))) &gt; 0, $B82, IF(SUMPRODUCT(-- ISNUMBER(SEARCH({"Lookup","Master-Detail"}, $B82))) &gt; 0,$B82 &amp; "(" &amp; $E82 &amp; ")",IF(SUMPRODUCT(-- ISNUMBER(SEARCH({"Formula","Roll-Up Summary"}, $B82))) &gt; 0,$B82 &amp; " (" &amp; $E82 &amp; ")",IF(SUMPRODUCT(-- ISNUMBER(SEARCH({"Content","Currency","Number","Percent","Text","URL"}, $B82))) &gt; 0,$B82 &amp; "(" &amp; $C82 &amp; ")",$B82)))), "  ", TRIM(IF($S82 = "YES", "(External ID)", "") &amp; " " &amp; IF(SUMPRODUCT(-- ISNUMBER(SEARCH({"Unique","Unique Case Insensitive"}, $R82))) &gt; 0, "(" &amp; $R82 &amp; ")", ""))))</f>
        <v>na</v>
      </c>
      <c r="E82" s="7" t="s">
        <v>195</v>
      </c>
      <c r="F82" s="7" t="s">
        <v>195</v>
      </c>
      <c r="G82" s="7" t="s">
        <v>195</v>
      </c>
      <c r="H82" s="7" t="s">
        <v>195</v>
      </c>
      <c r="I82" s="7" t="s">
        <v>195</v>
      </c>
      <c r="J82" s="7" t="s">
        <v>195</v>
      </c>
      <c r="K82" s="7" t="s">
        <v>195</v>
      </c>
      <c r="L82" s="7" t="s">
        <v>195</v>
      </c>
      <c r="M82" s="7" t="s">
        <v>29</v>
      </c>
      <c r="N82" s="7" t="s">
        <v>29</v>
      </c>
      <c r="O82" s="7" t="s">
        <v>29</v>
      </c>
      <c r="P82" s="7" t="s">
        <v>29</v>
      </c>
      <c r="Q82" s="7" t="s">
        <v>29</v>
      </c>
      <c r="R82" s="7" t="s">
        <v>29</v>
      </c>
      <c r="S82" s="7" t="s">
        <v>29</v>
      </c>
    </row>
    <row r="83" spans="2:19">
      <c r="B83" s="7" t="s">
        <v>195</v>
      </c>
      <c r="C83" s="8" t="s">
        <v>195</v>
      </c>
      <c r="D83" s="5" t="str">
        <f>LRTRIM(CONCATENATE(IF(SUMPRODUCT(-- ISNUMBER(SEARCH({"Auto Number"}, $B83))) &gt; 0, $B83, IF(SUMPRODUCT(-- ISNUMBER(SEARCH({"Lookup","Master-Detail"}, $B83))) &gt; 0,$B83 &amp; "(" &amp; $E83 &amp; ")",IF(SUMPRODUCT(-- ISNUMBER(SEARCH({"Formula","Roll-Up Summary"}, $B83))) &gt; 0,$B83 &amp; " (" &amp; $E83 &amp; ")",IF(SUMPRODUCT(-- ISNUMBER(SEARCH({"Content","Currency","Number","Percent","Text","URL"}, $B83))) &gt; 0,$B83 &amp; "(" &amp; $C83 &amp; ")",$B83)))), "  ", TRIM(IF($S83 = "YES", "(External ID)", "") &amp; " " &amp; IF(SUMPRODUCT(-- ISNUMBER(SEARCH({"Unique","Unique Case Insensitive"}, $R83))) &gt; 0, "(" &amp; $R83 &amp; ")", ""))))</f>
        <v>na</v>
      </c>
      <c r="E83" s="7" t="s">
        <v>195</v>
      </c>
      <c r="F83" s="7" t="s">
        <v>195</v>
      </c>
      <c r="G83" s="7" t="s">
        <v>195</v>
      </c>
      <c r="H83" s="7" t="s">
        <v>195</v>
      </c>
      <c r="I83" s="7" t="s">
        <v>195</v>
      </c>
      <c r="J83" s="7" t="s">
        <v>195</v>
      </c>
      <c r="K83" s="7" t="s">
        <v>195</v>
      </c>
      <c r="L83" s="7" t="s">
        <v>195</v>
      </c>
      <c r="M83" s="7" t="s">
        <v>29</v>
      </c>
      <c r="N83" s="7" t="s">
        <v>29</v>
      </c>
      <c r="O83" s="7" t="s">
        <v>29</v>
      </c>
      <c r="P83" s="7" t="s">
        <v>29</v>
      </c>
      <c r="Q83" s="7" t="s">
        <v>29</v>
      </c>
      <c r="R83" s="7" t="s">
        <v>29</v>
      </c>
      <c r="S83" s="7" t="s">
        <v>29</v>
      </c>
    </row>
    <row r="84" spans="2:19">
      <c r="B84" s="7" t="s">
        <v>195</v>
      </c>
      <c r="C84" s="8" t="s">
        <v>195</v>
      </c>
      <c r="D84" s="5" t="str">
        <f>LRTRIM(CONCATENATE(IF(SUMPRODUCT(-- ISNUMBER(SEARCH({"Auto Number"}, $B84))) &gt; 0, $B84, IF(SUMPRODUCT(-- ISNUMBER(SEARCH({"Lookup","Master-Detail"}, $B84))) &gt; 0,$B84 &amp; "(" &amp; $E84 &amp; ")",IF(SUMPRODUCT(-- ISNUMBER(SEARCH({"Formula","Roll-Up Summary"}, $B84))) &gt; 0,$B84 &amp; " (" &amp; $E84 &amp; ")",IF(SUMPRODUCT(-- ISNUMBER(SEARCH({"Content","Currency","Number","Percent","Text","URL"}, $B84))) &gt; 0,$B84 &amp; "(" &amp; $C84 &amp; ")",$B84)))), "  ", TRIM(IF($S84 = "YES", "(External ID)", "") &amp; " " &amp; IF(SUMPRODUCT(-- ISNUMBER(SEARCH({"Unique","Unique Case Insensitive"}, $R84))) &gt; 0, "(" &amp; $R84 &amp; ")", ""))))</f>
        <v>na</v>
      </c>
      <c r="E84" s="7" t="s">
        <v>195</v>
      </c>
      <c r="F84" s="7" t="s">
        <v>195</v>
      </c>
      <c r="G84" s="7" t="s">
        <v>195</v>
      </c>
      <c r="H84" s="7" t="s">
        <v>195</v>
      </c>
      <c r="I84" s="7" t="s">
        <v>195</v>
      </c>
      <c r="J84" s="7" t="s">
        <v>195</v>
      </c>
      <c r="K84" s="7" t="s">
        <v>195</v>
      </c>
      <c r="L84" s="7" t="s">
        <v>195</v>
      </c>
      <c r="M84" s="7" t="s">
        <v>29</v>
      </c>
      <c r="N84" s="7" t="s">
        <v>29</v>
      </c>
      <c r="O84" s="7" t="s">
        <v>29</v>
      </c>
      <c r="P84" s="7" t="s">
        <v>29</v>
      </c>
      <c r="Q84" s="7" t="s">
        <v>29</v>
      </c>
      <c r="R84" s="7" t="s">
        <v>29</v>
      </c>
      <c r="S84" s="7" t="s">
        <v>29</v>
      </c>
    </row>
    <row r="85" spans="2:19">
      <c r="B85" s="7" t="s">
        <v>195</v>
      </c>
      <c r="C85" s="8" t="s">
        <v>195</v>
      </c>
      <c r="D85" s="5" t="str">
        <f>LRTRIM(CONCATENATE(IF(SUMPRODUCT(-- ISNUMBER(SEARCH({"Auto Number"}, $B85))) &gt; 0, $B85, IF(SUMPRODUCT(-- ISNUMBER(SEARCH({"Lookup","Master-Detail"}, $B85))) &gt; 0,$B85 &amp; "(" &amp; $E85 &amp; ")",IF(SUMPRODUCT(-- ISNUMBER(SEARCH({"Formula","Roll-Up Summary"}, $B85))) &gt; 0,$B85 &amp; " (" &amp; $E85 &amp; ")",IF(SUMPRODUCT(-- ISNUMBER(SEARCH({"Content","Currency","Number","Percent","Text","URL"}, $B85))) &gt; 0,$B85 &amp; "(" &amp; $C85 &amp; ")",$B85)))), "  ", TRIM(IF($S85 = "YES", "(External ID)", "") &amp; " " &amp; IF(SUMPRODUCT(-- ISNUMBER(SEARCH({"Unique","Unique Case Insensitive"}, $R85))) &gt; 0, "(" &amp; $R85 &amp; ")", ""))))</f>
        <v>na</v>
      </c>
      <c r="E85" s="7" t="s">
        <v>195</v>
      </c>
      <c r="F85" s="7" t="s">
        <v>195</v>
      </c>
      <c r="G85" s="7" t="s">
        <v>195</v>
      </c>
      <c r="H85" s="7" t="s">
        <v>195</v>
      </c>
      <c r="I85" s="7" t="s">
        <v>195</v>
      </c>
      <c r="J85" s="7" t="s">
        <v>195</v>
      </c>
      <c r="K85" s="7" t="s">
        <v>195</v>
      </c>
      <c r="L85" s="7" t="s">
        <v>195</v>
      </c>
      <c r="M85" s="7" t="s">
        <v>29</v>
      </c>
      <c r="N85" s="7" t="s">
        <v>29</v>
      </c>
      <c r="O85" s="7" t="s">
        <v>29</v>
      </c>
      <c r="P85" s="7" t="s">
        <v>29</v>
      </c>
      <c r="Q85" s="7" t="s">
        <v>29</v>
      </c>
      <c r="R85" s="7" t="s">
        <v>29</v>
      </c>
      <c r="S85" s="7" t="s">
        <v>29</v>
      </c>
    </row>
    <row r="86" spans="2:19">
      <c r="B86" s="7" t="s">
        <v>195</v>
      </c>
      <c r="C86" s="8" t="s">
        <v>195</v>
      </c>
      <c r="D86" s="5" t="str">
        <f>LRTRIM(CONCATENATE(IF(SUMPRODUCT(-- ISNUMBER(SEARCH({"Auto Number"}, $B86))) &gt; 0, $B86, IF(SUMPRODUCT(-- ISNUMBER(SEARCH({"Lookup","Master-Detail"}, $B86))) &gt; 0,$B86 &amp; "(" &amp; $E86 &amp; ")",IF(SUMPRODUCT(-- ISNUMBER(SEARCH({"Formula","Roll-Up Summary"}, $B86))) &gt; 0,$B86 &amp; " (" &amp; $E86 &amp; ")",IF(SUMPRODUCT(-- ISNUMBER(SEARCH({"Content","Currency","Number","Percent","Text","URL"}, $B86))) &gt; 0,$B86 &amp; "(" &amp; $C86 &amp; ")",$B86)))), "  ", TRIM(IF($S86 = "YES", "(External ID)", "") &amp; " " &amp; IF(SUMPRODUCT(-- ISNUMBER(SEARCH({"Unique","Unique Case Insensitive"}, $R86))) &gt; 0, "(" &amp; $R86 &amp; ")", ""))))</f>
        <v>na</v>
      </c>
      <c r="E86" s="7" t="s">
        <v>195</v>
      </c>
      <c r="F86" s="7" t="s">
        <v>195</v>
      </c>
      <c r="G86" s="7" t="s">
        <v>195</v>
      </c>
      <c r="H86" s="7" t="s">
        <v>195</v>
      </c>
      <c r="I86" s="7" t="s">
        <v>195</v>
      </c>
      <c r="J86" s="7" t="s">
        <v>195</v>
      </c>
      <c r="K86" s="7" t="s">
        <v>195</v>
      </c>
      <c r="L86" s="7" t="s">
        <v>195</v>
      </c>
      <c r="M86" s="7" t="s">
        <v>29</v>
      </c>
      <c r="N86" s="7" t="s">
        <v>29</v>
      </c>
      <c r="O86" s="7" t="s">
        <v>29</v>
      </c>
      <c r="P86" s="7" t="s">
        <v>29</v>
      </c>
      <c r="Q86" s="7" t="s">
        <v>29</v>
      </c>
      <c r="R86" s="7" t="s">
        <v>29</v>
      </c>
      <c r="S86" s="7" t="s">
        <v>29</v>
      </c>
    </row>
    <row r="87" spans="2:19">
      <c r="B87" s="7" t="s">
        <v>195</v>
      </c>
      <c r="C87" s="8" t="s">
        <v>195</v>
      </c>
      <c r="D87" s="5" t="str">
        <f>LRTRIM(CONCATENATE(IF(SUMPRODUCT(-- ISNUMBER(SEARCH({"Auto Number"}, $B87))) &gt; 0, $B87, IF(SUMPRODUCT(-- ISNUMBER(SEARCH({"Lookup","Master-Detail"}, $B87))) &gt; 0,$B87 &amp; "(" &amp; $E87 &amp; ")",IF(SUMPRODUCT(-- ISNUMBER(SEARCH({"Formula","Roll-Up Summary"}, $B87))) &gt; 0,$B87 &amp; " (" &amp; $E87 &amp; ")",IF(SUMPRODUCT(-- ISNUMBER(SEARCH({"Content","Currency","Number","Percent","Text","URL"}, $B87))) &gt; 0,$B87 &amp; "(" &amp; $C87 &amp; ")",$B87)))), "  ", TRIM(IF($S87 = "YES", "(External ID)", "") &amp; " " &amp; IF(SUMPRODUCT(-- ISNUMBER(SEARCH({"Unique","Unique Case Insensitive"}, $R87))) &gt; 0, "(" &amp; $R87 &amp; ")", ""))))</f>
        <v>na</v>
      </c>
      <c r="E87" s="7" t="s">
        <v>195</v>
      </c>
      <c r="F87" s="7" t="s">
        <v>195</v>
      </c>
      <c r="G87" s="7" t="s">
        <v>195</v>
      </c>
      <c r="H87" s="7" t="s">
        <v>195</v>
      </c>
      <c r="I87" s="7" t="s">
        <v>195</v>
      </c>
      <c r="J87" s="7" t="s">
        <v>195</v>
      </c>
      <c r="K87" s="7" t="s">
        <v>195</v>
      </c>
      <c r="L87" s="7" t="s">
        <v>195</v>
      </c>
      <c r="M87" s="7" t="s">
        <v>29</v>
      </c>
      <c r="N87" s="7" t="s">
        <v>29</v>
      </c>
      <c r="O87" s="7" t="s">
        <v>29</v>
      </c>
      <c r="P87" s="7" t="s">
        <v>29</v>
      </c>
      <c r="Q87" s="7" t="s">
        <v>29</v>
      </c>
      <c r="R87" s="7" t="s">
        <v>29</v>
      </c>
      <c r="S87" s="7" t="s">
        <v>29</v>
      </c>
    </row>
    <row r="88" spans="2:19">
      <c r="B88" s="7" t="s">
        <v>195</v>
      </c>
      <c r="C88" s="8" t="s">
        <v>195</v>
      </c>
      <c r="D88" s="5" t="str">
        <f>LRTRIM(CONCATENATE(IF(SUMPRODUCT(-- ISNUMBER(SEARCH({"Auto Number"}, $B88))) &gt; 0, $B88, IF(SUMPRODUCT(-- ISNUMBER(SEARCH({"Lookup","Master-Detail"}, $B88))) &gt; 0,$B88 &amp; "(" &amp; $E88 &amp; ")",IF(SUMPRODUCT(-- ISNUMBER(SEARCH({"Formula","Roll-Up Summary"}, $B88))) &gt; 0,$B88 &amp; " (" &amp; $E88 &amp; ")",IF(SUMPRODUCT(-- ISNUMBER(SEARCH({"Content","Currency","Number","Percent","Text","URL"}, $B88))) &gt; 0,$B88 &amp; "(" &amp; $C88 &amp; ")",$B88)))), "  ", TRIM(IF($S88 = "YES", "(External ID)", "") &amp; " " &amp; IF(SUMPRODUCT(-- ISNUMBER(SEARCH({"Unique","Unique Case Insensitive"}, $R88))) &gt; 0, "(" &amp; $R88 &amp; ")", ""))))</f>
        <v>na</v>
      </c>
      <c r="E88" s="7" t="s">
        <v>195</v>
      </c>
      <c r="F88" s="7" t="s">
        <v>195</v>
      </c>
      <c r="G88" s="7" t="s">
        <v>195</v>
      </c>
      <c r="H88" s="7" t="s">
        <v>195</v>
      </c>
      <c r="I88" s="7" t="s">
        <v>195</v>
      </c>
      <c r="J88" s="7" t="s">
        <v>195</v>
      </c>
      <c r="K88" s="7" t="s">
        <v>195</v>
      </c>
      <c r="L88" s="7" t="s">
        <v>195</v>
      </c>
      <c r="M88" s="7" t="s">
        <v>29</v>
      </c>
      <c r="N88" s="7" t="s">
        <v>29</v>
      </c>
      <c r="O88" s="7" t="s">
        <v>29</v>
      </c>
      <c r="P88" s="7" t="s">
        <v>29</v>
      </c>
      <c r="Q88" s="7" t="s">
        <v>29</v>
      </c>
      <c r="R88" s="7" t="s">
        <v>29</v>
      </c>
      <c r="S88" s="7" t="s">
        <v>29</v>
      </c>
    </row>
    <row r="89" spans="2:19">
      <c r="B89" s="7" t="s">
        <v>195</v>
      </c>
      <c r="C89" s="8" t="s">
        <v>195</v>
      </c>
      <c r="D89" s="5" t="str">
        <f>LRTRIM(CONCATENATE(IF(SUMPRODUCT(-- ISNUMBER(SEARCH({"Auto Number"}, $B89))) &gt; 0, $B89, IF(SUMPRODUCT(-- ISNUMBER(SEARCH({"Lookup","Master-Detail"}, $B89))) &gt; 0,$B89 &amp; "(" &amp; $E89 &amp; ")",IF(SUMPRODUCT(-- ISNUMBER(SEARCH({"Formula","Roll-Up Summary"}, $B89))) &gt; 0,$B89 &amp; " (" &amp; $E89 &amp; ")",IF(SUMPRODUCT(-- ISNUMBER(SEARCH({"Content","Currency","Number","Percent","Text","URL"}, $B89))) &gt; 0,$B89 &amp; "(" &amp; $C89 &amp; ")",$B89)))), "  ", TRIM(IF($S89 = "YES", "(External ID)", "") &amp; " " &amp; IF(SUMPRODUCT(-- ISNUMBER(SEARCH({"Unique","Unique Case Insensitive"}, $R89))) &gt; 0, "(" &amp; $R89 &amp; ")", ""))))</f>
        <v>na</v>
      </c>
      <c r="E89" s="7" t="s">
        <v>195</v>
      </c>
      <c r="F89" s="7" t="s">
        <v>195</v>
      </c>
      <c r="G89" s="7" t="s">
        <v>195</v>
      </c>
      <c r="H89" s="7" t="s">
        <v>195</v>
      </c>
      <c r="I89" s="7" t="s">
        <v>195</v>
      </c>
      <c r="J89" s="7" t="s">
        <v>195</v>
      </c>
      <c r="K89" s="7" t="s">
        <v>195</v>
      </c>
      <c r="L89" s="7" t="s">
        <v>195</v>
      </c>
      <c r="M89" s="7" t="s">
        <v>29</v>
      </c>
      <c r="N89" s="7" t="s">
        <v>29</v>
      </c>
      <c r="O89" s="7" t="s">
        <v>29</v>
      </c>
      <c r="P89" s="7" t="s">
        <v>29</v>
      </c>
      <c r="Q89" s="7" t="s">
        <v>29</v>
      </c>
      <c r="R89" s="7" t="s">
        <v>29</v>
      </c>
      <c r="S89" s="7" t="s">
        <v>29</v>
      </c>
    </row>
    <row r="90" spans="2:19">
      <c r="B90" s="7" t="s">
        <v>195</v>
      </c>
      <c r="C90" s="8" t="s">
        <v>195</v>
      </c>
      <c r="D90" s="5" t="str">
        <f>LRTRIM(CONCATENATE(IF(SUMPRODUCT(-- ISNUMBER(SEARCH({"Auto Number"}, $B90))) &gt; 0, $B90, IF(SUMPRODUCT(-- ISNUMBER(SEARCH({"Lookup","Master-Detail"}, $B90))) &gt; 0,$B90 &amp; "(" &amp; $E90 &amp; ")",IF(SUMPRODUCT(-- ISNUMBER(SEARCH({"Formula","Roll-Up Summary"}, $B90))) &gt; 0,$B90 &amp; " (" &amp; $E90 &amp; ")",IF(SUMPRODUCT(-- ISNUMBER(SEARCH({"Content","Currency","Number","Percent","Text","URL"}, $B90))) &gt; 0,$B90 &amp; "(" &amp; $C90 &amp; ")",$B90)))), "  ", TRIM(IF($S90 = "YES", "(External ID)", "") &amp; " " &amp; IF(SUMPRODUCT(-- ISNUMBER(SEARCH({"Unique","Unique Case Insensitive"}, $R90))) &gt; 0, "(" &amp; $R90 &amp; ")", ""))))</f>
        <v>na</v>
      </c>
      <c r="E90" s="7" t="s">
        <v>195</v>
      </c>
      <c r="F90" s="7" t="s">
        <v>195</v>
      </c>
      <c r="G90" s="7" t="s">
        <v>195</v>
      </c>
      <c r="H90" s="7" t="s">
        <v>195</v>
      </c>
      <c r="I90" s="7" t="s">
        <v>195</v>
      </c>
      <c r="J90" s="7" t="s">
        <v>195</v>
      </c>
      <c r="K90" s="7" t="s">
        <v>195</v>
      </c>
      <c r="L90" s="7" t="s">
        <v>195</v>
      </c>
      <c r="M90" s="7" t="s">
        <v>29</v>
      </c>
      <c r="N90" s="7" t="s">
        <v>29</v>
      </c>
      <c r="O90" s="7" t="s">
        <v>29</v>
      </c>
      <c r="P90" s="7" t="s">
        <v>29</v>
      </c>
      <c r="Q90" s="7" t="s">
        <v>29</v>
      </c>
      <c r="R90" s="7" t="s">
        <v>29</v>
      </c>
      <c r="S90" s="7" t="s">
        <v>29</v>
      </c>
    </row>
    <row r="91" spans="2:19">
      <c r="B91" s="7" t="s">
        <v>195</v>
      </c>
      <c r="C91" s="8" t="s">
        <v>195</v>
      </c>
      <c r="D91" s="5" t="str">
        <f>LRTRIM(CONCATENATE(IF(SUMPRODUCT(-- ISNUMBER(SEARCH({"Auto Number"}, $B91))) &gt; 0, $B91, IF(SUMPRODUCT(-- ISNUMBER(SEARCH({"Lookup","Master-Detail"}, $B91))) &gt; 0,$B91 &amp; "(" &amp; $E91 &amp; ")",IF(SUMPRODUCT(-- ISNUMBER(SEARCH({"Formula","Roll-Up Summary"}, $B91))) &gt; 0,$B91 &amp; " (" &amp; $E91 &amp; ")",IF(SUMPRODUCT(-- ISNUMBER(SEARCH({"Content","Currency","Number","Percent","Text","URL"}, $B91))) &gt; 0,$B91 &amp; "(" &amp; $C91 &amp; ")",$B91)))), "  ", TRIM(IF($S91 = "YES", "(External ID)", "") &amp; " " &amp; IF(SUMPRODUCT(-- ISNUMBER(SEARCH({"Unique","Unique Case Insensitive"}, $R91))) &gt; 0, "(" &amp; $R91 &amp; ")", ""))))</f>
        <v>na</v>
      </c>
      <c r="E91" s="7" t="s">
        <v>195</v>
      </c>
      <c r="F91" s="7" t="s">
        <v>195</v>
      </c>
      <c r="G91" s="7" t="s">
        <v>195</v>
      </c>
      <c r="H91" s="7" t="s">
        <v>195</v>
      </c>
      <c r="I91" s="7" t="s">
        <v>195</v>
      </c>
      <c r="J91" s="7" t="s">
        <v>195</v>
      </c>
      <c r="K91" s="7" t="s">
        <v>195</v>
      </c>
      <c r="L91" s="7" t="s">
        <v>195</v>
      </c>
      <c r="M91" s="7" t="s">
        <v>29</v>
      </c>
      <c r="N91" s="7" t="s">
        <v>29</v>
      </c>
      <c r="O91" s="7" t="s">
        <v>29</v>
      </c>
      <c r="P91" s="7" t="s">
        <v>29</v>
      </c>
      <c r="Q91" s="7" t="s">
        <v>29</v>
      </c>
      <c r="R91" s="7" t="s">
        <v>29</v>
      </c>
      <c r="S91" s="7" t="s">
        <v>29</v>
      </c>
    </row>
    <row r="92" spans="2:19">
      <c r="B92" s="7" t="s">
        <v>195</v>
      </c>
      <c r="C92" s="8" t="s">
        <v>195</v>
      </c>
      <c r="D92" s="5" t="str">
        <f>LRTRIM(CONCATENATE(IF(SUMPRODUCT(-- ISNUMBER(SEARCH({"Auto Number"}, $B92))) &gt; 0, $B92, IF(SUMPRODUCT(-- ISNUMBER(SEARCH({"Lookup","Master-Detail"}, $B92))) &gt; 0,$B92 &amp; "(" &amp; $E92 &amp; ")",IF(SUMPRODUCT(-- ISNUMBER(SEARCH({"Formula","Roll-Up Summary"}, $B92))) &gt; 0,$B92 &amp; " (" &amp; $E92 &amp; ")",IF(SUMPRODUCT(-- ISNUMBER(SEARCH({"Content","Currency","Number","Percent","Text","URL"}, $B92))) &gt; 0,$B92 &amp; "(" &amp; $C92 &amp; ")",$B92)))), "  ", TRIM(IF($S92 = "YES", "(External ID)", "") &amp; " " &amp; IF(SUMPRODUCT(-- ISNUMBER(SEARCH({"Unique","Unique Case Insensitive"}, $R92))) &gt; 0, "(" &amp; $R92 &amp; ")", ""))))</f>
        <v>na</v>
      </c>
      <c r="E92" s="7" t="s">
        <v>195</v>
      </c>
      <c r="F92" s="7" t="s">
        <v>195</v>
      </c>
      <c r="G92" s="7" t="s">
        <v>195</v>
      </c>
      <c r="H92" s="7" t="s">
        <v>195</v>
      </c>
      <c r="I92" s="7" t="s">
        <v>195</v>
      </c>
      <c r="J92" s="7" t="s">
        <v>195</v>
      </c>
      <c r="K92" s="7" t="s">
        <v>195</v>
      </c>
      <c r="L92" s="7" t="s">
        <v>195</v>
      </c>
      <c r="M92" s="7" t="s">
        <v>29</v>
      </c>
      <c r="N92" s="7" t="s">
        <v>29</v>
      </c>
      <c r="O92" s="7" t="s">
        <v>29</v>
      </c>
      <c r="P92" s="7" t="s">
        <v>29</v>
      </c>
      <c r="Q92" s="7" t="s">
        <v>29</v>
      </c>
      <c r="R92" s="7" t="s">
        <v>29</v>
      </c>
      <c r="S92" s="7" t="s">
        <v>29</v>
      </c>
    </row>
    <row r="93" spans="2:19">
      <c r="B93" s="7" t="s">
        <v>195</v>
      </c>
      <c r="C93" s="8" t="s">
        <v>195</v>
      </c>
      <c r="D93" s="5" t="str">
        <f>LRTRIM(CONCATENATE(IF(SUMPRODUCT(-- ISNUMBER(SEARCH({"Auto Number"}, $B93))) &gt; 0, $B93, IF(SUMPRODUCT(-- ISNUMBER(SEARCH({"Lookup","Master-Detail"}, $B93))) &gt; 0,$B93 &amp; "(" &amp; $E93 &amp; ")",IF(SUMPRODUCT(-- ISNUMBER(SEARCH({"Formula","Roll-Up Summary"}, $B93))) &gt; 0,$B93 &amp; " (" &amp; $E93 &amp; ")",IF(SUMPRODUCT(-- ISNUMBER(SEARCH({"Content","Currency","Number","Percent","Text","URL"}, $B93))) &gt; 0,$B93 &amp; "(" &amp; $C93 &amp; ")",$B93)))), "  ", TRIM(IF($S93 = "YES", "(External ID)", "") &amp; " " &amp; IF(SUMPRODUCT(-- ISNUMBER(SEARCH({"Unique","Unique Case Insensitive"}, $R93))) &gt; 0, "(" &amp; $R93 &amp; ")", ""))))</f>
        <v>na</v>
      </c>
      <c r="E93" s="7" t="s">
        <v>195</v>
      </c>
      <c r="F93" s="7" t="s">
        <v>195</v>
      </c>
      <c r="G93" s="7" t="s">
        <v>195</v>
      </c>
      <c r="H93" s="7" t="s">
        <v>195</v>
      </c>
      <c r="I93" s="7" t="s">
        <v>195</v>
      </c>
      <c r="J93" s="7" t="s">
        <v>195</v>
      </c>
      <c r="K93" s="7" t="s">
        <v>195</v>
      </c>
      <c r="L93" s="7" t="s">
        <v>195</v>
      </c>
      <c r="M93" s="7" t="s">
        <v>29</v>
      </c>
      <c r="N93" s="7" t="s">
        <v>29</v>
      </c>
      <c r="O93" s="7" t="s">
        <v>29</v>
      </c>
      <c r="P93" s="7" t="s">
        <v>29</v>
      </c>
      <c r="Q93" s="7" t="s">
        <v>29</v>
      </c>
      <c r="R93" s="7" t="s">
        <v>29</v>
      </c>
      <c r="S93" s="7" t="s">
        <v>29</v>
      </c>
    </row>
    <row r="94" spans="2:19">
      <c r="B94" s="7" t="s">
        <v>195</v>
      </c>
      <c r="C94" s="8" t="s">
        <v>195</v>
      </c>
      <c r="D94" s="5" t="str">
        <f>LRTRIM(CONCATENATE(IF(SUMPRODUCT(-- ISNUMBER(SEARCH({"Auto Number"}, $B94))) &gt; 0, $B94, IF(SUMPRODUCT(-- ISNUMBER(SEARCH({"Lookup","Master-Detail"}, $B94))) &gt; 0,$B94 &amp; "(" &amp; $E94 &amp; ")",IF(SUMPRODUCT(-- ISNUMBER(SEARCH({"Formula","Roll-Up Summary"}, $B94))) &gt; 0,$B94 &amp; " (" &amp; $E94 &amp; ")",IF(SUMPRODUCT(-- ISNUMBER(SEARCH({"Content","Currency","Number","Percent","Text","URL"}, $B94))) &gt; 0,$B94 &amp; "(" &amp; $C94 &amp; ")",$B94)))), "  ", TRIM(IF($S94 = "YES", "(External ID)", "") &amp; " " &amp; IF(SUMPRODUCT(-- ISNUMBER(SEARCH({"Unique","Unique Case Insensitive"}, $R94))) &gt; 0, "(" &amp; $R94 &amp; ")", ""))))</f>
        <v>na</v>
      </c>
      <c r="E94" s="7" t="s">
        <v>195</v>
      </c>
      <c r="F94" s="7" t="s">
        <v>195</v>
      </c>
      <c r="G94" s="7" t="s">
        <v>195</v>
      </c>
      <c r="H94" s="7" t="s">
        <v>195</v>
      </c>
      <c r="I94" s="7" t="s">
        <v>195</v>
      </c>
      <c r="J94" s="7" t="s">
        <v>195</v>
      </c>
      <c r="K94" s="7" t="s">
        <v>195</v>
      </c>
      <c r="L94" s="7" t="s">
        <v>195</v>
      </c>
      <c r="M94" s="7" t="s">
        <v>29</v>
      </c>
      <c r="N94" s="7" t="s">
        <v>29</v>
      </c>
      <c r="O94" s="7" t="s">
        <v>29</v>
      </c>
      <c r="P94" s="7" t="s">
        <v>29</v>
      </c>
      <c r="Q94" s="7" t="s">
        <v>29</v>
      </c>
      <c r="R94" s="7" t="s">
        <v>29</v>
      </c>
      <c r="S94" s="7" t="s">
        <v>29</v>
      </c>
    </row>
    <row r="95" spans="2:19">
      <c r="B95" s="7" t="s">
        <v>195</v>
      </c>
      <c r="C95" s="8" t="s">
        <v>195</v>
      </c>
      <c r="D95" s="5" t="str">
        <f>LRTRIM(CONCATENATE(IF(SUMPRODUCT(-- ISNUMBER(SEARCH({"Auto Number"}, $B95))) &gt; 0, $B95, IF(SUMPRODUCT(-- ISNUMBER(SEARCH({"Lookup","Master-Detail"}, $B95))) &gt; 0,$B95 &amp; "(" &amp; $E95 &amp; ")",IF(SUMPRODUCT(-- ISNUMBER(SEARCH({"Formula","Roll-Up Summary"}, $B95))) &gt; 0,$B95 &amp; " (" &amp; $E95 &amp; ")",IF(SUMPRODUCT(-- ISNUMBER(SEARCH({"Content","Currency","Number","Percent","Text","URL"}, $B95))) &gt; 0,$B95 &amp; "(" &amp; $C95 &amp; ")",$B95)))), "  ", TRIM(IF($S95 = "YES", "(External ID)", "") &amp; " " &amp; IF(SUMPRODUCT(-- ISNUMBER(SEARCH({"Unique","Unique Case Insensitive"}, $R95))) &gt; 0, "(" &amp; $R95 &amp; ")", ""))))</f>
        <v>na</v>
      </c>
      <c r="E95" s="7" t="s">
        <v>195</v>
      </c>
      <c r="F95" s="7" t="s">
        <v>195</v>
      </c>
      <c r="G95" s="7" t="s">
        <v>195</v>
      </c>
      <c r="H95" s="7" t="s">
        <v>195</v>
      </c>
      <c r="I95" s="7" t="s">
        <v>195</v>
      </c>
      <c r="J95" s="7" t="s">
        <v>195</v>
      </c>
      <c r="K95" s="7" t="s">
        <v>195</v>
      </c>
      <c r="L95" s="7" t="s">
        <v>195</v>
      </c>
      <c r="M95" s="7" t="s">
        <v>29</v>
      </c>
      <c r="N95" s="7" t="s">
        <v>29</v>
      </c>
      <c r="O95" s="7" t="s">
        <v>29</v>
      </c>
      <c r="P95" s="7" t="s">
        <v>29</v>
      </c>
      <c r="Q95" s="7" t="s">
        <v>29</v>
      </c>
      <c r="R95" s="7" t="s">
        <v>29</v>
      </c>
      <c r="S95" s="7" t="s">
        <v>29</v>
      </c>
    </row>
    <row r="96" spans="2:19">
      <c r="B96" s="7" t="s">
        <v>195</v>
      </c>
      <c r="C96" s="8" t="s">
        <v>195</v>
      </c>
      <c r="D96" s="5" t="str">
        <f>LRTRIM(CONCATENATE(IF(SUMPRODUCT(-- ISNUMBER(SEARCH({"Auto Number"}, $B96))) &gt; 0, $B96, IF(SUMPRODUCT(-- ISNUMBER(SEARCH({"Lookup","Master-Detail"}, $B96))) &gt; 0,$B96 &amp; "(" &amp; $E96 &amp; ")",IF(SUMPRODUCT(-- ISNUMBER(SEARCH({"Formula","Roll-Up Summary"}, $B96))) &gt; 0,$B96 &amp; " (" &amp; $E96 &amp; ")",IF(SUMPRODUCT(-- ISNUMBER(SEARCH({"Content","Currency","Number","Percent","Text","URL"}, $B96))) &gt; 0,$B96 &amp; "(" &amp; $C96 &amp; ")",$B96)))), "  ", TRIM(IF($S96 = "YES", "(External ID)", "") &amp; " " &amp; IF(SUMPRODUCT(-- ISNUMBER(SEARCH({"Unique","Unique Case Insensitive"}, $R96))) &gt; 0, "(" &amp; $R96 &amp; ")", ""))))</f>
        <v>na</v>
      </c>
      <c r="E96" s="7" t="s">
        <v>195</v>
      </c>
      <c r="F96" s="7" t="s">
        <v>195</v>
      </c>
      <c r="G96" s="7" t="s">
        <v>195</v>
      </c>
      <c r="H96" s="7" t="s">
        <v>195</v>
      </c>
      <c r="I96" s="7" t="s">
        <v>195</v>
      </c>
      <c r="J96" s="7" t="s">
        <v>195</v>
      </c>
      <c r="K96" s="7" t="s">
        <v>195</v>
      </c>
      <c r="L96" s="7" t="s">
        <v>195</v>
      </c>
      <c r="M96" s="7" t="s">
        <v>29</v>
      </c>
      <c r="N96" s="7" t="s">
        <v>29</v>
      </c>
      <c r="O96" s="7" t="s">
        <v>29</v>
      </c>
      <c r="P96" s="7" t="s">
        <v>29</v>
      </c>
      <c r="Q96" s="7" t="s">
        <v>29</v>
      </c>
      <c r="R96" s="7" t="s">
        <v>29</v>
      </c>
      <c r="S96" s="7" t="s">
        <v>29</v>
      </c>
    </row>
    <row r="97" spans="2:19">
      <c r="B97" s="7" t="s">
        <v>195</v>
      </c>
      <c r="C97" s="8" t="s">
        <v>195</v>
      </c>
      <c r="D97" s="5" t="str">
        <f>LRTRIM(CONCATENATE(IF(SUMPRODUCT(-- ISNUMBER(SEARCH({"Auto Number"}, $B97))) &gt; 0, $B97, IF(SUMPRODUCT(-- ISNUMBER(SEARCH({"Lookup","Master-Detail"}, $B97))) &gt; 0,$B97 &amp; "(" &amp; $E97 &amp; ")",IF(SUMPRODUCT(-- ISNUMBER(SEARCH({"Formula","Roll-Up Summary"}, $B97))) &gt; 0,$B97 &amp; " (" &amp; $E97 &amp; ")",IF(SUMPRODUCT(-- ISNUMBER(SEARCH({"Content","Currency","Number","Percent","Text","URL"}, $B97))) &gt; 0,$B97 &amp; "(" &amp; $C97 &amp; ")",$B97)))), "  ", TRIM(IF($S97 = "YES", "(External ID)", "") &amp; " " &amp; IF(SUMPRODUCT(-- ISNUMBER(SEARCH({"Unique","Unique Case Insensitive"}, $R97))) &gt; 0, "(" &amp; $R97 &amp; ")", ""))))</f>
        <v>na</v>
      </c>
      <c r="E97" s="7" t="s">
        <v>195</v>
      </c>
      <c r="F97" s="7" t="s">
        <v>195</v>
      </c>
      <c r="G97" s="7" t="s">
        <v>195</v>
      </c>
      <c r="H97" s="7" t="s">
        <v>195</v>
      </c>
      <c r="I97" s="7" t="s">
        <v>195</v>
      </c>
      <c r="J97" s="7" t="s">
        <v>195</v>
      </c>
      <c r="K97" s="7" t="s">
        <v>195</v>
      </c>
      <c r="L97" s="7" t="s">
        <v>195</v>
      </c>
      <c r="M97" s="7" t="s">
        <v>29</v>
      </c>
      <c r="N97" s="7" t="s">
        <v>29</v>
      </c>
      <c r="O97" s="7" t="s">
        <v>29</v>
      </c>
      <c r="P97" s="7" t="s">
        <v>29</v>
      </c>
      <c r="Q97" s="7" t="s">
        <v>29</v>
      </c>
      <c r="R97" s="7" t="s">
        <v>29</v>
      </c>
      <c r="S97" s="7" t="s">
        <v>29</v>
      </c>
    </row>
    <row r="98" spans="2:19">
      <c r="B98" s="7" t="s">
        <v>195</v>
      </c>
      <c r="C98" s="8" t="s">
        <v>195</v>
      </c>
      <c r="D98" s="5" t="str">
        <f>LRTRIM(CONCATENATE(IF(SUMPRODUCT(-- ISNUMBER(SEARCH({"Auto Number"}, $B98))) &gt; 0, $B98, IF(SUMPRODUCT(-- ISNUMBER(SEARCH({"Lookup","Master-Detail"}, $B98))) &gt; 0,$B98 &amp; "(" &amp; $E98 &amp; ")",IF(SUMPRODUCT(-- ISNUMBER(SEARCH({"Formula","Roll-Up Summary"}, $B98))) &gt; 0,$B98 &amp; " (" &amp; $E98 &amp; ")",IF(SUMPRODUCT(-- ISNUMBER(SEARCH({"Content","Currency","Number","Percent","Text","URL"}, $B98))) &gt; 0,$B98 &amp; "(" &amp; $C98 &amp; ")",$B98)))), "  ", TRIM(IF($S98 = "YES", "(External ID)", "") &amp; " " &amp; IF(SUMPRODUCT(-- ISNUMBER(SEARCH({"Unique","Unique Case Insensitive"}, $R98))) &gt; 0, "(" &amp; $R98 &amp; ")", ""))))</f>
        <v>na</v>
      </c>
      <c r="E98" s="7" t="s">
        <v>195</v>
      </c>
      <c r="F98" s="7" t="s">
        <v>195</v>
      </c>
      <c r="G98" s="7" t="s">
        <v>195</v>
      </c>
      <c r="H98" s="7" t="s">
        <v>195</v>
      </c>
      <c r="I98" s="7" t="s">
        <v>195</v>
      </c>
      <c r="J98" s="7" t="s">
        <v>195</v>
      </c>
      <c r="K98" s="7" t="s">
        <v>195</v>
      </c>
      <c r="L98" s="7" t="s">
        <v>195</v>
      </c>
      <c r="M98" s="7" t="s">
        <v>29</v>
      </c>
      <c r="N98" s="7" t="s">
        <v>29</v>
      </c>
      <c r="O98" s="7" t="s">
        <v>29</v>
      </c>
      <c r="P98" s="7" t="s">
        <v>29</v>
      </c>
      <c r="Q98" s="7" t="s">
        <v>29</v>
      </c>
      <c r="R98" s="7" t="s">
        <v>29</v>
      </c>
      <c r="S98" s="7" t="s">
        <v>29</v>
      </c>
    </row>
    <row r="99" spans="2:19">
      <c r="B99" s="7" t="s">
        <v>195</v>
      </c>
      <c r="C99" s="8" t="s">
        <v>195</v>
      </c>
      <c r="D99" s="5" t="str">
        <f>LRTRIM(CONCATENATE(IF(SUMPRODUCT(-- ISNUMBER(SEARCH({"Auto Number"}, $B99))) &gt; 0, $B99, IF(SUMPRODUCT(-- ISNUMBER(SEARCH({"Lookup","Master-Detail"}, $B99))) &gt; 0,$B99 &amp; "(" &amp; $E99 &amp; ")",IF(SUMPRODUCT(-- ISNUMBER(SEARCH({"Formula","Roll-Up Summary"}, $B99))) &gt; 0,$B99 &amp; " (" &amp; $E99 &amp; ")",IF(SUMPRODUCT(-- ISNUMBER(SEARCH({"Content","Currency","Number","Percent","Text","URL"}, $B99))) &gt; 0,$B99 &amp; "(" &amp; $C99 &amp; ")",$B99)))), "  ", TRIM(IF($S99 = "YES", "(External ID)", "") &amp; " " &amp; IF(SUMPRODUCT(-- ISNUMBER(SEARCH({"Unique","Unique Case Insensitive"}, $R99))) &gt; 0, "(" &amp; $R99 &amp; ")", ""))))</f>
        <v>na</v>
      </c>
      <c r="E99" s="7" t="s">
        <v>195</v>
      </c>
      <c r="F99" s="7" t="s">
        <v>195</v>
      </c>
      <c r="G99" s="7" t="s">
        <v>195</v>
      </c>
      <c r="H99" s="7" t="s">
        <v>195</v>
      </c>
      <c r="I99" s="7" t="s">
        <v>195</v>
      </c>
      <c r="J99" s="7" t="s">
        <v>195</v>
      </c>
      <c r="K99" s="7" t="s">
        <v>195</v>
      </c>
      <c r="L99" s="7" t="s">
        <v>195</v>
      </c>
      <c r="M99" s="7" t="s">
        <v>29</v>
      </c>
      <c r="N99" s="7" t="s">
        <v>29</v>
      </c>
      <c r="O99" s="7" t="s">
        <v>29</v>
      </c>
      <c r="P99" s="7" t="s">
        <v>29</v>
      </c>
      <c r="Q99" s="7" t="s">
        <v>29</v>
      </c>
      <c r="R99" s="7" t="s">
        <v>29</v>
      </c>
      <c r="S99" s="7" t="s">
        <v>29</v>
      </c>
    </row>
    <row r="100" spans="2:19">
      <c r="B100" s="7" t="s">
        <v>195</v>
      </c>
      <c r="C100" s="8" t="s">
        <v>195</v>
      </c>
      <c r="D100" s="5" t="str">
        <f>LRTRIM(CONCATENATE(IF(SUMPRODUCT(-- ISNUMBER(SEARCH({"Auto Number"}, $B100))) &gt; 0, $B100, IF(SUMPRODUCT(-- ISNUMBER(SEARCH({"Lookup","Master-Detail"}, $B100))) &gt; 0,$B100 &amp; "(" &amp; $E100 &amp; ")",IF(SUMPRODUCT(-- ISNUMBER(SEARCH({"Formula","Roll-Up Summary"}, $B100))) &gt; 0,$B100 &amp; " (" &amp; $E100 &amp; ")",IF(SUMPRODUCT(-- ISNUMBER(SEARCH({"Content","Currency","Number","Percent","Text","URL"}, $B100))) &gt; 0,$B100 &amp; "(" &amp; $C100 &amp; ")",$B100)))), "  ", TRIM(IF($S100 = "YES", "(External ID)", "") &amp; " " &amp; IF(SUMPRODUCT(-- ISNUMBER(SEARCH({"Unique","Unique Case Insensitive"}, $R100))) &gt; 0, "(" &amp; $R100 &amp; ")", ""))))</f>
        <v>na</v>
      </c>
      <c r="E100" s="7" t="s">
        <v>195</v>
      </c>
      <c r="F100" s="7" t="s">
        <v>195</v>
      </c>
      <c r="G100" s="7" t="s">
        <v>195</v>
      </c>
      <c r="H100" s="7" t="s">
        <v>195</v>
      </c>
      <c r="I100" s="7" t="s">
        <v>195</v>
      </c>
      <c r="J100" s="7" t="s">
        <v>195</v>
      </c>
      <c r="K100" s="7" t="s">
        <v>195</v>
      </c>
      <c r="L100" s="7" t="s">
        <v>195</v>
      </c>
      <c r="M100" s="7" t="s">
        <v>29</v>
      </c>
      <c r="N100" s="7" t="s">
        <v>29</v>
      </c>
      <c r="O100" s="7" t="s">
        <v>29</v>
      </c>
      <c r="P100" s="7" t="s">
        <v>29</v>
      </c>
      <c r="Q100" s="7" t="s">
        <v>29</v>
      </c>
      <c r="R100" s="7" t="s">
        <v>29</v>
      </c>
      <c r="S100" s="7" t="s">
        <v>29</v>
      </c>
    </row>
    <row r="101" spans="2:19">
      <c r="B101" s="7" t="s">
        <v>195</v>
      </c>
      <c r="C101" s="8" t="s">
        <v>195</v>
      </c>
      <c r="D101" s="5" t="str">
        <f>LRTRIM(CONCATENATE(IF(SUMPRODUCT(-- ISNUMBER(SEARCH({"Auto Number"}, $B101))) &gt; 0, $B101, IF(SUMPRODUCT(-- ISNUMBER(SEARCH({"Lookup","Master-Detail"}, $B101))) &gt; 0,$B101 &amp; "(" &amp; $E101 &amp; ")",IF(SUMPRODUCT(-- ISNUMBER(SEARCH({"Formula","Roll-Up Summary"}, $B101))) &gt; 0,$B101 &amp; " (" &amp; $E101 &amp; ")",IF(SUMPRODUCT(-- ISNUMBER(SEARCH({"Content","Currency","Number","Percent","Text","URL"}, $B101))) &gt; 0,$B101 &amp; "(" &amp; $C101 &amp; ")",$B101)))), "  ", TRIM(IF($S101 = "YES", "(External ID)", "") &amp; " " &amp; IF(SUMPRODUCT(-- ISNUMBER(SEARCH({"Unique","Unique Case Insensitive"}, $R101))) &gt; 0, "(" &amp; $R101 &amp; ")", ""))))</f>
        <v>na</v>
      </c>
      <c r="E101" s="7" t="s">
        <v>195</v>
      </c>
      <c r="F101" s="7" t="s">
        <v>195</v>
      </c>
      <c r="G101" s="7" t="s">
        <v>195</v>
      </c>
      <c r="H101" s="7" t="s">
        <v>195</v>
      </c>
      <c r="I101" s="7" t="s">
        <v>195</v>
      </c>
      <c r="J101" s="7" t="s">
        <v>195</v>
      </c>
      <c r="K101" s="7" t="s">
        <v>195</v>
      </c>
      <c r="L101" s="7" t="s">
        <v>195</v>
      </c>
      <c r="M101" s="7" t="s">
        <v>29</v>
      </c>
      <c r="N101" s="7" t="s">
        <v>29</v>
      </c>
      <c r="O101" s="7" t="s">
        <v>29</v>
      </c>
      <c r="P101" s="7" t="s">
        <v>29</v>
      </c>
      <c r="Q101" s="7" t="s">
        <v>29</v>
      </c>
      <c r="R101" s="7" t="s">
        <v>29</v>
      </c>
      <c r="S101" s="7" t="s">
        <v>29</v>
      </c>
    </row>
    <row r="102" spans="2:19">
      <c r="B102" s="7" t="s">
        <v>195</v>
      </c>
      <c r="C102" s="8" t="s">
        <v>195</v>
      </c>
      <c r="D102" s="5" t="str">
        <f>LRTRIM(CONCATENATE(IF(SUMPRODUCT(-- ISNUMBER(SEARCH({"Auto Number"}, $B102))) &gt; 0, $B102, IF(SUMPRODUCT(-- ISNUMBER(SEARCH({"Lookup","Master-Detail"}, $B102))) &gt; 0,$B102 &amp; "(" &amp; $E102 &amp; ")",IF(SUMPRODUCT(-- ISNUMBER(SEARCH({"Formula","Roll-Up Summary"}, $B102))) &gt; 0,$B102 &amp; " (" &amp; $E102 &amp; ")",IF(SUMPRODUCT(-- ISNUMBER(SEARCH({"Content","Currency","Number","Percent","Text","URL"}, $B102))) &gt; 0,$B102 &amp; "(" &amp; $C102 &amp; ")",$B102)))), "  ", TRIM(IF($S102 = "YES", "(External ID)", "") &amp; " " &amp; IF(SUMPRODUCT(-- ISNUMBER(SEARCH({"Unique","Unique Case Insensitive"}, $R102))) &gt; 0, "(" &amp; $R102 &amp; ")", ""))))</f>
        <v>na</v>
      </c>
      <c r="E102" s="7" t="s">
        <v>195</v>
      </c>
      <c r="F102" s="7" t="s">
        <v>195</v>
      </c>
      <c r="G102" s="7" t="s">
        <v>195</v>
      </c>
      <c r="H102" s="7" t="s">
        <v>195</v>
      </c>
      <c r="I102" s="7" t="s">
        <v>195</v>
      </c>
      <c r="J102" s="7" t="s">
        <v>195</v>
      </c>
      <c r="K102" s="7" t="s">
        <v>195</v>
      </c>
      <c r="L102" s="7" t="s">
        <v>195</v>
      </c>
      <c r="M102" s="7" t="s">
        <v>29</v>
      </c>
      <c r="N102" s="7" t="s">
        <v>29</v>
      </c>
      <c r="O102" s="7" t="s">
        <v>29</v>
      </c>
      <c r="P102" s="7" t="s">
        <v>29</v>
      </c>
      <c r="Q102" s="7" t="s">
        <v>29</v>
      </c>
      <c r="R102" s="7" t="s">
        <v>29</v>
      </c>
      <c r="S102" s="7" t="s">
        <v>29</v>
      </c>
    </row>
    <row r="103" spans="2:19">
      <c r="B103" s="7" t="s">
        <v>195</v>
      </c>
      <c r="C103" s="8" t="s">
        <v>195</v>
      </c>
      <c r="D103" s="5" t="str">
        <f>LRTRIM(CONCATENATE(IF(SUMPRODUCT(-- ISNUMBER(SEARCH({"Auto Number"}, $B103))) &gt; 0, $B103, IF(SUMPRODUCT(-- ISNUMBER(SEARCH({"Lookup","Master-Detail"}, $B103))) &gt; 0,$B103 &amp; "(" &amp; $E103 &amp; ")",IF(SUMPRODUCT(-- ISNUMBER(SEARCH({"Formula","Roll-Up Summary"}, $B103))) &gt; 0,$B103 &amp; " (" &amp; $E103 &amp; ")",IF(SUMPRODUCT(-- ISNUMBER(SEARCH({"Content","Currency","Number","Percent","Text","URL"}, $B103))) &gt; 0,$B103 &amp; "(" &amp; $C103 &amp; ")",$B103)))), "  ", TRIM(IF($S103 = "YES", "(External ID)", "") &amp; " " &amp; IF(SUMPRODUCT(-- ISNUMBER(SEARCH({"Unique","Unique Case Insensitive"}, $R103))) &gt; 0, "(" &amp; $R103 &amp; ")", ""))))</f>
        <v>na</v>
      </c>
      <c r="E103" s="7" t="s">
        <v>195</v>
      </c>
      <c r="F103" s="7" t="s">
        <v>195</v>
      </c>
      <c r="G103" s="7" t="s">
        <v>195</v>
      </c>
      <c r="H103" s="7" t="s">
        <v>195</v>
      </c>
      <c r="I103" s="7" t="s">
        <v>195</v>
      </c>
      <c r="J103" s="7" t="s">
        <v>195</v>
      </c>
      <c r="K103" s="7" t="s">
        <v>195</v>
      </c>
      <c r="L103" s="7" t="s">
        <v>195</v>
      </c>
      <c r="M103" s="7" t="s">
        <v>29</v>
      </c>
      <c r="N103" s="7" t="s">
        <v>29</v>
      </c>
      <c r="O103" s="7" t="s">
        <v>29</v>
      </c>
      <c r="P103" s="7" t="s">
        <v>29</v>
      </c>
      <c r="Q103" s="7" t="s">
        <v>29</v>
      </c>
      <c r="R103" s="7" t="s">
        <v>29</v>
      </c>
      <c r="S103" s="7" t="s">
        <v>29</v>
      </c>
    </row>
    <row r="104" spans="2:19">
      <c r="B104" s="7" t="s">
        <v>195</v>
      </c>
      <c r="C104" s="8" t="s">
        <v>195</v>
      </c>
      <c r="D104" s="5" t="str">
        <f>LRTRIM(CONCATENATE(IF(SUMPRODUCT(-- ISNUMBER(SEARCH({"Auto Number"}, $B104))) &gt; 0, $B104, IF(SUMPRODUCT(-- ISNUMBER(SEARCH({"Lookup","Master-Detail"}, $B104))) &gt; 0,$B104 &amp; "(" &amp; $E104 &amp; ")",IF(SUMPRODUCT(-- ISNUMBER(SEARCH({"Formula","Roll-Up Summary"}, $B104))) &gt; 0,$B104 &amp; " (" &amp; $E104 &amp; ")",IF(SUMPRODUCT(-- ISNUMBER(SEARCH({"Content","Currency","Number","Percent","Text","URL"}, $B104))) &gt; 0,$B104 &amp; "(" &amp; $C104 &amp; ")",$B104)))), "  ", TRIM(IF($S104 = "YES", "(External ID)", "") &amp; " " &amp; IF(SUMPRODUCT(-- ISNUMBER(SEARCH({"Unique","Unique Case Insensitive"}, $R104))) &gt; 0, "(" &amp; $R104 &amp; ")", ""))))</f>
        <v>na</v>
      </c>
      <c r="E104" s="7" t="s">
        <v>195</v>
      </c>
      <c r="F104" s="7" t="s">
        <v>195</v>
      </c>
      <c r="G104" s="7" t="s">
        <v>195</v>
      </c>
      <c r="H104" s="7" t="s">
        <v>195</v>
      </c>
      <c r="I104" s="7" t="s">
        <v>195</v>
      </c>
      <c r="J104" s="7" t="s">
        <v>195</v>
      </c>
      <c r="K104" s="7" t="s">
        <v>195</v>
      </c>
      <c r="L104" s="7" t="s">
        <v>195</v>
      </c>
      <c r="M104" s="7" t="s">
        <v>29</v>
      </c>
      <c r="N104" s="7" t="s">
        <v>29</v>
      </c>
      <c r="O104" s="7" t="s">
        <v>29</v>
      </c>
      <c r="P104" s="7" t="s">
        <v>29</v>
      </c>
      <c r="Q104" s="7" t="s">
        <v>29</v>
      </c>
      <c r="R104" s="7" t="s">
        <v>29</v>
      </c>
      <c r="S104" s="7" t="s">
        <v>29</v>
      </c>
    </row>
    <row r="105" spans="2:19">
      <c r="B105" s="7" t="s">
        <v>195</v>
      </c>
      <c r="C105" s="8" t="s">
        <v>195</v>
      </c>
      <c r="D105" s="5" t="str">
        <f>LRTRIM(CONCATENATE(IF(SUMPRODUCT(-- ISNUMBER(SEARCH({"Auto Number"}, $B105))) &gt; 0, $B105, IF(SUMPRODUCT(-- ISNUMBER(SEARCH({"Lookup","Master-Detail"}, $B105))) &gt; 0,$B105 &amp; "(" &amp; $E105 &amp; ")",IF(SUMPRODUCT(-- ISNUMBER(SEARCH({"Formula","Roll-Up Summary"}, $B105))) &gt; 0,$B105 &amp; " (" &amp; $E105 &amp; ")",IF(SUMPRODUCT(-- ISNUMBER(SEARCH({"Content","Currency","Number","Percent","Text","URL"}, $B105))) &gt; 0,$B105 &amp; "(" &amp; $C105 &amp; ")",$B105)))), "  ", TRIM(IF($S105 = "YES", "(External ID)", "") &amp; " " &amp; IF(SUMPRODUCT(-- ISNUMBER(SEARCH({"Unique","Unique Case Insensitive"}, $R105))) &gt; 0, "(" &amp; $R105 &amp; ")", ""))))</f>
        <v>na</v>
      </c>
      <c r="E105" s="7" t="s">
        <v>195</v>
      </c>
      <c r="F105" s="7" t="s">
        <v>195</v>
      </c>
      <c r="G105" s="7" t="s">
        <v>195</v>
      </c>
      <c r="H105" s="7" t="s">
        <v>195</v>
      </c>
      <c r="I105" s="7" t="s">
        <v>195</v>
      </c>
      <c r="J105" s="7" t="s">
        <v>195</v>
      </c>
      <c r="K105" s="7" t="s">
        <v>195</v>
      </c>
      <c r="L105" s="7" t="s">
        <v>195</v>
      </c>
      <c r="M105" s="7" t="s">
        <v>29</v>
      </c>
      <c r="N105" s="7" t="s">
        <v>29</v>
      </c>
      <c r="O105" s="7" t="s">
        <v>29</v>
      </c>
      <c r="P105" s="7" t="s">
        <v>29</v>
      </c>
      <c r="Q105" s="7" t="s">
        <v>29</v>
      </c>
      <c r="R105" s="7" t="s">
        <v>29</v>
      </c>
      <c r="S105" s="7" t="s">
        <v>29</v>
      </c>
    </row>
    <row r="106" spans="2:19">
      <c r="B106" s="7" t="s">
        <v>195</v>
      </c>
      <c r="C106" s="8" t="s">
        <v>195</v>
      </c>
      <c r="D106" s="5" t="str">
        <f>LRTRIM(CONCATENATE(IF(SUMPRODUCT(-- ISNUMBER(SEARCH({"Auto Number"}, $B106))) &gt; 0, $B106, IF(SUMPRODUCT(-- ISNUMBER(SEARCH({"Lookup","Master-Detail"}, $B106))) &gt; 0,$B106 &amp; "(" &amp; $E106 &amp; ")",IF(SUMPRODUCT(-- ISNUMBER(SEARCH({"Formula","Roll-Up Summary"}, $B106))) &gt; 0,$B106 &amp; " (" &amp; $E106 &amp; ")",IF(SUMPRODUCT(-- ISNUMBER(SEARCH({"Content","Currency","Number","Percent","Text","URL"}, $B106))) &gt; 0,$B106 &amp; "(" &amp; $C106 &amp; ")",$B106)))), "  ", TRIM(IF($S106 = "YES", "(External ID)", "") &amp; " " &amp; IF(SUMPRODUCT(-- ISNUMBER(SEARCH({"Unique","Unique Case Insensitive"}, $R106))) &gt; 0, "(" &amp; $R106 &amp; ")", ""))))</f>
        <v>na</v>
      </c>
      <c r="E106" s="7" t="s">
        <v>195</v>
      </c>
      <c r="F106" s="7" t="s">
        <v>195</v>
      </c>
      <c r="G106" s="7" t="s">
        <v>195</v>
      </c>
      <c r="H106" s="7" t="s">
        <v>195</v>
      </c>
      <c r="I106" s="7" t="s">
        <v>195</v>
      </c>
      <c r="J106" s="7" t="s">
        <v>195</v>
      </c>
      <c r="K106" s="7" t="s">
        <v>195</v>
      </c>
      <c r="L106" s="7" t="s">
        <v>195</v>
      </c>
      <c r="M106" s="7" t="s">
        <v>29</v>
      </c>
      <c r="N106" s="7" t="s">
        <v>29</v>
      </c>
      <c r="O106" s="7" t="s">
        <v>29</v>
      </c>
      <c r="P106" s="7" t="s">
        <v>29</v>
      </c>
      <c r="Q106" s="7" t="s">
        <v>29</v>
      </c>
      <c r="R106" s="7" t="s">
        <v>29</v>
      </c>
      <c r="S106" s="7" t="s">
        <v>29</v>
      </c>
    </row>
    <row r="107" spans="2:19">
      <c r="B107" s="7" t="s">
        <v>195</v>
      </c>
      <c r="C107" s="8" t="s">
        <v>195</v>
      </c>
      <c r="D107" s="5" t="str">
        <f>LRTRIM(CONCATENATE(IF(SUMPRODUCT(-- ISNUMBER(SEARCH({"Auto Number"}, $B107))) &gt; 0, $B107, IF(SUMPRODUCT(-- ISNUMBER(SEARCH({"Lookup","Master-Detail"}, $B107))) &gt; 0,$B107 &amp; "(" &amp; $E107 &amp; ")",IF(SUMPRODUCT(-- ISNUMBER(SEARCH({"Formula","Roll-Up Summary"}, $B107))) &gt; 0,$B107 &amp; " (" &amp; $E107 &amp; ")",IF(SUMPRODUCT(-- ISNUMBER(SEARCH({"Content","Currency","Number","Percent","Text","URL"}, $B107))) &gt; 0,$B107 &amp; "(" &amp; $C107 &amp; ")",$B107)))), "  ", TRIM(IF($S107 = "YES", "(External ID)", "") &amp; " " &amp; IF(SUMPRODUCT(-- ISNUMBER(SEARCH({"Unique","Unique Case Insensitive"}, $R107))) &gt; 0, "(" &amp; $R107 &amp; ")", ""))))</f>
        <v>na</v>
      </c>
      <c r="E107" s="7" t="s">
        <v>195</v>
      </c>
      <c r="F107" s="7" t="s">
        <v>195</v>
      </c>
      <c r="G107" s="7" t="s">
        <v>195</v>
      </c>
      <c r="H107" s="7" t="s">
        <v>195</v>
      </c>
      <c r="I107" s="7" t="s">
        <v>195</v>
      </c>
      <c r="J107" s="7" t="s">
        <v>195</v>
      </c>
      <c r="K107" s="7" t="s">
        <v>195</v>
      </c>
      <c r="L107" s="7" t="s">
        <v>195</v>
      </c>
      <c r="M107" s="7" t="s">
        <v>29</v>
      </c>
      <c r="N107" s="7" t="s">
        <v>29</v>
      </c>
      <c r="O107" s="7" t="s">
        <v>29</v>
      </c>
      <c r="P107" s="7" t="s">
        <v>29</v>
      </c>
      <c r="Q107" s="7" t="s">
        <v>29</v>
      </c>
      <c r="R107" s="7" t="s">
        <v>29</v>
      </c>
      <c r="S107" s="7" t="s">
        <v>29</v>
      </c>
    </row>
    <row r="108" spans="2:19">
      <c r="B108" s="7" t="s">
        <v>195</v>
      </c>
      <c r="C108" s="8" t="s">
        <v>195</v>
      </c>
      <c r="D108" s="5" t="str">
        <f>LRTRIM(CONCATENATE(IF(SUMPRODUCT(-- ISNUMBER(SEARCH({"Auto Number"}, $B108))) &gt; 0, $B108, IF(SUMPRODUCT(-- ISNUMBER(SEARCH({"Lookup","Master-Detail"}, $B108))) &gt; 0,$B108 &amp; "(" &amp; $E108 &amp; ")",IF(SUMPRODUCT(-- ISNUMBER(SEARCH({"Formula","Roll-Up Summary"}, $B108))) &gt; 0,$B108 &amp; " (" &amp; $E108 &amp; ")",IF(SUMPRODUCT(-- ISNUMBER(SEARCH({"Content","Currency","Number","Percent","Text","URL"}, $B108))) &gt; 0,$B108 &amp; "(" &amp; $C108 &amp; ")",$B108)))), "  ", TRIM(IF($S108 = "YES", "(External ID)", "") &amp; " " &amp; IF(SUMPRODUCT(-- ISNUMBER(SEARCH({"Unique","Unique Case Insensitive"}, $R108))) &gt; 0, "(" &amp; $R108 &amp; ")", ""))))</f>
        <v>na</v>
      </c>
      <c r="E108" s="7" t="s">
        <v>195</v>
      </c>
      <c r="F108" s="7" t="s">
        <v>195</v>
      </c>
      <c r="G108" s="7" t="s">
        <v>195</v>
      </c>
      <c r="H108" s="7" t="s">
        <v>195</v>
      </c>
      <c r="I108" s="7" t="s">
        <v>195</v>
      </c>
      <c r="J108" s="7" t="s">
        <v>195</v>
      </c>
      <c r="K108" s="7" t="s">
        <v>195</v>
      </c>
      <c r="L108" s="7" t="s">
        <v>195</v>
      </c>
      <c r="M108" s="7" t="s">
        <v>29</v>
      </c>
      <c r="N108" s="7" t="s">
        <v>29</v>
      </c>
      <c r="O108" s="7" t="s">
        <v>29</v>
      </c>
      <c r="P108" s="7" t="s">
        <v>29</v>
      </c>
      <c r="Q108" s="7" t="s">
        <v>29</v>
      </c>
      <c r="R108" s="7" t="s">
        <v>29</v>
      </c>
      <c r="S108" s="7" t="s">
        <v>29</v>
      </c>
    </row>
    <row r="109" spans="2:19">
      <c r="B109" s="7" t="s">
        <v>195</v>
      </c>
      <c r="C109" s="8" t="s">
        <v>195</v>
      </c>
      <c r="D109" s="5" t="str">
        <f>LRTRIM(CONCATENATE(IF(SUMPRODUCT(-- ISNUMBER(SEARCH({"Auto Number"}, $B109))) &gt; 0, $B109, IF(SUMPRODUCT(-- ISNUMBER(SEARCH({"Lookup","Master-Detail"}, $B109))) &gt; 0,$B109 &amp; "(" &amp; $E109 &amp; ")",IF(SUMPRODUCT(-- ISNUMBER(SEARCH({"Formula","Roll-Up Summary"}, $B109))) &gt; 0,$B109 &amp; " (" &amp; $E109 &amp; ")",IF(SUMPRODUCT(-- ISNUMBER(SEARCH({"Content","Currency","Number","Percent","Text","URL"}, $B109))) &gt; 0,$B109 &amp; "(" &amp; $C109 &amp; ")",$B109)))), "  ", TRIM(IF($S109 = "YES", "(External ID)", "") &amp; " " &amp; IF(SUMPRODUCT(-- ISNUMBER(SEARCH({"Unique","Unique Case Insensitive"}, $R109))) &gt; 0, "(" &amp; $R109 &amp; ")", ""))))</f>
        <v>na</v>
      </c>
      <c r="E109" s="7" t="s">
        <v>195</v>
      </c>
      <c r="F109" s="7" t="s">
        <v>195</v>
      </c>
      <c r="G109" s="7" t="s">
        <v>195</v>
      </c>
      <c r="H109" s="7" t="s">
        <v>195</v>
      </c>
      <c r="I109" s="7" t="s">
        <v>195</v>
      </c>
      <c r="J109" s="7" t="s">
        <v>195</v>
      </c>
      <c r="K109" s="7" t="s">
        <v>195</v>
      </c>
      <c r="L109" s="7" t="s">
        <v>195</v>
      </c>
      <c r="M109" s="7" t="s">
        <v>29</v>
      </c>
      <c r="N109" s="7" t="s">
        <v>29</v>
      </c>
      <c r="O109" s="7" t="s">
        <v>29</v>
      </c>
      <c r="P109" s="7" t="s">
        <v>29</v>
      </c>
      <c r="Q109" s="7" t="s">
        <v>29</v>
      </c>
      <c r="R109" s="7" t="s">
        <v>29</v>
      </c>
      <c r="S109" s="7" t="s">
        <v>29</v>
      </c>
    </row>
    <row r="110" spans="2:19">
      <c r="B110" s="7" t="s">
        <v>195</v>
      </c>
      <c r="C110" s="8" t="s">
        <v>195</v>
      </c>
      <c r="D110" s="5" t="str">
        <f>LRTRIM(CONCATENATE(IF(SUMPRODUCT(-- ISNUMBER(SEARCH({"Auto Number"}, $B110))) &gt; 0, $B110, IF(SUMPRODUCT(-- ISNUMBER(SEARCH({"Lookup","Master-Detail"}, $B110))) &gt; 0,$B110 &amp; "(" &amp; $E110 &amp; ")",IF(SUMPRODUCT(-- ISNUMBER(SEARCH({"Formula","Roll-Up Summary"}, $B110))) &gt; 0,$B110 &amp; " (" &amp; $E110 &amp; ")",IF(SUMPRODUCT(-- ISNUMBER(SEARCH({"Content","Currency","Number","Percent","Text","URL"}, $B110))) &gt; 0,$B110 &amp; "(" &amp; $C110 &amp; ")",$B110)))), "  ", TRIM(IF($S110 = "YES", "(External ID)", "") &amp; " " &amp; IF(SUMPRODUCT(-- ISNUMBER(SEARCH({"Unique","Unique Case Insensitive"}, $R110))) &gt; 0, "(" &amp; $R110 &amp; ")", ""))))</f>
        <v>na</v>
      </c>
      <c r="E110" s="7" t="s">
        <v>195</v>
      </c>
      <c r="F110" s="7" t="s">
        <v>195</v>
      </c>
      <c r="G110" s="7" t="s">
        <v>195</v>
      </c>
      <c r="H110" s="7" t="s">
        <v>195</v>
      </c>
      <c r="I110" s="7" t="s">
        <v>195</v>
      </c>
      <c r="J110" s="7" t="s">
        <v>195</v>
      </c>
      <c r="K110" s="7" t="s">
        <v>195</v>
      </c>
      <c r="L110" s="7" t="s">
        <v>195</v>
      </c>
      <c r="M110" s="7" t="s">
        <v>29</v>
      </c>
      <c r="N110" s="7" t="s">
        <v>29</v>
      </c>
      <c r="O110" s="7" t="s">
        <v>29</v>
      </c>
      <c r="P110" s="7" t="s">
        <v>29</v>
      </c>
      <c r="Q110" s="7" t="s">
        <v>29</v>
      </c>
      <c r="R110" s="7" t="s">
        <v>29</v>
      </c>
      <c r="S110" s="7" t="s">
        <v>29</v>
      </c>
    </row>
    <row r="111" spans="2:19">
      <c r="B111" s="7" t="s">
        <v>195</v>
      </c>
      <c r="C111" s="8" t="s">
        <v>195</v>
      </c>
      <c r="D111" s="5" t="str">
        <f>LRTRIM(CONCATENATE(IF(SUMPRODUCT(-- ISNUMBER(SEARCH({"Auto Number"}, $B111))) &gt; 0, $B111, IF(SUMPRODUCT(-- ISNUMBER(SEARCH({"Lookup","Master-Detail"}, $B111))) &gt; 0,$B111 &amp; "(" &amp; $E111 &amp; ")",IF(SUMPRODUCT(-- ISNUMBER(SEARCH({"Formula","Roll-Up Summary"}, $B111))) &gt; 0,$B111 &amp; " (" &amp; $E111 &amp; ")",IF(SUMPRODUCT(-- ISNUMBER(SEARCH({"Content","Currency","Number","Percent","Text","URL"}, $B111))) &gt; 0,$B111 &amp; "(" &amp; $C111 &amp; ")",$B111)))), "  ", TRIM(IF($S111 = "YES", "(External ID)", "") &amp; " " &amp; IF(SUMPRODUCT(-- ISNUMBER(SEARCH({"Unique","Unique Case Insensitive"}, $R111))) &gt; 0, "(" &amp; $R111 &amp; ")", ""))))</f>
        <v>na</v>
      </c>
      <c r="E111" s="7" t="s">
        <v>195</v>
      </c>
      <c r="F111" s="7" t="s">
        <v>195</v>
      </c>
      <c r="G111" s="7" t="s">
        <v>195</v>
      </c>
      <c r="H111" s="7" t="s">
        <v>195</v>
      </c>
      <c r="I111" s="7" t="s">
        <v>195</v>
      </c>
      <c r="J111" s="7" t="s">
        <v>195</v>
      </c>
      <c r="K111" s="7" t="s">
        <v>195</v>
      </c>
      <c r="L111" s="7" t="s">
        <v>195</v>
      </c>
      <c r="M111" s="7" t="s">
        <v>29</v>
      </c>
      <c r="N111" s="7" t="s">
        <v>29</v>
      </c>
      <c r="O111" s="7" t="s">
        <v>29</v>
      </c>
      <c r="P111" s="7" t="s">
        <v>29</v>
      </c>
      <c r="Q111" s="7" t="s">
        <v>29</v>
      </c>
      <c r="R111" s="7" t="s">
        <v>29</v>
      </c>
      <c r="S111" s="7" t="s">
        <v>29</v>
      </c>
    </row>
    <row r="112" spans="2:19">
      <c r="B112" s="7" t="s">
        <v>195</v>
      </c>
      <c r="C112" s="8" t="s">
        <v>195</v>
      </c>
      <c r="D112" s="5" t="str">
        <f>LRTRIM(CONCATENATE(IF(SUMPRODUCT(-- ISNUMBER(SEARCH({"Auto Number"}, $B112))) &gt; 0, $B112, IF(SUMPRODUCT(-- ISNUMBER(SEARCH({"Lookup","Master-Detail"}, $B112))) &gt; 0,$B112 &amp; "(" &amp; $E112 &amp; ")",IF(SUMPRODUCT(-- ISNUMBER(SEARCH({"Formula","Roll-Up Summary"}, $B112))) &gt; 0,$B112 &amp; " (" &amp; $E112 &amp; ")",IF(SUMPRODUCT(-- ISNUMBER(SEARCH({"Content","Currency","Number","Percent","Text","URL"}, $B112))) &gt; 0,$B112 &amp; "(" &amp; $C112 &amp; ")",$B112)))), "  ", TRIM(IF($S112 = "YES", "(External ID)", "") &amp; " " &amp; IF(SUMPRODUCT(-- ISNUMBER(SEARCH({"Unique","Unique Case Insensitive"}, $R112))) &gt; 0, "(" &amp; $R112 &amp; ")", ""))))</f>
        <v>na</v>
      </c>
      <c r="E112" s="7" t="s">
        <v>195</v>
      </c>
      <c r="F112" s="7" t="s">
        <v>195</v>
      </c>
      <c r="G112" s="7" t="s">
        <v>195</v>
      </c>
      <c r="H112" s="7" t="s">
        <v>195</v>
      </c>
      <c r="I112" s="7" t="s">
        <v>195</v>
      </c>
      <c r="J112" s="7" t="s">
        <v>195</v>
      </c>
      <c r="K112" s="7" t="s">
        <v>195</v>
      </c>
      <c r="L112" s="7" t="s">
        <v>195</v>
      </c>
      <c r="M112" s="7" t="s">
        <v>29</v>
      </c>
      <c r="N112" s="7" t="s">
        <v>29</v>
      </c>
      <c r="O112" s="7" t="s">
        <v>29</v>
      </c>
      <c r="P112" s="7" t="s">
        <v>29</v>
      </c>
      <c r="Q112" s="7" t="s">
        <v>29</v>
      </c>
      <c r="R112" s="7" t="s">
        <v>29</v>
      </c>
      <c r="S112" s="7" t="s">
        <v>29</v>
      </c>
    </row>
    <row r="113" spans="2:19">
      <c r="B113" s="7" t="s">
        <v>195</v>
      </c>
      <c r="C113" s="8" t="s">
        <v>195</v>
      </c>
      <c r="D113" s="5" t="str">
        <f>LRTRIM(CONCATENATE(IF(SUMPRODUCT(-- ISNUMBER(SEARCH({"Auto Number"}, $B113))) &gt; 0, $B113, IF(SUMPRODUCT(-- ISNUMBER(SEARCH({"Lookup","Master-Detail"}, $B113))) &gt; 0,$B113 &amp; "(" &amp; $E113 &amp; ")",IF(SUMPRODUCT(-- ISNUMBER(SEARCH({"Formula","Roll-Up Summary"}, $B113))) &gt; 0,$B113 &amp; " (" &amp; $E113 &amp; ")",IF(SUMPRODUCT(-- ISNUMBER(SEARCH({"Content","Currency","Number","Percent","Text","URL"}, $B113))) &gt; 0,$B113 &amp; "(" &amp; $C113 &amp; ")",$B113)))), "  ", TRIM(IF($S113 = "YES", "(External ID)", "") &amp; " " &amp; IF(SUMPRODUCT(-- ISNUMBER(SEARCH({"Unique","Unique Case Insensitive"}, $R113))) &gt; 0, "(" &amp; $R113 &amp; ")", ""))))</f>
        <v>na</v>
      </c>
      <c r="E113" s="7" t="s">
        <v>195</v>
      </c>
      <c r="F113" s="7" t="s">
        <v>195</v>
      </c>
      <c r="G113" s="7" t="s">
        <v>195</v>
      </c>
      <c r="H113" s="7" t="s">
        <v>195</v>
      </c>
      <c r="I113" s="7" t="s">
        <v>195</v>
      </c>
      <c r="J113" s="7" t="s">
        <v>195</v>
      </c>
      <c r="K113" s="7" t="s">
        <v>195</v>
      </c>
      <c r="L113" s="7" t="s">
        <v>195</v>
      </c>
      <c r="M113" s="7" t="s">
        <v>29</v>
      </c>
      <c r="N113" s="7" t="s">
        <v>29</v>
      </c>
      <c r="O113" s="7" t="s">
        <v>29</v>
      </c>
      <c r="P113" s="7" t="s">
        <v>29</v>
      </c>
      <c r="Q113" s="7" t="s">
        <v>29</v>
      </c>
      <c r="R113" s="7" t="s">
        <v>29</v>
      </c>
      <c r="S113" s="7" t="s">
        <v>29</v>
      </c>
    </row>
    <row r="114" spans="2:19">
      <c r="B114" s="7" t="s">
        <v>195</v>
      </c>
      <c r="C114" s="8" t="s">
        <v>195</v>
      </c>
      <c r="D114" s="5" t="str">
        <f>LRTRIM(CONCATENATE(IF(SUMPRODUCT(-- ISNUMBER(SEARCH({"Auto Number"}, $B114))) &gt; 0, $B114, IF(SUMPRODUCT(-- ISNUMBER(SEARCH({"Lookup","Master-Detail"}, $B114))) &gt; 0,$B114 &amp; "(" &amp; $E114 &amp; ")",IF(SUMPRODUCT(-- ISNUMBER(SEARCH({"Formula","Roll-Up Summary"}, $B114))) &gt; 0,$B114 &amp; " (" &amp; $E114 &amp; ")",IF(SUMPRODUCT(-- ISNUMBER(SEARCH({"Content","Currency","Number","Percent","Text","URL"}, $B114))) &gt; 0,$B114 &amp; "(" &amp; $C114 &amp; ")",$B114)))), "  ", TRIM(IF($S114 = "YES", "(External ID)", "") &amp; " " &amp; IF(SUMPRODUCT(-- ISNUMBER(SEARCH({"Unique","Unique Case Insensitive"}, $R114))) &gt; 0, "(" &amp; $R114 &amp; ")", ""))))</f>
        <v>na</v>
      </c>
      <c r="E114" s="7" t="s">
        <v>195</v>
      </c>
      <c r="F114" s="7" t="s">
        <v>195</v>
      </c>
      <c r="G114" s="7" t="s">
        <v>195</v>
      </c>
      <c r="H114" s="7" t="s">
        <v>195</v>
      </c>
      <c r="I114" s="7" t="s">
        <v>195</v>
      </c>
      <c r="J114" s="7" t="s">
        <v>195</v>
      </c>
      <c r="K114" s="7" t="s">
        <v>195</v>
      </c>
      <c r="L114" s="7" t="s">
        <v>195</v>
      </c>
      <c r="M114" s="7" t="s">
        <v>29</v>
      </c>
      <c r="N114" s="7" t="s">
        <v>29</v>
      </c>
      <c r="O114" s="7" t="s">
        <v>29</v>
      </c>
      <c r="P114" s="7" t="s">
        <v>29</v>
      </c>
      <c r="Q114" s="7" t="s">
        <v>29</v>
      </c>
      <c r="R114" s="7" t="s">
        <v>29</v>
      </c>
      <c r="S114" s="7" t="s">
        <v>29</v>
      </c>
    </row>
    <row r="115" spans="2:19">
      <c r="B115" s="7" t="s">
        <v>195</v>
      </c>
      <c r="C115" s="8" t="s">
        <v>195</v>
      </c>
      <c r="D115" s="5" t="str">
        <f>LRTRIM(CONCATENATE(IF(SUMPRODUCT(-- ISNUMBER(SEARCH({"Auto Number"}, $B115))) &gt; 0, $B115, IF(SUMPRODUCT(-- ISNUMBER(SEARCH({"Lookup","Master-Detail"}, $B115))) &gt; 0,$B115 &amp; "(" &amp; $E115 &amp; ")",IF(SUMPRODUCT(-- ISNUMBER(SEARCH({"Formula","Roll-Up Summary"}, $B115))) &gt; 0,$B115 &amp; " (" &amp; $E115 &amp; ")",IF(SUMPRODUCT(-- ISNUMBER(SEARCH({"Content","Currency","Number","Percent","Text","URL"}, $B115))) &gt; 0,$B115 &amp; "(" &amp; $C115 &amp; ")",$B115)))), "  ", TRIM(IF($S115 = "YES", "(External ID)", "") &amp; " " &amp; IF(SUMPRODUCT(-- ISNUMBER(SEARCH({"Unique","Unique Case Insensitive"}, $R115))) &gt; 0, "(" &amp; $R115 &amp; ")", ""))))</f>
        <v>na</v>
      </c>
      <c r="E115" s="7" t="s">
        <v>195</v>
      </c>
      <c r="F115" s="7" t="s">
        <v>195</v>
      </c>
      <c r="G115" s="7" t="s">
        <v>195</v>
      </c>
      <c r="H115" s="7" t="s">
        <v>195</v>
      </c>
      <c r="I115" s="7" t="s">
        <v>195</v>
      </c>
      <c r="J115" s="7" t="s">
        <v>195</v>
      </c>
      <c r="K115" s="7" t="s">
        <v>195</v>
      </c>
      <c r="L115" s="7" t="s">
        <v>195</v>
      </c>
      <c r="M115" s="7" t="s">
        <v>29</v>
      </c>
      <c r="N115" s="7" t="s">
        <v>29</v>
      </c>
      <c r="O115" s="7" t="s">
        <v>29</v>
      </c>
      <c r="P115" s="7" t="s">
        <v>29</v>
      </c>
      <c r="Q115" s="7" t="s">
        <v>29</v>
      </c>
      <c r="R115" s="7" t="s">
        <v>29</v>
      </c>
      <c r="S115" s="7" t="s">
        <v>29</v>
      </c>
    </row>
    <row r="116" spans="2:19">
      <c r="B116" s="7" t="s">
        <v>195</v>
      </c>
      <c r="C116" s="8" t="s">
        <v>195</v>
      </c>
      <c r="D116" s="5" t="str">
        <f>LRTRIM(CONCATENATE(IF(SUMPRODUCT(-- ISNUMBER(SEARCH({"Auto Number"}, $B116))) &gt; 0, $B116, IF(SUMPRODUCT(-- ISNUMBER(SEARCH({"Lookup","Master-Detail"}, $B116))) &gt; 0,$B116 &amp; "(" &amp; $E116 &amp; ")",IF(SUMPRODUCT(-- ISNUMBER(SEARCH({"Formula","Roll-Up Summary"}, $B116))) &gt; 0,$B116 &amp; " (" &amp; $E116 &amp; ")",IF(SUMPRODUCT(-- ISNUMBER(SEARCH({"Content","Currency","Number","Percent","Text","URL"}, $B116))) &gt; 0,$B116 &amp; "(" &amp; $C116 &amp; ")",$B116)))), "  ", TRIM(IF($S116 = "YES", "(External ID)", "") &amp; " " &amp; IF(SUMPRODUCT(-- ISNUMBER(SEARCH({"Unique","Unique Case Insensitive"}, $R116))) &gt; 0, "(" &amp; $R116 &amp; ")", ""))))</f>
        <v>na</v>
      </c>
      <c r="E116" s="7" t="s">
        <v>195</v>
      </c>
      <c r="F116" s="7" t="s">
        <v>195</v>
      </c>
      <c r="G116" s="7" t="s">
        <v>195</v>
      </c>
      <c r="H116" s="7" t="s">
        <v>195</v>
      </c>
      <c r="I116" s="7" t="s">
        <v>195</v>
      </c>
      <c r="J116" s="7" t="s">
        <v>195</v>
      </c>
      <c r="K116" s="7" t="s">
        <v>195</v>
      </c>
      <c r="L116" s="7" t="s">
        <v>195</v>
      </c>
      <c r="M116" s="7" t="s">
        <v>29</v>
      </c>
      <c r="N116" s="7" t="s">
        <v>29</v>
      </c>
      <c r="O116" s="7" t="s">
        <v>29</v>
      </c>
      <c r="P116" s="7" t="s">
        <v>29</v>
      </c>
      <c r="Q116" s="7" t="s">
        <v>29</v>
      </c>
      <c r="R116" s="7" t="s">
        <v>29</v>
      </c>
      <c r="S116" s="7" t="s">
        <v>29</v>
      </c>
    </row>
    <row r="117" spans="2:19">
      <c r="B117" s="7" t="s">
        <v>195</v>
      </c>
      <c r="C117" s="8" t="s">
        <v>195</v>
      </c>
      <c r="D117" s="5" t="str">
        <f>LRTRIM(CONCATENATE(IF(SUMPRODUCT(-- ISNUMBER(SEARCH({"Auto Number"}, $B117))) &gt; 0, $B117, IF(SUMPRODUCT(-- ISNUMBER(SEARCH({"Lookup","Master-Detail"}, $B117))) &gt; 0,$B117 &amp; "(" &amp; $E117 &amp; ")",IF(SUMPRODUCT(-- ISNUMBER(SEARCH({"Formula","Roll-Up Summary"}, $B117))) &gt; 0,$B117 &amp; " (" &amp; $E117 &amp; ")",IF(SUMPRODUCT(-- ISNUMBER(SEARCH({"Content","Currency","Number","Percent","Text","URL"}, $B117))) &gt; 0,$B117 &amp; "(" &amp; $C117 &amp; ")",$B117)))), "  ", TRIM(IF($S117 = "YES", "(External ID)", "") &amp; " " &amp; IF(SUMPRODUCT(-- ISNUMBER(SEARCH({"Unique","Unique Case Insensitive"}, $R117))) &gt; 0, "(" &amp; $R117 &amp; ")", ""))))</f>
        <v>na</v>
      </c>
      <c r="E117" s="7" t="s">
        <v>195</v>
      </c>
      <c r="F117" s="7" t="s">
        <v>195</v>
      </c>
      <c r="G117" s="7" t="s">
        <v>195</v>
      </c>
      <c r="H117" s="7" t="s">
        <v>195</v>
      </c>
      <c r="I117" s="7" t="s">
        <v>195</v>
      </c>
      <c r="J117" s="7" t="s">
        <v>195</v>
      </c>
      <c r="K117" s="7" t="s">
        <v>195</v>
      </c>
      <c r="L117" s="7" t="s">
        <v>195</v>
      </c>
      <c r="M117" s="7" t="s">
        <v>29</v>
      </c>
      <c r="N117" s="7" t="s">
        <v>29</v>
      </c>
      <c r="O117" s="7" t="s">
        <v>29</v>
      </c>
      <c r="P117" s="7" t="s">
        <v>29</v>
      </c>
      <c r="Q117" s="7" t="s">
        <v>29</v>
      </c>
      <c r="R117" s="7" t="s">
        <v>29</v>
      </c>
      <c r="S117" s="7" t="s">
        <v>29</v>
      </c>
    </row>
    <row r="118" spans="2:19">
      <c r="B118" s="7" t="s">
        <v>195</v>
      </c>
      <c r="C118" s="8" t="s">
        <v>195</v>
      </c>
      <c r="D118" s="5" t="str">
        <f>LRTRIM(CONCATENATE(IF(SUMPRODUCT(-- ISNUMBER(SEARCH({"Auto Number"}, $B118))) &gt; 0, $B118, IF(SUMPRODUCT(-- ISNUMBER(SEARCH({"Lookup","Master-Detail"}, $B118))) &gt; 0,$B118 &amp; "(" &amp; $E118 &amp; ")",IF(SUMPRODUCT(-- ISNUMBER(SEARCH({"Formula","Roll-Up Summary"}, $B118))) &gt; 0,$B118 &amp; " (" &amp; $E118 &amp; ")",IF(SUMPRODUCT(-- ISNUMBER(SEARCH({"Content","Currency","Number","Percent","Text","URL"}, $B118))) &gt; 0,$B118 &amp; "(" &amp; $C118 &amp; ")",$B118)))), "  ", TRIM(IF($S118 = "YES", "(External ID)", "") &amp; " " &amp; IF(SUMPRODUCT(-- ISNUMBER(SEARCH({"Unique","Unique Case Insensitive"}, $R118))) &gt; 0, "(" &amp; $R118 &amp; ")", ""))))</f>
        <v>na</v>
      </c>
      <c r="E118" s="7" t="s">
        <v>195</v>
      </c>
      <c r="F118" s="7" t="s">
        <v>195</v>
      </c>
      <c r="G118" s="7" t="s">
        <v>195</v>
      </c>
      <c r="H118" s="7" t="s">
        <v>195</v>
      </c>
      <c r="I118" s="7" t="s">
        <v>195</v>
      </c>
      <c r="J118" s="7" t="s">
        <v>195</v>
      </c>
      <c r="K118" s="7" t="s">
        <v>195</v>
      </c>
      <c r="L118" s="7" t="s">
        <v>195</v>
      </c>
      <c r="M118" s="7" t="s">
        <v>29</v>
      </c>
      <c r="N118" s="7" t="s">
        <v>29</v>
      </c>
      <c r="O118" s="7" t="s">
        <v>29</v>
      </c>
      <c r="P118" s="7" t="s">
        <v>29</v>
      </c>
      <c r="Q118" s="7" t="s">
        <v>29</v>
      </c>
      <c r="R118" s="7" t="s">
        <v>29</v>
      </c>
      <c r="S118" s="7" t="s">
        <v>29</v>
      </c>
    </row>
    <row r="119" spans="2:19">
      <c r="B119" s="7" t="s">
        <v>195</v>
      </c>
      <c r="C119" s="8" t="s">
        <v>195</v>
      </c>
      <c r="D119" s="5" t="str">
        <f>LRTRIM(CONCATENATE(IF(SUMPRODUCT(-- ISNUMBER(SEARCH({"Auto Number"}, $B119))) &gt; 0, $B119, IF(SUMPRODUCT(-- ISNUMBER(SEARCH({"Lookup","Master-Detail"}, $B119))) &gt; 0,$B119 &amp; "(" &amp; $E119 &amp; ")",IF(SUMPRODUCT(-- ISNUMBER(SEARCH({"Formula","Roll-Up Summary"}, $B119))) &gt; 0,$B119 &amp; " (" &amp; $E119 &amp; ")",IF(SUMPRODUCT(-- ISNUMBER(SEARCH({"Content","Currency","Number","Percent","Text","URL"}, $B119))) &gt; 0,$B119 &amp; "(" &amp; $C119 &amp; ")",$B119)))), "  ", TRIM(IF($S119 = "YES", "(External ID)", "") &amp; " " &amp; IF(SUMPRODUCT(-- ISNUMBER(SEARCH({"Unique","Unique Case Insensitive"}, $R119))) &gt; 0, "(" &amp; $R119 &amp; ")", ""))))</f>
        <v>na</v>
      </c>
      <c r="E119" s="7" t="s">
        <v>195</v>
      </c>
      <c r="F119" s="7" t="s">
        <v>195</v>
      </c>
      <c r="G119" s="7" t="s">
        <v>195</v>
      </c>
      <c r="H119" s="7" t="s">
        <v>195</v>
      </c>
      <c r="I119" s="7" t="s">
        <v>195</v>
      </c>
      <c r="J119" s="7" t="s">
        <v>195</v>
      </c>
      <c r="K119" s="7" t="s">
        <v>195</v>
      </c>
      <c r="L119" s="7" t="s">
        <v>195</v>
      </c>
      <c r="M119" s="7" t="s">
        <v>29</v>
      </c>
      <c r="N119" s="7" t="s">
        <v>29</v>
      </c>
      <c r="O119" s="7" t="s">
        <v>29</v>
      </c>
      <c r="P119" s="7" t="s">
        <v>29</v>
      </c>
      <c r="Q119" s="7" t="s">
        <v>29</v>
      </c>
      <c r="R119" s="7" t="s">
        <v>29</v>
      </c>
      <c r="S119" s="7" t="s">
        <v>29</v>
      </c>
    </row>
    <row r="120" spans="2:19">
      <c r="B120" s="7" t="s">
        <v>195</v>
      </c>
      <c r="C120" s="8" t="s">
        <v>195</v>
      </c>
      <c r="D120" s="5" t="str">
        <f>LRTRIM(CONCATENATE(IF(SUMPRODUCT(-- ISNUMBER(SEARCH({"Auto Number"}, $B120))) &gt; 0, $B120, IF(SUMPRODUCT(-- ISNUMBER(SEARCH({"Lookup","Master-Detail"}, $B120))) &gt; 0,$B120 &amp; "(" &amp; $E120 &amp; ")",IF(SUMPRODUCT(-- ISNUMBER(SEARCH({"Formula","Roll-Up Summary"}, $B120))) &gt; 0,$B120 &amp; " (" &amp; $E120 &amp; ")",IF(SUMPRODUCT(-- ISNUMBER(SEARCH({"Content","Currency","Number","Percent","Text","URL"}, $B120))) &gt; 0,$B120 &amp; "(" &amp; $C120 &amp; ")",$B120)))), "  ", TRIM(IF($S120 = "YES", "(External ID)", "") &amp; " " &amp; IF(SUMPRODUCT(-- ISNUMBER(SEARCH({"Unique","Unique Case Insensitive"}, $R120))) &gt; 0, "(" &amp; $R120 &amp; ")", ""))))</f>
        <v>na</v>
      </c>
      <c r="E120" s="7" t="s">
        <v>195</v>
      </c>
      <c r="F120" s="7" t="s">
        <v>195</v>
      </c>
      <c r="G120" s="7" t="s">
        <v>195</v>
      </c>
      <c r="H120" s="7" t="s">
        <v>195</v>
      </c>
      <c r="I120" s="7" t="s">
        <v>195</v>
      </c>
      <c r="J120" s="7" t="s">
        <v>195</v>
      </c>
      <c r="K120" s="7" t="s">
        <v>195</v>
      </c>
      <c r="L120" s="7" t="s">
        <v>195</v>
      </c>
      <c r="M120" s="7" t="s">
        <v>29</v>
      </c>
      <c r="N120" s="7" t="s">
        <v>29</v>
      </c>
      <c r="O120" s="7" t="s">
        <v>29</v>
      </c>
      <c r="P120" s="7" t="s">
        <v>29</v>
      </c>
      <c r="Q120" s="7" t="s">
        <v>29</v>
      </c>
      <c r="R120" s="7" t="s">
        <v>29</v>
      </c>
      <c r="S120" s="7" t="s">
        <v>29</v>
      </c>
    </row>
    <row r="121" spans="2:19">
      <c r="B121" s="7" t="s">
        <v>195</v>
      </c>
      <c r="C121" s="8" t="s">
        <v>195</v>
      </c>
      <c r="D121" s="5" t="str">
        <f>LRTRIM(CONCATENATE(IF(SUMPRODUCT(-- ISNUMBER(SEARCH({"Auto Number"}, $B121))) &gt; 0, $B121, IF(SUMPRODUCT(-- ISNUMBER(SEARCH({"Lookup","Master-Detail"}, $B121))) &gt; 0,$B121 &amp; "(" &amp; $E121 &amp; ")",IF(SUMPRODUCT(-- ISNUMBER(SEARCH({"Formula","Roll-Up Summary"}, $B121))) &gt; 0,$B121 &amp; " (" &amp; $E121 &amp; ")",IF(SUMPRODUCT(-- ISNUMBER(SEARCH({"Content","Currency","Number","Percent","Text","URL"}, $B121))) &gt; 0,$B121 &amp; "(" &amp; $C121 &amp; ")",$B121)))), "  ", TRIM(IF($S121 = "YES", "(External ID)", "") &amp; " " &amp; IF(SUMPRODUCT(-- ISNUMBER(SEARCH({"Unique","Unique Case Insensitive"}, $R121))) &gt; 0, "(" &amp; $R121 &amp; ")", ""))))</f>
        <v>na</v>
      </c>
      <c r="E121" s="7" t="s">
        <v>195</v>
      </c>
      <c r="F121" s="7" t="s">
        <v>195</v>
      </c>
      <c r="G121" s="7" t="s">
        <v>195</v>
      </c>
      <c r="H121" s="7" t="s">
        <v>195</v>
      </c>
      <c r="I121" s="7" t="s">
        <v>195</v>
      </c>
      <c r="J121" s="7" t="s">
        <v>195</v>
      </c>
      <c r="K121" s="7" t="s">
        <v>195</v>
      </c>
      <c r="L121" s="7" t="s">
        <v>195</v>
      </c>
      <c r="M121" s="7" t="s">
        <v>29</v>
      </c>
      <c r="N121" s="7" t="s">
        <v>29</v>
      </c>
      <c r="O121" s="7" t="s">
        <v>29</v>
      </c>
      <c r="P121" s="7" t="s">
        <v>29</v>
      </c>
      <c r="Q121" s="7" t="s">
        <v>29</v>
      </c>
      <c r="R121" s="7" t="s">
        <v>29</v>
      </c>
      <c r="S121" s="7" t="s">
        <v>29</v>
      </c>
    </row>
    <row r="122" spans="2:19">
      <c r="B122" s="7" t="s">
        <v>195</v>
      </c>
      <c r="C122" s="8" t="s">
        <v>195</v>
      </c>
      <c r="D122" s="5" t="str">
        <f>LRTRIM(CONCATENATE(IF(SUMPRODUCT(-- ISNUMBER(SEARCH({"Auto Number"}, $B122))) &gt; 0, $B122, IF(SUMPRODUCT(-- ISNUMBER(SEARCH({"Lookup","Master-Detail"}, $B122))) &gt; 0,$B122 &amp; "(" &amp; $E122 &amp; ")",IF(SUMPRODUCT(-- ISNUMBER(SEARCH({"Formula","Roll-Up Summary"}, $B122))) &gt; 0,$B122 &amp; " (" &amp; $E122 &amp; ")",IF(SUMPRODUCT(-- ISNUMBER(SEARCH({"Content","Currency","Number","Percent","Text","URL"}, $B122))) &gt; 0,$B122 &amp; "(" &amp; $C122 &amp; ")",$B122)))), "  ", TRIM(IF($S122 = "YES", "(External ID)", "") &amp; " " &amp; IF(SUMPRODUCT(-- ISNUMBER(SEARCH({"Unique","Unique Case Insensitive"}, $R122))) &gt; 0, "(" &amp; $R122 &amp; ")", ""))))</f>
        <v>na</v>
      </c>
      <c r="E122" s="7" t="s">
        <v>195</v>
      </c>
      <c r="F122" s="7" t="s">
        <v>195</v>
      </c>
      <c r="G122" s="7" t="s">
        <v>195</v>
      </c>
      <c r="H122" s="7" t="s">
        <v>195</v>
      </c>
      <c r="I122" s="7" t="s">
        <v>195</v>
      </c>
      <c r="J122" s="7" t="s">
        <v>195</v>
      </c>
      <c r="K122" s="7" t="s">
        <v>195</v>
      </c>
      <c r="L122" s="7" t="s">
        <v>195</v>
      </c>
      <c r="M122" s="7" t="s">
        <v>29</v>
      </c>
      <c r="N122" s="7" t="s">
        <v>29</v>
      </c>
      <c r="O122" s="7" t="s">
        <v>29</v>
      </c>
      <c r="P122" s="7" t="s">
        <v>29</v>
      </c>
      <c r="Q122" s="7" t="s">
        <v>29</v>
      </c>
      <c r="R122" s="7" t="s">
        <v>29</v>
      </c>
      <c r="S122" s="7" t="s">
        <v>29</v>
      </c>
    </row>
    <row r="123" spans="2:19">
      <c r="B123" s="7" t="s">
        <v>195</v>
      </c>
      <c r="C123" s="8" t="s">
        <v>195</v>
      </c>
      <c r="D123" s="5" t="str">
        <f>LRTRIM(CONCATENATE(IF(SUMPRODUCT(-- ISNUMBER(SEARCH({"Auto Number"}, $B123))) &gt; 0, $B123, IF(SUMPRODUCT(-- ISNUMBER(SEARCH({"Lookup","Master-Detail"}, $B123))) &gt; 0,$B123 &amp; "(" &amp; $E123 &amp; ")",IF(SUMPRODUCT(-- ISNUMBER(SEARCH({"Formula","Roll-Up Summary"}, $B123))) &gt; 0,$B123 &amp; " (" &amp; $E123 &amp; ")",IF(SUMPRODUCT(-- ISNUMBER(SEARCH({"Content","Currency","Number","Percent","Text","URL"}, $B123))) &gt; 0,$B123 &amp; "(" &amp; $C123 &amp; ")",$B123)))), "  ", TRIM(IF($S123 = "YES", "(External ID)", "") &amp; " " &amp; IF(SUMPRODUCT(-- ISNUMBER(SEARCH({"Unique","Unique Case Insensitive"}, $R123))) &gt; 0, "(" &amp; $R123 &amp; ")", ""))))</f>
        <v>na</v>
      </c>
      <c r="E123" s="7" t="s">
        <v>195</v>
      </c>
      <c r="F123" s="7" t="s">
        <v>195</v>
      </c>
      <c r="G123" s="7" t="s">
        <v>195</v>
      </c>
      <c r="H123" s="7" t="s">
        <v>195</v>
      </c>
      <c r="I123" s="7" t="s">
        <v>195</v>
      </c>
      <c r="J123" s="7" t="s">
        <v>195</v>
      </c>
      <c r="K123" s="7" t="s">
        <v>195</v>
      </c>
      <c r="L123" s="7" t="s">
        <v>195</v>
      </c>
      <c r="M123" s="7" t="s">
        <v>29</v>
      </c>
      <c r="N123" s="7" t="s">
        <v>29</v>
      </c>
      <c r="O123" s="7" t="s">
        <v>29</v>
      </c>
      <c r="P123" s="7" t="s">
        <v>29</v>
      </c>
      <c r="Q123" s="7" t="s">
        <v>29</v>
      </c>
      <c r="R123" s="7" t="s">
        <v>29</v>
      </c>
      <c r="S123" s="7" t="s">
        <v>29</v>
      </c>
    </row>
    <row r="124" spans="2:19">
      <c r="B124" s="7" t="s">
        <v>195</v>
      </c>
      <c r="C124" s="8" t="s">
        <v>195</v>
      </c>
      <c r="D124" s="5" t="str">
        <f>LRTRIM(CONCATENATE(IF(SUMPRODUCT(-- ISNUMBER(SEARCH({"Auto Number"}, $B124))) &gt; 0, $B124, IF(SUMPRODUCT(-- ISNUMBER(SEARCH({"Lookup","Master-Detail"}, $B124))) &gt; 0,$B124 &amp; "(" &amp; $E124 &amp; ")",IF(SUMPRODUCT(-- ISNUMBER(SEARCH({"Formula","Roll-Up Summary"}, $B124))) &gt; 0,$B124 &amp; " (" &amp; $E124 &amp; ")",IF(SUMPRODUCT(-- ISNUMBER(SEARCH({"Content","Currency","Number","Percent","Text","URL"}, $B124))) &gt; 0,$B124 &amp; "(" &amp; $C124 &amp; ")",$B124)))), "  ", TRIM(IF($S124 = "YES", "(External ID)", "") &amp; " " &amp; IF(SUMPRODUCT(-- ISNUMBER(SEARCH({"Unique","Unique Case Insensitive"}, $R124))) &gt; 0, "(" &amp; $R124 &amp; ")", ""))))</f>
        <v>na</v>
      </c>
      <c r="E124" s="7" t="s">
        <v>195</v>
      </c>
      <c r="F124" s="7" t="s">
        <v>195</v>
      </c>
      <c r="G124" s="7" t="s">
        <v>195</v>
      </c>
      <c r="H124" s="7" t="s">
        <v>195</v>
      </c>
      <c r="I124" s="7" t="s">
        <v>195</v>
      </c>
      <c r="J124" s="7" t="s">
        <v>195</v>
      </c>
      <c r="K124" s="7" t="s">
        <v>195</v>
      </c>
      <c r="L124" s="7" t="s">
        <v>195</v>
      </c>
      <c r="M124" s="7" t="s">
        <v>29</v>
      </c>
      <c r="N124" s="7" t="s">
        <v>29</v>
      </c>
      <c r="O124" s="7" t="s">
        <v>29</v>
      </c>
      <c r="P124" s="7" t="s">
        <v>29</v>
      </c>
      <c r="Q124" s="7" t="s">
        <v>29</v>
      </c>
      <c r="R124" s="7" t="s">
        <v>29</v>
      </c>
      <c r="S124" s="7" t="s">
        <v>29</v>
      </c>
    </row>
    <row r="125" spans="2:19">
      <c r="B125" s="7" t="s">
        <v>195</v>
      </c>
      <c r="C125" s="8" t="s">
        <v>195</v>
      </c>
      <c r="D125" s="5" t="str">
        <f>LRTRIM(CONCATENATE(IF(SUMPRODUCT(-- ISNUMBER(SEARCH({"Auto Number"}, $B125))) &gt; 0, $B125, IF(SUMPRODUCT(-- ISNUMBER(SEARCH({"Lookup","Master-Detail"}, $B125))) &gt; 0,$B125 &amp; "(" &amp; $E125 &amp; ")",IF(SUMPRODUCT(-- ISNUMBER(SEARCH({"Formula","Roll-Up Summary"}, $B125))) &gt; 0,$B125 &amp; " (" &amp; $E125 &amp; ")",IF(SUMPRODUCT(-- ISNUMBER(SEARCH({"Content","Currency","Number","Percent","Text","URL"}, $B125))) &gt; 0,$B125 &amp; "(" &amp; $C125 &amp; ")",$B125)))), "  ", TRIM(IF($S125 = "YES", "(External ID)", "") &amp; " " &amp; IF(SUMPRODUCT(-- ISNUMBER(SEARCH({"Unique","Unique Case Insensitive"}, $R125))) &gt; 0, "(" &amp; $R125 &amp; ")", ""))))</f>
        <v>na</v>
      </c>
      <c r="E125" s="7" t="s">
        <v>195</v>
      </c>
      <c r="F125" s="7" t="s">
        <v>195</v>
      </c>
      <c r="G125" s="7" t="s">
        <v>195</v>
      </c>
      <c r="H125" s="7" t="s">
        <v>195</v>
      </c>
      <c r="I125" s="7" t="s">
        <v>195</v>
      </c>
      <c r="J125" s="7" t="s">
        <v>195</v>
      </c>
      <c r="K125" s="7" t="s">
        <v>195</v>
      </c>
      <c r="L125" s="7" t="s">
        <v>195</v>
      </c>
      <c r="M125" s="7" t="s">
        <v>29</v>
      </c>
      <c r="N125" s="7" t="s">
        <v>29</v>
      </c>
      <c r="O125" s="7" t="s">
        <v>29</v>
      </c>
      <c r="P125" s="7" t="s">
        <v>29</v>
      </c>
      <c r="Q125" s="7" t="s">
        <v>29</v>
      </c>
      <c r="R125" s="7" t="s">
        <v>29</v>
      </c>
      <c r="S125" s="7" t="s">
        <v>29</v>
      </c>
    </row>
    <row r="126" spans="2:19">
      <c r="B126" s="7" t="s">
        <v>195</v>
      </c>
      <c r="C126" s="8" t="s">
        <v>195</v>
      </c>
      <c r="D126" s="5" t="str">
        <f>LRTRIM(CONCATENATE(IF(SUMPRODUCT(-- ISNUMBER(SEARCH({"Auto Number"}, $B126))) &gt; 0, $B126, IF(SUMPRODUCT(-- ISNUMBER(SEARCH({"Lookup","Master-Detail"}, $B126))) &gt; 0,$B126 &amp; "(" &amp; $E126 &amp; ")",IF(SUMPRODUCT(-- ISNUMBER(SEARCH({"Formula","Roll-Up Summary"}, $B126))) &gt; 0,$B126 &amp; " (" &amp; $E126 &amp; ")",IF(SUMPRODUCT(-- ISNUMBER(SEARCH({"Content","Currency","Number","Percent","Text","URL"}, $B126))) &gt; 0,$B126 &amp; "(" &amp; $C126 &amp; ")",$B126)))), "  ", TRIM(IF($S126 = "YES", "(External ID)", "") &amp; " " &amp; IF(SUMPRODUCT(-- ISNUMBER(SEARCH({"Unique","Unique Case Insensitive"}, $R126))) &gt; 0, "(" &amp; $R126 &amp; ")", ""))))</f>
        <v>na</v>
      </c>
      <c r="E126" s="7" t="s">
        <v>195</v>
      </c>
      <c r="F126" s="7" t="s">
        <v>195</v>
      </c>
      <c r="G126" s="7" t="s">
        <v>195</v>
      </c>
      <c r="H126" s="7" t="s">
        <v>195</v>
      </c>
      <c r="I126" s="7" t="s">
        <v>195</v>
      </c>
      <c r="J126" s="7" t="s">
        <v>195</v>
      </c>
      <c r="K126" s="7" t="s">
        <v>195</v>
      </c>
      <c r="L126" s="7" t="s">
        <v>195</v>
      </c>
      <c r="M126" s="7" t="s">
        <v>29</v>
      </c>
      <c r="N126" s="7" t="s">
        <v>29</v>
      </c>
      <c r="O126" s="7" t="s">
        <v>29</v>
      </c>
      <c r="P126" s="7" t="s">
        <v>29</v>
      </c>
      <c r="Q126" s="7" t="s">
        <v>29</v>
      </c>
      <c r="R126" s="7" t="s">
        <v>29</v>
      </c>
      <c r="S126" s="7" t="s">
        <v>29</v>
      </c>
    </row>
    <row r="127" spans="2:19">
      <c r="B127" s="7" t="s">
        <v>195</v>
      </c>
      <c r="C127" s="8" t="s">
        <v>195</v>
      </c>
      <c r="D127" s="5" t="str">
        <f>LRTRIM(CONCATENATE(IF(SUMPRODUCT(-- ISNUMBER(SEARCH({"Auto Number"}, $B127))) &gt; 0, $B127, IF(SUMPRODUCT(-- ISNUMBER(SEARCH({"Lookup","Master-Detail"}, $B127))) &gt; 0,$B127 &amp; "(" &amp; $E127 &amp; ")",IF(SUMPRODUCT(-- ISNUMBER(SEARCH({"Formula","Roll-Up Summary"}, $B127))) &gt; 0,$B127 &amp; " (" &amp; $E127 &amp; ")",IF(SUMPRODUCT(-- ISNUMBER(SEARCH({"Content","Currency","Number","Percent","Text","URL"}, $B127))) &gt; 0,$B127 &amp; "(" &amp; $C127 &amp; ")",$B127)))), "  ", TRIM(IF($S127 = "YES", "(External ID)", "") &amp; " " &amp; IF(SUMPRODUCT(-- ISNUMBER(SEARCH({"Unique","Unique Case Insensitive"}, $R127))) &gt; 0, "(" &amp; $R127 &amp; ")", ""))))</f>
        <v>na</v>
      </c>
      <c r="E127" s="7" t="s">
        <v>195</v>
      </c>
      <c r="F127" s="7" t="s">
        <v>195</v>
      </c>
      <c r="G127" s="7" t="s">
        <v>195</v>
      </c>
      <c r="H127" s="7" t="s">
        <v>195</v>
      </c>
      <c r="I127" s="7" t="s">
        <v>195</v>
      </c>
      <c r="J127" s="7" t="s">
        <v>195</v>
      </c>
      <c r="K127" s="7" t="s">
        <v>195</v>
      </c>
      <c r="L127" s="7" t="s">
        <v>195</v>
      </c>
      <c r="M127" s="7" t="s">
        <v>29</v>
      </c>
      <c r="N127" s="7" t="s">
        <v>29</v>
      </c>
      <c r="O127" s="7" t="s">
        <v>29</v>
      </c>
      <c r="P127" s="7" t="s">
        <v>29</v>
      </c>
      <c r="Q127" s="7" t="s">
        <v>29</v>
      </c>
      <c r="R127" s="7" t="s">
        <v>29</v>
      </c>
      <c r="S127" s="7" t="s">
        <v>29</v>
      </c>
    </row>
    <row r="128" spans="2:19">
      <c r="B128" s="7" t="s">
        <v>195</v>
      </c>
      <c r="C128" s="8" t="s">
        <v>195</v>
      </c>
      <c r="D128" s="5" t="str">
        <f>LRTRIM(CONCATENATE(IF(SUMPRODUCT(-- ISNUMBER(SEARCH({"Auto Number"}, $B128))) &gt; 0, $B128, IF(SUMPRODUCT(-- ISNUMBER(SEARCH({"Lookup","Master-Detail"}, $B128))) &gt; 0,$B128 &amp; "(" &amp; $E128 &amp; ")",IF(SUMPRODUCT(-- ISNUMBER(SEARCH({"Formula","Roll-Up Summary"}, $B128))) &gt; 0,$B128 &amp; " (" &amp; $E128 &amp; ")",IF(SUMPRODUCT(-- ISNUMBER(SEARCH({"Content","Currency","Number","Percent","Text","URL"}, $B128))) &gt; 0,$B128 &amp; "(" &amp; $C128 &amp; ")",$B128)))), "  ", TRIM(IF($S128 = "YES", "(External ID)", "") &amp; " " &amp; IF(SUMPRODUCT(-- ISNUMBER(SEARCH({"Unique","Unique Case Insensitive"}, $R128))) &gt; 0, "(" &amp; $R128 &amp; ")", ""))))</f>
        <v>na</v>
      </c>
      <c r="E128" s="7" t="s">
        <v>195</v>
      </c>
      <c r="F128" s="7" t="s">
        <v>195</v>
      </c>
      <c r="G128" s="7" t="s">
        <v>195</v>
      </c>
      <c r="H128" s="7" t="s">
        <v>195</v>
      </c>
      <c r="I128" s="7" t="s">
        <v>195</v>
      </c>
      <c r="J128" s="7" t="s">
        <v>195</v>
      </c>
      <c r="K128" s="7" t="s">
        <v>195</v>
      </c>
      <c r="L128" s="7" t="s">
        <v>195</v>
      </c>
      <c r="M128" s="7" t="s">
        <v>29</v>
      </c>
      <c r="N128" s="7" t="s">
        <v>29</v>
      </c>
      <c r="O128" s="7" t="s">
        <v>29</v>
      </c>
      <c r="P128" s="7" t="s">
        <v>29</v>
      </c>
      <c r="Q128" s="7" t="s">
        <v>29</v>
      </c>
      <c r="R128" s="7" t="s">
        <v>29</v>
      </c>
      <c r="S128" s="7" t="s">
        <v>29</v>
      </c>
    </row>
    <row r="129" spans="2:19">
      <c r="B129" s="7" t="s">
        <v>195</v>
      </c>
      <c r="C129" s="8" t="s">
        <v>195</v>
      </c>
      <c r="D129" s="5" t="str">
        <f>LRTRIM(CONCATENATE(IF(SUMPRODUCT(-- ISNUMBER(SEARCH({"Auto Number"}, $B129))) &gt; 0, $B129, IF(SUMPRODUCT(-- ISNUMBER(SEARCH({"Lookup","Master-Detail"}, $B129))) &gt; 0,$B129 &amp; "(" &amp; $E129 &amp; ")",IF(SUMPRODUCT(-- ISNUMBER(SEARCH({"Formula","Roll-Up Summary"}, $B129))) &gt; 0,$B129 &amp; " (" &amp; $E129 &amp; ")",IF(SUMPRODUCT(-- ISNUMBER(SEARCH({"Content","Currency","Number","Percent","Text","URL"}, $B129))) &gt; 0,$B129 &amp; "(" &amp; $C129 &amp; ")",$B129)))), "  ", TRIM(IF($S129 = "YES", "(External ID)", "") &amp; " " &amp; IF(SUMPRODUCT(-- ISNUMBER(SEARCH({"Unique","Unique Case Insensitive"}, $R129))) &gt; 0, "(" &amp; $R129 &amp; ")", ""))))</f>
        <v>na</v>
      </c>
      <c r="E129" s="7" t="s">
        <v>195</v>
      </c>
      <c r="F129" s="7" t="s">
        <v>195</v>
      </c>
      <c r="G129" s="7" t="s">
        <v>195</v>
      </c>
      <c r="H129" s="7" t="s">
        <v>195</v>
      </c>
      <c r="I129" s="7" t="s">
        <v>195</v>
      </c>
      <c r="J129" s="7" t="s">
        <v>195</v>
      </c>
      <c r="K129" s="7" t="s">
        <v>195</v>
      </c>
      <c r="L129" s="7" t="s">
        <v>195</v>
      </c>
      <c r="M129" s="7" t="s">
        <v>29</v>
      </c>
      <c r="N129" s="7" t="s">
        <v>29</v>
      </c>
      <c r="O129" s="7" t="s">
        <v>29</v>
      </c>
      <c r="P129" s="7" t="s">
        <v>29</v>
      </c>
      <c r="Q129" s="7" t="s">
        <v>29</v>
      </c>
      <c r="R129" s="7" t="s">
        <v>29</v>
      </c>
      <c r="S129" s="7" t="s">
        <v>29</v>
      </c>
    </row>
    <row r="130" spans="2:19">
      <c r="B130" s="7" t="s">
        <v>195</v>
      </c>
      <c r="C130" s="8" t="s">
        <v>195</v>
      </c>
      <c r="D130" s="5" t="str">
        <f>LRTRIM(CONCATENATE(IF(SUMPRODUCT(-- ISNUMBER(SEARCH({"Auto Number"}, $B130))) &gt; 0, $B130, IF(SUMPRODUCT(-- ISNUMBER(SEARCH({"Lookup","Master-Detail"}, $B130))) &gt; 0,$B130 &amp; "(" &amp; $E130 &amp; ")",IF(SUMPRODUCT(-- ISNUMBER(SEARCH({"Formula","Roll-Up Summary"}, $B130))) &gt; 0,$B130 &amp; " (" &amp; $E130 &amp; ")",IF(SUMPRODUCT(-- ISNUMBER(SEARCH({"Content","Currency","Number","Percent","Text","URL"}, $B130))) &gt; 0,$B130 &amp; "(" &amp; $C130 &amp; ")",$B130)))), "  ", TRIM(IF($S130 = "YES", "(External ID)", "") &amp; " " &amp; IF(SUMPRODUCT(-- ISNUMBER(SEARCH({"Unique","Unique Case Insensitive"}, $R130))) &gt; 0, "(" &amp; $R130 &amp; ")", ""))))</f>
        <v>na</v>
      </c>
      <c r="E130" s="7" t="s">
        <v>195</v>
      </c>
      <c r="F130" s="7" t="s">
        <v>195</v>
      </c>
      <c r="G130" s="7" t="s">
        <v>195</v>
      </c>
      <c r="H130" s="7" t="s">
        <v>195</v>
      </c>
      <c r="I130" s="7" t="s">
        <v>195</v>
      </c>
      <c r="J130" s="7" t="s">
        <v>195</v>
      </c>
      <c r="K130" s="7" t="s">
        <v>195</v>
      </c>
      <c r="L130" s="7" t="s">
        <v>195</v>
      </c>
      <c r="M130" s="7" t="s">
        <v>29</v>
      </c>
      <c r="N130" s="7" t="s">
        <v>29</v>
      </c>
      <c r="O130" s="7" t="s">
        <v>29</v>
      </c>
      <c r="P130" s="7" t="s">
        <v>29</v>
      </c>
      <c r="Q130" s="7" t="s">
        <v>29</v>
      </c>
      <c r="R130" s="7" t="s">
        <v>29</v>
      </c>
      <c r="S130" s="7" t="s">
        <v>29</v>
      </c>
    </row>
    <row r="131" spans="2:19">
      <c r="B131" s="7" t="s">
        <v>195</v>
      </c>
      <c r="C131" s="8" t="s">
        <v>195</v>
      </c>
      <c r="D131" s="5" t="str">
        <f>LRTRIM(CONCATENATE(IF(SUMPRODUCT(-- ISNUMBER(SEARCH({"Auto Number"}, $B131))) &gt; 0, $B131, IF(SUMPRODUCT(-- ISNUMBER(SEARCH({"Lookup","Master-Detail"}, $B131))) &gt; 0,$B131 &amp; "(" &amp; $E131 &amp; ")",IF(SUMPRODUCT(-- ISNUMBER(SEARCH({"Formula","Roll-Up Summary"}, $B131))) &gt; 0,$B131 &amp; " (" &amp; $E131 &amp; ")",IF(SUMPRODUCT(-- ISNUMBER(SEARCH({"Content","Currency","Number","Percent","Text","URL"}, $B131))) &gt; 0,$B131 &amp; "(" &amp; $C131 &amp; ")",$B131)))), "  ", TRIM(IF($S131 = "YES", "(External ID)", "") &amp; " " &amp; IF(SUMPRODUCT(-- ISNUMBER(SEARCH({"Unique","Unique Case Insensitive"}, $R131))) &gt; 0, "(" &amp; $R131 &amp; ")", ""))))</f>
        <v>na</v>
      </c>
      <c r="E131" s="7" t="s">
        <v>195</v>
      </c>
      <c r="F131" s="7" t="s">
        <v>195</v>
      </c>
      <c r="G131" s="7" t="s">
        <v>195</v>
      </c>
      <c r="H131" s="7" t="s">
        <v>195</v>
      </c>
      <c r="I131" s="7" t="s">
        <v>195</v>
      </c>
      <c r="J131" s="7" t="s">
        <v>195</v>
      </c>
      <c r="K131" s="7" t="s">
        <v>195</v>
      </c>
      <c r="L131" s="7" t="s">
        <v>195</v>
      </c>
      <c r="M131" s="7" t="s">
        <v>29</v>
      </c>
      <c r="N131" s="7" t="s">
        <v>29</v>
      </c>
      <c r="O131" s="7" t="s">
        <v>29</v>
      </c>
      <c r="P131" s="7" t="s">
        <v>29</v>
      </c>
      <c r="Q131" s="7" t="s">
        <v>29</v>
      </c>
      <c r="R131" s="7" t="s">
        <v>29</v>
      </c>
      <c r="S131" s="7" t="s">
        <v>29</v>
      </c>
    </row>
    <row r="132" spans="2:19">
      <c r="B132" s="7" t="s">
        <v>195</v>
      </c>
      <c r="C132" s="8" t="s">
        <v>195</v>
      </c>
      <c r="D132" s="5" t="str">
        <f>LRTRIM(CONCATENATE(IF(SUMPRODUCT(-- ISNUMBER(SEARCH({"Auto Number"}, $B132))) &gt; 0, $B132, IF(SUMPRODUCT(-- ISNUMBER(SEARCH({"Lookup","Master-Detail"}, $B132))) &gt; 0,$B132 &amp; "(" &amp; $E132 &amp; ")",IF(SUMPRODUCT(-- ISNUMBER(SEARCH({"Formula","Roll-Up Summary"}, $B132))) &gt; 0,$B132 &amp; " (" &amp; $E132 &amp; ")",IF(SUMPRODUCT(-- ISNUMBER(SEARCH({"Content","Currency","Number","Percent","Text","URL"}, $B132))) &gt; 0,$B132 &amp; "(" &amp; $C132 &amp; ")",$B132)))), "  ", TRIM(IF($S132 = "YES", "(External ID)", "") &amp; " " &amp; IF(SUMPRODUCT(-- ISNUMBER(SEARCH({"Unique","Unique Case Insensitive"}, $R132))) &gt; 0, "(" &amp; $R132 &amp; ")", ""))))</f>
        <v>na</v>
      </c>
      <c r="E132" s="7" t="s">
        <v>195</v>
      </c>
      <c r="F132" s="7" t="s">
        <v>195</v>
      </c>
      <c r="G132" s="7" t="s">
        <v>195</v>
      </c>
      <c r="H132" s="7" t="s">
        <v>195</v>
      </c>
      <c r="I132" s="7" t="s">
        <v>195</v>
      </c>
      <c r="J132" s="7" t="s">
        <v>195</v>
      </c>
      <c r="K132" s="7" t="s">
        <v>195</v>
      </c>
      <c r="L132" s="7" t="s">
        <v>195</v>
      </c>
      <c r="M132" s="7" t="s">
        <v>29</v>
      </c>
      <c r="N132" s="7" t="s">
        <v>29</v>
      </c>
      <c r="O132" s="7" t="s">
        <v>29</v>
      </c>
      <c r="P132" s="7" t="s">
        <v>29</v>
      </c>
      <c r="Q132" s="7" t="s">
        <v>29</v>
      </c>
      <c r="R132" s="7" t="s">
        <v>29</v>
      </c>
      <c r="S132" s="7" t="s">
        <v>29</v>
      </c>
    </row>
    <row r="133" spans="2:19">
      <c r="B133" s="7" t="s">
        <v>195</v>
      </c>
      <c r="C133" s="8" t="s">
        <v>195</v>
      </c>
      <c r="D133" s="5" t="str">
        <f>LRTRIM(CONCATENATE(IF(SUMPRODUCT(-- ISNUMBER(SEARCH({"Auto Number"}, $B133))) &gt; 0, $B133, IF(SUMPRODUCT(-- ISNUMBER(SEARCH({"Lookup","Master-Detail"}, $B133))) &gt; 0,$B133 &amp; "(" &amp; $E133 &amp; ")",IF(SUMPRODUCT(-- ISNUMBER(SEARCH({"Formula","Roll-Up Summary"}, $B133))) &gt; 0,$B133 &amp; " (" &amp; $E133 &amp; ")",IF(SUMPRODUCT(-- ISNUMBER(SEARCH({"Content","Currency","Number","Percent","Text","URL"}, $B133))) &gt; 0,$B133 &amp; "(" &amp; $C133 &amp; ")",$B133)))), "  ", TRIM(IF($S133 = "YES", "(External ID)", "") &amp; " " &amp; IF(SUMPRODUCT(-- ISNUMBER(SEARCH({"Unique","Unique Case Insensitive"}, $R133))) &gt; 0, "(" &amp; $R133 &amp; ")", ""))))</f>
        <v>na</v>
      </c>
      <c r="E133" s="7" t="s">
        <v>195</v>
      </c>
      <c r="F133" s="7" t="s">
        <v>195</v>
      </c>
      <c r="G133" s="7" t="s">
        <v>195</v>
      </c>
      <c r="H133" s="7" t="s">
        <v>195</v>
      </c>
      <c r="I133" s="7" t="s">
        <v>195</v>
      </c>
      <c r="J133" s="7" t="s">
        <v>195</v>
      </c>
      <c r="K133" s="7" t="s">
        <v>195</v>
      </c>
      <c r="L133" s="7" t="s">
        <v>195</v>
      </c>
      <c r="M133" s="7" t="s">
        <v>29</v>
      </c>
      <c r="N133" s="7" t="s">
        <v>29</v>
      </c>
      <c r="O133" s="7" t="s">
        <v>29</v>
      </c>
      <c r="P133" s="7" t="s">
        <v>29</v>
      </c>
      <c r="Q133" s="7" t="s">
        <v>29</v>
      </c>
      <c r="R133" s="7" t="s">
        <v>29</v>
      </c>
      <c r="S133" s="7" t="s">
        <v>29</v>
      </c>
    </row>
    <row r="134" spans="2:19">
      <c r="B134" s="7" t="s">
        <v>195</v>
      </c>
      <c r="C134" s="8" t="s">
        <v>195</v>
      </c>
      <c r="D134" s="5" t="str">
        <f>LRTRIM(CONCATENATE(IF(SUMPRODUCT(-- ISNUMBER(SEARCH({"Auto Number"}, $B134))) &gt; 0, $B134, IF(SUMPRODUCT(-- ISNUMBER(SEARCH({"Lookup","Master-Detail"}, $B134))) &gt; 0,$B134 &amp; "(" &amp; $E134 &amp; ")",IF(SUMPRODUCT(-- ISNUMBER(SEARCH({"Formula","Roll-Up Summary"}, $B134))) &gt; 0,$B134 &amp; " (" &amp; $E134 &amp; ")",IF(SUMPRODUCT(-- ISNUMBER(SEARCH({"Content","Currency","Number","Percent","Text","URL"}, $B134))) &gt; 0,$B134 &amp; "(" &amp; $C134 &amp; ")",$B134)))), "  ", TRIM(IF($S134 = "YES", "(External ID)", "") &amp; " " &amp; IF(SUMPRODUCT(-- ISNUMBER(SEARCH({"Unique","Unique Case Insensitive"}, $R134))) &gt; 0, "(" &amp; $R134 &amp; ")", ""))))</f>
        <v>na</v>
      </c>
      <c r="E134" s="7" t="s">
        <v>195</v>
      </c>
      <c r="F134" s="7" t="s">
        <v>195</v>
      </c>
      <c r="G134" s="7" t="s">
        <v>195</v>
      </c>
      <c r="H134" s="7" t="s">
        <v>195</v>
      </c>
      <c r="I134" s="7" t="s">
        <v>195</v>
      </c>
      <c r="J134" s="7" t="s">
        <v>195</v>
      </c>
      <c r="K134" s="7" t="s">
        <v>195</v>
      </c>
      <c r="L134" s="7" t="s">
        <v>195</v>
      </c>
      <c r="M134" s="7" t="s">
        <v>29</v>
      </c>
      <c r="N134" s="7" t="s">
        <v>29</v>
      </c>
      <c r="O134" s="7" t="s">
        <v>29</v>
      </c>
      <c r="P134" s="7" t="s">
        <v>29</v>
      </c>
      <c r="Q134" s="7" t="s">
        <v>29</v>
      </c>
      <c r="R134" s="7" t="s">
        <v>29</v>
      </c>
      <c r="S134" s="7" t="s">
        <v>29</v>
      </c>
    </row>
    <row r="135" spans="2:19">
      <c r="B135" s="7" t="s">
        <v>195</v>
      </c>
      <c r="C135" s="8" t="s">
        <v>195</v>
      </c>
      <c r="D135" s="5" t="str">
        <f>LRTRIM(CONCATENATE(IF(SUMPRODUCT(-- ISNUMBER(SEARCH({"Auto Number"}, $B135))) &gt; 0, $B135, IF(SUMPRODUCT(-- ISNUMBER(SEARCH({"Lookup","Master-Detail"}, $B135))) &gt; 0,$B135 &amp; "(" &amp; $E135 &amp; ")",IF(SUMPRODUCT(-- ISNUMBER(SEARCH({"Formula","Roll-Up Summary"}, $B135))) &gt; 0,$B135 &amp; " (" &amp; $E135 &amp; ")",IF(SUMPRODUCT(-- ISNUMBER(SEARCH({"Content","Currency","Number","Percent","Text","URL"}, $B135))) &gt; 0,$B135 &amp; "(" &amp; $C135 &amp; ")",$B135)))), "  ", TRIM(IF($S135 = "YES", "(External ID)", "") &amp; " " &amp; IF(SUMPRODUCT(-- ISNUMBER(SEARCH({"Unique","Unique Case Insensitive"}, $R135))) &gt; 0, "(" &amp; $R135 &amp; ")", ""))))</f>
        <v>na</v>
      </c>
      <c r="E135" s="7" t="s">
        <v>195</v>
      </c>
      <c r="F135" s="7" t="s">
        <v>195</v>
      </c>
      <c r="G135" s="7" t="s">
        <v>195</v>
      </c>
      <c r="H135" s="7" t="s">
        <v>195</v>
      </c>
      <c r="I135" s="7" t="s">
        <v>195</v>
      </c>
      <c r="J135" s="7" t="s">
        <v>195</v>
      </c>
      <c r="K135" s="7" t="s">
        <v>195</v>
      </c>
      <c r="L135" s="7" t="s">
        <v>195</v>
      </c>
      <c r="M135" s="7" t="s">
        <v>29</v>
      </c>
      <c r="N135" s="7" t="s">
        <v>29</v>
      </c>
      <c r="O135" s="7" t="s">
        <v>29</v>
      </c>
      <c r="P135" s="7" t="s">
        <v>29</v>
      </c>
      <c r="Q135" s="7" t="s">
        <v>29</v>
      </c>
      <c r="R135" s="7" t="s">
        <v>29</v>
      </c>
      <c r="S135" s="7" t="s">
        <v>29</v>
      </c>
    </row>
    <row r="136" spans="2:19">
      <c r="B136" s="7" t="s">
        <v>195</v>
      </c>
      <c r="C136" s="8" t="s">
        <v>195</v>
      </c>
      <c r="D136" s="5" t="str">
        <f>LRTRIM(CONCATENATE(IF(SUMPRODUCT(-- ISNUMBER(SEARCH({"Auto Number"}, $B136))) &gt; 0, $B136, IF(SUMPRODUCT(-- ISNUMBER(SEARCH({"Lookup","Master-Detail"}, $B136))) &gt; 0,$B136 &amp; "(" &amp; $E136 &amp; ")",IF(SUMPRODUCT(-- ISNUMBER(SEARCH({"Formula","Roll-Up Summary"}, $B136))) &gt; 0,$B136 &amp; " (" &amp; $E136 &amp; ")",IF(SUMPRODUCT(-- ISNUMBER(SEARCH({"Content","Currency","Number","Percent","Text","URL"}, $B136))) &gt; 0,$B136 &amp; "(" &amp; $C136 &amp; ")",$B136)))), "  ", TRIM(IF($S136 = "YES", "(External ID)", "") &amp; " " &amp; IF(SUMPRODUCT(-- ISNUMBER(SEARCH({"Unique","Unique Case Insensitive"}, $R136))) &gt; 0, "(" &amp; $R136 &amp; ")", ""))))</f>
        <v>na</v>
      </c>
      <c r="E136" s="7" t="s">
        <v>195</v>
      </c>
      <c r="F136" s="7" t="s">
        <v>195</v>
      </c>
      <c r="G136" s="7" t="s">
        <v>195</v>
      </c>
      <c r="H136" s="7" t="s">
        <v>195</v>
      </c>
      <c r="I136" s="7" t="s">
        <v>195</v>
      </c>
      <c r="J136" s="7" t="s">
        <v>195</v>
      </c>
      <c r="K136" s="7" t="s">
        <v>195</v>
      </c>
      <c r="L136" s="7" t="s">
        <v>195</v>
      </c>
      <c r="M136" s="7" t="s">
        <v>29</v>
      </c>
      <c r="N136" s="7" t="s">
        <v>29</v>
      </c>
      <c r="O136" s="7" t="s">
        <v>29</v>
      </c>
      <c r="P136" s="7" t="s">
        <v>29</v>
      </c>
      <c r="Q136" s="7" t="s">
        <v>29</v>
      </c>
      <c r="R136" s="7" t="s">
        <v>29</v>
      </c>
      <c r="S136" s="7" t="s">
        <v>29</v>
      </c>
    </row>
    <row r="137" spans="2:19">
      <c r="B137" s="7" t="s">
        <v>195</v>
      </c>
      <c r="C137" s="8" t="s">
        <v>195</v>
      </c>
      <c r="D137" s="5" t="str">
        <f>LRTRIM(CONCATENATE(IF(SUMPRODUCT(-- ISNUMBER(SEARCH({"Auto Number"}, $B137))) &gt; 0, $B137, IF(SUMPRODUCT(-- ISNUMBER(SEARCH({"Lookup","Master-Detail"}, $B137))) &gt; 0,$B137 &amp; "(" &amp; $E137 &amp; ")",IF(SUMPRODUCT(-- ISNUMBER(SEARCH({"Formula","Roll-Up Summary"}, $B137))) &gt; 0,$B137 &amp; " (" &amp; $E137 &amp; ")",IF(SUMPRODUCT(-- ISNUMBER(SEARCH({"Content","Currency","Number","Percent","Text","URL"}, $B137))) &gt; 0,$B137 &amp; "(" &amp; $C137 &amp; ")",$B137)))), "  ", TRIM(IF($S137 = "YES", "(External ID)", "") &amp; " " &amp; IF(SUMPRODUCT(-- ISNUMBER(SEARCH({"Unique","Unique Case Insensitive"}, $R137))) &gt; 0, "(" &amp; $R137 &amp; ")", ""))))</f>
        <v>na</v>
      </c>
      <c r="E137" s="7" t="s">
        <v>195</v>
      </c>
      <c r="F137" s="7" t="s">
        <v>195</v>
      </c>
      <c r="G137" s="7" t="s">
        <v>195</v>
      </c>
      <c r="H137" s="7" t="s">
        <v>195</v>
      </c>
      <c r="I137" s="7" t="s">
        <v>195</v>
      </c>
      <c r="J137" s="7" t="s">
        <v>195</v>
      </c>
      <c r="K137" s="7" t="s">
        <v>195</v>
      </c>
      <c r="L137" s="7" t="s">
        <v>195</v>
      </c>
      <c r="M137" s="7" t="s">
        <v>29</v>
      </c>
      <c r="N137" s="7" t="s">
        <v>29</v>
      </c>
      <c r="O137" s="7" t="s">
        <v>29</v>
      </c>
      <c r="P137" s="7" t="s">
        <v>29</v>
      </c>
      <c r="Q137" s="7" t="s">
        <v>29</v>
      </c>
      <c r="R137" s="7" t="s">
        <v>29</v>
      </c>
      <c r="S137" s="7" t="s">
        <v>29</v>
      </c>
    </row>
    <row r="138" spans="2:19">
      <c r="B138" s="7" t="s">
        <v>195</v>
      </c>
      <c r="C138" s="8" t="s">
        <v>195</v>
      </c>
      <c r="D138" s="5" t="str">
        <f>LRTRIM(CONCATENATE(IF(SUMPRODUCT(-- ISNUMBER(SEARCH({"Auto Number"}, $B138))) &gt; 0, $B138, IF(SUMPRODUCT(-- ISNUMBER(SEARCH({"Lookup","Master-Detail"}, $B138))) &gt; 0,$B138 &amp; "(" &amp; $E138 &amp; ")",IF(SUMPRODUCT(-- ISNUMBER(SEARCH({"Formula","Roll-Up Summary"}, $B138))) &gt; 0,$B138 &amp; " (" &amp; $E138 &amp; ")",IF(SUMPRODUCT(-- ISNUMBER(SEARCH({"Content","Currency","Number","Percent","Text","URL"}, $B138))) &gt; 0,$B138 &amp; "(" &amp; $C138 &amp; ")",$B138)))), "  ", TRIM(IF($S138 = "YES", "(External ID)", "") &amp; " " &amp; IF(SUMPRODUCT(-- ISNUMBER(SEARCH({"Unique","Unique Case Insensitive"}, $R138))) &gt; 0, "(" &amp; $R138 &amp; ")", ""))))</f>
        <v>na</v>
      </c>
      <c r="E138" s="7" t="s">
        <v>195</v>
      </c>
      <c r="F138" s="7" t="s">
        <v>195</v>
      </c>
      <c r="G138" s="7" t="s">
        <v>195</v>
      </c>
      <c r="H138" s="7" t="s">
        <v>195</v>
      </c>
      <c r="I138" s="7" t="s">
        <v>195</v>
      </c>
      <c r="J138" s="7" t="s">
        <v>195</v>
      </c>
      <c r="K138" s="7" t="s">
        <v>195</v>
      </c>
      <c r="L138" s="7" t="s">
        <v>195</v>
      </c>
      <c r="M138" s="7" t="s">
        <v>29</v>
      </c>
      <c r="N138" s="7" t="s">
        <v>29</v>
      </c>
      <c r="O138" s="7" t="s">
        <v>29</v>
      </c>
      <c r="P138" s="7" t="s">
        <v>29</v>
      </c>
      <c r="Q138" s="7" t="s">
        <v>29</v>
      </c>
      <c r="R138" s="7" t="s">
        <v>29</v>
      </c>
      <c r="S138" s="7" t="s">
        <v>29</v>
      </c>
    </row>
    <row r="139" spans="2:19">
      <c r="B139" s="7" t="s">
        <v>195</v>
      </c>
      <c r="C139" s="8" t="s">
        <v>195</v>
      </c>
      <c r="D139" s="5" t="str">
        <f>LRTRIM(CONCATENATE(IF(SUMPRODUCT(-- ISNUMBER(SEARCH({"Auto Number"}, $B139))) &gt; 0, $B139, IF(SUMPRODUCT(-- ISNUMBER(SEARCH({"Lookup","Master-Detail"}, $B139))) &gt; 0,$B139 &amp; "(" &amp; $E139 &amp; ")",IF(SUMPRODUCT(-- ISNUMBER(SEARCH({"Formula","Roll-Up Summary"}, $B139))) &gt; 0,$B139 &amp; " (" &amp; $E139 &amp; ")",IF(SUMPRODUCT(-- ISNUMBER(SEARCH({"Content","Currency","Number","Percent","Text","URL"}, $B139))) &gt; 0,$B139 &amp; "(" &amp; $C139 &amp; ")",$B139)))), "  ", TRIM(IF($S139 = "YES", "(External ID)", "") &amp; " " &amp; IF(SUMPRODUCT(-- ISNUMBER(SEARCH({"Unique","Unique Case Insensitive"}, $R139))) &gt; 0, "(" &amp; $R139 &amp; ")", ""))))</f>
        <v>na</v>
      </c>
      <c r="E139" s="7" t="s">
        <v>195</v>
      </c>
      <c r="F139" s="7" t="s">
        <v>195</v>
      </c>
      <c r="G139" s="7" t="s">
        <v>195</v>
      </c>
      <c r="H139" s="7" t="s">
        <v>195</v>
      </c>
      <c r="I139" s="7" t="s">
        <v>195</v>
      </c>
      <c r="J139" s="7" t="s">
        <v>195</v>
      </c>
      <c r="K139" s="7" t="s">
        <v>195</v>
      </c>
      <c r="L139" s="7" t="s">
        <v>195</v>
      </c>
      <c r="M139" s="7" t="s">
        <v>29</v>
      </c>
      <c r="N139" s="7" t="s">
        <v>29</v>
      </c>
      <c r="O139" s="7" t="s">
        <v>29</v>
      </c>
      <c r="P139" s="7" t="s">
        <v>29</v>
      </c>
      <c r="Q139" s="7" t="s">
        <v>29</v>
      </c>
      <c r="R139" s="7" t="s">
        <v>29</v>
      </c>
      <c r="S139" s="7" t="s">
        <v>29</v>
      </c>
    </row>
    <row r="140" spans="2:19">
      <c r="B140" s="7" t="s">
        <v>195</v>
      </c>
      <c r="C140" s="8" t="s">
        <v>195</v>
      </c>
      <c r="D140" s="5" t="str">
        <f>LRTRIM(CONCATENATE(IF(SUMPRODUCT(-- ISNUMBER(SEARCH({"Auto Number"}, $B140))) &gt; 0, $B140, IF(SUMPRODUCT(-- ISNUMBER(SEARCH({"Lookup","Master-Detail"}, $B140))) &gt; 0,$B140 &amp; "(" &amp; $E140 &amp; ")",IF(SUMPRODUCT(-- ISNUMBER(SEARCH({"Formula","Roll-Up Summary"}, $B140))) &gt; 0,$B140 &amp; " (" &amp; $E140 &amp; ")",IF(SUMPRODUCT(-- ISNUMBER(SEARCH({"Content","Currency","Number","Percent","Text","URL"}, $B140))) &gt; 0,$B140 &amp; "(" &amp; $C140 &amp; ")",$B140)))), "  ", TRIM(IF($S140 = "YES", "(External ID)", "") &amp; " " &amp; IF(SUMPRODUCT(-- ISNUMBER(SEARCH({"Unique","Unique Case Insensitive"}, $R140))) &gt; 0, "(" &amp; $R140 &amp; ")", ""))))</f>
        <v>na</v>
      </c>
      <c r="E140" s="7" t="s">
        <v>195</v>
      </c>
      <c r="F140" s="7" t="s">
        <v>195</v>
      </c>
      <c r="G140" s="7" t="s">
        <v>195</v>
      </c>
      <c r="H140" s="7" t="s">
        <v>195</v>
      </c>
      <c r="I140" s="7" t="s">
        <v>195</v>
      </c>
      <c r="J140" s="7" t="s">
        <v>195</v>
      </c>
      <c r="K140" s="7" t="s">
        <v>195</v>
      </c>
      <c r="L140" s="7" t="s">
        <v>195</v>
      </c>
      <c r="M140" s="7" t="s">
        <v>29</v>
      </c>
      <c r="N140" s="7" t="s">
        <v>29</v>
      </c>
      <c r="O140" s="7" t="s">
        <v>29</v>
      </c>
      <c r="P140" s="7" t="s">
        <v>29</v>
      </c>
      <c r="Q140" s="7" t="s">
        <v>29</v>
      </c>
      <c r="R140" s="7" t="s">
        <v>29</v>
      </c>
      <c r="S140" s="7" t="s">
        <v>29</v>
      </c>
    </row>
    <row r="141" spans="2:19">
      <c r="B141" s="7" t="s">
        <v>195</v>
      </c>
      <c r="C141" s="8" t="s">
        <v>195</v>
      </c>
      <c r="D141" s="5" t="str">
        <f>LRTRIM(CONCATENATE(IF(SUMPRODUCT(-- ISNUMBER(SEARCH({"Auto Number"}, $B141))) &gt; 0, $B141, IF(SUMPRODUCT(-- ISNUMBER(SEARCH({"Lookup","Master-Detail"}, $B141))) &gt; 0,$B141 &amp; "(" &amp; $E141 &amp; ")",IF(SUMPRODUCT(-- ISNUMBER(SEARCH({"Formula","Roll-Up Summary"}, $B141))) &gt; 0,$B141 &amp; " (" &amp; $E141 &amp; ")",IF(SUMPRODUCT(-- ISNUMBER(SEARCH({"Content","Currency","Number","Percent","Text","URL"}, $B141))) &gt; 0,$B141 &amp; "(" &amp; $C141 &amp; ")",$B141)))), "  ", TRIM(IF($S141 = "YES", "(External ID)", "") &amp; " " &amp; IF(SUMPRODUCT(-- ISNUMBER(SEARCH({"Unique","Unique Case Insensitive"}, $R141))) &gt; 0, "(" &amp; $R141 &amp; ")", ""))))</f>
        <v>na</v>
      </c>
      <c r="E141" s="7" t="s">
        <v>195</v>
      </c>
      <c r="F141" s="7" t="s">
        <v>195</v>
      </c>
      <c r="G141" s="7" t="s">
        <v>195</v>
      </c>
      <c r="H141" s="7" t="s">
        <v>195</v>
      </c>
      <c r="I141" s="7" t="s">
        <v>195</v>
      </c>
      <c r="J141" s="7" t="s">
        <v>195</v>
      </c>
      <c r="K141" s="7" t="s">
        <v>195</v>
      </c>
      <c r="L141" s="7" t="s">
        <v>195</v>
      </c>
      <c r="M141" s="7" t="s">
        <v>29</v>
      </c>
      <c r="N141" s="7" t="s">
        <v>29</v>
      </c>
      <c r="O141" s="7" t="s">
        <v>29</v>
      </c>
      <c r="P141" s="7" t="s">
        <v>29</v>
      </c>
      <c r="Q141" s="7" t="s">
        <v>29</v>
      </c>
      <c r="R141" s="7" t="s">
        <v>29</v>
      </c>
      <c r="S141" s="7" t="s">
        <v>29</v>
      </c>
    </row>
    <row r="142" spans="2:19">
      <c r="B142" s="7" t="s">
        <v>195</v>
      </c>
      <c r="C142" s="8" t="s">
        <v>195</v>
      </c>
      <c r="D142" s="5" t="str">
        <f>LRTRIM(CONCATENATE(IF(SUMPRODUCT(-- ISNUMBER(SEARCH({"Auto Number"}, $B142))) &gt; 0, $B142, IF(SUMPRODUCT(-- ISNUMBER(SEARCH({"Lookup","Master-Detail"}, $B142))) &gt; 0,$B142 &amp; "(" &amp; $E142 &amp; ")",IF(SUMPRODUCT(-- ISNUMBER(SEARCH({"Formula","Roll-Up Summary"}, $B142))) &gt; 0,$B142 &amp; " (" &amp; $E142 &amp; ")",IF(SUMPRODUCT(-- ISNUMBER(SEARCH({"Content","Currency","Number","Percent","Text","URL"}, $B142))) &gt; 0,$B142 &amp; "(" &amp; $C142 &amp; ")",$B142)))), "  ", TRIM(IF($S142 = "YES", "(External ID)", "") &amp; " " &amp; IF(SUMPRODUCT(-- ISNUMBER(SEARCH({"Unique","Unique Case Insensitive"}, $R142))) &gt; 0, "(" &amp; $R142 &amp; ")", ""))))</f>
        <v>na</v>
      </c>
      <c r="E142" s="7" t="s">
        <v>195</v>
      </c>
      <c r="F142" s="7" t="s">
        <v>195</v>
      </c>
      <c r="G142" s="7" t="s">
        <v>195</v>
      </c>
      <c r="H142" s="7" t="s">
        <v>195</v>
      </c>
      <c r="I142" s="7" t="s">
        <v>195</v>
      </c>
      <c r="J142" s="7" t="s">
        <v>195</v>
      </c>
      <c r="K142" s="7" t="s">
        <v>195</v>
      </c>
      <c r="L142" s="7" t="s">
        <v>195</v>
      </c>
      <c r="M142" s="7" t="s">
        <v>29</v>
      </c>
      <c r="N142" s="7" t="s">
        <v>29</v>
      </c>
      <c r="O142" s="7" t="s">
        <v>29</v>
      </c>
      <c r="P142" s="7" t="s">
        <v>29</v>
      </c>
      <c r="Q142" s="7" t="s">
        <v>29</v>
      </c>
      <c r="R142" s="7" t="s">
        <v>29</v>
      </c>
      <c r="S142" s="7" t="s">
        <v>29</v>
      </c>
    </row>
    <row r="143" spans="2:19">
      <c r="B143" s="7" t="s">
        <v>195</v>
      </c>
      <c r="C143" s="8" t="s">
        <v>195</v>
      </c>
      <c r="D143" s="5" t="str">
        <f>LRTRIM(CONCATENATE(IF(SUMPRODUCT(-- ISNUMBER(SEARCH({"Auto Number"}, $B143))) &gt; 0, $B143, IF(SUMPRODUCT(-- ISNUMBER(SEARCH({"Lookup","Master-Detail"}, $B143))) &gt; 0,$B143 &amp; "(" &amp; $E143 &amp; ")",IF(SUMPRODUCT(-- ISNUMBER(SEARCH({"Formula","Roll-Up Summary"}, $B143))) &gt; 0,$B143 &amp; " (" &amp; $E143 &amp; ")",IF(SUMPRODUCT(-- ISNUMBER(SEARCH({"Content","Currency","Number","Percent","Text","URL"}, $B143))) &gt; 0,$B143 &amp; "(" &amp; $C143 &amp; ")",$B143)))), "  ", TRIM(IF($S143 = "YES", "(External ID)", "") &amp; " " &amp; IF(SUMPRODUCT(-- ISNUMBER(SEARCH({"Unique","Unique Case Insensitive"}, $R143))) &gt; 0, "(" &amp; $R143 &amp; ")", ""))))</f>
        <v>na</v>
      </c>
      <c r="E143" s="7" t="s">
        <v>195</v>
      </c>
      <c r="F143" s="7" t="s">
        <v>195</v>
      </c>
      <c r="G143" s="7" t="s">
        <v>195</v>
      </c>
      <c r="H143" s="7" t="s">
        <v>195</v>
      </c>
      <c r="I143" s="7" t="s">
        <v>195</v>
      </c>
      <c r="J143" s="7" t="s">
        <v>195</v>
      </c>
      <c r="K143" s="7" t="s">
        <v>195</v>
      </c>
      <c r="L143" s="7" t="s">
        <v>195</v>
      </c>
      <c r="M143" s="7" t="s">
        <v>29</v>
      </c>
      <c r="N143" s="7" t="s">
        <v>29</v>
      </c>
      <c r="O143" s="7" t="s">
        <v>29</v>
      </c>
      <c r="P143" s="7" t="s">
        <v>29</v>
      </c>
      <c r="Q143" s="7" t="s">
        <v>29</v>
      </c>
      <c r="R143" s="7" t="s">
        <v>29</v>
      </c>
      <c r="S143" s="7" t="s">
        <v>29</v>
      </c>
    </row>
    <row r="144" spans="2:19">
      <c r="B144" s="7" t="s">
        <v>195</v>
      </c>
      <c r="C144" s="8" t="s">
        <v>195</v>
      </c>
      <c r="D144" s="5" t="str">
        <f>LRTRIM(CONCATENATE(IF(SUMPRODUCT(-- ISNUMBER(SEARCH({"Auto Number"}, $B144))) &gt; 0, $B144, IF(SUMPRODUCT(-- ISNUMBER(SEARCH({"Lookup","Master-Detail"}, $B144))) &gt; 0,$B144 &amp; "(" &amp; $E144 &amp; ")",IF(SUMPRODUCT(-- ISNUMBER(SEARCH({"Formula","Roll-Up Summary"}, $B144))) &gt; 0,$B144 &amp; " (" &amp; $E144 &amp; ")",IF(SUMPRODUCT(-- ISNUMBER(SEARCH({"Content","Currency","Number","Percent","Text","URL"}, $B144))) &gt; 0,$B144 &amp; "(" &amp; $C144 &amp; ")",$B144)))), "  ", TRIM(IF($S144 = "YES", "(External ID)", "") &amp; " " &amp; IF(SUMPRODUCT(-- ISNUMBER(SEARCH({"Unique","Unique Case Insensitive"}, $R144))) &gt; 0, "(" &amp; $R144 &amp; ")", ""))))</f>
        <v>na</v>
      </c>
      <c r="E144" s="7" t="s">
        <v>195</v>
      </c>
      <c r="F144" s="7" t="s">
        <v>195</v>
      </c>
      <c r="G144" s="7" t="s">
        <v>195</v>
      </c>
      <c r="H144" s="7" t="s">
        <v>195</v>
      </c>
      <c r="I144" s="7" t="s">
        <v>195</v>
      </c>
      <c r="J144" s="7" t="s">
        <v>195</v>
      </c>
      <c r="K144" s="7" t="s">
        <v>195</v>
      </c>
      <c r="L144" s="7" t="s">
        <v>195</v>
      </c>
      <c r="M144" s="7" t="s">
        <v>29</v>
      </c>
      <c r="N144" s="7" t="s">
        <v>29</v>
      </c>
      <c r="O144" s="7" t="s">
        <v>29</v>
      </c>
      <c r="P144" s="7" t="s">
        <v>29</v>
      </c>
      <c r="Q144" s="7" t="s">
        <v>29</v>
      </c>
      <c r="R144" s="7" t="s">
        <v>29</v>
      </c>
      <c r="S144" s="7" t="s">
        <v>29</v>
      </c>
    </row>
    <row r="145" spans="2:19">
      <c r="B145" s="7" t="s">
        <v>195</v>
      </c>
      <c r="C145" s="8" t="s">
        <v>195</v>
      </c>
      <c r="D145" s="5" t="str">
        <f>LRTRIM(CONCATENATE(IF(SUMPRODUCT(-- ISNUMBER(SEARCH({"Auto Number"}, $B145))) &gt; 0, $B145, IF(SUMPRODUCT(-- ISNUMBER(SEARCH({"Lookup","Master-Detail"}, $B145))) &gt; 0,$B145 &amp; "(" &amp; $E145 &amp; ")",IF(SUMPRODUCT(-- ISNUMBER(SEARCH({"Formula","Roll-Up Summary"}, $B145))) &gt; 0,$B145 &amp; " (" &amp; $E145 &amp; ")",IF(SUMPRODUCT(-- ISNUMBER(SEARCH({"Content","Currency","Number","Percent","Text","URL"}, $B145))) &gt; 0,$B145 &amp; "(" &amp; $C145 &amp; ")",$B145)))), "  ", TRIM(IF($S145 = "YES", "(External ID)", "") &amp; " " &amp; IF(SUMPRODUCT(-- ISNUMBER(SEARCH({"Unique","Unique Case Insensitive"}, $R145))) &gt; 0, "(" &amp; $R145 &amp; ")", ""))))</f>
        <v>na</v>
      </c>
      <c r="E145" s="7" t="s">
        <v>195</v>
      </c>
      <c r="F145" s="7" t="s">
        <v>195</v>
      </c>
      <c r="G145" s="7" t="s">
        <v>195</v>
      </c>
      <c r="H145" s="7" t="s">
        <v>195</v>
      </c>
      <c r="I145" s="7" t="s">
        <v>195</v>
      </c>
      <c r="J145" s="7" t="s">
        <v>195</v>
      </c>
      <c r="K145" s="7" t="s">
        <v>195</v>
      </c>
      <c r="L145" s="7" t="s">
        <v>195</v>
      </c>
      <c r="M145" s="7" t="s">
        <v>29</v>
      </c>
      <c r="N145" s="7" t="s">
        <v>29</v>
      </c>
      <c r="O145" s="7" t="s">
        <v>29</v>
      </c>
      <c r="P145" s="7" t="s">
        <v>29</v>
      </c>
      <c r="Q145" s="7" t="s">
        <v>29</v>
      </c>
      <c r="R145" s="7" t="s">
        <v>29</v>
      </c>
      <c r="S145" s="7" t="s">
        <v>29</v>
      </c>
    </row>
    <row r="146" spans="2:19">
      <c r="B146" s="7" t="s">
        <v>195</v>
      </c>
      <c r="C146" s="8" t="s">
        <v>195</v>
      </c>
      <c r="D146" s="5" t="str">
        <f>LRTRIM(CONCATENATE(IF(SUMPRODUCT(-- ISNUMBER(SEARCH({"Auto Number"}, $B146))) &gt; 0, $B146, IF(SUMPRODUCT(-- ISNUMBER(SEARCH({"Lookup","Master-Detail"}, $B146))) &gt; 0,$B146 &amp; "(" &amp; $E146 &amp; ")",IF(SUMPRODUCT(-- ISNUMBER(SEARCH({"Formula","Roll-Up Summary"}, $B146))) &gt; 0,$B146 &amp; " (" &amp; $E146 &amp; ")",IF(SUMPRODUCT(-- ISNUMBER(SEARCH({"Content","Currency","Number","Percent","Text","URL"}, $B146))) &gt; 0,$B146 &amp; "(" &amp; $C146 &amp; ")",$B146)))), "  ", TRIM(IF($S146 = "YES", "(External ID)", "") &amp; " " &amp; IF(SUMPRODUCT(-- ISNUMBER(SEARCH({"Unique","Unique Case Insensitive"}, $R146))) &gt; 0, "(" &amp; $R146 &amp; ")", ""))))</f>
        <v>na</v>
      </c>
      <c r="E146" s="7" t="s">
        <v>195</v>
      </c>
      <c r="F146" s="7" t="s">
        <v>195</v>
      </c>
      <c r="G146" s="7" t="s">
        <v>195</v>
      </c>
      <c r="H146" s="7" t="s">
        <v>195</v>
      </c>
      <c r="I146" s="7" t="s">
        <v>195</v>
      </c>
      <c r="J146" s="7" t="s">
        <v>195</v>
      </c>
      <c r="K146" s="7" t="s">
        <v>195</v>
      </c>
      <c r="L146" s="7" t="s">
        <v>195</v>
      </c>
      <c r="M146" s="7" t="s">
        <v>29</v>
      </c>
      <c r="N146" s="7" t="s">
        <v>29</v>
      </c>
      <c r="O146" s="7" t="s">
        <v>29</v>
      </c>
      <c r="P146" s="7" t="s">
        <v>29</v>
      </c>
      <c r="Q146" s="7" t="s">
        <v>29</v>
      </c>
      <c r="R146" s="7" t="s">
        <v>29</v>
      </c>
      <c r="S146" s="7" t="s">
        <v>29</v>
      </c>
    </row>
    <row r="147" spans="2:19">
      <c r="B147" s="7" t="s">
        <v>195</v>
      </c>
      <c r="C147" s="8" t="s">
        <v>195</v>
      </c>
      <c r="D147" s="5" t="str">
        <f>LRTRIM(CONCATENATE(IF(SUMPRODUCT(-- ISNUMBER(SEARCH({"Auto Number"}, $B147))) &gt; 0, $B147, IF(SUMPRODUCT(-- ISNUMBER(SEARCH({"Lookup","Master-Detail"}, $B147))) &gt; 0,$B147 &amp; "(" &amp; $E147 &amp; ")",IF(SUMPRODUCT(-- ISNUMBER(SEARCH({"Formula","Roll-Up Summary"}, $B147))) &gt; 0,$B147 &amp; " (" &amp; $E147 &amp; ")",IF(SUMPRODUCT(-- ISNUMBER(SEARCH({"Content","Currency","Number","Percent","Text","URL"}, $B147))) &gt; 0,$B147 &amp; "(" &amp; $C147 &amp; ")",$B147)))), "  ", TRIM(IF($S147 = "YES", "(External ID)", "") &amp; " " &amp; IF(SUMPRODUCT(-- ISNUMBER(SEARCH({"Unique","Unique Case Insensitive"}, $R147))) &gt; 0, "(" &amp; $R147 &amp; ")", ""))))</f>
        <v>na</v>
      </c>
      <c r="E147" s="7" t="s">
        <v>195</v>
      </c>
      <c r="F147" s="7" t="s">
        <v>195</v>
      </c>
      <c r="G147" s="7" t="s">
        <v>195</v>
      </c>
      <c r="H147" s="7" t="s">
        <v>195</v>
      </c>
      <c r="I147" s="7" t="s">
        <v>195</v>
      </c>
      <c r="J147" s="7" t="s">
        <v>195</v>
      </c>
      <c r="K147" s="7" t="s">
        <v>195</v>
      </c>
      <c r="L147" s="7" t="s">
        <v>195</v>
      </c>
      <c r="M147" s="7" t="s">
        <v>29</v>
      </c>
      <c r="N147" s="7" t="s">
        <v>29</v>
      </c>
      <c r="O147" s="7" t="s">
        <v>29</v>
      </c>
      <c r="P147" s="7" t="s">
        <v>29</v>
      </c>
      <c r="Q147" s="7" t="s">
        <v>29</v>
      </c>
      <c r="R147" s="7" t="s">
        <v>29</v>
      </c>
      <c r="S147" s="7" t="s">
        <v>29</v>
      </c>
    </row>
    <row r="148" spans="2:19">
      <c r="B148" s="7" t="s">
        <v>195</v>
      </c>
      <c r="C148" s="8" t="s">
        <v>195</v>
      </c>
      <c r="D148" s="5" t="str">
        <f>LRTRIM(CONCATENATE(IF(SUMPRODUCT(-- ISNUMBER(SEARCH({"Auto Number"}, $B148))) &gt; 0, $B148, IF(SUMPRODUCT(-- ISNUMBER(SEARCH({"Lookup","Master-Detail"}, $B148))) &gt; 0,$B148 &amp; "(" &amp; $E148 &amp; ")",IF(SUMPRODUCT(-- ISNUMBER(SEARCH({"Formula","Roll-Up Summary"}, $B148))) &gt; 0,$B148 &amp; " (" &amp; $E148 &amp; ")",IF(SUMPRODUCT(-- ISNUMBER(SEARCH({"Content","Currency","Number","Percent","Text","URL"}, $B148))) &gt; 0,$B148 &amp; "(" &amp; $C148 &amp; ")",$B148)))), "  ", TRIM(IF($S148 = "YES", "(External ID)", "") &amp; " " &amp; IF(SUMPRODUCT(-- ISNUMBER(SEARCH({"Unique","Unique Case Insensitive"}, $R148))) &gt; 0, "(" &amp; $R148 &amp; ")", ""))))</f>
        <v>na</v>
      </c>
      <c r="E148" s="7" t="s">
        <v>195</v>
      </c>
      <c r="F148" s="7" t="s">
        <v>195</v>
      </c>
      <c r="G148" s="7" t="s">
        <v>195</v>
      </c>
      <c r="H148" s="7" t="s">
        <v>195</v>
      </c>
      <c r="I148" s="7" t="s">
        <v>195</v>
      </c>
      <c r="J148" s="7" t="s">
        <v>195</v>
      </c>
      <c r="K148" s="7" t="s">
        <v>195</v>
      </c>
      <c r="L148" s="7" t="s">
        <v>195</v>
      </c>
      <c r="M148" s="7" t="s">
        <v>29</v>
      </c>
      <c r="N148" s="7" t="s">
        <v>29</v>
      </c>
      <c r="O148" s="7" t="s">
        <v>29</v>
      </c>
      <c r="P148" s="7" t="s">
        <v>29</v>
      </c>
      <c r="Q148" s="7" t="s">
        <v>29</v>
      </c>
      <c r="R148" s="7" t="s">
        <v>29</v>
      </c>
      <c r="S148" s="7" t="s">
        <v>29</v>
      </c>
    </row>
    <row r="149" spans="2:19">
      <c r="B149" s="7" t="s">
        <v>195</v>
      </c>
      <c r="C149" s="8" t="s">
        <v>195</v>
      </c>
      <c r="D149" s="5" t="str">
        <f>LRTRIM(CONCATENATE(IF(SUMPRODUCT(-- ISNUMBER(SEARCH({"Auto Number"}, $B149))) &gt; 0, $B149, IF(SUMPRODUCT(-- ISNUMBER(SEARCH({"Lookup","Master-Detail"}, $B149))) &gt; 0,$B149 &amp; "(" &amp; $E149 &amp; ")",IF(SUMPRODUCT(-- ISNUMBER(SEARCH({"Formula","Roll-Up Summary"}, $B149))) &gt; 0,$B149 &amp; " (" &amp; $E149 &amp; ")",IF(SUMPRODUCT(-- ISNUMBER(SEARCH({"Content","Currency","Number","Percent","Text","URL"}, $B149))) &gt; 0,$B149 &amp; "(" &amp; $C149 &amp; ")",$B149)))), "  ", TRIM(IF($S149 = "YES", "(External ID)", "") &amp; " " &amp; IF(SUMPRODUCT(-- ISNUMBER(SEARCH({"Unique","Unique Case Insensitive"}, $R149))) &gt; 0, "(" &amp; $R149 &amp; ")", ""))))</f>
        <v>na</v>
      </c>
      <c r="E149" s="7" t="s">
        <v>195</v>
      </c>
      <c r="F149" s="7" t="s">
        <v>195</v>
      </c>
      <c r="G149" s="7" t="s">
        <v>195</v>
      </c>
      <c r="H149" s="7" t="s">
        <v>195</v>
      </c>
      <c r="I149" s="7" t="s">
        <v>195</v>
      </c>
      <c r="J149" s="7" t="s">
        <v>195</v>
      </c>
      <c r="K149" s="7" t="s">
        <v>195</v>
      </c>
      <c r="L149" s="7" t="s">
        <v>195</v>
      </c>
      <c r="M149" s="7" t="s">
        <v>29</v>
      </c>
      <c r="N149" s="7" t="s">
        <v>29</v>
      </c>
      <c r="O149" s="7" t="s">
        <v>29</v>
      </c>
      <c r="P149" s="7" t="s">
        <v>29</v>
      </c>
      <c r="Q149" s="7" t="s">
        <v>29</v>
      </c>
      <c r="R149" s="7" t="s">
        <v>29</v>
      </c>
      <c r="S149" s="7" t="s">
        <v>29</v>
      </c>
    </row>
    <row r="150" spans="2:19">
      <c r="B150" s="7" t="s">
        <v>195</v>
      </c>
      <c r="C150" s="8" t="s">
        <v>195</v>
      </c>
      <c r="D150" s="5" t="str">
        <f>LRTRIM(CONCATENATE(IF(SUMPRODUCT(-- ISNUMBER(SEARCH({"Auto Number"}, $B150))) &gt; 0, $B150, IF(SUMPRODUCT(-- ISNUMBER(SEARCH({"Lookup","Master-Detail"}, $B150))) &gt; 0,$B150 &amp; "(" &amp; $E150 &amp; ")",IF(SUMPRODUCT(-- ISNUMBER(SEARCH({"Formula","Roll-Up Summary"}, $B150))) &gt; 0,$B150 &amp; " (" &amp; $E150 &amp; ")",IF(SUMPRODUCT(-- ISNUMBER(SEARCH({"Content","Currency","Number","Percent","Text","URL"}, $B150))) &gt; 0,$B150 &amp; "(" &amp; $C150 &amp; ")",$B150)))), "  ", TRIM(IF($S150 = "YES", "(External ID)", "") &amp; " " &amp; IF(SUMPRODUCT(-- ISNUMBER(SEARCH({"Unique","Unique Case Insensitive"}, $R150))) &gt; 0, "(" &amp; $R150 &amp; ")", ""))))</f>
        <v>na</v>
      </c>
      <c r="E150" s="7" t="s">
        <v>195</v>
      </c>
      <c r="F150" s="7" t="s">
        <v>195</v>
      </c>
      <c r="G150" s="7" t="s">
        <v>195</v>
      </c>
      <c r="H150" s="7" t="s">
        <v>195</v>
      </c>
      <c r="I150" s="7" t="s">
        <v>195</v>
      </c>
      <c r="J150" s="7" t="s">
        <v>195</v>
      </c>
      <c r="K150" s="7" t="s">
        <v>195</v>
      </c>
      <c r="L150" s="7" t="s">
        <v>195</v>
      </c>
      <c r="M150" s="7" t="s">
        <v>29</v>
      </c>
      <c r="N150" s="7" t="s">
        <v>29</v>
      </c>
      <c r="O150" s="7" t="s">
        <v>29</v>
      </c>
      <c r="P150" s="7" t="s">
        <v>29</v>
      </c>
      <c r="Q150" s="7" t="s">
        <v>29</v>
      </c>
      <c r="R150" s="7" t="s">
        <v>29</v>
      </c>
      <c r="S150" s="7" t="s">
        <v>29</v>
      </c>
    </row>
    <row r="151" spans="2:19">
      <c r="B151" s="7" t="s">
        <v>195</v>
      </c>
      <c r="C151" s="8" t="s">
        <v>195</v>
      </c>
      <c r="D151" s="5" t="str">
        <f>LRTRIM(CONCATENATE(IF(SUMPRODUCT(-- ISNUMBER(SEARCH({"Auto Number"}, $B151))) &gt; 0, $B151, IF(SUMPRODUCT(-- ISNUMBER(SEARCH({"Lookup","Master-Detail"}, $B151))) &gt; 0,$B151 &amp; "(" &amp; $E151 &amp; ")",IF(SUMPRODUCT(-- ISNUMBER(SEARCH({"Formula","Roll-Up Summary"}, $B151))) &gt; 0,$B151 &amp; " (" &amp; $E151 &amp; ")",IF(SUMPRODUCT(-- ISNUMBER(SEARCH({"Content","Currency","Number","Percent","Text","URL"}, $B151))) &gt; 0,$B151 &amp; "(" &amp; $C151 &amp; ")",$B151)))), "  ", TRIM(IF($S151 = "YES", "(External ID)", "") &amp; " " &amp; IF(SUMPRODUCT(-- ISNUMBER(SEARCH({"Unique","Unique Case Insensitive"}, $R151))) &gt; 0, "(" &amp; $R151 &amp; ")", ""))))</f>
        <v>na</v>
      </c>
      <c r="E151" s="7" t="s">
        <v>195</v>
      </c>
      <c r="F151" s="7" t="s">
        <v>195</v>
      </c>
      <c r="G151" s="7" t="s">
        <v>195</v>
      </c>
      <c r="H151" s="7" t="s">
        <v>195</v>
      </c>
      <c r="I151" s="7" t="s">
        <v>195</v>
      </c>
      <c r="J151" s="7" t="s">
        <v>195</v>
      </c>
      <c r="K151" s="7" t="s">
        <v>195</v>
      </c>
      <c r="L151" s="7" t="s">
        <v>195</v>
      </c>
      <c r="M151" s="7" t="s">
        <v>29</v>
      </c>
      <c r="N151" s="7" t="s">
        <v>29</v>
      </c>
      <c r="O151" s="7" t="s">
        <v>29</v>
      </c>
      <c r="P151" s="7" t="s">
        <v>29</v>
      </c>
      <c r="Q151" s="7" t="s">
        <v>29</v>
      </c>
      <c r="R151" s="7" t="s">
        <v>29</v>
      </c>
      <c r="S151" s="7" t="s">
        <v>29</v>
      </c>
    </row>
    <row r="152" spans="2:19">
      <c r="B152" s="7" t="s">
        <v>195</v>
      </c>
      <c r="C152" s="8" t="s">
        <v>195</v>
      </c>
      <c r="D152" s="5" t="str">
        <f>LRTRIM(CONCATENATE(IF(SUMPRODUCT(-- ISNUMBER(SEARCH({"Auto Number"}, $B152))) &gt; 0, $B152, IF(SUMPRODUCT(-- ISNUMBER(SEARCH({"Lookup","Master-Detail"}, $B152))) &gt; 0,$B152 &amp; "(" &amp; $E152 &amp; ")",IF(SUMPRODUCT(-- ISNUMBER(SEARCH({"Formula","Roll-Up Summary"}, $B152))) &gt; 0,$B152 &amp; " (" &amp; $E152 &amp; ")",IF(SUMPRODUCT(-- ISNUMBER(SEARCH({"Content","Currency","Number","Percent","Text","URL"}, $B152))) &gt; 0,$B152 &amp; "(" &amp; $C152 &amp; ")",$B152)))), "  ", TRIM(IF($S152 = "YES", "(External ID)", "") &amp; " " &amp; IF(SUMPRODUCT(-- ISNUMBER(SEARCH({"Unique","Unique Case Insensitive"}, $R152))) &gt; 0, "(" &amp; $R152 &amp; ")", ""))))</f>
        <v>na</v>
      </c>
      <c r="E152" s="7" t="s">
        <v>195</v>
      </c>
      <c r="F152" s="7" t="s">
        <v>195</v>
      </c>
      <c r="G152" s="7" t="s">
        <v>195</v>
      </c>
      <c r="H152" s="7" t="s">
        <v>195</v>
      </c>
      <c r="I152" s="7" t="s">
        <v>195</v>
      </c>
      <c r="J152" s="7" t="s">
        <v>195</v>
      </c>
      <c r="K152" s="7" t="s">
        <v>195</v>
      </c>
      <c r="L152" s="7" t="s">
        <v>195</v>
      </c>
      <c r="M152" s="7" t="s">
        <v>29</v>
      </c>
      <c r="N152" s="7" t="s">
        <v>29</v>
      </c>
      <c r="O152" s="7" t="s">
        <v>29</v>
      </c>
      <c r="P152" s="7" t="s">
        <v>29</v>
      </c>
      <c r="Q152" s="7" t="s">
        <v>29</v>
      </c>
      <c r="R152" s="7" t="s">
        <v>29</v>
      </c>
      <c r="S152" s="7" t="s">
        <v>29</v>
      </c>
    </row>
    <row r="153" spans="2:19">
      <c r="B153" s="7" t="s">
        <v>195</v>
      </c>
      <c r="C153" s="8" t="s">
        <v>195</v>
      </c>
      <c r="D153" s="5" t="str">
        <f>LRTRIM(CONCATENATE(IF(SUMPRODUCT(-- ISNUMBER(SEARCH({"Auto Number"}, $B153))) &gt; 0, $B153, IF(SUMPRODUCT(-- ISNUMBER(SEARCH({"Lookup","Master-Detail"}, $B153))) &gt; 0,$B153 &amp; "(" &amp; $E153 &amp; ")",IF(SUMPRODUCT(-- ISNUMBER(SEARCH({"Formula","Roll-Up Summary"}, $B153))) &gt; 0,$B153 &amp; " (" &amp; $E153 &amp; ")",IF(SUMPRODUCT(-- ISNUMBER(SEARCH({"Content","Currency","Number","Percent","Text","URL"}, $B153))) &gt; 0,$B153 &amp; "(" &amp; $C153 &amp; ")",$B153)))), "  ", TRIM(IF($S153 = "YES", "(External ID)", "") &amp; " " &amp; IF(SUMPRODUCT(-- ISNUMBER(SEARCH({"Unique","Unique Case Insensitive"}, $R153))) &gt; 0, "(" &amp; $R153 &amp; ")", ""))))</f>
        <v>na</v>
      </c>
      <c r="E153" s="7" t="s">
        <v>195</v>
      </c>
      <c r="F153" s="7" t="s">
        <v>195</v>
      </c>
      <c r="G153" s="7" t="s">
        <v>195</v>
      </c>
      <c r="H153" s="7" t="s">
        <v>195</v>
      </c>
      <c r="I153" s="7" t="s">
        <v>195</v>
      </c>
      <c r="J153" s="7" t="s">
        <v>195</v>
      </c>
      <c r="K153" s="7" t="s">
        <v>195</v>
      </c>
      <c r="L153" s="7" t="s">
        <v>195</v>
      </c>
      <c r="M153" s="7" t="s">
        <v>29</v>
      </c>
      <c r="N153" s="7" t="s">
        <v>29</v>
      </c>
      <c r="O153" s="7" t="s">
        <v>29</v>
      </c>
      <c r="P153" s="7" t="s">
        <v>29</v>
      </c>
      <c r="Q153" s="7" t="s">
        <v>29</v>
      </c>
      <c r="R153" s="7" t="s">
        <v>29</v>
      </c>
      <c r="S153" s="7" t="s">
        <v>29</v>
      </c>
    </row>
    <row r="154" spans="2:19">
      <c r="B154" s="7" t="s">
        <v>195</v>
      </c>
      <c r="C154" s="8" t="s">
        <v>195</v>
      </c>
      <c r="D154" s="5" t="str">
        <f>LRTRIM(CONCATENATE(IF(SUMPRODUCT(-- ISNUMBER(SEARCH({"Auto Number"}, $B154))) &gt; 0, $B154, IF(SUMPRODUCT(-- ISNUMBER(SEARCH({"Lookup","Master-Detail"}, $B154))) &gt; 0,$B154 &amp; "(" &amp; $E154 &amp; ")",IF(SUMPRODUCT(-- ISNUMBER(SEARCH({"Formula","Roll-Up Summary"}, $B154))) &gt; 0,$B154 &amp; " (" &amp; $E154 &amp; ")",IF(SUMPRODUCT(-- ISNUMBER(SEARCH({"Content","Currency","Number","Percent","Text","URL"}, $B154))) &gt; 0,$B154 &amp; "(" &amp; $C154 &amp; ")",$B154)))), "  ", TRIM(IF($S154 = "YES", "(External ID)", "") &amp; " " &amp; IF(SUMPRODUCT(-- ISNUMBER(SEARCH({"Unique","Unique Case Insensitive"}, $R154))) &gt; 0, "(" &amp; $R154 &amp; ")", ""))))</f>
        <v>na</v>
      </c>
      <c r="E154" s="7" t="s">
        <v>195</v>
      </c>
      <c r="F154" s="7" t="s">
        <v>195</v>
      </c>
      <c r="G154" s="7" t="s">
        <v>195</v>
      </c>
      <c r="H154" s="7" t="s">
        <v>195</v>
      </c>
      <c r="I154" s="7" t="s">
        <v>195</v>
      </c>
      <c r="J154" s="7" t="s">
        <v>195</v>
      </c>
      <c r="K154" s="7" t="s">
        <v>195</v>
      </c>
      <c r="L154" s="7" t="s">
        <v>195</v>
      </c>
      <c r="M154" s="7" t="s">
        <v>29</v>
      </c>
      <c r="N154" s="7" t="s">
        <v>29</v>
      </c>
      <c r="O154" s="7" t="s">
        <v>29</v>
      </c>
      <c r="P154" s="7" t="s">
        <v>29</v>
      </c>
      <c r="Q154" s="7" t="s">
        <v>29</v>
      </c>
      <c r="R154" s="7" t="s">
        <v>29</v>
      </c>
      <c r="S154" s="7" t="s">
        <v>29</v>
      </c>
    </row>
    <row r="155" spans="2:19">
      <c r="B155" s="7" t="s">
        <v>195</v>
      </c>
      <c r="C155" s="8" t="s">
        <v>195</v>
      </c>
      <c r="D155" s="5" t="str">
        <f>LRTRIM(CONCATENATE(IF(SUMPRODUCT(-- ISNUMBER(SEARCH({"Auto Number"}, $B155))) &gt; 0, $B155, IF(SUMPRODUCT(-- ISNUMBER(SEARCH({"Lookup","Master-Detail"}, $B155))) &gt; 0,$B155 &amp; "(" &amp; $E155 &amp; ")",IF(SUMPRODUCT(-- ISNUMBER(SEARCH({"Formula","Roll-Up Summary"}, $B155))) &gt; 0,$B155 &amp; " (" &amp; $E155 &amp; ")",IF(SUMPRODUCT(-- ISNUMBER(SEARCH({"Content","Currency","Number","Percent","Text","URL"}, $B155))) &gt; 0,$B155 &amp; "(" &amp; $C155 &amp; ")",$B155)))), "  ", TRIM(IF($S155 = "YES", "(External ID)", "") &amp; " " &amp; IF(SUMPRODUCT(-- ISNUMBER(SEARCH({"Unique","Unique Case Insensitive"}, $R155))) &gt; 0, "(" &amp; $R155 &amp; ")", ""))))</f>
        <v>na</v>
      </c>
      <c r="E155" s="7" t="s">
        <v>195</v>
      </c>
      <c r="F155" s="7" t="s">
        <v>195</v>
      </c>
      <c r="G155" s="7" t="s">
        <v>195</v>
      </c>
      <c r="H155" s="7" t="s">
        <v>195</v>
      </c>
      <c r="I155" s="7" t="s">
        <v>195</v>
      </c>
      <c r="J155" s="7" t="s">
        <v>195</v>
      </c>
      <c r="K155" s="7" t="s">
        <v>195</v>
      </c>
      <c r="L155" s="7" t="s">
        <v>195</v>
      </c>
      <c r="M155" s="7" t="s">
        <v>29</v>
      </c>
      <c r="N155" s="7" t="s">
        <v>29</v>
      </c>
      <c r="O155" s="7" t="s">
        <v>29</v>
      </c>
      <c r="P155" s="7" t="s">
        <v>29</v>
      </c>
      <c r="Q155" s="7" t="s">
        <v>29</v>
      </c>
      <c r="R155" s="7" t="s">
        <v>29</v>
      </c>
      <c r="S155" s="7" t="s">
        <v>29</v>
      </c>
    </row>
    <row r="156" spans="2:19">
      <c r="B156" s="7" t="s">
        <v>195</v>
      </c>
      <c r="C156" s="8" t="s">
        <v>195</v>
      </c>
      <c r="D156" s="5" t="str">
        <f>LRTRIM(CONCATENATE(IF(SUMPRODUCT(-- ISNUMBER(SEARCH({"Auto Number"}, $B156))) &gt; 0, $B156, IF(SUMPRODUCT(-- ISNUMBER(SEARCH({"Lookup","Master-Detail"}, $B156))) &gt; 0,$B156 &amp; "(" &amp; $E156 &amp; ")",IF(SUMPRODUCT(-- ISNUMBER(SEARCH({"Formula","Roll-Up Summary"}, $B156))) &gt; 0,$B156 &amp; " (" &amp; $E156 &amp; ")",IF(SUMPRODUCT(-- ISNUMBER(SEARCH({"Content","Currency","Number","Percent","Text","URL"}, $B156))) &gt; 0,$B156 &amp; "(" &amp; $C156 &amp; ")",$B156)))), "  ", TRIM(IF($S156 = "YES", "(External ID)", "") &amp; " " &amp; IF(SUMPRODUCT(-- ISNUMBER(SEARCH({"Unique","Unique Case Insensitive"}, $R156))) &gt; 0, "(" &amp; $R156 &amp; ")", ""))))</f>
        <v>na</v>
      </c>
      <c r="E156" s="7" t="s">
        <v>195</v>
      </c>
      <c r="F156" s="7" t="s">
        <v>195</v>
      </c>
      <c r="G156" s="7" t="s">
        <v>195</v>
      </c>
      <c r="H156" s="7" t="s">
        <v>195</v>
      </c>
      <c r="I156" s="7" t="s">
        <v>195</v>
      </c>
      <c r="J156" s="7" t="s">
        <v>195</v>
      </c>
      <c r="K156" s="7" t="s">
        <v>195</v>
      </c>
      <c r="L156" s="7" t="s">
        <v>195</v>
      </c>
      <c r="M156" s="7" t="s">
        <v>29</v>
      </c>
      <c r="N156" s="7" t="s">
        <v>29</v>
      </c>
      <c r="O156" s="7" t="s">
        <v>29</v>
      </c>
      <c r="P156" s="7" t="s">
        <v>29</v>
      </c>
      <c r="Q156" s="7" t="s">
        <v>29</v>
      </c>
      <c r="R156" s="7" t="s">
        <v>29</v>
      </c>
      <c r="S156" s="7" t="s">
        <v>29</v>
      </c>
    </row>
    <row r="157" spans="2:19">
      <c r="B157" s="7" t="s">
        <v>195</v>
      </c>
      <c r="C157" s="8" t="s">
        <v>195</v>
      </c>
      <c r="D157" s="5" t="str">
        <f>LRTRIM(CONCATENATE(IF(SUMPRODUCT(-- ISNUMBER(SEARCH({"Auto Number"}, $B157))) &gt; 0, $B157, IF(SUMPRODUCT(-- ISNUMBER(SEARCH({"Lookup","Master-Detail"}, $B157))) &gt; 0,$B157 &amp; "(" &amp; $E157 &amp; ")",IF(SUMPRODUCT(-- ISNUMBER(SEARCH({"Formula","Roll-Up Summary"}, $B157))) &gt; 0,$B157 &amp; " (" &amp; $E157 &amp; ")",IF(SUMPRODUCT(-- ISNUMBER(SEARCH({"Content","Currency","Number","Percent","Text","URL"}, $B157))) &gt; 0,$B157 &amp; "(" &amp; $C157 &amp; ")",$B157)))), "  ", TRIM(IF($S157 = "YES", "(External ID)", "") &amp; " " &amp; IF(SUMPRODUCT(-- ISNUMBER(SEARCH({"Unique","Unique Case Insensitive"}, $R157))) &gt; 0, "(" &amp; $R157 &amp; ")", ""))))</f>
        <v>na</v>
      </c>
      <c r="E157" s="7" t="s">
        <v>195</v>
      </c>
      <c r="F157" s="7" t="s">
        <v>195</v>
      </c>
      <c r="G157" s="7" t="s">
        <v>195</v>
      </c>
      <c r="H157" s="7" t="s">
        <v>195</v>
      </c>
      <c r="I157" s="7" t="s">
        <v>195</v>
      </c>
      <c r="J157" s="7" t="s">
        <v>195</v>
      </c>
      <c r="K157" s="7" t="s">
        <v>195</v>
      </c>
      <c r="L157" s="7" t="s">
        <v>195</v>
      </c>
      <c r="M157" s="7" t="s">
        <v>29</v>
      </c>
      <c r="N157" s="7" t="s">
        <v>29</v>
      </c>
      <c r="O157" s="7" t="s">
        <v>29</v>
      </c>
      <c r="P157" s="7" t="s">
        <v>29</v>
      </c>
      <c r="Q157" s="7" t="s">
        <v>29</v>
      </c>
      <c r="R157" s="7" t="s">
        <v>29</v>
      </c>
      <c r="S157" s="7" t="s">
        <v>29</v>
      </c>
    </row>
    <row r="158" spans="2:19">
      <c r="B158" s="7" t="s">
        <v>195</v>
      </c>
      <c r="C158" s="8" t="s">
        <v>195</v>
      </c>
      <c r="D158" s="5" t="str">
        <f>LRTRIM(CONCATENATE(IF(SUMPRODUCT(-- ISNUMBER(SEARCH({"Auto Number"}, $B158))) &gt; 0, $B158, IF(SUMPRODUCT(-- ISNUMBER(SEARCH({"Lookup","Master-Detail"}, $B158))) &gt; 0,$B158 &amp; "(" &amp; $E158 &amp; ")",IF(SUMPRODUCT(-- ISNUMBER(SEARCH({"Formula","Roll-Up Summary"}, $B158))) &gt; 0,$B158 &amp; " (" &amp; $E158 &amp; ")",IF(SUMPRODUCT(-- ISNUMBER(SEARCH({"Content","Currency","Number","Percent","Text","URL"}, $B158))) &gt; 0,$B158 &amp; "(" &amp; $C158 &amp; ")",$B158)))), "  ", TRIM(IF($S158 = "YES", "(External ID)", "") &amp; " " &amp; IF(SUMPRODUCT(-- ISNUMBER(SEARCH({"Unique","Unique Case Insensitive"}, $R158))) &gt; 0, "(" &amp; $R158 &amp; ")", ""))))</f>
        <v>na</v>
      </c>
      <c r="E158" s="7" t="s">
        <v>195</v>
      </c>
      <c r="F158" s="7" t="s">
        <v>195</v>
      </c>
      <c r="G158" s="7" t="s">
        <v>195</v>
      </c>
      <c r="H158" s="7" t="s">
        <v>195</v>
      </c>
      <c r="I158" s="7" t="s">
        <v>195</v>
      </c>
      <c r="J158" s="7" t="s">
        <v>195</v>
      </c>
      <c r="K158" s="7" t="s">
        <v>195</v>
      </c>
      <c r="L158" s="7" t="s">
        <v>195</v>
      </c>
      <c r="M158" s="7" t="s">
        <v>29</v>
      </c>
      <c r="N158" s="7" t="s">
        <v>29</v>
      </c>
      <c r="O158" s="7" t="s">
        <v>29</v>
      </c>
      <c r="P158" s="7" t="s">
        <v>29</v>
      </c>
      <c r="Q158" s="7" t="s">
        <v>29</v>
      </c>
      <c r="R158" s="7" t="s">
        <v>29</v>
      </c>
      <c r="S158" s="7" t="s">
        <v>29</v>
      </c>
    </row>
    <row r="159" spans="2:19">
      <c r="B159" s="7" t="s">
        <v>195</v>
      </c>
      <c r="C159" s="8" t="s">
        <v>195</v>
      </c>
      <c r="D159" s="5" t="str">
        <f>LRTRIM(CONCATENATE(IF(SUMPRODUCT(-- ISNUMBER(SEARCH({"Auto Number"}, $B159))) &gt; 0, $B159, IF(SUMPRODUCT(-- ISNUMBER(SEARCH({"Lookup","Master-Detail"}, $B159))) &gt; 0,$B159 &amp; "(" &amp; $E159 &amp; ")",IF(SUMPRODUCT(-- ISNUMBER(SEARCH({"Formula","Roll-Up Summary"}, $B159))) &gt; 0,$B159 &amp; " (" &amp; $E159 &amp; ")",IF(SUMPRODUCT(-- ISNUMBER(SEARCH({"Content","Currency","Number","Percent","Text","URL"}, $B159))) &gt; 0,$B159 &amp; "(" &amp; $C159 &amp; ")",$B159)))), "  ", TRIM(IF($S159 = "YES", "(External ID)", "") &amp; " " &amp; IF(SUMPRODUCT(-- ISNUMBER(SEARCH({"Unique","Unique Case Insensitive"}, $R159))) &gt; 0, "(" &amp; $R159 &amp; ")", ""))))</f>
        <v>na</v>
      </c>
      <c r="E159" s="7" t="s">
        <v>195</v>
      </c>
      <c r="F159" s="7" t="s">
        <v>195</v>
      </c>
      <c r="G159" s="7" t="s">
        <v>195</v>
      </c>
      <c r="H159" s="7" t="s">
        <v>195</v>
      </c>
      <c r="I159" s="7" t="s">
        <v>195</v>
      </c>
      <c r="J159" s="7" t="s">
        <v>195</v>
      </c>
      <c r="K159" s="7" t="s">
        <v>195</v>
      </c>
      <c r="L159" s="7" t="s">
        <v>195</v>
      </c>
      <c r="M159" s="7" t="s">
        <v>29</v>
      </c>
      <c r="N159" s="7" t="s">
        <v>29</v>
      </c>
      <c r="O159" s="7" t="s">
        <v>29</v>
      </c>
      <c r="P159" s="7" t="s">
        <v>29</v>
      </c>
      <c r="Q159" s="7" t="s">
        <v>29</v>
      </c>
      <c r="R159" s="7" t="s">
        <v>29</v>
      </c>
      <c r="S159" s="7" t="s">
        <v>29</v>
      </c>
    </row>
    <row r="160" spans="2:19">
      <c r="B160" s="7" t="s">
        <v>195</v>
      </c>
      <c r="C160" s="8" t="s">
        <v>195</v>
      </c>
      <c r="D160" s="5" t="str">
        <f>LRTRIM(CONCATENATE(IF(SUMPRODUCT(-- ISNUMBER(SEARCH({"Auto Number"}, $B160))) &gt; 0, $B160, IF(SUMPRODUCT(-- ISNUMBER(SEARCH({"Lookup","Master-Detail"}, $B160))) &gt; 0,$B160 &amp; "(" &amp; $E160 &amp; ")",IF(SUMPRODUCT(-- ISNUMBER(SEARCH({"Formula","Roll-Up Summary"}, $B160))) &gt; 0,$B160 &amp; " (" &amp; $E160 &amp; ")",IF(SUMPRODUCT(-- ISNUMBER(SEARCH({"Content","Currency","Number","Percent","Text","URL"}, $B160))) &gt; 0,$B160 &amp; "(" &amp; $C160 &amp; ")",$B160)))), "  ", TRIM(IF($S160 = "YES", "(External ID)", "") &amp; " " &amp; IF(SUMPRODUCT(-- ISNUMBER(SEARCH({"Unique","Unique Case Insensitive"}, $R160))) &gt; 0, "(" &amp; $R160 &amp; ")", ""))))</f>
        <v>na</v>
      </c>
      <c r="E160" s="7" t="s">
        <v>195</v>
      </c>
      <c r="F160" s="7" t="s">
        <v>195</v>
      </c>
      <c r="G160" s="7" t="s">
        <v>195</v>
      </c>
      <c r="H160" s="7" t="s">
        <v>195</v>
      </c>
      <c r="I160" s="7" t="s">
        <v>195</v>
      </c>
      <c r="J160" s="7" t="s">
        <v>195</v>
      </c>
      <c r="K160" s="7" t="s">
        <v>195</v>
      </c>
      <c r="L160" s="7" t="s">
        <v>195</v>
      </c>
      <c r="M160" s="7" t="s">
        <v>29</v>
      </c>
      <c r="N160" s="7" t="s">
        <v>29</v>
      </c>
      <c r="O160" s="7" t="s">
        <v>29</v>
      </c>
      <c r="P160" s="7" t="s">
        <v>29</v>
      </c>
      <c r="Q160" s="7" t="s">
        <v>29</v>
      </c>
      <c r="R160" s="7" t="s">
        <v>29</v>
      </c>
      <c r="S160" s="7" t="s">
        <v>29</v>
      </c>
    </row>
    <row r="161" spans="2:19">
      <c r="B161" s="7" t="s">
        <v>195</v>
      </c>
      <c r="C161" s="8" t="s">
        <v>195</v>
      </c>
      <c r="D161" s="5" t="str">
        <f>LRTRIM(CONCATENATE(IF(SUMPRODUCT(-- ISNUMBER(SEARCH({"Auto Number"}, $B161))) &gt; 0, $B161, IF(SUMPRODUCT(-- ISNUMBER(SEARCH({"Lookup","Master-Detail"}, $B161))) &gt; 0,$B161 &amp; "(" &amp; $E161 &amp; ")",IF(SUMPRODUCT(-- ISNUMBER(SEARCH({"Formula","Roll-Up Summary"}, $B161))) &gt; 0,$B161 &amp; " (" &amp; $E161 &amp; ")",IF(SUMPRODUCT(-- ISNUMBER(SEARCH({"Content","Currency","Number","Percent","Text","URL"}, $B161))) &gt; 0,$B161 &amp; "(" &amp; $C161 &amp; ")",$B161)))), "  ", TRIM(IF($S161 = "YES", "(External ID)", "") &amp; " " &amp; IF(SUMPRODUCT(-- ISNUMBER(SEARCH({"Unique","Unique Case Insensitive"}, $R161))) &gt; 0, "(" &amp; $R161 &amp; ")", ""))))</f>
        <v>na</v>
      </c>
      <c r="E161" s="7" t="s">
        <v>195</v>
      </c>
      <c r="F161" s="7" t="s">
        <v>195</v>
      </c>
      <c r="G161" s="7" t="s">
        <v>195</v>
      </c>
      <c r="H161" s="7" t="s">
        <v>195</v>
      </c>
      <c r="I161" s="7" t="s">
        <v>195</v>
      </c>
      <c r="J161" s="7" t="s">
        <v>195</v>
      </c>
      <c r="K161" s="7" t="s">
        <v>195</v>
      </c>
      <c r="L161" s="7" t="s">
        <v>195</v>
      </c>
      <c r="M161" s="7" t="s">
        <v>29</v>
      </c>
      <c r="N161" s="7" t="s">
        <v>29</v>
      </c>
      <c r="O161" s="7" t="s">
        <v>29</v>
      </c>
      <c r="P161" s="7" t="s">
        <v>29</v>
      </c>
      <c r="Q161" s="7" t="s">
        <v>29</v>
      </c>
      <c r="R161" s="7" t="s">
        <v>29</v>
      </c>
      <c r="S161" s="7" t="s">
        <v>29</v>
      </c>
    </row>
    <row r="162" spans="2:19">
      <c r="B162" s="7" t="s">
        <v>195</v>
      </c>
      <c r="C162" s="8" t="s">
        <v>195</v>
      </c>
      <c r="D162" s="5" t="str">
        <f>LRTRIM(CONCATENATE(IF(SUMPRODUCT(-- ISNUMBER(SEARCH({"Auto Number"}, $B162))) &gt; 0, $B162, IF(SUMPRODUCT(-- ISNUMBER(SEARCH({"Lookup","Master-Detail"}, $B162))) &gt; 0,$B162 &amp; "(" &amp; $E162 &amp; ")",IF(SUMPRODUCT(-- ISNUMBER(SEARCH({"Formula","Roll-Up Summary"}, $B162))) &gt; 0,$B162 &amp; " (" &amp; $E162 &amp; ")",IF(SUMPRODUCT(-- ISNUMBER(SEARCH({"Content","Currency","Number","Percent","Text","URL"}, $B162))) &gt; 0,$B162 &amp; "(" &amp; $C162 &amp; ")",$B162)))), "  ", TRIM(IF($S162 = "YES", "(External ID)", "") &amp; " " &amp; IF(SUMPRODUCT(-- ISNUMBER(SEARCH({"Unique","Unique Case Insensitive"}, $R162))) &gt; 0, "(" &amp; $R162 &amp; ")", ""))))</f>
        <v>na</v>
      </c>
      <c r="E162" s="7" t="s">
        <v>195</v>
      </c>
      <c r="F162" s="7" t="s">
        <v>195</v>
      </c>
      <c r="G162" s="7" t="s">
        <v>195</v>
      </c>
      <c r="H162" s="7" t="s">
        <v>195</v>
      </c>
      <c r="I162" s="7" t="s">
        <v>195</v>
      </c>
      <c r="J162" s="7" t="s">
        <v>195</v>
      </c>
      <c r="K162" s="7" t="s">
        <v>195</v>
      </c>
      <c r="L162" s="7" t="s">
        <v>195</v>
      </c>
      <c r="M162" s="7" t="s">
        <v>29</v>
      </c>
      <c r="N162" s="7" t="s">
        <v>29</v>
      </c>
      <c r="O162" s="7" t="s">
        <v>29</v>
      </c>
      <c r="P162" s="7" t="s">
        <v>29</v>
      </c>
      <c r="Q162" s="7" t="s">
        <v>29</v>
      </c>
      <c r="R162" s="7" t="s">
        <v>29</v>
      </c>
      <c r="S162" s="7" t="s">
        <v>29</v>
      </c>
    </row>
    <row r="163" spans="2:19">
      <c r="B163" s="7" t="s">
        <v>195</v>
      </c>
      <c r="C163" s="8" t="s">
        <v>195</v>
      </c>
      <c r="D163" s="5" t="str">
        <f>LRTRIM(CONCATENATE(IF(SUMPRODUCT(-- ISNUMBER(SEARCH({"Auto Number"}, $B163))) &gt; 0, $B163, IF(SUMPRODUCT(-- ISNUMBER(SEARCH({"Lookup","Master-Detail"}, $B163))) &gt; 0,$B163 &amp; "(" &amp; $E163 &amp; ")",IF(SUMPRODUCT(-- ISNUMBER(SEARCH({"Formula","Roll-Up Summary"}, $B163))) &gt; 0,$B163 &amp; " (" &amp; $E163 &amp; ")",IF(SUMPRODUCT(-- ISNUMBER(SEARCH({"Content","Currency","Number","Percent","Text","URL"}, $B163))) &gt; 0,$B163 &amp; "(" &amp; $C163 &amp; ")",$B163)))), "  ", TRIM(IF($S163 = "YES", "(External ID)", "") &amp; " " &amp; IF(SUMPRODUCT(-- ISNUMBER(SEARCH({"Unique","Unique Case Insensitive"}, $R163))) &gt; 0, "(" &amp; $R163 &amp; ")", ""))))</f>
        <v>na</v>
      </c>
      <c r="E163" s="7" t="s">
        <v>195</v>
      </c>
      <c r="F163" s="7" t="s">
        <v>195</v>
      </c>
      <c r="G163" s="7" t="s">
        <v>195</v>
      </c>
      <c r="H163" s="7" t="s">
        <v>195</v>
      </c>
      <c r="I163" s="7" t="s">
        <v>195</v>
      </c>
      <c r="J163" s="7" t="s">
        <v>195</v>
      </c>
      <c r="K163" s="7" t="s">
        <v>195</v>
      </c>
      <c r="L163" s="7" t="s">
        <v>195</v>
      </c>
      <c r="M163" s="7" t="s">
        <v>29</v>
      </c>
      <c r="N163" s="7" t="s">
        <v>29</v>
      </c>
      <c r="O163" s="7" t="s">
        <v>29</v>
      </c>
      <c r="P163" s="7" t="s">
        <v>29</v>
      </c>
      <c r="Q163" s="7" t="s">
        <v>29</v>
      </c>
      <c r="R163" s="7" t="s">
        <v>29</v>
      </c>
      <c r="S163" s="7" t="s">
        <v>29</v>
      </c>
    </row>
    <row r="164" spans="2:19">
      <c r="B164" s="7" t="s">
        <v>195</v>
      </c>
      <c r="C164" s="8" t="s">
        <v>195</v>
      </c>
      <c r="D164" s="5" t="str">
        <f>LRTRIM(CONCATENATE(IF(SUMPRODUCT(-- ISNUMBER(SEARCH({"Auto Number"}, $B164))) &gt; 0, $B164, IF(SUMPRODUCT(-- ISNUMBER(SEARCH({"Lookup","Master-Detail"}, $B164))) &gt; 0,$B164 &amp; "(" &amp; $E164 &amp; ")",IF(SUMPRODUCT(-- ISNUMBER(SEARCH({"Formula","Roll-Up Summary"}, $B164))) &gt; 0,$B164 &amp; " (" &amp; $E164 &amp; ")",IF(SUMPRODUCT(-- ISNUMBER(SEARCH({"Content","Currency","Number","Percent","Text","URL"}, $B164))) &gt; 0,$B164 &amp; "(" &amp; $C164 &amp; ")",$B164)))), "  ", TRIM(IF($S164 = "YES", "(External ID)", "") &amp; " " &amp; IF(SUMPRODUCT(-- ISNUMBER(SEARCH({"Unique","Unique Case Insensitive"}, $R164))) &gt; 0, "(" &amp; $R164 &amp; ")", ""))))</f>
        <v>na</v>
      </c>
      <c r="E164" s="7" t="s">
        <v>195</v>
      </c>
      <c r="F164" s="7" t="s">
        <v>195</v>
      </c>
      <c r="G164" s="7" t="s">
        <v>195</v>
      </c>
      <c r="H164" s="7" t="s">
        <v>195</v>
      </c>
      <c r="I164" s="7" t="s">
        <v>195</v>
      </c>
      <c r="J164" s="7" t="s">
        <v>195</v>
      </c>
      <c r="K164" s="7" t="s">
        <v>195</v>
      </c>
      <c r="L164" s="7" t="s">
        <v>195</v>
      </c>
      <c r="M164" s="7" t="s">
        <v>29</v>
      </c>
      <c r="N164" s="7" t="s">
        <v>29</v>
      </c>
      <c r="O164" s="7" t="s">
        <v>29</v>
      </c>
      <c r="P164" s="7" t="s">
        <v>29</v>
      </c>
      <c r="Q164" s="7" t="s">
        <v>29</v>
      </c>
      <c r="R164" s="7" t="s">
        <v>29</v>
      </c>
      <c r="S164" s="7" t="s">
        <v>29</v>
      </c>
    </row>
    <row r="165" spans="2:19">
      <c r="B165" s="7" t="s">
        <v>195</v>
      </c>
      <c r="C165" s="8" t="s">
        <v>195</v>
      </c>
      <c r="D165" s="5" t="str">
        <f>LRTRIM(CONCATENATE(IF(SUMPRODUCT(-- ISNUMBER(SEARCH({"Auto Number"}, $B165))) &gt; 0, $B165, IF(SUMPRODUCT(-- ISNUMBER(SEARCH({"Lookup","Master-Detail"}, $B165))) &gt; 0,$B165 &amp; "(" &amp; $E165 &amp; ")",IF(SUMPRODUCT(-- ISNUMBER(SEARCH({"Formula","Roll-Up Summary"}, $B165))) &gt; 0,$B165 &amp; " (" &amp; $E165 &amp; ")",IF(SUMPRODUCT(-- ISNUMBER(SEARCH({"Content","Currency","Number","Percent","Text","URL"}, $B165))) &gt; 0,$B165 &amp; "(" &amp; $C165 &amp; ")",$B165)))), "  ", TRIM(IF($S165 = "YES", "(External ID)", "") &amp; " " &amp; IF(SUMPRODUCT(-- ISNUMBER(SEARCH({"Unique","Unique Case Insensitive"}, $R165))) &gt; 0, "(" &amp; $R165 &amp; ")", ""))))</f>
        <v>na</v>
      </c>
      <c r="E165" s="7" t="s">
        <v>195</v>
      </c>
      <c r="F165" s="7" t="s">
        <v>195</v>
      </c>
      <c r="G165" s="7" t="s">
        <v>195</v>
      </c>
      <c r="H165" s="7" t="s">
        <v>195</v>
      </c>
      <c r="I165" s="7" t="s">
        <v>195</v>
      </c>
      <c r="J165" s="7" t="s">
        <v>195</v>
      </c>
      <c r="K165" s="7" t="s">
        <v>195</v>
      </c>
      <c r="L165" s="7" t="s">
        <v>195</v>
      </c>
      <c r="M165" s="7" t="s">
        <v>29</v>
      </c>
      <c r="N165" s="7" t="s">
        <v>29</v>
      </c>
      <c r="O165" s="7" t="s">
        <v>29</v>
      </c>
      <c r="P165" s="7" t="s">
        <v>29</v>
      </c>
      <c r="Q165" s="7" t="s">
        <v>29</v>
      </c>
      <c r="R165" s="7" t="s">
        <v>29</v>
      </c>
      <c r="S165" s="7" t="s">
        <v>29</v>
      </c>
    </row>
    <row r="166" spans="2:19">
      <c r="B166" s="7" t="s">
        <v>195</v>
      </c>
      <c r="C166" s="8" t="s">
        <v>195</v>
      </c>
      <c r="D166" s="5" t="str">
        <f>LRTRIM(CONCATENATE(IF(SUMPRODUCT(-- ISNUMBER(SEARCH({"Auto Number"}, $B166))) &gt; 0, $B166, IF(SUMPRODUCT(-- ISNUMBER(SEARCH({"Lookup","Master-Detail"}, $B166))) &gt; 0,$B166 &amp; "(" &amp; $E166 &amp; ")",IF(SUMPRODUCT(-- ISNUMBER(SEARCH({"Formula","Roll-Up Summary"}, $B166))) &gt; 0,$B166 &amp; " (" &amp; $E166 &amp; ")",IF(SUMPRODUCT(-- ISNUMBER(SEARCH({"Content","Currency","Number","Percent","Text","URL"}, $B166))) &gt; 0,$B166 &amp; "(" &amp; $C166 &amp; ")",$B166)))), "  ", TRIM(IF($S166 = "YES", "(External ID)", "") &amp; " " &amp; IF(SUMPRODUCT(-- ISNUMBER(SEARCH({"Unique","Unique Case Insensitive"}, $R166))) &gt; 0, "(" &amp; $R166 &amp; ")", ""))))</f>
        <v>na</v>
      </c>
      <c r="E166" s="7" t="s">
        <v>195</v>
      </c>
      <c r="F166" s="7" t="s">
        <v>195</v>
      </c>
      <c r="G166" s="7" t="s">
        <v>195</v>
      </c>
      <c r="H166" s="7" t="s">
        <v>195</v>
      </c>
      <c r="I166" s="7" t="s">
        <v>195</v>
      </c>
      <c r="J166" s="7" t="s">
        <v>195</v>
      </c>
      <c r="K166" s="7" t="s">
        <v>195</v>
      </c>
      <c r="L166" s="7" t="s">
        <v>195</v>
      </c>
      <c r="M166" s="7" t="s">
        <v>29</v>
      </c>
      <c r="N166" s="7" t="s">
        <v>29</v>
      </c>
      <c r="O166" s="7" t="s">
        <v>29</v>
      </c>
      <c r="P166" s="7" t="s">
        <v>29</v>
      </c>
      <c r="Q166" s="7" t="s">
        <v>29</v>
      </c>
      <c r="R166" s="7" t="s">
        <v>29</v>
      </c>
      <c r="S166" s="7" t="s">
        <v>29</v>
      </c>
    </row>
    <row r="167" spans="2:19">
      <c r="B167" s="7" t="s">
        <v>195</v>
      </c>
      <c r="C167" s="8" t="s">
        <v>195</v>
      </c>
      <c r="D167" s="5" t="str">
        <f>LRTRIM(CONCATENATE(IF(SUMPRODUCT(-- ISNUMBER(SEARCH({"Auto Number"}, $B167))) &gt; 0, $B167, IF(SUMPRODUCT(-- ISNUMBER(SEARCH({"Lookup","Master-Detail"}, $B167))) &gt; 0,$B167 &amp; "(" &amp; $E167 &amp; ")",IF(SUMPRODUCT(-- ISNUMBER(SEARCH({"Formula","Roll-Up Summary"}, $B167))) &gt; 0,$B167 &amp; " (" &amp; $E167 &amp; ")",IF(SUMPRODUCT(-- ISNUMBER(SEARCH({"Content","Currency","Number","Percent","Text","URL"}, $B167))) &gt; 0,$B167 &amp; "(" &amp; $C167 &amp; ")",$B167)))), "  ", TRIM(IF($S167 = "YES", "(External ID)", "") &amp; " " &amp; IF(SUMPRODUCT(-- ISNUMBER(SEARCH({"Unique","Unique Case Insensitive"}, $R167))) &gt; 0, "(" &amp; $R167 &amp; ")", ""))))</f>
        <v>na</v>
      </c>
      <c r="E167" s="7" t="s">
        <v>195</v>
      </c>
      <c r="F167" s="7" t="s">
        <v>195</v>
      </c>
      <c r="G167" s="7" t="s">
        <v>195</v>
      </c>
      <c r="H167" s="7" t="s">
        <v>195</v>
      </c>
      <c r="I167" s="7" t="s">
        <v>195</v>
      </c>
      <c r="J167" s="7" t="s">
        <v>195</v>
      </c>
      <c r="K167" s="7" t="s">
        <v>195</v>
      </c>
      <c r="L167" s="7" t="s">
        <v>195</v>
      </c>
      <c r="M167" s="7" t="s">
        <v>29</v>
      </c>
      <c r="N167" s="7" t="s">
        <v>29</v>
      </c>
      <c r="O167" s="7" t="s">
        <v>29</v>
      </c>
      <c r="P167" s="7" t="s">
        <v>29</v>
      </c>
      <c r="Q167" s="7" t="s">
        <v>29</v>
      </c>
      <c r="R167" s="7" t="s">
        <v>29</v>
      </c>
      <c r="S167" s="7" t="s">
        <v>29</v>
      </c>
    </row>
    <row r="168" spans="2:19">
      <c r="B168" s="7" t="s">
        <v>195</v>
      </c>
      <c r="C168" s="8" t="s">
        <v>195</v>
      </c>
      <c r="D168" s="5" t="str">
        <f>LRTRIM(CONCATENATE(IF(SUMPRODUCT(-- ISNUMBER(SEARCH({"Auto Number"}, $B168))) &gt; 0, $B168, IF(SUMPRODUCT(-- ISNUMBER(SEARCH({"Lookup","Master-Detail"}, $B168))) &gt; 0,$B168 &amp; "(" &amp; $E168 &amp; ")",IF(SUMPRODUCT(-- ISNUMBER(SEARCH({"Formula","Roll-Up Summary"}, $B168))) &gt; 0,$B168 &amp; " (" &amp; $E168 &amp; ")",IF(SUMPRODUCT(-- ISNUMBER(SEARCH({"Content","Currency","Number","Percent","Text","URL"}, $B168))) &gt; 0,$B168 &amp; "(" &amp; $C168 &amp; ")",$B168)))), "  ", TRIM(IF($S168 = "YES", "(External ID)", "") &amp; " " &amp; IF(SUMPRODUCT(-- ISNUMBER(SEARCH({"Unique","Unique Case Insensitive"}, $R168))) &gt; 0, "(" &amp; $R168 &amp; ")", ""))))</f>
        <v>na</v>
      </c>
      <c r="E168" s="7" t="s">
        <v>195</v>
      </c>
      <c r="F168" s="7" t="s">
        <v>195</v>
      </c>
      <c r="G168" s="7" t="s">
        <v>195</v>
      </c>
      <c r="H168" s="7" t="s">
        <v>195</v>
      </c>
      <c r="I168" s="7" t="s">
        <v>195</v>
      </c>
      <c r="J168" s="7" t="s">
        <v>195</v>
      </c>
      <c r="K168" s="7" t="s">
        <v>195</v>
      </c>
      <c r="L168" s="7" t="s">
        <v>195</v>
      </c>
      <c r="M168" s="7" t="s">
        <v>29</v>
      </c>
      <c r="N168" s="7" t="s">
        <v>29</v>
      </c>
      <c r="O168" s="7" t="s">
        <v>29</v>
      </c>
      <c r="P168" s="7" t="s">
        <v>29</v>
      </c>
      <c r="Q168" s="7" t="s">
        <v>29</v>
      </c>
      <c r="R168" s="7" t="s">
        <v>29</v>
      </c>
      <c r="S168" s="7" t="s">
        <v>29</v>
      </c>
    </row>
    <row r="169" spans="2:19">
      <c r="B169" s="7" t="s">
        <v>195</v>
      </c>
      <c r="C169" s="8" t="s">
        <v>195</v>
      </c>
      <c r="D169" s="5" t="str">
        <f>LRTRIM(CONCATENATE(IF(SUMPRODUCT(-- ISNUMBER(SEARCH({"Auto Number"}, $B169))) &gt; 0, $B169, IF(SUMPRODUCT(-- ISNUMBER(SEARCH({"Lookup","Master-Detail"}, $B169))) &gt; 0,$B169 &amp; "(" &amp; $E169 &amp; ")",IF(SUMPRODUCT(-- ISNUMBER(SEARCH({"Formula","Roll-Up Summary"}, $B169))) &gt; 0,$B169 &amp; " (" &amp; $E169 &amp; ")",IF(SUMPRODUCT(-- ISNUMBER(SEARCH({"Content","Currency","Number","Percent","Text","URL"}, $B169))) &gt; 0,$B169 &amp; "(" &amp; $C169 &amp; ")",$B169)))), "  ", TRIM(IF($S169 = "YES", "(External ID)", "") &amp; " " &amp; IF(SUMPRODUCT(-- ISNUMBER(SEARCH({"Unique","Unique Case Insensitive"}, $R169))) &gt; 0, "(" &amp; $R169 &amp; ")", ""))))</f>
        <v>na</v>
      </c>
      <c r="E169" s="7" t="s">
        <v>195</v>
      </c>
      <c r="F169" s="7" t="s">
        <v>195</v>
      </c>
      <c r="G169" s="7" t="s">
        <v>195</v>
      </c>
      <c r="H169" s="7" t="s">
        <v>195</v>
      </c>
      <c r="I169" s="7" t="s">
        <v>195</v>
      </c>
      <c r="J169" s="7" t="s">
        <v>195</v>
      </c>
      <c r="K169" s="7" t="s">
        <v>195</v>
      </c>
      <c r="L169" s="7" t="s">
        <v>195</v>
      </c>
      <c r="M169" s="7" t="s">
        <v>29</v>
      </c>
      <c r="N169" s="7" t="s">
        <v>29</v>
      </c>
      <c r="O169" s="7" t="s">
        <v>29</v>
      </c>
      <c r="P169" s="7" t="s">
        <v>29</v>
      </c>
      <c r="Q169" s="7" t="s">
        <v>29</v>
      </c>
      <c r="R169" s="7" t="s">
        <v>29</v>
      </c>
      <c r="S169" s="7" t="s">
        <v>29</v>
      </c>
    </row>
    <row r="170" spans="2:19">
      <c r="B170" s="7" t="s">
        <v>195</v>
      </c>
      <c r="C170" s="8" t="s">
        <v>195</v>
      </c>
      <c r="D170" s="5" t="str">
        <f>LRTRIM(CONCATENATE(IF(SUMPRODUCT(-- ISNUMBER(SEARCH({"Auto Number"}, $B170))) &gt; 0, $B170, IF(SUMPRODUCT(-- ISNUMBER(SEARCH({"Lookup","Master-Detail"}, $B170))) &gt; 0,$B170 &amp; "(" &amp; $E170 &amp; ")",IF(SUMPRODUCT(-- ISNUMBER(SEARCH({"Formula","Roll-Up Summary"}, $B170))) &gt; 0,$B170 &amp; " (" &amp; $E170 &amp; ")",IF(SUMPRODUCT(-- ISNUMBER(SEARCH({"Content","Currency","Number","Percent","Text","URL"}, $B170))) &gt; 0,$B170 &amp; "(" &amp; $C170 &amp; ")",$B170)))), "  ", TRIM(IF($S170 = "YES", "(External ID)", "") &amp; " " &amp; IF(SUMPRODUCT(-- ISNUMBER(SEARCH({"Unique","Unique Case Insensitive"}, $R170))) &gt; 0, "(" &amp; $R170 &amp; ")", ""))))</f>
        <v>na</v>
      </c>
      <c r="E170" s="7" t="s">
        <v>195</v>
      </c>
      <c r="F170" s="7" t="s">
        <v>195</v>
      </c>
      <c r="G170" s="7" t="s">
        <v>195</v>
      </c>
      <c r="H170" s="7" t="s">
        <v>195</v>
      </c>
      <c r="I170" s="7" t="s">
        <v>195</v>
      </c>
      <c r="J170" s="7" t="s">
        <v>195</v>
      </c>
      <c r="K170" s="7" t="s">
        <v>195</v>
      </c>
      <c r="L170" s="7" t="s">
        <v>195</v>
      </c>
      <c r="M170" s="7" t="s">
        <v>29</v>
      </c>
      <c r="N170" s="7" t="s">
        <v>29</v>
      </c>
      <c r="O170" s="7" t="s">
        <v>29</v>
      </c>
      <c r="P170" s="7" t="s">
        <v>29</v>
      </c>
      <c r="Q170" s="7" t="s">
        <v>29</v>
      </c>
      <c r="R170" s="7" t="s">
        <v>29</v>
      </c>
      <c r="S170" s="7" t="s">
        <v>29</v>
      </c>
    </row>
    <row r="171" spans="2:19">
      <c r="B171" s="7" t="s">
        <v>195</v>
      </c>
      <c r="C171" s="8" t="s">
        <v>195</v>
      </c>
      <c r="D171" s="5" t="str">
        <f>LRTRIM(CONCATENATE(IF(SUMPRODUCT(-- ISNUMBER(SEARCH({"Auto Number"}, $B171))) &gt; 0, $B171, IF(SUMPRODUCT(-- ISNUMBER(SEARCH({"Lookup","Master-Detail"}, $B171))) &gt; 0,$B171 &amp; "(" &amp; $E171 &amp; ")",IF(SUMPRODUCT(-- ISNUMBER(SEARCH({"Formula","Roll-Up Summary"}, $B171))) &gt; 0,$B171 &amp; " (" &amp; $E171 &amp; ")",IF(SUMPRODUCT(-- ISNUMBER(SEARCH({"Content","Currency","Number","Percent","Text","URL"}, $B171))) &gt; 0,$B171 &amp; "(" &amp; $C171 &amp; ")",$B171)))), "  ", TRIM(IF($S171 = "YES", "(External ID)", "") &amp; " " &amp; IF(SUMPRODUCT(-- ISNUMBER(SEARCH({"Unique","Unique Case Insensitive"}, $R171))) &gt; 0, "(" &amp; $R171 &amp; ")", ""))))</f>
        <v>na</v>
      </c>
      <c r="E171" s="7" t="s">
        <v>195</v>
      </c>
      <c r="F171" s="7" t="s">
        <v>195</v>
      </c>
      <c r="G171" s="7" t="s">
        <v>195</v>
      </c>
      <c r="H171" s="7" t="s">
        <v>195</v>
      </c>
      <c r="I171" s="7" t="s">
        <v>195</v>
      </c>
      <c r="J171" s="7" t="s">
        <v>195</v>
      </c>
      <c r="K171" s="7" t="s">
        <v>195</v>
      </c>
      <c r="L171" s="7" t="s">
        <v>195</v>
      </c>
      <c r="M171" s="7" t="s">
        <v>29</v>
      </c>
      <c r="N171" s="7" t="s">
        <v>29</v>
      </c>
      <c r="O171" s="7" t="s">
        <v>29</v>
      </c>
      <c r="P171" s="7" t="s">
        <v>29</v>
      </c>
      <c r="Q171" s="7" t="s">
        <v>29</v>
      </c>
      <c r="R171" s="7" t="s">
        <v>29</v>
      </c>
      <c r="S171" s="7" t="s">
        <v>29</v>
      </c>
    </row>
    <row r="172" spans="2:19">
      <c r="B172" s="7" t="s">
        <v>195</v>
      </c>
      <c r="C172" s="8" t="s">
        <v>195</v>
      </c>
      <c r="D172" s="5" t="str">
        <f>LRTRIM(CONCATENATE(IF(SUMPRODUCT(-- ISNUMBER(SEARCH({"Auto Number"}, $B172))) &gt; 0, $B172, IF(SUMPRODUCT(-- ISNUMBER(SEARCH({"Lookup","Master-Detail"}, $B172))) &gt; 0,$B172 &amp; "(" &amp; $E172 &amp; ")",IF(SUMPRODUCT(-- ISNUMBER(SEARCH({"Formula","Roll-Up Summary"}, $B172))) &gt; 0,$B172 &amp; " (" &amp; $E172 &amp; ")",IF(SUMPRODUCT(-- ISNUMBER(SEARCH({"Content","Currency","Number","Percent","Text","URL"}, $B172))) &gt; 0,$B172 &amp; "(" &amp; $C172 &amp; ")",$B172)))), "  ", TRIM(IF($S172 = "YES", "(External ID)", "") &amp; " " &amp; IF(SUMPRODUCT(-- ISNUMBER(SEARCH({"Unique","Unique Case Insensitive"}, $R172))) &gt; 0, "(" &amp; $R172 &amp; ")", ""))))</f>
        <v>na</v>
      </c>
      <c r="E172" s="7" t="s">
        <v>195</v>
      </c>
      <c r="F172" s="7" t="s">
        <v>195</v>
      </c>
      <c r="G172" s="7" t="s">
        <v>195</v>
      </c>
      <c r="H172" s="7" t="s">
        <v>195</v>
      </c>
      <c r="I172" s="7" t="s">
        <v>195</v>
      </c>
      <c r="J172" s="7" t="s">
        <v>195</v>
      </c>
      <c r="K172" s="7" t="s">
        <v>195</v>
      </c>
      <c r="L172" s="7" t="s">
        <v>195</v>
      </c>
      <c r="M172" s="7" t="s">
        <v>29</v>
      </c>
      <c r="N172" s="7" t="s">
        <v>29</v>
      </c>
      <c r="O172" s="7" t="s">
        <v>29</v>
      </c>
      <c r="P172" s="7" t="s">
        <v>29</v>
      </c>
      <c r="Q172" s="7" t="s">
        <v>29</v>
      </c>
      <c r="R172" s="7" t="s">
        <v>29</v>
      </c>
      <c r="S172" s="7" t="s">
        <v>29</v>
      </c>
    </row>
    <row r="173" spans="2:19">
      <c r="B173" s="7" t="s">
        <v>195</v>
      </c>
      <c r="C173" s="8" t="s">
        <v>195</v>
      </c>
      <c r="D173" s="5" t="str">
        <f>LRTRIM(CONCATENATE(IF(SUMPRODUCT(-- ISNUMBER(SEARCH({"Auto Number"}, $B173))) &gt; 0, $B173, IF(SUMPRODUCT(-- ISNUMBER(SEARCH({"Lookup","Master-Detail"}, $B173))) &gt; 0,$B173 &amp; "(" &amp; $E173 &amp; ")",IF(SUMPRODUCT(-- ISNUMBER(SEARCH({"Formula","Roll-Up Summary"}, $B173))) &gt; 0,$B173 &amp; " (" &amp; $E173 &amp; ")",IF(SUMPRODUCT(-- ISNUMBER(SEARCH({"Content","Currency","Number","Percent","Text","URL"}, $B173))) &gt; 0,$B173 &amp; "(" &amp; $C173 &amp; ")",$B173)))), "  ", TRIM(IF($S173 = "YES", "(External ID)", "") &amp; " " &amp; IF(SUMPRODUCT(-- ISNUMBER(SEARCH({"Unique","Unique Case Insensitive"}, $R173))) &gt; 0, "(" &amp; $R173 &amp; ")", ""))))</f>
        <v>na</v>
      </c>
      <c r="E173" s="7" t="s">
        <v>195</v>
      </c>
      <c r="F173" s="7" t="s">
        <v>195</v>
      </c>
      <c r="G173" s="7" t="s">
        <v>195</v>
      </c>
      <c r="H173" s="7" t="s">
        <v>195</v>
      </c>
      <c r="I173" s="7" t="s">
        <v>195</v>
      </c>
      <c r="J173" s="7" t="s">
        <v>195</v>
      </c>
      <c r="K173" s="7" t="s">
        <v>195</v>
      </c>
      <c r="L173" s="7" t="s">
        <v>195</v>
      </c>
      <c r="M173" s="7" t="s">
        <v>29</v>
      </c>
      <c r="N173" s="7" t="s">
        <v>29</v>
      </c>
      <c r="O173" s="7" t="s">
        <v>29</v>
      </c>
      <c r="P173" s="7" t="s">
        <v>29</v>
      </c>
      <c r="Q173" s="7" t="s">
        <v>29</v>
      </c>
      <c r="R173" s="7" t="s">
        <v>29</v>
      </c>
      <c r="S173" s="7" t="s">
        <v>29</v>
      </c>
    </row>
    <row r="174" spans="2:19">
      <c r="B174" s="7" t="s">
        <v>195</v>
      </c>
      <c r="C174" s="8" t="s">
        <v>195</v>
      </c>
      <c r="D174" s="5" t="str">
        <f>LRTRIM(CONCATENATE(IF(SUMPRODUCT(-- ISNUMBER(SEARCH({"Auto Number"}, $B174))) &gt; 0, $B174, IF(SUMPRODUCT(-- ISNUMBER(SEARCH({"Lookup","Master-Detail"}, $B174))) &gt; 0,$B174 &amp; "(" &amp; $E174 &amp; ")",IF(SUMPRODUCT(-- ISNUMBER(SEARCH({"Formula","Roll-Up Summary"}, $B174))) &gt; 0,$B174 &amp; " (" &amp; $E174 &amp; ")",IF(SUMPRODUCT(-- ISNUMBER(SEARCH({"Content","Currency","Number","Percent","Text","URL"}, $B174))) &gt; 0,$B174 &amp; "(" &amp; $C174 &amp; ")",$B174)))), "  ", TRIM(IF($S174 = "YES", "(External ID)", "") &amp; " " &amp; IF(SUMPRODUCT(-- ISNUMBER(SEARCH({"Unique","Unique Case Insensitive"}, $R174))) &gt; 0, "(" &amp; $R174 &amp; ")", ""))))</f>
        <v>na</v>
      </c>
      <c r="E174" s="7" t="s">
        <v>195</v>
      </c>
      <c r="F174" s="7" t="s">
        <v>195</v>
      </c>
      <c r="G174" s="7" t="s">
        <v>195</v>
      </c>
      <c r="H174" s="7" t="s">
        <v>195</v>
      </c>
      <c r="I174" s="7" t="s">
        <v>195</v>
      </c>
      <c r="J174" s="7" t="s">
        <v>195</v>
      </c>
      <c r="K174" s="7" t="s">
        <v>195</v>
      </c>
      <c r="L174" s="7" t="s">
        <v>195</v>
      </c>
      <c r="M174" s="7" t="s">
        <v>29</v>
      </c>
      <c r="N174" s="7" t="s">
        <v>29</v>
      </c>
      <c r="O174" s="7" t="s">
        <v>29</v>
      </c>
      <c r="P174" s="7" t="s">
        <v>29</v>
      </c>
      <c r="Q174" s="7" t="s">
        <v>29</v>
      </c>
      <c r="R174" s="7" t="s">
        <v>29</v>
      </c>
      <c r="S174" s="7" t="s">
        <v>29</v>
      </c>
    </row>
    <row r="175" spans="2:19">
      <c r="B175" s="7" t="s">
        <v>195</v>
      </c>
      <c r="C175" s="8" t="s">
        <v>195</v>
      </c>
      <c r="D175" s="5" t="str">
        <f>LRTRIM(CONCATENATE(IF(SUMPRODUCT(-- ISNUMBER(SEARCH({"Auto Number"}, $B175))) &gt; 0, $B175, IF(SUMPRODUCT(-- ISNUMBER(SEARCH({"Lookup","Master-Detail"}, $B175))) &gt; 0,$B175 &amp; "(" &amp; $E175 &amp; ")",IF(SUMPRODUCT(-- ISNUMBER(SEARCH({"Formula","Roll-Up Summary"}, $B175))) &gt; 0,$B175 &amp; " (" &amp; $E175 &amp; ")",IF(SUMPRODUCT(-- ISNUMBER(SEARCH({"Content","Currency","Number","Percent","Text","URL"}, $B175))) &gt; 0,$B175 &amp; "(" &amp; $C175 &amp; ")",$B175)))), "  ", TRIM(IF($S175 = "YES", "(External ID)", "") &amp; " " &amp; IF(SUMPRODUCT(-- ISNUMBER(SEARCH({"Unique","Unique Case Insensitive"}, $R175))) &gt; 0, "(" &amp; $R175 &amp; ")", ""))))</f>
        <v>na</v>
      </c>
      <c r="E175" s="7" t="s">
        <v>195</v>
      </c>
      <c r="F175" s="7" t="s">
        <v>195</v>
      </c>
      <c r="G175" s="7" t="s">
        <v>195</v>
      </c>
      <c r="H175" s="7" t="s">
        <v>195</v>
      </c>
      <c r="I175" s="7" t="s">
        <v>195</v>
      </c>
      <c r="J175" s="7" t="s">
        <v>195</v>
      </c>
      <c r="K175" s="7" t="s">
        <v>195</v>
      </c>
      <c r="L175" s="7" t="s">
        <v>195</v>
      </c>
      <c r="M175" s="7" t="s">
        <v>29</v>
      </c>
      <c r="N175" s="7" t="s">
        <v>29</v>
      </c>
      <c r="O175" s="7" t="s">
        <v>29</v>
      </c>
      <c r="P175" s="7" t="s">
        <v>29</v>
      </c>
      <c r="Q175" s="7" t="s">
        <v>29</v>
      </c>
      <c r="R175" s="7" t="s">
        <v>29</v>
      </c>
      <c r="S175" s="7" t="s">
        <v>29</v>
      </c>
    </row>
    <row r="176" spans="2:19">
      <c r="B176" s="7" t="s">
        <v>195</v>
      </c>
      <c r="C176" s="8" t="s">
        <v>195</v>
      </c>
      <c r="D176" s="5" t="str">
        <f>LRTRIM(CONCATENATE(IF(SUMPRODUCT(-- ISNUMBER(SEARCH({"Auto Number"}, $B176))) &gt; 0, $B176, IF(SUMPRODUCT(-- ISNUMBER(SEARCH({"Lookup","Master-Detail"}, $B176))) &gt; 0,$B176 &amp; "(" &amp; $E176 &amp; ")",IF(SUMPRODUCT(-- ISNUMBER(SEARCH({"Formula","Roll-Up Summary"}, $B176))) &gt; 0,$B176 &amp; " (" &amp; $E176 &amp; ")",IF(SUMPRODUCT(-- ISNUMBER(SEARCH({"Content","Currency","Number","Percent","Text","URL"}, $B176))) &gt; 0,$B176 &amp; "(" &amp; $C176 &amp; ")",$B176)))), "  ", TRIM(IF($S176 = "YES", "(External ID)", "") &amp; " " &amp; IF(SUMPRODUCT(-- ISNUMBER(SEARCH({"Unique","Unique Case Insensitive"}, $R176))) &gt; 0, "(" &amp; $R176 &amp; ")", ""))))</f>
        <v>na</v>
      </c>
      <c r="E176" s="7" t="s">
        <v>195</v>
      </c>
      <c r="F176" s="7" t="s">
        <v>195</v>
      </c>
      <c r="G176" s="7" t="s">
        <v>195</v>
      </c>
      <c r="H176" s="7" t="s">
        <v>195</v>
      </c>
      <c r="I176" s="7" t="s">
        <v>195</v>
      </c>
      <c r="J176" s="7" t="s">
        <v>195</v>
      </c>
      <c r="K176" s="7" t="s">
        <v>195</v>
      </c>
      <c r="L176" s="7" t="s">
        <v>195</v>
      </c>
      <c r="M176" s="7" t="s">
        <v>29</v>
      </c>
      <c r="N176" s="7" t="s">
        <v>29</v>
      </c>
      <c r="O176" s="7" t="s">
        <v>29</v>
      </c>
      <c r="P176" s="7" t="s">
        <v>29</v>
      </c>
      <c r="Q176" s="7" t="s">
        <v>29</v>
      </c>
      <c r="R176" s="7" t="s">
        <v>29</v>
      </c>
      <c r="S176" s="7" t="s">
        <v>29</v>
      </c>
    </row>
    <row r="177" spans="2:19">
      <c r="B177" s="7" t="s">
        <v>195</v>
      </c>
      <c r="C177" s="8" t="s">
        <v>195</v>
      </c>
      <c r="D177" s="5" t="str">
        <f>LRTRIM(CONCATENATE(IF(SUMPRODUCT(-- ISNUMBER(SEARCH({"Auto Number"}, $B177))) &gt; 0, $B177, IF(SUMPRODUCT(-- ISNUMBER(SEARCH({"Lookup","Master-Detail"}, $B177))) &gt; 0,$B177 &amp; "(" &amp; $E177 &amp; ")",IF(SUMPRODUCT(-- ISNUMBER(SEARCH({"Formula","Roll-Up Summary"}, $B177))) &gt; 0,$B177 &amp; " (" &amp; $E177 &amp; ")",IF(SUMPRODUCT(-- ISNUMBER(SEARCH({"Content","Currency","Number","Percent","Text","URL"}, $B177))) &gt; 0,$B177 &amp; "(" &amp; $C177 &amp; ")",$B177)))), "  ", TRIM(IF($S177 = "YES", "(External ID)", "") &amp; " " &amp; IF(SUMPRODUCT(-- ISNUMBER(SEARCH({"Unique","Unique Case Insensitive"}, $R177))) &gt; 0, "(" &amp; $R177 &amp; ")", ""))))</f>
        <v>na</v>
      </c>
      <c r="E177" s="7" t="s">
        <v>195</v>
      </c>
      <c r="F177" s="7" t="s">
        <v>195</v>
      </c>
      <c r="G177" s="7" t="s">
        <v>195</v>
      </c>
      <c r="H177" s="7" t="s">
        <v>195</v>
      </c>
      <c r="I177" s="7" t="s">
        <v>195</v>
      </c>
      <c r="J177" s="7" t="s">
        <v>195</v>
      </c>
      <c r="K177" s="7" t="s">
        <v>195</v>
      </c>
      <c r="L177" s="7" t="s">
        <v>195</v>
      </c>
      <c r="M177" s="7" t="s">
        <v>29</v>
      </c>
      <c r="N177" s="7" t="s">
        <v>29</v>
      </c>
      <c r="O177" s="7" t="s">
        <v>29</v>
      </c>
      <c r="P177" s="7" t="s">
        <v>29</v>
      </c>
      <c r="Q177" s="7" t="s">
        <v>29</v>
      </c>
      <c r="R177" s="7" t="s">
        <v>29</v>
      </c>
      <c r="S177" s="7" t="s">
        <v>29</v>
      </c>
    </row>
    <row r="178" spans="2:19">
      <c r="B178" s="7" t="s">
        <v>195</v>
      </c>
      <c r="C178" s="8" t="s">
        <v>195</v>
      </c>
      <c r="D178" s="5" t="str">
        <f>LRTRIM(CONCATENATE(IF(SUMPRODUCT(-- ISNUMBER(SEARCH({"Auto Number"}, $B178))) &gt; 0, $B178, IF(SUMPRODUCT(-- ISNUMBER(SEARCH({"Lookup","Master-Detail"}, $B178))) &gt; 0,$B178 &amp; "(" &amp; $E178 &amp; ")",IF(SUMPRODUCT(-- ISNUMBER(SEARCH({"Formula","Roll-Up Summary"}, $B178))) &gt; 0,$B178 &amp; " (" &amp; $E178 &amp; ")",IF(SUMPRODUCT(-- ISNUMBER(SEARCH({"Content","Currency","Number","Percent","Text","URL"}, $B178))) &gt; 0,$B178 &amp; "(" &amp; $C178 &amp; ")",$B178)))), "  ", TRIM(IF($S178 = "YES", "(External ID)", "") &amp; " " &amp; IF(SUMPRODUCT(-- ISNUMBER(SEARCH({"Unique","Unique Case Insensitive"}, $R178))) &gt; 0, "(" &amp; $R178 &amp; ")", ""))))</f>
        <v>na</v>
      </c>
      <c r="E178" s="7" t="s">
        <v>195</v>
      </c>
      <c r="F178" s="7" t="s">
        <v>195</v>
      </c>
      <c r="G178" s="7" t="s">
        <v>195</v>
      </c>
      <c r="H178" s="7" t="s">
        <v>195</v>
      </c>
      <c r="I178" s="7" t="s">
        <v>195</v>
      </c>
      <c r="J178" s="7" t="s">
        <v>195</v>
      </c>
      <c r="K178" s="7" t="s">
        <v>195</v>
      </c>
      <c r="L178" s="7" t="s">
        <v>195</v>
      </c>
      <c r="M178" s="7" t="s">
        <v>29</v>
      </c>
      <c r="N178" s="7" t="s">
        <v>29</v>
      </c>
      <c r="O178" s="7" t="s">
        <v>29</v>
      </c>
      <c r="P178" s="7" t="s">
        <v>29</v>
      </c>
      <c r="Q178" s="7" t="s">
        <v>29</v>
      </c>
      <c r="R178" s="7" t="s">
        <v>29</v>
      </c>
      <c r="S178" s="7" t="s">
        <v>29</v>
      </c>
    </row>
    <row r="179" spans="2:19">
      <c r="B179" s="7" t="s">
        <v>195</v>
      </c>
      <c r="C179" s="8" t="s">
        <v>195</v>
      </c>
      <c r="D179" s="5" t="str">
        <f>LRTRIM(CONCATENATE(IF(SUMPRODUCT(-- ISNUMBER(SEARCH({"Auto Number"}, $B179))) &gt; 0, $B179, IF(SUMPRODUCT(-- ISNUMBER(SEARCH({"Lookup","Master-Detail"}, $B179))) &gt; 0,$B179 &amp; "(" &amp; $E179 &amp; ")",IF(SUMPRODUCT(-- ISNUMBER(SEARCH({"Formula","Roll-Up Summary"}, $B179))) &gt; 0,$B179 &amp; " (" &amp; $E179 &amp; ")",IF(SUMPRODUCT(-- ISNUMBER(SEARCH({"Content","Currency","Number","Percent","Text","URL"}, $B179))) &gt; 0,$B179 &amp; "(" &amp; $C179 &amp; ")",$B179)))), "  ", TRIM(IF($S179 = "YES", "(External ID)", "") &amp; " " &amp; IF(SUMPRODUCT(-- ISNUMBER(SEARCH({"Unique","Unique Case Insensitive"}, $R179))) &gt; 0, "(" &amp; $R179 &amp; ")", ""))))</f>
        <v>na</v>
      </c>
      <c r="E179" s="7" t="s">
        <v>195</v>
      </c>
      <c r="F179" s="7" t="s">
        <v>195</v>
      </c>
      <c r="G179" s="7" t="s">
        <v>195</v>
      </c>
      <c r="H179" s="7" t="s">
        <v>195</v>
      </c>
      <c r="I179" s="7" t="s">
        <v>195</v>
      </c>
      <c r="J179" s="7" t="s">
        <v>195</v>
      </c>
      <c r="K179" s="7" t="s">
        <v>195</v>
      </c>
      <c r="L179" s="7" t="s">
        <v>195</v>
      </c>
      <c r="M179" s="7" t="s">
        <v>29</v>
      </c>
      <c r="N179" s="7" t="s">
        <v>29</v>
      </c>
      <c r="O179" s="7" t="s">
        <v>29</v>
      </c>
      <c r="P179" s="7" t="s">
        <v>29</v>
      </c>
      <c r="Q179" s="7" t="s">
        <v>29</v>
      </c>
      <c r="R179" s="7" t="s">
        <v>29</v>
      </c>
      <c r="S179" s="7" t="s">
        <v>29</v>
      </c>
    </row>
    <row r="180" spans="2:19">
      <c r="B180" s="7" t="s">
        <v>195</v>
      </c>
      <c r="C180" s="8" t="s">
        <v>195</v>
      </c>
      <c r="D180" s="5" t="str">
        <f>LRTRIM(CONCATENATE(IF(SUMPRODUCT(-- ISNUMBER(SEARCH({"Auto Number"}, $B180))) &gt; 0, $B180, IF(SUMPRODUCT(-- ISNUMBER(SEARCH({"Lookup","Master-Detail"}, $B180))) &gt; 0,$B180 &amp; "(" &amp; $E180 &amp; ")",IF(SUMPRODUCT(-- ISNUMBER(SEARCH({"Formula","Roll-Up Summary"}, $B180))) &gt; 0,$B180 &amp; " (" &amp; $E180 &amp; ")",IF(SUMPRODUCT(-- ISNUMBER(SEARCH({"Content","Currency","Number","Percent","Text","URL"}, $B180))) &gt; 0,$B180 &amp; "(" &amp; $C180 &amp; ")",$B180)))), "  ", TRIM(IF($S180 = "YES", "(External ID)", "") &amp; " " &amp; IF(SUMPRODUCT(-- ISNUMBER(SEARCH({"Unique","Unique Case Insensitive"}, $R180))) &gt; 0, "(" &amp; $R180 &amp; ")", ""))))</f>
        <v>na</v>
      </c>
      <c r="E180" s="7" t="s">
        <v>195</v>
      </c>
      <c r="F180" s="7" t="s">
        <v>195</v>
      </c>
      <c r="G180" s="7" t="s">
        <v>195</v>
      </c>
      <c r="H180" s="7" t="s">
        <v>195</v>
      </c>
      <c r="I180" s="7" t="s">
        <v>195</v>
      </c>
      <c r="J180" s="7" t="s">
        <v>195</v>
      </c>
      <c r="K180" s="7" t="s">
        <v>195</v>
      </c>
      <c r="L180" s="7" t="s">
        <v>195</v>
      </c>
      <c r="M180" s="7" t="s">
        <v>29</v>
      </c>
      <c r="N180" s="7" t="s">
        <v>29</v>
      </c>
      <c r="O180" s="7" t="s">
        <v>29</v>
      </c>
      <c r="P180" s="7" t="s">
        <v>29</v>
      </c>
      <c r="Q180" s="7" t="s">
        <v>29</v>
      </c>
      <c r="R180" s="7" t="s">
        <v>29</v>
      </c>
      <c r="S180" s="7" t="s">
        <v>29</v>
      </c>
    </row>
    <row r="181" spans="2:19">
      <c r="B181" s="7" t="s">
        <v>195</v>
      </c>
      <c r="C181" s="8" t="s">
        <v>195</v>
      </c>
      <c r="D181" s="5" t="str">
        <f>LRTRIM(CONCATENATE(IF(SUMPRODUCT(-- ISNUMBER(SEARCH({"Auto Number"}, $B181))) &gt; 0, $B181, IF(SUMPRODUCT(-- ISNUMBER(SEARCH({"Lookup","Master-Detail"}, $B181))) &gt; 0,$B181 &amp; "(" &amp; $E181 &amp; ")",IF(SUMPRODUCT(-- ISNUMBER(SEARCH({"Formula","Roll-Up Summary"}, $B181))) &gt; 0,$B181 &amp; " (" &amp; $E181 &amp; ")",IF(SUMPRODUCT(-- ISNUMBER(SEARCH({"Content","Currency","Number","Percent","Text","URL"}, $B181))) &gt; 0,$B181 &amp; "(" &amp; $C181 &amp; ")",$B181)))), "  ", TRIM(IF($S181 = "YES", "(External ID)", "") &amp; " " &amp; IF(SUMPRODUCT(-- ISNUMBER(SEARCH({"Unique","Unique Case Insensitive"}, $R181))) &gt; 0, "(" &amp; $R181 &amp; ")", ""))))</f>
        <v>na</v>
      </c>
      <c r="E181" s="7" t="s">
        <v>195</v>
      </c>
      <c r="F181" s="7" t="s">
        <v>195</v>
      </c>
      <c r="G181" s="7" t="s">
        <v>195</v>
      </c>
      <c r="H181" s="7" t="s">
        <v>195</v>
      </c>
      <c r="I181" s="7" t="s">
        <v>195</v>
      </c>
      <c r="J181" s="7" t="s">
        <v>195</v>
      </c>
      <c r="K181" s="7" t="s">
        <v>195</v>
      </c>
      <c r="L181" s="7" t="s">
        <v>195</v>
      </c>
      <c r="M181" s="7" t="s">
        <v>29</v>
      </c>
      <c r="N181" s="7" t="s">
        <v>29</v>
      </c>
      <c r="O181" s="7" t="s">
        <v>29</v>
      </c>
      <c r="P181" s="7" t="s">
        <v>29</v>
      </c>
      <c r="Q181" s="7" t="s">
        <v>29</v>
      </c>
      <c r="R181" s="7" t="s">
        <v>29</v>
      </c>
      <c r="S181" s="7" t="s">
        <v>29</v>
      </c>
    </row>
    <row r="182" spans="2:19">
      <c r="B182" s="7" t="s">
        <v>195</v>
      </c>
      <c r="C182" s="8" t="s">
        <v>195</v>
      </c>
      <c r="D182" s="5" t="str">
        <f>LRTRIM(CONCATENATE(IF(SUMPRODUCT(-- ISNUMBER(SEARCH({"Auto Number"}, $B182))) &gt; 0, $B182, IF(SUMPRODUCT(-- ISNUMBER(SEARCH({"Lookup","Master-Detail"}, $B182))) &gt; 0,$B182 &amp; "(" &amp; $E182 &amp; ")",IF(SUMPRODUCT(-- ISNUMBER(SEARCH({"Formula","Roll-Up Summary"}, $B182))) &gt; 0,$B182 &amp; " (" &amp; $E182 &amp; ")",IF(SUMPRODUCT(-- ISNUMBER(SEARCH({"Content","Currency","Number","Percent","Text","URL"}, $B182))) &gt; 0,$B182 &amp; "(" &amp; $C182 &amp; ")",$B182)))), "  ", TRIM(IF($S182 = "YES", "(External ID)", "") &amp; " " &amp; IF(SUMPRODUCT(-- ISNUMBER(SEARCH({"Unique","Unique Case Insensitive"}, $R182))) &gt; 0, "(" &amp; $R182 &amp; ")", ""))))</f>
        <v>na</v>
      </c>
      <c r="E182" s="7" t="s">
        <v>195</v>
      </c>
      <c r="F182" s="7" t="s">
        <v>195</v>
      </c>
      <c r="G182" s="7" t="s">
        <v>195</v>
      </c>
      <c r="H182" s="7" t="s">
        <v>195</v>
      </c>
      <c r="I182" s="7" t="s">
        <v>195</v>
      </c>
      <c r="J182" s="7" t="s">
        <v>195</v>
      </c>
      <c r="K182" s="7" t="s">
        <v>195</v>
      </c>
      <c r="L182" s="7" t="s">
        <v>195</v>
      </c>
      <c r="M182" s="7" t="s">
        <v>29</v>
      </c>
      <c r="N182" s="7" t="s">
        <v>29</v>
      </c>
      <c r="O182" s="7" t="s">
        <v>29</v>
      </c>
      <c r="P182" s="7" t="s">
        <v>29</v>
      </c>
      <c r="Q182" s="7" t="s">
        <v>29</v>
      </c>
      <c r="R182" s="7" t="s">
        <v>29</v>
      </c>
      <c r="S182" s="7" t="s">
        <v>29</v>
      </c>
    </row>
    <row r="183" spans="2:19">
      <c r="B183" s="7" t="s">
        <v>195</v>
      </c>
      <c r="C183" s="8" t="s">
        <v>195</v>
      </c>
      <c r="D183" s="5" t="str">
        <f>LRTRIM(CONCATENATE(IF(SUMPRODUCT(-- ISNUMBER(SEARCH({"Auto Number"}, $B183))) &gt; 0, $B183, IF(SUMPRODUCT(-- ISNUMBER(SEARCH({"Lookup","Master-Detail"}, $B183))) &gt; 0,$B183 &amp; "(" &amp; $E183 &amp; ")",IF(SUMPRODUCT(-- ISNUMBER(SEARCH({"Formula","Roll-Up Summary"}, $B183))) &gt; 0,$B183 &amp; " (" &amp; $E183 &amp; ")",IF(SUMPRODUCT(-- ISNUMBER(SEARCH({"Content","Currency","Number","Percent","Text","URL"}, $B183))) &gt; 0,$B183 &amp; "(" &amp; $C183 &amp; ")",$B183)))), "  ", TRIM(IF($S183 = "YES", "(External ID)", "") &amp; " " &amp; IF(SUMPRODUCT(-- ISNUMBER(SEARCH({"Unique","Unique Case Insensitive"}, $R183))) &gt; 0, "(" &amp; $R183 &amp; ")", ""))))</f>
        <v>na</v>
      </c>
      <c r="E183" s="7" t="s">
        <v>195</v>
      </c>
      <c r="F183" s="7" t="s">
        <v>195</v>
      </c>
      <c r="G183" s="7" t="s">
        <v>195</v>
      </c>
      <c r="H183" s="7" t="s">
        <v>195</v>
      </c>
      <c r="I183" s="7" t="s">
        <v>195</v>
      </c>
      <c r="J183" s="7" t="s">
        <v>195</v>
      </c>
      <c r="K183" s="7" t="s">
        <v>195</v>
      </c>
      <c r="L183" s="7" t="s">
        <v>195</v>
      </c>
      <c r="M183" s="7" t="s">
        <v>29</v>
      </c>
      <c r="N183" s="7" t="s">
        <v>29</v>
      </c>
      <c r="O183" s="7" t="s">
        <v>29</v>
      </c>
      <c r="P183" s="7" t="s">
        <v>29</v>
      </c>
      <c r="Q183" s="7" t="s">
        <v>29</v>
      </c>
      <c r="R183" s="7" t="s">
        <v>29</v>
      </c>
      <c r="S183" s="7" t="s">
        <v>29</v>
      </c>
    </row>
    <row r="184" spans="2:19">
      <c r="B184" s="7" t="s">
        <v>195</v>
      </c>
      <c r="C184" s="8" t="s">
        <v>195</v>
      </c>
      <c r="D184" s="5" t="str">
        <f>LRTRIM(CONCATENATE(IF(SUMPRODUCT(-- ISNUMBER(SEARCH({"Auto Number"}, $B184))) &gt; 0, $B184, IF(SUMPRODUCT(-- ISNUMBER(SEARCH({"Lookup","Master-Detail"}, $B184))) &gt; 0,$B184 &amp; "(" &amp; $E184 &amp; ")",IF(SUMPRODUCT(-- ISNUMBER(SEARCH({"Formula","Roll-Up Summary"}, $B184))) &gt; 0,$B184 &amp; " (" &amp; $E184 &amp; ")",IF(SUMPRODUCT(-- ISNUMBER(SEARCH({"Content","Currency","Number","Percent","Text","URL"}, $B184))) &gt; 0,$B184 &amp; "(" &amp; $C184 &amp; ")",$B184)))), "  ", TRIM(IF($S184 = "YES", "(External ID)", "") &amp; " " &amp; IF(SUMPRODUCT(-- ISNUMBER(SEARCH({"Unique","Unique Case Insensitive"}, $R184))) &gt; 0, "(" &amp; $R184 &amp; ")", ""))))</f>
        <v>na</v>
      </c>
      <c r="E184" s="7" t="s">
        <v>195</v>
      </c>
      <c r="F184" s="7" t="s">
        <v>195</v>
      </c>
      <c r="G184" s="7" t="s">
        <v>195</v>
      </c>
      <c r="H184" s="7" t="s">
        <v>195</v>
      </c>
      <c r="I184" s="7" t="s">
        <v>195</v>
      </c>
      <c r="J184" s="7" t="s">
        <v>195</v>
      </c>
      <c r="K184" s="7" t="s">
        <v>195</v>
      </c>
      <c r="L184" s="7" t="s">
        <v>195</v>
      </c>
      <c r="M184" s="7" t="s">
        <v>29</v>
      </c>
      <c r="N184" s="7" t="s">
        <v>29</v>
      </c>
      <c r="O184" s="7" t="s">
        <v>29</v>
      </c>
      <c r="P184" s="7" t="s">
        <v>29</v>
      </c>
      <c r="Q184" s="7" t="s">
        <v>29</v>
      </c>
      <c r="R184" s="7" t="s">
        <v>29</v>
      </c>
      <c r="S184" s="7" t="s">
        <v>29</v>
      </c>
    </row>
    <row r="185" spans="2:19">
      <c r="B185" s="7" t="s">
        <v>195</v>
      </c>
      <c r="C185" s="8" t="s">
        <v>195</v>
      </c>
      <c r="D185" s="5" t="str">
        <f>LRTRIM(CONCATENATE(IF(SUMPRODUCT(-- ISNUMBER(SEARCH({"Auto Number"}, $B185))) &gt; 0, $B185, IF(SUMPRODUCT(-- ISNUMBER(SEARCH({"Lookup","Master-Detail"}, $B185))) &gt; 0,$B185 &amp; "(" &amp; $E185 &amp; ")",IF(SUMPRODUCT(-- ISNUMBER(SEARCH({"Formula","Roll-Up Summary"}, $B185))) &gt; 0,$B185 &amp; " (" &amp; $E185 &amp; ")",IF(SUMPRODUCT(-- ISNUMBER(SEARCH({"Content","Currency","Number","Percent","Text","URL"}, $B185))) &gt; 0,$B185 &amp; "(" &amp; $C185 &amp; ")",$B185)))), "  ", TRIM(IF($S185 = "YES", "(External ID)", "") &amp; " " &amp; IF(SUMPRODUCT(-- ISNUMBER(SEARCH({"Unique","Unique Case Insensitive"}, $R185))) &gt; 0, "(" &amp; $R185 &amp; ")", ""))))</f>
        <v>na</v>
      </c>
      <c r="E185" s="7" t="s">
        <v>195</v>
      </c>
      <c r="F185" s="7" t="s">
        <v>195</v>
      </c>
      <c r="G185" s="7" t="s">
        <v>195</v>
      </c>
      <c r="H185" s="7" t="s">
        <v>195</v>
      </c>
      <c r="I185" s="7" t="s">
        <v>195</v>
      </c>
      <c r="J185" s="7" t="s">
        <v>195</v>
      </c>
      <c r="K185" s="7" t="s">
        <v>195</v>
      </c>
      <c r="L185" s="7" t="s">
        <v>195</v>
      </c>
      <c r="M185" s="7" t="s">
        <v>29</v>
      </c>
      <c r="N185" s="7" t="s">
        <v>29</v>
      </c>
      <c r="O185" s="7" t="s">
        <v>29</v>
      </c>
      <c r="P185" s="7" t="s">
        <v>29</v>
      </c>
      <c r="Q185" s="7" t="s">
        <v>29</v>
      </c>
      <c r="R185" s="7" t="s">
        <v>29</v>
      </c>
      <c r="S185" s="7" t="s">
        <v>29</v>
      </c>
    </row>
    <row r="186" spans="2:19">
      <c r="B186" s="7" t="s">
        <v>195</v>
      </c>
      <c r="C186" s="8" t="s">
        <v>195</v>
      </c>
      <c r="D186" s="5" t="str">
        <f>LRTRIM(CONCATENATE(IF(SUMPRODUCT(-- ISNUMBER(SEARCH({"Auto Number"}, $B186))) &gt; 0, $B186, IF(SUMPRODUCT(-- ISNUMBER(SEARCH({"Lookup","Master-Detail"}, $B186))) &gt; 0,$B186 &amp; "(" &amp; $E186 &amp; ")",IF(SUMPRODUCT(-- ISNUMBER(SEARCH({"Formula","Roll-Up Summary"}, $B186))) &gt; 0,$B186 &amp; " (" &amp; $E186 &amp; ")",IF(SUMPRODUCT(-- ISNUMBER(SEARCH({"Content","Currency","Number","Percent","Text","URL"}, $B186))) &gt; 0,$B186 &amp; "(" &amp; $C186 &amp; ")",$B186)))), "  ", TRIM(IF($S186 = "YES", "(External ID)", "") &amp; " " &amp; IF(SUMPRODUCT(-- ISNUMBER(SEARCH({"Unique","Unique Case Insensitive"}, $R186))) &gt; 0, "(" &amp; $R186 &amp; ")", ""))))</f>
        <v>na</v>
      </c>
      <c r="E186" s="7" t="s">
        <v>195</v>
      </c>
      <c r="F186" s="7" t="s">
        <v>195</v>
      </c>
      <c r="G186" s="7" t="s">
        <v>195</v>
      </c>
      <c r="H186" s="7" t="s">
        <v>195</v>
      </c>
      <c r="I186" s="7" t="s">
        <v>195</v>
      </c>
      <c r="J186" s="7" t="s">
        <v>195</v>
      </c>
      <c r="K186" s="7" t="s">
        <v>195</v>
      </c>
      <c r="L186" s="7" t="s">
        <v>195</v>
      </c>
      <c r="M186" s="7" t="s">
        <v>29</v>
      </c>
      <c r="N186" s="7" t="s">
        <v>29</v>
      </c>
      <c r="O186" s="7" t="s">
        <v>29</v>
      </c>
      <c r="P186" s="7" t="s">
        <v>29</v>
      </c>
      <c r="Q186" s="7" t="s">
        <v>29</v>
      </c>
      <c r="R186" s="7" t="s">
        <v>29</v>
      </c>
      <c r="S186" s="7" t="s">
        <v>29</v>
      </c>
    </row>
    <row r="187" spans="2:19">
      <c r="B187" s="7" t="s">
        <v>195</v>
      </c>
      <c r="C187" s="8" t="s">
        <v>195</v>
      </c>
      <c r="D187" s="5" t="str">
        <f>LRTRIM(CONCATENATE(IF(SUMPRODUCT(-- ISNUMBER(SEARCH({"Auto Number"}, $B187))) &gt; 0, $B187, IF(SUMPRODUCT(-- ISNUMBER(SEARCH({"Lookup","Master-Detail"}, $B187))) &gt; 0,$B187 &amp; "(" &amp; $E187 &amp; ")",IF(SUMPRODUCT(-- ISNUMBER(SEARCH({"Formula","Roll-Up Summary"}, $B187))) &gt; 0,$B187 &amp; " (" &amp; $E187 &amp; ")",IF(SUMPRODUCT(-- ISNUMBER(SEARCH({"Content","Currency","Number","Percent","Text","URL"}, $B187))) &gt; 0,$B187 &amp; "(" &amp; $C187 &amp; ")",$B187)))), "  ", TRIM(IF($S187 = "YES", "(External ID)", "") &amp; " " &amp; IF(SUMPRODUCT(-- ISNUMBER(SEARCH({"Unique","Unique Case Insensitive"}, $R187))) &gt; 0, "(" &amp; $R187 &amp; ")", ""))))</f>
        <v>na</v>
      </c>
      <c r="E187" s="7" t="s">
        <v>195</v>
      </c>
      <c r="F187" s="7" t="s">
        <v>195</v>
      </c>
      <c r="G187" s="7" t="s">
        <v>195</v>
      </c>
      <c r="H187" s="7" t="s">
        <v>195</v>
      </c>
      <c r="I187" s="7" t="s">
        <v>195</v>
      </c>
      <c r="J187" s="7" t="s">
        <v>195</v>
      </c>
      <c r="K187" s="7" t="s">
        <v>195</v>
      </c>
      <c r="L187" s="7" t="s">
        <v>195</v>
      </c>
      <c r="M187" s="7" t="s">
        <v>29</v>
      </c>
      <c r="N187" s="7" t="s">
        <v>29</v>
      </c>
      <c r="O187" s="7" t="s">
        <v>29</v>
      </c>
      <c r="P187" s="7" t="s">
        <v>29</v>
      </c>
      <c r="Q187" s="7" t="s">
        <v>29</v>
      </c>
      <c r="R187" s="7" t="s">
        <v>29</v>
      </c>
      <c r="S187" s="7" t="s">
        <v>29</v>
      </c>
    </row>
    <row r="188" spans="2:19">
      <c r="B188" s="7" t="s">
        <v>195</v>
      </c>
      <c r="C188" s="8" t="s">
        <v>195</v>
      </c>
      <c r="D188" s="5" t="str">
        <f>LRTRIM(CONCATENATE(IF(SUMPRODUCT(-- ISNUMBER(SEARCH({"Auto Number"}, $B188))) &gt; 0, $B188, IF(SUMPRODUCT(-- ISNUMBER(SEARCH({"Lookup","Master-Detail"}, $B188))) &gt; 0,$B188 &amp; "(" &amp; $E188 &amp; ")",IF(SUMPRODUCT(-- ISNUMBER(SEARCH({"Formula","Roll-Up Summary"}, $B188))) &gt; 0,$B188 &amp; " (" &amp; $E188 &amp; ")",IF(SUMPRODUCT(-- ISNUMBER(SEARCH({"Content","Currency","Number","Percent","Text","URL"}, $B188))) &gt; 0,$B188 &amp; "(" &amp; $C188 &amp; ")",$B188)))), "  ", TRIM(IF($S188 = "YES", "(External ID)", "") &amp; " " &amp; IF(SUMPRODUCT(-- ISNUMBER(SEARCH({"Unique","Unique Case Insensitive"}, $R188))) &gt; 0, "(" &amp; $R188 &amp; ")", ""))))</f>
        <v>na</v>
      </c>
      <c r="E188" s="7" t="s">
        <v>195</v>
      </c>
      <c r="F188" s="7" t="s">
        <v>195</v>
      </c>
      <c r="G188" s="7" t="s">
        <v>195</v>
      </c>
      <c r="H188" s="7" t="s">
        <v>195</v>
      </c>
      <c r="I188" s="7" t="s">
        <v>195</v>
      </c>
      <c r="J188" s="7" t="s">
        <v>195</v>
      </c>
      <c r="K188" s="7" t="s">
        <v>195</v>
      </c>
      <c r="L188" s="7" t="s">
        <v>195</v>
      </c>
      <c r="M188" s="7" t="s">
        <v>29</v>
      </c>
      <c r="N188" s="7" t="s">
        <v>29</v>
      </c>
      <c r="O188" s="7" t="s">
        <v>29</v>
      </c>
      <c r="P188" s="7" t="s">
        <v>29</v>
      </c>
      <c r="Q188" s="7" t="s">
        <v>29</v>
      </c>
      <c r="R188" s="7" t="s">
        <v>29</v>
      </c>
      <c r="S188" s="7" t="s">
        <v>29</v>
      </c>
    </row>
    <row r="189" spans="2:19">
      <c r="B189" s="7" t="s">
        <v>195</v>
      </c>
      <c r="C189" s="8" t="s">
        <v>195</v>
      </c>
      <c r="D189" s="5" t="str">
        <f>LRTRIM(CONCATENATE(IF(SUMPRODUCT(-- ISNUMBER(SEARCH({"Auto Number"}, $B189))) &gt; 0, $B189, IF(SUMPRODUCT(-- ISNUMBER(SEARCH({"Lookup","Master-Detail"}, $B189))) &gt; 0,$B189 &amp; "(" &amp; $E189 &amp; ")",IF(SUMPRODUCT(-- ISNUMBER(SEARCH({"Formula","Roll-Up Summary"}, $B189))) &gt; 0,$B189 &amp; " (" &amp; $E189 &amp; ")",IF(SUMPRODUCT(-- ISNUMBER(SEARCH({"Content","Currency","Number","Percent","Text","URL"}, $B189))) &gt; 0,$B189 &amp; "(" &amp; $C189 &amp; ")",$B189)))), "  ", TRIM(IF($S189 = "YES", "(External ID)", "") &amp; " " &amp; IF(SUMPRODUCT(-- ISNUMBER(SEARCH({"Unique","Unique Case Insensitive"}, $R189))) &gt; 0, "(" &amp; $R189 &amp; ")", ""))))</f>
        <v>na</v>
      </c>
      <c r="E189" s="7" t="s">
        <v>195</v>
      </c>
      <c r="F189" s="7" t="s">
        <v>195</v>
      </c>
      <c r="G189" s="7" t="s">
        <v>195</v>
      </c>
      <c r="H189" s="7" t="s">
        <v>195</v>
      </c>
      <c r="I189" s="7" t="s">
        <v>195</v>
      </c>
      <c r="J189" s="7" t="s">
        <v>195</v>
      </c>
      <c r="K189" s="7" t="s">
        <v>195</v>
      </c>
      <c r="L189" s="7" t="s">
        <v>195</v>
      </c>
      <c r="M189" s="7" t="s">
        <v>29</v>
      </c>
      <c r="N189" s="7" t="s">
        <v>29</v>
      </c>
      <c r="O189" s="7" t="s">
        <v>29</v>
      </c>
      <c r="P189" s="7" t="s">
        <v>29</v>
      </c>
      <c r="Q189" s="7" t="s">
        <v>29</v>
      </c>
      <c r="R189" s="7" t="s">
        <v>29</v>
      </c>
      <c r="S189" s="7" t="s">
        <v>29</v>
      </c>
    </row>
    <row r="190" spans="2:19">
      <c r="B190" s="7" t="s">
        <v>195</v>
      </c>
      <c r="C190" s="8" t="s">
        <v>195</v>
      </c>
      <c r="D190" s="5" t="str">
        <f>LRTRIM(CONCATENATE(IF(SUMPRODUCT(-- ISNUMBER(SEARCH({"Auto Number"}, $B190))) &gt; 0, $B190, IF(SUMPRODUCT(-- ISNUMBER(SEARCH({"Lookup","Master-Detail"}, $B190))) &gt; 0,$B190 &amp; "(" &amp; $E190 &amp; ")",IF(SUMPRODUCT(-- ISNUMBER(SEARCH({"Formula","Roll-Up Summary"}, $B190))) &gt; 0,$B190 &amp; " (" &amp; $E190 &amp; ")",IF(SUMPRODUCT(-- ISNUMBER(SEARCH({"Content","Currency","Number","Percent","Text","URL"}, $B190))) &gt; 0,$B190 &amp; "(" &amp; $C190 &amp; ")",$B190)))), "  ", TRIM(IF($S190 = "YES", "(External ID)", "") &amp; " " &amp; IF(SUMPRODUCT(-- ISNUMBER(SEARCH({"Unique","Unique Case Insensitive"}, $R190))) &gt; 0, "(" &amp; $R190 &amp; ")", ""))))</f>
        <v>na</v>
      </c>
      <c r="E190" s="7" t="s">
        <v>195</v>
      </c>
      <c r="F190" s="7" t="s">
        <v>195</v>
      </c>
      <c r="G190" s="7" t="s">
        <v>195</v>
      </c>
      <c r="H190" s="7" t="s">
        <v>195</v>
      </c>
      <c r="I190" s="7" t="s">
        <v>195</v>
      </c>
      <c r="J190" s="7" t="s">
        <v>195</v>
      </c>
      <c r="K190" s="7" t="s">
        <v>195</v>
      </c>
      <c r="L190" s="7" t="s">
        <v>195</v>
      </c>
      <c r="M190" s="7" t="s">
        <v>29</v>
      </c>
      <c r="N190" s="7" t="s">
        <v>29</v>
      </c>
      <c r="O190" s="7" t="s">
        <v>29</v>
      </c>
      <c r="P190" s="7" t="s">
        <v>29</v>
      </c>
      <c r="Q190" s="7" t="s">
        <v>29</v>
      </c>
      <c r="R190" s="7" t="s">
        <v>29</v>
      </c>
      <c r="S190" s="7" t="s">
        <v>29</v>
      </c>
    </row>
    <row r="191" spans="2:19">
      <c r="B191" s="7" t="s">
        <v>195</v>
      </c>
      <c r="C191" s="8" t="s">
        <v>195</v>
      </c>
      <c r="D191" s="5" t="str">
        <f>LRTRIM(CONCATENATE(IF(SUMPRODUCT(-- ISNUMBER(SEARCH({"Auto Number"}, $B191))) &gt; 0, $B191, IF(SUMPRODUCT(-- ISNUMBER(SEARCH({"Lookup","Master-Detail"}, $B191))) &gt; 0,$B191 &amp; "(" &amp; $E191 &amp; ")",IF(SUMPRODUCT(-- ISNUMBER(SEARCH({"Formula","Roll-Up Summary"}, $B191))) &gt; 0,$B191 &amp; " (" &amp; $E191 &amp; ")",IF(SUMPRODUCT(-- ISNUMBER(SEARCH({"Content","Currency","Number","Percent","Text","URL"}, $B191))) &gt; 0,$B191 &amp; "(" &amp; $C191 &amp; ")",$B191)))), "  ", TRIM(IF($S191 = "YES", "(External ID)", "") &amp; " " &amp; IF(SUMPRODUCT(-- ISNUMBER(SEARCH({"Unique","Unique Case Insensitive"}, $R191))) &gt; 0, "(" &amp; $R191 &amp; ")", ""))))</f>
        <v>na</v>
      </c>
      <c r="E191" s="7" t="s">
        <v>195</v>
      </c>
      <c r="F191" s="7" t="s">
        <v>195</v>
      </c>
      <c r="G191" s="7" t="s">
        <v>195</v>
      </c>
      <c r="H191" s="7" t="s">
        <v>195</v>
      </c>
      <c r="I191" s="7" t="s">
        <v>195</v>
      </c>
      <c r="J191" s="7" t="s">
        <v>195</v>
      </c>
      <c r="K191" s="7" t="s">
        <v>195</v>
      </c>
      <c r="L191" s="7" t="s">
        <v>195</v>
      </c>
      <c r="M191" s="7" t="s">
        <v>29</v>
      </c>
      <c r="N191" s="7" t="s">
        <v>29</v>
      </c>
      <c r="O191" s="7" t="s">
        <v>29</v>
      </c>
      <c r="P191" s="7" t="s">
        <v>29</v>
      </c>
      <c r="Q191" s="7" t="s">
        <v>29</v>
      </c>
      <c r="R191" s="7" t="s">
        <v>29</v>
      </c>
      <c r="S191" s="7" t="s">
        <v>29</v>
      </c>
    </row>
    <row r="192" spans="2:19">
      <c r="B192" s="7" t="s">
        <v>195</v>
      </c>
      <c r="C192" s="8" t="s">
        <v>195</v>
      </c>
      <c r="D192" s="5" t="str">
        <f>LRTRIM(CONCATENATE(IF(SUMPRODUCT(-- ISNUMBER(SEARCH({"Auto Number"}, $B192))) &gt; 0, $B192, IF(SUMPRODUCT(-- ISNUMBER(SEARCH({"Lookup","Master-Detail"}, $B192))) &gt; 0,$B192 &amp; "(" &amp; $E192 &amp; ")",IF(SUMPRODUCT(-- ISNUMBER(SEARCH({"Formula","Roll-Up Summary"}, $B192))) &gt; 0,$B192 &amp; " (" &amp; $E192 &amp; ")",IF(SUMPRODUCT(-- ISNUMBER(SEARCH({"Content","Currency","Number","Percent","Text","URL"}, $B192))) &gt; 0,$B192 &amp; "(" &amp; $C192 &amp; ")",$B192)))), "  ", TRIM(IF($S192 = "YES", "(External ID)", "") &amp; " " &amp; IF(SUMPRODUCT(-- ISNUMBER(SEARCH({"Unique","Unique Case Insensitive"}, $R192))) &gt; 0, "(" &amp; $R192 &amp; ")", ""))))</f>
        <v>na</v>
      </c>
      <c r="E192" s="7" t="s">
        <v>195</v>
      </c>
      <c r="F192" s="7" t="s">
        <v>195</v>
      </c>
      <c r="G192" s="7" t="s">
        <v>195</v>
      </c>
      <c r="H192" s="7" t="s">
        <v>195</v>
      </c>
      <c r="I192" s="7" t="s">
        <v>195</v>
      </c>
      <c r="J192" s="7" t="s">
        <v>195</v>
      </c>
      <c r="K192" s="7" t="s">
        <v>195</v>
      </c>
      <c r="L192" s="7" t="s">
        <v>195</v>
      </c>
      <c r="M192" s="7" t="s">
        <v>29</v>
      </c>
      <c r="N192" s="7" t="s">
        <v>29</v>
      </c>
      <c r="O192" s="7" t="s">
        <v>29</v>
      </c>
      <c r="P192" s="7" t="s">
        <v>29</v>
      </c>
      <c r="Q192" s="7" t="s">
        <v>29</v>
      </c>
      <c r="R192" s="7" t="s">
        <v>29</v>
      </c>
      <c r="S192" s="7" t="s">
        <v>29</v>
      </c>
    </row>
    <row r="193" spans="2:19">
      <c r="B193" s="7" t="s">
        <v>195</v>
      </c>
      <c r="C193" s="8" t="s">
        <v>195</v>
      </c>
      <c r="D193" s="5" t="str">
        <f>LRTRIM(CONCATENATE(IF(SUMPRODUCT(-- ISNUMBER(SEARCH({"Auto Number"}, $B193))) &gt; 0, $B193, IF(SUMPRODUCT(-- ISNUMBER(SEARCH({"Lookup","Master-Detail"}, $B193))) &gt; 0,$B193 &amp; "(" &amp; $E193 &amp; ")",IF(SUMPRODUCT(-- ISNUMBER(SEARCH({"Formula","Roll-Up Summary"}, $B193))) &gt; 0,$B193 &amp; " (" &amp; $E193 &amp; ")",IF(SUMPRODUCT(-- ISNUMBER(SEARCH({"Content","Currency","Number","Percent","Text","URL"}, $B193))) &gt; 0,$B193 &amp; "(" &amp; $C193 &amp; ")",$B193)))), "  ", TRIM(IF($S193 = "YES", "(External ID)", "") &amp; " " &amp; IF(SUMPRODUCT(-- ISNUMBER(SEARCH({"Unique","Unique Case Insensitive"}, $R193))) &gt; 0, "(" &amp; $R193 &amp; ")", ""))))</f>
        <v>na</v>
      </c>
      <c r="E193" s="7" t="s">
        <v>195</v>
      </c>
      <c r="F193" s="7" t="s">
        <v>195</v>
      </c>
      <c r="G193" s="7" t="s">
        <v>195</v>
      </c>
      <c r="H193" s="7" t="s">
        <v>195</v>
      </c>
      <c r="I193" s="7" t="s">
        <v>195</v>
      </c>
      <c r="J193" s="7" t="s">
        <v>195</v>
      </c>
      <c r="K193" s="7" t="s">
        <v>195</v>
      </c>
      <c r="L193" s="7" t="s">
        <v>195</v>
      </c>
      <c r="M193" s="7" t="s">
        <v>29</v>
      </c>
      <c r="N193" s="7" t="s">
        <v>29</v>
      </c>
      <c r="O193" s="7" t="s">
        <v>29</v>
      </c>
      <c r="P193" s="7" t="s">
        <v>29</v>
      </c>
      <c r="Q193" s="7" t="s">
        <v>29</v>
      </c>
      <c r="R193" s="7" t="s">
        <v>29</v>
      </c>
      <c r="S193" s="7" t="s">
        <v>29</v>
      </c>
    </row>
    <row r="194" spans="2:19">
      <c r="B194" s="7" t="s">
        <v>195</v>
      </c>
      <c r="C194" s="8" t="s">
        <v>195</v>
      </c>
      <c r="D194" s="5" t="str">
        <f>LRTRIM(CONCATENATE(IF(SUMPRODUCT(-- ISNUMBER(SEARCH({"Auto Number"}, $B194))) &gt; 0, $B194, IF(SUMPRODUCT(-- ISNUMBER(SEARCH({"Lookup","Master-Detail"}, $B194))) &gt; 0,$B194 &amp; "(" &amp; $E194 &amp; ")",IF(SUMPRODUCT(-- ISNUMBER(SEARCH({"Formula","Roll-Up Summary"}, $B194))) &gt; 0,$B194 &amp; " (" &amp; $E194 &amp; ")",IF(SUMPRODUCT(-- ISNUMBER(SEARCH({"Content","Currency","Number","Percent","Text","URL"}, $B194))) &gt; 0,$B194 &amp; "(" &amp; $C194 &amp; ")",$B194)))), "  ", TRIM(IF($S194 = "YES", "(External ID)", "") &amp; " " &amp; IF(SUMPRODUCT(-- ISNUMBER(SEARCH({"Unique","Unique Case Insensitive"}, $R194))) &gt; 0, "(" &amp; $R194 &amp; ")", ""))))</f>
        <v>na</v>
      </c>
      <c r="E194" s="7" t="s">
        <v>195</v>
      </c>
      <c r="F194" s="7" t="s">
        <v>195</v>
      </c>
      <c r="G194" s="7" t="s">
        <v>195</v>
      </c>
      <c r="H194" s="7" t="s">
        <v>195</v>
      </c>
      <c r="I194" s="7" t="s">
        <v>195</v>
      </c>
      <c r="J194" s="7" t="s">
        <v>195</v>
      </c>
      <c r="K194" s="7" t="s">
        <v>195</v>
      </c>
      <c r="L194" s="7" t="s">
        <v>195</v>
      </c>
      <c r="M194" s="7" t="s">
        <v>29</v>
      </c>
      <c r="N194" s="7" t="s">
        <v>29</v>
      </c>
      <c r="O194" s="7" t="s">
        <v>29</v>
      </c>
      <c r="P194" s="7" t="s">
        <v>29</v>
      </c>
      <c r="Q194" s="7" t="s">
        <v>29</v>
      </c>
      <c r="R194" s="7" t="s">
        <v>29</v>
      </c>
      <c r="S194" s="7" t="s">
        <v>29</v>
      </c>
    </row>
    <row r="195" spans="2:19">
      <c r="B195" s="7" t="s">
        <v>195</v>
      </c>
      <c r="C195" s="8" t="s">
        <v>195</v>
      </c>
      <c r="D195" s="5" t="str">
        <f>LRTRIM(CONCATENATE(IF(SUMPRODUCT(-- ISNUMBER(SEARCH({"Auto Number"}, $B195))) &gt; 0, $B195, IF(SUMPRODUCT(-- ISNUMBER(SEARCH({"Lookup","Master-Detail"}, $B195))) &gt; 0,$B195 &amp; "(" &amp; $E195 &amp; ")",IF(SUMPRODUCT(-- ISNUMBER(SEARCH({"Formula","Roll-Up Summary"}, $B195))) &gt; 0,$B195 &amp; " (" &amp; $E195 &amp; ")",IF(SUMPRODUCT(-- ISNUMBER(SEARCH({"Content","Currency","Number","Percent","Text","URL"}, $B195))) &gt; 0,$B195 &amp; "(" &amp; $C195 &amp; ")",$B195)))), "  ", TRIM(IF($S195 = "YES", "(External ID)", "") &amp; " " &amp; IF(SUMPRODUCT(-- ISNUMBER(SEARCH({"Unique","Unique Case Insensitive"}, $R195))) &gt; 0, "(" &amp; $R195 &amp; ")", ""))))</f>
        <v>na</v>
      </c>
      <c r="E195" s="7" t="s">
        <v>195</v>
      </c>
      <c r="F195" s="7" t="s">
        <v>195</v>
      </c>
      <c r="G195" s="7" t="s">
        <v>195</v>
      </c>
      <c r="H195" s="7" t="s">
        <v>195</v>
      </c>
      <c r="I195" s="7" t="s">
        <v>195</v>
      </c>
      <c r="J195" s="7" t="s">
        <v>195</v>
      </c>
      <c r="K195" s="7" t="s">
        <v>195</v>
      </c>
      <c r="L195" s="7" t="s">
        <v>195</v>
      </c>
      <c r="M195" s="7" t="s">
        <v>29</v>
      </c>
      <c r="N195" s="7" t="s">
        <v>29</v>
      </c>
      <c r="O195" s="7" t="s">
        <v>29</v>
      </c>
      <c r="P195" s="7" t="s">
        <v>29</v>
      </c>
      <c r="Q195" s="7" t="s">
        <v>29</v>
      </c>
      <c r="R195" s="7" t="s">
        <v>29</v>
      </c>
      <c r="S195" s="7" t="s">
        <v>29</v>
      </c>
    </row>
    <row r="196" spans="2:19">
      <c r="B196" s="7" t="s">
        <v>195</v>
      </c>
      <c r="C196" s="8" t="s">
        <v>195</v>
      </c>
      <c r="D196" s="5" t="str">
        <f>LRTRIM(CONCATENATE(IF(SUMPRODUCT(-- ISNUMBER(SEARCH({"Auto Number"}, $B196))) &gt; 0, $B196, IF(SUMPRODUCT(-- ISNUMBER(SEARCH({"Lookup","Master-Detail"}, $B196))) &gt; 0,$B196 &amp; "(" &amp; $E196 &amp; ")",IF(SUMPRODUCT(-- ISNUMBER(SEARCH({"Formula","Roll-Up Summary"}, $B196))) &gt; 0,$B196 &amp; " (" &amp; $E196 &amp; ")",IF(SUMPRODUCT(-- ISNUMBER(SEARCH({"Content","Currency","Number","Percent","Text","URL"}, $B196))) &gt; 0,$B196 &amp; "(" &amp; $C196 &amp; ")",$B196)))), "  ", TRIM(IF($S196 = "YES", "(External ID)", "") &amp; " " &amp; IF(SUMPRODUCT(-- ISNUMBER(SEARCH({"Unique","Unique Case Insensitive"}, $R196))) &gt; 0, "(" &amp; $R196 &amp; ")", ""))))</f>
        <v>na</v>
      </c>
      <c r="E196" s="7" t="s">
        <v>195</v>
      </c>
      <c r="F196" s="7" t="s">
        <v>195</v>
      </c>
      <c r="G196" s="7" t="s">
        <v>195</v>
      </c>
      <c r="H196" s="7" t="s">
        <v>195</v>
      </c>
      <c r="I196" s="7" t="s">
        <v>195</v>
      </c>
      <c r="J196" s="7" t="s">
        <v>195</v>
      </c>
      <c r="K196" s="7" t="s">
        <v>195</v>
      </c>
      <c r="L196" s="7" t="s">
        <v>195</v>
      </c>
      <c r="M196" s="7" t="s">
        <v>29</v>
      </c>
      <c r="N196" s="7" t="s">
        <v>29</v>
      </c>
      <c r="O196" s="7" t="s">
        <v>29</v>
      </c>
      <c r="P196" s="7" t="s">
        <v>29</v>
      </c>
      <c r="Q196" s="7" t="s">
        <v>29</v>
      </c>
      <c r="R196" s="7" t="s">
        <v>29</v>
      </c>
      <c r="S196" s="7" t="s">
        <v>29</v>
      </c>
    </row>
    <row r="197" spans="2:19">
      <c r="B197" s="7" t="s">
        <v>195</v>
      </c>
      <c r="C197" s="8" t="s">
        <v>195</v>
      </c>
      <c r="D197" s="5" t="str">
        <f>LRTRIM(CONCATENATE(IF(SUMPRODUCT(-- ISNUMBER(SEARCH({"Auto Number"}, $B197))) &gt; 0, $B197, IF(SUMPRODUCT(-- ISNUMBER(SEARCH({"Lookup","Master-Detail"}, $B197))) &gt; 0,$B197 &amp; "(" &amp; $E197 &amp; ")",IF(SUMPRODUCT(-- ISNUMBER(SEARCH({"Formula","Roll-Up Summary"}, $B197))) &gt; 0,$B197 &amp; " (" &amp; $E197 &amp; ")",IF(SUMPRODUCT(-- ISNUMBER(SEARCH({"Content","Currency","Number","Percent","Text","URL"}, $B197))) &gt; 0,$B197 &amp; "(" &amp; $C197 &amp; ")",$B197)))), "  ", TRIM(IF($S197 = "YES", "(External ID)", "") &amp; " " &amp; IF(SUMPRODUCT(-- ISNUMBER(SEARCH({"Unique","Unique Case Insensitive"}, $R197))) &gt; 0, "(" &amp; $R197 &amp; ")", ""))))</f>
        <v>na</v>
      </c>
      <c r="E197" s="7" t="s">
        <v>195</v>
      </c>
      <c r="F197" s="7" t="s">
        <v>195</v>
      </c>
      <c r="G197" s="7" t="s">
        <v>195</v>
      </c>
      <c r="H197" s="7" t="s">
        <v>195</v>
      </c>
      <c r="I197" s="7" t="s">
        <v>195</v>
      </c>
      <c r="J197" s="7" t="s">
        <v>195</v>
      </c>
      <c r="K197" s="7" t="s">
        <v>195</v>
      </c>
      <c r="L197" s="7" t="s">
        <v>195</v>
      </c>
      <c r="M197" s="7" t="s">
        <v>29</v>
      </c>
      <c r="N197" s="7" t="s">
        <v>29</v>
      </c>
      <c r="O197" s="7" t="s">
        <v>29</v>
      </c>
      <c r="P197" s="7" t="s">
        <v>29</v>
      </c>
      <c r="Q197" s="7" t="s">
        <v>29</v>
      </c>
      <c r="R197" s="7" t="s">
        <v>29</v>
      </c>
      <c r="S197" s="7" t="s">
        <v>29</v>
      </c>
    </row>
    <row r="198" spans="2:19">
      <c r="B198" s="7" t="s">
        <v>195</v>
      </c>
      <c r="C198" s="8" t="s">
        <v>195</v>
      </c>
      <c r="D198" s="5" t="str">
        <f>LRTRIM(CONCATENATE(IF(SUMPRODUCT(-- ISNUMBER(SEARCH({"Auto Number"}, $B198))) &gt; 0, $B198, IF(SUMPRODUCT(-- ISNUMBER(SEARCH({"Lookup","Master-Detail"}, $B198))) &gt; 0,$B198 &amp; "(" &amp; $E198 &amp; ")",IF(SUMPRODUCT(-- ISNUMBER(SEARCH({"Formula","Roll-Up Summary"}, $B198))) &gt; 0,$B198 &amp; " (" &amp; $E198 &amp; ")",IF(SUMPRODUCT(-- ISNUMBER(SEARCH({"Content","Currency","Number","Percent","Text","URL"}, $B198))) &gt; 0,$B198 &amp; "(" &amp; $C198 &amp; ")",$B198)))), "  ", TRIM(IF($S198 = "YES", "(External ID)", "") &amp; " " &amp; IF(SUMPRODUCT(-- ISNUMBER(SEARCH({"Unique","Unique Case Insensitive"}, $R198))) &gt; 0, "(" &amp; $R198 &amp; ")", ""))))</f>
        <v>na</v>
      </c>
      <c r="E198" s="7" t="s">
        <v>195</v>
      </c>
      <c r="F198" s="7" t="s">
        <v>195</v>
      </c>
      <c r="G198" s="7" t="s">
        <v>195</v>
      </c>
      <c r="H198" s="7" t="s">
        <v>195</v>
      </c>
      <c r="I198" s="7" t="s">
        <v>195</v>
      </c>
      <c r="J198" s="7" t="s">
        <v>195</v>
      </c>
      <c r="K198" s="7" t="s">
        <v>195</v>
      </c>
      <c r="L198" s="7" t="s">
        <v>195</v>
      </c>
      <c r="M198" s="7" t="s">
        <v>29</v>
      </c>
      <c r="N198" s="7" t="s">
        <v>29</v>
      </c>
      <c r="O198" s="7" t="s">
        <v>29</v>
      </c>
      <c r="P198" s="7" t="s">
        <v>29</v>
      </c>
      <c r="Q198" s="7" t="s">
        <v>29</v>
      </c>
      <c r="R198" s="7" t="s">
        <v>29</v>
      </c>
      <c r="S198" s="7" t="s">
        <v>29</v>
      </c>
    </row>
    <row r="199" spans="2:19">
      <c r="B199" s="7" t="s">
        <v>195</v>
      </c>
      <c r="C199" s="8" t="s">
        <v>195</v>
      </c>
      <c r="D199" s="5" t="str">
        <f>LRTRIM(CONCATENATE(IF(SUMPRODUCT(-- ISNUMBER(SEARCH({"Auto Number"}, $B199))) &gt; 0, $B199, IF(SUMPRODUCT(-- ISNUMBER(SEARCH({"Lookup","Master-Detail"}, $B199))) &gt; 0,$B199 &amp; "(" &amp; $E199 &amp; ")",IF(SUMPRODUCT(-- ISNUMBER(SEARCH({"Formula","Roll-Up Summary"}, $B199))) &gt; 0,$B199 &amp; " (" &amp; $E199 &amp; ")",IF(SUMPRODUCT(-- ISNUMBER(SEARCH({"Content","Currency","Number","Percent","Text","URL"}, $B199))) &gt; 0,$B199 &amp; "(" &amp; $C199 &amp; ")",$B199)))), "  ", TRIM(IF($S199 = "YES", "(External ID)", "") &amp; " " &amp; IF(SUMPRODUCT(-- ISNUMBER(SEARCH({"Unique","Unique Case Insensitive"}, $R199))) &gt; 0, "(" &amp; $R199 &amp; ")", ""))))</f>
        <v>na</v>
      </c>
      <c r="E199" s="7" t="s">
        <v>195</v>
      </c>
      <c r="F199" s="7" t="s">
        <v>195</v>
      </c>
      <c r="G199" s="7" t="s">
        <v>195</v>
      </c>
      <c r="H199" s="7" t="s">
        <v>195</v>
      </c>
      <c r="I199" s="7" t="s">
        <v>195</v>
      </c>
      <c r="J199" s="7" t="s">
        <v>195</v>
      </c>
      <c r="K199" s="7" t="s">
        <v>195</v>
      </c>
      <c r="L199" s="7" t="s">
        <v>195</v>
      </c>
      <c r="M199" s="7" t="s">
        <v>29</v>
      </c>
      <c r="N199" s="7" t="s">
        <v>29</v>
      </c>
      <c r="O199" s="7" t="s">
        <v>29</v>
      </c>
      <c r="P199" s="7" t="s">
        <v>29</v>
      </c>
      <c r="Q199" s="7" t="s">
        <v>29</v>
      </c>
      <c r="R199" s="7" t="s">
        <v>29</v>
      </c>
      <c r="S199" s="7" t="s">
        <v>29</v>
      </c>
    </row>
    <row r="200" spans="2:19">
      <c r="B200" s="7" t="s">
        <v>195</v>
      </c>
      <c r="C200" s="8" t="s">
        <v>195</v>
      </c>
      <c r="D200" s="5" t="str">
        <f>LRTRIM(CONCATENATE(IF(SUMPRODUCT(-- ISNUMBER(SEARCH({"Auto Number"}, $B200))) &gt; 0, $B200, IF(SUMPRODUCT(-- ISNUMBER(SEARCH({"Lookup","Master-Detail"}, $B200))) &gt; 0,$B200 &amp; "(" &amp; $E200 &amp; ")",IF(SUMPRODUCT(-- ISNUMBER(SEARCH({"Formula","Roll-Up Summary"}, $B200))) &gt; 0,$B200 &amp; " (" &amp; $E200 &amp; ")",IF(SUMPRODUCT(-- ISNUMBER(SEARCH({"Content","Currency","Number","Percent","Text","URL"}, $B200))) &gt; 0,$B200 &amp; "(" &amp; $C200 &amp; ")",$B200)))), "  ", TRIM(IF($S200 = "YES", "(External ID)", "") &amp; " " &amp; IF(SUMPRODUCT(-- ISNUMBER(SEARCH({"Unique","Unique Case Insensitive"}, $R200))) &gt; 0, "(" &amp; $R200 &amp; ")", ""))))</f>
        <v>na</v>
      </c>
      <c r="E200" s="7" t="s">
        <v>195</v>
      </c>
      <c r="F200" s="7" t="s">
        <v>195</v>
      </c>
      <c r="G200" s="7" t="s">
        <v>195</v>
      </c>
      <c r="H200" s="7" t="s">
        <v>195</v>
      </c>
      <c r="I200" s="7" t="s">
        <v>195</v>
      </c>
      <c r="J200" s="7" t="s">
        <v>195</v>
      </c>
      <c r="K200" s="7" t="s">
        <v>195</v>
      </c>
      <c r="L200" s="7" t="s">
        <v>195</v>
      </c>
      <c r="M200" s="7" t="s">
        <v>29</v>
      </c>
      <c r="N200" s="7" t="s">
        <v>29</v>
      </c>
      <c r="O200" s="7" t="s">
        <v>29</v>
      </c>
      <c r="P200" s="7" t="s">
        <v>29</v>
      </c>
      <c r="Q200" s="7" t="s">
        <v>29</v>
      </c>
      <c r="R200" s="7" t="s">
        <v>29</v>
      </c>
      <c r="S200" s="7" t="s">
        <v>29</v>
      </c>
    </row>
  </sheetData>
  <sheetProtection formatCells="0" formatColumns="0" formatRows="0" insertColumns="0" insertRows="0" insertHyperlinks="0" deleteColumns="0" deleteRows="0" sort="0" autoFilter="0" pivotTables="0"/>
  <conditionalFormatting sqref="D2:D19">
    <cfRule type="expression" dxfId="75" priority="3">
      <formula>NOT(_xlfn.ISFORMULA($D2))</formula>
    </cfRule>
  </conditionalFormatting>
  <conditionalFormatting sqref="D20">
    <cfRule type="expression" dxfId="74" priority="2">
      <formula>NOT(_xlfn.ISFORMULA($D20))</formula>
    </cfRule>
  </conditionalFormatting>
  <conditionalFormatting sqref="D21:D200">
    <cfRule type="expression" dxfId="73" priority="1">
      <formula>NOT(_xlfn.ISFORMULA($D21))</formula>
    </cfRule>
  </conditionalFormatting>
  <dataValidations count="1">
    <dataValidation allowBlank="1" showInputMessage="1" showErrorMessage="1" sqref="A2:A19"/>
  </dataValidations>
  <pageMargins left="0.7" right="0.7" top="0.75" bottom="0.75" header="0.3" footer="0.3"/>
  <extLst>
    <ext xmlns:x14="http://schemas.microsoft.com/office/spreadsheetml/2009/9/main" uri="{CCE6A557-97BC-4b89-ADB6-D9C93CAAB3DF}">
      <x14:dataValidations xmlns:xm="http://schemas.microsoft.com/office/excel/2006/main" count="15">
        <x14:dataValidation type="list" allowBlank="1" showInputMessage="1" showErrorMessage="1">
          <x14:formula1>
            <xm:f>OFFSET('Reference Fields'!$J$2,0,0,COUNTA('Reference Fields'!$J:$J)-1)</xm:f>
          </x14:formula1>
          <xm:sqref>Q2:Q200</xm:sqref>
        </x14:dataValidation>
        <x14:dataValidation type="list" allowBlank="1" showInputMessage="1" showErrorMessage="1">
          <x14:formula1>
            <xm:f>OFFSET('Reference Fields'!$J$2,0,0,COUNTA('Reference Fields'!$J:$J)-1)</xm:f>
          </x14:formula1>
          <xm:sqref>M2:M200</xm:sqref>
        </x14:dataValidation>
        <x14:dataValidation type="list" allowBlank="1" showInputMessage="1" showErrorMessage="1">
          <x14:formula1>
            <xm:f>OFFSET('Reference Fields'!$J$2,0,0,COUNTA('Reference Fields'!$J:$J)-1)</xm:f>
          </x14:formula1>
          <xm:sqref>N2:N200</xm:sqref>
        </x14:dataValidation>
        <x14:dataValidation type="list" allowBlank="1" showInputMessage="1" showErrorMessage="1">
          <x14:formula1>
            <xm:f>OFFSET('Reference Fields'!$J$2,0,0,COUNTA('Reference Fields'!$J:$J)-1)</xm:f>
          </x14:formula1>
          <xm:sqref>O2:O200</xm:sqref>
        </x14:dataValidation>
        <x14:dataValidation type="list" allowBlank="1" showInputMessage="1" showErrorMessage="1">
          <x14:formula1>
            <xm:f>OFFSET('Reference Fields'!$J$2,0,0,COUNTA('Reference Fields'!$J:$J)-1)</xm:f>
          </x14:formula1>
          <xm:sqref>P2:P200</xm:sqref>
        </x14:dataValidation>
        <x14:dataValidation type="list" allowBlank="1" showInputMessage="1" showErrorMessage="1">
          <x14:formula1>
            <xm:f>OFFSET('Reference Fields'!$J$2,0,0,COUNTA('Reference Fields'!$J:$J)-1)</xm:f>
          </x14:formula1>
          <xm:sqref>S2:S200</xm:sqref>
        </x14:dataValidation>
        <x14:dataValidation type="list" allowBlank="1" showInputMessage="1" showErrorMessage="1">
          <x14:formula1>
            <xm:f>OFFSET('Reference Fields'!$K$2,0,0,COUNTA('Reference Fields'!$K:$K)-1)</xm:f>
          </x14:formula1>
          <xm:sqref>R2:R200</xm:sqref>
        </x14:dataValidation>
        <x14:dataValidation type="list" allowBlank="1" showInputMessage="1" showErrorMessage="1">
          <x14:formula1>
            <xm:f>OFFSET('Reference Fields'!$B$2,0,0,COUNTA('Reference Fields'!$B:$B)-1)</xm:f>
          </x14:formula1>
          <xm:sqref>B2:B200</xm:sqref>
        </x14:dataValidation>
        <x14:dataValidation type="list" allowBlank="1" showInputMessage="1" showErrorMessage="1">
          <x14:formula1>
            <xm:f>OFFSET('Reference Fields'!$D$2,0,0,COUNTA('Reference Fields'!$D:$D)-1)</xm:f>
          </x14:formula1>
          <xm:sqref>F2:F200</xm:sqref>
        </x14:dataValidation>
        <x14:dataValidation type="list" allowBlank="1" showInputMessage="1" showErrorMessage="1">
          <x14:formula1>
            <xm:f>OFFSET('Reference Fields'!$E$2,0,0,COUNTA('Reference Fields'!$E:$E)-1)</xm:f>
          </x14:formula1>
          <xm:sqref>G2:G200</xm:sqref>
        </x14:dataValidation>
        <x14:dataValidation type="list" allowBlank="1" showInputMessage="1" showErrorMessage="1">
          <x14:formula1>
            <xm:f>OFFSET('Reference Fields'!$F$2,0,0,COUNTA('Reference Fields'!$F:$F)-1)</xm:f>
          </x14:formula1>
          <xm:sqref>H2:H200</xm:sqref>
        </x14:dataValidation>
        <x14:dataValidation type="list" allowBlank="1" showInputMessage="1" showErrorMessage="1">
          <x14:formula1>
            <xm:f>OFFSET('Reference Fields'!$F$2,0,0,COUNTA('Reference Fields'!$F:$F)-1)</xm:f>
          </x14:formula1>
          <xm:sqref>I2:I200</xm:sqref>
        </x14:dataValidation>
        <x14:dataValidation type="list" allowBlank="1" showInputMessage="1" showErrorMessage="1">
          <x14:formula1>
            <xm:f>OFFSET('Reference Fields'!$G$2,0,0,COUNTA('Reference Fields'!$G:$G)-1)</xm:f>
          </x14:formula1>
          <xm:sqref>J2:J200</xm:sqref>
        </x14:dataValidation>
        <x14:dataValidation type="list" allowBlank="1" showInputMessage="1" showErrorMessage="1">
          <x14:formula1>
            <xm:f>OFFSET('Reference Fields'!$H$2,0,0,COUNTA('Reference Fields'!$H:$H)-1)</xm:f>
          </x14:formula1>
          <xm:sqref>K2:K200</xm:sqref>
        </x14:dataValidation>
        <x14:dataValidation type="list" allowBlank="1" showInputMessage="1" showErrorMessage="1">
          <x14:formula1>
            <xm:f>OFFSET('Reference Fields'!$I$2,0,0,COUNTA('Reference Fields'!$I:$I)-1)</xm:f>
          </x14:formula1>
          <xm:sqref>L2:L200</xm:sqref>
        </x14:dataValidation>
      </x14:dataValidations>
    </ext>
  </extLst>
</worksheet>
</file>

<file path=xl/worksheets/sheet15.xml><?xml version="1.0" encoding="utf-8"?>
<worksheet xmlns="http://schemas.openxmlformats.org/spreadsheetml/2006/main" xmlns:r="http://schemas.openxmlformats.org/officeDocument/2006/relationships">
  <sheetPr codeName="Sheet11"/>
  <dimension ref="A1:S200"/>
  <sheetViews>
    <sheetView workbookViewId="0">
      <pane ySplit="1" topLeftCell="A2" activePane="bottomLeft" state="frozen"/>
      <selection pane="bottomLeft" activeCell="A2" sqref="A2"/>
    </sheetView>
  </sheetViews>
  <sheetFormatPr defaultRowHeight="14.5"/>
  <cols>
    <col min="1" max="1" width="23" bestFit="1" customWidth="1"/>
    <col min="2" max="2" width="13.54296875" customWidth="1"/>
    <col min="3" max="4" width="8.90625" customWidth="1"/>
    <col min="5" max="5" width="12.6328125" customWidth="1"/>
    <col min="6" max="6" width="15.6328125" bestFit="1" customWidth="1"/>
    <col min="7" max="8" width="15.453125" customWidth="1"/>
    <col min="9" max="9" width="22.6328125" customWidth="1"/>
    <col min="10" max="10" width="23.36328125" customWidth="1"/>
    <col min="11" max="11" width="17.54296875" customWidth="1"/>
    <col min="12" max="12" width="14.08984375" customWidth="1"/>
    <col min="13" max="13" width="10.453125" bestFit="1" customWidth="1"/>
    <col min="14" max="14" width="10.453125" customWidth="1"/>
    <col min="15" max="15" width="12.453125" bestFit="1" customWidth="1"/>
  </cols>
  <sheetData>
    <row r="1" spans="1:19" s="1" customFormat="1">
      <c r="A1" s="1" t="s">
        <v>2</v>
      </c>
      <c r="B1" s="1" t="s">
        <v>1198</v>
      </c>
      <c r="C1" s="1" t="s">
        <v>1199</v>
      </c>
      <c r="D1" s="1" t="s">
        <v>0</v>
      </c>
      <c r="E1" s="1" t="s">
        <v>1</v>
      </c>
      <c r="F1" s="1" t="s">
        <v>30</v>
      </c>
      <c r="G1" s="1" t="s">
        <v>31</v>
      </c>
      <c r="H1" s="1" t="s">
        <v>1262</v>
      </c>
      <c r="I1" s="1" t="s">
        <v>49</v>
      </c>
      <c r="J1" s="1" t="s">
        <v>48</v>
      </c>
      <c r="K1" s="1" t="s">
        <v>54</v>
      </c>
      <c r="L1" s="1" t="s">
        <v>55</v>
      </c>
      <c r="M1" s="1" t="s">
        <v>27</v>
      </c>
      <c r="N1" s="1" t="s">
        <v>175</v>
      </c>
      <c r="O1" s="1" t="s">
        <v>193</v>
      </c>
      <c r="P1" s="1" t="s">
        <v>1221</v>
      </c>
      <c r="Q1" s="1" t="s">
        <v>1264</v>
      </c>
      <c r="R1" s="1" t="s">
        <v>1263</v>
      </c>
      <c r="S1" s="1" t="s">
        <v>1265</v>
      </c>
    </row>
    <row r="2" spans="1:19">
      <c r="A2" s="7" t="s">
        <v>388</v>
      </c>
      <c r="B2" s="7" t="s">
        <v>1218</v>
      </c>
      <c r="C2" s="8">
        <v>40</v>
      </c>
      <c r="D2" s="5" t="str">
        <f>LRTRIM(CONCATENATE(IF(SUMPRODUCT(-- ISNUMBER(SEARCH({"Auto Number"}, $B2))) &gt; 0, $B2, IF(SUMPRODUCT(-- ISNUMBER(SEARCH({"Lookup","Master-Detail"}, $B2))) &gt; 0,$B2 &amp; "(" &amp; $E2 &amp; ")",IF(SUMPRODUCT(-- ISNUMBER(SEARCH({"Formula","Roll-Up Summary"}, $B2))) &gt; 0,$B2 &amp; " (" &amp; $E2 &amp; ")",IF(SUMPRODUCT(-- ISNUMBER(SEARCH({"Content","Currency","Number","Percent","Text","URL"}, $B2))) &gt; 0,$B2 &amp; "(" &amp; $C2 &amp; ")",$B2)))), "  ", TRIM(IF($S2 = "YES", "(External ID)", "") &amp; " " &amp; IF(SUMPRODUCT(-- ISNUMBER(SEARCH({"Unique","Unique Case Insensitive"}, $R2))) &gt; 0, "(" &amp; $R2 &amp; ")", ""))))</f>
        <v>Text(40)</v>
      </c>
      <c r="E2" s="7" t="s">
        <v>195</v>
      </c>
      <c r="F2" s="7" t="s">
        <v>407</v>
      </c>
      <c r="G2" s="7" t="s">
        <v>423</v>
      </c>
      <c r="H2" s="7" t="s">
        <v>195</v>
      </c>
      <c r="I2" s="7" t="s">
        <v>195</v>
      </c>
      <c r="J2" s="7" t="s">
        <v>195</v>
      </c>
      <c r="K2" s="7" t="s">
        <v>195</v>
      </c>
      <c r="L2" s="7" t="s">
        <v>195</v>
      </c>
      <c r="M2" s="7" t="s">
        <v>29</v>
      </c>
      <c r="N2" s="7" t="s">
        <v>29</v>
      </c>
      <c r="O2" s="7" t="s">
        <v>29</v>
      </c>
      <c r="P2" s="7" t="s">
        <v>29</v>
      </c>
      <c r="Q2" s="7" t="s">
        <v>29</v>
      </c>
      <c r="R2" s="7" t="s">
        <v>29</v>
      </c>
      <c r="S2" s="7" t="s">
        <v>29</v>
      </c>
    </row>
    <row r="3" spans="1:19">
      <c r="A3" s="7" t="s">
        <v>389</v>
      </c>
      <c r="B3" s="7" t="s">
        <v>1218</v>
      </c>
      <c r="C3" s="8">
        <v>40</v>
      </c>
      <c r="D3" s="5" t="str">
        <f>LRTRIM(CONCATENATE(IF(SUMPRODUCT(-- ISNUMBER(SEARCH({"Auto Number"}, $B3))) &gt; 0, $B3, IF(SUMPRODUCT(-- ISNUMBER(SEARCH({"Lookup","Master-Detail"}, $B3))) &gt; 0,$B3 &amp; "(" &amp; $E3 &amp; ")",IF(SUMPRODUCT(-- ISNUMBER(SEARCH({"Formula","Roll-Up Summary"}, $B3))) &gt; 0,$B3 &amp; " (" &amp; $E3 &amp; ")",IF(SUMPRODUCT(-- ISNUMBER(SEARCH({"Content","Currency","Number","Percent","Text","URL"}, $B3))) &gt; 0,$B3 &amp; "(" &amp; $C3 &amp; ")",$B3)))), "  ", TRIM(IF($S3 = "YES", "(External ID)", "") &amp; " " &amp; IF(SUMPRODUCT(-- ISNUMBER(SEARCH({"Unique","Unique Case Insensitive"}, $R3))) &gt; 0, "(" &amp; $R3 &amp; ")", ""))))</f>
        <v>Text(40)</v>
      </c>
      <c r="E3" s="7" t="s">
        <v>195</v>
      </c>
      <c r="F3" s="7" t="s">
        <v>408</v>
      </c>
      <c r="G3" s="7" t="s">
        <v>424</v>
      </c>
      <c r="H3" s="7" t="s">
        <v>195</v>
      </c>
      <c r="I3" s="7" t="s">
        <v>195</v>
      </c>
      <c r="J3" s="7" t="s">
        <v>195</v>
      </c>
      <c r="K3" s="7" t="s">
        <v>195</v>
      </c>
      <c r="L3" s="7" t="s">
        <v>195</v>
      </c>
      <c r="M3" s="7" t="s">
        <v>29</v>
      </c>
      <c r="N3" s="7" t="s">
        <v>29</v>
      </c>
      <c r="O3" s="7" t="s">
        <v>29</v>
      </c>
      <c r="P3" s="7" t="s">
        <v>29</v>
      </c>
      <c r="Q3" s="7" t="s">
        <v>29</v>
      </c>
      <c r="R3" s="7" t="s">
        <v>29</v>
      </c>
      <c r="S3" s="7" t="s">
        <v>29</v>
      </c>
    </row>
    <row r="4" spans="1:19">
      <c r="A4" s="7" t="s">
        <v>562</v>
      </c>
      <c r="B4" s="7" t="s">
        <v>1215</v>
      </c>
      <c r="C4" s="8">
        <v>0</v>
      </c>
      <c r="D4" s="5" t="str">
        <f>LRTRIM(CONCATENATE(IF(SUMPRODUCT(-- ISNUMBER(SEARCH({"Auto Number"}, $B4))) &gt; 0, $B4, IF(SUMPRODUCT(-- ISNUMBER(SEARCH({"Lookup","Master-Detail"}, $B4))) &gt; 0,$B4 &amp; "(" &amp; $E4 &amp; ")",IF(SUMPRODUCT(-- ISNUMBER(SEARCH({"Formula","Roll-Up Summary"}, $B4))) &gt; 0,$B4 &amp; " (" &amp; $E4 &amp; ")",IF(SUMPRODUCT(-- ISNUMBER(SEARCH({"Content","Currency","Number","Percent","Text","URL"}, $B4))) &gt; 0,$B4 &amp; "(" &amp; $C4 &amp; ")",$B4)))), "  ", TRIM(IF($S4 = "YES", "(External ID)", "") &amp; " " &amp; IF(SUMPRODUCT(-- ISNUMBER(SEARCH({"Unique","Unique Case Insensitive"}, $R4))) &gt; 0, "(" &amp; $R4 &amp; ")", ""))))</f>
        <v>Picklist</v>
      </c>
      <c r="E4" s="7" t="s">
        <v>195</v>
      </c>
      <c r="F4" s="7" t="s">
        <v>595</v>
      </c>
      <c r="G4" s="7" t="s">
        <v>211</v>
      </c>
      <c r="H4" s="7" t="s">
        <v>195</v>
      </c>
      <c r="I4" s="7" t="s">
        <v>588</v>
      </c>
      <c r="J4" s="7" t="s">
        <v>195</v>
      </c>
      <c r="K4" s="7" t="s">
        <v>195</v>
      </c>
      <c r="L4" s="7" t="s">
        <v>195</v>
      </c>
      <c r="M4" s="7" t="s">
        <v>29</v>
      </c>
      <c r="N4" s="7" t="s">
        <v>29</v>
      </c>
      <c r="O4" s="7" t="s">
        <v>29</v>
      </c>
      <c r="P4" s="7" t="s">
        <v>29</v>
      </c>
      <c r="Q4" s="7" t="s">
        <v>29</v>
      </c>
      <c r="R4" s="7" t="s">
        <v>29</v>
      </c>
      <c r="S4" s="7" t="s">
        <v>29</v>
      </c>
    </row>
    <row r="5" spans="1:19">
      <c r="A5" s="7" t="s">
        <v>563</v>
      </c>
      <c r="B5" s="7" t="s">
        <v>1215</v>
      </c>
      <c r="C5" s="8">
        <v>0</v>
      </c>
      <c r="D5" s="5" t="str">
        <f>LRTRIM(CONCATENATE(IF(SUMPRODUCT(-- ISNUMBER(SEARCH({"Auto Number"}, $B5))) &gt; 0, $B5, IF(SUMPRODUCT(-- ISNUMBER(SEARCH({"Lookup","Master-Detail"}, $B5))) &gt; 0,$B5 &amp; "(" &amp; $E5 &amp; ")",IF(SUMPRODUCT(-- ISNUMBER(SEARCH({"Formula","Roll-Up Summary"}, $B5))) &gt; 0,$B5 &amp; " (" &amp; $E5 &amp; ")",IF(SUMPRODUCT(-- ISNUMBER(SEARCH({"Content","Currency","Number","Percent","Text","URL"}, $B5))) &gt; 0,$B5 &amp; "(" &amp; $C5 &amp; ")",$B5)))), "  ", TRIM(IF($S5 = "YES", "(External ID)", "") &amp; " " &amp; IF(SUMPRODUCT(-- ISNUMBER(SEARCH({"Unique","Unique Case Insensitive"}, $R5))) &gt; 0, "(" &amp; $R5 &amp; ")", ""))))</f>
        <v>Picklist</v>
      </c>
      <c r="E5" s="7" t="s">
        <v>195</v>
      </c>
      <c r="F5" s="7" t="s">
        <v>596</v>
      </c>
      <c r="G5" s="7" t="s">
        <v>617</v>
      </c>
      <c r="H5" s="7" t="s">
        <v>195</v>
      </c>
      <c r="I5" s="7" t="s">
        <v>589</v>
      </c>
      <c r="J5" s="7" t="s">
        <v>195</v>
      </c>
      <c r="K5" s="7" t="s">
        <v>195</v>
      </c>
      <c r="L5" s="7" t="s">
        <v>195</v>
      </c>
      <c r="M5" s="7" t="s">
        <v>29</v>
      </c>
      <c r="N5" s="7" t="s">
        <v>29</v>
      </c>
      <c r="O5" s="7" t="s">
        <v>29</v>
      </c>
      <c r="P5" s="7" t="s">
        <v>29</v>
      </c>
      <c r="Q5" s="7" t="s">
        <v>29</v>
      </c>
      <c r="R5" s="7" t="s">
        <v>29</v>
      </c>
      <c r="S5" s="7" t="s">
        <v>29</v>
      </c>
    </row>
    <row r="6" spans="1:19">
      <c r="A6" s="7" t="s">
        <v>9</v>
      </c>
      <c r="B6" s="7" t="s">
        <v>1218</v>
      </c>
      <c r="C6" s="8">
        <v>50</v>
      </c>
      <c r="D6" s="5" t="str">
        <f>LRTRIM(CONCATENATE(IF(SUMPRODUCT(-- ISNUMBER(SEARCH({"Auto Number"}, $B6))) &gt; 0, $B6, IF(SUMPRODUCT(-- ISNUMBER(SEARCH({"Lookup","Master-Detail"}, $B6))) &gt; 0,$B6 &amp; "(" &amp; $E6 &amp; ")",IF(SUMPRODUCT(-- ISNUMBER(SEARCH({"Formula","Roll-Up Summary"}, $B6))) &gt; 0,$B6 &amp; " (" &amp; $E6 &amp; ")",IF(SUMPRODUCT(-- ISNUMBER(SEARCH({"Content","Currency","Number","Percent","Text","URL"}, $B6))) &gt; 0,$B6 &amp; "(" &amp; $C6 &amp; ")",$B6)))), "  ", TRIM(IF($S6 = "YES", "(External ID)", "") &amp; " " &amp; IF(SUMPRODUCT(-- ISNUMBER(SEARCH({"Unique","Unique Case Insensitive"}, $R6))) &gt; 0, "(" &amp; $R6 &amp; ")", ""))))</f>
        <v>Text(50)</v>
      </c>
      <c r="E6" s="7" t="s">
        <v>195</v>
      </c>
      <c r="F6" s="7" t="s">
        <v>18</v>
      </c>
      <c r="G6" s="7" t="s">
        <v>195</v>
      </c>
      <c r="H6" s="7" t="s">
        <v>195</v>
      </c>
      <c r="I6" s="7" t="s">
        <v>195</v>
      </c>
      <c r="J6" s="7" t="s">
        <v>195</v>
      </c>
      <c r="K6" s="7" t="s">
        <v>195</v>
      </c>
      <c r="L6" s="7" t="s">
        <v>195</v>
      </c>
      <c r="M6" s="7" t="s">
        <v>29</v>
      </c>
      <c r="N6" s="7" t="s">
        <v>29</v>
      </c>
      <c r="O6" s="7" t="s">
        <v>29</v>
      </c>
      <c r="P6" s="7" t="s">
        <v>29</v>
      </c>
      <c r="Q6" s="7" t="s">
        <v>29</v>
      </c>
      <c r="R6" s="7" t="s">
        <v>29</v>
      </c>
      <c r="S6" s="7" t="s">
        <v>29</v>
      </c>
    </row>
    <row r="7" spans="1:19">
      <c r="A7" s="7" t="s">
        <v>1392</v>
      </c>
      <c r="B7" s="7" t="s">
        <v>1218</v>
      </c>
      <c r="C7" s="8">
        <v>255</v>
      </c>
      <c r="D7" s="5" t="str">
        <f>LRTRIM(CONCATENATE(IF(SUMPRODUCT(-- ISNUMBER(SEARCH({"Auto Number"}, $B7))) &gt; 0, $B7, IF(SUMPRODUCT(-- ISNUMBER(SEARCH({"Lookup","Master-Detail"}, $B7))) &gt; 0,$B7 &amp; "(" &amp; $E7 &amp; ")",IF(SUMPRODUCT(-- ISNUMBER(SEARCH({"Formula","Roll-Up Summary"}, $B7))) &gt; 0,$B7 &amp; " (" &amp; $E7 &amp; ")",IF(SUMPRODUCT(-- ISNUMBER(SEARCH({"Content","Currency","Number","Percent","Text","URL"}, $B7))) &gt; 0,$B7 &amp; "(" &amp; $C7 &amp; ")",$B7)))), "  ", TRIM(IF($S7 = "YES", "(External ID)", "") &amp; " " &amp; IF(SUMPRODUCT(-- ISNUMBER(SEARCH({"Unique","Unique Case Insensitive"}, $R7))) &gt; 0, "(" &amp; $R7 &amp; ")", ""))))</f>
        <v>Text(255)</v>
      </c>
      <c r="E7" s="7" t="s">
        <v>195</v>
      </c>
      <c r="F7" s="7" t="s">
        <v>597</v>
      </c>
      <c r="G7" s="7" t="s">
        <v>619</v>
      </c>
      <c r="H7" s="7" t="s">
        <v>195</v>
      </c>
      <c r="I7" s="7" t="s">
        <v>195</v>
      </c>
      <c r="J7" s="7" t="s">
        <v>195</v>
      </c>
      <c r="K7" s="7" t="s">
        <v>195</v>
      </c>
      <c r="L7" s="7" t="s">
        <v>195</v>
      </c>
      <c r="M7" s="7" t="s">
        <v>29</v>
      </c>
      <c r="N7" s="7" t="s">
        <v>29</v>
      </c>
      <c r="O7" s="7" t="s">
        <v>29</v>
      </c>
      <c r="P7" s="7" t="s">
        <v>29</v>
      </c>
      <c r="Q7" s="7" t="s">
        <v>29</v>
      </c>
      <c r="R7" s="7" t="s">
        <v>29</v>
      </c>
      <c r="S7" s="7" t="s">
        <v>29</v>
      </c>
    </row>
    <row r="8" spans="1:19">
      <c r="A8" s="7" t="s">
        <v>566</v>
      </c>
      <c r="B8" s="7" t="s">
        <v>1218</v>
      </c>
      <c r="C8" s="8">
        <v>255</v>
      </c>
      <c r="D8" s="5" t="str">
        <f>LRTRIM(CONCATENATE(IF(SUMPRODUCT(-- ISNUMBER(SEARCH({"Auto Number"}, $B8))) &gt; 0, $B8, IF(SUMPRODUCT(-- ISNUMBER(SEARCH({"Lookup","Master-Detail"}, $B8))) &gt; 0,$B8 &amp; "(" &amp; $E8 &amp; ")",IF(SUMPRODUCT(-- ISNUMBER(SEARCH({"Formula","Roll-Up Summary"}, $B8))) &gt; 0,$B8 &amp; " (" &amp; $E8 &amp; ")",IF(SUMPRODUCT(-- ISNUMBER(SEARCH({"Content","Currency","Number","Percent","Text","URL"}, $B8))) &gt; 0,$B8 &amp; "(" &amp; $C8 &amp; ")",$B8)))), "  ", TRIM(IF($S8 = "YES", "(External ID)", "") &amp; " " &amp; IF(SUMPRODUCT(-- ISNUMBER(SEARCH({"Unique","Unique Case Insensitive"}, $R8))) &gt; 0, "(" &amp; $R8 &amp; ")", ""))))</f>
        <v>Text(255)</v>
      </c>
      <c r="E8" s="7" t="s">
        <v>195</v>
      </c>
      <c r="F8" s="7" t="s">
        <v>598</v>
      </c>
      <c r="G8" s="7" t="s">
        <v>620</v>
      </c>
      <c r="H8" s="7" t="s">
        <v>195</v>
      </c>
      <c r="I8" s="7" t="s">
        <v>195</v>
      </c>
      <c r="J8" s="7" t="s">
        <v>195</v>
      </c>
      <c r="K8" s="7" t="s">
        <v>195</v>
      </c>
      <c r="L8" s="7" t="s">
        <v>195</v>
      </c>
      <c r="M8" s="7" t="s">
        <v>29</v>
      </c>
      <c r="N8" s="7" t="s">
        <v>29</v>
      </c>
      <c r="O8" s="7" t="s">
        <v>29</v>
      </c>
      <c r="P8" s="7" t="s">
        <v>29</v>
      </c>
      <c r="Q8" s="7" t="s">
        <v>29</v>
      </c>
      <c r="R8" s="7" t="s">
        <v>29</v>
      </c>
      <c r="S8" s="7" t="s">
        <v>29</v>
      </c>
    </row>
    <row r="9" spans="1:19">
      <c r="A9" s="7" t="s">
        <v>103</v>
      </c>
      <c r="B9" s="7" t="s">
        <v>1218</v>
      </c>
      <c r="C9" s="8">
        <v>80</v>
      </c>
      <c r="D9" s="5" t="str">
        <f>LRTRIM(CONCATENATE(IF(SUMPRODUCT(-- ISNUMBER(SEARCH({"Auto Number"}, $B9))) &gt; 0, $B9, IF(SUMPRODUCT(-- ISNUMBER(SEARCH({"Lookup","Master-Detail"}, $B9))) &gt; 0,$B9 &amp; "(" &amp; $E9 &amp; ")",IF(SUMPRODUCT(-- ISNUMBER(SEARCH({"Formula","Roll-Up Summary"}, $B9))) &gt; 0,$B9 &amp; " (" &amp; $E9 &amp; ")",IF(SUMPRODUCT(-- ISNUMBER(SEARCH({"Content","Currency","Number","Percent","Text","URL"}, $B9))) &gt; 0,$B9 &amp; "(" &amp; $C9 &amp; ")",$B9)))), "  ", TRIM(IF($S9 = "YES", "(External ID)", "") &amp; " " &amp; IF(SUMPRODUCT(-- ISNUMBER(SEARCH({"Unique","Unique Case Insensitive"}, $R9))) &gt; 0, "(" &amp; $R9 &amp; ")", ""))))</f>
        <v>Text(80)</v>
      </c>
      <c r="E9" s="7" t="s">
        <v>195</v>
      </c>
      <c r="F9" s="7" t="s">
        <v>202</v>
      </c>
      <c r="G9" s="7" t="s">
        <v>621</v>
      </c>
      <c r="H9" s="7" t="s">
        <v>195</v>
      </c>
      <c r="I9" s="7" t="s">
        <v>195</v>
      </c>
      <c r="J9" s="7" t="s">
        <v>195</v>
      </c>
      <c r="K9" s="7" t="s">
        <v>195</v>
      </c>
      <c r="L9" s="7" t="s">
        <v>195</v>
      </c>
      <c r="M9" s="7" t="s">
        <v>29</v>
      </c>
      <c r="N9" s="7" t="s">
        <v>29</v>
      </c>
      <c r="O9" s="7" t="s">
        <v>29</v>
      </c>
      <c r="P9" s="7" t="s">
        <v>29</v>
      </c>
      <c r="Q9" s="7" t="s">
        <v>29</v>
      </c>
      <c r="R9" s="7" t="s">
        <v>29</v>
      </c>
      <c r="S9" s="7" t="s">
        <v>29</v>
      </c>
    </row>
    <row r="10" spans="1:19">
      <c r="A10" s="7" t="s">
        <v>1393</v>
      </c>
      <c r="B10" s="7" t="s">
        <v>1218</v>
      </c>
      <c r="C10" s="8">
        <v>255</v>
      </c>
      <c r="D10" s="5" t="str">
        <f>LRTRIM(CONCATENATE(IF(SUMPRODUCT(-- ISNUMBER(SEARCH({"Auto Number"}, $B10))) &gt; 0, $B10, IF(SUMPRODUCT(-- ISNUMBER(SEARCH({"Lookup","Master-Detail"}, $B10))) &gt; 0,$B10 &amp; "(" &amp; $E10 &amp; ")",IF(SUMPRODUCT(-- ISNUMBER(SEARCH({"Formula","Roll-Up Summary"}, $B10))) &gt; 0,$B10 &amp; " (" &amp; $E10 &amp; ")",IF(SUMPRODUCT(-- ISNUMBER(SEARCH({"Content","Currency","Number","Percent","Text","URL"}, $B10))) &gt; 0,$B10 &amp; "(" &amp; $C10 &amp; ")",$B10)))), "  ", TRIM(IF($S10 = "YES", "(External ID)", "") &amp; " " &amp; IF(SUMPRODUCT(-- ISNUMBER(SEARCH({"Unique","Unique Case Insensitive"}, $R10))) &gt; 0, "(" &amp; $R10 &amp; ")", ""))))</f>
        <v>Text(255)</v>
      </c>
      <c r="E10" s="7" t="s">
        <v>195</v>
      </c>
      <c r="F10" s="7" t="s">
        <v>1252</v>
      </c>
      <c r="G10" s="7" t="s">
        <v>622</v>
      </c>
      <c r="H10" s="7" t="s">
        <v>195</v>
      </c>
      <c r="I10" s="7" t="s">
        <v>195</v>
      </c>
      <c r="J10" s="7" t="s">
        <v>195</v>
      </c>
      <c r="K10" s="7" t="s">
        <v>195</v>
      </c>
      <c r="L10" s="7" t="s">
        <v>195</v>
      </c>
      <c r="M10" s="7" t="s">
        <v>29</v>
      </c>
      <c r="N10" s="7" t="s">
        <v>29</v>
      </c>
      <c r="O10" s="7" t="s">
        <v>29</v>
      </c>
      <c r="P10" s="7" t="s">
        <v>29</v>
      </c>
      <c r="Q10" s="7" t="s">
        <v>29</v>
      </c>
      <c r="R10" s="7" t="s">
        <v>29</v>
      </c>
      <c r="S10" s="7" t="s">
        <v>29</v>
      </c>
    </row>
    <row r="11" spans="1:19">
      <c r="A11" s="7" t="s">
        <v>569</v>
      </c>
      <c r="B11" s="7" t="s">
        <v>1218</v>
      </c>
      <c r="C11" s="8">
        <v>80</v>
      </c>
      <c r="D11" s="5" t="str">
        <f>LRTRIM(CONCATENATE(IF(SUMPRODUCT(-- ISNUMBER(SEARCH({"Auto Number"}, $B11))) &gt; 0, $B11, IF(SUMPRODUCT(-- ISNUMBER(SEARCH({"Lookup","Master-Detail"}, $B11))) &gt; 0,$B11 &amp; "(" &amp; $E11 &amp; ")",IF(SUMPRODUCT(-- ISNUMBER(SEARCH({"Formula","Roll-Up Summary"}, $B11))) &gt; 0,$B11 &amp; " (" &amp; $E11 &amp; ")",IF(SUMPRODUCT(-- ISNUMBER(SEARCH({"Content","Currency","Number","Percent","Text","URL"}, $B11))) &gt; 0,$B11 &amp; "(" &amp; $C11 &amp; ")",$B11)))), "  ", TRIM(IF($S11 = "YES", "(External ID)", "") &amp; " " &amp; IF(SUMPRODUCT(-- ISNUMBER(SEARCH({"Unique","Unique Case Insensitive"}, $R11))) &gt; 0, "(" &amp; $R11 &amp; ")", ""))))</f>
        <v>Text(80)</v>
      </c>
      <c r="E11" s="7" t="s">
        <v>195</v>
      </c>
      <c r="F11" s="7" t="s">
        <v>600</v>
      </c>
      <c r="G11" s="7" t="s">
        <v>623</v>
      </c>
      <c r="H11" s="7" t="s">
        <v>195</v>
      </c>
      <c r="I11" s="7" t="s">
        <v>195</v>
      </c>
      <c r="J11" s="7" t="s">
        <v>195</v>
      </c>
      <c r="K11" s="7" t="s">
        <v>195</v>
      </c>
      <c r="L11" s="7" t="s">
        <v>195</v>
      </c>
      <c r="M11" s="7" t="s">
        <v>29</v>
      </c>
      <c r="N11" s="7" t="s">
        <v>29</v>
      </c>
      <c r="O11" s="7" t="s">
        <v>29</v>
      </c>
      <c r="P11" s="7" t="s">
        <v>29</v>
      </c>
      <c r="Q11" s="7" t="s">
        <v>29</v>
      </c>
      <c r="R11" s="7" t="s">
        <v>29</v>
      </c>
      <c r="S11" s="7" t="s">
        <v>29</v>
      </c>
    </row>
    <row r="12" spans="1:19">
      <c r="A12" s="7" t="s">
        <v>390</v>
      </c>
      <c r="B12" s="7" t="s">
        <v>1218</v>
      </c>
      <c r="C12" s="8">
        <v>255</v>
      </c>
      <c r="D12" s="5" t="str">
        <f>LRTRIM(CONCATENATE(IF(SUMPRODUCT(-- ISNUMBER(SEARCH({"Auto Number"}, $B12))) &gt; 0, $B12, IF(SUMPRODUCT(-- ISNUMBER(SEARCH({"Lookup","Master-Detail"}, $B12))) &gt; 0,$B12 &amp; "(" &amp; $E12 &amp; ")",IF(SUMPRODUCT(-- ISNUMBER(SEARCH({"Formula","Roll-Up Summary"}, $B12))) &gt; 0,$B12 &amp; " (" &amp; $E12 &amp; ")",IF(SUMPRODUCT(-- ISNUMBER(SEARCH({"Content","Currency","Number","Percent","Text","URL"}, $B12))) &gt; 0,$B12 &amp; "(" &amp; $C12 &amp; ")",$B12)))), "  ", TRIM(IF($S12 = "YES", "(External ID)", "") &amp; " " &amp; IF(SUMPRODUCT(-- ISNUMBER(SEARCH({"Unique","Unique Case Insensitive"}, $R12))) &gt; 0, "(" &amp; $R12 &amp; ")", ""))))</f>
        <v>Text(255)  (External ID) (Unique Case Insensitive)</v>
      </c>
      <c r="E12" s="7" t="s">
        <v>195</v>
      </c>
      <c r="F12" s="7" t="s">
        <v>19</v>
      </c>
      <c r="G12" s="7" t="s">
        <v>195</v>
      </c>
      <c r="H12" s="7" t="s">
        <v>195</v>
      </c>
      <c r="I12" s="7" t="s">
        <v>195</v>
      </c>
      <c r="J12" s="7" t="s">
        <v>195</v>
      </c>
      <c r="K12" s="7" t="s">
        <v>195</v>
      </c>
      <c r="L12" s="7" t="s">
        <v>195</v>
      </c>
      <c r="M12" s="7" t="s">
        <v>29</v>
      </c>
      <c r="N12" s="7" t="s">
        <v>29</v>
      </c>
      <c r="O12" s="7" t="s">
        <v>29</v>
      </c>
      <c r="P12" s="7" t="s">
        <v>29</v>
      </c>
      <c r="Q12" s="7" t="s">
        <v>29</v>
      </c>
      <c r="R12" s="7" t="s">
        <v>1271</v>
      </c>
      <c r="S12" s="7" t="s">
        <v>28</v>
      </c>
    </row>
    <row r="13" spans="1:19">
      <c r="A13" s="7" t="s">
        <v>391</v>
      </c>
      <c r="B13" s="7" t="s">
        <v>1215</v>
      </c>
      <c r="C13" s="8">
        <v>255</v>
      </c>
      <c r="D13" s="5" t="str">
        <f>LRTRIM(CONCATENATE(IF(SUMPRODUCT(-- ISNUMBER(SEARCH({"Auto Number"}, $B13))) &gt; 0, $B13, IF(SUMPRODUCT(-- ISNUMBER(SEARCH({"Lookup","Master-Detail"}, $B13))) &gt; 0,$B13 &amp; "(" &amp; $E13 &amp; ")",IF(SUMPRODUCT(-- ISNUMBER(SEARCH({"Formula","Roll-Up Summary"}, $B13))) &gt; 0,$B13 &amp; " (" &amp; $E13 &amp; ")",IF(SUMPRODUCT(-- ISNUMBER(SEARCH({"Content","Currency","Number","Percent","Text","URL"}, $B13))) &gt; 0,$B13 &amp; "(" &amp; $C13 &amp; ")",$B13)))), "  ", TRIM(IF($S13 = "YES", "(External ID)", "") &amp; " " &amp; IF(SUMPRODUCT(-- ISNUMBER(SEARCH({"Unique","Unique Case Insensitive"}, $R13))) &gt; 0, "(" &amp; $R13 &amp; ")", ""))))</f>
        <v>Picklist</v>
      </c>
      <c r="E13" s="7" t="s">
        <v>195</v>
      </c>
      <c r="F13" s="7" t="s">
        <v>128</v>
      </c>
      <c r="G13" s="7" t="s">
        <v>425</v>
      </c>
      <c r="H13" s="7" t="s">
        <v>195</v>
      </c>
      <c r="I13" s="7" t="s">
        <v>44</v>
      </c>
      <c r="J13" s="7" t="s">
        <v>195</v>
      </c>
      <c r="K13" s="7" t="s">
        <v>195</v>
      </c>
      <c r="L13" s="7" t="s">
        <v>195</v>
      </c>
      <c r="M13" s="7" t="s">
        <v>29</v>
      </c>
      <c r="N13" s="7" t="s">
        <v>29</v>
      </c>
      <c r="O13" s="7" t="s">
        <v>29</v>
      </c>
      <c r="P13" s="7" t="s">
        <v>29</v>
      </c>
      <c r="Q13" s="7" t="s">
        <v>29</v>
      </c>
      <c r="R13" s="7" t="s">
        <v>29</v>
      </c>
      <c r="S13" s="7" t="s">
        <v>29</v>
      </c>
    </row>
    <row r="14" spans="1:19">
      <c r="A14" s="7" t="s">
        <v>11</v>
      </c>
      <c r="B14" s="7" t="s">
        <v>1218</v>
      </c>
      <c r="C14" s="8">
        <v>200</v>
      </c>
      <c r="D14" s="5" t="str">
        <f>LRTRIM(CONCATENATE(IF(SUMPRODUCT(-- ISNUMBER(SEARCH({"Auto Number"}, $B14))) &gt; 0, $B14, IF(SUMPRODUCT(-- ISNUMBER(SEARCH({"Lookup","Master-Detail"}, $B14))) &gt; 0,$B14 &amp; "(" &amp; $E14 &amp; ")",IF(SUMPRODUCT(-- ISNUMBER(SEARCH({"Formula","Roll-Up Summary"}, $B14))) &gt; 0,$B14 &amp; " (" &amp; $E14 &amp; ")",IF(SUMPRODUCT(-- ISNUMBER(SEARCH({"Content","Currency","Number","Percent","Text","URL"}, $B14))) &gt; 0,$B14 &amp; "(" &amp; $C14 &amp; ")",$B14)))), "  ", TRIM(IF($S14 = "YES", "(External ID)", "") &amp; " " &amp; IF(SUMPRODUCT(-- ISNUMBER(SEARCH({"Unique","Unique Case Insensitive"}, $R14))) &gt; 0, "(" &amp; $R14 &amp; ")", ""))))</f>
        <v>Text(200)</v>
      </c>
      <c r="E14" s="7" t="s">
        <v>195</v>
      </c>
      <c r="F14" s="7" t="s">
        <v>20</v>
      </c>
      <c r="G14" s="7" t="s">
        <v>425</v>
      </c>
      <c r="H14" s="7" t="s">
        <v>195</v>
      </c>
      <c r="I14" s="7" t="s">
        <v>195</v>
      </c>
      <c r="J14" s="7" t="s">
        <v>195</v>
      </c>
      <c r="K14" s="7" t="s">
        <v>195</v>
      </c>
      <c r="L14" s="7" t="s">
        <v>195</v>
      </c>
      <c r="M14" s="7" t="s">
        <v>29</v>
      </c>
      <c r="N14" s="7" t="s">
        <v>29</v>
      </c>
      <c r="O14" s="7" t="s">
        <v>29</v>
      </c>
      <c r="P14" s="7" t="s">
        <v>29</v>
      </c>
      <c r="Q14" s="7" t="s">
        <v>29</v>
      </c>
      <c r="R14" s="7" t="s">
        <v>29</v>
      </c>
      <c r="S14" s="7" t="s">
        <v>29</v>
      </c>
    </row>
    <row r="15" spans="1:19">
      <c r="A15" s="7" t="s">
        <v>570</v>
      </c>
      <c r="B15" s="7" t="s">
        <v>386</v>
      </c>
      <c r="C15" s="8">
        <v>0</v>
      </c>
      <c r="D15" s="5" t="str">
        <f>LRTRIM(CONCATENATE(IF(SUMPRODUCT(-- ISNUMBER(SEARCH({"Auto Number"}, $B15))) &gt; 0, $B15, IF(SUMPRODUCT(-- ISNUMBER(SEARCH({"Lookup","Master-Detail"}, $B15))) &gt; 0,$B15 &amp; "(" &amp; $E15 &amp; ")",IF(SUMPRODUCT(-- ISNUMBER(SEARCH({"Formula","Roll-Up Summary"}, $B15))) &gt; 0,$B15 &amp; " (" &amp; $E15 &amp; ")",IF(SUMPRODUCT(-- ISNUMBER(SEARCH({"Content","Currency","Number","Percent","Text","URL"}, $B15))) &gt; 0,$B15 &amp; "(" &amp; $C15 &amp; ")",$B15)))), "  ", TRIM(IF($S15 = "YES", "(External ID)", "") &amp; " " &amp; IF(SUMPRODUCT(-- ISNUMBER(SEARCH({"Unique","Unique Case Insensitive"}, $R15))) &gt; 0, "(" &amp; $R15 &amp; ")", ""))))</f>
        <v>Date</v>
      </c>
      <c r="E15" s="7" t="s">
        <v>195</v>
      </c>
      <c r="F15" s="7" t="s">
        <v>601</v>
      </c>
      <c r="G15" s="7" t="s">
        <v>624</v>
      </c>
      <c r="H15" s="7" t="s">
        <v>195</v>
      </c>
      <c r="I15" s="7" t="s">
        <v>195</v>
      </c>
      <c r="J15" s="7" t="s">
        <v>195</v>
      </c>
      <c r="K15" s="7" t="s">
        <v>195</v>
      </c>
      <c r="L15" s="7" t="s">
        <v>195</v>
      </c>
      <c r="M15" s="7" t="s">
        <v>29</v>
      </c>
      <c r="N15" s="7" t="s">
        <v>29</v>
      </c>
      <c r="O15" s="7" t="s">
        <v>29</v>
      </c>
      <c r="P15" s="7" t="s">
        <v>29</v>
      </c>
      <c r="Q15" s="7" t="s">
        <v>29</v>
      </c>
      <c r="R15" s="7" t="s">
        <v>29</v>
      </c>
      <c r="S15" s="7" t="s">
        <v>29</v>
      </c>
    </row>
    <row r="16" spans="1:19">
      <c r="A16" s="7" t="s">
        <v>571</v>
      </c>
      <c r="B16" s="7" t="s">
        <v>1218</v>
      </c>
      <c r="C16" s="8">
        <v>200</v>
      </c>
      <c r="D16" s="5" t="str">
        <f>LRTRIM(CONCATENATE(IF(SUMPRODUCT(-- ISNUMBER(SEARCH({"Auto Number"}, $B16))) &gt; 0, $B16, IF(SUMPRODUCT(-- ISNUMBER(SEARCH({"Lookup","Master-Detail"}, $B16))) &gt; 0,$B16 &amp; "(" &amp; $E16 &amp; ")",IF(SUMPRODUCT(-- ISNUMBER(SEARCH({"Formula","Roll-Up Summary"}, $B16))) &gt; 0,$B16 &amp; " (" &amp; $E16 &amp; ")",IF(SUMPRODUCT(-- ISNUMBER(SEARCH({"Content","Currency","Number","Percent","Text","URL"}, $B16))) &gt; 0,$B16 &amp; "(" &amp; $C16 &amp; ")",$B16)))), "  ", TRIM(IF($S16 = "YES", "(External ID)", "") &amp; " " &amp; IF(SUMPRODUCT(-- ISNUMBER(SEARCH({"Unique","Unique Case Insensitive"}, $R16))) &gt; 0, "(" &amp; $R16 &amp; ")", ""))))</f>
        <v>Text(200)</v>
      </c>
      <c r="E16" s="7" t="s">
        <v>195</v>
      </c>
      <c r="F16" s="7" t="s">
        <v>602</v>
      </c>
      <c r="G16" s="7" t="s">
        <v>625</v>
      </c>
      <c r="H16" s="7" t="s">
        <v>195</v>
      </c>
      <c r="I16" s="7" t="s">
        <v>195</v>
      </c>
      <c r="J16" s="7" t="s">
        <v>195</v>
      </c>
      <c r="K16" s="7" t="s">
        <v>195</v>
      </c>
      <c r="L16" s="7" t="s">
        <v>195</v>
      </c>
      <c r="M16" s="7" t="s">
        <v>29</v>
      </c>
      <c r="N16" s="7" t="s">
        <v>29</v>
      </c>
      <c r="O16" s="7" t="s">
        <v>29</v>
      </c>
      <c r="P16" s="7" t="s">
        <v>29</v>
      </c>
      <c r="Q16" s="7" t="s">
        <v>29</v>
      </c>
      <c r="R16" s="7" t="s">
        <v>29</v>
      </c>
      <c r="S16" s="7" t="s">
        <v>29</v>
      </c>
    </row>
    <row r="17" spans="1:19">
      <c r="A17" s="7" t="s">
        <v>392</v>
      </c>
      <c r="B17" s="7" t="s">
        <v>1204</v>
      </c>
      <c r="C17" s="8">
        <v>0</v>
      </c>
      <c r="D17" s="5" t="str">
        <f>LRTRIM(CONCATENATE(IF(SUMPRODUCT(-- ISNUMBER(SEARCH({"Auto Number"}, $B17))) &gt; 0, $B17, IF(SUMPRODUCT(-- ISNUMBER(SEARCH({"Lookup","Master-Detail"}, $B17))) &gt; 0,$B17 &amp; "(" &amp; $E17 &amp; ")",IF(SUMPRODUCT(-- ISNUMBER(SEARCH({"Formula","Roll-Up Summary"}, $B17))) &gt; 0,$B17 &amp; " (" &amp; $E17 &amp; ")",IF(SUMPRODUCT(-- ISNUMBER(SEARCH({"Content","Currency","Number","Percent","Text","URL"}, $B17))) &gt; 0,$B17 &amp; "(" &amp; $C17 &amp; ")",$B17)))), "  ", TRIM(IF($S17 = "YES", "(External ID)", "") &amp; " " &amp; IF(SUMPRODUCT(-- ISNUMBER(SEARCH({"Unique","Unique Case Insensitive"}, $R17))) &gt; 0, "(" &amp; $R17 &amp; ")", ""))))</f>
        <v>Checkbox</v>
      </c>
      <c r="E17" s="7" t="s">
        <v>195</v>
      </c>
      <c r="F17" s="7" t="s">
        <v>409</v>
      </c>
      <c r="G17" s="7" t="s">
        <v>195</v>
      </c>
      <c r="H17" s="7" t="s">
        <v>195</v>
      </c>
      <c r="I17" s="7" t="s">
        <v>195</v>
      </c>
      <c r="J17" s="7" t="s">
        <v>195</v>
      </c>
      <c r="K17" s="7" t="s">
        <v>195</v>
      </c>
      <c r="L17" s="7" t="s">
        <v>195</v>
      </c>
      <c r="M17" s="7" t="s">
        <v>29</v>
      </c>
      <c r="N17" s="7" t="s">
        <v>29</v>
      </c>
      <c r="O17" s="7" t="s">
        <v>29</v>
      </c>
      <c r="P17" s="7" t="s">
        <v>29</v>
      </c>
      <c r="Q17" s="7" t="s">
        <v>29</v>
      </c>
      <c r="R17" s="7" t="s">
        <v>29</v>
      </c>
      <c r="S17" s="7" t="s">
        <v>29</v>
      </c>
    </row>
    <row r="18" spans="1:19">
      <c r="A18" s="7" t="s">
        <v>572</v>
      </c>
      <c r="B18" s="7" t="s">
        <v>1213</v>
      </c>
      <c r="C18" s="8" t="s">
        <v>1251</v>
      </c>
      <c r="D18" s="5" t="str">
        <f>LRTRIM(CONCATENATE(IF(SUMPRODUCT(-- ISNUMBER(SEARCH({"Auto Number"}, $B18))) &gt; 0, $B18, IF(SUMPRODUCT(-- ISNUMBER(SEARCH({"Lookup","Master-Detail"}, $B18))) &gt; 0,$B18 &amp; "(" &amp; $E18 &amp; ")",IF(SUMPRODUCT(-- ISNUMBER(SEARCH({"Formula","Roll-Up Summary"}, $B18))) &gt; 0,$B18 &amp; " (" &amp; $E18 &amp; ")",IF(SUMPRODUCT(-- ISNUMBER(SEARCH({"Content","Currency","Number","Percent","Text","URL"}, $B18))) &gt; 0,$B18 &amp; "(" &amp; $C18 &amp; ")",$B18)))), "  ", TRIM(IF($S18 = "YES", "(External ID)", "") &amp; " " &amp; IF(SUMPRODUCT(-- ISNUMBER(SEARCH({"Unique","Unique Case Insensitive"}, $R18))) &gt; 0, "(" &amp; $R18 &amp; ")", ""))))</f>
        <v>Number(2, 0)</v>
      </c>
      <c r="E18" s="7" t="s">
        <v>195</v>
      </c>
      <c r="F18" s="7" t="s">
        <v>603</v>
      </c>
      <c r="G18" s="7" t="s">
        <v>626</v>
      </c>
      <c r="H18" s="7" t="s">
        <v>195</v>
      </c>
      <c r="I18" s="7" t="s">
        <v>195</v>
      </c>
      <c r="J18" s="7" t="s">
        <v>195</v>
      </c>
      <c r="K18" s="7" t="s">
        <v>195</v>
      </c>
      <c r="L18" s="7" t="s">
        <v>195</v>
      </c>
      <c r="M18" s="7" t="s">
        <v>29</v>
      </c>
      <c r="N18" s="7" t="s">
        <v>29</v>
      </c>
      <c r="O18" s="7" t="s">
        <v>29</v>
      </c>
      <c r="P18" s="7" t="s">
        <v>29</v>
      </c>
      <c r="Q18" s="7" t="s">
        <v>29</v>
      </c>
      <c r="R18" s="7" t="s">
        <v>29</v>
      </c>
      <c r="S18" s="7" t="s">
        <v>29</v>
      </c>
    </row>
    <row r="19" spans="1:19">
      <c r="A19" s="7" t="s">
        <v>13</v>
      </c>
      <c r="B19" s="7" t="s">
        <v>1218</v>
      </c>
      <c r="C19" s="8">
        <v>10</v>
      </c>
      <c r="D19" s="5" t="str">
        <f>LRTRIM(CONCATENATE(IF(SUMPRODUCT(-- ISNUMBER(SEARCH({"Auto Number"}, $B19))) &gt; 0, $B19, IF(SUMPRODUCT(-- ISNUMBER(SEARCH({"Lookup","Master-Detail"}, $B19))) &gt; 0,$B19 &amp; "(" &amp; $E19 &amp; ")",IF(SUMPRODUCT(-- ISNUMBER(SEARCH({"Formula","Roll-Up Summary"}, $B19))) &gt; 0,$B19 &amp; " (" &amp; $E19 &amp; ")",IF(SUMPRODUCT(-- ISNUMBER(SEARCH({"Content","Currency","Number","Percent","Text","URL"}, $B19))) &gt; 0,$B19 &amp; "(" &amp; $C19 &amp; ")",$B19)))), "  ", TRIM(IF($S19 = "YES", "(External ID)", "") &amp; " " &amp; IF(SUMPRODUCT(-- ISNUMBER(SEARCH({"Unique","Unique Case Insensitive"}, $R19))) &gt; 0, "(" &amp; $R19 &amp; ")", ""))))</f>
        <v>Text(10)</v>
      </c>
      <c r="E19" s="7" t="s">
        <v>195</v>
      </c>
      <c r="F19" s="7" t="s">
        <v>24</v>
      </c>
      <c r="G19" s="7" t="s">
        <v>195</v>
      </c>
      <c r="H19" s="7" t="s">
        <v>195</v>
      </c>
      <c r="I19" s="7" t="s">
        <v>195</v>
      </c>
      <c r="J19" s="7" t="s">
        <v>195</v>
      </c>
      <c r="K19" s="7" t="s">
        <v>195</v>
      </c>
      <c r="L19" s="7" t="s">
        <v>195</v>
      </c>
      <c r="M19" s="7" t="s">
        <v>29</v>
      </c>
      <c r="N19" s="7" t="s">
        <v>29</v>
      </c>
      <c r="O19" s="7" t="s">
        <v>29</v>
      </c>
      <c r="P19" s="7" t="s">
        <v>29</v>
      </c>
      <c r="Q19" s="7" t="s">
        <v>29</v>
      </c>
      <c r="R19" s="7" t="s">
        <v>29</v>
      </c>
      <c r="S19" s="7" t="s">
        <v>29</v>
      </c>
    </row>
    <row r="20" spans="1:19">
      <c r="A20" s="7" t="s">
        <v>1394</v>
      </c>
      <c r="B20" s="7" t="s">
        <v>1218</v>
      </c>
      <c r="C20" s="8">
        <v>20</v>
      </c>
      <c r="D20" s="5" t="str">
        <f>LRTRIM(CONCATENATE(IF(SUMPRODUCT(-- ISNUMBER(SEARCH({"Auto Number"}, $B20))) &gt; 0, $B20, IF(SUMPRODUCT(-- ISNUMBER(SEARCH({"Lookup","Master-Detail"}, $B20))) &gt; 0,$B20 &amp; "(" &amp; $E20 &amp; ")",IF(SUMPRODUCT(-- ISNUMBER(SEARCH({"Formula","Roll-Up Summary"}, $B20))) &gt; 0,$B20 &amp; " (" &amp; $E20 &amp; ")",IF(SUMPRODUCT(-- ISNUMBER(SEARCH({"Content","Currency","Number","Percent","Text","URL"}, $B20))) &gt; 0,$B20 &amp; "(" &amp; $C20 &amp; ")",$B20)))), "  ", TRIM(IF($S20 = "YES", "(External ID)", "") &amp; " " &amp; IF(SUMPRODUCT(-- ISNUMBER(SEARCH({"Unique","Unique Case Insensitive"}, $R20))) &gt; 0, "(" &amp; $R20 &amp; ")", ""))))</f>
        <v>Text(20)</v>
      </c>
      <c r="E20" s="7" t="s">
        <v>195</v>
      </c>
      <c r="F20" s="7" t="s">
        <v>604</v>
      </c>
      <c r="G20" s="7" t="s">
        <v>627</v>
      </c>
      <c r="H20" s="7" t="s">
        <v>195</v>
      </c>
      <c r="I20" s="7" t="s">
        <v>195</v>
      </c>
      <c r="J20" s="7" t="s">
        <v>195</v>
      </c>
      <c r="K20" s="7" t="s">
        <v>195</v>
      </c>
      <c r="L20" s="7" t="s">
        <v>195</v>
      </c>
      <c r="M20" s="7" t="s">
        <v>29</v>
      </c>
      <c r="N20" s="7" t="s">
        <v>29</v>
      </c>
      <c r="O20" s="7" t="s">
        <v>29</v>
      </c>
      <c r="P20" s="7" t="s">
        <v>29</v>
      </c>
      <c r="Q20" s="7" t="s">
        <v>29</v>
      </c>
      <c r="R20" s="7" t="s">
        <v>29</v>
      </c>
      <c r="S20" s="7" t="s">
        <v>29</v>
      </c>
    </row>
    <row r="21" spans="1:19">
      <c r="A21" s="7" t="s">
        <v>1390</v>
      </c>
      <c r="B21" s="7" t="s">
        <v>1215</v>
      </c>
      <c r="C21" s="8">
        <v>0</v>
      </c>
      <c r="D21" s="5" t="str">
        <f>LRTRIM(CONCATENATE(IF(SUMPRODUCT(-- ISNUMBER(SEARCH({"Auto Number"}, $B21))) &gt; 0, $B21, IF(SUMPRODUCT(-- ISNUMBER(SEARCH({"Lookup","Master-Detail"}, $B21))) &gt; 0,$B21 &amp; "(" &amp; $E21 &amp; ")",IF(SUMPRODUCT(-- ISNUMBER(SEARCH({"Formula","Roll-Up Summary"}, $B21))) &gt; 0,$B21 &amp; " (" &amp; $E21 &amp; ")",IF(SUMPRODUCT(-- ISNUMBER(SEARCH({"Content","Currency","Number","Percent","Text","URL"}, $B21))) &gt; 0,$B21 &amp; "(" &amp; $C21 &amp; ")",$B21)))), "  ", TRIM(IF($S21 = "YES", "(External ID)", "") &amp; " " &amp; IF(SUMPRODUCT(-- ISNUMBER(SEARCH({"Unique","Unique Case Insensitive"}, $R21))) &gt; 0, "(" &amp; $R21 &amp; ")", ""))))</f>
        <v>Picklist</v>
      </c>
      <c r="E21" s="7" t="s">
        <v>195</v>
      </c>
      <c r="F21" s="7" t="s">
        <v>131</v>
      </c>
      <c r="G21" s="7" t="s">
        <v>1398</v>
      </c>
      <c r="H21" s="7" t="s">
        <v>195</v>
      </c>
      <c r="I21" s="7" t="s">
        <v>45</v>
      </c>
      <c r="J21" s="7" t="s">
        <v>195</v>
      </c>
      <c r="K21" s="7" t="s">
        <v>195</v>
      </c>
      <c r="L21" s="7" t="s">
        <v>195</v>
      </c>
      <c r="M21" s="7" t="s">
        <v>29</v>
      </c>
      <c r="N21" s="7" t="s">
        <v>29</v>
      </c>
      <c r="O21" s="7" t="s">
        <v>29</v>
      </c>
      <c r="P21" s="7" t="s">
        <v>29</v>
      </c>
      <c r="Q21" s="7" t="s">
        <v>29</v>
      </c>
      <c r="R21" s="7" t="s">
        <v>29</v>
      </c>
      <c r="S21" s="7" t="s">
        <v>29</v>
      </c>
    </row>
    <row r="22" spans="1:19">
      <c r="A22" s="7" t="s">
        <v>575</v>
      </c>
      <c r="B22" s="7" t="s">
        <v>1204</v>
      </c>
      <c r="C22" s="8">
        <v>0</v>
      </c>
      <c r="D22" s="5" t="str">
        <f>LRTRIM(CONCATENATE(IF(SUMPRODUCT(-- ISNUMBER(SEARCH({"Auto Number"}, $B22))) &gt; 0, $B22, IF(SUMPRODUCT(-- ISNUMBER(SEARCH({"Lookup","Master-Detail"}, $B22))) &gt; 0,$B22 &amp; "(" &amp; $E22 &amp; ")",IF(SUMPRODUCT(-- ISNUMBER(SEARCH({"Formula","Roll-Up Summary"}, $B22))) &gt; 0,$B22 &amp; " (" &amp; $E22 &amp; ")",IF(SUMPRODUCT(-- ISNUMBER(SEARCH({"Content","Currency","Number","Percent","Text","URL"}, $B22))) &gt; 0,$B22 &amp; "(" &amp; $C22 &amp; ")",$B22)))), "  ", TRIM(IF($S22 = "YES", "(External ID)", "") &amp; " " &amp; IF(SUMPRODUCT(-- ISNUMBER(SEARCH({"Unique","Unique Case Insensitive"}, $R22))) &gt; 0, "(" &amp; $R22 &amp; ")", ""))))</f>
        <v>Checkbox</v>
      </c>
      <c r="E22" s="7" t="s">
        <v>195</v>
      </c>
      <c r="F22" s="7" t="s">
        <v>606</v>
      </c>
      <c r="G22" s="7" t="s">
        <v>629</v>
      </c>
      <c r="H22" s="7" t="s">
        <v>195</v>
      </c>
      <c r="I22" s="7" t="s">
        <v>195</v>
      </c>
      <c r="J22" s="7" t="s">
        <v>195</v>
      </c>
      <c r="K22" s="7" t="s">
        <v>195</v>
      </c>
      <c r="L22" s="7" t="s">
        <v>195</v>
      </c>
      <c r="M22" s="7" t="s">
        <v>28</v>
      </c>
      <c r="N22" s="7" t="s">
        <v>29</v>
      </c>
      <c r="O22" s="7" t="s">
        <v>29</v>
      </c>
      <c r="P22" s="7" t="s">
        <v>29</v>
      </c>
      <c r="Q22" s="7" t="s">
        <v>29</v>
      </c>
      <c r="R22" s="7" t="s">
        <v>29</v>
      </c>
      <c r="S22" s="7" t="s">
        <v>29</v>
      </c>
    </row>
    <row r="23" spans="1:19">
      <c r="A23" s="7" t="s">
        <v>393</v>
      </c>
      <c r="B23" s="7" t="s">
        <v>1204</v>
      </c>
      <c r="C23" s="8">
        <v>0</v>
      </c>
      <c r="D23" s="5" t="str">
        <f>LRTRIM(CONCATENATE(IF(SUMPRODUCT(-- ISNUMBER(SEARCH({"Auto Number"}, $B23))) &gt; 0, $B23, IF(SUMPRODUCT(-- ISNUMBER(SEARCH({"Lookup","Master-Detail"}, $B23))) &gt; 0,$B23 &amp; "(" &amp; $E23 &amp; ")",IF(SUMPRODUCT(-- ISNUMBER(SEARCH({"Formula","Roll-Up Summary"}, $B23))) &gt; 0,$B23 &amp; " (" &amp; $E23 &amp; ")",IF(SUMPRODUCT(-- ISNUMBER(SEARCH({"Content","Currency","Number","Percent","Text","URL"}, $B23))) &gt; 0,$B23 &amp; "(" &amp; $C23 &amp; ")",$B23)))), "  ", TRIM(IF($S23 = "YES", "(External ID)", "") &amp; " " &amp; IF(SUMPRODUCT(-- ISNUMBER(SEARCH({"Unique","Unique Case Insensitive"}, $R23))) &gt; 0, "(" &amp; $R23 &amp; ")", ""))))</f>
        <v>Checkbox</v>
      </c>
      <c r="E23" s="7" t="s">
        <v>195</v>
      </c>
      <c r="F23" s="7" t="s">
        <v>410</v>
      </c>
      <c r="G23" s="7" t="s">
        <v>195</v>
      </c>
      <c r="H23" s="7" t="s">
        <v>195</v>
      </c>
      <c r="I23" s="7" t="s">
        <v>195</v>
      </c>
      <c r="J23" s="7" t="s">
        <v>195</v>
      </c>
      <c r="K23" s="7" t="s">
        <v>195</v>
      </c>
      <c r="L23" s="7" t="s">
        <v>195</v>
      </c>
      <c r="M23" s="7" t="s">
        <v>29</v>
      </c>
      <c r="N23" s="7" t="s">
        <v>29</v>
      </c>
      <c r="O23" s="7" t="s">
        <v>29</v>
      </c>
      <c r="P23" s="7" t="s">
        <v>29</v>
      </c>
      <c r="Q23" s="7" t="s">
        <v>29</v>
      </c>
      <c r="R23" s="7" t="s">
        <v>29</v>
      </c>
      <c r="S23" s="7" t="s">
        <v>29</v>
      </c>
    </row>
    <row r="24" spans="1:19">
      <c r="A24" s="7" t="s">
        <v>394</v>
      </c>
      <c r="B24" s="7" t="s">
        <v>1204</v>
      </c>
      <c r="C24" s="8">
        <v>0</v>
      </c>
      <c r="D24" s="5" t="str">
        <f>LRTRIM(CONCATENATE(IF(SUMPRODUCT(-- ISNUMBER(SEARCH({"Auto Number"}, $B24))) &gt; 0, $B24, IF(SUMPRODUCT(-- ISNUMBER(SEARCH({"Lookup","Master-Detail"}, $B24))) &gt; 0,$B24 &amp; "(" &amp; $E24 &amp; ")",IF(SUMPRODUCT(-- ISNUMBER(SEARCH({"Formula","Roll-Up Summary"}, $B24))) &gt; 0,$B24 &amp; " (" &amp; $E24 &amp; ")",IF(SUMPRODUCT(-- ISNUMBER(SEARCH({"Content","Currency","Number","Percent","Text","URL"}, $B24))) &gt; 0,$B24 &amp; "(" &amp; $C24 &amp; ")",$B24)))), "  ", TRIM(IF($S24 = "YES", "(External ID)", "") &amp; " " &amp; IF(SUMPRODUCT(-- ISNUMBER(SEARCH({"Unique","Unique Case Insensitive"}, $R24))) &gt; 0, "(" &amp; $R24 &amp; ")", ""))))</f>
        <v>Checkbox</v>
      </c>
      <c r="E24" s="7" t="s">
        <v>195</v>
      </c>
      <c r="F24" s="7" t="s">
        <v>411</v>
      </c>
      <c r="G24" s="7" t="s">
        <v>195</v>
      </c>
      <c r="H24" s="7" t="s">
        <v>195</v>
      </c>
      <c r="I24" s="7" t="s">
        <v>195</v>
      </c>
      <c r="J24" s="7" t="s">
        <v>195</v>
      </c>
      <c r="K24" s="7" t="s">
        <v>195</v>
      </c>
      <c r="L24" s="7" t="s">
        <v>195</v>
      </c>
      <c r="M24" s="7" t="s">
        <v>29</v>
      </c>
      <c r="N24" s="7" t="s">
        <v>29</v>
      </c>
      <c r="O24" s="7" t="s">
        <v>29</v>
      </c>
      <c r="P24" s="7" t="s">
        <v>29</v>
      </c>
      <c r="Q24" s="7" t="s">
        <v>29</v>
      </c>
      <c r="R24" s="7" t="s">
        <v>29</v>
      </c>
      <c r="S24" s="7" t="s">
        <v>29</v>
      </c>
    </row>
    <row r="25" spans="1:19">
      <c r="A25" s="7" t="s">
        <v>395</v>
      </c>
      <c r="B25" s="7" t="s">
        <v>1218</v>
      </c>
      <c r="C25" s="8">
        <v>10</v>
      </c>
      <c r="D25" s="5" t="str">
        <f>LRTRIM(CONCATENATE(IF(SUMPRODUCT(-- ISNUMBER(SEARCH({"Auto Number"}, $B25))) &gt; 0, $B25, IF(SUMPRODUCT(-- ISNUMBER(SEARCH({"Lookup","Master-Detail"}, $B25))) &gt; 0,$B25 &amp; "(" &amp; $E25 &amp; ")",IF(SUMPRODUCT(-- ISNUMBER(SEARCH({"Formula","Roll-Up Summary"}, $B25))) &gt; 0,$B25 &amp; " (" &amp; $E25 &amp; ")",IF(SUMPRODUCT(-- ISNUMBER(SEARCH({"Content","Currency","Number","Percent","Text","URL"}, $B25))) &gt; 0,$B25 &amp; "(" &amp; $C25 &amp; ")",$B25)))), "  ", TRIM(IF($S25 = "YES", "(External ID)", "") &amp; " " &amp; IF(SUMPRODUCT(-- ISNUMBER(SEARCH({"Unique","Unique Case Insensitive"}, $R25))) &gt; 0, "(" &amp; $R25 &amp; ")", ""))))</f>
        <v>Text(10)</v>
      </c>
      <c r="E25" s="7" t="s">
        <v>195</v>
      </c>
      <c r="F25" s="7" t="s">
        <v>412</v>
      </c>
      <c r="G25" s="7" t="s">
        <v>428</v>
      </c>
      <c r="H25" s="7" t="s">
        <v>195</v>
      </c>
      <c r="I25" s="7" t="s">
        <v>195</v>
      </c>
      <c r="J25" s="7" t="s">
        <v>195</v>
      </c>
      <c r="K25" s="7" t="s">
        <v>195</v>
      </c>
      <c r="L25" s="7" t="s">
        <v>195</v>
      </c>
      <c r="M25" s="7" t="s">
        <v>29</v>
      </c>
      <c r="N25" s="7" t="s">
        <v>29</v>
      </c>
      <c r="O25" s="7" t="s">
        <v>29</v>
      </c>
      <c r="P25" s="7" t="s">
        <v>29</v>
      </c>
      <c r="Q25" s="7" t="s">
        <v>29</v>
      </c>
      <c r="R25" s="7" t="s">
        <v>29</v>
      </c>
      <c r="S25" s="7" t="s">
        <v>29</v>
      </c>
    </row>
    <row r="26" spans="1:19">
      <c r="A26" s="7" t="s">
        <v>396</v>
      </c>
      <c r="B26" s="7" t="s">
        <v>1218</v>
      </c>
      <c r="C26" s="8">
        <v>20</v>
      </c>
      <c r="D26" s="5" t="str">
        <f>LRTRIM(CONCATENATE(IF(SUMPRODUCT(-- ISNUMBER(SEARCH({"Auto Number"}, $B26))) &gt; 0, $B26, IF(SUMPRODUCT(-- ISNUMBER(SEARCH({"Lookup","Master-Detail"}, $B26))) &gt; 0,$B26 &amp; "(" &amp; $E26 &amp; ")",IF(SUMPRODUCT(-- ISNUMBER(SEARCH({"Formula","Roll-Up Summary"}, $B26))) &gt; 0,$B26 &amp; " (" &amp; $E26 &amp; ")",IF(SUMPRODUCT(-- ISNUMBER(SEARCH({"Content","Currency","Number","Percent","Text","URL"}, $B26))) &gt; 0,$B26 &amp; "(" &amp; $C26 &amp; ")",$B26)))), "  ", TRIM(IF($S26 = "YES", "(External ID)", "") &amp; " " &amp; IF(SUMPRODUCT(-- ISNUMBER(SEARCH({"Unique","Unique Case Insensitive"}, $R26))) &gt; 0, "(" &amp; $R26 &amp; ")", ""))))</f>
        <v>Text(20)</v>
      </c>
      <c r="E26" s="7" t="s">
        <v>195</v>
      </c>
      <c r="F26" s="7" t="s">
        <v>413</v>
      </c>
      <c r="G26" s="7" t="s">
        <v>195</v>
      </c>
      <c r="H26" s="7" t="s">
        <v>195</v>
      </c>
      <c r="I26" s="7" t="s">
        <v>195</v>
      </c>
      <c r="J26" s="7" t="s">
        <v>195</v>
      </c>
      <c r="K26" s="7" t="s">
        <v>195</v>
      </c>
      <c r="L26" s="7" t="s">
        <v>195</v>
      </c>
      <c r="M26" s="7" t="s">
        <v>29</v>
      </c>
      <c r="N26" s="7" t="s">
        <v>29</v>
      </c>
      <c r="O26" s="7" t="s">
        <v>29</v>
      </c>
      <c r="P26" s="7" t="s">
        <v>29</v>
      </c>
      <c r="Q26" s="7" t="s">
        <v>29</v>
      </c>
      <c r="R26" s="7" t="s">
        <v>29</v>
      </c>
      <c r="S26" s="7" t="s">
        <v>29</v>
      </c>
    </row>
    <row r="27" spans="1:19">
      <c r="A27" s="7" t="s">
        <v>1395</v>
      </c>
      <c r="B27" s="7" t="s">
        <v>1215</v>
      </c>
      <c r="C27" s="8"/>
      <c r="D27" s="5" t="str">
        <f>LRTRIM(CONCATENATE(IF(SUMPRODUCT(-- ISNUMBER(SEARCH({"Auto Number"}, $B27))) &gt; 0, $B27, IF(SUMPRODUCT(-- ISNUMBER(SEARCH({"Lookup","Master-Detail"}, $B27))) &gt; 0,$B27 &amp; "(" &amp; $E27 &amp; ")",IF(SUMPRODUCT(-- ISNUMBER(SEARCH({"Formula","Roll-Up Summary"}, $B27))) &gt; 0,$B27 &amp; " (" &amp; $E27 &amp; ")",IF(SUMPRODUCT(-- ISNUMBER(SEARCH({"Content","Currency","Number","Percent","Text","URL"}, $B27))) &gt; 0,$B27 &amp; "(" &amp; $C27 &amp; ")",$B27)))), "  ", TRIM(IF($S27 = "YES", "(External ID)", "") &amp; " " &amp; IF(SUMPRODUCT(-- ISNUMBER(SEARCH({"Unique","Unique Case Insensitive"}, $R27))) &gt; 0, "(" &amp; $R27 &amp; ")", ""))))</f>
        <v>Picklist</v>
      </c>
      <c r="E27" s="7" t="s">
        <v>195</v>
      </c>
      <c r="F27" s="7" t="s">
        <v>609</v>
      </c>
      <c r="G27" s="7" t="s">
        <v>631</v>
      </c>
      <c r="H27" s="7" t="s">
        <v>195</v>
      </c>
      <c r="I27" s="7" t="s">
        <v>1288</v>
      </c>
      <c r="J27" s="7" t="s">
        <v>195</v>
      </c>
      <c r="K27" s="7" t="s">
        <v>195</v>
      </c>
      <c r="L27" s="7" t="s">
        <v>195</v>
      </c>
      <c r="M27" s="7" t="s">
        <v>29</v>
      </c>
      <c r="N27" s="7" t="s">
        <v>29</v>
      </c>
      <c r="O27" s="7" t="s">
        <v>29</v>
      </c>
      <c r="P27" s="7" t="s">
        <v>29</v>
      </c>
      <c r="Q27" s="7" t="s">
        <v>29</v>
      </c>
      <c r="R27" s="7" t="s">
        <v>29</v>
      </c>
      <c r="S27" s="7" t="s">
        <v>29</v>
      </c>
    </row>
    <row r="28" spans="1:19">
      <c r="A28" s="7" t="s">
        <v>1396</v>
      </c>
      <c r="B28" s="7" t="s">
        <v>1215</v>
      </c>
      <c r="C28" s="8" t="s">
        <v>195</v>
      </c>
      <c r="D28" s="5" t="str">
        <f>LRTRIM(CONCATENATE(IF(SUMPRODUCT(-- ISNUMBER(SEARCH({"Auto Number"}, $B28))) &gt; 0, $B28, IF(SUMPRODUCT(-- ISNUMBER(SEARCH({"Lookup","Master-Detail"}, $B28))) &gt; 0,$B28 &amp; "(" &amp; $E28 &amp; ")",IF(SUMPRODUCT(-- ISNUMBER(SEARCH({"Formula","Roll-Up Summary"}, $B28))) &gt; 0,$B28 &amp; " (" &amp; $E28 &amp; ")",IF(SUMPRODUCT(-- ISNUMBER(SEARCH({"Content","Currency","Number","Percent","Text","URL"}, $B28))) &gt; 0,$B28 &amp; "(" &amp; $C28 &amp; ")",$B28)))), "  ", TRIM(IF($S28 = "YES", "(External ID)", "") &amp; " " &amp; IF(SUMPRODUCT(-- ISNUMBER(SEARCH({"Unique","Unique Case Insensitive"}, $R28))) &gt; 0, "(" &amp; $R28 &amp; ")", ""))))</f>
        <v>Picklist</v>
      </c>
      <c r="E28" s="7" t="s">
        <v>195</v>
      </c>
      <c r="F28" s="7" t="s">
        <v>610</v>
      </c>
      <c r="G28" s="7" t="s">
        <v>632</v>
      </c>
      <c r="H28" s="7" t="s">
        <v>195</v>
      </c>
      <c r="I28" s="7" t="s">
        <v>591</v>
      </c>
      <c r="J28" s="7" t="s">
        <v>195</v>
      </c>
      <c r="K28" s="7" t="s">
        <v>195</v>
      </c>
      <c r="L28" s="7" t="s">
        <v>195</v>
      </c>
      <c r="M28" s="7" t="s">
        <v>29</v>
      </c>
      <c r="N28" s="7" t="s">
        <v>29</v>
      </c>
      <c r="O28" s="7" t="s">
        <v>29</v>
      </c>
      <c r="P28" s="7" t="s">
        <v>29</v>
      </c>
      <c r="Q28" s="7" t="s">
        <v>29</v>
      </c>
      <c r="R28" s="7" t="s">
        <v>29</v>
      </c>
      <c r="S28" s="7" t="s">
        <v>29</v>
      </c>
    </row>
    <row r="29" spans="1:19">
      <c r="A29" s="7" t="s">
        <v>1391</v>
      </c>
      <c r="B29" s="7" t="s">
        <v>1218</v>
      </c>
      <c r="C29" s="8">
        <v>255</v>
      </c>
      <c r="D29" s="5" t="str">
        <f>LRTRIM(CONCATENATE(IF(SUMPRODUCT(-- ISNUMBER(SEARCH({"Auto Number"}, $B29))) &gt; 0, $B29, IF(SUMPRODUCT(-- ISNUMBER(SEARCH({"Lookup","Master-Detail"}, $B29))) &gt; 0,$B29 &amp; "(" &amp; $E29 &amp; ")",IF(SUMPRODUCT(-- ISNUMBER(SEARCH({"Formula","Roll-Up Summary"}, $B29))) &gt; 0,$B29 &amp; " (" &amp; $E29 &amp; ")",IF(SUMPRODUCT(-- ISNUMBER(SEARCH({"Content","Currency","Number","Percent","Text","URL"}, $B29))) &gt; 0,$B29 &amp; "(" &amp; $C29 &amp; ")",$B29)))), "  ", TRIM(IF($S29 = "YES", "(External ID)", "") &amp; " " &amp; IF(SUMPRODUCT(-- ISNUMBER(SEARCH({"Unique","Unique Case Insensitive"}, $R29))) &gt; 0, "(" &amp; $R29 &amp; ")", ""))))</f>
        <v>Text(255)</v>
      </c>
      <c r="E29" s="7" t="s">
        <v>195</v>
      </c>
      <c r="F29" s="7" t="s">
        <v>1203</v>
      </c>
      <c r="G29" s="7" t="s">
        <v>1397</v>
      </c>
      <c r="H29" s="7" t="s">
        <v>195</v>
      </c>
      <c r="I29" s="7" t="s">
        <v>195</v>
      </c>
      <c r="J29" s="7" t="s">
        <v>195</v>
      </c>
      <c r="K29" s="7" t="s">
        <v>195</v>
      </c>
      <c r="L29" s="7" t="s">
        <v>195</v>
      </c>
      <c r="M29" s="7" t="s">
        <v>29</v>
      </c>
      <c r="N29" s="7" t="s">
        <v>29</v>
      </c>
      <c r="O29" s="7" t="s">
        <v>29</v>
      </c>
      <c r="P29" s="7" t="s">
        <v>29</v>
      </c>
      <c r="Q29" s="7" t="s">
        <v>29</v>
      </c>
      <c r="R29" s="7" t="s">
        <v>29</v>
      </c>
      <c r="S29" s="7" t="s">
        <v>29</v>
      </c>
    </row>
    <row r="30" spans="1:19">
      <c r="A30" s="7" t="s">
        <v>14</v>
      </c>
      <c r="B30" s="7" t="s">
        <v>1204</v>
      </c>
      <c r="C30" s="8">
        <v>0</v>
      </c>
      <c r="D30" s="5" t="str">
        <f>LRTRIM(CONCATENATE(IF(SUMPRODUCT(-- ISNUMBER(SEARCH({"Auto Number"}, $B30))) &gt; 0, $B30, IF(SUMPRODUCT(-- ISNUMBER(SEARCH({"Lookup","Master-Detail"}, $B30))) &gt; 0,$B30 &amp; "(" &amp; $E30 &amp; ")",IF(SUMPRODUCT(-- ISNUMBER(SEARCH({"Formula","Roll-Up Summary"}, $B30))) &gt; 0,$B30 &amp; " (" &amp; $E30 &amp; ")",IF(SUMPRODUCT(-- ISNUMBER(SEARCH({"Content","Currency","Number","Percent","Text","URL"}, $B30))) &gt; 0,$B30 &amp; "(" &amp; $C30 &amp; ")",$B30)))), "  ", TRIM(IF($S30 = "YES", "(External ID)", "") &amp; " " &amp; IF(SUMPRODUCT(-- ISNUMBER(SEARCH({"Unique","Unique Case Insensitive"}, $R30))) &gt; 0, "(" &amp; $R30 &amp; ")", ""))))</f>
        <v>Checkbox</v>
      </c>
      <c r="E30" s="7" t="s">
        <v>195</v>
      </c>
      <c r="F30" s="7" t="s">
        <v>25</v>
      </c>
      <c r="G30" s="7" t="s">
        <v>195</v>
      </c>
      <c r="H30" s="7" t="s">
        <v>195</v>
      </c>
      <c r="I30" s="7" t="s">
        <v>195</v>
      </c>
      <c r="J30" s="7" t="s">
        <v>195</v>
      </c>
      <c r="K30" s="7" t="s">
        <v>195</v>
      </c>
      <c r="L30" s="7" t="s">
        <v>195</v>
      </c>
      <c r="M30" s="7" t="s">
        <v>28</v>
      </c>
      <c r="N30" s="7" t="s">
        <v>29</v>
      </c>
      <c r="O30" s="7" t="s">
        <v>29</v>
      </c>
      <c r="P30" s="7" t="s">
        <v>29</v>
      </c>
      <c r="Q30" s="7" t="s">
        <v>29</v>
      </c>
      <c r="R30" s="7" t="s">
        <v>29</v>
      </c>
      <c r="S30" s="7" t="s">
        <v>29</v>
      </c>
    </row>
    <row r="31" spans="1:19">
      <c r="A31" s="7" t="s">
        <v>403</v>
      </c>
      <c r="B31" s="7" t="s">
        <v>95</v>
      </c>
      <c r="C31" s="8">
        <v>40</v>
      </c>
      <c r="D31" s="5" t="str">
        <f>LRTRIM(CONCATENATE(IF(SUMPRODUCT(-- ISNUMBER(SEARCH({"Auto Number"}, $B31))) &gt; 0, $B31, IF(SUMPRODUCT(-- ISNUMBER(SEARCH({"Lookup","Master-Detail"}, $B31))) &gt; 0,$B31 &amp; "(" &amp; $E31 &amp; ")",IF(SUMPRODUCT(-- ISNUMBER(SEARCH({"Formula","Roll-Up Summary"}, $B31))) &gt; 0,$B31 &amp; " (" &amp; $E31 &amp; ")",IF(SUMPRODUCT(-- ISNUMBER(SEARCH({"Content","Currency","Number","Percent","Text","URL"}, $B31))) &gt; 0,$B31 &amp; "(" &amp; $C31 &amp; ")",$B31)))), "  ", TRIM(IF($S31 = "YES", "(External ID)", "") &amp; " " &amp; IF(SUMPRODUCT(-- ISNUMBER(SEARCH({"Unique","Unique Case Insensitive"}, $R31))) &gt; 0, "(" &amp; $R31 &amp; ")", ""))))</f>
        <v>Phone</v>
      </c>
      <c r="E31" s="7" t="s">
        <v>195</v>
      </c>
      <c r="F31" s="7" t="s">
        <v>143</v>
      </c>
      <c r="G31" s="7" t="s">
        <v>195</v>
      </c>
      <c r="H31" s="7" t="s">
        <v>195</v>
      </c>
      <c r="I31" s="7" t="s">
        <v>195</v>
      </c>
      <c r="J31" s="7" t="s">
        <v>195</v>
      </c>
      <c r="K31" s="7" t="s">
        <v>195</v>
      </c>
      <c r="L31" s="7" t="s">
        <v>195</v>
      </c>
      <c r="M31" s="7" t="s">
        <v>29</v>
      </c>
      <c r="N31" s="7" t="s">
        <v>29</v>
      </c>
      <c r="O31" s="7" t="s">
        <v>29</v>
      </c>
      <c r="P31" s="7" t="s">
        <v>29</v>
      </c>
      <c r="Q31" s="7" t="s">
        <v>29</v>
      </c>
      <c r="R31" s="7" t="s">
        <v>29</v>
      </c>
      <c r="S31" s="7" t="s">
        <v>29</v>
      </c>
    </row>
    <row r="32" spans="1:19">
      <c r="A32" s="7" t="s">
        <v>579</v>
      </c>
      <c r="B32" s="7" t="s">
        <v>1204</v>
      </c>
      <c r="C32" s="8">
        <v>0</v>
      </c>
      <c r="D32" s="5" t="str">
        <f>LRTRIM(CONCATENATE(IF(SUMPRODUCT(-- ISNUMBER(SEARCH({"Auto Number"}, $B32))) &gt; 0, $B32, IF(SUMPRODUCT(-- ISNUMBER(SEARCH({"Lookup","Master-Detail"}, $B32))) &gt; 0,$B32 &amp; "(" &amp; $E32 &amp; ")",IF(SUMPRODUCT(-- ISNUMBER(SEARCH({"Formula","Roll-Up Summary"}, $B32))) &gt; 0,$B32 &amp; " (" &amp; $E32 &amp; ")",IF(SUMPRODUCT(-- ISNUMBER(SEARCH({"Content","Currency","Number","Percent","Text","URL"}, $B32))) &gt; 0,$B32 &amp; "(" &amp; $C32 &amp; ")",$B32)))), "  ", TRIM(IF($S32 = "YES", "(External ID)", "") &amp; " " &amp; IF(SUMPRODUCT(-- ISNUMBER(SEARCH({"Unique","Unique Case Insensitive"}, $R32))) &gt; 0, "(" &amp; $R32 &amp; ")", ""))))</f>
        <v>Checkbox</v>
      </c>
      <c r="E32" s="7" t="s">
        <v>195</v>
      </c>
      <c r="F32" s="7" t="s">
        <v>608</v>
      </c>
      <c r="G32" s="7" t="s">
        <v>633</v>
      </c>
      <c r="H32" s="7" t="s">
        <v>195</v>
      </c>
      <c r="I32" s="7" t="s">
        <v>195</v>
      </c>
      <c r="J32" s="7" t="s">
        <v>195</v>
      </c>
      <c r="K32" s="7" t="s">
        <v>195</v>
      </c>
      <c r="L32" s="7" t="s">
        <v>195</v>
      </c>
      <c r="M32" s="7" t="s">
        <v>28</v>
      </c>
      <c r="N32" s="7" t="s">
        <v>29</v>
      </c>
      <c r="O32" s="7" t="s">
        <v>29</v>
      </c>
      <c r="P32" s="7" t="s">
        <v>29</v>
      </c>
      <c r="Q32" s="7" t="s">
        <v>29</v>
      </c>
      <c r="R32" s="7" t="s">
        <v>29</v>
      </c>
      <c r="S32" s="7" t="s">
        <v>29</v>
      </c>
    </row>
    <row r="33" spans="1:19">
      <c r="A33" s="7" t="s">
        <v>404</v>
      </c>
      <c r="B33" s="7" t="s">
        <v>1204</v>
      </c>
      <c r="C33" s="8">
        <v>0</v>
      </c>
      <c r="D33" s="5" t="str">
        <f>LRTRIM(CONCATENATE(IF(SUMPRODUCT(-- ISNUMBER(SEARCH({"Auto Number"}, $B33))) &gt; 0, $B33, IF(SUMPRODUCT(-- ISNUMBER(SEARCH({"Lookup","Master-Detail"}, $B33))) &gt; 0,$B33 &amp; "(" &amp; $E33 &amp; ")",IF(SUMPRODUCT(-- ISNUMBER(SEARCH({"Formula","Roll-Up Summary"}, $B33))) &gt; 0,$B33 &amp; " (" &amp; $E33 &amp; ")",IF(SUMPRODUCT(-- ISNUMBER(SEARCH({"Content","Currency","Number","Percent","Text","URL"}, $B33))) &gt; 0,$B33 &amp; "(" &amp; $C33 &amp; ")",$B33)))), "  ", TRIM(IF($S33 = "YES", "(External ID)", "") &amp; " " &amp; IF(SUMPRODUCT(-- ISNUMBER(SEARCH({"Unique","Unique Case Insensitive"}, $R33))) &gt; 0, "(" &amp; $R33 &amp; ")", ""))))</f>
        <v>Checkbox</v>
      </c>
      <c r="E33" s="7" t="s">
        <v>195</v>
      </c>
      <c r="F33" s="7" t="s">
        <v>421</v>
      </c>
      <c r="G33" s="7" t="s">
        <v>429</v>
      </c>
      <c r="H33" s="7" t="s">
        <v>195</v>
      </c>
      <c r="I33" s="7" t="s">
        <v>195</v>
      </c>
      <c r="J33" s="7" t="s">
        <v>195</v>
      </c>
      <c r="K33" s="7" t="s">
        <v>195</v>
      </c>
      <c r="L33" s="7" t="s">
        <v>195</v>
      </c>
      <c r="M33" s="7" t="s">
        <v>28</v>
      </c>
      <c r="N33" s="7" t="s">
        <v>29</v>
      </c>
      <c r="O33" s="7" t="s">
        <v>29</v>
      </c>
      <c r="P33" s="7" t="s">
        <v>29</v>
      </c>
      <c r="Q33" s="7" t="s">
        <v>29</v>
      </c>
      <c r="R33" s="7" t="s">
        <v>29</v>
      </c>
      <c r="S33" s="7" t="s">
        <v>29</v>
      </c>
    </row>
    <row r="34" spans="1:19">
      <c r="A34" s="7" t="s">
        <v>87</v>
      </c>
      <c r="B34" s="7" t="s">
        <v>1211</v>
      </c>
      <c r="C34" s="8">
        <v>18</v>
      </c>
      <c r="D34" s="5" t="str">
        <f>LRTRIM(CONCATENATE(IF(SUMPRODUCT(-- ISNUMBER(SEARCH({"Auto Number"}, $B34))) &gt; 0, $B34, IF(SUMPRODUCT(-- ISNUMBER(SEARCH({"Lookup","Master-Detail"}, $B34))) &gt; 0,$B34 &amp; "(" &amp; $E34 &amp; ")",IF(SUMPRODUCT(-- ISNUMBER(SEARCH({"Formula","Roll-Up Summary"}, $B34))) &gt; 0,$B34 &amp; " (" &amp; $E34 &amp; ")",IF(SUMPRODUCT(-- ISNUMBER(SEARCH({"Content","Currency","Number","Percent","Text","URL"}, $B34))) &gt; 0,$B34 &amp; "(" &amp; $C34 &amp; ")",$B34)))), "  ", TRIM(IF($S34 = "YES", "(External ID)", "") &amp; " " &amp; IF(SUMPRODUCT(-- ISNUMBER(SEARCH({"Unique","Unique Case Insensitive"}, $R34))) &gt; 0, "(" &amp; $R34 &amp; ")", ""))))</f>
        <v>Lookup(User)</v>
      </c>
      <c r="E34" s="7" t="s">
        <v>7</v>
      </c>
      <c r="F34" s="7" t="s">
        <v>1380</v>
      </c>
      <c r="G34" s="7" t="s">
        <v>195</v>
      </c>
      <c r="H34" s="7" t="s">
        <v>195</v>
      </c>
      <c r="I34" s="7" t="s">
        <v>195</v>
      </c>
      <c r="J34" s="7" t="s">
        <v>195</v>
      </c>
      <c r="K34" s="7" t="s">
        <v>195</v>
      </c>
      <c r="L34" s="7" t="s">
        <v>195</v>
      </c>
      <c r="M34" s="7" t="s">
        <v>29</v>
      </c>
      <c r="N34" s="7" t="s">
        <v>29</v>
      </c>
      <c r="O34" s="7" t="s">
        <v>29</v>
      </c>
      <c r="P34" s="7" t="s">
        <v>29</v>
      </c>
      <c r="Q34" s="7" t="s">
        <v>29</v>
      </c>
      <c r="R34" s="7" t="s">
        <v>29</v>
      </c>
      <c r="S34" s="7" t="s">
        <v>29</v>
      </c>
    </row>
    <row r="35" spans="1:19">
      <c r="A35" s="7" t="s">
        <v>405</v>
      </c>
      <c r="B35" s="7" t="s">
        <v>1218</v>
      </c>
      <c r="C35" s="8">
        <v>20</v>
      </c>
      <c r="D35" s="5" t="str">
        <f>LRTRIM(CONCATENATE(IF(SUMPRODUCT(-- ISNUMBER(SEARCH({"Auto Number"}, $B35))) &gt; 0, $B35, IF(SUMPRODUCT(-- ISNUMBER(SEARCH({"Lookup","Master-Detail"}, $B35))) &gt; 0,$B35 &amp; "(" &amp; $E35 &amp; ")",IF(SUMPRODUCT(-- ISNUMBER(SEARCH({"Formula","Roll-Up Summary"}, $B35))) &gt; 0,$B35 &amp; " (" &amp; $E35 &amp; ")",IF(SUMPRODUCT(-- ISNUMBER(SEARCH({"Content","Currency","Number","Percent","Text","URL"}, $B35))) &gt; 0,$B35 &amp; "(" &amp; $C35 &amp; ")",$B35)))), "  ", TRIM(IF($S35 = "YES", "(External ID)", "") &amp; " " &amp; IF(SUMPRODUCT(-- ISNUMBER(SEARCH({"Unique","Unique Case Insensitive"}, $R35))) &gt; 0, "(" &amp; $R35 &amp; ")", ""))))</f>
        <v>Text(20)</v>
      </c>
      <c r="E35" s="7" t="s">
        <v>195</v>
      </c>
      <c r="F35" s="7" t="s">
        <v>422</v>
      </c>
      <c r="G35" s="7" t="s">
        <v>195</v>
      </c>
      <c r="H35" s="7" t="s">
        <v>195</v>
      </c>
      <c r="I35" s="7" t="s">
        <v>195</v>
      </c>
      <c r="J35" s="7" t="s">
        <v>195</v>
      </c>
      <c r="K35" s="7" t="s">
        <v>195</v>
      </c>
      <c r="L35" s="7" t="s">
        <v>195</v>
      </c>
      <c r="M35" s="7" t="s">
        <v>29</v>
      </c>
      <c r="N35" s="7" t="s">
        <v>29</v>
      </c>
      <c r="O35" s="7" t="s">
        <v>29</v>
      </c>
      <c r="P35" s="7" t="s">
        <v>29</v>
      </c>
      <c r="Q35" s="7" t="s">
        <v>29</v>
      </c>
      <c r="R35" s="7" t="s">
        <v>29</v>
      </c>
      <c r="S35" s="7" t="s">
        <v>29</v>
      </c>
    </row>
    <row r="36" spans="1:19">
      <c r="A36" s="7" t="s">
        <v>580</v>
      </c>
      <c r="B36" s="7" t="s">
        <v>1215</v>
      </c>
      <c r="C36" s="8">
        <v>0</v>
      </c>
      <c r="D36" s="5" t="str">
        <f>LRTRIM(CONCATENATE(IF(SUMPRODUCT(-- ISNUMBER(SEARCH({"Auto Number"}, $B36))) &gt; 0, $B36, IF(SUMPRODUCT(-- ISNUMBER(SEARCH({"Lookup","Master-Detail"}, $B36))) &gt; 0,$B36 &amp; "(" &amp; $E36 &amp; ")",IF(SUMPRODUCT(-- ISNUMBER(SEARCH({"Formula","Roll-Up Summary"}, $B36))) &gt; 0,$B36 &amp; " (" &amp; $E36 &amp; ")",IF(SUMPRODUCT(-- ISNUMBER(SEARCH({"Content","Currency","Number","Percent","Text","URL"}, $B36))) &gt; 0,$B36 &amp; "(" &amp; $C36 &amp; ")",$B36)))), "  ", TRIM(IF($S36 = "YES", "(External ID)", "") &amp; " " &amp; IF(SUMPRODUCT(-- ISNUMBER(SEARCH({"Unique","Unique Case Insensitive"}, $R36))) &gt; 0, "(" &amp; $R36 &amp; ")", ""))))</f>
        <v>Picklist</v>
      </c>
      <c r="E36" s="7" t="s">
        <v>195</v>
      </c>
      <c r="F36" s="7" t="s">
        <v>611</v>
      </c>
      <c r="G36" s="7" t="s">
        <v>634</v>
      </c>
      <c r="H36" s="7" t="s">
        <v>195</v>
      </c>
      <c r="I36" s="7" t="s">
        <v>592</v>
      </c>
      <c r="J36" s="7" t="s">
        <v>195</v>
      </c>
      <c r="K36" s="7" t="s">
        <v>195</v>
      </c>
      <c r="L36" s="7" t="s">
        <v>195</v>
      </c>
      <c r="M36" s="7" t="s">
        <v>29</v>
      </c>
      <c r="N36" s="7" t="s">
        <v>29</v>
      </c>
      <c r="O36" s="7" t="s">
        <v>29</v>
      </c>
      <c r="P36" s="7" t="s">
        <v>29</v>
      </c>
      <c r="Q36" s="7" t="s">
        <v>29</v>
      </c>
      <c r="R36" s="7" t="s">
        <v>29</v>
      </c>
      <c r="S36" s="7" t="s">
        <v>29</v>
      </c>
    </row>
    <row r="37" spans="1:19">
      <c r="A37" s="7" t="s">
        <v>149</v>
      </c>
      <c r="B37" s="7" t="s">
        <v>195</v>
      </c>
      <c r="C37" s="8">
        <v>40</v>
      </c>
      <c r="D37" s="5" t="str">
        <f>LRTRIM(CONCATENATE(IF(SUMPRODUCT(-- ISNUMBER(SEARCH({"Auto Number"}, $B37))) &gt; 0, $B37, IF(SUMPRODUCT(-- ISNUMBER(SEARCH({"Lookup","Master-Detail"}, $B37))) &gt; 0,$B37 &amp; "(" &amp; $E37 &amp; ")",IF(SUMPRODUCT(-- ISNUMBER(SEARCH({"Formula","Roll-Up Summary"}, $B37))) &gt; 0,$B37 &amp; " (" &amp; $E37 &amp; ")",IF(SUMPRODUCT(-- ISNUMBER(SEARCH({"Content","Currency","Number","Percent","Text","URL"}, $B37))) &gt; 0,$B37 &amp; "(" &amp; $C37 &amp; ")",$B37)))), "  ", TRIM(IF($S37 = "YES", "(External ID)", "") &amp; " " &amp; IF(SUMPRODUCT(-- ISNUMBER(SEARCH({"Unique","Unique Case Insensitive"}, $R37))) &gt; 0, "(" &amp; $R37 &amp; ")", ""))))</f>
        <v>na</v>
      </c>
      <c r="E37" s="7" t="s">
        <v>195</v>
      </c>
      <c r="F37" s="7" t="s">
        <v>195</v>
      </c>
      <c r="G37" s="7" t="s">
        <v>195</v>
      </c>
      <c r="H37" s="7" t="s">
        <v>195</v>
      </c>
      <c r="I37" s="7" t="s">
        <v>46</v>
      </c>
      <c r="J37" s="7" t="s">
        <v>195</v>
      </c>
      <c r="K37" s="7" t="s">
        <v>195</v>
      </c>
      <c r="L37" s="7" t="s">
        <v>195</v>
      </c>
      <c r="M37" s="7" t="s">
        <v>29</v>
      </c>
      <c r="N37" s="7" t="s">
        <v>29</v>
      </c>
      <c r="O37" s="7" t="s">
        <v>29</v>
      </c>
      <c r="P37" s="7" t="s">
        <v>29</v>
      </c>
      <c r="Q37" s="7" t="s">
        <v>29</v>
      </c>
      <c r="R37" s="7" t="s">
        <v>29</v>
      </c>
      <c r="S37" s="7" t="s">
        <v>29</v>
      </c>
    </row>
    <row r="38" spans="1:19">
      <c r="A38" s="7" t="s">
        <v>582</v>
      </c>
      <c r="B38" s="7" t="s">
        <v>386</v>
      </c>
      <c r="C38" s="8">
        <v>0</v>
      </c>
      <c r="D38" s="5" t="str">
        <f>LRTRIM(CONCATENATE(IF(SUMPRODUCT(-- ISNUMBER(SEARCH({"Auto Number"}, $B38))) &gt; 0, $B38, IF(SUMPRODUCT(-- ISNUMBER(SEARCH({"Lookup","Master-Detail"}, $B38))) &gt; 0,$B38 &amp; "(" &amp; $E38 &amp; ")",IF(SUMPRODUCT(-- ISNUMBER(SEARCH({"Formula","Roll-Up Summary"}, $B38))) &gt; 0,$B38 &amp; " (" &amp; $E38 &amp; ")",IF(SUMPRODUCT(-- ISNUMBER(SEARCH({"Content","Currency","Number","Percent","Text","URL"}, $B38))) &gt; 0,$B38 &amp; "(" &amp; $C38 &amp; ")",$B38)))), "  ", TRIM(IF($S38 = "YES", "(External ID)", "") &amp; " " &amp; IF(SUMPRODUCT(-- ISNUMBER(SEARCH({"Unique","Unique Case Insensitive"}, $R38))) &gt; 0, "(" &amp; $R38 &amp; ")", ""))))</f>
        <v>Date</v>
      </c>
      <c r="E38" s="7" t="s">
        <v>195</v>
      </c>
      <c r="F38" s="7" t="s">
        <v>613</v>
      </c>
      <c r="G38" s="7" t="s">
        <v>635</v>
      </c>
      <c r="H38" s="7" t="s">
        <v>195</v>
      </c>
      <c r="I38" s="7" t="s">
        <v>195</v>
      </c>
      <c r="J38" s="7" t="s">
        <v>195</v>
      </c>
      <c r="K38" s="7" t="s">
        <v>195</v>
      </c>
      <c r="L38" s="7" t="s">
        <v>195</v>
      </c>
      <c r="M38" s="7" t="s">
        <v>29</v>
      </c>
      <c r="N38" s="7" t="s">
        <v>29</v>
      </c>
      <c r="O38" s="7" t="s">
        <v>29</v>
      </c>
      <c r="P38" s="7" t="s">
        <v>29</v>
      </c>
      <c r="Q38" s="7" t="s">
        <v>29</v>
      </c>
      <c r="R38" s="7" t="s">
        <v>29</v>
      </c>
      <c r="S38" s="7" t="s">
        <v>29</v>
      </c>
    </row>
    <row r="39" spans="1:19">
      <c r="A39" s="7" t="s">
        <v>584</v>
      </c>
      <c r="B39" s="7" t="s">
        <v>1206</v>
      </c>
      <c r="C39" s="8" t="s">
        <v>1250</v>
      </c>
      <c r="D39" s="5" t="str">
        <f>LRTRIM(CONCATENATE(IF(SUMPRODUCT(-- ISNUMBER(SEARCH({"Auto Number"}, $B39))) &gt; 0, $B39, IF(SUMPRODUCT(-- ISNUMBER(SEARCH({"Lookup","Master-Detail"}, $B39))) &gt; 0,$B39 &amp; "(" &amp; $E39 &amp; ")",IF(SUMPRODUCT(-- ISNUMBER(SEARCH({"Formula","Roll-Up Summary"}, $B39))) &gt; 0,$B39 &amp; " (" &amp; $E39 &amp; ")",IF(SUMPRODUCT(-- ISNUMBER(SEARCH({"Content","Currency","Number","Percent","Text","URL"}, $B39))) &gt; 0,$B39 &amp; "(" &amp; $C39 &amp; ")",$B39)))), "  ", TRIM(IF($S39 = "YES", "(External ID)", "") &amp; " " &amp; IF(SUMPRODUCT(-- ISNUMBER(SEARCH({"Unique","Unique Case Insensitive"}, $R39))) &gt; 0, "(" &amp; $R39 &amp; ")", ""))))</f>
        <v>Currency(18, 0)</v>
      </c>
      <c r="E39" s="7" t="s">
        <v>195</v>
      </c>
      <c r="F39" s="7" t="s">
        <v>614</v>
      </c>
      <c r="G39" s="7" t="s">
        <v>637</v>
      </c>
      <c r="H39" s="7" t="s">
        <v>195</v>
      </c>
      <c r="I39" s="7" t="s">
        <v>195</v>
      </c>
      <c r="J39" s="7" t="s">
        <v>195</v>
      </c>
      <c r="K39" s="7" t="s">
        <v>195</v>
      </c>
      <c r="L39" s="7" t="s">
        <v>195</v>
      </c>
      <c r="M39" s="7" t="s">
        <v>29</v>
      </c>
      <c r="N39" s="7" t="s">
        <v>29</v>
      </c>
      <c r="O39" s="7" t="s">
        <v>29</v>
      </c>
      <c r="P39" s="7" t="s">
        <v>29</v>
      </c>
      <c r="Q39" s="7" t="s">
        <v>29</v>
      </c>
      <c r="R39" s="7" t="s">
        <v>29</v>
      </c>
      <c r="S39" s="7" t="s">
        <v>29</v>
      </c>
    </row>
    <row r="40" spans="1:19">
      <c r="A40" s="7" t="s">
        <v>585</v>
      </c>
      <c r="B40" s="7" t="s">
        <v>1206</v>
      </c>
      <c r="C40" s="8" t="s">
        <v>1250</v>
      </c>
      <c r="D40" s="5" t="str">
        <f>LRTRIM(CONCATENATE(IF(SUMPRODUCT(-- ISNUMBER(SEARCH({"Auto Number"}, $B40))) &gt; 0, $B40, IF(SUMPRODUCT(-- ISNUMBER(SEARCH({"Lookup","Master-Detail"}, $B40))) &gt; 0,$B40 &amp; "(" &amp; $E40 &amp; ")",IF(SUMPRODUCT(-- ISNUMBER(SEARCH({"Formula","Roll-Up Summary"}, $B40))) &gt; 0,$B40 &amp; " (" &amp; $E40 &amp; ")",IF(SUMPRODUCT(-- ISNUMBER(SEARCH({"Content","Currency","Number","Percent","Text","URL"}, $B40))) &gt; 0,$B40 &amp; "(" &amp; $C40 &amp; ")",$B40)))), "  ", TRIM(IF($S40 = "YES", "(External ID)", "") &amp; " " &amp; IF(SUMPRODUCT(-- ISNUMBER(SEARCH({"Unique","Unique Case Insensitive"}, $R40))) &gt; 0, "(" &amp; $R40 &amp; ")", ""))))</f>
        <v>Currency(18, 0)</v>
      </c>
      <c r="E40" s="7" t="s">
        <v>195</v>
      </c>
      <c r="F40" s="7" t="s">
        <v>615</v>
      </c>
      <c r="G40" s="7" t="s">
        <v>638</v>
      </c>
      <c r="H40" s="7" t="s">
        <v>195</v>
      </c>
      <c r="I40" s="7" t="s">
        <v>195</v>
      </c>
      <c r="J40" s="7" t="s">
        <v>195</v>
      </c>
      <c r="K40" s="7" t="s">
        <v>195</v>
      </c>
      <c r="L40" s="7" t="s">
        <v>195</v>
      </c>
      <c r="M40" s="7" t="s">
        <v>29</v>
      </c>
      <c r="N40" s="7" t="s">
        <v>29</v>
      </c>
      <c r="O40" s="7" t="s">
        <v>29</v>
      </c>
      <c r="P40" s="7" t="s">
        <v>29</v>
      </c>
      <c r="Q40" s="7" t="s">
        <v>29</v>
      </c>
      <c r="R40" s="7" t="s">
        <v>29</v>
      </c>
      <c r="S40" s="7" t="s">
        <v>29</v>
      </c>
    </row>
    <row r="41" spans="1:19">
      <c r="A41" s="7" t="s">
        <v>144</v>
      </c>
      <c r="B41" s="7" t="s">
        <v>1218</v>
      </c>
      <c r="C41" s="8">
        <v>128</v>
      </c>
      <c r="D41" s="5" t="str">
        <f>LRTRIM(CONCATENATE(IF(SUMPRODUCT(-- ISNUMBER(SEARCH({"Auto Number"}, $B41))) &gt; 0, $B41, IF(SUMPRODUCT(-- ISNUMBER(SEARCH({"Lookup","Master-Detail"}, $B41))) &gt; 0,$B41 &amp; "(" &amp; $E41 &amp; ")",IF(SUMPRODUCT(-- ISNUMBER(SEARCH({"Formula","Roll-Up Summary"}, $B41))) &gt; 0,$B41 &amp; " (" &amp; $E41 &amp; ")",IF(SUMPRODUCT(-- ISNUMBER(SEARCH({"Content","Currency","Number","Percent","Text","URL"}, $B41))) &gt; 0,$B41 &amp; "(" &amp; $C41 &amp; ")",$B41)))), "  ", TRIM(IF($S41 = "YES", "(External ID)", "") &amp; " " &amp; IF(SUMPRODUCT(-- ISNUMBER(SEARCH({"Unique","Unique Case Insensitive"}, $R41))) &gt; 0, "(" &amp; $R41 &amp; ")", ""))))</f>
        <v>Text(128)</v>
      </c>
      <c r="E41" s="7" t="s">
        <v>195</v>
      </c>
      <c r="F41" s="7" t="s">
        <v>144</v>
      </c>
      <c r="G41" s="7" t="s">
        <v>195</v>
      </c>
      <c r="H41" s="7" t="s">
        <v>195</v>
      </c>
      <c r="I41" s="7" t="s">
        <v>195</v>
      </c>
      <c r="J41" s="7" t="s">
        <v>195</v>
      </c>
      <c r="K41" s="7" t="s">
        <v>195</v>
      </c>
      <c r="L41" s="7" t="s">
        <v>195</v>
      </c>
      <c r="M41" s="7" t="s">
        <v>29</v>
      </c>
      <c r="N41" s="7" t="s">
        <v>29</v>
      </c>
      <c r="O41" s="7" t="s">
        <v>29</v>
      </c>
      <c r="P41" s="7" t="s">
        <v>29</v>
      </c>
      <c r="Q41" s="7" t="s">
        <v>29</v>
      </c>
      <c r="R41" s="7" t="s">
        <v>29</v>
      </c>
      <c r="S41" s="7" t="s">
        <v>29</v>
      </c>
    </row>
    <row r="42" spans="1:19">
      <c r="A42" s="7" t="s">
        <v>587</v>
      </c>
      <c r="B42" s="7" t="s">
        <v>1218</v>
      </c>
      <c r="C42" s="8">
        <v>18</v>
      </c>
      <c r="D42" s="5" t="str">
        <f>LRTRIM(CONCATENATE(IF(SUMPRODUCT(-- ISNUMBER(SEARCH({"Auto Number"}, $B42))) &gt; 0, $B42, IF(SUMPRODUCT(-- ISNUMBER(SEARCH({"Lookup","Master-Detail"}, $B42))) &gt; 0,$B42 &amp; "(" &amp; $E42 &amp; ")",IF(SUMPRODUCT(-- ISNUMBER(SEARCH({"Formula","Roll-Up Summary"}, $B42))) &gt; 0,$B42 &amp; " (" &amp; $E42 &amp; ")",IF(SUMPRODUCT(-- ISNUMBER(SEARCH({"Content","Currency","Number","Percent","Text","URL"}, $B42))) &gt; 0,$B42 &amp; "(" &amp; $C42 &amp; ")",$B42)))), "  ", TRIM(IF($S42 = "YES", "(External ID)", "") &amp; " " &amp; IF(SUMPRODUCT(-- ISNUMBER(SEARCH({"Unique","Unique Case Insensitive"}, $R42))) &gt; 0, "(" &amp; $R42 &amp; ")", ""))))</f>
        <v>Text(18)  (External ID) (Unique Case Insensitive)</v>
      </c>
      <c r="E42" s="7" t="s">
        <v>195</v>
      </c>
      <c r="F42" s="7" t="s">
        <v>616</v>
      </c>
      <c r="G42" s="7" t="s">
        <v>639</v>
      </c>
      <c r="H42" s="7" t="s">
        <v>195</v>
      </c>
      <c r="I42" s="7" t="s">
        <v>195</v>
      </c>
      <c r="J42" s="7" t="s">
        <v>195</v>
      </c>
      <c r="K42" s="7" t="s">
        <v>195</v>
      </c>
      <c r="L42" s="7" t="s">
        <v>195</v>
      </c>
      <c r="M42" s="7" t="s">
        <v>29</v>
      </c>
      <c r="N42" s="7" t="s">
        <v>29</v>
      </c>
      <c r="O42" s="7" t="s">
        <v>29</v>
      </c>
      <c r="P42" s="7" t="s">
        <v>29</v>
      </c>
      <c r="Q42" s="7" t="s">
        <v>29</v>
      </c>
      <c r="R42" s="7" t="s">
        <v>1271</v>
      </c>
      <c r="S42" s="7" t="s">
        <v>28</v>
      </c>
    </row>
    <row r="43" spans="1:19">
      <c r="A43" s="7" t="s">
        <v>1400</v>
      </c>
      <c r="B43" s="7" t="s">
        <v>195</v>
      </c>
      <c r="C43" s="8" t="s">
        <v>195</v>
      </c>
      <c r="D43" s="5" t="str">
        <f>LRTRIM(CONCATENATE(IF(SUMPRODUCT(-- ISNUMBER(SEARCH({"Auto Number"}, $B43))) &gt; 0, $B43, IF(SUMPRODUCT(-- ISNUMBER(SEARCH({"Lookup","Master-Detail"}, $B43))) &gt; 0,$B43 &amp; "(" &amp; $E43 &amp; ")",IF(SUMPRODUCT(-- ISNUMBER(SEARCH({"Formula","Roll-Up Summary"}, $B43))) &gt; 0,$B43 &amp; " (" &amp; $E43 &amp; ")",IF(SUMPRODUCT(-- ISNUMBER(SEARCH({"Content","Currency","Number","Percent","Text","URL"}, $B43))) &gt; 0,$B43 &amp; "(" &amp; $C43 &amp; ")",$B43)))), "  ", TRIM(IF($S43 = "YES", "(External ID)", "") &amp; " " &amp; IF(SUMPRODUCT(-- ISNUMBER(SEARCH({"Unique","Unique Case Insensitive"}, $R43))) &gt; 0, "(" &amp; $R43 &amp; ")", ""))))</f>
        <v>na</v>
      </c>
      <c r="E43" s="7" t="s">
        <v>195</v>
      </c>
      <c r="F43" s="7" t="s">
        <v>195</v>
      </c>
      <c r="G43" s="7" t="s">
        <v>195</v>
      </c>
      <c r="H43" s="7" t="s">
        <v>195</v>
      </c>
      <c r="I43" s="7" t="s">
        <v>1287</v>
      </c>
      <c r="J43" s="7" t="s">
        <v>195</v>
      </c>
      <c r="K43" s="7" t="s">
        <v>195</v>
      </c>
      <c r="L43" s="7" t="s">
        <v>195</v>
      </c>
      <c r="M43" s="7" t="s">
        <v>29</v>
      </c>
      <c r="N43" s="7" t="s">
        <v>29</v>
      </c>
      <c r="O43" s="7" t="s">
        <v>29</v>
      </c>
      <c r="P43" s="7" t="s">
        <v>29</v>
      </c>
      <c r="Q43" s="7" t="s">
        <v>29</v>
      </c>
      <c r="R43" s="7" t="s">
        <v>29</v>
      </c>
      <c r="S43" s="7" t="s">
        <v>29</v>
      </c>
    </row>
    <row r="44" spans="1:19">
      <c r="A44" s="7" t="s">
        <v>1399</v>
      </c>
      <c r="B44" s="7" t="s">
        <v>195</v>
      </c>
      <c r="C44" s="8" t="s">
        <v>195</v>
      </c>
      <c r="D44" s="5" t="str">
        <f>LRTRIM(CONCATENATE(IF(SUMPRODUCT(-- ISNUMBER(SEARCH({"Auto Number"}, $B44))) &gt; 0, $B44, IF(SUMPRODUCT(-- ISNUMBER(SEARCH({"Lookup","Master-Detail"}, $B44))) &gt; 0,$B44 &amp; "(" &amp; $E44 &amp; ")",IF(SUMPRODUCT(-- ISNUMBER(SEARCH({"Formula","Roll-Up Summary"}, $B44))) &gt; 0,$B44 &amp; " (" &amp; $E44 &amp; ")",IF(SUMPRODUCT(-- ISNUMBER(SEARCH({"Content","Currency","Number","Percent","Text","URL"}, $B44))) &gt; 0,$B44 &amp; "(" &amp; $C44 &amp; ")",$B44)))), "  ", TRIM(IF($S44 = "YES", "(External ID)", "") &amp; " " &amp; IF(SUMPRODUCT(-- ISNUMBER(SEARCH({"Unique","Unique Case Insensitive"}, $R44))) &gt; 0, "(" &amp; $R44 &amp; ")", ""))))</f>
        <v>na</v>
      </c>
      <c r="E44" s="7" t="s">
        <v>195</v>
      </c>
      <c r="F44" s="7" t="s">
        <v>195</v>
      </c>
      <c r="G44" s="7" t="s">
        <v>195</v>
      </c>
      <c r="H44" s="7" t="s">
        <v>195</v>
      </c>
      <c r="I44" s="7" t="s">
        <v>1287</v>
      </c>
      <c r="J44" s="7" t="s">
        <v>195</v>
      </c>
      <c r="K44" s="7" t="s">
        <v>195</v>
      </c>
      <c r="L44" s="7" t="s">
        <v>195</v>
      </c>
      <c r="M44" s="7" t="s">
        <v>29</v>
      </c>
      <c r="N44" s="7" t="s">
        <v>29</v>
      </c>
      <c r="O44" s="7" t="s">
        <v>29</v>
      </c>
      <c r="P44" s="7" t="s">
        <v>29</v>
      </c>
      <c r="Q44" s="7" t="s">
        <v>29</v>
      </c>
      <c r="R44" s="7" t="s">
        <v>29</v>
      </c>
      <c r="S44" s="7" t="s">
        <v>29</v>
      </c>
    </row>
    <row r="45" spans="1:19">
      <c r="B45" s="7" t="s">
        <v>195</v>
      </c>
      <c r="C45" s="8" t="s">
        <v>195</v>
      </c>
      <c r="D45" s="5" t="str">
        <f>LRTRIM(CONCATENATE(IF(SUMPRODUCT(-- ISNUMBER(SEARCH({"Auto Number"}, $B45))) &gt; 0, $B45, IF(SUMPRODUCT(-- ISNUMBER(SEARCH({"Lookup","Master-Detail"}, $B45))) &gt; 0,$B45 &amp; "(" &amp; $E45 &amp; ")",IF(SUMPRODUCT(-- ISNUMBER(SEARCH({"Formula","Roll-Up Summary"}, $B45))) &gt; 0,$B45 &amp; " (" &amp; $E45 &amp; ")",IF(SUMPRODUCT(-- ISNUMBER(SEARCH({"Content","Currency","Number","Percent","Text","URL"}, $B45))) &gt; 0,$B45 &amp; "(" &amp; $C45 &amp; ")",$B45)))), "  ", TRIM(IF($S45 = "YES", "(External ID)", "") &amp; " " &amp; IF(SUMPRODUCT(-- ISNUMBER(SEARCH({"Unique","Unique Case Insensitive"}, $R45))) &gt; 0, "(" &amp; $R45 &amp; ")", ""))))</f>
        <v>na</v>
      </c>
      <c r="E45" s="7" t="s">
        <v>195</v>
      </c>
      <c r="F45" s="7" t="s">
        <v>195</v>
      </c>
      <c r="G45" s="7" t="s">
        <v>195</v>
      </c>
      <c r="H45" s="7" t="s">
        <v>195</v>
      </c>
      <c r="I45" s="7" t="s">
        <v>195</v>
      </c>
      <c r="J45" s="7" t="s">
        <v>195</v>
      </c>
      <c r="K45" s="7" t="s">
        <v>195</v>
      </c>
      <c r="L45" s="7" t="s">
        <v>195</v>
      </c>
      <c r="M45" s="7" t="s">
        <v>29</v>
      </c>
      <c r="N45" s="7" t="s">
        <v>29</v>
      </c>
      <c r="O45" s="7" t="s">
        <v>29</v>
      </c>
      <c r="P45" s="7" t="s">
        <v>29</v>
      </c>
      <c r="Q45" s="7" t="s">
        <v>29</v>
      </c>
      <c r="R45" s="7" t="s">
        <v>29</v>
      </c>
      <c r="S45" s="7" t="s">
        <v>29</v>
      </c>
    </row>
    <row r="46" spans="1:19">
      <c r="B46" s="7" t="s">
        <v>195</v>
      </c>
      <c r="C46" s="8" t="s">
        <v>195</v>
      </c>
      <c r="D46" s="5" t="str">
        <f>LRTRIM(CONCATENATE(IF(SUMPRODUCT(-- ISNUMBER(SEARCH({"Auto Number"}, $B46))) &gt; 0, $B46, IF(SUMPRODUCT(-- ISNUMBER(SEARCH({"Lookup","Master-Detail"}, $B46))) &gt; 0,$B46 &amp; "(" &amp; $E46 &amp; ")",IF(SUMPRODUCT(-- ISNUMBER(SEARCH({"Formula","Roll-Up Summary"}, $B46))) &gt; 0,$B46 &amp; " (" &amp; $E46 &amp; ")",IF(SUMPRODUCT(-- ISNUMBER(SEARCH({"Content","Currency","Number","Percent","Text","URL"}, $B46))) &gt; 0,$B46 &amp; "(" &amp; $C46 &amp; ")",$B46)))), "  ", TRIM(IF($S46 = "YES", "(External ID)", "") &amp; " " &amp; IF(SUMPRODUCT(-- ISNUMBER(SEARCH({"Unique","Unique Case Insensitive"}, $R46))) &gt; 0, "(" &amp; $R46 &amp; ")", ""))))</f>
        <v>na</v>
      </c>
      <c r="E46" s="7" t="s">
        <v>195</v>
      </c>
      <c r="F46" s="7" t="s">
        <v>195</v>
      </c>
      <c r="G46" s="7" t="s">
        <v>195</v>
      </c>
      <c r="H46" s="7" t="s">
        <v>195</v>
      </c>
      <c r="I46" s="7" t="s">
        <v>195</v>
      </c>
      <c r="J46" s="7" t="s">
        <v>195</v>
      </c>
      <c r="K46" s="7" t="s">
        <v>195</v>
      </c>
      <c r="L46" s="7" t="s">
        <v>195</v>
      </c>
      <c r="M46" s="7" t="s">
        <v>29</v>
      </c>
      <c r="N46" s="7" t="s">
        <v>29</v>
      </c>
      <c r="O46" s="7" t="s">
        <v>29</v>
      </c>
      <c r="P46" s="7" t="s">
        <v>29</v>
      </c>
      <c r="Q46" s="7" t="s">
        <v>29</v>
      </c>
      <c r="R46" s="7" t="s">
        <v>29</v>
      </c>
      <c r="S46" s="7" t="s">
        <v>29</v>
      </c>
    </row>
    <row r="47" spans="1:19">
      <c r="B47" s="7" t="s">
        <v>195</v>
      </c>
      <c r="C47" s="8" t="s">
        <v>195</v>
      </c>
      <c r="D47" s="5" t="str">
        <f>LRTRIM(CONCATENATE(IF(SUMPRODUCT(-- ISNUMBER(SEARCH({"Auto Number"}, $B47))) &gt; 0, $B47, IF(SUMPRODUCT(-- ISNUMBER(SEARCH({"Lookup","Master-Detail"}, $B47))) &gt; 0,$B47 &amp; "(" &amp; $E47 &amp; ")",IF(SUMPRODUCT(-- ISNUMBER(SEARCH({"Formula","Roll-Up Summary"}, $B47))) &gt; 0,$B47 &amp; " (" &amp; $E47 &amp; ")",IF(SUMPRODUCT(-- ISNUMBER(SEARCH({"Content","Currency","Number","Percent","Text","URL"}, $B47))) &gt; 0,$B47 &amp; "(" &amp; $C47 &amp; ")",$B47)))), "  ", TRIM(IF($S47 = "YES", "(External ID)", "") &amp; " " &amp; IF(SUMPRODUCT(-- ISNUMBER(SEARCH({"Unique","Unique Case Insensitive"}, $R47))) &gt; 0, "(" &amp; $R47 &amp; ")", ""))))</f>
        <v>na</v>
      </c>
      <c r="E47" s="7" t="s">
        <v>195</v>
      </c>
      <c r="F47" s="7" t="s">
        <v>195</v>
      </c>
      <c r="G47" s="7" t="s">
        <v>195</v>
      </c>
      <c r="H47" s="7" t="s">
        <v>195</v>
      </c>
      <c r="I47" s="7" t="s">
        <v>195</v>
      </c>
      <c r="J47" s="7" t="s">
        <v>195</v>
      </c>
      <c r="K47" s="7" t="s">
        <v>195</v>
      </c>
      <c r="L47" s="7" t="s">
        <v>195</v>
      </c>
      <c r="M47" s="7" t="s">
        <v>29</v>
      </c>
      <c r="N47" s="7" t="s">
        <v>29</v>
      </c>
      <c r="O47" s="7" t="s">
        <v>29</v>
      </c>
      <c r="P47" s="7" t="s">
        <v>29</v>
      </c>
      <c r="Q47" s="7" t="s">
        <v>29</v>
      </c>
      <c r="R47" s="7" t="s">
        <v>29</v>
      </c>
      <c r="S47" s="7" t="s">
        <v>29</v>
      </c>
    </row>
    <row r="48" spans="1:19">
      <c r="B48" s="7" t="s">
        <v>195</v>
      </c>
      <c r="C48" s="8" t="s">
        <v>195</v>
      </c>
      <c r="D48" s="5" t="str">
        <f>LRTRIM(CONCATENATE(IF(SUMPRODUCT(-- ISNUMBER(SEARCH({"Auto Number"}, $B48))) &gt; 0, $B48, IF(SUMPRODUCT(-- ISNUMBER(SEARCH({"Lookup","Master-Detail"}, $B48))) &gt; 0,$B48 &amp; "(" &amp; $E48 &amp; ")",IF(SUMPRODUCT(-- ISNUMBER(SEARCH({"Formula","Roll-Up Summary"}, $B48))) &gt; 0,$B48 &amp; " (" &amp; $E48 &amp; ")",IF(SUMPRODUCT(-- ISNUMBER(SEARCH({"Content","Currency","Number","Percent","Text","URL"}, $B48))) &gt; 0,$B48 &amp; "(" &amp; $C48 &amp; ")",$B48)))), "  ", TRIM(IF($S48 = "YES", "(External ID)", "") &amp; " " &amp; IF(SUMPRODUCT(-- ISNUMBER(SEARCH({"Unique","Unique Case Insensitive"}, $R48))) &gt; 0, "(" &amp; $R48 &amp; ")", ""))))</f>
        <v>na</v>
      </c>
      <c r="E48" s="7" t="s">
        <v>195</v>
      </c>
      <c r="F48" s="7" t="s">
        <v>195</v>
      </c>
      <c r="G48" s="7" t="s">
        <v>195</v>
      </c>
      <c r="H48" s="7" t="s">
        <v>195</v>
      </c>
      <c r="I48" s="7" t="s">
        <v>195</v>
      </c>
      <c r="J48" s="7" t="s">
        <v>195</v>
      </c>
      <c r="K48" s="7" t="s">
        <v>195</v>
      </c>
      <c r="L48" s="7" t="s">
        <v>195</v>
      </c>
      <c r="M48" s="7" t="s">
        <v>29</v>
      </c>
      <c r="N48" s="7" t="s">
        <v>29</v>
      </c>
      <c r="O48" s="7" t="s">
        <v>29</v>
      </c>
      <c r="P48" s="7" t="s">
        <v>29</v>
      </c>
      <c r="Q48" s="7" t="s">
        <v>29</v>
      </c>
      <c r="R48" s="7" t="s">
        <v>29</v>
      </c>
      <c r="S48" s="7" t="s">
        <v>29</v>
      </c>
    </row>
    <row r="49" spans="2:19">
      <c r="B49" s="7" t="s">
        <v>195</v>
      </c>
      <c r="C49" s="8" t="s">
        <v>195</v>
      </c>
      <c r="D49" s="5" t="str">
        <f>LRTRIM(CONCATENATE(IF(SUMPRODUCT(-- ISNUMBER(SEARCH({"Auto Number"}, $B49))) &gt; 0, $B49, IF(SUMPRODUCT(-- ISNUMBER(SEARCH({"Lookup","Master-Detail"}, $B49))) &gt; 0,$B49 &amp; "(" &amp; $E49 &amp; ")",IF(SUMPRODUCT(-- ISNUMBER(SEARCH({"Formula","Roll-Up Summary"}, $B49))) &gt; 0,$B49 &amp; " (" &amp; $E49 &amp; ")",IF(SUMPRODUCT(-- ISNUMBER(SEARCH({"Content","Currency","Number","Percent","Text","URL"}, $B49))) &gt; 0,$B49 &amp; "(" &amp; $C49 &amp; ")",$B49)))), "  ", TRIM(IF($S49 = "YES", "(External ID)", "") &amp; " " &amp; IF(SUMPRODUCT(-- ISNUMBER(SEARCH({"Unique","Unique Case Insensitive"}, $R49))) &gt; 0, "(" &amp; $R49 &amp; ")", ""))))</f>
        <v>na</v>
      </c>
      <c r="E49" s="7" t="s">
        <v>195</v>
      </c>
      <c r="F49" s="7" t="s">
        <v>195</v>
      </c>
      <c r="G49" s="7" t="s">
        <v>195</v>
      </c>
      <c r="H49" s="7" t="s">
        <v>195</v>
      </c>
      <c r="I49" s="7" t="s">
        <v>195</v>
      </c>
      <c r="J49" s="7" t="s">
        <v>195</v>
      </c>
      <c r="K49" s="7" t="s">
        <v>195</v>
      </c>
      <c r="L49" s="7" t="s">
        <v>195</v>
      </c>
      <c r="M49" s="7" t="s">
        <v>29</v>
      </c>
      <c r="N49" s="7" t="s">
        <v>29</v>
      </c>
      <c r="O49" s="7" t="s">
        <v>29</v>
      </c>
      <c r="P49" s="7" t="s">
        <v>29</v>
      </c>
      <c r="Q49" s="7" t="s">
        <v>29</v>
      </c>
      <c r="R49" s="7" t="s">
        <v>29</v>
      </c>
      <c r="S49" s="7" t="s">
        <v>29</v>
      </c>
    </row>
    <row r="50" spans="2:19">
      <c r="B50" s="7" t="s">
        <v>195</v>
      </c>
      <c r="C50" s="8" t="s">
        <v>195</v>
      </c>
      <c r="D50" s="5" t="str">
        <f>LRTRIM(CONCATENATE(IF(SUMPRODUCT(-- ISNUMBER(SEARCH({"Auto Number"}, $B50))) &gt; 0, $B50, IF(SUMPRODUCT(-- ISNUMBER(SEARCH({"Lookup","Master-Detail"}, $B50))) &gt; 0,$B50 &amp; "(" &amp; $E50 &amp; ")",IF(SUMPRODUCT(-- ISNUMBER(SEARCH({"Formula","Roll-Up Summary"}, $B50))) &gt; 0,$B50 &amp; " (" &amp; $E50 &amp; ")",IF(SUMPRODUCT(-- ISNUMBER(SEARCH({"Content","Currency","Number","Percent","Text","URL"}, $B50))) &gt; 0,$B50 &amp; "(" &amp; $C50 &amp; ")",$B50)))), "  ", TRIM(IF($S50 = "YES", "(External ID)", "") &amp; " " &amp; IF(SUMPRODUCT(-- ISNUMBER(SEARCH({"Unique","Unique Case Insensitive"}, $R50))) &gt; 0, "(" &amp; $R50 &amp; ")", ""))))</f>
        <v>na</v>
      </c>
      <c r="E50" s="7" t="s">
        <v>195</v>
      </c>
      <c r="F50" s="7" t="s">
        <v>195</v>
      </c>
      <c r="G50" s="7" t="s">
        <v>195</v>
      </c>
      <c r="H50" s="7" t="s">
        <v>195</v>
      </c>
      <c r="I50" s="7" t="s">
        <v>195</v>
      </c>
      <c r="J50" s="7" t="s">
        <v>195</v>
      </c>
      <c r="K50" s="7" t="s">
        <v>195</v>
      </c>
      <c r="L50" s="7" t="s">
        <v>195</v>
      </c>
      <c r="M50" s="7" t="s">
        <v>29</v>
      </c>
      <c r="N50" s="7" t="s">
        <v>29</v>
      </c>
      <c r="O50" s="7" t="s">
        <v>29</v>
      </c>
      <c r="P50" s="7" t="s">
        <v>29</v>
      </c>
      <c r="Q50" s="7" t="s">
        <v>29</v>
      </c>
      <c r="R50" s="7" t="s">
        <v>29</v>
      </c>
      <c r="S50" s="7" t="s">
        <v>29</v>
      </c>
    </row>
    <row r="51" spans="2:19">
      <c r="B51" s="7" t="s">
        <v>195</v>
      </c>
      <c r="C51" s="8" t="s">
        <v>195</v>
      </c>
      <c r="D51" s="5" t="str">
        <f>LRTRIM(CONCATENATE(IF(SUMPRODUCT(-- ISNUMBER(SEARCH({"Auto Number"}, $B51))) &gt; 0, $B51, IF(SUMPRODUCT(-- ISNUMBER(SEARCH({"Lookup","Master-Detail"}, $B51))) &gt; 0,$B51 &amp; "(" &amp; $E51 &amp; ")",IF(SUMPRODUCT(-- ISNUMBER(SEARCH({"Formula","Roll-Up Summary"}, $B51))) &gt; 0,$B51 &amp; " (" &amp; $E51 &amp; ")",IF(SUMPRODUCT(-- ISNUMBER(SEARCH({"Content","Currency","Number","Percent","Text","URL"}, $B51))) &gt; 0,$B51 &amp; "(" &amp; $C51 &amp; ")",$B51)))), "  ", TRIM(IF($S51 = "YES", "(External ID)", "") &amp; " " &amp; IF(SUMPRODUCT(-- ISNUMBER(SEARCH({"Unique","Unique Case Insensitive"}, $R51))) &gt; 0, "(" &amp; $R51 &amp; ")", ""))))</f>
        <v>na</v>
      </c>
      <c r="E51" s="7" t="s">
        <v>195</v>
      </c>
      <c r="F51" s="7" t="s">
        <v>195</v>
      </c>
      <c r="G51" s="7" t="s">
        <v>195</v>
      </c>
      <c r="H51" s="7" t="s">
        <v>195</v>
      </c>
      <c r="I51" s="7" t="s">
        <v>195</v>
      </c>
      <c r="J51" s="7" t="s">
        <v>195</v>
      </c>
      <c r="K51" s="7" t="s">
        <v>195</v>
      </c>
      <c r="L51" s="7" t="s">
        <v>195</v>
      </c>
      <c r="M51" s="7" t="s">
        <v>29</v>
      </c>
      <c r="N51" s="7" t="s">
        <v>29</v>
      </c>
      <c r="O51" s="7" t="s">
        <v>29</v>
      </c>
      <c r="P51" s="7" t="s">
        <v>29</v>
      </c>
      <c r="Q51" s="7" t="s">
        <v>29</v>
      </c>
      <c r="R51" s="7" t="s">
        <v>29</v>
      </c>
      <c r="S51" s="7" t="s">
        <v>29</v>
      </c>
    </row>
    <row r="52" spans="2:19">
      <c r="B52" s="7" t="s">
        <v>195</v>
      </c>
      <c r="C52" s="8" t="s">
        <v>195</v>
      </c>
      <c r="D52" s="5" t="str">
        <f>LRTRIM(CONCATENATE(IF(SUMPRODUCT(-- ISNUMBER(SEARCH({"Auto Number"}, $B52))) &gt; 0, $B52, IF(SUMPRODUCT(-- ISNUMBER(SEARCH({"Lookup","Master-Detail"}, $B52))) &gt; 0,$B52 &amp; "(" &amp; $E52 &amp; ")",IF(SUMPRODUCT(-- ISNUMBER(SEARCH({"Formula","Roll-Up Summary"}, $B52))) &gt; 0,$B52 &amp; " (" &amp; $E52 &amp; ")",IF(SUMPRODUCT(-- ISNUMBER(SEARCH({"Content","Currency","Number","Percent","Text","URL"}, $B52))) &gt; 0,$B52 &amp; "(" &amp; $C52 &amp; ")",$B52)))), "  ", TRIM(IF($S52 = "YES", "(External ID)", "") &amp; " " &amp; IF(SUMPRODUCT(-- ISNUMBER(SEARCH({"Unique","Unique Case Insensitive"}, $R52))) &gt; 0, "(" &amp; $R52 &amp; ")", ""))))</f>
        <v>na</v>
      </c>
      <c r="E52" s="7" t="s">
        <v>195</v>
      </c>
      <c r="F52" s="7" t="s">
        <v>195</v>
      </c>
      <c r="G52" s="7" t="s">
        <v>195</v>
      </c>
      <c r="H52" s="7" t="s">
        <v>195</v>
      </c>
      <c r="I52" s="7" t="s">
        <v>195</v>
      </c>
      <c r="J52" s="7" t="s">
        <v>195</v>
      </c>
      <c r="K52" s="7" t="s">
        <v>195</v>
      </c>
      <c r="L52" s="7" t="s">
        <v>195</v>
      </c>
      <c r="M52" s="7" t="s">
        <v>29</v>
      </c>
      <c r="N52" s="7" t="s">
        <v>29</v>
      </c>
      <c r="O52" s="7" t="s">
        <v>29</v>
      </c>
      <c r="P52" s="7" t="s">
        <v>29</v>
      </c>
      <c r="Q52" s="7" t="s">
        <v>29</v>
      </c>
      <c r="R52" s="7" t="s">
        <v>29</v>
      </c>
      <c r="S52" s="7" t="s">
        <v>29</v>
      </c>
    </row>
    <row r="53" spans="2:19">
      <c r="B53" s="7" t="s">
        <v>195</v>
      </c>
      <c r="C53" s="8" t="s">
        <v>195</v>
      </c>
      <c r="D53" s="5" t="str">
        <f>LRTRIM(CONCATENATE(IF(SUMPRODUCT(-- ISNUMBER(SEARCH({"Auto Number"}, $B53))) &gt; 0, $B53, IF(SUMPRODUCT(-- ISNUMBER(SEARCH({"Lookup","Master-Detail"}, $B53))) &gt; 0,$B53 &amp; "(" &amp; $E53 &amp; ")",IF(SUMPRODUCT(-- ISNUMBER(SEARCH({"Formula","Roll-Up Summary"}, $B53))) &gt; 0,$B53 &amp; " (" &amp; $E53 &amp; ")",IF(SUMPRODUCT(-- ISNUMBER(SEARCH({"Content","Currency","Number","Percent","Text","URL"}, $B53))) &gt; 0,$B53 &amp; "(" &amp; $C53 &amp; ")",$B53)))), "  ", TRIM(IF($S53 = "YES", "(External ID)", "") &amp; " " &amp; IF(SUMPRODUCT(-- ISNUMBER(SEARCH({"Unique","Unique Case Insensitive"}, $R53))) &gt; 0, "(" &amp; $R53 &amp; ")", ""))))</f>
        <v>na</v>
      </c>
      <c r="E53" s="7" t="s">
        <v>195</v>
      </c>
      <c r="F53" s="7" t="s">
        <v>195</v>
      </c>
      <c r="G53" s="7" t="s">
        <v>195</v>
      </c>
      <c r="H53" s="7" t="s">
        <v>195</v>
      </c>
      <c r="I53" s="7" t="s">
        <v>195</v>
      </c>
      <c r="J53" s="7" t="s">
        <v>195</v>
      </c>
      <c r="K53" s="7" t="s">
        <v>195</v>
      </c>
      <c r="L53" s="7" t="s">
        <v>195</v>
      </c>
      <c r="M53" s="7" t="s">
        <v>29</v>
      </c>
      <c r="N53" s="7" t="s">
        <v>29</v>
      </c>
      <c r="O53" s="7" t="s">
        <v>29</v>
      </c>
      <c r="P53" s="7" t="s">
        <v>29</v>
      </c>
      <c r="Q53" s="7" t="s">
        <v>29</v>
      </c>
      <c r="R53" s="7" t="s">
        <v>29</v>
      </c>
      <c r="S53" s="7" t="s">
        <v>29</v>
      </c>
    </row>
    <row r="54" spans="2:19">
      <c r="B54" s="7" t="s">
        <v>195</v>
      </c>
      <c r="C54" s="8" t="s">
        <v>195</v>
      </c>
      <c r="D54" s="5" t="str">
        <f>LRTRIM(CONCATENATE(IF(SUMPRODUCT(-- ISNUMBER(SEARCH({"Auto Number"}, $B54))) &gt; 0, $B54, IF(SUMPRODUCT(-- ISNUMBER(SEARCH({"Lookup","Master-Detail"}, $B54))) &gt; 0,$B54 &amp; "(" &amp; $E54 &amp; ")",IF(SUMPRODUCT(-- ISNUMBER(SEARCH({"Formula","Roll-Up Summary"}, $B54))) &gt; 0,$B54 &amp; " (" &amp; $E54 &amp; ")",IF(SUMPRODUCT(-- ISNUMBER(SEARCH({"Content","Currency","Number","Percent","Text","URL"}, $B54))) &gt; 0,$B54 &amp; "(" &amp; $C54 &amp; ")",$B54)))), "  ", TRIM(IF($S54 = "YES", "(External ID)", "") &amp; " " &amp; IF(SUMPRODUCT(-- ISNUMBER(SEARCH({"Unique","Unique Case Insensitive"}, $R54))) &gt; 0, "(" &amp; $R54 &amp; ")", ""))))</f>
        <v>na</v>
      </c>
      <c r="E54" s="7" t="s">
        <v>195</v>
      </c>
      <c r="F54" s="7" t="s">
        <v>195</v>
      </c>
      <c r="G54" s="7" t="s">
        <v>195</v>
      </c>
      <c r="H54" s="7" t="s">
        <v>195</v>
      </c>
      <c r="I54" s="7" t="s">
        <v>195</v>
      </c>
      <c r="J54" s="7" t="s">
        <v>195</v>
      </c>
      <c r="K54" s="7" t="s">
        <v>195</v>
      </c>
      <c r="L54" s="7" t="s">
        <v>195</v>
      </c>
      <c r="M54" s="7" t="s">
        <v>29</v>
      </c>
      <c r="N54" s="7" t="s">
        <v>29</v>
      </c>
      <c r="O54" s="7" t="s">
        <v>29</v>
      </c>
      <c r="P54" s="7" t="s">
        <v>29</v>
      </c>
      <c r="Q54" s="7" t="s">
        <v>29</v>
      </c>
      <c r="R54" s="7" t="s">
        <v>29</v>
      </c>
      <c r="S54" s="7" t="s">
        <v>29</v>
      </c>
    </row>
    <row r="55" spans="2:19">
      <c r="B55" s="7" t="s">
        <v>195</v>
      </c>
      <c r="C55" s="8" t="s">
        <v>195</v>
      </c>
      <c r="D55" s="5" t="str">
        <f>LRTRIM(CONCATENATE(IF(SUMPRODUCT(-- ISNUMBER(SEARCH({"Auto Number"}, $B55))) &gt; 0, $B55, IF(SUMPRODUCT(-- ISNUMBER(SEARCH({"Lookup","Master-Detail"}, $B55))) &gt; 0,$B55 &amp; "(" &amp; $E55 &amp; ")",IF(SUMPRODUCT(-- ISNUMBER(SEARCH({"Formula","Roll-Up Summary"}, $B55))) &gt; 0,$B55 &amp; " (" &amp; $E55 &amp; ")",IF(SUMPRODUCT(-- ISNUMBER(SEARCH({"Content","Currency","Number","Percent","Text","URL"}, $B55))) &gt; 0,$B55 &amp; "(" &amp; $C55 &amp; ")",$B55)))), "  ", TRIM(IF($S55 = "YES", "(External ID)", "") &amp; " " &amp; IF(SUMPRODUCT(-- ISNUMBER(SEARCH({"Unique","Unique Case Insensitive"}, $R55))) &gt; 0, "(" &amp; $R55 &amp; ")", ""))))</f>
        <v>na</v>
      </c>
      <c r="E55" s="7" t="s">
        <v>195</v>
      </c>
      <c r="F55" s="7" t="s">
        <v>195</v>
      </c>
      <c r="G55" s="7" t="s">
        <v>195</v>
      </c>
      <c r="H55" s="7" t="s">
        <v>195</v>
      </c>
      <c r="I55" s="7" t="s">
        <v>195</v>
      </c>
      <c r="J55" s="7" t="s">
        <v>195</v>
      </c>
      <c r="K55" s="7" t="s">
        <v>195</v>
      </c>
      <c r="L55" s="7" t="s">
        <v>195</v>
      </c>
      <c r="M55" s="7" t="s">
        <v>29</v>
      </c>
      <c r="N55" s="7" t="s">
        <v>29</v>
      </c>
      <c r="O55" s="7" t="s">
        <v>29</v>
      </c>
      <c r="P55" s="7" t="s">
        <v>29</v>
      </c>
      <c r="Q55" s="7" t="s">
        <v>29</v>
      </c>
      <c r="R55" s="7" t="s">
        <v>29</v>
      </c>
      <c r="S55" s="7" t="s">
        <v>29</v>
      </c>
    </row>
    <row r="56" spans="2:19">
      <c r="B56" s="7" t="s">
        <v>195</v>
      </c>
      <c r="C56" s="8" t="s">
        <v>195</v>
      </c>
      <c r="D56" s="5" t="str">
        <f>LRTRIM(CONCATENATE(IF(SUMPRODUCT(-- ISNUMBER(SEARCH({"Auto Number"}, $B56))) &gt; 0, $B56, IF(SUMPRODUCT(-- ISNUMBER(SEARCH({"Lookup","Master-Detail"}, $B56))) &gt; 0,$B56 &amp; "(" &amp; $E56 &amp; ")",IF(SUMPRODUCT(-- ISNUMBER(SEARCH({"Formula","Roll-Up Summary"}, $B56))) &gt; 0,$B56 &amp; " (" &amp; $E56 &amp; ")",IF(SUMPRODUCT(-- ISNUMBER(SEARCH({"Content","Currency","Number","Percent","Text","URL"}, $B56))) &gt; 0,$B56 &amp; "(" &amp; $C56 &amp; ")",$B56)))), "  ", TRIM(IF($S56 = "YES", "(External ID)", "") &amp; " " &amp; IF(SUMPRODUCT(-- ISNUMBER(SEARCH({"Unique","Unique Case Insensitive"}, $R56))) &gt; 0, "(" &amp; $R56 &amp; ")", ""))))</f>
        <v>na</v>
      </c>
      <c r="E56" s="7" t="s">
        <v>195</v>
      </c>
      <c r="F56" s="7" t="s">
        <v>195</v>
      </c>
      <c r="G56" s="7" t="s">
        <v>195</v>
      </c>
      <c r="H56" s="7" t="s">
        <v>195</v>
      </c>
      <c r="I56" s="7" t="s">
        <v>195</v>
      </c>
      <c r="J56" s="7" t="s">
        <v>195</v>
      </c>
      <c r="K56" s="7" t="s">
        <v>195</v>
      </c>
      <c r="L56" s="7" t="s">
        <v>195</v>
      </c>
      <c r="M56" s="7" t="s">
        <v>29</v>
      </c>
      <c r="N56" s="7" t="s">
        <v>29</v>
      </c>
      <c r="O56" s="7" t="s">
        <v>29</v>
      </c>
      <c r="P56" s="7" t="s">
        <v>29</v>
      </c>
      <c r="Q56" s="7" t="s">
        <v>29</v>
      </c>
      <c r="R56" s="7" t="s">
        <v>29</v>
      </c>
      <c r="S56" s="7" t="s">
        <v>29</v>
      </c>
    </row>
    <row r="57" spans="2:19">
      <c r="B57" s="7" t="s">
        <v>195</v>
      </c>
      <c r="C57" s="8" t="s">
        <v>195</v>
      </c>
      <c r="D57" s="5" t="str">
        <f>LRTRIM(CONCATENATE(IF(SUMPRODUCT(-- ISNUMBER(SEARCH({"Auto Number"}, $B57))) &gt; 0, $B57, IF(SUMPRODUCT(-- ISNUMBER(SEARCH({"Lookup","Master-Detail"}, $B57))) &gt; 0,$B57 &amp; "(" &amp; $E57 &amp; ")",IF(SUMPRODUCT(-- ISNUMBER(SEARCH({"Formula","Roll-Up Summary"}, $B57))) &gt; 0,$B57 &amp; " (" &amp; $E57 &amp; ")",IF(SUMPRODUCT(-- ISNUMBER(SEARCH({"Content","Currency","Number","Percent","Text","URL"}, $B57))) &gt; 0,$B57 &amp; "(" &amp; $C57 &amp; ")",$B57)))), "  ", TRIM(IF($S57 = "YES", "(External ID)", "") &amp; " " &amp; IF(SUMPRODUCT(-- ISNUMBER(SEARCH({"Unique","Unique Case Insensitive"}, $R57))) &gt; 0, "(" &amp; $R57 &amp; ")", ""))))</f>
        <v>na</v>
      </c>
      <c r="E57" s="7" t="s">
        <v>195</v>
      </c>
      <c r="F57" s="7" t="s">
        <v>195</v>
      </c>
      <c r="G57" s="7" t="s">
        <v>195</v>
      </c>
      <c r="H57" s="7" t="s">
        <v>195</v>
      </c>
      <c r="I57" s="7" t="s">
        <v>195</v>
      </c>
      <c r="J57" s="7" t="s">
        <v>195</v>
      </c>
      <c r="K57" s="7" t="s">
        <v>195</v>
      </c>
      <c r="L57" s="7" t="s">
        <v>195</v>
      </c>
      <c r="M57" s="7" t="s">
        <v>29</v>
      </c>
      <c r="N57" s="7" t="s">
        <v>29</v>
      </c>
      <c r="O57" s="7" t="s">
        <v>29</v>
      </c>
      <c r="P57" s="7" t="s">
        <v>29</v>
      </c>
      <c r="Q57" s="7" t="s">
        <v>29</v>
      </c>
      <c r="R57" s="7" t="s">
        <v>29</v>
      </c>
      <c r="S57" s="7" t="s">
        <v>29</v>
      </c>
    </row>
    <row r="58" spans="2:19">
      <c r="B58" s="7" t="s">
        <v>195</v>
      </c>
      <c r="C58" s="8" t="s">
        <v>195</v>
      </c>
      <c r="D58" s="5" t="str">
        <f>LRTRIM(CONCATENATE(IF(SUMPRODUCT(-- ISNUMBER(SEARCH({"Auto Number"}, $B58))) &gt; 0, $B58, IF(SUMPRODUCT(-- ISNUMBER(SEARCH({"Lookup","Master-Detail"}, $B58))) &gt; 0,$B58 &amp; "(" &amp; $E58 &amp; ")",IF(SUMPRODUCT(-- ISNUMBER(SEARCH({"Formula","Roll-Up Summary"}, $B58))) &gt; 0,$B58 &amp; " (" &amp; $E58 &amp; ")",IF(SUMPRODUCT(-- ISNUMBER(SEARCH({"Content","Currency","Number","Percent","Text","URL"}, $B58))) &gt; 0,$B58 &amp; "(" &amp; $C58 &amp; ")",$B58)))), "  ", TRIM(IF($S58 = "YES", "(External ID)", "") &amp; " " &amp; IF(SUMPRODUCT(-- ISNUMBER(SEARCH({"Unique","Unique Case Insensitive"}, $R58))) &gt; 0, "(" &amp; $R58 &amp; ")", ""))))</f>
        <v>na</v>
      </c>
      <c r="E58" s="7" t="s">
        <v>195</v>
      </c>
      <c r="F58" s="7" t="s">
        <v>195</v>
      </c>
      <c r="G58" s="7" t="s">
        <v>195</v>
      </c>
      <c r="H58" s="7" t="s">
        <v>195</v>
      </c>
      <c r="I58" s="7" t="s">
        <v>195</v>
      </c>
      <c r="J58" s="7" t="s">
        <v>195</v>
      </c>
      <c r="K58" s="7" t="s">
        <v>195</v>
      </c>
      <c r="L58" s="7" t="s">
        <v>195</v>
      </c>
      <c r="M58" s="7" t="s">
        <v>29</v>
      </c>
      <c r="N58" s="7" t="s">
        <v>29</v>
      </c>
      <c r="O58" s="7" t="s">
        <v>29</v>
      </c>
      <c r="P58" s="7" t="s">
        <v>29</v>
      </c>
      <c r="Q58" s="7" t="s">
        <v>29</v>
      </c>
      <c r="R58" s="7" t="s">
        <v>29</v>
      </c>
      <c r="S58" s="7" t="s">
        <v>29</v>
      </c>
    </row>
    <row r="59" spans="2:19">
      <c r="B59" s="7" t="s">
        <v>195</v>
      </c>
      <c r="C59" s="8" t="s">
        <v>195</v>
      </c>
      <c r="D59" s="5" t="str">
        <f>LRTRIM(CONCATENATE(IF(SUMPRODUCT(-- ISNUMBER(SEARCH({"Auto Number"}, $B59))) &gt; 0, $B59, IF(SUMPRODUCT(-- ISNUMBER(SEARCH({"Lookup","Master-Detail"}, $B59))) &gt; 0,$B59 &amp; "(" &amp; $E59 &amp; ")",IF(SUMPRODUCT(-- ISNUMBER(SEARCH({"Formula","Roll-Up Summary"}, $B59))) &gt; 0,$B59 &amp; " (" &amp; $E59 &amp; ")",IF(SUMPRODUCT(-- ISNUMBER(SEARCH({"Content","Currency","Number","Percent","Text","URL"}, $B59))) &gt; 0,$B59 &amp; "(" &amp; $C59 &amp; ")",$B59)))), "  ", TRIM(IF($S59 = "YES", "(External ID)", "") &amp; " " &amp; IF(SUMPRODUCT(-- ISNUMBER(SEARCH({"Unique","Unique Case Insensitive"}, $R59))) &gt; 0, "(" &amp; $R59 &amp; ")", ""))))</f>
        <v>na</v>
      </c>
      <c r="E59" s="7" t="s">
        <v>195</v>
      </c>
      <c r="F59" s="7" t="s">
        <v>195</v>
      </c>
      <c r="G59" s="7" t="s">
        <v>195</v>
      </c>
      <c r="H59" s="7" t="s">
        <v>195</v>
      </c>
      <c r="I59" s="7" t="s">
        <v>195</v>
      </c>
      <c r="J59" s="7" t="s">
        <v>195</v>
      </c>
      <c r="K59" s="7" t="s">
        <v>195</v>
      </c>
      <c r="L59" s="7" t="s">
        <v>195</v>
      </c>
      <c r="M59" s="7" t="s">
        <v>29</v>
      </c>
      <c r="N59" s="7" t="s">
        <v>29</v>
      </c>
      <c r="O59" s="7" t="s">
        <v>29</v>
      </c>
      <c r="P59" s="7" t="s">
        <v>29</v>
      </c>
      <c r="Q59" s="7" t="s">
        <v>29</v>
      </c>
      <c r="R59" s="7" t="s">
        <v>29</v>
      </c>
      <c r="S59" s="7" t="s">
        <v>29</v>
      </c>
    </row>
    <row r="60" spans="2:19">
      <c r="B60" s="7" t="s">
        <v>195</v>
      </c>
      <c r="C60" s="8" t="s">
        <v>195</v>
      </c>
      <c r="D60" s="5" t="str">
        <f>LRTRIM(CONCATENATE(IF(SUMPRODUCT(-- ISNUMBER(SEARCH({"Auto Number"}, $B60))) &gt; 0, $B60, IF(SUMPRODUCT(-- ISNUMBER(SEARCH({"Lookup","Master-Detail"}, $B60))) &gt; 0,$B60 &amp; "(" &amp; $E60 &amp; ")",IF(SUMPRODUCT(-- ISNUMBER(SEARCH({"Formula","Roll-Up Summary"}, $B60))) &gt; 0,$B60 &amp; " (" &amp; $E60 &amp; ")",IF(SUMPRODUCT(-- ISNUMBER(SEARCH({"Content","Currency","Number","Percent","Text","URL"}, $B60))) &gt; 0,$B60 &amp; "(" &amp; $C60 &amp; ")",$B60)))), "  ", TRIM(IF($S60 = "YES", "(External ID)", "") &amp; " " &amp; IF(SUMPRODUCT(-- ISNUMBER(SEARCH({"Unique","Unique Case Insensitive"}, $R60))) &gt; 0, "(" &amp; $R60 &amp; ")", ""))))</f>
        <v>na</v>
      </c>
      <c r="E60" s="7" t="s">
        <v>195</v>
      </c>
      <c r="F60" s="7" t="s">
        <v>195</v>
      </c>
      <c r="G60" s="7" t="s">
        <v>195</v>
      </c>
      <c r="H60" s="7" t="s">
        <v>195</v>
      </c>
      <c r="I60" s="7" t="s">
        <v>195</v>
      </c>
      <c r="J60" s="7" t="s">
        <v>195</v>
      </c>
      <c r="K60" s="7" t="s">
        <v>195</v>
      </c>
      <c r="L60" s="7" t="s">
        <v>195</v>
      </c>
      <c r="M60" s="7" t="s">
        <v>29</v>
      </c>
      <c r="N60" s="7" t="s">
        <v>29</v>
      </c>
      <c r="O60" s="7" t="s">
        <v>29</v>
      </c>
      <c r="P60" s="7" t="s">
        <v>29</v>
      </c>
      <c r="Q60" s="7" t="s">
        <v>29</v>
      </c>
      <c r="R60" s="7" t="s">
        <v>29</v>
      </c>
      <c r="S60" s="7" t="s">
        <v>29</v>
      </c>
    </row>
    <row r="61" spans="2:19">
      <c r="B61" s="7" t="s">
        <v>195</v>
      </c>
      <c r="C61" s="8" t="s">
        <v>195</v>
      </c>
      <c r="D61" s="5" t="str">
        <f>LRTRIM(CONCATENATE(IF(SUMPRODUCT(-- ISNUMBER(SEARCH({"Auto Number"}, $B61))) &gt; 0, $B61, IF(SUMPRODUCT(-- ISNUMBER(SEARCH({"Lookup","Master-Detail"}, $B61))) &gt; 0,$B61 &amp; "(" &amp; $E61 &amp; ")",IF(SUMPRODUCT(-- ISNUMBER(SEARCH({"Formula","Roll-Up Summary"}, $B61))) &gt; 0,$B61 &amp; " (" &amp; $E61 &amp; ")",IF(SUMPRODUCT(-- ISNUMBER(SEARCH({"Content","Currency","Number","Percent","Text","URL"}, $B61))) &gt; 0,$B61 &amp; "(" &amp; $C61 &amp; ")",$B61)))), "  ", TRIM(IF($S61 = "YES", "(External ID)", "") &amp; " " &amp; IF(SUMPRODUCT(-- ISNUMBER(SEARCH({"Unique","Unique Case Insensitive"}, $R61))) &gt; 0, "(" &amp; $R61 &amp; ")", ""))))</f>
        <v>na</v>
      </c>
      <c r="E61" s="7" t="s">
        <v>195</v>
      </c>
      <c r="F61" s="7" t="s">
        <v>195</v>
      </c>
      <c r="G61" s="7" t="s">
        <v>195</v>
      </c>
      <c r="H61" s="7" t="s">
        <v>195</v>
      </c>
      <c r="I61" s="7" t="s">
        <v>195</v>
      </c>
      <c r="J61" s="7" t="s">
        <v>195</v>
      </c>
      <c r="K61" s="7" t="s">
        <v>195</v>
      </c>
      <c r="L61" s="7" t="s">
        <v>195</v>
      </c>
      <c r="M61" s="7" t="s">
        <v>29</v>
      </c>
      <c r="N61" s="7" t="s">
        <v>29</v>
      </c>
      <c r="O61" s="7" t="s">
        <v>29</v>
      </c>
      <c r="P61" s="7" t="s">
        <v>29</v>
      </c>
      <c r="Q61" s="7" t="s">
        <v>29</v>
      </c>
      <c r="R61" s="7" t="s">
        <v>29</v>
      </c>
      <c r="S61" s="7" t="s">
        <v>29</v>
      </c>
    </row>
    <row r="62" spans="2:19">
      <c r="B62" s="7" t="s">
        <v>195</v>
      </c>
      <c r="C62" s="8" t="s">
        <v>195</v>
      </c>
      <c r="D62" s="5" t="str">
        <f>LRTRIM(CONCATENATE(IF(SUMPRODUCT(-- ISNUMBER(SEARCH({"Auto Number"}, $B62))) &gt; 0, $B62, IF(SUMPRODUCT(-- ISNUMBER(SEARCH({"Lookup","Master-Detail"}, $B62))) &gt; 0,$B62 &amp; "(" &amp; $E62 &amp; ")",IF(SUMPRODUCT(-- ISNUMBER(SEARCH({"Formula","Roll-Up Summary"}, $B62))) &gt; 0,$B62 &amp; " (" &amp; $E62 &amp; ")",IF(SUMPRODUCT(-- ISNUMBER(SEARCH({"Content","Currency","Number","Percent","Text","URL"}, $B62))) &gt; 0,$B62 &amp; "(" &amp; $C62 &amp; ")",$B62)))), "  ", TRIM(IF($S62 = "YES", "(External ID)", "") &amp; " " &amp; IF(SUMPRODUCT(-- ISNUMBER(SEARCH({"Unique","Unique Case Insensitive"}, $R62))) &gt; 0, "(" &amp; $R62 &amp; ")", ""))))</f>
        <v>na</v>
      </c>
      <c r="E62" s="7" t="s">
        <v>195</v>
      </c>
      <c r="F62" s="7" t="s">
        <v>195</v>
      </c>
      <c r="G62" s="7" t="s">
        <v>195</v>
      </c>
      <c r="H62" s="7" t="s">
        <v>195</v>
      </c>
      <c r="I62" s="7" t="s">
        <v>195</v>
      </c>
      <c r="J62" s="7" t="s">
        <v>195</v>
      </c>
      <c r="K62" s="7" t="s">
        <v>195</v>
      </c>
      <c r="L62" s="7" t="s">
        <v>195</v>
      </c>
      <c r="M62" s="7" t="s">
        <v>29</v>
      </c>
      <c r="N62" s="7" t="s">
        <v>29</v>
      </c>
      <c r="O62" s="7" t="s">
        <v>29</v>
      </c>
      <c r="P62" s="7" t="s">
        <v>29</v>
      </c>
      <c r="Q62" s="7" t="s">
        <v>29</v>
      </c>
      <c r="R62" s="7" t="s">
        <v>29</v>
      </c>
      <c r="S62" s="7" t="s">
        <v>29</v>
      </c>
    </row>
    <row r="63" spans="2:19">
      <c r="B63" s="7" t="s">
        <v>195</v>
      </c>
      <c r="C63" s="8" t="s">
        <v>195</v>
      </c>
      <c r="D63" s="5" t="str">
        <f>LRTRIM(CONCATENATE(IF(SUMPRODUCT(-- ISNUMBER(SEARCH({"Auto Number"}, $B63))) &gt; 0, $B63, IF(SUMPRODUCT(-- ISNUMBER(SEARCH({"Lookup","Master-Detail"}, $B63))) &gt; 0,$B63 &amp; "(" &amp; $E63 &amp; ")",IF(SUMPRODUCT(-- ISNUMBER(SEARCH({"Formula","Roll-Up Summary"}, $B63))) &gt; 0,$B63 &amp; " (" &amp; $E63 &amp; ")",IF(SUMPRODUCT(-- ISNUMBER(SEARCH({"Content","Currency","Number","Percent","Text","URL"}, $B63))) &gt; 0,$B63 &amp; "(" &amp; $C63 &amp; ")",$B63)))), "  ", TRIM(IF($S63 = "YES", "(External ID)", "") &amp; " " &amp; IF(SUMPRODUCT(-- ISNUMBER(SEARCH({"Unique","Unique Case Insensitive"}, $R63))) &gt; 0, "(" &amp; $R63 &amp; ")", ""))))</f>
        <v>na</v>
      </c>
      <c r="E63" s="7" t="s">
        <v>195</v>
      </c>
      <c r="F63" s="7" t="s">
        <v>195</v>
      </c>
      <c r="G63" s="7" t="s">
        <v>195</v>
      </c>
      <c r="H63" s="7" t="s">
        <v>195</v>
      </c>
      <c r="I63" s="7" t="s">
        <v>195</v>
      </c>
      <c r="J63" s="7" t="s">
        <v>195</v>
      </c>
      <c r="K63" s="7" t="s">
        <v>195</v>
      </c>
      <c r="L63" s="7" t="s">
        <v>195</v>
      </c>
      <c r="M63" s="7" t="s">
        <v>29</v>
      </c>
      <c r="N63" s="7" t="s">
        <v>29</v>
      </c>
      <c r="O63" s="7" t="s">
        <v>29</v>
      </c>
      <c r="P63" s="7" t="s">
        <v>29</v>
      </c>
      <c r="Q63" s="7" t="s">
        <v>29</v>
      </c>
      <c r="R63" s="7" t="s">
        <v>29</v>
      </c>
      <c r="S63" s="7" t="s">
        <v>29</v>
      </c>
    </row>
    <row r="64" spans="2:19">
      <c r="B64" s="7" t="s">
        <v>195</v>
      </c>
      <c r="C64" s="8" t="s">
        <v>195</v>
      </c>
      <c r="D64" s="5" t="str">
        <f>LRTRIM(CONCATENATE(IF(SUMPRODUCT(-- ISNUMBER(SEARCH({"Auto Number"}, $B64))) &gt; 0, $B64, IF(SUMPRODUCT(-- ISNUMBER(SEARCH({"Lookup","Master-Detail"}, $B64))) &gt; 0,$B64 &amp; "(" &amp; $E64 &amp; ")",IF(SUMPRODUCT(-- ISNUMBER(SEARCH({"Formula","Roll-Up Summary"}, $B64))) &gt; 0,$B64 &amp; " (" &amp; $E64 &amp; ")",IF(SUMPRODUCT(-- ISNUMBER(SEARCH({"Content","Currency","Number","Percent","Text","URL"}, $B64))) &gt; 0,$B64 &amp; "(" &amp; $C64 &amp; ")",$B64)))), "  ", TRIM(IF($S64 = "YES", "(External ID)", "") &amp; " " &amp; IF(SUMPRODUCT(-- ISNUMBER(SEARCH({"Unique","Unique Case Insensitive"}, $R64))) &gt; 0, "(" &amp; $R64 &amp; ")", ""))))</f>
        <v>na</v>
      </c>
      <c r="E64" s="7" t="s">
        <v>195</v>
      </c>
      <c r="F64" s="7" t="s">
        <v>195</v>
      </c>
      <c r="G64" s="7" t="s">
        <v>195</v>
      </c>
      <c r="H64" s="7" t="s">
        <v>195</v>
      </c>
      <c r="I64" s="7" t="s">
        <v>195</v>
      </c>
      <c r="J64" s="7" t="s">
        <v>195</v>
      </c>
      <c r="K64" s="7" t="s">
        <v>195</v>
      </c>
      <c r="L64" s="7" t="s">
        <v>195</v>
      </c>
      <c r="M64" s="7" t="s">
        <v>29</v>
      </c>
      <c r="N64" s="7" t="s">
        <v>29</v>
      </c>
      <c r="O64" s="7" t="s">
        <v>29</v>
      </c>
      <c r="P64" s="7" t="s">
        <v>29</v>
      </c>
      <c r="Q64" s="7" t="s">
        <v>29</v>
      </c>
      <c r="R64" s="7" t="s">
        <v>29</v>
      </c>
      <c r="S64" s="7" t="s">
        <v>29</v>
      </c>
    </row>
    <row r="65" spans="2:19">
      <c r="B65" s="7" t="s">
        <v>195</v>
      </c>
      <c r="C65" s="8" t="s">
        <v>195</v>
      </c>
      <c r="D65" s="5" t="str">
        <f>LRTRIM(CONCATENATE(IF(SUMPRODUCT(-- ISNUMBER(SEARCH({"Auto Number"}, $B65))) &gt; 0, $B65, IF(SUMPRODUCT(-- ISNUMBER(SEARCH({"Lookup","Master-Detail"}, $B65))) &gt; 0,$B65 &amp; "(" &amp; $E65 &amp; ")",IF(SUMPRODUCT(-- ISNUMBER(SEARCH({"Formula","Roll-Up Summary"}, $B65))) &gt; 0,$B65 &amp; " (" &amp; $E65 &amp; ")",IF(SUMPRODUCT(-- ISNUMBER(SEARCH({"Content","Currency","Number","Percent","Text","URL"}, $B65))) &gt; 0,$B65 &amp; "(" &amp; $C65 &amp; ")",$B65)))), "  ", TRIM(IF($S65 = "YES", "(External ID)", "") &amp; " " &amp; IF(SUMPRODUCT(-- ISNUMBER(SEARCH({"Unique","Unique Case Insensitive"}, $R65))) &gt; 0, "(" &amp; $R65 &amp; ")", ""))))</f>
        <v>na</v>
      </c>
      <c r="E65" s="7" t="s">
        <v>195</v>
      </c>
      <c r="F65" s="7" t="s">
        <v>195</v>
      </c>
      <c r="G65" s="7" t="s">
        <v>195</v>
      </c>
      <c r="H65" s="7" t="s">
        <v>195</v>
      </c>
      <c r="I65" s="7" t="s">
        <v>195</v>
      </c>
      <c r="J65" s="7" t="s">
        <v>195</v>
      </c>
      <c r="K65" s="7" t="s">
        <v>195</v>
      </c>
      <c r="L65" s="7" t="s">
        <v>195</v>
      </c>
      <c r="M65" s="7" t="s">
        <v>29</v>
      </c>
      <c r="N65" s="7" t="s">
        <v>29</v>
      </c>
      <c r="O65" s="7" t="s">
        <v>29</v>
      </c>
      <c r="P65" s="7" t="s">
        <v>29</v>
      </c>
      <c r="Q65" s="7" t="s">
        <v>29</v>
      </c>
      <c r="R65" s="7" t="s">
        <v>29</v>
      </c>
      <c r="S65" s="7" t="s">
        <v>29</v>
      </c>
    </row>
    <row r="66" spans="2:19">
      <c r="B66" s="7" t="s">
        <v>195</v>
      </c>
      <c r="C66" s="8" t="s">
        <v>195</v>
      </c>
      <c r="D66" s="5" t="str">
        <f>LRTRIM(CONCATENATE(IF(SUMPRODUCT(-- ISNUMBER(SEARCH({"Auto Number"}, $B66))) &gt; 0, $B66, IF(SUMPRODUCT(-- ISNUMBER(SEARCH({"Lookup","Master-Detail"}, $B66))) &gt; 0,$B66 &amp; "(" &amp; $E66 &amp; ")",IF(SUMPRODUCT(-- ISNUMBER(SEARCH({"Formula","Roll-Up Summary"}, $B66))) &gt; 0,$B66 &amp; " (" &amp; $E66 &amp; ")",IF(SUMPRODUCT(-- ISNUMBER(SEARCH({"Content","Currency","Number","Percent","Text","URL"}, $B66))) &gt; 0,$B66 &amp; "(" &amp; $C66 &amp; ")",$B66)))), "  ", TRIM(IF($S66 = "YES", "(External ID)", "") &amp; " " &amp; IF(SUMPRODUCT(-- ISNUMBER(SEARCH({"Unique","Unique Case Insensitive"}, $R66))) &gt; 0, "(" &amp; $R66 &amp; ")", ""))))</f>
        <v>na</v>
      </c>
      <c r="E66" s="7" t="s">
        <v>195</v>
      </c>
      <c r="F66" s="7" t="s">
        <v>195</v>
      </c>
      <c r="G66" s="7" t="s">
        <v>195</v>
      </c>
      <c r="H66" s="7" t="s">
        <v>195</v>
      </c>
      <c r="I66" s="7" t="s">
        <v>195</v>
      </c>
      <c r="J66" s="7" t="s">
        <v>195</v>
      </c>
      <c r="K66" s="7" t="s">
        <v>195</v>
      </c>
      <c r="L66" s="7" t="s">
        <v>195</v>
      </c>
      <c r="M66" s="7" t="s">
        <v>29</v>
      </c>
      <c r="N66" s="7" t="s">
        <v>29</v>
      </c>
      <c r="O66" s="7" t="s">
        <v>29</v>
      </c>
      <c r="P66" s="7" t="s">
        <v>29</v>
      </c>
      <c r="Q66" s="7" t="s">
        <v>29</v>
      </c>
      <c r="R66" s="7" t="s">
        <v>29</v>
      </c>
      <c r="S66" s="7" t="s">
        <v>29</v>
      </c>
    </row>
    <row r="67" spans="2:19">
      <c r="B67" s="7" t="s">
        <v>195</v>
      </c>
      <c r="C67" s="8" t="s">
        <v>195</v>
      </c>
      <c r="D67" s="5" t="str">
        <f>LRTRIM(CONCATENATE(IF(SUMPRODUCT(-- ISNUMBER(SEARCH({"Auto Number"}, $B67))) &gt; 0, $B67, IF(SUMPRODUCT(-- ISNUMBER(SEARCH({"Lookup","Master-Detail"}, $B67))) &gt; 0,$B67 &amp; "(" &amp; $E67 &amp; ")",IF(SUMPRODUCT(-- ISNUMBER(SEARCH({"Formula","Roll-Up Summary"}, $B67))) &gt; 0,$B67 &amp; " (" &amp; $E67 &amp; ")",IF(SUMPRODUCT(-- ISNUMBER(SEARCH({"Content","Currency","Number","Percent","Text","URL"}, $B67))) &gt; 0,$B67 &amp; "(" &amp; $C67 &amp; ")",$B67)))), "  ", TRIM(IF($S67 = "YES", "(External ID)", "") &amp; " " &amp; IF(SUMPRODUCT(-- ISNUMBER(SEARCH({"Unique","Unique Case Insensitive"}, $R67))) &gt; 0, "(" &amp; $R67 &amp; ")", ""))))</f>
        <v>na</v>
      </c>
      <c r="E67" s="7" t="s">
        <v>195</v>
      </c>
      <c r="F67" s="7" t="s">
        <v>195</v>
      </c>
      <c r="G67" s="7" t="s">
        <v>195</v>
      </c>
      <c r="H67" s="7" t="s">
        <v>195</v>
      </c>
      <c r="I67" s="7" t="s">
        <v>195</v>
      </c>
      <c r="J67" s="7" t="s">
        <v>195</v>
      </c>
      <c r="K67" s="7" t="s">
        <v>195</v>
      </c>
      <c r="L67" s="7" t="s">
        <v>195</v>
      </c>
      <c r="M67" s="7" t="s">
        <v>29</v>
      </c>
      <c r="N67" s="7" t="s">
        <v>29</v>
      </c>
      <c r="O67" s="7" t="s">
        <v>29</v>
      </c>
      <c r="P67" s="7" t="s">
        <v>29</v>
      </c>
      <c r="Q67" s="7" t="s">
        <v>29</v>
      </c>
      <c r="R67" s="7" t="s">
        <v>29</v>
      </c>
      <c r="S67" s="7" t="s">
        <v>29</v>
      </c>
    </row>
    <row r="68" spans="2:19">
      <c r="B68" s="7" t="s">
        <v>195</v>
      </c>
      <c r="C68" s="8" t="s">
        <v>195</v>
      </c>
      <c r="D68" s="5" t="str">
        <f>LRTRIM(CONCATENATE(IF(SUMPRODUCT(-- ISNUMBER(SEARCH({"Auto Number"}, $B68))) &gt; 0, $B68, IF(SUMPRODUCT(-- ISNUMBER(SEARCH({"Lookup","Master-Detail"}, $B68))) &gt; 0,$B68 &amp; "(" &amp; $E68 &amp; ")",IF(SUMPRODUCT(-- ISNUMBER(SEARCH({"Formula","Roll-Up Summary"}, $B68))) &gt; 0,$B68 &amp; " (" &amp; $E68 &amp; ")",IF(SUMPRODUCT(-- ISNUMBER(SEARCH({"Content","Currency","Number","Percent","Text","URL"}, $B68))) &gt; 0,$B68 &amp; "(" &amp; $C68 &amp; ")",$B68)))), "  ", TRIM(IF($S68 = "YES", "(External ID)", "") &amp; " " &amp; IF(SUMPRODUCT(-- ISNUMBER(SEARCH({"Unique","Unique Case Insensitive"}, $R68))) &gt; 0, "(" &amp; $R68 &amp; ")", ""))))</f>
        <v>na</v>
      </c>
      <c r="E68" s="7" t="s">
        <v>195</v>
      </c>
      <c r="F68" s="7" t="s">
        <v>195</v>
      </c>
      <c r="G68" s="7" t="s">
        <v>195</v>
      </c>
      <c r="H68" s="7" t="s">
        <v>195</v>
      </c>
      <c r="I68" s="7" t="s">
        <v>195</v>
      </c>
      <c r="J68" s="7" t="s">
        <v>195</v>
      </c>
      <c r="K68" s="7" t="s">
        <v>195</v>
      </c>
      <c r="L68" s="7" t="s">
        <v>195</v>
      </c>
      <c r="M68" s="7" t="s">
        <v>29</v>
      </c>
      <c r="N68" s="7" t="s">
        <v>29</v>
      </c>
      <c r="O68" s="7" t="s">
        <v>29</v>
      </c>
      <c r="P68" s="7" t="s">
        <v>29</v>
      </c>
      <c r="Q68" s="7" t="s">
        <v>29</v>
      </c>
      <c r="R68" s="7" t="s">
        <v>29</v>
      </c>
      <c r="S68" s="7" t="s">
        <v>29</v>
      </c>
    </row>
    <row r="69" spans="2:19">
      <c r="B69" s="7" t="s">
        <v>195</v>
      </c>
      <c r="C69" s="8" t="s">
        <v>195</v>
      </c>
      <c r="D69" s="5" t="str">
        <f>LRTRIM(CONCATENATE(IF(SUMPRODUCT(-- ISNUMBER(SEARCH({"Auto Number"}, $B69))) &gt; 0, $B69, IF(SUMPRODUCT(-- ISNUMBER(SEARCH({"Lookup","Master-Detail"}, $B69))) &gt; 0,$B69 &amp; "(" &amp; $E69 &amp; ")",IF(SUMPRODUCT(-- ISNUMBER(SEARCH({"Formula","Roll-Up Summary"}, $B69))) &gt; 0,$B69 &amp; " (" &amp; $E69 &amp; ")",IF(SUMPRODUCT(-- ISNUMBER(SEARCH({"Content","Currency","Number","Percent","Text","URL"}, $B69))) &gt; 0,$B69 &amp; "(" &amp; $C69 &amp; ")",$B69)))), "  ", TRIM(IF($S69 = "YES", "(External ID)", "") &amp; " " &amp; IF(SUMPRODUCT(-- ISNUMBER(SEARCH({"Unique","Unique Case Insensitive"}, $R69))) &gt; 0, "(" &amp; $R69 &amp; ")", ""))))</f>
        <v>na</v>
      </c>
      <c r="E69" s="7" t="s">
        <v>195</v>
      </c>
      <c r="F69" s="7" t="s">
        <v>195</v>
      </c>
      <c r="G69" s="7" t="s">
        <v>195</v>
      </c>
      <c r="H69" s="7" t="s">
        <v>195</v>
      </c>
      <c r="I69" s="7" t="s">
        <v>195</v>
      </c>
      <c r="J69" s="7" t="s">
        <v>195</v>
      </c>
      <c r="K69" s="7" t="s">
        <v>195</v>
      </c>
      <c r="L69" s="7" t="s">
        <v>195</v>
      </c>
      <c r="M69" s="7" t="s">
        <v>29</v>
      </c>
      <c r="N69" s="7" t="s">
        <v>29</v>
      </c>
      <c r="O69" s="7" t="s">
        <v>29</v>
      </c>
      <c r="P69" s="7" t="s">
        <v>29</v>
      </c>
      <c r="Q69" s="7" t="s">
        <v>29</v>
      </c>
      <c r="R69" s="7" t="s">
        <v>29</v>
      </c>
      <c r="S69" s="7" t="s">
        <v>29</v>
      </c>
    </row>
    <row r="70" spans="2:19">
      <c r="B70" s="7" t="s">
        <v>195</v>
      </c>
      <c r="C70" s="8" t="s">
        <v>195</v>
      </c>
      <c r="D70" s="5" t="str">
        <f>LRTRIM(CONCATENATE(IF(SUMPRODUCT(-- ISNUMBER(SEARCH({"Auto Number"}, $B70))) &gt; 0, $B70, IF(SUMPRODUCT(-- ISNUMBER(SEARCH({"Lookup","Master-Detail"}, $B70))) &gt; 0,$B70 &amp; "(" &amp; $E70 &amp; ")",IF(SUMPRODUCT(-- ISNUMBER(SEARCH({"Formula","Roll-Up Summary"}, $B70))) &gt; 0,$B70 &amp; " (" &amp; $E70 &amp; ")",IF(SUMPRODUCT(-- ISNUMBER(SEARCH({"Content","Currency","Number","Percent","Text","URL"}, $B70))) &gt; 0,$B70 &amp; "(" &amp; $C70 &amp; ")",$B70)))), "  ", TRIM(IF($S70 = "YES", "(External ID)", "") &amp; " " &amp; IF(SUMPRODUCT(-- ISNUMBER(SEARCH({"Unique","Unique Case Insensitive"}, $R70))) &gt; 0, "(" &amp; $R70 &amp; ")", ""))))</f>
        <v>na</v>
      </c>
      <c r="E70" s="7" t="s">
        <v>195</v>
      </c>
      <c r="F70" s="7" t="s">
        <v>195</v>
      </c>
      <c r="G70" s="7" t="s">
        <v>195</v>
      </c>
      <c r="H70" s="7" t="s">
        <v>195</v>
      </c>
      <c r="I70" s="7" t="s">
        <v>195</v>
      </c>
      <c r="J70" s="7" t="s">
        <v>195</v>
      </c>
      <c r="K70" s="7" t="s">
        <v>195</v>
      </c>
      <c r="L70" s="7" t="s">
        <v>195</v>
      </c>
      <c r="M70" s="7" t="s">
        <v>29</v>
      </c>
      <c r="N70" s="7" t="s">
        <v>29</v>
      </c>
      <c r="O70" s="7" t="s">
        <v>29</v>
      </c>
      <c r="P70" s="7" t="s">
        <v>29</v>
      </c>
      <c r="Q70" s="7" t="s">
        <v>29</v>
      </c>
      <c r="R70" s="7" t="s">
        <v>29</v>
      </c>
      <c r="S70" s="7" t="s">
        <v>29</v>
      </c>
    </row>
    <row r="71" spans="2:19">
      <c r="B71" s="7" t="s">
        <v>195</v>
      </c>
      <c r="C71" s="8" t="s">
        <v>195</v>
      </c>
      <c r="D71" s="5" t="str">
        <f>LRTRIM(CONCATENATE(IF(SUMPRODUCT(-- ISNUMBER(SEARCH({"Auto Number"}, $B71))) &gt; 0, $B71, IF(SUMPRODUCT(-- ISNUMBER(SEARCH({"Lookup","Master-Detail"}, $B71))) &gt; 0,$B71 &amp; "(" &amp; $E71 &amp; ")",IF(SUMPRODUCT(-- ISNUMBER(SEARCH({"Formula","Roll-Up Summary"}, $B71))) &gt; 0,$B71 &amp; " (" &amp; $E71 &amp; ")",IF(SUMPRODUCT(-- ISNUMBER(SEARCH({"Content","Currency","Number","Percent","Text","URL"}, $B71))) &gt; 0,$B71 &amp; "(" &amp; $C71 &amp; ")",$B71)))), "  ", TRIM(IF($S71 = "YES", "(External ID)", "") &amp; " " &amp; IF(SUMPRODUCT(-- ISNUMBER(SEARCH({"Unique","Unique Case Insensitive"}, $R71))) &gt; 0, "(" &amp; $R71 &amp; ")", ""))))</f>
        <v>na</v>
      </c>
      <c r="E71" s="7" t="s">
        <v>195</v>
      </c>
      <c r="F71" s="7" t="s">
        <v>195</v>
      </c>
      <c r="G71" s="7" t="s">
        <v>195</v>
      </c>
      <c r="H71" s="7" t="s">
        <v>195</v>
      </c>
      <c r="I71" s="7" t="s">
        <v>195</v>
      </c>
      <c r="J71" s="7" t="s">
        <v>195</v>
      </c>
      <c r="K71" s="7" t="s">
        <v>195</v>
      </c>
      <c r="L71" s="7" t="s">
        <v>195</v>
      </c>
      <c r="M71" s="7" t="s">
        <v>29</v>
      </c>
      <c r="N71" s="7" t="s">
        <v>29</v>
      </c>
      <c r="O71" s="7" t="s">
        <v>29</v>
      </c>
      <c r="P71" s="7" t="s">
        <v>29</v>
      </c>
      <c r="Q71" s="7" t="s">
        <v>29</v>
      </c>
      <c r="R71" s="7" t="s">
        <v>29</v>
      </c>
      <c r="S71" s="7" t="s">
        <v>29</v>
      </c>
    </row>
    <row r="72" spans="2:19">
      <c r="B72" s="7" t="s">
        <v>195</v>
      </c>
      <c r="C72" s="8" t="s">
        <v>195</v>
      </c>
      <c r="D72" s="5" t="str">
        <f>LRTRIM(CONCATENATE(IF(SUMPRODUCT(-- ISNUMBER(SEARCH({"Auto Number"}, $B72))) &gt; 0, $B72, IF(SUMPRODUCT(-- ISNUMBER(SEARCH({"Lookup","Master-Detail"}, $B72))) &gt; 0,$B72 &amp; "(" &amp; $E72 &amp; ")",IF(SUMPRODUCT(-- ISNUMBER(SEARCH({"Formula","Roll-Up Summary"}, $B72))) &gt; 0,$B72 &amp; " (" &amp; $E72 &amp; ")",IF(SUMPRODUCT(-- ISNUMBER(SEARCH({"Content","Currency","Number","Percent","Text","URL"}, $B72))) &gt; 0,$B72 &amp; "(" &amp; $C72 &amp; ")",$B72)))), "  ", TRIM(IF($S72 = "YES", "(External ID)", "") &amp; " " &amp; IF(SUMPRODUCT(-- ISNUMBER(SEARCH({"Unique","Unique Case Insensitive"}, $R72))) &gt; 0, "(" &amp; $R72 &amp; ")", ""))))</f>
        <v>na</v>
      </c>
      <c r="E72" s="7" t="s">
        <v>195</v>
      </c>
      <c r="F72" s="7" t="s">
        <v>195</v>
      </c>
      <c r="G72" s="7" t="s">
        <v>195</v>
      </c>
      <c r="H72" s="7" t="s">
        <v>195</v>
      </c>
      <c r="I72" s="7" t="s">
        <v>195</v>
      </c>
      <c r="J72" s="7" t="s">
        <v>195</v>
      </c>
      <c r="K72" s="7" t="s">
        <v>195</v>
      </c>
      <c r="L72" s="7" t="s">
        <v>195</v>
      </c>
      <c r="M72" s="7" t="s">
        <v>29</v>
      </c>
      <c r="N72" s="7" t="s">
        <v>29</v>
      </c>
      <c r="O72" s="7" t="s">
        <v>29</v>
      </c>
      <c r="P72" s="7" t="s">
        <v>29</v>
      </c>
      <c r="Q72" s="7" t="s">
        <v>29</v>
      </c>
      <c r="R72" s="7" t="s">
        <v>29</v>
      </c>
      <c r="S72" s="7" t="s">
        <v>29</v>
      </c>
    </row>
    <row r="73" spans="2:19">
      <c r="B73" s="7" t="s">
        <v>195</v>
      </c>
      <c r="C73" s="8" t="s">
        <v>195</v>
      </c>
      <c r="D73" s="5" t="str">
        <f>LRTRIM(CONCATENATE(IF(SUMPRODUCT(-- ISNUMBER(SEARCH({"Auto Number"}, $B73))) &gt; 0, $B73, IF(SUMPRODUCT(-- ISNUMBER(SEARCH({"Lookup","Master-Detail"}, $B73))) &gt; 0,$B73 &amp; "(" &amp; $E73 &amp; ")",IF(SUMPRODUCT(-- ISNUMBER(SEARCH({"Formula","Roll-Up Summary"}, $B73))) &gt; 0,$B73 &amp; " (" &amp; $E73 &amp; ")",IF(SUMPRODUCT(-- ISNUMBER(SEARCH({"Content","Currency","Number","Percent","Text","URL"}, $B73))) &gt; 0,$B73 &amp; "(" &amp; $C73 &amp; ")",$B73)))), "  ", TRIM(IF($S73 = "YES", "(External ID)", "") &amp; " " &amp; IF(SUMPRODUCT(-- ISNUMBER(SEARCH({"Unique","Unique Case Insensitive"}, $R73))) &gt; 0, "(" &amp; $R73 &amp; ")", ""))))</f>
        <v>na</v>
      </c>
      <c r="E73" s="7" t="s">
        <v>195</v>
      </c>
      <c r="F73" s="7" t="s">
        <v>195</v>
      </c>
      <c r="G73" s="7" t="s">
        <v>195</v>
      </c>
      <c r="H73" s="7" t="s">
        <v>195</v>
      </c>
      <c r="I73" s="7" t="s">
        <v>195</v>
      </c>
      <c r="J73" s="7" t="s">
        <v>195</v>
      </c>
      <c r="K73" s="7" t="s">
        <v>195</v>
      </c>
      <c r="L73" s="7" t="s">
        <v>195</v>
      </c>
      <c r="M73" s="7" t="s">
        <v>29</v>
      </c>
      <c r="N73" s="7" t="s">
        <v>29</v>
      </c>
      <c r="O73" s="7" t="s">
        <v>29</v>
      </c>
      <c r="P73" s="7" t="s">
        <v>29</v>
      </c>
      <c r="Q73" s="7" t="s">
        <v>29</v>
      </c>
      <c r="R73" s="7" t="s">
        <v>29</v>
      </c>
      <c r="S73" s="7" t="s">
        <v>29</v>
      </c>
    </row>
    <row r="74" spans="2:19">
      <c r="B74" s="7" t="s">
        <v>195</v>
      </c>
      <c r="C74" s="8" t="s">
        <v>195</v>
      </c>
      <c r="D74" s="5" t="str">
        <f>LRTRIM(CONCATENATE(IF(SUMPRODUCT(-- ISNUMBER(SEARCH({"Auto Number"}, $B74))) &gt; 0, $B74, IF(SUMPRODUCT(-- ISNUMBER(SEARCH({"Lookup","Master-Detail"}, $B74))) &gt; 0,$B74 &amp; "(" &amp; $E74 &amp; ")",IF(SUMPRODUCT(-- ISNUMBER(SEARCH({"Formula","Roll-Up Summary"}, $B74))) &gt; 0,$B74 &amp; " (" &amp; $E74 &amp; ")",IF(SUMPRODUCT(-- ISNUMBER(SEARCH({"Content","Currency","Number","Percent","Text","URL"}, $B74))) &gt; 0,$B74 &amp; "(" &amp; $C74 &amp; ")",$B74)))), "  ", TRIM(IF($S74 = "YES", "(External ID)", "") &amp; " " &amp; IF(SUMPRODUCT(-- ISNUMBER(SEARCH({"Unique","Unique Case Insensitive"}, $R74))) &gt; 0, "(" &amp; $R74 &amp; ")", ""))))</f>
        <v>na</v>
      </c>
      <c r="E74" s="7" t="s">
        <v>195</v>
      </c>
      <c r="F74" s="7" t="s">
        <v>195</v>
      </c>
      <c r="G74" s="7" t="s">
        <v>195</v>
      </c>
      <c r="H74" s="7" t="s">
        <v>195</v>
      </c>
      <c r="I74" s="7" t="s">
        <v>195</v>
      </c>
      <c r="J74" s="7" t="s">
        <v>195</v>
      </c>
      <c r="K74" s="7" t="s">
        <v>195</v>
      </c>
      <c r="L74" s="7" t="s">
        <v>195</v>
      </c>
      <c r="M74" s="7" t="s">
        <v>29</v>
      </c>
      <c r="N74" s="7" t="s">
        <v>29</v>
      </c>
      <c r="O74" s="7" t="s">
        <v>29</v>
      </c>
      <c r="P74" s="7" t="s">
        <v>29</v>
      </c>
      <c r="Q74" s="7" t="s">
        <v>29</v>
      </c>
      <c r="R74" s="7" t="s">
        <v>29</v>
      </c>
      <c r="S74" s="7" t="s">
        <v>29</v>
      </c>
    </row>
    <row r="75" spans="2:19">
      <c r="B75" s="7" t="s">
        <v>195</v>
      </c>
      <c r="C75" s="8" t="s">
        <v>195</v>
      </c>
      <c r="D75" s="5" t="str">
        <f>LRTRIM(CONCATENATE(IF(SUMPRODUCT(-- ISNUMBER(SEARCH({"Auto Number"}, $B75))) &gt; 0, $B75, IF(SUMPRODUCT(-- ISNUMBER(SEARCH({"Lookup","Master-Detail"}, $B75))) &gt; 0,$B75 &amp; "(" &amp; $E75 &amp; ")",IF(SUMPRODUCT(-- ISNUMBER(SEARCH({"Formula","Roll-Up Summary"}, $B75))) &gt; 0,$B75 &amp; " (" &amp; $E75 &amp; ")",IF(SUMPRODUCT(-- ISNUMBER(SEARCH({"Content","Currency","Number","Percent","Text","URL"}, $B75))) &gt; 0,$B75 &amp; "(" &amp; $C75 &amp; ")",$B75)))), "  ", TRIM(IF($S75 = "YES", "(External ID)", "") &amp; " " &amp; IF(SUMPRODUCT(-- ISNUMBER(SEARCH({"Unique","Unique Case Insensitive"}, $R75))) &gt; 0, "(" &amp; $R75 &amp; ")", ""))))</f>
        <v>na</v>
      </c>
      <c r="E75" s="7" t="s">
        <v>195</v>
      </c>
      <c r="F75" s="7" t="s">
        <v>195</v>
      </c>
      <c r="G75" s="7" t="s">
        <v>195</v>
      </c>
      <c r="H75" s="7" t="s">
        <v>195</v>
      </c>
      <c r="I75" s="7" t="s">
        <v>195</v>
      </c>
      <c r="J75" s="7" t="s">
        <v>195</v>
      </c>
      <c r="K75" s="7" t="s">
        <v>195</v>
      </c>
      <c r="L75" s="7" t="s">
        <v>195</v>
      </c>
      <c r="M75" s="7" t="s">
        <v>29</v>
      </c>
      <c r="N75" s="7" t="s">
        <v>29</v>
      </c>
      <c r="O75" s="7" t="s">
        <v>29</v>
      </c>
      <c r="P75" s="7" t="s">
        <v>29</v>
      </c>
      <c r="Q75" s="7" t="s">
        <v>29</v>
      </c>
      <c r="R75" s="7" t="s">
        <v>29</v>
      </c>
      <c r="S75" s="7" t="s">
        <v>29</v>
      </c>
    </row>
    <row r="76" spans="2:19">
      <c r="B76" s="7" t="s">
        <v>195</v>
      </c>
      <c r="C76" s="8" t="s">
        <v>195</v>
      </c>
      <c r="D76" s="5" t="str">
        <f>LRTRIM(CONCATENATE(IF(SUMPRODUCT(-- ISNUMBER(SEARCH({"Auto Number"}, $B76))) &gt; 0, $B76, IF(SUMPRODUCT(-- ISNUMBER(SEARCH({"Lookup","Master-Detail"}, $B76))) &gt; 0,$B76 &amp; "(" &amp; $E76 &amp; ")",IF(SUMPRODUCT(-- ISNUMBER(SEARCH({"Formula","Roll-Up Summary"}, $B76))) &gt; 0,$B76 &amp; " (" &amp; $E76 &amp; ")",IF(SUMPRODUCT(-- ISNUMBER(SEARCH({"Content","Currency","Number","Percent","Text","URL"}, $B76))) &gt; 0,$B76 &amp; "(" &amp; $C76 &amp; ")",$B76)))), "  ", TRIM(IF($S76 = "YES", "(External ID)", "") &amp; " " &amp; IF(SUMPRODUCT(-- ISNUMBER(SEARCH({"Unique","Unique Case Insensitive"}, $R76))) &gt; 0, "(" &amp; $R76 &amp; ")", ""))))</f>
        <v>na</v>
      </c>
      <c r="E76" s="7" t="s">
        <v>195</v>
      </c>
      <c r="F76" s="7" t="s">
        <v>195</v>
      </c>
      <c r="G76" s="7" t="s">
        <v>195</v>
      </c>
      <c r="H76" s="7" t="s">
        <v>195</v>
      </c>
      <c r="I76" s="7" t="s">
        <v>195</v>
      </c>
      <c r="J76" s="7" t="s">
        <v>195</v>
      </c>
      <c r="K76" s="7" t="s">
        <v>195</v>
      </c>
      <c r="L76" s="7" t="s">
        <v>195</v>
      </c>
      <c r="M76" s="7" t="s">
        <v>29</v>
      </c>
      <c r="N76" s="7" t="s">
        <v>29</v>
      </c>
      <c r="O76" s="7" t="s">
        <v>29</v>
      </c>
      <c r="P76" s="7" t="s">
        <v>29</v>
      </c>
      <c r="Q76" s="7" t="s">
        <v>29</v>
      </c>
      <c r="R76" s="7" t="s">
        <v>29</v>
      </c>
      <c r="S76" s="7" t="s">
        <v>29</v>
      </c>
    </row>
    <row r="77" spans="2:19">
      <c r="B77" s="7" t="s">
        <v>195</v>
      </c>
      <c r="C77" s="8" t="s">
        <v>195</v>
      </c>
      <c r="D77" s="5" t="str">
        <f>LRTRIM(CONCATENATE(IF(SUMPRODUCT(-- ISNUMBER(SEARCH({"Auto Number"}, $B77))) &gt; 0, $B77, IF(SUMPRODUCT(-- ISNUMBER(SEARCH({"Lookup","Master-Detail"}, $B77))) &gt; 0,$B77 &amp; "(" &amp; $E77 &amp; ")",IF(SUMPRODUCT(-- ISNUMBER(SEARCH({"Formula","Roll-Up Summary"}, $B77))) &gt; 0,$B77 &amp; " (" &amp; $E77 &amp; ")",IF(SUMPRODUCT(-- ISNUMBER(SEARCH({"Content","Currency","Number","Percent","Text","URL"}, $B77))) &gt; 0,$B77 &amp; "(" &amp; $C77 &amp; ")",$B77)))), "  ", TRIM(IF($S77 = "YES", "(External ID)", "") &amp; " " &amp; IF(SUMPRODUCT(-- ISNUMBER(SEARCH({"Unique","Unique Case Insensitive"}, $R77))) &gt; 0, "(" &amp; $R77 &amp; ")", ""))))</f>
        <v>na</v>
      </c>
      <c r="E77" s="7" t="s">
        <v>195</v>
      </c>
      <c r="F77" s="7" t="s">
        <v>195</v>
      </c>
      <c r="G77" s="7" t="s">
        <v>195</v>
      </c>
      <c r="H77" s="7" t="s">
        <v>195</v>
      </c>
      <c r="I77" s="7" t="s">
        <v>195</v>
      </c>
      <c r="J77" s="7" t="s">
        <v>195</v>
      </c>
      <c r="K77" s="7" t="s">
        <v>195</v>
      </c>
      <c r="L77" s="7" t="s">
        <v>195</v>
      </c>
      <c r="M77" s="7" t="s">
        <v>29</v>
      </c>
      <c r="N77" s="7" t="s">
        <v>29</v>
      </c>
      <c r="O77" s="7" t="s">
        <v>29</v>
      </c>
      <c r="P77" s="7" t="s">
        <v>29</v>
      </c>
      <c r="Q77" s="7" t="s">
        <v>29</v>
      </c>
      <c r="R77" s="7" t="s">
        <v>29</v>
      </c>
      <c r="S77" s="7" t="s">
        <v>29</v>
      </c>
    </row>
    <row r="78" spans="2:19">
      <c r="B78" s="7" t="s">
        <v>195</v>
      </c>
      <c r="C78" s="8" t="s">
        <v>195</v>
      </c>
      <c r="D78" s="5" t="str">
        <f>LRTRIM(CONCATENATE(IF(SUMPRODUCT(-- ISNUMBER(SEARCH({"Auto Number"}, $B78))) &gt; 0, $B78, IF(SUMPRODUCT(-- ISNUMBER(SEARCH({"Lookup","Master-Detail"}, $B78))) &gt; 0,$B78 &amp; "(" &amp; $E78 &amp; ")",IF(SUMPRODUCT(-- ISNUMBER(SEARCH({"Formula","Roll-Up Summary"}, $B78))) &gt; 0,$B78 &amp; " (" &amp; $E78 &amp; ")",IF(SUMPRODUCT(-- ISNUMBER(SEARCH({"Content","Currency","Number","Percent","Text","URL"}, $B78))) &gt; 0,$B78 &amp; "(" &amp; $C78 &amp; ")",$B78)))), "  ", TRIM(IF($S78 = "YES", "(External ID)", "") &amp; " " &amp; IF(SUMPRODUCT(-- ISNUMBER(SEARCH({"Unique","Unique Case Insensitive"}, $R78))) &gt; 0, "(" &amp; $R78 &amp; ")", ""))))</f>
        <v>na</v>
      </c>
      <c r="E78" s="7" t="s">
        <v>195</v>
      </c>
      <c r="F78" s="7" t="s">
        <v>195</v>
      </c>
      <c r="G78" s="7" t="s">
        <v>195</v>
      </c>
      <c r="H78" s="7" t="s">
        <v>195</v>
      </c>
      <c r="I78" s="7" t="s">
        <v>195</v>
      </c>
      <c r="J78" s="7" t="s">
        <v>195</v>
      </c>
      <c r="K78" s="7" t="s">
        <v>195</v>
      </c>
      <c r="L78" s="7" t="s">
        <v>195</v>
      </c>
      <c r="M78" s="7" t="s">
        <v>29</v>
      </c>
      <c r="N78" s="7" t="s">
        <v>29</v>
      </c>
      <c r="O78" s="7" t="s">
        <v>29</v>
      </c>
      <c r="P78" s="7" t="s">
        <v>29</v>
      </c>
      <c r="Q78" s="7" t="s">
        <v>29</v>
      </c>
      <c r="R78" s="7" t="s">
        <v>29</v>
      </c>
      <c r="S78" s="7" t="s">
        <v>29</v>
      </c>
    </row>
    <row r="79" spans="2:19">
      <c r="B79" s="7" t="s">
        <v>195</v>
      </c>
      <c r="C79" s="8" t="s">
        <v>195</v>
      </c>
      <c r="D79" s="5" t="str">
        <f>LRTRIM(CONCATENATE(IF(SUMPRODUCT(-- ISNUMBER(SEARCH({"Auto Number"}, $B79))) &gt; 0, $B79, IF(SUMPRODUCT(-- ISNUMBER(SEARCH({"Lookup","Master-Detail"}, $B79))) &gt; 0,$B79 &amp; "(" &amp; $E79 &amp; ")",IF(SUMPRODUCT(-- ISNUMBER(SEARCH({"Formula","Roll-Up Summary"}, $B79))) &gt; 0,$B79 &amp; " (" &amp; $E79 &amp; ")",IF(SUMPRODUCT(-- ISNUMBER(SEARCH({"Content","Currency","Number","Percent","Text","URL"}, $B79))) &gt; 0,$B79 &amp; "(" &amp; $C79 &amp; ")",$B79)))), "  ", TRIM(IF($S79 = "YES", "(External ID)", "") &amp; " " &amp; IF(SUMPRODUCT(-- ISNUMBER(SEARCH({"Unique","Unique Case Insensitive"}, $R79))) &gt; 0, "(" &amp; $R79 &amp; ")", ""))))</f>
        <v>na</v>
      </c>
      <c r="E79" s="7" t="s">
        <v>195</v>
      </c>
      <c r="F79" s="7" t="s">
        <v>195</v>
      </c>
      <c r="G79" s="7" t="s">
        <v>195</v>
      </c>
      <c r="H79" s="7" t="s">
        <v>195</v>
      </c>
      <c r="I79" s="7" t="s">
        <v>195</v>
      </c>
      <c r="J79" s="7" t="s">
        <v>195</v>
      </c>
      <c r="K79" s="7" t="s">
        <v>195</v>
      </c>
      <c r="L79" s="7" t="s">
        <v>195</v>
      </c>
      <c r="M79" s="7" t="s">
        <v>29</v>
      </c>
      <c r="N79" s="7" t="s">
        <v>29</v>
      </c>
      <c r="O79" s="7" t="s">
        <v>29</v>
      </c>
      <c r="P79" s="7" t="s">
        <v>29</v>
      </c>
      <c r="Q79" s="7" t="s">
        <v>29</v>
      </c>
      <c r="R79" s="7" t="s">
        <v>29</v>
      </c>
      <c r="S79" s="7" t="s">
        <v>29</v>
      </c>
    </row>
    <row r="80" spans="2:19">
      <c r="B80" s="7" t="s">
        <v>195</v>
      </c>
      <c r="C80" s="8" t="s">
        <v>195</v>
      </c>
      <c r="D80" s="5" t="str">
        <f>LRTRIM(CONCATENATE(IF(SUMPRODUCT(-- ISNUMBER(SEARCH({"Auto Number"}, $B80))) &gt; 0, $B80, IF(SUMPRODUCT(-- ISNUMBER(SEARCH({"Lookup","Master-Detail"}, $B80))) &gt; 0,$B80 &amp; "(" &amp; $E80 &amp; ")",IF(SUMPRODUCT(-- ISNUMBER(SEARCH({"Formula","Roll-Up Summary"}, $B80))) &gt; 0,$B80 &amp; " (" &amp; $E80 &amp; ")",IF(SUMPRODUCT(-- ISNUMBER(SEARCH({"Content","Currency","Number","Percent","Text","URL"}, $B80))) &gt; 0,$B80 &amp; "(" &amp; $C80 &amp; ")",$B80)))), "  ", TRIM(IF($S80 = "YES", "(External ID)", "") &amp; " " &amp; IF(SUMPRODUCT(-- ISNUMBER(SEARCH({"Unique","Unique Case Insensitive"}, $R80))) &gt; 0, "(" &amp; $R80 &amp; ")", ""))))</f>
        <v>na</v>
      </c>
      <c r="E80" s="7" t="s">
        <v>195</v>
      </c>
      <c r="F80" s="7" t="s">
        <v>195</v>
      </c>
      <c r="G80" s="7" t="s">
        <v>195</v>
      </c>
      <c r="H80" s="7" t="s">
        <v>195</v>
      </c>
      <c r="I80" s="7" t="s">
        <v>195</v>
      </c>
      <c r="J80" s="7" t="s">
        <v>195</v>
      </c>
      <c r="K80" s="7" t="s">
        <v>195</v>
      </c>
      <c r="L80" s="7" t="s">
        <v>195</v>
      </c>
      <c r="M80" s="7" t="s">
        <v>29</v>
      </c>
      <c r="N80" s="7" t="s">
        <v>29</v>
      </c>
      <c r="O80" s="7" t="s">
        <v>29</v>
      </c>
      <c r="P80" s="7" t="s">
        <v>29</v>
      </c>
      <c r="Q80" s="7" t="s">
        <v>29</v>
      </c>
      <c r="R80" s="7" t="s">
        <v>29</v>
      </c>
      <c r="S80" s="7" t="s">
        <v>29</v>
      </c>
    </row>
    <row r="81" spans="2:19">
      <c r="B81" s="7" t="s">
        <v>195</v>
      </c>
      <c r="C81" s="8" t="s">
        <v>195</v>
      </c>
      <c r="D81" s="5" t="str">
        <f>LRTRIM(CONCATENATE(IF(SUMPRODUCT(-- ISNUMBER(SEARCH({"Auto Number"}, $B81))) &gt; 0, $B81, IF(SUMPRODUCT(-- ISNUMBER(SEARCH({"Lookup","Master-Detail"}, $B81))) &gt; 0,$B81 &amp; "(" &amp; $E81 &amp; ")",IF(SUMPRODUCT(-- ISNUMBER(SEARCH({"Formula","Roll-Up Summary"}, $B81))) &gt; 0,$B81 &amp; " (" &amp; $E81 &amp; ")",IF(SUMPRODUCT(-- ISNUMBER(SEARCH({"Content","Currency","Number","Percent","Text","URL"}, $B81))) &gt; 0,$B81 &amp; "(" &amp; $C81 &amp; ")",$B81)))), "  ", TRIM(IF($S81 = "YES", "(External ID)", "") &amp; " " &amp; IF(SUMPRODUCT(-- ISNUMBER(SEARCH({"Unique","Unique Case Insensitive"}, $R81))) &gt; 0, "(" &amp; $R81 &amp; ")", ""))))</f>
        <v>na</v>
      </c>
      <c r="E81" s="7" t="s">
        <v>195</v>
      </c>
      <c r="F81" s="7" t="s">
        <v>195</v>
      </c>
      <c r="G81" s="7" t="s">
        <v>195</v>
      </c>
      <c r="H81" s="7" t="s">
        <v>195</v>
      </c>
      <c r="I81" s="7" t="s">
        <v>195</v>
      </c>
      <c r="J81" s="7" t="s">
        <v>195</v>
      </c>
      <c r="K81" s="7" t="s">
        <v>195</v>
      </c>
      <c r="L81" s="7" t="s">
        <v>195</v>
      </c>
      <c r="M81" s="7" t="s">
        <v>29</v>
      </c>
      <c r="N81" s="7" t="s">
        <v>29</v>
      </c>
      <c r="O81" s="7" t="s">
        <v>29</v>
      </c>
      <c r="P81" s="7" t="s">
        <v>29</v>
      </c>
      <c r="Q81" s="7" t="s">
        <v>29</v>
      </c>
      <c r="R81" s="7" t="s">
        <v>29</v>
      </c>
      <c r="S81" s="7" t="s">
        <v>29</v>
      </c>
    </row>
    <row r="82" spans="2:19">
      <c r="B82" s="7" t="s">
        <v>195</v>
      </c>
      <c r="C82" s="8" t="s">
        <v>195</v>
      </c>
      <c r="D82" s="5" t="str">
        <f>LRTRIM(CONCATENATE(IF(SUMPRODUCT(-- ISNUMBER(SEARCH({"Auto Number"}, $B82))) &gt; 0, $B82, IF(SUMPRODUCT(-- ISNUMBER(SEARCH({"Lookup","Master-Detail"}, $B82))) &gt; 0,$B82 &amp; "(" &amp; $E82 &amp; ")",IF(SUMPRODUCT(-- ISNUMBER(SEARCH({"Formula","Roll-Up Summary"}, $B82))) &gt; 0,$B82 &amp; " (" &amp; $E82 &amp; ")",IF(SUMPRODUCT(-- ISNUMBER(SEARCH({"Content","Currency","Number","Percent","Text","URL"}, $B82))) &gt; 0,$B82 &amp; "(" &amp; $C82 &amp; ")",$B82)))), "  ", TRIM(IF($S82 = "YES", "(External ID)", "") &amp; " " &amp; IF(SUMPRODUCT(-- ISNUMBER(SEARCH({"Unique","Unique Case Insensitive"}, $R82))) &gt; 0, "(" &amp; $R82 &amp; ")", ""))))</f>
        <v>na</v>
      </c>
      <c r="E82" s="7" t="s">
        <v>195</v>
      </c>
      <c r="F82" s="7" t="s">
        <v>195</v>
      </c>
      <c r="G82" s="7" t="s">
        <v>195</v>
      </c>
      <c r="H82" s="7" t="s">
        <v>195</v>
      </c>
      <c r="I82" s="7" t="s">
        <v>195</v>
      </c>
      <c r="J82" s="7" t="s">
        <v>195</v>
      </c>
      <c r="K82" s="7" t="s">
        <v>195</v>
      </c>
      <c r="L82" s="7" t="s">
        <v>195</v>
      </c>
      <c r="M82" s="7" t="s">
        <v>29</v>
      </c>
      <c r="N82" s="7" t="s">
        <v>29</v>
      </c>
      <c r="O82" s="7" t="s">
        <v>29</v>
      </c>
      <c r="P82" s="7" t="s">
        <v>29</v>
      </c>
      <c r="Q82" s="7" t="s">
        <v>29</v>
      </c>
      <c r="R82" s="7" t="s">
        <v>29</v>
      </c>
      <c r="S82" s="7" t="s">
        <v>29</v>
      </c>
    </row>
    <row r="83" spans="2:19">
      <c r="B83" s="7" t="s">
        <v>195</v>
      </c>
      <c r="C83" s="8" t="s">
        <v>195</v>
      </c>
      <c r="D83" s="5" t="str">
        <f>LRTRIM(CONCATENATE(IF(SUMPRODUCT(-- ISNUMBER(SEARCH({"Auto Number"}, $B83))) &gt; 0, $B83, IF(SUMPRODUCT(-- ISNUMBER(SEARCH({"Lookup","Master-Detail"}, $B83))) &gt; 0,$B83 &amp; "(" &amp; $E83 &amp; ")",IF(SUMPRODUCT(-- ISNUMBER(SEARCH({"Formula","Roll-Up Summary"}, $B83))) &gt; 0,$B83 &amp; " (" &amp; $E83 &amp; ")",IF(SUMPRODUCT(-- ISNUMBER(SEARCH({"Content","Currency","Number","Percent","Text","URL"}, $B83))) &gt; 0,$B83 &amp; "(" &amp; $C83 &amp; ")",$B83)))), "  ", TRIM(IF($S83 = "YES", "(External ID)", "") &amp; " " &amp; IF(SUMPRODUCT(-- ISNUMBER(SEARCH({"Unique","Unique Case Insensitive"}, $R83))) &gt; 0, "(" &amp; $R83 &amp; ")", ""))))</f>
        <v>na</v>
      </c>
      <c r="E83" s="7" t="s">
        <v>195</v>
      </c>
      <c r="F83" s="7" t="s">
        <v>195</v>
      </c>
      <c r="G83" s="7" t="s">
        <v>195</v>
      </c>
      <c r="H83" s="7" t="s">
        <v>195</v>
      </c>
      <c r="I83" s="7" t="s">
        <v>195</v>
      </c>
      <c r="J83" s="7" t="s">
        <v>195</v>
      </c>
      <c r="K83" s="7" t="s">
        <v>195</v>
      </c>
      <c r="L83" s="7" t="s">
        <v>195</v>
      </c>
      <c r="M83" s="7" t="s">
        <v>29</v>
      </c>
      <c r="N83" s="7" t="s">
        <v>29</v>
      </c>
      <c r="O83" s="7" t="s">
        <v>29</v>
      </c>
      <c r="P83" s="7" t="s">
        <v>29</v>
      </c>
      <c r="Q83" s="7" t="s">
        <v>29</v>
      </c>
      <c r="R83" s="7" t="s">
        <v>29</v>
      </c>
      <c r="S83" s="7" t="s">
        <v>29</v>
      </c>
    </row>
    <row r="84" spans="2:19">
      <c r="B84" s="7" t="s">
        <v>195</v>
      </c>
      <c r="C84" s="8" t="s">
        <v>195</v>
      </c>
      <c r="D84" s="5" t="str">
        <f>LRTRIM(CONCATENATE(IF(SUMPRODUCT(-- ISNUMBER(SEARCH({"Auto Number"}, $B84))) &gt; 0, $B84, IF(SUMPRODUCT(-- ISNUMBER(SEARCH({"Lookup","Master-Detail"}, $B84))) &gt; 0,$B84 &amp; "(" &amp; $E84 &amp; ")",IF(SUMPRODUCT(-- ISNUMBER(SEARCH({"Formula","Roll-Up Summary"}, $B84))) &gt; 0,$B84 &amp; " (" &amp; $E84 &amp; ")",IF(SUMPRODUCT(-- ISNUMBER(SEARCH({"Content","Currency","Number","Percent","Text","URL"}, $B84))) &gt; 0,$B84 &amp; "(" &amp; $C84 &amp; ")",$B84)))), "  ", TRIM(IF($S84 = "YES", "(External ID)", "") &amp; " " &amp; IF(SUMPRODUCT(-- ISNUMBER(SEARCH({"Unique","Unique Case Insensitive"}, $R84))) &gt; 0, "(" &amp; $R84 &amp; ")", ""))))</f>
        <v>na</v>
      </c>
      <c r="E84" s="7" t="s">
        <v>195</v>
      </c>
      <c r="F84" s="7" t="s">
        <v>195</v>
      </c>
      <c r="G84" s="7" t="s">
        <v>195</v>
      </c>
      <c r="H84" s="7" t="s">
        <v>195</v>
      </c>
      <c r="I84" s="7" t="s">
        <v>195</v>
      </c>
      <c r="J84" s="7" t="s">
        <v>195</v>
      </c>
      <c r="K84" s="7" t="s">
        <v>195</v>
      </c>
      <c r="L84" s="7" t="s">
        <v>195</v>
      </c>
      <c r="M84" s="7" t="s">
        <v>29</v>
      </c>
      <c r="N84" s="7" t="s">
        <v>29</v>
      </c>
      <c r="O84" s="7" t="s">
        <v>29</v>
      </c>
      <c r="P84" s="7" t="s">
        <v>29</v>
      </c>
      <c r="Q84" s="7" t="s">
        <v>29</v>
      </c>
      <c r="R84" s="7" t="s">
        <v>29</v>
      </c>
      <c r="S84" s="7" t="s">
        <v>29</v>
      </c>
    </row>
    <row r="85" spans="2:19">
      <c r="B85" s="7" t="s">
        <v>195</v>
      </c>
      <c r="C85" s="8" t="s">
        <v>195</v>
      </c>
      <c r="D85" s="5" t="str">
        <f>LRTRIM(CONCATENATE(IF(SUMPRODUCT(-- ISNUMBER(SEARCH({"Auto Number"}, $B85))) &gt; 0, $B85, IF(SUMPRODUCT(-- ISNUMBER(SEARCH({"Lookup","Master-Detail"}, $B85))) &gt; 0,$B85 &amp; "(" &amp; $E85 &amp; ")",IF(SUMPRODUCT(-- ISNUMBER(SEARCH({"Formula","Roll-Up Summary"}, $B85))) &gt; 0,$B85 &amp; " (" &amp; $E85 &amp; ")",IF(SUMPRODUCT(-- ISNUMBER(SEARCH({"Content","Currency","Number","Percent","Text","URL"}, $B85))) &gt; 0,$B85 &amp; "(" &amp; $C85 &amp; ")",$B85)))), "  ", TRIM(IF($S85 = "YES", "(External ID)", "") &amp; " " &amp; IF(SUMPRODUCT(-- ISNUMBER(SEARCH({"Unique","Unique Case Insensitive"}, $R85))) &gt; 0, "(" &amp; $R85 &amp; ")", ""))))</f>
        <v>na</v>
      </c>
      <c r="E85" s="7" t="s">
        <v>195</v>
      </c>
      <c r="F85" s="7" t="s">
        <v>195</v>
      </c>
      <c r="G85" s="7" t="s">
        <v>195</v>
      </c>
      <c r="H85" s="7" t="s">
        <v>195</v>
      </c>
      <c r="I85" s="7" t="s">
        <v>195</v>
      </c>
      <c r="J85" s="7" t="s">
        <v>195</v>
      </c>
      <c r="K85" s="7" t="s">
        <v>195</v>
      </c>
      <c r="L85" s="7" t="s">
        <v>195</v>
      </c>
      <c r="M85" s="7" t="s">
        <v>29</v>
      </c>
      <c r="N85" s="7" t="s">
        <v>29</v>
      </c>
      <c r="O85" s="7" t="s">
        <v>29</v>
      </c>
      <c r="P85" s="7" t="s">
        <v>29</v>
      </c>
      <c r="Q85" s="7" t="s">
        <v>29</v>
      </c>
      <c r="R85" s="7" t="s">
        <v>29</v>
      </c>
      <c r="S85" s="7" t="s">
        <v>29</v>
      </c>
    </row>
    <row r="86" spans="2:19">
      <c r="B86" s="7" t="s">
        <v>195</v>
      </c>
      <c r="C86" s="8" t="s">
        <v>195</v>
      </c>
      <c r="D86" s="5" t="str">
        <f>LRTRIM(CONCATENATE(IF(SUMPRODUCT(-- ISNUMBER(SEARCH({"Auto Number"}, $B86))) &gt; 0, $B86, IF(SUMPRODUCT(-- ISNUMBER(SEARCH({"Lookup","Master-Detail"}, $B86))) &gt; 0,$B86 &amp; "(" &amp; $E86 &amp; ")",IF(SUMPRODUCT(-- ISNUMBER(SEARCH({"Formula","Roll-Up Summary"}, $B86))) &gt; 0,$B86 &amp; " (" &amp; $E86 &amp; ")",IF(SUMPRODUCT(-- ISNUMBER(SEARCH({"Content","Currency","Number","Percent","Text","URL"}, $B86))) &gt; 0,$B86 &amp; "(" &amp; $C86 &amp; ")",$B86)))), "  ", TRIM(IF($S86 = "YES", "(External ID)", "") &amp; " " &amp; IF(SUMPRODUCT(-- ISNUMBER(SEARCH({"Unique","Unique Case Insensitive"}, $R86))) &gt; 0, "(" &amp; $R86 &amp; ")", ""))))</f>
        <v>na</v>
      </c>
      <c r="E86" s="7" t="s">
        <v>195</v>
      </c>
      <c r="F86" s="7" t="s">
        <v>195</v>
      </c>
      <c r="G86" s="7" t="s">
        <v>195</v>
      </c>
      <c r="H86" s="7" t="s">
        <v>195</v>
      </c>
      <c r="I86" s="7" t="s">
        <v>195</v>
      </c>
      <c r="J86" s="7" t="s">
        <v>195</v>
      </c>
      <c r="K86" s="7" t="s">
        <v>195</v>
      </c>
      <c r="L86" s="7" t="s">
        <v>195</v>
      </c>
      <c r="M86" s="7" t="s">
        <v>29</v>
      </c>
      <c r="N86" s="7" t="s">
        <v>29</v>
      </c>
      <c r="O86" s="7" t="s">
        <v>29</v>
      </c>
      <c r="P86" s="7" t="s">
        <v>29</v>
      </c>
      <c r="Q86" s="7" t="s">
        <v>29</v>
      </c>
      <c r="R86" s="7" t="s">
        <v>29</v>
      </c>
      <c r="S86" s="7" t="s">
        <v>29</v>
      </c>
    </row>
    <row r="87" spans="2:19">
      <c r="B87" s="7" t="s">
        <v>195</v>
      </c>
      <c r="C87" s="8" t="s">
        <v>195</v>
      </c>
      <c r="D87" s="5" t="str">
        <f>LRTRIM(CONCATENATE(IF(SUMPRODUCT(-- ISNUMBER(SEARCH({"Auto Number"}, $B87))) &gt; 0, $B87, IF(SUMPRODUCT(-- ISNUMBER(SEARCH({"Lookup","Master-Detail"}, $B87))) &gt; 0,$B87 &amp; "(" &amp; $E87 &amp; ")",IF(SUMPRODUCT(-- ISNUMBER(SEARCH({"Formula","Roll-Up Summary"}, $B87))) &gt; 0,$B87 &amp; " (" &amp; $E87 &amp; ")",IF(SUMPRODUCT(-- ISNUMBER(SEARCH({"Content","Currency","Number","Percent","Text","URL"}, $B87))) &gt; 0,$B87 &amp; "(" &amp; $C87 &amp; ")",$B87)))), "  ", TRIM(IF($S87 = "YES", "(External ID)", "") &amp; " " &amp; IF(SUMPRODUCT(-- ISNUMBER(SEARCH({"Unique","Unique Case Insensitive"}, $R87))) &gt; 0, "(" &amp; $R87 &amp; ")", ""))))</f>
        <v>na</v>
      </c>
      <c r="E87" s="7" t="s">
        <v>195</v>
      </c>
      <c r="F87" s="7" t="s">
        <v>195</v>
      </c>
      <c r="G87" s="7" t="s">
        <v>195</v>
      </c>
      <c r="H87" s="7" t="s">
        <v>195</v>
      </c>
      <c r="I87" s="7" t="s">
        <v>195</v>
      </c>
      <c r="J87" s="7" t="s">
        <v>195</v>
      </c>
      <c r="K87" s="7" t="s">
        <v>195</v>
      </c>
      <c r="L87" s="7" t="s">
        <v>195</v>
      </c>
      <c r="M87" s="7" t="s">
        <v>29</v>
      </c>
      <c r="N87" s="7" t="s">
        <v>29</v>
      </c>
      <c r="O87" s="7" t="s">
        <v>29</v>
      </c>
      <c r="P87" s="7" t="s">
        <v>29</v>
      </c>
      <c r="Q87" s="7" t="s">
        <v>29</v>
      </c>
      <c r="R87" s="7" t="s">
        <v>29</v>
      </c>
      <c r="S87" s="7" t="s">
        <v>29</v>
      </c>
    </row>
    <row r="88" spans="2:19">
      <c r="B88" s="7" t="s">
        <v>195</v>
      </c>
      <c r="C88" s="8" t="s">
        <v>195</v>
      </c>
      <c r="D88" s="5" t="str">
        <f>LRTRIM(CONCATENATE(IF(SUMPRODUCT(-- ISNUMBER(SEARCH({"Auto Number"}, $B88))) &gt; 0, $B88, IF(SUMPRODUCT(-- ISNUMBER(SEARCH({"Lookup","Master-Detail"}, $B88))) &gt; 0,$B88 &amp; "(" &amp; $E88 &amp; ")",IF(SUMPRODUCT(-- ISNUMBER(SEARCH({"Formula","Roll-Up Summary"}, $B88))) &gt; 0,$B88 &amp; " (" &amp; $E88 &amp; ")",IF(SUMPRODUCT(-- ISNUMBER(SEARCH({"Content","Currency","Number","Percent","Text","URL"}, $B88))) &gt; 0,$B88 &amp; "(" &amp; $C88 &amp; ")",$B88)))), "  ", TRIM(IF($S88 = "YES", "(External ID)", "") &amp; " " &amp; IF(SUMPRODUCT(-- ISNUMBER(SEARCH({"Unique","Unique Case Insensitive"}, $R88))) &gt; 0, "(" &amp; $R88 &amp; ")", ""))))</f>
        <v>na</v>
      </c>
      <c r="E88" s="7" t="s">
        <v>195</v>
      </c>
      <c r="F88" s="7" t="s">
        <v>195</v>
      </c>
      <c r="G88" s="7" t="s">
        <v>195</v>
      </c>
      <c r="H88" s="7" t="s">
        <v>195</v>
      </c>
      <c r="I88" s="7" t="s">
        <v>195</v>
      </c>
      <c r="J88" s="7" t="s">
        <v>195</v>
      </c>
      <c r="K88" s="7" t="s">
        <v>195</v>
      </c>
      <c r="L88" s="7" t="s">
        <v>195</v>
      </c>
      <c r="M88" s="7" t="s">
        <v>29</v>
      </c>
      <c r="N88" s="7" t="s">
        <v>29</v>
      </c>
      <c r="O88" s="7" t="s">
        <v>29</v>
      </c>
      <c r="P88" s="7" t="s">
        <v>29</v>
      </c>
      <c r="Q88" s="7" t="s">
        <v>29</v>
      </c>
      <c r="R88" s="7" t="s">
        <v>29</v>
      </c>
      <c r="S88" s="7" t="s">
        <v>29</v>
      </c>
    </row>
    <row r="89" spans="2:19">
      <c r="B89" s="7" t="s">
        <v>195</v>
      </c>
      <c r="C89" s="8" t="s">
        <v>195</v>
      </c>
      <c r="D89" s="5" t="str">
        <f>LRTRIM(CONCATENATE(IF(SUMPRODUCT(-- ISNUMBER(SEARCH({"Auto Number"}, $B89))) &gt; 0, $B89, IF(SUMPRODUCT(-- ISNUMBER(SEARCH({"Lookup","Master-Detail"}, $B89))) &gt; 0,$B89 &amp; "(" &amp; $E89 &amp; ")",IF(SUMPRODUCT(-- ISNUMBER(SEARCH({"Formula","Roll-Up Summary"}, $B89))) &gt; 0,$B89 &amp; " (" &amp; $E89 &amp; ")",IF(SUMPRODUCT(-- ISNUMBER(SEARCH({"Content","Currency","Number","Percent","Text","URL"}, $B89))) &gt; 0,$B89 &amp; "(" &amp; $C89 &amp; ")",$B89)))), "  ", TRIM(IF($S89 = "YES", "(External ID)", "") &amp; " " &amp; IF(SUMPRODUCT(-- ISNUMBER(SEARCH({"Unique","Unique Case Insensitive"}, $R89))) &gt; 0, "(" &amp; $R89 &amp; ")", ""))))</f>
        <v>na</v>
      </c>
      <c r="E89" s="7" t="s">
        <v>195</v>
      </c>
      <c r="F89" s="7" t="s">
        <v>195</v>
      </c>
      <c r="G89" s="7" t="s">
        <v>195</v>
      </c>
      <c r="H89" s="7" t="s">
        <v>195</v>
      </c>
      <c r="I89" s="7" t="s">
        <v>195</v>
      </c>
      <c r="J89" s="7" t="s">
        <v>195</v>
      </c>
      <c r="K89" s="7" t="s">
        <v>195</v>
      </c>
      <c r="L89" s="7" t="s">
        <v>195</v>
      </c>
      <c r="M89" s="7" t="s">
        <v>29</v>
      </c>
      <c r="N89" s="7" t="s">
        <v>29</v>
      </c>
      <c r="O89" s="7" t="s">
        <v>29</v>
      </c>
      <c r="P89" s="7" t="s">
        <v>29</v>
      </c>
      <c r="Q89" s="7" t="s">
        <v>29</v>
      </c>
      <c r="R89" s="7" t="s">
        <v>29</v>
      </c>
      <c r="S89" s="7" t="s">
        <v>29</v>
      </c>
    </row>
    <row r="90" spans="2:19">
      <c r="B90" s="7" t="s">
        <v>195</v>
      </c>
      <c r="C90" s="8" t="s">
        <v>195</v>
      </c>
      <c r="D90" s="5" t="str">
        <f>LRTRIM(CONCATENATE(IF(SUMPRODUCT(-- ISNUMBER(SEARCH({"Auto Number"}, $B90))) &gt; 0, $B90, IF(SUMPRODUCT(-- ISNUMBER(SEARCH({"Lookup","Master-Detail"}, $B90))) &gt; 0,$B90 &amp; "(" &amp; $E90 &amp; ")",IF(SUMPRODUCT(-- ISNUMBER(SEARCH({"Formula","Roll-Up Summary"}, $B90))) &gt; 0,$B90 &amp; " (" &amp; $E90 &amp; ")",IF(SUMPRODUCT(-- ISNUMBER(SEARCH({"Content","Currency","Number","Percent","Text","URL"}, $B90))) &gt; 0,$B90 &amp; "(" &amp; $C90 &amp; ")",$B90)))), "  ", TRIM(IF($S90 = "YES", "(External ID)", "") &amp; " " &amp; IF(SUMPRODUCT(-- ISNUMBER(SEARCH({"Unique","Unique Case Insensitive"}, $R90))) &gt; 0, "(" &amp; $R90 &amp; ")", ""))))</f>
        <v>na</v>
      </c>
      <c r="E90" s="7" t="s">
        <v>195</v>
      </c>
      <c r="F90" s="7" t="s">
        <v>195</v>
      </c>
      <c r="G90" s="7" t="s">
        <v>195</v>
      </c>
      <c r="H90" s="7" t="s">
        <v>195</v>
      </c>
      <c r="I90" s="7" t="s">
        <v>195</v>
      </c>
      <c r="J90" s="7" t="s">
        <v>195</v>
      </c>
      <c r="K90" s="7" t="s">
        <v>195</v>
      </c>
      <c r="L90" s="7" t="s">
        <v>195</v>
      </c>
      <c r="M90" s="7" t="s">
        <v>29</v>
      </c>
      <c r="N90" s="7" t="s">
        <v>29</v>
      </c>
      <c r="O90" s="7" t="s">
        <v>29</v>
      </c>
      <c r="P90" s="7" t="s">
        <v>29</v>
      </c>
      <c r="Q90" s="7" t="s">
        <v>29</v>
      </c>
      <c r="R90" s="7" t="s">
        <v>29</v>
      </c>
      <c r="S90" s="7" t="s">
        <v>29</v>
      </c>
    </row>
    <row r="91" spans="2:19">
      <c r="B91" s="7" t="s">
        <v>195</v>
      </c>
      <c r="C91" s="8" t="s">
        <v>195</v>
      </c>
      <c r="D91" s="5" t="str">
        <f>LRTRIM(CONCATENATE(IF(SUMPRODUCT(-- ISNUMBER(SEARCH({"Auto Number"}, $B91))) &gt; 0, $B91, IF(SUMPRODUCT(-- ISNUMBER(SEARCH({"Lookup","Master-Detail"}, $B91))) &gt; 0,$B91 &amp; "(" &amp; $E91 &amp; ")",IF(SUMPRODUCT(-- ISNUMBER(SEARCH({"Formula","Roll-Up Summary"}, $B91))) &gt; 0,$B91 &amp; " (" &amp; $E91 &amp; ")",IF(SUMPRODUCT(-- ISNUMBER(SEARCH({"Content","Currency","Number","Percent","Text","URL"}, $B91))) &gt; 0,$B91 &amp; "(" &amp; $C91 &amp; ")",$B91)))), "  ", TRIM(IF($S91 = "YES", "(External ID)", "") &amp; " " &amp; IF(SUMPRODUCT(-- ISNUMBER(SEARCH({"Unique","Unique Case Insensitive"}, $R91))) &gt; 0, "(" &amp; $R91 &amp; ")", ""))))</f>
        <v>na</v>
      </c>
      <c r="E91" s="7" t="s">
        <v>195</v>
      </c>
      <c r="F91" s="7" t="s">
        <v>195</v>
      </c>
      <c r="G91" s="7" t="s">
        <v>195</v>
      </c>
      <c r="H91" s="7" t="s">
        <v>195</v>
      </c>
      <c r="I91" s="7" t="s">
        <v>195</v>
      </c>
      <c r="J91" s="7" t="s">
        <v>195</v>
      </c>
      <c r="K91" s="7" t="s">
        <v>195</v>
      </c>
      <c r="L91" s="7" t="s">
        <v>195</v>
      </c>
      <c r="M91" s="7" t="s">
        <v>29</v>
      </c>
      <c r="N91" s="7" t="s">
        <v>29</v>
      </c>
      <c r="O91" s="7" t="s">
        <v>29</v>
      </c>
      <c r="P91" s="7" t="s">
        <v>29</v>
      </c>
      <c r="Q91" s="7" t="s">
        <v>29</v>
      </c>
      <c r="R91" s="7" t="s">
        <v>29</v>
      </c>
      <c r="S91" s="7" t="s">
        <v>29</v>
      </c>
    </row>
    <row r="92" spans="2:19">
      <c r="B92" s="7" t="s">
        <v>195</v>
      </c>
      <c r="C92" s="8" t="s">
        <v>195</v>
      </c>
      <c r="D92" s="5" t="str">
        <f>LRTRIM(CONCATENATE(IF(SUMPRODUCT(-- ISNUMBER(SEARCH({"Auto Number"}, $B92))) &gt; 0, $B92, IF(SUMPRODUCT(-- ISNUMBER(SEARCH({"Lookup","Master-Detail"}, $B92))) &gt; 0,$B92 &amp; "(" &amp; $E92 &amp; ")",IF(SUMPRODUCT(-- ISNUMBER(SEARCH({"Formula","Roll-Up Summary"}, $B92))) &gt; 0,$B92 &amp; " (" &amp; $E92 &amp; ")",IF(SUMPRODUCT(-- ISNUMBER(SEARCH({"Content","Currency","Number","Percent","Text","URL"}, $B92))) &gt; 0,$B92 &amp; "(" &amp; $C92 &amp; ")",$B92)))), "  ", TRIM(IF($S92 = "YES", "(External ID)", "") &amp; " " &amp; IF(SUMPRODUCT(-- ISNUMBER(SEARCH({"Unique","Unique Case Insensitive"}, $R92))) &gt; 0, "(" &amp; $R92 &amp; ")", ""))))</f>
        <v>na</v>
      </c>
      <c r="E92" s="7" t="s">
        <v>195</v>
      </c>
      <c r="F92" s="7" t="s">
        <v>195</v>
      </c>
      <c r="G92" s="7" t="s">
        <v>195</v>
      </c>
      <c r="H92" s="7" t="s">
        <v>195</v>
      </c>
      <c r="I92" s="7" t="s">
        <v>195</v>
      </c>
      <c r="J92" s="7" t="s">
        <v>195</v>
      </c>
      <c r="K92" s="7" t="s">
        <v>195</v>
      </c>
      <c r="L92" s="7" t="s">
        <v>195</v>
      </c>
      <c r="M92" s="7" t="s">
        <v>29</v>
      </c>
      <c r="N92" s="7" t="s">
        <v>29</v>
      </c>
      <c r="O92" s="7" t="s">
        <v>29</v>
      </c>
      <c r="P92" s="7" t="s">
        <v>29</v>
      </c>
      <c r="Q92" s="7" t="s">
        <v>29</v>
      </c>
      <c r="R92" s="7" t="s">
        <v>29</v>
      </c>
      <c r="S92" s="7" t="s">
        <v>29</v>
      </c>
    </row>
    <row r="93" spans="2:19">
      <c r="B93" s="7" t="s">
        <v>195</v>
      </c>
      <c r="C93" s="8" t="s">
        <v>195</v>
      </c>
      <c r="D93" s="5" t="str">
        <f>LRTRIM(CONCATENATE(IF(SUMPRODUCT(-- ISNUMBER(SEARCH({"Auto Number"}, $B93))) &gt; 0, $B93, IF(SUMPRODUCT(-- ISNUMBER(SEARCH({"Lookup","Master-Detail"}, $B93))) &gt; 0,$B93 &amp; "(" &amp; $E93 &amp; ")",IF(SUMPRODUCT(-- ISNUMBER(SEARCH({"Formula","Roll-Up Summary"}, $B93))) &gt; 0,$B93 &amp; " (" &amp; $E93 &amp; ")",IF(SUMPRODUCT(-- ISNUMBER(SEARCH({"Content","Currency","Number","Percent","Text","URL"}, $B93))) &gt; 0,$B93 &amp; "(" &amp; $C93 &amp; ")",$B93)))), "  ", TRIM(IF($S93 = "YES", "(External ID)", "") &amp; " " &amp; IF(SUMPRODUCT(-- ISNUMBER(SEARCH({"Unique","Unique Case Insensitive"}, $R93))) &gt; 0, "(" &amp; $R93 &amp; ")", ""))))</f>
        <v>na</v>
      </c>
      <c r="E93" s="7" t="s">
        <v>195</v>
      </c>
      <c r="F93" s="7" t="s">
        <v>195</v>
      </c>
      <c r="G93" s="7" t="s">
        <v>195</v>
      </c>
      <c r="H93" s="7" t="s">
        <v>195</v>
      </c>
      <c r="I93" s="7" t="s">
        <v>195</v>
      </c>
      <c r="J93" s="7" t="s">
        <v>195</v>
      </c>
      <c r="K93" s="7" t="s">
        <v>195</v>
      </c>
      <c r="L93" s="7" t="s">
        <v>195</v>
      </c>
      <c r="M93" s="7" t="s">
        <v>29</v>
      </c>
      <c r="N93" s="7" t="s">
        <v>29</v>
      </c>
      <c r="O93" s="7" t="s">
        <v>29</v>
      </c>
      <c r="P93" s="7" t="s">
        <v>29</v>
      </c>
      <c r="Q93" s="7" t="s">
        <v>29</v>
      </c>
      <c r="R93" s="7" t="s">
        <v>29</v>
      </c>
      <c r="S93" s="7" t="s">
        <v>29</v>
      </c>
    </row>
    <row r="94" spans="2:19">
      <c r="B94" s="7" t="s">
        <v>195</v>
      </c>
      <c r="C94" s="8" t="s">
        <v>195</v>
      </c>
      <c r="D94" s="5" t="str">
        <f>LRTRIM(CONCATENATE(IF(SUMPRODUCT(-- ISNUMBER(SEARCH({"Auto Number"}, $B94))) &gt; 0, $B94, IF(SUMPRODUCT(-- ISNUMBER(SEARCH({"Lookup","Master-Detail"}, $B94))) &gt; 0,$B94 &amp; "(" &amp; $E94 &amp; ")",IF(SUMPRODUCT(-- ISNUMBER(SEARCH({"Formula","Roll-Up Summary"}, $B94))) &gt; 0,$B94 &amp; " (" &amp; $E94 &amp; ")",IF(SUMPRODUCT(-- ISNUMBER(SEARCH({"Content","Currency","Number","Percent","Text","URL"}, $B94))) &gt; 0,$B94 &amp; "(" &amp; $C94 &amp; ")",$B94)))), "  ", TRIM(IF($S94 = "YES", "(External ID)", "") &amp; " " &amp; IF(SUMPRODUCT(-- ISNUMBER(SEARCH({"Unique","Unique Case Insensitive"}, $R94))) &gt; 0, "(" &amp; $R94 &amp; ")", ""))))</f>
        <v>na</v>
      </c>
      <c r="E94" s="7" t="s">
        <v>195</v>
      </c>
      <c r="F94" s="7" t="s">
        <v>195</v>
      </c>
      <c r="G94" s="7" t="s">
        <v>195</v>
      </c>
      <c r="H94" s="7" t="s">
        <v>195</v>
      </c>
      <c r="I94" s="7" t="s">
        <v>195</v>
      </c>
      <c r="J94" s="7" t="s">
        <v>195</v>
      </c>
      <c r="K94" s="7" t="s">
        <v>195</v>
      </c>
      <c r="L94" s="7" t="s">
        <v>195</v>
      </c>
      <c r="M94" s="7" t="s">
        <v>29</v>
      </c>
      <c r="N94" s="7" t="s">
        <v>29</v>
      </c>
      <c r="O94" s="7" t="s">
        <v>29</v>
      </c>
      <c r="P94" s="7" t="s">
        <v>29</v>
      </c>
      <c r="Q94" s="7" t="s">
        <v>29</v>
      </c>
      <c r="R94" s="7" t="s">
        <v>29</v>
      </c>
      <c r="S94" s="7" t="s">
        <v>29</v>
      </c>
    </row>
    <row r="95" spans="2:19">
      <c r="B95" s="7" t="s">
        <v>195</v>
      </c>
      <c r="C95" s="8" t="s">
        <v>195</v>
      </c>
      <c r="D95" s="5" t="str">
        <f>LRTRIM(CONCATENATE(IF(SUMPRODUCT(-- ISNUMBER(SEARCH({"Auto Number"}, $B95))) &gt; 0, $B95, IF(SUMPRODUCT(-- ISNUMBER(SEARCH({"Lookup","Master-Detail"}, $B95))) &gt; 0,$B95 &amp; "(" &amp; $E95 &amp; ")",IF(SUMPRODUCT(-- ISNUMBER(SEARCH({"Formula","Roll-Up Summary"}, $B95))) &gt; 0,$B95 &amp; " (" &amp; $E95 &amp; ")",IF(SUMPRODUCT(-- ISNUMBER(SEARCH({"Content","Currency","Number","Percent","Text","URL"}, $B95))) &gt; 0,$B95 &amp; "(" &amp; $C95 &amp; ")",$B95)))), "  ", TRIM(IF($S95 = "YES", "(External ID)", "") &amp; " " &amp; IF(SUMPRODUCT(-- ISNUMBER(SEARCH({"Unique","Unique Case Insensitive"}, $R95))) &gt; 0, "(" &amp; $R95 &amp; ")", ""))))</f>
        <v>na</v>
      </c>
      <c r="E95" s="7" t="s">
        <v>195</v>
      </c>
      <c r="F95" s="7" t="s">
        <v>195</v>
      </c>
      <c r="G95" s="7" t="s">
        <v>195</v>
      </c>
      <c r="H95" s="7" t="s">
        <v>195</v>
      </c>
      <c r="I95" s="7" t="s">
        <v>195</v>
      </c>
      <c r="J95" s="7" t="s">
        <v>195</v>
      </c>
      <c r="K95" s="7" t="s">
        <v>195</v>
      </c>
      <c r="L95" s="7" t="s">
        <v>195</v>
      </c>
      <c r="M95" s="7" t="s">
        <v>29</v>
      </c>
      <c r="N95" s="7" t="s">
        <v>29</v>
      </c>
      <c r="O95" s="7" t="s">
        <v>29</v>
      </c>
      <c r="P95" s="7" t="s">
        <v>29</v>
      </c>
      <c r="Q95" s="7" t="s">
        <v>29</v>
      </c>
      <c r="R95" s="7" t="s">
        <v>29</v>
      </c>
      <c r="S95" s="7" t="s">
        <v>29</v>
      </c>
    </row>
    <row r="96" spans="2:19">
      <c r="B96" s="7" t="s">
        <v>195</v>
      </c>
      <c r="C96" s="8" t="s">
        <v>195</v>
      </c>
      <c r="D96" s="5" t="str">
        <f>LRTRIM(CONCATENATE(IF(SUMPRODUCT(-- ISNUMBER(SEARCH({"Auto Number"}, $B96))) &gt; 0, $B96, IF(SUMPRODUCT(-- ISNUMBER(SEARCH({"Lookup","Master-Detail"}, $B96))) &gt; 0,$B96 &amp; "(" &amp; $E96 &amp; ")",IF(SUMPRODUCT(-- ISNUMBER(SEARCH({"Formula","Roll-Up Summary"}, $B96))) &gt; 0,$B96 &amp; " (" &amp; $E96 &amp; ")",IF(SUMPRODUCT(-- ISNUMBER(SEARCH({"Content","Currency","Number","Percent","Text","URL"}, $B96))) &gt; 0,$B96 &amp; "(" &amp; $C96 &amp; ")",$B96)))), "  ", TRIM(IF($S96 = "YES", "(External ID)", "") &amp; " " &amp; IF(SUMPRODUCT(-- ISNUMBER(SEARCH({"Unique","Unique Case Insensitive"}, $R96))) &gt; 0, "(" &amp; $R96 &amp; ")", ""))))</f>
        <v>na</v>
      </c>
      <c r="E96" s="7" t="s">
        <v>195</v>
      </c>
      <c r="F96" s="7" t="s">
        <v>195</v>
      </c>
      <c r="G96" s="7" t="s">
        <v>195</v>
      </c>
      <c r="H96" s="7" t="s">
        <v>195</v>
      </c>
      <c r="I96" s="7" t="s">
        <v>195</v>
      </c>
      <c r="J96" s="7" t="s">
        <v>195</v>
      </c>
      <c r="K96" s="7" t="s">
        <v>195</v>
      </c>
      <c r="L96" s="7" t="s">
        <v>195</v>
      </c>
      <c r="M96" s="7" t="s">
        <v>29</v>
      </c>
      <c r="N96" s="7" t="s">
        <v>29</v>
      </c>
      <c r="O96" s="7" t="s">
        <v>29</v>
      </c>
      <c r="P96" s="7" t="s">
        <v>29</v>
      </c>
      <c r="Q96" s="7" t="s">
        <v>29</v>
      </c>
      <c r="R96" s="7" t="s">
        <v>29</v>
      </c>
      <c r="S96" s="7" t="s">
        <v>29</v>
      </c>
    </row>
    <row r="97" spans="2:19">
      <c r="B97" s="7" t="s">
        <v>195</v>
      </c>
      <c r="C97" s="8" t="s">
        <v>195</v>
      </c>
      <c r="D97" s="5" t="str">
        <f>LRTRIM(CONCATENATE(IF(SUMPRODUCT(-- ISNUMBER(SEARCH({"Auto Number"}, $B97))) &gt; 0, $B97, IF(SUMPRODUCT(-- ISNUMBER(SEARCH({"Lookup","Master-Detail"}, $B97))) &gt; 0,$B97 &amp; "(" &amp; $E97 &amp; ")",IF(SUMPRODUCT(-- ISNUMBER(SEARCH({"Formula","Roll-Up Summary"}, $B97))) &gt; 0,$B97 &amp; " (" &amp; $E97 &amp; ")",IF(SUMPRODUCT(-- ISNUMBER(SEARCH({"Content","Currency","Number","Percent","Text","URL"}, $B97))) &gt; 0,$B97 &amp; "(" &amp; $C97 &amp; ")",$B97)))), "  ", TRIM(IF($S97 = "YES", "(External ID)", "") &amp; " " &amp; IF(SUMPRODUCT(-- ISNUMBER(SEARCH({"Unique","Unique Case Insensitive"}, $R97))) &gt; 0, "(" &amp; $R97 &amp; ")", ""))))</f>
        <v>na</v>
      </c>
      <c r="E97" s="7" t="s">
        <v>195</v>
      </c>
      <c r="F97" s="7" t="s">
        <v>195</v>
      </c>
      <c r="G97" s="7" t="s">
        <v>195</v>
      </c>
      <c r="H97" s="7" t="s">
        <v>195</v>
      </c>
      <c r="I97" s="7" t="s">
        <v>195</v>
      </c>
      <c r="J97" s="7" t="s">
        <v>195</v>
      </c>
      <c r="K97" s="7" t="s">
        <v>195</v>
      </c>
      <c r="L97" s="7" t="s">
        <v>195</v>
      </c>
      <c r="M97" s="7" t="s">
        <v>29</v>
      </c>
      <c r="N97" s="7" t="s">
        <v>29</v>
      </c>
      <c r="O97" s="7" t="s">
        <v>29</v>
      </c>
      <c r="P97" s="7" t="s">
        <v>29</v>
      </c>
      <c r="Q97" s="7" t="s">
        <v>29</v>
      </c>
      <c r="R97" s="7" t="s">
        <v>29</v>
      </c>
      <c r="S97" s="7" t="s">
        <v>29</v>
      </c>
    </row>
    <row r="98" spans="2:19">
      <c r="B98" s="7" t="s">
        <v>195</v>
      </c>
      <c r="C98" s="8" t="s">
        <v>195</v>
      </c>
      <c r="D98" s="5" t="str">
        <f>LRTRIM(CONCATENATE(IF(SUMPRODUCT(-- ISNUMBER(SEARCH({"Auto Number"}, $B98))) &gt; 0, $B98, IF(SUMPRODUCT(-- ISNUMBER(SEARCH({"Lookup","Master-Detail"}, $B98))) &gt; 0,$B98 &amp; "(" &amp; $E98 &amp; ")",IF(SUMPRODUCT(-- ISNUMBER(SEARCH({"Formula","Roll-Up Summary"}, $B98))) &gt; 0,$B98 &amp; " (" &amp; $E98 &amp; ")",IF(SUMPRODUCT(-- ISNUMBER(SEARCH({"Content","Currency","Number","Percent","Text","URL"}, $B98))) &gt; 0,$B98 &amp; "(" &amp; $C98 &amp; ")",$B98)))), "  ", TRIM(IF($S98 = "YES", "(External ID)", "") &amp; " " &amp; IF(SUMPRODUCT(-- ISNUMBER(SEARCH({"Unique","Unique Case Insensitive"}, $R98))) &gt; 0, "(" &amp; $R98 &amp; ")", ""))))</f>
        <v>na</v>
      </c>
      <c r="E98" s="7" t="s">
        <v>195</v>
      </c>
      <c r="F98" s="7" t="s">
        <v>195</v>
      </c>
      <c r="G98" s="7" t="s">
        <v>195</v>
      </c>
      <c r="H98" s="7" t="s">
        <v>195</v>
      </c>
      <c r="I98" s="7" t="s">
        <v>195</v>
      </c>
      <c r="J98" s="7" t="s">
        <v>195</v>
      </c>
      <c r="K98" s="7" t="s">
        <v>195</v>
      </c>
      <c r="L98" s="7" t="s">
        <v>195</v>
      </c>
      <c r="M98" s="7" t="s">
        <v>29</v>
      </c>
      <c r="N98" s="7" t="s">
        <v>29</v>
      </c>
      <c r="O98" s="7" t="s">
        <v>29</v>
      </c>
      <c r="P98" s="7" t="s">
        <v>29</v>
      </c>
      <c r="Q98" s="7" t="s">
        <v>29</v>
      </c>
      <c r="R98" s="7" t="s">
        <v>29</v>
      </c>
      <c r="S98" s="7" t="s">
        <v>29</v>
      </c>
    </row>
    <row r="99" spans="2:19">
      <c r="B99" s="7" t="s">
        <v>195</v>
      </c>
      <c r="C99" s="8" t="s">
        <v>195</v>
      </c>
      <c r="D99" s="5" t="str">
        <f>LRTRIM(CONCATENATE(IF(SUMPRODUCT(-- ISNUMBER(SEARCH({"Auto Number"}, $B99))) &gt; 0, $B99, IF(SUMPRODUCT(-- ISNUMBER(SEARCH({"Lookup","Master-Detail"}, $B99))) &gt; 0,$B99 &amp; "(" &amp; $E99 &amp; ")",IF(SUMPRODUCT(-- ISNUMBER(SEARCH({"Formula","Roll-Up Summary"}, $B99))) &gt; 0,$B99 &amp; " (" &amp; $E99 &amp; ")",IF(SUMPRODUCT(-- ISNUMBER(SEARCH({"Content","Currency","Number","Percent","Text","URL"}, $B99))) &gt; 0,$B99 &amp; "(" &amp; $C99 &amp; ")",$B99)))), "  ", TRIM(IF($S99 = "YES", "(External ID)", "") &amp; " " &amp; IF(SUMPRODUCT(-- ISNUMBER(SEARCH({"Unique","Unique Case Insensitive"}, $R99))) &gt; 0, "(" &amp; $R99 &amp; ")", ""))))</f>
        <v>na</v>
      </c>
      <c r="E99" s="7" t="s">
        <v>195</v>
      </c>
      <c r="F99" s="7" t="s">
        <v>195</v>
      </c>
      <c r="G99" s="7" t="s">
        <v>195</v>
      </c>
      <c r="H99" s="7" t="s">
        <v>195</v>
      </c>
      <c r="I99" s="7" t="s">
        <v>195</v>
      </c>
      <c r="J99" s="7" t="s">
        <v>195</v>
      </c>
      <c r="K99" s="7" t="s">
        <v>195</v>
      </c>
      <c r="L99" s="7" t="s">
        <v>195</v>
      </c>
      <c r="M99" s="7" t="s">
        <v>29</v>
      </c>
      <c r="N99" s="7" t="s">
        <v>29</v>
      </c>
      <c r="O99" s="7" t="s">
        <v>29</v>
      </c>
      <c r="P99" s="7" t="s">
        <v>29</v>
      </c>
      <c r="Q99" s="7" t="s">
        <v>29</v>
      </c>
      <c r="R99" s="7" t="s">
        <v>29</v>
      </c>
      <c r="S99" s="7" t="s">
        <v>29</v>
      </c>
    </row>
    <row r="100" spans="2:19">
      <c r="B100" s="7" t="s">
        <v>195</v>
      </c>
      <c r="C100" s="8" t="s">
        <v>195</v>
      </c>
      <c r="D100" s="5" t="str">
        <f>LRTRIM(CONCATENATE(IF(SUMPRODUCT(-- ISNUMBER(SEARCH({"Auto Number"}, $B100))) &gt; 0, $B100, IF(SUMPRODUCT(-- ISNUMBER(SEARCH({"Lookup","Master-Detail"}, $B100))) &gt; 0,$B100 &amp; "(" &amp; $E100 &amp; ")",IF(SUMPRODUCT(-- ISNUMBER(SEARCH({"Formula","Roll-Up Summary"}, $B100))) &gt; 0,$B100 &amp; " (" &amp; $E100 &amp; ")",IF(SUMPRODUCT(-- ISNUMBER(SEARCH({"Content","Currency","Number","Percent","Text","URL"}, $B100))) &gt; 0,$B100 &amp; "(" &amp; $C100 &amp; ")",$B100)))), "  ", TRIM(IF($S100 = "YES", "(External ID)", "") &amp; " " &amp; IF(SUMPRODUCT(-- ISNUMBER(SEARCH({"Unique","Unique Case Insensitive"}, $R100))) &gt; 0, "(" &amp; $R100 &amp; ")", ""))))</f>
        <v>na</v>
      </c>
      <c r="E100" s="7" t="s">
        <v>195</v>
      </c>
      <c r="F100" s="7" t="s">
        <v>195</v>
      </c>
      <c r="G100" s="7" t="s">
        <v>195</v>
      </c>
      <c r="H100" s="7" t="s">
        <v>195</v>
      </c>
      <c r="I100" s="7" t="s">
        <v>195</v>
      </c>
      <c r="J100" s="7" t="s">
        <v>195</v>
      </c>
      <c r="K100" s="7" t="s">
        <v>195</v>
      </c>
      <c r="L100" s="7" t="s">
        <v>195</v>
      </c>
      <c r="M100" s="7" t="s">
        <v>29</v>
      </c>
      <c r="N100" s="7" t="s">
        <v>29</v>
      </c>
      <c r="O100" s="7" t="s">
        <v>29</v>
      </c>
      <c r="P100" s="7" t="s">
        <v>29</v>
      </c>
      <c r="Q100" s="7" t="s">
        <v>29</v>
      </c>
      <c r="R100" s="7" t="s">
        <v>29</v>
      </c>
      <c r="S100" s="7" t="s">
        <v>29</v>
      </c>
    </row>
    <row r="101" spans="2:19">
      <c r="B101" s="7" t="s">
        <v>195</v>
      </c>
      <c r="C101" s="8" t="s">
        <v>195</v>
      </c>
      <c r="D101" s="5" t="str">
        <f>LRTRIM(CONCATENATE(IF(SUMPRODUCT(-- ISNUMBER(SEARCH({"Auto Number"}, $B101))) &gt; 0, $B101, IF(SUMPRODUCT(-- ISNUMBER(SEARCH({"Lookup","Master-Detail"}, $B101))) &gt; 0,$B101 &amp; "(" &amp; $E101 &amp; ")",IF(SUMPRODUCT(-- ISNUMBER(SEARCH({"Formula","Roll-Up Summary"}, $B101))) &gt; 0,$B101 &amp; " (" &amp; $E101 &amp; ")",IF(SUMPRODUCT(-- ISNUMBER(SEARCH({"Content","Currency","Number","Percent","Text","URL"}, $B101))) &gt; 0,$B101 &amp; "(" &amp; $C101 &amp; ")",$B101)))), "  ", TRIM(IF($S101 = "YES", "(External ID)", "") &amp; " " &amp; IF(SUMPRODUCT(-- ISNUMBER(SEARCH({"Unique","Unique Case Insensitive"}, $R101))) &gt; 0, "(" &amp; $R101 &amp; ")", ""))))</f>
        <v>na</v>
      </c>
      <c r="E101" s="7" t="s">
        <v>195</v>
      </c>
      <c r="F101" s="7" t="s">
        <v>195</v>
      </c>
      <c r="G101" s="7" t="s">
        <v>195</v>
      </c>
      <c r="H101" s="7" t="s">
        <v>195</v>
      </c>
      <c r="I101" s="7" t="s">
        <v>195</v>
      </c>
      <c r="J101" s="7" t="s">
        <v>195</v>
      </c>
      <c r="K101" s="7" t="s">
        <v>195</v>
      </c>
      <c r="L101" s="7" t="s">
        <v>195</v>
      </c>
      <c r="M101" s="7" t="s">
        <v>29</v>
      </c>
      <c r="N101" s="7" t="s">
        <v>29</v>
      </c>
      <c r="O101" s="7" t="s">
        <v>29</v>
      </c>
      <c r="P101" s="7" t="s">
        <v>29</v>
      </c>
      <c r="Q101" s="7" t="s">
        <v>29</v>
      </c>
      <c r="R101" s="7" t="s">
        <v>29</v>
      </c>
      <c r="S101" s="7" t="s">
        <v>29</v>
      </c>
    </row>
    <row r="102" spans="2:19">
      <c r="B102" s="7" t="s">
        <v>195</v>
      </c>
      <c r="C102" s="8" t="s">
        <v>195</v>
      </c>
      <c r="D102" s="5" t="str">
        <f>LRTRIM(CONCATENATE(IF(SUMPRODUCT(-- ISNUMBER(SEARCH({"Auto Number"}, $B102))) &gt; 0, $B102, IF(SUMPRODUCT(-- ISNUMBER(SEARCH({"Lookup","Master-Detail"}, $B102))) &gt; 0,$B102 &amp; "(" &amp; $E102 &amp; ")",IF(SUMPRODUCT(-- ISNUMBER(SEARCH({"Formula","Roll-Up Summary"}, $B102))) &gt; 0,$B102 &amp; " (" &amp; $E102 &amp; ")",IF(SUMPRODUCT(-- ISNUMBER(SEARCH({"Content","Currency","Number","Percent","Text","URL"}, $B102))) &gt; 0,$B102 &amp; "(" &amp; $C102 &amp; ")",$B102)))), "  ", TRIM(IF($S102 = "YES", "(External ID)", "") &amp; " " &amp; IF(SUMPRODUCT(-- ISNUMBER(SEARCH({"Unique","Unique Case Insensitive"}, $R102))) &gt; 0, "(" &amp; $R102 &amp; ")", ""))))</f>
        <v>na</v>
      </c>
      <c r="E102" s="7" t="s">
        <v>195</v>
      </c>
      <c r="F102" s="7" t="s">
        <v>195</v>
      </c>
      <c r="G102" s="7" t="s">
        <v>195</v>
      </c>
      <c r="H102" s="7" t="s">
        <v>195</v>
      </c>
      <c r="I102" s="7" t="s">
        <v>195</v>
      </c>
      <c r="J102" s="7" t="s">
        <v>195</v>
      </c>
      <c r="K102" s="7" t="s">
        <v>195</v>
      </c>
      <c r="L102" s="7" t="s">
        <v>195</v>
      </c>
      <c r="M102" s="7" t="s">
        <v>29</v>
      </c>
      <c r="N102" s="7" t="s">
        <v>29</v>
      </c>
      <c r="O102" s="7" t="s">
        <v>29</v>
      </c>
      <c r="P102" s="7" t="s">
        <v>29</v>
      </c>
      <c r="Q102" s="7" t="s">
        <v>29</v>
      </c>
      <c r="R102" s="7" t="s">
        <v>29</v>
      </c>
      <c r="S102" s="7" t="s">
        <v>29</v>
      </c>
    </row>
    <row r="103" spans="2:19">
      <c r="B103" s="7" t="s">
        <v>195</v>
      </c>
      <c r="C103" s="8" t="s">
        <v>195</v>
      </c>
      <c r="D103" s="5" t="str">
        <f>LRTRIM(CONCATENATE(IF(SUMPRODUCT(-- ISNUMBER(SEARCH({"Auto Number"}, $B103))) &gt; 0, $B103, IF(SUMPRODUCT(-- ISNUMBER(SEARCH({"Lookup","Master-Detail"}, $B103))) &gt; 0,$B103 &amp; "(" &amp; $E103 &amp; ")",IF(SUMPRODUCT(-- ISNUMBER(SEARCH({"Formula","Roll-Up Summary"}, $B103))) &gt; 0,$B103 &amp; " (" &amp; $E103 &amp; ")",IF(SUMPRODUCT(-- ISNUMBER(SEARCH({"Content","Currency","Number","Percent","Text","URL"}, $B103))) &gt; 0,$B103 &amp; "(" &amp; $C103 &amp; ")",$B103)))), "  ", TRIM(IF($S103 = "YES", "(External ID)", "") &amp; " " &amp; IF(SUMPRODUCT(-- ISNUMBER(SEARCH({"Unique","Unique Case Insensitive"}, $R103))) &gt; 0, "(" &amp; $R103 &amp; ")", ""))))</f>
        <v>na</v>
      </c>
      <c r="E103" s="7" t="s">
        <v>195</v>
      </c>
      <c r="F103" s="7" t="s">
        <v>195</v>
      </c>
      <c r="G103" s="7" t="s">
        <v>195</v>
      </c>
      <c r="H103" s="7" t="s">
        <v>195</v>
      </c>
      <c r="I103" s="7" t="s">
        <v>195</v>
      </c>
      <c r="J103" s="7" t="s">
        <v>195</v>
      </c>
      <c r="K103" s="7" t="s">
        <v>195</v>
      </c>
      <c r="L103" s="7" t="s">
        <v>195</v>
      </c>
      <c r="M103" s="7" t="s">
        <v>29</v>
      </c>
      <c r="N103" s="7" t="s">
        <v>29</v>
      </c>
      <c r="O103" s="7" t="s">
        <v>29</v>
      </c>
      <c r="P103" s="7" t="s">
        <v>29</v>
      </c>
      <c r="Q103" s="7" t="s">
        <v>29</v>
      </c>
      <c r="R103" s="7" t="s">
        <v>29</v>
      </c>
      <c r="S103" s="7" t="s">
        <v>29</v>
      </c>
    </row>
    <row r="104" spans="2:19">
      <c r="B104" s="7" t="s">
        <v>195</v>
      </c>
      <c r="C104" s="8" t="s">
        <v>195</v>
      </c>
      <c r="D104" s="5" t="str">
        <f>LRTRIM(CONCATENATE(IF(SUMPRODUCT(-- ISNUMBER(SEARCH({"Auto Number"}, $B104))) &gt; 0, $B104, IF(SUMPRODUCT(-- ISNUMBER(SEARCH({"Lookup","Master-Detail"}, $B104))) &gt; 0,$B104 &amp; "(" &amp; $E104 &amp; ")",IF(SUMPRODUCT(-- ISNUMBER(SEARCH({"Formula","Roll-Up Summary"}, $B104))) &gt; 0,$B104 &amp; " (" &amp; $E104 &amp; ")",IF(SUMPRODUCT(-- ISNUMBER(SEARCH({"Content","Currency","Number","Percent","Text","URL"}, $B104))) &gt; 0,$B104 &amp; "(" &amp; $C104 &amp; ")",$B104)))), "  ", TRIM(IF($S104 = "YES", "(External ID)", "") &amp; " " &amp; IF(SUMPRODUCT(-- ISNUMBER(SEARCH({"Unique","Unique Case Insensitive"}, $R104))) &gt; 0, "(" &amp; $R104 &amp; ")", ""))))</f>
        <v>na</v>
      </c>
      <c r="E104" s="7" t="s">
        <v>195</v>
      </c>
      <c r="F104" s="7" t="s">
        <v>195</v>
      </c>
      <c r="G104" s="7" t="s">
        <v>195</v>
      </c>
      <c r="H104" s="7" t="s">
        <v>195</v>
      </c>
      <c r="I104" s="7" t="s">
        <v>195</v>
      </c>
      <c r="J104" s="7" t="s">
        <v>195</v>
      </c>
      <c r="K104" s="7" t="s">
        <v>195</v>
      </c>
      <c r="L104" s="7" t="s">
        <v>195</v>
      </c>
      <c r="M104" s="7" t="s">
        <v>29</v>
      </c>
      <c r="N104" s="7" t="s">
        <v>29</v>
      </c>
      <c r="O104" s="7" t="s">
        <v>29</v>
      </c>
      <c r="P104" s="7" t="s">
        <v>29</v>
      </c>
      <c r="Q104" s="7" t="s">
        <v>29</v>
      </c>
      <c r="R104" s="7" t="s">
        <v>29</v>
      </c>
      <c r="S104" s="7" t="s">
        <v>29</v>
      </c>
    </row>
    <row r="105" spans="2:19">
      <c r="B105" s="7" t="s">
        <v>195</v>
      </c>
      <c r="C105" s="8" t="s">
        <v>195</v>
      </c>
      <c r="D105" s="5" t="str">
        <f>LRTRIM(CONCATENATE(IF(SUMPRODUCT(-- ISNUMBER(SEARCH({"Auto Number"}, $B105))) &gt; 0, $B105, IF(SUMPRODUCT(-- ISNUMBER(SEARCH({"Lookup","Master-Detail"}, $B105))) &gt; 0,$B105 &amp; "(" &amp; $E105 &amp; ")",IF(SUMPRODUCT(-- ISNUMBER(SEARCH({"Formula","Roll-Up Summary"}, $B105))) &gt; 0,$B105 &amp; " (" &amp; $E105 &amp; ")",IF(SUMPRODUCT(-- ISNUMBER(SEARCH({"Content","Currency","Number","Percent","Text","URL"}, $B105))) &gt; 0,$B105 &amp; "(" &amp; $C105 &amp; ")",$B105)))), "  ", TRIM(IF($S105 = "YES", "(External ID)", "") &amp; " " &amp; IF(SUMPRODUCT(-- ISNUMBER(SEARCH({"Unique","Unique Case Insensitive"}, $R105))) &gt; 0, "(" &amp; $R105 &amp; ")", ""))))</f>
        <v>na</v>
      </c>
      <c r="E105" s="7" t="s">
        <v>195</v>
      </c>
      <c r="F105" s="7" t="s">
        <v>195</v>
      </c>
      <c r="G105" s="7" t="s">
        <v>195</v>
      </c>
      <c r="H105" s="7" t="s">
        <v>195</v>
      </c>
      <c r="I105" s="7" t="s">
        <v>195</v>
      </c>
      <c r="J105" s="7" t="s">
        <v>195</v>
      </c>
      <c r="K105" s="7" t="s">
        <v>195</v>
      </c>
      <c r="L105" s="7" t="s">
        <v>195</v>
      </c>
      <c r="M105" s="7" t="s">
        <v>29</v>
      </c>
      <c r="N105" s="7" t="s">
        <v>29</v>
      </c>
      <c r="O105" s="7" t="s">
        <v>29</v>
      </c>
      <c r="P105" s="7" t="s">
        <v>29</v>
      </c>
      <c r="Q105" s="7" t="s">
        <v>29</v>
      </c>
      <c r="R105" s="7" t="s">
        <v>29</v>
      </c>
      <c r="S105" s="7" t="s">
        <v>29</v>
      </c>
    </row>
    <row r="106" spans="2:19">
      <c r="B106" s="7" t="s">
        <v>195</v>
      </c>
      <c r="C106" s="8" t="s">
        <v>195</v>
      </c>
      <c r="D106" s="5" t="str">
        <f>LRTRIM(CONCATENATE(IF(SUMPRODUCT(-- ISNUMBER(SEARCH({"Auto Number"}, $B106))) &gt; 0, $B106, IF(SUMPRODUCT(-- ISNUMBER(SEARCH({"Lookup","Master-Detail"}, $B106))) &gt; 0,$B106 &amp; "(" &amp; $E106 &amp; ")",IF(SUMPRODUCT(-- ISNUMBER(SEARCH({"Formula","Roll-Up Summary"}, $B106))) &gt; 0,$B106 &amp; " (" &amp; $E106 &amp; ")",IF(SUMPRODUCT(-- ISNUMBER(SEARCH({"Content","Currency","Number","Percent","Text","URL"}, $B106))) &gt; 0,$B106 &amp; "(" &amp; $C106 &amp; ")",$B106)))), "  ", TRIM(IF($S106 = "YES", "(External ID)", "") &amp; " " &amp; IF(SUMPRODUCT(-- ISNUMBER(SEARCH({"Unique","Unique Case Insensitive"}, $R106))) &gt; 0, "(" &amp; $R106 &amp; ")", ""))))</f>
        <v>na</v>
      </c>
      <c r="E106" s="7" t="s">
        <v>195</v>
      </c>
      <c r="F106" s="7" t="s">
        <v>195</v>
      </c>
      <c r="G106" s="7" t="s">
        <v>195</v>
      </c>
      <c r="H106" s="7" t="s">
        <v>195</v>
      </c>
      <c r="I106" s="7" t="s">
        <v>195</v>
      </c>
      <c r="J106" s="7" t="s">
        <v>195</v>
      </c>
      <c r="K106" s="7" t="s">
        <v>195</v>
      </c>
      <c r="L106" s="7" t="s">
        <v>195</v>
      </c>
      <c r="M106" s="7" t="s">
        <v>29</v>
      </c>
      <c r="N106" s="7" t="s">
        <v>29</v>
      </c>
      <c r="O106" s="7" t="s">
        <v>29</v>
      </c>
      <c r="P106" s="7" t="s">
        <v>29</v>
      </c>
      <c r="Q106" s="7" t="s">
        <v>29</v>
      </c>
      <c r="R106" s="7" t="s">
        <v>29</v>
      </c>
      <c r="S106" s="7" t="s">
        <v>29</v>
      </c>
    </row>
    <row r="107" spans="2:19">
      <c r="B107" s="7" t="s">
        <v>195</v>
      </c>
      <c r="C107" s="8" t="s">
        <v>195</v>
      </c>
      <c r="D107" s="5" t="str">
        <f>LRTRIM(CONCATENATE(IF(SUMPRODUCT(-- ISNUMBER(SEARCH({"Auto Number"}, $B107))) &gt; 0, $B107, IF(SUMPRODUCT(-- ISNUMBER(SEARCH({"Lookup","Master-Detail"}, $B107))) &gt; 0,$B107 &amp; "(" &amp; $E107 &amp; ")",IF(SUMPRODUCT(-- ISNUMBER(SEARCH({"Formula","Roll-Up Summary"}, $B107))) &gt; 0,$B107 &amp; " (" &amp; $E107 &amp; ")",IF(SUMPRODUCT(-- ISNUMBER(SEARCH({"Content","Currency","Number","Percent","Text","URL"}, $B107))) &gt; 0,$B107 &amp; "(" &amp; $C107 &amp; ")",$B107)))), "  ", TRIM(IF($S107 = "YES", "(External ID)", "") &amp; " " &amp; IF(SUMPRODUCT(-- ISNUMBER(SEARCH({"Unique","Unique Case Insensitive"}, $R107))) &gt; 0, "(" &amp; $R107 &amp; ")", ""))))</f>
        <v>na</v>
      </c>
      <c r="E107" s="7" t="s">
        <v>195</v>
      </c>
      <c r="F107" s="7" t="s">
        <v>195</v>
      </c>
      <c r="G107" s="7" t="s">
        <v>195</v>
      </c>
      <c r="H107" s="7" t="s">
        <v>195</v>
      </c>
      <c r="I107" s="7" t="s">
        <v>195</v>
      </c>
      <c r="J107" s="7" t="s">
        <v>195</v>
      </c>
      <c r="K107" s="7" t="s">
        <v>195</v>
      </c>
      <c r="L107" s="7" t="s">
        <v>195</v>
      </c>
      <c r="M107" s="7" t="s">
        <v>29</v>
      </c>
      <c r="N107" s="7" t="s">
        <v>29</v>
      </c>
      <c r="O107" s="7" t="s">
        <v>29</v>
      </c>
      <c r="P107" s="7" t="s">
        <v>29</v>
      </c>
      <c r="Q107" s="7" t="s">
        <v>29</v>
      </c>
      <c r="R107" s="7" t="s">
        <v>29</v>
      </c>
      <c r="S107" s="7" t="s">
        <v>29</v>
      </c>
    </row>
    <row r="108" spans="2:19">
      <c r="B108" s="7" t="s">
        <v>195</v>
      </c>
      <c r="C108" s="8" t="s">
        <v>195</v>
      </c>
      <c r="D108" s="5" t="str">
        <f>LRTRIM(CONCATENATE(IF(SUMPRODUCT(-- ISNUMBER(SEARCH({"Auto Number"}, $B108))) &gt; 0, $B108, IF(SUMPRODUCT(-- ISNUMBER(SEARCH({"Lookup","Master-Detail"}, $B108))) &gt; 0,$B108 &amp; "(" &amp; $E108 &amp; ")",IF(SUMPRODUCT(-- ISNUMBER(SEARCH({"Formula","Roll-Up Summary"}, $B108))) &gt; 0,$B108 &amp; " (" &amp; $E108 &amp; ")",IF(SUMPRODUCT(-- ISNUMBER(SEARCH({"Content","Currency","Number","Percent","Text","URL"}, $B108))) &gt; 0,$B108 &amp; "(" &amp; $C108 &amp; ")",$B108)))), "  ", TRIM(IF($S108 = "YES", "(External ID)", "") &amp; " " &amp; IF(SUMPRODUCT(-- ISNUMBER(SEARCH({"Unique","Unique Case Insensitive"}, $R108))) &gt; 0, "(" &amp; $R108 &amp; ")", ""))))</f>
        <v>na</v>
      </c>
      <c r="E108" s="7" t="s">
        <v>195</v>
      </c>
      <c r="F108" s="7" t="s">
        <v>195</v>
      </c>
      <c r="G108" s="7" t="s">
        <v>195</v>
      </c>
      <c r="H108" s="7" t="s">
        <v>195</v>
      </c>
      <c r="I108" s="7" t="s">
        <v>195</v>
      </c>
      <c r="J108" s="7" t="s">
        <v>195</v>
      </c>
      <c r="K108" s="7" t="s">
        <v>195</v>
      </c>
      <c r="L108" s="7" t="s">
        <v>195</v>
      </c>
      <c r="M108" s="7" t="s">
        <v>29</v>
      </c>
      <c r="N108" s="7" t="s">
        <v>29</v>
      </c>
      <c r="O108" s="7" t="s">
        <v>29</v>
      </c>
      <c r="P108" s="7" t="s">
        <v>29</v>
      </c>
      <c r="Q108" s="7" t="s">
        <v>29</v>
      </c>
      <c r="R108" s="7" t="s">
        <v>29</v>
      </c>
      <c r="S108" s="7" t="s">
        <v>29</v>
      </c>
    </row>
    <row r="109" spans="2:19">
      <c r="B109" s="7" t="s">
        <v>195</v>
      </c>
      <c r="C109" s="8" t="s">
        <v>195</v>
      </c>
      <c r="D109" s="5" t="str">
        <f>LRTRIM(CONCATENATE(IF(SUMPRODUCT(-- ISNUMBER(SEARCH({"Auto Number"}, $B109))) &gt; 0, $B109, IF(SUMPRODUCT(-- ISNUMBER(SEARCH({"Lookup","Master-Detail"}, $B109))) &gt; 0,$B109 &amp; "(" &amp; $E109 &amp; ")",IF(SUMPRODUCT(-- ISNUMBER(SEARCH({"Formula","Roll-Up Summary"}, $B109))) &gt; 0,$B109 &amp; " (" &amp; $E109 &amp; ")",IF(SUMPRODUCT(-- ISNUMBER(SEARCH({"Content","Currency","Number","Percent","Text","URL"}, $B109))) &gt; 0,$B109 &amp; "(" &amp; $C109 &amp; ")",$B109)))), "  ", TRIM(IF($S109 = "YES", "(External ID)", "") &amp; " " &amp; IF(SUMPRODUCT(-- ISNUMBER(SEARCH({"Unique","Unique Case Insensitive"}, $R109))) &gt; 0, "(" &amp; $R109 &amp; ")", ""))))</f>
        <v>na</v>
      </c>
      <c r="E109" s="7" t="s">
        <v>195</v>
      </c>
      <c r="F109" s="7" t="s">
        <v>195</v>
      </c>
      <c r="G109" s="7" t="s">
        <v>195</v>
      </c>
      <c r="H109" s="7" t="s">
        <v>195</v>
      </c>
      <c r="I109" s="7" t="s">
        <v>195</v>
      </c>
      <c r="J109" s="7" t="s">
        <v>195</v>
      </c>
      <c r="K109" s="7" t="s">
        <v>195</v>
      </c>
      <c r="L109" s="7" t="s">
        <v>195</v>
      </c>
      <c r="M109" s="7" t="s">
        <v>29</v>
      </c>
      <c r="N109" s="7" t="s">
        <v>29</v>
      </c>
      <c r="O109" s="7" t="s">
        <v>29</v>
      </c>
      <c r="P109" s="7" t="s">
        <v>29</v>
      </c>
      <c r="Q109" s="7" t="s">
        <v>29</v>
      </c>
      <c r="R109" s="7" t="s">
        <v>29</v>
      </c>
      <c r="S109" s="7" t="s">
        <v>29</v>
      </c>
    </row>
    <row r="110" spans="2:19">
      <c r="B110" s="7" t="s">
        <v>195</v>
      </c>
      <c r="C110" s="8" t="s">
        <v>195</v>
      </c>
      <c r="D110" s="5" t="str">
        <f>LRTRIM(CONCATENATE(IF(SUMPRODUCT(-- ISNUMBER(SEARCH({"Auto Number"}, $B110))) &gt; 0, $B110, IF(SUMPRODUCT(-- ISNUMBER(SEARCH({"Lookup","Master-Detail"}, $B110))) &gt; 0,$B110 &amp; "(" &amp; $E110 &amp; ")",IF(SUMPRODUCT(-- ISNUMBER(SEARCH({"Formula","Roll-Up Summary"}, $B110))) &gt; 0,$B110 &amp; " (" &amp; $E110 &amp; ")",IF(SUMPRODUCT(-- ISNUMBER(SEARCH({"Content","Currency","Number","Percent","Text","URL"}, $B110))) &gt; 0,$B110 &amp; "(" &amp; $C110 &amp; ")",$B110)))), "  ", TRIM(IF($S110 = "YES", "(External ID)", "") &amp; " " &amp; IF(SUMPRODUCT(-- ISNUMBER(SEARCH({"Unique","Unique Case Insensitive"}, $R110))) &gt; 0, "(" &amp; $R110 &amp; ")", ""))))</f>
        <v>na</v>
      </c>
      <c r="E110" s="7" t="s">
        <v>195</v>
      </c>
      <c r="F110" s="7" t="s">
        <v>195</v>
      </c>
      <c r="G110" s="7" t="s">
        <v>195</v>
      </c>
      <c r="H110" s="7" t="s">
        <v>195</v>
      </c>
      <c r="I110" s="7" t="s">
        <v>195</v>
      </c>
      <c r="J110" s="7" t="s">
        <v>195</v>
      </c>
      <c r="K110" s="7" t="s">
        <v>195</v>
      </c>
      <c r="L110" s="7" t="s">
        <v>195</v>
      </c>
      <c r="M110" s="7" t="s">
        <v>29</v>
      </c>
      <c r="N110" s="7" t="s">
        <v>29</v>
      </c>
      <c r="O110" s="7" t="s">
        <v>29</v>
      </c>
      <c r="P110" s="7" t="s">
        <v>29</v>
      </c>
      <c r="Q110" s="7" t="s">
        <v>29</v>
      </c>
      <c r="R110" s="7" t="s">
        <v>29</v>
      </c>
      <c r="S110" s="7" t="s">
        <v>29</v>
      </c>
    </row>
    <row r="111" spans="2:19">
      <c r="B111" s="7" t="s">
        <v>195</v>
      </c>
      <c r="C111" s="8" t="s">
        <v>195</v>
      </c>
      <c r="D111" s="5" t="str">
        <f>LRTRIM(CONCATENATE(IF(SUMPRODUCT(-- ISNUMBER(SEARCH({"Auto Number"}, $B111))) &gt; 0, $B111, IF(SUMPRODUCT(-- ISNUMBER(SEARCH({"Lookup","Master-Detail"}, $B111))) &gt; 0,$B111 &amp; "(" &amp; $E111 &amp; ")",IF(SUMPRODUCT(-- ISNUMBER(SEARCH({"Formula","Roll-Up Summary"}, $B111))) &gt; 0,$B111 &amp; " (" &amp; $E111 &amp; ")",IF(SUMPRODUCT(-- ISNUMBER(SEARCH({"Content","Currency","Number","Percent","Text","URL"}, $B111))) &gt; 0,$B111 &amp; "(" &amp; $C111 &amp; ")",$B111)))), "  ", TRIM(IF($S111 = "YES", "(External ID)", "") &amp; " " &amp; IF(SUMPRODUCT(-- ISNUMBER(SEARCH({"Unique","Unique Case Insensitive"}, $R111))) &gt; 0, "(" &amp; $R111 &amp; ")", ""))))</f>
        <v>na</v>
      </c>
      <c r="E111" s="7" t="s">
        <v>195</v>
      </c>
      <c r="F111" s="7" t="s">
        <v>195</v>
      </c>
      <c r="G111" s="7" t="s">
        <v>195</v>
      </c>
      <c r="H111" s="7" t="s">
        <v>195</v>
      </c>
      <c r="I111" s="7" t="s">
        <v>195</v>
      </c>
      <c r="J111" s="7" t="s">
        <v>195</v>
      </c>
      <c r="K111" s="7" t="s">
        <v>195</v>
      </c>
      <c r="L111" s="7" t="s">
        <v>195</v>
      </c>
      <c r="M111" s="7" t="s">
        <v>29</v>
      </c>
      <c r="N111" s="7" t="s">
        <v>29</v>
      </c>
      <c r="O111" s="7" t="s">
        <v>29</v>
      </c>
      <c r="P111" s="7" t="s">
        <v>29</v>
      </c>
      <c r="Q111" s="7" t="s">
        <v>29</v>
      </c>
      <c r="R111" s="7" t="s">
        <v>29</v>
      </c>
      <c r="S111" s="7" t="s">
        <v>29</v>
      </c>
    </row>
    <row r="112" spans="2:19">
      <c r="B112" s="7" t="s">
        <v>195</v>
      </c>
      <c r="C112" s="8" t="s">
        <v>195</v>
      </c>
      <c r="D112" s="5" t="str">
        <f>LRTRIM(CONCATENATE(IF(SUMPRODUCT(-- ISNUMBER(SEARCH({"Auto Number"}, $B112))) &gt; 0, $B112, IF(SUMPRODUCT(-- ISNUMBER(SEARCH({"Lookup","Master-Detail"}, $B112))) &gt; 0,$B112 &amp; "(" &amp; $E112 &amp; ")",IF(SUMPRODUCT(-- ISNUMBER(SEARCH({"Formula","Roll-Up Summary"}, $B112))) &gt; 0,$B112 &amp; " (" &amp; $E112 &amp; ")",IF(SUMPRODUCT(-- ISNUMBER(SEARCH({"Content","Currency","Number","Percent","Text","URL"}, $B112))) &gt; 0,$B112 &amp; "(" &amp; $C112 &amp; ")",$B112)))), "  ", TRIM(IF($S112 = "YES", "(External ID)", "") &amp; " " &amp; IF(SUMPRODUCT(-- ISNUMBER(SEARCH({"Unique","Unique Case Insensitive"}, $R112))) &gt; 0, "(" &amp; $R112 &amp; ")", ""))))</f>
        <v>na</v>
      </c>
      <c r="E112" s="7" t="s">
        <v>195</v>
      </c>
      <c r="F112" s="7" t="s">
        <v>195</v>
      </c>
      <c r="G112" s="7" t="s">
        <v>195</v>
      </c>
      <c r="H112" s="7" t="s">
        <v>195</v>
      </c>
      <c r="I112" s="7" t="s">
        <v>195</v>
      </c>
      <c r="J112" s="7" t="s">
        <v>195</v>
      </c>
      <c r="K112" s="7" t="s">
        <v>195</v>
      </c>
      <c r="L112" s="7" t="s">
        <v>195</v>
      </c>
      <c r="M112" s="7" t="s">
        <v>29</v>
      </c>
      <c r="N112" s="7" t="s">
        <v>29</v>
      </c>
      <c r="O112" s="7" t="s">
        <v>29</v>
      </c>
      <c r="P112" s="7" t="s">
        <v>29</v>
      </c>
      <c r="Q112" s="7" t="s">
        <v>29</v>
      </c>
      <c r="R112" s="7" t="s">
        <v>29</v>
      </c>
      <c r="S112" s="7" t="s">
        <v>29</v>
      </c>
    </row>
    <row r="113" spans="2:19">
      <c r="B113" s="7" t="s">
        <v>195</v>
      </c>
      <c r="C113" s="8" t="s">
        <v>195</v>
      </c>
      <c r="D113" s="5" t="str">
        <f>LRTRIM(CONCATENATE(IF(SUMPRODUCT(-- ISNUMBER(SEARCH({"Auto Number"}, $B113))) &gt; 0, $B113, IF(SUMPRODUCT(-- ISNUMBER(SEARCH({"Lookup","Master-Detail"}, $B113))) &gt; 0,$B113 &amp; "(" &amp; $E113 &amp; ")",IF(SUMPRODUCT(-- ISNUMBER(SEARCH({"Formula","Roll-Up Summary"}, $B113))) &gt; 0,$B113 &amp; " (" &amp; $E113 &amp; ")",IF(SUMPRODUCT(-- ISNUMBER(SEARCH({"Content","Currency","Number","Percent","Text","URL"}, $B113))) &gt; 0,$B113 &amp; "(" &amp; $C113 &amp; ")",$B113)))), "  ", TRIM(IF($S113 = "YES", "(External ID)", "") &amp; " " &amp; IF(SUMPRODUCT(-- ISNUMBER(SEARCH({"Unique","Unique Case Insensitive"}, $R113))) &gt; 0, "(" &amp; $R113 &amp; ")", ""))))</f>
        <v>na</v>
      </c>
      <c r="E113" s="7" t="s">
        <v>195</v>
      </c>
      <c r="F113" s="7" t="s">
        <v>195</v>
      </c>
      <c r="G113" s="7" t="s">
        <v>195</v>
      </c>
      <c r="H113" s="7" t="s">
        <v>195</v>
      </c>
      <c r="I113" s="7" t="s">
        <v>195</v>
      </c>
      <c r="J113" s="7" t="s">
        <v>195</v>
      </c>
      <c r="K113" s="7" t="s">
        <v>195</v>
      </c>
      <c r="L113" s="7" t="s">
        <v>195</v>
      </c>
      <c r="M113" s="7" t="s">
        <v>29</v>
      </c>
      <c r="N113" s="7" t="s">
        <v>29</v>
      </c>
      <c r="O113" s="7" t="s">
        <v>29</v>
      </c>
      <c r="P113" s="7" t="s">
        <v>29</v>
      </c>
      <c r="Q113" s="7" t="s">
        <v>29</v>
      </c>
      <c r="R113" s="7" t="s">
        <v>29</v>
      </c>
      <c r="S113" s="7" t="s">
        <v>29</v>
      </c>
    </row>
    <row r="114" spans="2:19">
      <c r="B114" s="7" t="s">
        <v>195</v>
      </c>
      <c r="C114" s="8" t="s">
        <v>195</v>
      </c>
      <c r="D114" s="5" t="str">
        <f>LRTRIM(CONCATENATE(IF(SUMPRODUCT(-- ISNUMBER(SEARCH({"Auto Number"}, $B114))) &gt; 0, $B114, IF(SUMPRODUCT(-- ISNUMBER(SEARCH({"Lookup","Master-Detail"}, $B114))) &gt; 0,$B114 &amp; "(" &amp; $E114 &amp; ")",IF(SUMPRODUCT(-- ISNUMBER(SEARCH({"Formula","Roll-Up Summary"}, $B114))) &gt; 0,$B114 &amp; " (" &amp; $E114 &amp; ")",IF(SUMPRODUCT(-- ISNUMBER(SEARCH({"Content","Currency","Number","Percent","Text","URL"}, $B114))) &gt; 0,$B114 &amp; "(" &amp; $C114 &amp; ")",$B114)))), "  ", TRIM(IF($S114 = "YES", "(External ID)", "") &amp; " " &amp; IF(SUMPRODUCT(-- ISNUMBER(SEARCH({"Unique","Unique Case Insensitive"}, $R114))) &gt; 0, "(" &amp; $R114 &amp; ")", ""))))</f>
        <v>na</v>
      </c>
      <c r="E114" s="7" t="s">
        <v>195</v>
      </c>
      <c r="F114" s="7" t="s">
        <v>195</v>
      </c>
      <c r="G114" s="7" t="s">
        <v>195</v>
      </c>
      <c r="H114" s="7" t="s">
        <v>195</v>
      </c>
      <c r="I114" s="7" t="s">
        <v>195</v>
      </c>
      <c r="J114" s="7" t="s">
        <v>195</v>
      </c>
      <c r="K114" s="7" t="s">
        <v>195</v>
      </c>
      <c r="L114" s="7" t="s">
        <v>195</v>
      </c>
      <c r="M114" s="7" t="s">
        <v>29</v>
      </c>
      <c r="N114" s="7" t="s">
        <v>29</v>
      </c>
      <c r="O114" s="7" t="s">
        <v>29</v>
      </c>
      <c r="P114" s="7" t="s">
        <v>29</v>
      </c>
      <c r="Q114" s="7" t="s">
        <v>29</v>
      </c>
      <c r="R114" s="7" t="s">
        <v>29</v>
      </c>
      <c r="S114" s="7" t="s">
        <v>29</v>
      </c>
    </row>
    <row r="115" spans="2:19">
      <c r="B115" s="7" t="s">
        <v>195</v>
      </c>
      <c r="C115" s="8" t="s">
        <v>195</v>
      </c>
      <c r="D115" s="5" t="str">
        <f>LRTRIM(CONCATENATE(IF(SUMPRODUCT(-- ISNUMBER(SEARCH({"Auto Number"}, $B115))) &gt; 0, $B115, IF(SUMPRODUCT(-- ISNUMBER(SEARCH({"Lookup","Master-Detail"}, $B115))) &gt; 0,$B115 &amp; "(" &amp; $E115 &amp; ")",IF(SUMPRODUCT(-- ISNUMBER(SEARCH({"Formula","Roll-Up Summary"}, $B115))) &gt; 0,$B115 &amp; " (" &amp; $E115 &amp; ")",IF(SUMPRODUCT(-- ISNUMBER(SEARCH({"Content","Currency","Number","Percent","Text","URL"}, $B115))) &gt; 0,$B115 &amp; "(" &amp; $C115 &amp; ")",$B115)))), "  ", TRIM(IF($S115 = "YES", "(External ID)", "") &amp; " " &amp; IF(SUMPRODUCT(-- ISNUMBER(SEARCH({"Unique","Unique Case Insensitive"}, $R115))) &gt; 0, "(" &amp; $R115 &amp; ")", ""))))</f>
        <v>na</v>
      </c>
      <c r="E115" s="7" t="s">
        <v>195</v>
      </c>
      <c r="F115" s="7" t="s">
        <v>195</v>
      </c>
      <c r="G115" s="7" t="s">
        <v>195</v>
      </c>
      <c r="H115" s="7" t="s">
        <v>195</v>
      </c>
      <c r="I115" s="7" t="s">
        <v>195</v>
      </c>
      <c r="J115" s="7" t="s">
        <v>195</v>
      </c>
      <c r="K115" s="7" t="s">
        <v>195</v>
      </c>
      <c r="L115" s="7" t="s">
        <v>195</v>
      </c>
      <c r="M115" s="7" t="s">
        <v>29</v>
      </c>
      <c r="N115" s="7" t="s">
        <v>29</v>
      </c>
      <c r="O115" s="7" t="s">
        <v>29</v>
      </c>
      <c r="P115" s="7" t="s">
        <v>29</v>
      </c>
      <c r="Q115" s="7" t="s">
        <v>29</v>
      </c>
      <c r="R115" s="7" t="s">
        <v>29</v>
      </c>
      <c r="S115" s="7" t="s">
        <v>29</v>
      </c>
    </row>
    <row r="116" spans="2:19">
      <c r="B116" s="7" t="s">
        <v>195</v>
      </c>
      <c r="C116" s="8" t="s">
        <v>195</v>
      </c>
      <c r="D116" s="5" t="str">
        <f>LRTRIM(CONCATENATE(IF(SUMPRODUCT(-- ISNUMBER(SEARCH({"Auto Number"}, $B116))) &gt; 0, $B116, IF(SUMPRODUCT(-- ISNUMBER(SEARCH({"Lookup","Master-Detail"}, $B116))) &gt; 0,$B116 &amp; "(" &amp; $E116 &amp; ")",IF(SUMPRODUCT(-- ISNUMBER(SEARCH({"Formula","Roll-Up Summary"}, $B116))) &gt; 0,$B116 &amp; " (" &amp; $E116 &amp; ")",IF(SUMPRODUCT(-- ISNUMBER(SEARCH({"Content","Currency","Number","Percent","Text","URL"}, $B116))) &gt; 0,$B116 &amp; "(" &amp; $C116 &amp; ")",$B116)))), "  ", TRIM(IF($S116 = "YES", "(External ID)", "") &amp; " " &amp; IF(SUMPRODUCT(-- ISNUMBER(SEARCH({"Unique","Unique Case Insensitive"}, $R116))) &gt; 0, "(" &amp; $R116 &amp; ")", ""))))</f>
        <v>na</v>
      </c>
      <c r="E116" s="7" t="s">
        <v>195</v>
      </c>
      <c r="F116" s="7" t="s">
        <v>195</v>
      </c>
      <c r="G116" s="7" t="s">
        <v>195</v>
      </c>
      <c r="H116" s="7" t="s">
        <v>195</v>
      </c>
      <c r="I116" s="7" t="s">
        <v>195</v>
      </c>
      <c r="J116" s="7" t="s">
        <v>195</v>
      </c>
      <c r="K116" s="7" t="s">
        <v>195</v>
      </c>
      <c r="L116" s="7" t="s">
        <v>195</v>
      </c>
      <c r="M116" s="7" t="s">
        <v>29</v>
      </c>
      <c r="N116" s="7" t="s">
        <v>29</v>
      </c>
      <c r="O116" s="7" t="s">
        <v>29</v>
      </c>
      <c r="P116" s="7" t="s">
        <v>29</v>
      </c>
      <c r="Q116" s="7" t="s">
        <v>29</v>
      </c>
      <c r="R116" s="7" t="s">
        <v>29</v>
      </c>
      <c r="S116" s="7" t="s">
        <v>29</v>
      </c>
    </row>
    <row r="117" spans="2:19">
      <c r="B117" s="7" t="s">
        <v>195</v>
      </c>
      <c r="C117" s="8" t="s">
        <v>195</v>
      </c>
      <c r="D117" s="5" t="str">
        <f>LRTRIM(CONCATENATE(IF(SUMPRODUCT(-- ISNUMBER(SEARCH({"Auto Number"}, $B117))) &gt; 0, $B117, IF(SUMPRODUCT(-- ISNUMBER(SEARCH({"Lookup","Master-Detail"}, $B117))) &gt; 0,$B117 &amp; "(" &amp; $E117 &amp; ")",IF(SUMPRODUCT(-- ISNUMBER(SEARCH({"Formula","Roll-Up Summary"}, $B117))) &gt; 0,$B117 &amp; " (" &amp; $E117 &amp; ")",IF(SUMPRODUCT(-- ISNUMBER(SEARCH({"Content","Currency","Number","Percent","Text","URL"}, $B117))) &gt; 0,$B117 &amp; "(" &amp; $C117 &amp; ")",$B117)))), "  ", TRIM(IF($S117 = "YES", "(External ID)", "") &amp; " " &amp; IF(SUMPRODUCT(-- ISNUMBER(SEARCH({"Unique","Unique Case Insensitive"}, $R117))) &gt; 0, "(" &amp; $R117 &amp; ")", ""))))</f>
        <v>na</v>
      </c>
      <c r="E117" s="7" t="s">
        <v>195</v>
      </c>
      <c r="F117" s="7" t="s">
        <v>195</v>
      </c>
      <c r="G117" s="7" t="s">
        <v>195</v>
      </c>
      <c r="H117" s="7" t="s">
        <v>195</v>
      </c>
      <c r="I117" s="7" t="s">
        <v>195</v>
      </c>
      <c r="J117" s="7" t="s">
        <v>195</v>
      </c>
      <c r="K117" s="7" t="s">
        <v>195</v>
      </c>
      <c r="L117" s="7" t="s">
        <v>195</v>
      </c>
      <c r="M117" s="7" t="s">
        <v>29</v>
      </c>
      <c r="N117" s="7" t="s">
        <v>29</v>
      </c>
      <c r="O117" s="7" t="s">
        <v>29</v>
      </c>
      <c r="P117" s="7" t="s">
        <v>29</v>
      </c>
      <c r="Q117" s="7" t="s">
        <v>29</v>
      </c>
      <c r="R117" s="7" t="s">
        <v>29</v>
      </c>
      <c r="S117" s="7" t="s">
        <v>29</v>
      </c>
    </row>
    <row r="118" spans="2:19">
      <c r="B118" s="7" t="s">
        <v>195</v>
      </c>
      <c r="C118" s="8" t="s">
        <v>195</v>
      </c>
      <c r="D118" s="5" t="str">
        <f>LRTRIM(CONCATENATE(IF(SUMPRODUCT(-- ISNUMBER(SEARCH({"Auto Number"}, $B118))) &gt; 0, $B118, IF(SUMPRODUCT(-- ISNUMBER(SEARCH({"Lookup","Master-Detail"}, $B118))) &gt; 0,$B118 &amp; "(" &amp; $E118 &amp; ")",IF(SUMPRODUCT(-- ISNUMBER(SEARCH({"Formula","Roll-Up Summary"}, $B118))) &gt; 0,$B118 &amp; " (" &amp; $E118 &amp; ")",IF(SUMPRODUCT(-- ISNUMBER(SEARCH({"Content","Currency","Number","Percent","Text","URL"}, $B118))) &gt; 0,$B118 &amp; "(" &amp; $C118 &amp; ")",$B118)))), "  ", TRIM(IF($S118 = "YES", "(External ID)", "") &amp; " " &amp; IF(SUMPRODUCT(-- ISNUMBER(SEARCH({"Unique","Unique Case Insensitive"}, $R118))) &gt; 0, "(" &amp; $R118 &amp; ")", ""))))</f>
        <v>na</v>
      </c>
      <c r="E118" s="7" t="s">
        <v>195</v>
      </c>
      <c r="F118" s="7" t="s">
        <v>195</v>
      </c>
      <c r="G118" s="7" t="s">
        <v>195</v>
      </c>
      <c r="H118" s="7" t="s">
        <v>195</v>
      </c>
      <c r="I118" s="7" t="s">
        <v>195</v>
      </c>
      <c r="J118" s="7" t="s">
        <v>195</v>
      </c>
      <c r="K118" s="7" t="s">
        <v>195</v>
      </c>
      <c r="L118" s="7" t="s">
        <v>195</v>
      </c>
      <c r="M118" s="7" t="s">
        <v>29</v>
      </c>
      <c r="N118" s="7" t="s">
        <v>29</v>
      </c>
      <c r="O118" s="7" t="s">
        <v>29</v>
      </c>
      <c r="P118" s="7" t="s">
        <v>29</v>
      </c>
      <c r="Q118" s="7" t="s">
        <v>29</v>
      </c>
      <c r="R118" s="7" t="s">
        <v>29</v>
      </c>
      <c r="S118" s="7" t="s">
        <v>29</v>
      </c>
    </row>
    <row r="119" spans="2:19">
      <c r="B119" s="7" t="s">
        <v>195</v>
      </c>
      <c r="C119" s="8" t="s">
        <v>195</v>
      </c>
      <c r="D119" s="5" t="str">
        <f>LRTRIM(CONCATENATE(IF(SUMPRODUCT(-- ISNUMBER(SEARCH({"Auto Number"}, $B119))) &gt; 0, $B119, IF(SUMPRODUCT(-- ISNUMBER(SEARCH({"Lookup","Master-Detail"}, $B119))) &gt; 0,$B119 &amp; "(" &amp; $E119 &amp; ")",IF(SUMPRODUCT(-- ISNUMBER(SEARCH({"Formula","Roll-Up Summary"}, $B119))) &gt; 0,$B119 &amp; " (" &amp; $E119 &amp; ")",IF(SUMPRODUCT(-- ISNUMBER(SEARCH({"Content","Currency","Number","Percent","Text","URL"}, $B119))) &gt; 0,$B119 &amp; "(" &amp; $C119 &amp; ")",$B119)))), "  ", TRIM(IF($S119 = "YES", "(External ID)", "") &amp; " " &amp; IF(SUMPRODUCT(-- ISNUMBER(SEARCH({"Unique","Unique Case Insensitive"}, $R119))) &gt; 0, "(" &amp; $R119 &amp; ")", ""))))</f>
        <v>na</v>
      </c>
      <c r="E119" s="7" t="s">
        <v>195</v>
      </c>
      <c r="F119" s="7" t="s">
        <v>195</v>
      </c>
      <c r="G119" s="7" t="s">
        <v>195</v>
      </c>
      <c r="H119" s="7" t="s">
        <v>195</v>
      </c>
      <c r="I119" s="7" t="s">
        <v>195</v>
      </c>
      <c r="J119" s="7" t="s">
        <v>195</v>
      </c>
      <c r="K119" s="7" t="s">
        <v>195</v>
      </c>
      <c r="L119" s="7" t="s">
        <v>195</v>
      </c>
      <c r="M119" s="7" t="s">
        <v>29</v>
      </c>
      <c r="N119" s="7" t="s">
        <v>29</v>
      </c>
      <c r="O119" s="7" t="s">
        <v>29</v>
      </c>
      <c r="P119" s="7" t="s">
        <v>29</v>
      </c>
      <c r="Q119" s="7" t="s">
        <v>29</v>
      </c>
      <c r="R119" s="7" t="s">
        <v>29</v>
      </c>
      <c r="S119" s="7" t="s">
        <v>29</v>
      </c>
    </row>
    <row r="120" spans="2:19">
      <c r="B120" s="7" t="s">
        <v>195</v>
      </c>
      <c r="C120" s="8" t="s">
        <v>195</v>
      </c>
      <c r="D120" s="5" t="str">
        <f>LRTRIM(CONCATENATE(IF(SUMPRODUCT(-- ISNUMBER(SEARCH({"Auto Number"}, $B120))) &gt; 0, $B120, IF(SUMPRODUCT(-- ISNUMBER(SEARCH({"Lookup","Master-Detail"}, $B120))) &gt; 0,$B120 &amp; "(" &amp; $E120 &amp; ")",IF(SUMPRODUCT(-- ISNUMBER(SEARCH({"Formula","Roll-Up Summary"}, $B120))) &gt; 0,$B120 &amp; " (" &amp; $E120 &amp; ")",IF(SUMPRODUCT(-- ISNUMBER(SEARCH({"Content","Currency","Number","Percent","Text","URL"}, $B120))) &gt; 0,$B120 &amp; "(" &amp; $C120 &amp; ")",$B120)))), "  ", TRIM(IF($S120 = "YES", "(External ID)", "") &amp; " " &amp; IF(SUMPRODUCT(-- ISNUMBER(SEARCH({"Unique","Unique Case Insensitive"}, $R120))) &gt; 0, "(" &amp; $R120 &amp; ")", ""))))</f>
        <v>na</v>
      </c>
      <c r="E120" s="7" t="s">
        <v>195</v>
      </c>
      <c r="F120" s="7" t="s">
        <v>195</v>
      </c>
      <c r="G120" s="7" t="s">
        <v>195</v>
      </c>
      <c r="H120" s="7" t="s">
        <v>195</v>
      </c>
      <c r="I120" s="7" t="s">
        <v>195</v>
      </c>
      <c r="J120" s="7" t="s">
        <v>195</v>
      </c>
      <c r="K120" s="7" t="s">
        <v>195</v>
      </c>
      <c r="L120" s="7" t="s">
        <v>195</v>
      </c>
      <c r="M120" s="7" t="s">
        <v>29</v>
      </c>
      <c r="N120" s="7" t="s">
        <v>29</v>
      </c>
      <c r="O120" s="7" t="s">
        <v>29</v>
      </c>
      <c r="P120" s="7" t="s">
        <v>29</v>
      </c>
      <c r="Q120" s="7" t="s">
        <v>29</v>
      </c>
      <c r="R120" s="7" t="s">
        <v>29</v>
      </c>
      <c r="S120" s="7" t="s">
        <v>29</v>
      </c>
    </row>
    <row r="121" spans="2:19">
      <c r="B121" s="7" t="s">
        <v>195</v>
      </c>
      <c r="C121" s="8" t="s">
        <v>195</v>
      </c>
      <c r="D121" s="5" t="str">
        <f>LRTRIM(CONCATENATE(IF(SUMPRODUCT(-- ISNUMBER(SEARCH({"Auto Number"}, $B121))) &gt; 0, $B121, IF(SUMPRODUCT(-- ISNUMBER(SEARCH({"Lookup","Master-Detail"}, $B121))) &gt; 0,$B121 &amp; "(" &amp; $E121 &amp; ")",IF(SUMPRODUCT(-- ISNUMBER(SEARCH({"Formula","Roll-Up Summary"}, $B121))) &gt; 0,$B121 &amp; " (" &amp; $E121 &amp; ")",IF(SUMPRODUCT(-- ISNUMBER(SEARCH({"Content","Currency","Number","Percent","Text","URL"}, $B121))) &gt; 0,$B121 &amp; "(" &amp; $C121 &amp; ")",$B121)))), "  ", TRIM(IF($S121 = "YES", "(External ID)", "") &amp; " " &amp; IF(SUMPRODUCT(-- ISNUMBER(SEARCH({"Unique","Unique Case Insensitive"}, $R121))) &gt; 0, "(" &amp; $R121 &amp; ")", ""))))</f>
        <v>na</v>
      </c>
      <c r="E121" s="7" t="s">
        <v>195</v>
      </c>
      <c r="F121" s="7" t="s">
        <v>195</v>
      </c>
      <c r="G121" s="7" t="s">
        <v>195</v>
      </c>
      <c r="H121" s="7" t="s">
        <v>195</v>
      </c>
      <c r="I121" s="7" t="s">
        <v>195</v>
      </c>
      <c r="J121" s="7" t="s">
        <v>195</v>
      </c>
      <c r="K121" s="7" t="s">
        <v>195</v>
      </c>
      <c r="L121" s="7" t="s">
        <v>195</v>
      </c>
      <c r="M121" s="7" t="s">
        <v>29</v>
      </c>
      <c r="N121" s="7" t="s">
        <v>29</v>
      </c>
      <c r="O121" s="7" t="s">
        <v>29</v>
      </c>
      <c r="P121" s="7" t="s">
        <v>29</v>
      </c>
      <c r="Q121" s="7" t="s">
        <v>29</v>
      </c>
      <c r="R121" s="7" t="s">
        <v>29</v>
      </c>
      <c r="S121" s="7" t="s">
        <v>29</v>
      </c>
    </row>
    <row r="122" spans="2:19">
      <c r="B122" s="7" t="s">
        <v>195</v>
      </c>
      <c r="C122" s="8" t="s">
        <v>195</v>
      </c>
      <c r="D122" s="5" t="str">
        <f>LRTRIM(CONCATENATE(IF(SUMPRODUCT(-- ISNUMBER(SEARCH({"Auto Number"}, $B122))) &gt; 0, $B122, IF(SUMPRODUCT(-- ISNUMBER(SEARCH({"Lookup","Master-Detail"}, $B122))) &gt; 0,$B122 &amp; "(" &amp; $E122 &amp; ")",IF(SUMPRODUCT(-- ISNUMBER(SEARCH({"Formula","Roll-Up Summary"}, $B122))) &gt; 0,$B122 &amp; " (" &amp; $E122 &amp; ")",IF(SUMPRODUCT(-- ISNUMBER(SEARCH({"Content","Currency","Number","Percent","Text","URL"}, $B122))) &gt; 0,$B122 &amp; "(" &amp; $C122 &amp; ")",$B122)))), "  ", TRIM(IF($S122 = "YES", "(External ID)", "") &amp; " " &amp; IF(SUMPRODUCT(-- ISNUMBER(SEARCH({"Unique","Unique Case Insensitive"}, $R122))) &gt; 0, "(" &amp; $R122 &amp; ")", ""))))</f>
        <v>na</v>
      </c>
      <c r="E122" s="7" t="s">
        <v>195</v>
      </c>
      <c r="F122" s="7" t="s">
        <v>195</v>
      </c>
      <c r="G122" s="7" t="s">
        <v>195</v>
      </c>
      <c r="H122" s="7" t="s">
        <v>195</v>
      </c>
      <c r="I122" s="7" t="s">
        <v>195</v>
      </c>
      <c r="J122" s="7" t="s">
        <v>195</v>
      </c>
      <c r="K122" s="7" t="s">
        <v>195</v>
      </c>
      <c r="L122" s="7" t="s">
        <v>195</v>
      </c>
      <c r="M122" s="7" t="s">
        <v>29</v>
      </c>
      <c r="N122" s="7" t="s">
        <v>29</v>
      </c>
      <c r="O122" s="7" t="s">
        <v>29</v>
      </c>
      <c r="P122" s="7" t="s">
        <v>29</v>
      </c>
      <c r="Q122" s="7" t="s">
        <v>29</v>
      </c>
      <c r="R122" s="7" t="s">
        <v>29</v>
      </c>
      <c r="S122" s="7" t="s">
        <v>29</v>
      </c>
    </row>
    <row r="123" spans="2:19">
      <c r="B123" s="7" t="s">
        <v>195</v>
      </c>
      <c r="C123" s="8" t="s">
        <v>195</v>
      </c>
      <c r="D123" s="5" t="str">
        <f>LRTRIM(CONCATENATE(IF(SUMPRODUCT(-- ISNUMBER(SEARCH({"Auto Number"}, $B123))) &gt; 0, $B123, IF(SUMPRODUCT(-- ISNUMBER(SEARCH({"Lookup","Master-Detail"}, $B123))) &gt; 0,$B123 &amp; "(" &amp; $E123 &amp; ")",IF(SUMPRODUCT(-- ISNUMBER(SEARCH({"Formula","Roll-Up Summary"}, $B123))) &gt; 0,$B123 &amp; " (" &amp; $E123 &amp; ")",IF(SUMPRODUCT(-- ISNUMBER(SEARCH({"Content","Currency","Number","Percent","Text","URL"}, $B123))) &gt; 0,$B123 &amp; "(" &amp; $C123 &amp; ")",$B123)))), "  ", TRIM(IF($S123 = "YES", "(External ID)", "") &amp; " " &amp; IF(SUMPRODUCT(-- ISNUMBER(SEARCH({"Unique","Unique Case Insensitive"}, $R123))) &gt; 0, "(" &amp; $R123 &amp; ")", ""))))</f>
        <v>na</v>
      </c>
      <c r="E123" s="7" t="s">
        <v>195</v>
      </c>
      <c r="F123" s="7" t="s">
        <v>195</v>
      </c>
      <c r="G123" s="7" t="s">
        <v>195</v>
      </c>
      <c r="H123" s="7" t="s">
        <v>195</v>
      </c>
      <c r="I123" s="7" t="s">
        <v>195</v>
      </c>
      <c r="J123" s="7" t="s">
        <v>195</v>
      </c>
      <c r="K123" s="7" t="s">
        <v>195</v>
      </c>
      <c r="L123" s="7" t="s">
        <v>195</v>
      </c>
      <c r="M123" s="7" t="s">
        <v>29</v>
      </c>
      <c r="N123" s="7" t="s">
        <v>29</v>
      </c>
      <c r="O123" s="7" t="s">
        <v>29</v>
      </c>
      <c r="P123" s="7" t="s">
        <v>29</v>
      </c>
      <c r="Q123" s="7" t="s">
        <v>29</v>
      </c>
      <c r="R123" s="7" t="s">
        <v>29</v>
      </c>
      <c r="S123" s="7" t="s">
        <v>29</v>
      </c>
    </row>
    <row r="124" spans="2:19">
      <c r="B124" s="7" t="s">
        <v>195</v>
      </c>
      <c r="C124" s="8" t="s">
        <v>195</v>
      </c>
      <c r="D124" s="5" t="str">
        <f>LRTRIM(CONCATENATE(IF(SUMPRODUCT(-- ISNUMBER(SEARCH({"Auto Number"}, $B124))) &gt; 0, $B124, IF(SUMPRODUCT(-- ISNUMBER(SEARCH({"Lookup","Master-Detail"}, $B124))) &gt; 0,$B124 &amp; "(" &amp; $E124 &amp; ")",IF(SUMPRODUCT(-- ISNUMBER(SEARCH({"Formula","Roll-Up Summary"}, $B124))) &gt; 0,$B124 &amp; " (" &amp; $E124 &amp; ")",IF(SUMPRODUCT(-- ISNUMBER(SEARCH({"Content","Currency","Number","Percent","Text","URL"}, $B124))) &gt; 0,$B124 &amp; "(" &amp; $C124 &amp; ")",$B124)))), "  ", TRIM(IF($S124 = "YES", "(External ID)", "") &amp; " " &amp; IF(SUMPRODUCT(-- ISNUMBER(SEARCH({"Unique","Unique Case Insensitive"}, $R124))) &gt; 0, "(" &amp; $R124 &amp; ")", ""))))</f>
        <v>na</v>
      </c>
      <c r="E124" s="7" t="s">
        <v>195</v>
      </c>
      <c r="F124" s="7" t="s">
        <v>195</v>
      </c>
      <c r="G124" s="7" t="s">
        <v>195</v>
      </c>
      <c r="H124" s="7" t="s">
        <v>195</v>
      </c>
      <c r="I124" s="7" t="s">
        <v>195</v>
      </c>
      <c r="J124" s="7" t="s">
        <v>195</v>
      </c>
      <c r="K124" s="7" t="s">
        <v>195</v>
      </c>
      <c r="L124" s="7" t="s">
        <v>195</v>
      </c>
      <c r="M124" s="7" t="s">
        <v>29</v>
      </c>
      <c r="N124" s="7" t="s">
        <v>29</v>
      </c>
      <c r="O124" s="7" t="s">
        <v>29</v>
      </c>
      <c r="P124" s="7" t="s">
        <v>29</v>
      </c>
      <c r="Q124" s="7" t="s">
        <v>29</v>
      </c>
      <c r="R124" s="7" t="s">
        <v>29</v>
      </c>
      <c r="S124" s="7" t="s">
        <v>29</v>
      </c>
    </row>
    <row r="125" spans="2:19">
      <c r="B125" s="7" t="s">
        <v>195</v>
      </c>
      <c r="C125" s="8" t="s">
        <v>195</v>
      </c>
      <c r="D125" s="5" t="str">
        <f>LRTRIM(CONCATENATE(IF(SUMPRODUCT(-- ISNUMBER(SEARCH({"Auto Number"}, $B125))) &gt; 0, $B125, IF(SUMPRODUCT(-- ISNUMBER(SEARCH({"Lookup","Master-Detail"}, $B125))) &gt; 0,$B125 &amp; "(" &amp; $E125 &amp; ")",IF(SUMPRODUCT(-- ISNUMBER(SEARCH({"Formula","Roll-Up Summary"}, $B125))) &gt; 0,$B125 &amp; " (" &amp; $E125 &amp; ")",IF(SUMPRODUCT(-- ISNUMBER(SEARCH({"Content","Currency","Number","Percent","Text","URL"}, $B125))) &gt; 0,$B125 &amp; "(" &amp; $C125 &amp; ")",$B125)))), "  ", TRIM(IF($S125 = "YES", "(External ID)", "") &amp; " " &amp; IF(SUMPRODUCT(-- ISNUMBER(SEARCH({"Unique","Unique Case Insensitive"}, $R125))) &gt; 0, "(" &amp; $R125 &amp; ")", ""))))</f>
        <v>na</v>
      </c>
      <c r="E125" s="7" t="s">
        <v>195</v>
      </c>
      <c r="F125" s="7" t="s">
        <v>195</v>
      </c>
      <c r="G125" s="7" t="s">
        <v>195</v>
      </c>
      <c r="H125" s="7" t="s">
        <v>195</v>
      </c>
      <c r="I125" s="7" t="s">
        <v>195</v>
      </c>
      <c r="J125" s="7" t="s">
        <v>195</v>
      </c>
      <c r="K125" s="7" t="s">
        <v>195</v>
      </c>
      <c r="L125" s="7" t="s">
        <v>195</v>
      </c>
      <c r="M125" s="7" t="s">
        <v>29</v>
      </c>
      <c r="N125" s="7" t="s">
        <v>29</v>
      </c>
      <c r="O125" s="7" t="s">
        <v>29</v>
      </c>
      <c r="P125" s="7" t="s">
        <v>29</v>
      </c>
      <c r="Q125" s="7" t="s">
        <v>29</v>
      </c>
      <c r="R125" s="7" t="s">
        <v>29</v>
      </c>
      <c r="S125" s="7" t="s">
        <v>29</v>
      </c>
    </row>
    <row r="126" spans="2:19">
      <c r="B126" s="7" t="s">
        <v>195</v>
      </c>
      <c r="C126" s="8" t="s">
        <v>195</v>
      </c>
      <c r="D126" s="5" t="str">
        <f>LRTRIM(CONCATENATE(IF(SUMPRODUCT(-- ISNUMBER(SEARCH({"Auto Number"}, $B126))) &gt; 0, $B126, IF(SUMPRODUCT(-- ISNUMBER(SEARCH({"Lookup","Master-Detail"}, $B126))) &gt; 0,$B126 &amp; "(" &amp; $E126 &amp; ")",IF(SUMPRODUCT(-- ISNUMBER(SEARCH({"Formula","Roll-Up Summary"}, $B126))) &gt; 0,$B126 &amp; " (" &amp; $E126 &amp; ")",IF(SUMPRODUCT(-- ISNUMBER(SEARCH({"Content","Currency","Number","Percent","Text","URL"}, $B126))) &gt; 0,$B126 &amp; "(" &amp; $C126 &amp; ")",$B126)))), "  ", TRIM(IF($S126 = "YES", "(External ID)", "") &amp; " " &amp; IF(SUMPRODUCT(-- ISNUMBER(SEARCH({"Unique","Unique Case Insensitive"}, $R126))) &gt; 0, "(" &amp; $R126 &amp; ")", ""))))</f>
        <v>na</v>
      </c>
      <c r="E126" s="7" t="s">
        <v>195</v>
      </c>
      <c r="F126" s="7" t="s">
        <v>195</v>
      </c>
      <c r="G126" s="7" t="s">
        <v>195</v>
      </c>
      <c r="H126" s="7" t="s">
        <v>195</v>
      </c>
      <c r="I126" s="7" t="s">
        <v>195</v>
      </c>
      <c r="J126" s="7" t="s">
        <v>195</v>
      </c>
      <c r="K126" s="7" t="s">
        <v>195</v>
      </c>
      <c r="L126" s="7" t="s">
        <v>195</v>
      </c>
      <c r="M126" s="7" t="s">
        <v>29</v>
      </c>
      <c r="N126" s="7" t="s">
        <v>29</v>
      </c>
      <c r="O126" s="7" t="s">
        <v>29</v>
      </c>
      <c r="P126" s="7" t="s">
        <v>29</v>
      </c>
      <c r="Q126" s="7" t="s">
        <v>29</v>
      </c>
      <c r="R126" s="7" t="s">
        <v>29</v>
      </c>
      <c r="S126" s="7" t="s">
        <v>29</v>
      </c>
    </row>
    <row r="127" spans="2:19">
      <c r="B127" s="7" t="s">
        <v>195</v>
      </c>
      <c r="C127" s="8" t="s">
        <v>195</v>
      </c>
      <c r="D127" s="5" t="str">
        <f>LRTRIM(CONCATENATE(IF(SUMPRODUCT(-- ISNUMBER(SEARCH({"Auto Number"}, $B127))) &gt; 0, $B127, IF(SUMPRODUCT(-- ISNUMBER(SEARCH({"Lookup","Master-Detail"}, $B127))) &gt; 0,$B127 &amp; "(" &amp; $E127 &amp; ")",IF(SUMPRODUCT(-- ISNUMBER(SEARCH({"Formula","Roll-Up Summary"}, $B127))) &gt; 0,$B127 &amp; " (" &amp; $E127 &amp; ")",IF(SUMPRODUCT(-- ISNUMBER(SEARCH({"Content","Currency","Number","Percent","Text","URL"}, $B127))) &gt; 0,$B127 &amp; "(" &amp; $C127 &amp; ")",$B127)))), "  ", TRIM(IF($S127 = "YES", "(External ID)", "") &amp; " " &amp; IF(SUMPRODUCT(-- ISNUMBER(SEARCH({"Unique","Unique Case Insensitive"}, $R127))) &gt; 0, "(" &amp; $R127 &amp; ")", ""))))</f>
        <v>na</v>
      </c>
      <c r="E127" s="7" t="s">
        <v>195</v>
      </c>
      <c r="F127" s="7" t="s">
        <v>195</v>
      </c>
      <c r="G127" s="7" t="s">
        <v>195</v>
      </c>
      <c r="H127" s="7" t="s">
        <v>195</v>
      </c>
      <c r="I127" s="7" t="s">
        <v>195</v>
      </c>
      <c r="J127" s="7" t="s">
        <v>195</v>
      </c>
      <c r="K127" s="7" t="s">
        <v>195</v>
      </c>
      <c r="L127" s="7" t="s">
        <v>195</v>
      </c>
      <c r="M127" s="7" t="s">
        <v>29</v>
      </c>
      <c r="N127" s="7" t="s">
        <v>29</v>
      </c>
      <c r="O127" s="7" t="s">
        <v>29</v>
      </c>
      <c r="P127" s="7" t="s">
        <v>29</v>
      </c>
      <c r="Q127" s="7" t="s">
        <v>29</v>
      </c>
      <c r="R127" s="7" t="s">
        <v>29</v>
      </c>
      <c r="S127" s="7" t="s">
        <v>29</v>
      </c>
    </row>
    <row r="128" spans="2:19">
      <c r="B128" s="7" t="s">
        <v>195</v>
      </c>
      <c r="C128" s="8" t="s">
        <v>195</v>
      </c>
      <c r="D128" s="5" t="str">
        <f>LRTRIM(CONCATENATE(IF(SUMPRODUCT(-- ISNUMBER(SEARCH({"Auto Number"}, $B128))) &gt; 0, $B128, IF(SUMPRODUCT(-- ISNUMBER(SEARCH({"Lookup","Master-Detail"}, $B128))) &gt; 0,$B128 &amp; "(" &amp; $E128 &amp; ")",IF(SUMPRODUCT(-- ISNUMBER(SEARCH({"Formula","Roll-Up Summary"}, $B128))) &gt; 0,$B128 &amp; " (" &amp; $E128 &amp; ")",IF(SUMPRODUCT(-- ISNUMBER(SEARCH({"Content","Currency","Number","Percent","Text","URL"}, $B128))) &gt; 0,$B128 &amp; "(" &amp; $C128 &amp; ")",$B128)))), "  ", TRIM(IF($S128 = "YES", "(External ID)", "") &amp; " " &amp; IF(SUMPRODUCT(-- ISNUMBER(SEARCH({"Unique","Unique Case Insensitive"}, $R128))) &gt; 0, "(" &amp; $R128 &amp; ")", ""))))</f>
        <v>na</v>
      </c>
      <c r="E128" s="7" t="s">
        <v>195</v>
      </c>
      <c r="F128" s="7" t="s">
        <v>195</v>
      </c>
      <c r="G128" s="7" t="s">
        <v>195</v>
      </c>
      <c r="H128" s="7" t="s">
        <v>195</v>
      </c>
      <c r="I128" s="7" t="s">
        <v>195</v>
      </c>
      <c r="J128" s="7" t="s">
        <v>195</v>
      </c>
      <c r="K128" s="7" t="s">
        <v>195</v>
      </c>
      <c r="L128" s="7" t="s">
        <v>195</v>
      </c>
      <c r="M128" s="7" t="s">
        <v>29</v>
      </c>
      <c r="N128" s="7" t="s">
        <v>29</v>
      </c>
      <c r="O128" s="7" t="s">
        <v>29</v>
      </c>
      <c r="P128" s="7" t="s">
        <v>29</v>
      </c>
      <c r="Q128" s="7" t="s">
        <v>29</v>
      </c>
      <c r="R128" s="7" t="s">
        <v>29</v>
      </c>
      <c r="S128" s="7" t="s">
        <v>29</v>
      </c>
    </row>
    <row r="129" spans="2:19">
      <c r="B129" s="7" t="s">
        <v>195</v>
      </c>
      <c r="C129" s="8" t="s">
        <v>195</v>
      </c>
      <c r="D129" s="5" t="str">
        <f>LRTRIM(CONCATENATE(IF(SUMPRODUCT(-- ISNUMBER(SEARCH({"Auto Number"}, $B129))) &gt; 0, $B129, IF(SUMPRODUCT(-- ISNUMBER(SEARCH({"Lookup","Master-Detail"}, $B129))) &gt; 0,$B129 &amp; "(" &amp; $E129 &amp; ")",IF(SUMPRODUCT(-- ISNUMBER(SEARCH({"Formula","Roll-Up Summary"}, $B129))) &gt; 0,$B129 &amp; " (" &amp; $E129 &amp; ")",IF(SUMPRODUCT(-- ISNUMBER(SEARCH({"Content","Currency","Number","Percent","Text","URL"}, $B129))) &gt; 0,$B129 &amp; "(" &amp; $C129 &amp; ")",$B129)))), "  ", TRIM(IF($S129 = "YES", "(External ID)", "") &amp; " " &amp; IF(SUMPRODUCT(-- ISNUMBER(SEARCH({"Unique","Unique Case Insensitive"}, $R129))) &gt; 0, "(" &amp; $R129 &amp; ")", ""))))</f>
        <v>na</v>
      </c>
      <c r="E129" s="7" t="s">
        <v>195</v>
      </c>
      <c r="F129" s="7" t="s">
        <v>195</v>
      </c>
      <c r="G129" s="7" t="s">
        <v>195</v>
      </c>
      <c r="H129" s="7" t="s">
        <v>195</v>
      </c>
      <c r="I129" s="7" t="s">
        <v>195</v>
      </c>
      <c r="J129" s="7" t="s">
        <v>195</v>
      </c>
      <c r="K129" s="7" t="s">
        <v>195</v>
      </c>
      <c r="L129" s="7" t="s">
        <v>195</v>
      </c>
      <c r="M129" s="7" t="s">
        <v>29</v>
      </c>
      <c r="N129" s="7" t="s">
        <v>29</v>
      </c>
      <c r="O129" s="7" t="s">
        <v>29</v>
      </c>
      <c r="P129" s="7" t="s">
        <v>29</v>
      </c>
      <c r="Q129" s="7" t="s">
        <v>29</v>
      </c>
      <c r="R129" s="7" t="s">
        <v>29</v>
      </c>
      <c r="S129" s="7" t="s">
        <v>29</v>
      </c>
    </row>
    <row r="130" spans="2:19">
      <c r="B130" s="7" t="s">
        <v>195</v>
      </c>
      <c r="C130" s="8" t="s">
        <v>195</v>
      </c>
      <c r="D130" s="5" t="str">
        <f>LRTRIM(CONCATENATE(IF(SUMPRODUCT(-- ISNUMBER(SEARCH({"Auto Number"}, $B130))) &gt; 0, $B130, IF(SUMPRODUCT(-- ISNUMBER(SEARCH({"Lookup","Master-Detail"}, $B130))) &gt; 0,$B130 &amp; "(" &amp; $E130 &amp; ")",IF(SUMPRODUCT(-- ISNUMBER(SEARCH({"Formula","Roll-Up Summary"}, $B130))) &gt; 0,$B130 &amp; " (" &amp; $E130 &amp; ")",IF(SUMPRODUCT(-- ISNUMBER(SEARCH({"Content","Currency","Number","Percent","Text","URL"}, $B130))) &gt; 0,$B130 &amp; "(" &amp; $C130 &amp; ")",$B130)))), "  ", TRIM(IF($S130 = "YES", "(External ID)", "") &amp; " " &amp; IF(SUMPRODUCT(-- ISNUMBER(SEARCH({"Unique","Unique Case Insensitive"}, $R130))) &gt; 0, "(" &amp; $R130 &amp; ")", ""))))</f>
        <v>na</v>
      </c>
      <c r="E130" s="7" t="s">
        <v>195</v>
      </c>
      <c r="F130" s="7" t="s">
        <v>195</v>
      </c>
      <c r="G130" s="7" t="s">
        <v>195</v>
      </c>
      <c r="H130" s="7" t="s">
        <v>195</v>
      </c>
      <c r="I130" s="7" t="s">
        <v>195</v>
      </c>
      <c r="J130" s="7" t="s">
        <v>195</v>
      </c>
      <c r="K130" s="7" t="s">
        <v>195</v>
      </c>
      <c r="L130" s="7" t="s">
        <v>195</v>
      </c>
      <c r="M130" s="7" t="s">
        <v>29</v>
      </c>
      <c r="N130" s="7" t="s">
        <v>29</v>
      </c>
      <c r="O130" s="7" t="s">
        <v>29</v>
      </c>
      <c r="P130" s="7" t="s">
        <v>29</v>
      </c>
      <c r="Q130" s="7" t="s">
        <v>29</v>
      </c>
      <c r="R130" s="7" t="s">
        <v>29</v>
      </c>
      <c r="S130" s="7" t="s">
        <v>29</v>
      </c>
    </row>
    <row r="131" spans="2:19">
      <c r="B131" s="7" t="s">
        <v>195</v>
      </c>
      <c r="C131" s="8" t="s">
        <v>195</v>
      </c>
      <c r="D131" s="5" t="str">
        <f>LRTRIM(CONCATENATE(IF(SUMPRODUCT(-- ISNUMBER(SEARCH({"Auto Number"}, $B131))) &gt; 0, $B131, IF(SUMPRODUCT(-- ISNUMBER(SEARCH({"Lookup","Master-Detail"}, $B131))) &gt; 0,$B131 &amp; "(" &amp; $E131 &amp; ")",IF(SUMPRODUCT(-- ISNUMBER(SEARCH({"Formula","Roll-Up Summary"}, $B131))) &gt; 0,$B131 &amp; " (" &amp; $E131 &amp; ")",IF(SUMPRODUCT(-- ISNUMBER(SEARCH({"Content","Currency","Number","Percent","Text","URL"}, $B131))) &gt; 0,$B131 &amp; "(" &amp; $C131 &amp; ")",$B131)))), "  ", TRIM(IF($S131 = "YES", "(External ID)", "") &amp; " " &amp; IF(SUMPRODUCT(-- ISNUMBER(SEARCH({"Unique","Unique Case Insensitive"}, $R131))) &gt; 0, "(" &amp; $R131 &amp; ")", ""))))</f>
        <v>na</v>
      </c>
      <c r="E131" s="7" t="s">
        <v>195</v>
      </c>
      <c r="F131" s="7" t="s">
        <v>195</v>
      </c>
      <c r="G131" s="7" t="s">
        <v>195</v>
      </c>
      <c r="H131" s="7" t="s">
        <v>195</v>
      </c>
      <c r="I131" s="7" t="s">
        <v>195</v>
      </c>
      <c r="J131" s="7" t="s">
        <v>195</v>
      </c>
      <c r="K131" s="7" t="s">
        <v>195</v>
      </c>
      <c r="L131" s="7" t="s">
        <v>195</v>
      </c>
      <c r="M131" s="7" t="s">
        <v>29</v>
      </c>
      <c r="N131" s="7" t="s">
        <v>29</v>
      </c>
      <c r="O131" s="7" t="s">
        <v>29</v>
      </c>
      <c r="P131" s="7" t="s">
        <v>29</v>
      </c>
      <c r="Q131" s="7" t="s">
        <v>29</v>
      </c>
      <c r="R131" s="7" t="s">
        <v>29</v>
      </c>
      <c r="S131" s="7" t="s">
        <v>29</v>
      </c>
    </row>
    <row r="132" spans="2:19">
      <c r="B132" s="7" t="s">
        <v>195</v>
      </c>
      <c r="C132" s="8" t="s">
        <v>195</v>
      </c>
      <c r="D132" s="5" t="str">
        <f>LRTRIM(CONCATENATE(IF(SUMPRODUCT(-- ISNUMBER(SEARCH({"Auto Number"}, $B132))) &gt; 0, $B132, IF(SUMPRODUCT(-- ISNUMBER(SEARCH({"Lookup","Master-Detail"}, $B132))) &gt; 0,$B132 &amp; "(" &amp; $E132 &amp; ")",IF(SUMPRODUCT(-- ISNUMBER(SEARCH({"Formula","Roll-Up Summary"}, $B132))) &gt; 0,$B132 &amp; " (" &amp; $E132 &amp; ")",IF(SUMPRODUCT(-- ISNUMBER(SEARCH({"Content","Currency","Number","Percent","Text","URL"}, $B132))) &gt; 0,$B132 &amp; "(" &amp; $C132 &amp; ")",$B132)))), "  ", TRIM(IF($S132 = "YES", "(External ID)", "") &amp; " " &amp; IF(SUMPRODUCT(-- ISNUMBER(SEARCH({"Unique","Unique Case Insensitive"}, $R132))) &gt; 0, "(" &amp; $R132 &amp; ")", ""))))</f>
        <v>na</v>
      </c>
      <c r="E132" s="7" t="s">
        <v>195</v>
      </c>
      <c r="F132" s="7" t="s">
        <v>195</v>
      </c>
      <c r="G132" s="7" t="s">
        <v>195</v>
      </c>
      <c r="H132" s="7" t="s">
        <v>195</v>
      </c>
      <c r="I132" s="7" t="s">
        <v>195</v>
      </c>
      <c r="J132" s="7" t="s">
        <v>195</v>
      </c>
      <c r="K132" s="7" t="s">
        <v>195</v>
      </c>
      <c r="L132" s="7" t="s">
        <v>195</v>
      </c>
      <c r="M132" s="7" t="s">
        <v>29</v>
      </c>
      <c r="N132" s="7" t="s">
        <v>29</v>
      </c>
      <c r="O132" s="7" t="s">
        <v>29</v>
      </c>
      <c r="P132" s="7" t="s">
        <v>29</v>
      </c>
      <c r="Q132" s="7" t="s">
        <v>29</v>
      </c>
      <c r="R132" s="7" t="s">
        <v>29</v>
      </c>
      <c r="S132" s="7" t="s">
        <v>29</v>
      </c>
    </row>
    <row r="133" spans="2:19">
      <c r="B133" s="7" t="s">
        <v>195</v>
      </c>
      <c r="C133" s="8" t="s">
        <v>195</v>
      </c>
      <c r="D133" s="5" t="str">
        <f>LRTRIM(CONCATENATE(IF(SUMPRODUCT(-- ISNUMBER(SEARCH({"Auto Number"}, $B133))) &gt; 0, $B133, IF(SUMPRODUCT(-- ISNUMBER(SEARCH({"Lookup","Master-Detail"}, $B133))) &gt; 0,$B133 &amp; "(" &amp; $E133 &amp; ")",IF(SUMPRODUCT(-- ISNUMBER(SEARCH({"Formula","Roll-Up Summary"}, $B133))) &gt; 0,$B133 &amp; " (" &amp; $E133 &amp; ")",IF(SUMPRODUCT(-- ISNUMBER(SEARCH({"Content","Currency","Number","Percent","Text","URL"}, $B133))) &gt; 0,$B133 &amp; "(" &amp; $C133 &amp; ")",$B133)))), "  ", TRIM(IF($S133 = "YES", "(External ID)", "") &amp; " " &amp; IF(SUMPRODUCT(-- ISNUMBER(SEARCH({"Unique","Unique Case Insensitive"}, $R133))) &gt; 0, "(" &amp; $R133 &amp; ")", ""))))</f>
        <v>na</v>
      </c>
      <c r="E133" s="7" t="s">
        <v>195</v>
      </c>
      <c r="F133" s="7" t="s">
        <v>195</v>
      </c>
      <c r="G133" s="7" t="s">
        <v>195</v>
      </c>
      <c r="H133" s="7" t="s">
        <v>195</v>
      </c>
      <c r="I133" s="7" t="s">
        <v>195</v>
      </c>
      <c r="J133" s="7" t="s">
        <v>195</v>
      </c>
      <c r="K133" s="7" t="s">
        <v>195</v>
      </c>
      <c r="L133" s="7" t="s">
        <v>195</v>
      </c>
      <c r="M133" s="7" t="s">
        <v>29</v>
      </c>
      <c r="N133" s="7" t="s">
        <v>29</v>
      </c>
      <c r="O133" s="7" t="s">
        <v>29</v>
      </c>
      <c r="P133" s="7" t="s">
        <v>29</v>
      </c>
      <c r="Q133" s="7" t="s">
        <v>29</v>
      </c>
      <c r="R133" s="7" t="s">
        <v>29</v>
      </c>
      <c r="S133" s="7" t="s">
        <v>29</v>
      </c>
    </row>
    <row r="134" spans="2:19">
      <c r="B134" s="7" t="s">
        <v>195</v>
      </c>
      <c r="C134" s="8" t="s">
        <v>195</v>
      </c>
      <c r="D134" s="5" t="str">
        <f>LRTRIM(CONCATENATE(IF(SUMPRODUCT(-- ISNUMBER(SEARCH({"Auto Number"}, $B134))) &gt; 0, $B134, IF(SUMPRODUCT(-- ISNUMBER(SEARCH({"Lookup","Master-Detail"}, $B134))) &gt; 0,$B134 &amp; "(" &amp; $E134 &amp; ")",IF(SUMPRODUCT(-- ISNUMBER(SEARCH({"Formula","Roll-Up Summary"}, $B134))) &gt; 0,$B134 &amp; " (" &amp; $E134 &amp; ")",IF(SUMPRODUCT(-- ISNUMBER(SEARCH({"Content","Currency","Number","Percent","Text","URL"}, $B134))) &gt; 0,$B134 &amp; "(" &amp; $C134 &amp; ")",$B134)))), "  ", TRIM(IF($S134 = "YES", "(External ID)", "") &amp; " " &amp; IF(SUMPRODUCT(-- ISNUMBER(SEARCH({"Unique","Unique Case Insensitive"}, $R134))) &gt; 0, "(" &amp; $R134 &amp; ")", ""))))</f>
        <v>na</v>
      </c>
      <c r="E134" s="7" t="s">
        <v>195</v>
      </c>
      <c r="F134" s="7" t="s">
        <v>195</v>
      </c>
      <c r="G134" s="7" t="s">
        <v>195</v>
      </c>
      <c r="H134" s="7" t="s">
        <v>195</v>
      </c>
      <c r="I134" s="7" t="s">
        <v>195</v>
      </c>
      <c r="J134" s="7" t="s">
        <v>195</v>
      </c>
      <c r="K134" s="7" t="s">
        <v>195</v>
      </c>
      <c r="L134" s="7" t="s">
        <v>195</v>
      </c>
      <c r="M134" s="7" t="s">
        <v>29</v>
      </c>
      <c r="N134" s="7" t="s">
        <v>29</v>
      </c>
      <c r="O134" s="7" t="s">
        <v>29</v>
      </c>
      <c r="P134" s="7" t="s">
        <v>29</v>
      </c>
      <c r="Q134" s="7" t="s">
        <v>29</v>
      </c>
      <c r="R134" s="7" t="s">
        <v>29</v>
      </c>
      <c r="S134" s="7" t="s">
        <v>29</v>
      </c>
    </row>
    <row r="135" spans="2:19">
      <c r="B135" s="7" t="s">
        <v>195</v>
      </c>
      <c r="C135" s="8" t="s">
        <v>195</v>
      </c>
      <c r="D135" s="5" t="str">
        <f>LRTRIM(CONCATENATE(IF(SUMPRODUCT(-- ISNUMBER(SEARCH({"Auto Number"}, $B135))) &gt; 0, $B135, IF(SUMPRODUCT(-- ISNUMBER(SEARCH({"Lookup","Master-Detail"}, $B135))) &gt; 0,$B135 &amp; "(" &amp; $E135 &amp; ")",IF(SUMPRODUCT(-- ISNUMBER(SEARCH({"Formula","Roll-Up Summary"}, $B135))) &gt; 0,$B135 &amp; " (" &amp; $E135 &amp; ")",IF(SUMPRODUCT(-- ISNUMBER(SEARCH({"Content","Currency","Number","Percent","Text","URL"}, $B135))) &gt; 0,$B135 &amp; "(" &amp; $C135 &amp; ")",$B135)))), "  ", TRIM(IF($S135 = "YES", "(External ID)", "") &amp; " " &amp; IF(SUMPRODUCT(-- ISNUMBER(SEARCH({"Unique","Unique Case Insensitive"}, $R135))) &gt; 0, "(" &amp; $R135 &amp; ")", ""))))</f>
        <v>na</v>
      </c>
      <c r="E135" s="7" t="s">
        <v>195</v>
      </c>
      <c r="F135" s="7" t="s">
        <v>195</v>
      </c>
      <c r="G135" s="7" t="s">
        <v>195</v>
      </c>
      <c r="H135" s="7" t="s">
        <v>195</v>
      </c>
      <c r="I135" s="7" t="s">
        <v>195</v>
      </c>
      <c r="J135" s="7" t="s">
        <v>195</v>
      </c>
      <c r="K135" s="7" t="s">
        <v>195</v>
      </c>
      <c r="L135" s="7" t="s">
        <v>195</v>
      </c>
      <c r="M135" s="7" t="s">
        <v>29</v>
      </c>
      <c r="N135" s="7" t="s">
        <v>29</v>
      </c>
      <c r="O135" s="7" t="s">
        <v>29</v>
      </c>
      <c r="P135" s="7" t="s">
        <v>29</v>
      </c>
      <c r="Q135" s="7" t="s">
        <v>29</v>
      </c>
      <c r="R135" s="7" t="s">
        <v>29</v>
      </c>
      <c r="S135" s="7" t="s">
        <v>29</v>
      </c>
    </row>
    <row r="136" spans="2:19">
      <c r="B136" s="7" t="s">
        <v>195</v>
      </c>
      <c r="C136" s="8" t="s">
        <v>195</v>
      </c>
      <c r="D136" s="5" t="str">
        <f>LRTRIM(CONCATENATE(IF(SUMPRODUCT(-- ISNUMBER(SEARCH({"Auto Number"}, $B136))) &gt; 0, $B136, IF(SUMPRODUCT(-- ISNUMBER(SEARCH({"Lookup","Master-Detail"}, $B136))) &gt; 0,$B136 &amp; "(" &amp; $E136 &amp; ")",IF(SUMPRODUCT(-- ISNUMBER(SEARCH({"Formula","Roll-Up Summary"}, $B136))) &gt; 0,$B136 &amp; " (" &amp; $E136 &amp; ")",IF(SUMPRODUCT(-- ISNUMBER(SEARCH({"Content","Currency","Number","Percent","Text","URL"}, $B136))) &gt; 0,$B136 &amp; "(" &amp; $C136 &amp; ")",$B136)))), "  ", TRIM(IF($S136 = "YES", "(External ID)", "") &amp; " " &amp; IF(SUMPRODUCT(-- ISNUMBER(SEARCH({"Unique","Unique Case Insensitive"}, $R136))) &gt; 0, "(" &amp; $R136 &amp; ")", ""))))</f>
        <v>na</v>
      </c>
      <c r="E136" s="7" t="s">
        <v>195</v>
      </c>
      <c r="F136" s="7" t="s">
        <v>195</v>
      </c>
      <c r="G136" s="7" t="s">
        <v>195</v>
      </c>
      <c r="H136" s="7" t="s">
        <v>195</v>
      </c>
      <c r="I136" s="7" t="s">
        <v>195</v>
      </c>
      <c r="J136" s="7" t="s">
        <v>195</v>
      </c>
      <c r="K136" s="7" t="s">
        <v>195</v>
      </c>
      <c r="L136" s="7" t="s">
        <v>195</v>
      </c>
      <c r="M136" s="7" t="s">
        <v>29</v>
      </c>
      <c r="N136" s="7" t="s">
        <v>29</v>
      </c>
      <c r="O136" s="7" t="s">
        <v>29</v>
      </c>
      <c r="P136" s="7" t="s">
        <v>29</v>
      </c>
      <c r="Q136" s="7" t="s">
        <v>29</v>
      </c>
      <c r="R136" s="7" t="s">
        <v>29</v>
      </c>
      <c r="S136" s="7" t="s">
        <v>29</v>
      </c>
    </row>
    <row r="137" spans="2:19">
      <c r="B137" s="7" t="s">
        <v>195</v>
      </c>
      <c r="C137" s="8" t="s">
        <v>195</v>
      </c>
      <c r="D137" s="5" t="str">
        <f>LRTRIM(CONCATENATE(IF(SUMPRODUCT(-- ISNUMBER(SEARCH({"Auto Number"}, $B137))) &gt; 0, $B137, IF(SUMPRODUCT(-- ISNUMBER(SEARCH({"Lookup","Master-Detail"}, $B137))) &gt; 0,$B137 &amp; "(" &amp; $E137 &amp; ")",IF(SUMPRODUCT(-- ISNUMBER(SEARCH({"Formula","Roll-Up Summary"}, $B137))) &gt; 0,$B137 &amp; " (" &amp; $E137 &amp; ")",IF(SUMPRODUCT(-- ISNUMBER(SEARCH({"Content","Currency","Number","Percent","Text","URL"}, $B137))) &gt; 0,$B137 &amp; "(" &amp; $C137 &amp; ")",$B137)))), "  ", TRIM(IF($S137 = "YES", "(External ID)", "") &amp; " " &amp; IF(SUMPRODUCT(-- ISNUMBER(SEARCH({"Unique","Unique Case Insensitive"}, $R137))) &gt; 0, "(" &amp; $R137 &amp; ")", ""))))</f>
        <v>na</v>
      </c>
      <c r="E137" s="7" t="s">
        <v>195</v>
      </c>
      <c r="F137" s="7" t="s">
        <v>195</v>
      </c>
      <c r="G137" s="7" t="s">
        <v>195</v>
      </c>
      <c r="H137" s="7" t="s">
        <v>195</v>
      </c>
      <c r="I137" s="7" t="s">
        <v>195</v>
      </c>
      <c r="J137" s="7" t="s">
        <v>195</v>
      </c>
      <c r="K137" s="7" t="s">
        <v>195</v>
      </c>
      <c r="L137" s="7" t="s">
        <v>195</v>
      </c>
      <c r="M137" s="7" t="s">
        <v>29</v>
      </c>
      <c r="N137" s="7" t="s">
        <v>29</v>
      </c>
      <c r="O137" s="7" t="s">
        <v>29</v>
      </c>
      <c r="P137" s="7" t="s">
        <v>29</v>
      </c>
      <c r="Q137" s="7" t="s">
        <v>29</v>
      </c>
      <c r="R137" s="7" t="s">
        <v>29</v>
      </c>
      <c r="S137" s="7" t="s">
        <v>29</v>
      </c>
    </row>
    <row r="138" spans="2:19">
      <c r="B138" s="7" t="s">
        <v>195</v>
      </c>
      <c r="C138" s="8" t="s">
        <v>195</v>
      </c>
      <c r="D138" s="5" t="str">
        <f>LRTRIM(CONCATENATE(IF(SUMPRODUCT(-- ISNUMBER(SEARCH({"Auto Number"}, $B138))) &gt; 0, $B138, IF(SUMPRODUCT(-- ISNUMBER(SEARCH({"Lookup","Master-Detail"}, $B138))) &gt; 0,$B138 &amp; "(" &amp; $E138 &amp; ")",IF(SUMPRODUCT(-- ISNUMBER(SEARCH({"Formula","Roll-Up Summary"}, $B138))) &gt; 0,$B138 &amp; " (" &amp; $E138 &amp; ")",IF(SUMPRODUCT(-- ISNUMBER(SEARCH({"Content","Currency","Number","Percent","Text","URL"}, $B138))) &gt; 0,$B138 &amp; "(" &amp; $C138 &amp; ")",$B138)))), "  ", TRIM(IF($S138 = "YES", "(External ID)", "") &amp; " " &amp; IF(SUMPRODUCT(-- ISNUMBER(SEARCH({"Unique","Unique Case Insensitive"}, $R138))) &gt; 0, "(" &amp; $R138 &amp; ")", ""))))</f>
        <v>na</v>
      </c>
      <c r="E138" s="7" t="s">
        <v>195</v>
      </c>
      <c r="F138" s="7" t="s">
        <v>195</v>
      </c>
      <c r="G138" s="7" t="s">
        <v>195</v>
      </c>
      <c r="H138" s="7" t="s">
        <v>195</v>
      </c>
      <c r="I138" s="7" t="s">
        <v>195</v>
      </c>
      <c r="J138" s="7" t="s">
        <v>195</v>
      </c>
      <c r="K138" s="7" t="s">
        <v>195</v>
      </c>
      <c r="L138" s="7" t="s">
        <v>195</v>
      </c>
      <c r="M138" s="7" t="s">
        <v>29</v>
      </c>
      <c r="N138" s="7" t="s">
        <v>29</v>
      </c>
      <c r="O138" s="7" t="s">
        <v>29</v>
      </c>
      <c r="P138" s="7" t="s">
        <v>29</v>
      </c>
      <c r="Q138" s="7" t="s">
        <v>29</v>
      </c>
      <c r="R138" s="7" t="s">
        <v>29</v>
      </c>
      <c r="S138" s="7" t="s">
        <v>29</v>
      </c>
    </row>
    <row r="139" spans="2:19">
      <c r="B139" s="7" t="s">
        <v>195</v>
      </c>
      <c r="C139" s="8" t="s">
        <v>195</v>
      </c>
      <c r="D139" s="5" t="str">
        <f>LRTRIM(CONCATENATE(IF(SUMPRODUCT(-- ISNUMBER(SEARCH({"Auto Number"}, $B139))) &gt; 0, $B139, IF(SUMPRODUCT(-- ISNUMBER(SEARCH({"Lookup","Master-Detail"}, $B139))) &gt; 0,$B139 &amp; "(" &amp; $E139 &amp; ")",IF(SUMPRODUCT(-- ISNUMBER(SEARCH({"Formula","Roll-Up Summary"}, $B139))) &gt; 0,$B139 &amp; " (" &amp; $E139 &amp; ")",IF(SUMPRODUCT(-- ISNUMBER(SEARCH({"Content","Currency","Number","Percent","Text","URL"}, $B139))) &gt; 0,$B139 &amp; "(" &amp; $C139 &amp; ")",$B139)))), "  ", TRIM(IF($S139 = "YES", "(External ID)", "") &amp; " " &amp; IF(SUMPRODUCT(-- ISNUMBER(SEARCH({"Unique","Unique Case Insensitive"}, $R139))) &gt; 0, "(" &amp; $R139 &amp; ")", ""))))</f>
        <v>na</v>
      </c>
      <c r="E139" s="7" t="s">
        <v>195</v>
      </c>
      <c r="F139" s="7" t="s">
        <v>195</v>
      </c>
      <c r="G139" s="7" t="s">
        <v>195</v>
      </c>
      <c r="H139" s="7" t="s">
        <v>195</v>
      </c>
      <c r="I139" s="7" t="s">
        <v>195</v>
      </c>
      <c r="J139" s="7" t="s">
        <v>195</v>
      </c>
      <c r="K139" s="7" t="s">
        <v>195</v>
      </c>
      <c r="L139" s="7" t="s">
        <v>195</v>
      </c>
      <c r="M139" s="7" t="s">
        <v>29</v>
      </c>
      <c r="N139" s="7" t="s">
        <v>29</v>
      </c>
      <c r="O139" s="7" t="s">
        <v>29</v>
      </c>
      <c r="P139" s="7" t="s">
        <v>29</v>
      </c>
      <c r="Q139" s="7" t="s">
        <v>29</v>
      </c>
      <c r="R139" s="7" t="s">
        <v>29</v>
      </c>
      <c r="S139" s="7" t="s">
        <v>29</v>
      </c>
    </row>
    <row r="140" spans="2:19">
      <c r="B140" s="7" t="s">
        <v>195</v>
      </c>
      <c r="C140" s="8" t="s">
        <v>195</v>
      </c>
      <c r="D140" s="5" t="str">
        <f>LRTRIM(CONCATENATE(IF(SUMPRODUCT(-- ISNUMBER(SEARCH({"Auto Number"}, $B140))) &gt; 0, $B140, IF(SUMPRODUCT(-- ISNUMBER(SEARCH({"Lookup","Master-Detail"}, $B140))) &gt; 0,$B140 &amp; "(" &amp; $E140 &amp; ")",IF(SUMPRODUCT(-- ISNUMBER(SEARCH({"Formula","Roll-Up Summary"}, $B140))) &gt; 0,$B140 &amp; " (" &amp; $E140 &amp; ")",IF(SUMPRODUCT(-- ISNUMBER(SEARCH({"Content","Currency","Number","Percent","Text","URL"}, $B140))) &gt; 0,$B140 &amp; "(" &amp; $C140 &amp; ")",$B140)))), "  ", TRIM(IF($S140 = "YES", "(External ID)", "") &amp; " " &amp; IF(SUMPRODUCT(-- ISNUMBER(SEARCH({"Unique","Unique Case Insensitive"}, $R140))) &gt; 0, "(" &amp; $R140 &amp; ")", ""))))</f>
        <v>na</v>
      </c>
      <c r="E140" s="7" t="s">
        <v>195</v>
      </c>
      <c r="F140" s="7" t="s">
        <v>195</v>
      </c>
      <c r="G140" s="7" t="s">
        <v>195</v>
      </c>
      <c r="H140" s="7" t="s">
        <v>195</v>
      </c>
      <c r="I140" s="7" t="s">
        <v>195</v>
      </c>
      <c r="J140" s="7" t="s">
        <v>195</v>
      </c>
      <c r="K140" s="7" t="s">
        <v>195</v>
      </c>
      <c r="L140" s="7" t="s">
        <v>195</v>
      </c>
      <c r="M140" s="7" t="s">
        <v>29</v>
      </c>
      <c r="N140" s="7" t="s">
        <v>29</v>
      </c>
      <c r="O140" s="7" t="s">
        <v>29</v>
      </c>
      <c r="P140" s="7" t="s">
        <v>29</v>
      </c>
      <c r="Q140" s="7" t="s">
        <v>29</v>
      </c>
      <c r="R140" s="7" t="s">
        <v>29</v>
      </c>
      <c r="S140" s="7" t="s">
        <v>29</v>
      </c>
    </row>
    <row r="141" spans="2:19">
      <c r="B141" s="7" t="s">
        <v>195</v>
      </c>
      <c r="C141" s="8" t="s">
        <v>195</v>
      </c>
      <c r="D141" s="5" t="str">
        <f>LRTRIM(CONCATENATE(IF(SUMPRODUCT(-- ISNUMBER(SEARCH({"Auto Number"}, $B141))) &gt; 0, $B141, IF(SUMPRODUCT(-- ISNUMBER(SEARCH({"Lookup","Master-Detail"}, $B141))) &gt; 0,$B141 &amp; "(" &amp; $E141 &amp; ")",IF(SUMPRODUCT(-- ISNUMBER(SEARCH({"Formula","Roll-Up Summary"}, $B141))) &gt; 0,$B141 &amp; " (" &amp; $E141 &amp; ")",IF(SUMPRODUCT(-- ISNUMBER(SEARCH({"Content","Currency","Number","Percent","Text","URL"}, $B141))) &gt; 0,$B141 &amp; "(" &amp; $C141 &amp; ")",$B141)))), "  ", TRIM(IF($S141 = "YES", "(External ID)", "") &amp; " " &amp; IF(SUMPRODUCT(-- ISNUMBER(SEARCH({"Unique","Unique Case Insensitive"}, $R141))) &gt; 0, "(" &amp; $R141 &amp; ")", ""))))</f>
        <v>na</v>
      </c>
      <c r="E141" s="7" t="s">
        <v>195</v>
      </c>
      <c r="F141" s="7" t="s">
        <v>195</v>
      </c>
      <c r="G141" s="7" t="s">
        <v>195</v>
      </c>
      <c r="H141" s="7" t="s">
        <v>195</v>
      </c>
      <c r="I141" s="7" t="s">
        <v>195</v>
      </c>
      <c r="J141" s="7" t="s">
        <v>195</v>
      </c>
      <c r="K141" s="7" t="s">
        <v>195</v>
      </c>
      <c r="L141" s="7" t="s">
        <v>195</v>
      </c>
      <c r="M141" s="7" t="s">
        <v>29</v>
      </c>
      <c r="N141" s="7" t="s">
        <v>29</v>
      </c>
      <c r="O141" s="7" t="s">
        <v>29</v>
      </c>
      <c r="P141" s="7" t="s">
        <v>29</v>
      </c>
      <c r="Q141" s="7" t="s">
        <v>29</v>
      </c>
      <c r="R141" s="7" t="s">
        <v>29</v>
      </c>
      <c r="S141" s="7" t="s">
        <v>29</v>
      </c>
    </row>
    <row r="142" spans="2:19">
      <c r="B142" s="7" t="s">
        <v>195</v>
      </c>
      <c r="C142" s="8" t="s">
        <v>195</v>
      </c>
      <c r="D142" s="5" t="str">
        <f>LRTRIM(CONCATENATE(IF(SUMPRODUCT(-- ISNUMBER(SEARCH({"Auto Number"}, $B142))) &gt; 0, $B142, IF(SUMPRODUCT(-- ISNUMBER(SEARCH({"Lookup","Master-Detail"}, $B142))) &gt; 0,$B142 &amp; "(" &amp; $E142 &amp; ")",IF(SUMPRODUCT(-- ISNUMBER(SEARCH({"Formula","Roll-Up Summary"}, $B142))) &gt; 0,$B142 &amp; " (" &amp; $E142 &amp; ")",IF(SUMPRODUCT(-- ISNUMBER(SEARCH({"Content","Currency","Number","Percent","Text","URL"}, $B142))) &gt; 0,$B142 &amp; "(" &amp; $C142 &amp; ")",$B142)))), "  ", TRIM(IF($S142 = "YES", "(External ID)", "") &amp; " " &amp; IF(SUMPRODUCT(-- ISNUMBER(SEARCH({"Unique","Unique Case Insensitive"}, $R142))) &gt; 0, "(" &amp; $R142 &amp; ")", ""))))</f>
        <v>na</v>
      </c>
      <c r="E142" s="7" t="s">
        <v>195</v>
      </c>
      <c r="F142" s="7" t="s">
        <v>195</v>
      </c>
      <c r="G142" s="7" t="s">
        <v>195</v>
      </c>
      <c r="H142" s="7" t="s">
        <v>195</v>
      </c>
      <c r="I142" s="7" t="s">
        <v>195</v>
      </c>
      <c r="J142" s="7" t="s">
        <v>195</v>
      </c>
      <c r="K142" s="7" t="s">
        <v>195</v>
      </c>
      <c r="L142" s="7" t="s">
        <v>195</v>
      </c>
      <c r="M142" s="7" t="s">
        <v>29</v>
      </c>
      <c r="N142" s="7" t="s">
        <v>29</v>
      </c>
      <c r="O142" s="7" t="s">
        <v>29</v>
      </c>
      <c r="P142" s="7" t="s">
        <v>29</v>
      </c>
      <c r="Q142" s="7" t="s">
        <v>29</v>
      </c>
      <c r="R142" s="7" t="s">
        <v>29</v>
      </c>
      <c r="S142" s="7" t="s">
        <v>29</v>
      </c>
    </row>
    <row r="143" spans="2:19">
      <c r="B143" s="7" t="s">
        <v>195</v>
      </c>
      <c r="C143" s="8" t="s">
        <v>195</v>
      </c>
      <c r="D143" s="5" t="str">
        <f>LRTRIM(CONCATENATE(IF(SUMPRODUCT(-- ISNUMBER(SEARCH({"Auto Number"}, $B143))) &gt; 0, $B143, IF(SUMPRODUCT(-- ISNUMBER(SEARCH({"Lookup","Master-Detail"}, $B143))) &gt; 0,$B143 &amp; "(" &amp; $E143 &amp; ")",IF(SUMPRODUCT(-- ISNUMBER(SEARCH({"Formula","Roll-Up Summary"}, $B143))) &gt; 0,$B143 &amp; " (" &amp; $E143 &amp; ")",IF(SUMPRODUCT(-- ISNUMBER(SEARCH({"Content","Currency","Number","Percent","Text","URL"}, $B143))) &gt; 0,$B143 &amp; "(" &amp; $C143 &amp; ")",$B143)))), "  ", TRIM(IF($S143 = "YES", "(External ID)", "") &amp; " " &amp; IF(SUMPRODUCT(-- ISNUMBER(SEARCH({"Unique","Unique Case Insensitive"}, $R143))) &gt; 0, "(" &amp; $R143 &amp; ")", ""))))</f>
        <v>na</v>
      </c>
      <c r="E143" s="7" t="s">
        <v>195</v>
      </c>
      <c r="F143" s="7" t="s">
        <v>195</v>
      </c>
      <c r="G143" s="7" t="s">
        <v>195</v>
      </c>
      <c r="H143" s="7" t="s">
        <v>195</v>
      </c>
      <c r="I143" s="7" t="s">
        <v>195</v>
      </c>
      <c r="J143" s="7" t="s">
        <v>195</v>
      </c>
      <c r="K143" s="7" t="s">
        <v>195</v>
      </c>
      <c r="L143" s="7" t="s">
        <v>195</v>
      </c>
      <c r="M143" s="7" t="s">
        <v>29</v>
      </c>
      <c r="N143" s="7" t="s">
        <v>29</v>
      </c>
      <c r="O143" s="7" t="s">
        <v>29</v>
      </c>
      <c r="P143" s="7" t="s">
        <v>29</v>
      </c>
      <c r="Q143" s="7" t="s">
        <v>29</v>
      </c>
      <c r="R143" s="7" t="s">
        <v>29</v>
      </c>
      <c r="S143" s="7" t="s">
        <v>29</v>
      </c>
    </row>
    <row r="144" spans="2:19">
      <c r="B144" s="7" t="s">
        <v>195</v>
      </c>
      <c r="C144" s="8" t="s">
        <v>195</v>
      </c>
      <c r="D144" s="5" t="str">
        <f>LRTRIM(CONCATENATE(IF(SUMPRODUCT(-- ISNUMBER(SEARCH({"Auto Number"}, $B144))) &gt; 0, $B144, IF(SUMPRODUCT(-- ISNUMBER(SEARCH({"Lookup","Master-Detail"}, $B144))) &gt; 0,$B144 &amp; "(" &amp; $E144 &amp; ")",IF(SUMPRODUCT(-- ISNUMBER(SEARCH({"Formula","Roll-Up Summary"}, $B144))) &gt; 0,$B144 &amp; " (" &amp; $E144 &amp; ")",IF(SUMPRODUCT(-- ISNUMBER(SEARCH({"Content","Currency","Number","Percent","Text","URL"}, $B144))) &gt; 0,$B144 &amp; "(" &amp; $C144 &amp; ")",$B144)))), "  ", TRIM(IF($S144 = "YES", "(External ID)", "") &amp; " " &amp; IF(SUMPRODUCT(-- ISNUMBER(SEARCH({"Unique","Unique Case Insensitive"}, $R144))) &gt; 0, "(" &amp; $R144 &amp; ")", ""))))</f>
        <v>na</v>
      </c>
      <c r="E144" s="7" t="s">
        <v>195</v>
      </c>
      <c r="F144" s="7" t="s">
        <v>195</v>
      </c>
      <c r="G144" s="7" t="s">
        <v>195</v>
      </c>
      <c r="H144" s="7" t="s">
        <v>195</v>
      </c>
      <c r="I144" s="7" t="s">
        <v>195</v>
      </c>
      <c r="J144" s="7" t="s">
        <v>195</v>
      </c>
      <c r="K144" s="7" t="s">
        <v>195</v>
      </c>
      <c r="L144" s="7" t="s">
        <v>195</v>
      </c>
      <c r="M144" s="7" t="s">
        <v>29</v>
      </c>
      <c r="N144" s="7" t="s">
        <v>29</v>
      </c>
      <c r="O144" s="7" t="s">
        <v>29</v>
      </c>
      <c r="P144" s="7" t="s">
        <v>29</v>
      </c>
      <c r="Q144" s="7" t="s">
        <v>29</v>
      </c>
      <c r="R144" s="7" t="s">
        <v>29</v>
      </c>
      <c r="S144" s="7" t="s">
        <v>29</v>
      </c>
    </row>
    <row r="145" spans="2:19">
      <c r="B145" s="7" t="s">
        <v>195</v>
      </c>
      <c r="C145" s="8" t="s">
        <v>195</v>
      </c>
      <c r="D145" s="5" t="str">
        <f>LRTRIM(CONCATENATE(IF(SUMPRODUCT(-- ISNUMBER(SEARCH({"Auto Number"}, $B145))) &gt; 0, $B145, IF(SUMPRODUCT(-- ISNUMBER(SEARCH({"Lookup","Master-Detail"}, $B145))) &gt; 0,$B145 &amp; "(" &amp; $E145 &amp; ")",IF(SUMPRODUCT(-- ISNUMBER(SEARCH({"Formula","Roll-Up Summary"}, $B145))) &gt; 0,$B145 &amp; " (" &amp; $E145 &amp; ")",IF(SUMPRODUCT(-- ISNUMBER(SEARCH({"Content","Currency","Number","Percent","Text","URL"}, $B145))) &gt; 0,$B145 &amp; "(" &amp; $C145 &amp; ")",$B145)))), "  ", TRIM(IF($S145 = "YES", "(External ID)", "") &amp; " " &amp; IF(SUMPRODUCT(-- ISNUMBER(SEARCH({"Unique","Unique Case Insensitive"}, $R145))) &gt; 0, "(" &amp; $R145 &amp; ")", ""))))</f>
        <v>na</v>
      </c>
      <c r="E145" s="7" t="s">
        <v>195</v>
      </c>
      <c r="F145" s="7" t="s">
        <v>195</v>
      </c>
      <c r="G145" s="7" t="s">
        <v>195</v>
      </c>
      <c r="H145" s="7" t="s">
        <v>195</v>
      </c>
      <c r="I145" s="7" t="s">
        <v>195</v>
      </c>
      <c r="J145" s="7" t="s">
        <v>195</v>
      </c>
      <c r="K145" s="7" t="s">
        <v>195</v>
      </c>
      <c r="L145" s="7" t="s">
        <v>195</v>
      </c>
      <c r="M145" s="7" t="s">
        <v>29</v>
      </c>
      <c r="N145" s="7" t="s">
        <v>29</v>
      </c>
      <c r="O145" s="7" t="s">
        <v>29</v>
      </c>
      <c r="P145" s="7" t="s">
        <v>29</v>
      </c>
      <c r="Q145" s="7" t="s">
        <v>29</v>
      </c>
      <c r="R145" s="7" t="s">
        <v>29</v>
      </c>
      <c r="S145" s="7" t="s">
        <v>29</v>
      </c>
    </row>
    <row r="146" spans="2:19">
      <c r="B146" s="7" t="s">
        <v>195</v>
      </c>
      <c r="C146" s="8" t="s">
        <v>195</v>
      </c>
      <c r="D146" s="5" t="str">
        <f>LRTRIM(CONCATENATE(IF(SUMPRODUCT(-- ISNUMBER(SEARCH({"Auto Number"}, $B146))) &gt; 0, $B146, IF(SUMPRODUCT(-- ISNUMBER(SEARCH({"Lookup","Master-Detail"}, $B146))) &gt; 0,$B146 &amp; "(" &amp; $E146 &amp; ")",IF(SUMPRODUCT(-- ISNUMBER(SEARCH({"Formula","Roll-Up Summary"}, $B146))) &gt; 0,$B146 &amp; " (" &amp; $E146 &amp; ")",IF(SUMPRODUCT(-- ISNUMBER(SEARCH({"Content","Currency","Number","Percent","Text","URL"}, $B146))) &gt; 0,$B146 &amp; "(" &amp; $C146 &amp; ")",$B146)))), "  ", TRIM(IF($S146 = "YES", "(External ID)", "") &amp; " " &amp; IF(SUMPRODUCT(-- ISNUMBER(SEARCH({"Unique","Unique Case Insensitive"}, $R146))) &gt; 0, "(" &amp; $R146 &amp; ")", ""))))</f>
        <v>na</v>
      </c>
      <c r="E146" s="7" t="s">
        <v>195</v>
      </c>
      <c r="F146" s="7" t="s">
        <v>195</v>
      </c>
      <c r="G146" s="7" t="s">
        <v>195</v>
      </c>
      <c r="H146" s="7" t="s">
        <v>195</v>
      </c>
      <c r="I146" s="7" t="s">
        <v>195</v>
      </c>
      <c r="J146" s="7" t="s">
        <v>195</v>
      </c>
      <c r="K146" s="7" t="s">
        <v>195</v>
      </c>
      <c r="L146" s="7" t="s">
        <v>195</v>
      </c>
      <c r="M146" s="7" t="s">
        <v>29</v>
      </c>
      <c r="N146" s="7" t="s">
        <v>29</v>
      </c>
      <c r="O146" s="7" t="s">
        <v>29</v>
      </c>
      <c r="P146" s="7" t="s">
        <v>29</v>
      </c>
      <c r="Q146" s="7" t="s">
        <v>29</v>
      </c>
      <c r="R146" s="7" t="s">
        <v>29</v>
      </c>
      <c r="S146" s="7" t="s">
        <v>29</v>
      </c>
    </row>
    <row r="147" spans="2:19">
      <c r="B147" s="7" t="s">
        <v>195</v>
      </c>
      <c r="C147" s="8" t="s">
        <v>195</v>
      </c>
      <c r="D147" s="5" t="str">
        <f>LRTRIM(CONCATENATE(IF(SUMPRODUCT(-- ISNUMBER(SEARCH({"Auto Number"}, $B147))) &gt; 0, $B147, IF(SUMPRODUCT(-- ISNUMBER(SEARCH({"Lookup","Master-Detail"}, $B147))) &gt; 0,$B147 &amp; "(" &amp; $E147 &amp; ")",IF(SUMPRODUCT(-- ISNUMBER(SEARCH({"Formula","Roll-Up Summary"}, $B147))) &gt; 0,$B147 &amp; " (" &amp; $E147 &amp; ")",IF(SUMPRODUCT(-- ISNUMBER(SEARCH({"Content","Currency","Number","Percent","Text","URL"}, $B147))) &gt; 0,$B147 &amp; "(" &amp; $C147 &amp; ")",$B147)))), "  ", TRIM(IF($S147 = "YES", "(External ID)", "") &amp; " " &amp; IF(SUMPRODUCT(-- ISNUMBER(SEARCH({"Unique","Unique Case Insensitive"}, $R147))) &gt; 0, "(" &amp; $R147 &amp; ")", ""))))</f>
        <v>na</v>
      </c>
      <c r="E147" s="7" t="s">
        <v>195</v>
      </c>
      <c r="F147" s="7" t="s">
        <v>195</v>
      </c>
      <c r="G147" s="7" t="s">
        <v>195</v>
      </c>
      <c r="H147" s="7" t="s">
        <v>195</v>
      </c>
      <c r="I147" s="7" t="s">
        <v>195</v>
      </c>
      <c r="J147" s="7" t="s">
        <v>195</v>
      </c>
      <c r="K147" s="7" t="s">
        <v>195</v>
      </c>
      <c r="L147" s="7" t="s">
        <v>195</v>
      </c>
      <c r="M147" s="7" t="s">
        <v>29</v>
      </c>
      <c r="N147" s="7" t="s">
        <v>29</v>
      </c>
      <c r="O147" s="7" t="s">
        <v>29</v>
      </c>
      <c r="P147" s="7" t="s">
        <v>29</v>
      </c>
      <c r="Q147" s="7" t="s">
        <v>29</v>
      </c>
      <c r="R147" s="7" t="s">
        <v>29</v>
      </c>
      <c r="S147" s="7" t="s">
        <v>29</v>
      </c>
    </row>
    <row r="148" spans="2:19">
      <c r="B148" s="7" t="s">
        <v>195</v>
      </c>
      <c r="C148" s="8" t="s">
        <v>195</v>
      </c>
      <c r="D148" s="5" t="str">
        <f>LRTRIM(CONCATENATE(IF(SUMPRODUCT(-- ISNUMBER(SEARCH({"Auto Number"}, $B148))) &gt; 0, $B148, IF(SUMPRODUCT(-- ISNUMBER(SEARCH({"Lookup","Master-Detail"}, $B148))) &gt; 0,$B148 &amp; "(" &amp; $E148 &amp; ")",IF(SUMPRODUCT(-- ISNUMBER(SEARCH({"Formula","Roll-Up Summary"}, $B148))) &gt; 0,$B148 &amp; " (" &amp; $E148 &amp; ")",IF(SUMPRODUCT(-- ISNUMBER(SEARCH({"Content","Currency","Number","Percent","Text","URL"}, $B148))) &gt; 0,$B148 &amp; "(" &amp; $C148 &amp; ")",$B148)))), "  ", TRIM(IF($S148 = "YES", "(External ID)", "") &amp; " " &amp; IF(SUMPRODUCT(-- ISNUMBER(SEARCH({"Unique","Unique Case Insensitive"}, $R148))) &gt; 0, "(" &amp; $R148 &amp; ")", ""))))</f>
        <v>na</v>
      </c>
      <c r="E148" s="7" t="s">
        <v>195</v>
      </c>
      <c r="F148" s="7" t="s">
        <v>195</v>
      </c>
      <c r="G148" s="7" t="s">
        <v>195</v>
      </c>
      <c r="H148" s="7" t="s">
        <v>195</v>
      </c>
      <c r="I148" s="7" t="s">
        <v>195</v>
      </c>
      <c r="J148" s="7" t="s">
        <v>195</v>
      </c>
      <c r="K148" s="7" t="s">
        <v>195</v>
      </c>
      <c r="L148" s="7" t="s">
        <v>195</v>
      </c>
      <c r="M148" s="7" t="s">
        <v>29</v>
      </c>
      <c r="N148" s="7" t="s">
        <v>29</v>
      </c>
      <c r="O148" s="7" t="s">
        <v>29</v>
      </c>
      <c r="P148" s="7" t="s">
        <v>29</v>
      </c>
      <c r="Q148" s="7" t="s">
        <v>29</v>
      </c>
      <c r="R148" s="7" t="s">
        <v>29</v>
      </c>
      <c r="S148" s="7" t="s">
        <v>29</v>
      </c>
    </row>
    <row r="149" spans="2:19">
      <c r="B149" s="7" t="s">
        <v>195</v>
      </c>
      <c r="C149" s="8" t="s">
        <v>195</v>
      </c>
      <c r="D149" s="5" t="str">
        <f>LRTRIM(CONCATENATE(IF(SUMPRODUCT(-- ISNUMBER(SEARCH({"Auto Number"}, $B149))) &gt; 0, $B149, IF(SUMPRODUCT(-- ISNUMBER(SEARCH({"Lookup","Master-Detail"}, $B149))) &gt; 0,$B149 &amp; "(" &amp; $E149 &amp; ")",IF(SUMPRODUCT(-- ISNUMBER(SEARCH({"Formula","Roll-Up Summary"}, $B149))) &gt; 0,$B149 &amp; " (" &amp; $E149 &amp; ")",IF(SUMPRODUCT(-- ISNUMBER(SEARCH({"Content","Currency","Number","Percent","Text","URL"}, $B149))) &gt; 0,$B149 &amp; "(" &amp; $C149 &amp; ")",$B149)))), "  ", TRIM(IF($S149 = "YES", "(External ID)", "") &amp; " " &amp; IF(SUMPRODUCT(-- ISNUMBER(SEARCH({"Unique","Unique Case Insensitive"}, $R149))) &gt; 0, "(" &amp; $R149 &amp; ")", ""))))</f>
        <v>na</v>
      </c>
      <c r="E149" s="7" t="s">
        <v>195</v>
      </c>
      <c r="F149" s="7" t="s">
        <v>195</v>
      </c>
      <c r="G149" s="7" t="s">
        <v>195</v>
      </c>
      <c r="H149" s="7" t="s">
        <v>195</v>
      </c>
      <c r="I149" s="7" t="s">
        <v>195</v>
      </c>
      <c r="J149" s="7" t="s">
        <v>195</v>
      </c>
      <c r="K149" s="7" t="s">
        <v>195</v>
      </c>
      <c r="L149" s="7" t="s">
        <v>195</v>
      </c>
      <c r="M149" s="7" t="s">
        <v>29</v>
      </c>
      <c r="N149" s="7" t="s">
        <v>29</v>
      </c>
      <c r="O149" s="7" t="s">
        <v>29</v>
      </c>
      <c r="P149" s="7" t="s">
        <v>29</v>
      </c>
      <c r="Q149" s="7" t="s">
        <v>29</v>
      </c>
      <c r="R149" s="7" t="s">
        <v>29</v>
      </c>
      <c r="S149" s="7" t="s">
        <v>29</v>
      </c>
    </row>
    <row r="150" spans="2:19">
      <c r="B150" s="7" t="s">
        <v>195</v>
      </c>
      <c r="C150" s="8" t="s">
        <v>195</v>
      </c>
      <c r="D150" s="5" t="str">
        <f>LRTRIM(CONCATENATE(IF(SUMPRODUCT(-- ISNUMBER(SEARCH({"Auto Number"}, $B150))) &gt; 0, $B150, IF(SUMPRODUCT(-- ISNUMBER(SEARCH({"Lookup","Master-Detail"}, $B150))) &gt; 0,$B150 &amp; "(" &amp; $E150 &amp; ")",IF(SUMPRODUCT(-- ISNUMBER(SEARCH({"Formula","Roll-Up Summary"}, $B150))) &gt; 0,$B150 &amp; " (" &amp; $E150 &amp; ")",IF(SUMPRODUCT(-- ISNUMBER(SEARCH({"Content","Currency","Number","Percent","Text","URL"}, $B150))) &gt; 0,$B150 &amp; "(" &amp; $C150 &amp; ")",$B150)))), "  ", TRIM(IF($S150 = "YES", "(External ID)", "") &amp; " " &amp; IF(SUMPRODUCT(-- ISNUMBER(SEARCH({"Unique","Unique Case Insensitive"}, $R150))) &gt; 0, "(" &amp; $R150 &amp; ")", ""))))</f>
        <v>na</v>
      </c>
      <c r="E150" s="7" t="s">
        <v>195</v>
      </c>
      <c r="F150" s="7" t="s">
        <v>195</v>
      </c>
      <c r="G150" s="7" t="s">
        <v>195</v>
      </c>
      <c r="H150" s="7" t="s">
        <v>195</v>
      </c>
      <c r="I150" s="7" t="s">
        <v>195</v>
      </c>
      <c r="J150" s="7" t="s">
        <v>195</v>
      </c>
      <c r="K150" s="7" t="s">
        <v>195</v>
      </c>
      <c r="L150" s="7" t="s">
        <v>195</v>
      </c>
      <c r="M150" s="7" t="s">
        <v>29</v>
      </c>
      <c r="N150" s="7" t="s">
        <v>29</v>
      </c>
      <c r="O150" s="7" t="s">
        <v>29</v>
      </c>
      <c r="P150" s="7" t="s">
        <v>29</v>
      </c>
      <c r="Q150" s="7" t="s">
        <v>29</v>
      </c>
      <c r="R150" s="7" t="s">
        <v>29</v>
      </c>
      <c r="S150" s="7" t="s">
        <v>29</v>
      </c>
    </row>
    <row r="151" spans="2:19">
      <c r="B151" s="7" t="s">
        <v>195</v>
      </c>
      <c r="C151" s="8" t="s">
        <v>195</v>
      </c>
      <c r="D151" s="5" t="str">
        <f>LRTRIM(CONCATENATE(IF(SUMPRODUCT(-- ISNUMBER(SEARCH({"Auto Number"}, $B151))) &gt; 0, $B151, IF(SUMPRODUCT(-- ISNUMBER(SEARCH({"Lookup","Master-Detail"}, $B151))) &gt; 0,$B151 &amp; "(" &amp; $E151 &amp; ")",IF(SUMPRODUCT(-- ISNUMBER(SEARCH({"Formula","Roll-Up Summary"}, $B151))) &gt; 0,$B151 &amp; " (" &amp; $E151 &amp; ")",IF(SUMPRODUCT(-- ISNUMBER(SEARCH({"Content","Currency","Number","Percent","Text","URL"}, $B151))) &gt; 0,$B151 &amp; "(" &amp; $C151 &amp; ")",$B151)))), "  ", TRIM(IF($S151 = "YES", "(External ID)", "") &amp; " " &amp; IF(SUMPRODUCT(-- ISNUMBER(SEARCH({"Unique","Unique Case Insensitive"}, $R151))) &gt; 0, "(" &amp; $R151 &amp; ")", ""))))</f>
        <v>na</v>
      </c>
      <c r="E151" s="7" t="s">
        <v>195</v>
      </c>
      <c r="F151" s="7" t="s">
        <v>195</v>
      </c>
      <c r="G151" s="7" t="s">
        <v>195</v>
      </c>
      <c r="H151" s="7" t="s">
        <v>195</v>
      </c>
      <c r="I151" s="7" t="s">
        <v>195</v>
      </c>
      <c r="J151" s="7" t="s">
        <v>195</v>
      </c>
      <c r="K151" s="7" t="s">
        <v>195</v>
      </c>
      <c r="L151" s="7" t="s">
        <v>195</v>
      </c>
      <c r="M151" s="7" t="s">
        <v>29</v>
      </c>
      <c r="N151" s="7" t="s">
        <v>29</v>
      </c>
      <c r="O151" s="7" t="s">
        <v>29</v>
      </c>
      <c r="P151" s="7" t="s">
        <v>29</v>
      </c>
      <c r="Q151" s="7" t="s">
        <v>29</v>
      </c>
      <c r="R151" s="7" t="s">
        <v>29</v>
      </c>
      <c r="S151" s="7" t="s">
        <v>29</v>
      </c>
    </row>
    <row r="152" spans="2:19">
      <c r="B152" s="7" t="s">
        <v>195</v>
      </c>
      <c r="C152" s="8" t="s">
        <v>195</v>
      </c>
      <c r="D152" s="5" t="str">
        <f>LRTRIM(CONCATENATE(IF(SUMPRODUCT(-- ISNUMBER(SEARCH({"Auto Number"}, $B152))) &gt; 0, $B152, IF(SUMPRODUCT(-- ISNUMBER(SEARCH({"Lookup","Master-Detail"}, $B152))) &gt; 0,$B152 &amp; "(" &amp; $E152 &amp; ")",IF(SUMPRODUCT(-- ISNUMBER(SEARCH({"Formula","Roll-Up Summary"}, $B152))) &gt; 0,$B152 &amp; " (" &amp; $E152 &amp; ")",IF(SUMPRODUCT(-- ISNUMBER(SEARCH({"Content","Currency","Number","Percent","Text","URL"}, $B152))) &gt; 0,$B152 &amp; "(" &amp; $C152 &amp; ")",$B152)))), "  ", TRIM(IF($S152 = "YES", "(External ID)", "") &amp; " " &amp; IF(SUMPRODUCT(-- ISNUMBER(SEARCH({"Unique","Unique Case Insensitive"}, $R152))) &gt; 0, "(" &amp; $R152 &amp; ")", ""))))</f>
        <v>na</v>
      </c>
      <c r="E152" s="7" t="s">
        <v>195</v>
      </c>
      <c r="F152" s="7" t="s">
        <v>195</v>
      </c>
      <c r="G152" s="7" t="s">
        <v>195</v>
      </c>
      <c r="H152" s="7" t="s">
        <v>195</v>
      </c>
      <c r="I152" s="7" t="s">
        <v>195</v>
      </c>
      <c r="J152" s="7" t="s">
        <v>195</v>
      </c>
      <c r="K152" s="7" t="s">
        <v>195</v>
      </c>
      <c r="L152" s="7" t="s">
        <v>195</v>
      </c>
      <c r="M152" s="7" t="s">
        <v>29</v>
      </c>
      <c r="N152" s="7" t="s">
        <v>29</v>
      </c>
      <c r="O152" s="7" t="s">
        <v>29</v>
      </c>
      <c r="P152" s="7" t="s">
        <v>29</v>
      </c>
      <c r="Q152" s="7" t="s">
        <v>29</v>
      </c>
      <c r="R152" s="7" t="s">
        <v>29</v>
      </c>
      <c r="S152" s="7" t="s">
        <v>29</v>
      </c>
    </row>
    <row r="153" spans="2:19">
      <c r="B153" s="7" t="s">
        <v>195</v>
      </c>
      <c r="C153" s="8" t="s">
        <v>195</v>
      </c>
      <c r="D153" s="5" t="str">
        <f>LRTRIM(CONCATENATE(IF(SUMPRODUCT(-- ISNUMBER(SEARCH({"Auto Number"}, $B153))) &gt; 0, $B153, IF(SUMPRODUCT(-- ISNUMBER(SEARCH({"Lookup","Master-Detail"}, $B153))) &gt; 0,$B153 &amp; "(" &amp; $E153 &amp; ")",IF(SUMPRODUCT(-- ISNUMBER(SEARCH({"Formula","Roll-Up Summary"}, $B153))) &gt; 0,$B153 &amp; " (" &amp; $E153 &amp; ")",IF(SUMPRODUCT(-- ISNUMBER(SEARCH({"Content","Currency","Number","Percent","Text","URL"}, $B153))) &gt; 0,$B153 &amp; "(" &amp; $C153 &amp; ")",$B153)))), "  ", TRIM(IF($S153 = "YES", "(External ID)", "") &amp; " " &amp; IF(SUMPRODUCT(-- ISNUMBER(SEARCH({"Unique","Unique Case Insensitive"}, $R153))) &gt; 0, "(" &amp; $R153 &amp; ")", ""))))</f>
        <v>na</v>
      </c>
      <c r="E153" s="7" t="s">
        <v>195</v>
      </c>
      <c r="F153" s="7" t="s">
        <v>195</v>
      </c>
      <c r="G153" s="7" t="s">
        <v>195</v>
      </c>
      <c r="H153" s="7" t="s">
        <v>195</v>
      </c>
      <c r="I153" s="7" t="s">
        <v>195</v>
      </c>
      <c r="J153" s="7" t="s">
        <v>195</v>
      </c>
      <c r="K153" s="7" t="s">
        <v>195</v>
      </c>
      <c r="L153" s="7" t="s">
        <v>195</v>
      </c>
      <c r="M153" s="7" t="s">
        <v>29</v>
      </c>
      <c r="N153" s="7" t="s">
        <v>29</v>
      </c>
      <c r="O153" s="7" t="s">
        <v>29</v>
      </c>
      <c r="P153" s="7" t="s">
        <v>29</v>
      </c>
      <c r="Q153" s="7" t="s">
        <v>29</v>
      </c>
      <c r="R153" s="7" t="s">
        <v>29</v>
      </c>
      <c r="S153" s="7" t="s">
        <v>29</v>
      </c>
    </row>
    <row r="154" spans="2:19">
      <c r="B154" s="7" t="s">
        <v>195</v>
      </c>
      <c r="C154" s="8" t="s">
        <v>195</v>
      </c>
      <c r="D154" s="5" t="str">
        <f>LRTRIM(CONCATENATE(IF(SUMPRODUCT(-- ISNUMBER(SEARCH({"Auto Number"}, $B154))) &gt; 0, $B154, IF(SUMPRODUCT(-- ISNUMBER(SEARCH({"Lookup","Master-Detail"}, $B154))) &gt; 0,$B154 &amp; "(" &amp; $E154 &amp; ")",IF(SUMPRODUCT(-- ISNUMBER(SEARCH({"Formula","Roll-Up Summary"}, $B154))) &gt; 0,$B154 &amp; " (" &amp; $E154 &amp; ")",IF(SUMPRODUCT(-- ISNUMBER(SEARCH({"Content","Currency","Number","Percent","Text","URL"}, $B154))) &gt; 0,$B154 &amp; "(" &amp; $C154 &amp; ")",$B154)))), "  ", TRIM(IF($S154 = "YES", "(External ID)", "") &amp; " " &amp; IF(SUMPRODUCT(-- ISNUMBER(SEARCH({"Unique","Unique Case Insensitive"}, $R154))) &gt; 0, "(" &amp; $R154 &amp; ")", ""))))</f>
        <v>na</v>
      </c>
      <c r="E154" s="7" t="s">
        <v>195</v>
      </c>
      <c r="F154" s="7" t="s">
        <v>195</v>
      </c>
      <c r="G154" s="7" t="s">
        <v>195</v>
      </c>
      <c r="H154" s="7" t="s">
        <v>195</v>
      </c>
      <c r="I154" s="7" t="s">
        <v>195</v>
      </c>
      <c r="J154" s="7" t="s">
        <v>195</v>
      </c>
      <c r="K154" s="7" t="s">
        <v>195</v>
      </c>
      <c r="L154" s="7" t="s">
        <v>195</v>
      </c>
      <c r="M154" s="7" t="s">
        <v>29</v>
      </c>
      <c r="N154" s="7" t="s">
        <v>29</v>
      </c>
      <c r="O154" s="7" t="s">
        <v>29</v>
      </c>
      <c r="P154" s="7" t="s">
        <v>29</v>
      </c>
      <c r="Q154" s="7" t="s">
        <v>29</v>
      </c>
      <c r="R154" s="7" t="s">
        <v>29</v>
      </c>
      <c r="S154" s="7" t="s">
        <v>29</v>
      </c>
    </row>
    <row r="155" spans="2:19">
      <c r="B155" s="7" t="s">
        <v>195</v>
      </c>
      <c r="C155" s="8" t="s">
        <v>195</v>
      </c>
      <c r="D155" s="5" t="str">
        <f>LRTRIM(CONCATENATE(IF(SUMPRODUCT(-- ISNUMBER(SEARCH({"Auto Number"}, $B155))) &gt; 0, $B155, IF(SUMPRODUCT(-- ISNUMBER(SEARCH({"Lookup","Master-Detail"}, $B155))) &gt; 0,$B155 &amp; "(" &amp; $E155 &amp; ")",IF(SUMPRODUCT(-- ISNUMBER(SEARCH({"Formula","Roll-Up Summary"}, $B155))) &gt; 0,$B155 &amp; " (" &amp; $E155 &amp; ")",IF(SUMPRODUCT(-- ISNUMBER(SEARCH({"Content","Currency","Number","Percent","Text","URL"}, $B155))) &gt; 0,$B155 &amp; "(" &amp; $C155 &amp; ")",$B155)))), "  ", TRIM(IF($S155 = "YES", "(External ID)", "") &amp; " " &amp; IF(SUMPRODUCT(-- ISNUMBER(SEARCH({"Unique","Unique Case Insensitive"}, $R155))) &gt; 0, "(" &amp; $R155 &amp; ")", ""))))</f>
        <v>na</v>
      </c>
      <c r="E155" s="7" t="s">
        <v>195</v>
      </c>
      <c r="F155" s="7" t="s">
        <v>195</v>
      </c>
      <c r="G155" s="7" t="s">
        <v>195</v>
      </c>
      <c r="H155" s="7" t="s">
        <v>195</v>
      </c>
      <c r="I155" s="7" t="s">
        <v>195</v>
      </c>
      <c r="J155" s="7" t="s">
        <v>195</v>
      </c>
      <c r="K155" s="7" t="s">
        <v>195</v>
      </c>
      <c r="L155" s="7" t="s">
        <v>195</v>
      </c>
      <c r="M155" s="7" t="s">
        <v>29</v>
      </c>
      <c r="N155" s="7" t="s">
        <v>29</v>
      </c>
      <c r="O155" s="7" t="s">
        <v>29</v>
      </c>
      <c r="P155" s="7" t="s">
        <v>29</v>
      </c>
      <c r="Q155" s="7" t="s">
        <v>29</v>
      </c>
      <c r="R155" s="7" t="s">
        <v>29</v>
      </c>
      <c r="S155" s="7" t="s">
        <v>29</v>
      </c>
    </row>
    <row r="156" spans="2:19">
      <c r="B156" s="7" t="s">
        <v>195</v>
      </c>
      <c r="C156" s="8" t="s">
        <v>195</v>
      </c>
      <c r="D156" s="5" t="str">
        <f>LRTRIM(CONCATENATE(IF(SUMPRODUCT(-- ISNUMBER(SEARCH({"Auto Number"}, $B156))) &gt; 0, $B156, IF(SUMPRODUCT(-- ISNUMBER(SEARCH({"Lookup","Master-Detail"}, $B156))) &gt; 0,$B156 &amp; "(" &amp; $E156 &amp; ")",IF(SUMPRODUCT(-- ISNUMBER(SEARCH({"Formula","Roll-Up Summary"}, $B156))) &gt; 0,$B156 &amp; " (" &amp; $E156 &amp; ")",IF(SUMPRODUCT(-- ISNUMBER(SEARCH({"Content","Currency","Number","Percent","Text","URL"}, $B156))) &gt; 0,$B156 &amp; "(" &amp; $C156 &amp; ")",$B156)))), "  ", TRIM(IF($S156 = "YES", "(External ID)", "") &amp; " " &amp; IF(SUMPRODUCT(-- ISNUMBER(SEARCH({"Unique","Unique Case Insensitive"}, $R156))) &gt; 0, "(" &amp; $R156 &amp; ")", ""))))</f>
        <v>na</v>
      </c>
      <c r="E156" s="7" t="s">
        <v>195</v>
      </c>
      <c r="F156" s="7" t="s">
        <v>195</v>
      </c>
      <c r="G156" s="7" t="s">
        <v>195</v>
      </c>
      <c r="H156" s="7" t="s">
        <v>195</v>
      </c>
      <c r="I156" s="7" t="s">
        <v>195</v>
      </c>
      <c r="J156" s="7" t="s">
        <v>195</v>
      </c>
      <c r="K156" s="7" t="s">
        <v>195</v>
      </c>
      <c r="L156" s="7" t="s">
        <v>195</v>
      </c>
      <c r="M156" s="7" t="s">
        <v>29</v>
      </c>
      <c r="N156" s="7" t="s">
        <v>29</v>
      </c>
      <c r="O156" s="7" t="s">
        <v>29</v>
      </c>
      <c r="P156" s="7" t="s">
        <v>29</v>
      </c>
      <c r="Q156" s="7" t="s">
        <v>29</v>
      </c>
      <c r="R156" s="7" t="s">
        <v>29</v>
      </c>
      <c r="S156" s="7" t="s">
        <v>29</v>
      </c>
    </row>
    <row r="157" spans="2:19">
      <c r="B157" s="7" t="s">
        <v>195</v>
      </c>
      <c r="C157" s="8" t="s">
        <v>195</v>
      </c>
      <c r="D157" s="5" t="str">
        <f>LRTRIM(CONCATENATE(IF(SUMPRODUCT(-- ISNUMBER(SEARCH({"Auto Number"}, $B157))) &gt; 0, $B157, IF(SUMPRODUCT(-- ISNUMBER(SEARCH({"Lookup","Master-Detail"}, $B157))) &gt; 0,$B157 &amp; "(" &amp; $E157 &amp; ")",IF(SUMPRODUCT(-- ISNUMBER(SEARCH({"Formula","Roll-Up Summary"}, $B157))) &gt; 0,$B157 &amp; " (" &amp; $E157 &amp; ")",IF(SUMPRODUCT(-- ISNUMBER(SEARCH({"Content","Currency","Number","Percent","Text","URL"}, $B157))) &gt; 0,$B157 &amp; "(" &amp; $C157 &amp; ")",$B157)))), "  ", TRIM(IF($S157 = "YES", "(External ID)", "") &amp; " " &amp; IF(SUMPRODUCT(-- ISNUMBER(SEARCH({"Unique","Unique Case Insensitive"}, $R157))) &gt; 0, "(" &amp; $R157 &amp; ")", ""))))</f>
        <v>na</v>
      </c>
      <c r="E157" s="7" t="s">
        <v>195</v>
      </c>
      <c r="F157" s="7" t="s">
        <v>195</v>
      </c>
      <c r="G157" s="7" t="s">
        <v>195</v>
      </c>
      <c r="H157" s="7" t="s">
        <v>195</v>
      </c>
      <c r="I157" s="7" t="s">
        <v>195</v>
      </c>
      <c r="J157" s="7" t="s">
        <v>195</v>
      </c>
      <c r="K157" s="7" t="s">
        <v>195</v>
      </c>
      <c r="L157" s="7" t="s">
        <v>195</v>
      </c>
      <c r="M157" s="7" t="s">
        <v>29</v>
      </c>
      <c r="N157" s="7" t="s">
        <v>29</v>
      </c>
      <c r="O157" s="7" t="s">
        <v>29</v>
      </c>
      <c r="P157" s="7" t="s">
        <v>29</v>
      </c>
      <c r="Q157" s="7" t="s">
        <v>29</v>
      </c>
      <c r="R157" s="7" t="s">
        <v>29</v>
      </c>
      <c r="S157" s="7" t="s">
        <v>29</v>
      </c>
    </row>
    <row r="158" spans="2:19">
      <c r="B158" s="7" t="s">
        <v>195</v>
      </c>
      <c r="C158" s="8" t="s">
        <v>195</v>
      </c>
      <c r="D158" s="5" t="str">
        <f>LRTRIM(CONCATENATE(IF(SUMPRODUCT(-- ISNUMBER(SEARCH({"Auto Number"}, $B158))) &gt; 0, $B158, IF(SUMPRODUCT(-- ISNUMBER(SEARCH({"Lookup","Master-Detail"}, $B158))) &gt; 0,$B158 &amp; "(" &amp; $E158 &amp; ")",IF(SUMPRODUCT(-- ISNUMBER(SEARCH({"Formula","Roll-Up Summary"}, $B158))) &gt; 0,$B158 &amp; " (" &amp; $E158 &amp; ")",IF(SUMPRODUCT(-- ISNUMBER(SEARCH({"Content","Currency","Number","Percent","Text","URL"}, $B158))) &gt; 0,$B158 &amp; "(" &amp; $C158 &amp; ")",$B158)))), "  ", TRIM(IF($S158 = "YES", "(External ID)", "") &amp; " " &amp; IF(SUMPRODUCT(-- ISNUMBER(SEARCH({"Unique","Unique Case Insensitive"}, $R158))) &gt; 0, "(" &amp; $R158 &amp; ")", ""))))</f>
        <v>na</v>
      </c>
      <c r="E158" s="7" t="s">
        <v>195</v>
      </c>
      <c r="F158" s="7" t="s">
        <v>195</v>
      </c>
      <c r="G158" s="7" t="s">
        <v>195</v>
      </c>
      <c r="H158" s="7" t="s">
        <v>195</v>
      </c>
      <c r="I158" s="7" t="s">
        <v>195</v>
      </c>
      <c r="J158" s="7" t="s">
        <v>195</v>
      </c>
      <c r="K158" s="7" t="s">
        <v>195</v>
      </c>
      <c r="L158" s="7" t="s">
        <v>195</v>
      </c>
      <c r="M158" s="7" t="s">
        <v>29</v>
      </c>
      <c r="N158" s="7" t="s">
        <v>29</v>
      </c>
      <c r="O158" s="7" t="s">
        <v>29</v>
      </c>
      <c r="P158" s="7" t="s">
        <v>29</v>
      </c>
      <c r="Q158" s="7" t="s">
        <v>29</v>
      </c>
      <c r="R158" s="7" t="s">
        <v>29</v>
      </c>
      <c r="S158" s="7" t="s">
        <v>29</v>
      </c>
    </row>
    <row r="159" spans="2:19">
      <c r="B159" s="7" t="s">
        <v>195</v>
      </c>
      <c r="C159" s="8" t="s">
        <v>195</v>
      </c>
      <c r="D159" s="5" t="str">
        <f>LRTRIM(CONCATENATE(IF(SUMPRODUCT(-- ISNUMBER(SEARCH({"Auto Number"}, $B159))) &gt; 0, $B159, IF(SUMPRODUCT(-- ISNUMBER(SEARCH({"Lookup","Master-Detail"}, $B159))) &gt; 0,$B159 &amp; "(" &amp; $E159 &amp; ")",IF(SUMPRODUCT(-- ISNUMBER(SEARCH({"Formula","Roll-Up Summary"}, $B159))) &gt; 0,$B159 &amp; " (" &amp; $E159 &amp; ")",IF(SUMPRODUCT(-- ISNUMBER(SEARCH({"Content","Currency","Number","Percent","Text","URL"}, $B159))) &gt; 0,$B159 &amp; "(" &amp; $C159 &amp; ")",$B159)))), "  ", TRIM(IF($S159 = "YES", "(External ID)", "") &amp; " " &amp; IF(SUMPRODUCT(-- ISNUMBER(SEARCH({"Unique","Unique Case Insensitive"}, $R159))) &gt; 0, "(" &amp; $R159 &amp; ")", ""))))</f>
        <v>na</v>
      </c>
      <c r="E159" s="7" t="s">
        <v>195</v>
      </c>
      <c r="F159" s="7" t="s">
        <v>195</v>
      </c>
      <c r="G159" s="7" t="s">
        <v>195</v>
      </c>
      <c r="H159" s="7" t="s">
        <v>195</v>
      </c>
      <c r="I159" s="7" t="s">
        <v>195</v>
      </c>
      <c r="J159" s="7" t="s">
        <v>195</v>
      </c>
      <c r="K159" s="7" t="s">
        <v>195</v>
      </c>
      <c r="L159" s="7" t="s">
        <v>195</v>
      </c>
      <c r="M159" s="7" t="s">
        <v>29</v>
      </c>
      <c r="N159" s="7" t="s">
        <v>29</v>
      </c>
      <c r="O159" s="7" t="s">
        <v>29</v>
      </c>
      <c r="P159" s="7" t="s">
        <v>29</v>
      </c>
      <c r="Q159" s="7" t="s">
        <v>29</v>
      </c>
      <c r="R159" s="7" t="s">
        <v>29</v>
      </c>
      <c r="S159" s="7" t="s">
        <v>29</v>
      </c>
    </row>
    <row r="160" spans="2:19">
      <c r="B160" s="7" t="s">
        <v>195</v>
      </c>
      <c r="C160" s="8" t="s">
        <v>195</v>
      </c>
      <c r="D160" s="5" t="str">
        <f>LRTRIM(CONCATENATE(IF(SUMPRODUCT(-- ISNUMBER(SEARCH({"Auto Number"}, $B160))) &gt; 0, $B160, IF(SUMPRODUCT(-- ISNUMBER(SEARCH({"Lookup","Master-Detail"}, $B160))) &gt; 0,$B160 &amp; "(" &amp; $E160 &amp; ")",IF(SUMPRODUCT(-- ISNUMBER(SEARCH({"Formula","Roll-Up Summary"}, $B160))) &gt; 0,$B160 &amp; " (" &amp; $E160 &amp; ")",IF(SUMPRODUCT(-- ISNUMBER(SEARCH({"Content","Currency","Number","Percent","Text","URL"}, $B160))) &gt; 0,$B160 &amp; "(" &amp; $C160 &amp; ")",$B160)))), "  ", TRIM(IF($S160 = "YES", "(External ID)", "") &amp; " " &amp; IF(SUMPRODUCT(-- ISNUMBER(SEARCH({"Unique","Unique Case Insensitive"}, $R160))) &gt; 0, "(" &amp; $R160 &amp; ")", ""))))</f>
        <v>na</v>
      </c>
      <c r="E160" s="7" t="s">
        <v>195</v>
      </c>
      <c r="F160" s="7" t="s">
        <v>195</v>
      </c>
      <c r="G160" s="7" t="s">
        <v>195</v>
      </c>
      <c r="H160" s="7" t="s">
        <v>195</v>
      </c>
      <c r="I160" s="7" t="s">
        <v>195</v>
      </c>
      <c r="J160" s="7" t="s">
        <v>195</v>
      </c>
      <c r="K160" s="7" t="s">
        <v>195</v>
      </c>
      <c r="L160" s="7" t="s">
        <v>195</v>
      </c>
      <c r="M160" s="7" t="s">
        <v>29</v>
      </c>
      <c r="N160" s="7" t="s">
        <v>29</v>
      </c>
      <c r="O160" s="7" t="s">
        <v>29</v>
      </c>
      <c r="P160" s="7" t="s">
        <v>29</v>
      </c>
      <c r="Q160" s="7" t="s">
        <v>29</v>
      </c>
      <c r="R160" s="7" t="s">
        <v>29</v>
      </c>
      <c r="S160" s="7" t="s">
        <v>29</v>
      </c>
    </row>
    <row r="161" spans="2:19">
      <c r="B161" s="7" t="s">
        <v>195</v>
      </c>
      <c r="C161" s="8" t="s">
        <v>195</v>
      </c>
      <c r="D161" s="5" t="str">
        <f>LRTRIM(CONCATENATE(IF(SUMPRODUCT(-- ISNUMBER(SEARCH({"Auto Number"}, $B161))) &gt; 0, $B161, IF(SUMPRODUCT(-- ISNUMBER(SEARCH({"Lookup","Master-Detail"}, $B161))) &gt; 0,$B161 &amp; "(" &amp; $E161 &amp; ")",IF(SUMPRODUCT(-- ISNUMBER(SEARCH({"Formula","Roll-Up Summary"}, $B161))) &gt; 0,$B161 &amp; " (" &amp; $E161 &amp; ")",IF(SUMPRODUCT(-- ISNUMBER(SEARCH({"Content","Currency","Number","Percent","Text","URL"}, $B161))) &gt; 0,$B161 &amp; "(" &amp; $C161 &amp; ")",$B161)))), "  ", TRIM(IF($S161 = "YES", "(External ID)", "") &amp; " " &amp; IF(SUMPRODUCT(-- ISNUMBER(SEARCH({"Unique","Unique Case Insensitive"}, $R161))) &gt; 0, "(" &amp; $R161 &amp; ")", ""))))</f>
        <v>na</v>
      </c>
      <c r="E161" s="7" t="s">
        <v>195</v>
      </c>
      <c r="F161" s="7" t="s">
        <v>195</v>
      </c>
      <c r="G161" s="7" t="s">
        <v>195</v>
      </c>
      <c r="H161" s="7" t="s">
        <v>195</v>
      </c>
      <c r="I161" s="7" t="s">
        <v>195</v>
      </c>
      <c r="J161" s="7" t="s">
        <v>195</v>
      </c>
      <c r="K161" s="7" t="s">
        <v>195</v>
      </c>
      <c r="L161" s="7" t="s">
        <v>195</v>
      </c>
      <c r="M161" s="7" t="s">
        <v>29</v>
      </c>
      <c r="N161" s="7" t="s">
        <v>29</v>
      </c>
      <c r="O161" s="7" t="s">
        <v>29</v>
      </c>
      <c r="P161" s="7" t="s">
        <v>29</v>
      </c>
      <c r="Q161" s="7" t="s">
        <v>29</v>
      </c>
      <c r="R161" s="7" t="s">
        <v>29</v>
      </c>
      <c r="S161" s="7" t="s">
        <v>29</v>
      </c>
    </row>
    <row r="162" spans="2:19">
      <c r="B162" s="7" t="s">
        <v>195</v>
      </c>
      <c r="C162" s="8" t="s">
        <v>195</v>
      </c>
      <c r="D162" s="5" t="str">
        <f>LRTRIM(CONCATENATE(IF(SUMPRODUCT(-- ISNUMBER(SEARCH({"Auto Number"}, $B162))) &gt; 0, $B162, IF(SUMPRODUCT(-- ISNUMBER(SEARCH({"Lookup","Master-Detail"}, $B162))) &gt; 0,$B162 &amp; "(" &amp; $E162 &amp; ")",IF(SUMPRODUCT(-- ISNUMBER(SEARCH({"Formula","Roll-Up Summary"}, $B162))) &gt; 0,$B162 &amp; " (" &amp; $E162 &amp; ")",IF(SUMPRODUCT(-- ISNUMBER(SEARCH({"Content","Currency","Number","Percent","Text","URL"}, $B162))) &gt; 0,$B162 &amp; "(" &amp; $C162 &amp; ")",$B162)))), "  ", TRIM(IF($S162 = "YES", "(External ID)", "") &amp; " " &amp; IF(SUMPRODUCT(-- ISNUMBER(SEARCH({"Unique","Unique Case Insensitive"}, $R162))) &gt; 0, "(" &amp; $R162 &amp; ")", ""))))</f>
        <v>na</v>
      </c>
      <c r="E162" s="7" t="s">
        <v>195</v>
      </c>
      <c r="F162" s="7" t="s">
        <v>195</v>
      </c>
      <c r="G162" s="7" t="s">
        <v>195</v>
      </c>
      <c r="H162" s="7" t="s">
        <v>195</v>
      </c>
      <c r="I162" s="7" t="s">
        <v>195</v>
      </c>
      <c r="J162" s="7" t="s">
        <v>195</v>
      </c>
      <c r="K162" s="7" t="s">
        <v>195</v>
      </c>
      <c r="L162" s="7" t="s">
        <v>195</v>
      </c>
      <c r="M162" s="7" t="s">
        <v>29</v>
      </c>
      <c r="N162" s="7" t="s">
        <v>29</v>
      </c>
      <c r="O162" s="7" t="s">
        <v>29</v>
      </c>
      <c r="P162" s="7" t="s">
        <v>29</v>
      </c>
      <c r="Q162" s="7" t="s">
        <v>29</v>
      </c>
      <c r="R162" s="7" t="s">
        <v>29</v>
      </c>
      <c r="S162" s="7" t="s">
        <v>29</v>
      </c>
    </row>
    <row r="163" spans="2:19">
      <c r="B163" s="7" t="s">
        <v>195</v>
      </c>
      <c r="C163" s="8" t="s">
        <v>195</v>
      </c>
      <c r="D163" s="5" t="str">
        <f>LRTRIM(CONCATENATE(IF(SUMPRODUCT(-- ISNUMBER(SEARCH({"Auto Number"}, $B163))) &gt; 0, $B163, IF(SUMPRODUCT(-- ISNUMBER(SEARCH({"Lookup","Master-Detail"}, $B163))) &gt; 0,$B163 &amp; "(" &amp; $E163 &amp; ")",IF(SUMPRODUCT(-- ISNUMBER(SEARCH({"Formula","Roll-Up Summary"}, $B163))) &gt; 0,$B163 &amp; " (" &amp; $E163 &amp; ")",IF(SUMPRODUCT(-- ISNUMBER(SEARCH({"Content","Currency","Number","Percent","Text","URL"}, $B163))) &gt; 0,$B163 &amp; "(" &amp; $C163 &amp; ")",$B163)))), "  ", TRIM(IF($S163 = "YES", "(External ID)", "") &amp; " " &amp; IF(SUMPRODUCT(-- ISNUMBER(SEARCH({"Unique","Unique Case Insensitive"}, $R163))) &gt; 0, "(" &amp; $R163 &amp; ")", ""))))</f>
        <v>na</v>
      </c>
      <c r="E163" s="7" t="s">
        <v>195</v>
      </c>
      <c r="F163" s="7" t="s">
        <v>195</v>
      </c>
      <c r="G163" s="7" t="s">
        <v>195</v>
      </c>
      <c r="H163" s="7" t="s">
        <v>195</v>
      </c>
      <c r="I163" s="7" t="s">
        <v>195</v>
      </c>
      <c r="J163" s="7" t="s">
        <v>195</v>
      </c>
      <c r="K163" s="7" t="s">
        <v>195</v>
      </c>
      <c r="L163" s="7" t="s">
        <v>195</v>
      </c>
      <c r="M163" s="7" t="s">
        <v>29</v>
      </c>
      <c r="N163" s="7" t="s">
        <v>29</v>
      </c>
      <c r="O163" s="7" t="s">
        <v>29</v>
      </c>
      <c r="P163" s="7" t="s">
        <v>29</v>
      </c>
      <c r="Q163" s="7" t="s">
        <v>29</v>
      </c>
      <c r="R163" s="7" t="s">
        <v>29</v>
      </c>
      <c r="S163" s="7" t="s">
        <v>29</v>
      </c>
    </row>
    <row r="164" spans="2:19">
      <c r="B164" s="7" t="s">
        <v>195</v>
      </c>
      <c r="C164" s="8" t="s">
        <v>195</v>
      </c>
      <c r="D164" s="5" t="str">
        <f>LRTRIM(CONCATENATE(IF(SUMPRODUCT(-- ISNUMBER(SEARCH({"Auto Number"}, $B164))) &gt; 0, $B164, IF(SUMPRODUCT(-- ISNUMBER(SEARCH({"Lookup","Master-Detail"}, $B164))) &gt; 0,$B164 &amp; "(" &amp; $E164 &amp; ")",IF(SUMPRODUCT(-- ISNUMBER(SEARCH({"Formula","Roll-Up Summary"}, $B164))) &gt; 0,$B164 &amp; " (" &amp; $E164 &amp; ")",IF(SUMPRODUCT(-- ISNUMBER(SEARCH({"Content","Currency","Number","Percent","Text","URL"}, $B164))) &gt; 0,$B164 &amp; "(" &amp; $C164 &amp; ")",$B164)))), "  ", TRIM(IF($S164 = "YES", "(External ID)", "") &amp; " " &amp; IF(SUMPRODUCT(-- ISNUMBER(SEARCH({"Unique","Unique Case Insensitive"}, $R164))) &gt; 0, "(" &amp; $R164 &amp; ")", ""))))</f>
        <v>na</v>
      </c>
      <c r="E164" s="7" t="s">
        <v>195</v>
      </c>
      <c r="F164" s="7" t="s">
        <v>195</v>
      </c>
      <c r="G164" s="7" t="s">
        <v>195</v>
      </c>
      <c r="H164" s="7" t="s">
        <v>195</v>
      </c>
      <c r="I164" s="7" t="s">
        <v>195</v>
      </c>
      <c r="J164" s="7" t="s">
        <v>195</v>
      </c>
      <c r="K164" s="7" t="s">
        <v>195</v>
      </c>
      <c r="L164" s="7" t="s">
        <v>195</v>
      </c>
      <c r="M164" s="7" t="s">
        <v>29</v>
      </c>
      <c r="N164" s="7" t="s">
        <v>29</v>
      </c>
      <c r="O164" s="7" t="s">
        <v>29</v>
      </c>
      <c r="P164" s="7" t="s">
        <v>29</v>
      </c>
      <c r="Q164" s="7" t="s">
        <v>29</v>
      </c>
      <c r="R164" s="7" t="s">
        <v>29</v>
      </c>
      <c r="S164" s="7" t="s">
        <v>29</v>
      </c>
    </row>
    <row r="165" spans="2:19">
      <c r="B165" s="7" t="s">
        <v>195</v>
      </c>
      <c r="C165" s="8" t="s">
        <v>195</v>
      </c>
      <c r="D165" s="5" t="str">
        <f>LRTRIM(CONCATENATE(IF(SUMPRODUCT(-- ISNUMBER(SEARCH({"Auto Number"}, $B165))) &gt; 0, $B165, IF(SUMPRODUCT(-- ISNUMBER(SEARCH({"Lookup","Master-Detail"}, $B165))) &gt; 0,$B165 &amp; "(" &amp; $E165 &amp; ")",IF(SUMPRODUCT(-- ISNUMBER(SEARCH({"Formula","Roll-Up Summary"}, $B165))) &gt; 0,$B165 &amp; " (" &amp; $E165 &amp; ")",IF(SUMPRODUCT(-- ISNUMBER(SEARCH({"Content","Currency","Number","Percent","Text","URL"}, $B165))) &gt; 0,$B165 &amp; "(" &amp; $C165 &amp; ")",$B165)))), "  ", TRIM(IF($S165 = "YES", "(External ID)", "") &amp; " " &amp; IF(SUMPRODUCT(-- ISNUMBER(SEARCH({"Unique","Unique Case Insensitive"}, $R165))) &gt; 0, "(" &amp; $R165 &amp; ")", ""))))</f>
        <v>na</v>
      </c>
      <c r="E165" s="7" t="s">
        <v>195</v>
      </c>
      <c r="F165" s="7" t="s">
        <v>195</v>
      </c>
      <c r="G165" s="7" t="s">
        <v>195</v>
      </c>
      <c r="H165" s="7" t="s">
        <v>195</v>
      </c>
      <c r="I165" s="7" t="s">
        <v>195</v>
      </c>
      <c r="J165" s="7" t="s">
        <v>195</v>
      </c>
      <c r="K165" s="7" t="s">
        <v>195</v>
      </c>
      <c r="L165" s="7" t="s">
        <v>195</v>
      </c>
      <c r="M165" s="7" t="s">
        <v>29</v>
      </c>
      <c r="N165" s="7" t="s">
        <v>29</v>
      </c>
      <c r="O165" s="7" t="s">
        <v>29</v>
      </c>
      <c r="P165" s="7" t="s">
        <v>29</v>
      </c>
      <c r="Q165" s="7" t="s">
        <v>29</v>
      </c>
      <c r="R165" s="7" t="s">
        <v>29</v>
      </c>
      <c r="S165" s="7" t="s">
        <v>29</v>
      </c>
    </row>
    <row r="166" spans="2:19">
      <c r="B166" s="7" t="s">
        <v>195</v>
      </c>
      <c r="C166" s="8" t="s">
        <v>195</v>
      </c>
      <c r="D166" s="5" t="str">
        <f>LRTRIM(CONCATENATE(IF(SUMPRODUCT(-- ISNUMBER(SEARCH({"Auto Number"}, $B166))) &gt; 0, $B166, IF(SUMPRODUCT(-- ISNUMBER(SEARCH({"Lookup","Master-Detail"}, $B166))) &gt; 0,$B166 &amp; "(" &amp; $E166 &amp; ")",IF(SUMPRODUCT(-- ISNUMBER(SEARCH({"Formula","Roll-Up Summary"}, $B166))) &gt; 0,$B166 &amp; " (" &amp; $E166 &amp; ")",IF(SUMPRODUCT(-- ISNUMBER(SEARCH({"Content","Currency","Number","Percent","Text","URL"}, $B166))) &gt; 0,$B166 &amp; "(" &amp; $C166 &amp; ")",$B166)))), "  ", TRIM(IF($S166 = "YES", "(External ID)", "") &amp; " " &amp; IF(SUMPRODUCT(-- ISNUMBER(SEARCH({"Unique","Unique Case Insensitive"}, $R166))) &gt; 0, "(" &amp; $R166 &amp; ")", ""))))</f>
        <v>na</v>
      </c>
      <c r="E166" s="7" t="s">
        <v>195</v>
      </c>
      <c r="F166" s="7" t="s">
        <v>195</v>
      </c>
      <c r="G166" s="7" t="s">
        <v>195</v>
      </c>
      <c r="H166" s="7" t="s">
        <v>195</v>
      </c>
      <c r="I166" s="7" t="s">
        <v>195</v>
      </c>
      <c r="J166" s="7" t="s">
        <v>195</v>
      </c>
      <c r="K166" s="7" t="s">
        <v>195</v>
      </c>
      <c r="L166" s="7" t="s">
        <v>195</v>
      </c>
      <c r="M166" s="7" t="s">
        <v>29</v>
      </c>
      <c r="N166" s="7" t="s">
        <v>29</v>
      </c>
      <c r="O166" s="7" t="s">
        <v>29</v>
      </c>
      <c r="P166" s="7" t="s">
        <v>29</v>
      </c>
      <c r="Q166" s="7" t="s">
        <v>29</v>
      </c>
      <c r="R166" s="7" t="s">
        <v>29</v>
      </c>
      <c r="S166" s="7" t="s">
        <v>29</v>
      </c>
    </row>
    <row r="167" spans="2:19">
      <c r="B167" s="7" t="s">
        <v>195</v>
      </c>
      <c r="C167" s="8" t="s">
        <v>195</v>
      </c>
      <c r="D167" s="5" t="str">
        <f>LRTRIM(CONCATENATE(IF(SUMPRODUCT(-- ISNUMBER(SEARCH({"Auto Number"}, $B167))) &gt; 0, $B167, IF(SUMPRODUCT(-- ISNUMBER(SEARCH({"Lookup","Master-Detail"}, $B167))) &gt; 0,$B167 &amp; "(" &amp; $E167 &amp; ")",IF(SUMPRODUCT(-- ISNUMBER(SEARCH({"Formula","Roll-Up Summary"}, $B167))) &gt; 0,$B167 &amp; " (" &amp; $E167 &amp; ")",IF(SUMPRODUCT(-- ISNUMBER(SEARCH({"Content","Currency","Number","Percent","Text","URL"}, $B167))) &gt; 0,$B167 &amp; "(" &amp; $C167 &amp; ")",$B167)))), "  ", TRIM(IF($S167 = "YES", "(External ID)", "") &amp; " " &amp; IF(SUMPRODUCT(-- ISNUMBER(SEARCH({"Unique","Unique Case Insensitive"}, $R167))) &gt; 0, "(" &amp; $R167 &amp; ")", ""))))</f>
        <v>na</v>
      </c>
      <c r="E167" s="7" t="s">
        <v>195</v>
      </c>
      <c r="F167" s="7" t="s">
        <v>195</v>
      </c>
      <c r="G167" s="7" t="s">
        <v>195</v>
      </c>
      <c r="H167" s="7" t="s">
        <v>195</v>
      </c>
      <c r="I167" s="7" t="s">
        <v>195</v>
      </c>
      <c r="J167" s="7" t="s">
        <v>195</v>
      </c>
      <c r="K167" s="7" t="s">
        <v>195</v>
      </c>
      <c r="L167" s="7" t="s">
        <v>195</v>
      </c>
      <c r="M167" s="7" t="s">
        <v>29</v>
      </c>
      <c r="N167" s="7" t="s">
        <v>29</v>
      </c>
      <c r="O167" s="7" t="s">
        <v>29</v>
      </c>
      <c r="P167" s="7" t="s">
        <v>29</v>
      </c>
      <c r="Q167" s="7" t="s">
        <v>29</v>
      </c>
      <c r="R167" s="7" t="s">
        <v>29</v>
      </c>
      <c r="S167" s="7" t="s">
        <v>29</v>
      </c>
    </row>
    <row r="168" spans="2:19">
      <c r="B168" s="7" t="s">
        <v>195</v>
      </c>
      <c r="C168" s="8" t="s">
        <v>195</v>
      </c>
      <c r="D168" s="5" t="str">
        <f>LRTRIM(CONCATENATE(IF(SUMPRODUCT(-- ISNUMBER(SEARCH({"Auto Number"}, $B168))) &gt; 0, $B168, IF(SUMPRODUCT(-- ISNUMBER(SEARCH({"Lookup","Master-Detail"}, $B168))) &gt; 0,$B168 &amp; "(" &amp; $E168 &amp; ")",IF(SUMPRODUCT(-- ISNUMBER(SEARCH({"Formula","Roll-Up Summary"}, $B168))) &gt; 0,$B168 &amp; " (" &amp; $E168 &amp; ")",IF(SUMPRODUCT(-- ISNUMBER(SEARCH({"Content","Currency","Number","Percent","Text","URL"}, $B168))) &gt; 0,$B168 &amp; "(" &amp; $C168 &amp; ")",$B168)))), "  ", TRIM(IF($S168 = "YES", "(External ID)", "") &amp; " " &amp; IF(SUMPRODUCT(-- ISNUMBER(SEARCH({"Unique","Unique Case Insensitive"}, $R168))) &gt; 0, "(" &amp; $R168 &amp; ")", ""))))</f>
        <v>na</v>
      </c>
      <c r="E168" s="7" t="s">
        <v>195</v>
      </c>
      <c r="F168" s="7" t="s">
        <v>195</v>
      </c>
      <c r="G168" s="7" t="s">
        <v>195</v>
      </c>
      <c r="H168" s="7" t="s">
        <v>195</v>
      </c>
      <c r="I168" s="7" t="s">
        <v>195</v>
      </c>
      <c r="J168" s="7" t="s">
        <v>195</v>
      </c>
      <c r="K168" s="7" t="s">
        <v>195</v>
      </c>
      <c r="L168" s="7" t="s">
        <v>195</v>
      </c>
      <c r="M168" s="7" t="s">
        <v>29</v>
      </c>
      <c r="N168" s="7" t="s">
        <v>29</v>
      </c>
      <c r="O168" s="7" t="s">
        <v>29</v>
      </c>
      <c r="P168" s="7" t="s">
        <v>29</v>
      </c>
      <c r="Q168" s="7" t="s">
        <v>29</v>
      </c>
      <c r="R168" s="7" t="s">
        <v>29</v>
      </c>
      <c r="S168" s="7" t="s">
        <v>29</v>
      </c>
    </row>
    <row r="169" spans="2:19">
      <c r="B169" s="7" t="s">
        <v>195</v>
      </c>
      <c r="C169" s="8" t="s">
        <v>195</v>
      </c>
      <c r="D169" s="5" t="str">
        <f>LRTRIM(CONCATENATE(IF(SUMPRODUCT(-- ISNUMBER(SEARCH({"Auto Number"}, $B169))) &gt; 0, $B169, IF(SUMPRODUCT(-- ISNUMBER(SEARCH({"Lookup","Master-Detail"}, $B169))) &gt; 0,$B169 &amp; "(" &amp; $E169 &amp; ")",IF(SUMPRODUCT(-- ISNUMBER(SEARCH({"Formula","Roll-Up Summary"}, $B169))) &gt; 0,$B169 &amp; " (" &amp; $E169 &amp; ")",IF(SUMPRODUCT(-- ISNUMBER(SEARCH({"Content","Currency","Number","Percent","Text","URL"}, $B169))) &gt; 0,$B169 &amp; "(" &amp; $C169 &amp; ")",$B169)))), "  ", TRIM(IF($S169 = "YES", "(External ID)", "") &amp; " " &amp; IF(SUMPRODUCT(-- ISNUMBER(SEARCH({"Unique","Unique Case Insensitive"}, $R169))) &gt; 0, "(" &amp; $R169 &amp; ")", ""))))</f>
        <v>na</v>
      </c>
      <c r="E169" s="7" t="s">
        <v>195</v>
      </c>
      <c r="F169" s="7" t="s">
        <v>195</v>
      </c>
      <c r="G169" s="7" t="s">
        <v>195</v>
      </c>
      <c r="H169" s="7" t="s">
        <v>195</v>
      </c>
      <c r="I169" s="7" t="s">
        <v>195</v>
      </c>
      <c r="J169" s="7" t="s">
        <v>195</v>
      </c>
      <c r="K169" s="7" t="s">
        <v>195</v>
      </c>
      <c r="L169" s="7" t="s">
        <v>195</v>
      </c>
      <c r="M169" s="7" t="s">
        <v>29</v>
      </c>
      <c r="N169" s="7" t="s">
        <v>29</v>
      </c>
      <c r="O169" s="7" t="s">
        <v>29</v>
      </c>
      <c r="P169" s="7" t="s">
        <v>29</v>
      </c>
      <c r="Q169" s="7" t="s">
        <v>29</v>
      </c>
      <c r="R169" s="7" t="s">
        <v>29</v>
      </c>
      <c r="S169" s="7" t="s">
        <v>29</v>
      </c>
    </row>
    <row r="170" spans="2:19">
      <c r="B170" s="7" t="s">
        <v>195</v>
      </c>
      <c r="C170" s="8" t="s">
        <v>195</v>
      </c>
      <c r="D170" s="5" t="str">
        <f>LRTRIM(CONCATENATE(IF(SUMPRODUCT(-- ISNUMBER(SEARCH({"Auto Number"}, $B170))) &gt; 0, $B170, IF(SUMPRODUCT(-- ISNUMBER(SEARCH({"Lookup","Master-Detail"}, $B170))) &gt; 0,$B170 &amp; "(" &amp; $E170 &amp; ")",IF(SUMPRODUCT(-- ISNUMBER(SEARCH({"Formula","Roll-Up Summary"}, $B170))) &gt; 0,$B170 &amp; " (" &amp; $E170 &amp; ")",IF(SUMPRODUCT(-- ISNUMBER(SEARCH({"Content","Currency","Number","Percent","Text","URL"}, $B170))) &gt; 0,$B170 &amp; "(" &amp; $C170 &amp; ")",$B170)))), "  ", TRIM(IF($S170 = "YES", "(External ID)", "") &amp; " " &amp; IF(SUMPRODUCT(-- ISNUMBER(SEARCH({"Unique","Unique Case Insensitive"}, $R170))) &gt; 0, "(" &amp; $R170 &amp; ")", ""))))</f>
        <v>na</v>
      </c>
      <c r="E170" s="7" t="s">
        <v>195</v>
      </c>
      <c r="F170" s="7" t="s">
        <v>195</v>
      </c>
      <c r="G170" s="7" t="s">
        <v>195</v>
      </c>
      <c r="H170" s="7" t="s">
        <v>195</v>
      </c>
      <c r="I170" s="7" t="s">
        <v>195</v>
      </c>
      <c r="J170" s="7" t="s">
        <v>195</v>
      </c>
      <c r="K170" s="7" t="s">
        <v>195</v>
      </c>
      <c r="L170" s="7" t="s">
        <v>195</v>
      </c>
      <c r="M170" s="7" t="s">
        <v>29</v>
      </c>
      <c r="N170" s="7" t="s">
        <v>29</v>
      </c>
      <c r="O170" s="7" t="s">
        <v>29</v>
      </c>
      <c r="P170" s="7" t="s">
        <v>29</v>
      </c>
      <c r="Q170" s="7" t="s">
        <v>29</v>
      </c>
      <c r="R170" s="7" t="s">
        <v>29</v>
      </c>
      <c r="S170" s="7" t="s">
        <v>29</v>
      </c>
    </row>
    <row r="171" spans="2:19">
      <c r="B171" s="7" t="s">
        <v>195</v>
      </c>
      <c r="C171" s="8" t="s">
        <v>195</v>
      </c>
      <c r="D171" s="5" t="str">
        <f>LRTRIM(CONCATENATE(IF(SUMPRODUCT(-- ISNUMBER(SEARCH({"Auto Number"}, $B171))) &gt; 0, $B171, IF(SUMPRODUCT(-- ISNUMBER(SEARCH({"Lookup","Master-Detail"}, $B171))) &gt; 0,$B171 &amp; "(" &amp; $E171 &amp; ")",IF(SUMPRODUCT(-- ISNUMBER(SEARCH({"Formula","Roll-Up Summary"}, $B171))) &gt; 0,$B171 &amp; " (" &amp; $E171 &amp; ")",IF(SUMPRODUCT(-- ISNUMBER(SEARCH({"Content","Currency","Number","Percent","Text","URL"}, $B171))) &gt; 0,$B171 &amp; "(" &amp; $C171 &amp; ")",$B171)))), "  ", TRIM(IF($S171 = "YES", "(External ID)", "") &amp; " " &amp; IF(SUMPRODUCT(-- ISNUMBER(SEARCH({"Unique","Unique Case Insensitive"}, $R171))) &gt; 0, "(" &amp; $R171 &amp; ")", ""))))</f>
        <v>na</v>
      </c>
      <c r="E171" s="7" t="s">
        <v>195</v>
      </c>
      <c r="F171" s="7" t="s">
        <v>195</v>
      </c>
      <c r="G171" s="7" t="s">
        <v>195</v>
      </c>
      <c r="H171" s="7" t="s">
        <v>195</v>
      </c>
      <c r="I171" s="7" t="s">
        <v>195</v>
      </c>
      <c r="J171" s="7" t="s">
        <v>195</v>
      </c>
      <c r="K171" s="7" t="s">
        <v>195</v>
      </c>
      <c r="L171" s="7" t="s">
        <v>195</v>
      </c>
      <c r="M171" s="7" t="s">
        <v>29</v>
      </c>
      <c r="N171" s="7" t="s">
        <v>29</v>
      </c>
      <c r="O171" s="7" t="s">
        <v>29</v>
      </c>
      <c r="P171" s="7" t="s">
        <v>29</v>
      </c>
      <c r="Q171" s="7" t="s">
        <v>29</v>
      </c>
      <c r="R171" s="7" t="s">
        <v>29</v>
      </c>
      <c r="S171" s="7" t="s">
        <v>29</v>
      </c>
    </row>
    <row r="172" spans="2:19">
      <c r="B172" s="7" t="s">
        <v>195</v>
      </c>
      <c r="C172" s="8" t="s">
        <v>195</v>
      </c>
      <c r="D172" s="5" t="str">
        <f>LRTRIM(CONCATENATE(IF(SUMPRODUCT(-- ISNUMBER(SEARCH({"Auto Number"}, $B172))) &gt; 0, $B172, IF(SUMPRODUCT(-- ISNUMBER(SEARCH({"Lookup","Master-Detail"}, $B172))) &gt; 0,$B172 &amp; "(" &amp; $E172 &amp; ")",IF(SUMPRODUCT(-- ISNUMBER(SEARCH({"Formula","Roll-Up Summary"}, $B172))) &gt; 0,$B172 &amp; " (" &amp; $E172 &amp; ")",IF(SUMPRODUCT(-- ISNUMBER(SEARCH({"Content","Currency","Number","Percent","Text","URL"}, $B172))) &gt; 0,$B172 &amp; "(" &amp; $C172 &amp; ")",$B172)))), "  ", TRIM(IF($S172 = "YES", "(External ID)", "") &amp; " " &amp; IF(SUMPRODUCT(-- ISNUMBER(SEARCH({"Unique","Unique Case Insensitive"}, $R172))) &gt; 0, "(" &amp; $R172 &amp; ")", ""))))</f>
        <v>na</v>
      </c>
      <c r="E172" s="7" t="s">
        <v>195</v>
      </c>
      <c r="F172" s="7" t="s">
        <v>195</v>
      </c>
      <c r="G172" s="7" t="s">
        <v>195</v>
      </c>
      <c r="H172" s="7" t="s">
        <v>195</v>
      </c>
      <c r="I172" s="7" t="s">
        <v>195</v>
      </c>
      <c r="J172" s="7" t="s">
        <v>195</v>
      </c>
      <c r="K172" s="7" t="s">
        <v>195</v>
      </c>
      <c r="L172" s="7" t="s">
        <v>195</v>
      </c>
      <c r="M172" s="7" t="s">
        <v>29</v>
      </c>
      <c r="N172" s="7" t="s">
        <v>29</v>
      </c>
      <c r="O172" s="7" t="s">
        <v>29</v>
      </c>
      <c r="P172" s="7" t="s">
        <v>29</v>
      </c>
      <c r="Q172" s="7" t="s">
        <v>29</v>
      </c>
      <c r="R172" s="7" t="s">
        <v>29</v>
      </c>
      <c r="S172" s="7" t="s">
        <v>29</v>
      </c>
    </row>
    <row r="173" spans="2:19">
      <c r="B173" s="7" t="s">
        <v>195</v>
      </c>
      <c r="C173" s="8" t="s">
        <v>195</v>
      </c>
      <c r="D173" s="5" t="str">
        <f>LRTRIM(CONCATENATE(IF(SUMPRODUCT(-- ISNUMBER(SEARCH({"Auto Number"}, $B173))) &gt; 0, $B173, IF(SUMPRODUCT(-- ISNUMBER(SEARCH({"Lookup","Master-Detail"}, $B173))) &gt; 0,$B173 &amp; "(" &amp; $E173 &amp; ")",IF(SUMPRODUCT(-- ISNUMBER(SEARCH({"Formula","Roll-Up Summary"}, $B173))) &gt; 0,$B173 &amp; " (" &amp; $E173 &amp; ")",IF(SUMPRODUCT(-- ISNUMBER(SEARCH({"Content","Currency","Number","Percent","Text","URL"}, $B173))) &gt; 0,$B173 &amp; "(" &amp; $C173 &amp; ")",$B173)))), "  ", TRIM(IF($S173 = "YES", "(External ID)", "") &amp; " " &amp; IF(SUMPRODUCT(-- ISNUMBER(SEARCH({"Unique","Unique Case Insensitive"}, $R173))) &gt; 0, "(" &amp; $R173 &amp; ")", ""))))</f>
        <v>na</v>
      </c>
      <c r="E173" s="7" t="s">
        <v>195</v>
      </c>
      <c r="F173" s="7" t="s">
        <v>195</v>
      </c>
      <c r="G173" s="7" t="s">
        <v>195</v>
      </c>
      <c r="H173" s="7" t="s">
        <v>195</v>
      </c>
      <c r="I173" s="7" t="s">
        <v>195</v>
      </c>
      <c r="J173" s="7" t="s">
        <v>195</v>
      </c>
      <c r="K173" s="7" t="s">
        <v>195</v>
      </c>
      <c r="L173" s="7" t="s">
        <v>195</v>
      </c>
      <c r="M173" s="7" t="s">
        <v>29</v>
      </c>
      <c r="N173" s="7" t="s">
        <v>29</v>
      </c>
      <c r="O173" s="7" t="s">
        <v>29</v>
      </c>
      <c r="P173" s="7" t="s">
        <v>29</v>
      </c>
      <c r="Q173" s="7" t="s">
        <v>29</v>
      </c>
      <c r="R173" s="7" t="s">
        <v>29</v>
      </c>
      <c r="S173" s="7" t="s">
        <v>29</v>
      </c>
    </row>
    <row r="174" spans="2:19">
      <c r="B174" s="7" t="s">
        <v>195</v>
      </c>
      <c r="C174" s="8" t="s">
        <v>195</v>
      </c>
      <c r="D174" s="5" t="str">
        <f>LRTRIM(CONCATENATE(IF(SUMPRODUCT(-- ISNUMBER(SEARCH({"Auto Number"}, $B174))) &gt; 0, $B174, IF(SUMPRODUCT(-- ISNUMBER(SEARCH({"Lookup","Master-Detail"}, $B174))) &gt; 0,$B174 &amp; "(" &amp; $E174 &amp; ")",IF(SUMPRODUCT(-- ISNUMBER(SEARCH({"Formula","Roll-Up Summary"}, $B174))) &gt; 0,$B174 &amp; " (" &amp; $E174 &amp; ")",IF(SUMPRODUCT(-- ISNUMBER(SEARCH({"Content","Currency","Number","Percent","Text","URL"}, $B174))) &gt; 0,$B174 &amp; "(" &amp; $C174 &amp; ")",$B174)))), "  ", TRIM(IF($S174 = "YES", "(External ID)", "") &amp; " " &amp; IF(SUMPRODUCT(-- ISNUMBER(SEARCH({"Unique","Unique Case Insensitive"}, $R174))) &gt; 0, "(" &amp; $R174 &amp; ")", ""))))</f>
        <v>na</v>
      </c>
      <c r="E174" s="7" t="s">
        <v>195</v>
      </c>
      <c r="F174" s="7" t="s">
        <v>195</v>
      </c>
      <c r="G174" s="7" t="s">
        <v>195</v>
      </c>
      <c r="H174" s="7" t="s">
        <v>195</v>
      </c>
      <c r="I174" s="7" t="s">
        <v>195</v>
      </c>
      <c r="J174" s="7" t="s">
        <v>195</v>
      </c>
      <c r="K174" s="7" t="s">
        <v>195</v>
      </c>
      <c r="L174" s="7" t="s">
        <v>195</v>
      </c>
      <c r="M174" s="7" t="s">
        <v>29</v>
      </c>
      <c r="N174" s="7" t="s">
        <v>29</v>
      </c>
      <c r="O174" s="7" t="s">
        <v>29</v>
      </c>
      <c r="P174" s="7" t="s">
        <v>29</v>
      </c>
      <c r="Q174" s="7" t="s">
        <v>29</v>
      </c>
      <c r="R174" s="7" t="s">
        <v>29</v>
      </c>
      <c r="S174" s="7" t="s">
        <v>29</v>
      </c>
    </row>
    <row r="175" spans="2:19">
      <c r="B175" s="7" t="s">
        <v>195</v>
      </c>
      <c r="C175" s="8" t="s">
        <v>195</v>
      </c>
      <c r="D175" s="5" t="str">
        <f>LRTRIM(CONCATENATE(IF(SUMPRODUCT(-- ISNUMBER(SEARCH({"Auto Number"}, $B175))) &gt; 0, $B175, IF(SUMPRODUCT(-- ISNUMBER(SEARCH({"Lookup","Master-Detail"}, $B175))) &gt; 0,$B175 &amp; "(" &amp; $E175 &amp; ")",IF(SUMPRODUCT(-- ISNUMBER(SEARCH({"Formula","Roll-Up Summary"}, $B175))) &gt; 0,$B175 &amp; " (" &amp; $E175 &amp; ")",IF(SUMPRODUCT(-- ISNUMBER(SEARCH({"Content","Currency","Number","Percent","Text","URL"}, $B175))) &gt; 0,$B175 &amp; "(" &amp; $C175 &amp; ")",$B175)))), "  ", TRIM(IF($S175 = "YES", "(External ID)", "") &amp; " " &amp; IF(SUMPRODUCT(-- ISNUMBER(SEARCH({"Unique","Unique Case Insensitive"}, $R175))) &gt; 0, "(" &amp; $R175 &amp; ")", ""))))</f>
        <v>na</v>
      </c>
      <c r="E175" s="7" t="s">
        <v>195</v>
      </c>
      <c r="F175" s="7" t="s">
        <v>195</v>
      </c>
      <c r="G175" s="7" t="s">
        <v>195</v>
      </c>
      <c r="H175" s="7" t="s">
        <v>195</v>
      </c>
      <c r="I175" s="7" t="s">
        <v>195</v>
      </c>
      <c r="J175" s="7" t="s">
        <v>195</v>
      </c>
      <c r="K175" s="7" t="s">
        <v>195</v>
      </c>
      <c r="L175" s="7" t="s">
        <v>195</v>
      </c>
      <c r="M175" s="7" t="s">
        <v>29</v>
      </c>
      <c r="N175" s="7" t="s">
        <v>29</v>
      </c>
      <c r="O175" s="7" t="s">
        <v>29</v>
      </c>
      <c r="P175" s="7" t="s">
        <v>29</v>
      </c>
      <c r="Q175" s="7" t="s">
        <v>29</v>
      </c>
      <c r="R175" s="7" t="s">
        <v>29</v>
      </c>
      <c r="S175" s="7" t="s">
        <v>29</v>
      </c>
    </row>
    <row r="176" spans="2:19">
      <c r="B176" s="7" t="s">
        <v>195</v>
      </c>
      <c r="C176" s="8" t="s">
        <v>195</v>
      </c>
      <c r="D176" s="5" t="str">
        <f>LRTRIM(CONCATENATE(IF(SUMPRODUCT(-- ISNUMBER(SEARCH({"Auto Number"}, $B176))) &gt; 0, $B176, IF(SUMPRODUCT(-- ISNUMBER(SEARCH({"Lookup","Master-Detail"}, $B176))) &gt; 0,$B176 &amp; "(" &amp; $E176 &amp; ")",IF(SUMPRODUCT(-- ISNUMBER(SEARCH({"Formula","Roll-Up Summary"}, $B176))) &gt; 0,$B176 &amp; " (" &amp; $E176 &amp; ")",IF(SUMPRODUCT(-- ISNUMBER(SEARCH({"Content","Currency","Number","Percent","Text","URL"}, $B176))) &gt; 0,$B176 &amp; "(" &amp; $C176 &amp; ")",$B176)))), "  ", TRIM(IF($S176 = "YES", "(External ID)", "") &amp; " " &amp; IF(SUMPRODUCT(-- ISNUMBER(SEARCH({"Unique","Unique Case Insensitive"}, $R176))) &gt; 0, "(" &amp; $R176 &amp; ")", ""))))</f>
        <v>na</v>
      </c>
      <c r="E176" s="7" t="s">
        <v>195</v>
      </c>
      <c r="F176" s="7" t="s">
        <v>195</v>
      </c>
      <c r="G176" s="7" t="s">
        <v>195</v>
      </c>
      <c r="H176" s="7" t="s">
        <v>195</v>
      </c>
      <c r="I176" s="7" t="s">
        <v>195</v>
      </c>
      <c r="J176" s="7" t="s">
        <v>195</v>
      </c>
      <c r="K176" s="7" t="s">
        <v>195</v>
      </c>
      <c r="L176" s="7" t="s">
        <v>195</v>
      </c>
      <c r="M176" s="7" t="s">
        <v>29</v>
      </c>
      <c r="N176" s="7" t="s">
        <v>29</v>
      </c>
      <c r="O176" s="7" t="s">
        <v>29</v>
      </c>
      <c r="P176" s="7" t="s">
        <v>29</v>
      </c>
      <c r="Q176" s="7" t="s">
        <v>29</v>
      </c>
      <c r="R176" s="7" t="s">
        <v>29</v>
      </c>
      <c r="S176" s="7" t="s">
        <v>29</v>
      </c>
    </row>
    <row r="177" spans="2:19">
      <c r="B177" s="7" t="s">
        <v>195</v>
      </c>
      <c r="C177" s="8" t="s">
        <v>195</v>
      </c>
      <c r="D177" s="5" t="str">
        <f>LRTRIM(CONCATENATE(IF(SUMPRODUCT(-- ISNUMBER(SEARCH({"Auto Number"}, $B177))) &gt; 0, $B177, IF(SUMPRODUCT(-- ISNUMBER(SEARCH({"Lookup","Master-Detail"}, $B177))) &gt; 0,$B177 &amp; "(" &amp; $E177 &amp; ")",IF(SUMPRODUCT(-- ISNUMBER(SEARCH({"Formula","Roll-Up Summary"}, $B177))) &gt; 0,$B177 &amp; " (" &amp; $E177 &amp; ")",IF(SUMPRODUCT(-- ISNUMBER(SEARCH({"Content","Currency","Number","Percent","Text","URL"}, $B177))) &gt; 0,$B177 &amp; "(" &amp; $C177 &amp; ")",$B177)))), "  ", TRIM(IF($S177 = "YES", "(External ID)", "") &amp; " " &amp; IF(SUMPRODUCT(-- ISNUMBER(SEARCH({"Unique","Unique Case Insensitive"}, $R177))) &gt; 0, "(" &amp; $R177 &amp; ")", ""))))</f>
        <v>na</v>
      </c>
      <c r="E177" s="7" t="s">
        <v>195</v>
      </c>
      <c r="F177" s="7" t="s">
        <v>195</v>
      </c>
      <c r="G177" s="7" t="s">
        <v>195</v>
      </c>
      <c r="H177" s="7" t="s">
        <v>195</v>
      </c>
      <c r="I177" s="7" t="s">
        <v>195</v>
      </c>
      <c r="J177" s="7" t="s">
        <v>195</v>
      </c>
      <c r="K177" s="7" t="s">
        <v>195</v>
      </c>
      <c r="L177" s="7" t="s">
        <v>195</v>
      </c>
      <c r="M177" s="7" t="s">
        <v>29</v>
      </c>
      <c r="N177" s="7" t="s">
        <v>29</v>
      </c>
      <c r="O177" s="7" t="s">
        <v>29</v>
      </c>
      <c r="P177" s="7" t="s">
        <v>29</v>
      </c>
      <c r="Q177" s="7" t="s">
        <v>29</v>
      </c>
      <c r="R177" s="7" t="s">
        <v>29</v>
      </c>
      <c r="S177" s="7" t="s">
        <v>29</v>
      </c>
    </row>
    <row r="178" spans="2:19">
      <c r="B178" s="7" t="s">
        <v>195</v>
      </c>
      <c r="C178" s="8" t="s">
        <v>195</v>
      </c>
      <c r="D178" s="5" t="str">
        <f>LRTRIM(CONCATENATE(IF(SUMPRODUCT(-- ISNUMBER(SEARCH({"Auto Number"}, $B178))) &gt; 0, $B178, IF(SUMPRODUCT(-- ISNUMBER(SEARCH({"Lookup","Master-Detail"}, $B178))) &gt; 0,$B178 &amp; "(" &amp; $E178 &amp; ")",IF(SUMPRODUCT(-- ISNUMBER(SEARCH({"Formula","Roll-Up Summary"}, $B178))) &gt; 0,$B178 &amp; " (" &amp; $E178 &amp; ")",IF(SUMPRODUCT(-- ISNUMBER(SEARCH({"Content","Currency","Number","Percent","Text","URL"}, $B178))) &gt; 0,$B178 &amp; "(" &amp; $C178 &amp; ")",$B178)))), "  ", TRIM(IF($S178 = "YES", "(External ID)", "") &amp; " " &amp; IF(SUMPRODUCT(-- ISNUMBER(SEARCH({"Unique","Unique Case Insensitive"}, $R178))) &gt; 0, "(" &amp; $R178 &amp; ")", ""))))</f>
        <v>na</v>
      </c>
      <c r="E178" s="7" t="s">
        <v>195</v>
      </c>
      <c r="F178" s="7" t="s">
        <v>195</v>
      </c>
      <c r="G178" s="7" t="s">
        <v>195</v>
      </c>
      <c r="H178" s="7" t="s">
        <v>195</v>
      </c>
      <c r="I178" s="7" t="s">
        <v>195</v>
      </c>
      <c r="J178" s="7" t="s">
        <v>195</v>
      </c>
      <c r="K178" s="7" t="s">
        <v>195</v>
      </c>
      <c r="L178" s="7" t="s">
        <v>195</v>
      </c>
      <c r="M178" s="7" t="s">
        <v>29</v>
      </c>
      <c r="N178" s="7" t="s">
        <v>29</v>
      </c>
      <c r="O178" s="7" t="s">
        <v>29</v>
      </c>
      <c r="P178" s="7" t="s">
        <v>29</v>
      </c>
      <c r="Q178" s="7" t="s">
        <v>29</v>
      </c>
      <c r="R178" s="7" t="s">
        <v>29</v>
      </c>
      <c r="S178" s="7" t="s">
        <v>29</v>
      </c>
    </row>
    <row r="179" spans="2:19">
      <c r="B179" s="7" t="s">
        <v>195</v>
      </c>
      <c r="C179" s="8" t="s">
        <v>195</v>
      </c>
      <c r="D179" s="5" t="str">
        <f>LRTRIM(CONCATENATE(IF(SUMPRODUCT(-- ISNUMBER(SEARCH({"Auto Number"}, $B179))) &gt; 0, $B179, IF(SUMPRODUCT(-- ISNUMBER(SEARCH({"Lookup","Master-Detail"}, $B179))) &gt; 0,$B179 &amp; "(" &amp; $E179 &amp; ")",IF(SUMPRODUCT(-- ISNUMBER(SEARCH({"Formula","Roll-Up Summary"}, $B179))) &gt; 0,$B179 &amp; " (" &amp; $E179 &amp; ")",IF(SUMPRODUCT(-- ISNUMBER(SEARCH({"Content","Currency","Number","Percent","Text","URL"}, $B179))) &gt; 0,$B179 &amp; "(" &amp; $C179 &amp; ")",$B179)))), "  ", TRIM(IF($S179 = "YES", "(External ID)", "") &amp; " " &amp; IF(SUMPRODUCT(-- ISNUMBER(SEARCH({"Unique","Unique Case Insensitive"}, $R179))) &gt; 0, "(" &amp; $R179 &amp; ")", ""))))</f>
        <v>na</v>
      </c>
      <c r="E179" s="7" t="s">
        <v>195</v>
      </c>
      <c r="F179" s="7" t="s">
        <v>195</v>
      </c>
      <c r="G179" s="7" t="s">
        <v>195</v>
      </c>
      <c r="H179" s="7" t="s">
        <v>195</v>
      </c>
      <c r="I179" s="7" t="s">
        <v>195</v>
      </c>
      <c r="J179" s="7" t="s">
        <v>195</v>
      </c>
      <c r="K179" s="7" t="s">
        <v>195</v>
      </c>
      <c r="L179" s="7" t="s">
        <v>195</v>
      </c>
      <c r="M179" s="7" t="s">
        <v>29</v>
      </c>
      <c r="N179" s="7" t="s">
        <v>29</v>
      </c>
      <c r="O179" s="7" t="s">
        <v>29</v>
      </c>
      <c r="P179" s="7" t="s">
        <v>29</v>
      </c>
      <c r="Q179" s="7" t="s">
        <v>29</v>
      </c>
      <c r="R179" s="7" t="s">
        <v>29</v>
      </c>
      <c r="S179" s="7" t="s">
        <v>29</v>
      </c>
    </row>
    <row r="180" spans="2:19">
      <c r="B180" s="7" t="s">
        <v>195</v>
      </c>
      <c r="C180" s="8" t="s">
        <v>195</v>
      </c>
      <c r="D180" s="5" t="str">
        <f>LRTRIM(CONCATENATE(IF(SUMPRODUCT(-- ISNUMBER(SEARCH({"Auto Number"}, $B180))) &gt; 0, $B180, IF(SUMPRODUCT(-- ISNUMBER(SEARCH({"Lookup","Master-Detail"}, $B180))) &gt; 0,$B180 &amp; "(" &amp; $E180 &amp; ")",IF(SUMPRODUCT(-- ISNUMBER(SEARCH({"Formula","Roll-Up Summary"}, $B180))) &gt; 0,$B180 &amp; " (" &amp; $E180 &amp; ")",IF(SUMPRODUCT(-- ISNUMBER(SEARCH({"Content","Currency","Number","Percent","Text","URL"}, $B180))) &gt; 0,$B180 &amp; "(" &amp; $C180 &amp; ")",$B180)))), "  ", TRIM(IF($S180 = "YES", "(External ID)", "") &amp; " " &amp; IF(SUMPRODUCT(-- ISNUMBER(SEARCH({"Unique","Unique Case Insensitive"}, $R180))) &gt; 0, "(" &amp; $R180 &amp; ")", ""))))</f>
        <v>na</v>
      </c>
      <c r="E180" s="7" t="s">
        <v>195</v>
      </c>
      <c r="F180" s="7" t="s">
        <v>195</v>
      </c>
      <c r="G180" s="7" t="s">
        <v>195</v>
      </c>
      <c r="H180" s="7" t="s">
        <v>195</v>
      </c>
      <c r="I180" s="7" t="s">
        <v>195</v>
      </c>
      <c r="J180" s="7" t="s">
        <v>195</v>
      </c>
      <c r="K180" s="7" t="s">
        <v>195</v>
      </c>
      <c r="L180" s="7" t="s">
        <v>195</v>
      </c>
      <c r="M180" s="7" t="s">
        <v>29</v>
      </c>
      <c r="N180" s="7" t="s">
        <v>29</v>
      </c>
      <c r="O180" s="7" t="s">
        <v>29</v>
      </c>
      <c r="P180" s="7" t="s">
        <v>29</v>
      </c>
      <c r="Q180" s="7" t="s">
        <v>29</v>
      </c>
      <c r="R180" s="7" t="s">
        <v>29</v>
      </c>
      <c r="S180" s="7" t="s">
        <v>29</v>
      </c>
    </row>
    <row r="181" spans="2:19">
      <c r="B181" s="7" t="s">
        <v>195</v>
      </c>
      <c r="C181" s="8" t="s">
        <v>195</v>
      </c>
      <c r="D181" s="5" t="str">
        <f>LRTRIM(CONCATENATE(IF(SUMPRODUCT(-- ISNUMBER(SEARCH({"Auto Number"}, $B181))) &gt; 0, $B181, IF(SUMPRODUCT(-- ISNUMBER(SEARCH({"Lookup","Master-Detail"}, $B181))) &gt; 0,$B181 &amp; "(" &amp; $E181 &amp; ")",IF(SUMPRODUCT(-- ISNUMBER(SEARCH({"Formula","Roll-Up Summary"}, $B181))) &gt; 0,$B181 &amp; " (" &amp; $E181 &amp; ")",IF(SUMPRODUCT(-- ISNUMBER(SEARCH({"Content","Currency","Number","Percent","Text","URL"}, $B181))) &gt; 0,$B181 &amp; "(" &amp; $C181 &amp; ")",$B181)))), "  ", TRIM(IF($S181 = "YES", "(External ID)", "") &amp; " " &amp; IF(SUMPRODUCT(-- ISNUMBER(SEARCH({"Unique","Unique Case Insensitive"}, $R181))) &gt; 0, "(" &amp; $R181 &amp; ")", ""))))</f>
        <v>na</v>
      </c>
      <c r="E181" s="7" t="s">
        <v>195</v>
      </c>
      <c r="F181" s="7" t="s">
        <v>195</v>
      </c>
      <c r="G181" s="7" t="s">
        <v>195</v>
      </c>
      <c r="H181" s="7" t="s">
        <v>195</v>
      </c>
      <c r="I181" s="7" t="s">
        <v>195</v>
      </c>
      <c r="J181" s="7" t="s">
        <v>195</v>
      </c>
      <c r="K181" s="7" t="s">
        <v>195</v>
      </c>
      <c r="L181" s="7" t="s">
        <v>195</v>
      </c>
      <c r="M181" s="7" t="s">
        <v>29</v>
      </c>
      <c r="N181" s="7" t="s">
        <v>29</v>
      </c>
      <c r="O181" s="7" t="s">
        <v>29</v>
      </c>
      <c r="P181" s="7" t="s">
        <v>29</v>
      </c>
      <c r="Q181" s="7" t="s">
        <v>29</v>
      </c>
      <c r="R181" s="7" t="s">
        <v>29</v>
      </c>
      <c r="S181" s="7" t="s">
        <v>29</v>
      </c>
    </row>
    <row r="182" spans="2:19">
      <c r="B182" s="7" t="s">
        <v>195</v>
      </c>
      <c r="C182" s="8" t="s">
        <v>195</v>
      </c>
      <c r="D182" s="5" t="str">
        <f>LRTRIM(CONCATENATE(IF(SUMPRODUCT(-- ISNUMBER(SEARCH({"Auto Number"}, $B182))) &gt; 0, $B182, IF(SUMPRODUCT(-- ISNUMBER(SEARCH({"Lookup","Master-Detail"}, $B182))) &gt; 0,$B182 &amp; "(" &amp; $E182 &amp; ")",IF(SUMPRODUCT(-- ISNUMBER(SEARCH({"Formula","Roll-Up Summary"}, $B182))) &gt; 0,$B182 &amp; " (" &amp; $E182 &amp; ")",IF(SUMPRODUCT(-- ISNUMBER(SEARCH({"Content","Currency","Number","Percent","Text","URL"}, $B182))) &gt; 0,$B182 &amp; "(" &amp; $C182 &amp; ")",$B182)))), "  ", TRIM(IF($S182 = "YES", "(External ID)", "") &amp; " " &amp; IF(SUMPRODUCT(-- ISNUMBER(SEARCH({"Unique","Unique Case Insensitive"}, $R182))) &gt; 0, "(" &amp; $R182 &amp; ")", ""))))</f>
        <v>na</v>
      </c>
      <c r="E182" s="7" t="s">
        <v>195</v>
      </c>
      <c r="F182" s="7" t="s">
        <v>195</v>
      </c>
      <c r="G182" s="7" t="s">
        <v>195</v>
      </c>
      <c r="H182" s="7" t="s">
        <v>195</v>
      </c>
      <c r="I182" s="7" t="s">
        <v>195</v>
      </c>
      <c r="J182" s="7" t="s">
        <v>195</v>
      </c>
      <c r="K182" s="7" t="s">
        <v>195</v>
      </c>
      <c r="L182" s="7" t="s">
        <v>195</v>
      </c>
      <c r="M182" s="7" t="s">
        <v>29</v>
      </c>
      <c r="N182" s="7" t="s">
        <v>29</v>
      </c>
      <c r="O182" s="7" t="s">
        <v>29</v>
      </c>
      <c r="P182" s="7" t="s">
        <v>29</v>
      </c>
      <c r="Q182" s="7" t="s">
        <v>29</v>
      </c>
      <c r="R182" s="7" t="s">
        <v>29</v>
      </c>
      <c r="S182" s="7" t="s">
        <v>29</v>
      </c>
    </row>
    <row r="183" spans="2:19">
      <c r="B183" s="7" t="s">
        <v>195</v>
      </c>
      <c r="C183" s="8" t="s">
        <v>195</v>
      </c>
      <c r="D183" s="5" t="str">
        <f>LRTRIM(CONCATENATE(IF(SUMPRODUCT(-- ISNUMBER(SEARCH({"Auto Number"}, $B183))) &gt; 0, $B183, IF(SUMPRODUCT(-- ISNUMBER(SEARCH({"Lookup","Master-Detail"}, $B183))) &gt; 0,$B183 &amp; "(" &amp; $E183 &amp; ")",IF(SUMPRODUCT(-- ISNUMBER(SEARCH({"Formula","Roll-Up Summary"}, $B183))) &gt; 0,$B183 &amp; " (" &amp; $E183 &amp; ")",IF(SUMPRODUCT(-- ISNUMBER(SEARCH({"Content","Currency","Number","Percent","Text","URL"}, $B183))) &gt; 0,$B183 &amp; "(" &amp; $C183 &amp; ")",$B183)))), "  ", TRIM(IF($S183 = "YES", "(External ID)", "") &amp; " " &amp; IF(SUMPRODUCT(-- ISNUMBER(SEARCH({"Unique","Unique Case Insensitive"}, $R183))) &gt; 0, "(" &amp; $R183 &amp; ")", ""))))</f>
        <v>na</v>
      </c>
      <c r="E183" s="7" t="s">
        <v>195</v>
      </c>
      <c r="F183" s="7" t="s">
        <v>195</v>
      </c>
      <c r="G183" s="7" t="s">
        <v>195</v>
      </c>
      <c r="H183" s="7" t="s">
        <v>195</v>
      </c>
      <c r="I183" s="7" t="s">
        <v>195</v>
      </c>
      <c r="J183" s="7" t="s">
        <v>195</v>
      </c>
      <c r="K183" s="7" t="s">
        <v>195</v>
      </c>
      <c r="L183" s="7" t="s">
        <v>195</v>
      </c>
      <c r="M183" s="7" t="s">
        <v>29</v>
      </c>
      <c r="N183" s="7" t="s">
        <v>29</v>
      </c>
      <c r="O183" s="7" t="s">
        <v>29</v>
      </c>
      <c r="P183" s="7" t="s">
        <v>29</v>
      </c>
      <c r="Q183" s="7" t="s">
        <v>29</v>
      </c>
      <c r="R183" s="7" t="s">
        <v>29</v>
      </c>
      <c r="S183" s="7" t="s">
        <v>29</v>
      </c>
    </row>
    <row r="184" spans="2:19">
      <c r="B184" s="7" t="s">
        <v>195</v>
      </c>
      <c r="C184" s="8" t="s">
        <v>195</v>
      </c>
      <c r="D184" s="5" t="str">
        <f>LRTRIM(CONCATENATE(IF(SUMPRODUCT(-- ISNUMBER(SEARCH({"Auto Number"}, $B184))) &gt; 0, $B184, IF(SUMPRODUCT(-- ISNUMBER(SEARCH({"Lookup","Master-Detail"}, $B184))) &gt; 0,$B184 &amp; "(" &amp; $E184 &amp; ")",IF(SUMPRODUCT(-- ISNUMBER(SEARCH({"Formula","Roll-Up Summary"}, $B184))) &gt; 0,$B184 &amp; " (" &amp; $E184 &amp; ")",IF(SUMPRODUCT(-- ISNUMBER(SEARCH({"Content","Currency","Number","Percent","Text","URL"}, $B184))) &gt; 0,$B184 &amp; "(" &amp; $C184 &amp; ")",$B184)))), "  ", TRIM(IF($S184 = "YES", "(External ID)", "") &amp; " " &amp; IF(SUMPRODUCT(-- ISNUMBER(SEARCH({"Unique","Unique Case Insensitive"}, $R184))) &gt; 0, "(" &amp; $R184 &amp; ")", ""))))</f>
        <v>na</v>
      </c>
      <c r="E184" s="7" t="s">
        <v>195</v>
      </c>
      <c r="F184" s="7" t="s">
        <v>195</v>
      </c>
      <c r="G184" s="7" t="s">
        <v>195</v>
      </c>
      <c r="H184" s="7" t="s">
        <v>195</v>
      </c>
      <c r="I184" s="7" t="s">
        <v>195</v>
      </c>
      <c r="J184" s="7" t="s">
        <v>195</v>
      </c>
      <c r="K184" s="7" t="s">
        <v>195</v>
      </c>
      <c r="L184" s="7" t="s">
        <v>195</v>
      </c>
      <c r="M184" s="7" t="s">
        <v>29</v>
      </c>
      <c r="N184" s="7" t="s">
        <v>29</v>
      </c>
      <c r="O184" s="7" t="s">
        <v>29</v>
      </c>
      <c r="P184" s="7" t="s">
        <v>29</v>
      </c>
      <c r="Q184" s="7" t="s">
        <v>29</v>
      </c>
      <c r="R184" s="7" t="s">
        <v>29</v>
      </c>
      <c r="S184" s="7" t="s">
        <v>29</v>
      </c>
    </row>
    <row r="185" spans="2:19">
      <c r="B185" s="7" t="s">
        <v>195</v>
      </c>
      <c r="C185" s="8" t="s">
        <v>195</v>
      </c>
      <c r="D185" s="5" t="str">
        <f>LRTRIM(CONCATENATE(IF(SUMPRODUCT(-- ISNUMBER(SEARCH({"Auto Number"}, $B185))) &gt; 0, $B185, IF(SUMPRODUCT(-- ISNUMBER(SEARCH({"Lookup","Master-Detail"}, $B185))) &gt; 0,$B185 &amp; "(" &amp; $E185 &amp; ")",IF(SUMPRODUCT(-- ISNUMBER(SEARCH({"Formula","Roll-Up Summary"}, $B185))) &gt; 0,$B185 &amp; " (" &amp; $E185 &amp; ")",IF(SUMPRODUCT(-- ISNUMBER(SEARCH({"Content","Currency","Number","Percent","Text","URL"}, $B185))) &gt; 0,$B185 &amp; "(" &amp; $C185 &amp; ")",$B185)))), "  ", TRIM(IF($S185 = "YES", "(External ID)", "") &amp; " " &amp; IF(SUMPRODUCT(-- ISNUMBER(SEARCH({"Unique","Unique Case Insensitive"}, $R185))) &gt; 0, "(" &amp; $R185 &amp; ")", ""))))</f>
        <v>na</v>
      </c>
      <c r="E185" s="7" t="s">
        <v>195</v>
      </c>
      <c r="F185" s="7" t="s">
        <v>195</v>
      </c>
      <c r="G185" s="7" t="s">
        <v>195</v>
      </c>
      <c r="H185" s="7" t="s">
        <v>195</v>
      </c>
      <c r="I185" s="7" t="s">
        <v>195</v>
      </c>
      <c r="J185" s="7" t="s">
        <v>195</v>
      </c>
      <c r="K185" s="7" t="s">
        <v>195</v>
      </c>
      <c r="L185" s="7" t="s">
        <v>195</v>
      </c>
      <c r="M185" s="7" t="s">
        <v>29</v>
      </c>
      <c r="N185" s="7" t="s">
        <v>29</v>
      </c>
      <c r="O185" s="7" t="s">
        <v>29</v>
      </c>
      <c r="P185" s="7" t="s">
        <v>29</v>
      </c>
      <c r="Q185" s="7" t="s">
        <v>29</v>
      </c>
      <c r="R185" s="7" t="s">
        <v>29</v>
      </c>
      <c r="S185" s="7" t="s">
        <v>29</v>
      </c>
    </row>
    <row r="186" spans="2:19">
      <c r="B186" s="7" t="s">
        <v>195</v>
      </c>
      <c r="C186" s="8" t="s">
        <v>195</v>
      </c>
      <c r="D186" s="5" t="str">
        <f>LRTRIM(CONCATENATE(IF(SUMPRODUCT(-- ISNUMBER(SEARCH({"Auto Number"}, $B186))) &gt; 0, $B186, IF(SUMPRODUCT(-- ISNUMBER(SEARCH({"Lookup","Master-Detail"}, $B186))) &gt; 0,$B186 &amp; "(" &amp; $E186 &amp; ")",IF(SUMPRODUCT(-- ISNUMBER(SEARCH({"Formula","Roll-Up Summary"}, $B186))) &gt; 0,$B186 &amp; " (" &amp; $E186 &amp; ")",IF(SUMPRODUCT(-- ISNUMBER(SEARCH({"Content","Currency","Number","Percent","Text","URL"}, $B186))) &gt; 0,$B186 &amp; "(" &amp; $C186 &amp; ")",$B186)))), "  ", TRIM(IF($S186 = "YES", "(External ID)", "") &amp; " " &amp; IF(SUMPRODUCT(-- ISNUMBER(SEARCH({"Unique","Unique Case Insensitive"}, $R186))) &gt; 0, "(" &amp; $R186 &amp; ")", ""))))</f>
        <v>na</v>
      </c>
      <c r="E186" s="7" t="s">
        <v>195</v>
      </c>
      <c r="F186" s="7" t="s">
        <v>195</v>
      </c>
      <c r="G186" s="7" t="s">
        <v>195</v>
      </c>
      <c r="H186" s="7" t="s">
        <v>195</v>
      </c>
      <c r="I186" s="7" t="s">
        <v>195</v>
      </c>
      <c r="J186" s="7" t="s">
        <v>195</v>
      </c>
      <c r="K186" s="7" t="s">
        <v>195</v>
      </c>
      <c r="L186" s="7" t="s">
        <v>195</v>
      </c>
      <c r="M186" s="7" t="s">
        <v>29</v>
      </c>
      <c r="N186" s="7" t="s">
        <v>29</v>
      </c>
      <c r="O186" s="7" t="s">
        <v>29</v>
      </c>
      <c r="P186" s="7" t="s">
        <v>29</v>
      </c>
      <c r="Q186" s="7" t="s">
        <v>29</v>
      </c>
      <c r="R186" s="7" t="s">
        <v>29</v>
      </c>
      <c r="S186" s="7" t="s">
        <v>29</v>
      </c>
    </row>
    <row r="187" spans="2:19">
      <c r="B187" s="7" t="s">
        <v>195</v>
      </c>
      <c r="C187" s="8" t="s">
        <v>195</v>
      </c>
      <c r="D187" s="5" t="str">
        <f>LRTRIM(CONCATENATE(IF(SUMPRODUCT(-- ISNUMBER(SEARCH({"Auto Number"}, $B187))) &gt; 0, $B187, IF(SUMPRODUCT(-- ISNUMBER(SEARCH({"Lookup","Master-Detail"}, $B187))) &gt; 0,$B187 &amp; "(" &amp; $E187 &amp; ")",IF(SUMPRODUCT(-- ISNUMBER(SEARCH({"Formula","Roll-Up Summary"}, $B187))) &gt; 0,$B187 &amp; " (" &amp; $E187 &amp; ")",IF(SUMPRODUCT(-- ISNUMBER(SEARCH({"Content","Currency","Number","Percent","Text","URL"}, $B187))) &gt; 0,$B187 &amp; "(" &amp; $C187 &amp; ")",$B187)))), "  ", TRIM(IF($S187 = "YES", "(External ID)", "") &amp; " " &amp; IF(SUMPRODUCT(-- ISNUMBER(SEARCH({"Unique","Unique Case Insensitive"}, $R187))) &gt; 0, "(" &amp; $R187 &amp; ")", ""))))</f>
        <v>na</v>
      </c>
      <c r="E187" s="7" t="s">
        <v>195</v>
      </c>
      <c r="F187" s="7" t="s">
        <v>195</v>
      </c>
      <c r="G187" s="7" t="s">
        <v>195</v>
      </c>
      <c r="H187" s="7" t="s">
        <v>195</v>
      </c>
      <c r="I187" s="7" t="s">
        <v>195</v>
      </c>
      <c r="J187" s="7" t="s">
        <v>195</v>
      </c>
      <c r="K187" s="7" t="s">
        <v>195</v>
      </c>
      <c r="L187" s="7" t="s">
        <v>195</v>
      </c>
      <c r="M187" s="7" t="s">
        <v>29</v>
      </c>
      <c r="N187" s="7" t="s">
        <v>29</v>
      </c>
      <c r="O187" s="7" t="s">
        <v>29</v>
      </c>
      <c r="P187" s="7" t="s">
        <v>29</v>
      </c>
      <c r="Q187" s="7" t="s">
        <v>29</v>
      </c>
      <c r="R187" s="7" t="s">
        <v>29</v>
      </c>
      <c r="S187" s="7" t="s">
        <v>29</v>
      </c>
    </row>
    <row r="188" spans="2:19">
      <c r="B188" s="7" t="s">
        <v>195</v>
      </c>
      <c r="C188" s="8" t="s">
        <v>195</v>
      </c>
      <c r="D188" s="5" t="str">
        <f>LRTRIM(CONCATENATE(IF(SUMPRODUCT(-- ISNUMBER(SEARCH({"Auto Number"}, $B188))) &gt; 0, $B188, IF(SUMPRODUCT(-- ISNUMBER(SEARCH({"Lookup","Master-Detail"}, $B188))) &gt; 0,$B188 &amp; "(" &amp; $E188 &amp; ")",IF(SUMPRODUCT(-- ISNUMBER(SEARCH({"Formula","Roll-Up Summary"}, $B188))) &gt; 0,$B188 &amp; " (" &amp; $E188 &amp; ")",IF(SUMPRODUCT(-- ISNUMBER(SEARCH({"Content","Currency","Number","Percent","Text","URL"}, $B188))) &gt; 0,$B188 &amp; "(" &amp; $C188 &amp; ")",$B188)))), "  ", TRIM(IF($S188 = "YES", "(External ID)", "") &amp; " " &amp; IF(SUMPRODUCT(-- ISNUMBER(SEARCH({"Unique","Unique Case Insensitive"}, $R188))) &gt; 0, "(" &amp; $R188 &amp; ")", ""))))</f>
        <v>na</v>
      </c>
      <c r="E188" s="7" t="s">
        <v>195</v>
      </c>
      <c r="F188" s="7" t="s">
        <v>195</v>
      </c>
      <c r="G188" s="7" t="s">
        <v>195</v>
      </c>
      <c r="H188" s="7" t="s">
        <v>195</v>
      </c>
      <c r="I188" s="7" t="s">
        <v>195</v>
      </c>
      <c r="J188" s="7" t="s">
        <v>195</v>
      </c>
      <c r="K188" s="7" t="s">
        <v>195</v>
      </c>
      <c r="L188" s="7" t="s">
        <v>195</v>
      </c>
      <c r="M188" s="7" t="s">
        <v>29</v>
      </c>
      <c r="N188" s="7" t="s">
        <v>29</v>
      </c>
      <c r="O188" s="7" t="s">
        <v>29</v>
      </c>
      <c r="P188" s="7" t="s">
        <v>29</v>
      </c>
      <c r="Q188" s="7" t="s">
        <v>29</v>
      </c>
      <c r="R188" s="7" t="s">
        <v>29</v>
      </c>
      <c r="S188" s="7" t="s">
        <v>29</v>
      </c>
    </row>
    <row r="189" spans="2:19">
      <c r="B189" s="7" t="s">
        <v>195</v>
      </c>
      <c r="C189" s="8" t="s">
        <v>195</v>
      </c>
      <c r="D189" s="5" t="str">
        <f>LRTRIM(CONCATENATE(IF(SUMPRODUCT(-- ISNUMBER(SEARCH({"Auto Number"}, $B189))) &gt; 0, $B189, IF(SUMPRODUCT(-- ISNUMBER(SEARCH({"Lookup","Master-Detail"}, $B189))) &gt; 0,$B189 &amp; "(" &amp; $E189 &amp; ")",IF(SUMPRODUCT(-- ISNUMBER(SEARCH({"Formula","Roll-Up Summary"}, $B189))) &gt; 0,$B189 &amp; " (" &amp; $E189 &amp; ")",IF(SUMPRODUCT(-- ISNUMBER(SEARCH({"Content","Currency","Number","Percent","Text","URL"}, $B189))) &gt; 0,$B189 &amp; "(" &amp; $C189 &amp; ")",$B189)))), "  ", TRIM(IF($S189 = "YES", "(External ID)", "") &amp; " " &amp; IF(SUMPRODUCT(-- ISNUMBER(SEARCH({"Unique","Unique Case Insensitive"}, $R189))) &gt; 0, "(" &amp; $R189 &amp; ")", ""))))</f>
        <v>na</v>
      </c>
      <c r="E189" s="7" t="s">
        <v>195</v>
      </c>
      <c r="F189" s="7" t="s">
        <v>195</v>
      </c>
      <c r="G189" s="7" t="s">
        <v>195</v>
      </c>
      <c r="H189" s="7" t="s">
        <v>195</v>
      </c>
      <c r="I189" s="7" t="s">
        <v>195</v>
      </c>
      <c r="J189" s="7" t="s">
        <v>195</v>
      </c>
      <c r="K189" s="7" t="s">
        <v>195</v>
      </c>
      <c r="L189" s="7" t="s">
        <v>195</v>
      </c>
      <c r="M189" s="7" t="s">
        <v>29</v>
      </c>
      <c r="N189" s="7" t="s">
        <v>29</v>
      </c>
      <c r="O189" s="7" t="s">
        <v>29</v>
      </c>
      <c r="P189" s="7" t="s">
        <v>29</v>
      </c>
      <c r="Q189" s="7" t="s">
        <v>29</v>
      </c>
      <c r="R189" s="7" t="s">
        <v>29</v>
      </c>
      <c r="S189" s="7" t="s">
        <v>29</v>
      </c>
    </row>
    <row r="190" spans="2:19">
      <c r="B190" s="7" t="s">
        <v>195</v>
      </c>
      <c r="C190" s="8" t="s">
        <v>195</v>
      </c>
      <c r="D190" s="5" t="str">
        <f>LRTRIM(CONCATENATE(IF(SUMPRODUCT(-- ISNUMBER(SEARCH({"Auto Number"}, $B190))) &gt; 0, $B190, IF(SUMPRODUCT(-- ISNUMBER(SEARCH({"Lookup","Master-Detail"}, $B190))) &gt; 0,$B190 &amp; "(" &amp; $E190 &amp; ")",IF(SUMPRODUCT(-- ISNUMBER(SEARCH({"Formula","Roll-Up Summary"}, $B190))) &gt; 0,$B190 &amp; " (" &amp; $E190 &amp; ")",IF(SUMPRODUCT(-- ISNUMBER(SEARCH({"Content","Currency","Number","Percent","Text","URL"}, $B190))) &gt; 0,$B190 &amp; "(" &amp; $C190 &amp; ")",$B190)))), "  ", TRIM(IF($S190 = "YES", "(External ID)", "") &amp; " " &amp; IF(SUMPRODUCT(-- ISNUMBER(SEARCH({"Unique","Unique Case Insensitive"}, $R190))) &gt; 0, "(" &amp; $R190 &amp; ")", ""))))</f>
        <v>na</v>
      </c>
      <c r="E190" s="7" t="s">
        <v>195</v>
      </c>
      <c r="F190" s="7" t="s">
        <v>195</v>
      </c>
      <c r="G190" s="7" t="s">
        <v>195</v>
      </c>
      <c r="H190" s="7" t="s">
        <v>195</v>
      </c>
      <c r="I190" s="7" t="s">
        <v>195</v>
      </c>
      <c r="J190" s="7" t="s">
        <v>195</v>
      </c>
      <c r="K190" s="7" t="s">
        <v>195</v>
      </c>
      <c r="L190" s="7" t="s">
        <v>195</v>
      </c>
      <c r="M190" s="7" t="s">
        <v>29</v>
      </c>
      <c r="N190" s="7" t="s">
        <v>29</v>
      </c>
      <c r="O190" s="7" t="s">
        <v>29</v>
      </c>
      <c r="P190" s="7" t="s">
        <v>29</v>
      </c>
      <c r="Q190" s="7" t="s">
        <v>29</v>
      </c>
      <c r="R190" s="7" t="s">
        <v>29</v>
      </c>
      <c r="S190" s="7" t="s">
        <v>29</v>
      </c>
    </row>
    <row r="191" spans="2:19">
      <c r="B191" s="7" t="s">
        <v>195</v>
      </c>
      <c r="C191" s="8" t="s">
        <v>195</v>
      </c>
      <c r="D191" s="5" t="str">
        <f>LRTRIM(CONCATENATE(IF(SUMPRODUCT(-- ISNUMBER(SEARCH({"Auto Number"}, $B191))) &gt; 0, $B191, IF(SUMPRODUCT(-- ISNUMBER(SEARCH({"Lookup","Master-Detail"}, $B191))) &gt; 0,$B191 &amp; "(" &amp; $E191 &amp; ")",IF(SUMPRODUCT(-- ISNUMBER(SEARCH({"Formula","Roll-Up Summary"}, $B191))) &gt; 0,$B191 &amp; " (" &amp; $E191 &amp; ")",IF(SUMPRODUCT(-- ISNUMBER(SEARCH({"Content","Currency","Number","Percent","Text","URL"}, $B191))) &gt; 0,$B191 &amp; "(" &amp; $C191 &amp; ")",$B191)))), "  ", TRIM(IF($S191 = "YES", "(External ID)", "") &amp; " " &amp; IF(SUMPRODUCT(-- ISNUMBER(SEARCH({"Unique","Unique Case Insensitive"}, $R191))) &gt; 0, "(" &amp; $R191 &amp; ")", ""))))</f>
        <v>na</v>
      </c>
      <c r="E191" s="7" t="s">
        <v>195</v>
      </c>
      <c r="F191" s="7" t="s">
        <v>195</v>
      </c>
      <c r="G191" s="7" t="s">
        <v>195</v>
      </c>
      <c r="H191" s="7" t="s">
        <v>195</v>
      </c>
      <c r="I191" s="7" t="s">
        <v>195</v>
      </c>
      <c r="J191" s="7" t="s">
        <v>195</v>
      </c>
      <c r="K191" s="7" t="s">
        <v>195</v>
      </c>
      <c r="L191" s="7" t="s">
        <v>195</v>
      </c>
      <c r="M191" s="7" t="s">
        <v>29</v>
      </c>
      <c r="N191" s="7" t="s">
        <v>29</v>
      </c>
      <c r="O191" s="7" t="s">
        <v>29</v>
      </c>
      <c r="P191" s="7" t="s">
        <v>29</v>
      </c>
      <c r="Q191" s="7" t="s">
        <v>29</v>
      </c>
      <c r="R191" s="7" t="s">
        <v>29</v>
      </c>
      <c r="S191" s="7" t="s">
        <v>29</v>
      </c>
    </row>
    <row r="192" spans="2:19">
      <c r="B192" s="7" t="s">
        <v>195</v>
      </c>
      <c r="C192" s="8" t="s">
        <v>195</v>
      </c>
      <c r="D192" s="5" t="str">
        <f>LRTRIM(CONCATENATE(IF(SUMPRODUCT(-- ISNUMBER(SEARCH({"Auto Number"}, $B192))) &gt; 0, $B192, IF(SUMPRODUCT(-- ISNUMBER(SEARCH({"Lookup","Master-Detail"}, $B192))) &gt; 0,$B192 &amp; "(" &amp; $E192 &amp; ")",IF(SUMPRODUCT(-- ISNUMBER(SEARCH({"Formula","Roll-Up Summary"}, $B192))) &gt; 0,$B192 &amp; " (" &amp; $E192 &amp; ")",IF(SUMPRODUCT(-- ISNUMBER(SEARCH({"Content","Currency","Number","Percent","Text","URL"}, $B192))) &gt; 0,$B192 &amp; "(" &amp; $C192 &amp; ")",$B192)))), "  ", TRIM(IF($S192 = "YES", "(External ID)", "") &amp; " " &amp; IF(SUMPRODUCT(-- ISNUMBER(SEARCH({"Unique","Unique Case Insensitive"}, $R192))) &gt; 0, "(" &amp; $R192 &amp; ")", ""))))</f>
        <v>na</v>
      </c>
      <c r="E192" s="7" t="s">
        <v>195</v>
      </c>
      <c r="F192" s="7" t="s">
        <v>195</v>
      </c>
      <c r="G192" s="7" t="s">
        <v>195</v>
      </c>
      <c r="H192" s="7" t="s">
        <v>195</v>
      </c>
      <c r="I192" s="7" t="s">
        <v>195</v>
      </c>
      <c r="J192" s="7" t="s">
        <v>195</v>
      </c>
      <c r="K192" s="7" t="s">
        <v>195</v>
      </c>
      <c r="L192" s="7" t="s">
        <v>195</v>
      </c>
      <c r="M192" s="7" t="s">
        <v>29</v>
      </c>
      <c r="N192" s="7" t="s">
        <v>29</v>
      </c>
      <c r="O192" s="7" t="s">
        <v>29</v>
      </c>
      <c r="P192" s="7" t="s">
        <v>29</v>
      </c>
      <c r="Q192" s="7" t="s">
        <v>29</v>
      </c>
      <c r="R192" s="7" t="s">
        <v>29</v>
      </c>
      <c r="S192" s="7" t="s">
        <v>29</v>
      </c>
    </row>
    <row r="193" spans="2:19">
      <c r="B193" s="7" t="s">
        <v>195</v>
      </c>
      <c r="C193" s="8" t="s">
        <v>195</v>
      </c>
      <c r="D193" s="5" t="str">
        <f>LRTRIM(CONCATENATE(IF(SUMPRODUCT(-- ISNUMBER(SEARCH({"Auto Number"}, $B193))) &gt; 0, $B193, IF(SUMPRODUCT(-- ISNUMBER(SEARCH({"Lookup","Master-Detail"}, $B193))) &gt; 0,$B193 &amp; "(" &amp; $E193 &amp; ")",IF(SUMPRODUCT(-- ISNUMBER(SEARCH({"Formula","Roll-Up Summary"}, $B193))) &gt; 0,$B193 &amp; " (" &amp; $E193 &amp; ")",IF(SUMPRODUCT(-- ISNUMBER(SEARCH({"Content","Currency","Number","Percent","Text","URL"}, $B193))) &gt; 0,$B193 &amp; "(" &amp; $C193 &amp; ")",$B193)))), "  ", TRIM(IF($S193 = "YES", "(External ID)", "") &amp; " " &amp; IF(SUMPRODUCT(-- ISNUMBER(SEARCH({"Unique","Unique Case Insensitive"}, $R193))) &gt; 0, "(" &amp; $R193 &amp; ")", ""))))</f>
        <v>na</v>
      </c>
      <c r="E193" s="7" t="s">
        <v>195</v>
      </c>
      <c r="F193" s="7" t="s">
        <v>195</v>
      </c>
      <c r="G193" s="7" t="s">
        <v>195</v>
      </c>
      <c r="H193" s="7" t="s">
        <v>195</v>
      </c>
      <c r="I193" s="7" t="s">
        <v>195</v>
      </c>
      <c r="J193" s="7" t="s">
        <v>195</v>
      </c>
      <c r="K193" s="7" t="s">
        <v>195</v>
      </c>
      <c r="L193" s="7" t="s">
        <v>195</v>
      </c>
      <c r="M193" s="7" t="s">
        <v>29</v>
      </c>
      <c r="N193" s="7" t="s">
        <v>29</v>
      </c>
      <c r="O193" s="7" t="s">
        <v>29</v>
      </c>
      <c r="P193" s="7" t="s">
        <v>29</v>
      </c>
      <c r="Q193" s="7" t="s">
        <v>29</v>
      </c>
      <c r="R193" s="7" t="s">
        <v>29</v>
      </c>
      <c r="S193" s="7" t="s">
        <v>29</v>
      </c>
    </row>
    <row r="194" spans="2:19">
      <c r="B194" s="7" t="s">
        <v>195</v>
      </c>
      <c r="C194" s="8" t="s">
        <v>195</v>
      </c>
      <c r="D194" s="5" t="str">
        <f>LRTRIM(CONCATENATE(IF(SUMPRODUCT(-- ISNUMBER(SEARCH({"Auto Number"}, $B194))) &gt; 0, $B194, IF(SUMPRODUCT(-- ISNUMBER(SEARCH({"Lookup","Master-Detail"}, $B194))) &gt; 0,$B194 &amp; "(" &amp; $E194 &amp; ")",IF(SUMPRODUCT(-- ISNUMBER(SEARCH({"Formula","Roll-Up Summary"}, $B194))) &gt; 0,$B194 &amp; " (" &amp; $E194 &amp; ")",IF(SUMPRODUCT(-- ISNUMBER(SEARCH({"Content","Currency","Number","Percent","Text","URL"}, $B194))) &gt; 0,$B194 &amp; "(" &amp; $C194 &amp; ")",$B194)))), "  ", TRIM(IF($S194 = "YES", "(External ID)", "") &amp; " " &amp; IF(SUMPRODUCT(-- ISNUMBER(SEARCH({"Unique","Unique Case Insensitive"}, $R194))) &gt; 0, "(" &amp; $R194 &amp; ")", ""))))</f>
        <v>na</v>
      </c>
      <c r="E194" s="7" t="s">
        <v>195</v>
      </c>
      <c r="F194" s="7" t="s">
        <v>195</v>
      </c>
      <c r="G194" s="7" t="s">
        <v>195</v>
      </c>
      <c r="H194" s="7" t="s">
        <v>195</v>
      </c>
      <c r="I194" s="7" t="s">
        <v>195</v>
      </c>
      <c r="J194" s="7" t="s">
        <v>195</v>
      </c>
      <c r="K194" s="7" t="s">
        <v>195</v>
      </c>
      <c r="L194" s="7" t="s">
        <v>195</v>
      </c>
      <c r="M194" s="7" t="s">
        <v>29</v>
      </c>
      <c r="N194" s="7" t="s">
        <v>29</v>
      </c>
      <c r="O194" s="7" t="s">
        <v>29</v>
      </c>
      <c r="P194" s="7" t="s">
        <v>29</v>
      </c>
      <c r="Q194" s="7" t="s">
        <v>29</v>
      </c>
      <c r="R194" s="7" t="s">
        <v>29</v>
      </c>
      <c r="S194" s="7" t="s">
        <v>29</v>
      </c>
    </row>
    <row r="195" spans="2:19">
      <c r="B195" s="7" t="s">
        <v>195</v>
      </c>
      <c r="C195" s="8" t="s">
        <v>195</v>
      </c>
      <c r="D195" s="5" t="str">
        <f>LRTRIM(CONCATENATE(IF(SUMPRODUCT(-- ISNUMBER(SEARCH({"Auto Number"}, $B195))) &gt; 0, $B195, IF(SUMPRODUCT(-- ISNUMBER(SEARCH({"Lookup","Master-Detail"}, $B195))) &gt; 0,$B195 &amp; "(" &amp; $E195 &amp; ")",IF(SUMPRODUCT(-- ISNUMBER(SEARCH({"Formula","Roll-Up Summary"}, $B195))) &gt; 0,$B195 &amp; " (" &amp; $E195 &amp; ")",IF(SUMPRODUCT(-- ISNUMBER(SEARCH({"Content","Currency","Number","Percent","Text","URL"}, $B195))) &gt; 0,$B195 &amp; "(" &amp; $C195 &amp; ")",$B195)))), "  ", TRIM(IF($S195 = "YES", "(External ID)", "") &amp; " " &amp; IF(SUMPRODUCT(-- ISNUMBER(SEARCH({"Unique","Unique Case Insensitive"}, $R195))) &gt; 0, "(" &amp; $R195 &amp; ")", ""))))</f>
        <v>na</v>
      </c>
      <c r="E195" s="7" t="s">
        <v>195</v>
      </c>
      <c r="F195" s="7" t="s">
        <v>195</v>
      </c>
      <c r="G195" s="7" t="s">
        <v>195</v>
      </c>
      <c r="H195" s="7" t="s">
        <v>195</v>
      </c>
      <c r="I195" s="7" t="s">
        <v>195</v>
      </c>
      <c r="J195" s="7" t="s">
        <v>195</v>
      </c>
      <c r="K195" s="7" t="s">
        <v>195</v>
      </c>
      <c r="L195" s="7" t="s">
        <v>195</v>
      </c>
      <c r="M195" s="7" t="s">
        <v>29</v>
      </c>
      <c r="N195" s="7" t="s">
        <v>29</v>
      </c>
      <c r="O195" s="7" t="s">
        <v>29</v>
      </c>
      <c r="P195" s="7" t="s">
        <v>29</v>
      </c>
      <c r="Q195" s="7" t="s">
        <v>29</v>
      </c>
      <c r="R195" s="7" t="s">
        <v>29</v>
      </c>
      <c r="S195" s="7" t="s">
        <v>29</v>
      </c>
    </row>
    <row r="196" spans="2:19">
      <c r="B196" s="7" t="s">
        <v>195</v>
      </c>
      <c r="C196" s="8" t="s">
        <v>195</v>
      </c>
      <c r="D196" s="5" t="str">
        <f>LRTRIM(CONCATENATE(IF(SUMPRODUCT(-- ISNUMBER(SEARCH({"Auto Number"}, $B196))) &gt; 0, $B196, IF(SUMPRODUCT(-- ISNUMBER(SEARCH({"Lookup","Master-Detail"}, $B196))) &gt; 0,$B196 &amp; "(" &amp; $E196 &amp; ")",IF(SUMPRODUCT(-- ISNUMBER(SEARCH({"Formula","Roll-Up Summary"}, $B196))) &gt; 0,$B196 &amp; " (" &amp; $E196 &amp; ")",IF(SUMPRODUCT(-- ISNUMBER(SEARCH({"Content","Currency","Number","Percent","Text","URL"}, $B196))) &gt; 0,$B196 &amp; "(" &amp; $C196 &amp; ")",$B196)))), "  ", TRIM(IF($S196 = "YES", "(External ID)", "") &amp; " " &amp; IF(SUMPRODUCT(-- ISNUMBER(SEARCH({"Unique","Unique Case Insensitive"}, $R196))) &gt; 0, "(" &amp; $R196 &amp; ")", ""))))</f>
        <v>na</v>
      </c>
      <c r="E196" s="7" t="s">
        <v>195</v>
      </c>
      <c r="F196" s="7" t="s">
        <v>195</v>
      </c>
      <c r="G196" s="7" t="s">
        <v>195</v>
      </c>
      <c r="H196" s="7" t="s">
        <v>195</v>
      </c>
      <c r="I196" s="7" t="s">
        <v>195</v>
      </c>
      <c r="J196" s="7" t="s">
        <v>195</v>
      </c>
      <c r="K196" s="7" t="s">
        <v>195</v>
      </c>
      <c r="L196" s="7" t="s">
        <v>195</v>
      </c>
      <c r="M196" s="7" t="s">
        <v>29</v>
      </c>
      <c r="N196" s="7" t="s">
        <v>29</v>
      </c>
      <c r="O196" s="7" t="s">
        <v>29</v>
      </c>
      <c r="P196" s="7" t="s">
        <v>29</v>
      </c>
      <c r="Q196" s="7" t="s">
        <v>29</v>
      </c>
      <c r="R196" s="7" t="s">
        <v>29</v>
      </c>
      <c r="S196" s="7" t="s">
        <v>29</v>
      </c>
    </row>
    <row r="197" spans="2:19">
      <c r="B197" s="7" t="s">
        <v>195</v>
      </c>
      <c r="C197" s="8" t="s">
        <v>195</v>
      </c>
      <c r="D197" s="5" t="str">
        <f>LRTRIM(CONCATENATE(IF(SUMPRODUCT(-- ISNUMBER(SEARCH({"Auto Number"}, $B197))) &gt; 0, $B197, IF(SUMPRODUCT(-- ISNUMBER(SEARCH({"Lookup","Master-Detail"}, $B197))) &gt; 0,$B197 &amp; "(" &amp; $E197 &amp; ")",IF(SUMPRODUCT(-- ISNUMBER(SEARCH({"Formula","Roll-Up Summary"}, $B197))) &gt; 0,$B197 &amp; " (" &amp; $E197 &amp; ")",IF(SUMPRODUCT(-- ISNUMBER(SEARCH({"Content","Currency","Number","Percent","Text","URL"}, $B197))) &gt; 0,$B197 &amp; "(" &amp; $C197 &amp; ")",$B197)))), "  ", TRIM(IF($S197 = "YES", "(External ID)", "") &amp; " " &amp; IF(SUMPRODUCT(-- ISNUMBER(SEARCH({"Unique","Unique Case Insensitive"}, $R197))) &gt; 0, "(" &amp; $R197 &amp; ")", ""))))</f>
        <v>na</v>
      </c>
      <c r="E197" s="7" t="s">
        <v>195</v>
      </c>
      <c r="F197" s="7" t="s">
        <v>195</v>
      </c>
      <c r="G197" s="7" t="s">
        <v>195</v>
      </c>
      <c r="H197" s="7" t="s">
        <v>195</v>
      </c>
      <c r="I197" s="7" t="s">
        <v>195</v>
      </c>
      <c r="J197" s="7" t="s">
        <v>195</v>
      </c>
      <c r="K197" s="7" t="s">
        <v>195</v>
      </c>
      <c r="L197" s="7" t="s">
        <v>195</v>
      </c>
      <c r="M197" s="7" t="s">
        <v>29</v>
      </c>
      <c r="N197" s="7" t="s">
        <v>29</v>
      </c>
      <c r="O197" s="7" t="s">
        <v>29</v>
      </c>
      <c r="P197" s="7" t="s">
        <v>29</v>
      </c>
      <c r="Q197" s="7" t="s">
        <v>29</v>
      </c>
      <c r="R197" s="7" t="s">
        <v>29</v>
      </c>
      <c r="S197" s="7" t="s">
        <v>29</v>
      </c>
    </row>
    <row r="198" spans="2:19">
      <c r="B198" s="7" t="s">
        <v>195</v>
      </c>
      <c r="C198" s="8" t="s">
        <v>195</v>
      </c>
      <c r="D198" s="5" t="str">
        <f>LRTRIM(CONCATENATE(IF(SUMPRODUCT(-- ISNUMBER(SEARCH({"Auto Number"}, $B198))) &gt; 0, $B198, IF(SUMPRODUCT(-- ISNUMBER(SEARCH({"Lookup","Master-Detail"}, $B198))) &gt; 0,$B198 &amp; "(" &amp; $E198 &amp; ")",IF(SUMPRODUCT(-- ISNUMBER(SEARCH({"Formula","Roll-Up Summary"}, $B198))) &gt; 0,$B198 &amp; " (" &amp; $E198 &amp; ")",IF(SUMPRODUCT(-- ISNUMBER(SEARCH({"Content","Currency","Number","Percent","Text","URL"}, $B198))) &gt; 0,$B198 &amp; "(" &amp; $C198 &amp; ")",$B198)))), "  ", TRIM(IF($S198 = "YES", "(External ID)", "") &amp; " " &amp; IF(SUMPRODUCT(-- ISNUMBER(SEARCH({"Unique","Unique Case Insensitive"}, $R198))) &gt; 0, "(" &amp; $R198 &amp; ")", ""))))</f>
        <v>na</v>
      </c>
      <c r="E198" s="7" t="s">
        <v>195</v>
      </c>
      <c r="F198" s="7" t="s">
        <v>195</v>
      </c>
      <c r="G198" s="7" t="s">
        <v>195</v>
      </c>
      <c r="H198" s="7" t="s">
        <v>195</v>
      </c>
      <c r="I198" s="7" t="s">
        <v>195</v>
      </c>
      <c r="J198" s="7" t="s">
        <v>195</v>
      </c>
      <c r="K198" s="7" t="s">
        <v>195</v>
      </c>
      <c r="L198" s="7" t="s">
        <v>195</v>
      </c>
      <c r="M198" s="7" t="s">
        <v>29</v>
      </c>
      <c r="N198" s="7" t="s">
        <v>29</v>
      </c>
      <c r="O198" s="7" t="s">
        <v>29</v>
      </c>
      <c r="P198" s="7" t="s">
        <v>29</v>
      </c>
      <c r="Q198" s="7" t="s">
        <v>29</v>
      </c>
      <c r="R198" s="7" t="s">
        <v>29</v>
      </c>
      <c r="S198" s="7" t="s">
        <v>29</v>
      </c>
    </row>
    <row r="199" spans="2:19">
      <c r="B199" s="7" t="s">
        <v>195</v>
      </c>
      <c r="C199" s="8" t="s">
        <v>195</v>
      </c>
      <c r="D199" s="5" t="str">
        <f>LRTRIM(CONCATENATE(IF(SUMPRODUCT(-- ISNUMBER(SEARCH({"Auto Number"}, $B199))) &gt; 0, $B199, IF(SUMPRODUCT(-- ISNUMBER(SEARCH({"Lookup","Master-Detail"}, $B199))) &gt; 0,$B199 &amp; "(" &amp; $E199 &amp; ")",IF(SUMPRODUCT(-- ISNUMBER(SEARCH({"Formula","Roll-Up Summary"}, $B199))) &gt; 0,$B199 &amp; " (" &amp; $E199 &amp; ")",IF(SUMPRODUCT(-- ISNUMBER(SEARCH({"Content","Currency","Number","Percent","Text","URL"}, $B199))) &gt; 0,$B199 &amp; "(" &amp; $C199 &amp; ")",$B199)))), "  ", TRIM(IF($S199 = "YES", "(External ID)", "") &amp; " " &amp; IF(SUMPRODUCT(-- ISNUMBER(SEARCH({"Unique","Unique Case Insensitive"}, $R199))) &gt; 0, "(" &amp; $R199 &amp; ")", ""))))</f>
        <v>na</v>
      </c>
      <c r="E199" s="7" t="s">
        <v>195</v>
      </c>
      <c r="F199" s="7" t="s">
        <v>195</v>
      </c>
      <c r="G199" s="7" t="s">
        <v>195</v>
      </c>
      <c r="H199" s="7" t="s">
        <v>195</v>
      </c>
      <c r="I199" s="7" t="s">
        <v>195</v>
      </c>
      <c r="J199" s="7" t="s">
        <v>195</v>
      </c>
      <c r="K199" s="7" t="s">
        <v>195</v>
      </c>
      <c r="L199" s="7" t="s">
        <v>195</v>
      </c>
      <c r="M199" s="7" t="s">
        <v>29</v>
      </c>
      <c r="N199" s="7" t="s">
        <v>29</v>
      </c>
      <c r="O199" s="7" t="s">
        <v>29</v>
      </c>
      <c r="P199" s="7" t="s">
        <v>29</v>
      </c>
      <c r="Q199" s="7" t="s">
        <v>29</v>
      </c>
      <c r="R199" s="7" t="s">
        <v>29</v>
      </c>
      <c r="S199" s="7" t="s">
        <v>29</v>
      </c>
    </row>
    <row r="200" spans="2:19">
      <c r="B200" s="7" t="s">
        <v>195</v>
      </c>
      <c r="C200" s="8" t="s">
        <v>195</v>
      </c>
      <c r="D200" s="5" t="str">
        <f>LRTRIM(CONCATENATE(IF(SUMPRODUCT(-- ISNUMBER(SEARCH({"Auto Number"}, $B200))) &gt; 0, $B200, IF(SUMPRODUCT(-- ISNUMBER(SEARCH({"Lookup","Master-Detail"}, $B200))) &gt; 0,$B200 &amp; "(" &amp; $E200 &amp; ")",IF(SUMPRODUCT(-- ISNUMBER(SEARCH({"Formula","Roll-Up Summary"}, $B200))) &gt; 0,$B200 &amp; " (" &amp; $E200 &amp; ")",IF(SUMPRODUCT(-- ISNUMBER(SEARCH({"Content","Currency","Number","Percent","Text","URL"}, $B200))) &gt; 0,$B200 &amp; "(" &amp; $C200 &amp; ")",$B200)))), "  ", TRIM(IF($S200 = "YES", "(External ID)", "") &amp; " " &amp; IF(SUMPRODUCT(-- ISNUMBER(SEARCH({"Unique","Unique Case Insensitive"}, $R200))) &gt; 0, "(" &amp; $R200 &amp; ")", ""))))</f>
        <v>na</v>
      </c>
      <c r="E200" s="7" t="s">
        <v>195</v>
      </c>
      <c r="F200" s="7" t="s">
        <v>195</v>
      </c>
      <c r="G200" s="7" t="s">
        <v>195</v>
      </c>
      <c r="H200" s="7" t="s">
        <v>195</v>
      </c>
      <c r="I200" s="7" t="s">
        <v>195</v>
      </c>
      <c r="J200" s="7" t="s">
        <v>195</v>
      </c>
      <c r="K200" s="7" t="s">
        <v>195</v>
      </c>
      <c r="L200" s="7" t="s">
        <v>195</v>
      </c>
      <c r="M200" s="7" t="s">
        <v>29</v>
      </c>
      <c r="N200" s="7" t="s">
        <v>29</v>
      </c>
      <c r="O200" s="7" t="s">
        <v>29</v>
      </c>
      <c r="P200" s="7" t="s">
        <v>29</v>
      </c>
      <c r="Q200" s="7" t="s">
        <v>29</v>
      </c>
      <c r="R200" s="7" t="s">
        <v>29</v>
      </c>
      <c r="S200" s="7" t="s">
        <v>29</v>
      </c>
    </row>
  </sheetData>
  <sheetProtection formatCells="0" formatColumns="0" formatRows="0" insertColumns="0" insertRows="0" insertHyperlinks="0" deleteColumns="0" deleteRows="0" sort="0" autoFilter="0" pivotTables="0"/>
  <conditionalFormatting sqref="D2:D44">
    <cfRule type="expression" dxfId="72" priority="3">
      <formula>NOT(_xlfn.ISFORMULA($D2))</formula>
    </cfRule>
  </conditionalFormatting>
  <conditionalFormatting sqref="D45">
    <cfRule type="expression" dxfId="71" priority="2">
      <formula>NOT(_xlfn.ISFORMULA($D45))</formula>
    </cfRule>
  </conditionalFormatting>
  <conditionalFormatting sqref="D46:D200">
    <cfRule type="expression" dxfId="70" priority="1">
      <formula>NOT(_xlfn.ISFORMULA($D46))</formula>
    </cfRule>
  </conditionalFormatting>
  <dataValidations count="1">
    <dataValidation allowBlank="1" showInputMessage="1" showErrorMessage="1" sqref="A2:A44"/>
  </dataValidations>
  <pageMargins left="0.7" right="0.7" top="0.75" bottom="0.75" header="0.3" footer="0.3"/>
  <extLst>
    <ext xmlns:x14="http://schemas.microsoft.com/office/spreadsheetml/2009/9/main" uri="{CCE6A557-97BC-4b89-ADB6-D9C93CAAB3DF}">
      <x14:dataValidations xmlns:xm="http://schemas.microsoft.com/office/excel/2006/main" count="10">
        <x14:dataValidation type="list" allowBlank="1" showInputMessage="1" showErrorMessage="1">
          <x14:formula1>
            <xm:f>OFFSET('Reference Fields'!$K$2,0,0,COUNTA('Reference Fields'!$K:$K)-1)</xm:f>
          </x14:formula1>
          <xm:sqref>R2:R200</xm:sqref>
        </x14:dataValidation>
        <x14:dataValidation type="list" allowBlank="1" showInputMessage="1" showErrorMessage="1">
          <x14:formula1>
            <xm:f>OFFSET('Reference Fields'!$J$2,0,0,COUNTA('Reference Fields'!$J:$J)-1)</xm:f>
          </x14:formula1>
          <xm:sqref>S2:S200</xm:sqref>
        </x14:dataValidation>
        <x14:dataValidation type="list" allowBlank="1" showInputMessage="1" showErrorMessage="1">
          <x14:formula1>
            <xm:f>OFFSET('Reference Fields'!$J$2,0,0,COUNTA('Reference Fields'!$J:$J)-1)</xm:f>
          </x14:formula1>
          <xm:sqref>M2:Q200</xm:sqref>
        </x14:dataValidation>
        <x14:dataValidation type="list" allowBlank="1" showInputMessage="1" showErrorMessage="1">
          <x14:formula1>
            <xm:f>OFFSET('Reference Fields'!$B$2,0,0,COUNTA('Reference Fields'!$B:$B)-1)</xm:f>
          </x14:formula1>
          <xm:sqref>B2:B200</xm:sqref>
        </x14:dataValidation>
        <x14:dataValidation type="list" allowBlank="1" showInputMessage="1" showErrorMessage="1">
          <x14:formula1>
            <xm:f>OFFSET('Reference Fields'!$D$2,0,0,COUNTA('Reference Fields'!$D:$D)-1)</xm:f>
          </x14:formula1>
          <xm:sqref>F2:F200</xm:sqref>
        </x14:dataValidation>
        <x14:dataValidation type="list" allowBlank="1" showInputMessage="1" showErrorMessage="1">
          <x14:formula1>
            <xm:f>OFFSET('Reference Fields'!$E$2,0,0,COUNTA('Reference Fields'!$E:$E)-1)</xm:f>
          </x14:formula1>
          <xm:sqref>G2:G200</xm:sqref>
        </x14:dataValidation>
        <x14:dataValidation type="list" allowBlank="1" showInputMessage="1" showErrorMessage="1">
          <x14:formula1>
            <xm:f>OFFSET('Reference Fields'!$F$2,0,0,COUNTA('Reference Fields'!$F:$F)-1)</xm:f>
          </x14:formula1>
          <xm:sqref>H2:I200</xm:sqref>
        </x14:dataValidation>
        <x14:dataValidation type="list" allowBlank="1" showInputMessage="1" showErrorMessage="1">
          <x14:formula1>
            <xm:f>OFFSET('Reference Fields'!$G$2,0,0,COUNTA('Reference Fields'!$G:$G)-1)</xm:f>
          </x14:formula1>
          <xm:sqref>J2:J200</xm:sqref>
        </x14:dataValidation>
        <x14:dataValidation type="list" allowBlank="1" showInputMessage="1" showErrorMessage="1">
          <x14:formula1>
            <xm:f>OFFSET('Reference Fields'!$H$2,0,0,COUNTA('Reference Fields'!$H:$H)-1)</xm:f>
          </x14:formula1>
          <xm:sqref>K2:K200</xm:sqref>
        </x14:dataValidation>
        <x14:dataValidation type="list" allowBlank="1" showInputMessage="1" showErrorMessage="1">
          <x14:formula1>
            <xm:f>OFFSET('Reference Fields'!$I$2,0,0,COUNTA('Reference Fields'!$I:$I)-1)</xm:f>
          </x14:formula1>
          <xm:sqref>L2:L200</xm:sqref>
        </x14:dataValidation>
      </x14:dataValidations>
    </ext>
  </extLst>
</worksheet>
</file>

<file path=xl/worksheets/sheet16.xml><?xml version="1.0" encoding="utf-8"?>
<worksheet xmlns="http://schemas.openxmlformats.org/spreadsheetml/2006/main" xmlns:r="http://schemas.openxmlformats.org/officeDocument/2006/relationships">
  <sheetPr codeName="Sheet12"/>
  <dimension ref="A1:S201"/>
  <sheetViews>
    <sheetView tabSelected="1" workbookViewId="0">
      <pane ySplit="1" topLeftCell="A2" activePane="bottomLeft" state="frozen"/>
      <selection pane="bottomLeft" activeCell="I21" sqref="I21"/>
    </sheetView>
  </sheetViews>
  <sheetFormatPr defaultRowHeight="14.5"/>
  <cols>
    <col min="1" max="1" width="23" bestFit="1" customWidth="1"/>
    <col min="2" max="2" width="13.54296875" customWidth="1"/>
    <col min="3" max="4" width="8.90625" customWidth="1"/>
    <col min="5" max="5" width="12.6328125" customWidth="1"/>
    <col min="6" max="6" width="15.6328125" bestFit="1" customWidth="1"/>
    <col min="7" max="8" width="15.453125" customWidth="1"/>
    <col min="9" max="9" width="22.6328125" customWidth="1"/>
    <col min="10" max="10" width="23.36328125" customWidth="1"/>
    <col min="11" max="11" width="17.54296875" customWidth="1"/>
    <col min="12" max="12" width="14.08984375" customWidth="1"/>
    <col min="13" max="13" width="10.453125" bestFit="1" customWidth="1"/>
    <col min="14" max="14" width="10.453125" customWidth="1"/>
    <col min="15" max="15" width="12.453125" bestFit="1" customWidth="1"/>
  </cols>
  <sheetData>
    <row r="1" spans="1:19" s="1" customFormat="1">
      <c r="A1" s="1" t="s">
        <v>2</v>
      </c>
      <c r="B1" s="1" t="s">
        <v>1198</v>
      </c>
      <c r="C1" s="1" t="s">
        <v>1199</v>
      </c>
      <c r="D1" s="1" t="s">
        <v>0</v>
      </c>
      <c r="E1" s="1" t="s">
        <v>1</v>
      </c>
      <c r="F1" s="1" t="s">
        <v>30</v>
      </c>
      <c r="G1" s="1" t="s">
        <v>31</v>
      </c>
      <c r="H1" s="1" t="s">
        <v>1262</v>
      </c>
      <c r="I1" s="1" t="s">
        <v>49</v>
      </c>
      <c r="J1" s="1" t="s">
        <v>48</v>
      </c>
      <c r="K1" s="1" t="s">
        <v>54</v>
      </c>
      <c r="L1" s="1" t="s">
        <v>55</v>
      </c>
      <c r="M1" s="1" t="s">
        <v>27</v>
      </c>
      <c r="N1" s="1" t="s">
        <v>175</v>
      </c>
      <c r="O1" s="1" t="s">
        <v>193</v>
      </c>
      <c r="P1" s="1" t="s">
        <v>1221</v>
      </c>
      <c r="Q1" s="1" t="s">
        <v>1264</v>
      </c>
      <c r="R1" s="1" t="s">
        <v>1263</v>
      </c>
      <c r="S1" s="1" t="s">
        <v>1265</v>
      </c>
    </row>
    <row r="2" spans="1:19">
      <c r="A2" s="7" t="s">
        <v>3</v>
      </c>
      <c r="B2" s="7" t="s">
        <v>1211</v>
      </c>
      <c r="C2" s="8">
        <v>18</v>
      </c>
      <c r="D2" s="5" t="str">
        <f>LRTRIM(CONCATENATE(IF(SUMPRODUCT(-- ISNUMBER(SEARCH({"Auto Number"}, $B2))) &gt; 0, $B2, IF(SUMPRODUCT(-- ISNUMBER(SEARCH({"Lookup","Master-Detail"}, $B2))) &gt; 0,$B2 &amp; "(" &amp; $E2 &amp; ")",IF(SUMPRODUCT(-- ISNUMBER(SEARCH({"Formula","Roll-Up Summary"}, $B2))) &gt; 0,$B2 &amp; " (" &amp; $E2 &amp; ")",IF(SUMPRODUCT(-- ISNUMBER(SEARCH({"Content","Currency","Number","Percent","Text","URL"}, $B2))) &gt; 0,$B2 &amp; "(" &amp; $C2 &amp; ")",$B2)))), "  ", TRIM(IF($S2 = "YES", "(External ID)", "") &amp; " " &amp; IF(SUMPRODUCT(-- ISNUMBER(SEARCH({"Unique","Unique Case Insensitive"}, $R2))) &gt; 0, "(" &amp; $R2 &amp; ")", ""))))</f>
        <v>Lookup(Account)</v>
      </c>
      <c r="E2" s="7" t="s">
        <v>5</v>
      </c>
      <c r="F2" s="7" t="s">
        <v>136</v>
      </c>
      <c r="G2" s="7" t="s">
        <v>195</v>
      </c>
      <c r="H2" s="7" t="s">
        <v>195</v>
      </c>
      <c r="I2" s="7" t="s">
        <v>195</v>
      </c>
      <c r="J2" s="7" t="s">
        <v>195</v>
      </c>
      <c r="K2" s="7" t="s">
        <v>195</v>
      </c>
      <c r="L2" s="7" t="s">
        <v>195</v>
      </c>
      <c r="M2" s="7" t="s">
        <v>29</v>
      </c>
      <c r="N2" s="7" t="s">
        <v>29</v>
      </c>
      <c r="O2" s="7" t="s">
        <v>29</v>
      </c>
      <c r="P2" s="7" t="s">
        <v>29</v>
      </c>
      <c r="Q2" s="7" t="s">
        <v>29</v>
      </c>
      <c r="R2" s="7" t="s">
        <v>29</v>
      </c>
      <c r="S2" s="7" t="s">
        <v>29</v>
      </c>
    </row>
    <row r="3" spans="1:19">
      <c r="A3" s="7" t="s">
        <v>432</v>
      </c>
      <c r="B3" s="7" t="s">
        <v>1211</v>
      </c>
      <c r="C3" s="8">
        <v>18</v>
      </c>
      <c r="D3" s="5" t="str">
        <f>LRTRIM(CONCATENATE(IF(SUMPRODUCT(-- ISNUMBER(SEARCH({"Auto Number"}, $B3))) &gt; 0, $B3, IF(SUMPRODUCT(-- ISNUMBER(SEARCH({"Lookup","Master-Detail"}, $B3))) &gt; 0,$B3 &amp; "(" &amp; $E3 &amp; ")",IF(SUMPRODUCT(-- ISNUMBER(SEARCH({"Formula","Roll-Up Summary"}, $B3))) &gt; 0,$B3 &amp; " (" &amp; $E3 &amp; ")",IF(SUMPRODUCT(-- ISNUMBER(SEARCH({"Content","Currency","Number","Percent","Text","URL"}, $B3))) &gt; 0,$B3 &amp; "(" &amp; $C3 &amp; ")",$B3)))), "  ", TRIM(IF($S3 = "YES", "(External ID)", "") &amp; " " &amp; IF(SUMPRODUCT(-- ISNUMBER(SEARCH({"Unique","Unique Case Insensitive"}, $R3))) &gt; 0, "(" &amp; $R3 &amp; ")", ""))))</f>
        <v>Lookup(IHK Number)</v>
      </c>
      <c r="E3" s="7" t="s">
        <v>133</v>
      </c>
      <c r="F3" s="7" t="s">
        <v>474</v>
      </c>
      <c r="G3" s="7" t="s">
        <v>512</v>
      </c>
      <c r="H3" s="7" t="s">
        <v>195</v>
      </c>
      <c r="I3" s="7" t="s">
        <v>195</v>
      </c>
      <c r="J3" s="7" t="s">
        <v>195</v>
      </c>
      <c r="K3" s="7" t="s">
        <v>195</v>
      </c>
      <c r="L3" s="7" t="s">
        <v>195</v>
      </c>
      <c r="M3" s="7" t="s">
        <v>29</v>
      </c>
      <c r="N3" s="7" t="s">
        <v>29</v>
      </c>
      <c r="O3" s="7" t="s">
        <v>29</v>
      </c>
      <c r="P3" s="7" t="s">
        <v>29</v>
      </c>
      <c r="Q3" s="7" t="s">
        <v>29</v>
      </c>
      <c r="R3" s="7" t="s">
        <v>29</v>
      </c>
      <c r="S3" s="7" t="s">
        <v>29</v>
      </c>
    </row>
    <row r="4" spans="1:19">
      <c r="A4" s="7" t="s">
        <v>433</v>
      </c>
      <c r="B4" s="7" t="s">
        <v>1218</v>
      </c>
      <c r="C4" s="8">
        <v>50</v>
      </c>
      <c r="D4" s="5" t="str">
        <f>LRTRIM(CONCATENATE(IF(SUMPRODUCT(-- ISNUMBER(SEARCH({"Auto Number"}, $B4))) &gt; 0, $B4, IF(SUMPRODUCT(-- ISNUMBER(SEARCH({"Lookup","Master-Detail"}, $B4))) &gt; 0,$B4 &amp; "(" &amp; $E4 &amp; ")",IF(SUMPRODUCT(-- ISNUMBER(SEARCH({"Formula","Roll-Up Summary"}, $B4))) &gt; 0,$B4 &amp; " (" &amp; $E4 &amp; ")",IF(SUMPRODUCT(-- ISNUMBER(SEARCH({"Content","Currency","Number","Percent","Text","URL"}, $B4))) &gt; 0,$B4 &amp; "(" &amp; $C4 &amp; ")",$B4)))), "  ", TRIM(IF($S4 = "YES", "(External ID)", "") &amp; " " &amp; IF(SUMPRODUCT(-- ISNUMBER(SEARCH({"Unique","Unique Case Insensitive"}, $R4))) &gt; 0, "(" &amp; $R4 &amp; ")", ""))))</f>
        <v>Text(50)</v>
      </c>
      <c r="E4" s="7" t="s">
        <v>195</v>
      </c>
      <c r="F4" s="7" t="s">
        <v>475</v>
      </c>
      <c r="G4" s="7" t="s">
        <v>513</v>
      </c>
      <c r="H4" s="7" t="s">
        <v>195</v>
      </c>
      <c r="I4" s="7" t="s">
        <v>195</v>
      </c>
      <c r="J4" s="7" t="s">
        <v>195</v>
      </c>
      <c r="K4" s="7" t="s">
        <v>195</v>
      </c>
      <c r="L4" s="7" t="s">
        <v>195</v>
      </c>
      <c r="M4" s="7" t="s">
        <v>29</v>
      </c>
      <c r="N4" s="7" t="s">
        <v>29</v>
      </c>
      <c r="O4" s="7" t="s">
        <v>29</v>
      </c>
      <c r="P4" s="7" t="s">
        <v>29</v>
      </c>
      <c r="Q4" s="7" t="s">
        <v>29</v>
      </c>
      <c r="R4" s="7" t="s">
        <v>29</v>
      </c>
      <c r="S4" s="7" t="s">
        <v>29</v>
      </c>
    </row>
    <row r="5" spans="1:19">
      <c r="A5" s="7" t="s">
        <v>434</v>
      </c>
      <c r="B5" s="7" t="s">
        <v>1211</v>
      </c>
      <c r="C5" s="8">
        <v>18</v>
      </c>
      <c r="D5" s="5" t="str">
        <f>LRTRIM(CONCATENATE(IF(SUMPRODUCT(-- ISNUMBER(SEARCH({"Auto Number"}, $B5))) &gt; 0, $B5, IF(SUMPRODUCT(-- ISNUMBER(SEARCH({"Lookup","Master-Detail"}, $B5))) &gt; 0,$B5 &amp; "(" &amp; $E5 &amp; ")",IF(SUMPRODUCT(-- ISNUMBER(SEARCH({"Formula","Roll-Up Summary"}, $B5))) &gt; 0,$B5 &amp; " (" &amp; $E5 &amp; ")",IF(SUMPRODUCT(-- ISNUMBER(SEARCH({"Content","Currency","Number","Percent","Text","URL"}, $B5))) &gt; 0,$B5 &amp; "(" &amp; $C5 &amp; ")",$B5)))), "  ", TRIM(IF($S5 = "YES", "(External ID)", "") &amp; " " &amp; IF(SUMPRODUCT(-- ISNUMBER(SEARCH({"Unique","Unique Case Insensitive"}, $R5))) &gt; 0, "(" &amp; $R5 &amp; ")", ""))))</f>
        <v>Lookup(Account)</v>
      </c>
      <c r="E5" s="7" t="s">
        <v>5</v>
      </c>
      <c r="F5" s="7" t="s">
        <v>476</v>
      </c>
      <c r="G5" s="7" t="s">
        <v>514</v>
      </c>
      <c r="H5" s="7" t="s">
        <v>195</v>
      </c>
      <c r="I5" s="7" t="s">
        <v>195</v>
      </c>
      <c r="J5" s="7" t="s">
        <v>195</v>
      </c>
      <c r="K5" s="7" t="s">
        <v>195</v>
      </c>
      <c r="L5" s="7" t="s">
        <v>195</v>
      </c>
      <c r="M5" s="7" t="s">
        <v>29</v>
      </c>
      <c r="N5" s="7" t="s">
        <v>29</v>
      </c>
      <c r="O5" s="7" t="s">
        <v>29</v>
      </c>
      <c r="P5" s="7" t="s">
        <v>29</v>
      </c>
      <c r="Q5" s="7" t="s">
        <v>29</v>
      </c>
      <c r="R5" s="7" t="s">
        <v>29</v>
      </c>
      <c r="S5" s="7" t="s">
        <v>29</v>
      </c>
    </row>
    <row r="6" spans="1:19">
      <c r="A6" s="7" t="s">
        <v>435</v>
      </c>
      <c r="B6" s="7" t="s">
        <v>1209</v>
      </c>
      <c r="C6" s="8" t="s">
        <v>195</v>
      </c>
      <c r="D6" s="5" t="str">
        <f>LRTRIM(CONCATENATE(IF(SUMPRODUCT(-- ISNUMBER(SEARCH({"Auto Number"}, $B6))) &gt; 0, $B6, IF(SUMPRODUCT(-- ISNUMBER(SEARCH({"Lookup","Master-Detail"}, $B6))) &gt; 0,$B6 &amp; "(" &amp; $E6 &amp; ")",IF(SUMPRODUCT(-- ISNUMBER(SEARCH({"Formula","Roll-Up Summary"}, $B6))) &gt; 0,$B6 &amp; " (" &amp; $E6 &amp; ")",IF(SUMPRODUCT(-- ISNUMBER(SEARCH({"Content","Currency","Number","Percent","Text","URL"}, $B6))) &gt; 0,$B6 &amp; "(" &amp; $C6 &amp; ")",$B6)))), "  ", TRIM(IF($S6 = "YES", "(External ID)", "") &amp; " " &amp; IF(SUMPRODUCT(-- ISNUMBER(SEARCH({"Unique","Unique Case Insensitive"}, $R6))) &gt; 0, "(" &amp; $R6 &amp; ")", ""))))</f>
        <v>Formula (Currency)</v>
      </c>
      <c r="E6" s="7" t="s">
        <v>1206</v>
      </c>
      <c r="F6" s="7" t="s">
        <v>477</v>
      </c>
      <c r="G6" s="7" t="s">
        <v>515</v>
      </c>
      <c r="H6" s="7" t="s">
        <v>195</v>
      </c>
      <c r="I6" s="7" t="s">
        <v>195</v>
      </c>
      <c r="J6" s="7" t="s">
        <v>195</v>
      </c>
      <c r="K6" s="7" t="s">
        <v>195</v>
      </c>
      <c r="L6" s="7" t="s">
        <v>195</v>
      </c>
      <c r="M6" s="7" t="s">
        <v>29</v>
      </c>
      <c r="N6" s="7" t="s">
        <v>29</v>
      </c>
      <c r="O6" s="7" t="s">
        <v>29</v>
      </c>
      <c r="P6" s="7" t="s">
        <v>29</v>
      </c>
      <c r="Q6" s="7" t="s">
        <v>29</v>
      </c>
      <c r="R6" s="7" t="s">
        <v>29</v>
      </c>
      <c r="S6" s="7" t="s">
        <v>29</v>
      </c>
    </row>
    <row r="7" spans="1:19">
      <c r="A7" s="7" t="s">
        <v>436</v>
      </c>
      <c r="B7" s="7" t="s">
        <v>1206</v>
      </c>
      <c r="C7" s="8" t="s">
        <v>1289</v>
      </c>
      <c r="D7" s="5" t="str">
        <f>LRTRIM(CONCATENATE(IF(SUMPRODUCT(-- ISNUMBER(SEARCH({"Auto Number"}, $B7))) &gt; 0, $B7, IF(SUMPRODUCT(-- ISNUMBER(SEARCH({"Lookup","Master-Detail"}, $B7))) &gt; 0,$B7 &amp; "(" &amp; $E7 &amp; ")",IF(SUMPRODUCT(-- ISNUMBER(SEARCH({"Formula","Roll-Up Summary"}, $B7))) &gt; 0,$B7 &amp; " (" &amp; $E7 &amp; ")",IF(SUMPRODUCT(-- ISNUMBER(SEARCH({"Content","Currency","Number","Percent","Text","URL"}, $B7))) &gt; 0,$B7 &amp; "(" &amp; $C7 &amp; ")",$B7)))), "  ", TRIM(IF($S7 = "YES", "(External ID)", "") &amp; " " &amp; IF(SUMPRODUCT(-- ISNUMBER(SEARCH({"Unique","Unique Case Insensitive"}, $R7))) &gt; 0, "(" &amp; $R7 &amp; ")", ""))))</f>
        <v>Currency(16, 2)</v>
      </c>
      <c r="E7" s="7" t="s">
        <v>195</v>
      </c>
      <c r="F7" s="7" t="s">
        <v>478</v>
      </c>
      <c r="G7" s="7" t="s">
        <v>516</v>
      </c>
      <c r="H7" s="7" t="s">
        <v>195</v>
      </c>
      <c r="I7" s="7" t="s">
        <v>195</v>
      </c>
      <c r="J7" s="7" t="s">
        <v>195</v>
      </c>
      <c r="K7" s="7" t="s">
        <v>195</v>
      </c>
      <c r="L7" s="7" t="s">
        <v>195</v>
      </c>
      <c r="M7" s="7" t="s">
        <v>29</v>
      </c>
      <c r="N7" s="7" t="s">
        <v>29</v>
      </c>
      <c r="O7" s="7" t="s">
        <v>29</v>
      </c>
      <c r="P7" s="7" t="s">
        <v>29</v>
      </c>
      <c r="Q7" s="7" t="s">
        <v>29</v>
      </c>
      <c r="R7" s="7" t="s">
        <v>29</v>
      </c>
      <c r="S7" s="7" t="s">
        <v>29</v>
      </c>
    </row>
    <row r="8" spans="1:19">
      <c r="A8" s="7" t="s">
        <v>437</v>
      </c>
      <c r="B8" s="7" t="s">
        <v>1213</v>
      </c>
      <c r="C8" s="8" t="s">
        <v>1289</v>
      </c>
      <c r="D8" s="5" t="str">
        <f>LRTRIM(CONCATENATE(IF(SUMPRODUCT(-- ISNUMBER(SEARCH({"Auto Number"}, $B8))) &gt; 0, $B8, IF(SUMPRODUCT(-- ISNUMBER(SEARCH({"Lookup","Master-Detail"}, $B8))) &gt; 0,$B8 &amp; "(" &amp; $E8 &amp; ")",IF(SUMPRODUCT(-- ISNUMBER(SEARCH({"Formula","Roll-Up Summary"}, $B8))) &gt; 0,$B8 &amp; " (" &amp; $E8 &amp; ")",IF(SUMPRODUCT(-- ISNUMBER(SEARCH({"Content","Currency","Number","Percent","Text","URL"}, $B8))) &gt; 0,$B8 &amp; "(" &amp; $C8 &amp; ")",$B8)))), "  ", TRIM(IF($S8 = "YES", "(External ID)", "") &amp; " " &amp; IF(SUMPRODUCT(-- ISNUMBER(SEARCH({"Unique","Unique Case Insensitive"}, $R8))) &gt; 0, "(" &amp; $R8 &amp; ")", ""))))</f>
        <v>Number(16, 2)</v>
      </c>
      <c r="E8" s="7" t="s">
        <v>195</v>
      </c>
      <c r="F8" s="7" t="s">
        <v>479</v>
      </c>
      <c r="G8" s="7" t="s">
        <v>195</v>
      </c>
      <c r="H8" s="7" t="s">
        <v>195</v>
      </c>
      <c r="I8" s="7" t="s">
        <v>195</v>
      </c>
      <c r="J8" s="7" t="s">
        <v>195</v>
      </c>
      <c r="K8" s="7" t="s">
        <v>195</v>
      </c>
      <c r="L8" s="7" t="s">
        <v>195</v>
      </c>
      <c r="M8" s="7" t="s">
        <v>29</v>
      </c>
      <c r="N8" s="7" t="s">
        <v>29</v>
      </c>
      <c r="O8" s="7" t="s">
        <v>29</v>
      </c>
      <c r="P8" s="7" t="s">
        <v>29</v>
      </c>
      <c r="Q8" s="7" t="s">
        <v>29</v>
      </c>
      <c r="R8" s="7" t="s">
        <v>29</v>
      </c>
      <c r="S8" s="7" t="s">
        <v>29</v>
      </c>
    </row>
    <row r="9" spans="1:19">
      <c r="A9" s="7" t="s">
        <v>9</v>
      </c>
      <c r="B9" s="7" t="s">
        <v>1218</v>
      </c>
      <c r="C9" s="8">
        <v>50</v>
      </c>
      <c r="D9" s="5" t="str">
        <f>LRTRIM(CONCATENATE(IF(SUMPRODUCT(-- ISNUMBER(SEARCH({"Auto Number"}, $B9))) &gt; 0, $B9, IF(SUMPRODUCT(-- ISNUMBER(SEARCH({"Lookup","Master-Detail"}, $B9))) &gt; 0,$B9 &amp; "(" &amp; $E9 &amp; ")",IF(SUMPRODUCT(-- ISNUMBER(SEARCH({"Formula","Roll-Up Summary"}, $B9))) &gt; 0,$B9 &amp; " (" &amp; $E9 &amp; ")",IF(SUMPRODUCT(-- ISNUMBER(SEARCH({"Content","Currency","Number","Percent","Text","URL"}, $B9))) &gt; 0,$B9 &amp; "(" &amp; $C9 &amp; ")",$B9)))), "  ", TRIM(IF($S9 = "YES", "(External ID)", "") &amp; " " &amp; IF(SUMPRODUCT(-- ISNUMBER(SEARCH({"Unique","Unique Case Insensitive"}, $R9))) &gt; 0, "(" &amp; $R9 &amp; ")", ""))))</f>
        <v>Text(50)</v>
      </c>
      <c r="E9" s="7" t="s">
        <v>195</v>
      </c>
      <c r="F9" s="7" t="s">
        <v>18</v>
      </c>
      <c r="G9" s="7" t="s">
        <v>195</v>
      </c>
      <c r="H9" s="7" t="s">
        <v>195</v>
      </c>
      <c r="I9" s="7" t="s">
        <v>195</v>
      </c>
      <c r="J9" s="7" t="s">
        <v>195</v>
      </c>
      <c r="K9" s="7" t="s">
        <v>195</v>
      </c>
      <c r="L9" s="7" t="s">
        <v>195</v>
      </c>
      <c r="M9" s="7" t="s">
        <v>29</v>
      </c>
      <c r="N9" s="7" t="s">
        <v>29</v>
      </c>
      <c r="O9" s="7" t="s">
        <v>29</v>
      </c>
      <c r="P9" s="7" t="s">
        <v>29</v>
      </c>
      <c r="Q9" s="7" t="s">
        <v>29</v>
      </c>
      <c r="R9" s="7" t="s">
        <v>29</v>
      </c>
      <c r="S9" s="7" t="s">
        <v>29</v>
      </c>
    </row>
    <row r="10" spans="1:19">
      <c r="A10" s="7" t="s">
        <v>1618</v>
      </c>
      <c r="B10" s="7" t="s">
        <v>1215</v>
      </c>
      <c r="C10" s="8">
        <v>255</v>
      </c>
      <c r="D10" s="5" t="str">
        <f>LRTRIM(CONCATENATE(IF(SUMPRODUCT(-- ISNUMBER(SEARCH({"Auto Number"}, $B10))) &gt; 0, $B10, IF(SUMPRODUCT(-- ISNUMBER(SEARCH({"Lookup","Master-Detail"}, $B10))) &gt; 0,$B10 &amp; "(" &amp; $E10 &amp; ")",IF(SUMPRODUCT(-- ISNUMBER(SEARCH({"Formula","Roll-Up Summary"}, $B10))) &gt; 0,$B10 &amp; " (" &amp; $E10 &amp; ")",IF(SUMPRODUCT(-- ISNUMBER(SEARCH({"Content","Currency","Number","Percent","Text","URL"}, $B10))) &gt; 0,$B10 &amp; "(" &amp; $C10 &amp; ")",$B10)))), "  ", TRIM(IF($S10 = "YES", "(External ID)", "") &amp; " " &amp; IF(SUMPRODUCT(-- ISNUMBER(SEARCH({"Unique","Unique Case Insensitive"}, $R10))) &gt; 0, "(" &amp; $R10 &amp; ")", ""))))</f>
        <v>Picklist</v>
      </c>
      <c r="E10" s="7" t="s">
        <v>195</v>
      </c>
      <c r="F10" s="7" t="s">
        <v>480</v>
      </c>
      <c r="G10" s="7" t="s">
        <v>517</v>
      </c>
      <c r="H10" s="7" t="s">
        <v>195</v>
      </c>
      <c r="I10" s="7" t="s">
        <v>466</v>
      </c>
      <c r="J10" s="7" t="s">
        <v>195</v>
      </c>
      <c r="K10" s="7" t="s">
        <v>195</v>
      </c>
      <c r="L10" s="7" t="s">
        <v>195</v>
      </c>
      <c r="M10" s="7" t="s">
        <v>29</v>
      </c>
      <c r="N10" s="7" t="s">
        <v>29</v>
      </c>
      <c r="O10" s="7" t="s">
        <v>29</v>
      </c>
      <c r="P10" s="7" t="s">
        <v>29</v>
      </c>
      <c r="Q10" s="7" t="s">
        <v>29</v>
      </c>
      <c r="R10" s="7" t="s">
        <v>29</v>
      </c>
      <c r="S10" s="7" t="s">
        <v>29</v>
      </c>
    </row>
    <row r="11" spans="1:19">
      <c r="A11" s="7" t="s">
        <v>216</v>
      </c>
      <c r="B11" s="7" t="s">
        <v>1211</v>
      </c>
      <c r="C11" s="8">
        <v>18</v>
      </c>
      <c r="D11" s="5" t="str">
        <f>LRTRIM(CONCATENATE(IF(SUMPRODUCT(-- ISNUMBER(SEARCH({"Auto Number"}, $B11))) &gt; 0, $B11, IF(SUMPRODUCT(-- ISNUMBER(SEARCH({"Lookup","Master-Detail"}, $B11))) &gt; 0,$B11 &amp; "(" &amp; $E11 &amp; ")",IF(SUMPRODUCT(-- ISNUMBER(SEARCH({"Formula","Roll-Up Summary"}, $B11))) &gt; 0,$B11 &amp; " (" &amp; $E11 &amp; ")",IF(SUMPRODUCT(-- ISNUMBER(SEARCH({"Content","Currency","Number","Percent","Text","URL"}, $B11))) &gt; 0,$B11 &amp; "(" &amp; $C11 &amp; ")",$B11)))), "  ", TRIM(IF($S11 = "YES", "(External ID)", "") &amp; " " &amp; IF(SUMPRODUCT(-- ISNUMBER(SEARCH({"Unique","Unique Case Insensitive"}, $R11))) &gt; 0, "(" &amp; $R11 &amp; ")", ""))))</f>
        <v>Lookup(User)</v>
      </c>
      <c r="E11" s="7" t="s">
        <v>7</v>
      </c>
      <c r="F11" s="7" t="s">
        <v>126</v>
      </c>
      <c r="G11" s="7" t="s">
        <v>158</v>
      </c>
      <c r="H11" s="7" t="s">
        <v>195</v>
      </c>
      <c r="I11" s="7" t="s">
        <v>195</v>
      </c>
      <c r="J11" s="7" t="s">
        <v>195</v>
      </c>
      <c r="K11" s="7" t="s">
        <v>195</v>
      </c>
      <c r="L11" s="7" t="s">
        <v>195</v>
      </c>
      <c r="M11" s="7" t="s">
        <v>29</v>
      </c>
      <c r="N11" s="7" t="s">
        <v>29</v>
      </c>
      <c r="O11" s="7" t="s">
        <v>29</v>
      </c>
      <c r="P11" s="7" t="s">
        <v>29</v>
      </c>
      <c r="Q11" s="7" t="s">
        <v>29</v>
      </c>
      <c r="R11" s="7" t="s">
        <v>29</v>
      </c>
      <c r="S11" s="7" t="s">
        <v>29</v>
      </c>
    </row>
    <row r="12" spans="1:19">
      <c r="A12" s="7" t="s">
        <v>439</v>
      </c>
      <c r="B12" s="7" t="s">
        <v>1218</v>
      </c>
      <c r="C12" s="8">
        <v>50</v>
      </c>
      <c r="D12" s="5" t="str">
        <f>LRTRIM(CONCATENATE(IF(SUMPRODUCT(-- ISNUMBER(SEARCH({"Auto Number"}, $B12))) &gt; 0, $B12, IF(SUMPRODUCT(-- ISNUMBER(SEARCH({"Lookup","Master-Detail"}, $B12))) &gt; 0,$B12 &amp; "(" &amp; $E12 &amp; ")",IF(SUMPRODUCT(-- ISNUMBER(SEARCH({"Formula","Roll-Up Summary"}, $B12))) &gt; 0,$B12 &amp; " (" &amp; $E12 &amp; ")",IF(SUMPRODUCT(-- ISNUMBER(SEARCH({"Content","Currency","Number","Percent","Text","URL"}, $B12))) &gt; 0,$B12 &amp; "(" &amp; $C12 &amp; ")",$B12)))), "  ", TRIM(IF($S12 = "YES", "(External ID)", "") &amp; " " &amp; IF(SUMPRODUCT(-- ISNUMBER(SEARCH({"Unique","Unique Case Insensitive"}, $R12))) &gt; 0, "(" &amp; $R12 &amp; ")", ""))))</f>
        <v>Text(50)</v>
      </c>
      <c r="E12" s="7" t="s">
        <v>195</v>
      </c>
      <c r="F12" s="7" t="s">
        <v>481</v>
      </c>
      <c r="G12" s="7" t="s">
        <v>518</v>
      </c>
      <c r="H12" s="7" t="s">
        <v>195</v>
      </c>
      <c r="I12" s="7" t="s">
        <v>195</v>
      </c>
      <c r="J12" s="7" t="s">
        <v>195</v>
      </c>
      <c r="K12" s="7" t="s">
        <v>195</v>
      </c>
      <c r="L12" s="7" t="s">
        <v>195</v>
      </c>
      <c r="M12" s="7" t="s">
        <v>29</v>
      </c>
      <c r="N12" s="7" t="s">
        <v>29</v>
      </c>
      <c r="O12" s="7" t="s">
        <v>29</v>
      </c>
      <c r="P12" s="7" t="s">
        <v>29</v>
      </c>
      <c r="Q12" s="7" t="s">
        <v>29</v>
      </c>
      <c r="R12" s="7" t="s">
        <v>29</v>
      </c>
      <c r="S12" s="7" t="s">
        <v>29</v>
      </c>
    </row>
    <row r="13" spans="1:19">
      <c r="A13" s="7" t="s">
        <v>440</v>
      </c>
      <c r="B13" s="7" t="s">
        <v>1218</v>
      </c>
      <c r="C13" s="8">
        <v>11</v>
      </c>
      <c r="D13" s="5" t="str">
        <f>LRTRIM(CONCATENATE(IF(SUMPRODUCT(-- ISNUMBER(SEARCH({"Auto Number"}, $B13))) &gt; 0, $B13, IF(SUMPRODUCT(-- ISNUMBER(SEARCH({"Lookup","Master-Detail"}, $B13))) &gt; 0,$B13 &amp; "(" &amp; $E13 &amp; ")",IF(SUMPRODUCT(-- ISNUMBER(SEARCH({"Formula","Roll-Up Summary"}, $B13))) &gt; 0,$B13 &amp; " (" &amp; $E13 &amp; ")",IF(SUMPRODUCT(-- ISNUMBER(SEARCH({"Content","Currency","Number","Percent","Text","URL"}, $B13))) &gt; 0,$B13 &amp; "(" &amp; $C13 &amp; ")",$B13)))), "  ", TRIM(IF($S13 = "YES", "(External ID)", "") &amp; " " &amp; IF(SUMPRODUCT(-- ISNUMBER(SEARCH({"Unique","Unique Case Insensitive"}, $R13))) &gt; 0, "(" &amp; $R13 &amp; ")", ""))))</f>
        <v>Text(11)</v>
      </c>
      <c r="E13" s="7" t="s">
        <v>195</v>
      </c>
      <c r="F13" s="7" t="s">
        <v>482</v>
      </c>
      <c r="G13" s="7" t="s">
        <v>482</v>
      </c>
      <c r="H13" s="7" t="s">
        <v>195</v>
      </c>
      <c r="I13" s="7" t="s">
        <v>195</v>
      </c>
      <c r="J13" s="7" t="s">
        <v>195</v>
      </c>
      <c r="K13" s="7" t="s">
        <v>195</v>
      </c>
      <c r="L13" s="7" t="s">
        <v>195</v>
      </c>
      <c r="M13" s="7" t="s">
        <v>29</v>
      </c>
      <c r="N13" s="7" t="s">
        <v>29</v>
      </c>
      <c r="O13" s="7" t="s">
        <v>29</v>
      </c>
      <c r="P13" s="7" t="s">
        <v>29</v>
      </c>
      <c r="Q13" s="7" t="s">
        <v>29</v>
      </c>
      <c r="R13" s="7" t="s">
        <v>29</v>
      </c>
      <c r="S13" s="7" t="s">
        <v>29</v>
      </c>
    </row>
    <row r="14" spans="1:19">
      <c r="A14" s="7" t="s">
        <v>103</v>
      </c>
      <c r="B14" s="7" t="s">
        <v>1211</v>
      </c>
      <c r="C14" s="8">
        <v>18</v>
      </c>
      <c r="D14" s="5" t="str">
        <f>LRTRIM(CONCATENATE(IF(SUMPRODUCT(-- ISNUMBER(SEARCH({"Auto Number"}, $B14))) &gt; 0, $B14, IF(SUMPRODUCT(-- ISNUMBER(SEARCH({"Lookup","Master-Detail"}, $B14))) &gt; 0,$B14 &amp; "(" &amp; $E14 &amp; ")",IF(SUMPRODUCT(-- ISNUMBER(SEARCH({"Formula","Roll-Up Summary"}, $B14))) &gt; 0,$B14 &amp; " (" &amp; $E14 &amp; ")",IF(SUMPRODUCT(-- ISNUMBER(SEARCH({"Content","Currency","Number","Percent","Text","URL"}, $B14))) &gt; 0,$B14 &amp; "(" &amp; $C14 &amp; ")",$B14)))), "  ", TRIM(IF($S14 = "YES", "(External ID)", "") &amp; " " &amp; IF(SUMPRODUCT(-- ISNUMBER(SEARCH({"Unique","Unique Case Insensitive"}, $R14))) &gt; 0, "(" &amp; $R14 &amp; ")", ""))))</f>
        <v>Lookup(Commission Agreement)</v>
      </c>
      <c r="E14" s="7" t="s">
        <v>202</v>
      </c>
      <c r="F14" s="7" t="s">
        <v>202</v>
      </c>
      <c r="G14" s="7" t="s">
        <v>519</v>
      </c>
      <c r="H14" s="7" t="s">
        <v>195</v>
      </c>
      <c r="I14" s="7" t="s">
        <v>195</v>
      </c>
      <c r="J14" s="7" t="s">
        <v>195</v>
      </c>
      <c r="K14" s="7" t="s">
        <v>195</v>
      </c>
      <c r="L14" s="7" t="s">
        <v>195</v>
      </c>
      <c r="M14" s="7" t="s">
        <v>29</v>
      </c>
      <c r="N14" s="7" t="s">
        <v>29</v>
      </c>
      <c r="O14" s="7" t="s">
        <v>29</v>
      </c>
      <c r="P14" s="7" t="s">
        <v>29</v>
      </c>
      <c r="Q14" s="7" t="s">
        <v>29</v>
      </c>
      <c r="R14" s="7" t="s">
        <v>29</v>
      </c>
      <c r="S14" s="7" t="s">
        <v>29</v>
      </c>
    </row>
    <row r="15" spans="1:19">
      <c r="A15" s="7" t="s">
        <v>441</v>
      </c>
      <c r="B15" s="7" t="s">
        <v>1218</v>
      </c>
      <c r="C15" s="8">
        <v>30</v>
      </c>
      <c r="D15" s="5" t="str">
        <f>LRTRIM(CONCATENATE(IF(SUMPRODUCT(-- ISNUMBER(SEARCH({"Auto Number"}, $B15))) &gt; 0, $B15, IF(SUMPRODUCT(-- ISNUMBER(SEARCH({"Lookup","Master-Detail"}, $B15))) &gt; 0,$B15 &amp; "(" &amp; $E15 &amp; ")",IF(SUMPRODUCT(-- ISNUMBER(SEARCH({"Formula","Roll-Up Summary"}, $B15))) &gt; 0,$B15 &amp; " (" &amp; $E15 &amp; ")",IF(SUMPRODUCT(-- ISNUMBER(SEARCH({"Content","Currency","Number","Percent","Text","URL"}, $B15))) &gt; 0,$B15 &amp; "(" &amp; $C15 &amp; ")",$B15)))), "  ", TRIM(IF($S15 = "YES", "(External ID)", "") &amp; " " &amp; IF(SUMPRODUCT(-- ISNUMBER(SEARCH({"Unique","Unique Case Insensitive"}, $R15))) &gt; 0, "(" &amp; $R15 &amp; ")", ""))))</f>
        <v>Text(30)</v>
      </c>
      <c r="E15" s="7" t="s">
        <v>195</v>
      </c>
      <c r="F15" s="7" t="s">
        <v>483</v>
      </c>
      <c r="G15" s="7" t="s">
        <v>520</v>
      </c>
      <c r="H15" s="7" t="s">
        <v>195</v>
      </c>
      <c r="I15" s="7" t="s">
        <v>195</v>
      </c>
      <c r="J15" s="7" t="s">
        <v>195</v>
      </c>
      <c r="K15" s="7" t="s">
        <v>195</v>
      </c>
      <c r="L15" s="7" t="s">
        <v>195</v>
      </c>
      <c r="M15" s="7" t="s">
        <v>29</v>
      </c>
      <c r="N15" s="7" t="s">
        <v>29</v>
      </c>
      <c r="O15" s="7" t="s">
        <v>29</v>
      </c>
      <c r="P15" s="7" t="s">
        <v>29</v>
      </c>
      <c r="Q15" s="7" t="s">
        <v>29</v>
      </c>
      <c r="R15" s="7" t="s">
        <v>29</v>
      </c>
      <c r="S15" s="7" t="s">
        <v>29</v>
      </c>
    </row>
    <row r="16" spans="1:19">
      <c r="A16" s="7" t="s">
        <v>442</v>
      </c>
      <c r="B16" s="7" t="s">
        <v>1213</v>
      </c>
      <c r="C16" s="8" t="s">
        <v>1381</v>
      </c>
      <c r="D16" s="5" t="str">
        <f>LRTRIM(CONCATENATE(IF(SUMPRODUCT(-- ISNUMBER(SEARCH({"Auto Number"}, $B16))) &gt; 0, $B16, IF(SUMPRODUCT(-- ISNUMBER(SEARCH({"Lookup","Master-Detail"}, $B16))) &gt; 0,$B16 &amp; "(" &amp; $E16 &amp; ")",IF(SUMPRODUCT(-- ISNUMBER(SEARCH({"Formula","Roll-Up Summary"}, $B16))) &gt; 0,$B16 &amp; " (" &amp; $E16 &amp; ")",IF(SUMPRODUCT(-- ISNUMBER(SEARCH({"Content","Currency","Number","Percent","Text","URL"}, $B16))) &gt; 0,$B16 &amp; "(" &amp; $C16 &amp; ")",$B16)))), "  ", TRIM(IF($S16 = "YES", "(External ID)", "") &amp; " " &amp; IF(SUMPRODUCT(-- ISNUMBER(SEARCH({"Unique","Unique Case Insensitive"}, $R16))) &gt; 0, "(" &amp; $R16 &amp; ")", ""))))</f>
        <v>Number(4, 0)</v>
      </c>
      <c r="E16" s="7" t="s">
        <v>195</v>
      </c>
      <c r="F16" s="7" t="s">
        <v>1384</v>
      </c>
      <c r="G16" s="7" t="s">
        <v>195</v>
      </c>
      <c r="H16" s="7" t="s">
        <v>195</v>
      </c>
      <c r="I16" s="7" t="s">
        <v>195</v>
      </c>
      <c r="J16" s="7" t="s">
        <v>195</v>
      </c>
      <c r="K16" s="7" t="s">
        <v>195</v>
      </c>
      <c r="L16" s="7" t="s">
        <v>195</v>
      </c>
      <c r="M16" s="7" t="s">
        <v>29</v>
      </c>
      <c r="N16" s="7" t="s">
        <v>29</v>
      </c>
      <c r="O16" s="7" t="s">
        <v>29</v>
      </c>
      <c r="P16" s="7" t="s">
        <v>29</v>
      </c>
      <c r="Q16" s="7" t="s">
        <v>29</v>
      </c>
      <c r="R16" s="7" t="s">
        <v>29</v>
      </c>
      <c r="S16" s="7" t="s">
        <v>29</v>
      </c>
    </row>
    <row r="17" spans="1:19">
      <c r="A17" s="7" t="s">
        <v>443</v>
      </c>
      <c r="B17" s="7" t="s">
        <v>1211</v>
      </c>
      <c r="C17" s="8">
        <v>18</v>
      </c>
      <c r="D17" s="5" t="str">
        <f>LRTRIM(CONCATENATE(IF(SUMPRODUCT(-- ISNUMBER(SEARCH({"Auto Number"}, $B17))) &gt; 0, $B17, IF(SUMPRODUCT(-- ISNUMBER(SEARCH({"Lookup","Master-Detail"}, $B17))) &gt; 0,$B17 &amp; "(" &amp; $E17 &amp; ")",IF(SUMPRODUCT(-- ISNUMBER(SEARCH({"Formula","Roll-Up Summary"}, $B17))) &gt; 0,$B17 &amp; " (" &amp; $E17 &amp; ")",IF(SUMPRODUCT(-- ISNUMBER(SEARCH({"Content","Currency","Number","Percent","Text","URL"}, $B17))) &gt; 0,$B17 &amp; "(" &amp; $C17 &amp; ")",$B17)))), "  ", TRIM(IF($S17 = "YES", "(External ID)", "") &amp; " " &amp; IF(SUMPRODUCT(-- ISNUMBER(SEARCH({"Unique","Unique Case Insensitive"}, $R17))) &gt; 0, "(" &amp; $R17 &amp; ")", ""))))</f>
        <v>Lookup(Account)</v>
      </c>
      <c r="E17" s="7" t="s">
        <v>5</v>
      </c>
      <c r="F17" s="7" t="s">
        <v>485</v>
      </c>
      <c r="G17" s="7" t="s">
        <v>522</v>
      </c>
      <c r="H17" s="7" t="s">
        <v>195</v>
      </c>
      <c r="I17" s="7" t="s">
        <v>195</v>
      </c>
      <c r="J17" s="7" t="s">
        <v>195</v>
      </c>
      <c r="K17" s="7" t="s">
        <v>195</v>
      </c>
      <c r="L17" s="7" t="s">
        <v>195</v>
      </c>
      <c r="M17" s="7" t="s">
        <v>29</v>
      </c>
      <c r="N17" s="7" t="s">
        <v>29</v>
      </c>
      <c r="O17" s="7" t="s">
        <v>29</v>
      </c>
      <c r="P17" s="7" t="s">
        <v>29</v>
      </c>
      <c r="Q17" s="7" t="s">
        <v>29</v>
      </c>
      <c r="R17" s="7" t="s">
        <v>29</v>
      </c>
      <c r="S17" s="7" t="s">
        <v>29</v>
      </c>
    </row>
    <row r="18" spans="1:19">
      <c r="A18" s="7" t="s">
        <v>11</v>
      </c>
      <c r="B18" s="7" t="s">
        <v>1218</v>
      </c>
      <c r="C18" s="8">
        <v>200</v>
      </c>
      <c r="D18" s="5" t="str">
        <f>LRTRIM(CONCATENATE(IF(SUMPRODUCT(-- ISNUMBER(SEARCH({"Auto Number"}, $B18))) &gt; 0, $B18, IF(SUMPRODUCT(-- ISNUMBER(SEARCH({"Lookup","Master-Detail"}, $B18))) &gt; 0,$B18 &amp; "(" &amp; $E18 &amp; ")",IF(SUMPRODUCT(-- ISNUMBER(SEARCH({"Formula","Roll-Up Summary"}, $B18))) &gt; 0,$B18 &amp; " (" &amp; $E18 &amp; ")",IF(SUMPRODUCT(-- ISNUMBER(SEARCH({"Content","Currency","Number","Percent","Text","URL"}, $B18))) &gt; 0,$B18 &amp; "(" &amp; $C18 &amp; ")",$B18)))), "  ", TRIM(IF($S18 = "YES", "(External ID)", "") &amp; " " &amp; IF(SUMPRODUCT(-- ISNUMBER(SEARCH({"Unique","Unique Case Insensitive"}, $R18))) &gt; 0, "(" &amp; $R18 &amp; ")", ""))))</f>
        <v>Text(200)</v>
      </c>
      <c r="E18" s="7" t="s">
        <v>195</v>
      </c>
      <c r="F18" s="7" t="s">
        <v>20</v>
      </c>
      <c r="G18" s="7" t="s">
        <v>425</v>
      </c>
      <c r="H18" s="7" t="s">
        <v>195</v>
      </c>
      <c r="I18" s="7" t="s">
        <v>195</v>
      </c>
      <c r="J18" s="7" t="s">
        <v>195</v>
      </c>
      <c r="K18" s="7" t="s">
        <v>195</v>
      </c>
      <c r="L18" s="7" t="s">
        <v>195</v>
      </c>
      <c r="M18" s="7" t="s">
        <v>29</v>
      </c>
      <c r="N18" s="7" t="s">
        <v>29</v>
      </c>
      <c r="O18" s="7" t="s">
        <v>29</v>
      </c>
      <c r="P18" s="7" t="s">
        <v>29</v>
      </c>
      <c r="Q18" s="7" t="s">
        <v>29</v>
      </c>
      <c r="R18" s="7" t="s">
        <v>29</v>
      </c>
      <c r="S18" s="7" t="s">
        <v>29</v>
      </c>
    </row>
    <row r="19" spans="1:19">
      <c r="A19" s="7" t="s">
        <v>12</v>
      </c>
      <c r="B19" s="7" t="s">
        <v>386</v>
      </c>
      <c r="C19" s="8">
        <v>0</v>
      </c>
      <c r="D19" s="5" t="str">
        <f>LRTRIM(CONCATENATE(IF(SUMPRODUCT(-- ISNUMBER(SEARCH({"Auto Number"}, $B19))) &gt; 0, $B19, IF(SUMPRODUCT(-- ISNUMBER(SEARCH({"Lookup","Master-Detail"}, $B19))) &gt; 0,$B19 &amp; "(" &amp; $E19 &amp; ")",IF(SUMPRODUCT(-- ISNUMBER(SEARCH({"Formula","Roll-Up Summary"}, $B19))) &gt; 0,$B19 &amp; " (" &amp; $E19 &amp; ")",IF(SUMPRODUCT(-- ISNUMBER(SEARCH({"Content","Currency","Number","Percent","Text","URL"}, $B19))) &gt; 0,$B19 &amp; "(" &amp; $C19 &amp; ")",$B19)))), "  ", TRIM(IF($S19 = "YES", "(External ID)", "") &amp; " " &amp; IF(SUMPRODUCT(-- ISNUMBER(SEARCH({"Unique","Unique Case Insensitive"}, $R19))) &gt; 0, "(" &amp; $R19 &amp; ")", ""))))</f>
        <v>Date</v>
      </c>
      <c r="E19" s="7" t="s">
        <v>195</v>
      </c>
      <c r="F19" s="7" t="s">
        <v>486</v>
      </c>
      <c r="G19" s="7" t="s">
        <v>195</v>
      </c>
      <c r="H19" s="7" t="s">
        <v>195</v>
      </c>
      <c r="I19" s="7" t="s">
        <v>195</v>
      </c>
      <c r="J19" s="7" t="s">
        <v>195</v>
      </c>
      <c r="K19" s="7" t="s">
        <v>195</v>
      </c>
      <c r="L19" s="7" t="s">
        <v>195</v>
      </c>
      <c r="M19" s="7" t="s">
        <v>29</v>
      </c>
      <c r="N19" s="7" t="s">
        <v>29</v>
      </c>
      <c r="O19" s="7" t="s">
        <v>29</v>
      </c>
      <c r="P19" s="7" t="s">
        <v>29</v>
      </c>
      <c r="Q19" s="7" t="s">
        <v>29</v>
      </c>
      <c r="R19" s="7" t="s">
        <v>29</v>
      </c>
      <c r="S19" s="7" t="s">
        <v>29</v>
      </c>
    </row>
    <row r="20" spans="1:19">
      <c r="A20" s="7" t="s">
        <v>13</v>
      </c>
      <c r="B20" s="7" t="s">
        <v>1218</v>
      </c>
      <c r="C20" s="8">
        <v>10</v>
      </c>
      <c r="D20" s="5" t="str">
        <f>LRTRIM(CONCATENATE(IF(SUMPRODUCT(-- ISNUMBER(SEARCH({"Auto Number"}, $B20))) &gt; 0, $B20, IF(SUMPRODUCT(-- ISNUMBER(SEARCH({"Lookup","Master-Detail"}, $B20))) &gt; 0,$B20 &amp; "(" &amp; $E20 &amp; ")",IF(SUMPRODUCT(-- ISNUMBER(SEARCH({"Formula","Roll-Up Summary"}, $B20))) &gt; 0,$B20 &amp; " (" &amp; $E20 &amp; ")",IF(SUMPRODUCT(-- ISNUMBER(SEARCH({"Content","Currency","Number","Percent","Text","URL"}, $B20))) &gt; 0,$B20 &amp; "(" &amp; $C20 &amp; ")",$B20)))), "  ", TRIM(IF($S20 = "YES", "(External ID)", "") &amp; " " &amp; IF(SUMPRODUCT(-- ISNUMBER(SEARCH({"Unique","Unique Case Insensitive"}, $R20))) &gt; 0, "(" &amp; $R20 &amp; ")", ""))))</f>
        <v>Text(10)</v>
      </c>
      <c r="E20" s="7" t="s">
        <v>195</v>
      </c>
      <c r="F20" s="7" t="s">
        <v>24</v>
      </c>
      <c r="G20" s="7" t="s">
        <v>160</v>
      </c>
      <c r="H20" s="7" t="s">
        <v>195</v>
      </c>
      <c r="I20" s="7" t="s">
        <v>195</v>
      </c>
      <c r="J20" s="7" t="s">
        <v>195</v>
      </c>
      <c r="K20" s="7" t="s">
        <v>195</v>
      </c>
      <c r="L20" s="7" t="s">
        <v>195</v>
      </c>
      <c r="M20" s="7" t="s">
        <v>29</v>
      </c>
      <c r="N20" s="7" t="s">
        <v>29</v>
      </c>
      <c r="O20" s="7" t="s">
        <v>29</v>
      </c>
      <c r="P20" s="7" t="s">
        <v>29</v>
      </c>
      <c r="Q20" s="7" t="s">
        <v>29</v>
      </c>
      <c r="R20" s="7" t="s">
        <v>29</v>
      </c>
      <c r="S20" s="7" t="s">
        <v>29</v>
      </c>
    </row>
    <row r="21" spans="1:19">
      <c r="A21" s="7" t="s">
        <v>1810</v>
      </c>
      <c r="B21" s="7" t="s">
        <v>1204</v>
      </c>
      <c r="C21" s="8">
        <v>0</v>
      </c>
      <c r="D21" s="5" t="str">
        <f>LRTRIM(CONCATENATE(IF(SUMPRODUCT(-- ISNUMBER(SEARCH({"Auto Number"}, $B21))) &gt; 0, $B21, IF(SUMPRODUCT(-- ISNUMBER(SEARCH({"Lookup","Master-Detail"}, $B21))) &gt; 0,$B21 &amp; "(" &amp; $E21 &amp; ")",IF(SUMPRODUCT(-- ISNUMBER(SEARCH({"Formula","Roll-Up Summary"}, $B21))) &gt; 0,$B21 &amp; " (" &amp; $E21 &amp; ")",IF(SUMPRODUCT(-- ISNUMBER(SEARCH({"Content","Currency","Number","Percent","Text","URL"}, $B21))) &gt; 0,$B21 &amp; "(" &amp; $C21 &amp; ")",$B21)))), "  ", TRIM(IF($S21 = "YES", "(External ID)", "") &amp; " " &amp; IF(SUMPRODUCT(-- ISNUMBER(SEARCH({"Unique","Unique Case Insensitive"}, $R21))) &gt; 0, "(" &amp; $R21 &amp; ")", ""))))</f>
        <v>Checkbox</v>
      </c>
      <c r="E21" s="7" t="s">
        <v>195</v>
      </c>
      <c r="F21" s="7" t="s">
        <v>1811</v>
      </c>
      <c r="G21" s="7" t="s">
        <v>1812</v>
      </c>
      <c r="H21" s="7" t="s">
        <v>195</v>
      </c>
      <c r="I21" s="7" t="s">
        <v>195</v>
      </c>
      <c r="J21" s="7" t="s">
        <v>195</v>
      </c>
      <c r="K21" s="7" t="s">
        <v>195</v>
      </c>
      <c r="L21" s="7" t="s">
        <v>195</v>
      </c>
      <c r="M21" s="7" t="s">
        <v>29</v>
      </c>
      <c r="N21" s="7" t="s">
        <v>29</v>
      </c>
      <c r="O21" s="7" t="s">
        <v>29</v>
      </c>
      <c r="P21" s="7" t="s">
        <v>29</v>
      </c>
      <c r="Q21" s="7" t="s">
        <v>29</v>
      </c>
      <c r="R21" s="7" t="s">
        <v>29</v>
      </c>
      <c r="S21" s="7" t="s">
        <v>29</v>
      </c>
    </row>
    <row r="22" spans="1:19">
      <c r="A22" s="7" t="s">
        <v>444</v>
      </c>
      <c r="B22" s="7" t="s">
        <v>1215</v>
      </c>
      <c r="C22" s="8">
        <v>255</v>
      </c>
      <c r="D22" s="5" t="str">
        <f>LRTRIM(CONCATENATE(IF(SUMPRODUCT(-- ISNUMBER(SEARCH({"Auto Number"}, $B22))) &gt; 0, $B22, IF(SUMPRODUCT(-- ISNUMBER(SEARCH({"Lookup","Master-Detail"}, $B22))) &gt; 0,$B22 &amp; "(" &amp; $E22 &amp; ")",IF(SUMPRODUCT(-- ISNUMBER(SEARCH({"Formula","Roll-Up Summary"}, $B22))) &gt; 0,$B22 &amp; " (" &amp; $E22 &amp; ")",IF(SUMPRODUCT(-- ISNUMBER(SEARCH({"Content","Currency","Number","Percent","Text","URL"}, $B22))) &gt; 0,$B22 &amp; "(" &amp; $C22 &amp; ")",$B22)))), "  ", TRIM(IF($S22 = "YES", "(External ID)", "") &amp; " " &amp; IF(SUMPRODUCT(-- ISNUMBER(SEARCH({"Unique","Unique Case Insensitive"}, $R22))) &gt; 0, "(" &amp; $R22 &amp; ")", ""))))</f>
        <v>Picklist</v>
      </c>
      <c r="E22" s="7" t="s">
        <v>195</v>
      </c>
      <c r="F22" s="7" t="s">
        <v>487</v>
      </c>
      <c r="G22" s="7" t="s">
        <v>524</v>
      </c>
      <c r="H22" s="7" t="s">
        <v>195</v>
      </c>
      <c r="I22" s="7" t="s">
        <v>467</v>
      </c>
      <c r="J22" s="7" t="s">
        <v>195</v>
      </c>
      <c r="K22" s="7" t="s">
        <v>195</v>
      </c>
      <c r="L22" s="7" t="s">
        <v>195</v>
      </c>
      <c r="M22" s="7" t="s">
        <v>29</v>
      </c>
      <c r="N22" s="7" t="s">
        <v>29</v>
      </c>
      <c r="O22" s="7" t="s">
        <v>29</v>
      </c>
      <c r="P22" s="7" t="s">
        <v>29</v>
      </c>
      <c r="Q22" s="7" t="s">
        <v>29</v>
      </c>
      <c r="R22" s="7" t="s">
        <v>29</v>
      </c>
      <c r="S22" s="7" t="s">
        <v>29</v>
      </c>
    </row>
    <row r="23" spans="1:19">
      <c r="A23" s="7" t="s">
        <v>445</v>
      </c>
      <c r="B23" s="7" t="s">
        <v>386</v>
      </c>
      <c r="C23" s="8">
        <v>0</v>
      </c>
      <c r="D23" s="5" t="str">
        <f>LRTRIM(CONCATENATE(IF(SUMPRODUCT(-- ISNUMBER(SEARCH({"Auto Number"}, $B23))) &gt; 0, $B23, IF(SUMPRODUCT(-- ISNUMBER(SEARCH({"Lookup","Master-Detail"}, $B23))) &gt; 0,$B23 &amp; "(" &amp; $E23 &amp; ")",IF(SUMPRODUCT(-- ISNUMBER(SEARCH({"Formula","Roll-Up Summary"}, $B23))) &gt; 0,$B23 &amp; " (" &amp; $E23 &amp; ")",IF(SUMPRODUCT(-- ISNUMBER(SEARCH({"Content","Currency","Number","Percent","Text","URL"}, $B23))) &gt; 0,$B23 &amp; "(" &amp; $C23 &amp; ")",$B23)))), "  ", TRIM(IF($S23 = "YES", "(External ID)", "") &amp; " " &amp; IF(SUMPRODUCT(-- ISNUMBER(SEARCH({"Unique","Unique Case Insensitive"}, $R23))) &gt; 0, "(" &amp; $R23 &amp; ")", ""))))</f>
        <v>Date</v>
      </c>
      <c r="E23" s="7" t="s">
        <v>195</v>
      </c>
      <c r="F23" s="7" t="s">
        <v>488</v>
      </c>
      <c r="G23" s="7" t="s">
        <v>525</v>
      </c>
      <c r="H23" s="7" t="s">
        <v>195</v>
      </c>
      <c r="I23" s="7" t="s">
        <v>195</v>
      </c>
      <c r="J23" s="7" t="s">
        <v>195</v>
      </c>
      <c r="K23" s="7" t="s">
        <v>195</v>
      </c>
      <c r="L23" s="7" t="s">
        <v>195</v>
      </c>
      <c r="M23" s="7" t="s">
        <v>29</v>
      </c>
      <c r="N23" s="7" t="s">
        <v>29</v>
      </c>
      <c r="O23" s="7" t="s">
        <v>29</v>
      </c>
      <c r="P23" s="7" t="s">
        <v>29</v>
      </c>
      <c r="Q23" s="7" t="s">
        <v>29</v>
      </c>
      <c r="R23" s="7" t="s">
        <v>29</v>
      </c>
      <c r="S23" s="7" t="s">
        <v>29</v>
      </c>
    </row>
    <row r="24" spans="1:19">
      <c r="A24" s="7" t="s">
        <v>446</v>
      </c>
      <c r="B24" s="7" t="s">
        <v>1204</v>
      </c>
      <c r="C24" s="8">
        <v>0</v>
      </c>
      <c r="D24" s="5" t="str">
        <f>LRTRIM(CONCATENATE(IF(SUMPRODUCT(-- ISNUMBER(SEARCH({"Auto Number"}, $B24))) &gt; 0, $B24, IF(SUMPRODUCT(-- ISNUMBER(SEARCH({"Lookup","Master-Detail"}, $B24))) &gt; 0,$B24 &amp; "(" &amp; $E24 &amp; ")",IF(SUMPRODUCT(-- ISNUMBER(SEARCH({"Formula","Roll-Up Summary"}, $B24))) &gt; 0,$B24 &amp; " (" &amp; $E24 &amp; ")",IF(SUMPRODUCT(-- ISNUMBER(SEARCH({"Content","Currency","Number","Percent","Text","URL"}, $B24))) &gt; 0,$B24 &amp; "(" &amp; $C24 &amp; ")",$B24)))), "  ", TRIM(IF($S24 = "YES", "(External ID)", "") &amp; " " &amp; IF(SUMPRODUCT(-- ISNUMBER(SEARCH({"Unique","Unique Case Insensitive"}, $R24))) &gt; 0, "(" &amp; $R24 &amp; ")", ""))))</f>
        <v>Checkbox</v>
      </c>
      <c r="E24" s="7" t="s">
        <v>195</v>
      </c>
      <c r="F24" s="7" t="s">
        <v>489</v>
      </c>
      <c r="G24" s="7" t="s">
        <v>526</v>
      </c>
      <c r="H24" s="7" t="s">
        <v>195</v>
      </c>
      <c r="I24" s="7" t="s">
        <v>195</v>
      </c>
      <c r="J24" s="7" t="s">
        <v>195</v>
      </c>
      <c r="K24" s="7" t="s">
        <v>195</v>
      </c>
      <c r="L24" s="7" t="s">
        <v>195</v>
      </c>
      <c r="M24" s="7" t="s">
        <v>28</v>
      </c>
      <c r="N24" s="7" t="s">
        <v>29</v>
      </c>
      <c r="O24" s="7" t="s">
        <v>29</v>
      </c>
      <c r="P24" s="7" t="s">
        <v>29</v>
      </c>
      <c r="Q24" s="7" t="s">
        <v>29</v>
      </c>
      <c r="R24" s="7" t="s">
        <v>29</v>
      </c>
      <c r="S24" s="7" t="s">
        <v>29</v>
      </c>
    </row>
    <row r="25" spans="1:19">
      <c r="A25" s="7" t="s">
        <v>447</v>
      </c>
      <c r="B25" s="7" t="s">
        <v>386</v>
      </c>
      <c r="C25" s="8">
        <v>0</v>
      </c>
      <c r="D25" s="5" t="str">
        <f>LRTRIM(CONCATENATE(IF(SUMPRODUCT(-- ISNUMBER(SEARCH({"Auto Number"}, $B25))) &gt; 0, $B25, IF(SUMPRODUCT(-- ISNUMBER(SEARCH({"Lookup","Master-Detail"}, $B25))) &gt; 0,$B25 &amp; "(" &amp; $E25 &amp; ")",IF(SUMPRODUCT(-- ISNUMBER(SEARCH({"Formula","Roll-Up Summary"}, $B25))) &gt; 0,$B25 &amp; " (" &amp; $E25 &amp; ")",IF(SUMPRODUCT(-- ISNUMBER(SEARCH({"Content","Currency","Number","Percent","Text","URL"}, $B25))) &gt; 0,$B25 &amp; "(" &amp; $C25 &amp; ")",$B25)))), "  ", TRIM(IF($S25 = "YES", "(External ID)", "") &amp; " " &amp; IF(SUMPRODUCT(-- ISNUMBER(SEARCH({"Unique","Unique Case Insensitive"}, $R25))) &gt; 0, "(" &amp; $R25 &amp; ")", ""))))</f>
        <v>Date</v>
      </c>
      <c r="E25" s="7" t="s">
        <v>195</v>
      </c>
      <c r="F25" s="7" t="s">
        <v>490</v>
      </c>
      <c r="G25" s="7" t="s">
        <v>527</v>
      </c>
      <c r="H25" s="7" t="s">
        <v>195</v>
      </c>
      <c r="I25" s="7" t="s">
        <v>195</v>
      </c>
      <c r="J25" s="7" t="s">
        <v>195</v>
      </c>
      <c r="K25" s="7" t="s">
        <v>195</v>
      </c>
      <c r="L25" s="7" t="s">
        <v>195</v>
      </c>
      <c r="M25" s="7" t="s">
        <v>29</v>
      </c>
      <c r="N25" s="7" t="s">
        <v>29</v>
      </c>
      <c r="O25" s="7" t="s">
        <v>29</v>
      </c>
      <c r="P25" s="7" t="s">
        <v>29</v>
      </c>
      <c r="Q25" s="7" t="s">
        <v>29</v>
      </c>
      <c r="R25" s="7" t="s">
        <v>29</v>
      </c>
      <c r="S25" s="7" t="s">
        <v>29</v>
      </c>
    </row>
    <row r="26" spans="1:19">
      <c r="A26" s="7" t="s">
        <v>448</v>
      </c>
      <c r="B26" s="7" t="s">
        <v>386</v>
      </c>
      <c r="C26" s="8">
        <v>0</v>
      </c>
      <c r="D26" s="5" t="str">
        <f>LRTRIM(CONCATENATE(IF(SUMPRODUCT(-- ISNUMBER(SEARCH({"Auto Number"}, $B26))) &gt; 0, $B26, IF(SUMPRODUCT(-- ISNUMBER(SEARCH({"Lookup","Master-Detail"}, $B26))) &gt; 0,$B26 &amp; "(" &amp; $E26 &amp; ")",IF(SUMPRODUCT(-- ISNUMBER(SEARCH({"Formula","Roll-Up Summary"}, $B26))) &gt; 0,$B26 &amp; " (" &amp; $E26 &amp; ")",IF(SUMPRODUCT(-- ISNUMBER(SEARCH({"Content","Currency","Number","Percent","Text","URL"}, $B26))) &gt; 0,$B26 &amp; "(" &amp; $C26 &amp; ")",$B26)))), "  ", TRIM(IF($S26 = "YES", "(External ID)", "") &amp; " " &amp; IF(SUMPRODUCT(-- ISNUMBER(SEARCH({"Unique","Unique Case Insensitive"}, $R26))) &gt; 0, "(" &amp; $R26 &amp; ")", ""))))</f>
        <v>Date</v>
      </c>
      <c r="E26" s="7" t="s">
        <v>195</v>
      </c>
      <c r="F26" s="7" t="s">
        <v>491</v>
      </c>
      <c r="G26" s="7" t="s">
        <v>195</v>
      </c>
      <c r="H26" s="7" t="s">
        <v>195</v>
      </c>
      <c r="I26" s="7" t="s">
        <v>195</v>
      </c>
      <c r="J26" s="7" t="s">
        <v>195</v>
      </c>
      <c r="K26" s="7" t="s">
        <v>195</v>
      </c>
      <c r="L26" s="7" t="s">
        <v>195</v>
      </c>
      <c r="M26" s="7" t="s">
        <v>29</v>
      </c>
      <c r="N26" s="7" t="s">
        <v>29</v>
      </c>
      <c r="O26" s="7" t="s">
        <v>29</v>
      </c>
      <c r="P26" s="7" t="s">
        <v>29</v>
      </c>
      <c r="Q26" s="7" t="s">
        <v>29</v>
      </c>
      <c r="R26" s="7" t="s">
        <v>29</v>
      </c>
      <c r="S26" s="7" t="s">
        <v>29</v>
      </c>
    </row>
    <row r="27" spans="1:19">
      <c r="A27" s="7" t="s">
        <v>14</v>
      </c>
      <c r="B27" s="7" t="s">
        <v>1204</v>
      </c>
      <c r="C27" s="8">
        <v>0</v>
      </c>
      <c r="D27" s="5" t="str">
        <f>LRTRIM(CONCATENATE(IF(SUMPRODUCT(-- ISNUMBER(SEARCH({"Auto Number"}, $B27))) &gt; 0, $B27, IF(SUMPRODUCT(-- ISNUMBER(SEARCH({"Lookup","Master-Detail"}, $B27))) &gt; 0,$B27 &amp; "(" &amp; $E27 &amp; ")",IF(SUMPRODUCT(-- ISNUMBER(SEARCH({"Formula","Roll-Up Summary"}, $B27))) &gt; 0,$B27 &amp; " (" &amp; $E27 &amp; ")",IF(SUMPRODUCT(-- ISNUMBER(SEARCH({"Content","Currency","Number","Percent","Text","URL"}, $B27))) &gt; 0,$B27 &amp; "(" &amp; $C27 &amp; ")",$B27)))), "  ", TRIM(IF($S27 = "YES", "(External ID)", "") &amp; " " &amp; IF(SUMPRODUCT(-- ISNUMBER(SEARCH({"Unique","Unique Case Insensitive"}, $R27))) &gt; 0, "(" &amp; $R27 &amp; ")", ""))))</f>
        <v>Checkbox</v>
      </c>
      <c r="E27" s="7" t="s">
        <v>195</v>
      </c>
      <c r="F27" s="7" t="s">
        <v>25</v>
      </c>
      <c r="G27" s="7" t="s">
        <v>195</v>
      </c>
      <c r="H27" s="7" t="s">
        <v>195</v>
      </c>
      <c r="I27" s="7" t="s">
        <v>195</v>
      </c>
      <c r="J27" s="7" t="s">
        <v>195</v>
      </c>
      <c r="K27" s="7" t="s">
        <v>195</v>
      </c>
      <c r="L27" s="7" t="s">
        <v>195</v>
      </c>
      <c r="M27" s="7" t="s">
        <v>28</v>
      </c>
      <c r="N27" s="7" t="s">
        <v>29</v>
      </c>
      <c r="O27" s="7" t="s">
        <v>29</v>
      </c>
      <c r="P27" s="7" t="s">
        <v>29</v>
      </c>
      <c r="Q27" s="7" t="s">
        <v>29</v>
      </c>
      <c r="R27" s="7" t="s">
        <v>29</v>
      </c>
      <c r="S27" s="7" t="s">
        <v>29</v>
      </c>
    </row>
    <row r="28" spans="1:19">
      <c r="A28" s="7" t="s">
        <v>2</v>
      </c>
      <c r="B28" s="7" t="s">
        <v>1218</v>
      </c>
      <c r="C28" s="8">
        <v>80</v>
      </c>
      <c r="D28" s="5" t="str">
        <f>LRTRIM(CONCATENATE(IF(SUMPRODUCT(-- ISNUMBER(SEARCH({"Auto Number"}, $B28))) &gt; 0, $B28, IF(SUMPRODUCT(-- ISNUMBER(SEARCH({"Lookup","Master-Detail"}, $B28))) &gt; 0,$B28 &amp; "(" &amp; $E28 &amp; ")",IF(SUMPRODUCT(-- ISNUMBER(SEARCH({"Formula","Roll-Up Summary"}, $B28))) &gt; 0,$B28 &amp; " (" &amp; $E28 &amp; ")",IF(SUMPRODUCT(-- ISNUMBER(SEARCH({"Content","Currency","Number","Percent","Text","URL"}, $B28))) &gt; 0,$B28 &amp; "(" &amp; $C28 &amp; ")",$B28)))), "  ", TRIM(IF($S28 = "YES", "(External ID)", "") &amp; " " &amp; IF(SUMPRODUCT(-- ISNUMBER(SEARCH({"Unique","Unique Case Insensitive"}, $R28))) &gt; 0, "(" &amp; $R28 &amp; ")", ""))))</f>
        <v>Text(80)</v>
      </c>
      <c r="E28" s="7" t="s">
        <v>195</v>
      </c>
      <c r="F28" s="7" t="s">
        <v>492</v>
      </c>
      <c r="G28" s="7" t="s">
        <v>195</v>
      </c>
      <c r="H28" s="7" t="s">
        <v>195</v>
      </c>
      <c r="I28" s="7" t="s">
        <v>195</v>
      </c>
      <c r="J28" s="7" t="s">
        <v>195</v>
      </c>
      <c r="K28" s="7" t="s">
        <v>195</v>
      </c>
      <c r="L28" s="7" t="s">
        <v>195</v>
      </c>
      <c r="M28" s="7" t="s">
        <v>29</v>
      </c>
      <c r="N28" s="7" t="s">
        <v>29</v>
      </c>
      <c r="O28" s="7" t="s">
        <v>29</v>
      </c>
      <c r="P28" s="7" t="s">
        <v>29</v>
      </c>
      <c r="Q28" s="7" t="s">
        <v>29</v>
      </c>
      <c r="R28" s="7" t="s">
        <v>29</v>
      </c>
      <c r="S28" s="7" t="s">
        <v>29</v>
      </c>
    </row>
    <row r="29" spans="1:19">
      <c r="A29" s="7" t="s">
        <v>449</v>
      </c>
      <c r="B29" s="7" t="s">
        <v>1213</v>
      </c>
      <c r="C29" s="8" t="s">
        <v>1250</v>
      </c>
      <c r="D29" s="5" t="str">
        <f>LRTRIM(CONCATENATE(IF(SUMPRODUCT(-- ISNUMBER(SEARCH({"Auto Number"}, $B29))) &gt; 0, $B29, IF(SUMPRODUCT(-- ISNUMBER(SEARCH({"Lookup","Master-Detail"}, $B29))) &gt; 0,$B29 &amp; "(" &amp; $E29 &amp; ")",IF(SUMPRODUCT(-- ISNUMBER(SEARCH({"Formula","Roll-Up Summary"}, $B29))) &gt; 0,$B29 &amp; " (" &amp; $E29 &amp; ")",IF(SUMPRODUCT(-- ISNUMBER(SEARCH({"Content","Currency","Number","Percent","Text","URL"}, $B29))) &gt; 0,$B29 &amp; "(" &amp; $C29 &amp; ")",$B29)))), "  ", TRIM(IF($S29 = "YES", "(External ID)", "") &amp; " " &amp; IF(SUMPRODUCT(-- ISNUMBER(SEARCH({"Unique","Unique Case Insensitive"}, $R29))) &gt; 0, "(" &amp; $R29 &amp; ")", ""))))</f>
        <v>Number(18, 0)</v>
      </c>
      <c r="E29" s="7" t="s">
        <v>195</v>
      </c>
      <c r="F29" s="7" t="s">
        <v>493</v>
      </c>
      <c r="G29" s="7" t="s">
        <v>529</v>
      </c>
      <c r="H29" s="7" t="s">
        <v>195</v>
      </c>
      <c r="I29" s="7" t="s">
        <v>195</v>
      </c>
      <c r="J29" s="7" t="s">
        <v>195</v>
      </c>
      <c r="K29" s="7" t="s">
        <v>195</v>
      </c>
      <c r="L29" s="7" t="s">
        <v>195</v>
      </c>
      <c r="M29" s="7" t="s">
        <v>29</v>
      </c>
      <c r="N29" s="7" t="s">
        <v>29</v>
      </c>
      <c r="O29" s="7" t="s">
        <v>29</v>
      </c>
      <c r="P29" s="7" t="s">
        <v>29</v>
      </c>
      <c r="Q29" s="7" t="s">
        <v>29</v>
      </c>
      <c r="R29" s="7" t="s">
        <v>29</v>
      </c>
      <c r="S29" s="7" t="s">
        <v>29</v>
      </c>
    </row>
    <row r="30" spans="1:19">
      <c r="A30" s="7" t="s">
        <v>450</v>
      </c>
      <c r="B30" s="7" t="s">
        <v>1206</v>
      </c>
      <c r="C30" s="8" t="s">
        <v>1289</v>
      </c>
      <c r="D30" s="5" t="str">
        <f>LRTRIM(CONCATENATE(IF(SUMPRODUCT(-- ISNUMBER(SEARCH({"Auto Number"}, $B30))) &gt; 0, $B30, IF(SUMPRODUCT(-- ISNUMBER(SEARCH({"Lookup","Master-Detail"}, $B30))) &gt; 0,$B30 &amp; "(" &amp; $E30 &amp; ")",IF(SUMPRODUCT(-- ISNUMBER(SEARCH({"Formula","Roll-Up Summary"}, $B30))) &gt; 0,$B30 &amp; " (" &amp; $E30 &amp; ")",IF(SUMPRODUCT(-- ISNUMBER(SEARCH({"Content","Currency","Number","Percent","Text","URL"}, $B30))) &gt; 0,$B30 &amp; "(" &amp; $C30 &amp; ")",$B30)))), "  ", TRIM(IF($S30 = "YES", "(External ID)", "") &amp; " " &amp; IF(SUMPRODUCT(-- ISNUMBER(SEARCH({"Unique","Unique Case Insensitive"}, $R30))) &gt; 0, "(" &amp; $R30 &amp; ")", ""))))</f>
        <v>Currency(16, 2)</v>
      </c>
      <c r="E30" s="7" t="s">
        <v>195</v>
      </c>
      <c r="F30" s="7" t="s">
        <v>494</v>
      </c>
      <c r="G30" s="7" t="s">
        <v>530</v>
      </c>
      <c r="H30" s="7" t="s">
        <v>195</v>
      </c>
      <c r="I30" s="7" t="s">
        <v>195</v>
      </c>
      <c r="J30" s="7" t="s">
        <v>195</v>
      </c>
      <c r="K30" s="7" t="s">
        <v>195</v>
      </c>
      <c r="L30" s="7" t="s">
        <v>195</v>
      </c>
      <c r="M30" s="7" t="s">
        <v>29</v>
      </c>
      <c r="N30" s="7" t="s">
        <v>29</v>
      </c>
      <c r="O30" s="7" t="s">
        <v>29</v>
      </c>
      <c r="P30" s="7" t="s">
        <v>29</v>
      </c>
      <c r="Q30" s="7" t="s">
        <v>29</v>
      </c>
      <c r="R30" s="7" t="s">
        <v>29</v>
      </c>
      <c r="S30" s="7" t="s">
        <v>29</v>
      </c>
    </row>
    <row r="31" spans="1:19">
      <c r="A31" s="7" t="s">
        <v>451</v>
      </c>
      <c r="B31" s="7" t="s">
        <v>1213</v>
      </c>
      <c r="C31" s="8" t="s">
        <v>1382</v>
      </c>
      <c r="D31" s="5" t="str">
        <f>LRTRIM(CONCATENATE(IF(SUMPRODUCT(-- ISNUMBER(SEARCH({"Auto Number"}, $B31))) &gt; 0, $B31, IF(SUMPRODUCT(-- ISNUMBER(SEARCH({"Lookup","Master-Detail"}, $B31))) &gt; 0,$B31 &amp; "(" &amp; $E31 &amp; ")",IF(SUMPRODUCT(-- ISNUMBER(SEARCH({"Formula","Roll-Up Summary"}, $B31))) &gt; 0,$B31 &amp; " (" &amp; $E31 &amp; ")",IF(SUMPRODUCT(-- ISNUMBER(SEARCH({"Content","Currency","Number","Percent","Text","URL"}, $B31))) &gt; 0,$B31 &amp; "(" &amp; $C31 &amp; ")",$B31)))), "  ", TRIM(IF($S31 = "YES", "(External ID)", "") &amp; " " &amp; IF(SUMPRODUCT(-- ISNUMBER(SEARCH({"Unique","Unique Case Insensitive"}, $R31))) &gt; 0, "(" &amp; $R31 &amp; ")", ""))))</f>
        <v>Number(3, 0)</v>
      </c>
      <c r="E31" s="7" t="s">
        <v>195</v>
      </c>
      <c r="F31" s="7" t="s">
        <v>495</v>
      </c>
      <c r="G31" s="7" t="s">
        <v>531</v>
      </c>
      <c r="H31" s="7" t="s">
        <v>195</v>
      </c>
      <c r="I31" s="7" t="s">
        <v>195</v>
      </c>
      <c r="J31" s="7" t="s">
        <v>195</v>
      </c>
      <c r="K31" s="7" t="s">
        <v>195</v>
      </c>
      <c r="L31" s="7" t="s">
        <v>195</v>
      </c>
      <c r="M31" s="7" t="s">
        <v>29</v>
      </c>
      <c r="N31" s="7" t="s">
        <v>29</v>
      </c>
      <c r="O31" s="7" t="s">
        <v>29</v>
      </c>
      <c r="P31" s="7" t="s">
        <v>29</v>
      </c>
      <c r="Q31" s="7" t="s">
        <v>29</v>
      </c>
      <c r="R31" s="7" t="s">
        <v>29</v>
      </c>
      <c r="S31" s="7" t="s">
        <v>29</v>
      </c>
    </row>
    <row r="32" spans="1:19">
      <c r="A32" s="7" t="s">
        <v>87</v>
      </c>
      <c r="B32" s="7" t="s">
        <v>1211</v>
      </c>
      <c r="C32" s="8">
        <v>18</v>
      </c>
      <c r="D32" s="5" t="str">
        <f>LRTRIM(CONCATENATE(IF(SUMPRODUCT(-- ISNUMBER(SEARCH({"Auto Number"}, $B32))) &gt; 0, $B32, IF(SUMPRODUCT(-- ISNUMBER(SEARCH({"Lookup","Master-Detail"}, $B32))) &gt; 0,$B32 &amp; "(" &amp; $E32 &amp; ")",IF(SUMPRODUCT(-- ISNUMBER(SEARCH({"Formula","Roll-Up Summary"}, $B32))) &gt; 0,$B32 &amp; " (" &amp; $E32 &amp; ")",IF(SUMPRODUCT(-- ISNUMBER(SEARCH({"Content","Currency","Number","Percent","Text","URL"}, $B32))) &gt; 0,$B32 &amp; "(" &amp; $C32 &amp; ")",$B32)))), "  ", TRIM(IF($S32 = "YES", "(External ID)", "") &amp; " " &amp; IF(SUMPRODUCT(-- ISNUMBER(SEARCH({"Unique","Unique Case Insensitive"}, $R32))) &gt; 0, "(" &amp; $R32 &amp; ")", ""))))</f>
        <v>Lookup(User)</v>
      </c>
      <c r="E32" s="7" t="s">
        <v>7</v>
      </c>
      <c r="F32" s="7" t="s">
        <v>496</v>
      </c>
      <c r="G32" s="7" t="s">
        <v>195</v>
      </c>
      <c r="H32" s="7" t="s">
        <v>195</v>
      </c>
      <c r="I32" s="7" t="s">
        <v>195</v>
      </c>
      <c r="J32" s="7" t="s">
        <v>195</v>
      </c>
      <c r="K32" s="7" t="s">
        <v>195</v>
      </c>
      <c r="L32" s="7" t="s">
        <v>195</v>
      </c>
      <c r="M32" s="7" t="s">
        <v>29</v>
      </c>
      <c r="N32" s="7" t="s">
        <v>29</v>
      </c>
      <c r="O32" s="7" t="s">
        <v>29</v>
      </c>
      <c r="P32" s="7" t="s">
        <v>29</v>
      </c>
      <c r="Q32" s="7" t="s">
        <v>29</v>
      </c>
      <c r="R32" s="7" t="s">
        <v>29</v>
      </c>
      <c r="S32" s="7" t="s">
        <v>29</v>
      </c>
    </row>
    <row r="33" spans="1:19">
      <c r="A33" s="7" t="s">
        <v>452</v>
      </c>
      <c r="B33" s="7" t="s">
        <v>386</v>
      </c>
      <c r="C33" s="8">
        <v>0</v>
      </c>
      <c r="D33" s="5" t="str">
        <f>LRTRIM(CONCATENATE(IF(SUMPRODUCT(-- ISNUMBER(SEARCH({"Auto Number"}, $B33))) &gt; 0, $B33, IF(SUMPRODUCT(-- ISNUMBER(SEARCH({"Lookup","Master-Detail"}, $B33))) &gt; 0,$B33 &amp; "(" &amp; $E33 &amp; ")",IF(SUMPRODUCT(-- ISNUMBER(SEARCH({"Formula","Roll-Up Summary"}, $B33))) &gt; 0,$B33 &amp; " (" &amp; $E33 &amp; ")",IF(SUMPRODUCT(-- ISNUMBER(SEARCH({"Content","Currency","Number","Percent","Text","URL"}, $B33))) &gt; 0,$B33 &amp; "(" &amp; $C33 &amp; ")",$B33)))), "  ", TRIM(IF($S33 = "YES", "(External ID)", "") &amp; " " &amp; IF(SUMPRODUCT(-- ISNUMBER(SEARCH({"Unique","Unique Case Insensitive"}, $R33))) &gt; 0, "(" &amp; $R33 &amp; ")", ""))))</f>
        <v>Date</v>
      </c>
      <c r="E33" s="7" t="s">
        <v>195</v>
      </c>
      <c r="F33" s="7" t="s">
        <v>497</v>
      </c>
      <c r="G33" s="7" t="s">
        <v>532</v>
      </c>
      <c r="H33" s="7" t="s">
        <v>195</v>
      </c>
      <c r="I33" s="7" t="s">
        <v>195</v>
      </c>
      <c r="J33" s="7" t="s">
        <v>195</v>
      </c>
      <c r="K33" s="7" t="s">
        <v>195</v>
      </c>
      <c r="L33" s="7" t="s">
        <v>195</v>
      </c>
      <c r="M33" s="7" t="s">
        <v>29</v>
      </c>
      <c r="N33" s="7" t="s">
        <v>29</v>
      </c>
      <c r="O33" s="7" t="s">
        <v>29</v>
      </c>
      <c r="P33" s="7" t="s">
        <v>29</v>
      </c>
      <c r="Q33" s="7" t="s">
        <v>29</v>
      </c>
      <c r="R33" s="7" t="s">
        <v>29</v>
      </c>
      <c r="S33" s="7" t="s">
        <v>29</v>
      </c>
    </row>
    <row r="34" spans="1:19">
      <c r="A34" s="7" t="s">
        <v>453</v>
      </c>
      <c r="B34" s="7" t="s">
        <v>1218</v>
      </c>
      <c r="C34" s="8">
        <v>255</v>
      </c>
      <c r="D34" s="5" t="str">
        <f>LRTRIM(CONCATENATE(IF(SUMPRODUCT(-- ISNUMBER(SEARCH({"Auto Number"}, $B34))) &gt; 0, $B34, IF(SUMPRODUCT(-- ISNUMBER(SEARCH({"Lookup","Master-Detail"}, $B34))) &gt; 0,$B34 &amp; "(" &amp; $E34 &amp; ")",IF(SUMPRODUCT(-- ISNUMBER(SEARCH({"Formula","Roll-Up Summary"}, $B34))) &gt; 0,$B34 &amp; " (" &amp; $E34 &amp; ")",IF(SUMPRODUCT(-- ISNUMBER(SEARCH({"Content","Currency","Number","Percent","Text","URL"}, $B34))) &gt; 0,$B34 &amp; "(" &amp; $C34 &amp; ")",$B34)))), "  ", TRIM(IF($S34 = "YES", "(External ID)", "") &amp; " " &amp; IF(SUMPRODUCT(-- ISNUMBER(SEARCH({"Unique","Unique Case Insensitive"}, $R34))) &gt; 0, "(" &amp; $R34 &amp; ")", ""))))</f>
        <v>Text(255)  (External ID)</v>
      </c>
      <c r="E34" s="7" t="s">
        <v>195</v>
      </c>
      <c r="F34" s="7" t="s">
        <v>498</v>
      </c>
      <c r="G34" s="7" t="s">
        <v>533</v>
      </c>
      <c r="H34" s="7" t="s">
        <v>195</v>
      </c>
      <c r="I34" s="7" t="s">
        <v>195</v>
      </c>
      <c r="J34" s="7" t="s">
        <v>195</v>
      </c>
      <c r="K34" s="7" t="s">
        <v>195</v>
      </c>
      <c r="L34" s="7" t="s">
        <v>195</v>
      </c>
      <c r="M34" s="7" t="s">
        <v>29</v>
      </c>
      <c r="N34" s="7" t="s">
        <v>29</v>
      </c>
      <c r="O34" s="7" t="s">
        <v>29</v>
      </c>
      <c r="P34" s="7" t="s">
        <v>29</v>
      </c>
      <c r="Q34" s="7" t="s">
        <v>29</v>
      </c>
      <c r="R34" s="7" t="s">
        <v>29</v>
      </c>
      <c r="S34" s="7" t="s">
        <v>28</v>
      </c>
    </row>
    <row r="35" spans="1:19">
      <c r="A35" s="7" t="s">
        <v>454</v>
      </c>
      <c r="B35" s="7" t="s">
        <v>1218</v>
      </c>
      <c r="C35" s="8">
        <v>50</v>
      </c>
      <c r="D35" s="5" t="str">
        <f>LRTRIM(CONCATENATE(IF(SUMPRODUCT(-- ISNUMBER(SEARCH({"Auto Number"}, $B35))) &gt; 0, $B35, IF(SUMPRODUCT(-- ISNUMBER(SEARCH({"Lookup","Master-Detail"}, $B35))) &gt; 0,$B35 &amp; "(" &amp; $E35 &amp; ")",IF(SUMPRODUCT(-- ISNUMBER(SEARCH({"Formula","Roll-Up Summary"}, $B35))) &gt; 0,$B35 &amp; " (" &amp; $E35 &amp; ")",IF(SUMPRODUCT(-- ISNUMBER(SEARCH({"Content","Currency","Number","Percent","Text","URL"}, $B35))) &gt; 0,$B35 &amp; "(" &amp; $C35 &amp; ")",$B35)))), "  ", TRIM(IF($S35 = "YES", "(External ID)", "") &amp; " " &amp; IF(SUMPRODUCT(-- ISNUMBER(SEARCH({"Unique","Unique Case Insensitive"}, $R35))) &gt; 0, "(" &amp; $R35 &amp; ")", ""))))</f>
        <v>Text(50)</v>
      </c>
      <c r="E35" s="7" t="s">
        <v>195</v>
      </c>
      <c r="F35" s="7" t="s">
        <v>499</v>
      </c>
      <c r="G35" s="7" t="s">
        <v>534</v>
      </c>
      <c r="H35" s="7" t="s">
        <v>195</v>
      </c>
      <c r="I35" s="7" t="s">
        <v>195</v>
      </c>
      <c r="J35" s="7" t="s">
        <v>195</v>
      </c>
      <c r="K35" s="7" t="s">
        <v>195</v>
      </c>
      <c r="L35" s="7" t="s">
        <v>195</v>
      </c>
      <c r="M35" s="7" t="s">
        <v>29</v>
      </c>
      <c r="N35" s="7" t="s">
        <v>29</v>
      </c>
      <c r="O35" s="7" t="s">
        <v>29</v>
      </c>
      <c r="P35" s="7" t="s">
        <v>29</v>
      </c>
      <c r="Q35" s="7" t="s">
        <v>29</v>
      </c>
      <c r="R35" s="7" t="s">
        <v>29</v>
      </c>
      <c r="S35" s="7" t="s">
        <v>29</v>
      </c>
    </row>
    <row r="36" spans="1:19">
      <c r="A36" s="7" t="s">
        <v>1387</v>
      </c>
      <c r="B36" s="7" t="s">
        <v>1209</v>
      </c>
      <c r="C36" s="8" t="s">
        <v>195</v>
      </c>
      <c r="D36" s="5" t="str">
        <f>LRTRIM(CONCATENATE(IF(SUMPRODUCT(-- ISNUMBER(SEARCH({"Auto Number"}, $B36))) &gt; 0, $B36, IF(SUMPRODUCT(-- ISNUMBER(SEARCH({"Lookup","Master-Detail"}, $B36))) &gt; 0,$B36 &amp; "(" &amp; $E36 &amp; ")",IF(SUMPRODUCT(-- ISNUMBER(SEARCH({"Formula","Roll-Up Summary"}, $B36))) &gt; 0,$B36 &amp; " (" &amp; $E36 &amp; ")",IF(SUMPRODUCT(-- ISNUMBER(SEARCH({"Content","Currency","Number","Percent","Text","URL"}, $B36))) &gt; 0,$B36 &amp; "(" &amp; $C36 &amp; ")",$B36)))), "  ", TRIM(IF($S36 = "YES", "(External ID)", "") &amp; " " &amp; IF(SUMPRODUCT(-- ISNUMBER(SEARCH({"Unique","Unique Case Insensitive"}, $R36))) &gt; 0, "(" &amp; $R36 &amp; ")", ""))))</f>
        <v>Formula (Text)</v>
      </c>
      <c r="E36" s="7" t="s">
        <v>1218</v>
      </c>
      <c r="F36" s="7" t="s">
        <v>1386</v>
      </c>
      <c r="G36" s="7" t="s">
        <v>195</v>
      </c>
      <c r="H36" s="7" t="s">
        <v>195</v>
      </c>
      <c r="I36" s="7" t="s">
        <v>195</v>
      </c>
      <c r="J36" s="7" t="s">
        <v>195</v>
      </c>
      <c r="K36" s="7" t="s">
        <v>195</v>
      </c>
      <c r="L36" s="7" t="s">
        <v>195</v>
      </c>
      <c r="M36" s="7" t="s">
        <v>29</v>
      </c>
      <c r="N36" s="7" t="s">
        <v>29</v>
      </c>
      <c r="O36" s="7" t="s">
        <v>29</v>
      </c>
      <c r="P36" s="7" t="s">
        <v>29</v>
      </c>
      <c r="Q36" s="7" t="s">
        <v>29</v>
      </c>
      <c r="R36" s="7" t="s">
        <v>29</v>
      </c>
      <c r="S36" s="7" t="s">
        <v>29</v>
      </c>
    </row>
    <row r="37" spans="1:19">
      <c r="A37" s="7" t="s">
        <v>455</v>
      </c>
      <c r="B37" s="7" t="s">
        <v>1215</v>
      </c>
      <c r="C37" s="8">
        <v>255</v>
      </c>
      <c r="D37" s="5" t="str">
        <f>LRTRIM(CONCATENATE(IF(SUMPRODUCT(-- ISNUMBER(SEARCH({"Auto Number"}, $B37))) &gt; 0, $B37, IF(SUMPRODUCT(-- ISNUMBER(SEARCH({"Lookup","Master-Detail"}, $B37))) &gt; 0,$B37 &amp; "(" &amp; $E37 &amp; ")",IF(SUMPRODUCT(-- ISNUMBER(SEARCH({"Formula","Roll-Up Summary"}, $B37))) &gt; 0,$B37 &amp; " (" &amp; $E37 &amp; ")",IF(SUMPRODUCT(-- ISNUMBER(SEARCH({"Content","Currency","Number","Percent","Text","URL"}, $B37))) &gt; 0,$B37 &amp; "(" &amp; $C37 &amp; ")",$B37)))), "  ", TRIM(IF($S37 = "YES", "(External ID)", "") &amp; " " &amp; IF(SUMPRODUCT(-- ISNUMBER(SEARCH({"Unique","Unique Case Insensitive"}, $R37))) &gt; 0, "(" &amp; $R37 &amp; ")", ""))))</f>
        <v>Picklist</v>
      </c>
      <c r="E37" s="7" t="s">
        <v>195</v>
      </c>
      <c r="F37" s="7" t="s">
        <v>500</v>
      </c>
      <c r="G37" s="7" t="s">
        <v>535</v>
      </c>
      <c r="H37" s="7" t="s">
        <v>195</v>
      </c>
      <c r="I37" s="7" t="s">
        <v>468</v>
      </c>
      <c r="J37" s="7" t="s">
        <v>195</v>
      </c>
      <c r="K37" s="7" t="s">
        <v>195</v>
      </c>
      <c r="L37" s="7" t="s">
        <v>195</v>
      </c>
      <c r="M37" s="7" t="s">
        <v>29</v>
      </c>
      <c r="N37" s="7" t="s">
        <v>29</v>
      </c>
      <c r="O37" s="7" t="s">
        <v>29</v>
      </c>
      <c r="P37" s="7" t="s">
        <v>29</v>
      </c>
      <c r="Q37" s="7" t="s">
        <v>29</v>
      </c>
      <c r="R37" s="7" t="s">
        <v>29</v>
      </c>
      <c r="S37" s="7" t="s">
        <v>29</v>
      </c>
    </row>
    <row r="38" spans="1:19">
      <c r="A38" s="7" t="s">
        <v>456</v>
      </c>
      <c r="B38" s="7" t="s">
        <v>1215</v>
      </c>
      <c r="C38" s="8">
        <v>255</v>
      </c>
      <c r="D38" s="5" t="str">
        <f>LRTRIM(CONCATENATE(IF(SUMPRODUCT(-- ISNUMBER(SEARCH({"Auto Number"}, $B38))) &gt; 0, $B38, IF(SUMPRODUCT(-- ISNUMBER(SEARCH({"Lookup","Master-Detail"}, $B38))) &gt; 0,$B38 &amp; "(" &amp; $E38 &amp; ")",IF(SUMPRODUCT(-- ISNUMBER(SEARCH({"Formula","Roll-Up Summary"}, $B38))) &gt; 0,$B38 &amp; " (" &amp; $E38 &amp; ")",IF(SUMPRODUCT(-- ISNUMBER(SEARCH({"Content","Currency","Number","Percent","Text","URL"}, $B38))) &gt; 0,$B38 &amp; "(" &amp; $C38 &amp; ")",$B38)))), "  ", TRIM(IF($S38 = "YES", "(External ID)", "") &amp; " " &amp; IF(SUMPRODUCT(-- ISNUMBER(SEARCH({"Unique","Unique Case Insensitive"}, $R38))) &gt; 0, "(" &amp; $R38 &amp; ")", ""))))</f>
        <v>Picklist</v>
      </c>
      <c r="E38" s="7" t="s">
        <v>195</v>
      </c>
      <c r="F38" s="7" t="s">
        <v>501</v>
      </c>
      <c r="G38" s="7" t="s">
        <v>536</v>
      </c>
      <c r="H38" s="7" t="s">
        <v>195</v>
      </c>
      <c r="I38" s="7" t="s">
        <v>469</v>
      </c>
      <c r="J38" s="7" t="s">
        <v>195</v>
      </c>
      <c r="K38" s="7" t="s">
        <v>195</v>
      </c>
      <c r="L38" s="7" t="s">
        <v>195</v>
      </c>
      <c r="M38" s="7" t="s">
        <v>29</v>
      </c>
      <c r="N38" s="7" t="s">
        <v>29</v>
      </c>
      <c r="O38" s="7" t="s">
        <v>29</v>
      </c>
      <c r="P38" s="7" t="s">
        <v>29</v>
      </c>
      <c r="Q38" s="7" t="s">
        <v>29</v>
      </c>
      <c r="R38" s="7" t="s">
        <v>29</v>
      </c>
      <c r="S38" s="7" t="s">
        <v>29</v>
      </c>
    </row>
    <row r="39" spans="1:19">
      <c r="A39" s="7" t="s">
        <v>457</v>
      </c>
      <c r="B39" s="7" t="s">
        <v>1211</v>
      </c>
      <c r="C39" s="8">
        <v>18</v>
      </c>
      <c r="D39" s="5" t="str">
        <f>LRTRIM(CONCATENATE(IF(SUMPRODUCT(-- ISNUMBER(SEARCH({"Auto Number"}, $B39))) &gt; 0, $B39, IF(SUMPRODUCT(-- ISNUMBER(SEARCH({"Lookup","Master-Detail"}, $B39))) &gt; 0,$B39 &amp; "(" &amp; $E39 &amp; ")",IF(SUMPRODUCT(-- ISNUMBER(SEARCH({"Formula","Roll-Up Summary"}, $B39))) &gt; 0,$B39 &amp; " (" &amp; $E39 &amp; ")",IF(SUMPRODUCT(-- ISNUMBER(SEARCH({"Content","Currency","Number","Percent","Text","URL"}, $B39))) &gt; 0,$B39 &amp; "(" &amp; $C39 &amp; ")",$B39)))), "  ", TRIM(IF($S39 = "YES", "(External ID)", "") &amp; " " &amp; IF(SUMPRODUCT(-- ISNUMBER(SEARCH({"Unique","Unique Case Insensitive"}, $R39))) &gt; 0, "(" &amp; $R39 &amp; ")", ""))))</f>
        <v>Lookup(Price Book)</v>
      </c>
      <c r="E39" s="7" t="s">
        <v>1383</v>
      </c>
      <c r="F39" s="7" t="s">
        <v>1383</v>
      </c>
      <c r="G39" s="7" t="s">
        <v>195</v>
      </c>
      <c r="H39" s="7" t="s">
        <v>195</v>
      </c>
      <c r="I39" s="7" t="s">
        <v>195</v>
      </c>
      <c r="J39" s="7" t="s">
        <v>195</v>
      </c>
      <c r="K39" s="7" t="s">
        <v>195</v>
      </c>
      <c r="L39" s="7" t="s">
        <v>195</v>
      </c>
      <c r="M39" s="7" t="s">
        <v>29</v>
      </c>
      <c r="N39" s="7" t="s">
        <v>29</v>
      </c>
      <c r="O39" s="7" t="s">
        <v>29</v>
      </c>
      <c r="P39" s="7" t="s">
        <v>29</v>
      </c>
      <c r="Q39" s="7" t="s">
        <v>29</v>
      </c>
      <c r="R39" s="7" t="s">
        <v>29</v>
      </c>
      <c r="S39" s="7" t="s">
        <v>29</v>
      </c>
    </row>
    <row r="40" spans="1:19">
      <c r="A40" s="7" t="s">
        <v>458</v>
      </c>
      <c r="B40" s="7" t="s">
        <v>1215</v>
      </c>
      <c r="C40" s="8">
        <v>255</v>
      </c>
      <c r="D40" s="5" t="str">
        <f>LRTRIM(CONCATENATE(IF(SUMPRODUCT(-- ISNUMBER(SEARCH({"Auto Number"}, $B40))) &gt; 0, $B40, IF(SUMPRODUCT(-- ISNUMBER(SEARCH({"Lookup","Master-Detail"}, $B40))) &gt; 0,$B40 &amp; "(" &amp; $E40 &amp; ")",IF(SUMPRODUCT(-- ISNUMBER(SEARCH({"Formula","Roll-Up Summary"}, $B40))) &gt; 0,$B40 &amp; " (" &amp; $E40 &amp; ")",IF(SUMPRODUCT(-- ISNUMBER(SEARCH({"Content","Currency","Number","Percent","Text","URL"}, $B40))) &gt; 0,$B40 &amp; "(" &amp; $C40 &amp; ")",$B40)))), "  ", TRIM(IF($S40 = "YES", "(External ID)", "") &amp; " " &amp; IF(SUMPRODUCT(-- ISNUMBER(SEARCH({"Unique","Unique Case Insensitive"}, $R40))) &gt; 0, "(" &amp; $R40 &amp; ")", ""))))</f>
        <v>Picklist</v>
      </c>
      <c r="E40" s="7" t="s">
        <v>195</v>
      </c>
      <c r="F40" s="7" t="s">
        <v>503</v>
      </c>
      <c r="G40" s="7" t="s">
        <v>537</v>
      </c>
      <c r="H40" s="7" t="s">
        <v>195</v>
      </c>
      <c r="I40" s="7" t="s">
        <v>470</v>
      </c>
      <c r="J40" s="7" t="s">
        <v>195</v>
      </c>
      <c r="K40" s="7" t="s">
        <v>195</v>
      </c>
      <c r="L40" s="7" t="s">
        <v>195</v>
      </c>
      <c r="M40" s="7" t="s">
        <v>29</v>
      </c>
      <c r="N40" s="7" t="s">
        <v>29</v>
      </c>
      <c r="O40" s="7" t="s">
        <v>29</v>
      </c>
      <c r="P40" s="7" t="s">
        <v>29</v>
      </c>
      <c r="Q40" s="7" t="s">
        <v>29</v>
      </c>
      <c r="R40" s="7" t="s">
        <v>29</v>
      </c>
      <c r="S40" s="7" t="s">
        <v>29</v>
      </c>
    </row>
    <row r="41" spans="1:19">
      <c r="A41" s="7" t="s">
        <v>459</v>
      </c>
      <c r="B41" s="7" t="s">
        <v>1209</v>
      </c>
      <c r="C41" s="8">
        <v>1300</v>
      </c>
      <c r="D41" s="5" t="str">
        <f>LRTRIM(CONCATENATE(IF(SUMPRODUCT(-- ISNUMBER(SEARCH({"Auto Number"}, $B41))) &gt; 0, $B41, IF(SUMPRODUCT(-- ISNUMBER(SEARCH({"Lookup","Master-Detail"}, $B41))) &gt; 0,$B41 &amp; "(" &amp; $E41 &amp; ")",IF(SUMPRODUCT(-- ISNUMBER(SEARCH({"Formula","Roll-Up Summary"}, $B41))) &gt; 0,$B41 &amp; " (" &amp; $E41 &amp; ")",IF(SUMPRODUCT(-- ISNUMBER(SEARCH({"Content","Currency","Number","Percent","Text","URL"}, $B41))) &gt; 0,$B41 &amp; "(" &amp; $C41 &amp; ")",$B41)))), "  ", TRIM(IF($S41 = "YES", "(External ID)", "") &amp; " " &amp; IF(SUMPRODUCT(-- ISNUMBER(SEARCH({"Unique","Unique Case Insensitive"}, $R41))) &gt; 0, "(" &amp; $R41 &amp; ")", ""))))</f>
        <v>Formula (Text)</v>
      </c>
      <c r="E41" s="7" t="s">
        <v>1218</v>
      </c>
      <c r="F41" s="7" t="s">
        <v>504</v>
      </c>
      <c r="G41" s="7" t="s">
        <v>538</v>
      </c>
      <c r="H41" s="7" t="s">
        <v>195</v>
      </c>
      <c r="I41" s="7" t="s">
        <v>195</v>
      </c>
      <c r="J41" s="7" t="s">
        <v>195</v>
      </c>
      <c r="K41" s="7" t="s">
        <v>195</v>
      </c>
      <c r="L41" s="7" t="s">
        <v>195</v>
      </c>
      <c r="M41" s="7" t="s">
        <v>29</v>
      </c>
      <c r="N41" s="7" t="s">
        <v>29</v>
      </c>
      <c r="O41" s="7" t="s">
        <v>29</v>
      </c>
      <c r="P41" s="7" t="s">
        <v>29</v>
      </c>
      <c r="Q41" s="7" t="s">
        <v>29</v>
      </c>
      <c r="R41" s="7" t="s">
        <v>29</v>
      </c>
      <c r="S41" s="7" t="s">
        <v>29</v>
      </c>
    </row>
    <row r="42" spans="1:19">
      <c r="A42" s="7" t="s">
        <v>460</v>
      </c>
      <c r="B42" s="7" t="s">
        <v>1209</v>
      </c>
      <c r="C42" s="8">
        <v>1300</v>
      </c>
      <c r="D42" s="5" t="str">
        <f>LRTRIM(CONCATENATE(IF(SUMPRODUCT(-- ISNUMBER(SEARCH({"Auto Number"}, $B42))) &gt; 0, $B42, IF(SUMPRODUCT(-- ISNUMBER(SEARCH({"Lookup","Master-Detail"}, $B42))) &gt; 0,$B42 &amp; "(" &amp; $E42 &amp; ")",IF(SUMPRODUCT(-- ISNUMBER(SEARCH({"Formula","Roll-Up Summary"}, $B42))) &gt; 0,$B42 &amp; " (" &amp; $E42 &amp; ")",IF(SUMPRODUCT(-- ISNUMBER(SEARCH({"Content","Currency","Number","Percent","Text","URL"}, $B42))) &gt; 0,$B42 &amp; "(" &amp; $C42 &amp; ")",$B42)))), "  ", TRIM(IF($S42 = "YES", "(External ID)", "") &amp; " " &amp; IF(SUMPRODUCT(-- ISNUMBER(SEARCH({"Unique","Unique Case Insensitive"}, $R42))) &gt; 0, "(" &amp; $R42 &amp; ")", ""))))</f>
        <v>Formula (Text)</v>
      </c>
      <c r="E42" s="7" t="s">
        <v>1218</v>
      </c>
      <c r="F42" s="7" t="s">
        <v>505</v>
      </c>
      <c r="G42" s="7" t="s">
        <v>539</v>
      </c>
      <c r="H42" s="7" t="s">
        <v>195</v>
      </c>
      <c r="I42" s="7" t="s">
        <v>195</v>
      </c>
      <c r="J42" s="7" t="s">
        <v>195</v>
      </c>
      <c r="K42" s="7" t="s">
        <v>195</v>
      </c>
      <c r="L42" s="7" t="s">
        <v>195</v>
      </c>
      <c r="M42" s="7" t="s">
        <v>29</v>
      </c>
      <c r="N42" s="7" t="s">
        <v>29</v>
      </c>
      <c r="O42" s="7" t="s">
        <v>29</v>
      </c>
      <c r="P42" s="7" t="s">
        <v>29</v>
      </c>
      <c r="Q42" s="7" t="s">
        <v>29</v>
      </c>
      <c r="R42" s="7" t="s">
        <v>29</v>
      </c>
      <c r="S42" s="7" t="s">
        <v>29</v>
      </c>
    </row>
    <row r="43" spans="1:19">
      <c r="A43" s="7" t="s">
        <v>199</v>
      </c>
      <c r="B43" s="7" t="s">
        <v>1211</v>
      </c>
      <c r="C43" s="8">
        <v>18</v>
      </c>
      <c r="D43" s="5" t="str">
        <f>LRTRIM(CONCATENATE(IF(SUMPRODUCT(-- ISNUMBER(SEARCH({"Auto Number"}, $B43))) &gt; 0, $B43, IF(SUMPRODUCT(-- ISNUMBER(SEARCH({"Lookup","Master-Detail"}, $B43))) &gt; 0,$B43 &amp; "(" &amp; $E43 &amp; ")",IF(SUMPRODUCT(-- ISNUMBER(SEARCH({"Formula","Roll-Up Summary"}, $B43))) &gt; 0,$B43 &amp; " (" &amp; $E43 &amp; ")",IF(SUMPRODUCT(-- ISNUMBER(SEARCH({"Content","Currency","Number","Percent","Text","URL"}, $B43))) &gt; 0,$B43 &amp; "(" &amp; $C43 &amp; ")",$B43)))), "  ", TRIM(IF($S43 = "YES", "(External ID)", "") &amp; " " &amp; IF(SUMPRODUCT(-- ISNUMBER(SEARCH({"Unique","Unique Case Insensitive"}, $R43))) &gt; 0, "(" &amp; $R43 &amp; ")", ""))))</f>
        <v>Lookup(Product)</v>
      </c>
      <c r="E43" s="7" t="s">
        <v>506</v>
      </c>
      <c r="F43" s="7" t="s">
        <v>506</v>
      </c>
      <c r="G43" s="7" t="s">
        <v>211</v>
      </c>
      <c r="H43" s="7" t="s">
        <v>195</v>
      </c>
      <c r="I43" s="7" t="s">
        <v>195</v>
      </c>
      <c r="J43" s="7" t="s">
        <v>195</v>
      </c>
      <c r="K43" s="7" t="s">
        <v>195</v>
      </c>
      <c r="L43" s="7" t="s">
        <v>195</v>
      </c>
      <c r="M43" s="7" t="s">
        <v>29</v>
      </c>
      <c r="N43" s="7" t="s">
        <v>29</v>
      </c>
      <c r="O43" s="7" t="s">
        <v>29</v>
      </c>
      <c r="P43" s="7" t="s">
        <v>29</v>
      </c>
      <c r="Q43" s="7" t="s">
        <v>29</v>
      </c>
      <c r="R43" s="7" t="s">
        <v>29</v>
      </c>
      <c r="S43" s="7" t="s">
        <v>29</v>
      </c>
    </row>
    <row r="44" spans="1:19">
      <c r="A44" s="7" t="s">
        <v>461</v>
      </c>
      <c r="B44" s="7" t="s">
        <v>1206</v>
      </c>
      <c r="C44" s="8" t="s">
        <v>1289</v>
      </c>
      <c r="D44" s="5" t="str">
        <f>LRTRIM(CONCATENATE(IF(SUMPRODUCT(-- ISNUMBER(SEARCH({"Auto Number"}, $B44))) &gt; 0, $B44, IF(SUMPRODUCT(-- ISNUMBER(SEARCH({"Lookup","Master-Detail"}, $B44))) &gt; 0,$B44 &amp; "(" &amp; $E44 &amp; ")",IF(SUMPRODUCT(-- ISNUMBER(SEARCH({"Formula","Roll-Up Summary"}, $B44))) &gt; 0,$B44 &amp; " (" &amp; $E44 &amp; ")",IF(SUMPRODUCT(-- ISNUMBER(SEARCH({"Content","Currency","Number","Percent","Text","URL"}, $B44))) &gt; 0,$B44 &amp; "(" &amp; $C44 &amp; ")",$B44)))), "  ", TRIM(IF($S44 = "YES", "(External ID)", "") &amp; " " &amp; IF(SUMPRODUCT(-- ISNUMBER(SEARCH({"Unique","Unique Case Insensitive"}, $R44))) &gt; 0, "(" &amp; $R44 &amp; ")", ""))))</f>
        <v>Currency(16, 2)</v>
      </c>
      <c r="E44" s="7" t="s">
        <v>195</v>
      </c>
      <c r="F44" s="7" t="s">
        <v>507</v>
      </c>
      <c r="G44" s="7" t="s">
        <v>540</v>
      </c>
      <c r="H44" s="7" t="s">
        <v>195</v>
      </c>
      <c r="I44" s="7" t="s">
        <v>195</v>
      </c>
      <c r="J44" s="7" t="s">
        <v>195</v>
      </c>
      <c r="K44" s="7" t="s">
        <v>195</v>
      </c>
      <c r="L44" s="7" t="s">
        <v>195</v>
      </c>
      <c r="M44" s="7" t="s">
        <v>29</v>
      </c>
      <c r="N44" s="7" t="s">
        <v>29</v>
      </c>
      <c r="O44" s="7" t="s">
        <v>29</v>
      </c>
      <c r="P44" s="7" t="s">
        <v>29</v>
      </c>
      <c r="Q44" s="7" t="s">
        <v>29</v>
      </c>
      <c r="R44" s="7" t="s">
        <v>29</v>
      </c>
      <c r="S44" s="7" t="s">
        <v>29</v>
      </c>
    </row>
    <row r="45" spans="1:19">
      <c r="A45" s="7" t="s">
        <v>462</v>
      </c>
      <c r="B45" s="7" t="s">
        <v>1206</v>
      </c>
      <c r="C45" s="8" t="s">
        <v>1289</v>
      </c>
      <c r="D45" s="5" t="str">
        <f>LRTRIM(CONCATENATE(IF(SUMPRODUCT(-- ISNUMBER(SEARCH({"Auto Number"}, $B45))) &gt; 0, $B45, IF(SUMPRODUCT(-- ISNUMBER(SEARCH({"Lookup","Master-Detail"}, $B45))) &gt; 0,$B45 &amp; "(" &amp; $E45 &amp; ")",IF(SUMPRODUCT(-- ISNUMBER(SEARCH({"Formula","Roll-Up Summary"}, $B45))) &gt; 0,$B45 &amp; " (" &amp; $E45 &amp; ")",IF(SUMPRODUCT(-- ISNUMBER(SEARCH({"Content","Currency","Number","Percent","Text","URL"}, $B45))) &gt; 0,$B45 &amp; "(" &amp; $C45 &amp; ")",$B45)))), "  ", TRIM(IF($S45 = "YES", "(External ID)", "") &amp; " " &amp; IF(SUMPRODUCT(-- ISNUMBER(SEARCH({"Unique","Unique Case Insensitive"}, $R45))) &gt; 0, "(" &amp; $R45 &amp; ")", ""))))</f>
        <v>Currency(16, 2)</v>
      </c>
      <c r="E45" s="7" t="s">
        <v>195</v>
      </c>
      <c r="F45" s="7" t="s">
        <v>508</v>
      </c>
      <c r="G45" s="7" t="s">
        <v>541</v>
      </c>
      <c r="H45" s="7" t="s">
        <v>195</v>
      </c>
      <c r="I45" s="7" t="s">
        <v>195</v>
      </c>
      <c r="J45" s="7" t="s">
        <v>195</v>
      </c>
      <c r="K45" s="7" t="s">
        <v>195</v>
      </c>
      <c r="L45" s="7" t="s">
        <v>195</v>
      </c>
      <c r="M45" s="7" t="s">
        <v>29</v>
      </c>
      <c r="N45" s="7" t="s">
        <v>29</v>
      </c>
      <c r="O45" s="7" t="s">
        <v>29</v>
      </c>
      <c r="P45" s="7" t="s">
        <v>29</v>
      </c>
      <c r="Q45" s="7" t="s">
        <v>29</v>
      </c>
      <c r="R45" s="7" t="s">
        <v>29</v>
      </c>
      <c r="S45" s="7" t="s">
        <v>29</v>
      </c>
    </row>
    <row r="46" spans="1:19">
      <c r="A46" s="7" t="s">
        <v>463</v>
      </c>
      <c r="B46" s="7" t="s">
        <v>386</v>
      </c>
      <c r="C46" s="8">
        <v>0</v>
      </c>
      <c r="D46" s="5" t="str">
        <f>LRTRIM(CONCATENATE(IF(SUMPRODUCT(-- ISNUMBER(SEARCH({"Auto Number"}, $B46))) &gt; 0, $B46, IF(SUMPRODUCT(-- ISNUMBER(SEARCH({"Lookup","Master-Detail"}, $B46))) &gt; 0,$B46 &amp; "(" &amp; $E46 &amp; ")",IF(SUMPRODUCT(-- ISNUMBER(SEARCH({"Formula","Roll-Up Summary"}, $B46))) &gt; 0,$B46 &amp; " (" &amp; $E46 &amp; ")",IF(SUMPRODUCT(-- ISNUMBER(SEARCH({"Content","Currency","Number","Percent","Text","URL"}, $B46))) &gt; 0,$B46 &amp; "(" &amp; $C46 &amp; ")",$B46)))), "  ", TRIM(IF($S46 = "YES", "(External ID)", "") &amp; " " &amp; IF(SUMPRODUCT(-- ISNUMBER(SEARCH({"Unique","Unique Case Insensitive"}, $R46))) &gt; 0, "(" &amp; $R46 &amp; ")", ""))))</f>
        <v>Date</v>
      </c>
      <c r="E46" s="7" t="s">
        <v>195</v>
      </c>
      <c r="F46" s="7" t="s">
        <v>509</v>
      </c>
      <c r="G46" s="7" t="s">
        <v>195</v>
      </c>
      <c r="H46" s="7" t="s">
        <v>195</v>
      </c>
      <c r="I46" s="7" t="s">
        <v>195</v>
      </c>
      <c r="J46" s="7" t="s">
        <v>195</v>
      </c>
      <c r="K46" s="7" t="s">
        <v>195</v>
      </c>
      <c r="L46" s="7" t="s">
        <v>195</v>
      </c>
      <c r="M46" s="7" t="s">
        <v>29</v>
      </c>
      <c r="N46" s="7" t="s">
        <v>29</v>
      </c>
      <c r="O46" s="7" t="s">
        <v>29</v>
      </c>
      <c r="P46" s="7" t="s">
        <v>29</v>
      </c>
      <c r="Q46" s="7" t="s">
        <v>29</v>
      </c>
      <c r="R46" s="7" t="s">
        <v>29</v>
      </c>
      <c r="S46" s="7" t="s">
        <v>29</v>
      </c>
    </row>
    <row r="47" spans="1:19">
      <c r="A47" s="7" t="s">
        <v>308</v>
      </c>
      <c r="B47" s="7" t="s">
        <v>1215</v>
      </c>
      <c r="C47" s="8">
        <v>100</v>
      </c>
      <c r="D47" s="5" t="str">
        <f>LRTRIM(CONCATENATE(IF(SUMPRODUCT(-- ISNUMBER(SEARCH({"Auto Number"}, $B47))) &gt; 0, $B47, IF(SUMPRODUCT(-- ISNUMBER(SEARCH({"Lookup","Master-Detail"}, $B47))) &gt; 0,$B47 &amp; "(" &amp; $E47 &amp; ")",IF(SUMPRODUCT(-- ISNUMBER(SEARCH({"Formula","Roll-Up Summary"}, $B47))) &gt; 0,$B47 &amp; " (" &amp; $E47 &amp; ")",IF(SUMPRODUCT(-- ISNUMBER(SEARCH({"Content","Currency","Number","Percent","Text","URL"}, $B47))) &gt; 0,$B47 &amp; "(" &amp; $C47 &amp; ")",$B47)))), "  ", TRIM(IF($S47 = "YES", "(External ID)", "") &amp; " " &amp; IF(SUMPRODUCT(-- ISNUMBER(SEARCH({"Unique","Unique Case Insensitive"}, $R47))) &gt; 0, "(" &amp; $R47 &amp; ")", ""))))</f>
        <v>Picklist</v>
      </c>
      <c r="E47" s="7" t="s">
        <v>195</v>
      </c>
      <c r="F47" s="7" t="s">
        <v>308</v>
      </c>
      <c r="G47" s="7" t="s">
        <v>195</v>
      </c>
      <c r="H47" s="7" t="s">
        <v>195</v>
      </c>
      <c r="I47" s="7" t="s">
        <v>472</v>
      </c>
      <c r="J47" s="7" t="s">
        <v>195</v>
      </c>
      <c r="K47" s="7" t="s">
        <v>195</v>
      </c>
      <c r="L47" s="7" t="s">
        <v>195</v>
      </c>
      <c r="M47" s="7" t="s">
        <v>29</v>
      </c>
      <c r="N47" s="7" t="s">
        <v>29</v>
      </c>
      <c r="O47" s="7" t="s">
        <v>29</v>
      </c>
      <c r="P47" s="7" t="s">
        <v>29</v>
      </c>
      <c r="Q47" s="7" t="s">
        <v>29</v>
      </c>
      <c r="R47" s="7" t="s">
        <v>29</v>
      </c>
      <c r="S47" s="7" t="s">
        <v>29</v>
      </c>
    </row>
    <row r="48" spans="1:19">
      <c r="A48" s="7" t="s">
        <v>464</v>
      </c>
      <c r="B48" s="7" t="s">
        <v>1206</v>
      </c>
      <c r="C48" s="8" t="s">
        <v>1289</v>
      </c>
      <c r="D48" s="5" t="str">
        <f>LRTRIM(CONCATENATE(IF(SUMPRODUCT(-- ISNUMBER(SEARCH({"Auto Number"}, $B48))) &gt; 0, $B48, IF(SUMPRODUCT(-- ISNUMBER(SEARCH({"Lookup","Master-Detail"}, $B48))) &gt; 0,$B48 &amp; "(" &amp; $E48 &amp; ")",IF(SUMPRODUCT(-- ISNUMBER(SEARCH({"Formula","Roll-Up Summary"}, $B48))) &gt; 0,$B48 &amp; " (" &amp; $E48 &amp; ")",IF(SUMPRODUCT(-- ISNUMBER(SEARCH({"Content","Currency","Number","Percent","Text","URL"}, $B48))) &gt; 0,$B48 &amp; "(" &amp; $C48 &amp; ")",$B48)))), "  ", TRIM(IF($S48 = "YES", "(External ID)", "") &amp; " " &amp; IF(SUMPRODUCT(-- ISNUMBER(SEARCH({"Unique","Unique Case Insensitive"}, $R48))) &gt; 0, "(" &amp; $R48 &amp; ")", ""))))</f>
        <v>Currency(16, 2)</v>
      </c>
      <c r="E48" s="7" t="s">
        <v>195</v>
      </c>
      <c r="F48" s="7" t="s">
        <v>510</v>
      </c>
      <c r="G48" s="7" t="s">
        <v>543</v>
      </c>
      <c r="H48" s="7" t="s">
        <v>195</v>
      </c>
      <c r="I48" s="7" t="s">
        <v>195</v>
      </c>
      <c r="J48" s="7" t="s">
        <v>195</v>
      </c>
      <c r="K48" s="7" t="s">
        <v>195</v>
      </c>
      <c r="L48" s="7" t="s">
        <v>195</v>
      </c>
      <c r="M48" s="7" t="s">
        <v>29</v>
      </c>
      <c r="N48" s="7" t="s">
        <v>29</v>
      </c>
      <c r="O48" s="7" t="s">
        <v>29</v>
      </c>
      <c r="P48" s="7" t="s">
        <v>29</v>
      </c>
      <c r="Q48" s="7" t="s">
        <v>29</v>
      </c>
      <c r="R48" s="7" t="s">
        <v>29</v>
      </c>
      <c r="S48" s="7" t="s">
        <v>29</v>
      </c>
    </row>
    <row r="49" spans="1:19">
      <c r="A49" s="7" t="s">
        <v>465</v>
      </c>
      <c r="B49" s="7" t="s">
        <v>1206</v>
      </c>
      <c r="C49" s="8" t="s">
        <v>1289</v>
      </c>
      <c r="D49" s="5" t="str">
        <f>LRTRIM(CONCATENATE(IF(SUMPRODUCT(-- ISNUMBER(SEARCH({"Auto Number"}, $B49))) &gt; 0, $B49, IF(SUMPRODUCT(-- ISNUMBER(SEARCH({"Lookup","Master-Detail"}, $B49))) &gt; 0,$B49 &amp; "(" &amp; $E49 &amp; ")",IF(SUMPRODUCT(-- ISNUMBER(SEARCH({"Formula","Roll-Up Summary"}, $B49))) &gt; 0,$B49 &amp; " (" &amp; $E49 &amp; ")",IF(SUMPRODUCT(-- ISNUMBER(SEARCH({"Content","Currency","Number","Percent","Text","URL"}, $B49))) &gt; 0,$B49 &amp; "(" &amp; $C49 &amp; ")",$B49)))), "  ", TRIM(IF($S49 = "YES", "(External ID)", "") &amp; " " &amp; IF(SUMPRODUCT(-- ISNUMBER(SEARCH({"Unique","Unique Case Insensitive"}, $R49))) &gt; 0, "(" &amp; $R49 &amp; ")", ""))))</f>
        <v>Currency(16, 2)</v>
      </c>
      <c r="E49" s="7" t="s">
        <v>195</v>
      </c>
      <c r="F49" s="7" t="s">
        <v>511</v>
      </c>
      <c r="G49" s="7" t="s">
        <v>1385</v>
      </c>
      <c r="H49" s="7" t="s">
        <v>195</v>
      </c>
      <c r="I49" s="7" t="s">
        <v>195</v>
      </c>
      <c r="J49" s="7" t="s">
        <v>195</v>
      </c>
      <c r="K49" s="7" t="s">
        <v>195</v>
      </c>
      <c r="L49" s="7" t="s">
        <v>195</v>
      </c>
      <c r="M49" s="7" t="s">
        <v>29</v>
      </c>
      <c r="N49" s="7" t="s">
        <v>29</v>
      </c>
      <c r="O49" s="7" t="s">
        <v>29</v>
      </c>
      <c r="P49" s="7" t="s">
        <v>29</v>
      </c>
      <c r="Q49" s="7" t="s">
        <v>29</v>
      </c>
      <c r="R49" s="7" t="s">
        <v>29</v>
      </c>
      <c r="S49" s="7" t="s">
        <v>29</v>
      </c>
    </row>
    <row r="50" spans="1:19">
      <c r="A50" s="7" t="s">
        <v>1280</v>
      </c>
      <c r="B50" s="7" t="s">
        <v>195</v>
      </c>
      <c r="C50" s="8" t="s">
        <v>195</v>
      </c>
      <c r="D50" s="5" t="str">
        <f>LRTRIM(CONCATENATE(IF(SUMPRODUCT(-- ISNUMBER(SEARCH({"Auto Number"}, $B50))) &gt; 0, $B50, IF(SUMPRODUCT(-- ISNUMBER(SEARCH({"Lookup","Master-Detail"}, $B50))) &gt; 0,$B50 &amp; "(" &amp; $E50 &amp; ")",IF(SUMPRODUCT(-- ISNUMBER(SEARCH({"Formula","Roll-Up Summary"}, $B50))) &gt; 0,$B50 &amp; " (" &amp; $E50 &amp; ")",IF(SUMPRODUCT(-- ISNUMBER(SEARCH({"Content","Currency","Number","Percent","Text","URL"}, $B50))) &gt; 0,$B50 &amp; "(" &amp; $C50 &amp; ")",$B50)))), "  ", TRIM(IF($S50 = "YES", "(External ID)", "") &amp; " " &amp; IF(SUMPRODUCT(-- ISNUMBER(SEARCH({"Unique","Unique Case Insensitive"}, $R50))) &gt; 0, "(" &amp; $R50 &amp; ")", ""))))</f>
        <v>na</v>
      </c>
      <c r="E50" s="7" t="s">
        <v>195</v>
      </c>
      <c r="F50" s="7" t="s">
        <v>195</v>
      </c>
      <c r="G50" s="7" t="s">
        <v>195</v>
      </c>
      <c r="H50" s="7" t="s">
        <v>195</v>
      </c>
      <c r="I50" s="7" t="s">
        <v>1287</v>
      </c>
      <c r="J50" s="7" t="s">
        <v>195</v>
      </c>
      <c r="K50" s="7" t="s">
        <v>195</v>
      </c>
      <c r="L50" s="7" t="s">
        <v>195</v>
      </c>
      <c r="M50" s="7" t="s">
        <v>29</v>
      </c>
      <c r="N50" s="7" t="s">
        <v>29</v>
      </c>
      <c r="O50" s="7" t="s">
        <v>29</v>
      </c>
      <c r="P50" s="7" t="s">
        <v>29</v>
      </c>
      <c r="Q50" s="7" t="s">
        <v>29</v>
      </c>
      <c r="R50" s="7" t="s">
        <v>29</v>
      </c>
      <c r="S50" s="7" t="s">
        <v>29</v>
      </c>
    </row>
    <row r="51" spans="1:19">
      <c r="A51" s="7" t="s">
        <v>1388</v>
      </c>
      <c r="B51" s="7" t="s">
        <v>195</v>
      </c>
      <c r="C51" s="8" t="s">
        <v>195</v>
      </c>
      <c r="D51" s="5" t="str">
        <f>LRTRIM(CONCATENATE(IF(SUMPRODUCT(-- ISNUMBER(SEARCH({"Auto Number"}, $B51))) &gt; 0, $B51, IF(SUMPRODUCT(-- ISNUMBER(SEARCH({"Lookup","Master-Detail"}, $B51))) &gt; 0,$B51 &amp; "(" &amp; $E51 &amp; ")",IF(SUMPRODUCT(-- ISNUMBER(SEARCH({"Formula","Roll-Up Summary"}, $B51))) &gt; 0,$B51 &amp; " (" &amp; $E51 &amp; ")",IF(SUMPRODUCT(-- ISNUMBER(SEARCH({"Content","Currency","Number","Percent","Text","URL"}, $B51))) &gt; 0,$B51 &amp; "(" &amp; $C51 &amp; ")",$B51)))), "  ", TRIM(IF($S51 = "YES", "(External ID)", "") &amp; " " &amp; IF(SUMPRODUCT(-- ISNUMBER(SEARCH({"Unique","Unique Case Insensitive"}, $R51))) &gt; 0, "(" &amp; $R51 &amp; ")", ""))))</f>
        <v>na</v>
      </c>
      <c r="E51" s="7" t="s">
        <v>195</v>
      </c>
      <c r="F51" s="7" t="s">
        <v>195</v>
      </c>
      <c r="G51" s="7" t="s">
        <v>195</v>
      </c>
      <c r="H51" s="7" t="s">
        <v>195</v>
      </c>
      <c r="I51" s="7" t="s">
        <v>1479</v>
      </c>
      <c r="J51" s="7" t="s">
        <v>195</v>
      </c>
      <c r="K51" s="7" t="s">
        <v>195</v>
      </c>
      <c r="L51" s="7" t="s">
        <v>195</v>
      </c>
      <c r="M51" s="7" t="s">
        <v>29</v>
      </c>
      <c r="N51" s="7" t="s">
        <v>29</v>
      </c>
      <c r="O51" s="7" t="s">
        <v>29</v>
      </c>
      <c r="P51" s="7" t="s">
        <v>29</v>
      </c>
      <c r="Q51" s="7" t="s">
        <v>29</v>
      </c>
      <c r="R51" s="7" t="s">
        <v>29</v>
      </c>
      <c r="S51" s="7" t="s">
        <v>29</v>
      </c>
    </row>
    <row r="52" spans="1:19">
      <c r="A52" s="7" t="s">
        <v>1281</v>
      </c>
      <c r="B52" s="7" t="s">
        <v>195</v>
      </c>
      <c r="C52" s="8" t="s">
        <v>195</v>
      </c>
      <c r="D52" s="5" t="str">
        <f>LRTRIM(CONCATENATE(IF(SUMPRODUCT(-- ISNUMBER(SEARCH({"Auto Number"}, $B52))) &gt; 0, $B52, IF(SUMPRODUCT(-- ISNUMBER(SEARCH({"Lookup","Master-Detail"}, $B52))) &gt; 0,$B52 &amp; "(" &amp; $E52 &amp; ")",IF(SUMPRODUCT(-- ISNUMBER(SEARCH({"Formula","Roll-Up Summary"}, $B52))) &gt; 0,$B52 &amp; " (" &amp; $E52 &amp; ")",IF(SUMPRODUCT(-- ISNUMBER(SEARCH({"Content","Currency","Number","Percent","Text","URL"}, $B52))) &gt; 0,$B52 &amp; "(" &amp; $C52 &amp; ")",$B52)))), "  ", TRIM(IF($S52 = "YES", "(External ID)", "") &amp; " " &amp; IF(SUMPRODUCT(-- ISNUMBER(SEARCH({"Unique","Unique Case Insensitive"}, $R52))) &gt; 0, "(" &amp; $R52 &amp; ")", ""))))</f>
        <v>na</v>
      </c>
      <c r="E52" s="7" t="s">
        <v>195</v>
      </c>
      <c r="F52" s="7" t="s">
        <v>195</v>
      </c>
      <c r="G52" s="7" t="s">
        <v>195</v>
      </c>
      <c r="H52" s="7" t="s">
        <v>195</v>
      </c>
      <c r="I52" s="7" t="s">
        <v>1287</v>
      </c>
      <c r="J52" s="7" t="s">
        <v>195</v>
      </c>
      <c r="K52" s="7" t="s">
        <v>195</v>
      </c>
      <c r="L52" s="7" t="s">
        <v>195</v>
      </c>
      <c r="M52" s="7" t="s">
        <v>29</v>
      </c>
      <c r="N52" s="7" t="s">
        <v>29</v>
      </c>
      <c r="O52" s="7" t="s">
        <v>29</v>
      </c>
      <c r="P52" s="7" t="s">
        <v>29</v>
      </c>
      <c r="Q52" s="7" t="s">
        <v>29</v>
      </c>
      <c r="R52" s="7" t="s">
        <v>29</v>
      </c>
      <c r="S52" s="7" t="s">
        <v>29</v>
      </c>
    </row>
    <row r="53" spans="1:19">
      <c r="A53" s="7" t="s">
        <v>1389</v>
      </c>
      <c r="B53" s="7" t="s">
        <v>195</v>
      </c>
      <c r="C53" s="8" t="s">
        <v>195</v>
      </c>
      <c r="D53" s="5" t="str">
        <f>LRTRIM(CONCATENATE(IF(SUMPRODUCT(-- ISNUMBER(SEARCH({"Auto Number"}, $B53))) &gt; 0, $B53, IF(SUMPRODUCT(-- ISNUMBER(SEARCH({"Lookup","Master-Detail"}, $B53))) &gt; 0,$B53 &amp; "(" &amp; $E53 &amp; ")",IF(SUMPRODUCT(-- ISNUMBER(SEARCH({"Formula","Roll-Up Summary"}, $B53))) &gt; 0,$B53 &amp; " (" &amp; $E53 &amp; ")",IF(SUMPRODUCT(-- ISNUMBER(SEARCH({"Content","Currency","Number","Percent","Text","URL"}, $B53))) &gt; 0,$B53 &amp; "(" &amp; $C53 &amp; ")",$B53)))), "  ", TRIM(IF($S53 = "YES", "(External ID)", "") &amp; " " &amp; IF(SUMPRODUCT(-- ISNUMBER(SEARCH({"Unique","Unique Case Insensitive"}, $R53))) &gt; 0, "(" &amp; $R53 &amp; ")", ""))))</f>
        <v>na</v>
      </c>
      <c r="E53" s="7" t="s">
        <v>195</v>
      </c>
      <c r="F53" s="7" t="s">
        <v>195</v>
      </c>
      <c r="G53" s="7" t="s">
        <v>195</v>
      </c>
      <c r="H53" s="7" t="s">
        <v>195</v>
      </c>
      <c r="I53" s="7" t="s">
        <v>1478</v>
      </c>
      <c r="J53" s="7" t="s">
        <v>195</v>
      </c>
      <c r="K53" s="7" t="s">
        <v>195</v>
      </c>
      <c r="L53" s="7" t="s">
        <v>195</v>
      </c>
      <c r="M53" s="7" t="s">
        <v>29</v>
      </c>
      <c r="N53" s="7" t="s">
        <v>29</v>
      </c>
      <c r="O53" s="7" t="s">
        <v>29</v>
      </c>
      <c r="P53" s="7" t="s">
        <v>29</v>
      </c>
      <c r="Q53" s="7" t="s">
        <v>29</v>
      </c>
      <c r="R53" s="7" t="s">
        <v>29</v>
      </c>
      <c r="S53" s="7" t="s">
        <v>29</v>
      </c>
    </row>
    <row r="54" spans="1:19">
      <c r="B54" s="7" t="s">
        <v>195</v>
      </c>
      <c r="C54" s="8" t="s">
        <v>195</v>
      </c>
      <c r="D54" s="5" t="str">
        <f>LRTRIM(CONCATENATE(IF(SUMPRODUCT(-- ISNUMBER(SEARCH({"Auto Number"}, $B54))) &gt; 0, $B54, IF(SUMPRODUCT(-- ISNUMBER(SEARCH({"Lookup","Master-Detail"}, $B54))) &gt; 0,$B54 &amp; "(" &amp; $E54 &amp; ")",IF(SUMPRODUCT(-- ISNUMBER(SEARCH({"Formula","Roll-Up Summary"}, $B54))) &gt; 0,$B54 &amp; " (" &amp; $E54 &amp; ")",IF(SUMPRODUCT(-- ISNUMBER(SEARCH({"Content","Currency","Number","Percent","Text","URL"}, $B54))) &gt; 0,$B54 &amp; "(" &amp; $C54 &amp; ")",$B54)))), "  ", TRIM(IF($S54 = "YES", "(External ID)", "") &amp; " " &amp; IF(SUMPRODUCT(-- ISNUMBER(SEARCH({"Unique","Unique Case Insensitive"}, $R54))) &gt; 0, "(" &amp; $R54 &amp; ")", ""))))</f>
        <v>na</v>
      </c>
      <c r="E54" s="7" t="s">
        <v>195</v>
      </c>
      <c r="F54" s="7" t="s">
        <v>195</v>
      </c>
      <c r="G54" s="7" t="s">
        <v>195</v>
      </c>
      <c r="H54" s="7" t="s">
        <v>195</v>
      </c>
      <c r="I54" s="7" t="s">
        <v>195</v>
      </c>
      <c r="J54" s="7" t="s">
        <v>195</v>
      </c>
      <c r="K54" s="7" t="s">
        <v>195</v>
      </c>
      <c r="L54" s="7" t="s">
        <v>195</v>
      </c>
      <c r="M54" s="7" t="s">
        <v>29</v>
      </c>
      <c r="N54" s="7" t="s">
        <v>29</v>
      </c>
      <c r="O54" s="7" t="s">
        <v>29</v>
      </c>
      <c r="P54" s="7" t="s">
        <v>29</v>
      </c>
      <c r="Q54" s="7" t="s">
        <v>29</v>
      </c>
      <c r="R54" s="7" t="s">
        <v>29</v>
      </c>
      <c r="S54" s="7" t="s">
        <v>29</v>
      </c>
    </row>
    <row r="55" spans="1:19">
      <c r="B55" s="7" t="s">
        <v>195</v>
      </c>
      <c r="C55" s="8" t="s">
        <v>195</v>
      </c>
      <c r="D55" s="5" t="str">
        <f>LRTRIM(CONCATENATE(IF(SUMPRODUCT(-- ISNUMBER(SEARCH({"Auto Number"}, $B55))) &gt; 0, $B55, IF(SUMPRODUCT(-- ISNUMBER(SEARCH({"Lookup","Master-Detail"}, $B55))) &gt; 0,$B55 &amp; "(" &amp; $E55 &amp; ")",IF(SUMPRODUCT(-- ISNUMBER(SEARCH({"Formula","Roll-Up Summary"}, $B55))) &gt; 0,$B55 &amp; " (" &amp; $E55 &amp; ")",IF(SUMPRODUCT(-- ISNUMBER(SEARCH({"Content","Currency","Number","Percent","Text","URL"}, $B55))) &gt; 0,$B55 &amp; "(" &amp; $C55 &amp; ")",$B55)))), "  ", TRIM(IF($S55 = "YES", "(External ID)", "") &amp; " " &amp; IF(SUMPRODUCT(-- ISNUMBER(SEARCH({"Unique","Unique Case Insensitive"}, $R55))) &gt; 0, "(" &amp; $R55 &amp; ")", ""))))</f>
        <v>na</v>
      </c>
      <c r="E55" s="7" t="s">
        <v>195</v>
      </c>
      <c r="F55" s="7" t="s">
        <v>195</v>
      </c>
      <c r="G55" s="7" t="s">
        <v>195</v>
      </c>
      <c r="H55" s="7" t="s">
        <v>195</v>
      </c>
      <c r="I55" s="7" t="s">
        <v>195</v>
      </c>
      <c r="J55" s="7" t="s">
        <v>195</v>
      </c>
      <c r="K55" s="7" t="s">
        <v>195</v>
      </c>
      <c r="L55" s="7" t="s">
        <v>195</v>
      </c>
      <c r="M55" s="7" t="s">
        <v>29</v>
      </c>
      <c r="N55" s="7" t="s">
        <v>29</v>
      </c>
      <c r="O55" s="7" t="s">
        <v>29</v>
      </c>
      <c r="P55" s="7" t="s">
        <v>29</v>
      </c>
      <c r="Q55" s="7" t="s">
        <v>29</v>
      </c>
      <c r="R55" s="7" t="s">
        <v>29</v>
      </c>
      <c r="S55" s="7" t="s">
        <v>29</v>
      </c>
    </row>
    <row r="56" spans="1:19">
      <c r="B56" s="7" t="s">
        <v>195</v>
      </c>
      <c r="C56" s="8" t="s">
        <v>195</v>
      </c>
      <c r="D56" s="5" t="str">
        <f>LRTRIM(CONCATENATE(IF(SUMPRODUCT(-- ISNUMBER(SEARCH({"Auto Number"}, $B56))) &gt; 0, $B56, IF(SUMPRODUCT(-- ISNUMBER(SEARCH({"Lookup","Master-Detail"}, $B56))) &gt; 0,$B56 &amp; "(" &amp; $E56 &amp; ")",IF(SUMPRODUCT(-- ISNUMBER(SEARCH({"Formula","Roll-Up Summary"}, $B56))) &gt; 0,$B56 &amp; " (" &amp; $E56 &amp; ")",IF(SUMPRODUCT(-- ISNUMBER(SEARCH({"Content","Currency","Number","Percent","Text","URL"}, $B56))) &gt; 0,$B56 &amp; "(" &amp; $C56 &amp; ")",$B56)))), "  ", TRIM(IF($S56 = "YES", "(External ID)", "") &amp; " " &amp; IF(SUMPRODUCT(-- ISNUMBER(SEARCH({"Unique","Unique Case Insensitive"}, $R56))) &gt; 0, "(" &amp; $R56 &amp; ")", ""))))</f>
        <v>na</v>
      </c>
      <c r="E56" s="7" t="s">
        <v>195</v>
      </c>
      <c r="F56" s="7" t="s">
        <v>195</v>
      </c>
      <c r="G56" s="7" t="s">
        <v>195</v>
      </c>
      <c r="H56" s="7" t="s">
        <v>195</v>
      </c>
      <c r="I56" s="7" t="s">
        <v>195</v>
      </c>
      <c r="J56" s="7" t="s">
        <v>195</v>
      </c>
      <c r="K56" s="7" t="s">
        <v>195</v>
      </c>
      <c r="L56" s="7" t="s">
        <v>195</v>
      </c>
      <c r="M56" s="7" t="s">
        <v>29</v>
      </c>
      <c r="N56" s="7" t="s">
        <v>29</v>
      </c>
      <c r="O56" s="7" t="s">
        <v>29</v>
      </c>
      <c r="P56" s="7" t="s">
        <v>29</v>
      </c>
      <c r="Q56" s="7" t="s">
        <v>29</v>
      </c>
      <c r="R56" s="7" t="s">
        <v>29</v>
      </c>
      <c r="S56" s="7" t="s">
        <v>29</v>
      </c>
    </row>
    <row r="57" spans="1:19">
      <c r="B57" s="7" t="s">
        <v>195</v>
      </c>
      <c r="C57" s="8" t="s">
        <v>195</v>
      </c>
      <c r="D57" s="5" t="str">
        <f>LRTRIM(CONCATENATE(IF(SUMPRODUCT(-- ISNUMBER(SEARCH({"Auto Number"}, $B57))) &gt; 0, $B57, IF(SUMPRODUCT(-- ISNUMBER(SEARCH({"Lookup","Master-Detail"}, $B57))) &gt; 0,$B57 &amp; "(" &amp; $E57 &amp; ")",IF(SUMPRODUCT(-- ISNUMBER(SEARCH({"Formula","Roll-Up Summary"}, $B57))) &gt; 0,$B57 &amp; " (" &amp; $E57 &amp; ")",IF(SUMPRODUCT(-- ISNUMBER(SEARCH({"Content","Currency","Number","Percent","Text","URL"}, $B57))) &gt; 0,$B57 &amp; "(" &amp; $C57 &amp; ")",$B57)))), "  ", TRIM(IF($S57 = "YES", "(External ID)", "") &amp; " " &amp; IF(SUMPRODUCT(-- ISNUMBER(SEARCH({"Unique","Unique Case Insensitive"}, $R57))) &gt; 0, "(" &amp; $R57 &amp; ")", ""))))</f>
        <v>na</v>
      </c>
      <c r="E57" s="7" t="s">
        <v>195</v>
      </c>
      <c r="F57" s="7" t="s">
        <v>195</v>
      </c>
      <c r="G57" s="7" t="s">
        <v>195</v>
      </c>
      <c r="H57" s="7" t="s">
        <v>195</v>
      </c>
      <c r="I57" s="7" t="s">
        <v>195</v>
      </c>
      <c r="J57" s="7" t="s">
        <v>195</v>
      </c>
      <c r="K57" s="7" t="s">
        <v>195</v>
      </c>
      <c r="L57" s="7" t="s">
        <v>195</v>
      </c>
      <c r="M57" s="7" t="s">
        <v>29</v>
      </c>
      <c r="N57" s="7" t="s">
        <v>29</v>
      </c>
      <c r="O57" s="7" t="s">
        <v>29</v>
      </c>
      <c r="P57" s="7" t="s">
        <v>29</v>
      </c>
      <c r="Q57" s="7" t="s">
        <v>29</v>
      </c>
      <c r="R57" s="7" t="s">
        <v>29</v>
      </c>
      <c r="S57" s="7" t="s">
        <v>29</v>
      </c>
    </row>
    <row r="58" spans="1:19">
      <c r="B58" s="7" t="s">
        <v>195</v>
      </c>
      <c r="C58" s="8" t="s">
        <v>195</v>
      </c>
      <c r="D58" s="5" t="str">
        <f>LRTRIM(CONCATENATE(IF(SUMPRODUCT(-- ISNUMBER(SEARCH({"Auto Number"}, $B58))) &gt; 0, $B58, IF(SUMPRODUCT(-- ISNUMBER(SEARCH({"Lookup","Master-Detail"}, $B58))) &gt; 0,$B58 &amp; "(" &amp; $E58 &amp; ")",IF(SUMPRODUCT(-- ISNUMBER(SEARCH({"Formula","Roll-Up Summary"}, $B58))) &gt; 0,$B58 &amp; " (" &amp; $E58 &amp; ")",IF(SUMPRODUCT(-- ISNUMBER(SEARCH({"Content","Currency","Number","Percent","Text","URL"}, $B58))) &gt; 0,$B58 &amp; "(" &amp; $C58 &amp; ")",$B58)))), "  ", TRIM(IF($S58 = "YES", "(External ID)", "") &amp; " " &amp; IF(SUMPRODUCT(-- ISNUMBER(SEARCH({"Unique","Unique Case Insensitive"}, $R58))) &gt; 0, "(" &amp; $R58 &amp; ")", ""))))</f>
        <v>na</v>
      </c>
      <c r="E58" s="7" t="s">
        <v>195</v>
      </c>
      <c r="F58" s="7" t="s">
        <v>195</v>
      </c>
      <c r="G58" s="7" t="s">
        <v>195</v>
      </c>
      <c r="H58" s="7" t="s">
        <v>195</v>
      </c>
      <c r="I58" s="7" t="s">
        <v>195</v>
      </c>
      <c r="J58" s="7" t="s">
        <v>195</v>
      </c>
      <c r="K58" s="7" t="s">
        <v>195</v>
      </c>
      <c r="L58" s="7" t="s">
        <v>195</v>
      </c>
      <c r="M58" s="7" t="s">
        <v>29</v>
      </c>
      <c r="N58" s="7" t="s">
        <v>29</v>
      </c>
      <c r="O58" s="7" t="s">
        <v>29</v>
      </c>
      <c r="P58" s="7" t="s">
        <v>29</v>
      </c>
      <c r="Q58" s="7" t="s">
        <v>29</v>
      </c>
      <c r="R58" s="7" t="s">
        <v>29</v>
      </c>
      <c r="S58" s="7" t="s">
        <v>29</v>
      </c>
    </row>
    <row r="59" spans="1:19">
      <c r="B59" s="7" t="s">
        <v>195</v>
      </c>
      <c r="C59" s="8" t="s">
        <v>195</v>
      </c>
      <c r="D59" s="5" t="str">
        <f>LRTRIM(CONCATENATE(IF(SUMPRODUCT(-- ISNUMBER(SEARCH({"Auto Number"}, $B59))) &gt; 0, $B59, IF(SUMPRODUCT(-- ISNUMBER(SEARCH({"Lookup","Master-Detail"}, $B59))) &gt; 0,$B59 &amp; "(" &amp; $E59 &amp; ")",IF(SUMPRODUCT(-- ISNUMBER(SEARCH({"Formula","Roll-Up Summary"}, $B59))) &gt; 0,$B59 &amp; " (" &amp; $E59 &amp; ")",IF(SUMPRODUCT(-- ISNUMBER(SEARCH({"Content","Currency","Number","Percent","Text","URL"}, $B59))) &gt; 0,$B59 &amp; "(" &amp; $C59 &amp; ")",$B59)))), "  ", TRIM(IF($S59 = "YES", "(External ID)", "") &amp; " " &amp; IF(SUMPRODUCT(-- ISNUMBER(SEARCH({"Unique","Unique Case Insensitive"}, $R59))) &gt; 0, "(" &amp; $R59 &amp; ")", ""))))</f>
        <v>na</v>
      </c>
      <c r="E59" s="7" t="s">
        <v>195</v>
      </c>
      <c r="F59" s="7" t="s">
        <v>195</v>
      </c>
      <c r="G59" s="7" t="s">
        <v>195</v>
      </c>
      <c r="H59" s="7" t="s">
        <v>195</v>
      </c>
      <c r="I59" s="7" t="s">
        <v>195</v>
      </c>
      <c r="J59" s="7" t="s">
        <v>195</v>
      </c>
      <c r="K59" s="7" t="s">
        <v>195</v>
      </c>
      <c r="L59" s="7" t="s">
        <v>195</v>
      </c>
      <c r="M59" s="7" t="s">
        <v>29</v>
      </c>
      <c r="N59" s="7" t="s">
        <v>29</v>
      </c>
      <c r="O59" s="7" t="s">
        <v>29</v>
      </c>
      <c r="P59" s="7" t="s">
        <v>29</v>
      </c>
      <c r="Q59" s="7" t="s">
        <v>29</v>
      </c>
      <c r="R59" s="7" t="s">
        <v>29</v>
      </c>
      <c r="S59" s="7" t="s">
        <v>29</v>
      </c>
    </row>
    <row r="60" spans="1:19">
      <c r="B60" s="7" t="s">
        <v>195</v>
      </c>
      <c r="C60" s="8" t="s">
        <v>195</v>
      </c>
      <c r="D60" s="5" t="str">
        <f>LRTRIM(CONCATENATE(IF(SUMPRODUCT(-- ISNUMBER(SEARCH({"Auto Number"}, $B60))) &gt; 0, $B60, IF(SUMPRODUCT(-- ISNUMBER(SEARCH({"Lookup","Master-Detail"}, $B60))) &gt; 0,$B60 &amp; "(" &amp; $E60 &amp; ")",IF(SUMPRODUCT(-- ISNUMBER(SEARCH({"Formula","Roll-Up Summary"}, $B60))) &gt; 0,$B60 &amp; " (" &amp; $E60 &amp; ")",IF(SUMPRODUCT(-- ISNUMBER(SEARCH({"Content","Currency","Number","Percent","Text","URL"}, $B60))) &gt; 0,$B60 &amp; "(" &amp; $C60 &amp; ")",$B60)))), "  ", TRIM(IF($S60 = "YES", "(External ID)", "") &amp; " " &amp; IF(SUMPRODUCT(-- ISNUMBER(SEARCH({"Unique","Unique Case Insensitive"}, $R60))) &gt; 0, "(" &amp; $R60 &amp; ")", ""))))</f>
        <v>na</v>
      </c>
      <c r="E60" s="7" t="s">
        <v>195</v>
      </c>
      <c r="F60" s="7" t="s">
        <v>195</v>
      </c>
      <c r="G60" s="7" t="s">
        <v>195</v>
      </c>
      <c r="H60" s="7" t="s">
        <v>195</v>
      </c>
      <c r="I60" s="7" t="s">
        <v>195</v>
      </c>
      <c r="J60" s="7" t="s">
        <v>195</v>
      </c>
      <c r="K60" s="7" t="s">
        <v>195</v>
      </c>
      <c r="L60" s="7" t="s">
        <v>195</v>
      </c>
      <c r="M60" s="7" t="s">
        <v>29</v>
      </c>
      <c r="N60" s="7" t="s">
        <v>29</v>
      </c>
      <c r="O60" s="7" t="s">
        <v>29</v>
      </c>
      <c r="P60" s="7" t="s">
        <v>29</v>
      </c>
      <c r="Q60" s="7" t="s">
        <v>29</v>
      </c>
      <c r="R60" s="7" t="s">
        <v>29</v>
      </c>
      <c r="S60" s="7" t="s">
        <v>29</v>
      </c>
    </row>
    <row r="61" spans="1:19">
      <c r="B61" s="7" t="s">
        <v>195</v>
      </c>
      <c r="C61" s="8" t="s">
        <v>195</v>
      </c>
      <c r="D61" s="5" t="str">
        <f>LRTRIM(CONCATENATE(IF(SUMPRODUCT(-- ISNUMBER(SEARCH({"Auto Number"}, $B61))) &gt; 0, $B61, IF(SUMPRODUCT(-- ISNUMBER(SEARCH({"Lookup","Master-Detail"}, $B61))) &gt; 0,$B61 &amp; "(" &amp; $E61 &amp; ")",IF(SUMPRODUCT(-- ISNUMBER(SEARCH({"Formula","Roll-Up Summary"}, $B61))) &gt; 0,$B61 &amp; " (" &amp; $E61 &amp; ")",IF(SUMPRODUCT(-- ISNUMBER(SEARCH({"Content","Currency","Number","Percent","Text","URL"}, $B61))) &gt; 0,$B61 &amp; "(" &amp; $C61 &amp; ")",$B61)))), "  ", TRIM(IF($S61 = "YES", "(External ID)", "") &amp; " " &amp; IF(SUMPRODUCT(-- ISNUMBER(SEARCH({"Unique","Unique Case Insensitive"}, $R61))) &gt; 0, "(" &amp; $R61 &amp; ")", ""))))</f>
        <v>na</v>
      </c>
      <c r="E61" s="7" t="s">
        <v>195</v>
      </c>
      <c r="F61" s="7" t="s">
        <v>195</v>
      </c>
      <c r="G61" s="7" t="s">
        <v>195</v>
      </c>
      <c r="H61" s="7" t="s">
        <v>195</v>
      </c>
      <c r="I61" s="7" t="s">
        <v>195</v>
      </c>
      <c r="J61" s="7" t="s">
        <v>195</v>
      </c>
      <c r="K61" s="7" t="s">
        <v>195</v>
      </c>
      <c r="L61" s="7" t="s">
        <v>195</v>
      </c>
      <c r="M61" s="7" t="s">
        <v>29</v>
      </c>
      <c r="N61" s="7" t="s">
        <v>29</v>
      </c>
      <c r="O61" s="7" t="s">
        <v>29</v>
      </c>
      <c r="P61" s="7" t="s">
        <v>29</v>
      </c>
      <c r="Q61" s="7" t="s">
        <v>29</v>
      </c>
      <c r="R61" s="7" t="s">
        <v>29</v>
      </c>
      <c r="S61" s="7" t="s">
        <v>29</v>
      </c>
    </row>
    <row r="62" spans="1:19">
      <c r="B62" s="7" t="s">
        <v>195</v>
      </c>
      <c r="C62" s="8" t="s">
        <v>195</v>
      </c>
      <c r="D62" s="5" t="str">
        <f>LRTRIM(CONCATENATE(IF(SUMPRODUCT(-- ISNUMBER(SEARCH({"Auto Number"}, $B62))) &gt; 0, $B62, IF(SUMPRODUCT(-- ISNUMBER(SEARCH({"Lookup","Master-Detail"}, $B62))) &gt; 0,$B62 &amp; "(" &amp; $E62 &amp; ")",IF(SUMPRODUCT(-- ISNUMBER(SEARCH({"Formula","Roll-Up Summary"}, $B62))) &gt; 0,$B62 &amp; " (" &amp; $E62 &amp; ")",IF(SUMPRODUCT(-- ISNUMBER(SEARCH({"Content","Currency","Number","Percent","Text","URL"}, $B62))) &gt; 0,$B62 &amp; "(" &amp; $C62 &amp; ")",$B62)))), "  ", TRIM(IF($S62 = "YES", "(External ID)", "") &amp; " " &amp; IF(SUMPRODUCT(-- ISNUMBER(SEARCH({"Unique","Unique Case Insensitive"}, $R62))) &gt; 0, "(" &amp; $R62 &amp; ")", ""))))</f>
        <v>na</v>
      </c>
      <c r="E62" s="7" t="s">
        <v>195</v>
      </c>
      <c r="F62" s="7" t="s">
        <v>195</v>
      </c>
      <c r="G62" s="7" t="s">
        <v>195</v>
      </c>
      <c r="H62" s="7" t="s">
        <v>195</v>
      </c>
      <c r="I62" s="7" t="s">
        <v>195</v>
      </c>
      <c r="J62" s="7" t="s">
        <v>195</v>
      </c>
      <c r="K62" s="7" t="s">
        <v>195</v>
      </c>
      <c r="L62" s="7" t="s">
        <v>195</v>
      </c>
      <c r="M62" s="7" t="s">
        <v>29</v>
      </c>
      <c r="N62" s="7" t="s">
        <v>29</v>
      </c>
      <c r="O62" s="7" t="s">
        <v>29</v>
      </c>
      <c r="P62" s="7" t="s">
        <v>29</v>
      </c>
      <c r="Q62" s="7" t="s">
        <v>29</v>
      </c>
      <c r="R62" s="7" t="s">
        <v>29</v>
      </c>
      <c r="S62" s="7" t="s">
        <v>29</v>
      </c>
    </row>
    <row r="63" spans="1:19">
      <c r="B63" s="7" t="s">
        <v>195</v>
      </c>
      <c r="C63" s="8" t="s">
        <v>195</v>
      </c>
      <c r="D63" s="5" t="str">
        <f>LRTRIM(CONCATENATE(IF(SUMPRODUCT(-- ISNUMBER(SEARCH({"Auto Number"}, $B63))) &gt; 0, $B63, IF(SUMPRODUCT(-- ISNUMBER(SEARCH({"Lookup","Master-Detail"}, $B63))) &gt; 0,$B63 &amp; "(" &amp; $E63 &amp; ")",IF(SUMPRODUCT(-- ISNUMBER(SEARCH({"Formula","Roll-Up Summary"}, $B63))) &gt; 0,$B63 &amp; " (" &amp; $E63 &amp; ")",IF(SUMPRODUCT(-- ISNUMBER(SEARCH({"Content","Currency","Number","Percent","Text","URL"}, $B63))) &gt; 0,$B63 &amp; "(" &amp; $C63 &amp; ")",$B63)))), "  ", TRIM(IF($S63 = "YES", "(External ID)", "") &amp; " " &amp; IF(SUMPRODUCT(-- ISNUMBER(SEARCH({"Unique","Unique Case Insensitive"}, $R63))) &gt; 0, "(" &amp; $R63 &amp; ")", ""))))</f>
        <v>na</v>
      </c>
      <c r="E63" s="7" t="s">
        <v>195</v>
      </c>
      <c r="F63" s="7" t="s">
        <v>195</v>
      </c>
      <c r="G63" s="7" t="s">
        <v>195</v>
      </c>
      <c r="H63" s="7" t="s">
        <v>195</v>
      </c>
      <c r="I63" s="7" t="s">
        <v>195</v>
      </c>
      <c r="J63" s="7" t="s">
        <v>195</v>
      </c>
      <c r="K63" s="7" t="s">
        <v>195</v>
      </c>
      <c r="L63" s="7" t="s">
        <v>195</v>
      </c>
      <c r="M63" s="7" t="s">
        <v>29</v>
      </c>
      <c r="N63" s="7" t="s">
        <v>29</v>
      </c>
      <c r="O63" s="7" t="s">
        <v>29</v>
      </c>
      <c r="P63" s="7" t="s">
        <v>29</v>
      </c>
      <c r="Q63" s="7" t="s">
        <v>29</v>
      </c>
      <c r="R63" s="7" t="s">
        <v>29</v>
      </c>
      <c r="S63" s="7" t="s">
        <v>29</v>
      </c>
    </row>
    <row r="64" spans="1:19">
      <c r="B64" s="7" t="s">
        <v>195</v>
      </c>
      <c r="C64" s="8" t="s">
        <v>195</v>
      </c>
      <c r="D64" s="5" t="str">
        <f>LRTRIM(CONCATENATE(IF(SUMPRODUCT(-- ISNUMBER(SEARCH({"Auto Number"}, $B64))) &gt; 0, $B64, IF(SUMPRODUCT(-- ISNUMBER(SEARCH({"Lookup","Master-Detail"}, $B64))) &gt; 0,$B64 &amp; "(" &amp; $E64 &amp; ")",IF(SUMPRODUCT(-- ISNUMBER(SEARCH({"Formula","Roll-Up Summary"}, $B64))) &gt; 0,$B64 &amp; " (" &amp; $E64 &amp; ")",IF(SUMPRODUCT(-- ISNUMBER(SEARCH({"Content","Currency","Number","Percent","Text","URL"}, $B64))) &gt; 0,$B64 &amp; "(" &amp; $C64 &amp; ")",$B64)))), "  ", TRIM(IF($S64 = "YES", "(External ID)", "") &amp; " " &amp; IF(SUMPRODUCT(-- ISNUMBER(SEARCH({"Unique","Unique Case Insensitive"}, $R64))) &gt; 0, "(" &amp; $R64 &amp; ")", ""))))</f>
        <v>na</v>
      </c>
      <c r="E64" s="7" t="s">
        <v>195</v>
      </c>
      <c r="F64" s="7" t="s">
        <v>195</v>
      </c>
      <c r="G64" s="7" t="s">
        <v>195</v>
      </c>
      <c r="H64" s="7" t="s">
        <v>195</v>
      </c>
      <c r="I64" s="7" t="s">
        <v>195</v>
      </c>
      <c r="J64" s="7" t="s">
        <v>195</v>
      </c>
      <c r="K64" s="7" t="s">
        <v>195</v>
      </c>
      <c r="L64" s="7" t="s">
        <v>195</v>
      </c>
      <c r="M64" s="7" t="s">
        <v>29</v>
      </c>
      <c r="N64" s="7" t="s">
        <v>29</v>
      </c>
      <c r="O64" s="7" t="s">
        <v>29</v>
      </c>
      <c r="P64" s="7" t="s">
        <v>29</v>
      </c>
      <c r="Q64" s="7" t="s">
        <v>29</v>
      </c>
      <c r="R64" s="7" t="s">
        <v>29</v>
      </c>
      <c r="S64" s="7" t="s">
        <v>29</v>
      </c>
    </row>
    <row r="65" spans="2:19">
      <c r="B65" s="7" t="s">
        <v>195</v>
      </c>
      <c r="C65" s="8" t="s">
        <v>195</v>
      </c>
      <c r="D65" s="5" t="str">
        <f>LRTRIM(CONCATENATE(IF(SUMPRODUCT(-- ISNUMBER(SEARCH({"Auto Number"}, $B65))) &gt; 0, $B65, IF(SUMPRODUCT(-- ISNUMBER(SEARCH({"Lookup","Master-Detail"}, $B65))) &gt; 0,$B65 &amp; "(" &amp; $E65 &amp; ")",IF(SUMPRODUCT(-- ISNUMBER(SEARCH({"Formula","Roll-Up Summary"}, $B65))) &gt; 0,$B65 &amp; " (" &amp; $E65 &amp; ")",IF(SUMPRODUCT(-- ISNUMBER(SEARCH({"Content","Currency","Number","Percent","Text","URL"}, $B65))) &gt; 0,$B65 &amp; "(" &amp; $C65 &amp; ")",$B65)))), "  ", TRIM(IF($S65 = "YES", "(External ID)", "") &amp; " " &amp; IF(SUMPRODUCT(-- ISNUMBER(SEARCH({"Unique","Unique Case Insensitive"}, $R65))) &gt; 0, "(" &amp; $R65 &amp; ")", ""))))</f>
        <v>na</v>
      </c>
      <c r="E65" s="7" t="s">
        <v>195</v>
      </c>
      <c r="F65" s="7" t="s">
        <v>195</v>
      </c>
      <c r="G65" s="7" t="s">
        <v>195</v>
      </c>
      <c r="H65" s="7" t="s">
        <v>195</v>
      </c>
      <c r="I65" s="7" t="s">
        <v>195</v>
      </c>
      <c r="J65" s="7" t="s">
        <v>195</v>
      </c>
      <c r="K65" s="7" t="s">
        <v>195</v>
      </c>
      <c r="L65" s="7" t="s">
        <v>195</v>
      </c>
      <c r="M65" s="7" t="s">
        <v>29</v>
      </c>
      <c r="N65" s="7" t="s">
        <v>29</v>
      </c>
      <c r="O65" s="7" t="s">
        <v>29</v>
      </c>
      <c r="P65" s="7" t="s">
        <v>29</v>
      </c>
      <c r="Q65" s="7" t="s">
        <v>29</v>
      </c>
      <c r="R65" s="7" t="s">
        <v>29</v>
      </c>
      <c r="S65" s="7" t="s">
        <v>29</v>
      </c>
    </row>
    <row r="66" spans="2:19">
      <c r="B66" s="7" t="s">
        <v>195</v>
      </c>
      <c r="C66" s="8" t="s">
        <v>195</v>
      </c>
      <c r="D66" s="5" t="str">
        <f>LRTRIM(CONCATENATE(IF(SUMPRODUCT(-- ISNUMBER(SEARCH({"Auto Number"}, $B66))) &gt; 0, $B66, IF(SUMPRODUCT(-- ISNUMBER(SEARCH({"Lookup","Master-Detail"}, $B66))) &gt; 0,$B66 &amp; "(" &amp; $E66 &amp; ")",IF(SUMPRODUCT(-- ISNUMBER(SEARCH({"Formula","Roll-Up Summary"}, $B66))) &gt; 0,$B66 &amp; " (" &amp; $E66 &amp; ")",IF(SUMPRODUCT(-- ISNUMBER(SEARCH({"Content","Currency","Number","Percent","Text","URL"}, $B66))) &gt; 0,$B66 &amp; "(" &amp; $C66 &amp; ")",$B66)))), "  ", TRIM(IF($S66 = "YES", "(External ID)", "") &amp; " " &amp; IF(SUMPRODUCT(-- ISNUMBER(SEARCH({"Unique","Unique Case Insensitive"}, $R66))) &gt; 0, "(" &amp; $R66 &amp; ")", ""))))</f>
        <v>na</v>
      </c>
      <c r="E66" s="7" t="s">
        <v>195</v>
      </c>
      <c r="F66" s="7" t="s">
        <v>195</v>
      </c>
      <c r="G66" s="7" t="s">
        <v>195</v>
      </c>
      <c r="H66" s="7" t="s">
        <v>195</v>
      </c>
      <c r="I66" s="7" t="s">
        <v>195</v>
      </c>
      <c r="J66" s="7" t="s">
        <v>195</v>
      </c>
      <c r="K66" s="7" t="s">
        <v>195</v>
      </c>
      <c r="L66" s="7" t="s">
        <v>195</v>
      </c>
      <c r="M66" s="7" t="s">
        <v>29</v>
      </c>
      <c r="N66" s="7" t="s">
        <v>29</v>
      </c>
      <c r="O66" s="7" t="s">
        <v>29</v>
      </c>
      <c r="P66" s="7" t="s">
        <v>29</v>
      </c>
      <c r="Q66" s="7" t="s">
        <v>29</v>
      </c>
      <c r="R66" s="7" t="s">
        <v>29</v>
      </c>
      <c r="S66" s="7" t="s">
        <v>29</v>
      </c>
    </row>
    <row r="67" spans="2:19">
      <c r="B67" s="7" t="s">
        <v>195</v>
      </c>
      <c r="C67" s="8" t="s">
        <v>195</v>
      </c>
      <c r="D67" s="5" t="str">
        <f>LRTRIM(CONCATENATE(IF(SUMPRODUCT(-- ISNUMBER(SEARCH({"Auto Number"}, $B67))) &gt; 0, $B67, IF(SUMPRODUCT(-- ISNUMBER(SEARCH({"Lookup","Master-Detail"}, $B67))) &gt; 0,$B67 &amp; "(" &amp; $E67 &amp; ")",IF(SUMPRODUCT(-- ISNUMBER(SEARCH({"Formula","Roll-Up Summary"}, $B67))) &gt; 0,$B67 &amp; " (" &amp; $E67 &amp; ")",IF(SUMPRODUCT(-- ISNUMBER(SEARCH({"Content","Currency","Number","Percent","Text","URL"}, $B67))) &gt; 0,$B67 &amp; "(" &amp; $C67 &amp; ")",$B67)))), "  ", TRIM(IF($S67 = "YES", "(External ID)", "") &amp; " " &amp; IF(SUMPRODUCT(-- ISNUMBER(SEARCH({"Unique","Unique Case Insensitive"}, $R67))) &gt; 0, "(" &amp; $R67 &amp; ")", ""))))</f>
        <v>na</v>
      </c>
      <c r="E67" s="7" t="s">
        <v>195</v>
      </c>
      <c r="F67" s="7" t="s">
        <v>195</v>
      </c>
      <c r="G67" s="7" t="s">
        <v>195</v>
      </c>
      <c r="H67" s="7" t="s">
        <v>195</v>
      </c>
      <c r="I67" s="7" t="s">
        <v>195</v>
      </c>
      <c r="J67" s="7" t="s">
        <v>195</v>
      </c>
      <c r="K67" s="7" t="s">
        <v>195</v>
      </c>
      <c r="L67" s="7" t="s">
        <v>195</v>
      </c>
      <c r="M67" s="7" t="s">
        <v>29</v>
      </c>
      <c r="N67" s="7" t="s">
        <v>29</v>
      </c>
      <c r="O67" s="7" t="s">
        <v>29</v>
      </c>
      <c r="P67" s="7" t="s">
        <v>29</v>
      </c>
      <c r="Q67" s="7" t="s">
        <v>29</v>
      </c>
      <c r="R67" s="7" t="s">
        <v>29</v>
      </c>
      <c r="S67" s="7" t="s">
        <v>29</v>
      </c>
    </row>
    <row r="68" spans="2:19">
      <c r="B68" s="7" t="s">
        <v>195</v>
      </c>
      <c r="C68" s="8" t="s">
        <v>195</v>
      </c>
      <c r="D68" s="5" t="str">
        <f>LRTRIM(CONCATENATE(IF(SUMPRODUCT(-- ISNUMBER(SEARCH({"Auto Number"}, $B68))) &gt; 0, $B68, IF(SUMPRODUCT(-- ISNUMBER(SEARCH({"Lookup","Master-Detail"}, $B68))) &gt; 0,$B68 &amp; "(" &amp; $E68 &amp; ")",IF(SUMPRODUCT(-- ISNUMBER(SEARCH({"Formula","Roll-Up Summary"}, $B68))) &gt; 0,$B68 &amp; " (" &amp; $E68 &amp; ")",IF(SUMPRODUCT(-- ISNUMBER(SEARCH({"Content","Currency","Number","Percent","Text","URL"}, $B68))) &gt; 0,$B68 &amp; "(" &amp; $C68 &amp; ")",$B68)))), "  ", TRIM(IF($S68 = "YES", "(External ID)", "") &amp; " " &amp; IF(SUMPRODUCT(-- ISNUMBER(SEARCH({"Unique","Unique Case Insensitive"}, $R68))) &gt; 0, "(" &amp; $R68 &amp; ")", ""))))</f>
        <v>na</v>
      </c>
      <c r="E68" s="7" t="s">
        <v>195</v>
      </c>
      <c r="F68" s="7" t="s">
        <v>195</v>
      </c>
      <c r="G68" s="7" t="s">
        <v>195</v>
      </c>
      <c r="H68" s="7" t="s">
        <v>195</v>
      </c>
      <c r="I68" s="7" t="s">
        <v>195</v>
      </c>
      <c r="J68" s="7" t="s">
        <v>195</v>
      </c>
      <c r="K68" s="7" t="s">
        <v>195</v>
      </c>
      <c r="L68" s="7" t="s">
        <v>195</v>
      </c>
      <c r="M68" s="7" t="s">
        <v>29</v>
      </c>
      <c r="N68" s="7" t="s">
        <v>29</v>
      </c>
      <c r="O68" s="7" t="s">
        <v>29</v>
      </c>
      <c r="P68" s="7" t="s">
        <v>29</v>
      </c>
      <c r="Q68" s="7" t="s">
        <v>29</v>
      </c>
      <c r="R68" s="7" t="s">
        <v>29</v>
      </c>
      <c r="S68" s="7" t="s">
        <v>29</v>
      </c>
    </row>
    <row r="69" spans="2:19">
      <c r="B69" s="7" t="s">
        <v>195</v>
      </c>
      <c r="C69" s="8" t="s">
        <v>195</v>
      </c>
      <c r="D69" s="5" t="str">
        <f>LRTRIM(CONCATENATE(IF(SUMPRODUCT(-- ISNUMBER(SEARCH({"Auto Number"}, $B69))) &gt; 0, $B69, IF(SUMPRODUCT(-- ISNUMBER(SEARCH({"Lookup","Master-Detail"}, $B69))) &gt; 0,$B69 &amp; "(" &amp; $E69 &amp; ")",IF(SUMPRODUCT(-- ISNUMBER(SEARCH({"Formula","Roll-Up Summary"}, $B69))) &gt; 0,$B69 &amp; " (" &amp; $E69 &amp; ")",IF(SUMPRODUCT(-- ISNUMBER(SEARCH({"Content","Currency","Number","Percent","Text","URL"}, $B69))) &gt; 0,$B69 &amp; "(" &amp; $C69 &amp; ")",$B69)))), "  ", TRIM(IF($S69 = "YES", "(External ID)", "") &amp; " " &amp; IF(SUMPRODUCT(-- ISNUMBER(SEARCH({"Unique","Unique Case Insensitive"}, $R69))) &gt; 0, "(" &amp; $R69 &amp; ")", ""))))</f>
        <v>na</v>
      </c>
      <c r="E69" s="7" t="s">
        <v>195</v>
      </c>
      <c r="F69" s="7" t="s">
        <v>195</v>
      </c>
      <c r="G69" s="7" t="s">
        <v>195</v>
      </c>
      <c r="H69" s="7" t="s">
        <v>195</v>
      </c>
      <c r="I69" s="7" t="s">
        <v>195</v>
      </c>
      <c r="J69" s="7" t="s">
        <v>195</v>
      </c>
      <c r="K69" s="7" t="s">
        <v>195</v>
      </c>
      <c r="L69" s="7" t="s">
        <v>195</v>
      </c>
      <c r="M69" s="7" t="s">
        <v>29</v>
      </c>
      <c r="N69" s="7" t="s">
        <v>29</v>
      </c>
      <c r="O69" s="7" t="s">
        <v>29</v>
      </c>
      <c r="P69" s="7" t="s">
        <v>29</v>
      </c>
      <c r="Q69" s="7" t="s">
        <v>29</v>
      </c>
      <c r="R69" s="7" t="s">
        <v>29</v>
      </c>
      <c r="S69" s="7" t="s">
        <v>29</v>
      </c>
    </row>
    <row r="70" spans="2:19">
      <c r="B70" s="7" t="s">
        <v>195</v>
      </c>
      <c r="C70" s="8" t="s">
        <v>195</v>
      </c>
      <c r="D70" s="5" t="str">
        <f>LRTRIM(CONCATENATE(IF(SUMPRODUCT(-- ISNUMBER(SEARCH({"Auto Number"}, $B70))) &gt; 0, $B70, IF(SUMPRODUCT(-- ISNUMBER(SEARCH({"Lookup","Master-Detail"}, $B70))) &gt; 0,$B70 &amp; "(" &amp; $E70 &amp; ")",IF(SUMPRODUCT(-- ISNUMBER(SEARCH({"Formula","Roll-Up Summary"}, $B70))) &gt; 0,$B70 &amp; " (" &amp; $E70 &amp; ")",IF(SUMPRODUCT(-- ISNUMBER(SEARCH({"Content","Currency","Number","Percent","Text","URL"}, $B70))) &gt; 0,$B70 &amp; "(" &amp; $C70 &amp; ")",$B70)))), "  ", TRIM(IF($S70 = "YES", "(External ID)", "") &amp; " " &amp; IF(SUMPRODUCT(-- ISNUMBER(SEARCH({"Unique","Unique Case Insensitive"}, $R70))) &gt; 0, "(" &amp; $R70 &amp; ")", ""))))</f>
        <v>na</v>
      </c>
      <c r="E70" s="7" t="s">
        <v>195</v>
      </c>
      <c r="F70" s="7" t="s">
        <v>195</v>
      </c>
      <c r="G70" s="7" t="s">
        <v>195</v>
      </c>
      <c r="H70" s="7" t="s">
        <v>195</v>
      </c>
      <c r="I70" s="7" t="s">
        <v>195</v>
      </c>
      <c r="J70" s="7" t="s">
        <v>195</v>
      </c>
      <c r="K70" s="7" t="s">
        <v>195</v>
      </c>
      <c r="L70" s="7" t="s">
        <v>195</v>
      </c>
      <c r="M70" s="7" t="s">
        <v>29</v>
      </c>
      <c r="N70" s="7" t="s">
        <v>29</v>
      </c>
      <c r="O70" s="7" t="s">
        <v>29</v>
      </c>
      <c r="P70" s="7" t="s">
        <v>29</v>
      </c>
      <c r="Q70" s="7" t="s">
        <v>29</v>
      </c>
      <c r="R70" s="7" t="s">
        <v>29</v>
      </c>
      <c r="S70" s="7" t="s">
        <v>29</v>
      </c>
    </row>
    <row r="71" spans="2:19">
      <c r="B71" s="7" t="s">
        <v>195</v>
      </c>
      <c r="C71" s="8" t="s">
        <v>195</v>
      </c>
      <c r="D71" s="5" t="str">
        <f>LRTRIM(CONCATENATE(IF(SUMPRODUCT(-- ISNUMBER(SEARCH({"Auto Number"}, $B71))) &gt; 0, $B71, IF(SUMPRODUCT(-- ISNUMBER(SEARCH({"Lookup","Master-Detail"}, $B71))) &gt; 0,$B71 &amp; "(" &amp; $E71 &amp; ")",IF(SUMPRODUCT(-- ISNUMBER(SEARCH({"Formula","Roll-Up Summary"}, $B71))) &gt; 0,$B71 &amp; " (" &amp; $E71 &amp; ")",IF(SUMPRODUCT(-- ISNUMBER(SEARCH({"Content","Currency","Number","Percent","Text","URL"}, $B71))) &gt; 0,$B71 &amp; "(" &amp; $C71 &amp; ")",$B71)))), "  ", TRIM(IF($S71 = "YES", "(External ID)", "") &amp; " " &amp; IF(SUMPRODUCT(-- ISNUMBER(SEARCH({"Unique","Unique Case Insensitive"}, $R71))) &gt; 0, "(" &amp; $R71 &amp; ")", ""))))</f>
        <v>na</v>
      </c>
      <c r="E71" s="7" t="s">
        <v>195</v>
      </c>
      <c r="F71" s="7" t="s">
        <v>195</v>
      </c>
      <c r="G71" s="7" t="s">
        <v>195</v>
      </c>
      <c r="H71" s="7" t="s">
        <v>195</v>
      </c>
      <c r="I71" s="7" t="s">
        <v>195</v>
      </c>
      <c r="J71" s="7" t="s">
        <v>195</v>
      </c>
      <c r="K71" s="7" t="s">
        <v>195</v>
      </c>
      <c r="L71" s="7" t="s">
        <v>195</v>
      </c>
      <c r="M71" s="7" t="s">
        <v>29</v>
      </c>
      <c r="N71" s="7" t="s">
        <v>29</v>
      </c>
      <c r="O71" s="7" t="s">
        <v>29</v>
      </c>
      <c r="P71" s="7" t="s">
        <v>29</v>
      </c>
      <c r="Q71" s="7" t="s">
        <v>29</v>
      </c>
      <c r="R71" s="7" t="s">
        <v>29</v>
      </c>
      <c r="S71" s="7" t="s">
        <v>29</v>
      </c>
    </row>
    <row r="72" spans="2:19">
      <c r="B72" s="7" t="s">
        <v>195</v>
      </c>
      <c r="C72" s="8" t="s">
        <v>195</v>
      </c>
      <c r="D72" s="5" t="str">
        <f>LRTRIM(CONCATENATE(IF(SUMPRODUCT(-- ISNUMBER(SEARCH({"Auto Number"}, $B72))) &gt; 0, $B72, IF(SUMPRODUCT(-- ISNUMBER(SEARCH({"Lookup","Master-Detail"}, $B72))) &gt; 0,$B72 &amp; "(" &amp; $E72 &amp; ")",IF(SUMPRODUCT(-- ISNUMBER(SEARCH({"Formula","Roll-Up Summary"}, $B72))) &gt; 0,$B72 &amp; " (" &amp; $E72 &amp; ")",IF(SUMPRODUCT(-- ISNUMBER(SEARCH({"Content","Currency","Number","Percent","Text","URL"}, $B72))) &gt; 0,$B72 &amp; "(" &amp; $C72 &amp; ")",$B72)))), "  ", TRIM(IF($S72 = "YES", "(External ID)", "") &amp; " " &amp; IF(SUMPRODUCT(-- ISNUMBER(SEARCH({"Unique","Unique Case Insensitive"}, $R72))) &gt; 0, "(" &amp; $R72 &amp; ")", ""))))</f>
        <v>na</v>
      </c>
      <c r="E72" s="7" t="s">
        <v>195</v>
      </c>
      <c r="F72" s="7" t="s">
        <v>195</v>
      </c>
      <c r="G72" s="7" t="s">
        <v>195</v>
      </c>
      <c r="H72" s="7" t="s">
        <v>195</v>
      </c>
      <c r="I72" s="7" t="s">
        <v>195</v>
      </c>
      <c r="J72" s="7" t="s">
        <v>195</v>
      </c>
      <c r="K72" s="7" t="s">
        <v>195</v>
      </c>
      <c r="L72" s="7" t="s">
        <v>195</v>
      </c>
      <c r="M72" s="7" t="s">
        <v>29</v>
      </c>
      <c r="N72" s="7" t="s">
        <v>29</v>
      </c>
      <c r="O72" s="7" t="s">
        <v>29</v>
      </c>
      <c r="P72" s="7" t="s">
        <v>29</v>
      </c>
      <c r="Q72" s="7" t="s">
        <v>29</v>
      </c>
      <c r="R72" s="7" t="s">
        <v>29</v>
      </c>
      <c r="S72" s="7" t="s">
        <v>29</v>
      </c>
    </row>
    <row r="73" spans="2:19">
      <c r="B73" s="7" t="s">
        <v>195</v>
      </c>
      <c r="C73" s="8" t="s">
        <v>195</v>
      </c>
      <c r="D73" s="5" t="str">
        <f>LRTRIM(CONCATENATE(IF(SUMPRODUCT(-- ISNUMBER(SEARCH({"Auto Number"}, $B73))) &gt; 0, $B73, IF(SUMPRODUCT(-- ISNUMBER(SEARCH({"Lookup","Master-Detail"}, $B73))) &gt; 0,$B73 &amp; "(" &amp; $E73 &amp; ")",IF(SUMPRODUCT(-- ISNUMBER(SEARCH({"Formula","Roll-Up Summary"}, $B73))) &gt; 0,$B73 &amp; " (" &amp; $E73 &amp; ")",IF(SUMPRODUCT(-- ISNUMBER(SEARCH({"Content","Currency","Number","Percent","Text","URL"}, $B73))) &gt; 0,$B73 &amp; "(" &amp; $C73 &amp; ")",$B73)))), "  ", TRIM(IF($S73 = "YES", "(External ID)", "") &amp; " " &amp; IF(SUMPRODUCT(-- ISNUMBER(SEARCH({"Unique","Unique Case Insensitive"}, $R73))) &gt; 0, "(" &amp; $R73 &amp; ")", ""))))</f>
        <v>na</v>
      </c>
      <c r="E73" s="7" t="s">
        <v>195</v>
      </c>
      <c r="F73" s="7" t="s">
        <v>195</v>
      </c>
      <c r="G73" s="7" t="s">
        <v>195</v>
      </c>
      <c r="H73" s="7" t="s">
        <v>195</v>
      </c>
      <c r="I73" s="7" t="s">
        <v>195</v>
      </c>
      <c r="J73" s="7" t="s">
        <v>195</v>
      </c>
      <c r="K73" s="7" t="s">
        <v>195</v>
      </c>
      <c r="L73" s="7" t="s">
        <v>195</v>
      </c>
      <c r="M73" s="7" t="s">
        <v>29</v>
      </c>
      <c r="N73" s="7" t="s">
        <v>29</v>
      </c>
      <c r="O73" s="7" t="s">
        <v>29</v>
      </c>
      <c r="P73" s="7" t="s">
        <v>29</v>
      </c>
      <c r="Q73" s="7" t="s">
        <v>29</v>
      </c>
      <c r="R73" s="7" t="s">
        <v>29</v>
      </c>
      <c r="S73" s="7" t="s">
        <v>29</v>
      </c>
    </row>
    <row r="74" spans="2:19">
      <c r="B74" s="7" t="s">
        <v>195</v>
      </c>
      <c r="C74" s="8" t="s">
        <v>195</v>
      </c>
      <c r="D74" s="5" t="str">
        <f>LRTRIM(CONCATENATE(IF(SUMPRODUCT(-- ISNUMBER(SEARCH({"Auto Number"}, $B74))) &gt; 0, $B74, IF(SUMPRODUCT(-- ISNUMBER(SEARCH({"Lookup","Master-Detail"}, $B74))) &gt; 0,$B74 &amp; "(" &amp; $E74 &amp; ")",IF(SUMPRODUCT(-- ISNUMBER(SEARCH({"Formula","Roll-Up Summary"}, $B74))) &gt; 0,$B74 &amp; " (" &amp; $E74 &amp; ")",IF(SUMPRODUCT(-- ISNUMBER(SEARCH({"Content","Currency","Number","Percent","Text","URL"}, $B74))) &gt; 0,$B74 &amp; "(" &amp; $C74 &amp; ")",$B74)))), "  ", TRIM(IF($S74 = "YES", "(External ID)", "") &amp; " " &amp; IF(SUMPRODUCT(-- ISNUMBER(SEARCH({"Unique","Unique Case Insensitive"}, $R74))) &gt; 0, "(" &amp; $R74 &amp; ")", ""))))</f>
        <v>na</v>
      </c>
      <c r="E74" s="7" t="s">
        <v>195</v>
      </c>
      <c r="F74" s="7" t="s">
        <v>195</v>
      </c>
      <c r="G74" s="7" t="s">
        <v>195</v>
      </c>
      <c r="H74" s="7" t="s">
        <v>195</v>
      </c>
      <c r="I74" s="7" t="s">
        <v>195</v>
      </c>
      <c r="J74" s="7" t="s">
        <v>195</v>
      </c>
      <c r="K74" s="7" t="s">
        <v>195</v>
      </c>
      <c r="L74" s="7" t="s">
        <v>195</v>
      </c>
      <c r="M74" s="7" t="s">
        <v>29</v>
      </c>
      <c r="N74" s="7" t="s">
        <v>29</v>
      </c>
      <c r="O74" s="7" t="s">
        <v>29</v>
      </c>
      <c r="P74" s="7" t="s">
        <v>29</v>
      </c>
      <c r="Q74" s="7" t="s">
        <v>29</v>
      </c>
      <c r="R74" s="7" t="s">
        <v>29</v>
      </c>
      <c r="S74" s="7" t="s">
        <v>29</v>
      </c>
    </row>
    <row r="75" spans="2:19">
      <c r="B75" s="7" t="s">
        <v>195</v>
      </c>
      <c r="C75" s="8" t="s">
        <v>195</v>
      </c>
      <c r="D75" s="5" t="str">
        <f>LRTRIM(CONCATENATE(IF(SUMPRODUCT(-- ISNUMBER(SEARCH({"Auto Number"}, $B75))) &gt; 0, $B75, IF(SUMPRODUCT(-- ISNUMBER(SEARCH({"Lookup","Master-Detail"}, $B75))) &gt; 0,$B75 &amp; "(" &amp; $E75 &amp; ")",IF(SUMPRODUCT(-- ISNUMBER(SEARCH({"Formula","Roll-Up Summary"}, $B75))) &gt; 0,$B75 &amp; " (" &amp; $E75 &amp; ")",IF(SUMPRODUCT(-- ISNUMBER(SEARCH({"Content","Currency","Number","Percent","Text","URL"}, $B75))) &gt; 0,$B75 &amp; "(" &amp; $C75 &amp; ")",$B75)))), "  ", TRIM(IF($S75 = "YES", "(External ID)", "") &amp; " " &amp; IF(SUMPRODUCT(-- ISNUMBER(SEARCH({"Unique","Unique Case Insensitive"}, $R75))) &gt; 0, "(" &amp; $R75 &amp; ")", ""))))</f>
        <v>na</v>
      </c>
      <c r="E75" s="7" t="s">
        <v>195</v>
      </c>
      <c r="F75" s="7" t="s">
        <v>195</v>
      </c>
      <c r="G75" s="7" t="s">
        <v>195</v>
      </c>
      <c r="H75" s="7" t="s">
        <v>195</v>
      </c>
      <c r="I75" s="7" t="s">
        <v>195</v>
      </c>
      <c r="J75" s="7" t="s">
        <v>195</v>
      </c>
      <c r="K75" s="7" t="s">
        <v>195</v>
      </c>
      <c r="L75" s="7" t="s">
        <v>195</v>
      </c>
      <c r="M75" s="7" t="s">
        <v>29</v>
      </c>
      <c r="N75" s="7" t="s">
        <v>29</v>
      </c>
      <c r="O75" s="7" t="s">
        <v>29</v>
      </c>
      <c r="P75" s="7" t="s">
        <v>29</v>
      </c>
      <c r="Q75" s="7" t="s">
        <v>29</v>
      </c>
      <c r="R75" s="7" t="s">
        <v>29</v>
      </c>
      <c r="S75" s="7" t="s">
        <v>29</v>
      </c>
    </row>
    <row r="76" spans="2:19">
      <c r="B76" s="7" t="s">
        <v>195</v>
      </c>
      <c r="C76" s="8" t="s">
        <v>195</v>
      </c>
      <c r="D76" s="5" t="str">
        <f>LRTRIM(CONCATENATE(IF(SUMPRODUCT(-- ISNUMBER(SEARCH({"Auto Number"}, $B76))) &gt; 0, $B76, IF(SUMPRODUCT(-- ISNUMBER(SEARCH({"Lookup","Master-Detail"}, $B76))) &gt; 0,$B76 &amp; "(" &amp; $E76 &amp; ")",IF(SUMPRODUCT(-- ISNUMBER(SEARCH({"Formula","Roll-Up Summary"}, $B76))) &gt; 0,$B76 &amp; " (" &amp; $E76 &amp; ")",IF(SUMPRODUCT(-- ISNUMBER(SEARCH({"Content","Currency","Number","Percent","Text","URL"}, $B76))) &gt; 0,$B76 &amp; "(" &amp; $C76 &amp; ")",$B76)))), "  ", TRIM(IF($S76 = "YES", "(External ID)", "") &amp; " " &amp; IF(SUMPRODUCT(-- ISNUMBER(SEARCH({"Unique","Unique Case Insensitive"}, $R76))) &gt; 0, "(" &amp; $R76 &amp; ")", ""))))</f>
        <v>na</v>
      </c>
      <c r="E76" s="7" t="s">
        <v>195</v>
      </c>
      <c r="F76" s="7" t="s">
        <v>195</v>
      </c>
      <c r="G76" s="7" t="s">
        <v>195</v>
      </c>
      <c r="H76" s="7" t="s">
        <v>195</v>
      </c>
      <c r="I76" s="7" t="s">
        <v>195</v>
      </c>
      <c r="J76" s="7" t="s">
        <v>195</v>
      </c>
      <c r="K76" s="7" t="s">
        <v>195</v>
      </c>
      <c r="L76" s="7" t="s">
        <v>195</v>
      </c>
      <c r="M76" s="7" t="s">
        <v>29</v>
      </c>
      <c r="N76" s="7" t="s">
        <v>29</v>
      </c>
      <c r="O76" s="7" t="s">
        <v>29</v>
      </c>
      <c r="P76" s="7" t="s">
        <v>29</v>
      </c>
      <c r="Q76" s="7" t="s">
        <v>29</v>
      </c>
      <c r="R76" s="7" t="s">
        <v>29</v>
      </c>
      <c r="S76" s="7" t="s">
        <v>29</v>
      </c>
    </row>
    <row r="77" spans="2:19">
      <c r="B77" s="7" t="s">
        <v>195</v>
      </c>
      <c r="C77" s="8" t="s">
        <v>195</v>
      </c>
      <c r="D77" s="5" t="str">
        <f>LRTRIM(CONCATENATE(IF(SUMPRODUCT(-- ISNUMBER(SEARCH({"Auto Number"}, $B77))) &gt; 0, $B77, IF(SUMPRODUCT(-- ISNUMBER(SEARCH({"Lookup","Master-Detail"}, $B77))) &gt; 0,$B77 &amp; "(" &amp; $E77 &amp; ")",IF(SUMPRODUCT(-- ISNUMBER(SEARCH({"Formula","Roll-Up Summary"}, $B77))) &gt; 0,$B77 &amp; " (" &amp; $E77 &amp; ")",IF(SUMPRODUCT(-- ISNUMBER(SEARCH({"Content","Currency","Number","Percent","Text","URL"}, $B77))) &gt; 0,$B77 &amp; "(" &amp; $C77 &amp; ")",$B77)))), "  ", TRIM(IF($S77 = "YES", "(External ID)", "") &amp; " " &amp; IF(SUMPRODUCT(-- ISNUMBER(SEARCH({"Unique","Unique Case Insensitive"}, $R77))) &gt; 0, "(" &amp; $R77 &amp; ")", ""))))</f>
        <v>na</v>
      </c>
      <c r="E77" s="7" t="s">
        <v>195</v>
      </c>
      <c r="F77" s="7" t="s">
        <v>195</v>
      </c>
      <c r="G77" s="7" t="s">
        <v>195</v>
      </c>
      <c r="H77" s="7" t="s">
        <v>195</v>
      </c>
      <c r="I77" s="7" t="s">
        <v>195</v>
      </c>
      <c r="J77" s="7" t="s">
        <v>195</v>
      </c>
      <c r="K77" s="7" t="s">
        <v>195</v>
      </c>
      <c r="L77" s="7" t="s">
        <v>195</v>
      </c>
      <c r="M77" s="7" t="s">
        <v>29</v>
      </c>
      <c r="N77" s="7" t="s">
        <v>29</v>
      </c>
      <c r="O77" s="7" t="s">
        <v>29</v>
      </c>
      <c r="P77" s="7" t="s">
        <v>29</v>
      </c>
      <c r="Q77" s="7" t="s">
        <v>29</v>
      </c>
      <c r="R77" s="7" t="s">
        <v>29</v>
      </c>
      <c r="S77" s="7" t="s">
        <v>29</v>
      </c>
    </row>
    <row r="78" spans="2:19">
      <c r="B78" s="7" t="s">
        <v>195</v>
      </c>
      <c r="C78" s="8" t="s">
        <v>195</v>
      </c>
      <c r="D78" s="5" t="str">
        <f>LRTRIM(CONCATENATE(IF(SUMPRODUCT(-- ISNUMBER(SEARCH({"Auto Number"}, $B78))) &gt; 0, $B78, IF(SUMPRODUCT(-- ISNUMBER(SEARCH({"Lookup","Master-Detail"}, $B78))) &gt; 0,$B78 &amp; "(" &amp; $E78 &amp; ")",IF(SUMPRODUCT(-- ISNUMBER(SEARCH({"Formula","Roll-Up Summary"}, $B78))) &gt; 0,$B78 &amp; " (" &amp; $E78 &amp; ")",IF(SUMPRODUCT(-- ISNUMBER(SEARCH({"Content","Currency","Number","Percent","Text","URL"}, $B78))) &gt; 0,$B78 &amp; "(" &amp; $C78 &amp; ")",$B78)))), "  ", TRIM(IF($S78 = "YES", "(External ID)", "") &amp; " " &amp; IF(SUMPRODUCT(-- ISNUMBER(SEARCH({"Unique","Unique Case Insensitive"}, $R78))) &gt; 0, "(" &amp; $R78 &amp; ")", ""))))</f>
        <v>na</v>
      </c>
      <c r="E78" s="7" t="s">
        <v>195</v>
      </c>
      <c r="F78" s="7" t="s">
        <v>195</v>
      </c>
      <c r="G78" s="7" t="s">
        <v>195</v>
      </c>
      <c r="H78" s="7" t="s">
        <v>195</v>
      </c>
      <c r="I78" s="7" t="s">
        <v>195</v>
      </c>
      <c r="J78" s="7" t="s">
        <v>195</v>
      </c>
      <c r="K78" s="7" t="s">
        <v>195</v>
      </c>
      <c r="L78" s="7" t="s">
        <v>195</v>
      </c>
      <c r="M78" s="7" t="s">
        <v>29</v>
      </c>
      <c r="N78" s="7" t="s">
        <v>29</v>
      </c>
      <c r="O78" s="7" t="s">
        <v>29</v>
      </c>
      <c r="P78" s="7" t="s">
        <v>29</v>
      </c>
      <c r="Q78" s="7" t="s">
        <v>29</v>
      </c>
      <c r="R78" s="7" t="s">
        <v>29</v>
      </c>
      <c r="S78" s="7" t="s">
        <v>29</v>
      </c>
    </row>
    <row r="79" spans="2:19">
      <c r="B79" s="7" t="s">
        <v>195</v>
      </c>
      <c r="C79" s="8" t="s">
        <v>195</v>
      </c>
      <c r="D79" s="5" t="str">
        <f>LRTRIM(CONCATENATE(IF(SUMPRODUCT(-- ISNUMBER(SEARCH({"Auto Number"}, $B79))) &gt; 0, $B79, IF(SUMPRODUCT(-- ISNUMBER(SEARCH({"Lookup","Master-Detail"}, $B79))) &gt; 0,$B79 &amp; "(" &amp; $E79 &amp; ")",IF(SUMPRODUCT(-- ISNUMBER(SEARCH({"Formula","Roll-Up Summary"}, $B79))) &gt; 0,$B79 &amp; " (" &amp; $E79 &amp; ")",IF(SUMPRODUCT(-- ISNUMBER(SEARCH({"Content","Currency","Number","Percent","Text","URL"}, $B79))) &gt; 0,$B79 &amp; "(" &amp; $C79 &amp; ")",$B79)))), "  ", TRIM(IF($S79 = "YES", "(External ID)", "") &amp; " " &amp; IF(SUMPRODUCT(-- ISNUMBER(SEARCH({"Unique","Unique Case Insensitive"}, $R79))) &gt; 0, "(" &amp; $R79 &amp; ")", ""))))</f>
        <v>na</v>
      </c>
      <c r="E79" s="7" t="s">
        <v>195</v>
      </c>
      <c r="F79" s="7" t="s">
        <v>195</v>
      </c>
      <c r="G79" s="7" t="s">
        <v>195</v>
      </c>
      <c r="H79" s="7" t="s">
        <v>195</v>
      </c>
      <c r="I79" s="7" t="s">
        <v>195</v>
      </c>
      <c r="J79" s="7" t="s">
        <v>195</v>
      </c>
      <c r="K79" s="7" t="s">
        <v>195</v>
      </c>
      <c r="L79" s="7" t="s">
        <v>195</v>
      </c>
      <c r="M79" s="7" t="s">
        <v>29</v>
      </c>
      <c r="N79" s="7" t="s">
        <v>29</v>
      </c>
      <c r="O79" s="7" t="s">
        <v>29</v>
      </c>
      <c r="P79" s="7" t="s">
        <v>29</v>
      </c>
      <c r="Q79" s="7" t="s">
        <v>29</v>
      </c>
      <c r="R79" s="7" t="s">
        <v>29</v>
      </c>
      <c r="S79" s="7" t="s">
        <v>29</v>
      </c>
    </row>
    <row r="80" spans="2:19">
      <c r="B80" s="7" t="s">
        <v>195</v>
      </c>
      <c r="C80" s="8" t="s">
        <v>195</v>
      </c>
      <c r="D80" s="5" t="str">
        <f>LRTRIM(CONCATENATE(IF(SUMPRODUCT(-- ISNUMBER(SEARCH({"Auto Number"}, $B80))) &gt; 0, $B80, IF(SUMPRODUCT(-- ISNUMBER(SEARCH({"Lookup","Master-Detail"}, $B80))) &gt; 0,$B80 &amp; "(" &amp; $E80 &amp; ")",IF(SUMPRODUCT(-- ISNUMBER(SEARCH({"Formula","Roll-Up Summary"}, $B80))) &gt; 0,$B80 &amp; " (" &amp; $E80 &amp; ")",IF(SUMPRODUCT(-- ISNUMBER(SEARCH({"Content","Currency","Number","Percent","Text","URL"}, $B80))) &gt; 0,$B80 &amp; "(" &amp; $C80 &amp; ")",$B80)))), "  ", TRIM(IF($S80 = "YES", "(External ID)", "") &amp; " " &amp; IF(SUMPRODUCT(-- ISNUMBER(SEARCH({"Unique","Unique Case Insensitive"}, $R80))) &gt; 0, "(" &amp; $R80 &amp; ")", ""))))</f>
        <v>na</v>
      </c>
      <c r="E80" s="7" t="s">
        <v>195</v>
      </c>
      <c r="F80" s="7" t="s">
        <v>195</v>
      </c>
      <c r="G80" s="7" t="s">
        <v>195</v>
      </c>
      <c r="H80" s="7" t="s">
        <v>195</v>
      </c>
      <c r="I80" s="7" t="s">
        <v>195</v>
      </c>
      <c r="J80" s="7" t="s">
        <v>195</v>
      </c>
      <c r="K80" s="7" t="s">
        <v>195</v>
      </c>
      <c r="L80" s="7" t="s">
        <v>195</v>
      </c>
      <c r="M80" s="7" t="s">
        <v>29</v>
      </c>
      <c r="N80" s="7" t="s">
        <v>29</v>
      </c>
      <c r="O80" s="7" t="s">
        <v>29</v>
      </c>
      <c r="P80" s="7" t="s">
        <v>29</v>
      </c>
      <c r="Q80" s="7" t="s">
        <v>29</v>
      </c>
      <c r="R80" s="7" t="s">
        <v>29</v>
      </c>
      <c r="S80" s="7" t="s">
        <v>29</v>
      </c>
    </row>
    <row r="81" spans="2:19">
      <c r="B81" s="7" t="s">
        <v>195</v>
      </c>
      <c r="C81" s="8" t="s">
        <v>195</v>
      </c>
      <c r="D81" s="5" t="str">
        <f>LRTRIM(CONCATENATE(IF(SUMPRODUCT(-- ISNUMBER(SEARCH({"Auto Number"}, $B81))) &gt; 0, $B81, IF(SUMPRODUCT(-- ISNUMBER(SEARCH({"Lookup","Master-Detail"}, $B81))) &gt; 0,$B81 &amp; "(" &amp; $E81 &amp; ")",IF(SUMPRODUCT(-- ISNUMBER(SEARCH({"Formula","Roll-Up Summary"}, $B81))) &gt; 0,$B81 &amp; " (" &amp; $E81 &amp; ")",IF(SUMPRODUCT(-- ISNUMBER(SEARCH({"Content","Currency","Number","Percent","Text","URL"}, $B81))) &gt; 0,$B81 &amp; "(" &amp; $C81 &amp; ")",$B81)))), "  ", TRIM(IF($S81 = "YES", "(External ID)", "") &amp; " " &amp; IF(SUMPRODUCT(-- ISNUMBER(SEARCH({"Unique","Unique Case Insensitive"}, $R81))) &gt; 0, "(" &amp; $R81 &amp; ")", ""))))</f>
        <v>na</v>
      </c>
      <c r="E81" s="7" t="s">
        <v>195</v>
      </c>
      <c r="F81" s="7" t="s">
        <v>195</v>
      </c>
      <c r="G81" s="7" t="s">
        <v>195</v>
      </c>
      <c r="H81" s="7" t="s">
        <v>195</v>
      </c>
      <c r="I81" s="7" t="s">
        <v>195</v>
      </c>
      <c r="J81" s="7" t="s">
        <v>195</v>
      </c>
      <c r="K81" s="7" t="s">
        <v>195</v>
      </c>
      <c r="L81" s="7" t="s">
        <v>195</v>
      </c>
      <c r="M81" s="7" t="s">
        <v>29</v>
      </c>
      <c r="N81" s="7" t="s">
        <v>29</v>
      </c>
      <c r="O81" s="7" t="s">
        <v>29</v>
      </c>
      <c r="P81" s="7" t="s">
        <v>29</v>
      </c>
      <c r="Q81" s="7" t="s">
        <v>29</v>
      </c>
      <c r="R81" s="7" t="s">
        <v>29</v>
      </c>
      <c r="S81" s="7" t="s">
        <v>29</v>
      </c>
    </row>
    <row r="82" spans="2:19">
      <c r="B82" s="7" t="s">
        <v>195</v>
      </c>
      <c r="C82" s="8" t="s">
        <v>195</v>
      </c>
      <c r="D82" s="5" t="str">
        <f>LRTRIM(CONCATENATE(IF(SUMPRODUCT(-- ISNUMBER(SEARCH({"Auto Number"}, $B82))) &gt; 0, $B82, IF(SUMPRODUCT(-- ISNUMBER(SEARCH({"Lookup","Master-Detail"}, $B82))) &gt; 0,$B82 &amp; "(" &amp; $E82 &amp; ")",IF(SUMPRODUCT(-- ISNUMBER(SEARCH({"Formula","Roll-Up Summary"}, $B82))) &gt; 0,$B82 &amp; " (" &amp; $E82 &amp; ")",IF(SUMPRODUCT(-- ISNUMBER(SEARCH({"Content","Currency","Number","Percent","Text","URL"}, $B82))) &gt; 0,$B82 &amp; "(" &amp; $C82 &amp; ")",$B82)))), "  ", TRIM(IF($S82 = "YES", "(External ID)", "") &amp; " " &amp; IF(SUMPRODUCT(-- ISNUMBER(SEARCH({"Unique","Unique Case Insensitive"}, $R82))) &gt; 0, "(" &amp; $R82 &amp; ")", ""))))</f>
        <v>na</v>
      </c>
      <c r="E82" s="7" t="s">
        <v>195</v>
      </c>
      <c r="F82" s="7" t="s">
        <v>195</v>
      </c>
      <c r="G82" s="7" t="s">
        <v>195</v>
      </c>
      <c r="H82" s="7" t="s">
        <v>195</v>
      </c>
      <c r="I82" s="7" t="s">
        <v>195</v>
      </c>
      <c r="J82" s="7" t="s">
        <v>195</v>
      </c>
      <c r="K82" s="7" t="s">
        <v>195</v>
      </c>
      <c r="L82" s="7" t="s">
        <v>195</v>
      </c>
      <c r="M82" s="7" t="s">
        <v>29</v>
      </c>
      <c r="N82" s="7" t="s">
        <v>29</v>
      </c>
      <c r="O82" s="7" t="s">
        <v>29</v>
      </c>
      <c r="P82" s="7" t="s">
        <v>29</v>
      </c>
      <c r="Q82" s="7" t="s">
        <v>29</v>
      </c>
      <c r="R82" s="7" t="s">
        <v>29</v>
      </c>
      <c r="S82" s="7" t="s">
        <v>29</v>
      </c>
    </row>
    <row r="83" spans="2:19">
      <c r="B83" s="7" t="s">
        <v>195</v>
      </c>
      <c r="C83" s="8" t="s">
        <v>195</v>
      </c>
      <c r="D83" s="5" t="str">
        <f>LRTRIM(CONCATENATE(IF(SUMPRODUCT(-- ISNUMBER(SEARCH({"Auto Number"}, $B83))) &gt; 0, $B83, IF(SUMPRODUCT(-- ISNUMBER(SEARCH({"Lookup","Master-Detail"}, $B83))) &gt; 0,$B83 &amp; "(" &amp; $E83 &amp; ")",IF(SUMPRODUCT(-- ISNUMBER(SEARCH({"Formula","Roll-Up Summary"}, $B83))) &gt; 0,$B83 &amp; " (" &amp; $E83 &amp; ")",IF(SUMPRODUCT(-- ISNUMBER(SEARCH({"Content","Currency","Number","Percent","Text","URL"}, $B83))) &gt; 0,$B83 &amp; "(" &amp; $C83 &amp; ")",$B83)))), "  ", TRIM(IF($S83 = "YES", "(External ID)", "") &amp; " " &amp; IF(SUMPRODUCT(-- ISNUMBER(SEARCH({"Unique","Unique Case Insensitive"}, $R83))) &gt; 0, "(" &amp; $R83 &amp; ")", ""))))</f>
        <v>na</v>
      </c>
      <c r="E83" s="7" t="s">
        <v>195</v>
      </c>
      <c r="F83" s="7" t="s">
        <v>195</v>
      </c>
      <c r="G83" s="7" t="s">
        <v>195</v>
      </c>
      <c r="H83" s="7" t="s">
        <v>195</v>
      </c>
      <c r="I83" s="7" t="s">
        <v>195</v>
      </c>
      <c r="J83" s="7" t="s">
        <v>195</v>
      </c>
      <c r="K83" s="7" t="s">
        <v>195</v>
      </c>
      <c r="L83" s="7" t="s">
        <v>195</v>
      </c>
      <c r="M83" s="7" t="s">
        <v>29</v>
      </c>
      <c r="N83" s="7" t="s">
        <v>29</v>
      </c>
      <c r="O83" s="7" t="s">
        <v>29</v>
      </c>
      <c r="P83" s="7" t="s">
        <v>29</v>
      </c>
      <c r="Q83" s="7" t="s">
        <v>29</v>
      </c>
      <c r="R83" s="7" t="s">
        <v>29</v>
      </c>
      <c r="S83" s="7" t="s">
        <v>29</v>
      </c>
    </row>
    <row r="84" spans="2:19">
      <c r="B84" s="7" t="s">
        <v>195</v>
      </c>
      <c r="C84" s="8" t="s">
        <v>195</v>
      </c>
      <c r="D84" s="5" t="str">
        <f>LRTRIM(CONCATENATE(IF(SUMPRODUCT(-- ISNUMBER(SEARCH({"Auto Number"}, $B84))) &gt; 0, $B84, IF(SUMPRODUCT(-- ISNUMBER(SEARCH({"Lookup","Master-Detail"}, $B84))) &gt; 0,$B84 &amp; "(" &amp; $E84 &amp; ")",IF(SUMPRODUCT(-- ISNUMBER(SEARCH({"Formula","Roll-Up Summary"}, $B84))) &gt; 0,$B84 &amp; " (" &amp; $E84 &amp; ")",IF(SUMPRODUCT(-- ISNUMBER(SEARCH({"Content","Currency","Number","Percent","Text","URL"}, $B84))) &gt; 0,$B84 &amp; "(" &amp; $C84 &amp; ")",$B84)))), "  ", TRIM(IF($S84 = "YES", "(External ID)", "") &amp; " " &amp; IF(SUMPRODUCT(-- ISNUMBER(SEARCH({"Unique","Unique Case Insensitive"}, $R84))) &gt; 0, "(" &amp; $R84 &amp; ")", ""))))</f>
        <v>na</v>
      </c>
      <c r="E84" s="7" t="s">
        <v>195</v>
      </c>
      <c r="F84" s="7" t="s">
        <v>195</v>
      </c>
      <c r="G84" s="7" t="s">
        <v>195</v>
      </c>
      <c r="H84" s="7" t="s">
        <v>195</v>
      </c>
      <c r="I84" s="7" t="s">
        <v>195</v>
      </c>
      <c r="J84" s="7" t="s">
        <v>195</v>
      </c>
      <c r="K84" s="7" t="s">
        <v>195</v>
      </c>
      <c r="L84" s="7" t="s">
        <v>195</v>
      </c>
      <c r="M84" s="7" t="s">
        <v>29</v>
      </c>
      <c r="N84" s="7" t="s">
        <v>29</v>
      </c>
      <c r="O84" s="7" t="s">
        <v>29</v>
      </c>
      <c r="P84" s="7" t="s">
        <v>29</v>
      </c>
      <c r="Q84" s="7" t="s">
        <v>29</v>
      </c>
      <c r="R84" s="7" t="s">
        <v>29</v>
      </c>
      <c r="S84" s="7" t="s">
        <v>29</v>
      </c>
    </row>
    <row r="85" spans="2:19">
      <c r="B85" s="7" t="s">
        <v>195</v>
      </c>
      <c r="C85" s="8" t="s">
        <v>195</v>
      </c>
      <c r="D85" s="5" t="str">
        <f>LRTRIM(CONCATENATE(IF(SUMPRODUCT(-- ISNUMBER(SEARCH({"Auto Number"}, $B85))) &gt; 0, $B85, IF(SUMPRODUCT(-- ISNUMBER(SEARCH({"Lookup","Master-Detail"}, $B85))) &gt; 0,$B85 &amp; "(" &amp; $E85 &amp; ")",IF(SUMPRODUCT(-- ISNUMBER(SEARCH({"Formula","Roll-Up Summary"}, $B85))) &gt; 0,$B85 &amp; " (" &amp; $E85 &amp; ")",IF(SUMPRODUCT(-- ISNUMBER(SEARCH({"Content","Currency","Number","Percent","Text","URL"}, $B85))) &gt; 0,$B85 &amp; "(" &amp; $C85 &amp; ")",$B85)))), "  ", TRIM(IF($S85 = "YES", "(External ID)", "") &amp; " " &amp; IF(SUMPRODUCT(-- ISNUMBER(SEARCH({"Unique","Unique Case Insensitive"}, $R85))) &gt; 0, "(" &amp; $R85 &amp; ")", ""))))</f>
        <v>na</v>
      </c>
      <c r="E85" s="7" t="s">
        <v>195</v>
      </c>
      <c r="F85" s="7" t="s">
        <v>195</v>
      </c>
      <c r="G85" s="7" t="s">
        <v>195</v>
      </c>
      <c r="H85" s="7" t="s">
        <v>195</v>
      </c>
      <c r="I85" s="7" t="s">
        <v>195</v>
      </c>
      <c r="J85" s="7" t="s">
        <v>195</v>
      </c>
      <c r="K85" s="7" t="s">
        <v>195</v>
      </c>
      <c r="L85" s="7" t="s">
        <v>195</v>
      </c>
      <c r="M85" s="7" t="s">
        <v>29</v>
      </c>
      <c r="N85" s="7" t="s">
        <v>29</v>
      </c>
      <c r="O85" s="7" t="s">
        <v>29</v>
      </c>
      <c r="P85" s="7" t="s">
        <v>29</v>
      </c>
      <c r="Q85" s="7" t="s">
        <v>29</v>
      </c>
      <c r="R85" s="7" t="s">
        <v>29</v>
      </c>
      <c r="S85" s="7" t="s">
        <v>29</v>
      </c>
    </row>
    <row r="86" spans="2:19">
      <c r="B86" s="7" t="s">
        <v>195</v>
      </c>
      <c r="C86" s="8" t="s">
        <v>195</v>
      </c>
      <c r="D86" s="5" t="str">
        <f>LRTRIM(CONCATENATE(IF(SUMPRODUCT(-- ISNUMBER(SEARCH({"Auto Number"}, $B86))) &gt; 0, $B86, IF(SUMPRODUCT(-- ISNUMBER(SEARCH({"Lookup","Master-Detail"}, $B86))) &gt; 0,$B86 &amp; "(" &amp; $E86 &amp; ")",IF(SUMPRODUCT(-- ISNUMBER(SEARCH({"Formula","Roll-Up Summary"}, $B86))) &gt; 0,$B86 &amp; " (" &amp; $E86 &amp; ")",IF(SUMPRODUCT(-- ISNUMBER(SEARCH({"Content","Currency","Number","Percent","Text","URL"}, $B86))) &gt; 0,$B86 &amp; "(" &amp; $C86 &amp; ")",$B86)))), "  ", TRIM(IF($S86 = "YES", "(External ID)", "") &amp; " " &amp; IF(SUMPRODUCT(-- ISNUMBER(SEARCH({"Unique","Unique Case Insensitive"}, $R86))) &gt; 0, "(" &amp; $R86 &amp; ")", ""))))</f>
        <v>na</v>
      </c>
      <c r="E86" s="7" t="s">
        <v>195</v>
      </c>
      <c r="F86" s="7" t="s">
        <v>195</v>
      </c>
      <c r="G86" s="7" t="s">
        <v>195</v>
      </c>
      <c r="H86" s="7" t="s">
        <v>195</v>
      </c>
      <c r="I86" s="7" t="s">
        <v>195</v>
      </c>
      <c r="J86" s="7" t="s">
        <v>195</v>
      </c>
      <c r="K86" s="7" t="s">
        <v>195</v>
      </c>
      <c r="L86" s="7" t="s">
        <v>195</v>
      </c>
      <c r="M86" s="7" t="s">
        <v>29</v>
      </c>
      <c r="N86" s="7" t="s">
        <v>29</v>
      </c>
      <c r="O86" s="7" t="s">
        <v>29</v>
      </c>
      <c r="P86" s="7" t="s">
        <v>29</v>
      </c>
      <c r="Q86" s="7" t="s">
        <v>29</v>
      </c>
      <c r="R86" s="7" t="s">
        <v>29</v>
      </c>
      <c r="S86" s="7" t="s">
        <v>29</v>
      </c>
    </row>
    <row r="87" spans="2:19">
      <c r="B87" s="7" t="s">
        <v>195</v>
      </c>
      <c r="C87" s="8" t="s">
        <v>195</v>
      </c>
      <c r="D87" s="5" t="str">
        <f>LRTRIM(CONCATENATE(IF(SUMPRODUCT(-- ISNUMBER(SEARCH({"Auto Number"}, $B87))) &gt; 0, $B87, IF(SUMPRODUCT(-- ISNUMBER(SEARCH({"Lookup","Master-Detail"}, $B87))) &gt; 0,$B87 &amp; "(" &amp; $E87 &amp; ")",IF(SUMPRODUCT(-- ISNUMBER(SEARCH({"Formula","Roll-Up Summary"}, $B87))) &gt; 0,$B87 &amp; " (" &amp; $E87 &amp; ")",IF(SUMPRODUCT(-- ISNUMBER(SEARCH({"Content","Currency","Number","Percent","Text","URL"}, $B87))) &gt; 0,$B87 &amp; "(" &amp; $C87 &amp; ")",$B87)))), "  ", TRIM(IF($S87 = "YES", "(External ID)", "") &amp; " " &amp; IF(SUMPRODUCT(-- ISNUMBER(SEARCH({"Unique","Unique Case Insensitive"}, $R87))) &gt; 0, "(" &amp; $R87 &amp; ")", ""))))</f>
        <v>na</v>
      </c>
      <c r="E87" s="7" t="s">
        <v>195</v>
      </c>
      <c r="F87" s="7" t="s">
        <v>195</v>
      </c>
      <c r="G87" s="7" t="s">
        <v>195</v>
      </c>
      <c r="H87" s="7" t="s">
        <v>195</v>
      </c>
      <c r="I87" s="7" t="s">
        <v>195</v>
      </c>
      <c r="J87" s="7" t="s">
        <v>195</v>
      </c>
      <c r="K87" s="7" t="s">
        <v>195</v>
      </c>
      <c r="L87" s="7" t="s">
        <v>195</v>
      </c>
      <c r="M87" s="7" t="s">
        <v>29</v>
      </c>
      <c r="N87" s="7" t="s">
        <v>29</v>
      </c>
      <c r="O87" s="7" t="s">
        <v>29</v>
      </c>
      <c r="P87" s="7" t="s">
        <v>29</v>
      </c>
      <c r="Q87" s="7" t="s">
        <v>29</v>
      </c>
      <c r="R87" s="7" t="s">
        <v>29</v>
      </c>
      <c r="S87" s="7" t="s">
        <v>29</v>
      </c>
    </row>
    <row r="88" spans="2:19">
      <c r="B88" s="7" t="s">
        <v>195</v>
      </c>
      <c r="C88" s="8" t="s">
        <v>195</v>
      </c>
      <c r="D88" s="5" t="str">
        <f>LRTRIM(CONCATENATE(IF(SUMPRODUCT(-- ISNUMBER(SEARCH({"Auto Number"}, $B88))) &gt; 0, $B88, IF(SUMPRODUCT(-- ISNUMBER(SEARCH({"Lookup","Master-Detail"}, $B88))) &gt; 0,$B88 &amp; "(" &amp; $E88 &amp; ")",IF(SUMPRODUCT(-- ISNUMBER(SEARCH({"Formula","Roll-Up Summary"}, $B88))) &gt; 0,$B88 &amp; " (" &amp; $E88 &amp; ")",IF(SUMPRODUCT(-- ISNUMBER(SEARCH({"Content","Currency","Number","Percent","Text","URL"}, $B88))) &gt; 0,$B88 &amp; "(" &amp; $C88 &amp; ")",$B88)))), "  ", TRIM(IF($S88 = "YES", "(External ID)", "") &amp; " " &amp; IF(SUMPRODUCT(-- ISNUMBER(SEARCH({"Unique","Unique Case Insensitive"}, $R88))) &gt; 0, "(" &amp; $R88 &amp; ")", ""))))</f>
        <v>na</v>
      </c>
      <c r="E88" s="7" t="s">
        <v>195</v>
      </c>
      <c r="F88" s="7" t="s">
        <v>195</v>
      </c>
      <c r="G88" s="7" t="s">
        <v>195</v>
      </c>
      <c r="H88" s="7" t="s">
        <v>195</v>
      </c>
      <c r="I88" s="7" t="s">
        <v>195</v>
      </c>
      <c r="J88" s="7" t="s">
        <v>195</v>
      </c>
      <c r="K88" s="7" t="s">
        <v>195</v>
      </c>
      <c r="L88" s="7" t="s">
        <v>195</v>
      </c>
      <c r="M88" s="7" t="s">
        <v>29</v>
      </c>
      <c r="N88" s="7" t="s">
        <v>29</v>
      </c>
      <c r="O88" s="7" t="s">
        <v>29</v>
      </c>
      <c r="P88" s="7" t="s">
        <v>29</v>
      </c>
      <c r="Q88" s="7" t="s">
        <v>29</v>
      </c>
      <c r="R88" s="7" t="s">
        <v>29</v>
      </c>
      <c r="S88" s="7" t="s">
        <v>29</v>
      </c>
    </row>
    <row r="89" spans="2:19">
      <c r="B89" s="7" t="s">
        <v>195</v>
      </c>
      <c r="C89" s="8" t="s">
        <v>195</v>
      </c>
      <c r="D89" s="5" t="str">
        <f>LRTRIM(CONCATENATE(IF(SUMPRODUCT(-- ISNUMBER(SEARCH({"Auto Number"}, $B89))) &gt; 0, $B89, IF(SUMPRODUCT(-- ISNUMBER(SEARCH({"Lookup","Master-Detail"}, $B89))) &gt; 0,$B89 &amp; "(" &amp; $E89 &amp; ")",IF(SUMPRODUCT(-- ISNUMBER(SEARCH({"Formula","Roll-Up Summary"}, $B89))) &gt; 0,$B89 &amp; " (" &amp; $E89 &amp; ")",IF(SUMPRODUCT(-- ISNUMBER(SEARCH({"Content","Currency","Number","Percent","Text","URL"}, $B89))) &gt; 0,$B89 &amp; "(" &amp; $C89 &amp; ")",$B89)))), "  ", TRIM(IF($S89 = "YES", "(External ID)", "") &amp; " " &amp; IF(SUMPRODUCT(-- ISNUMBER(SEARCH({"Unique","Unique Case Insensitive"}, $R89))) &gt; 0, "(" &amp; $R89 &amp; ")", ""))))</f>
        <v>na</v>
      </c>
      <c r="E89" s="7" t="s">
        <v>195</v>
      </c>
      <c r="F89" s="7" t="s">
        <v>195</v>
      </c>
      <c r="G89" s="7" t="s">
        <v>195</v>
      </c>
      <c r="H89" s="7" t="s">
        <v>195</v>
      </c>
      <c r="I89" s="7" t="s">
        <v>195</v>
      </c>
      <c r="J89" s="7" t="s">
        <v>195</v>
      </c>
      <c r="K89" s="7" t="s">
        <v>195</v>
      </c>
      <c r="L89" s="7" t="s">
        <v>195</v>
      </c>
      <c r="M89" s="7" t="s">
        <v>29</v>
      </c>
      <c r="N89" s="7" t="s">
        <v>29</v>
      </c>
      <c r="O89" s="7" t="s">
        <v>29</v>
      </c>
      <c r="P89" s="7" t="s">
        <v>29</v>
      </c>
      <c r="Q89" s="7" t="s">
        <v>29</v>
      </c>
      <c r="R89" s="7" t="s">
        <v>29</v>
      </c>
      <c r="S89" s="7" t="s">
        <v>29</v>
      </c>
    </row>
    <row r="90" spans="2:19">
      <c r="B90" s="7" t="s">
        <v>195</v>
      </c>
      <c r="C90" s="8" t="s">
        <v>195</v>
      </c>
      <c r="D90" s="5" t="str">
        <f>LRTRIM(CONCATENATE(IF(SUMPRODUCT(-- ISNUMBER(SEARCH({"Auto Number"}, $B90))) &gt; 0, $B90, IF(SUMPRODUCT(-- ISNUMBER(SEARCH({"Lookup","Master-Detail"}, $B90))) &gt; 0,$B90 &amp; "(" &amp; $E90 &amp; ")",IF(SUMPRODUCT(-- ISNUMBER(SEARCH({"Formula","Roll-Up Summary"}, $B90))) &gt; 0,$B90 &amp; " (" &amp; $E90 &amp; ")",IF(SUMPRODUCT(-- ISNUMBER(SEARCH({"Content","Currency","Number","Percent","Text","URL"}, $B90))) &gt; 0,$B90 &amp; "(" &amp; $C90 &amp; ")",$B90)))), "  ", TRIM(IF($S90 = "YES", "(External ID)", "") &amp; " " &amp; IF(SUMPRODUCT(-- ISNUMBER(SEARCH({"Unique","Unique Case Insensitive"}, $R90))) &gt; 0, "(" &amp; $R90 &amp; ")", ""))))</f>
        <v>na</v>
      </c>
      <c r="E90" s="7" t="s">
        <v>195</v>
      </c>
      <c r="F90" s="7" t="s">
        <v>195</v>
      </c>
      <c r="G90" s="7" t="s">
        <v>195</v>
      </c>
      <c r="H90" s="7" t="s">
        <v>195</v>
      </c>
      <c r="I90" s="7" t="s">
        <v>195</v>
      </c>
      <c r="J90" s="7" t="s">
        <v>195</v>
      </c>
      <c r="K90" s="7" t="s">
        <v>195</v>
      </c>
      <c r="L90" s="7" t="s">
        <v>195</v>
      </c>
      <c r="M90" s="7" t="s">
        <v>29</v>
      </c>
      <c r="N90" s="7" t="s">
        <v>29</v>
      </c>
      <c r="O90" s="7" t="s">
        <v>29</v>
      </c>
      <c r="P90" s="7" t="s">
        <v>29</v>
      </c>
      <c r="Q90" s="7" t="s">
        <v>29</v>
      </c>
      <c r="R90" s="7" t="s">
        <v>29</v>
      </c>
      <c r="S90" s="7" t="s">
        <v>29</v>
      </c>
    </row>
    <row r="91" spans="2:19">
      <c r="B91" s="7" t="s">
        <v>195</v>
      </c>
      <c r="C91" s="8" t="s">
        <v>195</v>
      </c>
      <c r="D91" s="5" t="str">
        <f>LRTRIM(CONCATENATE(IF(SUMPRODUCT(-- ISNUMBER(SEARCH({"Auto Number"}, $B91))) &gt; 0, $B91, IF(SUMPRODUCT(-- ISNUMBER(SEARCH({"Lookup","Master-Detail"}, $B91))) &gt; 0,$B91 &amp; "(" &amp; $E91 &amp; ")",IF(SUMPRODUCT(-- ISNUMBER(SEARCH({"Formula","Roll-Up Summary"}, $B91))) &gt; 0,$B91 &amp; " (" &amp; $E91 &amp; ")",IF(SUMPRODUCT(-- ISNUMBER(SEARCH({"Content","Currency","Number","Percent","Text","URL"}, $B91))) &gt; 0,$B91 &amp; "(" &amp; $C91 &amp; ")",$B91)))), "  ", TRIM(IF($S91 = "YES", "(External ID)", "") &amp; " " &amp; IF(SUMPRODUCT(-- ISNUMBER(SEARCH({"Unique","Unique Case Insensitive"}, $R91))) &gt; 0, "(" &amp; $R91 &amp; ")", ""))))</f>
        <v>na</v>
      </c>
      <c r="E91" s="7" t="s">
        <v>195</v>
      </c>
      <c r="F91" s="7" t="s">
        <v>195</v>
      </c>
      <c r="G91" s="7" t="s">
        <v>195</v>
      </c>
      <c r="H91" s="7" t="s">
        <v>195</v>
      </c>
      <c r="I91" s="7" t="s">
        <v>195</v>
      </c>
      <c r="J91" s="7" t="s">
        <v>195</v>
      </c>
      <c r="K91" s="7" t="s">
        <v>195</v>
      </c>
      <c r="L91" s="7" t="s">
        <v>195</v>
      </c>
      <c r="M91" s="7" t="s">
        <v>29</v>
      </c>
      <c r="N91" s="7" t="s">
        <v>29</v>
      </c>
      <c r="O91" s="7" t="s">
        <v>29</v>
      </c>
      <c r="P91" s="7" t="s">
        <v>29</v>
      </c>
      <c r="Q91" s="7" t="s">
        <v>29</v>
      </c>
      <c r="R91" s="7" t="s">
        <v>29</v>
      </c>
      <c r="S91" s="7" t="s">
        <v>29</v>
      </c>
    </row>
    <row r="92" spans="2:19">
      <c r="B92" s="7" t="s">
        <v>195</v>
      </c>
      <c r="C92" s="8" t="s">
        <v>195</v>
      </c>
      <c r="D92" s="5" t="str">
        <f>LRTRIM(CONCATENATE(IF(SUMPRODUCT(-- ISNUMBER(SEARCH({"Auto Number"}, $B92))) &gt; 0, $B92, IF(SUMPRODUCT(-- ISNUMBER(SEARCH({"Lookup","Master-Detail"}, $B92))) &gt; 0,$B92 &amp; "(" &amp; $E92 &amp; ")",IF(SUMPRODUCT(-- ISNUMBER(SEARCH({"Formula","Roll-Up Summary"}, $B92))) &gt; 0,$B92 &amp; " (" &amp; $E92 &amp; ")",IF(SUMPRODUCT(-- ISNUMBER(SEARCH({"Content","Currency","Number","Percent","Text","URL"}, $B92))) &gt; 0,$B92 &amp; "(" &amp; $C92 &amp; ")",$B92)))), "  ", TRIM(IF($S92 = "YES", "(External ID)", "") &amp; " " &amp; IF(SUMPRODUCT(-- ISNUMBER(SEARCH({"Unique","Unique Case Insensitive"}, $R92))) &gt; 0, "(" &amp; $R92 &amp; ")", ""))))</f>
        <v>na</v>
      </c>
      <c r="E92" s="7" t="s">
        <v>195</v>
      </c>
      <c r="F92" s="7" t="s">
        <v>195</v>
      </c>
      <c r="G92" s="7" t="s">
        <v>195</v>
      </c>
      <c r="H92" s="7" t="s">
        <v>195</v>
      </c>
      <c r="I92" s="7" t="s">
        <v>195</v>
      </c>
      <c r="J92" s="7" t="s">
        <v>195</v>
      </c>
      <c r="K92" s="7" t="s">
        <v>195</v>
      </c>
      <c r="L92" s="7" t="s">
        <v>195</v>
      </c>
      <c r="M92" s="7" t="s">
        <v>29</v>
      </c>
      <c r="N92" s="7" t="s">
        <v>29</v>
      </c>
      <c r="O92" s="7" t="s">
        <v>29</v>
      </c>
      <c r="P92" s="7" t="s">
        <v>29</v>
      </c>
      <c r="Q92" s="7" t="s">
        <v>29</v>
      </c>
      <c r="R92" s="7" t="s">
        <v>29</v>
      </c>
      <c r="S92" s="7" t="s">
        <v>29</v>
      </c>
    </row>
    <row r="93" spans="2:19">
      <c r="B93" s="7" t="s">
        <v>195</v>
      </c>
      <c r="C93" s="8" t="s">
        <v>195</v>
      </c>
      <c r="D93" s="5" t="str">
        <f>LRTRIM(CONCATENATE(IF(SUMPRODUCT(-- ISNUMBER(SEARCH({"Auto Number"}, $B93))) &gt; 0, $B93, IF(SUMPRODUCT(-- ISNUMBER(SEARCH({"Lookup","Master-Detail"}, $B93))) &gt; 0,$B93 &amp; "(" &amp; $E93 &amp; ")",IF(SUMPRODUCT(-- ISNUMBER(SEARCH({"Formula","Roll-Up Summary"}, $B93))) &gt; 0,$B93 &amp; " (" &amp; $E93 &amp; ")",IF(SUMPRODUCT(-- ISNUMBER(SEARCH({"Content","Currency","Number","Percent","Text","URL"}, $B93))) &gt; 0,$B93 &amp; "(" &amp; $C93 &amp; ")",$B93)))), "  ", TRIM(IF($S93 = "YES", "(External ID)", "") &amp; " " &amp; IF(SUMPRODUCT(-- ISNUMBER(SEARCH({"Unique","Unique Case Insensitive"}, $R93))) &gt; 0, "(" &amp; $R93 &amp; ")", ""))))</f>
        <v>na</v>
      </c>
      <c r="E93" s="7" t="s">
        <v>195</v>
      </c>
      <c r="F93" s="7" t="s">
        <v>195</v>
      </c>
      <c r="G93" s="7" t="s">
        <v>195</v>
      </c>
      <c r="H93" s="7" t="s">
        <v>195</v>
      </c>
      <c r="I93" s="7" t="s">
        <v>195</v>
      </c>
      <c r="J93" s="7" t="s">
        <v>195</v>
      </c>
      <c r="K93" s="7" t="s">
        <v>195</v>
      </c>
      <c r="L93" s="7" t="s">
        <v>195</v>
      </c>
      <c r="M93" s="7" t="s">
        <v>29</v>
      </c>
      <c r="N93" s="7" t="s">
        <v>29</v>
      </c>
      <c r="O93" s="7" t="s">
        <v>29</v>
      </c>
      <c r="P93" s="7" t="s">
        <v>29</v>
      </c>
      <c r="Q93" s="7" t="s">
        <v>29</v>
      </c>
      <c r="R93" s="7" t="s">
        <v>29</v>
      </c>
      <c r="S93" s="7" t="s">
        <v>29</v>
      </c>
    </row>
    <row r="94" spans="2:19">
      <c r="B94" s="7" t="s">
        <v>195</v>
      </c>
      <c r="C94" s="8" t="s">
        <v>195</v>
      </c>
      <c r="D94" s="5" t="str">
        <f>LRTRIM(CONCATENATE(IF(SUMPRODUCT(-- ISNUMBER(SEARCH({"Auto Number"}, $B94))) &gt; 0, $B94, IF(SUMPRODUCT(-- ISNUMBER(SEARCH({"Lookup","Master-Detail"}, $B94))) &gt; 0,$B94 &amp; "(" &amp; $E94 &amp; ")",IF(SUMPRODUCT(-- ISNUMBER(SEARCH({"Formula","Roll-Up Summary"}, $B94))) &gt; 0,$B94 &amp; " (" &amp; $E94 &amp; ")",IF(SUMPRODUCT(-- ISNUMBER(SEARCH({"Content","Currency","Number","Percent","Text","URL"}, $B94))) &gt; 0,$B94 &amp; "(" &amp; $C94 &amp; ")",$B94)))), "  ", TRIM(IF($S94 = "YES", "(External ID)", "") &amp; " " &amp; IF(SUMPRODUCT(-- ISNUMBER(SEARCH({"Unique","Unique Case Insensitive"}, $R94))) &gt; 0, "(" &amp; $R94 &amp; ")", ""))))</f>
        <v>na</v>
      </c>
      <c r="E94" s="7" t="s">
        <v>195</v>
      </c>
      <c r="F94" s="7" t="s">
        <v>195</v>
      </c>
      <c r="G94" s="7" t="s">
        <v>195</v>
      </c>
      <c r="H94" s="7" t="s">
        <v>195</v>
      </c>
      <c r="I94" s="7" t="s">
        <v>195</v>
      </c>
      <c r="J94" s="7" t="s">
        <v>195</v>
      </c>
      <c r="K94" s="7" t="s">
        <v>195</v>
      </c>
      <c r="L94" s="7" t="s">
        <v>195</v>
      </c>
      <c r="M94" s="7" t="s">
        <v>29</v>
      </c>
      <c r="N94" s="7" t="s">
        <v>29</v>
      </c>
      <c r="O94" s="7" t="s">
        <v>29</v>
      </c>
      <c r="P94" s="7" t="s">
        <v>29</v>
      </c>
      <c r="Q94" s="7" t="s">
        <v>29</v>
      </c>
      <c r="R94" s="7" t="s">
        <v>29</v>
      </c>
      <c r="S94" s="7" t="s">
        <v>29</v>
      </c>
    </row>
    <row r="95" spans="2:19">
      <c r="B95" s="7" t="s">
        <v>195</v>
      </c>
      <c r="C95" s="8" t="s">
        <v>195</v>
      </c>
      <c r="D95" s="5" t="str">
        <f>LRTRIM(CONCATENATE(IF(SUMPRODUCT(-- ISNUMBER(SEARCH({"Auto Number"}, $B95))) &gt; 0, $B95, IF(SUMPRODUCT(-- ISNUMBER(SEARCH({"Lookup","Master-Detail"}, $B95))) &gt; 0,$B95 &amp; "(" &amp; $E95 &amp; ")",IF(SUMPRODUCT(-- ISNUMBER(SEARCH({"Formula","Roll-Up Summary"}, $B95))) &gt; 0,$B95 &amp; " (" &amp; $E95 &amp; ")",IF(SUMPRODUCT(-- ISNUMBER(SEARCH({"Content","Currency","Number","Percent","Text","URL"}, $B95))) &gt; 0,$B95 &amp; "(" &amp; $C95 &amp; ")",$B95)))), "  ", TRIM(IF($S95 = "YES", "(External ID)", "") &amp; " " &amp; IF(SUMPRODUCT(-- ISNUMBER(SEARCH({"Unique","Unique Case Insensitive"}, $R95))) &gt; 0, "(" &amp; $R95 &amp; ")", ""))))</f>
        <v>na</v>
      </c>
      <c r="E95" s="7" t="s">
        <v>195</v>
      </c>
      <c r="F95" s="7" t="s">
        <v>195</v>
      </c>
      <c r="G95" s="7" t="s">
        <v>195</v>
      </c>
      <c r="H95" s="7" t="s">
        <v>195</v>
      </c>
      <c r="I95" s="7" t="s">
        <v>195</v>
      </c>
      <c r="J95" s="7" t="s">
        <v>195</v>
      </c>
      <c r="K95" s="7" t="s">
        <v>195</v>
      </c>
      <c r="L95" s="7" t="s">
        <v>195</v>
      </c>
      <c r="M95" s="7" t="s">
        <v>29</v>
      </c>
      <c r="N95" s="7" t="s">
        <v>29</v>
      </c>
      <c r="O95" s="7" t="s">
        <v>29</v>
      </c>
      <c r="P95" s="7" t="s">
        <v>29</v>
      </c>
      <c r="Q95" s="7" t="s">
        <v>29</v>
      </c>
      <c r="R95" s="7" t="s">
        <v>29</v>
      </c>
      <c r="S95" s="7" t="s">
        <v>29</v>
      </c>
    </row>
    <row r="96" spans="2:19">
      <c r="B96" s="7" t="s">
        <v>195</v>
      </c>
      <c r="C96" s="8" t="s">
        <v>195</v>
      </c>
      <c r="D96" s="5" t="str">
        <f>LRTRIM(CONCATENATE(IF(SUMPRODUCT(-- ISNUMBER(SEARCH({"Auto Number"}, $B96))) &gt; 0, $B96, IF(SUMPRODUCT(-- ISNUMBER(SEARCH({"Lookup","Master-Detail"}, $B96))) &gt; 0,$B96 &amp; "(" &amp; $E96 &amp; ")",IF(SUMPRODUCT(-- ISNUMBER(SEARCH({"Formula","Roll-Up Summary"}, $B96))) &gt; 0,$B96 &amp; " (" &amp; $E96 &amp; ")",IF(SUMPRODUCT(-- ISNUMBER(SEARCH({"Content","Currency","Number","Percent","Text","URL"}, $B96))) &gt; 0,$B96 &amp; "(" &amp; $C96 &amp; ")",$B96)))), "  ", TRIM(IF($S96 = "YES", "(External ID)", "") &amp; " " &amp; IF(SUMPRODUCT(-- ISNUMBER(SEARCH({"Unique","Unique Case Insensitive"}, $R96))) &gt; 0, "(" &amp; $R96 &amp; ")", ""))))</f>
        <v>na</v>
      </c>
      <c r="E96" s="7" t="s">
        <v>195</v>
      </c>
      <c r="F96" s="7" t="s">
        <v>195</v>
      </c>
      <c r="G96" s="7" t="s">
        <v>195</v>
      </c>
      <c r="H96" s="7" t="s">
        <v>195</v>
      </c>
      <c r="I96" s="7" t="s">
        <v>195</v>
      </c>
      <c r="J96" s="7" t="s">
        <v>195</v>
      </c>
      <c r="K96" s="7" t="s">
        <v>195</v>
      </c>
      <c r="L96" s="7" t="s">
        <v>195</v>
      </c>
      <c r="M96" s="7" t="s">
        <v>29</v>
      </c>
      <c r="N96" s="7" t="s">
        <v>29</v>
      </c>
      <c r="O96" s="7" t="s">
        <v>29</v>
      </c>
      <c r="P96" s="7" t="s">
        <v>29</v>
      </c>
      <c r="Q96" s="7" t="s">
        <v>29</v>
      </c>
      <c r="R96" s="7" t="s">
        <v>29</v>
      </c>
      <c r="S96" s="7" t="s">
        <v>29</v>
      </c>
    </row>
    <row r="97" spans="2:19">
      <c r="B97" s="7" t="s">
        <v>195</v>
      </c>
      <c r="C97" s="8" t="s">
        <v>195</v>
      </c>
      <c r="D97" s="5" t="str">
        <f>LRTRIM(CONCATENATE(IF(SUMPRODUCT(-- ISNUMBER(SEARCH({"Auto Number"}, $B97))) &gt; 0, $B97, IF(SUMPRODUCT(-- ISNUMBER(SEARCH({"Lookup","Master-Detail"}, $B97))) &gt; 0,$B97 &amp; "(" &amp; $E97 &amp; ")",IF(SUMPRODUCT(-- ISNUMBER(SEARCH({"Formula","Roll-Up Summary"}, $B97))) &gt; 0,$B97 &amp; " (" &amp; $E97 &amp; ")",IF(SUMPRODUCT(-- ISNUMBER(SEARCH({"Content","Currency","Number","Percent","Text","URL"}, $B97))) &gt; 0,$B97 &amp; "(" &amp; $C97 &amp; ")",$B97)))), "  ", TRIM(IF($S97 = "YES", "(External ID)", "") &amp; " " &amp; IF(SUMPRODUCT(-- ISNUMBER(SEARCH({"Unique","Unique Case Insensitive"}, $R97))) &gt; 0, "(" &amp; $R97 &amp; ")", ""))))</f>
        <v>na</v>
      </c>
      <c r="E97" s="7" t="s">
        <v>195</v>
      </c>
      <c r="F97" s="7" t="s">
        <v>195</v>
      </c>
      <c r="G97" s="7" t="s">
        <v>195</v>
      </c>
      <c r="H97" s="7" t="s">
        <v>195</v>
      </c>
      <c r="I97" s="7" t="s">
        <v>195</v>
      </c>
      <c r="J97" s="7" t="s">
        <v>195</v>
      </c>
      <c r="K97" s="7" t="s">
        <v>195</v>
      </c>
      <c r="L97" s="7" t="s">
        <v>195</v>
      </c>
      <c r="M97" s="7" t="s">
        <v>29</v>
      </c>
      <c r="N97" s="7" t="s">
        <v>29</v>
      </c>
      <c r="O97" s="7" t="s">
        <v>29</v>
      </c>
      <c r="P97" s="7" t="s">
        <v>29</v>
      </c>
      <c r="Q97" s="7" t="s">
        <v>29</v>
      </c>
      <c r="R97" s="7" t="s">
        <v>29</v>
      </c>
      <c r="S97" s="7" t="s">
        <v>29</v>
      </c>
    </row>
    <row r="98" spans="2:19">
      <c r="B98" s="7" t="s">
        <v>195</v>
      </c>
      <c r="C98" s="8" t="s">
        <v>195</v>
      </c>
      <c r="D98" s="5" t="str">
        <f>LRTRIM(CONCATENATE(IF(SUMPRODUCT(-- ISNUMBER(SEARCH({"Auto Number"}, $B98))) &gt; 0, $B98, IF(SUMPRODUCT(-- ISNUMBER(SEARCH({"Lookup","Master-Detail"}, $B98))) &gt; 0,$B98 &amp; "(" &amp; $E98 &amp; ")",IF(SUMPRODUCT(-- ISNUMBER(SEARCH({"Formula","Roll-Up Summary"}, $B98))) &gt; 0,$B98 &amp; " (" &amp; $E98 &amp; ")",IF(SUMPRODUCT(-- ISNUMBER(SEARCH({"Content","Currency","Number","Percent","Text","URL"}, $B98))) &gt; 0,$B98 &amp; "(" &amp; $C98 &amp; ")",$B98)))), "  ", TRIM(IF($S98 = "YES", "(External ID)", "") &amp; " " &amp; IF(SUMPRODUCT(-- ISNUMBER(SEARCH({"Unique","Unique Case Insensitive"}, $R98))) &gt; 0, "(" &amp; $R98 &amp; ")", ""))))</f>
        <v>na</v>
      </c>
      <c r="E98" s="7" t="s">
        <v>195</v>
      </c>
      <c r="F98" s="7" t="s">
        <v>195</v>
      </c>
      <c r="G98" s="7" t="s">
        <v>195</v>
      </c>
      <c r="H98" s="7" t="s">
        <v>195</v>
      </c>
      <c r="I98" s="7" t="s">
        <v>195</v>
      </c>
      <c r="J98" s="7" t="s">
        <v>195</v>
      </c>
      <c r="K98" s="7" t="s">
        <v>195</v>
      </c>
      <c r="L98" s="7" t="s">
        <v>195</v>
      </c>
      <c r="M98" s="7" t="s">
        <v>29</v>
      </c>
      <c r="N98" s="7" t="s">
        <v>29</v>
      </c>
      <c r="O98" s="7" t="s">
        <v>29</v>
      </c>
      <c r="P98" s="7" t="s">
        <v>29</v>
      </c>
      <c r="Q98" s="7" t="s">
        <v>29</v>
      </c>
      <c r="R98" s="7" t="s">
        <v>29</v>
      </c>
      <c r="S98" s="7" t="s">
        <v>29</v>
      </c>
    </row>
    <row r="99" spans="2:19">
      <c r="B99" s="7" t="s">
        <v>195</v>
      </c>
      <c r="C99" s="8" t="s">
        <v>195</v>
      </c>
      <c r="D99" s="5" t="str">
        <f>LRTRIM(CONCATENATE(IF(SUMPRODUCT(-- ISNUMBER(SEARCH({"Auto Number"}, $B99))) &gt; 0, $B99, IF(SUMPRODUCT(-- ISNUMBER(SEARCH({"Lookup","Master-Detail"}, $B99))) &gt; 0,$B99 &amp; "(" &amp; $E99 &amp; ")",IF(SUMPRODUCT(-- ISNUMBER(SEARCH({"Formula","Roll-Up Summary"}, $B99))) &gt; 0,$B99 &amp; " (" &amp; $E99 &amp; ")",IF(SUMPRODUCT(-- ISNUMBER(SEARCH({"Content","Currency","Number","Percent","Text","URL"}, $B99))) &gt; 0,$B99 &amp; "(" &amp; $C99 &amp; ")",$B99)))), "  ", TRIM(IF($S99 = "YES", "(External ID)", "") &amp; " " &amp; IF(SUMPRODUCT(-- ISNUMBER(SEARCH({"Unique","Unique Case Insensitive"}, $R99))) &gt; 0, "(" &amp; $R99 &amp; ")", ""))))</f>
        <v>na</v>
      </c>
      <c r="E99" s="7" t="s">
        <v>195</v>
      </c>
      <c r="F99" s="7" t="s">
        <v>195</v>
      </c>
      <c r="G99" s="7" t="s">
        <v>195</v>
      </c>
      <c r="H99" s="7" t="s">
        <v>195</v>
      </c>
      <c r="I99" s="7" t="s">
        <v>195</v>
      </c>
      <c r="J99" s="7" t="s">
        <v>195</v>
      </c>
      <c r="K99" s="7" t="s">
        <v>195</v>
      </c>
      <c r="L99" s="7" t="s">
        <v>195</v>
      </c>
      <c r="M99" s="7" t="s">
        <v>29</v>
      </c>
      <c r="N99" s="7" t="s">
        <v>29</v>
      </c>
      <c r="O99" s="7" t="s">
        <v>29</v>
      </c>
      <c r="P99" s="7" t="s">
        <v>29</v>
      </c>
      <c r="Q99" s="7" t="s">
        <v>29</v>
      </c>
      <c r="R99" s="7" t="s">
        <v>29</v>
      </c>
      <c r="S99" s="7" t="s">
        <v>29</v>
      </c>
    </row>
    <row r="100" spans="2:19">
      <c r="B100" s="7" t="s">
        <v>195</v>
      </c>
      <c r="C100" s="8" t="s">
        <v>195</v>
      </c>
      <c r="D100" s="5" t="str">
        <f>LRTRIM(CONCATENATE(IF(SUMPRODUCT(-- ISNUMBER(SEARCH({"Auto Number"}, $B100))) &gt; 0, $B100, IF(SUMPRODUCT(-- ISNUMBER(SEARCH({"Lookup","Master-Detail"}, $B100))) &gt; 0,$B100 &amp; "(" &amp; $E100 &amp; ")",IF(SUMPRODUCT(-- ISNUMBER(SEARCH({"Formula","Roll-Up Summary"}, $B100))) &gt; 0,$B100 &amp; " (" &amp; $E100 &amp; ")",IF(SUMPRODUCT(-- ISNUMBER(SEARCH({"Content","Currency","Number","Percent","Text","URL"}, $B100))) &gt; 0,$B100 &amp; "(" &amp; $C100 &amp; ")",$B100)))), "  ", TRIM(IF($S100 = "YES", "(External ID)", "") &amp; " " &amp; IF(SUMPRODUCT(-- ISNUMBER(SEARCH({"Unique","Unique Case Insensitive"}, $R100))) &gt; 0, "(" &amp; $R100 &amp; ")", ""))))</f>
        <v>na</v>
      </c>
      <c r="E100" s="7" t="s">
        <v>195</v>
      </c>
      <c r="F100" s="7" t="s">
        <v>195</v>
      </c>
      <c r="G100" s="7" t="s">
        <v>195</v>
      </c>
      <c r="H100" s="7" t="s">
        <v>195</v>
      </c>
      <c r="I100" s="7" t="s">
        <v>195</v>
      </c>
      <c r="J100" s="7" t="s">
        <v>195</v>
      </c>
      <c r="K100" s="7" t="s">
        <v>195</v>
      </c>
      <c r="L100" s="7" t="s">
        <v>195</v>
      </c>
      <c r="M100" s="7" t="s">
        <v>29</v>
      </c>
      <c r="N100" s="7" t="s">
        <v>29</v>
      </c>
      <c r="O100" s="7" t="s">
        <v>29</v>
      </c>
      <c r="P100" s="7" t="s">
        <v>29</v>
      </c>
      <c r="Q100" s="7" t="s">
        <v>29</v>
      </c>
      <c r="R100" s="7" t="s">
        <v>29</v>
      </c>
      <c r="S100" s="7" t="s">
        <v>29</v>
      </c>
    </row>
    <row r="101" spans="2:19">
      <c r="B101" s="7" t="s">
        <v>195</v>
      </c>
      <c r="C101" s="8" t="s">
        <v>195</v>
      </c>
      <c r="D101" s="5" t="str">
        <f>LRTRIM(CONCATENATE(IF(SUMPRODUCT(-- ISNUMBER(SEARCH({"Auto Number"}, $B101))) &gt; 0, $B101, IF(SUMPRODUCT(-- ISNUMBER(SEARCH({"Lookup","Master-Detail"}, $B101))) &gt; 0,$B101 &amp; "(" &amp; $E101 &amp; ")",IF(SUMPRODUCT(-- ISNUMBER(SEARCH({"Formula","Roll-Up Summary"}, $B101))) &gt; 0,$B101 &amp; " (" &amp; $E101 &amp; ")",IF(SUMPRODUCT(-- ISNUMBER(SEARCH({"Content","Currency","Number","Percent","Text","URL"}, $B101))) &gt; 0,$B101 &amp; "(" &amp; $C101 &amp; ")",$B101)))), "  ", TRIM(IF($S101 = "YES", "(External ID)", "") &amp; " " &amp; IF(SUMPRODUCT(-- ISNUMBER(SEARCH({"Unique","Unique Case Insensitive"}, $R101))) &gt; 0, "(" &amp; $R101 &amp; ")", ""))))</f>
        <v>na</v>
      </c>
      <c r="E101" s="7" t="s">
        <v>195</v>
      </c>
      <c r="F101" s="7" t="s">
        <v>195</v>
      </c>
      <c r="G101" s="7" t="s">
        <v>195</v>
      </c>
      <c r="H101" s="7" t="s">
        <v>195</v>
      </c>
      <c r="I101" s="7" t="s">
        <v>195</v>
      </c>
      <c r="J101" s="7" t="s">
        <v>195</v>
      </c>
      <c r="K101" s="7" t="s">
        <v>195</v>
      </c>
      <c r="L101" s="7" t="s">
        <v>195</v>
      </c>
      <c r="M101" s="7" t="s">
        <v>29</v>
      </c>
      <c r="N101" s="7" t="s">
        <v>29</v>
      </c>
      <c r="O101" s="7" t="s">
        <v>29</v>
      </c>
      <c r="P101" s="7" t="s">
        <v>29</v>
      </c>
      <c r="Q101" s="7" t="s">
        <v>29</v>
      </c>
      <c r="R101" s="7" t="s">
        <v>29</v>
      </c>
      <c r="S101" s="7" t="s">
        <v>29</v>
      </c>
    </row>
    <row r="102" spans="2:19">
      <c r="B102" s="7" t="s">
        <v>195</v>
      </c>
      <c r="C102" s="8" t="s">
        <v>195</v>
      </c>
      <c r="D102" s="5" t="str">
        <f>LRTRIM(CONCATENATE(IF(SUMPRODUCT(-- ISNUMBER(SEARCH({"Auto Number"}, $B102))) &gt; 0, $B102, IF(SUMPRODUCT(-- ISNUMBER(SEARCH({"Lookup","Master-Detail"}, $B102))) &gt; 0,$B102 &amp; "(" &amp; $E102 &amp; ")",IF(SUMPRODUCT(-- ISNUMBER(SEARCH({"Formula","Roll-Up Summary"}, $B102))) &gt; 0,$B102 &amp; " (" &amp; $E102 &amp; ")",IF(SUMPRODUCT(-- ISNUMBER(SEARCH({"Content","Currency","Number","Percent","Text","URL"}, $B102))) &gt; 0,$B102 &amp; "(" &amp; $C102 &amp; ")",$B102)))), "  ", TRIM(IF($S102 = "YES", "(External ID)", "") &amp; " " &amp; IF(SUMPRODUCT(-- ISNUMBER(SEARCH({"Unique","Unique Case Insensitive"}, $R102))) &gt; 0, "(" &amp; $R102 &amp; ")", ""))))</f>
        <v>na</v>
      </c>
      <c r="E102" s="7" t="s">
        <v>195</v>
      </c>
      <c r="F102" s="7" t="s">
        <v>195</v>
      </c>
      <c r="G102" s="7" t="s">
        <v>195</v>
      </c>
      <c r="H102" s="7" t="s">
        <v>195</v>
      </c>
      <c r="I102" s="7" t="s">
        <v>195</v>
      </c>
      <c r="J102" s="7" t="s">
        <v>195</v>
      </c>
      <c r="K102" s="7" t="s">
        <v>195</v>
      </c>
      <c r="L102" s="7" t="s">
        <v>195</v>
      </c>
      <c r="M102" s="7" t="s">
        <v>29</v>
      </c>
      <c r="N102" s="7" t="s">
        <v>29</v>
      </c>
      <c r="O102" s="7" t="s">
        <v>29</v>
      </c>
      <c r="P102" s="7" t="s">
        <v>29</v>
      </c>
      <c r="Q102" s="7" t="s">
        <v>29</v>
      </c>
      <c r="R102" s="7" t="s">
        <v>29</v>
      </c>
      <c r="S102" s="7" t="s">
        <v>29</v>
      </c>
    </row>
    <row r="103" spans="2:19">
      <c r="B103" s="7" t="s">
        <v>195</v>
      </c>
      <c r="C103" s="8" t="s">
        <v>195</v>
      </c>
      <c r="D103" s="5" t="str">
        <f>LRTRIM(CONCATENATE(IF(SUMPRODUCT(-- ISNUMBER(SEARCH({"Auto Number"}, $B103))) &gt; 0, $B103, IF(SUMPRODUCT(-- ISNUMBER(SEARCH({"Lookup","Master-Detail"}, $B103))) &gt; 0,$B103 &amp; "(" &amp; $E103 &amp; ")",IF(SUMPRODUCT(-- ISNUMBER(SEARCH({"Formula","Roll-Up Summary"}, $B103))) &gt; 0,$B103 &amp; " (" &amp; $E103 &amp; ")",IF(SUMPRODUCT(-- ISNUMBER(SEARCH({"Content","Currency","Number","Percent","Text","URL"}, $B103))) &gt; 0,$B103 &amp; "(" &amp; $C103 &amp; ")",$B103)))), "  ", TRIM(IF($S103 = "YES", "(External ID)", "") &amp; " " &amp; IF(SUMPRODUCT(-- ISNUMBER(SEARCH({"Unique","Unique Case Insensitive"}, $R103))) &gt; 0, "(" &amp; $R103 &amp; ")", ""))))</f>
        <v>na</v>
      </c>
      <c r="E103" s="7" t="s">
        <v>195</v>
      </c>
      <c r="F103" s="7" t="s">
        <v>195</v>
      </c>
      <c r="G103" s="7" t="s">
        <v>195</v>
      </c>
      <c r="H103" s="7" t="s">
        <v>195</v>
      </c>
      <c r="I103" s="7" t="s">
        <v>195</v>
      </c>
      <c r="J103" s="7" t="s">
        <v>195</v>
      </c>
      <c r="K103" s="7" t="s">
        <v>195</v>
      </c>
      <c r="L103" s="7" t="s">
        <v>195</v>
      </c>
      <c r="M103" s="7" t="s">
        <v>29</v>
      </c>
      <c r="N103" s="7" t="s">
        <v>29</v>
      </c>
      <c r="O103" s="7" t="s">
        <v>29</v>
      </c>
      <c r="P103" s="7" t="s">
        <v>29</v>
      </c>
      <c r="Q103" s="7" t="s">
        <v>29</v>
      </c>
      <c r="R103" s="7" t="s">
        <v>29</v>
      </c>
      <c r="S103" s="7" t="s">
        <v>29</v>
      </c>
    </row>
    <row r="104" spans="2:19">
      <c r="B104" s="7" t="s">
        <v>195</v>
      </c>
      <c r="C104" s="8" t="s">
        <v>195</v>
      </c>
      <c r="D104" s="5" t="str">
        <f>LRTRIM(CONCATENATE(IF(SUMPRODUCT(-- ISNUMBER(SEARCH({"Auto Number"}, $B104))) &gt; 0, $B104, IF(SUMPRODUCT(-- ISNUMBER(SEARCH({"Lookup","Master-Detail"}, $B104))) &gt; 0,$B104 &amp; "(" &amp; $E104 &amp; ")",IF(SUMPRODUCT(-- ISNUMBER(SEARCH({"Formula","Roll-Up Summary"}, $B104))) &gt; 0,$B104 &amp; " (" &amp; $E104 &amp; ")",IF(SUMPRODUCT(-- ISNUMBER(SEARCH({"Content","Currency","Number","Percent","Text","URL"}, $B104))) &gt; 0,$B104 &amp; "(" &amp; $C104 &amp; ")",$B104)))), "  ", TRIM(IF($S104 = "YES", "(External ID)", "") &amp; " " &amp; IF(SUMPRODUCT(-- ISNUMBER(SEARCH({"Unique","Unique Case Insensitive"}, $R104))) &gt; 0, "(" &amp; $R104 &amp; ")", ""))))</f>
        <v>na</v>
      </c>
      <c r="E104" s="7" t="s">
        <v>195</v>
      </c>
      <c r="F104" s="7" t="s">
        <v>195</v>
      </c>
      <c r="G104" s="7" t="s">
        <v>195</v>
      </c>
      <c r="H104" s="7" t="s">
        <v>195</v>
      </c>
      <c r="I104" s="7" t="s">
        <v>195</v>
      </c>
      <c r="J104" s="7" t="s">
        <v>195</v>
      </c>
      <c r="K104" s="7" t="s">
        <v>195</v>
      </c>
      <c r="L104" s="7" t="s">
        <v>195</v>
      </c>
      <c r="M104" s="7" t="s">
        <v>29</v>
      </c>
      <c r="N104" s="7" t="s">
        <v>29</v>
      </c>
      <c r="O104" s="7" t="s">
        <v>29</v>
      </c>
      <c r="P104" s="7" t="s">
        <v>29</v>
      </c>
      <c r="Q104" s="7" t="s">
        <v>29</v>
      </c>
      <c r="R104" s="7" t="s">
        <v>29</v>
      </c>
      <c r="S104" s="7" t="s">
        <v>29</v>
      </c>
    </row>
    <row r="105" spans="2:19">
      <c r="B105" s="7" t="s">
        <v>195</v>
      </c>
      <c r="C105" s="8" t="s">
        <v>195</v>
      </c>
      <c r="D105" s="5" t="str">
        <f>LRTRIM(CONCATENATE(IF(SUMPRODUCT(-- ISNUMBER(SEARCH({"Auto Number"}, $B105))) &gt; 0, $B105, IF(SUMPRODUCT(-- ISNUMBER(SEARCH({"Lookup","Master-Detail"}, $B105))) &gt; 0,$B105 &amp; "(" &amp; $E105 &amp; ")",IF(SUMPRODUCT(-- ISNUMBER(SEARCH({"Formula","Roll-Up Summary"}, $B105))) &gt; 0,$B105 &amp; " (" &amp; $E105 &amp; ")",IF(SUMPRODUCT(-- ISNUMBER(SEARCH({"Content","Currency","Number","Percent","Text","URL"}, $B105))) &gt; 0,$B105 &amp; "(" &amp; $C105 &amp; ")",$B105)))), "  ", TRIM(IF($S105 = "YES", "(External ID)", "") &amp; " " &amp; IF(SUMPRODUCT(-- ISNUMBER(SEARCH({"Unique","Unique Case Insensitive"}, $R105))) &gt; 0, "(" &amp; $R105 &amp; ")", ""))))</f>
        <v>na</v>
      </c>
      <c r="E105" s="7" t="s">
        <v>195</v>
      </c>
      <c r="F105" s="7" t="s">
        <v>195</v>
      </c>
      <c r="G105" s="7" t="s">
        <v>195</v>
      </c>
      <c r="H105" s="7" t="s">
        <v>195</v>
      </c>
      <c r="I105" s="7" t="s">
        <v>195</v>
      </c>
      <c r="J105" s="7" t="s">
        <v>195</v>
      </c>
      <c r="K105" s="7" t="s">
        <v>195</v>
      </c>
      <c r="L105" s="7" t="s">
        <v>195</v>
      </c>
      <c r="M105" s="7" t="s">
        <v>29</v>
      </c>
      <c r="N105" s="7" t="s">
        <v>29</v>
      </c>
      <c r="O105" s="7" t="s">
        <v>29</v>
      </c>
      <c r="P105" s="7" t="s">
        <v>29</v>
      </c>
      <c r="Q105" s="7" t="s">
        <v>29</v>
      </c>
      <c r="R105" s="7" t="s">
        <v>29</v>
      </c>
      <c r="S105" s="7" t="s">
        <v>29</v>
      </c>
    </row>
    <row r="106" spans="2:19">
      <c r="B106" s="7" t="s">
        <v>195</v>
      </c>
      <c r="C106" s="8" t="s">
        <v>195</v>
      </c>
      <c r="D106" s="5" t="str">
        <f>LRTRIM(CONCATENATE(IF(SUMPRODUCT(-- ISNUMBER(SEARCH({"Auto Number"}, $B106))) &gt; 0, $B106, IF(SUMPRODUCT(-- ISNUMBER(SEARCH({"Lookup","Master-Detail"}, $B106))) &gt; 0,$B106 &amp; "(" &amp; $E106 &amp; ")",IF(SUMPRODUCT(-- ISNUMBER(SEARCH({"Formula","Roll-Up Summary"}, $B106))) &gt; 0,$B106 &amp; " (" &amp; $E106 &amp; ")",IF(SUMPRODUCT(-- ISNUMBER(SEARCH({"Content","Currency","Number","Percent","Text","URL"}, $B106))) &gt; 0,$B106 &amp; "(" &amp; $C106 &amp; ")",$B106)))), "  ", TRIM(IF($S106 = "YES", "(External ID)", "") &amp; " " &amp; IF(SUMPRODUCT(-- ISNUMBER(SEARCH({"Unique","Unique Case Insensitive"}, $R106))) &gt; 0, "(" &amp; $R106 &amp; ")", ""))))</f>
        <v>na</v>
      </c>
      <c r="E106" s="7" t="s">
        <v>195</v>
      </c>
      <c r="F106" s="7" t="s">
        <v>195</v>
      </c>
      <c r="G106" s="7" t="s">
        <v>195</v>
      </c>
      <c r="H106" s="7" t="s">
        <v>195</v>
      </c>
      <c r="I106" s="7" t="s">
        <v>195</v>
      </c>
      <c r="J106" s="7" t="s">
        <v>195</v>
      </c>
      <c r="K106" s="7" t="s">
        <v>195</v>
      </c>
      <c r="L106" s="7" t="s">
        <v>195</v>
      </c>
      <c r="M106" s="7" t="s">
        <v>29</v>
      </c>
      <c r="N106" s="7" t="s">
        <v>29</v>
      </c>
      <c r="O106" s="7" t="s">
        <v>29</v>
      </c>
      <c r="P106" s="7" t="s">
        <v>29</v>
      </c>
      <c r="Q106" s="7" t="s">
        <v>29</v>
      </c>
      <c r="R106" s="7" t="s">
        <v>29</v>
      </c>
      <c r="S106" s="7" t="s">
        <v>29</v>
      </c>
    </row>
    <row r="107" spans="2:19">
      <c r="B107" s="7" t="s">
        <v>195</v>
      </c>
      <c r="C107" s="8" t="s">
        <v>195</v>
      </c>
      <c r="D107" s="5" t="str">
        <f>LRTRIM(CONCATENATE(IF(SUMPRODUCT(-- ISNUMBER(SEARCH({"Auto Number"}, $B107))) &gt; 0, $B107, IF(SUMPRODUCT(-- ISNUMBER(SEARCH({"Lookup","Master-Detail"}, $B107))) &gt; 0,$B107 &amp; "(" &amp; $E107 &amp; ")",IF(SUMPRODUCT(-- ISNUMBER(SEARCH({"Formula","Roll-Up Summary"}, $B107))) &gt; 0,$B107 &amp; " (" &amp; $E107 &amp; ")",IF(SUMPRODUCT(-- ISNUMBER(SEARCH({"Content","Currency","Number","Percent","Text","URL"}, $B107))) &gt; 0,$B107 &amp; "(" &amp; $C107 &amp; ")",$B107)))), "  ", TRIM(IF($S107 = "YES", "(External ID)", "") &amp; " " &amp; IF(SUMPRODUCT(-- ISNUMBER(SEARCH({"Unique","Unique Case Insensitive"}, $R107))) &gt; 0, "(" &amp; $R107 &amp; ")", ""))))</f>
        <v>na</v>
      </c>
      <c r="E107" s="7" t="s">
        <v>195</v>
      </c>
      <c r="F107" s="7" t="s">
        <v>195</v>
      </c>
      <c r="G107" s="7" t="s">
        <v>195</v>
      </c>
      <c r="H107" s="7" t="s">
        <v>195</v>
      </c>
      <c r="I107" s="7" t="s">
        <v>195</v>
      </c>
      <c r="J107" s="7" t="s">
        <v>195</v>
      </c>
      <c r="K107" s="7" t="s">
        <v>195</v>
      </c>
      <c r="L107" s="7" t="s">
        <v>195</v>
      </c>
      <c r="M107" s="7" t="s">
        <v>29</v>
      </c>
      <c r="N107" s="7" t="s">
        <v>29</v>
      </c>
      <c r="O107" s="7" t="s">
        <v>29</v>
      </c>
      <c r="P107" s="7" t="s">
        <v>29</v>
      </c>
      <c r="Q107" s="7" t="s">
        <v>29</v>
      </c>
      <c r="R107" s="7" t="s">
        <v>29</v>
      </c>
      <c r="S107" s="7" t="s">
        <v>29</v>
      </c>
    </row>
    <row r="108" spans="2:19">
      <c r="B108" s="7" t="s">
        <v>195</v>
      </c>
      <c r="C108" s="8" t="s">
        <v>195</v>
      </c>
      <c r="D108" s="5" t="str">
        <f>LRTRIM(CONCATENATE(IF(SUMPRODUCT(-- ISNUMBER(SEARCH({"Auto Number"}, $B108))) &gt; 0, $B108, IF(SUMPRODUCT(-- ISNUMBER(SEARCH({"Lookup","Master-Detail"}, $B108))) &gt; 0,$B108 &amp; "(" &amp; $E108 &amp; ")",IF(SUMPRODUCT(-- ISNUMBER(SEARCH({"Formula","Roll-Up Summary"}, $B108))) &gt; 0,$B108 &amp; " (" &amp; $E108 &amp; ")",IF(SUMPRODUCT(-- ISNUMBER(SEARCH({"Content","Currency","Number","Percent","Text","URL"}, $B108))) &gt; 0,$B108 &amp; "(" &amp; $C108 &amp; ")",$B108)))), "  ", TRIM(IF($S108 = "YES", "(External ID)", "") &amp; " " &amp; IF(SUMPRODUCT(-- ISNUMBER(SEARCH({"Unique","Unique Case Insensitive"}, $R108))) &gt; 0, "(" &amp; $R108 &amp; ")", ""))))</f>
        <v>na</v>
      </c>
      <c r="E108" s="7" t="s">
        <v>195</v>
      </c>
      <c r="F108" s="7" t="s">
        <v>195</v>
      </c>
      <c r="G108" s="7" t="s">
        <v>195</v>
      </c>
      <c r="H108" s="7" t="s">
        <v>195</v>
      </c>
      <c r="I108" s="7" t="s">
        <v>195</v>
      </c>
      <c r="J108" s="7" t="s">
        <v>195</v>
      </c>
      <c r="K108" s="7" t="s">
        <v>195</v>
      </c>
      <c r="L108" s="7" t="s">
        <v>195</v>
      </c>
      <c r="M108" s="7" t="s">
        <v>29</v>
      </c>
      <c r="N108" s="7" t="s">
        <v>29</v>
      </c>
      <c r="O108" s="7" t="s">
        <v>29</v>
      </c>
      <c r="P108" s="7" t="s">
        <v>29</v>
      </c>
      <c r="Q108" s="7" t="s">
        <v>29</v>
      </c>
      <c r="R108" s="7" t="s">
        <v>29</v>
      </c>
      <c r="S108" s="7" t="s">
        <v>29</v>
      </c>
    </row>
    <row r="109" spans="2:19">
      <c r="B109" s="7" t="s">
        <v>195</v>
      </c>
      <c r="C109" s="8" t="s">
        <v>195</v>
      </c>
      <c r="D109" s="5" t="str">
        <f>LRTRIM(CONCATENATE(IF(SUMPRODUCT(-- ISNUMBER(SEARCH({"Auto Number"}, $B109))) &gt; 0, $B109, IF(SUMPRODUCT(-- ISNUMBER(SEARCH({"Lookup","Master-Detail"}, $B109))) &gt; 0,$B109 &amp; "(" &amp; $E109 &amp; ")",IF(SUMPRODUCT(-- ISNUMBER(SEARCH({"Formula","Roll-Up Summary"}, $B109))) &gt; 0,$B109 &amp; " (" &amp; $E109 &amp; ")",IF(SUMPRODUCT(-- ISNUMBER(SEARCH({"Content","Currency","Number","Percent","Text","URL"}, $B109))) &gt; 0,$B109 &amp; "(" &amp; $C109 &amp; ")",$B109)))), "  ", TRIM(IF($S109 = "YES", "(External ID)", "") &amp; " " &amp; IF(SUMPRODUCT(-- ISNUMBER(SEARCH({"Unique","Unique Case Insensitive"}, $R109))) &gt; 0, "(" &amp; $R109 &amp; ")", ""))))</f>
        <v>na</v>
      </c>
      <c r="E109" s="7" t="s">
        <v>195</v>
      </c>
      <c r="F109" s="7" t="s">
        <v>195</v>
      </c>
      <c r="G109" s="7" t="s">
        <v>195</v>
      </c>
      <c r="H109" s="7" t="s">
        <v>195</v>
      </c>
      <c r="I109" s="7" t="s">
        <v>195</v>
      </c>
      <c r="J109" s="7" t="s">
        <v>195</v>
      </c>
      <c r="K109" s="7" t="s">
        <v>195</v>
      </c>
      <c r="L109" s="7" t="s">
        <v>195</v>
      </c>
      <c r="M109" s="7" t="s">
        <v>29</v>
      </c>
      <c r="N109" s="7" t="s">
        <v>29</v>
      </c>
      <c r="O109" s="7" t="s">
        <v>29</v>
      </c>
      <c r="P109" s="7" t="s">
        <v>29</v>
      </c>
      <c r="Q109" s="7" t="s">
        <v>29</v>
      </c>
      <c r="R109" s="7" t="s">
        <v>29</v>
      </c>
      <c r="S109" s="7" t="s">
        <v>29</v>
      </c>
    </row>
    <row r="110" spans="2:19">
      <c r="B110" s="7" t="s">
        <v>195</v>
      </c>
      <c r="C110" s="8" t="s">
        <v>195</v>
      </c>
      <c r="D110" s="5" t="str">
        <f>LRTRIM(CONCATENATE(IF(SUMPRODUCT(-- ISNUMBER(SEARCH({"Auto Number"}, $B110))) &gt; 0, $B110, IF(SUMPRODUCT(-- ISNUMBER(SEARCH({"Lookup","Master-Detail"}, $B110))) &gt; 0,$B110 &amp; "(" &amp; $E110 &amp; ")",IF(SUMPRODUCT(-- ISNUMBER(SEARCH({"Formula","Roll-Up Summary"}, $B110))) &gt; 0,$B110 &amp; " (" &amp; $E110 &amp; ")",IF(SUMPRODUCT(-- ISNUMBER(SEARCH({"Content","Currency","Number","Percent","Text","URL"}, $B110))) &gt; 0,$B110 &amp; "(" &amp; $C110 &amp; ")",$B110)))), "  ", TRIM(IF($S110 = "YES", "(External ID)", "") &amp; " " &amp; IF(SUMPRODUCT(-- ISNUMBER(SEARCH({"Unique","Unique Case Insensitive"}, $R110))) &gt; 0, "(" &amp; $R110 &amp; ")", ""))))</f>
        <v>na</v>
      </c>
      <c r="E110" s="7" t="s">
        <v>195</v>
      </c>
      <c r="F110" s="7" t="s">
        <v>195</v>
      </c>
      <c r="G110" s="7" t="s">
        <v>195</v>
      </c>
      <c r="H110" s="7" t="s">
        <v>195</v>
      </c>
      <c r="I110" s="7" t="s">
        <v>195</v>
      </c>
      <c r="J110" s="7" t="s">
        <v>195</v>
      </c>
      <c r="K110" s="7" t="s">
        <v>195</v>
      </c>
      <c r="L110" s="7" t="s">
        <v>195</v>
      </c>
      <c r="M110" s="7" t="s">
        <v>29</v>
      </c>
      <c r="N110" s="7" t="s">
        <v>29</v>
      </c>
      <c r="O110" s="7" t="s">
        <v>29</v>
      </c>
      <c r="P110" s="7" t="s">
        <v>29</v>
      </c>
      <c r="Q110" s="7" t="s">
        <v>29</v>
      </c>
      <c r="R110" s="7" t="s">
        <v>29</v>
      </c>
      <c r="S110" s="7" t="s">
        <v>29</v>
      </c>
    </row>
    <row r="111" spans="2:19">
      <c r="B111" s="7" t="s">
        <v>195</v>
      </c>
      <c r="C111" s="8" t="s">
        <v>195</v>
      </c>
      <c r="D111" s="5" t="str">
        <f>LRTRIM(CONCATENATE(IF(SUMPRODUCT(-- ISNUMBER(SEARCH({"Auto Number"}, $B111))) &gt; 0, $B111, IF(SUMPRODUCT(-- ISNUMBER(SEARCH({"Lookup","Master-Detail"}, $B111))) &gt; 0,$B111 &amp; "(" &amp; $E111 &amp; ")",IF(SUMPRODUCT(-- ISNUMBER(SEARCH({"Formula","Roll-Up Summary"}, $B111))) &gt; 0,$B111 &amp; " (" &amp; $E111 &amp; ")",IF(SUMPRODUCT(-- ISNUMBER(SEARCH({"Content","Currency","Number","Percent","Text","URL"}, $B111))) &gt; 0,$B111 &amp; "(" &amp; $C111 &amp; ")",$B111)))), "  ", TRIM(IF($S111 = "YES", "(External ID)", "") &amp; " " &amp; IF(SUMPRODUCT(-- ISNUMBER(SEARCH({"Unique","Unique Case Insensitive"}, $R111))) &gt; 0, "(" &amp; $R111 &amp; ")", ""))))</f>
        <v>na</v>
      </c>
      <c r="E111" s="7" t="s">
        <v>195</v>
      </c>
      <c r="F111" s="7" t="s">
        <v>195</v>
      </c>
      <c r="G111" s="7" t="s">
        <v>195</v>
      </c>
      <c r="H111" s="7" t="s">
        <v>195</v>
      </c>
      <c r="I111" s="7" t="s">
        <v>195</v>
      </c>
      <c r="J111" s="7" t="s">
        <v>195</v>
      </c>
      <c r="K111" s="7" t="s">
        <v>195</v>
      </c>
      <c r="L111" s="7" t="s">
        <v>195</v>
      </c>
      <c r="M111" s="7" t="s">
        <v>29</v>
      </c>
      <c r="N111" s="7" t="s">
        <v>29</v>
      </c>
      <c r="O111" s="7" t="s">
        <v>29</v>
      </c>
      <c r="P111" s="7" t="s">
        <v>29</v>
      </c>
      <c r="Q111" s="7" t="s">
        <v>29</v>
      </c>
      <c r="R111" s="7" t="s">
        <v>29</v>
      </c>
      <c r="S111" s="7" t="s">
        <v>29</v>
      </c>
    </row>
    <row r="112" spans="2:19">
      <c r="B112" s="7" t="s">
        <v>195</v>
      </c>
      <c r="C112" s="8" t="s">
        <v>195</v>
      </c>
      <c r="D112" s="5" t="str">
        <f>LRTRIM(CONCATENATE(IF(SUMPRODUCT(-- ISNUMBER(SEARCH({"Auto Number"}, $B112))) &gt; 0, $B112, IF(SUMPRODUCT(-- ISNUMBER(SEARCH({"Lookup","Master-Detail"}, $B112))) &gt; 0,$B112 &amp; "(" &amp; $E112 &amp; ")",IF(SUMPRODUCT(-- ISNUMBER(SEARCH({"Formula","Roll-Up Summary"}, $B112))) &gt; 0,$B112 &amp; " (" &amp; $E112 &amp; ")",IF(SUMPRODUCT(-- ISNUMBER(SEARCH({"Content","Currency","Number","Percent","Text","URL"}, $B112))) &gt; 0,$B112 &amp; "(" &amp; $C112 &amp; ")",$B112)))), "  ", TRIM(IF($S112 = "YES", "(External ID)", "") &amp; " " &amp; IF(SUMPRODUCT(-- ISNUMBER(SEARCH({"Unique","Unique Case Insensitive"}, $R112))) &gt; 0, "(" &amp; $R112 &amp; ")", ""))))</f>
        <v>na</v>
      </c>
      <c r="E112" s="7" t="s">
        <v>195</v>
      </c>
      <c r="F112" s="7" t="s">
        <v>195</v>
      </c>
      <c r="G112" s="7" t="s">
        <v>195</v>
      </c>
      <c r="H112" s="7" t="s">
        <v>195</v>
      </c>
      <c r="I112" s="7" t="s">
        <v>195</v>
      </c>
      <c r="J112" s="7" t="s">
        <v>195</v>
      </c>
      <c r="K112" s="7" t="s">
        <v>195</v>
      </c>
      <c r="L112" s="7" t="s">
        <v>195</v>
      </c>
      <c r="M112" s="7" t="s">
        <v>29</v>
      </c>
      <c r="N112" s="7" t="s">
        <v>29</v>
      </c>
      <c r="O112" s="7" t="s">
        <v>29</v>
      </c>
      <c r="P112" s="7" t="s">
        <v>29</v>
      </c>
      <c r="Q112" s="7" t="s">
        <v>29</v>
      </c>
      <c r="R112" s="7" t="s">
        <v>29</v>
      </c>
      <c r="S112" s="7" t="s">
        <v>29</v>
      </c>
    </row>
    <row r="113" spans="2:19">
      <c r="B113" s="7" t="s">
        <v>195</v>
      </c>
      <c r="C113" s="8" t="s">
        <v>195</v>
      </c>
      <c r="D113" s="5" t="str">
        <f>LRTRIM(CONCATENATE(IF(SUMPRODUCT(-- ISNUMBER(SEARCH({"Auto Number"}, $B113))) &gt; 0, $B113, IF(SUMPRODUCT(-- ISNUMBER(SEARCH({"Lookup","Master-Detail"}, $B113))) &gt; 0,$B113 &amp; "(" &amp; $E113 &amp; ")",IF(SUMPRODUCT(-- ISNUMBER(SEARCH({"Formula","Roll-Up Summary"}, $B113))) &gt; 0,$B113 &amp; " (" &amp; $E113 &amp; ")",IF(SUMPRODUCT(-- ISNUMBER(SEARCH({"Content","Currency","Number","Percent","Text","URL"}, $B113))) &gt; 0,$B113 &amp; "(" &amp; $C113 &amp; ")",$B113)))), "  ", TRIM(IF($S113 = "YES", "(External ID)", "") &amp; " " &amp; IF(SUMPRODUCT(-- ISNUMBER(SEARCH({"Unique","Unique Case Insensitive"}, $R113))) &gt; 0, "(" &amp; $R113 &amp; ")", ""))))</f>
        <v>na</v>
      </c>
      <c r="E113" s="7" t="s">
        <v>195</v>
      </c>
      <c r="F113" s="7" t="s">
        <v>195</v>
      </c>
      <c r="G113" s="7" t="s">
        <v>195</v>
      </c>
      <c r="H113" s="7" t="s">
        <v>195</v>
      </c>
      <c r="I113" s="7" t="s">
        <v>195</v>
      </c>
      <c r="J113" s="7" t="s">
        <v>195</v>
      </c>
      <c r="K113" s="7" t="s">
        <v>195</v>
      </c>
      <c r="L113" s="7" t="s">
        <v>195</v>
      </c>
      <c r="M113" s="7" t="s">
        <v>29</v>
      </c>
      <c r="N113" s="7" t="s">
        <v>29</v>
      </c>
      <c r="O113" s="7" t="s">
        <v>29</v>
      </c>
      <c r="P113" s="7" t="s">
        <v>29</v>
      </c>
      <c r="Q113" s="7" t="s">
        <v>29</v>
      </c>
      <c r="R113" s="7" t="s">
        <v>29</v>
      </c>
      <c r="S113" s="7" t="s">
        <v>29</v>
      </c>
    </row>
    <row r="114" spans="2:19">
      <c r="B114" s="7" t="s">
        <v>195</v>
      </c>
      <c r="C114" s="8" t="s">
        <v>195</v>
      </c>
      <c r="D114" s="5" t="str">
        <f>LRTRIM(CONCATENATE(IF(SUMPRODUCT(-- ISNUMBER(SEARCH({"Auto Number"}, $B114))) &gt; 0, $B114, IF(SUMPRODUCT(-- ISNUMBER(SEARCH({"Lookup","Master-Detail"}, $B114))) &gt; 0,$B114 &amp; "(" &amp; $E114 &amp; ")",IF(SUMPRODUCT(-- ISNUMBER(SEARCH({"Formula","Roll-Up Summary"}, $B114))) &gt; 0,$B114 &amp; " (" &amp; $E114 &amp; ")",IF(SUMPRODUCT(-- ISNUMBER(SEARCH({"Content","Currency","Number","Percent","Text","URL"}, $B114))) &gt; 0,$B114 &amp; "(" &amp; $C114 &amp; ")",$B114)))), "  ", TRIM(IF($S114 = "YES", "(External ID)", "") &amp; " " &amp; IF(SUMPRODUCT(-- ISNUMBER(SEARCH({"Unique","Unique Case Insensitive"}, $R114))) &gt; 0, "(" &amp; $R114 &amp; ")", ""))))</f>
        <v>na</v>
      </c>
      <c r="E114" s="7" t="s">
        <v>195</v>
      </c>
      <c r="F114" s="7" t="s">
        <v>195</v>
      </c>
      <c r="G114" s="7" t="s">
        <v>195</v>
      </c>
      <c r="H114" s="7" t="s">
        <v>195</v>
      </c>
      <c r="I114" s="7" t="s">
        <v>195</v>
      </c>
      <c r="J114" s="7" t="s">
        <v>195</v>
      </c>
      <c r="K114" s="7" t="s">
        <v>195</v>
      </c>
      <c r="L114" s="7" t="s">
        <v>195</v>
      </c>
      <c r="M114" s="7" t="s">
        <v>29</v>
      </c>
      <c r="N114" s="7" t="s">
        <v>29</v>
      </c>
      <c r="O114" s="7" t="s">
        <v>29</v>
      </c>
      <c r="P114" s="7" t="s">
        <v>29</v>
      </c>
      <c r="Q114" s="7" t="s">
        <v>29</v>
      </c>
      <c r="R114" s="7" t="s">
        <v>29</v>
      </c>
      <c r="S114" s="7" t="s">
        <v>29</v>
      </c>
    </row>
    <row r="115" spans="2:19">
      <c r="B115" s="7" t="s">
        <v>195</v>
      </c>
      <c r="C115" s="8" t="s">
        <v>195</v>
      </c>
      <c r="D115" s="5" t="str">
        <f>LRTRIM(CONCATENATE(IF(SUMPRODUCT(-- ISNUMBER(SEARCH({"Auto Number"}, $B115))) &gt; 0, $B115, IF(SUMPRODUCT(-- ISNUMBER(SEARCH({"Lookup","Master-Detail"}, $B115))) &gt; 0,$B115 &amp; "(" &amp; $E115 &amp; ")",IF(SUMPRODUCT(-- ISNUMBER(SEARCH({"Formula","Roll-Up Summary"}, $B115))) &gt; 0,$B115 &amp; " (" &amp; $E115 &amp; ")",IF(SUMPRODUCT(-- ISNUMBER(SEARCH({"Content","Currency","Number","Percent","Text","URL"}, $B115))) &gt; 0,$B115 &amp; "(" &amp; $C115 &amp; ")",$B115)))), "  ", TRIM(IF($S115 = "YES", "(External ID)", "") &amp; " " &amp; IF(SUMPRODUCT(-- ISNUMBER(SEARCH({"Unique","Unique Case Insensitive"}, $R115))) &gt; 0, "(" &amp; $R115 &amp; ")", ""))))</f>
        <v>na</v>
      </c>
      <c r="E115" s="7" t="s">
        <v>195</v>
      </c>
      <c r="F115" s="7" t="s">
        <v>195</v>
      </c>
      <c r="G115" s="7" t="s">
        <v>195</v>
      </c>
      <c r="H115" s="7" t="s">
        <v>195</v>
      </c>
      <c r="I115" s="7" t="s">
        <v>195</v>
      </c>
      <c r="J115" s="7" t="s">
        <v>195</v>
      </c>
      <c r="K115" s="7" t="s">
        <v>195</v>
      </c>
      <c r="L115" s="7" t="s">
        <v>195</v>
      </c>
      <c r="M115" s="7" t="s">
        <v>29</v>
      </c>
      <c r="N115" s="7" t="s">
        <v>29</v>
      </c>
      <c r="O115" s="7" t="s">
        <v>29</v>
      </c>
      <c r="P115" s="7" t="s">
        <v>29</v>
      </c>
      <c r="Q115" s="7" t="s">
        <v>29</v>
      </c>
      <c r="R115" s="7" t="s">
        <v>29</v>
      </c>
      <c r="S115" s="7" t="s">
        <v>29</v>
      </c>
    </row>
    <row r="116" spans="2:19">
      <c r="B116" s="7" t="s">
        <v>195</v>
      </c>
      <c r="C116" s="8" t="s">
        <v>195</v>
      </c>
      <c r="D116" s="5" t="str">
        <f>LRTRIM(CONCATENATE(IF(SUMPRODUCT(-- ISNUMBER(SEARCH({"Auto Number"}, $B116))) &gt; 0, $B116, IF(SUMPRODUCT(-- ISNUMBER(SEARCH({"Lookup","Master-Detail"}, $B116))) &gt; 0,$B116 &amp; "(" &amp; $E116 &amp; ")",IF(SUMPRODUCT(-- ISNUMBER(SEARCH({"Formula","Roll-Up Summary"}, $B116))) &gt; 0,$B116 &amp; " (" &amp; $E116 &amp; ")",IF(SUMPRODUCT(-- ISNUMBER(SEARCH({"Content","Currency","Number","Percent","Text","URL"}, $B116))) &gt; 0,$B116 &amp; "(" &amp; $C116 &amp; ")",$B116)))), "  ", TRIM(IF($S116 = "YES", "(External ID)", "") &amp; " " &amp; IF(SUMPRODUCT(-- ISNUMBER(SEARCH({"Unique","Unique Case Insensitive"}, $R116))) &gt; 0, "(" &amp; $R116 &amp; ")", ""))))</f>
        <v>na</v>
      </c>
      <c r="E116" s="7" t="s">
        <v>195</v>
      </c>
      <c r="F116" s="7" t="s">
        <v>195</v>
      </c>
      <c r="G116" s="7" t="s">
        <v>195</v>
      </c>
      <c r="H116" s="7" t="s">
        <v>195</v>
      </c>
      <c r="I116" s="7" t="s">
        <v>195</v>
      </c>
      <c r="J116" s="7" t="s">
        <v>195</v>
      </c>
      <c r="K116" s="7" t="s">
        <v>195</v>
      </c>
      <c r="L116" s="7" t="s">
        <v>195</v>
      </c>
      <c r="M116" s="7" t="s">
        <v>29</v>
      </c>
      <c r="N116" s="7" t="s">
        <v>29</v>
      </c>
      <c r="O116" s="7" t="s">
        <v>29</v>
      </c>
      <c r="P116" s="7" t="s">
        <v>29</v>
      </c>
      <c r="Q116" s="7" t="s">
        <v>29</v>
      </c>
      <c r="R116" s="7" t="s">
        <v>29</v>
      </c>
      <c r="S116" s="7" t="s">
        <v>29</v>
      </c>
    </row>
    <row r="117" spans="2:19">
      <c r="B117" s="7" t="s">
        <v>195</v>
      </c>
      <c r="C117" s="8" t="s">
        <v>195</v>
      </c>
      <c r="D117" s="5" t="str">
        <f>LRTRIM(CONCATENATE(IF(SUMPRODUCT(-- ISNUMBER(SEARCH({"Auto Number"}, $B117))) &gt; 0, $B117, IF(SUMPRODUCT(-- ISNUMBER(SEARCH({"Lookup","Master-Detail"}, $B117))) &gt; 0,$B117 &amp; "(" &amp; $E117 &amp; ")",IF(SUMPRODUCT(-- ISNUMBER(SEARCH({"Formula","Roll-Up Summary"}, $B117))) &gt; 0,$B117 &amp; " (" &amp; $E117 &amp; ")",IF(SUMPRODUCT(-- ISNUMBER(SEARCH({"Content","Currency","Number","Percent","Text","URL"}, $B117))) &gt; 0,$B117 &amp; "(" &amp; $C117 &amp; ")",$B117)))), "  ", TRIM(IF($S117 = "YES", "(External ID)", "") &amp; " " &amp; IF(SUMPRODUCT(-- ISNUMBER(SEARCH({"Unique","Unique Case Insensitive"}, $R117))) &gt; 0, "(" &amp; $R117 &amp; ")", ""))))</f>
        <v>na</v>
      </c>
      <c r="E117" s="7" t="s">
        <v>195</v>
      </c>
      <c r="F117" s="7" t="s">
        <v>195</v>
      </c>
      <c r="G117" s="7" t="s">
        <v>195</v>
      </c>
      <c r="H117" s="7" t="s">
        <v>195</v>
      </c>
      <c r="I117" s="7" t="s">
        <v>195</v>
      </c>
      <c r="J117" s="7" t="s">
        <v>195</v>
      </c>
      <c r="K117" s="7" t="s">
        <v>195</v>
      </c>
      <c r="L117" s="7" t="s">
        <v>195</v>
      </c>
      <c r="M117" s="7" t="s">
        <v>29</v>
      </c>
      <c r="N117" s="7" t="s">
        <v>29</v>
      </c>
      <c r="O117" s="7" t="s">
        <v>29</v>
      </c>
      <c r="P117" s="7" t="s">
        <v>29</v>
      </c>
      <c r="Q117" s="7" t="s">
        <v>29</v>
      </c>
      <c r="R117" s="7" t="s">
        <v>29</v>
      </c>
      <c r="S117" s="7" t="s">
        <v>29</v>
      </c>
    </row>
    <row r="118" spans="2:19">
      <c r="B118" s="7" t="s">
        <v>195</v>
      </c>
      <c r="C118" s="8" t="s">
        <v>195</v>
      </c>
      <c r="D118" s="5" t="str">
        <f>LRTRIM(CONCATENATE(IF(SUMPRODUCT(-- ISNUMBER(SEARCH({"Auto Number"}, $B118))) &gt; 0, $B118, IF(SUMPRODUCT(-- ISNUMBER(SEARCH({"Lookup","Master-Detail"}, $B118))) &gt; 0,$B118 &amp; "(" &amp; $E118 &amp; ")",IF(SUMPRODUCT(-- ISNUMBER(SEARCH({"Formula","Roll-Up Summary"}, $B118))) &gt; 0,$B118 &amp; " (" &amp; $E118 &amp; ")",IF(SUMPRODUCT(-- ISNUMBER(SEARCH({"Content","Currency","Number","Percent","Text","URL"}, $B118))) &gt; 0,$B118 &amp; "(" &amp; $C118 &amp; ")",$B118)))), "  ", TRIM(IF($S118 = "YES", "(External ID)", "") &amp; " " &amp; IF(SUMPRODUCT(-- ISNUMBER(SEARCH({"Unique","Unique Case Insensitive"}, $R118))) &gt; 0, "(" &amp; $R118 &amp; ")", ""))))</f>
        <v>na</v>
      </c>
      <c r="E118" s="7" t="s">
        <v>195</v>
      </c>
      <c r="F118" s="7" t="s">
        <v>195</v>
      </c>
      <c r="G118" s="7" t="s">
        <v>195</v>
      </c>
      <c r="H118" s="7" t="s">
        <v>195</v>
      </c>
      <c r="I118" s="7" t="s">
        <v>195</v>
      </c>
      <c r="J118" s="7" t="s">
        <v>195</v>
      </c>
      <c r="K118" s="7" t="s">
        <v>195</v>
      </c>
      <c r="L118" s="7" t="s">
        <v>195</v>
      </c>
      <c r="M118" s="7" t="s">
        <v>29</v>
      </c>
      <c r="N118" s="7" t="s">
        <v>29</v>
      </c>
      <c r="O118" s="7" t="s">
        <v>29</v>
      </c>
      <c r="P118" s="7" t="s">
        <v>29</v>
      </c>
      <c r="Q118" s="7" t="s">
        <v>29</v>
      </c>
      <c r="R118" s="7" t="s">
        <v>29</v>
      </c>
      <c r="S118" s="7" t="s">
        <v>29</v>
      </c>
    </row>
    <row r="119" spans="2:19">
      <c r="B119" s="7" t="s">
        <v>195</v>
      </c>
      <c r="C119" s="8" t="s">
        <v>195</v>
      </c>
      <c r="D119" s="5" t="str">
        <f>LRTRIM(CONCATENATE(IF(SUMPRODUCT(-- ISNUMBER(SEARCH({"Auto Number"}, $B119))) &gt; 0, $B119, IF(SUMPRODUCT(-- ISNUMBER(SEARCH({"Lookup","Master-Detail"}, $B119))) &gt; 0,$B119 &amp; "(" &amp; $E119 &amp; ")",IF(SUMPRODUCT(-- ISNUMBER(SEARCH({"Formula","Roll-Up Summary"}, $B119))) &gt; 0,$B119 &amp; " (" &amp; $E119 &amp; ")",IF(SUMPRODUCT(-- ISNUMBER(SEARCH({"Content","Currency","Number","Percent","Text","URL"}, $B119))) &gt; 0,$B119 &amp; "(" &amp; $C119 &amp; ")",$B119)))), "  ", TRIM(IF($S119 = "YES", "(External ID)", "") &amp; " " &amp; IF(SUMPRODUCT(-- ISNUMBER(SEARCH({"Unique","Unique Case Insensitive"}, $R119))) &gt; 0, "(" &amp; $R119 &amp; ")", ""))))</f>
        <v>na</v>
      </c>
      <c r="E119" s="7" t="s">
        <v>195</v>
      </c>
      <c r="F119" s="7" t="s">
        <v>195</v>
      </c>
      <c r="G119" s="7" t="s">
        <v>195</v>
      </c>
      <c r="H119" s="7" t="s">
        <v>195</v>
      </c>
      <c r="I119" s="7" t="s">
        <v>195</v>
      </c>
      <c r="J119" s="7" t="s">
        <v>195</v>
      </c>
      <c r="K119" s="7" t="s">
        <v>195</v>
      </c>
      <c r="L119" s="7" t="s">
        <v>195</v>
      </c>
      <c r="M119" s="7" t="s">
        <v>29</v>
      </c>
      <c r="N119" s="7" t="s">
        <v>29</v>
      </c>
      <c r="O119" s="7" t="s">
        <v>29</v>
      </c>
      <c r="P119" s="7" t="s">
        <v>29</v>
      </c>
      <c r="Q119" s="7" t="s">
        <v>29</v>
      </c>
      <c r="R119" s="7" t="s">
        <v>29</v>
      </c>
      <c r="S119" s="7" t="s">
        <v>29</v>
      </c>
    </row>
    <row r="120" spans="2:19">
      <c r="B120" s="7" t="s">
        <v>195</v>
      </c>
      <c r="C120" s="8" t="s">
        <v>195</v>
      </c>
      <c r="D120" s="5" t="str">
        <f>LRTRIM(CONCATENATE(IF(SUMPRODUCT(-- ISNUMBER(SEARCH({"Auto Number"}, $B120))) &gt; 0, $B120, IF(SUMPRODUCT(-- ISNUMBER(SEARCH({"Lookup","Master-Detail"}, $B120))) &gt; 0,$B120 &amp; "(" &amp; $E120 &amp; ")",IF(SUMPRODUCT(-- ISNUMBER(SEARCH({"Formula","Roll-Up Summary"}, $B120))) &gt; 0,$B120 &amp; " (" &amp; $E120 &amp; ")",IF(SUMPRODUCT(-- ISNUMBER(SEARCH({"Content","Currency","Number","Percent","Text","URL"}, $B120))) &gt; 0,$B120 &amp; "(" &amp; $C120 &amp; ")",$B120)))), "  ", TRIM(IF($S120 = "YES", "(External ID)", "") &amp; " " &amp; IF(SUMPRODUCT(-- ISNUMBER(SEARCH({"Unique","Unique Case Insensitive"}, $R120))) &gt; 0, "(" &amp; $R120 &amp; ")", ""))))</f>
        <v>na</v>
      </c>
      <c r="E120" s="7" t="s">
        <v>195</v>
      </c>
      <c r="F120" s="7" t="s">
        <v>195</v>
      </c>
      <c r="G120" s="7" t="s">
        <v>195</v>
      </c>
      <c r="H120" s="7" t="s">
        <v>195</v>
      </c>
      <c r="I120" s="7" t="s">
        <v>195</v>
      </c>
      <c r="J120" s="7" t="s">
        <v>195</v>
      </c>
      <c r="K120" s="7" t="s">
        <v>195</v>
      </c>
      <c r="L120" s="7" t="s">
        <v>195</v>
      </c>
      <c r="M120" s="7" t="s">
        <v>29</v>
      </c>
      <c r="N120" s="7" t="s">
        <v>29</v>
      </c>
      <c r="O120" s="7" t="s">
        <v>29</v>
      </c>
      <c r="P120" s="7" t="s">
        <v>29</v>
      </c>
      <c r="Q120" s="7" t="s">
        <v>29</v>
      </c>
      <c r="R120" s="7" t="s">
        <v>29</v>
      </c>
      <c r="S120" s="7" t="s">
        <v>29</v>
      </c>
    </row>
    <row r="121" spans="2:19">
      <c r="B121" s="7" t="s">
        <v>195</v>
      </c>
      <c r="C121" s="8" t="s">
        <v>195</v>
      </c>
      <c r="D121" s="5" t="str">
        <f>LRTRIM(CONCATENATE(IF(SUMPRODUCT(-- ISNUMBER(SEARCH({"Auto Number"}, $B121))) &gt; 0, $B121, IF(SUMPRODUCT(-- ISNUMBER(SEARCH({"Lookup","Master-Detail"}, $B121))) &gt; 0,$B121 &amp; "(" &amp; $E121 &amp; ")",IF(SUMPRODUCT(-- ISNUMBER(SEARCH({"Formula","Roll-Up Summary"}, $B121))) &gt; 0,$B121 &amp; " (" &amp; $E121 &amp; ")",IF(SUMPRODUCT(-- ISNUMBER(SEARCH({"Content","Currency","Number","Percent","Text","URL"}, $B121))) &gt; 0,$B121 &amp; "(" &amp; $C121 &amp; ")",$B121)))), "  ", TRIM(IF($S121 = "YES", "(External ID)", "") &amp; " " &amp; IF(SUMPRODUCT(-- ISNUMBER(SEARCH({"Unique","Unique Case Insensitive"}, $R121))) &gt; 0, "(" &amp; $R121 &amp; ")", ""))))</f>
        <v>na</v>
      </c>
      <c r="E121" s="7" t="s">
        <v>195</v>
      </c>
      <c r="F121" s="7" t="s">
        <v>195</v>
      </c>
      <c r="G121" s="7" t="s">
        <v>195</v>
      </c>
      <c r="H121" s="7" t="s">
        <v>195</v>
      </c>
      <c r="I121" s="7" t="s">
        <v>195</v>
      </c>
      <c r="J121" s="7" t="s">
        <v>195</v>
      </c>
      <c r="K121" s="7" t="s">
        <v>195</v>
      </c>
      <c r="L121" s="7" t="s">
        <v>195</v>
      </c>
      <c r="M121" s="7" t="s">
        <v>29</v>
      </c>
      <c r="N121" s="7" t="s">
        <v>29</v>
      </c>
      <c r="O121" s="7" t="s">
        <v>29</v>
      </c>
      <c r="P121" s="7" t="s">
        <v>29</v>
      </c>
      <c r="Q121" s="7" t="s">
        <v>29</v>
      </c>
      <c r="R121" s="7" t="s">
        <v>29</v>
      </c>
      <c r="S121" s="7" t="s">
        <v>29</v>
      </c>
    </row>
    <row r="122" spans="2:19">
      <c r="B122" s="7" t="s">
        <v>195</v>
      </c>
      <c r="C122" s="8" t="s">
        <v>195</v>
      </c>
      <c r="D122" s="5" t="str">
        <f>LRTRIM(CONCATENATE(IF(SUMPRODUCT(-- ISNUMBER(SEARCH({"Auto Number"}, $B122))) &gt; 0, $B122, IF(SUMPRODUCT(-- ISNUMBER(SEARCH({"Lookup","Master-Detail"}, $B122))) &gt; 0,$B122 &amp; "(" &amp; $E122 &amp; ")",IF(SUMPRODUCT(-- ISNUMBER(SEARCH({"Formula","Roll-Up Summary"}, $B122))) &gt; 0,$B122 &amp; " (" &amp; $E122 &amp; ")",IF(SUMPRODUCT(-- ISNUMBER(SEARCH({"Content","Currency","Number","Percent","Text","URL"}, $B122))) &gt; 0,$B122 &amp; "(" &amp; $C122 &amp; ")",$B122)))), "  ", TRIM(IF($S122 = "YES", "(External ID)", "") &amp; " " &amp; IF(SUMPRODUCT(-- ISNUMBER(SEARCH({"Unique","Unique Case Insensitive"}, $R122))) &gt; 0, "(" &amp; $R122 &amp; ")", ""))))</f>
        <v>na</v>
      </c>
      <c r="E122" s="7" t="s">
        <v>195</v>
      </c>
      <c r="F122" s="7" t="s">
        <v>195</v>
      </c>
      <c r="G122" s="7" t="s">
        <v>195</v>
      </c>
      <c r="H122" s="7" t="s">
        <v>195</v>
      </c>
      <c r="I122" s="7" t="s">
        <v>195</v>
      </c>
      <c r="J122" s="7" t="s">
        <v>195</v>
      </c>
      <c r="K122" s="7" t="s">
        <v>195</v>
      </c>
      <c r="L122" s="7" t="s">
        <v>195</v>
      </c>
      <c r="M122" s="7" t="s">
        <v>29</v>
      </c>
      <c r="N122" s="7" t="s">
        <v>29</v>
      </c>
      <c r="O122" s="7" t="s">
        <v>29</v>
      </c>
      <c r="P122" s="7" t="s">
        <v>29</v>
      </c>
      <c r="Q122" s="7" t="s">
        <v>29</v>
      </c>
      <c r="R122" s="7" t="s">
        <v>29</v>
      </c>
      <c r="S122" s="7" t="s">
        <v>29</v>
      </c>
    </row>
    <row r="123" spans="2:19">
      <c r="B123" s="7" t="s">
        <v>195</v>
      </c>
      <c r="C123" s="8" t="s">
        <v>195</v>
      </c>
      <c r="D123" s="5" t="str">
        <f>LRTRIM(CONCATENATE(IF(SUMPRODUCT(-- ISNUMBER(SEARCH({"Auto Number"}, $B123))) &gt; 0, $B123, IF(SUMPRODUCT(-- ISNUMBER(SEARCH({"Lookup","Master-Detail"}, $B123))) &gt; 0,$B123 &amp; "(" &amp; $E123 &amp; ")",IF(SUMPRODUCT(-- ISNUMBER(SEARCH({"Formula","Roll-Up Summary"}, $B123))) &gt; 0,$B123 &amp; " (" &amp; $E123 &amp; ")",IF(SUMPRODUCT(-- ISNUMBER(SEARCH({"Content","Currency","Number","Percent","Text","URL"}, $B123))) &gt; 0,$B123 &amp; "(" &amp; $C123 &amp; ")",$B123)))), "  ", TRIM(IF($S123 = "YES", "(External ID)", "") &amp; " " &amp; IF(SUMPRODUCT(-- ISNUMBER(SEARCH({"Unique","Unique Case Insensitive"}, $R123))) &gt; 0, "(" &amp; $R123 &amp; ")", ""))))</f>
        <v>na</v>
      </c>
      <c r="E123" s="7" t="s">
        <v>195</v>
      </c>
      <c r="F123" s="7" t="s">
        <v>195</v>
      </c>
      <c r="G123" s="7" t="s">
        <v>195</v>
      </c>
      <c r="H123" s="7" t="s">
        <v>195</v>
      </c>
      <c r="I123" s="7" t="s">
        <v>195</v>
      </c>
      <c r="J123" s="7" t="s">
        <v>195</v>
      </c>
      <c r="K123" s="7" t="s">
        <v>195</v>
      </c>
      <c r="L123" s="7" t="s">
        <v>195</v>
      </c>
      <c r="M123" s="7" t="s">
        <v>29</v>
      </c>
      <c r="N123" s="7" t="s">
        <v>29</v>
      </c>
      <c r="O123" s="7" t="s">
        <v>29</v>
      </c>
      <c r="P123" s="7" t="s">
        <v>29</v>
      </c>
      <c r="Q123" s="7" t="s">
        <v>29</v>
      </c>
      <c r="R123" s="7" t="s">
        <v>29</v>
      </c>
      <c r="S123" s="7" t="s">
        <v>29</v>
      </c>
    </row>
    <row r="124" spans="2:19">
      <c r="B124" s="7" t="s">
        <v>195</v>
      </c>
      <c r="C124" s="8" t="s">
        <v>195</v>
      </c>
      <c r="D124" s="5" t="str">
        <f>LRTRIM(CONCATENATE(IF(SUMPRODUCT(-- ISNUMBER(SEARCH({"Auto Number"}, $B124))) &gt; 0, $B124, IF(SUMPRODUCT(-- ISNUMBER(SEARCH({"Lookup","Master-Detail"}, $B124))) &gt; 0,$B124 &amp; "(" &amp; $E124 &amp; ")",IF(SUMPRODUCT(-- ISNUMBER(SEARCH({"Formula","Roll-Up Summary"}, $B124))) &gt; 0,$B124 &amp; " (" &amp; $E124 &amp; ")",IF(SUMPRODUCT(-- ISNUMBER(SEARCH({"Content","Currency","Number","Percent","Text","URL"}, $B124))) &gt; 0,$B124 &amp; "(" &amp; $C124 &amp; ")",$B124)))), "  ", TRIM(IF($S124 = "YES", "(External ID)", "") &amp; " " &amp; IF(SUMPRODUCT(-- ISNUMBER(SEARCH({"Unique","Unique Case Insensitive"}, $R124))) &gt; 0, "(" &amp; $R124 &amp; ")", ""))))</f>
        <v>na</v>
      </c>
      <c r="E124" s="7" t="s">
        <v>195</v>
      </c>
      <c r="F124" s="7" t="s">
        <v>195</v>
      </c>
      <c r="G124" s="7" t="s">
        <v>195</v>
      </c>
      <c r="H124" s="7" t="s">
        <v>195</v>
      </c>
      <c r="I124" s="7" t="s">
        <v>195</v>
      </c>
      <c r="J124" s="7" t="s">
        <v>195</v>
      </c>
      <c r="K124" s="7" t="s">
        <v>195</v>
      </c>
      <c r="L124" s="7" t="s">
        <v>195</v>
      </c>
      <c r="M124" s="7" t="s">
        <v>29</v>
      </c>
      <c r="N124" s="7" t="s">
        <v>29</v>
      </c>
      <c r="O124" s="7" t="s">
        <v>29</v>
      </c>
      <c r="P124" s="7" t="s">
        <v>29</v>
      </c>
      <c r="Q124" s="7" t="s">
        <v>29</v>
      </c>
      <c r="R124" s="7" t="s">
        <v>29</v>
      </c>
      <c r="S124" s="7" t="s">
        <v>29</v>
      </c>
    </row>
    <row r="125" spans="2:19">
      <c r="B125" s="7" t="s">
        <v>195</v>
      </c>
      <c r="C125" s="8" t="s">
        <v>195</v>
      </c>
      <c r="D125" s="5" t="str">
        <f>LRTRIM(CONCATENATE(IF(SUMPRODUCT(-- ISNUMBER(SEARCH({"Auto Number"}, $B125))) &gt; 0, $B125, IF(SUMPRODUCT(-- ISNUMBER(SEARCH({"Lookup","Master-Detail"}, $B125))) &gt; 0,$B125 &amp; "(" &amp; $E125 &amp; ")",IF(SUMPRODUCT(-- ISNUMBER(SEARCH({"Formula","Roll-Up Summary"}, $B125))) &gt; 0,$B125 &amp; " (" &amp; $E125 &amp; ")",IF(SUMPRODUCT(-- ISNUMBER(SEARCH({"Content","Currency","Number","Percent","Text","URL"}, $B125))) &gt; 0,$B125 &amp; "(" &amp; $C125 &amp; ")",$B125)))), "  ", TRIM(IF($S125 = "YES", "(External ID)", "") &amp; " " &amp; IF(SUMPRODUCT(-- ISNUMBER(SEARCH({"Unique","Unique Case Insensitive"}, $R125))) &gt; 0, "(" &amp; $R125 &amp; ")", ""))))</f>
        <v>na</v>
      </c>
      <c r="E125" s="7" t="s">
        <v>195</v>
      </c>
      <c r="F125" s="7" t="s">
        <v>195</v>
      </c>
      <c r="G125" s="7" t="s">
        <v>195</v>
      </c>
      <c r="H125" s="7" t="s">
        <v>195</v>
      </c>
      <c r="I125" s="7" t="s">
        <v>195</v>
      </c>
      <c r="J125" s="7" t="s">
        <v>195</v>
      </c>
      <c r="K125" s="7" t="s">
        <v>195</v>
      </c>
      <c r="L125" s="7" t="s">
        <v>195</v>
      </c>
      <c r="M125" s="7" t="s">
        <v>29</v>
      </c>
      <c r="N125" s="7" t="s">
        <v>29</v>
      </c>
      <c r="O125" s="7" t="s">
        <v>29</v>
      </c>
      <c r="P125" s="7" t="s">
        <v>29</v>
      </c>
      <c r="Q125" s="7" t="s">
        <v>29</v>
      </c>
      <c r="R125" s="7" t="s">
        <v>29</v>
      </c>
      <c r="S125" s="7" t="s">
        <v>29</v>
      </c>
    </row>
    <row r="126" spans="2:19">
      <c r="B126" s="7" t="s">
        <v>195</v>
      </c>
      <c r="C126" s="8" t="s">
        <v>195</v>
      </c>
      <c r="D126" s="5" t="str">
        <f>LRTRIM(CONCATENATE(IF(SUMPRODUCT(-- ISNUMBER(SEARCH({"Auto Number"}, $B126))) &gt; 0, $B126, IF(SUMPRODUCT(-- ISNUMBER(SEARCH({"Lookup","Master-Detail"}, $B126))) &gt; 0,$B126 &amp; "(" &amp; $E126 &amp; ")",IF(SUMPRODUCT(-- ISNUMBER(SEARCH({"Formula","Roll-Up Summary"}, $B126))) &gt; 0,$B126 &amp; " (" &amp; $E126 &amp; ")",IF(SUMPRODUCT(-- ISNUMBER(SEARCH({"Content","Currency","Number","Percent","Text","URL"}, $B126))) &gt; 0,$B126 &amp; "(" &amp; $C126 &amp; ")",$B126)))), "  ", TRIM(IF($S126 = "YES", "(External ID)", "") &amp; " " &amp; IF(SUMPRODUCT(-- ISNUMBER(SEARCH({"Unique","Unique Case Insensitive"}, $R126))) &gt; 0, "(" &amp; $R126 &amp; ")", ""))))</f>
        <v>na</v>
      </c>
      <c r="E126" s="7" t="s">
        <v>195</v>
      </c>
      <c r="F126" s="7" t="s">
        <v>195</v>
      </c>
      <c r="G126" s="7" t="s">
        <v>195</v>
      </c>
      <c r="H126" s="7" t="s">
        <v>195</v>
      </c>
      <c r="I126" s="7" t="s">
        <v>195</v>
      </c>
      <c r="J126" s="7" t="s">
        <v>195</v>
      </c>
      <c r="K126" s="7" t="s">
        <v>195</v>
      </c>
      <c r="L126" s="7" t="s">
        <v>195</v>
      </c>
      <c r="M126" s="7" t="s">
        <v>29</v>
      </c>
      <c r="N126" s="7" t="s">
        <v>29</v>
      </c>
      <c r="O126" s="7" t="s">
        <v>29</v>
      </c>
      <c r="P126" s="7" t="s">
        <v>29</v>
      </c>
      <c r="Q126" s="7" t="s">
        <v>29</v>
      </c>
      <c r="R126" s="7" t="s">
        <v>29</v>
      </c>
      <c r="S126" s="7" t="s">
        <v>29</v>
      </c>
    </row>
    <row r="127" spans="2:19">
      <c r="B127" s="7" t="s">
        <v>195</v>
      </c>
      <c r="C127" s="8" t="s">
        <v>195</v>
      </c>
      <c r="D127" s="5" t="str">
        <f>LRTRIM(CONCATENATE(IF(SUMPRODUCT(-- ISNUMBER(SEARCH({"Auto Number"}, $B127))) &gt; 0, $B127, IF(SUMPRODUCT(-- ISNUMBER(SEARCH({"Lookup","Master-Detail"}, $B127))) &gt; 0,$B127 &amp; "(" &amp; $E127 &amp; ")",IF(SUMPRODUCT(-- ISNUMBER(SEARCH({"Formula","Roll-Up Summary"}, $B127))) &gt; 0,$B127 &amp; " (" &amp; $E127 &amp; ")",IF(SUMPRODUCT(-- ISNUMBER(SEARCH({"Content","Currency","Number","Percent","Text","URL"}, $B127))) &gt; 0,$B127 &amp; "(" &amp; $C127 &amp; ")",$B127)))), "  ", TRIM(IF($S127 = "YES", "(External ID)", "") &amp; " " &amp; IF(SUMPRODUCT(-- ISNUMBER(SEARCH({"Unique","Unique Case Insensitive"}, $R127))) &gt; 0, "(" &amp; $R127 &amp; ")", ""))))</f>
        <v>na</v>
      </c>
      <c r="E127" s="7" t="s">
        <v>195</v>
      </c>
      <c r="F127" s="7" t="s">
        <v>195</v>
      </c>
      <c r="G127" s="7" t="s">
        <v>195</v>
      </c>
      <c r="H127" s="7" t="s">
        <v>195</v>
      </c>
      <c r="I127" s="7" t="s">
        <v>195</v>
      </c>
      <c r="J127" s="7" t="s">
        <v>195</v>
      </c>
      <c r="K127" s="7" t="s">
        <v>195</v>
      </c>
      <c r="L127" s="7" t="s">
        <v>195</v>
      </c>
      <c r="M127" s="7" t="s">
        <v>29</v>
      </c>
      <c r="N127" s="7" t="s">
        <v>29</v>
      </c>
      <c r="O127" s="7" t="s">
        <v>29</v>
      </c>
      <c r="P127" s="7" t="s">
        <v>29</v>
      </c>
      <c r="Q127" s="7" t="s">
        <v>29</v>
      </c>
      <c r="R127" s="7" t="s">
        <v>29</v>
      </c>
      <c r="S127" s="7" t="s">
        <v>29</v>
      </c>
    </row>
    <row r="128" spans="2:19">
      <c r="B128" s="7" t="s">
        <v>195</v>
      </c>
      <c r="C128" s="8" t="s">
        <v>195</v>
      </c>
      <c r="D128" s="5" t="str">
        <f>LRTRIM(CONCATENATE(IF(SUMPRODUCT(-- ISNUMBER(SEARCH({"Auto Number"}, $B128))) &gt; 0, $B128, IF(SUMPRODUCT(-- ISNUMBER(SEARCH({"Lookup","Master-Detail"}, $B128))) &gt; 0,$B128 &amp; "(" &amp; $E128 &amp; ")",IF(SUMPRODUCT(-- ISNUMBER(SEARCH({"Formula","Roll-Up Summary"}, $B128))) &gt; 0,$B128 &amp; " (" &amp; $E128 &amp; ")",IF(SUMPRODUCT(-- ISNUMBER(SEARCH({"Content","Currency","Number","Percent","Text","URL"}, $B128))) &gt; 0,$B128 &amp; "(" &amp; $C128 &amp; ")",$B128)))), "  ", TRIM(IF($S128 = "YES", "(External ID)", "") &amp; " " &amp; IF(SUMPRODUCT(-- ISNUMBER(SEARCH({"Unique","Unique Case Insensitive"}, $R128))) &gt; 0, "(" &amp; $R128 &amp; ")", ""))))</f>
        <v>na</v>
      </c>
      <c r="E128" s="7" t="s">
        <v>195</v>
      </c>
      <c r="F128" s="7" t="s">
        <v>195</v>
      </c>
      <c r="G128" s="7" t="s">
        <v>195</v>
      </c>
      <c r="H128" s="7" t="s">
        <v>195</v>
      </c>
      <c r="I128" s="7" t="s">
        <v>195</v>
      </c>
      <c r="J128" s="7" t="s">
        <v>195</v>
      </c>
      <c r="K128" s="7" t="s">
        <v>195</v>
      </c>
      <c r="L128" s="7" t="s">
        <v>195</v>
      </c>
      <c r="M128" s="7" t="s">
        <v>29</v>
      </c>
      <c r="N128" s="7" t="s">
        <v>29</v>
      </c>
      <c r="O128" s="7" t="s">
        <v>29</v>
      </c>
      <c r="P128" s="7" t="s">
        <v>29</v>
      </c>
      <c r="Q128" s="7" t="s">
        <v>29</v>
      </c>
      <c r="R128" s="7" t="s">
        <v>29</v>
      </c>
      <c r="S128" s="7" t="s">
        <v>29</v>
      </c>
    </row>
    <row r="129" spans="2:19">
      <c r="B129" s="7" t="s">
        <v>195</v>
      </c>
      <c r="C129" s="8" t="s">
        <v>195</v>
      </c>
      <c r="D129" s="5" t="str">
        <f>LRTRIM(CONCATENATE(IF(SUMPRODUCT(-- ISNUMBER(SEARCH({"Auto Number"}, $B129))) &gt; 0, $B129, IF(SUMPRODUCT(-- ISNUMBER(SEARCH({"Lookup","Master-Detail"}, $B129))) &gt; 0,$B129 &amp; "(" &amp; $E129 &amp; ")",IF(SUMPRODUCT(-- ISNUMBER(SEARCH({"Formula","Roll-Up Summary"}, $B129))) &gt; 0,$B129 &amp; " (" &amp; $E129 &amp; ")",IF(SUMPRODUCT(-- ISNUMBER(SEARCH({"Content","Currency","Number","Percent","Text","URL"}, $B129))) &gt; 0,$B129 &amp; "(" &amp; $C129 &amp; ")",$B129)))), "  ", TRIM(IF($S129 = "YES", "(External ID)", "") &amp; " " &amp; IF(SUMPRODUCT(-- ISNUMBER(SEARCH({"Unique","Unique Case Insensitive"}, $R129))) &gt; 0, "(" &amp; $R129 &amp; ")", ""))))</f>
        <v>na</v>
      </c>
      <c r="E129" s="7" t="s">
        <v>195</v>
      </c>
      <c r="F129" s="7" t="s">
        <v>195</v>
      </c>
      <c r="G129" s="7" t="s">
        <v>195</v>
      </c>
      <c r="H129" s="7" t="s">
        <v>195</v>
      </c>
      <c r="I129" s="7" t="s">
        <v>195</v>
      </c>
      <c r="J129" s="7" t="s">
        <v>195</v>
      </c>
      <c r="K129" s="7" t="s">
        <v>195</v>
      </c>
      <c r="L129" s="7" t="s">
        <v>195</v>
      </c>
      <c r="M129" s="7" t="s">
        <v>29</v>
      </c>
      <c r="N129" s="7" t="s">
        <v>29</v>
      </c>
      <c r="O129" s="7" t="s">
        <v>29</v>
      </c>
      <c r="P129" s="7" t="s">
        <v>29</v>
      </c>
      <c r="Q129" s="7" t="s">
        <v>29</v>
      </c>
      <c r="R129" s="7" t="s">
        <v>29</v>
      </c>
      <c r="S129" s="7" t="s">
        <v>29</v>
      </c>
    </row>
    <row r="130" spans="2:19">
      <c r="B130" s="7" t="s">
        <v>195</v>
      </c>
      <c r="C130" s="8" t="s">
        <v>195</v>
      </c>
      <c r="D130" s="5" t="str">
        <f>LRTRIM(CONCATENATE(IF(SUMPRODUCT(-- ISNUMBER(SEARCH({"Auto Number"}, $B130))) &gt; 0, $B130, IF(SUMPRODUCT(-- ISNUMBER(SEARCH({"Lookup","Master-Detail"}, $B130))) &gt; 0,$B130 &amp; "(" &amp; $E130 &amp; ")",IF(SUMPRODUCT(-- ISNUMBER(SEARCH({"Formula","Roll-Up Summary"}, $B130))) &gt; 0,$B130 &amp; " (" &amp; $E130 &amp; ")",IF(SUMPRODUCT(-- ISNUMBER(SEARCH({"Content","Currency","Number","Percent","Text","URL"}, $B130))) &gt; 0,$B130 &amp; "(" &amp; $C130 &amp; ")",$B130)))), "  ", TRIM(IF($S130 = "YES", "(External ID)", "") &amp; " " &amp; IF(SUMPRODUCT(-- ISNUMBER(SEARCH({"Unique","Unique Case Insensitive"}, $R130))) &gt; 0, "(" &amp; $R130 &amp; ")", ""))))</f>
        <v>na</v>
      </c>
      <c r="E130" s="7" t="s">
        <v>195</v>
      </c>
      <c r="F130" s="7" t="s">
        <v>195</v>
      </c>
      <c r="G130" s="7" t="s">
        <v>195</v>
      </c>
      <c r="H130" s="7" t="s">
        <v>195</v>
      </c>
      <c r="I130" s="7" t="s">
        <v>195</v>
      </c>
      <c r="J130" s="7" t="s">
        <v>195</v>
      </c>
      <c r="K130" s="7" t="s">
        <v>195</v>
      </c>
      <c r="L130" s="7" t="s">
        <v>195</v>
      </c>
      <c r="M130" s="7" t="s">
        <v>29</v>
      </c>
      <c r="N130" s="7" t="s">
        <v>29</v>
      </c>
      <c r="O130" s="7" t="s">
        <v>29</v>
      </c>
      <c r="P130" s="7" t="s">
        <v>29</v>
      </c>
      <c r="Q130" s="7" t="s">
        <v>29</v>
      </c>
      <c r="R130" s="7" t="s">
        <v>29</v>
      </c>
      <c r="S130" s="7" t="s">
        <v>29</v>
      </c>
    </row>
    <row r="131" spans="2:19">
      <c r="B131" s="7" t="s">
        <v>195</v>
      </c>
      <c r="C131" s="8" t="s">
        <v>195</v>
      </c>
      <c r="D131" s="5" t="str">
        <f>LRTRIM(CONCATENATE(IF(SUMPRODUCT(-- ISNUMBER(SEARCH({"Auto Number"}, $B131))) &gt; 0, $B131, IF(SUMPRODUCT(-- ISNUMBER(SEARCH({"Lookup","Master-Detail"}, $B131))) &gt; 0,$B131 &amp; "(" &amp; $E131 &amp; ")",IF(SUMPRODUCT(-- ISNUMBER(SEARCH({"Formula","Roll-Up Summary"}, $B131))) &gt; 0,$B131 &amp; " (" &amp; $E131 &amp; ")",IF(SUMPRODUCT(-- ISNUMBER(SEARCH({"Content","Currency","Number","Percent","Text","URL"}, $B131))) &gt; 0,$B131 &amp; "(" &amp; $C131 &amp; ")",$B131)))), "  ", TRIM(IF($S131 = "YES", "(External ID)", "") &amp; " " &amp; IF(SUMPRODUCT(-- ISNUMBER(SEARCH({"Unique","Unique Case Insensitive"}, $R131))) &gt; 0, "(" &amp; $R131 &amp; ")", ""))))</f>
        <v>na</v>
      </c>
      <c r="E131" s="7" t="s">
        <v>195</v>
      </c>
      <c r="F131" s="7" t="s">
        <v>195</v>
      </c>
      <c r="G131" s="7" t="s">
        <v>195</v>
      </c>
      <c r="H131" s="7" t="s">
        <v>195</v>
      </c>
      <c r="I131" s="7" t="s">
        <v>195</v>
      </c>
      <c r="J131" s="7" t="s">
        <v>195</v>
      </c>
      <c r="K131" s="7" t="s">
        <v>195</v>
      </c>
      <c r="L131" s="7" t="s">
        <v>195</v>
      </c>
      <c r="M131" s="7" t="s">
        <v>29</v>
      </c>
      <c r="N131" s="7" t="s">
        <v>29</v>
      </c>
      <c r="O131" s="7" t="s">
        <v>29</v>
      </c>
      <c r="P131" s="7" t="s">
        <v>29</v>
      </c>
      <c r="Q131" s="7" t="s">
        <v>29</v>
      </c>
      <c r="R131" s="7" t="s">
        <v>29</v>
      </c>
      <c r="S131" s="7" t="s">
        <v>29</v>
      </c>
    </row>
    <row r="132" spans="2:19">
      <c r="B132" s="7" t="s">
        <v>195</v>
      </c>
      <c r="C132" s="8" t="s">
        <v>195</v>
      </c>
      <c r="D132" s="5" t="str">
        <f>LRTRIM(CONCATENATE(IF(SUMPRODUCT(-- ISNUMBER(SEARCH({"Auto Number"}, $B132))) &gt; 0, $B132, IF(SUMPRODUCT(-- ISNUMBER(SEARCH({"Lookup","Master-Detail"}, $B132))) &gt; 0,$B132 &amp; "(" &amp; $E132 &amp; ")",IF(SUMPRODUCT(-- ISNUMBER(SEARCH({"Formula","Roll-Up Summary"}, $B132))) &gt; 0,$B132 &amp; " (" &amp; $E132 &amp; ")",IF(SUMPRODUCT(-- ISNUMBER(SEARCH({"Content","Currency","Number","Percent","Text","URL"}, $B132))) &gt; 0,$B132 &amp; "(" &amp; $C132 &amp; ")",$B132)))), "  ", TRIM(IF($S132 = "YES", "(External ID)", "") &amp; " " &amp; IF(SUMPRODUCT(-- ISNUMBER(SEARCH({"Unique","Unique Case Insensitive"}, $R132))) &gt; 0, "(" &amp; $R132 &amp; ")", ""))))</f>
        <v>na</v>
      </c>
      <c r="E132" s="7" t="s">
        <v>195</v>
      </c>
      <c r="F132" s="7" t="s">
        <v>195</v>
      </c>
      <c r="G132" s="7" t="s">
        <v>195</v>
      </c>
      <c r="H132" s="7" t="s">
        <v>195</v>
      </c>
      <c r="I132" s="7" t="s">
        <v>195</v>
      </c>
      <c r="J132" s="7" t="s">
        <v>195</v>
      </c>
      <c r="K132" s="7" t="s">
        <v>195</v>
      </c>
      <c r="L132" s="7" t="s">
        <v>195</v>
      </c>
      <c r="M132" s="7" t="s">
        <v>29</v>
      </c>
      <c r="N132" s="7" t="s">
        <v>29</v>
      </c>
      <c r="O132" s="7" t="s">
        <v>29</v>
      </c>
      <c r="P132" s="7" t="s">
        <v>29</v>
      </c>
      <c r="Q132" s="7" t="s">
        <v>29</v>
      </c>
      <c r="R132" s="7" t="s">
        <v>29</v>
      </c>
      <c r="S132" s="7" t="s">
        <v>29</v>
      </c>
    </row>
    <row r="133" spans="2:19">
      <c r="B133" s="7" t="s">
        <v>195</v>
      </c>
      <c r="C133" s="8" t="s">
        <v>195</v>
      </c>
      <c r="D133" s="5" t="str">
        <f>LRTRIM(CONCATENATE(IF(SUMPRODUCT(-- ISNUMBER(SEARCH({"Auto Number"}, $B133))) &gt; 0, $B133, IF(SUMPRODUCT(-- ISNUMBER(SEARCH({"Lookup","Master-Detail"}, $B133))) &gt; 0,$B133 &amp; "(" &amp; $E133 &amp; ")",IF(SUMPRODUCT(-- ISNUMBER(SEARCH({"Formula","Roll-Up Summary"}, $B133))) &gt; 0,$B133 &amp; " (" &amp; $E133 &amp; ")",IF(SUMPRODUCT(-- ISNUMBER(SEARCH({"Content","Currency","Number","Percent","Text","URL"}, $B133))) &gt; 0,$B133 &amp; "(" &amp; $C133 &amp; ")",$B133)))), "  ", TRIM(IF($S133 = "YES", "(External ID)", "") &amp; " " &amp; IF(SUMPRODUCT(-- ISNUMBER(SEARCH({"Unique","Unique Case Insensitive"}, $R133))) &gt; 0, "(" &amp; $R133 &amp; ")", ""))))</f>
        <v>na</v>
      </c>
      <c r="E133" s="7" t="s">
        <v>195</v>
      </c>
      <c r="F133" s="7" t="s">
        <v>195</v>
      </c>
      <c r="G133" s="7" t="s">
        <v>195</v>
      </c>
      <c r="H133" s="7" t="s">
        <v>195</v>
      </c>
      <c r="I133" s="7" t="s">
        <v>195</v>
      </c>
      <c r="J133" s="7" t="s">
        <v>195</v>
      </c>
      <c r="K133" s="7" t="s">
        <v>195</v>
      </c>
      <c r="L133" s="7" t="s">
        <v>195</v>
      </c>
      <c r="M133" s="7" t="s">
        <v>29</v>
      </c>
      <c r="N133" s="7" t="s">
        <v>29</v>
      </c>
      <c r="O133" s="7" t="s">
        <v>29</v>
      </c>
      <c r="P133" s="7" t="s">
        <v>29</v>
      </c>
      <c r="Q133" s="7" t="s">
        <v>29</v>
      </c>
      <c r="R133" s="7" t="s">
        <v>29</v>
      </c>
      <c r="S133" s="7" t="s">
        <v>29</v>
      </c>
    </row>
    <row r="134" spans="2:19">
      <c r="B134" s="7" t="s">
        <v>195</v>
      </c>
      <c r="C134" s="8" t="s">
        <v>195</v>
      </c>
      <c r="D134" s="5" t="str">
        <f>LRTRIM(CONCATENATE(IF(SUMPRODUCT(-- ISNUMBER(SEARCH({"Auto Number"}, $B134))) &gt; 0, $B134, IF(SUMPRODUCT(-- ISNUMBER(SEARCH({"Lookup","Master-Detail"}, $B134))) &gt; 0,$B134 &amp; "(" &amp; $E134 &amp; ")",IF(SUMPRODUCT(-- ISNUMBER(SEARCH({"Formula","Roll-Up Summary"}, $B134))) &gt; 0,$B134 &amp; " (" &amp; $E134 &amp; ")",IF(SUMPRODUCT(-- ISNUMBER(SEARCH({"Content","Currency","Number","Percent","Text","URL"}, $B134))) &gt; 0,$B134 &amp; "(" &amp; $C134 &amp; ")",$B134)))), "  ", TRIM(IF($S134 = "YES", "(External ID)", "") &amp; " " &amp; IF(SUMPRODUCT(-- ISNUMBER(SEARCH({"Unique","Unique Case Insensitive"}, $R134))) &gt; 0, "(" &amp; $R134 &amp; ")", ""))))</f>
        <v>na</v>
      </c>
      <c r="E134" s="7" t="s">
        <v>195</v>
      </c>
      <c r="F134" s="7" t="s">
        <v>195</v>
      </c>
      <c r="G134" s="7" t="s">
        <v>195</v>
      </c>
      <c r="H134" s="7" t="s">
        <v>195</v>
      </c>
      <c r="I134" s="7" t="s">
        <v>195</v>
      </c>
      <c r="J134" s="7" t="s">
        <v>195</v>
      </c>
      <c r="K134" s="7" t="s">
        <v>195</v>
      </c>
      <c r="L134" s="7" t="s">
        <v>195</v>
      </c>
      <c r="M134" s="7" t="s">
        <v>29</v>
      </c>
      <c r="N134" s="7" t="s">
        <v>29</v>
      </c>
      <c r="O134" s="7" t="s">
        <v>29</v>
      </c>
      <c r="P134" s="7" t="s">
        <v>29</v>
      </c>
      <c r="Q134" s="7" t="s">
        <v>29</v>
      </c>
      <c r="R134" s="7" t="s">
        <v>29</v>
      </c>
      <c r="S134" s="7" t="s">
        <v>29</v>
      </c>
    </row>
    <row r="135" spans="2:19">
      <c r="B135" s="7" t="s">
        <v>195</v>
      </c>
      <c r="C135" s="8" t="s">
        <v>195</v>
      </c>
      <c r="D135" s="5" t="str">
        <f>LRTRIM(CONCATENATE(IF(SUMPRODUCT(-- ISNUMBER(SEARCH({"Auto Number"}, $B135))) &gt; 0, $B135, IF(SUMPRODUCT(-- ISNUMBER(SEARCH({"Lookup","Master-Detail"}, $B135))) &gt; 0,$B135 &amp; "(" &amp; $E135 &amp; ")",IF(SUMPRODUCT(-- ISNUMBER(SEARCH({"Formula","Roll-Up Summary"}, $B135))) &gt; 0,$B135 &amp; " (" &amp; $E135 &amp; ")",IF(SUMPRODUCT(-- ISNUMBER(SEARCH({"Content","Currency","Number","Percent","Text","URL"}, $B135))) &gt; 0,$B135 &amp; "(" &amp; $C135 &amp; ")",$B135)))), "  ", TRIM(IF($S135 = "YES", "(External ID)", "") &amp; " " &amp; IF(SUMPRODUCT(-- ISNUMBER(SEARCH({"Unique","Unique Case Insensitive"}, $R135))) &gt; 0, "(" &amp; $R135 &amp; ")", ""))))</f>
        <v>na</v>
      </c>
      <c r="E135" s="7" t="s">
        <v>195</v>
      </c>
      <c r="F135" s="7" t="s">
        <v>195</v>
      </c>
      <c r="G135" s="7" t="s">
        <v>195</v>
      </c>
      <c r="H135" s="7" t="s">
        <v>195</v>
      </c>
      <c r="I135" s="7" t="s">
        <v>195</v>
      </c>
      <c r="J135" s="7" t="s">
        <v>195</v>
      </c>
      <c r="K135" s="7" t="s">
        <v>195</v>
      </c>
      <c r="L135" s="7" t="s">
        <v>195</v>
      </c>
      <c r="M135" s="7" t="s">
        <v>29</v>
      </c>
      <c r="N135" s="7" t="s">
        <v>29</v>
      </c>
      <c r="O135" s="7" t="s">
        <v>29</v>
      </c>
      <c r="P135" s="7" t="s">
        <v>29</v>
      </c>
      <c r="Q135" s="7" t="s">
        <v>29</v>
      </c>
      <c r="R135" s="7" t="s">
        <v>29</v>
      </c>
      <c r="S135" s="7" t="s">
        <v>29</v>
      </c>
    </row>
    <row r="136" spans="2:19">
      <c r="B136" s="7" t="s">
        <v>195</v>
      </c>
      <c r="C136" s="8" t="s">
        <v>195</v>
      </c>
      <c r="D136" s="5" t="str">
        <f>LRTRIM(CONCATENATE(IF(SUMPRODUCT(-- ISNUMBER(SEARCH({"Auto Number"}, $B136))) &gt; 0, $B136, IF(SUMPRODUCT(-- ISNUMBER(SEARCH({"Lookup","Master-Detail"}, $B136))) &gt; 0,$B136 &amp; "(" &amp; $E136 &amp; ")",IF(SUMPRODUCT(-- ISNUMBER(SEARCH({"Formula","Roll-Up Summary"}, $B136))) &gt; 0,$B136 &amp; " (" &amp; $E136 &amp; ")",IF(SUMPRODUCT(-- ISNUMBER(SEARCH({"Content","Currency","Number","Percent","Text","URL"}, $B136))) &gt; 0,$B136 &amp; "(" &amp; $C136 &amp; ")",$B136)))), "  ", TRIM(IF($S136 = "YES", "(External ID)", "") &amp; " " &amp; IF(SUMPRODUCT(-- ISNUMBER(SEARCH({"Unique","Unique Case Insensitive"}, $R136))) &gt; 0, "(" &amp; $R136 &amp; ")", ""))))</f>
        <v>na</v>
      </c>
      <c r="E136" s="7" t="s">
        <v>195</v>
      </c>
      <c r="F136" s="7" t="s">
        <v>195</v>
      </c>
      <c r="G136" s="7" t="s">
        <v>195</v>
      </c>
      <c r="H136" s="7" t="s">
        <v>195</v>
      </c>
      <c r="I136" s="7" t="s">
        <v>195</v>
      </c>
      <c r="J136" s="7" t="s">
        <v>195</v>
      </c>
      <c r="K136" s="7" t="s">
        <v>195</v>
      </c>
      <c r="L136" s="7" t="s">
        <v>195</v>
      </c>
      <c r="M136" s="7" t="s">
        <v>29</v>
      </c>
      <c r="N136" s="7" t="s">
        <v>29</v>
      </c>
      <c r="O136" s="7" t="s">
        <v>29</v>
      </c>
      <c r="P136" s="7" t="s">
        <v>29</v>
      </c>
      <c r="Q136" s="7" t="s">
        <v>29</v>
      </c>
      <c r="R136" s="7" t="s">
        <v>29</v>
      </c>
      <c r="S136" s="7" t="s">
        <v>29</v>
      </c>
    </row>
    <row r="137" spans="2:19">
      <c r="B137" s="7" t="s">
        <v>195</v>
      </c>
      <c r="C137" s="8" t="s">
        <v>195</v>
      </c>
      <c r="D137" s="5" t="str">
        <f>LRTRIM(CONCATENATE(IF(SUMPRODUCT(-- ISNUMBER(SEARCH({"Auto Number"}, $B137))) &gt; 0, $B137, IF(SUMPRODUCT(-- ISNUMBER(SEARCH({"Lookup","Master-Detail"}, $B137))) &gt; 0,$B137 &amp; "(" &amp; $E137 &amp; ")",IF(SUMPRODUCT(-- ISNUMBER(SEARCH({"Formula","Roll-Up Summary"}, $B137))) &gt; 0,$B137 &amp; " (" &amp; $E137 &amp; ")",IF(SUMPRODUCT(-- ISNUMBER(SEARCH({"Content","Currency","Number","Percent","Text","URL"}, $B137))) &gt; 0,$B137 &amp; "(" &amp; $C137 &amp; ")",$B137)))), "  ", TRIM(IF($S137 = "YES", "(External ID)", "") &amp; " " &amp; IF(SUMPRODUCT(-- ISNUMBER(SEARCH({"Unique","Unique Case Insensitive"}, $R137))) &gt; 0, "(" &amp; $R137 &amp; ")", ""))))</f>
        <v>na</v>
      </c>
      <c r="E137" s="7" t="s">
        <v>195</v>
      </c>
      <c r="F137" s="7" t="s">
        <v>195</v>
      </c>
      <c r="G137" s="7" t="s">
        <v>195</v>
      </c>
      <c r="H137" s="7" t="s">
        <v>195</v>
      </c>
      <c r="I137" s="7" t="s">
        <v>195</v>
      </c>
      <c r="J137" s="7" t="s">
        <v>195</v>
      </c>
      <c r="K137" s="7" t="s">
        <v>195</v>
      </c>
      <c r="L137" s="7" t="s">
        <v>195</v>
      </c>
      <c r="M137" s="7" t="s">
        <v>29</v>
      </c>
      <c r="N137" s="7" t="s">
        <v>29</v>
      </c>
      <c r="O137" s="7" t="s">
        <v>29</v>
      </c>
      <c r="P137" s="7" t="s">
        <v>29</v>
      </c>
      <c r="Q137" s="7" t="s">
        <v>29</v>
      </c>
      <c r="R137" s="7" t="s">
        <v>29</v>
      </c>
      <c r="S137" s="7" t="s">
        <v>29</v>
      </c>
    </row>
    <row r="138" spans="2:19">
      <c r="B138" s="7" t="s">
        <v>195</v>
      </c>
      <c r="C138" s="8" t="s">
        <v>195</v>
      </c>
      <c r="D138" s="5" t="str">
        <f>LRTRIM(CONCATENATE(IF(SUMPRODUCT(-- ISNUMBER(SEARCH({"Auto Number"}, $B138))) &gt; 0, $B138, IF(SUMPRODUCT(-- ISNUMBER(SEARCH({"Lookup","Master-Detail"}, $B138))) &gt; 0,$B138 &amp; "(" &amp; $E138 &amp; ")",IF(SUMPRODUCT(-- ISNUMBER(SEARCH({"Formula","Roll-Up Summary"}, $B138))) &gt; 0,$B138 &amp; " (" &amp; $E138 &amp; ")",IF(SUMPRODUCT(-- ISNUMBER(SEARCH({"Content","Currency","Number","Percent","Text","URL"}, $B138))) &gt; 0,$B138 &amp; "(" &amp; $C138 &amp; ")",$B138)))), "  ", TRIM(IF($S138 = "YES", "(External ID)", "") &amp; " " &amp; IF(SUMPRODUCT(-- ISNUMBER(SEARCH({"Unique","Unique Case Insensitive"}, $R138))) &gt; 0, "(" &amp; $R138 &amp; ")", ""))))</f>
        <v>na</v>
      </c>
      <c r="E138" s="7" t="s">
        <v>195</v>
      </c>
      <c r="F138" s="7" t="s">
        <v>195</v>
      </c>
      <c r="G138" s="7" t="s">
        <v>195</v>
      </c>
      <c r="H138" s="7" t="s">
        <v>195</v>
      </c>
      <c r="I138" s="7" t="s">
        <v>195</v>
      </c>
      <c r="J138" s="7" t="s">
        <v>195</v>
      </c>
      <c r="K138" s="7" t="s">
        <v>195</v>
      </c>
      <c r="L138" s="7" t="s">
        <v>195</v>
      </c>
      <c r="M138" s="7" t="s">
        <v>29</v>
      </c>
      <c r="N138" s="7" t="s">
        <v>29</v>
      </c>
      <c r="O138" s="7" t="s">
        <v>29</v>
      </c>
      <c r="P138" s="7" t="s">
        <v>29</v>
      </c>
      <c r="Q138" s="7" t="s">
        <v>29</v>
      </c>
      <c r="R138" s="7" t="s">
        <v>29</v>
      </c>
      <c r="S138" s="7" t="s">
        <v>29</v>
      </c>
    </row>
    <row r="139" spans="2:19">
      <c r="B139" s="7" t="s">
        <v>195</v>
      </c>
      <c r="C139" s="8" t="s">
        <v>195</v>
      </c>
      <c r="D139" s="5" t="str">
        <f>LRTRIM(CONCATENATE(IF(SUMPRODUCT(-- ISNUMBER(SEARCH({"Auto Number"}, $B139))) &gt; 0, $B139, IF(SUMPRODUCT(-- ISNUMBER(SEARCH({"Lookup","Master-Detail"}, $B139))) &gt; 0,$B139 &amp; "(" &amp; $E139 &amp; ")",IF(SUMPRODUCT(-- ISNUMBER(SEARCH({"Formula","Roll-Up Summary"}, $B139))) &gt; 0,$B139 &amp; " (" &amp; $E139 &amp; ")",IF(SUMPRODUCT(-- ISNUMBER(SEARCH({"Content","Currency","Number","Percent","Text","URL"}, $B139))) &gt; 0,$B139 &amp; "(" &amp; $C139 &amp; ")",$B139)))), "  ", TRIM(IF($S139 = "YES", "(External ID)", "") &amp; " " &amp; IF(SUMPRODUCT(-- ISNUMBER(SEARCH({"Unique","Unique Case Insensitive"}, $R139))) &gt; 0, "(" &amp; $R139 &amp; ")", ""))))</f>
        <v>na</v>
      </c>
      <c r="E139" s="7" t="s">
        <v>195</v>
      </c>
      <c r="F139" s="7" t="s">
        <v>195</v>
      </c>
      <c r="G139" s="7" t="s">
        <v>195</v>
      </c>
      <c r="H139" s="7" t="s">
        <v>195</v>
      </c>
      <c r="I139" s="7" t="s">
        <v>195</v>
      </c>
      <c r="J139" s="7" t="s">
        <v>195</v>
      </c>
      <c r="K139" s="7" t="s">
        <v>195</v>
      </c>
      <c r="L139" s="7" t="s">
        <v>195</v>
      </c>
      <c r="M139" s="7" t="s">
        <v>29</v>
      </c>
      <c r="N139" s="7" t="s">
        <v>29</v>
      </c>
      <c r="O139" s="7" t="s">
        <v>29</v>
      </c>
      <c r="P139" s="7" t="s">
        <v>29</v>
      </c>
      <c r="Q139" s="7" t="s">
        <v>29</v>
      </c>
      <c r="R139" s="7" t="s">
        <v>29</v>
      </c>
      <c r="S139" s="7" t="s">
        <v>29</v>
      </c>
    </row>
    <row r="140" spans="2:19">
      <c r="B140" s="7" t="s">
        <v>195</v>
      </c>
      <c r="C140" s="8" t="s">
        <v>195</v>
      </c>
      <c r="D140" s="5" t="str">
        <f>LRTRIM(CONCATENATE(IF(SUMPRODUCT(-- ISNUMBER(SEARCH({"Auto Number"}, $B140))) &gt; 0, $B140, IF(SUMPRODUCT(-- ISNUMBER(SEARCH({"Lookup","Master-Detail"}, $B140))) &gt; 0,$B140 &amp; "(" &amp; $E140 &amp; ")",IF(SUMPRODUCT(-- ISNUMBER(SEARCH({"Formula","Roll-Up Summary"}, $B140))) &gt; 0,$B140 &amp; " (" &amp; $E140 &amp; ")",IF(SUMPRODUCT(-- ISNUMBER(SEARCH({"Content","Currency","Number","Percent","Text","URL"}, $B140))) &gt; 0,$B140 &amp; "(" &amp; $C140 &amp; ")",$B140)))), "  ", TRIM(IF($S140 = "YES", "(External ID)", "") &amp; " " &amp; IF(SUMPRODUCT(-- ISNUMBER(SEARCH({"Unique","Unique Case Insensitive"}, $R140))) &gt; 0, "(" &amp; $R140 &amp; ")", ""))))</f>
        <v>na</v>
      </c>
      <c r="E140" s="7" t="s">
        <v>195</v>
      </c>
      <c r="F140" s="7" t="s">
        <v>195</v>
      </c>
      <c r="G140" s="7" t="s">
        <v>195</v>
      </c>
      <c r="H140" s="7" t="s">
        <v>195</v>
      </c>
      <c r="I140" s="7" t="s">
        <v>195</v>
      </c>
      <c r="J140" s="7" t="s">
        <v>195</v>
      </c>
      <c r="K140" s="7" t="s">
        <v>195</v>
      </c>
      <c r="L140" s="7" t="s">
        <v>195</v>
      </c>
      <c r="M140" s="7" t="s">
        <v>29</v>
      </c>
      <c r="N140" s="7" t="s">
        <v>29</v>
      </c>
      <c r="O140" s="7" t="s">
        <v>29</v>
      </c>
      <c r="P140" s="7" t="s">
        <v>29</v>
      </c>
      <c r="Q140" s="7" t="s">
        <v>29</v>
      </c>
      <c r="R140" s="7" t="s">
        <v>29</v>
      </c>
      <c r="S140" s="7" t="s">
        <v>29</v>
      </c>
    </row>
    <row r="141" spans="2:19">
      <c r="B141" s="7" t="s">
        <v>195</v>
      </c>
      <c r="C141" s="8" t="s">
        <v>195</v>
      </c>
      <c r="D141" s="5" t="str">
        <f>LRTRIM(CONCATENATE(IF(SUMPRODUCT(-- ISNUMBER(SEARCH({"Auto Number"}, $B141))) &gt; 0, $B141, IF(SUMPRODUCT(-- ISNUMBER(SEARCH({"Lookup","Master-Detail"}, $B141))) &gt; 0,$B141 &amp; "(" &amp; $E141 &amp; ")",IF(SUMPRODUCT(-- ISNUMBER(SEARCH({"Formula","Roll-Up Summary"}, $B141))) &gt; 0,$B141 &amp; " (" &amp; $E141 &amp; ")",IF(SUMPRODUCT(-- ISNUMBER(SEARCH({"Content","Currency","Number","Percent","Text","URL"}, $B141))) &gt; 0,$B141 &amp; "(" &amp; $C141 &amp; ")",$B141)))), "  ", TRIM(IF($S141 = "YES", "(External ID)", "") &amp; " " &amp; IF(SUMPRODUCT(-- ISNUMBER(SEARCH({"Unique","Unique Case Insensitive"}, $R141))) &gt; 0, "(" &amp; $R141 &amp; ")", ""))))</f>
        <v>na</v>
      </c>
      <c r="E141" s="7" t="s">
        <v>195</v>
      </c>
      <c r="F141" s="7" t="s">
        <v>195</v>
      </c>
      <c r="G141" s="7" t="s">
        <v>195</v>
      </c>
      <c r="H141" s="7" t="s">
        <v>195</v>
      </c>
      <c r="I141" s="7" t="s">
        <v>195</v>
      </c>
      <c r="J141" s="7" t="s">
        <v>195</v>
      </c>
      <c r="K141" s="7" t="s">
        <v>195</v>
      </c>
      <c r="L141" s="7" t="s">
        <v>195</v>
      </c>
      <c r="M141" s="7" t="s">
        <v>29</v>
      </c>
      <c r="N141" s="7" t="s">
        <v>29</v>
      </c>
      <c r="O141" s="7" t="s">
        <v>29</v>
      </c>
      <c r="P141" s="7" t="s">
        <v>29</v>
      </c>
      <c r="Q141" s="7" t="s">
        <v>29</v>
      </c>
      <c r="R141" s="7" t="s">
        <v>29</v>
      </c>
      <c r="S141" s="7" t="s">
        <v>29</v>
      </c>
    </row>
    <row r="142" spans="2:19">
      <c r="B142" s="7" t="s">
        <v>195</v>
      </c>
      <c r="C142" s="8" t="s">
        <v>195</v>
      </c>
      <c r="D142" s="5" t="str">
        <f>LRTRIM(CONCATENATE(IF(SUMPRODUCT(-- ISNUMBER(SEARCH({"Auto Number"}, $B142))) &gt; 0, $B142, IF(SUMPRODUCT(-- ISNUMBER(SEARCH({"Lookup","Master-Detail"}, $B142))) &gt; 0,$B142 &amp; "(" &amp; $E142 &amp; ")",IF(SUMPRODUCT(-- ISNUMBER(SEARCH({"Formula","Roll-Up Summary"}, $B142))) &gt; 0,$B142 &amp; " (" &amp; $E142 &amp; ")",IF(SUMPRODUCT(-- ISNUMBER(SEARCH({"Content","Currency","Number","Percent","Text","URL"}, $B142))) &gt; 0,$B142 &amp; "(" &amp; $C142 &amp; ")",$B142)))), "  ", TRIM(IF($S142 = "YES", "(External ID)", "") &amp; " " &amp; IF(SUMPRODUCT(-- ISNUMBER(SEARCH({"Unique","Unique Case Insensitive"}, $R142))) &gt; 0, "(" &amp; $R142 &amp; ")", ""))))</f>
        <v>na</v>
      </c>
      <c r="E142" s="7" t="s">
        <v>195</v>
      </c>
      <c r="F142" s="7" t="s">
        <v>195</v>
      </c>
      <c r="G142" s="7" t="s">
        <v>195</v>
      </c>
      <c r="H142" s="7" t="s">
        <v>195</v>
      </c>
      <c r="I142" s="7" t="s">
        <v>195</v>
      </c>
      <c r="J142" s="7" t="s">
        <v>195</v>
      </c>
      <c r="K142" s="7" t="s">
        <v>195</v>
      </c>
      <c r="L142" s="7" t="s">
        <v>195</v>
      </c>
      <c r="M142" s="7" t="s">
        <v>29</v>
      </c>
      <c r="N142" s="7" t="s">
        <v>29</v>
      </c>
      <c r="O142" s="7" t="s">
        <v>29</v>
      </c>
      <c r="P142" s="7" t="s">
        <v>29</v>
      </c>
      <c r="Q142" s="7" t="s">
        <v>29</v>
      </c>
      <c r="R142" s="7" t="s">
        <v>29</v>
      </c>
      <c r="S142" s="7" t="s">
        <v>29</v>
      </c>
    </row>
    <row r="143" spans="2:19">
      <c r="B143" s="7" t="s">
        <v>195</v>
      </c>
      <c r="C143" s="8" t="s">
        <v>195</v>
      </c>
      <c r="D143" s="5" t="str">
        <f>LRTRIM(CONCATENATE(IF(SUMPRODUCT(-- ISNUMBER(SEARCH({"Auto Number"}, $B143))) &gt; 0, $B143, IF(SUMPRODUCT(-- ISNUMBER(SEARCH({"Lookup","Master-Detail"}, $B143))) &gt; 0,$B143 &amp; "(" &amp; $E143 &amp; ")",IF(SUMPRODUCT(-- ISNUMBER(SEARCH({"Formula","Roll-Up Summary"}, $B143))) &gt; 0,$B143 &amp; " (" &amp; $E143 &amp; ")",IF(SUMPRODUCT(-- ISNUMBER(SEARCH({"Content","Currency","Number","Percent","Text","URL"}, $B143))) &gt; 0,$B143 &amp; "(" &amp; $C143 &amp; ")",$B143)))), "  ", TRIM(IF($S143 = "YES", "(External ID)", "") &amp; " " &amp; IF(SUMPRODUCT(-- ISNUMBER(SEARCH({"Unique","Unique Case Insensitive"}, $R143))) &gt; 0, "(" &amp; $R143 &amp; ")", ""))))</f>
        <v>na</v>
      </c>
      <c r="E143" s="7" t="s">
        <v>195</v>
      </c>
      <c r="F143" s="7" t="s">
        <v>195</v>
      </c>
      <c r="G143" s="7" t="s">
        <v>195</v>
      </c>
      <c r="H143" s="7" t="s">
        <v>195</v>
      </c>
      <c r="I143" s="7" t="s">
        <v>195</v>
      </c>
      <c r="J143" s="7" t="s">
        <v>195</v>
      </c>
      <c r="K143" s="7" t="s">
        <v>195</v>
      </c>
      <c r="L143" s="7" t="s">
        <v>195</v>
      </c>
      <c r="M143" s="7" t="s">
        <v>29</v>
      </c>
      <c r="N143" s="7" t="s">
        <v>29</v>
      </c>
      <c r="O143" s="7" t="s">
        <v>29</v>
      </c>
      <c r="P143" s="7" t="s">
        <v>29</v>
      </c>
      <c r="Q143" s="7" t="s">
        <v>29</v>
      </c>
      <c r="R143" s="7" t="s">
        <v>29</v>
      </c>
      <c r="S143" s="7" t="s">
        <v>29</v>
      </c>
    </row>
    <row r="144" spans="2:19">
      <c r="B144" s="7" t="s">
        <v>195</v>
      </c>
      <c r="C144" s="8" t="s">
        <v>195</v>
      </c>
      <c r="D144" s="5" t="str">
        <f>LRTRIM(CONCATENATE(IF(SUMPRODUCT(-- ISNUMBER(SEARCH({"Auto Number"}, $B144))) &gt; 0, $B144, IF(SUMPRODUCT(-- ISNUMBER(SEARCH({"Lookup","Master-Detail"}, $B144))) &gt; 0,$B144 &amp; "(" &amp; $E144 &amp; ")",IF(SUMPRODUCT(-- ISNUMBER(SEARCH({"Formula","Roll-Up Summary"}, $B144))) &gt; 0,$B144 &amp; " (" &amp; $E144 &amp; ")",IF(SUMPRODUCT(-- ISNUMBER(SEARCH({"Content","Currency","Number","Percent","Text","URL"}, $B144))) &gt; 0,$B144 &amp; "(" &amp; $C144 &amp; ")",$B144)))), "  ", TRIM(IF($S144 = "YES", "(External ID)", "") &amp; " " &amp; IF(SUMPRODUCT(-- ISNUMBER(SEARCH({"Unique","Unique Case Insensitive"}, $R144))) &gt; 0, "(" &amp; $R144 &amp; ")", ""))))</f>
        <v>na</v>
      </c>
      <c r="E144" s="7" t="s">
        <v>195</v>
      </c>
      <c r="F144" s="7" t="s">
        <v>195</v>
      </c>
      <c r="G144" s="7" t="s">
        <v>195</v>
      </c>
      <c r="H144" s="7" t="s">
        <v>195</v>
      </c>
      <c r="I144" s="7" t="s">
        <v>195</v>
      </c>
      <c r="J144" s="7" t="s">
        <v>195</v>
      </c>
      <c r="K144" s="7" t="s">
        <v>195</v>
      </c>
      <c r="L144" s="7" t="s">
        <v>195</v>
      </c>
      <c r="M144" s="7" t="s">
        <v>29</v>
      </c>
      <c r="N144" s="7" t="s">
        <v>29</v>
      </c>
      <c r="O144" s="7" t="s">
        <v>29</v>
      </c>
      <c r="P144" s="7" t="s">
        <v>29</v>
      </c>
      <c r="Q144" s="7" t="s">
        <v>29</v>
      </c>
      <c r="R144" s="7" t="s">
        <v>29</v>
      </c>
      <c r="S144" s="7" t="s">
        <v>29</v>
      </c>
    </row>
    <row r="145" spans="2:19">
      <c r="B145" s="7" t="s">
        <v>195</v>
      </c>
      <c r="C145" s="8" t="s">
        <v>195</v>
      </c>
      <c r="D145" s="5" t="str">
        <f>LRTRIM(CONCATENATE(IF(SUMPRODUCT(-- ISNUMBER(SEARCH({"Auto Number"}, $B145))) &gt; 0, $B145, IF(SUMPRODUCT(-- ISNUMBER(SEARCH({"Lookup","Master-Detail"}, $B145))) &gt; 0,$B145 &amp; "(" &amp; $E145 &amp; ")",IF(SUMPRODUCT(-- ISNUMBER(SEARCH({"Formula","Roll-Up Summary"}, $B145))) &gt; 0,$B145 &amp; " (" &amp; $E145 &amp; ")",IF(SUMPRODUCT(-- ISNUMBER(SEARCH({"Content","Currency","Number","Percent","Text","URL"}, $B145))) &gt; 0,$B145 &amp; "(" &amp; $C145 &amp; ")",$B145)))), "  ", TRIM(IF($S145 = "YES", "(External ID)", "") &amp; " " &amp; IF(SUMPRODUCT(-- ISNUMBER(SEARCH({"Unique","Unique Case Insensitive"}, $R145))) &gt; 0, "(" &amp; $R145 &amp; ")", ""))))</f>
        <v>na</v>
      </c>
      <c r="E145" s="7" t="s">
        <v>195</v>
      </c>
      <c r="F145" s="7" t="s">
        <v>195</v>
      </c>
      <c r="G145" s="7" t="s">
        <v>195</v>
      </c>
      <c r="H145" s="7" t="s">
        <v>195</v>
      </c>
      <c r="I145" s="7" t="s">
        <v>195</v>
      </c>
      <c r="J145" s="7" t="s">
        <v>195</v>
      </c>
      <c r="K145" s="7" t="s">
        <v>195</v>
      </c>
      <c r="L145" s="7" t="s">
        <v>195</v>
      </c>
      <c r="M145" s="7" t="s">
        <v>29</v>
      </c>
      <c r="N145" s="7" t="s">
        <v>29</v>
      </c>
      <c r="O145" s="7" t="s">
        <v>29</v>
      </c>
      <c r="P145" s="7" t="s">
        <v>29</v>
      </c>
      <c r="Q145" s="7" t="s">
        <v>29</v>
      </c>
      <c r="R145" s="7" t="s">
        <v>29</v>
      </c>
      <c r="S145" s="7" t="s">
        <v>29</v>
      </c>
    </row>
    <row r="146" spans="2:19">
      <c r="B146" s="7" t="s">
        <v>195</v>
      </c>
      <c r="C146" s="8" t="s">
        <v>195</v>
      </c>
      <c r="D146" s="5" t="str">
        <f>LRTRIM(CONCATENATE(IF(SUMPRODUCT(-- ISNUMBER(SEARCH({"Auto Number"}, $B146))) &gt; 0, $B146, IF(SUMPRODUCT(-- ISNUMBER(SEARCH({"Lookup","Master-Detail"}, $B146))) &gt; 0,$B146 &amp; "(" &amp; $E146 &amp; ")",IF(SUMPRODUCT(-- ISNUMBER(SEARCH({"Formula","Roll-Up Summary"}, $B146))) &gt; 0,$B146 &amp; " (" &amp; $E146 &amp; ")",IF(SUMPRODUCT(-- ISNUMBER(SEARCH({"Content","Currency","Number","Percent","Text","URL"}, $B146))) &gt; 0,$B146 &amp; "(" &amp; $C146 &amp; ")",$B146)))), "  ", TRIM(IF($S146 = "YES", "(External ID)", "") &amp; " " &amp; IF(SUMPRODUCT(-- ISNUMBER(SEARCH({"Unique","Unique Case Insensitive"}, $R146))) &gt; 0, "(" &amp; $R146 &amp; ")", ""))))</f>
        <v>na</v>
      </c>
      <c r="E146" s="7" t="s">
        <v>195</v>
      </c>
      <c r="F146" s="7" t="s">
        <v>195</v>
      </c>
      <c r="G146" s="7" t="s">
        <v>195</v>
      </c>
      <c r="H146" s="7" t="s">
        <v>195</v>
      </c>
      <c r="I146" s="7" t="s">
        <v>195</v>
      </c>
      <c r="J146" s="7" t="s">
        <v>195</v>
      </c>
      <c r="K146" s="7" t="s">
        <v>195</v>
      </c>
      <c r="L146" s="7" t="s">
        <v>195</v>
      </c>
      <c r="M146" s="7" t="s">
        <v>29</v>
      </c>
      <c r="N146" s="7" t="s">
        <v>29</v>
      </c>
      <c r="O146" s="7" t="s">
        <v>29</v>
      </c>
      <c r="P146" s="7" t="s">
        <v>29</v>
      </c>
      <c r="Q146" s="7" t="s">
        <v>29</v>
      </c>
      <c r="R146" s="7" t="s">
        <v>29</v>
      </c>
      <c r="S146" s="7" t="s">
        <v>29</v>
      </c>
    </row>
    <row r="147" spans="2:19">
      <c r="B147" s="7" t="s">
        <v>195</v>
      </c>
      <c r="C147" s="8" t="s">
        <v>195</v>
      </c>
      <c r="D147" s="5" t="str">
        <f>LRTRIM(CONCATENATE(IF(SUMPRODUCT(-- ISNUMBER(SEARCH({"Auto Number"}, $B147))) &gt; 0, $B147, IF(SUMPRODUCT(-- ISNUMBER(SEARCH({"Lookup","Master-Detail"}, $B147))) &gt; 0,$B147 &amp; "(" &amp; $E147 &amp; ")",IF(SUMPRODUCT(-- ISNUMBER(SEARCH({"Formula","Roll-Up Summary"}, $B147))) &gt; 0,$B147 &amp; " (" &amp; $E147 &amp; ")",IF(SUMPRODUCT(-- ISNUMBER(SEARCH({"Content","Currency","Number","Percent","Text","URL"}, $B147))) &gt; 0,$B147 &amp; "(" &amp; $C147 &amp; ")",$B147)))), "  ", TRIM(IF($S147 = "YES", "(External ID)", "") &amp; " " &amp; IF(SUMPRODUCT(-- ISNUMBER(SEARCH({"Unique","Unique Case Insensitive"}, $R147))) &gt; 0, "(" &amp; $R147 &amp; ")", ""))))</f>
        <v>na</v>
      </c>
      <c r="E147" s="7" t="s">
        <v>195</v>
      </c>
      <c r="F147" s="7" t="s">
        <v>195</v>
      </c>
      <c r="G147" s="7" t="s">
        <v>195</v>
      </c>
      <c r="H147" s="7" t="s">
        <v>195</v>
      </c>
      <c r="I147" s="7" t="s">
        <v>195</v>
      </c>
      <c r="J147" s="7" t="s">
        <v>195</v>
      </c>
      <c r="K147" s="7" t="s">
        <v>195</v>
      </c>
      <c r="L147" s="7" t="s">
        <v>195</v>
      </c>
      <c r="M147" s="7" t="s">
        <v>29</v>
      </c>
      <c r="N147" s="7" t="s">
        <v>29</v>
      </c>
      <c r="O147" s="7" t="s">
        <v>29</v>
      </c>
      <c r="P147" s="7" t="s">
        <v>29</v>
      </c>
      <c r="Q147" s="7" t="s">
        <v>29</v>
      </c>
      <c r="R147" s="7" t="s">
        <v>29</v>
      </c>
      <c r="S147" s="7" t="s">
        <v>29</v>
      </c>
    </row>
    <row r="148" spans="2:19">
      <c r="B148" s="7" t="s">
        <v>195</v>
      </c>
      <c r="C148" s="8" t="s">
        <v>195</v>
      </c>
      <c r="D148" s="5" t="str">
        <f>LRTRIM(CONCATENATE(IF(SUMPRODUCT(-- ISNUMBER(SEARCH({"Auto Number"}, $B148))) &gt; 0, $B148, IF(SUMPRODUCT(-- ISNUMBER(SEARCH({"Lookup","Master-Detail"}, $B148))) &gt; 0,$B148 &amp; "(" &amp; $E148 &amp; ")",IF(SUMPRODUCT(-- ISNUMBER(SEARCH({"Formula","Roll-Up Summary"}, $B148))) &gt; 0,$B148 &amp; " (" &amp; $E148 &amp; ")",IF(SUMPRODUCT(-- ISNUMBER(SEARCH({"Content","Currency","Number","Percent","Text","URL"}, $B148))) &gt; 0,$B148 &amp; "(" &amp; $C148 &amp; ")",$B148)))), "  ", TRIM(IF($S148 = "YES", "(External ID)", "") &amp; " " &amp; IF(SUMPRODUCT(-- ISNUMBER(SEARCH({"Unique","Unique Case Insensitive"}, $R148))) &gt; 0, "(" &amp; $R148 &amp; ")", ""))))</f>
        <v>na</v>
      </c>
      <c r="E148" s="7" t="s">
        <v>195</v>
      </c>
      <c r="F148" s="7" t="s">
        <v>195</v>
      </c>
      <c r="G148" s="7" t="s">
        <v>195</v>
      </c>
      <c r="H148" s="7" t="s">
        <v>195</v>
      </c>
      <c r="I148" s="7" t="s">
        <v>195</v>
      </c>
      <c r="J148" s="7" t="s">
        <v>195</v>
      </c>
      <c r="K148" s="7" t="s">
        <v>195</v>
      </c>
      <c r="L148" s="7" t="s">
        <v>195</v>
      </c>
      <c r="M148" s="7" t="s">
        <v>29</v>
      </c>
      <c r="N148" s="7" t="s">
        <v>29</v>
      </c>
      <c r="O148" s="7" t="s">
        <v>29</v>
      </c>
      <c r="P148" s="7" t="s">
        <v>29</v>
      </c>
      <c r="Q148" s="7" t="s">
        <v>29</v>
      </c>
      <c r="R148" s="7" t="s">
        <v>29</v>
      </c>
      <c r="S148" s="7" t="s">
        <v>29</v>
      </c>
    </row>
    <row r="149" spans="2:19">
      <c r="B149" s="7" t="s">
        <v>195</v>
      </c>
      <c r="C149" s="8" t="s">
        <v>195</v>
      </c>
      <c r="D149" s="5" t="str">
        <f>LRTRIM(CONCATENATE(IF(SUMPRODUCT(-- ISNUMBER(SEARCH({"Auto Number"}, $B149))) &gt; 0, $B149, IF(SUMPRODUCT(-- ISNUMBER(SEARCH({"Lookup","Master-Detail"}, $B149))) &gt; 0,$B149 &amp; "(" &amp; $E149 &amp; ")",IF(SUMPRODUCT(-- ISNUMBER(SEARCH({"Formula","Roll-Up Summary"}, $B149))) &gt; 0,$B149 &amp; " (" &amp; $E149 &amp; ")",IF(SUMPRODUCT(-- ISNUMBER(SEARCH({"Content","Currency","Number","Percent","Text","URL"}, $B149))) &gt; 0,$B149 &amp; "(" &amp; $C149 &amp; ")",$B149)))), "  ", TRIM(IF($S149 = "YES", "(External ID)", "") &amp; " " &amp; IF(SUMPRODUCT(-- ISNUMBER(SEARCH({"Unique","Unique Case Insensitive"}, $R149))) &gt; 0, "(" &amp; $R149 &amp; ")", ""))))</f>
        <v>na</v>
      </c>
      <c r="E149" s="7" t="s">
        <v>195</v>
      </c>
      <c r="F149" s="7" t="s">
        <v>195</v>
      </c>
      <c r="G149" s="7" t="s">
        <v>195</v>
      </c>
      <c r="H149" s="7" t="s">
        <v>195</v>
      </c>
      <c r="I149" s="7" t="s">
        <v>195</v>
      </c>
      <c r="J149" s="7" t="s">
        <v>195</v>
      </c>
      <c r="K149" s="7" t="s">
        <v>195</v>
      </c>
      <c r="L149" s="7" t="s">
        <v>195</v>
      </c>
      <c r="M149" s="7" t="s">
        <v>29</v>
      </c>
      <c r="N149" s="7" t="s">
        <v>29</v>
      </c>
      <c r="O149" s="7" t="s">
        <v>29</v>
      </c>
      <c r="P149" s="7" t="s">
        <v>29</v>
      </c>
      <c r="Q149" s="7" t="s">
        <v>29</v>
      </c>
      <c r="R149" s="7" t="s">
        <v>29</v>
      </c>
      <c r="S149" s="7" t="s">
        <v>29</v>
      </c>
    </row>
    <row r="150" spans="2:19">
      <c r="B150" s="7" t="s">
        <v>195</v>
      </c>
      <c r="C150" s="8" t="s">
        <v>195</v>
      </c>
      <c r="D150" s="5" t="str">
        <f>LRTRIM(CONCATENATE(IF(SUMPRODUCT(-- ISNUMBER(SEARCH({"Auto Number"}, $B150))) &gt; 0, $B150, IF(SUMPRODUCT(-- ISNUMBER(SEARCH({"Lookup","Master-Detail"}, $B150))) &gt; 0,$B150 &amp; "(" &amp; $E150 &amp; ")",IF(SUMPRODUCT(-- ISNUMBER(SEARCH({"Formula","Roll-Up Summary"}, $B150))) &gt; 0,$B150 &amp; " (" &amp; $E150 &amp; ")",IF(SUMPRODUCT(-- ISNUMBER(SEARCH({"Content","Currency","Number","Percent","Text","URL"}, $B150))) &gt; 0,$B150 &amp; "(" &amp; $C150 &amp; ")",$B150)))), "  ", TRIM(IF($S150 = "YES", "(External ID)", "") &amp; " " &amp; IF(SUMPRODUCT(-- ISNUMBER(SEARCH({"Unique","Unique Case Insensitive"}, $R150))) &gt; 0, "(" &amp; $R150 &amp; ")", ""))))</f>
        <v>na</v>
      </c>
      <c r="E150" s="7" t="s">
        <v>195</v>
      </c>
      <c r="F150" s="7" t="s">
        <v>195</v>
      </c>
      <c r="G150" s="7" t="s">
        <v>195</v>
      </c>
      <c r="H150" s="7" t="s">
        <v>195</v>
      </c>
      <c r="I150" s="7" t="s">
        <v>195</v>
      </c>
      <c r="J150" s="7" t="s">
        <v>195</v>
      </c>
      <c r="K150" s="7" t="s">
        <v>195</v>
      </c>
      <c r="L150" s="7" t="s">
        <v>195</v>
      </c>
      <c r="M150" s="7" t="s">
        <v>29</v>
      </c>
      <c r="N150" s="7" t="s">
        <v>29</v>
      </c>
      <c r="O150" s="7" t="s">
        <v>29</v>
      </c>
      <c r="P150" s="7" t="s">
        <v>29</v>
      </c>
      <c r="Q150" s="7" t="s">
        <v>29</v>
      </c>
      <c r="R150" s="7" t="s">
        <v>29</v>
      </c>
      <c r="S150" s="7" t="s">
        <v>29</v>
      </c>
    </row>
    <row r="151" spans="2:19">
      <c r="B151" s="7" t="s">
        <v>195</v>
      </c>
      <c r="C151" s="8" t="s">
        <v>195</v>
      </c>
      <c r="D151" s="5" t="str">
        <f>LRTRIM(CONCATENATE(IF(SUMPRODUCT(-- ISNUMBER(SEARCH({"Auto Number"}, $B151))) &gt; 0, $B151, IF(SUMPRODUCT(-- ISNUMBER(SEARCH({"Lookup","Master-Detail"}, $B151))) &gt; 0,$B151 &amp; "(" &amp; $E151 &amp; ")",IF(SUMPRODUCT(-- ISNUMBER(SEARCH({"Formula","Roll-Up Summary"}, $B151))) &gt; 0,$B151 &amp; " (" &amp; $E151 &amp; ")",IF(SUMPRODUCT(-- ISNUMBER(SEARCH({"Content","Currency","Number","Percent","Text","URL"}, $B151))) &gt; 0,$B151 &amp; "(" &amp; $C151 &amp; ")",$B151)))), "  ", TRIM(IF($S151 = "YES", "(External ID)", "") &amp; " " &amp; IF(SUMPRODUCT(-- ISNUMBER(SEARCH({"Unique","Unique Case Insensitive"}, $R151))) &gt; 0, "(" &amp; $R151 &amp; ")", ""))))</f>
        <v>na</v>
      </c>
      <c r="E151" s="7" t="s">
        <v>195</v>
      </c>
      <c r="F151" s="7" t="s">
        <v>195</v>
      </c>
      <c r="G151" s="7" t="s">
        <v>195</v>
      </c>
      <c r="H151" s="7" t="s">
        <v>195</v>
      </c>
      <c r="I151" s="7" t="s">
        <v>195</v>
      </c>
      <c r="J151" s="7" t="s">
        <v>195</v>
      </c>
      <c r="K151" s="7" t="s">
        <v>195</v>
      </c>
      <c r="L151" s="7" t="s">
        <v>195</v>
      </c>
      <c r="M151" s="7" t="s">
        <v>29</v>
      </c>
      <c r="N151" s="7" t="s">
        <v>29</v>
      </c>
      <c r="O151" s="7" t="s">
        <v>29</v>
      </c>
      <c r="P151" s="7" t="s">
        <v>29</v>
      </c>
      <c r="Q151" s="7" t="s">
        <v>29</v>
      </c>
      <c r="R151" s="7" t="s">
        <v>29</v>
      </c>
      <c r="S151" s="7" t="s">
        <v>29</v>
      </c>
    </row>
    <row r="152" spans="2:19">
      <c r="B152" s="7" t="s">
        <v>195</v>
      </c>
      <c r="C152" s="8" t="s">
        <v>195</v>
      </c>
      <c r="D152" s="5" t="str">
        <f>LRTRIM(CONCATENATE(IF(SUMPRODUCT(-- ISNUMBER(SEARCH({"Auto Number"}, $B152))) &gt; 0, $B152, IF(SUMPRODUCT(-- ISNUMBER(SEARCH({"Lookup","Master-Detail"}, $B152))) &gt; 0,$B152 &amp; "(" &amp; $E152 &amp; ")",IF(SUMPRODUCT(-- ISNUMBER(SEARCH({"Formula","Roll-Up Summary"}, $B152))) &gt; 0,$B152 &amp; " (" &amp; $E152 &amp; ")",IF(SUMPRODUCT(-- ISNUMBER(SEARCH({"Content","Currency","Number","Percent","Text","URL"}, $B152))) &gt; 0,$B152 &amp; "(" &amp; $C152 &amp; ")",$B152)))), "  ", TRIM(IF($S152 = "YES", "(External ID)", "") &amp; " " &amp; IF(SUMPRODUCT(-- ISNUMBER(SEARCH({"Unique","Unique Case Insensitive"}, $R152))) &gt; 0, "(" &amp; $R152 &amp; ")", ""))))</f>
        <v>na</v>
      </c>
      <c r="E152" s="7" t="s">
        <v>195</v>
      </c>
      <c r="F152" s="7" t="s">
        <v>195</v>
      </c>
      <c r="G152" s="7" t="s">
        <v>195</v>
      </c>
      <c r="H152" s="7" t="s">
        <v>195</v>
      </c>
      <c r="I152" s="7" t="s">
        <v>195</v>
      </c>
      <c r="J152" s="7" t="s">
        <v>195</v>
      </c>
      <c r="K152" s="7" t="s">
        <v>195</v>
      </c>
      <c r="L152" s="7" t="s">
        <v>195</v>
      </c>
      <c r="M152" s="7" t="s">
        <v>29</v>
      </c>
      <c r="N152" s="7" t="s">
        <v>29</v>
      </c>
      <c r="O152" s="7" t="s">
        <v>29</v>
      </c>
      <c r="P152" s="7" t="s">
        <v>29</v>
      </c>
      <c r="Q152" s="7" t="s">
        <v>29</v>
      </c>
      <c r="R152" s="7" t="s">
        <v>29</v>
      </c>
      <c r="S152" s="7" t="s">
        <v>29</v>
      </c>
    </row>
    <row r="153" spans="2:19">
      <c r="B153" s="7" t="s">
        <v>195</v>
      </c>
      <c r="C153" s="8" t="s">
        <v>195</v>
      </c>
      <c r="D153" s="5" t="str">
        <f>LRTRIM(CONCATENATE(IF(SUMPRODUCT(-- ISNUMBER(SEARCH({"Auto Number"}, $B153))) &gt; 0, $B153, IF(SUMPRODUCT(-- ISNUMBER(SEARCH({"Lookup","Master-Detail"}, $B153))) &gt; 0,$B153 &amp; "(" &amp; $E153 &amp; ")",IF(SUMPRODUCT(-- ISNUMBER(SEARCH({"Formula","Roll-Up Summary"}, $B153))) &gt; 0,$B153 &amp; " (" &amp; $E153 &amp; ")",IF(SUMPRODUCT(-- ISNUMBER(SEARCH({"Content","Currency","Number","Percent","Text","URL"}, $B153))) &gt; 0,$B153 &amp; "(" &amp; $C153 &amp; ")",$B153)))), "  ", TRIM(IF($S153 = "YES", "(External ID)", "") &amp; " " &amp; IF(SUMPRODUCT(-- ISNUMBER(SEARCH({"Unique","Unique Case Insensitive"}, $R153))) &gt; 0, "(" &amp; $R153 &amp; ")", ""))))</f>
        <v>na</v>
      </c>
      <c r="E153" s="7" t="s">
        <v>195</v>
      </c>
      <c r="F153" s="7" t="s">
        <v>195</v>
      </c>
      <c r="G153" s="7" t="s">
        <v>195</v>
      </c>
      <c r="H153" s="7" t="s">
        <v>195</v>
      </c>
      <c r="I153" s="7" t="s">
        <v>195</v>
      </c>
      <c r="J153" s="7" t="s">
        <v>195</v>
      </c>
      <c r="K153" s="7" t="s">
        <v>195</v>
      </c>
      <c r="L153" s="7" t="s">
        <v>195</v>
      </c>
      <c r="M153" s="7" t="s">
        <v>29</v>
      </c>
      <c r="N153" s="7" t="s">
        <v>29</v>
      </c>
      <c r="O153" s="7" t="s">
        <v>29</v>
      </c>
      <c r="P153" s="7" t="s">
        <v>29</v>
      </c>
      <c r="Q153" s="7" t="s">
        <v>29</v>
      </c>
      <c r="R153" s="7" t="s">
        <v>29</v>
      </c>
      <c r="S153" s="7" t="s">
        <v>29</v>
      </c>
    </row>
    <row r="154" spans="2:19">
      <c r="B154" s="7" t="s">
        <v>195</v>
      </c>
      <c r="C154" s="8" t="s">
        <v>195</v>
      </c>
      <c r="D154" s="5" t="str">
        <f>LRTRIM(CONCATENATE(IF(SUMPRODUCT(-- ISNUMBER(SEARCH({"Auto Number"}, $B154))) &gt; 0, $B154, IF(SUMPRODUCT(-- ISNUMBER(SEARCH({"Lookup","Master-Detail"}, $B154))) &gt; 0,$B154 &amp; "(" &amp; $E154 &amp; ")",IF(SUMPRODUCT(-- ISNUMBER(SEARCH({"Formula","Roll-Up Summary"}, $B154))) &gt; 0,$B154 &amp; " (" &amp; $E154 &amp; ")",IF(SUMPRODUCT(-- ISNUMBER(SEARCH({"Content","Currency","Number","Percent","Text","URL"}, $B154))) &gt; 0,$B154 &amp; "(" &amp; $C154 &amp; ")",$B154)))), "  ", TRIM(IF($S154 = "YES", "(External ID)", "") &amp; " " &amp; IF(SUMPRODUCT(-- ISNUMBER(SEARCH({"Unique","Unique Case Insensitive"}, $R154))) &gt; 0, "(" &amp; $R154 &amp; ")", ""))))</f>
        <v>na</v>
      </c>
      <c r="E154" s="7" t="s">
        <v>195</v>
      </c>
      <c r="F154" s="7" t="s">
        <v>195</v>
      </c>
      <c r="G154" s="7" t="s">
        <v>195</v>
      </c>
      <c r="H154" s="7" t="s">
        <v>195</v>
      </c>
      <c r="I154" s="7" t="s">
        <v>195</v>
      </c>
      <c r="J154" s="7" t="s">
        <v>195</v>
      </c>
      <c r="K154" s="7" t="s">
        <v>195</v>
      </c>
      <c r="L154" s="7" t="s">
        <v>195</v>
      </c>
      <c r="M154" s="7" t="s">
        <v>29</v>
      </c>
      <c r="N154" s="7" t="s">
        <v>29</v>
      </c>
      <c r="O154" s="7" t="s">
        <v>29</v>
      </c>
      <c r="P154" s="7" t="s">
        <v>29</v>
      </c>
      <c r="Q154" s="7" t="s">
        <v>29</v>
      </c>
      <c r="R154" s="7" t="s">
        <v>29</v>
      </c>
      <c r="S154" s="7" t="s">
        <v>29</v>
      </c>
    </row>
    <row r="155" spans="2:19">
      <c r="B155" s="7" t="s">
        <v>195</v>
      </c>
      <c r="C155" s="8" t="s">
        <v>195</v>
      </c>
      <c r="D155" s="5" t="str">
        <f>LRTRIM(CONCATENATE(IF(SUMPRODUCT(-- ISNUMBER(SEARCH({"Auto Number"}, $B155))) &gt; 0, $B155, IF(SUMPRODUCT(-- ISNUMBER(SEARCH({"Lookup","Master-Detail"}, $B155))) &gt; 0,$B155 &amp; "(" &amp; $E155 &amp; ")",IF(SUMPRODUCT(-- ISNUMBER(SEARCH({"Formula","Roll-Up Summary"}, $B155))) &gt; 0,$B155 &amp; " (" &amp; $E155 &amp; ")",IF(SUMPRODUCT(-- ISNUMBER(SEARCH({"Content","Currency","Number","Percent","Text","URL"}, $B155))) &gt; 0,$B155 &amp; "(" &amp; $C155 &amp; ")",$B155)))), "  ", TRIM(IF($S155 = "YES", "(External ID)", "") &amp; " " &amp; IF(SUMPRODUCT(-- ISNUMBER(SEARCH({"Unique","Unique Case Insensitive"}, $R155))) &gt; 0, "(" &amp; $R155 &amp; ")", ""))))</f>
        <v>na</v>
      </c>
      <c r="E155" s="7" t="s">
        <v>195</v>
      </c>
      <c r="F155" s="7" t="s">
        <v>195</v>
      </c>
      <c r="G155" s="7" t="s">
        <v>195</v>
      </c>
      <c r="H155" s="7" t="s">
        <v>195</v>
      </c>
      <c r="I155" s="7" t="s">
        <v>195</v>
      </c>
      <c r="J155" s="7" t="s">
        <v>195</v>
      </c>
      <c r="K155" s="7" t="s">
        <v>195</v>
      </c>
      <c r="L155" s="7" t="s">
        <v>195</v>
      </c>
      <c r="M155" s="7" t="s">
        <v>29</v>
      </c>
      <c r="N155" s="7" t="s">
        <v>29</v>
      </c>
      <c r="O155" s="7" t="s">
        <v>29</v>
      </c>
      <c r="P155" s="7" t="s">
        <v>29</v>
      </c>
      <c r="Q155" s="7" t="s">
        <v>29</v>
      </c>
      <c r="R155" s="7" t="s">
        <v>29</v>
      </c>
      <c r="S155" s="7" t="s">
        <v>29</v>
      </c>
    </row>
    <row r="156" spans="2:19">
      <c r="B156" s="7" t="s">
        <v>195</v>
      </c>
      <c r="C156" s="8" t="s">
        <v>195</v>
      </c>
      <c r="D156" s="5" t="str">
        <f>LRTRIM(CONCATENATE(IF(SUMPRODUCT(-- ISNUMBER(SEARCH({"Auto Number"}, $B156))) &gt; 0, $B156, IF(SUMPRODUCT(-- ISNUMBER(SEARCH({"Lookup","Master-Detail"}, $B156))) &gt; 0,$B156 &amp; "(" &amp; $E156 &amp; ")",IF(SUMPRODUCT(-- ISNUMBER(SEARCH({"Formula","Roll-Up Summary"}, $B156))) &gt; 0,$B156 &amp; " (" &amp; $E156 &amp; ")",IF(SUMPRODUCT(-- ISNUMBER(SEARCH({"Content","Currency","Number","Percent","Text","URL"}, $B156))) &gt; 0,$B156 &amp; "(" &amp; $C156 &amp; ")",$B156)))), "  ", TRIM(IF($S156 = "YES", "(External ID)", "") &amp; " " &amp; IF(SUMPRODUCT(-- ISNUMBER(SEARCH({"Unique","Unique Case Insensitive"}, $R156))) &gt; 0, "(" &amp; $R156 &amp; ")", ""))))</f>
        <v>na</v>
      </c>
      <c r="E156" s="7" t="s">
        <v>195</v>
      </c>
      <c r="F156" s="7" t="s">
        <v>195</v>
      </c>
      <c r="G156" s="7" t="s">
        <v>195</v>
      </c>
      <c r="H156" s="7" t="s">
        <v>195</v>
      </c>
      <c r="I156" s="7" t="s">
        <v>195</v>
      </c>
      <c r="J156" s="7" t="s">
        <v>195</v>
      </c>
      <c r="K156" s="7" t="s">
        <v>195</v>
      </c>
      <c r="L156" s="7" t="s">
        <v>195</v>
      </c>
      <c r="M156" s="7" t="s">
        <v>29</v>
      </c>
      <c r="N156" s="7" t="s">
        <v>29</v>
      </c>
      <c r="O156" s="7" t="s">
        <v>29</v>
      </c>
      <c r="P156" s="7" t="s">
        <v>29</v>
      </c>
      <c r="Q156" s="7" t="s">
        <v>29</v>
      </c>
      <c r="R156" s="7" t="s">
        <v>29</v>
      </c>
      <c r="S156" s="7" t="s">
        <v>29</v>
      </c>
    </row>
    <row r="157" spans="2:19">
      <c r="B157" s="7" t="s">
        <v>195</v>
      </c>
      <c r="C157" s="8" t="s">
        <v>195</v>
      </c>
      <c r="D157" s="5" t="str">
        <f>LRTRIM(CONCATENATE(IF(SUMPRODUCT(-- ISNUMBER(SEARCH({"Auto Number"}, $B157))) &gt; 0, $B157, IF(SUMPRODUCT(-- ISNUMBER(SEARCH({"Lookup","Master-Detail"}, $B157))) &gt; 0,$B157 &amp; "(" &amp; $E157 &amp; ")",IF(SUMPRODUCT(-- ISNUMBER(SEARCH({"Formula","Roll-Up Summary"}, $B157))) &gt; 0,$B157 &amp; " (" &amp; $E157 &amp; ")",IF(SUMPRODUCT(-- ISNUMBER(SEARCH({"Content","Currency","Number","Percent","Text","URL"}, $B157))) &gt; 0,$B157 &amp; "(" &amp; $C157 &amp; ")",$B157)))), "  ", TRIM(IF($S157 = "YES", "(External ID)", "") &amp; " " &amp; IF(SUMPRODUCT(-- ISNUMBER(SEARCH({"Unique","Unique Case Insensitive"}, $R157))) &gt; 0, "(" &amp; $R157 &amp; ")", ""))))</f>
        <v>na</v>
      </c>
      <c r="E157" s="7" t="s">
        <v>195</v>
      </c>
      <c r="F157" s="7" t="s">
        <v>195</v>
      </c>
      <c r="G157" s="7" t="s">
        <v>195</v>
      </c>
      <c r="H157" s="7" t="s">
        <v>195</v>
      </c>
      <c r="I157" s="7" t="s">
        <v>195</v>
      </c>
      <c r="J157" s="7" t="s">
        <v>195</v>
      </c>
      <c r="K157" s="7" t="s">
        <v>195</v>
      </c>
      <c r="L157" s="7" t="s">
        <v>195</v>
      </c>
      <c r="M157" s="7" t="s">
        <v>29</v>
      </c>
      <c r="N157" s="7" t="s">
        <v>29</v>
      </c>
      <c r="O157" s="7" t="s">
        <v>29</v>
      </c>
      <c r="P157" s="7" t="s">
        <v>29</v>
      </c>
      <c r="Q157" s="7" t="s">
        <v>29</v>
      </c>
      <c r="R157" s="7" t="s">
        <v>29</v>
      </c>
      <c r="S157" s="7" t="s">
        <v>29</v>
      </c>
    </row>
    <row r="158" spans="2:19">
      <c r="B158" s="7" t="s">
        <v>195</v>
      </c>
      <c r="C158" s="8" t="s">
        <v>195</v>
      </c>
      <c r="D158" s="5" t="str">
        <f>LRTRIM(CONCATENATE(IF(SUMPRODUCT(-- ISNUMBER(SEARCH({"Auto Number"}, $B158))) &gt; 0, $B158, IF(SUMPRODUCT(-- ISNUMBER(SEARCH({"Lookup","Master-Detail"}, $B158))) &gt; 0,$B158 &amp; "(" &amp; $E158 &amp; ")",IF(SUMPRODUCT(-- ISNUMBER(SEARCH({"Formula","Roll-Up Summary"}, $B158))) &gt; 0,$B158 &amp; " (" &amp; $E158 &amp; ")",IF(SUMPRODUCT(-- ISNUMBER(SEARCH({"Content","Currency","Number","Percent","Text","URL"}, $B158))) &gt; 0,$B158 &amp; "(" &amp; $C158 &amp; ")",$B158)))), "  ", TRIM(IF($S158 = "YES", "(External ID)", "") &amp; " " &amp; IF(SUMPRODUCT(-- ISNUMBER(SEARCH({"Unique","Unique Case Insensitive"}, $R158))) &gt; 0, "(" &amp; $R158 &amp; ")", ""))))</f>
        <v>na</v>
      </c>
      <c r="E158" s="7" t="s">
        <v>195</v>
      </c>
      <c r="F158" s="7" t="s">
        <v>195</v>
      </c>
      <c r="G158" s="7" t="s">
        <v>195</v>
      </c>
      <c r="H158" s="7" t="s">
        <v>195</v>
      </c>
      <c r="I158" s="7" t="s">
        <v>195</v>
      </c>
      <c r="J158" s="7" t="s">
        <v>195</v>
      </c>
      <c r="K158" s="7" t="s">
        <v>195</v>
      </c>
      <c r="L158" s="7" t="s">
        <v>195</v>
      </c>
      <c r="M158" s="7" t="s">
        <v>29</v>
      </c>
      <c r="N158" s="7" t="s">
        <v>29</v>
      </c>
      <c r="O158" s="7" t="s">
        <v>29</v>
      </c>
      <c r="P158" s="7" t="s">
        <v>29</v>
      </c>
      <c r="Q158" s="7" t="s">
        <v>29</v>
      </c>
      <c r="R158" s="7" t="s">
        <v>29</v>
      </c>
      <c r="S158" s="7" t="s">
        <v>29</v>
      </c>
    </row>
    <row r="159" spans="2:19">
      <c r="B159" s="7" t="s">
        <v>195</v>
      </c>
      <c r="C159" s="8" t="s">
        <v>195</v>
      </c>
      <c r="D159" s="5" t="str">
        <f>LRTRIM(CONCATENATE(IF(SUMPRODUCT(-- ISNUMBER(SEARCH({"Auto Number"}, $B159))) &gt; 0, $B159, IF(SUMPRODUCT(-- ISNUMBER(SEARCH({"Lookup","Master-Detail"}, $B159))) &gt; 0,$B159 &amp; "(" &amp; $E159 &amp; ")",IF(SUMPRODUCT(-- ISNUMBER(SEARCH({"Formula","Roll-Up Summary"}, $B159))) &gt; 0,$B159 &amp; " (" &amp; $E159 &amp; ")",IF(SUMPRODUCT(-- ISNUMBER(SEARCH({"Content","Currency","Number","Percent","Text","URL"}, $B159))) &gt; 0,$B159 &amp; "(" &amp; $C159 &amp; ")",$B159)))), "  ", TRIM(IF($S159 = "YES", "(External ID)", "") &amp; " " &amp; IF(SUMPRODUCT(-- ISNUMBER(SEARCH({"Unique","Unique Case Insensitive"}, $R159))) &gt; 0, "(" &amp; $R159 &amp; ")", ""))))</f>
        <v>na</v>
      </c>
      <c r="E159" s="7" t="s">
        <v>195</v>
      </c>
      <c r="F159" s="7" t="s">
        <v>195</v>
      </c>
      <c r="G159" s="7" t="s">
        <v>195</v>
      </c>
      <c r="H159" s="7" t="s">
        <v>195</v>
      </c>
      <c r="I159" s="7" t="s">
        <v>195</v>
      </c>
      <c r="J159" s="7" t="s">
        <v>195</v>
      </c>
      <c r="K159" s="7" t="s">
        <v>195</v>
      </c>
      <c r="L159" s="7" t="s">
        <v>195</v>
      </c>
      <c r="M159" s="7" t="s">
        <v>29</v>
      </c>
      <c r="N159" s="7" t="s">
        <v>29</v>
      </c>
      <c r="O159" s="7" t="s">
        <v>29</v>
      </c>
      <c r="P159" s="7" t="s">
        <v>29</v>
      </c>
      <c r="Q159" s="7" t="s">
        <v>29</v>
      </c>
      <c r="R159" s="7" t="s">
        <v>29</v>
      </c>
      <c r="S159" s="7" t="s">
        <v>29</v>
      </c>
    </row>
    <row r="160" spans="2:19">
      <c r="B160" s="7" t="s">
        <v>195</v>
      </c>
      <c r="C160" s="8" t="s">
        <v>195</v>
      </c>
      <c r="D160" s="5" t="str">
        <f>LRTRIM(CONCATENATE(IF(SUMPRODUCT(-- ISNUMBER(SEARCH({"Auto Number"}, $B160))) &gt; 0, $B160, IF(SUMPRODUCT(-- ISNUMBER(SEARCH({"Lookup","Master-Detail"}, $B160))) &gt; 0,$B160 &amp; "(" &amp; $E160 &amp; ")",IF(SUMPRODUCT(-- ISNUMBER(SEARCH({"Formula","Roll-Up Summary"}, $B160))) &gt; 0,$B160 &amp; " (" &amp; $E160 &amp; ")",IF(SUMPRODUCT(-- ISNUMBER(SEARCH({"Content","Currency","Number","Percent","Text","URL"}, $B160))) &gt; 0,$B160 &amp; "(" &amp; $C160 &amp; ")",$B160)))), "  ", TRIM(IF($S160 = "YES", "(External ID)", "") &amp; " " &amp; IF(SUMPRODUCT(-- ISNUMBER(SEARCH({"Unique","Unique Case Insensitive"}, $R160))) &gt; 0, "(" &amp; $R160 &amp; ")", ""))))</f>
        <v>na</v>
      </c>
      <c r="E160" s="7" t="s">
        <v>195</v>
      </c>
      <c r="F160" s="7" t="s">
        <v>195</v>
      </c>
      <c r="G160" s="7" t="s">
        <v>195</v>
      </c>
      <c r="H160" s="7" t="s">
        <v>195</v>
      </c>
      <c r="I160" s="7" t="s">
        <v>195</v>
      </c>
      <c r="J160" s="7" t="s">
        <v>195</v>
      </c>
      <c r="K160" s="7" t="s">
        <v>195</v>
      </c>
      <c r="L160" s="7" t="s">
        <v>195</v>
      </c>
      <c r="M160" s="7" t="s">
        <v>29</v>
      </c>
      <c r="N160" s="7" t="s">
        <v>29</v>
      </c>
      <c r="O160" s="7" t="s">
        <v>29</v>
      </c>
      <c r="P160" s="7" t="s">
        <v>29</v>
      </c>
      <c r="Q160" s="7" t="s">
        <v>29</v>
      </c>
      <c r="R160" s="7" t="s">
        <v>29</v>
      </c>
      <c r="S160" s="7" t="s">
        <v>29</v>
      </c>
    </row>
    <row r="161" spans="2:19">
      <c r="B161" s="7" t="s">
        <v>195</v>
      </c>
      <c r="C161" s="8" t="s">
        <v>195</v>
      </c>
      <c r="D161" s="5" t="str">
        <f>LRTRIM(CONCATENATE(IF(SUMPRODUCT(-- ISNUMBER(SEARCH({"Auto Number"}, $B161))) &gt; 0, $B161, IF(SUMPRODUCT(-- ISNUMBER(SEARCH({"Lookup","Master-Detail"}, $B161))) &gt; 0,$B161 &amp; "(" &amp; $E161 &amp; ")",IF(SUMPRODUCT(-- ISNUMBER(SEARCH({"Formula","Roll-Up Summary"}, $B161))) &gt; 0,$B161 &amp; " (" &amp; $E161 &amp; ")",IF(SUMPRODUCT(-- ISNUMBER(SEARCH({"Content","Currency","Number","Percent","Text","URL"}, $B161))) &gt; 0,$B161 &amp; "(" &amp; $C161 &amp; ")",$B161)))), "  ", TRIM(IF($S161 = "YES", "(External ID)", "") &amp; " " &amp; IF(SUMPRODUCT(-- ISNUMBER(SEARCH({"Unique","Unique Case Insensitive"}, $R161))) &gt; 0, "(" &amp; $R161 &amp; ")", ""))))</f>
        <v>na</v>
      </c>
      <c r="E161" s="7" t="s">
        <v>195</v>
      </c>
      <c r="F161" s="7" t="s">
        <v>195</v>
      </c>
      <c r="G161" s="7" t="s">
        <v>195</v>
      </c>
      <c r="H161" s="7" t="s">
        <v>195</v>
      </c>
      <c r="I161" s="7" t="s">
        <v>195</v>
      </c>
      <c r="J161" s="7" t="s">
        <v>195</v>
      </c>
      <c r="K161" s="7" t="s">
        <v>195</v>
      </c>
      <c r="L161" s="7" t="s">
        <v>195</v>
      </c>
      <c r="M161" s="7" t="s">
        <v>29</v>
      </c>
      <c r="N161" s="7" t="s">
        <v>29</v>
      </c>
      <c r="O161" s="7" t="s">
        <v>29</v>
      </c>
      <c r="P161" s="7" t="s">
        <v>29</v>
      </c>
      <c r="Q161" s="7" t="s">
        <v>29</v>
      </c>
      <c r="R161" s="7" t="s">
        <v>29</v>
      </c>
      <c r="S161" s="7" t="s">
        <v>29</v>
      </c>
    </row>
    <row r="162" spans="2:19">
      <c r="B162" s="7" t="s">
        <v>195</v>
      </c>
      <c r="C162" s="8" t="s">
        <v>195</v>
      </c>
      <c r="D162" s="5" t="str">
        <f>LRTRIM(CONCATENATE(IF(SUMPRODUCT(-- ISNUMBER(SEARCH({"Auto Number"}, $B162))) &gt; 0, $B162, IF(SUMPRODUCT(-- ISNUMBER(SEARCH({"Lookup","Master-Detail"}, $B162))) &gt; 0,$B162 &amp; "(" &amp; $E162 &amp; ")",IF(SUMPRODUCT(-- ISNUMBER(SEARCH({"Formula","Roll-Up Summary"}, $B162))) &gt; 0,$B162 &amp; " (" &amp; $E162 &amp; ")",IF(SUMPRODUCT(-- ISNUMBER(SEARCH({"Content","Currency","Number","Percent","Text","URL"}, $B162))) &gt; 0,$B162 &amp; "(" &amp; $C162 &amp; ")",$B162)))), "  ", TRIM(IF($S162 = "YES", "(External ID)", "") &amp; " " &amp; IF(SUMPRODUCT(-- ISNUMBER(SEARCH({"Unique","Unique Case Insensitive"}, $R162))) &gt; 0, "(" &amp; $R162 &amp; ")", ""))))</f>
        <v>na</v>
      </c>
      <c r="E162" s="7" t="s">
        <v>195</v>
      </c>
      <c r="F162" s="7" t="s">
        <v>195</v>
      </c>
      <c r="G162" s="7" t="s">
        <v>195</v>
      </c>
      <c r="H162" s="7" t="s">
        <v>195</v>
      </c>
      <c r="I162" s="7" t="s">
        <v>195</v>
      </c>
      <c r="J162" s="7" t="s">
        <v>195</v>
      </c>
      <c r="K162" s="7" t="s">
        <v>195</v>
      </c>
      <c r="L162" s="7" t="s">
        <v>195</v>
      </c>
      <c r="M162" s="7" t="s">
        <v>29</v>
      </c>
      <c r="N162" s="7" t="s">
        <v>29</v>
      </c>
      <c r="O162" s="7" t="s">
        <v>29</v>
      </c>
      <c r="P162" s="7" t="s">
        <v>29</v>
      </c>
      <c r="Q162" s="7" t="s">
        <v>29</v>
      </c>
      <c r="R162" s="7" t="s">
        <v>29</v>
      </c>
      <c r="S162" s="7" t="s">
        <v>29</v>
      </c>
    </row>
    <row r="163" spans="2:19">
      <c r="B163" s="7" t="s">
        <v>195</v>
      </c>
      <c r="C163" s="8" t="s">
        <v>195</v>
      </c>
      <c r="D163" s="5" t="str">
        <f>LRTRIM(CONCATENATE(IF(SUMPRODUCT(-- ISNUMBER(SEARCH({"Auto Number"}, $B163))) &gt; 0, $B163, IF(SUMPRODUCT(-- ISNUMBER(SEARCH({"Lookup","Master-Detail"}, $B163))) &gt; 0,$B163 &amp; "(" &amp; $E163 &amp; ")",IF(SUMPRODUCT(-- ISNUMBER(SEARCH({"Formula","Roll-Up Summary"}, $B163))) &gt; 0,$B163 &amp; " (" &amp; $E163 &amp; ")",IF(SUMPRODUCT(-- ISNUMBER(SEARCH({"Content","Currency","Number","Percent","Text","URL"}, $B163))) &gt; 0,$B163 &amp; "(" &amp; $C163 &amp; ")",$B163)))), "  ", TRIM(IF($S163 = "YES", "(External ID)", "") &amp; " " &amp; IF(SUMPRODUCT(-- ISNUMBER(SEARCH({"Unique","Unique Case Insensitive"}, $R163))) &gt; 0, "(" &amp; $R163 &amp; ")", ""))))</f>
        <v>na</v>
      </c>
      <c r="E163" s="7" t="s">
        <v>195</v>
      </c>
      <c r="F163" s="7" t="s">
        <v>195</v>
      </c>
      <c r="G163" s="7" t="s">
        <v>195</v>
      </c>
      <c r="H163" s="7" t="s">
        <v>195</v>
      </c>
      <c r="I163" s="7" t="s">
        <v>195</v>
      </c>
      <c r="J163" s="7" t="s">
        <v>195</v>
      </c>
      <c r="K163" s="7" t="s">
        <v>195</v>
      </c>
      <c r="L163" s="7" t="s">
        <v>195</v>
      </c>
      <c r="M163" s="7" t="s">
        <v>29</v>
      </c>
      <c r="N163" s="7" t="s">
        <v>29</v>
      </c>
      <c r="O163" s="7" t="s">
        <v>29</v>
      </c>
      <c r="P163" s="7" t="s">
        <v>29</v>
      </c>
      <c r="Q163" s="7" t="s">
        <v>29</v>
      </c>
      <c r="R163" s="7" t="s">
        <v>29</v>
      </c>
      <c r="S163" s="7" t="s">
        <v>29</v>
      </c>
    </row>
    <row r="164" spans="2:19">
      <c r="B164" s="7" t="s">
        <v>195</v>
      </c>
      <c r="C164" s="8" t="s">
        <v>195</v>
      </c>
      <c r="D164" s="5" t="str">
        <f>LRTRIM(CONCATENATE(IF(SUMPRODUCT(-- ISNUMBER(SEARCH({"Auto Number"}, $B164))) &gt; 0, $B164, IF(SUMPRODUCT(-- ISNUMBER(SEARCH({"Lookup","Master-Detail"}, $B164))) &gt; 0,$B164 &amp; "(" &amp; $E164 &amp; ")",IF(SUMPRODUCT(-- ISNUMBER(SEARCH({"Formula","Roll-Up Summary"}, $B164))) &gt; 0,$B164 &amp; " (" &amp; $E164 &amp; ")",IF(SUMPRODUCT(-- ISNUMBER(SEARCH({"Content","Currency","Number","Percent","Text","URL"}, $B164))) &gt; 0,$B164 &amp; "(" &amp; $C164 &amp; ")",$B164)))), "  ", TRIM(IF($S164 = "YES", "(External ID)", "") &amp; " " &amp; IF(SUMPRODUCT(-- ISNUMBER(SEARCH({"Unique","Unique Case Insensitive"}, $R164))) &gt; 0, "(" &amp; $R164 &amp; ")", ""))))</f>
        <v>na</v>
      </c>
      <c r="E164" s="7" t="s">
        <v>195</v>
      </c>
      <c r="F164" s="7" t="s">
        <v>195</v>
      </c>
      <c r="G164" s="7" t="s">
        <v>195</v>
      </c>
      <c r="H164" s="7" t="s">
        <v>195</v>
      </c>
      <c r="I164" s="7" t="s">
        <v>195</v>
      </c>
      <c r="J164" s="7" t="s">
        <v>195</v>
      </c>
      <c r="K164" s="7" t="s">
        <v>195</v>
      </c>
      <c r="L164" s="7" t="s">
        <v>195</v>
      </c>
      <c r="M164" s="7" t="s">
        <v>29</v>
      </c>
      <c r="N164" s="7" t="s">
        <v>29</v>
      </c>
      <c r="O164" s="7" t="s">
        <v>29</v>
      </c>
      <c r="P164" s="7" t="s">
        <v>29</v>
      </c>
      <c r="Q164" s="7" t="s">
        <v>29</v>
      </c>
      <c r="R164" s="7" t="s">
        <v>29</v>
      </c>
      <c r="S164" s="7" t="s">
        <v>29</v>
      </c>
    </row>
    <row r="165" spans="2:19">
      <c r="B165" s="7" t="s">
        <v>195</v>
      </c>
      <c r="C165" s="8" t="s">
        <v>195</v>
      </c>
      <c r="D165" s="5" t="str">
        <f>LRTRIM(CONCATENATE(IF(SUMPRODUCT(-- ISNUMBER(SEARCH({"Auto Number"}, $B165))) &gt; 0, $B165, IF(SUMPRODUCT(-- ISNUMBER(SEARCH({"Lookup","Master-Detail"}, $B165))) &gt; 0,$B165 &amp; "(" &amp; $E165 &amp; ")",IF(SUMPRODUCT(-- ISNUMBER(SEARCH({"Formula","Roll-Up Summary"}, $B165))) &gt; 0,$B165 &amp; " (" &amp; $E165 &amp; ")",IF(SUMPRODUCT(-- ISNUMBER(SEARCH({"Content","Currency","Number","Percent","Text","URL"}, $B165))) &gt; 0,$B165 &amp; "(" &amp; $C165 &amp; ")",$B165)))), "  ", TRIM(IF($S165 = "YES", "(External ID)", "") &amp; " " &amp; IF(SUMPRODUCT(-- ISNUMBER(SEARCH({"Unique","Unique Case Insensitive"}, $R165))) &gt; 0, "(" &amp; $R165 &amp; ")", ""))))</f>
        <v>na</v>
      </c>
      <c r="E165" s="7" t="s">
        <v>195</v>
      </c>
      <c r="F165" s="7" t="s">
        <v>195</v>
      </c>
      <c r="G165" s="7" t="s">
        <v>195</v>
      </c>
      <c r="H165" s="7" t="s">
        <v>195</v>
      </c>
      <c r="I165" s="7" t="s">
        <v>195</v>
      </c>
      <c r="J165" s="7" t="s">
        <v>195</v>
      </c>
      <c r="K165" s="7" t="s">
        <v>195</v>
      </c>
      <c r="L165" s="7" t="s">
        <v>195</v>
      </c>
      <c r="M165" s="7" t="s">
        <v>29</v>
      </c>
      <c r="N165" s="7" t="s">
        <v>29</v>
      </c>
      <c r="O165" s="7" t="s">
        <v>29</v>
      </c>
      <c r="P165" s="7" t="s">
        <v>29</v>
      </c>
      <c r="Q165" s="7" t="s">
        <v>29</v>
      </c>
      <c r="R165" s="7" t="s">
        <v>29</v>
      </c>
      <c r="S165" s="7" t="s">
        <v>29</v>
      </c>
    </row>
    <row r="166" spans="2:19">
      <c r="B166" s="7" t="s">
        <v>195</v>
      </c>
      <c r="C166" s="8" t="s">
        <v>195</v>
      </c>
      <c r="D166" s="5" t="str">
        <f>LRTRIM(CONCATENATE(IF(SUMPRODUCT(-- ISNUMBER(SEARCH({"Auto Number"}, $B166))) &gt; 0, $B166, IF(SUMPRODUCT(-- ISNUMBER(SEARCH({"Lookup","Master-Detail"}, $B166))) &gt; 0,$B166 &amp; "(" &amp; $E166 &amp; ")",IF(SUMPRODUCT(-- ISNUMBER(SEARCH({"Formula","Roll-Up Summary"}, $B166))) &gt; 0,$B166 &amp; " (" &amp; $E166 &amp; ")",IF(SUMPRODUCT(-- ISNUMBER(SEARCH({"Content","Currency","Number","Percent","Text","URL"}, $B166))) &gt; 0,$B166 &amp; "(" &amp; $C166 &amp; ")",$B166)))), "  ", TRIM(IF($S166 = "YES", "(External ID)", "") &amp; " " &amp; IF(SUMPRODUCT(-- ISNUMBER(SEARCH({"Unique","Unique Case Insensitive"}, $R166))) &gt; 0, "(" &amp; $R166 &amp; ")", ""))))</f>
        <v>na</v>
      </c>
      <c r="E166" s="7" t="s">
        <v>195</v>
      </c>
      <c r="F166" s="7" t="s">
        <v>195</v>
      </c>
      <c r="G166" s="7" t="s">
        <v>195</v>
      </c>
      <c r="H166" s="7" t="s">
        <v>195</v>
      </c>
      <c r="I166" s="7" t="s">
        <v>195</v>
      </c>
      <c r="J166" s="7" t="s">
        <v>195</v>
      </c>
      <c r="K166" s="7" t="s">
        <v>195</v>
      </c>
      <c r="L166" s="7" t="s">
        <v>195</v>
      </c>
      <c r="M166" s="7" t="s">
        <v>29</v>
      </c>
      <c r="N166" s="7" t="s">
        <v>29</v>
      </c>
      <c r="O166" s="7" t="s">
        <v>29</v>
      </c>
      <c r="P166" s="7" t="s">
        <v>29</v>
      </c>
      <c r="Q166" s="7" t="s">
        <v>29</v>
      </c>
      <c r="R166" s="7" t="s">
        <v>29</v>
      </c>
      <c r="S166" s="7" t="s">
        <v>29</v>
      </c>
    </row>
    <row r="167" spans="2:19">
      <c r="B167" s="7" t="s">
        <v>195</v>
      </c>
      <c r="C167" s="8" t="s">
        <v>195</v>
      </c>
      <c r="D167" s="5" t="str">
        <f>LRTRIM(CONCATENATE(IF(SUMPRODUCT(-- ISNUMBER(SEARCH({"Auto Number"}, $B167))) &gt; 0, $B167, IF(SUMPRODUCT(-- ISNUMBER(SEARCH({"Lookup","Master-Detail"}, $B167))) &gt; 0,$B167 &amp; "(" &amp; $E167 &amp; ")",IF(SUMPRODUCT(-- ISNUMBER(SEARCH({"Formula","Roll-Up Summary"}, $B167))) &gt; 0,$B167 &amp; " (" &amp; $E167 &amp; ")",IF(SUMPRODUCT(-- ISNUMBER(SEARCH({"Content","Currency","Number","Percent","Text","URL"}, $B167))) &gt; 0,$B167 &amp; "(" &amp; $C167 &amp; ")",$B167)))), "  ", TRIM(IF($S167 = "YES", "(External ID)", "") &amp; " " &amp; IF(SUMPRODUCT(-- ISNUMBER(SEARCH({"Unique","Unique Case Insensitive"}, $R167))) &gt; 0, "(" &amp; $R167 &amp; ")", ""))))</f>
        <v>na</v>
      </c>
      <c r="E167" s="7" t="s">
        <v>195</v>
      </c>
      <c r="F167" s="7" t="s">
        <v>195</v>
      </c>
      <c r="G167" s="7" t="s">
        <v>195</v>
      </c>
      <c r="H167" s="7" t="s">
        <v>195</v>
      </c>
      <c r="I167" s="7" t="s">
        <v>195</v>
      </c>
      <c r="J167" s="7" t="s">
        <v>195</v>
      </c>
      <c r="K167" s="7" t="s">
        <v>195</v>
      </c>
      <c r="L167" s="7" t="s">
        <v>195</v>
      </c>
      <c r="M167" s="7" t="s">
        <v>29</v>
      </c>
      <c r="N167" s="7" t="s">
        <v>29</v>
      </c>
      <c r="O167" s="7" t="s">
        <v>29</v>
      </c>
      <c r="P167" s="7" t="s">
        <v>29</v>
      </c>
      <c r="Q167" s="7" t="s">
        <v>29</v>
      </c>
      <c r="R167" s="7" t="s">
        <v>29</v>
      </c>
      <c r="S167" s="7" t="s">
        <v>29</v>
      </c>
    </row>
    <row r="168" spans="2:19">
      <c r="B168" s="7" t="s">
        <v>195</v>
      </c>
      <c r="C168" s="8" t="s">
        <v>195</v>
      </c>
      <c r="D168" s="5" t="str">
        <f>LRTRIM(CONCATENATE(IF(SUMPRODUCT(-- ISNUMBER(SEARCH({"Auto Number"}, $B168))) &gt; 0, $B168, IF(SUMPRODUCT(-- ISNUMBER(SEARCH({"Lookup","Master-Detail"}, $B168))) &gt; 0,$B168 &amp; "(" &amp; $E168 &amp; ")",IF(SUMPRODUCT(-- ISNUMBER(SEARCH({"Formula","Roll-Up Summary"}, $B168))) &gt; 0,$B168 &amp; " (" &amp; $E168 &amp; ")",IF(SUMPRODUCT(-- ISNUMBER(SEARCH({"Content","Currency","Number","Percent","Text","URL"}, $B168))) &gt; 0,$B168 &amp; "(" &amp; $C168 &amp; ")",$B168)))), "  ", TRIM(IF($S168 = "YES", "(External ID)", "") &amp; " " &amp; IF(SUMPRODUCT(-- ISNUMBER(SEARCH({"Unique","Unique Case Insensitive"}, $R168))) &gt; 0, "(" &amp; $R168 &amp; ")", ""))))</f>
        <v>na</v>
      </c>
      <c r="E168" s="7" t="s">
        <v>195</v>
      </c>
      <c r="F168" s="7" t="s">
        <v>195</v>
      </c>
      <c r="G168" s="7" t="s">
        <v>195</v>
      </c>
      <c r="H168" s="7" t="s">
        <v>195</v>
      </c>
      <c r="I168" s="7" t="s">
        <v>195</v>
      </c>
      <c r="J168" s="7" t="s">
        <v>195</v>
      </c>
      <c r="K168" s="7" t="s">
        <v>195</v>
      </c>
      <c r="L168" s="7" t="s">
        <v>195</v>
      </c>
      <c r="M168" s="7" t="s">
        <v>29</v>
      </c>
      <c r="N168" s="7" t="s">
        <v>29</v>
      </c>
      <c r="O168" s="7" t="s">
        <v>29</v>
      </c>
      <c r="P168" s="7" t="s">
        <v>29</v>
      </c>
      <c r="Q168" s="7" t="s">
        <v>29</v>
      </c>
      <c r="R168" s="7" t="s">
        <v>29</v>
      </c>
      <c r="S168" s="7" t="s">
        <v>29</v>
      </c>
    </row>
    <row r="169" spans="2:19">
      <c r="B169" s="7" t="s">
        <v>195</v>
      </c>
      <c r="C169" s="8" t="s">
        <v>195</v>
      </c>
      <c r="D169" s="5" t="str">
        <f>LRTRIM(CONCATENATE(IF(SUMPRODUCT(-- ISNUMBER(SEARCH({"Auto Number"}, $B169))) &gt; 0, $B169, IF(SUMPRODUCT(-- ISNUMBER(SEARCH({"Lookup","Master-Detail"}, $B169))) &gt; 0,$B169 &amp; "(" &amp; $E169 &amp; ")",IF(SUMPRODUCT(-- ISNUMBER(SEARCH({"Formula","Roll-Up Summary"}, $B169))) &gt; 0,$B169 &amp; " (" &amp; $E169 &amp; ")",IF(SUMPRODUCT(-- ISNUMBER(SEARCH({"Content","Currency","Number","Percent","Text","URL"}, $B169))) &gt; 0,$B169 &amp; "(" &amp; $C169 &amp; ")",$B169)))), "  ", TRIM(IF($S169 = "YES", "(External ID)", "") &amp; " " &amp; IF(SUMPRODUCT(-- ISNUMBER(SEARCH({"Unique","Unique Case Insensitive"}, $R169))) &gt; 0, "(" &amp; $R169 &amp; ")", ""))))</f>
        <v>na</v>
      </c>
      <c r="E169" s="7" t="s">
        <v>195</v>
      </c>
      <c r="F169" s="7" t="s">
        <v>195</v>
      </c>
      <c r="G169" s="7" t="s">
        <v>195</v>
      </c>
      <c r="H169" s="7" t="s">
        <v>195</v>
      </c>
      <c r="I169" s="7" t="s">
        <v>195</v>
      </c>
      <c r="J169" s="7" t="s">
        <v>195</v>
      </c>
      <c r="K169" s="7" t="s">
        <v>195</v>
      </c>
      <c r="L169" s="7" t="s">
        <v>195</v>
      </c>
      <c r="M169" s="7" t="s">
        <v>29</v>
      </c>
      <c r="N169" s="7" t="s">
        <v>29</v>
      </c>
      <c r="O169" s="7" t="s">
        <v>29</v>
      </c>
      <c r="P169" s="7" t="s">
        <v>29</v>
      </c>
      <c r="Q169" s="7" t="s">
        <v>29</v>
      </c>
      <c r="R169" s="7" t="s">
        <v>29</v>
      </c>
      <c r="S169" s="7" t="s">
        <v>29</v>
      </c>
    </row>
    <row r="170" spans="2:19">
      <c r="B170" s="7" t="s">
        <v>195</v>
      </c>
      <c r="C170" s="8" t="s">
        <v>195</v>
      </c>
      <c r="D170" s="5" t="str">
        <f>LRTRIM(CONCATENATE(IF(SUMPRODUCT(-- ISNUMBER(SEARCH({"Auto Number"}, $B170))) &gt; 0, $B170, IF(SUMPRODUCT(-- ISNUMBER(SEARCH({"Lookup","Master-Detail"}, $B170))) &gt; 0,$B170 &amp; "(" &amp; $E170 &amp; ")",IF(SUMPRODUCT(-- ISNUMBER(SEARCH({"Formula","Roll-Up Summary"}, $B170))) &gt; 0,$B170 &amp; " (" &amp; $E170 &amp; ")",IF(SUMPRODUCT(-- ISNUMBER(SEARCH({"Content","Currency","Number","Percent","Text","URL"}, $B170))) &gt; 0,$B170 &amp; "(" &amp; $C170 &amp; ")",$B170)))), "  ", TRIM(IF($S170 = "YES", "(External ID)", "") &amp; " " &amp; IF(SUMPRODUCT(-- ISNUMBER(SEARCH({"Unique","Unique Case Insensitive"}, $R170))) &gt; 0, "(" &amp; $R170 &amp; ")", ""))))</f>
        <v>na</v>
      </c>
      <c r="E170" s="7" t="s">
        <v>195</v>
      </c>
      <c r="F170" s="7" t="s">
        <v>195</v>
      </c>
      <c r="G170" s="7" t="s">
        <v>195</v>
      </c>
      <c r="H170" s="7" t="s">
        <v>195</v>
      </c>
      <c r="I170" s="7" t="s">
        <v>195</v>
      </c>
      <c r="J170" s="7" t="s">
        <v>195</v>
      </c>
      <c r="K170" s="7" t="s">
        <v>195</v>
      </c>
      <c r="L170" s="7" t="s">
        <v>195</v>
      </c>
      <c r="M170" s="7" t="s">
        <v>29</v>
      </c>
      <c r="N170" s="7" t="s">
        <v>29</v>
      </c>
      <c r="O170" s="7" t="s">
        <v>29</v>
      </c>
      <c r="P170" s="7" t="s">
        <v>29</v>
      </c>
      <c r="Q170" s="7" t="s">
        <v>29</v>
      </c>
      <c r="R170" s="7" t="s">
        <v>29</v>
      </c>
      <c r="S170" s="7" t="s">
        <v>29</v>
      </c>
    </row>
    <row r="171" spans="2:19">
      <c r="B171" s="7" t="s">
        <v>195</v>
      </c>
      <c r="C171" s="8" t="s">
        <v>195</v>
      </c>
      <c r="D171" s="5" t="str">
        <f>LRTRIM(CONCATENATE(IF(SUMPRODUCT(-- ISNUMBER(SEARCH({"Auto Number"}, $B171))) &gt; 0, $B171, IF(SUMPRODUCT(-- ISNUMBER(SEARCH({"Lookup","Master-Detail"}, $B171))) &gt; 0,$B171 &amp; "(" &amp; $E171 &amp; ")",IF(SUMPRODUCT(-- ISNUMBER(SEARCH({"Formula","Roll-Up Summary"}, $B171))) &gt; 0,$B171 &amp; " (" &amp; $E171 &amp; ")",IF(SUMPRODUCT(-- ISNUMBER(SEARCH({"Content","Currency","Number","Percent","Text","URL"}, $B171))) &gt; 0,$B171 &amp; "(" &amp; $C171 &amp; ")",$B171)))), "  ", TRIM(IF($S171 = "YES", "(External ID)", "") &amp; " " &amp; IF(SUMPRODUCT(-- ISNUMBER(SEARCH({"Unique","Unique Case Insensitive"}, $R171))) &gt; 0, "(" &amp; $R171 &amp; ")", ""))))</f>
        <v>na</v>
      </c>
      <c r="E171" s="7" t="s">
        <v>195</v>
      </c>
      <c r="F171" s="7" t="s">
        <v>195</v>
      </c>
      <c r="G171" s="7" t="s">
        <v>195</v>
      </c>
      <c r="H171" s="7" t="s">
        <v>195</v>
      </c>
      <c r="I171" s="7" t="s">
        <v>195</v>
      </c>
      <c r="J171" s="7" t="s">
        <v>195</v>
      </c>
      <c r="K171" s="7" t="s">
        <v>195</v>
      </c>
      <c r="L171" s="7" t="s">
        <v>195</v>
      </c>
      <c r="M171" s="7" t="s">
        <v>29</v>
      </c>
      <c r="N171" s="7" t="s">
        <v>29</v>
      </c>
      <c r="O171" s="7" t="s">
        <v>29</v>
      </c>
      <c r="P171" s="7" t="s">
        <v>29</v>
      </c>
      <c r="Q171" s="7" t="s">
        <v>29</v>
      </c>
      <c r="R171" s="7" t="s">
        <v>29</v>
      </c>
      <c r="S171" s="7" t="s">
        <v>29</v>
      </c>
    </row>
    <row r="172" spans="2:19">
      <c r="B172" s="7" t="s">
        <v>195</v>
      </c>
      <c r="C172" s="8" t="s">
        <v>195</v>
      </c>
      <c r="D172" s="5" t="str">
        <f>LRTRIM(CONCATENATE(IF(SUMPRODUCT(-- ISNUMBER(SEARCH({"Auto Number"}, $B172))) &gt; 0, $B172, IF(SUMPRODUCT(-- ISNUMBER(SEARCH({"Lookup","Master-Detail"}, $B172))) &gt; 0,$B172 &amp; "(" &amp; $E172 &amp; ")",IF(SUMPRODUCT(-- ISNUMBER(SEARCH({"Formula","Roll-Up Summary"}, $B172))) &gt; 0,$B172 &amp; " (" &amp; $E172 &amp; ")",IF(SUMPRODUCT(-- ISNUMBER(SEARCH({"Content","Currency","Number","Percent","Text","URL"}, $B172))) &gt; 0,$B172 &amp; "(" &amp; $C172 &amp; ")",$B172)))), "  ", TRIM(IF($S172 = "YES", "(External ID)", "") &amp; " " &amp; IF(SUMPRODUCT(-- ISNUMBER(SEARCH({"Unique","Unique Case Insensitive"}, $R172))) &gt; 0, "(" &amp; $R172 &amp; ")", ""))))</f>
        <v>na</v>
      </c>
      <c r="E172" s="7" t="s">
        <v>195</v>
      </c>
      <c r="F172" s="7" t="s">
        <v>195</v>
      </c>
      <c r="G172" s="7" t="s">
        <v>195</v>
      </c>
      <c r="H172" s="7" t="s">
        <v>195</v>
      </c>
      <c r="I172" s="7" t="s">
        <v>195</v>
      </c>
      <c r="J172" s="7" t="s">
        <v>195</v>
      </c>
      <c r="K172" s="7" t="s">
        <v>195</v>
      </c>
      <c r="L172" s="7" t="s">
        <v>195</v>
      </c>
      <c r="M172" s="7" t="s">
        <v>29</v>
      </c>
      <c r="N172" s="7" t="s">
        <v>29</v>
      </c>
      <c r="O172" s="7" t="s">
        <v>29</v>
      </c>
      <c r="P172" s="7" t="s">
        <v>29</v>
      </c>
      <c r="Q172" s="7" t="s">
        <v>29</v>
      </c>
      <c r="R172" s="7" t="s">
        <v>29</v>
      </c>
      <c r="S172" s="7" t="s">
        <v>29</v>
      </c>
    </row>
    <row r="173" spans="2:19">
      <c r="B173" s="7" t="s">
        <v>195</v>
      </c>
      <c r="C173" s="8" t="s">
        <v>195</v>
      </c>
      <c r="D173" s="5" t="str">
        <f>LRTRIM(CONCATENATE(IF(SUMPRODUCT(-- ISNUMBER(SEARCH({"Auto Number"}, $B173))) &gt; 0, $B173, IF(SUMPRODUCT(-- ISNUMBER(SEARCH({"Lookup","Master-Detail"}, $B173))) &gt; 0,$B173 &amp; "(" &amp; $E173 &amp; ")",IF(SUMPRODUCT(-- ISNUMBER(SEARCH({"Formula","Roll-Up Summary"}, $B173))) &gt; 0,$B173 &amp; " (" &amp; $E173 &amp; ")",IF(SUMPRODUCT(-- ISNUMBER(SEARCH({"Content","Currency","Number","Percent","Text","URL"}, $B173))) &gt; 0,$B173 &amp; "(" &amp; $C173 &amp; ")",$B173)))), "  ", TRIM(IF($S173 = "YES", "(External ID)", "") &amp; " " &amp; IF(SUMPRODUCT(-- ISNUMBER(SEARCH({"Unique","Unique Case Insensitive"}, $R173))) &gt; 0, "(" &amp; $R173 &amp; ")", ""))))</f>
        <v>na</v>
      </c>
      <c r="E173" s="7" t="s">
        <v>195</v>
      </c>
      <c r="F173" s="7" t="s">
        <v>195</v>
      </c>
      <c r="G173" s="7" t="s">
        <v>195</v>
      </c>
      <c r="H173" s="7" t="s">
        <v>195</v>
      </c>
      <c r="I173" s="7" t="s">
        <v>195</v>
      </c>
      <c r="J173" s="7" t="s">
        <v>195</v>
      </c>
      <c r="K173" s="7" t="s">
        <v>195</v>
      </c>
      <c r="L173" s="7" t="s">
        <v>195</v>
      </c>
      <c r="M173" s="7" t="s">
        <v>29</v>
      </c>
      <c r="N173" s="7" t="s">
        <v>29</v>
      </c>
      <c r="O173" s="7" t="s">
        <v>29</v>
      </c>
      <c r="P173" s="7" t="s">
        <v>29</v>
      </c>
      <c r="Q173" s="7" t="s">
        <v>29</v>
      </c>
      <c r="R173" s="7" t="s">
        <v>29</v>
      </c>
      <c r="S173" s="7" t="s">
        <v>29</v>
      </c>
    </row>
    <row r="174" spans="2:19">
      <c r="B174" s="7" t="s">
        <v>195</v>
      </c>
      <c r="C174" s="8" t="s">
        <v>195</v>
      </c>
      <c r="D174" s="5" t="str">
        <f>LRTRIM(CONCATENATE(IF(SUMPRODUCT(-- ISNUMBER(SEARCH({"Auto Number"}, $B174))) &gt; 0, $B174, IF(SUMPRODUCT(-- ISNUMBER(SEARCH({"Lookup","Master-Detail"}, $B174))) &gt; 0,$B174 &amp; "(" &amp; $E174 &amp; ")",IF(SUMPRODUCT(-- ISNUMBER(SEARCH({"Formula","Roll-Up Summary"}, $B174))) &gt; 0,$B174 &amp; " (" &amp; $E174 &amp; ")",IF(SUMPRODUCT(-- ISNUMBER(SEARCH({"Content","Currency","Number","Percent","Text","URL"}, $B174))) &gt; 0,$B174 &amp; "(" &amp; $C174 &amp; ")",$B174)))), "  ", TRIM(IF($S174 = "YES", "(External ID)", "") &amp; " " &amp; IF(SUMPRODUCT(-- ISNUMBER(SEARCH({"Unique","Unique Case Insensitive"}, $R174))) &gt; 0, "(" &amp; $R174 &amp; ")", ""))))</f>
        <v>na</v>
      </c>
      <c r="E174" s="7" t="s">
        <v>195</v>
      </c>
      <c r="F174" s="7" t="s">
        <v>195</v>
      </c>
      <c r="G174" s="7" t="s">
        <v>195</v>
      </c>
      <c r="H174" s="7" t="s">
        <v>195</v>
      </c>
      <c r="I174" s="7" t="s">
        <v>195</v>
      </c>
      <c r="J174" s="7" t="s">
        <v>195</v>
      </c>
      <c r="K174" s="7" t="s">
        <v>195</v>
      </c>
      <c r="L174" s="7" t="s">
        <v>195</v>
      </c>
      <c r="M174" s="7" t="s">
        <v>29</v>
      </c>
      <c r="N174" s="7" t="s">
        <v>29</v>
      </c>
      <c r="O174" s="7" t="s">
        <v>29</v>
      </c>
      <c r="P174" s="7" t="s">
        <v>29</v>
      </c>
      <c r="Q174" s="7" t="s">
        <v>29</v>
      </c>
      <c r="R174" s="7" t="s">
        <v>29</v>
      </c>
      <c r="S174" s="7" t="s">
        <v>29</v>
      </c>
    </row>
    <row r="175" spans="2:19">
      <c r="B175" s="7" t="s">
        <v>195</v>
      </c>
      <c r="C175" s="8" t="s">
        <v>195</v>
      </c>
      <c r="D175" s="5" t="str">
        <f>LRTRIM(CONCATENATE(IF(SUMPRODUCT(-- ISNUMBER(SEARCH({"Auto Number"}, $B175))) &gt; 0, $B175, IF(SUMPRODUCT(-- ISNUMBER(SEARCH({"Lookup","Master-Detail"}, $B175))) &gt; 0,$B175 &amp; "(" &amp; $E175 &amp; ")",IF(SUMPRODUCT(-- ISNUMBER(SEARCH({"Formula","Roll-Up Summary"}, $B175))) &gt; 0,$B175 &amp; " (" &amp; $E175 &amp; ")",IF(SUMPRODUCT(-- ISNUMBER(SEARCH({"Content","Currency","Number","Percent","Text","URL"}, $B175))) &gt; 0,$B175 &amp; "(" &amp; $C175 &amp; ")",$B175)))), "  ", TRIM(IF($S175 = "YES", "(External ID)", "") &amp; " " &amp; IF(SUMPRODUCT(-- ISNUMBER(SEARCH({"Unique","Unique Case Insensitive"}, $R175))) &gt; 0, "(" &amp; $R175 &amp; ")", ""))))</f>
        <v>na</v>
      </c>
      <c r="E175" s="7" t="s">
        <v>195</v>
      </c>
      <c r="F175" s="7" t="s">
        <v>195</v>
      </c>
      <c r="G175" s="7" t="s">
        <v>195</v>
      </c>
      <c r="H175" s="7" t="s">
        <v>195</v>
      </c>
      <c r="I175" s="7" t="s">
        <v>195</v>
      </c>
      <c r="J175" s="7" t="s">
        <v>195</v>
      </c>
      <c r="K175" s="7" t="s">
        <v>195</v>
      </c>
      <c r="L175" s="7" t="s">
        <v>195</v>
      </c>
      <c r="M175" s="7" t="s">
        <v>29</v>
      </c>
      <c r="N175" s="7" t="s">
        <v>29</v>
      </c>
      <c r="O175" s="7" t="s">
        <v>29</v>
      </c>
      <c r="P175" s="7" t="s">
        <v>29</v>
      </c>
      <c r="Q175" s="7" t="s">
        <v>29</v>
      </c>
      <c r="R175" s="7" t="s">
        <v>29</v>
      </c>
      <c r="S175" s="7" t="s">
        <v>29</v>
      </c>
    </row>
    <row r="176" spans="2:19">
      <c r="B176" s="7" t="s">
        <v>195</v>
      </c>
      <c r="C176" s="8" t="s">
        <v>195</v>
      </c>
      <c r="D176" s="5" t="str">
        <f>LRTRIM(CONCATENATE(IF(SUMPRODUCT(-- ISNUMBER(SEARCH({"Auto Number"}, $B176))) &gt; 0, $B176, IF(SUMPRODUCT(-- ISNUMBER(SEARCH({"Lookup","Master-Detail"}, $B176))) &gt; 0,$B176 &amp; "(" &amp; $E176 &amp; ")",IF(SUMPRODUCT(-- ISNUMBER(SEARCH({"Formula","Roll-Up Summary"}, $B176))) &gt; 0,$B176 &amp; " (" &amp; $E176 &amp; ")",IF(SUMPRODUCT(-- ISNUMBER(SEARCH({"Content","Currency","Number","Percent","Text","URL"}, $B176))) &gt; 0,$B176 &amp; "(" &amp; $C176 &amp; ")",$B176)))), "  ", TRIM(IF($S176 = "YES", "(External ID)", "") &amp; " " &amp; IF(SUMPRODUCT(-- ISNUMBER(SEARCH({"Unique","Unique Case Insensitive"}, $R176))) &gt; 0, "(" &amp; $R176 &amp; ")", ""))))</f>
        <v>na</v>
      </c>
      <c r="E176" s="7" t="s">
        <v>195</v>
      </c>
      <c r="F176" s="7" t="s">
        <v>195</v>
      </c>
      <c r="G176" s="7" t="s">
        <v>195</v>
      </c>
      <c r="H176" s="7" t="s">
        <v>195</v>
      </c>
      <c r="I176" s="7" t="s">
        <v>195</v>
      </c>
      <c r="J176" s="7" t="s">
        <v>195</v>
      </c>
      <c r="K176" s="7" t="s">
        <v>195</v>
      </c>
      <c r="L176" s="7" t="s">
        <v>195</v>
      </c>
      <c r="M176" s="7" t="s">
        <v>29</v>
      </c>
      <c r="N176" s="7" t="s">
        <v>29</v>
      </c>
      <c r="O176" s="7" t="s">
        <v>29</v>
      </c>
      <c r="P176" s="7" t="s">
        <v>29</v>
      </c>
      <c r="Q176" s="7" t="s">
        <v>29</v>
      </c>
      <c r="R176" s="7" t="s">
        <v>29</v>
      </c>
      <c r="S176" s="7" t="s">
        <v>29</v>
      </c>
    </row>
    <row r="177" spans="2:19">
      <c r="B177" s="7" t="s">
        <v>195</v>
      </c>
      <c r="C177" s="8" t="s">
        <v>195</v>
      </c>
      <c r="D177" s="5" t="str">
        <f>LRTRIM(CONCATENATE(IF(SUMPRODUCT(-- ISNUMBER(SEARCH({"Auto Number"}, $B177))) &gt; 0, $B177, IF(SUMPRODUCT(-- ISNUMBER(SEARCH({"Lookup","Master-Detail"}, $B177))) &gt; 0,$B177 &amp; "(" &amp; $E177 &amp; ")",IF(SUMPRODUCT(-- ISNUMBER(SEARCH({"Formula","Roll-Up Summary"}, $B177))) &gt; 0,$B177 &amp; " (" &amp; $E177 &amp; ")",IF(SUMPRODUCT(-- ISNUMBER(SEARCH({"Content","Currency","Number","Percent","Text","URL"}, $B177))) &gt; 0,$B177 &amp; "(" &amp; $C177 &amp; ")",$B177)))), "  ", TRIM(IF($S177 = "YES", "(External ID)", "") &amp; " " &amp; IF(SUMPRODUCT(-- ISNUMBER(SEARCH({"Unique","Unique Case Insensitive"}, $R177))) &gt; 0, "(" &amp; $R177 &amp; ")", ""))))</f>
        <v>na</v>
      </c>
      <c r="E177" s="7" t="s">
        <v>195</v>
      </c>
      <c r="F177" s="7" t="s">
        <v>195</v>
      </c>
      <c r="G177" s="7" t="s">
        <v>195</v>
      </c>
      <c r="H177" s="7" t="s">
        <v>195</v>
      </c>
      <c r="I177" s="7" t="s">
        <v>195</v>
      </c>
      <c r="J177" s="7" t="s">
        <v>195</v>
      </c>
      <c r="K177" s="7" t="s">
        <v>195</v>
      </c>
      <c r="L177" s="7" t="s">
        <v>195</v>
      </c>
      <c r="M177" s="7" t="s">
        <v>29</v>
      </c>
      <c r="N177" s="7" t="s">
        <v>29</v>
      </c>
      <c r="O177" s="7" t="s">
        <v>29</v>
      </c>
      <c r="P177" s="7" t="s">
        <v>29</v>
      </c>
      <c r="Q177" s="7" t="s">
        <v>29</v>
      </c>
      <c r="R177" s="7" t="s">
        <v>29</v>
      </c>
      <c r="S177" s="7" t="s">
        <v>29</v>
      </c>
    </row>
    <row r="178" spans="2:19">
      <c r="B178" s="7" t="s">
        <v>195</v>
      </c>
      <c r="C178" s="8" t="s">
        <v>195</v>
      </c>
      <c r="D178" s="5" t="str">
        <f>LRTRIM(CONCATENATE(IF(SUMPRODUCT(-- ISNUMBER(SEARCH({"Auto Number"}, $B178))) &gt; 0, $B178, IF(SUMPRODUCT(-- ISNUMBER(SEARCH({"Lookup","Master-Detail"}, $B178))) &gt; 0,$B178 &amp; "(" &amp; $E178 &amp; ")",IF(SUMPRODUCT(-- ISNUMBER(SEARCH({"Formula","Roll-Up Summary"}, $B178))) &gt; 0,$B178 &amp; " (" &amp; $E178 &amp; ")",IF(SUMPRODUCT(-- ISNUMBER(SEARCH({"Content","Currency","Number","Percent","Text","URL"}, $B178))) &gt; 0,$B178 &amp; "(" &amp; $C178 &amp; ")",$B178)))), "  ", TRIM(IF($S178 = "YES", "(External ID)", "") &amp; " " &amp; IF(SUMPRODUCT(-- ISNUMBER(SEARCH({"Unique","Unique Case Insensitive"}, $R178))) &gt; 0, "(" &amp; $R178 &amp; ")", ""))))</f>
        <v>na</v>
      </c>
      <c r="E178" s="7" t="s">
        <v>195</v>
      </c>
      <c r="F178" s="7" t="s">
        <v>195</v>
      </c>
      <c r="G178" s="7" t="s">
        <v>195</v>
      </c>
      <c r="H178" s="7" t="s">
        <v>195</v>
      </c>
      <c r="I178" s="7" t="s">
        <v>195</v>
      </c>
      <c r="J178" s="7" t="s">
        <v>195</v>
      </c>
      <c r="K178" s="7" t="s">
        <v>195</v>
      </c>
      <c r="L178" s="7" t="s">
        <v>195</v>
      </c>
      <c r="M178" s="7" t="s">
        <v>29</v>
      </c>
      <c r="N178" s="7" t="s">
        <v>29</v>
      </c>
      <c r="O178" s="7" t="s">
        <v>29</v>
      </c>
      <c r="P178" s="7" t="s">
        <v>29</v>
      </c>
      <c r="Q178" s="7" t="s">
        <v>29</v>
      </c>
      <c r="R178" s="7" t="s">
        <v>29</v>
      </c>
      <c r="S178" s="7" t="s">
        <v>29</v>
      </c>
    </row>
    <row r="179" spans="2:19">
      <c r="B179" s="7" t="s">
        <v>195</v>
      </c>
      <c r="C179" s="8" t="s">
        <v>195</v>
      </c>
      <c r="D179" s="5" t="str">
        <f>LRTRIM(CONCATENATE(IF(SUMPRODUCT(-- ISNUMBER(SEARCH({"Auto Number"}, $B179))) &gt; 0, $B179, IF(SUMPRODUCT(-- ISNUMBER(SEARCH({"Lookup","Master-Detail"}, $B179))) &gt; 0,$B179 &amp; "(" &amp; $E179 &amp; ")",IF(SUMPRODUCT(-- ISNUMBER(SEARCH({"Formula","Roll-Up Summary"}, $B179))) &gt; 0,$B179 &amp; " (" &amp; $E179 &amp; ")",IF(SUMPRODUCT(-- ISNUMBER(SEARCH({"Content","Currency","Number","Percent","Text","URL"}, $B179))) &gt; 0,$B179 &amp; "(" &amp; $C179 &amp; ")",$B179)))), "  ", TRIM(IF($S179 = "YES", "(External ID)", "") &amp; " " &amp; IF(SUMPRODUCT(-- ISNUMBER(SEARCH({"Unique","Unique Case Insensitive"}, $R179))) &gt; 0, "(" &amp; $R179 &amp; ")", ""))))</f>
        <v>na</v>
      </c>
      <c r="E179" s="7" t="s">
        <v>195</v>
      </c>
      <c r="F179" s="7" t="s">
        <v>195</v>
      </c>
      <c r="G179" s="7" t="s">
        <v>195</v>
      </c>
      <c r="H179" s="7" t="s">
        <v>195</v>
      </c>
      <c r="I179" s="7" t="s">
        <v>195</v>
      </c>
      <c r="J179" s="7" t="s">
        <v>195</v>
      </c>
      <c r="K179" s="7" t="s">
        <v>195</v>
      </c>
      <c r="L179" s="7" t="s">
        <v>195</v>
      </c>
      <c r="M179" s="7" t="s">
        <v>29</v>
      </c>
      <c r="N179" s="7" t="s">
        <v>29</v>
      </c>
      <c r="O179" s="7" t="s">
        <v>29</v>
      </c>
      <c r="P179" s="7" t="s">
        <v>29</v>
      </c>
      <c r="Q179" s="7" t="s">
        <v>29</v>
      </c>
      <c r="R179" s="7" t="s">
        <v>29</v>
      </c>
      <c r="S179" s="7" t="s">
        <v>29</v>
      </c>
    </row>
    <row r="180" spans="2:19">
      <c r="B180" s="7" t="s">
        <v>195</v>
      </c>
      <c r="C180" s="8" t="s">
        <v>195</v>
      </c>
      <c r="D180" s="5" t="str">
        <f>LRTRIM(CONCATENATE(IF(SUMPRODUCT(-- ISNUMBER(SEARCH({"Auto Number"}, $B180))) &gt; 0, $B180, IF(SUMPRODUCT(-- ISNUMBER(SEARCH({"Lookup","Master-Detail"}, $B180))) &gt; 0,$B180 &amp; "(" &amp; $E180 &amp; ")",IF(SUMPRODUCT(-- ISNUMBER(SEARCH({"Formula","Roll-Up Summary"}, $B180))) &gt; 0,$B180 &amp; " (" &amp; $E180 &amp; ")",IF(SUMPRODUCT(-- ISNUMBER(SEARCH({"Content","Currency","Number","Percent","Text","URL"}, $B180))) &gt; 0,$B180 &amp; "(" &amp; $C180 &amp; ")",$B180)))), "  ", TRIM(IF($S180 = "YES", "(External ID)", "") &amp; " " &amp; IF(SUMPRODUCT(-- ISNUMBER(SEARCH({"Unique","Unique Case Insensitive"}, $R180))) &gt; 0, "(" &amp; $R180 &amp; ")", ""))))</f>
        <v>na</v>
      </c>
      <c r="E180" s="7" t="s">
        <v>195</v>
      </c>
      <c r="F180" s="7" t="s">
        <v>195</v>
      </c>
      <c r="G180" s="7" t="s">
        <v>195</v>
      </c>
      <c r="H180" s="7" t="s">
        <v>195</v>
      </c>
      <c r="I180" s="7" t="s">
        <v>195</v>
      </c>
      <c r="J180" s="7" t="s">
        <v>195</v>
      </c>
      <c r="K180" s="7" t="s">
        <v>195</v>
      </c>
      <c r="L180" s="7" t="s">
        <v>195</v>
      </c>
      <c r="M180" s="7" t="s">
        <v>29</v>
      </c>
      <c r="N180" s="7" t="s">
        <v>29</v>
      </c>
      <c r="O180" s="7" t="s">
        <v>29</v>
      </c>
      <c r="P180" s="7" t="s">
        <v>29</v>
      </c>
      <c r="Q180" s="7" t="s">
        <v>29</v>
      </c>
      <c r="R180" s="7" t="s">
        <v>29</v>
      </c>
      <c r="S180" s="7" t="s">
        <v>29</v>
      </c>
    </row>
    <row r="181" spans="2:19">
      <c r="B181" s="7" t="s">
        <v>195</v>
      </c>
      <c r="C181" s="8" t="s">
        <v>195</v>
      </c>
      <c r="D181" s="5" t="str">
        <f>LRTRIM(CONCATENATE(IF(SUMPRODUCT(-- ISNUMBER(SEARCH({"Auto Number"}, $B181))) &gt; 0, $B181, IF(SUMPRODUCT(-- ISNUMBER(SEARCH({"Lookup","Master-Detail"}, $B181))) &gt; 0,$B181 &amp; "(" &amp; $E181 &amp; ")",IF(SUMPRODUCT(-- ISNUMBER(SEARCH({"Formula","Roll-Up Summary"}, $B181))) &gt; 0,$B181 &amp; " (" &amp; $E181 &amp; ")",IF(SUMPRODUCT(-- ISNUMBER(SEARCH({"Content","Currency","Number","Percent","Text","URL"}, $B181))) &gt; 0,$B181 &amp; "(" &amp; $C181 &amp; ")",$B181)))), "  ", TRIM(IF($S181 = "YES", "(External ID)", "") &amp; " " &amp; IF(SUMPRODUCT(-- ISNUMBER(SEARCH({"Unique","Unique Case Insensitive"}, $R181))) &gt; 0, "(" &amp; $R181 &amp; ")", ""))))</f>
        <v>na</v>
      </c>
      <c r="E181" s="7" t="s">
        <v>195</v>
      </c>
      <c r="F181" s="7" t="s">
        <v>195</v>
      </c>
      <c r="G181" s="7" t="s">
        <v>195</v>
      </c>
      <c r="H181" s="7" t="s">
        <v>195</v>
      </c>
      <c r="I181" s="7" t="s">
        <v>195</v>
      </c>
      <c r="J181" s="7" t="s">
        <v>195</v>
      </c>
      <c r="K181" s="7" t="s">
        <v>195</v>
      </c>
      <c r="L181" s="7" t="s">
        <v>195</v>
      </c>
      <c r="M181" s="7" t="s">
        <v>29</v>
      </c>
      <c r="N181" s="7" t="s">
        <v>29</v>
      </c>
      <c r="O181" s="7" t="s">
        <v>29</v>
      </c>
      <c r="P181" s="7" t="s">
        <v>29</v>
      </c>
      <c r="Q181" s="7" t="s">
        <v>29</v>
      </c>
      <c r="R181" s="7" t="s">
        <v>29</v>
      </c>
      <c r="S181" s="7" t="s">
        <v>29</v>
      </c>
    </row>
    <row r="182" spans="2:19">
      <c r="B182" s="7" t="s">
        <v>195</v>
      </c>
      <c r="C182" s="8" t="s">
        <v>195</v>
      </c>
      <c r="D182" s="5" t="str">
        <f>LRTRIM(CONCATENATE(IF(SUMPRODUCT(-- ISNUMBER(SEARCH({"Auto Number"}, $B182))) &gt; 0, $B182, IF(SUMPRODUCT(-- ISNUMBER(SEARCH({"Lookup","Master-Detail"}, $B182))) &gt; 0,$B182 &amp; "(" &amp; $E182 &amp; ")",IF(SUMPRODUCT(-- ISNUMBER(SEARCH({"Formula","Roll-Up Summary"}, $B182))) &gt; 0,$B182 &amp; " (" &amp; $E182 &amp; ")",IF(SUMPRODUCT(-- ISNUMBER(SEARCH({"Content","Currency","Number","Percent","Text","URL"}, $B182))) &gt; 0,$B182 &amp; "(" &amp; $C182 &amp; ")",$B182)))), "  ", TRIM(IF($S182 = "YES", "(External ID)", "") &amp; " " &amp; IF(SUMPRODUCT(-- ISNUMBER(SEARCH({"Unique","Unique Case Insensitive"}, $R182))) &gt; 0, "(" &amp; $R182 &amp; ")", ""))))</f>
        <v>na</v>
      </c>
      <c r="E182" s="7" t="s">
        <v>195</v>
      </c>
      <c r="F182" s="7" t="s">
        <v>195</v>
      </c>
      <c r="G182" s="7" t="s">
        <v>195</v>
      </c>
      <c r="H182" s="7" t="s">
        <v>195</v>
      </c>
      <c r="I182" s="7" t="s">
        <v>195</v>
      </c>
      <c r="J182" s="7" t="s">
        <v>195</v>
      </c>
      <c r="K182" s="7" t="s">
        <v>195</v>
      </c>
      <c r="L182" s="7" t="s">
        <v>195</v>
      </c>
      <c r="M182" s="7" t="s">
        <v>29</v>
      </c>
      <c r="N182" s="7" t="s">
        <v>29</v>
      </c>
      <c r="O182" s="7" t="s">
        <v>29</v>
      </c>
      <c r="P182" s="7" t="s">
        <v>29</v>
      </c>
      <c r="Q182" s="7" t="s">
        <v>29</v>
      </c>
      <c r="R182" s="7" t="s">
        <v>29</v>
      </c>
      <c r="S182" s="7" t="s">
        <v>29</v>
      </c>
    </row>
    <row r="183" spans="2:19">
      <c r="B183" s="7" t="s">
        <v>195</v>
      </c>
      <c r="C183" s="8" t="s">
        <v>195</v>
      </c>
      <c r="D183" s="5" t="str">
        <f>LRTRIM(CONCATENATE(IF(SUMPRODUCT(-- ISNUMBER(SEARCH({"Auto Number"}, $B183))) &gt; 0, $B183, IF(SUMPRODUCT(-- ISNUMBER(SEARCH({"Lookup","Master-Detail"}, $B183))) &gt; 0,$B183 &amp; "(" &amp; $E183 &amp; ")",IF(SUMPRODUCT(-- ISNUMBER(SEARCH({"Formula","Roll-Up Summary"}, $B183))) &gt; 0,$B183 &amp; " (" &amp; $E183 &amp; ")",IF(SUMPRODUCT(-- ISNUMBER(SEARCH({"Content","Currency","Number","Percent","Text","URL"}, $B183))) &gt; 0,$B183 &amp; "(" &amp; $C183 &amp; ")",$B183)))), "  ", TRIM(IF($S183 = "YES", "(External ID)", "") &amp; " " &amp; IF(SUMPRODUCT(-- ISNUMBER(SEARCH({"Unique","Unique Case Insensitive"}, $R183))) &gt; 0, "(" &amp; $R183 &amp; ")", ""))))</f>
        <v>na</v>
      </c>
      <c r="E183" s="7" t="s">
        <v>195</v>
      </c>
      <c r="F183" s="7" t="s">
        <v>195</v>
      </c>
      <c r="G183" s="7" t="s">
        <v>195</v>
      </c>
      <c r="H183" s="7" t="s">
        <v>195</v>
      </c>
      <c r="I183" s="7" t="s">
        <v>195</v>
      </c>
      <c r="J183" s="7" t="s">
        <v>195</v>
      </c>
      <c r="K183" s="7" t="s">
        <v>195</v>
      </c>
      <c r="L183" s="7" t="s">
        <v>195</v>
      </c>
      <c r="M183" s="7" t="s">
        <v>29</v>
      </c>
      <c r="N183" s="7" t="s">
        <v>29</v>
      </c>
      <c r="O183" s="7" t="s">
        <v>29</v>
      </c>
      <c r="P183" s="7" t="s">
        <v>29</v>
      </c>
      <c r="Q183" s="7" t="s">
        <v>29</v>
      </c>
      <c r="R183" s="7" t="s">
        <v>29</v>
      </c>
      <c r="S183" s="7" t="s">
        <v>29</v>
      </c>
    </row>
    <row r="184" spans="2:19">
      <c r="B184" s="7" t="s">
        <v>195</v>
      </c>
      <c r="C184" s="8" t="s">
        <v>195</v>
      </c>
      <c r="D184" s="5" t="str">
        <f>LRTRIM(CONCATENATE(IF(SUMPRODUCT(-- ISNUMBER(SEARCH({"Auto Number"}, $B184))) &gt; 0, $B184, IF(SUMPRODUCT(-- ISNUMBER(SEARCH({"Lookup","Master-Detail"}, $B184))) &gt; 0,$B184 &amp; "(" &amp; $E184 &amp; ")",IF(SUMPRODUCT(-- ISNUMBER(SEARCH({"Formula","Roll-Up Summary"}, $B184))) &gt; 0,$B184 &amp; " (" &amp; $E184 &amp; ")",IF(SUMPRODUCT(-- ISNUMBER(SEARCH({"Content","Currency","Number","Percent","Text","URL"}, $B184))) &gt; 0,$B184 &amp; "(" &amp; $C184 &amp; ")",$B184)))), "  ", TRIM(IF($S184 = "YES", "(External ID)", "") &amp; " " &amp; IF(SUMPRODUCT(-- ISNUMBER(SEARCH({"Unique","Unique Case Insensitive"}, $R184))) &gt; 0, "(" &amp; $R184 &amp; ")", ""))))</f>
        <v>na</v>
      </c>
      <c r="E184" s="7" t="s">
        <v>195</v>
      </c>
      <c r="F184" s="7" t="s">
        <v>195</v>
      </c>
      <c r="G184" s="7" t="s">
        <v>195</v>
      </c>
      <c r="H184" s="7" t="s">
        <v>195</v>
      </c>
      <c r="I184" s="7" t="s">
        <v>195</v>
      </c>
      <c r="J184" s="7" t="s">
        <v>195</v>
      </c>
      <c r="K184" s="7" t="s">
        <v>195</v>
      </c>
      <c r="L184" s="7" t="s">
        <v>195</v>
      </c>
      <c r="M184" s="7" t="s">
        <v>29</v>
      </c>
      <c r="N184" s="7" t="s">
        <v>29</v>
      </c>
      <c r="O184" s="7" t="s">
        <v>29</v>
      </c>
      <c r="P184" s="7" t="s">
        <v>29</v>
      </c>
      <c r="Q184" s="7" t="s">
        <v>29</v>
      </c>
      <c r="R184" s="7" t="s">
        <v>29</v>
      </c>
      <c r="S184" s="7" t="s">
        <v>29</v>
      </c>
    </row>
    <row r="185" spans="2:19">
      <c r="B185" s="7" t="s">
        <v>195</v>
      </c>
      <c r="C185" s="8" t="s">
        <v>195</v>
      </c>
      <c r="D185" s="5" t="str">
        <f>LRTRIM(CONCATENATE(IF(SUMPRODUCT(-- ISNUMBER(SEARCH({"Auto Number"}, $B185))) &gt; 0, $B185, IF(SUMPRODUCT(-- ISNUMBER(SEARCH({"Lookup","Master-Detail"}, $B185))) &gt; 0,$B185 &amp; "(" &amp; $E185 &amp; ")",IF(SUMPRODUCT(-- ISNUMBER(SEARCH({"Formula","Roll-Up Summary"}, $B185))) &gt; 0,$B185 &amp; " (" &amp; $E185 &amp; ")",IF(SUMPRODUCT(-- ISNUMBER(SEARCH({"Content","Currency","Number","Percent","Text","URL"}, $B185))) &gt; 0,$B185 &amp; "(" &amp; $C185 &amp; ")",$B185)))), "  ", TRIM(IF($S185 = "YES", "(External ID)", "") &amp; " " &amp; IF(SUMPRODUCT(-- ISNUMBER(SEARCH({"Unique","Unique Case Insensitive"}, $R185))) &gt; 0, "(" &amp; $R185 &amp; ")", ""))))</f>
        <v>na</v>
      </c>
      <c r="E185" s="7" t="s">
        <v>195</v>
      </c>
      <c r="F185" s="7" t="s">
        <v>195</v>
      </c>
      <c r="G185" s="7" t="s">
        <v>195</v>
      </c>
      <c r="H185" s="7" t="s">
        <v>195</v>
      </c>
      <c r="I185" s="7" t="s">
        <v>195</v>
      </c>
      <c r="J185" s="7" t="s">
        <v>195</v>
      </c>
      <c r="K185" s="7" t="s">
        <v>195</v>
      </c>
      <c r="L185" s="7" t="s">
        <v>195</v>
      </c>
      <c r="M185" s="7" t="s">
        <v>29</v>
      </c>
      <c r="N185" s="7" t="s">
        <v>29</v>
      </c>
      <c r="O185" s="7" t="s">
        <v>29</v>
      </c>
      <c r="P185" s="7" t="s">
        <v>29</v>
      </c>
      <c r="Q185" s="7" t="s">
        <v>29</v>
      </c>
      <c r="R185" s="7" t="s">
        <v>29</v>
      </c>
      <c r="S185" s="7" t="s">
        <v>29</v>
      </c>
    </row>
    <row r="186" spans="2:19">
      <c r="B186" s="7" t="s">
        <v>195</v>
      </c>
      <c r="C186" s="8" t="s">
        <v>195</v>
      </c>
      <c r="D186" s="5" t="str">
        <f>LRTRIM(CONCATENATE(IF(SUMPRODUCT(-- ISNUMBER(SEARCH({"Auto Number"}, $B186))) &gt; 0, $B186, IF(SUMPRODUCT(-- ISNUMBER(SEARCH({"Lookup","Master-Detail"}, $B186))) &gt; 0,$B186 &amp; "(" &amp; $E186 &amp; ")",IF(SUMPRODUCT(-- ISNUMBER(SEARCH({"Formula","Roll-Up Summary"}, $B186))) &gt; 0,$B186 &amp; " (" &amp; $E186 &amp; ")",IF(SUMPRODUCT(-- ISNUMBER(SEARCH({"Content","Currency","Number","Percent","Text","URL"}, $B186))) &gt; 0,$B186 &amp; "(" &amp; $C186 &amp; ")",$B186)))), "  ", TRIM(IF($S186 = "YES", "(External ID)", "") &amp; " " &amp; IF(SUMPRODUCT(-- ISNUMBER(SEARCH({"Unique","Unique Case Insensitive"}, $R186))) &gt; 0, "(" &amp; $R186 &amp; ")", ""))))</f>
        <v>na</v>
      </c>
      <c r="E186" s="7" t="s">
        <v>195</v>
      </c>
      <c r="F186" s="7" t="s">
        <v>195</v>
      </c>
      <c r="G186" s="7" t="s">
        <v>195</v>
      </c>
      <c r="H186" s="7" t="s">
        <v>195</v>
      </c>
      <c r="I186" s="7" t="s">
        <v>195</v>
      </c>
      <c r="J186" s="7" t="s">
        <v>195</v>
      </c>
      <c r="K186" s="7" t="s">
        <v>195</v>
      </c>
      <c r="L186" s="7" t="s">
        <v>195</v>
      </c>
      <c r="M186" s="7" t="s">
        <v>29</v>
      </c>
      <c r="N186" s="7" t="s">
        <v>29</v>
      </c>
      <c r="O186" s="7" t="s">
        <v>29</v>
      </c>
      <c r="P186" s="7" t="s">
        <v>29</v>
      </c>
      <c r="Q186" s="7" t="s">
        <v>29</v>
      </c>
      <c r="R186" s="7" t="s">
        <v>29</v>
      </c>
      <c r="S186" s="7" t="s">
        <v>29</v>
      </c>
    </row>
    <row r="187" spans="2:19">
      <c r="B187" s="7" t="s">
        <v>195</v>
      </c>
      <c r="C187" s="8" t="s">
        <v>195</v>
      </c>
      <c r="D187" s="5" t="str">
        <f>LRTRIM(CONCATENATE(IF(SUMPRODUCT(-- ISNUMBER(SEARCH({"Auto Number"}, $B187))) &gt; 0, $B187, IF(SUMPRODUCT(-- ISNUMBER(SEARCH({"Lookup","Master-Detail"}, $B187))) &gt; 0,$B187 &amp; "(" &amp; $E187 &amp; ")",IF(SUMPRODUCT(-- ISNUMBER(SEARCH({"Formula","Roll-Up Summary"}, $B187))) &gt; 0,$B187 &amp; " (" &amp; $E187 &amp; ")",IF(SUMPRODUCT(-- ISNUMBER(SEARCH({"Content","Currency","Number","Percent","Text","URL"}, $B187))) &gt; 0,$B187 &amp; "(" &amp; $C187 &amp; ")",$B187)))), "  ", TRIM(IF($S187 = "YES", "(External ID)", "") &amp; " " &amp; IF(SUMPRODUCT(-- ISNUMBER(SEARCH({"Unique","Unique Case Insensitive"}, $R187))) &gt; 0, "(" &amp; $R187 &amp; ")", ""))))</f>
        <v>na</v>
      </c>
      <c r="E187" s="7" t="s">
        <v>195</v>
      </c>
      <c r="F187" s="7" t="s">
        <v>195</v>
      </c>
      <c r="G187" s="7" t="s">
        <v>195</v>
      </c>
      <c r="H187" s="7" t="s">
        <v>195</v>
      </c>
      <c r="I187" s="7" t="s">
        <v>195</v>
      </c>
      <c r="J187" s="7" t="s">
        <v>195</v>
      </c>
      <c r="K187" s="7" t="s">
        <v>195</v>
      </c>
      <c r="L187" s="7" t="s">
        <v>195</v>
      </c>
      <c r="M187" s="7" t="s">
        <v>29</v>
      </c>
      <c r="N187" s="7" t="s">
        <v>29</v>
      </c>
      <c r="O187" s="7" t="s">
        <v>29</v>
      </c>
      <c r="P187" s="7" t="s">
        <v>29</v>
      </c>
      <c r="Q187" s="7" t="s">
        <v>29</v>
      </c>
      <c r="R187" s="7" t="s">
        <v>29</v>
      </c>
      <c r="S187" s="7" t="s">
        <v>29</v>
      </c>
    </row>
    <row r="188" spans="2:19">
      <c r="B188" s="7" t="s">
        <v>195</v>
      </c>
      <c r="C188" s="8" t="s">
        <v>195</v>
      </c>
      <c r="D188" s="5" t="str">
        <f>LRTRIM(CONCATENATE(IF(SUMPRODUCT(-- ISNUMBER(SEARCH({"Auto Number"}, $B188))) &gt; 0, $B188, IF(SUMPRODUCT(-- ISNUMBER(SEARCH({"Lookup","Master-Detail"}, $B188))) &gt; 0,$B188 &amp; "(" &amp; $E188 &amp; ")",IF(SUMPRODUCT(-- ISNUMBER(SEARCH({"Formula","Roll-Up Summary"}, $B188))) &gt; 0,$B188 &amp; " (" &amp; $E188 &amp; ")",IF(SUMPRODUCT(-- ISNUMBER(SEARCH({"Content","Currency","Number","Percent","Text","URL"}, $B188))) &gt; 0,$B188 &amp; "(" &amp; $C188 &amp; ")",$B188)))), "  ", TRIM(IF($S188 = "YES", "(External ID)", "") &amp; " " &amp; IF(SUMPRODUCT(-- ISNUMBER(SEARCH({"Unique","Unique Case Insensitive"}, $R188))) &gt; 0, "(" &amp; $R188 &amp; ")", ""))))</f>
        <v>na</v>
      </c>
      <c r="E188" s="7" t="s">
        <v>195</v>
      </c>
      <c r="F188" s="7" t="s">
        <v>195</v>
      </c>
      <c r="G188" s="7" t="s">
        <v>195</v>
      </c>
      <c r="H188" s="7" t="s">
        <v>195</v>
      </c>
      <c r="I188" s="7" t="s">
        <v>195</v>
      </c>
      <c r="J188" s="7" t="s">
        <v>195</v>
      </c>
      <c r="K188" s="7" t="s">
        <v>195</v>
      </c>
      <c r="L188" s="7" t="s">
        <v>195</v>
      </c>
      <c r="M188" s="7" t="s">
        <v>29</v>
      </c>
      <c r="N188" s="7" t="s">
        <v>29</v>
      </c>
      <c r="O188" s="7" t="s">
        <v>29</v>
      </c>
      <c r="P188" s="7" t="s">
        <v>29</v>
      </c>
      <c r="Q188" s="7" t="s">
        <v>29</v>
      </c>
      <c r="R188" s="7" t="s">
        <v>29</v>
      </c>
      <c r="S188" s="7" t="s">
        <v>29</v>
      </c>
    </row>
    <row r="189" spans="2:19">
      <c r="B189" s="7" t="s">
        <v>195</v>
      </c>
      <c r="C189" s="8" t="s">
        <v>195</v>
      </c>
      <c r="D189" s="5" t="str">
        <f>LRTRIM(CONCATENATE(IF(SUMPRODUCT(-- ISNUMBER(SEARCH({"Auto Number"}, $B189))) &gt; 0, $B189, IF(SUMPRODUCT(-- ISNUMBER(SEARCH({"Lookup","Master-Detail"}, $B189))) &gt; 0,$B189 &amp; "(" &amp; $E189 &amp; ")",IF(SUMPRODUCT(-- ISNUMBER(SEARCH({"Formula","Roll-Up Summary"}, $B189))) &gt; 0,$B189 &amp; " (" &amp; $E189 &amp; ")",IF(SUMPRODUCT(-- ISNUMBER(SEARCH({"Content","Currency","Number","Percent","Text","URL"}, $B189))) &gt; 0,$B189 &amp; "(" &amp; $C189 &amp; ")",$B189)))), "  ", TRIM(IF($S189 = "YES", "(External ID)", "") &amp; " " &amp; IF(SUMPRODUCT(-- ISNUMBER(SEARCH({"Unique","Unique Case Insensitive"}, $R189))) &gt; 0, "(" &amp; $R189 &amp; ")", ""))))</f>
        <v>na</v>
      </c>
      <c r="E189" s="7" t="s">
        <v>195</v>
      </c>
      <c r="F189" s="7" t="s">
        <v>195</v>
      </c>
      <c r="G189" s="7" t="s">
        <v>195</v>
      </c>
      <c r="H189" s="7" t="s">
        <v>195</v>
      </c>
      <c r="I189" s="7" t="s">
        <v>195</v>
      </c>
      <c r="J189" s="7" t="s">
        <v>195</v>
      </c>
      <c r="K189" s="7" t="s">
        <v>195</v>
      </c>
      <c r="L189" s="7" t="s">
        <v>195</v>
      </c>
      <c r="M189" s="7" t="s">
        <v>29</v>
      </c>
      <c r="N189" s="7" t="s">
        <v>29</v>
      </c>
      <c r="O189" s="7" t="s">
        <v>29</v>
      </c>
      <c r="P189" s="7" t="s">
        <v>29</v>
      </c>
      <c r="Q189" s="7" t="s">
        <v>29</v>
      </c>
      <c r="R189" s="7" t="s">
        <v>29</v>
      </c>
      <c r="S189" s="7" t="s">
        <v>29</v>
      </c>
    </row>
    <row r="190" spans="2:19">
      <c r="B190" s="7" t="s">
        <v>195</v>
      </c>
      <c r="C190" s="8" t="s">
        <v>195</v>
      </c>
      <c r="D190" s="5" t="str">
        <f>LRTRIM(CONCATENATE(IF(SUMPRODUCT(-- ISNUMBER(SEARCH({"Auto Number"}, $B190))) &gt; 0, $B190, IF(SUMPRODUCT(-- ISNUMBER(SEARCH({"Lookup","Master-Detail"}, $B190))) &gt; 0,$B190 &amp; "(" &amp; $E190 &amp; ")",IF(SUMPRODUCT(-- ISNUMBER(SEARCH({"Formula","Roll-Up Summary"}, $B190))) &gt; 0,$B190 &amp; " (" &amp; $E190 &amp; ")",IF(SUMPRODUCT(-- ISNUMBER(SEARCH({"Content","Currency","Number","Percent","Text","URL"}, $B190))) &gt; 0,$B190 &amp; "(" &amp; $C190 &amp; ")",$B190)))), "  ", TRIM(IF($S190 = "YES", "(External ID)", "") &amp; " " &amp; IF(SUMPRODUCT(-- ISNUMBER(SEARCH({"Unique","Unique Case Insensitive"}, $R190))) &gt; 0, "(" &amp; $R190 &amp; ")", ""))))</f>
        <v>na</v>
      </c>
      <c r="E190" s="7" t="s">
        <v>195</v>
      </c>
      <c r="F190" s="7" t="s">
        <v>195</v>
      </c>
      <c r="G190" s="7" t="s">
        <v>195</v>
      </c>
      <c r="H190" s="7" t="s">
        <v>195</v>
      </c>
      <c r="I190" s="7" t="s">
        <v>195</v>
      </c>
      <c r="J190" s="7" t="s">
        <v>195</v>
      </c>
      <c r="K190" s="7" t="s">
        <v>195</v>
      </c>
      <c r="L190" s="7" t="s">
        <v>195</v>
      </c>
      <c r="M190" s="7" t="s">
        <v>29</v>
      </c>
      <c r="N190" s="7" t="s">
        <v>29</v>
      </c>
      <c r="O190" s="7" t="s">
        <v>29</v>
      </c>
      <c r="P190" s="7" t="s">
        <v>29</v>
      </c>
      <c r="Q190" s="7" t="s">
        <v>29</v>
      </c>
      <c r="R190" s="7" t="s">
        <v>29</v>
      </c>
      <c r="S190" s="7" t="s">
        <v>29</v>
      </c>
    </row>
    <row r="191" spans="2:19">
      <c r="B191" s="7" t="s">
        <v>195</v>
      </c>
      <c r="C191" s="8" t="s">
        <v>195</v>
      </c>
      <c r="D191" s="5" t="str">
        <f>LRTRIM(CONCATENATE(IF(SUMPRODUCT(-- ISNUMBER(SEARCH({"Auto Number"}, $B191))) &gt; 0, $B191, IF(SUMPRODUCT(-- ISNUMBER(SEARCH({"Lookup","Master-Detail"}, $B191))) &gt; 0,$B191 &amp; "(" &amp; $E191 &amp; ")",IF(SUMPRODUCT(-- ISNUMBER(SEARCH({"Formula","Roll-Up Summary"}, $B191))) &gt; 0,$B191 &amp; " (" &amp; $E191 &amp; ")",IF(SUMPRODUCT(-- ISNUMBER(SEARCH({"Content","Currency","Number","Percent","Text","URL"}, $B191))) &gt; 0,$B191 &amp; "(" &amp; $C191 &amp; ")",$B191)))), "  ", TRIM(IF($S191 = "YES", "(External ID)", "") &amp; " " &amp; IF(SUMPRODUCT(-- ISNUMBER(SEARCH({"Unique","Unique Case Insensitive"}, $R191))) &gt; 0, "(" &amp; $R191 &amp; ")", ""))))</f>
        <v>na</v>
      </c>
      <c r="E191" s="7" t="s">
        <v>195</v>
      </c>
      <c r="F191" s="7" t="s">
        <v>195</v>
      </c>
      <c r="G191" s="7" t="s">
        <v>195</v>
      </c>
      <c r="H191" s="7" t="s">
        <v>195</v>
      </c>
      <c r="I191" s="7" t="s">
        <v>195</v>
      </c>
      <c r="J191" s="7" t="s">
        <v>195</v>
      </c>
      <c r="K191" s="7" t="s">
        <v>195</v>
      </c>
      <c r="L191" s="7" t="s">
        <v>195</v>
      </c>
      <c r="M191" s="7" t="s">
        <v>29</v>
      </c>
      <c r="N191" s="7" t="s">
        <v>29</v>
      </c>
      <c r="O191" s="7" t="s">
        <v>29</v>
      </c>
      <c r="P191" s="7" t="s">
        <v>29</v>
      </c>
      <c r="Q191" s="7" t="s">
        <v>29</v>
      </c>
      <c r="R191" s="7" t="s">
        <v>29</v>
      </c>
      <c r="S191" s="7" t="s">
        <v>29</v>
      </c>
    </row>
    <row r="192" spans="2:19">
      <c r="B192" s="7" t="s">
        <v>195</v>
      </c>
      <c r="C192" s="8" t="s">
        <v>195</v>
      </c>
      <c r="D192" s="5" t="str">
        <f>LRTRIM(CONCATENATE(IF(SUMPRODUCT(-- ISNUMBER(SEARCH({"Auto Number"}, $B192))) &gt; 0, $B192, IF(SUMPRODUCT(-- ISNUMBER(SEARCH({"Lookup","Master-Detail"}, $B192))) &gt; 0,$B192 &amp; "(" &amp; $E192 &amp; ")",IF(SUMPRODUCT(-- ISNUMBER(SEARCH({"Formula","Roll-Up Summary"}, $B192))) &gt; 0,$B192 &amp; " (" &amp; $E192 &amp; ")",IF(SUMPRODUCT(-- ISNUMBER(SEARCH({"Content","Currency","Number","Percent","Text","URL"}, $B192))) &gt; 0,$B192 &amp; "(" &amp; $C192 &amp; ")",$B192)))), "  ", TRIM(IF($S192 = "YES", "(External ID)", "") &amp; " " &amp; IF(SUMPRODUCT(-- ISNUMBER(SEARCH({"Unique","Unique Case Insensitive"}, $R192))) &gt; 0, "(" &amp; $R192 &amp; ")", ""))))</f>
        <v>na</v>
      </c>
      <c r="E192" s="7" t="s">
        <v>195</v>
      </c>
      <c r="F192" s="7" t="s">
        <v>195</v>
      </c>
      <c r="G192" s="7" t="s">
        <v>195</v>
      </c>
      <c r="H192" s="7" t="s">
        <v>195</v>
      </c>
      <c r="I192" s="7" t="s">
        <v>195</v>
      </c>
      <c r="J192" s="7" t="s">
        <v>195</v>
      </c>
      <c r="K192" s="7" t="s">
        <v>195</v>
      </c>
      <c r="L192" s="7" t="s">
        <v>195</v>
      </c>
      <c r="M192" s="7" t="s">
        <v>29</v>
      </c>
      <c r="N192" s="7" t="s">
        <v>29</v>
      </c>
      <c r="O192" s="7" t="s">
        <v>29</v>
      </c>
      <c r="P192" s="7" t="s">
        <v>29</v>
      </c>
      <c r="Q192" s="7" t="s">
        <v>29</v>
      </c>
      <c r="R192" s="7" t="s">
        <v>29</v>
      </c>
      <c r="S192" s="7" t="s">
        <v>29</v>
      </c>
    </row>
    <row r="193" spans="2:19">
      <c r="B193" s="7" t="s">
        <v>195</v>
      </c>
      <c r="C193" s="8" t="s">
        <v>195</v>
      </c>
      <c r="D193" s="5" t="str">
        <f>LRTRIM(CONCATENATE(IF(SUMPRODUCT(-- ISNUMBER(SEARCH({"Auto Number"}, $B193))) &gt; 0, $B193, IF(SUMPRODUCT(-- ISNUMBER(SEARCH({"Lookup","Master-Detail"}, $B193))) &gt; 0,$B193 &amp; "(" &amp; $E193 &amp; ")",IF(SUMPRODUCT(-- ISNUMBER(SEARCH({"Formula","Roll-Up Summary"}, $B193))) &gt; 0,$B193 &amp; " (" &amp; $E193 &amp; ")",IF(SUMPRODUCT(-- ISNUMBER(SEARCH({"Content","Currency","Number","Percent","Text","URL"}, $B193))) &gt; 0,$B193 &amp; "(" &amp; $C193 &amp; ")",$B193)))), "  ", TRIM(IF($S193 = "YES", "(External ID)", "") &amp; " " &amp; IF(SUMPRODUCT(-- ISNUMBER(SEARCH({"Unique","Unique Case Insensitive"}, $R193))) &gt; 0, "(" &amp; $R193 &amp; ")", ""))))</f>
        <v>na</v>
      </c>
      <c r="E193" s="7" t="s">
        <v>195</v>
      </c>
      <c r="F193" s="7" t="s">
        <v>195</v>
      </c>
      <c r="G193" s="7" t="s">
        <v>195</v>
      </c>
      <c r="H193" s="7" t="s">
        <v>195</v>
      </c>
      <c r="I193" s="7" t="s">
        <v>195</v>
      </c>
      <c r="J193" s="7" t="s">
        <v>195</v>
      </c>
      <c r="K193" s="7" t="s">
        <v>195</v>
      </c>
      <c r="L193" s="7" t="s">
        <v>195</v>
      </c>
      <c r="M193" s="7" t="s">
        <v>29</v>
      </c>
      <c r="N193" s="7" t="s">
        <v>29</v>
      </c>
      <c r="O193" s="7" t="s">
        <v>29</v>
      </c>
      <c r="P193" s="7" t="s">
        <v>29</v>
      </c>
      <c r="Q193" s="7" t="s">
        <v>29</v>
      </c>
      <c r="R193" s="7" t="s">
        <v>29</v>
      </c>
      <c r="S193" s="7" t="s">
        <v>29</v>
      </c>
    </row>
    <row r="194" spans="2:19">
      <c r="B194" s="7" t="s">
        <v>195</v>
      </c>
      <c r="C194" s="8" t="s">
        <v>195</v>
      </c>
      <c r="D194" s="5" t="str">
        <f>LRTRIM(CONCATENATE(IF(SUMPRODUCT(-- ISNUMBER(SEARCH({"Auto Number"}, $B194))) &gt; 0, $B194, IF(SUMPRODUCT(-- ISNUMBER(SEARCH({"Lookup","Master-Detail"}, $B194))) &gt; 0,$B194 &amp; "(" &amp; $E194 &amp; ")",IF(SUMPRODUCT(-- ISNUMBER(SEARCH({"Formula","Roll-Up Summary"}, $B194))) &gt; 0,$B194 &amp; " (" &amp; $E194 &amp; ")",IF(SUMPRODUCT(-- ISNUMBER(SEARCH({"Content","Currency","Number","Percent","Text","URL"}, $B194))) &gt; 0,$B194 &amp; "(" &amp; $C194 &amp; ")",$B194)))), "  ", TRIM(IF($S194 = "YES", "(External ID)", "") &amp; " " &amp; IF(SUMPRODUCT(-- ISNUMBER(SEARCH({"Unique","Unique Case Insensitive"}, $R194))) &gt; 0, "(" &amp; $R194 &amp; ")", ""))))</f>
        <v>na</v>
      </c>
      <c r="E194" s="7" t="s">
        <v>195</v>
      </c>
      <c r="F194" s="7" t="s">
        <v>195</v>
      </c>
      <c r="G194" s="7" t="s">
        <v>195</v>
      </c>
      <c r="H194" s="7" t="s">
        <v>195</v>
      </c>
      <c r="I194" s="7" t="s">
        <v>195</v>
      </c>
      <c r="J194" s="7" t="s">
        <v>195</v>
      </c>
      <c r="K194" s="7" t="s">
        <v>195</v>
      </c>
      <c r="L194" s="7" t="s">
        <v>195</v>
      </c>
      <c r="M194" s="7" t="s">
        <v>29</v>
      </c>
      <c r="N194" s="7" t="s">
        <v>29</v>
      </c>
      <c r="O194" s="7" t="s">
        <v>29</v>
      </c>
      <c r="P194" s="7" t="s">
        <v>29</v>
      </c>
      <c r="Q194" s="7" t="s">
        <v>29</v>
      </c>
      <c r="R194" s="7" t="s">
        <v>29</v>
      </c>
      <c r="S194" s="7" t="s">
        <v>29</v>
      </c>
    </row>
    <row r="195" spans="2:19">
      <c r="B195" s="7" t="s">
        <v>195</v>
      </c>
      <c r="C195" s="8" t="s">
        <v>195</v>
      </c>
      <c r="D195" s="5" t="str">
        <f>LRTRIM(CONCATENATE(IF(SUMPRODUCT(-- ISNUMBER(SEARCH({"Auto Number"}, $B195))) &gt; 0, $B195, IF(SUMPRODUCT(-- ISNUMBER(SEARCH({"Lookup","Master-Detail"}, $B195))) &gt; 0,$B195 &amp; "(" &amp; $E195 &amp; ")",IF(SUMPRODUCT(-- ISNUMBER(SEARCH({"Formula","Roll-Up Summary"}, $B195))) &gt; 0,$B195 &amp; " (" &amp; $E195 &amp; ")",IF(SUMPRODUCT(-- ISNUMBER(SEARCH({"Content","Currency","Number","Percent","Text","URL"}, $B195))) &gt; 0,$B195 &amp; "(" &amp; $C195 &amp; ")",$B195)))), "  ", TRIM(IF($S195 = "YES", "(External ID)", "") &amp; " " &amp; IF(SUMPRODUCT(-- ISNUMBER(SEARCH({"Unique","Unique Case Insensitive"}, $R195))) &gt; 0, "(" &amp; $R195 &amp; ")", ""))))</f>
        <v>na</v>
      </c>
      <c r="E195" s="7" t="s">
        <v>195</v>
      </c>
      <c r="F195" s="7" t="s">
        <v>195</v>
      </c>
      <c r="G195" s="7" t="s">
        <v>195</v>
      </c>
      <c r="H195" s="7" t="s">
        <v>195</v>
      </c>
      <c r="I195" s="7" t="s">
        <v>195</v>
      </c>
      <c r="J195" s="7" t="s">
        <v>195</v>
      </c>
      <c r="K195" s="7" t="s">
        <v>195</v>
      </c>
      <c r="L195" s="7" t="s">
        <v>195</v>
      </c>
      <c r="M195" s="7" t="s">
        <v>29</v>
      </c>
      <c r="N195" s="7" t="s">
        <v>29</v>
      </c>
      <c r="O195" s="7" t="s">
        <v>29</v>
      </c>
      <c r="P195" s="7" t="s">
        <v>29</v>
      </c>
      <c r="Q195" s="7" t="s">
        <v>29</v>
      </c>
      <c r="R195" s="7" t="s">
        <v>29</v>
      </c>
      <c r="S195" s="7" t="s">
        <v>29</v>
      </c>
    </row>
    <row r="196" spans="2:19">
      <c r="B196" s="7" t="s">
        <v>195</v>
      </c>
      <c r="C196" s="8" t="s">
        <v>195</v>
      </c>
      <c r="D196" s="5" t="str">
        <f>LRTRIM(CONCATENATE(IF(SUMPRODUCT(-- ISNUMBER(SEARCH({"Auto Number"}, $B196))) &gt; 0, $B196, IF(SUMPRODUCT(-- ISNUMBER(SEARCH({"Lookup","Master-Detail"}, $B196))) &gt; 0,$B196 &amp; "(" &amp; $E196 &amp; ")",IF(SUMPRODUCT(-- ISNUMBER(SEARCH({"Formula","Roll-Up Summary"}, $B196))) &gt; 0,$B196 &amp; " (" &amp; $E196 &amp; ")",IF(SUMPRODUCT(-- ISNUMBER(SEARCH({"Content","Currency","Number","Percent","Text","URL"}, $B196))) &gt; 0,$B196 &amp; "(" &amp; $C196 &amp; ")",$B196)))), "  ", TRIM(IF($S196 = "YES", "(External ID)", "") &amp; " " &amp; IF(SUMPRODUCT(-- ISNUMBER(SEARCH({"Unique","Unique Case Insensitive"}, $R196))) &gt; 0, "(" &amp; $R196 &amp; ")", ""))))</f>
        <v>na</v>
      </c>
      <c r="E196" s="7" t="s">
        <v>195</v>
      </c>
      <c r="F196" s="7" t="s">
        <v>195</v>
      </c>
      <c r="G196" s="7" t="s">
        <v>195</v>
      </c>
      <c r="H196" s="7" t="s">
        <v>195</v>
      </c>
      <c r="I196" s="7" t="s">
        <v>195</v>
      </c>
      <c r="J196" s="7" t="s">
        <v>195</v>
      </c>
      <c r="K196" s="7" t="s">
        <v>195</v>
      </c>
      <c r="L196" s="7" t="s">
        <v>195</v>
      </c>
      <c r="M196" s="7" t="s">
        <v>29</v>
      </c>
      <c r="N196" s="7" t="s">
        <v>29</v>
      </c>
      <c r="O196" s="7" t="s">
        <v>29</v>
      </c>
      <c r="P196" s="7" t="s">
        <v>29</v>
      </c>
      <c r="Q196" s="7" t="s">
        <v>29</v>
      </c>
      <c r="R196" s="7" t="s">
        <v>29</v>
      </c>
      <c r="S196" s="7" t="s">
        <v>29</v>
      </c>
    </row>
    <row r="197" spans="2:19">
      <c r="B197" s="7" t="s">
        <v>195</v>
      </c>
      <c r="C197" s="8" t="s">
        <v>195</v>
      </c>
      <c r="D197" s="5" t="str">
        <f>LRTRIM(CONCATENATE(IF(SUMPRODUCT(-- ISNUMBER(SEARCH({"Auto Number"}, $B197))) &gt; 0, $B197, IF(SUMPRODUCT(-- ISNUMBER(SEARCH({"Lookup","Master-Detail"}, $B197))) &gt; 0,$B197 &amp; "(" &amp; $E197 &amp; ")",IF(SUMPRODUCT(-- ISNUMBER(SEARCH({"Formula","Roll-Up Summary"}, $B197))) &gt; 0,$B197 &amp; " (" &amp; $E197 &amp; ")",IF(SUMPRODUCT(-- ISNUMBER(SEARCH({"Content","Currency","Number","Percent","Text","URL"}, $B197))) &gt; 0,$B197 &amp; "(" &amp; $C197 &amp; ")",$B197)))), "  ", TRIM(IF($S197 = "YES", "(External ID)", "") &amp; " " &amp; IF(SUMPRODUCT(-- ISNUMBER(SEARCH({"Unique","Unique Case Insensitive"}, $R197))) &gt; 0, "(" &amp; $R197 &amp; ")", ""))))</f>
        <v>na</v>
      </c>
      <c r="E197" s="7" t="s">
        <v>195</v>
      </c>
      <c r="F197" s="7" t="s">
        <v>195</v>
      </c>
      <c r="G197" s="7" t="s">
        <v>195</v>
      </c>
      <c r="H197" s="7" t="s">
        <v>195</v>
      </c>
      <c r="I197" s="7" t="s">
        <v>195</v>
      </c>
      <c r="J197" s="7" t="s">
        <v>195</v>
      </c>
      <c r="K197" s="7" t="s">
        <v>195</v>
      </c>
      <c r="L197" s="7" t="s">
        <v>195</v>
      </c>
      <c r="M197" s="7" t="s">
        <v>29</v>
      </c>
      <c r="N197" s="7" t="s">
        <v>29</v>
      </c>
      <c r="O197" s="7" t="s">
        <v>29</v>
      </c>
      <c r="P197" s="7" t="s">
        <v>29</v>
      </c>
      <c r="Q197" s="7" t="s">
        <v>29</v>
      </c>
      <c r="R197" s="7" t="s">
        <v>29</v>
      </c>
      <c r="S197" s="7" t="s">
        <v>29</v>
      </c>
    </row>
    <row r="198" spans="2:19">
      <c r="B198" s="7" t="s">
        <v>195</v>
      </c>
      <c r="C198" s="8" t="s">
        <v>195</v>
      </c>
      <c r="D198" s="5" t="str">
        <f>LRTRIM(CONCATENATE(IF(SUMPRODUCT(-- ISNUMBER(SEARCH({"Auto Number"}, $B198))) &gt; 0, $B198, IF(SUMPRODUCT(-- ISNUMBER(SEARCH({"Lookup","Master-Detail"}, $B198))) &gt; 0,$B198 &amp; "(" &amp; $E198 &amp; ")",IF(SUMPRODUCT(-- ISNUMBER(SEARCH({"Formula","Roll-Up Summary"}, $B198))) &gt; 0,$B198 &amp; " (" &amp; $E198 &amp; ")",IF(SUMPRODUCT(-- ISNUMBER(SEARCH({"Content","Currency","Number","Percent","Text","URL"}, $B198))) &gt; 0,$B198 &amp; "(" &amp; $C198 &amp; ")",$B198)))), "  ", TRIM(IF($S198 = "YES", "(External ID)", "") &amp; " " &amp; IF(SUMPRODUCT(-- ISNUMBER(SEARCH({"Unique","Unique Case Insensitive"}, $R198))) &gt; 0, "(" &amp; $R198 &amp; ")", ""))))</f>
        <v>na</v>
      </c>
      <c r="E198" s="7" t="s">
        <v>195</v>
      </c>
      <c r="F198" s="7" t="s">
        <v>195</v>
      </c>
      <c r="G198" s="7" t="s">
        <v>195</v>
      </c>
      <c r="H198" s="7" t="s">
        <v>195</v>
      </c>
      <c r="I198" s="7" t="s">
        <v>195</v>
      </c>
      <c r="J198" s="7" t="s">
        <v>195</v>
      </c>
      <c r="K198" s="7" t="s">
        <v>195</v>
      </c>
      <c r="L198" s="7" t="s">
        <v>195</v>
      </c>
      <c r="M198" s="7" t="s">
        <v>29</v>
      </c>
      <c r="N198" s="7" t="s">
        <v>29</v>
      </c>
      <c r="O198" s="7" t="s">
        <v>29</v>
      </c>
      <c r="P198" s="7" t="s">
        <v>29</v>
      </c>
      <c r="Q198" s="7" t="s">
        <v>29</v>
      </c>
      <c r="R198" s="7" t="s">
        <v>29</v>
      </c>
      <c r="S198" s="7" t="s">
        <v>29</v>
      </c>
    </row>
    <row r="199" spans="2:19">
      <c r="B199" s="7" t="s">
        <v>195</v>
      </c>
      <c r="C199" s="8" t="s">
        <v>195</v>
      </c>
      <c r="D199" s="5" t="str">
        <f>LRTRIM(CONCATENATE(IF(SUMPRODUCT(-- ISNUMBER(SEARCH({"Auto Number"}, $B199))) &gt; 0, $B199, IF(SUMPRODUCT(-- ISNUMBER(SEARCH({"Lookup","Master-Detail"}, $B199))) &gt; 0,$B199 &amp; "(" &amp; $E199 &amp; ")",IF(SUMPRODUCT(-- ISNUMBER(SEARCH({"Formula","Roll-Up Summary"}, $B199))) &gt; 0,$B199 &amp; " (" &amp; $E199 &amp; ")",IF(SUMPRODUCT(-- ISNUMBER(SEARCH({"Content","Currency","Number","Percent","Text","URL"}, $B199))) &gt; 0,$B199 &amp; "(" &amp; $C199 &amp; ")",$B199)))), "  ", TRIM(IF($S199 = "YES", "(External ID)", "") &amp; " " &amp; IF(SUMPRODUCT(-- ISNUMBER(SEARCH({"Unique","Unique Case Insensitive"}, $R199))) &gt; 0, "(" &amp; $R199 &amp; ")", ""))))</f>
        <v>na</v>
      </c>
      <c r="E199" s="7" t="s">
        <v>195</v>
      </c>
      <c r="F199" s="7" t="s">
        <v>195</v>
      </c>
      <c r="G199" s="7" t="s">
        <v>195</v>
      </c>
      <c r="H199" s="7" t="s">
        <v>195</v>
      </c>
      <c r="I199" s="7" t="s">
        <v>195</v>
      </c>
      <c r="J199" s="7" t="s">
        <v>195</v>
      </c>
      <c r="K199" s="7" t="s">
        <v>195</v>
      </c>
      <c r="L199" s="7" t="s">
        <v>195</v>
      </c>
      <c r="M199" s="7" t="s">
        <v>29</v>
      </c>
      <c r="N199" s="7" t="s">
        <v>29</v>
      </c>
      <c r="O199" s="7" t="s">
        <v>29</v>
      </c>
      <c r="P199" s="7" t="s">
        <v>29</v>
      </c>
      <c r="Q199" s="7" t="s">
        <v>29</v>
      </c>
      <c r="R199" s="7" t="s">
        <v>29</v>
      </c>
      <c r="S199" s="7" t="s">
        <v>29</v>
      </c>
    </row>
    <row r="200" spans="2:19">
      <c r="B200" s="7" t="s">
        <v>195</v>
      </c>
      <c r="C200" s="8" t="s">
        <v>195</v>
      </c>
      <c r="D200" s="5" t="str">
        <f>LRTRIM(CONCATENATE(IF(SUMPRODUCT(-- ISNUMBER(SEARCH({"Auto Number"}, $B200))) &gt; 0, $B200, IF(SUMPRODUCT(-- ISNUMBER(SEARCH({"Lookup","Master-Detail"}, $B200))) &gt; 0,$B200 &amp; "(" &amp; $E200 &amp; ")",IF(SUMPRODUCT(-- ISNUMBER(SEARCH({"Formula","Roll-Up Summary"}, $B200))) &gt; 0,$B200 &amp; " (" &amp; $E200 &amp; ")",IF(SUMPRODUCT(-- ISNUMBER(SEARCH({"Content","Currency","Number","Percent","Text","URL"}, $B200))) &gt; 0,$B200 &amp; "(" &amp; $C200 &amp; ")",$B200)))), "  ", TRIM(IF($S200 = "YES", "(External ID)", "") &amp; " " &amp; IF(SUMPRODUCT(-- ISNUMBER(SEARCH({"Unique","Unique Case Insensitive"}, $R200))) &gt; 0, "(" &amp; $R200 &amp; ")", ""))))</f>
        <v>na</v>
      </c>
      <c r="E200" s="7" t="s">
        <v>195</v>
      </c>
      <c r="F200" s="7" t="s">
        <v>195</v>
      </c>
      <c r="G200" s="7" t="s">
        <v>195</v>
      </c>
      <c r="H200" s="7" t="s">
        <v>195</v>
      </c>
      <c r="I200" s="7" t="s">
        <v>195</v>
      </c>
      <c r="J200" s="7" t="s">
        <v>195</v>
      </c>
      <c r="K200" s="7" t="s">
        <v>195</v>
      </c>
      <c r="L200" s="7" t="s">
        <v>195</v>
      </c>
      <c r="M200" s="7" t="s">
        <v>29</v>
      </c>
      <c r="N200" s="7" t="s">
        <v>29</v>
      </c>
      <c r="O200" s="7" t="s">
        <v>29</v>
      </c>
      <c r="P200" s="7" t="s">
        <v>29</v>
      </c>
      <c r="Q200" s="7" t="s">
        <v>29</v>
      </c>
      <c r="R200" s="7" t="s">
        <v>29</v>
      </c>
      <c r="S200" s="7" t="s">
        <v>29</v>
      </c>
    </row>
    <row r="201" spans="2:19">
      <c r="B201" s="7" t="s">
        <v>195</v>
      </c>
      <c r="C201" s="8" t="s">
        <v>195</v>
      </c>
      <c r="D201" s="5" t="str">
        <f>LRTRIM(CONCATENATE(IF(SUMPRODUCT(-- ISNUMBER(SEARCH({"Auto Number"}, $B201))) &gt; 0, $B201, IF(SUMPRODUCT(-- ISNUMBER(SEARCH({"Lookup","Master-Detail"}, $B201))) &gt; 0,$B201 &amp; "(" &amp; $E201 &amp; ")",IF(SUMPRODUCT(-- ISNUMBER(SEARCH({"Formula","Roll-Up Summary"}, $B201))) &gt; 0,$B201 &amp; " (" &amp; $E201 &amp; ")",IF(SUMPRODUCT(-- ISNUMBER(SEARCH({"Content","Currency","Number","Percent","Text","URL"}, $B201))) &gt; 0,$B201 &amp; "(" &amp; $C201 &amp; ")",$B201)))), "  ", TRIM(IF($S201 = "YES", "(External ID)", "") &amp; " " &amp; IF(SUMPRODUCT(-- ISNUMBER(SEARCH({"Unique","Unique Case Insensitive"}, $R201))) &gt; 0, "(" &amp; $R201 &amp; ")", ""))))</f>
        <v>na</v>
      </c>
      <c r="E201" s="7" t="s">
        <v>195</v>
      </c>
      <c r="F201" s="7" t="s">
        <v>195</v>
      </c>
      <c r="G201" s="7" t="s">
        <v>195</v>
      </c>
      <c r="H201" s="7" t="s">
        <v>195</v>
      </c>
      <c r="I201" s="7" t="s">
        <v>195</v>
      </c>
      <c r="J201" s="7" t="s">
        <v>195</v>
      </c>
      <c r="K201" s="7" t="s">
        <v>195</v>
      </c>
      <c r="L201" s="7" t="s">
        <v>195</v>
      </c>
      <c r="M201" s="7" t="s">
        <v>29</v>
      </c>
      <c r="N201" s="7" t="s">
        <v>29</v>
      </c>
      <c r="O201" s="7" t="s">
        <v>29</v>
      </c>
      <c r="P201" s="7" t="s">
        <v>29</v>
      </c>
      <c r="Q201" s="7" t="s">
        <v>29</v>
      </c>
      <c r="R201" s="7" t="s">
        <v>29</v>
      </c>
      <c r="S201" s="7" t="s">
        <v>29</v>
      </c>
    </row>
  </sheetData>
  <sheetProtection formatCells="0" formatColumns="0" formatRows="0" insertColumns="0" insertRows="0" insertHyperlinks="0" deleteColumns="0" deleteRows="0" sort="0" autoFilter="0" pivotTables="0"/>
  <conditionalFormatting sqref="D2:D53">
    <cfRule type="expression" dxfId="3" priority="3">
      <formula>NOT(_xlfn.ISFORMULA($D2))</formula>
    </cfRule>
  </conditionalFormatting>
  <conditionalFormatting sqref="D54">
    <cfRule type="expression" dxfId="2" priority="2">
      <formula>NOT(_xlfn.ISFORMULA($D54))</formula>
    </cfRule>
  </conditionalFormatting>
  <conditionalFormatting sqref="D55:D201">
    <cfRule type="expression" dxfId="1" priority="1">
      <formula>NOT(_xlfn.ISFORMULA($D55))</formula>
    </cfRule>
  </conditionalFormatting>
  <dataValidations count="1">
    <dataValidation allowBlank="1" showInputMessage="1" showErrorMessage="1" sqref="A2:A53"/>
  </dataValidations>
  <pageMargins left="0.7" right="0.7" top="0.75" bottom="0.75" header="0.3" footer="0.3"/>
  <extLst>
    <ext xmlns:x14="http://schemas.microsoft.com/office/spreadsheetml/2009/9/main" uri="{CCE6A557-97BC-4b89-ADB6-D9C93CAAB3DF}">
      <x14:dataValidations xmlns:xm="http://schemas.microsoft.com/office/excel/2006/main" count="10">
        <x14:dataValidation type="list" allowBlank="1" showInputMessage="1" showErrorMessage="1">
          <x14:formula1>
            <xm:f>OFFSET('Reference Fields'!$J$2,0,0,COUNTA('Reference Fields'!$J:$J)-1)</xm:f>
          </x14:formula1>
          <xm:sqref>M2:Q200</xm:sqref>
        </x14:dataValidation>
        <x14:dataValidation type="list" allowBlank="1" showInputMessage="1" showErrorMessage="1">
          <x14:formula1>
            <xm:f>OFFSET('Reference Fields'!$J$2,0,0,COUNTA('Reference Fields'!$J:$J)-1)</xm:f>
          </x14:formula1>
          <xm:sqref>S2:S200</xm:sqref>
        </x14:dataValidation>
        <x14:dataValidation type="list" allowBlank="1" showInputMessage="1" showErrorMessage="1">
          <x14:formula1>
            <xm:f>OFFSET('Reference Fields'!$K$2,0,0,COUNTA('Reference Fields'!$K:$K)-1)</xm:f>
          </x14:formula1>
          <xm:sqref>R2:R200</xm:sqref>
        </x14:dataValidation>
        <x14:dataValidation type="list" allowBlank="1" showInputMessage="1" showErrorMessage="1">
          <x14:formula1>
            <xm:f>OFFSET('Reference Fields'!$B$2,0,0,COUNTA('Reference Fields'!$B:$B)-1)</xm:f>
          </x14:formula1>
          <xm:sqref>B2:B200</xm:sqref>
        </x14:dataValidation>
        <x14:dataValidation type="list" allowBlank="1" showInputMessage="1" showErrorMessage="1">
          <x14:formula1>
            <xm:f>OFFSET('Reference Fields'!$D$2,0,0,COUNTA('Reference Fields'!$D:$D)-1)</xm:f>
          </x14:formula1>
          <xm:sqref>F2:F200</xm:sqref>
        </x14:dataValidation>
        <x14:dataValidation type="list" allowBlank="1" showInputMessage="1" showErrorMessage="1">
          <x14:formula1>
            <xm:f>OFFSET('Reference Fields'!$E$2,0,0,COUNTA('Reference Fields'!$E:$E)-1)</xm:f>
          </x14:formula1>
          <xm:sqref>G2:G200</xm:sqref>
        </x14:dataValidation>
        <x14:dataValidation type="list" allowBlank="1" showInputMessage="1" showErrorMessage="1">
          <x14:formula1>
            <xm:f>OFFSET('Reference Fields'!$F$2,0,0,COUNTA('Reference Fields'!$F:$F)-1)</xm:f>
          </x14:formula1>
          <xm:sqref>H2:I200</xm:sqref>
        </x14:dataValidation>
        <x14:dataValidation type="list" allowBlank="1" showInputMessage="1" showErrorMessage="1">
          <x14:formula1>
            <xm:f>OFFSET('Reference Fields'!$G$2,0,0,COUNTA('Reference Fields'!$G:$G)-1)</xm:f>
          </x14:formula1>
          <xm:sqref>J2:J200</xm:sqref>
        </x14:dataValidation>
        <x14:dataValidation type="list" allowBlank="1" showInputMessage="1" showErrorMessage="1">
          <x14:formula1>
            <xm:f>OFFSET('Reference Fields'!$H$2,0,0,COUNTA('Reference Fields'!$H:$H)-1)</xm:f>
          </x14:formula1>
          <xm:sqref>K2:K200</xm:sqref>
        </x14:dataValidation>
        <x14:dataValidation type="list" allowBlank="1" showInputMessage="1" showErrorMessage="1">
          <x14:formula1>
            <xm:f>OFFSET('Reference Fields'!$I$2,0,0,COUNTA('Reference Fields'!$I:$I)-1)</xm:f>
          </x14:formula1>
          <xm:sqref>L2:L200</xm:sqref>
        </x14:dataValidation>
      </x14:dataValidations>
    </ext>
  </extLst>
</worksheet>
</file>

<file path=xl/worksheets/sheet17.xml><?xml version="1.0" encoding="utf-8"?>
<worksheet xmlns="http://schemas.openxmlformats.org/spreadsheetml/2006/main" xmlns:r="http://schemas.openxmlformats.org/officeDocument/2006/relationships">
  <sheetPr codeName="Sheet38"/>
  <dimension ref="A1:S200"/>
  <sheetViews>
    <sheetView topLeftCell="B1" workbookViewId="0">
      <selection activeCell="J38" sqref="J38"/>
    </sheetView>
  </sheetViews>
  <sheetFormatPr defaultRowHeight="14.5"/>
  <cols>
    <col min="1" max="1" width="28.08984375" bestFit="1" customWidth="1"/>
    <col min="4" max="4" width="35.7265625" customWidth="1"/>
    <col min="5" max="5" width="19.453125" customWidth="1"/>
    <col min="8" max="8" width="16.7265625" customWidth="1"/>
    <col min="9" max="9" width="13.7265625" customWidth="1"/>
    <col min="10" max="10" width="11.453125" customWidth="1"/>
    <col min="11" max="11" width="15.6328125" customWidth="1"/>
    <col min="12" max="12" width="15.08984375" customWidth="1"/>
    <col min="13" max="13" width="13" customWidth="1"/>
    <col min="15" max="15" width="14.81640625" customWidth="1"/>
    <col min="16" max="16" width="13.08984375" customWidth="1"/>
    <col min="17" max="17" width="12.90625" customWidth="1"/>
  </cols>
  <sheetData>
    <row r="1" spans="1:19">
      <c r="A1" s="1" t="s">
        <v>2</v>
      </c>
      <c r="B1" s="1" t="s">
        <v>1198</v>
      </c>
      <c r="C1" s="1" t="s">
        <v>1199</v>
      </c>
      <c r="D1" s="1" t="s">
        <v>0</v>
      </c>
      <c r="E1" s="1" t="s">
        <v>1</v>
      </c>
      <c r="F1" s="1" t="s">
        <v>30</v>
      </c>
      <c r="G1" s="1" t="s">
        <v>31</v>
      </c>
      <c r="H1" s="1" t="s">
        <v>1262</v>
      </c>
      <c r="I1" s="1" t="s">
        <v>49</v>
      </c>
      <c r="J1" s="1" t="s">
        <v>48</v>
      </c>
      <c r="K1" s="1" t="s">
        <v>54</v>
      </c>
      <c r="L1" s="1" t="s">
        <v>55</v>
      </c>
      <c r="M1" s="1" t="s">
        <v>27</v>
      </c>
      <c r="N1" s="1" t="s">
        <v>175</v>
      </c>
      <c r="O1" s="1" t="s">
        <v>193</v>
      </c>
      <c r="P1" s="1" t="s">
        <v>1221</v>
      </c>
      <c r="Q1" s="1" t="s">
        <v>1264</v>
      </c>
      <c r="R1" s="1" t="s">
        <v>1263</v>
      </c>
      <c r="S1" s="1" t="s">
        <v>1265</v>
      </c>
    </row>
    <row r="2" spans="1:19">
      <c r="A2" s="7" t="s">
        <v>854</v>
      </c>
      <c r="B2" s="7" t="s">
        <v>1476</v>
      </c>
      <c r="C2" s="8">
        <v>32000</v>
      </c>
      <c r="D2" s="5" t="str">
        <f>LRTRIM(CONCATENATE(IF(SUMPRODUCT(-- ISNUMBER(SEARCH({"Auto Number"}, $B2))) &gt; 0, $B2, IF(SUMPRODUCT(-- ISNUMBER(SEARCH({"Lookup","Master-Detail"}, $B2))) &gt; 0,$B2 &amp; "(" &amp; $E2 &amp; ")",IF(SUMPRODUCT(-- ISNUMBER(SEARCH({"Formula","Roll-Up Summary"}, $B2))) &gt; 0,$B2 &amp; " (" &amp; $E2 &amp; ")",IF(SUMPRODUCT(-- ISNUMBER(SEARCH({"Content","Currency","Number","Percent","Text","URL"}, $B2))) &gt; 0,$B2 &amp; "(" &amp; $C2 &amp; ")",$B2)))), "  ", TRIM(IF($S2 = "YES", "(External ID)", "") &amp; " " &amp; IF(SUMPRODUCT(-- ISNUMBER(SEARCH({"Unique","Unique Case Insensitive"}, $R2))) &gt; 0, "(" &amp; $R2 &amp; ")", ""))))</f>
        <v>Long Text Area(32000)</v>
      </c>
      <c r="E2" s="7" t="s">
        <v>195</v>
      </c>
      <c r="F2" s="7" t="s">
        <v>854</v>
      </c>
      <c r="G2" s="7" t="s">
        <v>931</v>
      </c>
      <c r="H2" s="7" t="s">
        <v>195</v>
      </c>
      <c r="I2" s="7" t="s">
        <v>195</v>
      </c>
      <c r="J2" s="7" t="s">
        <v>195</v>
      </c>
      <c r="K2" s="7" t="s">
        <v>195</v>
      </c>
      <c r="L2" s="7" t="s">
        <v>195</v>
      </c>
      <c r="M2" s="7" t="s">
        <v>29</v>
      </c>
      <c r="N2" s="7" t="s">
        <v>29</v>
      </c>
      <c r="O2" s="7" t="s">
        <v>29</v>
      </c>
      <c r="P2" s="7" t="s">
        <v>29</v>
      </c>
      <c r="Q2" s="7" t="s">
        <v>29</v>
      </c>
      <c r="R2" s="7" t="s">
        <v>29</v>
      </c>
      <c r="S2" s="7" t="s">
        <v>29</v>
      </c>
    </row>
    <row r="3" spans="1:19">
      <c r="A3" s="7" t="s">
        <v>12</v>
      </c>
      <c r="B3" s="7" t="s">
        <v>1207</v>
      </c>
      <c r="C3" s="8">
        <v>50</v>
      </c>
      <c r="D3" s="5" t="str">
        <f>LRTRIM(CONCATENATE(IF(SUMPRODUCT(-- ISNUMBER(SEARCH({"Auto Number"}, $B3))) &gt; 0, $B3, IF(SUMPRODUCT(-- ISNUMBER(SEARCH({"Lookup","Master-Detail"}, $B3))) &gt; 0,$B3 &amp; "(" &amp; $E3 &amp; ")",IF(SUMPRODUCT(-- ISNUMBER(SEARCH({"Formula","Roll-Up Summary"}, $B3))) &gt; 0,$B3 &amp; " (" &amp; $E3 &amp; ")",IF(SUMPRODUCT(-- ISNUMBER(SEARCH({"Content","Currency","Number","Percent","Text","URL"}, $B3))) &gt; 0,$B3 &amp; "(" &amp; $C3 &amp; ")",$B3)))), "  ", TRIM(IF($S3 = "YES", "(External ID)", "") &amp; " " &amp; IF(SUMPRODUCT(-- ISNUMBER(SEARCH({"Unique","Unique Case Insensitive"}, $R3))) &gt; 0, "(" &amp; $R3 &amp; ")", ""))))</f>
        <v>Date/Time</v>
      </c>
      <c r="E3" s="7" t="s">
        <v>195</v>
      </c>
      <c r="F3" s="7" t="s">
        <v>1799</v>
      </c>
      <c r="G3" s="7" t="s">
        <v>1805</v>
      </c>
      <c r="H3" s="7" t="s">
        <v>195</v>
      </c>
      <c r="I3" s="7" t="s">
        <v>195</v>
      </c>
      <c r="J3" s="7" t="s">
        <v>195</v>
      </c>
      <c r="K3" s="7" t="s">
        <v>195</v>
      </c>
      <c r="L3" s="7" t="s">
        <v>195</v>
      </c>
      <c r="M3" s="7" t="s">
        <v>29</v>
      </c>
      <c r="N3" s="7" t="s">
        <v>29</v>
      </c>
      <c r="O3" s="7" t="s">
        <v>29</v>
      </c>
      <c r="P3" s="7" t="s">
        <v>29</v>
      </c>
      <c r="Q3" s="7" t="s">
        <v>29</v>
      </c>
      <c r="R3" s="7" t="s">
        <v>29</v>
      </c>
      <c r="S3" s="7" t="s">
        <v>29</v>
      </c>
    </row>
    <row r="4" spans="1:19">
      <c r="A4" s="7" t="s">
        <v>1790</v>
      </c>
      <c r="B4" s="7" t="s">
        <v>1204</v>
      </c>
      <c r="C4" s="8" t="s">
        <v>195</v>
      </c>
      <c r="D4" s="5" t="str">
        <f>LRTRIM(CONCATENATE(IF(SUMPRODUCT(-- ISNUMBER(SEARCH({"Auto Number"}, $B4))) &gt; 0, $B4, IF(SUMPRODUCT(-- ISNUMBER(SEARCH({"Lookup","Master-Detail"}, $B4))) &gt; 0,$B4 &amp; "(" &amp; $E4 &amp; ")",IF(SUMPRODUCT(-- ISNUMBER(SEARCH({"Formula","Roll-Up Summary"}, $B4))) &gt; 0,$B4 &amp; " (" &amp; $E4 &amp; ")",IF(SUMPRODUCT(-- ISNUMBER(SEARCH({"Content","Currency","Number","Percent","Text","URL"}, $B4))) &gt; 0,$B4 &amp; "(" &amp; $C4 &amp; ")",$B4)))), "  ", TRIM(IF($S4 = "YES", "(External ID)", "") &amp; " " &amp; IF(SUMPRODUCT(-- ISNUMBER(SEARCH({"Unique","Unique Case Insensitive"}, $R4))) &gt; 0, "(" &amp; $R4 &amp; ")", ""))))</f>
        <v>Checkbox</v>
      </c>
      <c r="E4" s="7" t="s">
        <v>195</v>
      </c>
      <c r="F4" s="7" t="s">
        <v>1800</v>
      </c>
      <c r="G4" s="7" t="s">
        <v>1807</v>
      </c>
      <c r="H4" s="7" t="s">
        <v>195</v>
      </c>
      <c r="I4" s="7" t="s">
        <v>195</v>
      </c>
      <c r="J4" s="7" t="s">
        <v>195</v>
      </c>
      <c r="K4" s="7" t="s">
        <v>195</v>
      </c>
      <c r="L4" s="7" t="s">
        <v>195</v>
      </c>
      <c r="M4" s="7" t="s">
        <v>29</v>
      </c>
      <c r="N4" s="7" t="s">
        <v>29</v>
      </c>
      <c r="O4" s="7" t="s">
        <v>29</v>
      </c>
      <c r="P4" s="7" t="s">
        <v>29</v>
      </c>
      <c r="Q4" s="7" t="s">
        <v>29</v>
      </c>
      <c r="R4" s="7" t="s">
        <v>29</v>
      </c>
      <c r="S4" s="7" t="s">
        <v>29</v>
      </c>
    </row>
    <row r="5" spans="1:19">
      <c r="A5" s="7" t="s">
        <v>1791</v>
      </c>
      <c r="B5" s="7" t="s">
        <v>1207</v>
      </c>
      <c r="C5" s="8" t="s">
        <v>195</v>
      </c>
      <c r="D5" s="5" t="str">
        <f>LRTRIM(CONCATENATE(IF(SUMPRODUCT(-- ISNUMBER(SEARCH({"Auto Number"}, $B5))) &gt; 0, $B5, IF(SUMPRODUCT(-- ISNUMBER(SEARCH({"Lookup","Master-Detail"}, $B5))) &gt; 0,$B5 &amp; "(" &amp; $E5 &amp; ")",IF(SUMPRODUCT(-- ISNUMBER(SEARCH({"Formula","Roll-Up Summary"}, $B5))) &gt; 0,$B5 &amp; " (" &amp; $E5 &amp; ")",IF(SUMPRODUCT(-- ISNUMBER(SEARCH({"Content","Currency","Number","Percent","Text","URL"}, $B5))) &gt; 0,$B5 &amp; "(" &amp; $C5 &amp; ")",$B5)))), "  ", TRIM(IF($S5 = "YES", "(External ID)", "") &amp; " " &amp; IF(SUMPRODUCT(-- ISNUMBER(SEARCH({"Unique","Unique Case Insensitive"}, $R5))) &gt; 0, "(" &amp; $R5 &amp; ")", ""))))</f>
        <v>Date/Time</v>
      </c>
      <c r="E5" s="7" t="s">
        <v>1457</v>
      </c>
      <c r="F5" s="7" t="s">
        <v>1801</v>
      </c>
      <c r="G5" s="7" t="s">
        <v>1801</v>
      </c>
      <c r="H5" s="7" t="s">
        <v>195</v>
      </c>
      <c r="I5" s="7" t="s">
        <v>195</v>
      </c>
      <c r="J5" s="7" t="s">
        <v>195</v>
      </c>
      <c r="K5" s="7" t="s">
        <v>195</v>
      </c>
      <c r="L5" s="7" t="s">
        <v>195</v>
      </c>
      <c r="M5" s="7" t="s">
        <v>29</v>
      </c>
      <c r="N5" s="7" t="s">
        <v>29</v>
      </c>
      <c r="O5" s="7" t="s">
        <v>29</v>
      </c>
      <c r="P5" s="7" t="s">
        <v>29</v>
      </c>
      <c r="Q5" s="7" t="s">
        <v>29</v>
      </c>
      <c r="R5" s="7" t="s">
        <v>29</v>
      </c>
      <c r="S5" s="7" t="s">
        <v>29</v>
      </c>
    </row>
    <row r="6" spans="1:19">
      <c r="A6" s="7" t="s">
        <v>1792</v>
      </c>
      <c r="B6" s="7" t="s">
        <v>1207</v>
      </c>
      <c r="C6" s="8" t="s">
        <v>195</v>
      </c>
      <c r="D6" s="5" t="str">
        <f>LRTRIM(CONCATENATE(IF(SUMPRODUCT(-- ISNUMBER(SEARCH({"Auto Number"}, $B6))) &gt; 0, $B6, IF(SUMPRODUCT(-- ISNUMBER(SEARCH({"Lookup","Master-Detail"}, $B6))) &gt; 0,$B6 &amp; "(" &amp; $E6 &amp; ")",IF(SUMPRODUCT(-- ISNUMBER(SEARCH({"Formula","Roll-Up Summary"}, $B6))) &gt; 0,$B6 &amp; " (" &amp; $E6 &amp; ")",IF(SUMPRODUCT(-- ISNUMBER(SEARCH({"Content","Currency","Number","Percent","Text","URL"}, $B6))) &gt; 0,$B6 &amp; "(" &amp; $C6 &amp; ")",$B6)))), "  ", TRIM(IF($S6 = "YES", "(External ID)", "") &amp; " " &amp; IF(SUMPRODUCT(-- ISNUMBER(SEARCH({"Unique","Unique Case Insensitive"}, $R6))) &gt; 0, "(" &amp; $R6 &amp; ")", ""))))</f>
        <v>Date/Time</v>
      </c>
      <c r="E6" s="7" t="s">
        <v>195</v>
      </c>
      <c r="F6" s="7" t="s">
        <v>1799</v>
      </c>
      <c r="G6" s="7" t="s">
        <v>1805</v>
      </c>
      <c r="H6" s="7" t="s">
        <v>195</v>
      </c>
      <c r="I6" s="7" t="s">
        <v>195</v>
      </c>
      <c r="J6" s="7" t="s">
        <v>195</v>
      </c>
      <c r="K6" s="7" t="s">
        <v>195</v>
      </c>
      <c r="L6" s="7" t="s">
        <v>195</v>
      </c>
      <c r="M6" s="7" t="s">
        <v>29</v>
      </c>
      <c r="N6" s="7" t="s">
        <v>29</v>
      </c>
      <c r="O6" s="7" t="s">
        <v>29</v>
      </c>
      <c r="P6" s="7" t="s">
        <v>29</v>
      </c>
      <c r="Q6" s="7" t="s">
        <v>29</v>
      </c>
      <c r="R6" s="7" t="s">
        <v>29</v>
      </c>
      <c r="S6" s="7" t="s">
        <v>29</v>
      </c>
    </row>
    <row r="7" spans="1:19">
      <c r="A7" s="7" t="s">
        <v>1793</v>
      </c>
      <c r="B7" s="7" t="s">
        <v>1207</v>
      </c>
      <c r="C7" s="8" t="s">
        <v>195</v>
      </c>
      <c r="D7" s="5" t="str">
        <f>LRTRIM(CONCATENATE(IF(SUMPRODUCT(-- ISNUMBER(SEARCH({"Auto Number"}, $B7))) &gt; 0, $B7, IF(SUMPRODUCT(-- ISNUMBER(SEARCH({"Lookup","Master-Detail"}, $B7))) &gt; 0,$B7 &amp; "(" &amp; $E7 &amp; ")",IF(SUMPRODUCT(-- ISNUMBER(SEARCH({"Formula","Roll-Up Summary"}, $B7))) &gt; 0,$B7 &amp; " (" &amp; $E7 &amp; ")",IF(SUMPRODUCT(-- ISNUMBER(SEARCH({"Content","Currency","Number","Percent","Text","URL"}, $B7))) &gt; 0,$B7 &amp; "(" &amp; $C7 &amp; ")",$B7)))), "  ", TRIM(IF($S7 = "YES", "(External ID)", "") &amp; " " &amp; IF(SUMPRODUCT(-- ISNUMBER(SEARCH({"Unique","Unique Case Insensitive"}, $R7))) &gt; 0, "(" &amp; $R7 &amp; ")", ""))))</f>
        <v>Date/Time</v>
      </c>
      <c r="E7" s="7" t="s">
        <v>195</v>
      </c>
      <c r="F7" s="7" t="s">
        <v>386</v>
      </c>
      <c r="G7" s="7" t="s">
        <v>195</v>
      </c>
      <c r="H7" s="7" t="s">
        <v>195</v>
      </c>
      <c r="I7" s="7" t="s">
        <v>195</v>
      </c>
      <c r="J7" s="7" t="s">
        <v>195</v>
      </c>
      <c r="K7" s="7" t="s">
        <v>195</v>
      </c>
      <c r="L7" s="7" t="s">
        <v>195</v>
      </c>
      <c r="M7" s="7" t="s">
        <v>29</v>
      </c>
      <c r="N7" s="7" t="s">
        <v>29</v>
      </c>
      <c r="O7" s="7" t="s">
        <v>29</v>
      </c>
      <c r="P7" s="7" t="s">
        <v>29</v>
      </c>
      <c r="Q7" s="7" t="s">
        <v>29</v>
      </c>
      <c r="R7" s="7" t="s">
        <v>29</v>
      </c>
      <c r="S7" s="7" t="s">
        <v>29</v>
      </c>
    </row>
    <row r="8" spans="1:19">
      <c r="A8" s="7" t="s">
        <v>1794</v>
      </c>
      <c r="B8" s="7" t="s">
        <v>1207</v>
      </c>
      <c r="C8" s="8" t="s">
        <v>195</v>
      </c>
      <c r="D8" s="5" t="str">
        <f>LRTRIM(CONCATENATE(IF(SUMPRODUCT(-- ISNUMBER(SEARCH({"Auto Number"}, $B8))) &gt; 0, $B8, IF(SUMPRODUCT(-- ISNUMBER(SEARCH({"Lookup","Master-Detail"}, $B8))) &gt; 0,$B8 &amp; "(" &amp; $E8 &amp; ")",IF(SUMPRODUCT(-- ISNUMBER(SEARCH({"Formula","Roll-Up Summary"}, $B8))) &gt; 0,$B8 &amp; " (" &amp; $E8 &amp; ")",IF(SUMPRODUCT(-- ISNUMBER(SEARCH({"Content","Currency","Number","Percent","Text","URL"}, $B8))) &gt; 0,$B8 &amp; "(" &amp; $C8 &amp; ")",$B8)))), "  ", TRIM(IF($S8 = "YES", "(External ID)", "") &amp; " " &amp; IF(SUMPRODUCT(-- ISNUMBER(SEARCH({"Unique","Unique Case Insensitive"}, $R8))) &gt; 0, "(" &amp; $R8 &amp; ")", ""))))</f>
        <v>Date/Time</v>
      </c>
      <c r="E8" s="7" t="s">
        <v>195</v>
      </c>
      <c r="F8" s="7" t="s">
        <v>1606</v>
      </c>
      <c r="G8" s="7" t="s">
        <v>195</v>
      </c>
      <c r="H8" s="7" t="s">
        <v>195</v>
      </c>
      <c r="I8" s="7" t="s">
        <v>195</v>
      </c>
      <c r="J8" s="7" t="s">
        <v>195</v>
      </c>
      <c r="K8" s="7" t="s">
        <v>195</v>
      </c>
      <c r="L8" s="7" t="s">
        <v>195</v>
      </c>
      <c r="M8" s="7" t="s">
        <v>29</v>
      </c>
      <c r="N8" s="7" t="s">
        <v>29</v>
      </c>
      <c r="O8" s="7" t="s">
        <v>29</v>
      </c>
      <c r="P8" s="7" t="s">
        <v>29</v>
      </c>
      <c r="Q8" s="7" t="s">
        <v>29</v>
      </c>
      <c r="R8" s="7" t="s">
        <v>29</v>
      </c>
      <c r="S8" s="7" t="s">
        <v>29</v>
      </c>
    </row>
    <row r="9" spans="1:19">
      <c r="A9" s="7" t="s">
        <v>1795</v>
      </c>
      <c r="B9" s="7" t="s">
        <v>1218</v>
      </c>
      <c r="C9" s="8">
        <v>255</v>
      </c>
      <c r="D9" s="5" t="str">
        <f>LRTRIM(CONCATENATE(IF(SUMPRODUCT(-- ISNUMBER(SEARCH({"Auto Number"}, $B9))) &gt; 0, $B9, IF(SUMPRODUCT(-- ISNUMBER(SEARCH({"Lookup","Master-Detail"}, $B9))) &gt; 0,$B9 &amp; "(" &amp; $E9 &amp; ")",IF(SUMPRODUCT(-- ISNUMBER(SEARCH({"Formula","Roll-Up Summary"}, $B9))) &gt; 0,$B9 &amp; " (" &amp; $E9 &amp; ")",IF(SUMPRODUCT(-- ISNUMBER(SEARCH({"Content","Currency","Number","Percent","Text","URL"}, $B9))) &gt; 0,$B9 &amp; "(" &amp; $C9 &amp; ")",$B9)))), "  ", TRIM(IF($S9 = "YES", "(External ID)", "") &amp; " " &amp; IF(SUMPRODUCT(-- ISNUMBER(SEARCH({"Unique","Unique Case Insensitive"}, $R9))) &gt; 0, "(" &amp; $R9 &amp; ")", ""))))</f>
        <v>Text(255)</v>
      </c>
      <c r="E9" s="7" t="s">
        <v>1218</v>
      </c>
      <c r="F9" s="7" t="s">
        <v>1795</v>
      </c>
      <c r="G9" s="7" t="s">
        <v>1446</v>
      </c>
      <c r="H9" s="7" t="s">
        <v>195</v>
      </c>
      <c r="I9" s="7" t="s">
        <v>195</v>
      </c>
      <c r="J9" s="7" t="s">
        <v>195</v>
      </c>
      <c r="K9" s="7" t="s">
        <v>195</v>
      </c>
      <c r="L9" s="7" t="s">
        <v>195</v>
      </c>
      <c r="M9" s="7" t="s">
        <v>29</v>
      </c>
      <c r="N9" s="7" t="s">
        <v>29</v>
      </c>
      <c r="O9" s="7" t="s">
        <v>29</v>
      </c>
      <c r="P9" s="7" t="s">
        <v>29</v>
      </c>
      <c r="Q9" s="7" t="s">
        <v>29</v>
      </c>
      <c r="R9" s="7" t="s">
        <v>29</v>
      </c>
      <c r="S9" s="7" t="s">
        <v>29</v>
      </c>
    </row>
    <row r="10" spans="1:19">
      <c r="A10" s="7" t="s">
        <v>1566</v>
      </c>
      <c r="B10" s="7" t="s">
        <v>1215</v>
      </c>
      <c r="C10" s="8" t="s">
        <v>195</v>
      </c>
      <c r="D10" s="5" t="str">
        <f>LRTRIM(CONCATENATE(IF(SUMPRODUCT(-- ISNUMBER(SEARCH({"Auto Number"}, $B10))) &gt; 0, $B10, IF(SUMPRODUCT(-- ISNUMBER(SEARCH({"Lookup","Master-Detail"}, $B10))) &gt; 0,$B10 &amp; "(" &amp; $E10 &amp; ")",IF(SUMPRODUCT(-- ISNUMBER(SEARCH({"Formula","Roll-Up Summary"}, $B10))) &gt; 0,$B10 &amp; " (" &amp; $E10 &amp; ")",IF(SUMPRODUCT(-- ISNUMBER(SEARCH({"Content","Currency","Number","Percent","Text","URL"}, $B10))) &gt; 0,$B10 &amp; "(" &amp; $C10 &amp; ")",$B10)))), "  ", TRIM(IF($S10 = "YES", "(External ID)", "") &amp; " " &amp; IF(SUMPRODUCT(-- ISNUMBER(SEARCH({"Unique","Unique Case Insensitive"}, $R10))) &gt; 0, "(" &amp; $R10 &amp; ")", ""))))</f>
        <v>Picklist</v>
      </c>
      <c r="E10" s="7" t="s">
        <v>195</v>
      </c>
      <c r="F10" s="7" t="s">
        <v>1566</v>
      </c>
      <c r="G10" s="7" t="s">
        <v>617</v>
      </c>
      <c r="H10" s="7" t="s">
        <v>195</v>
      </c>
      <c r="I10" s="7" t="s">
        <v>195</v>
      </c>
      <c r="J10" s="7" t="s">
        <v>195</v>
      </c>
      <c r="K10" s="7" t="s">
        <v>195</v>
      </c>
      <c r="L10" s="7" t="s">
        <v>195</v>
      </c>
      <c r="M10" s="7" t="s">
        <v>29</v>
      </c>
      <c r="N10" s="7" t="s">
        <v>29</v>
      </c>
      <c r="O10" s="7" t="s">
        <v>29</v>
      </c>
      <c r="P10" s="7" t="s">
        <v>29</v>
      </c>
      <c r="Q10" s="7" t="s">
        <v>29</v>
      </c>
      <c r="R10" s="7" t="s">
        <v>29</v>
      </c>
      <c r="S10" s="7" t="s">
        <v>29</v>
      </c>
    </row>
    <row r="11" spans="1:19">
      <c r="A11" s="7" t="s">
        <v>235</v>
      </c>
      <c r="B11" s="7" t="s">
        <v>1215</v>
      </c>
      <c r="C11" s="8" t="s">
        <v>195</v>
      </c>
      <c r="D11" s="5" t="str">
        <f>LRTRIM(CONCATENATE(IF(SUMPRODUCT(-- ISNUMBER(SEARCH({"Auto Number"}, $B11))) &gt; 0, $B11, IF(SUMPRODUCT(-- ISNUMBER(SEARCH({"Lookup","Master-Detail"}, $B11))) &gt; 0,$B11 &amp; "(" &amp; $E11 &amp; ")",IF(SUMPRODUCT(-- ISNUMBER(SEARCH({"Formula","Roll-Up Summary"}, $B11))) &gt; 0,$B11 &amp; " (" &amp; $E11 &amp; ")",IF(SUMPRODUCT(-- ISNUMBER(SEARCH({"Content","Currency","Number","Percent","Text","URL"}, $B11))) &gt; 0,$B11 &amp; "(" &amp; $C11 &amp; ")",$B11)))), "  ", TRIM(IF($S11 = "YES", "(External ID)", "") &amp; " " &amp; IF(SUMPRODUCT(-- ISNUMBER(SEARCH({"Unique","Unique Case Insensitive"}, $R11))) &gt; 0, "(" &amp; $R11 &amp; ")", ""))))</f>
        <v>Picklist</v>
      </c>
      <c r="E11" s="7" t="s">
        <v>195</v>
      </c>
      <c r="F11" s="7" t="s">
        <v>235</v>
      </c>
      <c r="G11" s="7" t="s">
        <v>264</v>
      </c>
      <c r="H11" s="7" t="s">
        <v>195</v>
      </c>
      <c r="I11" s="7" t="s">
        <v>1808</v>
      </c>
      <c r="J11" s="7" t="s">
        <v>1808</v>
      </c>
      <c r="K11" s="7" t="s">
        <v>195</v>
      </c>
      <c r="L11" s="7" t="s">
        <v>195</v>
      </c>
      <c r="M11" s="7" t="s">
        <v>29</v>
      </c>
      <c r="N11" s="7" t="s">
        <v>29</v>
      </c>
      <c r="O11" s="7" t="s">
        <v>29</v>
      </c>
      <c r="P11" s="7" t="s">
        <v>29</v>
      </c>
      <c r="Q11" s="7" t="s">
        <v>29</v>
      </c>
      <c r="R11" s="7" t="s">
        <v>29</v>
      </c>
      <c r="S11" s="7" t="s">
        <v>29</v>
      </c>
    </row>
    <row r="12" spans="1:19">
      <c r="A12" s="7" t="s">
        <v>87</v>
      </c>
      <c r="B12" s="7" t="s">
        <v>1211</v>
      </c>
      <c r="C12" s="8" t="s">
        <v>195</v>
      </c>
      <c r="D12" s="5" t="str">
        <f>LRTRIM(CONCATENATE(IF(SUMPRODUCT(-- ISNUMBER(SEARCH({"Auto Number"}, $B12))) &gt; 0, $B12, IF(SUMPRODUCT(-- ISNUMBER(SEARCH({"Lookup","Master-Detail"}, $B12))) &gt; 0,$B12 &amp; "(" &amp; $E12 &amp; ")",IF(SUMPRODUCT(-- ISNUMBER(SEARCH({"Formula","Roll-Up Summary"}, $B12))) &gt; 0,$B12 &amp; " (" &amp; $E12 &amp; ")",IF(SUMPRODUCT(-- ISNUMBER(SEARCH({"Content","Currency","Number","Percent","Text","URL"}, $B12))) &gt; 0,$B12 &amp; "(" &amp; $C12 &amp; ")",$B12)))), "  ", TRIM(IF($S12 = "YES", "(External ID)", "") &amp; " " &amp; IF(SUMPRODUCT(-- ISNUMBER(SEARCH({"Unique","Unique Case Insensitive"}, $R12))) &gt; 0, "(" &amp; $R12 &amp; ")", ""))))</f>
        <v>Lookup(User,Calendar)</v>
      </c>
      <c r="E12" s="7" t="s">
        <v>1798</v>
      </c>
      <c r="F12" s="7" t="s">
        <v>1802</v>
      </c>
      <c r="G12" s="7" t="s">
        <v>1806</v>
      </c>
      <c r="H12" s="7" t="s">
        <v>195</v>
      </c>
      <c r="I12" s="7" t="s">
        <v>195</v>
      </c>
      <c r="J12" s="7" t="s">
        <v>195</v>
      </c>
      <c r="K12" s="7" t="s">
        <v>195</v>
      </c>
      <c r="L12" s="7" t="s">
        <v>195</v>
      </c>
      <c r="M12" s="7" t="s">
        <v>29</v>
      </c>
      <c r="N12" s="7" t="s">
        <v>29</v>
      </c>
      <c r="O12" s="7" t="s">
        <v>29</v>
      </c>
      <c r="P12" s="7" t="s">
        <v>29</v>
      </c>
      <c r="Q12" s="7" t="s">
        <v>29</v>
      </c>
      <c r="R12" s="7" t="s">
        <v>29</v>
      </c>
      <c r="S12" s="7" t="s">
        <v>29</v>
      </c>
    </row>
    <row r="13" spans="1:19">
      <c r="A13" s="7" t="s">
        <v>1796</v>
      </c>
      <c r="B13" s="7" t="s">
        <v>1215</v>
      </c>
      <c r="C13" s="8" t="s">
        <v>195</v>
      </c>
      <c r="D13" s="5" t="str">
        <f>LRTRIM(CONCATENATE(IF(SUMPRODUCT(-- ISNUMBER(SEARCH({"Auto Number"}, $B13))) &gt; 0, $B13, IF(SUMPRODUCT(-- ISNUMBER(SEARCH({"Lookup","Master-Detail"}, $B13))) &gt; 0,$B13 &amp; "(" &amp; $E13 &amp; ")",IF(SUMPRODUCT(-- ISNUMBER(SEARCH({"Formula","Roll-Up Summary"}, $B13))) &gt; 0,$B13 &amp; " (" &amp; $E13 &amp; ")",IF(SUMPRODUCT(-- ISNUMBER(SEARCH({"Content","Currency","Number","Percent","Text","URL"}, $B13))) &gt; 0,$B13 &amp; "(" &amp; $C13 &amp; ")",$B13)))), "  ", TRIM(IF($S13 = "YES", "(External ID)", "") &amp; " " &amp; IF(SUMPRODUCT(-- ISNUMBER(SEARCH({"Unique","Unique Case Insensitive"}, $R13))) &gt; 0, "(" &amp; $R13 &amp; ")", ""))))</f>
        <v>Picklist</v>
      </c>
      <c r="E13" s="7" t="s">
        <v>195</v>
      </c>
      <c r="F13" s="7" t="s">
        <v>1803</v>
      </c>
      <c r="G13" s="7" t="s">
        <v>195</v>
      </c>
      <c r="H13" s="7" t="s">
        <v>195</v>
      </c>
      <c r="I13" s="7" t="s">
        <v>1809</v>
      </c>
      <c r="J13" s="7" t="s">
        <v>195</v>
      </c>
      <c r="K13" s="7" t="s">
        <v>195</v>
      </c>
      <c r="L13" s="7" t="s">
        <v>195</v>
      </c>
      <c r="M13" s="7" t="s">
        <v>29</v>
      </c>
      <c r="N13" s="7" t="s">
        <v>29</v>
      </c>
      <c r="O13" s="7" t="s">
        <v>29</v>
      </c>
      <c r="P13" s="7" t="s">
        <v>29</v>
      </c>
      <c r="Q13" s="7" t="s">
        <v>29</v>
      </c>
      <c r="R13" s="7" t="s">
        <v>29</v>
      </c>
      <c r="S13" s="7" t="s">
        <v>29</v>
      </c>
    </row>
    <row r="14" spans="1:19">
      <c r="A14" s="7" t="s">
        <v>1797</v>
      </c>
      <c r="B14" s="7" t="s">
        <v>1211</v>
      </c>
      <c r="C14" s="8" t="s">
        <v>195</v>
      </c>
      <c r="D14" s="5" t="str">
        <f>LRTRIM(CONCATENATE(IF(SUMPRODUCT(-- ISNUMBER(SEARCH({"Auto Number"}, $B14))) &gt; 0, $B14, IF(SUMPRODUCT(-- ISNUMBER(SEARCH({"Lookup","Master-Detail"}, $B14))) &gt; 0,$B14 &amp; "(" &amp; $E14 &amp; ")",IF(SUMPRODUCT(-- ISNUMBER(SEARCH({"Formula","Roll-Up Summary"}, $B14))) &gt; 0,$B14 &amp; " (" &amp; $E14 &amp; ")",IF(SUMPRODUCT(-- ISNUMBER(SEARCH({"Content","Currency","Number","Percent","Text","URL"}, $B14))) &gt; 0,$B14 &amp; "(" &amp; $C14 &amp; ")",$B14)))), "  ", TRIM(IF($S14 = "YES", "(External ID)", "") &amp; " " &amp; IF(SUMPRODUCT(-- ISNUMBER(SEARCH({"Unique","Unique Case Insensitive"}, $R14))) &gt; 0, "(" &amp; $R14 &amp; ")", ""))))</f>
        <v>Lookup(Commission Agreement)</v>
      </c>
      <c r="E14" s="7" t="s">
        <v>202</v>
      </c>
      <c r="F14" s="7" t="s">
        <v>1804</v>
      </c>
      <c r="G14" s="7" t="s">
        <v>2</v>
      </c>
      <c r="H14" s="7" t="s">
        <v>195</v>
      </c>
      <c r="I14" s="7" t="s">
        <v>195</v>
      </c>
      <c r="J14" s="7" t="s">
        <v>195</v>
      </c>
      <c r="K14" s="7" t="s">
        <v>195</v>
      </c>
      <c r="L14" s="7" t="s">
        <v>195</v>
      </c>
      <c r="M14" s="7" t="s">
        <v>29</v>
      </c>
      <c r="N14" s="7" t="s">
        <v>29</v>
      </c>
      <c r="O14" s="7" t="s">
        <v>29</v>
      </c>
      <c r="P14" s="7" t="s">
        <v>29</v>
      </c>
      <c r="Q14" s="7" t="s">
        <v>29</v>
      </c>
      <c r="R14" s="7" t="s">
        <v>29</v>
      </c>
      <c r="S14" s="7" t="s">
        <v>29</v>
      </c>
    </row>
    <row r="15" spans="1:19">
      <c r="A15" s="7"/>
      <c r="B15" s="7" t="s">
        <v>195</v>
      </c>
      <c r="C15" s="8" t="s">
        <v>195</v>
      </c>
      <c r="D15" s="5" t="str">
        <f>LRTRIM(CONCATENATE(IF(SUMPRODUCT(-- ISNUMBER(SEARCH({"Auto Number"}, $B15))) &gt; 0, $B15, IF(SUMPRODUCT(-- ISNUMBER(SEARCH({"Lookup","Master-Detail"}, $B15))) &gt; 0,$B15 &amp; "(" &amp; $E15 &amp; ")",IF(SUMPRODUCT(-- ISNUMBER(SEARCH({"Formula","Roll-Up Summary"}, $B15))) &gt; 0,$B15 &amp; " (" &amp; $E15 &amp; ")",IF(SUMPRODUCT(-- ISNUMBER(SEARCH({"Content","Currency","Number","Percent","Text","URL"}, $B15))) &gt; 0,$B15 &amp; "(" &amp; $C15 &amp; ")",$B15)))), "  ", TRIM(IF($S15 = "YES", "(External ID)", "") &amp; " " &amp; IF(SUMPRODUCT(-- ISNUMBER(SEARCH({"Unique","Unique Case Insensitive"}, $R15))) &gt; 0, "(" &amp; $R15 &amp; ")", ""))))</f>
        <v>na</v>
      </c>
      <c r="E15" s="7" t="s">
        <v>195</v>
      </c>
      <c r="F15" s="7" t="s">
        <v>195</v>
      </c>
      <c r="G15" s="7" t="s">
        <v>195</v>
      </c>
      <c r="H15" s="7" t="s">
        <v>195</v>
      </c>
      <c r="I15" s="7" t="s">
        <v>195</v>
      </c>
      <c r="J15" s="7" t="s">
        <v>195</v>
      </c>
      <c r="K15" s="7" t="s">
        <v>195</v>
      </c>
      <c r="L15" s="7" t="s">
        <v>195</v>
      </c>
      <c r="M15" s="7" t="s">
        <v>29</v>
      </c>
      <c r="N15" s="7" t="s">
        <v>29</v>
      </c>
      <c r="O15" s="7" t="s">
        <v>29</v>
      </c>
      <c r="P15" s="7" t="s">
        <v>29</v>
      </c>
      <c r="Q15" s="7" t="s">
        <v>29</v>
      </c>
      <c r="R15" s="7" t="s">
        <v>29</v>
      </c>
      <c r="S15" s="7" t="s">
        <v>29</v>
      </c>
    </row>
    <row r="16" spans="1:19">
      <c r="A16" s="7"/>
      <c r="B16" s="7" t="s">
        <v>195</v>
      </c>
      <c r="C16" s="8" t="s">
        <v>195</v>
      </c>
      <c r="D16" s="5" t="str">
        <f>LRTRIM(CONCATENATE(IF(SUMPRODUCT(-- ISNUMBER(SEARCH({"Auto Number"}, $B16))) &gt; 0, $B16, IF(SUMPRODUCT(-- ISNUMBER(SEARCH({"Lookup","Master-Detail"}, $B16))) &gt; 0,$B16 &amp; "(" &amp; $E16 &amp; ")",IF(SUMPRODUCT(-- ISNUMBER(SEARCH({"Formula","Roll-Up Summary"}, $B16))) &gt; 0,$B16 &amp; " (" &amp; $E16 &amp; ")",IF(SUMPRODUCT(-- ISNUMBER(SEARCH({"Content","Currency","Number","Percent","Text","URL"}, $B16))) &gt; 0,$B16 &amp; "(" &amp; $C16 &amp; ")",$B16)))), "  ", TRIM(IF($S16 = "YES", "(External ID)", "") &amp; " " &amp; IF(SUMPRODUCT(-- ISNUMBER(SEARCH({"Unique","Unique Case Insensitive"}, $R16))) &gt; 0, "(" &amp; $R16 &amp; ")", ""))))</f>
        <v>na</v>
      </c>
      <c r="E16" s="7" t="s">
        <v>195</v>
      </c>
      <c r="F16" s="7" t="s">
        <v>195</v>
      </c>
      <c r="G16" s="7" t="s">
        <v>195</v>
      </c>
      <c r="H16" s="7" t="s">
        <v>195</v>
      </c>
      <c r="I16" s="7" t="s">
        <v>195</v>
      </c>
      <c r="J16" s="7" t="s">
        <v>195</v>
      </c>
      <c r="K16" s="7" t="s">
        <v>195</v>
      </c>
      <c r="L16" s="7" t="s">
        <v>195</v>
      </c>
      <c r="M16" s="7" t="s">
        <v>29</v>
      </c>
      <c r="N16" s="7" t="s">
        <v>29</v>
      </c>
      <c r="O16" s="7" t="s">
        <v>29</v>
      </c>
      <c r="P16" s="7" t="s">
        <v>29</v>
      </c>
      <c r="Q16" s="7" t="s">
        <v>29</v>
      </c>
      <c r="R16" s="7" t="s">
        <v>29</v>
      </c>
      <c r="S16" s="7" t="s">
        <v>29</v>
      </c>
    </row>
    <row r="17" spans="1:19">
      <c r="A17" s="7"/>
      <c r="B17" s="7" t="s">
        <v>195</v>
      </c>
      <c r="C17" s="8" t="s">
        <v>195</v>
      </c>
      <c r="D17" s="5" t="str">
        <f>LRTRIM(CONCATENATE(IF(SUMPRODUCT(-- ISNUMBER(SEARCH({"Auto Number"}, $B17))) &gt; 0, $B17, IF(SUMPRODUCT(-- ISNUMBER(SEARCH({"Lookup","Master-Detail"}, $B17))) &gt; 0,$B17 &amp; "(" &amp; $E17 &amp; ")",IF(SUMPRODUCT(-- ISNUMBER(SEARCH({"Formula","Roll-Up Summary"}, $B17))) &gt; 0,$B17 &amp; " (" &amp; $E17 &amp; ")",IF(SUMPRODUCT(-- ISNUMBER(SEARCH({"Content","Currency","Number","Percent","Text","URL"}, $B17))) &gt; 0,$B17 &amp; "(" &amp; $C17 &amp; ")",$B17)))), "  ", TRIM(IF($S17 = "YES", "(External ID)", "") &amp; " " &amp; IF(SUMPRODUCT(-- ISNUMBER(SEARCH({"Unique","Unique Case Insensitive"}, $R17))) &gt; 0, "(" &amp; $R17 &amp; ")", ""))))</f>
        <v>na</v>
      </c>
      <c r="E17" s="7" t="s">
        <v>195</v>
      </c>
      <c r="F17" s="7" t="s">
        <v>195</v>
      </c>
      <c r="G17" s="7" t="s">
        <v>195</v>
      </c>
      <c r="H17" s="7" t="s">
        <v>195</v>
      </c>
      <c r="I17" s="7" t="s">
        <v>195</v>
      </c>
      <c r="J17" s="7" t="s">
        <v>195</v>
      </c>
      <c r="K17" s="7" t="s">
        <v>195</v>
      </c>
      <c r="L17" s="7" t="s">
        <v>195</v>
      </c>
      <c r="M17" s="7" t="s">
        <v>29</v>
      </c>
      <c r="N17" s="7" t="s">
        <v>29</v>
      </c>
      <c r="O17" s="7" t="s">
        <v>29</v>
      </c>
      <c r="P17" s="7" t="s">
        <v>29</v>
      </c>
      <c r="Q17" s="7" t="s">
        <v>29</v>
      </c>
      <c r="R17" s="7" t="s">
        <v>29</v>
      </c>
      <c r="S17" s="7" t="s">
        <v>29</v>
      </c>
    </row>
    <row r="18" spans="1:19">
      <c r="A18" s="7"/>
      <c r="B18" s="7" t="s">
        <v>195</v>
      </c>
      <c r="C18" s="8" t="s">
        <v>195</v>
      </c>
      <c r="D18" s="5" t="str">
        <f>LRTRIM(CONCATENATE(IF(SUMPRODUCT(-- ISNUMBER(SEARCH({"Auto Number"}, $B18))) &gt; 0, $B18, IF(SUMPRODUCT(-- ISNUMBER(SEARCH({"Lookup","Master-Detail"}, $B18))) &gt; 0,$B18 &amp; "(" &amp; $E18 &amp; ")",IF(SUMPRODUCT(-- ISNUMBER(SEARCH({"Formula","Roll-Up Summary"}, $B18))) &gt; 0,$B18 &amp; " (" &amp; $E18 &amp; ")",IF(SUMPRODUCT(-- ISNUMBER(SEARCH({"Content","Currency","Number","Percent","Text","URL"}, $B18))) &gt; 0,$B18 &amp; "(" &amp; $C18 &amp; ")",$B18)))), "  ", TRIM(IF($S18 = "YES", "(External ID)", "") &amp; " " &amp; IF(SUMPRODUCT(-- ISNUMBER(SEARCH({"Unique","Unique Case Insensitive"}, $R18))) &gt; 0, "(" &amp; $R18 &amp; ")", ""))))</f>
        <v>na</v>
      </c>
      <c r="E18" s="7" t="s">
        <v>195</v>
      </c>
      <c r="F18" s="7" t="s">
        <v>195</v>
      </c>
      <c r="G18" s="7" t="s">
        <v>195</v>
      </c>
      <c r="H18" s="7" t="s">
        <v>195</v>
      </c>
      <c r="I18" s="7" t="s">
        <v>195</v>
      </c>
      <c r="J18" s="7" t="s">
        <v>195</v>
      </c>
      <c r="K18" s="7" t="s">
        <v>195</v>
      </c>
      <c r="L18" s="7" t="s">
        <v>195</v>
      </c>
      <c r="M18" s="7" t="s">
        <v>29</v>
      </c>
      <c r="N18" s="7" t="s">
        <v>29</v>
      </c>
      <c r="O18" s="7" t="s">
        <v>29</v>
      </c>
      <c r="P18" s="7" t="s">
        <v>29</v>
      </c>
      <c r="Q18" s="7" t="s">
        <v>29</v>
      </c>
      <c r="R18" s="7" t="s">
        <v>29</v>
      </c>
      <c r="S18" s="7" t="s">
        <v>29</v>
      </c>
    </row>
    <row r="19" spans="1:19">
      <c r="A19" s="7"/>
      <c r="B19" s="7" t="s">
        <v>195</v>
      </c>
      <c r="C19" s="8" t="s">
        <v>195</v>
      </c>
      <c r="D19" s="5" t="str">
        <f>LRTRIM(CONCATENATE(IF(SUMPRODUCT(-- ISNUMBER(SEARCH({"Auto Number"}, $B19))) &gt; 0, $B19, IF(SUMPRODUCT(-- ISNUMBER(SEARCH({"Lookup","Master-Detail"}, $B19))) &gt; 0,$B19 &amp; "(" &amp; $E19 &amp; ")",IF(SUMPRODUCT(-- ISNUMBER(SEARCH({"Formula","Roll-Up Summary"}, $B19))) &gt; 0,$B19 &amp; " (" &amp; $E19 &amp; ")",IF(SUMPRODUCT(-- ISNUMBER(SEARCH({"Content","Currency","Number","Percent","Text","URL"}, $B19))) &gt; 0,$B19 &amp; "(" &amp; $C19 &amp; ")",$B19)))), "  ", TRIM(IF($S19 = "YES", "(External ID)", "") &amp; " " &amp; IF(SUMPRODUCT(-- ISNUMBER(SEARCH({"Unique","Unique Case Insensitive"}, $R19))) &gt; 0, "(" &amp; $R19 &amp; ")", ""))))</f>
        <v>na</v>
      </c>
      <c r="E19" s="7" t="s">
        <v>195</v>
      </c>
      <c r="F19" s="7" t="s">
        <v>195</v>
      </c>
      <c r="G19" s="7" t="s">
        <v>195</v>
      </c>
      <c r="H19" s="7" t="s">
        <v>195</v>
      </c>
      <c r="I19" s="7" t="s">
        <v>195</v>
      </c>
      <c r="J19" s="7" t="s">
        <v>195</v>
      </c>
      <c r="K19" s="7" t="s">
        <v>195</v>
      </c>
      <c r="L19" s="7" t="s">
        <v>195</v>
      </c>
      <c r="M19" s="7" t="s">
        <v>29</v>
      </c>
      <c r="N19" s="7" t="s">
        <v>29</v>
      </c>
      <c r="O19" s="7" t="s">
        <v>29</v>
      </c>
      <c r="P19" s="7" t="s">
        <v>29</v>
      </c>
      <c r="Q19" s="7" t="s">
        <v>29</v>
      </c>
      <c r="R19" s="7" t="s">
        <v>29</v>
      </c>
      <c r="S19" s="7" t="s">
        <v>29</v>
      </c>
    </row>
    <row r="20" spans="1:19">
      <c r="A20" s="7"/>
      <c r="B20" s="7" t="s">
        <v>195</v>
      </c>
      <c r="C20" s="8" t="s">
        <v>195</v>
      </c>
      <c r="D20" s="5" t="str">
        <f>LRTRIM(CONCATENATE(IF(SUMPRODUCT(-- ISNUMBER(SEARCH({"Auto Number"}, $B20))) &gt; 0, $B20, IF(SUMPRODUCT(-- ISNUMBER(SEARCH({"Lookup","Master-Detail"}, $B20))) &gt; 0,$B20 &amp; "(" &amp; $E20 &amp; ")",IF(SUMPRODUCT(-- ISNUMBER(SEARCH({"Formula","Roll-Up Summary"}, $B20))) &gt; 0,$B20 &amp; " (" &amp; $E20 &amp; ")",IF(SUMPRODUCT(-- ISNUMBER(SEARCH({"Content","Currency","Number","Percent","Text","URL"}, $B20))) &gt; 0,$B20 &amp; "(" &amp; $C20 &amp; ")",$B20)))), "  ", TRIM(IF($S20 = "YES", "(External ID)", "") &amp; " " &amp; IF(SUMPRODUCT(-- ISNUMBER(SEARCH({"Unique","Unique Case Insensitive"}, $R20))) &gt; 0, "(" &amp; $R20 &amp; ")", ""))))</f>
        <v>na</v>
      </c>
      <c r="E20" s="7" t="s">
        <v>195</v>
      </c>
      <c r="F20" s="7" t="s">
        <v>195</v>
      </c>
      <c r="G20" s="7" t="s">
        <v>195</v>
      </c>
      <c r="H20" s="7" t="s">
        <v>195</v>
      </c>
      <c r="I20" s="7" t="s">
        <v>195</v>
      </c>
      <c r="J20" s="7" t="s">
        <v>195</v>
      </c>
      <c r="K20" s="7" t="s">
        <v>195</v>
      </c>
      <c r="L20" s="7" t="s">
        <v>195</v>
      </c>
      <c r="M20" s="7" t="s">
        <v>29</v>
      </c>
      <c r="N20" s="7" t="s">
        <v>29</v>
      </c>
      <c r="O20" s="7" t="s">
        <v>29</v>
      </c>
      <c r="P20" s="7" t="s">
        <v>29</v>
      </c>
      <c r="Q20" s="7" t="s">
        <v>29</v>
      </c>
      <c r="R20" s="7" t="s">
        <v>29</v>
      </c>
      <c r="S20" s="7" t="s">
        <v>29</v>
      </c>
    </row>
    <row r="21" spans="1:19">
      <c r="A21" s="7"/>
      <c r="B21" s="7" t="s">
        <v>195</v>
      </c>
      <c r="C21" s="8" t="s">
        <v>195</v>
      </c>
      <c r="D21" s="5" t="str">
        <f>LRTRIM(CONCATENATE(IF(SUMPRODUCT(-- ISNUMBER(SEARCH({"Auto Number"}, $B21))) &gt; 0, $B21, IF(SUMPRODUCT(-- ISNUMBER(SEARCH({"Lookup","Master-Detail"}, $B21))) &gt; 0,$B21 &amp; "(" &amp; $E21 &amp; ")",IF(SUMPRODUCT(-- ISNUMBER(SEARCH({"Formula","Roll-Up Summary"}, $B21))) &gt; 0,$B21 &amp; " (" &amp; $E21 &amp; ")",IF(SUMPRODUCT(-- ISNUMBER(SEARCH({"Content","Currency","Number","Percent","Text","URL"}, $B21))) &gt; 0,$B21 &amp; "(" &amp; $C21 &amp; ")",$B21)))), "  ", TRIM(IF($S21 = "YES", "(External ID)", "") &amp; " " &amp; IF(SUMPRODUCT(-- ISNUMBER(SEARCH({"Unique","Unique Case Insensitive"}, $R21))) &gt; 0, "(" &amp; $R21 &amp; ")", ""))))</f>
        <v>na</v>
      </c>
      <c r="E21" s="7" t="s">
        <v>195</v>
      </c>
      <c r="F21" s="7" t="s">
        <v>195</v>
      </c>
      <c r="G21" s="7" t="s">
        <v>195</v>
      </c>
      <c r="H21" s="7" t="s">
        <v>195</v>
      </c>
      <c r="I21" s="7" t="s">
        <v>195</v>
      </c>
      <c r="J21" s="7" t="s">
        <v>195</v>
      </c>
      <c r="K21" s="7" t="s">
        <v>195</v>
      </c>
      <c r="L21" s="7" t="s">
        <v>195</v>
      </c>
      <c r="M21" s="7" t="s">
        <v>29</v>
      </c>
      <c r="N21" s="7" t="s">
        <v>29</v>
      </c>
      <c r="O21" s="7" t="s">
        <v>29</v>
      </c>
      <c r="P21" s="7" t="s">
        <v>29</v>
      </c>
      <c r="Q21" s="7" t="s">
        <v>29</v>
      </c>
      <c r="R21" s="7" t="s">
        <v>29</v>
      </c>
      <c r="S21" s="7" t="s">
        <v>29</v>
      </c>
    </row>
    <row r="22" spans="1:19">
      <c r="A22" s="7"/>
      <c r="B22" s="7" t="s">
        <v>195</v>
      </c>
      <c r="C22" s="8" t="s">
        <v>195</v>
      </c>
      <c r="D22" s="5" t="str">
        <f>LRTRIM(CONCATENATE(IF(SUMPRODUCT(-- ISNUMBER(SEARCH({"Auto Number"}, $B22))) &gt; 0, $B22, IF(SUMPRODUCT(-- ISNUMBER(SEARCH({"Lookup","Master-Detail"}, $B22))) &gt; 0,$B22 &amp; "(" &amp; $E22 &amp; ")",IF(SUMPRODUCT(-- ISNUMBER(SEARCH({"Formula","Roll-Up Summary"}, $B22))) &gt; 0,$B22 &amp; " (" &amp; $E22 &amp; ")",IF(SUMPRODUCT(-- ISNUMBER(SEARCH({"Content","Currency","Number","Percent","Text","URL"}, $B22))) &gt; 0,$B22 &amp; "(" &amp; $C22 &amp; ")",$B22)))), "  ", TRIM(IF($S22 = "YES", "(External ID)", "") &amp; " " &amp; IF(SUMPRODUCT(-- ISNUMBER(SEARCH({"Unique","Unique Case Insensitive"}, $R22))) &gt; 0, "(" &amp; $R22 &amp; ")", ""))))</f>
        <v>na</v>
      </c>
      <c r="E22" s="7" t="s">
        <v>195</v>
      </c>
      <c r="F22" s="7" t="s">
        <v>195</v>
      </c>
      <c r="G22" s="7" t="s">
        <v>195</v>
      </c>
      <c r="H22" s="7" t="s">
        <v>195</v>
      </c>
      <c r="I22" s="7" t="s">
        <v>195</v>
      </c>
      <c r="J22" s="7" t="s">
        <v>195</v>
      </c>
      <c r="K22" s="7" t="s">
        <v>195</v>
      </c>
      <c r="L22" s="7" t="s">
        <v>195</v>
      </c>
      <c r="M22" s="7" t="s">
        <v>29</v>
      </c>
      <c r="N22" s="7" t="s">
        <v>29</v>
      </c>
      <c r="O22" s="7" t="s">
        <v>29</v>
      </c>
      <c r="P22" s="7" t="s">
        <v>29</v>
      </c>
      <c r="Q22" s="7" t="s">
        <v>29</v>
      </c>
      <c r="R22" s="7" t="s">
        <v>29</v>
      </c>
      <c r="S22" s="7" t="s">
        <v>29</v>
      </c>
    </row>
    <row r="23" spans="1:19">
      <c r="A23" s="7"/>
      <c r="B23" s="7" t="s">
        <v>195</v>
      </c>
      <c r="C23" s="8" t="s">
        <v>195</v>
      </c>
      <c r="D23" s="5" t="str">
        <f>LRTRIM(CONCATENATE(IF(SUMPRODUCT(-- ISNUMBER(SEARCH({"Auto Number"}, $B23))) &gt; 0, $B23, IF(SUMPRODUCT(-- ISNUMBER(SEARCH({"Lookup","Master-Detail"}, $B23))) &gt; 0,$B23 &amp; "(" &amp; $E23 &amp; ")",IF(SUMPRODUCT(-- ISNUMBER(SEARCH({"Formula","Roll-Up Summary"}, $B23))) &gt; 0,$B23 &amp; " (" &amp; $E23 &amp; ")",IF(SUMPRODUCT(-- ISNUMBER(SEARCH({"Content","Currency","Number","Percent","Text","URL"}, $B23))) &gt; 0,$B23 &amp; "(" &amp; $C23 &amp; ")",$B23)))), "  ", TRIM(IF($S23 = "YES", "(External ID)", "") &amp; " " &amp; IF(SUMPRODUCT(-- ISNUMBER(SEARCH({"Unique","Unique Case Insensitive"}, $R23))) &gt; 0, "(" &amp; $R23 &amp; ")", ""))))</f>
        <v>na</v>
      </c>
      <c r="E23" s="7" t="s">
        <v>195</v>
      </c>
      <c r="F23" s="7" t="s">
        <v>195</v>
      </c>
      <c r="G23" s="7" t="s">
        <v>195</v>
      </c>
      <c r="H23" s="7" t="s">
        <v>195</v>
      </c>
      <c r="I23" s="7" t="s">
        <v>195</v>
      </c>
      <c r="J23" s="7" t="s">
        <v>195</v>
      </c>
      <c r="K23" s="7" t="s">
        <v>195</v>
      </c>
      <c r="L23" s="7" t="s">
        <v>195</v>
      </c>
      <c r="M23" s="7" t="s">
        <v>29</v>
      </c>
      <c r="N23" s="7" t="s">
        <v>29</v>
      </c>
      <c r="O23" s="7" t="s">
        <v>29</v>
      </c>
      <c r="P23" s="7" t="s">
        <v>29</v>
      </c>
      <c r="Q23" s="7" t="s">
        <v>29</v>
      </c>
      <c r="R23" s="7" t="s">
        <v>29</v>
      </c>
      <c r="S23" s="7" t="s">
        <v>29</v>
      </c>
    </row>
    <row r="24" spans="1:19">
      <c r="A24" s="7"/>
      <c r="B24" s="7" t="s">
        <v>195</v>
      </c>
      <c r="C24" s="8" t="s">
        <v>195</v>
      </c>
      <c r="D24" s="5" t="str">
        <f>LRTRIM(CONCATENATE(IF(SUMPRODUCT(-- ISNUMBER(SEARCH({"Auto Number"}, $B24))) &gt; 0, $B24, IF(SUMPRODUCT(-- ISNUMBER(SEARCH({"Lookup","Master-Detail"}, $B24))) &gt; 0,$B24 &amp; "(" &amp; $E24 &amp; ")",IF(SUMPRODUCT(-- ISNUMBER(SEARCH({"Formula","Roll-Up Summary"}, $B24))) &gt; 0,$B24 &amp; " (" &amp; $E24 &amp; ")",IF(SUMPRODUCT(-- ISNUMBER(SEARCH({"Content","Currency","Number","Percent","Text","URL"}, $B24))) &gt; 0,$B24 &amp; "(" &amp; $C24 &amp; ")",$B24)))), "  ", TRIM(IF($S24 = "YES", "(External ID)", "") &amp; " " &amp; IF(SUMPRODUCT(-- ISNUMBER(SEARCH({"Unique","Unique Case Insensitive"}, $R24))) &gt; 0, "(" &amp; $R24 &amp; ")", ""))))</f>
        <v>na</v>
      </c>
      <c r="E24" s="7" t="s">
        <v>195</v>
      </c>
      <c r="F24" s="7" t="s">
        <v>195</v>
      </c>
      <c r="G24" s="7" t="s">
        <v>195</v>
      </c>
      <c r="H24" s="7" t="s">
        <v>195</v>
      </c>
      <c r="I24" s="7" t="s">
        <v>195</v>
      </c>
      <c r="J24" s="7" t="s">
        <v>195</v>
      </c>
      <c r="K24" s="7" t="s">
        <v>195</v>
      </c>
      <c r="L24" s="7" t="s">
        <v>195</v>
      </c>
      <c r="M24" s="7" t="s">
        <v>29</v>
      </c>
      <c r="N24" s="7" t="s">
        <v>29</v>
      </c>
      <c r="O24" s="7" t="s">
        <v>29</v>
      </c>
      <c r="P24" s="7" t="s">
        <v>29</v>
      </c>
      <c r="Q24" s="7" t="s">
        <v>29</v>
      </c>
      <c r="R24" s="7" t="s">
        <v>29</v>
      </c>
      <c r="S24" s="7" t="s">
        <v>29</v>
      </c>
    </row>
    <row r="25" spans="1:19">
      <c r="A25" s="7"/>
      <c r="B25" s="7" t="s">
        <v>195</v>
      </c>
      <c r="C25" s="8" t="s">
        <v>195</v>
      </c>
      <c r="D25" s="5" t="str">
        <f>LRTRIM(CONCATENATE(IF(SUMPRODUCT(-- ISNUMBER(SEARCH({"Auto Number"}, $B25))) &gt; 0, $B25, IF(SUMPRODUCT(-- ISNUMBER(SEARCH({"Lookup","Master-Detail"}, $B25))) &gt; 0,$B25 &amp; "(" &amp; $E25 &amp; ")",IF(SUMPRODUCT(-- ISNUMBER(SEARCH({"Formula","Roll-Up Summary"}, $B25))) &gt; 0,$B25 &amp; " (" &amp; $E25 &amp; ")",IF(SUMPRODUCT(-- ISNUMBER(SEARCH({"Content","Currency","Number","Percent","Text","URL"}, $B25))) &gt; 0,$B25 &amp; "(" &amp; $C25 &amp; ")",$B25)))), "  ", TRIM(IF($S25 = "YES", "(External ID)", "") &amp; " " &amp; IF(SUMPRODUCT(-- ISNUMBER(SEARCH({"Unique","Unique Case Insensitive"}, $R25))) &gt; 0, "(" &amp; $R25 &amp; ")", ""))))</f>
        <v>na</v>
      </c>
      <c r="E25" s="7" t="s">
        <v>195</v>
      </c>
      <c r="F25" s="7" t="s">
        <v>195</v>
      </c>
      <c r="G25" s="7" t="s">
        <v>195</v>
      </c>
      <c r="H25" s="7" t="s">
        <v>195</v>
      </c>
      <c r="I25" s="7" t="s">
        <v>195</v>
      </c>
      <c r="J25" s="7" t="s">
        <v>195</v>
      </c>
      <c r="K25" s="7" t="s">
        <v>195</v>
      </c>
      <c r="L25" s="7" t="s">
        <v>195</v>
      </c>
      <c r="M25" s="7" t="s">
        <v>29</v>
      </c>
      <c r="N25" s="7" t="s">
        <v>29</v>
      </c>
      <c r="O25" s="7" t="s">
        <v>29</v>
      </c>
      <c r="P25" s="7" t="s">
        <v>29</v>
      </c>
      <c r="Q25" s="7" t="s">
        <v>29</v>
      </c>
      <c r="R25" s="7" t="s">
        <v>29</v>
      </c>
      <c r="S25" s="7" t="s">
        <v>29</v>
      </c>
    </row>
    <row r="26" spans="1:19">
      <c r="A26" s="7"/>
      <c r="B26" s="7" t="s">
        <v>195</v>
      </c>
      <c r="C26" s="8" t="s">
        <v>195</v>
      </c>
      <c r="D26" s="5" t="str">
        <f>LRTRIM(CONCATENATE(IF(SUMPRODUCT(-- ISNUMBER(SEARCH({"Auto Number"}, $B26))) &gt; 0, $B26, IF(SUMPRODUCT(-- ISNUMBER(SEARCH({"Lookup","Master-Detail"}, $B26))) &gt; 0,$B26 &amp; "(" &amp; $E26 &amp; ")",IF(SUMPRODUCT(-- ISNUMBER(SEARCH({"Formula","Roll-Up Summary"}, $B26))) &gt; 0,$B26 &amp; " (" &amp; $E26 &amp; ")",IF(SUMPRODUCT(-- ISNUMBER(SEARCH({"Content","Currency","Number","Percent","Text","URL"}, $B26))) &gt; 0,$B26 &amp; "(" &amp; $C26 &amp; ")",$B26)))), "  ", TRIM(IF($S26 = "YES", "(External ID)", "") &amp; " " &amp; IF(SUMPRODUCT(-- ISNUMBER(SEARCH({"Unique","Unique Case Insensitive"}, $R26))) &gt; 0, "(" &amp; $R26 &amp; ")", ""))))</f>
        <v>na</v>
      </c>
      <c r="E26" s="7" t="s">
        <v>195</v>
      </c>
      <c r="F26" s="7" t="s">
        <v>195</v>
      </c>
      <c r="G26" s="7" t="s">
        <v>195</v>
      </c>
      <c r="H26" s="7" t="s">
        <v>195</v>
      </c>
      <c r="I26" s="7" t="s">
        <v>195</v>
      </c>
      <c r="J26" s="7" t="s">
        <v>195</v>
      </c>
      <c r="K26" s="7" t="s">
        <v>195</v>
      </c>
      <c r="L26" s="7" t="s">
        <v>195</v>
      </c>
      <c r="M26" s="7" t="s">
        <v>29</v>
      </c>
      <c r="N26" s="7" t="s">
        <v>29</v>
      </c>
      <c r="O26" s="7" t="s">
        <v>29</v>
      </c>
      <c r="P26" s="7" t="s">
        <v>29</v>
      </c>
      <c r="Q26" s="7" t="s">
        <v>29</v>
      </c>
      <c r="R26" s="7" t="s">
        <v>29</v>
      </c>
      <c r="S26" s="7" t="s">
        <v>29</v>
      </c>
    </row>
    <row r="27" spans="1:19">
      <c r="A27" s="7"/>
      <c r="B27" s="7" t="s">
        <v>195</v>
      </c>
      <c r="C27" s="8" t="s">
        <v>195</v>
      </c>
      <c r="D27" s="5" t="str">
        <f>LRTRIM(CONCATENATE(IF(SUMPRODUCT(-- ISNUMBER(SEARCH({"Auto Number"}, $B27))) &gt; 0, $B27, IF(SUMPRODUCT(-- ISNUMBER(SEARCH({"Lookup","Master-Detail"}, $B27))) &gt; 0,$B27 &amp; "(" &amp; $E27 &amp; ")",IF(SUMPRODUCT(-- ISNUMBER(SEARCH({"Formula","Roll-Up Summary"}, $B27))) &gt; 0,$B27 &amp; " (" &amp; $E27 &amp; ")",IF(SUMPRODUCT(-- ISNUMBER(SEARCH({"Content","Currency","Number","Percent","Text","URL"}, $B27))) &gt; 0,$B27 &amp; "(" &amp; $C27 &amp; ")",$B27)))), "  ", TRIM(IF($S27 = "YES", "(External ID)", "") &amp; " " &amp; IF(SUMPRODUCT(-- ISNUMBER(SEARCH({"Unique","Unique Case Insensitive"}, $R27))) &gt; 0, "(" &amp; $R27 &amp; ")", ""))))</f>
        <v>na</v>
      </c>
      <c r="E27" s="7" t="s">
        <v>195</v>
      </c>
      <c r="F27" s="7" t="s">
        <v>195</v>
      </c>
      <c r="G27" s="7" t="s">
        <v>195</v>
      </c>
      <c r="H27" s="7" t="s">
        <v>195</v>
      </c>
      <c r="I27" s="7" t="s">
        <v>195</v>
      </c>
      <c r="J27" s="7" t="s">
        <v>195</v>
      </c>
      <c r="K27" s="7" t="s">
        <v>195</v>
      </c>
      <c r="L27" s="7" t="s">
        <v>195</v>
      </c>
      <c r="M27" s="7" t="s">
        <v>29</v>
      </c>
      <c r="N27" s="7" t="s">
        <v>29</v>
      </c>
      <c r="O27" s="7" t="s">
        <v>29</v>
      </c>
      <c r="P27" s="7" t="s">
        <v>29</v>
      </c>
      <c r="Q27" s="7" t="s">
        <v>29</v>
      </c>
      <c r="R27" s="7" t="s">
        <v>29</v>
      </c>
      <c r="S27" s="7" t="s">
        <v>29</v>
      </c>
    </row>
    <row r="28" spans="1:19">
      <c r="A28" s="7"/>
      <c r="B28" s="7" t="s">
        <v>195</v>
      </c>
      <c r="C28" s="8" t="s">
        <v>195</v>
      </c>
      <c r="D28" s="5" t="str">
        <f>LRTRIM(CONCATENATE(IF(SUMPRODUCT(-- ISNUMBER(SEARCH({"Auto Number"}, $B28))) &gt; 0, $B28, IF(SUMPRODUCT(-- ISNUMBER(SEARCH({"Lookup","Master-Detail"}, $B28))) &gt; 0,$B28 &amp; "(" &amp; $E28 &amp; ")",IF(SUMPRODUCT(-- ISNUMBER(SEARCH({"Formula","Roll-Up Summary"}, $B28))) &gt; 0,$B28 &amp; " (" &amp; $E28 &amp; ")",IF(SUMPRODUCT(-- ISNUMBER(SEARCH({"Content","Currency","Number","Percent","Text","URL"}, $B28))) &gt; 0,$B28 &amp; "(" &amp; $C28 &amp; ")",$B28)))), "  ", TRIM(IF($S28 = "YES", "(External ID)", "") &amp; " " &amp; IF(SUMPRODUCT(-- ISNUMBER(SEARCH({"Unique","Unique Case Insensitive"}, $R28))) &gt; 0, "(" &amp; $R28 &amp; ")", ""))))</f>
        <v>na</v>
      </c>
      <c r="E28" s="7" t="s">
        <v>195</v>
      </c>
      <c r="F28" s="7" t="s">
        <v>195</v>
      </c>
      <c r="G28" s="7" t="s">
        <v>195</v>
      </c>
      <c r="H28" s="7" t="s">
        <v>195</v>
      </c>
      <c r="I28" s="7" t="s">
        <v>195</v>
      </c>
      <c r="J28" s="7" t="s">
        <v>195</v>
      </c>
      <c r="K28" s="7" t="s">
        <v>195</v>
      </c>
      <c r="L28" s="7" t="s">
        <v>195</v>
      </c>
      <c r="M28" s="7" t="s">
        <v>29</v>
      </c>
      <c r="N28" s="7" t="s">
        <v>29</v>
      </c>
      <c r="O28" s="7" t="s">
        <v>29</v>
      </c>
      <c r="P28" s="7" t="s">
        <v>29</v>
      </c>
      <c r="Q28" s="7" t="s">
        <v>29</v>
      </c>
      <c r="R28" s="7" t="s">
        <v>29</v>
      </c>
      <c r="S28" s="7" t="s">
        <v>29</v>
      </c>
    </row>
    <row r="29" spans="1:19">
      <c r="A29" s="7"/>
      <c r="B29" s="7" t="s">
        <v>195</v>
      </c>
      <c r="C29" s="8" t="s">
        <v>195</v>
      </c>
      <c r="D29" s="5" t="str">
        <f>LRTRIM(CONCATENATE(IF(SUMPRODUCT(-- ISNUMBER(SEARCH({"Auto Number"}, $B29))) &gt; 0, $B29, IF(SUMPRODUCT(-- ISNUMBER(SEARCH({"Lookup","Master-Detail"}, $B29))) &gt; 0,$B29 &amp; "(" &amp; $E29 &amp; ")",IF(SUMPRODUCT(-- ISNUMBER(SEARCH({"Formula","Roll-Up Summary"}, $B29))) &gt; 0,$B29 &amp; " (" &amp; $E29 &amp; ")",IF(SUMPRODUCT(-- ISNUMBER(SEARCH({"Content","Currency","Number","Percent","Text","URL"}, $B29))) &gt; 0,$B29 &amp; "(" &amp; $C29 &amp; ")",$B29)))), "  ", TRIM(IF($S29 = "YES", "(External ID)", "") &amp; " " &amp; IF(SUMPRODUCT(-- ISNUMBER(SEARCH({"Unique","Unique Case Insensitive"}, $R29))) &gt; 0, "(" &amp; $R29 &amp; ")", ""))))</f>
        <v>na</v>
      </c>
      <c r="E29" s="7" t="s">
        <v>195</v>
      </c>
      <c r="F29" s="7" t="s">
        <v>195</v>
      </c>
      <c r="G29" s="7" t="s">
        <v>195</v>
      </c>
      <c r="H29" s="7" t="s">
        <v>195</v>
      </c>
      <c r="I29" s="7" t="s">
        <v>195</v>
      </c>
      <c r="J29" s="7" t="s">
        <v>195</v>
      </c>
      <c r="K29" s="7" t="s">
        <v>195</v>
      </c>
      <c r="L29" s="7" t="s">
        <v>195</v>
      </c>
      <c r="M29" s="7" t="s">
        <v>29</v>
      </c>
      <c r="N29" s="7" t="s">
        <v>29</v>
      </c>
      <c r="O29" s="7" t="s">
        <v>29</v>
      </c>
      <c r="P29" s="7" t="s">
        <v>29</v>
      </c>
      <c r="Q29" s="7" t="s">
        <v>29</v>
      </c>
      <c r="R29" s="7" t="s">
        <v>29</v>
      </c>
      <c r="S29" s="7" t="s">
        <v>29</v>
      </c>
    </row>
    <row r="30" spans="1:19">
      <c r="A30" s="7"/>
      <c r="B30" s="7" t="s">
        <v>195</v>
      </c>
      <c r="C30" s="8" t="s">
        <v>195</v>
      </c>
      <c r="D30" s="5" t="str">
        <f>LRTRIM(CONCATENATE(IF(SUMPRODUCT(-- ISNUMBER(SEARCH({"Auto Number"}, $B30))) &gt; 0, $B30, IF(SUMPRODUCT(-- ISNUMBER(SEARCH({"Lookup","Master-Detail"}, $B30))) &gt; 0,$B30 &amp; "(" &amp; $E30 &amp; ")",IF(SUMPRODUCT(-- ISNUMBER(SEARCH({"Formula","Roll-Up Summary"}, $B30))) &gt; 0,$B30 &amp; " (" &amp; $E30 &amp; ")",IF(SUMPRODUCT(-- ISNUMBER(SEARCH({"Content","Currency","Number","Percent","Text","URL"}, $B30))) &gt; 0,$B30 &amp; "(" &amp; $C30 &amp; ")",$B30)))), "  ", TRIM(IF($S30 = "YES", "(External ID)", "") &amp; " " &amp; IF(SUMPRODUCT(-- ISNUMBER(SEARCH({"Unique","Unique Case Insensitive"}, $R30))) &gt; 0, "(" &amp; $R30 &amp; ")", ""))))</f>
        <v>na</v>
      </c>
      <c r="E30" s="7" t="s">
        <v>195</v>
      </c>
      <c r="F30" s="7" t="s">
        <v>195</v>
      </c>
      <c r="G30" s="7" t="s">
        <v>195</v>
      </c>
      <c r="H30" s="7" t="s">
        <v>195</v>
      </c>
      <c r="I30" s="7" t="s">
        <v>195</v>
      </c>
      <c r="J30" s="7" t="s">
        <v>195</v>
      </c>
      <c r="K30" s="7" t="s">
        <v>195</v>
      </c>
      <c r="L30" s="7" t="s">
        <v>195</v>
      </c>
      <c r="M30" s="7" t="s">
        <v>29</v>
      </c>
      <c r="N30" s="7" t="s">
        <v>29</v>
      </c>
      <c r="O30" s="7" t="s">
        <v>29</v>
      </c>
      <c r="P30" s="7" t="s">
        <v>29</v>
      </c>
      <c r="Q30" s="7" t="s">
        <v>29</v>
      </c>
      <c r="R30" s="7" t="s">
        <v>29</v>
      </c>
      <c r="S30" s="7" t="s">
        <v>29</v>
      </c>
    </row>
    <row r="31" spans="1:19">
      <c r="A31" s="7"/>
      <c r="B31" s="7" t="s">
        <v>195</v>
      </c>
      <c r="C31" s="8" t="s">
        <v>195</v>
      </c>
      <c r="D31" s="5" t="str">
        <f>LRTRIM(CONCATENATE(IF(SUMPRODUCT(-- ISNUMBER(SEARCH({"Auto Number"}, $B31))) &gt; 0, $B31, IF(SUMPRODUCT(-- ISNUMBER(SEARCH({"Lookup","Master-Detail"}, $B31))) &gt; 0,$B31 &amp; "(" &amp; $E31 &amp; ")",IF(SUMPRODUCT(-- ISNUMBER(SEARCH({"Formula","Roll-Up Summary"}, $B31))) &gt; 0,$B31 &amp; " (" &amp; $E31 &amp; ")",IF(SUMPRODUCT(-- ISNUMBER(SEARCH({"Content","Currency","Number","Percent","Text","URL"}, $B31))) &gt; 0,$B31 &amp; "(" &amp; $C31 &amp; ")",$B31)))), "  ", TRIM(IF($S31 = "YES", "(External ID)", "") &amp; " " &amp; IF(SUMPRODUCT(-- ISNUMBER(SEARCH({"Unique","Unique Case Insensitive"}, $R31))) &gt; 0, "(" &amp; $R31 &amp; ")", ""))))</f>
        <v>na</v>
      </c>
      <c r="E31" s="7" t="s">
        <v>195</v>
      </c>
      <c r="F31" s="7" t="s">
        <v>195</v>
      </c>
      <c r="G31" s="7" t="s">
        <v>195</v>
      </c>
      <c r="H31" s="7" t="s">
        <v>195</v>
      </c>
      <c r="I31" s="7" t="s">
        <v>195</v>
      </c>
      <c r="J31" s="7" t="s">
        <v>195</v>
      </c>
      <c r="K31" s="7" t="s">
        <v>195</v>
      </c>
      <c r="L31" s="7" t="s">
        <v>195</v>
      </c>
      <c r="M31" s="7" t="s">
        <v>29</v>
      </c>
      <c r="N31" s="7" t="s">
        <v>29</v>
      </c>
      <c r="O31" s="7" t="s">
        <v>29</v>
      </c>
      <c r="P31" s="7" t="s">
        <v>29</v>
      </c>
      <c r="Q31" s="7" t="s">
        <v>29</v>
      </c>
      <c r="R31" s="7" t="s">
        <v>29</v>
      </c>
      <c r="S31" s="7" t="s">
        <v>29</v>
      </c>
    </row>
    <row r="32" spans="1:19">
      <c r="A32" s="7"/>
      <c r="B32" s="7" t="s">
        <v>195</v>
      </c>
      <c r="C32" s="8" t="s">
        <v>195</v>
      </c>
      <c r="D32" s="5" t="str">
        <f>LRTRIM(CONCATENATE(IF(SUMPRODUCT(-- ISNUMBER(SEARCH({"Auto Number"}, $B32))) &gt; 0, $B32, IF(SUMPRODUCT(-- ISNUMBER(SEARCH({"Lookup","Master-Detail"}, $B32))) &gt; 0,$B32 &amp; "(" &amp; $E32 &amp; ")",IF(SUMPRODUCT(-- ISNUMBER(SEARCH({"Formula","Roll-Up Summary"}, $B32))) &gt; 0,$B32 &amp; " (" &amp; $E32 &amp; ")",IF(SUMPRODUCT(-- ISNUMBER(SEARCH({"Content","Currency","Number","Percent","Text","URL"}, $B32))) &gt; 0,$B32 &amp; "(" &amp; $C32 &amp; ")",$B32)))), "  ", TRIM(IF($S32 = "YES", "(External ID)", "") &amp; " " &amp; IF(SUMPRODUCT(-- ISNUMBER(SEARCH({"Unique","Unique Case Insensitive"}, $R32))) &gt; 0, "(" &amp; $R32 &amp; ")", ""))))</f>
        <v>na</v>
      </c>
      <c r="E32" s="7" t="s">
        <v>195</v>
      </c>
      <c r="F32" s="7" t="s">
        <v>195</v>
      </c>
      <c r="G32" s="7" t="s">
        <v>195</v>
      </c>
      <c r="H32" s="7" t="s">
        <v>195</v>
      </c>
      <c r="I32" s="7" t="s">
        <v>195</v>
      </c>
      <c r="J32" s="7" t="s">
        <v>195</v>
      </c>
      <c r="K32" s="7" t="s">
        <v>195</v>
      </c>
      <c r="L32" s="7" t="s">
        <v>195</v>
      </c>
      <c r="M32" s="7" t="s">
        <v>29</v>
      </c>
      <c r="N32" s="7" t="s">
        <v>29</v>
      </c>
      <c r="O32" s="7" t="s">
        <v>29</v>
      </c>
      <c r="P32" s="7" t="s">
        <v>29</v>
      </c>
      <c r="Q32" s="7" t="s">
        <v>29</v>
      </c>
      <c r="R32" s="7" t="s">
        <v>29</v>
      </c>
      <c r="S32" s="7" t="s">
        <v>29</v>
      </c>
    </row>
    <row r="33" spans="1:19">
      <c r="A33" s="7"/>
      <c r="B33" s="7" t="s">
        <v>195</v>
      </c>
      <c r="C33" s="8" t="s">
        <v>195</v>
      </c>
      <c r="D33" s="5" t="str">
        <f>LRTRIM(CONCATENATE(IF(SUMPRODUCT(-- ISNUMBER(SEARCH({"Auto Number"}, $B33))) &gt; 0, $B33, IF(SUMPRODUCT(-- ISNUMBER(SEARCH({"Lookup","Master-Detail"}, $B33))) &gt; 0,$B33 &amp; "(" &amp; $E33 &amp; ")",IF(SUMPRODUCT(-- ISNUMBER(SEARCH({"Formula","Roll-Up Summary"}, $B33))) &gt; 0,$B33 &amp; " (" &amp; $E33 &amp; ")",IF(SUMPRODUCT(-- ISNUMBER(SEARCH({"Content","Currency","Number","Percent","Text","URL"}, $B33))) &gt; 0,$B33 &amp; "(" &amp; $C33 &amp; ")",$B33)))), "  ", TRIM(IF($S33 = "YES", "(External ID)", "") &amp; " " &amp; IF(SUMPRODUCT(-- ISNUMBER(SEARCH({"Unique","Unique Case Insensitive"}, $R33))) &gt; 0, "(" &amp; $R33 &amp; ")", ""))))</f>
        <v>na</v>
      </c>
      <c r="E33" s="7" t="s">
        <v>195</v>
      </c>
      <c r="F33" s="7" t="s">
        <v>195</v>
      </c>
      <c r="G33" s="7" t="s">
        <v>195</v>
      </c>
      <c r="H33" s="7" t="s">
        <v>195</v>
      </c>
      <c r="I33" s="7" t="s">
        <v>195</v>
      </c>
      <c r="J33" s="7" t="s">
        <v>195</v>
      </c>
      <c r="K33" s="7" t="s">
        <v>195</v>
      </c>
      <c r="L33" s="7" t="s">
        <v>195</v>
      </c>
      <c r="M33" s="7" t="s">
        <v>29</v>
      </c>
      <c r="N33" s="7" t="s">
        <v>29</v>
      </c>
      <c r="O33" s="7" t="s">
        <v>29</v>
      </c>
      <c r="P33" s="7" t="s">
        <v>29</v>
      </c>
      <c r="Q33" s="7" t="s">
        <v>29</v>
      </c>
      <c r="R33" s="7" t="s">
        <v>29</v>
      </c>
      <c r="S33" s="7" t="s">
        <v>29</v>
      </c>
    </row>
    <row r="34" spans="1:19">
      <c r="A34" s="7"/>
      <c r="B34" s="7" t="s">
        <v>195</v>
      </c>
      <c r="C34" s="8" t="s">
        <v>195</v>
      </c>
      <c r="D34" s="5" t="str">
        <f>LRTRIM(CONCATENATE(IF(SUMPRODUCT(-- ISNUMBER(SEARCH({"Auto Number"}, $B34))) &gt; 0, $B34, IF(SUMPRODUCT(-- ISNUMBER(SEARCH({"Lookup","Master-Detail"}, $B34))) &gt; 0,$B34 &amp; "(" &amp; $E34 &amp; ")",IF(SUMPRODUCT(-- ISNUMBER(SEARCH({"Formula","Roll-Up Summary"}, $B34))) &gt; 0,$B34 &amp; " (" &amp; $E34 &amp; ")",IF(SUMPRODUCT(-- ISNUMBER(SEARCH({"Content","Currency","Number","Percent","Text","URL"}, $B34))) &gt; 0,$B34 &amp; "(" &amp; $C34 &amp; ")",$B34)))), "  ", TRIM(IF($S34 = "YES", "(External ID)", "") &amp; " " &amp; IF(SUMPRODUCT(-- ISNUMBER(SEARCH({"Unique","Unique Case Insensitive"}, $R34))) &gt; 0, "(" &amp; $R34 &amp; ")", ""))))</f>
        <v>na</v>
      </c>
      <c r="E34" s="7" t="s">
        <v>195</v>
      </c>
      <c r="F34" s="7" t="s">
        <v>195</v>
      </c>
      <c r="G34" s="7" t="s">
        <v>195</v>
      </c>
      <c r="H34" s="7" t="s">
        <v>195</v>
      </c>
      <c r="I34" s="7" t="s">
        <v>195</v>
      </c>
      <c r="J34" s="7" t="s">
        <v>195</v>
      </c>
      <c r="K34" s="7" t="s">
        <v>195</v>
      </c>
      <c r="L34" s="7" t="s">
        <v>195</v>
      </c>
      <c r="M34" s="7" t="s">
        <v>29</v>
      </c>
      <c r="N34" s="7" t="s">
        <v>29</v>
      </c>
      <c r="O34" s="7" t="s">
        <v>29</v>
      </c>
      <c r="P34" s="7" t="s">
        <v>29</v>
      </c>
      <c r="Q34" s="7" t="s">
        <v>29</v>
      </c>
      <c r="R34" s="7" t="s">
        <v>29</v>
      </c>
      <c r="S34" s="7" t="s">
        <v>29</v>
      </c>
    </row>
    <row r="35" spans="1:19">
      <c r="A35" s="7"/>
      <c r="B35" s="7" t="s">
        <v>195</v>
      </c>
      <c r="C35" s="8" t="s">
        <v>195</v>
      </c>
      <c r="D35" s="5" t="str">
        <f>LRTRIM(CONCATENATE(IF(SUMPRODUCT(-- ISNUMBER(SEARCH({"Auto Number"}, $B35))) &gt; 0, $B35, IF(SUMPRODUCT(-- ISNUMBER(SEARCH({"Lookup","Master-Detail"}, $B35))) &gt; 0,$B35 &amp; "(" &amp; $E35 &amp; ")",IF(SUMPRODUCT(-- ISNUMBER(SEARCH({"Formula","Roll-Up Summary"}, $B35))) &gt; 0,$B35 &amp; " (" &amp; $E35 &amp; ")",IF(SUMPRODUCT(-- ISNUMBER(SEARCH({"Content","Currency","Number","Percent","Text","URL"}, $B35))) &gt; 0,$B35 &amp; "(" &amp; $C35 &amp; ")",$B35)))), "  ", TRIM(IF($S35 = "YES", "(External ID)", "") &amp; " " &amp; IF(SUMPRODUCT(-- ISNUMBER(SEARCH({"Unique","Unique Case Insensitive"}, $R35))) &gt; 0, "(" &amp; $R35 &amp; ")", ""))))</f>
        <v>na</v>
      </c>
      <c r="E35" s="7" t="s">
        <v>195</v>
      </c>
      <c r="F35" s="7" t="s">
        <v>195</v>
      </c>
      <c r="G35" s="7" t="s">
        <v>195</v>
      </c>
      <c r="H35" s="7" t="s">
        <v>195</v>
      </c>
      <c r="I35" s="7" t="s">
        <v>195</v>
      </c>
      <c r="J35" s="7" t="s">
        <v>195</v>
      </c>
      <c r="K35" s="7" t="s">
        <v>195</v>
      </c>
      <c r="L35" s="7" t="s">
        <v>195</v>
      </c>
      <c r="M35" s="7" t="s">
        <v>29</v>
      </c>
      <c r="N35" s="7" t="s">
        <v>29</v>
      </c>
      <c r="O35" s="7" t="s">
        <v>29</v>
      </c>
      <c r="P35" s="7" t="s">
        <v>29</v>
      </c>
      <c r="Q35" s="7" t="s">
        <v>29</v>
      </c>
      <c r="R35" s="7" t="s">
        <v>29</v>
      </c>
      <c r="S35" s="7" t="s">
        <v>29</v>
      </c>
    </row>
    <row r="36" spans="1:19">
      <c r="A36" s="7"/>
      <c r="B36" s="7" t="s">
        <v>195</v>
      </c>
      <c r="C36" s="8" t="s">
        <v>195</v>
      </c>
      <c r="D36" s="5" t="str">
        <f>LRTRIM(CONCATENATE(IF(SUMPRODUCT(-- ISNUMBER(SEARCH({"Auto Number"}, $B36))) &gt; 0, $B36, IF(SUMPRODUCT(-- ISNUMBER(SEARCH({"Lookup","Master-Detail"}, $B36))) &gt; 0,$B36 &amp; "(" &amp; $E36 &amp; ")",IF(SUMPRODUCT(-- ISNUMBER(SEARCH({"Formula","Roll-Up Summary"}, $B36))) &gt; 0,$B36 &amp; " (" &amp; $E36 &amp; ")",IF(SUMPRODUCT(-- ISNUMBER(SEARCH({"Content","Currency","Number","Percent","Text","URL"}, $B36))) &gt; 0,$B36 &amp; "(" &amp; $C36 &amp; ")",$B36)))), "  ", TRIM(IF($S36 = "YES", "(External ID)", "") &amp; " " &amp; IF(SUMPRODUCT(-- ISNUMBER(SEARCH({"Unique","Unique Case Insensitive"}, $R36))) &gt; 0, "(" &amp; $R36 &amp; ")", ""))))</f>
        <v>na</v>
      </c>
      <c r="E36" s="7" t="s">
        <v>195</v>
      </c>
      <c r="F36" s="7" t="s">
        <v>195</v>
      </c>
      <c r="G36" s="7" t="s">
        <v>195</v>
      </c>
      <c r="H36" s="7" t="s">
        <v>195</v>
      </c>
      <c r="I36" s="7" t="s">
        <v>195</v>
      </c>
      <c r="J36" s="7" t="s">
        <v>195</v>
      </c>
      <c r="K36" s="7" t="s">
        <v>195</v>
      </c>
      <c r="L36" s="7" t="s">
        <v>195</v>
      </c>
      <c r="M36" s="7" t="s">
        <v>29</v>
      </c>
      <c r="N36" s="7" t="s">
        <v>29</v>
      </c>
      <c r="O36" s="7" t="s">
        <v>29</v>
      </c>
      <c r="P36" s="7" t="s">
        <v>29</v>
      </c>
      <c r="Q36" s="7" t="s">
        <v>29</v>
      </c>
      <c r="R36" s="7" t="s">
        <v>29</v>
      </c>
      <c r="S36" s="7" t="s">
        <v>29</v>
      </c>
    </row>
    <row r="37" spans="1:19">
      <c r="A37" s="7"/>
      <c r="B37" s="7" t="s">
        <v>195</v>
      </c>
      <c r="C37" s="8" t="s">
        <v>195</v>
      </c>
      <c r="D37" s="5" t="str">
        <f>LRTRIM(CONCATENATE(IF(SUMPRODUCT(-- ISNUMBER(SEARCH({"Auto Number"}, $B37))) &gt; 0, $B37, IF(SUMPRODUCT(-- ISNUMBER(SEARCH({"Lookup","Master-Detail"}, $B37))) &gt; 0,$B37 &amp; "(" &amp; $E37 &amp; ")",IF(SUMPRODUCT(-- ISNUMBER(SEARCH({"Formula","Roll-Up Summary"}, $B37))) &gt; 0,$B37 &amp; " (" &amp; $E37 &amp; ")",IF(SUMPRODUCT(-- ISNUMBER(SEARCH({"Content","Currency","Number","Percent","Text","URL"}, $B37))) &gt; 0,$B37 &amp; "(" &amp; $C37 &amp; ")",$B37)))), "  ", TRIM(IF($S37 = "YES", "(External ID)", "") &amp; " " &amp; IF(SUMPRODUCT(-- ISNUMBER(SEARCH({"Unique","Unique Case Insensitive"}, $R37))) &gt; 0, "(" &amp; $R37 &amp; ")", ""))))</f>
        <v>na</v>
      </c>
      <c r="E37" s="7" t="s">
        <v>195</v>
      </c>
      <c r="F37" s="7" t="s">
        <v>195</v>
      </c>
      <c r="G37" s="7" t="s">
        <v>195</v>
      </c>
      <c r="H37" s="7" t="s">
        <v>195</v>
      </c>
      <c r="I37" s="7" t="s">
        <v>195</v>
      </c>
      <c r="J37" s="7" t="s">
        <v>195</v>
      </c>
      <c r="K37" s="7" t="s">
        <v>195</v>
      </c>
      <c r="L37" s="7" t="s">
        <v>195</v>
      </c>
      <c r="M37" s="7" t="s">
        <v>29</v>
      </c>
      <c r="N37" s="7" t="s">
        <v>29</v>
      </c>
      <c r="O37" s="7" t="s">
        <v>29</v>
      </c>
      <c r="P37" s="7" t="s">
        <v>29</v>
      </c>
      <c r="Q37" s="7" t="s">
        <v>29</v>
      </c>
      <c r="R37" s="7" t="s">
        <v>29</v>
      </c>
      <c r="S37" s="7" t="s">
        <v>29</v>
      </c>
    </row>
    <row r="38" spans="1:19">
      <c r="B38" s="7" t="s">
        <v>195</v>
      </c>
      <c r="C38" s="8" t="s">
        <v>195</v>
      </c>
      <c r="D38" s="5" t="str">
        <f>LRTRIM(CONCATENATE(IF(SUMPRODUCT(-- ISNUMBER(SEARCH({"Auto Number"}, $B38))) &gt; 0, $B38, IF(SUMPRODUCT(-- ISNUMBER(SEARCH({"Lookup","Master-Detail"}, $B38))) &gt; 0,$B38 &amp; "(" &amp; $E38 &amp; ")",IF(SUMPRODUCT(-- ISNUMBER(SEARCH({"Formula","Roll-Up Summary"}, $B38))) &gt; 0,$B38 &amp; " (" &amp; $E38 &amp; ")",IF(SUMPRODUCT(-- ISNUMBER(SEARCH({"Content","Currency","Number","Percent","Text","URL"}, $B38))) &gt; 0,$B38 &amp; "(" &amp; $C38 &amp; ")",$B38)))), "  ", TRIM(IF($S38 = "YES", "(External ID)", "") &amp; " " &amp; IF(SUMPRODUCT(-- ISNUMBER(SEARCH({"Unique","Unique Case Insensitive"}, $R38))) &gt; 0, "(" &amp; $R38 &amp; ")", ""))))</f>
        <v>na</v>
      </c>
      <c r="E38" s="7" t="s">
        <v>195</v>
      </c>
      <c r="F38" s="7" t="s">
        <v>195</v>
      </c>
      <c r="G38" s="7" t="s">
        <v>195</v>
      </c>
      <c r="H38" s="7" t="s">
        <v>195</v>
      </c>
      <c r="I38" s="7" t="s">
        <v>195</v>
      </c>
      <c r="J38" s="7" t="s">
        <v>195</v>
      </c>
      <c r="K38" s="7" t="s">
        <v>195</v>
      </c>
      <c r="L38" s="7" t="s">
        <v>195</v>
      </c>
      <c r="M38" s="7" t="s">
        <v>29</v>
      </c>
      <c r="N38" s="7" t="s">
        <v>29</v>
      </c>
      <c r="O38" s="7" t="s">
        <v>29</v>
      </c>
      <c r="P38" s="7" t="s">
        <v>29</v>
      </c>
      <c r="Q38" s="7" t="s">
        <v>29</v>
      </c>
      <c r="R38" s="7" t="s">
        <v>29</v>
      </c>
      <c r="S38" s="7" t="s">
        <v>29</v>
      </c>
    </row>
    <row r="39" spans="1:19">
      <c r="B39" s="7" t="s">
        <v>195</v>
      </c>
      <c r="C39" s="8" t="s">
        <v>195</v>
      </c>
      <c r="D39" s="5" t="str">
        <f>LRTRIM(CONCATENATE(IF(SUMPRODUCT(-- ISNUMBER(SEARCH({"Auto Number"}, $B39))) &gt; 0, $B39, IF(SUMPRODUCT(-- ISNUMBER(SEARCH({"Lookup","Master-Detail"}, $B39))) &gt; 0,$B39 &amp; "(" &amp; $E39 &amp; ")",IF(SUMPRODUCT(-- ISNUMBER(SEARCH({"Formula","Roll-Up Summary"}, $B39))) &gt; 0,$B39 &amp; " (" &amp; $E39 &amp; ")",IF(SUMPRODUCT(-- ISNUMBER(SEARCH({"Content","Currency","Number","Percent","Text","URL"}, $B39))) &gt; 0,$B39 &amp; "(" &amp; $C39 &amp; ")",$B39)))), "  ", TRIM(IF($S39 = "YES", "(External ID)", "") &amp; " " &amp; IF(SUMPRODUCT(-- ISNUMBER(SEARCH({"Unique","Unique Case Insensitive"}, $R39))) &gt; 0, "(" &amp; $R39 &amp; ")", ""))))</f>
        <v>na</v>
      </c>
      <c r="E39" s="7" t="s">
        <v>195</v>
      </c>
      <c r="F39" s="7" t="s">
        <v>195</v>
      </c>
      <c r="G39" s="7" t="s">
        <v>195</v>
      </c>
      <c r="H39" s="7" t="s">
        <v>195</v>
      </c>
      <c r="I39" s="7" t="s">
        <v>195</v>
      </c>
      <c r="J39" s="7" t="s">
        <v>195</v>
      </c>
      <c r="K39" s="7" t="s">
        <v>195</v>
      </c>
      <c r="L39" s="7" t="s">
        <v>195</v>
      </c>
      <c r="M39" s="7" t="s">
        <v>29</v>
      </c>
      <c r="N39" s="7" t="s">
        <v>29</v>
      </c>
      <c r="O39" s="7" t="s">
        <v>29</v>
      </c>
      <c r="P39" s="7" t="s">
        <v>29</v>
      </c>
      <c r="Q39" s="7" t="s">
        <v>29</v>
      </c>
      <c r="R39" s="7" t="s">
        <v>29</v>
      </c>
      <c r="S39" s="7" t="s">
        <v>29</v>
      </c>
    </row>
    <row r="40" spans="1:19">
      <c r="B40" s="7" t="s">
        <v>195</v>
      </c>
      <c r="C40" s="8" t="s">
        <v>195</v>
      </c>
      <c r="D40" s="5" t="str">
        <f>LRTRIM(CONCATENATE(IF(SUMPRODUCT(-- ISNUMBER(SEARCH({"Auto Number"}, $B40))) &gt; 0, $B40, IF(SUMPRODUCT(-- ISNUMBER(SEARCH({"Lookup","Master-Detail"}, $B40))) &gt; 0,$B40 &amp; "(" &amp; $E40 &amp; ")",IF(SUMPRODUCT(-- ISNUMBER(SEARCH({"Formula","Roll-Up Summary"}, $B40))) &gt; 0,$B40 &amp; " (" &amp; $E40 &amp; ")",IF(SUMPRODUCT(-- ISNUMBER(SEARCH({"Content","Currency","Number","Percent","Text","URL"}, $B40))) &gt; 0,$B40 &amp; "(" &amp; $C40 &amp; ")",$B40)))), "  ", TRIM(IF($S40 = "YES", "(External ID)", "") &amp; " " &amp; IF(SUMPRODUCT(-- ISNUMBER(SEARCH({"Unique","Unique Case Insensitive"}, $R40))) &gt; 0, "(" &amp; $R40 &amp; ")", ""))))</f>
        <v>na</v>
      </c>
      <c r="E40" s="7" t="s">
        <v>195</v>
      </c>
      <c r="F40" s="7" t="s">
        <v>195</v>
      </c>
      <c r="G40" s="7" t="s">
        <v>195</v>
      </c>
      <c r="H40" s="7" t="s">
        <v>195</v>
      </c>
      <c r="I40" s="7" t="s">
        <v>195</v>
      </c>
      <c r="J40" s="7" t="s">
        <v>195</v>
      </c>
      <c r="K40" s="7" t="s">
        <v>195</v>
      </c>
      <c r="L40" s="7" t="s">
        <v>195</v>
      </c>
      <c r="M40" s="7" t="s">
        <v>29</v>
      </c>
      <c r="N40" s="7" t="s">
        <v>29</v>
      </c>
      <c r="O40" s="7" t="s">
        <v>29</v>
      </c>
      <c r="P40" s="7" t="s">
        <v>29</v>
      </c>
      <c r="Q40" s="7" t="s">
        <v>29</v>
      </c>
      <c r="R40" s="7" t="s">
        <v>29</v>
      </c>
      <c r="S40" s="7" t="s">
        <v>29</v>
      </c>
    </row>
    <row r="41" spans="1:19">
      <c r="B41" s="7" t="s">
        <v>195</v>
      </c>
      <c r="C41" s="8" t="s">
        <v>195</v>
      </c>
      <c r="D41" s="5" t="str">
        <f>LRTRIM(CONCATENATE(IF(SUMPRODUCT(-- ISNUMBER(SEARCH({"Auto Number"}, $B41))) &gt; 0, $B41, IF(SUMPRODUCT(-- ISNUMBER(SEARCH({"Lookup","Master-Detail"}, $B41))) &gt; 0,$B41 &amp; "(" &amp; $E41 &amp; ")",IF(SUMPRODUCT(-- ISNUMBER(SEARCH({"Formula","Roll-Up Summary"}, $B41))) &gt; 0,$B41 &amp; " (" &amp; $E41 &amp; ")",IF(SUMPRODUCT(-- ISNUMBER(SEARCH({"Content","Currency","Number","Percent","Text","URL"}, $B41))) &gt; 0,$B41 &amp; "(" &amp; $C41 &amp; ")",$B41)))), "  ", TRIM(IF($S41 = "YES", "(External ID)", "") &amp; " " &amp; IF(SUMPRODUCT(-- ISNUMBER(SEARCH({"Unique","Unique Case Insensitive"}, $R41))) &gt; 0, "(" &amp; $R41 &amp; ")", ""))))</f>
        <v>na</v>
      </c>
      <c r="E41" s="7" t="s">
        <v>195</v>
      </c>
      <c r="F41" s="7" t="s">
        <v>195</v>
      </c>
      <c r="G41" s="7" t="s">
        <v>195</v>
      </c>
      <c r="H41" s="7" t="s">
        <v>195</v>
      </c>
      <c r="I41" s="7" t="s">
        <v>195</v>
      </c>
      <c r="J41" s="7" t="s">
        <v>195</v>
      </c>
      <c r="K41" s="7" t="s">
        <v>195</v>
      </c>
      <c r="L41" s="7" t="s">
        <v>195</v>
      </c>
      <c r="M41" s="7" t="s">
        <v>29</v>
      </c>
      <c r="N41" s="7" t="s">
        <v>29</v>
      </c>
      <c r="O41" s="7" t="s">
        <v>29</v>
      </c>
      <c r="P41" s="7" t="s">
        <v>29</v>
      </c>
      <c r="Q41" s="7" t="s">
        <v>29</v>
      </c>
      <c r="R41" s="7" t="s">
        <v>29</v>
      </c>
      <c r="S41" s="7" t="s">
        <v>29</v>
      </c>
    </row>
    <row r="42" spans="1:19">
      <c r="B42" s="7" t="s">
        <v>195</v>
      </c>
      <c r="C42" s="8" t="s">
        <v>195</v>
      </c>
      <c r="D42" s="5" t="str">
        <f>LRTRIM(CONCATENATE(IF(SUMPRODUCT(-- ISNUMBER(SEARCH({"Auto Number"}, $B42))) &gt; 0, $B42, IF(SUMPRODUCT(-- ISNUMBER(SEARCH({"Lookup","Master-Detail"}, $B42))) &gt; 0,$B42 &amp; "(" &amp; $E42 &amp; ")",IF(SUMPRODUCT(-- ISNUMBER(SEARCH({"Formula","Roll-Up Summary"}, $B42))) &gt; 0,$B42 &amp; " (" &amp; $E42 &amp; ")",IF(SUMPRODUCT(-- ISNUMBER(SEARCH({"Content","Currency","Number","Percent","Text","URL"}, $B42))) &gt; 0,$B42 &amp; "(" &amp; $C42 &amp; ")",$B42)))), "  ", TRIM(IF($S42 = "YES", "(External ID)", "") &amp; " " &amp; IF(SUMPRODUCT(-- ISNUMBER(SEARCH({"Unique","Unique Case Insensitive"}, $R42))) &gt; 0, "(" &amp; $R42 &amp; ")", ""))))</f>
        <v>na</v>
      </c>
      <c r="E42" s="7" t="s">
        <v>195</v>
      </c>
      <c r="F42" s="7" t="s">
        <v>195</v>
      </c>
      <c r="G42" s="7" t="s">
        <v>195</v>
      </c>
      <c r="H42" s="7" t="s">
        <v>195</v>
      </c>
      <c r="I42" s="7" t="s">
        <v>195</v>
      </c>
      <c r="J42" s="7" t="s">
        <v>195</v>
      </c>
      <c r="K42" s="7" t="s">
        <v>195</v>
      </c>
      <c r="L42" s="7" t="s">
        <v>195</v>
      </c>
      <c r="M42" s="7" t="s">
        <v>29</v>
      </c>
      <c r="N42" s="7" t="s">
        <v>29</v>
      </c>
      <c r="O42" s="7" t="s">
        <v>29</v>
      </c>
      <c r="P42" s="7" t="s">
        <v>29</v>
      </c>
      <c r="Q42" s="7" t="s">
        <v>29</v>
      </c>
      <c r="R42" s="7" t="s">
        <v>29</v>
      </c>
      <c r="S42" s="7" t="s">
        <v>29</v>
      </c>
    </row>
    <row r="43" spans="1:19">
      <c r="B43" s="7" t="s">
        <v>195</v>
      </c>
      <c r="C43" s="8" t="s">
        <v>195</v>
      </c>
      <c r="D43" s="5" t="str">
        <f>LRTRIM(CONCATENATE(IF(SUMPRODUCT(-- ISNUMBER(SEARCH({"Auto Number"}, $B43))) &gt; 0, $B43, IF(SUMPRODUCT(-- ISNUMBER(SEARCH({"Lookup","Master-Detail"}, $B43))) &gt; 0,$B43 &amp; "(" &amp; $E43 &amp; ")",IF(SUMPRODUCT(-- ISNUMBER(SEARCH({"Formula","Roll-Up Summary"}, $B43))) &gt; 0,$B43 &amp; " (" &amp; $E43 &amp; ")",IF(SUMPRODUCT(-- ISNUMBER(SEARCH({"Content","Currency","Number","Percent","Text","URL"}, $B43))) &gt; 0,$B43 &amp; "(" &amp; $C43 &amp; ")",$B43)))), "  ", TRIM(IF($S43 = "YES", "(External ID)", "") &amp; " " &amp; IF(SUMPRODUCT(-- ISNUMBER(SEARCH({"Unique","Unique Case Insensitive"}, $R43))) &gt; 0, "(" &amp; $R43 &amp; ")", ""))))</f>
        <v>na</v>
      </c>
      <c r="E43" s="7" t="s">
        <v>195</v>
      </c>
      <c r="F43" s="7" t="s">
        <v>195</v>
      </c>
      <c r="G43" s="7" t="s">
        <v>195</v>
      </c>
      <c r="H43" s="7" t="s">
        <v>195</v>
      </c>
      <c r="I43" s="7" t="s">
        <v>195</v>
      </c>
      <c r="J43" s="7" t="s">
        <v>195</v>
      </c>
      <c r="K43" s="7" t="s">
        <v>195</v>
      </c>
      <c r="L43" s="7" t="s">
        <v>195</v>
      </c>
      <c r="M43" s="7" t="s">
        <v>29</v>
      </c>
      <c r="N43" s="7" t="s">
        <v>29</v>
      </c>
      <c r="O43" s="7" t="s">
        <v>29</v>
      </c>
      <c r="P43" s="7" t="s">
        <v>29</v>
      </c>
      <c r="Q43" s="7" t="s">
        <v>29</v>
      </c>
      <c r="R43" s="7" t="s">
        <v>29</v>
      </c>
      <c r="S43" s="7" t="s">
        <v>29</v>
      </c>
    </row>
    <row r="44" spans="1:19">
      <c r="B44" s="7" t="s">
        <v>195</v>
      </c>
      <c r="C44" s="8" t="s">
        <v>195</v>
      </c>
      <c r="D44" s="5" t="str">
        <f>LRTRIM(CONCATENATE(IF(SUMPRODUCT(-- ISNUMBER(SEARCH({"Auto Number"}, $B44))) &gt; 0, $B44, IF(SUMPRODUCT(-- ISNUMBER(SEARCH({"Lookup","Master-Detail"}, $B44))) &gt; 0,$B44 &amp; "(" &amp; $E44 &amp; ")",IF(SUMPRODUCT(-- ISNUMBER(SEARCH({"Formula","Roll-Up Summary"}, $B44))) &gt; 0,$B44 &amp; " (" &amp; $E44 &amp; ")",IF(SUMPRODUCT(-- ISNUMBER(SEARCH({"Content","Currency","Number","Percent","Text","URL"}, $B44))) &gt; 0,$B44 &amp; "(" &amp; $C44 &amp; ")",$B44)))), "  ", TRIM(IF($S44 = "YES", "(External ID)", "") &amp; " " &amp; IF(SUMPRODUCT(-- ISNUMBER(SEARCH({"Unique","Unique Case Insensitive"}, $R44))) &gt; 0, "(" &amp; $R44 &amp; ")", ""))))</f>
        <v>na</v>
      </c>
      <c r="E44" s="7" t="s">
        <v>195</v>
      </c>
      <c r="F44" s="7" t="s">
        <v>195</v>
      </c>
      <c r="G44" s="7" t="s">
        <v>195</v>
      </c>
      <c r="H44" s="7" t="s">
        <v>195</v>
      </c>
      <c r="I44" s="7" t="s">
        <v>195</v>
      </c>
      <c r="J44" s="7" t="s">
        <v>195</v>
      </c>
      <c r="K44" s="7" t="s">
        <v>195</v>
      </c>
      <c r="L44" s="7" t="s">
        <v>195</v>
      </c>
      <c r="M44" s="7" t="s">
        <v>29</v>
      </c>
      <c r="N44" s="7" t="s">
        <v>29</v>
      </c>
      <c r="O44" s="7" t="s">
        <v>29</v>
      </c>
      <c r="P44" s="7" t="s">
        <v>29</v>
      </c>
      <c r="Q44" s="7" t="s">
        <v>29</v>
      </c>
      <c r="R44" s="7" t="s">
        <v>29</v>
      </c>
      <c r="S44" s="7" t="s">
        <v>29</v>
      </c>
    </row>
    <row r="45" spans="1:19">
      <c r="B45" s="7" t="s">
        <v>195</v>
      </c>
      <c r="C45" s="8" t="s">
        <v>195</v>
      </c>
      <c r="D45" s="5" t="str">
        <f>LRTRIM(CONCATENATE(IF(SUMPRODUCT(-- ISNUMBER(SEARCH({"Auto Number"}, $B45))) &gt; 0, $B45, IF(SUMPRODUCT(-- ISNUMBER(SEARCH({"Lookup","Master-Detail"}, $B45))) &gt; 0,$B45 &amp; "(" &amp; $E45 &amp; ")",IF(SUMPRODUCT(-- ISNUMBER(SEARCH({"Formula","Roll-Up Summary"}, $B45))) &gt; 0,$B45 &amp; " (" &amp; $E45 &amp; ")",IF(SUMPRODUCT(-- ISNUMBER(SEARCH({"Content","Currency","Number","Percent","Text","URL"}, $B45))) &gt; 0,$B45 &amp; "(" &amp; $C45 &amp; ")",$B45)))), "  ", TRIM(IF($S45 = "YES", "(External ID)", "") &amp; " " &amp; IF(SUMPRODUCT(-- ISNUMBER(SEARCH({"Unique","Unique Case Insensitive"}, $R45))) &gt; 0, "(" &amp; $R45 &amp; ")", ""))))</f>
        <v>na</v>
      </c>
      <c r="E45" s="7" t="s">
        <v>195</v>
      </c>
      <c r="F45" s="7" t="s">
        <v>195</v>
      </c>
      <c r="G45" s="7" t="s">
        <v>195</v>
      </c>
      <c r="H45" s="7" t="s">
        <v>195</v>
      </c>
      <c r="I45" s="7" t="s">
        <v>195</v>
      </c>
      <c r="J45" s="7" t="s">
        <v>195</v>
      </c>
      <c r="K45" s="7" t="s">
        <v>195</v>
      </c>
      <c r="L45" s="7" t="s">
        <v>195</v>
      </c>
      <c r="M45" s="7" t="s">
        <v>29</v>
      </c>
      <c r="N45" s="7" t="s">
        <v>29</v>
      </c>
      <c r="O45" s="7" t="s">
        <v>29</v>
      </c>
      <c r="P45" s="7" t="s">
        <v>29</v>
      </c>
      <c r="Q45" s="7" t="s">
        <v>29</v>
      </c>
      <c r="R45" s="7" t="s">
        <v>29</v>
      </c>
      <c r="S45" s="7" t="s">
        <v>29</v>
      </c>
    </row>
    <row r="46" spans="1:19">
      <c r="B46" s="7" t="s">
        <v>195</v>
      </c>
      <c r="C46" s="8" t="s">
        <v>195</v>
      </c>
      <c r="D46" s="5" t="str">
        <f>LRTRIM(CONCATENATE(IF(SUMPRODUCT(-- ISNUMBER(SEARCH({"Auto Number"}, $B46))) &gt; 0, $B46, IF(SUMPRODUCT(-- ISNUMBER(SEARCH({"Lookup","Master-Detail"}, $B46))) &gt; 0,$B46 &amp; "(" &amp; $E46 &amp; ")",IF(SUMPRODUCT(-- ISNUMBER(SEARCH({"Formula","Roll-Up Summary"}, $B46))) &gt; 0,$B46 &amp; " (" &amp; $E46 &amp; ")",IF(SUMPRODUCT(-- ISNUMBER(SEARCH({"Content","Currency","Number","Percent","Text","URL"}, $B46))) &gt; 0,$B46 &amp; "(" &amp; $C46 &amp; ")",$B46)))), "  ", TRIM(IF($S46 = "YES", "(External ID)", "") &amp; " " &amp; IF(SUMPRODUCT(-- ISNUMBER(SEARCH({"Unique","Unique Case Insensitive"}, $R46))) &gt; 0, "(" &amp; $R46 &amp; ")", ""))))</f>
        <v>na</v>
      </c>
      <c r="E46" s="7" t="s">
        <v>195</v>
      </c>
      <c r="F46" s="7" t="s">
        <v>195</v>
      </c>
      <c r="G46" s="7" t="s">
        <v>195</v>
      </c>
      <c r="H46" s="7" t="s">
        <v>195</v>
      </c>
      <c r="I46" s="7" t="s">
        <v>195</v>
      </c>
      <c r="J46" s="7" t="s">
        <v>195</v>
      </c>
      <c r="K46" s="7" t="s">
        <v>195</v>
      </c>
      <c r="L46" s="7" t="s">
        <v>195</v>
      </c>
      <c r="M46" s="7" t="s">
        <v>29</v>
      </c>
      <c r="N46" s="7" t="s">
        <v>29</v>
      </c>
      <c r="O46" s="7" t="s">
        <v>29</v>
      </c>
      <c r="P46" s="7" t="s">
        <v>29</v>
      </c>
      <c r="Q46" s="7" t="s">
        <v>29</v>
      </c>
      <c r="R46" s="7" t="s">
        <v>29</v>
      </c>
      <c r="S46" s="7" t="s">
        <v>29</v>
      </c>
    </row>
    <row r="47" spans="1:19">
      <c r="B47" s="7" t="s">
        <v>195</v>
      </c>
      <c r="C47" s="8" t="s">
        <v>195</v>
      </c>
      <c r="D47" s="5" t="str">
        <f>LRTRIM(CONCATENATE(IF(SUMPRODUCT(-- ISNUMBER(SEARCH({"Auto Number"}, $B47))) &gt; 0, $B47, IF(SUMPRODUCT(-- ISNUMBER(SEARCH({"Lookup","Master-Detail"}, $B47))) &gt; 0,$B47 &amp; "(" &amp; $E47 &amp; ")",IF(SUMPRODUCT(-- ISNUMBER(SEARCH({"Formula","Roll-Up Summary"}, $B47))) &gt; 0,$B47 &amp; " (" &amp; $E47 &amp; ")",IF(SUMPRODUCT(-- ISNUMBER(SEARCH({"Content","Currency","Number","Percent","Text","URL"}, $B47))) &gt; 0,$B47 &amp; "(" &amp; $C47 &amp; ")",$B47)))), "  ", TRIM(IF($S47 = "YES", "(External ID)", "") &amp; " " &amp; IF(SUMPRODUCT(-- ISNUMBER(SEARCH({"Unique","Unique Case Insensitive"}, $R47))) &gt; 0, "(" &amp; $R47 &amp; ")", ""))))</f>
        <v>na</v>
      </c>
      <c r="E47" s="7" t="s">
        <v>195</v>
      </c>
      <c r="F47" s="7" t="s">
        <v>195</v>
      </c>
      <c r="G47" s="7" t="s">
        <v>195</v>
      </c>
      <c r="H47" s="7" t="s">
        <v>195</v>
      </c>
      <c r="I47" s="7" t="s">
        <v>195</v>
      </c>
      <c r="J47" s="7" t="s">
        <v>195</v>
      </c>
      <c r="K47" s="7" t="s">
        <v>195</v>
      </c>
      <c r="L47" s="7" t="s">
        <v>195</v>
      </c>
      <c r="M47" s="7" t="s">
        <v>29</v>
      </c>
      <c r="N47" s="7" t="s">
        <v>29</v>
      </c>
      <c r="O47" s="7" t="s">
        <v>29</v>
      </c>
      <c r="P47" s="7" t="s">
        <v>29</v>
      </c>
      <c r="Q47" s="7" t="s">
        <v>29</v>
      </c>
      <c r="R47" s="7" t="s">
        <v>29</v>
      </c>
      <c r="S47" s="7" t="s">
        <v>29</v>
      </c>
    </row>
    <row r="48" spans="1:19">
      <c r="B48" s="7" t="s">
        <v>195</v>
      </c>
      <c r="C48" s="8" t="s">
        <v>195</v>
      </c>
      <c r="D48" s="5" t="str">
        <f>LRTRIM(CONCATENATE(IF(SUMPRODUCT(-- ISNUMBER(SEARCH({"Auto Number"}, $B48))) &gt; 0, $B48, IF(SUMPRODUCT(-- ISNUMBER(SEARCH({"Lookup","Master-Detail"}, $B48))) &gt; 0,$B48 &amp; "(" &amp; $E48 &amp; ")",IF(SUMPRODUCT(-- ISNUMBER(SEARCH({"Formula","Roll-Up Summary"}, $B48))) &gt; 0,$B48 &amp; " (" &amp; $E48 &amp; ")",IF(SUMPRODUCT(-- ISNUMBER(SEARCH({"Content","Currency","Number","Percent","Text","URL"}, $B48))) &gt; 0,$B48 &amp; "(" &amp; $C48 &amp; ")",$B48)))), "  ", TRIM(IF($S48 = "YES", "(External ID)", "") &amp; " " &amp; IF(SUMPRODUCT(-- ISNUMBER(SEARCH({"Unique","Unique Case Insensitive"}, $R48))) &gt; 0, "(" &amp; $R48 &amp; ")", ""))))</f>
        <v>na</v>
      </c>
      <c r="E48" s="7" t="s">
        <v>195</v>
      </c>
      <c r="F48" s="7" t="s">
        <v>195</v>
      </c>
      <c r="G48" s="7" t="s">
        <v>195</v>
      </c>
      <c r="H48" s="7" t="s">
        <v>195</v>
      </c>
      <c r="I48" s="7" t="s">
        <v>195</v>
      </c>
      <c r="J48" s="7" t="s">
        <v>195</v>
      </c>
      <c r="K48" s="7" t="s">
        <v>195</v>
      </c>
      <c r="L48" s="7" t="s">
        <v>195</v>
      </c>
      <c r="M48" s="7" t="s">
        <v>29</v>
      </c>
      <c r="N48" s="7" t="s">
        <v>29</v>
      </c>
      <c r="O48" s="7" t="s">
        <v>29</v>
      </c>
      <c r="P48" s="7" t="s">
        <v>29</v>
      </c>
      <c r="Q48" s="7" t="s">
        <v>29</v>
      </c>
      <c r="R48" s="7" t="s">
        <v>29</v>
      </c>
      <c r="S48" s="7" t="s">
        <v>29</v>
      </c>
    </row>
    <row r="49" spans="2:19">
      <c r="B49" s="7" t="s">
        <v>195</v>
      </c>
      <c r="C49" s="8" t="s">
        <v>195</v>
      </c>
      <c r="D49" s="5" t="str">
        <f>LRTRIM(CONCATENATE(IF(SUMPRODUCT(-- ISNUMBER(SEARCH({"Auto Number"}, $B49))) &gt; 0, $B49, IF(SUMPRODUCT(-- ISNUMBER(SEARCH({"Lookup","Master-Detail"}, $B49))) &gt; 0,$B49 &amp; "(" &amp; $E49 &amp; ")",IF(SUMPRODUCT(-- ISNUMBER(SEARCH({"Formula","Roll-Up Summary"}, $B49))) &gt; 0,$B49 &amp; " (" &amp; $E49 &amp; ")",IF(SUMPRODUCT(-- ISNUMBER(SEARCH({"Content","Currency","Number","Percent","Text","URL"}, $B49))) &gt; 0,$B49 &amp; "(" &amp; $C49 &amp; ")",$B49)))), "  ", TRIM(IF($S49 = "YES", "(External ID)", "") &amp; " " &amp; IF(SUMPRODUCT(-- ISNUMBER(SEARCH({"Unique","Unique Case Insensitive"}, $R49))) &gt; 0, "(" &amp; $R49 &amp; ")", ""))))</f>
        <v>na</v>
      </c>
      <c r="E49" s="7" t="s">
        <v>195</v>
      </c>
      <c r="F49" s="7" t="s">
        <v>195</v>
      </c>
      <c r="G49" s="7" t="s">
        <v>195</v>
      </c>
      <c r="H49" s="7" t="s">
        <v>195</v>
      </c>
      <c r="I49" s="7" t="s">
        <v>195</v>
      </c>
      <c r="J49" s="7" t="s">
        <v>195</v>
      </c>
      <c r="K49" s="7" t="s">
        <v>195</v>
      </c>
      <c r="L49" s="7" t="s">
        <v>195</v>
      </c>
      <c r="M49" s="7" t="s">
        <v>29</v>
      </c>
      <c r="N49" s="7" t="s">
        <v>29</v>
      </c>
      <c r="O49" s="7" t="s">
        <v>29</v>
      </c>
      <c r="P49" s="7" t="s">
        <v>29</v>
      </c>
      <c r="Q49" s="7" t="s">
        <v>29</v>
      </c>
      <c r="R49" s="7" t="s">
        <v>29</v>
      </c>
      <c r="S49" s="7" t="s">
        <v>29</v>
      </c>
    </row>
    <row r="50" spans="2:19">
      <c r="B50" s="7" t="s">
        <v>195</v>
      </c>
      <c r="C50" s="8" t="s">
        <v>195</v>
      </c>
      <c r="D50" s="5" t="str">
        <f>LRTRIM(CONCATENATE(IF(SUMPRODUCT(-- ISNUMBER(SEARCH({"Auto Number"}, $B50))) &gt; 0, $B50, IF(SUMPRODUCT(-- ISNUMBER(SEARCH({"Lookup","Master-Detail"}, $B50))) &gt; 0,$B50 &amp; "(" &amp; $E50 &amp; ")",IF(SUMPRODUCT(-- ISNUMBER(SEARCH({"Formula","Roll-Up Summary"}, $B50))) &gt; 0,$B50 &amp; " (" &amp; $E50 &amp; ")",IF(SUMPRODUCT(-- ISNUMBER(SEARCH({"Content","Currency","Number","Percent","Text","URL"}, $B50))) &gt; 0,$B50 &amp; "(" &amp; $C50 &amp; ")",$B50)))), "  ", TRIM(IF($S50 = "YES", "(External ID)", "") &amp; " " &amp; IF(SUMPRODUCT(-- ISNUMBER(SEARCH({"Unique","Unique Case Insensitive"}, $R50))) &gt; 0, "(" &amp; $R50 &amp; ")", ""))))</f>
        <v>na</v>
      </c>
      <c r="E50" s="7" t="s">
        <v>195</v>
      </c>
      <c r="F50" s="7" t="s">
        <v>195</v>
      </c>
      <c r="G50" s="7" t="s">
        <v>195</v>
      </c>
      <c r="H50" s="7" t="s">
        <v>195</v>
      </c>
      <c r="I50" s="7" t="s">
        <v>195</v>
      </c>
      <c r="J50" s="7" t="s">
        <v>195</v>
      </c>
      <c r="K50" s="7" t="s">
        <v>195</v>
      </c>
      <c r="L50" s="7" t="s">
        <v>195</v>
      </c>
      <c r="M50" s="7" t="s">
        <v>29</v>
      </c>
      <c r="N50" s="7" t="s">
        <v>29</v>
      </c>
      <c r="O50" s="7" t="s">
        <v>29</v>
      </c>
      <c r="P50" s="7" t="s">
        <v>29</v>
      </c>
      <c r="Q50" s="7" t="s">
        <v>29</v>
      </c>
      <c r="R50" s="7" t="s">
        <v>29</v>
      </c>
      <c r="S50" s="7" t="s">
        <v>29</v>
      </c>
    </row>
    <row r="51" spans="2:19">
      <c r="B51" s="7" t="s">
        <v>195</v>
      </c>
      <c r="C51" s="8" t="s">
        <v>195</v>
      </c>
      <c r="D51" s="5" t="str">
        <f>LRTRIM(CONCATENATE(IF(SUMPRODUCT(-- ISNUMBER(SEARCH({"Auto Number"}, $B51))) &gt; 0, $B51, IF(SUMPRODUCT(-- ISNUMBER(SEARCH({"Lookup","Master-Detail"}, $B51))) &gt; 0,$B51 &amp; "(" &amp; $E51 &amp; ")",IF(SUMPRODUCT(-- ISNUMBER(SEARCH({"Formula","Roll-Up Summary"}, $B51))) &gt; 0,$B51 &amp; " (" &amp; $E51 &amp; ")",IF(SUMPRODUCT(-- ISNUMBER(SEARCH({"Content","Currency","Number","Percent","Text","URL"}, $B51))) &gt; 0,$B51 &amp; "(" &amp; $C51 &amp; ")",$B51)))), "  ", TRIM(IF($S51 = "YES", "(External ID)", "") &amp; " " &amp; IF(SUMPRODUCT(-- ISNUMBER(SEARCH({"Unique","Unique Case Insensitive"}, $R51))) &gt; 0, "(" &amp; $R51 &amp; ")", ""))))</f>
        <v>na</v>
      </c>
      <c r="E51" s="7" t="s">
        <v>195</v>
      </c>
      <c r="F51" s="7" t="s">
        <v>195</v>
      </c>
      <c r="G51" s="7" t="s">
        <v>195</v>
      </c>
      <c r="H51" s="7" t="s">
        <v>195</v>
      </c>
      <c r="I51" s="7" t="s">
        <v>195</v>
      </c>
      <c r="J51" s="7" t="s">
        <v>195</v>
      </c>
      <c r="K51" s="7" t="s">
        <v>195</v>
      </c>
      <c r="L51" s="7" t="s">
        <v>195</v>
      </c>
      <c r="M51" s="7" t="s">
        <v>29</v>
      </c>
      <c r="N51" s="7" t="s">
        <v>29</v>
      </c>
      <c r="O51" s="7" t="s">
        <v>29</v>
      </c>
      <c r="P51" s="7" t="s">
        <v>29</v>
      </c>
      <c r="Q51" s="7" t="s">
        <v>29</v>
      </c>
      <c r="R51" s="7" t="s">
        <v>29</v>
      </c>
      <c r="S51" s="7" t="s">
        <v>29</v>
      </c>
    </row>
    <row r="52" spans="2:19">
      <c r="B52" s="7" t="s">
        <v>195</v>
      </c>
      <c r="C52" s="8" t="s">
        <v>195</v>
      </c>
      <c r="D52" s="5" t="str">
        <f>LRTRIM(CONCATENATE(IF(SUMPRODUCT(-- ISNUMBER(SEARCH({"Auto Number"}, $B52))) &gt; 0, $B52, IF(SUMPRODUCT(-- ISNUMBER(SEARCH({"Lookup","Master-Detail"}, $B52))) &gt; 0,$B52 &amp; "(" &amp; $E52 &amp; ")",IF(SUMPRODUCT(-- ISNUMBER(SEARCH({"Formula","Roll-Up Summary"}, $B52))) &gt; 0,$B52 &amp; " (" &amp; $E52 &amp; ")",IF(SUMPRODUCT(-- ISNUMBER(SEARCH({"Content","Currency","Number","Percent","Text","URL"}, $B52))) &gt; 0,$B52 &amp; "(" &amp; $C52 &amp; ")",$B52)))), "  ", TRIM(IF($S52 = "YES", "(External ID)", "") &amp; " " &amp; IF(SUMPRODUCT(-- ISNUMBER(SEARCH({"Unique","Unique Case Insensitive"}, $R52))) &gt; 0, "(" &amp; $R52 &amp; ")", ""))))</f>
        <v>na</v>
      </c>
      <c r="E52" s="7" t="s">
        <v>195</v>
      </c>
      <c r="F52" s="7" t="s">
        <v>195</v>
      </c>
      <c r="G52" s="7" t="s">
        <v>195</v>
      </c>
      <c r="H52" s="7" t="s">
        <v>195</v>
      </c>
      <c r="I52" s="7" t="s">
        <v>195</v>
      </c>
      <c r="J52" s="7" t="s">
        <v>195</v>
      </c>
      <c r="K52" s="7" t="s">
        <v>195</v>
      </c>
      <c r="L52" s="7" t="s">
        <v>195</v>
      </c>
      <c r="M52" s="7" t="s">
        <v>29</v>
      </c>
      <c r="N52" s="7" t="s">
        <v>29</v>
      </c>
      <c r="O52" s="7" t="s">
        <v>29</v>
      </c>
      <c r="P52" s="7" t="s">
        <v>29</v>
      </c>
      <c r="Q52" s="7" t="s">
        <v>29</v>
      </c>
      <c r="R52" s="7" t="s">
        <v>29</v>
      </c>
      <c r="S52" s="7" t="s">
        <v>29</v>
      </c>
    </row>
    <row r="53" spans="2:19">
      <c r="B53" s="7" t="s">
        <v>195</v>
      </c>
      <c r="C53" s="8" t="s">
        <v>195</v>
      </c>
      <c r="D53" s="5" t="str">
        <f>LRTRIM(CONCATENATE(IF(SUMPRODUCT(-- ISNUMBER(SEARCH({"Auto Number"}, $B53))) &gt; 0, $B53, IF(SUMPRODUCT(-- ISNUMBER(SEARCH({"Lookup","Master-Detail"}, $B53))) &gt; 0,$B53 &amp; "(" &amp; $E53 &amp; ")",IF(SUMPRODUCT(-- ISNUMBER(SEARCH({"Formula","Roll-Up Summary"}, $B53))) &gt; 0,$B53 &amp; " (" &amp; $E53 &amp; ")",IF(SUMPRODUCT(-- ISNUMBER(SEARCH({"Content","Currency","Number","Percent","Text","URL"}, $B53))) &gt; 0,$B53 &amp; "(" &amp; $C53 &amp; ")",$B53)))), "  ", TRIM(IF($S53 = "YES", "(External ID)", "") &amp; " " &amp; IF(SUMPRODUCT(-- ISNUMBER(SEARCH({"Unique","Unique Case Insensitive"}, $R53))) &gt; 0, "(" &amp; $R53 &amp; ")", ""))))</f>
        <v>na</v>
      </c>
      <c r="E53" s="7" t="s">
        <v>195</v>
      </c>
      <c r="F53" s="7" t="s">
        <v>195</v>
      </c>
      <c r="G53" s="7" t="s">
        <v>195</v>
      </c>
      <c r="H53" s="7" t="s">
        <v>195</v>
      </c>
      <c r="I53" s="7" t="s">
        <v>195</v>
      </c>
      <c r="J53" s="7" t="s">
        <v>195</v>
      </c>
      <c r="K53" s="7" t="s">
        <v>195</v>
      </c>
      <c r="L53" s="7" t="s">
        <v>195</v>
      </c>
      <c r="M53" s="7" t="s">
        <v>29</v>
      </c>
      <c r="N53" s="7" t="s">
        <v>29</v>
      </c>
      <c r="O53" s="7" t="s">
        <v>29</v>
      </c>
      <c r="P53" s="7" t="s">
        <v>29</v>
      </c>
      <c r="Q53" s="7" t="s">
        <v>29</v>
      </c>
      <c r="R53" s="7" t="s">
        <v>29</v>
      </c>
      <c r="S53" s="7" t="s">
        <v>29</v>
      </c>
    </row>
    <row r="54" spans="2:19">
      <c r="B54" s="7" t="s">
        <v>195</v>
      </c>
      <c r="C54" s="8" t="s">
        <v>195</v>
      </c>
      <c r="D54" s="5" t="str">
        <f>LRTRIM(CONCATENATE(IF(SUMPRODUCT(-- ISNUMBER(SEARCH({"Auto Number"}, $B54))) &gt; 0, $B54, IF(SUMPRODUCT(-- ISNUMBER(SEARCH({"Lookup","Master-Detail"}, $B54))) &gt; 0,$B54 &amp; "(" &amp; $E54 &amp; ")",IF(SUMPRODUCT(-- ISNUMBER(SEARCH({"Formula","Roll-Up Summary"}, $B54))) &gt; 0,$B54 &amp; " (" &amp; $E54 &amp; ")",IF(SUMPRODUCT(-- ISNUMBER(SEARCH({"Content","Currency","Number","Percent","Text","URL"}, $B54))) &gt; 0,$B54 &amp; "(" &amp; $C54 &amp; ")",$B54)))), "  ", TRIM(IF($S54 = "YES", "(External ID)", "") &amp; " " &amp; IF(SUMPRODUCT(-- ISNUMBER(SEARCH({"Unique","Unique Case Insensitive"}, $R54))) &gt; 0, "(" &amp; $R54 &amp; ")", ""))))</f>
        <v>na</v>
      </c>
      <c r="E54" s="7" t="s">
        <v>195</v>
      </c>
      <c r="F54" s="7" t="s">
        <v>195</v>
      </c>
      <c r="G54" s="7" t="s">
        <v>195</v>
      </c>
      <c r="H54" s="7" t="s">
        <v>195</v>
      </c>
      <c r="I54" s="7" t="s">
        <v>195</v>
      </c>
      <c r="J54" s="7" t="s">
        <v>195</v>
      </c>
      <c r="K54" s="7" t="s">
        <v>195</v>
      </c>
      <c r="L54" s="7" t="s">
        <v>195</v>
      </c>
      <c r="M54" s="7" t="s">
        <v>29</v>
      </c>
      <c r="N54" s="7" t="s">
        <v>29</v>
      </c>
      <c r="O54" s="7" t="s">
        <v>29</v>
      </c>
      <c r="P54" s="7" t="s">
        <v>29</v>
      </c>
      <c r="Q54" s="7" t="s">
        <v>29</v>
      </c>
      <c r="R54" s="7" t="s">
        <v>29</v>
      </c>
      <c r="S54" s="7" t="s">
        <v>29</v>
      </c>
    </row>
    <row r="55" spans="2:19">
      <c r="B55" s="7" t="s">
        <v>195</v>
      </c>
      <c r="C55" s="8" t="s">
        <v>195</v>
      </c>
      <c r="D55" s="5" t="str">
        <f>LRTRIM(CONCATENATE(IF(SUMPRODUCT(-- ISNUMBER(SEARCH({"Auto Number"}, $B55))) &gt; 0, $B55, IF(SUMPRODUCT(-- ISNUMBER(SEARCH({"Lookup","Master-Detail"}, $B55))) &gt; 0,$B55 &amp; "(" &amp; $E55 &amp; ")",IF(SUMPRODUCT(-- ISNUMBER(SEARCH({"Formula","Roll-Up Summary"}, $B55))) &gt; 0,$B55 &amp; " (" &amp; $E55 &amp; ")",IF(SUMPRODUCT(-- ISNUMBER(SEARCH({"Content","Currency","Number","Percent","Text","URL"}, $B55))) &gt; 0,$B55 &amp; "(" &amp; $C55 &amp; ")",$B55)))), "  ", TRIM(IF($S55 = "YES", "(External ID)", "") &amp; " " &amp; IF(SUMPRODUCT(-- ISNUMBER(SEARCH({"Unique","Unique Case Insensitive"}, $R55))) &gt; 0, "(" &amp; $R55 &amp; ")", ""))))</f>
        <v>na</v>
      </c>
      <c r="E55" s="7" t="s">
        <v>195</v>
      </c>
      <c r="F55" s="7" t="s">
        <v>195</v>
      </c>
      <c r="G55" s="7" t="s">
        <v>195</v>
      </c>
      <c r="H55" s="7" t="s">
        <v>195</v>
      </c>
      <c r="I55" s="7" t="s">
        <v>195</v>
      </c>
      <c r="J55" s="7" t="s">
        <v>195</v>
      </c>
      <c r="K55" s="7" t="s">
        <v>195</v>
      </c>
      <c r="L55" s="7" t="s">
        <v>195</v>
      </c>
      <c r="M55" s="7" t="s">
        <v>29</v>
      </c>
      <c r="N55" s="7" t="s">
        <v>29</v>
      </c>
      <c r="O55" s="7" t="s">
        <v>29</v>
      </c>
      <c r="P55" s="7" t="s">
        <v>29</v>
      </c>
      <c r="Q55" s="7" t="s">
        <v>29</v>
      </c>
      <c r="R55" s="7" t="s">
        <v>29</v>
      </c>
      <c r="S55" s="7" t="s">
        <v>29</v>
      </c>
    </row>
    <row r="56" spans="2:19">
      <c r="B56" s="7" t="s">
        <v>195</v>
      </c>
      <c r="C56" s="8" t="s">
        <v>195</v>
      </c>
      <c r="D56" s="5" t="str">
        <f>LRTRIM(CONCATENATE(IF(SUMPRODUCT(-- ISNUMBER(SEARCH({"Auto Number"}, $B56))) &gt; 0, $B56, IF(SUMPRODUCT(-- ISNUMBER(SEARCH({"Lookup","Master-Detail"}, $B56))) &gt; 0,$B56 &amp; "(" &amp; $E56 &amp; ")",IF(SUMPRODUCT(-- ISNUMBER(SEARCH({"Formula","Roll-Up Summary"}, $B56))) &gt; 0,$B56 &amp; " (" &amp; $E56 &amp; ")",IF(SUMPRODUCT(-- ISNUMBER(SEARCH({"Content","Currency","Number","Percent","Text","URL"}, $B56))) &gt; 0,$B56 &amp; "(" &amp; $C56 &amp; ")",$B56)))), "  ", TRIM(IF($S56 = "YES", "(External ID)", "") &amp; " " &amp; IF(SUMPRODUCT(-- ISNUMBER(SEARCH({"Unique","Unique Case Insensitive"}, $R56))) &gt; 0, "(" &amp; $R56 &amp; ")", ""))))</f>
        <v>na</v>
      </c>
      <c r="E56" s="7" t="s">
        <v>195</v>
      </c>
      <c r="F56" s="7" t="s">
        <v>195</v>
      </c>
      <c r="G56" s="7" t="s">
        <v>195</v>
      </c>
      <c r="H56" s="7" t="s">
        <v>195</v>
      </c>
      <c r="I56" s="7" t="s">
        <v>195</v>
      </c>
      <c r="J56" s="7" t="s">
        <v>195</v>
      </c>
      <c r="K56" s="7" t="s">
        <v>195</v>
      </c>
      <c r="L56" s="7" t="s">
        <v>195</v>
      </c>
      <c r="M56" s="7" t="s">
        <v>29</v>
      </c>
      <c r="N56" s="7" t="s">
        <v>29</v>
      </c>
      <c r="O56" s="7" t="s">
        <v>29</v>
      </c>
      <c r="P56" s="7" t="s">
        <v>29</v>
      </c>
      <c r="Q56" s="7" t="s">
        <v>29</v>
      </c>
      <c r="R56" s="7" t="s">
        <v>29</v>
      </c>
      <c r="S56" s="7" t="s">
        <v>29</v>
      </c>
    </row>
    <row r="57" spans="2:19">
      <c r="B57" s="7" t="s">
        <v>195</v>
      </c>
      <c r="C57" s="8" t="s">
        <v>195</v>
      </c>
      <c r="D57" s="5" t="str">
        <f>LRTRIM(CONCATENATE(IF(SUMPRODUCT(-- ISNUMBER(SEARCH({"Auto Number"}, $B57))) &gt; 0, $B57, IF(SUMPRODUCT(-- ISNUMBER(SEARCH({"Lookup","Master-Detail"}, $B57))) &gt; 0,$B57 &amp; "(" &amp; $E57 &amp; ")",IF(SUMPRODUCT(-- ISNUMBER(SEARCH({"Formula","Roll-Up Summary"}, $B57))) &gt; 0,$B57 &amp; " (" &amp; $E57 &amp; ")",IF(SUMPRODUCT(-- ISNUMBER(SEARCH({"Content","Currency","Number","Percent","Text","URL"}, $B57))) &gt; 0,$B57 &amp; "(" &amp; $C57 &amp; ")",$B57)))), "  ", TRIM(IF($S57 = "YES", "(External ID)", "") &amp; " " &amp; IF(SUMPRODUCT(-- ISNUMBER(SEARCH({"Unique","Unique Case Insensitive"}, $R57))) &gt; 0, "(" &amp; $R57 &amp; ")", ""))))</f>
        <v>na</v>
      </c>
      <c r="E57" s="7" t="s">
        <v>195</v>
      </c>
      <c r="F57" s="7" t="s">
        <v>195</v>
      </c>
      <c r="G57" s="7" t="s">
        <v>195</v>
      </c>
      <c r="H57" s="7" t="s">
        <v>195</v>
      </c>
      <c r="I57" s="7" t="s">
        <v>195</v>
      </c>
      <c r="J57" s="7" t="s">
        <v>195</v>
      </c>
      <c r="K57" s="7" t="s">
        <v>195</v>
      </c>
      <c r="L57" s="7" t="s">
        <v>195</v>
      </c>
      <c r="M57" s="7" t="s">
        <v>29</v>
      </c>
      <c r="N57" s="7" t="s">
        <v>29</v>
      </c>
      <c r="O57" s="7" t="s">
        <v>29</v>
      </c>
      <c r="P57" s="7" t="s">
        <v>29</v>
      </c>
      <c r="Q57" s="7" t="s">
        <v>29</v>
      </c>
      <c r="R57" s="7" t="s">
        <v>29</v>
      </c>
      <c r="S57" s="7" t="s">
        <v>29</v>
      </c>
    </row>
    <row r="58" spans="2:19">
      <c r="B58" s="7" t="s">
        <v>195</v>
      </c>
      <c r="C58" s="8" t="s">
        <v>195</v>
      </c>
      <c r="D58" s="5" t="str">
        <f>LRTRIM(CONCATENATE(IF(SUMPRODUCT(-- ISNUMBER(SEARCH({"Auto Number"}, $B58))) &gt; 0, $B58, IF(SUMPRODUCT(-- ISNUMBER(SEARCH({"Lookup","Master-Detail"}, $B58))) &gt; 0,$B58 &amp; "(" &amp; $E58 &amp; ")",IF(SUMPRODUCT(-- ISNUMBER(SEARCH({"Formula","Roll-Up Summary"}, $B58))) &gt; 0,$B58 &amp; " (" &amp; $E58 &amp; ")",IF(SUMPRODUCT(-- ISNUMBER(SEARCH({"Content","Currency","Number","Percent","Text","URL"}, $B58))) &gt; 0,$B58 &amp; "(" &amp; $C58 &amp; ")",$B58)))), "  ", TRIM(IF($S58 = "YES", "(External ID)", "") &amp; " " &amp; IF(SUMPRODUCT(-- ISNUMBER(SEARCH({"Unique","Unique Case Insensitive"}, $R58))) &gt; 0, "(" &amp; $R58 &amp; ")", ""))))</f>
        <v>na</v>
      </c>
      <c r="E58" s="7" t="s">
        <v>195</v>
      </c>
      <c r="F58" s="7" t="s">
        <v>195</v>
      </c>
      <c r="G58" s="7" t="s">
        <v>195</v>
      </c>
      <c r="H58" s="7" t="s">
        <v>195</v>
      </c>
      <c r="I58" s="7" t="s">
        <v>195</v>
      </c>
      <c r="J58" s="7" t="s">
        <v>195</v>
      </c>
      <c r="K58" s="7" t="s">
        <v>195</v>
      </c>
      <c r="L58" s="7" t="s">
        <v>195</v>
      </c>
      <c r="M58" s="7" t="s">
        <v>29</v>
      </c>
      <c r="N58" s="7" t="s">
        <v>29</v>
      </c>
      <c r="O58" s="7" t="s">
        <v>29</v>
      </c>
      <c r="P58" s="7" t="s">
        <v>29</v>
      </c>
      <c r="Q58" s="7" t="s">
        <v>29</v>
      </c>
      <c r="R58" s="7" t="s">
        <v>29</v>
      </c>
      <c r="S58" s="7" t="s">
        <v>29</v>
      </c>
    </row>
    <row r="59" spans="2:19">
      <c r="B59" s="7" t="s">
        <v>195</v>
      </c>
      <c r="C59" s="8" t="s">
        <v>195</v>
      </c>
      <c r="D59" s="5" t="str">
        <f>LRTRIM(CONCATENATE(IF(SUMPRODUCT(-- ISNUMBER(SEARCH({"Auto Number"}, $B59))) &gt; 0, $B59, IF(SUMPRODUCT(-- ISNUMBER(SEARCH({"Lookup","Master-Detail"}, $B59))) &gt; 0,$B59 &amp; "(" &amp; $E59 &amp; ")",IF(SUMPRODUCT(-- ISNUMBER(SEARCH({"Formula","Roll-Up Summary"}, $B59))) &gt; 0,$B59 &amp; " (" &amp; $E59 &amp; ")",IF(SUMPRODUCT(-- ISNUMBER(SEARCH({"Content","Currency","Number","Percent","Text","URL"}, $B59))) &gt; 0,$B59 &amp; "(" &amp; $C59 &amp; ")",$B59)))), "  ", TRIM(IF($S59 = "YES", "(External ID)", "") &amp; " " &amp; IF(SUMPRODUCT(-- ISNUMBER(SEARCH({"Unique","Unique Case Insensitive"}, $R59))) &gt; 0, "(" &amp; $R59 &amp; ")", ""))))</f>
        <v>na</v>
      </c>
      <c r="E59" s="7" t="s">
        <v>195</v>
      </c>
      <c r="F59" s="7" t="s">
        <v>195</v>
      </c>
      <c r="G59" s="7" t="s">
        <v>195</v>
      </c>
      <c r="H59" s="7" t="s">
        <v>195</v>
      </c>
      <c r="I59" s="7" t="s">
        <v>195</v>
      </c>
      <c r="J59" s="7" t="s">
        <v>195</v>
      </c>
      <c r="K59" s="7" t="s">
        <v>195</v>
      </c>
      <c r="L59" s="7" t="s">
        <v>195</v>
      </c>
      <c r="M59" s="7" t="s">
        <v>29</v>
      </c>
      <c r="N59" s="7" t="s">
        <v>29</v>
      </c>
      <c r="O59" s="7" t="s">
        <v>29</v>
      </c>
      <c r="P59" s="7" t="s">
        <v>29</v>
      </c>
      <c r="Q59" s="7" t="s">
        <v>29</v>
      </c>
      <c r="R59" s="7" t="s">
        <v>29</v>
      </c>
      <c r="S59" s="7" t="s">
        <v>29</v>
      </c>
    </row>
    <row r="60" spans="2:19">
      <c r="B60" s="7" t="s">
        <v>195</v>
      </c>
      <c r="C60" s="8" t="s">
        <v>195</v>
      </c>
      <c r="D60" s="5" t="str">
        <f>LRTRIM(CONCATENATE(IF(SUMPRODUCT(-- ISNUMBER(SEARCH({"Auto Number"}, $B60))) &gt; 0, $B60, IF(SUMPRODUCT(-- ISNUMBER(SEARCH({"Lookup","Master-Detail"}, $B60))) &gt; 0,$B60 &amp; "(" &amp; $E60 &amp; ")",IF(SUMPRODUCT(-- ISNUMBER(SEARCH({"Formula","Roll-Up Summary"}, $B60))) &gt; 0,$B60 &amp; " (" &amp; $E60 &amp; ")",IF(SUMPRODUCT(-- ISNUMBER(SEARCH({"Content","Currency","Number","Percent","Text","URL"}, $B60))) &gt; 0,$B60 &amp; "(" &amp; $C60 &amp; ")",$B60)))), "  ", TRIM(IF($S60 = "YES", "(External ID)", "") &amp; " " &amp; IF(SUMPRODUCT(-- ISNUMBER(SEARCH({"Unique","Unique Case Insensitive"}, $R60))) &gt; 0, "(" &amp; $R60 &amp; ")", ""))))</f>
        <v>na</v>
      </c>
      <c r="E60" s="7" t="s">
        <v>195</v>
      </c>
      <c r="F60" s="7" t="s">
        <v>195</v>
      </c>
      <c r="G60" s="7" t="s">
        <v>195</v>
      </c>
      <c r="H60" s="7" t="s">
        <v>195</v>
      </c>
      <c r="I60" s="7" t="s">
        <v>195</v>
      </c>
      <c r="J60" s="7" t="s">
        <v>195</v>
      </c>
      <c r="K60" s="7" t="s">
        <v>195</v>
      </c>
      <c r="L60" s="7" t="s">
        <v>195</v>
      </c>
      <c r="M60" s="7" t="s">
        <v>29</v>
      </c>
      <c r="N60" s="7" t="s">
        <v>29</v>
      </c>
      <c r="O60" s="7" t="s">
        <v>29</v>
      </c>
      <c r="P60" s="7" t="s">
        <v>29</v>
      </c>
      <c r="Q60" s="7" t="s">
        <v>29</v>
      </c>
      <c r="R60" s="7" t="s">
        <v>29</v>
      </c>
      <c r="S60" s="7" t="s">
        <v>29</v>
      </c>
    </row>
    <row r="61" spans="2:19">
      <c r="B61" s="7" t="s">
        <v>195</v>
      </c>
      <c r="C61" s="8" t="s">
        <v>195</v>
      </c>
      <c r="D61" s="5" t="str">
        <f>LRTRIM(CONCATENATE(IF(SUMPRODUCT(-- ISNUMBER(SEARCH({"Auto Number"}, $B61))) &gt; 0, $B61, IF(SUMPRODUCT(-- ISNUMBER(SEARCH({"Lookup","Master-Detail"}, $B61))) &gt; 0,$B61 &amp; "(" &amp; $E61 &amp; ")",IF(SUMPRODUCT(-- ISNUMBER(SEARCH({"Formula","Roll-Up Summary"}, $B61))) &gt; 0,$B61 &amp; " (" &amp; $E61 &amp; ")",IF(SUMPRODUCT(-- ISNUMBER(SEARCH({"Content","Currency","Number","Percent","Text","URL"}, $B61))) &gt; 0,$B61 &amp; "(" &amp; $C61 &amp; ")",$B61)))), "  ", TRIM(IF($S61 = "YES", "(External ID)", "") &amp; " " &amp; IF(SUMPRODUCT(-- ISNUMBER(SEARCH({"Unique","Unique Case Insensitive"}, $R61))) &gt; 0, "(" &amp; $R61 &amp; ")", ""))))</f>
        <v>na</v>
      </c>
      <c r="E61" s="7" t="s">
        <v>195</v>
      </c>
      <c r="F61" s="7" t="s">
        <v>195</v>
      </c>
      <c r="G61" s="7" t="s">
        <v>195</v>
      </c>
      <c r="H61" s="7" t="s">
        <v>195</v>
      </c>
      <c r="I61" s="7" t="s">
        <v>195</v>
      </c>
      <c r="J61" s="7" t="s">
        <v>195</v>
      </c>
      <c r="K61" s="7" t="s">
        <v>195</v>
      </c>
      <c r="L61" s="7" t="s">
        <v>195</v>
      </c>
      <c r="M61" s="7" t="s">
        <v>29</v>
      </c>
      <c r="N61" s="7" t="s">
        <v>29</v>
      </c>
      <c r="O61" s="7" t="s">
        <v>29</v>
      </c>
      <c r="P61" s="7" t="s">
        <v>29</v>
      </c>
      <c r="Q61" s="7" t="s">
        <v>29</v>
      </c>
      <c r="R61" s="7" t="s">
        <v>29</v>
      </c>
      <c r="S61" s="7" t="s">
        <v>29</v>
      </c>
    </row>
    <row r="62" spans="2:19">
      <c r="B62" s="7" t="s">
        <v>195</v>
      </c>
      <c r="C62" s="8" t="s">
        <v>195</v>
      </c>
      <c r="D62" s="5" t="str">
        <f>LRTRIM(CONCATENATE(IF(SUMPRODUCT(-- ISNUMBER(SEARCH({"Auto Number"}, $B62))) &gt; 0, $B62, IF(SUMPRODUCT(-- ISNUMBER(SEARCH({"Lookup","Master-Detail"}, $B62))) &gt; 0,$B62 &amp; "(" &amp; $E62 &amp; ")",IF(SUMPRODUCT(-- ISNUMBER(SEARCH({"Formula","Roll-Up Summary"}, $B62))) &gt; 0,$B62 &amp; " (" &amp; $E62 &amp; ")",IF(SUMPRODUCT(-- ISNUMBER(SEARCH({"Content","Currency","Number","Percent","Text","URL"}, $B62))) &gt; 0,$B62 &amp; "(" &amp; $C62 &amp; ")",$B62)))), "  ", TRIM(IF($S62 = "YES", "(External ID)", "") &amp; " " &amp; IF(SUMPRODUCT(-- ISNUMBER(SEARCH({"Unique","Unique Case Insensitive"}, $R62))) &gt; 0, "(" &amp; $R62 &amp; ")", ""))))</f>
        <v>na</v>
      </c>
      <c r="E62" s="7" t="s">
        <v>195</v>
      </c>
      <c r="F62" s="7" t="s">
        <v>195</v>
      </c>
      <c r="G62" s="7" t="s">
        <v>195</v>
      </c>
      <c r="H62" s="7" t="s">
        <v>195</v>
      </c>
      <c r="I62" s="7" t="s">
        <v>195</v>
      </c>
      <c r="J62" s="7" t="s">
        <v>195</v>
      </c>
      <c r="K62" s="7" t="s">
        <v>195</v>
      </c>
      <c r="L62" s="7" t="s">
        <v>195</v>
      </c>
      <c r="M62" s="7" t="s">
        <v>29</v>
      </c>
      <c r="N62" s="7" t="s">
        <v>29</v>
      </c>
      <c r="O62" s="7" t="s">
        <v>29</v>
      </c>
      <c r="P62" s="7" t="s">
        <v>29</v>
      </c>
      <c r="Q62" s="7" t="s">
        <v>29</v>
      </c>
      <c r="R62" s="7" t="s">
        <v>29</v>
      </c>
      <c r="S62" s="7" t="s">
        <v>29</v>
      </c>
    </row>
    <row r="63" spans="2:19">
      <c r="B63" s="7" t="s">
        <v>195</v>
      </c>
      <c r="C63" s="8" t="s">
        <v>195</v>
      </c>
      <c r="D63" s="5" t="str">
        <f>LRTRIM(CONCATENATE(IF(SUMPRODUCT(-- ISNUMBER(SEARCH({"Auto Number"}, $B63))) &gt; 0, $B63, IF(SUMPRODUCT(-- ISNUMBER(SEARCH({"Lookup","Master-Detail"}, $B63))) &gt; 0,$B63 &amp; "(" &amp; $E63 &amp; ")",IF(SUMPRODUCT(-- ISNUMBER(SEARCH({"Formula","Roll-Up Summary"}, $B63))) &gt; 0,$B63 &amp; " (" &amp; $E63 &amp; ")",IF(SUMPRODUCT(-- ISNUMBER(SEARCH({"Content","Currency","Number","Percent","Text","URL"}, $B63))) &gt; 0,$B63 &amp; "(" &amp; $C63 &amp; ")",$B63)))), "  ", TRIM(IF($S63 = "YES", "(External ID)", "") &amp; " " &amp; IF(SUMPRODUCT(-- ISNUMBER(SEARCH({"Unique","Unique Case Insensitive"}, $R63))) &gt; 0, "(" &amp; $R63 &amp; ")", ""))))</f>
        <v>na</v>
      </c>
      <c r="E63" s="7" t="s">
        <v>195</v>
      </c>
      <c r="F63" s="7" t="s">
        <v>195</v>
      </c>
      <c r="G63" s="7" t="s">
        <v>195</v>
      </c>
      <c r="H63" s="7" t="s">
        <v>195</v>
      </c>
      <c r="I63" s="7" t="s">
        <v>195</v>
      </c>
      <c r="J63" s="7" t="s">
        <v>195</v>
      </c>
      <c r="K63" s="7" t="s">
        <v>195</v>
      </c>
      <c r="L63" s="7" t="s">
        <v>195</v>
      </c>
      <c r="M63" s="7" t="s">
        <v>29</v>
      </c>
      <c r="N63" s="7" t="s">
        <v>29</v>
      </c>
      <c r="O63" s="7" t="s">
        <v>29</v>
      </c>
      <c r="P63" s="7" t="s">
        <v>29</v>
      </c>
      <c r="Q63" s="7" t="s">
        <v>29</v>
      </c>
      <c r="R63" s="7" t="s">
        <v>29</v>
      </c>
      <c r="S63" s="7" t="s">
        <v>29</v>
      </c>
    </row>
    <row r="64" spans="2:19">
      <c r="B64" s="7" t="s">
        <v>195</v>
      </c>
      <c r="C64" s="8" t="s">
        <v>195</v>
      </c>
      <c r="D64" s="5" t="str">
        <f>LRTRIM(CONCATENATE(IF(SUMPRODUCT(-- ISNUMBER(SEARCH({"Auto Number"}, $B64))) &gt; 0, $B64, IF(SUMPRODUCT(-- ISNUMBER(SEARCH({"Lookup","Master-Detail"}, $B64))) &gt; 0,$B64 &amp; "(" &amp; $E64 &amp; ")",IF(SUMPRODUCT(-- ISNUMBER(SEARCH({"Formula","Roll-Up Summary"}, $B64))) &gt; 0,$B64 &amp; " (" &amp; $E64 &amp; ")",IF(SUMPRODUCT(-- ISNUMBER(SEARCH({"Content","Currency","Number","Percent","Text","URL"}, $B64))) &gt; 0,$B64 &amp; "(" &amp; $C64 &amp; ")",$B64)))), "  ", TRIM(IF($S64 = "YES", "(External ID)", "") &amp; " " &amp; IF(SUMPRODUCT(-- ISNUMBER(SEARCH({"Unique","Unique Case Insensitive"}, $R64))) &gt; 0, "(" &amp; $R64 &amp; ")", ""))))</f>
        <v>na</v>
      </c>
      <c r="E64" s="7" t="s">
        <v>195</v>
      </c>
      <c r="F64" s="7" t="s">
        <v>195</v>
      </c>
      <c r="G64" s="7" t="s">
        <v>195</v>
      </c>
      <c r="H64" s="7" t="s">
        <v>195</v>
      </c>
      <c r="I64" s="7" t="s">
        <v>195</v>
      </c>
      <c r="J64" s="7" t="s">
        <v>195</v>
      </c>
      <c r="K64" s="7" t="s">
        <v>195</v>
      </c>
      <c r="L64" s="7" t="s">
        <v>195</v>
      </c>
      <c r="M64" s="7" t="s">
        <v>29</v>
      </c>
      <c r="N64" s="7" t="s">
        <v>29</v>
      </c>
      <c r="O64" s="7" t="s">
        <v>29</v>
      </c>
      <c r="P64" s="7" t="s">
        <v>29</v>
      </c>
      <c r="Q64" s="7" t="s">
        <v>29</v>
      </c>
      <c r="R64" s="7" t="s">
        <v>29</v>
      </c>
      <c r="S64" s="7" t="s">
        <v>29</v>
      </c>
    </row>
    <row r="65" spans="2:19">
      <c r="B65" s="7" t="s">
        <v>195</v>
      </c>
      <c r="C65" s="8" t="s">
        <v>195</v>
      </c>
      <c r="D65" s="5" t="str">
        <f>LRTRIM(CONCATENATE(IF(SUMPRODUCT(-- ISNUMBER(SEARCH({"Auto Number"}, $B65))) &gt; 0, $B65, IF(SUMPRODUCT(-- ISNUMBER(SEARCH({"Lookup","Master-Detail"}, $B65))) &gt; 0,$B65 &amp; "(" &amp; $E65 &amp; ")",IF(SUMPRODUCT(-- ISNUMBER(SEARCH({"Formula","Roll-Up Summary"}, $B65))) &gt; 0,$B65 &amp; " (" &amp; $E65 &amp; ")",IF(SUMPRODUCT(-- ISNUMBER(SEARCH({"Content","Currency","Number","Percent","Text","URL"}, $B65))) &gt; 0,$B65 &amp; "(" &amp; $C65 &amp; ")",$B65)))), "  ", TRIM(IF($S65 = "YES", "(External ID)", "") &amp; " " &amp; IF(SUMPRODUCT(-- ISNUMBER(SEARCH({"Unique","Unique Case Insensitive"}, $R65))) &gt; 0, "(" &amp; $R65 &amp; ")", ""))))</f>
        <v>na</v>
      </c>
      <c r="E65" s="7" t="s">
        <v>195</v>
      </c>
      <c r="F65" s="7" t="s">
        <v>195</v>
      </c>
      <c r="G65" s="7" t="s">
        <v>195</v>
      </c>
      <c r="H65" s="7" t="s">
        <v>195</v>
      </c>
      <c r="I65" s="7" t="s">
        <v>195</v>
      </c>
      <c r="J65" s="7" t="s">
        <v>195</v>
      </c>
      <c r="K65" s="7" t="s">
        <v>195</v>
      </c>
      <c r="L65" s="7" t="s">
        <v>195</v>
      </c>
      <c r="M65" s="7" t="s">
        <v>29</v>
      </c>
      <c r="N65" s="7" t="s">
        <v>29</v>
      </c>
      <c r="O65" s="7" t="s">
        <v>29</v>
      </c>
      <c r="P65" s="7" t="s">
        <v>29</v>
      </c>
      <c r="Q65" s="7" t="s">
        <v>29</v>
      </c>
      <c r="R65" s="7" t="s">
        <v>29</v>
      </c>
      <c r="S65" s="7" t="s">
        <v>29</v>
      </c>
    </row>
    <row r="66" spans="2:19">
      <c r="B66" s="7" t="s">
        <v>195</v>
      </c>
      <c r="C66" s="8" t="s">
        <v>195</v>
      </c>
      <c r="D66" s="5" t="str">
        <f>LRTRIM(CONCATENATE(IF(SUMPRODUCT(-- ISNUMBER(SEARCH({"Auto Number"}, $B66))) &gt; 0, $B66, IF(SUMPRODUCT(-- ISNUMBER(SEARCH({"Lookup","Master-Detail"}, $B66))) &gt; 0,$B66 &amp; "(" &amp; $E66 &amp; ")",IF(SUMPRODUCT(-- ISNUMBER(SEARCH({"Formula","Roll-Up Summary"}, $B66))) &gt; 0,$B66 &amp; " (" &amp; $E66 &amp; ")",IF(SUMPRODUCT(-- ISNUMBER(SEARCH({"Content","Currency","Number","Percent","Text","URL"}, $B66))) &gt; 0,$B66 &amp; "(" &amp; $C66 &amp; ")",$B66)))), "  ", TRIM(IF($S66 = "YES", "(External ID)", "") &amp; " " &amp; IF(SUMPRODUCT(-- ISNUMBER(SEARCH({"Unique","Unique Case Insensitive"}, $R66))) &gt; 0, "(" &amp; $R66 &amp; ")", ""))))</f>
        <v>na</v>
      </c>
      <c r="E66" s="7" t="s">
        <v>195</v>
      </c>
      <c r="F66" s="7" t="s">
        <v>195</v>
      </c>
      <c r="G66" s="7" t="s">
        <v>195</v>
      </c>
      <c r="H66" s="7" t="s">
        <v>195</v>
      </c>
      <c r="I66" s="7" t="s">
        <v>195</v>
      </c>
      <c r="J66" s="7" t="s">
        <v>195</v>
      </c>
      <c r="K66" s="7" t="s">
        <v>195</v>
      </c>
      <c r="L66" s="7" t="s">
        <v>195</v>
      </c>
      <c r="M66" s="7" t="s">
        <v>29</v>
      </c>
      <c r="N66" s="7" t="s">
        <v>29</v>
      </c>
      <c r="O66" s="7" t="s">
        <v>29</v>
      </c>
      <c r="P66" s="7" t="s">
        <v>29</v>
      </c>
      <c r="Q66" s="7" t="s">
        <v>29</v>
      </c>
      <c r="R66" s="7" t="s">
        <v>29</v>
      </c>
      <c r="S66" s="7" t="s">
        <v>29</v>
      </c>
    </row>
    <row r="67" spans="2:19">
      <c r="B67" s="7" t="s">
        <v>195</v>
      </c>
      <c r="C67" s="8" t="s">
        <v>195</v>
      </c>
      <c r="D67" s="5" t="str">
        <f>LRTRIM(CONCATENATE(IF(SUMPRODUCT(-- ISNUMBER(SEARCH({"Auto Number"}, $B67))) &gt; 0, $B67, IF(SUMPRODUCT(-- ISNUMBER(SEARCH({"Lookup","Master-Detail"}, $B67))) &gt; 0,$B67 &amp; "(" &amp; $E67 &amp; ")",IF(SUMPRODUCT(-- ISNUMBER(SEARCH({"Formula","Roll-Up Summary"}, $B67))) &gt; 0,$B67 &amp; " (" &amp; $E67 &amp; ")",IF(SUMPRODUCT(-- ISNUMBER(SEARCH({"Content","Currency","Number","Percent","Text","URL"}, $B67))) &gt; 0,$B67 &amp; "(" &amp; $C67 &amp; ")",$B67)))), "  ", TRIM(IF($S67 = "YES", "(External ID)", "") &amp; " " &amp; IF(SUMPRODUCT(-- ISNUMBER(SEARCH({"Unique","Unique Case Insensitive"}, $R67))) &gt; 0, "(" &amp; $R67 &amp; ")", ""))))</f>
        <v>na</v>
      </c>
      <c r="E67" s="7" t="s">
        <v>195</v>
      </c>
      <c r="F67" s="7" t="s">
        <v>195</v>
      </c>
      <c r="G67" s="7" t="s">
        <v>195</v>
      </c>
      <c r="H67" s="7" t="s">
        <v>195</v>
      </c>
      <c r="I67" s="7" t="s">
        <v>195</v>
      </c>
      <c r="J67" s="7" t="s">
        <v>195</v>
      </c>
      <c r="K67" s="7" t="s">
        <v>195</v>
      </c>
      <c r="L67" s="7" t="s">
        <v>195</v>
      </c>
      <c r="M67" s="7" t="s">
        <v>29</v>
      </c>
      <c r="N67" s="7" t="s">
        <v>29</v>
      </c>
      <c r="O67" s="7" t="s">
        <v>29</v>
      </c>
      <c r="P67" s="7" t="s">
        <v>29</v>
      </c>
      <c r="Q67" s="7" t="s">
        <v>29</v>
      </c>
      <c r="R67" s="7" t="s">
        <v>29</v>
      </c>
      <c r="S67" s="7" t="s">
        <v>29</v>
      </c>
    </row>
    <row r="68" spans="2:19">
      <c r="B68" s="7" t="s">
        <v>195</v>
      </c>
      <c r="C68" s="8" t="s">
        <v>195</v>
      </c>
      <c r="D68" s="5" t="str">
        <f>LRTRIM(CONCATENATE(IF(SUMPRODUCT(-- ISNUMBER(SEARCH({"Auto Number"}, $B68))) &gt; 0, $B68, IF(SUMPRODUCT(-- ISNUMBER(SEARCH({"Lookup","Master-Detail"}, $B68))) &gt; 0,$B68 &amp; "(" &amp; $E68 &amp; ")",IF(SUMPRODUCT(-- ISNUMBER(SEARCH({"Formula","Roll-Up Summary"}, $B68))) &gt; 0,$B68 &amp; " (" &amp; $E68 &amp; ")",IF(SUMPRODUCT(-- ISNUMBER(SEARCH({"Content","Currency","Number","Percent","Text","URL"}, $B68))) &gt; 0,$B68 &amp; "(" &amp; $C68 &amp; ")",$B68)))), "  ", TRIM(IF($S68 = "YES", "(External ID)", "") &amp; " " &amp; IF(SUMPRODUCT(-- ISNUMBER(SEARCH({"Unique","Unique Case Insensitive"}, $R68))) &gt; 0, "(" &amp; $R68 &amp; ")", ""))))</f>
        <v>na</v>
      </c>
      <c r="E68" s="7" t="s">
        <v>195</v>
      </c>
      <c r="F68" s="7" t="s">
        <v>195</v>
      </c>
      <c r="G68" s="7" t="s">
        <v>195</v>
      </c>
      <c r="H68" s="7" t="s">
        <v>195</v>
      </c>
      <c r="I68" s="7" t="s">
        <v>195</v>
      </c>
      <c r="J68" s="7" t="s">
        <v>195</v>
      </c>
      <c r="K68" s="7" t="s">
        <v>195</v>
      </c>
      <c r="L68" s="7" t="s">
        <v>195</v>
      </c>
      <c r="M68" s="7" t="s">
        <v>29</v>
      </c>
      <c r="N68" s="7" t="s">
        <v>29</v>
      </c>
      <c r="O68" s="7" t="s">
        <v>29</v>
      </c>
      <c r="P68" s="7" t="s">
        <v>29</v>
      </c>
      <c r="Q68" s="7" t="s">
        <v>29</v>
      </c>
      <c r="R68" s="7" t="s">
        <v>29</v>
      </c>
      <c r="S68" s="7" t="s">
        <v>29</v>
      </c>
    </row>
    <row r="69" spans="2:19">
      <c r="B69" s="7" t="s">
        <v>195</v>
      </c>
      <c r="C69" s="8" t="s">
        <v>195</v>
      </c>
      <c r="D69" s="5" t="str">
        <f>LRTRIM(CONCATENATE(IF(SUMPRODUCT(-- ISNUMBER(SEARCH({"Auto Number"}, $B69))) &gt; 0, $B69, IF(SUMPRODUCT(-- ISNUMBER(SEARCH({"Lookup","Master-Detail"}, $B69))) &gt; 0,$B69 &amp; "(" &amp; $E69 &amp; ")",IF(SUMPRODUCT(-- ISNUMBER(SEARCH({"Formula","Roll-Up Summary"}, $B69))) &gt; 0,$B69 &amp; " (" &amp; $E69 &amp; ")",IF(SUMPRODUCT(-- ISNUMBER(SEARCH({"Content","Currency","Number","Percent","Text","URL"}, $B69))) &gt; 0,$B69 &amp; "(" &amp; $C69 &amp; ")",$B69)))), "  ", TRIM(IF($S69 = "YES", "(External ID)", "") &amp; " " &amp; IF(SUMPRODUCT(-- ISNUMBER(SEARCH({"Unique","Unique Case Insensitive"}, $R69))) &gt; 0, "(" &amp; $R69 &amp; ")", ""))))</f>
        <v>na</v>
      </c>
      <c r="E69" s="7" t="s">
        <v>195</v>
      </c>
      <c r="F69" s="7" t="s">
        <v>195</v>
      </c>
      <c r="G69" s="7" t="s">
        <v>195</v>
      </c>
      <c r="H69" s="7" t="s">
        <v>195</v>
      </c>
      <c r="I69" s="7" t="s">
        <v>195</v>
      </c>
      <c r="J69" s="7" t="s">
        <v>195</v>
      </c>
      <c r="K69" s="7" t="s">
        <v>195</v>
      </c>
      <c r="L69" s="7" t="s">
        <v>195</v>
      </c>
      <c r="M69" s="7" t="s">
        <v>29</v>
      </c>
      <c r="N69" s="7" t="s">
        <v>29</v>
      </c>
      <c r="O69" s="7" t="s">
        <v>29</v>
      </c>
      <c r="P69" s="7" t="s">
        <v>29</v>
      </c>
      <c r="Q69" s="7" t="s">
        <v>29</v>
      </c>
      <c r="R69" s="7" t="s">
        <v>29</v>
      </c>
      <c r="S69" s="7" t="s">
        <v>29</v>
      </c>
    </row>
    <row r="70" spans="2:19">
      <c r="B70" s="7" t="s">
        <v>195</v>
      </c>
      <c r="C70" s="8" t="s">
        <v>195</v>
      </c>
      <c r="D70" s="5" t="str">
        <f>LRTRIM(CONCATENATE(IF(SUMPRODUCT(-- ISNUMBER(SEARCH({"Auto Number"}, $B70))) &gt; 0, $B70, IF(SUMPRODUCT(-- ISNUMBER(SEARCH({"Lookup","Master-Detail"}, $B70))) &gt; 0,$B70 &amp; "(" &amp; $E70 &amp; ")",IF(SUMPRODUCT(-- ISNUMBER(SEARCH({"Formula","Roll-Up Summary"}, $B70))) &gt; 0,$B70 &amp; " (" &amp; $E70 &amp; ")",IF(SUMPRODUCT(-- ISNUMBER(SEARCH({"Content","Currency","Number","Percent","Text","URL"}, $B70))) &gt; 0,$B70 &amp; "(" &amp; $C70 &amp; ")",$B70)))), "  ", TRIM(IF($S70 = "YES", "(External ID)", "") &amp; " " &amp; IF(SUMPRODUCT(-- ISNUMBER(SEARCH({"Unique","Unique Case Insensitive"}, $R70))) &gt; 0, "(" &amp; $R70 &amp; ")", ""))))</f>
        <v>na</v>
      </c>
      <c r="E70" s="7" t="s">
        <v>195</v>
      </c>
      <c r="F70" s="7" t="s">
        <v>195</v>
      </c>
      <c r="G70" s="7" t="s">
        <v>195</v>
      </c>
      <c r="H70" s="7" t="s">
        <v>195</v>
      </c>
      <c r="I70" s="7" t="s">
        <v>195</v>
      </c>
      <c r="J70" s="7" t="s">
        <v>195</v>
      </c>
      <c r="K70" s="7" t="s">
        <v>195</v>
      </c>
      <c r="L70" s="7" t="s">
        <v>195</v>
      </c>
      <c r="M70" s="7" t="s">
        <v>29</v>
      </c>
      <c r="N70" s="7" t="s">
        <v>29</v>
      </c>
      <c r="O70" s="7" t="s">
        <v>29</v>
      </c>
      <c r="P70" s="7" t="s">
        <v>29</v>
      </c>
      <c r="Q70" s="7" t="s">
        <v>29</v>
      </c>
      <c r="R70" s="7" t="s">
        <v>29</v>
      </c>
      <c r="S70" s="7" t="s">
        <v>29</v>
      </c>
    </row>
    <row r="71" spans="2:19">
      <c r="B71" s="7" t="s">
        <v>195</v>
      </c>
      <c r="C71" s="8" t="s">
        <v>195</v>
      </c>
      <c r="D71" s="5" t="str">
        <f>LRTRIM(CONCATENATE(IF(SUMPRODUCT(-- ISNUMBER(SEARCH({"Auto Number"}, $B71))) &gt; 0, $B71, IF(SUMPRODUCT(-- ISNUMBER(SEARCH({"Lookup","Master-Detail"}, $B71))) &gt; 0,$B71 &amp; "(" &amp; $E71 &amp; ")",IF(SUMPRODUCT(-- ISNUMBER(SEARCH({"Formula","Roll-Up Summary"}, $B71))) &gt; 0,$B71 &amp; " (" &amp; $E71 &amp; ")",IF(SUMPRODUCT(-- ISNUMBER(SEARCH({"Content","Currency","Number","Percent","Text","URL"}, $B71))) &gt; 0,$B71 &amp; "(" &amp; $C71 &amp; ")",$B71)))), "  ", TRIM(IF($S71 = "YES", "(External ID)", "") &amp; " " &amp; IF(SUMPRODUCT(-- ISNUMBER(SEARCH({"Unique","Unique Case Insensitive"}, $R71))) &gt; 0, "(" &amp; $R71 &amp; ")", ""))))</f>
        <v>na</v>
      </c>
      <c r="E71" s="7" t="s">
        <v>195</v>
      </c>
      <c r="F71" s="7" t="s">
        <v>195</v>
      </c>
      <c r="G71" s="7" t="s">
        <v>195</v>
      </c>
      <c r="H71" s="7" t="s">
        <v>195</v>
      </c>
      <c r="I71" s="7" t="s">
        <v>195</v>
      </c>
      <c r="J71" s="7" t="s">
        <v>195</v>
      </c>
      <c r="K71" s="7" t="s">
        <v>195</v>
      </c>
      <c r="L71" s="7" t="s">
        <v>195</v>
      </c>
      <c r="M71" s="7" t="s">
        <v>29</v>
      </c>
      <c r="N71" s="7" t="s">
        <v>29</v>
      </c>
      <c r="O71" s="7" t="s">
        <v>29</v>
      </c>
      <c r="P71" s="7" t="s">
        <v>29</v>
      </c>
      <c r="Q71" s="7" t="s">
        <v>29</v>
      </c>
      <c r="R71" s="7" t="s">
        <v>29</v>
      </c>
      <c r="S71" s="7" t="s">
        <v>29</v>
      </c>
    </row>
    <row r="72" spans="2:19">
      <c r="B72" s="7" t="s">
        <v>195</v>
      </c>
      <c r="C72" s="8" t="s">
        <v>195</v>
      </c>
      <c r="D72" s="5" t="str">
        <f>LRTRIM(CONCATENATE(IF(SUMPRODUCT(-- ISNUMBER(SEARCH({"Auto Number"}, $B72))) &gt; 0, $B72, IF(SUMPRODUCT(-- ISNUMBER(SEARCH({"Lookup","Master-Detail"}, $B72))) &gt; 0,$B72 &amp; "(" &amp; $E72 &amp; ")",IF(SUMPRODUCT(-- ISNUMBER(SEARCH({"Formula","Roll-Up Summary"}, $B72))) &gt; 0,$B72 &amp; " (" &amp; $E72 &amp; ")",IF(SUMPRODUCT(-- ISNUMBER(SEARCH({"Content","Currency","Number","Percent","Text","URL"}, $B72))) &gt; 0,$B72 &amp; "(" &amp; $C72 &amp; ")",$B72)))), "  ", TRIM(IF($S72 = "YES", "(External ID)", "") &amp; " " &amp; IF(SUMPRODUCT(-- ISNUMBER(SEARCH({"Unique","Unique Case Insensitive"}, $R72))) &gt; 0, "(" &amp; $R72 &amp; ")", ""))))</f>
        <v>na</v>
      </c>
      <c r="E72" s="7" t="s">
        <v>195</v>
      </c>
      <c r="F72" s="7" t="s">
        <v>195</v>
      </c>
      <c r="G72" s="7" t="s">
        <v>195</v>
      </c>
      <c r="H72" s="7" t="s">
        <v>195</v>
      </c>
      <c r="I72" s="7" t="s">
        <v>195</v>
      </c>
      <c r="J72" s="7" t="s">
        <v>195</v>
      </c>
      <c r="K72" s="7" t="s">
        <v>195</v>
      </c>
      <c r="L72" s="7" t="s">
        <v>195</v>
      </c>
      <c r="M72" s="7" t="s">
        <v>29</v>
      </c>
      <c r="N72" s="7" t="s">
        <v>29</v>
      </c>
      <c r="O72" s="7" t="s">
        <v>29</v>
      </c>
      <c r="P72" s="7" t="s">
        <v>29</v>
      </c>
      <c r="Q72" s="7" t="s">
        <v>29</v>
      </c>
      <c r="R72" s="7" t="s">
        <v>29</v>
      </c>
      <c r="S72" s="7" t="s">
        <v>29</v>
      </c>
    </row>
    <row r="73" spans="2:19">
      <c r="B73" s="7" t="s">
        <v>195</v>
      </c>
      <c r="C73" s="8" t="s">
        <v>195</v>
      </c>
      <c r="D73" s="5" t="str">
        <f>LRTRIM(CONCATENATE(IF(SUMPRODUCT(-- ISNUMBER(SEARCH({"Auto Number"}, $B73))) &gt; 0, $B73, IF(SUMPRODUCT(-- ISNUMBER(SEARCH({"Lookup","Master-Detail"}, $B73))) &gt; 0,$B73 &amp; "(" &amp; $E73 &amp; ")",IF(SUMPRODUCT(-- ISNUMBER(SEARCH({"Formula","Roll-Up Summary"}, $B73))) &gt; 0,$B73 &amp; " (" &amp; $E73 &amp; ")",IF(SUMPRODUCT(-- ISNUMBER(SEARCH({"Content","Currency","Number","Percent","Text","URL"}, $B73))) &gt; 0,$B73 &amp; "(" &amp; $C73 &amp; ")",$B73)))), "  ", TRIM(IF($S73 = "YES", "(External ID)", "") &amp; " " &amp; IF(SUMPRODUCT(-- ISNUMBER(SEARCH({"Unique","Unique Case Insensitive"}, $R73))) &gt; 0, "(" &amp; $R73 &amp; ")", ""))))</f>
        <v>na</v>
      </c>
      <c r="E73" s="7" t="s">
        <v>195</v>
      </c>
      <c r="F73" s="7" t="s">
        <v>195</v>
      </c>
      <c r="G73" s="7" t="s">
        <v>195</v>
      </c>
      <c r="H73" s="7" t="s">
        <v>195</v>
      </c>
      <c r="I73" s="7" t="s">
        <v>195</v>
      </c>
      <c r="J73" s="7" t="s">
        <v>195</v>
      </c>
      <c r="K73" s="7" t="s">
        <v>195</v>
      </c>
      <c r="L73" s="7" t="s">
        <v>195</v>
      </c>
      <c r="M73" s="7" t="s">
        <v>29</v>
      </c>
      <c r="N73" s="7" t="s">
        <v>29</v>
      </c>
      <c r="O73" s="7" t="s">
        <v>29</v>
      </c>
      <c r="P73" s="7" t="s">
        <v>29</v>
      </c>
      <c r="Q73" s="7" t="s">
        <v>29</v>
      </c>
      <c r="R73" s="7" t="s">
        <v>29</v>
      </c>
      <c r="S73" s="7" t="s">
        <v>29</v>
      </c>
    </row>
    <row r="74" spans="2:19">
      <c r="B74" s="7" t="s">
        <v>195</v>
      </c>
      <c r="C74" s="8" t="s">
        <v>195</v>
      </c>
      <c r="D74" s="5" t="str">
        <f>LRTRIM(CONCATENATE(IF(SUMPRODUCT(-- ISNUMBER(SEARCH({"Auto Number"}, $B74))) &gt; 0, $B74, IF(SUMPRODUCT(-- ISNUMBER(SEARCH({"Lookup","Master-Detail"}, $B74))) &gt; 0,$B74 &amp; "(" &amp; $E74 &amp; ")",IF(SUMPRODUCT(-- ISNUMBER(SEARCH({"Formula","Roll-Up Summary"}, $B74))) &gt; 0,$B74 &amp; " (" &amp; $E74 &amp; ")",IF(SUMPRODUCT(-- ISNUMBER(SEARCH({"Content","Currency","Number","Percent","Text","URL"}, $B74))) &gt; 0,$B74 &amp; "(" &amp; $C74 &amp; ")",$B74)))), "  ", TRIM(IF($S74 = "YES", "(External ID)", "") &amp; " " &amp; IF(SUMPRODUCT(-- ISNUMBER(SEARCH({"Unique","Unique Case Insensitive"}, $R74))) &gt; 0, "(" &amp; $R74 &amp; ")", ""))))</f>
        <v>na</v>
      </c>
      <c r="E74" s="7" t="s">
        <v>195</v>
      </c>
      <c r="F74" s="7" t="s">
        <v>195</v>
      </c>
      <c r="G74" s="7" t="s">
        <v>195</v>
      </c>
      <c r="H74" s="7" t="s">
        <v>195</v>
      </c>
      <c r="I74" s="7" t="s">
        <v>195</v>
      </c>
      <c r="J74" s="7" t="s">
        <v>195</v>
      </c>
      <c r="K74" s="7" t="s">
        <v>195</v>
      </c>
      <c r="L74" s="7" t="s">
        <v>195</v>
      </c>
      <c r="M74" s="7" t="s">
        <v>29</v>
      </c>
      <c r="N74" s="7" t="s">
        <v>29</v>
      </c>
      <c r="O74" s="7" t="s">
        <v>29</v>
      </c>
      <c r="P74" s="7" t="s">
        <v>29</v>
      </c>
      <c r="Q74" s="7" t="s">
        <v>29</v>
      </c>
      <c r="R74" s="7" t="s">
        <v>29</v>
      </c>
      <c r="S74" s="7" t="s">
        <v>29</v>
      </c>
    </row>
    <row r="75" spans="2:19">
      <c r="B75" s="7" t="s">
        <v>195</v>
      </c>
      <c r="C75" s="8" t="s">
        <v>195</v>
      </c>
      <c r="D75" s="5" t="str">
        <f>LRTRIM(CONCATENATE(IF(SUMPRODUCT(-- ISNUMBER(SEARCH({"Auto Number"}, $B75))) &gt; 0, $B75, IF(SUMPRODUCT(-- ISNUMBER(SEARCH({"Lookup","Master-Detail"}, $B75))) &gt; 0,$B75 &amp; "(" &amp; $E75 &amp; ")",IF(SUMPRODUCT(-- ISNUMBER(SEARCH({"Formula","Roll-Up Summary"}, $B75))) &gt; 0,$B75 &amp; " (" &amp; $E75 &amp; ")",IF(SUMPRODUCT(-- ISNUMBER(SEARCH({"Content","Currency","Number","Percent","Text","URL"}, $B75))) &gt; 0,$B75 &amp; "(" &amp; $C75 &amp; ")",$B75)))), "  ", TRIM(IF($S75 = "YES", "(External ID)", "") &amp; " " &amp; IF(SUMPRODUCT(-- ISNUMBER(SEARCH({"Unique","Unique Case Insensitive"}, $R75))) &gt; 0, "(" &amp; $R75 &amp; ")", ""))))</f>
        <v>na</v>
      </c>
      <c r="E75" s="7" t="s">
        <v>195</v>
      </c>
      <c r="F75" s="7" t="s">
        <v>195</v>
      </c>
      <c r="G75" s="7" t="s">
        <v>195</v>
      </c>
      <c r="H75" s="7" t="s">
        <v>195</v>
      </c>
      <c r="I75" s="7" t="s">
        <v>195</v>
      </c>
      <c r="J75" s="7" t="s">
        <v>195</v>
      </c>
      <c r="K75" s="7" t="s">
        <v>195</v>
      </c>
      <c r="L75" s="7" t="s">
        <v>195</v>
      </c>
      <c r="M75" s="7" t="s">
        <v>29</v>
      </c>
      <c r="N75" s="7" t="s">
        <v>29</v>
      </c>
      <c r="O75" s="7" t="s">
        <v>29</v>
      </c>
      <c r="P75" s="7" t="s">
        <v>29</v>
      </c>
      <c r="Q75" s="7" t="s">
        <v>29</v>
      </c>
      <c r="R75" s="7" t="s">
        <v>29</v>
      </c>
      <c r="S75" s="7" t="s">
        <v>29</v>
      </c>
    </row>
    <row r="76" spans="2:19">
      <c r="B76" s="7" t="s">
        <v>195</v>
      </c>
      <c r="C76" s="8" t="s">
        <v>195</v>
      </c>
      <c r="D76" s="5" t="str">
        <f>LRTRIM(CONCATENATE(IF(SUMPRODUCT(-- ISNUMBER(SEARCH({"Auto Number"}, $B76))) &gt; 0, $B76, IF(SUMPRODUCT(-- ISNUMBER(SEARCH({"Lookup","Master-Detail"}, $B76))) &gt; 0,$B76 &amp; "(" &amp; $E76 &amp; ")",IF(SUMPRODUCT(-- ISNUMBER(SEARCH({"Formula","Roll-Up Summary"}, $B76))) &gt; 0,$B76 &amp; " (" &amp; $E76 &amp; ")",IF(SUMPRODUCT(-- ISNUMBER(SEARCH({"Content","Currency","Number","Percent","Text","URL"}, $B76))) &gt; 0,$B76 &amp; "(" &amp; $C76 &amp; ")",$B76)))), "  ", TRIM(IF($S76 = "YES", "(External ID)", "") &amp; " " &amp; IF(SUMPRODUCT(-- ISNUMBER(SEARCH({"Unique","Unique Case Insensitive"}, $R76))) &gt; 0, "(" &amp; $R76 &amp; ")", ""))))</f>
        <v>na</v>
      </c>
      <c r="E76" s="7" t="s">
        <v>195</v>
      </c>
      <c r="F76" s="7" t="s">
        <v>195</v>
      </c>
      <c r="G76" s="7" t="s">
        <v>195</v>
      </c>
      <c r="H76" s="7" t="s">
        <v>195</v>
      </c>
      <c r="I76" s="7" t="s">
        <v>195</v>
      </c>
      <c r="J76" s="7" t="s">
        <v>195</v>
      </c>
      <c r="K76" s="7" t="s">
        <v>195</v>
      </c>
      <c r="L76" s="7" t="s">
        <v>195</v>
      </c>
      <c r="M76" s="7" t="s">
        <v>29</v>
      </c>
      <c r="N76" s="7" t="s">
        <v>29</v>
      </c>
      <c r="O76" s="7" t="s">
        <v>29</v>
      </c>
      <c r="P76" s="7" t="s">
        <v>29</v>
      </c>
      <c r="Q76" s="7" t="s">
        <v>29</v>
      </c>
      <c r="R76" s="7" t="s">
        <v>29</v>
      </c>
      <c r="S76" s="7" t="s">
        <v>29</v>
      </c>
    </row>
    <row r="77" spans="2:19">
      <c r="B77" s="7" t="s">
        <v>195</v>
      </c>
      <c r="C77" s="8" t="s">
        <v>195</v>
      </c>
      <c r="D77" s="5" t="str">
        <f>LRTRIM(CONCATENATE(IF(SUMPRODUCT(-- ISNUMBER(SEARCH({"Auto Number"}, $B77))) &gt; 0, $B77, IF(SUMPRODUCT(-- ISNUMBER(SEARCH({"Lookup","Master-Detail"}, $B77))) &gt; 0,$B77 &amp; "(" &amp; $E77 &amp; ")",IF(SUMPRODUCT(-- ISNUMBER(SEARCH({"Formula","Roll-Up Summary"}, $B77))) &gt; 0,$B77 &amp; " (" &amp; $E77 &amp; ")",IF(SUMPRODUCT(-- ISNUMBER(SEARCH({"Content","Currency","Number","Percent","Text","URL"}, $B77))) &gt; 0,$B77 &amp; "(" &amp; $C77 &amp; ")",$B77)))), "  ", TRIM(IF($S77 = "YES", "(External ID)", "") &amp; " " &amp; IF(SUMPRODUCT(-- ISNUMBER(SEARCH({"Unique","Unique Case Insensitive"}, $R77))) &gt; 0, "(" &amp; $R77 &amp; ")", ""))))</f>
        <v>na</v>
      </c>
      <c r="E77" s="7" t="s">
        <v>195</v>
      </c>
      <c r="F77" s="7" t="s">
        <v>195</v>
      </c>
      <c r="G77" s="7" t="s">
        <v>195</v>
      </c>
      <c r="H77" s="7" t="s">
        <v>195</v>
      </c>
      <c r="I77" s="7" t="s">
        <v>195</v>
      </c>
      <c r="J77" s="7" t="s">
        <v>195</v>
      </c>
      <c r="K77" s="7" t="s">
        <v>195</v>
      </c>
      <c r="L77" s="7" t="s">
        <v>195</v>
      </c>
      <c r="M77" s="7" t="s">
        <v>29</v>
      </c>
      <c r="N77" s="7" t="s">
        <v>29</v>
      </c>
      <c r="O77" s="7" t="s">
        <v>29</v>
      </c>
      <c r="P77" s="7" t="s">
        <v>29</v>
      </c>
      <c r="Q77" s="7" t="s">
        <v>29</v>
      </c>
      <c r="R77" s="7" t="s">
        <v>29</v>
      </c>
      <c r="S77" s="7" t="s">
        <v>29</v>
      </c>
    </row>
    <row r="78" spans="2:19">
      <c r="B78" s="7" t="s">
        <v>195</v>
      </c>
      <c r="C78" s="8" t="s">
        <v>195</v>
      </c>
      <c r="D78" s="5" t="str">
        <f>LRTRIM(CONCATENATE(IF(SUMPRODUCT(-- ISNUMBER(SEARCH({"Auto Number"}, $B78))) &gt; 0, $B78, IF(SUMPRODUCT(-- ISNUMBER(SEARCH({"Lookup","Master-Detail"}, $B78))) &gt; 0,$B78 &amp; "(" &amp; $E78 &amp; ")",IF(SUMPRODUCT(-- ISNUMBER(SEARCH({"Formula","Roll-Up Summary"}, $B78))) &gt; 0,$B78 &amp; " (" &amp; $E78 &amp; ")",IF(SUMPRODUCT(-- ISNUMBER(SEARCH({"Content","Currency","Number","Percent","Text","URL"}, $B78))) &gt; 0,$B78 &amp; "(" &amp; $C78 &amp; ")",$B78)))), "  ", TRIM(IF($S78 = "YES", "(External ID)", "") &amp; " " &amp; IF(SUMPRODUCT(-- ISNUMBER(SEARCH({"Unique","Unique Case Insensitive"}, $R78))) &gt; 0, "(" &amp; $R78 &amp; ")", ""))))</f>
        <v>na</v>
      </c>
      <c r="E78" s="7" t="s">
        <v>195</v>
      </c>
      <c r="F78" s="7" t="s">
        <v>195</v>
      </c>
      <c r="G78" s="7" t="s">
        <v>195</v>
      </c>
      <c r="H78" s="7" t="s">
        <v>195</v>
      </c>
      <c r="I78" s="7" t="s">
        <v>195</v>
      </c>
      <c r="J78" s="7" t="s">
        <v>195</v>
      </c>
      <c r="K78" s="7" t="s">
        <v>195</v>
      </c>
      <c r="L78" s="7" t="s">
        <v>195</v>
      </c>
      <c r="M78" s="7" t="s">
        <v>29</v>
      </c>
      <c r="N78" s="7" t="s">
        <v>29</v>
      </c>
      <c r="O78" s="7" t="s">
        <v>29</v>
      </c>
      <c r="P78" s="7" t="s">
        <v>29</v>
      </c>
      <c r="Q78" s="7" t="s">
        <v>29</v>
      </c>
      <c r="R78" s="7" t="s">
        <v>29</v>
      </c>
      <c r="S78" s="7" t="s">
        <v>29</v>
      </c>
    </row>
    <row r="79" spans="2:19">
      <c r="B79" s="7" t="s">
        <v>195</v>
      </c>
      <c r="C79" s="8" t="s">
        <v>195</v>
      </c>
      <c r="D79" s="5" t="str">
        <f>LRTRIM(CONCATENATE(IF(SUMPRODUCT(-- ISNUMBER(SEARCH({"Auto Number"}, $B79))) &gt; 0, $B79, IF(SUMPRODUCT(-- ISNUMBER(SEARCH({"Lookup","Master-Detail"}, $B79))) &gt; 0,$B79 &amp; "(" &amp; $E79 &amp; ")",IF(SUMPRODUCT(-- ISNUMBER(SEARCH({"Formula","Roll-Up Summary"}, $B79))) &gt; 0,$B79 &amp; " (" &amp; $E79 &amp; ")",IF(SUMPRODUCT(-- ISNUMBER(SEARCH({"Content","Currency","Number","Percent","Text","URL"}, $B79))) &gt; 0,$B79 &amp; "(" &amp; $C79 &amp; ")",$B79)))), "  ", TRIM(IF($S79 = "YES", "(External ID)", "") &amp; " " &amp; IF(SUMPRODUCT(-- ISNUMBER(SEARCH({"Unique","Unique Case Insensitive"}, $R79))) &gt; 0, "(" &amp; $R79 &amp; ")", ""))))</f>
        <v>na</v>
      </c>
      <c r="E79" s="7" t="s">
        <v>195</v>
      </c>
      <c r="F79" s="7" t="s">
        <v>195</v>
      </c>
      <c r="G79" s="7" t="s">
        <v>195</v>
      </c>
      <c r="H79" s="7" t="s">
        <v>195</v>
      </c>
      <c r="I79" s="7" t="s">
        <v>195</v>
      </c>
      <c r="J79" s="7" t="s">
        <v>195</v>
      </c>
      <c r="K79" s="7" t="s">
        <v>195</v>
      </c>
      <c r="L79" s="7" t="s">
        <v>195</v>
      </c>
      <c r="M79" s="7" t="s">
        <v>29</v>
      </c>
      <c r="N79" s="7" t="s">
        <v>29</v>
      </c>
      <c r="O79" s="7" t="s">
        <v>29</v>
      </c>
      <c r="P79" s="7" t="s">
        <v>29</v>
      </c>
      <c r="Q79" s="7" t="s">
        <v>29</v>
      </c>
      <c r="R79" s="7" t="s">
        <v>29</v>
      </c>
      <c r="S79" s="7" t="s">
        <v>29</v>
      </c>
    </row>
    <row r="80" spans="2:19">
      <c r="B80" s="7" t="s">
        <v>195</v>
      </c>
      <c r="C80" s="8" t="s">
        <v>195</v>
      </c>
      <c r="D80" s="5" t="str">
        <f>LRTRIM(CONCATENATE(IF(SUMPRODUCT(-- ISNUMBER(SEARCH({"Auto Number"}, $B80))) &gt; 0, $B80, IF(SUMPRODUCT(-- ISNUMBER(SEARCH({"Lookup","Master-Detail"}, $B80))) &gt; 0,$B80 &amp; "(" &amp; $E80 &amp; ")",IF(SUMPRODUCT(-- ISNUMBER(SEARCH({"Formula","Roll-Up Summary"}, $B80))) &gt; 0,$B80 &amp; " (" &amp; $E80 &amp; ")",IF(SUMPRODUCT(-- ISNUMBER(SEARCH({"Content","Currency","Number","Percent","Text","URL"}, $B80))) &gt; 0,$B80 &amp; "(" &amp; $C80 &amp; ")",$B80)))), "  ", TRIM(IF($S80 = "YES", "(External ID)", "") &amp; " " &amp; IF(SUMPRODUCT(-- ISNUMBER(SEARCH({"Unique","Unique Case Insensitive"}, $R80))) &gt; 0, "(" &amp; $R80 &amp; ")", ""))))</f>
        <v>na</v>
      </c>
      <c r="E80" s="7" t="s">
        <v>195</v>
      </c>
      <c r="F80" s="7" t="s">
        <v>195</v>
      </c>
      <c r="G80" s="7" t="s">
        <v>195</v>
      </c>
      <c r="H80" s="7" t="s">
        <v>195</v>
      </c>
      <c r="I80" s="7" t="s">
        <v>195</v>
      </c>
      <c r="J80" s="7" t="s">
        <v>195</v>
      </c>
      <c r="K80" s="7" t="s">
        <v>195</v>
      </c>
      <c r="L80" s="7" t="s">
        <v>195</v>
      </c>
      <c r="M80" s="7" t="s">
        <v>29</v>
      </c>
      <c r="N80" s="7" t="s">
        <v>29</v>
      </c>
      <c r="O80" s="7" t="s">
        <v>29</v>
      </c>
      <c r="P80" s="7" t="s">
        <v>29</v>
      </c>
      <c r="Q80" s="7" t="s">
        <v>29</v>
      </c>
      <c r="R80" s="7" t="s">
        <v>29</v>
      </c>
      <c r="S80" s="7" t="s">
        <v>29</v>
      </c>
    </row>
    <row r="81" spans="2:19">
      <c r="B81" s="7" t="s">
        <v>195</v>
      </c>
      <c r="C81" s="8" t="s">
        <v>195</v>
      </c>
      <c r="D81" s="5" t="str">
        <f>LRTRIM(CONCATENATE(IF(SUMPRODUCT(-- ISNUMBER(SEARCH({"Auto Number"}, $B81))) &gt; 0, $B81, IF(SUMPRODUCT(-- ISNUMBER(SEARCH({"Lookup","Master-Detail"}, $B81))) &gt; 0,$B81 &amp; "(" &amp; $E81 &amp; ")",IF(SUMPRODUCT(-- ISNUMBER(SEARCH({"Formula","Roll-Up Summary"}, $B81))) &gt; 0,$B81 &amp; " (" &amp; $E81 &amp; ")",IF(SUMPRODUCT(-- ISNUMBER(SEARCH({"Content","Currency","Number","Percent","Text","URL"}, $B81))) &gt; 0,$B81 &amp; "(" &amp; $C81 &amp; ")",$B81)))), "  ", TRIM(IF($S81 = "YES", "(External ID)", "") &amp; " " &amp; IF(SUMPRODUCT(-- ISNUMBER(SEARCH({"Unique","Unique Case Insensitive"}, $R81))) &gt; 0, "(" &amp; $R81 &amp; ")", ""))))</f>
        <v>na</v>
      </c>
      <c r="E81" s="7" t="s">
        <v>195</v>
      </c>
      <c r="F81" s="7" t="s">
        <v>195</v>
      </c>
      <c r="G81" s="7" t="s">
        <v>195</v>
      </c>
      <c r="H81" s="7" t="s">
        <v>195</v>
      </c>
      <c r="I81" s="7" t="s">
        <v>195</v>
      </c>
      <c r="J81" s="7" t="s">
        <v>195</v>
      </c>
      <c r="K81" s="7" t="s">
        <v>195</v>
      </c>
      <c r="L81" s="7" t="s">
        <v>195</v>
      </c>
      <c r="M81" s="7" t="s">
        <v>29</v>
      </c>
      <c r="N81" s="7" t="s">
        <v>29</v>
      </c>
      <c r="O81" s="7" t="s">
        <v>29</v>
      </c>
      <c r="P81" s="7" t="s">
        <v>29</v>
      </c>
      <c r="Q81" s="7" t="s">
        <v>29</v>
      </c>
      <c r="R81" s="7" t="s">
        <v>29</v>
      </c>
      <c r="S81" s="7" t="s">
        <v>29</v>
      </c>
    </row>
    <row r="82" spans="2:19">
      <c r="B82" s="7" t="s">
        <v>195</v>
      </c>
      <c r="C82" s="8" t="s">
        <v>195</v>
      </c>
      <c r="D82" s="5" t="str">
        <f>LRTRIM(CONCATENATE(IF(SUMPRODUCT(-- ISNUMBER(SEARCH({"Auto Number"}, $B82))) &gt; 0, $B82, IF(SUMPRODUCT(-- ISNUMBER(SEARCH({"Lookup","Master-Detail"}, $B82))) &gt; 0,$B82 &amp; "(" &amp; $E82 &amp; ")",IF(SUMPRODUCT(-- ISNUMBER(SEARCH({"Formula","Roll-Up Summary"}, $B82))) &gt; 0,$B82 &amp; " (" &amp; $E82 &amp; ")",IF(SUMPRODUCT(-- ISNUMBER(SEARCH({"Content","Currency","Number","Percent","Text","URL"}, $B82))) &gt; 0,$B82 &amp; "(" &amp; $C82 &amp; ")",$B82)))), "  ", TRIM(IF($S82 = "YES", "(External ID)", "") &amp; " " &amp; IF(SUMPRODUCT(-- ISNUMBER(SEARCH({"Unique","Unique Case Insensitive"}, $R82))) &gt; 0, "(" &amp; $R82 &amp; ")", ""))))</f>
        <v>na</v>
      </c>
      <c r="E82" s="7" t="s">
        <v>195</v>
      </c>
      <c r="F82" s="7" t="s">
        <v>195</v>
      </c>
      <c r="G82" s="7" t="s">
        <v>195</v>
      </c>
      <c r="H82" s="7" t="s">
        <v>195</v>
      </c>
      <c r="I82" s="7" t="s">
        <v>195</v>
      </c>
      <c r="J82" s="7" t="s">
        <v>195</v>
      </c>
      <c r="K82" s="7" t="s">
        <v>195</v>
      </c>
      <c r="L82" s="7" t="s">
        <v>195</v>
      </c>
      <c r="M82" s="7" t="s">
        <v>29</v>
      </c>
      <c r="N82" s="7" t="s">
        <v>29</v>
      </c>
      <c r="O82" s="7" t="s">
        <v>29</v>
      </c>
      <c r="P82" s="7" t="s">
        <v>29</v>
      </c>
      <c r="Q82" s="7" t="s">
        <v>29</v>
      </c>
      <c r="R82" s="7" t="s">
        <v>29</v>
      </c>
      <c r="S82" s="7" t="s">
        <v>29</v>
      </c>
    </row>
    <row r="83" spans="2:19">
      <c r="B83" s="7" t="s">
        <v>195</v>
      </c>
      <c r="C83" s="8" t="s">
        <v>195</v>
      </c>
      <c r="D83" s="5" t="str">
        <f>LRTRIM(CONCATENATE(IF(SUMPRODUCT(-- ISNUMBER(SEARCH({"Auto Number"}, $B83))) &gt; 0, $B83, IF(SUMPRODUCT(-- ISNUMBER(SEARCH({"Lookup","Master-Detail"}, $B83))) &gt; 0,$B83 &amp; "(" &amp; $E83 &amp; ")",IF(SUMPRODUCT(-- ISNUMBER(SEARCH({"Formula","Roll-Up Summary"}, $B83))) &gt; 0,$B83 &amp; " (" &amp; $E83 &amp; ")",IF(SUMPRODUCT(-- ISNUMBER(SEARCH({"Content","Currency","Number","Percent","Text","URL"}, $B83))) &gt; 0,$B83 &amp; "(" &amp; $C83 &amp; ")",$B83)))), "  ", TRIM(IF($S83 = "YES", "(External ID)", "") &amp; " " &amp; IF(SUMPRODUCT(-- ISNUMBER(SEARCH({"Unique","Unique Case Insensitive"}, $R83))) &gt; 0, "(" &amp; $R83 &amp; ")", ""))))</f>
        <v>na</v>
      </c>
      <c r="E83" s="7" t="s">
        <v>195</v>
      </c>
      <c r="F83" s="7" t="s">
        <v>195</v>
      </c>
      <c r="G83" s="7" t="s">
        <v>195</v>
      </c>
      <c r="H83" s="7" t="s">
        <v>195</v>
      </c>
      <c r="I83" s="7" t="s">
        <v>195</v>
      </c>
      <c r="J83" s="7" t="s">
        <v>195</v>
      </c>
      <c r="K83" s="7" t="s">
        <v>195</v>
      </c>
      <c r="L83" s="7" t="s">
        <v>195</v>
      </c>
      <c r="M83" s="7" t="s">
        <v>29</v>
      </c>
      <c r="N83" s="7" t="s">
        <v>29</v>
      </c>
      <c r="O83" s="7" t="s">
        <v>29</v>
      </c>
      <c r="P83" s="7" t="s">
        <v>29</v>
      </c>
      <c r="Q83" s="7" t="s">
        <v>29</v>
      </c>
      <c r="R83" s="7" t="s">
        <v>29</v>
      </c>
      <c r="S83" s="7" t="s">
        <v>29</v>
      </c>
    </row>
    <row r="84" spans="2:19">
      <c r="B84" s="7" t="s">
        <v>195</v>
      </c>
      <c r="C84" s="8" t="s">
        <v>195</v>
      </c>
      <c r="D84" s="5" t="str">
        <f>LRTRIM(CONCATENATE(IF(SUMPRODUCT(-- ISNUMBER(SEARCH({"Auto Number"}, $B84))) &gt; 0, $B84, IF(SUMPRODUCT(-- ISNUMBER(SEARCH({"Lookup","Master-Detail"}, $B84))) &gt; 0,$B84 &amp; "(" &amp; $E84 &amp; ")",IF(SUMPRODUCT(-- ISNUMBER(SEARCH({"Formula","Roll-Up Summary"}, $B84))) &gt; 0,$B84 &amp; " (" &amp; $E84 &amp; ")",IF(SUMPRODUCT(-- ISNUMBER(SEARCH({"Content","Currency","Number","Percent","Text","URL"}, $B84))) &gt; 0,$B84 &amp; "(" &amp; $C84 &amp; ")",$B84)))), "  ", TRIM(IF($S84 = "YES", "(External ID)", "") &amp; " " &amp; IF(SUMPRODUCT(-- ISNUMBER(SEARCH({"Unique","Unique Case Insensitive"}, $R84))) &gt; 0, "(" &amp; $R84 &amp; ")", ""))))</f>
        <v>na</v>
      </c>
      <c r="E84" s="7" t="s">
        <v>195</v>
      </c>
      <c r="F84" s="7" t="s">
        <v>195</v>
      </c>
      <c r="G84" s="7" t="s">
        <v>195</v>
      </c>
      <c r="H84" s="7" t="s">
        <v>195</v>
      </c>
      <c r="I84" s="7" t="s">
        <v>195</v>
      </c>
      <c r="J84" s="7" t="s">
        <v>195</v>
      </c>
      <c r="K84" s="7" t="s">
        <v>195</v>
      </c>
      <c r="L84" s="7" t="s">
        <v>195</v>
      </c>
      <c r="M84" s="7" t="s">
        <v>29</v>
      </c>
      <c r="N84" s="7" t="s">
        <v>29</v>
      </c>
      <c r="O84" s="7" t="s">
        <v>29</v>
      </c>
      <c r="P84" s="7" t="s">
        <v>29</v>
      </c>
      <c r="Q84" s="7" t="s">
        <v>29</v>
      </c>
      <c r="R84" s="7" t="s">
        <v>29</v>
      </c>
      <c r="S84" s="7" t="s">
        <v>29</v>
      </c>
    </row>
    <row r="85" spans="2:19">
      <c r="B85" s="7" t="s">
        <v>195</v>
      </c>
      <c r="C85" s="8" t="s">
        <v>195</v>
      </c>
      <c r="D85" s="5" t="str">
        <f>LRTRIM(CONCATENATE(IF(SUMPRODUCT(-- ISNUMBER(SEARCH({"Auto Number"}, $B85))) &gt; 0, $B85, IF(SUMPRODUCT(-- ISNUMBER(SEARCH({"Lookup","Master-Detail"}, $B85))) &gt; 0,$B85 &amp; "(" &amp; $E85 &amp; ")",IF(SUMPRODUCT(-- ISNUMBER(SEARCH({"Formula","Roll-Up Summary"}, $B85))) &gt; 0,$B85 &amp; " (" &amp; $E85 &amp; ")",IF(SUMPRODUCT(-- ISNUMBER(SEARCH({"Content","Currency","Number","Percent","Text","URL"}, $B85))) &gt; 0,$B85 &amp; "(" &amp; $C85 &amp; ")",$B85)))), "  ", TRIM(IF($S85 = "YES", "(External ID)", "") &amp; " " &amp; IF(SUMPRODUCT(-- ISNUMBER(SEARCH({"Unique","Unique Case Insensitive"}, $R85))) &gt; 0, "(" &amp; $R85 &amp; ")", ""))))</f>
        <v>na</v>
      </c>
      <c r="E85" s="7" t="s">
        <v>195</v>
      </c>
      <c r="F85" s="7" t="s">
        <v>195</v>
      </c>
      <c r="G85" s="7" t="s">
        <v>195</v>
      </c>
      <c r="H85" s="7" t="s">
        <v>195</v>
      </c>
      <c r="I85" s="7" t="s">
        <v>195</v>
      </c>
      <c r="J85" s="7" t="s">
        <v>195</v>
      </c>
      <c r="K85" s="7" t="s">
        <v>195</v>
      </c>
      <c r="L85" s="7" t="s">
        <v>195</v>
      </c>
      <c r="M85" s="7" t="s">
        <v>29</v>
      </c>
      <c r="N85" s="7" t="s">
        <v>29</v>
      </c>
      <c r="O85" s="7" t="s">
        <v>29</v>
      </c>
      <c r="P85" s="7" t="s">
        <v>29</v>
      </c>
      <c r="Q85" s="7" t="s">
        <v>29</v>
      </c>
      <c r="R85" s="7" t="s">
        <v>29</v>
      </c>
      <c r="S85" s="7" t="s">
        <v>29</v>
      </c>
    </row>
    <row r="86" spans="2:19">
      <c r="B86" s="7" t="s">
        <v>195</v>
      </c>
      <c r="C86" s="8" t="s">
        <v>195</v>
      </c>
      <c r="D86" s="5" t="str">
        <f>LRTRIM(CONCATENATE(IF(SUMPRODUCT(-- ISNUMBER(SEARCH({"Auto Number"}, $B86))) &gt; 0, $B86, IF(SUMPRODUCT(-- ISNUMBER(SEARCH({"Lookup","Master-Detail"}, $B86))) &gt; 0,$B86 &amp; "(" &amp; $E86 &amp; ")",IF(SUMPRODUCT(-- ISNUMBER(SEARCH({"Formula","Roll-Up Summary"}, $B86))) &gt; 0,$B86 &amp; " (" &amp; $E86 &amp; ")",IF(SUMPRODUCT(-- ISNUMBER(SEARCH({"Content","Currency","Number","Percent","Text","URL"}, $B86))) &gt; 0,$B86 &amp; "(" &amp; $C86 &amp; ")",$B86)))), "  ", TRIM(IF($S86 = "YES", "(External ID)", "") &amp; " " &amp; IF(SUMPRODUCT(-- ISNUMBER(SEARCH({"Unique","Unique Case Insensitive"}, $R86))) &gt; 0, "(" &amp; $R86 &amp; ")", ""))))</f>
        <v>na</v>
      </c>
      <c r="E86" s="7" t="s">
        <v>195</v>
      </c>
      <c r="F86" s="7" t="s">
        <v>195</v>
      </c>
      <c r="G86" s="7" t="s">
        <v>195</v>
      </c>
      <c r="H86" s="7" t="s">
        <v>195</v>
      </c>
      <c r="I86" s="7" t="s">
        <v>195</v>
      </c>
      <c r="J86" s="7" t="s">
        <v>195</v>
      </c>
      <c r="K86" s="7" t="s">
        <v>195</v>
      </c>
      <c r="L86" s="7" t="s">
        <v>195</v>
      </c>
      <c r="M86" s="7" t="s">
        <v>29</v>
      </c>
      <c r="N86" s="7" t="s">
        <v>29</v>
      </c>
      <c r="O86" s="7" t="s">
        <v>29</v>
      </c>
      <c r="P86" s="7" t="s">
        <v>29</v>
      </c>
      <c r="Q86" s="7" t="s">
        <v>29</v>
      </c>
      <c r="R86" s="7" t="s">
        <v>29</v>
      </c>
      <c r="S86" s="7" t="s">
        <v>29</v>
      </c>
    </row>
    <row r="87" spans="2:19">
      <c r="B87" s="7" t="s">
        <v>195</v>
      </c>
      <c r="C87" s="8" t="s">
        <v>195</v>
      </c>
      <c r="D87" s="5" t="str">
        <f>LRTRIM(CONCATENATE(IF(SUMPRODUCT(-- ISNUMBER(SEARCH({"Auto Number"}, $B87))) &gt; 0, $B87, IF(SUMPRODUCT(-- ISNUMBER(SEARCH({"Lookup","Master-Detail"}, $B87))) &gt; 0,$B87 &amp; "(" &amp; $E87 &amp; ")",IF(SUMPRODUCT(-- ISNUMBER(SEARCH({"Formula","Roll-Up Summary"}, $B87))) &gt; 0,$B87 &amp; " (" &amp; $E87 &amp; ")",IF(SUMPRODUCT(-- ISNUMBER(SEARCH({"Content","Currency","Number","Percent","Text","URL"}, $B87))) &gt; 0,$B87 &amp; "(" &amp; $C87 &amp; ")",$B87)))), "  ", TRIM(IF($S87 = "YES", "(External ID)", "") &amp; " " &amp; IF(SUMPRODUCT(-- ISNUMBER(SEARCH({"Unique","Unique Case Insensitive"}, $R87))) &gt; 0, "(" &amp; $R87 &amp; ")", ""))))</f>
        <v>na</v>
      </c>
      <c r="E87" s="7" t="s">
        <v>195</v>
      </c>
      <c r="F87" s="7" t="s">
        <v>195</v>
      </c>
      <c r="G87" s="7" t="s">
        <v>195</v>
      </c>
      <c r="H87" s="7" t="s">
        <v>195</v>
      </c>
      <c r="I87" s="7" t="s">
        <v>195</v>
      </c>
      <c r="J87" s="7" t="s">
        <v>195</v>
      </c>
      <c r="K87" s="7" t="s">
        <v>195</v>
      </c>
      <c r="L87" s="7" t="s">
        <v>195</v>
      </c>
      <c r="M87" s="7" t="s">
        <v>29</v>
      </c>
      <c r="N87" s="7" t="s">
        <v>29</v>
      </c>
      <c r="O87" s="7" t="s">
        <v>29</v>
      </c>
      <c r="P87" s="7" t="s">
        <v>29</v>
      </c>
      <c r="Q87" s="7" t="s">
        <v>29</v>
      </c>
      <c r="R87" s="7" t="s">
        <v>29</v>
      </c>
      <c r="S87" s="7" t="s">
        <v>29</v>
      </c>
    </row>
    <row r="88" spans="2:19">
      <c r="B88" s="7" t="s">
        <v>195</v>
      </c>
      <c r="C88" s="8" t="s">
        <v>195</v>
      </c>
      <c r="D88" s="5" t="str">
        <f>LRTRIM(CONCATENATE(IF(SUMPRODUCT(-- ISNUMBER(SEARCH({"Auto Number"}, $B88))) &gt; 0, $B88, IF(SUMPRODUCT(-- ISNUMBER(SEARCH({"Lookup","Master-Detail"}, $B88))) &gt; 0,$B88 &amp; "(" &amp; $E88 &amp; ")",IF(SUMPRODUCT(-- ISNUMBER(SEARCH({"Formula","Roll-Up Summary"}, $B88))) &gt; 0,$B88 &amp; " (" &amp; $E88 &amp; ")",IF(SUMPRODUCT(-- ISNUMBER(SEARCH({"Content","Currency","Number","Percent","Text","URL"}, $B88))) &gt; 0,$B88 &amp; "(" &amp; $C88 &amp; ")",$B88)))), "  ", TRIM(IF($S88 = "YES", "(External ID)", "") &amp; " " &amp; IF(SUMPRODUCT(-- ISNUMBER(SEARCH({"Unique","Unique Case Insensitive"}, $R88))) &gt; 0, "(" &amp; $R88 &amp; ")", ""))))</f>
        <v>na</v>
      </c>
      <c r="E88" s="7" t="s">
        <v>195</v>
      </c>
      <c r="F88" s="7" t="s">
        <v>195</v>
      </c>
      <c r="G88" s="7" t="s">
        <v>195</v>
      </c>
      <c r="H88" s="7" t="s">
        <v>195</v>
      </c>
      <c r="I88" s="7" t="s">
        <v>195</v>
      </c>
      <c r="J88" s="7" t="s">
        <v>195</v>
      </c>
      <c r="K88" s="7" t="s">
        <v>195</v>
      </c>
      <c r="L88" s="7" t="s">
        <v>195</v>
      </c>
      <c r="M88" s="7" t="s">
        <v>29</v>
      </c>
      <c r="N88" s="7" t="s">
        <v>29</v>
      </c>
      <c r="O88" s="7" t="s">
        <v>29</v>
      </c>
      <c r="P88" s="7" t="s">
        <v>29</v>
      </c>
      <c r="Q88" s="7" t="s">
        <v>29</v>
      </c>
      <c r="R88" s="7" t="s">
        <v>29</v>
      </c>
      <c r="S88" s="7" t="s">
        <v>29</v>
      </c>
    </row>
    <row r="89" spans="2:19">
      <c r="B89" s="7" t="s">
        <v>195</v>
      </c>
      <c r="C89" s="8" t="s">
        <v>195</v>
      </c>
      <c r="D89" s="5" t="str">
        <f>LRTRIM(CONCATENATE(IF(SUMPRODUCT(-- ISNUMBER(SEARCH({"Auto Number"}, $B89))) &gt; 0, $B89, IF(SUMPRODUCT(-- ISNUMBER(SEARCH({"Lookup","Master-Detail"}, $B89))) &gt; 0,$B89 &amp; "(" &amp; $E89 &amp; ")",IF(SUMPRODUCT(-- ISNUMBER(SEARCH({"Formula","Roll-Up Summary"}, $B89))) &gt; 0,$B89 &amp; " (" &amp; $E89 &amp; ")",IF(SUMPRODUCT(-- ISNUMBER(SEARCH({"Content","Currency","Number","Percent","Text","URL"}, $B89))) &gt; 0,$B89 &amp; "(" &amp; $C89 &amp; ")",$B89)))), "  ", TRIM(IF($S89 = "YES", "(External ID)", "") &amp; " " &amp; IF(SUMPRODUCT(-- ISNUMBER(SEARCH({"Unique","Unique Case Insensitive"}, $R89))) &gt; 0, "(" &amp; $R89 &amp; ")", ""))))</f>
        <v>na</v>
      </c>
      <c r="E89" s="7" t="s">
        <v>195</v>
      </c>
      <c r="F89" s="7" t="s">
        <v>195</v>
      </c>
      <c r="G89" s="7" t="s">
        <v>195</v>
      </c>
      <c r="H89" s="7" t="s">
        <v>195</v>
      </c>
      <c r="I89" s="7" t="s">
        <v>195</v>
      </c>
      <c r="J89" s="7" t="s">
        <v>195</v>
      </c>
      <c r="K89" s="7" t="s">
        <v>195</v>
      </c>
      <c r="L89" s="7" t="s">
        <v>195</v>
      </c>
      <c r="M89" s="7" t="s">
        <v>29</v>
      </c>
      <c r="N89" s="7" t="s">
        <v>29</v>
      </c>
      <c r="O89" s="7" t="s">
        <v>29</v>
      </c>
      <c r="P89" s="7" t="s">
        <v>29</v>
      </c>
      <c r="Q89" s="7" t="s">
        <v>29</v>
      </c>
      <c r="R89" s="7" t="s">
        <v>29</v>
      </c>
      <c r="S89" s="7" t="s">
        <v>29</v>
      </c>
    </row>
    <row r="90" spans="2:19">
      <c r="B90" s="7" t="s">
        <v>195</v>
      </c>
      <c r="C90" s="8" t="s">
        <v>195</v>
      </c>
      <c r="D90" s="5" t="str">
        <f>LRTRIM(CONCATENATE(IF(SUMPRODUCT(-- ISNUMBER(SEARCH({"Auto Number"}, $B90))) &gt; 0, $B90, IF(SUMPRODUCT(-- ISNUMBER(SEARCH({"Lookup","Master-Detail"}, $B90))) &gt; 0,$B90 &amp; "(" &amp; $E90 &amp; ")",IF(SUMPRODUCT(-- ISNUMBER(SEARCH({"Formula","Roll-Up Summary"}, $B90))) &gt; 0,$B90 &amp; " (" &amp; $E90 &amp; ")",IF(SUMPRODUCT(-- ISNUMBER(SEARCH({"Content","Currency","Number","Percent","Text","URL"}, $B90))) &gt; 0,$B90 &amp; "(" &amp; $C90 &amp; ")",$B90)))), "  ", TRIM(IF($S90 = "YES", "(External ID)", "") &amp; " " &amp; IF(SUMPRODUCT(-- ISNUMBER(SEARCH({"Unique","Unique Case Insensitive"}, $R90))) &gt; 0, "(" &amp; $R90 &amp; ")", ""))))</f>
        <v>na</v>
      </c>
      <c r="E90" s="7" t="s">
        <v>195</v>
      </c>
      <c r="F90" s="7" t="s">
        <v>195</v>
      </c>
      <c r="G90" s="7" t="s">
        <v>195</v>
      </c>
      <c r="H90" s="7" t="s">
        <v>195</v>
      </c>
      <c r="I90" s="7" t="s">
        <v>195</v>
      </c>
      <c r="J90" s="7" t="s">
        <v>195</v>
      </c>
      <c r="K90" s="7" t="s">
        <v>195</v>
      </c>
      <c r="L90" s="7" t="s">
        <v>195</v>
      </c>
      <c r="M90" s="7" t="s">
        <v>29</v>
      </c>
      <c r="N90" s="7" t="s">
        <v>29</v>
      </c>
      <c r="O90" s="7" t="s">
        <v>29</v>
      </c>
      <c r="P90" s="7" t="s">
        <v>29</v>
      </c>
      <c r="Q90" s="7" t="s">
        <v>29</v>
      </c>
      <c r="R90" s="7" t="s">
        <v>29</v>
      </c>
      <c r="S90" s="7" t="s">
        <v>29</v>
      </c>
    </row>
    <row r="91" spans="2:19">
      <c r="B91" s="7" t="s">
        <v>195</v>
      </c>
      <c r="C91" s="8" t="s">
        <v>195</v>
      </c>
      <c r="D91" s="5" t="str">
        <f>LRTRIM(CONCATENATE(IF(SUMPRODUCT(-- ISNUMBER(SEARCH({"Auto Number"}, $B91))) &gt; 0, $B91, IF(SUMPRODUCT(-- ISNUMBER(SEARCH({"Lookup","Master-Detail"}, $B91))) &gt; 0,$B91 &amp; "(" &amp; $E91 &amp; ")",IF(SUMPRODUCT(-- ISNUMBER(SEARCH({"Formula","Roll-Up Summary"}, $B91))) &gt; 0,$B91 &amp; " (" &amp; $E91 &amp; ")",IF(SUMPRODUCT(-- ISNUMBER(SEARCH({"Content","Currency","Number","Percent","Text","URL"}, $B91))) &gt; 0,$B91 &amp; "(" &amp; $C91 &amp; ")",$B91)))), "  ", TRIM(IF($S91 = "YES", "(External ID)", "") &amp; " " &amp; IF(SUMPRODUCT(-- ISNUMBER(SEARCH({"Unique","Unique Case Insensitive"}, $R91))) &gt; 0, "(" &amp; $R91 &amp; ")", ""))))</f>
        <v>na</v>
      </c>
      <c r="E91" s="7" t="s">
        <v>195</v>
      </c>
      <c r="F91" s="7" t="s">
        <v>195</v>
      </c>
      <c r="G91" s="7" t="s">
        <v>195</v>
      </c>
      <c r="H91" s="7" t="s">
        <v>195</v>
      </c>
      <c r="I91" s="7" t="s">
        <v>195</v>
      </c>
      <c r="J91" s="7" t="s">
        <v>195</v>
      </c>
      <c r="K91" s="7" t="s">
        <v>195</v>
      </c>
      <c r="L91" s="7" t="s">
        <v>195</v>
      </c>
      <c r="M91" s="7" t="s">
        <v>29</v>
      </c>
      <c r="N91" s="7" t="s">
        <v>29</v>
      </c>
      <c r="O91" s="7" t="s">
        <v>29</v>
      </c>
      <c r="P91" s="7" t="s">
        <v>29</v>
      </c>
      <c r="Q91" s="7" t="s">
        <v>29</v>
      </c>
      <c r="R91" s="7" t="s">
        <v>29</v>
      </c>
      <c r="S91" s="7" t="s">
        <v>29</v>
      </c>
    </row>
    <row r="92" spans="2:19">
      <c r="B92" s="7" t="s">
        <v>195</v>
      </c>
      <c r="C92" s="8" t="s">
        <v>195</v>
      </c>
      <c r="D92" s="5" t="str">
        <f>LRTRIM(CONCATENATE(IF(SUMPRODUCT(-- ISNUMBER(SEARCH({"Auto Number"}, $B92))) &gt; 0, $B92, IF(SUMPRODUCT(-- ISNUMBER(SEARCH({"Lookup","Master-Detail"}, $B92))) &gt; 0,$B92 &amp; "(" &amp; $E92 &amp; ")",IF(SUMPRODUCT(-- ISNUMBER(SEARCH({"Formula","Roll-Up Summary"}, $B92))) &gt; 0,$B92 &amp; " (" &amp; $E92 &amp; ")",IF(SUMPRODUCT(-- ISNUMBER(SEARCH({"Content","Currency","Number","Percent","Text","URL"}, $B92))) &gt; 0,$B92 &amp; "(" &amp; $C92 &amp; ")",$B92)))), "  ", TRIM(IF($S92 = "YES", "(External ID)", "") &amp; " " &amp; IF(SUMPRODUCT(-- ISNUMBER(SEARCH({"Unique","Unique Case Insensitive"}, $R92))) &gt; 0, "(" &amp; $R92 &amp; ")", ""))))</f>
        <v>na</v>
      </c>
      <c r="E92" s="7" t="s">
        <v>195</v>
      </c>
      <c r="F92" s="7" t="s">
        <v>195</v>
      </c>
      <c r="G92" s="7" t="s">
        <v>195</v>
      </c>
      <c r="H92" s="7" t="s">
        <v>195</v>
      </c>
      <c r="I92" s="7" t="s">
        <v>195</v>
      </c>
      <c r="J92" s="7" t="s">
        <v>195</v>
      </c>
      <c r="K92" s="7" t="s">
        <v>195</v>
      </c>
      <c r="L92" s="7" t="s">
        <v>195</v>
      </c>
      <c r="M92" s="7" t="s">
        <v>29</v>
      </c>
      <c r="N92" s="7" t="s">
        <v>29</v>
      </c>
      <c r="O92" s="7" t="s">
        <v>29</v>
      </c>
      <c r="P92" s="7" t="s">
        <v>29</v>
      </c>
      <c r="Q92" s="7" t="s">
        <v>29</v>
      </c>
      <c r="R92" s="7" t="s">
        <v>29</v>
      </c>
      <c r="S92" s="7" t="s">
        <v>29</v>
      </c>
    </row>
    <row r="93" spans="2:19">
      <c r="B93" s="7" t="s">
        <v>195</v>
      </c>
      <c r="C93" s="8" t="s">
        <v>195</v>
      </c>
      <c r="D93" s="5" t="str">
        <f>LRTRIM(CONCATENATE(IF(SUMPRODUCT(-- ISNUMBER(SEARCH({"Auto Number"}, $B93))) &gt; 0, $B93, IF(SUMPRODUCT(-- ISNUMBER(SEARCH({"Lookup","Master-Detail"}, $B93))) &gt; 0,$B93 &amp; "(" &amp; $E93 &amp; ")",IF(SUMPRODUCT(-- ISNUMBER(SEARCH({"Formula","Roll-Up Summary"}, $B93))) &gt; 0,$B93 &amp; " (" &amp; $E93 &amp; ")",IF(SUMPRODUCT(-- ISNUMBER(SEARCH({"Content","Currency","Number","Percent","Text","URL"}, $B93))) &gt; 0,$B93 &amp; "(" &amp; $C93 &amp; ")",$B93)))), "  ", TRIM(IF($S93 = "YES", "(External ID)", "") &amp; " " &amp; IF(SUMPRODUCT(-- ISNUMBER(SEARCH({"Unique","Unique Case Insensitive"}, $R93))) &gt; 0, "(" &amp; $R93 &amp; ")", ""))))</f>
        <v>na</v>
      </c>
      <c r="E93" s="7" t="s">
        <v>195</v>
      </c>
      <c r="F93" s="7" t="s">
        <v>195</v>
      </c>
      <c r="G93" s="7" t="s">
        <v>195</v>
      </c>
      <c r="H93" s="7" t="s">
        <v>195</v>
      </c>
      <c r="I93" s="7" t="s">
        <v>195</v>
      </c>
      <c r="J93" s="7" t="s">
        <v>195</v>
      </c>
      <c r="K93" s="7" t="s">
        <v>195</v>
      </c>
      <c r="L93" s="7" t="s">
        <v>195</v>
      </c>
      <c r="M93" s="7" t="s">
        <v>29</v>
      </c>
      <c r="N93" s="7" t="s">
        <v>29</v>
      </c>
      <c r="O93" s="7" t="s">
        <v>29</v>
      </c>
      <c r="P93" s="7" t="s">
        <v>29</v>
      </c>
      <c r="Q93" s="7" t="s">
        <v>29</v>
      </c>
      <c r="R93" s="7" t="s">
        <v>29</v>
      </c>
      <c r="S93" s="7" t="s">
        <v>29</v>
      </c>
    </row>
    <row r="94" spans="2:19">
      <c r="B94" s="7" t="s">
        <v>195</v>
      </c>
      <c r="C94" s="8" t="s">
        <v>195</v>
      </c>
      <c r="D94" s="5" t="str">
        <f>LRTRIM(CONCATENATE(IF(SUMPRODUCT(-- ISNUMBER(SEARCH({"Auto Number"}, $B94))) &gt; 0, $B94, IF(SUMPRODUCT(-- ISNUMBER(SEARCH({"Lookup","Master-Detail"}, $B94))) &gt; 0,$B94 &amp; "(" &amp; $E94 &amp; ")",IF(SUMPRODUCT(-- ISNUMBER(SEARCH({"Formula","Roll-Up Summary"}, $B94))) &gt; 0,$B94 &amp; " (" &amp; $E94 &amp; ")",IF(SUMPRODUCT(-- ISNUMBER(SEARCH({"Content","Currency","Number","Percent","Text","URL"}, $B94))) &gt; 0,$B94 &amp; "(" &amp; $C94 &amp; ")",$B94)))), "  ", TRIM(IF($S94 = "YES", "(External ID)", "") &amp; " " &amp; IF(SUMPRODUCT(-- ISNUMBER(SEARCH({"Unique","Unique Case Insensitive"}, $R94))) &gt; 0, "(" &amp; $R94 &amp; ")", ""))))</f>
        <v>na</v>
      </c>
      <c r="E94" s="7" t="s">
        <v>195</v>
      </c>
      <c r="F94" s="7" t="s">
        <v>195</v>
      </c>
      <c r="G94" s="7" t="s">
        <v>195</v>
      </c>
      <c r="H94" s="7" t="s">
        <v>195</v>
      </c>
      <c r="I94" s="7" t="s">
        <v>195</v>
      </c>
      <c r="J94" s="7" t="s">
        <v>195</v>
      </c>
      <c r="K94" s="7" t="s">
        <v>195</v>
      </c>
      <c r="L94" s="7" t="s">
        <v>195</v>
      </c>
      <c r="M94" s="7" t="s">
        <v>29</v>
      </c>
      <c r="N94" s="7" t="s">
        <v>29</v>
      </c>
      <c r="O94" s="7" t="s">
        <v>29</v>
      </c>
      <c r="P94" s="7" t="s">
        <v>29</v>
      </c>
      <c r="Q94" s="7" t="s">
        <v>29</v>
      </c>
      <c r="R94" s="7" t="s">
        <v>29</v>
      </c>
      <c r="S94" s="7" t="s">
        <v>29</v>
      </c>
    </row>
    <row r="95" spans="2:19">
      <c r="B95" s="7" t="s">
        <v>195</v>
      </c>
      <c r="C95" s="8" t="s">
        <v>195</v>
      </c>
      <c r="D95" s="5" t="str">
        <f>LRTRIM(CONCATENATE(IF(SUMPRODUCT(-- ISNUMBER(SEARCH({"Auto Number"}, $B95))) &gt; 0, $B95, IF(SUMPRODUCT(-- ISNUMBER(SEARCH({"Lookup","Master-Detail"}, $B95))) &gt; 0,$B95 &amp; "(" &amp; $E95 &amp; ")",IF(SUMPRODUCT(-- ISNUMBER(SEARCH({"Formula","Roll-Up Summary"}, $B95))) &gt; 0,$B95 &amp; " (" &amp; $E95 &amp; ")",IF(SUMPRODUCT(-- ISNUMBER(SEARCH({"Content","Currency","Number","Percent","Text","URL"}, $B95))) &gt; 0,$B95 &amp; "(" &amp; $C95 &amp; ")",$B95)))), "  ", TRIM(IF($S95 = "YES", "(External ID)", "") &amp; " " &amp; IF(SUMPRODUCT(-- ISNUMBER(SEARCH({"Unique","Unique Case Insensitive"}, $R95))) &gt; 0, "(" &amp; $R95 &amp; ")", ""))))</f>
        <v>na</v>
      </c>
      <c r="E95" s="7" t="s">
        <v>195</v>
      </c>
      <c r="F95" s="7" t="s">
        <v>195</v>
      </c>
      <c r="G95" s="7" t="s">
        <v>195</v>
      </c>
      <c r="H95" s="7" t="s">
        <v>195</v>
      </c>
      <c r="I95" s="7" t="s">
        <v>195</v>
      </c>
      <c r="J95" s="7" t="s">
        <v>195</v>
      </c>
      <c r="K95" s="7" t="s">
        <v>195</v>
      </c>
      <c r="L95" s="7" t="s">
        <v>195</v>
      </c>
      <c r="M95" s="7" t="s">
        <v>29</v>
      </c>
      <c r="N95" s="7" t="s">
        <v>29</v>
      </c>
      <c r="O95" s="7" t="s">
        <v>29</v>
      </c>
      <c r="P95" s="7" t="s">
        <v>29</v>
      </c>
      <c r="Q95" s="7" t="s">
        <v>29</v>
      </c>
      <c r="R95" s="7" t="s">
        <v>29</v>
      </c>
      <c r="S95" s="7" t="s">
        <v>29</v>
      </c>
    </row>
    <row r="96" spans="2:19">
      <c r="B96" s="7" t="s">
        <v>195</v>
      </c>
      <c r="C96" s="8" t="s">
        <v>195</v>
      </c>
      <c r="D96" s="5" t="str">
        <f>LRTRIM(CONCATENATE(IF(SUMPRODUCT(-- ISNUMBER(SEARCH({"Auto Number"}, $B96))) &gt; 0, $B96, IF(SUMPRODUCT(-- ISNUMBER(SEARCH({"Lookup","Master-Detail"}, $B96))) &gt; 0,$B96 &amp; "(" &amp; $E96 &amp; ")",IF(SUMPRODUCT(-- ISNUMBER(SEARCH({"Formula","Roll-Up Summary"}, $B96))) &gt; 0,$B96 &amp; " (" &amp; $E96 &amp; ")",IF(SUMPRODUCT(-- ISNUMBER(SEARCH({"Content","Currency","Number","Percent","Text","URL"}, $B96))) &gt; 0,$B96 &amp; "(" &amp; $C96 &amp; ")",$B96)))), "  ", TRIM(IF($S96 = "YES", "(External ID)", "") &amp; " " &amp; IF(SUMPRODUCT(-- ISNUMBER(SEARCH({"Unique","Unique Case Insensitive"}, $R96))) &gt; 0, "(" &amp; $R96 &amp; ")", ""))))</f>
        <v>na</v>
      </c>
      <c r="E96" s="7" t="s">
        <v>195</v>
      </c>
      <c r="F96" s="7" t="s">
        <v>195</v>
      </c>
      <c r="G96" s="7" t="s">
        <v>195</v>
      </c>
      <c r="H96" s="7" t="s">
        <v>195</v>
      </c>
      <c r="I96" s="7" t="s">
        <v>195</v>
      </c>
      <c r="J96" s="7" t="s">
        <v>195</v>
      </c>
      <c r="K96" s="7" t="s">
        <v>195</v>
      </c>
      <c r="L96" s="7" t="s">
        <v>195</v>
      </c>
      <c r="M96" s="7" t="s">
        <v>29</v>
      </c>
      <c r="N96" s="7" t="s">
        <v>29</v>
      </c>
      <c r="O96" s="7" t="s">
        <v>29</v>
      </c>
      <c r="P96" s="7" t="s">
        <v>29</v>
      </c>
      <c r="Q96" s="7" t="s">
        <v>29</v>
      </c>
      <c r="R96" s="7" t="s">
        <v>29</v>
      </c>
      <c r="S96" s="7" t="s">
        <v>29</v>
      </c>
    </row>
    <row r="97" spans="2:19">
      <c r="B97" s="7" t="s">
        <v>195</v>
      </c>
      <c r="C97" s="8" t="s">
        <v>195</v>
      </c>
      <c r="D97" s="5" t="str">
        <f>LRTRIM(CONCATENATE(IF(SUMPRODUCT(-- ISNUMBER(SEARCH({"Auto Number"}, $B97))) &gt; 0, $B97, IF(SUMPRODUCT(-- ISNUMBER(SEARCH({"Lookup","Master-Detail"}, $B97))) &gt; 0,$B97 &amp; "(" &amp; $E97 &amp; ")",IF(SUMPRODUCT(-- ISNUMBER(SEARCH({"Formula","Roll-Up Summary"}, $B97))) &gt; 0,$B97 &amp; " (" &amp; $E97 &amp; ")",IF(SUMPRODUCT(-- ISNUMBER(SEARCH({"Content","Currency","Number","Percent","Text","URL"}, $B97))) &gt; 0,$B97 &amp; "(" &amp; $C97 &amp; ")",$B97)))), "  ", TRIM(IF($S97 = "YES", "(External ID)", "") &amp; " " &amp; IF(SUMPRODUCT(-- ISNUMBER(SEARCH({"Unique","Unique Case Insensitive"}, $R97))) &gt; 0, "(" &amp; $R97 &amp; ")", ""))))</f>
        <v>na</v>
      </c>
      <c r="E97" s="7" t="s">
        <v>195</v>
      </c>
      <c r="F97" s="7" t="s">
        <v>195</v>
      </c>
      <c r="G97" s="7" t="s">
        <v>195</v>
      </c>
      <c r="H97" s="7" t="s">
        <v>195</v>
      </c>
      <c r="I97" s="7" t="s">
        <v>195</v>
      </c>
      <c r="J97" s="7" t="s">
        <v>195</v>
      </c>
      <c r="K97" s="7" t="s">
        <v>195</v>
      </c>
      <c r="L97" s="7" t="s">
        <v>195</v>
      </c>
      <c r="M97" s="7" t="s">
        <v>29</v>
      </c>
      <c r="N97" s="7" t="s">
        <v>29</v>
      </c>
      <c r="O97" s="7" t="s">
        <v>29</v>
      </c>
      <c r="P97" s="7" t="s">
        <v>29</v>
      </c>
      <c r="Q97" s="7" t="s">
        <v>29</v>
      </c>
      <c r="R97" s="7" t="s">
        <v>29</v>
      </c>
      <c r="S97" s="7" t="s">
        <v>29</v>
      </c>
    </row>
    <row r="98" spans="2:19">
      <c r="B98" s="7" t="s">
        <v>195</v>
      </c>
      <c r="C98" s="8" t="s">
        <v>195</v>
      </c>
      <c r="D98" s="5" t="str">
        <f>LRTRIM(CONCATENATE(IF(SUMPRODUCT(-- ISNUMBER(SEARCH({"Auto Number"}, $B98))) &gt; 0, $B98, IF(SUMPRODUCT(-- ISNUMBER(SEARCH({"Lookup","Master-Detail"}, $B98))) &gt; 0,$B98 &amp; "(" &amp; $E98 &amp; ")",IF(SUMPRODUCT(-- ISNUMBER(SEARCH({"Formula","Roll-Up Summary"}, $B98))) &gt; 0,$B98 &amp; " (" &amp; $E98 &amp; ")",IF(SUMPRODUCT(-- ISNUMBER(SEARCH({"Content","Currency","Number","Percent","Text","URL"}, $B98))) &gt; 0,$B98 &amp; "(" &amp; $C98 &amp; ")",$B98)))), "  ", TRIM(IF($S98 = "YES", "(External ID)", "") &amp; " " &amp; IF(SUMPRODUCT(-- ISNUMBER(SEARCH({"Unique","Unique Case Insensitive"}, $R98))) &gt; 0, "(" &amp; $R98 &amp; ")", ""))))</f>
        <v>na</v>
      </c>
      <c r="E98" s="7" t="s">
        <v>195</v>
      </c>
      <c r="F98" s="7" t="s">
        <v>195</v>
      </c>
      <c r="G98" s="7" t="s">
        <v>195</v>
      </c>
      <c r="H98" s="7" t="s">
        <v>195</v>
      </c>
      <c r="I98" s="7" t="s">
        <v>195</v>
      </c>
      <c r="J98" s="7" t="s">
        <v>195</v>
      </c>
      <c r="K98" s="7" t="s">
        <v>195</v>
      </c>
      <c r="L98" s="7" t="s">
        <v>195</v>
      </c>
      <c r="M98" s="7" t="s">
        <v>29</v>
      </c>
      <c r="N98" s="7" t="s">
        <v>29</v>
      </c>
      <c r="O98" s="7" t="s">
        <v>29</v>
      </c>
      <c r="P98" s="7" t="s">
        <v>29</v>
      </c>
      <c r="Q98" s="7" t="s">
        <v>29</v>
      </c>
      <c r="R98" s="7" t="s">
        <v>29</v>
      </c>
      <c r="S98" s="7" t="s">
        <v>29</v>
      </c>
    </row>
    <row r="99" spans="2:19">
      <c r="B99" s="7" t="s">
        <v>195</v>
      </c>
      <c r="C99" s="8" t="s">
        <v>195</v>
      </c>
      <c r="D99" s="5" t="str">
        <f>LRTRIM(CONCATENATE(IF(SUMPRODUCT(-- ISNUMBER(SEARCH({"Auto Number"}, $B99))) &gt; 0, $B99, IF(SUMPRODUCT(-- ISNUMBER(SEARCH({"Lookup","Master-Detail"}, $B99))) &gt; 0,$B99 &amp; "(" &amp; $E99 &amp; ")",IF(SUMPRODUCT(-- ISNUMBER(SEARCH({"Formula","Roll-Up Summary"}, $B99))) &gt; 0,$B99 &amp; " (" &amp; $E99 &amp; ")",IF(SUMPRODUCT(-- ISNUMBER(SEARCH({"Content","Currency","Number","Percent","Text","URL"}, $B99))) &gt; 0,$B99 &amp; "(" &amp; $C99 &amp; ")",$B99)))), "  ", TRIM(IF($S99 = "YES", "(External ID)", "") &amp; " " &amp; IF(SUMPRODUCT(-- ISNUMBER(SEARCH({"Unique","Unique Case Insensitive"}, $R99))) &gt; 0, "(" &amp; $R99 &amp; ")", ""))))</f>
        <v>na</v>
      </c>
      <c r="E99" s="7" t="s">
        <v>195</v>
      </c>
      <c r="F99" s="7" t="s">
        <v>195</v>
      </c>
      <c r="G99" s="7" t="s">
        <v>195</v>
      </c>
      <c r="H99" s="7" t="s">
        <v>195</v>
      </c>
      <c r="I99" s="7" t="s">
        <v>195</v>
      </c>
      <c r="J99" s="7" t="s">
        <v>195</v>
      </c>
      <c r="K99" s="7" t="s">
        <v>195</v>
      </c>
      <c r="L99" s="7" t="s">
        <v>195</v>
      </c>
      <c r="M99" s="7" t="s">
        <v>29</v>
      </c>
      <c r="N99" s="7" t="s">
        <v>29</v>
      </c>
      <c r="O99" s="7" t="s">
        <v>29</v>
      </c>
      <c r="P99" s="7" t="s">
        <v>29</v>
      </c>
      <c r="Q99" s="7" t="s">
        <v>29</v>
      </c>
      <c r="R99" s="7" t="s">
        <v>29</v>
      </c>
      <c r="S99" s="7" t="s">
        <v>29</v>
      </c>
    </row>
    <row r="100" spans="2:19">
      <c r="B100" s="7" t="s">
        <v>195</v>
      </c>
      <c r="C100" s="8" t="s">
        <v>195</v>
      </c>
      <c r="D100" s="5" t="str">
        <f>LRTRIM(CONCATENATE(IF(SUMPRODUCT(-- ISNUMBER(SEARCH({"Auto Number"}, $B100))) &gt; 0, $B100, IF(SUMPRODUCT(-- ISNUMBER(SEARCH({"Lookup","Master-Detail"}, $B100))) &gt; 0,$B100 &amp; "(" &amp; $E100 &amp; ")",IF(SUMPRODUCT(-- ISNUMBER(SEARCH({"Formula","Roll-Up Summary"}, $B100))) &gt; 0,$B100 &amp; " (" &amp; $E100 &amp; ")",IF(SUMPRODUCT(-- ISNUMBER(SEARCH({"Content","Currency","Number","Percent","Text","URL"}, $B100))) &gt; 0,$B100 &amp; "(" &amp; $C100 &amp; ")",$B100)))), "  ", TRIM(IF($S100 = "YES", "(External ID)", "") &amp; " " &amp; IF(SUMPRODUCT(-- ISNUMBER(SEARCH({"Unique","Unique Case Insensitive"}, $R100))) &gt; 0, "(" &amp; $R100 &amp; ")", ""))))</f>
        <v>na</v>
      </c>
      <c r="E100" s="7" t="s">
        <v>195</v>
      </c>
      <c r="F100" s="7" t="s">
        <v>195</v>
      </c>
      <c r="G100" s="7" t="s">
        <v>195</v>
      </c>
      <c r="H100" s="7" t="s">
        <v>195</v>
      </c>
      <c r="I100" s="7" t="s">
        <v>195</v>
      </c>
      <c r="J100" s="7" t="s">
        <v>195</v>
      </c>
      <c r="K100" s="7" t="s">
        <v>195</v>
      </c>
      <c r="L100" s="7" t="s">
        <v>195</v>
      </c>
      <c r="M100" s="7" t="s">
        <v>29</v>
      </c>
      <c r="N100" s="7" t="s">
        <v>29</v>
      </c>
      <c r="O100" s="7" t="s">
        <v>29</v>
      </c>
      <c r="P100" s="7" t="s">
        <v>29</v>
      </c>
      <c r="Q100" s="7" t="s">
        <v>29</v>
      </c>
      <c r="R100" s="7" t="s">
        <v>29</v>
      </c>
      <c r="S100" s="7" t="s">
        <v>29</v>
      </c>
    </row>
    <row r="101" spans="2:19">
      <c r="B101" s="7" t="s">
        <v>195</v>
      </c>
      <c r="C101" s="8" t="s">
        <v>195</v>
      </c>
      <c r="D101" s="5" t="str">
        <f>LRTRIM(CONCATENATE(IF(SUMPRODUCT(-- ISNUMBER(SEARCH({"Auto Number"}, $B101))) &gt; 0, $B101, IF(SUMPRODUCT(-- ISNUMBER(SEARCH({"Lookup","Master-Detail"}, $B101))) &gt; 0,$B101 &amp; "(" &amp; $E101 &amp; ")",IF(SUMPRODUCT(-- ISNUMBER(SEARCH({"Formula","Roll-Up Summary"}, $B101))) &gt; 0,$B101 &amp; " (" &amp; $E101 &amp; ")",IF(SUMPRODUCT(-- ISNUMBER(SEARCH({"Content","Currency","Number","Percent","Text","URL"}, $B101))) &gt; 0,$B101 &amp; "(" &amp; $C101 &amp; ")",$B101)))), "  ", TRIM(IF($S101 = "YES", "(External ID)", "") &amp; " " &amp; IF(SUMPRODUCT(-- ISNUMBER(SEARCH({"Unique","Unique Case Insensitive"}, $R101))) &gt; 0, "(" &amp; $R101 &amp; ")", ""))))</f>
        <v>na</v>
      </c>
      <c r="E101" s="7" t="s">
        <v>195</v>
      </c>
      <c r="F101" s="7" t="s">
        <v>195</v>
      </c>
      <c r="G101" s="7" t="s">
        <v>195</v>
      </c>
      <c r="H101" s="7" t="s">
        <v>195</v>
      </c>
      <c r="I101" s="7" t="s">
        <v>195</v>
      </c>
      <c r="J101" s="7" t="s">
        <v>195</v>
      </c>
      <c r="K101" s="7" t="s">
        <v>195</v>
      </c>
      <c r="L101" s="7" t="s">
        <v>195</v>
      </c>
      <c r="M101" s="7" t="s">
        <v>29</v>
      </c>
      <c r="N101" s="7" t="s">
        <v>29</v>
      </c>
      <c r="O101" s="7" t="s">
        <v>29</v>
      </c>
      <c r="P101" s="7" t="s">
        <v>29</v>
      </c>
      <c r="Q101" s="7" t="s">
        <v>29</v>
      </c>
      <c r="R101" s="7" t="s">
        <v>29</v>
      </c>
      <c r="S101" s="7" t="s">
        <v>29</v>
      </c>
    </row>
    <row r="102" spans="2:19">
      <c r="B102" s="7" t="s">
        <v>195</v>
      </c>
      <c r="C102" s="8" t="s">
        <v>195</v>
      </c>
      <c r="D102" s="5" t="str">
        <f>LRTRIM(CONCATENATE(IF(SUMPRODUCT(-- ISNUMBER(SEARCH({"Auto Number"}, $B102))) &gt; 0, $B102, IF(SUMPRODUCT(-- ISNUMBER(SEARCH({"Lookup","Master-Detail"}, $B102))) &gt; 0,$B102 &amp; "(" &amp; $E102 &amp; ")",IF(SUMPRODUCT(-- ISNUMBER(SEARCH({"Formula","Roll-Up Summary"}, $B102))) &gt; 0,$B102 &amp; " (" &amp; $E102 &amp; ")",IF(SUMPRODUCT(-- ISNUMBER(SEARCH({"Content","Currency","Number","Percent","Text","URL"}, $B102))) &gt; 0,$B102 &amp; "(" &amp; $C102 &amp; ")",$B102)))), "  ", TRIM(IF($S102 = "YES", "(External ID)", "") &amp; " " &amp; IF(SUMPRODUCT(-- ISNUMBER(SEARCH({"Unique","Unique Case Insensitive"}, $R102))) &gt; 0, "(" &amp; $R102 &amp; ")", ""))))</f>
        <v>na</v>
      </c>
      <c r="E102" s="7" t="s">
        <v>195</v>
      </c>
      <c r="F102" s="7" t="s">
        <v>195</v>
      </c>
      <c r="G102" s="7" t="s">
        <v>195</v>
      </c>
      <c r="H102" s="7" t="s">
        <v>195</v>
      </c>
      <c r="I102" s="7" t="s">
        <v>195</v>
      </c>
      <c r="J102" s="7" t="s">
        <v>195</v>
      </c>
      <c r="K102" s="7" t="s">
        <v>195</v>
      </c>
      <c r="L102" s="7" t="s">
        <v>195</v>
      </c>
      <c r="M102" s="7" t="s">
        <v>29</v>
      </c>
      <c r="N102" s="7" t="s">
        <v>29</v>
      </c>
      <c r="O102" s="7" t="s">
        <v>29</v>
      </c>
      <c r="P102" s="7" t="s">
        <v>29</v>
      </c>
      <c r="Q102" s="7" t="s">
        <v>29</v>
      </c>
      <c r="R102" s="7" t="s">
        <v>29</v>
      </c>
      <c r="S102" s="7" t="s">
        <v>29</v>
      </c>
    </row>
    <row r="103" spans="2:19">
      <c r="B103" s="7" t="s">
        <v>195</v>
      </c>
      <c r="C103" s="8" t="s">
        <v>195</v>
      </c>
      <c r="D103" s="5" t="str">
        <f>LRTRIM(CONCATENATE(IF(SUMPRODUCT(-- ISNUMBER(SEARCH({"Auto Number"}, $B103))) &gt; 0, $B103, IF(SUMPRODUCT(-- ISNUMBER(SEARCH({"Lookup","Master-Detail"}, $B103))) &gt; 0,$B103 &amp; "(" &amp; $E103 &amp; ")",IF(SUMPRODUCT(-- ISNUMBER(SEARCH({"Formula","Roll-Up Summary"}, $B103))) &gt; 0,$B103 &amp; " (" &amp; $E103 &amp; ")",IF(SUMPRODUCT(-- ISNUMBER(SEARCH({"Content","Currency","Number","Percent","Text","URL"}, $B103))) &gt; 0,$B103 &amp; "(" &amp; $C103 &amp; ")",$B103)))), "  ", TRIM(IF($S103 = "YES", "(External ID)", "") &amp; " " &amp; IF(SUMPRODUCT(-- ISNUMBER(SEARCH({"Unique","Unique Case Insensitive"}, $R103))) &gt; 0, "(" &amp; $R103 &amp; ")", ""))))</f>
        <v>na</v>
      </c>
      <c r="E103" s="7" t="s">
        <v>195</v>
      </c>
      <c r="F103" s="7" t="s">
        <v>195</v>
      </c>
      <c r="G103" s="7" t="s">
        <v>195</v>
      </c>
      <c r="H103" s="7" t="s">
        <v>195</v>
      </c>
      <c r="I103" s="7" t="s">
        <v>195</v>
      </c>
      <c r="J103" s="7" t="s">
        <v>195</v>
      </c>
      <c r="K103" s="7" t="s">
        <v>195</v>
      </c>
      <c r="L103" s="7" t="s">
        <v>195</v>
      </c>
      <c r="M103" s="7" t="s">
        <v>29</v>
      </c>
      <c r="N103" s="7" t="s">
        <v>29</v>
      </c>
      <c r="O103" s="7" t="s">
        <v>29</v>
      </c>
      <c r="P103" s="7" t="s">
        <v>29</v>
      </c>
      <c r="Q103" s="7" t="s">
        <v>29</v>
      </c>
      <c r="R103" s="7" t="s">
        <v>29</v>
      </c>
      <c r="S103" s="7" t="s">
        <v>29</v>
      </c>
    </row>
    <row r="104" spans="2:19">
      <c r="B104" s="7" t="s">
        <v>195</v>
      </c>
      <c r="C104" s="8" t="s">
        <v>195</v>
      </c>
      <c r="D104" s="5" t="str">
        <f>LRTRIM(CONCATENATE(IF(SUMPRODUCT(-- ISNUMBER(SEARCH({"Auto Number"}, $B104))) &gt; 0, $B104, IF(SUMPRODUCT(-- ISNUMBER(SEARCH({"Lookup","Master-Detail"}, $B104))) &gt; 0,$B104 &amp; "(" &amp; $E104 &amp; ")",IF(SUMPRODUCT(-- ISNUMBER(SEARCH({"Formula","Roll-Up Summary"}, $B104))) &gt; 0,$B104 &amp; " (" &amp; $E104 &amp; ")",IF(SUMPRODUCT(-- ISNUMBER(SEARCH({"Content","Currency","Number","Percent","Text","URL"}, $B104))) &gt; 0,$B104 &amp; "(" &amp; $C104 &amp; ")",$B104)))), "  ", TRIM(IF($S104 = "YES", "(External ID)", "") &amp; " " &amp; IF(SUMPRODUCT(-- ISNUMBER(SEARCH({"Unique","Unique Case Insensitive"}, $R104))) &gt; 0, "(" &amp; $R104 &amp; ")", ""))))</f>
        <v>na</v>
      </c>
      <c r="E104" s="7" t="s">
        <v>195</v>
      </c>
      <c r="F104" s="7" t="s">
        <v>195</v>
      </c>
      <c r="G104" s="7" t="s">
        <v>195</v>
      </c>
      <c r="H104" s="7" t="s">
        <v>195</v>
      </c>
      <c r="I104" s="7" t="s">
        <v>195</v>
      </c>
      <c r="J104" s="7" t="s">
        <v>195</v>
      </c>
      <c r="K104" s="7" t="s">
        <v>195</v>
      </c>
      <c r="L104" s="7" t="s">
        <v>195</v>
      </c>
      <c r="M104" s="7" t="s">
        <v>29</v>
      </c>
      <c r="N104" s="7" t="s">
        <v>29</v>
      </c>
      <c r="O104" s="7" t="s">
        <v>29</v>
      </c>
      <c r="P104" s="7" t="s">
        <v>29</v>
      </c>
      <c r="Q104" s="7" t="s">
        <v>29</v>
      </c>
      <c r="R104" s="7" t="s">
        <v>29</v>
      </c>
      <c r="S104" s="7" t="s">
        <v>29</v>
      </c>
    </row>
    <row r="105" spans="2:19">
      <c r="B105" s="7" t="s">
        <v>195</v>
      </c>
      <c r="C105" s="8" t="s">
        <v>195</v>
      </c>
      <c r="D105" s="5" t="str">
        <f>LRTRIM(CONCATENATE(IF(SUMPRODUCT(-- ISNUMBER(SEARCH({"Auto Number"}, $B105))) &gt; 0, $B105, IF(SUMPRODUCT(-- ISNUMBER(SEARCH({"Lookup","Master-Detail"}, $B105))) &gt; 0,$B105 &amp; "(" &amp; $E105 &amp; ")",IF(SUMPRODUCT(-- ISNUMBER(SEARCH({"Formula","Roll-Up Summary"}, $B105))) &gt; 0,$B105 &amp; " (" &amp; $E105 &amp; ")",IF(SUMPRODUCT(-- ISNUMBER(SEARCH({"Content","Currency","Number","Percent","Text","URL"}, $B105))) &gt; 0,$B105 &amp; "(" &amp; $C105 &amp; ")",$B105)))), "  ", TRIM(IF($S105 = "YES", "(External ID)", "") &amp; " " &amp; IF(SUMPRODUCT(-- ISNUMBER(SEARCH({"Unique","Unique Case Insensitive"}, $R105))) &gt; 0, "(" &amp; $R105 &amp; ")", ""))))</f>
        <v>na</v>
      </c>
      <c r="E105" s="7" t="s">
        <v>195</v>
      </c>
      <c r="F105" s="7" t="s">
        <v>195</v>
      </c>
      <c r="G105" s="7" t="s">
        <v>195</v>
      </c>
      <c r="H105" s="7" t="s">
        <v>195</v>
      </c>
      <c r="I105" s="7" t="s">
        <v>195</v>
      </c>
      <c r="J105" s="7" t="s">
        <v>195</v>
      </c>
      <c r="K105" s="7" t="s">
        <v>195</v>
      </c>
      <c r="L105" s="7" t="s">
        <v>195</v>
      </c>
      <c r="M105" s="7" t="s">
        <v>29</v>
      </c>
      <c r="N105" s="7" t="s">
        <v>29</v>
      </c>
      <c r="O105" s="7" t="s">
        <v>29</v>
      </c>
      <c r="P105" s="7" t="s">
        <v>29</v>
      </c>
      <c r="Q105" s="7" t="s">
        <v>29</v>
      </c>
      <c r="R105" s="7" t="s">
        <v>29</v>
      </c>
      <c r="S105" s="7" t="s">
        <v>29</v>
      </c>
    </row>
    <row r="106" spans="2:19">
      <c r="B106" s="7" t="s">
        <v>195</v>
      </c>
      <c r="C106" s="8" t="s">
        <v>195</v>
      </c>
      <c r="D106" s="5" t="str">
        <f>LRTRIM(CONCATENATE(IF(SUMPRODUCT(-- ISNUMBER(SEARCH({"Auto Number"}, $B106))) &gt; 0, $B106, IF(SUMPRODUCT(-- ISNUMBER(SEARCH({"Lookup","Master-Detail"}, $B106))) &gt; 0,$B106 &amp; "(" &amp; $E106 &amp; ")",IF(SUMPRODUCT(-- ISNUMBER(SEARCH({"Formula","Roll-Up Summary"}, $B106))) &gt; 0,$B106 &amp; " (" &amp; $E106 &amp; ")",IF(SUMPRODUCT(-- ISNUMBER(SEARCH({"Content","Currency","Number","Percent","Text","URL"}, $B106))) &gt; 0,$B106 &amp; "(" &amp; $C106 &amp; ")",$B106)))), "  ", TRIM(IF($S106 = "YES", "(External ID)", "") &amp; " " &amp; IF(SUMPRODUCT(-- ISNUMBER(SEARCH({"Unique","Unique Case Insensitive"}, $R106))) &gt; 0, "(" &amp; $R106 &amp; ")", ""))))</f>
        <v>na</v>
      </c>
      <c r="E106" s="7" t="s">
        <v>195</v>
      </c>
      <c r="F106" s="7" t="s">
        <v>195</v>
      </c>
      <c r="G106" s="7" t="s">
        <v>195</v>
      </c>
      <c r="H106" s="7" t="s">
        <v>195</v>
      </c>
      <c r="I106" s="7" t="s">
        <v>195</v>
      </c>
      <c r="J106" s="7" t="s">
        <v>195</v>
      </c>
      <c r="K106" s="7" t="s">
        <v>195</v>
      </c>
      <c r="L106" s="7" t="s">
        <v>195</v>
      </c>
      <c r="M106" s="7" t="s">
        <v>29</v>
      </c>
      <c r="N106" s="7" t="s">
        <v>29</v>
      </c>
      <c r="O106" s="7" t="s">
        <v>29</v>
      </c>
      <c r="P106" s="7" t="s">
        <v>29</v>
      </c>
      <c r="Q106" s="7" t="s">
        <v>29</v>
      </c>
      <c r="R106" s="7" t="s">
        <v>29</v>
      </c>
      <c r="S106" s="7" t="s">
        <v>29</v>
      </c>
    </row>
    <row r="107" spans="2:19">
      <c r="B107" s="7" t="s">
        <v>195</v>
      </c>
      <c r="C107" s="8" t="s">
        <v>195</v>
      </c>
      <c r="D107" s="5" t="str">
        <f>LRTRIM(CONCATENATE(IF(SUMPRODUCT(-- ISNUMBER(SEARCH({"Auto Number"}, $B107))) &gt; 0, $B107, IF(SUMPRODUCT(-- ISNUMBER(SEARCH({"Lookup","Master-Detail"}, $B107))) &gt; 0,$B107 &amp; "(" &amp; $E107 &amp; ")",IF(SUMPRODUCT(-- ISNUMBER(SEARCH({"Formula","Roll-Up Summary"}, $B107))) &gt; 0,$B107 &amp; " (" &amp; $E107 &amp; ")",IF(SUMPRODUCT(-- ISNUMBER(SEARCH({"Content","Currency","Number","Percent","Text","URL"}, $B107))) &gt; 0,$B107 &amp; "(" &amp; $C107 &amp; ")",$B107)))), "  ", TRIM(IF($S107 = "YES", "(External ID)", "") &amp; " " &amp; IF(SUMPRODUCT(-- ISNUMBER(SEARCH({"Unique","Unique Case Insensitive"}, $R107))) &gt; 0, "(" &amp; $R107 &amp; ")", ""))))</f>
        <v>na</v>
      </c>
      <c r="E107" s="7" t="s">
        <v>195</v>
      </c>
      <c r="F107" s="7" t="s">
        <v>195</v>
      </c>
      <c r="G107" s="7" t="s">
        <v>195</v>
      </c>
      <c r="H107" s="7" t="s">
        <v>195</v>
      </c>
      <c r="I107" s="7" t="s">
        <v>195</v>
      </c>
      <c r="J107" s="7" t="s">
        <v>195</v>
      </c>
      <c r="K107" s="7" t="s">
        <v>195</v>
      </c>
      <c r="L107" s="7" t="s">
        <v>195</v>
      </c>
      <c r="M107" s="7" t="s">
        <v>29</v>
      </c>
      <c r="N107" s="7" t="s">
        <v>29</v>
      </c>
      <c r="O107" s="7" t="s">
        <v>29</v>
      </c>
      <c r="P107" s="7" t="s">
        <v>29</v>
      </c>
      <c r="Q107" s="7" t="s">
        <v>29</v>
      </c>
      <c r="R107" s="7" t="s">
        <v>29</v>
      </c>
      <c r="S107" s="7" t="s">
        <v>29</v>
      </c>
    </row>
    <row r="108" spans="2:19">
      <c r="B108" s="7" t="s">
        <v>195</v>
      </c>
      <c r="C108" s="8" t="s">
        <v>195</v>
      </c>
      <c r="D108" s="5" t="str">
        <f>LRTRIM(CONCATENATE(IF(SUMPRODUCT(-- ISNUMBER(SEARCH({"Auto Number"}, $B108))) &gt; 0, $B108, IF(SUMPRODUCT(-- ISNUMBER(SEARCH({"Lookup","Master-Detail"}, $B108))) &gt; 0,$B108 &amp; "(" &amp; $E108 &amp; ")",IF(SUMPRODUCT(-- ISNUMBER(SEARCH({"Formula","Roll-Up Summary"}, $B108))) &gt; 0,$B108 &amp; " (" &amp; $E108 &amp; ")",IF(SUMPRODUCT(-- ISNUMBER(SEARCH({"Content","Currency","Number","Percent","Text","URL"}, $B108))) &gt; 0,$B108 &amp; "(" &amp; $C108 &amp; ")",$B108)))), "  ", TRIM(IF($S108 = "YES", "(External ID)", "") &amp; " " &amp; IF(SUMPRODUCT(-- ISNUMBER(SEARCH({"Unique","Unique Case Insensitive"}, $R108))) &gt; 0, "(" &amp; $R108 &amp; ")", ""))))</f>
        <v>na</v>
      </c>
      <c r="E108" s="7" t="s">
        <v>195</v>
      </c>
      <c r="F108" s="7" t="s">
        <v>195</v>
      </c>
      <c r="G108" s="7" t="s">
        <v>195</v>
      </c>
      <c r="H108" s="7" t="s">
        <v>195</v>
      </c>
      <c r="I108" s="7" t="s">
        <v>195</v>
      </c>
      <c r="J108" s="7" t="s">
        <v>195</v>
      </c>
      <c r="K108" s="7" t="s">
        <v>195</v>
      </c>
      <c r="L108" s="7" t="s">
        <v>195</v>
      </c>
      <c r="M108" s="7" t="s">
        <v>29</v>
      </c>
      <c r="N108" s="7" t="s">
        <v>29</v>
      </c>
      <c r="O108" s="7" t="s">
        <v>29</v>
      </c>
      <c r="P108" s="7" t="s">
        <v>29</v>
      </c>
      <c r="Q108" s="7" t="s">
        <v>29</v>
      </c>
      <c r="R108" s="7" t="s">
        <v>29</v>
      </c>
      <c r="S108" s="7" t="s">
        <v>29</v>
      </c>
    </row>
    <row r="109" spans="2:19">
      <c r="B109" s="7" t="s">
        <v>195</v>
      </c>
      <c r="C109" s="8" t="s">
        <v>195</v>
      </c>
      <c r="D109" s="5" t="str">
        <f>LRTRIM(CONCATENATE(IF(SUMPRODUCT(-- ISNUMBER(SEARCH({"Auto Number"}, $B109))) &gt; 0, $B109, IF(SUMPRODUCT(-- ISNUMBER(SEARCH({"Lookup","Master-Detail"}, $B109))) &gt; 0,$B109 &amp; "(" &amp; $E109 &amp; ")",IF(SUMPRODUCT(-- ISNUMBER(SEARCH({"Formula","Roll-Up Summary"}, $B109))) &gt; 0,$B109 &amp; " (" &amp; $E109 &amp; ")",IF(SUMPRODUCT(-- ISNUMBER(SEARCH({"Content","Currency","Number","Percent","Text","URL"}, $B109))) &gt; 0,$B109 &amp; "(" &amp; $C109 &amp; ")",$B109)))), "  ", TRIM(IF($S109 = "YES", "(External ID)", "") &amp; " " &amp; IF(SUMPRODUCT(-- ISNUMBER(SEARCH({"Unique","Unique Case Insensitive"}, $R109))) &gt; 0, "(" &amp; $R109 &amp; ")", ""))))</f>
        <v>na</v>
      </c>
      <c r="E109" s="7" t="s">
        <v>195</v>
      </c>
      <c r="F109" s="7" t="s">
        <v>195</v>
      </c>
      <c r="G109" s="7" t="s">
        <v>195</v>
      </c>
      <c r="H109" s="7" t="s">
        <v>195</v>
      </c>
      <c r="I109" s="7" t="s">
        <v>195</v>
      </c>
      <c r="J109" s="7" t="s">
        <v>195</v>
      </c>
      <c r="K109" s="7" t="s">
        <v>195</v>
      </c>
      <c r="L109" s="7" t="s">
        <v>195</v>
      </c>
      <c r="M109" s="7" t="s">
        <v>29</v>
      </c>
      <c r="N109" s="7" t="s">
        <v>29</v>
      </c>
      <c r="O109" s="7" t="s">
        <v>29</v>
      </c>
      <c r="P109" s="7" t="s">
        <v>29</v>
      </c>
      <c r="Q109" s="7" t="s">
        <v>29</v>
      </c>
      <c r="R109" s="7" t="s">
        <v>29</v>
      </c>
      <c r="S109" s="7" t="s">
        <v>29</v>
      </c>
    </row>
    <row r="110" spans="2:19">
      <c r="B110" s="7" t="s">
        <v>195</v>
      </c>
      <c r="C110" s="8" t="s">
        <v>195</v>
      </c>
      <c r="D110" s="5" t="str">
        <f>LRTRIM(CONCATENATE(IF(SUMPRODUCT(-- ISNUMBER(SEARCH({"Auto Number"}, $B110))) &gt; 0, $B110, IF(SUMPRODUCT(-- ISNUMBER(SEARCH({"Lookup","Master-Detail"}, $B110))) &gt; 0,$B110 &amp; "(" &amp; $E110 &amp; ")",IF(SUMPRODUCT(-- ISNUMBER(SEARCH({"Formula","Roll-Up Summary"}, $B110))) &gt; 0,$B110 &amp; " (" &amp; $E110 &amp; ")",IF(SUMPRODUCT(-- ISNUMBER(SEARCH({"Content","Currency","Number","Percent","Text","URL"}, $B110))) &gt; 0,$B110 &amp; "(" &amp; $C110 &amp; ")",$B110)))), "  ", TRIM(IF($S110 = "YES", "(External ID)", "") &amp; " " &amp; IF(SUMPRODUCT(-- ISNUMBER(SEARCH({"Unique","Unique Case Insensitive"}, $R110))) &gt; 0, "(" &amp; $R110 &amp; ")", ""))))</f>
        <v>na</v>
      </c>
      <c r="E110" s="7" t="s">
        <v>195</v>
      </c>
      <c r="F110" s="7" t="s">
        <v>195</v>
      </c>
      <c r="G110" s="7" t="s">
        <v>195</v>
      </c>
      <c r="H110" s="7" t="s">
        <v>195</v>
      </c>
      <c r="I110" s="7" t="s">
        <v>195</v>
      </c>
      <c r="J110" s="7" t="s">
        <v>195</v>
      </c>
      <c r="K110" s="7" t="s">
        <v>195</v>
      </c>
      <c r="L110" s="7" t="s">
        <v>195</v>
      </c>
      <c r="M110" s="7" t="s">
        <v>29</v>
      </c>
      <c r="N110" s="7" t="s">
        <v>29</v>
      </c>
      <c r="O110" s="7" t="s">
        <v>29</v>
      </c>
      <c r="P110" s="7" t="s">
        <v>29</v>
      </c>
      <c r="Q110" s="7" t="s">
        <v>29</v>
      </c>
      <c r="R110" s="7" t="s">
        <v>29</v>
      </c>
      <c r="S110" s="7" t="s">
        <v>29</v>
      </c>
    </row>
    <row r="111" spans="2:19">
      <c r="B111" s="7" t="s">
        <v>195</v>
      </c>
      <c r="C111" s="8" t="s">
        <v>195</v>
      </c>
      <c r="D111" s="5" t="str">
        <f>LRTRIM(CONCATENATE(IF(SUMPRODUCT(-- ISNUMBER(SEARCH({"Auto Number"}, $B111))) &gt; 0, $B111, IF(SUMPRODUCT(-- ISNUMBER(SEARCH({"Lookup","Master-Detail"}, $B111))) &gt; 0,$B111 &amp; "(" &amp; $E111 &amp; ")",IF(SUMPRODUCT(-- ISNUMBER(SEARCH({"Formula","Roll-Up Summary"}, $B111))) &gt; 0,$B111 &amp; " (" &amp; $E111 &amp; ")",IF(SUMPRODUCT(-- ISNUMBER(SEARCH({"Content","Currency","Number","Percent","Text","URL"}, $B111))) &gt; 0,$B111 &amp; "(" &amp; $C111 &amp; ")",$B111)))), "  ", TRIM(IF($S111 = "YES", "(External ID)", "") &amp; " " &amp; IF(SUMPRODUCT(-- ISNUMBER(SEARCH({"Unique","Unique Case Insensitive"}, $R111))) &gt; 0, "(" &amp; $R111 &amp; ")", ""))))</f>
        <v>na</v>
      </c>
      <c r="E111" s="7" t="s">
        <v>195</v>
      </c>
      <c r="F111" s="7" t="s">
        <v>195</v>
      </c>
      <c r="G111" s="7" t="s">
        <v>195</v>
      </c>
      <c r="H111" s="7" t="s">
        <v>195</v>
      </c>
      <c r="I111" s="7" t="s">
        <v>195</v>
      </c>
      <c r="J111" s="7" t="s">
        <v>195</v>
      </c>
      <c r="K111" s="7" t="s">
        <v>195</v>
      </c>
      <c r="L111" s="7" t="s">
        <v>195</v>
      </c>
      <c r="M111" s="7" t="s">
        <v>29</v>
      </c>
      <c r="N111" s="7" t="s">
        <v>29</v>
      </c>
      <c r="O111" s="7" t="s">
        <v>29</v>
      </c>
      <c r="P111" s="7" t="s">
        <v>29</v>
      </c>
      <c r="Q111" s="7" t="s">
        <v>29</v>
      </c>
      <c r="R111" s="7" t="s">
        <v>29</v>
      </c>
      <c r="S111" s="7" t="s">
        <v>29</v>
      </c>
    </row>
    <row r="112" spans="2:19">
      <c r="B112" s="7" t="s">
        <v>195</v>
      </c>
      <c r="C112" s="8" t="s">
        <v>195</v>
      </c>
      <c r="D112" s="5" t="str">
        <f>LRTRIM(CONCATENATE(IF(SUMPRODUCT(-- ISNUMBER(SEARCH({"Auto Number"}, $B112))) &gt; 0, $B112, IF(SUMPRODUCT(-- ISNUMBER(SEARCH({"Lookup","Master-Detail"}, $B112))) &gt; 0,$B112 &amp; "(" &amp; $E112 &amp; ")",IF(SUMPRODUCT(-- ISNUMBER(SEARCH({"Formula","Roll-Up Summary"}, $B112))) &gt; 0,$B112 &amp; " (" &amp; $E112 &amp; ")",IF(SUMPRODUCT(-- ISNUMBER(SEARCH({"Content","Currency","Number","Percent","Text","URL"}, $B112))) &gt; 0,$B112 &amp; "(" &amp; $C112 &amp; ")",$B112)))), "  ", TRIM(IF($S112 = "YES", "(External ID)", "") &amp; " " &amp; IF(SUMPRODUCT(-- ISNUMBER(SEARCH({"Unique","Unique Case Insensitive"}, $R112))) &gt; 0, "(" &amp; $R112 &amp; ")", ""))))</f>
        <v>na</v>
      </c>
      <c r="E112" s="7" t="s">
        <v>195</v>
      </c>
      <c r="F112" s="7" t="s">
        <v>195</v>
      </c>
      <c r="G112" s="7" t="s">
        <v>195</v>
      </c>
      <c r="H112" s="7" t="s">
        <v>195</v>
      </c>
      <c r="I112" s="7" t="s">
        <v>195</v>
      </c>
      <c r="J112" s="7" t="s">
        <v>195</v>
      </c>
      <c r="K112" s="7" t="s">
        <v>195</v>
      </c>
      <c r="L112" s="7" t="s">
        <v>195</v>
      </c>
      <c r="M112" s="7" t="s">
        <v>29</v>
      </c>
      <c r="N112" s="7" t="s">
        <v>29</v>
      </c>
      <c r="O112" s="7" t="s">
        <v>29</v>
      </c>
      <c r="P112" s="7" t="s">
        <v>29</v>
      </c>
      <c r="Q112" s="7" t="s">
        <v>29</v>
      </c>
      <c r="R112" s="7" t="s">
        <v>29</v>
      </c>
      <c r="S112" s="7" t="s">
        <v>29</v>
      </c>
    </row>
    <row r="113" spans="2:19">
      <c r="B113" s="7" t="s">
        <v>195</v>
      </c>
      <c r="C113" s="8" t="s">
        <v>195</v>
      </c>
      <c r="D113" s="5" t="str">
        <f>LRTRIM(CONCATENATE(IF(SUMPRODUCT(-- ISNUMBER(SEARCH({"Auto Number"}, $B113))) &gt; 0, $B113, IF(SUMPRODUCT(-- ISNUMBER(SEARCH({"Lookup","Master-Detail"}, $B113))) &gt; 0,$B113 &amp; "(" &amp; $E113 &amp; ")",IF(SUMPRODUCT(-- ISNUMBER(SEARCH({"Formula","Roll-Up Summary"}, $B113))) &gt; 0,$B113 &amp; " (" &amp; $E113 &amp; ")",IF(SUMPRODUCT(-- ISNUMBER(SEARCH({"Content","Currency","Number","Percent","Text","URL"}, $B113))) &gt; 0,$B113 &amp; "(" &amp; $C113 &amp; ")",$B113)))), "  ", TRIM(IF($S113 = "YES", "(External ID)", "") &amp; " " &amp; IF(SUMPRODUCT(-- ISNUMBER(SEARCH({"Unique","Unique Case Insensitive"}, $R113))) &gt; 0, "(" &amp; $R113 &amp; ")", ""))))</f>
        <v>na</v>
      </c>
      <c r="E113" s="7" t="s">
        <v>195</v>
      </c>
      <c r="F113" s="7" t="s">
        <v>195</v>
      </c>
      <c r="G113" s="7" t="s">
        <v>195</v>
      </c>
      <c r="H113" s="7" t="s">
        <v>195</v>
      </c>
      <c r="I113" s="7" t="s">
        <v>195</v>
      </c>
      <c r="J113" s="7" t="s">
        <v>195</v>
      </c>
      <c r="K113" s="7" t="s">
        <v>195</v>
      </c>
      <c r="L113" s="7" t="s">
        <v>195</v>
      </c>
      <c r="M113" s="7" t="s">
        <v>29</v>
      </c>
      <c r="N113" s="7" t="s">
        <v>29</v>
      </c>
      <c r="O113" s="7" t="s">
        <v>29</v>
      </c>
      <c r="P113" s="7" t="s">
        <v>29</v>
      </c>
      <c r="Q113" s="7" t="s">
        <v>29</v>
      </c>
      <c r="R113" s="7" t="s">
        <v>29</v>
      </c>
      <c r="S113" s="7" t="s">
        <v>29</v>
      </c>
    </row>
    <row r="114" spans="2:19">
      <c r="B114" s="7" t="s">
        <v>195</v>
      </c>
      <c r="C114" s="8" t="s">
        <v>195</v>
      </c>
      <c r="D114" s="5" t="str">
        <f>LRTRIM(CONCATENATE(IF(SUMPRODUCT(-- ISNUMBER(SEARCH({"Auto Number"}, $B114))) &gt; 0, $B114, IF(SUMPRODUCT(-- ISNUMBER(SEARCH({"Lookup","Master-Detail"}, $B114))) &gt; 0,$B114 &amp; "(" &amp; $E114 &amp; ")",IF(SUMPRODUCT(-- ISNUMBER(SEARCH({"Formula","Roll-Up Summary"}, $B114))) &gt; 0,$B114 &amp; " (" &amp; $E114 &amp; ")",IF(SUMPRODUCT(-- ISNUMBER(SEARCH({"Content","Currency","Number","Percent","Text","URL"}, $B114))) &gt; 0,$B114 &amp; "(" &amp; $C114 &amp; ")",$B114)))), "  ", TRIM(IF($S114 = "YES", "(External ID)", "") &amp; " " &amp; IF(SUMPRODUCT(-- ISNUMBER(SEARCH({"Unique","Unique Case Insensitive"}, $R114))) &gt; 0, "(" &amp; $R114 &amp; ")", ""))))</f>
        <v>na</v>
      </c>
      <c r="E114" s="7" t="s">
        <v>195</v>
      </c>
      <c r="F114" s="7" t="s">
        <v>195</v>
      </c>
      <c r="G114" s="7" t="s">
        <v>195</v>
      </c>
      <c r="H114" s="7" t="s">
        <v>195</v>
      </c>
      <c r="I114" s="7" t="s">
        <v>195</v>
      </c>
      <c r="J114" s="7" t="s">
        <v>195</v>
      </c>
      <c r="K114" s="7" t="s">
        <v>195</v>
      </c>
      <c r="L114" s="7" t="s">
        <v>195</v>
      </c>
      <c r="M114" s="7" t="s">
        <v>29</v>
      </c>
      <c r="N114" s="7" t="s">
        <v>29</v>
      </c>
      <c r="O114" s="7" t="s">
        <v>29</v>
      </c>
      <c r="P114" s="7" t="s">
        <v>29</v>
      </c>
      <c r="Q114" s="7" t="s">
        <v>29</v>
      </c>
      <c r="R114" s="7" t="s">
        <v>29</v>
      </c>
      <c r="S114" s="7" t="s">
        <v>29</v>
      </c>
    </row>
    <row r="115" spans="2:19">
      <c r="B115" s="7" t="s">
        <v>195</v>
      </c>
      <c r="C115" s="8" t="s">
        <v>195</v>
      </c>
      <c r="D115" s="5" t="str">
        <f>LRTRIM(CONCATENATE(IF(SUMPRODUCT(-- ISNUMBER(SEARCH({"Auto Number"}, $B115))) &gt; 0, $B115, IF(SUMPRODUCT(-- ISNUMBER(SEARCH({"Lookup","Master-Detail"}, $B115))) &gt; 0,$B115 &amp; "(" &amp; $E115 &amp; ")",IF(SUMPRODUCT(-- ISNUMBER(SEARCH({"Formula","Roll-Up Summary"}, $B115))) &gt; 0,$B115 &amp; " (" &amp; $E115 &amp; ")",IF(SUMPRODUCT(-- ISNUMBER(SEARCH({"Content","Currency","Number","Percent","Text","URL"}, $B115))) &gt; 0,$B115 &amp; "(" &amp; $C115 &amp; ")",$B115)))), "  ", TRIM(IF($S115 = "YES", "(External ID)", "") &amp; " " &amp; IF(SUMPRODUCT(-- ISNUMBER(SEARCH({"Unique","Unique Case Insensitive"}, $R115))) &gt; 0, "(" &amp; $R115 &amp; ")", ""))))</f>
        <v>na</v>
      </c>
      <c r="E115" s="7" t="s">
        <v>195</v>
      </c>
      <c r="F115" s="7" t="s">
        <v>195</v>
      </c>
      <c r="G115" s="7" t="s">
        <v>195</v>
      </c>
      <c r="H115" s="7" t="s">
        <v>195</v>
      </c>
      <c r="I115" s="7" t="s">
        <v>195</v>
      </c>
      <c r="J115" s="7" t="s">
        <v>195</v>
      </c>
      <c r="K115" s="7" t="s">
        <v>195</v>
      </c>
      <c r="L115" s="7" t="s">
        <v>195</v>
      </c>
      <c r="M115" s="7" t="s">
        <v>29</v>
      </c>
      <c r="N115" s="7" t="s">
        <v>29</v>
      </c>
      <c r="O115" s="7" t="s">
        <v>29</v>
      </c>
      <c r="P115" s="7" t="s">
        <v>29</v>
      </c>
      <c r="Q115" s="7" t="s">
        <v>29</v>
      </c>
      <c r="R115" s="7" t="s">
        <v>29</v>
      </c>
      <c r="S115" s="7" t="s">
        <v>29</v>
      </c>
    </row>
    <row r="116" spans="2:19">
      <c r="B116" s="7" t="s">
        <v>195</v>
      </c>
      <c r="C116" s="8" t="s">
        <v>195</v>
      </c>
      <c r="D116" s="5" t="str">
        <f>LRTRIM(CONCATENATE(IF(SUMPRODUCT(-- ISNUMBER(SEARCH({"Auto Number"}, $B116))) &gt; 0, $B116, IF(SUMPRODUCT(-- ISNUMBER(SEARCH({"Lookup","Master-Detail"}, $B116))) &gt; 0,$B116 &amp; "(" &amp; $E116 &amp; ")",IF(SUMPRODUCT(-- ISNUMBER(SEARCH({"Formula","Roll-Up Summary"}, $B116))) &gt; 0,$B116 &amp; " (" &amp; $E116 &amp; ")",IF(SUMPRODUCT(-- ISNUMBER(SEARCH({"Content","Currency","Number","Percent","Text","URL"}, $B116))) &gt; 0,$B116 &amp; "(" &amp; $C116 &amp; ")",$B116)))), "  ", TRIM(IF($S116 = "YES", "(External ID)", "") &amp; " " &amp; IF(SUMPRODUCT(-- ISNUMBER(SEARCH({"Unique","Unique Case Insensitive"}, $R116))) &gt; 0, "(" &amp; $R116 &amp; ")", ""))))</f>
        <v>na</v>
      </c>
      <c r="E116" s="7" t="s">
        <v>195</v>
      </c>
      <c r="F116" s="7" t="s">
        <v>195</v>
      </c>
      <c r="G116" s="7" t="s">
        <v>195</v>
      </c>
      <c r="H116" s="7" t="s">
        <v>195</v>
      </c>
      <c r="I116" s="7" t="s">
        <v>195</v>
      </c>
      <c r="J116" s="7" t="s">
        <v>195</v>
      </c>
      <c r="K116" s="7" t="s">
        <v>195</v>
      </c>
      <c r="L116" s="7" t="s">
        <v>195</v>
      </c>
      <c r="M116" s="7" t="s">
        <v>29</v>
      </c>
      <c r="N116" s="7" t="s">
        <v>29</v>
      </c>
      <c r="O116" s="7" t="s">
        <v>29</v>
      </c>
      <c r="P116" s="7" t="s">
        <v>29</v>
      </c>
      <c r="Q116" s="7" t="s">
        <v>29</v>
      </c>
      <c r="R116" s="7" t="s">
        <v>29</v>
      </c>
      <c r="S116" s="7" t="s">
        <v>29</v>
      </c>
    </row>
    <row r="117" spans="2:19">
      <c r="B117" s="7" t="s">
        <v>195</v>
      </c>
      <c r="C117" s="8" t="s">
        <v>195</v>
      </c>
      <c r="D117" s="5" t="str">
        <f>LRTRIM(CONCATENATE(IF(SUMPRODUCT(-- ISNUMBER(SEARCH({"Auto Number"}, $B117))) &gt; 0, $B117, IF(SUMPRODUCT(-- ISNUMBER(SEARCH({"Lookup","Master-Detail"}, $B117))) &gt; 0,$B117 &amp; "(" &amp; $E117 &amp; ")",IF(SUMPRODUCT(-- ISNUMBER(SEARCH({"Formula","Roll-Up Summary"}, $B117))) &gt; 0,$B117 &amp; " (" &amp; $E117 &amp; ")",IF(SUMPRODUCT(-- ISNUMBER(SEARCH({"Content","Currency","Number","Percent","Text","URL"}, $B117))) &gt; 0,$B117 &amp; "(" &amp; $C117 &amp; ")",$B117)))), "  ", TRIM(IF($S117 = "YES", "(External ID)", "") &amp; " " &amp; IF(SUMPRODUCT(-- ISNUMBER(SEARCH({"Unique","Unique Case Insensitive"}, $R117))) &gt; 0, "(" &amp; $R117 &amp; ")", ""))))</f>
        <v>na</v>
      </c>
      <c r="E117" s="7" t="s">
        <v>195</v>
      </c>
      <c r="F117" s="7" t="s">
        <v>195</v>
      </c>
      <c r="G117" s="7" t="s">
        <v>195</v>
      </c>
      <c r="H117" s="7" t="s">
        <v>195</v>
      </c>
      <c r="I117" s="7" t="s">
        <v>195</v>
      </c>
      <c r="J117" s="7" t="s">
        <v>195</v>
      </c>
      <c r="K117" s="7" t="s">
        <v>195</v>
      </c>
      <c r="L117" s="7" t="s">
        <v>195</v>
      </c>
      <c r="M117" s="7" t="s">
        <v>29</v>
      </c>
      <c r="N117" s="7" t="s">
        <v>29</v>
      </c>
      <c r="O117" s="7" t="s">
        <v>29</v>
      </c>
      <c r="P117" s="7" t="s">
        <v>29</v>
      </c>
      <c r="Q117" s="7" t="s">
        <v>29</v>
      </c>
      <c r="R117" s="7" t="s">
        <v>29</v>
      </c>
      <c r="S117" s="7" t="s">
        <v>29</v>
      </c>
    </row>
    <row r="118" spans="2:19">
      <c r="B118" s="7" t="s">
        <v>195</v>
      </c>
      <c r="C118" s="8" t="s">
        <v>195</v>
      </c>
      <c r="D118" s="5" t="str">
        <f>LRTRIM(CONCATENATE(IF(SUMPRODUCT(-- ISNUMBER(SEARCH({"Auto Number"}, $B118))) &gt; 0, $B118, IF(SUMPRODUCT(-- ISNUMBER(SEARCH({"Lookup","Master-Detail"}, $B118))) &gt; 0,$B118 &amp; "(" &amp; $E118 &amp; ")",IF(SUMPRODUCT(-- ISNUMBER(SEARCH({"Formula","Roll-Up Summary"}, $B118))) &gt; 0,$B118 &amp; " (" &amp; $E118 &amp; ")",IF(SUMPRODUCT(-- ISNUMBER(SEARCH({"Content","Currency","Number","Percent","Text","URL"}, $B118))) &gt; 0,$B118 &amp; "(" &amp; $C118 &amp; ")",$B118)))), "  ", TRIM(IF($S118 = "YES", "(External ID)", "") &amp; " " &amp; IF(SUMPRODUCT(-- ISNUMBER(SEARCH({"Unique","Unique Case Insensitive"}, $R118))) &gt; 0, "(" &amp; $R118 &amp; ")", ""))))</f>
        <v>na</v>
      </c>
      <c r="E118" s="7" t="s">
        <v>195</v>
      </c>
      <c r="F118" s="7" t="s">
        <v>195</v>
      </c>
      <c r="G118" s="7" t="s">
        <v>195</v>
      </c>
      <c r="H118" s="7" t="s">
        <v>195</v>
      </c>
      <c r="I118" s="7" t="s">
        <v>195</v>
      </c>
      <c r="J118" s="7" t="s">
        <v>195</v>
      </c>
      <c r="K118" s="7" t="s">
        <v>195</v>
      </c>
      <c r="L118" s="7" t="s">
        <v>195</v>
      </c>
      <c r="M118" s="7" t="s">
        <v>29</v>
      </c>
      <c r="N118" s="7" t="s">
        <v>29</v>
      </c>
      <c r="O118" s="7" t="s">
        <v>29</v>
      </c>
      <c r="P118" s="7" t="s">
        <v>29</v>
      </c>
      <c r="Q118" s="7" t="s">
        <v>29</v>
      </c>
      <c r="R118" s="7" t="s">
        <v>29</v>
      </c>
      <c r="S118" s="7" t="s">
        <v>29</v>
      </c>
    </row>
    <row r="119" spans="2:19">
      <c r="B119" s="7" t="s">
        <v>195</v>
      </c>
      <c r="C119" s="8" t="s">
        <v>195</v>
      </c>
      <c r="D119" s="5" t="str">
        <f>LRTRIM(CONCATENATE(IF(SUMPRODUCT(-- ISNUMBER(SEARCH({"Auto Number"}, $B119))) &gt; 0, $B119, IF(SUMPRODUCT(-- ISNUMBER(SEARCH({"Lookup","Master-Detail"}, $B119))) &gt; 0,$B119 &amp; "(" &amp; $E119 &amp; ")",IF(SUMPRODUCT(-- ISNUMBER(SEARCH({"Formula","Roll-Up Summary"}, $B119))) &gt; 0,$B119 &amp; " (" &amp; $E119 &amp; ")",IF(SUMPRODUCT(-- ISNUMBER(SEARCH({"Content","Currency","Number","Percent","Text","URL"}, $B119))) &gt; 0,$B119 &amp; "(" &amp; $C119 &amp; ")",$B119)))), "  ", TRIM(IF($S119 = "YES", "(External ID)", "") &amp; " " &amp; IF(SUMPRODUCT(-- ISNUMBER(SEARCH({"Unique","Unique Case Insensitive"}, $R119))) &gt; 0, "(" &amp; $R119 &amp; ")", ""))))</f>
        <v>na</v>
      </c>
      <c r="E119" s="7" t="s">
        <v>195</v>
      </c>
      <c r="F119" s="7" t="s">
        <v>195</v>
      </c>
      <c r="G119" s="7" t="s">
        <v>195</v>
      </c>
      <c r="H119" s="7" t="s">
        <v>195</v>
      </c>
      <c r="I119" s="7" t="s">
        <v>195</v>
      </c>
      <c r="J119" s="7" t="s">
        <v>195</v>
      </c>
      <c r="K119" s="7" t="s">
        <v>195</v>
      </c>
      <c r="L119" s="7" t="s">
        <v>195</v>
      </c>
      <c r="M119" s="7" t="s">
        <v>29</v>
      </c>
      <c r="N119" s="7" t="s">
        <v>29</v>
      </c>
      <c r="O119" s="7" t="s">
        <v>29</v>
      </c>
      <c r="P119" s="7" t="s">
        <v>29</v>
      </c>
      <c r="Q119" s="7" t="s">
        <v>29</v>
      </c>
      <c r="R119" s="7" t="s">
        <v>29</v>
      </c>
      <c r="S119" s="7" t="s">
        <v>29</v>
      </c>
    </row>
    <row r="120" spans="2:19">
      <c r="B120" s="7" t="s">
        <v>195</v>
      </c>
      <c r="C120" s="8" t="s">
        <v>195</v>
      </c>
      <c r="D120" s="5" t="str">
        <f>LRTRIM(CONCATENATE(IF(SUMPRODUCT(-- ISNUMBER(SEARCH({"Auto Number"}, $B120))) &gt; 0, $B120, IF(SUMPRODUCT(-- ISNUMBER(SEARCH({"Lookup","Master-Detail"}, $B120))) &gt; 0,$B120 &amp; "(" &amp; $E120 &amp; ")",IF(SUMPRODUCT(-- ISNUMBER(SEARCH({"Formula","Roll-Up Summary"}, $B120))) &gt; 0,$B120 &amp; " (" &amp; $E120 &amp; ")",IF(SUMPRODUCT(-- ISNUMBER(SEARCH({"Content","Currency","Number","Percent","Text","URL"}, $B120))) &gt; 0,$B120 &amp; "(" &amp; $C120 &amp; ")",$B120)))), "  ", TRIM(IF($S120 = "YES", "(External ID)", "") &amp; " " &amp; IF(SUMPRODUCT(-- ISNUMBER(SEARCH({"Unique","Unique Case Insensitive"}, $R120))) &gt; 0, "(" &amp; $R120 &amp; ")", ""))))</f>
        <v>na</v>
      </c>
      <c r="E120" s="7" t="s">
        <v>195</v>
      </c>
      <c r="F120" s="7" t="s">
        <v>195</v>
      </c>
      <c r="G120" s="7" t="s">
        <v>195</v>
      </c>
      <c r="H120" s="7" t="s">
        <v>195</v>
      </c>
      <c r="I120" s="7" t="s">
        <v>195</v>
      </c>
      <c r="J120" s="7" t="s">
        <v>195</v>
      </c>
      <c r="K120" s="7" t="s">
        <v>195</v>
      </c>
      <c r="L120" s="7" t="s">
        <v>195</v>
      </c>
      <c r="M120" s="7" t="s">
        <v>29</v>
      </c>
      <c r="N120" s="7" t="s">
        <v>29</v>
      </c>
      <c r="O120" s="7" t="s">
        <v>29</v>
      </c>
      <c r="P120" s="7" t="s">
        <v>29</v>
      </c>
      <c r="Q120" s="7" t="s">
        <v>29</v>
      </c>
      <c r="R120" s="7" t="s">
        <v>29</v>
      </c>
      <c r="S120" s="7" t="s">
        <v>29</v>
      </c>
    </row>
    <row r="121" spans="2:19">
      <c r="B121" s="7" t="s">
        <v>195</v>
      </c>
      <c r="C121" s="8" t="s">
        <v>195</v>
      </c>
      <c r="D121" s="5" t="str">
        <f>LRTRIM(CONCATENATE(IF(SUMPRODUCT(-- ISNUMBER(SEARCH({"Auto Number"}, $B121))) &gt; 0, $B121, IF(SUMPRODUCT(-- ISNUMBER(SEARCH({"Lookup","Master-Detail"}, $B121))) &gt; 0,$B121 &amp; "(" &amp; $E121 &amp; ")",IF(SUMPRODUCT(-- ISNUMBER(SEARCH({"Formula","Roll-Up Summary"}, $B121))) &gt; 0,$B121 &amp; " (" &amp; $E121 &amp; ")",IF(SUMPRODUCT(-- ISNUMBER(SEARCH({"Content","Currency","Number","Percent","Text","URL"}, $B121))) &gt; 0,$B121 &amp; "(" &amp; $C121 &amp; ")",$B121)))), "  ", TRIM(IF($S121 = "YES", "(External ID)", "") &amp; " " &amp; IF(SUMPRODUCT(-- ISNUMBER(SEARCH({"Unique","Unique Case Insensitive"}, $R121))) &gt; 0, "(" &amp; $R121 &amp; ")", ""))))</f>
        <v>na</v>
      </c>
      <c r="E121" s="7" t="s">
        <v>195</v>
      </c>
      <c r="F121" s="7" t="s">
        <v>195</v>
      </c>
      <c r="G121" s="7" t="s">
        <v>195</v>
      </c>
      <c r="H121" s="7" t="s">
        <v>195</v>
      </c>
      <c r="I121" s="7" t="s">
        <v>195</v>
      </c>
      <c r="J121" s="7" t="s">
        <v>195</v>
      </c>
      <c r="K121" s="7" t="s">
        <v>195</v>
      </c>
      <c r="L121" s="7" t="s">
        <v>195</v>
      </c>
      <c r="M121" s="7" t="s">
        <v>29</v>
      </c>
      <c r="N121" s="7" t="s">
        <v>29</v>
      </c>
      <c r="O121" s="7" t="s">
        <v>29</v>
      </c>
      <c r="P121" s="7" t="s">
        <v>29</v>
      </c>
      <c r="Q121" s="7" t="s">
        <v>29</v>
      </c>
      <c r="R121" s="7" t="s">
        <v>29</v>
      </c>
      <c r="S121" s="7" t="s">
        <v>29</v>
      </c>
    </row>
    <row r="122" spans="2:19">
      <c r="B122" s="7" t="s">
        <v>195</v>
      </c>
      <c r="C122" s="8" t="s">
        <v>195</v>
      </c>
      <c r="D122" s="5" t="str">
        <f>LRTRIM(CONCATENATE(IF(SUMPRODUCT(-- ISNUMBER(SEARCH({"Auto Number"}, $B122))) &gt; 0, $B122, IF(SUMPRODUCT(-- ISNUMBER(SEARCH({"Lookup","Master-Detail"}, $B122))) &gt; 0,$B122 &amp; "(" &amp; $E122 &amp; ")",IF(SUMPRODUCT(-- ISNUMBER(SEARCH({"Formula","Roll-Up Summary"}, $B122))) &gt; 0,$B122 &amp; " (" &amp; $E122 &amp; ")",IF(SUMPRODUCT(-- ISNUMBER(SEARCH({"Content","Currency","Number","Percent","Text","URL"}, $B122))) &gt; 0,$B122 &amp; "(" &amp; $C122 &amp; ")",$B122)))), "  ", TRIM(IF($S122 = "YES", "(External ID)", "") &amp; " " &amp; IF(SUMPRODUCT(-- ISNUMBER(SEARCH({"Unique","Unique Case Insensitive"}, $R122))) &gt; 0, "(" &amp; $R122 &amp; ")", ""))))</f>
        <v>na</v>
      </c>
      <c r="E122" s="7" t="s">
        <v>195</v>
      </c>
      <c r="F122" s="7" t="s">
        <v>195</v>
      </c>
      <c r="G122" s="7" t="s">
        <v>195</v>
      </c>
      <c r="H122" s="7" t="s">
        <v>195</v>
      </c>
      <c r="I122" s="7" t="s">
        <v>195</v>
      </c>
      <c r="J122" s="7" t="s">
        <v>195</v>
      </c>
      <c r="K122" s="7" t="s">
        <v>195</v>
      </c>
      <c r="L122" s="7" t="s">
        <v>195</v>
      </c>
      <c r="M122" s="7" t="s">
        <v>29</v>
      </c>
      <c r="N122" s="7" t="s">
        <v>29</v>
      </c>
      <c r="O122" s="7" t="s">
        <v>29</v>
      </c>
      <c r="P122" s="7" t="s">
        <v>29</v>
      </c>
      <c r="Q122" s="7" t="s">
        <v>29</v>
      </c>
      <c r="R122" s="7" t="s">
        <v>29</v>
      </c>
      <c r="S122" s="7" t="s">
        <v>29</v>
      </c>
    </row>
    <row r="123" spans="2:19">
      <c r="B123" s="7" t="s">
        <v>195</v>
      </c>
      <c r="C123" s="8" t="s">
        <v>195</v>
      </c>
      <c r="D123" s="5" t="str">
        <f>LRTRIM(CONCATENATE(IF(SUMPRODUCT(-- ISNUMBER(SEARCH({"Auto Number"}, $B123))) &gt; 0, $B123, IF(SUMPRODUCT(-- ISNUMBER(SEARCH({"Lookup","Master-Detail"}, $B123))) &gt; 0,$B123 &amp; "(" &amp; $E123 &amp; ")",IF(SUMPRODUCT(-- ISNUMBER(SEARCH({"Formula","Roll-Up Summary"}, $B123))) &gt; 0,$B123 &amp; " (" &amp; $E123 &amp; ")",IF(SUMPRODUCT(-- ISNUMBER(SEARCH({"Content","Currency","Number","Percent","Text","URL"}, $B123))) &gt; 0,$B123 &amp; "(" &amp; $C123 &amp; ")",$B123)))), "  ", TRIM(IF($S123 = "YES", "(External ID)", "") &amp; " " &amp; IF(SUMPRODUCT(-- ISNUMBER(SEARCH({"Unique","Unique Case Insensitive"}, $R123))) &gt; 0, "(" &amp; $R123 &amp; ")", ""))))</f>
        <v>na</v>
      </c>
      <c r="E123" s="7" t="s">
        <v>195</v>
      </c>
      <c r="F123" s="7" t="s">
        <v>195</v>
      </c>
      <c r="G123" s="7" t="s">
        <v>195</v>
      </c>
      <c r="H123" s="7" t="s">
        <v>195</v>
      </c>
      <c r="I123" s="7" t="s">
        <v>195</v>
      </c>
      <c r="J123" s="7" t="s">
        <v>195</v>
      </c>
      <c r="K123" s="7" t="s">
        <v>195</v>
      </c>
      <c r="L123" s="7" t="s">
        <v>195</v>
      </c>
      <c r="M123" s="7" t="s">
        <v>29</v>
      </c>
      <c r="N123" s="7" t="s">
        <v>29</v>
      </c>
      <c r="O123" s="7" t="s">
        <v>29</v>
      </c>
      <c r="P123" s="7" t="s">
        <v>29</v>
      </c>
      <c r="Q123" s="7" t="s">
        <v>29</v>
      </c>
      <c r="R123" s="7" t="s">
        <v>29</v>
      </c>
      <c r="S123" s="7" t="s">
        <v>29</v>
      </c>
    </row>
    <row r="124" spans="2:19">
      <c r="B124" s="7" t="s">
        <v>195</v>
      </c>
      <c r="C124" s="8" t="s">
        <v>195</v>
      </c>
      <c r="D124" s="5" t="str">
        <f>LRTRIM(CONCATENATE(IF(SUMPRODUCT(-- ISNUMBER(SEARCH({"Auto Number"}, $B124))) &gt; 0, $B124, IF(SUMPRODUCT(-- ISNUMBER(SEARCH({"Lookup","Master-Detail"}, $B124))) &gt; 0,$B124 &amp; "(" &amp; $E124 &amp; ")",IF(SUMPRODUCT(-- ISNUMBER(SEARCH({"Formula","Roll-Up Summary"}, $B124))) &gt; 0,$B124 &amp; " (" &amp; $E124 &amp; ")",IF(SUMPRODUCT(-- ISNUMBER(SEARCH({"Content","Currency","Number","Percent","Text","URL"}, $B124))) &gt; 0,$B124 &amp; "(" &amp; $C124 &amp; ")",$B124)))), "  ", TRIM(IF($S124 = "YES", "(External ID)", "") &amp; " " &amp; IF(SUMPRODUCT(-- ISNUMBER(SEARCH({"Unique","Unique Case Insensitive"}, $R124))) &gt; 0, "(" &amp; $R124 &amp; ")", ""))))</f>
        <v>na</v>
      </c>
      <c r="E124" s="7" t="s">
        <v>195</v>
      </c>
      <c r="F124" s="7" t="s">
        <v>195</v>
      </c>
      <c r="G124" s="7" t="s">
        <v>195</v>
      </c>
      <c r="H124" s="7" t="s">
        <v>195</v>
      </c>
      <c r="I124" s="7" t="s">
        <v>195</v>
      </c>
      <c r="J124" s="7" t="s">
        <v>195</v>
      </c>
      <c r="K124" s="7" t="s">
        <v>195</v>
      </c>
      <c r="L124" s="7" t="s">
        <v>195</v>
      </c>
      <c r="M124" s="7" t="s">
        <v>29</v>
      </c>
      <c r="N124" s="7" t="s">
        <v>29</v>
      </c>
      <c r="O124" s="7" t="s">
        <v>29</v>
      </c>
      <c r="P124" s="7" t="s">
        <v>29</v>
      </c>
      <c r="Q124" s="7" t="s">
        <v>29</v>
      </c>
      <c r="R124" s="7" t="s">
        <v>29</v>
      </c>
      <c r="S124" s="7" t="s">
        <v>29</v>
      </c>
    </row>
    <row r="125" spans="2:19">
      <c r="B125" s="7" t="s">
        <v>195</v>
      </c>
      <c r="C125" s="8" t="s">
        <v>195</v>
      </c>
      <c r="D125" s="5" t="str">
        <f>LRTRIM(CONCATENATE(IF(SUMPRODUCT(-- ISNUMBER(SEARCH({"Auto Number"}, $B125))) &gt; 0, $B125, IF(SUMPRODUCT(-- ISNUMBER(SEARCH({"Lookup","Master-Detail"}, $B125))) &gt; 0,$B125 &amp; "(" &amp; $E125 &amp; ")",IF(SUMPRODUCT(-- ISNUMBER(SEARCH({"Formula","Roll-Up Summary"}, $B125))) &gt; 0,$B125 &amp; " (" &amp; $E125 &amp; ")",IF(SUMPRODUCT(-- ISNUMBER(SEARCH({"Content","Currency","Number","Percent","Text","URL"}, $B125))) &gt; 0,$B125 &amp; "(" &amp; $C125 &amp; ")",$B125)))), "  ", TRIM(IF($S125 = "YES", "(External ID)", "") &amp; " " &amp; IF(SUMPRODUCT(-- ISNUMBER(SEARCH({"Unique","Unique Case Insensitive"}, $R125))) &gt; 0, "(" &amp; $R125 &amp; ")", ""))))</f>
        <v>na</v>
      </c>
      <c r="E125" s="7" t="s">
        <v>195</v>
      </c>
      <c r="F125" s="7" t="s">
        <v>195</v>
      </c>
      <c r="G125" s="7" t="s">
        <v>195</v>
      </c>
      <c r="H125" s="7" t="s">
        <v>195</v>
      </c>
      <c r="I125" s="7" t="s">
        <v>195</v>
      </c>
      <c r="J125" s="7" t="s">
        <v>195</v>
      </c>
      <c r="K125" s="7" t="s">
        <v>195</v>
      </c>
      <c r="L125" s="7" t="s">
        <v>195</v>
      </c>
      <c r="M125" s="7" t="s">
        <v>29</v>
      </c>
      <c r="N125" s="7" t="s">
        <v>29</v>
      </c>
      <c r="O125" s="7" t="s">
        <v>29</v>
      </c>
      <c r="P125" s="7" t="s">
        <v>29</v>
      </c>
      <c r="Q125" s="7" t="s">
        <v>29</v>
      </c>
      <c r="R125" s="7" t="s">
        <v>29</v>
      </c>
      <c r="S125" s="7" t="s">
        <v>29</v>
      </c>
    </row>
    <row r="126" spans="2:19">
      <c r="B126" s="7" t="s">
        <v>195</v>
      </c>
      <c r="C126" s="8" t="s">
        <v>195</v>
      </c>
      <c r="D126" s="5" t="str">
        <f>LRTRIM(CONCATENATE(IF(SUMPRODUCT(-- ISNUMBER(SEARCH({"Auto Number"}, $B126))) &gt; 0, $B126, IF(SUMPRODUCT(-- ISNUMBER(SEARCH({"Lookup","Master-Detail"}, $B126))) &gt; 0,$B126 &amp; "(" &amp; $E126 &amp; ")",IF(SUMPRODUCT(-- ISNUMBER(SEARCH({"Formula","Roll-Up Summary"}, $B126))) &gt; 0,$B126 &amp; " (" &amp; $E126 &amp; ")",IF(SUMPRODUCT(-- ISNUMBER(SEARCH({"Content","Currency","Number","Percent","Text","URL"}, $B126))) &gt; 0,$B126 &amp; "(" &amp; $C126 &amp; ")",$B126)))), "  ", TRIM(IF($S126 = "YES", "(External ID)", "") &amp; " " &amp; IF(SUMPRODUCT(-- ISNUMBER(SEARCH({"Unique","Unique Case Insensitive"}, $R126))) &gt; 0, "(" &amp; $R126 &amp; ")", ""))))</f>
        <v>na</v>
      </c>
      <c r="E126" s="7" t="s">
        <v>195</v>
      </c>
      <c r="F126" s="7" t="s">
        <v>195</v>
      </c>
      <c r="G126" s="7" t="s">
        <v>195</v>
      </c>
      <c r="H126" s="7" t="s">
        <v>195</v>
      </c>
      <c r="I126" s="7" t="s">
        <v>195</v>
      </c>
      <c r="J126" s="7" t="s">
        <v>195</v>
      </c>
      <c r="K126" s="7" t="s">
        <v>195</v>
      </c>
      <c r="L126" s="7" t="s">
        <v>195</v>
      </c>
      <c r="M126" s="7" t="s">
        <v>29</v>
      </c>
      <c r="N126" s="7" t="s">
        <v>29</v>
      </c>
      <c r="O126" s="7" t="s">
        <v>29</v>
      </c>
      <c r="P126" s="7" t="s">
        <v>29</v>
      </c>
      <c r="Q126" s="7" t="s">
        <v>29</v>
      </c>
      <c r="R126" s="7" t="s">
        <v>29</v>
      </c>
      <c r="S126" s="7" t="s">
        <v>29</v>
      </c>
    </row>
    <row r="127" spans="2:19">
      <c r="B127" s="7" t="s">
        <v>195</v>
      </c>
      <c r="C127" s="8" t="s">
        <v>195</v>
      </c>
      <c r="D127" s="5" t="str">
        <f>LRTRIM(CONCATENATE(IF(SUMPRODUCT(-- ISNUMBER(SEARCH({"Auto Number"}, $B127))) &gt; 0, $B127, IF(SUMPRODUCT(-- ISNUMBER(SEARCH({"Lookup","Master-Detail"}, $B127))) &gt; 0,$B127 &amp; "(" &amp; $E127 &amp; ")",IF(SUMPRODUCT(-- ISNUMBER(SEARCH({"Formula","Roll-Up Summary"}, $B127))) &gt; 0,$B127 &amp; " (" &amp; $E127 &amp; ")",IF(SUMPRODUCT(-- ISNUMBER(SEARCH({"Content","Currency","Number","Percent","Text","URL"}, $B127))) &gt; 0,$B127 &amp; "(" &amp; $C127 &amp; ")",$B127)))), "  ", TRIM(IF($S127 = "YES", "(External ID)", "") &amp; " " &amp; IF(SUMPRODUCT(-- ISNUMBER(SEARCH({"Unique","Unique Case Insensitive"}, $R127))) &gt; 0, "(" &amp; $R127 &amp; ")", ""))))</f>
        <v>na</v>
      </c>
      <c r="E127" s="7" t="s">
        <v>195</v>
      </c>
      <c r="F127" s="7" t="s">
        <v>195</v>
      </c>
      <c r="G127" s="7" t="s">
        <v>195</v>
      </c>
      <c r="H127" s="7" t="s">
        <v>195</v>
      </c>
      <c r="I127" s="7" t="s">
        <v>195</v>
      </c>
      <c r="J127" s="7" t="s">
        <v>195</v>
      </c>
      <c r="K127" s="7" t="s">
        <v>195</v>
      </c>
      <c r="L127" s="7" t="s">
        <v>195</v>
      </c>
      <c r="M127" s="7" t="s">
        <v>29</v>
      </c>
      <c r="N127" s="7" t="s">
        <v>29</v>
      </c>
      <c r="O127" s="7" t="s">
        <v>29</v>
      </c>
      <c r="P127" s="7" t="s">
        <v>29</v>
      </c>
      <c r="Q127" s="7" t="s">
        <v>29</v>
      </c>
      <c r="R127" s="7" t="s">
        <v>29</v>
      </c>
      <c r="S127" s="7" t="s">
        <v>29</v>
      </c>
    </row>
    <row r="128" spans="2:19">
      <c r="B128" s="7" t="s">
        <v>195</v>
      </c>
      <c r="C128" s="8" t="s">
        <v>195</v>
      </c>
      <c r="D128" s="5" t="str">
        <f>LRTRIM(CONCATENATE(IF(SUMPRODUCT(-- ISNUMBER(SEARCH({"Auto Number"}, $B128))) &gt; 0, $B128, IF(SUMPRODUCT(-- ISNUMBER(SEARCH({"Lookup","Master-Detail"}, $B128))) &gt; 0,$B128 &amp; "(" &amp; $E128 &amp; ")",IF(SUMPRODUCT(-- ISNUMBER(SEARCH({"Formula","Roll-Up Summary"}, $B128))) &gt; 0,$B128 &amp; " (" &amp; $E128 &amp; ")",IF(SUMPRODUCT(-- ISNUMBER(SEARCH({"Content","Currency","Number","Percent","Text","URL"}, $B128))) &gt; 0,$B128 &amp; "(" &amp; $C128 &amp; ")",$B128)))), "  ", TRIM(IF($S128 = "YES", "(External ID)", "") &amp; " " &amp; IF(SUMPRODUCT(-- ISNUMBER(SEARCH({"Unique","Unique Case Insensitive"}, $R128))) &gt; 0, "(" &amp; $R128 &amp; ")", ""))))</f>
        <v>na</v>
      </c>
      <c r="E128" s="7" t="s">
        <v>195</v>
      </c>
      <c r="F128" s="7" t="s">
        <v>195</v>
      </c>
      <c r="G128" s="7" t="s">
        <v>195</v>
      </c>
      <c r="H128" s="7" t="s">
        <v>195</v>
      </c>
      <c r="I128" s="7" t="s">
        <v>195</v>
      </c>
      <c r="J128" s="7" t="s">
        <v>195</v>
      </c>
      <c r="K128" s="7" t="s">
        <v>195</v>
      </c>
      <c r="L128" s="7" t="s">
        <v>195</v>
      </c>
      <c r="M128" s="7" t="s">
        <v>29</v>
      </c>
      <c r="N128" s="7" t="s">
        <v>29</v>
      </c>
      <c r="O128" s="7" t="s">
        <v>29</v>
      </c>
      <c r="P128" s="7" t="s">
        <v>29</v>
      </c>
      <c r="Q128" s="7" t="s">
        <v>29</v>
      </c>
      <c r="R128" s="7" t="s">
        <v>29</v>
      </c>
      <c r="S128" s="7" t="s">
        <v>29</v>
      </c>
    </row>
    <row r="129" spans="2:19">
      <c r="B129" s="7" t="s">
        <v>195</v>
      </c>
      <c r="C129" s="8" t="s">
        <v>195</v>
      </c>
      <c r="D129" s="5" t="str">
        <f>LRTRIM(CONCATENATE(IF(SUMPRODUCT(-- ISNUMBER(SEARCH({"Auto Number"}, $B129))) &gt; 0, $B129, IF(SUMPRODUCT(-- ISNUMBER(SEARCH({"Lookup","Master-Detail"}, $B129))) &gt; 0,$B129 &amp; "(" &amp; $E129 &amp; ")",IF(SUMPRODUCT(-- ISNUMBER(SEARCH({"Formula","Roll-Up Summary"}, $B129))) &gt; 0,$B129 &amp; " (" &amp; $E129 &amp; ")",IF(SUMPRODUCT(-- ISNUMBER(SEARCH({"Content","Currency","Number","Percent","Text","URL"}, $B129))) &gt; 0,$B129 &amp; "(" &amp; $C129 &amp; ")",$B129)))), "  ", TRIM(IF($S129 = "YES", "(External ID)", "") &amp; " " &amp; IF(SUMPRODUCT(-- ISNUMBER(SEARCH({"Unique","Unique Case Insensitive"}, $R129))) &gt; 0, "(" &amp; $R129 &amp; ")", ""))))</f>
        <v>na</v>
      </c>
      <c r="E129" s="7" t="s">
        <v>195</v>
      </c>
      <c r="F129" s="7" t="s">
        <v>195</v>
      </c>
      <c r="G129" s="7" t="s">
        <v>195</v>
      </c>
      <c r="H129" s="7" t="s">
        <v>195</v>
      </c>
      <c r="I129" s="7" t="s">
        <v>195</v>
      </c>
      <c r="J129" s="7" t="s">
        <v>195</v>
      </c>
      <c r="K129" s="7" t="s">
        <v>195</v>
      </c>
      <c r="L129" s="7" t="s">
        <v>195</v>
      </c>
      <c r="M129" s="7" t="s">
        <v>29</v>
      </c>
      <c r="N129" s="7" t="s">
        <v>29</v>
      </c>
      <c r="O129" s="7" t="s">
        <v>29</v>
      </c>
      <c r="P129" s="7" t="s">
        <v>29</v>
      </c>
      <c r="Q129" s="7" t="s">
        <v>29</v>
      </c>
      <c r="R129" s="7" t="s">
        <v>29</v>
      </c>
      <c r="S129" s="7" t="s">
        <v>29</v>
      </c>
    </row>
    <row r="130" spans="2:19">
      <c r="B130" s="7" t="s">
        <v>195</v>
      </c>
      <c r="C130" s="8" t="s">
        <v>195</v>
      </c>
      <c r="D130" s="5" t="str">
        <f>LRTRIM(CONCATENATE(IF(SUMPRODUCT(-- ISNUMBER(SEARCH({"Auto Number"}, $B130))) &gt; 0, $B130, IF(SUMPRODUCT(-- ISNUMBER(SEARCH({"Lookup","Master-Detail"}, $B130))) &gt; 0,$B130 &amp; "(" &amp; $E130 &amp; ")",IF(SUMPRODUCT(-- ISNUMBER(SEARCH({"Formula","Roll-Up Summary"}, $B130))) &gt; 0,$B130 &amp; " (" &amp; $E130 &amp; ")",IF(SUMPRODUCT(-- ISNUMBER(SEARCH({"Content","Currency","Number","Percent","Text","URL"}, $B130))) &gt; 0,$B130 &amp; "(" &amp; $C130 &amp; ")",$B130)))), "  ", TRIM(IF($S130 = "YES", "(External ID)", "") &amp; " " &amp; IF(SUMPRODUCT(-- ISNUMBER(SEARCH({"Unique","Unique Case Insensitive"}, $R130))) &gt; 0, "(" &amp; $R130 &amp; ")", ""))))</f>
        <v>na</v>
      </c>
      <c r="E130" s="7" t="s">
        <v>195</v>
      </c>
      <c r="F130" s="7" t="s">
        <v>195</v>
      </c>
      <c r="G130" s="7" t="s">
        <v>195</v>
      </c>
      <c r="H130" s="7" t="s">
        <v>195</v>
      </c>
      <c r="I130" s="7" t="s">
        <v>195</v>
      </c>
      <c r="J130" s="7" t="s">
        <v>195</v>
      </c>
      <c r="K130" s="7" t="s">
        <v>195</v>
      </c>
      <c r="L130" s="7" t="s">
        <v>195</v>
      </c>
      <c r="M130" s="7" t="s">
        <v>29</v>
      </c>
      <c r="N130" s="7" t="s">
        <v>29</v>
      </c>
      <c r="O130" s="7" t="s">
        <v>29</v>
      </c>
      <c r="P130" s="7" t="s">
        <v>29</v>
      </c>
      <c r="Q130" s="7" t="s">
        <v>29</v>
      </c>
      <c r="R130" s="7" t="s">
        <v>29</v>
      </c>
      <c r="S130" s="7" t="s">
        <v>29</v>
      </c>
    </row>
    <row r="131" spans="2:19">
      <c r="B131" s="7" t="s">
        <v>195</v>
      </c>
      <c r="C131" s="8" t="s">
        <v>195</v>
      </c>
      <c r="D131" s="5" t="str">
        <f>LRTRIM(CONCATENATE(IF(SUMPRODUCT(-- ISNUMBER(SEARCH({"Auto Number"}, $B131))) &gt; 0, $B131, IF(SUMPRODUCT(-- ISNUMBER(SEARCH({"Lookup","Master-Detail"}, $B131))) &gt; 0,$B131 &amp; "(" &amp; $E131 &amp; ")",IF(SUMPRODUCT(-- ISNUMBER(SEARCH({"Formula","Roll-Up Summary"}, $B131))) &gt; 0,$B131 &amp; " (" &amp; $E131 &amp; ")",IF(SUMPRODUCT(-- ISNUMBER(SEARCH({"Content","Currency","Number","Percent","Text","URL"}, $B131))) &gt; 0,$B131 &amp; "(" &amp; $C131 &amp; ")",$B131)))), "  ", TRIM(IF($S131 = "YES", "(External ID)", "") &amp; " " &amp; IF(SUMPRODUCT(-- ISNUMBER(SEARCH({"Unique","Unique Case Insensitive"}, $R131))) &gt; 0, "(" &amp; $R131 &amp; ")", ""))))</f>
        <v>na</v>
      </c>
      <c r="E131" s="7" t="s">
        <v>195</v>
      </c>
      <c r="F131" s="7" t="s">
        <v>195</v>
      </c>
      <c r="G131" s="7" t="s">
        <v>195</v>
      </c>
      <c r="H131" s="7" t="s">
        <v>195</v>
      </c>
      <c r="I131" s="7" t="s">
        <v>195</v>
      </c>
      <c r="J131" s="7" t="s">
        <v>195</v>
      </c>
      <c r="K131" s="7" t="s">
        <v>195</v>
      </c>
      <c r="L131" s="7" t="s">
        <v>195</v>
      </c>
      <c r="M131" s="7" t="s">
        <v>29</v>
      </c>
      <c r="N131" s="7" t="s">
        <v>29</v>
      </c>
      <c r="O131" s="7" t="s">
        <v>29</v>
      </c>
      <c r="P131" s="7" t="s">
        <v>29</v>
      </c>
      <c r="Q131" s="7" t="s">
        <v>29</v>
      </c>
      <c r="R131" s="7" t="s">
        <v>29</v>
      </c>
      <c r="S131" s="7" t="s">
        <v>29</v>
      </c>
    </row>
    <row r="132" spans="2:19">
      <c r="B132" s="7" t="s">
        <v>195</v>
      </c>
      <c r="C132" s="8" t="s">
        <v>195</v>
      </c>
      <c r="D132" s="5" t="str">
        <f>LRTRIM(CONCATENATE(IF(SUMPRODUCT(-- ISNUMBER(SEARCH({"Auto Number"}, $B132))) &gt; 0, $B132, IF(SUMPRODUCT(-- ISNUMBER(SEARCH({"Lookup","Master-Detail"}, $B132))) &gt; 0,$B132 &amp; "(" &amp; $E132 &amp; ")",IF(SUMPRODUCT(-- ISNUMBER(SEARCH({"Formula","Roll-Up Summary"}, $B132))) &gt; 0,$B132 &amp; " (" &amp; $E132 &amp; ")",IF(SUMPRODUCT(-- ISNUMBER(SEARCH({"Content","Currency","Number","Percent","Text","URL"}, $B132))) &gt; 0,$B132 &amp; "(" &amp; $C132 &amp; ")",$B132)))), "  ", TRIM(IF($S132 = "YES", "(External ID)", "") &amp; " " &amp; IF(SUMPRODUCT(-- ISNUMBER(SEARCH({"Unique","Unique Case Insensitive"}, $R132))) &gt; 0, "(" &amp; $R132 &amp; ")", ""))))</f>
        <v>na</v>
      </c>
      <c r="E132" s="7" t="s">
        <v>195</v>
      </c>
      <c r="F132" s="7" t="s">
        <v>195</v>
      </c>
      <c r="G132" s="7" t="s">
        <v>195</v>
      </c>
      <c r="H132" s="7" t="s">
        <v>195</v>
      </c>
      <c r="I132" s="7" t="s">
        <v>195</v>
      </c>
      <c r="J132" s="7" t="s">
        <v>195</v>
      </c>
      <c r="K132" s="7" t="s">
        <v>195</v>
      </c>
      <c r="L132" s="7" t="s">
        <v>195</v>
      </c>
      <c r="M132" s="7" t="s">
        <v>29</v>
      </c>
      <c r="N132" s="7" t="s">
        <v>29</v>
      </c>
      <c r="O132" s="7" t="s">
        <v>29</v>
      </c>
      <c r="P132" s="7" t="s">
        <v>29</v>
      </c>
      <c r="Q132" s="7" t="s">
        <v>29</v>
      </c>
      <c r="R132" s="7" t="s">
        <v>29</v>
      </c>
      <c r="S132" s="7" t="s">
        <v>29</v>
      </c>
    </row>
    <row r="133" spans="2:19">
      <c r="B133" s="7" t="s">
        <v>195</v>
      </c>
      <c r="C133" s="8" t="s">
        <v>195</v>
      </c>
      <c r="D133" s="5" t="str">
        <f>LRTRIM(CONCATENATE(IF(SUMPRODUCT(-- ISNUMBER(SEARCH({"Auto Number"}, $B133))) &gt; 0, $B133, IF(SUMPRODUCT(-- ISNUMBER(SEARCH({"Lookup","Master-Detail"}, $B133))) &gt; 0,$B133 &amp; "(" &amp; $E133 &amp; ")",IF(SUMPRODUCT(-- ISNUMBER(SEARCH({"Formula","Roll-Up Summary"}, $B133))) &gt; 0,$B133 &amp; " (" &amp; $E133 &amp; ")",IF(SUMPRODUCT(-- ISNUMBER(SEARCH({"Content","Currency","Number","Percent","Text","URL"}, $B133))) &gt; 0,$B133 &amp; "(" &amp; $C133 &amp; ")",$B133)))), "  ", TRIM(IF($S133 = "YES", "(External ID)", "") &amp; " " &amp; IF(SUMPRODUCT(-- ISNUMBER(SEARCH({"Unique","Unique Case Insensitive"}, $R133))) &gt; 0, "(" &amp; $R133 &amp; ")", ""))))</f>
        <v>na</v>
      </c>
      <c r="E133" s="7" t="s">
        <v>195</v>
      </c>
      <c r="F133" s="7" t="s">
        <v>195</v>
      </c>
      <c r="G133" s="7" t="s">
        <v>195</v>
      </c>
      <c r="H133" s="7" t="s">
        <v>195</v>
      </c>
      <c r="I133" s="7" t="s">
        <v>195</v>
      </c>
      <c r="J133" s="7" t="s">
        <v>195</v>
      </c>
      <c r="K133" s="7" t="s">
        <v>195</v>
      </c>
      <c r="L133" s="7" t="s">
        <v>195</v>
      </c>
      <c r="M133" s="7" t="s">
        <v>29</v>
      </c>
      <c r="N133" s="7" t="s">
        <v>29</v>
      </c>
      <c r="O133" s="7" t="s">
        <v>29</v>
      </c>
      <c r="P133" s="7" t="s">
        <v>29</v>
      </c>
      <c r="Q133" s="7" t="s">
        <v>29</v>
      </c>
      <c r="R133" s="7" t="s">
        <v>29</v>
      </c>
      <c r="S133" s="7" t="s">
        <v>29</v>
      </c>
    </row>
    <row r="134" spans="2:19">
      <c r="B134" s="7" t="s">
        <v>195</v>
      </c>
      <c r="C134" s="8" t="s">
        <v>195</v>
      </c>
      <c r="D134" s="5" t="str">
        <f>LRTRIM(CONCATENATE(IF(SUMPRODUCT(-- ISNUMBER(SEARCH({"Auto Number"}, $B134))) &gt; 0, $B134, IF(SUMPRODUCT(-- ISNUMBER(SEARCH({"Lookup","Master-Detail"}, $B134))) &gt; 0,$B134 &amp; "(" &amp; $E134 &amp; ")",IF(SUMPRODUCT(-- ISNUMBER(SEARCH({"Formula","Roll-Up Summary"}, $B134))) &gt; 0,$B134 &amp; " (" &amp; $E134 &amp; ")",IF(SUMPRODUCT(-- ISNUMBER(SEARCH({"Content","Currency","Number","Percent","Text","URL"}, $B134))) &gt; 0,$B134 &amp; "(" &amp; $C134 &amp; ")",$B134)))), "  ", TRIM(IF($S134 = "YES", "(External ID)", "") &amp; " " &amp; IF(SUMPRODUCT(-- ISNUMBER(SEARCH({"Unique","Unique Case Insensitive"}, $R134))) &gt; 0, "(" &amp; $R134 &amp; ")", ""))))</f>
        <v>na</v>
      </c>
      <c r="E134" s="7" t="s">
        <v>195</v>
      </c>
      <c r="F134" s="7" t="s">
        <v>195</v>
      </c>
      <c r="G134" s="7" t="s">
        <v>195</v>
      </c>
      <c r="H134" s="7" t="s">
        <v>195</v>
      </c>
      <c r="I134" s="7" t="s">
        <v>195</v>
      </c>
      <c r="J134" s="7" t="s">
        <v>195</v>
      </c>
      <c r="K134" s="7" t="s">
        <v>195</v>
      </c>
      <c r="L134" s="7" t="s">
        <v>195</v>
      </c>
      <c r="M134" s="7" t="s">
        <v>29</v>
      </c>
      <c r="N134" s="7" t="s">
        <v>29</v>
      </c>
      <c r="O134" s="7" t="s">
        <v>29</v>
      </c>
      <c r="P134" s="7" t="s">
        <v>29</v>
      </c>
      <c r="Q134" s="7" t="s">
        <v>29</v>
      </c>
      <c r="R134" s="7" t="s">
        <v>29</v>
      </c>
      <c r="S134" s="7" t="s">
        <v>29</v>
      </c>
    </row>
    <row r="135" spans="2:19">
      <c r="B135" s="7" t="s">
        <v>195</v>
      </c>
      <c r="C135" s="8" t="s">
        <v>195</v>
      </c>
      <c r="D135" s="5" t="str">
        <f>LRTRIM(CONCATENATE(IF(SUMPRODUCT(-- ISNUMBER(SEARCH({"Auto Number"}, $B135))) &gt; 0, $B135, IF(SUMPRODUCT(-- ISNUMBER(SEARCH({"Lookup","Master-Detail"}, $B135))) &gt; 0,$B135 &amp; "(" &amp; $E135 &amp; ")",IF(SUMPRODUCT(-- ISNUMBER(SEARCH({"Formula","Roll-Up Summary"}, $B135))) &gt; 0,$B135 &amp; " (" &amp; $E135 &amp; ")",IF(SUMPRODUCT(-- ISNUMBER(SEARCH({"Content","Currency","Number","Percent","Text","URL"}, $B135))) &gt; 0,$B135 &amp; "(" &amp; $C135 &amp; ")",$B135)))), "  ", TRIM(IF($S135 = "YES", "(External ID)", "") &amp; " " &amp; IF(SUMPRODUCT(-- ISNUMBER(SEARCH({"Unique","Unique Case Insensitive"}, $R135))) &gt; 0, "(" &amp; $R135 &amp; ")", ""))))</f>
        <v>na</v>
      </c>
      <c r="E135" s="7" t="s">
        <v>195</v>
      </c>
      <c r="F135" s="7" t="s">
        <v>195</v>
      </c>
      <c r="G135" s="7" t="s">
        <v>195</v>
      </c>
      <c r="H135" s="7" t="s">
        <v>195</v>
      </c>
      <c r="I135" s="7" t="s">
        <v>195</v>
      </c>
      <c r="J135" s="7" t="s">
        <v>195</v>
      </c>
      <c r="K135" s="7" t="s">
        <v>195</v>
      </c>
      <c r="L135" s="7" t="s">
        <v>195</v>
      </c>
      <c r="M135" s="7" t="s">
        <v>29</v>
      </c>
      <c r="N135" s="7" t="s">
        <v>29</v>
      </c>
      <c r="O135" s="7" t="s">
        <v>29</v>
      </c>
      <c r="P135" s="7" t="s">
        <v>29</v>
      </c>
      <c r="Q135" s="7" t="s">
        <v>29</v>
      </c>
      <c r="R135" s="7" t="s">
        <v>29</v>
      </c>
      <c r="S135" s="7" t="s">
        <v>29</v>
      </c>
    </row>
    <row r="136" spans="2:19">
      <c r="B136" s="7" t="s">
        <v>195</v>
      </c>
      <c r="C136" s="8" t="s">
        <v>195</v>
      </c>
      <c r="D136" s="5" t="str">
        <f>LRTRIM(CONCATENATE(IF(SUMPRODUCT(-- ISNUMBER(SEARCH({"Auto Number"}, $B136))) &gt; 0, $B136, IF(SUMPRODUCT(-- ISNUMBER(SEARCH({"Lookup","Master-Detail"}, $B136))) &gt; 0,$B136 &amp; "(" &amp; $E136 &amp; ")",IF(SUMPRODUCT(-- ISNUMBER(SEARCH({"Formula","Roll-Up Summary"}, $B136))) &gt; 0,$B136 &amp; " (" &amp; $E136 &amp; ")",IF(SUMPRODUCT(-- ISNUMBER(SEARCH({"Content","Currency","Number","Percent","Text","URL"}, $B136))) &gt; 0,$B136 &amp; "(" &amp; $C136 &amp; ")",$B136)))), "  ", TRIM(IF($S136 = "YES", "(External ID)", "") &amp; " " &amp; IF(SUMPRODUCT(-- ISNUMBER(SEARCH({"Unique","Unique Case Insensitive"}, $R136))) &gt; 0, "(" &amp; $R136 &amp; ")", ""))))</f>
        <v>na</v>
      </c>
      <c r="E136" s="7" t="s">
        <v>195</v>
      </c>
      <c r="F136" s="7" t="s">
        <v>195</v>
      </c>
      <c r="G136" s="7" t="s">
        <v>195</v>
      </c>
      <c r="H136" s="7" t="s">
        <v>195</v>
      </c>
      <c r="I136" s="7" t="s">
        <v>195</v>
      </c>
      <c r="J136" s="7" t="s">
        <v>195</v>
      </c>
      <c r="K136" s="7" t="s">
        <v>195</v>
      </c>
      <c r="L136" s="7" t="s">
        <v>195</v>
      </c>
      <c r="M136" s="7" t="s">
        <v>29</v>
      </c>
      <c r="N136" s="7" t="s">
        <v>29</v>
      </c>
      <c r="O136" s="7" t="s">
        <v>29</v>
      </c>
      <c r="P136" s="7" t="s">
        <v>29</v>
      </c>
      <c r="Q136" s="7" t="s">
        <v>29</v>
      </c>
      <c r="R136" s="7" t="s">
        <v>29</v>
      </c>
      <c r="S136" s="7" t="s">
        <v>29</v>
      </c>
    </row>
    <row r="137" spans="2:19">
      <c r="B137" s="7" t="s">
        <v>195</v>
      </c>
      <c r="C137" s="8" t="s">
        <v>195</v>
      </c>
      <c r="D137" s="5" t="str">
        <f>LRTRIM(CONCATENATE(IF(SUMPRODUCT(-- ISNUMBER(SEARCH({"Auto Number"}, $B137))) &gt; 0, $B137, IF(SUMPRODUCT(-- ISNUMBER(SEARCH({"Lookup","Master-Detail"}, $B137))) &gt; 0,$B137 &amp; "(" &amp; $E137 &amp; ")",IF(SUMPRODUCT(-- ISNUMBER(SEARCH({"Formula","Roll-Up Summary"}, $B137))) &gt; 0,$B137 &amp; " (" &amp; $E137 &amp; ")",IF(SUMPRODUCT(-- ISNUMBER(SEARCH({"Content","Currency","Number","Percent","Text","URL"}, $B137))) &gt; 0,$B137 &amp; "(" &amp; $C137 &amp; ")",$B137)))), "  ", TRIM(IF($S137 = "YES", "(External ID)", "") &amp; " " &amp; IF(SUMPRODUCT(-- ISNUMBER(SEARCH({"Unique","Unique Case Insensitive"}, $R137))) &gt; 0, "(" &amp; $R137 &amp; ")", ""))))</f>
        <v>na</v>
      </c>
      <c r="E137" s="7" t="s">
        <v>195</v>
      </c>
      <c r="F137" s="7" t="s">
        <v>195</v>
      </c>
      <c r="G137" s="7" t="s">
        <v>195</v>
      </c>
      <c r="H137" s="7" t="s">
        <v>195</v>
      </c>
      <c r="I137" s="7" t="s">
        <v>195</v>
      </c>
      <c r="J137" s="7" t="s">
        <v>195</v>
      </c>
      <c r="K137" s="7" t="s">
        <v>195</v>
      </c>
      <c r="L137" s="7" t="s">
        <v>195</v>
      </c>
      <c r="M137" s="7" t="s">
        <v>29</v>
      </c>
      <c r="N137" s="7" t="s">
        <v>29</v>
      </c>
      <c r="O137" s="7" t="s">
        <v>29</v>
      </c>
      <c r="P137" s="7" t="s">
        <v>29</v>
      </c>
      <c r="Q137" s="7" t="s">
        <v>29</v>
      </c>
      <c r="R137" s="7" t="s">
        <v>29</v>
      </c>
      <c r="S137" s="7" t="s">
        <v>29</v>
      </c>
    </row>
    <row r="138" spans="2:19">
      <c r="B138" s="7" t="s">
        <v>195</v>
      </c>
      <c r="C138" s="8" t="s">
        <v>195</v>
      </c>
      <c r="D138" s="5" t="str">
        <f>LRTRIM(CONCATENATE(IF(SUMPRODUCT(-- ISNUMBER(SEARCH({"Auto Number"}, $B138))) &gt; 0, $B138, IF(SUMPRODUCT(-- ISNUMBER(SEARCH({"Lookup","Master-Detail"}, $B138))) &gt; 0,$B138 &amp; "(" &amp; $E138 &amp; ")",IF(SUMPRODUCT(-- ISNUMBER(SEARCH({"Formula","Roll-Up Summary"}, $B138))) &gt; 0,$B138 &amp; " (" &amp; $E138 &amp; ")",IF(SUMPRODUCT(-- ISNUMBER(SEARCH({"Content","Currency","Number","Percent","Text","URL"}, $B138))) &gt; 0,$B138 &amp; "(" &amp; $C138 &amp; ")",$B138)))), "  ", TRIM(IF($S138 = "YES", "(External ID)", "") &amp; " " &amp; IF(SUMPRODUCT(-- ISNUMBER(SEARCH({"Unique","Unique Case Insensitive"}, $R138))) &gt; 0, "(" &amp; $R138 &amp; ")", ""))))</f>
        <v>na</v>
      </c>
      <c r="E138" s="7" t="s">
        <v>195</v>
      </c>
      <c r="F138" s="7" t="s">
        <v>195</v>
      </c>
      <c r="G138" s="7" t="s">
        <v>195</v>
      </c>
      <c r="H138" s="7" t="s">
        <v>195</v>
      </c>
      <c r="I138" s="7" t="s">
        <v>195</v>
      </c>
      <c r="J138" s="7" t="s">
        <v>195</v>
      </c>
      <c r="K138" s="7" t="s">
        <v>195</v>
      </c>
      <c r="L138" s="7" t="s">
        <v>195</v>
      </c>
      <c r="M138" s="7" t="s">
        <v>29</v>
      </c>
      <c r="N138" s="7" t="s">
        <v>29</v>
      </c>
      <c r="O138" s="7" t="s">
        <v>29</v>
      </c>
      <c r="P138" s="7" t="s">
        <v>29</v>
      </c>
      <c r="Q138" s="7" t="s">
        <v>29</v>
      </c>
      <c r="R138" s="7" t="s">
        <v>29</v>
      </c>
      <c r="S138" s="7" t="s">
        <v>29</v>
      </c>
    </row>
    <row r="139" spans="2:19">
      <c r="B139" s="7" t="s">
        <v>195</v>
      </c>
      <c r="C139" s="8" t="s">
        <v>195</v>
      </c>
      <c r="D139" s="5" t="str">
        <f>LRTRIM(CONCATENATE(IF(SUMPRODUCT(-- ISNUMBER(SEARCH({"Auto Number"}, $B139))) &gt; 0, $B139, IF(SUMPRODUCT(-- ISNUMBER(SEARCH({"Lookup","Master-Detail"}, $B139))) &gt; 0,$B139 &amp; "(" &amp; $E139 &amp; ")",IF(SUMPRODUCT(-- ISNUMBER(SEARCH({"Formula","Roll-Up Summary"}, $B139))) &gt; 0,$B139 &amp; " (" &amp; $E139 &amp; ")",IF(SUMPRODUCT(-- ISNUMBER(SEARCH({"Content","Currency","Number","Percent","Text","URL"}, $B139))) &gt; 0,$B139 &amp; "(" &amp; $C139 &amp; ")",$B139)))), "  ", TRIM(IF($S139 = "YES", "(External ID)", "") &amp; " " &amp; IF(SUMPRODUCT(-- ISNUMBER(SEARCH({"Unique","Unique Case Insensitive"}, $R139))) &gt; 0, "(" &amp; $R139 &amp; ")", ""))))</f>
        <v>na</v>
      </c>
      <c r="E139" s="7" t="s">
        <v>195</v>
      </c>
      <c r="F139" s="7" t="s">
        <v>195</v>
      </c>
      <c r="G139" s="7" t="s">
        <v>195</v>
      </c>
      <c r="H139" s="7" t="s">
        <v>195</v>
      </c>
      <c r="I139" s="7" t="s">
        <v>195</v>
      </c>
      <c r="J139" s="7" t="s">
        <v>195</v>
      </c>
      <c r="K139" s="7" t="s">
        <v>195</v>
      </c>
      <c r="L139" s="7" t="s">
        <v>195</v>
      </c>
      <c r="M139" s="7" t="s">
        <v>29</v>
      </c>
      <c r="N139" s="7" t="s">
        <v>29</v>
      </c>
      <c r="O139" s="7" t="s">
        <v>29</v>
      </c>
      <c r="P139" s="7" t="s">
        <v>29</v>
      </c>
      <c r="Q139" s="7" t="s">
        <v>29</v>
      </c>
      <c r="R139" s="7" t="s">
        <v>29</v>
      </c>
      <c r="S139" s="7" t="s">
        <v>29</v>
      </c>
    </row>
    <row r="140" spans="2:19">
      <c r="B140" s="7" t="s">
        <v>195</v>
      </c>
      <c r="C140" s="8" t="s">
        <v>195</v>
      </c>
      <c r="D140" s="5" t="str">
        <f>LRTRIM(CONCATENATE(IF(SUMPRODUCT(-- ISNUMBER(SEARCH({"Auto Number"}, $B140))) &gt; 0, $B140, IF(SUMPRODUCT(-- ISNUMBER(SEARCH({"Lookup","Master-Detail"}, $B140))) &gt; 0,$B140 &amp; "(" &amp; $E140 &amp; ")",IF(SUMPRODUCT(-- ISNUMBER(SEARCH({"Formula","Roll-Up Summary"}, $B140))) &gt; 0,$B140 &amp; " (" &amp; $E140 &amp; ")",IF(SUMPRODUCT(-- ISNUMBER(SEARCH({"Content","Currency","Number","Percent","Text","URL"}, $B140))) &gt; 0,$B140 &amp; "(" &amp; $C140 &amp; ")",$B140)))), "  ", TRIM(IF($S140 = "YES", "(External ID)", "") &amp; " " &amp; IF(SUMPRODUCT(-- ISNUMBER(SEARCH({"Unique","Unique Case Insensitive"}, $R140))) &gt; 0, "(" &amp; $R140 &amp; ")", ""))))</f>
        <v>na</v>
      </c>
      <c r="E140" s="7" t="s">
        <v>195</v>
      </c>
      <c r="F140" s="7" t="s">
        <v>195</v>
      </c>
      <c r="G140" s="7" t="s">
        <v>195</v>
      </c>
      <c r="H140" s="7" t="s">
        <v>195</v>
      </c>
      <c r="I140" s="7" t="s">
        <v>195</v>
      </c>
      <c r="J140" s="7" t="s">
        <v>195</v>
      </c>
      <c r="K140" s="7" t="s">
        <v>195</v>
      </c>
      <c r="L140" s="7" t="s">
        <v>195</v>
      </c>
      <c r="M140" s="7" t="s">
        <v>29</v>
      </c>
      <c r="N140" s="7" t="s">
        <v>29</v>
      </c>
      <c r="O140" s="7" t="s">
        <v>29</v>
      </c>
      <c r="P140" s="7" t="s">
        <v>29</v>
      </c>
      <c r="Q140" s="7" t="s">
        <v>29</v>
      </c>
      <c r="R140" s="7" t="s">
        <v>29</v>
      </c>
      <c r="S140" s="7" t="s">
        <v>29</v>
      </c>
    </row>
    <row r="141" spans="2:19">
      <c r="B141" s="7" t="s">
        <v>195</v>
      </c>
      <c r="C141" s="8" t="s">
        <v>195</v>
      </c>
      <c r="D141" s="5" t="str">
        <f>LRTRIM(CONCATENATE(IF(SUMPRODUCT(-- ISNUMBER(SEARCH({"Auto Number"}, $B141))) &gt; 0, $B141, IF(SUMPRODUCT(-- ISNUMBER(SEARCH({"Lookup","Master-Detail"}, $B141))) &gt; 0,$B141 &amp; "(" &amp; $E141 &amp; ")",IF(SUMPRODUCT(-- ISNUMBER(SEARCH({"Formula","Roll-Up Summary"}, $B141))) &gt; 0,$B141 &amp; " (" &amp; $E141 &amp; ")",IF(SUMPRODUCT(-- ISNUMBER(SEARCH({"Content","Currency","Number","Percent","Text","URL"}, $B141))) &gt; 0,$B141 &amp; "(" &amp; $C141 &amp; ")",$B141)))), "  ", TRIM(IF($S141 = "YES", "(External ID)", "") &amp; " " &amp; IF(SUMPRODUCT(-- ISNUMBER(SEARCH({"Unique","Unique Case Insensitive"}, $R141))) &gt; 0, "(" &amp; $R141 &amp; ")", ""))))</f>
        <v>na</v>
      </c>
      <c r="E141" s="7" t="s">
        <v>195</v>
      </c>
      <c r="F141" s="7" t="s">
        <v>195</v>
      </c>
      <c r="G141" s="7" t="s">
        <v>195</v>
      </c>
      <c r="H141" s="7" t="s">
        <v>195</v>
      </c>
      <c r="I141" s="7" t="s">
        <v>195</v>
      </c>
      <c r="J141" s="7" t="s">
        <v>195</v>
      </c>
      <c r="K141" s="7" t="s">
        <v>195</v>
      </c>
      <c r="L141" s="7" t="s">
        <v>195</v>
      </c>
      <c r="M141" s="7" t="s">
        <v>29</v>
      </c>
      <c r="N141" s="7" t="s">
        <v>29</v>
      </c>
      <c r="O141" s="7" t="s">
        <v>29</v>
      </c>
      <c r="P141" s="7" t="s">
        <v>29</v>
      </c>
      <c r="Q141" s="7" t="s">
        <v>29</v>
      </c>
      <c r="R141" s="7" t="s">
        <v>29</v>
      </c>
      <c r="S141" s="7" t="s">
        <v>29</v>
      </c>
    </row>
    <row r="142" spans="2:19">
      <c r="B142" s="7" t="s">
        <v>195</v>
      </c>
      <c r="C142" s="8" t="s">
        <v>195</v>
      </c>
      <c r="D142" s="5" t="str">
        <f>LRTRIM(CONCATENATE(IF(SUMPRODUCT(-- ISNUMBER(SEARCH({"Auto Number"}, $B142))) &gt; 0, $B142, IF(SUMPRODUCT(-- ISNUMBER(SEARCH({"Lookup","Master-Detail"}, $B142))) &gt; 0,$B142 &amp; "(" &amp; $E142 &amp; ")",IF(SUMPRODUCT(-- ISNUMBER(SEARCH({"Formula","Roll-Up Summary"}, $B142))) &gt; 0,$B142 &amp; " (" &amp; $E142 &amp; ")",IF(SUMPRODUCT(-- ISNUMBER(SEARCH({"Content","Currency","Number","Percent","Text","URL"}, $B142))) &gt; 0,$B142 &amp; "(" &amp; $C142 &amp; ")",$B142)))), "  ", TRIM(IF($S142 = "YES", "(External ID)", "") &amp; " " &amp; IF(SUMPRODUCT(-- ISNUMBER(SEARCH({"Unique","Unique Case Insensitive"}, $R142))) &gt; 0, "(" &amp; $R142 &amp; ")", ""))))</f>
        <v>na</v>
      </c>
      <c r="E142" s="7" t="s">
        <v>195</v>
      </c>
      <c r="F142" s="7" t="s">
        <v>195</v>
      </c>
      <c r="G142" s="7" t="s">
        <v>195</v>
      </c>
      <c r="H142" s="7" t="s">
        <v>195</v>
      </c>
      <c r="I142" s="7" t="s">
        <v>195</v>
      </c>
      <c r="J142" s="7" t="s">
        <v>195</v>
      </c>
      <c r="K142" s="7" t="s">
        <v>195</v>
      </c>
      <c r="L142" s="7" t="s">
        <v>195</v>
      </c>
      <c r="M142" s="7" t="s">
        <v>29</v>
      </c>
      <c r="N142" s="7" t="s">
        <v>29</v>
      </c>
      <c r="O142" s="7" t="s">
        <v>29</v>
      </c>
      <c r="P142" s="7" t="s">
        <v>29</v>
      </c>
      <c r="Q142" s="7" t="s">
        <v>29</v>
      </c>
      <c r="R142" s="7" t="s">
        <v>29</v>
      </c>
      <c r="S142" s="7" t="s">
        <v>29</v>
      </c>
    </row>
    <row r="143" spans="2:19">
      <c r="B143" s="7" t="s">
        <v>195</v>
      </c>
      <c r="C143" s="8" t="s">
        <v>195</v>
      </c>
      <c r="D143" s="5" t="str">
        <f>LRTRIM(CONCATENATE(IF(SUMPRODUCT(-- ISNUMBER(SEARCH({"Auto Number"}, $B143))) &gt; 0, $B143, IF(SUMPRODUCT(-- ISNUMBER(SEARCH({"Lookup","Master-Detail"}, $B143))) &gt; 0,$B143 &amp; "(" &amp; $E143 &amp; ")",IF(SUMPRODUCT(-- ISNUMBER(SEARCH({"Formula","Roll-Up Summary"}, $B143))) &gt; 0,$B143 &amp; " (" &amp; $E143 &amp; ")",IF(SUMPRODUCT(-- ISNUMBER(SEARCH({"Content","Currency","Number","Percent","Text","URL"}, $B143))) &gt; 0,$B143 &amp; "(" &amp; $C143 &amp; ")",$B143)))), "  ", TRIM(IF($S143 = "YES", "(External ID)", "") &amp; " " &amp; IF(SUMPRODUCT(-- ISNUMBER(SEARCH({"Unique","Unique Case Insensitive"}, $R143))) &gt; 0, "(" &amp; $R143 &amp; ")", ""))))</f>
        <v>na</v>
      </c>
      <c r="E143" s="7" t="s">
        <v>195</v>
      </c>
      <c r="F143" s="7" t="s">
        <v>195</v>
      </c>
      <c r="G143" s="7" t="s">
        <v>195</v>
      </c>
      <c r="H143" s="7" t="s">
        <v>195</v>
      </c>
      <c r="I143" s="7" t="s">
        <v>195</v>
      </c>
      <c r="J143" s="7" t="s">
        <v>195</v>
      </c>
      <c r="K143" s="7" t="s">
        <v>195</v>
      </c>
      <c r="L143" s="7" t="s">
        <v>195</v>
      </c>
      <c r="M143" s="7" t="s">
        <v>29</v>
      </c>
      <c r="N143" s="7" t="s">
        <v>29</v>
      </c>
      <c r="O143" s="7" t="s">
        <v>29</v>
      </c>
      <c r="P143" s="7" t="s">
        <v>29</v>
      </c>
      <c r="Q143" s="7" t="s">
        <v>29</v>
      </c>
      <c r="R143" s="7" t="s">
        <v>29</v>
      </c>
      <c r="S143" s="7" t="s">
        <v>29</v>
      </c>
    </row>
    <row r="144" spans="2:19">
      <c r="B144" s="7" t="s">
        <v>195</v>
      </c>
      <c r="C144" s="8" t="s">
        <v>195</v>
      </c>
      <c r="D144" s="5" t="str">
        <f>LRTRIM(CONCATENATE(IF(SUMPRODUCT(-- ISNUMBER(SEARCH({"Auto Number"}, $B144))) &gt; 0, $B144, IF(SUMPRODUCT(-- ISNUMBER(SEARCH({"Lookup","Master-Detail"}, $B144))) &gt; 0,$B144 &amp; "(" &amp; $E144 &amp; ")",IF(SUMPRODUCT(-- ISNUMBER(SEARCH({"Formula","Roll-Up Summary"}, $B144))) &gt; 0,$B144 &amp; " (" &amp; $E144 &amp; ")",IF(SUMPRODUCT(-- ISNUMBER(SEARCH({"Content","Currency","Number","Percent","Text","URL"}, $B144))) &gt; 0,$B144 &amp; "(" &amp; $C144 &amp; ")",$B144)))), "  ", TRIM(IF($S144 = "YES", "(External ID)", "") &amp; " " &amp; IF(SUMPRODUCT(-- ISNUMBER(SEARCH({"Unique","Unique Case Insensitive"}, $R144))) &gt; 0, "(" &amp; $R144 &amp; ")", ""))))</f>
        <v>na</v>
      </c>
      <c r="E144" s="7" t="s">
        <v>195</v>
      </c>
      <c r="F144" s="7" t="s">
        <v>195</v>
      </c>
      <c r="G144" s="7" t="s">
        <v>195</v>
      </c>
      <c r="H144" s="7" t="s">
        <v>195</v>
      </c>
      <c r="I144" s="7" t="s">
        <v>195</v>
      </c>
      <c r="J144" s="7" t="s">
        <v>195</v>
      </c>
      <c r="K144" s="7" t="s">
        <v>195</v>
      </c>
      <c r="L144" s="7" t="s">
        <v>195</v>
      </c>
      <c r="M144" s="7" t="s">
        <v>29</v>
      </c>
      <c r="N144" s="7" t="s">
        <v>29</v>
      </c>
      <c r="O144" s="7" t="s">
        <v>29</v>
      </c>
      <c r="P144" s="7" t="s">
        <v>29</v>
      </c>
      <c r="Q144" s="7" t="s">
        <v>29</v>
      </c>
      <c r="R144" s="7" t="s">
        <v>29</v>
      </c>
      <c r="S144" s="7" t="s">
        <v>29</v>
      </c>
    </row>
    <row r="145" spans="2:19">
      <c r="B145" s="7" t="s">
        <v>195</v>
      </c>
      <c r="C145" s="8" t="s">
        <v>195</v>
      </c>
      <c r="D145" s="5" t="str">
        <f>LRTRIM(CONCATENATE(IF(SUMPRODUCT(-- ISNUMBER(SEARCH({"Auto Number"}, $B145))) &gt; 0, $B145, IF(SUMPRODUCT(-- ISNUMBER(SEARCH({"Lookup","Master-Detail"}, $B145))) &gt; 0,$B145 &amp; "(" &amp; $E145 &amp; ")",IF(SUMPRODUCT(-- ISNUMBER(SEARCH({"Formula","Roll-Up Summary"}, $B145))) &gt; 0,$B145 &amp; " (" &amp; $E145 &amp; ")",IF(SUMPRODUCT(-- ISNUMBER(SEARCH({"Content","Currency","Number","Percent","Text","URL"}, $B145))) &gt; 0,$B145 &amp; "(" &amp; $C145 &amp; ")",$B145)))), "  ", TRIM(IF($S145 = "YES", "(External ID)", "") &amp; " " &amp; IF(SUMPRODUCT(-- ISNUMBER(SEARCH({"Unique","Unique Case Insensitive"}, $R145))) &gt; 0, "(" &amp; $R145 &amp; ")", ""))))</f>
        <v>na</v>
      </c>
      <c r="E145" s="7" t="s">
        <v>195</v>
      </c>
      <c r="F145" s="7" t="s">
        <v>195</v>
      </c>
      <c r="G145" s="7" t="s">
        <v>195</v>
      </c>
      <c r="H145" s="7" t="s">
        <v>195</v>
      </c>
      <c r="I145" s="7" t="s">
        <v>195</v>
      </c>
      <c r="J145" s="7" t="s">
        <v>195</v>
      </c>
      <c r="K145" s="7" t="s">
        <v>195</v>
      </c>
      <c r="L145" s="7" t="s">
        <v>195</v>
      </c>
      <c r="M145" s="7" t="s">
        <v>29</v>
      </c>
      <c r="N145" s="7" t="s">
        <v>29</v>
      </c>
      <c r="O145" s="7" t="s">
        <v>29</v>
      </c>
      <c r="P145" s="7" t="s">
        <v>29</v>
      </c>
      <c r="Q145" s="7" t="s">
        <v>29</v>
      </c>
      <c r="R145" s="7" t="s">
        <v>29</v>
      </c>
      <c r="S145" s="7" t="s">
        <v>29</v>
      </c>
    </row>
    <row r="146" spans="2:19">
      <c r="B146" s="7" t="s">
        <v>195</v>
      </c>
      <c r="C146" s="8" t="s">
        <v>195</v>
      </c>
      <c r="D146" s="5" t="str">
        <f>LRTRIM(CONCATENATE(IF(SUMPRODUCT(-- ISNUMBER(SEARCH({"Auto Number"}, $B146))) &gt; 0, $B146, IF(SUMPRODUCT(-- ISNUMBER(SEARCH({"Lookup","Master-Detail"}, $B146))) &gt; 0,$B146 &amp; "(" &amp; $E146 &amp; ")",IF(SUMPRODUCT(-- ISNUMBER(SEARCH({"Formula","Roll-Up Summary"}, $B146))) &gt; 0,$B146 &amp; " (" &amp; $E146 &amp; ")",IF(SUMPRODUCT(-- ISNUMBER(SEARCH({"Content","Currency","Number","Percent","Text","URL"}, $B146))) &gt; 0,$B146 &amp; "(" &amp; $C146 &amp; ")",$B146)))), "  ", TRIM(IF($S146 = "YES", "(External ID)", "") &amp; " " &amp; IF(SUMPRODUCT(-- ISNUMBER(SEARCH({"Unique","Unique Case Insensitive"}, $R146))) &gt; 0, "(" &amp; $R146 &amp; ")", ""))))</f>
        <v>na</v>
      </c>
      <c r="E146" s="7" t="s">
        <v>195</v>
      </c>
      <c r="F146" s="7" t="s">
        <v>195</v>
      </c>
      <c r="G146" s="7" t="s">
        <v>195</v>
      </c>
      <c r="H146" s="7" t="s">
        <v>195</v>
      </c>
      <c r="I146" s="7" t="s">
        <v>195</v>
      </c>
      <c r="J146" s="7" t="s">
        <v>195</v>
      </c>
      <c r="K146" s="7" t="s">
        <v>195</v>
      </c>
      <c r="L146" s="7" t="s">
        <v>195</v>
      </c>
      <c r="M146" s="7" t="s">
        <v>29</v>
      </c>
      <c r="N146" s="7" t="s">
        <v>29</v>
      </c>
      <c r="O146" s="7" t="s">
        <v>29</v>
      </c>
      <c r="P146" s="7" t="s">
        <v>29</v>
      </c>
      <c r="Q146" s="7" t="s">
        <v>29</v>
      </c>
      <c r="R146" s="7" t="s">
        <v>29</v>
      </c>
      <c r="S146" s="7" t="s">
        <v>29</v>
      </c>
    </row>
    <row r="147" spans="2:19">
      <c r="B147" s="7" t="s">
        <v>195</v>
      </c>
      <c r="C147" s="8" t="s">
        <v>195</v>
      </c>
      <c r="D147" s="5" t="str">
        <f>LRTRIM(CONCATENATE(IF(SUMPRODUCT(-- ISNUMBER(SEARCH({"Auto Number"}, $B147))) &gt; 0, $B147, IF(SUMPRODUCT(-- ISNUMBER(SEARCH({"Lookup","Master-Detail"}, $B147))) &gt; 0,$B147 &amp; "(" &amp; $E147 &amp; ")",IF(SUMPRODUCT(-- ISNUMBER(SEARCH({"Formula","Roll-Up Summary"}, $B147))) &gt; 0,$B147 &amp; " (" &amp; $E147 &amp; ")",IF(SUMPRODUCT(-- ISNUMBER(SEARCH({"Content","Currency","Number","Percent","Text","URL"}, $B147))) &gt; 0,$B147 &amp; "(" &amp; $C147 &amp; ")",$B147)))), "  ", TRIM(IF($S147 = "YES", "(External ID)", "") &amp; " " &amp; IF(SUMPRODUCT(-- ISNUMBER(SEARCH({"Unique","Unique Case Insensitive"}, $R147))) &gt; 0, "(" &amp; $R147 &amp; ")", ""))))</f>
        <v>na</v>
      </c>
      <c r="E147" s="7" t="s">
        <v>195</v>
      </c>
      <c r="F147" s="7" t="s">
        <v>195</v>
      </c>
      <c r="G147" s="7" t="s">
        <v>195</v>
      </c>
      <c r="H147" s="7" t="s">
        <v>195</v>
      </c>
      <c r="I147" s="7" t="s">
        <v>195</v>
      </c>
      <c r="J147" s="7" t="s">
        <v>195</v>
      </c>
      <c r="K147" s="7" t="s">
        <v>195</v>
      </c>
      <c r="L147" s="7" t="s">
        <v>195</v>
      </c>
      <c r="M147" s="7" t="s">
        <v>29</v>
      </c>
      <c r="N147" s="7" t="s">
        <v>29</v>
      </c>
      <c r="O147" s="7" t="s">
        <v>29</v>
      </c>
      <c r="P147" s="7" t="s">
        <v>29</v>
      </c>
      <c r="Q147" s="7" t="s">
        <v>29</v>
      </c>
      <c r="R147" s="7" t="s">
        <v>29</v>
      </c>
      <c r="S147" s="7" t="s">
        <v>29</v>
      </c>
    </row>
    <row r="148" spans="2:19">
      <c r="B148" s="7" t="s">
        <v>195</v>
      </c>
      <c r="C148" s="8" t="s">
        <v>195</v>
      </c>
      <c r="D148" s="5" t="str">
        <f>LRTRIM(CONCATENATE(IF(SUMPRODUCT(-- ISNUMBER(SEARCH({"Auto Number"}, $B148))) &gt; 0, $B148, IF(SUMPRODUCT(-- ISNUMBER(SEARCH({"Lookup","Master-Detail"}, $B148))) &gt; 0,$B148 &amp; "(" &amp; $E148 &amp; ")",IF(SUMPRODUCT(-- ISNUMBER(SEARCH({"Formula","Roll-Up Summary"}, $B148))) &gt; 0,$B148 &amp; " (" &amp; $E148 &amp; ")",IF(SUMPRODUCT(-- ISNUMBER(SEARCH({"Content","Currency","Number","Percent","Text","URL"}, $B148))) &gt; 0,$B148 &amp; "(" &amp; $C148 &amp; ")",$B148)))), "  ", TRIM(IF($S148 = "YES", "(External ID)", "") &amp; " " &amp; IF(SUMPRODUCT(-- ISNUMBER(SEARCH({"Unique","Unique Case Insensitive"}, $R148))) &gt; 0, "(" &amp; $R148 &amp; ")", ""))))</f>
        <v>na</v>
      </c>
      <c r="E148" s="7" t="s">
        <v>195</v>
      </c>
      <c r="F148" s="7" t="s">
        <v>195</v>
      </c>
      <c r="G148" s="7" t="s">
        <v>195</v>
      </c>
      <c r="H148" s="7" t="s">
        <v>195</v>
      </c>
      <c r="I148" s="7" t="s">
        <v>195</v>
      </c>
      <c r="J148" s="7" t="s">
        <v>195</v>
      </c>
      <c r="K148" s="7" t="s">
        <v>195</v>
      </c>
      <c r="L148" s="7" t="s">
        <v>195</v>
      </c>
      <c r="M148" s="7" t="s">
        <v>29</v>
      </c>
      <c r="N148" s="7" t="s">
        <v>29</v>
      </c>
      <c r="O148" s="7" t="s">
        <v>29</v>
      </c>
      <c r="P148" s="7" t="s">
        <v>29</v>
      </c>
      <c r="Q148" s="7" t="s">
        <v>29</v>
      </c>
      <c r="R148" s="7" t="s">
        <v>29</v>
      </c>
      <c r="S148" s="7" t="s">
        <v>29</v>
      </c>
    </row>
    <row r="149" spans="2:19">
      <c r="B149" s="7" t="s">
        <v>195</v>
      </c>
      <c r="C149" s="8" t="s">
        <v>195</v>
      </c>
      <c r="D149" s="5" t="str">
        <f>LRTRIM(CONCATENATE(IF(SUMPRODUCT(-- ISNUMBER(SEARCH({"Auto Number"}, $B149))) &gt; 0, $B149, IF(SUMPRODUCT(-- ISNUMBER(SEARCH({"Lookup","Master-Detail"}, $B149))) &gt; 0,$B149 &amp; "(" &amp; $E149 &amp; ")",IF(SUMPRODUCT(-- ISNUMBER(SEARCH({"Formula","Roll-Up Summary"}, $B149))) &gt; 0,$B149 &amp; " (" &amp; $E149 &amp; ")",IF(SUMPRODUCT(-- ISNUMBER(SEARCH({"Content","Currency","Number","Percent","Text","URL"}, $B149))) &gt; 0,$B149 &amp; "(" &amp; $C149 &amp; ")",$B149)))), "  ", TRIM(IF($S149 = "YES", "(External ID)", "") &amp; " " &amp; IF(SUMPRODUCT(-- ISNUMBER(SEARCH({"Unique","Unique Case Insensitive"}, $R149))) &gt; 0, "(" &amp; $R149 &amp; ")", ""))))</f>
        <v>na</v>
      </c>
      <c r="E149" s="7" t="s">
        <v>195</v>
      </c>
      <c r="F149" s="7" t="s">
        <v>195</v>
      </c>
      <c r="G149" s="7" t="s">
        <v>195</v>
      </c>
      <c r="H149" s="7" t="s">
        <v>195</v>
      </c>
      <c r="I149" s="7" t="s">
        <v>195</v>
      </c>
      <c r="J149" s="7" t="s">
        <v>195</v>
      </c>
      <c r="K149" s="7" t="s">
        <v>195</v>
      </c>
      <c r="L149" s="7" t="s">
        <v>195</v>
      </c>
      <c r="M149" s="7" t="s">
        <v>29</v>
      </c>
      <c r="N149" s="7" t="s">
        <v>29</v>
      </c>
      <c r="O149" s="7" t="s">
        <v>29</v>
      </c>
      <c r="P149" s="7" t="s">
        <v>29</v>
      </c>
      <c r="Q149" s="7" t="s">
        <v>29</v>
      </c>
      <c r="R149" s="7" t="s">
        <v>29</v>
      </c>
      <c r="S149" s="7" t="s">
        <v>29</v>
      </c>
    </row>
    <row r="150" spans="2:19">
      <c r="B150" s="7" t="s">
        <v>195</v>
      </c>
      <c r="C150" s="8" t="s">
        <v>195</v>
      </c>
      <c r="D150" s="5" t="str">
        <f>LRTRIM(CONCATENATE(IF(SUMPRODUCT(-- ISNUMBER(SEARCH({"Auto Number"}, $B150))) &gt; 0, $B150, IF(SUMPRODUCT(-- ISNUMBER(SEARCH({"Lookup","Master-Detail"}, $B150))) &gt; 0,$B150 &amp; "(" &amp; $E150 &amp; ")",IF(SUMPRODUCT(-- ISNUMBER(SEARCH({"Formula","Roll-Up Summary"}, $B150))) &gt; 0,$B150 &amp; " (" &amp; $E150 &amp; ")",IF(SUMPRODUCT(-- ISNUMBER(SEARCH({"Content","Currency","Number","Percent","Text","URL"}, $B150))) &gt; 0,$B150 &amp; "(" &amp; $C150 &amp; ")",$B150)))), "  ", TRIM(IF($S150 = "YES", "(External ID)", "") &amp; " " &amp; IF(SUMPRODUCT(-- ISNUMBER(SEARCH({"Unique","Unique Case Insensitive"}, $R150))) &gt; 0, "(" &amp; $R150 &amp; ")", ""))))</f>
        <v>na</v>
      </c>
      <c r="E150" s="7" t="s">
        <v>195</v>
      </c>
      <c r="F150" s="7" t="s">
        <v>195</v>
      </c>
      <c r="G150" s="7" t="s">
        <v>195</v>
      </c>
      <c r="H150" s="7" t="s">
        <v>195</v>
      </c>
      <c r="I150" s="7" t="s">
        <v>195</v>
      </c>
      <c r="J150" s="7" t="s">
        <v>195</v>
      </c>
      <c r="K150" s="7" t="s">
        <v>195</v>
      </c>
      <c r="L150" s="7" t="s">
        <v>195</v>
      </c>
      <c r="M150" s="7" t="s">
        <v>29</v>
      </c>
      <c r="N150" s="7" t="s">
        <v>29</v>
      </c>
      <c r="O150" s="7" t="s">
        <v>29</v>
      </c>
      <c r="P150" s="7" t="s">
        <v>29</v>
      </c>
      <c r="Q150" s="7" t="s">
        <v>29</v>
      </c>
      <c r="R150" s="7" t="s">
        <v>29</v>
      </c>
      <c r="S150" s="7" t="s">
        <v>29</v>
      </c>
    </row>
    <row r="151" spans="2:19">
      <c r="B151" s="7" t="s">
        <v>195</v>
      </c>
      <c r="C151" s="8" t="s">
        <v>195</v>
      </c>
      <c r="D151" s="5" t="str">
        <f>LRTRIM(CONCATENATE(IF(SUMPRODUCT(-- ISNUMBER(SEARCH({"Auto Number"}, $B151))) &gt; 0, $B151, IF(SUMPRODUCT(-- ISNUMBER(SEARCH({"Lookup","Master-Detail"}, $B151))) &gt; 0,$B151 &amp; "(" &amp; $E151 &amp; ")",IF(SUMPRODUCT(-- ISNUMBER(SEARCH({"Formula","Roll-Up Summary"}, $B151))) &gt; 0,$B151 &amp; " (" &amp; $E151 &amp; ")",IF(SUMPRODUCT(-- ISNUMBER(SEARCH({"Content","Currency","Number","Percent","Text","URL"}, $B151))) &gt; 0,$B151 &amp; "(" &amp; $C151 &amp; ")",$B151)))), "  ", TRIM(IF($S151 = "YES", "(External ID)", "") &amp; " " &amp; IF(SUMPRODUCT(-- ISNUMBER(SEARCH({"Unique","Unique Case Insensitive"}, $R151))) &gt; 0, "(" &amp; $R151 &amp; ")", ""))))</f>
        <v>na</v>
      </c>
      <c r="E151" s="7" t="s">
        <v>195</v>
      </c>
      <c r="F151" s="7" t="s">
        <v>195</v>
      </c>
      <c r="G151" s="7" t="s">
        <v>195</v>
      </c>
      <c r="H151" s="7" t="s">
        <v>195</v>
      </c>
      <c r="I151" s="7" t="s">
        <v>195</v>
      </c>
      <c r="J151" s="7" t="s">
        <v>195</v>
      </c>
      <c r="K151" s="7" t="s">
        <v>195</v>
      </c>
      <c r="L151" s="7" t="s">
        <v>195</v>
      </c>
      <c r="M151" s="7" t="s">
        <v>29</v>
      </c>
      <c r="N151" s="7" t="s">
        <v>29</v>
      </c>
      <c r="O151" s="7" t="s">
        <v>29</v>
      </c>
      <c r="P151" s="7" t="s">
        <v>29</v>
      </c>
      <c r="Q151" s="7" t="s">
        <v>29</v>
      </c>
      <c r="R151" s="7" t="s">
        <v>29</v>
      </c>
      <c r="S151" s="7" t="s">
        <v>29</v>
      </c>
    </row>
    <row r="152" spans="2:19">
      <c r="B152" s="7" t="s">
        <v>195</v>
      </c>
      <c r="C152" s="8" t="s">
        <v>195</v>
      </c>
      <c r="D152" s="5" t="str">
        <f>LRTRIM(CONCATENATE(IF(SUMPRODUCT(-- ISNUMBER(SEARCH({"Auto Number"}, $B152))) &gt; 0, $B152, IF(SUMPRODUCT(-- ISNUMBER(SEARCH({"Lookup","Master-Detail"}, $B152))) &gt; 0,$B152 &amp; "(" &amp; $E152 &amp; ")",IF(SUMPRODUCT(-- ISNUMBER(SEARCH({"Formula","Roll-Up Summary"}, $B152))) &gt; 0,$B152 &amp; " (" &amp; $E152 &amp; ")",IF(SUMPRODUCT(-- ISNUMBER(SEARCH({"Content","Currency","Number","Percent","Text","URL"}, $B152))) &gt; 0,$B152 &amp; "(" &amp; $C152 &amp; ")",$B152)))), "  ", TRIM(IF($S152 = "YES", "(External ID)", "") &amp; " " &amp; IF(SUMPRODUCT(-- ISNUMBER(SEARCH({"Unique","Unique Case Insensitive"}, $R152))) &gt; 0, "(" &amp; $R152 &amp; ")", ""))))</f>
        <v>na</v>
      </c>
      <c r="E152" s="7" t="s">
        <v>195</v>
      </c>
      <c r="F152" s="7" t="s">
        <v>195</v>
      </c>
      <c r="G152" s="7" t="s">
        <v>195</v>
      </c>
      <c r="H152" s="7" t="s">
        <v>195</v>
      </c>
      <c r="I152" s="7" t="s">
        <v>195</v>
      </c>
      <c r="J152" s="7" t="s">
        <v>195</v>
      </c>
      <c r="K152" s="7" t="s">
        <v>195</v>
      </c>
      <c r="L152" s="7" t="s">
        <v>195</v>
      </c>
      <c r="M152" s="7" t="s">
        <v>29</v>
      </c>
      <c r="N152" s="7" t="s">
        <v>29</v>
      </c>
      <c r="O152" s="7" t="s">
        <v>29</v>
      </c>
      <c r="P152" s="7" t="s">
        <v>29</v>
      </c>
      <c r="Q152" s="7" t="s">
        <v>29</v>
      </c>
      <c r="R152" s="7" t="s">
        <v>29</v>
      </c>
      <c r="S152" s="7" t="s">
        <v>29</v>
      </c>
    </row>
    <row r="153" spans="2:19">
      <c r="B153" s="7" t="s">
        <v>195</v>
      </c>
      <c r="C153" s="8" t="s">
        <v>195</v>
      </c>
      <c r="D153" s="5" t="str">
        <f>LRTRIM(CONCATENATE(IF(SUMPRODUCT(-- ISNUMBER(SEARCH({"Auto Number"}, $B153))) &gt; 0, $B153, IF(SUMPRODUCT(-- ISNUMBER(SEARCH({"Lookup","Master-Detail"}, $B153))) &gt; 0,$B153 &amp; "(" &amp; $E153 &amp; ")",IF(SUMPRODUCT(-- ISNUMBER(SEARCH({"Formula","Roll-Up Summary"}, $B153))) &gt; 0,$B153 &amp; " (" &amp; $E153 &amp; ")",IF(SUMPRODUCT(-- ISNUMBER(SEARCH({"Content","Currency","Number","Percent","Text","URL"}, $B153))) &gt; 0,$B153 &amp; "(" &amp; $C153 &amp; ")",$B153)))), "  ", TRIM(IF($S153 = "YES", "(External ID)", "") &amp; " " &amp; IF(SUMPRODUCT(-- ISNUMBER(SEARCH({"Unique","Unique Case Insensitive"}, $R153))) &gt; 0, "(" &amp; $R153 &amp; ")", ""))))</f>
        <v>na</v>
      </c>
      <c r="E153" s="7" t="s">
        <v>195</v>
      </c>
      <c r="F153" s="7" t="s">
        <v>195</v>
      </c>
      <c r="G153" s="7" t="s">
        <v>195</v>
      </c>
      <c r="H153" s="7" t="s">
        <v>195</v>
      </c>
      <c r="I153" s="7" t="s">
        <v>195</v>
      </c>
      <c r="J153" s="7" t="s">
        <v>195</v>
      </c>
      <c r="K153" s="7" t="s">
        <v>195</v>
      </c>
      <c r="L153" s="7" t="s">
        <v>195</v>
      </c>
      <c r="M153" s="7" t="s">
        <v>29</v>
      </c>
      <c r="N153" s="7" t="s">
        <v>29</v>
      </c>
      <c r="O153" s="7" t="s">
        <v>29</v>
      </c>
      <c r="P153" s="7" t="s">
        <v>29</v>
      </c>
      <c r="Q153" s="7" t="s">
        <v>29</v>
      </c>
      <c r="R153" s="7" t="s">
        <v>29</v>
      </c>
      <c r="S153" s="7" t="s">
        <v>29</v>
      </c>
    </row>
    <row r="154" spans="2:19">
      <c r="B154" s="7" t="s">
        <v>195</v>
      </c>
      <c r="C154" s="8" t="s">
        <v>195</v>
      </c>
      <c r="D154" s="5" t="str">
        <f>LRTRIM(CONCATENATE(IF(SUMPRODUCT(-- ISNUMBER(SEARCH({"Auto Number"}, $B154))) &gt; 0, $B154, IF(SUMPRODUCT(-- ISNUMBER(SEARCH({"Lookup","Master-Detail"}, $B154))) &gt; 0,$B154 &amp; "(" &amp; $E154 &amp; ")",IF(SUMPRODUCT(-- ISNUMBER(SEARCH({"Formula","Roll-Up Summary"}, $B154))) &gt; 0,$B154 &amp; " (" &amp; $E154 &amp; ")",IF(SUMPRODUCT(-- ISNUMBER(SEARCH({"Content","Currency","Number","Percent","Text","URL"}, $B154))) &gt; 0,$B154 &amp; "(" &amp; $C154 &amp; ")",$B154)))), "  ", TRIM(IF($S154 = "YES", "(External ID)", "") &amp; " " &amp; IF(SUMPRODUCT(-- ISNUMBER(SEARCH({"Unique","Unique Case Insensitive"}, $R154))) &gt; 0, "(" &amp; $R154 &amp; ")", ""))))</f>
        <v>na</v>
      </c>
      <c r="E154" s="7" t="s">
        <v>195</v>
      </c>
      <c r="F154" s="7" t="s">
        <v>195</v>
      </c>
      <c r="G154" s="7" t="s">
        <v>195</v>
      </c>
      <c r="H154" s="7" t="s">
        <v>195</v>
      </c>
      <c r="I154" s="7" t="s">
        <v>195</v>
      </c>
      <c r="J154" s="7" t="s">
        <v>195</v>
      </c>
      <c r="K154" s="7" t="s">
        <v>195</v>
      </c>
      <c r="L154" s="7" t="s">
        <v>195</v>
      </c>
      <c r="M154" s="7" t="s">
        <v>29</v>
      </c>
      <c r="N154" s="7" t="s">
        <v>29</v>
      </c>
      <c r="O154" s="7" t="s">
        <v>29</v>
      </c>
      <c r="P154" s="7" t="s">
        <v>29</v>
      </c>
      <c r="Q154" s="7" t="s">
        <v>29</v>
      </c>
      <c r="R154" s="7" t="s">
        <v>29</v>
      </c>
      <c r="S154" s="7" t="s">
        <v>29</v>
      </c>
    </row>
    <row r="155" spans="2:19">
      <c r="B155" s="7" t="s">
        <v>195</v>
      </c>
      <c r="C155" s="8" t="s">
        <v>195</v>
      </c>
      <c r="D155" s="5" t="str">
        <f>LRTRIM(CONCATENATE(IF(SUMPRODUCT(-- ISNUMBER(SEARCH({"Auto Number"}, $B155))) &gt; 0, $B155, IF(SUMPRODUCT(-- ISNUMBER(SEARCH({"Lookup","Master-Detail"}, $B155))) &gt; 0,$B155 &amp; "(" &amp; $E155 &amp; ")",IF(SUMPRODUCT(-- ISNUMBER(SEARCH({"Formula","Roll-Up Summary"}, $B155))) &gt; 0,$B155 &amp; " (" &amp; $E155 &amp; ")",IF(SUMPRODUCT(-- ISNUMBER(SEARCH({"Content","Currency","Number","Percent","Text","URL"}, $B155))) &gt; 0,$B155 &amp; "(" &amp; $C155 &amp; ")",$B155)))), "  ", TRIM(IF($S155 = "YES", "(External ID)", "") &amp; " " &amp; IF(SUMPRODUCT(-- ISNUMBER(SEARCH({"Unique","Unique Case Insensitive"}, $R155))) &gt; 0, "(" &amp; $R155 &amp; ")", ""))))</f>
        <v>na</v>
      </c>
      <c r="E155" s="7" t="s">
        <v>195</v>
      </c>
      <c r="F155" s="7" t="s">
        <v>195</v>
      </c>
      <c r="G155" s="7" t="s">
        <v>195</v>
      </c>
      <c r="H155" s="7" t="s">
        <v>195</v>
      </c>
      <c r="I155" s="7" t="s">
        <v>195</v>
      </c>
      <c r="J155" s="7" t="s">
        <v>195</v>
      </c>
      <c r="K155" s="7" t="s">
        <v>195</v>
      </c>
      <c r="L155" s="7" t="s">
        <v>195</v>
      </c>
      <c r="M155" s="7" t="s">
        <v>29</v>
      </c>
      <c r="N155" s="7" t="s">
        <v>29</v>
      </c>
      <c r="O155" s="7" t="s">
        <v>29</v>
      </c>
      <c r="P155" s="7" t="s">
        <v>29</v>
      </c>
      <c r="Q155" s="7" t="s">
        <v>29</v>
      </c>
      <c r="R155" s="7" t="s">
        <v>29</v>
      </c>
      <c r="S155" s="7" t="s">
        <v>29</v>
      </c>
    </row>
    <row r="156" spans="2:19">
      <c r="B156" s="7" t="s">
        <v>195</v>
      </c>
      <c r="C156" s="8" t="s">
        <v>195</v>
      </c>
      <c r="D156" s="5" t="str">
        <f>LRTRIM(CONCATENATE(IF(SUMPRODUCT(-- ISNUMBER(SEARCH({"Auto Number"}, $B156))) &gt; 0, $B156, IF(SUMPRODUCT(-- ISNUMBER(SEARCH({"Lookup","Master-Detail"}, $B156))) &gt; 0,$B156 &amp; "(" &amp; $E156 &amp; ")",IF(SUMPRODUCT(-- ISNUMBER(SEARCH({"Formula","Roll-Up Summary"}, $B156))) &gt; 0,$B156 &amp; " (" &amp; $E156 &amp; ")",IF(SUMPRODUCT(-- ISNUMBER(SEARCH({"Content","Currency","Number","Percent","Text","URL"}, $B156))) &gt; 0,$B156 &amp; "(" &amp; $C156 &amp; ")",$B156)))), "  ", TRIM(IF($S156 = "YES", "(External ID)", "") &amp; " " &amp; IF(SUMPRODUCT(-- ISNUMBER(SEARCH({"Unique","Unique Case Insensitive"}, $R156))) &gt; 0, "(" &amp; $R156 &amp; ")", ""))))</f>
        <v>na</v>
      </c>
      <c r="E156" s="7" t="s">
        <v>195</v>
      </c>
      <c r="F156" s="7" t="s">
        <v>195</v>
      </c>
      <c r="G156" s="7" t="s">
        <v>195</v>
      </c>
      <c r="H156" s="7" t="s">
        <v>195</v>
      </c>
      <c r="I156" s="7" t="s">
        <v>195</v>
      </c>
      <c r="J156" s="7" t="s">
        <v>195</v>
      </c>
      <c r="K156" s="7" t="s">
        <v>195</v>
      </c>
      <c r="L156" s="7" t="s">
        <v>195</v>
      </c>
      <c r="M156" s="7" t="s">
        <v>29</v>
      </c>
      <c r="N156" s="7" t="s">
        <v>29</v>
      </c>
      <c r="O156" s="7" t="s">
        <v>29</v>
      </c>
      <c r="P156" s="7" t="s">
        <v>29</v>
      </c>
      <c r="Q156" s="7" t="s">
        <v>29</v>
      </c>
      <c r="R156" s="7" t="s">
        <v>29</v>
      </c>
      <c r="S156" s="7" t="s">
        <v>29</v>
      </c>
    </row>
    <row r="157" spans="2:19">
      <c r="B157" s="7" t="s">
        <v>195</v>
      </c>
      <c r="C157" s="8" t="s">
        <v>195</v>
      </c>
      <c r="D157" s="5" t="str">
        <f>LRTRIM(CONCATENATE(IF(SUMPRODUCT(-- ISNUMBER(SEARCH({"Auto Number"}, $B157))) &gt; 0, $B157, IF(SUMPRODUCT(-- ISNUMBER(SEARCH({"Lookup","Master-Detail"}, $B157))) &gt; 0,$B157 &amp; "(" &amp; $E157 &amp; ")",IF(SUMPRODUCT(-- ISNUMBER(SEARCH({"Formula","Roll-Up Summary"}, $B157))) &gt; 0,$B157 &amp; " (" &amp; $E157 &amp; ")",IF(SUMPRODUCT(-- ISNUMBER(SEARCH({"Content","Currency","Number","Percent","Text","URL"}, $B157))) &gt; 0,$B157 &amp; "(" &amp; $C157 &amp; ")",$B157)))), "  ", TRIM(IF($S157 = "YES", "(External ID)", "") &amp; " " &amp; IF(SUMPRODUCT(-- ISNUMBER(SEARCH({"Unique","Unique Case Insensitive"}, $R157))) &gt; 0, "(" &amp; $R157 &amp; ")", ""))))</f>
        <v>na</v>
      </c>
      <c r="E157" s="7" t="s">
        <v>195</v>
      </c>
      <c r="F157" s="7" t="s">
        <v>195</v>
      </c>
      <c r="G157" s="7" t="s">
        <v>195</v>
      </c>
      <c r="H157" s="7" t="s">
        <v>195</v>
      </c>
      <c r="I157" s="7" t="s">
        <v>195</v>
      </c>
      <c r="J157" s="7" t="s">
        <v>195</v>
      </c>
      <c r="K157" s="7" t="s">
        <v>195</v>
      </c>
      <c r="L157" s="7" t="s">
        <v>195</v>
      </c>
      <c r="M157" s="7" t="s">
        <v>29</v>
      </c>
      <c r="N157" s="7" t="s">
        <v>29</v>
      </c>
      <c r="O157" s="7" t="s">
        <v>29</v>
      </c>
      <c r="P157" s="7" t="s">
        <v>29</v>
      </c>
      <c r="Q157" s="7" t="s">
        <v>29</v>
      </c>
      <c r="R157" s="7" t="s">
        <v>29</v>
      </c>
      <c r="S157" s="7" t="s">
        <v>29</v>
      </c>
    </row>
    <row r="158" spans="2:19">
      <c r="B158" s="7" t="s">
        <v>195</v>
      </c>
      <c r="C158" s="8" t="s">
        <v>195</v>
      </c>
      <c r="D158" s="5" t="str">
        <f>LRTRIM(CONCATENATE(IF(SUMPRODUCT(-- ISNUMBER(SEARCH({"Auto Number"}, $B158))) &gt; 0, $B158, IF(SUMPRODUCT(-- ISNUMBER(SEARCH({"Lookup","Master-Detail"}, $B158))) &gt; 0,$B158 &amp; "(" &amp; $E158 &amp; ")",IF(SUMPRODUCT(-- ISNUMBER(SEARCH({"Formula","Roll-Up Summary"}, $B158))) &gt; 0,$B158 &amp; " (" &amp; $E158 &amp; ")",IF(SUMPRODUCT(-- ISNUMBER(SEARCH({"Content","Currency","Number","Percent","Text","URL"}, $B158))) &gt; 0,$B158 &amp; "(" &amp; $C158 &amp; ")",$B158)))), "  ", TRIM(IF($S158 = "YES", "(External ID)", "") &amp; " " &amp; IF(SUMPRODUCT(-- ISNUMBER(SEARCH({"Unique","Unique Case Insensitive"}, $R158))) &gt; 0, "(" &amp; $R158 &amp; ")", ""))))</f>
        <v>na</v>
      </c>
      <c r="E158" s="7" t="s">
        <v>195</v>
      </c>
      <c r="F158" s="7" t="s">
        <v>195</v>
      </c>
      <c r="G158" s="7" t="s">
        <v>195</v>
      </c>
      <c r="H158" s="7" t="s">
        <v>195</v>
      </c>
      <c r="I158" s="7" t="s">
        <v>195</v>
      </c>
      <c r="J158" s="7" t="s">
        <v>195</v>
      </c>
      <c r="K158" s="7" t="s">
        <v>195</v>
      </c>
      <c r="L158" s="7" t="s">
        <v>195</v>
      </c>
      <c r="M158" s="7" t="s">
        <v>29</v>
      </c>
      <c r="N158" s="7" t="s">
        <v>29</v>
      </c>
      <c r="O158" s="7" t="s">
        <v>29</v>
      </c>
      <c r="P158" s="7" t="s">
        <v>29</v>
      </c>
      <c r="Q158" s="7" t="s">
        <v>29</v>
      </c>
      <c r="R158" s="7" t="s">
        <v>29</v>
      </c>
      <c r="S158" s="7" t="s">
        <v>29</v>
      </c>
    </row>
    <row r="159" spans="2:19">
      <c r="B159" s="7" t="s">
        <v>195</v>
      </c>
      <c r="C159" s="8" t="s">
        <v>195</v>
      </c>
      <c r="D159" s="5" t="str">
        <f>LRTRIM(CONCATENATE(IF(SUMPRODUCT(-- ISNUMBER(SEARCH({"Auto Number"}, $B159))) &gt; 0, $B159, IF(SUMPRODUCT(-- ISNUMBER(SEARCH({"Lookup","Master-Detail"}, $B159))) &gt; 0,$B159 &amp; "(" &amp; $E159 &amp; ")",IF(SUMPRODUCT(-- ISNUMBER(SEARCH({"Formula","Roll-Up Summary"}, $B159))) &gt; 0,$B159 &amp; " (" &amp; $E159 &amp; ")",IF(SUMPRODUCT(-- ISNUMBER(SEARCH({"Content","Currency","Number","Percent","Text","URL"}, $B159))) &gt; 0,$B159 &amp; "(" &amp; $C159 &amp; ")",$B159)))), "  ", TRIM(IF($S159 = "YES", "(External ID)", "") &amp; " " &amp; IF(SUMPRODUCT(-- ISNUMBER(SEARCH({"Unique","Unique Case Insensitive"}, $R159))) &gt; 0, "(" &amp; $R159 &amp; ")", ""))))</f>
        <v>na</v>
      </c>
      <c r="E159" s="7" t="s">
        <v>195</v>
      </c>
      <c r="F159" s="7" t="s">
        <v>195</v>
      </c>
      <c r="G159" s="7" t="s">
        <v>195</v>
      </c>
      <c r="H159" s="7" t="s">
        <v>195</v>
      </c>
      <c r="I159" s="7" t="s">
        <v>195</v>
      </c>
      <c r="J159" s="7" t="s">
        <v>195</v>
      </c>
      <c r="K159" s="7" t="s">
        <v>195</v>
      </c>
      <c r="L159" s="7" t="s">
        <v>195</v>
      </c>
      <c r="M159" s="7" t="s">
        <v>29</v>
      </c>
      <c r="N159" s="7" t="s">
        <v>29</v>
      </c>
      <c r="O159" s="7" t="s">
        <v>29</v>
      </c>
      <c r="P159" s="7" t="s">
        <v>29</v>
      </c>
      <c r="Q159" s="7" t="s">
        <v>29</v>
      </c>
      <c r="R159" s="7" t="s">
        <v>29</v>
      </c>
      <c r="S159" s="7" t="s">
        <v>29</v>
      </c>
    </row>
    <row r="160" spans="2:19">
      <c r="B160" s="7" t="s">
        <v>195</v>
      </c>
      <c r="C160" s="8" t="s">
        <v>195</v>
      </c>
      <c r="D160" s="5" t="str">
        <f>LRTRIM(CONCATENATE(IF(SUMPRODUCT(-- ISNUMBER(SEARCH({"Auto Number"}, $B160))) &gt; 0, $B160, IF(SUMPRODUCT(-- ISNUMBER(SEARCH({"Lookup","Master-Detail"}, $B160))) &gt; 0,$B160 &amp; "(" &amp; $E160 &amp; ")",IF(SUMPRODUCT(-- ISNUMBER(SEARCH({"Formula","Roll-Up Summary"}, $B160))) &gt; 0,$B160 &amp; " (" &amp; $E160 &amp; ")",IF(SUMPRODUCT(-- ISNUMBER(SEARCH({"Content","Currency","Number","Percent","Text","URL"}, $B160))) &gt; 0,$B160 &amp; "(" &amp; $C160 &amp; ")",$B160)))), "  ", TRIM(IF($S160 = "YES", "(External ID)", "") &amp; " " &amp; IF(SUMPRODUCT(-- ISNUMBER(SEARCH({"Unique","Unique Case Insensitive"}, $R160))) &gt; 0, "(" &amp; $R160 &amp; ")", ""))))</f>
        <v>na</v>
      </c>
      <c r="E160" s="7" t="s">
        <v>195</v>
      </c>
      <c r="F160" s="7" t="s">
        <v>195</v>
      </c>
      <c r="G160" s="7" t="s">
        <v>195</v>
      </c>
      <c r="H160" s="7" t="s">
        <v>195</v>
      </c>
      <c r="I160" s="7" t="s">
        <v>195</v>
      </c>
      <c r="J160" s="7" t="s">
        <v>195</v>
      </c>
      <c r="K160" s="7" t="s">
        <v>195</v>
      </c>
      <c r="L160" s="7" t="s">
        <v>195</v>
      </c>
      <c r="M160" s="7" t="s">
        <v>29</v>
      </c>
      <c r="N160" s="7" t="s">
        <v>29</v>
      </c>
      <c r="O160" s="7" t="s">
        <v>29</v>
      </c>
      <c r="P160" s="7" t="s">
        <v>29</v>
      </c>
      <c r="Q160" s="7" t="s">
        <v>29</v>
      </c>
      <c r="R160" s="7" t="s">
        <v>29</v>
      </c>
      <c r="S160" s="7" t="s">
        <v>29</v>
      </c>
    </row>
    <row r="161" spans="2:19">
      <c r="B161" s="7" t="s">
        <v>195</v>
      </c>
      <c r="C161" s="8" t="s">
        <v>195</v>
      </c>
      <c r="D161" s="5" t="str">
        <f>LRTRIM(CONCATENATE(IF(SUMPRODUCT(-- ISNUMBER(SEARCH({"Auto Number"}, $B161))) &gt; 0, $B161, IF(SUMPRODUCT(-- ISNUMBER(SEARCH({"Lookup","Master-Detail"}, $B161))) &gt; 0,$B161 &amp; "(" &amp; $E161 &amp; ")",IF(SUMPRODUCT(-- ISNUMBER(SEARCH({"Formula","Roll-Up Summary"}, $B161))) &gt; 0,$B161 &amp; " (" &amp; $E161 &amp; ")",IF(SUMPRODUCT(-- ISNUMBER(SEARCH({"Content","Currency","Number","Percent","Text","URL"}, $B161))) &gt; 0,$B161 &amp; "(" &amp; $C161 &amp; ")",$B161)))), "  ", TRIM(IF($S161 = "YES", "(External ID)", "") &amp; " " &amp; IF(SUMPRODUCT(-- ISNUMBER(SEARCH({"Unique","Unique Case Insensitive"}, $R161))) &gt; 0, "(" &amp; $R161 &amp; ")", ""))))</f>
        <v>na</v>
      </c>
      <c r="E161" s="7" t="s">
        <v>195</v>
      </c>
      <c r="F161" s="7" t="s">
        <v>195</v>
      </c>
      <c r="G161" s="7" t="s">
        <v>195</v>
      </c>
      <c r="H161" s="7" t="s">
        <v>195</v>
      </c>
      <c r="I161" s="7" t="s">
        <v>195</v>
      </c>
      <c r="J161" s="7" t="s">
        <v>195</v>
      </c>
      <c r="K161" s="7" t="s">
        <v>195</v>
      </c>
      <c r="L161" s="7" t="s">
        <v>195</v>
      </c>
      <c r="M161" s="7" t="s">
        <v>29</v>
      </c>
      <c r="N161" s="7" t="s">
        <v>29</v>
      </c>
      <c r="O161" s="7" t="s">
        <v>29</v>
      </c>
      <c r="P161" s="7" t="s">
        <v>29</v>
      </c>
      <c r="Q161" s="7" t="s">
        <v>29</v>
      </c>
      <c r="R161" s="7" t="s">
        <v>29</v>
      </c>
      <c r="S161" s="7" t="s">
        <v>29</v>
      </c>
    </row>
    <row r="162" spans="2:19">
      <c r="B162" s="7" t="s">
        <v>195</v>
      </c>
      <c r="C162" s="8" t="s">
        <v>195</v>
      </c>
      <c r="D162" s="5" t="str">
        <f>LRTRIM(CONCATENATE(IF(SUMPRODUCT(-- ISNUMBER(SEARCH({"Auto Number"}, $B162))) &gt; 0, $B162, IF(SUMPRODUCT(-- ISNUMBER(SEARCH({"Lookup","Master-Detail"}, $B162))) &gt; 0,$B162 &amp; "(" &amp; $E162 &amp; ")",IF(SUMPRODUCT(-- ISNUMBER(SEARCH({"Formula","Roll-Up Summary"}, $B162))) &gt; 0,$B162 &amp; " (" &amp; $E162 &amp; ")",IF(SUMPRODUCT(-- ISNUMBER(SEARCH({"Content","Currency","Number","Percent","Text","URL"}, $B162))) &gt; 0,$B162 &amp; "(" &amp; $C162 &amp; ")",$B162)))), "  ", TRIM(IF($S162 = "YES", "(External ID)", "") &amp; " " &amp; IF(SUMPRODUCT(-- ISNUMBER(SEARCH({"Unique","Unique Case Insensitive"}, $R162))) &gt; 0, "(" &amp; $R162 &amp; ")", ""))))</f>
        <v>na</v>
      </c>
      <c r="E162" s="7" t="s">
        <v>195</v>
      </c>
      <c r="F162" s="7" t="s">
        <v>195</v>
      </c>
      <c r="G162" s="7" t="s">
        <v>195</v>
      </c>
      <c r="H162" s="7" t="s">
        <v>195</v>
      </c>
      <c r="I162" s="7" t="s">
        <v>195</v>
      </c>
      <c r="J162" s="7" t="s">
        <v>195</v>
      </c>
      <c r="K162" s="7" t="s">
        <v>195</v>
      </c>
      <c r="L162" s="7" t="s">
        <v>195</v>
      </c>
      <c r="M162" s="7" t="s">
        <v>29</v>
      </c>
      <c r="N162" s="7" t="s">
        <v>29</v>
      </c>
      <c r="O162" s="7" t="s">
        <v>29</v>
      </c>
      <c r="P162" s="7" t="s">
        <v>29</v>
      </c>
      <c r="Q162" s="7" t="s">
        <v>29</v>
      </c>
      <c r="R162" s="7" t="s">
        <v>29</v>
      </c>
      <c r="S162" s="7" t="s">
        <v>29</v>
      </c>
    </row>
    <row r="163" spans="2:19">
      <c r="B163" s="7" t="s">
        <v>195</v>
      </c>
      <c r="C163" s="8" t="s">
        <v>195</v>
      </c>
      <c r="D163" s="5" t="str">
        <f>LRTRIM(CONCATENATE(IF(SUMPRODUCT(-- ISNUMBER(SEARCH({"Auto Number"}, $B163))) &gt; 0, $B163, IF(SUMPRODUCT(-- ISNUMBER(SEARCH({"Lookup","Master-Detail"}, $B163))) &gt; 0,$B163 &amp; "(" &amp; $E163 &amp; ")",IF(SUMPRODUCT(-- ISNUMBER(SEARCH({"Formula","Roll-Up Summary"}, $B163))) &gt; 0,$B163 &amp; " (" &amp; $E163 &amp; ")",IF(SUMPRODUCT(-- ISNUMBER(SEARCH({"Content","Currency","Number","Percent","Text","URL"}, $B163))) &gt; 0,$B163 &amp; "(" &amp; $C163 &amp; ")",$B163)))), "  ", TRIM(IF($S163 = "YES", "(External ID)", "") &amp; " " &amp; IF(SUMPRODUCT(-- ISNUMBER(SEARCH({"Unique","Unique Case Insensitive"}, $R163))) &gt; 0, "(" &amp; $R163 &amp; ")", ""))))</f>
        <v>na</v>
      </c>
      <c r="E163" s="7" t="s">
        <v>195</v>
      </c>
      <c r="F163" s="7" t="s">
        <v>195</v>
      </c>
      <c r="G163" s="7" t="s">
        <v>195</v>
      </c>
      <c r="H163" s="7" t="s">
        <v>195</v>
      </c>
      <c r="I163" s="7" t="s">
        <v>195</v>
      </c>
      <c r="J163" s="7" t="s">
        <v>195</v>
      </c>
      <c r="K163" s="7" t="s">
        <v>195</v>
      </c>
      <c r="L163" s="7" t="s">
        <v>195</v>
      </c>
      <c r="M163" s="7" t="s">
        <v>29</v>
      </c>
      <c r="N163" s="7" t="s">
        <v>29</v>
      </c>
      <c r="O163" s="7" t="s">
        <v>29</v>
      </c>
      <c r="P163" s="7" t="s">
        <v>29</v>
      </c>
      <c r="Q163" s="7" t="s">
        <v>29</v>
      </c>
      <c r="R163" s="7" t="s">
        <v>29</v>
      </c>
      <c r="S163" s="7" t="s">
        <v>29</v>
      </c>
    </row>
    <row r="164" spans="2:19">
      <c r="B164" s="7" t="s">
        <v>195</v>
      </c>
      <c r="C164" s="8" t="s">
        <v>195</v>
      </c>
      <c r="D164" s="5" t="str">
        <f>LRTRIM(CONCATENATE(IF(SUMPRODUCT(-- ISNUMBER(SEARCH({"Auto Number"}, $B164))) &gt; 0, $B164, IF(SUMPRODUCT(-- ISNUMBER(SEARCH({"Lookup","Master-Detail"}, $B164))) &gt; 0,$B164 &amp; "(" &amp; $E164 &amp; ")",IF(SUMPRODUCT(-- ISNUMBER(SEARCH({"Formula","Roll-Up Summary"}, $B164))) &gt; 0,$B164 &amp; " (" &amp; $E164 &amp; ")",IF(SUMPRODUCT(-- ISNUMBER(SEARCH({"Content","Currency","Number","Percent","Text","URL"}, $B164))) &gt; 0,$B164 &amp; "(" &amp; $C164 &amp; ")",$B164)))), "  ", TRIM(IF($S164 = "YES", "(External ID)", "") &amp; " " &amp; IF(SUMPRODUCT(-- ISNUMBER(SEARCH({"Unique","Unique Case Insensitive"}, $R164))) &gt; 0, "(" &amp; $R164 &amp; ")", ""))))</f>
        <v>na</v>
      </c>
      <c r="E164" s="7" t="s">
        <v>195</v>
      </c>
      <c r="F164" s="7" t="s">
        <v>195</v>
      </c>
      <c r="G164" s="7" t="s">
        <v>195</v>
      </c>
      <c r="H164" s="7" t="s">
        <v>195</v>
      </c>
      <c r="I164" s="7" t="s">
        <v>195</v>
      </c>
      <c r="J164" s="7" t="s">
        <v>195</v>
      </c>
      <c r="K164" s="7" t="s">
        <v>195</v>
      </c>
      <c r="L164" s="7" t="s">
        <v>195</v>
      </c>
      <c r="M164" s="7" t="s">
        <v>29</v>
      </c>
      <c r="N164" s="7" t="s">
        <v>29</v>
      </c>
      <c r="O164" s="7" t="s">
        <v>29</v>
      </c>
      <c r="P164" s="7" t="s">
        <v>29</v>
      </c>
      <c r="Q164" s="7" t="s">
        <v>29</v>
      </c>
      <c r="R164" s="7" t="s">
        <v>29</v>
      </c>
      <c r="S164" s="7" t="s">
        <v>29</v>
      </c>
    </row>
    <row r="165" spans="2:19">
      <c r="B165" s="7" t="s">
        <v>195</v>
      </c>
      <c r="C165" s="8" t="s">
        <v>195</v>
      </c>
      <c r="D165" s="5" t="str">
        <f>LRTRIM(CONCATENATE(IF(SUMPRODUCT(-- ISNUMBER(SEARCH({"Auto Number"}, $B165))) &gt; 0, $B165, IF(SUMPRODUCT(-- ISNUMBER(SEARCH({"Lookup","Master-Detail"}, $B165))) &gt; 0,$B165 &amp; "(" &amp; $E165 &amp; ")",IF(SUMPRODUCT(-- ISNUMBER(SEARCH({"Formula","Roll-Up Summary"}, $B165))) &gt; 0,$B165 &amp; " (" &amp; $E165 &amp; ")",IF(SUMPRODUCT(-- ISNUMBER(SEARCH({"Content","Currency","Number","Percent","Text","URL"}, $B165))) &gt; 0,$B165 &amp; "(" &amp; $C165 &amp; ")",$B165)))), "  ", TRIM(IF($S165 = "YES", "(External ID)", "") &amp; " " &amp; IF(SUMPRODUCT(-- ISNUMBER(SEARCH({"Unique","Unique Case Insensitive"}, $R165))) &gt; 0, "(" &amp; $R165 &amp; ")", ""))))</f>
        <v>na</v>
      </c>
      <c r="E165" s="7" t="s">
        <v>195</v>
      </c>
      <c r="F165" s="7" t="s">
        <v>195</v>
      </c>
      <c r="G165" s="7" t="s">
        <v>195</v>
      </c>
      <c r="H165" s="7" t="s">
        <v>195</v>
      </c>
      <c r="I165" s="7" t="s">
        <v>195</v>
      </c>
      <c r="J165" s="7" t="s">
        <v>195</v>
      </c>
      <c r="K165" s="7" t="s">
        <v>195</v>
      </c>
      <c r="L165" s="7" t="s">
        <v>195</v>
      </c>
      <c r="M165" s="7" t="s">
        <v>29</v>
      </c>
      <c r="N165" s="7" t="s">
        <v>29</v>
      </c>
      <c r="O165" s="7" t="s">
        <v>29</v>
      </c>
      <c r="P165" s="7" t="s">
        <v>29</v>
      </c>
      <c r="Q165" s="7" t="s">
        <v>29</v>
      </c>
      <c r="R165" s="7" t="s">
        <v>29</v>
      </c>
      <c r="S165" s="7" t="s">
        <v>29</v>
      </c>
    </row>
    <row r="166" spans="2:19">
      <c r="B166" s="7" t="s">
        <v>195</v>
      </c>
      <c r="C166" s="8" t="s">
        <v>195</v>
      </c>
      <c r="D166" s="5" t="str">
        <f>LRTRIM(CONCATENATE(IF(SUMPRODUCT(-- ISNUMBER(SEARCH({"Auto Number"}, $B166))) &gt; 0, $B166, IF(SUMPRODUCT(-- ISNUMBER(SEARCH({"Lookup","Master-Detail"}, $B166))) &gt; 0,$B166 &amp; "(" &amp; $E166 &amp; ")",IF(SUMPRODUCT(-- ISNUMBER(SEARCH({"Formula","Roll-Up Summary"}, $B166))) &gt; 0,$B166 &amp; " (" &amp; $E166 &amp; ")",IF(SUMPRODUCT(-- ISNUMBER(SEARCH({"Content","Currency","Number","Percent","Text","URL"}, $B166))) &gt; 0,$B166 &amp; "(" &amp; $C166 &amp; ")",$B166)))), "  ", TRIM(IF($S166 = "YES", "(External ID)", "") &amp; " " &amp; IF(SUMPRODUCT(-- ISNUMBER(SEARCH({"Unique","Unique Case Insensitive"}, $R166))) &gt; 0, "(" &amp; $R166 &amp; ")", ""))))</f>
        <v>na</v>
      </c>
      <c r="E166" s="7" t="s">
        <v>195</v>
      </c>
      <c r="F166" s="7" t="s">
        <v>195</v>
      </c>
      <c r="G166" s="7" t="s">
        <v>195</v>
      </c>
      <c r="H166" s="7" t="s">
        <v>195</v>
      </c>
      <c r="I166" s="7" t="s">
        <v>195</v>
      </c>
      <c r="J166" s="7" t="s">
        <v>195</v>
      </c>
      <c r="K166" s="7" t="s">
        <v>195</v>
      </c>
      <c r="L166" s="7" t="s">
        <v>195</v>
      </c>
      <c r="M166" s="7" t="s">
        <v>29</v>
      </c>
      <c r="N166" s="7" t="s">
        <v>29</v>
      </c>
      <c r="O166" s="7" t="s">
        <v>29</v>
      </c>
      <c r="P166" s="7" t="s">
        <v>29</v>
      </c>
      <c r="Q166" s="7" t="s">
        <v>29</v>
      </c>
      <c r="R166" s="7" t="s">
        <v>29</v>
      </c>
      <c r="S166" s="7" t="s">
        <v>29</v>
      </c>
    </row>
    <row r="167" spans="2:19">
      <c r="B167" s="7" t="s">
        <v>195</v>
      </c>
      <c r="C167" s="8" t="s">
        <v>195</v>
      </c>
      <c r="D167" s="5" t="str">
        <f>LRTRIM(CONCATENATE(IF(SUMPRODUCT(-- ISNUMBER(SEARCH({"Auto Number"}, $B167))) &gt; 0, $B167, IF(SUMPRODUCT(-- ISNUMBER(SEARCH({"Lookup","Master-Detail"}, $B167))) &gt; 0,$B167 &amp; "(" &amp; $E167 &amp; ")",IF(SUMPRODUCT(-- ISNUMBER(SEARCH({"Formula","Roll-Up Summary"}, $B167))) &gt; 0,$B167 &amp; " (" &amp; $E167 &amp; ")",IF(SUMPRODUCT(-- ISNUMBER(SEARCH({"Content","Currency","Number","Percent","Text","URL"}, $B167))) &gt; 0,$B167 &amp; "(" &amp; $C167 &amp; ")",$B167)))), "  ", TRIM(IF($S167 = "YES", "(External ID)", "") &amp; " " &amp; IF(SUMPRODUCT(-- ISNUMBER(SEARCH({"Unique","Unique Case Insensitive"}, $R167))) &gt; 0, "(" &amp; $R167 &amp; ")", ""))))</f>
        <v>na</v>
      </c>
      <c r="E167" s="7" t="s">
        <v>195</v>
      </c>
      <c r="F167" s="7" t="s">
        <v>195</v>
      </c>
      <c r="G167" s="7" t="s">
        <v>195</v>
      </c>
      <c r="H167" s="7" t="s">
        <v>195</v>
      </c>
      <c r="I167" s="7" t="s">
        <v>195</v>
      </c>
      <c r="J167" s="7" t="s">
        <v>195</v>
      </c>
      <c r="K167" s="7" t="s">
        <v>195</v>
      </c>
      <c r="L167" s="7" t="s">
        <v>195</v>
      </c>
      <c r="M167" s="7" t="s">
        <v>29</v>
      </c>
      <c r="N167" s="7" t="s">
        <v>29</v>
      </c>
      <c r="O167" s="7" t="s">
        <v>29</v>
      </c>
      <c r="P167" s="7" t="s">
        <v>29</v>
      </c>
      <c r="Q167" s="7" t="s">
        <v>29</v>
      </c>
      <c r="R167" s="7" t="s">
        <v>29</v>
      </c>
      <c r="S167" s="7" t="s">
        <v>29</v>
      </c>
    </row>
    <row r="168" spans="2:19">
      <c r="B168" s="7" t="s">
        <v>195</v>
      </c>
      <c r="C168" s="8" t="s">
        <v>195</v>
      </c>
      <c r="D168" s="5" t="str">
        <f>LRTRIM(CONCATENATE(IF(SUMPRODUCT(-- ISNUMBER(SEARCH({"Auto Number"}, $B168))) &gt; 0, $B168, IF(SUMPRODUCT(-- ISNUMBER(SEARCH({"Lookup","Master-Detail"}, $B168))) &gt; 0,$B168 &amp; "(" &amp; $E168 &amp; ")",IF(SUMPRODUCT(-- ISNUMBER(SEARCH({"Formula","Roll-Up Summary"}, $B168))) &gt; 0,$B168 &amp; " (" &amp; $E168 &amp; ")",IF(SUMPRODUCT(-- ISNUMBER(SEARCH({"Content","Currency","Number","Percent","Text","URL"}, $B168))) &gt; 0,$B168 &amp; "(" &amp; $C168 &amp; ")",$B168)))), "  ", TRIM(IF($S168 = "YES", "(External ID)", "") &amp; " " &amp; IF(SUMPRODUCT(-- ISNUMBER(SEARCH({"Unique","Unique Case Insensitive"}, $R168))) &gt; 0, "(" &amp; $R168 &amp; ")", ""))))</f>
        <v>na</v>
      </c>
      <c r="E168" s="7" t="s">
        <v>195</v>
      </c>
      <c r="F168" s="7" t="s">
        <v>195</v>
      </c>
      <c r="G168" s="7" t="s">
        <v>195</v>
      </c>
      <c r="H168" s="7" t="s">
        <v>195</v>
      </c>
      <c r="I168" s="7" t="s">
        <v>195</v>
      </c>
      <c r="J168" s="7" t="s">
        <v>195</v>
      </c>
      <c r="K168" s="7" t="s">
        <v>195</v>
      </c>
      <c r="L168" s="7" t="s">
        <v>195</v>
      </c>
      <c r="M168" s="7" t="s">
        <v>29</v>
      </c>
      <c r="N168" s="7" t="s">
        <v>29</v>
      </c>
      <c r="O168" s="7" t="s">
        <v>29</v>
      </c>
      <c r="P168" s="7" t="s">
        <v>29</v>
      </c>
      <c r="Q168" s="7" t="s">
        <v>29</v>
      </c>
      <c r="R168" s="7" t="s">
        <v>29</v>
      </c>
      <c r="S168" s="7" t="s">
        <v>29</v>
      </c>
    </row>
    <row r="169" spans="2:19">
      <c r="B169" s="7" t="s">
        <v>195</v>
      </c>
      <c r="C169" s="8" t="s">
        <v>195</v>
      </c>
      <c r="D169" s="5" t="str">
        <f>LRTRIM(CONCATENATE(IF(SUMPRODUCT(-- ISNUMBER(SEARCH({"Auto Number"}, $B169))) &gt; 0, $B169, IF(SUMPRODUCT(-- ISNUMBER(SEARCH({"Lookup","Master-Detail"}, $B169))) &gt; 0,$B169 &amp; "(" &amp; $E169 &amp; ")",IF(SUMPRODUCT(-- ISNUMBER(SEARCH({"Formula","Roll-Up Summary"}, $B169))) &gt; 0,$B169 &amp; " (" &amp; $E169 &amp; ")",IF(SUMPRODUCT(-- ISNUMBER(SEARCH({"Content","Currency","Number","Percent","Text","URL"}, $B169))) &gt; 0,$B169 &amp; "(" &amp; $C169 &amp; ")",$B169)))), "  ", TRIM(IF($S169 = "YES", "(External ID)", "") &amp; " " &amp; IF(SUMPRODUCT(-- ISNUMBER(SEARCH({"Unique","Unique Case Insensitive"}, $R169))) &gt; 0, "(" &amp; $R169 &amp; ")", ""))))</f>
        <v>na</v>
      </c>
      <c r="E169" s="7" t="s">
        <v>195</v>
      </c>
      <c r="F169" s="7" t="s">
        <v>195</v>
      </c>
      <c r="G169" s="7" t="s">
        <v>195</v>
      </c>
      <c r="H169" s="7" t="s">
        <v>195</v>
      </c>
      <c r="I169" s="7" t="s">
        <v>195</v>
      </c>
      <c r="J169" s="7" t="s">
        <v>195</v>
      </c>
      <c r="K169" s="7" t="s">
        <v>195</v>
      </c>
      <c r="L169" s="7" t="s">
        <v>195</v>
      </c>
      <c r="M169" s="7" t="s">
        <v>29</v>
      </c>
      <c r="N169" s="7" t="s">
        <v>29</v>
      </c>
      <c r="O169" s="7" t="s">
        <v>29</v>
      </c>
      <c r="P169" s="7" t="s">
        <v>29</v>
      </c>
      <c r="Q169" s="7" t="s">
        <v>29</v>
      </c>
      <c r="R169" s="7" t="s">
        <v>29</v>
      </c>
      <c r="S169" s="7" t="s">
        <v>29</v>
      </c>
    </row>
    <row r="170" spans="2:19">
      <c r="B170" s="7" t="s">
        <v>195</v>
      </c>
      <c r="C170" s="8" t="s">
        <v>195</v>
      </c>
      <c r="D170" s="5" t="str">
        <f>LRTRIM(CONCATENATE(IF(SUMPRODUCT(-- ISNUMBER(SEARCH({"Auto Number"}, $B170))) &gt; 0, $B170, IF(SUMPRODUCT(-- ISNUMBER(SEARCH({"Lookup","Master-Detail"}, $B170))) &gt; 0,$B170 &amp; "(" &amp; $E170 &amp; ")",IF(SUMPRODUCT(-- ISNUMBER(SEARCH({"Formula","Roll-Up Summary"}, $B170))) &gt; 0,$B170 &amp; " (" &amp; $E170 &amp; ")",IF(SUMPRODUCT(-- ISNUMBER(SEARCH({"Content","Currency","Number","Percent","Text","URL"}, $B170))) &gt; 0,$B170 &amp; "(" &amp; $C170 &amp; ")",$B170)))), "  ", TRIM(IF($S170 = "YES", "(External ID)", "") &amp; " " &amp; IF(SUMPRODUCT(-- ISNUMBER(SEARCH({"Unique","Unique Case Insensitive"}, $R170))) &gt; 0, "(" &amp; $R170 &amp; ")", ""))))</f>
        <v>na</v>
      </c>
      <c r="E170" s="7" t="s">
        <v>195</v>
      </c>
      <c r="F170" s="7" t="s">
        <v>195</v>
      </c>
      <c r="G170" s="7" t="s">
        <v>195</v>
      </c>
      <c r="H170" s="7" t="s">
        <v>195</v>
      </c>
      <c r="I170" s="7" t="s">
        <v>195</v>
      </c>
      <c r="J170" s="7" t="s">
        <v>195</v>
      </c>
      <c r="K170" s="7" t="s">
        <v>195</v>
      </c>
      <c r="L170" s="7" t="s">
        <v>195</v>
      </c>
      <c r="M170" s="7" t="s">
        <v>29</v>
      </c>
      <c r="N170" s="7" t="s">
        <v>29</v>
      </c>
      <c r="O170" s="7" t="s">
        <v>29</v>
      </c>
      <c r="P170" s="7" t="s">
        <v>29</v>
      </c>
      <c r="Q170" s="7" t="s">
        <v>29</v>
      </c>
      <c r="R170" s="7" t="s">
        <v>29</v>
      </c>
      <c r="S170" s="7" t="s">
        <v>29</v>
      </c>
    </row>
    <row r="171" spans="2:19">
      <c r="B171" s="7" t="s">
        <v>195</v>
      </c>
      <c r="C171" s="8" t="s">
        <v>195</v>
      </c>
      <c r="D171" s="5" t="str">
        <f>LRTRIM(CONCATENATE(IF(SUMPRODUCT(-- ISNUMBER(SEARCH({"Auto Number"}, $B171))) &gt; 0, $B171, IF(SUMPRODUCT(-- ISNUMBER(SEARCH({"Lookup","Master-Detail"}, $B171))) &gt; 0,$B171 &amp; "(" &amp; $E171 &amp; ")",IF(SUMPRODUCT(-- ISNUMBER(SEARCH({"Formula","Roll-Up Summary"}, $B171))) &gt; 0,$B171 &amp; " (" &amp; $E171 &amp; ")",IF(SUMPRODUCT(-- ISNUMBER(SEARCH({"Content","Currency","Number","Percent","Text","URL"}, $B171))) &gt; 0,$B171 &amp; "(" &amp; $C171 &amp; ")",$B171)))), "  ", TRIM(IF($S171 = "YES", "(External ID)", "") &amp; " " &amp; IF(SUMPRODUCT(-- ISNUMBER(SEARCH({"Unique","Unique Case Insensitive"}, $R171))) &gt; 0, "(" &amp; $R171 &amp; ")", ""))))</f>
        <v>na</v>
      </c>
      <c r="E171" s="7" t="s">
        <v>195</v>
      </c>
      <c r="F171" s="7" t="s">
        <v>195</v>
      </c>
      <c r="G171" s="7" t="s">
        <v>195</v>
      </c>
      <c r="H171" s="7" t="s">
        <v>195</v>
      </c>
      <c r="I171" s="7" t="s">
        <v>195</v>
      </c>
      <c r="J171" s="7" t="s">
        <v>195</v>
      </c>
      <c r="K171" s="7" t="s">
        <v>195</v>
      </c>
      <c r="L171" s="7" t="s">
        <v>195</v>
      </c>
      <c r="M171" s="7" t="s">
        <v>29</v>
      </c>
      <c r="N171" s="7" t="s">
        <v>29</v>
      </c>
      <c r="O171" s="7" t="s">
        <v>29</v>
      </c>
      <c r="P171" s="7" t="s">
        <v>29</v>
      </c>
      <c r="Q171" s="7" t="s">
        <v>29</v>
      </c>
      <c r="R171" s="7" t="s">
        <v>29</v>
      </c>
      <c r="S171" s="7" t="s">
        <v>29</v>
      </c>
    </row>
    <row r="172" spans="2:19">
      <c r="B172" s="7" t="s">
        <v>195</v>
      </c>
      <c r="C172" s="8" t="s">
        <v>195</v>
      </c>
      <c r="D172" s="5" t="str">
        <f>LRTRIM(CONCATENATE(IF(SUMPRODUCT(-- ISNUMBER(SEARCH({"Auto Number"}, $B172))) &gt; 0, $B172, IF(SUMPRODUCT(-- ISNUMBER(SEARCH({"Lookup","Master-Detail"}, $B172))) &gt; 0,$B172 &amp; "(" &amp; $E172 &amp; ")",IF(SUMPRODUCT(-- ISNUMBER(SEARCH({"Formula","Roll-Up Summary"}, $B172))) &gt; 0,$B172 &amp; " (" &amp; $E172 &amp; ")",IF(SUMPRODUCT(-- ISNUMBER(SEARCH({"Content","Currency","Number","Percent","Text","URL"}, $B172))) &gt; 0,$B172 &amp; "(" &amp; $C172 &amp; ")",$B172)))), "  ", TRIM(IF($S172 = "YES", "(External ID)", "") &amp; " " &amp; IF(SUMPRODUCT(-- ISNUMBER(SEARCH({"Unique","Unique Case Insensitive"}, $R172))) &gt; 0, "(" &amp; $R172 &amp; ")", ""))))</f>
        <v>na</v>
      </c>
      <c r="E172" s="7" t="s">
        <v>195</v>
      </c>
      <c r="F172" s="7" t="s">
        <v>195</v>
      </c>
      <c r="G172" s="7" t="s">
        <v>195</v>
      </c>
      <c r="H172" s="7" t="s">
        <v>195</v>
      </c>
      <c r="I172" s="7" t="s">
        <v>195</v>
      </c>
      <c r="J172" s="7" t="s">
        <v>195</v>
      </c>
      <c r="K172" s="7" t="s">
        <v>195</v>
      </c>
      <c r="L172" s="7" t="s">
        <v>195</v>
      </c>
      <c r="M172" s="7" t="s">
        <v>29</v>
      </c>
      <c r="N172" s="7" t="s">
        <v>29</v>
      </c>
      <c r="O172" s="7" t="s">
        <v>29</v>
      </c>
      <c r="P172" s="7" t="s">
        <v>29</v>
      </c>
      <c r="Q172" s="7" t="s">
        <v>29</v>
      </c>
      <c r="R172" s="7" t="s">
        <v>29</v>
      </c>
      <c r="S172" s="7" t="s">
        <v>29</v>
      </c>
    </row>
    <row r="173" spans="2:19">
      <c r="B173" s="7" t="s">
        <v>195</v>
      </c>
      <c r="C173" s="8" t="s">
        <v>195</v>
      </c>
      <c r="D173" s="5" t="str">
        <f>LRTRIM(CONCATENATE(IF(SUMPRODUCT(-- ISNUMBER(SEARCH({"Auto Number"}, $B173))) &gt; 0, $B173, IF(SUMPRODUCT(-- ISNUMBER(SEARCH({"Lookup","Master-Detail"}, $B173))) &gt; 0,$B173 &amp; "(" &amp; $E173 &amp; ")",IF(SUMPRODUCT(-- ISNUMBER(SEARCH({"Formula","Roll-Up Summary"}, $B173))) &gt; 0,$B173 &amp; " (" &amp; $E173 &amp; ")",IF(SUMPRODUCT(-- ISNUMBER(SEARCH({"Content","Currency","Number","Percent","Text","URL"}, $B173))) &gt; 0,$B173 &amp; "(" &amp; $C173 &amp; ")",$B173)))), "  ", TRIM(IF($S173 = "YES", "(External ID)", "") &amp; " " &amp; IF(SUMPRODUCT(-- ISNUMBER(SEARCH({"Unique","Unique Case Insensitive"}, $R173))) &gt; 0, "(" &amp; $R173 &amp; ")", ""))))</f>
        <v>na</v>
      </c>
      <c r="E173" s="7" t="s">
        <v>195</v>
      </c>
      <c r="F173" s="7" t="s">
        <v>195</v>
      </c>
      <c r="G173" s="7" t="s">
        <v>195</v>
      </c>
      <c r="H173" s="7" t="s">
        <v>195</v>
      </c>
      <c r="I173" s="7" t="s">
        <v>195</v>
      </c>
      <c r="J173" s="7" t="s">
        <v>195</v>
      </c>
      <c r="K173" s="7" t="s">
        <v>195</v>
      </c>
      <c r="L173" s="7" t="s">
        <v>195</v>
      </c>
      <c r="M173" s="7" t="s">
        <v>29</v>
      </c>
      <c r="N173" s="7" t="s">
        <v>29</v>
      </c>
      <c r="O173" s="7" t="s">
        <v>29</v>
      </c>
      <c r="P173" s="7" t="s">
        <v>29</v>
      </c>
      <c r="Q173" s="7" t="s">
        <v>29</v>
      </c>
      <c r="R173" s="7" t="s">
        <v>29</v>
      </c>
      <c r="S173" s="7" t="s">
        <v>29</v>
      </c>
    </row>
    <row r="174" spans="2:19">
      <c r="B174" s="7" t="s">
        <v>195</v>
      </c>
      <c r="C174" s="8" t="s">
        <v>195</v>
      </c>
      <c r="D174" s="5" t="str">
        <f>LRTRIM(CONCATENATE(IF(SUMPRODUCT(-- ISNUMBER(SEARCH({"Auto Number"}, $B174))) &gt; 0, $B174, IF(SUMPRODUCT(-- ISNUMBER(SEARCH({"Lookup","Master-Detail"}, $B174))) &gt; 0,$B174 &amp; "(" &amp; $E174 &amp; ")",IF(SUMPRODUCT(-- ISNUMBER(SEARCH({"Formula","Roll-Up Summary"}, $B174))) &gt; 0,$B174 &amp; " (" &amp; $E174 &amp; ")",IF(SUMPRODUCT(-- ISNUMBER(SEARCH({"Content","Currency","Number","Percent","Text","URL"}, $B174))) &gt; 0,$B174 &amp; "(" &amp; $C174 &amp; ")",$B174)))), "  ", TRIM(IF($S174 = "YES", "(External ID)", "") &amp; " " &amp; IF(SUMPRODUCT(-- ISNUMBER(SEARCH({"Unique","Unique Case Insensitive"}, $R174))) &gt; 0, "(" &amp; $R174 &amp; ")", ""))))</f>
        <v>na</v>
      </c>
      <c r="E174" s="7" t="s">
        <v>195</v>
      </c>
      <c r="F174" s="7" t="s">
        <v>195</v>
      </c>
      <c r="G174" s="7" t="s">
        <v>195</v>
      </c>
      <c r="H174" s="7" t="s">
        <v>195</v>
      </c>
      <c r="I174" s="7" t="s">
        <v>195</v>
      </c>
      <c r="J174" s="7" t="s">
        <v>195</v>
      </c>
      <c r="K174" s="7" t="s">
        <v>195</v>
      </c>
      <c r="L174" s="7" t="s">
        <v>195</v>
      </c>
      <c r="M174" s="7" t="s">
        <v>29</v>
      </c>
      <c r="N174" s="7" t="s">
        <v>29</v>
      </c>
      <c r="O174" s="7" t="s">
        <v>29</v>
      </c>
      <c r="P174" s="7" t="s">
        <v>29</v>
      </c>
      <c r="Q174" s="7" t="s">
        <v>29</v>
      </c>
      <c r="R174" s="7" t="s">
        <v>29</v>
      </c>
      <c r="S174" s="7" t="s">
        <v>29</v>
      </c>
    </row>
    <row r="175" spans="2:19">
      <c r="B175" s="7" t="s">
        <v>195</v>
      </c>
      <c r="C175" s="8" t="s">
        <v>195</v>
      </c>
      <c r="D175" s="5" t="str">
        <f>LRTRIM(CONCATENATE(IF(SUMPRODUCT(-- ISNUMBER(SEARCH({"Auto Number"}, $B175))) &gt; 0, $B175, IF(SUMPRODUCT(-- ISNUMBER(SEARCH({"Lookup","Master-Detail"}, $B175))) &gt; 0,$B175 &amp; "(" &amp; $E175 &amp; ")",IF(SUMPRODUCT(-- ISNUMBER(SEARCH({"Formula","Roll-Up Summary"}, $B175))) &gt; 0,$B175 &amp; " (" &amp; $E175 &amp; ")",IF(SUMPRODUCT(-- ISNUMBER(SEARCH({"Content","Currency","Number","Percent","Text","URL"}, $B175))) &gt; 0,$B175 &amp; "(" &amp; $C175 &amp; ")",$B175)))), "  ", TRIM(IF($S175 = "YES", "(External ID)", "") &amp; " " &amp; IF(SUMPRODUCT(-- ISNUMBER(SEARCH({"Unique","Unique Case Insensitive"}, $R175))) &gt; 0, "(" &amp; $R175 &amp; ")", ""))))</f>
        <v>na</v>
      </c>
      <c r="E175" s="7" t="s">
        <v>195</v>
      </c>
      <c r="F175" s="7" t="s">
        <v>195</v>
      </c>
      <c r="G175" s="7" t="s">
        <v>195</v>
      </c>
      <c r="H175" s="7" t="s">
        <v>195</v>
      </c>
      <c r="I175" s="7" t="s">
        <v>195</v>
      </c>
      <c r="J175" s="7" t="s">
        <v>195</v>
      </c>
      <c r="K175" s="7" t="s">
        <v>195</v>
      </c>
      <c r="L175" s="7" t="s">
        <v>195</v>
      </c>
      <c r="M175" s="7" t="s">
        <v>29</v>
      </c>
      <c r="N175" s="7" t="s">
        <v>29</v>
      </c>
      <c r="O175" s="7" t="s">
        <v>29</v>
      </c>
      <c r="P175" s="7" t="s">
        <v>29</v>
      </c>
      <c r="Q175" s="7" t="s">
        <v>29</v>
      </c>
      <c r="R175" s="7" t="s">
        <v>29</v>
      </c>
      <c r="S175" s="7" t="s">
        <v>29</v>
      </c>
    </row>
    <row r="176" spans="2:19">
      <c r="B176" s="7" t="s">
        <v>195</v>
      </c>
      <c r="C176" s="8" t="s">
        <v>195</v>
      </c>
      <c r="D176" s="5" t="str">
        <f>LRTRIM(CONCATENATE(IF(SUMPRODUCT(-- ISNUMBER(SEARCH({"Auto Number"}, $B176))) &gt; 0, $B176, IF(SUMPRODUCT(-- ISNUMBER(SEARCH({"Lookup","Master-Detail"}, $B176))) &gt; 0,$B176 &amp; "(" &amp; $E176 &amp; ")",IF(SUMPRODUCT(-- ISNUMBER(SEARCH({"Formula","Roll-Up Summary"}, $B176))) &gt; 0,$B176 &amp; " (" &amp; $E176 &amp; ")",IF(SUMPRODUCT(-- ISNUMBER(SEARCH({"Content","Currency","Number","Percent","Text","URL"}, $B176))) &gt; 0,$B176 &amp; "(" &amp; $C176 &amp; ")",$B176)))), "  ", TRIM(IF($S176 = "YES", "(External ID)", "") &amp; " " &amp; IF(SUMPRODUCT(-- ISNUMBER(SEARCH({"Unique","Unique Case Insensitive"}, $R176))) &gt; 0, "(" &amp; $R176 &amp; ")", ""))))</f>
        <v>na</v>
      </c>
      <c r="E176" s="7" t="s">
        <v>195</v>
      </c>
      <c r="F176" s="7" t="s">
        <v>195</v>
      </c>
      <c r="G176" s="7" t="s">
        <v>195</v>
      </c>
      <c r="H176" s="7" t="s">
        <v>195</v>
      </c>
      <c r="I176" s="7" t="s">
        <v>195</v>
      </c>
      <c r="J176" s="7" t="s">
        <v>195</v>
      </c>
      <c r="K176" s="7" t="s">
        <v>195</v>
      </c>
      <c r="L176" s="7" t="s">
        <v>195</v>
      </c>
      <c r="M176" s="7" t="s">
        <v>29</v>
      </c>
      <c r="N176" s="7" t="s">
        <v>29</v>
      </c>
      <c r="O176" s="7" t="s">
        <v>29</v>
      </c>
      <c r="P176" s="7" t="s">
        <v>29</v>
      </c>
      <c r="Q176" s="7" t="s">
        <v>29</v>
      </c>
      <c r="R176" s="7" t="s">
        <v>29</v>
      </c>
      <c r="S176" s="7" t="s">
        <v>29</v>
      </c>
    </row>
    <row r="177" spans="2:19">
      <c r="B177" s="7" t="s">
        <v>195</v>
      </c>
      <c r="C177" s="8" t="s">
        <v>195</v>
      </c>
      <c r="D177" s="5" t="str">
        <f>LRTRIM(CONCATENATE(IF(SUMPRODUCT(-- ISNUMBER(SEARCH({"Auto Number"}, $B177))) &gt; 0, $B177, IF(SUMPRODUCT(-- ISNUMBER(SEARCH({"Lookup","Master-Detail"}, $B177))) &gt; 0,$B177 &amp; "(" &amp; $E177 &amp; ")",IF(SUMPRODUCT(-- ISNUMBER(SEARCH({"Formula","Roll-Up Summary"}, $B177))) &gt; 0,$B177 &amp; " (" &amp; $E177 &amp; ")",IF(SUMPRODUCT(-- ISNUMBER(SEARCH({"Content","Currency","Number","Percent","Text","URL"}, $B177))) &gt; 0,$B177 &amp; "(" &amp; $C177 &amp; ")",$B177)))), "  ", TRIM(IF($S177 = "YES", "(External ID)", "") &amp; " " &amp; IF(SUMPRODUCT(-- ISNUMBER(SEARCH({"Unique","Unique Case Insensitive"}, $R177))) &gt; 0, "(" &amp; $R177 &amp; ")", ""))))</f>
        <v>na</v>
      </c>
      <c r="E177" s="7" t="s">
        <v>195</v>
      </c>
      <c r="F177" s="7" t="s">
        <v>195</v>
      </c>
      <c r="G177" s="7" t="s">
        <v>195</v>
      </c>
      <c r="H177" s="7" t="s">
        <v>195</v>
      </c>
      <c r="I177" s="7" t="s">
        <v>195</v>
      </c>
      <c r="J177" s="7" t="s">
        <v>195</v>
      </c>
      <c r="K177" s="7" t="s">
        <v>195</v>
      </c>
      <c r="L177" s="7" t="s">
        <v>195</v>
      </c>
      <c r="M177" s="7" t="s">
        <v>29</v>
      </c>
      <c r="N177" s="7" t="s">
        <v>29</v>
      </c>
      <c r="O177" s="7" t="s">
        <v>29</v>
      </c>
      <c r="P177" s="7" t="s">
        <v>29</v>
      </c>
      <c r="Q177" s="7" t="s">
        <v>29</v>
      </c>
      <c r="R177" s="7" t="s">
        <v>29</v>
      </c>
      <c r="S177" s="7" t="s">
        <v>29</v>
      </c>
    </row>
    <row r="178" spans="2:19">
      <c r="B178" s="7" t="s">
        <v>195</v>
      </c>
      <c r="C178" s="8" t="s">
        <v>195</v>
      </c>
      <c r="D178" s="5" t="str">
        <f>LRTRIM(CONCATENATE(IF(SUMPRODUCT(-- ISNUMBER(SEARCH({"Auto Number"}, $B178))) &gt; 0, $B178, IF(SUMPRODUCT(-- ISNUMBER(SEARCH({"Lookup","Master-Detail"}, $B178))) &gt; 0,$B178 &amp; "(" &amp; $E178 &amp; ")",IF(SUMPRODUCT(-- ISNUMBER(SEARCH({"Formula","Roll-Up Summary"}, $B178))) &gt; 0,$B178 &amp; " (" &amp; $E178 &amp; ")",IF(SUMPRODUCT(-- ISNUMBER(SEARCH({"Content","Currency","Number","Percent","Text","URL"}, $B178))) &gt; 0,$B178 &amp; "(" &amp; $C178 &amp; ")",$B178)))), "  ", TRIM(IF($S178 = "YES", "(External ID)", "") &amp; " " &amp; IF(SUMPRODUCT(-- ISNUMBER(SEARCH({"Unique","Unique Case Insensitive"}, $R178))) &gt; 0, "(" &amp; $R178 &amp; ")", ""))))</f>
        <v>na</v>
      </c>
      <c r="E178" s="7" t="s">
        <v>195</v>
      </c>
      <c r="F178" s="7" t="s">
        <v>195</v>
      </c>
      <c r="G178" s="7" t="s">
        <v>195</v>
      </c>
      <c r="H178" s="7" t="s">
        <v>195</v>
      </c>
      <c r="I178" s="7" t="s">
        <v>195</v>
      </c>
      <c r="J178" s="7" t="s">
        <v>195</v>
      </c>
      <c r="K178" s="7" t="s">
        <v>195</v>
      </c>
      <c r="L178" s="7" t="s">
        <v>195</v>
      </c>
      <c r="M178" s="7" t="s">
        <v>29</v>
      </c>
      <c r="N178" s="7" t="s">
        <v>29</v>
      </c>
      <c r="O178" s="7" t="s">
        <v>29</v>
      </c>
      <c r="P178" s="7" t="s">
        <v>29</v>
      </c>
      <c r="Q178" s="7" t="s">
        <v>29</v>
      </c>
      <c r="R178" s="7" t="s">
        <v>29</v>
      </c>
      <c r="S178" s="7" t="s">
        <v>29</v>
      </c>
    </row>
    <row r="179" spans="2:19">
      <c r="B179" s="7" t="s">
        <v>195</v>
      </c>
      <c r="C179" s="8" t="s">
        <v>195</v>
      </c>
      <c r="D179" s="5" t="str">
        <f>LRTRIM(CONCATENATE(IF(SUMPRODUCT(-- ISNUMBER(SEARCH({"Auto Number"}, $B179))) &gt; 0, $B179, IF(SUMPRODUCT(-- ISNUMBER(SEARCH({"Lookup","Master-Detail"}, $B179))) &gt; 0,$B179 &amp; "(" &amp; $E179 &amp; ")",IF(SUMPRODUCT(-- ISNUMBER(SEARCH({"Formula","Roll-Up Summary"}, $B179))) &gt; 0,$B179 &amp; " (" &amp; $E179 &amp; ")",IF(SUMPRODUCT(-- ISNUMBER(SEARCH({"Content","Currency","Number","Percent","Text","URL"}, $B179))) &gt; 0,$B179 &amp; "(" &amp; $C179 &amp; ")",$B179)))), "  ", TRIM(IF($S179 = "YES", "(External ID)", "") &amp; " " &amp; IF(SUMPRODUCT(-- ISNUMBER(SEARCH({"Unique","Unique Case Insensitive"}, $R179))) &gt; 0, "(" &amp; $R179 &amp; ")", ""))))</f>
        <v>na</v>
      </c>
      <c r="E179" s="7" t="s">
        <v>195</v>
      </c>
      <c r="F179" s="7" t="s">
        <v>195</v>
      </c>
      <c r="G179" s="7" t="s">
        <v>195</v>
      </c>
      <c r="H179" s="7" t="s">
        <v>195</v>
      </c>
      <c r="I179" s="7" t="s">
        <v>195</v>
      </c>
      <c r="J179" s="7" t="s">
        <v>195</v>
      </c>
      <c r="K179" s="7" t="s">
        <v>195</v>
      </c>
      <c r="L179" s="7" t="s">
        <v>195</v>
      </c>
      <c r="M179" s="7" t="s">
        <v>29</v>
      </c>
      <c r="N179" s="7" t="s">
        <v>29</v>
      </c>
      <c r="O179" s="7" t="s">
        <v>29</v>
      </c>
      <c r="P179" s="7" t="s">
        <v>29</v>
      </c>
      <c r="Q179" s="7" t="s">
        <v>29</v>
      </c>
      <c r="R179" s="7" t="s">
        <v>29</v>
      </c>
      <c r="S179" s="7" t="s">
        <v>29</v>
      </c>
    </row>
    <row r="180" spans="2:19">
      <c r="B180" s="7" t="s">
        <v>195</v>
      </c>
      <c r="C180" s="8" t="s">
        <v>195</v>
      </c>
      <c r="D180" s="5" t="str">
        <f>LRTRIM(CONCATENATE(IF(SUMPRODUCT(-- ISNUMBER(SEARCH({"Auto Number"}, $B180))) &gt; 0, $B180, IF(SUMPRODUCT(-- ISNUMBER(SEARCH({"Lookup","Master-Detail"}, $B180))) &gt; 0,$B180 &amp; "(" &amp; $E180 &amp; ")",IF(SUMPRODUCT(-- ISNUMBER(SEARCH({"Formula","Roll-Up Summary"}, $B180))) &gt; 0,$B180 &amp; " (" &amp; $E180 &amp; ")",IF(SUMPRODUCT(-- ISNUMBER(SEARCH({"Content","Currency","Number","Percent","Text","URL"}, $B180))) &gt; 0,$B180 &amp; "(" &amp; $C180 &amp; ")",$B180)))), "  ", TRIM(IF($S180 = "YES", "(External ID)", "") &amp; " " &amp; IF(SUMPRODUCT(-- ISNUMBER(SEARCH({"Unique","Unique Case Insensitive"}, $R180))) &gt; 0, "(" &amp; $R180 &amp; ")", ""))))</f>
        <v>na</v>
      </c>
      <c r="E180" s="7" t="s">
        <v>195</v>
      </c>
      <c r="F180" s="7" t="s">
        <v>195</v>
      </c>
      <c r="G180" s="7" t="s">
        <v>195</v>
      </c>
      <c r="H180" s="7" t="s">
        <v>195</v>
      </c>
      <c r="I180" s="7" t="s">
        <v>195</v>
      </c>
      <c r="J180" s="7" t="s">
        <v>195</v>
      </c>
      <c r="K180" s="7" t="s">
        <v>195</v>
      </c>
      <c r="L180" s="7" t="s">
        <v>195</v>
      </c>
      <c r="M180" s="7" t="s">
        <v>29</v>
      </c>
      <c r="N180" s="7" t="s">
        <v>29</v>
      </c>
      <c r="O180" s="7" t="s">
        <v>29</v>
      </c>
      <c r="P180" s="7" t="s">
        <v>29</v>
      </c>
      <c r="Q180" s="7" t="s">
        <v>29</v>
      </c>
      <c r="R180" s="7" t="s">
        <v>29</v>
      </c>
      <c r="S180" s="7" t="s">
        <v>29</v>
      </c>
    </row>
    <row r="181" spans="2:19">
      <c r="B181" s="7" t="s">
        <v>195</v>
      </c>
      <c r="C181" s="8" t="s">
        <v>195</v>
      </c>
      <c r="D181" s="5" t="str">
        <f>LRTRIM(CONCATENATE(IF(SUMPRODUCT(-- ISNUMBER(SEARCH({"Auto Number"}, $B181))) &gt; 0, $B181, IF(SUMPRODUCT(-- ISNUMBER(SEARCH({"Lookup","Master-Detail"}, $B181))) &gt; 0,$B181 &amp; "(" &amp; $E181 &amp; ")",IF(SUMPRODUCT(-- ISNUMBER(SEARCH({"Formula","Roll-Up Summary"}, $B181))) &gt; 0,$B181 &amp; " (" &amp; $E181 &amp; ")",IF(SUMPRODUCT(-- ISNUMBER(SEARCH({"Content","Currency","Number","Percent","Text","URL"}, $B181))) &gt; 0,$B181 &amp; "(" &amp; $C181 &amp; ")",$B181)))), "  ", TRIM(IF($S181 = "YES", "(External ID)", "") &amp; " " &amp; IF(SUMPRODUCT(-- ISNUMBER(SEARCH({"Unique","Unique Case Insensitive"}, $R181))) &gt; 0, "(" &amp; $R181 &amp; ")", ""))))</f>
        <v>na</v>
      </c>
      <c r="E181" s="7" t="s">
        <v>195</v>
      </c>
      <c r="F181" s="7" t="s">
        <v>195</v>
      </c>
      <c r="G181" s="7" t="s">
        <v>195</v>
      </c>
      <c r="H181" s="7" t="s">
        <v>195</v>
      </c>
      <c r="I181" s="7" t="s">
        <v>195</v>
      </c>
      <c r="J181" s="7" t="s">
        <v>195</v>
      </c>
      <c r="K181" s="7" t="s">
        <v>195</v>
      </c>
      <c r="L181" s="7" t="s">
        <v>195</v>
      </c>
      <c r="M181" s="7" t="s">
        <v>29</v>
      </c>
      <c r="N181" s="7" t="s">
        <v>29</v>
      </c>
      <c r="O181" s="7" t="s">
        <v>29</v>
      </c>
      <c r="P181" s="7" t="s">
        <v>29</v>
      </c>
      <c r="Q181" s="7" t="s">
        <v>29</v>
      </c>
      <c r="R181" s="7" t="s">
        <v>29</v>
      </c>
      <c r="S181" s="7" t="s">
        <v>29</v>
      </c>
    </row>
    <row r="182" spans="2:19">
      <c r="B182" s="7" t="s">
        <v>195</v>
      </c>
      <c r="C182" s="8" t="s">
        <v>195</v>
      </c>
      <c r="D182" s="5" t="str">
        <f>LRTRIM(CONCATENATE(IF(SUMPRODUCT(-- ISNUMBER(SEARCH({"Auto Number"}, $B182))) &gt; 0, $B182, IF(SUMPRODUCT(-- ISNUMBER(SEARCH({"Lookup","Master-Detail"}, $B182))) &gt; 0,$B182 &amp; "(" &amp; $E182 &amp; ")",IF(SUMPRODUCT(-- ISNUMBER(SEARCH({"Formula","Roll-Up Summary"}, $B182))) &gt; 0,$B182 &amp; " (" &amp; $E182 &amp; ")",IF(SUMPRODUCT(-- ISNUMBER(SEARCH({"Content","Currency","Number","Percent","Text","URL"}, $B182))) &gt; 0,$B182 &amp; "(" &amp; $C182 &amp; ")",$B182)))), "  ", TRIM(IF($S182 = "YES", "(External ID)", "") &amp; " " &amp; IF(SUMPRODUCT(-- ISNUMBER(SEARCH({"Unique","Unique Case Insensitive"}, $R182))) &gt; 0, "(" &amp; $R182 &amp; ")", ""))))</f>
        <v>na</v>
      </c>
      <c r="E182" s="7" t="s">
        <v>195</v>
      </c>
      <c r="F182" s="7" t="s">
        <v>195</v>
      </c>
      <c r="G182" s="7" t="s">
        <v>195</v>
      </c>
      <c r="H182" s="7" t="s">
        <v>195</v>
      </c>
      <c r="I182" s="7" t="s">
        <v>195</v>
      </c>
      <c r="J182" s="7" t="s">
        <v>195</v>
      </c>
      <c r="K182" s="7" t="s">
        <v>195</v>
      </c>
      <c r="L182" s="7" t="s">
        <v>195</v>
      </c>
      <c r="M182" s="7" t="s">
        <v>29</v>
      </c>
      <c r="N182" s="7" t="s">
        <v>29</v>
      </c>
      <c r="O182" s="7" t="s">
        <v>29</v>
      </c>
      <c r="P182" s="7" t="s">
        <v>29</v>
      </c>
      <c r="Q182" s="7" t="s">
        <v>29</v>
      </c>
      <c r="R182" s="7" t="s">
        <v>29</v>
      </c>
      <c r="S182" s="7" t="s">
        <v>29</v>
      </c>
    </row>
    <row r="183" spans="2:19">
      <c r="B183" s="7" t="s">
        <v>195</v>
      </c>
      <c r="C183" s="8" t="s">
        <v>195</v>
      </c>
      <c r="D183" s="5" t="str">
        <f>LRTRIM(CONCATENATE(IF(SUMPRODUCT(-- ISNUMBER(SEARCH({"Auto Number"}, $B183))) &gt; 0, $B183, IF(SUMPRODUCT(-- ISNUMBER(SEARCH({"Lookup","Master-Detail"}, $B183))) &gt; 0,$B183 &amp; "(" &amp; $E183 &amp; ")",IF(SUMPRODUCT(-- ISNUMBER(SEARCH({"Formula","Roll-Up Summary"}, $B183))) &gt; 0,$B183 &amp; " (" &amp; $E183 &amp; ")",IF(SUMPRODUCT(-- ISNUMBER(SEARCH({"Content","Currency","Number","Percent","Text","URL"}, $B183))) &gt; 0,$B183 &amp; "(" &amp; $C183 &amp; ")",$B183)))), "  ", TRIM(IF($S183 = "YES", "(External ID)", "") &amp; " " &amp; IF(SUMPRODUCT(-- ISNUMBER(SEARCH({"Unique","Unique Case Insensitive"}, $R183))) &gt; 0, "(" &amp; $R183 &amp; ")", ""))))</f>
        <v>na</v>
      </c>
      <c r="E183" s="7" t="s">
        <v>195</v>
      </c>
      <c r="F183" s="7" t="s">
        <v>195</v>
      </c>
      <c r="G183" s="7" t="s">
        <v>195</v>
      </c>
      <c r="H183" s="7" t="s">
        <v>195</v>
      </c>
      <c r="I183" s="7" t="s">
        <v>195</v>
      </c>
      <c r="J183" s="7" t="s">
        <v>195</v>
      </c>
      <c r="K183" s="7" t="s">
        <v>195</v>
      </c>
      <c r="L183" s="7" t="s">
        <v>195</v>
      </c>
      <c r="M183" s="7" t="s">
        <v>29</v>
      </c>
      <c r="N183" s="7" t="s">
        <v>29</v>
      </c>
      <c r="O183" s="7" t="s">
        <v>29</v>
      </c>
      <c r="P183" s="7" t="s">
        <v>29</v>
      </c>
      <c r="Q183" s="7" t="s">
        <v>29</v>
      </c>
      <c r="R183" s="7" t="s">
        <v>29</v>
      </c>
      <c r="S183" s="7" t="s">
        <v>29</v>
      </c>
    </row>
    <row r="184" spans="2:19">
      <c r="B184" s="7" t="s">
        <v>195</v>
      </c>
      <c r="C184" s="8" t="s">
        <v>195</v>
      </c>
      <c r="D184" s="5" t="str">
        <f>LRTRIM(CONCATENATE(IF(SUMPRODUCT(-- ISNUMBER(SEARCH({"Auto Number"}, $B184))) &gt; 0, $B184, IF(SUMPRODUCT(-- ISNUMBER(SEARCH({"Lookup","Master-Detail"}, $B184))) &gt; 0,$B184 &amp; "(" &amp; $E184 &amp; ")",IF(SUMPRODUCT(-- ISNUMBER(SEARCH({"Formula","Roll-Up Summary"}, $B184))) &gt; 0,$B184 &amp; " (" &amp; $E184 &amp; ")",IF(SUMPRODUCT(-- ISNUMBER(SEARCH({"Content","Currency","Number","Percent","Text","URL"}, $B184))) &gt; 0,$B184 &amp; "(" &amp; $C184 &amp; ")",$B184)))), "  ", TRIM(IF($S184 = "YES", "(External ID)", "") &amp; " " &amp; IF(SUMPRODUCT(-- ISNUMBER(SEARCH({"Unique","Unique Case Insensitive"}, $R184))) &gt; 0, "(" &amp; $R184 &amp; ")", ""))))</f>
        <v>na</v>
      </c>
      <c r="E184" s="7" t="s">
        <v>195</v>
      </c>
      <c r="F184" s="7" t="s">
        <v>195</v>
      </c>
      <c r="G184" s="7" t="s">
        <v>195</v>
      </c>
      <c r="H184" s="7" t="s">
        <v>195</v>
      </c>
      <c r="I184" s="7" t="s">
        <v>195</v>
      </c>
      <c r="J184" s="7" t="s">
        <v>195</v>
      </c>
      <c r="K184" s="7" t="s">
        <v>195</v>
      </c>
      <c r="L184" s="7" t="s">
        <v>195</v>
      </c>
      <c r="M184" s="7" t="s">
        <v>29</v>
      </c>
      <c r="N184" s="7" t="s">
        <v>29</v>
      </c>
      <c r="O184" s="7" t="s">
        <v>29</v>
      </c>
      <c r="P184" s="7" t="s">
        <v>29</v>
      </c>
      <c r="Q184" s="7" t="s">
        <v>29</v>
      </c>
      <c r="R184" s="7" t="s">
        <v>29</v>
      </c>
      <c r="S184" s="7" t="s">
        <v>29</v>
      </c>
    </row>
    <row r="185" spans="2:19">
      <c r="B185" s="7" t="s">
        <v>195</v>
      </c>
      <c r="C185" s="8" t="s">
        <v>195</v>
      </c>
      <c r="D185" s="5" t="str">
        <f>LRTRIM(CONCATENATE(IF(SUMPRODUCT(-- ISNUMBER(SEARCH({"Auto Number"}, $B185))) &gt; 0, $B185, IF(SUMPRODUCT(-- ISNUMBER(SEARCH({"Lookup","Master-Detail"}, $B185))) &gt; 0,$B185 &amp; "(" &amp; $E185 &amp; ")",IF(SUMPRODUCT(-- ISNUMBER(SEARCH({"Formula","Roll-Up Summary"}, $B185))) &gt; 0,$B185 &amp; " (" &amp; $E185 &amp; ")",IF(SUMPRODUCT(-- ISNUMBER(SEARCH({"Content","Currency","Number","Percent","Text","URL"}, $B185))) &gt; 0,$B185 &amp; "(" &amp; $C185 &amp; ")",$B185)))), "  ", TRIM(IF($S185 = "YES", "(External ID)", "") &amp; " " &amp; IF(SUMPRODUCT(-- ISNUMBER(SEARCH({"Unique","Unique Case Insensitive"}, $R185))) &gt; 0, "(" &amp; $R185 &amp; ")", ""))))</f>
        <v>na</v>
      </c>
      <c r="E185" s="7" t="s">
        <v>195</v>
      </c>
      <c r="F185" s="7" t="s">
        <v>195</v>
      </c>
      <c r="G185" s="7" t="s">
        <v>195</v>
      </c>
      <c r="H185" s="7" t="s">
        <v>195</v>
      </c>
      <c r="I185" s="7" t="s">
        <v>195</v>
      </c>
      <c r="J185" s="7" t="s">
        <v>195</v>
      </c>
      <c r="K185" s="7" t="s">
        <v>195</v>
      </c>
      <c r="L185" s="7" t="s">
        <v>195</v>
      </c>
      <c r="M185" s="7" t="s">
        <v>29</v>
      </c>
      <c r="N185" s="7" t="s">
        <v>29</v>
      </c>
      <c r="O185" s="7" t="s">
        <v>29</v>
      </c>
      <c r="P185" s="7" t="s">
        <v>29</v>
      </c>
      <c r="Q185" s="7" t="s">
        <v>29</v>
      </c>
      <c r="R185" s="7" t="s">
        <v>29</v>
      </c>
      <c r="S185" s="7" t="s">
        <v>29</v>
      </c>
    </row>
    <row r="186" spans="2:19">
      <c r="B186" s="7" t="s">
        <v>195</v>
      </c>
      <c r="C186" s="8" t="s">
        <v>195</v>
      </c>
      <c r="D186" s="5" t="str">
        <f>LRTRIM(CONCATENATE(IF(SUMPRODUCT(-- ISNUMBER(SEARCH({"Auto Number"}, $B186))) &gt; 0, $B186, IF(SUMPRODUCT(-- ISNUMBER(SEARCH({"Lookup","Master-Detail"}, $B186))) &gt; 0,$B186 &amp; "(" &amp; $E186 &amp; ")",IF(SUMPRODUCT(-- ISNUMBER(SEARCH({"Formula","Roll-Up Summary"}, $B186))) &gt; 0,$B186 &amp; " (" &amp; $E186 &amp; ")",IF(SUMPRODUCT(-- ISNUMBER(SEARCH({"Content","Currency","Number","Percent","Text","URL"}, $B186))) &gt; 0,$B186 &amp; "(" &amp; $C186 &amp; ")",$B186)))), "  ", TRIM(IF($S186 = "YES", "(External ID)", "") &amp; " " &amp; IF(SUMPRODUCT(-- ISNUMBER(SEARCH({"Unique","Unique Case Insensitive"}, $R186))) &gt; 0, "(" &amp; $R186 &amp; ")", ""))))</f>
        <v>na</v>
      </c>
      <c r="E186" s="7" t="s">
        <v>195</v>
      </c>
      <c r="F186" s="7" t="s">
        <v>195</v>
      </c>
      <c r="G186" s="7" t="s">
        <v>195</v>
      </c>
      <c r="H186" s="7" t="s">
        <v>195</v>
      </c>
      <c r="I186" s="7" t="s">
        <v>195</v>
      </c>
      <c r="J186" s="7" t="s">
        <v>195</v>
      </c>
      <c r="K186" s="7" t="s">
        <v>195</v>
      </c>
      <c r="L186" s="7" t="s">
        <v>195</v>
      </c>
      <c r="M186" s="7" t="s">
        <v>29</v>
      </c>
      <c r="N186" s="7" t="s">
        <v>29</v>
      </c>
      <c r="O186" s="7" t="s">
        <v>29</v>
      </c>
      <c r="P186" s="7" t="s">
        <v>29</v>
      </c>
      <c r="Q186" s="7" t="s">
        <v>29</v>
      </c>
      <c r="R186" s="7" t="s">
        <v>29</v>
      </c>
      <c r="S186" s="7" t="s">
        <v>29</v>
      </c>
    </row>
    <row r="187" spans="2:19">
      <c r="B187" s="7" t="s">
        <v>195</v>
      </c>
      <c r="C187" s="8" t="s">
        <v>195</v>
      </c>
      <c r="D187" s="5" t="str">
        <f>LRTRIM(CONCATENATE(IF(SUMPRODUCT(-- ISNUMBER(SEARCH({"Auto Number"}, $B187))) &gt; 0, $B187, IF(SUMPRODUCT(-- ISNUMBER(SEARCH({"Lookup","Master-Detail"}, $B187))) &gt; 0,$B187 &amp; "(" &amp; $E187 &amp; ")",IF(SUMPRODUCT(-- ISNUMBER(SEARCH({"Formula","Roll-Up Summary"}, $B187))) &gt; 0,$B187 &amp; " (" &amp; $E187 &amp; ")",IF(SUMPRODUCT(-- ISNUMBER(SEARCH({"Content","Currency","Number","Percent","Text","URL"}, $B187))) &gt; 0,$B187 &amp; "(" &amp; $C187 &amp; ")",$B187)))), "  ", TRIM(IF($S187 = "YES", "(External ID)", "") &amp; " " &amp; IF(SUMPRODUCT(-- ISNUMBER(SEARCH({"Unique","Unique Case Insensitive"}, $R187))) &gt; 0, "(" &amp; $R187 &amp; ")", ""))))</f>
        <v>na</v>
      </c>
      <c r="E187" s="7" t="s">
        <v>195</v>
      </c>
      <c r="F187" s="7" t="s">
        <v>195</v>
      </c>
      <c r="G187" s="7" t="s">
        <v>195</v>
      </c>
      <c r="H187" s="7" t="s">
        <v>195</v>
      </c>
      <c r="I187" s="7" t="s">
        <v>195</v>
      </c>
      <c r="J187" s="7" t="s">
        <v>195</v>
      </c>
      <c r="K187" s="7" t="s">
        <v>195</v>
      </c>
      <c r="L187" s="7" t="s">
        <v>195</v>
      </c>
      <c r="M187" s="7" t="s">
        <v>29</v>
      </c>
      <c r="N187" s="7" t="s">
        <v>29</v>
      </c>
      <c r="O187" s="7" t="s">
        <v>29</v>
      </c>
      <c r="P187" s="7" t="s">
        <v>29</v>
      </c>
      <c r="Q187" s="7" t="s">
        <v>29</v>
      </c>
      <c r="R187" s="7" t="s">
        <v>29</v>
      </c>
      <c r="S187" s="7" t="s">
        <v>29</v>
      </c>
    </row>
    <row r="188" spans="2:19">
      <c r="B188" s="7" t="s">
        <v>195</v>
      </c>
      <c r="C188" s="8" t="s">
        <v>195</v>
      </c>
      <c r="D188" s="5" t="str">
        <f>LRTRIM(CONCATENATE(IF(SUMPRODUCT(-- ISNUMBER(SEARCH({"Auto Number"}, $B188))) &gt; 0, $B188, IF(SUMPRODUCT(-- ISNUMBER(SEARCH({"Lookup","Master-Detail"}, $B188))) &gt; 0,$B188 &amp; "(" &amp; $E188 &amp; ")",IF(SUMPRODUCT(-- ISNUMBER(SEARCH({"Formula","Roll-Up Summary"}, $B188))) &gt; 0,$B188 &amp; " (" &amp; $E188 &amp; ")",IF(SUMPRODUCT(-- ISNUMBER(SEARCH({"Content","Currency","Number","Percent","Text","URL"}, $B188))) &gt; 0,$B188 &amp; "(" &amp; $C188 &amp; ")",$B188)))), "  ", TRIM(IF($S188 = "YES", "(External ID)", "") &amp; " " &amp; IF(SUMPRODUCT(-- ISNUMBER(SEARCH({"Unique","Unique Case Insensitive"}, $R188))) &gt; 0, "(" &amp; $R188 &amp; ")", ""))))</f>
        <v>na</v>
      </c>
      <c r="E188" s="7" t="s">
        <v>195</v>
      </c>
      <c r="F188" s="7" t="s">
        <v>195</v>
      </c>
      <c r="G188" s="7" t="s">
        <v>195</v>
      </c>
      <c r="H188" s="7" t="s">
        <v>195</v>
      </c>
      <c r="I188" s="7" t="s">
        <v>195</v>
      </c>
      <c r="J188" s="7" t="s">
        <v>195</v>
      </c>
      <c r="K188" s="7" t="s">
        <v>195</v>
      </c>
      <c r="L188" s="7" t="s">
        <v>195</v>
      </c>
      <c r="M188" s="7" t="s">
        <v>29</v>
      </c>
      <c r="N188" s="7" t="s">
        <v>29</v>
      </c>
      <c r="O188" s="7" t="s">
        <v>29</v>
      </c>
      <c r="P188" s="7" t="s">
        <v>29</v>
      </c>
      <c r="Q188" s="7" t="s">
        <v>29</v>
      </c>
      <c r="R188" s="7" t="s">
        <v>29</v>
      </c>
      <c r="S188" s="7" t="s">
        <v>29</v>
      </c>
    </row>
    <row r="189" spans="2:19">
      <c r="B189" s="7" t="s">
        <v>195</v>
      </c>
      <c r="C189" s="8" t="s">
        <v>195</v>
      </c>
      <c r="D189" s="5" t="str">
        <f>LRTRIM(CONCATENATE(IF(SUMPRODUCT(-- ISNUMBER(SEARCH({"Auto Number"}, $B189))) &gt; 0, $B189, IF(SUMPRODUCT(-- ISNUMBER(SEARCH({"Lookup","Master-Detail"}, $B189))) &gt; 0,$B189 &amp; "(" &amp; $E189 &amp; ")",IF(SUMPRODUCT(-- ISNUMBER(SEARCH({"Formula","Roll-Up Summary"}, $B189))) &gt; 0,$B189 &amp; " (" &amp; $E189 &amp; ")",IF(SUMPRODUCT(-- ISNUMBER(SEARCH({"Content","Currency","Number","Percent","Text","URL"}, $B189))) &gt; 0,$B189 &amp; "(" &amp; $C189 &amp; ")",$B189)))), "  ", TRIM(IF($S189 = "YES", "(External ID)", "") &amp; " " &amp; IF(SUMPRODUCT(-- ISNUMBER(SEARCH({"Unique","Unique Case Insensitive"}, $R189))) &gt; 0, "(" &amp; $R189 &amp; ")", ""))))</f>
        <v>na</v>
      </c>
      <c r="E189" s="7" t="s">
        <v>195</v>
      </c>
      <c r="F189" s="7" t="s">
        <v>195</v>
      </c>
      <c r="G189" s="7" t="s">
        <v>195</v>
      </c>
      <c r="H189" s="7" t="s">
        <v>195</v>
      </c>
      <c r="I189" s="7" t="s">
        <v>195</v>
      </c>
      <c r="J189" s="7" t="s">
        <v>195</v>
      </c>
      <c r="K189" s="7" t="s">
        <v>195</v>
      </c>
      <c r="L189" s="7" t="s">
        <v>195</v>
      </c>
      <c r="M189" s="7" t="s">
        <v>29</v>
      </c>
      <c r="N189" s="7" t="s">
        <v>29</v>
      </c>
      <c r="O189" s="7" t="s">
        <v>29</v>
      </c>
      <c r="P189" s="7" t="s">
        <v>29</v>
      </c>
      <c r="Q189" s="7" t="s">
        <v>29</v>
      </c>
      <c r="R189" s="7" t="s">
        <v>29</v>
      </c>
      <c r="S189" s="7" t="s">
        <v>29</v>
      </c>
    </row>
    <row r="190" spans="2:19">
      <c r="B190" s="7" t="s">
        <v>195</v>
      </c>
      <c r="C190" s="8" t="s">
        <v>195</v>
      </c>
      <c r="D190" s="5" t="str">
        <f>LRTRIM(CONCATENATE(IF(SUMPRODUCT(-- ISNUMBER(SEARCH({"Auto Number"}, $B190))) &gt; 0, $B190, IF(SUMPRODUCT(-- ISNUMBER(SEARCH({"Lookup","Master-Detail"}, $B190))) &gt; 0,$B190 &amp; "(" &amp; $E190 &amp; ")",IF(SUMPRODUCT(-- ISNUMBER(SEARCH({"Formula","Roll-Up Summary"}, $B190))) &gt; 0,$B190 &amp; " (" &amp; $E190 &amp; ")",IF(SUMPRODUCT(-- ISNUMBER(SEARCH({"Content","Currency","Number","Percent","Text","URL"}, $B190))) &gt; 0,$B190 &amp; "(" &amp; $C190 &amp; ")",$B190)))), "  ", TRIM(IF($S190 = "YES", "(External ID)", "") &amp; " " &amp; IF(SUMPRODUCT(-- ISNUMBER(SEARCH({"Unique","Unique Case Insensitive"}, $R190))) &gt; 0, "(" &amp; $R190 &amp; ")", ""))))</f>
        <v>na</v>
      </c>
      <c r="E190" s="7" t="s">
        <v>195</v>
      </c>
      <c r="F190" s="7" t="s">
        <v>195</v>
      </c>
      <c r="G190" s="7" t="s">
        <v>195</v>
      </c>
      <c r="H190" s="7" t="s">
        <v>195</v>
      </c>
      <c r="I190" s="7" t="s">
        <v>195</v>
      </c>
      <c r="J190" s="7" t="s">
        <v>195</v>
      </c>
      <c r="K190" s="7" t="s">
        <v>195</v>
      </c>
      <c r="L190" s="7" t="s">
        <v>195</v>
      </c>
      <c r="M190" s="7" t="s">
        <v>29</v>
      </c>
      <c r="N190" s="7" t="s">
        <v>29</v>
      </c>
      <c r="O190" s="7" t="s">
        <v>29</v>
      </c>
      <c r="P190" s="7" t="s">
        <v>29</v>
      </c>
      <c r="Q190" s="7" t="s">
        <v>29</v>
      </c>
      <c r="R190" s="7" t="s">
        <v>29</v>
      </c>
      <c r="S190" s="7" t="s">
        <v>29</v>
      </c>
    </row>
    <row r="191" spans="2:19">
      <c r="B191" s="7" t="s">
        <v>195</v>
      </c>
      <c r="C191" s="8" t="s">
        <v>195</v>
      </c>
      <c r="D191" s="5" t="str">
        <f>LRTRIM(CONCATENATE(IF(SUMPRODUCT(-- ISNUMBER(SEARCH({"Auto Number"}, $B191))) &gt; 0, $B191, IF(SUMPRODUCT(-- ISNUMBER(SEARCH({"Lookup","Master-Detail"}, $B191))) &gt; 0,$B191 &amp; "(" &amp; $E191 &amp; ")",IF(SUMPRODUCT(-- ISNUMBER(SEARCH({"Formula","Roll-Up Summary"}, $B191))) &gt; 0,$B191 &amp; " (" &amp; $E191 &amp; ")",IF(SUMPRODUCT(-- ISNUMBER(SEARCH({"Content","Currency","Number","Percent","Text","URL"}, $B191))) &gt; 0,$B191 &amp; "(" &amp; $C191 &amp; ")",$B191)))), "  ", TRIM(IF($S191 = "YES", "(External ID)", "") &amp; " " &amp; IF(SUMPRODUCT(-- ISNUMBER(SEARCH({"Unique","Unique Case Insensitive"}, $R191))) &gt; 0, "(" &amp; $R191 &amp; ")", ""))))</f>
        <v>na</v>
      </c>
      <c r="E191" s="7" t="s">
        <v>195</v>
      </c>
      <c r="F191" s="7" t="s">
        <v>195</v>
      </c>
      <c r="G191" s="7" t="s">
        <v>195</v>
      </c>
      <c r="H191" s="7" t="s">
        <v>195</v>
      </c>
      <c r="I191" s="7" t="s">
        <v>195</v>
      </c>
      <c r="J191" s="7" t="s">
        <v>195</v>
      </c>
      <c r="K191" s="7" t="s">
        <v>195</v>
      </c>
      <c r="L191" s="7" t="s">
        <v>195</v>
      </c>
      <c r="M191" s="7" t="s">
        <v>29</v>
      </c>
      <c r="N191" s="7" t="s">
        <v>29</v>
      </c>
      <c r="O191" s="7" t="s">
        <v>29</v>
      </c>
      <c r="P191" s="7" t="s">
        <v>29</v>
      </c>
      <c r="Q191" s="7" t="s">
        <v>29</v>
      </c>
      <c r="R191" s="7" t="s">
        <v>29</v>
      </c>
      <c r="S191" s="7" t="s">
        <v>29</v>
      </c>
    </row>
    <row r="192" spans="2:19">
      <c r="B192" s="7" t="s">
        <v>195</v>
      </c>
      <c r="C192" s="8" t="s">
        <v>195</v>
      </c>
      <c r="D192" s="5" t="str">
        <f>LRTRIM(CONCATENATE(IF(SUMPRODUCT(-- ISNUMBER(SEARCH({"Auto Number"}, $B192))) &gt; 0, $B192, IF(SUMPRODUCT(-- ISNUMBER(SEARCH({"Lookup","Master-Detail"}, $B192))) &gt; 0,$B192 &amp; "(" &amp; $E192 &amp; ")",IF(SUMPRODUCT(-- ISNUMBER(SEARCH({"Formula","Roll-Up Summary"}, $B192))) &gt; 0,$B192 &amp; " (" &amp; $E192 &amp; ")",IF(SUMPRODUCT(-- ISNUMBER(SEARCH({"Content","Currency","Number","Percent","Text","URL"}, $B192))) &gt; 0,$B192 &amp; "(" &amp; $C192 &amp; ")",$B192)))), "  ", TRIM(IF($S192 = "YES", "(External ID)", "") &amp; " " &amp; IF(SUMPRODUCT(-- ISNUMBER(SEARCH({"Unique","Unique Case Insensitive"}, $R192))) &gt; 0, "(" &amp; $R192 &amp; ")", ""))))</f>
        <v>na</v>
      </c>
      <c r="E192" s="7" t="s">
        <v>195</v>
      </c>
      <c r="F192" s="7" t="s">
        <v>195</v>
      </c>
      <c r="G192" s="7" t="s">
        <v>195</v>
      </c>
      <c r="H192" s="7" t="s">
        <v>195</v>
      </c>
      <c r="I192" s="7" t="s">
        <v>195</v>
      </c>
      <c r="J192" s="7" t="s">
        <v>195</v>
      </c>
      <c r="K192" s="7" t="s">
        <v>195</v>
      </c>
      <c r="L192" s="7" t="s">
        <v>195</v>
      </c>
      <c r="M192" s="7" t="s">
        <v>29</v>
      </c>
      <c r="N192" s="7" t="s">
        <v>29</v>
      </c>
      <c r="O192" s="7" t="s">
        <v>29</v>
      </c>
      <c r="P192" s="7" t="s">
        <v>29</v>
      </c>
      <c r="Q192" s="7" t="s">
        <v>29</v>
      </c>
      <c r="R192" s="7" t="s">
        <v>29</v>
      </c>
      <c r="S192" s="7" t="s">
        <v>29</v>
      </c>
    </row>
    <row r="193" spans="2:19">
      <c r="B193" s="7" t="s">
        <v>195</v>
      </c>
      <c r="C193" s="8" t="s">
        <v>195</v>
      </c>
      <c r="D193" s="5" t="str">
        <f>LRTRIM(CONCATENATE(IF(SUMPRODUCT(-- ISNUMBER(SEARCH({"Auto Number"}, $B193))) &gt; 0, $B193, IF(SUMPRODUCT(-- ISNUMBER(SEARCH({"Lookup","Master-Detail"}, $B193))) &gt; 0,$B193 &amp; "(" &amp; $E193 &amp; ")",IF(SUMPRODUCT(-- ISNUMBER(SEARCH({"Formula","Roll-Up Summary"}, $B193))) &gt; 0,$B193 &amp; " (" &amp; $E193 &amp; ")",IF(SUMPRODUCT(-- ISNUMBER(SEARCH({"Content","Currency","Number","Percent","Text","URL"}, $B193))) &gt; 0,$B193 &amp; "(" &amp; $C193 &amp; ")",$B193)))), "  ", TRIM(IF($S193 = "YES", "(External ID)", "") &amp; " " &amp; IF(SUMPRODUCT(-- ISNUMBER(SEARCH({"Unique","Unique Case Insensitive"}, $R193))) &gt; 0, "(" &amp; $R193 &amp; ")", ""))))</f>
        <v>na</v>
      </c>
      <c r="E193" s="7" t="s">
        <v>195</v>
      </c>
      <c r="F193" s="7" t="s">
        <v>195</v>
      </c>
      <c r="G193" s="7" t="s">
        <v>195</v>
      </c>
      <c r="H193" s="7" t="s">
        <v>195</v>
      </c>
      <c r="I193" s="7" t="s">
        <v>195</v>
      </c>
      <c r="J193" s="7" t="s">
        <v>195</v>
      </c>
      <c r="K193" s="7" t="s">
        <v>195</v>
      </c>
      <c r="L193" s="7" t="s">
        <v>195</v>
      </c>
      <c r="M193" s="7" t="s">
        <v>29</v>
      </c>
      <c r="N193" s="7" t="s">
        <v>29</v>
      </c>
      <c r="O193" s="7" t="s">
        <v>29</v>
      </c>
      <c r="P193" s="7" t="s">
        <v>29</v>
      </c>
      <c r="Q193" s="7" t="s">
        <v>29</v>
      </c>
      <c r="R193" s="7" t="s">
        <v>29</v>
      </c>
      <c r="S193" s="7" t="s">
        <v>29</v>
      </c>
    </row>
    <row r="194" spans="2:19">
      <c r="B194" s="7" t="s">
        <v>195</v>
      </c>
      <c r="C194" s="8" t="s">
        <v>195</v>
      </c>
      <c r="D194" s="5" t="str">
        <f>LRTRIM(CONCATENATE(IF(SUMPRODUCT(-- ISNUMBER(SEARCH({"Auto Number"}, $B194))) &gt; 0, $B194, IF(SUMPRODUCT(-- ISNUMBER(SEARCH({"Lookup","Master-Detail"}, $B194))) &gt; 0,$B194 &amp; "(" &amp; $E194 &amp; ")",IF(SUMPRODUCT(-- ISNUMBER(SEARCH({"Formula","Roll-Up Summary"}, $B194))) &gt; 0,$B194 &amp; " (" &amp; $E194 &amp; ")",IF(SUMPRODUCT(-- ISNUMBER(SEARCH({"Content","Currency","Number","Percent","Text","URL"}, $B194))) &gt; 0,$B194 &amp; "(" &amp; $C194 &amp; ")",$B194)))), "  ", TRIM(IF($S194 = "YES", "(External ID)", "") &amp; " " &amp; IF(SUMPRODUCT(-- ISNUMBER(SEARCH({"Unique","Unique Case Insensitive"}, $R194))) &gt; 0, "(" &amp; $R194 &amp; ")", ""))))</f>
        <v>na</v>
      </c>
      <c r="E194" s="7" t="s">
        <v>195</v>
      </c>
      <c r="F194" s="7" t="s">
        <v>195</v>
      </c>
      <c r="G194" s="7" t="s">
        <v>195</v>
      </c>
      <c r="H194" s="7" t="s">
        <v>195</v>
      </c>
      <c r="I194" s="7" t="s">
        <v>195</v>
      </c>
      <c r="J194" s="7" t="s">
        <v>195</v>
      </c>
      <c r="K194" s="7" t="s">
        <v>195</v>
      </c>
      <c r="L194" s="7" t="s">
        <v>195</v>
      </c>
      <c r="M194" s="7" t="s">
        <v>29</v>
      </c>
      <c r="N194" s="7" t="s">
        <v>29</v>
      </c>
      <c r="O194" s="7" t="s">
        <v>29</v>
      </c>
      <c r="P194" s="7" t="s">
        <v>29</v>
      </c>
      <c r="Q194" s="7" t="s">
        <v>29</v>
      </c>
      <c r="R194" s="7" t="s">
        <v>29</v>
      </c>
      <c r="S194" s="7" t="s">
        <v>29</v>
      </c>
    </row>
    <row r="195" spans="2:19">
      <c r="B195" s="7" t="s">
        <v>195</v>
      </c>
      <c r="C195" s="8" t="s">
        <v>195</v>
      </c>
      <c r="D195" s="5" t="str">
        <f>LRTRIM(CONCATENATE(IF(SUMPRODUCT(-- ISNUMBER(SEARCH({"Auto Number"}, $B195))) &gt; 0, $B195, IF(SUMPRODUCT(-- ISNUMBER(SEARCH({"Lookup","Master-Detail"}, $B195))) &gt; 0,$B195 &amp; "(" &amp; $E195 &amp; ")",IF(SUMPRODUCT(-- ISNUMBER(SEARCH({"Formula","Roll-Up Summary"}, $B195))) &gt; 0,$B195 &amp; " (" &amp; $E195 &amp; ")",IF(SUMPRODUCT(-- ISNUMBER(SEARCH({"Content","Currency","Number","Percent","Text","URL"}, $B195))) &gt; 0,$B195 &amp; "(" &amp; $C195 &amp; ")",$B195)))), "  ", TRIM(IF($S195 = "YES", "(External ID)", "") &amp; " " &amp; IF(SUMPRODUCT(-- ISNUMBER(SEARCH({"Unique","Unique Case Insensitive"}, $R195))) &gt; 0, "(" &amp; $R195 &amp; ")", ""))))</f>
        <v>na</v>
      </c>
      <c r="E195" s="7" t="s">
        <v>195</v>
      </c>
      <c r="F195" s="7" t="s">
        <v>195</v>
      </c>
      <c r="G195" s="7" t="s">
        <v>195</v>
      </c>
      <c r="H195" s="7" t="s">
        <v>195</v>
      </c>
      <c r="I195" s="7" t="s">
        <v>195</v>
      </c>
      <c r="J195" s="7" t="s">
        <v>195</v>
      </c>
      <c r="K195" s="7" t="s">
        <v>195</v>
      </c>
      <c r="L195" s="7" t="s">
        <v>195</v>
      </c>
      <c r="M195" s="7" t="s">
        <v>29</v>
      </c>
      <c r="N195" s="7" t="s">
        <v>29</v>
      </c>
      <c r="O195" s="7" t="s">
        <v>29</v>
      </c>
      <c r="P195" s="7" t="s">
        <v>29</v>
      </c>
      <c r="Q195" s="7" t="s">
        <v>29</v>
      </c>
      <c r="R195" s="7" t="s">
        <v>29</v>
      </c>
      <c r="S195" s="7" t="s">
        <v>29</v>
      </c>
    </row>
    <row r="196" spans="2:19">
      <c r="B196" s="7" t="s">
        <v>195</v>
      </c>
      <c r="C196" s="8" t="s">
        <v>195</v>
      </c>
      <c r="D196" s="5" t="str">
        <f>LRTRIM(CONCATENATE(IF(SUMPRODUCT(-- ISNUMBER(SEARCH({"Auto Number"}, $B196))) &gt; 0, $B196, IF(SUMPRODUCT(-- ISNUMBER(SEARCH({"Lookup","Master-Detail"}, $B196))) &gt; 0,$B196 &amp; "(" &amp; $E196 &amp; ")",IF(SUMPRODUCT(-- ISNUMBER(SEARCH({"Formula","Roll-Up Summary"}, $B196))) &gt; 0,$B196 &amp; " (" &amp; $E196 &amp; ")",IF(SUMPRODUCT(-- ISNUMBER(SEARCH({"Content","Currency","Number","Percent","Text","URL"}, $B196))) &gt; 0,$B196 &amp; "(" &amp; $C196 &amp; ")",$B196)))), "  ", TRIM(IF($S196 = "YES", "(External ID)", "") &amp; " " &amp; IF(SUMPRODUCT(-- ISNUMBER(SEARCH({"Unique","Unique Case Insensitive"}, $R196))) &gt; 0, "(" &amp; $R196 &amp; ")", ""))))</f>
        <v>na</v>
      </c>
      <c r="E196" s="7" t="s">
        <v>195</v>
      </c>
      <c r="F196" s="7" t="s">
        <v>195</v>
      </c>
      <c r="G196" s="7" t="s">
        <v>195</v>
      </c>
      <c r="H196" s="7" t="s">
        <v>195</v>
      </c>
      <c r="I196" s="7" t="s">
        <v>195</v>
      </c>
      <c r="J196" s="7" t="s">
        <v>195</v>
      </c>
      <c r="K196" s="7" t="s">
        <v>195</v>
      </c>
      <c r="L196" s="7" t="s">
        <v>195</v>
      </c>
      <c r="M196" s="7" t="s">
        <v>29</v>
      </c>
      <c r="N196" s="7" t="s">
        <v>29</v>
      </c>
      <c r="O196" s="7" t="s">
        <v>29</v>
      </c>
      <c r="P196" s="7" t="s">
        <v>29</v>
      </c>
      <c r="Q196" s="7" t="s">
        <v>29</v>
      </c>
      <c r="R196" s="7" t="s">
        <v>29</v>
      </c>
      <c r="S196" s="7" t="s">
        <v>29</v>
      </c>
    </row>
    <row r="197" spans="2:19">
      <c r="B197" s="7" t="s">
        <v>195</v>
      </c>
      <c r="C197" s="8" t="s">
        <v>195</v>
      </c>
      <c r="D197" s="5" t="str">
        <f>LRTRIM(CONCATENATE(IF(SUMPRODUCT(-- ISNUMBER(SEARCH({"Auto Number"}, $B197))) &gt; 0, $B197, IF(SUMPRODUCT(-- ISNUMBER(SEARCH({"Lookup","Master-Detail"}, $B197))) &gt; 0,$B197 &amp; "(" &amp; $E197 &amp; ")",IF(SUMPRODUCT(-- ISNUMBER(SEARCH({"Formula","Roll-Up Summary"}, $B197))) &gt; 0,$B197 &amp; " (" &amp; $E197 &amp; ")",IF(SUMPRODUCT(-- ISNUMBER(SEARCH({"Content","Currency","Number","Percent","Text","URL"}, $B197))) &gt; 0,$B197 &amp; "(" &amp; $C197 &amp; ")",$B197)))), "  ", TRIM(IF($S197 = "YES", "(External ID)", "") &amp; " " &amp; IF(SUMPRODUCT(-- ISNUMBER(SEARCH({"Unique","Unique Case Insensitive"}, $R197))) &gt; 0, "(" &amp; $R197 &amp; ")", ""))))</f>
        <v>na</v>
      </c>
      <c r="E197" s="7" t="s">
        <v>195</v>
      </c>
      <c r="F197" s="7" t="s">
        <v>195</v>
      </c>
      <c r="G197" s="7" t="s">
        <v>195</v>
      </c>
      <c r="H197" s="7" t="s">
        <v>195</v>
      </c>
      <c r="I197" s="7" t="s">
        <v>195</v>
      </c>
      <c r="J197" s="7" t="s">
        <v>195</v>
      </c>
      <c r="K197" s="7" t="s">
        <v>195</v>
      </c>
      <c r="L197" s="7" t="s">
        <v>195</v>
      </c>
      <c r="M197" s="7" t="s">
        <v>29</v>
      </c>
      <c r="N197" s="7" t="s">
        <v>29</v>
      </c>
      <c r="O197" s="7" t="s">
        <v>29</v>
      </c>
      <c r="P197" s="7" t="s">
        <v>29</v>
      </c>
      <c r="Q197" s="7" t="s">
        <v>29</v>
      </c>
      <c r="R197" s="7" t="s">
        <v>29</v>
      </c>
      <c r="S197" s="7" t="s">
        <v>29</v>
      </c>
    </row>
    <row r="198" spans="2:19">
      <c r="B198" s="7" t="s">
        <v>195</v>
      </c>
      <c r="C198" s="8" t="s">
        <v>195</v>
      </c>
      <c r="D198" s="5" t="str">
        <f>LRTRIM(CONCATENATE(IF(SUMPRODUCT(-- ISNUMBER(SEARCH({"Auto Number"}, $B198))) &gt; 0, $B198, IF(SUMPRODUCT(-- ISNUMBER(SEARCH({"Lookup","Master-Detail"}, $B198))) &gt; 0,$B198 &amp; "(" &amp; $E198 &amp; ")",IF(SUMPRODUCT(-- ISNUMBER(SEARCH({"Formula","Roll-Up Summary"}, $B198))) &gt; 0,$B198 &amp; " (" &amp; $E198 &amp; ")",IF(SUMPRODUCT(-- ISNUMBER(SEARCH({"Content","Currency","Number","Percent","Text","URL"}, $B198))) &gt; 0,$B198 &amp; "(" &amp; $C198 &amp; ")",$B198)))), "  ", TRIM(IF($S198 = "YES", "(External ID)", "") &amp; " " &amp; IF(SUMPRODUCT(-- ISNUMBER(SEARCH({"Unique","Unique Case Insensitive"}, $R198))) &gt; 0, "(" &amp; $R198 &amp; ")", ""))))</f>
        <v>na</v>
      </c>
      <c r="E198" s="7" t="s">
        <v>195</v>
      </c>
      <c r="F198" s="7" t="s">
        <v>195</v>
      </c>
      <c r="G198" s="7" t="s">
        <v>195</v>
      </c>
      <c r="H198" s="7" t="s">
        <v>195</v>
      </c>
      <c r="I198" s="7" t="s">
        <v>195</v>
      </c>
      <c r="J198" s="7" t="s">
        <v>195</v>
      </c>
      <c r="K198" s="7" t="s">
        <v>195</v>
      </c>
      <c r="L198" s="7" t="s">
        <v>195</v>
      </c>
      <c r="M198" s="7" t="s">
        <v>29</v>
      </c>
      <c r="N198" s="7" t="s">
        <v>29</v>
      </c>
      <c r="O198" s="7" t="s">
        <v>29</v>
      </c>
      <c r="P198" s="7" t="s">
        <v>29</v>
      </c>
      <c r="Q198" s="7" t="s">
        <v>29</v>
      </c>
      <c r="R198" s="7" t="s">
        <v>29</v>
      </c>
      <c r="S198" s="7" t="s">
        <v>29</v>
      </c>
    </row>
    <row r="199" spans="2:19">
      <c r="B199" s="7" t="s">
        <v>195</v>
      </c>
      <c r="C199" s="8" t="s">
        <v>195</v>
      </c>
      <c r="D199" s="5" t="str">
        <f>LRTRIM(CONCATENATE(IF(SUMPRODUCT(-- ISNUMBER(SEARCH({"Auto Number"}, $B199))) &gt; 0, $B199, IF(SUMPRODUCT(-- ISNUMBER(SEARCH({"Lookup","Master-Detail"}, $B199))) &gt; 0,$B199 &amp; "(" &amp; $E199 &amp; ")",IF(SUMPRODUCT(-- ISNUMBER(SEARCH({"Formula","Roll-Up Summary"}, $B199))) &gt; 0,$B199 &amp; " (" &amp; $E199 &amp; ")",IF(SUMPRODUCT(-- ISNUMBER(SEARCH({"Content","Currency","Number","Percent","Text","URL"}, $B199))) &gt; 0,$B199 &amp; "(" &amp; $C199 &amp; ")",$B199)))), "  ", TRIM(IF($S199 = "YES", "(External ID)", "") &amp; " " &amp; IF(SUMPRODUCT(-- ISNUMBER(SEARCH({"Unique","Unique Case Insensitive"}, $R199))) &gt; 0, "(" &amp; $R199 &amp; ")", ""))))</f>
        <v>na</v>
      </c>
      <c r="E199" s="7" t="s">
        <v>195</v>
      </c>
      <c r="F199" s="7" t="s">
        <v>195</v>
      </c>
      <c r="G199" s="7" t="s">
        <v>195</v>
      </c>
      <c r="H199" s="7" t="s">
        <v>195</v>
      </c>
      <c r="I199" s="7" t="s">
        <v>195</v>
      </c>
      <c r="J199" s="7" t="s">
        <v>195</v>
      </c>
      <c r="K199" s="7" t="s">
        <v>195</v>
      </c>
      <c r="L199" s="7" t="s">
        <v>195</v>
      </c>
      <c r="M199" s="7" t="s">
        <v>29</v>
      </c>
      <c r="N199" s="7" t="s">
        <v>29</v>
      </c>
      <c r="O199" s="7" t="s">
        <v>29</v>
      </c>
      <c r="P199" s="7" t="s">
        <v>29</v>
      </c>
      <c r="Q199" s="7" t="s">
        <v>29</v>
      </c>
      <c r="R199" s="7" t="s">
        <v>29</v>
      </c>
      <c r="S199" s="7" t="s">
        <v>29</v>
      </c>
    </row>
    <row r="200" spans="2:19">
      <c r="B200" s="7" t="s">
        <v>195</v>
      </c>
      <c r="C200" s="8" t="s">
        <v>195</v>
      </c>
      <c r="D200" s="5" t="str">
        <f>LRTRIM(CONCATENATE(IF(SUMPRODUCT(-- ISNUMBER(SEARCH({"Auto Number"}, $B200))) &gt; 0, $B200, IF(SUMPRODUCT(-- ISNUMBER(SEARCH({"Lookup","Master-Detail"}, $B200))) &gt; 0,$B200 &amp; "(" &amp; $E200 &amp; ")",IF(SUMPRODUCT(-- ISNUMBER(SEARCH({"Formula","Roll-Up Summary"}, $B200))) &gt; 0,$B200 &amp; " (" &amp; $E200 &amp; ")",IF(SUMPRODUCT(-- ISNUMBER(SEARCH({"Content","Currency","Number","Percent","Text","URL"}, $B200))) &gt; 0,$B200 &amp; "(" &amp; $C200 &amp; ")",$B200)))), "  ", TRIM(IF($S200 = "YES", "(External ID)", "") &amp; " " &amp; IF(SUMPRODUCT(-- ISNUMBER(SEARCH({"Unique","Unique Case Insensitive"}, $R200))) &gt; 0, "(" &amp; $R200 &amp; ")", ""))))</f>
        <v>na</v>
      </c>
      <c r="E200" s="7" t="s">
        <v>195</v>
      </c>
      <c r="F200" s="7" t="s">
        <v>195</v>
      </c>
      <c r="G200" s="7" t="s">
        <v>195</v>
      </c>
      <c r="H200" s="7" t="s">
        <v>195</v>
      </c>
      <c r="I200" s="7" t="s">
        <v>195</v>
      </c>
      <c r="J200" s="7" t="s">
        <v>195</v>
      </c>
      <c r="K200" s="7" t="s">
        <v>195</v>
      </c>
      <c r="L200" s="7" t="s">
        <v>195</v>
      </c>
      <c r="M200" s="7" t="s">
        <v>29</v>
      </c>
      <c r="N200" s="7" t="s">
        <v>29</v>
      </c>
      <c r="O200" s="7" t="s">
        <v>29</v>
      </c>
      <c r="P200" s="7" t="s">
        <v>29</v>
      </c>
      <c r="Q200" s="7" t="s">
        <v>29</v>
      </c>
      <c r="R200" s="7" t="s">
        <v>29</v>
      </c>
      <c r="S200" s="7" t="s">
        <v>29</v>
      </c>
    </row>
  </sheetData>
  <sheetProtection formatCells="0" formatColumns="0" formatRows="0" insertColumns="0" insertRows="0" insertHyperlinks="0" deleteColumns="0" deleteRows="0" sort="0" autoFilter="0" pivotTables="0"/>
  <conditionalFormatting sqref="D2:D37">
    <cfRule type="expression" dxfId="69" priority="3">
      <formula>NOT(_xlfn.ISFORMULA($D2))</formula>
    </cfRule>
  </conditionalFormatting>
  <conditionalFormatting sqref="D38">
    <cfRule type="expression" dxfId="68" priority="2">
      <formula>NOT(_xlfn.ISFORMULA($D38))</formula>
    </cfRule>
  </conditionalFormatting>
  <conditionalFormatting sqref="D39:D200">
    <cfRule type="expression" dxfId="67" priority="1">
      <formula>NOT(_xlfn.ISFORMULA($D39))</formula>
    </cfRule>
  </conditionalFormatting>
  <dataValidations count="1">
    <dataValidation allowBlank="1" showInputMessage="1" showErrorMessage="1" sqref="A2:A37"/>
  </dataValidations>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Sheet32"/>
  <dimension ref="A1:S200"/>
  <sheetViews>
    <sheetView workbookViewId="0">
      <selection activeCell="B3" sqref="B3"/>
    </sheetView>
  </sheetViews>
  <sheetFormatPr defaultRowHeight="14.5"/>
  <cols>
    <col min="1" max="1" width="26.81640625" bestFit="1" customWidth="1"/>
    <col min="4" max="4" width="15.81640625" customWidth="1"/>
  </cols>
  <sheetData>
    <row r="1" spans="1:19">
      <c r="A1" s="1" t="s">
        <v>2</v>
      </c>
      <c r="B1" s="1" t="s">
        <v>1198</v>
      </c>
      <c r="C1" s="1" t="s">
        <v>1199</v>
      </c>
      <c r="D1" s="1" t="s">
        <v>0</v>
      </c>
      <c r="E1" s="1" t="s">
        <v>1</v>
      </c>
      <c r="F1" s="1" t="s">
        <v>30</v>
      </c>
      <c r="G1" s="1" t="s">
        <v>31</v>
      </c>
      <c r="H1" s="1" t="s">
        <v>1262</v>
      </c>
      <c r="I1" s="1" t="s">
        <v>49</v>
      </c>
      <c r="J1" s="1" t="s">
        <v>48</v>
      </c>
      <c r="K1" s="1" t="s">
        <v>54</v>
      </c>
      <c r="L1" s="1" t="s">
        <v>55</v>
      </c>
      <c r="M1" s="1" t="s">
        <v>27</v>
      </c>
      <c r="N1" s="1" t="s">
        <v>175</v>
      </c>
      <c r="O1" s="1" t="s">
        <v>193</v>
      </c>
      <c r="P1" s="1" t="s">
        <v>1221</v>
      </c>
      <c r="Q1" s="1" t="s">
        <v>1264</v>
      </c>
      <c r="R1" s="1" t="s">
        <v>1263</v>
      </c>
      <c r="S1" s="1" t="s">
        <v>1265</v>
      </c>
    </row>
    <row r="2" spans="1:19">
      <c r="A2" s="7" t="s">
        <v>1489</v>
      </c>
      <c r="B2" s="7" t="s">
        <v>1215</v>
      </c>
      <c r="C2" s="8" t="s">
        <v>195</v>
      </c>
      <c r="D2" s="5" t="str">
        <f>LRTRIM(CONCATENATE(IF(SUMPRODUCT(-- ISNUMBER(SEARCH({"Auto Number"}, $B2))) &gt; 0, $B2, IF(SUMPRODUCT(-- ISNUMBER(SEARCH({"Lookup","Master-Detail"}, $B2))) &gt; 0,$B2 &amp; "(" &amp; $E2 &amp; ")",IF(SUMPRODUCT(-- ISNUMBER(SEARCH({"Formula","Roll-Up Summary"}, $B2))) &gt; 0,$B2 &amp; " (" &amp; $E2 &amp; ")",IF(SUMPRODUCT(-- ISNUMBER(SEARCH({"Content","Currency","Number","Percent","Text","URL"}, $B2))) &gt; 0,$B2 &amp; "(" &amp; $C2 &amp; ")",$B2)))), "  ", TRIM(IF($S2 = "YES", "(External ID)", "") &amp; " " &amp; IF(SUMPRODUCT(-- ISNUMBER(SEARCH({"Unique","Unique Case Insensitive"}, $R2))) &gt; 0, "(" &amp; $R2 &amp; ")", ""))))</f>
        <v>Picklist</v>
      </c>
      <c r="E2" s="7" t="s">
        <v>195</v>
      </c>
      <c r="F2" s="7" t="s">
        <v>308</v>
      </c>
      <c r="G2" s="7" t="s">
        <v>195</v>
      </c>
      <c r="H2" s="7" t="s">
        <v>195</v>
      </c>
      <c r="I2" s="7" t="s">
        <v>1502</v>
      </c>
      <c r="J2" s="7" t="s">
        <v>195</v>
      </c>
      <c r="K2" s="7" t="s">
        <v>195</v>
      </c>
      <c r="L2" s="7" t="s">
        <v>195</v>
      </c>
      <c r="M2" s="7" t="s">
        <v>28</v>
      </c>
      <c r="N2" s="7" t="s">
        <v>29</v>
      </c>
      <c r="O2" s="7" t="s">
        <v>29</v>
      </c>
      <c r="P2" s="7" t="s">
        <v>29</v>
      </c>
      <c r="Q2" s="7" t="s">
        <v>29</v>
      </c>
      <c r="R2" s="7" t="s">
        <v>29</v>
      </c>
      <c r="S2" s="7" t="s">
        <v>29</v>
      </c>
    </row>
    <row r="3" spans="1:19">
      <c r="A3" s="7" t="s">
        <v>1495</v>
      </c>
      <c r="B3" s="7" t="s">
        <v>1212</v>
      </c>
      <c r="C3" s="8" t="s">
        <v>195</v>
      </c>
      <c r="D3" s="5" t="str">
        <f>LRTRIM(CONCATENATE(IF(SUMPRODUCT(-- ISNUMBER(SEARCH({"Auto Number"}, $B3))) &gt; 0, $B3, IF(SUMPRODUCT(-- ISNUMBER(SEARCH({"Lookup","Master-Detail"}, $B3))) &gt; 0,$B3 &amp; "(" &amp; $E3 &amp; ")",IF(SUMPRODUCT(-- ISNUMBER(SEARCH({"Formula","Roll-Up Summary"}, $B3))) &gt; 0,$B3 &amp; " (" &amp; $E3 &amp; ")",IF(SUMPRODUCT(-- ISNUMBER(SEARCH({"Content","Currency","Number","Percent","Text","URL"}, $B3))) &gt; 0,$B3 &amp; "(" &amp; $C3 &amp; ")",$B3)))), "  ", TRIM(IF($S3 = "YES", "(External ID)", "") &amp; " " &amp; IF(SUMPRODUCT(-- ISNUMBER(SEARCH({"Unique","Unique Case Insensitive"}, $R3))) &gt; 0, "(" &amp; $R3 &amp; ")", ""))))</f>
        <v>Master-Detail(GoToWebinar Session)</v>
      </c>
      <c r="E3" s="7" t="s">
        <v>1467</v>
      </c>
      <c r="F3" s="7" t="s">
        <v>1438</v>
      </c>
      <c r="G3" s="7" t="s">
        <v>195</v>
      </c>
      <c r="H3" s="7" t="s">
        <v>195</v>
      </c>
      <c r="I3" s="7" t="s">
        <v>195</v>
      </c>
      <c r="J3" s="7" t="s">
        <v>195</v>
      </c>
      <c r="K3" s="7" t="s">
        <v>195</v>
      </c>
      <c r="L3" s="7" t="s">
        <v>195</v>
      </c>
      <c r="M3" s="7" t="s">
        <v>29</v>
      </c>
      <c r="N3" s="7" t="s">
        <v>29</v>
      </c>
      <c r="O3" s="7" t="s">
        <v>29</v>
      </c>
      <c r="P3" s="7" t="s">
        <v>29</v>
      </c>
      <c r="Q3" s="7" t="s">
        <v>29</v>
      </c>
      <c r="R3" s="7" t="s">
        <v>29</v>
      </c>
      <c r="S3" s="7" t="s">
        <v>29</v>
      </c>
    </row>
    <row r="4" spans="1:19">
      <c r="A4" s="7" t="s">
        <v>1494</v>
      </c>
      <c r="B4" s="7" t="s">
        <v>1218</v>
      </c>
      <c r="C4" s="8">
        <v>30</v>
      </c>
      <c r="D4" s="5" t="str">
        <f>LRTRIM(CONCATENATE(IF(SUMPRODUCT(-- ISNUMBER(SEARCH({"Auto Number"}, $B4))) &gt; 0, $B4, IF(SUMPRODUCT(-- ISNUMBER(SEARCH({"Lookup","Master-Detail"}, $B4))) &gt; 0,$B4 &amp; "(" &amp; $E4 &amp; ")",IF(SUMPRODUCT(-- ISNUMBER(SEARCH({"Formula","Roll-Up Summary"}, $B4))) &gt; 0,$B4 &amp; " (" &amp; $E4 &amp; ")",IF(SUMPRODUCT(-- ISNUMBER(SEARCH({"Content","Currency","Number","Percent","Text","URL"}, $B4))) &gt; 0,$B4 &amp; "(" &amp; $C4 &amp; ")",$B4)))), "  ", TRIM(IF($S4 = "YES", "(External ID)", "") &amp; " " &amp; IF(SUMPRODUCT(-- ISNUMBER(SEARCH({"Unique","Unique Case Insensitive"}, $R4))) &gt; 0, "(" &amp; $R4 &amp; ")", ""))))</f>
        <v>Text(30)</v>
      </c>
      <c r="E4" s="7" t="s">
        <v>195</v>
      </c>
      <c r="F4" s="7" t="s">
        <v>1501</v>
      </c>
      <c r="G4" s="7" t="s">
        <v>195</v>
      </c>
      <c r="H4" s="7" t="s">
        <v>195</v>
      </c>
      <c r="I4" s="7" t="s">
        <v>195</v>
      </c>
      <c r="J4" s="7" t="s">
        <v>195</v>
      </c>
      <c r="K4" s="7" t="s">
        <v>195</v>
      </c>
      <c r="L4" s="7" t="s">
        <v>195</v>
      </c>
      <c r="M4" s="7" t="s">
        <v>29</v>
      </c>
      <c r="N4" s="7" t="s">
        <v>29</v>
      </c>
      <c r="O4" s="7" t="s">
        <v>29</v>
      </c>
      <c r="P4" s="7" t="s">
        <v>29</v>
      </c>
      <c r="Q4" s="7" t="s">
        <v>29</v>
      </c>
      <c r="R4" s="7" t="s">
        <v>29</v>
      </c>
      <c r="S4" s="7" t="s">
        <v>29</v>
      </c>
    </row>
    <row r="5" spans="1:19">
      <c r="A5" s="7" t="s">
        <v>1490</v>
      </c>
      <c r="B5" s="7" t="s">
        <v>1215</v>
      </c>
      <c r="C5" s="8" t="s">
        <v>195</v>
      </c>
      <c r="D5" s="5" t="str">
        <f>LRTRIM(CONCATENATE(IF(SUMPRODUCT(-- ISNUMBER(SEARCH({"Auto Number"}, $B5))) &gt; 0, $B5, IF(SUMPRODUCT(-- ISNUMBER(SEARCH({"Lookup","Master-Detail"}, $B5))) &gt; 0,$B5 &amp; "(" &amp; $E5 &amp; ")",IF(SUMPRODUCT(-- ISNUMBER(SEARCH({"Formula","Roll-Up Summary"}, $B5))) &gt; 0,$B5 &amp; " (" &amp; $E5 &amp; ")",IF(SUMPRODUCT(-- ISNUMBER(SEARCH({"Content","Currency","Number","Percent","Text","URL"}, $B5))) &gt; 0,$B5 &amp; "(" &amp; $C5 &amp; ")",$B5)))), "  ", TRIM(IF($S5 = "YES", "(External ID)", "") &amp; " " &amp; IF(SUMPRODUCT(-- ISNUMBER(SEARCH({"Unique","Unique Case Insensitive"}, $R5))) &gt; 0, "(" &amp; $R5 &amp; ")", ""))))</f>
        <v>Picklist</v>
      </c>
      <c r="E5" s="7" t="s">
        <v>195</v>
      </c>
      <c r="F5" s="7" t="s">
        <v>1500</v>
      </c>
      <c r="G5" s="7" t="s">
        <v>195</v>
      </c>
      <c r="H5" s="7" t="s">
        <v>195</v>
      </c>
      <c r="I5" s="7" t="s">
        <v>1503</v>
      </c>
      <c r="J5" s="7" t="s">
        <v>195</v>
      </c>
      <c r="K5" s="7" t="s">
        <v>195</v>
      </c>
      <c r="L5" s="7" t="s">
        <v>195</v>
      </c>
      <c r="M5" s="7" t="s">
        <v>28</v>
      </c>
      <c r="N5" s="7" t="s">
        <v>29</v>
      </c>
      <c r="O5" s="7" t="s">
        <v>29</v>
      </c>
      <c r="P5" s="7" t="s">
        <v>29</v>
      </c>
      <c r="Q5" s="7" t="s">
        <v>29</v>
      </c>
      <c r="R5" s="7" t="s">
        <v>29</v>
      </c>
      <c r="S5" s="7" t="s">
        <v>29</v>
      </c>
    </row>
    <row r="6" spans="1:19">
      <c r="A6" s="7" t="s">
        <v>2</v>
      </c>
      <c r="B6" s="7" t="s">
        <v>1379</v>
      </c>
      <c r="C6" s="8" t="s">
        <v>195</v>
      </c>
      <c r="D6" s="5" t="str">
        <f>LRTRIM(CONCATENATE(IF(SUMPRODUCT(-- ISNUMBER(SEARCH({"Auto Number"}, $B6))) &gt; 0, $B6, IF(SUMPRODUCT(-- ISNUMBER(SEARCH({"Lookup","Master-Detail"}, $B6))) &gt; 0,$B6 &amp; "(" &amp; $E6 &amp; ")",IF(SUMPRODUCT(-- ISNUMBER(SEARCH({"Formula","Roll-Up Summary"}, $B6))) &gt; 0,$B6 &amp; " (" &amp; $E6 &amp; ")",IF(SUMPRODUCT(-- ISNUMBER(SEARCH({"Content","Currency","Number","Percent","Text","URL"}, $B6))) &gt; 0,$B6 &amp; "(" &amp; $C6 &amp; ")",$B6)))), "  ", TRIM(IF($S6 = "YES", "(External ID)", "") &amp; " " &amp; IF(SUMPRODUCT(-- ISNUMBER(SEARCH({"Unique","Unique Case Insensitive"}, $R6))) &gt; 0, "(" &amp; $R6 &amp; ")", ""))))</f>
        <v>Auto Number</v>
      </c>
      <c r="E6" s="7" t="s">
        <v>195</v>
      </c>
      <c r="F6" s="7" t="s">
        <v>1499</v>
      </c>
      <c r="G6" s="7" t="s">
        <v>195</v>
      </c>
      <c r="H6" s="7" t="s">
        <v>195</v>
      </c>
      <c r="I6" s="7" t="s">
        <v>195</v>
      </c>
      <c r="J6" s="7" t="s">
        <v>195</v>
      </c>
      <c r="K6" s="7" t="s">
        <v>195</v>
      </c>
      <c r="L6" s="7" t="s">
        <v>195</v>
      </c>
      <c r="M6" s="7" t="s">
        <v>29</v>
      </c>
      <c r="N6" s="7" t="s">
        <v>29</v>
      </c>
      <c r="O6" s="7" t="s">
        <v>29</v>
      </c>
      <c r="P6" s="7" t="s">
        <v>29</v>
      </c>
      <c r="Q6" s="7" t="s">
        <v>29</v>
      </c>
      <c r="R6" s="7" t="s">
        <v>29</v>
      </c>
      <c r="S6" s="7" t="s">
        <v>29</v>
      </c>
    </row>
    <row r="7" spans="1:19">
      <c r="A7" s="7" t="s">
        <v>1493</v>
      </c>
      <c r="B7" s="7" t="s">
        <v>1218</v>
      </c>
      <c r="C7" s="8">
        <v>30</v>
      </c>
      <c r="D7" s="5" t="str">
        <f>LRTRIM(CONCATENATE(IF(SUMPRODUCT(-- ISNUMBER(SEARCH({"Auto Number"}, $B7))) &gt; 0, $B7, IF(SUMPRODUCT(-- ISNUMBER(SEARCH({"Lookup","Master-Detail"}, $B7))) &gt; 0,$B7 &amp; "(" &amp; $E7 &amp; ")",IF(SUMPRODUCT(-- ISNUMBER(SEARCH({"Formula","Roll-Up Summary"}, $B7))) &gt; 0,$B7 &amp; " (" &amp; $E7 &amp; ")",IF(SUMPRODUCT(-- ISNUMBER(SEARCH({"Content","Currency","Number","Percent","Text","URL"}, $B7))) &gt; 0,$B7 &amp; "(" &amp; $C7 &amp; ")",$B7)))), "  ", TRIM(IF($S7 = "YES", "(External ID)", "") &amp; " " &amp; IF(SUMPRODUCT(-- ISNUMBER(SEARCH({"Unique","Unique Case Insensitive"}, $R7))) &gt; 0, "(" &amp; $R7 &amp; ")", ""))))</f>
        <v>Text(30)</v>
      </c>
      <c r="E7" s="7" t="s">
        <v>195</v>
      </c>
      <c r="F7" s="7" t="s">
        <v>1496</v>
      </c>
      <c r="G7" s="7" t="s">
        <v>195</v>
      </c>
      <c r="H7" s="7" t="s">
        <v>195</v>
      </c>
      <c r="I7" s="7" t="s">
        <v>195</v>
      </c>
      <c r="J7" s="7" t="s">
        <v>195</v>
      </c>
      <c r="K7" s="7" t="s">
        <v>195</v>
      </c>
      <c r="L7" s="7" t="s">
        <v>195</v>
      </c>
      <c r="M7" s="7" t="s">
        <v>29</v>
      </c>
      <c r="N7" s="7" t="s">
        <v>29</v>
      </c>
      <c r="O7" s="7" t="s">
        <v>29</v>
      </c>
      <c r="P7" s="7" t="s">
        <v>29</v>
      </c>
      <c r="Q7" s="7" t="s">
        <v>29</v>
      </c>
      <c r="R7" s="7" t="s">
        <v>29</v>
      </c>
      <c r="S7" s="7" t="s">
        <v>29</v>
      </c>
    </row>
    <row r="8" spans="1:19">
      <c r="A8" s="7" t="s">
        <v>1492</v>
      </c>
      <c r="B8" s="7" t="s">
        <v>1218</v>
      </c>
      <c r="C8" s="8">
        <v>100</v>
      </c>
      <c r="D8" s="5" t="str">
        <f>LRTRIM(CONCATENATE(IF(SUMPRODUCT(-- ISNUMBER(SEARCH({"Auto Number"}, $B8))) &gt; 0, $B8, IF(SUMPRODUCT(-- ISNUMBER(SEARCH({"Lookup","Master-Detail"}, $B8))) &gt; 0,$B8 &amp; "(" &amp; $E8 &amp; ")",IF(SUMPRODUCT(-- ISNUMBER(SEARCH({"Formula","Roll-Up Summary"}, $B8))) &gt; 0,$B8 &amp; " (" &amp; $E8 &amp; ")",IF(SUMPRODUCT(-- ISNUMBER(SEARCH({"Content","Currency","Number","Percent","Text","URL"}, $B8))) &gt; 0,$B8 &amp; "(" &amp; $C8 &amp; ")",$B8)))), "  ", TRIM(IF($S8 = "YES", "(External ID)", "") &amp; " " &amp; IF(SUMPRODUCT(-- ISNUMBER(SEARCH({"Unique","Unique Case Insensitive"}, $R8))) &gt; 0, "(" &amp; $R8 &amp; ")", ""))))</f>
        <v>Text(100)</v>
      </c>
      <c r="E8" s="7" t="s">
        <v>195</v>
      </c>
      <c r="F8" s="7" t="s">
        <v>1497</v>
      </c>
      <c r="G8" s="7" t="s">
        <v>195</v>
      </c>
      <c r="H8" s="7" t="s">
        <v>195</v>
      </c>
      <c r="I8" s="7" t="s">
        <v>195</v>
      </c>
      <c r="J8" s="7" t="s">
        <v>195</v>
      </c>
      <c r="K8" s="7" t="s">
        <v>195</v>
      </c>
      <c r="L8" s="7" t="s">
        <v>195</v>
      </c>
      <c r="M8" s="7" t="s">
        <v>29</v>
      </c>
      <c r="N8" s="7" t="s">
        <v>29</v>
      </c>
      <c r="O8" s="7" t="s">
        <v>29</v>
      </c>
      <c r="P8" s="7" t="s">
        <v>29</v>
      </c>
      <c r="Q8" s="7" t="s">
        <v>29</v>
      </c>
      <c r="R8" s="7" t="s">
        <v>29</v>
      </c>
      <c r="S8" s="7" t="s">
        <v>29</v>
      </c>
    </row>
    <row r="9" spans="1:19">
      <c r="A9" s="7" t="s">
        <v>1491</v>
      </c>
      <c r="B9" s="7" t="s">
        <v>1218</v>
      </c>
      <c r="C9" s="8">
        <v>100</v>
      </c>
      <c r="D9" s="5" t="str">
        <f>LRTRIM(CONCATENATE(IF(SUMPRODUCT(-- ISNUMBER(SEARCH({"Auto Number"}, $B9))) &gt; 0, $B9, IF(SUMPRODUCT(-- ISNUMBER(SEARCH({"Lookup","Master-Detail"}, $B9))) &gt; 0,$B9 &amp; "(" &amp; $E9 &amp; ")",IF(SUMPRODUCT(-- ISNUMBER(SEARCH({"Formula","Roll-Up Summary"}, $B9))) &gt; 0,$B9 &amp; " (" &amp; $E9 &amp; ")",IF(SUMPRODUCT(-- ISNUMBER(SEARCH({"Content","Currency","Number","Percent","Text","URL"}, $B9))) &gt; 0,$B9 &amp; "(" &amp; $C9 &amp; ")",$B9)))), "  ", TRIM(IF($S9 = "YES", "(External ID)", "") &amp; " " &amp; IF(SUMPRODUCT(-- ISNUMBER(SEARCH({"Unique","Unique Case Insensitive"}, $R9))) &gt; 0, "(" &amp; $R9 &amp; ")", ""))))</f>
        <v>Text(100)</v>
      </c>
      <c r="E9" s="7" t="s">
        <v>195</v>
      </c>
      <c r="F9" s="7" t="s">
        <v>1498</v>
      </c>
      <c r="G9" s="7" t="s">
        <v>195</v>
      </c>
      <c r="H9" s="7" t="s">
        <v>195</v>
      </c>
      <c r="I9" s="7" t="s">
        <v>195</v>
      </c>
      <c r="J9" s="7" t="s">
        <v>195</v>
      </c>
      <c r="K9" s="7" t="s">
        <v>195</v>
      </c>
      <c r="L9" s="7" t="s">
        <v>195</v>
      </c>
      <c r="M9" s="7" t="s">
        <v>29</v>
      </c>
      <c r="N9" s="7" t="s">
        <v>29</v>
      </c>
      <c r="O9" s="7" t="s">
        <v>29</v>
      </c>
      <c r="P9" s="7" t="s">
        <v>29</v>
      </c>
      <c r="Q9" s="7" t="s">
        <v>29</v>
      </c>
      <c r="R9" s="7" t="s">
        <v>29</v>
      </c>
      <c r="S9" s="7" t="s">
        <v>29</v>
      </c>
    </row>
    <row r="10" spans="1:19">
      <c r="A10" s="7" t="s">
        <v>1319</v>
      </c>
      <c r="B10" s="7" t="s">
        <v>1218</v>
      </c>
      <c r="C10" s="8">
        <v>18</v>
      </c>
      <c r="D10" s="5" t="str">
        <f>LRTRIM(CONCATENATE(IF(SUMPRODUCT(-- ISNUMBER(SEARCH({"Auto Number"}, $B10))) &gt; 0, $B10, IF(SUMPRODUCT(-- ISNUMBER(SEARCH({"Lookup","Master-Detail"}, $B10))) &gt; 0,$B10 &amp; "(" &amp; $E10 &amp; ")",IF(SUMPRODUCT(-- ISNUMBER(SEARCH({"Formula","Roll-Up Summary"}, $B10))) &gt; 0,$B10 &amp; " (" &amp; $E10 &amp; ")",IF(SUMPRODUCT(-- ISNUMBER(SEARCH({"Content","Currency","Number","Percent","Text","URL"}, $B10))) &gt; 0,$B10 &amp; "(" &amp; $C10 &amp; ")",$B10)))), "  ", TRIM(IF($S10 = "YES", "(External ID)", "") &amp; " " &amp; IF(SUMPRODUCT(-- ISNUMBER(SEARCH({"Unique","Unique Case Insensitive"}, $R10))) &gt; 0, "(" &amp; $R10 &amp; ")", ""))))</f>
        <v>Text(18)</v>
      </c>
      <c r="E10" s="7" t="s">
        <v>195</v>
      </c>
      <c r="F10" s="7" t="s">
        <v>1323</v>
      </c>
      <c r="G10" s="7" t="s">
        <v>195</v>
      </c>
      <c r="H10" s="7" t="s">
        <v>195</v>
      </c>
      <c r="I10" s="7" t="s">
        <v>195</v>
      </c>
      <c r="J10" s="7" t="s">
        <v>195</v>
      </c>
      <c r="K10" s="7" t="s">
        <v>195</v>
      </c>
      <c r="L10" s="7" t="s">
        <v>195</v>
      </c>
      <c r="M10" s="7" t="s">
        <v>29</v>
      </c>
      <c r="N10" s="7" t="s">
        <v>29</v>
      </c>
      <c r="O10" s="7" t="s">
        <v>29</v>
      </c>
      <c r="P10" s="7" t="s">
        <v>29</v>
      </c>
      <c r="Q10" s="7" t="s">
        <v>29</v>
      </c>
      <c r="R10" s="7" t="s">
        <v>29</v>
      </c>
      <c r="S10" s="7" t="s">
        <v>29</v>
      </c>
    </row>
    <row r="11" spans="1:19">
      <c r="A11" s="7" t="s">
        <v>1460</v>
      </c>
      <c r="B11" s="7" t="s">
        <v>1476</v>
      </c>
      <c r="C11" s="8">
        <v>32768</v>
      </c>
      <c r="D11" s="5" t="str">
        <f>LRTRIM(CONCATENATE(IF(SUMPRODUCT(-- ISNUMBER(SEARCH({"Auto Number"}, $B11))) &gt; 0, $B11, IF(SUMPRODUCT(-- ISNUMBER(SEARCH({"Lookup","Master-Detail"}, $B11))) &gt; 0,$B11 &amp; "(" &amp; $E11 &amp; ")",IF(SUMPRODUCT(-- ISNUMBER(SEARCH({"Formula","Roll-Up Summary"}, $B11))) &gt; 0,$B11 &amp; " (" &amp; $E11 &amp; ")",IF(SUMPRODUCT(-- ISNUMBER(SEARCH({"Content","Currency","Number","Percent","Text","URL"}, $B11))) &gt; 0,$B11 &amp; "(" &amp; $C11 &amp; ")",$B11)))), "  ", TRIM(IF($S11 = "YES", "(External ID)", "") &amp; " " &amp; IF(SUMPRODUCT(-- ISNUMBER(SEARCH({"Unique","Unique Case Insensitive"}, $R11))) &gt; 0, "(" &amp; $R11 &amp; ")", ""))))</f>
        <v>Long Text Area(32768)</v>
      </c>
      <c r="E11" s="7" t="s">
        <v>195</v>
      </c>
      <c r="F11" s="7" t="s">
        <v>1465</v>
      </c>
      <c r="G11" s="7" t="s">
        <v>195</v>
      </c>
      <c r="H11" s="7" t="s">
        <v>195</v>
      </c>
      <c r="I11" s="7" t="s">
        <v>195</v>
      </c>
      <c r="J11" s="7" t="s">
        <v>195</v>
      </c>
      <c r="K11" s="7" t="s">
        <v>195</v>
      </c>
      <c r="L11" s="7" t="s">
        <v>195</v>
      </c>
      <c r="M11" s="7" t="s">
        <v>29</v>
      </c>
      <c r="N11" s="7" t="s">
        <v>29</v>
      </c>
      <c r="O11" s="7" t="s">
        <v>29</v>
      </c>
      <c r="P11" s="7" t="s">
        <v>29</v>
      </c>
      <c r="Q11" s="7" t="s">
        <v>29</v>
      </c>
      <c r="R11" s="7" t="s">
        <v>29</v>
      </c>
      <c r="S11" s="7" t="s">
        <v>29</v>
      </c>
    </row>
    <row r="12" spans="1:19">
      <c r="B12" s="7" t="s">
        <v>195</v>
      </c>
      <c r="C12" s="8" t="s">
        <v>195</v>
      </c>
      <c r="D12" s="5" t="str">
        <f>LRTRIM(CONCATENATE(IF(SUMPRODUCT(-- ISNUMBER(SEARCH({"Auto Number"}, $B12))) &gt; 0, $B12, IF(SUMPRODUCT(-- ISNUMBER(SEARCH({"Lookup","Master-Detail"}, $B12))) &gt; 0,$B12 &amp; "(" &amp; $E12 &amp; ")",IF(SUMPRODUCT(-- ISNUMBER(SEARCH({"Formula","Roll-Up Summary"}, $B12))) &gt; 0,$B12 &amp; " (" &amp; $E12 &amp; ")",IF(SUMPRODUCT(-- ISNUMBER(SEARCH({"Content","Currency","Number","Percent","Text","URL"}, $B12))) &gt; 0,$B12 &amp; "(" &amp; $C12 &amp; ")",$B12)))), "  ", TRIM(IF($S12 = "YES", "(External ID)", "") &amp; " " &amp; IF(SUMPRODUCT(-- ISNUMBER(SEARCH({"Unique","Unique Case Insensitive"}, $R12))) &gt; 0, "(" &amp; $R12 &amp; ")", ""))))</f>
        <v>na</v>
      </c>
      <c r="E12" s="7" t="s">
        <v>195</v>
      </c>
      <c r="F12" s="7" t="s">
        <v>195</v>
      </c>
      <c r="G12" s="7" t="s">
        <v>195</v>
      </c>
      <c r="H12" s="7" t="s">
        <v>195</v>
      </c>
      <c r="I12" s="7" t="s">
        <v>195</v>
      </c>
      <c r="J12" s="7" t="s">
        <v>195</v>
      </c>
      <c r="K12" s="7" t="s">
        <v>195</v>
      </c>
      <c r="L12" s="7" t="s">
        <v>195</v>
      </c>
      <c r="M12" s="7" t="s">
        <v>29</v>
      </c>
      <c r="N12" s="7" t="s">
        <v>29</v>
      </c>
      <c r="O12" s="7" t="s">
        <v>29</v>
      </c>
      <c r="P12" s="7" t="s">
        <v>29</v>
      </c>
      <c r="Q12" s="7" t="s">
        <v>29</v>
      </c>
      <c r="R12" s="7" t="s">
        <v>29</v>
      </c>
      <c r="S12" s="7" t="s">
        <v>29</v>
      </c>
    </row>
    <row r="13" spans="1:19">
      <c r="B13" s="7" t="s">
        <v>195</v>
      </c>
      <c r="C13" s="8" t="s">
        <v>195</v>
      </c>
      <c r="D13" s="5" t="str">
        <f>LRTRIM(CONCATENATE(IF(SUMPRODUCT(-- ISNUMBER(SEARCH({"Auto Number"}, $B13))) &gt; 0, $B13, IF(SUMPRODUCT(-- ISNUMBER(SEARCH({"Lookup","Master-Detail"}, $B13))) &gt; 0,$B13 &amp; "(" &amp; $E13 &amp; ")",IF(SUMPRODUCT(-- ISNUMBER(SEARCH({"Formula","Roll-Up Summary"}, $B13))) &gt; 0,$B13 &amp; " (" &amp; $E13 &amp; ")",IF(SUMPRODUCT(-- ISNUMBER(SEARCH({"Content","Currency","Number","Percent","Text","URL"}, $B13))) &gt; 0,$B13 &amp; "(" &amp; $C13 &amp; ")",$B13)))), "  ", TRIM(IF($S13 = "YES", "(External ID)", "") &amp; " " &amp; IF(SUMPRODUCT(-- ISNUMBER(SEARCH({"Unique","Unique Case Insensitive"}, $R13))) &gt; 0, "(" &amp; $R13 &amp; ")", ""))))</f>
        <v>na</v>
      </c>
      <c r="E13" s="7" t="s">
        <v>195</v>
      </c>
      <c r="F13" s="7" t="s">
        <v>195</v>
      </c>
      <c r="G13" s="7" t="s">
        <v>195</v>
      </c>
      <c r="H13" s="7" t="s">
        <v>195</v>
      </c>
      <c r="I13" s="7" t="s">
        <v>195</v>
      </c>
      <c r="J13" s="7" t="s">
        <v>195</v>
      </c>
      <c r="K13" s="7" t="s">
        <v>195</v>
      </c>
      <c r="L13" s="7" t="s">
        <v>195</v>
      </c>
      <c r="M13" s="7" t="s">
        <v>29</v>
      </c>
      <c r="N13" s="7" t="s">
        <v>29</v>
      </c>
      <c r="O13" s="7" t="s">
        <v>29</v>
      </c>
      <c r="P13" s="7" t="s">
        <v>29</v>
      </c>
      <c r="Q13" s="7" t="s">
        <v>29</v>
      </c>
      <c r="R13" s="7" t="s">
        <v>29</v>
      </c>
      <c r="S13" s="7" t="s">
        <v>29</v>
      </c>
    </row>
    <row r="14" spans="1:19">
      <c r="B14" s="7" t="s">
        <v>195</v>
      </c>
      <c r="C14" s="8" t="s">
        <v>195</v>
      </c>
      <c r="D14" s="5" t="str">
        <f>LRTRIM(CONCATENATE(IF(SUMPRODUCT(-- ISNUMBER(SEARCH({"Auto Number"}, $B14))) &gt; 0, $B14, IF(SUMPRODUCT(-- ISNUMBER(SEARCH({"Lookup","Master-Detail"}, $B14))) &gt; 0,$B14 &amp; "(" &amp; $E14 &amp; ")",IF(SUMPRODUCT(-- ISNUMBER(SEARCH({"Formula","Roll-Up Summary"}, $B14))) &gt; 0,$B14 &amp; " (" &amp; $E14 &amp; ")",IF(SUMPRODUCT(-- ISNUMBER(SEARCH({"Content","Currency","Number","Percent","Text","URL"}, $B14))) &gt; 0,$B14 &amp; "(" &amp; $C14 &amp; ")",$B14)))), "  ", TRIM(IF($S14 = "YES", "(External ID)", "") &amp; " " &amp; IF(SUMPRODUCT(-- ISNUMBER(SEARCH({"Unique","Unique Case Insensitive"}, $R14))) &gt; 0, "(" &amp; $R14 &amp; ")", ""))))</f>
        <v>na</v>
      </c>
      <c r="E14" s="7" t="s">
        <v>195</v>
      </c>
      <c r="F14" s="7" t="s">
        <v>195</v>
      </c>
      <c r="G14" s="7" t="s">
        <v>195</v>
      </c>
      <c r="H14" s="7" t="s">
        <v>195</v>
      </c>
      <c r="I14" s="7" t="s">
        <v>195</v>
      </c>
      <c r="J14" s="7" t="s">
        <v>195</v>
      </c>
      <c r="K14" s="7" t="s">
        <v>195</v>
      </c>
      <c r="L14" s="7" t="s">
        <v>195</v>
      </c>
      <c r="M14" s="7" t="s">
        <v>29</v>
      </c>
      <c r="N14" s="7" t="s">
        <v>29</v>
      </c>
      <c r="O14" s="7" t="s">
        <v>29</v>
      </c>
      <c r="P14" s="7" t="s">
        <v>29</v>
      </c>
      <c r="Q14" s="7" t="s">
        <v>29</v>
      </c>
      <c r="R14" s="7" t="s">
        <v>29</v>
      </c>
      <c r="S14" s="7" t="s">
        <v>29</v>
      </c>
    </row>
    <row r="15" spans="1:19">
      <c r="B15" s="7" t="s">
        <v>195</v>
      </c>
      <c r="C15" s="8" t="s">
        <v>195</v>
      </c>
      <c r="D15" s="5" t="str">
        <f>LRTRIM(CONCATENATE(IF(SUMPRODUCT(-- ISNUMBER(SEARCH({"Auto Number"}, $B15))) &gt; 0, $B15, IF(SUMPRODUCT(-- ISNUMBER(SEARCH({"Lookup","Master-Detail"}, $B15))) &gt; 0,$B15 &amp; "(" &amp; $E15 &amp; ")",IF(SUMPRODUCT(-- ISNUMBER(SEARCH({"Formula","Roll-Up Summary"}, $B15))) &gt; 0,$B15 &amp; " (" &amp; $E15 &amp; ")",IF(SUMPRODUCT(-- ISNUMBER(SEARCH({"Content","Currency","Number","Percent","Text","URL"}, $B15))) &gt; 0,$B15 &amp; "(" &amp; $C15 &amp; ")",$B15)))), "  ", TRIM(IF($S15 = "YES", "(External ID)", "") &amp; " " &amp; IF(SUMPRODUCT(-- ISNUMBER(SEARCH({"Unique","Unique Case Insensitive"}, $R15))) &gt; 0, "(" &amp; $R15 &amp; ")", ""))))</f>
        <v>na</v>
      </c>
      <c r="E15" s="7" t="s">
        <v>195</v>
      </c>
      <c r="F15" s="7" t="s">
        <v>195</v>
      </c>
      <c r="G15" s="7" t="s">
        <v>195</v>
      </c>
      <c r="H15" s="7" t="s">
        <v>195</v>
      </c>
      <c r="I15" s="7" t="s">
        <v>195</v>
      </c>
      <c r="J15" s="7" t="s">
        <v>195</v>
      </c>
      <c r="K15" s="7" t="s">
        <v>195</v>
      </c>
      <c r="L15" s="7" t="s">
        <v>195</v>
      </c>
      <c r="M15" s="7" t="s">
        <v>29</v>
      </c>
      <c r="N15" s="7" t="s">
        <v>29</v>
      </c>
      <c r="O15" s="7" t="s">
        <v>29</v>
      </c>
      <c r="P15" s="7" t="s">
        <v>29</v>
      </c>
      <c r="Q15" s="7" t="s">
        <v>29</v>
      </c>
      <c r="R15" s="7" t="s">
        <v>29</v>
      </c>
      <c r="S15" s="7" t="s">
        <v>29</v>
      </c>
    </row>
    <row r="16" spans="1:19">
      <c r="B16" s="7" t="s">
        <v>195</v>
      </c>
      <c r="C16" s="8" t="s">
        <v>195</v>
      </c>
      <c r="D16" s="5" t="str">
        <f>LRTRIM(CONCATENATE(IF(SUMPRODUCT(-- ISNUMBER(SEARCH({"Auto Number"}, $B16))) &gt; 0, $B16, IF(SUMPRODUCT(-- ISNUMBER(SEARCH({"Lookup","Master-Detail"}, $B16))) &gt; 0,$B16 &amp; "(" &amp; $E16 &amp; ")",IF(SUMPRODUCT(-- ISNUMBER(SEARCH({"Formula","Roll-Up Summary"}, $B16))) &gt; 0,$B16 &amp; " (" &amp; $E16 &amp; ")",IF(SUMPRODUCT(-- ISNUMBER(SEARCH({"Content","Currency","Number","Percent","Text","URL"}, $B16))) &gt; 0,$B16 &amp; "(" &amp; $C16 &amp; ")",$B16)))), "  ", TRIM(IF($S16 = "YES", "(External ID)", "") &amp; " " &amp; IF(SUMPRODUCT(-- ISNUMBER(SEARCH({"Unique","Unique Case Insensitive"}, $R16))) &gt; 0, "(" &amp; $R16 &amp; ")", ""))))</f>
        <v>na</v>
      </c>
      <c r="E16" s="7" t="s">
        <v>195</v>
      </c>
      <c r="F16" s="7" t="s">
        <v>195</v>
      </c>
      <c r="G16" s="7" t="s">
        <v>195</v>
      </c>
      <c r="H16" s="7" t="s">
        <v>195</v>
      </c>
      <c r="I16" s="7" t="s">
        <v>195</v>
      </c>
      <c r="J16" s="7" t="s">
        <v>195</v>
      </c>
      <c r="K16" s="7" t="s">
        <v>195</v>
      </c>
      <c r="L16" s="7" t="s">
        <v>195</v>
      </c>
      <c r="M16" s="7" t="s">
        <v>29</v>
      </c>
      <c r="N16" s="7" t="s">
        <v>29</v>
      </c>
      <c r="O16" s="7" t="s">
        <v>29</v>
      </c>
      <c r="P16" s="7" t="s">
        <v>29</v>
      </c>
      <c r="Q16" s="7" t="s">
        <v>29</v>
      </c>
      <c r="R16" s="7" t="s">
        <v>29</v>
      </c>
      <c r="S16" s="7" t="s">
        <v>29</v>
      </c>
    </row>
    <row r="17" spans="2:19">
      <c r="B17" s="7" t="s">
        <v>195</v>
      </c>
      <c r="C17" s="8" t="s">
        <v>195</v>
      </c>
      <c r="D17" s="5" t="str">
        <f>LRTRIM(CONCATENATE(IF(SUMPRODUCT(-- ISNUMBER(SEARCH({"Auto Number"}, $B17))) &gt; 0, $B17, IF(SUMPRODUCT(-- ISNUMBER(SEARCH({"Lookup","Master-Detail"}, $B17))) &gt; 0,$B17 &amp; "(" &amp; $E17 &amp; ")",IF(SUMPRODUCT(-- ISNUMBER(SEARCH({"Formula","Roll-Up Summary"}, $B17))) &gt; 0,$B17 &amp; " (" &amp; $E17 &amp; ")",IF(SUMPRODUCT(-- ISNUMBER(SEARCH({"Content","Currency","Number","Percent","Text","URL"}, $B17))) &gt; 0,$B17 &amp; "(" &amp; $C17 &amp; ")",$B17)))), "  ", TRIM(IF($S17 = "YES", "(External ID)", "") &amp; " " &amp; IF(SUMPRODUCT(-- ISNUMBER(SEARCH({"Unique","Unique Case Insensitive"}, $R17))) &gt; 0, "(" &amp; $R17 &amp; ")", ""))))</f>
        <v>na</v>
      </c>
      <c r="E17" s="7" t="s">
        <v>195</v>
      </c>
      <c r="F17" s="7" t="s">
        <v>195</v>
      </c>
      <c r="G17" s="7" t="s">
        <v>195</v>
      </c>
      <c r="H17" s="7" t="s">
        <v>195</v>
      </c>
      <c r="I17" s="7" t="s">
        <v>195</v>
      </c>
      <c r="J17" s="7" t="s">
        <v>195</v>
      </c>
      <c r="K17" s="7" t="s">
        <v>195</v>
      </c>
      <c r="L17" s="7" t="s">
        <v>195</v>
      </c>
      <c r="M17" s="7" t="s">
        <v>29</v>
      </c>
      <c r="N17" s="7" t="s">
        <v>29</v>
      </c>
      <c r="O17" s="7" t="s">
        <v>29</v>
      </c>
      <c r="P17" s="7" t="s">
        <v>29</v>
      </c>
      <c r="Q17" s="7" t="s">
        <v>29</v>
      </c>
      <c r="R17" s="7" t="s">
        <v>29</v>
      </c>
      <c r="S17" s="7" t="s">
        <v>29</v>
      </c>
    </row>
    <row r="18" spans="2:19">
      <c r="B18" s="7" t="s">
        <v>195</v>
      </c>
      <c r="C18" s="8" t="s">
        <v>195</v>
      </c>
      <c r="D18" s="5" t="str">
        <f>LRTRIM(CONCATENATE(IF(SUMPRODUCT(-- ISNUMBER(SEARCH({"Auto Number"}, $B18))) &gt; 0, $B18, IF(SUMPRODUCT(-- ISNUMBER(SEARCH({"Lookup","Master-Detail"}, $B18))) &gt; 0,$B18 &amp; "(" &amp; $E18 &amp; ")",IF(SUMPRODUCT(-- ISNUMBER(SEARCH({"Formula","Roll-Up Summary"}, $B18))) &gt; 0,$B18 &amp; " (" &amp; $E18 &amp; ")",IF(SUMPRODUCT(-- ISNUMBER(SEARCH({"Content","Currency","Number","Percent","Text","URL"}, $B18))) &gt; 0,$B18 &amp; "(" &amp; $C18 &amp; ")",$B18)))), "  ", TRIM(IF($S18 = "YES", "(External ID)", "") &amp; " " &amp; IF(SUMPRODUCT(-- ISNUMBER(SEARCH({"Unique","Unique Case Insensitive"}, $R18))) &gt; 0, "(" &amp; $R18 &amp; ")", ""))))</f>
        <v>na</v>
      </c>
      <c r="E18" s="7" t="s">
        <v>195</v>
      </c>
      <c r="F18" s="7" t="s">
        <v>195</v>
      </c>
      <c r="G18" s="7" t="s">
        <v>195</v>
      </c>
      <c r="H18" s="7" t="s">
        <v>195</v>
      </c>
      <c r="I18" s="7" t="s">
        <v>195</v>
      </c>
      <c r="J18" s="7" t="s">
        <v>195</v>
      </c>
      <c r="K18" s="7" t="s">
        <v>195</v>
      </c>
      <c r="L18" s="7" t="s">
        <v>195</v>
      </c>
      <c r="M18" s="7" t="s">
        <v>29</v>
      </c>
      <c r="N18" s="7" t="s">
        <v>29</v>
      </c>
      <c r="O18" s="7" t="s">
        <v>29</v>
      </c>
      <c r="P18" s="7" t="s">
        <v>29</v>
      </c>
      <c r="Q18" s="7" t="s">
        <v>29</v>
      </c>
      <c r="R18" s="7" t="s">
        <v>29</v>
      </c>
      <c r="S18" s="7" t="s">
        <v>29</v>
      </c>
    </row>
    <row r="19" spans="2:19">
      <c r="B19" s="7" t="s">
        <v>195</v>
      </c>
      <c r="C19" s="8" t="s">
        <v>195</v>
      </c>
      <c r="D19" s="5" t="str">
        <f>LRTRIM(CONCATENATE(IF(SUMPRODUCT(-- ISNUMBER(SEARCH({"Auto Number"}, $B19))) &gt; 0, $B19, IF(SUMPRODUCT(-- ISNUMBER(SEARCH({"Lookup","Master-Detail"}, $B19))) &gt; 0,$B19 &amp; "(" &amp; $E19 &amp; ")",IF(SUMPRODUCT(-- ISNUMBER(SEARCH({"Formula","Roll-Up Summary"}, $B19))) &gt; 0,$B19 &amp; " (" &amp; $E19 &amp; ")",IF(SUMPRODUCT(-- ISNUMBER(SEARCH({"Content","Currency","Number","Percent","Text","URL"}, $B19))) &gt; 0,$B19 &amp; "(" &amp; $C19 &amp; ")",$B19)))), "  ", TRIM(IF($S19 = "YES", "(External ID)", "") &amp; " " &amp; IF(SUMPRODUCT(-- ISNUMBER(SEARCH({"Unique","Unique Case Insensitive"}, $R19))) &gt; 0, "(" &amp; $R19 &amp; ")", ""))))</f>
        <v>na</v>
      </c>
      <c r="E19" s="7" t="s">
        <v>195</v>
      </c>
      <c r="F19" s="7" t="s">
        <v>195</v>
      </c>
      <c r="G19" s="7" t="s">
        <v>195</v>
      </c>
      <c r="H19" s="7" t="s">
        <v>195</v>
      </c>
      <c r="I19" s="7" t="s">
        <v>195</v>
      </c>
      <c r="J19" s="7" t="s">
        <v>195</v>
      </c>
      <c r="K19" s="7" t="s">
        <v>195</v>
      </c>
      <c r="L19" s="7" t="s">
        <v>195</v>
      </c>
      <c r="M19" s="7" t="s">
        <v>29</v>
      </c>
      <c r="N19" s="7" t="s">
        <v>29</v>
      </c>
      <c r="O19" s="7" t="s">
        <v>29</v>
      </c>
      <c r="P19" s="7" t="s">
        <v>29</v>
      </c>
      <c r="Q19" s="7" t="s">
        <v>29</v>
      </c>
      <c r="R19" s="7" t="s">
        <v>29</v>
      </c>
      <c r="S19" s="7" t="s">
        <v>29</v>
      </c>
    </row>
    <row r="20" spans="2:19">
      <c r="B20" s="7" t="s">
        <v>195</v>
      </c>
      <c r="C20" s="8" t="s">
        <v>195</v>
      </c>
      <c r="D20" s="5" t="str">
        <f>LRTRIM(CONCATENATE(IF(SUMPRODUCT(-- ISNUMBER(SEARCH({"Auto Number"}, $B20))) &gt; 0, $B20, IF(SUMPRODUCT(-- ISNUMBER(SEARCH({"Lookup","Master-Detail"}, $B20))) &gt; 0,$B20 &amp; "(" &amp; $E20 &amp; ")",IF(SUMPRODUCT(-- ISNUMBER(SEARCH({"Formula","Roll-Up Summary"}, $B20))) &gt; 0,$B20 &amp; " (" &amp; $E20 &amp; ")",IF(SUMPRODUCT(-- ISNUMBER(SEARCH({"Content","Currency","Number","Percent","Text","URL"}, $B20))) &gt; 0,$B20 &amp; "(" &amp; $C20 &amp; ")",$B20)))), "  ", TRIM(IF($S20 = "YES", "(External ID)", "") &amp; " " &amp; IF(SUMPRODUCT(-- ISNUMBER(SEARCH({"Unique","Unique Case Insensitive"}, $R20))) &gt; 0, "(" &amp; $R20 &amp; ")", ""))))</f>
        <v>na</v>
      </c>
      <c r="E20" s="7" t="s">
        <v>195</v>
      </c>
      <c r="F20" s="7" t="s">
        <v>195</v>
      </c>
      <c r="G20" s="7" t="s">
        <v>195</v>
      </c>
      <c r="H20" s="7" t="s">
        <v>195</v>
      </c>
      <c r="I20" s="7" t="s">
        <v>195</v>
      </c>
      <c r="J20" s="7" t="s">
        <v>195</v>
      </c>
      <c r="K20" s="7" t="s">
        <v>195</v>
      </c>
      <c r="L20" s="7" t="s">
        <v>195</v>
      </c>
      <c r="M20" s="7" t="s">
        <v>29</v>
      </c>
      <c r="N20" s="7" t="s">
        <v>29</v>
      </c>
      <c r="O20" s="7" t="s">
        <v>29</v>
      </c>
      <c r="P20" s="7" t="s">
        <v>29</v>
      </c>
      <c r="Q20" s="7" t="s">
        <v>29</v>
      </c>
      <c r="R20" s="7" t="s">
        <v>29</v>
      </c>
      <c r="S20" s="7" t="s">
        <v>29</v>
      </c>
    </row>
    <row r="21" spans="2:19">
      <c r="B21" s="7" t="s">
        <v>195</v>
      </c>
      <c r="C21" s="8" t="s">
        <v>195</v>
      </c>
      <c r="D21" s="5" t="str">
        <f>LRTRIM(CONCATENATE(IF(SUMPRODUCT(-- ISNUMBER(SEARCH({"Auto Number"}, $B21))) &gt; 0, $B21, IF(SUMPRODUCT(-- ISNUMBER(SEARCH({"Lookup","Master-Detail"}, $B21))) &gt; 0,$B21 &amp; "(" &amp; $E21 &amp; ")",IF(SUMPRODUCT(-- ISNUMBER(SEARCH({"Formula","Roll-Up Summary"}, $B21))) &gt; 0,$B21 &amp; " (" &amp; $E21 &amp; ")",IF(SUMPRODUCT(-- ISNUMBER(SEARCH({"Content","Currency","Number","Percent","Text","URL"}, $B21))) &gt; 0,$B21 &amp; "(" &amp; $C21 &amp; ")",$B21)))), "  ", TRIM(IF($S21 = "YES", "(External ID)", "") &amp; " " &amp; IF(SUMPRODUCT(-- ISNUMBER(SEARCH({"Unique","Unique Case Insensitive"}, $R21))) &gt; 0, "(" &amp; $R21 &amp; ")", ""))))</f>
        <v>na</v>
      </c>
      <c r="E21" s="7" t="s">
        <v>195</v>
      </c>
      <c r="F21" s="7" t="s">
        <v>195</v>
      </c>
      <c r="G21" s="7" t="s">
        <v>195</v>
      </c>
      <c r="H21" s="7" t="s">
        <v>195</v>
      </c>
      <c r="I21" s="7" t="s">
        <v>195</v>
      </c>
      <c r="J21" s="7" t="s">
        <v>195</v>
      </c>
      <c r="K21" s="7" t="s">
        <v>195</v>
      </c>
      <c r="L21" s="7" t="s">
        <v>195</v>
      </c>
      <c r="M21" s="7" t="s">
        <v>29</v>
      </c>
      <c r="N21" s="7" t="s">
        <v>29</v>
      </c>
      <c r="O21" s="7" t="s">
        <v>29</v>
      </c>
      <c r="P21" s="7" t="s">
        <v>29</v>
      </c>
      <c r="Q21" s="7" t="s">
        <v>29</v>
      </c>
      <c r="R21" s="7" t="s">
        <v>29</v>
      </c>
      <c r="S21" s="7" t="s">
        <v>29</v>
      </c>
    </row>
    <row r="22" spans="2:19">
      <c r="B22" s="7" t="s">
        <v>195</v>
      </c>
      <c r="C22" s="8" t="s">
        <v>195</v>
      </c>
      <c r="D22" s="5" t="str">
        <f>LRTRIM(CONCATENATE(IF(SUMPRODUCT(-- ISNUMBER(SEARCH({"Auto Number"}, $B22))) &gt; 0, $B22, IF(SUMPRODUCT(-- ISNUMBER(SEARCH({"Lookup","Master-Detail"}, $B22))) &gt; 0,$B22 &amp; "(" &amp; $E22 &amp; ")",IF(SUMPRODUCT(-- ISNUMBER(SEARCH({"Formula","Roll-Up Summary"}, $B22))) &gt; 0,$B22 &amp; " (" &amp; $E22 &amp; ")",IF(SUMPRODUCT(-- ISNUMBER(SEARCH({"Content","Currency","Number","Percent","Text","URL"}, $B22))) &gt; 0,$B22 &amp; "(" &amp; $C22 &amp; ")",$B22)))), "  ", TRIM(IF($S22 = "YES", "(External ID)", "") &amp; " " &amp; IF(SUMPRODUCT(-- ISNUMBER(SEARCH({"Unique","Unique Case Insensitive"}, $R22))) &gt; 0, "(" &amp; $R22 &amp; ")", ""))))</f>
        <v>na</v>
      </c>
      <c r="E22" s="7" t="s">
        <v>195</v>
      </c>
      <c r="F22" s="7" t="s">
        <v>195</v>
      </c>
      <c r="G22" s="7" t="s">
        <v>195</v>
      </c>
      <c r="H22" s="7" t="s">
        <v>195</v>
      </c>
      <c r="I22" s="7" t="s">
        <v>195</v>
      </c>
      <c r="J22" s="7" t="s">
        <v>195</v>
      </c>
      <c r="K22" s="7" t="s">
        <v>195</v>
      </c>
      <c r="L22" s="7" t="s">
        <v>195</v>
      </c>
      <c r="M22" s="7" t="s">
        <v>29</v>
      </c>
      <c r="N22" s="7" t="s">
        <v>29</v>
      </c>
      <c r="O22" s="7" t="s">
        <v>29</v>
      </c>
      <c r="P22" s="7" t="s">
        <v>29</v>
      </c>
      <c r="Q22" s="7" t="s">
        <v>29</v>
      </c>
      <c r="R22" s="7" t="s">
        <v>29</v>
      </c>
      <c r="S22" s="7" t="s">
        <v>29</v>
      </c>
    </row>
    <row r="23" spans="2:19">
      <c r="B23" s="7" t="s">
        <v>195</v>
      </c>
      <c r="C23" s="8" t="s">
        <v>195</v>
      </c>
      <c r="D23" s="5" t="str">
        <f>LRTRIM(CONCATENATE(IF(SUMPRODUCT(-- ISNUMBER(SEARCH({"Auto Number"}, $B23))) &gt; 0, $B23, IF(SUMPRODUCT(-- ISNUMBER(SEARCH({"Lookup","Master-Detail"}, $B23))) &gt; 0,$B23 &amp; "(" &amp; $E23 &amp; ")",IF(SUMPRODUCT(-- ISNUMBER(SEARCH({"Formula","Roll-Up Summary"}, $B23))) &gt; 0,$B23 &amp; " (" &amp; $E23 &amp; ")",IF(SUMPRODUCT(-- ISNUMBER(SEARCH({"Content","Currency","Number","Percent","Text","URL"}, $B23))) &gt; 0,$B23 &amp; "(" &amp; $C23 &amp; ")",$B23)))), "  ", TRIM(IF($S23 = "YES", "(External ID)", "") &amp; " " &amp; IF(SUMPRODUCT(-- ISNUMBER(SEARCH({"Unique","Unique Case Insensitive"}, $R23))) &gt; 0, "(" &amp; $R23 &amp; ")", ""))))</f>
        <v>na</v>
      </c>
      <c r="E23" s="7" t="s">
        <v>195</v>
      </c>
      <c r="F23" s="7" t="s">
        <v>195</v>
      </c>
      <c r="G23" s="7" t="s">
        <v>195</v>
      </c>
      <c r="H23" s="7" t="s">
        <v>195</v>
      </c>
      <c r="I23" s="7" t="s">
        <v>195</v>
      </c>
      <c r="J23" s="7" t="s">
        <v>195</v>
      </c>
      <c r="K23" s="7" t="s">
        <v>195</v>
      </c>
      <c r="L23" s="7" t="s">
        <v>195</v>
      </c>
      <c r="M23" s="7" t="s">
        <v>29</v>
      </c>
      <c r="N23" s="7" t="s">
        <v>29</v>
      </c>
      <c r="O23" s="7" t="s">
        <v>29</v>
      </c>
      <c r="P23" s="7" t="s">
        <v>29</v>
      </c>
      <c r="Q23" s="7" t="s">
        <v>29</v>
      </c>
      <c r="R23" s="7" t="s">
        <v>29</v>
      </c>
      <c r="S23" s="7" t="s">
        <v>29</v>
      </c>
    </row>
    <row r="24" spans="2:19">
      <c r="B24" s="7" t="s">
        <v>195</v>
      </c>
      <c r="C24" s="8" t="s">
        <v>195</v>
      </c>
      <c r="D24" s="5" t="str">
        <f>LRTRIM(CONCATENATE(IF(SUMPRODUCT(-- ISNUMBER(SEARCH({"Auto Number"}, $B24))) &gt; 0, $B24, IF(SUMPRODUCT(-- ISNUMBER(SEARCH({"Lookup","Master-Detail"}, $B24))) &gt; 0,$B24 &amp; "(" &amp; $E24 &amp; ")",IF(SUMPRODUCT(-- ISNUMBER(SEARCH({"Formula","Roll-Up Summary"}, $B24))) &gt; 0,$B24 &amp; " (" &amp; $E24 &amp; ")",IF(SUMPRODUCT(-- ISNUMBER(SEARCH({"Content","Currency","Number","Percent","Text","URL"}, $B24))) &gt; 0,$B24 &amp; "(" &amp; $C24 &amp; ")",$B24)))), "  ", TRIM(IF($S24 = "YES", "(External ID)", "") &amp; " " &amp; IF(SUMPRODUCT(-- ISNUMBER(SEARCH({"Unique","Unique Case Insensitive"}, $R24))) &gt; 0, "(" &amp; $R24 &amp; ")", ""))))</f>
        <v>na</v>
      </c>
      <c r="E24" s="7" t="s">
        <v>195</v>
      </c>
      <c r="F24" s="7" t="s">
        <v>195</v>
      </c>
      <c r="G24" s="7" t="s">
        <v>195</v>
      </c>
      <c r="H24" s="7" t="s">
        <v>195</v>
      </c>
      <c r="I24" s="7" t="s">
        <v>195</v>
      </c>
      <c r="J24" s="7" t="s">
        <v>195</v>
      </c>
      <c r="K24" s="7" t="s">
        <v>195</v>
      </c>
      <c r="L24" s="7" t="s">
        <v>195</v>
      </c>
      <c r="M24" s="7" t="s">
        <v>29</v>
      </c>
      <c r="N24" s="7" t="s">
        <v>29</v>
      </c>
      <c r="O24" s="7" t="s">
        <v>29</v>
      </c>
      <c r="P24" s="7" t="s">
        <v>29</v>
      </c>
      <c r="Q24" s="7" t="s">
        <v>29</v>
      </c>
      <c r="R24" s="7" t="s">
        <v>29</v>
      </c>
      <c r="S24" s="7" t="s">
        <v>29</v>
      </c>
    </row>
    <row r="25" spans="2:19">
      <c r="B25" s="7" t="s">
        <v>195</v>
      </c>
      <c r="C25" s="8" t="s">
        <v>195</v>
      </c>
      <c r="D25" s="5" t="str">
        <f>LRTRIM(CONCATENATE(IF(SUMPRODUCT(-- ISNUMBER(SEARCH({"Auto Number"}, $B25))) &gt; 0, $B25, IF(SUMPRODUCT(-- ISNUMBER(SEARCH({"Lookup","Master-Detail"}, $B25))) &gt; 0,$B25 &amp; "(" &amp; $E25 &amp; ")",IF(SUMPRODUCT(-- ISNUMBER(SEARCH({"Formula","Roll-Up Summary"}, $B25))) &gt; 0,$B25 &amp; " (" &amp; $E25 &amp; ")",IF(SUMPRODUCT(-- ISNUMBER(SEARCH({"Content","Currency","Number","Percent","Text","URL"}, $B25))) &gt; 0,$B25 &amp; "(" &amp; $C25 &amp; ")",$B25)))), "  ", TRIM(IF($S25 = "YES", "(External ID)", "") &amp; " " &amp; IF(SUMPRODUCT(-- ISNUMBER(SEARCH({"Unique","Unique Case Insensitive"}, $R25))) &gt; 0, "(" &amp; $R25 &amp; ")", ""))))</f>
        <v>na</v>
      </c>
      <c r="E25" s="7" t="s">
        <v>195</v>
      </c>
      <c r="F25" s="7" t="s">
        <v>195</v>
      </c>
      <c r="G25" s="7" t="s">
        <v>195</v>
      </c>
      <c r="H25" s="7" t="s">
        <v>195</v>
      </c>
      <c r="I25" s="7" t="s">
        <v>195</v>
      </c>
      <c r="J25" s="7" t="s">
        <v>195</v>
      </c>
      <c r="K25" s="7" t="s">
        <v>195</v>
      </c>
      <c r="L25" s="7" t="s">
        <v>195</v>
      </c>
      <c r="M25" s="7" t="s">
        <v>29</v>
      </c>
      <c r="N25" s="7" t="s">
        <v>29</v>
      </c>
      <c r="O25" s="7" t="s">
        <v>29</v>
      </c>
      <c r="P25" s="7" t="s">
        <v>29</v>
      </c>
      <c r="Q25" s="7" t="s">
        <v>29</v>
      </c>
      <c r="R25" s="7" t="s">
        <v>29</v>
      </c>
      <c r="S25" s="7" t="s">
        <v>29</v>
      </c>
    </row>
    <row r="26" spans="2:19">
      <c r="B26" s="7" t="s">
        <v>195</v>
      </c>
      <c r="C26" s="8" t="s">
        <v>195</v>
      </c>
      <c r="D26" s="5" t="str">
        <f>LRTRIM(CONCATENATE(IF(SUMPRODUCT(-- ISNUMBER(SEARCH({"Auto Number"}, $B26))) &gt; 0, $B26, IF(SUMPRODUCT(-- ISNUMBER(SEARCH({"Lookup","Master-Detail"}, $B26))) &gt; 0,$B26 &amp; "(" &amp; $E26 &amp; ")",IF(SUMPRODUCT(-- ISNUMBER(SEARCH({"Formula","Roll-Up Summary"}, $B26))) &gt; 0,$B26 &amp; " (" &amp; $E26 &amp; ")",IF(SUMPRODUCT(-- ISNUMBER(SEARCH({"Content","Currency","Number","Percent","Text","URL"}, $B26))) &gt; 0,$B26 &amp; "(" &amp; $C26 &amp; ")",$B26)))), "  ", TRIM(IF($S26 = "YES", "(External ID)", "") &amp; " " &amp; IF(SUMPRODUCT(-- ISNUMBER(SEARCH({"Unique","Unique Case Insensitive"}, $R26))) &gt; 0, "(" &amp; $R26 &amp; ")", ""))))</f>
        <v>na</v>
      </c>
      <c r="E26" s="7" t="s">
        <v>195</v>
      </c>
      <c r="F26" s="7" t="s">
        <v>195</v>
      </c>
      <c r="G26" s="7" t="s">
        <v>195</v>
      </c>
      <c r="H26" s="7" t="s">
        <v>195</v>
      </c>
      <c r="I26" s="7" t="s">
        <v>195</v>
      </c>
      <c r="J26" s="7" t="s">
        <v>195</v>
      </c>
      <c r="K26" s="7" t="s">
        <v>195</v>
      </c>
      <c r="L26" s="7" t="s">
        <v>195</v>
      </c>
      <c r="M26" s="7" t="s">
        <v>29</v>
      </c>
      <c r="N26" s="7" t="s">
        <v>29</v>
      </c>
      <c r="O26" s="7" t="s">
        <v>29</v>
      </c>
      <c r="P26" s="7" t="s">
        <v>29</v>
      </c>
      <c r="Q26" s="7" t="s">
        <v>29</v>
      </c>
      <c r="R26" s="7" t="s">
        <v>29</v>
      </c>
      <c r="S26" s="7" t="s">
        <v>29</v>
      </c>
    </row>
    <row r="27" spans="2:19">
      <c r="B27" s="7" t="s">
        <v>195</v>
      </c>
      <c r="C27" s="8" t="s">
        <v>195</v>
      </c>
      <c r="D27" s="5" t="str">
        <f>LRTRIM(CONCATENATE(IF(SUMPRODUCT(-- ISNUMBER(SEARCH({"Auto Number"}, $B27))) &gt; 0, $B27, IF(SUMPRODUCT(-- ISNUMBER(SEARCH({"Lookup","Master-Detail"}, $B27))) &gt; 0,$B27 &amp; "(" &amp; $E27 &amp; ")",IF(SUMPRODUCT(-- ISNUMBER(SEARCH({"Formula","Roll-Up Summary"}, $B27))) &gt; 0,$B27 &amp; " (" &amp; $E27 &amp; ")",IF(SUMPRODUCT(-- ISNUMBER(SEARCH({"Content","Currency","Number","Percent","Text","URL"}, $B27))) &gt; 0,$B27 &amp; "(" &amp; $C27 &amp; ")",$B27)))), "  ", TRIM(IF($S27 = "YES", "(External ID)", "") &amp; " " &amp; IF(SUMPRODUCT(-- ISNUMBER(SEARCH({"Unique","Unique Case Insensitive"}, $R27))) &gt; 0, "(" &amp; $R27 &amp; ")", ""))))</f>
        <v>na</v>
      </c>
      <c r="E27" s="7" t="s">
        <v>195</v>
      </c>
      <c r="F27" s="7" t="s">
        <v>195</v>
      </c>
      <c r="G27" s="7" t="s">
        <v>195</v>
      </c>
      <c r="H27" s="7" t="s">
        <v>195</v>
      </c>
      <c r="I27" s="7" t="s">
        <v>195</v>
      </c>
      <c r="J27" s="7" t="s">
        <v>195</v>
      </c>
      <c r="K27" s="7" t="s">
        <v>195</v>
      </c>
      <c r="L27" s="7" t="s">
        <v>195</v>
      </c>
      <c r="M27" s="7" t="s">
        <v>29</v>
      </c>
      <c r="N27" s="7" t="s">
        <v>29</v>
      </c>
      <c r="O27" s="7" t="s">
        <v>29</v>
      </c>
      <c r="P27" s="7" t="s">
        <v>29</v>
      </c>
      <c r="Q27" s="7" t="s">
        <v>29</v>
      </c>
      <c r="R27" s="7" t="s">
        <v>29</v>
      </c>
      <c r="S27" s="7" t="s">
        <v>29</v>
      </c>
    </row>
    <row r="28" spans="2:19">
      <c r="B28" s="7" t="s">
        <v>195</v>
      </c>
      <c r="C28" s="8" t="s">
        <v>195</v>
      </c>
      <c r="D28" s="5" t="str">
        <f>LRTRIM(CONCATENATE(IF(SUMPRODUCT(-- ISNUMBER(SEARCH({"Auto Number"}, $B28))) &gt; 0, $B28, IF(SUMPRODUCT(-- ISNUMBER(SEARCH({"Lookup","Master-Detail"}, $B28))) &gt; 0,$B28 &amp; "(" &amp; $E28 &amp; ")",IF(SUMPRODUCT(-- ISNUMBER(SEARCH({"Formula","Roll-Up Summary"}, $B28))) &gt; 0,$B28 &amp; " (" &amp; $E28 &amp; ")",IF(SUMPRODUCT(-- ISNUMBER(SEARCH({"Content","Currency","Number","Percent","Text","URL"}, $B28))) &gt; 0,$B28 &amp; "(" &amp; $C28 &amp; ")",$B28)))), "  ", TRIM(IF($S28 = "YES", "(External ID)", "") &amp; " " &amp; IF(SUMPRODUCT(-- ISNUMBER(SEARCH({"Unique","Unique Case Insensitive"}, $R28))) &gt; 0, "(" &amp; $R28 &amp; ")", ""))))</f>
        <v>na</v>
      </c>
      <c r="E28" s="7" t="s">
        <v>195</v>
      </c>
      <c r="F28" s="7" t="s">
        <v>195</v>
      </c>
      <c r="G28" s="7" t="s">
        <v>195</v>
      </c>
      <c r="H28" s="7" t="s">
        <v>195</v>
      </c>
      <c r="I28" s="7" t="s">
        <v>195</v>
      </c>
      <c r="J28" s="7" t="s">
        <v>195</v>
      </c>
      <c r="K28" s="7" t="s">
        <v>195</v>
      </c>
      <c r="L28" s="7" t="s">
        <v>195</v>
      </c>
      <c r="M28" s="7" t="s">
        <v>29</v>
      </c>
      <c r="N28" s="7" t="s">
        <v>29</v>
      </c>
      <c r="O28" s="7" t="s">
        <v>29</v>
      </c>
      <c r="P28" s="7" t="s">
        <v>29</v>
      </c>
      <c r="Q28" s="7" t="s">
        <v>29</v>
      </c>
      <c r="R28" s="7" t="s">
        <v>29</v>
      </c>
      <c r="S28" s="7" t="s">
        <v>29</v>
      </c>
    </row>
    <row r="29" spans="2:19">
      <c r="B29" s="7" t="s">
        <v>195</v>
      </c>
      <c r="C29" s="8" t="s">
        <v>195</v>
      </c>
      <c r="D29" s="5" t="str">
        <f>LRTRIM(CONCATENATE(IF(SUMPRODUCT(-- ISNUMBER(SEARCH({"Auto Number"}, $B29))) &gt; 0, $B29, IF(SUMPRODUCT(-- ISNUMBER(SEARCH({"Lookup","Master-Detail"}, $B29))) &gt; 0,$B29 &amp; "(" &amp; $E29 &amp; ")",IF(SUMPRODUCT(-- ISNUMBER(SEARCH({"Formula","Roll-Up Summary"}, $B29))) &gt; 0,$B29 &amp; " (" &amp; $E29 &amp; ")",IF(SUMPRODUCT(-- ISNUMBER(SEARCH({"Content","Currency","Number","Percent","Text","URL"}, $B29))) &gt; 0,$B29 &amp; "(" &amp; $C29 &amp; ")",$B29)))), "  ", TRIM(IF($S29 = "YES", "(External ID)", "") &amp; " " &amp; IF(SUMPRODUCT(-- ISNUMBER(SEARCH({"Unique","Unique Case Insensitive"}, $R29))) &gt; 0, "(" &amp; $R29 &amp; ")", ""))))</f>
        <v>na</v>
      </c>
      <c r="E29" s="7" t="s">
        <v>195</v>
      </c>
      <c r="F29" s="7" t="s">
        <v>195</v>
      </c>
      <c r="G29" s="7" t="s">
        <v>195</v>
      </c>
      <c r="H29" s="7" t="s">
        <v>195</v>
      </c>
      <c r="I29" s="7" t="s">
        <v>195</v>
      </c>
      <c r="J29" s="7" t="s">
        <v>195</v>
      </c>
      <c r="K29" s="7" t="s">
        <v>195</v>
      </c>
      <c r="L29" s="7" t="s">
        <v>195</v>
      </c>
      <c r="M29" s="7" t="s">
        <v>29</v>
      </c>
      <c r="N29" s="7" t="s">
        <v>29</v>
      </c>
      <c r="O29" s="7" t="s">
        <v>29</v>
      </c>
      <c r="P29" s="7" t="s">
        <v>29</v>
      </c>
      <c r="Q29" s="7" t="s">
        <v>29</v>
      </c>
      <c r="R29" s="7" t="s">
        <v>29</v>
      </c>
      <c r="S29" s="7" t="s">
        <v>29</v>
      </c>
    </row>
    <row r="30" spans="2:19">
      <c r="B30" s="7" t="s">
        <v>195</v>
      </c>
      <c r="C30" s="8" t="s">
        <v>195</v>
      </c>
      <c r="D30" s="5" t="str">
        <f>LRTRIM(CONCATENATE(IF(SUMPRODUCT(-- ISNUMBER(SEARCH({"Auto Number"}, $B30))) &gt; 0, $B30, IF(SUMPRODUCT(-- ISNUMBER(SEARCH({"Lookup","Master-Detail"}, $B30))) &gt; 0,$B30 &amp; "(" &amp; $E30 &amp; ")",IF(SUMPRODUCT(-- ISNUMBER(SEARCH({"Formula","Roll-Up Summary"}, $B30))) &gt; 0,$B30 &amp; " (" &amp; $E30 &amp; ")",IF(SUMPRODUCT(-- ISNUMBER(SEARCH({"Content","Currency","Number","Percent","Text","URL"}, $B30))) &gt; 0,$B30 &amp; "(" &amp; $C30 &amp; ")",$B30)))), "  ", TRIM(IF($S30 = "YES", "(External ID)", "") &amp; " " &amp; IF(SUMPRODUCT(-- ISNUMBER(SEARCH({"Unique","Unique Case Insensitive"}, $R30))) &gt; 0, "(" &amp; $R30 &amp; ")", ""))))</f>
        <v>na</v>
      </c>
      <c r="E30" s="7" t="s">
        <v>195</v>
      </c>
      <c r="F30" s="7" t="s">
        <v>195</v>
      </c>
      <c r="G30" s="7" t="s">
        <v>195</v>
      </c>
      <c r="H30" s="7" t="s">
        <v>195</v>
      </c>
      <c r="I30" s="7" t="s">
        <v>195</v>
      </c>
      <c r="J30" s="7" t="s">
        <v>195</v>
      </c>
      <c r="K30" s="7" t="s">
        <v>195</v>
      </c>
      <c r="L30" s="7" t="s">
        <v>195</v>
      </c>
      <c r="M30" s="7" t="s">
        <v>29</v>
      </c>
      <c r="N30" s="7" t="s">
        <v>29</v>
      </c>
      <c r="O30" s="7" t="s">
        <v>29</v>
      </c>
      <c r="P30" s="7" t="s">
        <v>29</v>
      </c>
      <c r="Q30" s="7" t="s">
        <v>29</v>
      </c>
      <c r="R30" s="7" t="s">
        <v>29</v>
      </c>
      <c r="S30" s="7" t="s">
        <v>29</v>
      </c>
    </row>
    <row r="31" spans="2:19">
      <c r="B31" s="7" t="s">
        <v>195</v>
      </c>
      <c r="C31" s="8" t="s">
        <v>195</v>
      </c>
      <c r="D31" s="5" t="str">
        <f>LRTRIM(CONCATENATE(IF(SUMPRODUCT(-- ISNUMBER(SEARCH({"Auto Number"}, $B31))) &gt; 0, $B31, IF(SUMPRODUCT(-- ISNUMBER(SEARCH({"Lookup","Master-Detail"}, $B31))) &gt; 0,$B31 &amp; "(" &amp; $E31 &amp; ")",IF(SUMPRODUCT(-- ISNUMBER(SEARCH({"Formula","Roll-Up Summary"}, $B31))) &gt; 0,$B31 &amp; " (" &amp; $E31 &amp; ")",IF(SUMPRODUCT(-- ISNUMBER(SEARCH({"Content","Currency","Number","Percent","Text","URL"}, $B31))) &gt; 0,$B31 &amp; "(" &amp; $C31 &amp; ")",$B31)))), "  ", TRIM(IF($S31 = "YES", "(External ID)", "") &amp; " " &amp; IF(SUMPRODUCT(-- ISNUMBER(SEARCH({"Unique","Unique Case Insensitive"}, $R31))) &gt; 0, "(" &amp; $R31 &amp; ")", ""))))</f>
        <v>na</v>
      </c>
      <c r="E31" s="7" t="s">
        <v>195</v>
      </c>
      <c r="F31" s="7" t="s">
        <v>195</v>
      </c>
      <c r="G31" s="7" t="s">
        <v>195</v>
      </c>
      <c r="H31" s="7" t="s">
        <v>195</v>
      </c>
      <c r="I31" s="7" t="s">
        <v>195</v>
      </c>
      <c r="J31" s="7" t="s">
        <v>195</v>
      </c>
      <c r="K31" s="7" t="s">
        <v>195</v>
      </c>
      <c r="L31" s="7" t="s">
        <v>195</v>
      </c>
      <c r="M31" s="7" t="s">
        <v>29</v>
      </c>
      <c r="N31" s="7" t="s">
        <v>29</v>
      </c>
      <c r="O31" s="7" t="s">
        <v>29</v>
      </c>
      <c r="P31" s="7" t="s">
        <v>29</v>
      </c>
      <c r="Q31" s="7" t="s">
        <v>29</v>
      </c>
      <c r="R31" s="7" t="s">
        <v>29</v>
      </c>
      <c r="S31" s="7" t="s">
        <v>29</v>
      </c>
    </row>
    <row r="32" spans="2:19">
      <c r="B32" s="7" t="s">
        <v>195</v>
      </c>
      <c r="C32" s="8" t="s">
        <v>195</v>
      </c>
      <c r="D32" s="5" t="str">
        <f>LRTRIM(CONCATENATE(IF(SUMPRODUCT(-- ISNUMBER(SEARCH({"Auto Number"}, $B32))) &gt; 0, $B32, IF(SUMPRODUCT(-- ISNUMBER(SEARCH({"Lookup","Master-Detail"}, $B32))) &gt; 0,$B32 &amp; "(" &amp; $E32 &amp; ")",IF(SUMPRODUCT(-- ISNUMBER(SEARCH({"Formula","Roll-Up Summary"}, $B32))) &gt; 0,$B32 &amp; " (" &amp; $E32 &amp; ")",IF(SUMPRODUCT(-- ISNUMBER(SEARCH({"Content","Currency","Number","Percent","Text","URL"}, $B32))) &gt; 0,$B32 &amp; "(" &amp; $C32 &amp; ")",$B32)))), "  ", TRIM(IF($S32 = "YES", "(External ID)", "") &amp; " " &amp; IF(SUMPRODUCT(-- ISNUMBER(SEARCH({"Unique","Unique Case Insensitive"}, $R32))) &gt; 0, "(" &amp; $R32 &amp; ")", ""))))</f>
        <v>na</v>
      </c>
      <c r="E32" s="7" t="s">
        <v>195</v>
      </c>
      <c r="F32" s="7" t="s">
        <v>195</v>
      </c>
      <c r="G32" s="7" t="s">
        <v>195</v>
      </c>
      <c r="H32" s="7" t="s">
        <v>195</v>
      </c>
      <c r="I32" s="7" t="s">
        <v>195</v>
      </c>
      <c r="J32" s="7" t="s">
        <v>195</v>
      </c>
      <c r="K32" s="7" t="s">
        <v>195</v>
      </c>
      <c r="L32" s="7" t="s">
        <v>195</v>
      </c>
      <c r="M32" s="7" t="s">
        <v>29</v>
      </c>
      <c r="N32" s="7" t="s">
        <v>29</v>
      </c>
      <c r="O32" s="7" t="s">
        <v>29</v>
      </c>
      <c r="P32" s="7" t="s">
        <v>29</v>
      </c>
      <c r="Q32" s="7" t="s">
        <v>29</v>
      </c>
      <c r="R32" s="7" t="s">
        <v>29</v>
      </c>
      <c r="S32" s="7" t="s">
        <v>29</v>
      </c>
    </row>
    <row r="33" spans="2:19">
      <c r="B33" s="7" t="s">
        <v>195</v>
      </c>
      <c r="C33" s="8" t="s">
        <v>195</v>
      </c>
      <c r="D33" s="5" t="str">
        <f>LRTRIM(CONCATENATE(IF(SUMPRODUCT(-- ISNUMBER(SEARCH({"Auto Number"}, $B33))) &gt; 0, $B33, IF(SUMPRODUCT(-- ISNUMBER(SEARCH({"Lookup","Master-Detail"}, $B33))) &gt; 0,$B33 &amp; "(" &amp; $E33 &amp; ")",IF(SUMPRODUCT(-- ISNUMBER(SEARCH({"Formula","Roll-Up Summary"}, $B33))) &gt; 0,$B33 &amp; " (" &amp; $E33 &amp; ")",IF(SUMPRODUCT(-- ISNUMBER(SEARCH({"Content","Currency","Number","Percent","Text","URL"}, $B33))) &gt; 0,$B33 &amp; "(" &amp; $C33 &amp; ")",$B33)))), "  ", TRIM(IF($S33 = "YES", "(External ID)", "") &amp; " " &amp; IF(SUMPRODUCT(-- ISNUMBER(SEARCH({"Unique","Unique Case Insensitive"}, $R33))) &gt; 0, "(" &amp; $R33 &amp; ")", ""))))</f>
        <v>na</v>
      </c>
      <c r="E33" s="7" t="s">
        <v>195</v>
      </c>
      <c r="F33" s="7" t="s">
        <v>195</v>
      </c>
      <c r="G33" s="7" t="s">
        <v>195</v>
      </c>
      <c r="H33" s="7" t="s">
        <v>195</v>
      </c>
      <c r="I33" s="7" t="s">
        <v>195</v>
      </c>
      <c r="J33" s="7" t="s">
        <v>195</v>
      </c>
      <c r="K33" s="7" t="s">
        <v>195</v>
      </c>
      <c r="L33" s="7" t="s">
        <v>195</v>
      </c>
      <c r="M33" s="7" t="s">
        <v>29</v>
      </c>
      <c r="N33" s="7" t="s">
        <v>29</v>
      </c>
      <c r="O33" s="7" t="s">
        <v>29</v>
      </c>
      <c r="P33" s="7" t="s">
        <v>29</v>
      </c>
      <c r="Q33" s="7" t="s">
        <v>29</v>
      </c>
      <c r="R33" s="7" t="s">
        <v>29</v>
      </c>
      <c r="S33" s="7" t="s">
        <v>29</v>
      </c>
    </row>
    <row r="34" spans="2:19">
      <c r="B34" s="7" t="s">
        <v>195</v>
      </c>
      <c r="C34" s="8" t="s">
        <v>195</v>
      </c>
      <c r="D34" s="5" t="str">
        <f>LRTRIM(CONCATENATE(IF(SUMPRODUCT(-- ISNUMBER(SEARCH({"Auto Number"}, $B34))) &gt; 0, $B34, IF(SUMPRODUCT(-- ISNUMBER(SEARCH({"Lookup","Master-Detail"}, $B34))) &gt; 0,$B34 &amp; "(" &amp; $E34 &amp; ")",IF(SUMPRODUCT(-- ISNUMBER(SEARCH({"Formula","Roll-Up Summary"}, $B34))) &gt; 0,$B34 &amp; " (" &amp; $E34 &amp; ")",IF(SUMPRODUCT(-- ISNUMBER(SEARCH({"Content","Currency","Number","Percent","Text","URL"}, $B34))) &gt; 0,$B34 &amp; "(" &amp; $C34 &amp; ")",$B34)))), "  ", TRIM(IF($S34 = "YES", "(External ID)", "") &amp; " " &amp; IF(SUMPRODUCT(-- ISNUMBER(SEARCH({"Unique","Unique Case Insensitive"}, $R34))) &gt; 0, "(" &amp; $R34 &amp; ")", ""))))</f>
        <v>na</v>
      </c>
      <c r="E34" s="7" t="s">
        <v>195</v>
      </c>
      <c r="F34" s="7" t="s">
        <v>195</v>
      </c>
      <c r="G34" s="7" t="s">
        <v>195</v>
      </c>
      <c r="H34" s="7" t="s">
        <v>195</v>
      </c>
      <c r="I34" s="7" t="s">
        <v>195</v>
      </c>
      <c r="J34" s="7" t="s">
        <v>195</v>
      </c>
      <c r="K34" s="7" t="s">
        <v>195</v>
      </c>
      <c r="L34" s="7" t="s">
        <v>195</v>
      </c>
      <c r="M34" s="7" t="s">
        <v>29</v>
      </c>
      <c r="N34" s="7" t="s">
        <v>29</v>
      </c>
      <c r="O34" s="7" t="s">
        <v>29</v>
      </c>
      <c r="P34" s="7" t="s">
        <v>29</v>
      </c>
      <c r="Q34" s="7" t="s">
        <v>29</v>
      </c>
      <c r="R34" s="7" t="s">
        <v>29</v>
      </c>
      <c r="S34" s="7" t="s">
        <v>29</v>
      </c>
    </row>
    <row r="35" spans="2:19">
      <c r="B35" s="7" t="s">
        <v>195</v>
      </c>
      <c r="C35" s="8" t="s">
        <v>195</v>
      </c>
      <c r="D35" s="5" t="str">
        <f>LRTRIM(CONCATENATE(IF(SUMPRODUCT(-- ISNUMBER(SEARCH({"Auto Number"}, $B35))) &gt; 0, $B35, IF(SUMPRODUCT(-- ISNUMBER(SEARCH({"Lookup","Master-Detail"}, $B35))) &gt; 0,$B35 &amp; "(" &amp; $E35 &amp; ")",IF(SUMPRODUCT(-- ISNUMBER(SEARCH({"Formula","Roll-Up Summary"}, $B35))) &gt; 0,$B35 &amp; " (" &amp; $E35 &amp; ")",IF(SUMPRODUCT(-- ISNUMBER(SEARCH({"Content","Currency","Number","Percent","Text","URL"}, $B35))) &gt; 0,$B35 &amp; "(" &amp; $C35 &amp; ")",$B35)))), "  ", TRIM(IF($S35 = "YES", "(External ID)", "") &amp; " " &amp; IF(SUMPRODUCT(-- ISNUMBER(SEARCH({"Unique","Unique Case Insensitive"}, $R35))) &gt; 0, "(" &amp; $R35 &amp; ")", ""))))</f>
        <v>na</v>
      </c>
      <c r="E35" s="7" t="s">
        <v>195</v>
      </c>
      <c r="F35" s="7" t="s">
        <v>195</v>
      </c>
      <c r="G35" s="7" t="s">
        <v>195</v>
      </c>
      <c r="H35" s="7" t="s">
        <v>195</v>
      </c>
      <c r="I35" s="7" t="s">
        <v>195</v>
      </c>
      <c r="J35" s="7" t="s">
        <v>195</v>
      </c>
      <c r="K35" s="7" t="s">
        <v>195</v>
      </c>
      <c r="L35" s="7" t="s">
        <v>195</v>
      </c>
      <c r="M35" s="7" t="s">
        <v>29</v>
      </c>
      <c r="N35" s="7" t="s">
        <v>29</v>
      </c>
      <c r="O35" s="7" t="s">
        <v>29</v>
      </c>
      <c r="P35" s="7" t="s">
        <v>29</v>
      </c>
      <c r="Q35" s="7" t="s">
        <v>29</v>
      </c>
      <c r="R35" s="7" t="s">
        <v>29</v>
      </c>
      <c r="S35" s="7" t="s">
        <v>29</v>
      </c>
    </row>
    <row r="36" spans="2:19">
      <c r="B36" s="7" t="s">
        <v>195</v>
      </c>
      <c r="C36" s="8" t="s">
        <v>195</v>
      </c>
      <c r="D36" s="5" t="str">
        <f>LRTRIM(CONCATENATE(IF(SUMPRODUCT(-- ISNUMBER(SEARCH({"Auto Number"}, $B36))) &gt; 0, $B36, IF(SUMPRODUCT(-- ISNUMBER(SEARCH({"Lookup","Master-Detail"}, $B36))) &gt; 0,$B36 &amp; "(" &amp; $E36 &amp; ")",IF(SUMPRODUCT(-- ISNUMBER(SEARCH({"Formula","Roll-Up Summary"}, $B36))) &gt; 0,$B36 &amp; " (" &amp; $E36 &amp; ")",IF(SUMPRODUCT(-- ISNUMBER(SEARCH({"Content","Currency","Number","Percent","Text","URL"}, $B36))) &gt; 0,$B36 &amp; "(" &amp; $C36 &amp; ")",$B36)))), "  ", TRIM(IF($S36 = "YES", "(External ID)", "") &amp; " " &amp; IF(SUMPRODUCT(-- ISNUMBER(SEARCH({"Unique","Unique Case Insensitive"}, $R36))) &gt; 0, "(" &amp; $R36 &amp; ")", ""))))</f>
        <v>na</v>
      </c>
      <c r="E36" s="7" t="s">
        <v>195</v>
      </c>
      <c r="F36" s="7" t="s">
        <v>195</v>
      </c>
      <c r="G36" s="7" t="s">
        <v>195</v>
      </c>
      <c r="H36" s="7" t="s">
        <v>195</v>
      </c>
      <c r="I36" s="7" t="s">
        <v>195</v>
      </c>
      <c r="J36" s="7" t="s">
        <v>195</v>
      </c>
      <c r="K36" s="7" t="s">
        <v>195</v>
      </c>
      <c r="L36" s="7" t="s">
        <v>195</v>
      </c>
      <c r="M36" s="7" t="s">
        <v>29</v>
      </c>
      <c r="N36" s="7" t="s">
        <v>29</v>
      </c>
      <c r="O36" s="7" t="s">
        <v>29</v>
      </c>
      <c r="P36" s="7" t="s">
        <v>29</v>
      </c>
      <c r="Q36" s="7" t="s">
        <v>29</v>
      </c>
      <c r="R36" s="7" t="s">
        <v>29</v>
      </c>
      <c r="S36" s="7" t="s">
        <v>29</v>
      </c>
    </row>
    <row r="37" spans="2:19">
      <c r="B37" s="7" t="s">
        <v>195</v>
      </c>
      <c r="C37" s="8" t="s">
        <v>195</v>
      </c>
      <c r="D37" s="5" t="str">
        <f>LRTRIM(CONCATENATE(IF(SUMPRODUCT(-- ISNUMBER(SEARCH({"Auto Number"}, $B37))) &gt; 0, $B37, IF(SUMPRODUCT(-- ISNUMBER(SEARCH({"Lookup","Master-Detail"}, $B37))) &gt; 0,$B37 &amp; "(" &amp; $E37 &amp; ")",IF(SUMPRODUCT(-- ISNUMBER(SEARCH({"Formula","Roll-Up Summary"}, $B37))) &gt; 0,$B37 &amp; " (" &amp; $E37 &amp; ")",IF(SUMPRODUCT(-- ISNUMBER(SEARCH({"Content","Currency","Number","Percent","Text","URL"}, $B37))) &gt; 0,$B37 &amp; "(" &amp; $C37 &amp; ")",$B37)))), "  ", TRIM(IF($S37 = "YES", "(External ID)", "") &amp; " " &amp; IF(SUMPRODUCT(-- ISNUMBER(SEARCH({"Unique","Unique Case Insensitive"}, $R37))) &gt; 0, "(" &amp; $R37 &amp; ")", ""))))</f>
        <v>na</v>
      </c>
      <c r="E37" s="7" t="s">
        <v>195</v>
      </c>
      <c r="F37" s="7" t="s">
        <v>195</v>
      </c>
      <c r="G37" s="7" t="s">
        <v>195</v>
      </c>
      <c r="H37" s="7" t="s">
        <v>195</v>
      </c>
      <c r="I37" s="7" t="s">
        <v>195</v>
      </c>
      <c r="J37" s="7" t="s">
        <v>195</v>
      </c>
      <c r="K37" s="7" t="s">
        <v>195</v>
      </c>
      <c r="L37" s="7" t="s">
        <v>195</v>
      </c>
      <c r="M37" s="7" t="s">
        <v>29</v>
      </c>
      <c r="N37" s="7" t="s">
        <v>29</v>
      </c>
      <c r="O37" s="7" t="s">
        <v>29</v>
      </c>
      <c r="P37" s="7" t="s">
        <v>29</v>
      </c>
      <c r="Q37" s="7" t="s">
        <v>29</v>
      </c>
      <c r="R37" s="7" t="s">
        <v>29</v>
      </c>
      <c r="S37" s="7" t="s">
        <v>29</v>
      </c>
    </row>
    <row r="38" spans="2:19">
      <c r="B38" s="7" t="s">
        <v>195</v>
      </c>
      <c r="C38" s="8" t="s">
        <v>195</v>
      </c>
      <c r="D38" s="5" t="str">
        <f>LRTRIM(CONCATENATE(IF(SUMPRODUCT(-- ISNUMBER(SEARCH({"Auto Number"}, $B38))) &gt; 0, $B38, IF(SUMPRODUCT(-- ISNUMBER(SEARCH({"Lookup","Master-Detail"}, $B38))) &gt; 0,$B38 &amp; "(" &amp; $E38 &amp; ")",IF(SUMPRODUCT(-- ISNUMBER(SEARCH({"Formula","Roll-Up Summary"}, $B38))) &gt; 0,$B38 &amp; " (" &amp; $E38 &amp; ")",IF(SUMPRODUCT(-- ISNUMBER(SEARCH({"Content","Currency","Number","Percent","Text","URL"}, $B38))) &gt; 0,$B38 &amp; "(" &amp; $C38 &amp; ")",$B38)))), "  ", TRIM(IF($S38 = "YES", "(External ID)", "") &amp; " " &amp; IF(SUMPRODUCT(-- ISNUMBER(SEARCH({"Unique","Unique Case Insensitive"}, $R38))) &gt; 0, "(" &amp; $R38 &amp; ")", ""))))</f>
        <v>na</v>
      </c>
      <c r="E38" s="7" t="s">
        <v>195</v>
      </c>
      <c r="F38" s="7" t="s">
        <v>195</v>
      </c>
      <c r="G38" s="7" t="s">
        <v>195</v>
      </c>
      <c r="H38" s="7" t="s">
        <v>195</v>
      </c>
      <c r="I38" s="7" t="s">
        <v>195</v>
      </c>
      <c r="J38" s="7" t="s">
        <v>195</v>
      </c>
      <c r="K38" s="7" t="s">
        <v>195</v>
      </c>
      <c r="L38" s="7" t="s">
        <v>195</v>
      </c>
      <c r="M38" s="7" t="s">
        <v>29</v>
      </c>
      <c r="N38" s="7" t="s">
        <v>29</v>
      </c>
      <c r="O38" s="7" t="s">
        <v>29</v>
      </c>
      <c r="P38" s="7" t="s">
        <v>29</v>
      </c>
      <c r="Q38" s="7" t="s">
        <v>29</v>
      </c>
      <c r="R38" s="7" t="s">
        <v>29</v>
      </c>
      <c r="S38" s="7" t="s">
        <v>29</v>
      </c>
    </row>
    <row r="39" spans="2:19">
      <c r="B39" s="7" t="s">
        <v>195</v>
      </c>
      <c r="C39" s="8" t="s">
        <v>195</v>
      </c>
      <c r="D39" s="5" t="str">
        <f>LRTRIM(CONCATENATE(IF(SUMPRODUCT(-- ISNUMBER(SEARCH({"Auto Number"}, $B39))) &gt; 0, $B39, IF(SUMPRODUCT(-- ISNUMBER(SEARCH({"Lookup","Master-Detail"}, $B39))) &gt; 0,$B39 &amp; "(" &amp; $E39 &amp; ")",IF(SUMPRODUCT(-- ISNUMBER(SEARCH({"Formula","Roll-Up Summary"}, $B39))) &gt; 0,$B39 &amp; " (" &amp; $E39 &amp; ")",IF(SUMPRODUCT(-- ISNUMBER(SEARCH({"Content","Currency","Number","Percent","Text","URL"}, $B39))) &gt; 0,$B39 &amp; "(" &amp; $C39 &amp; ")",$B39)))), "  ", TRIM(IF($S39 = "YES", "(External ID)", "") &amp; " " &amp; IF(SUMPRODUCT(-- ISNUMBER(SEARCH({"Unique","Unique Case Insensitive"}, $R39))) &gt; 0, "(" &amp; $R39 &amp; ")", ""))))</f>
        <v>na</v>
      </c>
      <c r="E39" s="7" t="s">
        <v>195</v>
      </c>
      <c r="F39" s="7" t="s">
        <v>195</v>
      </c>
      <c r="G39" s="7" t="s">
        <v>195</v>
      </c>
      <c r="H39" s="7" t="s">
        <v>195</v>
      </c>
      <c r="I39" s="7" t="s">
        <v>195</v>
      </c>
      <c r="J39" s="7" t="s">
        <v>195</v>
      </c>
      <c r="K39" s="7" t="s">
        <v>195</v>
      </c>
      <c r="L39" s="7" t="s">
        <v>195</v>
      </c>
      <c r="M39" s="7" t="s">
        <v>29</v>
      </c>
      <c r="N39" s="7" t="s">
        <v>29</v>
      </c>
      <c r="O39" s="7" t="s">
        <v>29</v>
      </c>
      <c r="P39" s="7" t="s">
        <v>29</v>
      </c>
      <c r="Q39" s="7" t="s">
        <v>29</v>
      </c>
      <c r="R39" s="7" t="s">
        <v>29</v>
      </c>
      <c r="S39" s="7" t="s">
        <v>29</v>
      </c>
    </row>
    <row r="40" spans="2:19">
      <c r="B40" s="7" t="s">
        <v>195</v>
      </c>
      <c r="C40" s="8" t="s">
        <v>195</v>
      </c>
      <c r="D40" s="5" t="str">
        <f>LRTRIM(CONCATENATE(IF(SUMPRODUCT(-- ISNUMBER(SEARCH({"Auto Number"}, $B40))) &gt; 0, $B40, IF(SUMPRODUCT(-- ISNUMBER(SEARCH({"Lookup","Master-Detail"}, $B40))) &gt; 0,$B40 &amp; "(" &amp; $E40 &amp; ")",IF(SUMPRODUCT(-- ISNUMBER(SEARCH({"Formula","Roll-Up Summary"}, $B40))) &gt; 0,$B40 &amp; " (" &amp; $E40 &amp; ")",IF(SUMPRODUCT(-- ISNUMBER(SEARCH({"Content","Currency","Number","Percent","Text","URL"}, $B40))) &gt; 0,$B40 &amp; "(" &amp; $C40 &amp; ")",$B40)))), "  ", TRIM(IF($S40 = "YES", "(External ID)", "") &amp; " " &amp; IF(SUMPRODUCT(-- ISNUMBER(SEARCH({"Unique","Unique Case Insensitive"}, $R40))) &gt; 0, "(" &amp; $R40 &amp; ")", ""))))</f>
        <v>na</v>
      </c>
      <c r="E40" s="7" t="s">
        <v>195</v>
      </c>
      <c r="F40" s="7" t="s">
        <v>195</v>
      </c>
      <c r="G40" s="7" t="s">
        <v>195</v>
      </c>
      <c r="H40" s="7" t="s">
        <v>195</v>
      </c>
      <c r="I40" s="7" t="s">
        <v>195</v>
      </c>
      <c r="J40" s="7" t="s">
        <v>195</v>
      </c>
      <c r="K40" s="7" t="s">
        <v>195</v>
      </c>
      <c r="L40" s="7" t="s">
        <v>195</v>
      </c>
      <c r="M40" s="7" t="s">
        <v>29</v>
      </c>
      <c r="N40" s="7" t="s">
        <v>29</v>
      </c>
      <c r="O40" s="7" t="s">
        <v>29</v>
      </c>
      <c r="P40" s="7" t="s">
        <v>29</v>
      </c>
      <c r="Q40" s="7" t="s">
        <v>29</v>
      </c>
      <c r="R40" s="7" t="s">
        <v>29</v>
      </c>
      <c r="S40" s="7" t="s">
        <v>29</v>
      </c>
    </row>
    <row r="41" spans="2:19">
      <c r="B41" s="7" t="s">
        <v>195</v>
      </c>
      <c r="C41" s="8" t="s">
        <v>195</v>
      </c>
      <c r="D41" s="5" t="str">
        <f>LRTRIM(CONCATENATE(IF(SUMPRODUCT(-- ISNUMBER(SEARCH({"Auto Number"}, $B41))) &gt; 0, $B41, IF(SUMPRODUCT(-- ISNUMBER(SEARCH({"Lookup","Master-Detail"}, $B41))) &gt; 0,$B41 &amp; "(" &amp; $E41 &amp; ")",IF(SUMPRODUCT(-- ISNUMBER(SEARCH({"Formula","Roll-Up Summary"}, $B41))) &gt; 0,$B41 &amp; " (" &amp; $E41 &amp; ")",IF(SUMPRODUCT(-- ISNUMBER(SEARCH({"Content","Currency","Number","Percent","Text","URL"}, $B41))) &gt; 0,$B41 &amp; "(" &amp; $C41 &amp; ")",$B41)))), "  ", TRIM(IF($S41 = "YES", "(External ID)", "") &amp; " " &amp; IF(SUMPRODUCT(-- ISNUMBER(SEARCH({"Unique","Unique Case Insensitive"}, $R41))) &gt; 0, "(" &amp; $R41 &amp; ")", ""))))</f>
        <v>na</v>
      </c>
      <c r="E41" s="7" t="s">
        <v>195</v>
      </c>
      <c r="F41" s="7" t="s">
        <v>195</v>
      </c>
      <c r="G41" s="7" t="s">
        <v>195</v>
      </c>
      <c r="H41" s="7" t="s">
        <v>195</v>
      </c>
      <c r="I41" s="7" t="s">
        <v>195</v>
      </c>
      <c r="J41" s="7" t="s">
        <v>195</v>
      </c>
      <c r="K41" s="7" t="s">
        <v>195</v>
      </c>
      <c r="L41" s="7" t="s">
        <v>195</v>
      </c>
      <c r="M41" s="7" t="s">
        <v>29</v>
      </c>
      <c r="N41" s="7" t="s">
        <v>29</v>
      </c>
      <c r="O41" s="7" t="s">
        <v>29</v>
      </c>
      <c r="P41" s="7" t="s">
        <v>29</v>
      </c>
      <c r="Q41" s="7" t="s">
        <v>29</v>
      </c>
      <c r="R41" s="7" t="s">
        <v>29</v>
      </c>
      <c r="S41" s="7" t="s">
        <v>29</v>
      </c>
    </row>
    <row r="42" spans="2:19">
      <c r="B42" s="7" t="s">
        <v>195</v>
      </c>
      <c r="C42" s="8" t="s">
        <v>195</v>
      </c>
      <c r="D42" s="5" t="str">
        <f>LRTRIM(CONCATENATE(IF(SUMPRODUCT(-- ISNUMBER(SEARCH({"Auto Number"}, $B42))) &gt; 0, $B42, IF(SUMPRODUCT(-- ISNUMBER(SEARCH({"Lookup","Master-Detail"}, $B42))) &gt; 0,$B42 &amp; "(" &amp; $E42 &amp; ")",IF(SUMPRODUCT(-- ISNUMBER(SEARCH({"Formula","Roll-Up Summary"}, $B42))) &gt; 0,$B42 &amp; " (" &amp; $E42 &amp; ")",IF(SUMPRODUCT(-- ISNUMBER(SEARCH({"Content","Currency","Number","Percent","Text","URL"}, $B42))) &gt; 0,$B42 &amp; "(" &amp; $C42 &amp; ")",$B42)))), "  ", TRIM(IF($S42 = "YES", "(External ID)", "") &amp; " " &amp; IF(SUMPRODUCT(-- ISNUMBER(SEARCH({"Unique","Unique Case Insensitive"}, $R42))) &gt; 0, "(" &amp; $R42 &amp; ")", ""))))</f>
        <v>na</v>
      </c>
      <c r="E42" s="7" t="s">
        <v>195</v>
      </c>
      <c r="F42" s="7" t="s">
        <v>195</v>
      </c>
      <c r="G42" s="7" t="s">
        <v>195</v>
      </c>
      <c r="H42" s="7" t="s">
        <v>195</v>
      </c>
      <c r="I42" s="7" t="s">
        <v>195</v>
      </c>
      <c r="J42" s="7" t="s">
        <v>195</v>
      </c>
      <c r="K42" s="7" t="s">
        <v>195</v>
      </c>
      <c r="L42" s="7" t="s">
        <v>195</v>
      </c>
      <c r="M42" s="7" t="s">
        <v>29</v>
      </c>
      <c r="N42" s="7" t="s">
        <v>29</v>
      </c>
      <c r="O42" s="7" t="s">
        <v>29</v>
      </c>
      <c r="P42" s="7" t="s">
        <v>29</v>
      </c>
      <c r="Q42" s="7" t="s">
        <v>29</v>
      </c>
      <c r="R42" s="7" t="s">
        <v>29</v>
      </c>
      <c r="S42" s="7" t="s">
        <v>29</v>
      </c>
    </row>
    <row r="43" spans="2:19">
      <c r="B43" s="7" t="s">
        <v>195</v>
      </c>
      <c r="C43" s="8" t="s">
        <v>195</v>
      </c>
      <c r="D43" s="5" t="str">
        <f>LRTRIM(CONCATENATE(IF(SUMPRODUCT(-- ISNUMBER(SEARCH({"Auto Number"}, $B43))) &gt; 0, $B43, IF(SUMPRODUCT(-- ISNUMBER(SEARCH({"Lookup","Master-Detail"}, $B43))) &gt; 0,$B43 &amp; "(" &amp; $E43 &amp; ")",IF(SUMPRODUCT(-- ISNUMBER(SEARCH({"Formula","Roll-Up Summary"}, $B43))) &gt; 0,$B43 &amp; " (" &amp; $E43 &amp; ")",IF(SUMPRODUCT(-- ISNUMBER(SEARCH({"Content","Currency","Number","Percent","Text","URL"}, $B43))) &gt; 0,$B43 &amp; "(" &amp; $C43 &amp; ")",$B43)))), "  ", TRIM(IF($S43 = "YES", "(External ID)", "") &amp; " " &amp; IF(SUMPRODUCT(-- ISNUMBER(SEARCH({"Unique","Unique Case Insensitive"}, $R43))) &gt; 0, "(" &amp; $R43 &amp; ")", ""))))</f>
        <v>na</v>
      </c>
      <c r="E43" s="7" t="s">
        <v>195</v>
      </c>
      <c r="F43" s="7" t="s">
        <v>195</v>
      </c>
      <c r="G43" s="7" t="s">
        <v>195</v>
      </c>
      <c r="H43" s="7" t="s">
        <v>195</v>
      </c>
      <c r="I43" s="7" t="s">
        <v>195</v>
      </c>
      <c r="J43" s="7" t="s">
        <v>195</v>
      </c>
      <c r="K43" s="7" t="s">
        <v>195</v>
      </c>
      <c r="L43" s="7" t="s">
        <v>195</v>
      </c>
      <c r="M43" s="7" t="s">
        <v>29</v>
      </c>
      <c r="N43" s="7" t="s">
        <v>29</v>
      </c>
      <c r="O43" s="7" t="s">
        <v>29</v>
      </c>
      <c r="P43" s="7" t="s">
        <v>29</v>
      </c>
      <c r="Q43" s="7" t="s">
        <v>29</v>
      </c>
      <c r="R43" s="7" t="s">
        <v>29</v>
      </c>
      <c r="S43" s="7" t="s">
        <v>29</v>
      </c>
    </row>
    <row r="44" spans="2:19">
      <c r="B44" s="7" t="s">
        <v>195</v>
      </c>
      <c r="C44" s="8" t="s">
        <v>195</v>
      </c>
      <c r="D44" s="5" t="str">
        <f>LRTRIM(CONCATENATE(IF(SUMPRODUCT(-- ISNUMBER(SEARCH({"Auto Number"}, $B44))) &gt; 0, $B44, IF(SUMPRODUCT(-- ISNUMBER(SEARCH({"Lookup","Master-Detail"}, $B44))) &gt; 0,$B44 &amp; "(" &amp; $E44 &amp; ")",IF(SUMPRODUCT(-- ISNUMBER(SEARCH({"Formula","Roll-Up Summary"}, $B44))) &gt; 0,$B44 &amp; " (" &amp; $E44 &amp; ")",IF(SUMPRODUCT(-- ISNUMBER(SEARCH({"Content","Currency","Number","Percent","Text","URL"}, $B44))) &gt; 0,$B44 &amp; "(" &amp; $C44 &amp; ")",$B44)))), "  ", TRIM(IF($S44 = "YES", "(External ID)", "") &amp; " " &amp; IF(SUMPRODUCT(-- ISNUMBER(SEARCH({"Unique","Unique Case Insensitive"}, $R44))) &gt; 0, "(" &amp; $R44 &amp; ")", ""))))</f>
        <v>na</v>
      </c>
      <c r="E44" s="7" t="s">
        <v>195</v>
      </c>
      <c r="F44" s="7" t="s">
        <v>195</v>
      </c>
      <c r="G44" s="7" t="s">
        <v>195</v>
      </c>
      <c r="H44" s="7" t="s">
        <v>195</v>
      </c>
      <c r="I44" s="7" t="s">
        <v>195</v>
      </c>
      <c r="J44" s="7" t="s">
        <v>195</v>
      </c>
      <c r="K44" s="7" t="s">
        <v>195</v>
      </c>
      <c r="L44" s="7" t="s">
        <v>195</v>
      </c>
      <c r="M44" s="7" t="s">
        <v>29</v>
      </c>
      <c r="N44" s="7" t="s">
        <v>29</v>
      </c>
      <c r="O44" s="7" t="s">
        <v>29</v>
      </c>
      <c r="P44" s="7" t="s">
        <v>29</v>
      </c>
      <c r="Q44" s="7" t="s">
        <v>29</v>
      </c>
      <c r="R44" s="7" t="s">
        <v>29</v>
      </c>
      <c r="S44" s="7" t="s">
        <v>29</v>
      </c>
    </row>
    <row r="45" spans="2:19">
      <c r="B45" s="7" t="s">
        <v>195</v>
      </c>
      <c r="C45" s="8" t="s">
        <v>195</v>
      </c>
      <c r="D45" s="5" t="str">
        <f>LRTRIM(CONCATENATE(IF(SUMPRODUCT(-- ISNUMBER(SEARCH({"Auto Number"}, $B45))) &gt; 0, $B45, IF(SUMPRODUCT(-- ISNUMBER(SEARCH({"Lookup","Master-Detail"}, $B45))) &gt; 0,$B45 &amp; "(" &amp; $E45 &amp; ")",IF(SUMPRODUCT(-- ISNUMBER(SEARCH({"Formula","Roll-Up Summary"}, $B45))) &gt; 0,$B45 &amp; " (" &amp; $E45 &amp; ")",IF(SUMPRODUCT(-- ISNUMBER(SEARCH({"Content","Currency","Number","Percent","Text","URL"}, $B45))) &gt; 0,$B45 &amp; "(" &amp; $C45 &amp; ")",$B45)))), "  ", TRIM(IF($S45 = "YES", "(External ID)", "") &amp; " " &amp; IF(SUMPRODUCT(-- ISNUMBER(SEARCH({"Unique","Unique Case Insensitive"}, $R45))) &gt; 0, "(" &amp; $R45 &amp; ")", ""))))</f>
        <v>na</v>
      </c>
      <c r="E45" s="7" t="s">
        <v>195</v>
      </c>
      <c r="F45" s="7" t="s">
        <v>195</v>
      </c>
      <c r="G45" s="7" t="s">
        <v>195</v>
      </c>
      <c r="H45" s="7" t="s">
        <v>195</v>
      </c>
      <c r="I45" s="7" t="s">
        <v>195</v>
      </c>
      <c r="J45" s="7" t="s">
        <v>195</v>
      </c>
      <c r="K45" s="7" t="s">
        <v>195</v>
      </c>
      <c r="L45" s="7" t="s">
        <v>195</v>
      </c>
      <c r="M45" s="7" t="s">
        <v>29</v>
      </c>
      <c r="N45" s="7" t="s">
        <v>29</v>
      </c>
      <c r="O45" s="7" t="s">
        <v>29</v>
      </c>
      <c r="P45" s="7" t="s">
        <v>29</v>
      </c>
      <c r="Q45" s="7" t="s">
        <v>29</v>
      </c>
      <c r="R45" s="7" t="s">
        <v>29</v>
      </c>
      <c r="S45" s="7" t="s">
        <v>29</v>
      </c>
    </row>
    <row r="46" spans="2:19">
      <c r="B46" s="7" t="s">
        <v>195</v>
      </c>
      <c r="C46" s="8" t="s">
        <v>195</v>
      </c>
      <c r="D46" s="5" t="str">
        <f>LRTRIM(CONCATENATE(IF(SUMPRODUCT(-- ISNUMBER(SEARCH({"Auto Number"}, $B46))) &gt; 0, $B46, IF(SUMPRODUCT(-- ISNUMBER(SEARCH({"Lookup","Master-Detail"}, $B46))) &gt; 0,$B46 &amp; "(" &amp; $E46 &amp; ")",IF(SUMPRODUCT(-- ISNUMBER(SEARCH({"Formula","Roll-Up Summary"}, $B46))) &gt; 0,$B46 &amp; " (" &amp; $E46 &amp; ")",IF(SUMPRODUCT(-- ISNUMBER(SEARCH({"Content","Currency","Number","Percent","Text","URL"}, $B46))) &gt; 0,$B46 &amp; "(" &amp; $C46 &amp; ")",$B46)))), "  ", TRIM(IF($S46 = "YES", "(External ID)", "") &amp; " " &amp; IF(SUMPRODUCT(-- ISNUMBER(SEARCH({"Unique","Unique Case Insensitive"}, $R46))) &gt; 0, "(" &amp; $R46 &amp; ")", ""))))</f>
        <v>na</v>
      </c>
      <c r="E46" s="7" t="s">
        <v>195</v>
      </c>
      <c r="F46" s="7" t="s">
        <v>195</v>
      </c>
      <c r="G46" s="7" t="s">
        <v>195</v>
      </c>
      <c r="H46" s="7" t="s">
        <v>195</v>
      </c>
      <c r="I46" s="7" t="s">
        <v>195</v>
      </c>
      <c r="J46" s="7" t="s">
        <v>195</v>
      </c>
      <c r="K46" s="7" t="s">
        <v>195</v>
      </c>
      <c r="L46" s="7" t="s">
        <v>195</v>
      </c>
      <c r="M46" s="7" t="s">
        <v>29</v>
      </c>
      <c r="N46" s="7" t="s">
        <v>29</v>
      </c>
      <c r="O46" s="7" t="s">
        <v>29</v>
      </c>
      <c r="P46" s="7" t="s">
        <v>29</v>
      </c>
      <c r="Q46" s="7" t="s">
        <v>29</v>
      </c>
      <c r="R46" s="7" t="s">
        <v>29</v>
      </c>
      <c r="S46" s="7" t="s">
        <v>29</v>
      </c>
    </row>
    <row r="47" spans="2:19">
      <c r="B47" s="7" t="s">
        <v>195</v>
      </c>
      <c r="C47" s="8" t="s">
        <v>195</v>
      </c>
      <c r="D47" s="5" t="str">
        <f>LRTRIM(CONCATENATE(IF(SUMPRODUCT(-- ISNUMBER(SEARCH({"Auto Number"}, $B47))) &gt; 0, $B47, IF(SUMPRODUCT(-- ISNUMBER(SEARCH({"Lookup","Master-Detail"}, $B47))) &gt; 0,$B47 &amp; "(" &amp; $E47 &amp; ")",IF(SUMPRODUCT(-- ISNUMBER(SEARCH({"Formula","Roll-Up Summary"}, $B47))) &gt; 0,$B47 &amp; " (" &amp; $E47 &amp; ")",IF(SUMPRODUCT(-- ISNUMBER(SEARCH({"Content","Currency","Number","Percent","Text","URL"}, $B47))) &gt; 0,$B47 &amp; "(" &amp; $C47 &amp; ")",$B47)))), "  ", TRIM(IF($S47 = "YES", "(External ID)", "") &amp; " " &amp; IF(SUMPRODUCT(-- ISNUMBER(SEARCH({"Unique","Unique Case Insensitive"}, $R47))) &gt; 0, "(" &amp; $R47 &amp; ")", ""))))</f>
        <v>na</v>
      </c>
      <c r="E47" s="7" t="s">
        <v>195</v>
      </c>
      <c r="F47" s="7" t="s">
        <v>195</v>
      </c>
      <c r="G47" s="7" t="s">
        <v>195</v>
      </c>
      <c r="H47" s="7" t="s">
        <v>195</v>
      </c>
      <c r="I47" s="7" t="s">
        <v>195</v>
      </c>
      <c r="J47" s="7" t="s">
        <v>195</v>
      </c>
      <c r="K47" s="7" t="s">
        <v>195</v>
      </c>
      <c r="L47" s="7" t="s">
        <v>195</v>
      </c>
      <c r="M47" s="7" t="s">
        <v>29</v>
      </c>
      <c r="N47" s="7" t="s">
        <v>29</v>
      </c>
      <c r="O47" s="7" t="s">
        <v>29</v>
      </c>
      <c r="P47" s="7" t="s">
        <v>29</v>
      </c>
      <c r="Q47" s="7" t="s">
        <v>29</v>
      </c>
      <c r="R47" s="7" t="s">
        <v>29</v>
      </c>
      <c r="S47" s="7" t="s">
        <v>29</v>
      </c>
    </row>
    <row r="48" spans="2:19">
      <c r="B48" s="7" t="s">
        <v>195</v>
      </c>
      <c r="C48" s="8" t="s">
        <v>195</v>
      </c>
      <c r="D48" s="5" t="str">
        <f>LRTRIM(CONCATENATE(IF(SUMPRODUCT(-- ISNUMBER(SEARCH({"Auto Number"}, $B48))) &gt; 0, $B48, IF(SUMPRODUCT(-- ISNUMBER(SEARCH({"Lookup","Master-Detail"}, $B48))) &gt; 0,$B48 &amp; "(" &amp; $E48 &amp; ")",IF(SUMPRODUCT(-- ISNUMBER(SEARCH({"Formula","Roll-Up Summary"}, $B48))) &gt; 0,$B48 &amp; " (" &amp; $E48 &amp; ")",IF(SUMPRODUCT(-- ISNUMBER(SEARCH({"Content","Currency","Number","Percent","Text","URL"}, $B48))) &gt; 0,$B48 &amp; "(" &amp; $C48 &amp; ")",$B48)))), "  ", TRIM(IF($S48 = "YES", "(External ID)", "") &amp; " " &amp; IF(SUMPRODUCT(-- ISNUMBER(SEARCH({"Unique","Unique Case Insensitive"}, $R48))) &gt; 0, "(" &amp; $R48 &amp; ")", ""))))</f>
        <v>na</v>
      </c>
      <c r="E48" s="7" t="s">
        <v>195</v>
      </c>
      <c r="F48" s="7" t="s">
        <v>195</v>
      </c>
      <c r="G48" s="7" t="s">
        <v>195</v>
      </c>
      <c r="H48" s="7" t="s">
        <v>195</v>
      </c>
      <c r="I48" s="7" t="s">
        <v>195</v>
      </c>
      <c r="J48" s="7" t="s">
        <v>195</v>
      </c>
      <c r="K48" s="7" t="s">
        <v>195</v>
      </c>
      <c r="L48" s="7" t="s">
        <v>195</v>
      </c>
      <c r="M48" s="7" t="s">
        <v>29</v>
      </c>
      <c r="N48" s="7" t="s">
        <v>29</v>
      </c>
      <c r="O48" s="7" t="s">
        <v>29</v>
      </c>
      <c r="P48" s="7" t="s">
        <v>29</v>
      </c>
      <c r="Q48" s="7" t="s">
        <v>29</v>
      </c>
      <c r="R48" s="7" t="s">
        <v>29</v>
      </c>
      <c r="S48" s="7" t="s">
        <v>29</v>
      </c>
    </row>
    <row r="49" spans="2:19">
      <c r="B49" s="7" t="s">
        <v>195</v>
      </c>
      <c r="C49" s="8" t="s">
        <v>195</v>
      </c>
      <c r="D49" s="5" t="str">
        <f>LRTRIM(CONCATENATE(IF(SUMPRODUCT(-- ISNUMBER(SEARCH({"Auto Number"}, $B49))) &gt; 0, $B49, IF(SUMPRODUCT(-- ISNUMBER(SEARCH({"Lookup","Master-Detail"}, $B49))) &gt; 0,$B49 &amp; "(" &amp; $E49 &amp; ")",IF(SUMPRODUCT(-- ISNUMBER(SEARCH({"Formula","Roll-Up Summary"}, $B49))) &gt; 0,$B49 &amp; " (" &amp; $E49 &amp; ")",IF(SUMPRODUCT(-- ISNUMBER(SEARCH({"Content","Currency","Number","Percent","Text","URL"}, $B49))) &gt; 0,$B49 &amp; "(" &amp; $C49 &amp; ")",$B49)))), "  ", TRIM(IF($S49 = "YES", "(External ID)", "") &amp; " " &amp; IF(SUMPRODUCT(-- ISNUMBER(SEARCH({"Unique","Unique Case Insensitive"}, $R49))) &gt; 0, "(" &amp; $R49 &amp; ")", ""))))</f>
        <v>na</v>
      </c>
      <c r="E49" s="7" t="s">
        <v>195</v>
      </c>
      <c r="F49" s="7" t="s">
        <v>195</v>
      </c>
      <c r="G49" s="7" t="s">
        <v>195</v>
      </c>
      <c r="H49" s="7" t="s">
        <v>195</v>
      </c>
      <c r="I49" s="7" t="s">
        <v>195</v>
      </c>
      <c r="J49" s="7" t="s">
        <v>195</v>
      </c>
      <c r="K49" s="7" t="s">
        <v>195</v>
      </c>
      <c r="L49" s="7" t="s">
        <v>195</v>
      </c>
      <c r="M49" s="7" t="s">
        <v>29</v>
      </c>
      <c r="N49" s="7" t="s">
        <v>29</v>
      </c>
      <c r="O49" s="7" t="s">
        <v>29</v>
      </c>
      <c r="P49" s="7" t="s">
        <v>29</v>
      </c>
      <c r="Q49" s="7" t="s">
        <v>29</v>
      </c>
      <c r="R49" s="7" t="s">
        <v>29</v>
      </c>
      <c r="S49" s="7" t="s">
        <v>29</v>
      </c>
    </row>
    <row r="50" spans="2:19">
      <c r="B50" s="7" t="s">
        <v>195</v>
      </c>
      <c r="C50" s="8" t="s">
        <v>195</v>
      </c>
      <c r="D50" s="5" t="str">
        <f>LRTRIM(CONCATENATE(IF(SUMPRODUCT(-- ISNUMBER(SEARCH({"Auto Number"}, $B50))) &gt; 0, $B50, IF(SUMPRODUCT(-- ISNUMBER(SEARCH({"Lookup","Master-Detail"}, $B50))) &gt; 0,$B50 &amp; "(" &amp; $E50 &amp; ")",IF(SUMPRODUCT(-- ISNUMBER(SEARCH({"Formula","Roll-Up Summary"}, $B50))) &gt; 0,$B50 &amp; " (" &amp; $E50 &amp; ")",IF(SUMPRODUCT(-- ISNUMBER(SEARCH({"Content","Currency","Number","Percent","Text","URL"}, $B50))) &gt; 0,$B50 &amp; "(" &amp; $C50 &amp; ")",$B50)))), "  ", TRIM(IF($S50 = "YES", "(External ID)", "") &amp; " " &amp; IF(SUMPRODUCT(-- ISNUMBER(SEARCH({"Unique","Unique Case Insensitive"}, $R50))) &gt; 0, "(" &amp; $R50 &amp; ")", ""))))</f>
        <v>na</v>
      </c>
      <c r="E50" s="7" t="s">
        <v>195</v>
      </c>
      <c r="F50" s="7" t="s">
        <v>195</v>
      </c>
      <c r="G50" s="7" t="s">
        <v>195</v>
      </c>
      <c r="H50" s="7" t="s">
        <v>195</v>
      </c>
      <c r="I50" s="7" t="s">
        <v>195</v>
      </c>
      <c r="J50" s="7" t="s">
        <v>195</v>
      </c>
      <c r="K50" s="7" t="s">
        <v>195</v>
      </c>
      <c r="L50" s="7" t="s">
        <v>195</v>
      </c>
      <c r="M50" s="7" t="s">
        <v>29</v>
      </c>
      <c r="N50" s="7" t="s">
        <v>29</v>
      </c>
      <c r="O50" s="7" t="s">
        <v>29</v>
      </c>
      <c r="P50" s="7" t="s">
        <v>29</v>
      </c>
      <c r="Q50" s="7" t="s">
        <v>29</v>
      </c>
      <c r="R50" s="7" t="s">
        <v>29</v>
      </c>
      <c r="S50" s="7" t="s">
        <v>29</v>
      </c>
    </row>
    <row r="51" spans="2:19">
      <c r="B51" s="7" t="s">
        <v>195</v>
      </c>
      <c r="C51" s="8" t="s">
        <v>195</v>
      </c>
      <c r="D51" s="5" t="str">
        <f>LRTRIM(CONCATENATE(IF(SUMPRODUCT(-- ISNUMBER(SEARCH({"Auto Number"}, $B51))) &gt; 0, $B51, IF(SUMPRODUCT(-- ISNUMBER(SEARCH({"Lookup","Master-Detail"}, $B51))) &gt; 0,$B51 &amp; "(" &amp; $E51 &amp; ")",IF(SUMPRODUCT(-- ISNUMBER(SEARCH({"Formula","Roll-Up Summary"}, $B51))) &gt; 0,$B51 &amp; " (" &amp; $E51 &amp; ")",IF(SUMPRODUCT(-- ISNUMBER(SEARCH({"Content","Currency","Number","Percent","Text","URL"}, $B51))) &gt; 0,$B51 &amp; "(" &amp; $C51 &amp; ")",$B51)))), "  ", TRIM(IF($S51 = "YES", "(External ID)", "") &amp; " " &amp; IF(SUMPRODUCT(-- ISNUMBER(SEARCH({"Unique","Unique Case Insensitive"}, $R51))) &gt; 0, "(" &amp; $R51 &amp; ")", ""))))</f>
        <v>na</v>
      </c>
      <c r="E51" s="7" t="s">
        <v>195</v>
      </c>
      <c r="F51" s="7" t="s">
        <v>195</v>
      </c>
      <c r="G51" s="7" t="s">
        <v>195</v>
      </c>
      <c r="H51" s="7" t="s">
        <v>195</v>
      </c>
      <c r="I51" s="7" t="s">
        <v>195</v>
      </c>
      <c r="J51" s="7" t="s">
        <v>195</v>
      </c>
      <c r="K51" s="7" t="s">
        <v>195</v>
      </c>
      <c r="L51" s="7" t="s">
        <v>195</v>
      </c>
      <c r="M51" s="7" t="s">
        <v>29</v>
      </c>
      <c r="N51" s="7" t="s">
        <v>29</v>
      </c>
      <c r="O51" s="7" t="s">
        <v>29</v>
      </c>
      <c r="P51" s="7" t="s">
        <v>29</v>
      </c>
      <c r="Q51" s="7" t="s">
        <v>29</v>
      </c>
      <c r="R51" s="7" t="s">
        <v>29</v>
      </c>
      <c r="S51" s="7" t="s">
        <v>29</v>
      </c>
    </row>
    <row r="52" spans="2:19">
      <c r="B52" s="7" t="s">
        <v>195</v>
      </c>
      <c r="C52" s="8" t="s">
        <v>195</v>
      </c>
      <c r="D52" s="5" t="str">
        <f>LRTRIM(CONCATENATE(IF(SUMPRODUCT(-- ISNUMBER(SEARCH({"Auto Number"}, $B52))) &gt; 0, $B52, IF(SUMPRODUCT(-- ISNUMBER(SEARCH({"Lookup","Master-Detail"}, $B52))) &gt; 0,$B52 &amp; "(" &amp; $E52 &amp; ")",IF(SUMPRODUCT(-- ISNUMBER(SEARCH({"Formula","Roll-Up Summary"}, $B52))) &gt; 0,$B52 &amp; " (" &amp; $E52 &amp; ")",IF(SUMPRODUCT(-- ISNUMBER(SEARCH({"Content","Currency","Number","Percent","Text","URL"}, $B52))) &gt; 0,$B52 &amp; "(" &amp; $C52 &amp; ")",$B52)))), "  ", TRIM(IF($S52 = "YES", "(External ID)", "") &amp; " " &amp; IF(SUMPRODUCT(-- ISNUMBER(SEARCH({"Unique","Unique Case Insensitive"}, $R52))) &gt; 0, "(" &amp; $R52 &amp; ")", ""))))</f>
        <v>na</v>
      </c>
      <c r="E52" s="7" t="s">
        <v>195</v>
      </c>
      <c r="F52" s="7" t="s">
        <v>195</v>
      </c>
      <c r="G52" s="7" t="s">
        <v>195</v>
      </c>
      <c r="H52" s="7" t="s">
        <v>195</v>
      </c>
      <c r="I52" s="7" t="s">
        <v>195</v>
      </c>
      <c r="J52" s="7" t="s">
        <v>195</v>
      </c>
      <c r="K52" s="7" t="s">
        <v>195</v>
      </c>
      <c r="L52" s="7" t="s">
        <v>195</v>
      </c>
      <c r="M52" s="7" t="s">
        <v>29</v>
      </c>
      <c r="N52" s="7" t="s">
        <v>29</v>
      </c>
      <c r="O52" s="7" t="s">
        <v>29</v>
      </c>
      <c r="P52" s="7" t="s">
        <v>29</v>
      </c>
      <c r="Q52" s="7" t="s">
        <v>29</v>
      </c>
      <c r="R52" s="7" t="s">
        <v>29</v>
      </c>
      <c r="S52" s="7" t="s">
        <v>29</v>
      </c>
    </row>
    <row r="53" spans="2:19">
      <c r="B53" s="7" t="s">
        <v>195</v>
      </c>
      <c r="C53" s="8" t="s">
        <v>195</v>
      </c>
      <c r="D53" s="5" t="str">
        <f>LRTRIM(CONCATENATE(IF(SUMPRODUCT(-- ISNUMBER(SEARCH({"Auto Number"}, $B53))) &gt; 0, $B53, IF(SUMPRODUCT(-- ISNUMBER(SEARCH({"Lookup","Master-Detail"}, $B53))) &gt; 0,$B53 &amp; "(" &amp; $E53 &amp; ")",IF(SUMPRODUCT(-- ISNUMBER(SEARCH({"Formula","Roll-Up Summary"}, $B53))) &gt; 0,$B53 &amp; " (" &amp; $E53 &amp; ")",IF(SUMPRODUCT(-- ISNUMBER(SEARCH({"Content","Currency","Number","Percent","Text","URL"}, $B53))) &gt; 0,$B53 &amp; "(" &amp; $C53 &amp; ")",$B53)))), "  ", TRIM(IF($S53 = "YES", "(External ID)", "") &amp; " " &amp; IF(SUMPRODUCT(-- ISNUMBER(SEARCH({"Unique","Unique Case Insensitive"}, $R53))) &gt; 0, "(" &amp; $R53 &amp; ")", ""))))</f>
        <v>na</v>
      </c>
      <c r="E53" s="7" t="s">
        <v>195</v>
      </c>
      <c r="F53" s="7" t="s">
        <v>195</v>
      </c>
      <c r="G53" s="7" t="s">
        <v>195</v>
      </c>
      <c r="H53" s="7" t="s">
        <v>195</v>
      </c>
      <c r="I53" s="7" t="s">
        <v>195</v>
      </c>
      <c r="J53" s="7" t="s">
        <v>195</v>
      </c>
      <c r="K53" s="7" t="s">
        <v>195</v>
      </c>
      <c r="L53" s="7" t="s">
        <v>195</v>
      </c>
      <c r="M53" s="7" t="s">
        <v>29</v>
      </c>
      <c r="N53" s="7" t="s">
        <v>29</v>
      </c>
      <c r="O53" s="7" t="s">
        <v>29</v>
      </c>
      <c r="P53" s="7" t="s">
        <v>29</v>
      </c>
      <c r="Q53" s="7" t="s">
        <v>29</v>
      </c>
      <c r="R53" s="7" t="s">
        <v>29</v>
      </c>
      <c r="S53" s="7" t="s">
        <v>29</v>
      </c>
    </row>
    <row r="54" spans="2:19">
      <c r="B54" s="7" t="s">
        <v>195</v>
      </c>
      <c r="C54" s="8" t="s">
        <v>195</v>
      </c>
      <c r="D54" s="5" t="str">
        <f>LRTRIM(CONCATENATE(IF(SUMPRODUCT(-- ISNUMBER(SEARCH({"Auto Number"}, $B54))) &gt; 0, $B54, IF(SUMPRODUCT(-- ISNUMBER(SEARCH({"Lookup","Master-Detail"}, $B54))) &gt; 0,$B54 &amp; "(" &amp; $E54 &amp; ")",IF(SUMPRODUCT(-- ISNUMBER(SEARCH({"Formula","Roll-Up Summary"}, $B54))) &gt; 0,$B54 &amp; " (" &amp; $E54 &amp; ")",IF(SUMPRODUCT(-- ISNUMBER(SEARCH({"Content","Currency","Number","Percent","Text","URL"}, $B54))) &gt; 0,$B54 &amp; "(" &amp; $C54 &amp; ")",$B54)))), "  ", TRIM(IF($S54 = "YES", "(External ID)", "") &amp; " " &amp; IF(SUMPRODUCT(-- ISNUMBER(SEARCH({"Unique","Unique Case Insensitive"}, $R54))) &gt; 0, "(" &amp; $R54 &amp; ")", ""))))</f>
        <v>na</v>
      </c>
      <c r="E54" s="7" t="s">
        <v>195</v>
      </c>
      <c r="F54" s="7" t="s">
        <v>195</v>
      </c>
      <c r="G54" s="7" t="s">
        <v>195</v>
      </c>
      <c r="H54" s="7" t="s">
        <v>195</v>
      </c>
      <c r="I54" s="7" t="s">
        <v>195</v>
      </c>
      <c r="J54" s="7" t="s">
        <v>195</v>
      </c>
      <c r="K54" s="7" t="s">
        <v>195</v>
      </c>
      <c r="L54" s="7" t="s">
        <v>195</v>
      </c>
      <c r="M54" s="7" t="s">
        <v>29</v>
      </c>
      <c r="N54" s="7" t="s">
        <v>29</v>
      </c>
      <c r="O54" s="7" t="s">
        <v>29</v>
      </c>
      <c r="P54" s="7" t="s">
        <v>29</v>
      </c>
      <c r="Q54" s="7" t="s">
        <v>29</v>
      </c>
      <c r="R54" s="7" t="s">
        <v>29</v>
      </c>
      <c r="S54" s="7" t="s">
        <v>29</v>
      </c>
    </row>
    <row r="55" spans="2:19">
      <c r="B55" s="7" t="s">
        <v>195</v>
      </c>
      <c r="C55" s="8" t="s">
        <v>195</v>
      </c>
      <c r="D55" s="5" t="str">
        <f>LRTRIM(CONCATENATE(IF(SUMPRODUCT(-- ISNUMBER(SEARCH({"Auto Number"}, $B55))) &gt; 0, $B55, IF(SUMPRODUCT(-- ISNUMBER(SEARCH({"Lookup","Master-Detail"}, $B55))) &gt; 0,$B55 &amp; "(" &amp; $E55 &amp; ")",IF(SUMPRODUCT(-- ISNUMBER(SEARCH({"Formula","Roll-Up Summary"}, $B55))) &gt; 0,$B55 &amp; " (" &amp; $E55 &amp; ")",IF(SUMPRODUCT(-- ISNUMBER(SEARCH({"Content","Currency","Number","Percent","Text","URL"}, $B55))) &gt; 0,$B55 &amp; "(" &amp; $C55 &amp; ")",$B55)))), "  ", TRIM(IF($S55 = "YES", "(External ID)", "") &amp; " " &amp; IF(SUMPRODUCT(-- ISNUMBER(SEARCH({"Unique","Unique Case Insensitive"}, $R55))) &gt; 0, "(" &amp; $R55 &amp; ")", ""))))</f>
        <v>na</v>
      </c>
      <c r="E55" s="7" t="s">
        <v>195</v>
      </c>
      <c r="F55" s="7" t="s">
        <v>195</v>
      </c>
      <c r="G55" s="7" t="s">
        <v>195</v>
      </c>
      <c r="H55" s="7" t="s">
        <v>195</v>
      </c>
      <c r="I55" s="7" t="s">
        <v>195</v>
      </c>
      <c r="J55" s="7" t="s">
        <v>195</v>
      </c>
      <c r="K55" s="7" t="s">
        <v>195</v>
      </c>
      <c r="L55" s="7" t="s">
        <v>195</v>
      </c>
      <c r="M55" s="7" t="s">
        <v>29</v>
      </c>
      <c r="N55" s="7" t="s">
        <v>29</v>
      </c>
      <c r="O55" s="7" t="s">
        <v>29</v>
      </c>
      <c r="P55" s="7" t="s">
        <v>29</v>
      </c>
      <c r="Q55" s="7" t="s">
        <v>29</v>
      </c>
      <c r="R55" s="7" t="s">
        <v>29</v>
      </c>
      <c r="S55" s="7" t="s">
        <v>29</v>
      </c>
    </row>
    <row r="56" spans="2:19">
      <c r="B56" s="7" t="s">
        <v>195</v>
      </c>
      <c r="C56" s="8" t="s">
        <v>195</v>
      </c>
      <c r="D56" s="5" t="str">
        <f>LRTRIM(CONCATENATE(IF(SUMPRODUCT(-- ISNUMBER(SEARCH({"Auto Number"}, $B56))) &gt; 0, $B56, IF(SUMPRODUCT(-- ISNUMBER(SEARCH({"Lookup","Master-Detail"}, $B56))) &gt; 0,$B56 &amp; "(" &amp; $E56 &amp; ")",IF(SUMPRODUCT(-- ISNUMBER(SEARCH({"Formula","Roll-Up Summary"}, $B56))) &gt; 0,$B56 &amp; " (" &amp; $E56 &amp; ")",IF(SUMPRODUCT(-- ISNUMBER(SEARCH({"Content","Currency","Number","Percent","Text","URL"}, $B56))) &gt; 0,$B56 &amp; "(" &amp; $C56 &amp; ")",$B56)))), "  ", TRIM(IF($S56 = "YES", "(External ID)", "") &amp; " " &amp; IF(SUMPRODUCT(-- ISNUMBER(SEARCH({"Unique","Unique Case Insensitive"}, $R56))) &gt; 0, "(" &amp; $R56 &amp; ")", ""))))</f>
        <v>na</v>
      </c>
      <c r="E56" s="7" t="s">
        <v>195</v>
      </c>
      <c r="F56" s="7" t="s">
        <v>195</v>
      </c>
      <c r="G56" s="7" t="s">
        <v>195</v>
      </c>
      <c r="H56" s="7" t="s">
        <v>195</v>
      </c>
      <c r="I56" s="7" t="s">
        <v>195</v>
      </c>
      <c r="J56" s="7" t="s">
        <v>195</v>
      </c>
      <c r="K56" s="7" t="s">
        <v>195</v>
      </c>
      <c r="L56" s="7" t="s">
        <v>195</v>
      </c>
      <c r="M56" s="7" t="s">
        <v>29</v>
      </c>
      <c r="N56" s="7" t="s">
        <v>29</v>
      </c>
      <c r="O56" s="7" t="s">
        <v>29</v>
      </c>
      <c r="P56" s="7" t="s">
        <v>29</v>
      </c>
      <c r="Q56" s="7" t="s">
        <v>29</v>
      </c>
      <c r="R56" s="7" t="s">
        <v>29</v>
      </c>
      <c r="S56" s="7" t="s">
        <v>29</v>
      </c>
    </row>
    <row r="57" spans="2:19">
      <c r="B57" s="7" t="s">
        <v>195</v>
      </c>
      <c r="C57" s="8" t="s">
        <v>195</v>
      </c>
      <c r="D57" s="5" t="str">
        <f>LRTRIM(CONCATENATE(IF(SUMPRODUCT(-- ISNUMBER(SEARCH({"Auto Number"}, $B57))) &gt; 0, $B57, IF(SUMPRODUCT(-- ISNUMBER(SEARCH({"Lookup","Master-Detail"}, $B57))) &gt; 0,$B57 &amp; "(" &amp; $E57 &amp; ")",IF(SUMPRODUCT(-- ISNUMBER(SEARCH({"Formula","Roll-Up Summary"}, $B57))) &gt; 0,$B57 &amp; " (" &amp; $E57 &amp; ")",IF(SUMPRODUCT(-- ISNUMBER(SEARCH({"Content","Currency","Number","Percent","Text","URL"}, $B57))) &gt; 0,$B57 &amp; "(" &amp; $C57 &amp; ")",$B57)))), "  ", TRIM(IF($S57 = "YES", "(External ID)", "") &amp; " " &amp; IF(SUMPRODUCT(-- ISNUMBER(SEARCH({"Unique","Unique Case Insensitive"}, $R57))) &gt; 0, "(" &amp; $R57 &amp; ")", ""))))</f>
        <v>na</v>
      </c>
      <c r="E57" s="7" t="s">
        <v>195</v>
      </c>
      <c r="F57" s="7" t="s">
        <v>195</v>
      </c>
      <c r="G57" s="7" t="s">
        <v>195</v>
      </c>
      <c r="H57" s="7" t="s">
        <v>195</v>
      </c>
      <c r="I57" s="7" t="s">
        <v>195</v>
      </c>
      <c r="J57" s="7" t="s">
        <v>195</v>
      </c>
      <c r="K57" s="7" t="s">
        <v>195</v>
      </c>
      <c r="L57" s="7" t="s">
        <v>195</v>
      </c>
      <c r="M57" s="7" t="s">
        <v>29</v>
      </c>
      <c r="N57" s="7" t="s">
        <v>29</v>
      </c>
      <c r="O57" s="7" t="s">
        <v>29</v>
      </c>
      <c r="P57" s="7" t="s">
        <v>29</v>
      </c>
      <c r="Q57" s="7" t="s">
        <v>29</v>
      </c>
      <c r="R57" s="7" t="s">
        <v>29</v>
      </c>
      <c r="S57" s="7" t="s">
        <v>29</v>
      </c>
    </row>
    <row r="58" spans="2:19">
      <c r="B58" s="7" t="s">
        <v>195</v>
      </c>
      <c r="C58" s="8" t="s">
        <v>195</v>
      </c>
      <c r="D58" s="5" t="str">
        <f>LRTRIM(CONCATENATE(IF(SUMPRODUCT(-- ISNUMBER(SEARCH({"Auto Number"}, $B58))) &gt; 0, $B58, IF(SUMPRODUCT(-- ISNUMBER(SEARCH({"Lookup","Master-Detail"}, $B58))) &gt; 0,$B58 &amp; "(" &amp; $E58 &amp; ")",IF(SUMPRODUCT(-- ISNUMBER(SEARCH({"Formula","Roll-Up Summary"}, $B58))) &gt; 0,$B58 &amp; " (" &amp; $E58 &amp; ")",IF(SUMPRODUCT(-- ISNUMBER(SEARCH({"Content","Currency","Number","Percent","Text","URL"}, $B58))) &gt; 0,$B58 &amp; "(" &amp; $C58 &amp; ")",$B58)))), "  ", TRIM(IF($S58 = "YES", "(External ID)", "") &amp; " " &amp; IF(SUMPRODUCT(-- ISNUMBER(SEARCH({"Unique","Unique Case Insensitive"}, $R58))) &gt; 0, "(" &amp; $R58 &amp; ")", ""))))</f>
        <v>na</v>
      </c>
      <c r="E58" s="7" t="s">
        <v>195</v>
      </c>
      <c r="F58" s="7" t="s">
        <v>195</v>
      </c>
      <c r="G58" s="7" t="s">
        <v>195</v>
      </c>
      <c r="H58" s="7" t="s">
        <v>195</v>
      </c>
      <c r="I58" s="7" t="s">
        <v>195</v>
      </c>
      <c r="J58" s="7" t="s">
        <v>195</v>
      </c>
      <c r="K58" s="7" t="s">
        <v>195</v>
      </c>
      <c r="L58" s="7" t="s">
        <v>195</v>
      </c>
      <c r="M58" s="7" t="s">
        <v>29</v>
      </c>
      <c r="N58" s="7" t="s">
        <v>29</v>
      </c>
      <c r="O58" s="7" t="s">
        <v>29</v>
      </c>
      <c r="P58" s="7" t="s">
        <v>29</v>
      </c>
      <c r="Q58" s="7" t="s">
        <v>29</v>
      </c>
      <c r="R58" s="7" t="s">
        <v>29</v>
      </c>
      <c r="S58" s="7" t="s">
        <v>29</v>
      </c>
    </row>
    <row r="59" spans="2:19">
      <c r="B59" s="7" t="s">
        <v>195</v>
      </c>
      <c r="C59" s="8" t="s">
        <v>195</v>
      </c>
      <c r="D59" s="5" t="str">
        <f>LRTRIM(CONCATENATE(IF(SUMPRODUCT(-- ISNUMBER(SEARCH({"Auto Number"}, $B59))) &gt; 0, $B59, IF(SUMPRODUCT(-- ISNUMBER(SEARCH({"Lookup","Master-Detail"}, $B59))) &gt; 0,$B59 &amp; "(" &amp; $E59 &amp; ")",IF(SUMPRODUCT(-- ISNUMBER(SEARCH({"Formula","Roll-Up Summary"}, $B59))) &gt; 0,$B59 &amp; " (" &amp; $E59 &amp; ")",IF(SUMPRODUCT(-- ISNUMBER(SEARCH({"Content","Currency","Number","Percent","Text","URL"}, $B59))) &gt; 0,$B59 &amp; "(" &amp; $C59 &amp; ")",$B59)))), "  ", TRIM(IF($S59 = "YES", "(External ID)", "") &amp; " " &amp; IF(SUMPRODUCT(-- ISNUMBER(SEARCH({"Unique","Unique Case Insensitive"}, $R59))) &gt; 0, "(" &amp; $R59 &amp; ")", ""))))</f>
        <v>na</v>
      </c>
      <c r="E59" s="7" t="s">
        <v>195</v>
      </c>
      <c r="F59" s="7" t="s">
        <v>195</v>
      </c>
      <c r="G59" s="7" t="s">
        <v>195</v>
      </c>
      <c r="H59" s="7" t="s">
        <v>195</v>
      </c>
      <c r="I59" s="7" t="s">
        <v>195</v>
      </c>
      <c r="J59" s="7" t="s">
        <v>195</v>
      </c>
      <c r="K59" s="7" t="s">
        <v>195</v>
      </c>
      <c r="L59" s="7" t="s">
        <v>195</v>
      </c>
      <c r="M59" s="7" t="s">
        <v>29</v>
      </c>
      <c r="N59" s="7" t="s">
        <v>29</v>
      </c>
      <c r="O59" s="7" t="s">
        <v>29</v>
      </c>
      <c r="P59" s="7" t="s">
        <v>29</v>
      </c>
      <c r="Q59" s="7" t="s">
        <v>29</v>
      </c>
      <c r="R59" s="7" t="s">
        <v>29</v>
      </c>
      <c r="S59" s="7" t="s">
        <v>29</v>
      </c>
    </row>
    <row r="60" spans="2:19">
      <c r="B60" s="7" t="s">
        <v>195</v>
      </c>
      <c r="C60" s="8" t="s">
        <v>195</v>
      </c>
      <c r="D60" s="5" t="str">
        <f>LRTRIM(CONCATENATE(IF(SUMPRODUCT(-- ISNUMBER(SEARCH({"Auto Number"}, $B60))) &gt; 0, $B60, IF(SUMPRODUCT(-- ISNUMBER(SEARCH({"Lookup","Master-Detail"}, $B60))) &gt; 0,$B60 &amp; "(" &amp; $E60 &amp; ")",IF(SUMPRODUCT(-- ISNUMBER(SEARCH({"Formula","Roll-Up Summary"}, $B60))) &gt; 0,$B60 &amp; " (" &amp; $E60 &amp; ")",IF(SUMPRODUCT(-- ISNUMBER(SEARCH({"Content","Currency","Number","Percent","Text","URL"}, $B60))) &gt; 0,$B60 &amp; "(" &amp; $C60 &amp; ")",$B60)))), "  ", TRIM(IF($S60 = "YES", "(External ID)", "") &amp; " " &amp; IF(SUMPRODUCT(-- ISNUMBER(SEARCH({"Unique","Unique Case Insensitive"}, $R60))) &gt; 0, "(" &amp; $R60 &amp; ")", ""))))</f>
        <v>na</v>
      </c>
      <c r="E60" s="7" t="s">
        <v>195</v>
      </c>
      <c r="F60" s="7" t="s">
        <v>195</v>
      </c>
      <c r="G60" s="7" t="s">
        <v>195</v>
      </c>
      <c r="H60" s="7" t="s">
        <v>195</v>
      </c>
      <c r="I60" s="7" t="s">
        <v>195</v>
      </c>
      <c r="J60" s="7" t="s">
        <v>195</v>
      </c>
      <c r="K60" s="7" t="s">
        <v>195</v>
      </c>
      <c r="L60" s="7" t="s">
        <v>195</v>
      </c>
      <c r="M60" s="7" t="s">
        <v>29</v>
      </c>
      <c r="N60" s="7" t="s">
        <v>29</v>
      </c>
      <c r="O60" s="7" t="s">
        <v>29</v>
      </c>
      <c r="P60" s="7" t="s">
        <v>29</v>
      </c>
      <c r="Q60" s="7" t="s">
        <v>29</v>
      </c>
      <c r="R60" s="7" t="s">
        <v>29</v>
      </c>
      <c r="S60" s="7" t="s">
        <v>29</v>
      </c>
    </row>
    <row r="61" spans="2:19">
      <c r="B61" s="7" t="s">
        <v>195</v>
      </c>
      <c r="C61" s="8" t="s">
        <v>195</v>
      </c>
      <c r="D61" s="5" t="str">
        <f>LRTRIM(CONCATENATE(IF(SUMPRODUCT(-- ISNUMBER(SEARCH({"Auto Number"}, $B61))) &gt; 0, $B61, IF(SUMPRODUCT(-- ISNUMBER(SEARCH({"Lookup","Master-Detail"}, $B61))) &gt; 0,$B61 &amp; "(" &amp; $E61 &amp; ")",IF(SUMPRODUCT(-- ISNUMBER(SEARCH({"Formula","Roll-Up Summary"}, $B61))) &gt; 0,$B61 &amp; " (" &amp; $E61 &amp; ")",IF(SUMPRODUCT(-- ISNUMBER(SEARCH({"Content","Currency","Number","Percent","Text","URL"}, $B61))) &gt; 0,$B61 &amp; "(" &amp; $C61 &amp; ")",$B61)))), "  ", TRIM(IF($S61 = "YES", "(External ID)", "") &amp; " " &amp; IF(SUMPRODUCT(-- ISNUMBER(SEARCH({"Unique","Unique Case Insensitive"}, $R61))) &gt; 0, "(" &amp; $R61 &amp; ")", ""))))</f>
        <v>na</v>
      </c>
      <c r="E61" s="7" t="s">
        <v>195</v>
      </c>
      <c r="F61" s="7" t="s">
        <v>195</v>
      </c>
      <c r="G61" s="7" t="s">
        <v>195</v>
      </c>
      <c r="H61" s="7" t="s">
        <v>195</v>
      </c>
      <c r="I61" s="7" t="s">
        <v>195</v>
      </c>
      <c r="J61" s="7" t="s">
        <v>195</v>
      </c>
      <c r="K61" s="7" t="s">
        <v>195</v>
      </c>
      <c r="L61" s="7" t="s">
        <v>195</v>
      </c>
      <c r="M61" s="7" t="s">
        <v>29</v>
      </c>
      <c r="N61" s="7" t="s">
        <v>29</v>
      </c>
      <c r="O61" s="7" t="s">
        <v>29</v>
      </c>
      <c r="P61" s="7" t="s">
        <v>29</v>
      </c>
      <c r="Q61" s="7" t="s">
        <v>29</v>
      </c>
      <c r="R61" s="7" t="s">
        <v>29</v>
      </c>
      <c r="S61" s="7" t="s">
        <v>29</v>
      </c>
    </row>
    <row r="62" spans="2:19">
      <c r="B62" s="7" t="s">
        <v>195</v>
      </c>
      <c r="C62" s="8" t="s">
        <v>195</v>
      </c>
      <c r="D62" s="5" t="str">
        <f>LRTRIM(CONCATENATE(IF(SUMPRODUCT(-- ISNUMBER(SEARCH({"Auto Number"}, $B62))) &gt; 0, $B62, IF(SUMPRODUCT(-- ISNUMBER(SEARCH({"Lookup","Master-Detail"}, $B62))) &gt; 0,$B62 &amp; "(" &amp; $E62 &amp; ")",IF(SUMPRODUCT(-- ISNUMBER(SEARCH({"Formula","Roll-Up Summary"}, $B62))) &gt; 0,$B62 &amp; " (" &amp; $E62 &amp; ")",IF(SUMPRODUCT(-- ISNUMBER(SEARCH({"Content","Currency","Number","Percent","Text","URL"}, $B62))) &gt; 0,$B62 &amp; "(" &amp; $C62 &amp; ")",$B62)))), "  ", TRIM(IF($S62 = "YES", "(External ID)", "") &amp; " " &amp; IF(SUMPRODUCT(-- ISNUMBER(SEARCH({"Unique","Unique Case Insensitive"}, $R62))) &gt; 0, "(" &amp; $R62 &amp; ")", ""))))</f>
        <v>na</v>
      </c>
      <c r="E62" s="7" t="s">
        <v>195</v>
      </c>
      <c r="F62" s="7" t="s">
        <v>195</v>
      </c>
      <c r="G62" s="7" t="s">
        <v>195</v>
      </c>
      <c r="H62" s="7" t="s">
        <v>195</v>
      </c>
      <c r="I62" s="7" t="s">
        <v>195</v>
      </c>
      <c r="J62" s="7" t="s">
        <v>195</v>
      </c>
      <c r="K62" s="7" t="s">
        <v>195</v>
      </c>
      <c r="L62" s="7" t="s">
        <v>195</v>
      </c>
      <c r="M62" s="7" t="s">
        <v>29</v>
      </c>
      <c r="N62" s="7" t="s">
        <v>29</v>
      </c>
      <c r="O62" s="7" t="s">
        <v>29</v>
      </c>
      <c r="P62" s="7" t="s">
        <v>29</v>
      </c>
      <c r="Q62" s="7" t="s">
        <v>29</v>
      </c>
      <c r="R62" s="7" t="s">
        <v>29</v>
      </c>
      <c r="S62" s="7" t="s">
        <v>29</v>
      </c>
    </row>
    <row r="63" spans="2:19">
      <c r="B63" s="7" t="s">
        <v>195</v>
      </c>
      <c r="C63" s="8" t="s">
        <v>195</v>
      </c>
      <c r="D63" s="5" t="str">
        <f>LRTRIM(CONCATENATE(IF(SUMPRODUCT(-- ISNUMBER(SEARCH({"Auto Number"}, $B63))) &gt; 0, $B63, IF(SUMPRODUCT(-- ISNUMBER(SEARCH({"Lookup","Master-Detail"}, $B63))) &gt; 0,$B63 &amp; "(" &amp; $E63 &amp; ")",IF(SUMPRODUCT(-- ISNUMBER(SEARCH({"Formula","Roll-Up Summary"}, $B63))) &gt; 0,$B63 &amp; " (" &amp; $E63 &amp; ")",IF(SUMPRODUCT(-- ISNUMBER(SEARCH({"Content","Currency","Number","Percent","Text","URL"}, $B63))) &gt; 0,$B63 &amp; "(" &amp; $C63 &amp; ")",$B63)))), "  ", TRIM(IF($S63 = "YES", "(External ID)", "") &amp; " " &amp; IF(SUMPRODUCT(-- ISNUMBER(SEARCH({"Unique","Unique Case Insensitive"}, $R63))) &gt; 0, "(" &amp; $R63 &amp; ")", ""))))</f>
        <v>na</v>
      </c>
      <c r="E63" s="7" t="s">
        <v>195</v>
      </c>
      <c r="F63" s="7" t="s">
        <v>195</v>
      </c>
      <c r="G63" s="7" t="s">
        <v>195</v>
      </c>
      <c r="H63" s="7" t="s">
        <v>195</v>
      </c>
      <c r="I63" s="7" t="s">
        <v>195</v>
      </c>
      <c r="J63" s="7" t="s">
        <v>195</v>
      </c>
      <c r="K63" s="7" t="s">
        <v>195</v>
      </c>
      <c r="L63" s="7" t="s">
        <v>195</v>
      </c>
      <c r="M63" s="7" t="s">
        <v>29</v>
      </c>
      <c r="N63" s="7" t="s">
        <v>29</v>
      </c>
      <c r="O63" s="7" t="s">
        <v>29</v>
      </c>
      <c r="P63" s="7" t="s">
        <v>29</v>
      </c>
      <c r="Q63" s="7" t="s">
        <v>29</v>
      </c>
      <c r="R63" s="7" t="s">
        <v>29</v>
      </c>
      <c r="S63" s="7" t="s">
        <v>29</v>
      </c>
    </row>
    <row r="64" spans="2:19">
      <c r="B64" s="7" t="s">
        <v>195</v>
      </c>
      <c r="C64" s="8" t="s">
        <v>195</v>
      </c>
      <c r="D64" s="5" t="str">
        <f>LRTRIM(CONCATENATE(IF(SUMPRODUCT(-- ISNUMBER(SEARCH({"Auto Number"}, $B64))) &gt; 0, $B64, IF(SUMPRODUCT(-- ISNUMBER(SEARCH({"Lookup","Master-Detail"}, $B64))) &gt; 0,$B64 &amp; "(" &amp; $E64 &amp; ")",IF(SUMPRODUCT(-- ISNUMBER(SEARCH({"Formula","Roll-Up Summary"}, $B64))) &gt; 0,$B64 &amp; " (" &amp; $E64 &amp; ")",IF(SUMPRODUCT(-- ISNUMBER(SEARCH({"Content","Currency","Number","Percent","Text","URL"}, $B64))) &gt; 0,$B64 &amp; "(" &amp; $C64 &amp; ")",$B64)))), "  ", TRIM(IF($S64 = "YES", "(External ID)", "") &amp; " " &amp; IF(SUMPRODUCT(-- ISNUMBER(SEARCH({"Unique","Unique Case Insensitive"}, $R64))) &gt; 0, "(" &amp; $R64 &amp; ")", ""))))</f>
        <v>na</v>
      </c>
      <c r="E64" s="7" t="s">
        <v>195</v>
      </c>
      <c r="F64" s="7" t="s">
        <v>195</v>
      </c>
      <c r="G64" s="7" t="s">
        <v>195</v>
      </c>
      <c r="H64" s="7" t="s">
        <v>195</v>
      </c>
      <c r="I64" s="7" t="s">
        <v>195</v>
      </c>
      <c r="J64" s="7" t="s">
        <v>195</v>
      </c>
      <c r="K64" s="7" t="s">
        <v>195</v>
      </c>
      <c r="L64" s="7" t="s">
        <v>195</v>
      </c>
      <c r="M64" s="7" t="s">
        <v>29</v>
      </c>
      <c r="N64" s="7" t="s">
        <v>29</v>
      </c>
      <c r="O64" s="7" t="s">
        <v>29</v>
      </c>
      <c r="P64" s="7" t="s">
        <v>29</v>
      </c>
      <c r="Q64" s="7" t="s">
        <v>29</v>
      </c>
      <c r="R64" s="7" t="s">
        <v>29</v>
      </c>
      <c r="S64" s="7" t="s">
        <v>29</v>
      </c>
    </row>
    <row r="65" spans="2:19">
      <c r="B65" s="7" t="s">
        <v>195</v>
      </c>
      <c r="C65" s="8" t="s">
        <v>195</v>
      </c>
      <c r="D65" s="5" t="str">
        <f>LRTRIM(CONCATENATE(IF(SUMPRODUCT(-- ISNUMBER(SEARCH({"Auto Number"}, $B65))) &gt; 0, $B65, IF(SUMPRODUCT(-- ISNUMBER(SEARCH({"Lookup","Master-Detail"}, $B65))) &gt; 0,$B65 &amp; "(" &amp; $E65 &amp; ")",IF(SUMPRODUCT(-- ISNUMBER(SEARCH({"Formula","Roll-Up Summary"}, $B65))) &gt; 0,$B65 &amp; " (" &amp; $E65 &amp; ")",IF(SUMPRODUCT(-- ISNUMBER(SEARCH({"Content","Currency","Number","Percent","Text","URL"}, $B65))) &gt; 0,$B65 &amp; "(" &amp; $C65 &amp; ")",$B65)))), "  ", TRIM(IF($S65 = "YES", "(External ID)", "") &amp; " " &amp; IF(SUMPRODUCT(-- ISNUMBER(SEARCH({"Unique","Unique Case Insensitive"}, $R65))) &gt; 0, "(" &amp; $R65 &amp; ")", ""))))</f>
        <v>na</v>
      </c>
      <c r="E65" s="7" t="s">
        <v>195</v>
      </c>
      <c r="F65" s="7" t="s">
        <v>195</v>
      </c>
      <c r="G65" s="7" t="s">
        <v>195</v>
      </c>
      <c r="H65" s="7" t="s">
        <v>195</v>
      </c>
      <c r="I65" s="7" t="s">
        <v>195</v>
      </c>
      <c r="J65" s="7" t="s">
        <v>195</v>
      </c>
      <c r="K65" s="7" t="s">
        <v>195</v>
      </c>
      <c r="L65" s="7" t="s">
        <v>195</v>
      </c>
      <c r="M65" s="7" t="s">
        <v>29</v>
      </c>
      <c r="N65" s="7" t="s">
        <v>29</v>
      </c>
      <c r="O65" s="7" t="s">
        <v>29</v>
      </c>
      <c r="P65" s="7" t="s">
        <v>29</v>
      </c>
      <c r="Q65" s="7" t="s">
        <v>29</v>
      </c>
      <c r="R65" s="7" t="s">
        <v>29</v>
      </c>
      <c r="S65" s="7" t="s">
        <v>29</v>
      </c>
    </row>
    <row r="66" spans="2:19">
      <c r="B66" s="7" t="s">
        <v>195</v>
      </c>
      <c r="C66" s="8" t="s">
        <v>195</v>
      </c>
      <c r="D66" s="5" t="str">
        <f>LRTRIM(CONCATENATE(IF(SUMPRODUCT(-- ISNUMBER(SEARCH({"Auto Number"}, $B66))) &gt; 0, $B66, IF(SUMPRODUCT(-- ISNUMBER(SEARCH({"Lookup","Master-Detail"}, $B66))) &gt; 0,$B66 &amp; "(" &amp; $E66 &amp; ")",IF(SUMPRODUCT(-- ISNUMBER(SEARCH({"Formula","Roll-Up Summary"}, $B66))) &gt; 0,$B66 &amp; " (" &amp; $E66 &amp; ")",IF(SUMPRODUCT(-- ISNUMBER(SEARCH({"Content","Currency","Number","Percent","Text","URL"}, $B66))) &gt; 0,$B66 &amp; "(" &amp; $C66 &amp; ")",$B66)))), "  ", TRIM(IF($S66 = "YES", "(External ID)", "") &amp; " " &amp; IF(SUMPRODUCT(-- ISNUMBER(SEARCH({"Unique","Unique Case Insensitive"}, $R66))) &gt; 0, "(" &amp; $R66 &amp; ")", ""))))</f>
        <v>na</v>
      </c>
      <c r="E66" s="7" t="s">
        <v>195</v>
      </c>
      <c r="F66" s="7" t="s">
        <v>195</v>
      </c>
      <c r="G66" s="7" t="s">
        <v>195</v>
      </c>
      <c r="H66" s="7" t="s">
        <v>195</v>
      </c>
      <c r="I66" s="7" t="s">
        <v>195</v>
      </c>
      <c r="J66" s="7" t="s">
        <v>195</v>
      </c>
      <c r="K66" s="7" t="s">
        <v>195</v>
      </c>
      <c r="L66" s="7" t="s">
        <v>195</v>
      </c>
      <c r="M66" s="7" t="s">
        <v>29</v>
      </c>
      <c r="N66" s="7" t="s">
        <v>29</v>
      </c>
      <c r="O66" s="7" t="s">
        <v>29</v>
      </c>
      <c r="P66" s="7" t="s">
        <v>29</v>
      </c>
      <c r="Q66" s="7" t="s">
        <v>29</v>
      </c>
      <c r="R66" s="7" t="s">
        <v>29</v>
      </c>
      <c r="S66" s="7" t="s">
        <v>29</v>
      </c>
    </row>
    <row r="67" spans="2:19">
      <c r="B67" s="7" t="s">
        <v>195</v>
      </c>
      <c r="C67" s="8" t="s">
        <v>195</v>
      </c>
      <c r="D67" s="5" t="str">
        <f>LRTRIM(CONCATENATE(IF(SUMPRODUCT(-- ISNUMBER(SEARCH({"Auto Number"}, $B67))) &gt; 0, $B67, IF(SUMPRODUCT(-- ISNUMBER(SEARCH({"Lookup","Master-Detail"}, $B67))) &gt; 0,$B67 &amp; "(" &amp; $E67 &amp; ")",IF(SUMPRODUCT(-- ISNUMBER(SEARCH({"Formula","Roll-Up Summary"}, $B67))) &gt; 0,$B67 &amp; " (" &amp; $E67 &amp; ")",IF(SUMPRODUCT(-- ISNUMBER(SEARCH({"Content","Currency","Number","Percent","Text","URL"}, $B67))) &gt; 0,$B67 &amp; "(" &amp; $C67 &amp; ")",$B67)))), "  ", TRIM(IF($S67 = "YES", "(External ID)", "") &amp; " " &amp; IF(SUMPRODUCT(-- ISNUMBER(SEARCH({"Unique","Unique Case Insensitive"}, $R67))) &gt; 0, "(" &amp; $R67 &amp; ")", ""))))</f>
        <v>na</v>
      </c>
      <c r="E67" s="7" t="s">
        <v>195</v>
      </c>
      <c r="F67" s="7" t="s">
        <v>195</v>
      </c>
      <c r="G67" s="7" t="s">
        <v>195</v>
      </c>
      <c r="H67" s="7" t="s">
        <v>195</v>
      </c>
      <c r="I67" s="7" t="s">
        <v>195</v>
      </c>
      <c r="J67" s="7" t="s">
        <v>195</v>
      </c>
      <c r="K67" s="7" t="s">
        <v>195</v>
      </c>
      <c r="L67" s="7" t="s">
        <v>195</v>
      </c>
      <c r="M67" s="7" t="s">
        <v>29</v>
      </c>
      <c r="N67" s="7" t="s">
        <v>29</v>
      </c>
      <c r="O67" s="7" t="s">
        <v>29</v>
      </c>
      <c r="P67" s="7" t="s">
        <v>29</v>
      </c>
      <c r="Q67" s="7" t="s">
        <v>29</v>
      </c>
      <c r="R67" s="7" t="s">
        <v>29</v>
      </c>
      <c r="S67" s="7" t="s">
        <v>29</v>
      </c>
    </row>
    <row r="68" spans="2:19">
      <c r="B68" s="7" t="s">
        <v>195</v>
      </c>
      <c r="C68" s="8" t="s">
        <v>195</v>
      </c>
      <c r="D68" s="5" t="str">
        <f>LRTRIM(CONCATENATE(IF(SUMPRODUCT(-- ISNUMBER(SEARCH({"Auto Number"}, $B68))) &gt; 0, $B68, IF(SUMPRODUCT(-- ISNUMBER(SEARCH({"Lookup","Master-Detail"}, $B68))) &gt; 0,$B68 &amp; "(" &amp; $E68 &amp; ")",IF(SUMPRODUCT(-- ISNUMBER(SEARCH({"Formula","Roll-Up Summary"}, $B68))) &gt; 0,$B68 &amp; " (" &amp; $E68 &amp; ")",IF(SUMPRODUCT(-- ISNUMBER(SEARCH({"Content","Currency","Number","Percent","Text","URL"}, $B68))) &gt; 0,$B68 &amp; "(" &amp; $C68 &amp; ")",$B68)))), "  ", TRIM(IF($S68 = "YES", "(External ID)", "") &amp; " " &amp; IF(SUMPRODUCT(-- ISNUMBER(SEARCH({"Unique","Unique Case Insensitive"}, $R68))) &gt; 0, "(" &amp; $R68 &amp; ")", ""))))</f>
        <v>na</v>
      </c>
      <c r="E68" s="7" t="s">
        <v>195</v>
      </c>
      <c r="F68" s="7" t="s">
        <v>195</v>
      </c>
      <c r="G68" s="7" t="s">
        <v>195</v>
      </c>
      <c r="H68" s="7" t="s">
        <v>195</v>
      </c>
      <c r="I68" s="7" t="s">
        <v>195</v>
      </c>
      <c r="J68" s="7" t="s">
        <v>195</v>
      </c>
      <c r="K68" s="7" t="s">
        <v>195</v>
      </c>
      <c r="L68" s="7" t="s">
        <v>195</v>
      </c>
      <c r="M68" s="7" t="s">
        <v>29</v>
      </c>
      <c r="N68" s="7" t="s">
        <v>29</v>
      </c>
      <c r="O68" s="7" t="s">
        <v>29</v>
      </c>
      <c r="P68" s="7" t="s">
        <v>29</v>
      </c>
      <c r="Q68" s="7" t="s">
        <v>29</v>
      </c>
      <c r="R68" s="7" t="s">
        <v>29</v>
      </c>
      <c r="S68" s="7" t="s">
        <v>29</v>
      </c>
    </row>
    <row r="69" spans="2:19">
      <c r="B69" s="7" t="s">
        <v>195</v>
      </c>
      <c r="C69" s="8" t="s">
        <v>195</v>
      </c>
      <c r="D69" s="5" t="str">
        <f>LRTRIM(CONCATENATE(IF(SUMPRODUCT(-- ISNUMBER(SEARCH({"Auto Number"}, $B69))) &gt; 0, $B69, IF(SUMPRODUCT(-- ISNUMBER(SEARCH({"Lookup","Master-Detail"}, $B69))) &gt; 0,$B69 &amp; "(" &amp; $E69 &amp; ")",IF(SUMPRODUCT(-- ISNUMBER(SEARCH({"Formula","Roll-Up Summary"}, $B69))) &gt; 0,$B69 &amp; " (" &amp; $E69 &amp; ")",IF(SUMPRODUCT(-- ISNUMBER(SEARCH({"Content","Currency","Number","Percent","Text","URL"}, $B69))) &gt; 0,$B69 &amp; "(" &amp; $C69 &amp; ")",$B69)))), "  ", TRIM(IF($S69 = "YES", "(External ID)", "") &amp; " " &amp; IF(SUMPRODUCT(-- ISNUMBER(SEARCH({"Unique","Unique Case Insensitive"}, $R69))) &gt; 0, "(" &amp; $R69 &amp; ")", ""))))</f>
        <v>na</v>
      </c>
      <c r="E69" s="7" t="s">
        <v>195</v>
      </c>
      <c r="F69" s="7" t="s">
        <v>195</v>
      </c>
      <c r="G69" s="7" t="s">
        <v>195</v>
      </c>
      <c r="H69" s="7" t="s">
        <v>195</v>
      </c>
      <c r="I69" s="7" t="s">
        <v>195</v>
      </c>
      <c r="J69" s="7" t="s">
        <v>195</v>
      </c>
      <c r="K69" s="7" t="s">
        <v>195</v>
      </c>
      <c r="L69" s="7" t="s">
        <v>195</v>
      </c>
      <c r="M69" s="7" t="s">
        <v>29</v>
      </c>
      <c r="N69" s="7" t="s">
        <v>29</v>
      </c>
      <c r="O69" s="7" t="s">
        <v>29</v>
      </c>
      <c r="P69" s="7" t="s">
        <v>29</v>
      </c>
      <c r="Q69" s="7" t="s">
        <v>29</v>
      </c>
      <c r="R69" s="7" t="s">
        <v>29</v>
      </c>
      <c r="S69" s="7" t="s">
        <v>29</v>
      </c>
    </row>
    <row r="70" spans="2:19">
      <c r="B70" s="7" t="s">
        <v>195</v>
      </c>
      <c r="C70" s="8" t="s">
        <v>195</v>
      </c>
      <c r="D70" s="5" t="str">
        <f>LRTRIM(CONCATENATE(IF(SUMPRODUCT(-- ISNUMBER(SEARCH({"Auto Number"}, $B70))) &gt; 0, $B70, IF(SUMPRODUCT(-- ISNUMBER(SEARCH({"Lookup","Master-Detail"}, $B70))) &gt; 0,$B70 &amp; "(" &amp; $E70 &amp; ")",IF(SUMPRODUCT(-- ISNUMBER(SEARCH({"Formula","Roll-Up Summary"}, $B70))) &gt; 0,$B70 &amp; " (" &amp; $E70 &amp; ")",IF(SUMPRODUCT(-- ISNUMBER(SEARCH({"Content","Currency","Number","Percent","Text","URL"}, $B70))) &gt; 0,$B70 &amp; "(" &amp; $C70 &amp; ")",$B70)))), "  ", TRIM(IF($S70 = "YES", "(External ID)", "") &amp; " " &amp; IF(SUMPRODUCT(-- ISNUMBER(SEARCH({"Unique","Unique Case Insensitive"}, $R70))) &gt; 0, "(" &amp; $R70 &amp; ")", ""))))</f>
        <v>na</v>
      </c>
      <c r="E70" s="7" t="s">
        <v>195</v>
      </c>
      <c r="F70" s="7" t="s">
        <v>195</v>
      </c>
      <c r="G70" s="7" t="s">
        <v>195</v>
      </c>
      <c r="H70" s="7" t="s">
        <v>195</v>
      </c>
      <c r="I70" s="7" t="s">
        <v>195</v>
      </c>
      <c r="J70" s="7" t="s">
        <v>195</v>
      </c>
      <c r="K70" s="7" t="s">
        <v>195</v>
      </c>
      <c r="L70" s="7" t="s">
        <v>195</v>
      </c>
      <c r="M70" s="7" t="s">
        <v>29</v>
      </c>
      <c r="N70" s="7" t="s">
        <v>29</v>
      </c>
      <c r="O70" s="7" t="s">
        <v>29</v>
      </c>
      <c r="P70" s="7" t="s">
        <v>29</v>
      </c>
      <c r="Q70" s="7" t="s">
        <v>29</v>
      </c>
      <c r="R70" s="7" t="s">
        <v>29</v>
      </c>
      <c r="S70" s="7" t="s">
        <v>29</v>
      </c>
    </row>
    <row r="71" spans="2:19">
      <c r="B71" s="7" t="s">
        <v>195</v>
      </c>
      <c r="C71" s="8" t="s">
        <v>195</v>
      </c>
      <c r="D71" s="5" t="str">
        <f>LRTRIM(CONCATENATE(IF(SUMPRODUCT(-- ISNUMBER(SEARCH({"Auto Number"}, $B71))) &gt; 0, $B71, IF(SUMPRODUCT(-- ISNUMBER(SEARCH({"Lookup","Master-Detail"}, $B71))) &gt; 0,$B71 &amp; "(" &amp; $E71 &amp; ")",IF(SUMPRODUCT(-- ISNUMBER(SEARCH({"Formula","Roll-Up Summary"}, $B71))) &gt; 0,$B71 &amp; " (" &amp; $E71 &amp; ")",IF(SUMPRODUCT(-- ISNUMBER(SEARCH({"Content","Currency","Number","Percent","Text","URL"}, $B71))) &gt; 0,$B71 &amp; "(" &amp; $C71 &amp; ")",$B71)))), "  ", TRIM(IF($S71 = "YES", "(External ID)", "") &amp; " " &amp; IF(SUMPRODUCT(-- ISNUMBER(SEARCH({"Unique","Unique Case Insensitive"}, $R71))) &gt; 0, "(" &amp; $R71 &amp; ")", ""))))</f>
        <v>na</v>
      </c>
      <c r="E71" s="7" t="s">
        <v>195</v>
      </c>
      <c r="F71" s="7" t="s">
        <v>195</v>
      </c>
      <c r="G71" s="7" t="s">
        <v>195</v>
      </c>
      <c r="H71" s="7" t="s">
        <v>195</v>
      </c>
      <c r="I71" s="7" t="s">
        <v>195</v>
      </c>
      <c r="J71" s="7" t="s">
        <v>195</v>
      </c>
      <c r="K71" s="7" t="s">
        <v>195</v>
      </c>
      <c r="L71" s="7" t="s">
        <v>195</v>
      </c>
      <c r="M71" s="7" t="s">
        <v>29</v>
      </c>
      <c r="N71" s="7" t="s">
        <v>29</v>
      </c>
      <c r="O71" s="7" t="s">
        <v>29</v>
      </c>
      <c r="P71" s="7" t="s">
        <v>29</v>
      </c>
      <c r="Q71" s="7" t="s">
        <v>29</v>
      </c>
      <c r="R71" s="7" t="s">
        <v>29</v>
      </c>
      <c r="S71" s="7" t="s">
        <v>29</v>
      </c>
    </row>
    <row r="72" spans="2:19">
      <c r="B72" s="7" t="s">
        <v>195</v>
      </c>
      <c r="C72" s="8" t="s">
        <v>195</v>
      </c>
      <c r="D72" s="5" t="str">
        <f>LRTRIM(CONCATENATE(IF(SUMPRODUCT(-- ISNUMBER(SEARCH({"Auto Number"}, $B72))) &gt; 0, $B72, IF(SUMPRODUCT(-- ISNUMBER(SEARCH({"Lookup","Master-Detail"}, $B72))) &gt; 0,$B72 &amp; "(" &amp; $E72 &amp; ")",IF(SUMPRODUCT(-- ISNUMBER(SEARCH({"Formula","Roll-Up Summary"}, $B72))) &gt; 0,$B72 &amp; " (" &amp; $E72 &amp; ")",IF(SUMPRODUCT(-- ISNUMBER(SEARCH({"Content","Currency","Number","Percent","Text","URL"}, $B72))) &gt; 0,$B72 &amp; "(" &amp; $C72 &amp; ")",$B72)))), "  ", TRIM(IF($S72 = "YES", "(External ID)", "") &amp; " " &amp; IF(SUMPRODUCT(-- ISNUMBER(SEARCH({"Unique","Unique Case Insensitive"}, $R72))) &gt; 0, "(" &amp; $R72 &amp; ")", ""))))</f>
        <v>na</v>
      </c>
      <c r="E72" s="7" t="s">
        <v>195</v>
      </c>
      <c r="F72" s="7" t="s">
        <v>195</v>
      </c>
      <c r="G72" s="7" t="s">
        <v>195</v>
      </c>
      <c r="H72" s="7" t="s">
        <v>195</v>
      </c>
      <c r="I72" s="7" t="s">
        <v>195</v>
      </c>
      <c r="J72" s="7" t="s">
        <v>195</v>
      </c>
      <c r="K72" s="7" t="s">
        <v>195</v>
      </c>
      <c r="L72" s="7" t="s">
        <v>195</v>
      </c>
      <c r="M72" s="7" t="s">
        <v>29</v>
      </c>
      <c r="N72" s="7" t="s">
        <v>29</v>
      </c>
      <c r="O72" s="7" t="s">
        <v>29</v>
      </c>
      <c r="P72" s="7" t="s">
        <v>29</v>
      </c>
      <c r="Q72" s="7" t="s">
        <v>29</v>
      </c>
      <c r="R72" s="7" t="s">
        <v>29</v>
      </c>
      <c r="S72" s="7" t="s">
        <v>29</v>
      </c>
    </row>
    <row r="73" spans="2:19">
      <c r="B73" s="7" t="s">
        <v>195</v>
      </c>
      <c r="C73" s="8" t="s">
        <v>195</v>
      </c>
      <c r="D73" s="5" t="str">
        <f>LRTRIM(CONCATENATE(IF(SUMPRODUCT(-- ISNUMBER(SEARCH({"Auto Number"}, $B73))) &gt; 0, $B73, IF(SUMPRODUCT(-- ISNUMBER(SEARCH({"Lookup","Master-Detail"}, $B73))) &gt; 0,$B73 &amp; "(" &amp; $E73 &amp; ")",IF(SUMPRODUCT(-- ISNUMBER(SEARCH({"Formula","Roll-Up Summary"}, $B73))) &gt; 0,$B73 &amp; " (" &amp; $E73 &amp; ")",IF(SUMPRODUCT(-- ISNUMBER(SEARCH({"Content","Currency","Number","Percent","Text","URL"}, $B73))) &gt; 0,$B73 &amp; "(" &amp; $C73 &amp; ")",$B73)))), "  ", TRIM(IF($S73 = "YES", "(External ID)", "") &amp; " " &amp; IF(SUMPRODUCT(-- ISNUMBER(SEARCH({"Unique","Unique Case Insensitive"}, $R73))) &gt; 0, "(" &amp; $R73 &amp; ")", ""))))</f>
        <v>na</v>
      </c>
      <c r="E73" s="7" t="s">
        <v>195</v>
      </c>
      <c r="F73" s="7" t="s">
        <v>195</v>
      </c>
      <c r="G73" s="7" t="s">
        <v>195</v>
      </c>
      <c r="H73" s="7" t="s">
        <v>195</v>
      </c>
      <c r="I73" s="7" t="s">
        <v>195</v>
      </c>
      <c r="J73" s="7" t="s">
        <v>195</v>
      </c>
      <c r="K73" s="7" t="s">
        <v>195</v>
      </c>
      <c r="L73" s="7" t="s">
        <v>195</v>
      </c>
      <c r="M73" s="7" t="s">
        <v>29</v>
      </c>
      <c r="N73" s="7" t="s">
        <v>29</v>
      </c>
      <c r="O73" s="7" t="s">
        <v>29</v>
      </c>
      <c r="P73" s="7" t="s">
        <v>29</v>
      </c>
      <c r="Q73" s="7" t="s">
        <v>29</v>
      </c>
      <c r="R73" s="7" t="s">
        <v>29</v>
      </c>
      <c r="S73" s="7" t="s">
        <v>29</v>
      </c>
    </row>
    <row r="74" spans="2:19">
      <c r="B74" s="7" t="s">
        <v>195</v>
      </c>
      <c r="C74" s="8" t="s">
        <v>195</v>
      </c>
      <c r="D74" s="5" t="str">
        <f>LRTRIM(CONCATENATE(IF(SUMPRODUCT(-- ISNUMBER(SEARCH({"Auto Number"}, $B74))) &gt; 0, $B74, IF(SUMPRODUCT(-- ISNUMBER(SEARCH({"Lookup","Master-Detail"}, $B74))) &gt; 0,$B74 &amp; "(" &amp; $E74 &amp; ")",IF(SUMPRODUCT(-- ISNUMBER(SEARCH({"Formula","Roll-Up Summary"}, $B74))) &gt; 0,$B74 &amp; " (" &amp; $E74 &amp; ")",IF(SUMPRODUCT(-- ISNUMBER(SEARCH({"Content","Currency","Number","Percent","Text","URL"}, $B74))) &gt; 0,$B74 &amp; "(" &amp; $C74 &amp; ")",$B74)))), "  ", TRIM(IF($S74 = "YES", "(External ID)", "") &amp; " " &amp; IF(SUMPRODUCT(-- ISNUMBER(SEARCH({"Unique","Unique Case Insensitive"}, $R74))) &gt; 0, "(" &amp; $R74 &amp; ")", ""))))</f>
        <v>na</v>
      </c>
      <c r="E74" s="7" t="s">
        <v>195</v>
      </c>
      <c r="F74" s="7" t="s">
        <v>195</v>
      </c>
      <c r="G74" s="7" t="s">
        <v>195</v>
      </c>
      <c r="H74" s="7" t="s">
        <v>195</v>
      </c>
      <c r="I74" s="7" t="s">
        <v>195</v>
      </c>
      <c r="J74" s="7" t="s">
        <v>195</v>
      </c>
      <c r="K74" s="7" t="s">
        <v>195</v>
      </c>
      <c r="L74" s="7" t="s">
        <v>195</v>
      </c>
      <c r="M74" s="7" t="s">
        <v>29</v>
      </c>
      <c r="N74" s="7" t="s">
        <v>29</v>
      </c>
      <c r="O74" s="7" t="s">
        <v>29</v>
      </c>
      <c r="P74" s="7" t="s">
        <v>29</v>
      </c>
      <c r="Q74" s="7" t="s">
        <v>29</v>
      </c>
      <c r="R74" s="7" t="s">
        <v>29</v>
      </c>
      <c r="S74" s="7" t="s">
        <v>29</v>
      </c>
    </row>
    <row r="75" spans="2:19">
      <c r="B75" s="7" t="s">
        <v>195</v>
      </c>
      <c r="C75" s="8" t="s">
        <v>195</v>
      </c>
      <c r="D75" s="5" t="str">
        <f>LRTRIM(CONCATENATE(IF(SUMPRODUCT(-- ISNUMBER(SEARCH({"Auto Number"}, $B75))) &gt; 0, $B75, IF(SUMPRODUCT(-- ISNUMBER(SEARCH({"Lookup","Master-Detail"}, $B75))) &gt; 0,$B75 &amp; "(" &amp; $E75 &amp; ")",IF(SUMPRODUCT(-- ISNUMBER(SEARCH({"Formula","Roll-Up Summary"}, $B75))) &gt; 0,$B75 &amp; " (" &amp; $E75 &amp; ")",IF(SUMPRODUCT(-- ISNUMBER(SEARCH({"Content","Currency","Number","Percent","Text","URL"}, $B75))) &gt; 0,$B75 &amp; "(" &amp; $C75 &amp; ")",$B75)))), "  ", TRIM(IF($S75 = "YES", "(External ID)", "") &amp; " " &amp; IF(SUMPRODUCT(-- ISNUMBER(SEARCH({"Unique","Unique Case Insensitive"}, $R75))) &gt; 0, "(" &amp; $R75 &amp; ")", ""))))</f>
        <v>na</v>
      </c>
      <c r="E75" s="7" t="s">
        <v>195</v>
      </c>
      <c r="F75" s="7" t="s">
        <v>195</v>
      </c>
      <c r="G75" s="7" t="s">
        <v>195</v>
      </c>
      <c r="H75" s="7" t="s">
        <v>195</v>
      </c>
      <c r="I75" s="7" t="s">
        <v>195</v>
      </c>
      <c r="J75" s="7" t="s">
        <v>195</v>
      </c>
      <c r="K75" s="7" t="s">
        <v>195</v>
      </c>
      <c r="L75" s="7" t="s">
        <v>195</v>
      </c>
      <c r="M75" s="7" t="s">
        <v>29</v>
      </c>
      <c r="N75" s="7" t="s">
        <v>29</v>
      </c>
      <c r="O75" s="7" t="s">
        <v>29</v>
      </c>
      <c r="P75" s="7" t="s">
        <v>29</v>
      </c>
      <c r="Q75" s="7" t="s">
        <v>29</v>
      </c>
      <c r="R75" s="7" t="s">
        <v>29</v>
      </c>
      <c r="S75" s="7" t="s">
        <v>29</v>
      </c>
    </row>
    <row r="76" spans="2:19">
      <c r="B76" s="7" t="s">
        <v>195</v>
      </c>
      <c r="C76" s="8" t="s">
        <v>195</v>
      </c>
      <c r="D76" s="5" t="str">
        <f>LRTRIM(CONCATENATE(IF(SUMPRODUCT(-- ISNUMBER(SEARCH({"Auto Number"}, $B76))) &gt; 0, $B76, IF(SUMPRODUCT(-- ISNUMBER(SEARCH({"Lookup","Master-Detail"}, $B76))) &gt; 0,$B76 &amp; "(" &amp; $E76 &amp; ")",IF(SUMPRODUCT(-- ISNUMBER(SEARCH({"Formula","Roll-Up Summary"}, $B76))) &gt; 0,$B76 &amp; " (" &amp; $E76 &amp; ")",IF(SUMPRODUCT(-- ISNUMBER(SEARCH({"Content","Currency","Number","Percent","Text","URL"}, $B76))) &gt; 0,$B76 &amp; "(" &amp; $C76 &amp; ")",$B76)))), "  ", TRIM(IF($S76 = "YES", "(External ID)", "") &amp; " " &amp; IF(SUMPRODUCT(-- ISNUMBER(SEARCH({"Unique","Unique Case Insensitive"}, $R76))) &gt; 0, "(" &amp; $R76 &amp; ")", ""))))</f>
        <v>na</v>
      </c>
      <c r="E76" s="7" t="s">
        <v>195</v>
      </c>
      <c r="F76" s="7" t="s">
        <v>195</v>
      </c>
      <c r="G76" s="7" t="s">
        <v>195</v>
      </c>
      <c r="H76" s="7" t="s">
        <v>195</v>
      </c>
      <c r="I76" s="7" t="s">
        <v>195</v>
      </c>
      <c r="J76" s="7" t="s">
        <v>195</v>
      </c>
      <c r="K76" s="7" t="s">
        <v>195</v>
      </c>
      <c r="L76" s="7" t="s">
        <v>195</v>
      </c>
      <c r="M76" s="7" t="s">
        <v>29</v>
      </c>
      <c r="N76" s="7" t="s">
        <v>29</v>
      </c>
      <c r="O76" s="7" t="s">
        <v>29</v>
      </c>
      <c r="P76" s="7" t="s">
        <v>29</v>
      </c>
      <c r="Q76" s="7" t="s">
        <v>29</v>
      </c>
      <c r="R76" s="7" t="s">
        <v>29</v>
      </c>
      <c r="S76" s="7" t="s">
        <v>29</v>
      </c>
    </row>
    <row r="77" spans="2:19">
      <c r="B77" s="7" t="s">
        <v>195</v>
      </c>
      <c r="C77" s="8" t="s">
        <v>195</v>
      </c>
      <c r="D77" s="5" t="str">
        <f>LRTRIM(CONCATENATE(IF(SUMPRODUCT(-- ISNUMBER(SEARCH({"Auto Number"}, $B77))) &gt; 0, $B77, IF(SUMPRODUCT(-- ISNUMBER(SEARCH({"Lookup","Master-Detail"}, $B77))) &gt; 0,$B77 &amp; "(" &amp; $E77 &amp; ")",IF(SUMPRODUCT(-- ISNUMBER(SEARCH({"Formula","Roll-Up Summary"}, $B77))) &gt; 0,$B77 &amp; " (" &amp; $E77 &amp; ")",IF(SUMPRODUCT(-- ISNUMBER(SEARCH({"Content","Currency","Number","Percent","Text","URL"}, $B77))) &gt; 0,$B77 &amp; "(" &amp; $C77 &amp; ")",$B77)))), "  ", TRIM(IF($S77 = "YES", "(External ID)", "") &amp; " " &amp; IF(SUMPRODUCT(-- ISNUMBER(SEARCH({"Unique","Unique Case Insensitive"}, $R77))) &gt; 0, "(" &amp; $R77 &amp; ")", ""))))</f>
        <v>na</v>
      </c>
      <c r="E77" s="7" t="s">
        <v>195</v>
      </c>
      <c r="F77" s="7" t="s">
        <v>195</v>
      </c>
      <c r="G77" s="7" t="s">
        <v>195</v>
      </c>
      <c r="H77" s="7" t="s">
        <v>195</v>
      </c>
      <c r="I77" s="7" t="s">
        <v>195</v>
      </c>
      <c r="J77" s="7" t="s">
        <v>195</v>
      </c>
      <c r="K77" s="7" t="s">
        <v>195</v>
      </c>
      <c r="L77" s="7" t="s">
        <v>195</v>
      </c>
      <c r="M77" s="7" t="s">
        <v>29</v>
      </c>
      <c r="N77" s="7" t="s">
        <v>29</v>
      </c>
      <c r="O77" s="7" t="s">
        <v>29</v>
      </c>
      <c r="P77" s="7" t="s">
        <v>29</v>
      </c>
      <c r="Q77" s="7" t="s">
        <v>29</v>
      </c>
      <c r="R77" s="7" t="s">
        <v>29</v>
      </c>
      <c r="S77" s="7" t="s">
        <v>29</v>
      </c>
    </row>
    <row r="78" spans="2:19">
      <c r="B78" s="7" t="s">
        <v>195</v>
      </c>
      <c r="C78" s="8" t="s">
        <v>195</v>
      </c>
      <c r="D78" s="5" t="str">
        <f>LRTRIM(CONCATENATE(IF(SUMPRODUCT(-- ISNUMBER(SEARCH({"Auto Number"}, $B78))) &gt; 0, $B78, IF(SUMPRODUCT(-- ISNUMBER(SEARCH({"Lookup","Master-Detail"}, $B78))) &gt; 0,$B78 &amp; "(" &amp; $E78 &amp; ")",IF(SUMPRODUCT(-- ISNUMBER(SEARCH({"Formula","Roll-Up Summary"}, $B78))) &gt; 0,$B78 &amp; " (" &amp; $E78 &amp; ")",IF(SUMPRODUCT(-- ISNUMBER(SEARCH({"Content","Currency","Number","Percent","Text","URL"}, $B78))) &gt; 0,$B78 &amp; "(" &amp; $C78 &amp; ")",$B78)))), "  ", TRIM(IF($S78 = "YES", "(External ID)", "") &amp; " " &amp; IF(SUMPRODUCT(-- ISNUMBER(SEARCH({"Unique","Unique Case Insensitive"}, $R78))) &gt; 0, "(" &amp; $R78 &amp; ")", ""))))</f>
        <v>na</v>
      </c>
      <c r="E78" s="7" t="s">
        <v>195</v>
      </c>
      <c r="F78" s="7" t="s">
        <v>195</v>
      </c>
      <c r="G78" s="7" t="s">
        <v>195</v>
      </c>
      <c r="H78" s="7" t="s">
        <v>195</v>
      </c>
      <c r="I78" s="7" t="s">
        <v>195</v>
      </c>
      <c r="J78" s="7" t="s">
        <v>195</v>
      </c>
      <c r="K78" s="7" t="s">
        <v>195</v>
      </c>
      <c r="L78" s="7" t="s">
        <v>195</v>
      </c>
      <c r="M78" s="7" t="s">
        <v>29</v>
      </c>
      <c r="N78" s="7" t="s">
        <v>29</v>
      </c>
      <c r="O78" s="7" t="s">
        <v>29</v>
      </c>
      <c r="P78" s="7" t="s">
        <v>29</v>
      </c>
      <c r="Q78" s="7" t="s">
        <v>29</v>
      </c>
      <c r="R78" s="7" t="s">
        <v>29</v>
      </c>
      <c r="S78" s="7" t="s">
        <v>29</v>
      </c>
    </row>
    <row r="79" spans="2:19">
      <c r="B79" s="7" t="s">
        <v>195</v>
      </c>
      <c r="C79" s="8" t="s">
        <v>195</v>
      </c>
      <c r="D79" s="5" t="str">
        <f>LRTRIM(CONCATENATE(IF(SUMPRODUCT(-- ISNUMBER(SEARCH({"Auto Number"}, $B79))) &gt; 0, $B79, IF(SUMPRODUCT(-- ISNUMBER(SEARCH({"Lookup","Master-Detail"}, $B79))) &gt; 0,$B79 &amp; "(" &amp; $E79 &amp; ")",IF(SUMPRODUCT(-- ISNUMBER(SEARCH({"Formula","Roll-Up Summary"}, $B79))) &gt; 0,$B79 &amp; " (" &amp; $E79 &amp; ")",IF(SUMPRODUCT(-- ISNUMBER(SEARCH({"Content","Currency","Number","Percent","Text","URL"}, $B79))) &gt; 0,$B79 &amp; "(" &amp; $C79 &amp; ")",$B79)))), "  ", TRIM(IF($S79 = "YES", "(External ID)", "") &amp; " " &amp; IF(SUMPRODUCT(-- ISNUMBER(SEARCH({"Unique","Unique Case Insensitive"}, $R79))) &gt; 0, "(" &amp; $R79 &amp; ")", ""))))</f>
        <v>na</v>
      </c>
      <c r="E79" s="7" t="s">
        <v>195</v>
      </c>
      <c r="F79" s="7" t="s">
        <v>195</v>
      </c>
      <c r="G79" s="7" t="s">
        <v>195</v>
      </c>
      <c r="H79" s="7" t="s">
        <v>195</v>
      </c>
      <c r="I79" s="7" t="s">
        <v>195</v>
      </c>
      <c r="J79" s="7" t="s">
        <v>195</v>
      </c>
      <c r="K79" s="7" t="s">
        <v>195</v>
      </c>
      <c r="L79" s="7" t="s">
        <v>195</v>
      </c>
      <c r="M79" s="7" t="s">
        <v>29</v>
      </c>
      <c r="N79" s="7" t="s">
        <v>29</v>
      </c>
      <c r="O79" s="7" t="s">
        <v>29</v>
      </c>
      <c r="P79" s="7" t="s">
        <v>29</v>
      </c>
      <c r="Q79" s="7" t="s">
        <v>29</v>
      </c>
      <c r="R79" s="7" t="s">
        <v>29</v>
      </c>
      <c r="S79" s="7" t="s">
        <v>29</v>
      </c>
    </row>
    <row r="80" spans="2:19">
      <c r="B80" s="7" t="s">
        <v>195</v>
      </c>
      <c r="C80" s="8" t="s">
        <v>195</v>
      </c>
      <c r="D80" s="5" t="str">
        <f>LRTRIM(CONCATENATE(IF(SUMPRODUCT(-- ISNUMBER(SEARCH({"Auto Number"}, $B80))) &gt; 0, $B80, IF(SUMPRODUCT(-- ISNUMBER(SEARCH({"Lookup","Master-Detail"}, $B80))) &gt; 0,$B80 &amp; "(" &amp; $E80 &amp; ")",IF(SUMPRODUCT(-- ISNUMBER(SEARCH({"Formula","Roll-Up Summary"}, $B80))) &gt; 0,$B80 &amp; " (" &amp; $E80 &amp; ")",IF(SUMPRODUCT(-- ISNUMBER(SEARCH({"Content","Currency","Number","Percent","Text","URL"}, $B80))) &gt; 0,$B80 &amp; "(" &amp; $C80 &amp; ")",$B80)))), "  ", TRIM(IF($S80 = "YES", "(External ID)", "") &amp; " " &amp; IF(SUMPRODUCT(-- ISNUMBER(SEARCH({"Unique","Unique Case Insensitive"}, $R80))) &gt; 0, "(" &amp; $R80 &amp; ")", ""))))</f>
        <v>na</v>
      </c>
      <c r="E80" s="7" t="s">
        <v>195</v>
      </c>
      <c r="F80" s="7" t="s">
        <v>195</v>
      </c>
      <c r="G80" s="7" t="s">
        <v>195</v>
      </c>
      <c r="H80" s="7" t="s">
        <v>195</v>
      </c>
      <c r="I80" s="7" t="s">
        <v>195</v>
      </c>
      <c r="J80" s="7" t="s">
        <v>195</v>
      </c>
      <c r="K80" s="7" t="s">
        <v>195</v>
      </c>
      <c r="L80" s="7" t="s">
        <v>195</v>
      </c>
      <c r="M80" s="7" t="s">
        <v>29</v>
      </c>
      <c r="N80" s="7" t="s">
        <v>29</v>
      </c>
      <c r="O80" s="7" t="s">
        <v>29</v>
      </c>
      <c r="P80" s="7" t="s">
        <v>29</v>
      </c>
      <c r="Q80" s="7" t="s">
        <v>29</v>
      </c>
      <c r="R80" s="7" t="s">
        <v>29</v>
      </c>
      <c r="S80" s="7" t="s">
        <v>29</v>
      </c>
    </row>
    <row r="81" spans="2:19">
      <c r="B81" s="7" t="s">
        <v>195</v>
      </c>
      <c r="C81" s="8" t="s">
        <v>195</v>
      </c>
      <c r="D81" s="5" t="str">
        <f>LRTRIM(CONCATENATE(IF(SUMPRODUCT(-- ISNUMBER(SEARCH({"Auto Number"}, $B81))) &gt; 0, $B81, IF(SUMPRODUCT(-- ISNUMBER(SEARCH({"Lookup","Master-Detail"}, $B81))) &gt; 0,$B81 &amp; "(" &amp; $E81 &amp; ")",IF(SUMPRODUCT(-- ISNUMBER(SEARCH({"Formula","Roll-Up Summary"}, $B81))) &gt; 0,$B81 &amp; " (" &amp; $E81 &amp; ")",IF(SUMPRODUCT(-- ISNUMBER(SEARCH({"Content","Currency","Number","Percent","Text","URL"}, $B81))) &gt; 0,$B81 &amp; "(" &amp; $C81 &amp; ")",$B81)))), "  ", TRIM(IF($S81 = "YES", "(External ID)", "") &amp; " " &amp; IF(SUMPRODUCT(-- ISNUMBER(SEARCH({"Unique","Unique Case Insensitive"}, $R81))) &gt; 0, "(" &amp; $R81 &amp; ")", ""))))</f>
        <v>na</v>
      </c>
      <c r="E81" s="7" t="s">
        <v>195</v>
      </c>
      <c r="F81" s="7" t="s">
        <v>195</v>
      </c>
      <c r="G81" s="7" t="s">
        <v>195</v>
      </c>
      <c r="H81" s="7" t="s">
        <v>195</v>
      </c>
      <c r="I81" s="7" t="s">
        <v>195</v>
      </c>
      <c r="J81" s="7" t="s">
        <v>195</v>
      </c>
      <c r="K81" s="7" t="s">
        <v>195</v>
      </c>
      <c r="L81" s="7" t="s">
        <v>195</v>
      </c>
      <c r="M81" s="7" t="s">
        <v>29</v>
      </c>
      <c r="N81" s="7" t="s">
        <v>29</v>
      </c>
      <c r="O81" s="7" t="s">
        <v>29</v>
      </c>
      <c r="P81" s="7" t="s">
        <v>29</v>
      </c>
      <c r="Q81" s="7" t="s">
        <v>29</v>
      </c>
      <c r="R81" s="7" t="s">
        <v>29</v>
      </c>
      <c r="S81" s="7" t="s">
        <v>29</v>
      </c>
    </row>
    <row r="82" spans="2:19">
      <c r="B82" s="7" t="s">
        <v>195</v>
      </c>
      <c r="C82" s="8" t="s">
        <v>195</v>
      </c>
      <c r="D82" s="5" t="str">
        <f>LRTRIM(CONCATENATE(IF(SUMPRODUCT(-- ISNUMBER(SEARCH({"Auto Number"}, $B82))) &gt; 0, $B82, IF(SUMPRODUCT(-- ISNUMBER(SEARCH({"Lookup","Master-Detail"}, $B82))) &gt; 0,$B82 &amp; "(" &amp; $E82 &amp; ")",IF(SUMPRODUCT(-- ISNUMBER(SEARCH({"Formula","Roll-Up Summary"}, $B82))) &gt; 0,$B82 &amp; " (" &amp; $E82 &amp; ")",IF(SUMPRODUCT(-- ISNUMBER(SEARCH({"Content","Currency","Number","Percent","Text","URL"}, $B82))) &gt; 0,$B82 &amp; "(" &amp; $C82 &amp; ")",$B82)))), "  ", TRIM(IF($S82 = "YES", "(External ID)", "") &amp; " " &amp; IF(SUMPRODUCT(-- ISNUMBER(SEARCH({"Unique","Unique Case Insensitive"}, $R82))) &gt; 0, "(" &amp; $R82 &amp; ")", ""))))</f>
        <v>na</v>
      </c>
      <c r="E82" s="7" t="s">
        <v>195</v>
      </c>
      <c r="F82" s="7" t="s">
        <v>195</v>
      </c>
      <c r="G82" s="7" t="s">
        <v>195</v>
      </c>
      <c r="H82" s="7" t="s">
        <v>195</v>
      </c>
      <c r="I82" s="7" t="s">
        <v>195</v>
      </c>
      <c r="J82" s="7" t="s">
        <v>195</v>
      </c>
      <c r="K82" s="7" t="s">
        <v>195</v>
      </c>
      <c r="L82" s="7" t="s">
        <v>195</v>
      </c>
      <c r="M82" s="7" t="s">
        <v>29</v>
      </c>
      <c r="N82" s="7" t="s">
        <v>29</v>
      </c>
      <c r="O82" s="7" t="s">
        <v>29</v>
      </c>
      <c r="P82" s="7" t="s">
        <v>29</v>
      </c>
      <c r="Q82" s="7" t="s">
        <v>29</v>
      </c>
      <c r="R82" s="7" t="s">
        <v>29</v>
      </c>
      <c r="S82" s="7" t="s">
        <v>29</v>
      </c>
    </row>
    <row r="83" spans="2:19">
      <c r="B83" s="7" t="s">
        <v>195</v>
      </c>
      <c r="C83" s="8" t="s">
        <v>195</v>
      </c>
      <c r="D83" s="5" t="str">
        <f>LRTRIM(CONCATENATE(IF(SUMPRODUCT(-- ISNUMBER(SEARCH({"Auto Number"}, $B83))) &gt; 0, $B83, IF(SUMPRODUCT(-- ISNUMBER(SEARCH({"Lookup","Master-Detail"}, $B83))) &gt; 0,$B83 &amp; "(" &amp; $E83 &amp; ")",IF(SUMPRODUCT(-- ISNUMBER(SEARCH({"Formula","Roll-Up Summary"}, $B83))) &gt; 0,$B83 &amp; " (" &amp; $E83 &amp; ")",IF(SUMPRODUCT(-- ISNUMBER(SEARCH({"Content","Currency","Number","Percent","Text","URL"}, $B83))) &gt; 0,$B83 &amp; "(" &amp; $C83 &amp; ")",$B83)))), "  ", TRIM(IF($S83 = "YES", "(External ID)", "") &amp; " " &amp; IF(SUMPRODUCT(-- ISNUMBER(SEARCH({"Unique","Unique Case Insensitive"}, $R83))) &gt; 0, "(" &amp; $R83 &amp; ")", ""))))</f>
        <v>na</v>
      </c>
      <c r="E83" s="7" t="s">
        <v>195</v>
      </c>
      <c r="F83" s="7" t="s">
        <v>195</v>
      </c>
      <c r="G83" s="7" t="s">
        <v>195</v>
      </c>
      <c r="H83" s="7" t="s">
        <v>195</v>
      </c>
      <c r="I83" s="7" t="s">
        <v>195</v>
      </c>
      <c r="J83" s="7" t="s">
        <v>195</v>
      </c>
      <c r="K83" s="7" t="s">
        <v>195</v>
      </c>
      <c r="L83" s="7" t="s">
        <v>195</v>
      </c>
      <c r="M83" s="7" t="s">
        <v>29</v>
      </c>
      <c r="N83" s="7" t="s">
        <v>29</v>
      </c>
      <c r="O83" s="7" t="s">
        <v>29</v>
      </c>
      <c r="P83" s="7" t="s">
        <v>29</v>
      </c>
      <c r="Q83" s="7" t="s">
        <v>29</v>
      </c>
      <c r="R83" s="7" t="s">
        <v>29</v>
      </c>
      <c r="S83" s="7" t="s">
        <v>29</v>
      </c>
    </row>
    <row r="84" spans="2:19">
      <c r="B84" s="7" t="s">
        <v>195</v>
      </c>
      <c r="C84" s="8" t="s">
        <v>195</v>
      </c>
      <c r="D84" s="5" t="str">
        <f>LRTRIM(CONCATENATE(IF(SUMPRODUCT(-- ISNUMBER(SEARCH({"Auto Number"}, $B84))) &gt; 0, $B84, IF(SUMPRODUCT(-- ISNUMBER(SEARCH({"Lookup","Master-Detail"}, $B84))) &gt; 0,$B84 &amp; "(" &amp; $E84 &amp; ")",IF(SUMPRODUCT(-- ISNUMBER(SEARCH({"Formula","Roll-Up Summary"}, $B84))) &gt; 0,$B84 &amp; " (" &amp; $E84 &amp; ")",IF(SUMPRODUCT(-- ISNUMBER(SEARCH({"Content","Currency","Number","Percent","Text","URL"}, $B84))) &gt; 0,$B84 &amp; "(" &amp; $C84 &amp; ")",$B84)))), "  ", TRIM(IF($S84 = "YES", "(External ID)", "") &amp; " " &amp; IF(SUMPRODUCT(-- ISNUMBER(SEARCH({"Unique","Unique Case Insensitive"}, $R84))) &gt; 0, "(" &amp; $R84 &amp; ")", ""))))</f>
        <v>na</v>
      </c>
      <c r="E84" s="7" t="s">
        <v>195</v>
      </c>
      <c r="F84" s="7" t="s">
        <v>195</v>
      </c>
      <c r="G84" s="7" t="s">
        <v>195</v>
      </c>
      <c r="H84" s="7" t="s">
        <v>195</v>
      </c>
      <c r="I84" s="7" t="s">
        <v>195</v>
      </c>
      <c r="J84" s="7" t="s">
        <v>195</v>
      </c>
      <c r="K84" s="7" t="s">
        <v>195</v>
      </c>
      <c r="L84" s="7" t="s">
        <v>195</v>
      </c>
      <c r="M84" s="7" t="s">
        <v>29</v>
      </c>
      <c r="N84" s="7" t="s">
        <v>29</v>
      </c>
      <c r="O84" s="7" t="s">
        <v>29</v>
      </c>
      <c r="P84" s="7" t="s">
        <v>29</v>
      </c>
      <c r="Q84" s="7" t="s">
        <v>29</v>
      </c>
      <c r="R84" s="7" t="s">
        <v>29</v>
      </c>
      <c r="S84" s="7" t="s">
        <v>29</v>
      </c>
    </row>
    <row r="85" spans="2:19">
      <c r="B85" s="7" t="s">
        <v>195</v>
      </c>
      <c r="C85" s="8" t="s">
        <v>195</v>
      </c>
      <c r="D85" s="5" t="str">
        <f>LRTRIM(CONCATENATE(IF(SUMPRODUCT(-- ISNUMBER(SEARCH({"Auto Number"}, $B85))) &gt; 0, $B85, IF(SUMPRODUCT(-- ISNUMBER(SEARCH({"Lookup","Master-Detail"}, $B85))) &gt; 0,$B85 &amp; "(" &amp; $E85 &amp; ")",IF(SUMPRODUCT(-- ISNUMBER(SEARCH({"Formula","Roll-Up Summary"}, $B85))) &gt; 0,$B85 &amp; " (" &amp; $E85 &amp; ")",IF(SUMPRODUCT(-- ISNUMBER(SEARCH({"Content","Currency","Number","Percent","Text","URL"}, $B85))) &gt; 0,$B85 &amp; "(" &amp; $C85 &amp; ")",$B85)))), "  ", TRIM(IF($S85 = "YES", "(External ID)", "") &amp; " " &amp; IF(SUMPRODUCT(-- ISNUMBER(SEARCH({"Unique","Unique Case Insensitive"}, $R85))) &gt; 0, "(" &amp; $R85 &amp; ")", ""))))</f>
        <v>na</v>
      </c>
      <c r="E85" s="7" t="s">
        <v>195</v>
      </c>
      <c r="F85" s="7" t="s">
        <v>195</v>
      </c>
      <c r="G85" s="7" t="s">
        <v>195</v>
      </c>
      <c r="H85" s="7" t="s">
        <v>195</v>
      </c>
      <c r="I85" s="7" t="s">
        <v>195</v>
      </c>
      <c r="J85" s="7" t="s">
        <v>195</v>
      </c>
      <c r="K85" s="7" t="s">
        <v>195</v>
      </c>
      <c r="L85" s="7" t="s">
        <v>195</v>
      </c>
      <c r="M85" s="7" t="s">
        <v>29</v>
      </c>
      <c r="N85" s="7" t="s">
        <v>29</v>
      </c>
      <c r="O85" s="7" t="s">
        <v>29</v>
      </c>
      <c r="P85" s="7" t="s">
        <v>29</v>
      </c>
      <c r="Q85" s="7" t="s">
        <v>29</v>
      </c>
      <c r="R85" s="7" t="s">
        <v>29</v>
      </c>
      <c r="S85" s="7" t="s">
        <v>29</v>
      </c>
    </row>
    <row r="86" spans="2:19">
      <c r="B86" s="7" t="s">
        <v>195</v>
      </c>
      <c r="C86" s="8" t="s">
        <v>195</v>
      </c>
      <c r="D86" s="5" t="str">
        <f>LRTRIM(CONCATENATE(IF(SUMPRODUCT(-- ISNUMBER(SEARCH({"Auto Number"}, $B86))) &gt; 0, $B86, IF(SUMPRODUCT(-- ISNUMBER(SEARCH({"Lookup","Master-Detail"}, $B86))) &gt; 0,$B86 &amp; "(" &amp; $E86 &amp; ")",IF(SUMPRODUCT(-- ISNUMBER(SEARCH({"Formula","Roll-Up Summary"}, $B86))) &gt; 0,$B86 &amp; " (" &amp; $E86 &amp; ")",IF(SUMPRODUCT(-- ISNUMBER(SEARCH({"Content","Currency","Number","Percent","Text","URL"}, $B86))) &gt; 0,$B86 &amp; "(" &amp; $C86 &amp; ")",$B86)))), "  ", TRIM(IF($S86 = "YES", "(External ID)", "") &amp; " " &amp; IF(SUMPRODUCT(-- ISNUMBER(SEARCH({"Unique","Unique Case Insensitive"}, $R86))) &gt; 0, "(" &amp; $R86 &amp; ")", ""))))</f>
        <v>na</v>
      </c>
      <c r="E86" s="7" t="s">
        <v>195</v>
      </c>
      <c r="F86" s="7" t="s">
        <v>195</v>
      </c>
      <c r="G86" s="7" t="s">
        <v>195</v>
      </c>
      <c r="H86" s="7" t="s">
        <v>195</v>
      </c>
      <c r="I86" s="7" t="s">
        <v>195</v>
      </c>
      <c r="J86" s="7" t="s">
        <v>195</v>
      </c>
      <c r="K86" s="7" t="s">
        <v>195</v>
      </c>
      <c r="L86" s="7" t="s">
        <v>195</v>
      </c>
      <c r="M86" s="7" t="s">
        <v>29</v>
      </c>
      <c r="N86" s="7" t="s">
        <v>29</v>
      </c>
      <c r="O86" s="7" t="s">
        <v>29</v>
      </c>
      <c r="P86" s="7" t="s">
        <v>29</v>
      </c>
      <c r="Q86" s="7" t="s">
        <v>29</v>
      </c>
      <c r="R86" s="7" t="s">
        <v>29</v>
      </c>
      <c r="S86" s="7" t="s">
        <v>29</v>
      </c>
    </row>
    <row r="87" spans="2:19">
      <c r="B87" s="7" t="s">
        <v>195</v>
      </c>
      <c r="C87" s="8" t="s">
        <v>195</v>
      </c>
      <c r="D87" s="5" t="str">
        <f>LRTRIM(CONCATENATE(IF(SUMPRODUCT(-- ISNUMBER(SEARCH({"Auto Number"}, $B87))) &gt; 0, $B87, IF(SUMPRODUCT(-- ISNUMBER(SEARCH({"Lookup","Master-Detail"}, $B87))) &gt; 0,$B87 &amp; "(" &amp; $E87 &amp; ")",IF(SUMPRODUCT(-- ISNUMBER(SEARCH({"Formula","Roll-Up Summary"}, $B87))) &gt; 0,$B87 &amp; " (" &amp; $E87 &amp; ")",IF(SUMPRODUCT(-- ISNUMBER(SEARCH({"Content","Currency","Number","Percent","Text","URL"}, $B87))) &gt; 0,$B87 &amp; "(" &amp; $C87 &amp; ")",$B87)))), "  ", TRIM(IF($S87 = "YES", "(External ID)", "") &amp; " " &amp; IF(SUMPRODUCT(-- ISNUMBER(SEARCH({"Unique","Unique Case Insensitive"}, $R87))) &gt; 0, "(" &amp; $R87 &amp; ")", ""))))</f>
        <v>na</v>
      </c>
      <c r="E87" s="7" t="s">
        <v>195</v>
      </c>
      <c r="F87" s="7" t="s">
        <v>195</v>
      </c>
      <c r="G87" s="7" t="s">
        <v>195</v>
      </c>
      <c r="H87" s="7" t="s">
        <v>195</v>
      </c>
      <c r="I87" s="7" t="s">
        <v>195</v>
      </c>
      <c r="J87" s="7" t="s">
        <v>195</v>
      </c>
      <c r="K87" s="7" t="s">
        <v>195</v>
      </c>
      <c r="L87" s="7" t="s">
        <v>195</v>
      </c>
      <c r="M87" s="7" t="s">
        <v>29</v>
      </c>
      <c r="N87" s="7" t="s">
        <v>29</v>
      </c>
      <c r="O87" s="7" t="s">
        <v>29</v>
      </c>
      <c r="P87" s="7" t="s">
        <v>29</v>
      </c>
      <c r="Q87" s="7" t="s">
        <v>29</v>
      </c>
      <c r="R87" s="7" t="s">
        <v>29</v>
      </c>
      <c r="S87" s="7" t="s">
        <v>29</v>
      </c>
    </row>
    <row r="88" spans="2:19">
      <c r="B88" s="7" t="s">
        <v>195</v>
      </c>
      <c r="C88" s="8" t="s">
        <v>195</v>
      </c>
      <c r="D88" s="5" t="str">
        <f>LRTRIM(CONCATENATE(IF(SUMPRODUCT(-- ISNUMBER(SEARCH({"Auto Number"}, $B88))) &gt; 0, $B88, IF(SUMPRODUCT(-- ISNUMBER(SEARCH({"Lookup","Master-Detail"}, $B88))) &gt; 0,$B88 &amp; "(" &amp; $E88 &amp; ")",IF(SUMPRODUCT(-- ISNUMBER(SEARCH({"Formula","Roll-Up Summary"}, $B88))) &gt; 0,$B88 &amp; " (" &amp; $E88 &amp; ")",IF(SUMPRODUCT(-- ISNUMBER(SEARCH({"Content","Currency","Number","Percent","Text","URL"}, $B88))) &gt; 0,$B88 &amp; "(" &amp; $C88 &amp; ")",$B88)))), "  ", TRIM(IF($S88 = "YES", "(External ID)", "") &amp; " " &amp; IF(SUMPRODUCT(-- ISNUMBER(SEARCH({"Unique","Unique Case Insensitive"}, $R88))) &gt; 0, "(" &amp; $R88 &amp; ")", ""))))</f>
        <v>na</v>
      </c>
      <c r="E88" s="7" t="s">
        <v>195</v>
      </c>
      <c r="F88" s="7" t="s">
        <v>195</v>
      </c>
      <c r="G88" s="7" t="s">
        <v>195</v>
      </c>
      <c r="H88" s="7" t="s">
        <v>195</v>
      </c>
      <c r="I88" s="7" t="s">
        <v>195</v>
      </c>
      <c r="J88" s="7" t="s">
        <v>195</v>
      </c>
      <c r="K88" s="7" t="s">
        <v>195</v>
      </c>
      <c r="L88" s="7" t="s">
        <v>195</v>
      </c>
      <c r="M88" s="7" t="s">
        <v>29</v>
      </c>
      <c r="N88" s="7" t="s">
        <v>29</v>
      </c>
      <c r="O88" s="7" t="s">
        <v>29</v>
      </c>
      <c r="P88" s="7" t="s">
        <v>29</v>
      </c>
      <c r="Q88" s="7" t="s">
        <v>29</v>
      </c>
      <c r="R88" s="7" t="s">
        <v>29</v>
      </c>
      <c r="S88" s="7" t="s">
        <v>29</v>
      </c>
    </row>
    <row r="89" spans="2:19">
      <c r="B89" s="7" t="s">
        <v>195</v>
      </c>
      <c r="C89" s="8" t="s">
        <v>195</v>
      </c>
      <c r="D89" s="5" t="str">
        <f>LRTRIM(CONCATENATE(IF(SUMPRODUCT(-- ISNUMBER(SEARCH({"Auto Number"}, $B89))) &gt; 0, $B89, IF(SUMPRODUCT(-- ISNUMBER(SEARCH({"Lookup","Master-Detail"}, $B89))) &gt; 0,$B89 &amp; "(" &amp; $E89 &amp; ")",IF(SUMPRODUCT(-- ISNUMBER(SEARCH({"Formula","Roll-Up Summary"}, $B89))) &gt; 0,$B89 &amp; " (" &amp; $E89 &amp; ")",IF(SUMPRODUCT(-- ISNUMBER(SEARCH({"Content","Currency","Number","Percent","Text","URL"}, $B89))) &gt; 0,$B89 &amp; "(" &amp; $C89 &amp; ")",$B89)))), "  ", TRIM(IF($S89 = "YES", "(External ID)", "") &amp; " " &amp; IF(SUMPRODUCT(-- ISNUMBER(SEARCH({"Unique","Unique Case Insensitive"}, $R89))) &gt; 0, "(" &amp; $R89 &amp; ")", ""))))</f>
        <v>na</v>
      </c>
      <c r="E89" s="7" t="s">
        <v>195</v>
      </c>
      <c r="F89" s="7" t="s">
        <v>195</v>
      </c>
      <c r="G89" s="7" t="s">
        <v>195</v>
      </c>
      <c r="H89" s="7" t="s">
        <v>195</v>
      </c>
      <c r="I89" s="7" t="s">
        <v>195</v>
      </c>
      <c r="J89" s="7" t="s">
        <v>195</v>
      </c>
      <c r="K89" s="7" t="s">
        <v>195</v>
      </c>
      <c r="L89" s="7" t="s">
        <v>195</v>
      </c>
      <c r="M89" s="7" t="s">
        <v>29</v>
      </c>
      <c r="N89" s="7" t="s">
        <v>29</v>
      </c>
      <c r="O89" s="7" t="s">
        <v>29</v>
      </c>
      <c r="P89" s="7" t="s">
        <v>29</v>
      </c>
      <c r="Q89" s="7" t="s">
        <v>29</v>
      </c>
      <c r="R89" s="7" t="s">
        <v>29</v>
      </c>
      <c r="S89" s="7" t="s">
        <v>29</v>
      </c>
    </row>
    <row r="90" spans="2:19">
      <c r="B90" s="7" t="s">
        <v>195</v>
      </c>
      <c r="C90" s="8" t="s">
        <v>195</v>
      </c>
      <c r="D90" s="5" t="str">
        <f>LRTRIM(CONCATENATE(IF(SUMPRODUCT(-- ISNUMBER(SEARCH({"Auto Number"}, $B90))) &gt; 0, $B90, IF(SUMPRODUCT(-- ISNUMBER(SEARCH({"Lookup","Master-Detail"}, $B90))) &gt; 0,$B90 &amp; "(" &amp; $E90 &amp; ")",IF(SUMPRODUCT(-- ISNUMBER(SEARCH({"Formula","Roll-Up Summary"}, $B90))) &gt; 0,$B90 &amp; " (" &amp; $E90 &amp; ")",IF(SUMPRODUCT(-- ISNUMBER(SEARCH({"Content","Currency","Number","Percent","Text","URL"}, $B90))) &gt; 0,$B90 &amp; "(" &amp; $C90 &amp; ")",$B90)))), "  ", TRIM(IF($S90 = "YES", "(External ID)", "") &amp; " " &amp; IF(SUMPRODUCT(-- ISNUMBER(SEARCH({"Unique","Unique Case Insensitive"}, $R90))) &gt; 0, "(" &amp; $R90 &amp; ")", ""))))</f>
        <v>na</v>
      </c>
      <c r="E90" s="7" t="s">
        <v>195</v>
      </c>
      <c r="F90" s="7" t="s">
        <v>195</v>
      </c>
      <c r="G90" s="7" t="s">
        <v>195</v>
      </c>
      <c r="H90" s="7" t="s">
        <v>195</v>
      </c>
      <c r="I90" s="7" t="s">
        <v>195</v>
      </c>
      <c r="J90" s="7" t="s">
        <v>195</v>
      </c>
      <c r="K90" s="7" t="s">
        <v>195</v>
      </c>
      <c r="L90" s="7" t="s">
        <v>195</v>
      </c>
      <c r="M90" s="7" t="s">
        <v>29</v>
      </c>
      <c r="N90" s="7" t="s">
        <v>29</v>
      </c>
      <c r="O90" s="7" t="s">
        <v>29</v>
      </c>
      <c r="P90" s="7" t="s">
        <v>29</v>
      </c>
      <c r="Q90" s="7" t="s">
        <v>29</v>
      </c>
      <c r="R90" s="7" t="s">
        <v>29</v>
      </c>
      <c r="S90" s="7" t="s">
        <v>29</v>
      </c>
    </row>
    <row r="91" spans="2:19">
      <c r="B91" s="7" t="s">
        <v>195</v>
      </c>
      <c r="C91" s="8" t="s">
        <v>195</v>
      </c>
      <c r="D91" s="5" t="str">
        <f>LRTRIM(CONCATENATE(IF(SUMPRODUCT(-- ISNUMBER(SEARCH({"Auto Number"}, $B91))) &gt; 0, $B91, IF(SUMPRODUCT(-- ISNUMBER(SEARCH({"Lookup","Master-Detail"}, $B91))) &gt; 0,$B91 &amp; "(" &amp; $E91 &amp; ")",IF(SUMPRODUCT(-- ISNUMBER(SEARCH({"Formula","Roll-Up Summary"}, $B91))) &gt; 0,$B91 &amp; " (" &amp; $E91 &amp; ")",IF(SUMPRODUCT(-- ISNUMBER(SEARCH({"Content","Currency","Number","Percent","Text","URL"}, $B91))) &gt; 0,$B91 &amp; "(" &amp; $C91 &amp; ")",$B91)))), "  ", TRIM(IF($S91 = "YES", "(External ID)", "") &amp; " " &amp; IF(SUMPRODUCT(-- ISNUMBER(SEARCH({"Unique","Unique Case Insensitive"}, $R91))) &gt; 0, "(" &amp; $R91 &amp; ")", ""))))</f>
        <v>na</v>
      </c>
      <c r="E91" s="7" t="s">
        <v>195</v>
      </c>
      <c r="F91" s="7" t="s">
        <v>195</v>
      </c>
      <c r="G91" s="7" t="s">
        <v>195</v>
      </c>
      <c r="H91" s="7" t="s">
        <v>195</v>
      </c>
      <c r="I91" s="7" t="s">
        <v>195</v>
      </c>
      <c r="J91" s="7" t="s">
        <v>195</v>
      </c>
      <c r="K91" s="7" t="s">
        <v>195</v>
      </c>
      <c r="L91" s="7" t="s">
        <v>195</v>
      </c>
      <c r="M91" s="7" t="s">
        <v>29</v>
      </c>
      <c r="N91" s="7" t="s">
        <v>29</v>
      </c>
      <c r="O91" s="7" t="s">
        <v>29</v>
      </c>
      <c r="P91" s="7" t="s">
        <v>29</v>
      </c>
      <c r="Q91" s="7" t="s">
        <v>29</v>
      </c>
      <c r="R91" s="7" t="s">
        <v>29</v>
      </c>
      <c r="S91" s="7" t="s">
        <v>29</v>
      </c>
    </row>
    <row r="92" spans="2:19">
      <c r="B92" s="7" t="s">
        <v>195</v>
      </c>
      <c r="C92" s="8" t="s">
        <v>195</v>
      </c>
      <c r="D92" s="5" t="str">
        <f>LRTRIM(CONCATENATE(IF(SUMPRODUCT(-- ISNUMBER(SEARCH({"Auto Number"}, $B92))) &gt; 0, $B92, IF(SUMPRODUCT(-- ISNUMBER(SEARCH({"Lookup","Master-Detail"}, $B92))) &gt; 0,$B92 &amp; "(" &amp; $E92 &amp; ")",IF(SUMPRODUCT(-- ISNUMBER(SEARCH({"Formula","Roll-Up Summary"}, $B92))) &gt; 0,$B92 &amp; " (" &amp; $E92 &amp; ")",IF(SUMPRODUCT(-- ISNUMBER(SEARCH({"Content","Currency","Number","Percent","Text","URL"}, $B92))) &gt; 0,$B92 &amp; "(" &amp; $C92 &amp; ")",$B92)))), "  ", TRIM(IF($S92 = "YES", "(External ID)", "") &amp; " " &amp; IF(SUMPRODUCT(-- ISNUMBER(SEARCH({"Unique","Unique Case Insensitive"}, $R92))) &gt; 0, "(" &amp; $R92 &amp; ")", ""))))</f>
        <v>na</v>
      </c>
      <c r="E92" s="7" t="s">
        <v>195</v>
      </c>
      <c r="F92" s="7" t="s">
        <v>195</v>
      </c>
      <c r="G92" s="7" t="s">
        <v>195</v>
      </c>
      <c r="H92" s="7" t="s">
        <v>195</v>
      </c>
      <c r="I92" s="7" t="s">
        <v>195</v>
      </c>
      <c r="J92" s="7" t="s">
        <v>195</v>
      </c>
      <c r="K92" s="7" t="s">
        <v>195</v>
      </c>
      <c r="L92" s="7" t="s">
        <v>195</v>
      </c>
      <c r="M92" s="7" t="s">
        <v>29</v>
      </c>
      <c r="N92" s="7" t="s">
        <v>29</v>
      </c>
      <c r="O92" s="7" t="s">
        <v>29</v>
      </c>
      <c r="P92" s="7" t="s">
        <v>29</v>
      </c>
      <c r="Q92" s="7" t="s">
        <v>29</v>
      </c>
      <c r="R92" s="7" t="s">
        <v>29</v>
      </c>
      <c r="S92" s="7" t="s">
        <v>29</v>
      </c>
    </row>
    <row r="93" spans="2:19">
      <c r="B93" s="7" t="s">
        <v>195</v>
      </c>
      <c r="C93" s="8" t="s">
        <v>195</v>
      </c>
      <c r="D93" s="5" t="str">
        <f>LRTRIM(CONCATENATE(IF(SUMPRODUCT(-- ISNUMBER(SEARCH({"Auto Number"}, $B93))) &gt; 0, $B93, IF(SUMPRODUCT(-- ISNUMBER(SEARCH({"Lookup","Master-Detail"}, $B93))) &gt; 0,$B93 &amp; "(" &amp; $E93 &amp; ")",IF(SUMPRODUCT(-- ISNUMBER(SEARCH({"Formula","Roll-Up Summary"}, $B93))) &gt; 0,$B93 &amp; " (" &amp; $E93 &amp; ")",IF(SUMPRODUCT(-- ISNUMBER(SEARCH({"Content","Currency","Number","Percent","Text","URL"}, $B93))) &gt; 0,$B93 &amp; "(" &amp; $C93 &amp; ")",$B93)))), "  ", TRIM(IF($S93 = "YES", "(External ID)", "") &amp; " " &amp; IF(SUMPRODUCT(-- ISNUMBER(SEARCH({"Unique","Unique Case Insensitive"}, $R93))) &gt; 0, "(" &amp; $R93 &amp; ")", ""))))</f>
        <v>na</v>
      </c>
      <c r="E93" s="7" t="s">
        <v>195</v>
      </c>
      <c r="F93" s="7" t="s">
        <v>195</v>
      </c>
      <c r="G93" s="7" t="s">
        <v>195</v>
      </c>
      <c r="H93" s="7" t="s">
        <v>195</v>
      </c>
      <c r="I93" s="7" t="s">
        <v>195</v>
      </c>
      <c r="J93" s="7" t="s">
        <v>195</v>
      </c>
      <c r="K93" s="7" t="s">
        <v>195</v>
      </c>
      <c r="L93" s="7" t="s">
        <v>195</v>
      </c>
      <c r="M93" s="7" t="s">
        <v>29</v>
      </c>
      <c r="N93" s="7" t="s">
        <v>29</v>
      </c>
      <c r="O93" s="7" t="s">
        <v>29</v>
      </c>
      <c r="P93" s="7" t="s">
        <v>29</v>
      </c>
      <c r="Q93" s="7" t="s">
        <v>29</v>
      </c>
      <c r="R93" s="7" t="s">
        <v>29</v>
      </c>
      <c r="S93" s="7" t="s">
        <v>29</v>
      </c>
    </row>
    <row r="94" spans="2:19">
      <c r="B94" s="7" t="s">
        <v>195</v>
      </c>
      <c r="C94" s="8" t="s">
        <v>195</v>
      </c>
      <c r="D94" s="5" t="str">
        <f>LRTRIM(CONCATENATE(IF(SUMPRODUCT(-- ISNUMBER(SEARCH({"Auto Number"}, $B94))) &gt; 0, $B94, IF(SUMPRODUCT(-- ISNUMBER(SEARCH({"Lookup","Master-Detail"}, $B94))) &gt; 0,$B94 &amp; "(" &amp; $E94 &amp; ")",IF(SUMPRODUCT(-- ISNUMBER(SEARCH({"Formula","Roll-Up Summary"}, $B94))) &gt; 0,$B94 &amp; " (" &amp; $E94 &amp; ")",IF(SUMPRODUCT(-- ISNUMBER(SEARCH({"Content","Currency","Number","Percent","Text","URL"}, $B94))) &gt; 0,$B94 &amp; "(" &amp; $C94 &amp; ")",$B94)))), "  ", TRIM(IF($S94 = "YES", "(External ID)", "") &amp; " " &amp; IF(SUMPRODUCT(-- ISNUMBER(SEARCH({"Unique","Unique Case Insensitive"}, $R94))) &gt; 0, "(" &amp; $R94 &amp; ")", ""))))</f>
        <v>na</v>
      </c>
      <c r="E94" s="7" t="s">
        <v>195</v>
      </c>
      <c r="F94" s="7" t="s">
        <v>195</v>
      </c>
      <c r="G94" s="7" t="s">
        <v>195</v>
      </c>
      <c r="H94" s="7" t="s">
        <v>195</v>
      </c>
      <c r="I94" s="7" t="s">
        <v>195</v>
      </c>
      <c r="J94" s="7" t="s">
        <v>195</v>
      </c>
      <c r="K94" s="7" t="s">
        <v>195</v>
      </c>
      <c r="L94" s="7" t="s">
        <v>195</v>
      </c>
      <c r="M94" s="7" t="s">
        <v>29</v>
      </c>
      <c r="N94" s="7" t="s">
        <v>29</v>
      </c>
      <c r="O94" s="7" t="s">
        <v>29</v>
      </c>
      <c r="P94" s="7" t="s">
        <v>29</v>
      </c>
      <c r="Q94" s="7" t="s">
        <v>29</v>
      </c>
      <c r="R94" s="7" t="s">
        <v>29</v>
      </c>
      <c r="S94" s="7" t="s">
        <v>29</v>
      </c>
    </row>
    <row r="95" spans="2:19">
      <c r="B95" s="7" t="s">
        <v>195</v>
      </c>
      <c r="C95" s="8" t="s">
        <v>195</v>
      </c>
      <c r="D95" s="5" t="str">
        <f>LRTRIM(CONCATENATE(IF(SUMPRODUCT(-- ISNUMBER(SEARCH({"Auto Number"}, $B95))) &gt; 0, $B95, IF(SUMPRODUCT(-- ISNUMBER(SEARCH({"Lookup","Master-Detail"}, $B95))) &gt; 0,$B95 &amp; "(" &amp; $E95 &amp; ")",IF(SUMPRODUCT(-- ISNUMBER(SEARCH({"Formula","Roll-Up Summary"}, $B95))) &gt; 0,$B95 &amp; " (" &amp; $E95 &amp; ")",IF(SUMPRODUCT(-- ISNUMBER(SEARCH({"Content","Currency","Number","Percent","Text","URL"}, $B95))) &gt; 0,$B95 &amp; "(" &amp; $C95 &amp; ")",$B95)))), "  ", TRIM(IF($S95 = "YES", "(External ID)", "") &amp; " " &amp; IF(SUMPRODUCT(-- ISNUMBER(SEARCH({"Unique","Unique Case Insensitive"}, $R95))) &gt; 0, "(" &amp; $R95 &amp; ")", ""))))</f>
        <v>na</v>
      </c>
      <c r="E95" s="7" t="s">
        <v>195</v>
      </c>
      <c r="F95" s="7" t="s">
        <v>195</v>
      </c>
      <c r="G95" s="7" t="s">
        <v>195</v>
      </c>
      <c r="H95" s="7" t="s">
        <v>195</v>
      </c>
      <c r="I95" s="7" t="s">
        <v>195</v>
      </c>
      <c r="J95" s="7" t="s">
        <v>195</v>
      </c>
      <c r="K95" s="7" t="s">
        <v>195</v>
      </c>
      <c r="L95" s="7" t="s">
        <v>195</v>
      </c>
      <c r="M95" s="7" t="s">
        <v>29</v>
      </c>
      <c r="N95" s="7" t="s">
        <v>29</v>
      </c>
      <c r="O95" s="7" t="s">
        <v>29</v>
      </c>
      <c r="P95" s="7" t="s">
        <v>29</v>
      </c>
      <c r="Q95" s="7" t="s">
        <v>29</v>
      </c>
      <c r="R95" s="7" t="s">
        <v>29</v>
      </c>
      <c r="S95" s="7" t="s">
        <v>29</v>
      </c>
    </row>
    <row r="96" spans="2:19">
      <c r="B96" s="7" t="s">
        <v>195</v>
      </c>
      <c r="C96" s="8" t="s">
        <v>195</v>
      </c>
      <c r="D96" s="5" t="str">
        <f>LRTRIM(CONCATENATE(IF(SUMPRODUCT(-- ISNUMBER(SEARCH({"Auto Number"}, $B96))) &gt; 0, $B96, IF(SUMPRODUCT(-- ISNUMBER(SEARCH({"Lookup","Master-Detail"}, $B96))) &gt; 0,$B96 &amp; "(" &amp; $E96 &amp; ")",IF(SUMPRODUCT(-- ISNUMBER(SEARCH({"Formula","Roll-Up Summary"}, $B96))) &gt; 0,$B96 &amp; " (" &amp; $E96 &amp; ")",IF(SUMPRODUCT(-- ISNUMBER(SEARCH({"Content","Currency","Number","Percent","Text","URL"}, $B96))) &gt; 0,$B96 &amp; "(" &amp; $C96 &amp; ")",$B96)))), "  ", TRIM(IF($S96 = "YES", "(External ID)", "") &amp; " " &amp; IF(SUMPRODUCT(-- ISNUMBER(SEARCH({"Unique","Unique Case Insensitive"}, $R96))) &gt; 0, "(" &amp; $R96 &amp; ")", ""))))</f>
        <v>na</v>
      </c>
      <c r="E96" s="7" t="s">
        <v>195</v>
      </c>
      <c r="F96" s="7" t="s">
        <v>195</v>
      </c>
      <c r="G96" s="7" t="s">
        <v>195</v>
      </c>
      <c r="H96" s="7" t="s">
        <v>195</v>
      </c>
      <c r="I96" s="7" t="s">
        <v>195</v>
      </c>
      <c r="J96" s="7" t="s">
        <v>195</v>
      </c>
      <c r="K96" s="7" t="s">
        <v>195</v>
      </c>
      <c r="L96" s="7" t="s">
        <v>195</v>
      </c>
      <c r="M96" s="7" t="s">
        <v>29</v>
      </c>
      <c r="N96" s="7" t="s">
        <v>29</v>
      </c>
      <c r="O96" s="7" t="s">
        <v>29</v>
      </c>
      <c r="P96" s="7" t="s">
        <v>29</v>
      </c>
      <c r="Q96" s="7" t="s">
        <v>29</v>
      </c>
      <c r="R96" s="7" t="s">
        <v>29</v>
      </c>
      <c r="S96" s="7" t="s">
        <v>29</v>
      </c>
    </row>
    <row r="97" spans="2:19">
      <c r="B97" s="7" t="s">
        <v>195</v>
      </c>
      <c r="C97" s="8" t="s">
        <v>195</v>
      </c>
      <c r="D97" s="5" t="str">
        <f>LRTRIM(CONCATENATE(IF(SUMPRODUCT(-- ISNUMBER(SEARCH({"Auto Number"}, $B97))) &gt; 0, $B97, IF(SUMPRODUCT(-- ISNUMBER(SEARCH({"Lookup","Master-Detail"}, $B97))) &gt; 0,$B97 &amp; "(" &amp; $E97 &amp; ")",IF(SUMPRODUCT(-- ISNUMBER(SEARCH({"Formula","Roll-Up Summary"}, $B97))) &gt; 0,$B97 &amp; " (" &amp; $E97 &amp; ")",IF(SUMPRODUCT(-- ISNUMBER(SEARCH({"Content","Currency","Number","Percent","Text","URL"}, $B97))) &gt; 0,$B97 &amp; "(" &amp; $C97 &amp; ")",$B97)))), "  ", TRIM(IF($S97 = "YES", "(External ID)", "") &amp; " " &amp; IF(SUMPRODUCT(-- ISNUMBER(SEARCH({"Unique","Unique Case Insensitive"}, $R97))) &gt; 0, "(" &amp; $R97 &amp; ")", ""))))</f>
        <v>na</v>
      </c>
      <c r="E97" s="7" t="s">
        <v>195</v>
      </c>
      <c r="F97" s="7" t="s">
        <v>195</v>
      </c>
      <c r="G97" s="7" t="s">
        <v>195</v>
      </c>
      <c r="H97" s="7" t="s">
        <v>195</v>
      </c>
      <c r="I97" s="7" t="s">
        <v>195</v>
      </c>
      <c r="J97" s="7" t="s">
        <v>195</v>
      </c>
      <c r="K97" s="7" t="s">
        <v>195</v>
      </c>
      <c r="L97" s="7" t="s">
        <v>195</v>
      </c>
      <c r="M97" s="7" t="s">
        <v>29</v>
      </c>
      <c r="N97" s="7" t="s">
        <v>29</v>
      </c>
      <c r="O97" s="7" t="s">
        <v>29</v>
      </c>
      <c r="P97" s="7" t="s">
        <v>29</v>
      </c>
      <c r="Q97" s="7" t="s">
        <v>29</v>
      </c>
      <c r="R97" s="7" t="s">
        <v>29</v>
      </c>
      <c r="S97" s="7" t="s">
        <v>29</v>
      </c>
    </row>
    <row r="98" spans="2:19">
      <c r="B98" s="7" t="s">
        <v>195</v>
      </c>
      <c r="C98" s="8" t="s">
        <v>195</v>
      </c>
      <c r="D98" s="5" t="str">
        <f>LRTRIM(CONCATENATE(IF(SUMPRODUCT(-- ISNUMBER(SEARCH({"Auto Number"}, $B98))) &gt; 0, $B98, IF(SUMPRODUCT(-- ISNUMBER(SEARCH({"Lookup","Master-Detail"}, $B98))) &gt; 0,$B98 &amp; "(" &amp; $E98 &amp; ")",IF(SUMPRODUCT(-- ISNUMBER(SEARCH({"Formula","Roll-Up Summary"}, $B98))) &gt; 0,$B98 &amp; " (" &amp; $E98 &amp; ")",IF(SUMPRODUCT(-- ISNUMBER(SEARCH({"Content","Currency","Number","Percent","Text","URL"}, $B98))) &gt; 0,$B98 &amp; "(" &amp; $C98 &amp; ")",$B98)))), "  ", TRIM(IF($S98 = "YES", "(External ID)", "") &amp; " " &amp; IF(SUMPRODUCT(-- ISNUMBER(SEARCH({"Unique","Unique Case Insensitive"}, $R98))) &gt; 0, "(" &amp; $R98 &amp; ")", ""))))</f>
        <v>na</v>
      </c>
      <c r="E98" s="7" t="s">
        <v>195</v>
      </c>
      <c r="F98" s="7" t="s">
        <v>195</v>
      </c>
      <c r="G98" s="7" t="s">
        <v>195</v>
      </c>
      <c r="H98" s="7" t="s">
        <v>195</v>
      </c>
      <c r="I98" s="7" t="s">
        <v>195</v>
      </c>
      <c r="J98" s="7" t="s">
        <v>195</v>
      </c>
      <c r="K98" s="7" t="s">
        <v>195</v>
      </c>
      <c r="L98" s="7" t="s">
        <v>195</v>
      </c>
      <c r="M98" s="7" t="s">
        <v>29</v>
      </c>
      <c r="N98" s="7" t="s">
        <v>29</v>
      </c>
      <c r="O98" s="7" t="s">
        <v>29</v>
      </c>
      <c r="P98" s="7" t="s">
        <v>29</v>
      </c>
      <c r="Q98" s="7" t="s">
        <v>29</v>
      </c>
      <c r="R98" s="7" t="s">
        <v>29</v>
      </c>
      <c r="S98" s="7" t="s">
        <v>29</v>
      </c>
    </row>
    <row r="99" spans="2:19">
      <c r="B99" s="7" t="s">
        <v>195</v>
      </c>
      <c r="C99" s="8" t="s">
        <v>195</v>
      </c>
      <c r="D99" s="5" t="str">
        <f>LRTRIM(CONCATENATE(IF(SUMPRODUCT(-- ISNUMBER(SEARCH({"Auto Number"}, $B99))) &gt; 0, $B99, IF(SUMPRODUCT(-- ISNUMBER(SEARCH({"Lookup","Master-Detail"}, $B99))) &gt; 0,$B99 &amp; "(" &amp; $E99 &amp; ")",IF(SUMPRODUCT(-- ISNUMBER(SEARCH({"Formula","Roll-Up Summary"}, $B99))) &gt; 0,$B99 &amp; " (" &amp; $E99 &amp; ")",IF(SUMPRODUCT(-- ISNUMBER(SEARCH({"Content","Currency","Number","Percent","Text","URL"}, $B99))) &gt; 0,$B99 &amp; "(" &amp; $C99 &amp; ")",$B99)))), "  ", TRIM(IF($S99 = "YES", "(External ID)", "") &amp; " " &amp; IF(SUMPRODUCT(-- ISNUMBER(SEARCH({"Unique","Unique Case Insensitive"}, $R99))) &gt; 0, "(" &amp; $R99 &amp; ")", ""))))</f>
        <v>na</v>
      </c>
      <c r="E99" s="7" t="s">
        <v>195</v>
      </c>
      <c r="F99" s="7" t="s">
        <v>195</v>
      </c>
      <c r="G99" s="7" t="s">
        <v>195</v>
      </c>
      <c r="H99" s="7" t="s">
        <v>195</v>
      </c>
      <c r="I99" s="7" t="s">
        <v>195</v>
      </c>
      <c r="J99" s="7" t="s">
        <v>195</v>
      </c>
      <c r="K99" s="7" t="s">
        <v>195</v>
      </c>
      <c r="L99" s="7" t="s">
        <v>195</v>
      </c>
      <c r="M99" s="7" t="s">
        <v>29</v>
      </c>
      <c r="N99" s="7" t="s">
        <v>29</v>
      </c>
      <c r="O99" s="7" t="s">
        <v>29</v>
      </c>
      <c r="P99" s="7" t="s">
        <v>29</v>
      </c>
      <c r="Q99" s="7" t="s">
        <v>29</v>
      </c>
      <c r="R99" s="7" t="s">
        <v>29</v>
      </c>
      <c r="S99" s="7" t="s">
        <v>29</v>
      </c>
    </row>
    <row r="100" spans="2:19">
      <c r="B100" s="7" t="s">
        <v>195</v>
      </c>
      <c r="C100" s="8" t="s">
        <v>195</v>
      </c>
      <c r="D100" s="5" t="str">
        <f>LRTRIM(CONCATENATE(IF(SUMPRODUCT(-- ISNUMBER(SEARCH({"Auto Number"}, $B100))) &gt; 0, $B100, IF(SUMPRODUCT(-- ISNUMBER(SEARCH({"Lookup","Master-Detail"}, $B100))) &gt; 0,$B100 &amp; "(" &amp; $E100 &amp; ")",IF(SUMPRODUCT(-- ISNUMBER(SEARCH({"Formula","Roll-Up Summary"}, $B100))) &gt; 0,$B100 &amp; " (" &amp; $E100 &amp; ")",IF(SUMPRODUCT(-- ISNUMBER(SEARCH({"Content","Currency","Number","Percent","Text","URL"}, $B100))) &gt; 0,$B100 &amp; "(" &amp; $C100 &amp; ")",$B100)))), "  ", TRIM(IF($S100 = "YES", "(External ID)", "") &amp; " " &amp; IF(SUMPRODUCT(-- ISNUMBER(SEARCH({"Unique","Unique Case Insensitive"}, $R100))) &gt; 0, "(" &amp; $R100 &amp; ")", ""))))</f>
        <v>na</v>
      </c>
      <c r="E100" s="7" t="s">
        <v>195</v>
      </c>
      <c r="F100" s="7" t="s">
        <v>195</v>
      </c>
      <c r="G100" s="7" t="s">
        <v>195</v>
      </c>
      <c r="H100" s="7" t="s">
        <v>195</v>
      </c>
      <c r="I100" s="7" t="s">
        <v>195</v>
      </c>
      <c r="J100" s="7" t="s">
        <v>195</v>
      </c>
      <c r="K100" s="7" t="s">
        <v>195</v>
      </c>
      <c r="L100" s="7" t="s">
        <v>195</v>
      </c>
      <c r="M100" s="7" t="s">
        <v>29</v>
      </c>
      <c r="N100" s="7" t="s">
        <v>29</v>
      </c>
      <c r="O100" s="7" t="s">
        <v>29</v>
      </c>
      <c r="P100" s="7" t="s">
        <v>29</v>
      </c>
      <c r="Q100" s="7" t="s">
        <v>29</v>
      </c>
      <c r="R100" s="7" t="s">
        <v>29</v>
      </c>
      <c r="S100" s="7" t="s">
        <v>29</v>
      </c>
    </row>
    <row r="101" spans="2:19">
      <c r="B101" s="7" t="s">
        <v>195</v>
      </c>
      <c r="C101" s="8" t="s">
        <v>195</v>
      </c>
      <c r="D101" s="5" t="str">
        <f>LRTRIM(CONCATENATE(IF(SUMPRODUCT(-- ISNUMBER(SEARCH({"Auto Number"}, $B101))) &gt; 0, $B101, IF(SUMPRODUCT(-- ISNUMBER(SEARCH({"Lookup","Master-Detail"}, $B101))) &gt; 0,$B101 &amp; "(" &amp; $E101 &amp; ")",IF(SUMPRODUCT(-- ISNUMBER(SEARCH({"Formula","Roll-Up Summary"}, $B101))) &gt; 0,$B101 &amp; " (" &amp; $E101 &amp; ")",IF(SUMPRODUCT(-- ISNUMBER(SEARCH({"Content","Currency","Number","Percent","Text","URL"}, $B101))) &gt; 0,$B101 &amp; "(" &amp; $C101 &amp; ")",$B101)))), "  ", TRIM(IF($S101 = "YES", "(External ID)", "") &amp; " " &amp; IF(SUMPRODUCT(-- ISNUMBER(SEARCH({"Unique","Unique Case Insensitive"}, $R101))) &gt; 0, "(" &amp; $R101 &amp; ")", ""))))</f>
        <v>na</v>
      </c>
      <c r="E101" s="7" t="s">
        <v>195</v>
      </c>
      <c r="F101" s="7" t="s">
        <v>195</v>
      </c>
      <c r="G101" s="7" t="s">
        <v>195</v>
      </c>
      <c r="H101" s="7" t="s">
        <v>195</v>
      </c>
      <c r="I101" s="7" t="s">
        <v>195</v>
      </c>
      <c r="J101" s="7" t="s">
        <v>195</v>
      </c>
      <c r="K101" s="7" t="s">
        <v>195</v>
      </c>
      <c r="L101" s="7" t="s">
        <v>195</v>
      </c>
      <c r="M101" s="7" t="s">
        <v>29</v>
      </c>
      <c r="N101" s="7" t="s">
        <v>29</v>
      </c>
      <c r="O101" s="7" t="s">
        <v>29</v>
      </c>
      <c r="P101" s="7" t="s">
        <v>29</v>
      </c>
      <c r="Q101" s="7" t="s">
        <v>29</v>
      </c>
      <c r="R101" s="7" t="s">
        <v>29</v>
      </c>
      <c r="S101" s="7" t="s">
        <v>29</v>
      </c>
    </row>
    <row r="102" spans="2:19">
      <c r="B102" s="7" t="s">
        <v>195</v>
      </c>
      <c r="C102" s="8" t="s">
        <v>195</v>
      </c>
      <c r="D102" s="5" t="str">
        <f>LRTRIM(CONCATENATE(IF(SUMPRODUCT(-- ISNUMBER(SEARCH({"Auto Number"}, $B102))) &gt; 0, $B102, IF(SUMPRODUCT(-- ISNUMBER(SEARCH({"Lookup","Master-Detail"}, $B102))) &gt; 0,$B102 &amp; "(" &amp; $E102 &amp; ")",IF(SUMPRODUCT(-- ISNUMBER(SEARCH({"Formula","Roll-Up Summary"}, $B102))) &gt; 0,$B102 &amp; " (" &amp; $E102 &amp; ")",IF(SUMPRODUCT(-- ISNUMBER(SEARCH({"Content","Currency","Number","Percent","Text","URL"}, $B102))) &gt; 0,$B102 &amp; "(" &amp; $C102 &amp; ")",$B102)))), "  ", TRIM(IF($S102 = "YES", "(External ID)", "") &amp; " " &amp; IF(SUMPRODUCT(-- ISNUMBER(SEARCH({"Unique","Unique Case Insensitive"}, $R102))) &gt; 0, "(" &amp; $R102 &amp; ")", ""))))</f>
        <v>na</v>
      </c>
      <c r="E102" s="7" t="s">
        <v>195</v>
      </c>
      <c r="F102" s="7" t="s">
        <v>195</v>
      </c>
      <c r="G102" s="7" t="s">
        <v>195</v>
      </c>
      <c r="H102" s="7" t="s">
        <v>195</v>
      </c>
      <c r="I102" s="7" t="s">
        <v>195</v>
      </c>
      <c r="J102" s="7" t="s">
        <v>195</v>
      </c>
      <c r="K102" s="7" t="s">
        <v>195</v>
      </c>
      <c r="L102" s="7" t="s">
        <v>195</v>
      </c>
      <c r="M102" s="7" t="s">
        <v>29</v>
      </c>
      <c r="N102" s="7" t="s">
        <v>29</v>
      </c>
      <c r="O102" s="7" t="s">
        <v>29</v>
      </c>
      <c r="P102" s="7" t="s">
        <v>29</v>
      </c>
      <c r="Q102" s="7" t="s">
        <v>29</v>
      </c>
      <c r="R102" s="7" t="s">
        <v>29</v>
      </c>
      <c r="S102" s="7" t="s">
        <v>29</v>
      </c>
    </row>
    <row r="103" spans="2:19">
      <c r="B103" s="7" t="s">
        <v>195</v>
      </c>
      <c r="C103" s="8" t="s">
        <v>195</v>
      </c>
      <c r="D103" s="5" t="str">
        <f>LRTRIM(CONCATENATE(IF(SUMPRODUCT(-- ISNUMBER(SEARCH({"Auto Number"}, $B103))) &gt; 0, $B103, IF(SUMPRODUCT(-- ISNUMBER(SEARCH({"Lookup","Master-Detail"}, $B103))) &gt; 0,$B103 &amp; "(" &amp; $E103 &amp; ")",IF(SUMPRODUCT(-- ISNUMBER(SEARCH({"Formula","Roll-Up Summary"}, $B103))) &gt; 0,$B103 &amp; " (" &amp; $E103 &amp; ")",IF(SUMPRODUCT(-- ISNUMBER(SEARCH({"Content","Currency","Number","Percent","Text","URL"}, $B103))) &gt; 0,$B103 &amp; "(" &amp; $C103 &amp; ")",$B103)))), "  ", TRIM(IF($S103 = "YES", "(External ID)", "") &amp; " " &amp; IF(SUMPRODUCT(-- ISNUMBER(SEARCH({"Unique","Unique Case Insensitive"}, $R103))) &gt; 0, "(" &amp; $R103 &amp; ")", ""))))</f>
        <v>na</v>
      </c>
      <c r="E103" s="7" t="s">
        <v>195</v>
      </c>
      <c r="F103" s="7" t="s">
        <v>195</v>
      </c>
      <c r="G103" s="7" t="s">
        <v>195</v>
      </c>
      <c r="H103" s="7" t="s">
        <v>195</v>
      </c>
      <c r="I103" s="7" t="s">
        <v>195</v>
      </c>
      <c r="J103" s="7" t="s">
        <v>195</v>
      </c>
      <c r="K103" s="7" t="s">
        <v>195</v>
      </c>
      <c r="L103" s="7" t="s">
        <v>195</v>
      </c>
      <c r="M103" s="7" t="s">
        <v>29</v>
      </c>
      <c r="N103" s="7" t="s">
        <v>29</v>
      </c>
      <c r="O103" s="7" t="s">
        <v>29</v>
      </c>
      <c r="P103" s="7" t="s">
        <v>29</v>
      </c>
      <c r="Q103" s="7" t="s">
        <v>29</v>
      </c>
      <c r="R103" s="7" t="s">
        <v>29</v>
      </c>
      <c r="S103" s="7" t="s">
        <v>29</v>
      </c>
    </row>
    <row r="104" spans="2:19">
      <c r="B104" s="7" t="s">
        <v>195</v>
      </c>
      <c r="C104" s="8" t="s">
        <v>195</v>
      </c>
      <c r="D104" s="5" t="str">
        <f>LRTRIM(CONCATENATE(IF(SUMPRODUCT(-- ISNUMBER(SEARCH({"Auto Number"}, $B104))) &gt; 0, $B104, IF(SUMPRODUCT(-- ISNUMBER(SEARCH({"Lookup","Master-Detail"}, $B104))) &gt; 0,$B104 &amp; "(" &amp; $E104 &amp; ")",IF(SUMPRODUCT(-- ISNUMBER(SEARCH({"Formula","Roll-Up Summary"}, $B104))) &gt; 0,$B104 &amp; " (" &amp; $E104 &amp; ")",IF(SUMPRODUCT(-- ISNUMBER(SEARCH({"Content","Currency","Number","Percent","Text","URL"}, $B104))) &gt; 0,$B104 &amp; "(" &amp; $C104 &amp; ")",$B104)))), "  ", TRIM(IF($S104 = "YES", "(External ID)", "") &amp; " " &amp; IF(SUMPRODUCT(-- ISNUMBER(SEARCH({"Unique","Unique Case Insensitive"}, $R104))) &gt; 0, "(" &amp; $R104 &amp; ")", ""))))</f>
        <v>na</v>
      </c>
      <c r="E104" s="7" t="s">
        <v>195</v>
      </c>
      <c r="F104" s="7" t="s">
        <v>195</v>
      </c>
      <c r="G104" s="7" t="s">
        <v>195</v>
      </c>
      <c r="H104" s="7" t="s">
        <v>195</v>
      </c>
      <c r="I104" s="7" t="s">
        <v>195</v>
      </c>
      <c r="J104" s="7" t="s">
        <v>195</v>
      </c>
      <c r="K104" s="7" t="s">
        <v>195</v>
      </c>
      <c r="L104" s="7" t="s">
        <v>195</v>
      </c>
      <c r="M104" s="7" t="s">
        <v>29</v>
      </c>
      <c r="N104" s="7" t="s">
        <v>29</v>
      </c>
      <c r="O104" s="7" t="s">
        <v>29</v>
      </c>
      <c r="P104" s="7" t="s">
        <v>29</v>
      </c>
      <c r="Q104" s="7" t="s">
        <v>29</v>
      </c>
      <c r="R104" s="7" t="s">
        <v>29</v>
      </c>
      <c r="S104" s="7" t="s">
        <v>29</v>
      </c>
    </row>
    <row r="105" spans="2:19">
      <c r="B105" s="7" t="s">
        <v>195</v>
      </c>
      <c r="C105" s="8" t="s">
        <v>195</v>
      </c>
      <c r="D105" s="5" t="str">
        <f>LRTRIM(CONCATENATE(IF(SUMPRODUCT(-- ISNUMBER(SEARCH({"Auto Number"}, $B105))) &gt; 0, $B105, IF(SUMPRODUCT(-- ISNUMBER(SEARCH({"Lookup","Master-Detail"}, $B105))) &gt; 0,$B105 &amp; "(" &amp; $E105 &amp; ")",IF(SUMPRODUCT(-- ISNUMBER(SEARCH({"Formula","Roll-Up Summary"}, $B105))) &gt; 0,$B105 &amp; " (" &amp; $E105 &amp; ")",IF(SUMPRODUCT(-- ISNUMBER(SEARCH({"Content","Currency","Number","Percent","Text","URL"}, $B105))) &gt; 0,$B105 &amp; "(" &amp; $C105 &amp; ")",$B105)))), "  ", TRIM(IF($S105 = "YES", "(External ID)", "") &amp; " " &amp; IF(SUMPRODUCT(-- ISNUMBER(SEARCH({"Unique","Unique Case Insensitive"}, $R105))) &gt; 0, "(" &amp; $R105 &amp; ")", ""))))</f>
        <v>na</v>
      </c>
      <c r="E105" s="7" t="s">
        <v>195</v>
      </c>
      <c r="F105" s="7" t="s">
        <v>195</v>
      </c>
      <c r="G105" s="7" t="s">
        <v>195</v>
      </c>
      <c r="H105" s="7" t="s">
        <v>195</v>
      </c>
      <c r="I105" s="7" t="s">
        <v>195</v>
      </c>
      <c r="J105" s="7" t="s">
        <v>195</v>
      </c>
      <c r="K105" s="7" t="s">
        <v>195</v>
      </c>
      <c r="L105" s="7" t="s">
        <v>195</v>
      </c>
      <c r="M105" s="7" t="s">
        <v>29</v>
      </c>
      <c r="N105" s="7" t="s">
        <v>29</v>
      </c>
      <c r="O105" s="7" t="s">
        <v>29</v>
      </c>
      <c r="P105" s="7" t="s">
        <v>29</v>
      </c>
      <c r="Q105" s="7" t="s">
        <v>29</v>
      </c>
      <c r="R105" s="7" t="s">
        <v>29</v>
      </c>
      <c r="S105" s="7" t="s">
        <v>29</v>
      </c>
    </row>
    <row r="106" spans="2:19">
      <c r="B106" s="7" t="s">
        <v>195</v>
      </c>
      <c r="C106" s="8" t="s">
        <v>195</v>
      </c>
      <c r="D106" s="5" t="str">
        <f>LRTRIM(CONCATENATE(IF(SUMPRODUCT(-- ISNUMBER(SEARCH({"Auto Number"}, $B106))) &gt; 0, $B106, IF(SUMPRODUCT(-- ISNUMBER(SEARCH({"Lookup","Master-Detail"}, $B106))) &gt; 0,$B106 &amp; "(" &amp; $E106 &amp; ")",IF(SUMPRODUCT(-- ISNUMBER(SEARCH({"Formula","Roll-Up Summary"}, $B106))) &gt; 0,$B106 &amp; " (" &amp; $E106 &amp; ")",IF(SUMPRODUCT(-- ISNUMBER(SEARCH({"Content","Currency","Number","Percent","Text","URL"}, $B106))) &gt; 0,$B106 &amp; "(" &amp; $C106 &amp; ")",$B106)))), "  ", TRIM(IF($S106 = "YES", "(External ID)", "") &amp; " " &amp; IF(SUMPRODUCT(-- ISNUMBER(SEARCH({"Unique","Unique Case Insensitive"}, $R106))) &gt; 0, "(" &amp; $R106 &amp; ")", ""))))</f>
        <v>na</v>
      </c>
      <c r="E106" s="7" t="s">
        <v>195</v>
      </c>
      <c r="F106" s="7" t="s">
        <v>195</v>
      </c>
      <c r="G106" s="7" t="s">
        <v>195</v>
      </c>
      <c r="H106" s="7" t="s">
        <v>195</v>
      </c>
      <c r="I106" s="7" t="s">
        <v>195</v>
      </c>
      <c r="J106" s="7" t="s">
        <v>195</v>
      </c>
      <c r="K106" s="7" t="s">
        <v>195</v>
      </c>
      <c r="L106" s="7" t="s">
        <v>195</v>
      </c>
      <c r="M106" s="7" t="s">
        <v>29</v>
      </c>
      <c r="N106" s="7" t="s">
        <v>29</v>
      </c>
      <c r="O106" s="7" t="s">
        <v>29</v>
      </c>
      <c r="P106" s="7" t="s">
        <v>29</v>
      </c>
      <c r="Q106" s="7" t="s">
        <v>29</v>
      </c>
      <c r="R106" s="7" t="s">
        <v>29</v>
      </c>
      <c r="S106" s="7" t="s">
        <v>29</v>
      </c>
    </row>
    <row r="107" spans="2:19">
      <c r="B107" s="7" t="s">
        <v>195</v>
      </c>
      <c r="C107" s="8" t="s">
        <v>195</v>
      </c>
      <c r="D107" s="5" t="str">
        <f>LRTRIM(CONCATENATE(IF(SUMPRODUCT(-- ISNUMBER(SEARCH({"Auto Number"}, $B107))) &gt; 0, $B107, IF(SUMPRODUCT(-- ISNUMBER(SEARCH({"Lookup","Master-Detail"}, $B107))) &gt; 0,$B107 &amp; "(" &amp; $E107 &amp; ")",IF(SUMPRODUCT(-- ISNUMBER(SEARCH({"Formula","Roll-Up Summary"}, $B107))) &gt; 0,$B107 &amp; " (" &amp; $E107 &amp; ")",IF(SUMPRODUCT(-- ISNUMBER(SEARCH({"Content","Currency","Number","Percent","Text","URL"}, $B107))) &gt; 0,$B107 &amp; "(" &amp; $C107 &amp; ")",$B107)))), "  ", TRIM(IF($S107 = "YES", "(External ID)", "") &amp; " " &amp; IF(SUMPRODUCT(-- ISNUMBER(SEARCH({"Unique","Unique Case Insensitive"}, $R107))) &gt; 0, "(" &amp; $R107 &amp; ")", ""))))</f>
        <v>na</v>
      </c>
      <c r="E107" s="7" t="s">
        <v>195</v>
      </c>
      <c r="F107" s="7" t="s">
        <v>195</v>
      </c>
      <c r="G107" s="7" t="s">
        <v>195</v>
      </c>
      <c r="H107" s="7" t="s">
        <v>195</v>
      </c>
      <c r="I107" s="7" t="s">
        <v>195</v>
      </c>
      <c r="J107" s="7" t="s">
        <v>195</v>
      </c>
      <c r="K107" s="7" t="s">
        <v>195</v>
      </c>
      <c r="L107" s="7" t="s">
        <v>195</v>
      </c>
      <c r="M107" s="7" t="s">
        <v>29</v>
      </c>
      <c r="N107" s="7" t="s">
        <v>29</v>
      </c>
      <c r="O107" s="7" t="s">
        <v>29</v>
      </c>
      <c r="P107" s="7" t="s">
        <v>29</v>
      </c>
      <c r="Q107" s="7" t="s">
        <v>29</v>
      </c>
      <c r="R107" s="7" t="s">
        <v>29</v>
      </c>
      <c r="S107" s="7" t="s">
        <v>29</v>
      </c>
    </row>
    <row r="108" spans="2:19">
      <c r="B108" s="7" t="s">
        <v>195</v>
      </c>
      <c r="C108" s="8" t="s">
        <v>195</v>
      </c>
      <c r="D108" s="5" t="str">
        <f>LRTRIM(CONCATENATE(IF(SUMPRODUCT(-- ISNUMBER(SEARCH({"Auto Number"}, $B108))) &gt; 0, $B108, IF(SUMPRODUCT(-- ISNUMBER(SEARCH({"Lookup","Master-Detail"}, $B108))) &gt; 0,$B108 &amp; "(" &amp; $E108 &amp; ")",IF(SUMPRODUCT(-- ISNUMBER(SEARCH({"Formula","Roll-Up Summary"}, $B108))) &gt; 0,$B108 &amp; " (" &amp; $E108 &amp; ")",IF(SUMPRODUCT(-- ISNUMBER(SEARCH({"Content","Currency","Number","Percent","Text","URL"}, $B108))) &gt; 0,$B108 &amp; "(" &amp; $C108 &amp; ")",$B108)))), "  ", TRIM(IF($S108 = "YES", "(External ID)", "") &amp; " " &amp; IF(SUMPRODUCT(-- ISNUMBER(SEARCH({"Unique","Unique Case Insensitive"}, $R108))) &gt; 0, "(" &amp; $R108 &amp; ")", ""))))</f>
        <v>na</v>
      </c>
      <c r="E108" s="7" t="s">
        <v>195</v>
      </c>
      <c r="F108" s="7" t="s">
        <v>195</v>
      </c>
      <c r="G108" s="7" t="s">
        <v>195</v>
      </c>
      <c r="H108" s="7" t="s">
        <v>195</v>
      </c>
      <c r="I108" s="7" t="s">
        <v>195</v>
      </c>
      <c r="J108" s="7" t="s">
        <v>195</v>
      </c>
      <c r="K108" s="7" t="s">
        <v>195</v>
      </c>
      <c r="L108" s="7" t="s">
        <v>195</v>
      </c>
      <c r="M108" s="7" t="s">
        <v>29</v>
      </c>
      <c r="N108" s="7" t="s">
        <v>29</v>
      </c>
      <c r="O108" s="7" t="s">
        <v>29</v>
      </c>
      <c r="P108" s="7" t="s">
        <v>29</v>
      </c>
      <c r="Q108" s="7" t="s">
        <v>29</v>
      </c>
      <c r="R108" s="7" t="s">
        <v>29</v>
      </c>
      <c r="S108" s="7" t="s">
        <v>29</v>
      </c>
    </row>
    <row r="109" spans="2:19">
      <c r="B109" s="7" t="s">
        <v>195</v>
      </c>
      <c r="C109" s="8" t="s">
        <v>195</v>
      </c>
      <c r="D109" s="5" t="str">
        <f>LRTRIM(CONCATENATE(IF(SUMPRODUCT(-- ISNUMBER(SEARCH({"Auto Number"}, $B109))) &gt; 0, $B109, IF(SUMPRODUCT(-- ISNUMBER(SEARCH({"Lookup","Master-Detail"}, $B109))) &gt; 0,$B109 &amp; "(" &amp; $E109 &amp; ")",IF(SUMPRODUCT(-- ISNUMBER(SEARCH({"Formula","Roll-Up Summary"}, $B109))) &gt; 0,$B109 &amp; " (" &amp; $E109 &amp; ")",IF(SUMPRODUCT(-- ISNUMBER(SEARCH({"Content","Currency","Number","Percent","Text","URL"}, $B109))) &gt; 0,$B109 &amp; "(" &amp; $C109 &amp; ")",$B109)))), "  ", TRIM(IF($S109 = "YES", "(External ID)", "") &amp; " " &amp; IF(SUMPRODUCT(-- ISNUMBER(SEARCH({"Unique","Unique Case Insensitive"}, $R109))) &gt; 0, "(" &amp; $R109 &amp; ")", ""))))</f>
        <v>na</v>
      </c>
      <c r="E109" s="7" t="s">
        <v>195</v>
      </c>
      <c r="F109" s="7" t="s">
        <v>195</v>
      </c>
      <c r="G109" s="7" t="s">
        <v>195</v>
      </c>
      <c r="H109" s="7" t="s">
        <v>195</v>
      </c>
      <c r="I109" s="7" t="s">
        <v>195</v>
      </c>
      <c r="J109" s="7" t="s">
        <v>195</v>
      </c>
      <c r="K109" s="7" t="s">
        <v>195</v>
      </c>
      <c r="L109" s="7" t="s">
        <v>195</v>
      </c>
      <c r="M109" s="7" t="s">
        <v>29</v>
      </c>
      <c r="N109" s="7" t="s">
        <v>29</v>
      </c>
      <c r="O109" s="7" t="s">
        <v>29</v>
      </c>
      <c r="P109" s="7" t="s">
        <v>29</v>
      </c>
      <c r="Q109" s="7" t="s">
        <v>29</v>
      </c>
      <c r="R109" s="7" t="s">
        <v>29</v>
      </c>
      <c r="S109" s="7" t="s">
        <v>29</v>
      </c>
    </row>
    <row r="110" spans="2:19">
      <c r="B110" s="7" t="s">
        <v>195</v>
      </c>
      <c r="C110" s="8" t="s">
        <v>195</v>
      </c>
      <c r="D110" s="5" t="str">
        <f>LRTRIM(CONCATENATE(IF(SUMPRODUCT(-- ISNUMBER(SEARCH({"Auto Number"}, $B110))) &gt; 0, $B110, IF(SUMPRODUCT(-- ISNUMBER(SEARCH({"Lookup","Master-Detail"}, $B110))) &gt; 0,$B110 &amp; "(" &amp; $E110 &amp; ")",IF(SUMPRODUCT(-- ISNUMBER(SEARCH({"Formula","Roll-Up Summary"}, $B110))) &gt; 0,$B110 &amp; " (" &amp; $E110 &amp; ")",IF(SUMPRODUCT(-- ISNUMBER(SEARCH({"Content","Currency","Number","Percent","Text","URL"}, $B110))) &gt; 0,$B110 &amp; "(" &amp; $C110 &amp; ")",$B110)))), "  ", TRIM(IF($S110 = "YES", "(External ID)", "") &amp; " " &amp; IF(SUMPRODUCT(-- ISNUMBER(SEARCH({"Unique","Unique Case Insensitive"}, $R110))) &gt; 0, "(" &amp; $R110 &amp; ")", ""))))</f>
        <v>na</v>
      </c>
      <c r="E110" s="7" t="s">
        <v>195</v>
      </c>
      <c r="F110" s="7" t="s">
        <v>195</v>
      </c>
      <c r="G110" s="7" t="s">
        <v>195</v>
      </c>
      <c r="H110" s="7" t="s">
        <v>195</v>
      </c>
      <c r="I110" s="7" t="s">
        <v>195</v>
      </c>
      <c r="J110" s="7" t="s">
        <v>195</v>
      </c>
      <c r="K110" s="7" t="s">
        <v>195</v>
      </c>
      <c r="L110" s="7" t="s">
        <v>195</v>
      </c>
      <c r="M110" s="7" t="s">
        <v>29</v>
      </c>
      <c r="N110" s="7" t="s">
        <v>29</v>
      </c>
      <c r="O110" s="7" t="s">
        <v>29</v>
      </c>
      <c r="P110" s="7" t="s">
        <v>29</v>
      </c>
      <c r="Q110" s="7" t="s">
        <v>29</v>
      </c>
      <c r="R110" s="7" t="s">
        <v>29</v>
      </c>
      <c r="S110" s="7" t="s">
        <v>29</v>
      </c>
    </row>
    <row r="111" spans="2:19">
      <c r="B111" s="7" t="s">
        <v>195</v>
      </c>
      <c r="C111" s="8" t="s">
        <v>195</v>
      </c>
      <c r="D111" s="5" t="str">
        <f>LRTRIM(CONCATENATE(IF(SUMPRODUCT(-- ISNUMBER(SEARCH({"Auto Number"}, $B111))) &gt; 0, $B111, IF(SUMPRODUCT(-- ISNUMBER(SEARCH({"Lookup","Master-Detail"}, $B111))) &gt; 0,$B111 &amp; "(" &amp; $E111 &amp; ")",IF(SUMPRODUCT(-- ISNUMBER(SEARCH({"Formula","Roll-Up Summary"}, $B111))) &gt; 0,$B111 &amp; " (" &amp; $E111 &amp; ")",IF(SUMPRODUCT(-- ISNUMBER(SEARCH({"Content","Currency","Number","Percent","Text","URL"}, $B111))) &gt; 0,$B111 &amp; "(" &amp; $C111 &amp; ")",$B111)))), "  ", TRIM(IF($S111 = "YES", "(External ID)", "") &amp; " " &amp; IF(SUMPRODUCT(-- ISNUMBER(SEARCH({"Unique","Unique Case Insensitive"}, $R111))) &gt; 0, "(" &amp; $R111 &amp; ")", ""))))</f>
        <v>na</v>
      </c>
      <c r="E111" s="7" t="s">
        <v>195</v>
      </c>
      <c r="F111" s="7" t="s">
        <v>195</v>
      </c>
      <c r="G111" s="7" t="s">
        <v>195</v>
      </c>
      <c r="H111" s="7" t="s">
        <v>195</v>
      </c>
      <c r="I111" s="7" t="s">
        <v>195</v>
      </c>
      <c r="J111" s="7" t="s">
        <v>195</v>
      </c>
      <c r="K111" s="7" t="s">
        <v>195</v>
      </c>
      <c r="L111" s="7" t="s">
        <v>195</v>
      </c>
      <c r="M111" s="7" t="s">
        <v>29</v>
      </c>
      <c r="N111" s="7" t="s">
        <v>29</v>
      </c>
      <c r="O111" s="7" t="s">
        <v>29</v>
      </c>
      <c r="P111" s="7" t="s">
        <v>29</v>
      </c>
      <c r="Q111" s="7" t="s">
        <v>29</v>
      </c>
      <c r="R111" s="7" t="s">
        <v>29</v>
      </c>
      <c r="S111" s="7" t="s">
        <v>29</v>
      </c>
    </row>
    <row r="112" spans="2:19">
      <c r="B112" s="7" t="s">
        <v>195</v>
      </c>
      <c r="C112" s="8" t="s">
        <v>195</v>
      </c>
      <c r="D112" s="5" t="str">
        <f>LRTRIM(CONCATENATE(IF(SUMPRODUCT(-- ISNUMBER(SEARCH({"Auto Number"}, $B112))) &gt; 0, $B112, IF(SUMPRODUCT(-- ISNUMBER(SEARCH({"Lookup","Master-Detail"}, $B112))) &gt; 0,$B112 &amp; "(" &amp; $E112 &amp; ")",IF(SUMPRODUCT(-- ISNUMBER(SEARCH({"Formula","Roll-Up Summary"}, $B112))) &gt; 0,$B112 &amp; " (" &amp; $E112 &amp; ")",IF(SUMPRODUCT(-- ISNUMBER(SEARCH({"Content","Currency","Number","Percent","Text","URL"}, $B112))) &gt; 0,$B112 &amp; "(" &amp; $C112 &amp; ")",$B112)))), "  ", TRIM(IF($S112 = "YES", "(External ID)", "") &amp; " " &amp; IF(SUMPRODUCT(-- ISNUMBER(SEARCH({"Unique","Unique Case Insensitive"}, $R112))) &gt; 0, "(" &amp; $R112 &amp; ")", ""))))</f>
        <v>na</v>
      </c>
      <c r="E112" s="7" t="s">
        <v>195</v>
      </c>
      <c r="F112" s="7" t="s">
        <v>195</v>
      </c>
      <c r="G112" s="7" t="s">
        <v>195</v>
      </c>
      <c r="H112" s="7" t="s">
        <v>195</v>
      </c>
      <c r="I112" s="7" t="s">
        <v>195</v>
      </c>
      <c r="J112" s="7" t="s">
        <v>195</v>
      </c>
      <c r="K112" s="7" t="s">
        <v>195</v>
      </c>
      <c r="L112" s="7" t="s">
        <v>195</v>
      </c>
      <c r="M112" s="7" t="s">
        <v>29</v>
      </c>
      <c r="N112" s="7" t="s">
        <v>29</v>
      </c>
      <c r="O112" s="7" t="s">
        <v>29</v>
      </c>
      <c r="P112" s="7" t="s">
        <v>29</v>
      </c>
      <c r="Q112" s="7" t="s">
        <v>29</v>
      </c>
      <c r="R112" s="7" t="s">
        <v>29</v>
      </c>
      <c r="S112" s="7" t="s">
        <v>29</v>
      </c>
    </row>
    <row r="113" spans="2:19">
      <c r="B113" s="7" t="s">
        <v>195</v>
      </c>
      <c r="C113" s="8" t="s">
        <v>195</v>
      </c>
      <c r="D113" s="5" t="str">
        <f>LRTRIM(CONCATENATE(IF(SUMPRODUCT(-- ISNUMBER(SEARCH({"Auto Number"}, $B113))) &gt; 0, $B113, IF(SUMPRODUCT(-- ISNUMBER(SEARCH({"Lookup","Master-Detail"}, $B113))) &gt; 0,$B113 &amp; "(" &amp; $E113 &amp; ")",IF(SUMPRODUCT(-- ISNUMBER(SEARCH({"Formula","Roll-Up Summary"}, $B113))) &gt; 0,$B113 &amp; " (" &amp; $E113 &amp; ")",IF(SUMPRODUCT(-- ISNUMBER(SEARCH({"Content","Currency","Number","Percent","Text","URL"}, $B113))) &gt; 0,$B113 &amp; "(" &amp; $C113 &amp; ")",$B113)))), "  ", TRIM(IF($S113 = "YES", "(External ID)", "") &amp; " " &amp; IF(SUMPRODUCT(-- ISNUMBER(SEARCH({"Unique","Unique Case Insensitive"}, $R113))) &gt; 0, "(" &amp; $R113 &amp; ")", ""))))</f>
        <v>na</v>
      </c>
      <c r="E113" s="7" t="s">
        <v>195</v>
      </c>
      <c r="F113" s="7" t="s">
        <v>195</v>
      </c>
      <c r="G113" s="7" t="s">
        <v>195</v>
      </c>
      <c r="H113" s="7" t="s">
        <v>195</v>
      </c>
      <c r="I113" s="7" t="s">
        <v>195</v>
      </c>
      <c r="J113" s="7" t="s">
        <v>195</v>
      </c>
      <c r="K113" s="7" t="s">
        <v>195</v>
      </c>
      <c r="L113" s="7" t="s">
        <v>195</v>
      </c>
      <c r="M113" s="7" t="s">
        <v>29</v>
      </c>
      <c r="N113" s="7" t="s">
        <v>29</v>
      </c>
      <c r="O113" s="7" t="s">
        <v>29</v>
      </c>
      <c r="P113" s="7" t="s">
        <v>29</v>
      </c>
      <c r="Q113" s="7" t="s">
        <v>29</v>
      </c>
      <c r="R113" s="7" t="s">
        <v>29</v>
      </c>
      <c r="S113" s="7" t="s">
        <v>29</v>
      </c>
    </row>
    <row r="114" spans="2:19">
      <c r="B114" s="7" t="s">
        <v>195</v>
      </c>
      <c r="C114" s="8" t="s">
        <v>195</v>
      </c>
      <c r="D114" s="5" t="str">
        <f>LRTRIM(CONCATENATE(IF(SUMPRODUCT(-- ISNUMBER(SEARCH({"Auto Number"}, $B114))) &gt; 0, $B114, IF(SUMPRODUCT(-- ISNUMBER(SEARCH({"Lookup","Master-Detail"}, $B114))) &gt; 0,$B114 &amp; "(" &amp; $E114 &amp; ")",IF(SUMPRODUCT(-- ISNUMBER(SEARCH({"Formula","Roll-Up Summary"}, $B114))) &gt; 0,$B114 &amp; " (" &amp; $E114 &amp; ")",IF(SUMPRODUCT(-- ISNUMBER(SEARCH({"Content","Currency","Number","Percent","Text","URL"}, $B114))) &gt; 0,$B114 &amp; "(" &amp; $C114 &amp; ")",$B114)))), "  ", TRIM(IF($S114 = "YES", "(External ID)", "") &amp; " " &amp; IF(SUMPRODUCT(-- ISNUMBER(SEARCH({"Unique","Unique Case Insensitive"}, $R114))) &gt; 0, "(" &amp; $R114 &amp; ")", ""))))</f>
        <v>na</v>
      </c>
      <c r="E114" s="7" t="s">
        <v>195</v>
      </c>
      <c r="F114" s="7" t="s">
        <v>195</v>
      </c>
      <c r="G114" s="7" t="s">
        <v>195</v>
      </c>
      <c r="H114" s="7" t="s">
        <v>195</v>
      </c>
      <c r="I114" s="7" t="s">
        <v>195</v>
      </c>
      <c r="J114" s="7" t="s">
        <v>195</v>
      </c>
      <c r="K114" s="7" t="s">
        <v>195</v>
      </c>
      <c r="L114" s="7" t="s">
        <v>195</v>
      </c>
      <c r="M114" s="7" t="s">
        <v>29</v>
      </c>
      <c r="N114" s="7" t="s">
        <v>29</v>
      </c>
      <c r="O114" s="7" t="s">
        <v>29</v>
      </c>
      <c r="P114" s="7" t="s">
        <v>29</v>
      </c>
      <c r="Q114" s="7" t="s">
        <v>29</v>
      </c>
      <c r="R114" s="7" t="s">
        <v>29</v>
      </c>
      <c r="S114" s="7" t="s">
        <v>29</v>
      </c>
    </row>
    <row r="115" spans="2:19">
      <c r="B115" s="7" t="s">
        <v>195</v>
      </c>
      <c r="C115" s="8" t="s">
        <v>195</v>
      </c>
      <c r="D115" s="5" t="str">
        <f>LRTRIM(CONCATENATE(IF(SUMPRODUCT(-- ISNUMBER(SEARCH({"Auto Number"}, $B115))) &gt; 0, $B115, IF(SUMPRODUCT(-- ISNUMBER(SEARCH({"Lookup","Master-Detail"}, $B115))) &gt; 0,$B115 &amp; "(" &amp; $E115 &amp; ")",IF(SUMPRODUCT(-- ISNUMBER(SEARCH({"Formula","Roll-Up Summary"}, $B115))) &gt; 0,$B115 &amp; " (" &amp; $E115 &amp; ")",IF(SUMPRODUCT(-- ISNUMBER(SEARCH({"Content","Currency","Number","Percent","Text","URL"}, $B115))) &gt; 0,$B115 &amp; "(" &amp; $C115 &amp; ")",$B115)))), "  ", TRIM(IF($S115 = "YES", "(External ID)", "") &amp; " " &amp; IF(SUMPRODUCT(-- ISNUMBER(SEARCH({"Unique","Unique Case Insensitive"}, $R115))) &gt; 0, "(" &amp; $R115 &amp; ")", ""))))</f>
        <v>na</v>
      </c>
      <c r="E115" s="7" t="s">
        <v>195</v>
      </c>
      <c r="F115" s="7" t="s">
        <v>195</v>
      </c>
      <c r="G115" s="7" t="s">
        <v>195</v>
      </c>
      <c r="H115" s="7" t="s">
        <v>195</v>
      </c>
      <c r="I115" s="7" t="s">
        <v>195</v>
      </c>
      <c r="J115" s="7" t="s">
        <v>195</v>
      </c>
      <c r="K115" s="7" t="s">
        <v>195</v>
      </c>
      <c r="L115" s="7" t="s">
        <v>195</v>
      </c>
      <c r="M115" s="7" t="s">
        <v>29</v>
      </c>
      <c r="N115" s="7" t="s">
        <v>29</v>
      </c>
      <c r="O115" s="7" t="s">
        <v>29</v>
      </c>
      <c r="P115" s="7" t="s">
        <v>29</v>
      </c>
      <c r="Q115" s="7" t="s">
        <v>29</v>
      </c>
      <c r="R115" s="7" t="s">
        <v>29</v>
      </c>
      <c r="S115" s="7" t="s">
        <v>29</v>
      </c>
    </row>
    <row r="116" spans="2:19">
      <c r="B116" s="7" t="s">
        <v>195</v>
      </c>
      <c r="C116" s="8" t="s">
        <v>195</v>
      </c>
      <c r="D116" s="5" t="str">
        <f>LRTRIM(CONCATENATE(IF(SUMPRODUCT(-- ISNUMBER(SEARCH({"Auto Number"}, $B116))) &gt; 0, $B116, IF(SUMPRODUCT(-- ISNUMBER(SEARCH({"Lookup","Master-Detail"}, $B116))) &gt; 0,$B116 &amp; "(" &amp; $E116 &amp; ")",IF(SUMPRODUCT(-- ISNUMBER(SEARCH({"Formula","Roll-Up Summary"}, $B116))) &gt; 0,$B116 &amp; " (" &amp; $E116 &amp; ")",IF(SUMPRODUCT(-- ISNUMBER(SEARCH({"Content","Currency","Number","Percent","Text","URL"}, $B116))) &gt; 0,$B116 &amp; "(" &amp; $C116 &amp; ")",$B116)))), "  ", TRIM(IF($S116 = "YES", "(External ID)", "") &amp; " " &amp; IF(SUMPRODUCT(-- ISNUMBER(SEARCH({"Unique","Unique Case Insensitive"}, $R116))) &gt; 0, "(" &amp; $R116 &amp; ")", ""))))</f>
        <v>na</v>
      </c>
      <c r="E116" s="7" t="s">
        <v>195</v>
      </c>
      <c r="F116" s="7" t="s">
        <v>195</v>
      </c>
      <c r="G116" s="7" t="s">
        <v>195</v>
      </c>
      <c r="H116" s="7" t="s">
        <v>195</v>
      </c>
      <c r="I116" s="7" t="s">
        <v>195</v>
      </c>
      <c r="J116" s="7" t="s">
        <v>195</v>
      </c>
      <c r="K116" s="7" t="s">
        <v>195</v>
      </c>
      <c r="L116" s="7" t="s">
        <v>195</v>
      </c>
      <c r="M116" s="7" t="s">
        <v>29</v>
      </c>
      <c r="N116" s="7" t="s">
        <v>29</v>
      </c>
      <c r="O116" s="7" t="s">
        <v>29</v>
      </c>
      <c r="P116" s="7" t="s">
        <v>29</v>
      </c>
      <c r="Q116" s="7" t="s">
        <v>29</v>
      </c>
      <c r="R116" s="7" t="s">
        <v>29</v>
      </c>
      <c r="S116" s="7" t="s">
        <v>29</v>
      </c>
    </row>
    <row r="117" spans="2:19">
      <c r="B117" s="7" t="s">
        <v>195</v>
      </c>
      <c r="C117" s="8" t="s">
        <v>195</v>
      </c>
      <c r="D117" s="5" t="str">
        <f>LRTRIM(CONCATENATE(IF(SUMPRODUCT(-- ISNUMBER(SEARCH({"Auto Number"}, $B117))) &gt; 0, $B117, IF(SUMPRODUCT(-- ISNUMBER(SEARCH({"Lookup","Master-Detail"}, $B117))) &gt; 0,$B117 &amp; "(" &amp; $E117 &amp; ")",IF(SUMPRODUCT(-- ISNUMBER(SEARCH({"Formula","Roll-Up Summary"}, $B117))) &gt; 0,$B117 &amp; " (" &amp; $E117 &amp; ")",IF(SUMPRODUCT(-- ISNUMBER(SEARCH({"Content","Currency","Number","Percent","Text","URL"}, $B117))) &gt; 0,$B117 &amp; "(" &amp; $C117 &amp; ")",$B117)))), "  ", TRIM(IF($S117 = "YES", "(External ID)", "") &amp; " " &amp; IF(SUMPRODUCT(-- ISNUMBER(SEARCH({"Unique","Unique Case Insensitive"}, $R117))) &gt; 0, "(" &amp; $R117 &amp; ")", ""))))</f>
        <v>na</v>
      </c>
      <c r="E117" s="7" t="s">
        <v>195</v>
      </c>
      <c r="F117" s="7" t="s">
        <v>195</v>
      </c>
      <c r="G117" s="7" t="s">
        <v>195</v>
      </c>
      <c r="H117" s="7" t="s">
        <v>195</v>
      </c>
      <c r="I117" s="7" t="s">
        <v>195</v>
      </c>
      <c r="J117" s="7" t="s">
        <v>195</v>
      </c>
      <c r="K117" s="7" t="s">
        <v>195</v>
      </c>
      <c r="L117" s="7" t="s">
        <v>195</v>
      </c>
      <c r="M117" s="7" t="s">
        <v>29</v>
      </c>
      <c r="N117" s="7" t="s">
        <v>29</v>
      </c>
      <c r="O117" s="7" t="s">
        <v>29</v>
      </c>
      <c r="P117" s="7" t="s">
        <v>29</v>
      </c>
      <c r="Q117" s="7" t="s">
        <v>29</v>
      </c>
      <c r="R117" s="7" t="s">
        <v>29</v>
      </c>
      <c r="S117" s="7" t="s">
        <v>29</v>
      </c>
    </row>
    <row r="118" spans="2:19">
      <c r="B118" s="7" t="s">
        <v>195</v>
      </c>
      <c r="C118" s="8" t="s">
        <v>195</v>
      </c>
      <c r="D118" s="5" t="str">
        <f>LRTRIM(CONCATENATE(IF(SUMPRODUCT(-- ISNUMBER(SEARCH({"Auto Number"}, $B118))) &gt; 0, $B118, IF(SUMPRODUCT(-- ISNUMBER(SEARCH({"Lookup","Master-Detail"}, $B118))) &gt; 0,$B118 &amp; "(" &amp; $E118 &amp; ")",IF(SUMPRODUCT(-- ISNUMBER(SEARCH({"Formula","Roll-Up Summary"}, $B118))) &gt; 0,$B118 &amp; " (" &amp; $E118 &amp; ")",IF(SUMPRODUCT(-- ISNUMBER(SEARCH({"Content","Currency","Number","Percent","Text","URL"}, $B118))) &gt; 0,$B118 &amp; "(" &amp; $C118 &amp; ")",$B118)))), "  ", TRIM(IF($S118 = "YES", "(External ID)", "") &amp; " " &amp; IF(SUMPRODUCT(-- ISNUMBER(SEARCH({"Unique","Unique Case Insensitive"}, $R118))) &gt; 0, "(" &amp; $R118 &amp; ")", ""))))</f>
        <v>na</v>
      </c>
      <c r="E118" s="7" t="s">
        <v>195</v>
      </c>
      <c r="F118" s="7" t="s">
        <v>195</v>
      </c>
      <c r="G118" s="7" t="s">
        <v>195</v>
      </c>
      <c r="H118" s="7" t="s">
        <v>195</v>
      </c>
      <c r="I118" s="7" t="s">
        <v>195</v>
      </c>
      <c r="J118" s="7" t="s">
        <v>195</v>
      </c>
      <c r="K118" s="7" t="s">
        <v>195</v>
      </c>
      <c r="L118" s="7" t="s">
        <v>195</v>
      </c>
      <c r="M118" s="7" t="s">
        <v>29</v>
      </c>
      <c r="N118" s="7" t="s">
        <v>29</v>
      </c>
      <c r="O118" s="7" t="s">
        <v>29</v>
      </c>
      <c r="P118" s="7" t="s">
        <v>29</v>
      </c>
      <c r="Q118" s="7" t="s">
        <v>29</v>
      </c>
      <c r="R118" s="7" t="s">
        <v>29</v>
      </c>
      <c r="S118" s="7" t="s">
        <v>29</v>
      </c>
    </row>
    <row r="119" spans="2:19">
      <c r="B119" s="7" t="s">
        <v>195</v>
      </c>
      <c r="C119" s="8" t="s">
        <v>195</v>
      </c>
      <c r="D119" s="5" t="str">
        <f>LRTRIM(CONCATENATE(IF(SUMPRODUCT(-- ISNUMBER(SEARCH({"Auto Number"}, $B119))) &gt; 0, $B119, IF(SUMPRODUCT(-- ISNUMBER(SEARCH({"Lookup","Master-Detail"}, $B119))) &gt; 0,$B119 &amp; "(" &amp; $E119 &amp; ")",IF(SUMPRODUCT(-- ISNUMBER(SEARCH({"Formula","Roll-Up Summary"}, $B119))) &gt; 0,$B119 &amp; " (" &amp; $E119 &amp; ")",IF(SUMPRODUCT(-- ISNUMBER(SEARCH({"Content","Currency","Number","Percent","Text","URL"}, $B119))) &gt; 0,$B119 &amp; "(" &amp; $C119 &amp; ")",$B119)))), "  ", TRIM(IF($S119 = "YES", "(External ID)", "") &amp; " " &amp; IF(SUMPRODUCT(-- ISNUMBER(SEARCH({"Unique","Unique Case Insensitive"}, $R119))) &gt; 0, "(" &amp; $R119 &amp; ")", ""))))</f>
        <v>na</v>
      </c>
      <c r="E119" s="7" t="s">
        <v>195</v>
      </c>
      <c r="F119" s="7" t="s">
        <v>195</v>
      </c>
      <c r="G119" s="7" t="s">
        <v>195</v>
      </c>
      <c r="H119" s="7" t="s">
        <v>195</v>
      </c>
      <c r="I119" s="7" t="s">
        <v>195</v>
      </c>
      <c r="J119" s="7" t="s">
        <v>195</v>
      </c>
      <c r="K119" s="7" t="s">
        <v>195</v>
      </c>
      <c r="L119" s="7" t="s">
        <v>195</v>
      </c>
      <c r="M119" s="7" t="s">
        <v>29</v>
      </c>
      <c r="N119" s="7" t="s">
        <v>29</v>
      </c>
      <c r="O119" s="7" t="s">
        <v>29</v>
      </c>
      <c r="P119" s="7" t="s">
        <v>29</v>
      </c>
      <c r="Q119" s="7" t="s">
        <v>29</v>
      </c>
      <c r="R119" s="7" t="s">
        <v>29</v>
      </c>
      <c r="S119" s="7" t="s">
        <v>29</v>
      </c>
    </row>
    <row r="120" spans="2:19">
      <c r="B120" s="7" t="s">
        <v>195</v>
      </c>
      <c r="C120" s="8" t="s">
        <v>195</v>
      </c>
      <c r="D120" s="5" t="str">
        <f>LRTRIM(CONCATENATE(IF(SUMPRODUCT(-- ISNUMBER(SEARCH({"Auto Number"}, $B120))) &gt; 0, $B120, IF(SUMPRODUCT(-- ISNUMBER(SEARCH({"Lookup","Master-Detail"}, $B120))) &gt; 0,$B120 &amp; "(" &amp; $E120 &amp; ")",IF(SUMPRODUCT(-- ISNUMBER(SEARCH({"Formula","Roll-Up Summary"}, $B120))) &gt; 0,$B120 &amp; " (" &amp; $E120 &amp; ")",IF(SUMPRODUCT(-- ISNUMBER(SEARCH({"Content","Currency","Number","Percent","Text","URL"}, $B120))) &gt; 0,$B120 &amp; "(" &amp; $C120 &amp; ")",$B120)))), "  ", TRIM(IF($S120 = "YES", "(External ID)", "") &amp; " " &amp; IF(SUMPRODUCT(-- ISNUMBER(SEARCH({"Unique","Unique Case Insensitive"}, $R120))) &gt; 0, "(" &amp; $R120 &amp; ")", ""))))</f>
        <v>na</v>
      </c>
      <c r="E120" s="7" t="s">
        <v>195</v>
      </c>
      <c r="F120" s="7" t="s">
        <v>195</v>
      </c>
      <c r="G120" s="7" t="s">
        <v>195</v>
      </c>
      <c r="H120" s="7" t="s">
        <v>195</v>
      </c>
      <c r="I120" s="7" t="s">
        <v>195</v>
      </c>
      <c r="J120" s="7" t="s">
        <v>195</v>
      </c>
      <c r="K120" s="7" t="s">
        <v>195</v>
      </c>
      <c r="L120" s="7" t="s">
        <v>195</v>
      </c>
      <c r="M120" s="7" t="s">
        <v>29</v>
      </c>
      <c r="N120" s="7" t="s">
        <v>29</v>
      </c>
      <c r="O120" s="7" t="s">
        <v>29</v>
      </c>
      <c r="P120" s="7" t="s">
        <v>29</v>
      </c>
      <c r="Q120" s="7" t="s">
        <v>29</v>
      </c>
      <c r="R120" s="7" t="s">
        <v>29</v>
      </c>
      <c r="S120" s="7" t="s">
        <v>29</v>
      </c>
    </row>
    <row r="121" spans="2:19">
      <c r="B121" s="7" t="s">
        <v>195</v>
      </c>
      <c r="C121" s="8" t="s">
        <v>195</v>
      </c>
      <c r="D121" s="5" t="str">
        <f>LRTRIM(CONCATENATE(IF(SUMPRODUCT(-- ISNUMBER(SEARCH({"Auto Number"}, $B121))) &gt; 0, $B121, IF(SUMPRODUCT(-- ISNUMBER(SEARCH({"Lookup","Master-Detail"}, $B121))) &gt; 0,$B121 &amp; "(" &amp; $E121 &amp; ")",IF(SUMPRODUCT(-- ISNUMBER(SEARCH({"Formula","Roll-Up Summary"}, $B121))) &gt; 0,$B121 &amp; " (" &amp; $E121 &amp; ")",IF(SUMPRODUCT(-- ISNUMBER(SEARCH({"Content","Currency","Number","Percent","Text","URL"}, $B121))) &gt; 0,$B121 &amp; "(" &amp; $C121 &amp; ")",$B121)))), "  ", TRIM(IF($S121 = "YES", "(External ID)", "") &amp; " " &amp; IF(SUMPRODUCT(-- ISNUMBER(SEARCH({"Unique","Unique Case Insensitive"}, $R121))) &gt; 0, "(" &amp; $R121 &amp; ")", ""))))</f>
        <v>na</v>
      </c>
      <c r="E121" s="7" t="s">
        <v>195</v>
      </c>
      <c r="F121" s="7" t="s">
        <v>195</v>
      </c>
      <c r="G121" s="7" t="s">
        <v>195</v>
      </c>
      <c r="H121" s="7" t="s">
        <v>195</v>
      </c>
      <c r="I121" s="7" t="s">
        <v>195</v>
      </c>
      <c r="J121" s="7" t="s">
        <v>195</v>
      </c>
      <c r="K121" s="7" t="s">
        <v>195</v>
      </c>
      <c r="L121" s="7" t="s">
        <v>195</v>
      </c>
      <c r="M121" s="7" t="s">
        <v>29</v>
      </c>
      <c r="N121" s="7" t="s">
        <v>29</v>
      </c>
      <c r="O121" s="7" t="s">
        <v>29</v>
      </c>
      <c r="P121" s="7" t="s">
        <v>29</v>
      </c>
      <c r="Q121" s="7" t="s">
        <v>29</v>
      </c>
      <c r="R121" s="7" t="s">
        <v>29</v>
      </c>
      <c r="S121" s="7" t="s">
        <v>29</v>
      </c>
    </row>
    <row r="122" spans="2:19">
      <c r="B122" s="7" t="s">
        <v>195</v>
      </c>
      <c r="C122" s="8" t="s">
        <v>195</v>
      </c>
      <c r="D122" s="5" t="str">
        <f>LRTRIM(CONCATENATE(IF(SUMPRODUCT(-- ISNUMBER(SEARCH({"Auto Number"}, $B122))) &gt; 0, $B122, IF(SUMPRODUCT(-- ISNUMBER(SEARCH({"Lookup","Master-Detail"}, $B122))) &gt; 0,$B122 &amp; "(" &amp; $E122 &amp; ")",IF(SUMPRODUCT(-- ISNUMBER(SEARCH({"Formula","Roll-Up Summary"}, $B122))) &gt; 0,$B122 &amp; " (" &amp; $E122 &amp; ")",IF(SUMPRODUCT(-- ISNUMBER(SEARCH({"Content","Currency","Number","Percent","Text","URL"}, $B122))) &gt; 0,$B122 &amp; "(" &amp; $C122 &amp; ")",$B122)))), "  ", TRIM(IF($S122 = "YES", "(External ID)", "") &amp; " " &amp; IF(SUMPRODUCT(-- ISNUMBER(SEARCH({"Unique","Unique Case Insensitive"}, $R122))) &gt; 0, "(" &amp; $R122 &amp; ")", ""))))</f>
        <v>na</v>
      </c>
      <c r="E122" s="7" t="s">
        <v>195</v>
      </c>
      <c r="F122" s="7" t="s">
        <v>195</v>
      </c>
      <c r="G122" s="7" t="s">
        <v>195</v>
      </c>
      <c r="H122" s="7" t="s">
        <v>195</v>
      </c>
      <c r="I122" s="7" t="s">
        <v>195</v>
      </c>
      <c r="J122" s="7" t="s">
        <v>195</v>
      </c>
      <c r="K122" s="7" t="s">
        <v>195</v>
      </c>
      <c r="L122" s="7" t="s">
        <v>195</v>
      </c>
      <c r="M122" s="7" t="s">
        <v>29</v>
      </c>
      <c r="N122" s="7" t="s">
        <v>29</v>
      </c>
      <c r="O122" s="7" t="s">
        <v>29</v>
      </c>
      <c r="P122" s="7" t="s">
        <v>29</v>
      </c>
      <c r="Q122" s="7" t="s">
        <v>29</v>
      </c>
      <c r="R122" s="7" t="s">
        <v>29</v>
      </c>
      <c r="S122" s="7" t="s">
        <v>29</v>
      </c>
    </row>
    <row r="123" spans="2:19">
      <c r="B123" s="7" t="s">
        <v>195</v>
      </c>
      <c r="C123" s="8" t="s">
        <v>195</v>
      </c>
      <c r="D123" s="5" t="str">
        <f>LRTRIM(CONCATENATE(IF(SUMPRODUCT(-- ISNUMBER(SEARCH({"Auto Number"}, $B123))) &gt; 0, $B123, IF(SUMPRODUCT(-- ISNUMBER(SEARCH({"Lookup","Master-Detail"}, $B123))) &gt; 0,$B123 &amp; "(" &amp; $E123 &amp; ")",IF(SUMPRODUCT(-- ISNUMBER(SEARCH({"Formula","Roll-Up Summary"}, $B123))) &gt; 0,$B123 &amp; " (" &amp; $E123 &amp; ")",IF(SUMPRODUCT(-- ISNUMBER(SEARCH({"Content","Currency","Number","Percent","Text","URL"}, $B123))) &gt; 0,$B123 &amp; "(" &amp; $C123 &amp; ")",$B123)))), "  ", TRIM(IF($S123 = "YES", "(External ID)", "") &amp; " " &amp; IF(SUMPRODUCT(-- ISNUMBER(SEARCH({"Unique","Unique Case Insensitive"}, $R123))) &gt; 0, "(" &amp; $R123 &amp; ")", ""))))</f>
        <v>na</v>
      </c>
      <c r="E123" s="7" t="s">
        <v>195</v>
      </c>
      <c r="F123" s="7" t="s">
        <v>195</v>
      </c>
      <c r="G123" s="7" t="s">
        <v>195</v>
      </c>
      <c r="H123" s="7" t="s">
        <v>195</v>
      </c>
      <c r="I123" s="7" t="s">
        <v>195</v>
      </c>
      <c r="J123" s="7" t="s">
        <v>195</v>
      </c>
      <c r="K123" s="7" t="s">
        <v>195</v>
      </c>
      <c r="L123" s="7" t="s">
        <v>195</v>
      </c>
      <c r="M123" s="7" t="s">
        <v>29</v>
      </c>
      <c r="N123" s="7" t="s">
        <v>29</v>
      </c>
      <c r="O123" s="7" t="s">
        <v>29</v>
      </c>
      <c r="P123" s="7" t="s">
        <v>29</v>
      </c>
      <c r="Q123" s="7" t="s">
        <v>29</v>
      </c>
      <c r="R123" s="7" t="s">
        <v>29</v>
      </c>
      <c r="S123" s="7" t="s">
        <v>29</v>
      </c>
    </row>
    <row r="124" spans="2:19">
      <c r="B124" s="7" t="s">
        <v>195</v>
      </c>
      <c r="C124" s="8" t="s">
        <v>195</v>
      </c>
      <c r="D124" s="5" t="str">
        <f>LRTRIM(CONCATENATE(IF(SUMPRODUCT(-- ISNUMBER(SEARCH({"Auto Number"}, $B124))) &gt; 0, $B124, IF(SUMPRODUCT(-- ISNUMBER(SEARCH({"Lookup","Master-Detail"}, $B124))) &gt; 0,$B124 &amp; "(" &amp; $E124 &amp; ")",IF(SUMPRODUCT(-- ISNUMBER(SEARCH({"Formula","Roll-Up Summary"}, $B124))) &gt; 0,$B124 &amp; " (" &amp; $E124 &amp; ")",IF(SUMPRODUCT(-- ISNUMBER(SEARCH({"Content","Currency","Number","Percent","Text","URL"}, $B124))) &gt; 0,$B124 &amp; "(" &amp; $C124 &amp; ")",$B124)))), "  ", TRIM(IF($S124 = "YES", "(External ID)", "") &amp; " " &amp; IF(SUMPRODUCT(-- ISNUMBER(SEARCH({"Unique","Unique Case Insensitive"}, $R124))) &gt; 0, "(" &amp; $R124 &amp; ")", ""))))</f>
        <v>na</v>
      </c>
      <c r="E124" s="7" t="s">
        <v>195</v>
      </c>
      <c r="F124" s="7" t="s">
        <v>195</v>
      </c>
      <c r="G124" s="7" t="s">
        <v>195</v>
      </c>
      <c r="H124" s="7" t="s">
        <v>195</v>
      </c>
      <c r="I124" s="7" t="s">
        <v>195</v>
      </c>
      <c r="J124" s="7" t="s">
        <v>195</v>
      </c>
      <c r="K124" s="7" t="s">
        <v>195</v>
      </c>
      <c r="L124" s="7" t="s">
        <v>195</v>
      </c>
      <c r="M124" s="7" t="s">
        <v>29</v>
      </c>
      <c r="N124" s="7" t="s">
        <v>29</v>
      </c>
      <c r="O124" s="7" t="s">
        <v>29</v>
      </c>
      <c r="P124" s="7" t="s">
        <v>29</v>
      </c>
      <c r="Q124" s="7" t="s">
        <v>29</v>
      </c>
      <c r="R124" s="7" t="s">
        <v>29</v>
      </c>
      <c r="S124" s="7" t="s">
        <v>29</v>
      </c>
    </row>
    <row r="125" spans="2:19">
      <c r="B125" s="7" t="s">
        <v>195</v>
      </c>
      <c r="C125" s="8" t="s">
        <v>195</v>
      </c>
      <c r="D125" s="5" t="str">
        <f>LRTRIM(CONCATENATE(IF(SUMPRODUCT(-- ISNUMBER(SEARCH({"Auto Number"}, $B125))) &gt; 0, $B125, IF(SUMPRODUCT(-- ISNUMBER(SEARCH({"Lookup","Master-Detail"}, $B125))) &gt; 0,$B125 &amp; "(" &amp; $E125 &amp; ")",IF(SUMPRODUCT(-- ISNUMBER(SEARCH({"Formula","Roll-Up Summary"}, $B125))) &gt; 0,$B125 &amp; " (" &amp; $E125 &amp; ")",IF(SUMPRODUCT(-- ISNUMBER(SEARCH({"Content","Currency","Number","Percent","Text","URL"}, $B125))) &gt; 0,$B125 &amp; "(" &amp; $C125 &amp; ")",$B125)))), "  ", TRIM(IF($S125 = "YES", "(External ID)", "") &amp; " " &amp; IF(SUMPRODUCT(-- ISNUMBER(SEARCH({"Unique","Unique Case Insensitive"}, $R125))) &gt; 0, "(" &amp; $R125 &amp; ")", ""))))</f>
        <v>na</v>
      </c>
      <c r="E125" s="7" t="s">
        <v>195</v>
      </c>
      <c r="F125" s="7" t="s">
        <v>195</v>
      </c>
      <c r="G125" s="7" t="s">
        <v>195</v>
      </c>
      <c r="H125" s="7" t="s">
        <v>195</v>
      </c>
      <c r="I125" s="7" t="s">
        <v>195</v>
      </c>
      <c r="J125" s="7" t="s">
        <v>195</v>
      </c>
      <c r="K125" s="7" t="s">
        <v>195</v>
      </c>
      <c r="L125" s="7" t="s">
        <v>195</v>
      </c>
      <c r="M125" s="7" t="s">
        <v>29</v>
      </c>
      <c r="N125" s="7" t="s">
        <v>29</v>
      </c>
      <c r="O125" s="7" t="s">
        <v>29</v>
      </c>
      <c r="P125" s="7" t="s">
        <v>29</v>
      </c>
      <c r="Q125" s="7" t="s">
        <v>29</v>
      </c>
      <c r="R125" s="7" t="s">
        <v>29</v>
      </c>
      <c r="S125" s="7" t="s">
        <v>29</v>
      </c>
    </row>
    <row r="126" spans="2:19">
      <c r="B126" s="7" t="s">
        <v>195</v>
      </c>
      <c r="C126" s="8" t="s">
        <v>195</v>
      </c>
      <c r="D126" s="5" t="str">
        <f>LRTRIM(CONCATENATE(IF(SUMPRODUCT(-- ISNUMBER(SEARCH({"Auto Number"}, $B126))) &gt; 0, $B126, IF(SUMPRODUCT(-- ISNUMBER(SEARCH({"Lookup","Master-Detail"}, $B126))) &gt; 0,$B126 &amp; "(" &amp; $E126 &amp; ")",IF(SUMPRODUCT(-- ISNUMBER(SEARCH({"Formula","Roll-Up Summary"}, $B126))) &gt; 0,$B126 &amp; " (" &amp; $E126 &amp; ")",IF(SUMPRODUCT(-- ISNUMBER(SEARCH({"Content","Currency","Number","Percent","Text","URL"}, $B126))) &gt; 0,$B126 &amp; "(" &amp; $C126 &amp; ")",$B126)))), "  ", TRIM(IF($S126 = "YES", "(External ID)", "") &amp; " " &amp; IF(SUMPRODUCT(-- ISNUMBER(SEARCH({"Unique","Unique Case Insensitive"}, $R126))) &gt; 0, "(" &amp; $R126 &amp; ")", ""))))</f>
        <v>na</v>
      </c>
      <c r="E126" s="7" t="s">
        <v>195</v>
      </c>
      <c r="F126" s="7" t="s">
        <v>195</v>
      </c>
      <c r="G126" s="7" t="s">
        <v>195</v>
      </c>
      <c r="H126" s="7" t="s">
        <v>195</v>
      </c>
      <c r="I126" s="7" t="s">
        <v>195</v>
      </c>
      <c r="J126" s="7" t="s">
        <v>195</v>
      </c>
      <c r="K126" s="7" t="s">
        <v>195</v>
      </c>
      <c r="L126" s="7" t="s">
        <v>195</v>
      </c>
      <c r="M126" s="7" t="s">
        <v>29</v>
      </c>
      <c r="N126" s="7" t="s">
        <v>29</v>
      </c>
      <c r="O126" s="7" t="s">
        <v>29</v>
      </c>
      <c r="P126" s="7" t="s">
        <v>29</v>
      </c>
      <c r="Q126" s="7" t="s">
        <v>29</v>
      </c>
      <c r="R126" s="7" t="s">
        <v>29</v>
      </c>
      <c r="S126" s="7" t="s">
        <v>29</v>
      </c>
    </row>
    <row r="127" spans="2:19">
      <c r="B127" s="7" t="s">
        <v>195</v>
      </c>
      <c r="C127" s="8" t="s">
        <v>195</v>
      </c>
      <c r="D127" s="5" t="str">
        <f>LRTRIM(CONCATENATE(IF(SUMPRODUCT(-- ISNUMBER(SEARCH({"Auto Number"}, $B127))) &gt; 0, $B127, IF(SUMPRODUCT(-- ISNUMBER(SEARCH({"Lookup","Master-Detail"}, $B127))) &gt; 0,$B127 &amp; "(" &amp; $E127 &amp; ")",IF(SUMPRODUCT(-- ISNUMBER(SEARCH({"Formula","Roll-Up Summary"}, $B127))) &gt; 0,$B127 &amp; " (" &amp; $E127 &amp; ")",IF(SUMPRODUCT(-- ISNUMBER(SEARCH({"Content","Currency","Number","Percent","Text","URL"}, $B127))) &gt; 0,$B127 &amp; "(" &amp; $C127 &amp; ")",$B127)))), "  ", TRIM(IF($S127 = "YES", "(External ID)", "") &amp; " " &amp; IF(SUMPRODUCT(-- ISNUMBER(SEARCH({"Unique","Unique Case Insensitive"}, $R127))) &gt; 0, "(" &amp; $R127 &amp; ")", ""))))</f>
        <v>na</v>
      </c>
      <c r="E127" s="7" t="s">
        <v>195</v>
      </c>
      <c r="F127" s="7" t="s">
        <v>195</v>
      </c>
      <c r="G127" s="7" t="s">
        <v>195</v>
      </c>
      <c r="H127" s="7" t="s">
        <v>195</v>
      </c>
      <c r="I127" s="7" t="s">
        <v>195</v>
      </c>
      <c r="J127" s="7" t="s">
        <v>195</v>
      </c>
      <c r="K127" s="7" t="s">
        <v>195</v>
      </c>
      <c r="L127" s="7" t="s">
        <v>195</v>
      </c>
      <c r="M127" s="7" t="s">
        <v>29</v>
      </c>
      <c r="N127" s="7" t="s">
        <v>29</v>
      </c>
      <c r="O127" s="7" t="s">
        <v>29</v>
      </c>
      <c r="P127" s="7" t="s">
        <v>29</v>
      </c>
      <c r="Q127" s="7" t="s">
        <v>29</v>
      </c>
      <c r="R127" s="7" t="s">
        <v>29</v>
      </c>
      <c r="S127" s="7" t="s">
        <v>29</v>
      </c>
    </row>
    <row r="128" spans="2:19">
      <c r="B128" s="7" t="s">
        <v>195</v>
      </c>
      <c r="C128" s="8" t="s">
        <v>195</v>
      </c>
      <c r="D128" s="5" t="str">
        <f>LRTRIM(CONCATENATE(IF(SUMPRODUCT(-- ISNUMBER(SEARCH({"Auto Number"}, $B128))) &gt; 0, $B128, IF(SUMPRODUCT(-- ISNUMBER(SEARCH({"Lookup","Master-Detail"}, $B128))) &gt; 0,$B128 &amp; "(" &amp; $E128 &amp; ")",IF(SUMPRODUCT(-- ISNUMBER(SEARCH({"Formula","Roll-Up Summary"}, $B128))) &gt; 0,$B128 &amp; " (" &amp; $E128 &amp; ")",IF(SUMPRODUCT(-- ISNUMBER(SEARCH({"Content","Currency","Number","Percent","Text","URL"}, $B128))) &gt; 0,$B128 &amp; "(" &amp; $C128 &amp; ")",$B128)))), "  ", TRIM(IF($S128 = "YES", "(External ID)", "") &amp; " " &amp; IF(SUMPRODUCT(-- ISNUMBER(SEARCH({"Unique","Unique Case Insensitive"}, $R128))) &gt; 0, "(" &amp; $R128 &amp; ")", ""))))</f>
        <v>na</v>
      </c>
      <c r="E128" s="7" t="s">
        <v>195</v>
      </c>
      <c r="F128" s="7" t="s">
        <v>195</v>
      </c>
      <c r="G128" s="7" t="s">
        <v>195</v>
      </c>
      <c r="H128" s="7" t="s">
        <v>195</v>
      </c>
      <c r="I128" s="7" t="s">
        <v>195</v>
      </c>
      <c r="J128" s="7" t="s">
        <v>195</v>
      </c>
      <c r="K128" s="7" t="s">
        <v>195</v>
      </c>
      <c r="L128" s="7" t="s">
        <v>195</v>
      </c>
      <c r="M128" s="7" t="s">
        <v>29</v>
      </c>
      <c r="N128" s="7" t="s">
        <v>29</v>
      </c>
      <c r="O128" s="7" t="s">
        <v>29</v>
      </c>
      <c r="P128" s="7" t="s">
        <v>29</v>
      </c>
      <c r="Q128" s="7" t="s">
        <v>29</v>
      </c>
      <c r="R128" s="7" t="s">
        <v>29</v>
      </c>
      <c r="S128" s="7" t="s">
        <v>29</v>
      </c>
    </row>
    <row r="129" spans="2:19">
      <c r="B129" s="7" t="s">
        <v>195</v>
      </c>
      <c r="C129" s="8" t="s">
        <v>195</v>
      </c>
      <c r="D129" s="5" t="str">
        <f>LRTRIM(CONCATENATE(IF(SUMPRODUCT(-- ISNUMBER(SEARCH({"Auto Number"}, $B129))) &gt; 0, $B129, IF(SUMPRODUCT(-- ISNUMBER(SEARCH({"Lookup","Master-Detail"}, $B129))) &gt; 0,$B129 &amp; "(" &amp; $E129 &amp; ")",IF(SUMPRODUCT(-- ISNUMBER(SEARCH({"Formula","Roll-Up Summary"}, $B129))) &gt; 0,$B129 &amp; " (" &amp; $E129 &amp; ")",IF(SUMPRODUCT(-- ISNUMBER(SEARCH({"Content","Currency","Number","Percent","Text","URL"}, $B129))) &gt; 0,$B129 &amp; "(" &amp; $C129 &amp; ")",$B129)))), "  ", TRIM(IF($S129 = "YES", "(External ID)", "") &amp; " " &amp; IF(SUMPRODUCT(-- ISNUMBER(SEARCH({"Unique","Unique Case Insensitive"}, $R129))) &gt; 0, "(" &amp; $R129 &amp; ")", ""))))</f>
        <v>na</v>
      </c>
      <c r="E129" s="7" t="s">
        <v>195</v>
      </c>
      <c r="F129" s="7" t="s">
        <v>195</v>
      </c>
      <c r="G129" s="7" t="s">
        <v>195</v>
      </c>
      <c r="H129" s="7" t="s">
        <v>195</v>
      </c>
      <c r="I129" s="7" t="s">
        <v>195</v>
      </c>
      <c r="J129" s="7" t="s">
        <v>195</v>
      </c>
      <c r="K129" s="7" t="s">
        <v>195</v>
      </c>
      <c r="L129" s="7" t="s">
        <v>195</v>
      </c>
      <c r="M129" s="7" t="s">
        <v>29</v>
      </c>
      <c r="N129" s="7" t="s">
        <v>29</v>
      </c>
      <c r="O129" s="7" t="s">
        <v>29</v>
      </c>
      <c r="P129" s="7" t="s">
        <v>29</v>
      </c>
      <c r="Q129" s="7" t="s">
        <v>29</v>
      </c>
      <c r="R129" s="7" t="s">
        <v>29</v>
      </c>
      <c r="S129" s="7" t="s">
        <v>29</v>
      </c>
    </row>
    <row r="130" spans="2:19">
      <c r="B130" s="7" t="s">
        <v>195</v>
      </c>
      <c r="C130" s="8" t="s">
        <v>195</v>
      </c>
      <c r="D130" s="5" t="str">
        <f>LRTRIM(CONCATENATE(IF(SUMPRODUCT(-- ISNUMBER(SEARCH({"Auto Number"}, $B130))) &gt; 0, $B130, IF(SUMPRODUCT(-- ISNUMBER(SEARCH({"Lookup","Master-Detail"}, $B130))) &gt; 0,$B130 &amp; "(" &amp; $E130 &amp; ")",IF(SUMPRODUCT(-- ISNUMBER(SEARCH({"Formula","Roll-Up Summary"}, $B130))) &gt; 0,$B130 &amp; " (" &amp; $E130 &amp; ")",IF(SUMPRODUCT(-- ISNUMBER(SEARCH({"Content","Currency","Number","Percent","Text","URL"}, $B130))) &gt; 0,$B130 &amp; "(" &amp; $C130 &amp; ")",$B130)))), "  ", TRIM(IF($S130 = "YES", "(External ID)", "") &amp; " " &amp; IF(SUMPRODUCT(-- ISNUMBER(SEARCH({"Unique","Unique Case Insensitive"}, $R130))) &gt; 0, "(" &amp; $R130 &amp; ")", ""))))</f>
        <v>na</v>
      </c>
      <c r="E130" s="7" t="s">
        <v>195</v>
      </c>
      <c r="F130" s="7" t="s">
        <v>195</v>
      </c>
      <c r="G130" s="7" t="s">
        <v>195</v>
      </c>
      <c r="H130" s="7" t="s">
        <v>195</v>
      </c>
      <c r="I130" s="7" t="s">
        <v>195</v>
      </c>
      <c r="J130" s="7" t="s">
        <v>195</v>
      </c>
      <c r="K130" s="7" t="s">
        <v>195</v>
      </c>
      <c r="L130" s="7" t="s">
        <v>195</v>
      </c>
      <c r="M130" s="7" t="s">
        <v>29</v>
      </c>
      <c r="N130" s="7" t="s">
        <v>29</v>
      </c>
      <c r="O130" s="7" t="s">
        <v>29</v>
      </c>
      <c r="P130" s="7" t="s">
        <v>29</v>
      </c>
      <c r="Q130" s="7" t="s">
        <v>29</v>
      </c>
      <c r="R130" s="7" t="s">
        <v>29</v>
      </c>
      <c r="S130" s="7" t="s">
        <v>29</v>
      </c>
    </row>
    <row r="131" spans="2:19">
      <c r="B131" s="7" t="s">
        <v>195</v>
      </c>
      <c r="C131" s="8" t="s">
        <v>195</v>
      </c>
      <c r="D131" s="5" t="str">
        <f>LRTRIM(CONCATENATE(IF(SUMPRODUCT(-- ISNUMBER(SEARCH({"Auto Number"}, $B131))) &gt; 0, $B131, IF(SUMPRODUCT(-- ISNUMBER(SEARCH({"Lookup","Master-Detail"}, $B131))) &gt; 0,$B131 &amp; "(" &amp; $E131 &amp; ")",IF(SUMPRODUCT(-- ISNUMBER(SEARCH({"Formula","Roll-Up Summary"}, $B131))) &gt; 0,$B131 &amp; " (" &amp; $E131 &amp; ")",IF(SUMPRODUCT(-- ISNUMBER(SEARCH({"Content","Currency","Number","Percent","Text","URL"}, $B131))) &gt; 0,$B131 &amp; "(" &amp; $C131 &amp; ")",$B131)))), "  ", TRIM(IF($S131 = "YES", "(External ID)", "") &amp; " " &amp; IF(SUMPRODUCT(-- ISNUMBER(SEARCH({"Unique","Unique Case Insensitive"}, $R131))) &gt; 0, "(" &amp; $R131 &amp; ")", ""))))</f>
        <v>na</v>
      </c>
      <c r="E131" s="7" t="s">
        <v>195</v>
      </c>
      <c r="F131" s="7" t="s">
        <v>195</v>
      </c>
      <c r="G131" s="7" t="s">
        <v>195</v>
      </c>
      <c r="H131" s="7" t="s">
        <v>195</v>
      </c>
      <c r="I131" s="7" t="s">
        <v>195</v>
      </c>
      <c r="J131" s="7" t="s">
        <v>195</v>
      </c>
      <c r="K131" s="7" t="s">
        <v>195</v>
      </c>
      <c r="L131" s="7" t="s">
        <v>195</v>
      </c>
      <c r="M131" s="7" t="s">
        <v>29</v>
      </c>
      <c r="N131" s="7" t="s">
        <v>29</v>
      </c>
      <c r="O131" s="7" t="s">
        <v>29</v>
      </c>
      <c r="P131" s="7" t="s">
        <v>29</v>
      </c>
      <c r="Q131" s="7" t="s">
        <v>29</v>
      </c>
      <c r="R131" s="7" t="s">
        <v>29</v>
      </c>
      <c r="S131" s="7" t="s">
        <v>29</v>
      </c>
    </row>
    <row r="132" spans="2:19">
      <c r="B132" s="7" t="s">
        <v>195</v>
      </c>
      <c r="C132" s="8" t="s">
        <v>195</v>
      </c>
      <c r="D132" s="5" t="str">
        <f>LRTRIM(CONCATENATE(IF(SUMPRODUCT(-- ISNUMBER(SEARCH({"Auto Number"}, $B132))) &gt; 0, $B132, IF(SUMPRODUCT(-- ISNUMBER(SEARCH({"Lookup","Master-Detail"}, $B132))) &gt; 0,$B132 &amp; "(" &amp; $E132 &amp; ")",IF(SUMPRODUCT(-- ISNUMBER(SEARCH({"Formula","Roll-Up Summary"}, $B132))) &gt; 0,$B132 &amp; " (" &amp; $E132 &amp; ")",IF(SUMPRODUCT(-- ISNUMBER(SEARCH({"Content","Currency","Number","Percent","Text","URL"}, $B132))) &gt; 0,$B132 &amp; "(" &amp; $C132 &amp; ")",$B132)))), "  ", TRIM(IF($S132 = "YES", "(External ID)", "") &amp; " " &amp; IF(SUMPRODUCT(-- ISNUMBER(SEARCH({"Unique","Unique Case Insensitive"}, $R132))) &gt; 0, "(" &amp; $R132 &amp; ")", ""))))</f>
        <v>na</v>
      </c>
      <c r="E132" s="7" t="s">
        <v>195</v>
      </c>
      <c r="F132" s="7" t="s">
        <v>195</v>
      </c>
      <c r="G132" s="7" t="s">
        <v>195</v>
      </c>
      <c r="H132" s="7" t="s">
        <v>195</v>
      </c>
      <c r="I132" s="7" t="s">
        <v>195</v>
      </c>
      <c r="J132" s="7" t="s">
        <v>195</v>
      </c>
      <c r="K132" s="7" t="s">
        <v>195</v>
      </c>
      <c r="L132" s="7" t="s">
        <v>195</v>
      </c>
      <c r="M132" s="7" t="s">
        <v>29</v>
      </c>
      <c r="N132" s="7" t="s">
        <v>29</v>
      </c>
      <c r="O132" s="7" t="s">
        <v>29</v>
      </c>
      <c r="P132" s="7" t="s">
        <v>29</v>
      </c>
      <c r="Q132" s="7" t="s">
        <v>29</v>
      </c>
      <c r="R132" s="7" t="s">
        <v>29</v>
      </c>
      <c r="S132" s="7" t="s">
        <v>29</v>
      </c>
    </row>
    <row r="133" spans="2:19">
      <c r="B133" s="7" t="s">
        <v>195</v>
      </c>
      <c r="C133" s="8" t="s">
        <v>195</v>
      </c>
      <c r="D133" s="5" t="str">
        <f>LRTRIM(CONCATENATE(IF(SUMPRODUCT(-- ISNUMBER(SEARCH({"Auto Number"}, $B133))) &gt; 0, $B133, IF(SUMPRODUCT(-- ISNUMBER(SEARCH({"Lookup","Master-Detail"}, $B133))) &gt; 0,$B133 &amp; "(" &amp; $E133 &amp; ")",IF(SUMPRODUCT(-- ISNUMBER(SEARCH({"Formula","Roll-Up Summary"}, $B133))) &gt; 0,$B133 &amp; " (" &amp; $E133 &amp; ")",IF(SUMPRODUCT(-- ISNUMBER(SEARCH({"Content","Currency","Number","Percent","Text","URL"}, $B133))) &gt; 0,$B133 &amp; "(" &amp; $C133 &amp; ")",$B133)))), "  ", TRIM(IF($S133 = "YES", "(External ID)", "") &amp; " " &amp; IF(SUMPRODUCT(-- ISNUMBER(SEARCH({"Unique","Unique Case Insensitive"}, $R133))) &gt; 0, "(" &amp; $R133 &amp; ")", ""))))</f>
        <v>na</v>
      </c>
      <c r="E133" s="7" t="s">
        <v>195</v>
      </c>
      <c r="F133" s="7" t="s">
        <v>195</v>
      </c>
      <c r="G133" s="7" t="s">
        <v>195</v>
      </c>
      <c r="H133" s="7" t="s">
        <v>195</v>
      </c>
      <c r="I133" s="7" t="s">
        <v>195</v>
      </c>
      <c r="J133" s="7" t="s">
        <v>195</v>
      </c>
      <c r="K133" s="7" t="s">
        <v>195</v>
      </c>
      <c r="L133" s="7" t="s">
        <v>195</v>
      </c>
      <c r="M133" s="7" t="s">
        <v>29</v>
      </c>
      <c r="N133" s="7" t="s">
        <v>29</v>
      </c>
      <c r="O133" s="7" t="s">
        <v>29</v>
      </c>
      <c r="P133" s="7" t="s">
        <v>29</v>
      </c>
      <c r="Q133" s="7" t="s">
        <v>29</v>
      </c>
      <c r="R133" s="7" t="s">
        <v>29</v>
      </c>
      <c r="S133" s="7" t="s">
        <v>29</v>
      </c>
    </row>
    <row r="134" spans="2:19">
      <c r="B134" s="7" t="s">
        <v>195</v>
      </c>
      <c r="C134" s="8" t="s">
        <v>195</v>
      </c>
      <c r="D134" s="5" t="str">
        <f>LRTRIM(CONCATENATE(IF(SUMPRODUCT(-- ISNUMBER(SEARCH({"Auto Number"}, $B134))) &gt; 0, $B134, IF(SUMPRODUCT(-- ISNUMBER(SEARCH({"Lookup","Master-Detail"}, $B134))) &gt; 0,$B134 &amp; "(" &amp; $E134 &amp; ")",IF(SUMPRODUCT(-- ISNUMBER(SEARCH({"Formula","Roll-Up Summary"}, $B134))) &gt; 0,$B134 &amp; " (" &amp; $E134 &amp; ")",IF(SUMPRODUCT(-- ISNUMBER(SEARCH({"Content","Currency","Number","Percent","Text","URL"}, $B134))) &gt; 0,$B134 &amp; "(" &amp; $C134 &amp; ")",$B134)))), "  ", TRIM(IF($S134 = "YES", "(External ID)", "") &amp; " " &amp; IF(SUMPRODUCT(-- ISNUMBER(SEARCH({"Unique","Unique Case Insensitive"}, $R134))) &gt; 0, "(" &amp; $R134 &amp; ")", ""))))</f>
        <v>na</v>
      </c>
      <c r="E134" s="7" t="s">
        <v>195</v>
      </c>
      <c r="F134" s="7" t="s">
        <v>195</v>
      </c>
      <c r="G134" s="7" t="s">
        <v>195</v>
      </c>
      <c r="H134" s="7" t="s">
        <v>195</v>
      </c>
      <c r="I134" s="7" t="s">
        <v>195</v>
      </c>
      <c r="J134" s="7" t="s">
        <v>195</v>
      </c>
      <c r="K134" s="7" t="s">
        <v>195</v>
      </c>
      <c r="L134" s="7" t="s">
        <v>195</v>
      </c>
      <c r="M134" s="7" t="s">
        <v>29</v>
      </c>
      <c r="N134" s="7" t="s">
        <v>29</v>
      </c>
      <c r="O134" s="7" t="s">
        <v>29</v>
      </c>
      <c r="P134" s="7" t="s">
        <v>29</v>
      </c>
      <c r="Q134" s="7" t="s">
        <v>29</v>
      </c>
      <c r="R134" s="7" t="s">
        <v>29</v>
      </c>
      <c r="S134" s="7" t="s">
        <v>29</v>
      </c>
    </row>
    <row r="135" spans="2:19">
      <c r="B135" s="7" t="s">
        <v>195</v>
      </c>
      <c r="C135" s="8" t="s">
        <v>195</v>
      </c>
      <c r="D135" s="5" t="str">
        <f>LRTRIM(CONCATENATE(IF(SUMPRODUCT(-- ISNUMBER(SEARCH({"Auto Number"}, $B135))) &gt; 0, $B135, IF(SUMPRODUCT(-- ISNUMBER(SEARCH({"Lookup","Master-Detail"}, $B135))) &gt; 0,$B135 &amp; "(" &amp; $E135 &amp; ")",IF(SUMPRODUCT(-- ISNUMBER(SEARCH({"Formula","Roll-Up Summary"}, $B135))) &gt; 0,$B135 &amp; " (" &amp; $E135 &amp; ")",IF(SUMPRODUCT(-- ISNUMBER(SEARCH({"Content","Currency","Number","Percent","Text","URL"}, $B135))) &gt; 0,$B135 &amp; "(" &amp; $C135 &amp; ")",$B135)))), "  ", TRIM(IF($S135 = "YES", "(External ID)", "") &amp; " " &amp; IF(SUMPRODUCT(-- ISNUMBER(SEARCH({"Unique","Unique Case Insensitive"}, $R135))) &gt; 0, "(" &amp; $R135 &amp; ")", ""))))</f>
        <v>na</v>
      </c>
      <c r="E135" s="7" t="s">
        <v>195</v>
      </c>
      <c r="F135" s="7" t="s">
        <v>195</v>
      </c>
      <c r="G135" s="7" t="s">
        <v>195</v>
      </c>
      <c r="H135" s="7" t="s">
        <v>195</v>
      </c>
      <c r="I135" s="7" t="s">
        <v>195</v>
      </c>
      <c r="J135" s="7" t="s">
        <v>195</v>
      </c>
      <c r="K135" s="7" t="s">
        <v>195</v>
      </c>
      <c r="L135" s="7" t="s">
        <v>195</v>
      </c>
      <c r="M135" s="7" t="s">
        <v>29</v>
      </c>
      <c r="N135" s="7" t="s">
        <v>29</v>
      </c>
      <c r="O135" s="7" t="s">
        <v>29</v>
      </c>
      <c r="P135" s="7" t="s">
        <v>29</v>
      </c>
      <c r="Q135" s="7" t="s">
        <v>29</v>
      </c>
      <c r="R135" s="7" t="s">
        <v>29</v>
      </c>
      <c r="S135" s="7" t="s">
        <v>29</v>
      </c>
    </row>
    <row r="136" spans="2:19">
      <c r="B136" s="7" t="s">
        <v>195</v>
      </c>
      <c r="C136" s="8" t="s">
        <v>195</v>
      </c>
      <c r="D136" s="5" t="str">
        <f>LRTRIM(CONCATENATE(IF(SUMPRODUCT(-- ISNUMBER(SEARCH({"Auto Number"}, $B136))) &gt; 0, $B136, IF(SUMPRODUCT(-- ISNUMBER(SEARCH({"Lookup","Master-Detail"}, $B136))) &gt; 0,$B136 &amp; "(" &amp; $E136 &amp; ")",IF(SUMPRODUCT(-- ISNUMBER(SEARCH({"Formula","Roll-Up Summary"}, $B136))) &gt; 0,$B136 &amp; " (" &amp; $E136 &amp; ")",IF(SUMPRODUCT(-- ISNUMBER(SEARCH({"Content","Currency","Number","Percent","Text","URL"}, $B136))) &gt; 0,$B136 &amp; "(" &amp; $C136 &amp; ")",$B136)))), "  ", TRIM(IF($S136 = "YES", "(External ID)", "") &amp; " " &amp; IF(SUMPRODUCT(-- ISNUMBER(SEARCH({"Unique","Unique Case Insensitive"}, $R136))) &gt; 0, "(" &amp; $R136 &amp; ")", ""))))</f>
        <v>na</v>
      </c>
      <c r="E136" s="7" t="s">
        <v>195</v>
      </c>
      <c r="F136" s="7" t="s">
        <v>195</v>
      </c>
      <c r="G136" s="7" t="s">
        <v>195</v>
      </c>
      <c r="H136" s="7" t="s">
        <v>195</v>
      </c>
      <c r="I136" s="7" t="s">
        <v>195</v>
      </c>
      <c r="J136" s="7" t="s">
        <v>195</v>
      </c>
      <c r="K136" s="7" t="s">
        <v>195</v>
      </c>
      <c r="L136" s="7" t="s">
        <v>195</v>
      </c>
      <c r="M136" s="7" t="s">
        <v>29</v>
      </c>
      <c r="N136" s="7" t="s">
        <v>29</v>
      </c>
      <c r="O136" s="7" t="s">
        <v>29</v>
      </c>
      <c r="P136" s="7" t="s">
        <v>29</v>
      </c>
      <c r="Q136" s="7" t="s">
        <v>29</v>
      </c>
      <c r="R136" s="7" t="s">
        <v>29</v>
      </c>
      <c r="S136" s="7" t="s">
        <v>29</v>
      </c>
    </row>
    <row r="137" spans="2:19">
      <c r="B137" s="7" t="s">
        <v>195</v>
      </c>
      <c r="C137" s="8" t="s">
        <v>195</v>
      </c>
      <c r="D137" s="5" t="str">
        <f>LRTRIM(CONCATENATE(IF(SUMPRODUCT(-- ISNUMBER(SEARCH({"Auto Number"}, $B137))) &gt; 0, $B137, IF(SUMPRODUCT(-- ISNUMBER(SEARCH({"Lookup","Master-Detail"}, $B137))) &gt; 0,$B137 &amp; "(" &amp; $E137 &amp; ")",IF(SUMPRODUCT(-- ISNUMBER(SEARCH({"Formula","Roll-Up Summary"}, $B137))) &gt; 0,$B137 &amp; " (" &amp; $E137 &amp; ")",IF(SUMPRODUCT(-- ISNUMBER(SEARCH({"Content","Currency","Number","Percent","Text","URL"}, $B137))) &gt; 0,$B137 &amp; "(" &amp; $C137 &amp; ")",$B137)))), "  ", TRIM(IF($S137 = "YES", "(External ID)", "") &amp; " " &amp; IF(SUMPRODUCT(-- ISNUMBER(SEARCH({"Unique","Unique Case Insensitive"}, $R137))) &gt; 0, "(" &amp; $R137 &amp; ")", ""))))</f>
        <v>na</v>
      </c>
      <c r="E137" s="7" t="s">
        <v>195</v>
      </c>
      <c r="F137" s="7" t="s">
        <v>195</v>
      </c>
      <c r="G137" s="7" t="s">
        <v>195</v>
      </c>
      <c r="H137" s="7" t="s">
        <v>195</v>
      </c>
      <c r="I137" s="7" t="s">
        <v>195</v>
      </c>
      <c r="J137" s="7" t="s">
        <v>195</v>
      </c>
      <c r="K137" s="7" t="s">
        <v>195</v>
      </c>
      <c r="L137" s="7" t="s">
        <v>195</v>
      </c>
      <c r="M137" s="7" t="s">
        <v>29</v>
      </c>
      <c r="N137" s="7" t="s">
        <v>29</v>
      </c>
      <c r="O137" s="7" t="s">
        <v>29</v>
      </c>
      <c r="P137" s="7" t="s">
        <v>29</v>
      </c>
      <c r="Q137" s="7" t="s">
        <v>29</v>
      </c>
      <c r="R137" s="7" t="s">
        <v>29</v>
      </c>
      <c r="S137" s="7" t="s">
        <v>29</v>
      </c>
    </row>
    <row r="138" spans="2:19">
      <c r="B138" s="7" t="s">
        <v>195</v>
      </c>
      <c r="C138" s="8" t="s">
        <v>195</v>
      </c>
      <c r="D138" s="5" t="str">
        <f>LRTRIM(CONCATENATE(IF(SUMPRODUCT(-- ISNUMBER(SEARCH({"Auto Number"}, $B138))) &gt; 0, $B138, IF(SUMPRODUCT(-- ISNUMBER(SEARCH({"Lookup","Master-Detail"}, $B138))) &gt; 0,$B138 &amp; "(" &amp; $E138 &amp; ")",IF(SUMPRODUCT(-- ISNUMBER(SEARCH({"Formula","Roll-Up Summary"}, $B138))) &gt; 0,$B138 &amp; " (" &amp; $E138 &amp; ")",IF(SUMPRODUCT(-- ISNUMBER(SEARCH({"Content","Currency","Number","Percent","Text","URL"}, $B138))) &gt; 0,$B138 &amp; "(" &amp; $C138 &amp; ")",$B138)))), "  ", TRIM(IF($S138 = "YES", "(External ID)", "") &amp; " " &amp; IF(SUMPRODUCT(-- ISNUMBER(SEARCH({"Unique","Unique Case Insensitive"}, $R138))) &gt; 0, "(" &amp; $R138 &amp; ")", ""))))</f>
        <v>na</v>
      </c>
      <c r="E138" s="7" t="s">
        <v>195</v>
      </c>
      <c r="F138" s="7" t="s">
        <v>195</v>
      </c>
      <c r="G138" s="7" t="s">
        <v>195</v>
      </c>
      <c r="H138" s="7" t="s">
        <v>195</v>
      </c>
      <c r="I138" s="7" t="s">
        <v>195</v>
      </c>
      <c r="J138" s="7" t="s">
        <v>195</v>
      </c>
      <c r="K138" s="7" t="s">
        <v>195</v>
      </c>
      <c r="L138" s="7" t="s">
        <v>195</v>
      </c>
      <c r="M138" s="7" t="s">
        <v>29</v>
      </c>
      <c r="N138" s="7" t="s">
        <v>29</v>
      </c>
      <c r="O138" s="7" t="s">
        <v>29</v>
      </c>
      <c r="P138" s="7" t="s">
        <v>29</v>
      </c>
      <c r="Q138" s="7" t="s">
        <v>29</v>
      </c>
      <c r="R138" s="7" t="s">
        <v>29</v>
      </c>
      <c r="S138" s="7" t="s">
        <v>29</v>
      </c>
    </row>
    <row r="139" spans="2:19">
      <c r="B139" s="7" t="s">
        <v>195</v>
      </c>
      <c r="C139" s="8" t="s">
        <v>195</v>
      </c>
      <c r="D139" s="5" t="str">
        <f>LRTRIM(CONCATENATE(IF(SUMPRODUCT(-- ISNUMBER(SEARCH({"Auto Number"}, $B139))) &gt; 0, $B139, IF(SUMPRODUCT(-- ISNUMBER(SEARCH({"Lookup","Master-Detail"}, $B139))) &gt; 0,$B139 &amp; "(" &amp; $E139 &amp; ")",IF(SUMPRODUCT(-- ISNUMBER(SEARCH({"Formula","Roll-Up Summary"}, $B139))) &gt; 0,$B139 &amp; " (" &amp; $E139 &amp; ")",IF(SUMPRODUCT(-- ISNUMBER(SEARCH({"Content","Currency","Number","Percent","Text","URL"}, $B139))) &gt; 0,$B139 &amp; "(" &amp; $C139 &amp; ")",$B139)))), "  ", TRIM(IF($S139 = "YES", "(External ID)", "") &amp; " " &amp; IF(SUMPRODUCT(-- ISNUMBER(SEARCH({"Unique","Unique Case Insensitive"}, $R139))) &gt; 0, "(" &amp; $R139 &amp; ")", ""))))</f>
        <v>na</v>
      </c>
      <c r="E139" s="7" t="s">
        <v>195</v>
      </c>
      <c r="F139" s="7" t="s">
        <v>195</v>
      </c>
      <c r="G139" s="7" t="s">
        <v>195</v>
      </c>
      <c r="H139" s="7" t="s">
        <v>195</v>
      </c>
      <c r="I139" s="7" t="s">
        <v>195</v>
      </c>
      <c r="J139" s="7" t="s">
        <v>195</v>
      </c>
      <c r="K139" s="7" t="s">
        <v>195</v>
      </c>
      <c r="L139" s="7" t="s">
        <v>195</v>
      </c>
      <c r="M139" s="7" t="s">
        <v>29</v>
      </c>
      <c r="N139" s="7" t="s">
        <v>29</v>
      </c>
      <c r="O139" s="7" t="s">
        <v>29</v>
      </c>
      <c r="P139" s="7" t="s">
        <v>29</v>
      </c>
      <c r="Q139" s="7" t="s">
        <v>29</v>
      </c>
      <c r="R139" s="7" t="s">
        <v>29</v>
      </c>
      <c r="S139" s="7" t="s">
        <v>29</v>
      </c>
    </row>
    <row r="140" spans="2:19">
      <c r="B140" s="7" t="s">
        <v>195</v>
      </c>
      <c r="C140" s="8" t="s">
        <v>195</v>
      </c>
      <c r="D140" s="5" t="str">
        <f>LRTRIM(CONCATENATE(IF(SUMPRODUCT(-- ISNUMBER(SEARCH({"Auto Number"}, $B140))) &gt; 0, $B140, IF(SUMPRODUCT(-- ISNUMBER(SEARCH({"Lookup","Master-Detail"}, $B140))) &gt; 0,$B140 &amp; "(" &amp; $E140 &amp; ")",IF(SUMPRODUCT(-- ISNUMBER(SEARCH({"Formula","Roll-Up Summary"}, $B140))) &gt; 0,$B140 &amp; " (" &amp; $E140 &amp; ")",IF(SUMPRODUCT(-- ISNUMBER(SEARCH({"Content","Currency","Number","Percent","Text","URL"}, $B140))) &gt; 0,$B140 &amp; "(" &amp; $C140 &amp; ")",$B140)))), "  ", TRIM(IF($S140 = "YES", "(External ID)", "") &amp; " " &amp; IF(SUMPRODUCT(-- ISNUMBER(SEARCH({"Unique","Unique Case Insensitive"}, $R140))) &gt; 0, "(" &amp; $R140 &amp; ")", ""))))</f>
        <v>na</v>
      </c>
      <c r="E140" s="7" t="s">
        <v>195</v>
      </c>
      <c r="F140" s="7" t="s">
        <v>195</v>
      </c>
      <c r="G140" s="7" t="s">
        <v>195</v>
      </c>
      <c r="H140" s="7" t="s">
        <v>195</v>
      </c>
      <c r="I140" s="7" t="s">
        <v>195</v>
      </c>
      <c r="J140" s="7" t="s">
        <v>195</v>
      </c>
      <c r="K140" s="7" t="s">
        <v>195</v>
      </c>
      <c r="L140" s="7" t="s">
        <v>195</v>
      </c>
      <c r="M140" s="7" t="s">
        <v>29</v>
      </c>
      <c r="N140" s="7" t="s">
        <v>29</v>
      </c>
      <c r="O140" s="7" t="s">
        <v>29</v>
      </c>
      <c r="P140" s="7" t="s">
        <v>29</v>
      </c>
      <c r="Q140" s="7" t="s">
        <v>29</v>
      </c>
      <c r="R140" s="7" t="s">
        <v>29</v>
      </c>
      <c r="S140" s="7" t="s">
        <v>29</v>
      </c>
    </row>
    <row r="141" spans="2:19">
      <c r="B141" s="7" t="s">
        <v>195</v>
      </c>
      <c r="C141" s="8" t="s">
        <v>195</v>
      </c>
      <c r="D141" s="5" t="str">
        <f>LRTRIM(CONCATENATE(IF(SUMPRODUCT(-- ISNUMBER(SEARCH({"Auto Number"}, $B141))) &gt; 0, $B141, IF(SUMPRODUCT(-- ISNUMBER(SEARCH({"Lookup","Master-Detail"}, $B141))) &gt; 0,$B141 &amp; "(" &amp; $E141 &amp; ")",IF(SUMPRODUCT(-- ISNUMBER(SEARCH({"Formula","Roll-Up Summary"}, $B141))) &gt; 0,$B141 &amp; " (" &amp; $E141 &amp; ")",IF(SUMPRODUCT(-- ISNUMBER(SEARCH({"Content","Currency","Number","Percent","Text","URL"}, $B141))) &gt; 0,$B141 &amp; "(" &amp; $C141 &amp; ")",$B141)))), "  ", TRIM(IF($S141 = "YES", "(External ID)", "") &amp; " " &amp; IF(SUMPRODUCT(-- ISNUMBER(SEARCH({"Unique","Unique Case Insensitive"}, $R141))) &gt; 0, "(" &amp; $R141 &amp; ")", ""))))</f>
        <v>na</v>
      </c>
      <c r="E141" s="7" t="s">
        <v>195</v>
      </c>
      <c r="F141" s="7" t="s">
        <v>195</v>
      </c>
      <c r="G141" s="7" t="s">
        <v>195</v>
      </c>
      <c r="H141" s="7" t="s">
        <v>195</v>
      </c>
      <c r="I141" s="7" t="s">
        <v>195</v>
      </c>
      <c r="J141" s="7" t="s">
        <v>195</v>
      </c>
      <c r="K141" s="7" t="s">
        <v>195</v>
      </c>
      <c r="L141" s="7" t="s">
        <v>195</v>
      </c>
      <c r="M141" s="7" t="s">
        <v>29</v>
      </c>
      <c r="N141" s="7" t="s">
        <v>29</v>
      </c>
      <c r="O141" s="7" t="s">
        <v>29</v>
      </c>
      <c r="P141" s="7" t="s">
        <v>29</v>
      </c>
      <c r="Q141" s="7" t="s">
        <v>29</v>
      </c>
      <c r="R141" s="7" t="s">
        <v>29</v>
      </c>
      <c r="S141" s="7" t="s">
        <v>29</v>
      </c>
    </row>
    <row r="142" spans="2:19">
      <c r="B142" s="7" t="s">
        <v>195</v>
      </c>
      <c r="C142" s="8" t="s">
        <v>195</v>
      </c>
      <c r="D142" s="5" t="str">
        <f>LRTRIM(CONCATENATE(IF(SUMPRODUCT(-- ISNUMBER(SEARCH({"Auto Number"}, $B142))) &gt; 0, $B142, IF(SUMPRODUCT(-- ISNUMBER(SEARCH({"Lookup","Master-Detail"}, $B142))) &gt; 0,$B142 &amp; "(" &amp; $E142 &amp; ")",IF(SUMPRODUCT(-- ISNUMBER(SEARCH({"Formula","Roll-Up Summary"}, $B142))) &gt; 0,$B142 &amp; " (" &amp; $E142 &amp; ")",IF(SUMPRODUCT(-- ISNUMBER(SEARCH({"Content","Currency","Number","Percent","Text","URL"}, $B142))) &gt; 0,$B142 &amp; "(" &amp; $C142 &amp; ")",$B142)))), "  ", TRIM(IF($S142 = "YES", "(External ID)", "") &amp; " " &amp; IF(SUMPRODUCT(-- ISNUMBER(SEARCH({"Unique","Unique Case Insensitive"}, $R142))) &gt; 0, "(" &amp; $R142 &amp; ")", ""))))</f>
        <v>na</v>
      </c>
      <c r="E142" s="7" t="s">
        <v>195</v>
      </c>
      <c r="F142" s="7" t="s">
        <v>195</v>
      </c>
      <c r="G142" s="7" t="s">
        <v>195</v>
      </c>
      <c r="H142" s="7" t="s">
        <v>195</v>
      </c>
      <c r="I142" s="7" t="s">
        <v>195</v>
      </c>
      <c r="J142" s="7" t="s">
        <v>195</v>
      </c>
      <c r="K142" s="7" t="s">
        <v>195</v>
      </c>
      <c r="L142" s="7" t="s">
        <v>195</v>
      </c>
      <c r="M142" s="7" t="s">
        <v>29</v>
      </c>
      <c r="N142" s="7" t="s">
        <v>29</v>
      </c>
      <c r="O142" s="7" t="s">
        <v>29</v>
      </c>
      <c r="P142" s="7" t="s">
        <v>29</v>
      </c>
      <c r="Q142" s="7" t="s">
        <v>29</v>
      </c>
      <c r="R142" s="7" t="s">
        <v>29</v>
      </c>
      <c r="S142" s="7" t="s">
        <v>29</v>
      </c>
    </row>
    <row r="143" spans="2:19">
      <c r="B143" s="7" t="s">
        <v>195</v>
      </c>
      <c r="C143" s="8" t="s">
        <v>195</v>
      </c>
      <c r="D143" s="5" t="str">
        <f>LRTRIM(CONCATENATE(IF(SUMPRODUCT(-- ISNUMBER(SEARCH({"Auto Number"}, $B143))) &gt; 0, $B143, IF(SUMPRODUCT(-- ISNUMBER(SEARCH({"Lookup","Master-Detail"}, $B143))) &gt; 0,$B143 &amp; "(" &amp; $E143 &amp; ")",IF(SUMPRODUCT(-- ISNUMBER(SEARCH({"Formula","Roll-Up Summary"}, $B143))) &gt; 0,$B143 &amp; " (" &amp; $E143 &amp; ")",IF(SUMPRODUCT(-- ISNUMBER(SEARCH({"Content","Currency","Number","Percent","Text","URL"}, $B143))) &gt; 0,$B143 &amp; "(" &amp; $C143 &amp; ")",$B143)))), "  ", TRIM(IF($S143 = "YES", "(External ID)", "") &amp; " " &amp; IF(SUMPRODUCT(-- ISNUMBER(SEARCH({"Unique","Unique Case Insensitive"}, $R143))) &gt; 0, "(" &amp; $R143 &amp; ")", ""))))</f>
        <v>na</v>
      </c>
      <c r="E143" s="7" t="s">
        <v>195</v>
      </c>
      <c r="F143" s="7" t="s">
        <v>195</v>
      </c>
      <c r="G143" s="7" t="s">
        <v>195</v>
      </c>
      <c r="H143" s="7" t="s">
        <v>195</v>
      </c>
      <c r="I143" s="7" t="s">
        <v>195</v>
      </c>
      <c r="J143" s="7" t="s">
        <v>195</v>
      </c>
      <c r="K143" s="7" t="s">
        <v>195</v>
      </c>
      <c r="L143" s="7" t="s">
        <v>195</v>
      </c>
      <c r="M143" s="7" t="s">
        <v>29</v>
      </c>
      <c r="N143" s="7" t="s">
        <v>29</v>
      </c>
      <c r="O143" s="7" t="s">
        <v>29</v>
      </c>
      <c r="P143" s="7" t="s">
        <v>29</v>
      </c>
      <c r="Q143" s="7" t="s">
        <v>29</v>
      </c>
      <c r="R143" s="7" t="s">
        <v>29</v>
      </c>
      <c r="S143" s="7" t="s">
        <v>29</v>
      </c>
    </row>
    <row r="144" spans="2:19">
      <c r="B144" s="7" t="s">
        <v>195</v>
      </c>
      <c r="C144" s="8" t="s">
        <v>195</v>
      </c>
      <c r="D144" s="5" t="str">
        <f>LRTRIM(CONCATENATE(IF(SUMPRODUCT(-- ISNUMBER(SEARCH({"Auto Number"}, $B144))) &gt; 0, $B144, IF(SUMPRODUCT(-- ISNUMBER(SEARCH({"Lookup","Master-Detail"}, $B144))) &gt; 0,$B144 &amp; "(" &amp; $E144 &amp; ")",IF(SUMPRODUCT(-- ISNUMBER(SEARCH({"Formula","Roll-Up Summary"}, $B144))) &gt; 0,$B144 &amp; " (" &amp; $E144 &amp; ")",IF(SUMPRODUCT(-- ISNUMBER(SEARCH({"Content","Currency","Number","Percent","Text","URL"}, $B144))) &gt; 0,$B144 &amp; "(" &amp; $C144 &amp; ")",$B144)))), "  ", TRIM(IF($S144 = "YES", "(External ID)", "") &amp; " " &amp; IF(SUMPRODUCT(-- ISNUMBER(SEARCH({"Unique","Unique Case Insensitive"}, $R144))) &gt; 0, "(" &amp; $R144 &amp; ")", ""))))</f>
        <v>na</v>
      </c>
      <c r="E144" s="7" t="s">
        <v>195</v>
      </c>
      <c r="F144" s="7" t="s">
        <v>195</v>
      </c>
      <c r="G144" s="7" t="s">
        <v>195</v>
      </c>
      <c r="H144" s="7" t="s">
        <v>195</v>
      </c>
      <c r="I144" s="7" t="s">
        <v>195</v>
      </c>
      <c r="J144" s="7" t="s">
        <v>195</v>
      </c>
      <c r="K144" s="7" t="s">
        <v>195</v>
      </c>
      <c r="L144" s="7" t="s">
        <v>195</v>
      </c>
      <c r="M144" s="7" t="s">
        <v>29</v>
      </c>
      <c r="N144" s="7" t="s">
        <v>29</v>
      </c>
      <c r="O144" s="7" t="s">
        <v>29</v>
      </c>
      <c r="P144" s="7" t="s">
        <v>29</v>
      </c>
      <c r="Q144" s="7" t="s">
        <v>29</v>
      </c>
      <c r="R144" s="7" t="s">
        <v>29</v>
      </c>
      <c r="S144" s="7" t="s">
        <v>29</v>
      </c>
    </row>
    <row r="145" spans="2:19">
      <c r="B145" s="7" t="s">
        <v>195</v>
      </c>
      <c r="C145" s="8" t="s">
        <v>195</v>
      </c>
      <c r="D145" s="5" t="str">
        <f>LRTRIM(CONCATENATE(IF(SUMPRODUCT(-- ISNUMBER(SEARCH({"Auto Number"}, $B145))) &gt; 0, $B145, IF(SUMPRODUCT(-- ISNUMBER(SEARCH({"Lookup","Master-Detail"}, $B145))) &gt; 0,$B145 &amp; "(" &amp; $E145 &amp; ")",IF(SUMPRODUCT(-- ISNUMBER(SEARCH({"Formula","Roll-Up Summary"}, $B145))) &gt; 0,$B145 &amp; " (" &amp; $E145 &amp; ")",IF(SUMPRODUCT(-- ISNUMBER(SEARCH({"Content","Currency","Number","Percent","Text","URL"}, $B145))) &gt; 0,$B145 &amp; "(" &amp; $C145 &amp; ")",$B145)))), "  ", TRIM(IF($S145 = "YES", "(External ID)", "") &amp; " " &amp; IF(SUMPRODUCT(-- ISNUMBER(SEARCH({"Unique","Unique Case Insensitive"}, $R145))) &gt; 0, "(" &amp; $R145 &amp; ")", ""))))</f>
        <v>na</v>
      </c>
      <c r="E145" s="7" t="s">
        <v>195</v>
      </c>
      <c r="F145" s="7" t="s">
        <v>195</v>
      </c>
      <c r="G145" s="7" t="s">
        <v>195</v>
      </c>
      <c r="H145" s="7" t="s">
        <v>195</v>
      </c>
      <c r="I145" s="7" t="s">
        <v>195</v>
      </c>
      <c r="J145" s="7" t="s">
        <v>195</v>
      </c>
      <c r="K145" s="7" t="s">
        <v>195</v>
      </c>
      <c r="L145" s="7" t="s">
        <v>195</v>
      </c>
      <c r="M145" s="7" t="s">
        <v>29</v>
      </c>
      <c r="N145" s="7" t="s">
        <v>29</v>
      </c>
      <c r="O145" s="7" t="s">
        <v>29</v>
      </c>
      <c r="P145" s="7" t="s">
        <v>29</v>
      </c>
      <c r="Q145" s="7" t="s">
        <v>29</v>
      </c>
      <c r="R145" s="7" t="s">
        <v>29</v>
      </c>
      <c r="S145" s="7" t="s">
        <v>29</v>
      </c>
    </row>
    <row r="146" spans="2:19">
      <c r="B146" s="7" t="s">
        <v>195</v>
      </c>
      <c r="C146" s="8" t="s">
        <v>195</v>
      </c>
      <c r="D146" s="5" t="str">
        <f>LRTRIM(CONCATENATE(IF(SUMPRODUCT(-- ISNUMBER(SEARCH({"Auto Number"}, $B146))) &gt; 0, $B146, IF(SUMPRODUCT(-- ISNUMBER(SEARCH({"Lookup","Master-Detail"}, $B146))) &gt; 0,$B146 &amp; "(" &amp; $E146 &amp; ")",IF(SUMPRODUCT(-- ISNUMBER(SEARCH({"Formula","Roll-Up Summary"}, $B146))) &gt; 0,$B146 &amp; " (" &amp; $E146 &amp; ")",IF(SUMPRODUCT(-- ISNUMBER(SEARCH({"Content","Currency","Number","Percent","Text","URL"}, $B146))) &gt; 0,$B146 &amp; "(" &amp; $C146 &amp; ")",$B146)))), "  ", TRIM(IF($S146 = "YES", "(External ID)", "") &amp; " " &amp; IF(SUMPRODUCT(-- ISNUMBER(SEARCH({"Unique","Unique Case Insensitive"}, $R146))) &gt; 0, "(" &amp; $R146 &amp; ")", ""))))</f>
        <v>na</v>
      </c>
      <c r="E146" s="7" t="s">
        <v>195</v>
      </c>
      <c r="F146" s="7" t="s">
        <v>195</v>
      </c>
      <c r="G146" s="7" t="s">
        <v>195</v>
      </c>
      <c r="H146" s="7" t="s">
        <v>195</v>
      </c>
      <c r="I146" s="7" t="s">
        <v>195</v>
      </c>
      <c r="J146" s="7" t="s">
        <v>195</v>
      </c>
      <c r="K146" s="7" t="s">
        <v>195</v>
      </c>
      <c r="L146" s="7" t="s">
        <v>195</v>
      </c>
      <c r="M146" s="7" t="s">
        <v>29</v>
      </c>
      <c r="N146" s="7" t="s">
        <v>29</v>
      </c>
      <c r="O146" s="7" t="s">
        <v>29</v>
      </c>
      <c r="P146" s="7" t="s">
        <v>29</v>
      </c>
      <c r="Q146" s="7" t="s">
        <v>29</v>
      </c>
      <c r="R146" s="7" t="s">
        <v>29</v>
      </c>
      <c r="S146" s="7" t="s">
        <v>29</v>
      </c>
    </row>
    <row r="147" spans="2:19">
      <c r="B147" s="7" t="s">
        <v>195</v>
      </c>
      <c r="C147" s="8" t="s">
        <v>195</v>
      </c>
      <c r="D147" s="5" t="str">
        <f>LRTRIM(CONCATENATE(IF(SUMPRODUCT(-- ISNUMBER(SEARCH({"Auto Number"}, $B147))) &gt; 0, $B147, IF(SUMPRODUCT(-- ISNUMBER(SEARCH({"Lookup","Master-Detail"}, $B147))) &gt; 0,$B147 &amp; "(" &amp; $E147 &amp; ")",IF(SUMPRODUCT(-- ISNUMBER(SEARCH({"Formula","Roll-Up Summary"}, $B147))) &gt; 0,$B147 &amp; " (" &amp; $E147 &amp; ")",IF(SUMPRODUCT(-- ISNUMBER(SEARCH({"Content","Currency","Number","Percent","Text","URL"}, $B147))) &gt; 0,$B147 &amp; "(" &amp; $C147 &amp; ")",$B147)))), "  ", TRIM(IF($S147 = "YES", "(External ID)", "") &amp; " " &amp; IF(SUMPRODUCT(-- ISNUMBER(SEARCH({"Unique","Unique Case Insensitive"}, $R147))) &gt; 0, "(" &amp; $R147 &amp; ")", ""))))</f>
        <v>na</v>
      </c>
      <c r="E147" s="7" t="s">
        <v>195</v>
      </c>
      <c r="F147" s="7" t="s">
        <v>195</v>
      </c>
      <c r="G147" s="7" t="s">
        <v>195</v>
      </c>
      <c r="H147" s="7" t="s">
        <v>195</v>
      </c>
      <c r="I147" s="7" t="s">
        <v>195</v>
      </c>
      <c r="J147" s="7" t="s">
        <v>195</v>
      </c>
      <c r="K147" s="7" t="s">
        <v>195</v>
      </c>
      <c r="L147" s="7" t="s">
        <v>195</v>
      </c>
      <c r="M147" s="7" t="s">
        <v>29</v>
      </c>
      <c r="N147" s="7" t="s">
        <v>29</v>
      </c>
      <c r="O147" s="7" t="s">
        <v>29</v>
      </c>
      <c r="P147" s="7" t="s">
        <v>29</v>
      </c>
      <c r="Q147" s="7" t="s">
        <v>29</v>
      </c>
      <c r="R147" s="7" t="s">
        <v>29</v>
      </c>
      <c r="S147" s="7" t="s">
        <v>29</v>
      </c>
    </row>
    <row r="148" spans="2:19">
      <c r="B148" s="7" t="s">
        <v>195</v>
      </c>
      <c r="C148" s="8" t="s">
        <v>195</v>
      </c>
      <c r="D148" s="5" t="str">
        <f>LRTRIM(CONCATENATE(IF(SUMPRODUCT(-- ISNUMBER(SEARCH({"Auto Number"}, $B148))) &gt; 0, $B148, IF(SUMPRODUCT(-- ISNUMBER(SEARCH({"Lookup","Master-Detail"}, $B148))) &gt; 0,$B148 &amp; "(" &amp; $E148 &amp; ")",IF(SUMPRODUCT(-- ISNUMBER(SEARCH({"Formula","Roll-Up Summary"}, $B148))) &gt; 0,$B148 &amp; " (" &amp; $E148 &amp; ")",IF(SUMPRODUCT(-- ISNUMBER(SEARCH({"Content","Currency","Number","Percent","Text","URL"}, $B148))) &gt; 0,$B148 &amp; "(" &amp; $C148 &amp; ")",$B148)))), "  ", TRIM(IF($S148 = "YES", "(External ID)", "") &amp; " " &amp; IF(SUMPRODUCT(-- ISNUMBER(SEARCH({"Unique","Unique Case Insensitive"}, $R148))) &gt; 0, "(" &amp; $R148 &amp; ")", ""))))</f>
        <v>na</v>
      </c>
      <c r="E148" s="7" t="s">
        <v>195</v>
      </c>
      <c r="F148" s="7" t="s">
        <v>195</v>
      </c>
      <c r="G148" s="7" t="s">
        <v>195</v>
      </c>
      <c r="H148" s="7" t="s">
        <v>195</v>
      </c>
      <c r="I148" s="7" t="s">
        <v>195</v>
      </c>
      <c r="J148" s="7" t="s">
        <v>195</v>
      </c>
      <c r="K148" s="7" t="s">
        <v>195</v>
      </c>
      <c r="L148" s="7" t="s">
        <v>195</v>
      </c>
      <c r="M148" s="7" t="s">
        <v>29</v>
      </c>
      <c r="N148" s="7" t="s">
        <v>29</v>
      </c>
      <c r="O148" s="7" t="s">
        <v>29</v>
      </c>
      <c r="P148" s="7" t="s">
        <v>29</v>
      </c>
      <c r="Q148" s="7" t="s">
        <v>29</v>
      </c>
      <c r="R148" s="7" t="s">
        <v>29</v>
      </c>
      <c r="S148" s="7" t="s">
        <v>29</v>
      </c>
    </row>
    <row r="149" spans="2:19">
      <c r="B149" s="7" t="s">
        <v>195</v>
      </c>
      <c r="C149" s="8" t="s">
        <v>195</v>
      </c>
      <c r="D149" s="5" t="str">
        <f>LRTRIM(CONCATENATE(IF(SUMPRODUCT(-- ISNUMBER(SEARCH({"Auto Number"}, $B149))) &gt; 0, $B149, IF(SUMPRODUCT(-- ISNUMBER(SEARCH({"Lookup","Master-Detail"}, $B149))) &gt; 0,$B149 &amp; "(" &amp; $E149 &amp; ")",IF(SUMPRODUCT(-- ISNUMBER(SEARCH({"Formula","Roll-Up Summary"}, $B149))) &gt; 0,$B149 &amp; " (" &amp; $E149 &amp; ")",IF(SUMPRODUCT(-- ISNUMBER(SEARCH({"Content","Currency","Number","Percent","Text","URL"}, $B149))) &gt; 0,$B149 &amp; "(" &amp; $C149 &amp; ")",$B149)))), "  ", TRIM(IF($S149 = "YES", "(External ID)", "") &amp; " " &amp; IF(SUMPRODUCT(-- ISNUMBER(SEARCH({"Unique","Unique Case Insensitive"}, $R149))) &gt; 0, "(" &amp; $R149 &amp; ")", ""))))</f>
        <v>na</v>
      </c>
      <c r="E149" s="7" t="s">
        <v>195</v>
      </c>
      <c r="F149" s="7" t="s">
        <v>195</v>
      </c>
      <c r="G149" s="7" t="s">
        <v>195</v>
      </c>
      <c r="H149" s="7" t="s">
        <v>195</v>
      </c>
      <c r="I149" s="7" t="s">
        <v>195</v>
      </c>
      <c r="J149" s="7" t="s">
        <v>195</v>
      </c>
      <c r="K149" s="7" t="s">
        <v>195</v>
      </c>
      <c r="L149" s="7" t="s">
        <v>195</v>
      </c>
      <c r="M149" s="7" t="s">
        <v>29</v>
      </c>
      <c r="N149" s="7" t="s">
        <v>29</v>
      </c>
      <c r="O149" s="7" t="s">
        <v>29</v>
      </c>
      <c r="P149" s="7" t="s">
        <v>29</v>
      </c>
      <c r="Q149" s="7" t="s">
        <v>29</v>
      </c>
      <c r="R149" s="7" t="s">
        <v>29</v>
      </c>
      <c r="S149" s="7" t="s">
        <v>29</v>
      </c>
    </row>
    <row r="150" spans="2:19">
      <c r="B150" s="7" t="s">
        <v>195</v>
      </c>
      <c r="C150" s="8" t="s">
        <v>195</v>
      </c>
      <c r="D150" s="5" t="str">
        <f>LRTRIM(CONCATENATE(IF(SUMPRODUCT(-- ISNUMBER(SEARCH({"Auto Number"}, $B150))) &gt; 0, $B150, IF(SUMPRODUCT(-- ISNUMBER(SEARCH({"Lookup","Master-Detail"}, $B150))) &gt; 0,$B150 &amp; "(" &amp; $E150 &amp; ")",IF(SUMPRODUCT(-- ISNUMBER(SEARCH({"Formula","Roll-Up Summary"}, $B150))) &gt; 0,$B150 &amp; " (" &amp; $E150 &amp; ")",IF(SUMPRODUCT(-- ISNUMBER(SEARCH({"Content","Currency","Number","Percent","Text","URL"}, $B150))) &gt; 0,$B150 &amp; "(" &amp; $C150 &amp; ")",$B150)))), "  ", TRIM(IF($S150 = "YES", "(External ID)", "") &amp; " " &amp; IF(SUMPRODUCT(-- ISNUMBER(SEARCH({"Unique","Unique Case Insensitive"}, $R150))) &gt; 0, "(" &amp; $R150 &amp; ")", ""))))</f>
        <v>na</v>
      </c>
      <c r="E150" s="7" t="s">
        <v>195</v>
      </c>
      <c r="F150" s="7" t="s">
        <v>195</v>
      </c>
      <c r="G150" s="7" t="s">
        <v>195</v>
      </c>
      <c r="H150" s="7" t="s">
        <v>195</v>
      </c>
      <c r="I150" s="7" t="s">
        <v>195</v>
      </c>
      <c r="J150" s="7" t="s">
        <v>195</v>
      </c>
      <c r="K150" s="7" t="s">
        <v>195</v>
      </c>
      <c r="L150" s="7" t="s">
        <v>195</v>
      </c>
      <c r="M150" s="7" t="s">
        <v>29</v>
      </c>
      <c r="N150" s="7" t="s">
        <v>29</v>
      </c>
      <c r="O150" s="7" t="s">
        <v>29</v>
      </c>
      <c r="P150" s="7" t="s">
        <v>29</v>
      </c>
      <c r="Q150" s="7" t="s">
        <v>29</v>
      </c>
      <c r="R150" s="7" t="s">
        <v>29</v>
      </c>
      <c r="S150" s="7" t="s">
        <v>29</v>
      </c>
    </row>
    <row r="151" spans="2:19">
      <c r="B151" s="7" t="s">
        <v>195</v>
      </c>
      <c r="C151" s="8" t="s">
        <v>195</v>
      </c>
      <c r="D151" s="5" t="str">
        <f>LRTRIM(CONCATENATE(IF(SUMPRODUCT(-- ISNUMBER(SEARCH({"Auto Number"}, $B151))) &gt; 0, $B151, IF(SUMPRODUCT(-- ISNUMBER(SEARCH({"Lookup","Master-Detail"}, $B151))) &gt; 0,$B151 &amp; "(" &amp; $E151 &amp; ")",IF(SUMPRODUCT(-- ISNUMBER(SEARCH({"Formula","Roll-Up Summary"}, $B151))) &gt; 0,$B151 &amp; " (" &amp; $E151 &amp; ")",IF(SUMPRODUCT(-- ISNUMBER(SEARCH({"Content","Currency","Number","Percent","Text","URL"}, $B151))) &gt; 0,$B151 &amp; "(" &amp; $C151 &amp; ")",$B151)))), "  ", TRIM(IF($S151 = "YES", "(External ID)", "") &amp; " " &amp; IF(SUMPRODUCT(-- ISNUMBER(SEARCH({"Unique","Unique Case Insensitive"}, $R151))) &gt; 0, "(" &amp; $R151 &amp; ")", ""))))</f>
        <v>na</v>
      </c>
      <c r="E151" s="7" t="s">
        <v>195</v>
      </c>
      <c r="F151" s="7" t="s">
        <v>195</v>
      </c>
      <c r="G151" s="7" t="s">
        <v>195</v>
      </c>
      <c r="H151" s="7" t="s">
        <v>195</v>
      </c>
      <c r="I151" s="7" t="s">
        <v>195</v>
      </c>
      <c r="J151" s="7" t="s">
        <v>195</v>
      </c>
      <c r="K151" s="7" t="s">
        <v>195</v>
      </c>
      <c r="L151" s="7" t="s">
        <v>195</v>
      </c>
      <c r="M151" s="7" t="s">
        <v>29</v>
      </c>
      <c r="N151" s="7" t="s">
        <v>29</v>
      </c>
      <c r="O151" s="7" t="s">
        <v>29</v>
      </c>
      <c r="P151" s="7" t="s">
        <v>29</v>
      </c>
      <c r="Q151" s="7" t="s">
        <v>29</v>
      </c>
      <c r="R151" s="7" t="s">
        <v>29</v>
      </c>
      <c r="S151" s="7" t="s">
        <v>29</v>
      </c>
    </row>
    <row r="152" spans="2:19">
      <c r="B152" s="7" t="s">
        <v>195</v>
      </c>
      <c r="C152" s="8" t="s">
        <v>195</v>
      </c>
      <c r="D152" s="5" t="str">
        <f>LRTRIM(CONCATENATE(IF(SUMPRODUCT(-- ISNUMBER(SEARCH({"Auto Number"}, $B152))) &gt; 0, $B152, IF(SUMPRODUCT(-- ISNUMBER(SEARCH({"Lookup","Master-Detail"}, $B152))) &gt; 0,$B152 &amp; "(" &amp; $E152 &amp; ")",IF(SUMPRODUCT(-- ISNUMBER(SEARCH({"Formula","Roll-Up Summary"}, $B152))) &gt; 0,$B152 &amp; " (" &amp; $E152 &amp; ")",IF(SUMPRODUCT(-- ISNUMBER(SEARCH({"Content","Currency","Number","Percent","Text","URL"}, $B152))) &gt; 0,$B152 &amp; "(" &amp; $C152 &amp; ")",$B152)))), "  ", TRIM(IF($S152 = "YES", "(External ID)", "") &amp; " " &amp; IF(SUMPRODUCT(-- ISNUMBER(SEARCH({"Unique","Unique Case Insensitive"}, $R152))) &gt; 0, "(" &amp; $R152 &amp; ")", ""))))</f>
        <v>na</v>
      </c>
      <c r="E152" s="7" t="s">
        <v>195</v>
      </c>
      <c r="F152" s="7" t="s">
        <v>195</v>
      </c>
      <c r="G152" s="7" t="s">
        <v>195</v>
      </c>
      <c r="H152" s="7" t="s">
        <v>195</v>
      </c>
      <c r="I152" s="7" t="s">
        <v>195</v>
      </c>
      <c r="J152" s="7" t="s">
        <v>195</v>
      </c>
      <c r="K152" s="7" t="s">
        <v>195</v>
      </c>
      <c r="L152" s="7" t="s">
        <v>195</v>
      </c>
      <c r="M152" s="7" t="s">
        <v>29</v>
      </c>
      <c r="N152" s="7" t="s">
        <v>29</v>
      </c>
      <c r="O152" s="7" t="s">
        <v>29</v>
      </c>
      <c r="P152" s="7" t="s">
        <v>29</v>
      </c>
      <c r="Q152" s="7" t="s">
        <v>29</v>
      </c>
      <c r="R152" s="7" t="s">
        <v>29</v>
      </c>
      <c r="S152" s="7" t="s">
        <v>29</v>
      </c>
    </row>
    <row r="153" spans="2:19">
      <c r="B153" s="7" t="s">
        <v>195</v>
      </c>
      <c r="C153" s="8" t="s">
        <v>195</v>
      </c>
      <c r="D153" s="5" t="str">
        <f>LRTRIM(CONCATENATE(IF(SUMPRODUCT(-- ISNUMBER(SEARCH({"Auto Number"}, $B153))) &gt; 0, $B153, IF(SUMPRODUCT(-- ISNUMBER(SEARCH({"Lookup","Master-Detail"}, $B153))) &gt; 0,$B153 &amp; "(" &amp; $E153 &amp; ")",IF(SUMPRODUCT(-- ISNUMBER(SEARCH({"Formula","Roll-Up Summary"}, $B153))) &gt; 0,$B153 &amp; " (" &amp; $E153 &amp; ")",IF(SUMPRODUCT(-- ISNUMBER(SEARCH({"Content","Currency","Number","Percent","Text","URL"}, $B153))) &gt; 0,$B153 &amp; "(" &amp; $C153 &amp; ")",$B153)))), "  ", TRIM(IF($S153 = "YES", "(External ID)", "") &amp; " " &amp; IF(SUMPRODUCT(-- ISNUMBER(SEARCH({"Unique","Unique Case Insensitive"}, $R153))) &gt; 0, "(" &amp; $R153 &amp; ")", ""))))</f>
        <v>na</v>
      </c>
      <c r="E153" s="7" t="s">
        <v>195</v>
      </c>
      <c r="F153" s="7" t="s">
        <v>195</v>
      </c>
      <c r="G153" s="7" t="s">
        <v>195</v>
      </c>
      <c r="H153" s="7" t="s">
        <v>195</v>
      </c>
      <c r="I153" s="7" t="s">
        <v>195</v>
      </c>
      <c r="J153" s="7" t="s">
        <v>195</v>
      </c>
      <c r="K153" s="7" t="s">
        <v>195</v>
      </c>
      <c r="L153" s="7" t="s">
        <v>195</v>
      </c>
      <c r="M153" s="7" t="s">
        <v>29</v>
      </c>
      <c r="N153" s="7" t="s">
        <v>29</v>
      </c>
      <c r="O153" s="7" t="s">
        <v>29</v>
      </c>
      <c r="P153" s="7" t="s">
        <v>29</v>
      </c>
      <c r="Q153" s="7" t="s">
        <v>29</v>
      </c>
      <c r="R153" s="7" t="s">
        <v>29</v>
      </c>
      <c r="S153" s="7" t="s">
        <v>29</v>
      </c>
    </row>
    <row r="154" spans="2:19">
      <c r="B154" s="7" t="s">
        <v>195</v>
      </c>
      <c r="C154" s="8" t="s">
        <v>195</v>
      </c>
      <c r="D154" s="5" t="str">
        <f>LRTRIM(CONCATENATE(IF(SUMPRODUCT(-- ISNUMBER(SEARCH({"Auto Number"}, $B154))) &gt; 0, $B154, IF(SUMPRODUCT(-- ISNUMBER(SEARCH({"Lookup","Master-Detail"}, $B154))) &gt; 0,$B154 &amp; "(" &amp; $E154 &amp; ")",IF(SUMPRODUCT(-- ISNUMBER(SEARCH({"Formula","Roll-Up Summary"}, $B154))) &gt; 0,$B154 &amp; " (" &amp; $E154 &amp; ")",IF(SUMPRODUCT(-- ISNUMBER(SEARCH({"Content","Currency","Number","Percent","Text","URL"}, $B154))) &gt; 0,$B154 &amp; "(" &amp; $C154 &amp; ")",$B154)))), "  ", TRIM(IF($S154 = "YES", "(External ID)", "") &amp; " " &amp; IF(SUMPRODUCT(-- ISNUMBER(SEARCH({"Unique","Unique Case Insensitive"}, $R154))) &gt; 0, "(" &amp; $R154 &amp; ")", ""))))</f>
        <v>na</v>
      </c>
      <c r="E154" s="7" t="s">
        <v>195</v>
      </c>
      <c r="F154" s="7" t="s">
        <v>195</v>
      </c>
      <c r="G154" s="7" t="s">
        <v>195</v>
      </c>
      <c r="H154" s="7" t="s">
        <v>195</v>
      </c>
      <c r="I154" s="7" t="s">
        <v>195</v>
      </c>
      <c r="J154" s="7" t="s">
        <v>195</v>
      </c>
      <c r="K154" s="7" t="s">
        <v>195</v>
      </c>
      <c r="L154" s="7" t="s">
        <v>195</v>
      </c>
      <c r="M154" s="7" t="s">
        <v>29</v>
      </c>
      <c r="N154" s="7" t="s">
        <v>29</v>
      </c>
      <c r="O154" s="7" t="s">
        <v>29</v>
      </c>
      <c r="P154" s="7" t="s">
        <v>29</v>
      </c>
      <c r="Q154" s="7" t="s">
        <v>29</v>
      </c>
      <c r="R154" s="7" t="s">
        <v>29</v>
      </c>
      <c r="S154" s="7" t="s">
        <v>29</v>
      </c>
    </row>
    <row r="155" spans="2:19">
      <c r="B155" s="7" t="s">
        <v>195</v>
      </c>
      <c r="C155" s="8" t="s">
        <v>195</v>
      </c>
      <c r="D155" s="5" t="str">
        <f>LRTRIM(CONCATENATE(IF(SUMPRODUCT(-- ISNUMBER(SEARCH({"Auto Number"}, $B155))) &gt; 0, $B155, IF(SUMPRODUCT(-- ISNUMBER(SEARCH({"Lookup","Master-Detail"}, $B155))) &gt; 0,$B155 &amp; "(" &amp; $E155 &amp; ")",IF(SUMPRODUCT(-- ISNUMBER(SEARCH({"Formula","Roll-Up Summary"}, $B155))) &gt; 0,$B155 &amp; " (" &amp; $E155 &amp; ")",IF(SUMPRODUCT(-- ISNUMBER(SEARCH({"Content","Currency","Number","Percent","Text","URL"}, $B155))) &gt; 0,$B155 &amp; "(" &amp; $C155 &amp; ")",$B155)))), "  ", TRIM(IF($S155 = "YES", "(External ID)", "") &amp; " " &amp; IF(SUMPRODUCT(-- ISNUMBER(SEARCH({"Unique","Unique Case Insensitive"}, $R155))) &gt; 0, "(" &amp; $R155 &amp; ")", ""))))</f>
        <v>na</v>
      </c>
      <c r="E155" s="7" t="s">
        <v>195</v>
      </c>
      <c r="F155" s="7" t="s">
        <v>195</v>
      </c>
      <c r="G155" s="7" t="s">
        <v>195</v>
      </c>
      <c r="H155" s="7" t="s">
        <v>195</v>
      </c>
      <c r="I155" s="7" t="s">
        <v>195</v>
      </c>
      <c r="J155" s="7" t="s">
        <v>195</v>
      </c>
      <c r="K155" s="7" t="s">
        <v>195</v>
      </c>
      <c r="L155" s="7" t="s">
        <v>195</v>
      </c>
      <c r="M155" s="7" t="s">
        <v>29</v>
      </c>
      <c r="N155" s="7" t="s">
        <v>29</v>
      </c>
      <c r="O155" s="7" t="s">
        <v>29</v>
      </c>
      <c r="P155" s="7" t="s">
        <v>29</v>
      </c>
      <c r="Q155" s="7" t="s">
        <v>29</v>
      </c>
      <c r="R155" s="7" t="s">
        <v>29</v>
      </c>
      <c r="S155" s="7" t="s">
        <v>29</v>
      </c>
    </row>
    <row r="156" spans="2:19">
      <c r="B156" s="7" t="s">
        <v>195</v>
      </c>
      <c r="C156" s="8" t="s">
        <v>195</v>
      </c>
      <c r="D156" s="5" t="str">
        <f>LRTRIM(CONCATENATE(IF(SUMPRODUCT(-- ISNUMBER(SEARCH({"Auto Number"}, $B156))) &gt; 0, $B156, IF(SUMPRODUCT(-- ISNUMBER(SEARCH({"Lookup","Master-Detail"}, $B156))) &gt; 0,$B156 &amp; "(" &amp; $E156 &amp; ")",IF(SUMPRODUCT(-- ISNUMBER(SEARCH({"Formula","Roll-Up Summary"}, $B156))) &gt; 0,$B156 &amp; " (" &amp; $E156 &amp; ")",IF(SUMPRODUCT(-- ISNUMBER(SEARCH({"Content","Currency","Number","Percent","Text","URL"}, $B156))) &gt; 0,$B156 &amp; "(" &amp; $C156 &amp; ")",$B156)))), "  ", TRIM(IF($S156 = "YES", "(External ID)", "") &amp; " " &amp; IF(SUMPRODUCT(-- ISNUMBER(SEARCH({"Unique","Unique Case Insensitive"}, $R156))) &gt; 0, "(" &amp; $R156 &amp; ")", ""))))</f>
        <v>na</v>
      </c>
      <c r="E156" s="7" t="s">
        <v>195</v>
      </c>
      <c r="F156" s="7" t="s">
        <v>195</v>
      </c>
      <c r="G156" s="7" t="s">
        <v>195</v>
      </c>
      <c r="H156" s="7" t="s">
        <v>195</v>
      </c>
      <c r="I156" s="7" t="s">
        <v>195</v>
      </c>
      <c r="J156" s="7" t="s">
        <v>195</v>
      </c>
      <c r="K156" s="7" t="s">
        <v>195</v>
      </c>
      <c r="L156" s="7" t="s">
        <v>195</v>
      </c>
      <c r="M156" s="7" t="s">
        <v>29</v>
      </c>
      <c r="N156" s="7" t="s">
        <v>29</v>
      </c>
      <c r="O156" s="7" t="s">
        <v>29</v>
      </c>
      <c r="P156" s="7" t="s">
        <v>29</v>
      </c>
      <c r="Q156" s="7" t="s">
        <v>29</v>
      </c>
      <c r="R156" s="7" t="s">
        <v>29</v>
      </c>
      <c r="S156" s="7" t="s">
        <v>29</v>
      </c>
    </row>
    <row r="157" spans="2:19">
      <c r="B157" s="7" t="s">
        <v>195</v>
      </c>
      <c r="C157" s="8" t="s">
        <v>195</v>
      </c>
      <c r="D157" s="5" t="str">
        <f>LRTRIM(CONCATENATE(IF(SUMPRODUCT(-- ISNUMBER(SEARCH({"Auto Number"}, $B157))) &gt; 0, $B157, IF(SUMPRODUCT(-- ISNUMBER(SEARCH({"Lookup","Master-Detail"}, $B157))) &gt; 0,$B157 &amp; "(" &amp; $E157 &amp; ")",IF(SUMPRODUCT(-- ISNUMBER(SEARCH({"Formula","Roll-Up Summary"}, $B157))) &gt; 0,$B157 &amp; " (" &amp; $E157 &amp; ")",IF(SUMPRODUCT(-- ISNUMBER(SEARCH({"Content","Currency","Number","Percent","Text","URL"}, $B157))) &gt; 0,$B157 &amp; "(" &amp; $C157 &amp; ")",$B157)))), "  ", TRIM(IF($S157 = "YES", "(External ID)", "") &amp; " " &amp; IF(SUMPRODUCT(-- ISNUMBER(SEARCH({"Unique","Unique Case Insensitive"}, $R157))) &gt; 0, "(" &amp; $R157 &amp; ")", ""))))</f>
        <v>na</v>
      </c>
      <c r="E157" s="7" t="s">
        <v>195</v>
      </c>
      <c r="F157" s="7" t="s">
        <v>195</v>
      </c>
      <c r="G157" s="7" t="s">
        <v>195</v>
      </c>
      <c r="H157" s="7" t="s">
        <v>195</v>
      </c>
      <c r="I157" s="7" t="s">
        <v>195</v>
      </c>
      <c r="J157" s="7" t="s">
        <v>195</v>
      </c>
      <c r="K157" s="7" t="s">
        <v>195</v>
      </c>
      <c r="L157" s="7" t="s">
        <v>195</v>
      </c>
      <c r="M157" s="7" t="s">
        <v>29</v>
      </c>
      <c r="N157" s="7" t="s">
        <v>29</v>
      </c>
      <c r="O157" s="7" t="s">
        <v>29</v>
      </c>
      <c r="P157" s="7" t="s">
        <v>29</v>
      </c>
      <c r="Q157" s="7" t="s">
        <v>29</v>
      </c>
      <c r="R157" s="7" t="s">
        <v>29</v>
      </c>
      <c r="S157" s="7" t="s">
        <v>29</v>
      </c>
    </row>
    <row r="158" spans="2:19">
      <c r="B158" s="7" t="s">
        <v>195</v>
      </c>
      <c r="C158" s="8" t="s">
        <v>195</v>
      </c>
      <c r="D158" s="5" t="str">
        <f>LRTRIM(CONCATENATE(IF(SUMPRODUCT(-- ISNUMBER(SEARCH({"Auto Number"}, $B158))) &gt; 0, $B158, IF(SUMPRODUCT(-- ISNUMBER(SEARCH({"Lookup","Master-Detail"}, $B158))) &gt; 0,$B158 &amp; "(" &amp; $E158 &amp; ")",IF(SUMPRODUCT(-- ISNUMBER(SEARCH({"Formula","Roll-Up Summary"}, $B158))) &gt; 0,$B158 &amp; " (" &amp; $E158 &amp; ")",IF(SUMPRODUCT(-- ISNUMBER(SEARCH({"Content","Currency","Number","Percent","Text","URL"}, $B158))) &gt; 0,$B158 &amp; "(" &amp; $C158 &amp; ")",$B158)))), "  ", TRIM(IF($S158 = "YES", "(External ID)", "") &amp; " " &amp; IF(SUMPRODUCT(-- ISNUMBER(SEARCH({"Unique","Unique Case Insensitive"}, $R158))) &gt; 0, "(" &amp; $R158 &amp; ")", ""))))</f>
        <v>na</v>
      </c>
      <c r="E158" s="7" t="s">
        <v>195</v>
      </c>
      <c r="F158" s="7" t="s">
        <v>195</v>
      </c>
      <c r="G158" s="7" t="s">
        <v>195</v>
      </c>
      <c r="H158" s="7" t="s">
        <v>195</v>
      </c>
      <c r="I158" s="7" t="s">
        <v>195</v>
      </c>
      <c r="J158" s="7" t="s">
        <v>195</v>
      </c>
      <c r="K158" s="7" t="s">
        <v>195</v>
      </c>
      <c r="L158" s="7" t="s">
        <v>195</v>
      </c>
      <c r="M158" s="7" t="s">
        <v>29</v>
      </c>
      <c r="N158" s="7" t="s">
        <v>29</v>
      </c>
      <c r="O158" s="7" t="s">
        <v>29</v>
      </c>
      <c r="P158" s="7" t="s">
        <v>29</v>
      </c>
      <c r="Q158" s="7" t="s">
        <v>29</v>
      </c>
      <c r="R158" s="7" t="s">
        <v>29</v>
      </c>
      <c r="S158" s="7" t="s">
        <v>29</v>
      </c>
    </row>
    <row r="159" spans="2:19">
      <c r="B159" s="7" t="s">
        <v>195</v>
      </c>
      <c r="C159" s="8" t="s">
        <v>195</v>
      </c>
      <c r="D159" s="5" t="str">
        <f>LRTRIM(CONCATENATE(IF(SUMPRODUCT(-- ISNUMBER(SEARCH({"Auto Number"}, $B159))) &gt; 0, $B159, IF(SUMPRODUCT(-- ISNUMBER(SEARCH({"Lookup","Master-Detail"}, $B159))) &gt; 0,$B159 &amp; "(" &amp; $E159 &amp; ")",IF(SUMPRODUCT(-- ISNUMBER(SEARCH({"Formula","Roll-Up Summary"}, $B159))) &gt; 0,$B159 &amp; " (" &amp; $E159 &amp; ")",IF(SUMPRODUCT(-- ISNUMBER(SEARCH({"Content","Currency","Number","Percent","Text","URL"}, $B159))) &gt; 0,$B159 &amp; "(" &amp; $C159 &amp; ")",$B159)))), "  ", TRIM(IF($S159 = "YES", "(External ID)", "") &amp; " " &amp; IF(SUMPRODUCT(-- ISNUMBER(SEARCH({"Unique","Unique Case Insensitive"}, $R159))) &gt; 0, "(" &amp; $R159 &amp; ")", ""))))</f>
        <v>na</v>
      </c>
      <c r="E159" s="7" t="s">
        <v>195</v>
      </c>
      <c r="F159" s="7" t="s">
        <v>195</v>
      </c>
      <c r="G159" s="7" t="s">
        <v>195</v>
      </c>
      <c r="H159" s="7" t="s">
        <v>195</v>
      </c>
      <c r="I159" s="7" t="s">
        <v>195</v>
      </c>
      <c r="J159" s="7" t="s">
        <v>195</v>
      </c>
      <c r="K159" s="7" t="s">
        <v>195</v>
      </c>
      <c r="L159" s="7" t="s">
        <v>195</v>
      </c>
      <c r="M159" s="7" t="s">
        <v>29</v>
      </c>
      <c r="N159" s="7" t="s">
        <v>29</v>
      </c>
      <c r="O159" s="7" t="s">
        <v>29</v>
      </c>
      <c r="P159" s="7" t="s">
        <v>29</v>
      </c>
      <c r="Q159" s="7" t="s">
        <v>29</v>
      </c>
      <c r="R159" s="7" t="s">
        <v>29</v>
      </c>
      <c r="S159" s="7" t="s">
        <v>29</v>
      </c>
    </row>
    <row r="160" spans="2:19">
      <c r="B160" s="7" t="s">
        <v>195</v>
      </c>
      <c r="C160" s="8" t="s">
        <v>195</v>
      </c>
      <c r="D160" s="5" t="str">
        <f>LRTRIM(CONCATENATE(IF(SUMPRODUCT(-- ISNUMBER(SEARCH({"Auto Number"}, $B160))) &gt; 0, $B160, IF(SUMPRODUCT(-- ISNUMBER(SEARCH({"Lookup","Master-Detail"}, $B160))) &gt; 0,$B160 &amp; "(" &amp; $E160 &amp; ")",IF(SUMPRODUCT(-- ISNUMBER(SEARCH({"Formula","Roll-Up Summary"}, $B160))) &gt; 0,$B160 &amp; " (" &amp; $E160 &amp; ")",IF(SUMPRODUCT(-- ISNUMBER(SEARCH({"Content","Currency","Number","Percent","Text","URL"}, $B160))) &gt; 0,$B160 &amp; "(" &amp; $C160 &amp; ")",$B160)))), "  ", TRIM(IF($S160 = "YES", "(External ID)", "") &amp; " " &amp; IF(SUMPRODUCT(-- ISNUMBER(SEARCH({"Unique","Unique Case Insensitive"}, $R160))) &gt; 0, "(" &amp; $R160 &amp; ")", ""))))</f>
        <v>na</v>
      </c>
      <c r="E160" s="7" t="s">
        <v>195</v>
      </c>
      <c r="F160" s="7" t="s">
        <v>195</v>
      </c>
      <c r="G160" s="7" t="s">
        <v>195</v>
      </c>
      <c r="H160" s="7" t="s">
        <v>195</v>
      </c>
      <c r="I160" s="7" t="s">
        <v>195</v>
      </c>
      <c r="J160" s="7" t="s">
        <v>195</v>
      </c>
      <c r="K160" s="7" t="s">
        <v>195</v>
      </c>
      <c r="L160" s="7" t="s">
        <v>195</v>
      </c>
      <c r="M160" s="7" t="s">
        <v>29</v>
      </c>
      <c r="N160" s="7" t="s">
        <v>29</v>
      </c>
      <c r="O160" s="7" t="s">
        <v>29</v>
      </c>
      <c r="P160" s="7" t="s">
        <v>29</v>
      </c>
      <c r="Q160" s="7" t="s">
        <v>29</v>
      </c>
      <c r="R160" s="7" t="s">
        <v>29</v>
      </c>
      <c r="S160" s="7" t="s">
        <v>29</v>
      </c>
    </row>
    <row r="161" spans="2:19">
      <c r="B161" s="7" t="s">
        <v>195</v>
      </c>
      <c r="C161" s="8" t="s">
        <v>195</v>
      </c>
      <c r="D161" s="5" t="str">
        <f>LRTRIM(CONCATENATE(IF(SUMPRODUCT(-- ISNUMBER(SEARCH({"Auto Number"}, $B161))) &gt; 0, $B161, IF(SUMPRODUCT(-- ISNUMBER(SEARCH({"Lookup","Master-Detail"}, $B161))) &gt; 0,$B161 &amp; "(" &amp; $E161 &amp; ")",IF(SUMPRODUCT(-- ISNUMBER(SEARCH({"Formula","Roll-Up Summary"}, $B161))) &gt; 0,$B161 &amp; " (" &amp; $E161 &amp; ")",IF(SUMPRODUCT(-- ISNUMBER(SEARCH({"Content","Currency","Number","Percent","Text","URL"}, $B161))) &gt; 0,$B161 &amp; "(" &amp; $C161 &amp; ")",$B161)))), "  ", TRIM(IF($S161 = "YES", "(External ID)", "") &amp; " " &amp; IF(SUMPRODUCT(-- ISNUMBER(SEARCH({"Unique","Unique Case Insensitive"}, $R161))) &gt; 0, "(" &amp; $R161 &amp; ")", ""))))</f>
        <v>na</v>
      </c>
      <c r="E161" s="7" t="s">
        <v>195</v>
      </c>
      <c r="F161" s="7" t="s">
        <v>195</v>
      </c>
      <c r="G161" s="7" t="s">
        <v>195</v>
      </c>
      <c r="H161" s="7" t="s">
        <v>195</v>
      </c>
      <c r="I161" s="7" t="s">
        <v>195</v>
      </c>
      <c r="J161" s="7" t="s">
        <v>195</v>
      </c>
      <c r="K161" s="7" t="s">
        <v>195</v>
      </c>
      <c r="L161" s="7" t="s">
        <v>195</v>
      </c>
      <c r="M161" s="7" t="s">
        <v>29</v>
      </c>
      <c r="N161" s="7" t="s">
        <v>29</v>
      </c>
      <c r="O161" s="7" t="s">
        <v>29</v>
      </c>
      <c r="P161" s="7" t="s">
        <v>29</v>
      </c>
      <c r="Q161" s="7" t="s">
        <v>29</v>
      </c>
      <c r="R161" s="7" t="s">
        <v>29</v>
      </c>
      <c r="S161" s="7" t="s">
        <v>29</v>
      </c>
    </row>
    <row r="162" spans="2:19">
      <c r="B162" s="7" t="s">
        <v>195</v>
      </c>
      <c r="C162" s="8" t="s">
        <v>195</v>
      </c>
      <c r="D162" s="5" t="str">
        <f>LRTRIM(CONCATENATE(IF(SUMPRODUCT(-- ISNUMBER(SEARCH({"Auto Number"}, $B162))) &gt; 0, $B162, IF(SUMPRODUCT(-- ISNUMBER(SEARCH({"Lookup","Master-Detail"}, $B162))) &gt; 0,$B162 &amp; "(" &amp; $E162 &amp; ")",IF(SUMPRODUCT(-- ISNUMBER(SEARCH({"Formula","Roll-Up Summary"}, $B162))) &gt; 0,$B162 &amp; " (" &amp; $E162 &amp; ")",IF(SUMPRODUCT(-- ISNUMBER(SEARCH({"Content","Currency","Number","Percent","Text","URL"}, $B162))) &gt; 0,$B162 &amp; "(" &amp; $C162 &amp; ")",$B162)))), "  ", TRIM(IF($S162 = "YES", "(External ID)", "") &amp; " " &amp; IF(SUMPRODUCT(-- ISNUMBER(SEARCH({"Unique","Unique Case Insensitive"}, $R162))) &gt; 0, "(" &amp; $R162 &amp; ")", ""))))</f>
        <v>na</v>
      </c>
      <c r="E162" s="7" t="s">
        <v>195</v>
      </c>
      <c r="F162" s="7" t="s">
        <v>195</v>
      </c>
      <c r="G162" s="7" t="s">
        <v>195</v>
      </c>
      <c r="H162" s="7" t="s">
        <v>195</v>
      </c>
      <c r="I162" s="7" t="s">
        <v>195</v>
      </c>
      <c r="J162" s="7" t="s">
        <v>195</v>
      </c>
      <c r="K162" s="7" t="s">
        <v>195</v>
      </c>
      <c r="L162" s="7" t="s">
        <v>195</v>
      </c>
      <c r="M162" s="7" t="s">
        <v>29</v>
      </c>
      <c r="N162" s="7" t="s">
        <v>29</v>
      </c>
      <c r="O162" s="7" t="s">
        <v>29</v>
      </c>
      <c r="P162" s="7" t="s">
        <v>29</v>
      </c>
      <c r="Q162" s="7" t="s">
        <v>29</v>
      </c>
      <c r="R162" s="7" t="s">
        <v>29</v>
      </c>
      <c r="S162" s="7" t="s">
        <v>29</v>
      </c>
    </row>
    <row r="163" spans="2:19">
      <c r="B163" s="7" t="s">
        <v>195</v>
      </c>
      <c r="C163" s="8" t="s">
        <v>195</v>
      </c>
      <c r="D163" s="5" t="str">
        <f>LRTRIM(CONCATENATE(IF(SUMPRODUCT(-- ISNUMBER(SEARCH({"Auto Number"}, $B163))) &gt; 0, $B163, IF(SUMPRODUCT(-- ISNUMBER(SEARCH({"Lookup","Master-Detail"}, $B163))) &gt; 0,$B163 &amp; "(" &amp; $E163 &amp; ")",IF(SUMPRODUCT(-- ISNUMBER(SEARCH({"Formula","Roll-Up Summary"}, $B163))) &gt; 0,$B163 &amp; " (" &amp; $E163 &amp; ")",IF(SUMPRODUCT(-- ISNUMBER(SEARCH({"Content","Currency","Number","Percent","Text","URL"}, $B163))) &gt; 0,$B163 &amp; "(" &amp; $C163 &amp; ")",$B163)))), "  ", TRIM(IF($S163 = "YES", "(External ID)", "") &amp; " " &amp; IF(SUMPRODUCT(-- ISNUMBER(SEARCH({"Unique","Unique Case Insensitive"}, $R163))) &gt; 0, "(" &amp; $R163 &amp; ")", ""))))</f>
        <v>na</v>
      </c>
      <c r="E163" s="7" t="s">
        <v>195</v>
      </c>
      <c r="F163" s="7" t="s">
        <v>195</v>
      </c>
      <c r="G163" s="7" t="s">
        <v>195</v>
      </c>
      <c r="H163" s="7" t="s">
        <v>195</v>
      </c>
      <c r="I163" s="7" t="s">
        <v>195</v>
      </c>
      <c r="J163" s="7" t="s">
        <v>195</v>
      </c>
      <c r="K163" s="7" t="s">
        <v>195</v>
      </c>
      <c r="L163" s="7" t="s">
        <v>195</v>
      </c>
      <c r="M163" s="7" t="s">
        <v>29</v>
      </c>
      <c r="N163" s="7" t="s">
        <v>29</v>
      </c>
      <c r="O163" s="7" t="s">
        <v>29</v>
      </c>
      <c r="P163" s="7" t="s">
        <v>29</v>
      </c>
      <c r="Q163" s="7" t="s">
        <v>29</v>
      </c>
      <c r="R163" s="7" t="s">
        <v>29</v>
      </c>
      <c r="S163" s="7" t="s">
        <v>29</v>
      </c>
    </row>
    <row r="164" spans="2:19">
      <c r="B164" s="7" t="s">
        <v>195</v>
      </c>
      <c r="C164" s="8" t="s">
        <v>195</v>
      </c>
      <c r="D164" s="5" t="str">
        <f>LRTRIM(CONCATENATE(IF(SUMPRODUCT(-- ISNUMBER(SEARCH({"Auto Number"}, $B164))) &gt; 0, $B164, IF(SUMPRODUCT(-- ISNUMBER(SEARCH({"Lookup","Master-Detail"}, $B164))) &gt; 0,$B164 &amp; "(" &amp; $E164 &amp; ")",IF(SUMPRODUCT(-- ISNUMBER(SEARCH({"Formula","Roll-Up Summary"}, $B164))) &gt; 0,$B164 &amp; " (" &amp; $E164 &amp; ")",IF(SUMPRODUCT(-- ISNUMBER(SEARCH({"Content","Currency","Number","Percent","Text","URL"}, $B164))) &gt; 0,$B164 &amp; "(" &amp; $C164 &amp; ")",$B164)))), "  ", TRIM(IF($S164 = "YES", "(External ID)", "") &amp; " " &amp; IF(SUMPRODUCT(-- ISNUMBER(SEARCH({"Unique","Unique Case Insensitive"}, $R164))) &gt; 0, "(" &amp; $R164 &amp; ")", ""))))</f>
        <v>na</v>
      </c>
      <c r="E164" s="7" t="s">
        <v>195</v>
      </c>
      <c r="F164" s="7" t="s">
        <v>195</v>
      </c>
      <c r="G164" s="7" t="s">
        <v>195</v>
      </c>
      <c r="H164" s="7" t="s">
        <v>195</v>
      </c>
      <c r="I164" s="7" t="s">
        <v>195</v>
      </c>
      <c r="J164" s="7" t="s">
        <v>195</v>
      </c>
      <c r="K164" s="7" t="s">
        <v>195</v>
      </c>
      <c r="L164" s="7" t="s">
        <v>195</v>
      </c>
      <c r="M164" s="7" t="s">
        <v>29</v>
      </c>
      <c r="N164" s="7" t="s">
        <v>29</v>
      </c>
      <c r="O164" s="7" t="s">
        <v>29</v>
      </c>
      <c r="P164" s="7" t="s">
        <v>29</v>
      </c>
      <c r="Q164" s="7" t="s">
        <v>29</v>
      </c>
      <c r="R164" s="7" t="s">
        <v>29</v>
      </c>
      <c r="S164" s="7" t="s">
        <v>29</v>
      </c>
    </row>
    <row r="165" spans="2:19">
      <c r="B165" s="7" t="s">
        <v>195</v>
      </c>
      <c r="C165" s="8" t="s">
        <v>195</v>
      </c>
      <c r="D165" s="5" t="str">
        <f>LRTRIM(CONCATENATE(IF(SUMPRODUCT(-- ISNUMBER(SEARCH({"Auto Number"}, $B165))) &gt; 0, $B165, IF(SUMPRODUCT(-- ISNUMBER(SEARCH({"Lookup","Master-Detail"}, $B165))) &gt; 0,$B165 &amp; "(" &amp; $E165 &amp; ")",IF(SUMPRODUCT(-- ISNUMBER(SEARCH({"Formula","Roll-Up Summary"}, $B165))) &gt; 0,$B165 &amp; " (" &amp; $E165 &amp; ")",IF(SUMPRODUCT(-- ISNUMBER(SEARCH({"Content","Currency","Number","Percent","Text","URL"}, $B165))) &gt; 0,$B165 &amp; "(" &amp; $C165 &amp; ")",$B165)))), "  ", TRIM(IF($S165 = "YES", "(External ID)", "") &amp; " " &amp; IF(SUMPRODUCT(-- ISNUMBER(SEARCH({"Unique","Unique Case Insensitive"}, $R165))) &gt; 0, "(" &amp; $R165 &amp; ")", ""))))</f>
        <v>na</v>
      </c>
      <c r="E165" s="7" t="s">
        <v>195</v>
      </c>
      <c r="F165" s="7" t="s">
        <v>195</v>
      </c>
      <c r="G165" s="7" t="s">
        <v>195</v>
      </c>
      <c r="H165" s="7" t="s">
        <v>195</v>
      </c>
      <c r="I165" s="7" t="s">
        <v>195</v>
      </c>
      <c r="J165" s="7" t="s">
        <v>195</v>
      </c>
      <c r="K165" s="7" t="s">
        <v>195</v>
      </c>
      <c r="L165" s="7" t="s">
        <v>195</v>
      </c>
      <c r="M165" s="7" t="s">
        <v>29</v>
      </c>
      <c r="N165" s="7" t="s">
        <v>29</v>
      </c>
      <c r="O165" s="7" t="s">
        <v>29</v>
      </c>
      <c r="P165" s="7" t="s">
        <v>29</v>
      </c>
      <c r="Q165" s="7" t="s">
        <v>29</v>
      </c>
      <c r="R165" s="7" t="s">
        <v>29</v>
      </c>
      <c r="S165" s="7" t="s">
        <v>29</v>
      </c>
    </row>
    <row r="166" spans="2:19">
      <c r="B166" s="7" t="s">
        <v>195</v>
      </c>
      <c r="C166" s="8" t="s">
        <v>195</v>
      </c>
      <c r="D166" s="5" t="str">
        <f>LRTRIM(CONCATENATE(IF(SUMPRODUCT(-- ISNUMBER(SEARCH({"Auto Number"}, $B166))) &gt; 0, $B166, IF(SUMPRODUCT(-- ISNUMBER(SEARCH({"Lookup","Master-Detail"}, $B166))) &gt; 0,$B166 &amp; "(" &amp; $E166 &amp; ")",IF(SUMPRODUCT(-- ISNUMBER(SEARCH({"Formula","Roll-Up Summary"}, $B166))) &gt; 0,$B166 &amp; " (" &amp; $E166 &amp; ")",IF(SUMPRODUCT(-- ISNUMBER(SEARCH({"Content","Currency","Number","Percent","Text","URL"}, $B166))) &gt; 0,$B166 &amp; "(" &amp; $C166 &amp; ")",$B166)))), "  ", TRIM(IF($S166 = "YES", "(External ID)", "") &amp; " " &amp; IF(SUMPRODUCT(-- ISNUMBER(SEARCH({"Unique","Unique Case Insensitive"}, $R166))) &gt; 0, "(" &amp; $R166 &amp; ")", ""))))</f>
        <v>na</v>
      </c>
      <c r="E166" s="7" t="s">
        <v>195</v>
      </c>
      <c r="F166" s="7" t="s">
        <v>195</v>
      </c>
      <c r="G166" s="7" t="s">
        <v>195</v>
      </c>
      <c r="H166" s="7" t="s">
        <v>195</v>
      </c>
      <c r="I166" s="7" t="s">
        <v>195</v>
      </c>
      <c r="J166" s="7" t="s">
        <v>195</v>
      </c>
      <c r="K166" s="7" t="s">
        <v>195</v>
      </c>
      <c r="L166" s="7" t="s">
        <v>195</v>
      </c>
      <c r="M166" s="7" t="s">
        <v>29</v>
      </c>
      <c r="N166" s="7" t="s">
        <v>29</v>
      </c>
      <c r="O166" s="7" t="s">
        <v>29</v>
      </c>
      <c r="P166" s="7" t="s">
        <v>29</v>
      </c>
      <c r="Q166" s="7" t="s">
        <v>29</v>
      </c>
      <c r="R166" s="7" t="s">
        <v>29</v>
      </c>
      <c r="S166" s="7" t="s">
        <v>29</v>
      </c>
    </row>
    <row r="167" spans="2:19">
      <c r="B167" s="7" t="s">
        <v>195</v>
      </c>
      <c r="C167" s="8" t="s">
        <v>195</v>
      </c>
      <c r="D167" s="5" t="str">
        <f>LRTRIM(CONCATENATE(IF(SUMPRODUCT(-- ISNUMBER(SEARCH({"Auto Number"}, $B167))) &gt; 0, $B167, IF(SUMPRODUCT(-- ISNUMBER(SEARCH({"Lookup","Master-Detail"}, $B167))) &gt; 0,$B167 &amp; "(" &amp; $E167 &amp; ")",IF(SUMPRODUCT(-- ISNUMBER(SEARCH({"Formula","Roll-Up Summary"}, $B167))) &gt; 0,$B167 &amp; " (" &amp; $E167 &amp; ")",IF(SUMPRODUCT(-- ISNUMBER(SEARCH({"Content","Currency","Number","Percent","Text","URL"}, $B167))) &gt; 0,$B167 &amp; "(" &amp; $C167 &amp; ")",$B167)))), "  ", TRIM(IF($S167 = "YES", "(External ID)", "") &amp; " " &amp; IF(SUMPRODUCT(-- ISNUMBER(SEARCH({"Unique","Unique Case Insensitive"}, $R167))) &gt; 0, "(" &amp; $R167 &amp; ")", ""))))</f>
        <v>na</v>
      </c>
      <c r="E167" s="7" t="s">
        <v>195</v>
      </c>
      <c r="F167" s="7" t="s">
        <v>195</v>
      </c>
      <c r="G167" s="7" t="s">
        <v>195</v>
      </c>
      <c r="H167" s="7" t="s">
        <v>195</v>
      </c>
      <c r="I167" s="7" t="s">
        <v>195</v>
      </c>
      <c r="J167" s="7" t="s">
        <v>195</v>
      </c>
      <c r="K167" s="7" t="s">
        <v>195</v>
      </c>
      <c r="L167" s="7" t="s">
        <v>195</v>
      </c>
      <c r="M167" s="7" t="s">
        <v>29</v>
      </c>
      <c r="N167" s="7" t="s">
        <v>29</v>
      </c>
      <c r="O167" s="7" t="s">
        <v>29</v>
      </c>
      <c r="P167" s="7" t="s">
        <v>29</v>
      </c>
      <c r="Q167" s="7" t="s">
        <v>29</v>
      </c>
      <c r="R167" s="7" t="s">
        <v>29</v>
      </c>
      <c r="S167" s="7" t="s">
        <v>29</v>
      </c>
    </row>
    <row r="168" spans="2:19">
      <c r="B168" s="7" t="s">
        <v>195</v>
      </c>
      <c r="C168" s="8" t="s">
        <v>195</v>
      </c>
      <c r="D168" s="5" t="str">
        <f>LRTRIM(CONCATENATE(IF(SUMPRODUCT(-- ISNUMBER(SEARCH({"Auto Number"}, $B168))) &gt; 0, $B168, IF(SUMPRODUCT(-- ISNUMBER(SEARCH({"Lookup","Master-Detail"}, $B168))) &gt; 0,$B168 &amp; "(" &amp; $E168 &amp; ")",IF(SUMPRODUCT(-- ISNUMBER(SEARCH({"Formula","Roll-Up Summary"}, $B168))) &gt; 0,$B168 &amp; " (" &amp; $E168 &amp; ")",IF(SUMPRODUCT(-- ISNUMBER(SEARCH({"Content","Currency","Number","Percent","Text","URL"}, $B168))) &gt; 0,$B168 &amp; "(" &amp; $C168 &amp; ")",$B168)))), "  ", TRIM(IF($S168 = "YES", "(External ID)", "") &amp; " " &amp; IF(SUMPRODUCT(-- ISNUMBER(SEARCH({"Unique","Unique Case Insensitive"}, $R168))) &gt; 0, "(" &amp; $R168 &amp; ")", ""))))</f>
        <v>na</v>
      </c>
      <c r="E168" s="7" t="s">
        <v>195</v>
      </c>
      <c r="F168" s="7" t="s">
        <v>195</v>
      </c>
      <c r="G168" s="7" t="s">
        <v>195</v>
      </c>
      <c r="H168" s="7" t="s">
        <v>195</v>
      </c>
      <c r="I168" s="7" t="s">
        <v>195</v>
      </c>
      <c r="J168" s="7" t="s">
        <v>195</v>
      </c>
      <c r="K168" s="7" t="s">
        <v>195</v>
      </c>
      <c r="L168" s="7" t="s">
        <v>195</v>
      </c>
      <c r="M168" s="7" t="s">
        <v>29</v>
      </c>
      <c r="N168" s="7" t="s">
        <v>29</v>
      </c>
      <c r="O168" s="7" t="s">
        <v>29</v>
      </c>
      <c r="P168" s="7" t="s">
        <v>29</v>
      </c>
      <c r="Q168" s="7" t="s">
        <v>29</v>
      </c>
      <c r="R168" s="7" t="s">
        <v>29</v>
      </c>
      <c r="S168" s="7" t="s">
        <v>29</v>
      </c>
    </row>
    <row r="169" spans="2:19">
      <c r="B169" s="7" t="s">
        <v>195</v>
      </c>
      <c r="C169" s="8" t="s">
        <v>195</v>
      </c>
      <c r="D169" s="5" t="str">
        <f>LRTRIM(CONCATENATE(IF(SUMPRODUCT(-- ISNUMBER(SEARCH({"Auto Number"}, $B169))) &gt; 0, $B169, IF(SUMPRODUCT(-- ISNUMBER(SEARCH({"Lookup","Master-Detail"}, $B169))) &gt; 0,$B169 &amp; "(" &amp; $E169 &amp; ")",IF(SUMPRODUCT(-- ISNUMBER(SEARCH({"Formula","Roll-Up Summary"}, $B169))) &gt; 0,$B169 &amp; " (" &amp; $E169 &amp; ")",IF(SUMPRODUCT(-- ISNUMBER(SEARCH({"Content","Currency","Number","Percent","Text","URL"}, $B169))) &gt; 0,$B169 &amp; "(" &amp; $C169 &amp; ")",$B169)))), "  ", TRIM(IF($S169 = "YES", "(External ID)", "") &amp; " " &amp; IF(SUMPRODUCT(-- ISNUMBER(SEARCH({"Unique","Unique Case Insensitive"}, $R169))) &gt; 0, "(" &amp; $R169 &amp; ")", ""))))</f>
        <v>na</v>
      </c>
      <c r="E169" s="7" t="s">
        <v>195</v>
      </c>
      <c r="F169" s="7" t="s">
        <v>195</v>
      </c>
      <c r="G169" s="7" t="s">
        <v>195</v>
      </c>
      <c r="H169" s="7" t="s">
        <v>195</v>
      </c>
      <c r="I169" s="7" t="s">
        <v>195</v>
      </c>
      <c r="J169" s="7" t="s">
        <v>195</v>
      </c>
      <c r="K169" s="7" t="s">
        <v>195</v>
      </c>
      <c r="L169" s="7" t="s">
        <v>195</v>
      </c>
      <c r="M169" s="7" t="s">
        <v>29</v>
      </c>
      <c r="N169" s="7" t="s">
        <v>29</v>
      </c>
      <c r="O169" s="7" t="s">
        <v>29</v>
      </c>
      <c r="P169" s="7" t="s">
        <v>29</v>
      </c>
      <c r="Q169" s="7" t="s">
        <v>29</v>
      </c>
      <c r="R169" s="7" t="s">
        <v>29</v>
      </c>
      <c r="S169" s="7" t="s">
        <v>29</v>
      </c>
    </row>
    <row r="170" spans="2:19">
      <c r="B170" s="7" t="s">
        <v>195</v>
      </c>
      <c r="C170" s="8" t="s">
        <v>195</v>
      </c>
      <c r="D170" s="5" t="str">
        <f>LRTRIM(CONCATENATE(IF(SUMPRODUCT(-- ISNUMBER(SEARCH({"Auto Number"}, $B170))) &gt; 0, $B170, IF(SUMPRODUCT(-- ISNUMBER(SEARCH({"Lookup","Master-Detail"}, $B170))) &gt; 0,$B170 &amp; "(" &amp; $E170 &amp; ")",IF(SUMPRODUCT(-- ISNUMBER(SEARCH({"Formula","Roll-Up Summary"}, $B170))) &gt; 0,$B170 &amp; " (" &amp; $E170 &amp; ")",IF(SUMPRODUCT(-- ISNUMBER(SEARCH({"Content","Currency","Number","Percent","Text","URL"}, $B170))) &gt; 0,$B170 &amp; "(" &amp; $C170 &amp; ")",$B170)))), "  ", TRIM(IF($S170 = "YES", "(External ID)", "") &amp; " " &amp; IF(SUMPRODUCT(-- ISNUMBER(SEARCH({"Unique","Unique Case Insensitive"}, $R170))) &gt; 0, "(" &amp; $R170 &amp; ")", ""))))</f>
        <v>na</v>
      </c>
      <c r="E170" s="7" t="s">
        <v>195</v>
      </c>
      <c r="F170" s="7" t="s">
        <v>195</v>
      </c>
      <c r="G170" s="7" t="s">
        <v>195</v>
      </c>
      <c r="H170" s="7" t="s">
        <v>195</v>
      </c>
      <c r="I170" s="7" t="s">
        <v>195</v>
      </c>
      <c r="J170" s="7" t="s">
        <v>195</v>
      </c>
      <c r="K170" s="7" t="s">
        <v>195</v>
      </c>
      <c r="L170" s="7" t="s">
        <v>195</v>
      </c>
      <c r="M170" s="7" t="s">
        <v>29</v>
      </c>
      <c r="N170" s="7" t="s">
        <v>29</v>
      </c>
      <c r="O170" s="7" t="s">
        <v>29</v>
      </c>
      <c r="P170" s="7" t="s">
        <v>29</v>
      </c>
      <c r="Q170" s="7" t="s">
        <v>29</v>
      </c>
      <c r="R170" s="7" t="s">
        <v>29</v>
      </c>
      <c r="S170" s="7" t="s">
        <v>29</v>
      </c>
    </row>
    <row r="171" spans="2:19">
      <c r="B171" s="7" t="s">
        <v>195</v>
      </c>
      <c r="C171" s="8" t="s">
        <v>195</v>
      </c>
      <c r="D171" s="5" t="str">
        <f>LRTRIM(CONCATENATE(IF(SUMPRODUCT(-- ISNUMBER(SEARCH({"Auto Number"}, $B171))) &gt; 0, $B171, IF(SUMPRODUCT(-- ISNUMBER(SEARCH({"Lookup","Master-Detail"}, $B171))) &gt; 0,$B171 &amp; "(" &amp; $E171 &amp; ")",IF(SUMPRODUCT(-- ISNUMBER(SEARCH({"Formula","Roll-Up Summary"}, $B171))) &gt; 0,$B171 &amp; " (" &amp; $E171 &amp; ")",IF(SUMPRODUCT(-- ISNUMBER(SEARCH({"Content","Currency","Number","Percent","Text","URL"}, $B171))) &gt; 0,$B171 &amp; "(" &amp; $C171 &amp; ")",$B171)))), "  ", TRIM(IF($S171 = "YES", "(External ID)", "") &amp; " " &amp; IF(SUMPRODUCT(-- ISNUMBER(SEARCH({"Unique","Unique Case Insensitive"}, $R171))) &gt; 0, "(" &amp; $R171 &amp; ")", ""))))</f>
        <v>na</v>
      </c>
      <c r="E171" s="7" t="s">
        <v>195</v>
      </c>
      <c r="F171" s="7" t="s">
        <v>195</v>
      </c>
      <c r="G171" s="7" t="s">
        <v>195</v>
      </c>
      <c r="H171" s="7" t="s">
        <v>195</v>
      </c>
      <c r="I171" s="7" t="s">
        <v>195</v>
      </c>
      <c r="J171" s="7" t="s">
        <v>195</v>
      </c>
      <c r="K171" s="7" t="s">
        <v>195</v>
      </c>
      <c r="L171" s="7" t="s">
        <v>195</v>
      </c>
      <c r="M171" s="7" t="s">
        <v>29</v>
      </c>
      <c r="N171" s="7" t="s">
        <v>29</v>
      </c>
      <c r="O171" s="7" t="s">
        <v>29</v>
      </c>
      <c r="P171" s="7" t="s">
        <v>29</v>
      </c>
      <c r="Q171" s="7" t="s">
        <v>29</v>
      </c>
      <c r="R171" s="7" t="s">
        <v>29</v>
      </c>
      <c r="S171" s="7" t="s">
        <v>29</v>
      </c>
    </row>
    <row r="172" spans="2:19">
      <c r="B172" s="7" t="s">
        <v>195</v>
      </c>
      <c r="C172" s="8" t="s">
        <v>195</v>
      </c>
      <c r="D172" s="5" t="str">
        <f>LRTRIM(CONCATENATE(IF(SUMPRODUCT(-- ISNUMBER(SEARCH({"Auto Number"}, $B172))) &gt; 0, $B172, IF(SUMPRODUCT(-- ISNUMBER(SEARCH({"Lookup","Master-Detail"}, $B172))) &gt; 0,$B172 &amp; "(" &amp; $E172 &amp; ")",IF(SUMPRODUCT(-- ISNUMBER(SEARCH({"Formula","Roll-Up Summary"}, $B172))) &gt; 0,$B172 &amp; " (" &amp; $E172 &amp; ")",IF(SUMPRODUCT(-- ISNUMBER(SEARCH({"Content","Currency","Number","Percent","Text","URL"}, $B172))) &gt; 0,$B172 &amp; "(" &amp; $C172 &amp; ")",$B172)))), "  ", TRIM(IF($S172 = "YES", "(External ID)", "") &amp; " " &amp; IF(SUMPRODUCT(-- ISNUMBER(SEARCH({"Unique","Unique Case Insensitive"}, $R172))) &gt; 0, "(" &amp; $R172 &amp; ")", ""))))</f>
        <v>na</v>
      </c>
      <c r="E172" s="7" t="s">
        <v>195</v>
      </c>
      <c r="F172" s="7" t="s">
        <v>195</v>
      </c>
      <c r="G172" s="7" t="s">
        <v>195</v>
      </c>
      <c r="H172" s="7" t="s">
        <v>195</v>
      </c>
      <c r="I172" s="7" t="s">
        <v>195</v>
      </c>
      <c r="J172" s="7" t="s">
        <v>195</v>
      </c>
      <c r="K172" s="7" t="s">
        <v>195</v>
      </c>
      <c r="L172" s="7" t="s">
        <v>195</v>
      </c>
      <c r="M172" s="7" t="s">
        <v>29</v>
      </c>
      <c r="N172" s="7" t="s">
        <v>29</v>
      </c>
      <c r="O172" s="7" t="s">
        <v>29</v>
      </c>
      <c r="P172" s="7" t="s">
        <v>29</v>
      </c>
      <c r="Q172" s="7" t="s">
        <v>29</v>
      </c>
      <c r="R172" s="7" t="s">
        <v>29</v>
      </c>
      <c r="S172" s="7" t="s">
        <v>29</v>
      </c>
    </row>
    <row r="173" spans="2:19">
      <c r="B173" s="7" t="s">
        <v>195</v>
      </c>
      <c r="C173" s="8" t="s">
        <v>195</v>
      </c>
      <c r="D173" s="5" t="str">
        <f>LRTRIM(CONCATENATE(IF(SUMPRODUCT(-- ISNUMBER(SEARCH({"Auto Number"}, $B173))) &gt; 0, $B173, IF(SUMPRODUCT(-- ISNUMBER(SEARCH({"Lookup","Master-Detail"}, $B173))) &gt; 0,$B173 &amp; "(" &amp; $E173 &amp; ")",IF(SUMPRODUCT(-- ISNUMBER(SEARCH({"Formula","Roll-Up Summary"}, $B173))) &gt; 0,$B173 &amp; " (" &amp; $E173 &amp; ")",IF(SUMPRODUCT(-- ISNUMBER(SEARCH({"Content","Currency","Number","Percent","Text","URL"}, $B173))) &gt; 0,$B173 &amp; "(" &amp; $C173 &amp; ")",$B173)))), "  ", TRIM(IF($S173 = "YES", "(External ID)", "") &amp; " " &amp; IF(SUMPRODUCT(-- ISNUMBER(SEARCH({"Unique","Unique Case Insensitive"}, $R173))) &gt; 0, "(" &amp; $R173 &amp; ")", ""))))</f>
        <v>na</v>
      </c>
      <c r="E173" s="7" t="s">
        <v>195</v>
      </c>
      <c r="F173" s="7" t="s">
        <v>195</v>
      </c>
      <c r="G173" s="7" t="s">
        <v>195</v>
      </c>
      <c r="H173" s="7" t="s">
        <v>195</v>
      </c>
      <c r="I173" s="7" t="s">
        <v>195</v>
      </c>
      <c r="J173" s="7" t="s">
        <v>195</v>
      </c>
      <c r="K173" s="7" t="s">
        <v>195</v>
      </c>
      <c r="L173" s="7" t="s">
        <v>195</v>
      </c>
      <c r="M173" s="7" t="s">
        <v>29</v>
      </c>
      <c r="N173" s="7" t="s">
        <v>29</v>
      </c>
      <c r="O173" s="7" t="s">
        <v>29</v>
      </c>
      <c r="P173" s="7" t="s">
        <v>29</v>
      </c>
      <c r="Q173" s="7" t="s">
        <v>29</v>
      </c>
      <c r="R173" s="7" t="s">
        <v>29</v>
      </c>
      <c r="S173" s="7" t="s">
        <v>29</v>
      </c>
    </row>
    <row r="174" spans="2:19">
      <c r="B174" s="7" t="s">
        <v>195</v>
      </c>
      <c r="C174" s="8" t="s">
        <v>195</v>
      </c>
      <c r="D174" s="5" t="str">
        <f>LRTRIM(CONCATENATE(IF(SUMPRODUCT(-- ISNUMBER(SEARCH({"Auto Number"}, $B174))) &gt; 0, $B174, IF(SUMPRODUCT(-- ISNUMBER(SEARCH({"Lookup","Master-Detail"}, $B174))) &gt; 0,$B174 &amp; "(" &amp; $E174 &amp; ")",IF(SUMPRODUCT(-- ISNUMBER(SEARCH({"Formula","Roll-Up Summary"}, $B174))) &gt; 0,$B174 &amp; " (" &amp; $E174 &amp; ")",IF(SUMPRODUCT(-- ISNUMBER(SEARCH({"Content","Currency","Number","Percent","Text","URL"}, $B174))) &gt; 0,$B174 &amp; "(" &amp; $C174 &amp; ")",$B174)))), "  ", TRIM(IF($S174 = "YES", "(External ID)", "") &amp; " " &amp; IF(SUMPRODUCT(-- ISNUMBER(SEARCH({"Unique","Unique Case Insensitive"}, $R174))) &gt; 0, "(" &amp; $R174 &amp; ")", ""))))</f>
        <v>na</v>
      </c>
      <c r="E174" s="7" t="s">
        <v>195</v>
      </c>
      <c r="F174" s="7" t="s">
        <v>195</v>
      </c>
      <c r="G174" s="7" t="s">
        <v>195</v>
      </c>
      <c r="H174" s="7" t="s">
        <v>195</v>
      </c>
      <c r="I174" s="7" t="s">
        <v>195</v>
      </c>
      <c r="J174" s="7" t="s">
        <v>195</v>
      </c>
      <c r="K174" s="7" t="s">
        <v>195</v>
      </c>
      <c r="L174" s="7" t="s">
        <v>195</v>
      </c>
      <c r="M174" s="7" t="s">
        <v>29</v>
      </c>
      <c r="N174" s="7" t="s">
        <v>29</v>
      </c>
      <c r="O174" s="7" t="s">
        <v>29</v>
      </c>
      <c r="P174" s="7" t="s">
        <v>29</v>
      </c>
      <c r="Q174" s="7" t="s">
        <v>29</v>
      </c>
      <c r="R174" s="7" t="s">
        <v>29</v>
      </c>
      <c r="S174" s="7" t="s">
        <v>29</v>
      </c>
    </row>
    <row r="175" spans="2:19">
      <c r="B175" s="7" t="s">
        <v>195</v>
      </c>
      <c r="C175" s="8" t="s">
        <v>195</v>
      </c>
      <c r="D175" s="5" t="str">
        <f>LRTRIM(CONCATENATE(IF(SUMPRODUCT(-- ISNUMBER(SEARCH({"Auto Number"}, $B175))) &gt; 0, $B175, IF(SUMPRODUCT(-- ISNUMBER(SEARCH({"Lookup","Master-Detail"}, $B175))) &gt; 0,$B175 &amp; "(" &amp; $E175 &amp; ")",IF(SUMPRODUCT(-- ISNUMBER(SEARCH({"Formula","Roll-Up Summary"}, $B175))) &gt; 0,$B175 &amp; " (" &amp; $E175 &amp; ")",IF(SUMPRODUCT(-- ISNUMBER(SEARCH({"Content","Currency","Number","Percent","Text","URL"}, $B175))) &gt; 0,$B175 &amp; "(" &amp; $C175 &amp; ")",$B175)))), "  ", TRIM(IF($S175 = "YES", "(External ID)", "") &amp; " " &amp; IF(SUMPRODUCT(-- ISNUMBER(SEARCH({"Unique","Unique Case Insensitive"}, $R175))) &gt; 0, "(" &amp; $R175 &amp; ")", ""))))</f>
        <v>na</v>
      </c>
      <c r="E175" s="7" t="s">
        <v>195</v>
      </c>
      <c r="F175" s="7" t="s">
        <v>195</v>
      </c>
      <c r="G175" s="7" t="s">
        <v>195</v>
      </c>
      <c r="H175" s="7" t="s">
        <v>195</v>
      </c>
      <c r="I175" s="7" t="s">
        <v>195</v>
      </c>
      <c r="J175" s="7" t="s">
        <v>195</v>
      </c>
      <c r="K175" s="7" t="s">
        <v>195</v>
      </c>
      <c r="L175" s="7" t="s">
        <v>195</v>
      </c>
      <c r="M175" s="7" t="s">
        <v>29</v>
      </c>
      <c r="N175" s="7" t="s">
        <v>29</v>
      </c>
      <c r="O175" s="7" t="s">
        <v>29</v>
      </c>
      <c r="P175" s="7" t="s">
        <v>29</v>
      </c>
      <c r="Q175" s="7" t="s">
        <v>29</v>
      </c>
      <c r="R175" s="7" t="s">
        <v>29</v>
      </c>
      <c r="S175" s="7" t="s">
        <v>29</v>
      </c>
    </row>
    <row r="176" spans="2:19">
      <c r="B176" s="7" t="s">
        <v>195</v>
      </c>
      <c r="C176" s="8" t="s">
        <v>195</v>
      </c>
      <c r="D176" s="5" t="str">
        <f>LRTRIM(CONCATENATE(IF(SUMPRODUCT(-- ISNUMBER(SEARCH({"Auto Number"}, $B176))) &gt; 0, $B176, IF(SUMPRODUCT(-- ISNUMBER(SEARCH({"Lookup","Master-Detail"}, $B176))) &gt; 0,$B176 &amp; "(" &amp; $E176 &amp; ")",IF(SUMPRODUCT(-- ISNUMBER(SEARCH({"Formula","Roll-Up Summary"}, $B176))) &gt; 0,$B176 &amp; " (" &amp; $E176 &amp; ")",IF(SUMPRODUCT(-- ISNUMBER(SEARCH({"Content","Currency","Number","Percent","Text","URL"}, $B176))) &gt; 0,$B176 &amp; "(" &amp; $C176 &amp; ")",$B176)))), "  ", TRIM(IF($S176 = "YES", "(External ID)", "") &amp; " " &amp; IF(SUMPRODUCT(-- ISNUMBER(SEARCH({"Unique","Unique Case Insensitive"}, $R176))) &gt; 0, "(" &amp; $R176 &amp; ")", ""))))</f>
        <v>na</v>
      </c>
      <c r="E176" s="7" t="s">
        <v>195</v>
      </c>
      <c r="F176" s="7" t="s">
        <v>195</v>
      </c>
      <c r="G176" s="7" t="s">
        <v>195</v>
      </c>
      <c r="H176" s="7" t="s">
        <v>195</v>
      </c>
      <c r="I176" s="7" t="s">
        <v>195</v>
      </c>
      <c r="J176" s="7" t="s">
        <v>195</v>
      </c>
      <c r="K176" s="7" t="s">
        <v>195</v>
      </c>
      <c r="L176" s="7" t="s">
        <v>195</v>
      </c>
      <c r="M176" s="7" t="s">
        <v>29</v>
      </c>
      <c r="N176" s="7" t="s">
        <v>29</v>
      </c>
      <c r="O176" s="7" t="s">
        <v>29</v>
      </c>
      <c r="P176" s="7" t="s">
        <v>29</v>
      </c>
      <c r="Q176" s="7" t="s">
        <v>29</v>
      </c>
      <c r="R176" s="7" t="s">
        <v>29</v>
      </c>
      <c r="S176" s="7" t="s">
        <v>29</v>
      </c>
    </row>
    <row r="177" spans="2:19">
      <c r="B177" s="7" t="s">
        <v>195</v>
      </c>
      <c r="C177" s="8" t="s">
        <v>195</v>
      </c>
      <c r="D177" s="5" t="str">
        <f>LRTRIM(CONCATENATE(IF(SUMPRODUCT(-- ISNUMBER(SEARCH({"Auto Number"}, $B177))) &gt; 0, $B177, IF(SUMPRODUCT(-- ISNUMBER(SEARCH({"Lookup","Master-Detail"}, $B177))) &gt; 0,$B177 &amp; "(" &amp; $E177 &amp; ")",IF(SUMPRODUCT(-- ISNUMBER(SEARCH({"Formula","Roll-Up Summary"}, $B177))) &gt; 0,$B177 &amp; " (" &amp; $E177 &amp; ")",IF(SUMPRODUCT(-- ISNUMBER(SEARCH({"Content","Currency","Number","Percent","Text","URL"}, $B177))) &gt; 0,$B177 &amp; "(" &amp; $C177 &amp; ")",$B177)))), "  ", TRIM(IF($S177 = "YES", "(External ID)", "") &amp; " " &amp; IF(SUMPRODUCT(-- ISNUMBER(SEARCH({"Unique","Unique Case Insensitive"}, $R177))) &gt; 0, "(" &amp; $R177 &amp; ")", ""))))</f>
        <v>na</v>
      </c>
      <c r="E177" s="7" t="s">
        <v>195</v>
      </c>
      <c r="F177" s="7" t="s">
        <v>195</v>
      </c>
      <c r="G177" s="7" t="s">
        <v>195</v>
      </c>
      <c r="H177" s="7" t="s">
        <v>195</v>
      </c>
      <c r="I177" s="7" t="s">
        <v>195</v>
      </c>
      <c r="J177" s="7" t="s">
        <v>195</v>
      </c>
      <c r="K177" s="7" t="s">
        <v>195</v>
      </c>
      <c r="L177" s="7" t="s">
        <v>195</v>
      </c>
      <c r="M177" s="7" t="s">
        <v>29</v>
      </c>
      <c r="N177" s="7" t="s">
        <v>29</v>
      </c>
      <c r="O177" s="7" t="s">
        <v>29</v>
      </c>
      <c r="P177" s="7" t="s">
        <v>29</v>
      </c>
      <c r="Q177" s="7" t="s">
        <v>29</v>
      </c>
      <c r="R177" s="7" t="s">
        <v>29</v>
      </c>
      <c r="S177" s="7" t="s">
        <v>29</v>
      </c>
    </row>
    <row r="178" spans="2:19">
      <c r="B178" s="7" t="s">
        <v>195</v>
      </c>
      <c r="C178" s="8" t="s">
        <v>195</v>
      </c>
      <c r="D178" s="5" t="str">
        <f>LRTRIM(CONCATENATE(IF(SUMPRODUCT(-- ISNUMBER(SEARCH({"Auto Number"}, $B178))) &gt; 0, $B178, IF(SUMPRODUCT(-- ISNUMBER(SEARCH({"Lookup","Master-Detail"}, $B178))) &gt; 0,$B178 &amp; "(" &amp; $E178 &amp; ")",IF(SUMPRODUCT(-- ISNUMBER(SEARCH({"Formula","Roll-Up Summary"}, $B178))) &gt; 0,$B178 &amp; " (" &amp; $E178 &amp; ")",IF(SUMPRODUCT(-- ISNUMBER(SEARCH({"Content","Currency","Number","Percent","Text","URL"}, $B178))) &gt; 0,$B178 &amp; "(" &amp; $C178 &amp; ")",$B178)))), "  ", TRIM(IF($S178 = "YES", "(External ID)", "") &amp; " " &amp; IF(SUMPRODUCT(-- ISNUMBER(SEARCH({"Unique","Unique Case Insensitive"}, $R178))) &gt; 0, "(" &amp; $R178 &amp; ")", ""))))</f>
        <v>na</v>
      </c>
      <c r="E178" s="7" t="s">
        <v>195</v>
      </c>
      <c r="F178" s="7" t="s">
        <v>195</v>
      </c>
      <c r="G178" s="7" t="s">
        <v>195</v>
      </c>
      <c r="H178" s="7" t="s">
        <v>195</v>
      </c>
      <c r="I178" s="7" t="s">
        <v>195</v>
      </c>
      <c r="J178" s="7" t="s">
        <v>195</v>
      </c>
      <c r="K178" s="7" t="s">
        <v>195</v>
      </c>
      <c r="L178" s="7" t="s">
        <v>195</v>
      </c>
      <c r="M178" s="7" t="s">
        <v>29</v>
      </c>
      <c r="N178" s="7" t="s">
        <v>29</v>
      </c>
      <c r="O178" s="7" t="s">
        <v>29</v>
      </c>
      <c r="P178" s="7" t="s">
        <v>29</v>
      </c>
      <c r="Q178" s="7" t="s">
        <v>29</v>
      </c>
      <c r="R178" s="7" t="s">
        <v>29</v>
      </c>
      <c r="S178" s="7" t="s">
        <v>29</v>
      </c>
    </row>
    <row r="179" spans="2:19">
      <c r="B179" s="7" t="s">
        <v>195</v>
      </c>
      <c r="C179" s="8" t="s">
        <v>195</v>
      </c>
      <c r="D179" s="5" t="str">
        <f>LRTRIM(CONCATENATE(IF(SUMPRODUCT(-- ISNUMBER(SEARCH({"Auto Number"}, $B179))) &gt; 0, $B179, IF(SUMPRODUCT(-- ISNUMBER(SEARCH({"Lookup","Master-Detail"}, $B179))) &gt; 0,$B179 &amp; "(" &amp; $E179 &amp; ")",IF(SUMPRODUCT(-- ISNUMBER(SEARCH({"Formula","Roll-Up Summary"}, $B179))) &gt; 0,$B179 &amp; " (" &amp; $E179 &amp; ")",IF(SUMPRODUCT(-- ISNUMBER(SEARCH({"Content","Currency","Number","Percent","Text","URL"}, $B179))) &gt; 0,$B179 &amp; "(" &amp; $C179 &amp; ")",$B179)))), "  ", TRIM(IF($S179 = "YES", "(External ID)", "") &amp; " " &amp; IF(SUMPRODUCT(-- ISNUMBER(SEARCH({"Unique","Unique Case Insensitive"}, $R179))) &gt; 0, "(" &amp; $R179 &amp; ")", ""))))</f>
        <v>na</v>
      </c>
      <c r="E179" s="7" t="s">
        <v>195</v>
      </c>
      <c r="F179" s="7" t="s">
        <v>195</v>
      </c>
      <c r="G179" s="7" t="s">
        <v>195</v>
      </c>
      <c r="H179" s="7" t="s">
        <v>195</v>
      </c>
      <c r="I179" s="7" t="s">
        <v>195</v>
      </c>
      <c r="J179" s="7" t="s">
        <v>195</v>
      </c>
      <c r="K179" s="7" t="s">
        <v>195</v>
      </c>
      <c r="L179" s="7" t="s">
        <v>195</v>
      </c>
      <c r="M179" s="7" t="s">
        <v>29</v>
      </c>
      <c r="N179" s="7" t="s">
        <v>29</v>
      </c>
      <c r="O179" s="7" t="s">
        <v>29</v>
      </c>
      <c r="P179" s="7" t="s">
        <v>29</v>
      </c>
      <c r="Q179" s="7" t="s">
        <v>29</v>
      </c>
      <c r="R179" s="7" t="s">
        <v>29</v>
      </c>
      <c r="S179" s="7" t="s">
        <v>29</v>
      </c>
    </row>
    <row r="180" spans="2:19">
      <c r="B180" s="7" t="s">
        <v>195</v>
      </c>
      <c r="C180" s="8" t="s">
        <v>195</v>
      </c>
      <c r="D180" s="5" t="str">
        <f>LRTRIM(CONCATENATE(IF(SUMPRODUCT(-- ISNUMBER(SEARCH({"Auto Number"}, $B180))) &gt; 0, $B180, IF(SUMPRODUCT(-- ISNUMBER(SEARCH({"Lookup","Master-Detail"}, $B180))) &gt; 0,$B180 &amp; "(" &amp; $E180 &amp; ")",IF(SUMPRODUCT(-- ISNUMBER(SEARCH({"Formula","Roll-Up Summary"}, $B180))) &gt; 0,$B180 &amp; " (" &amp; $E180 &amp; ")",IF(SUMPRODUCT(-- ISNUMBER(SEARCH({"Content","Currency","Number","Percent","Text","URL"}, $B180))) &gt; 0,$B180 &amp; "(" &amp; $C180 &amp; ")",$B180)))), "  ", TRIM(IF($S180 = "YES", "(External ID)", "") &amp; " " &amp; IF(SUMPRODUCT(-- ISNUMBER(SEARCH({"Unique","Unique Case Insensitive"}, $R180))) &gt; 0, "(" &amp; $R180 &amp; ")", ""))))</f>
        <v>na</v>
      </c>
      <c r="E180" s="7" t="s">
        <v>195</v>
      </c>
      <c r="F180" s="7" t="s">
        <v>195</v>
      </c>
      <c r="G180" s="7" t="s">
        <v>195</v>
      </c>
      <c r="H180" s="7" t="s">
        <v>195</v>
      </c>
      <c r="I180" s="7" t="s">
        <v>195</v>
      </c>
      <c r="J180" s="7" t="s">
        <v>195</v>
      </c>
      <c r="K180" s="7" t="s">
        <v>195</v>
      </c>
      <c r="L180" s="7" t="s">
        <v>195</v>
      </c>
      <c r="M180" s="7" t="s">
        <v>29</v>
      </c>
      <c r="N180" s="7" t="s">
        <v>29</v>
      </c>
      <c r="O180" s="7" t="s">
        <v>29</v>
      </c>
      <c r="P180" s="7" t="s">
        <v>29</v>
      </c>
      <c r="Q180" s="7" t="s">
        <v>29</v>
      </c>
      <c r="R180" s="7" t="s">
        <v>29</v>
      </c>
      <c r="S180" s="7" t="s">
        <v>29</v>
      </c>
    </row>
    <row r="181" spans="2:19">
      <c r="B181" s="7" t="s">
        <v>195</v>
      </c>
      <c r="C181" s="8" t="s">
        <v>195</v>
      </c>
      <c r="D181" s="5" t="str">
        <f>LRTRIM(CONCATENATE(IF(SUMPRODUCT(-- ISNUMBER(SEARCH({"Auto Number"}, $B181))) &gt; 0, $B181, IF(SUMPRODUCT(-- ISNUMBER(SEARCH({"Lookup","Master-Detail"}, $B181))) &gt; 0,$B181 &amp; "(" &amp; $E181 &amp; ")",IF(SUMPRODUCT(-- ISNUMBER(SEARCH({"Formula","Roll-Up Summary"}, $B181))) &gt; 0,$B181 &amp; " (" &amp; $E181 &amp; ")",IF(SUMPRODUCT(-- ISNUMBER(SEARCH({"Content","Currency","Number","Percent","Text","URL"}, $B181))) &gt; 0,$B181 &amp; "(" &amp; $C181 &amp; ")",$B181)))), "  ", TRIM(IF($S181 = "YES", "(External ID)", "") &amp; " " &amp; IF(SUMPRODUCT(-- ISNUMBER(SEARCH({"Unique","Unique Case Insensitive"}, $R181))) &gt; 0, "(" &amp; $R181 &amp; ")", ""))))</f>
        <v>na</v>
      </c>
      <c r="E181" s="7" t="s">
        <v>195</v>
      </c>
      <c r="F181" s="7" t="s">
        <v>195</v>
      </c>
      <c r="G181" s="7" t="s">
        <v>195</v>
      </c>
      <c r="H181" s="7" t="s">
        <v>195</v>
      </c>
      <c r="I181" s="7" t="s">
        <v>195</v>
      </c>
      <c r="J181" s="7" t="s">
        <v>195</v>
      </c>
      <c r="K181" s="7" t="s">
        <v>195</v>
      </c>
      <c r="L181" s="7" t="s">
        <v>195</v>
      </c>
      <c r="M181" s="7" t="s">
        <v>29</v>
      </c>
      <c r="N181" s="7" t="s">
        <v>29</v>
      </c>
      <c r="O181" s="7" t="s">
        <v>29</v>
      </c>
      <c r="P181" s="7" t="s">
        <v>29</v>
      </c>
      <c r="Q181" s="7" t="s">
        <v>29</v>
      </c>
      <c r="R181" s="7" t="s">
        <v>29</v>
      </c>
      <c r="S181" s="7" t="s">
        <v>29</v>
      </c>
    </row>
    <row r="182" spans="2:19">
      <c r="B182" s="7" t="s">
        <v>195</v>
      </c>
      <c r="C182" s="8" t="s">
        <v>195</v>
      </c>
      <c r="D182" s="5" t="str">
        <f>LRTRIM(CONCATENATE(IF(SUMPRODUCT(-- ISNUMBER(SEARCH({"Auto Number"}, $B182))) &gt; 0, $B182, IF(SUMPRODUCT(-- ISNUMBER(SEARCH({"Lookup","Master-Detail"}, $B182))) &gt; 0,$B182 &amp; "(" &amp; $E182 &amp; ")",IF(SUMPRODUCT(-- ISNUMBER(SEARCH({"Formula","Roll-Up Summary"}, $B182))) &gt; 0,$B182 &amp; " (" &amp; $E182 &amp; ")",IF(SUMPRODUCT(-- ISNUMBER(SEARCH({"Content","Currency","Number","Percent","Text","URL"}, $B182))) &gt; 0,$B182 &amp; "(" &amp; $C182 &amp; ")",$B182)))), "  ", TRIM(IF($S182 = "YES", "(External ID)", "") &amp; " " &amp; IF(SUMPRODUCT(-- ISNUMBER(SEARCH({"Unique","Unique Case Insensitive"}, $R182))) &gt; 0, "(" &amp; $R182 &amp; ")", ""))))</f>
        <v>na</v>
      </c>
      <c r="E182" s="7" t="s">
        <v>195</v>
      </c>
      <c r="F182" s="7" t="s">
        <v>195</v>
      </c>
      <c r="G182" s="7" t="s">
        <v>195</v>
      </c>
      <c r="H182" s="7" t="s">
        <v>195</v>
      </c>
      <c r="I182" s="7" t="s">
        <v>195</v>
      </c>
      <c r="J182" s="7" t="s">
        <v>195</v>
      </c>
      <c r="K182" s="7" t="s">
        <v>195</v>
      </c>
      <c r="L182" s="7" t="s">
        <v>195</v>
      </c>
      <c r="M182" s="7" t="s">
        <v>29</v>
      </c>
      <c r="N182" s="7" t="s">
        <v>29</v>
      </c>
      <c r="O182" s="7" t="s">
        <v>29</v>
      </c>
      <c r="P182" s="7" t="s">
        <v>29</v>
      </c>
      <c r="Q182" s="7" t="s">
        <v>29</v>
      </c>
      <c r="R182" s="7" t="s">
        <v>29</v>
      </c>
      <c r="S182" s="7" t="s">
        <v>29</v>
      </c>
    </row>
    <row r="183" spans="2:19">
      <c r="B183" s="7" t="s">
        <v>195</v>
      </c>
      <c r="C183" s="8" t="s">
        <v>195</v>
      </c>
      <c r="D183" s="5" t="str">
        <f>LRTRIM(CONCATENATE(IF(SUMPRODUCT(-- ISNUMBER(SEARCH({"Auto Number"}, $B183))) &gt; 0, $B183, IF(SUMPRODUCT(-- ISNUMBER(SEARCH({"Lookup","Master-Detail"}, $B183))) &gt; 0,$B183 &amp; "(" &amp; $E183 &amp; ")",IF(SUMPRODUCT(-- ISNUMBER(SEARCH({"Formula","Roll-Up Summary"}, $B183))) &gt; 0,$B183 &amp; " (" &amp; $E183 &amp; ")",IF(SUMPRODUCT(-- ISNUMBER(SEARCH({"Content","Currency","Number","Percent","Text","URL"}, $B183))) &gt; 0,$B183 &amp; "(" &amp; $C183 &amp; ")",$B183)))), "  ", TRIM(IF($S183 = "YES", "(External ID)", "") &amp; " " &amp; IF(SUMPRODUCT(-- ISNUMBER(SEARCH({"Unique","Unique Case Insensitive"}, $R183))) &gt; 0, "(" &amp; $R183 &amp; ")", ""))))</f>
        <v>na</v>
      </c>
      <c r="E183" s="7" t="s">
        <v>195</v>
      </c>
      <c r="F183" s="7" t="s">
        <v>195</v>
      </c>
      <c r="G183" s="7" t="s">
        <v>195</v>
      </c>
      <c r="H183" s="7" t="s">
        <v>195</v>
      </c>
      <c r="I183" s="7" t="s">
        <v>195</v>
      </c>
      <c r="J183" s="7" t="s">
        <v>195</v>
      </c>
      <c r="K183" s="7" t="s">
        <v>195</v>
      </c>
      <c r="L183" s="7" t="s">
        <v>195</v>
      </c>
      <c r="M183" s="7" t="s">
        <v>29</v>
      </c>
      <c r="N183" s="7" t="s">
        <v>29</v>
      </c>
      <c r="O183" s="7" t="s">
        <v>29</v>
      </c>
      <c r="P183" s="7" t="s">
        <v>29</v>
      </c>
      <c r="Q183" s="7" t="s">
        <v>29</v>
      </c>
      <c r="R183" s="7" t="s">
        <v>29</v>
      </c>
      <c r="S183" s="7" t="s">
        <v>29</v>
      </c>
    </row>
    <row r="184" spans="2:19">
      <c r="B184" s="7" t="s">
        <v>195</v>
      </c>
      <c r="C184" s="8" t="s">
        <v>195</v>
      </c>
      <c r="D184" s="5" t="str">
        <f>LRTRIM(CONCATENATE(IF(SUMPRODUCT(-- ISNUMBER(SEARCH({"Auto Number"}, $B184))) &gt; 0, $B184, IF(SUMPRODUCT(-- ISNUMBER(SEARCH({"Lookup","Master-Detail"}, $B184))) &gt; 0,$B184 &amp; "(" &amp; $E184 &amp; ")",IF(SUMPRODUCT(-- ISNUMBER(SEARCH({"Formula","Roll-Up Summary"}, $B184))) &gt; 0,$B184 &amp; " (" &amp; $E184 &amp; ")",IF(SUMPRODUCT(-- ISNUMBER(SEARCH({"Content","Currency","Number","Percent","Text","URL"}, $B184))) &gt; 0,$B184 &amp; "(" &amp; $C184 &amp; ")",$B184)))), "  ", TRIM(IF($S184 = "YES", "(External ID)", "") &amp; " " &amp; IF(SUMPRODUCT(-- ISNUMBER(SEARCH({"Unique","Unique Case Insensitive"}, $R184))) &gt; 0, "(" &amp; $R184 &amp; ")", ""))))</f>
        <v>na</v>
      </c>
      <c r="E184" s="7" t="s">
        <v>195</v>
      </c>
      <c r="F184" s="7" t="s">
        <v>195</v>
      </c>
      <c r="G184" s="7" t="s">
        <v>195</v>
      </c>
      <c r="H184" s="7" t="s">
        <v>195</v>
      </c>
      <c r="I184" s="7" t="s">
        <v>195</v>
      </c>
      <c r="J184" s="7" t="s">
        <v>195</v>
      </c>
      <c r="K184" s="7" t="s">
        <v>195</v>
      </c>
      <c r="L184" s="7" t="s">
        <v>195</v>
      </c>
      <c r="M184" s="7" t="s">
        <v>29</v>
      </c>
      <c r="N184" s="7" t="s">
        <v>29</v>
      </c>
      <c r="O184" s="7" t="s">
        <v>29</v>
      </c>
      <c r="P184" s="7" t="s">
        <v>29</v>
      </c>
      <c r="Q184" s="7" t="s">
        <v>29</v>
      </c>
      <c r="R184" s="7" t="s">
        <v>29</v>
      </c>
      <c r="S184" s="7" t="s">
        <v>29</v>
      </c>
    </row>
    <row r="185" spans="2:19">
      <c r="B185" s="7" t="s">
        <v>195</v>
      </c>
      <c r="C185" s="8" t="s">
        <v>195</v>
      </c>
      <c r="D185" s="5" t="str">
        <f>LRTRIM(CONCATENATE(IF(SUMPRODUCT(-- ISNUMBER(SEARCH({"Auto Number"}, $B185))) &gt; 0, $B185, IF(SUMPRODUCT(-- ISNUMBER(SEARCH({"Lookup","Master-Detail"}, $B185))) &gt; 0,$B185 &amp; "(" &amp; $E185 &amp; ")",IF(SUMPRODUCT(-- ISNUMBER(SEARCH({"Formula","Roll-Up Summary"}, $B185))) &gt; 0,$B185 &amp; " (" &amp; $E185 &amp; ")",IF(SUMPRODUCT(-- ISNUMBER(SEARCH({"Content","Currency","Number","Percent","Text","URL"}, $B185))) &gt; 0,$B185 &amp; "(" &amp; $C185 &amp; ")",$B185)))), "  ", TRIM(IF($S185 = "YES", "(External ID)", "") &amp; " " &amp; IF(SUMPRODUCT(-- ISNUMBER(SEARCH({"Unique","Unique Case Insensitive"}, $R185))) &gt; 0, "(" &amp; $R185 &amp; ")", ""))))</f>
        <v>na</v>
      </c>
      <c r="E185" s="7" t="s">
        <v>195</v>
      </c>
      <c r="F185" s="7" t="s">
        <v>195</v>
      </c>
      <c r="G185" s="7" t="s">
        <v>195</v>
      </c>
      <c r="H185" s="7" t="s">
        <v>195</v>
      </c>
      <c r="I185" s="7" t="s">
        <v>195</v>
      </c>
      <c r="J185" s="7" t="s">
        <v>195</v>
      </c>
      <c r="K185" s="7" t="s">
        <v>195</v>
      </c>
      <c r="L185" s="7" t="s">
        <v>195</v>
      </c>
      <c r="M185" s="7" t="s">
        <v>29</v>
      </c>
      <c r="N185" s="7" t="s">
        <v>29</v>
      </c>
      <c r="O185" s="7" t="s">
        <v>29</v>
      </c>
      <c r="P185" s="7" t="s">
        <v>29</v>
      </c>
      <c r="Q185" s="7" t="s">
        <v>29</v>
      </c>
      <c r="R185" s="7" t="s">
        <v>29</v>
      </c>
      <c r="S185" s="7" t="s">
        <v>29</v>
      </c>
    </row>
    <row r="186" spans="2:19">
      <c r="B186" s="7" t="s">
        <v>195</v>
      </c>
      <c r="C186" s="8" t="s">
        <v>195</v>
      </c>
      <c r="D186" s="5" t="str">
        <f>LRTRIM(CONCATENATE(IF(SUMPRODUCT(-- ISNUMBER(SEARCH({"Auto Number"}, $B186))) &gt; 0, $B186, IF(SUMPRODUCT(-- ISNUMBER(SEARCH({"Lookup","Master-Detail"}, $B186))) &gt; 0,$B186 &amp; "(" &amp; $E186 &amp; ")",IF(SUMPRODUCT(-- ISNUMBER(SEARCH({"Formula","Roll-Up Summary"}, $B186))) &gt; 0,$B186 &amp; " (" &amp; $E186 &amp; ")",IF(SUMPRODUCT(-- ISNUMBER(SEARCH({"Content","Currency","Number","Percent","Text","URL"}, $B186))) &gt; 0,$B186 &amp; "(" &amp; $C186 &amp; ")",$B186)))), "  ", TRIM(IF($S186 = "YES", "(External ID)", "") &amp; " " &amp; IF(SUMPRODUCT(-- ISNUMBER(SEARCH({"Unique","Unique Case Insensitive"}, $R186))) &gt; 0, "(" &amp; $R186 &amp; ")", ""))))</f>
        <v>na</v>
      </c>
      <c r="E186" s="7" t="s">
        <v>195</v>
      </c>
      <c r="F186" s="7" t="s">
        <v>195</v>
      </c>
      <c r="G186" s="7" t="s">
        <v>195</v>
      </c>
      <c r="H186" s="7" t="s">
        <v>195</v>
      </c>
      <c r="I186" s="7" t="s">
        <v>195</v>
      </c>
      <c r="J186" s="7" t="s">
        <v>195</v>
      </c>
      <c r="K186" s="7" t="s">
        <v>195</v>
      </c>
      <c r="L186" s="7" t="s">
        <v>195</v>
      </c>
      <c r="M186" s="7" t="s">
        <v>29</v>
      </c>
      <c r="N186" s="7" t="s">
        <v>29</v>
      </c>
      <c r="O186" s="7" t="s">
        <v>29</v>
      </c>
      <c r="P186" s="7" t="s">
        <v>29</v>
      </c>
      <c r="Q186" s="7" t="s">
        <v>29</v>
      </c>
      <c r="R186" s="7" t="s">
        <v>29</v>
      </c>
      <c r="S186" s="7" t="s">
        <v>29</v>
      </c>
    </row>
    <row r="187" spans="2:19">
      <c r="B187" s="7" t="s">
        <v>195</v>
      </c>
      <c r="C187" s="8" t="s">
        <v>195</v>
      </c>
      <c r="D187" s="5" t="str">
        <f>LRTRIM(CONCATENATE(IF(SUMPRODUCT(-- ISNUMBER(SEARCH({"Auto Number"}, $B187))) &gt; 0, $B187, IF(SUMPRODUCT(-- ISNUMBER(SEARCH({"Lookup","Master-Detail"}, $B187))) &gt; 0,$B187 &amp; "(" &amp; $E187 &amp; ")",IF(SUMPRODUCT(-- ISNUMBER(SEARCH({"Formula","Roll-Up Summary"}, $B187))) &gt; 0,$B187 &amp; " (" &amp; $E187 &amp; ")",IF(SUMPRODUCT(-- ISNUMBER(SEARCH({"Content","Currency","Number","Percent","Text","URL"}, $B187))) &gt; 0,$B187 &amp; "(" &amp; $C187 &amp; ")",$B187)))), "  ", TRIM(IF($S187 = "YES", "(External ID)", "") &amp; " " &amp; IF(SUMPRODUCT(-- ISNUMBER(SEARCH({"Unique","Unique Case Insensitive"}, $R187))) &gt; 0, "(" &amp; $R187 &amp; ")", ""))))</f>
        <v>na</v>
      </c>
      <c r="E187" s="7" t="s">
        <v>195</v>
      </c>
      <c r="F187" s="7" t="s">
        <v>195</v>
      </c>
      <c r="G187" s="7" t="s">
        <v>195</v>
      </c>
      <c r="H187" s="7" t="s">
        <v>195</v>
      </c>
      <c r="I187" s="7" t="s">
        <v>195</v>
      </c>
      <c r="J187" s="7" t="s">
        <v>195</v>
      </c>
      <c r="K187" s="7" t="s">
        <v>195</v>
      </c>
      <c r="L187" s="7" t="s">
        <v>195</v>
      </c>
      <c r="M187" s="7" t="s">
        <v>29</v>
      </c>
      <c r="N187" s="7" t="s">
        <v>29</v>
      </c>
      <c r="O187" s="7" t="s">
        <v>29</v>
      </c>
      <c r="P187" s="7" t="s">
        <v>29</v>
      </c>
      <c r="Q187" s="7" t="s">
        <v>29</v>
      </c>
      <c r="R187" s="7" t="s">
        <v>29</v>
      </c>
      <c r="S187" s="7" t="s">
        <v>29</v>
      </c>
    </row>
    <row r="188" spans="2:19">
      <c r="B188" s="7" t="s">
        <v>195</v>
      </c>
      <c r="C188" s="8" t="s">
        <v>195</v>
      </c>
      <c r="D188" s="5" t="str">
        <f>LRTRIM(CONCATENATE(IF(SUMPRODUCT(-- ISNUMBER(SEARCH({"Auto Number"}, $B188))) &gt; 0, $B188, IF(SUMPRODUCT(-- ISNUMBER(SEARCH({"Lookup","Master-Detail"}, $B188))) &gt; 0,$B188 &amp; "(" &amp; $E188 &amp; ")",IF(SUMPRODUCT(-- ISNUMBER(SEARCH({"Formula","Roll-Up Summary"}, $B188))) &gt; 0,$B188 &amp; " (" &amp; $E188 &amp; ")",IF(SUMPRODUCT(-- ISNUMBER(SEARCH({"Content","Currency","Number","Percent","Text","URL"}, $B188))) &gt; 0,$B188 &amp; "(" &amp; $C188 &amp; ")",$B188)))), "  ", TRIM(IF($S188 = "YES", "(External ID)", "") &amp; " " &amp; IF(SUMPRODUCT(-- ISNUMBER(SEARCH({"Unique","Unique Case Insensitive"}, $R188))) &gt; 0, "(" &amp; $R188 &amp; ")", ""))))</f>
        <v>na</v>
      </c>
      <c r="E188" s="7" t="s">
        <v>195</v>
      </c>
      <c r="F188" s="7" t="s">
        <v>195</v>
      </c>
      <c r="G188" s="7" t="s">
        <v>195</v>
      </c>
      <c r="H188" s="7" t="s">
        <v>195</v>
      </c>
      <c r="I188" s="7" t="s">
        <v>195</v>
      </c>
      <c r="J188" s="7" t="s">
        <v>195</v>
      </c>
      <c r="K188" s="7" t="s">
        <v>195</v>
      </c>
      <c r="L188" s="7" t="s">
        <v>195</v>
      </c>
      <c r="M188" s="7" t="s">
        <v>29</v>
      </c>
      <c r="N188" s="7" t="s">
        <v>29</v>
      </c>
      <c r="O188" s="7" t="s">
        <v>29</v>
      </c>
      <c r="P188" s="7" t="s">
        <v>29</v>
      </c>
      <c r="Q188" s="7" t="s">
        <v>29</v>
      </c>
      <c r="R188" s="7" t="s">
        <v>29</v>
      </c>
      <c r="S188" s="7" t="s">
        <v>29</v>
      </c>
    </row>
    <row r="189" spans="2:19">
      <c r="B189" s="7" t="s">
        <v>195</v>
      </c>
      <c r="C189" s="8" t="s">
        <v>195</v>
      </c>
      <c r="D189" s="5" t="str">
        <f>LRTRIM(CONCATENATE(IF(SUMPRODUCT(-- ISNUMBER(SEARCH({"Auto Number"}, $B189))) &gt; 0, $B189, IF(SUMPRODUCT(-- ISNUMBER(SEARCH({"Lookup","Master-Detail"}, $B189))) &gt; 0,$B189 &amp; "(" &amp; $E189 &amp; ")",IF(SUMPRODUCT(-- ISNUMBER(SEARCH({"Formula","Roll-Up Summary"}, $B189))) &gt; 0,$B189 &amp; " (" &amp; $E189 &amp; ")",IF(SUMPRODUCT(-- ISNUMBER(SEARCH({"Content","Currency","Number","Percent","Text","URL"}, $B189))) &gt; 0,$B189 &amp; "(" &amp; $C189 &amp; ")",$B189)))), "  ", TRIM(IF($S189 = "YES", "(External ID)", "") &amp; " " &amp; IF(SUMPRODUCT(-- ISNUMBER(SEARCH({"Unique","Unique Case Insensitive"}, $R189))) &gt; 0, "(" &amp; $R189 &amp; ")", ""))))</f>
        <v>na</v>
      </c>
      <c r="E189" s="7" t="s">
        <v>195</v>
      </c>
      <c r="F189" s="7" t="s">
        <v>195</v>
      </c>
      <c r="G189" s="7" t="s">
        <v>195</v>
      </c>
      <c r="H189" s="7" t="s">
        <v>195</v>
      </c>
      <c r="I189" s="7" t="s">
        <v>195</v>
      </c>
      <c r="J189" s="7" t="s">
        <v>195</v>
      </c>
      <c r="K189" s="7" t="s">
        <v>195</v>
      </c>
      <c r="L189" s="7" t="s">
        <v>195</v>
      </c>
      <c r="M189" s="7" t="s">
        <v>29</v>
      </c>
      <c r="N189" s="7" t="s">
        <v>29</v>
      </c>
      <c r="O189" s="7" t="s">
        <v>29</v>
      </c>
      <c r="P189" s="7" t="s">
        <v>29</v>
      </c>
      <c r="Q189" s="7" t="s">
        <v>29</v>
      </c>
      <c r="R189" s="7" t="s">
        <v>29</v>
      </c>
      <c r="S189" s="7" t="s">
        <v>29</v>
      </c>
    </row>
    <row r="190" spans="2:19">
      <c r="B190" s="7" t="s">
        <v>195</v>
      </c>
      <c r="C190" s="8" t="s">
        <v>195</v>
      </c>
      <c r="D190" s="5" t="str">
        <f>LRTRIM(CONCATENATE(IF(SUMPRODUCT(-- ISNUMBER(SEARCH({"Auto Number"}, $B190))) &gt; 0, $B190, IF(SUMPRODUCT(-- ISNUMBER(SEARCH({"Lookup","Master-Detail"}, $B190))) &gt; 0,$B190 &amp; "(" &amp; $E190 &amp; ")",IF(SUMPRODUCT(-- ISNUMBER(SEARCH({"Formula","Roll-Up Summary"}, $B190))) &gt; 0,$B190 &amp; " (" &amp; $E190 &amp; ")",IF(SUMPRODUCT(-- ISNUMBER(SEARCH({"Content","Currency","Number","Percent","Text","URL"}, $B190))) &gt; 0,$B190 &amp; "(" &amp; $C190 &amp; ")",$B190)))), "  ", TRIM(IF($S190 = "YES", "(External ID)", "") &amp; " " &amp; IF(SUMPRODUCT(-- ISNUMBER(SEARCH({"Unique","Unique Case Insensitive"}, $R190))) &gt; 0, "(" &amp; $R190 &amp; ")", ""))))</f>
        <v>na</v>
      </c>
      <c r="E190" s="7" t="s">
        <v>195</v>
      </c>
      <c r="F190" s="7" t="s">
        <v>195</v>
      </c>
      <c r="G190" s="7" t="s">
        <v>195</v>
      </c>
      <c r="H190" s="7" t="s">
        <v>195</v>
      </c>
      <c r="I190" s="7" t="s">
        <v>195</v>
      </c>
      <c r="J190" s="7" t="s">
        <v>195</v>
      </c>
      <c r="K190" s="7" t="s">
        <v>195</v>
      </c>
      <c r="L190" s="7" t="s">
        <v>195</v>
      </c>
      <c r="M190" s="7" t="s">
        <v>29</v>
      </c>
      <c r="N190" s="7" t="s">
        <v>29</v>
      </c>
      <c r="O190" s="7" t="s">
        <v>29</v>
      </c>
      <c r="P190" s="7" t="s">
        <v>29</v>
      </c>
      <c r="Q190" s="7" t="s">
        <v>29</v>
      </c>
      <c r="R190" s="7" t="s">
        <v>29</v>
      </c>
      <c r="S190" s="7" t="s">
        <v>29</v>
      </c>
    </row>
    <row r="191" spans="2:19">
      <c r="B191" s="7" t="s">
        <v>195</v>
      </c>
      <c r="C191" s="8" t="s">
        <v>195</v>
      </c>
      <c r="D191" s="5" t="str">
        <f>LRTRIM(CONCATENATE(IF(SUMPRODUCT(-- ISNUMBER(SEARCH({"Auto Number"}, $B191))) &gt; 0, $B191, IF(SUMPRODUCT(-- ISNUMBER(SEARCH({"Lookup","Master-Detail"}, $B191))) &gt; 0,$B191 &amp; "(" &amp; $E191 &amp; ")",IF(SUMPRODUCT(-- ISNUMBER(SEARCH({"Formula","Roll-Up Summary"}, $B191))) &gt; 0,$B191 &amp; " (" &amp; $E191 &amp; ")",IF(SUMPRODUCT(-- ISNUMBER(SEARCH({"Content","Currency","Number","Percent","Text","URL"}, $B191))) &gt; 0,$B191 &amp; "(" &amp; $C191 &amp; ")",$B191)))), "  ", TRIM(IF($S191 = "YES", "(External ID)", "") &amp; " " &amp; IF(SUMPRODUCT(-- ISNUMBER(SEARCH({"Unique","Unique Case Insensitive"}, $R191))) &gt; 0, "(" &amp; $R191 &amp; ")", ""))))</f>
        <v>na</v>
      </c>
      <c r="E191" s="7" t="s">
        <v>195</v>
      </c>
      <c r="F191" s="7" t="s">
        <v>195</v>
      </c>
      <c r="G191" s="7" t="s">
        <v>195</v>
      </c>
      <c r="H191" s="7" t="s">
        <v>195</v>
      </c>
      <c r="I191" s="7" t="s">
        <v>195</v>
      </c>
      <c r="J191" s="7" t="s">
        <v>195</v>
      </c>
      <c r="K191" s="7" t="s">
        <v>195</v>
      </c>
      <c r="L191" s="7" t="s">
        <v>195</v>
      </c>
      <c r="M191" s="7" t="s">
        <v>29</v>
      </c>
      <c r="N191" s="7" t="s">
        <v>29</v>
      </c>
      <c r="O191" s="7" t="s">
        <v>29</v>
      </c>
      <c r="P191" s="7" t="s">
        <v>29</v>
      </c>
      <c r="Q191" s="7" t="s">
        <v>29</v>
      </c>
      <c r="R191" s="7" t="s">
        <v>29</v>
      </c>
      <c r="S191" s="7" t="s">
        <v>29</v>
      </c>
    </row>
    <row r="192" spans="2:19">
      <c r="B192" s="7" t="s">
        <v>195</v>
      </c>
      <c r="C192" s="8" t="s">
        <v>195</v>
      </c>
      <c r="D192" s="5" t="str">
        <f>LRTRIM(CONCATENATE(IF(SUMPRODUCT(-- ISNUMBER(SEARCH({"Auto Number"}, $B192))) &gt; 0, $B192, IF(SUMPRODUCT(-- ISNUMBER(SEARCH({"Lookup","Master-Detail"}, $B192))) &gt; 0,$B192 &amp; "(" &amp; $E192 &amp; ")",IF(SUMPRODUCT(-- ISNUMBER(SEARCH({"Formula","Roll-Up Summary"}, $B192))) &gt; 0,$B192 &amp; " (" &amp; $E192 &amp; ")",IF(SUMPRODUCT(-- ISNUMBER(SEARCH({"Content","Currency","Number","Percent","Text","URL"}, $B192))) &gt; 0,$B192 &amp; "(" &amp; $C192 &amp; ")",$B192)))), "  ", TRIM(IF($S192 = "YES", "(External ID)", "") &amp; " " &amp; IF(SUMPRODUCT(-- ISNUMBER(SEARCH({"Unique","Unique Case Insensitive"}, $R192))) &gt; 0, "(" &amp; $R192 &amp; ")", ""))))</f>
        <v>na</v>
      </c>
      <c r="E192" s="7" t="s">
        <v>195</v>
      </c>
      <c r="F192" s="7" t="s">
        <v>195</v>
      </c>
      <c r="G192" s="7" t="s">
        <v>195</v>
      </c>
      <c r="H192" s="7" t="s">
        <v>195</v>
      </c>
      <c r="I192" s="7" t="s">
        <v>195</v>
      </c>
      <c r="J192" s="7" t="s">
        <v>195</v>
      </c>
      <c r="K192" s="7" t="s">
        <v>195</v>
      </c>
      <c r="L192" s="7" t="s">
        <v>195</v>
      </c>
      <c r="M192" s="7" t="s">
        <v>29</v>
      </c>
      <c r="N192" s="7" t="s">
        <v>29</v>
      </c>
      <c r="O192" s="7" t="s">
        <v>29</v>
      </c>
      <c r="P192" s="7" t="s">
        <v>29</v>
      </c>
      <c r="Q192" s="7" t="s">
        <v>29</v>
      </c>
      <c r="R192" s="7" t="s">
        <v>29</v>
      </c>
      <c r="S192" s="7" t="s">
        <v>29</v>
      </c>
    </row>
    <row r="193" spans="2:19">
      <c r="B193" s="7" t="s">
        <v>195</v>
      </c>
      <c r="C193" s="8" t="s">
        <v>195</v>
      </c>
      <c r="D193" s="5" t="str">
        <f>LRTRIM(CONCATENATE(IF(SUMPRODUCT(-- ISNUMBER(SEARCH({"Auto Number"}, $B193))) &gt; 0, $B193, IF(SUMPRODUCT(-- ISNUMBER(SEARCH({"Lookup","Master-Detail"}, $B193))) &gt; 0,$B193 &amp; "(" &amp; $E193 &amp; ")",IF(SUMPRODUCT(-- ISNUMBER(SEARCH({"Formula","Roll-Up Summary"}, $B193))) &gt; 0,$B193 &amp; " (" &amp; $E193 &amp; ")",IF(SUMPRODUCT(-- ISNUMBER(SEARCH({"Content","Currency","Number","Percent","Text","URL"}, $B193))) &gt; 0,$B193 &amp; "(" &amp; $C193 &amp; ")",$B193)))), "  ", TRIM(IF($S193 = "YES", "(External ID)", "") &amp; " " &amp; IF(SUMPRODUCT(-- ISNUMBER(SEARCH({"Unique","Unique Case Insensitive"}, $R193))) &gt; 0, "(" &amp; $R193 &amp; ")", ""))))</f>
        <v>na</v>
      </c>
      <c r="E193" s="7" t="s">
        <v>195</v>
      </c>
      <c r="F193" s="7" t="s">
        <v>195</v>
      </c>
      <c r="G193" s="7" t="s">
        <v>195</v>
      </c>
      <c r="H193" s="7" t="s">
        <v>195</v>
      </c>
      <c r="I193" s="7" t="s">
        <v>195</v>
      </c>
      <c r="J193" s="7" t="s">
        <v>195</v>
      </c>
      <c r="K193" s="7" t="s">
        <v>195</v>
      </c>
      <c r="L193" s="7" t="s">
        <v>195</v>
      </c>
      <c r="M193" s="7" t="s">
        <v>29</v>
      </c>
      <c r="N193" s="7" t="s">
        <v>29</v>
      </c>
      <c r="O193" s="7" t="s">
        <v>29</v>
      </c>
      <c r="P193" s="7" t="s">
        <v>29</v>
      </c>
      <c r="Q193" s="7" t="s">
        <v>29</v>
      </c>
      <c r="R193" s="7" t="s">
        <v>29</v>
      </c>
      <c r="S193" s="7" t="s">
        <v>29</v>
      </c>
    </row>
    <row r="194" spans="2:19">
      <c r="B194" s="7" t="s">
        <v>195</v>
      </c>
      <c r="C194" s="8" t="s">
        <v>195</v>
      </c>
      <c r="D194" s="5" t="str">
        <f>LRTRIM(CONCATENATE(IF(SUMPRODUCT(-- ISNUMBER(SEARCH({"Auto Number"}, $B194))) &gt; 0, $B194, IF(SUMPRODUCT(-- ISNUMBER(SEARCH({"Lookup","Master-Detail"}, $B194))) &gt; 0,$B194 &amp; "(" &amp; $E194 &amp; ")",IF(SUMPRODUCT(-- ISNUMBER(SEARCH({"Formula","Roll-Up Summary"}, $B194))) &gt; 0,$B194 &amp; " (" &amp; $E194 &amp; ")",IF(SUMPRODUCT(-- ISNUMBER(SEARCH({"Content","Currency","Number","Percent","Text","URL"}, $B194))) &gt; 0,$B194 &amp; "(" &amp; $C194 &amp; ")",$B194)))), "  ", TRIM(IF($S194 = "YES", "(External ID)", "") &amp; " " &amp; IF(SUMPRODUCT(-- ISNUMBER(SEARCH({"Unique","Unique Case Insensitive"}, $R194))) &gt; 0, "(" &amp; $R194 &amp; ")", ""))))</f>
        <v>na</v>
      </c>
      <c r="E194" s="7" t="s">
        <v>195</v>
      </c>
      <c r="F194" s="7" t="s">
        <v>195</v>
      </c>
      <c r="G194" s="7" t="s">
        <v>195</v>
      </c>
      <c r="H194" s="7" t="s">
        <v>195</v>
      </c>
      <c r="I194" s="7" t="s">
        <v>195</v>
      </c>
      <c r="J194" s="7" t="s">
        <v>195</v>
      </c>
      <c r="K194" s="7" t="s">
        <v>195</v>
      </c>
      <c r="L194" s="7" t="s">
        <v>195</v>
      </c>
      <c r="M194" s="7" t="s">
        <v>29</v>
      </c>
      <c r="N194" s="7" t="s">
        <v>29</v>
      </c>
      <c r="O194" s="7" t="s">
        <v>29</v>
      </c>
      <c r="P194" s="7" t="s">
        <v>29</v>
      </c>
      <c r="Q194" s="7" t="s">
        <v>29</v>
      </c>
      <c r="R194" s="7" t="s">
        <v>29</v>
      </c>
      <c r="S194" s="7" t="s">
        <v>29</v>
      </c>
    </row>
    <row r="195" spans="2:19">
      <c r="B195" s="7" t="s">
        <v>195</v>
      </c>
      <c r="C195" s="8" t="s">
        <v>195</v>
      </c>
      <c r="D195" s="5" t="str">
        <f>LRTRIM(CONCATENATE(IF(SUMPRODUCT(-- ISNUMBER(SEARCH({"Auto Number"}, $B195))) &gt; 0, $B195, IF(SUMPRODUCT(-- ISNUMBER(SEARCH({"Lookup","Master-Detail"}, $B195))) &gt; 0,$B195 &amp; "(" &amp; $E195 &amp; ")",IF(SUMPRODUCT(-- ISNUMBER(SEARCH({"Formula","Roll-Up Summary"}, $B195))) &gt; 0,$B195 &amp; " (" &amp; $E195 &amp; ")",IF(SUMPRODUCT(-- ISNUMBER(SEARCH({"Content","Currency","Number","Percent","Text","URL"}, $B195))) &gt; 0,$B195 &amp; "(" &amp; $C195 &amp; ")",$B195)))), "  ", TRIM(IF($S195 = "YES", "(External ID)", "") &amp; " " &amp; IF(SUMPRODUCT(-- ISNUMBER(SEARCH({"Unique","Unique Case Insensitive"}, $R195))) &gt; 0, "(" &amp; $R195 &amp; ")", ""))))</f>
        <v>na</v>
      </c>
      <c r="E195" s="7" t="s">
        <v>195</v>
      </c>
      <c r="F195" s="7" t="s">
        <v>195</v>
      </c>
      <c r="G195" s="7" t="s">
        <v>195</v>
      </c>
      <c r="H195" s="7" t="s">
        <v>195</v>
      </c>
      <c r="I195" s="7" t="s">
        <v>195</v>
      </c>
      <c r="J195" s="7" t="s">
        <v>195</v>
      </c>
      <c r="K195" s="7" t="s">
        <v>195</v>
      </c>
      <c r="L195" s="7" t="s">
        <v>195</v>
      </c>
      <c r="M195" s="7" t="s">
        <v>29</v>
      </c>
      <c r="N195" s="7" t="s">
        <v>29</v>
      </c>
      <c r="O195" s="7" t="s">
        <v>29</v>
      </c>
      <c r="P195" s="7" t="s">
        <v>29</v>
      </c>
      <c r="Q195" s="7" t="s">
        <v>29</v>
      </c>
      <c r="R195" s="7" t="s">
        <v>29</v>
      </c>
      <c r="S195" s="7" t="s">
        <v>29</v>
      </c>
    </row>
    <row r="196" spans="2:19">
      <c r="B196" s="7" t="s">
        <v>195</v>
      </c>
      <c r="C196" s="8" t="s">
        <v>195</v>
      </c>
      <c r="D196" s="5" t="str">
        <f>LRTRIM(CONCATENATE(IF(SUMPRODUCT(-- ISNUMBER(SEARCH({"Auto Number"}, $B196))) &gt; 0, $B196, IF(SUMPRODUCT(-- ISNUMBER(SEARCH({"Lookup","Master-Detail"}, $B196))) &gt; 0,$B196 &amp; "(" &amp; $E196 &amp; ")",IF(SUMPRODUCT(-- ISNUMBER(SEARCH({"Formula","Roll-Up Summary"}, $B196))) &gt; 0,$B196 &amp; " (" &amp; $E196 &amp; ")",IF(SUMPRODUCT(-- ISNUMBER(SEARCH({"Content","Currency","Number","Percent","Text","URL"}, $B196))) &gt; 0,$B196 &amp; "(" &amp; $C196 &amp; ")",$B196)))), "  ", TRIM(IF($S196 = "YES", "(External ID)", "") &amp; " " &amp; IF(SUMPRODUCT(-- ISNUMBER(SEARCH({"Unique","Unique Case Insensitive"}, $R196))) &gt; 0, "(" &amp; $R196 &amp; ")", ""))))</f>
        <v>na</v>
      </c>
      <c r="E196" s="7" t="s">
        <v>195</v>
      </c>
      <c r="F196" s="7" t="s">
        <v>195</v>
      </c>
      <c r="G196" s="7" t="s">
        <v>195</v>
      </c>
      <c r="H196" s="7" t="s">
        <v>195</v>
      </c>
      <c r="I196" s="7" t="s">
        <v>195</v>
      </c>
      <c r="J196" s="7" t="s">
        <v>195</v>
      </c>
      <c r="K196" s="7" t="s">
        <v>195</v>
      </c>
      <c r="L196" s="7" t="s">
        <v>195</v>
      </c>
      <c r="M196" s="7" t="s">
        <v>29</v>
      </c>
      <c r="N196" s="7" t="s">
        <v>29</v>
      </c>
      <c r="O196" s="7" t="s">
        <v>29</v>
      </c>
      <c r="P196" s="7" t="s">
        <v>29</v>
      </c>
      <c r="Q196" s="7" t="s">
        <v>29</v>
      </c>
      <c r="R196" s="7" t="s">
        <v>29</v>
      </c>
      <c r="S196" s="7" t="s">
        <v>29</v>
      </c>
    </row>
    <row r="197" spans="2:19">
      <c r="B197" s="7" t="s">
        <v>195</v>
      </c>
      <c r="C197" s="8" t="s">
        <v>195</v>
      </c>
      <c r="D197" s="5" t="str">
        <f>LRTRIM(CONCATENATE(IF(SUMPRODUCT(-- ISNUMBER(SEARCH({"Auto Number"}, $B197))) &gt; 0, $B197, IF(SUMPRODUCT(-- ISNUMBER(SEARCH({"Lookup","Master-Detail"}, $B197))) &gt; 0,$B197 &amp; "(" &amp; $E197 &amp; ")",IF(SUMPRODUCT(-- ISNUMBER(SEARCH({"Formula","Roll-Up Summary"}, $B197))) &gt; 0,$B197 &amp; " (" &amp; $E197 &amp; ")",IF(SUMPRODUCT(-- ISNUMBER(SEARCH({"Content","Currency","Number","Percent","Text","URL"}, $B197))) &gt; 0,$B197 &amp; "(" &amp; $C197 &amp; ")",$B197)))), "  ", TRIM(IF($S197 = "YES", "(External ID)", "") &amp; " " &amp; IF(SUMPRODUCT(-- ISNUMBER(SEARCH({"Unique","Unique Case Insensitive"}, $R197))) &gt; 0, "(" &amp; $R197 &amp; ")", ""))))</f>
        <v>na</v>
      </c>
      <c r="E197" s="7" t="s">
        <v>195</v>
      </c>
      <c r="F197" s="7" t="s">
        <v>195</v>
      </c>
      <c r="G197" s="7" t="s">
        <v>195</v>
      </c>
      <c r="H197" s="7" t="s">
        <v>195</v>
      </c>
      <c r="I197" s="7" t="s">
        <v>195</v>
      </c>
      <c r="J197" s="7" t="s">
        <v>195</v>
      </c>
      <c r="K197" s="7" t="s">
        <v>195</v>
      </c>
      <c r="L197" s="7" t="s">
        <v>195</v>
      </c>
      <c r="M197" s="7" t="s">
        <v>29</v>
      </c>
      <c r="N197" s="7" t="s">
        <v>29</v>
      </c>
      <c r="O197" s="7" t="s">
        <v>29</v>
      </c>
      <c r="P197" s="7" t="s">
        <v>29</v>
      </c>
      <c r="Q197" s="7" t="s">
        <v>29</v>
      </c>
      <c r="R197" s="7" t="s">
        <v>29</v>
      </c>
      <c r="S197" s="7" t="s">
        <v>29</v>
      </c>
    </row>
    <row r="198" spans="2:19">
      <c r="B198" s="7" t="s">
        <v>195</v>
      </c>
      <c r="C198" s="8" t="s">
        <v>195</v>
      </c>
      <c r="D198" s="5" t="str">
        <f>LRTRIM(CONCATENATE(IF(SUMPRODUCT(-- ISNUMBER(SEARCH({"Auto Number"}, $B198))) &gt; 0, $B198, IF(SUMPRODUCT(-- ISNUMBER(SEARCH({"Lookup","Master-Detail"}, $B198))) &gt; 0,$B198 &amp; "(" &amp; $E198 &amp; ")",IF(SUMPRODUCT(-- ISNUMBER(SEARCH({"Formula","Roll-Up Summary"}, $B198))) &gt; 0,$B198 &amp; " (" &amp; $E198 &amp; ")",IF(SUMPRODUCT(-- ISNUMBER(SEARCH({"Content","Currency","Number","Percent","Text","URL"}, $B198))) &gt; 0,$B198 &amp; "(" &amp; $C198 &amp; ")",$B198)))), "  ", TRIM(IF($S198 = "YES", "(External ID)", "") &amp; " " &amp; IF(SUMPRODUCT(-- ISNUMBER(SEARCH({"Unique","Unique Case Insensitive"}, $R198))) &gt; 0, "(" &amp; $R198 &amp; ")", ""))))</f>
        <v>na</v>
      </c>
      <c r="E198" s="7" t="s">
        <v>195</v>
      </c>
      <c r="F198" s="7" t="s">
        <v>195</v>
      </c>
      <c r="G198" s="7" t="s">
        <v>195</v>
      </c>
      <c r="H198" s="7" t="s">
        <v>195</v>
      </c>
      <c r="I198" s="7" t="s">
        <v>195</v>
      </c>
      <c r="J198" s="7" t="s">
        <v>195</v>
      </c>
      <c r="K198" s="7" t="s">
        <v>195</v>
      </c>
      <c r="L198" s="7" t="s">
        <v>195</v>
      </c>
      <c r="M198" s="7" t="s">
        <v>29</v>
      </c>
      <c r="N198" s="7" t="s">
        <v>29</v>
      </c>
      <c r="O198" s="7" t="s">
        <v>29</v>
      </c>
      <c r="P198" s="7" t="s">
        <v>29</v>
      </c>
      <c r="Q198" s="7" t="s">
        <v>29</v>
      </c>
      <c r="R198" s="7" t="s">
        <v>29</v>
      </c>
      <c r="S198" s="7" t="s">
        <v>29</v>
      </c>
    </row>
    <row r="199" spans="2:19">
      <c r="B199" s="7" t="s">
        <v>195</v>
      </c>
      <c r="C199" s="8" t="s">
        <v>195</v>
      </c>
      <c r="D199" s="5" t="str">
        <f>LRTRIM(CONCATENATE(IF(SUMPRODUCT(-- ISNUMBER(SEARCH({"Auto Number"}, $B199))) &gt; 0, $B199, IF(SUMPRODUCT(-- ISNUMBER(SEARCH({"Lookup","Master-Detail"}, $B199))) &gt; 0,$B199 &amp; "(" &amp; $E199 &amp; ")",IF(SUMPRODUCT(-- ISNUMBER(SEARCH({"Formula","Roll-Up Summary"}, $B199))) &gt; 0,$B199 &amp; " (" &amp; $E199 &amp; ")",IF(SUMPRODUCT(-- ISNUMBER(SEARCH({"Content","Currency","Number","Percent","Text","URL"}, $B199))) &gt; 0,$B199 &amp; "(" &amp; $C199 &amp; ")",$B199)))), "  ", TRIM(IF($S199 = "YES", "(External ID)", "") &amp; " " &amp; IF(SUMPRODUCT(-- ISNUMBER(SEARCH({"Unique","Unique Case Insensitive"}, $R199))) &gt; 0, "(" &amp; $R199 &amp; ")", ""))))</f>
        <v>na</v>
      </c>
      <c r="E199" s="7" t="s">
        <v>195</v>
      </c>
      <c r="F199" s="7" t="s">
        <v>195</v>
      </c>
      <c r="G199" s="7" t="s">
        <v>195</v>
      </c>
      <c r="H199" s="7" t="s">
        <v>195</v>
      </c>
      <c r="I199" s="7" t="s">
        <v>195</v>
      </c>
      <c r="J199" s="7" t="s">
        <v>195</v>
      </c>
      <c r="K199" s="7" t="s">
        <v>195</v>
      </c>
      <c r="L199" s="7" t="s">
        <v>195</v>
      </c>
      <c r="M199" s="7" t="s">
        <v>29</v>
      </c>
      <c r="N199" s="7" t="s">
        <v>29</v>
      </c>
      <c r="O199" s="7" t="s">
        <v>29</v>
      </c>
      <c r="P199" s="7" t="s">
        <v>29</v>
      </c>
      <c r="Q199" s="7" t="s">
        <v>29</v>
      </c>
      <c r="R199" s="7" t="s">
        <v>29</v>
      </c>
      <c r="S199" s="7" t="s">
        <v>29</v>
      </c>
    </row>
    <row r="200" spans="2:19">
      <c r="B200" s="7" t="s">
        <v>195</v>
      </c>
      <c r="C200" s="8" t="s">
        <v>195</v>
      </c>
      <c r="D200" s="5" t="str">
        <f>LRTRIM(CONCATENATE(IF(SUMPRODUCT(-- ISNUMBER(SEARCH({"Auto Number"}, $B200))) &gt; 0, $B200, IF(SUMPRODUCT(-- ISNUMBER(SEARCH({"Lookup","Master-Detail"}, $B200))) &gt; 0,$B200 &amp; "(" &amp; $E200 &amp; ")",IF(SUMPRODUCT(-- ISNUMBER(SEARCH({"Formula","Roll-Up Summary"}, $B200))) &gt; 0,$B200 &amp; " (" &amp; $E200 &amp; ")",IF(SUMPRODUCT(-- ISNUMBER(SEARCH({"Content","Currency","Number","Percent","Text","URL"}, $B200))) &gt; 0,$B200 &amp; "(" &amp; $C200 &amp; ")",$B200)))), "  ", TRIM(IF($S200 = "YES", "(External ID)", "") &amp; " " &amp; IF(SUMPRODUCT(-- ISNUMBER(SEARCH({"Unique","Unique Case Insensitive"}, $R200))) &gt; 0, "(" &amp; $R200 &amp; ")", ""))))</f>
        <v>na</v>
      </c>
      <c r="E200" s="7" t="s">
        <v>195</v>
      </c>
      <c r="F200" s="7" t="s">
        <v>195</v>
      </c>
      <c r="G200" s="7" t="s">
        <v>195</v>
      </c>
      <c r="H200" s="7" t="s">
        <v>195</v>
      </c>
      <c r="I200" s="7" t="s">
        <v>195</v>
      </c>
      <c r="J200" s="7" t="s">
        <v>195</v>
      </c>
      <c r="K200" s="7" t="s">
        <v>195</v>
      </c>
      <c r="L200" s="7" t="s">
        <v>195</v>
      </c>
      <c r="M200" s="7" t="s">
        <v>29</v>
      </c>
      <c r="N200" s="7" t="s">
        <v>29</v>
      </c>
      <c r="O200" s="7" t="s">
        <v>29</v>
      </c>
      <c r="P200" s="7" t="s">
        <v>29</v>
      </c>
      <c r="Q200" s="7" t="s">
        <v>29</v>
      </c>
      <c r="R200" s="7" t="s">
        <v>29</v>
      </c>
      <c r="S200" s="7" t="s">
        <v>29</v>
      </c>
    </row>
  </sheetData>
  <sheetProtection formatCells="0" formatColumns="0" formatRows="0" insertColumns="0" insertRows="0" insertHyperlinks="0" deleteColumns="0" deleteRows="0" sort="0" autoFilter="0" pivotTables="0"/>
  <conditionalFormatting sqref="D2:D11">
    <cfRule type="expression" dxfId="66" priority="3">
      <formula>NOT(_xlfn.ISFORMULA($D2))</formula>
    </cfRule>
  </conditionalFormatting>
  <conditionalFormatting sqref="D12">
    <cfRule type="expression" dxfId="65" priority="2">
      <formula>NOT(_xlfn.ISFORMULA($D12))</formula>
    </cfRule>
  </conditionalFormatting>
  <conditionalFormatting sqref="D13:D200">
    <cfRule type="expression" dxfId="64" priority="1">
      <formula>NOT(_xlfn.ISFORMULA($D13))</formula>
    </cfRule>
  </conditionalFormatting>
  <dataValidations count="1">
    <dataValidation allowBlank="1" showInputMessage="1" showErrorMessage="1" sqref="A2:A11"/>
  </dataValidations>
  <pageMargins left="0.7" right="0.7" top="0.75" bottom="0.75" header="0.3" footer="0.3"/>
  <extLst>
    <ext xmlns:x14="http://schemas.microsoft.com/office/spreadsheetml/2009/9/main" uri="{CCE6A557-97BC-4b89-ADB6-D9C93CAAB3DF}">
      <x14:dataValidations xmlns:xm="http://schemas.microsoft.com/office/excel/2006/main" count="15">
        <x14:dataValidation type="list" allowBlank="1" showInputMessage="1" showErrorMessage="1">
          <x14:formula1>
            <xm:f>OFFSET('Reference Fields'!$K$2,0,0,COUNTA('Reference Fields'!$K:$K)-1)</xm:f>
          </x14:formula1>
          <xm:sqref>R2:R200</xm:sqref>
        </x14:dataValidation>
        <x14:dataValidation type="list" allowBlank="1" showInputMessage="1" showErrorMessage="1">
          <x14:formula1>
            <xm:f>OFFSET('Reference Fields'!$J$2,0,0,COUNTA('Reference Fields'!$J:$J)-1)</xm:f>
          </x14:formula1>
          <xm:sqref>Q2:Q200</xm:sqref>
        </x14:dataValidation>
        <x14:dataValidation type="list" allowBlank="1" showInputMessage="1" showErrorMessage="1">
          <x14:formula1>
            <xm:f>OFFSET('Reference Fields'!$J$2,0,0,COUNTA('Reference Fields'!$J:$J)-1)</xm:f>
          </x14:formula1>
          <xm:sqref>M2:M200</xm:sqref>
        </x14:dataValidation>
        <x14:dataValidation type="list" allowBlank="1" showInputMessage="1" showErrorMessage="1">
          <x14:formula1>
            <xm:f>OFFSET('Reference Fields'!$J$2,0,0,COUNTA('Reference Fields'!$J:$J)-1)</xm:f>
          </x14:formula1>
          <xm:sqref>N2:N200</xm:sqref>
        </x14:dataValidation>
        <x14:dataValidation type="list" allowBlank="1" showInputMessage="1" showErrorMessage="1">
          <x14:formula1>
            <xm:f>OFFSET('Reference Fields'!$J$2,0,0,COUNTA('Reference Fields'!$J:$J)-1)</xm:f>
          </x14:formula1>
          <xm:sqref>O2:O200</xm:sqref>
        </x14:dataValidation>
        <x14:dataValidation type="list" allowBlank="1" showInputMessage="1" showErrorMessage="1">
          <x14:formula1>
            <xm:f>OFFSET('Reference Fields'!$J$2,0,0,COUNTA('Reference Fields'!$J:$J)-1)</xm:f>
          </x14:formula1>
          <xm:sqref>P2:P200</xm:sqref>
        </x14:dataValidation>
        <x14:dataValidation type="list" allowBlank="1" showInputMessage="1" showErrorMessage="1">
          <x14:formula1>
            <xm:f>OFFSET('Reference Fields'!$J$2,0,0,COUNTA('Reference Fields'!$J:$J)-1)</xm:f>
          </x14:formula1>
          <xm:sqref>S2:S200</xm:sqref>
        </x14:dataValidation>
        <x14:dataValidation type="list" allowBlank="1" showInputMessage="1" showErrorMessage="1">
          <x14:formula1>
            <xm:f>OFFSET('Reference Fields'!$B$2,0,0,COUNTA('Reference Fields'!$B:$B)-1)</xm:f>
          </x14:formula1>
          <xm:sqref>B2:B200</xm:sqref>
        </x14:dataValidation>
        <x14:dataValidation type="list" allowBlank="1" showInputMessage="1" showErrorMessage="1">
          <x14:formula1>
            <xm:f>OFFSET('Reference Fields'!$D$2,0,0,COUNTA('Reference Fields'!$D:$D)-1)</xm:f>
          </x14:formula1>
          <xm:sqref>F2:F200</xm:sqref>
        </x14:dataValidation>
        <x14:dataValidation type="list" allowBlank="1" showInputMessage="1" showErrorMessage="1">
          <x14:formula1>
            <xm:f>OFFSET('Reference Fields'!$E$2,0,0,COUNTA('Reference Fields'!$E:$E)-1)</xm:f>
          </x14:formula1>
          <xm:sqref>G2:G200</xm:sqref>
        </x14:dataValidation>
        <x14:dataValidation type="list" allowBlank="1" showInputMessage="1" showErrorMessage="1">
          <x14:formula1>
            <xm:f>OFFSET('Reference Fields'!$F$2,0,0,COUNTA('Reference Fields'!$F:$F)-1)</xm:f>
          </x14:formula1>
          <xm:sqref>H2:H200</xm:sqref>
        </x14:dataValidation>
        <x14:dataValidation type="list" allowBlank="1" showInputMessage="1" showErrorMessage="1">
          <x14:formula1>
            <xm:f>OFFSET('Reference Fields'!$F$2,0,0,COUNTA('Reference Fields'!$F:$F)-1)</xm:f>
          </x14:formula1>
          <xm:sqref>I2:I200</xm:sqref>
        </x14:dataValidation>
        <x14:dataValidation type="list" allowBlank="1" showInputMessage="1" showErrorMessage="1">
          <x14:formula1>
            <xm:f>OFFSET('Reference Fields'!$G$2,0,0,COUNTA('Reference Fields'!$G:$G)-1)</xm:f>
          </x14:formula1>
          <xm:sqref>J2:J200</xm:sqref>
        </x14:dataValidation>
        <x14:dataValidation type="list" allowBlank="1" showInputMessage="1" showErrorMessage="1">
          <x14:formula1>
            <xm:f>OFFSET('Reference Fields'!$H$2,0,0,COUNTA('Reference Fields'!$H:$H)-1)</xm:f>
          </x14:formula1>
          <xm:sqref>K2:K200</xm:sqref>
        </x14:dataValidation>
        <x14:dataValidation type="list" allowBlank="1" showInputMessage="1" showErrorMessage="1">
          <x14:formula1>
            <xm:f>OFFSET('Reference Fields'!$I$2,0,0,COUNTA('Reference Fields'!$I:$I)-1)</xm:f>
          </x14:formula1>
          <xm:sqref>L2:L200</xm:sqref>
        </x14:dataValidation>
      </x14:dataValidations>
    </ext>
  </extLst>
</worksheet>
</file>

<file path=xl/worksheets/sheet19.xml><?xml version="1.0" encoding="utf-8"?>
<worksheet xmlns="http://schemas.openxmlformats.org/spreadsheetml/2006/main" xmlns:r="http://schemas.openxmlformats.org/officeDocument/2006/relationships">
  <sheetPr codeName="Sheet33"/>
  <dimension ref="A1:S200"/>
  <sheetViews>
    <sheetView topLeftCell="A19" workbookViewId="0">
      <selection activeCell="A2" sqref="A2"/>
    </sheetView>
  </sheetViews>
  <sheetFormatPr defaultRowHeight="14.5"/>
  <cols>
    <col min="1" max="1" width="28.08984375" bestFit="1" customWidth="1"/>
  </cols>
  <sheetData>
    <row r="1" spans="1:19">
      <c r="A1" s="1" t="s">
        <v>2</v>
      </c>
      <c r="B1" s="1" t="s">
        <v>1198</v>
      </c>
      <c r="C1" s="1" t="s">
        <v>1199</v>
      </c>
      <c r="D1" s="1" t="s">
        <v>0</v>
      </c>
      <c r="E1" s="1" t="s">
        <v>1</v>
      </c>
      <c r="F1" s="1" t="s">
        <v>30</v>
      </c>
      <c r="G1" s="1" t="s">
        <v>31</v>
      </c>
      <c r="H1" s="1" t="s">
        <v>1262</v>
      </c>
      <c r="I1" s="1" t="s">
        <v>49</v>
      </c>
      <c r="J1" s="1" t="s">
        <v>48</v>
      </c>
      <c r="K1" s="1" t="s">
        <v>54</v>
      </c>
      <c r="L1" s="1" t="s">
        <v>55</v>
      </c>
      <c r="M1" s="1" t="s">
        <v>27</v>
      </c>
      <c r="N1" s="1" t="s">
        <v>175</v>
      </c>
      <c r="O1" s="1" t="s">
        <v>193</v>
      </c>
      <c r="P1" s="1" t="s">
        <v>1221</v>
      </c>
      <c r="Q1" s="1" t="s">
        <v>1264</v>
      </c>
      <c r="R1" s="1" t="s">
        <v>1263</v>
      </c>
      <c r="S1" s="1" t="s">
        <v>1265</v>
      </c>
    </row>
    <row r="2" spans="1:19">
      <c r="A2" s="7" t="s">
        <v>1504</v>
      </c>
      <c r="B2" s="7" t="s">
        <v>1204</v>
      </c>
      <c r="C2" s="8" t="s">
        <v>195</v>
      </c>
      <c r="D2" s="5" t="str">
        <f>LRTRIM(CONCATENATE(IF(SUMPRODUCT(-- ISNUMBER(SEARCH({"Auto Number"}, $B2))) &gt; 0, $B2, IF(SUMPRODUCT(-- ISNUMBER(SEARCH({"Lookup","Master-Detail"}, $B2))) &gt; 0,$B2 &amp; "(" &amp; $E2 &amp; ")",IF(SUMPRODUCT(-- ISNUMBER(SEARCH({"Formula","Roll-Up Summary"}, $B2))) &gt; 0,$B2 &amp; " (" &amp; $E2 &amp; ")",IF(SUMPRODUCT(-- ISNUMBER(SEARCH({"Content","Currency","Number","Percent","Text","URL"}, $B2))) &gt; 0,$B2 &amp; "(" &amp; $C2 &amp; ")",$B2)))), "  ", TRIM(IF($S2 = "YES", "(External ID)", "") &amp; " " &amp; IF(SUMPRODUCT(-- ISNUMBER(SEARCH({"Unique","Unique Case Insensitive"}, $R2))) &gt; 0, "(" &amp; $R2 &amp; ")", ""))))</f>
        <v>Checkbox</v>
      </c>
      <c r="E2" s="7" t="s">
        <v>195</v>
      </c>
      <c r="F2" s="7" t="s">
        <v>1538</v>
      </c>
      <c r="G2" s="7" t="s">
        <v>1570</v>
      </c>
      <c r="H2" s="7" t="s">
        <v>195</v>
      </c>
      <c r="I2" s="7" t="s">
        <v>195</v>
      </c>
      <c r="J2" s="7" t="s">
        <v>195</v>
      </c>
      <c r="K2" s="7" t="s">
        <v>195</v>
      </c>
      <c r="L2" s="7" t="s">
        <v>195</v>
      </c>
      <c r="M2" s="7" t="s">
        <v>29</v>
      </c>
      <c r="N2" s="7" t="s">
        <v>29</v>
      </c>
      <c r="O2" s="7" t="s">
        <v>29</v>
      </c>
      <c r="P2" s="7" t="s">
        <v>29</v>
      </c>
      <c r="Q2" s="7" t="s">
        <v>29</v>
      </c>
      <c r="R2" s="7" t="s">
        <v>29</v>
      </c>
      <c r="S2" s="7" t="s">
        <v>29</v>
      </c>
    </row>
    <row r="3" spans="1:19">
      <c r="A3" s="7" t="s">
        <v>1505</v>
      </c>
      <c r="B3" s="7" t="s">
        <v>1218</v>
      </c>
      <c r="C3" s="8">
        <v>50</v>
      </c>
      <c r="D3" s="5" t="str">
        <f>LRTRIM(CONCATENATE(IF(SUMPRODUCT(-- ISNUMBER(SEARCH({"Auto Number"}, $B3))) &gt; 0, $B3, IF(SUMPRODUCT(-- ISNUMBER(SEARCH({"Lookup","Master-Detail"}, $B3))) &gt; 0,$B3 &amp; "(" &amp; $E3 &amp; ")",IF(SUMPRODUCT(-- ISNUMBER(SEARCH({"Formula","Roll-Up Summary"}, $B3))) &gt; 0,$B3 &amp; " (" &amp; $E3 &amp; ")",IF(SUMPRODUCT(-- ISNUMBER(SEARCH({"Content","Currency","Number","Percent","Text","URL"}, $B3))) &gt; 0,$B3 &amp; "(" &amp; $C3 &amp; ")",$B3)))), "  ", TRIM(IF($S3 = "YES", "(External ID)", "") &amp; " " &amp; IF(SUMPRODUCT(-- ISNUMBER(SEARCH({"Unique","Unique Case Insensitive"}, $R3))) &gt; 0, "(" &amp; $R3 &amp; ")", ""))))</f>
        <v>Text(50)</v>
      </c>
      <c r="E3" s="7" t="s">
        <v>195</v>
      </c>
      <c r="F3" s="7" t="s">
        <v>1539</v>
      </c>
      <c r="G3" s="7" t="s">
        <v>195</v>
      </c>
      <c r="H3" s="7" t="s">
        <v>195</v>
      </c>
      <c r="I3" s="7" t="s">
        <v>195</v>
      </c>
      <c r="J3" s="7" t="s">
        <v>195</v>
      </c>
      <c r="K3" s="7" t="s">
        <v>195</v>
      </c>
      <c r="L3" s="7" t="s">
        <v>195</v>
      </c>
      <c r="M3" s="7" t="s">
        <v>29</v>
      </c>
      <c r="N3" s="7" t="s">
        <v>29</v>
      </c>
      <c r="O3" s="7" t="s">
        <v>29</v>
      </c>
      <c r="P3" s="7" t="s">
        <v>29</v>
      </c>
      <c r="Q3" s="7" t="s">
        <v>29</v>
      </c>
      <c r="R3" s="7" t="s">
        <v>29</v>
      </c>
      <c r="S3" s="7" t="s">
        <v>29</v>
      </c>
    </row>
    <row r="4" spans="1:19">
      <c r="A4" s="7" t="s">
        <v>1506</v>
      </c>
      <c r="B4" s="7" t="s">
        <v>1204</v>
      </c>
      <c r="C4" s="8" t="s">
        <v>195</v>
      </c>
      <c r="D4" s="5" t="str">
        <f>LRTRIM(CONCATENATE(IF(SUMPRODUCT(-- ISNUMBER(SEARCH({"Auto Number"}, $B4))) &gt; 0, $B4, IF(SUMPRODUCT(-- ISNUMBER(SEARCH({"Lookup","Master-Detail"}, $B4))) &gt; 0,$B4 &amp; "(" &amp; $E4 &amp; ")",IF(SUMPRODUCT(-- ISNUMBER(SEARCH({"Formula","Roll-Up Summary"}, $B4))) &gt; 0,$B4 &amp; " (" &amp; $E4 &amp; ")",IF(SUMPRODUCT(-- ISNUMBER(SEARCH({"Content","Currency","Number","Percent","Text","URL"}, $B4))) &gt; 0,$B4 &amp; "(" &amp; $C4 &amp; ")",$B4)))), "  ", TRIM(IF($S4 = "YES", "(External ID)", "") &amp; " " &amp; IF(SUMPRODUCT(-- ISNUMBER(SEARCH({"Unique","Unique Case Insensitive"}, $R4))) &gt; 0, "(" &amp; $R4 &amp; ")", ""))))</f>
        <v>Checkbox</v>
      </c>
      <c r="E4" s="7" t="s">
        <v>195</v>
      </c>
      <c r="F4" s="7" t="s">
        <v>1540</v>
      </c>
      <c r="G4" s="7" t="s">
        <v>1571</v>
      </c>
      <c r="H4" s="7" t="s">
        <v>195</v>
      </c>
      <c r="I4" s="7" t="s">
        <v>195</v>
      </c>
      <c r="J4" s="7" t="s">
        <v>195</v>
      </c>
      <c r="K4" s="7" t="s">
        <v>195</v>
      </c>
      <c r="L4" s="7" t="s">
        <v>195</v>
      </c>
      <c r="M4" s="7" t="s">
        <v>29</v>
      </c>
      <c r="N4" s="7" t="s">
        <v>29</v>
      </c>
      <c r="O4" s="7" t="s">
        <v>29</v>
      </c>
      <c r="P4" s="7" t="s">
        <v>29</v>
      </c>
      <c r="Q4" s="7" t="s">
        <v>29</v>
      </c>
      <c r="R4" s="7" t="s">
        <v>29</v>
      </c>
      <c r="S4" s="7" t="s">
        <v>29</v>
      </c>
    </row>
    <row r="5" spans="1:19">
      <c r="A5" s="7" t="s">
        <v>1456</v>
      </c>
      <c r="B5" s="7" t="s">
        <v>1212</v>
      </c>
      <c r="C5" s="8" t="s">
        <v>195</v>
      </c>
      <c r="D5" s="5" t="str">
        <f>LRTRIM(CONCATENATE(IF(SUMPRODUCT(-- ISNUMBER(SEARCH({"Auto Number"}, $B5))) &gt; 0, $B5, IF(SUMPRODUCT(-- ISNUMBER(SEARCH({"Lookup","Master-Detail"}, $B5))) &gt; 0,$B5 &amp; "(" &amp; $E5 &amp; ")",IF(SUMPRODUCT(-- ISNUMBER(SEARCH({"Formula","Roll-Up Summary"}, $B5))) &gt; 0,$B5 &amp; " (" &amp; $E5 &amp; ")",IF(SUMPRODUCT(-- ISNUMBER(SEARCH({"Content","Currency","Number","Percent","Text","URL"}, $B5))) &gt; 0,$B5 &amp; "(" &amp; $C5 &amp; ")",$B5)))), "  ", TRIM(IF($S5 = "YES", "(External ID)", "") &amp; " " &amp; IF(SUMPRODUCT(-- ISNUMBER(SEARCH({"Unique","Unique Case Insensitive"}, $R5))) &gt; 0, "(" &amp; $R5 &amp; ")", ""))))</f>
        <v>Master-Detail(Campaign)</v>
      </c>
      <c r="E5" s="7" t="s">
        <v>1457</v>
      </c>
      <c r="F5" s="7" t="s">
        <v>1457</v>
      </c>
      <c r="G5" s="7" t="s">
        <v>1458</v>
      </c>
      <c r="H5" s="7" t="s">
        <v>195</v>
      </c>
      <c r="I5" s="7" t="s">
        <v>195</v>
      </c>
      <c r="J5" s="7" t="s">
        <v>195</v>
      </c>
      <c r="K5" s="7" t="s">
        <v>195</v>
      </c>
      <c r="L5" s="7" t="s">
        <v>195</v>
      </c>
      <c r="M5" s="7" t="s">
        <v>29</v>
      </c>
      <c r="N5" s="7" t="s">
        <v>29</v>
      </c>
      <c r="O5" s="7" t="s">
        <v>29</v>
      </c>
      <c r="P5" s="7" t="s">
        <v>29</v>
      </c>
      <c r="Q5" s="7" t="s">
        <v>29</v>
      </c>
      <c r="R5" s="7" t="s">
        <v>29</v>
      </c>
      <c r="S5" s="7" t="s">
        <v>29</v>
      </c>
    </row>
    <row r="6" spans="1:19">
      <c r="A6" s="7" t="s">
        <v>1507</v>
      </c>
      <c r="B6" s="7" t="s">
        <v>1204</v>
      </c>
      <c r="C6" s="8" t="s">
        <v>195</v>
      </c>
      <c r="D6" s="5" t="str">
        <f>LRTRIM(CONCATENATE(IF(SUMPRODUCT(-- ISNUMBER(SEARCH({"Auto Number"}, $B6))) &gt; 0, $B6, IF(SUMPRODUCT(-- ISNUMBER(SEARCH({"Lookup","Master-Detail"}, $B6))) &gt; 0,$B6 &amp; "(" &amp; $E6 &amp; ")",IF(SUMPRODUCT(-- ISNUMBER(SEARCH({"Formula","Roll-Up Summary"}, $B6))) &gt; 0,$B6 &amp; " (" &amp; $E6 &amp; ")",IF(SUMPRODUCT(-- ISNUMBER(SEARCH({"Content","Currency","Number","Percent","Text","URL"}, $B6))) &gt; 0,$B6 &amp; "(" &amp; $C6 &amp; ")",$B6)))), "  ", TRIM(IF($S6 = "YES", "(External ID)", "") &amp; " " &amp; IF(SUMPRODUCT(-- ISNUMBER(SEARCH({"Unique","Unique Case Insensitive"}, $R6))) &gt; 0, "(" &amp; $R6 &amp; ")", ""))))</f>
        <v>Checkbox</v>
      </c>
      <c r="E6" s="7" t="s">
        <v>195</v>
      </c>
      <c r="F6" s="7" t="s">
        <v>1541</v>
      </c>
      <c r="G6" s="7" t="s">
        <v>1572</v>
      </c>
      <c r="H6" s="7" t="s">
        <v>195</v>
      </c>
      <c r="I6" s="7" t="s">
        <v>195</v>
      </c>
      <c r="J6" s="7" t="s">
        <v>195</v>
      </c>
      <c r="K6" s="7" t="s">
        <v>195</v>
      </c>
      <c r="L6" s="7" t="s">
        <v>195</v>
      </c>
      <c r="M6" s="7" t="s">
        <v>29</v>
      </c>
      <c r="N6" s="7" t="s">
        <v>29</v>
      </c>
      <c r="O6" s="7" t="s">
        <v>29</v>
      </c>
      <c r="P6" s="7" t="s">
        <v>29</v>
      </c>
      <c r="Q6" s="7" t="s">
        <v>29</v>
      </c>
      <c r="R6" s="7" t="s">
        <v>29</v>
      </c>
      <c r="S6" s="7" t="s">
        <v>29</v>
      </c>
    </row>
    <row r="7" spans="1:19">
      <c r="A7" s="7" t="s">
        <v>1508</v>
      </c>
      <c r="B7" s="7" t="s">
        <v>1204</v>
      </c>
      <c r="C7" s="8" t="s">
        <v>195</v>
      </c>
      <c r="D7" s="5" t="str">
        <f>LRTRIM(CONCATENATE(IF(SUMPRODUCT(-- ISNUMBER(SEARCH({"Auto Number"}, $B7))) &gt; 0, $B7, IF(SUMPRODUCT(-- ISNUMBER(SEARCH({"Lookup","Master-Detail"}, $B7))) &gt; 0,$B7 &amp; "(" &amp; $E7 &amp; ")",IF(SUMPRODUCT(-- ISNUMBER(SEARCH({"Formula","Roll-Up Summary"}, $B7))) &gt; 0,$B7 &amp; " (" &amp; $E7 &amp; ")",IF(SUMPRODUCT(-- ISNUMBER(SEARCH({"Content","Currency","Number","Percent","Text","URL"}, $B7))) &gt; 0,$B7 &amp; "(" &amp; $C7 &amp; ")",$B7)))), "  ", TRIM(IF($S7 = "YES", "(External ID)", "") &amp; " " &amp; IF(SUMPRODUCT(-- ISNUMBER(SEARCH({"Unique","Unique Case Insensitive"}, $R7))) &gt; 0, "(" &amp; $R7 &amp; ")", ""))))</f>
        <v>Checkbox</v>
      </c>
      <c r="E7" s="7" t="s">
        <v>195</v>
      </c>
      <c r="F7" s="7" t="s">
        <v>1542</v>
      </c>
      <c r="G7" s="7" t="s">
        <v>1573</v>
      </c>
      <c r="H7" s="7" t="s">
        <v>195</v>
      </c>
      <c r="I7" s="7" t="s">
        <v>195</v>
      </c>
      <c r="J7" s="7" t="s">
        <v>195</v>
      </c>
      <c r="K7" s="7" t="s">
        <v>195</v>
      </c>
      <c r="L7" s="7" t="s">
        <v>195</v>
      </c>
      <c r="M7" s="7" t="s">
        <v>29</v>
      </c>
      <c r="N7" s="7" t="s">
        <v>29</v>
      </c>
      <c r="O7" s="7" t="s">
        <v>29</v>
      </c>
      <c r="P7" s="7" t="s">
        <v>29</v>
      </c>
      <c r="Q7" s="7" t="s">
        <v>29</v>
      </c>
      <c r="R7" s="7" t="s">
        <v>29</v>
      </c>
      <c r="S7" s="7" t="s">
        <v>29</v>
      </c>
    </row>
    <row r="8" spans="1:19">
      <c r="A8" s="7" t="s">
        <v>1460</v>
      </c>
      <c r="B8" s="7" t="s">
        <v>1218</v>
      </c>
      <c r="C8" s="8">
        <v>255</v>
      </c>
      <c r="D8" s="5" t="str">
        <f>LRTRIM(CONCATENATE(IF(SUMPRODUCT(-- ISNUMBER(SEARCH({"Auto Number"}, $B8))) &gt; 0, $B8, IF(SUMPRODUCT(-- ISNUMBER(SEARCH({"Lookup","Master-Detail"}, $B8))) &gt; 0,$B8 &amp; "(" &amp; $E8 &amp; ")",IF(SUMPRODUCT(-- ISNUMBER(SEARCH({"Formula","Roll-Up Summary"}, $B8))) &gt; 0,$B8 &amp; " (" &amp; $E8 &amp; ")",IF(SUMPRODUCT(-- ISNUMBER(SEARCH({"Content","Currency","Number","Percent","Text","URL"}, $B8))) &gt; 0,$B8 &amp; "(" &amp; $C8 &amp; ")",$B8)))), "  ", TRIM(IF($S8 = "YES", "(External ID)", "") &amp; " " &amp; IF(SUMPRODUCT(-- ISNUMBER(SEARCH({"Unique","Unique Case Insensitive"}, $R8))) &gt; 0, "(" &amp; $R8 &amp; ")", ""))))</f>
        <v>Text(255)</v>
      </c>
      <c r="E8" s="7" t="s">
        <v>195</v>
      </c>
      <c r="F8" s="7" t="s">
        <v>1543</v>
      </c>
      <c r="G8" s="7" t="s">
        <v>1574</v>
      </c>
      <c r="H8" s="7" t="s">
        <v>195</v>
      </c>
      <c r="I8" s="7" t="s">
        <v>195</v>
      </c>
      <c r="J8" s="7" t="s">
        <v>195</v>
      </c>
      <c r="K8" s="7" t="s">
        <v>195</v>
      </c>
      <c r="L8" s="7" t="s">
        <v>195</v>
      </c>
      <c r="M8" s="7" t="s">
        <v>29</v>
      </c>
      <c r="N8" s="7" t="s">
        <v>29</v>
      </c>
      <c r="O8" s="7" t="s">
        <v>29</v>
      </c>
      <c r="P8" s="7" t="s">
        <v>29</v>
      </c>
      <c r="Q8" s="7" t="s">
        <v>29</v>
      </c>
      <c r="R8" s="7" t="s">
        <v>29</v>
      </c>
      <c r="S8" s="7" t="s">
        <v>29</v>
      </c>
    </row>
    <row r="9" spans="1:19">
      <c r="A9" s="7" t="s">
        <v>1509</v>
      </c>
      <c r="B9" s="7" t="s">
        <v>1209</v>
      </c>
      <c r="C9" s="8">
        <v>1300</v>
      </c>
      <c r="D9" s="5" t="str">
        <f>LRTRIM(CONCATENATE(IF(SUMPRODUCT(-- ISNUMBER(SEARCH({"Auto Number"}, $B9))) &gt; 0, $B9, IF(SUMPRODUCT(-- ISNUMBER(SEARCH({"Lookup","Master-Detail"}, $B9))) &gt; 0,$B9 &amp; "(" &amp; $E9 &amp; ")",IF(SUMPRODUCT(-- ISNUMBER(SEARCH({"Formula","Roll-Up Summary"}, $B9))) &gt; 0,$B9 &amp; " (" &amp; $E9 &amp; ")",IF(SUMPRODUCT(-- ISNUMBER(SEARCH({"Content","Currency","Number","Percent","Text","URL"}, $B9))) &gt; 0,$B9 &amp; "(" &amp; $C9 &amp; ")",$B9)))), "  ", TRIM(IF($S9 = "YES", "(External ID)", "") &amp; " " &amp; IF(SUMPRODUCT(-- ISNUMBER(SEARCH({"Unique","Unique Case Insensitive"}, $R9))) &gt; 0, "(" &amp; $R9 &amp; ")", ""))))</f>
        <v>Formula (Text)</v>
      </c>
      <c r="E9" s="7" t="s">
        <v>1218</v>
      </c>
      <c r="F9" s="7" t="s">
        <v>1544</v>
      </c>
      <c r="G9" s="7" t="s">
        <v>1575</v>
      </c>
      <c r="H9" s="7" t="s">
        <v>195</v>
      </c>
      <c r="I9" s="7" t="s">
        <v>195</v>
      </c>
      <c r="J9" s="7" t="s">
        <v>195</v>
      </c>
      <c r="K9" s="7" t="s">
        <v>195</v>
      </c>
      <c r="L9" s="7" t="s">
        <v>195</v>
      </c>
      <c r="M9" s="7" t="s">
        <v>29</v>
      </c>
      <c r="N9" s="7" t="s">
        <v>29</v>
      </c>
      <c r="O9" s="7" t="s">
        <v>29</v>
      </c>
      <c r="P9" s="7" t="s">
        <v>29</v>
      </c>
      <c r="Q9" s="7" t="s">
        <v>29</v>
      </c>
      <c r="R9" s="7" t="s">
        <v>29</v>
      </c>
      <c r="S9" s="7" t="s">
        <v>29</v>
      </c>
    </row>
    <row r="10" spans="1:19">
      <c r="A10" s="7" t="s">
        <v>1510</v>
      </c>
      <c r="B10" s="7" t="s">
        <v>1213</v>
      </c>
      <c r="C10" s="8" t="s">
        <v>1305</v>
      </c>
      <c r="D10" s="5" t="str">
        <f>LRTRIM(CONCATENATE(IF(SUMPRODUCT(-- ISNUMBER(SEARCH({"Auto Number"}, $B10))) &gt; 0, $B10, IF(SUMPRODUCT(-- ISNUMBER(SEARCH({"Lookup","Master-Detail"}, $B10))) &gt; 0,$B10 &amp; "(" &amp; $E10 &amp; ")",IF(SUMPRODUCT(-- ISNUMBER(SEARCH({"Formula","Roll-Up Summary"}, $B10))) &gt; 0,$B10 &amp; " (" &amp; $E10 &amp; ")",IF(SUMPRODUCT(-- ISNUMBER(SEARCH({"Content","Currency","Number","Percent","Text","URL"}, $B10))) &gt; 0,$B10 &amp; "(" &amp; $C10 &amp; ")",$B10)))), "  ", TRIM(IF($S10 = "YES", "(External ID)", "") &amp; " " &amp; IF(SUMPRODUCT(-- ISNUMBER(SEARCH({"Unique","Unique Case Insensitive"}, $R10))) &gt; 0, "(" &amp; $R10 &amp; ")", ""))))</f>
        <v>Number(5, 0)</v>
      </c>
      <c r="E10" s="7" t="s">
        <v>195</v>
      </c>
      <c r="F10" s="7" t="s">
        <v>1545</v>
      </c>
      <c r="G10" s="7" t="s">
        <v>1576</v>
      </c>
      <c r="H10" s="7" t="s">
        <v>195</v>
      </c>
      <c r="I10" s="7" t="s">
        <v>195</v>
      </c>
      <c r="J10" s="7" t="s">
        <v>195</v>
      </c>
      <c r="K10" s="7" t="s">
        <v>195</v>
      </c>
      <c r="L10" s="7" t="s">
        <v>195</v>
      </c>
      <c r="M10" s="7" t="s">
        <v>29</v>
      </c>
      <c r="N10" s="7" t="s">
        <v>29</v>
      </c>
      <c r="O10" s="7" t="s">
        <v>29</v>
      </c>
      <c r="P10" s="7" t="s">
        <v>29</v>
      </c>
      <c r="Q10" s="7" t="s">
        <v>29</v>
      </c>
      <c r="R10" s="7" t="s">
        <v>29</v>
      </c>
      <c r="S10" s="7" t="s">
        <v>29</v>
      </c>
    </row>
    <row r="11" spans="1:19">
      <c r="A11" s="7" t="s">
        <v>1511</v>
      </c>
      <c r="B11" s="7" t="s">
        <v>1306</v>
      </c>
      <c r="C11" s="8">
        <v>255</v>
      </c>
      <c r="D11" s="5" t="str">
        <f>LRTRIM(CONCATENATE(IF(SUMPRODUCT(-- ISNUMBER(SEARCH({"Auto Number"}, $B11))) &gt; 0, $B11, IF(SUMPRODUCT(-- ISNUMBER(SEARCH({"Lookup","Master-Detail"}, $B11))) &gt; 0,$B11 &amp; "(" &amp; $E11 &amp; ")",IF(SUMPRODUCT(-- ISNUMBER(SEARCH({"Formula","Roll-Up Summary"}, $B11))) &gt; 0,$B11 &amp; " (" &amp; $E11 &amp; ")",IF(SUMPRODUCT(-- ISNUMBER(SEARCH({"Content","Currency","Number","Percent","Text","URL"}, $B11))) &gt; 0,$B11 &amp; "(" &amp; $C11 &amp; ")",$B11)))), "  ", TRIM(IF($S11 = "YES", "(External ID)", "") &amp; " " &amp; IF(SUMPRODUCT(-- ISNUMBER(SEARCH({"Unique","Unique Case Insensitive"}, $R11))) &gt; 0, "(" &amp; $R11 &amp; ")", ""))))</f>
        <v>Text Area(255)</v>
      </c>
      <c r="E11" s="7" t="s">
        <v>195</v>
      </c>
      <c r="F11" s="7" t="s">
        <v>854</v>
      </c>
      <c r="G11" s="7" t="s">
        <v>931</v>
      </c>
      <c r="H11" s="7" t="s">
        <v>195</v>
      </c>
      <c r="I11" s="7" t="s">
        <v>195</v>
      </c>
      <c r="J11" s="7" t="s">
        <v>195</v>
      </c>
      <c r="K11" s="7" t="s">
        <v>195</v>
      </c>
      <c r="L11" s="7" t="s">
        <v>195</v>
      </c>
      <c r="M11" s="7" t="s">
        <v>29</v>
      </c>
      <c r="N11" s="7" t="s">
        <v>29</v>
      </c>
      <c r="O11" s="7" t="s">
        <v>29</v>
      </c>
      <c r="P11" s="7" t="s">
        <v>29</v>
      </c>
      <c r="Q11" s="7" t="s">
        <v>29</v>
      </c>
      <c r="R11" s="7" t="s">
        <v>29</v>
      </c>
      <c r="S11" s="7" t="s">
        <v>29</v>
      </c>
    </row>
    <row r="12" spans="1:19">
      <c r="A12" s="7" t="s">
        <v>1512</v>
      </c>
      <c r="B12" s="7" t="s">
        <v>1218</v>
      </c>
      <c r="C12" s="8">
        <v>30</v>
      </c>
      <c r="D12" s="5" t="str">
        <f>LRTRIM(CONCATENATE(IF(SUMPRODUCT(-- ISNUMBER(SEARCH({"Auto Number"}, $B12))) &gt; 0, $B12, IF(SUMPRODUCT(-- ISNUMBER(SEARCH({"Lookup","Master-Detail"}, $B12))) &gt; 0,$B12 &amp; "(" &amp; $E12 &amp; ")",IF(SUMPRODUCT(-- ISNUMBER(SEARCH({"Formula","Roll-Up Summary"}, $B12))) &gt; 0,$B12 &amp; " (" &amp; $E12 &amp; ")",IF(SUMPRODUCT(-- ISNUMBER(SEARCH({"Content","Currency","Number","Percent","Text","URL"}, $B12))) &gt; 0,$B12 &amp; "(" &amp; $C12 &amp; ")",$B12)))), "  ", TRIM(IF($S12 = "YES", "(External ID)", "") &amp; " " &amp; IF(SUMPRODUCT(-- ISNUMBER(SEARCH({"Unique","Unique Case Insensitive"}, $R12))) &gt; 0, "(" &amp; $R12 &amp; ")", ""))))</f>
        <v>Text(30)</v>
      </c>
      <c r="E12" s="7" t="s">
        <v>195</v>
      </c>
      <c r="F12" s="7" t="s">
        <v>1546</v>
      </c>
      <c r="G12" s="7" t="s">
        <v>1577</v>
      </c>
      <c r="H12" s="7" t="s">
        <v>195</v>
      </c>
      <c r="I12" s="7" t="s">
        <v>195</v>
      </c>
      <c r="J12" s="7" t="s">
        <v>195</v>
      </c>
      <c r="K12" s="7" t="s">
        <v>195</v>
      </c>
      <c r="L12" s="7" t="s">
        <v>195</v>
      </c>
      <c r="M12" s="7" t="s">
        <v>29</v>
      </c>
      <c r="N12" s="7" t="s">
        <v>29</v>
      </c>
      <c r="O12" s="7" t="s">
        <v>29</v>
      </c>
      <c r="P12" s="7" t="s">
        <v>29</v>
      </c>
      <c r="Q12" s="7" t="s">
        <v>29</v>
      </c>
      <c r="R12" s="7" t="s">
        <v>29</v>
      </c>
      <c r="S12" s="7" t="s">
        <v>29</v>
      </c>
    </row>
    <row r="13" spans="1:19">
      <c r="A13" s="7" t="s">
        <v>1513</v>
      </c>
      <c r="B13" s="7" t="s">
        <v>1204</v>
      </c>
      <c r="C13" s="8" t="s">
        <v>195</v>
      </c>
      <c r="D13" s="5" t="str">
        <f>LRTRIM(CONCATENATE(IF(SUMPRODUCT(-- ISNUMBER(SEARCH({"Auto Number"}, $B13))) &gt; 0, $B13, IF(SUMPRODUCT(-- ISNUMBER(SEARCH({"Lookup","Master-Detail"}, $B13))) &gt; 0,$B13 &amp; "(" &amp; $E13 &amp; ")",IF(SUMPRODUCT(-- ISNUMBER(SEARCH({"Formula","Roll-Up Summary"}, $B13))) &gt; 0,$B13 &amp; " (" &amp; $E13 &amp; ")",IF(SUMPRODUCT(-- ISNUMBER(SEARCH({"Content","Currency","Number","Percent","Text","URL"}, $B13))) &gt; 0,$B13 &amp; "(" &amp; $C13 &amp; ")",$B13)))), "  ", TRIM(IF($S13 = "YES", "(External ID)", "") &amp; " " &amp; IF(SUMPRODUCT(-- ISNUMBER(SEARCH({"Unique","Unique Case Insensitive"}, $R13))) &gt; 0, "(" &amp; $R13 &amp; ")", ""))))</f>
        <v>Checkbox</v>
      </c>
      <c r="E13" s="7" t="s">
        <v>195</v>
      </c>
      <c r="F13" s="7" t="s">
        <v>1547</v>
      </c>
      <c r="G13" s="7" t="s">
        <v>1578</v>
      </c>
      <c r="H13" s="7" t="s">
        <v>195</v>
      </c>
      <c r="I13" s="7" t="s">
        <v>195</v>
      </c>
      <c r="J13" s="7" t="s">
        <v>195</v>
      </c>
      <c r="K13" s="7" t="s">
        <v>195</v>
      </c>
      <c r="L13" s="7" t="s">
        <v>195</v>
      </c>
      <c r="M13" s="7" t="s">
        <v>29</v>
      </c>
      <c r="N13" s="7" t="s">
        <v>29</v>
      </c>
      <c r="O13" s="7" t="s">
        <v>29</v>
      </c>
      <c r="P13" s="7" t="s">
        <v>29</v>
      </c>
      <c r="Q13" s="7" t="s">
        <v>29</v>
      </c>
      <c r="R13" s="7" t="s">
        <v>29</v>
      </c>
      <c r="S13" s="7" t="s">
        <v>29</v>
      </c>
    </row>
    <row r="14" spans="1:19">
      <c r="A14" s="7" t="s">
        <v>1514</v>
      </c>
      <c r="B14" s="7" t="s">
        <v>1204</v>
      </c>
      <c r="C14" s="8" t="s">
        <v>195</v>
      </c>
      <c r="D14" s="5" t="str">
        <f>LRTRIM(CONCATENATE(IF(SUMPRODUCT(-- ISNUMBER(SEARCH({"Auto Number"}, $B14))) &gt; 0, $B14, IF(SUMPRODUCT(-- ISNUMBER(SEARCH({"Lookup","Master-Detail"}, $B14))) &gt; 0,$B14 &amp; "(" &amp; $E14 &amp; ")",IF(SUMPRODUCT(-- ISNUMBER(SEARCH({"Formula","Roll-Up Summary"}, $B14))) &gt; 0,$B14 &amp; " (" &amp; $E14 &amp; ")",IF(SUMPRODUCT(-- ISNUMBER(SEARCH({"Content","Currency","Number","Percent","Text","URL"}, $B14))) &gt; 0,$B14 &amp; "(" &amp; $C14 &amp; ")",$B14)))), "  ", TRIM(IF($S14 = "YES", "(External ID)", "") &amp; " " &amp; IF(SUMPRODUCT(-- ISNUMBER(SEARCH({"Unique","Unique Case Insensitive"}, $R14))) &gt; 0, "(" &amp; $R14 &amp; ")", ""))))</f>
        <v>Checkbox</v>
      </c>
      <c r="E14" s="7" t="s">
        <v>195</v>
      </c>
      <c r="F14" s="7" t="s">
        <v>1548</v>
      </c>
      <c r="G14" s="7" t="s">
        <v>1607</v>
      </c>
      <c r="H14" s="7" t="s">
        <v>195</v>
      </c>
      <c r="I14" s="7" t="s">
        <v>195</v>
      </c>
      <c r="J14" s="7" t="s">
        <v>195</v>
      </c>
      <c r="K14" s="7" t="s">
        <v>195</v>
      </c>
      <c r="L14" s="7" t="s">
        <v>195</v>
      </c>
      <c r="M14" s="7" t="s">
        <v>29</v>
      </c>
      <c r="N14" s="7" t="s">
        <v>29</v>
      </c>
      <c r="O14" s="7" t="s">
        <v>29</v>
      </c>
      <c r="P14" s="7" t="s">
        <v>29</v>
      </c>
      <c r="Q14" s="7" t="s">
        <v>29</v>
      </c>
      <c r="R14" s="7" t="s">
        <v>29</v>
      </c>
      <c r="S14" s="7" t="s">
        <v>29</v>
      </c>
    </row>
    <row r="15" spans="1:19">
      <c r="A15" s="7" t="s">
        <v>1515</v>
      </c>
      <c r="B15" s="7" t="s">
        <v>1204</v>
      </c>
      <c r="C15" s="8" t="s">
        <v>195</v>
      </c>
      <c r="D15" s="5" t="str">
        <f>LRTRIM(CONCATENATE(IF(SUMPRODUCT(-- ISNUMBER(SEARCH({"Auto Number"}, $B15))) &gt; 0, $B15, IF(SUMPRODUCT(-- ISNUMBER(SEARCH({"Lookup","Master-Detail"}, $B15))) &gt; 0,$B15 &amp; "(" &amp; $E15 &amp; ")",IF(SUMPRODUCT(-- ISNUMBER(SEARCH({"Formula","Roll-Up Summary"}, $B15))) &gt; 0,$B15 &amp; " (" &amp; $E15 &amp; ")",IF(SUMPRODUCT(-- ISNUMBER(SEARCH({"Content","Currency","Number","Percent","Text","URL"}, $B15))) &gt; 0,$B15 &amp; "(" &amp; $C15 &amp; ")",$B15)))), "  ", TRIM(IF($S15 = "YES", "(External ID)", "") &amp; " " &amp; IF(SUMPRODUCT(-- ISNUMBER(SEARCH({"Unique","Unique Case Insensitive"}, $R15))) &gt; 0, "(" &amp; $R15 &amp; ")", ""))))</f>
        <v>Checkbox</v>
      </c>
      <c r="E15" s="7" t="s">
        <v>195</v>
      </c>
      <c r="F15" s="7" t="s">
        <v>1549</v>
      </c>
      <c r="G15" s="7" t="s">
        <v>1579</v>
      </c>
      <c r="H15" s="7" t="s">
        <v>195</v>
      </c>
      <c r="I15" s="7" t="s">
        <v>195</v>
      </c>
      <c r="J15" s="7" t="s">
        <v>195</v>
      </c>
      <c r="K15" s="7" t="s">
        <v>195</v>
      </c>
      <c r="L15" s="7" t="s">
        <v>195</v>
      </c>
      <c r="M15" s="7" t="s">
        <v>29</v>
      </c>
      <c r="N15" s="7" t="s">
        <v>29</v>
      </c>
      <c r="O15" s="7" t="s">
        <v>29</v>
      </c>
      <c r="P15" s="7" t="s">
        <v>29</v>
      </c>
      <c r="Q15" s="7" t="s">
        <v>29</v>
      </c>
      <c r="R15" s="7" t="s">
        <v>29</v>
      </c>
      <c r="S15" s="7" t="s">
        <v>29</v>
      </c>
    </row>
    <row r="16" spans="1:19">
      <c r="A16" s="7" t="s">
        <v>1516</v>
      </c>
      <c r="B16" s="7" t="s">
        <v>1204</v>
      </c>
      <c r="C16" s="8" t="s">
        <v>195</v>
      </c>
      <c r="D16" s="5" t="str">
        <f>LRTRIM(CONCATENATE(IF(SUMPRODUCT(-- ISNUMBER(SEARCH({"Auto Number"}, $B16))) &gt; 0, $B16, IF(SUMPRODUCT(-- ISNUMBER(SEARCH({"Lookup","Master-Detail"}, $B16))) &gt; 0,$B16 &amp; "(" &amp; $E16 &amp; ")",IF(SUMPRODUCT(-- ISNUMBER(SEARCH({"Formula","Roll-Up Summary"}, $B16))) &gt; 0,$B16 &amp; " (" &amp; $E16 &amp; ")",IF(SUMPRODUCT(-- ISNUMBER(SEARCH({"Content","Currency","Number","Percent","Text","URL"}, $B16))) &gt; 0,$B16 &amp; "(" &amp; $C16 &amp; ")",$B16)))), "  ", TRIM(IF($S16 = "YES", "(External ID)", "") &amp; " " &amp; IF(SUMPRODUCT(-- ISNUMBER(SEARCH({"Unique","Unique Case Insensitive"}, $R16))) &gt; 0, "(" &amp; $R16 &amp; ")", ""))))</f>
        <v>Checkbox</v>
      </c>
      <c r="E16" s="7" t="s">
        <v>195</v>
      </c>
      <c r="F16" s="7" t="s">
        <v>1550</v>
      </c>
      <c r="G16" s="7" t="s">
        <v>1580</v>
      </c>
      <c r="H16" s="7" t="s">
        <v>195</v>
      </c>
      <c r="I16" s="7" t="s">
        <v>195</v>
      </c>
      <c r="J16" s="7" t="s">
        <v>195</v>
      </c>
      <c r="K16" s="7" t="s">
        <v>195</v>
      </c>
      <c r="L16" s="7" t="s">
        <v>195</v>
      </c>
      <c r="M16" s="7" t="s">
        <v>29</v>
      </c>
      <c r="N16" s="7" t="s">
        <v>29</v>
      </c>
      <c r="O16" s="7" t="s">
        <v>29</v>
      </c>
      <c r="P16" s="7" t="s">
        <v>29</v>
      </c>
      <c r="Q16" s="7" t="s">
        <v>29</v>
      </c>
      <c r="R16" s="7" t="s">
        <v>29</v>
      </c>
      <c r="S16" s="7" t="s">
        <v>29</v>
      </c>
    </row>
    <row r="17" spans="1:19">
      <c r="A17" s="7" t="s">
        <v>1517</v>
      </c>
      <c r="B17" s="7" t="s">
        <v>1204</v>
      </c>
      <c r="C17" s="8" t="s">
        <v>195</v>
      </c>
      <c r="D17" s="5" t="str">
        <f>LRTRIM(CONCATENATE(IF(SUMPRODUCT(-- ISNUMBER(SEARCH({"Auto Number"}, $B17))) &gt; 0, $B17, IF(SUMPRODUCT(-- ISNUMBER(SEARCH({"Lookup","Master-Detail"}, $B17))) &gt; 0,$B17 &amp; "(" &amp; $E17 &amp; ")",IF(SUMPRODUCT(-- ISNUMBER(SEARCH({"Formula","Roll-Up Summary"}, $B17))) &gt; 0,$B17 &amp; " (" &amp; $E17 &amp; ")",IF(SUMPRODUCT(-- ISNUMBER(SEARCH({"Content","Currency","Number","Percent","Text","URL"}, $B17))) &gt; 0,$B17 &amp; "(" &amp; $C17 &amp; ")",$B17)))), "  ", TRIM(IF($S17 = "YES", "(External ID)", "") &amp; " " &amp; IF(SUMPRODUCT(-- ISNUMBER(SEARCH({"Unique","Unique Case Insensitive"}, $R17))) &gt; 0, "(" &amp; $R17 &amp; ")", ""))))</f>
        <v>Checkbox</v>
      </c>
      <c r="E17" s="7" t="s">
        <v>195</v>
      </c>
      <c r="F17" s="7" t="s">
        <v>1551</v>
      </c>
      <c r="G17" s="7" t="s">
        <v>1581</v>
      </c>
      <c r="H17" s="7" t="s">
        <v>195</v>
      </c>
      <c r="I17" s="7" t="s">
        <v>195</v>
      </c>
      <c r="J17" s="7" t="s">
        <v>195</v>
      </c>
      <c r="K17" s="7" t="s">
        <v>195</v>
      </c>
      <c r="L17" s="7" t="s">
        <v>195</v>
      </c>
      <c r="M17" s="7" t="s">
        <v>29</v>
      </c>
      <c r="N17" s="7" t="s">
        <v>29</v>
      </c>
      <c r="O17" s="7" t="s">
        <v>29</v>
      </c>
      <c r="P17" s="7" t="s">
        <v>29</v>
      </c>
      <c r="Q17" s="7" t="s">
        <v>29</v>
      </c>
      <c r="R17" s="7" t="s">
        <v>29</v>
      </c>
      <c r="S17" s="7" t="s">
        <v>29</v>
      </c>
    </row>
    <row r="18" spans="1:19">
      <c r="A18" s="7" t="s">
        <v>1518</v>
      </c>
      <c r="B18" s="7" t="s">
        <v>1204</v>
      </c>
      <c r="C18" s="8" t="s">
        <v>195</v>
      </c>
      <c r="D18" s="5" t="str">
        <f>LRTRIM(CONCATENATE(IF(SUMPRODUCT(-- ISNUMBER(SEARCH({"Auto Number"}, $B18))) &gt; 0, $B18, IF(SUMPRODUCT(-- ISNUMBER(SEARCH({"Lookup","Master-Detail"}, $B18))) &gt; 0,$B18 &amp; "(" &amp; $E18 &amp; ")",IF(SUMPRODUCT(-- ISNUMBER(SEARCH({"Formula","Roll-Up Summary"}, $B18))) &gt; 0,$B18 &amp; " (" &amp; $E18 &amp; ")",IF(SUMPRODUCT(-- ISNUMBER(SEARCH({"Content","Currency","Number","Percent","Text","URL"}, $B18))) &gt; 0,$B18 &amp; "(" &amp; $C18 &amp; ")",$B18)))), "  ", TRIM(IF($S18 = "YES", "(External ID)", "") &amp; " " &amp; IF(SUMPRODUCT(-- ISNUMBER(SEARCH({"Unique","Unique Case Insensitive"}, $R18))) &gt; 0, "(" &amp; $R18 &amp; ")", ""))))</f>
        <v>Checkbox</v>
      </c>
      <c r="E18" s="7" t="s">
        <v>195</v>
      </c>
      <c r="F18" s="7" t="s">
        <v>1552</v>
      </c>
      <c r="G18" s="7" t="s">
        <v>195</v>
      </c>
      <c r="H18" s="7" t="s">
        <v>195</v>
      </c>
      <c r="I18" s="7" t="s">
        <v>195</v>
      </c>
      <c r="J18" s="7" t="s">
        <v>195</v>
      </c>
      <c r="K18" s="7" t="s">
        <v>195</v>
      </c>
      <c r="L18" s="7" t="s">
        <v>195</v>
      </c>
      <c r="M18" s="7" t="s">
        <v>29</v>
      </c>
      <c r="N18" s="7" t="s">
        <v>29</v>
      </c>
      <c r="O18" s="7" t="s">
        <v>29</v>
      </c>
      <c r="P18" s="7" t="s">
        <v>29</v>
      </c>
      <c r="Q18" s="7" t="s">
        <v>29</v>
      </c>
      <c r="R18" s="7" t="s">
        <v>29</v>
      </c>
      <c r="S18" s="7" t="s">
        <v>29</v>
      </c>
    </row>
    <row r="19" spans="1:19">
      <c r="A19" s="7" t="s">
        <v>1519</v>
      </c>
      <c r="B19" s="7" t="s">
        <v>1218</v>
      </c>
      <c r="C19" s="8">
        <v>20</v>
      </c>
      <c r="D19" s="5" t="str">
        <f>LRTRIM(CONCATENATE(IF(SUMPRODUCT(-- ISNUMBER(SEARCH({"Auto Number"}, $B19))) &gt; 0, $B19, IF(SUMPRODUCT(-- ISNUMBER(SEARCH({"Lookup","Master-Detail"}, $B19))) &gt; 0,$B19 &amp; "(" &amp; $E19 &amp; ")",IF(SUMPRODUCT(-- ISNUMBER(SEARCH({"Formula","Roll-Up Summary"}, $B19))) &gt; 0,$B19 &amp; " (" &amp; $E19 &amp; ")",IF(SUMPRODUCT(-- ISNUMBER(SEARCH({"Content","Currency","Number","Percent","Text","URL"}, $B19))) &gt; 0,$B19 &amp; "(" &amp; $C19 &amp; ")",$B19)))), "  ", TRIM(IF($S19 = "YES", "(External ID)", "") &amp; " " &amp; IF(SUMPRODUCT(-- ISNUMBER(SEARCH({"Unique","Unique Case Insensitive"}, $R19))) &gt; 0, "(" &amp; $R19 &amp; ")", ""))))</f>
        <v>Text(20)</v>
      </c>
      <c r="E19" s="7" t="s">
        <v>195</v>
      </c>
      <c r="F19" s="7" t="s">
        <v>1553</v>
      </c>
      <c r="G19" s="7" t="s">
        <v>1583</v>
      </c>
      <c r="H19" s="7" t="s">
        <v>195</v>
      </c>
      <c r="I19" s="7" t="s">
        <v>195</v>
      </c>
      <c r="J19" s="7" t="s">
        <v>195</v>
      </c>
      <c r="K19" s="7" t="s">
        <v>195</v>
      </c>
      <c r="L19" s="7" t="s">
        <v>195</v>
      </c>
      <c r="M19" s="7" t="s">
        <v>29</v>
      </c>
      <c r="N19" s="7" t="s">
        <v>29</v>
      </c>
      <c r="O19" s="7" t="s">
        <v>29</v>
      </c>
      <c r="P19" s="7" t="s">
        <v>29</v>
      </c>
      <c r="Q19" s="7" t="s">
        <v>29</v>
      </c>
      <c r="R19" s="7" t="s">
        <v>29</v>
      </c>
      <c r="S19" s="7" t="s">
        <v>29</v>
      </c>
    </row>
    <row r="20" spans="1:19">
      <c r="A20" s="7" t="s">
        <v>1520</v>
      </c>
      <c r="B20" s="7" t="s">
        <v>1213</v>
      </c>
      <c r="C20" s="8" t="s">
        <v>1305</v>
      </c>
      <c r="D20" s="5" t="str">
        <f>LRTRIM(CONCATENATE(IF(SUMPRODUCT(-- ISNUMBER(SEARCH({"Auto Number"}, $B20))) &gt; 0, $B20, IF(SUMPRODUCT(-- ISNUMBER(SEARCH({"Lookup","Master-Detail"}, $B20))) &gt; 0,$B20 &amp; "(" &amp; $E20 &amp; ")",IF(SUMPRODUCT(-- ISNUMBER(SEARCH({"Formula","Roll-Up Summary"}, $B20))) &gt; 0,$B20 &amp; " (" &amp; $E20 &amp; ")",IF(SUMPRODUCT(-- ISNUMBER(SEARCH({"Content","Currency","Number","Percent","Text","URL"}, $B20))) &gt; 0,$B20 &amp; "(" &amp; $C20 &amp; ")",$B20)))), "  ", TRIM(IF($S20 = "YES", "(External ID)", "") &amp; " " &amp; IF(SUMPRODUCT(-- ISNUMBER(SEARCH({"Unique","Unique Case Insensitive"}, $R20))) &gt; 0, "(" &amp; $R20 &amp; ")", ""))))</f>
        <v>Number(5, 0)</v>
      </c>
      <c r="E20" s="7" t="s">
        <v>195</v>
      </c>
      <c r="F20" s="7" t="s">
        <v>1554</v>
      </c>
      <c r="G20" s="7" t="s">
        <v>1584</v>
      </c>
      <c r="H20" s="7" t="s">
        <v>195</v>
      </c>
      <c r="I20" s="7" t="s">
        <v>195</v>
      </c>
      <c r="J20" s="7" t="s">
        <v>195</v>
      </c>
      <c r="K20" s="7" t="s">
        <v>195</v>
      </c>
      <c r="L20" s="7" t="s">
        <v>195</v>
      </c>
      <c r="M20" s="7" t="s">
        <v>29</v>
      </c>
      <c r="N20" s="7" t="s">
        <v>29</v>
      </c>
      <c r="O20" s="7" t="s">
        <v>29</v>
      </c>
      <c r="P20" s="7" t="s">
        <v>29</v>
      </c>
      <c r="Q20" s="7" t="s">
        <v>29</v>
      </c>
      <c r="R20" s="7" t="s">
        <v>29</v>
      </c>
      <c r="S20" s="7" t="s">
        <v>29</v>
      </c>
    </row>
    <row r="21" spans="1:19">
      <c r="A21" s="7" t="s">
        <v>1521</v>
      </c>
      <c r="B21" s="7" t="s">
        <v>1211</v>
      </c>
      <c r="C21" s="8" t="s">
        <v>195</v>
      </c>
      <c r="D21" s="5" t="str">
        <f>LRTRIM(CONCATENATE(IF(SUMPRODUCT(-- ISNUMBER(SEARCH({"Auto Number"}, $B21))) &gt; 0, $B21, IF(SUMPRODUCT(-- ISNUMBER(SEARCH({"Lookup","Master-Detail"}, $B21))) &gt; 0,$B21 &amp; "(" &amp; $E21 &amp; ")",IF(SUMPRODUCT(-- ISNUMBER(SEARCH({"Formula","Roll-Up Summary"}, $B21))) &gt; 0,$B21 &amp; " (" &amp; $E21 &amp; ")",IF(SUMPRODUCT(-- ISNUMBER(SEARCH({"Content","Currency","Number","Percent","Text","URL"}, $B21))) &gt; 0,$B21 &amp; "(" &amp; $C21 &amp; ")",$B21)))), "  ", TRIM(IF($S21 = "YES", "(External ID)", "") &amp; " " &amp; IF(SUMPRODUCT(-- ISNUMBER(SEARCH({"Unique","Unique Case Insensitive"}, $R21))) &gt; 0, "(" &amp; $R21 &amp; ")", ""))))</f>
        <v>Lookup(User)</v>
      </c>
      <c r="E21" s="7" t="s">
        <v>7</v>
      </c>
      <c r="F21" s="7" t="s">
        <v>1555</v>
      </c>
      <c r="G21" s="7" t="s">
        <v>1585</v>
      </c>
      <c r="H21" s="7" t="s">
        <v>195</v>
      </c>
      <c r="I21" s="7" t="s">
        <v>195</v>
      </c>
      <c r="J21" s="7" t="s">
        <v>195</v>
      </c>
      <c r="K21" s="7" t="s">
        <v>195</v>
      </c>
      <c r="L21" s="7" t="s">
        <v>195</v>
      </c>
      <c r="M21" s="7" t="s">
        <v>29</v>
      </c>
      <c r="N21" s="7" t="s">
        <v>29</v>
      </c>
      <c r="O21" s="7" t="s">
        <v>29</v>
      </c>
      <c r="P21" s="7" t="s">
        <v>29</v>
      </c>
      <c r="Q21" s="7" t="s">
        <v>29</v>
      </c>
      <c r="R21" s="7" t="s">
        <v>29</v>
      </c>
      <c r="S21" s="7" t="s">
        <v>29</v>
      </c>
    </row>
    <row r="22" spans="1:19">
      <c r="A22" s="7" t="s">
        <v>1522</v>
      </c>
      <c r="B22" s="7" t="s">
        <v>1218</v>
      </c>
      <c r="C22" s="8">
        <v>50</v>
      </c>
      <c r="D22" s="5" t="str">
        <f>LRTRIM(CONCATENATE(IF(SUMPRODUCT(-- ISNUMBER(SEARCH({"Auto Number"}, $B22))) &gt; 0, $B22, IF(SUMPRODUCT(-- ISNUMBER(SEARCH({"Lookup","Master-Detail"}, $B22))) &gt; 0,$B22 &amp; "(" &amp; $E22 &amp; ")",IF(SUMPRODUCT(-- ISNUMBER(SEARCH({"Formula","Roll-Up Summary"}, $B22))) &gt; 0,$B22 &amp; " (" &amp; $E22 &amp; ")",IF(SUMPRODUCT(-- ISNUMBER(SEARCH({"Content","Currency","Number","Percent","Text","URL"}, $B22))) &gt; 0,$B22 &amp; "(" &amp; $C22 &amp; ")",$B22)))), "  ", TRIM(IF($S22 = "YES", "(External ID)", "") &amp; " " &amp; IF(SUMPRODUCT(-- ISNUMBER(SEARCH({"Unique","Unique Case Insensitive"}, $R22))) &gt; 0, "(" &amp; $R22 &amp; ")", ""))))</f>
        <v>Text(50)</v>
      </c>
      <c r="E22" s="7" t="s">
        <v>195</v>
      </c>
      <c r="F22" s="7" t="s">
        <v>1556</v>
      </c>
      <c r="G22" s="7" t="s">
        <v>1586</v>
      </c>
      <c r="H22" s="7" t="s">
        <v>195</v>
      </c>
      <c r="I22" s="7" t="s">
        <v>195</v>
      </c>
      <c r="J22" s="7" t="s">
        <v>195</v>
      </c>
      <c r="K22" s="7" t="s">
        <v>195</v>
      </c>
      <c r="L22" s="7" t="s">
        <v>195</v>
      </c>
      <c r="M22" s="7" t="s">
        <v>29</v>
      </c>
      <c r="N22" s="7" t="s">
        <v>29</v>
      </c>
      <c r="O22" s="7" t="s">
        <v>29</v>
      </c>
      <c r="P22" s="7" t="s">
        <v>29</v>
      </c>
      <c r="Q22" s="7" t="s">
        <v>29</v>
      </c>
      <c r="R22" s="7" t="s">
        <v>29</v>
      </c>
      <c r="S22" s="7" t="s">
        <v>29</v>
      </c>
    </row>
    <row r="23" spans="1:19">
      <c r="A23" s="7" t="s">
        <v>1523</v>
      </c>
      <c r="B23" s="7" t="s">
        <v>1213</v>
      </c>
      <c r="C23" s="8" t="s">
        <v>1305</v>
      </c>
      <c r="D23" s="5" t="str">
        <f>LRTRIM(CONCATENATE(IF(SUMPRODUCT(-- ISNUMBER(SEARCH({"Auto Number"}, $B23))) &gt; 0, $B23, IF(SUMPRODUCT(-- ISNUMBER(SEARCH({"Lookup","Master-Detail"}, $B23))) &gt; 0,$B23 &amp; "(" &amp; $E23 &amp; ")",IF(SUMPRODUCT(-- ISNUMBER(SEARCH({"Formula","Roll-Up Summary"}, $B23))) &gt; 0,$B23 &amp; " (" &amp; $E23 &amp; ")",IF(SUMPRODUCT(-- ISNUMBER(SEARCH({"Content","Currency","Number","Percent","Text","URL"}, $B23))) &gt; 0,$B23 &amp; "(" &amp; $C23 &amp; ")",$B23)))), "  ", TRIM(IF($S23 = "YES", "(External ID)", "") &amp; " " &amp; IF(SUMPRODUCT(-- ISNUMBER(SEARCH({"Unique","Unique Case Insensitive"}, $R23))) &gt; 0, "(" &amp; $R23 &amp; ")", ""))))</f>
        <v>Number(5, 0)</v>
      </c>
      <c r="E23" s="7" t="s">
        <v>195</v>
      </c>
      <c r="F23" s="7" t="s">
        <v>1557</v>
      </c>
      <c r="G23" s="7" t="s">
        <v>1587</v>
      </c>
      <c r="H23" s="7" t="s">
        <v>195</v>
      </c>
      <c r="I23" s="7" t="s">
        <v>195</v>
      </c>
      <c r="J23" s="7" t="s">
        <v>195</v>
      </c>
      <c r="K23" s="7" t="s">
        <v>195</v>
      </c>
      <c r="L23" s="7" t="s">
        <v>195</v>
      </c>
      <c r="M23" s="7" t="s">
        <v>29</v>
      </c>
      <c r="N23" s="7" t="s">
        <v>29</v>
      </c>
      <c r="O23" s="7" t="s">
        <v>29</v>
      </c>
      <c r="P23" s="7" t="s">
        <v>29</v>
      </c>
      <c r="Q23" s="7" t="s">
        <v>29</v>
      </c>
      <c r="R23" s="7" t="s">
        <v>29</v>
      </c>
      <c r="S23" s="7" t="s">
        <v>29</v>
      </c>
    </row>
    <row r="24" spans="1:19">
      <c r="A24" s="7" t="s">
        <v>1524</v>
      </c>
      <c r="B24" s="7" t="s">
        <v>1218</v>
      </c>
      <c r="C24" s="8">
        <v>50</v>
      </c>
      <c r="D24" s="5" t="str">
        <f>LRTRIM(CONCATENATE(IF(SUMPRODUCT(-- ISNUMBER(SEARCH({"Auto Number"}, $B24))) &gt; 0, $B24, IF(SUMPRODUCT(-- ISNUMBER(SEARCH({"Lookup","Master-Detail"}, $B24))) &gt; 0,$B24 &amp; "(" &amp; $E24 &amp; ")",IF(SUMPRODUCT(-- ISNUMBER(SEARCH({"Formula","Roll-Up Summary"}, $B24))) &gt; 0,$B24 &amp; " (" &amp; $E24 &amp; ")",IF(SUMPRODUCT(-- ISNUMBER(SEARCH({"Content","Currency","Number","Percent","Text","URL"}, $B24))) &gt; 0,$B24 &amp; "(" &amp; $C24 &amp; ")",$B24)))), "  ", TRIM(IF($S24 = "YES", "(External ID)", "") &amp; " " &amp; IF(SUMPRODUCT(-- ISNUMBER(SEARCH({"Unique","Unique Case Insensitive"}, $R24))) &gt; 0, "(" &amp; $R24 &amp; ")", ""))))</f>
        <v>Text(50)</v>
      </c>
      <c r="E24" s="7" t="s">
        <v>195</v>
      </c>
      <c r="F24" s="7" t="s">
        <v>1558</v>
      </c>
      <c r="G24" s="7" t="s">
        <v>1588</v>
      </c>
      <c r="H24" s="7" t="s">
        <v>195</v>
      </c>
      <c r="I24" s="7" t="s">
        <v>195</v>
      </c>
      <c r="J24" s="7" t="s">
        <v>195</v>
      </c>
      <c r="K24" s="7" t="s">
        <v>195</v>
      </c>
      <c r="L24" s="7" t="s">
        <v>195</v>
      </c>
      <c r="M24" s="7" t="s">
        <v>29</v>
      </c>
      <c r="N24" s="7" t="s">
        <v>29</v>
      </c>
      <c r="O24" s="7" t="s">
        <v>29</v>
      </c>
      <c r="P24" s="7" t="s">
        <v>29</v>
      </c>
      <c r="Q24" s="7" t="s">
        <v>29</v>
      </c>
      <c r="R24" s="7" t="s">
        <v>29</v>
      </c>
      <c r="S24" s="7" t="s">
        <v>29</v>
      </c>
    </row>
    <row r="25" spans="1:19">
      <c r="A25" s="7" t="s">
        <v>1525</v>
      </c>
      <c r="B25" s="7" t="s">
        <v>1213</v>
      </c>
      <c r="C25" s="8" t="s">
        <v>1305</v>
      </c>
      <c r="D25" s="5" t="str">
        <f>LRTRIM(CONCATENATE(IF(SUMPRODUCT(-- ISNUMBER(SEARCH({"Auto Number"}, $B25))) &gt; 0, $B25, IF(SUMPRODUCT(-- ISNUMBER(SEARCH({"Lookup","Master-Detail"}, $B25))) &gt; 0,$B25 &amp; "(" &amp; $E25 &amp; ")",IF(SUMPRODUCT(-- ISNUMBER(SEARCH({"Formula","Roll-Up Summary"}, $B25))) &gt; 0,$B25 &amp; " (" &amp; $E25 &amp; ")",IF(SUMPRODUCT(-- ISNUMBER(SEARCH({"Content","Currency","Number","Percent","Text","URL"}, $B25))) &gt; 0,$B25 &amp; "(" &amp; $C25 &amp; ")",$B25)))), "  ", TRIM(IF($S25 = "YES", "(External ID)", "") &amp; " " &amp; IF(SUMPRODUCT(-- ISNUMBER(SEARCH({"Unique","Unique Case Insensitive"}, $R25))) &gt; 0, "(" &amp; $R25 &amp; ")", ""))))</f>
        <v>Number(5, 0)</v>
      </c>
      <c r="E25" s="7" t="s">
        <v>195</v>
      </c>
      <c r="F25" s="7" t="s">
        <v>1559</v>
      </c>
      <c r="G25" s="7" t="s">
        <v>1589</v>
      </c>
      <c r="H25" s="7" t="s">
        <v>195</v>
      </c>
      <c r="I25" s="7" t="s">
        <v>195</v>
      </c>
      <c r="J25" s="7" t="s">
        <v>195</v>
      </c>
      <c r="K25" s="7" t="s">
        <v>195</v>
      </c>
      <c r="L25" s="7" t="s">
        <v>195</v>
      </c>
      <c r="M25" s="7" t="s">
        <v>29</v>
      </c>
      <c r="N25" s="7" t="s">
        <v>29</v>
      </c>
      <c r="O25" s="7" t="s">
        <v>29</v>
      </c>
      <c r="P25" s="7" t="s">
        <v>29</v>
      </c>
      <c r="Q25" s="7" t="s">
        <v>29</v>
      </c>
      <c r="R25" s="7" t="s">
        <v>29</v>
      </c>
      <c r="S25" s="7" t="s">
        <v>29</v>
      </c>
    </row>
    <row r="26" spans="1:19">
      <c r="A26" s="7" t="s">
        <v>1526</v>
      </c>
      <c r="B26" s="7" t="s">
        <v>386</v>
      </c>
      <c r="C26" s="8" t="s">
        <v>195</v>
      </c>
      <c r="D26" s="5" t="str">
        <f>LRTRIM(CONCATENATE(IF(SUMPRODUCT(-- ISNUMBER(SEARCH({"Auto Number"}, $B26))) &gt; 0, $B26, IF(SUMPRODUCT(-- ISNUMBER(SEARCH({"Lookup","Master-Detail"}, $B26))) &gt; 0,$B26 &amp; "(" &amp; $E26 &amp; ")",IF(SUMPRODUCT(-- ISNUMBER(SEARCH({"Formula","Roll-Up Summary"}, $B26))) &gt; 0,$B26 &amp; " (" &amp; $E26 &amp; ")",IF(SUMPRODUCT(-- ISNUMBER(SEARCH({"Content","Currency","Number","Percent","Text","URL"}, $B26))) &gt; 0,$B26 &amp; "(" &amp; $C26 &amp; ")",$B26)))), "  ", TRIM(IF($S26 = "YES", "(External ID)", "") &amp; " " &amp; IF(SUMPRODUCT(-- ISNUMBER(SEARCH({"Unique","Unique Case Insensitive"}, $R26))) &gt; 0, "(" &amp; $R26 &amp; ")", ""))))</f>
        <v>Date</v>
      </c>
      <c r="E26" s="7" t="s">
        <v>195</v>
      </c>
      <c r="F26" s="7" t="s">
        <v>1560</v>
      </c>
      <c r="G26" s="7" t="s">
        <v>1590</v>
      </c>
      <c r="H26" s="7" t="s">
        <v>195</v>
      </c>
      <c r="I26" s="7" t="s">
        <v>195</v>
      </c>
      <c r="J26" s="7" t="s">
        <v>195</v>
      </c>
      <c r="K26" s="7" t="s">
        <v>195</v>
      </c>
      <c r="L26" s="7" t="s">
        <v>195</v>
      </c>
      <c r="M26" s="7" t="s">
        <v>29</v>
      </c>
      <c r="N26" s="7" t="s">
        <v>29</v>
      </c>
      <c r="O26" s="7" t="s">
        <v>29</v>
      </c>
      <c r="P26" s="7" t="s">
        <v>29</v>
      </c>
      <c r="Q26" s="7" t="s">
        <v>29</v>
      </c>
      <c r="R26" s="7" t="s">
        <v>29</v>
      </c>
      <c r="S26" s="7" t="s">
        <v>29</v>
      </c>
    </row>
    <row r="27" spans="1:19">
      <c r="A27" s="7" t="s">
        <v>1527</v>
      </c>
      <c r="B27" s="7" t="s">
        <v>1606</v>
      </c>
      <c r="C27" s="8" t="s">
        <v>195</v>
      </c>
      <c r="D27" s="5" t="str">
        <f>LRTRIM(CONCATENATE(IF(SUMPRODUCT(-- ISNUMBER(SEARCH({"Auto Number"}, $B27))) &gt; 0, $B27, IF(SUMPRODUCT(-- ISNUMBER(SEARCH({"Lookup","Master-Detail"}, $B27))) &gt; 0,$B27 &amp; "(" &amp; $E27 &amp; ")",IF(SUMPRODUCT(-- ISNUMBER(SEARCH({"Formula","Roll-Up Summary"}, $B27))) &gt; 0,$B27 &amp; " (" &amp; $E27 &amp; ")",IF(SUMPRODUCT(-- ISNUMBER(SEARCH({"Content","Currency","Number","Percent","Text","URL"}, $B27))) &gt; 0,$B27 &amp; "(" &amp; $C27 &amp; ")",$B27)))), "  ", TRIM(IF($S27 = "YES", "(External ID)", "") &amp; " " &amp; IF(SUMPRODUCT(-- ISNUMBER(SEARCH({"Unique","Unique Case Insensitive"}, $R27))) &gt; 0, "(" &amp; $R27 &amp; ")", ""))))</f>
        <v>Time</v>
      </c>
      <c r="E27" s="7" t="s">
        <v>195</v>
      </c>
      <c r="F27" s="7" t="s">
        <v>1561</v>
      </c>
      <c r="G27" s="7" t="s">
        <v>1591</v>
      </c>
      <c r="H27" s="7" t="s">
        <v>195</v>
      </c>
      <c r="I27" s="7" t="s">
        <v>195</v>
      </c>
      <c r="J27" s="7" t="s">
        <v>195</v>
      </c>
      <c r="K27" s="7" t="s">
        <v>195</v>
      </c>
      <c r="L27" s="7" t="s">
        <v>195</v>
      </c>
      <c r="M27" s="7" t="s">
        <v>29</v>
      </c>
      <c r="N27" s="7" t="s">
        <v>29</v>
      </c>
      <c r="O27" s="7" t="s">
        <v>29</v>
      </c>
      <c r="P27" s="7" t="s">
        <v>29</v>
      </c>
      <c r="Q27" s="7" t="s">
        <v>29</v>
      </c>
      <c r="R27" s="7" t="s">
        <v>29</v>
      </c>
      <c r="S27" s="7" t="s">
        <v>29</v>
      </c>
    </row>
    <row r="28" spans="1:19">
      <c r="A28" s="7" t="s">
        <v>1421</v>
      </c>
      <c r="B28" s="7" t="s">
        <v>1218</v>
      </c>
      <c r="C28" s="8">
        <v>50</v>
      </c>
      <c r="D28" s="5" t="str">
        <f>LRTRIM(CONCATENATE(IF(SUMPRODUCT(-- ISNUMBER(SEARCH({"Auto Number"}, $B28))) &gt; 0, $B28, IF(SUMPRODUCT(-- ISNUMBER(SEARCH({"Lookup","Master-Detail"}, $B28))) &gt; 0,$B28 &amp; "(" &amp; $E28 &amp; ")",IF(SUMPRODUCT(-- ISNUMBER(SEARCH({"Formula","Roll-Up Summary"}, $B28))) &gt; 0,$B28 &amp; " (" &amp; $E28 &amp; ")",IF(SUMPRODUCT(-- ISNUMBER(SEARCH({"Content","Currency","Number","Percent","Text","URL"}, $B28))) &gt; 0,$B28 &amp; "(" &amp; $C28 &amp; ")",$B28)))), "  ", TRIM(IF($S28 = "YES", "(External ID)", "") &amp; " " &amp; IF(SUMPRODUCT(-- ISNUMBER(SEARCH({"Unique","Unique Case Insensitive"}, $R28))) &gt; 0, "(" &amp; $R28 &amp; ")", ""))))</f>
        <v>Text(50)</v>
      </c>
      <c r="E28" s="7" t="s">
        <v>195</v>
      </c>
      <c r="F28" s="7" t="s">
        <v>1562</v>
      </c>
      <c r="G28" s="7" t="s">
        <v>1592</v>
      </c>
      <c r="H28" s="7" t="s">
        <v>195</v>
      </c>
      <c r="I28" s="7" t="s">
        <v>195</v>
      </c>
      <c r="J28" s="7" t="s">
        <v>195</v>
      </c>
      <c r="K28" s="7" t="s">
        <v>195</v>
      </c>
      <c r="L28" s="7" t="s">
        <v>195</v>
      </c>
      <c r="M28" s="7" t="s">
        <v>29</v>
      </c>
      <c r="N28" s="7" t="s">
        <v>29</v>
      </c>
      <c r="O28" s="7" t="s">
        <v>29</v>
      </c>
      <c r="P28" s="7" t="s">
        <v>29</v>
      </c>
      <c r="Q28" s="7" t="s">
        <v>29</v>
      </c>
      <c r="R28" s="7" t="s">
        <v>29</v>
      </c>
      <c r="S28" s="7" t="s">
        <v>29</v>
      </c>
    </row>
    <row r="29" spans="1:19">
      <c r="A29" s="7" t="s">
        <v>2</v>
      </c>
      <c r="B29" s="7" t="s">
        <v>1218</v>
      </c>
      <c r="C29" s="8">
        <v>80</v>
      </c>
      <c r="D29" s="5" t="str">
        <f>LRTRIM(CONCATENATE(IF(SUMPRODUCT(-- ISNUMBER(SEARCH({"Auto Number"}, $B29))) &gt; 0, $B29, IF(SUMPRODUCT(-- ISNUMBER(SEARCH({"Lookup","Master-Detail"}, $B29))) &gt; 0,$B29 &amp; "(" &amp; $E29 &amp; ")",IF(SUMPRODUCT(-- ISNUMBER(SEARCH({"Formula","Roll-Up Summary"}, $B29))) &gt; 0,$B29 &amp; " (" &amp; $E29 &amp; ")",IF(SUMPRODUCT(-- ISNUMBER(SEARCH({"Content","Currency","Number","Percent","Text","URL"}, $B29))) &gt; 0,$B29 &amp; "(" &amp; $C29 &amp; ")",$B29)))), "  ", TRIM(IF($S29 = "YES", "(External ID)", "") &amp; " " &amp; IF(SUMPRODUCT(-- ISNUMBER(SEARCH({"Unique","Unique Case Insensitive"}, $R29))) &gt; 0, "(" &amp; $R29 &amp; ")", ""))))</f>
        <v>Text(80)</v>
      </c>
      <c r="E29" s="7" t="s">
        <v>195</v>
      </c>
      <c r="F29" s="7" t="s">
        <v>1563</v>
      </c>
      <c r="G29" s="7" t="s">
        <v>195</v>
      </c>
      <c r="H29" s="7" t="s">
        <v>195</v>
      </c>
      <c r="I29" s="7" t="s">
        <v>195</v>
      </c>
      <c r="J29" s="7" t="s">
        <v>195</v>
      </c>
      <c r="K29" s="7" t="s">
        <v>195</v>
      </c>
      <c r="L29" s="7" t="s">
        <v>195</v>
      </c>
      <c r="M29" s="7" t="s">
        <v>29</v>
      </c>
      <c r="N29" s="7" t="s">
        <v>29</v>
      </c>
      <c r="O29" s="7" t="s">
        <v>29</v>
      </c>
      <c r="P29" s="7" t="s">
        <v>29</v>
      </c>
      <c r="Q29" s="7" t="s">
        <v>29</v>
      </c>
      <c r="R29" s="7" t="s">
        <v>29</v>
      </c>
      <c r="S29" s="7" t="s">
        <v>29</v>
      </c>
    </row>
    <row r="30" spans="1:19">
      <c r="A30" s="7" t="s">
        <v>1528</v>
      </c>
      <c r="B30" s="7" t="s">
        <v>1204</v>
      </c>
      <c r="C30" s="8" t="s">
        <v>195</v>
      </c>
      <c r="D30" s="5" t="str">
        <f>LRTRIM(CONCATENATE(IF(SUMPRODUCT(-- ISNUMBER(SEARCH({"Auto Number"}, $B30))) &gt; 0, $B30, IF(SUMPRODUCT(-- ISNUMBER(SEARCH({"Lookup","Master-Detail"}, $B30))) &gt; 0,$B30 &amp; "(" &amp; $E30 &amp; ")",IF(SUMPRODUCT(-- ISNUMBER(SEARCH({"Formula","Roll-Up Summary"}, $B30))) &gt; 0,$B30 &amp; " (" &amp; $E30 &amp; ")",IF(SUMPRODUCT(-- ISNUMBER(SEARCH({"Content","Currency","Number","Percent","Text","URL"}, $B30))) &gt; 0,$B30 &amp; "(" &amp; $C30 &amp; ")",$B30)))), "  ", TRIM(IF($S30 = "YES", "(External ID)", "") &amp; " " &amp; IF(SUMPRODUCT(-- ISNUMBER(SEARCH({"Unique","Unique Case Insensitive"}, $R30))) &gt; 0, "(" &amp; $R30 &amp; ")", ""))))</f>
        <v>Checkbox</v>
      </c>
      <c r="E30" s="7" t="s">
        <v>195</v>
      </c>
      <c r="F30" s="7" t="s">
        <v>1564</v>
      </c>
      <c r="G30" s="7" t="s">
        <v>1595</v>
      </c>
      <c r="H30" s="7" t="s">
        <v>195</v>
      </c>
      <c r="I30" s="7" t="s">
        <v>195</v>
      </c>
      <c r="J30" s="7" t="s">
        <v>195</v>
      </c>
      <c r="K30" s="7" t="s">
        <v>195</v>
      </c>
      <c r="L30" s="7" t="s">
        <v>195</v>
      </c>
      <c r="M30" s="7" t="s">
        <v>29</v>
      </c>
      <c r="N30" s="7" t="s">
        <v>29</v>
      </c>
      <c r="O30" s="7" t="s">
        <v>29</v>
      </c>
      <c r="P30" s="7" t="s">
        <v>29</v>
      </c>
      <c r="Q30" s="7" t="s">
        <v>29</v>
      </c>
      <c r="R30" s="7" t="s">
        <v>29</v>
      </c>
      <c r="S30" s="7" t="s">
        <v>29</v>
      </c>
    </row>
    <row r="31" spans="1:19">
      <c r="A31" s="7" t="s">
        <v>1529</v>
      </c>
      <c r="B31" s="7" t="s">
        <v>1606</v>
      </c>
      <c r="C31" s="8" t="s">
        <v>195</v>
      </c>
      <c r="D31" s="5" t="str">
        <f>LRTRIM(CONCATENATE(IF(SUMPRODUCT(-- ISNUMBER(SEARCH({"Auto Number"}, $B31))) &gt; 0, $B31, IF(SUMPRODUCT(-- ISNUMBER(SEARCH({"Lookup","Master-Detail"}, $B31))) &gt; 0,$B31 &amp; "(" &amp; $E31 &amp; ")",IF(SUMPRODUCT(-- ISNUMBER(SEARCH({"Formula","Roll-Up Summary"}, $B31))) &gt; 0,$B31 &amp; " (" &amp; $E31 &amp; ")",IF(SUMPRODUCT(-- ISNUMBER(SEARCH({"Content","Currency","Number","Percent","Text","URL"}, $B31))) &gt; 0,$B31 &amp; "(" &amp; $C31 &amp; ")",$B31)))), "  ", TRIM(IF($S31 = "YES", "(External ID)", "") &amp; " " &amp; IF(SUMPRODUCT(-- ISNUMBER(SEARCH({"Unique","Unique Case Insensitive"}, $R31))) &gt; 0, "(" &amp; $R31 &amp; ")", ""))))</f>
        <v>Time</v>
      </c>
      <c r="E31" s="7" t="s">
        <v>195</v>
      </c>
      <c r="F31" s="7" t="s">
        <v>1565</v>
      </c>
      <c r="G31" s="7" t="s">
        <v>1594</v>
      </c>
      <c r="H31" s="7" t="s">
        <v>195</v>
      </c>
      <c r="I31" s="7" t="s">
        <v>195</v>
      </c>
      <c r="J31" s="7" t="s">
        <v>195</v>
      </c>
      <c r="K31" s="7" t="s">
        <v>195</v>
      </c>
      <c r="L31" s="7" t="s">
        <v>195</v>
      </c>
      <c r="M31" s="7" t="s">
        <v>29</v>
      </c>
      <c r="N31" s="7" t="s">
        <v>29</v>
      </c>
      <c r="O31" s="7" t="s">
        <v>29</v>
      </c>
      <c r="P31" s="7" t="s">
        <v>29</v>
      </c>
      <c r="Q31" s="7" t="s">
        <v>29</v>
      </c>
      <c r="R31" s="7" t="s">
        <v>29</v>
      </c>
      <c r="S31" s="7" t="s">
        <v>29</v>
      </c>
    </row>
    <row r="32" spans="1:19">
      <c r="A32" s="7" t="s">
        <v>1530</v>
      </c>
      <c r="B32" s="7" t="s">
        <v>1215</v>
      </c>
      <c r="C32" s="8" t="s">
        <v>195</v>
      </c>
      <c r="D32" s="5" t="str">
        <f>LRTRIM(CONCATENATE(IF(SUMPRODUCT(-- ISNUMBER(SEARCH({"Auto Number"}, $B32))) &gt; 0, $B32, IF(SUMPRODUCT(-- ISNUMBER(SEARCH({"Lookup","Master-Detail"}, $B32))) &gt; 0,$B32 &amp; "(" &amp; $E32 &amp; ")",IF(SUMPRODUCT(-- ISNUMBER(SEARCH({"Formula","Roll-Up Summary"}, $B32))) &gt; 0,$B32 &amp; " (" &amp; $E32 &amp; ")",IF(SUMPRODUCT(-- ISNUMBER(SEARCH({"Content","Currency","Number","Percent","Text","URL"}, $B32))) &gt; 0,$B32 &amp; "(" &amp; $C32 &amp; ")",$B32)))), "  ", TRIM(IF($S32 = "YES", "(External ID)", "") &amp; " " &amp; IF(SUMPRODUCT(-- ISNUMBER(SEARCH({"Unique","Unique Case Insensitive"}, $R32))) &gt; 0, "(" &amp; $R32 &amp; ")", ""))))</f>
        <v>Picklist</v>
      </c>
      <c r="E32" s="7" t="s">
        <v>195</v>
      </c>
      <c r="F32" s="7" t="s">
        <v>308</v>
      </c>
      <c r="G32" s="7" t="s">
        <v>308</v>
      </c>
      <c r="H32" s="7" t="s">
        <v>195</v>
      </c>
      <c r="I32" s="7" t="s">
        <v>1789</v>
      </c>
      <c r="J32" s="7" t="s">
        <v>1537</v>
      </c>
      <c r="K32" s="7" t="s">
        <v>195</v>
      </c>
      <c r="L32" s="7" t="s">
        <v>195</v>
      </c>
      <c r="M32" s="7" t="s">
        <v>29</v>
      </c>
      <c r="N32" s="7" t="s">
        <v>29</v>
      </c>
      <c r="O32" s="7" t="s">
        <v>29</v>
      </c>
      <c r="P32" s="7" t="s">
        <v>29</v>
      </c>
      <c r="Q32" s="7" t="s">
        <v>29</v>
      </c>
      <c r="R32" s="7" t="s">
        <v>29</v>
      </c>
      <c r="S32" s="7" t="s">
        <v>29</v>
      </c>
    </row>
    <row r="33" spans="1:19">
      <c r="A33" s="7" t="s">
        <v>1531</v>
      </c>
      <c r="B33" s="7" t="s">
        <v>1218</v>
      </c>
      <c r="C33" s="8">
        <v>128</v>
      </c>
      <c r="D33" s="5" t="str">
        <f>LRTRIM(CONCATENATE(IF(SUMPRODUCT(-- ISNUMBER(SEARCH({"Auto Number"}, $B33))) &gt; 0, $B33, IF(SUMPRODUCT(-- ISNUMBER(SEARCH({"Lookup","Master-Detail"}, $B33))) &gt; 0,$B33 &amp; "(" &amp; $E33 &amp; ")",IF(SUMPRODUCT(-- ISNUMBER(SEARCH({"Formula","Roll-Up Summary"}, $B33))) &gt; 0,$B33 &amp; " (" &amp; $E33 &amp; ")",IF(SUMPRODUCT(-- ISNUMBER(SEARCH({"Content","Currency","Number","Percent","Text","URL"}, $B33))) &gt; 0,$B33 &amp; "(" &amp; $C33 &amp; ")",$B33)))), "  ", TRIM(IF($S33 = "YES", "(External ID)", "") &amp; " " &amp; IF(SUMPRODUCT(-- ISNUMBER(SEARCH({"Unique","Unique Case Insensitive"}, $R33))) &gt; 0, "(" &amp; $R33 &amp; ")", ""))))</f>
        <v>Text(128)</v>
      </c>
      <c r="E33" s="7" t="s">
        <v>195</v>
      </c>
      <c r="F33" s="7" t="s">
        <v>1566</v>
      </c>
      <c r="G33" s="7" t="s">
        <v>1596</v>
      </c>
      <c r="H33" s="7" t="s">
        <v>195</v>
      </c>
      <c r="I33" s="7" t="s">
        <v>195</v>
      </c>
      <c r="J33" s="7" t="s">
        <v>195</v>
      </c>
      <c r="K33" s="7" t="s">
        <v>195</v>
      </c>
      <c r="L33" s="7" t="s">
        <v>195</v>
      </c>
      <c r="M33" s="7" t="s">
        <v>29</v>
      </c>
      <c r="N33" s="7" t="s">
        <v>29</v>
      </c>
      <c r="O33" s="7" t="s">
        <v>29</v>
      </c>
      <c r="P33" s="7" t="s">
        <v>29</v>
      </c>
      <c r="Q33" s="7" t="s">
        <v>29</v>
      </c>
      <c r="R33" s="7" t="s">
        <v>29</v>
      </c>
      <c r="S33" s="7" t="s">
        <v>29</v>
      </c>
    </row>
    <row r="34" spans="1:19">
      <c r="A34" s="7" t="s">
        <v>1532</v>
      </c>
      <c r="B34" s="7" t="s">
        <v>1215</v>
      </c>
      <c r="C34" s="8" t="s">
        <v>195</v>
      </c>
      <c r="D34" s="5" t="str">
        <f>LRTRIM(CONCATENATE(IF(SUMPRODUCT(-- ISNUMBER(SEARCH({"Auto Number"}, $B34))) &gt; 0, $B34, IF(SUMPRODUCT(-- ISNUMBER(SEARCH({"Lookup","Master-Detail"}, $B34))) &gt; 0,$B34 &amp; "(" &amp; $E34 &amp; ")",IF(SUMPRODUCT(-- ISNUMBER(SEARCH({"Formula","Roll-Up Summary"}, $B34))) &gt; 0,$B34 &amp; " (" &amp; $E34 &amp; ")",IF(SUMPRODUCT(-- ISNUMBER(SEARCH({"Content","Currency","Number","Percent","Text","URL"}, $B34))) &gt; 0,$B34 &amp; "(" &amp; $C34 &amp; ")",$B34)))), "  ", TRIM(IF($S34 = "YES", "(External ID)", "") &amp; " " &amp; IF(SUMPRODUCT(-- ISNUMBER(SEARCH({"Unique","Unique Case Insensitive"}, $R34))) &gt; 0, "(" &amp; $R34 &amp; ")", ""))))</f>
        <v>Picklist</v>
      </c>
      <c r="E34" s="7" t="s">
        <v>195</v>
      </c>
      <c r="F34" s="7" t="s">
        <v>1567</v>
      </c>
      <c r="G34" s="7" t="s">
        <v>1597</v>
      </c>
      <c r="H34" s="7" t="s">
        <v>195</v>
      </c>
      <c r="I34" s="7" t="s">
        <v>1600</v>
      </c>
      <c r="J34" s="7" t="s">
        <v>195</v>
      </c>
      <c r="K34" s="7" t="s">
        <v>195</v>
      </c>
      <c r="L34" s="7" t="s">
        <v>195</v>
      </c>
      <c r="M34" s="7" t="s">
        <v>29</v>
      </c>
      <c r="N34" s="7" t="s">
        <v>29</v>
      </c>
      <c r="O34" s="7" t="s">
        <v>29</v>
      </c>
      <c r="P34" s="7" t="s">
        <v>29</v>
      </c>
      <c r="Q34" s="7" t="s">
        <v>29</v>
      </c>
      <c r="R34" s="7" t="s">
        <v>29</v>
      </c>
      <c r="S34" s="7" t="s">
        <v>29</v>
      </c>
    </row>
    <row r="35" spans="1:19">
      <c r="A35" s="7" t="s">
        <v>1533</v>
      </c>
      <c r="B35" s="7" t="s">
        <v>1215</v>
      </c>
      <c r="C35" s="8" t="s">
        <v>195</v>
      </c>
      <c r="D35" s="5" t="str">
        <f>LRTRIM(CONCATENATE(IF(SUMPRODUCT(-- ISNUMBER(SEARCH({"Auto Number"}, $B35))) &gt; 0, $B35, IF(SUMPRODUCT(-- ISNUMBER(SEARCH({"Lookup","Master-Detail"}, $B35))) &gt; 0,$B35 &amp; "(" &amp; $E35 &amp; ")",IF(SUMPRODUCT(-- ISNUMBER(SEARCH({"Formula","Roll-Up Summary"}, $B35))) &gt; 0,$B35 &amp; " (" &amp; $E35 &amp; ")",IF(SUMPRODUCT(-- ISNUMBER(SEARCH({"Content","Currency","Number","Percent","Text","URL"}, $B35))) &gt; 0,$B35 &amp; "(" &amp; $C35 &amp; ")",$B35)))), "  ", TRIM(IF($S35 = "YES", "(External ID)", "") &amp; " " &amp; IF(SUMPRODUCT(-- ISNUMBER(SEARCH({"Unique","Unique Case Insensitive"}, $R35))) &gt; 0, "(" &amp; $R35 &amp; ")", ""))))</f>
        <v>Picklist</v>
      </c>
      <c r="E35" s="7" t="s">
        <v>195</v>
      </c>
      <c r="F35" s="7" t="s">
        <v>235</v>
      </c>
      <c r="G35" s="7" t="s">
        <v>264</v>
      </c>
      <c r="H35" s="7" t="s">
        <v>195</v>
      </c>
      <c r="I35" s="7" t="s">
        <v>1536</v>
      </c>
      <c r="J35" s="7" t="s">
        <v>195</v>
      </c>
      <c r="K35" s="7" t="s">
        <v>195</v>
      </c>
      <c r="L35" s="7" t="s">
        <v>195</v>
      </c>
      <c r="M35" s="7" t="s">
        <v>29</v>
      </c>
      <c r="N35" s="7" t="s">
        <v>29</v>
      </c>
      <c r="O35" s="7" t="s">
        <v>29</v>
      </c>
      <c r="P35" s="7" t="s">
        <v>29</v>
      </c>
      <c r="Q35" s="7" t="s">
        <v>29</v>
      </c>
      <c r="R35" s="7" t="s">
        <v>29</v>
      </c>
      <c r="S35" s="7" t="s">
        <v>29</v>
      </c>
    </row>
    <row r="36" spans="1:19">
      <c r="A36" s="7" t="s">
        <v>1534</v>
      </c>
      <c r="B36" s="7" t="s">
        <v>1204</v>
      </c>
      <c r="C36" s="8" t="s">
        <v>195</v>
      </c>
      <c r="D36" s="5" t="str">
        <f>LRTRIM(CONCATENATE(IF(SUMPRODUCT(-- ISNUMBER(SEARCH({"Auto Number"}, $B36))) &gt; 0, $B36, IF(SUMPRODUCT(-- ISNUMBER(SEARCH({"Lookup","Master-Detail"}, $B36))) &gt; 0,$B36 &amp; "(" &amp; $E36 &amp; ")",IF(SUMPRODUCT(-- ISNUMBER(SEARCH({"Formula","Roll-Up Summary"}, $B36))) &gt; 0,$B36 &amp; " (" &amp; $E36 &amp; ")",IF(SUMPRODUCT(-- ISNUMBER(SEARCH({"Content","Currency","Number","Percent","Text","URL"}, $B36))) &gt; 0,$B36 &amp; "(" &amp; $C36 &amp; ")",$B36)))), "  ", TRIM(IF($S36 = "YES", "(External ID)", "") &amp; " " &amp; IF(SUMPRODUCT(-- ISNUMBER(SEARCH({"Unique","Unique Case Insensitive"}, $R36))) &gt; 0, "(" &amp; $R36 &amp; ")", ""))))</f>
        <v>Checkbox</v>
      </c>
      <c r="E36" s="7" t="s">
        <v>195</v>
      </c>
      <c r="F36" s="7" t="s">
        <v>1568</v>
      </c>
      <c r="G36" s="7" t="s">
        <v>1598</v>
      </c>
      <c r="H36" s="7" t="s">
        <v>195</v>
      </c>
      <c r="I36" s="7" t="s">
        <v>195</v>
      </c>
      <c r="J36" s="7" t="s">
        <v>195</v>
      </c>
      <c r="K36" s="7" t="s">
        <v>195</v>
      </c>
      <c r="L36" s="7" t="s">
        <v>195</v>
      </c>
      <c r="M36" s="7" t="s">
        <v>29</v>
      </c>
      <c r="N36" s="7" t="s">
        <v>29</v>
      </c>
      <c r="O36" s="7" t="s">
        <v>29</v>
      </c>
      <c r="P36" s="7" t="s">
        <v>29</v>
      </c>
      <c r="Q36" s="7" t="s">
        <v>29</v>
      </c>
      <c r="R36" s="7" t="s">
        <v>29</v>
      </c>
      <c r="S36" s="7" t="s">
        <v>29</v>
      </c>
    </row>
    <row r="37" spans="1:19">
      <c r="A37" s="7" t="s">
        <v>1535</v>
      </c>
      <c r="B37" s="7" t="s">
        <v>1218</v>
      </c>
      <c r="C37" s="8">
        <v>100</v>
      </c>
      <c r="D37" s="5" t="str">
        <f>LRTRIM(CONCATENATE(IF(SUMPRODUCT(-- ISNUMBER(SEARCH({"Auto Number"}, $B37))) &gt; 0, $B37, IF(SUMPRODUCT(-- ISNUMBER(SEARCH({"Lookup","Master-Detail"}, $B37))) &gt; 0,$B37 &amp; "(" &amp; $E37 &amp; ")",IF(SUMPRODUCT(-- ISNUMBER(SEARCH({"Formula","Roll-Up Summary"}, $B37))) &gt; 0,$B37 &amp; " (" &amp; $E37 &amp; ")",IF(SUMPRODUCT(-- ISNUMBER(SEARCH({"Content","Currency","Number","Percent","Text","URL"}, $B37))) &gt; 0,$B37 &amp; "(" &amp; $C37 &amp; ")",$B37)))), "  ", TRIM(IF($S37 = "YES", "(External ID)", "") &amp; " " &amp; IF(SUMPRODUCT(-- ISNUMBER(SEARCH({"Unique","Unique Case Insensitive"}, $R37))) &gt; 0, "(" &amp; $R37 &amp; ")", ""))))</f>
        <v>Text(100)</v>
      </c>
      <c r="E37" s="7" t="s">
        <v>195</v>
      </c>
      <c r="F37" s="7" t="s">
        <v>1569</v>
      </c>
      <c r="G37" s="7" t="s">
        <v>1599</v>
      </c>
      <c r="H37" s="7" t="s">
        <v>195</v>
      </c>
      <c r="I37" s="7" t="s">
        <v>195</v>
      </c>
      <c r="J37" s="7" t="s">
        <v>195</v>
      </c>
      <c r="K37" s="7" t="s">
        <v>195</v>
      </c>
      <c r="L37" s="7" t="s">
        <v>195</v>
      </c>
      <c r="M37" s="7" t="s">
        <v>29</v>
      </c>
      <c r="N37" s="7" t="s">
        <v>29</v>
      </c>
      <c r="O37" s="7" t="s">
        <v>29</v>
      </c>
      <c r="P37" s="7" t="s">
        <v>29</v>
      </c>
      <c r="Q37" s="7" t="s">
        <v>29</v>
      </c>
      <c r="R37" s="7" t="s">
        <v>29</v>
      </c>
      <c r="S37" s="7" t="s">
        <v>29</v>
      </c>
    </row>
    <row r="38" spans="1:19">
      <c r="B38" s="7" t="s">
        <v>195</v>
      </c>
      <c r="C38" s="8" t="s">
        <v>195</v>
      </c>
      <c r="D38" s="5" t="str">
        <f>LRTRIM(CONCATENATE(IF(SUMPRODUCT(-- ISNUMBER(SEARCH({"Auto Number"}, $B38))) &gt; 0, $B38, IF(SUMPRODUCT(-- ISNUMBER(SEARCH({"Lookup","Master-Detail"}, $B38))) &gt; 0,$B38 &amp; "(" &amp; $E38 &amp; ")",IF(SUMPRODUCT(-- ISNUMBER(SEARCH({"Formula","Roll-Up Summary"}, $B38))) &gt; 0,$B38 &amp; " (" &amp; $E38 &amp; ")",IF(SUMPRODUCT(-- ISNUMBER(SEARCH({"Content","Currency","Number","Percent","Text","URL"}, $B38))) &gt; 0,$B38 &amp; "(" &amp; $C38 &amp; ")",$B38)))), "  ", TRIM(IF($S38 = "YES", "(External ID)", "") &amp; " " &amp; IF(SUMPRODUCT(-- ISNUMBER(SEARCH({"Unique","Unique Case Insensitive"}, $R38))) &gt; 0, "(" &amp; $R38 &amp; ")", ""))))</f>
        <v>na</v>
      </c>
      <c r="E38" s="7" t="s">
        <v>195</v>
      </c>
      <c r="F38" s="7" t="s">
        <v>195</v>
      </c>
      <c r="G38" s="7" t="s">
        <v>195</v>
      </c>
      <c r="H38" s="7" t="s">
        <v>195</v>
      </c>
      <c r="I38" s="7" t="s">
        <v>195</v>
      </c>
      <c r="J38" s="7" t="s">
        <v>195</v>
      </c>
      <c r="K38" s="7" t="s">
        <v>195</v>
      </c>
      <c r="L38" s="7" t="s">
        <v>195</v>
      </c>
      <c r="M38" s="7" t="s">
        <v>29</v>
      </c>
      <c r="N38" s="7" t="s">
        <v>29</v>
      </c>
      <c r="O38" s="7" t="s">
        <v>29</v>
      </c>
      <c r="P38" s="7" t="s">
        <v>29</v>
      </c>
      <c r="Q38" s="7" t="s">
        <v>29</v>
      </c>
      <c r="R38" s="7" t="s">
        <v>29</v>
      </c>
      <c r="S38" s="7" t="s">
        <v>29</v>
      </c>
    </row>
    <row r="39" spans="1:19">
      <c r="B39" s="7" t="s">
        <v>195</v>
      </c>
      <c r="C39" s="8" t="s">
        <v>195</v>
      </c>
      <c r="D39" s="5" t="str">
        <f>LRTRIM(CONCATENATE(IF(SUMPRODUCT(-- ISNUMBER(SEARCH({"Auto Number"}, $B39))) &gt; 0, $B39, IF(SUMPRODUCT(-- ISNUMBER(SEARCH({"Lookup","Master-Detail"}, $B39))) &gt; 0,$B39 &amp; "(" &amp; $E39 &amp; ")",IF(SUMPRODUCT(-- ISNUMBER(SEARCH({"Formula","Roll-Up Summary"}, $B39))) &gt; 0,$B39 &amp; " (" &amp; $E39 &amp; ")",IF(SUMPRODUCT(-- ISNUMBER(SEARCH({"Content","Currency","Number","Percent","Text","URL"}, $B39))) &gt; 0,$B39 &amp; "(" &amp; $C39 &amp; ")",$B39)))), "  ", TRIM(IF($S39 = "YES", "(External ID)", "") &amp; " " &amp; IF(SUMPRODUCT(-- ISNUMBER(SEARCH({"Unique","Unique Case Insensitive"}, $R39))) &gt; 0, "(" &amp; $R39 &amp; ")", ""))))</f>
        <v>na</v>
      </c>
      <c r="E39" s="7" t="s">
        <v>195</v>
      </c>
      <c r="F39" s="7" t="s">
        <v>195</v>
      </c>
      <c r="G39" s="7" t="s">
        <v>195</v>
      </c>
      <c r="H39" s="7" t="s">
        <v>195</v>
      </c>
      <c r="I39" s="7" t="s">
        <v>195</v>
      </c>
      <c r="J39" s="7" t="s">
        <v>195</v>
      </c>
      <c r="K39" s="7" t="s">
        <v>195</v>
      </c>
      <c r="L39" s="7" t="s">
        <v>195</v>
      </c>
      <c r="M39" s="7" t="s">
        <v>29</v>
      </c>
      <c r="N39" s="7" t="s">
        <v>29</v>
      </c>
      <c r="O39" s="7" t="s">
        <v>29</v>
      </c>
      <c r="P39" s="7" t="s">
        <v>29</v>
      </c>
      <c r="Q39" s="7" t="s">
        <v>29</v>
      </c>
      <c r="R39" s="7" t="s">
        <v>29</v>
      </c>
      <c r="S39" s="7" t="s">
        <v>29</v>
      </c>
    </row>
    <row r="40" spans="1:19">
      <c r="B40" s="7" t="s">
        <v>195</v>
      </c>
      <c r="C40" s="8" t="s">
        <v>195</v>
      </c>
      <c r="D40" s="5" t="str">
        <f>LRTRIM(CONCATENATE(IF(SUMPRODUCT(-- ISNUMBER(SEARCH({"Auto Number"}, $B40))) &gt; 0, $B40, IF(SUMPRODUCT(-- ISNUMBER(SEARCH({"Lookup","Master-Detail"}, $B40))) &gt; 0,$B40 &amp; "(" &amp; $E40 &amp; ")",IF(SUMPRODUCT(-- ISNUMBER(SEARCH({"Formula","Roll-Up Summary"}, $B40))) &gt; 0,$B40 &amp; " (" &amp; $E40 &amp; ")",IF(SUMPRODUCT(-- ISNUMBER(SEARCH({"Content","Currency","Number","Percent","Text","URL"}, $B40))) &gt; 0,$B40 &amp; "(" &amp; $C40 &amp; ")",$B40)))), "  ", TRIM(IF($S40 = "YES", "(External ID)", "") &amp; " " &amp; IF(SUMPRODUCT(-- ISNUMBER(SEARCH({"Unique","Unique Case Insensitive"}, $R40))) &gt; 0, "(" &amp; $R40 &amp; ")", ""))))</f>
        <v>na</v>
      </c>
      <c r="E40" s="7" t="s">
        <v>195</v>
      </c>
      <c r="F40" s="7" t="s">
        <v>195</v>
      </c>
      <c r="G40" s="7" t="s">
        <v>195</v>
      </c>
      <c r="H40" s="7" t="s">
        <v>195</v>
      </c>
      <c r="I40" s="7" t="s">
        <v>195</v>
      </c>
      <c r="J40" s="7" t="s">
        <v>195</v>
      </c>
      <c r="K40" s="7" t="s">
        <v>195</v>
      </c>
      <c r="L40" s="7" t="s">
        <v>195</v>
      </c>
      <c r="M40" s="7" t="s">
        <v>29</v>
      </c>
      <c r="N40" s="7" t="s">
        <v>29</v>
      </c>
      <c r="O40" s="7" t="s">
        <v>29</v>
      </c>
      <c r="P40" s="7" t="s">
        <v>29</v>
      </c>
      <c r="Q40" s="7" t="s">
        <v>29</v>
      </c>
      <c r="R40" s="7" t="s">
        <v>29</v>
      </c>
      <c r="S40" s="7" t="s">
        <v>29</v>
      </c>
    </row>
    <row r="41" spans="1:19">
      <c r="B41" s="7" t="s">
        <v>195</v>
      </c>
      <c r="C41" s="8" t="s">
        <v>195</v>
      </c>
      <c r="D41" s="5" t="str">
        <f>LRTRIM(CONCATENATE(IF(SUMPRODUCT(-- ISNUMBER(SEARCH({"Auto Number"}, $B41))) &gt; 0, $B41, IF(SUMPRODUCT(-- ISNUMBER(SEARCH({"Lookup","Master-Detail"}, $B41))) &gt; 0,$B41 &amp; "(" &amp; $E41 &amp; ")",IF(SUMPRODUCT(-- ISNUMBER(SEARCH({"Formula","Roll-Up Summary"}, $B41))) &gt; 0,$B41 &amp; " (" &amp; $E41 &amp; ")",IF(SUMPRODUCT(-- ISNUMBER(SEARCH({"Content","Currency","Number","Percent","Text","URL"}, $B41))) &gt; 0,$B41 &amp; "(" &amp; $C41 &amp; ")",$B41)))), "  ", TRIM(IF($S41 = "YES", "(External ID)", "") &amp; " " &amp; IF(SUMPRODUCT(-- ISNUMBER(SEARCH({"Unique","Unique Case Insensitive"}, $R41))) &gt; 0, "(" &amp; $R41 &amp; ")", ""))))</f>
        <v>na</v>
      </c>
      <c r="E41" s="7" t="s">
        <v>195</v>
      </c>
      <c r="F41" s="7" t="s">
        <v>195</v>
      </c>
      <c r="G41" s="7" t="s">
        <v>195</v>
      </c>
      <c r="H41" s="7" t="s">
        <v>195</v>
      </c>
      <c r="I41" s="7" t="s">
        <v>195</v>
      </c>
      <c r="J41" s="7" t="s">
        <v>195</v>
      </c>
      <c r="K41" s="7" t="s">
        <v>195</v>
      </c>
      <c r="L41" s="7" t="s">
        <v>195</v>
      </c>
      <c r="M41" s="7" t="s">
        <v>29</v>
      </c>
      <c r="N41" s="7" t="s">
        <v>29</v>
      </c>
      <c r="O41" s="7" t="s">
        <v>29</v>
      </c>
      <c r="P41" s="7" t="s">
        <v>29</v>
      </c>
      <c r="Q41" s="7" t="s">
        <v>29</v>
      </c>
      <c r="R41" s="7" t="s">
        <v>29</v>
      </c>
      <c r="S41" s="7" t="s">
        <v>29</v>
      </c>
    </row>
    <row r="42" spans="1:19">
      <c r="B42" s="7" t="s">
        <v>195</v>
      </c>
      <c r="C42" s="8" t="s">
        <v>195</v>
      </c>
      <c r="D42" s="5" t="str">
        <f>LRTRIM(CONCATENATE(IF(SUMPRODUCT(-- ISNUMBER(SEARCH({"Auto Number"}, $B42))) &gt; 0, $B42, IF(SUMPRODUCT(-- ISNUMBER(SEARCH({"Lookup","Master-Detail"}, $B42))) &gt; 0,$B42 &amp; "(" &amp; $E42 &amp; ")",IF(SUMPRODUCT(-- ISNUMBER(SEARCH({"Formula","Roll-Up Summary"}, $B42))) &gt; 0,$B42 &amp; " (" &amp; $E42 &amp; ")",IF(SUMPRODUCT(-- ISNUMBER(SEARCH({"Content","Currency","Number","Percent","Text","URL"}, $B42))) &gt; 0,$B42 &amp; "(" &amp; $C42 &amp; ")",$B42)))), "  ", TRIM(IF($S42 = "YES", "(External ID)", "") &amp; " " &amp; IF(SUMPRODUCT(-- ISNUMBER(SEARCH({"Unique","Unique Case Insensitive"}, $R42))) &gt; 0, "(" &amp; $R42 &amp; ")", ""))))</f>
        <v>na</v>
      </c>
      <c r="E42" s="7" t="s">
        <v>195</v>
      </c>
      <c r="F42" s="7" t="s">
        <v>195</v>
      </c>
      <c r="G42" s="7" t="s">
        <v>195</v>
      </c>
      <c r="H42" s="7" t="s">
        <v>195</v>
      </c>
      <c r="I42" s="7" t="s">
        <v>195</v>
      </c>
      <c r="J42" s="7" t="s">
        <v>195</v>
      </c>
      <c r="K42" s="7" t="s">
        <v>195</v>
      </c>
      <c r="L42" s="7" t="s">
        <v>195</v>
      </c>
      <c r="M42" s="7" t="s">
        <v>29</v>
      </c>
      <c r="N42" s="7" t="s">
        <v>29</v>
      </c>
      <c r="O42" s="7" t="s">
        <v>29</v>
      </c>
      <c r="P42" s="7" t="s">
        <v>29</v>
      </c>
      <c r="Q42" s="7" t="s">
        <v>29</v>
      </c>
      <c r="R42" s="7" t="s">
        <v>29</v>
      </c>
      <c r="S42" s="7" t="s">
        <v>29</v>
      </c>
    </row>
    <row r="43" spans="1:19">
      <c r="B43" s="7" t="s">
        <v>195</v>
      </c>
      <c r="C43" s="8" t="s">
        <v>195</v>
      </c>
      <c r="D43" s="5" t="str">
        <f>LRTRIM(CONCATENATE(IF(SUMPRODUCT(-- ISNUMBER(SEARCH({"Auto Number"}, $B43))) &gt; 0, $B43, IF(SUMPRODUCT(-- ISNUMBER(SEARCH({"Lookup","Master-Detail"}, $B43))) &gt; 0,$B43 &amp; "(" &amp; $E43 &amp; ")",IF(SUMPRODUCT(-- ISNUMBER(SEARCH({"Formula","Roll-Up Summary"}, $B43))) &gt; 0,$B43 &amp; " (" &amp; $E43 &amp; ")",IF(SUMPRODUCT(-- ISNUMBER(SEARCH({"Content","Currency","Number","Percent","Text","URL"}, $B43))) &gt; 0,$B43 &amp; "(" &amp; $C43 &amp; ")",$B43)))), "  ", TRIM(IF($S43 = "YES", "(External ID)", "") &amp; " " &amp; IF(SUMPRODUCT(-- ISNUMBER(SEARCH({"Unique","Unique Case Insensitive"}, $R43))) &gt; 0, "(" &amp; $R43 &amp; ")", ""))))</f>
        <v>na</v>
      </c>
      <c r="E43" s="7" t="s">
        <v>195</v>
      </c>
      <c r="F43" s="7" t="s">
        <v>195</v>
      </c>
      <c r="G43" s="7" t="s">
        <v>195</v>
      </c>
      <c r="H43" s="7" t="s">
        <v>195</v>
      </c>
      <c r="I43" s="7" t="s">
        <v>195</v>
      </c>
      <c r="J43" s="7" t="s">
        <v>195</v>
      </c>
      <c r="K43" s="7" t="s">
        <v>195</v>
      </c>
      <c r="L43" s="7" t="s">
        <v>195</v>
      </c>
      <c r="M43" s="7" t="s">
        <v>29</v>
      </c>
      <c r="N43" s="7" t="s">
        <v>29</v>
      </c>
      <c r="O43" s="7" t="s">
        <v>29</v>
      </c>
      <c r="P43" s="7" t="s">
        <v>29</v>
      </c>
      <c r="Q43" s="7" t="s">
        <v>29</v>
      </c>
      <c r="R43" s="7" t="s">
        <v>29</v>
      </c>
      <c r="S43" s="7" t="s">
        <v>29</v>
      </c>
    </row>
    <row r="44" spans="1:19">
      <c r="B44" s="7" t="s">
        <v>195</v>
      </c>
      <c r="C44" s="8" t="s">
        <v>195</v>
      </c>
      <c r="D44" s="5" t="str">
        <f>LRTRIM(CONCATENATE(IF(SUMPRODUCT(-- ISNUMBER(SEARCH({"Auto Number"}, $B44))) &gt; 0, $B44, IF(SUMPRODUCT(-- ISNUMBER(SEARCH({"Lookup","Master-Detail"}, $B44))) &gt; 0,$B44 &amp; "(" &amp; $E44 &amp; ")",IF(SUMPRODUCT(-- ISNUMBER(SEARCH({"Formula","Roll-Up Summary"}, $B44))) &gt; 0,$B44 &amp; " (" &amp; $E44 &amp; ")",IF(SUMPRODUCT(-- ISNUMBER(SEARCH({"Content","Currency","Number","Percent","Text","URL"}, $B44))) &gt; 0,$B44 &amp; "(" &amp; $C44 &amp; ")",$B44)))), "  ", TRIM(IF($S44 = "YES", "(External ID)", "") &amp; " " &amp; IF(SUMPRODUCT(-- ISNUMBER(SEARCH({"Unique","Unique Case Insensitive"}, $R44))) &gt; 0, "(" &amp; $R44 &amp; ")", ""))))</f>
        <v>na</v>
      </c>
      <c r="E44" s="7" t="s">
        <v>195</v>
      </c>
      <c r="F44" s="7" t="s">
        <v>195</v>
      </c>
      <c r="G44" s="7" t="s">
        <v>195</v>
      </c>
      <c r="H44" s="7" t="s">
        <v>195</v>
      </c>
      <c r="I44" s="7" t="s">
        <v>195</v>
      </c>
      <c r="J44" s="7" t="s">
        <v>195</v>
      </c>
      <c r="K44" s="7" t="s">
        <v>195</v>
      </c>
      <c r="L44" s="7" t="s">
        <v>195</v>
      </c>
      <c r="M44" s="7" t="s">
        <v>29</v>
      </c>
      <c r="N44" s="7" t="s">
        <v>29</v>
      </c>
      <c r="O44" s="7" t="s">
        <v>29</v>
      </c>
      <c r="P44" s="7" t="s">
        <v>29</v>
      </c>
      <c r="Q44" s="7" t="s">
        <v>29</v>
      </c>
      <c r="R44" s="7" t="s">
        <v>29</v>
      </c>
      <c r="S44" s="7" t="s">
        <v>29</v>
      </c>
    </row>
    <row r="45" spans="1:19">
      <c r="B45" s="7" t="s">
        <v>195</v>
      </c>
      <c r="C45" s="8" t="s">
        <v>195</v>
      </c>
      <c r="D45" s="5" t="str">
        <f>LRTRIM(CONCATENATE(IF(SUMPRODUCT(-- ISNUMBER(SEARCH({"Auto Number"}, $B45))) &gt; 0, $B45, IF(SUMPRODUCT(-- ISNUMBER(SEARCH({"Lookup","Master-Detail"}, $B45))) &gt; 0,$B45 &amp; "(" &amp; $E45 &amp; ")",IF(SUMPRODUCT(-- ISNUMBER(SEARCH({"Formula","Roll-Up Summary"}, $B45))) &gt; 0,$B45 &amp; " (" &amp; $E45 &amp; ")",IF(SUMPRODUCT(-- ISNUMBER(SEARCH({"Content","Currency","Number","Percent","Text","URL"}, $B45))) &gt; 0,$B45 &amp; "(" &amp; $C45 &amp; ")",$B45)))), "  ", TRIM(IF($S45 = "YES", "(External ID)", "") &amp; " " &amp; IF(SUMPRODUCT(-- ISNUMBER(SEARCH({"Unique","Unique Case Insensitive"}, $R45))) &gt; 0, "(" &amp; $R45 &amp; ")", ""))))</f>
        <v>na</v>
      </c>
      <c r="E45" s="7" t="s">
        <v>195</v>
      </c>
      <c r="F45" s="7" t="s">
        <v>195</v>
      </c>
      <c r="G45" s="7" t="s">
        <v>195</v>
      </c>
      <c r="H45" s="7" t="s">
        <v>195</v>
      </c>
      <c r="I45" s="7" t="s">
        <v>195</v>
      </c>
      <c r="J45" s="7" t="s">
        <v>195</v>
      </c>
      <c r="K45" s="7" t="s">
        <v>195</v>
      </c>
      <c r="L45" s="7" t="s">
        <v>195</v>
      </c>
      <c r="M45" s="7" t="s">
        <v>29</v>
      </c>
      <c r="N45" s="7" t="s">
        <v>29</v>
      </c>
      <c r="O45" s="7" t="s">
        <v>29</v>
      </c>
      <c r="P45" s="7" t="s">
        <v>29</v>
      </c>
      <c r="Q45" s="7" t="s">
        <v>29</v>
      </c>
      <c r="R45" s="7" t="s">
        <v>29</v>
      </c>
      <c r="S45" s="7" t="s">
        <v>29</v>
      </c>
    </row>
    <row r="46" spans="1:19">
      <c r="B46" s="7" t="s">
        <v>195</v>
      </c>
      <c r="C46" s="8" t="s">
        <v>195</v>
      </c>
      <c r="D46" s="5" t="str">
        <f>LRTRIM(CONCATENATE(IF(SUMPRODUCT(-- ISNUMBER(SEARCH({"Auto Number"}, $B46))) &gt; 0, $B46, IF(SUMPRODUCT(-- ISNUMBER(SEARCH({"Lookup","Master-Detail"}, $B46))) &gt; 0,$B46 &amp; "(" &amp; $E46 &amp; ")",IF(SUMPRODUCT(-- ISNUMBER(SEARCH({"Formula","Roll-Up Summary"}, $B46))) &gt; 0,$B46 &amp; " (" &amp; $E46 &amp; ")",IF(SUMPRODUCT(-- ISNUMBER(SEARCH({"Content","Currency","Number","Percent","Text","URL"}, $B46))) &gt; 0,$B46 &amp; "(" &amp; $C46 &amp; ")",$B46)))), "  ", TRIM(IF($S46 = "YES", "(External ID)", "") &amp; " " &amp; IF(SUMPRODUCT(-- ISNUMBER(SEARCH({"Unique","Unique Case Insensitive"}, $R46))) &gt; 0, "(" &amp; $R46 &amp; ")", ""))))</f>
        <v>na</v>
      </c>
      <c r="E46" s="7" t="s">
        <v>195</v>
      </c>
      <c r="F46" s="7" t="s">
        <v>195</v>
      </c>
      <c r="G46" s="7" t="s">
        <v>195</v>
      </c>
      <c r="H46" s="7" t="s">
        <v>195</v>
      </c>
      <c r="I46" s="7" t="s">
        <v>195</v>
      </c>
      <c r="J46" s="7" t="s">
        <v>195</v>
      </c>
      <c r="K46" s="7" t="s">
        <v>195</v>
      </c>
      <c r="L46" s="7" t="s">
        <v>195</v>
      </c>
      <c r="M46" s="7" t="s">
        <v>29</v>
      </c>
      <c r="N46" s="7" t="s">
        <v>29</v>
      </c>
      <c r="O46" s="7" t="s">
        <v>29</v>
      </c>
      <c r="P46" s="7" t="s">
        <v>29</v>
      </c>
      <c r="Q46" s="7" t="s">
        <v>29</v>
      </c>
      <c r="R46" s="7" t="s">
        <v>29</v>
      </c>
      <c r="S46" s="7" t="s">
        <v>29</v>
      </c>
    </row>
    <row r="47" spans="1:19">
      <c r="B47" s="7" t="s">
        <v>195</v>
      </c>
      <c r="C47" s="8" t="s">
        <v>195</v>
      </c>
      <c r="D47" s="5" t="str">
        <f>LRTRIM(CONCATENATE(IF(SUMPRODUCT(-- ISNUMBER(SEARCH({"Auto Number"}, $B47))) &gt; 0, $B47, IF(SUMPRODUCT(-- ISNUMBER(SEARCH({"Lookup","Master-Detail"}, $B47))) &gt; 0,$B47 &amp; "(" &amp; $E47 &amp; ")",IF(SUMPRODUCT(-- ISNUMBER(SEARCH({"Formula","Roll-Up Summary"}, $B47))) &gt; 0,$B47 &amp; " (" &amp; $E47 &amp; ")",IF(SUMPRODUCT(-- ISNUMBER(SEARCH({"Content","Currency","Number","Percent","Text","URL"}, $B47))) &gt; 0,$B47 &amp; "(" &amp; $C47 &amp; ")",$B47)))), "  ", TRIM(IF($S47 = "YES", "(External ID)", "") &amp; " " &amp; IF(SUMPRODUCT(-- ISNUMBER(SEARCH({"Unique","Unique Case Insensitive"}, $R47))) &gt; 0, "(" &amp; $R47 &amp; ")", ""))))</f>
        <v>na</v>
      </c>
      <c r="E47" s="7" t="s">
        <v>195</v>
      </c>
      <c r="F47" s="7" t="s">
        <v>195</v>
      </c>
      <c r="G47" s="7" t="s">
        <v>195</v>
      </c>
      <c r="H47" s="7" t="s">
        <v>195</v>
      </c>
      <c r="I47" s="7" t="s">
        <v>195</v>
      </c>
      <c r="J47" s="7" t="s">
        <v>195</v>
      </c>
      <c r="K47" s="7" t="s">
        <v>195</v>
      </c>
      <c r="L47" s="7" t="s">
        <v>195</v>
      </c>
      <c r="M47" s="7" t="s">
        <v>29</v>
      </c>
      <c r="N47" s="7" t="s">
        <v>29</v>
      </c>
      <c r="O47" s="7" t="s">
        <v>29</v>
      </c>
      <c r="P47" s="7" t="s">
        <v>29</v>
      </c>
      <c r="Q47" s="7" t="s">
        <v>29</v>
      </c>
      <c r="R47" s="7" t="s">
        <v>29</v>
      </c>
      <c r="S47" s="7" t="s">
        <v>29</v>
      </c>
    </row>
    <row r="48" spans="1:19">
      <c r="B48" s="7" t="s">
        <v>195</v>
      </c>
      <c r="C48" s="8" t="s">
        <v>195</v>
      </c>
      <c r="D48" s="5" t="str">
        <f>LRTRIM(CONCATENATE(IF(SUMPRODUCT(-- ISNUMBER(SEARCH({"Auto Number"}, $B48))) &gt; 0, $B48, IF(SUMPRODUCT(-- ISNUMBER(SEARCH({"Lookup","Master-Detail"}, $B48))) &gt; 0,$B48 &amp; "(" &amp; $E48 &amp; ")",IF(SUMPRODUCT(-- ISNUMBER(SEARCH({"Formula","Roll-Up Summary"}, $B48))) &gt; 0,$B48 &amp; " (" &amp; $E48 &amp; ")",IF(SUMPRODUCT(-- ISNUMBER(SEARCH({"Content","Currency","Number","Percent","Text","URL"}, $B48))) &gt; 0,$B48 &amp; "(" &amp; $C48 &amp; ")",$B48)))), "  ", TRIM(IF($S48 = "YES", "(External ID)", "") &amp; " " &amp; IF(SUMPRODUCT(-- ISNUMBER(SEARCH({"Unique","Unique Case Insensitive"}, $R48))) &gt; 0, "(" &amp; $R48 &amp; ")", ""))))</f>
        <v>na</v>
      </c>
      <c r="E48" s="7" t="s">
        <v>195</v>
      </c>
      <c r="F48" s="7" t="s">
        <v>195</v>
      </c>
      <c r="G48" s="7" t="s">
        <v>195</v>
      </c>
      <c r="H48" s="7" t="s">
        <v>195</v>
      </c>
      <c r="I48" s="7" t="s">
        <v>195</v>
      </c>
      <c r="J48" s="7" t="s">
        <v>195</v>
      </c>
      <c r="K48" s="7" t="s">
        <v>195</v>
      </c>
      <c r="L48" s="7" t="s">
        <v>195</v>
      </c>
      <c r="M48" s="7" t="s">
        <v>29</v>
      </c>
      <c r="N48" s="7" t="s">
        <v>29</v>
      </c>
      <c r="O48" s="7" t="s">
        <v>29</v>
      </c>
      <c r="P48" s="7" t="s">
        <v>29</v>
      </c>
      <c r="Q48" s="7" t="s">
        <v>29</v>
      </c>
      <c r="R48" s="7" t="s">
        <v>29</v>
      </c>
      <c r="S48" s="7" t="s">
        <v>29</v>
      </c>
    </row>
    <row r="49" spans="2:19">
      <c r="B49" s="7" t="s">
        <v>195</v>
      </c>
      <c r="C49" s="8" t="s">
        <v>195</v>
      </c>
      <c r="D49" s="5" t="str">
        <f>LRTRIM(CONCATENATE(IF(SUMPRODUCT(-- ISNUMBER(SEARCH({"Auto Number"}, $B49))) &gt; 0, $B49, IF(SUMPRODUCT(-- ISNUMBER(SEARCH({"Lookup","Master-Detail"}, $B49))) &gt; 0,$B49 &amp; "(" &amp; $E49 &amp; ")",IF(SUMPRODUCT(-- ISNUMBER(SEARCH({"Formula","Roll-Up Summary"}, $B49))) &gt; 0,$B49 &amp; " (" &amp; $E49 &amp; ")",IF(SUMPRODUCT(-- ISNUMBER(SEARCH({"Content","Currency","Number","Percent","Text","URL"}, $B49))) &gt; 0,$B49 &amp; "(" &amp; $C49 &amp; ")",$B49)))), "  ", TRIM(IF($S49 = "YES", "(External ID)", "") &amp; " " &amp; IF(SUMPRODUCT(-- ISNUMBER(SEARCH({"Unique","Unique Case Insensitive"}, $R49))) &gt; 0, "(" &amp; $R49 &amp; ")", ""))))</f>
        <v>na</v>
      </c>
      <c r="E49" s="7" t="s">
        <v>195</v>
      </c>
      <c r="F49" s="7" t="s">
        <v>195</v>
      </c>
      <c r="G49" s="7" t="s">
        <v>195</v>
      </c>
      <c r="H49" s="7" t="s">
        <v>195</v>
      </c>
      <c r="I49" s="7" t="s">
        <v>195</v>
      </c>
      <c r="J49" s="7" t="s">
        <v>195</v>
      </c>
      <c r="K49" s="7" t="s">
        <v>195</v>
      </c>
      <c r="L49" s="7" t="s">
        <v>195</v>
      </c>
      <c r="M49" s="7" t="s">
        <v>29</v>
      </c>
      <c r="N49" s="7" t="s">
        <v>29</v>
      </c>
      <c r="O49" s="7" t="s">
        <v>29</v>
      </c>
      <c r="P49" s="7" t="s">
        <v>29</v>
      </c>
      <c r="Q49" s="7" t="s">
        <v>29</v>
      </c>
      <c r="R49" s="7" t="s">
        <v>29</v>
      </c>
      <c r="S49" s="7" t="s">
        <v>29</v>
      </c>
    </row>
    <row r="50" spans="2:19">
      <c r="B50" s="7" t="s">
        <v>195</v>
      </c>
      <c r="C50" s="8" t="s">
        <v>195</v>
      </c>
      <c r="D50" s="5" t="str">
        <f>LRTRIM(CONCATENATE(IF(SUMPRODUCT(-- ISNUMBER(SEARCH({"Auto Number"}, $B50))) &gt; 0, $B50, IF(SUMPRODUCT(-- ISNUMBER(SEARCH({"Lookup","Master-Detail"}, $B50))) &gt; 0,$B50 &amp; "(" &amp; $E50 &amp; ")",IF(SUMPRODUCT(-- ISNUMBER(SEARCH({"Formula","Roll-Up Summary"}, $B50))) &gt; 0,$B50 &amp; " (" &amp; $E50 &amp; ")",IF(SUMPRODUCT(-- ISNUMBER(SEARCH({"Content","Currency","Number","Percent","Text","URL"}, $B50))) &gt; 0,$B50 &amp; "(" &amp; $C50 &amp; ")",$B50)))), "  ", TRIM(IF($S50 = "YES", "(External ID)", "") &amp; " " &amp; IF(SUMPRODUCT(-- ISNUMBER(SEARCH({"Unique","Unique Case Insensitive"}, $R50))) &gt; 0, "(" &amp; $R50 &amp; ")", ""))))</f>
        <v>na</v>
      </c>
      <c r="E50" s="7" t="s">
        <v>195</v>
      </c>
      <c r="F50" s="7" t="s">
        <v>195</v>
      </c>
      <c r="G50" s="7" t="s">
        <v>195</v>
      </c>
      <c r="H50" s="7" t="s">
        <v>195</v>
      </c>
      <c r="I50" s="7" t="s">
        <v>195</v>
      </c>
      <c r="J50" s="7" t="s">
        <v>195</v>
      </c>
      <c r="K50" s="7" t="s">
        <v>195</v>
      </c>
      <c r="L50" s="7" t="s">
        <v>195</v>
      </c>
      <c r="M50" s="7" t="s">
        <v>29</v>
      </c>
      <c r="N50" s="7" t="s">
        <v>29</v>
      </c>
      <c r="O50" s="7" t="s">
        <v>29</v>
      </c>
      <c r="P50" s="7" t="s">
        <v>29</v>
      </c>
      <c r="Q50" s="7" t="s">
        <v>29</v>
      </c>
      <c r="R50" s="7" t="s">
        <v>29</v>
      </c>
      <c r="S50" s="7" t="s">
        <v>29</v>
      </c>
    </row>
    <row r="51" spans="2:19">
      <c r="B51" s="7" t="s">
        <v>195</v>
      </c>
      <c r="C51" s="8" t="s">
        <v>195</v>
      </c>
      <c r="D51" s="5" t="str">
        <f>LRTRIM(CONCATENATE(IF(SUMPRODUCT(-- ISNUMBER(SEARCH({"Auto Number"}, $B51))) &gt; 0, $B51, IF(SUMPRODUCT(-- ISNUMBER(SEARCH({"Lookup","Master-Detail"}, $B51))) &gt; 0,$B51 &amp; "(" &amp; $E51 &amp; ")",IF(SUMPRODUCT(-- ISNUMBER(SEARCH({"Formula","Roll-Up Summary"}, $B51))) &gt; 0,$B51 &amp; " (" &amp; $E51 &amp; ")",IF(SUMPRODUCT(-- ISNUMBER(SEARCH({"Content","Currency","Number","Percent","Text","URL"}, $B51))) &gt; 0,$B51 &amp; "(" &amp; $C51 &amp; ")",$B51)))), "  ", TRIM(IF($S51 = "YES", "(External ID)", "") &amp; " " &amp; IF(SUMPRODUCT(-- ISNUMBER(SEARCH({"Unique","Unique Case Insensitive"}, $R51))) &gt; 0, "(" &amp; $R51 &amp; ")", ""))))</f>
        <v>na</v>
      </c>
      <c r="E51" s="7" t="s">
        <v>195</v>
      </c>
      <c r="F51" s="7" t="s">
        <v>195</v>
      </c>
      <c r="G51" s="7" t="s">
        <v>195</v>
      </c>
      <c r="H51" s="7" t="s">
        <v>195</v>
      </c>
      <c r="I51" s="7" t="s">
        <v>195</v>
      </c>
      <c r="J51" s="7" t="s">
        <v>195</v>
      </c>
      <c r="K51" s="7" t="s">
        <v>195</v>
      </c>
      <c r="L51" s="7" t="s">
        <v>195</v>
      </c>
      <c r="M51" s="7" t="s">
        <v>29</v>
      </c>
      <c r="N51" s="7" t="s">
        <v>29</v>
      </c>
      <c r="O51" s="7" t="s">
        <v>29</v>
      </c>
      <c r="P51" s="7" t="s">
        <v>29</v>
      </c>
      <c r="Q51" s="7" t="s">
        <v>29</v>
      </c>
      <c r="R51" s="7" t="s">
        <v>29</v>
      </c>
      <c r="S51" s="7" t="s">
        <v>29</v>
      </c>
    </row>
    <row r="52" spans="2:19">
      <c r="B52" s="7" t="s">
        <v>195</v>
      </c>
      <c r="C52" s="8" t="s">
        <v>195</v>
      </c>
      <c r="D52" s="5" t="str">
        <f>LRTRIM(CONCATENATE(IF(SUMPRODUCT(-- ISNUMBER(SEARCH({"Auto Number"}, $B52))) &gt; 0, $B52, IF(SUMPRODUCT(-- ISNUMBER(SEARCH({"Lookup","Master-Detail"}, $B52))) &gt; 0,$B52 &amp; "(" &amp; $E52 &amp; ")",IF(SUMPRODUCT(-- ISNUMBER(SEARCH({"Formula","Roll-Up Summary"}, $B52))) &gt; 0,$B52 &amp; " (" &amp; $E52 &amp; ")",IF(SUMPRODUCT(-- ISNUMBER(SEARCH({"Content","Currency","Number","Percent","Text","URL"}, $B52))) &gt; 0,$B52 &amp; "(" &amp; $C52 &amp; ")",$B52)))), "  ", TRIM(IF($S52 = "YES", "(External ID)", "") &amp; " " &amp; IF(SUMPRODUCT(-- ISNUMBER(SEARCH({"Unique","Unique Case Insensitive"}, $R52))) &gt; 0, "(" &amp; $R52 &amp; ")", ""))))</f>
        <v>na</v>
      </c>
      <c r="E52" s="7" t="s">
        <v>195</v>
      </c>
      <c r="F52" s="7" t="s">
        <v>195</v>
      </c>
      <c r="G52" s="7" t="s">
        <v>195</v>
      </c>
      <c r="H52" s="7" t="s">
        <v>195</v>
      </c>
      <c r="I52" s="7" t="s">
        <v>195</v>
      </c>
      <c r="J52" s="7" t="s">
        <v>195</v>
      </c>
      <c r="K52" s="7" t="s">
        <v>195</v>
      </c>
      <c r="L52" s="7" t="s">
        <v>195</v>
      </c>
      <c r="M52" s="7" t="s">
        <v>29</v>
      </c>
      <c r="N52" s="7" t="s">
        <v>29</v>
      </c>
      <c r="O52" s="7" t="s">
        <v>29</v>
      </c>
      <c r="P52" s="7" t="s">
        <v>29</v>
      </c>
      <c r="Q52" s="7" t="s">
        <v>29</v>
      </c>
      <c r="R52" s="7" t="s">
        <v>29</v>
      </c>
      <c r="S52" s="7" t="s">
        <v>29</v>
      </c>
    </row>
    <row r="53" spans="2:19">
      <c r="B53" s="7" t="s">
        <v>195</v>
      </c>
      <c r="C53" s="8" t="s">
        <v>195</v>
      </c>
      <c r="D53" s="5" t="str">
        <f>LRTRIM(CONCATENATE(IF(SUMPRODUCT(-- ISNUMBER(SEARCH({"Auto Number"}, $B53))) &gt; 0, $B53, IF(SUMPRODUCT(-- ISNUMBER(SEARCH({"Lookup","Master-Detail"}, $B53))) &gt; 0,$B53 &amp; "(" &amp; $E53 &amp; ")",IF(SUMPRODUCT(-- ISNUMBER(SEARCH({"Formula","Roll-Up Summary"}, $B53))) &gt; 0,$B53 &amp; " (" &amp; $E53 &amp; ")",IF(SUMPRODUCT(-- ISNUMBER(SEARCH({"Content","Currency","Number","Percent","Text","URL"}, $B53))) &gt; 0,$B53 &amp; "(" &amp; $C53 &amp; ")",$B53)))), "  ", TRIM(IF($S53 = "YES", "(External ID)", "") &amp; " " &amp; IF(SUMPRODUCT(-- ISNUMBER(SEARCH({"Unique","Unique Case Insensitive"}, $R53))) &gt; 0, "(" &amp; $R53 &amp; ")", ""))))</f>
        <v>na</v>
      </c>
      <c r="E53" s="7" t="s">
        <v>195</v>
      </c>
      <c r="F53" s="7" t="s">
        <v>195</v>
      </c>
      <c r="G53" s="7" t="s">
        <v>195</v>
      </c>
      <c r="H53" s="7" t="s">
        <v>195</v>
      </c>
      <c r="I53" s="7" t="s">
        <v>195</v>
      </c>
      <c r="J53" s="7" t="s">
        <v>195</v>
      </c>
      <c r="K53" s="7" t="s">
        <v>195</v>
      </c>
      <c r="L53" s="7" t="s">
        <v>195</v>
      </c>
      <c r="M53" s="7" t="s">
        <v>29</v>
      </c>
      <c r="N53" s="7" t="s">
        <v>29</v>
      </c>
      <c r="O53" s="7" t="s">
        <v>29</v>
      </c>
      <c r="P53" s="7" t="s">
        <v>29</v>
      </c>
      <c r="Q53" s="7" t="s">
        <v>29</v>
      </c>
      <c r="R53" s="7" t="s">
        <v>29</v>
      </c>
      <c r="S53" s="7" t="s">
        <v>29</v>
      </c>
    </row>
    <row r="54" spans="2:19">
      <c r="B54" s="7" t="s">
        <v>195</v>
      </c>
      <c r="C54" s="8" t="s">
        <v>195</v>
      </c>
      <c r="D54" s="5" t="str">
        <f>LRTRIM(CONCATENATE(IF(SUMPRODUCT(-- ISNUMBER(SEARCH({"Auto Number"}, $B54))) &gt; 0, $B54, IF(SUMPRODUCT(-- ISNUMBER(SEARCH({"Lookup","Master-Detail"}, $B54))) &gt; 0,$B54 &amp; "(" &amp; $E54 &amp; ")",IF(SUMPRODUCT(-- ISNUMBER(SEARCH({"Formula","Roll-Up Summary"}, $B54))) &gt; 0,$B54 &amp; " (" &amp; $E54 &amp; ")",IF(SUMPRODUCT(-- ISNUMBER(SEARCH({"Content","Currency","Number","Percent","Text","URL"}, $B54))) &gt; 0,$B54 &amp; "(" &amp; $C54 &amp; ")",$B54)))), "  ", TRIM(IF($S54 = "YES", "(External ID)", "") &amp; " " &amp; IF(SUMPRODUCT(-- ISNUMBER(SEARCH({"Unique","Unique Case Insensitive"}, $R54))) &gt; 0, "(" &amp; $R54 &amp; ")", ""))))</f>
        <v>na</v>
      </c>
      <c r="E54" s="7" t="s">
        <v>195</v>
      </c>
      <c r="F54" s="7" t="s">
        <v>195</v>
      </c>
      <c r="G54" s="7" t="s">
        <v>195</v>
      </c>
      <c r="H54" s="7" t="s">
        <v>195</v>
      </c>
      <c r="I54" s="7" t="s">
        <v>195</v>
      </c>
      <c r="J54" s="7" t="s">
        <v>195</v>
      </c>
      <c r="K54" s="7" t="s">
        <v>195</v>
      </c>
      <c r="L54" s="7" t="s">
        <v>195</v>
      </c>
      <c r="M54" s="7" t="s">
        <v>29</v>
      </c>
      <c r="N54" s="7" t="s">
        <v>29</v>
      </c>
      <c r="O54" s="7" t="s">
        <v>29</v>
      </c>
      <c r="P54" s="7" t="s">
        <v>29</v>
      </c>
      <c r="Q54" s="7" t="s">
        <v>29</v>
      </c>
      <c r="R54" s="7" t="s">
        <v>29</v>
      </c>
      <c r="S54" s="7" t="s">
        <v>29</v>
      </c>
    </row>
    <row r="55" spans="2:19">
      <c r="B55" s="7" t="s">
        <v>195</v>
      </c>
      <c r="C55" s="8" t="s">
        <v>195</v>
      </c>
      <c r="D55" s="5" t="str">
        <f>LRTRIM(CONCATENATE(IF(SUMPRODUCT(-- ISNUMBER(SEARCH({"Auto Number"}, $B55))) &gt; 0, $B55, IF(SUMPRODUCT(-- ISNUMBER(SEARCH({"Lookup","Master-Detail"}, $B55))) &gt; 0,$B55 &amp; "(" &amp; $E55 &amp; ")",IF(SUMPRODUCT(-- ISNUMBER(SEARCH({"Formula","Roll-Up Summary"}, $B55))) &gt; 0,$B55 &amp; " (" &amp; $E55 &amp; ")",IF(SUMPRODUCT(-- ISNUMBER(SEARCH({"Content","Currency","Number","Percent","Text","URL"}, $B55))) &gt; 0,$B55 &amp; "(" &amp; $C55 &amp; ")",$B55)))), "  ", TRIM(IF($S55 = "YES", "(External ID)", "") &amp; " " &amp; IF(SUMPRODUCT(-- ISNUMBER(SEARCH({"Unique","Unique Case Insensitive"}, $R55))) &gt; 0, "(" &amp; $R55 &amp; ")", ""))))</f>
        <v>na</v>
      </c>
      <c r="E55" s="7" t="s">
        <v>195</v>
      </c>
      <c r="F55" s="7" t="s">
        <v>195</v>
      </c>
      <c r="G55" s="7" t="s">
        <v>195</v>
      </c>
      <c r="H55" s="7" t="s">
        <v>195</v>
      </c>
      <c r="I55" s="7" t="s">
        <v>195</v>
      </c>
      <c r="J55" s="7" t="s">
        <v>195</v>
      </c>
      <c r="K55" s="7" t="s">
        <v>195</v>
      </c>
      <c r="L55" s="7" t="s">
        <v>195</v>
      </c>
      <c r="M55" s="7" t="s">
        <v>29</v>
      </c>
      <c r="N55" s="7" t="s">
        <v>29</v>
      </c>
      <c r="O55" s="7" t="s">
        <v>29</v>
      </c>
      <c r="P55" s="7" t="s">
        <v>29</v>
      </c>
      <c r="Q55" s="7" t="s">
        <v>29</v>
      </c>
      <c r="R55" s="7" t="s">
        <v>29</v>
      </c>
      <c r="S55" s="7" t="s">
        <v>29</v>
      </c>
    </row>
    <row r="56" spans="2:19">
      <c r="B56" s="7" t="s">
        <v>195</v>
      </c>
      <c r="C56" s="8" t="s">
        <v>195</v>
      </c>
      <c r="D56" s="5" t="str">
        <f>LRTRIM(CONCATENATE(IF(SUMPRODUCT(-- ISNUMBER(SEARCH({"Auto Number"}, $B56))) &gt; 0, $B56, IF(SUMPRODUCT(-- ISNUMBER(SEARCH({"Lookup","Master-Detail"}, $B56))) &gt; 0,$B56 &amp; "(" &amp; $E56 &amp; ")",IF(SUMPRODUCT(-- ISNUMBER(SEARCH({"Formula","Roll-Up Summary"}, $B56))) &gt; 0,$B56 &amp; " (" &amp; $E56 &amp; ")",IF(SUMPRODUCT(-- ISNUMBER(SEARCH({"Content","Currency","Number","Percent","Text","URL"}, $B56))) &gt; 0,$B56 &amp; "(" &amp; $C56 &amp; ")",$B56)))), "  ", TRIM(IF($S56 = "YES", "(External ID)", "") &amp; " " &amp; IF(SUMPRODUCT(-- ISNUMBER(SEARCH({"Unique","Unique Case Insensitive"}, $R56))) &gt; 0, "(" &amp; $R56 &amp; ")", ""))))</f>
        <v>na</v>
      </c>
      <c r="E56" s="7" t="s">
        <v>195</v>
      </c>
      <c r="F56" s="7" t="s">
        <v>195</v>
      </c>
      <c r="G56" s="7" t="s">
        <v>195</v>
      </c>
      <c r="H56" s="7" t="s">
        <v>195</v>
      </c>
      <c r="I56" s="7" t="s">
        <v>195</v>
      </c>
      <c r="J56" s="7" t="s">
        <v>195</v>
      </c>
      <c r="K56" s="7" t="s">
        <v>195</v>
      </c>
      <c r="L56" s="7" t="s">
        <v>195</v>
      </c>
      <c r="M56" s="7" t="s">
        <v>29</v>
      </c>
      <c r="N56" s="7" t="s">
        <v>29</v>
      </c>
      <c r="O56" s="7" t="s">
        <v>29</v>
      </c>
      <c r="P56" s="7" t="s">
        <v>29</v>
      </c>
      <c r="Q56" s="7" t="s">
        <v>29</v>
      </c>
      <c r="R56" s="7" t="s">
        <v>29</v>
      </c>
      <c r="S56" s="7" t="s">
        <v>29</v>
      </c>
    </row>
    <row r="57" spans="2:19">
      <c r="B57" s="7" t="s">
        <v>195</v>
      </c>
      <c r="C57" s="8" t="s">
        <v>195</v>
      </c>
      <c r="D57" s="5" t="str">
        <f>LRTRIM(CONCATENATE(IF(SUMPRODUCT(-- ISNUMBER(SEARCH({"Auto Number"}, $B57))) &gt; 0, $B57, IF(SUMPRODUCT(-- ISNUMBER(SEARCH({"Lookup","Master-Detail"}, $B57))) &gt; 0,$B57 &amp; "(" &amp; $E57 &amp; ")",IF(SUMPRODUCT(-- ISNUMBER(SEARCH({"Formula","Roll-Up Summary"}, $B57))) &gt; 0,$B57 &amp; " (" &amp; $E57 &amp; ")",IF(SUMPRODUCT(-- ISNUMBER(SEARCH({"Content","Currency","Number","Percent","Text","URL"}, $B57))) &gt; 0,$B57 &amp; "(" &amp; $C57 &amp; ")",$B57)))), "  ", TRIM(IF($S57 = "YES", "(External ID)", "") &amp; " " &amp; IF(SUMPRODUCT(-- ISNUMBER(SEARCH({"Unique","Unique Case Insensitive"}, $R57))) &gt; 0, "(" &amp; $R57 &amp; ")", ""))))</f>
        <v>na</v>
      </c>
      <c r="E57" s="7" t="s">
        <v>195</v>
      </c>
      <c r="F57" s="7" t="s">
        <v>195</v>
      </c>
      <c r="G57" s="7" t="s">
        <v>195</v>
      </c>
      <c r="H57" s="7" t="s">
        <v>195</v>
      </c>
      <c r="I57" s="7" t="s">
        <v>195</v>
      </c>
      <c r="J57" s="7" t="s">
        <v>195</v>
      </c>
      <c r="K57" s="7" t="s">
        <v>195</v>
      </c>
      <c r="L57" s="7" t="s">
        <v>195</v>
      </c>
      <c r="M57" s="7" t="s">
        <v>29</v>
      </c>
      <c r="N57" s="7" t="s">
        <v>29</v>
      </c>
      <c r="O57" s="7" t="s">
        <v>29</v>
      </c>
      <c r="P57" s="7" t="s">
        <v>29</v>
      </c>
      <c r="Q57" s="7" t="s">
        <v>29</v>
      </c>
      <c r="R57" s="7" t="s">
        <v>29</v>
      </c>
      <c r="S57" s="7" t="s">
        <v>29</v>
      </c>
    </row>
    <row r="58" spans="2:19">
      <c r="B58" s="7" t="s">
        <v>195</v>
      </c>
      <c r="C58" s="8" t="s">
        <v>195</v>
      </c>
      <c r="D58" s="5" t="str">
        <f>LRTRIM(CONCATENATE(IF(SUMPRODUCT(-- ISNUMBER(SEARCH({"Auto Number"}, $B58))) &gt; 0, $B58, IF(SUMPRODUCT(-- ISNUMBER(SEARCH({"Lookup","Master-Detail"}, $B58))) &gt; 0,$B58 &amp; "(" &amp; $E58 &amp; ")",IF(SUMPRODUCT(-- ISNUMBER(SEARCH({"Formula","Roll-Up Summary"}, $B58))) &gt; 0,$B58 &amp; " (" &amp; $E58 &amp; ")",IF(SUMPRODUCT(-- ISNUMBER(SEARCH({"Content","Currency","Number","Percent","Text","URL"}, $B58))) &gt; 0,$B58 &amp; "(" &amp; $C58 &amp; ")",$B58)))), "  ", TRIM(IF($S58 = "YES", "(External ID)", "") &amp; " " &amp; IF(SUMPRODUCT(-- ISNUMBER(SEARCH({"Unique","Unique Case Insensitive"}, $R58))) &gt; 0, "(" &amp; $R58 &amp; ")", ""))))</f>
        <v>na</v>
      </c>
      <c r="E58" s="7" t="s">
        <v>195</v>
      </c>
      <c r="F58" s="7" t="s">
        <v>195</v>
      </c>
      <c r="G58" s="7" t="s">
        <v>195</v>
      </c>
      <c r="H58" s="7" t="s">
        <v>195</v>
      </c>
      <c r="I58" s="7" t="s">
        <v>195</v>
      </c>
      <c r="J58" s="7" t="s">
        <v>195</v>
      </c>
      <c r="K58" s="7" t="s">
        <v>195</v>
      </c>
      <c r="L58" s="7" t="s">
        <v>195</v>
      </c>
      <c r="M58" s="7" t="s">
        <v>29</v>
      </c>
      <c r="N58" s="7" t="s">
        <v>29</v>
      </c>
      <c r="O58" s="7" t="s">
        <v>29</v>
      </c>
      <c r="P58" s="7" t="s">
        <v>29</v>
      </c>
      <c r="Q58" s="7" t="s">
        <v>29</v>
      </c>
      <c r="R58" s="7" t="s">
        <v>29</v>
      </c>
      <c r="S58" s="7" t="s">
        <v>29</v>
      </c>
    </row>
    <row r="59" spans="2:19">
      <c r="B59" s="7" t="s">
        <v>195</v>
      </c>
      <c r="C59" s="8" t="s">
        <v>195</v>
      </c>
      <c r="D59" s="5" t="str">
        <f>LRTRIM(CONCATENATE(IF(SUMPRODUCT(-- ISNUMBER(SEARCH({"Auto Number"}, $B59))) &gt; 0, $B59, IF(SUMPRODUCT(-- ISNUMBER(SEARCH({"Lookup","Master-Detail"}, $B59))) &gt; 0,$B59 &amp; "(" &amp; $E59 &amp; ")",IF(SUMPRODUCT(-- ISNUMBER(SEARCH({"Formula","Roll-Up Summary"}, $B59))) &gt; 0,$B59 &amp; " (" &amp; $E59 &amp; ")",IF(SUMPRODUCT(-- ISNUMBER(SEARCH({"Content","Currency","Number","Percent","Text","URL"}, $B59))) &gt; 0,$B59 &amp; "(" &amp; $C59 &amp; ")",$B59)))), "  ", TRIM(IF($S59 = "YES", "(External ID)", "") &amp; " " &amp; IF(SUMPRODUCT(-- ISNUMBER(SEARCH({"Unique","Unique Case Insensitive"}, $R59))) &gt; 0, "(" &amp; $R59 &amp; ")", ""))))</f>
        <v>na</v>
      </c>
      <c r="E59" s="7" t="s">
        <v>195</v>
      </c>
      <c r="F59" s="7" t="s">
        <v>195</v>
      </c>
      <c r="G59" s="7" t="s">
        <v>195</v>
      </c>
      <c r="H59" s="7" t="s">
        <v>195</v>
      </c>
      <c r="I59" s="7" t="s">
        <v>195</v>
      </c>
      <c r="J59" s="7" t="s">
        <v>195</v>
      </c>
      <c r="K59" s="7" t="s">
        <v>195</v>
      </c>
      <c r="L59" s="7" t="s">
        <v>195</v>
      </c>
      <c r="M59" s="7" t="s">
        <v>29</v>
      </c>
      <c r="N59" s="7" t="s">
        <v>29</v>
      </c>
      <c r="O59" s="7" t="s">
        <v>29</v>
      </c>
      <c r="P59" s="7" t="s">
        <v>29</v>
      </c>
      <c r="Q59" s="7" t="s">
        <v>29</v>
      </c>
      <c r="R59" s="7" t="s">
        <v>29</v>
      </c>
      <c r="S59" s="7" t="s">
        <v>29</v>
      </c>
    </row>
    <row r="60" spans="2:19">
      <c r="B60" s="7" t="s">
        <v>195</v>
      </c>
      <c r="C60" s="8" t="s">
        <v>195</v>
      </c>
      <c r="D60" s="5" t="str">
        <f>LRTRIM(CONCATENATE(IF(SUMPRODUCT(-- ISNUMBER(SEARCH({"Auto Number"}, $B60))) &gt; 0, $B60, IF(SUMPRODUCT(-- ISNUMBER(SEARCH({"Lookup","Master-Detail"}, $B60))) &gt; 0,$B60 &amp; "(" &amp; $E60 &amp; ")",IF(SUMPRODUCT(-- ISNUMBER(SEARCH({"Formula","Roll-Up Summary"}, $B60))) &gt; 0,$B60 &amp; " (" &amp; $E60 &amp; ")",IF(SUMPRODUCT(-- ISNUMBER(SEARCH({"Content","Currency","Number","Percent","Text","URL"}, $B60))) &gt; 0,$B60 &amp; "(" &amp; $C60 &amp; ")",$B60)))), "  ", TRIM(IF($S60 = "YES", "(External ID)", "") &amp; " " &amp; IF(SUMPRODUCT(-- ISNUMBER(SEARCH({"Unique","Unique Case Insensitive"}, $R60))) &gt; 0, "(" &amp; $R60 &amp; ")", ""))))</f>
        <v>na</v>
      </c>
      <c r="E60" s="7" t="s">
        <v>195</v>
      </c>
      <c r="F60" s="7" t="s">
        <v>195</v>
      </c>
      <c r="G60" s="7" t="s">
        <v>195</v>
      </c>
      <c r="H60" s="7" t="s">
        <v>195</v>
      </c>
      <c r="I60" s="7" t="s">
        <v>195</v>
      </c>
      <c r="J60" s="7" t="s">
        <v>195</v>
      </c>
      <c r="K60" s="7" t="s">
        <v>195</v>
      </c>
      <c r="L60" s="7" t="s">
        <v>195</v>
      </c>
      <c r="M60" s="7" t="s">
        <v>29</v>
      </c>
      <c r="N60" s="7" t="s">
        <v>29</v>
      </c>
      <c r="O60" s="7" t="s">
        <v>29</v>
      </c>
      <c r="P60" s="7" t="s">
        <v>29</v>
      </c>
      <c r="Q60" s="7" t="s">
        <v>29</v>
      </c>
      <c r="R60" s="7" t="s">
        <v>29</v>
      </c>
      <c r="S60" s="7" t="s">
        <v>29</v>
      </c>
    </row>
    <row r="61" spans="2:19">
      <c r="B61" s="7" t="s">
        <v>195</v>
      </c>
      <c r="C61" s="8" t="s">
        <v>195</v>
      </c>
      <c r="D61" s="5" t="str">
        <f>LRTRIM(CONCATENATE(IF(SUMPRODUCT(-- ISNUMBER(SEARCH({"Auto Number"}, $B61))) &gt; 0, $B61, IF(SUMPRODUCT(-- ISNUMBER(SEARCH({"Lookup","Master-Detail"}, $B61))) &gt; 0,$B61 &amp; "(" &amp; $E61 &amp; ")",IF(SUMPRODUCT(-- ISNUMBER(SEARCH({"Formula","Roll-Up Summary"}, $B61))) &gt; 0,$B61 &amp; " (" &amp; $E61 &amp; ")",IF(SUMPRODUCT(-- ISNUMBER(SEARCH({"Content","Currency","Number","Percent","Text","URL"}, $B61))) &gt; 0,$B61 &amp; "(" &amp; $C61 &amp; ")",$B61)))), "  ", TRIM(IF($S61 = "YES", "(External ID)", "") &amp; " " &amp; IF(SUMPRODUCT(-- ISNUMBER(SEARCH({"Unique","Unique Case Insensitive"}, $R61))) &gt; 0, "(" &amp; $R61 &amp; ")", ""))))</f>
        <v>na</v>
      </c>
      <c r="E61" s="7" t="s">
        <v>195</v>
      </c>
      <c r="F61" s="7" t="s">
        <v>195</v>
      </c>
      <c r="G61" s="7" t="s">
        <v>195</v>
      </c>
      <c r="H61" s="7" t="s">
        <v>195</v>
      </c>
      <c r="I61" s="7" t="s">
        <v>195</v>
      </c>
      <c r="J61" s="7" t="s">
        <v>195</v>
      </c>
      <c r="K61" s="7" t="s">
        <v>195</v>
      </c>
      <c r="L61" s="7" t="s">
        <v>195</v>
      </c>
      <c r="M61" s="7" t="s">
        <v>29</v>
      </c>
      <c r="N61" s="7" t="s">
        <v>29</v>
      </c>
      <c r="O61" s="7" t="s">
        <v>29</v>
      </c>
      <c r="P61" s="7" t="s">
        <v>29</v>
      </c>
      <c r="Q61" s="7" t="s">
        <v>29</v>
      </c>
      <c r="R61" s="7" t="s">
        <v>29</v>
      </c>
      <c r="S61" s="7" t="s">
        <v>29</v>
      </c>
    </row>
    <row r="62" spans="2:19">
      <c r="B62" s="7" t="s">
        <v>195</v>
      </c>
      <c r="C62" s="8" t="s">
        <v>195</v>
      </c>
      <c r="D62" s="5" t="str">
        <f>LRTRIM(CONCATENATE(IF(SUMPRODUCT(-- ISNUMBER(SEARCH({"Auto Number"}, $B62))) &gt; 0, $B62, IF(SUMPRODUCT(-- ISNUMBER(SEARCH({"Lookup","Master-Detail"}, $B62))) &gt; 0,$B62 &amp; "(" &amp; $E62 &amp; ")",IF(SUMPRODUCT(-- ISNUMBER(SEARCH({"Formula","Roll-Up Summary"}, $B62))) &gt; 0,$B62 &amp; " (" &amp; $E62 &amp; ")",IF(SUMPRODUCT(-- ISNUMBER(SEARCH({"Content","Currency","Number","Percent","Text","URL"}, $B62))) &gt; 0,$B62 &amp; "(" &amp; $C62 &amp; ")",$B62)))), "  ", TRIM(IF($S62 = "YES", "(External ID)", "") &amp; " " &amp; IF(SUMPRODUCT(-- ISNUMBER(SEARCH({"Unique","Unique Case Insensitive"}, $R62))) &gt; 0, "(" &amp; $R62 &amp; ")", ""))))</f>
        <v>na</v>
      </c>
      <c r="E62" s="7" t="s">
        <v>195</v>
      </c>
      <c r="F62" s="7" t="s">
        <v>195</v>
      </c>
      <c r="G62" s="7" t="s">
        <v>195</v>
      </c>
      <c r="H62" s="7" t="s">
        <v>195</v>
      </c>
      <c r="I62" s="7" t="s">
        <v>195</v>
      </c>
      <c r="J62" s="7" t="s">
        <v>195</v>
      </c>
      <c r="K62" s="7" t="s">
        <v>195</v>
      </c>
      <c r="L62" s="7" t="s">
        <v>195</v>
      </c>
      <c r="M62" s="7" t="s">
        <v>29</v>
      </c>
      <c r="N62" s="7" t="s">
        <v>29</v>
      </c>
      <c r="O62" s="7" t="s">
        <v>29</v>
      </c>
      <c r="P62" s="7" t="s">
        <v>29</v>
      </c>
      <c r="Q62" s="7" t="s">
        <v>29</v>
      </c>
      <c r="R62" s="7" t="s">
        <v>29</v>
      </c>
      <c r="S62" s="7" t="s">
        <v>29</v>
      </c>
    </row>
    <row r="63" spans="2:19">
      <c r="B63" s="7" t="s">
        <v>195</v>
      </c>
      <c r="C63" s="8" t="s">
        <v>195</v>
      </c>
      <c r="D63" s="5" t="str">
        <f>LRTRIM(CONCATENATE(IF(SUMPRODUCT(-- ISNUMBER(SEARCH({"Auto Number"}, $B63))) &gt; 0, $B63, IF(SUMPRODUCT(-- ISNUMBER(SEARCH({"Lookup","Master-Detail"}, $B63))) &gt; 0,$B63 &amp; "(" &amp; $E63 &amp; ")",IF(SUMPRODUCT(-- ISNUMBER(SEARCH({"Formula","Roll-Up Summary"}, $B63))) &gt; 0,$B63 &amp; " (" &amp; $E63 &amp; ")",IF(SUMPRODUCT(-- ISNUMBER(SEARCH({"Content","Currency","Number","Percent","Text","URL"}, $B63))) &gt; 0,$B63 &amp; "(" &amp; $C63 &amp; ")",$B63)))), "  ", TRIM(IF($S63 = "YES", "(External ID)", "") &amp; " " &amp; IF(SUMPRODUCT(-- ISNUMBER(SEARCH({"Unique","Unique Case Insensitive"}, $R63))) &gt; 0, "(" &amp; $R63 &amp; ")", ""))))</f>
        <v>na</v>
      </c>
      <c r="E63" s="7" t="s">
        <v>195</v>
      </c>
      <c r="F63" s="7" t="s">
        <v>195</v>
      </c>
      <c r="G63" s="7" t="s">
        <v>195</v>
      </c>
      <c r="H63" s="7" t="s">
        <v>195</v>
      </c>
      <c r="I63" s="7" t="s">
        <v>195</v>
      </c>
      <c r="J63" s="7" t="s">
        <v>195</v>
      </c>
      <c r="K63" s="7" t="s">
        <v>195</v>
      </c>
      <c r="L63" s="7" t="s">
        <v>195</v>
      </c>
      <c r="M63" s="7" t="s">
        <v>29</v>
      </c>
      <c r="N63" s="7" t="s">
        <v>29</v>
      </c>
      <c r="O63" s="7" t="s">
        <v>29</v>
      </c>
      <c r="P63" s="7" t="s">
        <v>29</v>
      </c>
      <c r="Q63" s="7" t="s">
        <v>29</v>
      </c>
      <c r="R63" s="7" t="s">
        <v>29</v>
      </c>
      <c r="S63" s="7" t="s">
        <v>29</v>
      </c>
    </row>
    <row r="64" spans="2:19">
      <c r="B64" s="7" t="s">
        <v>195</v>
      </c>
      <c r="C64" s="8" t="s">
        <v>195</v>
      </c>
      <c r="D64" s="5" t="str">
        <f>LRTRIM(CONCATENATE(IF(SUMPRODUCT(-- ISNUMBER(SEARCH({"Auto Number"}, $B64))) &gt; 0, $B64, IF(SUMPRODUCT(-- ISNUMBER(SEARCH({"Lookup","Master-Detail"}, $B64))) &gt; 0,$B64 &amp; "(" &amp; $E64 &amp; ")",IF(SUMPRODUCT(-- ISNUMBER(SEARCH({"Formula","Roll-Up Summary"}, $B64))) &gt; 0,$B64 &amp; " (" &amp; $E64 &amp; ")",IF(SUMPRODUCT(-- ISNUMBER(SEARCH({"Content","Currency","Number","Percent","Text","URL"}, $B64))) &gt; 0,$B64 &amp; "(" &amp; $C64 &amp; ")",$B64)))), "  ", TRIM(IF($S64 = "YES", "(External ID)", "") &amp; " " &amp; IF(SUMPRODUCT(-- ISNUMBER(SEARCH({"Unique","Unique Case Insensitive"}, $R64))) &gt; 0, "(" &amp; $R64 &amp; ")", ""))))</f>
        <v>na</v>
      </c>
      <c r="E64" s="7" t="s">
        <v>195</v>
      </c>
      <c r="F64" s="7" t="s">
        <v>195</v>
      </c>
      <c r="G64" s="7" t="s">
        <v>195</v>
      </c>
      <c r="H64" s="7" t="s">
        <v>195</v>
      </c>
      <c r="I64" s="7" t="s">
        <v>195</v>
      </c>
      <c r="J64" s="7" t="s">
        <v>195</v>
      </c>
      <c r="K64" s="7" t="s">
        <v>195</v>
      </c>
      <c r="L64" s="7" t="s">
        <v>195</v>
      </c>
      <c r="M64" s="7" t="s">
        <v>29</v>
      </c>
      <c r="N64" s="7" t="s">
        <v>29</v>
      </c>
      <c r="O64" s="7" t="s">
        <v>29</v>
      </c>
      <c r="P64" s="7" t="s">
        <v>29</v>
      </c>
      <c r="Q64" s="7" t="s">
        <v>29</v>
      </c>
      <c r="R64" s="7" t="s">
        <v>29</v>
      </c>
      <c r="S64" s="7" t="s">
        <v>29</v>
      </c>
    </row>
    <row r="65" spans="2:19">
      <c r="B65" s="7" t="s">
        <v>195</v>
      </c>
      <c r="C65" s="8" t="s">
        <v>195</v>
      </c>
      <c r="D65" s="5" t="str">
        <f>LRTRIM(CONCATENATE(IF(SUMPRODUCT(-- ISNUMBER(SEARCH({"Auto Number"}, $B65))) &gt; 0, $B65, IF(SUMPRODUCT(-- ISNUMBER(SEARCH({"Lookup","Master-Detail"}, $B65))) &gt; 0,$B65 &amp; "(" &amp; $E65 &amp; ")",IF(SUMPRODUCT(-- ISNUMBER(SEARCH({"Formula","Roll-Up Summary"}, $B65))) &gt; 0,$B65 &amp; " (" &amp; $E65 &amp; ")",IF(SUMPRODUCT(-- ISNUMBER(SEARCH({"Content","Currency","Number","Percent","Text","URL"}, $B65))) &gt; 0,$B65 &amp; "(" &amp; $C65 &amp; ")",$B65)))), "  ", TRIM(IF($S65 = "YES", "(External ID)", "") &amp; " " &amp; IF(SUMPRODUCT(-- ISNUMBER(SEARCH({"Unique","Unique Case Insensitive"}, $R65))) &gt; 0, "(" &amp; $R65 &amp; ")", ""))))</f>
        <v>na</v>
      </c>
      <c r="E65" s="7" t="s">
        <v>195</v>
      </c>
      <c r="F65" s="7" t="s">
        <v>195</v>
      </c>
      <c r="G65" s="7" t="s">
        <v>195</v>
      </c>
      <c r="H65" s="7" t="s">
        <v>195</v>
      </c>
      <c r="I65" s="7" t="s">
        <v>195</v>
      </c>
      <c r="J65" s="7" t="s">
        <v>195</v>
      </c>
      <c r="K65" s="7" t="s">
        <v>195</v>
      </c>
      <c r="L65" s="7" t="s">
        <v>195</v>
      </c>
      <c r="M65" s="7" t="s">
        <v>29</v>
      </c>
      <c r="N65" s="7" t="s">
        <v>29</v>
      </c>
      <c r="O65" s="7" t="s">
        <v>29</v>
      </c>
      <c r="P65" s="7" t="s">
        <v>29</v>
      </c>
      <c r="Q65" s="7" t="s">
        <v>29</v>
      </c>
      <c r="R65" s="7" t="s">
        <v>29</v>
      </c>
      <c r="S65" s="7" t="s">
        <v>29</v>
      </c>
    </row>
    <row r="66" spans="2:19">
      <c r="B66" s="7" t="s">
        <v>195</v>
      </c>
      <c r="C66" s="8" t="s">
        <v>195</v>
      </c>
      <c r="D66" s="5" t="str">
        <f>LRTRIM(CONCATENATE(IF(SUMPRODUCT(-- ISNUMBER(SEARCH({"Auto Number"}, $B66))) &gt; 0, $B66, IF(SUMPRODUCT(-- ISNUMBER(SEARCH({"Lookup","Master-Detail"}, $B66))) &gt; 0,$B66 &amp; "(" &amp; $E66 &amp; ")",IF(SUMPRODUCT(-- ISNUMBER(SEARCH({"Formula","Roll-Up Summary"}, $B66))) &gt; 0,$B66 &amp; " (" &amp; $E66 &amp; ")",IF(SUMPRODUCT(-- ISNUMBER(SEARCH({"Content","Currency","Number","Percent","Text","URL"}, $B66))) &gt; 0,$B66 &amp; "(" &amp; $C66 &amp; ")",$B66)))), "  ", TRIM(IF($S66 = "YES", "(External ID)", "") &amp; " " &amp; IF(SUMPRODUCT(-- ISNUMBER(SEARCH({"Unique","Unique Case Insensitive"}, $R66))) &gt; 0, "(" &amp; $R66 &amp; ")", ""))))</f>
        <v>na</v>
      </c>
      <c r="E66" s="7" t="s">
        <v>195</v>
      </c>
      <c r="F66" s="7" t="s">
        <v>195</v>
      </c>
      <c r="G66" s="7" t="s">
        <v>195</v>
      </c>
      <c r="H66" s="7" t="s">
        <v>195</v>
      </c>
      <c r="I66" s="7" t="s">
        <v>195</v>
      </c>
      <c r="J66" s="7" t="s">
        <v>195</v>
      </c>
      <c r="K66" s="7" t="s">
        <v>195</v>
      </c>
      <c r="L66" s="7" t="s">
        <v>195</v>
      </c>
      <c r="M66" s="7" t="s">
        <v>29</v>
      </c>
      <c r="N66" s="7" t="s">
        <v>29</v>
      </c>
      <c r="O66" s="7" t="s">
        <v>29</v>
      </c>
      <c r="P66" s="7" t="s">
        <v>29</v>
      </c>
      <c r="Q66" s="7" t="s">
        <v>29</v>
      </c>
      <c r="R66" s="7" t="s">
        <v>29</v>
      </c>
      <c r="S66" s="7" t="s">
        <v>29</v>
      </c>
    </row>
    <row r="67" spans="2:19">
      <c r="B67" s="7" t="s">
        <v>195</v>
      </c>
      <c r="C67" s="8" t="s">
        <v>195</v>
      </c>
      <c r="D67" s="5" t="str">
        <f>LRTRIM(CONCATENATE(IF(SUMPRODUCT(-- ISNUMBER(SEARCH({"Auto Number"}, $B67))) &gt; 0, $B67, IF(SUMPRODUCT(-- ISNUMBER(SEARCH({"Lookup","Master-Detail"}, $B67))) &gt; 0,$B67 &amp; "(" &amp; $E67 &amp; ")",IF(SUMPRODUCT(-- ISNUMBER(SEARCH({"Formula","Roll-Up Summary"}, $B67))) &gt; 0,$B67 &amp; " (" &amp; $E67 &amp; ")",IF(SUMPRODUCT(-- ISNUMBER(SEARCH({"Content","Currency","Number","Percent","Text","URL"}, $B67))) &gt; 0,$B67 &amp; "(" &amp; $C67 &amp; ")",$B67)))), "  ", TRIM(IF($S67 = "YES", "(External ID)", "") &amp; " " &amp; IF(SUMPRODUCT(-- ISNUMBER(SEARCH({"Unique","Unique Case Insensitive"}, $R67))) &gt; 0, "(" &amp; $R67 &amp; ")", ""))))</f>
        <v>na</v>
      </c>
      <c r="E67" s="7" t="s">
        <v>195</v>
      </c>
      <c r="F67" s="7" t="s">
        <v>195</v>
      </c>
      <c r="G67" s="7" t="s">
        <v>195</v>
      </c>
      <c r="H67" s="7" t="s">
        <v>195</v>
      </c>
      <c r="I67" s="7" t="s">
        <v>195</v>
      </c>
      <c r="J67" s="7" t="s">
        <v>195</v>
      </c>
      <c r="K67" s="7" t="s">
        <v>195</v>
      </c>
      <c r="L67" s="7" t="s">
        <v>195</v>
      </c>
      <c r="M67" s="7" t="s">
        <v>29</v>
      </c>
      <c r="N67" s="7" t="s">
        <v>29</v>
      </c>
      <c r="O67" s="7" t="s">
        <v>29</v>
      </c>
      <c r="P67" s="7" t="s">
        <v>29</v>
      </c>
      <c r="Q67" s="7" t="s">
        <v>29</v>
      </c>
      <c r="R67" s="7" t="s">
        <v>29</v>
      </c>
      <c r="S67" s="7" t="s">
        <v>29</v>
      </c>
    </row>
    <row r="68" spans="2:19">
      <c r="B68" s="7" t="s">
        <v>195</v>
      </c>
      <c r="C68" s="8" t="s">
        <v>195</v>
      </c>
      <c r="D68" s="5" t="str">
        <f>LRTRIM(CONCATENATE(IF(SUMPRODUCT(-- ISNUMBER(SEARCH({"Auto Number"}, $B68))) &gt; 0, $B68, IF(SUMPRODUCT(-- ISNUMBER(SEARCH({"Lookup","Master-Detail"}, $B68))) &gt; 0,$B68 &amp; "(" &amp; $E68 &amp; ")",IF(SUMPRODUCT(-- ISNUMBER(SEARCH({"Formula","Roll-Up Summary"}, $B68))) &gt; 0,$B68 &amp; " (" &amp; $E68 &amp; ")",IF(SUMPRODUCT(-- ISNUMBER(SEARCH({"Content","Currency","Number","Percent","Text","URL"}, $B68))) &gt; 0,$B68 &amp; "(" &amp; $C68 &amp; ")",$B68)))), "  ", TRIM(IF($S68 = "YES", "(External ID)", "") &amp; " " &amp; IF(SUMPRODUCT(-- ISNUMBER(SEARCH({"Unique","Unique Case Insensitive"}, $R68))) &gt; 0, "(" &amp; $R68 &amp; ")", ""))))</f>
        <v>na</v>
      </c>
      <c r="E68" s="7" t="s">
        <v>195</v>
      </c>
      <c r="F68" s="7" t="s">
        <v>195</v>
      </c>
      <c r="G68" s="7" t="s">
        <v>195</v>
      </c>
      <c r="H68" s="7" t="s">
        <v>195</v>
      </c>
      <c r="I68" s="7" t="s">
        <v>195</v>
      </c>
      <c r="J68" s="7" t="s">
        <v>195</v>
      </c>
      <c r="K68" s="7" t="s">
        <v>195</v>
      </c>
      <c r="L68" s="7" t="s">
        <v>195</v>
      </c>
      <c r="M68" s="7" t="s">
        <v>29</v>
      </c>
      <c r="N68" s="7" t="s">
        <v>29</v>
      </c>
      <c r="O68" s="7" t="s">
        <v>29</v>
      </c>
      <c r="P68" s="7" t="s">
        <v>29</v>
      </c>
      <c r="Q68" s="7" t="s">
        <v>29</v>
      </c>
      <c r="R68" s="7" t="s">
        <v>29</v>
      </c>
      <c r="S68" s="7" t="s">
        <v>29</v>
      </c>
    </row>
    <row r="69" spans="2:19">
      <c r="B69" s="7" t="s">
        <v>195</v>
      </c>
      <c r="C69" s="8" t="s">
        <v>195</v>
      </c>
      <c r="D69" s="5" t="str">
        <f>LRTRIM(CONCATENATE(IF(SUMPRODUCT(-- ISNUMBER(SEARCH({"Auto Number"}, $B69))) &gt; 0, $B69, IF(SUMPRODUCT(-- ISNUMBER(SEARCH({"Lookup","Master-Detail"}, $B69))) &gt; 0,$B69 &amp; "(" &amp; $E69 &amp; ")",IF(SUMPRODUCT(-- ISNUMBER(SEARCH({"Formula","Roll-Up Summary"}, $B69))) &gt; 0,$B69 &amp; " (" &amp; $E69 &amp; ")",IF(SUMPRODUCT(-- ISNUMBER(SEARCH({"Content","Currency","Number","Percent","Text","URL"}, $B69))) &gt; 0,$B69 &amp; "(" &amp; $C69 &amp; ")",$B69)))), "  ", TRIM(IF($S69 = "YES", "(External ID)", "") &amp; " " &amp; IF(SUMPRODUCT(-- ISNUMBER(SEARCH({"Unique","Unique Case Insensitive"}, $R69))) &gt; 0, "(" &amp; $R69 &amp; ")", ""))))</f>
        <v>na</v>
      </c>
      <c r="E69" s="7" t="s">
        <v>195</v>
      </c>
      <c r="F69" s="7" t="s">
        <v>195</v>
      </c>
      <c r="G69" s="7" t="s">
        <v>195</v>
      </c>
      <c r="H69" s="7" t="s">
        <v>195</v>
      </c>
      <c r="I69" s="7" t="s">
        <v>195</v>
      </c>
      <c r="J69" s="7" t="s">
        <v>195</v>
      </c>
      <c r="K69" s="7" t="s">
        <v>195</v>
      </c>
      <c r="L69" s="7" t="s">
        <v>195</v>
      </c>
      <c r="M69" s="7" t="s">
        <v>29</v>
      </c>
      <c r="N69" s="7" t="s">
        <v>29</v>
      </c>
      <c r="O69" s="7" t="s">
        <v>29</v>
      </c>
      <c r="P69" s="7" t="s">
        <v>29</v>
      </c>
      <c r="Q69" s="7" t="s">
        <v>29</v>
      </c>
      <c r="R69" s="7" t="s">
        <v>29</v>
      </c>
      <c r="S69" s="7" t="s">
        <v>29</v>
      </c>
    </row>
    <row r="70" spans="2:19">
      <c r="B70" s="7" t="s">
        <v>195</v>
      </c>
      <c r="C70" s="8" t="s">
        <v>195</v>
      </c>
      <c r="D70" s="5" t="str">
        <f>LRTRIM(CONCATENATE(IF(SUMPRODUCT(-- ISNUMBER(SEARCH({"Auto Number"}, $B70))) &gt; 0, $B70, IF(SUMPRODUCT(-- ISNUMBER(SEARCH({"Lookup","Master-Detail"}, $B70))) &gt; 0,$B70 &amp; "(" &amp; $E70 &amp; ")",IF(SUMPRODUCT(-- ISNUMBER(SEARCH({"Formula","Roll-Up Summary"}, $B70))) &gt; 0,$B70 &amp; " (" &amp; $E70 &amp; ")",IF(SUMPRODUCT(-- ISNUMBER(SEARCH({"Content","Currency","Number","Percent","Text","URL"}, $B70))) &gt; 0,$B70 &amp; "(" &amp; $C70 &amp; ")",$B70)))), "  ", TRIM(IF($S70 = "YES", "(External ID)", "") &amp; " " &amp; IF(SUMPRODUCT(-- ISNUMBER(SEARCH({"Unique","Unique Case Insensitive"}, $R70))) &gt; 0, "(" &amp; $R70 &amp; ")", ""))))</f>
        <v>na</v>
      </c>
      <c r="E70" s="7" t="s">
        <v>195</v>
      </c>
      <c r="F70" s="7" t="s">
        <v>195</v>
      </c>
      <c r="G70" s="7" t="s">
        <v>195</v>
      </c>
      <c r="H70" s="7" t="s">
        <v>195</v>
      </c>
      <c r="I70" s="7" t="s">
        <v>195</v>
      </c>
      <c r="J70" s="7" t="s">
        <v>195</v>
      </c>
      <c r="K70" s="7" t="s">
        <v>195</v>
      </c>
      <c r="L70" s="7" t="s">
        <v>195</v>
      </c>
      <c r="M70" s="7" t="s">
        <v>29</v>
      </c>
      <c r="N70" s="7" t="s">
        <v>29</v>
      </c>
      <c r="O70" s="7" t="s">
        <v>29</v>
      </c>
      <c r="P70" s="7" t="s">
        <v>29</v>
      </c>
      <c r="Q70" s="7" t="s">
        <v>29</v>
      </c>
      <c r="R70" s="7" t="s">
        <v>29</v>
      </c>
      <c r="S70" s="7" t="s">
        <v>29</v>
      </c>
    </row>
    <row r="71" spans="2:19">
      <c r="B71" s="7" t="s">
        <v>195</v>
      </c>
      <c r="C71" s="8" t="s">
        <v>195</v>
      </c>
      <c r="D71" s="5" t="str">
        <f>LRTRIM(CONCATENATE(IF(SUMPRODUCT(-- ISNUMBER(SEARCH({"Auto Number"}, $B71))) &gt; 0, $B71, IF(SUMPRODUCT(-- ISNUMBER(SEARCH({"Lookup","Master-Detail"}, $B71))) &gt; 0,$B71 &amp; "(" &amp; $E71 &amp; ")",IF(SUMPRODUCT(-- ISNUMBER(SEARCH({"Formula","Roll-Up Summary"}, $B71))) &gt; 0,$B71 &amp; " (" &amp; $E71 &amp; ")",IF(SUMPRODUCT(-- ISNUMBER(SEARCH({"Content","Currency","Number","Percent","Text","URL"}, $B71))) &gt; 0,$B71 &amp; "(" &amp; $C71 &amp; ")",$B71)))), "  ", TRIM(IF($S71 = "YES", "(External ID)", "") &amp; " " &amp; IF(SUMPRODUCT(-- ISNUMBER(SEARCH({"Unique","Unique Case Insensitive"}, $R71))) &gt; 0, "(" &amp; $R71 &amp; ")", ""))))</f>
        <v>na</v>
      </c>
      <c r="E71" s="7" t="s">
        <v>195</v>
      </c>
      <c r="F71" s="7" t="s">
        <v>195</v>
      </c>
      <c r="G71" s="7" t="s">
        <v>195</v>
      </c>
      <c r="H71" s="7" t="s">
        <v>195</v>
      </c>
      <c r="I71" s="7" t="s">
        <v>195</v>
      </c>
      <c r="J71" s="7" t="s">
        <v>195</v>
      </c>
      <c r="K71" s="7" t="s">
        <v>195</v>
      </c>
      <c r="L71" s="7" t="s">
        <v>195</v>
      </c>
      <c r="M71" s="7" t="s">
        <v>29</v>
      </c>
      <c r="N71" s="7" t="s">
        <v>29</v>
      </c>
      <c r="O71" s="7" t="s">
        <v>29</v>
      </c>
      <c r="P71" s="7" t="s">
        <v>29</v>
      </c>
      <c r="Q71" s="7" t="s">
        <v>29</v>
      </c>
      <c r="R71" s="7" t="s">
        <v>29</v>
      </c>
      <c r="S71" s="7" t="s">
        <v>29</v>
      </c>
    </row>
    <row r="72" spans="2:19">
      <c r="B72" s="7" t="s">
        <v>195</v>
      </c>
      <c r="C72" s="8" t="s">
        <v>195</v>
      </c>
      <c r="D72" s="5" t="str">
        <f>LRTRIM(CONCATENATE(IF(SUMPRODUCT(-- ISNUMBER(SEARCH({"Auto Number"}, $B72))) &gt; 0, $B72, IF(SUMPRODUCT(-- ISNUMBER(SEARCH({"Lookup","Master-Detail"}, $B72))) &gt; 0,$B72 &amp; "(" &amp; $E72 &amp; ")",IF(SUMPRODUCT(-- ISNUMBER(SEARCH({"Formula","Roll-Up Summary"}, $B72))) &gt; 0,$B72 &amp; " (" &amp; $E72 &amp; ")",IF(SUMPRODUCT(-- ISNUMBER(SEARCH({"Content","Currency","Number","Percent","Text","URL"}, $B72))) &gt; 0,$B72 &amp; "(" &amp; $C72 &amp; ")",$B72)))), "  ", TRIM(IF($S72 = "YES", "(External ID)", "") &amp; " " &amp; IF(SUMPRODUCT(-- ISNUMBER(SEARCH({"Unique","Unique Case Insensitive"}, $R72))) &gt; 0, "(" &amp; $R72 &amp; ")", ""))))</f>
        <v>na</v>
      </c>
      <c r="E72" s="7" t="s">
        <v>195</v>
      </c>
      <c r="F72" s="7" t="s">
        <v>195</v>
      </c>
      <c r="G72" s="7" t="s">
        <v>195</v>
      </c>
      <c r="H72" s="7" t="s">
        <v>195</v>
      </c>
      <c r="I72" s="7" t="s">
        <v>195</v>
      </c>
      <c r="J72" s="7" t="s">
        <v>195</v>
      </c>
      <c r="K72" s="7" t="s">
        <v>195</v>
      </c>
      <c r="L72" s="7" t="s">
        <v>195</v>
      </c>
      <c r="M72" s="7" t="s">
        <v>29</v>
      </c>
      <c r="N72" s="7" t="s">
        <v>29</v>
      </c>
      <c r="O72" s="7" t="s">
        <v>29</v>
      </c>
      <c r="P72" s="7" t="s">
        <v>29</v>
      </c>
      <c r="Q72" s="7" t="s">
        <v>29</v>
      </c>
      <c r="R72" s="7" t="s">
        <v>29</v>
      </c>
      <c r="S72" s="7" t="s">
        <v>29</v>
      </c>
    </row>
    <row r="73" spans="2:19">
      <c r="B73" s="7" t="s">
        <v>195</v>
      </c>
      <c r="C73" s="8" t="s">
        <v>195</v>
      </c>
      <c r="D73" s="5" t="str">
        <f>LRTRIM(CONCATENATE(IF(SUMPRODUCT(-- ISNUMBER(SEARCH({"Auto Number"}, $B73))) &gt; 0, $B73, IF(SUMPRODUCT(-- ISNUMBER(SEARCH({"Lookup","Master-Detail"}, $B73))) &gt; 0,$B73 &amp; "(" &amp; $E73 &amp; ")",IF(SUMPRODUCT(-- ISNUMBER(SEARCH({"Formula","Roll-Up Summary"}, $B73))) &gt; 0,$B73 &amp; " (" &amp; $E73 &amp; ")",IF(SUMPRODUCT(-- ISNUMBER(SEARCH({"Content","Currency","Number","Percent","Text","URL"}, $B73))) &gt; 0,$B73 &amp; "(" &amp; $C73 &amp; ")",$B73)))), "  ", TRIM(IF($S73 = "YES", "(External ID)", "") &amp; " " &amp; IF(SUMPRODUCT(-- ISNUMBER(SEARCH({"Unique","Unique Case Insensitive"}, $R73))) &gt; 0, "(" &amp; $R73 &amp; ")", ""))))</f>
        <v>na</v>
      </c>
      <c r="E73" s="7" t="s">
        <v>195</v>
      </c>
      <c r="F73" s="7" t="s">
        <v>195</v>
      </c>
      <c r="G73" s="7" t="s">
        <v>195</v>
      </c>
      <c r="H73" s="7" t="s">
        <v>195</v>
      </c>
      <c r="I73" s="7" t="s">
        <v>195</v>
      </c>
      <c r="J73" s="7" t="s">
        <v>195</v>
      </c>
      <c r="K73" s="7" t="s">
        <v>195</v>
      </c>
      <c r="L73" s="7" t="s">
        <v>195</v>
      </c>
      <c r="M73" s="7" t="s">
        <v>29</v>
      </c>
      <c r="N73" s="7" t="s">
        <v>29</v>
      </c>
      <c r="O73" s="7" t="s">
        <v>29</v>
      </c>
      <c r="P73" s="7" t="s">
        <v>29</v>
      </c>
      <c r="Q73" s="7" t="s">
        <v>29</v>
      </c>
      <c r="R73" s="7" t="s">
        <v>29</v>
      </c>
      <c r="S73" s="7" t="s">
        <v>29</v>
      </c>
    </row>
    <row r="74" spans="2:19">
      <c r="B74" s="7" t="s">
        <v>195</v>
      </c>
      <c r="C74" s="8" t="s">
        <v>195</v>
      </c>
      <c r="D74" s="5" t="str">
        <f>LRTRIM(CONCATENATE(IF(SUMPRODUCT(-- ISNUMBER(SEARCH({"Auto Number"}, $B74))) &gt; 0, $B74, IF(SUMPRODUCT(-- ISNUMBER(SEARCH({"Lookup","Master-Detail"}, $B74))) &gt; 0,$B74 &amp; "(" &amp; $E74 &amp; ")",IF(SUMPRODUCT(-- ISNUMBER(SEARCH({"Formula","Roll-Up Summary"}, $B74))) &gt; 0,$B74 &amp; " (" &amp; $E74 &amp; ")",IF(SUMPRODUCT(-- ISNUMBER(SEARCH({"Content","Currency","Number","Percent","Text","URL"}, $B74))) &gt; 0,$B74 &amp; "(" &amp; $C74 &amp; ")",$B74)))), "  ", TRIM(IF($S74 = "YES", "(External ID)", "") &amp; " " &amp; IF(SUMPRODUCT(-- ISNUMBER(SEARCH({"Unique","Unique Case Insensitive"}, $R74))) &gt; 0, "(" &amp; $R74 &amp; ")", ""))))</f>
        <v>na</v>
      </c>
      <c r="E74" s="7" t="s">
        <v>195</v>
      </c>
      <c r="F74" s="7" t="s">
        <v>195</v>
      </c>
      <c r="G74" s="7" t="s">
        <v>195</v>
      </c>
      <c r="H74" s="7" t="s">
        <v>195</v>
      </c>
      <c r="I74" s="7" t="s">
        <v>195</v>
      </c>
      <c r="J74" s="7" t="s">
        <v>195</v>
      </c>
      <c r="K74" s="7" t="s">
        <v>195</v>
      </c>
      <c r="L74" s="7" t="s">
        <v>195</v>
      </c>
      <c r="M74" s="7" t="s">
        <v>29</v>
      </c>
      <c r="N74" s="7" t="s">
        <v>29</v>
      </c>
      <c r="O74" s="7" t="s">
        <v>29</v>
      </c>
      <c r="P74" s="7" t="s">
        <v>29</v>
      </c>
      <c r="Q74" s="7" t="s">
        <v>29</v>
      </c>
      <c r="R74" s="7" t="s">
        <v>29</v>
      </c>
      <c r="S74" s="7" t="s">
        <v>29</v>
      </c>
    </row>
    <row r="75" spans="2:19">
      <c r="B75" s="7" t="s">
        <v>195</v>
      </c>
      <c r="C75" s="8" t="s">
        <v>195</v>
      </c>
      <c r="D75" s="5" t="str">
        <f>LRTRIM(CONCATENATE(IF(SUMPRODUCT(-- ISNUMBER(SEARCH({"Auto Number"}, $B75))) &gt; 0, $B75, IF(SUMPRODUCT(-- ISNUMBER(SEARCH({"Lookup","Master-Detail"}, $B75))) &gt; 0,$B75 &amp; "(" &amp; $E75 &amp; ")",IF(SUMPRODUCT(-- ISNUMBER(SEARCH({"Formula","Roll-Up Summary"}, $B75))) &gt; 0,$B75 &amp; " (" &amp; $E75 &amp; ")",IF(SUMPRODUCT(-- ISNUMBER(SEARCH({"Content","Currency","Number","Percent","Text","URL"}, $B75))) &gt; 0,$B75 &amp; "(" &amp; $C75 &amp; ")",$B75)))), "  ", TRIM(IF($S75 = "YES", "(External ID)", "") &amp; " " &amp; IF(SUMPRODUCT(-- ISNUMBER(SEARCH({"Unique","Unique Case Insensitive"}, $R75))) &gt; 0, "(" &amp; $R75 &amp; ")", ""))))</f>
        <v>na</v>
      </c>
      <c r="E75" s="7" t="s">
        <v>195</v>
      </c>
      <c r="F75" s="7" t="s">
        <v>195</v>
      </c>
      <c r="G75" s="7" t="s">
        <v>195</v>
      </c>
      <c r="H75" s="7" t="s">
        <v>195</v>
      </c>
      <c r="I75" s="7" t="s">
        <v>195</v>
      </c>
      <c r="J75" s="7" t="s">
        <v>195</v>
      </c>
      <c r="K75" s="7" t="s">
        <v>195</v>
      </c>
      <c r="L75" s="7" t="s">
        <v>195</v>
      </c>
      <c r="M75" s="7" t="s">
        <v>29</v>
      </c>
      <c r="N75" s="7" t="s">
        <v>29</v>
      </c>
      <c r="O75" s="7" t="s">
        <v>29</v>
      </c>
      <c r="P75" s="7" t="s">
        <v>29</v>
      </c>
      <c r="Q75" s="7" t="s">
        <v>29</v>
      </c>
      <c r="R75" s="7" t="s">
        <v>29</v>
      </c>
      <c r="S75" s="7" t="s">
        <v>29</v>
      </c>
    </row>
    <row r="76" spans="2:19">
      <c r="B76" s="7" t="s">
        <v>195</v>
      </c>
      <c r="C76" s="8" t="s">
        <v>195</v>
      </c>
      <c r="D76" s="5" t="str">
        <f>LRTRIM(CONCATENATE(IF(SUMPRODUCT(-- ISNUMBER(SEARCH({"Auto Number"}, $B76))) &gt; 0, $B76, IF(SUMPRODUCT(-- ISNUMBER(SEARCH({"Lookup","Master-Detail"}, $B76))) &gt; 0,$B76 &amp; "(" &amp; $E76 &amp; ")",IF(SUMPRODUCT(-- ISNUMBER(SEARCH({"Formula","Roll-Up Summary"}, $B76))) &gt; 0,$B76 &amp; " (" &amp; $E76 &amp; ")",IF(SUMPRODUCT(-- ISNUMBER(SEARCH({"Content","Currency","Number","Percent","Text","URL"}, $B76))) &gt; 0,$B76 &amp; "(" &amp; $C76 &amp; ")",$B76)))), "  ", TRIM(IF($S76 = "YES", "(External ID)", "") &amp; " " &amp; IF(SUMPRODUCT(-- ISNUMBER(SEARCH({"Unique","Unique Case Insensitive"}, $R76))) &gt; 0, "(" &amp; $R76 &amp; ")", ""))))</f>
        <v>na</v>
      </c>
      <c r="E76" s="7" t="s">
        <v>195</v>
      </c>
      <c r="F76" s="7" t="s">
        <v>195</v>
      </c>
      <c r="G76" s="7" t="s">
        <v>195</v>
      </c>
      <c r="H76" s="7" t="s">
        <v>195</v>
      </c>
      <c r="I76" s="7" t="s">
        <v>195</v>
      </c>
      <c r="J76" s="7" t="s">
        <v>195</v>
      </c>
      <c r="K76" s="7" t="s">
        <v>195</v>
      </c>
      <c r="L76" s="7" t="s">
        <v>195</v>
      </c>
      <c r="M76" s="7" t="s">
        <v>29</v>
      </c>
      <c r="N76" s="7" t="s">
        <v>29</v>
      </c>
      <c r="O76" s="7" t="s">
        <v>29</v>
      </c>
      <c r="P76" s="7" t="s">
        <v>29</v>
      </c>
      <c r="Q76" s="7" t="s">
        <v>29</v>
      </c>
      <c r="R76" s="7" t="s">
        <v>29</v>
      </c>
      <c r="S76" s="7" t="s">
        <v>29</v>
      </c>
    </row>
    <row r="77" spans="2:19">
      <c r="B77" s="7" t="s">
        <v>195</v>
      </c>
      <c r="C77" s="8" t="s">
        <v>195</v>
      </c>
      <c r="D77" s="5" t="str">
        <f>LRTRIM(CONCATENATE(IF(SUMPRODUCT(-- ISNUMBER(SEARCH({"Auto Number"}, $B77))) &gt; 0, $B77, IF(SUMPRODUCT(-- ISNUMBER(SEARCH({"Lookup","Master-Detail"}, $B77))) &gt; 0,$B77 &amp; "(" &amp; $E77 &amp; ")",IF(SUMPRODUCT(-- ISNUMBER(SEARCH({"Formula","Roll-Up Summary"}, $B77))) &gt; 0,$B77 &amp; " (" &amp; $E77 &amp; ")",IF(SUMPRODUCT(-- ISNUMBER(SEARCH({"Content","Currency","Number","Percent","Text","URL"}, $B77))) &gt; 0,$B77 &amp; "(" &amp; $C77 &amp; ")",$B77)))), "  ", TRIM(IF($S77 = "YES", "(External ID)", "") &amp; " " &amp; IF(SUMPRODUCT(-- ISNUMBER(SEARCH({"Unique","Unique Case Insensitive"}, $R77))) &gt; 0, "(" &amp; $R77 &amp; ")", ""))))</f>
        <v>na</v>
      </c>
      <c r="E77" s="7" t="s">
        <v>195</v>
      </c>
      <c r="F77" s="7" t="s">
        <v>195</v>
      </c>
      <c r="G77" s="7" t="s">
        <v>195</v>
      </c>
      <c r="H77" s="7" t="s">
        <v>195</v>
      </c>
      <c r="I77" s="7" t="s">
        <v>195</v>
      </c>
      <c r="J77" s="7" t="s">
        <v>195</v>
      </c>
      <c r="K77" s="7" t="s">
        <v>195</v>
      </c>
      <c r="L77" s="7" t="s">
        <v>195</v>
      </c>
      <c r="M77" s="7" t="s">
        <v>29</v>
      </c>
      <c r="N77" s="7" t="s">
        <v>29</v>
      </c>
      <c r="O77" s="7" t="s">
        <v>29</v>
      </c>
      <c r="P77" s="7" t="s">
        <v>29</v>
      </c>
      <c r="Q77" s="7" t="s">
        <v>29</v>
      </c>
      <c r="R77" s="7" t="s">
        <v>29</v>
      </c>
      <c r="S77" s="7" t="s">
        <v>29</v>
      </c>
    </row>
    <row r="78" spans="2:19">
      <c r="B78" s="7" t="s">
        <v>195</v>
      </c>
      <c r="C78" s="8" t="s">
        <v>195</v>
      </c>
      <c r="D78" s="5" t="str">
        <f>LRTRIM(CONCATENATE(IF(SUMPRODUCT(-- ISNUMBER(SEARCH({"Auto Number"}, $B78))) &gt; 0, $B78, IF(SUMPRODUCT(-- ISNUMBER(SEARCH({"Lookup","Master-Detail"}, $B78))) &gt; 0,$B78 &amp; "(" &amp; $E78 &amp; ")",IF(SUMPRODUCT(-- ISNUMBER(SEARCH({"Formula","Roll-Up Summary"}, $B78))) &gt; 0,$B78 &amp; " (" &amp; $E78 &amp; ")",IF(SUMPRODUCT(-- ISNUMBER(SEARCH({"Content","Currency","Number","Percent","Text","URL"}, $B78))) &gt; 0,$B78 &amp; "(" &amp; $C78 &amp; ")",$B78)))), "  ", TRIM(IF($S78 = "YES", "(External ID)", "") &amp; " " &amp; IF(SUMPRODUCT(-- ISNUMBER(SEARCH({"Unique","Unique Case Insensitive"}, $R78))) &gt; 0, "(" &amp; $R78 &amp; ")", ""))))</f>
        <v>na</v>
      </c>
      <c r="E78" s="7" t="s">
        <v>195</v>
      </c>
      <c r="F78" s="7" t="s">
        <v>195</v>
      </c>
      <c r="G78" s="7" t="s">
        <v>195</v>
      </c>
      <c r="H78" s="7" t="s">
        <v>195</v>
      </c>
      <c r="I78" s="7" t="s">
        <v>195</v>
      </c>
      <c r="J78" s="7" t="s">
        <v>195</v>
      </c>
      <c r="K78" s="7" t="s">
        <v>195</v>
      </c>
      <c r="L78" s="7" t="s">
        <v>195</v>
      </c>
      <c r="M78" s="7" t="s">
        <v>29</v>
      </c>
      <c r="N78" s="7" t="s">
        <v>29</v>
      </c>
      <c r="O78" s="7" t="s">
        <v>29</v>
      </c>
      <c r="P78" s="7" t="s">
        <v>29</v>
      </c>
      <c r="Q78" s="7" t="s">
        <v>29</v>
      </c>
      <c r="R78" s="7" t="s">
        <v>29</v>
      </c>
      <c r="S78" s="7" t="s">
        <v>29</v>
      </c>
    </row>
    <row r="79" spans="2:19">
      <c r="B79" s="7" t="s">
        <v>195</v>
      </c>
      <c r="C79" s="8" t="s">
        <v>195</v>
      </c>
      <c r="D79" s="5" t="str">
        <f>LRTRIM(CONCATENATE(IF(SUMPRODUCT(-- ISNUMBER(SEARCH({"Auto Number"}, $B79))) &gt; 0, $B79, IF(SUMPRODUCT(-- ISNUMBER(SEARCH({"Lookup","Master-Detail"}, $B79))) &gt; 0,$B79 &amp; "(" &amp; $E79 &amp; ")",IF(SUMPRODUCT(-- ISNUMBER(SEARCH({"Formula","Roll-Up Summary"}, $B79))) &gt; 0,$B79 &amp; " (" &amp; $E79 &amp; ")",IF(SUMPRODUCT(-- ISNUMBER(SEARCH({"Content","Currency","Number","Percent","Text","URL"}, $B79))) &gt; 0,$B79 &amp; "(" &amp; $C79 &amp; ")",$B79)))), "  ", TRIM(IF($S79 = "YES", "(External ID)", "") &amp; " " &amp; IF(SUMPRODUCT(-- ISNUMBER(SEARCH({"Unique","Unique Case Insensitive"}, $R79))) &gt; 0, "(" &amp; $R79 &amp; ")", ""))))</f>
        <v>na</v>
      </c>
      <c r="E79" s="7" t="s">
        <v>195</v>
      </c>
      <c r="F79" s="7" t="s">
        <v>195</v>
      </c>
      <c r="G79" s="7" t="s">
        <v>195</v>
      </c>
      <c r="H79" s="7" t="s">
        <v>195</v>
      </c>
      <c r="I79" s="7" t="s">
        <v>195</v>
      </c>
      <c r="J79" s="7" t="s">
        <v>195</v>
      </c>
      <c r="K79" s="7" t="s">
        <v>195</v>
      </c>
      <c r="L79" s="7" t="s">
        <v>195</v>
      </c>
      <c r="M79" s="7" t="s">
        <v>29</v>
      </c>
      <c r="N79" s="7" t="s">
        <v>29</v>
      </c>
      <c r="O79" s="7" t="s">
        <v>29</v>
      </c>
      <c r="P79" s="7" t="s">
        <v>29</v>
      </c>
      <c r="Q79" s="7" t="s">
        <v>29</v>
      </c>
      <c r="R79" s="7" t="s">
        <v>29</v>
      </c>
      <c r="S79" s="7" t="s">
        <v>29</v>
      </c>
    </row>
    <row r="80" spans="2:19">
      <c r="B80" s="7" t="s">
        <v>195</v>
      </c>
      <c r="C80" s="8" t="s">
        <v>195</v>
      </c>
      <c r="D80" s="5" t="str">
        <f>LRTRIM(CONCATENATE(IF(SUMPRODUCT(-- ISNUMBER(SEARCH({"Auto Number"}, $B80))) &gt; 0, $B80, IF(SUMPRODUCT(-- ISNUMBER(SEARCH({"Lookup","Master-Detail"}, $B80))) &gt; 0,$B80 &amp; "(" &amp; $E80 &amp; ")",IF(SUMPRODUCT(-- ISNUMBER(SEARCH({"Formula","Roll-Up Summary"}, $B80))) &gt; 0,$B80 &amp; " (" &amp; $E80 &amp; ")",IF(SUMPRODUCT(-- ISNUMBER(SEARCH({"Content","Currency","Number","Percent","Text","URL"}, $B80))) &gt; 0,$B80 &amp; "(" &amp; $C80 &amp; ")",$B80)))), "  ", TRIM(IF($S80 = "YES", "(External ID)", "") &amp; " " &amp; IF(SUMPRODUCT(-- ISNUMBER(SEARCH({"Unique","Unique Case Insensitive"}, $R80))) &gt; 0, "(" &amp; $R80 &amp; ")", ""))))</f>
        <v>na</v>
      </c>
      <c r="E80" s="7" t="s">
        <v>195</v>
      </c>
      <c r="F80" s="7" t="s">
        <v>195</v>
      </c>
      <c r="G80" s="7" t="s">
        <v>195</v>
      </c>
      <c r="H80" s="7" t="s">
        <v>195</v>
      </c>
      <c r="I80" s="7" t="s">
        <v>195</v>
      </c>
      <c r="J80" s="7" t="s">
        <v>195</v>
      </c>
      <c r="K80" s="7" t="s">
        <v>195</v>
      </c>
      <c r="L80" s="7" t="s">
        <v>195</v>
      </c>
      <c r="M80" s="7" t="s">
        <v>29</v>
      </c>
      <c r="N80" s="7" t="s">
        <v>29</v>
      </c>
      <c r="O80" s="7" t="s">
        <v>29</v>
      </c>
      <c r="P80" s="7" t="s">
        <v>29</v>
      </c>
      <c r="Q80" s="7" t="s">
        <v>29</v>
      </c>
      <c r="R80" s="7" t="s">
        <v>29</v>
      </c>
      <c r="S80" s="7" t="s">
        <v>29</v>
      </c>
    </row>
    <row r="81" spans="2:19">
      <c r="B81" s="7" t="s">
        <v>195</v>
      </c>
      <c r="C81" s="8" t="s">
        <v>195</v>
      </c>
      <c r="D81" s="5" t="str">
        <f>LRTRIM(CONCATENATE(IF(SUMPRODUCT(-- ISNUMBER(SEARCH({"Auto Number"}, $B81))) &gt; 0, $B81, IF(SUMPRODUCT(-- ISNUMBER(SEARCH({"Lookup","Master-Detail"}, $B81))) &gt; 0,$B81 &amp; "(" &amp; $E81 &amp; ")",IF(SUMPRODUCT(-- ISNUMBER(SEARCH({"Formula","Roll-Up Summary"}, $B81))) &gt; 0,$B81 &amp; " (" &amp; $E81 &amp; ")",IF(SUMPRODUCT(-- ISNUMBER(SEARCH({"Content","Currency","Number","Percent","Text","URL"}, $B81))) &gt; 0,$B81 &amp; "(" &amp; $C81 &amp; ")",$B81)))), "  ", TRIM(IF($S81 = "YES", "(External ID)", "") &amp; " " &amp; IF(SUMPRODUCT(-- ISNUMBER(SEARCH({"Unique","Unique Case Insensitive"}, $R81))) &gt; 0, "(" &amp; $R81 &amp; ")", ""))))</f>
        <v>na</v>
      </c>
      <c r="E81" s="7" t="s">
        <v>195</v>
      </c>
      <c r="F81" s="7" t="s">
        <v>195</v>
      </c>
      <c r="G81" s="7" t="s">
        <v>195</v>
      </c>
      <c r="H81" s="7" t="s">
        <v>195</v>
      </c>
      <c r="I81" s="7" t="s">
        <v>195</v>
      </c>
      <c r="J81" s="7" t="s">
        <v>195</v>
      </c>
      <c r="K81" s="7" t="s">
        <v>195</v>
      </c>
      <c r="L81" s="7" t="s">
        <v>195</v>
      </c>
      <c r="M81" s="7" t="s">
        <v>29</v>
      </c>
      <c r="N81" s="7" t="s">
        <v>29</v>
      </c>
      <c r="O81" s="7" t="s">
        <v>29</v>
      </c>
      <c r="P81" s="7" t="s">
        <v>29</v>
      </c>
      <c r="Q81" s="7" t="s">
        <v>29</v>
      </c>
      <c r="R81" s="7" t="s">
        <v>29</v>
      </c>
      <c r="S81" s="7" t="s">
        <v>29</v>
      </c>
    </row>
    <row r="82" spans="2:19">
      <c r="B82" s="7" t="s">
        <v>195</v>
      </c>
      <c r="C82" s="8" t="s">
        <v>195</v>
      </c>
      <c r="D82" s="5" t="str">
        <f>LRTRIM(CONCATENATE(IF(SUMPRODUCT(-- ISNUMBER(SEARCH({"Auto Number"}, $B82))) &gt; 0, $B82, IF(SUMPRODUCT(-- ISNUMBER(SEARCH({"Lookup","Master-Detail"}, $B82))) &gt; 0,$B82 &amp; "(" &amp; $E82 &amp; ")",IF(SUMPRODUCT(-- ISNUMBER(SEARCH({"Formula","Roll-Up Summary"}, $B82))) &gt; 0,$B82 &amp; " (" &amp; $E82 &amp; ")",IF(SUMPRODUCT(-- ISNUMBER(SEARCH({"Content","Currency","Number","Percent","Text","URL"}, $B82))) &gt; 0,$B82 &amp; "(" &amp; $C82 &amp; ")",$B82)))), "  ", TRIM(IF($S82 = "YES", "(External ID)", "") &amp; " " &amp; IF(SUMPRODUCT(-- ISNUMBER(SEARCH({"Unique","Unique Case Insensitive"}, $R82))) &gt; 0, "(" &amp; $R82 &amp; ")", ""))))</f>
        <v>na</v>
      </c>
      <c r="E82" s="7" t="s">
        <v>195</v>
      </c>
      <c r="F82" s="7" t="s">
        <v>195</v>
      </c>
      <c r="G82" s="7" t="s">
        <v>195</v>
      </c>
      <c r="H82" s="7" t="s">
        <v>195</v>
      </c>
      <c r="I82" s="7" t="s">
        <v>195</v>
      </c>
      <c r="J82" s="7" t="s">
        <v>195</v>
      </c>
      <c r="K82" s="7" t="s">
        <v>195</v>
      </c>
      <c r="L82" s="7" t="s">
        <v>195</v>
      </c>
      <c r="M82" s="7" t="s">
        <v>29</v>
      </c>
      <c r="N82" s="7" t="s">
        <v>29</v>
      </c>
      <c r="O82" s="7" t="s">
        <v>29</v>
      </c>
      <c r="P82" s="7" t="s">
        <v>29</v>
      </c>
      <c r="Q82" s="7" t="s">
        <v>29</v>
      </c>
      <c r="R82" s="7" t="s">
        <v>29</v>
      </c>
      <c r="S82" s="7" t="s">
        <v>29</v>
      </c>
    </row>
    <row r="83" spans="2:19">
      <c r="B83" s="7" t="s">
        <v>195</v>
      </c>
      <c r="C83" s="8" t="s">
        <v>195</v>
      </c>
      <c r="D83" s="5" t="str">
        <f>LRTRIM(CONCATENATE(IF(SUMPRODUCT(-- ISNUMBER(SEARCH({"Auto Number"}, $B83))) &gt; 0, $B83, IF(SUMPRODUCT(-- ISNUMBER(SEARCH({"Lookup","Master-Detail"}, $B83))) &gt; 0,$B83 &amp; "(" &amp; $E83 &amp; ")",IF(SUMPRODUCT(-- ISNUMBER(SEARCH({"Formula","Roll-Up Summary"}, $B83))) &gt; 0,$B83 &amp; " (" &amp; $E83 &amp; ")",IF(SUMPRODUCT(-- ISNUMBER(SEARCH({"Content","Currency","Number","Percent","Text","URL"}, $B83))) &gt; 0,$B83 &amp; "(" &amp; $C83 &amp; ")",$B83)))), "  ", TRIM(IF($S83 = "YES", "(External ID)", "") &amp; " " &amp; IF(SUMPRODUCT(-- ISNUMBER(SEARCH({"Unique","Unique Case Insensitive"}, $R83))) &gt; 0, "(" &amp; $R83 &amp; ")", ""))))</f>
        <v>na</v>
      </c>
      <c r="E83" s="7" t="s">
        <v>195</v>
      </c>
      <c r="F83" s="7" t="s">
        <v>195</v>
      </c>
      <c r="G83" s="7" t="s">
        <v>195</v>
      </c>
      <c r="H83" s="7" t="s">
        <v>195</v>
      </c>
      <c r="I83" s="7" t="s">
        <v>195</v>
      </c>
      <c r="J83" s="7" t="s">
        <v>195</v>
      </c>
      <c r="K83" s="7" t="s">
        <v>195</v>
      </c>
      <c r="L83" s="7" t="s">
        <v>195</v>
      </c>
      <c r="M83" s="7" t="s">
        <v>29</v>
      </c>
      <c r="N83" s="7" t="s">
        <v>29</v>
      </c>
      <c r="O83" s="7" t="s">
        <v>29</v>
      </c>
      <c r="P83" s="7" t="s">
        <v>29</v>
      </c>
      <c r="Q83" s="7" t="s">
        <v>29</v>
      </c>
      <c r="R83" s="7" t="s">
        <v>29</v>
      </c>
      <c r="S83" s="7" t="s">
        <v>29</v>
      </c>
    </row>
    <row r="84" spans="2:19">
      <c r="B84" s="7" t="s">
        <v>195</v>
      </c>
      <c r="C84" s="8" t="s">
        <v>195</v>
      </c>
      <c r="D84" s="5" t="str">
        <f>LRTRIM(CONCATENATE(IF(SUMPRODUCT(-- ISNUMBER(SEARCH({"Auto Number"}, $B84))) &gt; 0, $B84, IF(SUMPRODUCT(-- ISNUMBER(SEARCH({"Lookup","Master-Detail"}, $B84))) &gt; 0,$B84 &amp; "(" &amp; $E84 &amp; ")",IF(SUMPRODUCT(-- ISNUMBER(SEARCH({"Formula","Roll-Up Summary"}, $B84))) &gt; 0,$B84 &amp; " (" &amp; $E84 &amp; ")",IF(SUMPRODUCT(-- ISNUMBER(SEARCH({"Content","Currency","Number","Percent","Text","URL"}, $B84))) &gt; 0,$B84 &amp; "(" &amp; $C84 &amp; ")",$B84)))), "  ", TRIM(IF($S84 = "YES", "(External ID)", "") &amp; " " &amp; IF(SUMPRODUCT(-- ISNUMBER(SEARCH({"Unique","Unique Case Insensitive"}, $R84))) &gt; 0, "(" &amp; $R84 &amp; ")", ""))))</f>
        <v>na</v>
      </c>
      <c r="E84" s="7" t="s">
        <v>195</v>
      </c>
      <c r="F84" s="7" t="s">
        <v>195</v>
      </c>
      <c r="G84" s="7" t="s">
        <v>195</v>
      </c>
      <c r="H84" s="7" t="s">
        <v>195</v>
      </c>
      <c r="I84" s="7" t="s">
        <v>195</v>
      </c>
      <c r="J84" s="7" t="s">
        <v>195</v>
      </c>
      <c r="K84" s="7" t="s">
        <v>195</v>
      </c>
      <c r="L84" s="7" t="s">
        <v>195</v>
      </c>
      <c r="M84" s="7" t="s">
        <v>29</v>
      </c>
      <c r="N84" s="7" t="s">
        <v>29</v>
      </c>
      <c r="O84" s="7" t="s">
        <v>29</v>
      </c>
      <c r="P84" s="7" t="s">
        <v>29</v>
      </c>
      <c r="Q84" s="7" t="s">
        <v>29</v>
      </c>
      <c r="R84" s="7" t="s">
        <v>29</v>
      </c>
      <c r="S84" s="7" t="s">
        <v>29</v>
      </c>
    </row>
    <row r="85" spans="2:19">
      <c r="B85" s="7" t="s">
        <v>195</v>
      </c>
      <c r="C85" s="8" t="s">
        <v>195</v>
      </c>
      <c r="D85" s="5" t="str">
        <f>LRTRIM(CONCATENATE(IF(SUMPRODUCT(-- ISNUMBER(SEARCH({"Auto Number"}, $B85))) &gt; 0, $B85, IF(SUMPRODUCT(-- ISNUMBER(SEARCH({"Lookup","Master-Detail"}, $B85))) &gt; 0,$B85 &amp; "(" &amp; $E85 &amp; ")",IF(SUMPRODUCT(-- ISNUMBER(SEARCH({"Formula","Roll-Up Summary"}, $B85))) &gt; 0,$B85 &amp; " (" &amp; $E85 &amp; ")",IF(SUMPRODUCT(-- ISNUMBER(SEARCH({"Content","Currency","Number","Percent","Text","URL"}, $B85))) &gt; 0,$B85 &amp; "(" &amp; $C85 &amp; ")",$B85)))), "  ", TRIM(IF($S85 = "YES", "(External ID)", "") &amp; " " &amp; IF(SUMPRODUCT(-- ISNUMBER(SEARCH({"Unique","Unique Case Insensitive"}, $R85))) &gt; 0, "(" &amp; $R85 &amp; ")", ""))))</f>
        <v>na</v>
      </c>
      <c r="E85" s="7" t="s">
        <v>195</v>
      </c>
      <c r="F85" s="7" t="s">
        <v>195</v>
      </c>
      <c r="G85" s="7" t="s">
        <v>195</v>
      </c>
      <c r="H85" s="7" t="s">
        <v>195</v>
      </c>
      <c r="I85" s="7" t="s">
        <v>195</v>
      </c>
      <c r="J85" s="7" t="s">
        <v>195</v>
      </c>
      <c r="K85" s="7" t="s">
        <v>195</v>
      </c>
      <c r="L85" s="7" t="s">
        <v>195</v>
      </c>
      <c r="M85" s="7" t="s">
        <v>29</v>
      </c>
      <c r="N85" s="7" t="s">
        <v>29</v>
      </c>
      <c r="O85" s="7" t="s">
        <v>29</v>
      </c>
      <c r="P85" s="7" t="s">
        <v>29</v>
      </c>
      <c r="Q85" s="7" t="s">
        <v>29</v>
      </c>
      <c r="R85" s="7" t="s">
        <v>29</v>
      </c>
      <c r="S85" s="7" t="s">
        <v>29</v>
      </c>
    </row>
    <row r="86" spans="2:19">
      <c r="B86" s="7" t="s">
        <v>195</v>
      </c>
      <c r="C86" s="8" t="s">
        <v>195</v>
      </c>
      <c r="D86" s="5" t="str">
        <f>LRTRIM(CONCATENATE(IF(SUMPRODUCT(-- ISNUMBER(SEARCH({"Auto Number"}, $B86))) &gt; 0, $B86, IF(SUMPRODUCT(-- ISNUMBER(SEARCH({"Lookup","Master-Detail"}, $B86))) &gt; 0,$B86 &amp; "(" &amp; $E86 &amp; ")",IF(SUMPRODUCT(-- ISNUMBER(SEARCH({"Formula","Roll-Up Summary"}, $B86))) &gt; 0,$B86 &amp; " (" &amp; $E86 &amp; ")",IF(SUMPRODUCT(-- ISNUMBER(SEARCH({"Content","Currency","Number","Percent","Text","URL"}, $B86))) &gt; 0,$B86 &amp; "(" &amp; $C86 &amp; ")",$B86)))), "  ", TRIM(IF($S86 = "YES", "(External ID)", "") &amp; " " &amp; IF(SUMPRODUCT(-- ISNUMBER(SEARCH({"Unique","Unique Case Insensitive"}, $R86))) &gt; 0, "(" &amp; $R86 &amp; ")", ""))))</f>
        <v>na</v>
      </c>
      <c r="E86" s="7" t="s">
        <v>195</v>
      </c>
      <c r="F86" s="7" t="s">
        <v>195</v>
      </c>
      <c r="G86" s="7" t="s">
        <v>195</v>
      </c>
      <c r="H86" s="7" t="s">
        <v>195</v>
      </c>
      <c r="I86" s="7" t="s">
        <v>195</v>
      </c>
      <c r="J86" s="7" t="s">
        <v>195</v>
      </c>
      <c r="K86" s="7" t="s">
        <v>195</v>
      </c>
      <c r="L86" s="7" t="s">
        <v>195</v>
      </c>
      <c r="M86" s="7" t="s">
        <v>29</v>
      </c>
      <c r="N86" s="7" t="s">
        <v>29</v>
      </c>
      <c r="O86" s="7" t="s">
        <v>29</v>
      </c>
      <c r="P86" s="7" t="s">
        <v>29</v>
      </c>
      <c r="Q86" s="7" t="s">
        <v>29</v>
      </c>
      <c r="R86" s="7" t="s">
        <v>29</v>
      </c>
      <c r="S86" s="7" t="s">
        <v>29</v>
      </c>
    </row>
    <row r="87" spans="2:19">
      <c r="B87" s="7" t="s">
        <v>195</v>
      </c>
      <c r="C87" s="8" t="s">
        <v>195</v>
      </c>
      <c r="D87" s="5" t="str">
        <f>LRTRIM(CONCATENATE(IF(SUMPRODUCT(-- ISNUMBER(SEARCH({"Auto Number"}, $B87))) &gt; 0, $B87, IF(SUMPRODUCT(-- ISNUMBER(SEARCH({"Lookup","Master-Detail"}, $B87))) &gt; 0,$B87 &amp; "(" &amp; $E87 &amp; ")",IF(SUMPRODUCT(-- ISNUMBER(SEARCH({"Formula","Roll-Up Summary"}, $B87))) &gt; 0,$B87 &amp; " (" &amp; $E87 &amp; ")",IF(SUMPRODUCT(-- ISNUMBER(SEARCH({"Content","Currency","Number","Percent","Text","URL"}, $B87))) &gt; 0,$B87 &amp; "(" &amp; $C87 &amp; ")",$B87)))), "  ", TRIM(IF($S87 = "YES", "(External ID)", "") &amp; " " &amp; IF(SUMPRODUCT(-- ISNUMBER(SEARCH({"Unique","Unique Case Insensitive"}, $R87))) &gt; 0, "(" &amp; $R87 &amp; ")", ""))))</f>
        <v>na</v>
      </c>
      <c r="E87" s="7" t="s">
        <v>195</v>
      </c>
      <c r="F87" s="7" t="s">
        <v>195</v>
      </c>
      <c r="G87" s="7" t="s">
        <v>195</v>
      </c>
      <c r="H87" s="7" t="s">
        <v>195</v>
      </c>
      <c r="I87" s="7" t="s">
        <v>195</v>
      </c>
      <c r="J87" s="7" t="s">
        <v>195</v>
      </c>
      <c r="K87" s="7" t="s">
        <v>195</v>
      </c>
      <c r="L87" s="7" t="s">
        <v>195</v>
      </c>
      <c r="M87" s="7" t="s">
        <v>29</v>
      </c>
      <c r="N87" s="7" t="s">
        <v>29</v>
      </c>
      <c r="O87" s="7" t="s">
        <v>29</v>
      </c>
      <c r="P87" s="7" t="s">
        <v>29</v>
      </c>
      <c r="Q87" s="7" t="s">
        <v>29</v>
      </c>
      <c r="R87" s="7" t="s">
        <v>29</v>
      </c>
      <c r="S87" s="7" t="s">
        <v>29</v>
      </c>
    </row>
    <row r="88" spans="2:19">
      <c r="B88" s="7" t="s">
        <v>195</v>
      </c>
      <c r="C88" s="8" t="s">
        <v>195</v>
      </c>
      <c r="D88" s="5" t="str">
        <f>LRTRIM(CONCATENATE(IF(SUMPRODUCT(-- ISNUMBER(SEARCH({"Auto Number"}, $B88))) &gt; 0, $B88, IF(SUMPRODUCT(-- ISNUMBER(SEARCH({"Lookup","Master-Detail"}, $B88))) &gt; 0,$B88 &amp; "(" &amp; $E88 &amp; ")",IF(SUMPRODUCT(-- ISNUMBER(SEARCH({"Formula","Roll-Up Summary"}, $B88))) &gt; 0,$B88 &amp; " (" &amp; $E88 &amp; ")",IF(SUMPRODUCT(-- ISNUMBER(SEARCH({"Content","Currency","Number","Percent","Text","URL"}, $B88))) &gt; 0,$B88 &amp; "(" &amp; $C88 &amp; ")",$B88)))), "  ", TRIM(IF($S88 = "YES", "(External ID)", "") &amp; " " &amp; IF(SUMPRODUCT(-- ISNUMBER(SEARCH({"Unique","Unique Case Insensitive"}, $R88))) &gt; 0, "(" &amp; $R88 &amp; ")", ""))))</f>
        <v>na</v>
      </c>
      <c r="E88" s="7" t="s">
        <v>195</v>
      </c>
      <c r="F88" s="7" t="s">
        <v>195</v>
      </c>
      <c r="G88" s="7" t="s">
        <v>195</v>
      </c>
      <c r="H88" s="7" t="s">
        <v>195</v>
      </c>
      <c r="I88" s="7" t="s">
        <v>195</v>
      </c>
      <c r="J88" s="7" t="s">
        <v>195</v>
      </c>
      <c r="K88" s="7" t="s">
        <v>195</v>
      </c>
      <c r="L88" s="7" t="s">
        <v>195</v>
      </c>
      <c r="M88" s="7" t="s">
        <v>29</v>
      </c>
      <c r="N88" s="7" t="s">
        <v>29</v>
      </c>
      <c r="O88" s="7" t="s">
        <v>29</v>
      </c>
      <c r="P88" s="7" t="s">
        <v>29</v>
      </c>
      <c r="Q88" s="7" t="s">
        <v>29</v>
      </c>
      <c r="R88" s="7" t="s">
        <v>29</v>
      </c>
      <c r="S88" s="7" t="s">
        <v>29</v>
      </c>
    </row>
    <row r="89" spans="2:19">
      <c r="B89" s="7" t="s">
        <v>195</v>
      </c>
      <c r="C89" s="8" t="s">
        <v>195</v>
      </c>
      <c r="D89" s="5" t="str">
        <f>LRTRIM(CONCATENATE(IF(SUMPRODUCT(-- ISNUMBER(SEARCH({"Auto Number"}, $B89))) &gt; 0, $B89, IF(SUMPRODUCT(-- ISNUMBER(SEARCH({"Lookup","Master-Detail"}, $B89))) &gt; 0,$B89 &amp; "(" &amp; $E89 &amp; ")",IF(SUMPRODUCT(-- ISNUMBER(SEARCH({"Formula","Roll-Up Summary"}, $B89))) &gt; 0,$B89 &amp; " (" &amp; $E89 &amp; ")",IF(SUMPRODUCT(-- ISNUMBER(SEARCH({"Content","Currency","Number","Percent","Text","URL"}, $B89))) &gt; 0,$B89 &amp; "(" &amp; $C89 &amp; ")",$B89)))), "  ", TRIM(IF($S89 = "YES", "(External ID)", "") &amp; " " &amp; IF(SUMPRODUCT(-- ISNUMBER(SEARCH({"Unique","Unique Case Insensitive"}, $R89))) &gt; 0, "(" &amp; $R89 &amp; ")", ""))))</f>
        <v>na</v>
      </c>
      <c r="E89" s="7" t="s">
        <v>195</v>
      </c>
      <c r="F89" s="7" t="s">
        <v>195</v>
      </c>
      <c r="G89" s="7" t="s">
        <v>195</v>
      </c>
      <c r="H89" s="7" t="s">
        <v>195</v>
      </c>
      <c r="I89" s="7" t="s">
        <v>195</v>
      </c>
      <c r="J89" s="7" t="s">
        <v>195</v>
      </c>
      <c r="K89" s="7" t="s">
        <v>195</v>
      </c>
      <c r="L89" s="7" t="s">
        <v>195</v>
      </c>
      <c r="M89" s="7" t="s">
        <v>29</v>
      </c>
      <c r="N89" s="7" t="s">
        <v>29</v>
      </c>
      <c r="O89" s="7" t="s">
        <v>29</v>
      </c>
      <c r="P89" s="7" t="s">
        <v>29</v>
      </c>
      <c r="Q89" s="7" t="s">
        <v>29</v>
      </c>
      <c r="R89" s="7" t="s">
        <v>29</v>
      </c>
      <c r="S89" s="7" t="s">
        <v>29</v>
      </c>
    </row>
    <row r="90" spans="2:19">
      <c r="B90" s="7" t="s">
        <v>195</v>
      </c>
      <c r="C90" s="8" t="s">
        <v>195</v>
      </c>
      <c r="D90" s="5" t="str">
        <f>LRTRIM(CONCATENATE(IF(SUMPRODUCT(-- ISNUMBER(SEARCH({"Auto Number"}, $B90))) &gt; 0, $B90, IF(SUMPRODUCT(-- ISNUMBER(SEARCH({"Lookup","Master-Detail"}, $B90))) &gt; 0,$B90 &amp; "(" &amp; $E90 &amp; ")",IF(SUMPRODUCT(-- ISNUMBER(SEARCH({"Formula","Roll-Up Summary"}, $B90))) &gt; 0,$B90 &amp; " (" &amp; $E90 &amp; ")",IF(SUMPRODUCT(-- ISNUMBER(SEARCH({"Content","Currency","Number","Percent","Text","URL"}, $B90))) &gt; 0,$B90 &amp; "(" &amp; $C90 &amp; ")",$B90)))), "  ", TRIM(IF($S90 = "YES", "(External ID)", "") &amp; " " &amp; IF(SUMPRODUCT(-- ISNUMBER(SEARCH({"Unique","Unique Case Insensitive"}, $R90))) &gt; 0, "(" &amp; $R90 &amp; ")", ""))))</f>
        <v>na</v>
      </c>
      <c r="E90" s="7" t="s">
        <v>195</v>
      </c>
      <c r="F90" s="7" t="s">
        <v>195</v>
      </c>
      <c r="G90" s="7" t="s">
        <v>195</v>
      </c>
      <c r="H90" s="7" t="s">
        <v>195</v>
      </c>
      <c r="I90" s="7" t="s">
        <v>195</v>
      </c>
      <c r="J90" s="7" t="s">
        <v>195</v>
      </c>
      <c r="K90" s="7" t="s">
        <v>195</v>
      </c>
      <c r="L90" s="7" t="s">
        <v>195</v>
      </c>
      <c r="M90" s="7" t="s">
        <v>29</v>
      </c>
      <c r="N90" s="7" t="s">
        <v>29</v>
      </c>
      <c r="O90" s="7" t="s">
        <v>29</v>
      </c>
      <c r="P90" s="7" t="s">
        <v>29</v>
      </c>
      <c r="Q90" s="7" t="s">
        <v>29</v>
      </c>
      <c r="R90" s="7" t="s">
        <v>29</v>
      </c>
      <c r="S90" s="7" t="s">
        <v>29</v>
      </c>
    </row>
    <row r="91" spans="2:19">
      <c r="B91" s="7" t="s">
        <v>195</v>
      </c>
      <c r="C91" s="8" t="s">
        <v>195</v>
      </c>
      <c r="D91" s="5" t="str">
        <f>LRTRIM(CONCATENATE(IF(SUMPRODUCT(-- ISNUMBER(SEARCH({"Auto Number"}, $B91))) &gt; 0, $B91, IF(SUMPRODUCT(-- ISNUMBER(SEARCH({"Lookup","Master-Detail"}, $B91))) &gt; 0,$B91 &amp; "(" &amp; $E91 &amp; ")",IF(SUMPRODUCT(-- ISNUMBER(SEARCH({"Formula","Roll-Up Summary"}, $B91))) &gt; 0,$B91 &amp; " (" &amp; $E91 &amp; ")",IF(SUMPRODUCT(-- ISNUMBER(SEARCH({"Content","Currency","Number","Percent","Text","URL"}, $B91))) &gt; 0,$B91 &amp; "(" &amp; $C91 &amp; ")",$B91)))), "  ", TRIM(IF($S91 = "YES", "(External ID)", "") &amp; " " &amp; IF(SUMPRODUCT(-- ISNUMBER(SEARCH({"Unique","Unique Case Insensitive"}, $R91))) &gt; 0, "(" &amp; $R91 &amp; ")", ""))))</f>
        <v>na</v>
      </c>
      <c r="E91" s="7" t="s">
        <v>195</v>
      </c>
      <c r="F91" s="7" t="s">
        <v>195</v>
      </c>
      <c r="G91" s="7" t="s">
        <v>195</v>
      </c>
      <c r="H91" s="7" t="s">
        <v>195</v>
      </c>
      <c r="I91" s="7" t="s">
        <v>195</v>
      </c>
      <c r="J91" s="7" t="s">
        <v>195</v>
      </c>
      <c r="K91" s="7" t="s">
        <v>195</v>
      </c>
      <c r="L91" s="7" t="s">
        <v>195</v>
      </c>
      <c r="M91" s="7" t="s">
        <v>29</v>
      </c>
      <c r="N91" s="7" t="s">
        <v>29</v>
      </c>
      <c r="O91" s="7" t="s">
        <v>29</v>
      </c>
      <c r="P91" s="7" t="s">
        <v>29</v>
      </c>
      <c r="Q91" s="7" t="s">
        <v>29</v>
      </c>
      <c r="R91" s="7" t="s">
        <v>29</v>
      </c>
      <c r="S91" s="7" t="s">
        <v>29</v>
      </c>
    </row>
    <row r="92" spans="2:19">
      <c r="B92" s="7" t="s">
        <v>195</v>
      </c>
      <c r="C92" s="8" t="s">
        <v>195</v>
      </c>
      <c r="D92" s="5" t="str">
        <f>LRTRIM(CONCATENATE(IF(SUMPRODUCT(-- ISNUMBER(SEARCH({"Auto Number"}, $B92))) &gt; 0, $B92, IF(SUMPRODUCT(-- ISNUMBER(SEARCH({"Lookup","Master-Detail"}, $B92))) &gt; 0,$B92 &amp; "(" &amp; $E92 &amp; ")",IF(SUMPRODUCT(-- ISNUMBER(SEARCH({"Formula","Roll-Up Summary"}, $B92))) &gt; 0,$B92 &amp; " (" &amp; $E92 &amp; ")",IF(SUMPRODUCT(-- ISNUMBER(SEARCH({"Content","Currency","Number","Percent","Text","URL"}, $B92))) &gt; 0,$B92 &amp; "(" &amp; $C92 &amp; ")",$B92)))), "  ", TRIM(IF($S92 = "YES", "(External ID)", "") &amp; " " &amp; IF(SUMPRODUCT(-- ISNUMBER(SEARCH({"Unique","Unique Case Insensitive"}, $R92))) &gt; 0, "(" &amp; $R92 &amp; ")", ""))))</f>
        <v>na</v>
      </c>
      <c r="E92" s="7" t="s">
        <v>195</v>
      </c>
      <c r="F92" s="7" t="s">
        <v>195</v>
      </c>
      <c r="G92" s="7" t="s">
        <v>195</v>
      </c>
      <c r="H92" s="7" t="s">
        <v>195</v>
      </c>
      <c r="I92" s="7" t="s">
        <v>195</v>
      </c>
      <c r="J92" s="7" t="s">
        <v>195</v>
      </c>
      <c r="K92" s="7" t="s">
        <v>195</v>
      </c>
      <c r="L92" s="7" t="s">
        <v>195</v>
      </c>
      <c r="M92" s="7" t="s">
        <v>29</v>
      </c>
      <c r="N92" s="7" t="s">
        <v>29</v>
      </c>
      <c r="O92" s="7" t="s">
        <v>29</v>
      </c>
      <c r="P92" s="7" t="s">
        <v>29</v>
      </c>
      <c r="Q92" s="7" t="s">
        <v>29</v>
      </c>
      <c r="R92" s="7" t="s">
        <v>29</v>
      </c>
      <c r="S92" s="7" t="s">
        <v>29</v>
      </c>
    </row>
    <row r="93" spans="2:19">
      <c r="B93" s="7" t="s">
        <v>195</v>
      </c>
      <c r="C93" s="8" t="s">
        <v>195</v>
      </c>
      <c r="D93" s="5" t="str">
        <f>LRTRIM(CONCATENATE(IF(SUMPRODUCT(-- ISNUMBER(SEARCH({"Auto Number"}, $B93))) &gt; 0, $B93, IF(SUMPRODUCT(-- ISNUMBER(SEARCH({"Lookup","Master-Detail"}, $B93))) &gt; 0,$B93 &amp; "(" &amp; $E93 &amp; ")",IF(SUMPRODUCT(-- ISNUMBER(SEARCH({"Formula","Roll-Up Summary"}, $B93))) &gt; 0,$B93 &amp; " (" &amp; $E93 &amp; ")",IF(SUMPRODUCT(-- ISNUMBER(SEARCH({"Content","Currency","Number","Percent","Text","URL"}, $B93))) &gt; 0,$B93 &amp; "(" &amp; $C93 &amp; ")",$B93)))), "  ", TRIM(IF($S93 = "YES", "(External ID)", "") &amp; " " &amp; IF(SUMPRODUCT(-- ISNUMBER(SEARCH({"Unique","Unique Case Insensitive"}, $R93))) &gt; 0, "(" &amp; $R93 &amp; ")", ""))))</f>
        <v>na</v>
      </c>
      <c r="E93" s="7" t="s">
        <v>195</v>
      </c>
      <c r="F93" s="7" t="s">
        <v>195</v>
      </c>
      <c r="G93" s="7" t="s">
        <v>195</v>
      </c>
      <c r="H93" s="7" t="s">
        <v>195</v>
      </c>
      <c r="I93" s="7" t="s">
        <v>195</v>
      </c>
      <c r="J93" s="7" t="s">
        <v>195</v>
      </c>
      <c r="K93" s="7" t="s">
        <v>195</v>
      </c>
      <c r="L93" s="7" t="s">
        <v>195</v>
      </c>
      <c r="M93" s="7" t="s">
        <v>29</v>
      </c>
      <c r="N93" s="7" t="s">
        <v>29</v>
      </c>
      <c r="O93" s="7" t="s">
        <v>29</v>
      </c>
      <c r="P93" s="7" t="s">
        <v>29</v>
      </c>
      <c r="Q93" s="7" t="s">
        <v>29</v>
      </c>
      <c r="R93" s="7" t="s">
        <v>29</v>
      </c>
      <c r="S93" s="7" t="s">
        <v>29</v>
      </c>
    </row>
    <row r="94" spans="2:19">
      <c r="B94" s="7" t="s">
        <v>195</v>
      </c>
      <c r="C94" s="8" t="s">
        <v>195</v>
      </c>
      <c r="D94" s="5" t="str">
        <f>LRTRIM(CONCATENATE(IF(SUMPRODUCT(-- ISNUMBER(SEARCH({"Auto Number"}, $B94))) &gt; 0, $B94, IF(SUMPRODUCT(-- ISNUMBER(SEARCH({"Lookup","Master-Detail"}, $B94))) &gt; 0,$B94 &amp; "(" &amp; $E94 &amp; ")",IF(SUMPRODUCT(-- ISNUMBER(SEARCH({"Formula","Roll-Up Summary"}, $B94))) &gt; 0,$B94 &amp; " (" &amp; $E94 &amp; ")",IF(SUMPRODUCT(-- ISNUMBER(SEARCH({"Content","Currency","Number","Percent","Text","URL"}, $B94))) &gt; 0,$B94 &amp; "(" &amp; $C94 &amp; ")",$B94)))), "  ", TRIM(IF($S94 = "YES", "(External ID)", "") &amp; " " &amp; IF(SUMPRODUCT(-- ISNUMBER(SEARCH({"Unique","Unique Case Insensitive"}, $R94))) &gt; 0, "(" &amp; $R94 &amp; ")", ""))))</f>
        <v>na</v>
      </c>
      <c r="E94" s="7" t="s">
        <v>195</v>
      </c>
      <c r="F94" s="7" t="s">
        <v>195</v>
      </c>
      <c r="G94" s="7" t="s">
        <v>195</v>
      </c>
      <c r="H94" s="7" t="s">
        <v>195</v>
      </c>
      <c r="I94" s="7" t="s">
        <v>195</v>
      </c>
      <c r="J94" s="7" t="s">
        <v>195</v>
      </c>
      <c r="K94" s="7" t="s">
        <v>195</v>
      </c>
      <c r="L94" s="7" t="s">
        <v>195</v>
      </c>
      <c r="M94" s="7" t="s">
        <v>29</v>
      </c>
      <c r="N94" s="7" t="s">
        <v>29</v>
      </c>
      <c r="O94" s="7" t="s">
        <v>29</v>
      </c>
      <c r="P94" s="7" t="s">
        <v>29</v>
      </c>
      <c r="Q94" s="7" t="s">
        <v>29</v>
      </c>
      <c r="R94" s="7" t="s">
        <v>29</v>
      </c>
      <c r="S94" s="7" t="s">
        <v>29</v>
      </c>
    </row>
    <row r="95" spans="2:19">
      <c r="B95" s="7" t="s">
        <v>195</v>
      </c>
      <c r="C95" s="8" t="s">
        <v>195</v>
      </c>
      <c r="D95" s="5" t="str">
        <f>LRTRIM(CONCATENATE(IF(SUMPRODUCT(-- ISNUMBER(SEARCH({"Auto Number"}, $B95))) &gt; 0, $B95, IF(SUMPRODUCT(-- ISNUMBER(SEARCH({"Lookup","Master-Detail"}, $B95))) &gt; 0,$B95 &amp; "(" &amp; $E95 &amp; ")",IF(SUMPRODUCT(-- ISNUMBER(SEARCH({"Formula","Roll-Up Summary"}, $B95))) &gt; 0,$B95 &amp; " (" &amp; $E95 &amp; ")",IF(SUMPRODUCT(-- ISNUMBER(SEARCH({"Content","Currency","Number","Percent","Text","URL"}, $B95))) &gt; 0,$B95 &amp; "(" &amp; $C95 &amp; ")",$B95)))), "  ", TRIM(IF($S95 = "YES", "(External ID)", "") &amp; " " &amp; IF(SUMPRODUCT(-- ISNUMBER(SEARCH({"Unique","Unique Case Insensitive"}, $R95))) &gt; 0, "(" &amp; $R95 &amp; ")", ""))))</f>
        <v>na</v>
      </c>
      <c r="E95" s="7" t="s">
        <v>195</v>
      </c>
      <c r="F95" s="7" t="s">
        <v>195</v>
      </c>
      <c r="G95" s="7" t="s">
        <v>195</v>
      </c>
      <c r="H95" s="7" t="s">
        <v>195</v>
      </c>
      <c r="I95" s="7" t="s">
        <v>195</v>
      </c>
      <c r="J95" s="7" t="s">
        <v>195</v>
      </c>
      <c r="K95" s="7" t="s">
        <v>195</v>
      </c>
      <c r="L95" s="7" t="s">
        <v>195</v>
      </c>
      <c r="M95" s="7" t="s">
        <v>29</v>
      </c>
      <c r="N95" s="7" t="s">
        <v>29</v>
      </c>
      <c r="O95" s="7" t="s">
        <v>29</v>
      </c>
      <c r="P95" s="7" t="s">
        <v>29</v>
      </c>
      <c r="Q95" s="7" t="s">
        <v>29</v>
      </c>
      <c r="R95" s="7" t="s">
        <v>29</v>
      </c>
      <c r="S95" s="7" t="s">
        <v>29</v>
      </c>
    </row>
    <row r="96" spans="2:19">
      <c r="B96" s="7" t="s">
        <v>195</v>
      </c>
      <c r="C96" s="8" t="s">
        <v>195</v>
      </c>
      <c r="D96" s="5" t="str">
        <f>LRTRIM(CONCATENATE(IF(SUMPRODUCT(-- ISNUMBER(SEARCH({"Auto Number"}, $B96))) &gt; 0, $B96, IF(SUMPRODUCT(-- ISNUMBER(SEARCH({"Lookup","Master-Detail"}, $B96))) &gt; 0,$B96 &amp; "(" &amp; $E96 &amp; ")",IF(SUMPRODUCT(-- ISNUMBER(SEARCH({"Formula","Roll-Up Summary"}, $B96))) &gt; 0,$B96 &amp; " (" &amp; $E96 &amp; ")",IF(SUMPRODUCT(-- ISNUMBER(SEARCH({"Content","Currency","Number","Percent","Text","URL"}, $B96))) &gt; 0,$B96 &amp; "(" &amp; $C96 &amp; ")",$B96)))), "  ", TRIM(IF($S96 = "YES", "(External ID)", "") &amp; " " &amp; IF(SUMPRODUCT(-- ISNUMBER(SEARCH({"Unique","Unique Case Insensitive"}, $R96))) &gt; 0, "(" &amp; $R96 &amp; ")", ""))))</f>
        <v>na</v>
      </c>
      <c r="E96" s="7" t="s">
        <v>195</v>
      </c>
      <c r="F96" s="7" t="s">
        <v>195</v>
      </c>
      <c r="G96" s="7" t="s">
        <v>195</v>
      </c>
      <c r="H96" s="7" t="s">
        <v>195</v>
      </c>
      <c r="I96" s="7" t="s">
        <v>195</v>
      </c>
      <c r="J96" s="7" t="s">
        <v>195</v>
      </c>
      <c r="K96" s="7" t="s">
        <v>195</v>
      </c>
      <c r="L96" s="7" t="s">
        <v>195</v>
      </c>
      <c r="M96" s="7" t="s">
        <v>29</v>
      </c>
      <c r="N96" s="7" t="s">
        <v>29</v>
      </c>
      <c r="O96" s="7" t="s">
        <v>29</v>
      </c>
      <c r="P96" s="7" t="s">
        <v>29</v>
      </c>
      <c r="Q96" s="7" t="s">
        <v>29</v>
      </c>
      <c r="R96" s="7" t="s">
        <v>29</v>
      </c>
      <c r="S96" s="7" t="s">
        <v>29</v>
      </c>
    </row>
    <row r="97" spans="2:19">
      <c r="B97" s="7" t="s">
        <v>195</v>
      </c>
      <c r="C97" s="8" t="s">
        <v>195</v>
      </c>
      <c r="D97" s="5" t="str">
        <f>LRTRIM(CONCATENATE(IF(SUMPRODUCT(-- ISNUMBER(SEARCH({"Auto Number"}, $B97))) &gt; 0, $B97, IF(SUMPRODUCT(-- ISNUMBER(SEARCH({"Lookup","Master-Detail"}, $B97))) &gt; 0,$B97 &amp; "(" &amp; $E97 &amp; ")",IF(SUMPRODUCT(-- ISNUMBER(SEARCH({"Formula","Roll-Up Summary"}, $B97))) &gt; 0,$B97 &amp; " (" &amp; $E97 &amp; ")",IF(SUMPRODUCT(-- ISNUMBER(SEARCH({"Content","Currency","Number","Percent","Text","URL"}, $B97))) &gt; 0,$B97 &amp; "(" &amp; $C97 &amp; ")",$B97)))), "  ", TRIM(IF($S97 = "YES", "(External ID)", "") &amp; " " &amp; IF(SUMPRODUCT(-- ISNUMBER(SEARCH({"Unique","Unique Case Insensitive"}, $R97))) &gt; 0, "(" &amp; $R97 &amp; ")", ""))))</f>
        <v>na</v>
      </c>
      <c r="E97" s="7" t="s">
        <v>195</v>
      </c>
      <c r="F97" s="7" t="s">
        <v>195</v>
      </c>
      <c r="G97" s="7" t="s">
        <v>195</v>
      </c>
      <c r="H97" s="7" t="s">
        <v>195</v>
      </c>
      <c r="I97" s="7" t="s">
        <v>195</v>
      </c>
      <c r="J97" s="7" t="s">
        <v>195</v>
      </c>
      <c r="K97" s="7" t="s">
        <v>195</v>
      </c>
      <c r="L97" s="7" t="s">
        <v>195</v>
      </c>
      <c r="M97" s="7" t="s">
        <v>29</v>
      </c>
      <c r="N97" s="7" t="s">
        <v>29</v>
      </c>
      <c r="O97" s="7" t="s">
        <v>29</v>
      </c>
      <c r="P97" s="7" t="s">
        <v>29</v>
      </c>
      <c r="Q97" s="7" t="s">
        <v>29</v>
      </c>
      <c r="R97" s="7" t="s">
        <v>29</v>
      </c>
      <c r="S97" s="7" t="s">
        <v>29</v>
      </c>
    </row>
    <row r="98" spans="2:19">
      <c r="B98" s="7" t="s">
        <v>195</v>
      </c>
      <c r="C98" s="8" t="s">
        <v>195</v>
      </c>
      <c r="D98" s="5" t="str">
        <f>LRTRIM(CONCATENATE(IF(SUMPRODUCT(-- ISNUMBER(SEARCH({"Auto Number"}, $B98))) &gt; 0, $B98, IF(SUMPRODUCT(-- ISNUMBER(SEARCH({"Lookup","Master-Detail"}, $B98))) &gt; 0,$B98 &amp; "(" &amp; $E98 &amp; ")",IF(SUMPRODUCT(-- ISNUMBER(SEARCH({"Formula","Roll-Up Summary"}, $B98))) &gt; 0,$B98 &amp; " (" &amp; $E98 &amp; ")",IF(SUMPRODUCT(-- ISNUMBER(SEARCH({"Content","Currency","Number","Percent","Text","URL"}, $B98))) &gt; 0,$B98 &amp; "(" &amp; $C98 &amp; ")",$B98)))), "  ", TRIM(IF($S98 = "YES", "(External ID)", "") &amp; " " &amp; IF(SUMPRODUCT(-- ISNUMBER(SEARCH({"Unique","Unique Case Insensitive"}, $R98))) &gt; 0, "(" &amp; $R98 &amp; ")", ""))))</f>
        <v>na</v>
      </c>
      <c r="E98" s="7" t="s">
        <v>195</v>
      </c>
      <c r="F98" s="7" t="s">
        <v>195</v>
      </c>
      <c r="G98" s="7" t="s">
        <v>195</v>
      </c>
      <c r="H98" s="7" t="s">
        <v>195</v>
      </c>
      <c r="I98" s="7" t="s">
        <v>195</v>
      </c>
      <c r="J98" s="7" t="s">
        <v>195</v>
      </c>
      <c r="K98" s="7" t="s">
        <v>195</v>
      </c>
      <c r="L98" s="7" t="s">
        <v>195</v>
      </c>
      <c r="M98" s="7" t="s">
        <v>29</v>
      </c>
      <c r="N98" s="7" t="s">
        <v>29</v>
      </c>
      <c r="O98" s="7" t="s">
        <v>29</v>
      </c>
      <c r="P98" s="7" t="s">
        <v>29</v>
      </c>
      <c r="Q98" s="7" t="s">
        <v>29</v>
      </c>
      <c r="R98" s="7" t="s">
        <v>29</v>
      </c>
      <c r="S98" s="7" t="s">
        <v>29</v>
      </c>
    </row>
    <row r="99" spans="2:19">
      <c r="B99" s="7" t="s">
        <v>195</v>
      </c>
      <c r="C99" s="8" t="s">
        <v>195</v>
      </c>
      <c r="D99" s="5" t="str">
        <f>LRTRIM(CONCATENATE(IF(SUMPRODUCT(-- ISNUMBER(SEARCH({"Auto Number"}, $B99))) &gt; 0, $B99, IF(SUMPRODUCT(-- ISNUMBER(SEARCH({"Lookup","Master-Detail"}, $B99))) &gt; 0,$B99 &amp; "(" &amp; $E99 &amp; ")",IF(SUMPRODUCT(-- ISNUMBER(SEARCH({"Formula","Roll-Up Summary"}, $B99))) &gt; 0,$B99 &amp; " (" &amp; $E99 &amp; ")",IF(SUMPRODUCT(-- ISNUMBER(SEARCH({"Content","Currency","Number","Percent","Text","URL"}, $B99))) &gt; 0,$B99 &amp; "(" &amp; $C99 &amp; ")",$B99)))), "  ", TRIM(IF($S99 = "YES", "(External ID)", "") &amp; " " &amp; IF(SUMPRODUCT(-- ISNUMBER(SEARCH({"Unique","Unique Case Insensitive"}, $R99))) &gt; 0, "(" &amp; $R99 &amp; ")", ""))))</f>
        <v>na</v>
      </c>
      <c r="E99" s="7" t="s">
        <v>195</v>
      </c>
      <c r="F99" s="7" t="s">
        <v>195</v>
      </c>
      <c r="G99" s="7" t="s">
        <v>195</v>
      </c>
      <c r="H99" s="7" t="s">
        <v>195</v>
      </c>
      <c r="I99" s="7" t="s">
        <v>195</v>
      </c>
      <c r="J99" s="7" t="s">
        <v>195</v>
      </c>
      <c r="K99" s="7" t="s">
        <v>195</v>
      </c>
      <c r="L99" s="7" t="s">
        <v>195</v>
      </c>
      <c r="M99" s="7" t="s">
        <v>29</v>
      </c>
      <c r="N99" s="7" t="s">
        <v>29</v>
      </c>
      <c r="O99" s="7" t="s">
        <v>29</v>
      </c>
      <c r="P99" s="7" t="s">
        <v>29</v>
      </c>
      <c r="Q99" s="7" t="s">
        <v>29</v>
      </c>
      <c r="R99" s="7" t="s">
        <v>29</v>
      </c>
      <c r="S99" s="7" t="s">
        <v>29</v>
      </c>
    </row>
    <row r="100" spans="2:19">
      <c r="B100" s="7" t="s">
        <v>195</v>
      </c>
      <c r="C100" s="8" t="s">
        <v>195</v>
      </c>
      <c r="D100" s="5" t="str">
        <f>LRTRIM(CONCATENATE(IF(SUMPRODUCT(-- ISNUMBER(SEARCH({"Auto Number"}, $B100))) &gt; 0, $B100, IF(SUMPRODUCT(-- ISNUMBER(SEARCH({"Lookup","Master-Detail"}, $B100))) &gt; 0,$B100 &amp; "(" &amp; $E100 &amp; ")",IF(SUMPRODUCT(-- ISNUMBER(SEARCH({"Formula","Roll-Up Summary"}, $B100))) &gt; 0,$B100 &amp; " (" &amp; $E100 &amp; ")",IF(SUMPRODUCT(-- ISNUMBER(SEARCH({"Content","Currency","Number","Percent","Text","URL"}, $B100))) &gt; 0,$B100 &amp; "(" &amp; $C100 &amp; ")",$B100)))), "  ", TRIM(IF($S100 = "YES", "(External ID)", "") &amp; " " &amp; IF(SUMPRODUCT(-- ISNUMBER(SEARCH({"Unique","Unique Case Insensitive"}, $R100))) &gt; 0, "(" &amp; $R100 &amp; ")", ""))))</f>
        <v>na</v>
      </c>
      <c r="E100" s="7" t="s">
        <v>195</v>
      </c>
      <c r="F100" s="7" t="s">
        <v>195</v>
      </c>
      <c r="G100" s="7" t="s">
        <v>195</v>
      </c>
      <c r="H100" s="7" t="s">
        <v>195</v>
      </c>
      <c r="I100" s="7" t="s">
        <v>195</v>
      </c>
      <c r="J100" s="7" t="s">
        <v>195</v>
      </c>
      <c r="K100" s="7" t="s">
        <v>195</v>
      </c>
      <c r="L100" s="7" t="s">
        <v>195</v>
      </c>
      <c r="M100" s="7" t="s">
        <v>29</v>
      </c>
      <c r="N100" s="7" t="s">
        <v>29</v>
      </c>
      <c r="O100" s="7" t="s">
        <v>29</v>
      </c>
      <c r="P100" s="7" t="s">
        <v>29</v>
      </c>
      <c r="Q100" s="7" t="s">
        <v>29</v>
      </c>
      <c r="R100" s="7" t="s">
        <v>29</v>
      </c>
      <c r="S100" s="7" t="s">
        <v>29</v>
      </c>
    </row>
    <row r="101" spans="2:19">
      <c r="B101" s="7" t="s">
        <v>195</v>
      </c>
      <c r="C101" s="8" t="s">
        <v>195</v>
      </c>
      <c r="D101" s="5" t="str">
        <f>LRTRIM(CONCATENATE(IF(SUMPRODUCT(-- ISNUMBER(SEARCH({"Auto Number"}, $B101))) &gt; 0, $B101, IF(SUMPRODUCT(-- ISNUMBER(SEARCH({"Lookup","Master-Detail"}, $B101))) &gt; 0,$B101 &amp; "(" &amp; $E101 &amp; ")",IF(SUMPRODUCT(-- ISNUMBER(SEARCH({"Formula","Roll-Up Summary"}, $B101))) &gt; 0,$B101 &amp; " (" &amp; $E101 &amp; ")",IF(SUMPRODUCT(-- ISNUMBER(SEARCH({"Content","Currency","Number","Percent","Text","URL"}, $B101))) &gt; 0,$B101 &amp; "(" &amp; $C101 &amp; ")",$B101)))), "  ", TRIM(IF($S101 = "YES", "(External ID)", "") &amp; " " &amp; IF(SUMPRODUCT(-- ISNUMBER(SEARCH({"Unique","Unique Case Insensitive"}, $R101))) &gt; 0, "(" &amp; $R101 &amp; ")", ""))))</f>
        <v>na</v>
      </c>
      <c r="E101" s="7" t="s">
        <v>195</v>
      </c>
      <c r="F101" s="7" t="s">
        <v>195</v>
      </c>
      <c r="G101" s="7" t="s">
        <v>195</v>
      </c>
      <c r="H101" s="7" t="s">
        <v>195</v>
      </c>
      <c r="I101" s="7" t="s">
        <v>195</v>
      </c>
      <c r="J101" s="7" t="s">
        <v>195</v>
      </c>
      <c r="K101" s="7" t="s">
        <v>195</v>
      </c>
      <c r="L101" s="7" t="s">
        <v>195</v>
      </c>
      <c r="M101" s="7" t="s">
        <v>29</v>
      </c>
      <c r="N101" s="7" t="s">
        <v>29</v>
      </c>
      <c r="O101" s="7" t="s">
        <v>29</v>
      </c>
      <c r="P101" s="7" t="s">
        <v>29</v>
      </c>
      <c r="Q101" s="7" t="s">
        <v>29</v>
      </c>
      <c r="R101" s="7" t="s">
        <v>29</v>
      </c>
      <c r="S101" s="7" t="s">
        <v>29</v>
      </c>
    </row>
    <row r="102" spans="2:19">
      <c r="B102" s="7" t="s">
        <v>195</v>
      </c>
      <c r="C102" s="8" t="s">
        <v>195</v>
      </c>
      <c r="D102" s="5" t="str">
        <f>LRTRIM(CONCATENATE(IF(SUMPRODUCT(-- ISNUMBER(SEARCH({"Auto Number"}, $B102))) &gt; 0, $B102, IF(SUMPRODUCT(-- ISNUMBER(SEARCH({"Lookup","Master-Detail"}, $B102))) &gt; 0,$B102 &amp; "(" &amp; $E102 &amp; ")",IF(SUMPRODUCT(-- ISNUMBER(SEARCH({"Formula","Roll-Up Summary"}, $B102))) &gt; 0,$B102 &amp; " (" &amp; $E102 &amp; ")",IF(SUMPRODUCT(-- ISNUMBER(SEARCH({"Content","Currency","Number","Percent","Text","URL"}, $B102))) &gt; 0,$B102 &amp; "(" &amp; $C102 &amp; ")",$B102)))), "  ", TRIM(IF($S102 = "YES", "(External ID)", "") &amp; " " &amp; IF(SUMPRODUCT(-- ISNUMBER(SEARCH({"Unique","Unique Case Insensitive"}, $R102))) &gt; 0, "(" &amp; $R102 &amp; ")", ""))))</f>
        <v>na</v>
      </c>
      <c r="E102" s="7" t="s">
        <v>195</v>
      </c>
      <c r="F102" s="7" t="s">
        <v>195</v>
      </c>
      <c r="G102" s="7" t="s">
        <v>195</v>
      </c>
      <c r="H102" s="7" t="s">
        <v>195</v>
      </c>
      <c r="I102" s="7" t="s">
        <v>195</v>
      </c>
      <c r="J102" s="7" t="s">
        <v>195</v>
      </c>
      <c r="K102" s="7" t="s">
        <v>195</v>
      </c>
      <c r="L102" s="7" t="s">
        <v>195</v>
      </c>
      <c r="M102" s="7" t="s">
        <v>29</v>
      </c>
      <c r="N102" s="7" t="s">
        <v>29</v>
      </c>
      <c r="O102" s="7" t="s">
        <v>29</v>
      </c>
      <c r="P102" s="7" t="s">
        <v>29</v>
      </c>
      <c r="Q102" s="7" t="s">
        <v>29</v>
      </c>
      <c r="R102" s="7" t="s">
        <v>29</v>
      </c>
      <c r="S102" s="7" t="s">
        <v>29</v>
      </c>
    </row>
    <row r="103" spans="2:19">
      <c r="B103" s="7" t="s">
        <v>195</v>
      </c>
      <c r="C103" s="8" t="s">
        <v>195</v>
      </c>
      <c r="D103" s="5" t="str">
        <f>LRTRIM(CONCATENATE(IF(SUMPRODUCT(-- ISNUMBER(SEARCH({"Auto Number"}, $B103))) &gt; 0, $B103, IF(SUMPRODUCT(-- ISNUMBER(SEARCH({"Lookup","Master-Detail"}, $B103))) &gt; 0,$B103 &amp; "(" &amp; $E103 &amp; ")",IF(SUMPRODUCT(-- ISNUMBER(SEARCH({"Formula","Roll-Up Summary"}, $B103))) &gt; 0,$B103 &amp; " (" &amp; $E103 &amp; ")",IF(SUMPRODUCT(-- ISNUMBER(SEARCH({"Content","Currency","Number","Percent","Text","URL"}, $B103))) &gt; 0,$B103 &amp; "(" &amp; $C103 &amp; ")",$B103)))), "  ", TRIM(IF($S103 = "YES", "(External ID)", "") &amp; " " &amp; IF(SUMPRODUCT(-- ISNUMBER(SEARCH({"Unique","Unique Case Insensitive"}, $R103))) &gt; 0, "(" &amp; $R103 &amp; ")", ""))))</f>
        <v>na</v>
      </c>
      <c r="E103" s="7" t="s">
        <v>195</v>
      </c>
      <c r="F103" s="7" t="s">
        <v>195</v>
      </c>
      <c r="G103" s="7" t="s">
        <v>195</v>
      </c>
      <c r="H103" s="7" t="s">
        <v>195</v>
      </c>
      <c r="I103" s="7" t="s">
        <v>195</v>
      </c>
      <c r="J103" s="7" t="s">
        <v>195</v>
      </c>
      <c r="K103" s="7" t="s">
        <v>195</v>
      </c>
      <c r="L103" s="7" t="s">
        <v>195</v>
      </c>
      <c r="M103" s="7" t="s">
        <v>29</v>
      </c>
      <c r="N103" s="7" t="s">
        <v>29</v>
      </c>
      <c r="O103" s="7" t="s">
        <v>29</v>
      </c>
      <c r="P103" s="7" t="s">
        <v>29</v>
      </c>
      <c r="Q103" s="7" t="s">
        <v>29</v>
      </c>
      <c r="R103" s="7" t="s">
        <v>29</v>
      </c>
      <c r="S103" s="7" t="s">
        <v>29</v>
      </c>
    </row>
    <row r="104" spans="2:19">
      <c r="B104" s="7" t="s">
        <v>195</v>
      </c>
      <c r="C104" s="8" t="s">
        <v>195</v>
      </c>
      <c r="D104" s="5" t="str">
        <f>LRTRIM(CONCATENATE(IF(SUMPRODUCT(-- ISNUMBER(SEARCH({"Auto Number"}, $B104))) &gt; 0, $B104, IF(SUMPRODUCT(-- ISNUMBER(SEARCH({"Lookup","Master-Detail"}, $B104))) &gt; 0,$B104 &amp; "(" &amp; $E104 &amp; ")",IF(SUMPRODUCT(-- ISNUMBER(SEARCH({"Formula","Roll-Up Summary"}, $B104))) &gt; 0,$B104 &amp; " (" &amp; $E104 &amp; ")",IF(SUMPRODUCT(-- ISNUMBER(SEARCH({"Content","Currency","Number","Percent","Text","URL"}, $B104))) &gt; 0,$B104 &amp; "(" &amp; $C104 &amp; ")",$B104)))), "  ", TRIM(IF($S104 = "YES", "(External ID)", "") &amp; " " &amp; IF(SUMPRODUCT(-- ISNUMBER(SEARCH({"Unique","Unique Case Insensitive"}, $R104))) &gt; 0, "(" &amp; $R104 &amp; ")", ""))))</f>
        <v>na</v>
      </c>
      <c r="E104" s="7" t="s">
        <v>195</v>
      </c>
      <c r="F104" s="7" t="s">
        <v>195</v>
      </c>
      <c r="G104" s="7" t="s">
        <v>195</v>
      </c>
      <c r="H104" s="7" t="s">
        <v>195</v>
      </c>
      <c r="I104" s="7" t="s">
        <v>195</v>
      </c>
      <c r="J104" s="7" t="s">
        <v>195</v>
      </c>
      <c r="K104" s="7" t="s">
        <v>195</v>
      </c>
      <c r="L104" s="7" t="s">
        <v>195</v>
      </c>
      <c r="M104" s="7" t="s">
        <v>29</v>
      </c>
      <c r="N104" s="7" t="s">
        <v>29</v>
      </c>
      <c r="O104" s="7" t="s">
        <v>29</v>
      </c>
      <c r="P104" s="7" t="s">
        <v>29</v>
      </c>
      <c r="Q104" s="7" t="s">
        <v>29</v>
      </c>
      <c r="R104" s="7" t="s">
        <v>29</v>
      </c>
      <c r="S104" s="7" t="s">
        <v>29</v>
      </c>
    </row>
    <row r="105" spans="2:19">
      <c r="B105" s="7" t="s">
        <v>195</v>
      </c>
      <c r="C105" s="8" t="s">
        <v>195</v>
      </c>
      <c r="D105" s="5" t="str">
        <f>LRTRIM(CONCATENATE(IF(SUMPRODUCT(-- ISNUMBER(SEARCH({"Auto Number"}, $B105))) &gt; 0, $B105, IF(SUMPRODUCT(-- ISNUMBER(SEARCH({"Lookup","Master-Detail"}, $B105))) &gt; 0,$B105 &amp; "(" &amp; $E105 &amp; ")",IF(SUMPRODUCT(-- ISNUMBER(SEARCH({"Formula","Roll-Up Summary"}, $B105))) &gt; 0,$B105 &amp; " (" &amp; $E105 &amp; ")",IF(SUMPRODUCT(-- ISNUMBER(SEARCH({"Content","Currency","Number","Percent","Text","URL"}, $B105))) &gt; 0,$B105 &amp; "(" &amp; $C105 &amp; ")",$B105)))), "  ", TRIM(IF($S105 = "YES", "(External ID)", "") &amp; " " &amp; IF(SUMPRODUCT(-- ISNUMBER(SEARCH({"Unique","Unique Case Insensitive"}, $R105))) &gt; 0, "(" &amp; $R105 &amp; ")", ""))))</f>
        <v>na</v>
      </c>
      <c r="E105" s="7" t="s">
        <v>195</v>
      </c>
      <c r="F105" s="7" t="s">
        <v>195</v>
      </c>
      <c r="G105" s="7" t="s">
        <v>195</v>
      </c>
      <c r="H105" s="7" t="s">
        <v>195</v>
      </c>
      <c r="I105" s="7" t="s">
        <v>195</v>
      </c>
      <c r="J105" s="7" t="s">
        <v>195</v>
      </c>
      <c r="K105" s="7" t="s">
        <v>195</v>
      </c>
      <c r="L105" s="7" t="s">
        <v>195</v>
      </c>
      <c r="M105" s="7" t="s">
        <v>29</v>
      </c>
      <c r="N105" s="7" t="s">
        <v>29</v>
      </c>
      <c r="O105" s="7" t="s">
        <v>29</v>
      </c>
      <c r="P105" s="7" t="s">
        <v>29</v>
      </c>
      <c r="Q105" s="7" t="s">
        <v>29</v>
      </c>
      <c r="R105" s="7" t="s">
        <v>29</v>
      </c>
      <c r="S105" s="7" t="s">
        <v>29</v>
      </c>
    </row>
    <row r="106" spans="2:19">
      <c r="B106" s="7" t="s">
        <v>195</v>
      </c>
      <c r="C106" s="8" t="s">
        <v>195</v>
      </c>
      <c r="D106" s="5" t="str">
        <f>LRTRIM(CONCATENATE(IF(SUMPRODUCT(-- ISNUMBER(SEARCH({"Auto Number"}, $B106))) &gt; 0, $B106, IF(SUMPRODUCT(-- ISNUMBER(SEARCH({"Lookup","Master-Detail"}, $B106))) &gt; 0,$B106 &amp; "(" &amp; $E106 &amp; ")",IF(SUMPRODUCT(-- ISNUMBER(SEARCH({"Formula","Roll-Up Summary"}, $B106))) &gt; 0,$B106 &amp; " (" &amp; $E106 &amp; ")",IF(SUMPRODUCT(-- ISNUMBER(SEARCH({"Content","Currency","Number","Percent","Text","URL"}, $B106))) &gt; 0,$B106 &amp; "(" &amp; $C106 &amp; ")",$B106)))), "  ", TRIM(IF($S106 = "YES", "(External ID)", "") &amp; " " &amp; IF(SUMPRODUCT(-- ISNUMBER(SEARCH({"Unique","Unique Case Insensitive"}, $R106))) &gt; 0, "(" &amp; $R106 &amp; ")", ""))))</f>
        <v>na</v>
      </c>
      <c r="E106" s="7" t="s">
        <v>195</v>
      </c>
      <c r="F106" s="7" t="s">
        <v>195</v>
      </c>
      <c r="G106" s="7" t="s">
        <v>195</v>
      </c>
      <c r="H106" s="7" t="s">
        <v>195</v>
      </c>
      <c r="I106" s="7" t="s">
        <v>195</v>
      </c>
      <c r="J106" s="7" t="s">
        <v>195</v>
      </c>
      <c r="K106" s="7" t="s">
        <v>195</v>
      </c>
      <c r="L106" s="7" t="s">
        <v>195</v>
      </c>
      <c r="M106" s="7" t="s">
        <v>29</v>
      </c>
      <c r="N106" s="7" t="s">
        <v>29</v>
      </c>
      <c r="O106" s="7" t="s">
        <v>29</v>
      </c>
      <c r="P106" s="7" t="s">
        <v>29</v>
      </c>
      <c r="Q106" s="7" t="s">
        <v>29</v>
      </c>
      <c r="R106" s="7" t="s">
        <v>29</v>
      </c>
      <c r="S106" s="7" t="s">
        <v>29</v>
      </c>
    </row>
    <row r="107" spans="2:19">
      <c r="B107" s="7" t="s">
        <v>195</v>
      </c>
      <c r="C107" s="8" t="s">
        <v>195</v>
      </c>
      <c r="D107" s="5" t="str">
        <f>LRTRIM(CONCATENATE(IF(SUMPRODUCT(-- ISNUMBER(SEARCH({"Auto Number"}, $B107))) &gt; 0, $B107, IF(SUMPRODUCT(-- ISNUMBER(SEARCH({"Lookup","Master-Detail"}, $B107))) &gt; 0,$B107 &amp; "(" &amp; $E107 &amp; ")",IF(SUMPRODUCT(-- ISNUMBER(SEARCH({"Formula","Roll-Up Summary"}, $B107))) &gt; 0,$B107 &amp; " (" &amp; $E107 &amp; ")",IF(SUMPRODUCT(-- ISNUMBER(SEARCH({"Content","Currency","Number","Percent","Text","URL"}, $B107))) &gt; 0,$B107 &amp; "(" &amp; $C107 &amp; ")",$B107)))), "  ", TRIM(IF($S107 = "YES", "(External ID)", "") &amp; " " &amp; IF(SUMPRODUCT(-- ISNUMBER(SEARCH({"Unique","Unique Case Insensitive"}, $R107))) &gt; 0, "(" &amp; $R107 &amp; ")", ""))))</f>
        <v>na</v>
      </c>
      <c r="E107" s="7" t="s">
        <v>195</v>
      </c>
      <c r="F107" s="7" t="s">
        <v>195</v>
      </c>
      <c r="G107" s="7" t="s">
        <v>195</v>
      </c>
      <c r="H107" s="7" t="s">
        <v>195</v>
      </c>
      <c r="I107" s="7" t="s">
        <v>195</v>
      </c>
      <c r="J107" s="7" t="s">
        <v>195</v>
      </c>
      <c r="K107" s="7" t="s">
        <v>195</v>
      </c>
      <c r="L107" s="7" t="s">
        <v>195</v>
      </c>
      <c r="M107" s="7" t="s">
        <v>29</v>
      </c>
      <c r="N107" s="7" t="s">
        <v>29</v>
      </c>
      <c r="O107" s="7" t="s">
        <v>29</v>
      </c>
      <c r="P107" s="7" t="s">
        <v>29</v>
      </c>
      <c r="Q107" s="7" t="s">
        <v>29</v>
      </c>
      <c r="R107" s="7" t="s">
        <v>29</v>
      </c>
      <c r="S107" s="7" t="s">
        <v>29</v>
      </c>
    </row>
    <row r="108" spans="2:19">
      <c r="B108" s="7" t="s">
        <v>195</v>
      </c>
      <c r="C108" s="8" t="s">
        <v>195</v>
      </c>
      <c r="D108" s="5" t="str">
        <f>LRTRIM(CONCATENATE(IF(SUMPRODUCT(-- ISNUMBER(SEARCH({"Auto Number"}, $B108))) &gt; 0, $B108, IF(SUMPRODUCT(-- ISNUMBER(SEARCH({"Lookup","Master-Detail"}, $B108))) &gt; 0,$B108 &amp; "(" &amp; $E108 &amp; ")",IF(SUMPRODUCT(-- ISNUMBER(SEARCH({"Formula","Roll-Up Summary"}, $B108))) &gt; 0,$B108 &amp; " (" &amp; $E108 &amp; ")",IF(SUMPRODUCT(-- ISNUMBER(SEARCH({"Content","Currency","Number","Percent","Text","URL"}, $B108))) &gt; 0,$B108 &amp; "(" &amp; $C108 &amp; ")",$B108)))), "  ", TRIM(IF($S108 = "YES", "(External ID)", "") &amp; " " &amp; IF(SUMPRODUCT(-- ISNUMBER(SEARCH({"Unique","Unique Case Insensitive"}, $R108))) &gt; 0, "(" &amp; $R108 &amp; ")", ""))))</f>
        <v>na</v>
      </c>
      <c r="E108" s="7" t="s">
        <v>195</v>
      </c>
      <c r="F108" s="7" t="s">
        <v>195</v>
      </c>
      <c r="G108" s="7" t="s">
        <v>195</v>
      </c>
      <c r="H108" s="7" t="s">
        <v>195</v>
      </c>
      <c r="I108" s="7" t="s">
        <v>195</v>
      </c>
      <c r="J108" s="7" t="s">
        <v>195</v>
      </c>
      <c r="K108" s="7" t="s">
        <v>195</v>
      </c>
      <c r="L108" s="7" t="s">
        <v>195</v>
      </c>
      <c r="M108" s="7" t="s">
        <v>29</v>
      </c>
      <c r="N108" s="7" t="s">
        <v>29</v>
      </c>
      <c r="O108" s="7" t="s">
        <v>29</v>
      </c>
      <c r="P108" s="7" t="s">
        <v>29</v>
      </c>
      <c r="Q108" s="7" t="s">
        <v>29</v>
      </c>
      <c r="R108" s="7" t="s">
        <v>29</v>
      </c>
      <c r="S108" s="7" t="s">
        <v>29</v>
      </c>
    </row>
    <row r="109" spans="2:19">
      <c r="B109" s="7" t="s">
        <v>195</v>
      </c>
      <c r="C109" s="8" t="s">
        <v>195</v>
      </c>
      <c r="D109" s="5" t="str">
        <f>LRTRIM(CONCATENATE(IF(SUMPRODUCT(-- ISNUMBER(SEARCH({"Auto Number"}, $B109))) &gt; 0, $B109, IF(SUMPRODUCT(-- ISNUMBER(SEARCH({"Lookup","Master-Detail"}, $B109))) &gt; 0,$B109 &amp; "(" &amp; $E109 &amp; ")",IF(SUMPRODUCT(-- ISNUMBER(SEARCH({"Formula","Roll-Up Summary"}, $B109))) &gt; 0,$B109 &amp; " (" &amp; $E109 &amp; ")",IF(SUMPRODUCT(-- ISNUMBER(SEARCH({"Content","Currency","Number","Percent","Text","URL"}, $B109))) &gt; 0,$B109 &amp; "(" &amp; $C109 &amp; ")",$B109)))), "  ", TRIM(IF($S109 = "YES", "(External ID)", "") &amp; " " &amp; IF(SUMPRODUCT(-- ISNUMBER(SEARCH({"Unique","Unique Case Insensitive"}, $R109))) &gt; 0, "(" &amp; $R109 &amp; ")", ""))))</f>
        <v>na</v>
      </c>
      <c r="E109" s="7" t="s">
        <v>195</v>
      </c>
      <c r="F109" s="7" t="s">
        <v>195</v>
      </c>
      <c r="G109" s="7" t="s">
        <v>195</v>
      </c>
      <c r="H109" s="7" t="s">
        <v>195</v>
      </c>
      <c r="I109" s="7" t="s">
        <v>195</v>
      </c>
      <c r="J109" s="7" t="s">
        <v>195</v>
      </c>
      <c r="K109" s="7" t="s">
        <v>195</v>
      </c>
      <c r="L109" s="7" t="s">
        <v>195</v>
      </c>
      <c r="M109" s="7" t="s">
        <v>29</v>
      </c>
      <c r="N109" s="7" t="s">
        <v>29</v>
      </c>
      <c r="O109" s="7" t="s">
        <v>29</v>
      </c>
      <c r="P109" s="7" t="s">
        <v>29</v>
      </c>
      <c r="Q109" s="7" t="s">
        <v>29</v>
      </c>
      <c r="R109" s="7" t="s">
        <v>29</v>
      </c>
      <c r="S109" s="7" t="s">
        <v>29</v>
      </c>
    </row>
    <row r="110" spans="2:19">
      <c r="B110" s="7" t="s">
        <v>195</v>
      </c>
      <c r="C110" s="8" t="s">
        <v>195</v>
      </c>
      <c r="D110" s="5" t="str">
        <f>LRTRIM(CONCATENATE(IF(SUMPRODUCT(-- ISNUMBER(SEARCH({"Auto Number"}, $B110))) &gt; 0, $B110, IF(SUMPRODUCT(-- ISNUMBER(SEARCH({"Lookup","Master-Detail"}, $B110))) &gt; 0,$B110 &amp; "(" &amp; $E110 &amp; ")",IF(SUMPRODUCT(-- ISNUMBER(SEARCH({"Formula","Roll-Up Summary"}, $B110))) &gt; 0,$B110 &amp; " (" &amp; $E110 &amp; ")",IF(SUMPRODUCT(-- ISNUMBER(SEARCH({"Content","Currency","Number","Percent","Text","URL"}, $B110))) &gt; 0,$B110 &amp; "(" &amp; $C110 &amp; ")",$B110)))), "  ", TRIM(IF($S110 = "YES", "(External ID)", "") &amp; " " &amp; IF(SUMPRODUCT(-- ISNUMBER(SEARCH({"Unique","Unique Case Insensitive"}, $R110))) &gt; 0, "(" &amp; $R110 &amp; ")", ""))))</f>
        <v>na</v>
      </c>
      <c r="E110" s="7" t="s">
        <v>195</v>
      </c>
      <c r="F110" s="7" t="s">
        <v>195</v>
      </c>
      <c r="G110" s="7" t="s">
        <v>195</v>
      </c>
      <c r="H110" s="7" t="s">
        <v>195</v>
      </c>
      <c r="I110" s="7" t="s">
        <v>195</v>
      </c>
      <c r="J110" s="7" t="s">
        <v>195</v>
      </c>
      <c r="K110" s="7" t="s">
        <v>195</v>
      </c>
      <c r="L110" s="7" t="s">
        <v>195</v>
      </c>
      <c r="M110" s="7" t="s">
        <v>29</v>
      </c>
      <c r="N110" s="7" t="s">
        <v>29</v>
      </c>
      <c r="O110" s="7" t="s">
        <v>29</v>
      </c>
      <c r="P110" s="7" t="s">
        <v>29</v>
      </c>
      <c r="Q110" s="7" t="s">
        <v>29</v>
      </c>
      <c r="R110" s="7" t="s">
        <v>29</v>
      </c>
      <c r="S110" s="7" t="s">
        <v>29</v>
      </c>
    </row>
    <row r="111" spans="2:19">
      <c r="B111" s="7" t="s">
        <v>195</v>
      </c>
      <c r="C111" s="8" t="s">
        <v>195</v>
      </c>
      <c r="D111" s="5" t="str">
        <f>LRTRIM(CONCATENATE(IF(SUMPRODUCT(-- ISNUMBER(SEARCH({"Auto Number"}, $B111))) &gt; 0, $B111, IF(SUMPRODUCT(-- ISNUMBER(SEARCH({"Lookup","Master-Detail"}, $B111))) &gt; 0,$B111 &amp; "(" &amp; $E111 &amp; ")",IF(SUMPRODUCT(-- ISNUMBER(SEARCH({"Formula","Roll-Up Summary"}, $B111))) &gt; 0,$B111 &amp; " (" &amp; $E111 &amp; ")",IF(SUMPRODUCT(-- ISNUMBER(SEARCH({"Content","Currency","Number","Percent","Text","URL"}, $B111))) &gt; 0,$B111 &amp; "(" &amp; $C111 &amp; ")",$B111)))), "  ", TRIM(IF($S111 = "YES", "(External ID)", "") &amp; " " &amp; IF(SUMPRODUCT(-- ISNUMBER(SEARCH({"Unique","Unique Case Insensitive"}, $R111))) &gt; 0, "(" &amp; $R111 &amp; ")", ""))))</f>
        <v>na</v>
      </c>
      <c r="E111" s="7" t="s">
        <v>195</v>
      </c>
      <c r="F111" s="7" t="s">
        <v>195</v>
      </c>
      <c r="G111" s="7" t="s">
        <v>195</v>
      </c>
      <c r="H111" s="7" t="s">
        <v>195</v>
      </c>
      <c r="I111" s="7" t="s">
        <v>195</v>
      </c>
      <c r="J111" s="7" t="s">
        <v>195</v>
      </c>
      <c r="K111" s="7" t="s">
        <v>195</v>
      </c>
      <c r="L111" s="7" t="s">
        <v>195</v>
      </c>
      <c r="M111" s="7" t="s">
        <v>29</v>
      </c>
      <c r="N111" s="7" t="s">
        <v>29</v>
      </c>
      <c r="O111" s="7" t="s">
        <v>29</v>
      </c>
      <c r="P111" s="7" t="s">
        <v>29</v>
      </c>
      <c r="Q111" s="7" t="s">
        <v>29</v>
      </c>
      <c r="R111" s="7" t="s">
        <v>29</v>
      </c>
      <c r="S111" s="7" t="s">
        <v>29</v>
      </c>
    </row>
    <row r="112" spans="2:19">
      <c r="B112" s="7" t="s">
        <v>195</v>
      </c>
      <c r="C112" s="8" t="s">
        <v>195</v>
      </c>
      <c r="D112" s="5" t="str">
        <f>LRTRIM(CONCATENATE(IF(SUMPRODUCT(-- ISNUMBER(SEARCH({"Auto Number"}, $B112))) &gt; 0, $B112, IF(SUMPRODUCT(-- ISNUMBER(SEARCH({"Lookup","Master-Detail"}, $B112))) &gt; 0,$B112 &amp; "(" &amp; $E112 &amp; ")",IF(SUMPRODUCT(-- ISNUMBER(SEARCH({"Formula","Roll-Up Summary"}, $B112))) &gt; 0,$B112 &amp; " (" &amp; $E112 &amp; ")",IF(SUMPRODUCT(-- ISNUMBER(SEARCH({"Content","Currency","Number","Percent","Text","URL"}, $B112))) &gt; 0,$B112 &amp; "(" &amp; $C112 &amp; ")",$B112)))), "  ", TRIM(IF($S112 = "YES", "(External ID)", "") &amp; " " &amp; IF(SUMPRODUCT(-- ISNUMBER(SEARCH({"Unique","Unique Case Insensitive"}, $R112))) &gt; 0, "(" &amp; $R112 &amp; ")", ""))))</f>
        <v>na</v>
      </c>
      <c r="E112" s="7" t="s">
        <v>195</v>
      </c>
      <c r="F112" s="7" t="s">
        <v>195</v>
      </c>
      <c r="G112" s="7" t="s">
        <v>195</v>
      </c>
      <c r="H112" s="7" t="s">
        <v>195</v>
      </c>
      <c r="I112" s="7" t="s">
        <v>195</v>
      </c>
      <c r="J112" s="7" t="s">
        <v>195</v>
      </c>
      <c r="K112" s="7" t="s">
        <v>195</v>
      </c>
      <c r="L112" s="7" t="s">
        <v>195</v>
      </c>
      <c r="M112" s="7" t="s">
        <v>29</v>
      </c>
      <c r="N112" s="7" t="s">
        <v>29</v>
      </c>
      <c r="O112" s="7" t="s">
        <v>29</v>
      </c>
      <c r="P112" s="7" t="s">
        <v>29</v>
      </c>
      <c r="Q112" s="7" t="s">
        <v>29</v>
      </c>
      <c r="R112" s="7" t="s">
        <v>29</v>
      </c>
      <c r="S112" s="7" t="s">
        <v>29</v>
      </c>
    </row>
    <row r="113" spans="2:19">
      <c r="B113" s="7" t="s">
        <v>195</v>
      </c>
      <c r="C113" s="8" t="s">
        <v>195</v>
      </c>
      <c r="D113" s="5" t="str">
        <f>LRTRIM(CONCATENATE(IF(SUMPRODUCT(-- ISNUMBER(SEARCH({"Auto Number"}, $B113))) &gt; 0, $B113, IF(SUMPRODUCT(-- ISNUMBER(SEARCH({"Lookup","Master-Detail"}, $B113))) &gt; 0,$B113 &amp; "(" &amp; $E113 &amp; ")",IF(SUMPRODUCT(-- ISNUMBER(SEARCH({"Formula","Roll-Up Summary"}, $B113))) &gt; 0,$B113 &amp; " (" &amp; $E113 &amp; ")",IF(SUMPRODUCT(-- ISNUMBER(SEARCH({"Content","Currency","Number","Percent","Text","URL"}, $B113))) &gt; 0,$B113 &amp; "(" &amp; $C113 &amp; ")",$B113)))), "  ", TRIM(IF($S113 = "YES", "(External ID)", "") &amp; " " &amp; IF(SUMPRODUCT(-- ISNUMBER(SEARCH({"Unique","Unique Case Insensitive"}, $R113))) &gt; 0, "(" &amp; $R113 &amp; ")", ""))))</f>
        <v>na</v>
      </c>
      <c r="E113" s="7" t="s">
        <v>195</v>
      </c>
      <c r="F113" s="7" t="s">
        <v>195</v>
      </c>
      <c r="G113" s="7" t="s">
        <v>195</v>
      </c>
      <c r="H113" s="7" t="s">
        <v>195</v>
      </c>
      <c r="I113" s="7" t="s">
        <v>195</v>
      </c>
      <c r="J113" s="7" t="s">
        <v>195</v>
      </c>
      <c r="K113" s="7" t="s">
        <v>195</v>
      </c>
      <c r="L113" s="7" t="s">
        <v>195</v>
      </c>
      <c r="M113" s="7" t="s">
        <v>29</v>
      </c>
      <c r="N113" s="7" t="s">
        <v>29</v>
      </c>
      <c r="O113" s="7" t="s">
        <v>29</v>
      </c>
      <c r="P113" s="7" t="s">
        <v>29</v>
      </c>
      <c r="Q113" s="7" t="s">
        <v>29</v>
      </c>
      <c r="R113" s="7" t="s">
        <v>29</v>
      </c>
      <c r="S113" s="7" t="s">
        <v>29</v>
      </c>
    </row>
    <row r="114" spans="2:19">
      <c r="B114" s="7" t="s">
        <v>195</v>
      </c>
      <c r="C114" s="8" t="s">
        <v>195</v>
      </c>
      <c r="D114" s="5" t="str">
        <f>LRTRIM(CONCATENATE(IF(SUMPRODUCT(-- ISNUMBER(SEARCH({"Auto Number"}, $B114))) &gt; 0, $B114, IF(SUMPRODUCT(-- ISNUMBER(SEARCH({"Lookup","Master-Detail"}, $B114))) &gt; 0,$B114 &amp; "(" &amp; $E114 &amp; ")",IF(SUMPRODUCT(-- ISNUMBER(SEARCH({"Formula","Roll-Up Summary"}, $B114))) &gt; 0,$B114 &amp; " (" &amp; $E114 &amp; ")",IF(SUMPRODUCT(-- ISNUMBER(SEARCH({"Content","Currency","Number","Percent","Text","URL"}, $B114))) &gt; 0,$B114 &amp; "(" &amp; $C114 &amp; ")",$B114)))), "  ", TRIM(IF($S114 = "YES", "(External ID)", "") &amp; " " &amp; IF(SUMPRODUCT(-- ISNUMBER(SEARCH({"Unique","Unique Case Insensitive"}, $R114))) &gt; 0, "(" &amp; $R114 &amp; ")", ""))))</f>
        <v>na</v>
      </c>
      <c r="E114" s="7" t="s">
        <v>195</v>
      </c>
      <c r="F114" s="7" t="s">
        <v>195</v>
      </c>
      <c r="G114" s="7" t="s">
        <v>195</v>
      </c>
      <c r="H114" s="7" t="s">
        <v>195</v>
      </c>
      <c r="I114" s="7" t="s">
        <v>195</v>
      </c>
      <c r="J114" s="7" t="s">
        <v>195</v>
      </c>
      <c r="K114" s="7" t="s">
        <v>195</v>
      </c>
      <c r="L114" s="7" t="s">
        <v>195</v>
      </c>
      <c r="M114" s="7" t="s">
        <v>29</v>
      </c>
      <c r="N114" s="7" t="s">
        <v>29</v>
      </c>
      <c r="O114" s="7" t="s">
        <v>29</v>
      </c>
      <c r="P114" s="7" t="s">
        <v>29</v>
      </c>
      <c r="Q114" s="7" t="s">
        <v>29</v>
      </c>
      <c r="R114" s="7" t="s">
        <v>29</v>
      </c>
      <c r="S114" s="7" t="s">
        <v>29</v>
      </c>
    </row>
    <row r="115" spans="2:19">
      <c r="B115" s="7" t="s">
        <v>195</v>
      </c>
      <c r="C115" s="8" t="s">
        <v>195</v>
      </c>
      <c r="D115" s="5" t="str">
        <f>LRTRIM(CONCATENATE(IF(SUMPRODUCT(-- ISNUMBER(SEARCH({"Auto Number"}, $B115))) &gt; 0, $B115, IF(SUMPRODUCT(-- ISNUMBER(SEARCH({"Lookup","Master-Detail"}, $B115))) &gt; 0,$B115 &amp; "(" &amp; $E115 &amp; ")",IF(SUMPRODUCT(-- ISNUMBER(SEARCH({"Formula","Roll-Up Summary"}, $B115))) &gt; 0,$B115 &amp; " (" &amp; $E115 &amp; ")",IF(SUMPRODUCT(-- ISNUMBER(SEARCH({"Content","Currency","Number","Percent","Text","URL"}, $B115))) &gt; 0,$B115 &amp; "(" &amp; $C115 &amp; ")",$B115)))), "  ", TRIM(IF($S115 = "YES", "(External ID)", "") &amp; " " &amp; IF(SUMPRODUCT(-- ISNUMBER(SEARCH({"Unique","Unique Case Insensitive"}, $R115))) &gt; 0, "(" &amp; $R115 &amp; ")", ""))))</f>
        <v>na</v>
      </c>
      <c r="E115" s="7" t="s">
        <v>195</v>
      </c>
      <c r="F115" s="7" t="s">
        <v>195</v>
      </c>
      <c r="G115" s="7" t="s">
        <v>195</v>
      </c>
      <c r="H115" s="7" t="s">
        <v>195</v>
      </c>
      <c r="I115" s="7" t="s">
        <v>195</v>
      </c>
      <c r="J115" s="7" t="s">
        <v>195</v>
      </c>
      <c r="K115" s="7" t="s">
        <v>195</v>
      </c>
      <c r="L115" s="7" t="s">
        <v>195</v>
      </c>
      <c r="M115" s="7" t="s">
        <v>29</v>
      </c>
      <c r="N115" s="7" t="s">
        <v>29</v>
      </c>
      <c r="O115" s="7" t="s">
        <v>29</v>
      </c>
      <c r="P115" s="7" t="s">
        <v>29</v>
      </c>
      <c r="Q115" s="7" t="s">
        <v>29</v>
      </c>
      <c r="R115" s="7" t="s">
        <v>29</v>
      </c>
      <c r="S115" s="7" t="s">
        <v>29</v>
      </c>
    </row>
    <row r="116" spans="2:19">
      <c r="B116" s="7" t="s">
        <v>195</v>
      </c>
      <c r="C116" s="8" t="s">
        <v>195</v>
      </c>
      <c r="D116" s="5" t="str">
        <f>LRTRIM(CONCATENATE(IF(SUMPRODUCT(-- ISNUMBER(SEARCH({"Auto Number"}, $B116))) &gt; 0, $B116, IF(SUMPRODUCT(-- ISNUMBER(SEARCH({"Lookup","Master-Detail"}, $B116))) &gt; 0,$B116 &amp; "(" &amp; $E116 &amp; ")",IF(SUMPRODUCT(-- ISNUMBER(SEARCH({"Formula","Roll-Up Summary"}, $B116))) &gt; 0,$B116 &amp; " (" &amp; $E116 &amp; ")",IF(SUMPRODUCT(-- ISNUMBER(SEARCH({"Content","Currency","Number","Percent","Text","URL"}, $B116))) &gt; 0,$B116 &amp; "(" &amp; $C116 &amp; ")",$B116)))), "  ", TRIM(IF($S116 = "YES", "(External ID)", "") &amp; " " &amp; IF(SUMPRODUCT(-- ISNUMBER(SEARCH({"Unique","Unique Case Insensitive"}, $R116))) &gt; 0, "(" &amp; $R116 &amp; ")", ""))))</f>
        <v>na</v>
      </c>
      <c r="E116" s="7" t="s">
        <v>195</v>
      </c>
      <c r="F116" s="7" t="s">
        <v>195</v>
      </c>
      <c r="G116" s="7" t="s">
        <v>195</v>
      </c>
      <c r="H116" s="7" t="s">
        <v>195</v>
      </c>
      <c r="I116" s="7" t="s">
        <v>195</v>
      </c>
      <c r="J116" s="7" t="s">
        <v>195</v>
      </c>
      <c r="K116" s="7" t="s">
        <v>195</v>
      </c>
      <c r="L116" s="7" t="s">
        <v>195</v>
      </c>
      <c r="M116" s="7" t="s">
        <v>29</v>
      </c>
      <c r="N116" s="7" t="s">
        <v>29</v>
      </c>
      <c r="O116" s="7" t="s">
        <v>29</v>
      </c>
      <c r="P116" s="7" t="s">
        <v>29</v>
      </c>
      <c r="Q116" s="7" t="s">
        <v>29</v>
      </c>
      <c r="R116" s="7" t="s">
        <v>29</v>
      </c>
      <c r="S116" s="7" t="s">
        <v>29</v>
      </c>
    </row>
    <row r="117" spans="2:19">
      <c r="B117" s="7" t="s">
        <v>195</v>
      </c>
      <c r="C117" s="8" t="s">
        <v>195</v>
      </c>
      <c r="D117" s="5" t="str">
        <f>LRTRIM(CONCATENATE(IF(SUMPRODUCT(-- ISNUMBER(SEARCH({"Auto Number"}, $B117))) &gt; 0, $B117, IF(SUMPRODUCT(-- ISNUMBER(SEARCH({"Lookup","Master-Detail"}, $B117))) &gt; 0,$B117 &amp; "(" &amp; $E117 &amp; ")",IF(SUMPRODUCT(-- ISNUMBER(SEARCH({"Formula","Roll-Up Summary"}, $B117))) &gt; 0,$B117 &amp; " (" &amp; $E117 &amp; ")",IF(SUMPRODUCT(-- ISNUMBER(SEARCH({"Content","Currency","Number","Percent","Text","URL"}, $B117))) &gt; 0,$B117 &amp; "(" &amp; $C117 &amp; ")",$B117)))), "  ", TRIM(IF($S117 = "YES", "(External ID)", "") &amp; " " &amp; IF(SUMPRODUCT(-- ISNUMBER(SEARCH({"Unique","Unique Case Insensitive"}, $R117))) &gt; 0, "(" &amp; $R117 &amp; ")", ""))))</f>
        <v>na</v>
      </c>
      <c r="E117" s="7" t="s">
        <v>195</v>
      </c>
      <c r="F117" s="7" t="s">
        <v>195</v>
      </c>
      <c r="G117" s="7" t="s">
        <v>195</v>
      </c>
      <c r="H117" s="7" t="s">
        <v>195</v>
      </c>
      <c r="I117" s="7" t="s">
        <v>195</v>
      </c>
      <c r="J117" s="7" t="s">
        <v>195</v>
      </c>
      <c r="K117" s="7" t="s">
        <v>195</v>
      </c>
      <c r="L117" s="7" t="s">
        <v>195</v>
      </c>
      <c r="M117" s="7" t="s">
        <v>29</v>
      </c>
      <c r="N117" s="7" t="s">
        <v>29</v>
      </c>
      <c r="O117" s="7" t="s">
        <v>29</v>
      </c>
      <c r="P117" s="7" t="s">
        <v>29</v>
      </c>
      <c r="Q117" s="7" t="s">
        <v>29</v>
      </c>
      <c r="R117" s="7" t="s">
        <v>29</v>
      </c>
      <c r="S117" s="7" t="s">
        <v>29</v>
      </c>
    </row>
    <row r="118" spans="2:19">
      <c r="B118" s="7" t="s">
        <v>195</v>
      </c>
      <c r="C118" s="8" t="s">
        <v>195</v>
      </c>
      <c r="D118" s="5" t="str">
        <f>LRTRIM(CONCATENATE(IF(SUMPRODUCT(-- ISNUMBER(SEARCH({"Auto Number"}, $B118))) &gt; 0, $B118, IF(SUMPRODUCT(-- ISNUMBER(SEARCH({"Lookup","Master-Detail"}, $B118))) &gt; 0,$B118 &amp; "(" &amp; $E118 &amp; ")",IF(SUMPRODUCT(-- ISNUMBER(SEARCH({"Formula","Roll-Up Summary"}, $B118))) &gt; 0,$B118 &amp; " (" &amp; $E118 &amp; ")",IF(SUMPRODUCT(-- ISNUMBER(SEARCH({"Content","Currency","Number","Percent","Text","URL"}, $B118))) &gt; 0,$B118 &amp; "(" &amp; $C118 &amp; ")",$B118)))), "  ", TRIM(IF($S118 = "YES", "(External ID)", "") &amp; " " &amp; IF(SUMPRODUCT(-- ISNUMBER(SEARCH({"Unique","Unique Case Insensitive"}, $R118))) &gt; 0, "(" &amp; $R118 &amp; ")", ""))))</f>
        <v>na</v>
      </c>
      <c r="E118" s="7" t="s">
        <v>195</v>
      </c>
      <c r="F118" s="7" t="s">
        <v>195</v>
      </c>
      <c r="G118" s="7" t="s">
        <v>195</v>
      </c>
      <c r="H118" s="7" t="s">
        <v>195</v>
      </c>
      <c r="I118" s="7" t="s">
        <v>195</v>
      </c>
      <c r="J118" s="7" t="s">
        <v>195</v>
      </c>
      <c r="K118" s="7" t="s">
        <v>195</v>
      </c>
      <c r="L118" s="7" t="s">
        <v>195</v>
      </c>
      <c r="M118" s="7" t="s">
        <v>29</v>
      </c>
      <c r="N118" s="7" t="s">
        <v>29</v>
      </c>
      <c r="O118" s="7" t="s">
        <v>29</v>
      </c>
      <c r="P118" s="7" t="s">
        <v>29</v>
      </c>
      <c r="Q118" s="7" t="s">
        <v>29</v>
      </c>
      <c r="R118" s="7" t="s">
        <v>29</v>
      </c>
      <c r="S118" s="7" t="s">
        <v>29</v>
      </c>
    </row>
    <row r="119" spans="2:19">
      <c r="B119" s="7" t="s">
        <v>195</v>
      </c>
      <c r="C119" s="8" t="s">
        <v>195</v>
      </c>
      <c r="D119" s="5" t="str">
        <f>LRTRIM(CONCATENATE(IF(SUMPRODUCT(-- ISNUMBER(SEARCH({"Auto Number"}, $B119))) &gt; 0, $B119, IF(SUMPRODUCT(-- ISNUMBER(SEARCH({"Lookup","Master-Detail"}, $B119))) &gt; 0,$B119 &amp; "(" &amp; $E119 &amp; ")",IF(SUMPRODUCT(-- ISNUMBER(SEARCH({"Formula","Roll-Up Summary"}, $B119))) &gt; 0,$B119 &amp; " (" &amp; $E119 &amp; ")",IF(SUMPRODUCT(-- ISNUMBER(SEARCH({"Content","Currency","Number","Percent","Text","URL"}, $B119))) &gt; 0,$B119 &amp; "(" &amp; $C119 &amp; ")",$B119)))), "  ", TRIM(IF($S119 = "YES", "(External ID)", "") &amp; " " &amp; IF(SUMPRODUCT(-- ISNUMBER(SEARCH({"Unique","Unique Case Insensitive"}, $R119))) &gt; 0, "(" &amp; $R119 &amp; ")", ""))))</f>
        <v>na</v>
      </c>
      <c r="E119" s="7" t="s">
        <v>195</v>
      </c>
      <c r="F119" s="7" t="s">
        <v>195</v>
      </c>
      <c r="G119" s="7" t="s">
        <v>195</v>
      </c>
      <c r="H119" s="7" t="s">
        <v>195</v>
      </c>
      <c r="I119" s="7" t="s">
        <v>195</v>
      </c>
      <c r="J119" s="7" t="s">
        <v>195</v>
      </c>
      <c r="K119" s="7" t="s">
        <v>195</v>
      </c>
      <c r="L119" s="7" t="s">
        <v>195</v>
      </c>
      <c r="M119" s="7" t="s">
        <v>29</v>
      </c>
      <c r="N119" s="7" t="s">
        <v>29</v>
      </c>
      <c r="O119" s="7" t="s">
        <v>29</v>
      </c>
      <c r="P119" s="7" t="s">
        <v>29</v>
      </c>
      <c r="Q119" s="7" t="s">
        <v>29</v>
      </c>
      <c r="R119" s="7" t="s">
        <v>29</v>
      </c>
      <c r="S119" s="7" t="s">
        <v>29</v>
      </c>
    </row>
    <row r="120" spans="2:19">
      <c r="B120" s="7" t="s">
        <v>195</v>
      </c>
      <c r="C120" s="8" t="s">
        <v>195</v>
      </c>
      <c r="D120" s="5" t="str">
        <f>LRTRIM(CONCATENATE(IF(SUMPRODUCT(-- ISNUMBER(SEARCH({"Auto Number"}, $B120))) &gt; 0, $B120, IF(SUMPRODUCT(-- ISNUMBER(SEARCH({"Lookup","Master-Detail"}, $B120))) &gt; 0,$B120 &amp; "(" &amp; $E120 &amp; ")",IF(SUMPRODUCT(-- ISNUMBER(SEARCH({"Formula","Roll-Up Summary"}, $B120))) &gt; 0,$B120 &amp; " (" &amp; $E120 &amp; ")",IF(SUMPRODUCT(-- ISNUMBER(SEARCH({"Content","Currency","Number","Percent","Text","URL"}, $B120))) &gt; 0,$B120 &amp; "(" &amp; $C120 &amp; ")",$B120)))), "  ", TRIM(IF($S120 = "YES", "(External ID)", "") &amp; " " &amp; IF(SUMPRODUCT(-- ISNUMBER(SEARCH({"Unique","Unique Case Insensitive"}, $R120))) &gt; 0, "(" &amp; $R120 &amp; ")", ""))))</f>
        <v>na</v>
      </c>
      <c r="E120" s="7" t="s">
        <v>195</v>
      </c>
      <c r="F120" s="7" t="s">
        <v>195</v>
      </c>
      <c r="G120" s="7" t="s">
        <v>195</v>
      </c>
      <c r="H120" s="7" t="s">
        <v>195</v>
      </c>
      <c r="I120" s="7" t="s">
        <v>195</v>
      </c>
      <c r="J120" s="7" t="s">
        <v>195</v>
      </c>
      <c r="K120" s="7" t="s">
        <v>195</v>
      </c>
      <c r="L120" s="7" t="s">
        <v>195</v>
      </c>
      <c r="M120" s="7" t="s">
        <v>29</v>
      </c>
      <c r="N120" s="7" t="s">
        <v>29</v>
      </c>
      <c r="O120" s="7" t="s">
        <v>29</v>
      </c>
      <c r="P120" s="7" t="s">
        <v>29</v>
      </c>
      <c r="Q120" s="7" t="s">
        <v>29</v>
      </c>
      <c r="R120" s="7" t="s">
        <v>29</v>
      </c>
      <c r="S120" s="7" t="s">
        <v>29</v>
      </c>
    </row>
    <row r="121" spans="2:19">
      <c r="B121" s="7" t="s">
        <v>195</v>
      </c>
      <c r="C121" s="8" t="s">
        <v>195</v>
      </c>
      <c r="D121" s="5" t="str">
        <f>LRTRIM(CONCATENATE(IF(SUMPRODUCT(-- ISNUMBER(SEARCH({"Auto Number"}, $B121))) &gt; 0, $B121, IF(SUMPRODUCT(-- ISNUMBER(SEARCH({"Lookup","Master-Detail"}, $B121))) &gt; 0,$B121 &amp; "(" &amp; $E121 &amp; ")",IF(SUMPRODUCT(-- ISNUMBER(SEARCH({"Formula","Roll-Up Summary"}, $B121))) &gt; 0,$B121 &amp; " (" &amp; $E121 &amp; ")",IF(SUMPRODUCT(-- ISNUMBER(SEARCH({"Content","Currency","Number","Percent","Text","URL"}, $B121))) &gt; 0,$B121 &amp; "(" &amp; $C121 &amp; ")",$B121)))), "  ", TRIM(IF($S121 = "YES", "(External ID)", "") &amp; " " &amp; IF(SUMPRODUCT(-- ISNUMBER(SEARCH({"Unique","Unique Case Insensitive"}, $R121))) &gt; 0, "(" &amp; $R121 &amp; ")", ""))))</f>
        <v>na</v>
      </c>
      <c r="E121" s="7" t="s">
        <v>195</v>
      </c>
      <c r="F121" s="7" t="s">
        <v>195</v>
      </c>
      <c r="G121" s="7" t="s">
        <v>195</v>
      </c>
      <c r="H121" s="7" t="s">
        <v>195</v>
      </c>
      <c r="I121" s="7" t="s">
        <v>195</v>
      </c>
      <c r="J121" s="7" t="s">
        <v>195</v>
      </c>
      <c r="K121" s="7" t="s">
        <v>195</v>
      </c>
      <c r="L121" s="7" t="s">
        <v>195</v>
      </c>
      <c r="M121" s="7" t="s">
        <v>29</v>
      </c>
      <c r="N121" s="7" t="s">
        <v>29</v>
      </c>
      <c r="O121" s="7" t="s">
        <v>29</v>
      </c>
      <c r="P121" s="7" t="s">
        <v>29</v>
      </c>
      <c r="Q121" s="7" t="s">
        <v>29</v>
      </c>
      <c r="R121" s="7" t="s">
        <v>29</v>
      </c>
      <c r="S121" s="7" t="s">
        <v>29</v>
      </c>
    </row>
    <row r="122" spans="2:19">
      <c r="B122" s="7" t="s">
        <v>195</v>
      </c>
      <c r="C122" s="8" t="s">
        <v>195</v>
      </c>
      <c r="D122" s="5" t="str">
        <f>LRTRIM(CONCATENATE(IF(SUMPRODUCT(-- ISNUMBER(SEARCH({"Auto Number"}, $B122))) &gt; 0, $B122, IF(SUMPRODUCT(-- ISNUMBER(SEARCH({"Lookup","Master-Detail"}, $B122))) &gt; 0,$B122 &amp; "(" &amp; $E122 &amp; ")",IF(SUMPRODUCT(-- ISNUMBER(SEARCH({"Formula","Roll-Up Summary"}, $B122))) &gt; 0,$B122 &amp; " (" &amp; $E122 &amp; ")",IF(SUMPRODUCT(-- ISNUMBER(SEARCH({"Content","Currency","Number","Percent","Text","URL"}, $B122))) &gt; 0,$B122 &amp; "(" &amp; $C122 &amp; ")",$B122)))), "  ", TRIM(IF($S122 = "YES", "(External ID)", "") &amp; " " &amp; IF(SUMPRODUCT(-- ISNUMBER(SEARCH({"Unique","Unique Case Insensitive"}, $R122))) &gt; 0, "(" &amp; $R122 &amp; ")", ""))))</f>
        <v>na</v>
      </c>
      <c r="E122" s="7" t="s">
        <v>195</v>
      </c>
      <c r="F122" s="7" t="s">
        <v>195</v>
      </c>
      <c r="G122" s="7" t="s">
        <v>195</v>
      </c>
      <c r="H122" s="7" t="s">
        <v>195</v>
      </c>
      <c r="I122" s="7" t="s">
        <v>195</v>
      </c>
      <c r="J122" s="7" t="s">
        <v>195</v>
      </c>
      <c r="K122" s="7" t="s">
        <v>195</v>
      </c>
      <c r="L122" s="7" t="s">
        <v>195</v>
      </c>
      <c r="M122" s="7" t="s">
        <v>29</v>
      </c>
      <c r="N122" s="7" t="s">
        <v>29</v>
      </c>
      <c r="O122" s="7" t="s">
        <v>29</v>
      </c>
      <c r="P122" s="7" t="s">
        <v>29</v>
      </c>
      <c r="Q122" s="7" t="s">
        <v>29</v>
      </c>
      <c r="R122" s="7" t="s">
        <v>29</v>
      </c>
      <c r="S122" s="7" t="s">
        <v>29</v>
      </c>
    </row>
    <row r="123" spans="2:19">
      <c r="B123" s="7" t="s">
        <v>195</v>
      </c>
      <c r="C123" s="8" t="s">
        <v>195</v>
      </c>
      <c r="D123" s="5" t="str">
        <f>LRTRIM(CONCATENATE(IF(SUMPRODUCT(-- ISNUMBER(SEARCH({"Auto Number"}, $B123))) &gt; 0, $B123, IF(SUMPRODUCT(-- ISNUMBER(SEARCH({"Lookup","Master-Detail"}, $B123))) &gt; 0,$B123 &amp; "(" &amp; $E123 &amp; ")",IF(SUMPRODUCT(-- ISNUMBER(SEARCH({"Formula","Roll-Up Summary"}, $B123))) &gt; 0,$B123 &amp; " (" &amp; $E123 &amp; ")",IF(SUMPRODUCT(-- ISNUMBER(SEARCH({"Content","Currency","Number","Percent","Text","URL"}, $B123))) &gt; 0,$B123 &amp; "(" &amp; $C123 &amp; ")",$B123)))), "  ", TRIM(IF($S123 = "YES", "(External ID)", "") &amp; " " &amp; IF(SUMPRODUCT(-- ISNUMBER(SEARCH({"Unique","Unique Case Insensitive"}, $R123))) &gt; 0, "(" &amp; $R123 &amp; ")", ""))))</f>
        <v>na</v>
      </c>
      <c r="E123" s="7" t="s">
        <v>195</v>
      </c>
      <c r="F123" s="7" t="s">
        <v>195</v>
      </c>
      <c r="G123" s="7" t="s">
        <v>195</v>
      </c>
      <c r="H123" s="7" t="s">
        <v>195</v>
      </c>
      <c r="I123" s="7" t="s">
        <v>195</v>
      </c>
      <c r="J123" s="7" t="s">
        <v>195</v>
      </c>
      <c r="K123" s="7" t="s">
        <v>195</v>
      </c>
      <c r="L123" s="7" t="s">
        <v>195</v>
      </c>
      <c r="M123" s="7" t="s">
        <v>29</v>
      </c>
      <c r="N123" s="7" t="s">
        <v>29</v>
      </c>
      <c r="O123" s="7" t="s">
        <v>29</v>
      </c>
      <c r="P123" s="7" t="s">
        <v>29</v>
      </c>
      <c r="Q123" s="7" t="s">
        <v>29</v>
      </c>
      <c r="R123" s="7" t="s">
        <v>29</v>
      </c>
      <c r="S123" s="7" t="s">
        <v>29</v>
      </c>
    </row>
    <row r="124" spans="2:19">
      <c r="B124" s="7" t="s">
        <v>195</v>
      </c>
      <c r="C124" s="8" t="s">
        <v>195</v>
      </c>
      <c r="D124" s="5" t="str">
        <f>LRTRIM(CONCATENATE(IF(SUMPRODUCT(-- ISNUMBER(SEARCH({"Auto Number"}, $B124))) &gt; 0, $B124, IF(SUMPRODUCT(-- ISNUMBER(SEARCH({"Lookup","Master-Detail"}, $B124))) &gt; 0,$B124 &amp; "(" &amp; $E124 &amp; ")",IF(SUMPRODUCT(-- ISNUMBER(SEARCH({"Formula","Roll-Up Summary"}, $B124))) &gt; 0,$B124 &amp; " (" &amp; $E124 &amp; ")",IF(SUMPRODUCT(-- ISNUMBER(SEARCH({"Content","Currency","Number","Percent","Text","URL"}, $B124))) &gt; 0,$B124 &amp; "(" &amp; $C124 &amp; ")",$B124)))), "  ", TRIM(IF($S124 = "YES", "(External ID)", "") &amp; " " &amp; IF(SUMPRODUCT(-- ISNUMBER(SEARCH({"Unique","Unique Case Insensitive"}, $R124))) &gt; 0, "(" &amp; $R124 &amp; ")", ""))))</f>
        <v>na</v>
      </c>
      <c r="E124" s="7" t="s">
        <v>195</v>
      </c>
      <c r="F124" s="7" t="s">
        <v>195</v>
      </c>
      <c r="G124" s="7" t="s">
        <v>195</v>
      </c>
      <c r="H124" s="7" t="s">
        <v>195</v>
      </c>
      <c r="I124" s="7" t="s">
        <v>195</v>
      </c>
      <c r="J124" s="7" t="s">
        <v>195</v>
      </c>
      <c r="K124" s="7" t="s">
        <v>195</v>
      </c>
      <c r="L124" s="7" t="s">
        <v>195</v>
      </c>
      <c r="M124" s="7" t="s">
        <v>29</v>
      </c>
      <c r="N124" s="7" t="s">
        <v>29</v>
      </c>
      <c r="O124" s="7" t="s">
        <v>29</v>
      </c>
      <c r="P124" s="7" t="s">
        <v>29</v>
      </c>
      <c r="Q124" s="7" t="s">
        <v>29</v>
      </c>
      <c r="R124" s="7" t="s">
        <v>29</v>
      </c>
      <c r="S124" s="7" t="s">
        <v>29</v>
      </c>
    </row>
    <row r="125" spans="2:19">
      <c r="B125" s="7" t="s">
        <v>195</v>
      </c>
      <c r="C125" s="8" t="s">
        <v>195</v>
      </c>
      <c r="D125" s="5" t="str">
        <f>LRTRIM(CONCATENATE(IF(SUMPRODUCT(-- ISNUMBER(SEARCH({"Auto Number"}, $B125))) &gt; 0, $B125, IF(SUMPRODUCT(-- ISNUMBER(SEARCH({"Lookup","Master-Detail"}, $B125))) &gt; 0,$B125 &amp; "(" &amp; $E125 &amp; ")",IF(SUMPRODUCT(-- ISNUMBER(SEARCH({"Formula","Roll-Up Summary"}, $B125))) &gt; 0,$B125 &amp; " (" &amp; $E125 &amp; ")",IF(SUMPRODUCT(-- ISNUMBER(SEARCH({"Content","Currency","Number","Percent","Text","URL"}, $B125))) &gt; 0,$B125 &amp; "(" &amp; $C125 &amp; ")",$B125)))), "  ", TRIM(IF($S125 = "YES", "(External ID)", "") &amp; " " &amp; IF(SUMPRODUCT(-- ISNUMBER(SEARCH({"Unique","Unique Case Insensitive"}, $R125))) &gt; 0, "(" &amp; $R125 &amp; ")", ""))))</f>
        <v>na</v>
      </c>
      <c r="E125" s="7" t="s">
        <v>195</v>
      </c>
      <c r="F125" s="7" t="s">
        <v>195</v>
      </c>
      <c r="G125" s="7" t="s">
        <v>195</v>
      </c>
      <c r="H125" s="7" t="s">
        <v>195</v>
      </c>
      <c r="I125" s="7" t="s">
        <v>195</v>
      </c>
      <c r="J125" s="7" t="s">
        <v>195</v>
      </c>
      <c r="K125" s="7" t="s">
        <v>195</v>
      </c>
      <c r="L125" s="7" t="s">
        <v>195</v>
      </c>
      <c r="M125" s="7" t="s">
        <v>29</v>
      </c>
      <c r="N125" s="7" t="s">
        <v>29</v>
      </c>
      <c r="O125" s="7" t="s">
        <v>29</v>
      </c>
      <c r="P125" s="7" t="s">
        <v>29</v>
      </c>
      <c r="Q125" s="7" t="s">
        <v>29</v>
      </c>
      <c r="R125" s="7" t="s">
        <v>29</v>
      </c>
      <c r="S125" s="7" t="s">
        <v>29</v>
      </c>
    </row>
    <row r="126" spans="2:19">
      <c r="B126" s="7" t="s">
        <v>195</v>
      </c>
      <c r="C126" s="8" t="s">
        <v>195</v>
      </c>
      <c r="D126" s="5" t="str">
        <f>LRTRIM(CONCATENATE(IF(SUMPRODUCT(-- ISNUMBER(SEARCH({"Auto Number"}, $B126))) &gt; 0, $B126, IF(SUMPRODUCT(-- ISNUMBER(SEARCH({"Lookup","Master-Detail"}, $B126))) &gt; 0,$B126 &amp; "(" &amp; $E126 &amp; ")",IF(SUMPRODUCT(-- ISNUMBER(SEARCH({"Formula","Roll-Up Summary"}, $B126))) &gt; 0,$B126 &amp; " (" &amp; $E126 &amp; ")",IF(SUMPRODUCT(-- ISNUMBER(SEARCH({"Content","Currency","Number","Percent","Text","URL"}, $B126))) &gt; 0,$B126 &amp; "(" &amp; $C126 &amp; ")",$B126)))), "  ", TRIM(IF($S126 = "YES", "(External ID)", "") &amp; " " &amp; IF(SUMPRODUCT(-- ISNUMBER(SEARCH({"Unique","Unique Case Insensitive"}, $R126))) &gt; 0, "(" &amp; $R126 &amp; ")", ""))))</f>
        <v>na</v>
      </c>
      <c r="E126" s="7" t="s">
        <v>195</v>
      </c>
      <c r="F126" s="7" t="s">
        <v>195</v>
      </c>
      <c r="G126" s="7" t="s">
        <v>195</v>
      </c>
      <c r="H126" s="7" t="s">
        <v>195</v>
      </c>
      <c r="I126" s="7" t="s">
        <v>195</v>
      </c>
      <c r="J126" s="7" t="s">
        <v>195</v>
      </c>
      <c r="K126" s="7" t="s">
        <v>195</v>
      </c>
      <c r="L126" s="7" t="s">
        <v>195</v>
      </c>
      <c r="M126" s="7" t="s">
        <v>29</v>
      </c>
      <c r="N126" s="7" t="s">
        <v>29</v>
      </c>
      <c r="O126" s="7" t="s">
        <v>29</v>
      </c>
      <c r="P126" s="7" t="s">
        <v>29</v>
      </c>
      <c r="Q126" s="7" t="s">
        <v>29</v>
      </c>
      <c r="R126" s="7" t="s">
        <v>29</v>
      </c>
      <c r="S126" s="7" t="s">
        <v>29</v>
      </c>
    </row>
    <row r="127" spans="2:19">
      <c r="B127" s="7" t="s">
        <v>195</v>
      </c>
      <c r="C127" s="8" t="s">
        <v>195</v>
      </c>
      <c r="D127" s="5" t="str">
        <f>LRTRIM(CONCATENATE(IF(SUMPRODUCT(-- ISNUMBER(SEARCH({"Auto Number"}, $B127))) &gt; 0, $B127, IF(SUMPRODUCT(-- ISNUMBER(SEARCH({"Lookup","Master-Detail"}, $B127))) &gt; 0,$B127 &amp; "(" &amp; $E127 &amp; ")",IF(SUMPRODUCT(-- ISNUMBER(SEARCH({"Formula","Roll-Up Summary"}, $B127))) &gt; 0,$B127 &amp; " (" &amp; $E127 &amp; ")",IF(SUMPRODUCT(-- ISNUMBER(SEARCH({"Content","Currency","Number","Percent","Text","URL"}, $B127))) &gt; 0,$B127 &amp; "(" &amp; $C127 &amp; ")",$B127)))), "  ", TRIM(IF($S127 = "YES", "(External ID)", "") &amp; " " &amp; IF(SUMPRODUCT(-- ISNUMBER(SEARCH({"Unique","Unique Case Insensitive"}, $R127))) &gt; 0, "(" &amp; $R127 &amp; ")", ""))))</f>
        <v>na</v>
      </c>
      <c r="E127" s="7" t="s">
        <v>195</v>
      </c>
      <c r="F127" s="7" t="s">
        <v>195</v>
      </c>
      <c r="G127" s="7" t="s">
        <v>195</v>
      </c>
      <c r="H127" s="7" t="s">
        <v>195</v>
      </c>
      <c r="I127" s="7" t="s">
        <v>195</v>
      </c>
      <c r="J127" s="7" t="s">
        <v>195</v>
      </c>
      <c r="K127" s="7" t="s">
        <v>195</v>
      </c>
      <c r="L127" s="7" t="s">
        <v>195</v>
      </c>
      <c r="M127" s="7" t="s">
        <v>29</v>
      </c>
      <c r="N127" s="7" t="s">
        <v>29</v>
      </c>
      <c r="O127" s="7" t="s">
        <v>29</v>
      </c>
      <c r="P127" s="7" t="s">
        <v>29</v>
      </c>
      <c r="Q127" s="7" t="s">
        <v>29</v>
      </c>
      <c r="R127" s="7" t="s">
        <v>29</v>
      </c>
      <c r="S127" s="7" t="s">
        <v>29</v>
      </c>
    </row>
    <row r="128" spans="2:19">
      <c r="B128" s="7" t="s">
        <v>195</v>
      </c>
      <c r="C128" s="8" t="s">
        <v>195</v>
      </c>
      <c r="D128" s="5" t="str">
        <f>LRTRIM(CONCATENATE(IF(SUMPRODUCT(-- ISNUMBER(SEARCH({"Auto Number"}, $B128))) &gt; 0, $B128, IF(SUMPRODUCT(-- ISNUMBER(SEARCH({"Lookup","Master-Detail"}, $B128))) &gt; 0,$B128 &amp; "(" &amp; $E128 &amp; ")",IF(SUMPRODUCT(-- ISNUMBER(SEARCH({"Formula","Roll-Up Summary"}, $B128))) &gt; 0,$B128 &amp; " (" &amp; $E128 &amp; ")",IF(SUMPRODUCT(-- ISNUMBER(SEARCH({"Content","Currency","Number","Percent","Text","URL"}, $B128))) &gt; 0,$B128 &amp; "(" &amp; $C128 &amp; ")",$B128)))), "  ", TRIM(IF($S128 = "YES", "(External ID)", "") &amp; " " &amp; IF(SUMPRODUCT(-- ISNUMBER(SEARCH({"Unique","Unique Case Insensitive"}, $R128))) &gt; 0, "(" &amp; $R128 &amp; ")", ""))))</f>
        <v>na</v>
      </c>
      <c r="E128" s="7" t="s">
        <v>195</v>
      </c>
      <c r="F128" s="7" t="s">
        <v>195</v>
      </c>
      <c r="G128" s="7" t="s">
        <v>195</v>
      </c>
      <c r="H128" s="7" t="s">
        <v>195</v>
      </c>
      <c r="I128" s="7" t="s">
        <v>195</v>
      </c>
      <c r="J128" s="7" t="s">
        <v>195</v>
      </c>
      <c r="K128" s="7" t="s">
        <v>195</v>
      </c>
      <c r="L128" s="7" t="s">
        <v>195</v>
      </c>
      <c r="M128" s="7" t="s">
        <v>29</v>
      </c>
      <c r="N128" s="7" t="s">
        <v>29</v>
      </c>
      <c r="O128" s="7" t="s">
        <v>29</v>
      </c>
      <c r="P128" s="7" t="s">
        <v>29</v>
      </c>
      <c r="Q128" s="7" t="s">
        <v>29</v>
      </c>
      <c r="R128" s="7" t="s">
        <v>29</v>
      </c>
      <c r="S128" s="7" t="s">
        <v>29</v>
      </c>
    </row>
    <row r="129" spans="2:19">
      <c r="B129" s="7" t="s">
        <v>195</v>
      </c>
      <c r="C129" s="8" t="s">
        <v>195</v>
      </c>
      <c r="D129" s="5" t="str">
        <f>LRTRIM(CONCATENATE(IF(SUMPRODUCT(-- ISNUMBER(SEARCH({"Auto Number"}, $B129))) &gt; 0, $B129, IF(SUMPRODUCT(-- ISNUMBER(SEARCH({"Lookup","Master-Detail"}, $B129))) &gt; 0,$B129 &amp; "(" &amp; $E129 &amp; ")",IF(SUMPRODUCT(-- ISNUMBER(SEARCH({"Formula","Roll-Up Summary"}, $B129))) &gt; 0,$B129 &amp; " (" &amp; $E129 &amp; ")",IF(SUMPRODUCT(-- ISNUMBER(SEARCH({"Content","Currency","Number","Percent","Text","URL"}, $B129))) &gt; 0,$B129 &amp; "(" &amp; $C129 &amp; ")",$B129)))), "  ", TRIM(IF($S129 = "YES", "(External ID)", "") &amp; " " &amp; IF(SUMPRODUCT(-- ISNUMBER(SEARCH({"Unique","Unique Case Insensitive"}, $R129))) &gt; 0, "(" &amp; $R129 &amp; ")", ""))))</f>
        <v>na</v>
      </c>
      <c r="E129" s="7" t="s">
        <v>195</v>
      </c>
      <c r="F129" s="7" t="s">
        <v>195</v>
      </c>
      <c r="G129" s="7" t="s">
        <v>195</v>
      </c>
      <c r="H129" s="7" t="s">
        <v>195</v>
      </c>
      <c r="I129" s="7" t="s">
        <v>195</v>
      </c>
      <c r="J129" s="7" t="s">
        <v>195</v>
      </c>
      <c r="K129" s="7" t="s">
        <v>195</v>
      </c>
      <c r="L129" s="7" t="s">
        <v>195</v>
      </c>
      <c r="M129" s="7" t="s">
        <v>29</v>
      </c>
      <c r="N129" s="7" t="s">
        <v>29</v>
      </c>
      <c r="O129" s="7" t="s">
        <v>29</v>
      </c>
      <c r="P129" s="7" t="s">
        <v>29</v>
      </c>
      <c r="Q129" s="7" t="s">
        <v>29</v>
      </c>
      <c r="R129" s="7" t="s">
        <v>29</v>
      </c>
      <c r="S129" s="7" t="s">
        <v>29</v>
      </c>
    </row>
    <row r="130" spans="2:19">
      <c r="B130" s="7" t="s">
        <v>195</v>
      </c>
      <c r="C130" s="8" t="s">
        <v>195</v>
      </c>
      <c r="D130" s="5" t="str">
        <f>LRTRIM(CONCATENATE(IF(SUMPRODUCT(-- ISNUMBER(SEARCH({"Auto Number"}, $B130))) &gt; 0, $B130, IF(SUMPRODUCT(-- ISNUMBER(SEARCH({"Lookup","Master-Detail"}, $B130))) &gt; 0,$B130 &amp; "(" &amp; $E130 &amp; ")",IF(SUMPRODUCT(-- ISNUMBER(SEARCH({"Formula","Roll-Up Summary"}, $B130))) &gt; 0,$B130 &amp; " (" &amp; $E130 &amp; ")",IF(SUMPRODUCT(-- ISNUMBER(SEARCH({"Content","Currency","Number","Percent","Text","URL"}, $B130))) &gt; 0,$B130 &amp; "(" &amp; $C130 &amp; ")",$B130)))), "  ", TRIM(IF($S130 = "YES", "(External ID)", "") &amp; " " &amp; IF(SUMPRODUCT(-- ISNUMBER(SEARCH({"Unique","Unique Case Insensitive"}, $R130))) &gt; 0, "(" &amp; $R130 &amp; ")", ""))))</f>
        <v>na</v>
      </c>
      <c r="E130" s="7" t="s">
        <v>195</v>
      </c>
      <c r="F130" s="7" t="s">
        <v>195</v>
      </c>
      <c r="G130" s="7" t="s">
        <v>195</v>
      </c>
      <c r="H130" s="7" t="s">
        <v>195</v>
      </c>
      <c r="I130" s="7" t="s">
        <v>195</v>
      </c>
      <c r="J130" s="7" t="s">
        <v>195</v>
      </c>
      <c r="K130" s="7" t="s">
        <v>195</v>
      </c>
      <c r="L130" s="7" t="s">
        <v>195</v>
      </c>
      <c r="M130" s="7" t="s">
        <v>29</v>
      </c>
      <c r="N130" s="7" t="s">
        <v>29</v>
      </c>
      <c r="O130" s="7" t="s">
        <v>29</v>
      </c>
      <c r="P130" s="7" t="s">
        <v>29</v>
      </c>
      <c r="Q130" s="7" t="s">
        <v>29</v>
      </c>
      <c r="R130" s="7" t="s">
        <v>29</v>
      </c>
      <c r="S130" s="7" t="s">
        <v>29</v>
      </c>
    </row>
    <row r="131" spans="2:19">
      <c r="B131" s="7" t="s">
        <v>195</v>
      </c>
      <c r="C131" s="8" t="s">
        <v>195</v>
      </c>
      <c r="D131" s="5" t="str">
        <f>LRTRIM(CONCATENATE(IF(SUMPRODUCT(-- ISNUMBER(SEARCH({"Auto Number"}, $B131))) &gt; 0, $B131, IF(SUMPRODUCT(-- ISNUMBER(SEARCH({"Lookup","Master-Detail"}, $B131))) &gt; 0,$B131 &amp; "(" &amp; $E131 &amp; ")",IF(SUMPRODUCT(-- ISNUMBER(SEARCH({"Formula","Roll-Up Summary"}, $B131))) &gt; 0,$B131 &amp; " (" &amp; $E131 &amp; ")",IF(SUMPRODUCT(-- ISNUMBER(SEARCH({"Content","Currency","Number","Percent","Text","URL"}, $B131))) &gt; 0,$B131 &amp; "(" &amp; $C131 &amp; ")",$B131)))), "  ", TRIM(IF($S131 = "YES", "(External ID)", "") &amp; " " &amp; IF(SUMPRODUCT(-- ISNUMBER(SEARCH({"Unique","Unique Case Insensitive"}, $R131))) &gt; 0, "(" &amp; $R131 &amp; ")", ""))))</f>
        <v>na</v>
      </c>
      <c r="E131" s="7" t="s">
        <v>195</v>
      </c>
      <c r="F131" s="7" t="s">
        <v>195</v>
      </c>
      <c r="G131" s="7" t="s">
        <v>195</v>
      </c>
      <c r="H131" s="7" t="s">
        <v>195</v>
      </c>
      <c r="I131" s="7" t="s">
        <v>195</v>
      </c>
      <c r="J131" s="7" t="s">
        <v>195</v>
      </c>
      <c r="K131" s="7" t="s">
        <v>195</v>
      </c>
      <c r="L131" s="7" t="s">
        <v>195</v>
      </c>
      <c r="M131" s="7" t="s">
        <v>29</v>
      </c>
      <c r="N131" s="7" t="s">
        <v>29</v>
      </c>
      <c r="O131" s="7" t="s">
        <v>29</v>
      </c>
      <c r="P131" s="7" t="s">
        <v>29</v>
      </c>
      <c r="Q131" s="7" t="s">
        <v>29</v>
      </c>
      <c r="R131" s="7" t="s">
        <v>29</v>
      </c>
      <c r="S131" s="7" t="s">
        <v>29</v>
      </c>
    </row>
    <row r="132" spans="2:19">
      <c r="B132" s="7" t="s">
        <v>195</v>
      </c>
      <c r="C132" s="8" t="s">
        <v>195</v>
      </c>
      <c r="D132" s="5" t="str">
        <f>LRTRIM(CONCATENATE(IF(SUMPRODUCT(-- ISNUMBER(SEARCH({"Auto Number"}, $B132))) &gt; 0, $B132, IF(SUMPRODUCT(-- ISNUMBER(SEARCH({"Lookup","Master-Detail"}, $B132))) &gt; 0,$B132 &amp; "(" &amp; $E132 &amp; ")",IF(SUMPRODUCT(-- ISNUMBER(SEARCH({"Formula","Roll-Up Summary"}, $B132))) &gt; 0,$B132 &amp; " (" &amp; $E132 &amp; ")",IF(SUMPRODUCT(-- ISNUMBER(SEARCH({"Content","Currency","Number","Percent","Text","URL"}, $B132))) &gt; 0,$B132 &amp; "(" &amp; $C132 &amp; ")",$B132)))), "  ", TRIM(IF($S132 = "YES", "(External ID)", "") &amp; " " &amp; IF(SUMPRODUCT(-- ISNUMBER(SEARCH({"Unique","Unique Case Insensitive"}, $R132))) &gt; 0, "(" &amp; $R132 &amp; ")", ""))))</f>
        <v>na</v>
      </c>
      <c r="E132" s="7" t="s">
        <v>195</v>
      </c>
      <c r="F132" s="7" t="s">
        <v>195</v>
      </c>
      <c r="G132" s="7" t="s">
        <v>195</v>
      </c>
      <c r="H132" s="7" t="s">
        <v>195</v>
      </c>
      <c r="I132" s="7" t="s">
        <v>195</v>
      </c>
      <c r="J132" s="7" t="s">
        <v>195</v>
      </c>
      <c r="K132" s="7" t="s">
        <v>195</v>
      </c>
      <c r="L132" s="7" t="s">
        <v>195</v>
      </c>
      <c r="M132" s="7" t="s">
        <v>29</v>
      </c>
      <c r="N132" s="7" t="s">
        <v>29</v>
      </c>
      <c r="O132" s="7" t="s">
        <v>29</v>
      </c>
      <c r="P132" s="7" t="s">
        <v>29</v>
      </c>
      <c r="Q132" s="7" t="s">
        <v>29</v>
      </c>
      <c r="R132" s="7" t="s">
        <v>29</v>
      </c>
      <c r="S132" s="7" t="s">
        <v>29</v>
      </c>
    </row>
    <row r="133" spans="2:19">
      <c r="B133" s="7" t="s">
        <v>195</v>
      </c>
      <c r="C133" s="8" t="s">
        <v>195</v>
      </c>
      <c r="D133" s="5" t="str">
        <f>LRTRIM(CONCATENATE(IF(SUMPRODUCT(-- ISNUMBER(SEARCH({"Auto Number"}, $B133))) &gt; 0, $B133, IF(SUMPRODUCT(-- ISNUMBER(SEARCH({"Lookup","Master-Detail"}, $B133))) &gt; 0,$B133 &amp; "(" &amp; $E133 &amp; ")",IF(SUMPRODUCT(-- ISNUMBER(SEARCH({"Formula","Roll-Up Summary"}, $B133))) &gt; 0,$B133 &amp; " (" &amp; $E133 &amp; ")",IF(SUMPRODUCT(-- ISNUMBER(SEARCH({"Content","Currency","Number","Percent","Text","URL"}, $B133))) &gt; 0,$B133 &amp; "(" &amp; $C133 &amp; ")",$B133)))), "  ", TRIM(IF($S133 = "YES", "(External ID)", "") &amp; " " &amp; IF(SUMPRODUCT(-- ISNUMBER(SEARCH({"Unique","Unique Case Insensitive"}, $R133))) &gt; 0, "(" &amp; $R133 &amp; ")", ""))))</f>
        <v>na</v>
      </c>
      <c r="E133" s="7" t="s">
        <v>195</v>
      </c>
      <c r="F133" s="7" t="s">
        <v>195</v>
      </c>
      <c r="G133" s="7" t="s">
        <v>195</v>
      </c>
      <c r="H133" s="7" t="s">
        <v>195</v>
      </c>
      <c r="I133" s="7" t="s">
        <v>195</v>
      </c>
      <c r="J133" s="7" t="s">
        <v>195</v>
      </c>
      <c r="K133" s="7" t="s">
        <v>195</v>
      </c>
      <c r="L133" s="7" t="s">
        <v>195</v>
      </c>
      <c r="M133" s="7" t="s">
        <v>29</v>
      </c>
      <c r="N133" s="7" t="s">
        <v>29</v>
      </c>
      <c r="O133" s="7" t="s">
        <v>29</v>
      </c>
      <c r="P133" s="7" t="s">
        <v>29</v>
      </c>
      <c r="Q133" s="7" t="s">
        <v>29</v>
      </c>
      <c r="R133" s="7" t="s">
        <v>29</v>
      </c>
      <c r="S133" s="7" t="s">
        <v>29</v>
      </c>
    </row>
    <row r="134" spans="2:19">
      <c r="B134" s="7" t="s">
        <v>195</v>
      </c>
      <c r="C134" s="8" t="s">
        <v>195</v>
      </c>
      <c r="D134" s="5" t="str">
        <f>LRTRIM(CONCATENATE(IF(SUMPRODUCT(-- ISNUMBER(SEARCH({"Auto Number"}, $B134))) &gt; 0, $B134, IF(SUMPRODUCT(-- ISNUMBER(SEARCH({"Lookup","Master-Detail"}, $B134))) &gt; 0,$B134 &amp; "(" &amp; $E134 &amp; ")",IF(SUMPRODUCT(-- ISNUMBER(SEARCH({"Formula","Roll-Up Summary"}, $B134))) &gt; 0,$B134 &amp; " (" &amp; $E134 &amp; ")",IF(SUMPRODUCT(-- ISNUMBER(SEARCH({"Content","Currency","Number","Percent","Text","URL"}, $B134))) &gt; 0,$B134 &amp; "(" &amp; $C134 &amp; ")",$B134)))), "  ", TRIM(IF($S134 = "YES", "(External ID)", "") &amp; " " &amp; IF(SUMPRODUCT(-- ISNUMBER(SEARCH({"Unique","Unique Case Insensitive"}, $R134))) &gt; 0, "(" &amp; $R134 &amp; ")", ""))))</f>
        <v>na</v>
      </c>
      <c r="E134" s="7" t="s">
        <v>195</v>
      </c>
      <c r="F134" s="7" t="s">
        <v>195</v>
      </c>
      <c r="G134" s="7" t="s">
        <v>195</v>
      </c>
      <c r="H134" s="7" t="s">
        <v>195</v>
      </c>
      <c r="I134" s="7" t="s">
        <v>195</v>
      </c>
      <c r="J134" s="7" t="s">
        <v>195</v>
      </c>
      <c r="K134" s="7" t="s">
        <v>195</v>
      </c>
      <c r="L134" s="7" t="s">
        <v>195</v>
      </c>
      <c r="M134" s="7" t="s">
        <v>29</v>
      </c>
      <c r="N134" s="7" t="s">
        <v>29</v>
      </c>
      <c r="O134" s="7" t="s">
        <v>29</v>
      </c>
      <c r="P134" s="7" t="s">
        <v>29</v>
      </c>
      <c r="Q134" s="7" t="s">
        <v>29</v>
      </c>
      <c r="R134" s="7" t="s">
        <v>29</v>
      </c>
      <c r="S134" s="7" t="s">
        <v>29</v>
      </c>
    </row>
    <row r="135" spans="2:19">
      <c r="B135" s="7" t="s">
        <v>195</v>
      </c>
      <c r="C135" s="8" t="s">
        <v>195</v>
      </c>
      <c r="D135" s="5" t="str">
        <f>LRTRIM(CONCATENATE(IF(SUMPRODUCT(-- ISNUMBER(SEARCH({"Auto Number"}, $B135))) &gt; 0, $B135, IF(SUMPRODUCT(-- ISNUMBER(SEARCH({"Lookup","Master-Detail"}, $B135))) &gt; 0,$B135 &amp; "(" &amp; $E135 &amp; ")",IF(SUMPRODUCT(-- ISNUMBER(SEARCH({"Formula","Roll-Up Summary"}, $B135))) &gt; 0,$B135 &amp; " (" &amp; $E135 &amp; ")",IF(SUMPRODUCT(-- ISNUMBER(SEARCH({"Content","Currency","Number","Percent","Text","URL"}, $B135))) &gt; 0,$B135 &amp; "(" &amp; $C135 &amp; ")",$B135)))), "  ", TRIM(IF($S135 = "YES", "(External ID)", "") &amp; " " &amp; IF(SUMPRODUCT(-- ISNUMBER(SEARCH({"Unique","Unique Case Insensitive"}, $R135))) &gt; 0, "(" &amp; $R135 &amp; ")", ""))))</f>
        <v>na</v>
      </c>
      <c r="E135" s="7" t="s">
        <v>195</v>
      </c>
      <c r="F135" s="7" t="s">
        <v>195</v>
      </c>
      <c r="G135" s="7" t="s">
        <v>195</v>
      </c>
      <c r="H135" s="7" t="s">
        <v>195</v>
      </c>
      <c r="I135" s="7" t="s">
        <v>195</v>
      </c>
      <c r="J135" s="7" t="s">
        <v>195</v>
      </c>
      <c r="K135" s="7" t="s">
        <v>195</v>
      </c>
      <c r="L135" s="7" t="s">
        <v>195</v>
      </c>
      <c r="M135" s="7" t="s">
        <v>29</v>
      </c>
      <c r="N135" s="7" t="s">
        <v>29</v>
      </c>
      <c r="O135" s="7" t="s">
        <v>29</v>
      </c>
      <c r="P135" s="7" t="s">
        <v>29</v>
      </c>
      <c r="Q135" s="7" t="s">
        <v>29</v>
      </c>
      <c r="R135" s="7" t="s">
        <v>29</v>
      </c>
      <c r="S135" s="7" t="s">
        <v>29</v>
      </c>
    </row>
    <row r="136" spans="2:19">
      <c r="B136" s="7" t="s">
        <v>195</v>
      </c>
      <c r="C136" s="8" t="s">
        <v>195</v>
      </c>
      <c r="D136" s="5" t="str">
        <f>LRTRIM(CONCATENATE(IF(SUMPRODUCT(-- ISNUMBER(SEARCH({"Auto Number"}, $B136))) &gt; 0, $B136, IF(SUMPRODUCT(-- ISNUMBER(SEARCH({"Lookup","Master-Detail"}, $B136))) &gt; 0,$B136 &amp; "(" &amp; $E136 &amp; ")",IF(SUMPRODUCT(-- ISNUMBER(SEARCH({"Formula","Roll-Up Summary"}, $B136))) &gt; 0,$B136 &amp; " (" &amp; $E136 &amp; ")",IF(SUMPRODUCT(-- ISNUMBER(SEARCH({"Content","Currency","Number","Percent","Text","URL"}, $B136))) &gt; 0,$B136 &amp; "(" &amp; $C136 &amp; ")",$B136)))), "  ", TRIM(IF($S136 = "YES", "(External ID)", "") &amp; " " &amp; IF(SUMPRODUCT(-- ISNUMBER(SEARCH({"Unique","Unique Case Insensitive"}, $R136))) &gt; 0, "(" &amp; $R136 &amp; ")", ""))))</f>
        <v>na</v>
      </c>
      <c r="E136" s="7" t="s">
        <v>195</v>
      </c>
      <c r="F136" s="7" t="s">
        <v>195</v>
      </c>
      <c r="G136" s="7" t="s">
        <v>195</v>
      </c>
      <c r="H136" s="7" t="s">
        <v>195</v>
      </c>
      <c r="I136" s="7" t="s">
        <v>195</v>
      </c>
      <c r="J136" s="7" t="s">
        <v>195</v>
      </c>
      <c r="K136" s="7" t="s">
        <v>195</v>
      </c>
      <c r="L136" s="7" t="s">
        <v>195</v>
      </c>
      <c r="M136" s="7" t="s">
        <v>29</v>
      </c>
      <c r="N136" s="7" t="s">
        <v>29</v>
      </c>
      <c r="O136" s="7" t="s">
        <v>29</v>
      </c>
      <c r="P136" s="7" t="s">
        <v>29</v>
      </c>
      <c r="Q136" s="7" t="s">
        <v>29</v>
      </c>
      <c r="R136" s="7" t="s">
        <v>29</v>
      </c>
      <c r="S136" s="7" t="s">
        <v>29</v>
      </c>
    </row>
    <row r="137" spans="2:19">
      <c r="B137" s="7" t="s">
        <v>195</v>
      </c>
      <c r="C137" s="8" t="s">
        <v>195</v>
      </c>
      <c r="D137" s="5" t="str">
        <f>LRTRIM(CONCATENATE(IF(SUMPRODUCT(-- ISNUMBER(SEARCH({"Auto Number"}, $B137))) &gt; 0, $B137, IF(SUMPRODUCT(-- ISNUMBER(SEARCH({"Lookup","Master-Detail"}, $B137))) &gt; 0,$B137 &amp; "(" &amp; $E137 &amp; ")",IF(SUMPRODUCT(-- ISNUMBER(SEARCH({"Formula","Roll-Up Summary"}, $B137))) &gt; 0,$B137 &amp; " (" &amp; $E137 &amp; ")",IF(SUMPRODUCT(-- ISNUMBER(SEARCH({"Content","Currency","Number","Percent","Text","URL"}, $B137))) &gt; 0,$B137 &amp; "(" &amp; $C137 &amp; ")",$B137)))), "  ", TRIM(IF($S137 = "YES", "(External ID)", "") &amp; " " &amp; IF(SUMPRODUCT(-- ISNUMBER(SEARCH({"Unique","Unique Case Insensitive"}, $R137))) &gt; 0, "(" &amp; $R137 &amp; ")", ""))))</f>
        <v>na</v>
      </c>
      <c r="E137" s="7" t="s">
        <v>195</v>
      </c>
      <c r="F137" s="7" t="s">
        <v>195</v>
      </c>
      <c r="G137" s="7" t="s">
        <v>195</v>
      </c>
      <c r="H137" s="7" t="s">
        <v>195</v>
      </c>
      <c r="I137" s="7" t="s">
        <v>195</v>
      </c>
      <c r="J137" s="7" t="s">
        <v>195</v>
      </c>
      <c r="K137" s="7" t="s">
        <v>195</v>
      </c>
      <c r="L137" s="7" t="s">
        <v>195</v>
      </c>
      <c r="M137" s="7" t="s">
        <v>29</v>
      </c>
      <c r="N137" s="7" t="s">
        <v>29</v>
      </c>
      <c r="O137" s="7" t="s">
        <v>29</v>
      </c>
      <c r="P137" s="7" t="s">
        <v>29</v>
      </c>
      <c r="Q137" s="7" t="s">
        <v>29</v>
      </c>
      <c r="R137" s="7" t="s">
        <v>29</v>
      </c>
      <c r="S137" s="7" t="s">
        <v>29</v>
      </c>
    </row>
    <row r="138" spans="2:19">
      <c r="B138" s="7" t="s">
        <v>195</v>
      </c>
      <c r="C138" s="8" t="s">
        <v>195</v>
      </c>
      <c r="D138" s="5" t="str">
        <f>LRTRIM(CONCATENATE(IF(SUMPRODUCT(-- ISNUMBER(SEARCH({"Auto Number"}, $B138))) &gt; 0, $B138, IF(SUMPRODUCT(-- ISNUMBER(SEARCH({"Lookup","Master-Detail"}, $B138))) &gt; 0,$B138 &amp; "(" &amp; $E138 &amp; ")",IF(SUMPRODUCT(-- ISNUMBER(SEARCH({"Formula","Roll-Up Summary"}, $B138))) &gt; 0,$B138 &amp; " (" &amp; $E138 &amp; ")",IF(SUMPRODUCT(-- ISNUMBER(SEARCH({"Content","Currency","Number","Percent","Text","URL"}, $B138))) &gt; 0,$B138 &amp; "(" &amp; $C138 &amp; ")",$B138)))), "  ", TRIM(IF($S138 = "YES", "(External ID)", "") &amp; " " &amp; IF(SUMPRODUCT(-- ISNUMBER(SEARCH({"Unique","Unique Case Insensitive"}, $R138))) &gt; 0, "(" &amp; $R138 &amp; ")", ""))))</f>
        <v>na</v>
      </c>
      <c r="E138" s="7" t="s">
        <v>195</v>
      </c>
      <c r="F138" s="7" t="s">
        <v>195</v>
      </c>
      <c r="G138" s="7" t="s">
        <v>195</v>
      </c>
      <c r="H138" s="7" t="s">
        <v>195</v>
      </c>
      <c r="I138" s="7" t="s">
        <v>195</v>
      </c>
      <c r="J138" s="7" t="s">
        <v>195</v>
      </c>
      <c r="K138" s="7" t="s">
        <v>195</v>
      </c>
      <c r="L138" s="7" t="s">
        <v>195</v>
      </c>
      <c r="M138" s="7" t="s">
        <v>29</v>
      </c>
      <c r="N138" s="7" t="s">
        <v>29</v>
      </c>
      <c r="O138" s="7" t="s">
        <v>29</v>
      </c>
      <c r="P138" s="7" t="s">
        <v>29</v>
      </c>
      <c r="Q138" s="7" t="s">
        <v>29</v>
      </c>
      <c r="R138" s="7" t="s">
        <v>29</v>
      </c>
      <c r="S138" s="7" t="s">
        <v>29</v>
      </c>
    </row>
    <row r="139" spans="2:19">
      <c r="B139" s="7" t="s">
        <v>195</v>
      </c>
      <c r="C139" s="8" t="s">
        <v>195</v>
      </c>
      <c r="D139" s="5" t="str">
        <f>LRTRIM(CONCATENATE(IF(SUMPRODUCT(-- ISNUMBER(SEARCH({"Auto Number"}, $B139))) &gt; 0, $B139, IF(SUMPRODUCT(-- ISNUMBER(SEARCH({"Lookup","Master-Detail"}, $B139))) &gt; 0,$B139 &amp; "(" &amp; $E139 &amp; ")",IF(SUMPRODUCT(-- ISNUMBER(SEARCH({"Formula","Roll-Up Summary"}, $B139))) &gt; 0,$B139 &amp; " (" &amp; $E139 &amp; ")",IF(SUMPRODUCT(-- ISNUMBER(SEARCH({"Content","Currency","Number","Percent","Text","URL"}, $B139))) &gt; 0,$B139 &amp; "(" &amp; $C139 &amp; ")",$B139)))), "  ", TRIM(IF($S139 = "YES", "(External ID)", "") &amp; " " &amp; IF(SUMPRODUCT(-- ISNUMBER(SEARCH({"Unique","Unique Case Insensitive"}, $R139))) &gt; 0, "(" &amp; $R139 &amp; ")", ""))))</f>
        <v>na</v>
      </c>
      <c r="E139" s="7" t="s">
        <v>195</v>
      </c>
      <c r="F139" s="7" t="s">
        <v>195</v>
      </c>
      <c r="G139" s="7" t="s">
        <v>195</v>
      </c>
      <c r="H139" s="7" t="s">
        <v>195</v>
      </c>
      <c r="I139" s="7" t="s">
        <v>195</v>
      </c>
      <c r="J139" s="7" t="s">
        <v>195</v>
      </c>
      <c r="K139" s="7" t="s">
        <v>195</v>
      </c>
      <c r="L139" s="7" t="s">
        <v>195</v>
      </c>
      <c r="M139" s="7" t="s">
        <v>29</v>
      </c>
      <c r="N139" s="7" t="s">
        <v>29</v>
      </c>
      <c r="O139" s="7" t="s">
        <v>29</v>
      </c>
      <c r="P139" s="7" t="s">
        <v>29</v>
      </c>
      <c r="Q139" s="7" t="s">
        <v>29</v>
      </c>
      <c r="R139" s="7" t="s">
        <v>29</v>
      </c>
      <c r="S139" s="7" t="s">
        <v>29</v>
      </c>
    </row>
    <row r="140" spans="2:19">
      <c r="B140" s="7" t="s">
        <v>195</v>
      </c>
      <c r="C140" s="8" t="s">
        <v>195</v>
      </c>
      <c r="D140" s="5" t="str">
        <f>LRTRIM(CONCATENATE(IF(SUMPRODUCT(-- ISNUMBER(SEARCH({"Auto Number"}, $B140))) &gt; 0, $B140, IF(SUMPRODUCT(-- ISNUMBER(SEARCH({"Lookup","Master-Detail"}, $B140))) &gt; 0,$B140 &amp; "(" &amp; $E140 &amp; ")",IF(SUMPRODUCT(-- ISNUMBER(SEARCH({"Formula","Roll-Up Summary"}, $B140))) &gt; 0,$B140 &amp; " (" &amp; $E140 &amp; ")",IF(SUMPRODUCT(-- ISNUMBER(SEARCH({"Content","Currency","Number","Percent","Text","URL"}, $B140))) &gt; 0,$B140 &amp; "(" &amp; $C140 &amp; ")",$B140)))), "  ", TRIM(IF($S140 = "YES", "(External ID)", "") &amp; " " &amp; IF(SUMPRODUCT(-- ISNUMBER(SEARCH({"Unique","Unique Case Insensitive"}, $R140))) &gt; 0, "(" &amp; $R140 &amp; ")", ""))))</f>
        <v>na</v>
      </c>
      <c r="E140" s="7" t="s">
        <v>195</v>
      </c>
      <c r="F140" s="7" t="s">
        <v>195</v>
      </c>
      <c r="G140" s="7" t="s">
        <v>195</v>
      </c>
      <c r="H140" s="7" t="s">
        <v>195</v>
      </c>
      <c r="I140" s="7" t="s">
        <v>195</v>
      </c>
      <c r="J140" s="7" t="s">
        <v>195</v>
      </c>
      <c r="K140" s="7" t="s">
        <v>195</v>
      </c>
      <c r="L140" s="7" t="s">
        <v>195</v>
      </c>
      <c r="M140" s="7" t="s">
        <v>29</v>
      </c>
      <c r="N140" s="7" t="s">
        <v>29</v>
      </c>
      <c r="O140" s="7" t="s">
        <v>29</v>
      </c>
      <c r="P140" s="7" t="s">
        <v>29</v>
      </c>
      <c r="Q140" s="7" t="s">
        <v>29</v>
      </c>
      <c r="R140" s="7" t="s">
        <v>29</v>
      </c>
      <c r="S140" s="7" t="s">
        <v>29</v>
      </c>
    </row>
    <row r="141" spans="2:19">
      <c r="B141" s="7" t="s">
        <v>195</v>
      </c>
      <c r="C141" s="8" t="s">
        <v>195</v>
      </c>
      <c r="D141" s="5" t="str">
        <f>LRTRIM(CONCATENATE(IF(SUMPRODUCT(-- ISNUMBER(SEARCH({"Auto Number"}, $B141))) &gt; 0, $B141, IF(SUMPRODUCT(-- ISNUMBER(SEARCH({"Lookup","Master-Detail"}, $B141))) &gt; 0,$B141 &amp; "(" &amp; $E141 &amp; ")",IF(SUMPRODUCT(-- ISNUMBER(SEARCH({"Formula","Roll-Up Summary"}, $B141))) &gt; 0,$B141 &amp; " (" &amp; $E141 &amp; ")",IF(SUMPRODUCT(-- ISNUMBER(SEARCH({"Content","Currency","Number","Percent","Text","URL"}, $B141))) &gt; 0,$B141 &amp; "(" &amp; $C141 &amp; ")",$B141)))), "  ", TRIM(IF($S141 = "YES", "(External ID)", "") &amp; " " &amp; IF(SUMPRODUCT(-- ISNUMBER(SEARCH({"Unique","Unique Case Insensitive"}, $R141))) &gt; 0, "(" &amp; $R141 &amp; ")", ""))))</f>
        <v>na</v>
      </c>
      <c r="E141" s="7" t="s">
        <v>195</v>
      </c>
      <c r="F141" s="7" t="s">
        <v>195</v>
      </c>
      <c r="G141" s="7" t="s">
        <v>195</v>
      </c>
      <c r="H141" s="7" t="s">
        <v>195</v>
      </c>
      <c r="I141" s="7" t="s">
        <v>195</v>
      </c>
      <c r="J141" s="7" t="s">
        <v>195</v>
      </c>
      <c r="K141" s="7" t="s">
        <v>195</v>
      </c>
      <c r="L141" s="7" t="s">
        <v>195</v>
      </c>
      <c r="M141" s="7" t="s">
        <v>29</v>
      </c>
      <c r="N141" s="7" t="s">
        <v>29</v>
      </c>
      <c r="O141" s="7" t="s">
        <v>29</v>
      </c>
      <c r="P141" s="7" t="s">
        <v>29</v>
      </c>
      <c r="Q141" s="7" t="s">
        <v>29</v>
      </c>
      <c r="R141" s="7" t="s">
        <v>29</v>
      </c>
      <c r="S141" s="7" t="s">
        <v>29</v>
      </c>
    </row>
    <row r="142" spans="2:19">
      <c r="B142" s="7" t="s">
        <v>195</v>
      </c>
      <c r="C142" s="8" t="s">
        <v>195</v>
      </c>
      <c r="D142" s="5" t="str">
        <f>LRTRIM(CONCATENATE(IF(SUMPRODUCT(-- ISNUMBER(SEARCH({"Auto Number"}, $B142))) &gt; 0, $B142, IF(SUMPRODUCT(-- ISNUMBER(SEARCH({"Lookup","Master-Detail"}, $B142))) &gt; 0,$B142 &amp; "(" &amp; $E142 &amp; ")",IF(SUMPRODUCT(-- ISNUMBER(SEARCH({"Formula","Roll-Up Summary"}, $B142))) &gt; 0,$B142 &amp; " (" &amp; $E142 &amp; ")",IF(SUMPRODUCT(-- ISNUMBER(SEARCH({"Content","Currency","Number","Percent","Text","URL"}, $B142))) &gt; 0,$B142 &amp; "(" &amp; $C142 &amp; ")",$B142)))), "  ", TRIM(IF($S142 = "YES", "(External ID)", "") &amp; " " &amp; IF(SUMPRODUCT(-- ISNUMBER(SEARCH({"Unique","Unique Case Insensitive"}, $R142))) &gt; 0, "(" &amp; $R142 &amp; ")", ""))))</f>
        <v>na</v>
      </c>
      <c r="E142" s="7" t="s">
        <v>195</v>
      </c>
      <c r="F142" s="7" t="s">
        <v>195</v>
      </c>
      <c r="G142" s="7" t="s">
        <v>195</v>
      </c>
      <c r="H142" s="7" t="s">
        <v>195</v>
      </c>
      <c r="I142" s="7" t="s">
        <v>195</v>
      </c>
      <c r="J142" s="7" t="s">
        <v>195</v>
      </c>
      <c r="K142" s="7" t="s">
        <v>195</v>
      </c>
      <c r="L142" s="7" t="s">
        <v>195</v>
      </c>
      <c r="M142" s="7" t="s">
        <v>29</v>
      </c>
      <c r="N142" s="7" t="s">
        <v>29</v>
      </c>
      <c r="O142" s="7" t="s">
        <v>29</v>
      </c>
      <c r="P142" s="7" t="s">
        <v>29</v>
      </c>
      <c r="Q142" s="7" t="s">
        <v>29</v>
      </c>
      <c r="R142" s="7" t="s">
        <v>29</v>
      </c>
      <c r="S142" s="7" t="s">
        <v>29</v>
      </c>
    </row>
    <row r="143" spans="2:19">
      <c r="B143" s="7" t="s">
        <v>195</v>
      </c>
      <c r="C143" s="8" t="s">
        <v>195</v>
      </c>
      <c r="D143" s="5" t="str">
        <f>LRTRIM(CONCATENATE(IF(SUMPRODUCT(-- ISNUMBER(SEARCH({"Auto Number"}, $B143))) &gt; 0, $B143, IF(SUMPRODUCT(-- ISNUMBER(SEARCH({"Lookup","Master-Detail"}, $B143))) &gt; 0,$B143 &amp; "(" &amp; $E143 &amp; ")",IF(SUMPRODUCT(-- ISNUMBER(SEARCH({"Formula","Roll-Up Summary"}, $B143))) &gt; 0,$B143 &amp; " (" &amp; $E143 &amp; ")",IF(SUMPRODUCT(-- ISNUMBER(SEARCH({"Content","Currency","Number","Percent","Text","URL"}, $B143))) &gt; 0,$B143 &amp; "(" &amp; $C143 &amp; ")",$B143)))), "  ", TRIM(IF($S143 = "YES", "(External ID)", "") &amp; " " &amp; IF(SUMPRODUCT(-- ISNUMBER(SEARCH({"Unique","Unique Case Insensitive"}, $R143))) &gt; 0, "(" &amp; $R143 &amp; ")", ""))))</f>
        <v>na</v>
      </c>
      <c r="E143" s="7" t="s">
        <v>195</v>
      </c>
      <c r="F143" s="7" t="s">
        <v>195</v>
      </c>
      <c r="G143" s="7" t="s">
        <v>195</v>
      </c>
      <c r="H143" s="7" t="s">
        <v>195</v>
      </c>
      <c r="I143" s="7" t="s">
        <v>195</v>
      </c>
      <c r="J143" s="7" t="s">
        <v>195</v>
      </c>
      <c r="K143" s="7" t="s">
        <v>195</v>
      </c>
      <c r="L143" s="7" t="s">
        <v>195</v>
      </c>
      <c r="M143" s="7" t="s">
        <v>29</v>
      </c>
      <c r="N143" s="7" t="s">
        <v>29</v>
      </c>
      <c r="O143" s="7" t="s">
        <v>29</v>
      </c>
      <c r="P143" s="7" t="s">
        <v>29</v>
      </c>
      <c r="Q143" s="7" t="s">
        <v>29</v>
      </c>
      <c r="R143" s="7" t="s">
        <v>29</v>
      </c>
      <c r="S143" s="7" t="s">
        <v>29</v>
      </c>
    </row>
    <row r="144" spans="2:19">
      <c r="B144" s="7" t="s">
        <v>195</v>
      </c>
      <c r="C144" s="8" t="s">
        <v>195</v>
      </c>
      <c r="D144" s="5" t="str">
        <f>LRTRIM(CONCATENATE(IF(SUMPRODUCT(-- ISNUMBER(SEARCH({"Auto Number"}, $B144))) &gt; 0, $B144, IF(SUMPRODUCT(-- ISNUMBER(SEARCH({"Lookup","Master-Detail"}, $B144))) &gt; 0,$B144 &amp; "(" &amp; $E144 &amp; ")",IF(SUMPRODUCT(-- ISNUMBER(SEARCH({"Formula","Roll-Up Summary"}, $B144))) &gt; 0,$B144 &amp; " (" &amp; $E144 &amp; ")",IF(SUMPRODUCT(-- ISNUMBER(SEARCH({"Content","Currency","Number","Percent","Text","URL"}, $B144))) &gt; 0,$B144 &amp; "(" &amp; $C144 &amp; ")",$B144)))), "  ", TRIM(IF($S144 = "YES", "(External ID)", "") &amp; " " &amp; IF(SUMPRODUCT(-- ISNUMBER(SEARCH({"Unique","Unique Case Insensitive"}, $R144))) &gt; 0, "(" &amp; $R144 &amp; ")", ""))))</f>
        <v>na</v>
      </c>
      <c r="E144" s="7" t="s">
        <v>195</v>
      </c>
      <c r="F144" s="7" t="s">
        <v>195</v>
      </c>
      <c r="G144" s="7" t="s">
        <v>195</v>
      </c>
      <c r="H144" s="7" t="s">
        <v>195</v>
      </c>
      <c r="I144" s="7" t="s">
        <v>195</v>
      </c>
      <c r="J144" s="7" t="s">
        <v>195</v>
      </c>
      <c r="K144" s="7" t="s">
        <v>195</v>
      </c>
      <c r="L144" s="7" t="s">
        <v>195</v>
      </c>
      <c r="M144" s="7" t="s">
        <v>29</v>
      </c>
      <c r="N144" s="7" t="s">
        <v>29</v>
      </c>
      <c r="O144" s="7" t="s">
        <v>29</v>
      </c>
      <c r="P144" s="7" t="s">
        <v>29</v>
      </c>
      <c r="Q144" s="7" t="s">
        <v>29</v>
      </c>
      <c r="R144" s="7" t="s">
        <v>29</v>
      </c>
      <c r="S144" s="7" t="s">
        <v>29</v>
      </c>
    </row>
    <row r="145" spans="2:19">
      <c r="B145" s="7" t="s">
        <v>195</v>
      </c>
      <c r="C145" s="8" t="s">
        <v>195</v>
      </c>
      <c r="D145" s="5" t="str">
        <f>LRTRIM(CONCATENATE(IF(SUMPRODUCT(-- ISNUMBER(SEARCH({"Auto Number"}, $B145))) &gt; 0, $B145, IF(SUMPRODUCT(-- ISNUMBER(SEARCH({"Lookup","Master-Detail"}, $B145))) &gt; 0,$B145 &amp; "(" &amp; $E145 &amp; ")",IF(SUMPRODUCT(-- ISNUMBER(SEARCH({"Formula","Roll-Up Summary"}, $B145))) &gt; 0,$B145 &amp; " (" &amp; $E145 &amp; ")",IF(SUMPRODUCT(-- ISNUMBER(SEARCH({"Content","Currency","Number","Percent","Text","URL"}, $B145))) &gt; 0,$B145 &amp; "(" &amp; $C145 &amp; ")",$B145)))), "  ", TRIM(IF($S145 = "YES", "(External ID)", "") &amp; " " &amp; IF(SUMPRODUCT(-- ISNUMBER(SEARCH({"Unique","Unique Case Insensitive"}, $R145))) &gt; 0, "(" &amp; $R145 &amp; ")", ""))))</f>
        <v>na</v>
      </c>
      <c r="E145" s="7" t="s">
        <v>195</v>
      </c>
      <c r="F145" s="7" t="s">
        <v>195</v>
      </c>
      <c r="G145" s="7" t="s">
        <v>195</v>
      </c>
      <c r="H145" s="7" t="s">
        <v>195</v>
      </c>
      <c r="I145" s="7" t="s">
        <v>195</v>
      </c>
      <c r="J145" s="7" t="s">
        <v>195</v>
      </c>
      <c r="K145" s="7" t="s">
        <v>195</v>
      </c>
      <c r="L145" s="7" t="s">
        <v>195</v>
      </c>
      <c r="M145" s="7" t="s">
        <v>29</v>
      </c>
      <c r="N145" s="7" t="s">
        <v>29</v>
      </c>
      <c r="O145" s="7" t="s">
        <v>29</v>
      </c>
      <c r="P145" s="7" t="s">
        <v>29</v>
      </c>
      <c r="Q145" s="7" t="s">
        <v>29</v>
      </c>
      <c r="R145" s="7" t="s">
        <v>29</v>
      </c>
      <c r="S145" s="7" t="s">
        <v>29</v>
      </c>
    </row>
    <row r="146" spans="2:19">
      <c r="B146" s="7" t="s">
        <v>195</v>
      </c>
      <c r="C146" s="8" t="s">
        <v>195</v>
      </c>
      <c r="D146" s="5" t="str">
        <f>LRTRIM(CONCATENATE(IF(SUMPRODUCT(-- ISNUMBER(SEARCH({"Auto Number"}, $B146))) &gt; 0, $B146, IF(SUMPRODUCT(-- ISNUMBER(SEARCH({"Lookup","Master-Detail"}, $B146))) &gt; 0,$B146 &amp; "(" &amp; $E146 &amp; ")",IF(SUMPRODUCT(-- ISNUMBER(SEARCH({"Formula","Roll-Up Summary"}, $B146))) &gt; 0,$B146 &amp; " (" &amp; $E146 &amp; ")",IF(SUMPRODUCT(-- ISNUMBER(SEARCH({"Content","Currency","Number","Percent","Text","URL"}, $B146))) &gt; 0,$B146 &amp; "(" &amp; $C146 &amp; ")",$B146)))), "  ", TRIM(IF($S146 = "YES", "(External ID)", "") &amp; " " &amp; IF(SUMPRODUCT(-- ISNUMBER(SEARCH({"Unique","Unique Case Insensitive"}, $R146))) &gt; 0, "(" &amp; $R146 &amp; ")", ""))))</f>
        <v>na</v>
      </c>
      <c r="E146" s="7" t="s">
        <v>195</v>
      </c>
      <c r="F146" s="7" t="s">
        <v>195</v>
      </c>
      <c r="G146" s="7" t="s">
        <v>195</v>
      </c>
      <c r="H146" s="7" t="s">
        <v>195</v>
      </c>
      <c r="I146" s="7" t="s">
        <v>195</v>
      </c>
      <c r="J146" s="7" t="s">
        <v>195</v>
      </c>
      <c r="K146" s="7" t="s">
        <v>195</v>
      </c>
      <c r="L146" s="7" t="s">
        <v>195</v>
      </c>
      <c r="M146" s="7" t="s">
        <v>29</v>
      </c>
      <c r="N146" s="7" t="s">
        <v>29</v>
      </c>
      <c r="O146" s="7" t="s">
        <v>29</v>
      </c>
      <c r="P146" s="7" t="s">
        <v>29</v>
      </c>
      <c r="Q146" s="7" t="s">
        <v>29</v>
      </c>
      <c r="R146" s="7" t="s">
        <v>29</v>
      </c>
      <c r="S146" s="7" t="s">
        <v>29</v>
      </c>
    </row>
    <row r="147" spans="2:19">
      <c r="B147" s="7" t="s">
        <v>195</v>
      </c>
      <c r="C147" s="8" t="s">
        <v>195</v>
      </c>
      <c r="D147" s="5" t="str">
        <f>LRTRIM(CONCATENATE(IF(SUMPRODUCT(-- ISNUMBER(SEARCH({"Auto Number"}, $B147))) &gt; 0, $B147, IF(SUMPRODUCT(-- ISNUMBER(SEARCH({"Lookup","Master-Detail"}, $B147))) &gt; 0,$B147 &amp; "(" &amp; $E147 &amp; ")",IF(SUMPRODUCT(-- ISNUMBER(SEARCH({"Formula","Roll-Up Summary"}, $B147))) &gt; 0,$B147 &amp; " (" &amp; $E147 &amp; ")",IF(SUMPRODUCT(-- ISNUMBER(SEARCH({"Content","Currency","Number","Percent","Text","URL"}, $B147))) &gt; 0,$B147 &amp; "(" &amp; $C147 &amp; ")",$B147)))), "  ", TRIM(IF($S147 = "YES", "(External ID)", "") &amp; " " &amp; IF(SUMPRODUCT(-- ISNUMBER(SEARCH({"Unique","Unique Case Insensitive"}, $R147))) &gt; 0, "(" &amp; $R147 &amp; ")", ""))))</f>
        <v>na</v>
      </c>
      <c r="E147" s="7" t="s">
        <v>195</v>
      </c>
      <c r="F147" s="7" t="s">
        <v>195</v>
      </c>
      <c r="G147" s="7" t="s">
        <v>195</v>
      </c>
      <c r="H147" s="7" t="s">
        <v>195</v>
      </c>
      <c r="I147" s="7" t="s">
        <v>195</v>
      </c>
      <c r="J147" s="7" t="s">
        <v>195</v>
      </c>
      <c r="K147" s="7" t="s">
        <v>195</v>
      </c>
      <c r="L147" s="7" t="s">
        <v>195</v>
      </c>
      <c r="M147" s="7" t="s">
        <v>29</v>
      </c>
      <c r="N147" s="7" t="s">
        <v>29</v>
      </c>
      <c r="O147" s="7" t="s">
        <v>29</v>
      </c>
      <c r="P147" s="7" t="s">
        <v>29</v>
      </c>
      <c r="Q147" s="7" t="s">
        <v>29</v>
      </c>
      <c r="R147" s="7" t="s">
        <v>29</v>
      </c>
      <c r="S147" s="7" t="s">
        <v>29</v>
      </c>
    </row>
    <row r="148" spans="2:19">
      <c r="B148" s="7" t="s">
        <v>195</v>
      </c>
      <c r="C148" s="8" t="s">
        <v>195</v>
      </c>
      <c r="D148" s="5" t="str">
        <f>LRTRIM(CONCATENATE(IF(SUMPRODUCT(-- ISNUMBER(SEARCH({"Auto Number"}, $B148))) &gt; 0, $B148, IF(SUMPRODUCT(-- ISNUMBER(SEARCH({"Lookup","Master-Detail"}, $B148))) &gt; 0,$B148 &amp; "(" &amp; $E148 &amp; ")",IF(SUMPRODUCT(-- ISNUMBER(SEARCH({"Formula","Roll-Up Summary"}, $B148))) &gt; 0,$B148 &amp; " (" &amp; $E148 &amp; ")",IF(SUMPRODUCT(-- ISNUMBER(SEARCH({"Content","Currency","Number","Percent","Text","URL"}, $B148))) &gt; 0,$B148 &amp; "(" &amp; $C148 &amp; ")",$B148)))), "  ", TRIM(IF($S148 = "YES", "(External ID)", "") &amp; " " &amp; IF(SUMPRODUCT(-- ISNUMBER(SEARCH({"Unique","Unique Case Insensitive"}, $R148))) &gt; 0, "(" &amp; $R148 &amp; ")", ""))))</f>
        <v>na</v>
      </c>
      <c r="E148" s="7" t="s">
        <v>195</v>
      </c>
      <c r="F148" s="7" t="s">
        <v>195</v>
      </c>
      <c r="G148" s="7" t="s">
        <v>195</v>
      </c>
      <c r="H148" s="7" t="s">
        <v>195</v>
      </c>
      <c r="I148" s="7" t="s">
        <v>195</v>
      </c>
      <c r="J148" s="7" t="s">
        <v>195</v>
      </c>
      <c r="K148" s="7" t="s">
        <v>195</v>
      </c>
      <c r="L148" s="7" t="s">
        <v>195</v>
      </c>
      <c r="M148" s="7" t="s">
        <v>29</v>
      </c>
      <c r="N148" s="7" t="s">
        <v>29</v>
      </c>
      <c r="O148" s="7" t="s">
        <v>29</v>
      </c>
      <c r="P148" s="7" t="s">
        <v>29</v>
      </c>
      <c r="Q148" s="7" t="s">
        <v>29</v>
      </c>
      <c r="R148" s="7" t="s">
        <v>29</v>
      </c>
      <c r="S148" s="7" t="s">
        <v>29</v>
      </c>
    </row>
    <row r="149" spans="2:19">
      <c r="B149" s="7" t="s">
        <v>195</v>
      </c>
      <c r="C149" s="8" t="s">
        <v>195</v>
      </c>
      <c r="D149" s="5" t="str">
        <f>LRTRIM(CONCATENATE(IF(SUMPRODUCT(-- ISNUMBER(SEARCH({"Auto Number"}, $B149))) &gt; 0, $B149, IF(SUMPRODUCT(-- ISNUMBER(SEARCH({"Lookup","Master-Detail"}, $B149))) &gt; 0,$B149 &amp; "(" &amp; $E149 &amp; ")",IF(SUMPRODUCT(-- ISNUMBER(SEARCH({"Formula","Roll-Up Summary"}, $B149))) &gt; 0,$B149 &amp; " (" &amp; $E149 &amp; ")",IF(SUMPRODUCT(-- ISNUMBER(SEARCH({"Content","Currency","Number","Percent","Text","URL"}, $B149))) &gt; 0,$B149 &amp; "(" &amp; $C149 &amp; ")",$B149)))), "  ", TRIM(IF($S149 = "YES", "(External ID)", "") &amp; " " &amp; IF(SUMPRODUCT(-- ISNUMBER(SEARCH({"Unique","Unique Case Insensitive"}, $R149))) &gt; 0, "(" &amp; $R149 &amp; ")", ""))))</f>
        <v>na</v>
      </c>
      <c r="E149" s="7" t="s">
        <v>195</v>
      </c>
      <c r="F149" s="7" t="s">
        <v>195</v>
      </c>
      <c r="G149" s="7" t="s">
        <v>195</v>
      </c>
      <c r="H149" s="7" t="s">
        <v>195</v>
      </c>
      <c r="I149" s="7" t="s">
        <v>195</v>
      </c>
      <c r="J149" s="7" t="s">
        <v>195</v>
      </c>
      <c r="K149" s="7" t="s">
        <v>195</v>
      </c>
      <c r="L149" s="7" t="s">
        <v>195</v>
      </c>
      <c r="M149" s="7" t="s">
        <v>29</v>
      </c>
      <c r="N149" s="7" t="s">
        <v>29</v>
      </c>
      <c r="O149" s="7" t="s">
        <v>29</v>
      </c>
      <c r="P149" s="7" t="s">
        <v>29</v>
      </c>
      <c r="Q149" s="7" t="s">
        <v>29</v>
      </c>
      <c r="R149" s="7" t="s">
        <v>29</v>
      </c>
      <c r="S149" s="7" t="s">
        <v>29</v>
      </c>
    </row>
    <row r="150" spans="2:19">
      <c r="B150" s="7" t="s">
        <v>195</v>
      </c>
      <c r="C150" s="8" t="s">
        <v>195</v>
      </c>
      <c r="D150" s="5" t="str">
        <f>LRTRIM(CONCATENATE(IF(SUMPRODUCT(-- ISNUMBER(SEARCH({"Auto Number"}, $B150))) &gt; 0, $B150, IF(SUMPRODUCT(-- ISNUMBER(SEARCH({"Lookup","Master-Detail"}, $B150))) &gt; 0,$B150 &amp; "(" &amp; $E150 &amp; ")",IF(SUMPRODUCT(-- ISNUMBER(SEARCH({"Formula","Roll-Up Summary"}, $B150))) &gt; 0,$B150 &amp; " (" &amp; $E150 &amp; ")",IF(SUMPRODUCT(-- ISNUMBER(SEARCH({"Content","Currency","Number","Percent","Text","URL"}, $B150))) &gt; 0,$B150 &amp; "(" &amp; $C150 &amp; ")",$B150)))), "  ", TRIM(IF($S150 = "YES", "(External ID)", "") &amp; " " &amp; IF(SUMPRODUCT(-- ISNUMBER(SEARCH({"Unique","Unique Case Insensitive"}, $R150))) &gt; 0, "(" &amp; $R150 &amp; ")", ""))))</f>
        <v>na</v>
      </c>
      <c r="E150" s="7" t="s">
        <v>195</v>
      </c>
      <c r="F150" s="7" t="s">
        <v>195</v>
      </c>
      <c r="G150" s="7" t="s">
        <v>195</v>
      </c>
      <c r="H150" s="7" t="s">
        <v>195</v>
      </c>
      <c r="I150" s="7" t="s">
        <v>195</v>
      </c>
      <c r="J150" s="7" t="s">
        <v>195</v>
      </c>
      <c r="K150" s="7" t="s">
        <v>195</v>
      </c>
      <c r="L150" s="7" t="s">
        <v>195</v>
      </c>
      <c r="M150" s="7" t="s">
        <v>29</v>
      </c>
      <c r="N150" s="7" t="s">
        <v>29</v>
      </c>
      <c r="O150" s="7" t="s">
        <v>29</v>
      </c>
      <c r="P150" s="7" t="s">
        <v>29</v>
      </c>
      <c r="Q150" s="7" t="s">
        <v>29</v>
      </c>
      <c r="R150" s="7" t="s">
        <v>29</v>
      </c>
      <c r="S150" s="7" t="s">
        <v>29</v>
      </c>
    </row>
    <row r="151" spans="2:19">
      <c r="B151" s="7" t="s">
        <v>195</v>
      </c>
      <c r="C151" s="8" t="s">
        <v>195</v>
      </c>
      <c r="D151" s="5" t="str">
        <f>LRTRIM(CONCATENATE(IF(SUMPRODUCT(-- ISNUMBER(SEARCH({"Auto Number"}, $B151))) &gt; 0, $B151, IF(SUMPRODUCT(-- ISNUMBER(SEARCH({"Lookup","Master-Detail"}, $B151))) &gt; 0,$B151 &amp; "(" &amp; $E151 &amp; ")",IF(SUMPRODUCT(-- ISNUMBER(SEARCH({"Formula","Roll-Up Summary"}, $B151))) &gt; 0,$B151 &amp; " (" &amp; $E151 &amp; ")",IF(SUMPRODUCT(-- ISNUMBER(SEARCH({"Content","Currency","Number","Percent","Text","URL"}, $B151))) &gt; 0,$B151 &amp; "(" &amp; $C151 &amp; ")",$B151)))), "  ", TRIM(IF($S151 = "YES", "(External ID)", "") &amp; " " &amp; IF(SUMPRODUCT(-- ISNUMBER(SEARCH({"Unique","Unique Case Insensitive"}, $R151))) &gt; 0, "(" &amp; $R151 &amp; ")", ""))))</f>
        <v>na</v>
      </c>
      <c r="E151" s="7" t="s">
        <v>195</v>
      </c>
      <c r="F151" s="7" t="s">
        <v>195</v>
      </c>
      <c r="G151" s="7" t="s">
        <v>195</v>
      </c>
      <c r="H151" s="7" t="s">
        <v>195</v>
      </c>
      <c r="I151" s="7" t="s">
        <v>195</v>
      </c>
      <c r="J151" s="7" t="s">
        <v>195</v>
      </c>
      <c r="K151" s="7" t="s">
        <v>195</v>
      </c>
      <c r="L151" s="7" t="s">
        <v>195</v>
      </c>
      <c r="M151" s="7" t="s">
        <v>29</v>
      </c>
      <c r="N151" s="7" t="s">
        <v>29</v>
      </c>
      <c r="O151" s="7" t="s">
        <v>29</v>
      </c>
      <c r="P151" s="7" t="s">
        <v>29</v>
      </c>
      <c r="Q151" s="7" t="s">
        <v>29</v>
      </c>
      <c r="R151" s="7" t="s">
        <v>29</v>
      </c>
      <c r="S151" s="7" t="s">
        <v>29</v>
      </c>
    </row>
    <row r="152" spans="2:19">
      <c r="B152" s="7" t="s">
        <v>195</v>
      </c>
      <c r="C152" s="8" t="s">
        <v>195</v>
      </c>
      <c r="D152" s="5" t="str">
        <f>LRTRIM(CONCATENATE(IF(SUMPRODUCT(-- ISNUMBER(SEARCH({"Auto Number"}, $B152))) &gt; 0, $B152, IF(SUMPRODUCT(-- ISNUMBER(SEARCH({"Lookup","Master-Detail"}, $B152))) &gt; 0,$B152 &amp; "(" &amp; $E152 &amp; ")",IF(SUMPRODUCT(-- ISNUMBER(SEARCH({"Formula","Roll-Up Summary"}, $B152))) &gt; 0,$B152 &amp; " (" &amp; $E152 &amp; ")",IF(SUMPRODUCT(-- ISNUMBER(SEARCH({"Content","Currency","Number","Percent","Text","URL"}, $B152))) &gt; 0,$B152 &amp; "(" &amp; $C152 &amp; ")",$B152)))), "  ", TRIM(IF($S152 = "YES", "(External ID)", "") &amp; " " &amp; IF(SUMPRODUCT(-- ISNUMBER(SEARCH({"Unique","Unique Case Insensitive"}, $R152))) &gt; 0, "(" &amp; $R152 &amp; ")", ""))))</f>
        <v>na</v>
      </c>
      <c r="E152" s="7" t="s">
        <v>195</v>
      </c>
      <c r="F152" s="7" t="s">
        <v>195</v>
      </c>
      <c r="G152" s="7" t="s">
        <v>195</v>
      </c>
      <c r="H152" s="7" t="s">
        <v>195</v>
      </c>
      <c r="I152" s="7" t="s">
        <v>195</v>
      </c>
      <c r="J152" s="7" t="s">
        <v>195</v>
      </c>
      <c r="K152" s="7" t="s">
        <v>195</v>
      </c>
      <c r="L152" s="7" t="s">
        <v>195</v>
      </c>
      <c r="M152" s="7" t="s">
        <v>29</v>
      </c>
      <c r="N152" s="7" t="s">
        <v>29</v>
      </c>
      <c r="O152" s="7" t="s">
        <v>29</v>
      </c>
      <c r="P152" s="7" t="s">
        <v>29</v>
      </c>
      <c r="Q152" s="7" t="s">
        <v>29</v>
      </c>
      <c r="R152" s="7" t="s">
        <v>29</v>
      </c>
      <c r="S152" s="7" t="s">
        <v>29</v>
      </c>
    </row>
    <row r="153" spans="2:19">
      <c r="B153" s="7" t="s">
        <v>195</v>
      </c>
      <c r="C153" s="8" t="s">
        <v>195</v>
      </c>
      <c r="D153" s="5" t="str">
        <f>LRTRIM(CONCATENATE(IF(SUMPRODUCT(-- ISNUMBER(SEARCH({"Auto Number"}, $B153))) &gt; 0, $B153, IF(SUMPRODUCT(-- ISNUMBER(SEARCH({"Lookup","Master-Detail"}, $B153))) &gt; 0,$B153 &amp; "(" &amp; $E153 &amp; ")",IF(SUMPRODUCT(-- ISNUMBER(SEARCH({"Formula","Roll-Up Summary"}, $B153))) &gt; 0,$B153 &amp; " (" &amp; $E153 &amp; ")",IF(SUMPRODUCT(-- ISNUMBER(SEARCH({"Content","Currency","Number","Percent","Text","URL"}, $B153))) &gt; 0,$B153 &amp; "(" &amp; $C153 &amp; ")",$B153)))), "  ", TRIM(IF($S153 = "YES", "(External ID)", "") &amp; " " &amp; IF(SUMPRODUCT(-- ISNUMBER(SEARCH({"Unique","Unique Case Insensitive"}, $R153))) &gt; 0, "(" &amp; $R153 &amp; ")", ""))))</f>
        <v>na</v>
      </c>
      <c r="E153" s="7" t="s">
        <v>195</v>
      </c>
      <c r="F153" s="7" t="s">
        <v>195</v>
      </c>
      <c r="G153" s="7" t="s">
        <v>195</v>
      </c>
      <c r="H153" s="7" t="s">
        <v>195</v>
      </c>
      <c r="I153" s="7" t="s">
        <v>195</v>
      </c>
      <c r="J153" s="7" t="s">
        <v>195</v>
      </c>
      <c r="K153" s="7" t="s">
        <v>195</v>
      </c>
      <c r="L153" s="7" t="s">
        <v>195</v>
      </c>
      <c r="M153" s="7" t="s">
        <v>29</v>
      </c>
      <c r="N153" s="7" t="s">
        <v>29</v>
      </c>
      <c r="O153" s="7" t="s">
        <v>29</v>
      </c>
      <c r="P153" s="7" t="s">
        <v>29</v>
      </c>
      <c r="Q153" s="7" t="s">
        <v>29</v>
      </c>
      <c r="R153" s="7" t="s">
        <v>29</v>
      </c>
      <c r="S153" s="7" t="s">
        <v>29</v>
      </c>
    </row>
    <row r="154" spans="2:19">
      <c r="B154" s="7" t="s">
        <v>195</v>
      </c>
      <c r="C154" s="8" t="s">
        <v>195</v>
      </c>
      <c r="D154" s="5" t="str">
        <f>LRTRIM(CONCATENATE(IF(SUMPRODUCT(-- ISNUMBER(SEARCH({"Auto Number"}, $B154))) &gt; 0, $B154, IF(SUMPRODUCT(-- ISNUMBER(SEARCH({"Lookup","Master-Detail"}, $B154))) &gt; 0,$B154 &amp; "(" &amp; $E154 &amp; ")",IF(SUMPRODUCT(-- ISNUMBER(SEARCH({"Formula","Roll-Up Summary"}, $B154))) &gt; 0,$B154 &amp; " (" &amp; $E154 &amp; ")",IF(SUMPRODUCT(-- ISNUMBER(SEARCH({"Content","Currency","Number","Percent","Text","URL"}, $B154))) &gt; 0,$B154 &amp; "(" &amp; $C154 &amp; ")",$B154)))), "  ", TRIM(IF($S154 = "YES", "(External ID)", "") &amp; " " &amp; IF(SUMPRODUCT(-- ISNUMBER(SEARCH({"Unique","Unique Case Insensitive"}, $R154))) &gt; 0, "(" &amp; $R154 &amp; ")", ""))))</f>
        <v>na</v>
      </c>
      <c r="E154" s="7" t="s">
        <v>195</v>
      </c>
      <c r="F154" s="7" t="s">
        <v>195</v>
      </c>
      <c r="G154" s="7" t="s">
        <v>195</v>
      </c>
      <c r="H154" s="7" t="s">
        <v>195</v>
      </c>
      <c r="I154" s="7" t="s">
        <v>195</v>
      </c>
      <c r="J154" s="7" t="s">
        <v>195</v>
      </c>
      <c r="K154" s="7" t="s">
        <v>195</v>
      </c>
      <c r="L154" s="7" t="s">
        <v>195</v>
      </c>
      <c r="M154" s="7" t="s">
        <v>29</v>
      </c>
      <c r="N154" s="7" t="s">
        <v>29</v>
      </c>
      <c r="O154" s="7" t="s">
        <v>29</v>
      </c>
      <c r="P154" s="7" t="s">
        <v>29</v>
      </c>
      <c r="Q154" s="7" t="s">
        <v>29</v>
      </c>
      <c r="R154" s="7" t="s">
        <v>29</v>
      </c>
      <c r="S154" s="7" t="s">
        <v>29</v>
      </c>
    </row>
    <row r="155" spans="2:19">
      <c r="B155" s="7" t="s">
        <v>195</v>
      </c>
      <c r="C155" s="8" t="s">
        <v>195</v>
      </c>
      <c r="D155" s="5" t="str">
        <f>LRTRIM(CONCATENATE(IF(SUMPRODUCT(-- ISNUMBER(SEARCH({"Auto Number"}, $B155))) &gt; 0, $B155, IF(SUMPRODUCT(-- ISNUMBER(SEARCH({"Lookup","Master-Detail"}, $B155))) &gt; 0,$B155 &amp; "(" &amp; $E155 &amp; ")",IF(SUMPRODUCT(-- ISNUMBER(SEARCH({"Formula","Roll-Up Summary"}, $B155))) &gt; 0,$B155 &amp; " (" &amp; $E155 &amp; ")",IF(SUMPRODUCT(-- ISNUMBER(SEARCH({"Content","Currency","Number","Percent","Text","URL"}, $B155))) &gt; 0,$B155 &amp; "(" &amp; $C155 &amp; ")",$B155)))), "  ", TRIM(IF($S155 = "YES", "(External ID)", "") &amp; " " &amp; IF(SUMPRODUCT(-- ISNUMBER(SEARCH({"Unique","Unique Case Insensitive"}, $R155))) &gt; 0, "(" &amp; $R155 &amp; ")", ""))))</f>
        <v>na</v>
      </c>
      <c r="E155" s="7" t="s">
        <v>195</v>
      </c>
      <c r="F155" s="7" t="s">
        <v>195</v>
      </c>
      <c r="G155" s="7" t="s">
        <v>195</v>
      </c>
      <c r="H155" s="7" t="s">
        <v>195</v>
      </c>
      <c r="I155" s="7" t="s">
        <v>195</v>
      </c>
      <c r="J155" s="7" t="s">
        <v>195</v>
      </c>
      <c r="K155" s="7" t="s">
        <v>195</v>
      </c>
      <c r="L155" s="7" t="s">
        <v>195</v>
      </c>
      <c r="M155" s="7" t="s">
        <v>29</v>
      </c>
      <c r="N155" s="7" t="s">
        <v>29</v>
      </c>
      <c r="O155" s="7" t="s">
        <v>29</v>
      </c>
      <c r="P155" s="7" t="s">
        <v>29</v>
      </c>
      <c r="Q155" s="7" t="s">
        <v>29</v>
      </c>
      <c r="R155" s="7" t="s">
        <v>29</v>
      </c>
      <c r="S155" s="7" t="s">
        <v>29</v>
      </c>
    </row>
    <row r="156" spans="2:19">
      <c r="B156" s="7" t="s">
        <v>195</v>
      </c>
      <c r="C156" s="8" t="s">
        <v>195</v>
      </c>
      <c r="D156" s="5" t="str">
        <f>LRTRIM(CONCATENATE(IF(SUMPRODUCT(-- ISNUMBER(SEARCH({"Auto Number"}, $B156))) &gt; 0, $B156, IF(SUMPRODUCT(-- ISNUMBER(SEARCH({"Lookup","Master-Detail"}, $B156))) &gt; 0,$B156 &amp; "(" &amp; $E156 &amp; ")",IF(SUMPRODUCT(-- ISNUMBER(SEARCH({"Formula","Roll-Up Summary"}, $B156))) &gt; 0,$B156 &amp; " (" &amp; $E156 &amp; ")",IF(SUMPRODUCT(-- ISNUMBER(SEARCH({"Content","Currency","Number","Percent","Text","URL"}, $B156))) &gt; 0,$B156 &amp; "(" &amp; $C156 &amp; ")",$B156)))), "  ", TRIM(IF($S156 = "YES", "(External ID)", "") &amp; " " &amp; IF(SUMPRODUCT(-- ISNUMBER(SEARCH({"Unique","Unique Case Insensitive"}, $R156))) &gt; 0, "(" &amp; $R156 &amp; ")", ""))))</f>
        <v>na</v>
      </c>
      <c r="E156" s="7" t="s">
        <v>195</v>
      </c>
      <c r="F156" s="7" t="s">
        <v>195</v>
      </c>
      <c r="G156" s="7" t="s">
        <v>195</v>
      </c>
      <c r="H156" s="7" t="s">
        <v>195</v>
      </c>
      <c r="I156" s="7" t="s">
        <v>195</v>
      </c>
      <c r="J156" s="7" t="s">
        <v>195</v>
      </c>
      <c r="K156" s="7" t="s">
        <v>195</v>
      </c>
      <c r="L156" s="7" t="s">
        <v>195</v>
      </c>
      <c r="M156" s="7" t="s">
        <v>29</v>
      </c>
      <c r="N156" s="7" t="s">
        <v>29</v>
      </c>
      <c r="O156" s="7" t="s">
        <v>29</v>
      </c>
      <c r="P156" s="7" t="s">
        <v>29</v>
      </c>
      <c r="Q156" s="7" t="s">
        <v>29</v>
      </c>
      <c r="R156" s="7" t="s">
        <v>29</v>
      </c>
      <c r="S156" s="7" t="s">
        <v>29</v>
      </c>
    </row>
    <row r="157" spans="2:19">
      <c r="B157" s="7" t="s">
        <v>195</v>
      </c>
      <c r="C157" s="8" t="s">
        <v>195</v>
      </c>
      <c r="D157" s="5" t="str">
        <f>LRTRIM(CONCATENATE(IF(SUMPRODUCT(-- ISNUMBER(SEARCH({"Auto Number"}, $B157))) &gt; 0, $B157, IF(SUMPRODUCT(-- ISNUMBER(SEARCH({"Lookup","Master-Detail"}, $B157))) &gt; 0,$B157 &amp; "(" &amp; $E157 &amp; ")",IF(SUMPRODUCT(-- ISNUMBER(SEARCH({"Formula","Roll-Up Summary"}, $B157))) &gt; 0,$B157 &amp; " (" &amp; $E157 &amp; ")",IF(SUMPRODUCT(-- ISNUMBER(SEARCH({"Content","Currency","Number","Percent","Text","URL"}, $B157))) &gt; 0,$B157 &amp; "(" &amp; $C157 &amp; ")",$B157)))), "  ", TRIM(IF($S157 = "YES", "(External ID)", "") &amp; " " &amp; IF(SUMPRODUCT(-- ISNUMBER(SEARCH({"Unique","Unique Case Insensitive"}, $R157))) &gt; 0, "(" &amp; $R157 &amp; ")", ""))))</f>
        <v>na</v>
      </c>
      <c r="E157" s="7" t="s">
        <v>195</v>
      </c>
      <c r="F157" s="7" t="s">
        <v>195</v>
      </c>
      <c r="G157" s="7" t="s">
        <v>195</v>
      </c>
      <c r="H157" s="7" t="s">
        <v>195</v>
      </c>
      <c r="I157" s="7" t="s">
        <v>195</v>
      </c>
      <c r="J157" s="7" t="s">
        <v>195</v>
      </c>
      <c r="K157" s="7" t="s">
        <v>195</v>
      </c>
      <c r="L157" s="7" t="s">
        <v>195</v>
      </c>
      <c r="M157" s="7" t="s">
        <v>29</v>
      </c>
      <c r="N157" s="7" t="s">
        <v>29</v>
      </c>
      <c r="O157" s="7" t="s">
        <v>29</v>
      </c>
      <c r="P157" s="7" t="s">
        <v>29</v>
      </c>
      <c r="Q157" s="7" t="s">
        <v>29</v>
      </c>
      <c r="R157" s="7" t="s">
        <v>29</v>
      </c>
      <c r="S157" s="7" t="s">
        <v>29</v>
      </c>
    </row>
    <row r="158" spans="2:19">
      <c r="B158" s="7" t="s">
        <v>195</v>
      </c>
      <c r="C158" s="8" t="s">
        <v>195</v>
      </c>
      <c r="D158" s="5" t="str">
        <f>LRTRIM(CONCATENATE(IF(SUMPRODUCT(-- ISNUMBER(SEARCH({"Auto Number"}, $B158))) &gt; 0, $B158, IF(SUMPRODUCT(-- ISNUMBER(SEARCH({"Lookup","Master-Detail"}, $B158))) &gt; 0,$B158 &amp; "(" &amp; $E158 &amp; ")",IF(SUMPRODUCT(-- ISNUMBER(SEARCH({"Formula","Roll-Up Summary"}, $B158))) &gt; 0,$B158 &amp; " (" &amp; $E158 &amp; ")",IF(SUMPRODUCT(-- ISNUMBER(SEARCH({"Content","Currency","Number","Percent","Text","URL"}, $B158))) &gt; 0,$B158 &amp; "(" &amp; $C158 &amp; ")",$B158)))), "  ", TRIM(IF($S158 = "YES", "(External ID)", "") &amp; " " &amp; IF(SUMPRODUCT(-- ISNUMBER(SEARCH({"Unique","Unique Case Insensitive"}, $R158))) &gt; 0, "(" &amp; $R158 &amp; ")", ""))))</f>
        <v>na</v>
      </c>
      <c r="E158" s="7" t="s">
        <v>195</v>
      </c>
      <c r="F158" s="7" t="s">
        <v>195</v>
      </c>
      <c r="G158" s="7" t="s">
        <v>195</v>
      </c>
      <c r="H158" s="7" t="s">
        <v>195</v>
      </c>
      <c r="I158" s="7" t="s">
        <v>195</v>
      </c>
      <c r="J158" s="7" t="s">
        <v>195</v>
      </c>
      <c r="K158" s="7" t="s">
        <v>195</v>
      </c>
      <c r="L158" s="7" t="s">
        <v>195</v>
      </c>
      <c r="M158" s="7" t="s">
        <v>29</v>
      </c>
      <c r="N158" s="7" t="s">
        <v>29</v>
      </c>
      <c r="O158" s="7" t="s">
        <v>29</v>
      </c>
      <c r="P158" s="7" t="s">
        <v>29</v>
      </c>
      <c r="Q158" s="7" t="s">
        <v>29</v>
      </c>
      <c r="R158" s="7" t="s">
        <v>29</v>
      </c>
      <c r="S158" s="7" t="s">
        <v>29</v>
      </c>
    </row>
    <row r="159" spans="2:19">
      <c r="B159" s="7" t="s">
        <v>195</v>
      </c>
      <c r="C159" s="8" t="s">
        <v>195</v>
      </c>
      <c r="D159" s="5" t="str">
        <f>LRTRIM(CONCATENATE(IF(SUMPRODUCT(-- ISNUMBER(SEARCH({"Auto Number"}, $B159))) &gt; 0, $B159, IF(SUMPRODUCT(-- ISNUMBER(SEARCH({"Lookup","Master-Detail"}, $B159))) &gt; 0,$B159 &amp; "(" &amp; $E159 &amp; ")",IF(SUMPRODUCT(-- ISNUMBER(SEARCH({"Formula","Roll-Up Summary"}, $B159))) &gt; 0,$B159 &amp; " (" &amp; $E159 &amp; ")",IF(SUMPRODUCT(-- ISNUMBER(SEARCH({"Content","Currency","Number","Percent","Text","URL"}, $B159))) &gt; 0,$B159 &amp; "(" &amp; $C159 &amp; ")",$B159)))), "  ", TRIM(IF($S159 = "YES", "(External ID)", "") &amp; " " &amp; IF(SUMPRODUCT(-- ISNUMBER(SEARCH({"Unique","Unique Case Insensitive"}, $R159))) &gt; 0, "(" &amp; $R159 &amp; ")", ""))))</f>
        <v>na</v>
      </c>
      <c r="E159" s="7" t="s">
        <v>195</v>
      </c>
      <c r="F159" s="7" t="s">
        <v>195</v>
      </c>
      <c r="G159" s="7" t="s">
        <v>195</v>
      </c>
      <c r="H159" s="7" t="s">
        <v>195</v>
      </c>
      <c r="I159" s="7" t="s">
        <v>195</v>
      </c>
      <c r="J159" s="7" t="s">
        <v>195</v>
      </c>
      <c r="K159" s="7" t="s">
        <v>195</v>
      </c>
      <c r="L159" s="7" t="s">
        <v>195</v>
      </c>
      <c r="M159" s="7" t="s">
        <v>29</v>
      </c>
      <c r="N159" s="7" t="s">
        <v>29</v>
      </c>
      <c r="O159" s="7" t="s">
        <v>29</v>
      </c>
      <c r="P159" s="7" t="s">
        <v>29</v>
      </c>
      <c r="Q159" s="7" t="s">
        <v>29</v>
      </c>
      <c r="R159" s="7" t="s">
        <v>29</v>
      </c>
      <c r="S159" s="7" t="s">
        <v>29</v>
      </c>
    </row>
    <row r="160" spans="2:19">
      <c r="B160" s="7" t="s">
        <v>195</v>
      </c>
      <c r="C160" s="8" t="s">
        <v>195</v>
      </c>
      <c r="D160" s="5" t="str">
        <f>LRTRIM(CONCATENATE(IF(SUMPRODUCT(-- ISNUMBER(SEARCH({"Auto Number"}, $B160))) &gt; 0, $B160, IF(SUMPRODUCT(-- ISNUMBER(SEARCH({"Lookup","Master-Detail"}, $B160))) &gt; 0,$B160 &amp; "(" &amp; $E160 &amp; ")",IF(SUMPRODUCT(-- ISNUMBER(SEARCH({"Formula","Roll-Up Summary"}, $B160))) &gt; 0,$B160 &amp; " (" &amp; $E160 &amp; ")",IF(SUMPRODUCT(-- ISNUMBER(SEARCH({"Content","Currency","Number","Percent","Text","URL"}, $B160))) &gt; 0,$B160 &amp; "(" &amp; $C160 &amp; ")",$B160)))), "  ", TRIM(IF($S160 = "YES", "(External ID)", "") &amp; " " &amp; IF(SUMPRODUCT(-- ISNUMBER(SEARCH({"Unique","Unique Case Insensitive"}, $R160))) &gt; 0, "(" &amp; $R160 &amp; ")", ""))))</f>
        <v>na</v>
      </c>
      <c r="E160" s="7" t="s">
        <v>195</v>
      </c>
      <c r="F160" s="7" t="s">
        <v>195</v>
      </c>
      <c r="G160" s="7" t="s">
        <v>195</v>
      </c>
      <c r="H160" s="7" t="s">
        <v>195</v>
      </c>
      <c r="I160" s="7" t="s">
        <v>195</v>
      </c>
      <c r="J160" s="7" t="s">
        <v>195</v>
      </c>
      <c r="K160" s="7" t="s">
        <v>195</v>
      </c>
      <c r="L160" s="7" t="s">
        <v>195</v>
      </c>
      <c r="M160" s="7" t="s">
        <v>29</v>
      </c>
      <c r="N160" s="7" t="s">
        <v>29</v>
      </c>
      <c r="O160" s="7" t="s">
        <v>29</v>
      </c>
      <c r="P160" s="7" t="s">
        <v>29</v>
      </c>
      <c r="Q160" s="7" t="s">
        <v>29</v>
      </c>
      <c r="R160" s="7" t="s">
        <v>29</v>
      </c>
      <c r="S160" s="7" t="s">
        <v>29</v>
      </c>
    </row>
    <row r="161" spans="2:19">
      <c r="B161" s="7" t="s">
        <v>195</v>
      </c>
      <c r="C161" s="8" t="s">
        <v>195</v>
      </c>
      <c r="D161" s="5" t="str">
        <f>LRTRIM(CONCATENATE(IF(SUMPRODUCT(-- ISNUMBER(SEARCH({"Auto Number"}, $B161))) &gt; 0, $B161, IF(SUMPRODUCT(-- ISNUMBER(SEARCH({"Lookup","Master-Detail"}, $B161))) &gt; 0,$B161 &amp; "(" &amp; $E161 &amp; ")",IF(SUMPRODUCT(-- ISNUMBER(SEARCH({"Formula","Roll-Up Summary"}, $B161))) &gt; 0,$B161 &amp; " (" &amp; $E161 &amp; ")",IF(SUMPRODUCT(-- ISNUMBER(SEARCH({"Content","Currency","Number","Percent","Text","URL"}, $B161))) &gt; 0,$B161 &amp; "(" &amp; $C161 &amp; ")",$B161)))), "  ", TRIM(IF($S161 = "YES", "(External ID)", "") &amp; " " &amp; IF(SUMPRODUCT(-- ISNUMBER(SEARCH({"Unique","Unique Case Insensitive"}, $R161))) &gt; 0, "(" &amp; $R161 &amp; ")", ""))))</f>
        <v>na</v>
      </c>
      <c r="E161" s="7" t="s">
        <v>195</v>
      </c>
      <c r="F161" s="7" t="s">
        <v>195</v>
      </c>
      <c r="G161" s="7" t="s">
        <v>195</v>
      </c>
      <c r="H161" s="7" t="s">
        <v>195</v>
      </c>
      <c r="I161" s="7" t="s">
        <v>195</v>
      </c>
      <c r="J161" s="7" t="s">
        <v>195</v>
      </c>
      <c r="K161" s="7" t="s">
        <v>195</v>
      </c>
      <c r="L161" s="7" t="s">
        <v>195</v>
      </c>
      <c r="M161" s="7" t="s">
        <v>29</v>
      </c>
      <c r="N161" s="7" t="s">
        <v>29</v>
      </c>
      <c r="O161" s="7" t="s">
        <v>29</v>
      </c>
      <c r="P161" s="7" t="s">
        <v>29</v>
      </c>
      <c r="Q161" s="7" t="s">
        <v>29</v>
      </c>
      <c r="R161" s="7" t="s">
        <v>29</v>
      </c>
      <c r="S161" s="7" t="s">
        <v>29</v>
      </c>
    </row>
    <row r="162" spans="2:19">
      <c r="B162" s="7" t="s">
        <v>195</v>
      </c>
      <c r="C162" s="8" t="s">
        <v>195</v>
      </c>
      <c r="D162" s="5" t="str">
        <f>LRTRIM(CONCATENATE(IF(SUMPRODUCT(-- ISNUMBER(SEARCH({"Auto Number"}, $B162))) &gt; 0, $B162, IF(SUMPRODUCT(-- ISNUMBER(SEARCH({"Lookup","Master-Detail"}, $B162))) &gt; 0,$B162 &amp; "(" &amp; $E162 &amp; ")",IF(SUMPRODUCT(-- ISNUMBER(SEARCH({"Formula","Roll-Up Summary"}, $B162))) &gt; 0,$B162 &amp; " (" &amp; $E162 &amp; ")",IF(SUMPRODUCT(-- ISNUMBER(SEARCH({"Content","Currency","Number","Percent","Text","URL"}, $B162))) &gt; 0,$B162 &amp; "(" &amp; $C162 &amp; ")",$B162)))), "  ", TRIM(IF($S162 = "YES", "(External ID)", "") &amp; " " &amp; IF(SUMPRODUCT(-- ISNUMBER(SEARCH({"Unique","Unique Case Insensitive"}, $R162))) &gt; 0, "(" &amp; $R162 &amp; ")", ""))))</f>
        <v>na</v>
      </c>
      <c r="E162" s="7" t="s">
        <v>195</v>
      </c>
      <c r="F162" s="7" t="s">
        <v>195</v>
      </c>
      <c r="G162" s="7" t="s">
        <v>195</v>
      </c>
      <c r="H162" s="7" t="s">
        <v>195</v>
      </c>
      <c r="I162" s="7" t="s">
        <v>195</v>
      </c>
      <c r="J162" s="7" t="s">
        <v>195</v>
      </c>
      <c r="K162" s="7" t="s">
        <v>195</v>
      </c>
      <c r="L162" s="7" t="s">
        <v>195</v>
      </c>
      <c r="M162" s="7" t="s">
        <v>29</v>
      </c>
      <c r="N162" s="7" t="s">
        <v>29</v>
      </c>
      <c r="O162" s="7" t="s">
        <v>29</v>
      </c>
      <c r="P162" s="7" t="s">
        <v>29</v>
      </c>
      <c r="Q162" s="7" t="s">
        <v>29</v>
      </c>
      <c r="R162" s="7" t="s">
        <v>29</v>
      </c>
      <c r="S162" s="7" t="s">
        <v>29</v>
      </c>
    </row>
    <row r="163" spans="2:19">
      <c r="B163" s="7" t="s">
        <v>195</v>
      </c>
      <c r="C163" s="8" t="s">
        <v>195</v>
      </c>
      <c r="D163" s="5" t="str">
        <f>LRTRIM(CONCATENATE(IF(SUMPRODUCT(-- ISNUMBER(SEARCH({"Auto Number"}, $B163))) &gt; 0, $B163, IF(SUMPRODUCT(-- ISNUMBER(SEARCH({"Lookup","Master-Detail"}, $B163))) &gt; 0,$B163 &amp; "(" &amp; $E163 &amp; ")",IF(SUMPRODUCT(-- ISNUMBER(SEARCH({"Formula","Roll-Up Summary"}, $B163))) &gt; 0,$B163 &amp; " (" &amp; $E163 &amp; ")",IF(SUMPRODUCT(-- ISNUMBER(SEARCH({"Content","Currency","Number","Percent","Text","URL"}, $B163))) &gt; 0,$B163 &amp; "(" &amp; $C163 &amp; ")",$B163)))), "  ", TRIM(IF($S163 = "YES", "(External ID)", "") &amp; " " &amp; IF(SUMPRODUCT(-- ISNUMBER(SEARCH({"Unique","Unique Case Insensitive"}, $R163))) &gt; 0, "(" &amp; $R163 &amp; ")", ""))))</f>
        <v>na</v>
      </c>
      <c r="E163" s="7" t="s">
        <v>195</v>
      </c>
      <c r="F163" s="7" t="s">
        <v>195</v>
      </c>
      <c r="G163" s="7" t="s">
        <v>195</v>
      </c>
      <c r="H163" s="7" t="s">
        <v>195</v>
      </c>
      <c r="I163" s="7" t="s">
        <v>195</v>
      </c>
      <c r="J163" s="7" t="s">
        <v>195</v>
      </c>
      <c r="K163" s="7" t="s">
        <v>195</v>
      </c>
      <c r="L163" s="7" t="s">
        <v>195</v>
      </c>
      <c r="M163" s="7" t="s">
        <v>29</v>
      </c>
      <c r="N163" s="7" t="s">
        <v>29</v>
      </c>
      <c r="O163" s="7" t="s">
        <v>29</v>
      </c>
      <c r="P163" s="7" t="s">
        <v>29</v>
      </c>
      <c r="Q163" s="7" t="s">
        <v>29</v>
      </c>
      <c r="R163" s="7" t="s">
        <v>29</v>
      </c>
      <c r="S163" s="7" t="s">
        <v>29</v>
      </c>
    </row>
    <row r="164" spans="2:19">
      <c r="B164" s="7" t="s">
        <v>195</v>
      </c>
      <c r="C164" s="8" t="s">
        <v>195</v>
      </c>
      <c r="D164" s="5" t="str">
        <f>LRTRIM(CONCATENATE(IF(SUMPRODUCT(-- ISNUMBER(SEARCH({"Auto Number"}, $B164))) &gt; 0, $B164, IF(SUMPRODUCT(-- ISNUMBER(SEARCH({"Lookup","Master-Detail"}, $B164))) &gt; 0,$B164 &amp; "(" &amp; $E164 &amp; ")",IF(SUMPRODUCT(-- ISNUMBER(SEARCH({"Formula","Roll-Up Summary"}, $B164))) &gt; 0,$B164 &amp; " (" &amp; $E164 &amp; ")",IF(SUMPRODUCT(-- ISNUMBER(SEARCH({"Content","Currency","Number","Percent","Text","URL"}, $B164))) &gt; 0,$B164 &amp; "(" &amp; $C164 &amp; ")",$B164)))), "  ", TRIM(IF($S164 = "YES", "(External ID)", "") &amp; " " &amp; IF(SUMPRODUCT(-- ISNUMBER(SEARCH({"Unique","Unique Case Insensitive"}, $R164))) &gt; 0, "(" &amp; $R164 &amp; ")", ""))))</f>
        <v>na</v>
      </c>
      <c r="E164" s="7" t="s">
        <v>195</v>
      </c>
      <c r="F164" s="7" t="s">
        <v>195</v>
      </c>
      <c r="G164" s="7" t="s">
        <v>195</v>
      </c>
      <c r="H164" s="7" t="s">
        <v>195</v>
      </c>
      <c r="I164" s="7" t="s">
        <v>195</v>
      </c>
      <c r="J164" s="7" t="s">
        <v>195</v>
      </c>
      <c r="K164" s="7" t="s">
        <v>195</v>
      </c>
      <c r="L164" s="7" t="s">
        <v>195</v>
      </c>
      <c r="M164" s="7" t="s">
        <v>29</v>
      </c>
      <c r="N164" s="7" t="s">
        <v>29</v>
      </c>
      <c r="O164" s="7" t="s">
        <v>29</v>
      </c>
      <c r="P164" s="7" t="s">
        <v>29</v>
      </c>
      <c r="Q164" s="7" t="s">
        <v>29</v>
      </c>
      <c r="R164" s="7" t="s">
        <v>29</v>
      </c>
      <c r="S164" s="7" t="s">
        <v>29</v>
      </c>
    </row>
    <row r="165" spans="2:19">
      <c r="B165" s="7" t="s">
        <v>195</v>
      </c>
      <c r="C165" s="8" t="s">
        <v>195</v>
      </c>
      <c r="D165" s="5" t="str">
        <f>LRTRIM(CONCATENATE(IF(SUMPRODUCT(-- ISNUMBER(SEARCH({"Auto Number"}, $B165))) &gt; 0, $B165, IF(SUMPRODUCT(-- ISNUMBER(SEARCH({"Lookup","Master-Detail"}, $B165))) &gt; 0,$B165 &amp; "(" &amp; $E165 &amp; ")",IF(SUMPRODUCT(-- ISNUMBER(SEARCH({"Formula","Roll-Up Summary"}, $B165))) &gt; 0,$B165 &amp; " (" &amp; $E165 &amp; ")",IF(SUMPRODUCT(-- ISNUMBER(SEARCH({"Content","Currency","Number","Percent","Text","URL"}, $B165))) &gt; 0,$B165 &amp; "(" &amp; $C165 &amp; ")",$B165)))), "  ", TRIM(IF($S165 = "YES", "(External ID)", "") &amp; " " &amp; IF(SUMPRODUCT(-- ISNUMBER(SEARCH({"Unique","Unique Case Insensitive"}, $R165))) &gt; 0, "(" &amp; $R165 &amp; ")", ""))))</f>
        <v>na</v>
      </c>
      <c r="E165" s="7" t="s">
        <v>195</v>
      </c>
      <c r="F165" s="7" t="s">
        <v>195</v>
      </c>
      <c r="G165" s="7" t="s">
        <v>195</v>
      </c>
      <c r="H165" s="7" t="s">
        <v>195</v>
      </c>
      <c r="I165" s="7" t="s">
        <v>195</v>
      </c>
      <c r="J165" s="7" t="s">
        <v>195</v>
      </c>
      <c r="K165" s="7" t="s">
        <v>195</v>
      </c>
      <c r="L165" s="7" t="s">
        <v>195</v>
      </c>
      <c r="M165" s="7" t="s">
        <v>29</v>
      </c>
      <c r="N165" s="7" t="s">
        <v>29</v>
      </c>
      <c r="O165" s="7" t="s">
        <v>29</v>
      </c>
      <c r="P165" s="7" t="s">
        <v>29</v>
      </c>
      <c r="Q165" s="7" t="s">
        <v>29</v>
      </c>
      <c r="R165" s="7" t="s">
        <v>29</v>
      </c>
      <c r="S165" s="7" t="s">
        <v>29</v>
      </c>
    </row>
    <row r="166" spans="2:19">
      <c r="B166" s="7" t="s">
        <v>195</v>
      </c>
      <c r="C166" s="8" t="s">
        <v>195</v>
      </c>
      <c r="D166" s="5" t="str">
        <f>LRTRIM(CONCATENATE(IF(SUMPRODUCT(-- ISNUMBER(SEARCH({"Auto Number"}, $B166))) &gt; 0, $B166, IF(SUMPRODUCT(-- ISNUMBER(SEARCH({"Lookup","Master-Detail"}, $B166))) &gt; 0,$B166 &amp; "(" &amp; $E166 &amp; ")",IF(SUMPRODUCT(-- ISNUMBER(SEARCH({"Formula","Roll-Up Summary"}, $B166))) &gt; 0,$B166 &amp; " (" &amp; $E166 &amp; ")",IF(SUMPRODUCT(-- ISNUMBER(SEARCH({"Content","Currency","Number","Percent","Text","URL"}, $B166))) &gt; 0,$B166 &amp; "(" &amp; $C166 &amp; ")",$B166)))), "  ", TRIM(IF($S166 = "YES", "(External ID)", "") &amp; " " &amp; IF(SUMPRODUCT(-- ISNUMBER(SEARCH({"Unique","Unique Case Insensitive"}, $R166))) &gt; 0, "(" &amp; $R166 &amp; ")", ""))))</f>
        <v>na</v>
      </c>
      <c r="E166" s="7" t="s">
        <v>195</v>
      </c>
      <c r="F166" s="7" t="s">
        <v>195</v>
      </c>
      <c r="G166" s="7" t="s">
        <v>195</v>
      </c>
      <c r="H166" s="7" t="s">
        <v>195</v>
      </c>
      <c r="I166" s="7" t="s">
        <v>195</v>
      </c>
      <c r="J166" s="7" t="s">
        <v>195</v>
      </c>
      <c r="K166" s="7" t="s">
        <v>195</v>
      </c>
      <c r="L166" s="7" t="s">
        <v>195</v>
      </c>
      <c r="M166" s="7" t="s">
        <v>29</v>
      </c>
      <c r="N166" s="7" t="s">
        <v>29</v>
      </c>
      <c r="O166" s="7" t="s">
        <v>29</v>
      </c>
      <c r="P166" s="7" t="s">
        <v>29</v>
      </c>
      <c r="Q166" s="7" t="s">
        <v>29</v>
      </c>
      <c r="R166" s="7" t="s">
        <v>29</v>
      </c>
      <c r="S166" s="7" t="s">
        <v>29</v>
      </c>
    </row>
    <row r="167" spans="2:19">
      <c r="B167" s="7" t="s">
        <v>195</v>
      </c>
      <c r="C167" s="8" t="s">
        <v>195</v>
      </c>
      <c r="D167" s="5" t="str">
        <f>LRTRIM(CONCATENATE(IF(SUMPRODUCT(-- ISNUMBER(SEARCH({"Auto Number"}, $B167))) &gt; 0, $B167, IF(SUMPRODUCT(-- ISNUMBER(SEARCH({"Lookup","Master-Detail"}, $B167))) &gt; 0,$B167 &amp; "(" &amp; $E167 &amp; ")",IF(SUMPRODUCT(-- ISNUMBER(SEARCH({"Formula","Roll-Up Summary"}, $B167))) &gt; 0,$B167 &amp; " (" &amp; $E167 &amp; ")",IF(SUMPRODUCT(-- ISNUMBER(SEARCH({"Content","Currency","Number","Percent","Text","URL"}, $B167))) &gt; 0,$B167 &amp; "(" &amp; $C167 &amp; ")",$B167)))), "  ", TRIM(IF($S167 = "YES", "(External ID)", "") &amp; " " &amp; IF(SUMPRODUCT(-- ISNUMBER(SEARCH({"Unique","Unique Case Insensitive"}, $R167))) &gt; 0, "(" &amp; $R167 &amp; ")", ""))))</f>
        <v>na</v>
      </c>
      <c r="E167" s="7" t="s">
        <v>195</v>
      </c>
      <c r="F167" s="7" t="s">
        <v>195</v>
      </c>
      <c r="G167" s="7" t="s">
        <v>195</v>
      </c>
      <c r="H167" s="7" t="s">
        <v>195</v>
      </c>
      <c r="I167" s="7" t="s">
        <v>195</v>
      </c>
      <c r="J167" s="7" t="s">
        <v>195</v>
      </c>
      <c r="K167" s="7" t="s">
        <v>195</v>
      </c>
      <c r="L167" s="7" t="s">
        <v>195</v>
      </c>
      <c r="M167" s="7" t="s">
        <v>29</v>
      </c>
      <c r="N167" s="7" t="s">
        <v>29</v>
      </c>
      <c r="O167" s="7" t="s">
        <v>29</v>
      </c>
      <c r="P167" s="7" t="s">
        <v>29</v>
      </c>
      <c r="Q167" s="7" t="s">
        <v>29</v>
      </c>
      <c r="R167" s="7" t="s">
        <v>29</v>
      </c>
      <c r="S167" s="7" t="s">
        <v>29</v>
      </c>
    </row>
    <row r="168" spans="2:19">
      <c r="B168" s="7" t="s">
        <v>195</v>
      </c>
      <c r="C168" s="8" t="s">
        <v>195</v>
      </c>
      <c r="D168" s="5" t="str">
        <f>LRTRIM(CONCATENATE(IF(SUMPRODUCT(-- ISNUMBER(SEARCH({"Auto Number"}, $B168))) &gt; 0, $B168, IF(SUMPRODUCT(-- ISNUMBER(SEARCH({"Lookup","Master-Detail"}, $B168))) &gt; 0,$B168 &amp; "(" &amp; $E168 &amp; ")",IF(SUMPRODUCT(-- ISNUMBER(SEARCH({"Formula","Roll-Up Summary"}, $B168))) &gt; 0,$B168 &amp; " (" &amp; $E168 &amp; ")",IF(SUMPRODUCT(-- ISNUMBER(SEARCH({"Content","Currency","Number","Percent","Text","URL"}, $B168))) &gt; 0,$B168 &amp; "(" &amp; $C168 &amp; ")",$B168)))), "  ", TRIM(IF($S168 = "YES", "(External ID)", "") &amp; " " &amp; IF(SUMPRODUCT(-- ISNUMBER(SEARCH({"Unique","Unique Case Insensitive"}, $R168))) &gt; 0, "(" &amp; $R168 &amp; ")", ""))))</f>
        <v>na</v>
      </c>
      <c r="E168" s="7" t="s">
        <v>195</v>
      </c>
      <c r="F168" s="7" t="s">
        <v>195</v>
      </c>
      <c r="G168" s="7" t="s">
        <v>195</v>
      </c>
      <c r="H168" s="7" t="s">
        <v>195</v>
      </c>
      <c r="I168" s="7" t="s">
        <v>195</v>
      </c>
      <c r="J168" s="7" t="s">
        <v>195</v>
      </c>
      <c r="K168" s="7" t="s">
        <v>195</v>
      </c>
      <c r="L168" s="7" t="s">
        <v>195</v>
      </c>
      <c r="M168" s="7" t="s">
        <v>29</v>
      </c>
      <c r="N168" s="7" t="s">
        <v>29</v>
      </c>
      <c r="O168" s="7" t="s">
        <v>29</v>
      </c>
      <c r="P168" s="7" t="s">
        <v>29</v>
      </c>
      <c r="Q168" s="7" t="s">
        <v>29</v>
      </c>
      <c r="R168" s="7" t="s">
        <v>29</v>
      </c>
      <c r="S168" s="7" t="s">
        <v>29</v>
      </c>
    </row>
    <row r="169" spans="2:19">
      <c r="B169" s="7" t="s">
        <v>195</v>
      </c>
      <c r="C169" s="8" t="s">
        <v>195</v>
      </c>
      <c r="D169" s="5" t="str">
        <f>LRTRIM(CONCATENATE(IF(SUMPRODUCT(-- ISNUMBER(SEARCH({"Auto Number"}, $B169))) &gt; 0, $B169, IF(SUMPRODUCT(-- ISNUMBER(SEARCH({"Lookup","Master-Detail"}, $B169))) &gt; 0,$B169 &amp; "(" &amp; $E169 &amp; ")",IF(SUMPRODUCT(-- ISNUMBER(SEARCH({"Formula","Roll-Up Summary"}, $B169))) &gt; 0,$B169 &amp; " (" &amp; $E169 &amp; ")",IF(SUMPRODUCT(-- ISNUMBER(SEARCH({"Content","Currency","Number","Percent","Text","URL"}, $B169))) &gt; 0,$B169 &amp; "(" &amp; $C169 &amp; ")",$B169)))), "  ", TRIM(IF($S169 = "YES", "(External ID)", "") &amp; " " &amp; IF(SUMPRODUCT(-- ISNUMBER(SEARCH({"Unique","Unique Case Insensitive"}, $R169))) &gt; 0, "(" &amp; $R169 &amp; ")", ""))))</f>
        <v>na</v>
      </c>
      <c r="E169" s="7" t="s">
        <v>195</v>
      </c>
      <c r="F169" s="7" t="s">
        <v>195</v>
      </c>
      <c r="G169" s="7" t="s">
        <v>195</v>
      </c>
      <c r="H169" s="7" t="s">
        <v>195</v>
      </c>
      <c r="I169" s="7" t="s">
        <v>195</v>
      </c>
      <c r="J169" s="7" t="s">
        <v>195</v>
      </c>
      <c r="K169" s="7" t="s">
        <v>195</v>
      </c>
      <c r="L169" s="7" t="s">
        <v>195</v>
      </c>
      <c r="M169" s="7" t="s">
        <v>29</v>
      </c>
      <c r="N169" s="7" t="s">
        <v>29</v>
      </c>
      <c r="O169" s="7" t="s">
        <v>29</v>
      </c>
      <c r="P169" s="7" t="s">
        <v>29</v>
      </c>
      <c r="Q169" s="7" t="s">
        <v>29</v>
      </c>
      <c r="R169" s="7" t="s">
        <v>29</v>
      </c>
      <c r="S169" s="7" t="s">
        <v>29</v>
      </c>
    </row>
    <row r="170" spans="2:19">
      <c r="B170" s="7" t="s">
        <v>195</v>
      </c>
      <c r="C170" s="8" t="s">
        <v>195</v>
      </c>
      <c r="D170" s="5" t="str">
        <f>LRTRIM(CONCATENATE(IF(SUMPRODUCT(-- ISNUMBER(SEARCH({"Auto Number"}, $B170))) &gt; 0, $B170, IF(SUMPRODUCT(-- ISNUMBER(SEARCH({"Lookup","Master-Detail"}, $B170))) &gt; 0,$B170 &amp; "(" &amp; $E170 &amp; ")",IF(SUMPRODUCT(-- ISNUMBER(SEARCH({"Formula","Roll-Up Summary"}, $B170))) &gt; 0,$B170 &amp; " (" &amp; $E170 &amp; ")",IF(SUMPRODUCT(-- ISNUMBER(SEARCH({"Content","Currency","Number","Percent","Text","URL"}, $B170))) &gt; 0,$B170 &amp; "(" &amp; $C170 &amp; ")",$B170)))), "  ", TRIM(IF($S170 = "YES", "(External ID)", "") &amp; " " &amp; IF(SUMPRODUCT(-- ISNUMBER(SEARCH({"Unique","Unique Case Insensitive"}, $R170))) &gt; 0, "(" &amp; $R170 &amp; ")", ""))))</f>
        <v>na</v>
      </c>
      <c r="E170" s="7" t="s">
        <v>195</v>
      </c>
      <c r="F170" s="7" t="s">
        <v>195</v>
      </c>
      <c r="G170" s="7" t="s">
        <v>195</v>
      </c>
      <c r="H170" s="7" t="s">
        <v>195</v>
      </c>
      <c r="I170" s="7" t="s">
        <v>195</v>
      </c>
      <c r="J170" s="7" t="s">
        <v>195</v>
      </c>
      <c r="K170" s="7" t="s">
        <v>195</v>
      </c>
      <c r="L170" s="7" t="s">
        <v>195</v>
      </c>
      <c r="M170" s="7" t="s">
        <v>29</v>
      </c>
      <c r="N170" s="7" t="s">
        <v>29</v>
      </c>
      <c r="O170" s="7" t="s">
        <v>29</v>
      </c>
      <c r="P170" s="7" t="s">
        <v>29</v>
      </c>
      <c r="Q170" s="7" t="s">
        <v>29</v>
      </c>
      <c r="R170" s="7" t="s">
        <v>29</v>
      </c>
      <c r="S170" s="7" t="s">
        <v>29</v>
      </c>
    </row>
    <row r="171" spans="2:19">
      <c r="B171" s="7" t="s">
        <v>195</v>
      </c>
      <c r="C171" s="8" t="s">
        <v>195</v>
      </c>
      <c r="D171" s="5" t="str">
        <f>LRTRIM(CONCATENATE(IF(SUMPRODUCT(-- ISNUMBER(SEARCH({"Auto Number"}, $B171))) &gt; 0, $B171, IF(SUMPRODUCT(-- ISNUMBER(SEARCH({"Lookup","Master-Detail"}, $B171))) &gt; 0,$B171 &amp; "(" &amp; $E171 &amp; ")",IF(SUMPRODUCT(-- ISNUMBER(SEARCH({"Formula","Roll-Up Summary"}, $B171))) &gt; 0,$B171 &amp; " (" &amp; $E171 &amp; ")",IF(SUMPRODUCT(-- ISNUMBER(SEARCH({"Content","Currency","Number","Percent","Text","URL"}, $B171))) &gt; 0,$B171 &amp; "(" &amp; $C171 &amp; ")",$B171)))), "  ", TRIM(IF($S171 = "YES", "(External ID)", "") &amp; " " &amp; IF(SUMPRODUCT(-- ISNUMBER(SEARCH({"Unique","Unique Case Insensitive"}, $R171))) &gt; 0, "(" &amp; $R171 &amp; ")", ""))))</f>
        <v>na</v>
      </c>
      <c r="E171" s="7" t="s">
        <v>195</v>
      </c>
      <c r="F171" s="7" t="s">
        <v>195</v>
      </c>
      <c r="G171" s="7" t="s">
        <v>195</v>
      </c>
      <c r="H171" s="7" t="s">
        <v>195</v>
      </c>
      <c r="I171" s="7" t="s">
        <v>195</v>
      </c>
      <c r="J171" s="7" t="s">
        <v>195</v>
      </c>
      <c r="K171" s="7" t="s">
        <v>195</v>
      </c>
      <c r="L171" s="7" t="s">
        <v>195</v>
      </c>
      <c r="M171" s="7" t="s">
        <v>29</v>
      </c>
      <c r="N171" s="7" t="s">
        <v>29</v>
      </c>
      <c r="O171" s="7" t="s">
        <v>29</v>
      </c>
      <c r="P171" s="7" t="s">
        <v>29</v>
      </c>
      <c r="Q171" s="7" t="s">
        <v>29</v>
      </c>
      <c r="R171" s="7" t="s">
        <v>29</v>
      </c>
      <c r="S171" s="7" t="s">
        <v>29</v>
      </c>
    </row>
    <row r="172" spans="2:19">
      <c r="B172" s="7" t="s">
        <v>195</v>
      </c>
      <c r="C172" s="8" t="s">
        <v>195</v>
      </c>
      <c r="D172" s="5" t="str">
        <f>LRTRIM(CONCATENATE(IF(SUMPRODUCT(-- ISNUMBER(SEARCH({"Auto Number"}, $B172))) &gt; 0, $B172, IF(SUMPRODUCT(-- ISNUMBER(SEARCH({"Lookup","Master-Detail"}, $B172))) &gt; 0,$B172 &amp; "(" &amp; $E172 &amp; ")",IF(SUMPRODUCT(-- ISNUMBER(SEARCH({"Formula","Roll-Up Summary"}, $B172))) &gt; 0,$B172 &amp; " (" &amp; $E172 &amp; ")",IF(SUMPRODUCT(-- ISNUMBER(SEARCH({"Content","Currency","Number","Percent","Text","URL"}, $B172))) &gt; 0,$B172 &amp; "(" &amp; $C172 &amp; ")",$B172)))), "  ", TRIM(IF($S172 = "YES", "(External ID)", "") &amp; " " &amp; IF(SUMPRODUCT(-- ISNUMBER(SEARCH({"Unique","Unique Case Insensitive"}, $R172))) &gt; 0, "(" &amp; $R172 &amp; ")", ""))))</f>
        <v>na</v>
      </c>
      <c r="E172" s="7" t="s">
        <v>195</v>
      </c>
      <c r="F172" s="7" t="s">
        <v>195</v>
      </c>
      <c r="G172" s="7" t="s">
        <v>195</v>
      </c>
      <c r="H172" s="7" t="s">
        <v>195</v>
      </c>
      <c r="I172" s="7" t="s">
        <v>195</v>
      </c>
      <c r="J172" s="7" t="s">
        <v>195</v>
      </c>
      <c r="K172" s="7" t="s">
        <v>195</v>
      </c>
      <c r="L172" s="7" t="s">
        <v>195</v>
      </c>
      <c r="M172" s="7" t="s">
        <v>29</v>
      </c>
      <c r="N172" s="7" t="s">
        <v>29</v>
      </c>
      <c r="O172" s="7" t="s">
        <v>29</v>
      </c>
      <c r="P172" s="7" t="s">
        <v>29</v>
      </c>
      <c r="Q172" s="7" t="s">
        <v>29</v>
      </c>
      <c r="R172" s="7" t="s">
        <v>29</v>
      </c>
      <c r="S172" s="7" t="s">
        <v>29</v>
      </c>
    </row>
    <row r="173" spans="2:19">
      <c r="B173" s="7" t="s">
        <v>195</v>
      </c>
      <c r="C173" s="8" t="s">
        <v>195</v>
      </c>
      <c r="D173" s="5" t="str">
        <f>LRTRIM(CONCATENATE(IF(SUMPRODUCT(-- ISNUMBER(SEARCH({"Auto Number"}, $B173))) &gt; 0, $B173, IF(SUMPRODUCT(-- ISNUMBER(SEARCH({"Lookup","Master-Detail"}, $B173))) &gt; 0,$B173 &amp; "(" &amp; $E173 &amp; ")",IF(SUMPRODUCT(-- ISNUMBER(SEARCH({"Formula","Roll-Up Summary"}, $B173))) &gt; 0,$B173 &amp; " (" &amp; $E173 &amp; ")",IF(SUMPRODUCT(-- ISNUMBER(SEARCH({"Content","Currency","Number","Percent","Text","URL"}, $B173))) &gt; 0,$B173 &amp; "(" &amp; $C173 &amp; ")",$B173)))), "  ", TRIM(IF($S173 = "YES", "(External ID)", "") &amp; " " &amp; IF(SUMPRODUCT(-- ISNUMBER(SEARCH({"Unique","Unique Case Insensitive"}, $R173))) &gt; 0, "(" &amp; $R173 &amp; ")", ""))))</f>
        <v>na</v>
      </c>
      <c r="E173" s="7" t="s">
        <v>195</v>
      </c>
      <c r="F173" s="7" t="s">
        <v>195</v>
      </c>
      <c r="G173" s="7" t="s">
        <v>195</v>
      </c>
      <c r="H173" s="7" t="s">
        <v>195</v>
      </c>
      <c r="I173" s="7" t="s">
        <v>195</v>
      </c>
      <c r="J173" s="7" t="s">
        <v>195</v>
      </c>
      <c r="K173" s="7" t="s">
        <v>195</v>
      </c>
      <c r="L173" s="7" t="s">
        <v>195</v>
      </c>
      <c r="M173" s="7" t="s">
        <v>29</v>
      </c>
      <c r="N173" s="7" t="s">
        <v>29</v>
      </c>
      <c r="O173" s="7" t="s">
        <v>29</v>
      </c>
      <c r="P173" s="7" t="s">
        <v>29</v>
      </c>
      <c r="Q173" s="7" t="s">
        <v>29</v>
      </c>
      <c r="R173" s="7" t="s">
        <v>29</v>
      </c>
      <c r="S173" s="7" t="s">
        <v>29</v>
      </c>
    </row>
    <row r="174" spans="2:19">
      <c r="B174" s="7" t="s">
        <v>195</v>
      </c>
      <c r="C174" s="8" t="s">
        <v>195</v>
      </c>
      <c r="D174" s="5" t="str">
        <f>LRTRIM(CONCATENATE(IF(SUMPRODUCT(-- ISNUMBER(SEARCH({"Auto Number"}, $B174))) &gt; 0, $B174, IF(SUMPRODUCT(-- ISNUMBER(SEARCH({"Lookup","Master-Detail"}, $B174))) &gt; 0,$B174 &amp; "(" &amp; $E174 &amp; ")",IF(SUMPRODUCT(-- ISNUMBER(SEARCH({"Formula","Roll-Up Summary"}, $B174))) &gt; 0,$B174 &amp; " (" &amp; $E174 &amp; ")",IF(SUMPRODUCT(-- ISNUMBER(SEARCH({"Content","Currency","Number","Percent","Text","URL"}, $B174))) &gt; 0,$B174 &amp; "(" &amp; $C174 &amp; ")",$B174)))), "  ", TRIM(IF($S174 = "YES", "(External ID)", "") &amp; " " &amp; IF(SUMPRODUCT(-- ISNUMBER(SEARCH({"Unique","Unique Case Insensitive"}, $R174))) &gt; 0, "(" &amp; $R174 &amp; ")", ""))))</f>
        <v>na</v>
      </c>
      <c r="E174" s="7" t="s">
        <v>195</v>
      </c>
      <c r="F174" s="7" t="s">
        <v>195</v>
      </c>
      <c r="G174" s="7" t="s">
        <v>195</v>
      </c>
      <c r="H174" s="7" t="s">
        <v>195</v>
      </c>
      <c r="I174" s="7" t="s">
        <v>195</v>
      </c>
      <c r="J174" s="7" t="s">
        <v>195</v>
      </c>
      <c r="K174" s="7" t="s">
        <v>195</v>
      </c>
      <c r="L174" s="7" t="s">
        <v>195</v>
      </c>
      <c r="M174" s="7" t="s">
        <v>29</v>
      </c>
      <c r="N174" s="7" t="s">
        <v>29</v>
      </c>
      <c r="O174" s="7" t="s">
        <v>29</v>
      </c>
      <c r="P174" s="7" t="s">
        <v>29</v>
      </c>
      <c r="Q174" s="7" t="s">
        <v>29</v>
      </c>
      <c r="R174" s="7" t="s">
        <v>29</v>
      </c>
      <c r="S174" s="7" t="s">
        <v>29</v>
      </c>
    </row>
    <row r="175" spans="2:19">
      <c r="B175" s="7" t="s">
        <v>195</v>
      </c>
      <c r="C175" s="8" t="s">
        <v>195</v>
      </c>
      <c r="D175" s="5" t="str">
        <f>LRTRIM(CONCATENATE(IF(SUMPRODUCT(-- ISNUMBER(SEARCH({"Auto Number"}, $B175))) &gt; 0, $B175, IF(SUMPRODUCT(-- ISNUMBER(SEARCH({"Lookup","Master-Detail"}, $B175))) &gt; 0,$B175 &amp; "(" &amp; $E175 &amp; ")",IF(SUMPRODUCT(-- ISNUMBER(SEARCH({"Formula","Roll-Up Summary"}, $B175))) &gt; 0,$B175 &amp; " (" &amp; $E175 &amp; ")",IF(SUMPRODUCT(-- ISNUMBER(SEARCH({"Content","Currency","Number","Percent","Text","URL"}, $B175))) &gt; 0,$B175 &amp; "(" &amp; $C175 &amp; ")",$B175)))), "  ", TRIM(IF($S175 = "YES", "(External ID)", "") &amp; " " &amp; IF(SUMPRODUCT(-- ISNUMBER(SEARCH({"Unique","Unique Case Insensitive"}, $R175))) &gt; 0, "(" &amp; $R175 &amp; ")", ""))))</f>
        <v>na</v>
      </c>
      <c r="E175" s="7" t="s">
        <v>195</v>
      </c>
      <c r="F175" s="7" t="s">
        <v>195</v>
      </c>
      <c r="G175" s="7" t="s">
        <v>195</v>
      </c>
      <c r="H175" s="7" t="s">
        <v>195</v>
      </c>
      <c r="I175" s="7" t="s">
        <v>195</v>
      </c>
      <c r="J175" s="7" t="s">
        <v>195</v>
      </c>
      <c r="K175" s="7" t="s">
        <v>195</v>
      </c>
      <c r="L175" s="7" t="s">
        <v>195</v>
      </c>
      <c r="M175" s="7" t="s">
        <v>29</v>
      </c>
      <c r="N175" s="7" t="s">
        <v>29</v>
      </c>
      <c r="O175" s="7" t="s">
        <v>29</v>
      </c>
      <c r="P175" s="7" t="s">
        <v>29</v>
      </c>
      <c r="Q175" s="7" t="s">
        <v>29</v>
      </c>
      <c r="R175" s="7" t="s">
        <v>29</v>
      </c>
      <c r="S175" s="7" t="s">
        <v>29</v>
      </c>
    </row>
    <row r="176" spans="2:19">
      <c r="B176" s="7" t="s">
        <v>195</v>
      </c>
      <c r="C176" s="8" t="s">
        <v>195</v>
      </c>
      <c r="D176" s="5" t="str">
        <f>LRTRIM(CONCATENATE(IF(SUMPRODUCT(-- ISNUMBER(SEARCH({"Auto Number"}, $B176))) &gt; 0, $B176, IF(SUMPRODUCT(-- ISNUMBER(SEARCH({"Lookup","Master-Detail"}, $B176))) &gt; 0,$B176 &amp; "(" &amp; $E176 &amp; ")",IF(SUMPRODUCT(-- ISNUMBER(SEARCH({"Formula","Roll-Up Summary"}, $B176))) &gt; 0,$B176 &amp; " (" &amp; $E176 &amp; ")",IF(SUMPRODUCT(-- ISNUMBER(SEARCH({"Content","Currency","Number","Percent","Text","URL"}, $B176))) &gt; 0,$B176 &amp; "(" &amp; $C176 &amp; ")",$B176)))), "  ", TRIM(IF($S176 = "YES", "(External ID)", "") &amp; " " &amp; IF(SUMPRODUCT(-- ISNUMBER(SEARCH({"Unique","Unique Case Insensitive"}, $R176))) &gt; 0, "(" &amp; $R176 &amp; ")", ""))))</f>
        <v>na</v>
      </c>
      <c r="E176" s="7" t="s">
        <v>195</v>
      </c>
      <c r="F176" s="7" t="s">
        <v>195</v>
      </c>
      <c r="G176" s="7" t="s">
        <v>195</v>
      </c>
      <c r="H176" s="7" t="s">
        <v>195</v>
      </c>
      <c r="I176" s="7" t="s">
        <v>195</v>
      </c>
      <c r="J176" s="7" t="s">
        <v>195</v>
      </c>
      <c r="K176" s="7" t="s">
        <v>195</v>
      </c>
      <c r="L176" s="7" t="s">
        <v>195</v>
      </c>
      <c r="M176" s="7" t="s">
        <v>29</v>
      </c>
      <c r="N176" s="7" t="s">
        <v>29</v>
      </c>
      <c r="O176" s="7" t="s">
        <v>29</v>
      </c>
      <c r="P176" s="7" t="s">
        <v>29</v>
      </c>
      <c r="Q176" s="7" t="s">
        <v>29</v>
      </c>
      <c r="R176" s="7" t="s">
        <v>29</v>
      </c>
      <c r="S176" s="7" t="s">
        <v>29</v>
      </c>
    </row>
    <row r="177" spans="2:19">
      <c r="B177" s="7" t="s">
        <v>195</v>
      </c>
      <c r="C177" s="8" t="s">
        <v>195</v>
      </c>
      <c r="D177" s="5" t="str">
        <f>LRTRIM(CONCATENATE(IF(SUMPRODUCT(-- ISNUMBER(SEARCH({"Auto Number"}, $B177))) &gt; 0, $B177, IF(SUMPRODUCT(-- ISNUMBER(SEARCH({"Lookup","Master-Detail"}, $B177))) &gt; 0,$B177 &amp; "(" &amp; $E177 &amp; ")",IF(SUMPRODUCT(-- ISNUMBER(SEARCH({"Formula","Roll-Up Summary"}, $B177))) &gt; 0,$B177 &amp; " (" &amp; $E177 &amp; ")",IF(SUMPRODUCT(-- ISNUMBER(SEARCH({"Content","Currency","Number","Percent","Text","URL"}, $B177))) &gt; 0,$B177 &amp; "(" &amp; $C177 &amp; ")",$B177)))), "  ", TRIM(IF($S177 = "YES", "(External ID)", "") &amp; " " &amp; IF(SUMPRODUCT(-- ISNUMBER(SEARCH({"Unique","Unique Case Insensitive"}, $R177))) &gt; 0, "(" &amp; $R177 &amp; ")", ""))))</f>
        <v>na</v>
      </c>
      <c r="E177" s="7" t="s">
        <v>195</v>
      </c>
      <c r="F177" s="7" t="s">
        <v>195</v>
      </c>
      <c r="G177" s="7" t="s">
        <v>195</v>
      </c>
      <c r="H177" s="7" t="s">
        <v>195</v>
      </c>
      <c r="I177" s="7" t="s">
        <v>195</v>
      </c>
      <c r="J177" s="7" t="s">
        <v>195</v>
      </c>
      <c r="K177" s="7" t="s">
        <v>195</v>
      </c>
      <c r="L177" s="7" t="s">
        <v>195</v>
      </c>
      <c r="M177" s="7" t="s">
        <v>29</v>
      </c>
      <c r="N177" s="7" t="s">
        <v>29</v>
      </c>
      <c r="O177" s="7" t="s">
        <v>29</v>
      </c>
      <c r="P177" s="7" t="s">
        <v>29</v>
      </c>
      <c r="Q177" s="7" t="s">
        <v>29</v>
      </c>
      <c r="R177" s="7" t="s">
        <v>29</v>
      </c>
      <c r="S177" s="7" t="s">
        <v>29</v>
      </c>
    </row>
    <row r="178" spans="2:19">
      <c r="B178" s="7" t="s">
        <v>195</v>
      </c>
      <c r="C178" s="8" t="s">
        <v>195</v>
      </c>
      <c r="D178" s="5" t="str">
        <f>LRTRIM(CONCATENATE(IF(SUMPRODUCT(-- ISNUMBER(SEARCH({"Auto Number"}, $B178))) &gt; 0, $B178, IF(SUMPRODUCT(-- ISNUMBER(SEARCH({"Lookup","Master-Detail"}, $B178))) &gt; 0,$B178 &amp; "(" &amp; $E178 &amp; ")",IF(SUMPRODUCT(-- ISNUMBER(SEARCH({"Formula","Roll-Up Summary"}, $B178))) &gt; 0,$B178 &amp; " (" &amp; $E178 &amp; ")",IF(SUMPRODUCT(-- ISNUMBER(SEARCH({"Content","Currency","Number","Percent","Text","URL"}, $B178))) &gt; 0,$B178 &amp; "(" &amp; $C178 &amp; ")",$B178)))), "  ", TRIM(IF($S178 = "YES", "(External ID)", "") &amp; " " &amp; IF(SUMPRODUCT(-- ISNUMBER(SEARCH({"Unique","Unique Case Insensitive"}, $R178))) &gt; 0, "(" &amp; $R178 &amp; ")", ""))))</f>
        <v>na</v>
      </c>
      <c r="E178" s="7" t="s">
        <v>195</v>
      </c>
      <c r="F178" s="7" t="s">
        <v>195</v>
      </c>
      <c r="G178" s="7" t="s">
        <v>195</v>
      </c>
      <c r="H178" s="7" t="s">
        <v>195</v>
      </c>
      <c r="I178" s="7" t="s">
        <v>195</v>
      </c>
      <c r="J178" s="7" t="s">
        <v>195</v>
      </c>
      <c r="K178" s="7" t="s">
        <v>195</v>
      </c>
      <c r="L178" s="7" t="s">
        <v>195</v>
      </c>
      <c r="M178" s="7" t="s">
        <v>29</v>
      </c>
      <c r="N178" s="7" t="s">
        <v>29</v>
      </c>
      <c r="O178" s="7" t="s">
        <v>29</v>
      </c>
      <c r="P178" s="7" t="s">
        <v>29</v>
      </c>
      <c r="Q178" s="7" t="s">
        <v>29</v>
      </c>
      <c r="R178" s="7" t="s">
        <v>29</v>
      </c>
      <c r="S178" s="7" t="s">
        <v>29</v>
      </c>
    </row>
    <row r="179" spans="2:19">
      <c r="B179" s="7" t="s">
        <v>195</v>
      </c>
      <c r="C179" s="8" t="s">
        <v>195</v>
      </c>
      <c r="D179" s="5" t="str">
        <f>LRTRIM(CONCATENATE(IF(SUMPRODUCT(-- ISNUMBER(SEARCH({"Auto Number"}, $B179))) &gt; 0, $B179, IF(SUMPRODUCT(-- ISNUMBER(SEARCH({"Lookup","Master-Detail"}, $B179))) &gt; 0,$B179 &amp; "(" &amp; $E179 &amp; ")",IF(SUMPRODUCT(-- ISNUMBER(SEARCH({"Formula","Roll-Up Summary"}, $B179))) &gt; 0,$B179 &amp; " (" &amp; $E179 &amp; ")",IF(SUMPRODUCT(-- ISNUMBER(SEARCH({"Content","Currency","Number","Percent","Text","URL"}, $B179))) &gt; 0,$B179 &amp; "(" &amp; $C179 &amp; ")",$B179)))), "  ", TRIM(IF($S179 = "YES", "(External ID)", "") &amp; " " &amp; IF(SUMPRODUCT(-- ISNUMBER(SEARCH({"Unique","Unique Case Insensitive"}, $R179))) &gt; 0, "(" &amp; $R179 &amp; ")", ""))))</f>
        <v>na</v>
      </c>
      <c r="E179" s="7" t="s">
        <v>195</v>
      </c>
      <c r="F179" s="7" t="s">
        <v>195</v>
      </c>
      <c r="G179" s="7" t="s">
        <v>195</v>
      </c>
      <c r="H179" s="7" t="s">
        <v>195</v>
      </c>
      <c r="I179" s="7" t="s">
        <v>195</v>
      </c>
      <c r="J179" s="7" t="s">
        <v>195</v>
      </c>
      <c r="K179" s="7" t="s">
        <v>195</v>
      </c>
      <c r="L179" s="7" t="s">
        <v>195</v>
      </c>
      <c r="M179" s="7" t="s">
        <v>29</v>
      </c>
      <c r="N179" s="7" t="s">
        <v>29</v>
      </c>
      <c r="O179" s="7" t="s">
        <v>29</v>
      </c>
      <c r="P179" s="7" t="s">
        <v>29</v>
      </c>
      <c r="Q179" s="7" t="s">
        <v>29</v>
      </c>
      <c r="R179" s="7" t="s">
        <v>29</v>
      </c>
      <c r="S179" s="7" t="s">
        <v>29</v>
      </c>
    </row>
    <row r="180" spans="2:19">
      <c r="B180" s="7" t="s">
        <v>195</v>
      </c>
      <c r="C180" s="8" t="s">
        <v>195</v>
      </c>
      <c r="D180" s="5" t="str">
        <f>LRTRIM(CONCATENATE(IF(SUMPRODUCT(-- ISNUMBER(SEARCH({"Auto Number"}, $B180))) &gt; 0, $B180, IF(SUMPRODUCT(-- ISNUMBER(SEARCH({"Lookup","Master-Detail"}, $B180))) &gt; 0,$B180 &amp; "(" &amp; $E180 &amp; ")",IF(SUMPRODUCT(-- ISNUMBER(SEARCH({"Formula","Roll-Up Summary"}, $B180))) &gt; 0,$B180 &amp; " (" &amp; $E180 &amp; ")",IF(SUMPRODUCT(-- ISNUMBER(SEARCH({"Content","Currency","Number","Percent","Text","URL"}, $B180))) &gt; 0,$B180 &amp; "(" &amp; $C180 &amp; ")",$B180)))), "  ", TRIM(IF($S180 = "YES", "(External ID)", "") &amp; " " &amp; IF(SUMPRODUCT(-- ISNUMBER(SEARCH({"Unique","Unique Case Insensitive"}, $R180))) &gt; 0, "(" &amp; $R180 &amp; ")", ""))))</f>
        <v>na</v>
      </c>
      <c r="E180" s="7" t="s">
        <v>195</v>
      </c>
      <c r="F180" s="7" t="s">
        <v>195</v>
      </c>
      <c r="G180" s="7" t="s">
        <v>195</v>
      </c>
      <c r="H180" s="7" t="s">
        <v>195</v>
      </c>
      <c r="I180" s="7" t="s">
        <v>195</v>
      </c>
      <c r="J180" s="7" t="s">
        <v>195</v>
      </c>
      <c r="K180" s="7" t="s">
        <v>195</v>
      </c>
      <c r="L180" s="7" t="s">
        <v>195</v>
      </c>
      <c r="M180" s="7" t="s">
        <v>29</v>
      </c>
      <c r="N180" s="7" t="s">
        <v>29</v>
      </c>
      <c r="O180" s="7" t="s">
        <v>29</v>
      </c>
      <c r="P180" s="7" t="s">
        <v>29</v>
      </c>
      <c r="Q180" s="7" t="s">
        <v>29</v>
      </c>
      <c r="R180" s="7" t="s">
        <v>29</v>
      </c>
      <c r="S180" s="7" t="s">
        <v>29</v>
      </c>
    </row>
    <row r="181" spans="2:19">
      <c r="B181" s="7" t="s">
        <v>195</v>
      </c>
      <c r="C181" s="8" t="s">
        <v>195</v>
      </c>
      <c r="D181" s="5" t="str">
        <f>LRTRIM(CONCATENATE(IF(SUMPRODUCT(-- ISNUMBER(SEARCH({"Auto Number"}, $B181))) &gt; 0, $B181, IF(SUMPRODUCT(-- ISNUMBER(SEARCH({"Lookup","Master-Detail"}, $B181))) &gt; 0,$B181 &amp; "(" &amp; $E181 &amp; ")",IF(SUMPRODUCT(-- ISNUMBER(SEARCH({"Formula","Roll-Up Summary"}, $B181))) &gt; 0,$B181 &amp; " (" &amp; $E181 &amp; ")",IF(SUMPRODUCT(-- ISNUMBER(SEARCH({"Content","Currency","Number","Percent","Text","URL"}, $B181))) &gt; 0,$B181 &amp; "(" &amp; $C181 &amp; ")",$B181)))), "  ", TRIM(IF($S181 = "YES", "(External ID)", "") &amp; " " &amp; IF(SUMPRODUCT(-- ISNUMBER(SEARCH({"Unique","Unique Case Insensitive"}, $R181))) &gt; 0, "(" &amp; $R181 &amp; ")", ""))))</f>
        <v>na</v>
      </c>
      <c r="E181" s="7" t="s">
        <v>195</v>
      </c>
      <c r="F181" s="7" t="s">
        <v>195</v>
      </c>
      <c r="G181" s="7" t="s">
        <v>195</v>
      </c>
      <c r="H181" s="7" t="s">
        <v>195</v>
      </c>
      <c r="I181" s="7" t="s">
        <v>195</v>
      </c>
      <c r="J181" s="7" t="s">
        <v>195</v>
      </c>
      <c r="K181" s="7" t="s">
        <v>195</v>
      </c>
      <c r="L181" s="7" t="s">
        <v>195</v>
      </c>
      <c r="M181" s="7" t="s">
        <v>29</v>
      </c>
      <c r="N181" s="7" t="s">
        <v>29</v>
      </c>
      <c r="O181" s="7" t="s">
        <v>29</v>
      </c>
      <c r="P181" s="7" t="s">
        <v>29</v>
      </c>
      <c r="Q181" s="7" t="s">
        <v>29</v>
      </c>
      <c r="R181" s="7" t="s">
        <v>29</v>
      </c>
      <c r="S181" s="7" t="s">
        <v>29</v>
      </c>
    </row>
    <row r="182" spans="2:19">
      <c r="B182" s="7" t="s">
        <v>195</v>
      </c>
      <c r="C182" s="8" t="s">
        <v>195</v>
      </c>
      <c r="D182" s="5" t="str">
        <f>LRTRIM(CONCATENATE(IF(SUMPRODUCT(-- ISNUMBER(SEARCH({"Auto Number"}, $B182))) &gt; 0, $B182, IF(SUMPRODUCT(-- ISNUMBER(SEARCH({"Lookup","Master-Detail"}, $B182))) &gt; 0,$B182 &amp; "(" &amp; $E182 &amp; ")",IF(SUMPRODUCT(-- ISNUMBER(SEARCH({"Formula","Roll-Up Summary"}, $B182))) &gt; 0,$B182 &amp; " (" &amp; $E182 &amp; ")",IF(SUMPRODUCT(-- ISNUMBER(SEARCH({"Content","Currency","Number","Percent","Text","URL"}, $B182))) &gt; 0,$B182 &amp; "(" &amp; $C182 &amp; ")",$B182)))), "  ", TRIM(IF($S182 = "YES", "(External ID)", "") &amp; " " &amp; IF(SUMPRODUCT(-- ISNUMBER(SEARCH({"Unique","Unique Case Insensitive"}, $R182))) &gt; 0, "(" &amp; $R182 &amp; ")", ""))))</f>
        <v>na</v>
      </c>
      <c r="E182" s="7" t="s">
        <v>195</v>
      </c>
      <c r="F182" s="7" t="s">
        <v>195</v>
      </c>
      <c r="G182" s="7" t="s">
        <v>195</v>
      </c>
      <c r="H182" s="7" t="s">
        <v>195</v>
      </c>
      <c r="I182" s="7" t="s">
        <v>195</v>
      </c>
      <c r="J182" s="7" t="s">
        <v>195</v>
      </c>
      <c r="K182" s="7" t="s">
        <v>195</v>
      </c>
      <c r="L182" s="7" t="s">
        <v>195</v>
      </c>
      <c r="M182" s="7" t="s">
        <v>29</v>
      </c>
      <c r="N182" s="7" t="s">
        <v>29</v>
      </c>
      <c r="O182" s="7" t="s">
        <v>29</v>
      </c>
      <c r="P182" s="7" t="s">
        <v>29</v>
      </c>
      <c r="Q182" s="7" t="s">
        <v>29</v>
      </c>
      <c r="R182" s="7" t="s">
        <v>29</v>
      </c>
      <c r="S182" s="7" t="s">
        <v>29</v>
      </c>
    </row>
    <row r="183" spans="2:19">
      <c r="B183" s="7" t="s">
        <v>195</v>
      </c>
      <c r="C183" s="8" t="s">
        <v>195</v>
      </c>
      <c r="D183" s="5" t="str">
        <f>LRTRIM(CONCATENATE(IF(SUMPRODUCT(-- ISNUMBER(SEARCH({"Auto Number"}, $B183))) &gt; 0, $B183, IF(SUMPRODUCT(-- ISNUMBER(SEARCH({"Lookup","Master-Detail"}, $B183))) &gt; 0,$B183 &amp; "(" &amp; $E183 &amp; ")",IF(SUMPRODUCT(-- ISNUMBER(SEARCH({"Formula","Roll-Up Summary"}, $B183))) &gt; 0,$B183 &amp; " (" &amp; $E183 &amp; ")",IF(SUMPRODUCT(-- ISNUMBER(SEARCH({"Content","Currency","Number","Percent","Text","URL"}, $B183))) &gt; 0,$B183 &amp; "(" &amp; $C183 &amp; ")",$B183)))), "  ", TRIM(IF($S183 = "YES", "(External ID)", "") &amp; " " &amp; IF(SUMPRODUCT(-- ISNUMBER(SEARCH({"Unique","Unique Case Insensitive"}, $R183))) &gt; 0, "(" &amp; $R183 &amp; ")", ""))))</f>
        <v>na</v>
      </c>
      <c r="E183" s="7" t="s">
        <v>195</v>
      </c>
      <c r="F183" s="7" t="s">
        <v>195</v>
      </c>
      <c r="G183" s="7" t="s">
        <v>195</v>
      </c>
      <c r="H183" s="7" t="s">
        <v>195</v>
      </c>
      <c r="I183" s="7" t="s">
        <v>195</v>
      </c>
      <c r="J183" s="7" t="s">
        <v>195</v>
      </c>
      <c r="K183" s="7" t="s">
        <v>195</v>
      </c>
      <c r="L183" s="7" t="s">
        <v>195</v>
      </c>
      <c r="M183" s="7" t="s">
        <v>29</v>
      </c>
      <c r="N183" s="7" t="s">
        <v>29</v>
      </c>
      <c r="O183" s="7" t="s">
        <v>29</v>
      </c>
      <c r="P183" s="7" t="s">
        <v>29</v>
      </c>
      <c r="Q183" s="7" t="s">
        <v>29</v>
      </c>
      <c r="R183" s="7" t="s">
        <v>29</v>
      </c>
      <c r="S183" s="7" t="s">
        <v>29</v>
      </c>
    </row>
    <row r="184" spans="2:19">
      <c r="B184" s="7" t="s">
        <v>195</v>
      </c>
      <c r="C184" s="8" t="s">
        <v>195</v>
      </c>
      <c r="D184" s="5" t="str">
        <f>LRTRIM(CONCATENATE(IF(SUMPRODUCT(-- ISNUMBER(SEARCH({"Auto Number"}, $B184))) &gt; 0, $B184, IF(SUMPRODUCT(-- ISNUMBER(SEARCH({"Lookup","Master-Detail"}, $B184))) &gt; 0,$B184 &amp; "(" &amp; $E184 &amp; ")",IF(SUMPRODUCT(-- ISNUMBER(SEARCH({"Formula","Roll-Up Summary"}, $B184))) &gt; 0,$B184 &amp; " (" &amp; $E184 &amp; ")",IF(SUMPRODUCT(-- ISNUMBER(SEARCH({"Content","Currency","Number","Percent","Text","URL"}, $B184))) &gt; 0,$B184 &amp; "(" &amp; $C184 &amp; ")",$B184)))), "  ", TRIM(IF($S184 = "YES", "(External ID)", "") &amp; " " &amp; IF(SUMPRODUCT(-- ISNUMBER(SEARCH({"Unique","Unique Case Insensitive"}, $R184))) &gt; 0, "(" &amp; $R184 &amp; ")", ""))))</f>
        <v>na</v>
      </c>
      <c r="E184" s="7" t="s">
        <v>195</v>
      </c>
      <c r="F184" s="7" t="s">
        <v>195</v>
      </c>
      <c r="G184" s="7" t="s">
        <v>195</v>
      </c>
      <c r="H184" s="7" t="s">
        <v>195</v>
      </c>
      <c r="I184" s="7" t="s">
        <v>195</v>
      </c>
      <c r="J184" s="7" t="s">
        <v>195</v>
      </c>
      <c r="K184" s="7" t="s">
        <v>195</v>
      </c>
      <c r="L184" s="7" t="s">
        <v>195</v>
      </c>
      <c r="M184" s="7" t="s">
        <v>29</v>
      </c>
      <c r="N184" s="7" t="s">
        <v>29</v>
      </c>
      <c r="O184" s="7" t="s">
        <v>29</v>
      </c>
      <c r="P184" s="7" t="s">
        <v>29</v>
      </c>
      <c r="Q184" s="7" t="s">
        <v>29</v>
      </c>
      <c r="R184" s="7" t="s">
        <v>29</v>
      </c>
      <c r="S184" s="7" t="s">
        <v>29</v>
      </c>
    </row>
    <row r="185" spans="2:19">
      <c r="B185" s="7" t="s">
        <v>195</v>
      </c>
      <c r="C185" s="8" t="s">
        <v>195</v>
      </c>
      <c r="D185" s="5" t="str">
        <f>LRTRIM(CONCATENATE(IF(SUMPRODUCT(-- ISNUMBER(SEARCH({"Auto Number"}, $B185))) &gt; 0, $B185, IF(SUMPRODUCT(-- ISNUMBER(SEARCH({"Lookup","Master-Detail"}, $B185))) &gt; 0,$B185 &amp; "(" &amp; $E185 &amp; ")",IF(SUMPRODUCT(-- ISNUMBER(SEARCH({"Formula","Roll-Up Summary"}, $B185))) &gt; 0,$B185 &amp; " (" &amp; $E185 &amp; ")",IF(SUMPRODUCT(-- ISNUMBER(SEARCH({"Content","Currency","Number","Percent","Text","URL"}, $B185))) &gt; 0,$B185 &amp; "(" &amp; $C185 &amp; ")",$B185)))), "  ", TRIM(IF($S185 = "YES", "(External ID)", "") &amp; " " &amp; IF(SUMPRODUCT(-- ISNUMBER(SEARCH({"Unique","Unique Case Insensitive"}, $R185))) &gt; 0, "(" &amp; $R185 &amp; ")", ""))))</f>
        <v>na</v>
      </c>
      <c r="E185" s="7" t="s">
        <v>195</v>
      </c>
      <c r="F185" s="7" t="s">
        <v>195</v>
      </c>
      <c r="G185" s="7" t="s">
        <v>195</v>
      </c>
      <c r="H185" s="7" t="s">
        <v>195</v>
      </c>
      <c r="I185" s="7" t="s">
        <v>195</v>
      </c>
      <c r="J185" s="7" t="s">
        <v>195</v>
      </c>
      <c r="K185" s="7" t="s">
        <v>195</v>
      </c>
      <c r="L185" s="7" t="s">
        <v>195</v>
      </c>
      <c r="M185" s="7" t="s">
        <v>29</v>
      </c>
      <c r="N185" s="7" t="s">
        <v>29</v>
      </c>
      <c r="O185" s="7" t="s">
        <v>29</v>
      </c>
      <c r="P185" s="7" t="s">
        <v>29</v>
      </c>
      <c r="Q185" s="7" t="s">
        <v>29</v>
      </c>
      <c r="R185" s="7" t="s">
        <v>29</v>
      </c>
      <c r="S185" s="7" t="s">
        <v>29</v>
      </c>
    </row>
    <row r="186" spans="2:19">
      <c r="B186" s="7" t="s">
        <v>195</v>
      </c>
      <c r="C186" s="8" t="s">
        <v>195</v>
      </c>
      <c r="D186" s="5" t="str">
        <f>LRTRIM(CONCATENATE(IF(SUMPRODUCT(-- ISNUMBER(SEARCH({"Auto Number"}, $B186))) &gt; 0, $B186, IF(SUMPRODUCT(-- ISNUMBER(SEARCH({"Lookup","Master-Detail"}, $B186))) &gt; 0,$B186 &amp; "(" &amp; $E186 &amp; ")",IF(SUMPRODUCT(-- ISNUMBER(SEARCH({"Formula","Roll-Up Summary"}, $B186))) &gt; 0,$B186 &amp; " (" &amp; $E186 &amp; ")",IF(SUMPRODUCT(-- ISNUMBER(SEARCH({"Content","Currency","Number","Percent","Text","URL"}, $B186))) &gt; 0,$B186 &amp; "(" &amp; $C186 &amp; ")",$B186)))), "  ", TRIM(IF($S186 = "YES", "(External ID)", "") &amp; " " &amp; IF(SUMPRODUCT(-- ISNUMBER(SEARCH({"Unique","Unique Case Insensitive"}, $R186))) &gt; 0, "(" &amp; $R186 &amp; ")", ""))))</f>
        <v>na</v>
      </c>
      <c r="E186" s="7" t="s">
        <v>195</v>
      </c>
      <c r="F186" s="7" t="s">
        <v>195</v>
      </c>
      <c r="G186" s="7" t="s">
        <v>195</v>
      </c>
      <c r="H186" s="7" t="s">
        <v>195</v>
      </c>
      <c r="I186" s="7" t="s">
        <v>195</v>
      </c>
      <c r="J186" s="7" t="s">
        <v>195</v>
      </c>
      <c r="K186" s="7" t="s">
        <v>195</v>
      </c>
      <c r="L186" s="7" t="s">
        <v>195</v>
      </c>
      <c r="M186" s="7" t="s">
        <v>29</v>
      </c>
      <c r="N186" s="7" t="s">
        <v>29</v>
      </c>
      <c r="O186" s="7" t="s">
        <v>29</v>
      </c>
      <c r="P186" s="7" t="s">
        <v>29</v>
      </c>
      <c r="Q186" s="7" t="s">
        <v>29</v>
      </c>
      <c r="R186" s="7" t="s">
        <v>29</v>
      </c>
      <c r="S186" s="7" t="s">
        <v>29</v>
      </c>
    </row>
    <row r="187" spans="2:19">
      <c r="B187" s="7" t="s">
        <v>195</v>
      </c>
      <c r="C187" s="8" t="s">
        <v>195</v>
      </c>
      <c r="D187" s="5" t="str">
        <f>LRTRIM(CONCATENATE(IF(SUMPRODUCT(-- ISNUMBER(SEARCH({"Auto Number"}, $B187))) &gt; 0, $B187, IF(SUMPRODUCT(-- ISNUMBER(SEARCH({"Lookup","Master-Detail"}, $B187))) &gt; 0,$B187 &amp; "(" &amp; $E187 &amp; ")",IF(SUMPRODUCT(-- ISNUMBER(SEARCH({"Formula","Roll-Up Summary"}, $B187))) &gt; 0,$B187 &amp; " (" &amp; $E187 &amp; ")",IF(SUMPRODUCT(-- ISNUMBER(SEARCH({"Content","Currency","Number","Percent","Text","URL"}, $B187))) &gt; 0,$B187 &amp; "(" &amp; $C187 &amp; ")",$B187)))), "  ", TRIM(IF($S187 = "YES", "(External ID)", "") &amp; " " &amp; IF(SUMPRODUCT(-- ISNUMBER(SEARCH({"Unique","Unique Case Insensitive"}, $R187))) &gt; 0, "(" &amp; $R187 &amp; ")", ""))))</f>
        <v>na</v>
      </c>
      <c r="E187" s="7" t="s">
        <v>195</v>
      </c>
      <c r="F187" s="7" t="s">
        <v>195</v>
      </c>
      <c r="G187" s="7" t="s">
        <v>195</v>
      </c>
      <c r="H187" s="7" t="s">
        <v>195</v>
      </c>
      <c r="I187" s="7" t="s">
        <v>195</v>
      </c>
      <c r="J187" s="7" t="s">
        <v>195</v>
      </c>
      <c r="K187" s="7" t="s">
        <v>195</v>
      </c>
      <c r="L187" s="7" t="s">
        <v>195</v>
      </c>
      <c r="M187" s="7" t="s">
        <v>29</v>
      </c>
      <c r="N187" s="7" t="s">
        <v>29</v>
      </c>
      <c r="O187" s="7" t="s">
        <v>29</v>
      </c>
      <c r="P187" s="7" t="s">
        <v>29</v>
      </c>
      <c r="Q187" s="7" t="s">
        <v>29</v>
      </c>
      <c r="R187" s="7" t="s">
        <v>29</v>
      </c>
      <c r="S187" s="7" t="s">
        <v>29</v>
      </c>
    </row>
    <row r="188" spans="2:19">
      <c r="B188" s="7" t="s">
        <v>195</v>
      </c>
      <c r="C188" s="8" t="s">
        <v>195</v>
      </c>
      <c r="D188" s="5" t="str">
        <f>LRTRIM(CONCATENATE(IF(SUMPRODUCT(-- ISNUMBER(SEARCH({"Auto Number"}, $B188))) &gt; 0, $B188, IF(SUMPRODUCT(-- ISNUMBER(SEARCH({"Lookup","Master-Detail"}, $B188))) &gt; 0,$B188 &amp; "(" &amp; $E188 &amp; ")",IF(SUMPRODUCT(-- ISNUMBER(SEARCH({"Formula","Roll-Up Summary"}, $B188))) &gt; 0,$B188 &amp; " (" &amp; $E188 &amp; ")",IF(SUMPRODUCT(-- ISNUMBER(SEARCH({"Content","Currency","Number","Percent","Text","URL"}, $B188))) &gt; 0,$B188 &amp; "(" &amp; $C188 &amp; ")",$B188)))), "  ", TRIM(IF($S188 = "YES", "(External ID)", "") &amp; " " &amp; IF(SUMPRODUCT(-- ISNUMBER(SEARCH({"Unique","Unique Case Insensitive"}, $R188))) &gt; 0, "(" &amp; $R188 &amp; ")", ""))))</f>
        <v>na</v>
      </c>
      <c r="E188" s="7" t="s">
        <v>195</v>
      </c>
      <c r="F188" s="7" t="s">
        <v>195</v>
      </c>
      <c r="G188" s="7" t="s">
        <v>195</v>
      </c>
      <c r="H188" s="7" t="s">
        <v>195</v>
      </c>
      <c r="I188" s="7" t="s">
        <v>195</v>
      </c>
      <c r="J188" s="7" t="s">
        <v>195</v>
      </c>
      <c r="K188" s="7" t="s">
        <v>195</v>
      </c>
      <c r="L188" s="7" t="s">
        <v>195</v>
      </c>
      <c r="M188" s="7" t="s">
        <v>29</v>
      </c>
      <c r="N188" s="7" t="s">
        <v>29</v>
      </c>
      <c r="O188" s="7" t="s">
        <v>29</v>
      </c>
      <c r="P188" s="7" t="s">
        <v>29</v>
      </c>
      <c r="Q188" s="7" t="s">
        <v>29</v>
      </c>
      <c r="R188" s="7" t="s">
        <v>29</v>
      </c>
      <c r="S188" s="7" t="s">
        <v>29</v>
      </c>
    </row>
    <row r="189" spans="2:19">
      <c r="B189" s="7" t="s">
        <v>195</v>
      </c>
      <c r="C189" s="8" t="s">
        <v>195</v>
      </c>
      <c r="D189" s="5" t="str">
        <f>LRTRIM(CONCATENATE(IF(SUMPRODUCT(-- ISNUMBER(SEARCH({"Auto Number"}, $B189))) &gt; 0, $B189, IF(SUMPRODUCT(-- ISNUMBER(SEARCH({"Lookup","Master-Detail"}, $B189))) &gt; 0,$B189 &amp; "(" &amp; $E189 &amp; ")",IF(SUMPRODUCT(-- ISNUMBER(SEARCH({"Formula","Roll-Up Summary"}, $B189))) &gt; 0,$B189 &amp; " (" &amp; $E189 &amp; ")",IF(SUMPRODUCT(-- ISNUMBER(SEARCH({"Content","Currency","Number","Percent","Text","URL"}, $B189))) &gt; 0,$B189 &amp; "(" &amp; $C189 &amp; ")",$B189)))), "  ", TRIM(IF($S189 = "YES", "(External ID)", "") &amp; " " &amp; IF(SUMPRODUCT(-- ISNUMBER(SEARCH({"Unique","Unique Case Insensitive"}, $R189))) &gt; 0, "(" &amp; $R189 &amp; ")", ""))))</f>
        <v>na</v>
      </c>
      <c r="E189" s="7" t="s">
        <v>195</v>
      </c>
      <c r="F189" s="7" t="s">
        <v>195</v>
      </c>
      <c r="G189" s="7" t="s">
        <v>195</v>
      </c>
      <c r="H189" s="7" t="s">
        <v>195</v>
      </c>
      <c r="I189" s="7" t="s">
        <v>195</v>
      </c>
      <c r="J189" s="7" t="s">
        <v>195</v>
      </c>
      <c r="K189" s="7" t="s">
        <v>195</v>
      </c>
      <c r="L189" s="7" t="s">
        <v>195</v>
      </c>
      <c r="M189" s="7" t="s">
        <v>29</v>
      </c>
      <c r="N189" s="7" t="s">
        <v>29</v>
      </c>
      <c r="O189" s="7" t="s">
        <v>29</v>
      </c>
      <c r="P189" s="7" t="s">
        <v>29</v>
      </c>
      <c r="Q189" s="7" t="s">
        <v>29</v>
      </c>
      <c r="R189" s="7" t="s">
        <v>29</v>
      </c>
      <c r="S189" s="7" t="s">
        <v>29</v>
      </c>
    </row>
    <row r="190" spans="2:19">
      <c r="B190" s="7" t="s">
        <v>195</v>
      </c>
      <c r="C190" s="8" t="s">
        <v>195</v>
      </c>
      <c r="D190" s="5" t="str">
        <f>LRTRIM(CONCATENATE(IF(SUMPRODUCT(-- ISNUMBER(SEARCH({"Auto Number"}, $B190))) &gt; 0, $B190, IF(SUMPRODUCT(-- ISNUMBER(SEARCH({"Lookup","Master-Detail"}, $B190))) &gt; 0,$B190 &amp; "(" &amp; $E190 &amp; ")",IF(SUMPRODUCT(-- ISNUMBER(SEARCH({"Formula","Roll-Up Summary"}, $B190))) &gt; 0,$B190 &amp; " (" &amp; $E190 &amp; ")",IF(SUMPRODUCT(-- ISNUMBER(SEARCH({"Content","Currency","Number","Percent","Text","URL"}, $B190))) &gt; 0,$B190 &amp; "(" &amp; $C190 &amp; ")",$B190)))), "  ", TRIM(IF($S190 = "YES", "(External ID)", "") &amp; " " &amp; IF(SUMPRODUCT(-- ISNUMBER(SEARCH({"Unique","Unique Case Insensitive"}, $R190))) &gt; 0, "(" &amp; $R190 &amp; ")", ""))))</f>
        <v>na</v>
      </c>
      <c r="E190" s="7" t="s">
        <v>195</v>
      </c>
      <c r="F190" s="7" t="s">
        <v>195</v>
      </c>
      <c r="G190" s="7" t="s">
        <v>195</v>
      </c>
      <c r="H190" s="7" t="s">
        <v>195</v>
      </c>
      <c r="I190" s="7" t="s">
        <v>195</v>
      </c>
      <c r="J190" s="7" t="s">
        <v>195</v>
      </c>
      <c r="K190" s="7" t="s">
        <v>195</v>
      </c>
      <c r="L190" s="7" t="s">
        <v>195</v>
      </c>
      <c r="M190" s="7" t="s">
        <v>29</v>
      </c>
      <c r="N190" s="7" t="s">
        <v>29</v>
      </c>
      <c r="O190" s="7" t="s">
        <v>29</v>
      </c>
      <c r="P190" s="7" t="s">
        <v>29</v>
      </c>
      <c r="Q190" s="7" t="s">
        <v>29</v>
      </c>
      <c r="R190" s="7" t="s">
        <v>29</v>
      </c>
      <c r="S190" s="7" t="s">
        <v>29</v>
      </c>
    </row>
    <row r="191" spans="2:19">
      <c r="B191" s="7" t="s">
        <v>195</v>
      </c>
      <c r="C191" s="8" t="s">
        <v>195</v>
      </c>
      <c r="D191" s="5" t="str">
        <f>LRTRIM(CONCATENATE(IF(SUMPRODUCT(-- ISNUMBER(SEARCH({"Auto Number"}, $B191))) &gt; 0, $B191, IF(SUMPRODUCT(-- ISNUMBER(SEARCH({"Lookup","Master-Detail"}, $B191))) &gt; 0,$B191 &amp; "(" &amp; $E191 &amp; ")",IF(SUMPRODUCT(-- ISNUMBER(SEARCH({"Formula","Roll-Up Summary"}, $B191))) &gt; 0,$B191 &amp; " (" &amp; $E191 &amp; ")",IF(SUMPRODUCT(-- ISNUMBER(SEARCH({"Content","Currency","Number","Percent","Text","URL"}, $B191))) &gt; 0,$B191 &amp; "(" &amp; $C191 &amp; ")",$B191)))), "  ", TRIM(IF($S191 = "YES", "(External ID)", "") &amp; " " &amp; IF(SUMPRODUCT(-- ISNUMBER(SEARCH({"Unique","Unique Case Insensitive"}, $R191))) &gt; 0, "(" &amp; $R191 &amp; ")", ""))))</f>
        <v>na</v>
      </c>
      <c r="E191" s="7" t="s">
        <v>195</v>
      </c>
      <c r="F191" s="7" t="s">
        <v>195</v>
      </c>
      <c r="G191" s="7" t="s">
        <v>195</v>
      </c>
      <c r="H191" s="7" t="s">
        <v>195</v>
      </c>
      <c r="I191" s="7" t="s">
        <v>195</v>
      </c>
      <c r="J191" s="7" t="s">
        <v>195</v>
      </c>
      <c r="K191" s="7" t="s">
        <v>195</v>
      </c>
      <c r="L191" s="7" t="s">
        <v>195</v>
      </c>
      <c r="M191" s="7" t="s">
        <v>29</v>
      </c>
      <c r="N191" s="7" t="s">
        <v>29</v>
      </c>
      <c r="O191" s="7" t="s">
        <v>29</v>
      </c>
      <c r="P191" s="7" t="s">
        <v>29</v>
      </c>
      <c r="Q191" s="7" t="s">
        <v>29</v>
      </c>
      <c r="R191" s="7" t="s">
        <v>29</v>
      </c>
      <c r="S191" s="7" t="s">
        <v>29</v>
      </c>
    </row>
    <row r="192" spans="2:19">
      <c r="B192" s="7" t="s">
        <v>195</v>
      </c>
      <c r="C192" s="8" t="s">
        <v>195</v>
      </c>
      <c r="D192" s="5" t="str">
        <f>LRTRIM(CONCATENATE(IF(SUMPRODUCT(-- ISNUMBER(SEARCH({"Auto Number"}, $B192))) &gt; 0, $B192, IF(SUMPRODUCT(-- ISNUMBER(SEARCH({"Lookup","Master-Detail"}, $B192))) &gt; 0,$B192 &amp; "(" &amp; $E192 &amp; ")",IF(SUMPRODUCT(-- ISNUMBER(SEARCH({"Formula","Roll-Up Summary"}, $B192))) &gt; 0,$B192 &amp; " (" &amp; $E192 &amp; ")",IF(SUMPRODUCT(-- ISNUMBER(SEARCH({"Content","Currency","Number","Percent","Text","URL"}, $B192))) &gt; 0,$B192 &amp; "(" &amp; $C192 &amp; ")",$B192)))), "  ", TRIM(IF($S192 = "YES", "(External ID)", "") &amp; " " &amp; IF(SUMPRODUCT(-- ISNUMBER(SEARCH({"Unique","Unique Case Insensitive"}, $R192))) &gt; 0, "(" &amp; $R192 &amp; ")", ""))))</f>
        <v>na</v>
      </c>
      <c r="E192" s="7" t="s">
        <v>195</v>
      </c>
      <c r="F192" s="7" t="s">
        <v>195</v>
      </c>
      <c r="G192" s="7" t="s">
        <v>195</v>
      </c>
      <c r="H192" s="7" t="s">
        <v>195</v>
      </c>
      <c r="I192" s="7" t="s">
        <v>195</v>
      </c>
      <c r="J192" s="7" t="s">
        <v>195</v>
      </c>
      <c r="K192" s="7" t="s">
        <v>195</v>
      </c>
      <c r="L192" s="7" t="s">
        <v>195</v>
      </c>
      <c r="M192" s="7" t="s">
        <v>29</v>
      </c>
      <c r="N192" s="7" t="s">
        <v>29</v>
      </c>
      <c r="O192" s="7" t="s">
        <v>29</v>
      </c>
      <c r="P192" s="7" t="s">
        <v>29</v>
      </c>
      <c r="Q192" s="7" t="s">
        <v>29</v>
      </c>
      <c r="R192" s="7" t="s">
        <v>29</v>
      </c>
      <c r="S192" s="7" t="s">
        <v>29</v>
      </c>
    </row>
    <row r="193" spans="2:19">
      <c r="B193" s="7" t="s">
        <v>195</v>
      </c>
      <c r="C193" s="8" t="s">
        <v>195</v>
      </c>
      <c r="D193" s="5" t="str">
        <f>LRTRIM(CONCATENATE(IF(SUMPRODUCT(-- ISNUMBER(SEARCH({"Auto Number"}, $B193))) &gt; 0, $B193, IF(SUMPRODUCT(-- ISNUMBER(SEARCH({"Lookup","Master-Detail"}, $B193))) &gt; 0,$B193 &amp; "(" &amp; $E193 &amp; ")",IF(SUMPRODUCT(-- ISNUMBER(SEARCH({"Formula","Roll-Up Summary"}, $B193))) &gt; 0,$B193 &amp; " (" &amp; $E193 &amp; ")",IF(SUMPRODUCT(-- ISNUMBER(SEARCH({"Content","Currency","Number","Percent","Text","URL"}, $B193))) &gt; 0,$B193 &amp; "(" &amp; $C193 &amp; ")",$B193)))), "  ", TRIM(IF($S193 = "YES", "(External ID)", "") &amp; " " &amp; IF(SUMPRODUCT(-- ISNUMBER(SEARCH({"Unique","Unique Case Insensitive"}, $R193))) &gt; 0, "(" &amp; $R193 &amp; ")", ""))))</f>
        <v>na</v>
      </c>
      <c r="E193" s="7" t="s">
        <v>195</v>
      </c>
      <c r="F193" s="7" t="s">
        <v>195</v>
      </c>
      <c r="G193" s="7" t="s">
        <v>195</v>
      </c>
      <c r="H193" s="7" t="s">
        <v>195</v>
      </c>
      <c r="I193" s="7" t="s">
        <v>195</v>
      </c>
      <c r="J193" s="7" t="s">
        <v>195</v>
      </c>
      <c r="K193" s="7" t="s">
        <v>195</v>
      </c>
      <c r="L193" s="7" t="s">
        <v>195</v>
      </c>
      <c r="M193" s="7" t="s">
        <v>29</v>
      </c>
      <c r="N193" s="7" t="s">
        <v>29</v>
      </c>
      <c r="O193" s="7" t="s">
        <v>29</v>
      </c>
      <c r="P193" s="7" t="s">
        <v>29</v>
      </c>
      <c r="Q193" s="7" t="s">
        <v>29</v>
      </c>
      <c r="R193" s="7" t="s">
        <v>29</v>
      </c>
      <c r="S193" s="7" t="s">
        <v>29</v>
      </c>
    </row>
    <row r="194" spans="2:19">
      <c r="B194" s="7" t="s">
        <v>195</v>
      </c>
      <c r="C194" s="8" t="s">
        <v>195</v>
      </c>
      <c r="D194" s="5" t="str">
        <f>LRTRIM(CONCATENATE(IF(SUMPRODUCT(-- ISNUMBER(SEARCH({"Auto Number"}, $B194))) &gt; 0, $B194, IF(SUMPRODUCT(-- ISNUMBER(SEARCH({"Lookup","Master-Detail"}, $B194))) &gt; 0,$B194 &amp; "(" &amp; $E194 &amp; ")",IF(SUMPRODUCT(-- ISNUMBER(SEARCH({"Formula","Roll-Up Summary"}, $B194))) &gt; 0,$B194 &amp; " (" &amp; $E194 &amp; ")",IF(SUMPRODUCT(-- ISNUMBER(SEARCH({"Content","Currency","Number","Percent","Text","URL"}, $B194))) &gt; 0,$B194 &amp; "(" &amp; $C194 &amp; ")",$B194)))), "  ", TRIM(IF($S194 = "YES", "(External ID)", "") &amp; " " &amp; IF(SUMPRODUCT(-- ISNUMBER(SEARCH({"Unique","Unique Case Insensitive"}, $R194))) &gt; 0, "(" &amp; $R194 &amp; ")", ""))))</f>
        <v>na</v>
      </c>
      <c r="E194" s="7" t="s">
        <v>195</v>
      </c>
      <c r="F194" s="7" t="s">
        <v>195</v>
      </c>
      <c r="G194" s="7" t="s">
        <v>195</v>
      </c>
      <c r="H194" s="7" t="s">
        <v>195</v>
      </c>
      <c r="I194" s="7" t="s">
        <v>195</v>
      </c>
      <c r="J194" s="7" t="s">
        <v>195</v>
      </c>
      <c r="K194" s="7" t="s">
        <v>195</v>
      </c>
      <c r="L194" s="7" t="s">
        <v>195</v>
      </c>
      <c r="M194" s="7" t="s">
        <v>29</v>
      </c>
      <c r="N194" s="7" t="s">
        <v>29</v>
      </c>
      <c r="O194" s="7" t="s">
        <v>29</v>
      </c>
      <c r="P194" s="7" t="s">
        <v>29</v>
      </c>
      <c r="Q194" s="7" t="s">
        <v>29</v>
      </c>
      <c r="R194" s="7" t="s">
        <v>29</v>
      </c>
      <c r="S194" s="7" t="s">
        <v>29</v>
      </c>
    </row>
    <row r="195" spans="2:19">
      <c r="B195" s="7" t="s">
        <v>195</v>
      </c>
      <c r="C195" s="8" t="s">
        <v>195</v>
      </c>
      <c r="D195" s="5" t="str">
        <f>LRTRIM(CONCATENATE(IF(SUMPRODUCT(-- ISNUMBER(SEARCH({"Auto Number"}, $B195))) &gt; 0, $B195, IF(SUMPRODUCT(-- ISNUMBER(SEARCH({"Lookup","Master-Detail"}, $B195))) &gt; 0,$B195 &amp; "(" &amp; $E195 &amp; ")",IF(SUMPRODUCT(-- ISNUMBER(SEARCH({"Formula","Roll-Up Summary"}, $B195))) &gt; 0,$B195 &amp; " (" &amp; $E195 &amp; ")",IF(SUMPRODUCT(-- ISNUMBER(SEARCH({"Content","Currency","Number","Percent","Text","URL"}, $B195))) &gt; 0,$B195 &amp; "(" &amp; $C195 &amp; ")",$B195)))), "  ", TRIM(IF($S195 = "YES", "(External ID)", "") &amp; " " &amp; IF(SUMPRODUCT(-- ISNUMBER(SEARCH({"Unique","Unique Case Insensitive"}, $R195))) &gt; 0, "(" &amp; $R195 &amp; ")", ""))))</f>
        <v>na</v>
      </c>
      <c r="E195" s="7" t="s">
        <v>195</v>
      </c>
      <c r="F195" s="7" t="s">
        <v>195</v>
      </c>
      <c r="G195" s="7" t="s">
        <v>195</v>
      </c>
      <c r="H195" s="7" t="s">
        <v>195</v>
      </c>
      <c r="I195" s="7" t="s">
        <v>195</v>
      </c>
      <c r="J195" s="7" t="s">
        <v>195</v>
      </c>
      <c r="K195" s="7" t="s">
        <v>195</v>
      </c>
      <c r="L195" s="7" t="s">
        <v>195</v>
      </c>
      <c r="M195" s="7" t="s">
        <v>29</v>
      </c>
      <c r="N195" s="7" t="s">
        <v>29</v>
      </c>
      <c r="O195" s="7" t="s">
        <v>29</v>
      </c>
      <c r="P195" s="7" t="s">
        <v>29</v>
      </c>
      <c r="Q195" s="7" t="s">
        <v>29</v>
      </c>
      <c r="R195" s="7" t="s">
        <v>29</v>
      </c>
      <c r="S195" s="7" t="s">
        <v>29</v>
      </c>
    </row>
    <row r="196" spans="2:19">
      <c r="B196" s="7" t="s">
        <v>195</v>
      </c>
      <c r="C196" s="8" t="s">
        <v>195</v>
      </c>
      <c r="D196" s="5" t="str">
        <f>LRTRIM(CONCATENATE(IF(SUMPRODUCT(-- ISNUMBER(SEARCH({"Auto Number"}, $B196))) &gt; 0, $B196, IF(SUMPRODUCT(-- ISNUMBER(SEARCH({"Lookup","Master-Detail"}, $B196))) &gt; 0,$B196 &amp; "(" &amp; $E196 &amp; ")",IF(SUMPRODUCT(-- ISNUMBER(SEARCH({"Formula","Roll-Up Summary"}, $B196))) &gt; 0,$B196 &amp; " (" &amp; $E196 &amp; ")",IF(SUMPRODUCT(-- ISNUMBER(SEARCH({"Content","Currency","Number","Percent","Text","URL"}, $B196))) &gt; 0,$B196 &amp; "(" &amp; $C196 &amp; ")",$B196)))), "  ", TRIM(IF($S196 = "YES", "(External ID)", "") &amp; " " &amp; IF(SUMPRODUCT(-- ISNUMBER(SEARCH({"Unique","Unique Case Insensitive"}, $R196))) &gt; 0, "(" &amp; $R196 &amp; ")", ""))))</f>
        <v>na</v>
      </c>
      <c r="E196" s="7" t="s">
        <v>195</v>
      </c>
      <c r="F196" s="7" t="s">
        <v>195</v>
      </c>
      <c r="G196" s="7" t="s">
        <v>195</v>
      </c>
      <c r="H196" s="7" t="s">
        <v>195</v>
      </c>
      <c r="I196" s="7" t="s">
        <v>195</v>
      </c>
      <c r="J196" s="7" t="s">
        <v>195</v>
      </c>
      <c r="K196" s="7" t="s">
        <v>195</v>
      </c>
      <c r="L196" s="7" t="s">
        <v>195</v>
      </c>
      <c r="M196" s="7" t="s">
        <v>29</v>
      </c>
      <c r="N196" s="7" t="s">
        <v>29</v>
      </c>
      <c r="O196" s="7" t="s">
        <v>29</v>
      </c>
      <c r="P196" s="7" t="s">
        <v>29</v>
      </c>
      <c r="Q196" s="7" t="s">
        <v>29</v>
      </c>
      <c r="R196" s="7" t="s">
        <v>29</v>
      </c>
      <c r="S196" s="7" t="s">
        <v>29</v>
      </c>
    </row>
    <row r="197" spans="2:19">
      <c r="B197" s="7" t="s">
        <v>195</v>
      </c>
      <c r="C197" s="8" t="s">
        <v>195</v>
      </c>
      <c r="D197" s="5" t="str">
        <f>LRTRIM(CONCATENATE(IF(SUMPRODUCT(-- ISNUMBER(SEARCH({"Auto Number"}, $B197))) &gt; 0, $B197, IF(SUMPRODUCT(-- ISNUMBER(SEARCH({"Lookup","Master-Detail"}, $B197))) &gt; 0,$B197 &amp; "(" &amp; $E197 &amp; ")",IF(SUMPRODUCT(-- ISNUMBER(SEARCH({"Formula","Roll-Up Summary"}, $B197))) &gt; 0,$B197 &amp; " (" &amp; $E197 &amp; ")",IF(SUMPRODUCT(-- ISNUMBER(SEARCH({"Content","Currency","Number","Percent","Text","URL"}, $B197))) &gt; 0,$B197 &amp; "(" &amp; $C197 &amp; ")",$B197)))), "  ", TRIM(IF($S197 = "YES", "(External ID)", "") &amp; " " &amp; IF(SUMPRODUCT(-- ISNUMBER(SEARCH({"Unique","Unique Case Insensitive"}, $R197))) &gt; 0, "(" &amp; $R197 &amp; ")", ""))))</f>
        <v>na</v>
      </c>
      <c r="E197" s="7" t="s">
        <v>195</v>
      </c>
      <c r="F197" s="7" t="s">
        <v>195</v>
      </c>
      <c r="G197" s="7" t="s">
        <v>195</v>
      </c>
      <c r="H197" s="7" t="s">
        <v>195</v>
      </c>
      <c r="I197" s="7" t="s">
        <v>195</v>
      </c>
      <c r="J197" s="7" t="s">
        <v>195</v>
      </c>
      <c r="K197" s="7" t="s">
        <v>195</v>
      </c>
      <c r="L197" s="7" t="s">
        <v>195</v>
      </c>
      <c r="M197" s="7" t="s">
        <v>29</v>
      </c>
      <c r="N197" s="7" t="s">
        <v>29</v>
      </c>
      <c r="O197" s="7" t="s">
        <v>29</v>
      </c>
      <c r="P197" s="7" t="s">
        <v>29</v>
      </c>
      <c r="Q197" s="7" t="s">
        <v>29</v>
      </c>
      <c r="R197" s="7" t="s">
        <v>29</v>
      </c>
      <c r="S197" s="7" t="s">
        <v>29</v>
      </c>
    </row>
    <row r="198" spans="2:19">
      <c r="B198" s="7" t="s">
        <v>195</v>
      </c>
      <c r="C198" s="8" t="s">
        <v>195</v>
      </c>
      <c r="D198" s="5" t="str">
        <f>LRTRIM(CONCATENATE(IF(SUMPRODUCT(-- ISNUMBER(SEARCH({"Auto Number"}, $B198))) &gt; 0, $B198, IF(SUMPRODUCT(-- ISNUMBER(SEARCH({"Lookup","Master-Detail"}, $B198))) &gt; 0,$B198 &amp; "(" &amp; $E198 &amp; ")",IF(SUMPRODUCT(-- ISNUMBER(SEARCH({"Formula","Roll-Up Summary"}, $B198))) &gt; 0,$B198 &amp; " (" &amp; $E198 &amp; ")",IF(SUMPRODUCT(-- ISNUMBER(SEARCH({"Content","Currency","Number","Percent","Text","URL"}, $B198))) &gt; 0,$B198 &amp; "(" &amp; $C198 &amp; ")",$B198)))), "  ", TRIM(IF($S198 = "YES", "(External ID)", "") &amp; " " &amp; IF(SUMPRODUCT(-- ISNUMBER(SEARCH({"Unique","Unique Case Insensitive"}, $R198))) &gt; 0, "(" &amp; $R198 &amp; ")", ""))))</f>
        <v>na</v>
      </c>
      <c r="E198" s="7" t="s">
        <v>195</v>
      </c>
      <c r="F198" s="7" t="s">
        <v>195</v>
      </c>
      <c r="G198" s="7" t="s">
        <v>195</v>
      </c>
      <c r="H198" s="7" t="s">
        <v>195</v>
      </c>
      <c r="I198" s="7" t="s">
        <v>195</v>
      </c>
      <c r="J198" s="7" t="s">
        <v>195</v>
      </c>
      <c r="K198" s="7" t="s">
        <v>195</v>
      </c>
      <c r="L198" s="7" t="s">
        <v>195</v>
      </c>
      <c r="M198" s="7" t="s">
        <v>29</v>
      </c>
      <c r="N198" s="7" t="s">
        <v>29</v>
      </c>
      <c r="O198" s="7" t="s">
        <v>29</v>
      </c>
      <c r="P198" s="7" t="s">
        <v>29</v>
      </c>
      <c r="Q198" s="7" t="s">
        <v>29</v>
      </c>
      <c r="R198" s="7" t="s">
        <v>29</v>
      </c>
      <c r="S198" s="7" t="s">
        <v>29</v>
      </c>
    </row>
    <row r="199" spans="2:19">
      <c r="B199" s="7" t="s">
        <v>195</v>
      </c>
      <c r="C199" s="8" t="s">
        <v>195</v>
      </c>
      <c r="D199" s="5" t="str">
        <f>LRTRIM(CONCATENATE(IF(SUMPRODUCT(-- ISNUMBER(SEARCH({"Auto Number"}, $B199))) &gt; 0, $B199, IF(SUMPRODUCT(-- ISNUMBER(SEARCH({"Lookup","Master-Detail"}, $B199))) &gt; 0,$B199 &amp; "(" &amp; $E199 &amp; ")",IF(SUMPRODUCT(-- ISNUMBER(SEARCH({"Formula","Roll-Up Summary"}, $B199))) &gt; 0,$B199 &amp; " (" &amp; $E199 &amp; ")",IF(SUMPRODUCT(-- ISNUMBER(SEARCH({"Content","Currency","Number","Percent","Text","URL"}, $B199))) &gt; 0,$B199 &amp; "(" &amp; $C199 &amp; ")",$B199)))), "  ", TRIM(IF($S199 = "YES", "(External ID)", "") &amp; " " &amp; IF(SUMPRODUCT(-- ISNUMBER(SEARCH({"Unique","Unique Case Insensitive"}, $R199))) &gt; 0, "(" &amp; $R199 &amp; ")", ""))))</f>
        <v>na</v>
      </c>
      <c r="E199" s="7" t="s">
        <v>195</v>
      </c>
      <c r="F199" s="7" t="s">
        <v>195</v>
      </c>
      <c r="G199" s="7" t="s">
        <v>195</v>
      </c>
      <c r="H199" s="7" t="s">
        <v>195</v>
      </c>
      <c r="I199" s="7" t="s">
        <v>195</v>
      </c>
      <c r="J199" s="7" t="s">
        <v>195</v>
      </c>
      <c r="K199" s="7" t="s">
        <v>195</v>
      </c>
      <c r="L199" s="7" t="s">
        <v>195</v>
      </c>
      <c r="M199" s="7" t="s">
        <v>29</v>
      </c>
      <c r="N199" s="7" t="s">
        <v>29</v>
      </c>
      <c r="O199" s="7" t="s">
        <v>29</v>
      </c>
      <c r="P199" s="7" t="s">
        <v>29</v>
      </c>
      <c r="Q199" s="7" t="s">
        <v>29</v>
      </c>
      <c r="R199" s="7" t="s">
        <v>29</v>
      </c>
      <c r="S199" s="7" t="s">
        <v>29</v>
      </c>
    </row>
    <row r="200" spans="2:19">
      <c r="B200" s="7" t="s">
        <v>195</v>
      </c>
      <c r="C200" s="8" t="s">
        <v>195</v>
      </c>
      <c r="D200" s="5" t="str">
        <f>LRTRIM(CONCATENATE(IF(SUMPRODUCT(-- ISNUMBER(SEARCH({"Auto Number"}, $B200))) &gt; 0, $B200, IF(SUMPRODUCT(-- ISNUMBER(SEARCH({"Lookup","Master-Detail"}, $B200))) &gt; 0,$B200 &amp; "(" &amp; $E200 &amp; ")",IF(SUMPRODUCT(-- ISNUMBER(SEARCH({"Formula","Roll-Up Summary"}, $B200))) &gt; 0,$B200 &amp; " (" &amp; $E200 &amp; ")",IF(SUMPRODUCT(-- ISNUMBER(SEARCH({"Content","Currency","Number","Percent","Text","URL"}, $B200))) &gt; 0,$B200 &amp; "(" &amp; $C200 &amp; ")",$B200)))), "  ", TRIM(IF($S200 = "YES", "(External ID)", "") &amp; " " &amp; IF(SUMPRODUCT(-- ISNUMBER(SEARCH({"Unique","Unique Case Insensitive"}, $R200))) &gt; 0, "(" &amp; $R200 &amp; ")", ""))))</f>
        <v>na</v>
      </c>
      <c r="E200" s="7" t="s">
        <v>195</v>
      </c>
      <c r="F200" s="7" t="s">
        <v>195</v>
      </c>
      <c r="G200" s="7" t="s">
        <v>195</v>
      </c>
      <c r="H200" s="7" t="s">
        <v>195</v>
      </c>
      <c r="I200" s="7" t="s">
        <v>195</v>
      </c>
      <c r="J200" s="7" t="s">
        <v>195</v>
      </c>
      <c r="K200" s="7" t="s">
        <v>195</v>
      </c>
      <c r="L200" s="7" t="s">
        <v>195</v>
      </c>
      <c r="M200" s="7" t="s">
        <v>29</v>
      </c>
      <c r="N200" s="7" t="s">
        <v>29</v>
      </c>
      <c r="O200" s="7" t="s">
        <v>29</v>
      </c>
      <c r="P200" s="7" t="s">
        <v>29</v>
      </c>
      <c r="Q200" s="7" t="s">
        <v>29</v>
      </c>
      <c r="R200" s="7" t="s">
        <v>29</v>
      </c>
      <c r="S200" s="7" t="s">
        <v>29</v>
      </c>
    </row>
  </sheetData>
  <sheetProtection formatCells="0" formatColumns="0" formatRows="0" insertColumns="0" insertRows="0" insertHyperlinks="0" deleteColumns="0" deleteRows="0" sort="0" autoFilter="0" pivotTables="0"/>
  <conditionalFormatting sqref="D2:D37">
    <cfRule type="expression" dxfId="63" priority="3">
      <formula>NOT(_xlfn.ISFORMULA($D2))</formula>
    </cfRule>
  </conditionalFormatting>
  <conditionalFormatting sqref="D38">
    <cfRule type="expression" dxfId="62" priority="2">
      <formula>NOT(_xlfn.ISFORMULA($D38))</formula>
    </cfRule>
  </conditionalFormatting>
  <conditionalFormatting sqref="D39:D200">
    <cfRule type="expression" dxfId="61" priority="1">
      <formula>NOT(_xlfn.ISFORMULA($D39))</formula>
    </cfRule>
  </conditionalFormatting>
  <dataValidations count="1">
    <dataValidation allowBlank="1" showInputMessage="1" showErrorMessage="1" sqref="A2:A37"/>
  </dataValidations>
  <pageMargins left="0.7" right="0.7" top="0.75" bottom="0.75" header="0.3" footer="0.3"/>
  <extLst>
    <ext xmlns:x14="http://schemas.microsoft.com/office/spreadsheetml/2009/9/main" uri="{CCE6A557-97BC-4b89-ADB6-D9C93CAAB3DF}">
      <x14:dataValidations xmlns:xm="http://schemas.microsoft.com/office/excel/2006/main" count="15">
        <x14:dataValidation type="list" allowBlank="1" showInputMessage="1" showErrorMessage="1">
          <x14:formula1>
            <xm:f>OFFSET('Reference Fields'!$J$2,0,0,COUNTA('Reference Fields'!$J:$J)-1)</xm:f>
          </x14:formula1>
          <xm:sqref>Q2:Q200</xm:sqref>
        </x14:dataValidation>
        <x14:dataValidation type="list" allowBlank="1" showInputMessage="1" showErrorMessage="1">
          <x14:formula1>
            <xm:f>OFFSET('Reference Fields'!$J$2,0,0,COUNTA('Reference Fields'!$J:$J)-1)</xm:f>
          </x14:formula1>
          <xm:sqref>M2:M200</xm:sqref>
        </x14:dataValidation>
        <x14:dataValidation type="list" allowBlank="1" showInputMessage="1" showErrorMessage="1">
          <x14:formula1>
            <xm:f>OFFSET('Reference Fields'!$J$2,0,0,COUNTA('Reference Fields'!$J:$J)-1)</xm:f>
          </x14:formula1>
          <xm:sqref>N2:N200</xm:sqref>
        </x14:dataValidation>
        <x14:dataValidation type="list" allowBlank="1" showInputMessage="1" showErrorMessage="1">
          <x14:formula1>
            <xm:f>OFFSET('Reference Fields'!$J$2,0,0,COUNTA('Reference Fields'!$J:$J)-1)</xm:f>
          </x14:formula1>
          <xm:sqref>O2:O200</xm:sqref>
        </x14:dataValidation>
        <x14:dataValidation type="list" allowBlank="1" showInputMessage="1" showErrorMessage="1">
          <x14:formula1>
            <xm:f>OFFSET('Reference Fields'!$J$2,0,0,COUNTA('Reference Fields'!$J:$J)-1)</xm:f>
          </x14:formula1>
          <xm:sqref>P2:P200</xm:sqref>
        </x14:dataValidation>
        <x14:dataValidation type="list" allowBlank="1" showInputMessage="1" showErrorMessage="1">
          <x14:formula1>
            <xm:f>OFFSET('Reference Fields'!$J$2,0,0,COUNTA('Reference Fields'!$J:$J)-1)</xm:f>
          </x14:formula1>
          <xm:sqref>S2:S200</xm:sqref>
        </x14:dataValidation>
        <x14:dataValidation type="list" allowBlank="1" showInputMessage="1" showErrorMessage="1">
          <x14:formula1>
            <xm:f>OFFSET('Reference Fields'!$K$2,0,0,COUNTA('Reference Fields'!$K:$K)-1)</xm:f>
          </x14:formula1>
          <xm:sqref>R2:R200</xm:sqref>
        </x14:dataValidation>
        <x14:dataValidation type="list" allowBlank="1" showInputMessage="1" showErrorMessage="1">
          <x14:formula1>
            <xm:f>OFFSET('Reference Fields'!$B$2,0,0,COUNTA('Reference Fields'!$B:$B)-1)</xm:f>
          </x14:formula1>
          <xm:sqref>B2:B200</xm:sqref>
        </x14:dataValidation>
        <x14:dataValidation type="list" allowBlank="1" showInputMessage="1" showErrorMessage="1">
          <x14:formula1>
            <xm:f>OFFSET('Reference Fields'!$D$2,0,0,COUNTA('Reference Fields'!$D:$D)-1)</xm:f>
          </x14:formula1>
          <xm:sqref>F2:F200</xm:sqref>
        </x14:dataValidation>
        <x14:dataValidation type="list" allowBlank="1" showInputMessage="1" showErrorMessage="1">
          <x14:formula1>
            <xm:f>OFFSET('Reference Fields'!$E$2,0,0,COUNTA('Reference Fields'!$E:$E)-1)</xm:f>
          </x14:formula1>
          <xm:sqref>G2:G200</xm:sqref>
        </x14:dataValidation>
        <x14:dataValidation type="list" allowBlank="1" showInputMessage="1" showErrorMessage="1">
          <x14:formula1>
            <xm:f>OFFSET('Reference Fields'!$F$2,0,0,COUNTA('Reference Fields'!$F:$F)-1)</xm:f>
          </x14:formula1>
          <xm:sqref>H2:H200</xm:sqref>
        </x14:dataValidation>
        <x14:dataValidation type="list" allowBlank="1" showInputMessage="1" showErrorMessage="1">
          <x14:formula1>
            <xm:f>OFFSET('Reference Fields'!$F$2,0,0,COUNTA('Reference Fields'!$F:$F)-1)</xm:f>
          </x14:formula1>
          <xm:sqref>I2:I200</xm:sqref>
        </x14:dataValidation>
        <x14:dataValidation type="list" allowBlank="1" showInputMessage="1" showErrorMessage="1">
          <x14:formula1>
            <xm:f>OFFSET('Reference Fields'!$G$2,0,0,COUNTA('Reference Fields'!$G:$G)-1)</xm:f>
          </x14:formula1>
          <xm:sqref>J2:J200</xm:sqref>
        </x14:dataValidation>
        <x14:dataValidation type="list" allowBlank="1" showInputMessage="1" showErrorMessage="1">
          <x14:formula1>
            <xm:f>OFFSET('Reference Fields'!$H$2,0,0,COUNTA('Reference Fields'!$H:$H)-1)</xm:f>
          </x14:formula1>
          <xm:sqref>K2:K200</xm:sqref>
        </x14:dataValidation>
        <x14:dataValidation type="list" allowBlank="1" showInputMessage="1" showErrorMessage="1">
          <x14:formula1>
            <xm:f>OFFSET('Reference Fields'!$I$2,0,0,COUNTA('Reference Fields'!$I:$I)-1)</xm:f>
          </x14:formula1>
          <xm:sqref>L2:L200</xm:sqref>
        </x14:dataValidation>
      </x14:dataValidations>
    </ext>
  </extLst>
</worksheet>
</file>

<file path=xl/worksheets/sheet20.xml><?xml version="1.0" encoding="utf-8"?>
<worksheet xmlns="http://schemas.openxmlformats.org/spreadsheetml/2006/main" xmlns:r="http://schemas.openxmlformats.org/officeDocument/2006/relationships">
  <sheetPr codeName="Sheet13"/>
  <dimension ref="A1:S200"/>
  <sheetViews>
    <sheetView workbookViewId="0">
      <pane ySplit="1" topLeftCell="A2" activePane="bottomLeft" state="frozen"/>
      <selection pane="bottomLeft" activeCell="A2" sqref="A2"/>
    </sheetView>
  </sheetViews>
  <sheetFormatPr defaultRowHeight="14.5"/>
  <cols>
    <col min="1" max="1" width="23" bestFit="1" customWidth="1"/>
    <col min="2" max="2" width="13.54296875" customWidth="1"/>
    <col min="3" max="4" width="8.90625" customWidth="1"/>
    <col min="5" max="5" width="12.6328125" customWidth="1"/>
    <col min="6" max="6" width="15.6328125" bestFit="1" customWidth="1"/>
    <col min="7" max="8" width="15.453125" customWidth="1"/>
    <col min="9" max="9" width="22.6328125" customWidth="1"/>
    <col min="10" max="10" width="23.36328125" customWidth="1"/>
    <col min="11" max="11" width="17.54296875" customWidth="1"/>
    <col min="12" max="12" width="14.08984375" customWidth="1"/>
    <col min="13" max="13" width="10.453125" bestFit="1" customWidth="1"/>
    <col min="14" max="14" width="10.453125" customWidth="1"/>
    <col min="15" max="15" width="12.453125" bestFit="1" customWidth="1"/>
  </cols>
  <sheetData>
    <row r="1" spans="1:19" s="1" customFormat="1">
      <c r="A1" s="1" t="s">
        <v>2</v>
      </c>
      <c r="B1" s="1" t="s">
        <v>1198</v>
      </c>
      <c r="C1" s="1" t="s">
        <v>1199</v>
      </c>
      <c r="D1" s="1" t="s">
        <v>0</v>
      </c>
      <c r="E1" s="1" t="s">
        <v>1</v>
      </c>
      <c r="F1" s="1" t="s">
        <v>30</v>
      </c>
      <c r="G1" s="1" t="s">
        <v>31</v>
      </c>
      <c r="H1" s="1" t="s">
        <v>1262</v>
      </c>
      <c r="I1" s="1" t="s">
        <v>49</v>
      </c>
      <c r="J1" s="1" t="s">
        <v>48</v>
      </c>
      <c r="K1" s="1" t="s">
        <v>54</v>
      </c>
      <c r="L1" s="1" t="s">
        <v>55</v>
      </c>
      <c r="M1" s="1" t="s">
        <v>27</v>
      </c>
      <c r="N1" s="1" t="s">
        <v>175</v>
      </c>
      <c r="O1" s="1" t="s">
        <v>193</v>
      </c>
      <c r="P1" s="1" t="s">
        <v>1221</v>
      </c>
      <c r="Q1" s="1" t="s">
        <v>1264</v>
      </c>
      <c r="R1" s="1" t="s">
        <v>1263</v>
      </c>
      <c r="S1" s="1" t="s">
        <v>1265</v>
      </c>
    </row>
    <row r="2" spans="1:19">
      <c r="A2" s="7" t="s">
        <v>551</v>
      </c>
      <c r="B2" s="7" t="s">
        <v>1211</v>
      </c>
      <c r="C2" s="8">
        <v>18</v>
      </c>
      <c r="D2" s="6" t="str">
        <f>LRTRIM(CONCATENATE(IF(SUMPRODUCT(-- ISNUMBER(SEARCH({"Auto Number"}, $B2))) &gt; 0, $B2, IF(SUMPRODUCT(-- ISNUMBER(SEARCH({"Lookup","Master-Detail"}, $B2))) &gt; 0,$B2 &amp; "(" &amp; $E2 &amp; ")",IF(SUMPRODUCT(-- ISNUMBER(SEARCH({"Formula","Roll-Up Summary"}, $B2))) &gt; 0,$B2 &amp; " (" &amp; $E2 &amp; ")",IF(SUMPRODUCT(-- ISNUMBER(SEARCH({"Content","Currency","Number","Percent","Text","URL"}, $B2))) &gt; 0,$B2 &amp; "(" &amp; $C2 &amp; ")",$B2)))), "  ", TRIM(IF($S2 = "YES", "(External ID)", "") &amp; " " &amp; IF(SUMPRODUCT(-- ISNUMBER(SEARCH({"Unique","Unique Case Insensitive"}, $R2))) &gt; 0, "(" &amp; $R2 &amp; ")", ""))))</f>
        <v>Lookup(Account)</v>
      </c>
      <c r="E2" s="7" t="s">
        <v>5</v>
      </c>
      <c r="F2" s="7" t="s">
        <v>5</v>
      </c>
      <c r="G2" s="7" t="s">
        <v>559</v>
      </c>
      <c r="H2" s="7" t="s">
        <v>195</v>
      </c>
      <c r="I2" s="7" t="s">
        <v>195</v>
      </c>
      <c r="J2" s="7" t="s">
        <v>195</v>
      </c>
      <c r="K2" s="7" t="s">
        <v>195</v>
      </c>
      <c r="L2" s="7" t="s">
        <v>195</v>
      </c>
      <c r="M2" s="7" t="s">
        <v>29</v>
      </c>
      <c r="N2" s="7" t="s">
        <v>29</v>
      </c>
      <c r="O2" s="7" t="s">
        <v>29</v>
      </c>
      <c r="P2" s="7" t="s">
        <v>29</v>
      </c>
      <c r="Q2" s="7" t="s">
        <v>29</v>
      </c>
      <c r="R2" s="7" t="s">
        <v>29</v>
      </c>
      <c r="S2" s="7" t="s">
        <v>29</v>
      </c>
    </row>
    <row r="3" spans="1:19">
      <c r="A3" s="7" t="s">
        <v>9</v>
      </c>
      <c r="B3" s="7" t="s">
        <v>1218</v>
      </c>
      <c r="C3" s="8">
        <v>50</v>
      </c>
      <c r="D3" s="6" t="str">
        <f>LRTRIM(CONCATENATE(IF(SUMPRODUCT(-- ISNUMBER(SEARCH({"Auto Number"}, $B3))) &gt; 0, $B3, IF(SUMPRODUCT(-- ISNUMBER(SEARCH({"Lookup","Master-Detail"}, $B3))) &gt; 0,$B3 &amp; "(" &amp; $E3 &amp; ")",IF(SUMPRODUCT(-- ISNUMBER(SEARCH({"Formula","Roll-Up Summary"}, $B3))) &gt; 0,$B3 &amp; " (" &amp; $E3 &amp; ")",IF(SUMPRODUCT(-- ISNUMBER(SEARCH({"Content","Currency","Number","Percent","Text","URL"}, $B3))) &gt; 0,$B3 &amp; "(" &amp; $C3 &amp; ")",$B3)))), "  ", TRIM(IF($S3 = "YES", "(External ID)", "") &amp; " " &amp; IF(SUMPRODUCT(-- ISNUMBER(SEARCH({"Unique","Unique Case Insensitive"}, $R3))) &gt; 0, "(" &amp; $R3 &amp; ")", ""))))</f>
        <v>Text(50)</v>
      </c>
      <c r="E3" s="7" t="s">
        <v>195</v>
      </c>
      <c r="F3" s="7" t="s">
        <v>554</v>
      </c>
      <c r="G3" s="7" t="s">
        <v>195</v>
      </c>
      <c r="H3" s="7" t="s">
        <v>195</v>
      </c>
      <c r="I3" s="7" t="s">
        <v>195</v>
      </c>
      <c r="J3" s="7" t="s">
        <v>195</v>
      </c>
      <c r="K3" s="7" t="s">
        <v>195</v>
      </c>
      <c r="L3" s="7" t="s">
        <v>195</v>
      </c>
      <c r="M3" s="7" t="s">
        <v>29</v>
      </c>
      <c r="N3" s="7" t="s">
        <v>29</v>
      </c>
      <c r="O3" s="7" t="s">
        <v>29</v>
      </c>
      <c r="P3" s="7" t="s">
        <v>29</v>
      </c>
      <c r="Q3" s="7" t="s">
        <v>29</v>
      </c>
      <c r="R3" s="7" t="s">
        <v>29</v>
      </c>
      <c r="S3" s="7" t="s">
        <v>29</v>
      </c>
    </row>
    <row r="4" spans="1:19">
      <c r="A4" s="7" t="s">
        <v>11</v>
      </c>
      <c r="B4" s="7" t="s">
        <v>1218</v>
      </c>
      <c r="C4" s="8">
        <v>200</v>
      </c>
      <c r="D4" s="6" t="str">
        <f>LRTRIM(CONCATENATE(IF(SUMPRODUCT(-- ISNUMBER(SEARCH({"Auto Number"}, $B4))) &gt; 0, $B4, IF(SUMPRODUCT(-- ISNUMBER(SEARCH({"Lookup","Master-Detail"}, $B4))) &gt; 0,$B4 &amp; "(" &amp; $E4 &amp; ")",IF(SUMPRODUCT(-- ISNUMBER(SEARCH({"Formula","Roll-Up Summary"}, $B4))) &gt; 0,$B4 &amp; " (" &amp; $E4 &amp; ")",IF(SUMPRODUCT(-- ISNUMBER(SEARCH({"Content","Currency","Number","Percent","Text","URL"}, $B4))) &gt; 0,$B4 &amp; "(" &amp; $C4 &amp; ")",$B4)))), "  ", TRIM(IF($S4 = "YES", "(External ID)", "") &amp; " " &amp; IF(SUMPRODUCT(-- ISNUMBER(SEARCH({"Unique","Unique Case Insensitive"}, $R4))) &gt; 0, "(" &amp; $R4 &amp; ")", ""))))</f>
        <v>Text(200)</v>
      </c>
      <c r="E4" s="7" t="s">
        <v>195</v>
      </c>
      <c r="F4" s="7" t="s">
        <v>555</v>
      </c>
      <c r="G4" s="7" t="s">
        <v>195</v>
      </c>
      <c r="H4" s="7" t="s">
        <v>195</v>
      </c>
      <c r="I4" s="7" t="s">
        <v>195</v>
      </c>
      <c r="J4" s="7" t="s">
        <v>195</v>
      </c>
      <c r="K4" s="7" t="s">
        <v>195</v>
      </c>
      <c r="L4" s="7" t="s">
        <v>195</v>
      </c>
      <c r="M4" s="7" t="s">
        <v>29</v>
      </c>
      <c r="N4" s="7" t="s">
        <v>29</v>
      </c>
      <c r="O4" s="7" t="s">
        <v>29</v>
      </c>
      <c r="P4" s="7" t="s">
        <v>29</v>
      </c>
      <c r="Q4" s="7" t="s">
        <v>29</v>
      </c>
      <c r="R4" s="7" t="s">
        <v>29</v>
      </c>
      <c r="S4" s="7" t="s">
        <v>29</v>
      </c>
    </row>
    <row r="5" spans="1:19">
      <c r="A5" s="7" t="s">
        <v>552</v>
      </c>
      <c r="B5" s="7" t="s">
        <v>1207</v>
      </c>
      <c r="C5" s="8">
        <v>0</v>
      </c>
      <c r="D5" s="6" t="str">
        <f>LRTRIM(CONCATENATE(IF(SUMPRODUCT(-- ISNUMBER(SEARCH({"Auto Number"}, $B5))) &gt; 0, $B5, IF(SUMPRODUCT(-- ISNUMBER(SEARCH({"Lookup","Master-Detail"}, $B5))) &gt; 0,$B5 &amp; "(" &amp; $E5 &amp; ")",IF(SUMPRODUCT(-- ISNUMBER(SEARCH({"Formula","Roll-Up Summary"}, $B5))) &gt; 0,$B5 &amp; " (" &amp; $E5 &amp; ")",IF(SUMPRODUCT(-- ISNUMBER(SEARCH({"Content","Currency","Number","Percent","Text","URL"}, $B5))) &gt; 0,$B5 &amp; "(" &amp; $C5 &amp; ")",$B5)))), "  ", TRIM(IF($S5 = "YES", "(External ID)", "") &amp; " " &amp; IF(SUMPRODUCT(-- ISNUMBER(SEARCH({"Unique","Unique Case Insensitive"}, $R5))) &gt; 0, "(" &amp; $R5 &amp; ")", ""))))</f>
        <v>Date/Time</v>
      </c>
      <c r="E5" s="7" t="s">
        <v>195</v>
      </c>
      <c r="F5" s="7" t="s">
        <v>556</v>
      </c>
      <c r="G5" s="7" t="s">
        <v>972</v>
      </c>
      <c r="H5" s="7" t="s">
        <v>195</v>
      </c>
      <c r="I5" s="7" t="s">
        <v>195</v>
      </c>
      <c r="J5" s="7" t="s">
        <v>195</v>
      </c>
      <c r="K5" s="7" t="s">
        <v>195</v>
      </c>
      <c r="L5" s="7" t="s">
        <v>195</v>
      </c>
      <c r="M5" s="7" t="s">
        <v>29</v>
      </c>
      <c r="N5" s="7" t="s">
        <v>29</v>
      </c>
      <c r="O5" s="7" t="s">
        <v>29</v>
      </c>
      <c r="P5" s="7" t="s">
        <v>29</v>
      </c>
      <c r="Q5" s="7" t="s">
        <v>29</v>
      </c>
      <c r="R5" s="7" t="s">
        <v>29</v>
      </c>
      <c r="S5" s="7" t="s">
        <v>29</v>
      </c>
    </row>
    <row r="6" spans="1:19">
      <c r="A6" s="7" t="s">
        <v>13</v>
      </c>
      <c r="B6" s="7" t="s">
        <v>1218</v>
      </c>
      <c r="C6" s="8">
        <v>10</v>
      </c>
      <c r="D6" s="6" t="str">
        <f>LRTRIM(CONCATENATE(IF(SUMPRODUCT(-- ISNUMBER(SEARCH({"Auto Number"}, $B6))) &gt; 0, $B6, IF(SUMPRODUCT(-- ISNUMBER(SEARCH({"Lookup","Master-Detail"}, $B6))) &gt; 0,$B6 &amp; "(" &amp; $E6 &amp; ")",IF(SUMPRODUCT(-- ISNUMBER(SEARCH({"Formula","Roll-Up Summary"}, $B6))) &gt; 0,$B6 &amp; " (" &amp; $E6 &amp; ")",IF(SUMPRODUCT(-- ISNUMBER(SEARCH({"Content","Currency","Number","Percent","Text","URL"}, $B6))) &gt; 0,$B6 &amp; "(" &amp; $C6 &amp; ")",$B6)))), "  ", TRIM(IF($S6 = "YES", "(External ID)", "") &amp; " " &amp; IF(SUMPRODUCT(-- ISNUMBER(SEARCH({"Unique","Unique Case Insensitive"}, $R6))) &gt; 0, "(" &amp; $R6 &amp; ")", ""))))</f>
        <v>Text(10)</v>
      </c>
      <c r="E6" s="7" t="s">
        <v>195</v>
      </c>
      <c r="F6" s="7" t="s">
        <v>160</v>
      </c>
      <c r="G6" s="7" t="s">
        <v>160</v>
      </c>
      <c r="H6" s="7" t="s">
        <v>195</v>
      </c>
      <c r="I6" s="7" t="s">
        <v>195</v>
      </c>
      <c r="J6" s="7" t="s">
        <v>195</v>
      </c>
      <c r="K6" s="7" t="s">
        <v>195</v>
      </c>
      <c r="L6" s="7" t="s">
        <v>195</v>
      </c>
      <c r="M6" s="7" t="s">
        <v>29</v>
      </c>
      <c r="N6" s="7" t="s">
        <v>29</v>
      </c>
      <c r="O6" s="7" t="s">
        <v>29</v>
      </c>
      <c r="P6" s="7" t="s">
        <v>29</v>
      </c>
      <c r="Q6" s="7" t="s">
        <v>29</v>
      </c>
      <c r="R6" s="7" t="s">
        <v>29</v>
      </c>
      <c r="S6" s="7" t="s">
        <v>29</v>
      </c>
    </row>
    <row r="7" spans="1:19">
      <c r="A7" s="7" t="s">
        <v>1601</v>
      </c>
      <c r="B7" s="7" t="s">
        <v>1215</v>
      </c>
      <c r="C7" s="8" t="s">
        <v>195</v>
      </c>
      <c r="D7" s="6" t="str">
        <f>LRTRIM(CONCATENATE(IF(SUMPRODUCT(-- ISNUMBER(SEARCH({"Auto Number"}, $B7))) &gt; 0, $B7, IF(SUMPRODUCT(-- ISNUMBER(SEARCH({"Lookup","Master-Detail"}, $B7))) &gt; 0,$B7 &amp; "(" &amp; $E7 &amp; ")",IF(SUMPRODUCT(-- ISNUMBER(SEARCH({"Formula","Roll-Up Summary"}, $B7))) &gt; 0,$B7 &amp; " (" &amp; $E7 &amp; ")",IF(SUMPRODUCT(-- ISNUMBER(SEARCH({"Content","Currency","Number","Percent","Text","URL"}, $B7))) &gt; 0,$B7 &amp; "(" &amp; $C7 &amp; ")",$B7)))), "  ", TRIM(IF($S7 = "YES", "(External ID)", "") &amp; " " &amp; IF(SUMPRODUCT(-- ISNUMBER(SEARCH({"Unique","Unique Case Insensitive"}, $R7))) &gt; 0, "(" &amp; $R7 &amp; ")", ""))))</f>
        <v>Picklist</v>
      </c>
      <c r="E7" s="7" t="s">
        <v>195</v>
      </c>
      <c r="F7" s="7" t="s">
        <v>1602</v>
      </c>
      <c r="G7" s="7" t="s">
        <v>1603</v>
      </c>
      <c r="H7" s="7" t="s">
        <v>195</v>
      </c>
      <c r="I7" s="7" t="s">
        <v>1604</v>
      </c>
      <c r="J7" s="7" t="s">
        <v>1605</v>
      </c>
      <c r="K7" s="7" t="s">
        <v>195</v>
      </c>
      <c r="L7" s="7" t="s">
        <v>195</v>
      </c>
      <c r="M7" s="7" t="s">
        <v>29</v>
      </c>
      <c r="N7" s="7" t="s">
        <v>29</v>
      </c>
      <c r="O7" s="7" t="s">
        <v>29</v>
      </c>
      <c r="P7" s="7" t="s">
        <v>29</v>
      </c>
      <c r="Q7" s="7" t="s">
        <v>29</v>
      </c>
      <c r="R7" s="7" t="s">
        <v>29</v>
      </c>
      <c r="S7" s="7" t="s">
        <v>29</v>
      </c>
    </row>
    <row r="8" spans="1:19">
      <c r="A8" s="7" t="s">
        <v>83</v>
      </c>
      <c r="B8" s="7" t="s">
        <v>1218</v>
      </c>
      <c r="C8" s="8">
        <v>255</v>
      </c>
      <c r="D8" s="6" t="str">
        <f>LRTRIM(CONCATENATE(IF(SUMPRODUCT(-- ISNUMBER(SEARCH({"Auto Number"}, $B8))) &gt; 0, $B8, IF(SUMPRODUCT(-- ISNUMBER(SEARCH({"Lookup","Master-Detail"}, $B8))) &gt; 0,$B8 &amp; "(" &amp; $E8 &amp; ")",IF(SUMPRODUCT(-- ISNUMBER(SEARCH({"Formula","Roll-Up Summary"}, $B8))) &gt; 0,$B8 &amp; " (" &amp; $E8 &amp; ")",IF(SUMPRODUCT(-- ISNUMBER(SEARCH({"Content","Currency","Number","Percent","Text","URL"}, $B8))) &gt; 0,$B8 &amp; "(" &amp; $C8 &amp; ")",$B8)))), "  ", TRIM(IF($S8 = "YES", "(External ID)", "") &amp; " " &amp; IF(SUMPRODUCT(-- ISNUMBER(SEARCH({"Unique","Unique Case Insensitive"}, $R8))) &gt; 0, "(" &amp; $R8 &amp; ")", ""))))</f>
        <v>Text(255)  (External ID) (Unique Case Sensitive)</v>
      </c>
      <c r="E8" s="7" t="s">
        <v>195</v>
      </c>
      <c r="F8" s="7" t="s">
        <v>133</v>
      </c>
      <c r="G8" s="7" t="s">
        <v>162</v>
      </c>
      <c r="H8" s="7" t="s">
        <v>195</v>
      </c>
      <c r="I8" s="7" t="s">
        <v>195</v>
      </c>
      <c r="J8" s="7" t="s">
        <v>195</v>
      </c>
      <c r="K8" s="7" t="s">
        <v>195</v>
      </c>
      <c r="L8" s="7" t="s">
        <v>195</v>
      </c>
      <c r="M8" s="7" t="s">
        <v>29</v>
      </c>
      <c r="N8" s="7" t="s">
        <v>29</v>
      </c>
      <c r="O8" s="7" t="s">
        <v>29</v>
      </c>
      <c r="P8" s="7" t="s">
        <v>29</v>
      </c>
      <c r="Q8" s="7" t="s">
        <v>29</v>
      </c>
      <c r="R8" s="7" t="s">
        <v>1329</v>
      </c>
      <c r="S8" s="7" t="s">
        <v>28</v>
      </c>
    </row>
    <row r="9" spans="1:19">
      <c r="A9" s="7" t="s">
        <v>553</v>
      </c>
      <c r="B9" s="7" t="s">
        <v>1204</v>
      </c>
      <c r="C9" s="8">
        <v>0</v>
      </c>
      <c r="D9" s="6" t="str">
        <f>LRTRIM(CONCATENATE(IF(SUMPRODUCT(-- ISNUMBER(SEARCH({"Auto Number"}, $B9))) &gt; 0, $B9, IF(SUMPRODUCT(-- ISNUMBER(SEARCH({"Lookup","Master-Detail"}, $B9))) &gt; 0,$B9 &amp; "(" &amp; $E9 &amp; ")",IF(SUMPRODUCT(-- ISNUMBER(SEARCH({"Formula","Roll-Up Summary"}, $B9))) &gt; 0,$B9 &amp; " (" &amp; $E9 &amp; ")",IF(SUMPRODUCT(-- ISNUMBER(SEARCH({"Content","Currency","Number","Percent","Text","URL"}, $B9))) &gt; 0,$B9 &amp; "(" &amp; $C9 &amp; ")",$B9)))), "  ", TRIM(IF($S9 = "YES", "(External ID)", "") &amp; " " &amp; IF(SUMPRODUCT(-- ISNUMBER(SEARCH({"Unique","Unique Case Insensitive"}, $R9))) &gt; 0, "(" &amp; $R9 &amp; ")", ""))))</f>
        <v>Checkbox</v>
      </c>
      <c r="E9" s="7" t="s">
        <v>195</v>
      </c>
      <c r="F9" s="7" t="s">
        <v>557</v>
      </c>
      <c r="G9" s="7" t="s">
        <v>560</v>
      </c>
      <c r="H9" s="7" t="s">
        <v>195</v>
      </c>
      <c r="I9" s="7" t="s">
        <v>195</v>
      </c>
      <c r="J9" s="7" t="s">
        <v>195</v>
      </c>
      <c r="K9" s="7" t="s">
        <v>195</v>
      </c>
      <c r="L9" s="7" t="s">
        <v>195</v>
      </c>
      <c r="M9" s="7" t="s">
        <v>29</v>
      </c>
      <c r="N9" s="7" t="s">
        <v>29</v>
      </c>
      <c r="O9" s="7" t="s">
        <v>29</v>
      </c>
      <c r="P9" s="7" t="s">
        <v>29</v>
      </c>
      <c r="Q9" s="7" t="s">
        <v>29</v>
      </c>
      <c r="R9" s="7" t="s">
        <v>29</v>
      </c>
      <c r="S9" s="7" t="s">
        <v>29</v>
      </c>
    </row>
    <row r="10" spans="1:19">
      <c r="A10" s="7" t="s">
        <v>14</v>
      </c>
      <c r="B10" s="7" t="s">
        <v>1204</v>
      </c>
      <c r="C10" s="8">
        <v>0</v>
      </c>
      <c r="D10" s="6" t="str">
        <f>LRTRIM(CONCATENATE(IF(SUMPRODUCT(-- ISNUMBER(SEARCH({"Auto Number"}, $B10))) &gt; 0, $B10, IF(SUMPRODUCT(-- ISNUMBER(SEARCH({"Lookup","Master-Detail"}, $B10))) &gt; 0,$B10 &amp; "(" &amp; $E10 &amp; ")",IF(SUMPRODUCT(-- ISNUMBER(SEARCH({"Formula","Roll-Up Summary"}, $B10))) &gt; 0,$B10 &amp; " (" &amp; $E10 &amp; ")",IF(SUMPRODUCT(-- ISNUMBER(SEARCH({"Content","Currency","Number","Percent","Text","URL"}, $B10))) &gt; 0,$B10 &amp; "(" &amp; $C10 &amp; ")",$B10)))), "  ", TRIM(IF($S10 = "YES", "(External ID)", "") &amp; " " &amp; IF(SUMPRODUCT(-- ISNUMBER(SEARCH({"Unique","Unique Case Insensitive"}, $R10))) &gt; 0, "(" &amp; $R10 &amp; ")", ""))))</f>
        <v>Checkbox</v>
      </c>
      <c r="E10" s="7" t="s">
        <v>195</v>
      </c>
      <c r="F10" s="7" t="s">
        <v>25</v>
      </c>
      <c r="G10" s="7" t="s">
        <v>195</v>
      </c>
      <c r="H10" s="7" t="s">
        <v>195</v>
      </c>
      <c r="I10" s="7" t="s">
        <v>195</v>
      </c>
      <c r="J10" s="7" t="s">
        <v>195</v>
      </c>
      <c r="K10" s="7" t="s">
        <v>195</v>
      </c>
      <c r="L10" s="7" t="s">
        <v>195</v>
      </c>
      <c r="M10" s="7" t="s">
        <v>28</v>
      </c>
      <c r="N10" s="7" t="s">
        <v>29</v>
      </c>
      <c r="O10" s="7" t="s">
        <v>29</v>
      </c>
      <c r="P10" s="7" t="s">
        <v>29</v>
      </c>
      <c r="Q10" s="7" t="s">
        <v>29</v>
      </c>
      <c r="R10" s="7" t="s">
        <v>29</v>
      </c>
      <c r="S10" s="7" t="s">
        <v>29</v>
      </c>
    </row>
    <row r="11" spans="1:19">
      <c r="A11" s="7" t="s">
        <v>2</v>
      </c>
      <c r="B11" s="7" t="s">
        <v>1218</v>
      </c>
      <c r="C11" s="8">
        <v>80</v>
      </c>
      <c r="D11" s="6" t="str">
        <f>LRTRIM(CONCATENATE(IF(SUMPRODUCT(-- ISNUMBER(SEARCH({"Auto Number"}, $B11))) &gt; 0, $B11, IF(SUMPRODUCT(-- ISNUMBER(SEARCH({"Lookup","Master-Detail"}, $B11))) &gt; 0,$B11 &amp; "(" &amp; $E11 &amp; ")",IF(SUMPRODUCT(-- ISNUMBER(SEARCH({"Formula","Roll-Up Summary"}, $B11))) &gt; 0,$B11 &amp; " (" &amp; $E11 &amp; ")",IF(SUMPRODUCT(-- ISNUMBER(SEARCH({"Content","Currency","Number","Percent","Text","URL"}, $B11))) &gt; 0,$B11 &amp; "(" &amp; $C11 &amp; ")",$B11)))), "  ", TRIM(IF($S11 = "YES", "(External ID)", "") &amp; " " &amp; IF(SUMPRODUCT(-- ISNUMBER(SEARCH({"Unique","Unique Case Insensitive"}, $R11))) &gt; 0, "(" &amp; $R11 &amp; ")", ""))))</f>
        <v>Text(80)</v>
      </c>
      <c r="E11" s="7" t="s">
        <v>195</v>
      </c>
      <c r="F11" s="7" t="s">
        <v>558</v>
      </c>
      <c r="G11" s="7" t="s">
        <v>195</v>
      </c>
      <c r="H11" s="7" t="s">
        <v>195</v>
      </c>
      <c r="I11" s="7" t="s">
        <v>195</v>
      </c>
      <c r="J11" s="7" t="s">
        <v>195</v>
      </c>
      <c r="K11" s="7" t="s">
        <v>195</v>
      </c>
      <c r="L11" s="7" t="s">
        <v>195</v>
      </c>
      <c r="M11" s="7" t="s">
        <v>29</v>
      </c>
      <c r="N11" s="7" t="s">
        <v>29</v>
      </c>
      <c r="O11" s="7" t="s">
        <v>29</v>
      </c>
      <c r="P11" s="7" t="s">
        <v>29</v>
      </c>
      <c r="Q11" s="7" t="s">
        <v>29</v>
      </c>
      <c r="R11" s="7" t="s">
        <v>29</v>
      </c>
      <c r="S11" s="7" t="s">
        <v>29</v>
      </c>
    </row>
    <row r="12" spans="1:19">
      <c r="A12" s="7" t="s">
        <v>36</v>
      </c>
      <c r="B12" s="7" t="s">
        <v>195</v>
      </c>
      <c r="C12" s="8" t="s">
        <v>195</v>
      </c>
      <c r="D12" s="6" t="str">
        <f>LRTRIM(CONCATENATE(IF(SUMPRODUCT(-- ISNUMBER(SEARCH({"Auto Number"}, $B12))) &gt; 0, $B12, IF(SUMPRODUCT(-- ISNUMBER(SEARCH({"Lookup","Master-Detail"}, $B12))) &gt; 0,$B12 &amp; "(" &amp; $E12 &amp; ")",IF(SUMPRODUCT(-- ISNUMBER(SEARCH({"Formula","Roll-Up Summary"}, $B12))) &gt; 0,$B12 &amp; " (" &amp; $E12 &amp; ")",IF(SUMPRODUCT(-- ISNUMBER(SEARCH({"Content","Currency","Number","Percent","Text","URL"}, $B12))) &gt; 0,$B12 &amp; "(" &amp; $C12 &amp; ")",$B12)))), "  ", TRIM(IF($S12 = "YES", "(External ID)", "") &amp; " " &amp; IF(SUMPRODUCT(-- ISNUMBER(SEARCH({"Unique","Unique Case Insensitive"}, $R12))) &gt; 0, "(" &amp; $R12 &amp; ")", ""))))</f>
        <v>na</v>
      </c>
      <c r="E12" s="7" t="s">
        <v>195</v>
      </c>
      <c r="F12" s="7" t="s">
        <v>195</v>
      </c>
      <c r="G12" s="7" t="s">
        <v>195</v>
      </c>
      <c r="H12" s="7" t="s">
        <v>195</v>
      </c>
      <c r="I12" s="7" t="s">
        <v>195</v>
      </c>
      <c r="J12" s="7" t="s">
        <v>195</v>
      </c>
      <c r="K12" s="7" t="s">
        <v>195</v>
      </c>
      <c r="L12" s="7" t="s">
        <v>195</v>
      </c>
      <c r="M12" s="7" t="s">
        <v>28</v>
      </c>
      <c r="N12" s="7" t="s">
        <v>29</v>
      </c>
      <c r="O12" s="7" t="s">
        <v>29</v>
      </c>
      <c r="P12" s="7" t="s">
        <v>29</v>
      </c>
      <c r="Q12" s="7" t="s">
        <v>29</v>
      </c>
      <c r="R12" s="7" t="s">
        <v>29</v>
      </c>
      <c r="S12" s="7" t="s">
        <v>29</v>
      </c>
    </row>
    <row r="13" spans="1:19">
      <c r="A13" s="7" t="s">
        <v>34</v>
      </c>
      <c r="B13" s="7" t="s">
        <v>195</v>
      </c>
      <c r="C13" s="8" t="s">
        <v>195</v>
      </c>
      <c r="D13" s="6" t="str">
        <f>LRTRIM(CONCATENATE(IF(SUMPRODUCT(-- ISNUMBER(SEARCH({"Auto Number"}, $B13))) &gt; 0, $B13, IF(SUMPRODUCT(-- ISNUMBER(SEARCH({"Lookup","Master-Detail"}, $B13))) &gt; 0,$B13 &amp; "(" &amp; $E13 &amp; ")",IF(SUMPRODUCT(-- ISNUMBER(SEARCH({"Formula","Roll-Up Summary"}, $B13))) &gt; 0,$B13 &amp; " (" &amp; $E13 &amp; ")",IF(SUMPRODUCT(-- ISNUMBER(SEARCH({"Content","Currency","Number","Percent","Text","URL"}, $B13))) &gt; 0,$B13 &amp; "(" &amp; $C13 &amp; ")",$B13)))), "  ", TRIM(IF($S13 = "YES", "(External ID)", "") &amp; " " &amp; IF(SUMPRODUCT(-- ISNUMBER(SEARCH({"Unique","Unique Case Insensitive"}, $R13))) &gt; 0, "(" &amp; $R13 &amp; ")", ""))))</f>
        <v>na</v>
      </c>
      <c r="E13" s="7" t="s">
        <v>195</v>
      </c>
      <c r="F13" s="7" t="s">
        <v>195</v>
      </c>
      <c r="G13" s="7" t="s">
        <v>195</v>
      </c>
      <c r="H13" s="7" t="s">
        <v>195</v>
      </c>
      <c r="I13" s="7" t="s">
        <v>195</v>
      </c>
      <c r="J13" s="7" t="s">
        <v>195</v>
      </c>
      <c r="K13" s="7" t="s">
        <v>195</v>
      </c>
      <c r="L13" s="7" t="s">
        <v>195</v>
      </c>
      <c r="M13" s="7" t="s">
        <v>28</v>
      </c>
      <c r="N13" s="7" t="s">
        <v>29</v>
      </c>
      <c r="O13" s="7" t="s">
        <v>29</v>
      </c>
      <c r="P13" s="7" t="s">
        <v>29</v>
      </c>
      <c r="Q13" s="7" t="s">
        <v>29</v>
      </c>
      <c r="R13" s="7" t="s">
        <v>29</v>
      </c>
      <c r="S13" s="7" t="s">
        <v>29</v>
      </c>
    </row>
    <row r="14" spans="1:19">
      <c r="A14" s="7" t="s">
        <v>553</v>
      </c>
      <c r="B14" s="7" t="s">
        <v>195</v>
      </c>
      <c r="C14" s="8" t="s">
        <v>195</v>
      </c>
      <c r="D14" s="6" t="str">
        <f>LRTRIM(CONCATENATE(IF(SUMPRODUCT(-- ISNUMBER(SEARCH({"Auto Number"}, $B14))) &gt; 0, $B14, IF(SUMPRODUCT(-- ISNUMBER(SEARCH({"Lookup","Master-Detail"}, $B14))) &gt; 0,$B14 &amp; "(" &amp; $E14 &amp; ")",IF(SUMPRODUCT(-- ISNUMBER(SEARCH({"Formula","Roll-Up Summary"}, $B14))) &gt; 0,$B14 &amp; " (" &amp; $E14 &amp; ")",IF(SUMPRODUCT(-- ISNUMBER(SEARCH({"Content","Currency","Number","Percent","Text","URL"}, $B14))) &gt; 0,$B14 &amp; "(" &amp; $C14 &amp; ")",$B14)))), "  ", TRIM(IF($S14 = "YES", "(External ID)", "") &amp; " " &amp; IF(SUMPRODUCT(-- ISNUMBER(SEARCH({"Unique","Unique Case Insensitive"}, $R14))) &gt; 0, "(" &amp; $R14 &amp; ")", ""))))</f>
        <v>na</v>
      </c>
      <c r="E14" s="7" t="s">
        <v>195</v>
      </c>
      <c r="F14" s="7" t="s">
        <v>195</v>
      </c>
      <c r="G14" s="7" t="s">
        <v>195</v>
      </c>
      <c r="H14" s="7" t="s">
        <v>195</v>
      </c>
      <c r="I14" s="7" t="s">
        <v>195</v>
      </c>
      <c r="J14" s="7" t="s">
        <v>195</v>
      </c>
      <c r="K14" s="7" t="s">
        <v>195</v>
      </c>
      <c r="L14" s="7" t="s">
        <v>195</v>
      </c>
      <c r="M14" s="7" t="s">
        <v>28</v>
      </c>
      <c r="N14" s="7" t="s">
        <v>29</v>
      </c>
      <c r="O14" s="7" t="s">
        <v>29</v>
      </c>
      <c r="P14" s="7" t="s">
        <v>29</v>
      </c>
      <c r="Q14" s="7" t="s">
        <v>29</v>
      </c>
      <c r="R14" s="7" t="s">
        <v>29</v>
      </c>
      <c r="S14" s="7" t="s">
        <v>29</v>
      </c>
    </row>
    <row r="15" spans="1:19">
      <c r="A15" s="7" t="s">
        <v>38</v>
      </c>
      <c r="B15" s="7" t="s">
        <v>195</v>
      </c>
      <c r="C15" s="8" t="s">
        <v>195</v>
      </c>
      <c r="D15" s="6" t="str">
        <f>LRTRIM(CONCATENATE(IF(SUMPRODUCT(-- ISNUMBER(SEARCH({"Auto Number"}, $B15))) &gt; 0, $B15, IF(SUMPRODUCT(-- ISNUMBER(SEARCH({"Lookup","Master-Detail"}, $B15))) &gt; 0,$B15 &amp; "(" &amp; $E15 &amp; ")",IF(SUMPRODUCT(-- ISNUMBER(SEARCH({"Formula","Roll-Up Summary"}, $B15))) &gt; 0,$B15 &amp; " (" &amp; $E15 &amp; ")",IF(SUMPRODUCT(-- ISNUMBER(SEARCH({"Content","Currency","Number","Percent","Text","URL"}, $B15))) &gt; 0,$B15 &amp; "(" &amp; $C15 &amp; ")",$B15)))), "  ", TRIM(IF($S15 = "YES", "(External ID)", "") &amp; " " &amp; IF(SUMPRODUCT(-- ISNUMBER(SEARCH({"Unique","Unique Case Insensitive"}, $R15))) &gt; 0, "(" &amp; $R15 &amp; ")", ""))))</f>
        <v>na</v>
      </c>
      <c r="E15" s="7" t="s">
        <v>195</v>
      </c>
      <c r="F15" s="7" t="s">
        <v>195</v>
      </c>
      <c r="G15" s="7" t="s">
        <v>195</v>
      </c>
      <c r="H15" s="7" t="s">
        <v>195</v>
      </c>
      <c r="I15" s="7" t="s">
        <v>195</v>
      </c>
      <c r="J15" s="7" t="s">
        <v>195</v>
      </c>
      <c r="K15" s="7" t="s">
        <v>195</v>
      </c>
      <c r="L15" s="7" t="s">
        <v>195</v>
      </c>
      <c r="M15" s="7" t="s">
        <v>28</v>
      </c>
      <c r="N15" s="7" t="s">
        <v>29</v>
      </c>
      <c r="O15" s="7" t="s">
        <v>29</v>
      </c>
      <c r="P15" s="7" t="s">
        <v>29</v>
      </c>
      <c r="Q15" s="7" t="s">
        <v>29</v>
      </c>
      <c r="R15" s="7" t="s">
        <v>29</v>
      </c>
      <c r="S15" s="7" t="s">
        <v>29</v>
      </c>
    </row>
    <row r="16" spans="1:19">
      <c r="A16" s="7" t="s">
        <v>37</v>
      </c>
      <c r="B16" s="7" t="s">
        <v>195</v>
      </c>
      <c r="C16" s="8" t="s">
        <v>195</v>
      </c>
      <c r="D16" s="6" t="str">
        <f>LRTRIM(CONCATENATE(IF(SUMPRODUCT(-- ISNUMBER(SEARCH({"Auto Number"}, $B16))) &gt; 0, $B16, IF(SUMPRODUCT(-- ISNUMBER(SEARCH({"Lookup","Master-Detail"}, $B16))) &gt; 0,$B16 &amp; "(" &amp; $E16 &amp; ")",IF(SUMPRODUCT(-- ISNUMBER(SEARCH({"Formula","Roll-Up Summary"}, $B16))) &gt; 0,$B16 &amp; " (" &amp; $E16 &amp; ")",IF(SUMPRODUCT(-- ISNUMBER(SEARCH({"Content","Currency","Number","Percent","Text","URL"}, $B16))) &gt; 0,$B16 &amp; "(" &amp; $C16 &amp; ")",$B16)))), "  ", TRIM(IF($S16 = "YES", "(External ID)", "") &amp; " " &amp; IF(SUMPRODUCT(-- ISNUMBER(SEARCH({"Unique","Unique Case Insensitive"}, $R16))) &gt; 0, "(" &amp; $R16 &amp; ")", ""))))</f>
        <v>na</v>
      </c>
      <c r="E16" s="7" t="s">
        <v>195</v>
      </c>
      <c r="F16" s="7" t="s">
        <v>195</v>
      </c>
      <c r="G16" s="7" t="s">
        <v>195</v>
      </c>
      <c r="H16" s="7" t="s">
        <v>195</v>
      </c>
      <c r="I16" s="7" t="s">
        <v>195</v>
      </c>
      <c r="J16" s="7" t="s">
        <v>195</v>
      </c>
      <c r="K16" s="7" t="s">
        <v>195</v>
      </c>
      <c r="L16" s="7" t="s">
        <v>195</v>
      </c>
      <c r="M16" s="7" t="s">
        <v>28</v>
      </c>
      <c r="N16" s="7" t="s">
        <v>29</v>
      </c>
      <c r="O16" s="7" t="s">
        <v>29</v>
      </c>
      <c r="P16" s="7" t="s">
        <v>29</v>
      </c>
      <c r="Q16" s="7" t="s">
        <v>29</v>
      </c>
      <c r="R16" s="7" t="s">
        <v>29</v>
      </c>
      <c r="S16" s="7" t="s">
        <v>29</v>
      </c>
    </row>
    <row r="17" spans="1:19">
      <c r="A17" s="7" t="s">
        <v>87</v>
      </c>
      <c r="B17" s="7" t="s">
        <v>195</v>
      </c>
      <c r="C17" s="8" t="s">
        <v>195</v>
      </c>
      <c r="D17" s="6" t="str">
        <f>LRTRIM(CONCATENATE(IF(SUMPRODUCT(-- ISNUMBER(SEARCH({"Auto Number"}, $B17))) &gt; 0, $B17, IF(SUMPRODUCT(-- ISNUMBER(SEARCH({"Lookup","Master-Detail"}, $B17))) &gt; 0,$B17 &amp; "(" &amp; $E17 &amp; ")",IF(SUMPRODUCT(-- ISNUMBER(SEARCH({"Formula","Roll-Up Summary"}, $B17))) &gt; 0,$B17 &amp; " (" &amp; $E17 &amp; ")",IF(SUMPRODUCT(-- ISNUMBER(SEARCH({"Content","Currency","Number","Percent","Text","URL"}, $B17))) &gt; 0,$B17 &amp; "(" &amp; $C17 &amp; ")",$B17)))), "  ", TRIM(IF($S17 = "YES", "(External ID)", "") &amp; " " &amp; IF(SUMPRODUCT(-- ISNUMBER(SEARCH({"Unique","Unique Case Insensitive"}, $R17))) &gt; 0, "(" &amp; $R17 &amp; ")", ""))))</f>
        <v>na</v>
      </c>
      <c r="E17" s="7" t="s">
        <v>195</v>
      </c>
      <c r="F17" s="7" t="s">
        <v>195</v>
      </c>
      <c r="G17" s="7" t="s">
        <v>195</v>
      </c>
      <c r="H17" s="7" t="s">
        <v>195</v>
      </c>
      <c r="I17" s="7" t="s">
        <v>195</v>
      </c>
      <c r="J17" s="7" t="s">
        <v>195</v>
      </c>
      <c r="K17" s="7" t="s">
        <v>195</v>
      </c>
      <c r="L17" s="7" t="s">
        <v>195</v>
      </c>
      <c r="M17" s="7" t="s">
        <v>28</v>
      </c>
      <c r="N17" s="7" t="s">
        <v>29</v>
      </c>
      <c r="O17" s="7" t="s">
        <v>29</v>
      </c>
      <c r="P17" s="7" t="s">
        <v>29</v>
      </c>
      <c r="Q17" s="7" t="s">
        <v>29</v>
      </c>
      <c r="R17" s="7" t="s">
        <v>29</v>
      </c>
      <c r="S17" s="7" t="s">
        <v>29</v>
      </c>
    </row>
    <row r="18" spans="1:19">
      <c r="A18" s="7" t="s">
        <v>39</v>
      </c>
      <c r="B18" s="7" t="s">
        <v>195</v>
      </c>
      <c r="C18" s="8" t="s">
        <v>195</v>
      </c>
      <c r="D18" s="6" t="str">
        <f>LRTRIM(CONCATENATE(IF(SUMPRODUCT(-- ISNUMBER(SEARCH({"Auto Number"}, $B18))) &gt; 0, $B18, IF(SUMPRODUCT(-- ISNUMBER(SEARCH({"Lookup","Master-Detail"}, $B18))) &gt; 0,$B18 &amp; "(" &amp; $E18 &amp; ")",IF(SUMPRODUCT(-- ISNUMBER(SEARCH({"Formula","Roll-Up Summary"}, $B18))) &gt; 0,$B18 &amp; " (" &amp; $E18 &amp; ")",IF(SUMPRODUCT(-- ISNUMBER(SEARCH({"Content","Currency","Number","Percent","Text","URL"}, $B18))) &gt; 0,$B18 &amp; "(" &amp; $C18 &amp; ")",$B18)))), "  ", TRIM(IF($S18 = "YES", "(External ID)", "") &amp; " " &amp; IF(SUMPRODUCT(-- ISNUMBER(SEARCH({"Unique","Unique Case Insensitive"}, $R18))) &gt; 0, "(" &amp; $R18 &amp; ")", ""))))</f>
        <v>na</v>
      </c>
      <c r="E18" s="7" t="s">
        <v>195</v>
      </c>
      <c r="F18" s="7" t="s">
        <v>195</v>
      </c>
      <c r="G18" s="7" t="s">
        <v>195</v>
      </c>
      <c r="H18" s="7" t="s">
        <v>195</v>
      </c>
      <c r="I18" s="7" t="s">
        <v>195</v>
      </c>
      <c r="J18" s="7" t="s">
        <v>195</v>
      </c>
      <c r="K18" s="7" t="s">
        <v>195</v>
      </c>
      <c r="L18" s="7" t="s">
        <v>195</v>
      </c>
      <c r="M18" s="7" t="s">
        <v>28</v>
      </c>
      <c r="N18" s="7" t="s">
        <v>29</v>
      </c>
      <c r="O18" s="7" t="s">
        <v>29</v>
      </c>
      <c r="P18" s="7" t="s">
        <v>29</v>
      </c>
      <c r="Q18" s="7" t="s">
        <v>29</v>
      </c>
      <c r="R18" s="7" t="s">
        <v>29</v>
      </c>
      <c r="S18" s="7" t="s">
        <v>29</v>
      </c>
    </row>
    <row r="19" spans="1:19">
      <c r="B19" s="7" t="s">
        <v>195</v>
      </c>
      <c r="C19" s="8" t="s">
        <v>195</v>
      </c>
      <c r="D19" s="6" t="str">
        <f>LRTRIM(CONCATENATE(IF(SUMPRODUCT(-- ISNUMBER(SEARCH({"Auto Number"}, $B19))) &gt; 0, $B19, IF(SUMPRODUCT(-- ISNUMBER(SEARCH({"Lookup","Master-Detail"}, $B19))) &gt; 0,$B19 &amp; "(" &amp; $E19 &amp; ")",IF(SUMPRODUCT(-- ISNUMBER(SEARCH({"Formula","Roll-Up Summary"}, $B19))) &gt; 0,$B19 &amp; " (" &amp; $E19 &amp; ")",IF(SUMPRODUCT(-- ISNUMBER(SEARCH({"Content","Currency","Number","Percent","Text","URL"}, $B19))) &gt; 0,$B19 &amp; "(" &amp; $C19 &amp; ")",$B19)))), "  ", TRIM(IF($S19 = "YES", "(External ID)", "") &amp; " " &amp; IF(SUMPRODUCT(-- ISNUMBER(SEARCH({"Unique","Unique Case Insensitive"}, $R19))) &gt; 0, "(" &amp; $R19 &amp; ")", ""))))</f>
        <v>na</v>
      </c>
      <c r="E19" s="7" t="s">
        <v>195</v>
      </c>
      <c r="F19" s="7" t="s">
        <v>195</v>
      </c>
      <c r="G19" s="7" t="s">
        <v>195</v>
      </c>
      <c r="H19" s="7" t="s">
        <v>195</v>
      </c>
      <c r="I19" s="7" t="s">
        <v>195</v>
      </c>
      <c r="J19" s="7" t="s">
        <v>195</v>
      </c>
      <c r="K19" s="7" t="s">
        <v>195</v>
      </c>
      <c r="L19" s="7" t="s">
        <v>195</v>
      </c>
      <c r="M19" s="7" t="s">
        <v>29</v>
      </c>
      <c r="N19" s="7" t="s">
        <v>29</v>
      </c>
      <c r="O19" s="7" t="s">
        <v>29</v>
      </c>
      <c r="P19" s="7" t="s">
        <v>29</v>
      </c>
      <c r="Q19" s="7" t="s">
        <v>29</v>
      </c>
      <c r="R19" s="7" t="s">
        <v>29</v>
      </c>
      <c r="S19" s="7" t="s">
        <v>29</v>
      </c>
    </row>
    <row r="20" spans="1:19">
      <c r="B20" s="7" t="s">
        <v>195</v>
      </c>
      <c r="C20" s="8" t="s">
        <v>195</v>
      </c>
      <c r="D20" s="6" t="str">
        <f>LRTRIM(CONCATENATE(IF(SUMPRODUCT(-- ISNUMBER(SEARCH({"Auto Number"}, $B20))) &gt; 0, $B20, IF(SUMPRODUCT(-- ISNUMBER(SEARCH({"Lookup","Master-Detail"}, $B20))) &gt; 0,$B20 &amp; "(" &amp; $E20 &amp; ")",IF(SUMPRODUCT(-- ISNUMBER(SEARCH({"Formula","Roll-Up Summary"}, $B20))) &gt; 0,$B20 &amp; " (" &amp; $E20 &amp; ")",IF(SUMPRODUCT(-- ISNUMBER(SEARCH({"Content","Currency","Number","Percent","Text","URL"}, $B20))) &gt; 0,$B20 &amp; "(" &amp; $C20 &amp; ")",$B20)))), "  ", TRIM(IF($S20 = "YES", "(External ID)", "") &amp; " " &amp; IF(SUMPRODUCT(-- ISNUMBER(SEARCH({"Unique","Unique Case Insensitive"}, $R20))) &gt; 0, "(" &amp; $R20 &amp; ")", ""))))</f>
        <v>na</v>
      </c>
      <c r="E20" s="7" t="s">
        <v>195</v>
      </c>
      <c r="F20" s="7" t="s">
        <v>195</v>
      </c>
      <c r="G20" s="7" t="s">
        <v>195</v>
      </c>
      <c r="H20" s="7" t="s">
        <v>195</v>
      </c>
      <c r="I20" s="7" t="s">
        <v>195</v>
      </c>
      <c r="J20" s="7" t="s">
        <v>195</v>
      </c>
      <c r="K20" s="7" t="s">
        <v>195</v>
      </c>
      <c r="L20" s="7" t="s">
        <v>195</v>
      </c>
      <c r="M20" s="7" t="s">
        <v>29</v>
      </c>
      <c r="N20" s="7" t="s">
        <v>29</v>
      </c>
      <c r="O20" s="7" t="s">
        <v>29</v>
      </c>
      <c r="P20" s="7" t="s">
        <v>29</v>
      </c>
      <c r="Q20" s="7" t="s">
        <v>29</v>
      </c>
      <c r="R20" s="7" t="s">
        <v>29</v>
      </c>
      <c r="S20" s="7" t="s">
        <v>29</v>
      </c>
    </row>
    <row r="21" spans="1:19">
      <c r="B21" s="7" t="s">
        <v>195</v>
      </c>
      <c r="C21" s="8" t="s">
        <v>195</v>
      </c>
      <c r="D21" s="6" t="str">
        <f>LRTRIM(CONCATENATE(IF(SUMPRODUCT(-- ISNUMBER(SEARCH({"Auto Number"}, $B21))) &gt; 0, $B21, IF(SUMPRODUCT(-- ISNUMBER(SEARCH({"Lookup","Master-Detail"}, $B21))) &gt; 0,$B21 &amp; "(" &amp; $E21 &amp; ")",IF(SUMPRODUCT(-- ISNUMBER(SEARCH({"Formula","Roll-Up Summary"}, $B21))) &gt; 0,$B21 &amp; " (" &amp; $E21 &amp; ")",IF(SUMPRODUCT(-- ISNUMBER(SEARCH({"Content","Currency","Number","Percent","Text","URL"}, $B21))) &gt; 0,$B21 &amp; "(" &amp; $C21 &amp; ")",$B21)))), "  ", TRIM(IF($S21 = "YES", "(External ID)", "") &amp; " " &amp; IF(SUMPRODUCT(-- ISNUMBER(SEARCH({"Unique","Unique Case Insensitive"}, $R21))) &gt; 0, "(" &amp; $R21 &amp; ")", ""))))</f>
        <v>na</v>
      </c>
      <c r="E21" s="7" t="s">
        <v>195</v>
      </c>
      <c r="F21" s="7" t="s">
        <v>195</v>
      </c>
      <c r="G21" s="7" t="s">
        <v>195</v>
      </c>
      <c r="H21" s="7" t="s">
        <v>195</v>
      </c>
      <c r="I21" s="7" t="s">
        <v>195</v>
      </c>
      <c r="J21" s="7" t="s">
        <v>195</v>
      </c>
      <c r="K21" s="7" t="s">
        <v>195</v>
      </c>
      <c r="L21" s="7" t="s">
        <v>195</v>
      </c>
      <c r="M21" s="7" t="s">
        <v>29</v>
      </c>
      <c r="N21" s="7" t="s">
        <v>29</v>
      </c>
      <c r="O21" s="7" t="s">
        <v>29</v>
      </c>
      <c r="P21" s="7" t="s">
        <v>29</v>
      </c>
      <c r="Q21" s="7" t="s">
        <v>29</v>
      </c>
      <c r="R21" s="7" t="s">
        <v>29</v>
      </c>
      <c r="S21" s="7" t="s">
        <v>29</v>
      </c>
    </row>
    <row r="22" spans="1:19">
      <c r="B22" s="7" t="s">
        <v>195</v>
      </c>
      <c r="C22" s="8" t="s">
        <v>195</v>
      </c>
      <c r="D22" s="6" t="str">
        <f>LRTRIM(CONCATENATE(IF(SUMPRODUCT(-- ISNUMBER(SEARCH({"Auto Number"}, $B22))) &gt; 0, $B22, IF(SUMPRODUCT(-- ISNUMBER(SEARCH({"Lookup","Master-Detail"}, $B22))) &gt; 0,$B22 &amp; "(" &amp; $E22 &amp; ")",IF(SUMPRODUCT(-- ISNUMBER(SEARCH({"Formula","Roll-Up Summary"}, $B22))) &gt; 0,$B22 &amp; " (" &amp; $E22 &amp; ")",IF(SUMPRODUCT(-- ISNUMBER(SEARCH({"Content","Currency","Number","Percent","Text","URL"}, $B22))) &gt; 0,$B22 &amp; "(" &amp; $C22 &amp; ")",$B22)))), "  ", TRIM(IF($S22 = "YES", "(External ID)", "") &amp; " " &amp; IF(SUMPRODUCT(-- ISNUMBER(SEARCH({"Unique","Unique Case Insensitive"}, $R22))) &gt; 0, "(" &amp; $R22 &amp; ")", ""))))</f>
        <v>na</v>
      </c>
      <c r="E22" s="7" t="s">
        <v>195</v>
      </c>
      <c r="F22" s="7" t="s">
        <v>195</v>
      </c>
      <c r="G22" s="7" t="s">
        <v>195</v>
      </c>
      <c r="H22" s="7" t="s">
        <v>195</v>
      </c>
      <c r="I22" s="7" t="s">
        <v>195</v>
      </c>
      <c r="J22" s="7" t="s">
        <v>195</v>
      </c>
      <c r="K22" s="7" t="s">
        <v>195</v>
      </c>
      <c r="L22" s="7" t="s">
        <v>195</v>
      </c>
      <c r="M22" s="7" t="s">
        <v>29</v>
      </c>
      <c r="N22" s="7" t="s">
        <v>29</v>
      </c>
      <c r="O22" s="7" t="s">
        <v>29</v>
      </c>
      <c r="P22" s="7" t="s">
        <v>29</v>
      </c>
      <c r="Q22" s="7" t="s">
        <v>29</v>
      </c>
      <c r="R22" s="7" t="s">
        <v>29</v>
      </c>
      <c r="S22" s="7" t="s">
        <v>29</v>
      </c>
    </row>
    <row r="23" spans="1:19">
      <c r="B23" s="7" t="s">
        <v>195</v>
      </c>
      <c r="C23" s="8" t="s">
        <v>195</v>
      </c>
      <c r="D23" s="6" t="str">
        <f>LRTRIM(CONCATENATE(IF(SUMPRODUCT(-- ISNUMBER(SEARCH({"Auto Number"}, $B23))) &gt; 0, $B23, IF(SUMPRODUCT(-- ISNUMBER(SEARCH({"Lookup","Master-Detail"}, $B23))) &gt; 0,$B23 &amp; "(" &amp; $E23 &amp; ")",IF(SUMPRODUCT(-- ISNUMBER(SEARCH({"Formula","Roll-Up Summary"}, $B23))) &gt; 0,$B23 &amp; " (" &amp; $E23 &amp; ")",IF(SUMPRODUCT(-- ISNUMBER(SEARCH({"Content","Currency","Number","Percent","Text","URL"}, $B23))) &gt; 0,$B23 &amp; "(" &amp; $C23 &amp; ")",$B23)))), "  ", TRIM(IF($S23 = "YES", "(External ID)", "") &amp; " " &amp; IF(SUMPRODUCT(-- ISNUMBER(SEARCH({"Unique","Unique Case Insensitive"}, $R23))) &gt; 0, "(" &amp; $R23 &amp; ")", ""))))</f>
        <v>na</v>
      </c>
      <c r="E23" s="7" t="s">
        <v>195</v>
      </c>
      <c r="F23" s="7" t="s">
        <v>195</v>
      </c>
      <c r="G23" s="7" t="s">
        <v>195</v>
      </c>
      <c r="H23" s="7" t="s">
        <v>195</v>
      </c>
      <c r="I23" s="7" t="s">
        <v>195</v>
      </c>
      <c r="J23" s="7" t="s">
        <v>195</v>
      </c>
      <c r="K23" s="7" t="s">
        <v>195</v>
      </c>
      <c r="L23" s="7" t="s">
        <v>195</v>
      </c>
      <c r="M23" s="7" t="s">
        <v>29</v>
      </c>
      <c r="N23" s="7" t="s">
        <v>29</v>
      </c>
      <c r="O23" s="7" t="s">
        <v>29</v>
      </c>
      <c r="P23" s="7" t="s">
        <v>29</v>
      </c>
      <c r="Q23" s="7" t="s">
        <v>29</v>
      </c>
      <c r="R23" s="7" t="s">
        <v>29</v>
      </c>
      <c r="S23" s="7" t="s">
        <v>29</v>
      </c>
    </row>
    <row r="24" spans="1:19">
      <c r="B24" s="7" t="s">
        <v>195</v>
      </c>
      <c r="C24" s="8" t="s">
        <v>195</v>
      </c>
      <c r="D24" s="6" t="str">
        <f>LRTRIM(CONCATENATE(IF(SUMPRODUCT(-- ISNUMBER(SEARCH({"Auto Number"}, $B24))) &gt; 0, $B24, IF(SUMPRODUCT(-- ISNUMBER(SEARCH({"Lookup","Master-Detail"}, $B24))) &gt; 0,$B24 &amp; "(" &amp; $E24 &amp; ")",IF(SUMPRODUCT(-- ISNUMBER(SEARCH({"Formula","Roll-Up Summary"}, $B24))) &gt; 0,$B24 &amp; " (" &amp; $E24 &amp; ")",IF(SUMPRODUCT(-- ISNUMBER(SEARCH({"Content","Currency","Number","Percent","Text","URL"}, $B24))) &gt; 0,$B24 &amp; "(" &amp; $C24 &amp; ")",$B24)))), "  ", TRIM(IF($S24 = "YES", "(External ID)", "") &amp; " " &amp; IF(SUMPRODUCT(-- ISNUMBER(SEARCH({"Unique","Unique Case Insensitive"}, $R24))) &gt; 0, "(" &amp; $R24 &amp; ")", ""))))</f>
        <v>na</v>
      </c>
      <c r="E24" s="7" t="s">
        <v>195</v>
      </c>
      <c r="F24" s="7" t="s">
        <v>195</v>
      </c>
      <c r="G24" s="7" t="s">
        <v>195</v>
      </c>
      <c r="H24" s="7" t="s">
        <v>195</v>
      </c>
      <c r="I24" s="7" t="s">
        <v>195</v>
      </c>
      <c r="J24" s="7" t="s">
        <v>195</v>
      </c>
      <c r="K24" s="7" t="s">
        <v>195</v>
      </c>
      <c r="L24" s="7" t="s">
        <v>195</v>
      </c>
      <c r="M24" s="7" t="s">
        <v>29</v>
      </c>
      <c r="N24" s="7" t="s">
        <v>29</v>
      </c>
      <c r="O24" s="7" t="s">
        <v>29</v>
      </c>
      <c r="P24" s="7" t="s">
        <v>29</v>
      </c>
      <c r="Q24" s="7" t="s">
        <v>29</v>
      </c>
      <c r="R24" s="7" t="s">
        <v>29</v>
      </c>
      <c r="S24" s="7" t="s">
        <v>29</v>
      </c>
    </row>
    <row r="25" spans="1:19">
      <c r="B25" s="7" t="s">
        <v>195</v>
      </c>
      <c r="C25" s="8" t="s">
        <v>195</v>
      </c>
      <c r="D25" s="6" t="str">
        <f>LRTRIM(CONCATENATE(IF(SUMPRODUCT(-- ISNUMBER(SEARCH({"Auto Number"}, $B25))) &gt; 0, $B25, IF(SUMPRODUCT(-- ISNUMBER(SEARCH({"Lookup","Master-Detail"}, $B25))) &gt; 0,$B25 &amp; "(" &amp; $E25 &amp; ")",IF(SUMPRODUCT(-- ISNUMBER(SEARCH({"Formula","Roll-Up Summary"}, $B25))) &gt; 0,$B25 &amp; " (" &amp; $E25 &amp; ")",IF(SUMPRODUCT(-- ISNUMBER(SEARCH({"Content","Currency","Number","Percent","Text","URL"}, $B25))) &gt; 0,$B25 &amp; "(" &amp; $C25 &amp; ")",$B25)))), "  ", TRIM(IF($S25 = "YES", "(External ID)", "") &amp; " " &amp; IF(SUMPRODUCT(-- ISNUMBER(SEARCH({"Unique","Unique Case Insensitive"}, $R25))) &gt; 0, "(" &amp; $R25 &amp; ")", ""))))</f>
        <v>na</v>
      </c>
      <c r="E25" s="7" t="s">
        <v>195</v>
      </c>
      <c r="F25" s="7" t="s">
        <v>195</v>
      </c>
      <c r="G25" s="7" t="s">
        <v>195</v>
      </c>
      <c r="H25" s="7" t="s">
        <v>195</v>
      </c>
      <c r="I25" s="7" t="s">
        <v>195</v>
      </c>
      <c r="J25" s="7" t="s">
        <v>195</v>
      </c>
      <c r="K25" s="7" t="s">
        <v>195</v>
      </c>
      <c r="L25" s="7" t="s">
        <v>195</v>
      </c>
      <c r="M25" s="7" t="s">
        <v>29</v>
      </c>
      <c r="N25" s="7" t="s">
        <v>29</v>
      </c>
      <c r="O25" s="7" t="s">
        <v>29</v>
      </c>
      <c r="P25" s="7" t="s">
        <v>29</v>
      </c>
      <c r="Q25" s="7" t="s">
        <v>29</v>
      </c>
      <c r="R25" s="7" t="s">
        <v>29</v>
      </c>
      <c r="S25" s="7" t="s">
        <v>29</v>
      </c>
    </row>
    <row r="26" spans="1:19">
      <c r="B26" s="7" t="s">
        <v>195</v>
      </c>
      <c r="C26" s="8" t="s">
        <v>195</v>
      </c>
      <c r="D26" s="6" t="str">
        <f>LRTRIM(CONCATENATE(IF(SUMPRODUCT(-- ISNUMBER(SEARCH({"Auto Number"}, $B26))) &gt; 0, $B26, IF(SUMPRODUCT(-- ISNUMBER(SEARCH({"Lookup","Master-Detail"}, $B26))) &gt; 0,$B26 &amp; "(" &amp; $E26 &amp; ")",IF(SUMPRODUCT(-- ISNUMBER(SEARCH({"Formula","Roll-Up Summary"}, $B26))) &gt; 0,$B26 &amp; " (" &amp; $E26 &amp; ")",IF(SUMPRODUCT(-- ISNUMBER(SEARCH({"Content","Currency","Number","Percent","Text","URL"}, $B26))) &gt; 0,$B26 &amp; "(" &amp; $C26 &amp; ")",$B26)))), "  ", TRIM(IF($S26 = "YES", "(External ID)", "") &amp; " " &amp; IF(SUMPRODUCT(-- ISNUMBER(SEARCH({"Unique","Unique Case Insensitive"}, $R26))) &gt; 0, "(" &amp; $R26 &amp; ")", ""))))</f>
        <v>na</v>
      </c>
      <c r="E26" s="7" t="s">
        <v>195</v>
      </c>
      <c r="F26" s="7" t="s">
        <v>195</v>
      </c>
      <c r="G26" s="7" t="s">
        <v>195</v>
      </c>
      <c r="H26" s="7" t="s">
        <v>195</v>
      </c>
      <c r="I26" s="7" t="s">
        <v>195</v>
      </c>
      <c r="J26" s="7" t="s">
        <v>195</v>
      </c>
      <c r="K26" s="7" t="s">
        <v>195</v>
      </c>
      <c r="L26" s="7" t="s">
        <v>195</v>
      </c>
      <c r="M26" s="7" t="s">
        <v>29</v>
      </c>
      <c r="N26" s="7" t="s">
        <v>29</v>
      </c>
      <c r="O26" s="7" t="s">
        <v>29</v>
      </c>
      <c r="P26" s="7" t="s">
        <v>29</v>
      </c>
      <c r="Q26" s="7" t="s">
        <v>29</v>
      </c>
      <c r="R26" s="7" t="s">
        <v>29</v>
      </c>
      <c r="S26" s="7" t="s">
        <v>29</v>
      </c>
    </row>
    <row r="27" spans="1:19">
      <c r="B27" s="7" t="s">
        <v>195</v>
      </c>
      <c r="C27" s="8" t="s">
        <v>195</v>
      </c>
      <c r="D27" s="6" t="str">
        <f>LRTRIM(CONCATENATE(IF(SUMPRODUCT(-- ISNUMBER(SEARCH({"Auto Number"}, $B27))) &gt; 0, $B27, IF(SUMPRODUCT(-- ISNUMBER(SEARCH({"Lookup","Master-Detail"}, $B27))) &gt; 0,$B27 &amp; "(" &amp; $E27 &amp; ")",IF(SUMPRODUCT(-- ISNUMBER(SEARCH({"Formula","Roll-Up Summary"}, $B27))) &gt; 0,$B27 &amp; " (" &amp; $E27 &amp; ")",IF(SUMPRODUCT(-- ISNUMBER(SEARCH({"Content","Currency","Number","Percent","Text","URL"}, $B27))) &gt; 0,$B27 &amp; "(" &amp; $C27 &amp; ")",$B27)))), "  ", TRIM(IF($S27 = "YES", "(External ID)", "") &amp; " " &amp; IF(SUMPRODUCT(-- ISNUMBER(SEARCH({"Unique","Unique Case Insensitive"}, $R27))) &gt; 0, "(" &amp; $R27 &amp; ")", ""))))</f>
        <v>na</v>
      </c>
      <c r="E27" s="7" t="s">
        <v>195</v>
      </c>
      <c r="F27" s="7" t="s">
        <v>195</v>
      </c>
      <c r="G27" s="7" t="s">
        <v>195</v>
      </c>
      <c r="H27" s="7" t="s">
        <v>195</v>
      </c>
      <c r="I27" s="7" t="s">
        <v>195</v>
      </c>
      <c r="J27" s="7" t="s">
        <v>195</v>
      </c>
      <c r="K27" s="7" t="s">
        <v>195</v>
      </c>
      <c r="L27" s="7" t="s">
        <v>195</v>
      </c>
      <c r="M27" s="7" t="s">
        <v>29</v>
      </c>
      <c r="N27" s="7" t="s">
        <v>29</v>
      </c>
      <c r="O27" s="7" t="s">
        <v>29</v>
      </c>
      <c r="P27" s="7" t="s">
        <v>29</v>
      </c>
      <c r="Q27" s="7" t="s">
        <v>29</v>
      </c>
      <c r="R27" s="7" t="s">
        <v>29</v>
      </c>
      <c r="S27" s="7" t="s">
        <v>29</v>
      </c>
    </row>
    <row r="28" spans="1:19">
      <c r="B28" s="7" t="s">
        <v>195</v>
      </c>
      <c r="C28" s="8" t="s">
        <v>195</v>
      </c>
      <c r="D28" s="6" t="str">
        <f>LRTRIM(CONCATENATE(IF(SUMPRODUCT(-- ISNUMBER(SEARCH({"Auto Number"}, $B28))) &gt; 0, $B28, IF(SUMPRODUCT(-- ISNUMBER(SEARCH({"Lookup","Master-Detail"}, $B28))) &gt; 0,$B28 &amp; "(" &amp; $E28 &amp; ")",IF(SUMPRODUCT(-- ISNUMBER(SEARCH({"Formula","Roll-Up Summary"}, $B28))) &gt; 0,$B28 &amp; " (" &amp; $E28 &amp; ")",IF(SUMPRODUCT(-- ISNUMBER(SEARCH({"Content","Currency","Number","Percent","Text","URL"}, $B28))) &gt; 0,$B28 &amp; "(" &amp; $C28 &amp; ")",$B28)))), "  ", TRIM(IF($S28 = "YES", "(External ID)", "") &amp; " " &amp; IF(SUMPRODUCT(-- ISNUMBER(SEARCH({"Unique","Unique Case Insensitive"}, $R28))) &gt; 0, "(" &amp; $R28 &amp; ")", ""))))</f>
        <v>na</v>
      </c>
      <c r="E28" s="7" t="s">
        <v>195</v>
      </c>
      <c r="F28" s="7" t="s">
        <v>195</v>
      </c>
      <c r="G28" s="7" t="s">
        <v>195</v>
      </c>
      <c r="H28" s="7" t="s">
        <v>195</v>
      </c>
      <c r="I28" s="7" t="s">
        <v>195</v>
      </c>
      <c r="J28" s="7" t="s">
        <v>195</v>
      </c>
      <c r="K28" s="7" t="s">
        <v>195</v>
      </c>
      <c r="L28" s="7" t="s">
        <v>195</v>
      </c>
      <c r="M28" s="7" t="s">
        <v>29</v>
      </c>
      <c r="N28" s="7" t="s">
        <v>29</v>
      </c>
      <c r="O28" s="7" t="s">
        <v>29</v>
      </c>
      <c r="P28" s="7" t="s">
        <v>29</v>
      </c>
      <c r="Q28" s="7" t="s">
        <v>29</v>
      </c>
      <c r="R28" s="7" t="s">
        <v>29</v>
      </c>
      <c r="S28" s="7" t="s">
        <v>29</v>
      </c>
    </row>
    <row r="29" spans="1:19">
      <c r="B29" s="7" t="s">
        <v>195</v>
      </c>
      <c r="C29" s="8" t="s">
        <v>195</v>
      </c>
      <c r="D29" s="6" t="str">
        <f>LRTRIM(CONCATENATE(IF(SUMPRODUCT(-- ISNUMBER(SEARCH({"Auto Number"}, $B29))) &gt; 0, $B29, IF(SUMPRODUCT(-- ISNUMBER(SEARCH({"Lookup","Master-Detail"}, $B29))) &gt; 0,$B29 &amp; "(" &amp; $E29 &amp; ")",IF(SUMPRODUCT(-- ISNUMBER(SEARCH({"Formula","Roll-Up Summary"}, $B29))) &gt; 0,$B29 &amp; " (" &amp; $E29 &amp; ")",IF(SUMPRODUCT(-- ISNUMBER(SEARCH({"Content","Currency","Number","Percent","Text","URL"}, $B29))) &gt; 0,$B29 &amp; "(" &amp; $C29 &amp; ")",$B29)))), "  ", TRIM(IF($S29 = "YES", "(External ID)", "") &amp; " " &amp; IF(SUMPRODUCT(-- ISNUMBER(SEARCH({"Unique","Unique Case Insensitive"}, $R29))) &gt; 0, "(" &amp; $R29 &amp; ")", ""))))</f>
        <v>na</v>
      </c>
      <c r="E29" s="7" t="s">
        <v>195</v>
      </c>
      <c r="F29" s="7" t="s">
        <v>195</v>
      </c>
      <c r="G29" s="7" t="s">
        <v>195</v>
      </c>
      <c r="H29" s="7" t="s">
        <v>195</v>
      </c>
      <c r="I29" s="7" t="s">
        <v>195</v>
      </c>
      <c r="J29" s="7" t="s">
        <v>195</v>
      </c>
      <c r="K29" s="7" t="s">
        <v>195</v>
      </c>
      <c r="L29" s="7" t="s">
        <v>195</v>
      </c>
      <c r="M29" s="7" t="s">
        <v>29</v>
      </c>
      <c r="N29" s="7" t="s">
        <v>29</v>
      </c>
      <c r="O29" s="7" t="s">
        <v>29</v>
      </c>
      <c r="P29" s="7" t="s">
        <v>29</v>
      </c>
      <c r="Q29" s="7" t="s">
        <v>29</v>
      </c>
      <c r="R29" s="7" t="s">
        <v>29</v>
      </c>
      <c r="S29" s="7" t="s">
        <v>29</v>
      </c>
    </row>
    <row r="30" spans="1:19">
      <c r="B30" s="7" t="s">
        <v>195</v>
      </c>
      <c r="C30" s="8" t="s">
        <v>195</v>
      </c>
      <c r="D30" s="6" t="str">
        <f>LRTRIM(CONCATENATE(IF(SUMPRODUCT(-- ISNUMBER(SEARCH({"Auto Number"}, $B30))) &gt; 0, $B30, IF(SUMPRODUCT(-- ISNUMBER(SEARCH({"Lookup","Master-Detail"}, $B30))) &gt; 0,$B30 &amp; "(" &amp; $E30 &amp; ")",IF(SUMPRODUCT(-- ISNUMBER(SEARCH({"Formula","Roll-Up Summary"}, $B30))) &gt; 0,$B30 &amp; " (" &amp; $E30 &amp; ")",IF(SUMPRODUCT(-- ISNUMBER(SEARCH({"Content","Currency","Number","Percent","Text","URL"}, $B30))) &gt; 0,$B30 &amp; "(" &amp; $C30 &amp; ")",$B30)))), "  ", TRIM(IF($S30 = "YES", "(External ID)", "") &amp; " " &amp; IF(SUMPRODUCT(-- ISNUMBER(SEARCH({"Unique","Unique Case Insensitive"}, $R30))) &gt; 0, "(" &amp; $R30 &amp; ")", ""))))</f>
        <v>na</v>
      </c>
      <c r="E30" s="7" t="s">
        <v>195</v>
      </c>
      <c r="F30" s="7" t="s">
        <v>195</v>
      </c>
      <c r="G30" s="7" t="s">
        <v>195</v>
      </c>
      <c r="H30" s="7" t="s">
        <v>195</v>
      </c>
      <c r="I30" s="7" t="s">
        <v>195</v>
      </c>
      <c r="J30" s="7" t="s">
        <v>195</v>
      </c>
      <c r="K30" s="7" t="s">
        <v>195</v>
      </c>
      <c r="L30" s="7" t="s">
        <v>195</v>
      </c>
      <c r="M30" s="7" t="s">
        <v>29</v>
      </c>
      <c r="N30" s="7" t="s">
        <v>29</v>
      </c>
      <c r="O30" s="7" t="s">
        <v>29</v>
      </c>
      <c r="P30" s="7" t="s">
        <v>29</v>
      </c>
      <c r="Q30" s="7" t="s">
        <v>29</v>
      </c>
      <c r="R30" s="7" t="s">
        <v>29</v>
      </c>
      <c r="S30" s="7" t="s">
        <v>29</v>
      </c>
    </row>
    <row r="31" spans="1:19">
      <c r="B31" s="7" t="s">
        <v>195</v>
      </c>
      <c r="C31" s="8" t="s">
        <v>195</v>
      </c>
      <c r="D31" s="6" t="str">
        <f>LRTRIM(CONCATENATE(IF(SUMPRODUCT(-- ISNUMBER(SEARCH({"Auto Number"}, $B31))) &gt; 0, $B31, IF(SUMPRODUCT(-- ISNUMBER(SEARCH({"Lookup","Master-Detail"}, $B31))) &gt; 0,$B31 &amp; "(" &amp; $E31 &amp; ")",IF(SUMPRODUCT(-- ISNUMBER(SEARCH({"Formula","Roll-Up Summary"}, $B31))) &gt; 0,$B31 &amp; " (" &amp; $E31 &amp; ")",IF(SUMPRODUCT(-- ISNUMBER(SEARCH({"Content","Currency","Number","Percent","Text","URL"}, $B31))) &gt; 0,$B31 &amp; "(" &amp; $C31 &amp; ")",$B31)))), "  ", TRIM(IF($S31 = "YES", "(External ID)", "") &amp; " " &amp; IF(SUMPRODUCT(-- ISNUMBER(SEARCH({"Unique","Unique Case Insensitive"}, $R31))) &gt; 0, "(" &amp; $R31 &amp; ")", ""))))</f>
        <v>na</v>
      </c>
      <c r="E31" s="7" t="s">
        <v>195</v>
      </c>
      <c r="F31" s="7" t="s">
        <v>195</v>
      </c>
      <c r="G31" s="7" t="s">
        <v>195</v>
      </c>
      <c r="H31" s="7" t="s">
        <v>195</v>
      </c>
      <c r="I31" s="7" t="s">
        <v>195</v>
      </c>
      <c r="J31" s="7" t="s">
        <v>195</v>
      </c>
      <c r="K31" s="7" t="s">
        <v>195</v>
      </c>
      <c r="L31" s="7" t="s">
        <v>195</v>
      </c>
      <c r="M31" s="7" t="s">
        <v>29</v>
      </c>
      <c r="N31" s="7" t="s">
        <v>29</v>
      </c>
      <c r="O31" s="7" t="s">
        <v>29</v>
      </c>
      <c r="P31" s="7" t="s">
        <v>29</v>
      </c>
      <c r="Q31" s="7" t="s">
        <v>29</v>
      </c>
      <c r="R31" s="7" t="s">
        <v>29</v>
      </c>
      <c r="S31" s="7" t="s">
        <v>29</v>
      </c>
    </row>
    <row r="32" spans="1:19">
      <c r="B32" s="7" t="s">
        <v>195</v>
      </c>
      <c r="C32" s="8" t="s">
        <v>195</v>
      </c>
      <c r="D32" s="6" t="str">
        <f>LRTRIM(CONCATENATE(IF(SUMPRODUCT(-- ISNUMBER(SEARCH({"Auto Number"}, $B32))) &gt; 0, $B32, IF(SUMPRODUCT(-- ISNUMBER(SEARCH({"Lookup","Master-Detail"}, $B32))) &gt; 0,$B32 &amp; "(" &amp; $E32 &amp; ")",IF(SUMPRODUCT(-- ISNUMBER(SEARCH({"Formula","Roll-Up Summary"}, $B32))) &gt; 0,$B32 &amp; " (" &amp; $E32 &amp; ")",IF(SUMPRODUCT(-- ISNUMBER(SEARCH({"Content","Currency","Number","Percent","Text","URL"}, $B32))) &gt; 0,$B32 &amp; "(" &amp; $C32 &amp; ")",$B32)))), "  ", TRIM(IF($S32 = "YES", "(External ID)", "") &amp; " " &amp; IF(SUMPRODUCT(-- ISNUMBER(SEARCH({"Unique","Unique Case Insensitive"}, $R32))) &gt; 0, "(" &amp; $R32 &amp; ")", ""))))</f>
        <v>na</v>
      </c>
      <c r="E32" s="7" t="s">
        <v>195</v>
      </c>
      <c r="F32" s="7" t="s">
        <v>195</v>
      </c>
      <c r="G32" s="7" t="s">
        <v>195</v>
      </c>
      <c r="H32" s="7" t="s">
        <v>195</v>
      </c>
      <c r="I32" s="7" t="s">
        <v>195</v>
      </c>
      <c r="J32" s="7" t="s">
        <v>195</v>
      </c>
      <c r="K32" s="7" t="s">
        <v>195</v>
      </c>
      <c r="L32" s="7" t="s">
        <v>195</v>
      </c>
      <c r="M32" s="7" t="s">
        <v>29</v>
      </c>
      <c r="N32" s="7" t="s">
        <v>29</v>
      </c>
      <c r="O32" s="7" t="s">
        <v>29</v>
      </c>
      <c r="P32" s="7" t="s">
        <v>29</v>
      </c>
      <c r="Q32" s="7" t="s">
        <v>29</v>
      </c>
      <c r="R32" s="7" t="s">
        <v>29</v>
      </c>
      <c r="S32" s="7" t="s">
        <v>29</v>
      </c>
    </row>
    <row r="33" spans="2:19">
      <c r="B33" s="7" t="s">
        <v>195</v>
      </c>
      <c r="C33" s="8" t="s">
        <v>195</v>
      </c>
      <c r="D33" s="6" t="str">
        <f>LRTRIM(CONCATENATE(IF(SUMPRODUCT(-- ISNUMBER(SEARCH({"Auto Number"}, $B33))) &gt; 0, $B33, IF(SUMPRODUCT(-- ISNUMBER(SEARCH({"Lookup","Master-Detail"}, $B33))) &gt; 0,$B33 &amp; "(" &amp; $E33 &amp; ")",IF(SUMPRODUCT(-- ISNUMBER(SEARCH({"Formula","Roll-Up Summary"}, $B33))) &gt; 0,$B33 &amp; " (" &amp; $E33 &amp; ")",IF(SUMPRODUCT(-- ISNUMBER(SEARCH({"Content","Currency","Number","Percent","Text","URL"}, $B33))) &gt; 0,$B33 &amp; "(" &amp; $C33 &amp; ")",$B33)))), "  ", TRIM(IF($S33 = "YES", "(External ID)", "") &amp; " " &amp; IF(SUMPRODUCT(-- ISNUMBER(SEARCH({"Unique","Unique Case Insensitive"}, $R33))) &gt; 0, "(" &amp; $R33 &amp; ")", ""))))</f>
        <v>na</v>
      </c>
      <c r="E33" s="7" t="s">
        <v>195</v>
      </c>
      <c r="F33" s="7" t="s">
        <v>195</v>
      </c>
      <c r="G33" s="7" t="s">
        <v>195</v>
      </c>
      <c r="H33" s="7" t="s">
        <v>195</v>
      </c>
      <c r="I33" s="7" t="s">
        <v>195</v>
      </c>
      <c r="J33" s="7" t="s">
        <v>195</v>
      </c>
      <c r="K33" s="7" t="s">
        <v>195</v>
      </c>
      <c r="L33" s="7" t="s">
        <v>195</v>
      </c>
      <c r="M33" s="7" t="s">
        <v>29</v>
      </c>
      <c r="N33" s="7" t="s">
        <v>29</v>
      </c>
      <c r="O33" s="7" t="s">
        <v>29</v>
      </c>
      <c r="P33" s="7" t="s">
        <v>29</v>
      </c>
      <c r="Q33" s="7" t="s">
        <v>29</v>
      </c>
      <c r="R33" s="7" t="s">
        <v>29</v>
      </c>
      <c r="S33" s="7" t="s">
        <v>29</v>
      </c>
    </row>
    <row r="34" spans="2:19">
      <c r="B34" s="7" t="s">
        <v>195</v>
      </c>
      <c r="C34" s="8" t="s">
        <v>195</v>
      </c>
      <c r="D34" s="6" t="str">
        <f>LRTRIM(CONCATENATE(IF(SUMPRODUCT(-- ISNUMBER(SEARCH({"Auto Number"}, $B34))) &gt; 0, $B34, IF(SUMPRODUCT(-- ISNUMBER(SEARCH({"Lookup","Master-Detail"}, $B34))) &gt; 0,$B34 &amp; "(" &amp; $E34 &amp; ")",IF(SUMPRODUCT(-- ISNUMBER(SEARCH({"Formula","Roll-Up Summary"}, $B34))) &gt; 0,$B34 &amp; " (" &amp; $E34 &amp; ")",IF(SUMPRODUCT(-- ISNUMBER(SEARCH({"Content","Currency","Number","Percent","Text","URL"}, $B34))) &gt; 0,$B34 &amp; "(" &amp; $C34 &amp; ")",$B34)))), "  ", TRIM(IF($S34 = "YES", "(External ID)", "") &amp; " " &amp; IF(SUMPRODUCT(-- ISNUMBER(SEARCH({"Unique","Unique Case Insensitive"}, $R34))) &gt; 0, "(" &amp; $R34 &amp; ")", ""))))</f>
        <v>na</v>
      </c>
      <c r="E34" s="7" t="s">
        <v>195</v>
      </c>
      <c r="F34" s="7" t="s">
        <v>195</v>
      </c>
      <c r="G34" s="7" t="s">
        <v>195</v>
      </c>
      <c r="H34" s="7" t="s">
        <v>195</v>
      </c>
      <c r="I34" s="7" t="s">
        <v>195</v>
      </c>
      <c r="J34" s="7" t="s">
        <v>195</v>
      </c>
      <c r="K34" s="7" t="s">
        <v>195</v>
      </c>
      <c r="L34" s="7" t="s">
        <v>195</v>
      </c>
      <c r="M34" s="7" t="s">
        <v>29</v>
      </c>
      <c r="N34" s="7" t="s">
        <v>29</v>
      </c>
      <c r="O34" s="7" t="s">
        <v>29</v>
      </c>
      <c r="P34" s="7" t="s">
        <v>29</v>
      </c>
      <c r="Q34" s="7" t="s">
        <v>29</v>
      </c>
      <c r="R34" s="7" t="s">
        <v>29</v>
      </c>
      <c r="S34" s="7" t="s">
        <v>29</v>
      </c>
    </row>
    <row r="35" spans="2:19">
      <c r="B35" s="7" t="s">
        <v>195</v>
      </c>
      <c r="C35" s="8" t="s">
        <v>195</v>
      </c>
      <c r="D35" s="6" t="str">
        <f>LRTRIM(CONCATENATE(IF(SUMPRODUCT(-- ISNUMBER(SEARCH({"Auto Number"}, $B35))) &gt; 0, $B35, IF(SUMPRODUCT(-- ISNUMBER(SEARCH({"Lookup","Master-Detail"}, $B35))) &gt; 0,$B35 &amp; "(" &amp; $E35 &amp; ")",IF(SUMPRODUCT(-- ISNUMBER(SEARCH({"Formula","Roll-Up Summary"}, $B35))) &gt; 0,$B35 &amp; " (" &amp; $E35 &amp; ")",IF(SUMPRODUCT(-- ISNUMBER(SEARCH({"Content","Currency","Number","Percent","Text","URL"}, $B35))) &gt; 0,$B35 &amp; "(" &amp; $C35 &amp; ")",$B35)))), "  ", TRIM(IF($S35 = "YES", "(External ID)", "") &amp; " " &amp; IF(SUMPRODUCT(-- ISNUMBER(SEARCH({"Unique","Unique Case Insensitive"}, $R35))) &gt; 0, "(" &amp; $R35 &amp; ")", ""))))</f>
        <v>na</v>
      </c>
      <c r="E35" s="7" t="s">
        <v>195</v>
      </c>
      <c r="F35" s="7" t="s">
        <v>195</v>
      </c>
      <c r="G35" s="7" t="s">
        <v>195</v>
      </c>
      <c r="H35" s="7" t="s">
        <v>195</v>
      </c>
      <c r="I35" s="7" t="s">
        <v>195</v>
      </c>
      <c r="J35" s="7" t="s">
        <v>195</v>
      </c>
      <c r="K35" s="7" t="s">
        <v>195</v>
      </c>
      <c r="L35" s="7" t="s">
        <v>195</v>
      </c>
      <c r="M35" s="7" t="s">
        <v>29</v>
      </c>
      <c r="N35" s="7" t="s">
        <v>29</v>
      </c>
      <c r="O35" s="7" t="s">
        <v>29</v>
      </c>
      <c r="P35" s="7" t="s">
        <v>29</v>
      </c>
      <c r="Q35" s="7" t="s">
        <v>29</v>
      </c>
      <c r="R35" s="7" t="s">
        <v>29</v>
      </c>
      <c r="S35" s="7" t="s">
        <v>29</v>
      </c>
    </row>
    <row r="36" spans="2:19">
      <c r="B36" s="7" t="s">
        <v>195</v>
      </c>
      <c r="C36" s="8" t="s">
        <v>195</v>
      </c>
      <c r="D36" s="6" t="str">
        <f>LRTRIM(CONCATENATE(IF(SUMPRODUCT(-- ISNUMBER(SEARCH({"Auto Number"}, $B36))) &gt; 0, $B36, IF(SUMPRODUCT(-- ISNUMBER(SEARCH({"Lookup","Master-Detail"}, $B36))) &gt; 0,$B36 &amp; "(" &amp; $E36 &amp; ")",IF(SUMPRODUCT(-- ISNUMBER(SEARCH({"Formula","Roll-Up Summary"}, $B36))) &gt; 0,$B36 &amp; " (" &amp; $E36 &amp; ")",IF(SUMPRODUCT(-- ISNUMBER(SEARCH({"Content","Currency","Number","Percent","Text","URL"}, $B36))) &gt; 0,$B36 &amp; "(" &amp; $C36 &amp; ")",$B36)))), "  ", TRIM(IF($S36 = "YES", "(External ID)", "") &amp; " " &amp; IF(SUMPRODUCT(-- ISNUMBER(SEARCH({"Unique","Unique Case Insensitive"}, $R36))) &gt; 0, "(" &amp; $R36 &amp; ")", ""))))</f>
        <v>na</v>
      </c>
      <c r="E36" s="7" t="s">
        <v>195</v>
      </c>
      <c r="F36" s="7" t="s">
        <v>195</v>
      </c>
      <c r="G36" s="7" t="s">
        <v>195</v>
      </c>
      <c r="H36" s="7" t="s">
        <v>195</v>
      </c>
      <c r="I36" s="7" t="s">
        <v>195</v>
      </c>
      <c r="J36" s="7" t="s">
        <v>195</v>
      </c>
      <c r="K36" s="7" t="s">
        <v>195</v>
      </c>
      <c r="L36" s="7" t="s">
        <v>195</v>
      </c>
      <c r="M36" s="7" t="s">
        <v>29</v>
      </c>
      <c r="N36" s="7" t="s">
        <v>29</v>
      </c>
      <c r="O36" s="7" t="s">
        <v>29</v>
      </c>
      <c r="P36" s="7" t="s">
        <v>29</v>
      </c>
      <c r="Q36" s="7" t="s">
        <v>29</v>
      </c>
      <c r="R36" s="7" t="s">
        <v>29</v>
      </c>
      <c r="S36" s="7" t="s">
        <v>29</v>
      </c>
    </row>
    <row r="37" spans="2:19">
      <c r="B37" s="7" t="s">
        <v>195</v>
      </c>
      <c r="C37" s="8" t="s">
        <v>195</v>
      </c>
      <c r="D37" s="6" t="str">
        <f>LRTRIM(CONCATENATE(IF(SUMPRODUCT(-- ISNUMBER(SEARCH({"Auto Number"}, $B37))) &gt; 0, $B37, IF(SUMPRODUCT(-- ISNUMBER(SEARCH({"Lookup","Master-Detail"}, $B37))) &gt; 0,$B37 &amp; "(" &amp; $E37 &amp; ")",IF(SUMPRODUCT(-- ISNUMBER(SEARCH({"Formula","Roll-Up Summary"}, $B37))) &gt; 0,$B37 &amp; " (" &amp; $E37 &amp; ")",IF(SUMPRODUCT(-- ISNUMBER(SEARCH({"Content","Currency","Number","Percent","Text","URL"}, $B37))) &gt; 0,$B37 &amp; "(" &amp; $C37 &amp; ")",$B37)))), "  ", TRIM(IF($S37 = "YES", "(External ID)", "") &amp; " " &amp; IF(SUMPRODUCT(-- ISNUMBER(SEARCH({"Unique","Unique Case Insensitive"}, $R37))) &gt; 0, "(" &amp; $R37 &amp; ")", ""))))</f>
        <v>na</v>
      </c>
      <c r="E37" s="7" t="s">
        <v>195</v>
      </c>
      <c r="F37" s="7" t="s">
        <v>195</v>
      </c>
      <c r="G37" s="7" t="s">
        <v>195</v>
      </c>
      <c r="H37" s="7" t="s">
        <v>195</v>
      </c>
      <c r="I37" s="7" t="s">
        <v>195</v>
      </c>
      <c r="J37" s="7" t="s">
        <v>195</v>
      </c>
      <c r="K37" s="7" t="s">
        <v>195</v>
      </c>
      <c r="L37" s="7" t="s">
        <v>195</v>
      </c>
      <c r="M37" s="7" t="s">
        <v>29</v>
      </c>
      <c r="N37" s="7" t="s">
        <v>29</v>
      </c>
      <c r="O37" s="7" t="s">
        <v>29</v>
      </c>
      <c r="P37" s="7" t="s">
        <v>29</v>
      </c>
      <c r="Q37" s="7" t="s">
        <v>29</v>
      </c>
      <c r="R37" s="7" t="s">
        <v>29</v>
      </c>
      <c r="S37" s="7" t="s">
        <v>29</v>
      </c>
    </row>
    <row r="38" spans="2:19">
      <c r="B38" s="7" t="s">
        <v>195</v>
      </c>
      <c r="C38" s="8" t="s">
        <v>195</v>
      </c>
      <c r="D38" s="6" t="str">
        <f>LRTRIM(CONCATENATE(IF(SUMPRODUCT(-- ISNUMBER(SEARCH({"Auto Number"}, $B38))) &gt; 0, $B38, IF(SUMPRODUCT(-- ISNUMBER(SEARCH({"Lookup","Master-Detail"}, $B38))) &gt; 0,$B38 &amp; "(" &amp; $E38 &amp; ")",IF(SUMPRODUCT(-- ISNUMBER(SEARCH({"Formula","Roll-Up Summary"}, $B38))) &gt; 0,$B38 &amp; " (" &amp; $E38 &amp; ")",IF(SUMPRODUCT(-- ISNUMBER(SEARCH({"Content","Currency","Number","Percent","Text","URL"}, $B38))) &gt; 0,$B38 &amp; "(" &amp; $C38 &amp; ")",$B38)))), "  ", TRIM(IF($S38 = "YES", "(External ID)", "") &amp; " " &amp; IF(SUMPRODUCT(-- ISNUMBER(SEARCH({"Unique","Unique Case Insensitive"}, $R38))) &gt; 0, "(" &amp; $R38 &amp; ")", ""))))</f>
        <v>na</v>
      </c>
      <c r="E38" s="7" t="s">
        <v>195</v>
      </c>
      <c r="F38" s="7" t="s">
        <v>195</v>
      </c>
      <c r="G38" s="7" t="s">
        <v>195</v>
      </c>
      <c r="H38" s="7" t="s">
        <v>195</v>
      </c>
      <c r="I38" s="7" t="s">
        <v>195</v>
      </c>
      <c r="J38" s="7" t="s">
        <v>195</v>
      </c>
      <c r="K38" s="7" t="s">
        <v>195</v>
      </c>
      <c r="L38" s="7" t="s">
        <v>195</v>
      </c>
      <c r="M38" s="7" t="s">
        <v>29</v>
      </c>
      <c r="N38" s="7" t="s">
        <v>29</v>
      </c>
      <c r="O38" s="7" t="s">
        <v>29</v>
      </c>
      <c r="P38" s="7" t="s">
        <v>29</v>
      </c>
      <c r="Q38" s="7" t="s">
        <v>29</v>
      </c>
      <c r="R38" s="7" t="s">
        <v>29</v>
      </c>
      <c r="S38" s="7" t="s">
        <v>29</v>
      </c>
    </row>
    <row r="39" spans="2:19">
      <c r="B39" s="7" t="s">
        <v>195</v>
      </c>
      <c r="C39" s="8" t="s">
        <v>195</v>
      </c>
      <c r="D39" s="6" t="str">
        <f>LRTRIM(CONCATENATE(IF(SUMPRODUCT(-- ISNUMBER(SEARCH({"Auto Number"}, $B39))) &gt; 0, $B39, IF(SUMPRODUCT(-- ISNUMBER(SEARCH({"Lookup","Master-Detail"}, $B39))) &gt; 0,$B39 &amp; "(" &amp; $E39 &amp; ")",IF(SUMPRODUCT(-- ISNUMBER(SEARCH({"Formula","Roll-Up Summary"}, $B39))) &gt; 0,$B39 &amp; " (" &amp; $E39 &amp; ")",IF(SUMPRODUCT(-- ISNUMBER(SEARCH({"Content","Currency","Number","Percent","Text","URL"}, $B39))) &gt; 0,$B39 &amp; "(" &amp; $C39 &amp; ")",$B39)))), "  ", TRIM(IF($S39 = "YES", "(External ID)", "") &amp; " " &amp; IF(SUMPRODUCT(-- ISNUMBER(SEARCH({"Unique","Unique Case Insensitive"}, $R39))) &gt; 0, "(" &amp; $R39 &amp; ")", ""))))</f>
        <v>na</v>
      </c>
      <c r="E39" s="7" t="s">
        <v>195</v>
      </c>
      <c r="F39" s="7" t="s">
        <v>195</v>
      </c>
      <c r="G39" s="7" t="s">
        <v>195</v>
      </c>
      <c r="H39" s="7" t="s">
        <v>195</v>
      </c>
      <c r="I39" s="7" t="s">
        <v>195</v>
      </c>
      <c r="J39" s="7" t="s">
        <v>195</v>
      </c>
      <c r="K39" s="7" t="s">
        <v>195</v>
      </c>
      <c r="L39" s="7" t="s">
        <v>195</v>
      </c>
      <c r="M39" s="7" t="s">
        <v>29</v>
      </c>
      <c r="N39" s="7" t="s">
        <v>29</v>
      </c>
      <c r="O39" s="7" t="s">
        <v>29</v>
      </c>
      <c r="P39" s="7" t="s">
        <v>29</v>
      </c>
      <c r="Q39" s="7" t="s">
        <v>29</v>
      </c>
      <c r="R39" s="7" t="s">
        <v>29</v>
      </c>
      <c r="S39" s="7" t="s">
        <v>29</v>
      </c>
    </row>
    <row r="40" spans="2:19">
      <c r="B40" s="7" t="s">
        <v>195</v>
      </c>
      <c r="C40" s="8" t="s">
        <v>195</v>
      </c>
      <c r="D40" s="6" t="str">
        <f>LRTRIM(CONCATENATE(IF(SUMPRODUCT(-- ISNUMBER(SEARCH({"Auto Number"}, $B40))) &gt; 0, $B40, IF(SUMPRODUCT(-- ISNUMBER(SEARCH({"Lookup","Master-Detail"}, $B40))) &gt; 0,$B40 &amp; "(" &amp; $E40 &amp; ")",IF(SUMPRODUCT(-- ISNUMBER(SEARCH({"Formula","Roll-Up Summary"}, $B40))) &gt; 0,$B40 &amp; " (" &amp; $E40 &amp; ")",IF(SUMPRODUCT(-- ISNUMBER(SEARCH({"Content","Currency","Number","Percent","Text","URL"}, $B40))) &gt; 0,$B40 &amp; "(" &amp; $C40 &amp; ")",$B40)))), "  ", TRIM(IF($S40 = "YES", "(External ID)", "") &amp; " " &amp; IF(SUMPRODUCT(-- ISNUMBER(SEARCH({"Unique","Unique Case Insensitive"}, $R40))) &gt; 0, "(" &amp; $R40 &amp; ")", ""))))</f>
        <v>na</v>
      </c>
      <c r="E40" s="7" t="s">
        <v>195</v>
      </c>
      <c r="F40" s="7" t="s">
        <v>195</v>
      </c>
      <c r="G40" s="7" t="s">
        <v>195</v>
      </c>
      <c r="H40" s="7" t="s">
        <v>195</v>
      </c>
      <c r="I40" s="7" t="s">
        <v>195</v>
      </c>
      <c r="J40" s="7" t="s">
        <v>195</v>
      </c>
      <c r="K40" s="7" t="s">
        <v>195</v>
      </c>
      <c r="L40" s="7" t="s">
        <v>195</v>
      </c>
      <c r="M40" s="7" t="s">
        <v>29</v>
      </c>
      <c r="N40" s="7" t="s">
        <v>29</v>
      </c>
      <c r="O40" s="7" t="s">
        <v>29</v>
      </c>
      <c r="P40" s="7" t="s">
        <v>29</v>
      </c>
      <c r="Q40" s="7" t="s">
        <v>29</v>
      </c>
      <c r="R40" s="7" t="s">
        <v>29</v>
      </c>
      <c r="S40" s="7" t="s">
        <v>29</v>
      </c>
    </row>
    <row r="41" spans="2:19">
      <c r="B41" s="7" t="s">
        <v>195</v>
      </c>
      <c r="C41" s="8" t="s">
        <v>195</v>
      </c>
      <c r="D41" s="6" t="str">
        <f>LRTRIM(CONCATENATE(IF(SUMPRODUCT(-- ISNUMBER(SEARCH({"Auto Number"}, $B41))) &gt; 0, $B41, IF(SUMPRODUCT(-- ISNUMBER(SEARCH({"Lookup","Master-Detail"}, $B41))) &gt; 0,$B41 &amp; "(" &amp; $E41 &amp; ")",IF(SUMPRODUCT(-- ISNUMBER(SEARCH({"Formula","Roll-Up Summary"}, $B41))) &gt; 0,$B41 &amp; " (" &amp; $E41 &amp; ")",IF(SUMPRODUCT(-- ISNUMBER(SEARCH({"Content","Currency","Number","Percent","Text","URL"}, $B41))) &gt; 0,$B41 &amp; "(" &amp; $C41 &amp; ")",$B41)))), "  ", TRIM(IF($S41 = "YES", "(External ID)", "") &amp; " " &amp; IF(SUMPRODUCT(-- ISNUMBER(SEARCH({"Unique","Unique Case Insensitive"}, $R41))) &gt; 0, "(" &amp; $R41 &amp; ")", ""))))</f>
        <v>na</v>
      </c>
      <c r="E41" s="7" t="s">
        <v>195</v>
      </c>
      <c r="F41" s="7" t="s">
        <v>195</v>
      </c>
      <c r="G41" s="7" t="s">
        <v>195</v>
      </c>
      <c r="H41" s="7" t="s">
        <v>195</v>
      </c>
      <c r="I41" s="7" t="s">
        <v>195</v>
      </c>
      <c r="J41" s="7" t="s">
        <v>195</v>
      </c>
      <c r="K41" s="7" t="s">
        <v>195</v>
      </c>
      <c r="L41" s="7" t="s">
        <v>195</v>
      </c>
      <c r="M41" s="7" t="s">
        <v>29</v>
      </c>
      <c r="N41" s="7" t="s">
        <v>29</v>
      </c>
      <c r="O41" s="7" t="s">
        <v>29</v>
      </c>
      <c r="P41" s="7" t="s">
        <v>29</v>
      </c>
      <c r="Q41" s="7" t="s">
        <v>29</v>
      </c>
      <c r="R41" s="7" t="s">
        <v>29</v>
      </c>
      <c r="S41" s="7" t="s">
        <v>29</v>
      </c>
    </row>
    <row r="42" spans="2:19">
      <c r="B42" s="7" t="s">
        <v>195</v>
      </c>
      <c r="C42" s="8" t="s">
        <v>195</v>
      </c>
      <c r="D42" s="6" t="str">
        <f>LRTRIM(CONCATENATE(IF(SUMPRODUCT(-- ISNUMBER(SEARCH({"Auto Number"}, $B42))) &gt; 0, $B42, IF(SUMPRODUCT(-- ISNUMBER(SEARCH({"Lookup","Master-Detail"}, $B42))) &gt; 0,$B42 &amp; "(" &amp; $E42 &amp; ")",IF(SUMPRODUCT(-- ISNUMBER(SEARCH({"Formula","Roll-Up Summary"}, $B42))) &gt; 0,$B42 &amp; " (" &amp; $E42 &amp; ")",IF(SUMPRODUCT(-- ISNUMBER(SEARCH({"Content","Currency","Number","Percent","Text","URL"}, $B42))) &gt; 0,$B42 &amp; "(" &amp; $C42 &amp; ")",$B42)))), "  ", TRIM(IF($S42 = "YES", "(External ID)", "") &amp; " " &amp; IF(SUMPRODUCT(-- ISNUMBER(SEARCH({"Unique","Unique Case Insensitive"}, $R42))) &gt; 0, "(" &amp; $R42 &amp; ")", ""))))</f>
        <v>na</v>
      </c>
      <c r="E42" s="7" t="s">
        <v>195</v>
      </c>
      <c r="F42" s="7" t="s">
        <v>195</v>
      </c>
      <c r="G42" s="7" t="s">
        <v>195</v>
      </c>
      <c r="H42" s="7" t="s">
        <v>195</v>
      </c>
      <c r="I42" s="7" t="s">
        <v>195</v>
      </c>
      <c r="J42" s="7" t="s">
        <v>195</v>
      </c>
      <c r="K42" s="7" t="s">
        <v>195</v>
      </c>
      <c r="L42" s="7" t="s">
        <v>195</v>
      </c>
      <c r="M42" s="7" t="s">
        <v>29</v>
      </c>
      <c r="N42" s="7" t="s">
        <v>29</v>
      </c>
      <c r="O42" s="7" t="s">
        <v>29</v>
      </c>
      <c r="P42" s="7" t="s">
        <v>29</v>
      </c>
      <c r="Q42" s="7" t="s">
        <v>29</v>
      </c>
      <c r="R42" s="7" t="s">
        <v>29</v>
      </c>
      <c r="S42" s="7" t="s">
        <v>29</v>
      </c>
    </row>
    <row r="43" spans="2:19">
      <c r="B43" s="7" t="s">
        <v>195</v>
      </c>
      <c r="C43" s="8" t="s">
        <v>195</v>
      </c>
      <c r="D43" s="6" t="str">
        <f>LRTRIM(CONCATENATE(IF(SUMPRODUCT(-- ISNUMBER(SEARCH({"Auto Number"}, $B43))) &gt; 0, $B43, IF(SUMPRODUCT(-- ISNUMBER(SEARCH({"Lookup","Master-Detail"}, $B43))) &gt; 0,$B43 &amp; "(" &amp; $E43 &amp; ")",IF(SUMPRODUCT(-- ISNUMBER(SEARCH({"Formula","Roll-Up Summary"}, $B43))) &gt; 0,$B43 &amp; " (" &amp; $E43 &amp; ")",IF(SUMPRODUCT(-- ISNUMBER(SEARCH({"Content","Currency","Number","Percent","Text","URL"}, $B43))) &gt; 0,$B43 &amp; "(" &amp; $C43 &amp; ")",$B43)))), "  ", TRIM(IF($S43 = "YES", "(External ID)", "") &amp; " " &amp; IF(SUMPRODUCT(-- ISNUMBER(SEARCH({"Unique","Unique Case Insensitive"}, $R43))) &gt; 0, "(" &amp; $R43 &amp; ")", ""))))</f>
        <v>na</v>
      </c>
      <c r="E43" s="7" t="s">
        <v>195</v>
      </c>
      <c r="F43" s="7" t="s">
        <v>195</v>
      </c>
      <c r="G43" s="7" t="s">
        <v>195</v>
      </c>
      <c r="H43" s="7" t="s">
        <v>195</v>
      </c>
      <c r="I43" s="7" t="s">
        <v>195</v>
      </c>
      <c r="J43" s="7" t="s">
        <v>195</v>
      </c>
      <c r="K43" s="7" t="s">
        <v>195</v>
      </c>
      <c r="L43" s="7" t="s">
        <v>195</v>
      </c>
      <c r="M43" s="7" t="s">
        <v>29</v>
      </c>
      <c r="N43" s="7" t="s">
        <v>29</v>
      </c>
      <c r="O43" s="7" t="s">
        <v>29</v>
      </c>
      <c r="P43" s="7" t="s">
        <v>29</v>
      </c>
      <c r="Q43" s="7" t="s">
        <v>29</v>
      </c>
      <c r="R43" s="7" t="s">
        <v>29</v>
      </c>
      <c r="S43" s="7" t="s">
        <v>29</v>
      </c>
    </row>
    <row r="44" spans="2:19">
      <c r="B44" s="7" t="s">
        <v>195</v>
      </c>
      <c r="C44" s="8" t="s">
        <v>195</v>
      </c>
      <c r="D44" s="6" t="str">
        <f>LRTRIM(CONCATENATE(IF(SUMPRODUCT(-- ISNUMBER(SEARCH({"Auto Number"}, $B44))) &gt; 0, $B44, IF(SUMPRODUCT(-- ISNUMBER(SEARCH({"Lookup","Master-Detail"}, $B44))) &gt; 0,$B44 &amp; "(" &amp; $E44 &amp; ")",IF(SUMPRODUCT(-- ISNUMBER(SEARCH({"Formula","Roll-Up Summary"}, $B44))) &gt; 0,$B44 &amp; " (" &amp; $E44 &amp; ")",IF(SUMPRODUCT(-- ISNUMBER(SEARCH({"Content","Currency","Number","Percent","Text","URL"}, $B44))) &gt; 0,$B44 &amp; "(" &amp; $C44 &amp; ")",$B44)))), "  ", TRIM(IF($S44 = "YES", "(External ID)", "") &amp; " " &amp; IF(SUMPRODUCT(-- ISNUMBER(SEARCH({"Unique","Unique Case Insensitive"}, $R44))) &gt; 0, "(" &amp; $R44 &amp; ")", ""))))</f>
        <v>na</v>
      </c>
      <c r="E44" s="7" t="s">
        <v>195</v>
      </c>
      <c r="F44" s="7" t="s">
        <v>195</v>
      </c>
      <c r="G44" s="7" t="s">
        <v>195</v>
      </c>
      <c r="H44" s="7" t="s">
        <v>195</v>
      </c>
      <c r="I44" s="7" t="s">
        <v>195</v>
      </c>
      <c r="J44" s="7" t="s">
        <v>195</v>
      </c>
      <c r="K44" s="7" t="s">
        <v>195</v>
      </c>
      <c r="L44" s="7" t="s">
        <v>195</v>
      </c>
      <c r="M44" s="7" t="s">
        <v>29</v>
      </c>
      <c r="N44" s="7" t="s">
        <v>29</v>
      </c>
      <c r="O44" s="7" t="s">
        <v>29</v>
      </c>
      <c r="P44" s="7" t="s">
        <v>29</v>
      </c>
      <c r="Q44" s="7" t="s">
        <v>29</v>
      </c>
      <c r="R44" s="7" t="s">
        <v>29</v>
      </c>
      <c r="S44" s="7" t="s">
        <v>29</v>
      </c>
    </row>
    <row r="45" spans="2:19">
      <c r="B45" s="7" t="s">
        <v>195</v>
      </c>
      <c r="C45" s="8" t="s">
        <v>195</v>
      </c>
      <c r="D45" s="6" t="str">
        <f>LRTRIM(CONCATENATE(IF(SUMPRODUCT(-- ISNUMBER(SEARCH({"Auto Number"}, $B45))) &gt; 0, $B45, IF(SUMPRODUCT(-- ISNUMBER(SEARCH({"Lookup","Master-Detail"}, $B45))) &gt; 0,$B45 &amp; "(" &amp; $E45 &amp; ")",IF(SUMPRODUCT(-- ISNUMBER(SEARCH({"Formula","Roll-Up Summary"}, $B45))) &gt; 0,$B45 &amp; " (" &amp; $E45 &amp; ")",IF(SUMPRODUCT(-- ISNUMBER(SEARCH({"Content","Currency","Number","Percent","Text","URL"}, $B45))) &gt; 0,$B45 &amp; "(" &amp; $C45 &amp; ")",$B45)))), "  ", TRIM(IF($S45 = "YES", "(External ID)", "") &amp; " " &amp; IF(SUMPRODUCT(-- ISNUMBER(SEARCH({"Unique","Unique Case Insensitive"}, $R45))) &gt; 0, "(" &amp; $R45 &amp; ")", ""))))</f>
        <v>na</v>
      </c>
      <c r="E45" s="7" t="s">
        <v>195</v>
      </c>
      <c r="F45" s="7" t="s">
        <v>195</v>
      </c>
      <c r="G45" s="7" t="s">
        <v>195</v>
      </c>
      <c r="H45" s="7" t="s">
        <v>195</v>
      </c>
      <c r="I45" s="7" t="s">
        <v>195</v>
      </c>
      <c r="J45" s="7" t="s">
        <v>195</v>
      </c>
      <c r="K45" s="7" t="s">
        <v>195</v>
      </c>
      <c r="L45" s="7" t="s">
        <v>195</v>
      </c>
      <c r="M45" s="7" t="s">
        <v>29</v>
      </c>
      <c r="N45" s="7" t="s">
        <v>29</v>
      </c>
      <c r="O45" s="7" t="s">
        <v>29</v>
      </c>
      <c r="P45" s="7" t="s">
        <v>29</v>
      </c>
      <c r="Q45" s="7" t="s">
        <v>29</v>
      </c>
      <c r="R45" s="7" t="s">
        <v>29</v>
      </c>
      <c r="S45" s="7" t="s">
        <v>29</v>
      </c>
    </row>
    <row r="46" spans="2:19">
      <c r="B46" s="7" t="s">
        <v>195</v>
      </c>
      <c r="C46" s="8" t="s">
        <v>195</v>
      </c>
      <c r="D46" s="6" t="str">
        <f>LRTRIM(CONCATENATE(IF(SUMPRODUCT(-- ISNUMBER(SEARCH({"Auto Number"}, $B46))) &gt; 0, $B46, IF(SUMPRODUCT(-- ISNUMBER(SEARCH({"Lookup","Master-Detail"}, $B46))) &gt; 0,$B46 &amp; "(" &amp; $E46 &amp; ")",IF(SUMPRODUCT(-- ISNUMBER(SEARCH({"Formula","Roll-Up Summary"}, $B46))) &gt; 0,$B46 &amp; " (" &amp; $E46 &amp; ")",IF(SUMPRODUCT(-- ISNUMBER(SEARCH({"Content","Currency","Number","Percent","Text","URL"}, $B46))) &gt; 0,$B46 &amp; "(" &amp; $C46 &amp; ")",$B46)))), "  ", TRIM(IF($S46 = "YES", "(External ID)", "") &amp; " " &amp; IF(SUMPRODUCT(-- ISNUMBER(SEARCH({"Unique","Unique Case Insensitive"}, $R46))) &gt; 0, "(" &amp; $R46 &amp; ")", ""))))</f>
        <v>na</v>
      </c>
      <c r="E46" s="7" t="s">
        <v>195</v>
      </c>
      <c r="F46" s="7" t="s">
        <v>195</v>
      </c>
      <c r="G46" s="7" t="s">
        <v>195</v>
      </c>
      <c r="H46" s="7" t="s">
        <v>195</v>
      </c>
      <c r="I46" s="7" t="s">
        <v>195</v>
      </c>
      <c r="J46" s="7" t="s">
        <v>195</v>
      </c>
      <c r="K46" s="7" t="s">
        <v>195</v>
      </c>
      <c r="L46" s="7" t="s">
        <v>195</v>
      </c>
      <c r="M46" s="7" t="s">
        <v>29</v>
      </c>
      <c r="N46" s="7" t="s">
        <v>29</v>
      </c>
      <c r="O46" s="7" t="s">
        <v>29</v>
      </c>
      <c r="P46" s="7" t="s">
        <v>29</v>
      </c>
      <c r="Q46" s="7" t="s">
        <v>29</v>
      </c>
      <c r="R46" s="7" t="s">
        <v>29</v>
      </c>
      <c r="S46" s="7" t="s">
        <v>29</v>
      </c>
    </row>
    <row r="47" spans="2:19">
      <c r="B47" s="7" t="s">
        <v>195</v>
      </c>
      <c r="C47" s="8" t="s">
        <v>195</v>
      </c>
      <c r="D47" s="6" t="str">
        <f>LRTRIM(CONCATENATE(IF(SUMPRODUCT(-- ISNUMBER(SEARCH({"Auto Number"}, $B47))) &gt; 0, $B47, IF(SUMPRODUCT(-- ISNUMBER(SEARCH({"Lookup","Master-Detail"}, $B47))) &gt; 0,$B47 &amp; "(" &amp; $E47 &amp; ")",IF(SUMPRODUCT(-- ISNUMBER(SEARCH({"Formula","Roll-Up Summary"}, $B47))) &gt; 0,$B47 &amp; " (" &amp; $E47 &amp; ")",IF(SUMPRODUCT(-- ISNUMBER(SEARCH({"Content","Currency","Number","Percent","Text","URL"}, $B47))) &gt; 0,$B47 &amp; "(" &amp; $C47 &amp; ")",$B47)))), "  ", TRIM(IF($S47 = "YES", "(External ID)", "") &amp; " " &amp; IF(SUMPRODUCT(-- ISNUMBER(SEARCH({"Unique","Unique Case Insensitive"}, $R47))) &gt; 0, "(" &amp; $R47 &amp; ")", ""))))</f>
        <v>na</v>
      </c>
      <c r="E47" s="7" t="s">
        <v>195</v>
      </c>
      <c r="F47" s="7" t="s">
        <v>195</v>
      </c>
      <c r="G47" s="7" t="s">
        <v>195</v>
      </c>
      <c r="H47" s="7" t="s">
        <v>195</v>
      </c>
      <c r="I47" s="7" t="s">
        <v>195</v>
      </c>
      <c r="J47" s="7" t="s">
        <v>195</v>
      </c>
      <c r="K47" s="7" t="s">
        <v>195</v>
      </c>
      <c r="L47" s="7" t="s">
        <v>195</v>
      </c>
      <c r="M47" s="7" t="s">
        <v>29</v>
      </c>
      <c r="N47" s="7" t="s">
        <v>29</v>
      </c>
      <c r="O47" s="7" t="s">
        <v>29</v>
      </c>
      <c r="P47" s="7" t="s">
        <v>29</v>
      </c>
      <c r="Q47" s="7" t="s">
        <v>29</v>
      </c>
      <c r="R47" s="7" t="s">
        <v>29</v>
      </c>
      <c r="S47" s="7" t="s">
        <v>29</v>
      </c>
    </row>
    <row r="48" spans="2:19">
      <c r="B48" s="7" t="s">
        <v>195</v>
      </c>
      <c r="C48" s="8" t="s">
        <v>195</v>
      </c>
      <c r="D48" s="6" t="str">
        <f>LRTRIM(CONCATENATE(IF(SUMPRODUCT(-- ISNUMBER(SEARCH({"Auto Number"}, $B48))) &gt; 0, $B48, IF(SUMPRODUCT(-- ISNUMBER(SEARCH({"Lookup","Master-Detail"}, $B48))) &gt; 0,$B48 &amp; "(" &amp; $E48 &amp; ")",IF(SUMPRODUCT(-- ISNUMBER(SEARCH({"Formula","Roll-Up Summary"}, $B48))) &gt; 0,$B48 &amp; " (" &amp; $E48 &amp; ")",IF(SUMPRODUCT(-- ISNUMBER(SEARCH({"Content","Currency","Number","Percent","Text","URL"}, $B48))) &gt; 0,$B48 &amp; "(" &amp; $C48 &amp; ")",$B48)))), "  ", TRIM(IF($S48 = "YES", "(External ID)", "") &amp; " " &amp; IF(SUMPRODUCT(-- ISNUMBER(SEARCH({"Unique","Unique Case Insensitive"}, $R48))) &gt; 0, "(" &amp; $R48 &amp; ")", ""))))</f>
        <v>na</v>
      </c>
      <c r="E48" s="7" t="s">
        <v>195</v>
      </c>
      <c r="F48" s="7" t="s">
        <v>195</v>
      </c>
      <c r="G48" s="7" t="s">
        <v>195</v>
      </c>
      <c r="H48" s="7" t="s">
        <v>195</v>
      </c>
      <c r="I48" s="7" t="s">
        <v>195</v>
      </c>
      <c r="J48" s="7" t="s">
        <v>195</v>
      </c>
      <c r="K48" s="7" t="s">
        <v>195</v>
      </c>
      <c r="L48" s="7" t="s">
        <v>195</v>
      </c>
      <c r="M48" s="7" t="s">
        <v>29</v>
      </c>
      <c r="N48" s="7" t="s">
        <v>29</v>
      </c>
      <c r="O48" s="7" t="s">
        <v>29</v>
      </c>
      <c r="P48" s="7" t="s">
        <v>29</v>
      </c>
      <c r="Q48" s="7" t="s">
        <v>29</v>
      </c>
      <c r="R48" s="7" t="s">
        <v>29</v>
      </c>
      <c r="S48" s="7" t="s">
        <v>29</v>
      </c>
    </row>
    <row r="49" spans="2:19">
      <c r="B49" s="7" t="s">
        <v>195</v>
      </c>
      <c r="C49" s="8" t="s">
        <v>195</v>
      </c>
      <c r="D49" s="6" t="str">
        <f>LRTRIM(CONCATENATE(IF(SUMPRODUCT(-- ISNUMBER(SEARCH({"Auto Number"}, $B49))) &gt; 0, $B49, IF(SUMPRODUCT(-- ISNUMBER(SEARCH({"Lookup","Master-Detail"}, $B49))) &gt; 0,$B49 &amp; "(" &amp; $E49 &amp; ")",IF(SUMPRODUCT(-- ISNUMBER(SEARCH({"Formula","Roll-Up Summary"}, $B49))) &gt; 0,$B49 &amp; " (" &amp; $E49 &amp; ")",IF(SUMPRODUCT(-- ISNUMBER(SEARCH({"Content","Currency","Number","Percent","Text","URL"}, $B49))) &gt; 0,$B49 &amp; "(" &amp; $C49 &amp; ")",$B49)))), "  ", TRIM(IF($S49 = "YES", "(External ID)", "") &amp; " " &amp; IF(SUMPRODUCT(-- ISNUMBER(SEARCH({"Unique","Unique Case Insensitive"}, $R49))) &gt; 0, "(" &amp; $R49 &amp; ")", ""))))</f>
        <v>na</v>
      </c>
      <c r="E49" s="7" t="s">
        <v>195</v>
      </c>
      <c r="F49" s="7" t="s">
        <v>195</v>
      </c>
      <c r="G49" s="7" t="s">
        <v>195</v>
      </c>
      <c r="H49" s="7" t="s">
        <v>195</v>
      </c>
      <c r="I49" s="7" t="s">
        <v>195</v>
      </c>
      <c r="J49" s="7" t="s">
        <v>195</v>
      </c>
      <c r="K49" s="7" t="s">
        <v>195</v>
      </c>
      <c r="L49" s="7" t="s">
        <v>195</v>
      </c>
      <c r="M49" s="7" t="s">
        <v>29</v>
      </c>
      <c r="N49" s="7" t="s">
        <v>29</v>
      </c>
      <c r="O49" s="7" t="s">
        <v>29</v>
      </c>
      <c r="P49" s="7" t="s">
        <v>29</v>
      </c>
      <c r="Q49" s="7" t="s">
        <v>29</v>
      </c>
      <c r="R49" s="7" t="s">
        <v>29</v>
      </c>
      <c r="S49" s="7" t="s">
        <v>29</v>
      </c>
    </row>
    <row r="50" spans="2:19">
      <c r="B50" s="7" t="s">
        <v>195</v>
      </c>
      <c r="C50" s="8" t="s">
        <v>195</v>
      </c>
      <c r="D50" s="6" t="str">
        <f>LRTRIM(CONCATENATE(IF(SUMPRODUCT(-- ISNUMBER(SEARCH({"Auto Number"}, $B50))) &gt; 0, $B50, IF(SUMPRODUCT(-- ISNUMBER(SEARCH({"Lookup","Master-Detail"}, $B50))) &gt; 0,$B50 &amp; "(" &amp; $E50 &amp; ")",IF(SUMPRODUCT(-- ISNUMBER(SEARCH({"Formula","Roll-Up Summary"}, $B50))) &gt; 0,$B50 &amp; " (" &amp; $E50 &amp; ")",IF(SUMPRODUCT(-- ISNUMBER(SEARCH({"Content","Currency","Number","Percent","Text","URL"}, $B50))) &gt; 0,$B50 &amp; "(" &amp; $C50 &amp; ")",$B50)))), "  ", TRIM(IF($S50 = "YES", "(External ID)", "") &amp; " " &amp; IF(SUMPRODUCT(-- ISNUMBER(SEARCH({"Unique","Unique Case Insensitive"}, $R50))) &gt; 0, "(" &amp; $R50 &amp; ")", ""))))</f>
        <v>na</v>
      </c>
      <c r="E50" s="7" t="s">
        <v>195</v>
      </c>
      <c r="F50" s="7" t="s">
        <v>195</v>
      </c>
      <c r="G50" s="7" t="s">
        <v>195</v>
      </c>
      <c r="H50" s="7" t="s">
        <v>195</v>
      </c>
      <c r="I50" s="7" t="s">
        <v>195</v>
      </c>
      <c r="J50" s="7" t="s">
        <v>195</v>
      </c>
      <c r="K50" s="7" t="s">
        <v>195</v>
      </c>
      <c r="L50" s="7" t="s">
        <v>195</v>
      </c>
      <c r="M50" s="7" t="s">
        <v>29</v>
      </c>
      <c r="N50" s="7" t="s">
        <v>29</v>
      </c>
      <c r="O50" s="7" t="s">
        <v>29</v>
      </c>
      <c r="P50" s="7" t="s">
        <v>29</v>
      </c>
      <c r="Q50" s="7" t="s">
        <v>29</v>
      </c>
      <c r="R50" s="7" t="s">
        <v>29</v>
      </c>
      <c r="S50" s="7" t="s">
        <v>29</v>
      </c>
    </row>
    <row r="51" spans="2:19">
      <c r="B51" s="7" t="s">
        <v>195</v>
      </c>
      <c r="C51" s="8" t="s">
        <v>195</v>
      </c>
      <c r="D51" s="6" t="str">
        <f>LRTRIM(CONCATENATE(IF(SUMPRODUCT(-- ISNUMBER(SEARCH({"Auto Number"}, $B51))) &gt; 0, $B51, IF(SUMPRODUCT(-- ISNUMBER(SEARCH({"Lookup","Master-Detail"}, $B51))) &gt; 0,$B51 &amp; "(" &amp; $E51 &amp; ")",IF(SUMPRODUCT(-- ISNUMBER(SEARCH({"Formula","Roll-Up Summary"}, $B51))) &gt; 0,$B51 &amp; " (" &amp; $E51 &amp; ")",IF(SUMPRODUCT(-- ISNUMBER(SEARCH({"Content","Currency","Number","Percent","Text","URL"}, $B51))) &gt; 0,$B51 &amp; "(" &amp; $C51 &amp; ")",$B51)))), "  ", TRIM(IF($S51 = "YES", "(External ID)", "") &amp; " " &amp; IF(SUMPRODUCT(-- ISNUMBER(SEARCH({"Unique","Unique Case Insensitive"}, $R51))) &gt; 0, "(" &amp; $R51 &amp; ")", ""))))</f>
        <v>na</v>
      </c>
      <c r="E51" s="7" t="s">
        <v>195</v>
      </c>
      <c r="F51" s="7" t="s">
        <v>195</v>
      </c>
      <c r="G51" s="7" t="s">
        <v>195</v>
      </c>
      <c r="H51" s="7" t="s">
        <v>195</v>
      </c>
      <c r="I51" s="7" t="s">
        <v>195</v>
      </c>
      <c r="J51" s="7" t="s">
        <v>195</v>
      </c>
      <c r="K51" s="7" t="s">
        <v>195</v>
      </c>
      <c r="L51" s="7" t="s">
        <v>195</v>
      </c>
      <c r="M51" s="7" t="s">
        <v>29</v>
      </c>
      <c r="N51" s="7" t="s">
        <v>29</v>
      </c>
      <c r="O51" s="7" t="s">
        <v>29</v>
      </c>
      <c r="P51" s="7" t="s">
        <v>29</v>
      </c>
      <c r="Q51" s="7" t="s">
        <v>29</v>
      </c>
      <c r="R51" s="7" t="s">
        <v>29</v>
      </c>
      <c r="S51" s="7" t="s">
        <v>29</v>
      </c>
    </row>
    <row r="52" spans="2:19">
      <c r="B52" s="7" t="s">
        <v>195</v>
      </c>
      <c r="C52" s="8" t="s">
        <v>195</v>
      </c>
      <c r="D52" s="6" t="str">
        <f>LRTRIM(CONCATENATE(IF(SUMPRODUCT(-- ISNUMBER(SEARCH({"Auto Number"}, $B52))) &gt; 0, $B52, IF(SUMPRODUCT(-- ISNUMBER(SEARCH({"Lookup","Master-Detail"}, $B52))) &gt; 0,$B52 &amp; "(" &amp; $E52 &amp; ")",IF(SUMPRODUCT(-- ISNUMBER(SEARCH({"Formula","Roll-Up Summary"}, $B52))) &gt; 0,$B52 &amp; " (" &amp; $E52 &amp; ")",IF(SUMPRODUCT(-- ISNUMBER(SEARCH({"Content","Currency","Number","Percent","Text","URL"}, $B52))) &gt; 0,$B52 &amp; "(" &amp; $C52 &amp; ")",$B52)))), "  ", TRIM(IF($S52 = "YES", "(External ID)", "") &amp; " " &amp; IF(SUMPRODUCT(-- ISNUMBER(SEARCH({"Unique","Unique Case Insensitive"}, $R52))) &gt; 0, "(" &amp; $R52 &amp; ")", ""))))</f>
        <v>na</v>
      </c>
      <c r="E52" s="7" t="s">
        <v>195</v>
      </c>
      <c r="F52" s="7" t="s">
        <v>195</v>
      </c>
      <c r="G52" s="7" t="s">
        <v>195</v>
      </c>
      <c r="H52" s="7" t="s">
        <v>195</v>
      </c>
      <c r="I52" s="7" t="s">
        <v>195</v>
      </c>
      <c r="J52" s="7" t="s">
        <v>195</v>
      </c>
      <c r="K52" s="7" t="s">
        <v>195</v>
      </c>
      <c r="L52" s="7" t="s">
        <v>195</v>
      </c>
      <c r="M52" s="7" t="s">
        <v>29</v>
      </c>
      <c r="N52" s="7" t="s">
        <v>29</v>
      </c>
      <c r="O52" s="7" t="s">
        <v>29</v>
      </c>
      <c r="P52" s="7" t="s">
        <v>29</v>
      </c>
      <c r="Q52" s="7" t="s">
        <v>29</v>
      </c>
      <c r="R52" s="7" t="s">
        <v>29</v>
      </c>
      <c r="S52" s="7" t="s">
        <v>29</v>
      </c>
    </row>
    <row r="53" spans="2:19">
      <c r="B53" s="7" t="s">
        <v>195</v>
      </c>
      <c r="C53" s="8" t="s">
        <v>195</v>
      </c>
      <c r="D53" s="6" t="str">
        <f>LRTRIM(CONCATENATE(IF(SUMPRODUCT(-- ISNUMBER(SEARCH({"Auto Number"}, $B53))) &gt; 0, $B53, IF(SUMPRODUCT(-- ISNUMBER(SEARCH({"Lookup","Master-Detail"}, $B53))) &gt; 0,$B53 &amp; "(" &amp; $E53 &amp; ")",IF(SUMPRODUCT(-- ISNUMBER(SEARCH({"Formula","Roll-Up Summary"}, $B53))) &gt; 0,$B53 &amp; " (" &amp; $E53 &amp; ")",IF(SUMPRODUCT(-- ISNUMBER(SEARCH({"Content","Currency","Number","Percent","Text","URL"}, $B53))) &gt; 0,$B53 &amp; "(" &amp; $C53 &amp; ")",$B53)))), "  ", TRIM(IF($S53 = "YES", "(External ID)", "") &amp; " " &amp; IF(SUMPRODUCT(-- ISNUMBER(SEARCH({"Unique","Unique Case Insensitive"}, $R53))) &gt; 0, "(" &amp; $R53 &amp; ")", ""))))</f>
        <v>na</v>
      </c>
      <c r="E53" s="7" t="s">
        <v>195</v>
      </c>
      <c r="F53" s="7" t="s">
        <v>195</v>
      </c>
      <c r="G53" s="7" t="s">
        <v>195</v>
      </c>
      <c r="H53" s="7" t="s">
        <v>195</v>
      </c>
      <c r="I53" s="7" t="s">
        <v>195</v>
      </c>
      <c r="J53" s="7" t="s">
        <v>195</v>
      </c>
      <c r="K53" s="7" t="s">
        <v>195</v>
      </c>
      <c r="L53" s="7" t="s">
        <v>195</v>
      </c>
      <c r="M53" s="7" t="s">
        <v>29</v>
      </c>
      <c r="N53" s="7" t="s">
        <v>29</v>
      </c>
      <c r="O53" s="7" t="s">
        <v>29</v>
      </c>
      <c r="P53" s="7" t="s">
        <v>29</v>
      </c>
      <c r="Q53" s="7" t="s">
        <v>29</v>
      </c>
      <c r="R53" s="7" t="s">
        <v>29</v>
      </c>
      <c r="S53" s="7" t="s">
        <v>29</v>
      </c>
    </row>
    <row r="54" spans="2:19">
      <c r="B54" s="7" t="s">
        <v>195</v>
      </c>
      <c r="C54" s="8" t="s">
        <v>195</v>
      </c>
      <c r="D54" s="6" t="str">
        <f>LRTRIM(CONCATENATE(IF(SUMPRODUCT(-- ISNUMBER(SEARCH({"Auto Number"}, $B54))) &gt; 0, $B54, IF(SUMPRODUCT(-- ISNUMBER(SEARCH({"Lookup","Master-Detail"}, $B54))) &gt; 0,$B54 &amp; "(" &amp; $E54 &amp; ")",IF(SUMPRODUCT(-- ISNUMBER(SEARCH({"Formula","Roll-Up Summary"}, $B54))) &gt; 0,$B54 &amp; " (" &amp; $E54 &amp; ")",IF(SUMPRODUCT(-- ISNUMBER(SEARCH({"Content","Currency","Number","Percent","Text","URL"}, $B54))) &gt; 0,$B54 &amp; "(" &amp; $C54 &amp; ")",$B54)))), "  ", TRIM(IF($S54 = "YES", "(External ID)", "") &amp; " " &amp; IF(SUMPRODUCT(-- ISNUMBER(SEARCH({"Unique","Unique Case Insensitive"}, $R54))) &gt; 0, "(" &amp; $R54 &amp; ")", ""))))</f>
        <v>na</v>
      </c>
      <c r="E54" s="7" t="s">
        <v>195</v>
      </c>
      <c r="F54" s="7" t="s">
        <v>195</v>
      </c>
      <c r="G54" s="7" t="s">
        <v>195</v>
      </c>
      <c r="H54" s="7" t="s">
        <v>195</v>
      </c>
      <c r="I54" s="7" t="s">
        <v>195</v>
      </c>
      <c r="J54" s="7" t="s">
        <v>195</v>
      </c>
      <c r="K54" s="7" t="s">
        <v>195</v>
      </c>
      <c r="L54" s="7" t="s">
        <v>195</v>
      </c>
      <c r="M54" s="7" t="s">
        <v>29</v>
      </c>
      <c r="N54" s="7" t="s">
        <v>29</v>
      </c>
      <c r="O54" s="7" t="s">
        <v>29</v>
      </c>
      <c r="P54" s="7" t="s">
        <v>29</v>
      </c>
      <c r="Q54" s="7" t="s">
        <v>29</v>
      </c>
      <c r="R54" s="7" t="s">
        <v>29</v>
      </c>
      <c r="S54" s="7" t="s">
        <v>29</v>
      </c>
    </row>
    <row r="55" spans="2:19">
      <c r="B55" s="7" t="s">
        <v>195</v>
      </c>
      <c r="C55" s="8" t="s">
        <v>195</v>
      </c>
      <c r="D55" s="6" t="str">
        <f>LRTRIM(CONCATENATE(IF(SUMPRODUCT(-- ISNUMBER(SEARCH({"Auto Number"}, $B55))) &gt; 0, $B55, IF(SUMPRODUCT(-- ISNUMBER(SEARCH({"Lookup","Master-Detail"}, $B55))) &gt; 0,$B55 &amp; "(" &amp; $E55 &amp; ")",IF(SUMPRODUCT(-- ISNUMBER(SEARCH({"Formula","Roll-Up Summary"}, $B55))) &gt; 0,$B55 &amp; " (" &amp; $E55 &amp; ")",IF(SUMPRODUCT(-- ISNUMBER(SEARCH({"Content","Currency","Number","Percent","Text","URL"}, $B55))) &gt; 0,$B55 &amp; "(" &amp; $C55 &amp; ")",$B55)))), "  ", TRIM(IF($S55 = "YES", "(External ID)", "") &amp; " " &amp; IF(SUMPRODUCT(-- ISNUMBER(SEARCH({"Unique","Unique Case Insensitive"}, $R55))) &gt; 0, "(" &amp; $R55 &amp; ")", ""))))</f>
        <v>na</v>
      </c>
      <c r="E55" s="7" t="s">
        <v>195</v>
      </c>
      <c r="F55" s="7" t="s">
        <v>195</v>
      </c>
      <c r="G55" s="7" t="s">
        <v>195</v>
      </c>
      <c r="H55" s="7" t="s">
        <v>195</v>
      </c>
      <c r="I55" s="7" t="s">
        <v>195</v>
      </c>
      <c r="J55" s="7" t="s">
        <v>195</v>
      </c>
      <c r="K55" s="7" t="s">
        <v>195</v>
      </c>
      <c r="L55" s="7" t="s">
        <v>195</v>
      </c>
      <c r="M55" s="7" t="s">
        <v>29</v>
      </c>
      <c r="N55" s="7" t="s">
        <v>29</v>
      </c>
      <c r="O55" s="7" t="s">
        <v>29</v>
      </c>
      <c r="P55" s="7" t="s">
        <v>29</v>
      </c>
      <c r="Q55" s="7" t="s">
        <v>29</v>
      </c>
      <c r="R55" s="7" t="s">
        <v>29</v>
      </c>
      <c r="S55" s="7" t="s">
        <v>29</v>
      </c>
    </row>
    <row r="56" spans="2:19">
      <c r="B56" s="7" t="s">
        <v>195</v>
      </c>
      <c r="C56" s="8" t="s">
        <v>195</v>
      </c>
      <c r="D56" s="6" t="str">
        <f>LRTRIM(CONCATENATE(IF(SUMPRODUCT(-- ISNUMBER(SEARCH({"Auto Number"}, $B56))) &gt; 0, $B56, IF(SUMPRODUCT(-- ISNUMBER(SEARCH({"Lookup","Master-Detail"}, $B56))) &gt; 0,$B56 &amp; "(" &amp; $E56 &amp; ")",IF(SUMPRODUCT(-- ISNUMBER(SEARCH({"Formula","Roll-Up Summary"}, $B56))) &gt; 0,$B56 &amp; " (" &amp; $E56 &amp; ")",IF(SUMPRODUCT(-- ISNUMBER(SEARCH({"Content","Currency","Number","Percent","Text","URL"}, $B56))) &gt; 0,$B56 &amp; "(" &amp; $C56 &amp; ")",$B56)))), "  ", TRIM(IF($S56 = "YES", "(External ID)", "") &amp; " " &amp; IF(SUMPRODUCT(-- ISNUMBER(SEARCH({"Unique","Unique Case Insensitive"}, $R56))) &gt; 0, "(" &amp; $R56 &amp; ")", ""))))</f>
        <v>na</v>
      </c>
      <c r="E56" s="7" t="s">
        <v>195</v>
      </c>
      <c r="F56" s="7" t="s">
        <v>195</v>
      </c>
      <c r="G56" s="7" t="s">
        <v>195</v>
      </c>
      <c r="H56" s="7" t="s">
        <v>195</v>
      </c>
      <c r="I56" s="7" t="s">
        <v>195</v>
      </c>
      <c r="J56" s="7" t="s">
        <v>195</v>
      </c>
      <c r="K56" s="7" t="s">
        <v>195</v>
      </c>
      <c r="L56" s="7" t="s">
        <v>195</v>
      </c>
      <c r="M56" s="7" t="s">
        <v>29</v>
      </c>
      <c r="N56" s="7" t="s">
        <v>29</v>
      </c>
      <c r="O56" s="7" t="s">
        <v>29</v>
      </c>
      <c r="P56" s="7" t="s">
        <v>29</v>
      </c>
      <c r="Q56" s="7" t="s">
        <v>29</v>
      </c>
      <c r="R56" s="7" t="s">
        <v>29</v>
      </c>
      <c r="S56" s="7" t="s">
        <v>29</v>
      </c>
    </row>
    <row r="57" spans="2:19">
      <c r="B57" s="7" t="s">
        <v>195</v>
      </c>
      <c r="C57" s="8" t="s">
        <v>195</v>
      </c>
      <c r="D57" s="6" t="str">
        <f>LRTRIM(CONCATENATE(IF(SUMPRODUCT(-- ISNUMBER(SEARCH({"Auto Number"}, $B57))) &gt; 0, $B57, IF(SUMPRODUCT(-- ISNUMBER(SEARCH({"Lookup","Master-Detail"}, $B57))) &gt; 0,$B57 &amp; "(" &amp; $E57 &amp; ")",IF(SUMPRODUCT(-- ISNUMBER(SEARCH({"Formula","Roll-Up Summary"}, $B57))) &gt; 0,$B57 &amp; " (" &amp; $E57 &amp; ")",IF(SUMPRODUCT(-- ISNUMBER(SEARCH({"Content","Currency","Number","Percent","Text","URL"}, $B57))) &gt; 0,$B57 &amp; "(" &amp; $C57 &amp; ")",$B57)))), "  ", TRIM(IF($S57 = "YES", "(External ID)", "") &amp; " " &amp; IF(SUMPRODUCT(-- ISNUMBER(SEARCH({"Unique","Unique Case Insensitive"}, $R57))) &gt; 0, "(" &amp; $R57 &amp; ")", ""))))</f>
        <v>na</v>
      </c>
      <c r="E57" s="7" t="s">
        <v>195</v>
      </c>
      <c r="F57" s="7" t="s">
        <v>195</v>
      </c>
      <c r="G57" s="7" t="s">
        <v>195</v>
      </c>
      <c r="H57" s="7" t="s">
        <v>195</v>
      </c>
      <c r="I57" s="7" t="s">
        <v>195</v>
      </c>
      <c r="J57" s="7" t="s">
        <v>195</v>
      </c>
      <c r="K57" s="7" t="s">
        <v>195</v>
      </c>
      <c r="L57" s="7" t="s">
        <v>195</v>
      </c>
      <c r="M57" s="7" t="s">
        <v>29</v>
      </c>
      <c r="N57" s="7" t="s">
        <v>29</v>
      </c>
      <c r="O57" s="7" t="s">
        <v>29</v>
      </c>
      <c r="P57" s="7" t="s">
        <v>29</v>
      </c>
      <c r="Q57" s="7" t="s">
        <v>29</v>
      </c>
      <c r="R57" s="7" t="s">
        <v>29</v>
      </c>
      <c r="S57" s="7" t="s">
        <v>29</v>
      </c>
    </row>
    <row r="58" spans="2:19">
      <c r="B58" s="7" t="s">
        <v>195</v>
      </c>
      <c r="C58" s="8" t="s">
        <v>195</v>
      </c>
      <c r="D58" s="6" t="str">
        <f>LRTRIM(CONCATENATE(IF(SUMPRODUCT(-- ISNUMBER(SEARCH({"Auto Number"}, $B58))) &gt; 0, $B58, IF(SUMPRODUCT(-- ISNUMBER(SEARCH({"Lookup","Master-Detail"}, $B58))) &gt; 0,$B58 &amp; "(" &amp; $E58 &amp; ")",IF(SUMPRODUCT(-- ISNUMBER(SEARCH({"Formula","Roll-Up Summary"}, $B58))) &gt; 0,$B58 &amp; " (" &amp; $E58 &amp; ")",IF(SUMPRODUCT(-- ISNUMBER(SEARCH({"Content","Currency","Number","Percent","Text","URL"}, $B58))) &gt; 0,$B58 &amp; "(" &amp; $C58 &amp; ")",$B58)))), "  ", TRIM(IF($S58 = "YES", "(External ID)", "") &amp; " " &amp; IF(SUMPRODUCT(-- ISNUMBER(SEARCH({"Unique","Unique Case Insensitive"}, $R58))) &gt; 0, "(" &amp; $R58 &amp; ")", ""))))</f>
        <v>na</v>
      </c>
      <c r="E58" s="7" t="s">
        <v>195</v>
      </c>
      <c r="F58" s="7" t="s">
        <v>195</v>
      </c>
      <c r="G58" s="7" t="s">
        <v>195</v>
      </c>
      <c r="H58" s="7" t="s">
        <v>195</v>
      </c>
      <c r="I58" s="7" t="s">
        <v>195</v>
      </c>
      <c r="J58" s="7" t="s">
        <v>195</v>
      </c>
      <c r="K58" s="7" t="s">
        <v>195</v>
      </c>
      <c r="L58" s="7" t="s">
        <v>195</v>
      </c>
      <c r="M58" s="7" t="s">
        <v>29</v>
      </c>
      <c r="N58" s="7" t="s">
        <v>29</v>
      </c>
      <c r="O58" s="7" t="s">
        <v>29</v>
      </c>
      <c r="P58" s="7" t="s">
        <v>29</v>
      </c>
      <c r="Q58" s="7" t="s">
        <v>29</v>
      </c>
      <c r="R58" s="7" t="s">
        <v>29</v>
      </c>
      <c r="S58" s="7" t="s">
        <v>29</v>
      </c>
    </row>
    <row r="59" spans="2:19">
      <c r="B59" s="7" t="s">
        <v>195</v>
      </c>
      <c r="C59" s="8" t="s">
        <v>195</v>
      </c>
      <c r="D59" s="6" t="str">
        <f>LRTRIM(CONCATENATE(IF(SUMPRODUCT(-- ISNUMBER(SEARCH({"Auto Number"}, $B59))) &gt; 0, $B59, IF(SUMPRODUCT(-- ISNUMBER(SEARCH({"Lookup","Master-Detail"}, $B59))) &gt; 0,$B59 &amp; "(" &amp; $E59 &amp; ")",IF(SUMPRODUCT(-- ISNUMBER(SEARCH({"Formula","Roll-Up Summary"}, $B59))) &gt; 0,$B59 &amp; " (" &amp; $E59 &amp; ")",IF(SUMPRODUCT(-- ISNUMBER(SEARCH({"Content","Currency","Number","Percent","Text","URL"}, $B59))) &gt; 0,$B59 &amp; "(" &amp; $C59 &amp; ")",$B59)))), "  ", TRIM(IF($S59 = "YES", "(External ID)", "") &amp; " " &amp; IF(SUMPRODUCT(-- ISNUMBER(SEARCH({"Unique","Unique Case Insensitive"}, $R59))) &gt; 0, "(" &amp; $R59 &amp; ")", ""))))</f>
        <v>na</v>
      </c>
      <c r="E59" s="7" t="s">
        <v>195</v>
      </c>
      <c r="F59" s="7" t="s">
        <v>195</v>
      </c>
      <c r="G59" s="7" t="s">
        <v>195</v>
      </c>
      <c r="H59" s="7" t="s">
        <v>195</v>
      </c>
      <c r="I59" s="7" t="s">
        <v>195</v>
      </c>
      <c r="J59" s="7" t="s">
        <v>195</v>
      </c>
      <c r="K59" s="7" t="s">
        <v>195</v>
      </c>
      <c r="L59" s="7" t="s">
        <v>195</v>
      </c>
      <c r="M59" s="7" t="s">
        <v>29</v>
      </c>
      <c r="N59" s="7" t="s">
        <v>29</v>
      </c>
      <c r="O59" s="7" t="s">
        <v>29</v>
      </c>
      <c r="P59" s="7" t="s">
        <v>29</v>
      </c>
      <c r="Q59" s="7" t="s">
        <v>29</v>
      </c>
      <c r="R59" s="7" t="s">
        <v>29</v>
      </c>
      <c r="S59" s="7" t="s">
        <v>29</v>
      </c>
    </row>
    <row r="60" spans="2:19">
      <c r="B60" s="7" t="s">
        <v>195</v>
      </c>
      <c r="C60" s="8" t="s">
        <v>195</v>
      </c>
      <c r="D60" s="6" t="str">
        <f>LRTRIM(CONCATENATE(IF(SUMPRODUCT(-- ISNUMBER(SEARCH({"Auto Number"}, $B60))) &gt; 0, $B60, IF(SUMPRODUCT(-- ISNUMBER(SEARCH({"Lookup","Master-Detail"}, $B60))) &gt; 0,$B60 &amp; "(" &amp; $E60 &amp; ")",IF(SUMPRODUCT(-- ISNUMBER(SEARCH({"Formula","Roll-Up Summary"}, $B60))) &gt; 0,$B60 &amp; " (" &amp; $E60 &amp; ")",IF(SUMPRODUCT(-- ISNUMBER(SEARCH({"Content","Currency","Number","Percent","Text","URL"}, $B60))) &gt; 0,$B60 &amp; "(" &amp; $C60 &amp; ")",$B60)))), "  ", TRIM(IF($S60 = "YES", "(External ID)", "") &amp; " " &amp; IF(SUMPRODUCT(-- ISNUMBER(SEARCH({"Unique","Unique Case Insensitive"}, $R60))) &gt; 0, "(" &amp; $R60 &amp; ")", ""))))</f>
        <v>na</v>
      </c>
      <c r="E60" s="7" t="s">
        <v>195</v>
      </c>
      <c r="F60" s="7" t="s">
        <v>195</v>
      </c>
      <c r="G60" s="7" t="s">
        <v>195</v>
      </c>
      <c r="H60" s="7" t="s">
        <v>195</v>
      </c>
      <c r="I60" s="7" t="s">
        <v>195</v>
      </c>
      <c r="J60" s="7" t="s">
        <v>195</v>
      </c>
      <c r="K60" s="7" t="s">
        <v>195</v>
      </c>
      <c r="L60" s="7" t="s">
        <v>195</v>
      </c>
      <c r="M60" s="7" t="s">
        <v>29</v>
      </c>
      <c r="N60" s="7" t="s">
        <v>29</v>
      </c>
      <c r="O60" s="7" t="s">
        <v>29</v>
      </c>
      <c r="P60" s="7" t="s">
        <v>29</v>
      </c>
      <c r="Q60" s="7" t="s">
        <v>29</v>
      </c>
      <c r="R60" s="7" t="s">
        <v>29</v>
      </c>
      <c r="S60" s="7" t="s">
        <v>29</v>
      </c>
    </row>
    <row r="61" spans="2:19">
      <c r="B61" s="7" t="s">
        <v>195</v>
      </c>
      <c r="C61" s="8" t="s">
        <v>195</v>
      </c>
      <c r="D61" s="6" t="str">
        <f>LRTRIM(CONCATENATE(IF(SUMPRODUCT(-- ISNUMBER(SEARCH({"Auto Number"}, $B61))) &gt; 0, $B61, IF(SUMPRODUCT(-- ISNUMBER(SEARCH({"Lookup","Master-Detail"}, $B61))) &gt; 0,$B61 &amp; "(" &amp; $E61 &amp; ")",IF(SUMPRODUCT(-- ISNUMBER(SEARCH({"Formula","Roll-Up Summary"}, $B61))) &gt; 0,$B61 &amp; " (" &amp; $E61 &amp; ")",IF(SUMPRODUCT(-- ISNUMBER(SEARCH({"Content","Currency","Number","Percent","Text","URL"}, $B61))) &gt; 0,$B61 &amp; "(" &amp; $C61 &amp; ")",$B61)))), "  ", TRIM(IF($S61 = "YES", "(External ID)", "") &amp; " " &amp; IF(SUMPRODUCT(-- ISNUMBER(SEARCH({"Unique","Unique Case Insensitive"}, $R61))) &gt; 0, "(" &amp; $R61 &amp; ")", ""))))</f>
        <v>na</v>
      </c>
      <c r="E61" s="7" t="s">
        <v>195</v>
      </c>
      <c r="F61" s="7" t="s">
        <v>195</v>
      </c>
      <c r="G61" s="7" t="s">
        <v>195</v>
      </c>
      <c r="H61" s="7" t="s">
        <v>195</v>
      </c>
      <c r="I61" s="7" t="s">
        <v>195</v>
      </c>
      <c r="J61" s="7" t="s">
        <v>195</v>
      </c>
      <c r="K61" s="7" t="s">
        <v>195</v>
      </c>
      <c r="L61" s="7" t="s">
        <v>195</v>
      </c>
      <c r="M61" s="7" t="s">
        <v>29</v>
      </c>
      <c r="N61" s="7" t="s">
        <v>29</v>
      </c>
      <c r="O61" s="7" t="s">
        <v>29</v>
      </c>
      <c r="P61" s="7" t="s">
        <v>29</v>
      </c>
      <c r="Q61" s="7" t="s">
        <v>29</v>
      </c>
      <c r="R61" s="7" t="s">
        <v>29</v>
      </c>
      <c r="S61" s="7" t="s">
        <v>29</v>
      </c>
    </row>
    <row r="62" spans="2:19">
      <c r="B62" s="7" t="s">
        <v>195</v>
      </c>
      <c r="C62" s="8" t="s">
        <v>195</v>
      </c>
      <c r="D62" s="6" t="str">
        <f>LRTRIM(CONCATENATE(IF(SUMPRODUCT(-- ISNUMBER(SEARCH({"Auto Number"}, $B62))) &gt; 0, $B62, IF(SUMPRODUCT(-- ISNUMBER(SEARCH({"Lookup","Master-Detail"}, $B62))) &gt; 0,$B62 &amp; "(" &amp; $E62 &amp; ")",IF(SUMPRODUCT(-- ISNUMBER(SEARCH({"Formula","Roll-Up Summary"}, $B62))) &gt; 0,$B62 &amp; " (" &amp; $E62 &amp; ")",IF(SUMPRODUCT(-- ISNUMBER(SEARCH({"Content","Currency","Number","Percent","Text","URL"}, $B62))) &gt; 0,$B62 &amp; "(" &amp; $C62 &amp; ")",$B62)))), "  ", TRIM(IF($S62 = "YES", "(External ID)", "") &amp; " " &amp; IF(SUMPRODUCT(-- ISNUMBER(SEARCH({"Unique","Unique Case Insensitive"}, $R62))) &gt; 0, "(" &amp; $R62 &amp; ")", ""))))</f>
        <v>na</v>
      </c>
      <c r="E62" s="7" t="s">
        <v>195</v>
      </c>
      <c r="F62" s="7" t="s">
        <v>195</v>
      </c>
      <c r="G62" s="7" t="s">
        <v>195</v>
      </c>
      <c r="H62" s="7" t="s">
        <v>195</v>
      </c>
      <c r="I62" s="7" t="s">
        <v>195</v>
      </c>
      <c r="J62" s="7" t="s">
        <v>195</v>
      </c>
      <c r="K62" s="7" t="s">
        <v>195</v>
      </c>
      <c r="L62" s="7" t="s">
        <v>195</v>
      </c>
      <c r="M62" s="7" t="s">
        <v>29</v>
      </c>
      <c r="N62" s="7" t="s">
        <v>29</v>
      </c>
      <c r="O62" s="7" t="s">
        <v>29</v>
      </c>
      <c r="P62" s="7" t="s">
        <v>29</v>
      </c>
      <c r="Q62" s="7" t="s">
        <v>29</v>
      </c>
      <c r="R62" s="7" t="s">
        <v>29</v>
      </c>
      <c r="S62" s="7" t="s">
        <v>29</v>
      </c>
    </row>
    <row r="63" spans="2:19">
      <c r="B63" s="7" t="s">
        <v>195</v>
      </c>
      <c r="C63" s="8" t="s">
        <v>195</v>
      </c>
      <c r="D63" s="6" t="str">
        <f>LRTRIM(CONCATENATE(IF(SUMPRODUCT(-- ISNUMBER(SEARCH({"Auto Number"}, $B63))) &gt; 0, $B63, IF(SUMPRODUCT(-- ISNUMBER(SEARCH({"Lookup","Master-Detail"}, $B63))) &gt; 0,$B63 &amp; "(" &amp; $E63 &amp; ")",IF(SUMPRODUCT(-- ISNUMBER(SEARCH({"Formula","Roll-Up Summary"}, $B63))) &gt; 0,$B63 &amp; " (" &amp; $E63 &amp; ")",IF(SUMPRODUCT(-- ISNUMBER(SEARCH({"Content","Currency","Number","Percent","Text","URL"}, $B63))) &gt; 0,$B63 &amp; "(" &amp; $C63 &amp; ")",$B63)))), "  ", TRIM(IF($S63 = "YES", "(External ID)", "") &amp; " " &amp; IF(SUMPRODUCT(-- ISNUMBER(SEARCH({"Unique","Unique Case Insensitive"}, $R63))) &gt; 0, "(" &amp; $R63 &amp; ")", ""))))</f>
        <v>na</v>
      </c>
      <c r="E63" s="7" t="s">
        <v>195</v>
      </c>
      <c r="F63" s="7" t="s">
        <v>195</v>
      </c>
      <c r="G63" s="7" t="s">
        <v>195</v>
      </c>
      <c r="H63" s="7" t="s">
        <v>195</v>
      </c>
      <c r="I63" s="7" t="s">
        <v>195</v>
      </c>
      <c r="J63" s="7" t="s">
        <v>195</v>
      </c>
      <c r="K63" s="7" t="s">
        <v>195</v>
      </c>
      <c r="L63" s="7" t="s">
        <v>195</v>
      </c>
      <c r="M63" s="7" t="s">
        <v>29</v>
      </c>
      <c r="N63" s="7" t="s">
        <v>29</v>
      </c>
      <c r="O63" s="7" t="s">
        <v>29</v>
      </c>
      <c r="P63" s="7" t="s">
        <v>29</v>
      </c>
      <c r="Q63" s="7" t="s">
        <v>29</v>
      </c>
      <c r="R63" s="7" t="s">
        <v>29</v>
      </c>
      <c r="S63" s="7" t="s">
        <v>29</v>
      </c>
    </row>
    <row r="64" spans="2:19">
      <c r="B64" s="7" t="s">
        <v>195</v>
      </c>
      <c r="C64" s="8" t="s">
        <v>195</v>
      </c>
      <c r="D64" s="6" t="str">
        <f>LRTRIM(CONCATENATE(IF(SUMPRODUCT(-- ISNUMBER(SEARCH({"Auto Number"}, $B64))) &gt; 0, $B64, IF(SUMPRODUCT(-- ISNUMBER(SEARCH({"Lookup","Master-Detail"}, $B64))) &gt; 0,$B64 &amp; "(" &amp; $E64 &amp; ")",IF(SUMPRODUCT(-- ISNUMBER(SEARCH({"Formula","Roll-Up Summary"}, $B64))) &gt; 0,$B64 &amp; " (" &amp; $E64 &amp; ")",IF(SUMPRODUCT(-- ISNUMBER(SEARCH({"Content","Currency","Number","Percent","Text","URL"}, $B64))) &gt; 0,$B64 &amp; "(" &amp; $C64 &amp; ")",$B64)))), "  ", TRIM(IF($S64 = "YES", "(External ID)", "") &amp; " " &amp; IF(SUMPRODUCT(-- ISNUMBER(SEARCH({"Unique","Unique Case Insensitive"}, $R64))) &gt; 0, "(" &amp; $R64 &amp; ")", ""))))</f>
        <v>na</v>
      </c>
      <c r="E64" s="7" t="s">
        <v>195</v>
      </c>
      <c r="F64" s="7" t="s">
        <v>195</v>
      </c>
      <c r="G64" s="7" t="s">
        <v>195</v>
      </c>
      <c r="H64" s="7" t="s">
        <v>195</v>
      </c>
      <c r="I64" s="7" t="s">
        <v>195</v>
      </c>
      <c r="J64" s="7" t="s">
        <v>195</v>
      </c>
      <c r="K64" s="7" t="s">
        <v>195</v>
      </c>
      <c r="L64" s="7" t="s">
        <v>195</v>
      </c>
      <c r="M64" s="7" t="s">
        <v>29</v>
      </c>
      <c r="N64" s="7" t="s">
        <v>29</v>
      </c>
      <c r="O64" s="7" t="s">
        <v>29</v>
      </c>
      <c r="P64" s="7" t="s">
        <v>29</v>
      </c>
      <c r="Q64" s="7" t="s">
        <v>29</v>
      </c>
      <c r="R64" s="7" t="s">
        <v>29</v>
      </c>
      <c r="S64" s="7" t="s">
        <v>29</v>
      </c>
    </row>
    <row r="65" spans="2:19">
      <c r="B65" s="7" t="s">
        <v>195</v>
      </c>
      <c r="C65" s="8" t="s">
        <v>195</v>
      </c>
      <c r="D65" s="6" t="str">
        <f>LRTRIM(CONCATENATE(IF(SUMPRODUCT(-- ISNUMBER(SEARCH({"Auto Number"}, $B65))) &gt; 0, $B65, IF(SUMPRODUCT(-- ISNUMBER(SEARCH({"Lookup","Master-Detail"}, $B65))) &gt; 0,$B65 &amp; "(" &amp; $E65 &amp; ")",IF(SUMPRODUCT(-- ISNUMBER(SEARCH({"Formula","Roll-Up Summary"}, $B65))) &gt; 0,$B65 &amp; " (" &amp; $E65 &amp; ")",IF(SUMPRODUCT(-- ISNUMBER(SEARCH({"Content","Currency","Number","Percent","Text","URL"}, $B65))) &gt; 0,$B65 &amp; "(" &amp; $C65 &amp; ")",$B65)))), "  ", TRIM(IF($S65 = "YES", "(External ID)", "") &amp; " " &amp; IF(SUMPRODUCT(-- ISNUMBER(SEARCH({"Unique","Unique Case Insensitive"}, $R65))) &gt; 0, "(" &amp; $R65 &amp; ")", ""))))</f>
        <v>na</v>
      </c>
      <c r="E65" s="7" t="s">
        <v>195</v>
      </c>
      <c r="F65" s="7" t="s">
        <v>195</v>
      </c>
      <c r="G65" s="7" t="s">
        <v>195</v>
      </c>
      <c r="H65" s="7" t="s">
        <v>195</v>
      </c>
      <c r="I65" s="7" t="s">
        <v>195</v>
      </c>
      <c r="J65" s="7" t="s">
        <v>195</v>
      </c>
      <c r="K65" s="7" t="s">
        <v>195</v>
      </c>
      <c r="L65" s="7" t="s">
        <v>195</v>
      </c>
      <c r="M65" s="7" t="s">
        <v>29</v>
      </c>
      <c r="N65" s="7" t="s">
        <v>29</v>
      </c>
      <c r="O65" s="7" t="s">
        <v>29</v>
      </c>
      <c r="P65" s="7" t="s">
        <v>29</v>
      </c>
      <c r="Q65" s="7" t="s">
        <v>29</v>
      </c>
      <c r="R65" s="7" t="s">
        <v>29</v>
      </c>
      <c r="S65" s="7" t="s">
        <v>29</v>
      </c>
    </row>
    <row r="66" spans="2:19">
      <c r="B66" s="7" t="s">
        <v>195</v>
      </c>
      <c r="C66" s="8" t="s">
        <v>195</v>
      </c>
      <c r="D66" s="6" t="str">
        <f>LRTRIM(CONCATENATE(IF(SUMPRODUCT(-- ISNUMBER(SEARCH({"Auto Number"}, $B66))) &gt; 0, $B66, IF(SUMPRODUCT(-- ISNUMBER(SEARCH({"Lookup","Master-Detail"}, $B66))) &gt; 0,$B66 &amp; "(" &amp; $E66 &amp; ")",IF(SUMPRODUCT(-- ISNUMBER(SEARCH({"Formula","Roll-Up Summary"}, $B66))) &gt; 0,$B66 &amp; " (" &amp; $E66 &amp; ")",IF(SUMPRODUCT(-- ISNUMBER(SEARCH({"Content","Currency","Number","Percent","Text","URL"}, $B66))) &gt; 0,$B66 &amp; "(" &amp; $C66 &amp; ")",$B66)))), "  ", TRIM(IF($S66 = "YES", "(External ID)", "") &amp; " " &amp; IF(SUMPRODUCT(-- ISNUMBER(SEARCH({"Unique","Unique Case Insensitive"}, $R66))) &gt; 0, "(" &amp; $R66 &amp; ")", ""))))</f>
        <v>na</v>
      </c>
      <c r="E66" s="7" t="s">
        <v>195</v>
      </c>
      <c r="F66" s="7" t="s">
        <v>195</v>
      </c>
      <c r="G66" s="7" t="s">
        <v>195</v>
      </c>
      <c r="H66" s="7" t="s">
        <v>195</v>
      </c>
      <c r="I66" s="7" t="s">
        <v>195</v>
      </c>
      <c r="J66" s="7" t="s">
        <v>195</v>
      </c>
      <c r="K66" s="7" t="s">
        <v>195</v>
      </c>
      <c r="L66" s="7" t="s">
        <v>195</v>
      </c>
      <c r="M66" s="7" t="s">
        <v>29</v>
      </c>
      <c r="N66" s="7" t="s">
        <v>29</v>
      </c>
      <c r="O66" s="7" t="s">
        <v>29</v>
      </c>
      <c r="P66" s="7" t="s">
        <v>29</v>
      </c>
      <c r="Q66" s="7" t="s">
        <v>29</v>
      </c>
      <c r="R66" s="7" t="s">
        <v>29</v>
      </c>
      <c r="S66" s="7" t="s">
        <v>29</v>
      </c>
    </row>
    <row r="67" spans="2:19">
      <c r="B67" s="7" t="s">
        <v>195</v>
      </c>
      <c r="C67" s="8" t="s">
        <v>195</v>
      </c>
      <c r="D67" s="6" t="str">
        <f>LRTRIM(CONCATENATE(IF(SUMPRODUCT(-- ISNUMBER(SEARCH({"Auto Number"}, $B67))) &gt; 0, $B67, IF(SUMPRODUCT(-- ISNUMBER(SEARCH({"Lookup","Master-Detail"}, $B67))) &gt; 0,$B67 &amp; "(" &amp; $E67 &amp; ")",IF(SUMPRODUCT(-- ISNUMBER(SEARCH({"Formula","Roll-Up Summary"}, $B67))) &gt; 0,$B67 &amp; " (" &amp; $E67 &amp; ")",IF(SUMPRODUCT(-- ISNUMBER(SEARCH({"Content","Currency","Number","Percent","Text","URL"}, $B67))) &gt; 0,$B67 &amp; "(" &amp; $C67 &amp; ")",$B67)))), "  ", TRIM(IF($S67 = "YES", "(External ID)", "") &amp; " " &amp; IF(SUMPRODUCT(-- ISNUMBER(SEARCH({"Unique","Unique Case Insensitive"}, $R67))) &gt; 0, "(" &amp; $R67 &amp; ")", ""))))</f>
        <v>na</v>
      </c>
      <c r="E67" s="7" t="s">
        <v>195</v>
      </c>
      <c r="F67" s="7" t="s">
        <v>195</v>
      </c>
      <c r="G67" s="7" t="s">
        <v>195</v>
      </c>
      <c r="H67" s="7" t="s">
        <v>195</v>
      </c>
      <c r="I67" s="7" t="s">
        <v>195</v>
      </c>
      <c r="J67" s="7" t="s">
        <v>195</v>
      </c>
      <c r="K67" s="7" t="s">
        <v>195</v>
      </c>
      <c r="L67" s="7" t="s">
        <v>195</v>
      </c>
      <c r="M67" s="7" t="s">
        <v>29</v>
      </c>
      <c r="N67" s="7" t="s">
        <v>29</v>
      </c>
      <c r="O67" s="7" t="s">
        <v>29</v>
      </c>
      <c r="P67" s="7" t="s">
        <v>29</v>
      </c>
      <c r="Q67" s="7" t="s">
        <v>29</v>
      </c>
      <c r="R67" s="7" t="s">
        <v>29</v>
      </c>
      <c r="S67" s="7" t="s">
        <v>29</v>
      </c>
    </row>
    <row r="68" spans="2:19">
      <c r="B68" s="7" t="s">
        <v>195</v>
      </c>
      <c r="C68" s="8" t="s">
        <v>195</v>
      </c>
      <c r="D68" s="6" t="str">
        <f>LRTRIM(CONCATENATE(IF(SUMPRODUCT(-- ISNUMBER(SEARCH({"Auto Number"}, $B68))) &gt; 0, $B68, IF(SUMPRODUCT(-- ISNUMBER(SEARCH({"Lookup","Master-Detail"}, $B68))) &gt; 0,$B68 &amp; "(" &amp; $E68 &amp; ")",IF(SUMPRODUCT(-- ISNUMBER(SEARCH({"Formula","Roll-Up Summary"}, $B68))) &gt; 0,$B68 &amp; " (" &amp; $E68 &amp; ")",IF(SUMPRODUCT(-- ISNUMBER(SEARCH({"Content","Currency","Number","Percent","Text","URL"}, $B68))) &gt; 0,$B68 &amp; "(" &amp; $C68 &amp; ")",$B68)))), "  ", TRIM(IF($S68 = "YES", "(External ID)", "") &amp; " " &amp; IF(SUMPRODUCT(-- ISNUMBER(SEARCH({"Unique","Unique Case Insensitive"}, $R68))) &gt; 0, "(" &amp; $R68 &amp; ")", ""))))</f>
        <v>na</v>
      </c>
      <c r="E68" s="7" t="s">
        <v>195</v>
      </c>
      <c r="F68" s="7" t="s">
        <v>195</v>
      </c>
      <c r="G68" s="7" t="s">
        <v>195</v>
      </c>
      <c r="H68" s="7" t="s">
        <v>195</v>
      </c>
      <c r="I68" s="7" t="s">
        <v>195</v>
      </c>
      <c r="J68" s="7" t="s">
        <v>195</v>
      </c>
      <c r="K68" s="7" t="s">
        <v>195</v>
      </c>
      <c r="L68" s="7" t="s">
        <v>195</v>
      </c>
      <c r="M68" s="7" t="s">
        <v>29</v>
      </c>
      <c r="N68" s="7" t="s">
        <v>29</v>
      </c>
      <c r="O68" s="7" t="s">
        <v>29</v>
      </c>
      <c r="P68" s="7" t="s">
        <v>29</v>
      </c>
      <c r="Q68" s="7" t="s">
        <v>29</v>
      </c>
      <c r="R68" s="7" t="s">
        <v>29</v>
      </c>
      <c r="S68" s="7" t="s">
        <v>29</v>
      </c>
    </row>
    <row r="69" spans="2:19">
      <c r="B69" s="7" t="s">
        <v>195</v>
      </c>
      <c r="C69" s="8" t="s">
        <v>195</v>
      </c>
      <c r="D69" s="6" t="str">
        <f>LRTRIM(CONCATENATE(IF(SUMPRODUCT(-- ISNUMBER(SEARCH({"Auto Number"}, $B69))) &gt; 0, $B69, IF(SUMPRODUCT(-- ISNUMBER(SEARCH({"Lookup","Master-Detail"}, $B69))) &gt; 0,$B69 &amp; "(" &amp; $E69 &amp; ")",IF(SUMPRODUCT(-- ISNUMBER(SEARCH({"Formula","Roll-Up Summary"}, $B69))) &gt; 0,$B69 &amp; " (" &amp; $E69 &amp; ")",IF(SUMPRODUCT(-- ISNUMBER(SEARCH({"Content","Currency","Number","Percent","Text","URL"}, $B69))) &gt; 0,$B69 &amp; "(" &amp; $C69 &amp; ")",$B69)))), "  ", TRIM(IF($S69 = "YES", "(External ID)", "") &amp; " " &amp; IF(SUMPRODUCT(-- ISNUMBER(SEARCH({"Unique","Unique Case Insensitive"}, $R69))) &gt; 0, "(" &amp; $R69 &amp; ")", ""))))</f>
        <v>na</v>
      </c>
      <c r="E69" s="7" t="s">
        <v>195</v>
      </c>
      <c r="F69" s="7" t="s">
        <v>195</v>
      </c>
      <c r="G69" s="7" t="s">
        <v>195</v>
      </c>
      <c r="H69" s="7" t="s">
        <v>195</v>
      </c>
      <c r="I69" s="7" t="s">
        <v>195</v>
      </c>
      <c r="J69" s="7" t="s">
        <v>195</v>
      </c>
      <c r="K69" s="7" t="s">
        <v>195</v>
      </c>
      <c r="L69" s="7" t="s">
        <v>195</v>
      </c>
      <c r="M69" s="7" t="s">
        <v>29</v>
      </c>
      <c r="N69" s="7" t="s">
        <v>29</v>
      </c>
      <c r="O69" s="7" t="s">
        <v>29</v>
      </c>
      <c r="P69" s="7" t="s">
        <v>29</v>
      </c>
      <c r="Q69" s="7" t="s">
        <v>29</v>
      </c>
      <c r="R69" s="7" t="s">
        <v>29</v>
      </c>
      <c r="S69" s="7" t="s">
        <v>29</v>
      </c>
    </row>
    <row r="70" spans="2:19">
      <c r="B70" s="7" t="s">
        <v>195</v>
      </c>
      <c r="C70" s="8" t="s">
        <v>195</v>
      </c>
      <c r="D70" s="6" t="str">
        <f>LRTRIM(CONCATENATE(IF(SUMPRODUCT(-- ISNUMBER(SEARCH({"Auto Number"}, $B70))) &gt; 0, $B70, IF(SUMPRODUCT(-- ISNUMBER(SEARCH({"Lookup","Master-Detail"}, $B70))) &gt; 0,$B70 &amp; "(" &amp; $E70 &amp; ")",IF(SUMPRODUCT(-- ISNUMBER(SEARCH({"Formula","Roll-Up Summary"}, $B70))) &gt; 0,$B70 &amp; " (" &amp; $E70 &amp; ")",IF(SUMPRODUCT(-- ISNUMBER(SEARCH({"Content","Currency","Number","Percent","Text","URL"}, $B70))) &gt; 0,$B70 &amp; "(" &amp; $C70 &amp; ")",$B70)))), "  ", TRIM(IF($S70 = "YES", "(External ID)", "") &amp; " " &amp; IF(SUMPRODUCT(-- ISNUMBER(SEARCH({"Unique","Unique Case Insensitive"}, $R70))) &gt; 0, "(" &amp; $R70 &amp; ")", ""))))</f>
        <v>na</v>
      </c>
      <c r="E70" s="7" t="s">
        <v>195</v>
      </c>
      <c r="F70" s="7" t="s">
        <v>195</v>
      </c>
      <c r="G70" s="7" t="s">
        <v>195</v>
      </c>
      <c r="H70" s="7" t="s">
        <v>195</v>
      </c>
      <c r="I70" s="7" t="s">
        <v>195</v>
      </c>
      <c r="J70" s="7" t="s">
        <v>195</v>
      </c>
      <c r="K70" s="7" t="s">
        <v>195</v>
      </c>
      <c r="L70" s="7" t="s">
        <v>195</v>
      </c>
      <c r="M70" s="7" t="s">
        <v>29</v>
      </c>
      <c r="N70" s="7" t="s">
        <v>29</v>
      </c>
      <c r="O70" s="7" t="s">
        <v>29</v>
      </c>
      <c r="P70" s="7" t="s">
        <v>29</v>
      </c>
      <c r="Q70" s="7" t="s">
        <v>29</v>
      </c>
      <c r="R70" s="7" t="s">
        <v>29</v>
      </c>
      <c r="S70" s="7" t="s">
        <v>29</v>
      </c>
    </row>
    <row r="71" spans="2:19">
      <c r="B71" s="7" t="s">
        <v>195</v>
      </c>
      <c r="C71" s="8" t="s">
        <v>195</v>
      </c>
      <c r="D71" s="6" t="str">
        <f>LRTRIM(CONCATENATE(IF(SUMPRODUCT(-- ISNUMBER(SEARCH({"Auto Number"}, $B71))) &gt; 0, $B71, IF(SUMPRODUCT(-- ISNUMBER(SEARCH({"Lookup","Master-Detail"}, $B71))) &gt; 0,$B71 &amp; "(" &amp; $E71 &amp; ")",IF(SUMPRODUCT(-- ISNUMBER(SEARCH({"Formula","Roll-Up Summary"}, $B71))) &gt; 0,$B71 &amp; " (" &amp; $E71 &amp; ")",IF(SUMPRODUCT(-- ISNUMBER(SEARCH({"Content","Currency","Number","Percent","Text","URL"}, $B71))) &gt; 0,$B71 &amp; "(" &amp; $C71 &amp; ")",$B71)))), "  ", TRIM(IF($S71 = "YES", "(External ID)", "") &amp; " " &amp; IF(SUMPRODUCT(-- ISNUMBER(SEARCH({"Unique","Unique Case Insensitive"}, $R71))) &gt; 0, "(" &amp; $R71 &amp; ")", ""))))</f>
        <v>na</v>
      </c>
      <c r="E71" s="7" t="s">
        <v>195</v>
      </c>
      <c r="F71" s="7" t="s">
        <v>195</v>
      </c>
      <c r="G71" s="7" t="s">
        <v>195</v>
      </c>
      <c r="H71" s="7" t="s">
        <v>195</v>
      </c>
      <c r="I71" s="7" t="s">
        <v>195</v>
      </c>
      <c r="J71" s="7" t="s">
        <v>195</v>
      </c>
      <c r="K71" s="7" t="s">
        <v>195</v>
      </c>
      <c r="L71" s="7" t="s">
        <v>195</v>
      </c>
      <c r="M71" s="7" t="s">
        <v>29</v>
      </c>
      <c r="N71" s="7" t="s">
        <v>29</v>
      </c>
      <c r="O71" s="7" t="s">
        <v>29</v>
      </c>
      <c r="P71" s="7" t="s">
        <v>29</v>
      </c>
      <c r="Q71" s="7" t="s">
        <v>29</v>
      </c>
      <c r="R71" s="7" t="s">
        <v>29</v>
      </c>
      <c r="S71" s="7" t="s">
        <v>29</v>
      </c>
    </row>
    <row r="72" spans="2:19">
      <c r="B72" s="7" t="s">
        <v>195</v>
      </c>
      <c r="C72" s="8" t="s">
        <v>195</v>
      </c>
      <c r="D72" s="6" t="str">
        <f>LRTRIM(CONCATENATE(IF(SUMPRODUCT(-- ISNUMBER(SEARCH({"Auto Number"}, $B72))) &gt; 0, $B72, IF(SUMPRODUCT(-- ISNUMBER(SEARCH({"Lookup","Master-Detail"}, $B72))) &gt; 0,$B72 &amp; "(" &amp; $E72 &amp; ")",IF(SUMPRODUCT(-- ISNUMBER(SEARCH({"Formula","Roll-Up Summary"}, $B72))) &gt; 0,$B72 &amp; " (" &amp; $E72 &amp; ")",IF(SUMPRODUCT(-- ISNUMBER(SEARCH({"Content","Currency","Number","Percent","Text","URL"}, $B72))) &gt; 0,$B72 &amp; "(" &amp; $C72 &amp; ")",$B72)))), "  ", TRIM(IF($S72 = "YES", "(External ID)", "") &amp; " " &amp; IF(SUMPRODUCT(-- ISNUMBER(SEARCH({"Unique","Unique Case Insensitive"}, $R72))) &gt; 0, "(" &amp; $R72 &amp; ")", ""))))</f>
        <v>na</v>
      </c>
      <c r="E72" s="7" t="s">
        <v>195</v>
      </c>
      <c r="F72" s="7" t="s">
        <v>195</v>
      </c>
      <c r="G72" s="7" t="s">
        <v>195</v>
      </c>
      <c r="H72" s="7" t="s">
        <v>195</v>
      </c>
      <c r="I72" s="7" t="s">
        <v>195</v>
      </c>
      <c r="J72" s="7" t="s">
        <v>195</v>
      </c>
      <c r="K72" s="7" t="s">
        <v>195</v>
      </c>
      <c r="L72" s="7" t="s">
        <v>195</v>
      </c>
      <c r="M72" s="7" t="s">
        <v>29</v>
      </c>
      <c r="N72" s="7" t="s">
        <v>29</v>
      </c>
      <c r="O72" s="7" t="s">
        <v>29</v>
      </c>
      <c r="P72" s="7" t="s">
        <v>29</v>
      </c>
      <c r="Q72" s="7" t="s">
        <v>29</v>
      </c>
      <c r="R72" s="7" t="s">
        <v>29</v>
      </c>
      <c r="S72" s="7" t="s">
        <v>29</v>
      </c>
    </row>
    <row r="73" spans="2:19">
      <c r="B73" s="7" t="s">
        <v>195</v>
      </c>
      <c r="C73" s="8" t="s">
        <v>195</v>
      </c>
      <c r="D73" s="6" t="str">
        <f>LRTRIM(CONCATENATE(IF(SUMPRODUCT(-- ISNUMBER(SEARCH({"Auto Number"}, $B73))) &gt; 0, $B73, IF(SUMPRODUCT(-- ISNUMBER(SEARCH({"Lookup","Master-Detail"}, $B73))) &gt; 0,$B73 &amp; "(" &amp; $E73 &amp; ")",IF(SUMPRODUCT(-- ISNUMBER(SEARCH({"Formula","Roll-Up Summary"}, $B73))) &gt; 0,$B73 &amp; " (" &amp; $E73 &amp; ")",IF(SUMPRODUCT(-- ISNUMBER(SEARCH({"Content","Currency","Number","Percent","Text","URL"}, $B73))) &gt; 0,$B73 &amp; "(" &amp; $C73 &amp; ")",$B73)))), "  ", TRIM(IF($S73 = "YES", "(External ID)", "") &amp; " " &amp; IF(SUMPRODUCT(-- ISNUMBER(SEARCH({"Unique","Unique Case Insensitive"}, $R73))) &gt; 0, "(" &amp; $R73 &amp; ")", ""))))</f>
        <v>na</v>
      </c>
      <c r="E73" s="7" t="s">
        <v>195</v>
      </c>
      <c r="F73" s="7" t="s">
        <v>195</v>
      </c>
      <c r="G73" s="7" t="s">
        <v>195</v>
      </c>
      <c r="H73" s="7" t="s">
        <v>195</v>
      </c>
      <c r="I73" s="7" t="s">
        <v>195</v>
      </c>
      <c r="J73" s="7" t="s">
        <v>195</v>
      </c>
      <c r="K73" s="7" t="s">
        <v>195</v>
      </c>
      <c r="L73" s="7" t="s">
        <v>195</v>
      </c>
      <c r="M73" s="7" t="s">
        <v>29</v>
      </c>
      <c r="N73" s="7" t="s">
        <v>29</v>
      </c>
      <c r="O73" s="7" t="s">
        <v>29</v>
      </c>
      <c r="P73" s="7" t="s">
        <v>29</v>
      </c>
      <c r="Q73" s="7" t="s">
        <v>29</v>
      </c>
      <c r="R73" s="7" t="s">
        <v>29</v>
      </c>
      <c r="S73" s="7" t="s">
        <v>29</v>
      </c>
    </row>
    <row r="74" spans="2:19">
      <c r="B74" s="7" t="s">
        <v>195</v>
      </c>
      <c r="C74" s="8" t="s">
        <v>195</v>
      </c>
      <c r="D74" s="6" t="str">
        <f>LRTRIM(CONCATENATE(IF(SUMPRODUCT(-- ISNUMBER(SEARCH({"Auto Number"}, $B74))) &gt; 0, $B74, IF(SUMPRODUCT(-- ISNUMBER(SEARCH({"Lookup","Master-Detail"}, $B74))) &gt; 0,$B74 &amp; "(" &amp; $E74 &amp; ")",IF(SUMPRODUCT(-- ISNUMBER(SEARCH({"Formula","Roll-Up Summary"}, $B74))) &gt; 0,$B74 &amp; " (" &amp; $E74 &amp; ")",IF(SUMPRODUCT(-- ISNUMBER(SEARCH({"Content","Currency","Number","Percent","Text","URL"}, $B74))) &gt; 0,$B74 &amp; "(" &amp; $C74 &amp; ")",$B74)))), "  ", TRIM(IF($S74 = "YES", "(External ID)", "") &amp; " " &amp; IF(SUMPRODUCT(-- ISNUMBER(SEARCH({"Unique","Unique Case Insensitive"}, $R74))) &gt; 0, "(" &amp; $R74 &amp; ")", ""))))</f>
        <v>na</v>
      </c>
      <c r="E74" s="7" t="s">
        <v>195</v>
      </c>
      <c r="F74" s="7" t="s">
        <v>195</v>
      </c>
      <c r="G74" s="7" t="s">
        <v>195</v>
      </c>
      <c r="H74" s="7" t="s">
        <v>195</v>
      </c>
      <c r="I74" s="7" t="s">
        <v>195</v>
      </c>
      <c r="J74" s="7" t="s">
        <v>195</v>
      </c>
      <c r="K74" s="7" t="s">
        <v>195</v>
      </c>
      <c r="L74" s="7" t="s">
        <v>195</v>
      </c>
      <c r="M74" s="7" t="s">
        <v>29</v>
      </c>
      <c r="N74" s="7" t="s">
        <v>29</v>
      </c>
      <c r="O74" s="7" t="s">
        <v>29</v>
      </c>
      <c r="P74" s="7" t="s">
        <v>29</v>
      </c>
      <c r="Q74" s="7" t="s">
        <v>29</v>
      </c>
      <c r="R74" s="7" t="s">
        <v>29</v>
      </c>
      <c r="S74" s="7" t="s">
        <v>29</v>
      </c>
    </row>
    <row r="75" spans="2:19">
      <c r="B75" s="7" t="s">
        <v>195</v>
      </c>
      <c r="C75" s="8" t="s">
        <v>195</v>
      </c>
      <c r="D75" s="6" t="str">
        <f>LRTRIM(CONCATENATE(IF(SUMPRODUCT(-- ISNUMBER(SEARCH({"Auto Number"}, $B75))) &gt; 0, $B75, IF(SUMPRODUCT(-- ISNUMBER(SEARCH({"Lookup","Master-Detail"}, $B75))) &gt; 0,$B75 &amp; "(" &amp; $E75 &amp; ")",IF(SUMPRODUCT(-- ISNUMBER(SEARCH({"Formula","Roll-Up Summary"}, $B75))) &gt; 0,$B75 &amp; " (" &amp; $E75 &amp; ")",IF(SUMPRODUCT(-- ISNUMBER(SEARCH({"Content","Currency","Number","Percent","Text","URL"}, $B75))) &gt; 0,$B75 &amp; "(" &amp; $C75 &amp; ")",$B75)))), "  ", TRIM(IF($S75 = "YES", "(External ID)", "") &amp; " " &amp; IF(SUMPRODUCT(-- ISNUMBER(SEARCH({"Unique","Unique Case Insensitive"}, $R75))) &gt; 0, "(" &amp; $R75 &amp; ")", ""))))</f>
        <v>na</v>
      </c>
      <c r="E75" s="7" t="s">
        <v>195</v>
      </c>
      <c r="F75" s="7" t="s">
        <v>195</v>
      </c>
      <c r="G75" s="7" t="s">
        <v>195</v>
      </c>
      <c r="H75" s="7" t="s">
        <v>195</v>
      </c>
      <c r="I75" s="7" t="s">
        <v>195</v>
      </c>
      <c r="J75" s="7" t="s">
        <v>195</v>
      </c>
      <c r="K75" s="7" t="s">
        <v>195</v>
      </c>
      <c r="L75" s="7" t="s">
        <v>195</v>
      </c>
      <c r="M75" s="7" t="s">
        <v>29</v>
      </c>
      <c r="N75" s="7" t="s">
        <v>29</v>
      </c>
      <c r="O75" s="7" t="s">
        <v>29</v>
      </c>
      <c r="P75" s="7" t="s">
        <v>29</v>
      </c>
      <c r="Q75" s="7" t="s">
        <v>29</v>
      </c>
      <c r="R75" s="7" t="s">
        <v>29</v>
      </c>
      <c r="S75" s="7" t="s">
        <v>29</v>
      </c>
    </row>
    <row r="76" spans="2:19">
      <c r="B76" s="7" t="s">
        <v>195</v>
      </c>
      <c r="C76" s="8" t="s">
        <v>195</v>
      </c>
      <c r="D76" s="6" t="str">
        <f>LRTRIM(CONCATENATE(IF(SUMPRODUCT(-- ISNUMBER(SEARCH({"Auto Number"}, $B76))) &gt; 0, $B76, IF(SUMPRODUCT(-- ISNUMBER(SEARCH({"Lookup","Master-Detail"}, $B76))) &gt; 0,$B76 &amp; "(" &amp; $E76 &amp; ")",IF(SUMPRODUCT(-- ISNUMBER(SEARCH({"Formula","Roll-Up Summary"}, $B76))) &gt; 0,$B76 &amp; " (" &amp; $E76 &amp; ")",IF(SUMPRODUCT(-- ISNUMBER(SEARCH({"Content","Currency","Number","Percent","Text","URL"}, $B76))) &gt; 0,$B76 &amp; "(" &amp; $C76 &amp; ")",$B76)))), "  ", TRIM(IF($S76 = "YES", "(External ID)", "") &amp; " " &amp; IF(SUMPRODUCT(-- ISNUMBER(SEARCH({"Unique","Unique Case Insensitive"}, $R76))) &gt; 0, "(" &amp; $R76 &amp; ")", ""))))</f>
        <v>na</v>
      </c>
      <c r="E76" s="7" t="s">
        <v>195</v>
      </c>
      <c r="F76" s="7" t="s">
        <v>195</v>
      </c>
      <c r="G76" s="7" t="s">
        <v>195</v>
      </c>
      <c r="H76" s="7" t="s">
        <v>195</v>
      </c>
      <c r="I76" s="7" t="s">
        <v>195</v>
      </c>
      <c r="J76" s="7" t="s">
        <v>195</v>
      </c>
      <c r="K76" s="7" t="s">
        <v>195</v>
      </c>
      <c r="L76" s="7" t="s">
        <v>195</v>
      </c>
      <c r="M76" s="7" t="s">
        <v>29</v>
      </c>
      <c r="N76" s="7" t="s">
        <v>29</v>
      </c>
      <c r="O76" s="7" t="s">
        <v>29</v>
      </c>
      <c r="P76" s="7" t="s">
        <v>29</v>
      </c>
      <c r="Q76" s="7" t="s">
        <v>29</v>
      </c>
      <c r="R76" s="7" t="s">
        <v>29</v>
      </c>
      <c r="S76" s="7" t="s">
        <v>29</v>
      </c>
    </row>
    <row r="77" spans="2:19">
      <c r="B77" s="7" t="s">
        <v>195</v>
      </c>
      <c r="C77" s="8" t="s">
        <v>195</v>
      </c>
      <c r="D77" s="6" t="str">
        <f>LRTRIM(CONCATENATE(IF(SUMPRODUCT(-- ISNUMBER(SEARCH({"Auto Number"}, $B77))) &gt; 0, $B77, IF(SUMPRODUCT(-- ISNUMBER(SEARCH({"Lookup","Master-Detail"}, $B77))) &gt; 0,$B77 &amp; "(" &amp; $E77 &amp; ")",IF(SUMPRODUCT(-- ISNUMBER(SEARCH({"Formula","Roll-Up Summary"}, $B77))) &gt; 0,$B77 &amp; " (" &amp; $E77 &amp; ")",IF(SUMPRODUCT(-- ISNUMBER(SEARCH({"Content","Currency","Number","Percent","Text","URL"}, $B77))) &gt; 0,$B77 &amp; "(" &amp; $C77 &amp; ")",$B77)))), "  ", TRIM(IF($S77 = "YES", "(External ID)", "") &amp; " " &amp; IF(SUMPRODUCT(-- ISNUMBER(SEARCH({"Unique","Unique Case Insensitive"}, $R77))) &gt; 0, "(" &amp; $R77 &amp; ")", ""))))</f>
        <v>na</v>
      </c>
      <c r="E77" s="7" t="s">
        <v>195</v>
      </c>
      <c r="F77" s="7" t="s">
        <v>195</v>
      </c>
      <c r="G77" s="7" t="s">
        <v>195</v>
      </c>
      <c r="H77" s="7" t="s">
        <v>195</v>
      </c>
      <c r="I77" s="7" t="s">
        <v>195</v>
      </c>
      <c r="J77" s="7" t="s">
        <v>195</v>
      </c>
      <c r="K77" s="7" t="s">
        <v>195</v>
      </c>
      <c r="L77" s="7" t="s">
        <v>195</v>
      </c>
      <c r="M77" s="7" t="s">
        <v>29</v>
      </c>
      <c r="N77" s="7" t="s">
        <v>29</v>
      </c>
      <c r="O77" s="7" t="s">
        <v>29</v>
      </c>
      <c r="P77" s="7" t="s">
        <v>29</v>
      </c>
      <c r="Q77" s="7" t="s">
        <v>29</v>
      </c>
      <c r="R77" s="7" t="s">
        <v>29</v>
      </c>
      <c r="S77" s="7" t="s">
        <v>29</v>
      </c>
    </row>
    <row r="78" spans="2:19">
      <c r="B78" s="7" t="s">
        <v>195</v>
      </c>
      <c r="C78" s="8" t="s">
        <v>195</v>
      </c>
      <c r="D78" s="6" t="str">
        <f>LRTRIM(CONCATENATE(IF(SUMPRODUCT(-- ISNUMBER(SEARCH({"Auto Number"}, $B78))) &gt; 0, $B78, IF(SUMPRODUCT(-- ISNUMBER(SEARCH({"Lookup","Master-Detail"}, $B78))) &gt; 0,$B78 &amp; "(" &amp; $E78 &amp; ")",IF(SUMPRODUCT(-- ISNUMBER(SEARCH({"Formula","Roll-Up Summary"}, $B78))) &gt; 0,$B78 &amp; " (" &amp; $E78 &amp; ")",IF(SUMPRODUCT(-- ISNUMBER(SEARCH({"Content","Currency","Number","Percent","Text","URL"}, $B78))) &gt; 0,$B78 &amp; "(" &amp; $C78 &amp; ")",$B78)))), "  ", TRIM(IF($S78 = "YES", "(External ID)", "") &amp; " " &amp; IF(SUMPRODUCT(-- ISNUMBER(SEARCH({"Unique","Unique Case Insensitive"}, $R78))) &gt; 0, "(" &amp; $R78 &amp; ")", ""))))</f>
        <v>na</v>
      </c>
      <c r="E78" s="7" t="s">
        <v>195</v>
      </c>
      <c r="F78" s="7" t="s">
        <v>195</v>
      </c>
      <c r="G78" s="7" t="s">
        <v>195</v>
      </c>
      <c r="H78" s="7" t="s">
        <v>195</v>
      </c>
      <c r="I78" s="7" t="s">
        <v>195</v>
      </c>
      <c r="J78" s="7" t="s">
        <v>195</v>
      </c>
      <c r="K78" s="7" t="s">
        <v>195</v>
      </c>
      <c r="L78" s="7" t="s">
        <v>195</v>
      </c>
      <c r="M78" s="7" t="s">
        <v>29</v>
      </c>
      <c r="N78" s="7" t="s">
        <v>29</v>
      </c>
      <c r="O78" s="7" t="s">
        <v>29</v>
      </c>
      <c r="P78" s="7" t="s">
        <v>29</v>
      </c>
      <c r="Q78" s="7" t="s">
        <v>29</v>
      </c>
      <c r="R78" s="7" t="s">
        <v>29</v>
      </c>
      <c r="S78" s="7" t="s">
        <v>29</v>
      </c>
    </row>
    <row r="79" spans="2:19">
      <c r="B79" s="7" t="s">
        <v>195</v>
      </c>
      <c r="C79" s="8" t="s">
        <v>195</v>
      </c>
      <c r="D79" s="6" t="str">
        <f>LRTRIM(CONCATENATE(IF(SUMPRODUCT(-- ISNUMBER(SEARCH({"Auto Number"}, $B79))) &gt; 0, $B79, IF(SUMPRODUCT(-- ISNUMBER(SEARCH({"Lookup","Master-Detail"}, $B79))) &gt; 0,$B79 &amp; "(" &amp; $E79 &amp; ")",IF(SUMPRODUCT(-- ISNUMBER(SEARCH({"Formula","Roll-Up Summary"}, $B79))) &gt; 0,$B79 &amp; " (" &amp; $E79 &amp; ")",IF(SUMPRODUCT(-- ISNUMBER(SEARCH({"Content","Currency","Number","Percent","Text","URL"}, $B79))) &gt; 0,$B79 &amp; "(" &amp; $C79 &amp; ")",$B79)))), "  ", TRIM(IF($S79 = "YES", "(External ID)", "") &amp; " " &amp; IF(SUMPRODUCT(-- ISNUMBER(SEARCH({"Unique","Unique Case Insensitive"}, $R79))) &gt; 0, "(" &amp; $R79 &amp; ")", ""))))</f>
        <v>na</v>
      </c>
      <c r="E79" s="7" t="s">
        <v>195</v>
      </c>
      <c r="F79" s="7" t="s">
        <v>195</v>
      </c>
      <c r="G79" s="7" t="s">
        <v>195</v>
      </c>
      <c r="H79" s="7" t="s">
        <v>195</v>
      </c>
      <c r="I79" s="7" t="s">
        <v>195</v>
      </c>
      <c r="J79" s="7" t="s">
        <v>195</v>
      </c>
      <c r="K79" s="7" t="s">
        <v>195</v>
      </c>
      <c r="L79" s="7" t="s">
        <v>195</v>
      </c>
      <c r="M79" s="7" t="s">
        <v>29</v>
      </c>
      <c r="N79" s="7" t="s">
        <v>29</v>
      </c>
      <c r="O79" s="7" t="s">
        <v>29</v>
      </c>
      <c r="P79" s="7" t="s">
        <v>29</v>
      </c>
      <c r="Q79" s="7" t="s">
        <v>29</v>
      </c>
      <c r="R79" s="7" t="s">
        <v>29</v>
      </c>
      <c r="S79" s="7" t="s">
        <v>29</v>
      </c>
    </row>
    <row r="80" spans="2:19">
      <c r="B80" s="7" t="s">
        <v>195</v>
      </c>
      <c r="C80" s="8" t="s">
        <v>195</v>
      </c>
      <c r="D80" s="6" t="str">
        <f>LRTRIM(CONCATENATE(IF(SUMPRODUCT(-- ISNUMBER(SEARCH({"Auto Number"}, $B80))) &gt; 0, $B80, IF(SUMPRODUCT(-- ISNUMBER(SEARCH({"Lookup","Master-Detail"}, $B80))) &gt; 0,$B80 &amp; "(" &amp; $E80 &amp; ")",IF(SUMPRODUCT(-- ISNUMBER(SEARCH({"Formula","Roll-Up Summary"}, $B80))) &gt; 0,$B80 &amp; " (" &amp; $E80 &amp; ")",IF(SUMPRODUCT(-- ISNUMBER(SEARCH({"Content","Currency","Number","Percent","Text","URL"}, $B80))) &gt; 0,$B80 &amp; "(" &amp; $C80 &amp; ")",$B80)))), "  ", TRIM(IF($S80 = "YES", "(External ID)", "") &amp; " " &amp; IF(SUMPRODUCT(-- ISNUMBER(SEARCH({"Unique","Unique Case Insensitive"}, $R80))) &gt; 0, "(" &amp; $R80 &amp; ")", ""))))</f>
        <v>na</v>
      </c>
      <c r="E80" s="7" t="s">
        <v>195</v>
      </c>
      <c r="F80" s="7" t="s">
        <v>195</v>
      </c>
      <c r="G80" s="7" t="s">
        <v>195</v>
      </c>
      <c r="H80" s="7" t="s">
        <v>195</v>
      </c>
      <c r="I80" s="7" t="s">
        <v>195</v>
      </c>
      <c r="J80" s="7" t="s">
        <v>195</v>
      </c>
      <c r="K80" s="7" t="s">
        <v>195</v>
      </c>
      <c r="L80" s="7" t="s">
        <v>195</v>
      </c>
      <c r="M80" s="7" t="s">
        <v>29</v>
      </c>
      <c r="N80" s="7" t="s">
        <v>29</v>
      </c>
      <c r="O80" s="7" t="s">
        <v>29</v>
      </c>
      <c r="P80" s="7" t="s">
        <v>29</v>
      </c>
      <c r="Q80" s="7" t="s">
        <v>29</v>
      </c>
      <c r="R80" s="7" t="s">
        <v>29</v>
      </c>
      <c r="S80" s="7" t="s">
        <v>29</v>
      </c>
    </row>
    <row r="81" spans="2:19">
      <c r="B81" s="7" t="s">
        <v>195</v>
      </c>
      <c r="C81" s="8" t="s">
        <v>195</v>
      </c>
      <c r="D81" s="6" t="str">
        <f>LRTRIM(CONCATENATE(IF(SUMPRODUCT(-- ISNUMBER(SEARCH({"Auto Number"}, $B81))) &gt; 0, $B81, IF(SUMPRODUCT(-- ISNUMBER(SEARCH({"Lookup","Master-Detail"}, $B81))) &gt; 0,$B81 &amp; "(" &amp; $E81 &amp; ")",IF(SUMPRODUCT(-- ISNUMBER(SEARCH({"Formula","Roll-Up Summary"}, $B81))) &gt; 0,$B81 &amp; " (" &amp; $E81 &amp; ")",IF(SUMPRODUCT(-- ISNUMBER(SEARCH({"Content","Currency","Number","Percent","Text","URL"}, $B81))) &gt; 0,$B81 &amp; "(" &amp; $C81 &amp; ")",$B81)))), "  ", TRIM(IF($S81 = "YES", "(External ID)", "") &amp; " " &amp; IF(SUMPRODUCT(-- ISNUMBER(SEARCH({"Unique","Unique Case Insensitive"}, $R81))) &gt; 0, "(" &amp; $R81 &amp; ")", ""))))</f>
        <v>na</v>
      </c>
      <c r="E81" s="7" t="s">
        <v>195</v>
      </c>
      <c r="F81" s="7" t="s">
        <v>195</v>
      </c>
      <c r="G81" s="7" t="s">
        <v>195</v>
      </c>
      <c r="H81" s="7" t="s">
        <v>195</v>
      </c>
      <c r="I81" s="7" t="s">
        <v>195</v>
      </c>
      <c r="J81" s="7" t="s">
        <v>195</v>
      </c>
      <c r="K81" s="7" t="s">
        <v>195</v>
      </c>
      <c r="L81" s="7" t="s">
        <v>195</v>
      </c>
      <c r="M81" s="7" t="s">
        <v>29</v>
      </c>
      <c r="N81" s="7" t="s">
        <v>29</v>
      </c>
      <c r="O81" s="7" t="s">
        <v>29</v>
      </c>
      <c r="P81" s="7" t="s">
        <v>29</v>
      </c>
      <c r="Q81" s="7" t="s">
        <v>29</v>
      </c>
      <c r="R81" s="7" t="s">
        <v>29</v>
      </c>
      <c r="S81" s="7" t="s">
        <v>29</v>
      </c>
    </row>
    <row r="82" spans="2:19">
      <c r="B82" s="7" t="s">
        <v>195</v>
      </c>
      <c r="C82" s="8" t="s">
        <v>195</v>
      </c>
      <c r="D82" s="6" t="str">
        <f>LRTRIM(CONCATENATE(IF(SUMPRODUCT(-- ISNUMBER(SEARCH({"Auto Number"}, $B82))) &gt; 0, $B82, IF(SUMPRODUCT(-- ISNUMBER(SEARCH({"Lookup","Master-Detail"}, $B82))) &gt; 0,$B82 &amp; "(" &amp; $E82 &amp; ")",IF(SUMPRODUCT(-- ISNUMBER(SEARCH({"Formula","Roll-Up Summary"}, $B82))) &gt; 0,$B82 &amp; " (" &amp; $E82 &amp; ")",IF(SUMPRODUCT(-- ISNUMBER(SEARCH({"Content","Currency","Number","Percent","Text","URL"}, $B82))) &gt; 0,$B82 &amp; "(" &amp; $C82 &amp; ")",$B82)))), "  ", TRIM(IF($S82 = "YES", "(External ID)", "") &amp; " " &amp; IF(SUMPRODUCT(-- ISNUMBER(SEARCH({"Unique","Unique Case Insensitive"}, $R82))) &gt; 0, "(" &amp; $R82 &amp; ")", ""))))</f>
        <v>na</v>
      </c>
      <c r="E82" s="7" t="s">
        <v>195</v>
      </c>
      <c r="F82" s="7" t="s">
        <v>195</v>
      </c>
      <c r="G82" s="7" t="s">
        <v>195</v>
      </c>
      <c r="H82" s="7" t="s">
        <v>195</v>
      </c>
      <c r="I82" s="7" t="s">
        <v>195</v>
      </c>
      <c r="J82" s="7" t="s">
        <v>195</v>
      </c>
      <c r="K82" s="7" t="s">
        <v>195</v>
      </c>
      <c r="L82" s="7" t="s">
        <v>195</v>
      </c>
      <c r="M82" s="7" t="s">
        <v>29</v>
      </c>
      <c r="N82" s="7" t="s">
        <v>29</v>
      </c>
      <c r="O82" s="7" t="s">
        <v>29</v>
      </c>
      <c r="P82" s="7" t="s">
        <v>29</v>
      </c>
      <c r="Q82" s="7" t="s">
        <v>29</v>
      </c>
      <c r="R82" s="7" t="s">
        <v>29</v>
      </c>
      <c r="S82" s="7" t="s">
        <v>29</v>
      </c>
    </row>
    <row r="83" spans="2:19">
      <c r="B83" s="7" t="s">
        <v>195</v>
      </c>
      <c r="C83" s="8" t="s">
        <v>195</v>
      </c>
      <c r="D83" s="6" t="str">
        <f>LRTRIM(CONCATENATE(IF(SUMPRODUCT(-- ISNUMBER(SEARCH({"Auto Number"}, $B83))) &gt; 0, $B83, IF(SUMPRODUCT(-- ISNUMBER(SEARCH({"Lookup","Master-Detail"}, $B83))) &gt; 0,$B83 &amp; "(" &amp; $E83 &amp; ")",IF(SUMPRODUCT(-- ISNUMBER(SEARCH({"Formula","Roll-Up Summary"}, $B83))) &gt; 0,$B83 &amp; " (" &amp; $E83 &amp; ")",IF(SUMPRODUCT(-- ISNUMBER(SEARCH({"Content","Currency","Number","Percent","Text","URL"}, $B83))) &gt; 0,$B83 &amp; "(" &amp; $C83 &amp; ")",$B83)))), "  ", TRIM(IF($S83 = "YES", "(External ID)", "") &amp; " " &amp; IF(SUMPRODUCT(-- ISNUMBER(SEARCH({"Unique","Unique Case Insensitive"}, $R83))) &gt; 0, "(" &amp; $R83 &amp; ")", ""))))</f>
        <v>na</v>
      </c>
      <c r="E83" s="7" t="s">
        <v>195</v>
      </c>
      <c r="F83" s="7" t="s">
        <v>195</v>
      </c>
      <c r="G83" s="7" t="s">
        <v>195</v>
      </c>
      <c r="H83" s="7" t="s">
        <v>195</v>
      </c>
      <c r="I83" s="7" t="s">
        <v>195</v>
      </c>
      <c r="J83" s="7" t="s">
        <v>195</v>
      </c>
      <c r="K83" s="7" t="s">
        <v>195</v>
      </c>
      <c r="L83" s="7" t="s">
        <v>195</v>
      </c>
      <c r="M83" s="7" t="s">
        <v>29</v>
      </c>
      <c r="N83" s="7" t="s">
        <v>29</v>
      </c>
      <c r="O83" s="7" t="s">
        <v>29</v>
      </c>
      <c r="P83" s="7" t="s">
        <v>29</v>
      </c>
      <c r="Q83" s="7" t="s">
        <v>29</v>
      </c>
      <c r="R83" s="7" t="s">
        <v>29</v>
      </c>
      <c r="S83" s="7" t="s">
        <v>29</v>
      </c>
    </row>
    <row r="84" spans="2:19">
      <c r="B84" s="7" t="s">
        <v>195</v>
      </c>
      <c r="C84" s="8" t="s">
        <v>195</v>
      </c>
      <c r="D84" s="6" t="str">
        <f>LRTRIM(CONCATENATE(IF(SUMPRODUCT(-- ISNUMBER(SEARCH({"Auto Number"}, $B84))) &gt; 0, $B84, IF(SUMPRODUCT(-- ISNUMBER(SEARCH({"Lookup","Master-Detail"}, $B84))) &gt; 0,$B84 &amp; "(" &amp; $E84 &amp; ")",IF(SUMPRODUCT(-- ISNUMBER(SEARCH({"Formula","Roll-Up Summary"}, $B84))) &gt; 0,$B84 &amp; " (" &amp; $E84 &amp; ")",IF(SUMPRODUCT(-- ISNUMBER(SEARCH({"Content","Currency","Number","Percent","Text","URL"}, $B84))) &gt; 0,$B84 &amp; "(" &amp; $C84 &amp; ")",$B84)))), "  ", TRIM(IF($S84 = "YES", "(External ID)", "") &amp; " " &amp; IF(SUMPRODUCT(-- ISNUMBER(SEARCH({"Unique","Unique Case Insensitive"}, $R84))) &gt; 0, "(" &amp; $R84 &amp; ")", ""))))</f>
        <v>na</v>
      </c>
      <c r="E84" s="7" t="s">
        <v>195</v>
      </c>
      <c r="F84" s="7" t="s">
        <v>195</v>
      </c>
      <c r="G84" s="7" t="s">
        <v>195</v>
      </c>
      <c r="H84" s="7" t="s">
        <v>195</v>
      </c>
      <c r="I84" s="7" t="s">
        <v>195</v>
      </c>
      <c r="J84" s="7" t="s">
        <v>195</v>
      </c>
      <c r="K84" s="7" t="s">
        <v>195</v>
      </c>
      <c r="L84" s="7" t="s">
        <v>195</v>
      </c>
      <c r="M84" s="7" t="s">
        <v>29</v>
      </c>
      <c r="N84" s="7" t="s">
        <v>29</v>
      </c>
      <c r="O84" s="7" t="s">
        <v>29</v>
      </c>
      <c r="P84" s="7" t="s">
        <v>29</v>
      </c>
      <c r="Q84" s="7" t="s">
        <v>29</v>
      </c>
      <c r="R84" s="7" t="s">
        <v>29</v>
      </c>
      <c r="S84" s="7" t="s">
        <v>29</v>
      </c>
    </row>
    <row r="85" spans="2:19">
      <c r="B85" s="7" t="s">
        <v>195</v>
      </c>
      <c r="C85" s="8" t="s">
        <v>195</v>
      </c>
      <c r="D85" s="6" t="str">
        <f>LRTRIM(CONCATENATE(IF(SUMPRODUCT(-- ISNUMBER(SEARCH({"Auto Number"}, $B85))) &gt; 0, $B85, IF(SUMPRODUCT(-- ISNUMBER(SEARCH({"Lookup","Master-Detail"}, $B85))) &gt; 0,$B85 &amp; "(" &amp; $E85 &amp; ")",IF(SUMPRODUCT(-- ISNUMBER(SEARCH({"Formula","Roll-Up Summary"}, $B85))) &gt; 0,$B85 &amp; " (" &amp; $E85 &amp; ")",IF(SUMPRODUCT(-- ISNUMBER(SEARCH({"Content","Currency","Number","Percent","Text","URL"}, $B85))) &gt; 0,$B85 &amp; "(" &amp; $C85 &amp; ")",$B85)))), "  ", TRIM(IF($S85 = "YES", "(External ID)", "") &amp; " " &amp; IF(SUMPRODUCT(-- ISNUMBER(SEARCH({"Unique","Unique Case Insensitive"}, $R85))) &gt; 0, "(" &amp; $R85 &amp; ")", ""))))</f>
        <v>na</v>
      </c>
      <c r="E85" s="7" t="s">
        <v>195</v>
      </c>
      <c r="F85" s="7" t="s">
        <v>195</v>
      </c>
      <c r="G85" s="7" t="s">
        <v>195</v>
      </c>
      <c r="H85" s="7" t="s">
        <v>195</v>
      </c>
      <c r="I85" s="7" t="s">
        <v>195</v>
      </c>
      <c r="J85" s="7" t="s">
        <v>195</v>
      </c>
      <c r="K85" s="7" t="s">
        <v>195</v>
      </c>
      <c r="L85" s="7" t="s">
        <v>195</v>
      </c>
      <c r="M85" s="7" t="s">
        <v>29</v>
      </c>
      <c r="N85" s="7" t="s">
        <v>29</v>
      </c>
      <c r="O85" s="7" t="s">
        <v>29</v>
      </c>
      <c r="P85" s="7" t="s">
        <v>29</v>
      </c>
      <c r="Q85" s="7" t="s">
        <v>29</v>
      </c>
      <c r="R85" s="7" t="s">
        <v>29</v>
      </c>
      <c r="S85" s="7" t="s">
        <v>29</v>
      </c>
    </row>
    <row r="86" spans="2:19">
      <c r="B86" s="7" t="s">
        <v>195</v>
      </c>
      <c r="C86" s="8" t="s">
        <v>195</v>
      </c>
      <c r="D86" s="6" t="str">
        <f>LRTRIM(CONCATENATE(IF(SUMPRODUCT(-- ISNUMBER(SEARCH({"Auto Number"}, $B86))) &gt; 0, $B86, IF(SUMPRODUCT(-- ISNUMBER(SEARCH({"Lookup","Master-Detail"}, $B86))) &gt; 0,$B86 &amp; "(" &amp; $E86 &amp; ")",IF(SUMPRODUCT(-- ISNUMBER(SEARCH({"Formula","Roll-Up Summary"}, $B86))) &gt; 0,$B86 &amp; " (" &amp; $E86 &amp; ")",IF(SUMPRODUCT(-- ISNUMBER(SEARCH({"Content","Currency","Number","Percent","Text","URL"}, $B86))) &gt; 0,$B86 &amp; "(" &amp; $C86 &amp; ")",$B86)))), "  ", TRIM(IF($S86 = "YES", "(External ID)", "") &amp; " " &amp; IF(SUMPRODUCT(-- ISNUMBER(SEARCH({"Unique","Unique Case Insensitive"}, $R86))) &gt; 0, "(" &amp; $R86 &amp; ")", ""))))</f>
        <v>na</v>
      </c>
      <c r="E86" s="7" t="s">
        <v>195</v>
      </c>
      <c r="F86" s="7" t="s">
        <v>195</v>
      </c>
      <c r="G86" s="7" t="s">
        <v>195</v>
      </c>
      <c r="H86" s="7" t="s">
        <v>195</v>
      </c>
      <c r="I86" s="7" t="s">
        <v>195</v>
      </c>
      <c r="J86" s="7" t="s">
        <v>195</v>
      </c>
      <c r="K86" s="7" t="s">
        <v>195</v>
      </c>
      <c r="L86" s="7" t="s">
        <v>195</v>
      </c>
      <c r="M86" s="7" t="s">
        <v>29</v>
      </c>
      <c r="N86" s="7" t="s">
        <v>29</v>
      </c>
      <c r="O86" s="7" t="s">
        <v>29</v>
      </c>
      <c r="P86" s="7" t="s">
        <v>29</v>
      </c>
      <c r="Q86" s="7" t="s">
        <v>29</v>
      </c>
      <c r="R86" s="7" t="s">
        <v>29</v>
      </c>
      <c r="S86" s="7" t="s">
        <v>29</v>
      </c>
    </row>
    <row r="87" spans="2:19">
      <c r="B87" s="7" t="s">
        <v>195</v>
      </c>
      <c r="C87" s="8" t="s">
        <v>195</v>
      </c>
      <c r="D87" s="6" t="str">
        <f>LRTRIM(CONCATENATE(IF(SUMPRODUCT(-- ISNUMBER(SEARCH({"Auto Number"}, $B87))) &gt; 0, $B87, IF(SUMPRODUCT(-- ISNUMBER(SEARCH({"Lookup","Master-Detail"}, $B87))) &gt; 0,$B87 &amp; "(" &amp; $E87 &amp; ")",IF(SUMPRODUCT(-- ISNUMBER(SEARCH({"Formula","Roll-Up Summary"}, $B87))) &gt; 0,$B87 &amp; " (" &amp; $E87 &amp; ")",IF(SUMPRODUCT(-- ISNUMBER(SEARCH({"Content","Currency","Number","Percent","Text","URL"}, $B87))) &gt; 0,$B87 &amp; "(" &amp; $C87 &amp; ")",$B87)))), "  ", TRIM(IF($S87 = "YES", "(External ID)", "") &amp; " " &amp; IF(SUMPRODUCT(-- ISNUMBER(SEARCH({"Unique","Unique Case Insensitive"}, $R87))) &gt; 0, "(" &amp; $R87 &amp; ")", ""))))</f>
        <v>na</v>
      </c>
      <c r="E87" s="7" t="s">
        <v>195</v>
      </c>
      <c r="F87" s="7" t="s">
        <v>195</v>
      </c>
      <c r="G87" s="7" t="s">
        <v>195</v>
      </c>
      <c r="H87" s="7" t="s">
        <v>195</v>
      </c>
      <c r="I87" s="7" t="s">
        <v>195</v>
      </c>
      <c r="J87" s="7" t="s">
        <v>195</v>
      </c>
      <c r="K87" s="7" t="s">
        <v>195</v>
      </c>
      <c r="L87" s="7" t="s">
        <v>195</v>
      </c>
      <c r="M87" s="7" t="s">
        <v>29</v>
      </c>
      <c r="N87" s="7" t="s">
        <v>29</v>
      </c>
      <c r="O87" s="7" t="s">
        <v>29</v>
      </c>
      <c r="P87" s="7" t="s">
        <v>29</v>
      </c>
      <c r="Q87" s="7" t="s">
        <v>29</v>
      </c>
      <c r="R87" s="7" t="s">
        <v>29</v>
      </c>
      <c r="S87" s="7" t="s">
        <v>29</v>
      </c>
    </row>
    <row r="88" spans="2:19">
      <c r="B88" s="7" t="s">
        <v>195</v>
      </c>
      <c r="C88" s="8" t="s">
        <v>195</v>
      </c>
      <c r="D88" s="6" t="str">
        <f>LRTRIM(CONCATENATE(IF(SUMPRODUCT(-- ISNUMBER(SEARCH({"Auto Number"}, $B88))) &gt; 0, $B88, IF(SUMPRODUCT(-- ISNUMBER(SEARCH({"Lookup","Master-Detail"}, $B88))) &gt; 0,$B88 &amp; "(" &amp; $E88 &amp; ")",IF(SUMPRODUCT(-- ISNUMBER(SEARCH({"Formula","Roll-Up Summary"}, $B88))) &gt; 0,$B88 &amp; " (" &amp; $E88 &amp; ")",IF(SUMPRODUCT(-- ISNUMBER(SEARCH({"Content","Currency","Number","Percent","Text","URL"}, $B88))) &gt; 0,$B88 &amp; "(" &amp; $C88 &amp; ")",$B88)))), "  ", TRIM(IF($S88 = "YES", "(External ID)", "") &amp; " " &amp; IF(SUMPRODUCT(-- ISNUMBER(SEARCH({"Unique","Unique Case Insensitive"}, $R88))) &gt; 0, "(" &amp; $R88 &amp; ")", ""))))</f>
        <v>na</v>
      </c>
      <c r="E88" s="7" t="s">
        <v>195</v>
      </c>
      <c r="F88" s="7" t="s">
        <v>195</v>
      </c>
      <c r="G88" s="7" t="s">
        <v>195</v>
      </c>
      <c r="H88" s="7" t="s">
        <v>195</v>
      </c>
      <c r="I88" s="7" t="s">
        <v>195</v>
      </c>
      <c r="J88" s="7" t="s">
        <v>195</v>
      </c>
      <c r="K88" s="7" t="s">
        <v>195</v>
      </c>
      <c r="L88" s="7" t="s">
        <v>195</v>
      </c>
      <c r="M88" s="7" t="s">
        <v>29</v>
      </c>
      <c r="N88" s="7" t="s">
        <v>29</v>
      </c>
      <c r="O88" s="7" t="s">
        <v>29</v>
      </c>
      <c r="P88" s="7" t="s">
        <v>29</v>
      </c>
      <c r="Q88" s="7" t="s">
        <v>29</v>
      </c>
      <c r="R88" s="7" t="s">
        <v>29</v>
      </c>
      <c r="S88" s="7" t="s">
        <v>29</v>
      </c>
    </row>
    <row r="89" spans="2:19">
      <c r="B89" s="7" t="s">
        <v>195</v>
      </c>
      <c r="C89" s="8" t="s">
        <v>195</v>
      </c>
      <c r="D89" s="6" t="str">
        <f>LRTRIM(CONCATENATE(IF(SUMPRODUCT(-- ISNUMBER(SEARCH({"Auto Number"}, $B89))) &gt; 0, $B89, IF(SUMPRODUCT(-- ISNUMBER(SEARCH({"Lookup","Master-Detail"}, $B89))) &gt; 0,$B89 &amp; "(" &amp; $E89 &amp; ")",IF(SUMPRODUCT(-- ISNUMBER(SEARCH({"Formula","Roll-Up Summary"}, $B89))) &gt; 0,$B89 &amp; " (" &amp; $E89 &amp; ")",IF(SUMPRODUCT(-- ISNUMBER(SEARCH({"Content","Currency","Number","Percent","Text","URL"}, $B89))) &gt; 0,$B89 &amp; "(" &amp; $C89 &amp; ")",$B89)))), "  ", TRIM(IF($S89 = "YES", "(External ID)", "") &amp; " " &amp; IF(SUMPRODUCT(-- ISNUMBER(SEARCH({"Unique","Unique Case Insensitive"}, $R89))) &gt; 0, "(" &amp; $R89 &amp; ")", ""))))</f>
        <v>na</v>
      </c>
      <c r="E89" s="7" t="s">
        <v>195</v>
      </c>
      <c r="F89" s="7" t="s">
        <v>195</v>
      </c>
      <c r="G89" s="7" t="s">
        <v>195</v>
      </c>
      <c r="H89" s="7" t="s">
        <v>195</v>
      </c>
      <c r="I89" s="7" t="s">
        <v>195</v>
      </c>
      <c r="J89" s="7" t="s">
        <v>195</v>
      </c>
      <c r="K89" s="7" t="s">
        <v>195</v>
      </c>
      <c r="L89" s="7" t="s">
        <v>195</v>
      </c>
      <c r="M89" s="7" t="s">
        <v>29</v>
      </c>
      <c r="N89" s="7" t="s">
        <v>29</v>
      </c>
      <c r="O89" s="7" t="s">
        <v>29</v>
      </c>
      <c r="P89" s="7" t="s">
        <v>29</v>
      </c>
      <c r="Q89" s="7" t="s">
        <v>29</v>
      </c>
      <c r="R89" s="7" t="s">
        <v>29</v>
      </c>
      <c r="S89" s="7" t="s">
        <v>29</v>
      </c>
    </row>
    <row r="90" spans="2:19">
      <c r="B90" s="7" t="s">
        <v>195</v>
      </c>
      <c r="C90" s="8" t="s">
        <v>195</v>
      </c>
      <c r="D90" s="6" t="str">
        <f>LRTRIM(CONCATENATE(IF(SUMPRODUCT(-- ISNUMBER(SEARCH({"Auto Number"}, $B90))) &gt; 0, $B90, IF(SUMPRODUCT(-- ISNUMBER(SEARCH({"Lookup","Master-Detail"}, $B90))) &gt; 0,$B90 &amp; "(" &amp; $E90 &amp; ")",IF(SUMPRODUCT(-- ISNUMBER(SEARCH({"Formula","Roll-Up Summary"}, $B90))) &gt; 0,$B90 &amp; " (" &amp; $E90 &amp; ")",IF(SUMPRODUCT(-- ISNUMBER(SEARCH({"Content","Currency","Number","Percent","Text","URL"}, $B90))) &gt; 0,$B90 &amp; "(" &amp; $C90 &amp; ")",$B90)))), "  ", TRIM(IF($S90 = "YES", "(External ID)", "") &amp; " " &amp; IF(SUMPRODUCT(-- ISNUMBER(SEARCH({"Unique","Unique Case Insensitive"}, $R90))) &gt; 0, "(" &amp; $R90 &amp; ")", ""))))</f>
        <v>na</v>
      </c>
      <c r="E90" s="7" t="s">
        <v>195</v>
      </c>
      <c r="F90" s="7" t="s">
        <v>195</v>
      </c>
      <c r="G90" s="7" t="s">
        <v>195</v>
      </c>
      <c r="H90" s="7" t="s">
        <v>195</v>
      </c>
      <c r="I90" s="7" t="s">
        <v>195</v>
      </c>
      <c r="J90" s="7" t="s">
        <v>195</v>
      </c>
      <c r="K90" s="7" t="s">
        <v>195</v>
      </c>
      <c r="L90" s="7" t="s">
        <v>195</v>
      </c>
      <c r="M90" s="7" t="s">
        <v>29</v>
      </c>
      <c r="N90" s="7" t="s">
        <v>29</v>
      </c>
      <c r="O90" s="7" t="s">
        <v>29</v>
      </c>
      <c r="P90" s="7" t="s">
        <v>29</v>
      </c>
      <c r="Q90" s="7" t="s">
        <v>29</v>
      </c>
      <c r="R90" s="7" t="s">
        <v>29</v>
      </c>
      <c r="S90" s="7" t="s">
        <v>29</v>
      </c>
    </row>
    <row r="91" spans="2:19">
      <c r="B91" s="7" t="s">
        <v>195</v>
      </c>
      <c r="C91" s="8" t="s">
        <v>195</v>
      </c>
      <c r="D91" s="6" t="str">
        <f>LRTRIM(CONCATENATE(IF(SUMPRODUCT(-- ISNUMBER(SEARCH({"Auto Number"}, $B91))) &gt; 0, $B91, IF(SUMPRODUCT(-- ISNUMBER(SEARCH({"Lookup","Master-Detail"}, $B91))) &gt; 0,$B91 &amp; "(" &amp; $E91 &amp; ")",IF(SUMPRODUCT(-- ISNUMBER(SEARCH({"Formula","Roll-Up Summary"}, $B91))) &gt; 0,$B91 &amp; " (" &amp; $E91 &amp; ")",IF(SUMPRODUCT(-- ISNUMBER(SEARCH({"Content","Currency","Number","Percent","Text","URL"}, $B91))) &gt; 0,$B91 &amp; "(" &amp; $C91 &amp; ")",$B91)))), "  ", TRIM(IF($S91 = "YES", "(External ID)", "") &amp; " " &amp; IF(SUMPRODUCT(-- ISNUMBER(SEARCH({"Unique","Unique Case Insensitive"}, $R91))) &gt; 0, "(" &amp; $R91 &amp; ")", ""))))</f>
        <v>na</v>
      </c>
      <c r="E91" s="7" t="s">
        <v>195</v>
      </c>
      <c r="F91" s="7" t="s">
        <v>195</v>
      </c>
      <c r="G91" s="7" t="s">
        <v>195</v>
      </c>
      <c r="H91" s="7" t="s">
        <v>195</v>
      </c>
      <c r="I91" s="7" t="s">
        <v>195</v>
      </c>
      <c r="J91" s="7" t="s">
        <v>195</v>
      </c>
      <c r="K91" s="7" t="s">
        <v>195</v>
      </c>
      <c r="L91" s="7" t="s">
        <v>195</v>
      </c>
      <c r="M91" s="7" t="s">
        <v>29</v>
      </c>
      <c r="N91" s="7" t="s">
        <v>29</v>
      </c>
      <c r="O91" s="7" t="s">
        <v>29</v>
      </c>
      <c r="P91" s="7" t="s">
        <v>29</v>
      </c>
      <c r="Q91" s="7" t="s">
        <v>29</v>
      </c>
      <c r="R91" s="7" t="s">
        <v>29</v>
      </c>
      <c r="S91" s="7" t="s">
        <v>29</v>
      </c>
    </row>
    <row r="92" spans="2:19">
      <c r="B92" s="7" t="s">
        <v>195</v>
      </c>
      <c r="C92" s="8" t="s">
        <v>195</v>
      </c>
      <c r="D92" s="6" t="str">
        <f>LRTRIM(CONCATENATE(IF(SUMPRODUCT(-- ISNUMBER(SEARCH({"Auto Number"}, $B92))) &gt; 0, $B92, IF(SUMPRODUCT(-- ISNUMBER(SEARCH({"Lookup","Master-Detail"}, $B92))) &gt; 0,$B92 &amp; "(" &amp; $E92 &amp; ")",IF(SUMPRODUCT(-- ISNUMBER(SEARCH({"Formula","Roll-Up Summary"}, $B92))) &gt; 0,$B92 &amp; " (" &amp; $E92 &amp; ")",IF(SUMPRODUCT(-- ISNUMBER(SEARCH({"Content","Currency","Number","Percent","Text","URL"}, $B92))) &gt; 0,$B92 &amp; "(" &amp; $C92 &amp; ")",$B92)))), "  ", TRIM(IF($S92 = "YES", "(External ID)", "") &amp; " " &amp; IF(SUMPRODUCT(-- ISNUMBER(SEARCH({"Unique","Unique Case Insensitive"}, $R92))) &gt; 0, "(" &amp; $R92 &amp; ")", ""))))</f>
        <v>na</v>
      </c>
      <c r="E92" s="7" t="s">
        <v>195</v>
      </c>
      <c r="F92" s="7" t="s">
        <v>195</v>
      </c>
      <c r="G92" s="7" t="s">
        <v>195</v>
      </c>
      <c r="H92" s="7" t="s">
        <v>195</v>
      </c>
      <c r="I92" s="7" t="s">
        <v>195</v>
      </c>
      <c r="J92" s="7" t="s">
        <v>195</v>
      </c>
      <c r="K92" s="7" t="s">
        <v>195</v>
      </c>
      <c r="L92" s="7" t="s">
        <v>195</v>
      </c>
      <c r="M92" s="7" t="s">
        <v>29</v>
      </c>
      <c r="N92" s="7" t="s">
        <v>29</v>
      </c>
      <c r="O92" s="7" t="s">
        <v>29</v>
      </c>
      <c r="P92" s="7" t="s">
        <v>29</v>
      </c>
      <c r="Q92" s="7" t="s">
        <v>29</v>
      </c>
      <c r="R92" s="7" t="s">
        <v>29</v>
      </c>
      <c r="S92" s="7" t="s">
        <v>29</v>
      </c>
    </row>
    <row r="93" spans="2:19">
      <c r="B93" s="7" t="s">
        <v>195</v>
      </c>
      <c r="C93" s="8" t="s">
        <v>195</v>
      </c>
      <c r="D93" s="6" t="str">
        <f>LRTRIM(CONCATENATE(IF(SUMPRODUCT(-- ISNUMBER(SEARCH({"Auto Number"}, $B93))) &gt; 0, $B93, IF(SUMPRODUCT(-- ISNUMBER(SEARCH({"Lookup","Master-Detail"}, $B93))) &gt; 0,$B93 &amp; "(" &amp; $E93 &amp; ")",IF(SUMPRODUCT(-- ISNUMBER(SEARCH({"Formula","Roll-Up Summary"}, $B93))) &gt; 0,$B93 &amp; " (" &amp; $E93 &amp; ")",IF(SUMPRODUCT(-- ISNUMBER(SEARCH({"Content","Currency","Number","Percent","Text","URL"}, $B93))) &gt; 0,$B93 &amp; "(" &amp; $C93 &amp; ")",$B93)))), "  ", TRIM(IF($S93 = "YES", "(External ID)", "") &amp; " " &amp; IF(SUMPRODUCT(-- ISNUMBER(SEARCH({"Unique","Unique Case Insensitive"}, $R93))) &gt; 0, "(" &amp; $R93 &amp; ")", ""))))</f>
        <v>na</v>
      </c>
      <c r="E93" s="7" t="s">
        <v>195</v>
      </c>
      <c r="F93" s="7" t="s">
        <v>195</v>
      </c>
      <c r="G93" s="7" t="s">
        <v>195</v>
      </c>
      <c r="H93" s="7" t="s">
        <v>195</v>
      </c>
      <c r="I93" s="7" t="s">
        <v>195</v>
      </c>
      <c r="J93" s="7" t="s">
        <v>195</v>
      </c>
      <c r="K93" s="7" t="s">
        <v>195</v>
      </c>
      <c r="L93" s="7" t="s">
        <v>195</v>
      </c>
      <c r="M93" s="7" t="s">
        <v>29</v>
      </c>
      <c r="N93" s="7" t="s">
        <v>29</v>
      </c>
      <c r="O93" s="7" t="s">
        <v>29</v>
      </c>
      <c r="P93" s="7" t="s">
        <v>29</v>
      </c>
      <c r="Q93" s="7" t="s">
        <v>29</v>
      </c>
      <c r="R93" s="7" t="s">
        <v>29</v>
      </c>
      <c r="S93" s="7" t="s">
        <v>29</v>
      </c>
    </row>
    <row r="94" spans="2:19">
      <c r="B94" s="7" t="s">
        <v>195</v>
      </c>
      <c r="C94" s="8" t="s">
        <v>195</v>
      </c>
      <c r="D94" s="6" t="str">
        <f>LRTRIM(CONCATENATE(IF(SUMPRODUCT(-- ISNUMBER(SEARCH({"Auto Number"}, $B94))) &gt; 0, $B94, IF(SUMPRODUCT(-- ISNUMBER(SEARCH({"Lookup","Master-Detail"}, $B94))) &gt; 0,$B94 &amp; "(" &amp; $E94 &amp; ")",IF(SUMPRODUCT(-- ISNUMBER(SEARCH({"Formula","Roll-Up Summary"}, $B94))) &gt; 0,$B94 &amp; " (" &amp; $E94 &amp; ")",IF(SUMPRODUCT(-- ISNUMBER(SEARCH({"Content","Currency","Number","Percent","Text","URL"}, $B94))) &gt; 0,$B94 &amp; "(" &amp; $C94 &amp; ")",$B94)))), "  ", TRIM(IF($S94 = "YES", "(External ID)", "") &amp; " " &amp; IF(SUMPRODUCT(-- ISNUMBER(SEARCH({"Unique","Unique Case Insensitive"}, $R94))) &gt; 0, "(" &amp; $R94 &amp; ")", ""))))</f>
        <v>na</v>
      </c>
      <c r="E94" s="7" t="s">
        <v>195</v>
      </c>
      <c r="F94" s="7" t="s">
        <v>195</v>
      </c>
      <c r="G94" s="7" t="s">
        <v>195</v>
      </c>
      <c r="H94" s="7" t="s">
        <v>195</v>
      </c>
      <c r="I94" s="7" t="s">
        <v>195</v>
      </c>
      <c r="J94" s="7" t="s">
        <v>195</v>
      </c>
      <c r="K94" s="7" t="s">
        <v>195</v>
      </c>
      <c r="L94" s="7" t="s">
        <v>195</v>
      </c>
      <c r="M94" s="7" t="s">
        <v>29</v>
      </c>
      <c r="N94" s="7" t="s">
        <v>29</v>
      </c>
      <c r="O94" s="7" t="s">
        <v>29</v>
      </c>
      <c r="P94" s="7" t="s">
        <v>29</v>
      </c>
      <c r="Q94" s="7" t="s">
        <v>29</v>
      </c>
      <c r="R94" s="7" t="s">
        <v>29</v>
      </c>
      <c r="S94" s="7" t="s">
        <v>29</v>
      </c>
    </row>
    <row r="95" spans="2:19">
      <c r="B95" s="7" t="s">
        <v>195</v>
      </c>
      <c r="C95" s="8" t="s">
        <v>195</v>
      </c>
      <c r="D95" s="6" t="str">
        <f>LRTRIM(CONCATENATE(IF(SUMPRODUCT(-- ISNUMBER(SEARCH({"Auto Number"}, $B95))) &gt; 0, $B95, IF(SUMPRODUCT(-- ISNUMBER(SEARCH({"Lookup","Master-Detail"}, $B95))) &gt; 0,$B95 &amp; "(" &amp; $E95 &amp; ")",IF(SUMPRODUCT(-- ISNUMBER(SEARCH({"Formula","Roll-Up Summary"}, $B95))) &gt; 0,$B95 &amp; " (" &amp; $E95 &amp; ")",IF(SUMPRODUCT(-- ISNUMBER(SEARCH({"Content","Currency","Number","Percent","Text","URL"}, $B95))) &gt; 0,$B95 &amp; "(" &amp; $C95 &amp; ")",$B95)))), "  ", TRIM(IF($S95 = "YES", "(External ID)", "") &amp; " " &amp; IF(SUMPRODUCT(-- ISNUMBER(SEARCH({"Unique","Unique Case Insensitive"}, $R95))) &gt; 0, "(" &amp; $R95 &amp; ")", ""))))</f>
        <v>na</v>
      </c>
      <c r="E95" s="7" t="s">
        <v>195</v>
      </c>
      <c r="F95" s="7" t="s">
        <v>195</v>
      </c>
      <c r="G95" s="7" t="s">
        <v>195</v>
      </c>
      <c r="H95" s="7" t="s">
        <v>195</v>
      </c>
      <c r="I95" s="7" t="s">
        <v>195</v>
      </c>
      <c r="J95" s="7" t="s">
        <v>195</v>
      </c>
      <c r="K95" s="7" t="s">
        <v>195</v>
      </c>
      <c r="L95" s="7" t="s">
        <v>195</v>
      </c>
      <c r="M95" s="7" t="s">
        <v>29</v>
      </c>
      <c r="N95" s="7" t="s">
        <v>29</v>
      </c>
      <c r="O95" s="7" t="s">
        <v>29</v>
      </c>
      <c r="P95" s="7" t="s">
        <v>29</v>
      </c>
      <c r="Q95" s="7" t="s">
        <v>29</v>
      </c>
      <c r="R95" s="7" t="s">
        <v>29</v>
      </c>
      <c r="S95" s="7" t="s">
        <v>29</v>
      </c>
    </row>
    <row r="96" spans="2:19">
      <c r="B96" s="7" t="s">
        <v>195</v>
      </c>
      <c r="C96" s="8" t="s">
        <v>195</v>
      </c>
      <c r="D96" s="6" t="str">
        <f>LRTRIM(CONCATENATE(IF(SUMPRODUCT(-- ISNUMBER(SEARCH({"Auto Number"}, $B96))) &gt; 0, $B96, IF(SUMPRODUCT(-- ISNUMBER(SEARCH({"Lookup","Master-Detail"}, $B96))) &gt; 0,$B96 &amp; "(" &amp; $E96 &amp; ")",IF(SUMPRODUCT(-- ISNUMBER(SEARCH({"Formula","Roll-Up Summary"}, $B96))) &gt; 0,$B96 &amp; " (" &amp; $E96 &amp; ")",IF(SUMPRODUCT(-- ISNUMBER(SEARCH({"Content","Currency","Number","Percent","Text","URL"}, $B96))) &gt; 0,$B96 &amp; "(" &amp; $C96 &amp; ")",$B96)))), "  ", TRIM(IF($S96 = "YES", "(External ID)", "") &amp; " " &amp; IF(SUMPRODUCT(-- ISNUMBER(SEARCH({"Unique","Unique Case Insensitive"}, $R96))) &gt; 0, "(" &amp; $R96 &amp; ")", ""))))</f>
        <v>na</v>
      </c>
      <c r="E96" s="7" t="s">
        <v>195</v>
      </c>
      <c r="F96" s="7" t="s">
        <v>195</v>
      </c>
      <c r="G96" s="7" t="s">
        <v>195</v>
      </c>
      <c r="H96" s="7" t="s">
        <v>195</v>
      </c>
      <c r="I96" s="7" t="s">
        <v>195</v>
      </c>
      <c r="J96" s="7" t="s">
        <v>195</v>
      </c>
      <c r="K96" s="7" t="s">
        <v>195</v>
      </c>
      <c r="L96" s="7" t="s">
        <v>195</v>
      </c>
      <c r="M96" s="7" t="s">
        <v>29</v>
      </c>
      <c r="N96" s="7" t="s">
        <v>29</v>
      </c>
      <c r="O96" s="7" t="s">
        <v>29</v>
      </c>
      <c r="P96" s="7" t="s">
        <v>29</v>
      </c>
      <c r="Q96" s="7" t="s">
        <v>29</v>
      </c>
      <c r="R96" s="7" t="s">
        <v>29</v>
      </c>
      <c r="S96" s="7" t="s">
        <v>29</v>
      </c>
    </row>
    <row r="97" spans="2:19">
      <c r="B97" s="7" t="s">
        <v>195</v>
      </c>
      <c r="C97" s="8" t="s">
        <v>195</v>
      </c>
      <c r="D97" s="6" t="str">
        <f>LRTRIM(CONCATENATE(IF(SUMPRODUCT(-- ISNUMBER(SEARCH({"Auto Number"}, $B97))) &gt; 0, $B97, IF(SUMPRODUCT(-- ISNUMBER(SEARCH({"Lookup","Master-Detail"}, $B97))) &gt; 0,$B97 &amp; "(" &amp; $E97 &amp; ")",IF(SUMPRODUCT(-- ISNUMBER(SEARCH({"Formula","Roll-Up Summary"}, $B97))) &gt; 0,$B97 &amp; " (" &amp; $E97 &amp; ")",IF(SUMPRODUCT(-- ISNUMBER(SEARCH({"Content","Currency","Number","Percent","Text","URL"}, $B97))) &gt; 0,$B97 &amp; "(" &amp; $C97 &amp; ")",$B97)))), "  ", TRIM(IF($S97 = "YES", "(External ID)", "") &amp; " " &amp; IF(SUMPRODUCT(-- ISNUMBER(SEARCH({"Unique","Unique Case Insensitive"}, $R97))) &gt; 0, "(" &amp; $R97 &amp; ")", ""))))</f>
        <v>na</v>
      </c>
      <c r="E97" s="7" t="s">
        <v>195</v>
      </c>
      <c r="F97" s="7" t="s">
        <v>195</v>
      </c>
      <c r="G97" s="7" t="s">
        <v>195</v>
      </c>
      <c r="H97" s="7" t="s">
        <v>195</v>
      </c>
      <c r="I97" s="7" t="s">
        <v>195</v>
      </c>
      <c r="J97" s="7" t="s">
        <v>195</v>
      </c>
      <c r="K97" s="7" t="s">
        <v>195</v>
      </c>
      <c r="L97" s="7" t="s">
        <v>195</v>
      </c>
      <c r="M97" s="7" t="s">
        <v>29</v>
      </c>
      <c r="N97" s="7" t="s">
        <v>29</v>
      </c>
      <c r="O97" s="7" t="s">
        <v>29</v>
      </c>
      <c r="P97" s="7" t="s">
        <v>29</v>
      </c>
      <c r="Q97" s="7" t="s">
        <v>29</v>
      </c>
      <c r="R97" s="7" t="s">
        <v>29</v>
      </c>
      <c r="S97" s="7" t="s">
        <v>29</v>
      </c>
    </row>
    <row r="98" spans="2:19">
      <c r="B98" s="7" t="s">
        <v>195</v>
      </c>
      <c r="C98" s="8" t="s">
        <v>195</v>
      </c>
      <c r="D98" s="6" t="str">
        <f>LRTRIM(CONCATENATE(IF(SUMPRODUCT(-- ISNUMBER(SEARCH({"Auto Number"}, $B98))) &gt; 0, $B98, IF(SUMPRODUCT(-- ISNUMBER(SEARCH({"Lookup","Master-Detail"}, $B98))) &gt; 0,$B98 &amp; "(" &amp; $E98 &amp; ")",IF(SUMPRODUCT(-- ISNUMBER(SEARCH({"Formula","Roll-Up Summary"}, $B98))) &gt; 0,$B98 &amp; " (" &amp; $E98 &amp; ")",IF(SUMPRODUCT(-- ISNUMBER(SEARCH({"Content","Currency","Number","Percent","Text","URL"}, $B98))) &gt; 0,$B98 &amp; "(" &amp; $C98 &amp; ")",$B98)))), "  ", TRIM(IF($S98 = "YES", "(External ID)", "") &amp; " " &amp; IF(SUMPRODUCT(-- ISNUMBER(SEARCH({"Unique","Unique Case Insensitive"}, $R98))) &gt; 0, "(" &amp; $R98 &amp; ")", ""))))</f>
        <v>na</v>
      </c>
      <c r="E98" s="7" t="s">
        <v>195</v>
      </c>
      <c r="F98" s="7" t="s">
        <v>195</v>
      </c>
      <c r="G98" s="7" t="s">
        <v>195</v>
      </c>
      <c r="H98" s="7" t="s">
        <v>195</v>
      </c>
      <c r="I98" s="7" t="s">
        <v>195</v>
      </c>
      <c r="J98" s="7" t="s">
        <v>195</v>
      </c>
      <c r="K98" s="7" t="s">
        <v>195</v>
      </c>
      <c r="L98" s="7" t="s">
        <v>195</v>
      </c>
      <c r="M98" s="7" t="s">
        <v>29</v>
      </c>
      <c r="N98" s="7" t="s">
        <v>29</v>
      </c>
      <c r="O98" s="7" t="s">
        <v>29</v>
      </c>
      <c r="P98" s="7" t="s">
        <v>29</v>
      </c>
      <c r="Q98" s="7" t="s">
        <v>29</v>
      </c>
      <c r="R98" s="7" t="s">
        <v>29</v>
      </c>
      <c r="S98" s="7" t="s">
        <v>29</v>
      </c>
    </row>
    <row r="99" spans="2:19">
      <c r="B99" s="7" t="s">
        <v>195</v>
      </c>
      <c r="C99" s="8" t="s">
        <v>195</v>
      </c>
      <c r="D99" s="6" t="str">
        <f>LRTRIM(CONCATENATE(IF(SUMPRODUCT(-- ISNUMBER(SEARCH({"Auto Number"}, $B99))) &gt; 0, $B99, IF(SUMPRODUCT(-- ISNUMBER(SEARCH({"Lookup","Master-Detail"}, $B99))) &gt; 0,$B99 &amp; "(" &amp; $E99 &amp; ")",IF(SUMPRODUCT(-- ISNUMBER(SEARCH({"Formula","Roll-Up Summary"}, $B99))) &gt; 0,$B99 &amp; " (" &amp; $E99 &amp; ")",IF(SUMPRODUCT(-- ISNUMBER(SEARCH({"Content","Currency","Number","Percent","Text","URL"}, $B99))) &gt; 0,$B99 &amp; "(" &amp; $C99 &amp; ")",$B99)))), "  ", TRIM(IF($S99 = "YES", "(External ID)", "") &amp; " " &amp; IF(SUMPRODUCT(-- ISNUMBER(SEARCH({"Unique","Unique Case Insensitive"}, $R99))) &gt; 0, "(" &amp; $R99 &amp; ")", ""))))</f>
        <v>na</v>
      </c>
      <c r="E99" s="7" t="s">
        <v>195</v>
      </c>
      <c r="F99" s="7" t="s">
        <v>195</v>
      </c>
      <c r="G99" s="7" t="s">
        <v>195</v>
      </c>
      <c r="H99" s="7" t="s">
        <v>195</v>
      </c>
      <c r="I99" s="7" t="s">
        <v>195</v>
      </c>
      <c r="J99" s="7" t="s">
        <v>195</v>
      </c>
      <c r="K99" s="7" t="s">
        <v>195</v>
      </c>
      <c r="L99" s="7" t="s">
        <v>195</v>
      </c>
      <c r="M99" s="7" t="s">
        <v>29</v>
      </c>
      <c r="N99" s="7" t="s">
        <v>29</v>
      </c>
      <c r="O99" s="7" t="s">
        <v>29</v>
      </c>
      <c r="P99" s="7" t="s">
        <v>29</v>
      </c>
      <c r="Q99" s="7" t="s">
        <v>29</v>
      </c>
      <c r="R99" s="7" t="s">
        <v>29</v>
      </c>
      <c r="S99" s="7" t="s">
        <v>29</v>
      </c>
    </row>
    <row r="100" spans="2:19">
      <c r="B100" s="7" t="s">
        <v>195</v>
      </c>
      <c r="C100" s="8" t="s">
        <v>195</v>
      </c>
      <c r="D100" s="6" t="str">
        <f>LRTRIM(CONCATENATE(IF(SUMPRODUCT(-- ISNUMBER(SEARCH({"Auto Number"}, $B100))) &gt; 0, $B100, IF(SUMPRODUCT(-- ISNUMBER(SEARCH({"Lookup","Master-Detail"}, $B100))) &gt; 0,$B100 &amp; "(" &amp; $E100 &amp; ")",IF(SUMPRODUCT(-- ISNUMBER(SEARCH({"Formula","Roll-Up Summary"}, $B100))) &gt; 0,$B100 &amp; " (" &amp; $E100 &amp; ")",IF(SUMPRODUCT(-- ISNUMBER(SEARCH({"Content","Currency","Number","Percent","Text","URL"}, $B100))) &gt; 0,$B100 &amp; "(" &amp; $C100 &amp; ")",$B100)))), "  ", TRIM(IF($S100 = "YES", "(External ID)", "") &amp; " " &amp; IF(SUMPRODUCT(-- ISNUMBER(SEARCH({"Unique","Unique Case Insensitive"}, $R100))) &gt; 0, "(" &amp; $R100 &amp; ")", ""))))</f>
        <v>na</v>
      </c>
      <c r="E100" s="7" t="s">
        <v>195</v>
      </c>
      <c r="F100" s="7" t="s">
        <v>195</v>
      </c>
      <c r="G100" s="7" t="s">
        <v>195</v>
      </c>
      <c r="H100" s="7" t="s">
        <v>195</v>
      </c>
      <c r="I100" s="7" t="s">
        <v>195</v>
      </c>
      <c r="J100" s="7" t="s">
        <v>195</v>
      </c>
      <c r="K100" s="7" t="s">
        <v>195</v>
      </c>
      <c r="L100" s="7" t="s">
        <v>195</v>
      </c>
      <c r="M100" s="7" t="s">
        <v>29</v>
      </c>
      <c r="N100" s="7" t="s">
        <v>29</v>
      </c>
      <c r="O100" s="7" t="s">
        <v>29</v>
      </c>
      <c r="P100" s="7" t="s">
        <v>29</v>
      </c>
      <c r="Q100" s="7" t="s">
        <v>29</v>
      </c>
      <c r="R100" s="7" t="s">
        <v>29</v>
      </c>
      <c r="S100" s="7" t="s">
        <v>29</v>
      </c>
    </row>
    <row r="101" spans="2:19">
      <c r="B101" s="7" t="s">
        <v>195</v>
      </c>
      <c r="C101" s="8" t="s">
        <v>195</v>
      </c>
      <c r="D101" s="6" t="str">
        <f>LRTRIM(CONCATENATE(IF(SUMPRODUCT(-- ISNUMBER(SEARCH({"Auto Number"}, $B101))) &gt; 0, $B101, IF(SUMPRODUCT(-- ISNUMBER(SEARCH({"Lookup","Master-Detail"}, $B101))) &gt; 0,$B101 &amp; "(" &amp; $E101 &amp; ")",IF(SUMPRODUCT(-- ISNUMBER(SEARCH({"Formula","Roll-Up Summary"}, $B101))) &gt; 0,$B101 &amp; " (" &amp; $E101 &amp; ")",IF(SUMPRODUCT(-- ISNUMBER(SEARCH({"Content","Currency","Number","Percent","Text","URL"}, $B101))) &gt; 0,$B101 &amp; "(" &amp; $C101 &amp; ")",$B101)))), "  ", TRIM(IF($S101 = "YES", "(External ID)", "") &amp; " " &amp; IF(SUMPRODUCT(-- ISNUMBER(SEARCH({"Unique","Unique Case Insensitive"}, $R101))) &gt; 0, "(" &amp; $R101 &amp; ")", ""))))</f>
        <v>na</v>
      </c>
      <c r="E101" s="7" t="s">
        <v>195</v>
      </c>
      <c r="F101" s="7" t="s">
        <v>195</v>
      </c>
      <c r="G101" s="7" t="s">
        <v>195</v>
      </c>
      <c r="H101" s="7" t="s">
        <v>195</v>
      </c>
      <c r="I101" s="7" t="s">
        <v>195</v>
      </c>
      <c r="J101" s="7" t="s">
        <v>195</v>
      </c>
      <c r="K101" s="7" t="s">
        <v>195</v>
      </c>
      <c r="L101" s="7" t="s">
        <v>195</v>
      </c>
      <c r="M101" s="7" t="s">
        <v>29</v>
      </c>
      <c r="N101" s="7" t="s">
        <v>29</v>
      </c>
      <c r="O101" s="7" t="s">
        <v>29</v>
      </c>
      <c r="P101" s="7" t="s">
        <v>29</v>
      </c>
      <c r="Q101" s="7" t="s">
        <v>29</v>
      </c>
      <c r="R101" s="7" t="s">
        <v>29</v>
      </c>
      <c r="S101" s="7" t="s">
        <v>29</v>
      </c>
    </row>
    <row r="102" spans="2:19">
      <c r="B102" s="7" t="s">
        <v>195</v>
      </c>
      <c r="C102" s="8" t="s">
        <v>195</v>
      </c>
      <c r="D102" s="6" t="str">
        <f>LRTRIM(CONCATENATE(IF(SUMPRODUCT(-- ISNUMBER(SEARCH({"Auto Number"}, $B102))) &gt; 0, $B102, IF(SUMPRODUCT(-- ISNUMBER(SEARCH({"Lookup","Master-Detail"}, $B102))) &gt; 0,$B102 &amp; "(" &amp; $E102 &amp; ")",IF(SUMPRODUCT(-- ISNUMBER(SEARCH({"Formula","Roll-Up Summary"}, $B102))) &gt; 0,$B102 &amp; " (" &amp; $E102 &amp; ")",IF(SUMPRODUCT(-- ISNUMBER(SEARCH({"Content","Currency","Number","Percent","Text","URL"}, $B102))) &gt; 0,$B102 &amp; "(" &amp; $C102 &amp; ")",$B102)))), "  ", TRIM(IF($S102 = "YES", "(External ID)", "") &amp; " " &amp; IF(SUMPRODUCT(-- ISNUMBER(SEARCH({"Unique","Unique Case Insensitive"}, $R102))) &gt; 0, "(" &amp; $R102 &amp; ")", ""))))</f>
        <v>na</v>
      </c>
      <c r="E102" s="7" t="s">
        <v>195</v>
      </c>
      <c r="F102" s="7" t="s">
        <v>195</v>
      </c>
      <c r="G102" s="7" t="s">
        <v>195</v>
      </c>
      <c r="H102" s="7" t="s">
        <v>195</v>
      </c>
      <c r="I102" s="7" t="s">
        <v>195</v>
      </c>
      <c r="J102" s="7" t="s">
        <v>195</v>
      </c>
      <c r="K102" s="7" t="s">
        <v>195</v>
      </c>
      <c r="L102" s="7" t="s">
        <v>195</v>
      </c>
      <c r="M102" s="7" t="s">
        <v>29</v>
      </c>
      <c r="N102" s="7" t="s">
        <v>29</v>
      </c>
      <c r="O102" s="7" t="s">
        <v>29</v>
      </c>
      <c r="P102" s="7" t="s">
        <v>29</v>
      </c>
      <c r="Q102" s="7" t="s">
        <v>29</v>
      </c>
      <c r="R102" s="7" t="s">
        <v>29</v>
      </c>
      <c r="S102" s="7" t="s">
        <v>29</v>
      </c>
    </row>
    <row r="103" spans="2:19">
      <c r="B103" s="7" t="s">
        <v>195</v>
      </c>
      <c r="C103" s="8" t="s">
        <v>195</v>
      </c>
      <c r="D103" s="6" t="str">
        <f>LRTRIM(CONCATENATE(IF(SUMPRODUCT(-- ISNUMBER(SEARCH({"Auto Number"}, $B103))) &gt; 0, $B103, IF(SUMPRODUCT(-- ISNUMBER(SEARCH({"Lookup","Master-Detail"}, $B103))) &gt; 0,$B103 &amp; "(" &amp; $E103 &amp; ")",IF(SUMPRODUCT(-- ISNUMBER(SEARCH({"Formula","Roll-Up Summary"}, $B103))) &gt; 0,$B103 &amp; " (" &amp; $E103 &amp; ")",IF(SUMPRODUCT(-- ISNUMBER(SEARCH({"Content","Currency","Number","Percent","Text","URL"}, $B103))) &gt; 0,$B103 &amp; "(" &amp; $C103 &amp; ")",$B103)))), "  ", TRIM(IF($S103 = "YES", "(External ID)", "") &amp; " " &amp; IF(SUMPRODUCT(-- ISNUMBER(SEARCH({"Unique","Unique Case Insensitive"}, $R103))) &gt; 0, "(" &amp; $R103 &amp; ")", ""))))</f>
        <v>na</v>
      </c>
      <c r="E103" s="7" t="s">
        <v>195</v>
      </c>
      <c r="F103" s="7" t="s">
        <v>195</v>
      </c>
      <c r="G103" s="7" t="s">
        <v>195</v>
      </c>
      <c r="H103" s="7" t="s">
        <v>195</v>
      </c>
      <c r="I103" s="7" t="s">
        <v>195</v>
      </c>
      <c r="J103" s="7" t="s">
        <v>195</v>
      </c>
      <c r="K103" s="7" t="s">
        <v>195</v>
      </c>
      <c r="L103" s="7" t="s">
        <v>195</v>
      </c>
      <c r="M103" s="7" t="s">
        <v>29</v>
      </c>
      <c r="N103" s="7" t="s">
        <v>29</v>
      </c>
      <c r="O103" s="7" t="s">
        <v>29</v>
      </c>
      <c r="P103" s="7" t="s">
        <v>29</v>
      </c>
      <c r="Q103" s="7" t="s">
        <v>29</v>
      </c>
      <c r="R103" s="7" t="s">
        <v>29</v>
      </c>
      <c r="S103" s="7" t="s">
        <v>29</v>
      </c>
    </row>
    <row r="104" spans="2:19">
      <c r="B104" s="7" t="s">
        <v>195</v>
      </c>
      <c r="C104" s="8" t="s">
        <v>195</v>
      </c>
      <c r="D104" s="6" t="str">
        <f>LRTRIM(CONCATENATE(IF(SUMPRODUCT(-- ISNUMBER(SEARCH({"Auto Number"}, $B104))) &gt; 0, $B104, IF(SUMPRODUCT(-- ISNUMBER(SEARCH({"Lookup","Master-Detail"}, $B104))) &gt; 0,$B104 &amp; "(" &amp; $E104 &amp; ")",IF(SUMPRODUCT(-- ISNUMBER(SEARCH({"Formula","Roll-Up Summary"}, $B104))) &gt; 0,$B104 &amp; " (" &amp; $E104 &amp; ")",IF(SUMPRODUCT(-- ISNUMBER(SEARCH({"Content","Currency","Number","Percent","Text","URL"}, $B104))) &gt; 0,$B104 &amp; "(" &amp; $C104 &amp; ")",$B104)))), "  ", TRIM(IF($S104 = "YES", "(External ID)", "") &amp; " " &amp; IF(SUMPRODUCT(-- ISNUMBER(SEARCH({"Unique","Unique Case Insensitive"}, $R104))) &gt; 0, "(" &amp; $R104 &amp; ")", ""))))</f>
        <v>na</v>
      </c>
      <c r="E104" s="7" t="s">
        <v>195</v>
      </c>
      <c r="F104" s="7" t="s">
        <v>195</v>
      </c>
      <c r="G104" s="7" t="s">
        <v>195</v>
      </c>
      <c r="H104" s="7" t="s">
        <v>195</v>
      </c>
      <c r="I104" s="7" t="s">
        <v>195</v>
      </c>
      <c r="J104" s="7" t="s">
        <v>195</v>
      </c>
      <c r="K104" s="7" t="s">
        <v>195</v>
      </c>
      <c r="L104" s="7" t="s">
        <v>195</v>
      </c>
      <c r="M104" s="7" t="s">
        <v>29</v>
      </c>
      <c r="N104" s="7" t="s">
        <v>29</v>
      </c>
      <c r="O104" s="7" t="s">
        <v>29</v>
      </c>
      <c r="P104" s="7" t="s">
        <v>29</v>
      </c>
      <c r="Q104" s="7" t="s">
        <v>29</v>
      </c>
      <c r="R104" s="7" t="s">
        <v>29</v>
      </c>
      <c r="S104" s="7" t="s">
        <v>29</v>
      </c>
    </row>
    <row r="105" spans="2:19">
      <c r="B105" s="7" t="s">
        <v>195</v>
      </c>
      <c r="C105" s="8" t="s">
        <v>195</v>
      </c>
      <c r="D105" s="6" t="str">
        <f>LRTRIM(CONCATENATE(IF(SUMPRODUCT(-- ISNUMBER(SEARCH({"Auto Number"}, $B105))) &gt; 0, $B105, IF(SUMPRODUCT(-- ISNUMBER(SEARCH({"Lookup","Master-Detail"}, $B105))) &gt; 0,$B105 &amp; "(" &amp; $E105 &amp; ")",IF(SUMPRODUCT(-- ISNUMBER(SEARCH({"Formula","Roll-Up Summary"}, $B105))) &gt; 0,$B105 &amp; " (" &amp; $E105 &amp; ")",IF(SUMPRODUCT(-- ISNUMBER(SEARCH({"Content","Currency","Number","Percent","Text","URL"}, $B105))) &gt; 0,$B105 &amp; "(" &amp; $C105 &amp; ")",$B105)))), "  ", TRIM(IF($S105 = "YES", "(External ID)", "") &amp; " " &amp; IF(SUMPRODUCT(-- ISNUMBER(SEARCH({"Unique","Unique Case Insensitive"}, $R105))) &gt; 0, "(" &amp; $R105 &amp; ")", ""))))</f>
        <v>na</v>
      </c>
      <c r="E105" s="7" t="s">
        <v>195</v>
      </c>
      <c r="F105" s="7" t="s">
        <v>195</v>
      </c>
      <c r="G105" s="7" t="s">
        <v>195</v>
      </c>
      <c r="H105" s="7" t="s">
        <v>195</v>
      </c>
      <c r="I105" s="7" t="s">
        <v>195</v>
      </c>
      <c r="J105" s="7" t="s">
        <v>195</v>
      </c>
      <c r="K105" s="7" t="s">
        <v>195</v>
      </c>
      <c r="L105" s="7" t="s">
        <v>195</v>
      </c>
      <c r="M105" s="7" t="s">
        <v>29</v>
      </c>
      <c r="N105" s="7" t="s">
        <v>29</v>
      </c>
      <c r="O105" s="7" t="s">
        <v>29</v>
      </c>
      <c r="P105" s="7" t="s">
        <v>29</v>
      </c>
      <c r="Q105" s="7" t="s">
        <v>29</v>
      </c>
      <c r="R105" s="7" t="s">
        <v>29</v>
      </c>
      <c r="S105" s="7" t="s">
        <v>29</v>
      </c>
    </row>
    <row r="106" spans="2:19">
      <c r="B106" s="7" t="s">
        <v>195</v>
      </c>
      <c r="C106" s="8" t="s">
        <v>195</v>
      </c>
      <c r="D106" s="6" t="str">
        <f>LRTRIM(CONCATENATE(IF(SUMPRODUCT(-- ISNUMBER(SEARCH({"Auto Number"}, $B106))) &gt; 0, $B106, IF(SUMPRODUCT(-- ISNUMBER(SEARCH({"Lookup","Master-Detail"}, $B106))) &gt; 0,$B106 &amp; "(" &amp; $E106 &amp; ")",IF(SUMPRODUCT(-- ISNUMBER(SEARCH({"Formula","Roll-Up Summary"}, $B106))) &gt; 0,$B106 &amp; " (" &amp; $E106 &amp; ")",IF(SUMPRODUCT(-- ISNUMBER(SEARCH({"Content","Currency","Number","Percent","Text","URL"}, $B106))) &gt; 0,$B106 &amp; "(" &amp; $C106 &amp; ")",$B106)))), "  ", TRIM(IF($S106 = "YES", "(External ID)", "") &amp; " " &amp; IF(SUMPRODUCT(-- ISNUMBER(SEARCH({"Unique","Unique Case Insensitive"}, $R106))) &gt; 0, "(" &amp; $R106 &amp; ")", ""))))</f>
        <v>na</v>
      </c>
      <c r="E106" s="7" t="s">
        <v>195</v>
      </c>
      <c r="F106" s="7" t="s">
        <v>195</v>
      </c>
      <c r="G106" s="7" t="s">
        <v>195</v>
      </c>
      <c r="H106" s="7" t="s">
        <v>195</v>
      </c>
      <c r="I106" s="7" t="s">
        <v>195</v>
      </c>
      <c r="J106" s="7" t="s">
        <v>195</v>
      </c>
      <c r="K106" s="7" t="s">
        <v>195</v>
      </c>
      <c r="L106" s="7" t="s">
        <v>195</v>
      </c>
      <c r="M106" s="7" t="s">
        <v>29</v>
      </c>
      <c r="N106" s="7" t="s">
        <v>29</v>
      </c>
      <c r="O106" s="7" t="s">
        <v>29</v>
      </c>
      <c r="P106" s="7" t="s">
        <v>29</v>
      </c>
      <c r="Q106" s="7" t="s">
        <v>29</v>
      </c>
      <c r="R106" s="7" t="s">
        <v>29</v>
      </c>
      <c r="S106" s="7" t="s">
        <v>29</v>
      </c>
    </row>
    <row r="107" spans="2:19">
      <c r="B107" s="7" t="s">
        <v>195</v>
      </c>
      <c r="C107" s="8" t="s">
        <v>195</v>
      </c>
      <c r="D107" s="6" t="str">
        <f>LRTRIM(CONCATENATE(IF(SUMPRODUCT(-- ISNUMBER(SEARCH({"Auto Number"}, $B107))) &gt; 0, $B107, IF(SUMPRODUCT(-- ISNUMBER(SEARCH({"Lookup","Master-Detail"}, $B107))) &gt; 0,$B107 &amp; "(" &amp; $E107 &amp; ")",IF(SUMPRODUCT(-- ISNUMBER(SEARCH({"Formula","Roll-Up Summary"}, $B107))) &gt; 0,$B107 &amp; " (" &amp; $E107 &amp; ")",IF(SUMPRODUCT(-- ISNUMBER(SEARCH({"Content","Currency","Number","Percent","Text","URL"}, $B107))) &gt; 0,$B107 &amp; "(" &amp; $C107 &amp; ")",$B107)))), "  ", TRIM(IF($S107 = "YES", "(External ID)", "") &amp; " " &amp; IF(SUMPRODUCT(-- ISNUMBER(SEARCH({"Unique","Unique Case Insensitive"}, $R107))) &gt; 0, "(" &amp; $R107 &amp; ")", ""))))</f>
        <v>na</v>
      </c>
      <c r="E107" s="7" t="s">
        <v>195</v>
      </c>
      <c r="F107" s="7" t="s">
        <v>195</v>
      </c>
      <c r="G107" s="7" t="s">
        <v>195</v>
      </c>
      <c r="H107" s="7" t="s">
        <v>195</v>
      </c>
      <c r="I107" s="7" t="s">
        <v>195</v>
      </c>
      <c r="J107" s="7" t="s">
        <v>195</v>
      </c>
      <c r="K107" s="7" t="s">
        <v>195</v>
      </c>
      <c r="L107" s="7" t="s">
        <v>195</v>
      </c>
      <c r="M107" s="7" t="s">
        <v>29</v>
      </c>
      <c r="N107" s="7" t="s">
        <v>29</v>
      </c>
      <c r="O107" s="7" t="s">
        <v>29</v>
      </c>
      <c r="P107" s="7" t="s">
        <v>29</v>
      </c>
      <c r="Q107" s="7" t="s">
        <v>29</v>
      </c>
      <c r="R107" s="7" t="s">
        <v>29</v>
      </c>
      <c r="S107" s="7" t="s">
        <v>29</v>
      </c>
    </row>
    <row r="108" spans="2:19">
      <c r="B108" s="7" t="s">
        <v>195</v>
      </c>
      <c r="C108" s="8" t="s">
        <v>195</v>
      </c>
      <c r="D108" s="6" t="str">
        <f>LRTRIM(CONCATENATE(IF(SUMPRODUCT(-- ISNUMBER(SEARCH({"Auto Number"}, $B108))) &gt; 0, $B108, IF(SUMPRODUCT(-- ISNUMBER(SEARCH({"Lookup","Master-Detail"}, $B108))) &gt; 0,$B108 &amp; "(" &amp; $E108 &amp; ")",IF(SUMPRODUCT(-- ISNUMBER(SEARCH({"Formula","Roll-Up Summary"}, $B108))) &gt; 0,$B108 &amp; " (" &amp; $E108 &amp; ")",IF(SUMPRODUCT(-- ISNUMBER(SEARCH({"Content","Currency","Number","Percent","Text","URL"}, $B108))) &gt; 0,$B108 &amp; "(" &amp; $C108 &amp; ")",$B108)))), "  ", TRIM(IF($S108 = "YES", "(External ID)", "") &amp; " " &amp; IF(SUMPRODUCT(-- ISNUMBER(SEARCH({"Unique","Unique Case Insensitive"}, $R108))) &gt; 0, "(" &amp; $R108 &amp; ")", ""))))</f>
        <v>na</v>
      </c>
      <c r="E108" s="7" t="s">
        <v>195</v>
      </c>
      <c r="F108" s="7" t="s">
        <v>195</v>
      </c>
      <c r="G108" s="7" t="s">
        <v>195</v>
      </c>
      <c r="H108" s="7" t="s">
        <v>195</v>
      </c>
      <c r="I108" s="7" t="s">
        <v>195</v>
      </c>
      <c r="J108" s="7" t="s">
        <v>195</v>
      </c>
      <c r="K108" s="7" t="s">
        <v>195</v>
      </c>
      <c r="L108" s="7" t="s">
        <v>195</v>
      </c>
      <c r="M108" s="7" t="s">
        <v>29</v>
      </c>
      <c r="N108" s="7" t="s">
        <v>29</v>
      </c>
      <c r="O108" s="7" t="s">
        <v>29</v>
      </c>
      <c r="P108" s="7" t="s">
        <v>29</v>
      </c>
      <c r="Q108" s="7" t="s">
        <v>29</v>
      </c>
      <c r="R108" s="7" t="s">
        <v>29</v>
      </c>
      <c r="S108" s="7" t="s">
        <v>29</v>
      </c>
    </row>
    <row r="109" spans="2:19">
      <c r="B109" s="7" t="s">
        <v>195</v>
      </c>
      <c r="C109" s="8" t="s">
        <v>195</v>
      </c>
      <c r="D109" s="6" t="str">
        <f>LRTRIM(CONCATENATE(IF(SUMPRODUCT(-- ISNUMBER(SEARCH({"Auto Number"}, $B109))) &gt; 0, $B109, IF(SUMPRODUCT(-- ISNUMBER(SEARCH({"Lookup","Master-Detail"}, $B109))) &gt; 0,$B109 &amp; "(" &amp; $E109 &amp; ")",IF(SUMPRODUCT(-- ISNUMBER(SEARCH({"Formula","Roll-Up Summary"}, $B109))) &gt; 0,$B109 &amp; " (" &amp; $E109 &amp; ")",IF(SUMPRODUCT(-- ISNUMBER(SEARCH({"Content","Currency","Number","Percent","Text","URL"}, $B109))) &gt; 0,$B109 &amp; "(" &amp; $C109 &amp; ")",$B109)))), "  ", TRIM(IF($S109 = "YES", "(External ID)", "") &amp; " " &amp; IF(SUMPRODUCT(-- ISNUMBER(SEARCH({"Unique","Unique Case Insensitive"}, $R109))) &gt; 0, "(" &amp; $R109 &amp; ")", ""))))</f>
        <v>na</v>
      </c>
      <c r="E109" s="7" t="s">
        <v>195</v>
      </c>
      <c r="F109" s="7" t="s">
        <v>195</v>
      </c>
      <c r="G109" s="7" t="s">
        <v>195</v>
      </c>
      <c r="H109" s="7" t="s">
        <v>195</v>
      </c>
      <c r="I109" s="7" t="s">
        <v>195</v>
      </c>
      <c r="J109" s="7" t="s">
        <v>195</v>
      </c>
      <c r="K109" s="7" t="s">
        <v>195</v>
      </c>
      <c r="L109" s="7" t="s">
        <v>195</v>
      </c>
      <c r="M109" s="7" t="s">
        <v>29</v>
      </c>
      <c r="N109" s="7" t="s">
        <v>29</v>
      </c>
      <c r="O109" s="7" t="s">
        <v>29</v>
      </c>
      <c r="P109" s="7" t="s">
        <v>29</v>
      </c>
      <c r="Q109" s="7" t="s">
        <v>29</v>
      </c>
      <c r="R109" s="7" t="s">
        <v>29</v>
      </c>
      <c r="S109" s="7" t="s">
        <v>29</v>
      </c>
    </row>
    <row r="110" spans="2:19">
      <c r="B110" s="7" t="s">
        <v>195</v>
      </c>
      <c r="C110" s="8" t="s">
        <v>195</v>
      </c>
      <c r="D110" s="6" t="str">
        <f>LRTRIM(CONCATENATE(IF(SUMPRODUCT(-- ISNUMBER(SEARCH({"Auto Number"}, $B110))) &gt; 0, $B110, IF(SUMPRODUCT(-- ISNUMBER(SEARCH({"Lookup","Master-Detail"}, $B110))) &gt; 0,$B110 &amp; "(" &amp; $E110 &amp; ")",IF(SUMPRODUCT(-- ISNUMBER(SEARCH({"Formula","Roll-Up Summary"}, $B110))) &gt; 0,$B110 &amp; " (" &amp; $E110 &amp; ")",IF(SUMPRODUCT(-- ISNUMBER(SEARCH({"Content","Currency","Number","Percent","Text","URL"}, $B110))) &gt; 0,$B110 &amp; "(" &amp; $C110 &amp; ")",$B110)))), "  ", TRIM(IF($S110 = "YES", "(External ID)", "") &amp; " " &amp; IF(SUMPRODUCT(-- ISNUMBER(SEARCH({"Unique","Unique Case Insensitive"}, $R110))) &gt; 0, "(" &amp; $R110 &amp; ")", ""))))</f>
        <v>na</v>
      </c>
      <c r="E110" s="7" t="s">
        <v>195</v>
      </c>
      <c r="F110" s="7" t="s">
        <v>195</v>
      </c>
      <c r="G110" s="7" t="s">
        <v>195</v>
      </c>
      <c r="H110" s="7" t="s">
        <v>195</v>
      </c>
      <c r="I110" s="7" t="s">
        <v>195</v>
      </c>
      <c r="J110" s="7" t="s">
        <v>195</v>
      </c>
      <c r="K110" s="7" t="s">
        <v>195</v>
      </c>
      <c r="L110" s="7" t="s">
        <v>195</v>
      </c>
      <c r="M110" s="7" t="s">
        <v>29</v>
      </c>
      <c r="N110" s="7" t="s">
        <v>29</v>
      </c>
      <c r="O110" s="7" t="s">
        <v>29</v>
      </c>
      <c r="P110" s="7" t="s">
        <v>29</v>
      </c>
      <c r="Q110" s="7" t="s">
        <v>29</v>
      </c>
      <c r="R110" s="7" t="s">
        <v>29</v>
      </c>
      <c r="S110" s="7" t="s">
        <v>29</v>
      </c>
    </row>
    <row r="111" spans="2:19">
      <c r="B111" s="7" t="s">
        <v>195</v>
      </c>
      <c r="C111" s="8" t="s">
        <v>195</v>
      </c>
      <c r="D111" s="6" t="str">
        <f>LRTRIM(CONCATENATE(IF(SUMPRODUCT(-- ISNUMBER(SEARCH({"Auto Number"}, $B111))) &gt; 0, $B111, IF(SUMPRODUCT(-- ISNUMBER(SEARCH({"Lookup","Master-Detail"}, $B111))) &gt; 0,$B111 &amp; "(" &amp; $E111 &amp; ")",IF(SUMPRODUCT(-- ISNUMBER(SEARCH({"Formula","Roll-Up Summary"}, $B111))) &gt; 0,$B111 &amp; " (" &amp; $E111 &amp; ")",IF(SUMPRODUCT(-- ISNUMBER(SEARCH({"Content","Currency","Number","Percent","Text","URL"}, $B111))) &gt; 0,$B111 &amp; "(" &amp; $C111 &amp; ")",$B111)))), "  ", TRIM(IF($S111 = "YES", "(External ID)", "") &amp; " " &amp; IF(SUMPRODUCT(-- ISNUMBER(SEARCH({"Unique","Unique Case Insensitive"}, $R111))) &gt; 0, "(" &amp; $R111 &amp; ")", ""))))</f>
        <v>na</v>
      </c>
      <c r="E111" s="7" t="s">
        <v>195</v>
      </c>
      <c r="F111" s="7" t="s">
        <v>195</v>
      </c>
      <c r="G111" s="7" t="s">
        <v>195</v>
      </c>
      <c r="H111" s="7" t="s">
        <v>195</v>
      </c>
      <c r="I111" s="7" t="s">
        <v>195</v>
      </c>
      <c r="J111" s="7" t="s">
        <v>195</v>
      </c>
      <c r="K111" s="7" t="s">
        <v>195</v>
      </c>
      <c r="L111" s="7" t="s">
        <v>195</v>
      </c>
      <c r="M111" s="7" t="s">
        <v>29</v>
      </c>
      <c r="N111" s="7" t="s">
        <v>29</v>
      </c>
      <c r="O111" s="7" t="s">
        <v>29</v>
      </c>
      <c r="P111" s="7" t="s">
        <v>29</v>
      </c>
      <c r="Q111" s="7" t="s">
        <v>29</v>
      </c>
      <c r="R111" s="7" t="s">
        <v>29</v>
      </c>
      <c r="S111" s="7" t="s">
        <v>29</v>
      </c>
    </row>
    <row r="112" spans="2:19">
      <c r="B112" s="7" t="s">
        <v>195</v>
      </c>
      <c r="C112" s="8" t="s">
        <v>195</v>
      </c>
      <c r="D112" s="6" t="str">
        <f>LRTRIM(CONCATENATE(IF(SUMPRODUCT(-- ISNUMBER(SEARCH({"Auto Number"}, $B112))) &gt; 0, $B112, IF(SUMPRODUCT(-- ISNUMBER(SEARCH({"Lookup","Master-Detail"}, $B112))) &gt; 0,$B112 &amp; "(" &amp; $E112 &amp; ")",IF(SUMPRODUCT(-- ISNUMBER(SEARCH({"Formula","Roll-Up Summary"}, $B112))) &gt; 0,$B112 &amp; " (" &amp; $E112 &amp; ")",IF(SUMPRODUCT(-- ISNUMBER(SEARCH({"Content","Currency","Number","Percent","Text","URL"}, $B112))) &gt; 0,$B112 &amp; "(" &amp; $C112 &amp; ")",$B112)))), "  ", TRIM(IF($S112 = "YES", "(External ID)", "") &amp; " " &amp; IF(SUMPRODUCT(-- ISNUMBER(SEARCH({"Unique","Unique Case Insensitive"}, $R112))) &gt; 0, "(" &amp; $R112 &amp; ")", ""))))</f>
        <v>na</v>
      </c>
      <c r="E112" s="7" t="s">
        <v>195</v>
      </c>
      <c r="F112" s="7" t="s">
        <v>195</v>
      </c>
      <c r="G112" s="7" t="s">
        <v>195</v>
      </c>
      <c r="H112" s="7" t="s">
        <v>195</v>
      </c>
      <c r="I112" s="7" t="s">
        <v>195</v>
      </c>
      <c r="J112" s="7" t="s">
        <v>195</v>
      </c>
      <c r="K112" s="7" t="s">
        <v>195</v>
      </c>
      <c r="L112" s="7" t="s">
        <v>195</v>
      </c>
      <c r="M112" s="7" t="s">
        <v>29</v>
      </c>
      <c r="N112" s="7" t="s">
        <v>29</v>
      </c>
      <c r="O112" s="7" t="s">
        <v>29</v>
      </c>
      <c r="P112" s="7" t="s">
        <v>29</v>
      </c>
      <c r="Q112" s="7" t="s">
        <v>29</v>
      </c>
      <c r="R112" s="7" t="s">
        <v>29</v>
      </c>
      <c r="S112" s="7" t="s">
        <v>29</v>
      </c>
    </row>
    <row r="113" spans="2:19">
      <c r="B113" s="7" t="s">
        <v>195</v>
      </c>
      <c r="C113" s="8" t="s">
        <v>195</v>
      </c>
      <c r="D113" s="6" t="str">
        <f>LRTRIM(CONCATENATE(IF(SUMPRODUCT(-- ISNUMBER(SEARCH({"Auto Number"}, $B113))) &gt; 0, $B113, IF(SUMPRODUCT(-- ISNUMBER(SEARCH({"Lookup","Master-Detail"}, $B113))) &gt; 0,$B113 &amp; "(" &amp; $E113 &amp; ")",IF(SUMPRODUCT(-- ISNUMBER(SEARCH({"Formula","Roll-Up Summary"}, $B113))) &gt; 0,$B113 &amp; " (" &amp; $E113 &amp; ")",IF(SUMPRODUCT(-- ISNUMBER(SEARCH({"Content","Currency","Number","Percent","Text","URL"}, $B113))) &gt; 0,$B113 &amp; "(" &amp; $C113 &amp; ")",$B113)))), "  ", TRIM(IF($S113 = "YES", "(External ID)", "") &amp; " " &amp; IF(SUMPRODUCT(-- ISNUMBER(SEARCH({"Unique","Unique Case Insensitive"}, $R113))) &gt; 0, "(" &amp; $R113 &amp; ")", ""))))</f>
        <v>na</v>
      </c>
      <c r="E113" s="7" t="s">
        <v>195</v>
      </c>
      <c r="F113" s="7" t="s">
        <v>195</v>
      </c>
      <c r="G113" s="7" t="s">
        <v>195</v>
      </c>
      <c r="H113" s="7" t="s">
        <v>195</v>
      </c>
      <c r="I113" s="7" t="s">
        <v>195</v>
      </c>
      <c r="J113" s="7" t="s">
        <v>195</v>
      </c>
      <c r="K113" s="7" t="s">
        <v>195</v>
      </c>
      <c r="L113" s="7" t="s">
        <v>195</v>
      </c>
      <c r="M113" s="7" t="s">
        <v>29</v>
      </c>
      <c r="N113" s="7" t="s">
        <v>29</v>
      </c>
      <c r="O113" s="7" t="s">
        <v>29</v>
      </c>
      <c r="P113" s="7" t="s">
        <v>29</v>
      </c>
      <c r="Q113" s="7" t="s">
        <v>29</v>
      </c>
      <c r="R113" s="7" t="s">
        <v>29</v>
      </c>
      <c r="S113" s="7" t="s">
        <v>29</v>
      </c>
    </row>
    <row r="114" spans="2:19">
      <c r="B114" s="7" t="s">
        <v>195</v>
      </c>
      <c r="C114" s="8" t="s">
        <v>195</v>
      </c>
      <c r="D114" s="6" t="str">
        <f>LRTRIM(CONCATENATE(IF(SUMPRODUCT(-- ISNUMBER(SEARCH({"Auto Number"}, $B114))) &gt; 0, $B114, IF(SUMPRODUCT(-- ISNUMBER(SEARCH({"Lookup","Master-Detail"}, $B114))) &gt; 0,$B114 &amp; "(" &amp; $E114 &amp; ")",IF(SUMPRODUCT(-- ISNUMBER(SEARCH({"Formula","Roll-Up Summary"}, $B114))) &gt; 0,$B114 &amp; " (" &amp; $E114 &amp; ")",IF(SUMPRODUCT(-- ISNUMBER(SEARCH({"Content","Currency","Number","Percent","Text","URL"}, $B114))) &gt; 0,$B114 &amp; "(" &amp; $C114 &amp; ")",$B114)))), "  ", TRIM(IF($S114 = "YES", "(External ID)", "") &amp; " " &amp; IF(SUMPRODUCT(-- ISNUMBER(SEARCH({"Unique","Unique Case Insensitive"}, $R114))) &gt; 0, "(" &amp; $R114 &amp; ")", ""))))</f>
        <v>na</v>
      </c>
      <c r="E114" s="7" t="s">
        <v>195</v>
      </c>
      <c r="F114" s="7" t="s">
        <v>195</v>
      </c>
      <c r="G114" s="7" t="s">
        <v>195</v>
      </c>
      <c r="H114" s="7" t="s">
        <v>195</v>
      </c>
      <c r="I114" s="7" t="s">
        <v>195</v>
      </c>
      <c r="J114" s="7" t="s">
        <v>195</v>
      </c>
      <c r="K114" s="7" t="s">
        <v>195</v>
      </c>
      <c r="L114" s="7" t="s">
        <v>195</v>
      </c>
      <c r="M114" s="7" t="s">
        <v>29</v>
      </c>
      <c r="N114" s="7" t="s">
        <v>29</v>
      </c>
      <c r="O114" s="7" t="s">
        <v>29</v>
      </c>
      <c r="P114" s="7" t="s">
        <v>29</v>
      </c>
      <c r="Q114" s="7" t="s">
        <v>29</v>
      </c>
      <c r="R114" s="7" t="s">
        <v>29</v>
      </c>
      <c r="S114" s="7" t="s">
        <v>29</v>
      </c>
    </row>
    <row r="115" spans="2:19">
      <c r="B115" s="7" t="s">
        <v>195</v>
      </c>
      <c r="C115" s="8" t="s">
        <v>195</v>
      </c>
      <c r="D115" s="6" t="str">
        <f>LRTRIM(CONCATENATE(IF(SUMPRODUCT(-- ISNUMBER(SEARCH({"Auto Number"}, $B115))) &gt; 0, $B115, IF(SUMPRODUCT(-- ISNUMBER(SEARCH({"Lookup","Master-Detail"}, $B115))) &gt; 0,$B115 &amp; "(" &amp; $E115 &amp; ")",IF(SUMPRODUCT(-- ISNUMBER(SEARCH({"Formula","Roll-Up Summary"}, $B115))) &gt; 0,$B115 &amp; " (" &amp; $E115 &amp; ")",IF(SUMPRODUCT(-- ISNUMBER(SEARCH({"Content","Currency","Number","Percent","Text","URL"}, $B115))) &gt; 0,$B115 &amp; "(" &amp; $C115 &amp; ")",$B115)))), "  ", TRIM(IF($S115 = "YES", "(External ID)", "") &amp; " " &amp; IF(SUMPRODUCT(-- ISNUMBER(SEARCH({"Unique","Unique Case Insensitive"}, $R115))) &gt; 0, "(" &amp; $R115 &amp; ")", ""))))</f>
        <v>na</v>
      </c>
      <c r="E115" s="7" t="s">
        <v>195</v>
      </c>
      <c r="F115" s="7" t="s">
        <v>195</v>
      </c>
      <c r="G115" s="7" t="s">
        <v>195</v>
      </c>
      <c r="H115" s="7" t="s">
        <v>195</v>
      </c>
      <c r="I115" s="7" t="s">
        <v>195</v>
      </c>
      <c r="J115" s="7" t="s">
        <v>195</v>
      </c>
      <c r="K115" s="7" t="s">
        <v>195</v>
      </c>
      <c r="L115" s="7" t="s">
        <v>195</v>
      </c>
      <c r="M115" s="7" t="s">
        <v>29</v>
      </c>
      <c r="N115" s="7" t="s">
        <v>29</v>
      </c>
      <c r="O115" s="7" t="s">
        <v>29</v>
      </c>
      <c r="P115" s="7" t="s">
        <v>29</v>
      </c>
      <c r="Q115" s="7" t="s">
        <v>29</v>
      </c>
      <c r="R115" s="7" t="s">
        <v>29</v>
      </c>
      <c r="S115" s="7" t="s">
        <v>29</v>
      </c>
    </row>
    <row r="116" spans="2:19">
      <c r="B116" s="7" t="s">
        <v>195</v>
      </c>
      <c r="C116" s="8" t="s">
        <v>195</v>
      </c>
      <c r="D116" s="6" t="str">
        <f>LRTRIM(CONCATENATE(IF(SUMPRODUCT(-- ISNUMBER(SEARCH({"Auto Number"}, $B116))) &gt; 0, $B116, IF(SUMPRODUCT(-- ISNUMBER(SEARCH({"Lookup","Master-Detail"}, $B116))) &gt; 0,$B116 &amp; "(" &amp; $E116 &amp; ")",IF(SUMPRODUCT(-- ISNUMBER(SEARCH({"Formula","Roll-Up Summary"}, $B116))) &gt; 0,$B116 &amp; " (" &amp; $E116 &amp; ")",IF(SUMPRODUCT(-- ISNUMBER(SEARCH({"Content","Currency","Number","Percent","Text","URL"}, $B116))) &gt; 0,$B116 &amp; "(" &amp; $C116 &amp; ")",$B116)))), "  ", TRIM(IF($S116 = "YES", "(External ID)", "") &amp; " " &amp; IF(SUMPRODUCT(-- ISNUMBER(SEARCH({"Unique","Unique Case Insensitive"}, $R116))) &gt; 0, "(" &amp; $R116 &amp; ")", ""))))</f>
        <v>na</v>
      </c>
      <c r="E116" s="7" t="s">
        <v>195</v>
      </c>
      <c r="F116" s="7" t="s">
        <v>195</v>
      </c>
      <c r="G116" s="7" t="s">
        <v>195</v>
      </c>
      <c r="H116" s="7" t="s">
        <v>195</v>
      </c>
      <c r="I116" s="7" t="s">
        <v>195</v>
      </c>
      <c r="J116" s="7" t="s">
        <v>195</v>
      </c>
      <c r="K116" s="7" t="s">
        <v>195</v>
      </c>
      <c r="L116" s="7" t="s">
        <v>195</v>
      </c>
      <c r="M116" s="7" t="s">
        <v>29</v>
      </c>
      <c r="N116" s="7" t="s">
        <v>29</v>
      </c>
      <c r="O116" s="7" t="s">
        <v>29</v>
      </c>
      <c r="P116" s="7" t="s">
        <v>29</v>
      </c>
      <c r="Q116" s="7" t="s">
        <v>29</v>
      </c>
      <c r="R116" s="7" t="s">
        <v>29</v>
      </c>
      <c r="S116" s="7" t="s">
        <v>29</v>
      </c>
    </row>
    <row r="117" spans="2:19">
      <c r="B117" s="7" t="s">
        <v>195</v>
      </c>
      <c r="C117" s="8" t="s">
        <v>195</v>
      </c>
      <c r="D117" s="6" t="str">
        <f>LRTRIM(CONCATENATE(IF(SUMPRODUCT(-- ISNUMBER(SEARCH({"Auto Number"}, $B117))) &gt; 0, $B117, IF(SUMPRODUCT(-- ISNUMBER(SEARCH({"Lookup","Master-Detail"}, $B117))) &gt; 0,$B117 &amp; "(" &amp; $E117 &amp; ")",IF(SUMPRODUCT(-- ISNUMBER(SEARCH({"Formula","Roll-Up Summary"}, $B117))) &gt; 0,$B117 &amp; " (" &amp; $E117 &amp; ")",IF(SUMPRODUCT(-- ISNUMBER(SEARCH({"Content","Currency","Number","Percent","Text","URL"}, $B117))) &gt; 0,$B117 &amp; "(" &amp; $C117 &amp; ")",$B117)))), "  ", TRIM(IF($S117 = "YES", "(External ID)", "") &amp; " " &amp; IF(SUMPRODUCT(-- ISNUMBER(SEARCH({"Unique","Unique Case Insensitive"}, $R117))) &gt; 0, "(" &amp; $R117 &amp; ")", ""))))</f>
        <v>na</v>
      </c>
      <c r="E117" s="7" t="s">
        <v>195</v>
      </c>
      <c r="F117" s="7" t="s">
        <v>195</v>
      </c>
      <c r="G117" s="7" t="s">
        <v>195</v>
      </c>
      <c r="H117" s="7" t="s">
        <v>195</v>
      </c>
      <c r="I117" s="7" t="s">
        <v>195</v>
      </c>
      <c r="J117" s="7" t="s">
        <v>195</v>
      </c>
      <c r="K117" s="7" t="s">
        <v>195</v>
      </c>
      <c r="L117" s="7" t="s">
        <v>195</v>
      </c>
      <c r="M117" s="7" t="s">
        <v>29</v>
      </c>
      <c r="N117" s="7" t="s">
        <v>29</v>
      </c>
      <c r="O117" s="7" t="s">
        <v>29</v>
      </c>
      <c r="P117" s="7" t="s">
        <v>29</v>
      </c>
      <c r="Q117" s="7" t="s">
        <v>29</v>
      </c>
      <c r="R117" s="7" t="s">
        <v>29</v>
      </c>
      <c r="S117" s="7" t="s">
        <v>29</v>
      </c>
    </row>
    <row r="118" spans="2:19">
      <c r="B118" s="7" t="s">
        <v>195</v>
      </c>
      <c r="C118" s="8" t="s">
        <v>195</v>
      </c>
      <c r="D118" s="6" t="str">
        <f>LRTRIM(CONCATENATE(IF(SUMPRODUCT(-- ISNUMBER(SEARCH({"Auto Number"}, $B118))) &gt; 0, $B118, IF(SUMPRODUCT(-- ISNUMBER(SEARCH({"Lookup","Master-Detail"}, $B118))) &gt; 0,$B118 &amp; "(" &amp; $E118 &amp; ")",IF(SUMPRODUCT(-- ISNUMBER(SEARCH({"Formula","Roll-Up Summary"}, $B118))) &gt; 0,$B118 &amp; " (" &amp; $E118 &amp; ")",IF(SUMPRODUCT(-- ISNUMBER(SEARCH({"Content","Currency","Number","Percent","Text","URL"}, $B118))) &gt; 0,$B118 &amp; "(" &amp; $C118 &amp; ")",$B118)))), "  ", TRIM(IF($S118 = "YES", "(External ID)", "") &amp; " " &amp; IF(SUMPRODUCT(-- ISNUMBER(SEARCH({"Unique","Unique Case Insensitive"}, $R118))) &gt; 0, "(" &amp; $R118 &amp; ")", ""))))</f>
        <v>na</v>
      </c>
      <c r="E118" s="7" t="s">
        <v>195</v>
      </c>
      <c r="F118" s="7" t="s">
        <v>195</v>
      </c>
      <c r="G118" s="7" t="s">
        <v>195</v>
      </c>
      <c r="H118" s="7" t="s">
        <v>195</v>
      </c>
      <c r="I118" s="7" t="s">
        <v>195</v>
      </c>
      <c r="J118" s="7" t="s">
        <v>195</v>
      </c>
      <c r="K118" s="7" t="s">
        <v>195</v>
      </c>
      <c r="L118" s="7" t="s">
        <v>195</v>
      </c>
      <c r="M118" s="7" t="s">
        <v>29</v>
      </c>
      <c r="N118" s="7" t="s">
        <v>29</v>
      </c>
      <c r="O118" s="7" t="s">
        <v>29</v>
      </c>
      <c r="P118" s="7" t="s">
        <v>29</v>
      </c>
      <c r="Q118" s="7" t="s">
        <v>29</v>
      </c>
      <c r="R118" s="7" t="s">
        <v>29</v>
      </c>
      <c r="S118" s="7" t="s">
        <v>29</v>
      </c>
    </row>
    <row r="119" spans="2:19">
      <c r="B119" s="7" t="s">
        <v>195</v>
      </c>
      <c r="C119" s="8" t="s">
        <v>195</v>
      </c>
      <c r="D119" s="6" t="str">
        <f>LRTRIM(CONCATENATE(IF(SUMPRODUCT(-- ISNUMBER(SEARCH({"Auto Number"}, $B119))) &gt; 0, $B119, IF(SUMPRODUCT(-- ISNUMBER(SEARCH({"Lookup","Master-Detail"}, $B119))) &gt; 0,$B119 &amp; "(" &amp; $E119 &amp; ")",IF(SUMPRODUCT(-- ISNUMBER(SEARCH({"Formula","Roll-Up Summary"}, $B119))) &gt; 0,$B119 &amp; " (" &amp; $E119 &amp; ")",IF(SUMPRODUCT(-- ISNUMBER(SEARCH({"Content","Currency","Number","Percent","Text","URL"}, $B119))) &gt; 0,$B119 &amp; "(" &amp; $C119 &amp; ")",$B119)))), "  ", TRIM(IF($S119 = "YES", "(External ID)", "") &amp; " " &amp; IF(SUMPRODUCT(-- ISNUMBER(SEARCH({"Unique","Unique Case Insensitive"}, $R119))) &gt; 0, "(" &amp; $R119 &amp; ")", ""))))</f>
        <v>na</v>
      </c>
      <c r="E119" s="7" t="s">
        <v>195</v>
      </c>
      <c r="F119" s="7" t="s">
        <v>195</v>
      </c>
      <c r="G119" s="7" t="s">
        <v>195</v>
      </c>
      <c r="H119" s="7" t="s">
        <v>195</v>
      </c>
      <c r="I119" s="7" t="s">
        <v>195</v>
      </c>
      <c r="J119" s="7" t="s">
        <v>195</v>
      </c>
      <c r="K119" s="7" t="s">
        <v>195</v>
      </c>
      <c r="L119" s="7" t="s">
        <v>195</v>
      </c>
      <c r="M119" s="7" t="s">
        <v>29</v>
      </c>
      <c r="N119" s="7" t="s">
        <v>29</v>
      </c>
      <c r="O119" s="7" t="s">
        <v>29</v>
      </c>
      <c r="P119" s="7" t="s">
        <v>29</v>
      </c>
      <c r="Q119" s="7" t="s">
        <v>29</v>
      </c>
      <c r="R119" s="7" t="s">
        <v>29</v>
      </c>
      <c r="S119" s="7" t="s">
        <v>29</v>
      </c>
    </row>
    <row r="120" spans="2:19">
      <c r="B120" s="7" t="s">
        <v>195</v>
      </c>
      <c r="C120" s="8" t="s">
        <v>195</v>
      </c>
      <c r="D120" s="6" t="str">
        <f>LRTRIM(CONCATENATE(IF(SUMPRODUCT(-- ISNUMBER(SEARCH({"Auto Number"}, $B120))) &gt; 0, $B120, IF(SUMPRODUCT(-- ISNUMBER(SEARCH({"Lookup","Master-Detail"}, $B120))) &gt; 0,$B120 &amp; "(" &amp; $E120 &amp; ")",IF(SUMPRODUCT(-- ISNUMBER(SEARCH({"Formula","Roll-Up Summary"}, $B120))) &gt; 0,$B120 &amp; " (" &amp; $E120 &amp; ")",IF(SUMPRODUCT(-- ISNUMBER(SEARCH({"Content","Currency","Number","Percent","Text","URL"}, $B120))) &gt; 0,$B120 &amp; "(" &amp; $C120 &amp; ")",$B120)))), "  ", TRIM(IF($S120 = "YES", "(External ID)", "") &amp; " " &amp; IF(SUMPRODUCT(-- ISNUMBER(SEARCH({"Unique","Unique Case Insensitive"}, $R120))) &gt; 0, "(" &amp; $R120 &amp; ")", ""))))</f>
        <v>na</v>
      </c>
      <c r="E120" s="7" t="s">
        <v>195</v>
      </c>
      <c r="F120" s="7" t="s">
        <v>195</v>
      </c>
      <c r="G120" s="7" t="s">
        <v>195</v>
      </c>
      <c r="H120" s="7" t="s">
        <v>195</v>
      </c>
      <c r="I120" s="7" t="s">
        <v>195</v>
      </c>
      <c r="J120" s="7" t="s">
        <v>195</v>
      </c>
      <c r="K120" s="7" t="s">
        <v>195</v>
      </c>
      <c r="L120" s="7" t="s">
        <v>195</v>
      </c>
      <c r="M120" s="7" t="s">
        <v>29</v>
      </c>
      <c r="N120" s="7" t="s">
        <v>29</v>
      </c>
      <c r="O120" s="7" t="s">
        <v>29</v>
      </c>
      <c r="P120" s="7" t="s">
        <v>29</v>
      </c>
      <c r="Q120" s="7" t="s">
        <v>29</v>
      </c>
      <c r="R120" s="7" t="s">
        <v>29</v>
      </c>
      <c r="S120" s="7" t="s">
        <v>29</v>
      </c>
    </row>
    <row r="121" spans="2:19">
      <c r="B121" s="7" t="s">
        <v>195</v>
      </c>
      <c r="C121" s="8" t="s">
        <v>195</v>
      </c>
      <c r="D121" s="6" t="str">
        <f>LRTRIM(CONCATENATE(IF(SUMPRODUCT(-- ISNUMBER(SEARCH({"Auto Number"}, $B121))) &gt; 0, $B121, IF(SUMPRODUCT(-- ISNUMBER(SEARCH({"Lookup","Master-Detail"}, $B121))) &gt; 0,$B121 &amp; "(" &amp; $E121 &amp; ")",IF(SUMPRODUCT(-- ISNUMBER(SEARCH({"Formula","Roll-Up Summary"}, $B121))) &gt; 0,$B121 &amp; " (" &amp; $E121 &amp; ")",IF(SUMPRODUCT(-- ISNUMBER(SEARCH({"Content","Currency","Number","Percent","Text","URL"}, $B121))) &gt; 0,$B121 &amp; "(" &amp; $C121 &amp; ")",$B121)))), "  ", TRIM(IF($S121 = "YES", "(External ID)", "") &amp; " " &amp; IF(SUMPRODUCT(-- ISNUMBER(SEARCH({"Unique","Unique Case Insensitive"}, $R121))) &gt; 0, "(" &amp; $R121 &amp; ")", ""))))</f>
        <v>na</v>
      </c>
      <c r="E121" s="7" t="s">
        <v>195</v>
      </c>
      <c r="F121" s="7" t="s">
        <v>195</v>
      </c>
      <c r="G121" s="7" t="s">
        <v>195</v>
      </c>
      <c r="H121" s="7" t="s">
        <v>195</v>
      </c>
      <c r="I121" s="7" t="s">
        <v>195</v>
      </c>
      <c r="J121" s="7" t="s">
        <v>195</v>
      </c>
      <c r="K121" s="7" t="s">
        <v>195</v>
      </c>
      <c r="L121" s="7" t="s">
        <v>195</v>
      </c>
      <c r="M121" s="7" t="s">
        <v>29</v>
      </c>
      <c r="N121" s="7" t="s">
        <v>29</v>
      </c>
      <c r="O121" s="7" t="s">
        <v>29</v>
      </c>
      <c r="P121" s="7" t="s">
        <v>29</v>
      </c>
      <c r="Q121" s="7" t="s">
        <v>29</v>
      </c>
      <c r="R121" s="7" t="s">
        <v>29</v>
      </c>
      <c r="S121" s="7" t="s">
        <v>29</v>
      </c>
    </row>
    <row r="122" spans="2:19">
      <c r="B122" s="7" t="s">
        <v>195</v>
      </c>
      <c r="C122" s="8" t="s">
        <v>195</v>
      </c>
      <c r="D122" s="6" t="str">
        <f>LRTRIM(CONCATENATE(IF(SUMPRODUCT(-- ISNUMBER(SEARCH({"Auto Number"}, $B122))) &gt; 0, $B122, IF(SUMPRODUCT(-- ISNUMBER(SEARCH({"Lookup","Master-Detail"}, $B122))) &gt; 0,$B122 &amp; "(" &amp; $E122 &amp; ")",IF(SUMPRODUCT(-- ISNUMBER(SEARCH({"Formula","Roll-Up Summary"}, $B122))) &gt; 0,$B122 &amp; " (" &amp; $E122 &amp; ")",IF(SUMPRODUCT(-- ISNUMBER(SEARCH({"Content","Currency","Number","Percent","Text","URL"}, $B122))) &gt; 0,$B122 &amp; "(" &amp; $C122 &amp; ")",$B122)))), "  ", TRIM(IF($S122 = "YES", "(External ID)", "") &amp; " " &amp; IF(SUMPRODUCT(-- ISNUMBER(SEARCH({"Unique","Unique Case Insensitive"}, $R122))) &gt; 0, "(" &amp; $R122 &amp; ")", ""))))</f>
        <v>na</v>
      </c>
      <c r="E122" s="7" t="s">
        <v>195</v>
      </c>
      <c r="F122" s="7" t="s">
        <v>195</v>
      </c>
      <c r="G122" s="7" t="s">
        <v>195</v>
      </c>
      <c r="H122" s="7" t="s">
        <v>195</v>
      </c>
      <c r="I122" s="7" t="s">
        <v>195</v>
      </c>
      <c r="J122" s="7" t="s">
        <v>195</v>
      </c>
      <c r="K122" s="7" t="s">
        <v>195</v>
      </c>
      <c r="L122" s="7" t="s">
        <v>195</v>
      </c>
      <c r="M122" s="7" t="s">
        <v>29</v>
      </c>
      <c r="N122" s="7" t="s">
        <v>29</v>
      </c>
      <c r="O122" s="7" t="s">
        <v>29</v>
      </c>
      <c r="P122" s="7" t="s">
        <v>29</v>
      </c>
      <c r="Q122" s="7" t="s">
        <v>29</v>
      </c>
      <c r="R122" s="7" t="s">
        <v>29</v>
      </c>
      <c r="S122" s="7" t="s">
        <v>29</v>
      </c>
    </row>
    <row r="123" spans="2:19">
      <c r="B123" s="7" t="s">
        <v>195</v>
      </c>
      <c r="C123" s="8" t="s">
        <v>195</v>
      </c>
      <c r="D123" s="6" t="str">
        <f>LRTRIM(CONCATENATE(IF(SUMPRODUCT(-- ISNUMBER(SEARCH({"Auto Number"}, $B123))) &gt; 0, $B123, IF(SUMPRODUCT(-- ISNUMBER(SEARCH({"Lookup","Master-Detail"}, $B123))) &gt; 0,$B123 &amp; "(" &amp; $E123 &amp; ")",IF(SUMPRODUCT(-- ISNUMBER(SEARCH({"Formula","Roll-Up Summary"}, $B123))) &gt; 0,$B123 &amp; " (" &amp; $E123 &amp; ")",IF(SUMPRODUCT(-- ISNUMBER(SEARCH({"Content","Currency","Number","Percent","Text","URL"}, $B123))) &gt; 0,$B123 &amp; "(" &amp; $C123 &amp; ")",$B123)))), "  ", TRIM(IF($S123 = "YES", "(External ID)", "") &amp; " " &amp; IF(SUMPRODUCT(-- ISNUMBER(SEARCH({"Unique","Unique Case Insensitive"}, $R123))) &gt; 0, "(" &amp; $R123 &amp; ")", ""))))</f>
        <v>na</v>
      </c>
      <c r="E123" s="7" t="s">
        <v>195</v>
      </c>
      <c r="F123" s="7" t="s">
        <v>195</v>
      </c>
      <c r="G123" s="7" t="s">
        <v>195</v>
      </c>
      <c r="H123" s="7" t="s">
        <v>195</v>
      </c>
      <c r="I123" s="7" t="s">
        <v>195</v>
      </c>
      <c r="J123" s="7" t="s">
        <v>195</v>
      </c>
      <c r="K123" s="7" t="s">
        <v>195</v>
      </c>
      <c r="L123" s="7" t="s">
        <v>195</v>
      </c>
      <c r="M123" s="7" t="s">
        <v>29</v>
      </c>
      <c r="N123" s="7" t="s">
        <v>29</v>
      </c>
      <c r="O123" s="7" t="s">
        <v>29</v>
      </c>
      <c r="P123" s="7" t="s">
        <v>29</v>
      </c>
      <c r="Q123" s="7" t="s">
        <v>29</v>
      </c>
      <c r="R123" s="7" t="s">
        <v>29</v>
      </c>
      <c r="S123" s="7" t="s">
        <v>29</v>
      </c>
    </row>
    <row r="124" spans="2:19">
      <c r="B124" s="7" t="s">
        <v>195</v>
      </c>
      <c r="C124" s="8" t="s">
        <v>195</v>
      </c>
      <c r="D124" s="6" t="str">
        <f>LRTRIM(CONCATENATE(IF(SUMPRODUCT(-- ISNUMBER(SEARCH({"Auto Number"}, $B124))) &gt; 0, $B124, IF(SUMPRODUCT(-- ISNUMBER(SEARCH({"Lookup","Master-Detail"}, $B124))) &gt; 0,$B124 &amp; "(" &amp; $E124 &amp; ")",IF(SUMPRODUCT(-- ISNUMBER(SEARCH({"Formula","Roll-Up Summary"}, $B124))) &gt; 0,$B124 &amp; " (" &amp; $E124 &amp; ")",IF(SUMPRODUCT(-- ISNUMBER(SEARCH({"Content","Currency","Number","Percent","Text","URL"}, $B124))) &gt; 0,$B124 &amp; "(" &amp; $C124 &amp; ")",$B124)))), "  ", TRIM(IF($S124 = "YES", "(External ID)", "") &amp; " " &amp; IF(SUMPRODUCT(-- ISNUMBER(SEARCH({"Unique","Unique Case Insensitive"}, $R124))) &gt; 0, "(" &amp; $R124 &amp; ")", ""))))</f>
        <v>na</v>
      </c>
      <c r="E124" s="7" t="s">
        <v>195</v>
      </c>
      <c r="F124" s="7" t="s">
        <v>195</v>
      </c>
      <c r="G124" s="7" t="s">
        <v>195</v>
      </c>
      <c r="H124" s="7" t="s">
        <v>195</v>
      </c>
      <c r="I124" s="7" t="s">
        <v>195</v>
      </c>
      <c r="J124" s="7" t="s">
        <v>195</v>
      </c>
      <c r="K124" s="7" t="s">
        <v>195</v>
      </c>
      <c r="L124" s="7" t="s">
        <v>195</v>
      </c>
      <c r="M124" s="7" t="s">
        <v>29</v>
      </c>
      <c r="N124" s="7" t="s">
        <v>29</v>
      </c>
      <c r="O124" s="7" t="s">
        <v>29</v>
      </c>
      <c r="P124" s="7" t="s">
        <v>29</v>
      </c>
      <c r="Q124" s="7" t="s">
        <v>29</v>
      </c>
      <c r="R124" s="7" t="s">
        <v>29</v>
      </c>
      <c r="S124" s="7" t="s">
        <v>29</v>
      </c>
    </row>
    <row r="125" spans="2:19">
      <c r="B125" s="7" t="s">
        <v>195</v>
      </c>
      <c r="C125" s="8" t="s">
        <v>195</v>
      </c>
      <c r="D125" s="6" t="str">
        <f>LRTRIM(CONCATENATE(IF(SUMPRODUCT(-- ISNUMBER(SEARCH({"Auto Number"}, $B125))) &gt; 0, $B125, IF(SUMPRODUCT(-- ISNUMBER(SEARCH({"Lookup","Master-Detail"}, $B125))) &gt; 0,$B125 &amp; "(" &amp; $E125 &amp; ")",IF(SUMPRODUCT(-- ISNUMBER(SEARCH({"Formula","Roll-Up Summary"}, $B125))) &gt; 0,$B125 &amp; " (" &amp; $E125 &amp; ")",IF(SUMPRODUCT(-- ISNUMBER(SEARCH({"Content","Currency","Number","Percent","Text","URL"}, $B125))) &gt; 0,$B125 &amp; "(" &amp; $C125 &amp; ")",$B125)))), "  ", TRIM(IF($S125 = "YES", "(External ID)", "") &amp; " " &amp; IF(SUMPRODUCT(-- ISNUMBER(SEARCH({"Unique","Unique Case Insensitive"}, $R125))) &gt; 0, "(" &amp; $R125 &amp; ")", ""))))</f>
        <v>na</v>
      </c>
      <c r="E125" s="7" t="s">
        <v>195</v>
      </c>
      <c r="F125" s="7" t="s">
        <v>195</v>
      </c>
      <c r="G125" s="7" t="s">
        <v>195</v>
      </c>
      <c r="H125" s="7" t="s">
        <v>195</v>
      </c>
      <c r="I125" s="7" t="s">
        <v>195</v>
      </c>
      <c r="J125" s="7" t="s">
        <v>195</v>
      </c>
      <c r="K125" s="7" t="s">
        <v>195</v>
      </c>
      <c r="L125" s="7" t="s">
        <v>195</v>
      </c>
      <c r="M125" s="7" t="s">
        <v>29</v>
      </c>
      <c r="N125" s="7" t="s">
        <v>29</v>
      </c>
      <c r="O125" s="7" t="s">
        <v>29</v>
      </c>
      <c r="P125" s="7" t="s">
        <v>29</v>
      </c>
      <c r="Q125" s="7" t="s">
        <v>29</v>
      </c>
      <c r="R125" s="7" t="s">
        <v>29</v>
      </c>
      <c r="S125" s="7" t="s">
        <v>29</v>
      </c>
    </row>
    <row r="126" spans="2:19">
      <c r="B126" s="7" t="s">
        <v>195</v>
      </c>
      <c r="C126" s="8" t="s">
        <v>195</v>
      </c>
      <c r="D126" s="6" t="str">
        <f>LRTRIM(CONCATENATE(IF(SUMPRODUCT(-- ISNUMBER(SEARCH({"Auto Number"}, $B126))) &gt; 0, $B126, IF(SUMPRODUCT(-- ISNUMBER(SEARCH({"Lookup","Master-Detail"}, $B126))) &gt; 0,$B126 &amp; "(" &amp; $E126 &amp; ")",IF(SUMPRODUCT(-- ISNUMBER(SEARCH({"Formula","Roll-Up Summary"}, $B126))) &gt; 0,$B126 &amp; " (" &amp; $E126 &amp; ")",IF(SUMPRODUCT(-- ISNUMBER(SEARCH({"Content","Currency","Number","Percent","Text","URL"}, $B126))) &gt; 0,$B126 &amp; "(" &amp; $C126 &amp; ")",$B126)))), "  ", TRIM(IF($S126 = "YES", "(External ID)", "") &amp; " " &amp; IF(SUMPRODUCT(-- ISNUMBER(SEARCH({"Unique","Unique Case Insensitive"}, $R126))) &gt; 0, "(" &amp; $R126 &amp; ")", ""))))</f>
        <v>na</v>
      </c>
      <c r="E126" s="7" t="s">
        <v>195</v>
      </c>
      <c r="F126" s="7" t="s">
        <v>195</v>
      </c>
      <c r="G126" s="7" t="s">
        <v>195</v>
      </c>
      <c r="H126" s="7" t="s">
        <v>195</v>
      </c>
      <c r="I126" s="7" t="s">
        <v>195</v>
      </c>
      <c r="J126" s="7" t="s">
        <v>195</v>
      </c>
      <c r="K126" s="7" t="s">
        <v>195</v>
      </c>
      <c r="L126" s="7" t="s">
        <v>195</v>
      </c>
      <c r="M126" s="7" t="s">
        <v>29</v>
      </c>
      <c r="N126" s="7" t="s">
        <v>29</v>
      </c>
      <c r="O126" s="7" t="s">
        <v>29</v>
      </c>
      <c r="P126" s="7" t="s">
        <v>29</v>
      </c>
      <c r="Q126" s="7" t="s">
        <v>29</v>
      </c>
      <c r="R126" s="7" t="s">
        <v>29</v>
      </c>
      <c r="S126" s="7" t="s">
        <v>29</v>
      </c>
    </row>
    <row r="127" spans="2:19">
      <c r="B127" s="7" t="s">
        <v>195</v>
      </c>
      <c r="C127" s="8" t="s">
        <v>195</v>
      </c>
      <c r="D127" s="6" t="str">
        <f>LRTRIM(CONCATENATE(IF(SUMPRODUCT(-- ISNUMBER(SEARCH({"Auto Number"}, $B127))) &gt; 0, $B127, IF(SUMPRODUCT(-- ISNUMBER(SEARCH({"Lookup","Master-Detail"}, $B127))) &gt; 0,$B127 &amp; "(" &amp; $E127 &amp; ")",IF(SUMPRODUCT(-- ISNUMBER(SEARCH({"Formula","Roll-Up Summary"}, $B127))) &gt; 0,$B127 &amp; " (" &amp; $E127 &amp; ")",IF(SUMPRODUCT(-- ISNUMBER(SEARCH({"Content","Currency","Number","Percent","Text","URL"}, $B127))) &gt; 0,$B127 &amp; "(" &amp; $C127 &amp; ")",$B127)))), "  ", TRIM(IF($S127 = "YES", "(External ID)", "") &amp; " " &amp; IF(SUMPRODUCT(-- ISNUMBER(SEARCH({"Unique","Unique Case Insensitive"}, $R127))) &gt; 0, "(" &amp; $R127 &amp; ")", ""))))</f>
        <v>na</v>
      </c>
      <c r="E127" s="7" t="s">
        <v>195</v>
      </c>
      <c r="F127" s="7" t="s">
        <v>195</v>
      </c>
      <c r="G127" s="7" t="s">
        <v>195</v>
      </c>
      <c r="H127" s="7" t="s">
        <v>195</v>
      </c>
      <c r="I127" s="7" t="s">
        <v>195</v>
      </c>
      <c r="J127" s="7" t="s">
        <v>195</v>
      </c>
      <c r="K127" s="7" t="s">
        <v>195</v>
      </c>
      <c r="L127" s="7" t="s">
        <v>195</v>
      </c>
      <c r="M127" s="7" t="s">
        <v>29</v>
      </c>
      <c r="N127" s="7" t="s">
        <v>29</v>
      </c>
      <c r="O127" s="7" t="s">
        <v>29</v>
      </c>
      <c r="P127" s="7" t="s">
        <v>29</v>
      </c>
      <c r="Q127" s="7" t="s">
        <v>29</v>
      </c>
      <c r="R127" s="7" t="s">
        <v>29</v>
      </c>
      <c r="S127" s="7" t="s">
        <v>29</v>
      </c>
    </row>
    <row r="128" spans="2:19">
      <c r="B128" s="7" t="s">
        <v>195</v>
      </c>
      <c r="C128" s="8" t="s">
        <v>195</v>
      </c>
      <c r="D128" s="6" t="str">
        <f>LRTRIM(CONCATENATE(IF(SUMPRODUCT(-- ISNUMBER(SEARCH({"Auto Number"}, $B128))) &gt; 0, $B128, IF(SUMPRODUCT(-- ISNUMBER(SEARCH({"Lookup","Master-Detail"}, $B128))) &gt; 0,$B128 &amp; "(" &amp; $E128 &amp; ")",IF(SUMPRODUCT(-- ISNUMBER(SEARCH({"Formula","Roll-Up Summary"}, $B128))) &gt; 0,$B128 &amp; " (" &amp; $E128 &amp; ")",IF(SUMPRODUCT(-- ISNUMBER(SEARCH({"Content","Currency","Number","Percent","Text","URL"}, $B128))) &gt; 0,$B128 &amp; "(" &amp; $C128 &amp; ")",$B128)))), "  ", TRIM(IF($S128 = "YES", "(External ID)", "") &amp; " " &amp; IF(SUMPRODUCT(-- ISNUMBER(SEARCH({"Unique","Unique Case Insensitive"}, $R128))) &gt; 0, "(" &amp; $R128 &amp; ")", ""))))</f>
        <v>na</v>
      </c>
      <c r="E128" s="7" t="s">
        <v>195</v>
      </c>
      <c r="F128" s="7" t="s">
        <v>195</v>
      </c>
      <c r="G128" s="7" t="s">
        <v>195</v>
      </c>
      <c r="H128" s="7" t="s">
        <v>195</v>
      </c>
      <c r="I128" s="7" t="s">
        <v>195</v>
      </c>
      <c r="J128" s="7" t="s">
        <v>195</v>
      </c>
      <c r="K128" s="7" t="s">
        <v>195</v>
      </c>
      <c r="L128" s="7" t="s">
        <v>195</v>
      </c>
      <c r="M128" s="7" t="s">
        <v>29</v>
      </c>
      <c r="N128" s="7" t="s">
        <v>29</v>
      </c>
      <c r="O128" s="7" t="s">
        <v>29</v>
      </c>
      <c r="P128" s="7" t="s">
        <v>29</v>
      </c>
      <c r="Q128" s="7" t="s">
        <v>29</v>
      </c>
      <c r="R128" s="7" t="s">
        <v>29</v>
      </c>
      <c r="S128" s="7" t="s">
        <v>29</v>
      </c>
    </row>
    <row r="129" spans="2:19">
      <c r="B129" s="7" t="s">
        <v>195</v>
      </c>
      <c r="C129" s="8" t="s">
        <v>195</v>
      </c>
      <c r="D129" s="6" t="str">
        <f>LRTRIM(CONCATENATE(IF(SUMPRODUCT(-- ISNUMBER(SEARCH({"Auto Number"}, $B129))) &gt; 0, $B129, IF(SUMPRODUCT(-- ISNUMBER(SEARCH({"Lookup","Master-Detail"}, $B129))) &gt; 0,$B129 &amp; "(" &amp; $E129 &amp; ")",IF(SUMPRODUCT(-- ISNUMBER(SEARCH({"Formula","Roll-Up Summary"}, $B129))) &gt; 0,$B129 &amp; " (" &amp; $E129 &amp; ")",IF(SUMPRODUCT(-- ISNUMBER(SEARCH({"Content","Currency","Number","Percent","Text","URL"}, $B129))) &gt; 0,$B129 &amp; "(" &amp; $C129 &amp; ")",$B129)))), "  ", TRIM(IF($S129 = "YES", "(External ID)", "") &amp; " " &amp; IF(SUMPRODUCT(-- ISNUMBER(SEARCH({"Unique","Unique Case Insensitive"}, $R129))) &gt; 0, "(" &amp; $R129 &amp; ")", ""))))</f>
        <v>na</v>
      </c>
      <c r="E129" s="7" t="s">
        <v>195</v>
      </c>
      <c r="F129" s="7" t="s">
        <v>195</v>
      </c>
      <c r="G129" s="7" t="s">
        <v>195</v>
      </c>
      <c r="H129" s="7" t="s">
        <v>195</v>
      </c>
      <c r="I129" s="7" t="s">
        <v>195</v>
      </c>
      <c r="J129" s="7" t="s">
        <v>195</v>
      </c>
      <c r="K129" s="7" t="s">
        <v>195</v>
      </c>
      <c r="L129" s="7" t="s">
        <v>195</v>
      </c>
      <c r="M129" s="7" t="s">
        <v>29</v>
      </c>
      <c r="N129" s="7" t="s">
        <v>29</v>
      </c>
      <c r="O129" s="7" t="s">
        <v>29</v>
      </c>
      <c r="P129" s="7" t="s">
        <v>29</v>
      </c>
      <c r="Q129" s="7" t="s">
        <v>29</v>
      </c>
      <c r="R129" s="7" t="s">
        <v>29</v>
      </c>
      <c r="S129" s="7" t="s">
        <v>29</v>
      </c>
    </row>
    <row r="130" spans="2:19">
      <c r="B130" s="7" t="s">
        <v>195</v>
      </c>
      <c r="C130" s="8" t="s">
        <v>195</v>
      </c>
      <c r="D130" s="6" t="str">
        <f>LRTRIM(CONCATENATE(IF(SUMPRODUCT(-- ISNUMBER(SEARCH({"Auto Number"}, $B130))) &gt; 0, $B130, IF(SUMPRODUCT(-- ISNUMBER(SEARCH({"Lookup","Master-Detail"}, $B130))) &gt; 0,$B130 &amp; "(" &amp; $E130 &amp; ")",IF(SUMPRODUCT(-- ISNUMBER(SEARCH({"Formula","Roll-Up Summary"}, $B130))) &gt; 0,$B130 &amp; " (" &amp; $E130 &amp; ")",IF(SUMPRODUCT(-- ISNUMBER(SEARCH({"Content","Currency","Number","Percent","Text","URL"}, $B130))) &gt; 0,$B130 &amp; "(" &amp; $C130 &amp; ")",$B130)))), "  ", TRIM(IF($S130 = "YES", "(External ID)", "") &amp; " " &amp; IF(SUMPRODUCT(-- ISNUMBER(SEARCH({"Unique","Unique Case Insensitive"}, $R130))) &gt; 0, "(" &amp; $R130 &amp; ")", ""))))</f>
        <v>na</v>
      </c>
      <c r="E130" s="7" t="s">
        <v>195</v>
      </c>
      <c r="F130" s="7" t="s">
        <v>195</v>
      </c>
      <c r="G130" s="7" t="s">
        <v>195</v>
      </c>
      <c r="H130" s="7" t="s">
        <v>195</v>
      </c>
      <c r="I130" s="7" t="s">
        <v>195</v>
      </c>
      <c r="J130" s="7" t="s">
        <v>195</v>
      </c>
      <c r="K130" s="7" t="s">
        <v>195</v>
      </c>
      <c r="L130" s="7" t="s">
        <v>195</v>
      </c>
      <c r="M130" s="7" t="s">
        <v>29</v>
      </c>
      <c r="N130" s="7" t="s">
        <v>29</v>
      </c>
      <c r="O130" s="7" t="s">
        <v>29</v>
      </c>
      <c r="P130" s="7" t="s">
        <v>29</v>
      </c>
      <c r="Q130" s="7" t="s">
        <v>29</v>
      </c>
      <c r="R130" s="7" t="s">
        <v>29</v>
      </c>
      <c r="S130" s="7" t="s">
        <v>29</v>
      </c>
    </row>
    <row r="131" spans="2:19">
      <c r="B131" s="7" t="s">
        <v>195</v>
      </c>
      <c r="C131" s="8" t="s">
        <v>195</v>
      </c>
      <c r="D131" s="6" t="str">
        <f>LRTRIM(CONCATENATE(IF(SUMPRODUCT(-- ISNUMBER(SEARCH({"Auto Number"}, $B131))) &gt; 0, $B131, IF(SUMPRODUCT(-- ISNUMBER(SEARCH({"Lookup","Master-Detail"}, $B131))) &gt; 0,$B131 &amp; "(" &amp; $E131 &amp; ")",IF(SUMPRODUCT(-- ISNUMBER(SEARCH({"Formula","Roll-Up Summary"}, $B131))) &gt; 0,$B131 &amp; " (" &amp; $E131 &amp; ")",IF(SUMPRODUCT(-- ISNUMBER(SEARCH({"Content","Currency","Number","Percent","Text","URL"}, $B131))) &gt; 0,$B131 &amp; "(" &amp; $C131 &amp; ")",$B131)))), "  ", TRIM(IF($S131 = "YES", "(External ID)", "") &amp; " " &amp; IF(SUMPRODUCT(-- ISNUMBER(SEARCH({"Unique","Unique Case Insensitive"}, $R131))) &gt; 0, "(" &amp; $R131 &amp; ")", ""))))</f>
        <v>na</v>
      </c>
      <c r="E131" s="7" t="s">
        <v>195</v>
      </c>
      <c r="F131" s="7" t="s">
        <v>195</v>
      </c>
      <c r="G131" s="7" t="s">
        <v>195</v>
      </c>
      <c r="H131" s="7" t="s">
        <v>195</v>
      </c>
      <c r="I131" s="7" t="s">
        <v>195</v>
      </c>
      <c r="J131" s="7" t="s">
        <v>195</v>
      </c>
      <c r="K131" s="7" t="s">
        <v>195</v>
      </c>
      <c r="L131" s="7" t="s">
        <v>195</v>
      </c>
      <c r="M131" s="7" t="s">
        <v>29</v>
      </c>
      <c r="N131" s="7" t="s">
        <v>29</v>
      </c>
      <c r="O131" s="7" t="s">
        <v>29</v>
      </c>
      <c r="P131" s="7" t="s">
        <v>29</v>
      </c>
      <c r="Q131" s="7" t="s">
        <v>29</v>
      </c>
      <c r="R131" s="7" t="s">
        <v>29</v>
      </c>
      <c r="S131" s="7" t="s">
        <v>29</v>
      </c>
    </row>
    <row r="132" spans="2:19">
      <c r="B132" s="7" t="s">
        <v>195</v>
      </c>
      <c r="C132" s="8" t="s">
        <v>195</v>
      </c>
      <c r="D132" s="6" t="str">
        <f>LRTRIM(CONCATENATE(IF(SUMPRODUCT(-- ISNUMBER(SEARCH({"Auto Number"}, $B132))) &gt; 0, $B132, IF(SUMPRODUCT(-- ISNUMBER(SEARCH({"Lookup","Master-Detail"}, $B132))) &gt; 0,$B132 &amp; "(" &amp; $E132 &amp; ")",IF(SUMPRODUCT(-- ISNUMBER(SEARCH({"Formula","Roll-Up Summary"}, $B132))) &gt; 0,$B132 &amp; " (" &amp; $E132 &amp; ")",IF(SUMPRODUCT(-- ISNUMBER(SEARCH({"Content","Currency","Number","Percent","Text","URL"}, $B132))) &gt; 0,$B132 &amp; "(" &amp; $C132 &amp; ")",$B132)))), "  ", TRIM(IF($S132 = "YES", "(External ID)", "") &amp; " " &amp; IF(SUMPRODUCT(-- ISNUMBER(SEARCH({"Unique","Unique Case Insensitive"}, $R132))) &gt; 0, "(" &amp; $R132 &amp; ")", ""))))</f>
        <v>na</v>
      </c>
      <c r="E132" s="7" t="s">
        <v>195</v>
      </c>
      <c r="F132" s="7" t="s">
        <v>195</v>
      </c>
      <c r="G132" s="7" t="s">
        <v>195</v>
      </c>
      <c r="H132" s="7" t="s">
        <v>195</v>
      </c>
      <c r="I132" s="7" t="s">
        <v>195</v>
      </c>
      <c r="J132" s="7" t="s">
        <v>195</v>
      </c>
      <c r="K132" s="7" t="s">
        <v>195</v>
      </c>
      <c r="L132" s="7" t="s">
        <v>195</v>
      </c>
      <c r="M132" s="7" t="s">
        <v>29</v>
      </c>
      <c r="N132" s="7" t="s">
        <v>29</v>
      </c>
      <c r="O132" s="7" t="s">
        <v>29</v>
      </c>
      <c r="P132" s="7" t="s">
        <v>29</v>
      </c>
      <c r="Q132" s="7" t="s">
        <v>29</v>
      </c>
      <c r="R132" s="7" t="s">
        <v>29</v>
      </c>
      <c r="S132" s="7" t="s">
        <v>29</v>
      </c>
    </row>
    <row r="133" spans="2:19">
      <c r="B133" s="7" t="s">
        <v>195</v>
      </c>
      <c r="C133" s="8" t="s">
        <v>195</v>
      </c>
      <c r="D133" s="6" t="str">
        <f>LRTRIM(CONCATENATE(IF(SUMPRODUCT(-- ISNUMBER(SEARCH({"Auto Number"}, $B133))) &gt; 0, $B133, IF(SUMPRODUCT(-- ISNUMBER(SEARCH({"Lookup","Master-Detail"}, $B133))) &gt; 0,$B133 &amp; "(" &amp; $E133 &amp; ")",IF(SUMPRODUCT(-- ISNUMBER(SEARCH({"Formula","Roll-Up Summary"}, $B133))) &gt; 0,$B133 &amp; " (" &amp; $E133 &amp; ")",IF(SUMPRODUCT(-- ISNUMBER(SEARCH({"Content","Currency","Number","Percent","Text","URL"}, $B133))) &gt; 0,$B133 &amp; "(" &amp; $C133 &amp; ")",$B133)))), "  ", TRIM(IF($S133 = "YES", "(External ID)", "") &amp; " " &amp; IF(SUMPRODUCT(-- ISNUMBER(SEARCH({"Unique","Unique Case Insensitive"}, $R133))) &gt; 0, "(" &amp; $R133 &amp; ")", ""))))</f>
        <v>na</v>
      </c>
      <c r="E133" s="7" t="s">
        <v>195</v>
      </c>
      <c r="F133" s="7" t="s">
        <v>195</v>
      </c>
      <c r="G133" s="7" t="s">
        <v>195</v>
      </c>
      <c r="H133" s="7" t="s">
        <v>195</v>
      </c>
      <c r="I133" s="7" t="s">
        <v>195</v>
      </c>
      <c r="J133" s="7" t="s">
        <v>195</v>
      </c>
      <c r="K133" s="7" t="s">
        <v>195</v>
      </c>
      <c r="L133" s="7" t="s">
        <v>195</v>
      </c>
      <c r="M133" s="7" t="s">
        <v>29</v>
      </c>
      <c r="N133" s="7" t="s">
        <v>29</v>
      </c>
      <c r="O133" s="7" t="s">
        <v>29</v>
      </c>
      <c r="P133" s="7" t="s">
        <v>29</v>
      </c>
      <c r="Q133" s="7" t="s">
        <v>29</v>
      </c>
      <c r="R133" s="7" t="s">
        <v>29</v>
      </c>
      <c r="S133" s="7" t="s">
        <v>29</v>
      </c>
    </row>
    <row r="134" spans="2:19">
      <c r="B134" s="7" t="s">
        <v>195</v>
      </c>
      <c r="C134" s="8" t="s">
        <v>195</v>
      </c>
      <c r="D134" s="6" t="str">
        <f>LRTRIM(CONCATENATE(IF(SUMPRODUCT(-- ISNUMBER(SEARCH({"Auto Number"}, $B134))) &gt; 0, $B134, IF(SUMPRODUCT(-- ISNUMBER(SEARCH({"Lookup","Master-Detail"}, $B134))) &gt; 0,$B134 &amp; "(" &amp; $E134 &amp; ")",IF(SUMPRODUCT(-- ISNUMBER(SEARCH({"Formula","Roll-Up Summary"}, $B134))) &gt; 0,$B134 &amp; " (" &amp; $E134 &amp; ")",IF(SUMPRODUCT(-- ISNUMBER(SEARCH({"Content","Currency","Number","Percent","Text","URL"}, $B134))) &gt; 0,$B134 &amp; "(" &amp; $C134 &amp; ")",$B134)))), "  ", TRIM(IF($S134 = "YES", "(External ID)", "") &amp; " " &amp; IF(SUMPRODUCT(-- ISNUMBER(SEARCH({"Unique","Unique Case Insensitive"}, $R134))) &gt; 0, "(" &amp; $R134 &amp; ")", ""))))</f>
        <v>na</v>
      </c>
      <c r="E134" s="7" t="s">
        <v>195</v>
      </c>
      <c r="F134" s="7" t="s">
        <v>195</v>
      </c>
      <c r="G134" s="7" t="s">
        <v>195</v>
      </c>
      <c r="H134" s="7" t="s">
        <v>195</v>
      </c>
      <c r="I134" s="7" t="s">
        <v>195</v>
      </c>
      <c r="J134" s="7" t="s">
        <v>195</v>
      </c>
      <c r="K134" s="7" t="s">
        <v>195</v>
      </c>
      <c r="L134" s="7" t="s">
        <v>195</v>
      </c>
      <c r="M134" s="7" t="s">
        <v>29</v>
      </c>
      <c r="N134" s="7" t="s">
        <v>29</v>
      </c>
      <c r="O134" s="7" t="s">
        <v>29</v>
      </c>
      <c r="P134" s="7" t="s">
        <v>29</v>
      </c>
      <c r="Q134" s="7" t="s">
        <v>29</v>
      </c>
      <c r="R134" s="7" t="s">
        <v>29</v>
      </c>
      <c r="S134" s="7" t="s">
        <v>29</v>
      </c>
    </row>
    <row r="135" spans="2:19">
      <c r="B135" s="7" t="s">
        <v>195</v>
      </c>
      <c r="C135" s="8" t="s">
        <v>195</v>
      </c>
      <c r="D135" s="6" t="str">
        <f>LRTRIM(CONCATENATE(IF(SUMPRODUCT(-- ISNUMBER(SEARCH({"Auto Number"}, $B135))) &gt; 0, $B135, IF(SUMPRODUCT(-- ISNUMBER(SEARCH({"Lookup","Master-Detail"}, $B135))) &gt; 0,$B135 &amp; "(" &amp; $E135 &amp; ")",IF(SUMPRODUCT(-- ISNUMBER(SEARCH({"Formula","Roll-Up Summary"}, $B135))) &gt; 0,$B135 &amp; " (" &amp; $E135 &amp; ")",IF(SUMPRODUCT(-- ISNUMBER(SEARCH({"Content","Currency","Number","Percent","Text","URL"}, $B135))) &gt; 0,$B135 &amp; "(" &amp; $C135 &amp; ")",$B135)))), "  ", TRIM(IF($S135 = "YES", "(External ID)", "") &amp; " " &amp; IF(SUMPRODUCT(-- ISNUMBER(SEARCH({"Unique","Unique Case Insensitive"}, $R135))) &gt; 0, "(" &amp; $R135 &amp; ")", ""))))</f>
        <v>na</v>
      </c>
      <c r="E135" s="7" t="s">
        <v>195</v>
      </c>
      <c r="F135" s="7" t="s">
        <v>195</v>
      </c>
      <c r="G135" s="7" t="s">
        <v>195</v>
      </c>
      <c r="H135" s="7" t="s">
        <v>195</v>
      </c>
      <c r="I135" s="7" t="s">
        <v>195</v>
      </c>
      <c r="J135" s="7" t="s">
        <v>195</v>
      </c>
      <c r="K135" s="7" t="s">
        <v>195</v>
      </c>
      <c r="L135" s="7" t="s">
        <v>195</v>
      </c>
      <c r="M135" s="7" t="s">
        <v>29</v>
      </c>
      <c r="N135" s="7" t="s">
        <v>29</v>
      </c>
      <c r="O135" s="7" t="s">
        <v>29</v>
      </c>
      <c r="P135" s="7" t="s">
        <v>29</v>
      </c>
      <c r="Q135" s="7" t="s">
        <v>29</v>
      </c>
      <c r="R135" s="7" t="s">
        <v>29</v>
      </c>
      <c r="S135" s="7" t="s">
        <v>29</v>
      </c>
    </row>
    <row r="136" spans="2:19">
      <c r="B136" s="7" t="s">
        <v>195</v>
      </c>
      <c r="C136" s="8" t="s">
        <v>195</v>
      </c>
      <c r="D136" s="6" t="str">
        <f>LRTRIM(CONCATENATE(IF(SUMPRODUCT(-- ISNUMBER(SEARCH({"Auto Number"}, $B136))) &gt; 0, $B136, IF(SUMPRODUCT(-- ISNUMBER(SEARCH({"Lookup","Master-Detail"}, $B136))) &gt; 0,$B136 &amp; "(" &amp; $E136 &amp; ")",IF(SUMPRODUCT(-- ISNUMBER(SEARCH({"Formula","Roll-Up Summary"}, $B136))) &gt; 0,$B136 &amp; " (" &amp; $E136 &amp; ")",IF(SUMPRODUCT(-- ISNUMBER(SEARCH({"Content","Currency","Number","Percent","Text","URL"}, $B136))) &gt; 0,$B136 &amp; "(" &amp; $C136 &amp; ")",$B136)))), "  ", TRIM(IF($S136 = "YES", "(External ID)", "") &amp; " " &amp; IF(SUMPRODUCT(-- ISNUMBER(SEARCH({"Unique","Unique Case Insensitive"}, $R136))) &gt; 0, "(" &amp; $R136 &amp; ")", ""))))</f>
        <v>na</v>
      </c>
      <c r="E136" s="7" t="s">
        <v>195</v>
      </c>
      <c r="F136" s="7" t="s">
        <v>195</v>
      </c>
      <c r="G136" s="7" t="s">
        <v>195</v>
      </c>
      <c r="H136" s="7" t="s">
        <v>195</v>
      </c>
      <c r="I136" s="7" t="s">
        <v>195</v>
      </c>
      <c r="J136" s="7" t="s">
        <v>195</v>
      </c>
      <c r="K136" s="7" t="s">
        <v>195</v>
      </c>
      <c r="L136" s="7" t="s">
        <v>195</v>
      </c>
      <c r="M136" s="7" t="s">
        <v>29</v>
      </c>
      <c r="N136" s="7" t="s">
        <v>29</v>
      </c>
      <c r="O136" s="7" t="s">
        <v>29</v>
      </c>
      <c r="P136" s="7" t="s">
        <v>29</v>
      </c>
      <c r="Q136" s="7" t="s">
        <v>29</v>
      </c>
      <c r="R136" s="7" t="s">
        <v>29</v>
      </c>
      <c r="S136" s="7" t="s">
        <v>29</v>
      </c>
    </row>
    <row r="137" spans="2:19">
      <c r="B137" s="7" t="s">
        <v>195</v>
      </c>
      <c r="C137" s="8" t="s">
        <v>195</v>
      </c>
      <c r="D137" s="6" t="str">
        <f>LRTRIM(CONCATENATE(IF(SUMPRODUCT(-- ISNUMBER(SEARCH({"Auto Number"}, $B137))) &gt; 0, $B137, IF(SUMPRODUCT(-- ISNUMBER(SEARCH({"Lookup","Master-Detail"}, $B137))) &gt; 0,$B137 &amp; "(" &amp; $E137 &amp; ")",IF(SUMPRODUCT(-- ISNUMBER(SEARCH({"Formula","Roll-Up Summary"}, $B137))) &gt; 0,$B137 &amp; " (" &amp; $E137 &amp; ")",IF(SUMPRODUCT(-- ISNUMBER(SEARCH({"Content","Currency","Number","Percent","Text","URL"}, $B137))) &gt; 0,$B137 &amp; "(" &amp; $C137 &amp; ")",$B137)))), "  ", TRIM(IF($S137 = "YES", "(External ID)", "") &amp; " " &amp; IF(SUMPRODUCT(-- ISNUMBER(SEARCH({"Unique","Unique Case Insensitive"}, $R137))) &gt; 0, "(" &amp; $R137 &amp; ")", ""))))</f>
        <v>na</v>
      </c>
      <c r="E137" s="7" t="s">
        <v>195</v>
      </c>
      <c r="F137" s="7" t="s">
        <v>195</v>
      </c>
      <c r="G137" s="7" t="s">
        <v>195</v>
      </c>
      <c r="H137" s="7" t="s">
        <v>195</v>
      </c>
      <c r="I137" s="7" t="s">
        <v>195</v>
      </c>
      <c r="J137" s="7" t="s">
        <v>195</v>
      </c>
      <c r="K137" s="7" t="s">
        <v>195</v>
      </c>
      <c r="L137" s="7" t="s">
        <v>195</v>
      </c>
      <c r="M137" s="7" t="s">
        <v>29</v>
      </c>
      <c r="N137" s="7" t="s">
        <v>29</v>
      </c>
      <c r="O137" s="7" t="s">
        <v>29</v>
      </c>
      <c r="P137" s="7" t="s">
        <v>29</v>
      </c>
      <c r="Q137" s="7" t="s">
        <v>29</v>
      </c>
      <c r="R137" s="7" t="s">
        <v>29</v>
      </c>
      <c r="S137" s="7" t="s">
        <v>29</v>
      </c>
    </row>
    <row r="138" spans="2:19">
      <c r="B138" s="7" t="s">
        <v>195</v>
      </c>
      <c r="C138" s="8" t="s">
        <v>195</v>
      </c>
      <c r="D138" s="6" t="str">
        <f>LRTRIM(CONCATENATE(IF(SUMPRODUCT(-- ISNUMBER(SEARCH({"Auto Number"}, $B138))) &gt; 0, $B138, IF(SUMPRODUCT(-- ISNUMBER(SEARCH({"Lookup","Master-Detail"}, $B138))) &gt; 0,$B138 &amp; "(" &amp; $E138 &amp; ")",IF(SUMPRODUCT(-- ISNUMBER(SEARCH({"Formula","Roll-Up Summary"}, $B138))) &gt; 0,$B138 &amp; " (" &amp; $E138 &amp; ")",IF(SUMPRODUCT(-- ISNUMBER(SEARCH({"Content","Currency","Number","Percent","Text","URL"}, $B138))) &gt; 0,$B138 &amp; "(" &amp; $C138 &amp; ")",$B138)))), "  ", TRIM(IF($S138 = "YES", "(External ID)", "") &amp; " " &amp; IF(SUMPRODUCT(-- ISNUMBER(SEARCH({"Unique","Unique Case Insensitive"}, $R138))) &gt; 0, "(" &amp; $R138 &amp; ")", ""))))</f>
        <v>na</v>
      </c>
      <c r="E138" s="7" t="s">
        <v>195</v>
      </c>
      <c r="F138" s="7" t="s">
        <v>195</v>
      </c>
      <c r="G138" s="7" t="s">
        <v>195</v>
      </c>
      <c r="H138" s="7" t="s">
        <v>195</v>
      </c>
      <c r="I138" s="7" t="s">
        <v>195</v>
      </c>
      <c r="J138" s="7" t="s">
        <v>195</v>
      </c>
      <c r="K138" s="7" t="s">
        <v>195</v>
      </c>
      <c r="L138" s="7" t="s">
        <v>195</v>
      </c>
      <c r="M138" s="7" t="s">
        <v>29</v>
      </c>
      <c r="N138" s="7" t="s">
        <v>29</v>
      </c>
      <c r="O138" s="7" t="s">
        <v>29</v>
      </c>
      <c r="P138" s="7" t="s">
        <v>29</v>
      </c>
      <c r="Q138" s="7" t="s">
        <v>29</v>
      </c>
      <c r="R138" s="7" t="s">
        <v>29</v>
      </c>
      <c r="S138" s="7" t="s">
        <v>29</v>
      </c>
    </row>
    <row r="139" spans="2:19">
      <c r="B139" s="7" t="s">
        <v>195</v>
      </c>
      <c r="C139" s="8" t="s">
        <v>195</v>
      </c>
      <c r="D139" s="6" t="str">
        <f>LRTRIM(CONCATENATE(IF(SUMPRODUCT(-- ISNUMBER(SEARCH({"Auto Number"}, $B139))) &gt; 0, $B139, IF(SUMPRODUCT(-- ISNUMBER(SEARCH({"Lookup","Master-Detail"}, $B139))) &gt; 0,$B139 &amp; "(" &amp; $E139 &amp; ")",IF(SUMPRODUCT(-- ISNUMBER(SEARCH({"Formula","Roll-Up Summary"}, $B139))) &gt; 0,$B139 &amp; " (" &amp; $E139 &amp; ")",IF(SUMPRODUCT(-- ISNUMBER(SEARCH({"Content","Currency","Number","Percent","Text","URL"}, $B139))) &gt; 0,$B139 &amp; "(" &amp; $C139 &amp; ")",$B139)))), "  ", TRIM(IF($S139 = "YES", "(External ID)", "") &amp; " " &amp; IF(SUMPRODUCT(-- ISNUMBER(SEARCH({"Unique","Unique Case Insensitive"}, $R139))) &gt; 0, "(" &amp; $R139 &amp; ")", ""))))</f>
        <v>na</v>
      </c>
      <c r="E139" s="7" t="s">
        <v>195</v>
      </c>
      <c r="F139" s="7" t="s">
        <v>195</v>
      </c>
      <c r="G139" s="7" t="s">
        <v>195</v>
      </c>
      <c r="H139" s="7" t="s">
        <v>195</v>
      </c>
      <c r="I139" s="7" t="s">
        <v>195</v>
      </c>
      <c r="J139" s="7" t="s">
        <v>195</v>
      </c>
      <c r="K139" s="7" t="s">
        <v>195</v>
      </c>
      <c r="L139" s="7" t="s">
        <v>195</v>
      </c>
      <c r="M139" s="7" t="s">
        <v>29</v>
      </c>
      <c r="N139" s="7" t="s">
        <v>29</v>
      </c>
      <c r="O139" s="7" t="s">
        <v>29</v>
      </c>
      <c r="P139" s="7" t="s">
        <v>29</v>
      </c>
      <c r="Q139" s="7" t="s">
        <v>29</v>
      </c>
      <c r="R139" s="7" t="s">
        <v>29</v>
      </c>
      <c r="S139" s="7" t="s">
        <v>29</v>
      </c>
    </row>
    <row r="140" spans="2:19">
      <c r="B140" s="7" t="s">
        <v>195</v>
      </c>
      <c r="C140" s="8" t="s">
        <v>195</v>
      </c>
      <c r="D140" s="6" t="str">
        <f>LRTRIM(CONCATENATE(IF(SUMPRODUCT(-- ISNUMBER(SEARCH({"Auto Number"}, $B140))) &gt; 0, $B140, IF(SUMPRODUCT(-- ISNUMBER(SEARCH({"Lookup","Master-Detail"}, $B140))) &gt; 0,$B140 &amp; "(" &amp; $E140 &amp; ")",IF(SUMPRODUCT(-- ISNUMBER(SEARCH({"Formula","Roll-Up Summary"}, $B140))) &gt; 0,$B140 &amp; " (" &amp; $E140 &amp; ")",IF(SUMPRODUCT(-- ISNUMBER(SEARCH({"Content","Currency","Number","Percent","Text","URL"}, $B140))) &gt; 0,$B140 &amp; "(" &amp; $C140 &amp; ")",$B140)))), "  ", TRIM(IF($S140 = "YES", "(External ID)", "") &amp; " " &amp; IF(SUMPRODUCT(-- ISNUMBER(SEARCH({"Unique","Unique Case Insensitive"}, $R140))) &gt; 0, "(" &amp; $R140 &amp; ")", ""))))</f>
        <v>na</v>
      </c>
      <c r="E140" s="7" t="s">
        <v>195</v>
      </c>
      <c r="F140" s="7" t="s">
        <v>195</v>
      </c>
      <c r="G140" s="7" t="s">
        <v>195</v>
      </c>
      <c r="H140" s="7" t="s">
        <v>195</v>
      </c>
      <c r="I140" s="7" t="s">
        <v>195</v>
      </c>
      <c r="J140" s="7" t="s">
        <v>195</v>
      </c>
      <c r="K140" s="7" t="s">
        <v>195</v>
      </c>
      <c r="L140" s="7" t="s">
        <v>195</v>
      </c>
      <c r="M140" s="7" t="s">
        <v>29</v>
      </c>
      <c r="N140" s="7" t="s">
        <v>29</v>
      </c>
      <c r="O140" s="7" t="s">
        <v>29</v>
      </c>
      <c r="P140" s="7" t="s">
        <v>29</v>
      </c>
      <c r="Q140" s="7" t="s">
        <v>29</v>
      </c>
      <c r="R140" s="7" t="s">
        <v>29</v>
      </c>
      <c r="S140" s="7" t="s">
        <v>29</v>
      </c>
    </row>
    <row r="141" spans="2:19">
      <c r="B141" s="7" t="s">
        <v>195</v>
      </c>
      <c r="C141" s="8" t="s">
        <v>195</v>
      </c>
      <c r="D141" s="6" t="str">
        <f>LRTRIM(CONCATENATE(IF(SUMPRODUCT(-- ISNUMBER(SEARCH({"Auto Number"}, $B141))) &gt; 0, $B141, IF(SUMPRODUCT(-- ISNUMBER(SEARCH({"Lookup","Master-Detail"}, $B141))) &gt; 0,$B141 &amp; "(" &amp; $E141 &amp; ")",IF(SUMPRODUCT(-- ISNUMBER(SEARCH({"Formula","Roll-Up Summary"}, $B141))) &gt; 0,$B141 &amp; " (" &amp; $E141 &amp; ")",IF(SUMPRODUCT(-- ISNUMBER(SEARCH({"Content","Currency","Number","Percent","Text","URL"}, $B141))) &gt; 0,$B141 &amp; "(" &amp; $C141 &amp; ")",$B141)))), "  ", TRIM(IF($S141 = "YES", "(External ID)", "") &amp; " " &amp; IF(SUMPRODUCT(-- ISNUMBER(SEARCH({"Unique","Unique Case Insensitive"}, $R141))) &gt; 0, "(" &amp; $R141 &amp; ")", ""))))</f>
        <v>na</v>
      </c>
      <c r="E141" s="7" t="s">
        <v>195</v>
      </c>
      <c r="F141" s="7" t="s">
        <v>195</v>
      </c>
      <c r="G141" s="7" t="s">
        <v>195</v>
      </c>
      <c r="H141" s="7" t="s">
        <v>195</v>
      </c>
      <c r="I141" s="7" t="s">
        <v>195</v>
      </c>
      <c r="J141" s="7" t="s">
        <v>195</v>
      </c>
      <c r="K141" s="7" t="s">
        <v>195</v>
      </c>
      <c r="L141" s="7" t="s">
        <v>195</v>
      </c>
      <c r="M141" s="7" t="s">
        <v>29</v>
      </c>
      <c r="N141" s="7" t="s">
        <v>29</v>
      </c>
      <c r="O141" s="7" t="s">
        <v>29</v>
      </c>
      <c r="P141" s="7" t="s">
        <v>29</v>
      </c>
      <c r="Q141" s="7" t="s">
        <v>29</v>
      </c>
      <c r="R141" s="7" t="s">
        <v>29</v>
      </c>
      <c r="S141" s="7" t="s">
        <v>29</v>
      </c>
    </row>
    <row r="142" spans="2:19">
      <c r="B142" s="7" t="s">
        <v>195</v>
      </c>
      <c r="C142" s="8" t="s">
        <v>195</v>
      </c>
      <c r="D142" s="6" t="str">
        <f>LRTRIM(CONCATENATE(IF(SUMPRODUCT(-- ISNUMBER(SEARCH({"Auto Number"}, $B142))) &gt; 0, $B142, IF(SUMPRODUCT(-- ISNUMBER(SEARCH({"Lookup","Master-Detail"}, $B142))) &gt; 0,$B142 &amp; "(" &amp; $E142 &amp; ")",IF(SUMPRODUCT(-- ISNUMBER(SEARCH({"Formula","Roll-Up Summary"}, $B142))) &gt; 0,$B142 &amp; " (" &amp; $E142 &amp; ")",IF(SUMPRODUCT(-- ISNUMBER(SEARCH({"Content","Currency","Number","Percent","Text","URL"}, $B142))) &gt; 0,$B142 &amp; "(" &amp; $C142 &amp; ")",$B142)))), "  ", TRIM(IF($S142 = "YES", "(External ID)", "") &amp; " " &amp; IF(SUMPRODUCT(-- ISNUMBER(SEARCH({"Unique","Unique Case Insensitive"}, $R142))) &gt; 0, "(" &amp; $R142 &amp; ")", ""))))</f>
        <v>na</v>
      </c>
      <c r="E142" s="7" t="s">
        <v>195</v>
      </c>
      <c r="F142" s="7" t="s">
        <v>195</v>
      </c>
      <c r="G142" s="7" t="s">
        <v>195</v>
      </c>
      <c r="H142" s="7" t="s">
        <v>195</v>
      </c>
      <c r="I142" s="7" t="s">
        <v>195</v>
      </c>
      <c r="J142" s="7" t="s">
        <v>195</v>
      </c>
      <c r="K142" s="7" t="s">
        <v>195</v>
      </c>
      <c r="L142" s="7" t="s">
        <v>195</v>
      </c>
      <c r="M142" s="7" t="s">
        <v>29</v>
      </c>
      <c r="N142" s="7" t="s">
        <v>29</v>
      </c>
      <c r="O142" s="7" t="s">
        <v>29</v>
      </c>
      <c r="P142" s="7" t="s">
        <v>29</v>
      </c>
      <c r="Q142" s="7" t="s">
        <v>29</v>
      </c>
      <c r="R142" s="7" t="s">
        <v>29</v>
      </c>
      <c r="S142" s="7" t="s">
        <v>29</v>
      </c>
    </row>
    <row r="143" spans="2:19">
      <c r="B143" s="7" t="s">
        <v>195</v>
      </c>
      <c r="C143" s="8" t="s">
        <v>195</v>
      </c>
      <c r="D143" s="6" t="str">
        <f>LRTRIM(CONCATENATE(IF(SUMPRODUCT(-- ISNUMBER(SEARCH({"Auto Number"}, $B143))) &gt; 0, $B143, IF(SUMPRODUCT(-- ISNUMBER(SEARCH({"Lookup","Master-Detail"}, $B143))) &gt; 0,$B143 &amp; "(" &amp; $E143 &amp; ")",IF(SUMPRODUCT(-- ISNUMBER(SEARCH({"Formula","Roll-Up Summary"}, $B143))) &gt; 0,$B143 &amp; " (" &amp; $E143 &amp; ")",IF(SUMPRODUCT(-- ISNUMBER(SEARCH({"Content","Currency","Number","Percent","Text","URL"}, $B143))) &gt; 0,$B143 &amp; "(" &amp; $C143 &amp; ")",$B143)))), "  ", TRIM(IF($S143 = "YES", "(External ID)", "") &amp; " " &amp; IF(SUMPRODUCT(-- ISNUMBER(SEARCH({"Unique","Unique Case Insensitive"}, $R143))) &gt; 0, "(" &amp; $R143 &amp; ")", ""))))</f>
        <v>na</v>
      </c>
      <c r="E143" s="7" t="s">
        <v>195</v>
      </c>
      <c r="F143" s="7" t="s">
        <v>195</v>
      </c>
      <c r="G143" s="7" t="s">
        <v>195</v>
      </c>
      <c r="H143" s="7" t="s">
        <v>195</v>
      </c>
      <c r="I143" s="7" t="s">
        <v>195</v>
      </c>
      <c r="J143" s="7" t="s">
        <v>195</v>
      </c>
      <c r="K143" s="7" t="s">
        <v>195</v>
      </c>
      <c r="L143" s="7" t="s">
        <v>195</v>
      </c>
      <c r="M143" s="7" t="s">
        <v>29</v>
      </c>
      <c r="N143" s="7" t="s">
        <v>29</v>
      </c>
      <c r="O143" s="7" t="s">
        <v>29</v>
      </c>
      <c r="P143" s="7" t="s">
        <v>29</v>
      </c>
      <c r="Q143" s="7" t="s">
        <v>29</v>
      </c>
      <c r="R143" s="7" t="s">
        <v>29</v>
      </c>
      <c r="S143" s="7" t="s">
        <v>29</v>
      </c>
    </row>
    <row r="144" spans="2:19">
      <c r="B144" s="7" t="s">
        <v>195</v>
      </c>
      <c r="C144" s="8" t="s">
        <v>195</v>
      </c>
      <c r="D144" s="6" t="str">
        <f>LRTRIM(CONCATENATE(IF(SUMPRODUCT(-- ISNUMBER(SEARCH({"Auto Number"}, $B144))) &gt; 0, $B144, IF(SUMPRODUCT(-- ISNUMBER(SEARCH({"Lookup","Master-Detail"}, $B144))) &gt; 0,$B144 &amp; "(" &amp; $E144 &amp; ")",IF(SUMPRODUCT(-- ISNUMBER(SEARCH({"Formula","Roll-Up Summary"}, $B144))) &gt; 0,$B144 &amp; " (" &amp; $E144 &amp; ")",IF(SUMPRODUCT(-- ISNUMBER(SEARCH({"Content","Currency","Number","Percent","Text","URL"}, $B144))) &gt; 0,$B144 &amp; "(" &amp; $C144 &amp; ")",$B144)))), "  ", TRIM(IF($S144 = "YES", "(External ID)", "") &amp; " " &amp; IF(SUMPRODUCT(-- ISNUMBER(SEARCH({"Unique","Unique Case Insensitive"}, $R144))) &gt; 0, "(" &amp; $R144 &amp; ")", ""))))</f>
        <v>na</v>
      </c>
      <c r="E144" s="7" t="s">
        <v>195</v>
      </c>
      <c r="F144" s="7" t="s">
        <v>195</v>
      </c>
      <c r="G144" s="7" t="s">
        <v>195</v>
      </c>
      <c r="H144" s="7" t="s">
        <v>195</v>
      </c>
      <c r="I144" s="7" t="s">
        <v>195</v>
      </c>
      <c r="J144" s="7" t="s">
        <v>195</v>
      </c>
      <c r="K144" s="7" t="s">
        <v>195</v>
      </c>
      <c r="L144" s="7" t="s">
        <v>195</v>
      </c>
      <c r="M144" s="7" t="s">
        <v>29</v>
      </c>
      <c r="N144" s="7" t="s">
        <v>29</v>
      </c>
      <c r="O144" s="7" t="s">
        <v>29</v>
      </c>
      <c r="P144" s="7" t="s">
        <v>29</v>
      </c>
      <c r="Q144" s="7" t="s">
        <v>29</v>
      </c>
      <c r="R144" s="7" t="s">
        <v>29</v>
      </c>
      <c r="S144" s="7" t="s">
        <v>29</v>
      </c>
    </row>
    <row r="145" spans="2:19">
      <c r="B145" s="7" t="s">
        <v>195</v>
      </c>
      <c r="C145" s="8" t="s">
        <v>195</v>
      </c>
      <c r="D145" s="6" t="str">
        <f>LRTRIM(CONCATENATE(IF(SUMPRODUCT(-- ISNUMBER(SEARCH({"Auto Number"}, $B145))) &gt; 0, $B145, IF(SUMPRODUCT(-- ISNUMBER(SEARCH({"Lookup","Master-Detail"}, $B145))) &gt; 0,$B145 &amp; "(" &amp; $E145 &amp; ")",IF(SUMPRODUCT(-- ISNUMBER(SEARCH({"Formula","Roll-Up Summary"}, $B145))) &gt; 0,$B145 &amp; " (" &amp; $E145 &amp; ")",IF(SUMPRODUCT(-- ISNUMBER(SEARCH({"Content","Currency","Number","Percent","Text","URL"}, $B145))) &gt; 0,$B145 &amp; "(" &amp; $C145 &amp; ")",$B145)))), "  ", TRIM(IF($S145 = "YES", "(External ID)", "") &amp; " " &amp; IF(SUMPRODUCT(-- ISNUMBER(SEARCH({"Unique","Unique Case Insensitive"}, $R145))) &gt; 0, "(" &amp; $R145 &amp; ")", ""))))</f>
        <v>na</v>
      </c>
      <c r="E145" s="7" t="s">
        <v>195</v>
      </c>
      <c r="F145" s="7" t="s">
        <v>195</v>
      </c>
      <c r="G145" s="7" t="s">
        <v>195</v>
      </c>
      <c r="H145" s="7" t="s">
        <v>195</v>
      </c>
      <c r="I145" s="7" t="s">
        <v>195</v>
      </c>
      <c r="J145" s="7" t="s">
        <v>195</v>
      </c>
      <c r="K145" s="7" t="s">
        <v>195</v>
      </c>
      <c r="L145" s="7" t="s">
        <v>195</v>
      </c>
      <c r="M145" s="7" t="s">
        <v>29</v>
      </c>
      <c r="N145" s="7" t="s">
        <v>29</v>
      </c>
      <c r="O145" s="7" t="s">
        <v>29</v>
      </c>
      <c r="P145" s="7" t="s">
        <v>29</v>
      </c>
      <c r="Q145" s="7" t="s">
        <v>29</v>
      </c>
      <c r="R145" s="7" t="s">
        <v>29</v>
      </c>
      <c r="S145" s="7" t="s">
        <v>29</v>
      </c>
    </row>
    <row r="146" spans="2:19">
      <c r="B146" s="7" t="s">
        <v>195</v>
      </c>
      <c r="C146" s="8" t="s">
        <v>195</v>
      </c>
      <c r="D146" s="6" t="str">
        <f>LRTRIM(CONCATENATE(IF(SUMPRODUCT(-- ISNUMBER(SEARCH({"Auto Number"}, $B146))) &gt; 0, $B146, IF(SUMPRODUCT(-- ISNUMBER(SEARCH({"Lookup","Master-Detail"}, $B146))) &gt; 0,$B146 &amp; "(" &amp; $E146 &amp; ")",IF(SUMPRODUCT(-- ISNUMBER(SEARCH({"Formula","Roll-Up Summary"}, $B146))) &gt; 0,$B146 &amp; " (" &amp; $E146 &amp; ")",IF(SUMPRODUCT(-- ISNUMBER(SEARCH({"Content","Currency","Number","Percent","Text","URL"}, $B146))) &gt; 0,$B146 &amp; "(" &amp; $C146 &amp; ")",$B146)))), "  ", TRIM(IF($S146 = "YES", "(External ID)", "") &amp; " " &amp; IF(SUMPRODUCT(-- ISNUMBER(SEARCH({"Unique","Unique Case Insensitive"}, $R146))) &gt; 0, "(" &amp; $R146 &amp; ")", ""))))</f>
        <v>na</v>
      </c>
      <c r="E146" s="7" t="s">
        <v>195</v>
      </c>
      <c r="F146" s="7" t="s">
        <v>195</v>
      </c>
      <c r="G146" s="7" t="s">
        <v>195</v>
      </c>
      <c r="H146" s="7" t="s">
        <v>195</v>
      </c>
      <c r="I146" s="7" t="s">
        <v>195</v>
      </c>
      <c r="J146" s="7" t="s">
        <v>195</v>
      </c>
      <c r="K146" s="7" t="s">
        <v>195</v>
      </c>
      <c r="L146" s="7" t="s">
        <v>195</v>
      </c>
      <c r="M146" s="7" t="s">
        <v>29</v>
      </c>
      <c r="N146" s="7" t="s">
        <v>29</v>
      </c>
      <c r="O146" s="7" t="s">
        <v>29</v>
      </c>
      <c r="P146" s="7" t="s">
        <v>29</v>
      </c>
      <c r="Q146" s="7" t="s">
        <v>29</v>
      </c>
      <c r="R146" s="7" t="s">
        <v>29</v>
      </c>
      <c r="S146" s="7" t="s">
        <v>29</v>
      </c>
    </row>
    <row r="147" spans="2:19">
      <c r="B147" s="7" t="s">
        <v>195</v>
      </c>
      <c r="C147" s="8" t="s">
        <v>195</v>
      </c>
      <c r="D147" s="6" t="str">
        <f>LRTRIM(CONCATENATE(IF(SUMPRODUCT(-- ISNUMBER(SEARCH({"Auto Number"}, $B147))) &gt; 0, $B147, IF(SUMPRODUCT(-- ISNUMBER(SEARCH({"Lookup","Master-Detail"}, $B147))) &gt; 0,$B147 &amp; "(" &amp; $E147 &amp; ")",IF(SUMPRODUCT(-- ISNUMBER(SEARCH({"Formula","Roll-Up Summary"}, $B147))) &gt; 0,$B147 &amp; " (" &amp; $E147 &amp; ")",IF(SUMPRODUCT(-- ISNUMBER(SEARCH({"Content","Currency","Number","Percent","Text","URL"}, $B147))) &gt; 0,$B147 &amp; "(" &amp; $C147 &amp; ")",$B147)))), "  ", TRIM(IF($S147 = "YES", "(External ID)", "") &amp; " " &amp; IF(SUMPRODUCT(-- ISNUMBER(SEARCH({"Unique","Unique Case Insensitive"}, $R147))) &gt; 0, "(" &amp; $R147 &amp; ")", ""))))</f>
        <v>na</v>
      </c>
      <c r="E147" s="7" t="s">
        <v>195</v>
      </c>
      <c r="F147" s="7" t="s">
        <v>195</v>
      </c>
      <c r="G147" s="7" t="s">
        <v>195</v>
      </c>
      <c r="H147" s="7" t="s">
        <v>195</v>
      </c>
      <c r="I147" s="7" t="s">
        <v>195</v>
      </c>
      <c r="J147" s="7" t="s">
        <v>195</v>
      </c>
      <c r="K147" s="7" t="s">
        <v>195</v>
      </c>
      <c r="L147" s="7" t="s">
        <v>195</v>
      </c>
      <c r="M147" s="7" t="s">
        <v>29</v>
      </c>
      <c r="N147" s="7" t="s">
        <v>29</v>
      </c>
      <c r="O147" s="7" t="s">
        <v>29</v>
      </c>
      <c r="P147" s="7" t="s">
        <v>29</v>
      </c>
      <c r="Q147" s="7" t="s">
        <v>29</v>
      </c>
      <c r="R147" s="7" t="s">
        <v>29</v>
      </c>
      <c r="S147" s="7" t="s">
        <v>29</v>
      </c>
    </row>
    <row r="148" spans="2:19">
      <c r="B148" s="7" t="s">
        <v>195</v>
      </c>
      <c r="C148" s="8" t="s">
        <v>195</v>
      </c>
      <c r="D148" s="6" t="str">
        <f>LRTRIM(CONCATENATE(IF(SUMPRODUCT(-- ISNUMBER(SEARCH({"Auto Number"}, $B148))) &gt; 0, $B148, IF(SUMPRODUCT(-- ISNUMBER(SEARCH({"Lookup","Master-Detail"}, $B148))) &gt; 0,$B148 &amp; "(" &amp; $E148 &amp; ")",IF(SUMPRODUCT(-- ISNUMBER(SEARCH({"Formula","Roll-Up Summary"}, $B148))) &gt; 0,$B148 &amp; " (" &amp; $E148 &amp; ")",IF(SUMPRODUCT(-- ISNUMBER(SEARCH({"Content","Currency","Number","Percent","Text","URL"}, $B148))) &gt; 0,$B148 &amp; "(" &amp; $C148 &amp; ")",$B148)))), "  ", TRIM(IF($S148 = "YES", "(External ID)", "") &amp; " " &amp; IF(SUMPRODUCT(-- ISNUMBER(SEARCH({"Unique","Unique Case Insensitive"}, $R148))) &gt; 0, "(" &amp; $R148 &amp; ")", ""))))</f>
        <v>na</v>
      </c>
      <c r="E148" s="7" t="s">
        <v>195</v>
      </c>
      <c r="F148" s="7" t="s">
        <v>195</v>
      </c>
      <c r="G148" s="7" t="s">
        <v>195</v>
      </c>
      <c r="H148" s="7" t="s">
        <v>195</v>
      </c>
      <c r="I148" s="7" t="s">
        <v>195</v>
      </c>
      <c r="J148" s="7" t="s">
        <v>195</v>
      </c>
      <c r="K148" s="7" t="s">
        <v>195</v>
      </c>
      <c r="L148" s="7" t="s">
        <v>195</v>
      </c>
      <c r="M148" s="7" t="s">
        <v>29</v>
      </c>
      <c r="N148" s="7" t="s">
        <v>29</v>
      </c>
      <c r="O148" s="7" t="s">
        <v>29</v>
      </c>
      <c r="P148" s="7" t="s">
        <v>29</v>
      </c>
      <c r="Q148" s="7" t="s">
        <v>29</v>
      </c>
      <c r="R148" s="7" t="s">
        <v>29</v>
      </c>
      <c r="S148" s="7" t="s">
        <v>29</v>
      </c>
    </row>
    <row r="149" spans="2:19">
      <c r="B149" s="7" t="s">
        <v>195</v>
      </c>
      <c r="C149" s="8" t="s">
        <v>195</v>
      </c>
      <c r="D149" s="6" t="str">
        <f>LRTRIM(CONCATENATE(IF(SUMPRODUCT(-- ISNUMBER(SEARCH({"Auto Number"}, $B149))) &gt; 0, $B149, IF(SUMPRODUCT(-- ISNUMBER(SEARCH({"Lookup","Master-Detail"}, $B149))) &gt; 0,$B149 &amp; "(" &amp; $E149 &amp; ")",IF(SUMPRODUCT(-- ISNUMBER(SEARCH({"Formula","Roll-Up Summary"}, $B149))) &gt; 0,$B149 &amp; " (" &amp; $E149 &amp; ")",IF(SUMPRODUCT(-- ISNUMBER(SEARCH({"Content","Currency","Number","Percent","Text","URL"}, $B149))) &gt; 0,$B149 &amp; "(" &amp; $C149 &amp; ")",$B149)))), "  ", TRIM(IF($S149 = "YES", "(External ID)", "") &amp; " " &amp; IF(SUMPRODUCT(-- ISNUMBER(SEARCH({"Unique","Unique Case Insensitive"}, $R149))) &gt; 0, "(" &amp; $R149 &amp; ")", ""))))</f>
        <v>na</v>
      </c>
      <c r="E149" s="7" t="s">
        <v>195</v>
      </c>
      <c r="F149" s="7" t="s">
        <v>195</v>
      </c>
      <c r="G149" s="7" t="s">
        <v>195</v>
      </c>
      <c r="H149" s="7" t="s">
        <v>195</v>
      </c>
      <c r="I149" s="7" t="s">
        <v>195</v>
      </c>
      <c r="J149" s="7" t="s">
        <v>195</v>
      </c>
      <c r="K149" s="7" t="s">
        <v>195</v>
      </c>
      <c r="L149" s="7" t="s">
        <v>195</v>
      </c>
      <c r="M149" s="7" t="s">
        <v>29</v>
      </c>
      <c r="N149" s="7" t="s">
        <v>29</v>
      </c>
      <c r="O149" s="7" t="s">
        <v>29</v>
      </c>
      <c r="P149" s="7" t="s">
        <v>29</v>
      </c>
      <c r="Q149" s="7" t="s">
        <v>29</v>
      </c>
      <c r="R149" s="7" t="s">
        <v>29</v>
      </c>
      <c r="S149" s="7" t="s">
        <v>29</v>
      </c>
    </row>
    <row r="150" spans="2:19">
      <c r="B150" s="7" t="s">
        <v>195</v>
      </c>
      <c r="C150" s="8" t="s">
        <v>195</v>
      </c>
      <c r="D150" s="6" t="str">
        <f>LRTRIM(CONCATENATE(IF(SUMPRODUCT(-- ISNUMBER(SEARCH({"Auto Number"}, $B150))) &gt; 0, $B150, IF(SUMPRODUCT(-- ISNUMBER(SEARCH({"Lookup","Master-Detail"}, $B150))) &gt; 0,$B150 &amp; "(" &amp; $E150 &amp; ")",IF(SUMPRODUCT(-- ISNUMBER(SEARCH({"Formula","Roll-Up Summary"}, $B150))) &gt; 0,$B150 &amp; " (" &amp; $E150 &amp; ")",IF(SUMPRODUCT(-- ISNUMBER(SEARCH({"Content","Currency","Number","Percent","Text","URL"}, $B150))) &gt; 0,$B150 &amp; "(" &amp; $C150 &amp; ")",$B150)))), "  ", TRIM(IF($S150 = "YES", "(External ID)", "") &amp; " " &amp; IF(SUMPRODUCT(-- ISNUMBER(SEARCH({"Unique","Unique Case Insensitive"}, $R150))) &gt; 0, "(" &amp; $R150 &amp; ")", ""))))</f>
        <v>na</v>
      </c>
      <c r="E150" s="7" t="s">
        <v>195</v>
      </c>
      <c r="F150" s="7" t="s">
        <v>195</v>
      </c>
      <c r="G150" s="7" t="s">
        <v>195</v>
      </c>
      <c r="H150" s="7" t="s">
        <v>195</v>
      </c>
      <c r="I150" s="7" t="s">
        <v>195</v>
      </c>
      <c r="J150" s="7" t="s">
        <v>195</v>
      </c>
      <c r="K150" s="7" t="s">
        <v>195</v>
      </c>
      <c r="L150" s="7" t="s">
        <v>195</v>
      </c>
      <c r="M150" s="7" t="s">
        <v>29</v>
      </c>
      <c r="N150" s="7" t="s">
        <v>29</v>
      </c>
      <c r="O150" s="7" t="s">
        <v>29</v>
      </c>
      <c r="P150" s="7" t="s">
        <v>29</v>
      </c>
      <c r="Q150" s="7" t="s">
        <v>29</v>
      </c>
      <c r="R150" s="7" t="s">
        <v>29</v>
      </c>
      <c r="S150" s="7" t="s">
        <v>29</v>
      </c>
    </row>
    <row r="151" spans="2:19">
      <c r="B151" s="7" t="s">
        <v>195</v>
      </c>
      <c r="C151" s="8" t="s">
        <v>195</v>
      </c>
      <c r="D151" s="6" t="str">
        <f>LRTRIM(CONCATENATE(IF(SUMPRODUCT(-- ISNUMBER(SEARCH({"Auto Number"}, $B151))) &gt; 0, $B151, IF(SUMPRODUCT(-- ISNUMBER(SEARCH({"Lookup","Master-Detail"}, $B151))) &gt; 0,$B151 &amp; "(" &amp; $E151 &amp; ")",IF(SUMPRODUCT(-- ISNUMBER(SEARCH({"Formula","Roll-Up Summary"}, $B151))) &gt; 0,$B151 &amp; " (" &amp; $E151 &amp; ")",IF(SUMPRODUCT(-- ISNUMBER(SEARCH({"Content","Currency","Number","Percent","Text","URL"}, $B151))) &gt; 0,$B151 &amp; "(" &amp; $C151 &amp; ")",$B151)))), "  ", TRIM(IF($S151 = "YES", "(External ID)", "") &amp; " " &amp; IF(SUMPRODUCT(-- ISNUMBER(SEARCH({"Unique","Unique Case Insensitive"}, $R151))) &gt; 0, "(" &amp; $R151 &amp; ")", ""))))</f>
        <v>na</v>
      </c>
      <c r="E151" s="7" t="s">
        <v>195</v>
      </c>
      <c r="F151" s="7" t="s">
        <v>195</v>
      </c>
      <c r="G151" s="7" t="s">
        <v>195</v>
      </c>
      <c r="H151" s="7" t="s">
        <v>195</v>
      </c>
      <c r="I151" s="7" t="s">
        <v>195</v>
      </c>
      <c r="J151" s="7" t="s">
        <v>195</v>
      </c>
      <c r="K151" s="7" t="s">
        <v>195</v>
      </c>
      <c r="L151" s="7" t="s">
        <v>195</v>
      </c>
      <c r="M151" s="7" t="s">
        <v>29</v>
      </c>
      <c r="N151" s="7" t="s">
        <v>29</v>
      </c>
      <c r="O151" s="7" t="s">
        <v>29</v>
      </c>
      <c r="P151" s="7" t="s">
        <v>29</v>
      </c>
      <c r="Q151" s="7" t="s">
        <v>29</v>
      </c>
      <c r="R151" s="7" t="s">
        <v>29</v>
      </c>
      <c r="S151" s="7" t="s">
        <v>29</v>
      </c>
    </row>
    <row r="152" spans="2:19">
      <c r="B152" s="7" t="s">
        <v>195</v>
      </c>
      <c r="C152" s="8" t="s">
        <v>195</v>
      </c>
      <c r="D152" s="6" t="str">
        <f>LRTRIM(CONCATENATE(IF(SUMPRODUCT(-- ISNUMBER(SEARCH({"Auto Number"}, $B152))) &gt; 0, $B152, IF(SUMPRODUCT(-- ISNUMBER(SEARCH({"Lookup","Master-Detail"}, $B152))) &gt; 0,$B152 &amp; "(" &amp; $E152 &amp; ")",IF(SUMPRODUCT(-- ISNUMBER(SEARCH({"Formula","Roll-Up Summary"}, $B152))) &gt; 0,$B152 &amp; " (" &amp; $E152 &amp; ")",IF(SUMPRODUCT(-- ISNUMBER(SEARCH({"Content","Currency","Number","Percent","Text","URL"}, $B152))) &gt; 0,$B152 &amp; "(" &amp; $C152 &amp; ")",$B152)))), "  ", TRIM(IF($S152 = "YES", "(External ID)", "") &amp; " " &amp; IF(SUMPRODUCT(-- ISNUMBER(SEARCH({"Unique","Unique Case Insensitive"}, $R152))) &gt; 0, "(" &amp; $R152 &amp; ")", ""))))</f>
        <v>na</v>
      </c>
      <c r="E152" s="7" t="s">
        <v>195</v>
      </c>
      <c r="F152" s="7" t="s">
        <v>195</v>
      </c>
      <c r="G152" s="7" t="s">
        <v>195</v>
      </c>
      <c r="H152" s="7" t="s">
        <v>195</v>
      </c>
      <c r="I152" s="7" t="s">
        <v>195</v>
      </c>
      <c r="J152" s="7" t="s">
        <v>195</v>
      </c>
      <c r="K152" s="7" t="s">
        <v>195</v>
      </c>
      <c r="L152" s="7" t="s">
        <v>195</v>
      </c>
      <c r="M152" s="7" t="s">
        <v>29</v>
      </c>
      <c r="N152" s="7" t="s">
        <v>29</v>
      </c>
      <c r="O152" s="7" t="s">
        <v>29</v>
      </c>
      <c r="P152" s="7" t="s">
        <v>29</v>
      </c>
      <c r="Q152" s="7" t="s">
        <v>29</v>
      </c>
      <c r="R152" s="7" t="s">
        <v>29</v>
      </c>
      <c r="S152" s="7" t="s">
        <v>29</v>
      </c>
    </row>
    <row r="153" spans="2:19">
      <c r="B153" s="7" t="s">
        <v>195</v>
      </c>
      <c r="C153" s="8" t="s">
        <v>195</v>
      </c>
      <c r="D153" s="6" t="str">
        <f>LRTRIM(CONCATENATE(IF(SUMPRODUCT(-- ISNUMBER(SEARCH({"Auto Number"}, $B153))) &gt; 0, $B153, IF(SUMPRODUCT(-- ISNUMBER(SEARCH({"Lookup","Master-Detail"}, $B153))) &gt; 0,$B153 &amp; "(" &amp; $E153 &amp; ")",IF(SUMPRODUCT(-- ISNUMBER(SEARCH({"Formula","Roll-Up Summary"}, $B153))) &gt; 0,$B153 &amp; " (" &amp; $E153 &amp; ")",IF(SUMPRODUCT(-- ISNUMBER(SEARCH({"Content","Currency","Number","Percent","Text","URL"}, $B153))) &gt; 0,$B153 &amp; "(" &amp; $C153 &amp; ")",$B153)))), "  ", TRIM(IF($S153 = "YES", "(External ID)", "") &amp; " " &amp; IF(SUMPRODUCT(-- ISNUMBER(SEARCH({"Unique","Unique Case Insensitive"}, $R153))) &gt; 0, "(" &amp; $R153 &amp; ")", ""))))</f>
        <v>na</v>
      </c>
      <c r="E153" s="7" t="s">
        <v>195</v>
      </c>
      <c r="F153" s="7" t="s">
        <v>195</v>
      </c>
      <c r="G153" s="7" t="s">
        <v>195</v>
      </c>
      <c r="H153" s="7" t="s">
        <v>195</v>
      </c>
      <c r="I153" s="7" t="s">
        <v>195</v>
      </c>
      <c r="J153" s="7" t="s">
        <v>195</v>
      </c>
      <c r="K153" s="7" t="s">
        <v>195</v>
      </c>
      <c r="L153" s="7" t="s">
        <v>195</v>
      </c>
      <c r="M153" s="7" t="s">
        <v>29</v>
      </c>
      <c r="N153" s="7" t="s">
        <v>29</v>
      </c>
      <c r="O153" s="7" t="s">
        <v>29</v>
      </c>
      <c r="P153" s="7" t="s">
        <v>29</v>
      </c>
      <c r="Q153" s="7" t="s">
        <v>29</v>
      </c>
      <c r="R153" s="7" t="s">
        <v>29</v>
      </c>
      <c r="S153" s="7" t="s">
        <v>29</v>
      </c>
    </row>
    <row r="154" spans="2:19">
      <c r="B154" s="7" t="s">
        <v>195</v>
      </c>
      <c r="C154" s="8" t="s">
        <v>195</v>
      </c>
      <c r="D154" s="6" t="str">
        <f>LRTRIM(CONCATENATE(IF(SUMPRODUCT(-- ISNUMBER(SEARCH({"Auto Number"}, $B154))) &gt; 0, $B154, IF(SUMPRODUCT(-- ISNUMBER(SEARCH({"Lookup","Master-Detail"}, $B154))) &gt; 0,$B154 &amp; "(" &amp; $E154 &amp; ")",IF(SUMPRODUCT(-- ISNUMBER(SEARCH({"Formula","Roll-Up Summary"}, $B154))) &gt; 0,$B154 &amp; " (" &amp; $E154 &amp; ")",IF(SUMPRODUCT(-- ISNUMBER(SEARCH({"Content","Currency","Number","Percent","Text","URL"}, $B154))) &gt; 0,$B154 &amp; "(" &amp; $C154 &amp; ")",$B154)))), "  ", TRIM(IF($S154 = "YES", "(External ID)", "") &amp; " " &amp; IF(SUMPRODUCT(-- ISNUMBER(SEARCH({"Unique","Unique Case Insensitive"}, $R154))) &gt; 0, "(" &amp; $R154 &amp; ")", ""))))</f>
        <v>na</v>
      </c>
      <c r="E154" s="7" t="s">
        <v>195</v>
      </c>
      <c r="F154" s="7" t="s">
        <v>195</v>
      </c>
      <c r="G154" s="7" t="s">
        <v>195</v>
      </c>
      <c r="H154" s="7" t="s">
        <v>195</v>
      </c>
      <c r="I154" s="7" t="s">
        <v>195</v>
      </c>
      <c r="J154" s="7" t="s">
        <v>195</v>
      </c>
      <c r="K154" s="7" t="s">
        <v>195</v>
      </c>
      <c r="L154" s="7" t="s">
        <v>195</v>
      </c>
      <c r="M154" s="7" t="s">
        <v>29</v>
      </c>
      <c r="N154" s="7" t="s">
        <v>29</v>
      </c>
      <c r="O154" s="7" t="s">
        <v>29</v>
      </c>
      <c r="P154" s="7" t="s">
        <v>29</v>
      </c>
      <c r="Q154" s="7" t="s">
        <v>29</v>
      </c>
      <c r="R154" s="7" t="s">
        <v>29</v>
      </c>
      <c r="S154" s="7" t="s">
        <v>29</v>
      </c>
    </row>
    <row r="155" spans="2:19">
      <c r="B155" s="7" t="s">
        <v>195</v>
      </c>
      <c r="C155" s="8" t="s">
        <v>195</v>
      </c>
      <c r="D155" s="6" t="str">
        <f>LRTRIM(CONCATENATE(IF(SUMPRODUCT(-- ISNUMBER(SEARCH({"Auto Number"}, $B155))) &gt; 0, $B155, IF(SUMPRODUCT(-- ISNUMBER(SEARCH({"Lookup","Master-Detail"}, $B155))) &gt; 0,$B155 &amp; "(" &amp; $E155 &amp; ")",IF(SUMPRODUCT(-- ISNUMBER(SEARCH({"Formula","Roll-Up Summary"}, $B155))) &gt; 0,$B155 &amp; " (" &amp; $E155 &amp; ")",IF(SUMPRODUCT(-- ISNUMBER(SEARCH({"Content","Currency","Number","Percent","Text","URL"}, $B155))) &gt; 0,$B155 &amp; "(" &amp; $C155 &amp; ")",$B155)))), "  ", TRIM(IF($S155 = "YES", "(External ID)", "") &amp; " " &amp; IF(SUMPRODUCT(-- ISNUMBER(SEARCH({"Unique","Unique Case Insensitive"}, $R155))) &gt; 0, "(" &amp; $R155 &amp; ")", ""))))</f>
        <v>na</v>
      </c>
      <c r="E155" s="7" t="s">
        <v>195</v>
      </c>
      <c r="F155" s="7" t="s">
        <v>195</v>
      </c>
      <c r="G155" s="7" t="s">
        <v>195</v>
      </c>
      <c r="H155" s="7" t="s">
        <v>195</v>
      </c>
      <c r="I155" s="7" t="s">
        <v>195</v>
      </c>
      <c r="J155" s="7" t="s">
        <v>195</v>
      </c>
      <c r="K155" s="7" t="s">
        <v>195</v>
      </c>
      <c r="L155" s="7" t="s">
        <v>195</v>
      </c>
      <c r="M155" s="7" t="s">
        <v>29</v>
      </c>
      <c r="N155" s="7" t="s">
        <v>29</v>
      </c>
      <c r="O155" s="7" t="s">
        <v>29</v>
      </c>
      <c r="P155" s="7" t="s">
        <v>29</v>
      </c>
      <c r="Q155" s="7" t="s">
        <v>29</v>
      </c>
      <c r="R155" s="7" t="s">
        <v>29</v>
      </c>
      <c r="S155" s="7" t="s">
        <v>29</v>
      </c>
    </row>
    <row r="156" spans="2:19">
      <c r="B156" s="7" t="s">
        <v>195</v>
      </c>
      <c r="C156" s="8" t="s">
        <v>195</v>
      </c>
      <c r="D156" s="6" t="str">
        <f>LRTRIM(CONCATENATE(IF(SUMPRODUCT(-- ISNUMBER(SEARCH({"Auto Number"}, $B156))) &gt; 0, $B156, IF(SUMPRODUCT(-- ISNUMBER(SEARCH({"Lookup","Master-Detail"}, $B156))) &gt; 0,$B156 &amp; "(" &amp; $E156 &amp; ")",IF(SUMPRODUCT(-- ISNUMBER(SEARCH({"Formula","Roll-Up Summary"}, $B156))) &gt; 0,$B156 &amp; " (" &amp; $E156 &amp; ")",IF(SUMPRODUCT(-- ISNUMBER(SEARCH({"Content","Currency","Number","Percent","Text","URL"}, $B156))) &gt; 0,$B156 &amp; "(" &amp; $C156 &amp; ")",$B156)))), "  ", TRIM(IF($S156 = "YES", "(External ID)", "") &amp; " " &amp; IF(SUMPRODUCT(-- ISNUMBER(SEARCH({"Unique","Unique Case Insensitive"}, $R156))) &gt; 0, "(" &amp; $R156 &amp; ")", ""))))</f>
        <v>na</v>
      </c>
      <c r="E156" s="7" t="s">
        <v>195</v>
      </c>
      <c r="F156" s="7" t="s">
        <v>195</v>
      </c>
      <c r="G156" s="7" t="s">
        <v>195</v>
      </c>
      <c r="H156" s="7" t="s">
        <v>195</v>
      </c>
      <c r="I156" s="7" t="s">
        <v>195</v>
      </c>
      <c r="J156" s="7" t="s">
        <v>195</v>
      </c>
      <c r="K156" s="7" t="s">
        <v>195</v>
      </c>
      <c r="L156" s="7" t="s">
        <v>195</v>
      </c>
      <c r="M156" s="7" t="s">
        <v>29</v>
      </c>
      <c r="N156" s="7" t="s">
        <v>29</v>
      </c>
      <c r="O156" s="7" t="s">
        <v>29</v>
      </c>
      <c r="P156" s="7" t="s">
        <v>29</v>
      </c>
      <c r="Q156" s="7" t="s">
        <v>29</v>
      </c>
      <c r="R156" s="7" t="s">
        <v>29</v>
      </c>
      <c r="S156" s="7" t="s">
        <v>29</v>
      </c>
    </row>
    <row r="157" spans="2:19">
      <c r="B157" s="7" t="s">
        <v>195</v>
      </c>
      <c r="C157" s="8" t="s">
        <v>195</v>
      </c>
      <c r="D157" s="6" t="str">
        <f>LRTRIM(CONCATENATE(IF(SUMPRODUCT(-- ISNUMBER(SEARCH({"Auto Number"}, $B157))) &gt; 0, $B157, IF(SUMPRODUCT(-- ISNUMBER(SEARCH({"Lookup","Master-Detail"}, $B157))) &gt; 0,$B157 &amp; "(" &amp; $E157 &amp; ")",IF(SUMPRODUCT(-- ISNUMBER(SEARCH({"Formula","Roll-Up Summary"}, $B157))) &gt; 0,$B157 &amp; " (" &amp; $E157 &amp; ")",IF(SUMPRODUCT(-- ISNUMBER(SEARCH({"Content","Currency","Number","Percent","Text","URL"}, $B157))) &gt; 0,$B157 &amp; "(" &amp; $C157 &amp; ")",$B157)))), "  ", TRIM(IF($S157 = "YES", "(External ID)", "") &amp; " " &amp; IF(SUMPRODUCT(-- ISNUMBER(SEARCH({"Unique","Unique Case Insensitive"}, $R157))) &gt; 0, "(" &amp; $R157 &amp; ")", ""))))</f>
        <v>na</v>
      </c>
      <c r="E157" s="7" t="s">
        <v>195</v>
      </c>
      <c r="F157" s="7" t="s">
        <v>195</v>
      </c>
      <c r="G157" s="7" t="s">
        <v>195</v>
      </c>
      <c r="H157" s="7" t="s">
        <v>195</v>
      </c>
      <c r="I157" s="7" t="s">
        <v>195</v>
      </c>
      <c r="J157" s="7" t="s">
        <v>195</v>
      </c>
      <c r="K157" s="7" t="s">
        <v>195</v>
      </c>
      <c r="L157" s="7" t="s">
        <v>195</v>
      </c>
      <c r="M157" s="7" t="s">
        <v>29</v>
      </c>
      <c r="N157" s="7" t="s">
        <v>29</v>
      </c>
      <c r="O157" s="7" t="s">
        <v>29</v>
      </c>
      <c r="P157" s="7" t="s">
        <v>29</v>
      </c>
      <c r="Q157" s="7" t="s">
        <v>29</v>
      </c>
      <c r="R157" s="7" t="s">
        <v>29</v>
      </c>
      <c r="S157" s="7" t="s">
        <v>29</v>
      </c>
    </row>
    <row r="158" spans="2:19">
      <c r="B158" s="7" t="s">
        <v>195</v>
      </c>
      <c r="C158" s="8" t="s">
        <v>195</v>
      </c>
      <c r="D158" s="6" t="str">
        <f>LRTRIM(CONCATENATE(IF(SUMPRODUCT(-- ISNUMBER(SEARCH({"Auto Number"}, $B158))) &gt; 0, $B158, IF(SUMPRODUCT(-- ISNUMBER(SEARCH({"Lookup","Master-Detail"}, $B158))) &gt; 0,$B158 &amp; "(" &amp; $E158 &amp; ")",IF(SUMPRODUCT(-- ISNUMBER(SEARCH({"Formula","Roll-Up Summary"}, $B158))) &gt; 0,$B158 &amp; " (" &amp; $E158 &amp; ")",IF(SUMPRODUCT(-- ISNUMBER(SEARCH({"Content","Currency","Number","Percent","Text","URL"}, $B158))) &gt; 0,$B158 &amp; "(" &amp; $C158 &amp; ")",$B158)))), "  ", TRIM(IF($S158 = "YES", "(External ID)", "") &amp; " " &amp; IF(SUMPRODUCT(-- ISNUMBER(SEARCH({"Unique","Unique Case Insensitive"}, $R158))) &gt; 0, "(" &amp; $R158 &amp; ")", ""))))</f>
        <v>na</v>
      </c>
      <c r="E158" s="7" t="s">
        <v>195</v>
      </c>
      <c r="F158" s="7" t="s">
        <v>195</v>
      </c>
      <c r="G158" s="7" t="s">
        <v>195</v>
      </c>
      <c r="H158" s="7" t="s">
        <v>195</v>
      </c>
      <c r="I158" s="7" t="s">
        <v>195</v>
      </c>
      <c r="J158" s="7" t="s">
        <v>195</v>
      </c>
      <c r="K158" s="7" t="s">
        <v>195</v>
      </c>
      <c r="L158" s="7" t="s">
        <v>195</v>
      </c>
      <c r="M158" s="7" t="s">
        <v>29</v>
      </c>
      <c r="N158" s="7" t="s">
        <v>29</v>
      </c>
      <c r="O158" s="7" t="s">
        <v>29</v>
      </c>
      <c r="P158" s="7" t="s">
        <v>29</v>
      </c>
      <c r="Q158" s="7" t="s">
        <v>29</v>
      </c>
      <c r="R158" s="7" t="s">
        <v>29</v>
      </c>
      <c r="S158" s="7" t="s">
        <v>29</v>
      </c>
    </row>
    <row r="159" spans="2:19">
      <c r="B159" s="7" t="s">
        <v>195</v>
      </c>
      <c r="C159" s="8" t="s">
        <v>195</v>
      </c>
      <c r="D159" s="6" t="str">
        <f>LRTRIM(CONCATENATE(IF(SUMPRODUCT(-- ISNUMBER(SEARCH({"Auto Number"}, $B159))) &gt; 0, $B159, IF(SUMPRODUCT(-- ISNUMBER(SEARCH({"Lookup","Master-Detail"}, $B159))) &gt; 0,$B159 &amp; "(" &amp; $E159 &amp; ")",IF(SUMPRODUCT(-- ISNUMBER(SEARCH({"Formula","Roll-Up Summary"}, $B159))) &gt; 0,$B159 &amp; " (" &amp; $E159 &amp; ")",IF(SUMPRODUCT(-- ISNUMBER(SEARCH({"Content","Currency","Number","Percent","Text","URL"}, $B159))) &gt; 0,$B159 &amp; "(" &amp; $C159 &amp; ")",$B159)))), "  ", TRIM(IF($S159 = "YES", "(External ID)", "") &amp; " " &amp; IF(SUMPRODUCT(-- ISNUMBER(SEARCH({"Unique","Unique Case Insensitive"}, $R159))) &gt; 0, "(" &amp; $R159 &amp; ")", ""))))</f>
        <v>na</v>
      </c>
      <c r="E159" s="7" t="s">
        <v>195</v>
      </c>
      <c r="F159" s="7" t="s">
        <v>195</v>
      </c>
      <c r="G159" s="7" t="s">
        <v>195</v>
      </c>
      <c r="H159" s="7" t="s">
        <v>195</v>
      </c>
      <c r="I159" s="7" t="s">
        <v>195</v>
      </c>
      <c r="J159" s="7" t="s">
        <v>195</v>
      </c>
      <c r="K159" s="7" t="s">
        <v>195</v>
      </c>
      <c r="L159" s="7" t="s">
        <v>195</v>
      </c>
      <c r="M159" s="7" t="s">
        <v>29</v>
      </c>
      <c r="N159" s="7" t="s">
        <v>29</v>
      </c>
      <c r="O159" s="7" t="s">
        <v>29</v>
      </c>
      <c r="P159" s="7" t="s">
        <v>29</v>
      </c>
      <c r="Q159" s="7" t="s">
        <v>29</v>
      </c>
      <c r="R159" s="7" t="s">
        <v>29</v>
      </c>
      <c r="S159" s="7" t="s">
        <v>29</v>
      </c>
    </row>
    <row r="160" spans="2:19">
      <c r="B160" s="7" t="s">
        <v>195</v>
      </c>
      <c r="C160" s="8" t="s">
        <v>195</v>
      </c>
      <c r="D160" s="6" t="str">
        <f>LRTRIM(CONCATENATE(IF(SUMPRODUCT(-- ISNUMBER(SEARCH({"Auto Number"}, $B160))) &gt; 0, $B160, IF(SUMPRODUCT(-- ISNUMBER(SEARCH({"Lookup","Master-Detail"}, $B160))) &gt; 0,$B160 &amp; "(" &amp; $E160 &amp; ")",IF(SUMPRODUCT(-- ISNUMBER(SEARCH({"Formula","Roll-Up Summary"}, $B160))) &gt; 0,$B160 &amp; " (" &amp; $E160 &amp; ")",IF(SUMPRODUCT(-- ISNUMBER(SEARCH({"Content","Currency","Number","Percent","Text","URL"}, $B160))) &gt; 0,$B160 &amp; "(" &amp; $C160 &amp; ")",$B160)))), "  ", TRIM(IF($S160 = "YES", "(External ID)", "") &amp; " " &amp; IF(SUMPRODUCT(-- ISNUMBER(SEARCH({"Unique","Unique Case Insensitive"}, $R160))) &gt; 0, "(" &amp; $R160 &amp; ")", ""))))</f>
        <v>na</v>
      </c>
      <c r="E160" s="7" t="s">
        <v>195</v>
      </c>
      <c r="F160" s="7" t="s">
        <v>195</v>
      </c>
      <c r="G160" s="7" t="s">
        <v>195</v>
      </c>
      <c r="H160" s="7" t="s">
        <v>195</v>
      </c>
      <c r="I160" s="7" t="s">
        <v>195</v>
      </c>
      <c r="J160" s="7" t="s">
        <v>195</v>
      </c>
      <c r="K160" s="7" t="s">
        <v>195</v>
      </c>
      <c r="L160" s="7" t="s">
        <v>195</v>
      </c>
      <c r="M160" s="7" t="s">
        <v>29</v>
      </c>
      <c r="N160" s="7" t="s">
        <v>29</v>
      </c>
      <c r="O160" s="7" t="s">
        <v>29</v>
      </c>
      <c r="P160" s="7" t="s">
        <v>29</v>
      </c>
      <c r="Q160" s="7" t="s">
        <v>29</v>
      </c>
      <c r="R160" s="7" t="s">
        <v>29</v>
      </c>
      <c r="S160" s="7" t="s">
        <v>29</v>
      </c>
    </row>
    <row r="161" spans="2:19">
      <c r="B161" s="7" t="s">
        <v>195</v>
      </c>
      <c r="C161" s="8" t="s">
        <v>195</v>
      </c>
      <c r="D161" s="6" t="str">
        <f>LRTRIM(CONCATENATE(IF(SUMPRODUCT(-- ISNUMBER(SEARCH({"Auto Number"}, $B161))) &gt; 0, $B161, IF(SUMPRODUCT(-- ISNUMBER(SEARCH({"Lookup","Master-Detail"}, $B161))) &gt; 0,$B161 &amp; "(" &amp; $E161 &amp; ")",IF(SUMPRODUCT(-- ISNUMBER(SEARCH({"Formula","Roll-Up Summary"}, $B161))) &gt; 0,$B161 &amp; " (" &amp; $E161 &amp; ")",IF(SUMPRODUCT(-- ISNUMBER(SEARCH({"Content","Currency","Number","Percent","Text","URL"}, $B161))) &gt; 0,$B161 &amp; "(" &amp; $C161 &amp; ")",$B161)))), "  ", TRIM(IF($S161 = "YES", "(External ID)", "") &amp; " " &amp; IF(SUMPRODUCT(-- ISNUMBER(SEARCH({"Unique","Unique Case Insensitive"}, $R161))) &gt; 0, "(" &amp; $R161 &amp; ")", ""))))</f>
        <v>na</v>
      </c>
      <c r="E161" s="7" t="s">
        <v>195</v>
      </c>
      <c r="F161" s="7" t="s">
        <v>195</v>
      </c>
      <c r="G161" s="7" t="s">
        <v>195</v>
      </c>
      <c r="H161" s="7" t="s">
        <v>195</v>
      </c>
      <c r="I161" s="7" t="s">
        <v>195</v>
      </c>
      <c r="J161" s="7" t="s">
        <v>195</v>
      </c>
      <c r="K161" s="7" t="s">
        <v>195</v>
      </c>
      <c r="L161" s="7" t="s">
        <v>195</v>
      </c>
      <c r="M161" s="7" t="s">
        <v>29</v>
      </c>
      <c r="N161" s="7" t="s">
        <v>29</v>
      </c>
      <c r="O161" s="7" t="s">
        <v>29</v>
      </c>
      <c r="P161" s="7" t="s">
        <v>29</v>
      </c>
      <c r="Q161" s="7" t="s">
        <v>29</v>
      </c>
      <c r="R161" s="7" t="s">
        <v>29</v>
      </c>
      <c r="S161" s="7" t="s">
        <v>29</v>
      </c>
    </row>
    <row r="162" spans="2:19">
      <c r="B162" s="7" t="s">
        <v>195</v>
      </c>
      <c r="C162" s="8" t="s">
        <v>195</v>
      </c>
      <c r="D162" s="6" t="str">
        <f>LRTRIM(CONCATENATE(IF(SUMPRODUCT(-- ISNUMBER(SEARCH({"Auto Number"}, $B162))) &gt; 0, $B162, IF(SUMPRODUCT(-- ISNUMBER(SEARCH({"Lookup","Master-Detail"}, $B162))) &gt; 0,$B162 &amp; "(" &amp; $E162 &amp; ")",IF(SUMPRODUCT(-- ISNUMBER(SEARCH({"Formula","Roll-Up Summary"}, $B162))) &gt; 0,$B162 &amp; " (" &amp; $E162 &amp; ")",IF(SUMPRODUCT(-- ISNUMBER(SEARCH({"Content","Currency","Number","Percent","Text","URL"}, $B162))) &gt; 0,$B162 &amp; "(" &amp; $C162 &amp; ")",$B162)))), "  ", TRIM(IF($S162 = "YES", "(External ID)", "") &amp; " " &amp; IF(SUMPRODUCT(-- ISNUMBER(SEARCH({"Unique","Unique Case Insensitive"}, $R162))) &gt; 0, "(" &amp; $R162 &amp; ")", ""))))</f>
        <v>na</v>
      </c>
      <c r="E162" s="7" t="s">
        <v>195</v>
      </c>
      <c r="F162" s="7" t="s">
        <v>195</v>
      </c>
      <c r="G162" s="7" t="s">
        <v>195</v>
      </c>
      <c r="H162" s="7" t="s">
        <v>195</v>
      </c>
      <c r="I162" s="7" t="s">
        <v>195</v>
      </c>
      <c r="J162" s="7" t="s">
        <v>195</v>
      </c>
      <c r="K162" s="7" t="s">
        <v>195</v>
      </c>
      <c r="L162" s="7" t="s">
        <v>195</v>
      </c>
      <c r="M162" s="7" t="s">
        <v>29</v>
      </c>
      <c r="N162" s="7" t="s">
        <v>29</v>
      </c>
      <c r="O162" s="7" t="s">
        <v>29</v>
      </c>
      <c r="P162" s="7" t="s">
        <v>29</v>
      </c>
      <c r="Q162" s="7" t="s">
        <v>29</v>
      </c>
      <c r="R162" s="7" t="s">
        <v>29</v>
      </c>
      <c r="S162" s="7" t="s">
        <v>29</v>
      </c>
    </row>
    <row r="163" spans="2:19">
      <c r="B163" s="7" t="s">
        <v>195</v>
      </c>
      <c r="C163" s="8" t="s">
        <v>195</v>
      </c>
      <c r="D163" s="6" t="str">
        <f>LRTRIM(CONCATENATE(IF(SUMPRODUCT(-- ISNUMBER(SEARCH({"Auto Number"}, $B163))) &gt; 0, $B163, IF(SUMPRODUCT(-- ISNUMBER(SEARCH({"Lookup","Master-Detail"}, $B163))) &gt; 0,$B163 &amp; "(" &amp; $E163 &amp; ")",IF(SUMPRODUCT(-- ISNUMBER(SEARCH({"Formula","Roll-Up Summary"}, $B163))) &gt; 0,$B163 &amp; " (" &amp; $E163 &amp; ")",IF(SUMPRODUCT(-- ISNUMBER(SEARCH({"Content","Currency","Number","Percent","Text","URL"}, $B163))) &gt; 0,$B163 &amp; "(" &amp; $C163 &amp; ")",$B163)))), "  ", TRIM(IF($S163 = "YES", "(External ID)", "") &amp; " " &amp; IF(SUMPRODUCT(-- ISNUMBER(SEARCH({"Unique","Unique Case Insensitive"}, $R163))) &gt; 0, "(" &amp; $R163 &amp; ")", ""))))</f>
        <v>na</v>
      </c>
      <c r="E163" s="7" t="s">
        <v>195</v>
      </c>
      <c r="F163" s="7" t="s">
        <v>195</v>
      </c>
      <c r="G163" s="7" t="s">
        <v>195</v>
      </c>
      <c r="H163" s="7" t="s">
        <v>195</v>
      </c>
      <c r="I163" s="7" t="s">
        <v>195</v>
      </c>
      <c r="J163" s="7" t="s">
        <v>195</v>
      </c>
      <c r="K163" s="7" t="s">
        <v>195</v>
      </c>
      <c r="L163" s="7" t="s">
        <v>195</v>
      </c>
      <c r="M163" s="7" t="s">
        <v>29</v>
      </c>
      <c r="N163" s="7" t="s">
        <v>29</v>
      </c>
      <c r="O163" s="7" t="s">
        <v>29</v>
      </c>
      <c r="P163" s="7" t="s">
        <v>29</v>
      </c>
      <c r="Q163" s="7" t="s">
        <v>29</v>
      </c>
      <c r="R163" s="7" t="s">
        <v>29</v>
      </c>
      <c r="S163" s="7" t="s">
        <v>29</v>
      </c>
    </row>
    <row r="164" spans="2:19">
      <c r="B164" s="7" t="s">
        <v>195</v>
      </c>
      <c r="C164" s="8" t="s">
        <v>195</v>
      </c>
      <c r="D164" s="6" t="str">
        <f>LRTRIM(CONCATENATE(IF(SUMPRODUCT(-- ISNUMBER(SEARCH({"Auto Number"}, $B164))) &gt; 0, $B164, IF(SUMPRODUCT(-- ISNUMBER(SEARCH({"Lookup","Master-Detail"}, $B164))) &gt; 0,$B164 &amp; "(" &amp; $E164 &amp; ")",IF(SUMPRODUCT(-- ISNUMBER(SEARCH({"Formula","Roll-Up Summary"}, $B164))) &gt; 0,$B164 &amp; " (" &amp; $E164 &amp; ")",IF(SUMPRODUCT(-- ISNUMBER(SEARCH({"Content","Currency","Number","Percent","Text","URL"}, $B164))) &gt; 0,$B164 &amp; "(" &amp; $C164 &amp; ")",$B164)))), "  ", TRIM(IF($S164 = "YES", "(External ID)", "") &amp; " " &amp; IF(SUMPRODUCT(-- ISNUMBER(SEARCH({"Unique","Unique Case Insensitive"}, $R164))) &gt; 0, "(" &amp; $R164 &amp; ")", ""))))</f>
        <v>na</v>
      </c>
      <c r="E164" s="7" t="s">
        <v>195</v>
      </c>
      <c r="F164" s="7" t="s">
        <v>195</v>
      </c>
      <c r="G164" s="7" t="s">
        <v>195</v>
      </c>
      <c r="H164" s="7" t="s">
        <v>195</v>
      </c>
      <c r="I164" s="7" t="s">
        <v>195</v>
      </c>
      <c r="J164" s="7" t="s">
        <v>195</v>
      </c>
      <c r="K164" s="7" t="s">
        <v>195</v>
      </c>
      <c r="L164" s="7" t="s">
        <v>195</v>
      </c>
      <c r="M164" s="7" t="s">
        <v>29</v>
      </c>
      <c r="N164" s="7" t="s">
        <v>29</v>
      </c>
      <c r="O164" s="7" t="s">
        <v>29</v>
      </c>
      <c r="P164" s="7" t="s">
        <v>29</v>
      </c>
      <c r="Q164" s="7" t="s">
        <v>29</v>
      </c>
      <c r="R164" s="7" t="s">
        <v>29</v>
      </c>
      <c r="S164" s="7" t="s">
        <v>29</v>
      </c>
    </row>
    <row r="165" spans="2:19">
      <c r="B165" s="7" t="s">
        <v>195</v>
      </c>
      <c r="C165" s="8" t="s">
        <v>195</v>
      </c>
      <c r="D165" s="6" t="str">
        <f>LRTRIM(CONCATENATE(IF(SUMPRODUCT(-- ISNUMBER(SEARCH({"Auto Number"}, $B165))) &gt; 0, $B165, IF(SUMPRODUCT(-- ISNUMBER(SEARCH({"Lookup","Master-Detail"}, $B165))) &gt; 0,$B165 &amp; "(" &amp; $E165 &amp; ")",IF(SUMPRODUCT(-- ISNUMBER(SEARCH({"Formula","Roll-Up Summary"}, $B165))) &gt; 0,$B165 &amp; " (" &amp; $E165 &amp; ")",IF(SUMPRODUCT(-- ISNUMBER(SEARCH({"Content","Currency","Number","Percent","Text","URL"}, $B165))) &gt; 0,$B165 &amp; "(" &amp; $C165 &amp; ")",$B165)))), "  ", TRIM(IF($S165 = "YES", "(External ID)", "") &amp; " " &amp; IF(SUMPRODUCT(-- ISNUMBER(SEARCH({"Unique","Unique Case Insensitive"}, $R165))) &gt; 0, "(" &amp; $R165 &amp; ")", ""))))</f>
        <v>na</v>
      </c>
      <c r="E165" s="7" t="s">
        <v>195</v>
      </c>
      <c r="F165" s="7" t="s">
        <v>195</v>
      </c>
      <c r="G165" s="7" t="s">
        <v>195</v>
      </c>
      <c r="H165" s="7" t="s">
        <v>195</v>
      </c>
      <c r="I165" s="7" t="s">
        <v>195</v>
      </c>
      <c r="J165" s="7" t="s">
        <v>195</v>
      </c>
      <c r="K165" s="7" t="s">
        <v>195</v>
      </c>
      <c r="L165" s="7" t="s">
        <v>195</v>
      </c>
      <c r="M165" s="7" t="s">
        <v>29</v>
      </c>
      <c r="N165" s="7" t="s">
        <v>29</v>
      </c>
      <c r="O165" s="7" t="s">
        <v>29</v>
      </c>
      <c r="P165" s="7" t="s">
        <v>29</v>
      </c>
      <c r="Q165" s="7" t="s">
        <v>29</v>
      </c>
      <c r="R165" s="7" t="s">
        <v>29</v>
      </c>
      <c r="S165" s="7" t="s">
        <v>29</v>
      </c>
    </row>
    <row r="166" spans="2:19">
      <c r="B166" s="7" t="s">
        <v>195</v>
      </c>
      <c r="C166" s="8" t="s">
        <v>195</v>
      </c>
      <c r="D166" s="6" t="str">
        <f>LRTRIM(CONCATENATE(IF(SUMPRODUCT(-- ISNUMBER(SEARCH({"Auto Number"}, $B166))) &gt; 0, $B166, IF(SUMPRODUCT(-- ISNUMBER(SEARCH({"Lookup","Master-Detail"}, $B166))) &gt; 0,$B166 &amp; "(" &amp; $E166 &amp; ")",IF(SUMPRODUCT(-- ISNUMBER(SEARCH({"Formula","Roll-Up Summary"}, $B166))) &gt; 0,$B166 &amp; " (" &amp; $E166 &amp; ")",IF(SUMPRODUCT(-- ISNUMBER(SEARCH({"Content","Currency","Number","Percent","Text","URL"}, $B166))) &gt; 0,$B166 &amp; "(" &amp; $C166 &amp; ")",$B166)))), "  ", TRIM(IF($S166 = "YES", "(External ID)", "") &amp; " " &amp; IF(SUMPRODUCT(-- ISNUMBER(SEARCH({"Unique","Unique Case Insensitive"}, $R166))) &gt; 0, "(" &amp; $R166 &amp; ")", ""))))</f>
        <v>na</v>
      </c>
      <c r="E166" s="7" t="s">
        <v>195</v>
      </c>
      <c r="F166" s="7" t="s">
        <v>195</v>
      </c>
      <c r="G166" s="7" t="s">
        <v>195</v>
      </c>
      <c r="H166" s="7" t="s">
        <v>195</v>
      </c>
      <c r="I166" s="7" t="s">
        <v>195</v>
      </c>
      <c r="J166" s="7" t="s">
        <v>195</v>
      </c>
      <c r="K166" s="7" t="s">
        <v>195</v>
      </c>
      <c r="L166" s="7" t="s">
        <v>195</v>
      </c>
      <c r="M166" s="7" t="s">
        <v>29</v>
      </c>
      <c r="N166" s="7" t="s">
        <v>29</v>
      </c>
      <c r="O166" s="7" t="s">
        <v>29</v>
      </c>
      <c r="P166" s="7" t="s">
        <v>29</v>
      </c>
      <c r="Q166" s="7" t="s">
        <v>29</v>
      </c>
      <c r="R166" s="7" t="s">
        <v>29</v>
      </c>
      <c r="S166" s="7" t="s">
        <v>29</v>
      </c>
    </row>
    <row r="167" spans="2:19">
      <c r="B167" s="7" t="s">
        <v>195</v>
      </c>
      <c r="C167" s="8" t="s">
        <v>195</v>
      </c>
      <c r="D167" s="6" t="str">
        <f>LRTRIM(CONCATENATE(IF(SUMPRODUCT(-- ISNUMBER(SEARCH({"Auto Number"}, $B167))) &gt; 0, $B167, IF(SUMPRODUCT(-- ISNUMBER(SEARCH({"Lookup","Master-Detail"}, $B167))) &gt; 0,$B167 &amp; "(" &amp; $E167 &amp; ")",IF(SUMPRODUCT(-- ISNUMBER(SEARCH({"Formula","Roll-Up Summary"}, $B167))) &gt; 0,$B167 &amp; " (" &amp; $E167 &amp; ")",IF(SUMPRODUCT(-- ISNUMBER(SEARCH({"Content","Currency","Number","Percent","Text","URL"}, $B167))) &gt; 0,$B167 &amp; "(" &amp; $C167 &amp; ")",$B167)))), "  ", TRIM(IF($S167 = "YES", "(External ID)", "") &amp; " " &amp; IF(SUMPRODUCT(-- ISNUMBER(SEARCH({"Unique","Unique Case Insensitive"}, $R167))) &gt; 0, "(" &amp; $R167 &amp; ")", ""))))</f>
        <v>na</v>
      </c>
      <c r="E167" s="7" t="s">
        <v>195</v>
      </c>
      <c r="F167" s="7" t="s">
        <v>195</v>
      </c>
      <c r="G167" s="7" t="s">
        <v>195</v>
      </c>
      <c r="H167" s="7" t="s">
        <v>195</v>
      </c>
      <c r="I167" s="7" t="s">
        <v>195</v>
      </c>
      <c r="J167" s="7" t="s">
        <v>195</v>
      </c>
      <c r="K167" s="7" t="s">
        <v>195</v>
      </c>
      <c r="L167" s="7" t="s">
        <v>195</v>
      </c>
      <c r="M167" s="7" t="s">
        <v>29</v>
      </c>
      <c r="N167" s="7" t="s">
        <v>29</v>
      </c>
      <c r="O167" s="7" t="s">
        <v>29</v>
      </c>
      <c r="P167" s="7" t="s">
        <v>29</v>
      </c>
      <c r="Q167" s="7" t="s">
        <v>29</v>
      </c>
      <c r="R167" s="7" t="s">
        <v>29</v>
      </c>
      <c r="S167" s="7" t="s">
        <v>29</v>
      </c>
    </row>
    <row r="168" spans="2:19">
      <c r="B168" s="7" t="s">
        <v>195</v>
      </c>
      <c r="C168" s="8" t="s">
        <v>195</v>
      </c>
      <c r="D168" s="6" t="str">
        <f>LRTRIM(CONCATENATE(IF(SUMPRODUCT(-- ISNUMBER(SEARCH({"Auto Number"}, $B168))) &gt; 0, $B168, IF(SUMPRODUCT(-- ISNUMBER(SEARCH({"Lookup","Master-Detail"}, $B168))) &gt; 0,$B168 &amp; "(" &amp; $E168 &amp; ")",IF(SUMPRODUCT(-- ISNUMBER(SEARCH({"Formula","Roll-Up Summary"}, $B168))) &gt; 0,$B168 &amp; " (" &amp; $E168 &amp; ")",IF(SUMPRODUCT(-- ISNUMBER(SEARCH({"Content","Currency","Number","Percent","Text","URL"}, $B168))) &gt; 0,$B168 &amp; "(" &amp; $C168 &amp; ")",$B168)))), "  ", TRIM(IF($S168 = "YES", "(External ID)", "") &amp; " " &amp; IF(SUMPRODUCT(-- ISNUMBER(SEARCH({"Unique","Unique Case Insensitive"}, $R168))) &gt; 0, "(" &amp; $R168 &amp; ")", ""))))</f>
        <v>na</v>
      </c>
      <c r="E168" s="7" t="s">
        <v>195</v>
      </c>
      <c r="F168" s="7" t="s">
        <v>195</v>
      </c>
      <c r="G168" s="7" t="s">
        <v>195</v>
      </c>
      <c r="H168" s="7" t="s">
        <v>195</v>
      </c>
      <c r="I168" s="7" t="s">
        <v>195</v>
      </c>
      <c r="J168" s="7" t="s">
        <v>195</v>
      </c>
      <c r="K168" s="7" t="s">
        <v>195</v>
      </c>
      <c r="L168" s="7" t="s">
        <v>195</v>
      </c>
      <c r="M168" s="7" t="s">
        <v>29</v>
      </c>
      <c r="N168" s="7" t="s">
        <v>29</v>
      </c>
      <c r="O168" s="7" t="s">
        <v>29</v>
      </c>
      <c r="P168" s="7" t="s">
        <v>29</v>
      </c>
      <c r="Q168" s="7" t="s">
        <v>29</v>
      </c>
      <c r="R168" s="7" t="s">
        <v>29</v>
      </c>
      <c r="S168" s="7" t="s">
        <v>29</v>
      </c>
    </row>
    <row r="169" spans="2:19">
      <c r="B169" s="7" t="s">
        <v>195</v>
      </c>
      <c r="C169" s="8" t="s">
        <v>195</v>
      </c>
      <c r="D169" s="6" t="str">
        <f>LRTRIM(CONCATENATE(IF(SUMPRODUCT(-- ISNUMBER(SEARCH({"Auto Number"}, $B169))) &gt; 0, $B169, IF(SUMPRODUCT(-- ISNUMBER(SEARCH({"Lookup","Master-Detail"}, $B169))) &gt; 0,$B169 &amp; "(" &amp; $E169 &amp; ")",IF(SUMPRODUCT(-- ISNUMBER(SEARCH({"Formula","Roll-Up Summary"}, $B169))) &gt; 0,$B169 &amp; " (" &amp; $E169 &amp; ")",IF(SUMPRODUCT(-- ISNUMBER(SEARCH({"Content","Currency","Number","Percent","Text","URL"}, $B169))) &gt; 0,$B169 &amp; "(" &amp; $C169 &amp; ")",$B169)))), "  ", TRIM(IF($S169 = "YES", "(External ID)", "") &amp; " " &amp; IF(SUMPRODUCT(-- ISNUMBER(SEARCH({"Unique","Unique Case Insensitive"}, $R169))) &gt; 0, "(" &amp; $R169 &amp; ")", ""))))</f>
        <v>na</v>
      </c>
      <c r="E169" s="7" t="s">
        <v>195</v>
      </c>
      <c r="F169" s="7" t="s">
        <v>195</v>
      </c>
      <c r="G169" s="7" t="s">
        <v>195</v>
      </c>
      <c r="H169" s="7" t="s">
        <v>195</v>
      </c>
      <c r="I169" s="7" t="s">
        <v>195</v>
      </c>
      <c r="J169" s="7" t="s">
        <v>195</v>
      </c>
      <c r="K169" s="7" t="s">
        <v>195</v>
      </c>
      <c r="L169" s="7" t="s">
        <v>195</v>
      </c>
      <c r="M169" s="7" t="s">
        <v>29</v>
      </c>
      <c r="N169" s="7" t="s">
        <v>29</v>
      </c>
      <c r="O169" s="7" t="s">
        <v>29</v>
      </c>
      <c r="P169" s="7" t="s">
        <v>29</v>
      </c>
      <c r="Q169" s="7" t="s">
        <v>29</v>
      </c>
      <c r="R169" s="7" t="s">
        <v>29</v>
      </c>
      <c r="S169" s="7" t="s">
        <v>29</v>
      </c>
    </row>
    <row r="170" spans="2:19">
      <c r="B170" s="7" t="s">
        <v>195</v>
      </c>
      <c r="C170" s="8" t="s">
        <v>195</v>
      </c>
      <c r="D170" s="6" t="str">
        <f>LRTRIM(CONCATENATE(IF(SUMPRODUCT(-- ISNUMBER(SEARCH({"Auto Number"}, $B170))) &gt; 0, $B170, IF(SUMPRODUCT(-- ISNUMBER(SEARCH({"Lookup","Master-Detail"}, $B170))) &gt; 0,$B170 &amp; "(" &amp; $E170 &amp; ")",IF(SUMPRODUCT(-- ISNUMBER(SEARCH({"Formula","Roll-Up Summary"}, $B170))) &gt; 0,$B170 &amp; " (" &amp; $E170 &amp; ")",IF(SUMPRODUCT(-- ISNUMBER(SEARCH({"Content","Currency","Number","Percent","Text","URL"}, $B170))) &gt; 0,$B170 &amp; "(" &amp; $C170 &amp; ")",$B170)))), "  ", TRIM(IF($S170 = "YES", "(External ID)", "") &amp; " " &amp; IF(SUMPRODUCT(-- ISNUMBER(SEARCH({"Unique","Unique Case Insensitive"}, $R170))) &gt; 0, "(" &amp; $R170 &amp; ")", ""))))</f>
        <v>na</v>
      </c>
      <c r="E170" s="7" t="s">
        <v>195</v>
      </c>
      <c r="F170" s="7" t="s">
        <v>195</v>
      </c>
      <c r="G170" s="7" t="s">
        <v>195</v>
      </c>
      <c r="H170" s="7" t="s">
        <v>195</v>
      </c>
      <c r="I170" s="7" t="s">
        <v>195</v>
      </c>
      <c r="J170" s="7" t="s">
        <v>195</v>
      </c>
      <c r="K170" s="7" t="s">
        <v>195</v>
      </c>
      <c r="L170" s="7" t="s">
        <v>195</v>
      </c>
      <c r="M170" s="7" t="s">
        <v>29</v>
      </c>
      <c r="N170" s="7" t="s">
        <v>29</v>
      </c>
      <c r="O170" s="7" t="s">
        <v>29</v>
      </c>
      <c r="P170" s="7" t="s">
        <v>29</v>
      </c>
      <c r="Q170" s="7" t="s">
        <v>29</v>
      </c>
      <c r="R170" s="7" t="s">
        <v>29</v>
      </c>
      <c r="S170" s="7" t="s">
        <v>29</v>
      </c>
    </row>
    <row r="171" spans="2:19">
      <c r="B171" s="7" t="s">
        <v>195</v>
      </c>
      <c r="C171" s="8" t="s">
        <v>195</v>
      </c>
      <c r="D171" s="6" t="str">
        <f>LRTRIM(CONCATENATE(IF(SUMPRODUCT(-- ISNUMBER(SEARCH({"Auto Number"}, $B171))) &gt; 0, $B171, IF(SUMPRODUCT(-- ISNUMBER(SEARCH({"Lookup","Master-Detail"}, $B171))) &gt; 0,$B171 &amp; "(" &amp; $E171 &amp; ")",IF(SUMPRODUCT(-- ISNUMBER(SEARCH({"Formula","Roll-Up Summary"}, $B171))) &gt; 0,$B171 &amp; " (" &amp; $E171 &amp; ")",IF(SUMPRODUCT(-- ISNUMBER(SEARCH({"Content","Currency","Number","Percent","Text","URL"}, $B171))) &gt; 0,$B171 &amp; "(" &amp; $C171 &amp; ")",$B171)))), "  ", TRIM(IF($S171 = "YES", "(External ID)", "") &amp; " " &amp; IF(SUMPRODUCT(-- ISNUMBER(SEARCH({"Unique","Unique Case Insensitive"}, $R171))) &gt; 0, "(" &amp; $R171 &amp; ")", ""))))</f>
        <v>na</v>
      </c>
      <c r="E171" s="7" t="s">
        <v>195</v>
      </c>
      <c r="F171" s="7" t="s">
        <v>195</v>
      </c>
      <c r="G171" s="7" t="s">
        <v>195</v>
      </c>
      <c r="H171" s="7" t="s">
        <v>195</v>
      </c>
      <c r="I171" s="7" t="s">
        <v>195</v>
      </c>
      <c r="J171" s="7" t="s">
        <v>195</v>
      </c>
      <c r="K171" s="7" t="s">
        <v>195</v>
      </c>
      <c r="L171" s="7" t="s">
        <v>195</v>
      </c>
      <c r="M171" s="7" t="s">
        <v>29</v>
      </c>
      <c r="N171" s="7" t="s">
        <v>29</v>
      </c>
      <c r="O171" s="7" t="s">
        <v>29</v>
      </c>
      <c r="P171" s="7" t="s">
        <v>29</v>
      </c>
      <c r="Q171" s="7" t="s">
        <v>29</v>
      </c>
      <c r="R171" s="7" t="s">
        <v>29</v>
      </c>
      <c r="S171" s="7" t="s">
        <v>29</v>
      </c>
    </row>
    <row r="172" spans="2:19">
      <c r="B172" s="7" t="s">
        <v>195</v>
      </c>
      <c r="C172" s="8" t="s">
        <v>195</v>
      </c>
      <c r="D172" s="6" t="str">
        <f>LRTRIM(CONCATENATE(IF(SUMPRODUCT(-- ISNUMBER(SEARCH({"Auto Number"}, $B172))) &gt; 0, $B172, IF(SUMPRODUCT(-- ISNUMBER(SEARCH({"Lookup","Master-Detail"}, $B172))) &gt; 0,$B172 &amp; "(" &amp; $E172 &amp; ")",IF(SUMPRODUCT(-- ISNUMBER(SEARCH({"Formula","Roll-Up Summary"}, $B172))) &gt; 0,$B172 &amp; " (" &amp; $E172 &amp; ")",IF(SUMPRODUCT(-- ISNUMBER(SEARCH({"Content","Currency","Number","Percent","Text","URL"}, $B172))) &gt; 0,$B172 &amp; "(" &amp; $C172 &amp; ")",$B172)))), "  ", TRIM(IF($S172 = "YES", "(External ID)", "") &amp; " " &amp; IF(SUMPRODUCT(-- ISNUMBER(SEARCH({"Unique","Unique Case Insensitive"}, $R172))) &gt; 0, "(" &amp; $R172 &amp; ")", ""))))</f>
        <v>na</v>
      </c>
      <c r="E172" s="7" t="s">
        <v>195</v>
      </c>
      <c r="F172" s="7" t="s">
        <v>195</v>
      </c>
      <c r="G172" s="7" t="s">
        <v>195</v>
      </c>
      <c r="H172" s="7" t="s">
        <v>195</v>
      </c>
      <c r="I172" s="7" t="s">
        <v>195</v>
      </c>
      <c r="J172" s="7" t="s">
        <v>195</v>
      </c>
      <c r="K172" s="7" t="s">
        <v>195</v>
      </c>
      <c r="L172" s="7" t="s">
        <v>195</v>
      </c>
      <c r="M172" s="7" t="s">
        <v>29</v>
      </c>
      <c r="N172" s="7" t="s">
        <v>29</v>
      </c>
      <c r="O172" s="7" t="s">
        <v>29</v>
      </c>
      <c r="P172" s="7" t="s">
        <v>29</v>
      </c>
      <c r="Q172" s="7" t="s">
        <v>29</v>
      </c>
      <c r="R172" s="7" t="s">
        <v>29</v>
      </c>
      <c r="S172" s="7" t="s">
        <v>29</v>
      </c>
    </row>
    <row r="173" spans="2:19">
      <c r="B173" s="7" t="s">
        <v>195</v>
      </c>
      <c r="C173" s="8" t="s">
        <v>195</v>
      </c>
      <c r="D173" s="6" t="str">
        <f>LRTRIM(CONCATENATE(IF(SUMPRODUCT(-- ISNUMBER(SEARCH({"Auto Number"}, $B173))) &gt; 0, $B173, IF(SUMPRODUCT(-- ISNUMBER(SEARCH({"Lookup","Master-Detail"}, $B173))) &gt; 0,$B173 &amp; "(" &amp; $E173 &amp; ")",IF(SUMPRODUCT(-- ISNUMBER(SEARCH({"Formula","Roll-Up Summary"}, $B173))) &gt; 0,$B173 &amp; " (" &amp; $E173 &amp; ")",IF(SUMPRODUCT(-- ISNUMBER(SEARCH({"Content","Currency","Number","Percent","Text","URL"}, $B173))) &gt; 0,$B173 &amp; "(" &amp; $C173 &amp; ")",$B173)))), "  ", TRIM(IF($S173 = "YES", "(External ID)", "") &amp; " " &amp; IF(SUMPRODUCT(-- ISNUMBER(SEARCH({"Unique","Unique Case Insensitive"}, $R173))) &gt; 0, "(" &amp; $R173 &amp; ")", ""))))</f>
        <v>na</v>
      </c>
      <c r="E173" s="7" t="s">
        <v>195</v>
      </c>
      <c r="F173" s="7" t="s">
        <v>195</v>
      </c>
      <c r="G173" s="7" t="s">
        <v>195</v>
      </c>
      <c r="H173" s="7" t="s">
        <v>195</v>
      </c>
      <c r="I173" s="7" t="s">
        <v>195</v>
      </c>
      <c r="J173" s="7" t="s">
        <v>195</v>
      </c>
      <c r="K173" s="7" t="s">
        <v>195</v>
      </c>
      <c r="L173" s="7" t="s">
        <v>195</v>
      </c>
      <c r="M173" s="7" t="s">
        <v>29</v>
      </c>
      <c r="N173" s="7" t="s">
        <v>29</v>
      </c>
      <c r="O173" s="7" t="s">
        <v>29</v>
      </c>
      <c r="P173" s="7" t="s">
        <v>29</v>
      </c>
      <c r="Q173" s="7" t="s">
        <v>29</v>
      </c>
      <c r="R173" s="7" t="s">
        <v>29</v>
      </c>
      <c r="S173" s="7" t="s">
        <v>29</v>
      </c>
    </row>
    <row r="174" spans="2:19">
      <c r="B174" s="7" t="s">
        <v>195</v>
      </c>
      <c r="C174" s="8" t="s">
        <v>195</v>
      </c>
      <c r="D174" s="6" t="str">
        <f>LRTRIM(CONCATENATE(IF(SUMPRODUCT(-- ISNUMBER(SEARCH({"Auto Number"}, $B174))) &gt; 0, $B174, IF(SUMPRODUCT(-- ISNUMBER(SEARCH({"Lookup","Master-Detail"}, $B174))) &gt; 0,$B174 &amp; "(" &amp; $E174 &amp; ")",IF(SUMPRODUCT(-- ISNUMBER(SEARCH({"Formula","Roll-Up Summary"}, $B174))) &gt; 0,$B174 &amp; " (" &amp; $E174 &amp; ")",IF(SUMPRODUCT(-- ISNUMBER(SEARCH({"Content","Currency","Number","Percent","Text","URL"}, $B174))) &gt; 0,$B174 &amp; "(" &amp; $C174 &amp; ")",$B174)))), "  ", TRIM(IF($S174 = "YES", "(External ID)", "") &amp; " " &amp; IF(SUMPRODUCT(-- ISNUMBER(SEARCH({"Unique","Unique Case Insensitive"}, $R174))) &gt; 0, "(" &amp; $R174 &amp; ")", ""))))</f>
        <v>na</v>
      </c>
      <c r="E174" s="7" t="s">
        <v>195</v>
      </c>
      <c r="F174" s="7" t="s">
        <v>195</v>
      </c>
      <c r="G174" s="7" t="s">
        <v>195</v>
      </c>
      <c r="H174" s="7" t="s">
        <v>195</v>
      </c>
      <c r="I174" s="7" t="s">
        <v>195</v>
      </c>
      <c r="J174" s="7" t="s">
        <v>195</v>
      </c>
      <c r="K174" s="7" t="s">
        <v>195</v>
      </c>
      <c r="L174" s="7" t="s">
        <v>195</v>
      </c>
      <c r="M174" s="7" t="s">
        <v>29</v>
      </c>
      <c r="N174" s="7" t="s">
        <v>29</v>
      </c>
      <c r="O174" s="7" t="s">
        <v>29</v>
      </c>
      <c r="P174" s="7" t="s">
        <v>29</v>
      </c>
      <c r="Q174" s="7" t="s">
        <v>29</v>
      </c>
      <c r="R174" s="7" t="s">
        <v>29</v>
      </c>
      <c r="S174" s="7" t="s">
        <v>29</v>
      </c>
    </row>
    <row r="175" spans="2:19">
      <c r="B175" s="7" t="s">
        <v>195</v>
      </c>
      <c r="C175" s="8" t="s">
        <v>195</v>
      </c>
      <c r="D175" s="6" t="str">
        <f>LRTRIM(CONCATENATE(IF(SUMPRODUCT(-- ISNUMBER(SEARCH({"Auto Number"}, $B175))) &gt; 0, $B175, IF(SUMPRODUCT(-- ISNUMBER(SEARCH({"Lookup","Master-Detail"}, $B175))) &gt; 0,$B175 &amp; "(" &amp; $E175 &amp; ")",IF(SUMPRODUCT(-- ISNUMBER(SEARCH({"Formula","Roll-Up Summary"}, $B175))) &gt; 0,$B175 &amp; " (" &amp; $E175 &amp; ")",IF(SUMPRODUCT(-- ISNUMBER(SEARCH({"Content","Currency","Number","Percent","Text","URL"}, $B175))) &gt; 0,$B175 &amp; "(" &amp; $C175 &amp; ")",$B175)))), "  ", TRIM(IF($S175 = "YES", "(External ID)", "") &amp; " " &amp; IF(SUMPRODUCT(-- ISNUMBER(SEARCH({"Unique","Unique Case Insensitive"}, $R175))) &gt; 0, "(" &amp; $R175 &amp; ")", ""))))</f>
        <v>na</v>
      </c>
      <c r="E175" s="7" t="s">
        <v>195</v>
      </c>
      <c r="F175" s="7" t="s">
        <v>195</v>
      </c>
      <c r="G175" s="7" t="s">
        <v>195</v>
      </c>
      <c r="H175" s="7" t="s">
        <v>195</v>
      </c>
      <c r="I175" s="7" t="s">
        <v>195</v>
      </c>
      <c r="J175" s="7" t="s">
        <v>195</v>
      </c>
      <c r="K175" s="7" t="s">
        <v>195</v>
      </c>
      <c r="L175" s="7" t="s">
        <v>195</v>
      </c>
      <c r="M175" s="7" t="s">
        <v>29</v>
      </c>
      <c r="N175" s="7" t="s">
        <v>29</v>
      </c>
      <c r="O175" s="7" t="s">
        <v>29</v>
      </c>
      <c r="P175" s="7" t="s">
        <v>29</v>
      </c>
      <c r="Q175" s="7" t="s">
        <v>29</v>
      </c>
      <c r="R175" s="7" t="s">
        <v>29</v>
      </c>
      <c r="S175" s="7" t="s">
        <v>29</v>
      </c>
    </row>
    <row r="176" spans="2:19">
      <c r="B176" s="7" t="s">
        <v>195</v>
      </c>
      <c r="C176" s="8" t="s">
        <v>195</v>
      </c>
      <c r="D176" s="6" t="str">
        <f>LRTRIM(CONCATENATE(IF(SUMPRODUCT(-- ISNUMBER(SEARCH({"Auto Number"}, $B176))) &gt; 0, $B176, IF(SUMPRODUCT(-- ISNUMBER(SEARCH({"Lookup","Master-Detail"}, $B176))) &gt; 0,$B176 &amp; "(" &amp; $E176 &amp; ")",IF(SUMPRODUCT(-- ISNUMBER(SEARCH({"Formula","Roll-Up Summary"}, $B176))) &gt; 0,$B176 &amp; " (" &amp; $E176 &amp; ")",IF(SUMPRODUCT(-- ISNUMBER(SEARCH({"Content","Currency","Number","Percent","Text","URL"}, $B176))) &gt; 0,$B176 &amp; "(" &amp; $C176 &amp; ")",$B176)))), "  ", TRIM(IF($S176 = "YES", "(External ID)", "") &amp; " " &amp; IF(SUMPRODUCT(-- ISNUMBER(SEARCH({"Unique","Unique Case Insensitive"}, $R176))) &gt; 0, "(" &amp; $R176 &amp; ")", ""))))</f>
        <v>na</v>
      </c>
      <c r="E176" s="7" t="s">
        <v>195</v>
      </c>
      <c r="F176" s="7" t="s">
        <v>195</v>
      </c>
      <c r="G176" s="7" t="s">
        <v>195</v>
      </c>
      <c r="H176" s="7" t="s">
        <v>195</v>
      </c>
      <c r="I176" s="7" t="s">
        <v>195</v>
      </c>
      <c r="J176" s="7" t="s">
        <v>195</v>
      </c>
      <c r="K176" s="7" t="s">
        <v>195</v>
      </c>
      <c r="L176" s="7" t="s">
        <v>195</v>
      </c>
      <c r="M176" s="7" t="s">
        <v>29</v>
      </c>
      <c r="N176" s="7" t="s">
        <v>29</v>
      </c>
      <c r="O176" s="7" t="s">
        <v>29</v>
      </c>
      <c r="P176" s="7" t="s">
        <v>29</v>
      </c>
      <c r="Q176" s="7" t="s">
        <v>29</v>
      </c>
      <c r="R176" s="7" t="s">
        <v>29</v>
      </c>
      <c r="S176" s="7" t="s">
        <v>29</v>
      </c>
    </row>
    <row r="177" spans="2:19">
      <c r="B177" s="7" t="s">
        <v>195</v>
      </c>
      <c r="C177" s="8" t="s">
        <v>195</v>
      </c>
      <c r="D177" s="6" t="str">
        <f>LRTRIM(CONCATENATE(IF(SUMPRODUCT(-- ISNUMBER(SEARCH({"Auto Number"}, $B177))) &gt; 0, $B177, IF(SUMPRODUCT(-- ISNUMBER(SEARCH({"Lookup","Master-Detail"}, $B177))) &gt; 0,$B177 &amp; "(" &amp; $E177 &amp; ")",IF(SUMPRODUCT(-- ISNUMBER(SEARCH({"Formula","Roll-Up Summary"}, $B177))) &gt; 0,$B177 &amp; " (" &amp; $E177 &amp; ")",IF(SUMPRODUCT(-- ISNUMBER(SEARCH({"Content","Currency","Number","Percent","Text","URL"}, $B177))) &gt; 0,$B177 &amp; "(" &amp; $C177 &amp; ")",$B177)))), "  ", TRIM(IF($S177 = "YES", "(External ID)", "") &amp; " " &amp; IF(SUMPRODUCT(-- ISNUMBER(SEARCH({"Unique","Unique Case Insensitive"}, $R177))) &gt; 0, "(" &amp; $R177 &amp; ")", ""))))</f>
        <v>na</v>
      </c>
      <c r="E177" s="7" t="s">
        <v>195</v>
      </c>
      <c r="F177" s="7" t="s">
        <v>195</v>
      </c>
      <c r="G177" s="7" t="s">
        <v>195</v>
      </c>
      <c r="H177" s="7" t="s">
        <v>195</v>
      </c>
      <c r="I177" s="7" t="s">
        <v>195</v>
      </c>
      <c r="J177" s="7" t="s">
        <v>195</v>
      </c>
      <c r="K177" s="7" t="s">
        <v>195</v>
      </c>
      <c r="L177" s="7" t="s">
        <v>195</v>
      </c>
      <c r="M177" s="7" t="s">
        <v>29</v>
      </c>
      <c r="N177" s="7" t="s">
        <v>29</v>
      </c>
      <c r="O177" s="7" t="s">
        <v>29</v>
      </c>
      <c r="P177" s="7" t="s">
        <v>29</v>
      </c>
      <c r="Q177" s="7" t="s">
        <v>29</v>
      </c>
      <c r="R177" s="7" t="s">
        <v>29</v>
      </c>
      <c r="S177" s="7" t="s">
        <v>29</v>
      </c>
    </row>
    <row r="178" spans="2:19">
      <c r="B178" s="7" t="s">
        <v>195</v>
      </c>
      <c r="C178" s="8" t="s">
        <v>195</v>
      </c>
      <c r="D178" s="6" t="str">
        <f>LRTRIM(CONCATENATE(IF(SUMPRODUCT(-- ISNUMBER(SEARCH({"Auto Number"}, $B178))) &gt; 0, $B178, IF(SUMPRODUCT(-- ISNUMBER(SEARCH({"Lookup","Master-Detail"}, $B178))) &gt; 0,$B178 &amp; "(" &amp; $E178 &amp; ")",IF(SUMPRODUCT(-- ISNUMBER(SEARCH({"Formula","Roll-Up Summary"}, $B178))) &gt; 0,$B178 &amp; " (" &amp; $E178 &amp; ")",IF(SUMPRODUCT(-- ISNUMBER(SEARCH({"Content","Currency","Number","Percent","Text","URL"}, $B178))) &gt; 0,$B178 &amp; "(" &amp; $C178 &amp; ")",$B178)))), "  ", TRIM(IF($S178 = "YES", "(External ID)", "") &amp; " " &amp; IF(SUMPRODUCT(-- ISNUMBER(SEARCH({"Unique","Unique Case Insensitive"}, $R178))) &gt; 0, "(" &amp; $R178 &amp; ")", ""))))</f>
        <v>na</v>
      </c>
      <c r="E178" s="7" t="s">
        <v>195</v>
      </c>
      <c r="F178" s="7" t="s">
        <v>195</v>
      </c>
      <c r="G178" s="7" t="s">
        <v>195</v>
      </c>
      <c r="H178" s="7" t="s">
        <v>195</v>
      </c>
      <c r="I178" s="7" t="s">
        <v>195</v>
      </c>
      <c r="J178" s="7" t="s">
        <v>195</v>
      </c>
      <c r="K178" s="7" t="s">
        <v>195</v>
      </c>
      <c r="L178" s="7" t="s">
        <v>195</v>
      </c>
      <c r="M178" s="7" t="s">
        <v>29</v>
      </c>
      <c r="N178" s="7" t="s">
        <v>29</v>
      </c>
      <c r="O178" s="7" t="s">
        <v>29</v>
      </c>
      <c r="P178" s="7" t="s">
        <v>29</v>
      </c>
      <c r="Q178" s="7" t="s">
        <v>29</v>
      </c>
      <c r="R178" s="7" t="s">
        <v>29</v>
      </c>
      <c r="S178" s="7" t="s">
        <v>29</v>
      </c>
    </row>
    <row r="179" spans="2:19">
      <c r="B179" s="7" t="s">
        <v>195</v>
      </c>
      <c r="C179" s="8" t="s">
        <v>195</v>
      </c>
      <c r="D179" s="6" t="str">
        <f>LRTRIM(CONCATENATE(IF(SUMPRODUCT(-- ISNUMBER(SEARCH({"Auto Number"}, $B179))) &gt; 0, $B179, IF(SUMPRODUCT(-- ISNUMBER(SEARCH({"Lookup","Master-Detail"}, $B179))) &gt; 0,$B179 &amp; "(" &amp; $E179 &amp; ")",IF(SUMPRODUCT(-- ISNUMBER(SEARCH({"Formula","Roll-Up Summary"}, $B179))) &gt; 0,$B179 &amp; " (" &amp; $E179 &amp; ")",IF(SUMPRODUCT(-- ISNUMBER(SEARCH({"Content","Currency","Number","Percent","Text","URL"}, $B179))) &gt; 0,$B179 &amp; "(" &amp; $C179 &amp; ")",$B179)))), "  ", TRIM(IF($S179 = "YES", "(External ID)", "") &amp; " " &amp; IF(SUMPRODUCT(-- ISNUMBER(SEARCH({"Unique","Unique Case Insensitive"}, $R179))) &gt; 0, "(" &amp; $R179 &amp; ")", ""))))</f>
        <v>na</v>
      </c>
      <c r="E179" s="7" t="s">
        <v>195</v>
      </c>
      <c r="F179" s="7" t="s">
        <v>195</v>
      </c>
      <c r="G179" s="7" t="s">
        <v>195</v>
      </c>
      <c r="H179" s="7" t="s">
        <v>195</v>
      </c>
      <c r="I179" s="7" t="s">
        <v>195</v>
      </c>
      <c r="J179" s="7" t="s">
        <v>195</v>
      </c>
      <c r="K179" s="7" t="s">
        <v>195</v>
      </c>
      <c r="L179" s="7" t="s">
        <v>195</v>
      </c>
      <c r="M179" s="7" t="s">
        <v>29</v>
      </c>
      <c r="N179" s="7" t="s">
        <v>29</v>
      </c>
      <c r="O179" s="7" t="s">
        <v>29</v>
      </c>
      <c r="P179" s="7" t="s">
        <v>29</v>
      </c>
      <c r="Q179" s="7" t="s">
        <v>29</v>
      </c>
      <c r="R179" s="7" t="s">
        <v>29</v>
      </c>
      <c r="S179" s="7" t="s">
        <v>29</v>
      </c>
    </row>
    <row r="180" spans="2:19">
      <c r="B180" s="7" t="s">
        <v>195</v>
      </c>
      <c r="C180" s="8" t="s">
        <v>195</v>
      </c>
      <c r="D180" s="6" t="str">
        <f>LRTRIM(CONCATENATE(IF(SUMPRODUCT(-- ISNUMBER(SEARCH({"Auto Number"}, $B180))) &gt; 0, $B180, IF(SUMPRODUCT(-- ISNUMBER(SEARCH({"Lookup","Master-Detail"}, $B180))) &gt; 0,$B180 &amp; "(" &amp; $E180 &amp; ")",IF(SUMPRODUCT(-- ISNUMBER(SEARCH({"Formula","Roll-Up Summary"}, $B180))) &gt; 0,$B180 &amp; " (" &amp; $E180 &amp; ")",IF(SUMPRODUCT(-- ISNUMBER(SEARCH({"Content","Currency","Number","Percent","Text","URL"}, $B180))) &gt; 0,$B180 &amp; "(" &amp; $C180 &amp; ")",$B180)))), "  ", TRIM(IF($S180 = "YES", "(External ID)", "") &amp; " " &amp; IF(SUMPRODUCT(-- ISNUMBER(SEARCH({"Unique","Unique Case Insensitive"}, $R180))) &gt; 0, "(" &amp; $R180 &amp; ")", ""))))</f>
        <v>na</v>
      </c>
      <c r="E180" s="7" t="s">
        <v>195</v>
      </c>
      <c r="F180" s="7" t="s">
        <v>195</v>
      </c>
      <c r="G180" s="7" t="s">
        <v>195</v>
      </c>
      <c r="H180" s="7" t="s">
        <v>195</v>
      </c>
      <c r="I180" s="7" t="s">
        <v>195</v>
      </c>
      <c r="J180" s="7" t="s">
        <v>195</v>
      </c>
      <c r="K180" s="7" t="s">
        <v>195</v>
      </c>
      <c r="L180" s="7" t="s">
        <v>195</v>
      </c>
      <c r="M180" s="7" t="s">
        <v>29</v>
      </c>
      <c r="N180" s="7" t="s">
        <v>29</v>
      </c>
      <c r="O180" s="7" t="s">
        <v>29</v>
      </c>
      <c r="P180" s="7" t="s">
        <v>29</v>
      </c>
      <c r="Q180" s="7" t="s">
        <v>29</v>
      </c>
      <c r="R180" s="7" t="s">
        <v>29</v>
      </c>
      <c r="S180" s="7" t="s">
        <v>29</v>
      </c>
    </row>
    <row r="181" spans="2:19">
      <c r="B181" s="7" t="s">
        <v>195</v>
      </c>
      <c r="C181" s="8" t="s">
        <v>195</v>
      </c>
      <c r="D181" s="6" t="str">
        <f>LRTRIM(CONCATENATE(IF(SUMPRODUCT(-- ISNUMBER(SEARCH({"Auto Number"}, $B181))) &gt; 0, $B181, IF(SUMPRODUCT(-- ISNUMBER(SEARCH({"Lookup","Master-Detail"}, $B181))) &gt; 0,$B181 &amp; "(" &amp; $E181 &amp; ")",IF(SUMPRODUCT(-- ISNUMBER(SEARCH({"Formula","Roll-Up Summary"}, $B181))) &gt; 0,$B181 &amp; " (" &amp; $E181 &amp; ")",IF(SUMPRODUCT(-- ISNUMBER(SEARCH({"Content","Currency","Number","Percent","Text","URL"}, $B181))) &gt; 0,$B181 &amp; "(" &amp; $C181 &amp; ")",$B181)))), "  ", TRIM(IF($S181 = "YES", "(External ID)", "") &amp; " " &amp; IF(SUMPRODUCT(-- ISNUMBER(SEARCH({"Unique","Unique Case Insensitive"}, $R181))) &gt; 0, "(" &amp; $R181 &amp; ")", ""))))</f>
        <v>na</v>
      </c>
      <c r="E181" s="7" t="s">
        <v>195</v>
      </c>
      <c r="F181" s="7" t="s">
        <v>195</v>
      </c>
      <c r="G181" s="7" t="s">
        <v>195</v>
      </c>
      <c r="H181" s="7" t="s">
        <v>195</v>
      </c>
      <c r="I181" s="7" t="s">
        <v>195</v>
      </c>
      <c r="J181" s="7" t="s">
        <v>195</v>
      </c>
      <c r="K181" s="7" t="s">
        <v>195</v>
      </c>
      <c r="L181" s="7" t="s">
        <v>195</v>
      </c>
      <c r="M181" s="7" t="s">
        <v>29</v>
      </c>
      <c r="N181" s="7" t="s">
        <v>29</v>
      </c>
      <c r="O181" s="7" t="s">
        <v>29</v>
      </c>
      <c r="P181" s="7" t="s">
        <v>29</v>
      </c>
      <c r="Q181" s="7" t="s">
        <v>29</v>
      </c>
      <c r="R181" s="7" t="s">
        <v>29</v>
      </c>
      <c r="S181" s="7" t="s">
        <v>29</v>
      </c>
    </row>
    <row r="182" spans="2:19">
      <c r="B182" s="7" t="s">
        <v>195</v>
      </c>
      <c r="C182" s="8" t="s">
        <v>195</v>
      </c>
      <c r="D182" s="6" t="str">
        <f>LRTRIM(CONCATENATE(IF(SUMPRODUCT(-- ISNUMBER(SEARCH({"Auto Number"}, $B182))) &gt; 0, $B182, IF(SUMPRODUCT(-- ISNUMBER(SEARCH({"Lookup","Master-Detail"}, $B182))) &gt; 0,$B182 &amp; "(" &amp; $E182 &amp; ")",IF(SUMPRODUCT(-- ISNUMBER(SEARCH({"Formula","Roll-Up Summary"}, $B182))) &gt; 0,$B182 &amp; " (" &amp; $E182 &amp; ")",IF(SUMPRODUCT(-- ISNUMBER(SEARCH({"Content","Currency","Number","Percent","Text","URL"}, $B182))) &gt; 0,$B182 &amp; "(" &amp; $C182 &amp; ")",$B182)))), "  ", TRIM(IF($S182 = "YES", "(External ID)", "") &amp; " " &amp; IF(SUMPRODUCT(-- ISNUMBER(SEARCH({"Unique","Unique Case Insensitive"}, $R182))) &gt; 0, "(" &amp; $R182 &amp; ")", ""))))</f>
        <v>na</v>
      </c>
      <c r="E182" s="7" t="s">
        <v>195</v>
      </c>
      <c r="F182" s="7" t="s">
        <v>195</v>
      </c>
      <c r="G182" s="7" t="s">
        <v>195</v>
      </c>
      <c r="H182" s="7" t="s">
        <v>195</v>
      </c>
      <c r="I182" s="7" t="s">
        <v>195</v>
      </c>
      <c r="J182" s="7" t="s">
        <v>195</v>
      </c>
      <c r="K182" s="7" t="s">
        <v>195</v>
      </c>
      <c r="L182" s="7" t="s">
        <v>195</v>
      </c>
      <c r="M182" s="7" t="s">
        <v>29</v>
      </c>
      <c r="N182" s="7" t="s">
        <v>29</v>
      </c>
      <c r="O182" s="7" t="s">
        <v>29</v>
      </c>
      <c r="P182" s="7" t="s">
        <v>29</v>
      </c>
      <c r="Q182" s="7" t="s">
        <v>29</v>
      </c>
      <c r="R182" s="7" t="s">
        <v>29</v>
      </c>
      <c r="S182" s="7" t="s">
        <v>29</v>
      </c>
    </row>
    <row r="183" spans="2:19">
      <c r="B183" s="7" t="s">
        <v>195</v>
      </c>
      <c r="C183" s="8" t="s">
        <v>195</v>
      </c>
      <c r="D183" s="6" t="str">
        <f>LRTRIM(CONCATENATE(IF(SUMPRODUCT(-- ISNUMBER(SEARCH({"Auto Number"}, $B183))) &gt; 0, $B183, IF(SUMPRODUCT(-- ISNUMBER(SEARCH({"Lookup","Master-Detail"}, $B183))) &gt; 0,$B183 &amp; "(" &amp; $E183 &amp; ")",IF(SUMPRODUCT(-- ISNUMBER(SEARCH({"Formula","Roll-Up Summary"}, $B183))) &gt; 0,$B183 &amp; " (" &amp; $E183 &amp; ")",IF(SUMPRODUCT(-- ISNUMBER(SEARCH({"Content","Currency","Number","Percent","Text","URL"}, $B183))) &gt; 0,$B183 &amp; "(" &amp; $C183 &amp; ")",$B183)))), "  ", TRIM(IF($S183 = "YES", "(External ID)", "") &amp; " " &amp; IF(SUMPRODUCT(-- ISNUMBER(SEARCH({"Unique","Unique Case Insensitive"}, $R183))) &gt; 0, "(" &amp; $R183 &amp; ")", ""))))</f>
        <v>na</v>
      </c>
      <c r="E183" s="7" t="s">
        <v>195</v>
      </c>
      <c r="F183" s="7" t="s">
        <v>195</v>
      </c>
      <c r="G183" s="7" t="s">
        <v>195</v>
      </c>
      <c r="H183" s="7" t="s">
        <v>195</v>
      </c>
      <c r="I183" s="7" t="s">
        <v>195</v>
      </c>
      <c r="J183" s="7" t="s">
        <v>195</v>
      </c>
      <c r="K183" s="7" t="s">
        <v>195</v>
      </c>
      <c r="L183" s="7" t="s">
        <v>195</v>
      </c>
      <c r="M183" s="7" t="s">
        <v>29</v>
      </c>
      <c r="N183" s="7" t="s">
        <v>29</v>
      </c>
      <c r="O183" s="7" t="s">
        <v>29</v>
      </c>
      <c r="P183" s="7" t="s">
        <v>29</v>
      </c>
      <c r="Q183" s="7" t="s">
        <v>29</v>
      </c>
      <c r="R183" s="7" t="s">
        <v>29</v>
      </c>
      <c r="S183" s="7" t="s">
        <v>29</v>
      </c>
    </row>
    <row r="184" spans="2:19">
      <c r="B184" s="7" t="s">
        <v>195</v>
      </c>
      <c r="C184" s="8" t="s">
        <v>195</v>
      </c>
      <c r="D184" s="6" t="str">
        <f>LRTRIM(CONCATENATE(IF(SUMPRODUCT(-- ISNUMBER(SEARCH({"Auto Number"}, $B184))) &gt; 0, $B184, IF(SUMPRODUCT(-- ISNUMBER(SEARCH({"Lookup","Master-Detail"}, $B184))) &gt; 0,$B184 &amp; "(" &amp; $E184 &amp; ")",IF(SUMPRODUCT(-- ISNUMBER(SEARCH({"Formula","Roll-Up Summary"}, $B184))) &gt; 0,$B184 &amp; " (" &amp; $E184 &amp; ")",IF(SUMPRODUCT(-- ISNUMBER(SEARCH({"Content","Currency","Number","Percent","Text","URL"}, $B184))) &gt; 0,$B184 &amp; "(" &amp; $C184 &amp; ")",$B184)))), "  ", TRIM(IF($S184 = "YES", "(External ID)", "") &amp; " " &amp; IF(SUMPRODUCT(-- ISNUMBER(SEARCH({"Unique","Unique Case Insensitive"}, $R184))) &gt; 0, "(" &amp; $R184 &amp; ")", ""))))</f>
        <v>na</v>
      </c>
      <c r="E184" s="7" t="s">
        <v>195</v>
      </c>
      <c r="F184" s="7" t="s">
        <v>195</v>
      </c>
      <c r="G184" s="7" t="s">
        <v>195</v>
      </c>
      <c r="H184" s="7" t="s">
        <v>195</v>
      </c>
      <c r="I184" s="7" t="s">
        <v>195</v>
      </c>
      <c r="J184" s="7" t="s">
        <v>195</v>
      </c>
      <c r="K184" s="7" t="s">
        <v>195</v>
      </c>
      <c r="L184" s="7" t="s">
        <v>195</v>
      </c>
      <c r="M184" s="7" t="s">
        <v>29</v>
      </c>
      <c r="N184" s="7" t="s">
        <v>29</v>
      </c>
      <c r="O184" s="7" t="s">
        <v>29</v>
      </c>
      <c r="P184" s="7" t="s">
        <v>29</v>
      </c>
      <c r="Q184" s="7" t="s">
        <v>29</v>
      </c>
      <c r="R184" s="7" t="s">
        <v>29</v>
      </c>
      <c r="S184" s="7" t="s">
        <v>29</v>
      </c>
    </row>
    <row r="185" spans="2:19">
      <c r="B185" s="7" t="s">
        <v>195</v>
      </c>
      <c r="C185" s="8" t="s">
        <v>195</v>
      </c>
      <c r="D185" s="6" t="str">
        <f>LRTRIM(CONCATENATE(IF(SUMPRODUCT(-- ISNUMBER(SEARCH({"Auto Number"}, $B185))) &gt; 0, $B185, IF(SUMPRODUCT(-- ISNUMBER(SEARCH({"Lookup","Master-Detail"}, $B185))) &gt; 0,$B185 &amp; "(" &amp; $E185 &amp; ")",IF(SUMPRODUCT(-- ISNUMBER(SEARCH({"Formula","Roll-Up Summary"}, $B185))) &gt; 0,$B185 &amp; " (" &amp; $E185 &amp; ")",IF(SUMPRODUCT(-- ISNUMBER(SEARCH({"Content","Currency","Number","Percent","Text","URL"}, $B185))) &gt; 0,$B185 &amp; "(" &amp; $C185 &amp; ")",$B185)))), "  ", TRIM(IF($S185 = "YES", "(External ID)", "") &amp; " " &amp; IF(SUMPRODUCT(-- ISNUMBER(SEARCH({"Unique","Unique Case Insensitive"}, $R185))) &gt; 0, "(" &amp; $R185 &amp; ")", ""))))</f>
        <v>na</v>
      </c>
      <c r="E185" s="7" t="s">
        <v>195</v>
      </c>
      <c r="F185" s="7" t="s">
        <v>195</v>
      </c>
      <c r="G185" s="7" t="s">
        <v>195</v>
      </c>
      <c r="H185" s="7" t="s">
        <v>195</v>
      </c>
      <c r="I185" s="7" t="s">
        <v>195</v>
      </c>
      <c r="J185" s="7" t="s">
        <v>195</v>
      </c>
      <c r="K185" s="7" t="s">
        <v>195</v>
      </c>
      <c r="L185" s="7" t="s">
        <v>195</v>
      </c>
      <c r="M185" s="7" t="s">
        <v>29</v>
      </c>
      <c r="N185" s="7" t="s">
        <v>29</v>
      </c>
      <c r="O185" s="7" t="s">
        <v>29</v>
      </c>
      <c r="P185" s="7" t="s">
        <v>29</v>
      </c>
      <c r="Q185" s="7" t="s">
        <v>29</v>
      </c>
      <c r="R185" s="7" t="s">
        <v>29</v>
      </c>
      <c r="S185" s="7" t="s">
        <v>29</v>
      </c>
    </row>
    <row r="186" spans="2:19">
      <c r="B186" s="7" t="s">
        <v>195</v>
      </c>
      <c r="C186" s="8" t="s">
        <v>195</v>
      </c>
      <c r="D186" s="6" t="str">
        <f>LRTRIM(CONCATENATE(IF(SUMPRODUCT(-- ISNUMBER(SEARCH({"Auto Number"}, $B186))) &gt; 0, $B186, IF(SUMPRODUCT(-- ISNUMBER(SEARCH({"Lookup","Master-Detail"}, $B186))) &gt; 0,$B186 &amp; "(" &amp; $E186 &amp; ")",IF(SUMPRODUCT(-- ISNUMBER(SEARCH({"Formula","Roll-Up Summary"}, $B186))) &gt; 0,$B186 &amp; " (" &amp; $E186 &amp; ")",IF(SUMPRODUCT(-- ISNUMBER(SEARCH({"Content","Currency","Number","Percent","Text","URL"}, $B186))) &gt; 0,$B186 &amp; "(" &amp; $C186 &amp; ")",$B186)))), "  ", TRIM(IF($S186 = "YES", "(External ID)", "") &amp; " " &amp; IF(SUMPRODUCT(-- ISNUMBER(SEARCH({"Unique","Unique Case Insensitive"}, $R186))) &gt; 0, "(" &amp; $R186 &amp; ")", ""))))</f>
        <v>na</v>
      </c>
      <c r="E186" s="7" t="s">
        <v>195</v>
      </c>
      <c r="F186" s="7" t="s">
        <v>195</v>
      </c>
      <c r="G186" s="7" t="s">
        <v>195</v>
      </c>
      <c r="H186" s="7" t="s">
        <v>195</v>
      </c>
      <c r="I186" s="7" t="s">
        <v>195</v>
      </c>
      <c r="J186" s="7" t="s">
        <v>195</v>
      </c>
      <c r="K186" s="7" t="s">
        <v>195</v>
      </c>
      <c r="L186" s="7" t="s">
        <v>195</v>
      </c>
      <c r="M186" s="7" t="s">
        <v>29</v>
      </c>
      <c r="N186" s="7" t="s">
        <v>29</v>
      </c>
      <c r="O186" s="7" t="s">
        <v>29</v>
      </c>
      <c r="P186" s="7" t="s">
        <v>29</v>
      </c>
      <c r="Q186" s="7" t="s">
        <v>29</v>
      </c>
      <c r="R186" s="7" t="s">
        <v>29</v>
      </c>
      <c r="S186" s="7" t="s">
        <v>29</v>
      </c>
    </row>
    <row r="187" spans="2:19">
      <c r="B187" s="7" t="s">
        <v>195</v>
      </c>
      <c r="C187" s="8" t="s">
        <v>195</v>
      </c>
      <c r="D187" s="6" t="str">
        <f>LRTRIM(CONCATENATE(IF(SUMPRODUCT(-- ISNUMBER(SEARCH({"Auto Number"}, $B187))) &gt; 0, $B187, IF(SUMPRODUCT(-- ISNUMBER(SEARCH({"Lookup","Master-Detail"}, $B187))) &gt; 0,$B187 &amp; "(" &amp; $E187 &amp; ")",IF(SUMPRODUCT(-- ISNUMBER(SEARCH({"Formula","Roll-Up Summary"}, $B187))) &gt; 0,$B187 &amp; " (" &amp; $E187 &amp; ")",IF(SUMPRODUCT(-- ISNUMBER(SEARCH({"Content","Currency","Number","Percent","Text","URL"}, $B187))) &gt; 0,$B187 &amp; "(" &amp; $C187 &amp; ")",$B187)))), "  ", TRIM(IF($S187 = "YES", "(External ID)", "") &amp; " " &amp; IF(SUMPRODUCT(-- ISNUMBER(SEARCH({"Unique","Unique Case Insensitive"}, $R187))) &gt; 0, "(" &amp; $R187 &amp; ")", ""))))</f>
        <v>na</v>
      </c>
      <c r="E187" s="7" t="s">
        <v>195</v>
      </c>
      <c r="F187" s="7" t="s">
        <v>195</v>
      </c>
      <c r="G187" s="7" t="s">
        <v>195</v>
      </c>
      <c r="H187" s="7" t="s">
        <v>195</v>
      </c>
      <c r="I187" s="7" t="s">
        <v>195</v>
      </c>
      <c r="J187" s="7" t="s">
        <v>195</v>
      </c>
      <c r="K187" s="7" t="s">
        <v>195</v>
      </c>
      <c r="L187" s="7" t="s">
        <v>195</v>
      </c>
      <c r="M187" s="7" t="s">
        <v>29</v>
      </c>
      <c r="N187" s="7" t="s">
        <v>29</v>
      </c>
      <c r="O187" s="7" t="s">
        <v>29</v>
      </c>
      <c r="P187" s="7" t="s">
        <v>29</v>
      </c>
      <c r="Q187" s="7" t="s">
        <v>29</v>
      </c>
      <c r="R187" s="7" t="s">
        <v>29</v>
      </c>
      <c r="S187" s="7" t="s">
        <v>29</v>
      </c>
    </row>
    <row r="188" spans="2:19">
      <c r="B188" s="7" t="s">
        <v>195</v>
      </c>
      <c r="C188" s="8" t="s">
        <v>195</v>
      </c>
      <c r="D188" s="6" t="str">
        <f>LRTRIM(CONCATENATE(IF(SUMPRODUCT(-- ISNUMBER(SEARCH({"Auto Number"}, $B188))) &gt; 0, $B188, IF(SUMPRODUCT(-- ISNUMBER(SEARCH({"Lookup","Master-Detail"}, $B188))) &gt; 0,$B188 &amp; "(" &amp; $E188 &amp; ")",IF(SUMPRODUCT(-- ISNUMBER(SEARCH({"Formula","Roll-Up Summary"}, $B188))) &gt; 0,$B188 &amp; " (" &amp; $E188 &amp; ")",IF(SUMPRODUCT(-- ISNUMBER(SEARCH({"Content","Currency","Number","Percent","Text","URL"}, $B188))) &gt; 0,$B188 &amp; "(" &amp; $C188 &amp; ")",$B188)))), "  ", TRIM(IF($S188 = "YES", "(External ID)", "") &amp; " " &amp; IF(SUMPRODUCT(-- ISNUMBER(SEARCH({"Unique","Unique Case Insensitive"}, $R188))) &gt; 0, "(" &amp; $R188 &amp; ")", ""))))</f>
        <v>na</v>
      </c>
      <c r="E188" s="7" t="s">
        <v>195</v>
      </c>
      <c r="F188" s="7" t="s">
        <v>195</v>
      </c>
      <c r="G188" s="7" t="s">
        <v>195</v>
      </c>
      <c r="H188" s="7" t="s">
        <v>195</v>
      </c>
      <c r="I188" s="7" t="s">
        <v>195</v>
      </c>
      <c r="J188" s="7" t="s">
        <v>195</v>
      </c>
      <c r="K188" s="7" t="s">
        <v>195</v>
      </c>
      <c r="L188" s="7" t="s">
        <v>195</v>
      </c>
      <c r="M188" s="7" t="s">
        <v>29</v>
      </c>
      <c r="N188" s="7" t="s">
        <v>29</v>
      </c>
      <c r="O188" s="7" t="s">
        <v>29</v>
      </c>
      <c r="P188" s="7" t="s">
        <v>29</v>
      </c>
      <c r="Q188" s="7" t="s">
        <v>29</v>
      </c>
      <c r="R188" s="7" t="s">
        <v>29</v>
      </c>
      <c r="S188" s="7" t="s">
        <v>29</v>
      </c>
    </row>
    <row r="189" spans="2:19">
      <c r="B189" s="7" t="s">
        <v>195</v>
      </c>
      <c r="C189" s="8" t="s">
        <v>195</v>
      </c>
      <c r="D189" s="6" t="str">
        <f>LRTRIM(CONCATENATE(IF(SUMPRODUCT(-- ISNUMBER(SEARCH({"Auto Number"}, $B189))) &gt; 0, $B189, IF(SUMPRODUCT(-- ISNUMBER(SEARCH({"Lookup","Master-Detail"}, $B189))) &gt; 0,$B189 &amp; "(" &amp; $E189 &amp; ")",IF(SUMPRODUCT(-- ISNUMBER(SEARCH({"Formula","Roll-Up Summary"}, $B189))) &gt; 0,$B189 &amp; " (" &amp; $E189 &amp; ")",IF(SUMPRODUCT(-- ISNUMBER(SEARCH({"Content","Currency","Number","Percent","Text","URL"}, $B189))) &gt; 0,$B189 &amp; "(" &amp; $C189 &amp; ")",$B189)))), "  ", TRIM(IF($S189 = "YES", "(External ID)", "") &amp; " " &amp; IF(SUMPRODUCT(-- ISNUMBER(SEARCH({"Unique","Unique Case Insensitive"}, $R189))) &gt; 0, "(" &amp; $R189 &amp; ")", ""))))</f>
        <v>na</v>
      </c>
      <c r="E189" s="7" t="s">
        <v>195</v>
      </c>
      <c r="F189" s="7" t="s">
        <v>195</v>
      </c>
      <c r="G189" s="7" t="s">
        <v>195</v>
      </c>
      <c r="H189" s="7" t="s">
        <v>195</v>
      </c>
      <c r="I189" s="7" t="s">
        <v>195</v>
      </c>
      <c r="J189" s="7" t="s">
        <v>195</v>
      </c>
      <c r="K189" s="7" t="s">
        <v>195</v>
      </c>
      <c r="L189" s="7" t="s">
        <v>195</v>
      </c>
      <c r="M189" s="7" t="s">
        <v>29</v>
      </c>
      <c r="N189" s="7" t="s">
        <v>29</v>
      </c>
      <c r="O189" s="7" t="s">
        <v>29</v>
      </c>
      <c r="P189" s="7" t="s">
        <v>29</v>
      </c>
      <c r="Q189" s="7" t="s">
        <v>29</v>
      </c>
      <c r="R189" s="7" t="s">
        <v>29</v>
      </c>
      <c r="S189" s="7" t="s">
        <v>29</v>
      </c>
    </row>
    <row r="190" spans="2:19">
      <c r="B190" s="7" t="s">
        <v>195</v>
      </c>
      <c r="C190" s="8" t="s">
        <v>195</v>
      </c>
      <c r="D190" s="6" t="str">
        <f>LRTRIM(CONCATENATE(IF(SUMPRODUCT(-- ISNUMBER(SEARCH({"Auto Number"}, $B190))) &gt; 0, $B190, IF(SUMPRODUCT(-- ISNUMBER(SEARCH({"Lookup","Master-Detail"}, $B190))) &gt; 0,$B190 &amp; "(" &amp; $E190 &amp; ")",IF(SUMPRODUCT(-- ISNUMBER(SEARCH({"Formula","Roll-Up Summary"}, $B190))) &gt; 0,$B190 &amp; " (" &amp; $E190 &amp; ")",IF(SUMPRODUCT(-- ISNUMBER(SEARCH({"Content","Currency","Number","Percent","Text","URL"}, $B190))) &gt; 0,$B190 &amp; "(" &amp; $C190 &amp; ")",$B190)))), "  ", TRIM(IF($S190 = "YES", "(External ID)", "") &amp; " " &amp; IF(SUMPRODUCT(-- ISNUMBER(SEARCH({"Unique","Unique Case Insensitive"}, $R190))) &gt; 0, "(" &amp; $R190 &amp; ")", ""))))</f>
        <v>na</v>
      </c>
      <c r="E190" s="7" t="s">
        <v>195</v>
      </c>
      <c r="F190" s="7" t="s">
        <v>195</v>
      </c>
      <c r="G190" s="7" t="s">
        <v>195</v>
      </c>
      <c r="H190" s="7" t="s">
        <v>195</v>
      </c>
      <c r="I190" s="7" t="s">
        <v>195</v>
      </c>
      <c r="J190" s="7" t="s">
        <v>195</v>
      </c>
      <c r="K190" s="7" t="s">
        <v>195</v>
      </c>
      <c r="L190" s="7" t="s">
        <v>195</v>
      </c>
      <c r="M190" s="7" t="s">
        <v>29</v>
      </c>
      <c r="N190" s="7" t="s">
        <v>29</v>
      </c>
      <c r="O190" s="7" t="s">
        <v>29</v>
      </c>
      <c r="P190" s="7" t="s">
        <v>29</v>
      </c>
      <c r="Q190" s="7" t="s">
        <v>29</v>
      </c>
      <c r="R190" s="7" t="s">
        <v>29</v>
      </c>
      <c r="S190" s="7" t="s">
        <v>29</v>
      </c>
    </row>
    <row r="191" spans="2:19">
      <c r="B191" s="7" t="s">
        <v>195</v>
      </c>
      <c r="C191" s="8" t="s">
        <v>195</v>
      </c>
      <c r="D191" s="6" t="str">
        <f>LRTRIM(CONCATENATE(IF(SUMPRODUCT(-- ISNUMBER(SEARCH({"Auto Number"}, $B191))) &gt; 0, $B191, IF(SUMPRODUCT(-- ISNUMBER(SEARCH({"Lookup","Master-Detail"}, $B191))) &gt; 0,$B191 &amp; "(" &amp; $E191 &amp; ")",IF(SUMPRODUCT(-- ISNUMBER(SEARCH({"Formula","Roll-Up Summary"}, $B191))) &gt; 0,$B191 &amp; " (" &amp; $E191 &amp; ")",IF(SUMPRODUCT(-- ISNUMBER(SEARCH({"Content","Currency","Number","Percent","Text","URL"}, $B191))) &gt; 0,$B191 &amp; "(" &amp; $C191 &amp; ")",$B191)))), "  ", TRIM(IF($S191 = "YES", "(External ID)", "") &amp; " " &amp; IF(SUMPRODUCT(-- ISNUMBER(SEARCH({"Unique","Unique Case Insensitive"}, $R191))) &gt; 0, "(" &amp; $R191 &amp; ")", ""))))</f>
        <v>na</v>
      </c>
      <c r="E191" s="7" t="s">
        <v>195</v>
      </c>
      <c r="F191" s="7" t="s">
        <v>195</v>
      </c>
      <c r="G191" s="7" t="s">
        <v>195</v>
      </c>
      <c r="H191" s="7" t="s">
        <v>195</v>
      </c>
      <c r="I191" s="7" t="s">
        <v>195</v>
      </c>
      <c r="J191" s="7" t="s">
        <v>195</v>
      </c>
      <c r="K191" s="7" t="s">
        <v>195</v>
      </c>
      <c r="L191" s="7" t="s">
        <v>195</v>
      </c>
      <c r="M191" s="7" t="s">
        <v>29</v>
      </c>
      <c r="N191" s="7" t="s">
        <v>29</v>
      </c>
      <c r="O191" s="7" t="s">
        <v>29</v>
      </c>
      <c r="P191" s="7" t="s">
        <v>29</v>
      </c>
      <c r="Q191" s="7" t="s">
        <v>29</v>
      </c>
      <c r="R191" s="7" t="s">
        <v>29</v>
      </c>
      <c r="S191" s="7" t="s">
        <v>29</v>
      </c>
    </row>
    <row r="192" spans="2:19">
      <c r="B192" s="7" t="s">
        <v>195</v>
      </c>
      <c r="C192" s="8" t="s">
        <v>195</v>
      </c>
      <c r="D192" s="6" t="str">
        <f>LRTRIM(CONCATENATE(IF(SUMPRODUCT(-- ISNUMBER(SEARCH({"Auto Number"}, $B192))) &gt; 0, $B192, IF(SUMPRODUCT(-- ISNUMBER(SEARCH({"Lookup","Master-Detail"}, $B192))) &gt; 0,$B192 &amp; "(" &amp; $E192 &amp; ")",IF(SUMPRODUCT(-- ISNUMBER(SEARCH({"Formula","Roll-Up Summary"}, $B192))) &gt; 0,$B192 &amp; " (" &amp; $E192 &amp; ")",IF(SUMPRODUCT(-- ISNUMBER(SEARCH({"Content","Currency","Number","Percent","Text","URL"}, $B192))) &gt; 0,$B192 &amp; "(" &amp; $C192 &amp; ")",$B192)))), "  ", TRIM(IF($S192 = "YES", "(External ID)", "") &amp; " " &amp; IF(SUMPRODUCT(-- ISNUMBER(SEARCH({"Unique","Unique Case Insensitive"}, $R192))) &gt; 0, "(" &amp; $R192 &amp; ")", ""))))</f>
        <v>na</v>
      </c>
      <c r="E192" s="7" t="s">
        <v>195</v>
      </c>
      <c r="F192" s="7" t="s">
        <v>195</v>
      </c>
      <c r="G192" s="7" t="s">
        <v>195</v>
      </c>
      <c r="H192" s="7" t="s">
        <v>195</v>
      </c>
      <c r="I192" s="7" t="s">
        <v>195</v>
      </c>
      <c r="J192" s="7" t="s">
        <v>195</v>
      </c>
      <c r="K192" s="7" t="s">
        <v>195</v>
      </c>
      <c r="L192" s="7" t="s">
        <v>195</v>
      </c>
      <c r="M192" s="7" t="s">
        <v>29</v>
      </c>
      <c r="N192" s="7" t="s">
        <v>29</v>
      </c>
      <c r="O192" s="7" t="s">
        <v>29</v>
      </c>
      <c r="P192" s="7" t="s">
        <v>29</v>
      </c>
      <c r="Q192" s="7" t="s">
        <v>29</v>
      </c>
      <c r="R192" s="7" t="s">
        <v>29</v>
      </c>
      <c r="S192" s="7" t="s">
        <v>29</v>
      </c>
    </row>
    <row r="193" spans="2:19">
      <c r="B193" s="7" t="s">
        <v>195</v>
      </c>
      <c r="C193" s="8" t="s">
        <v>195</v>
      </c>
      <c r="D193" s="6" t="str">
        <f>LRTRIM(CONCATENATE(IF(SUMPRODUCT(-- ISNUMBER(SEARCH({"Auto Number"}, $B193))) &gt; 0, $B193, IF(SUMPRODUCT(-- ISNUMBER(SEARCH({"Lookup","Master-Detail"}, $B193))) &gt; 0,$B193 &amp; "(" &amp; $E193 &amp; ")",IF(SUMPRODUCT(-- ISNUMBER(SEARCH({"Formula","Roll-Up Summary"}, $B193))) &gt; 0,$B193 &amp; " (" &amp; $E193 &amp; ")",IF(SUMPRODUCT(-- ISNUMBER(SEARCH({"Content","Currency","Number","Percent","Text","URL"}, $B193))) &gt; 0,$B193 &amp; "(" &amp; $C193 &amp; ")",$B193)))), "  ", TRIM(IF($S193 = "YES", "(External ID)", "") &amp; " " &amp; IF(SUMPRODUCT(-- ISNUMBER(SEARCH({"Unique","Unique Case Insensitive"}, $R193))) &gt; 0, "(" &amp; $R193 &amp; ")", ""))))</f>
        <v>na</v>
      </c>
      <c r="E193" s="7" t="s">
        <v>195</v>
      </c>
      <c r="F193" s="7" t="s">
        <v>195</v>
      </c>
      <c r="G193" s="7" t="s">
        <v>195</v>
      </c>
      <c r="H193" s="7" t="s">
        <v>195</v>
      </c>
      <c r="I193" s="7" t="s">
        <v>195</v>
      </c>
      <c r="J193" s="7" t="s">
        <v>195</v>
      </c>
      <c r="K193" s="7" t="s">
        <v>195</v>
      </c>
      <c r="L193" s="7" t="s">
        <v>195</v>
      </c>
      <c r="M193" s="7" t="s">
        <v>29</v>
      </c>
      <c r="N193" s="7" t="s">
        <v>29</v>
      </c>
      <c r="O193" s="7" t="s">
        <v>29</v>
      </c>
      <c r="P193" s="7" t="s">
        <v>29</v>
      </c>
      <c r="Q193" s="7" t="s">
        <v>29</v>
      </c>
      <c r="R193" s="7" t="s">
        <v>29</v>
      </c>
      <c r="S193" s="7" t="s">
        <v>29</v>
      </c>
    </row>
    <row r="194" spans="2:19">
      <c r="B194" s="7" t="s">
        <v>195</v>
      </c>
      <c r="C194" s="8" t="s">
        <v>195</v>
      </c>
      <c r="D194" s="6" t="str">
        <f>LRTRIM(CONCATENATE(IF(SUMPRODUCT(-- ISNUMBER(SEARCH({"Auto Number"}, $B194))) &gt; 0, $B194, IF(SUMPRODUCT(-- ISNUMBER(SEARCH({"Lookup","Master-Detail"}, $B194))) &gt; 0,$B194 &amp; "(" &amp; $E194 &amp; ")",IF(SUMPRODUCT(-- ISNUMBER(SEARCH({"Formula","Roll-Up Summary"}, $B194))) &gt; 0,$B194 &amp; " (" &amp; $E194 &amp; ")",IF(SUMPRODUCT(-- ISNUMBER(SEARCH({"Content","Currency","Number","Percent","Text","URL"}, $B194))) &gt; 0,$B194 &amp; "(" &amp; $C194 &amp; ")",$B194)))), "  ", TRIM(IF($S194 = "YES", "(External ID)", "") &amp; " " &amp; IF(SUMPRODUCT(-- ISNUMBER(SEARCH({"Unique","Unique Case Insensitive"}, $R194))) &gt; 0, "(" &amp; $R194 &amp; ")", ""))))</f>
        <v>na</v>
      </c>
      <c r="E194" s="7" t="s">
        <v>195</v>
      </c>
      <c r="F194" s="7" t="s">
        <v>195</v>
      </c>
      <c r="G194" s="7" t="s">
        <v>195</v>
      </c>
      <c r="H194" s="7" t="s">
        <v>195</v>
      </c>
      <c r="I194" s="7" t="s">
        <v>195</v>
      </c>
      <c r="J194" s="7" t="s">
        <v>195</v>
      </c>
      <c r="K194" s="7" t="s">
        <v>195</v>
      </c>
      <c r="L194" s="7" t="s">
        <v>195</v>
      </c>
      <c r="M194" s="7" t="s">
        <v>29</v>
      </c>
      <c r="N194" s="7" t="s">
        <v>29</v>
      </c>
      <c r="O194" s="7" t="s">
        <v>29</v>
      </c>
      <c r="P194" s="7" t="s">
        <v>29</v>
      </c>
      <c r="Q194" s="7" t="s">
        <v>29</v>
      </c>
      <c r="R194" s="7" t="s">
        <v>29</v>
      </c>
      <c r="S194" s="7" t="s">
        <v>29</v>
      </c>
    </row>
    <row r="195" spans="2:19">
      <c r="B195" s="7" t="s">
        <v>195</v>
      </c>
      <c r="C195" s="8" t="s">
        <v>195</v>
      </c>
      <c r="D195" s="6" t="str">
        <f>LRTRIM(CONCATENATE(IF(SUMPRODUCT(-- ISNUMBER(SEARCH({"Auto Number"}, $B195))) &gt; 0, $B195, IF(SUMPRODUCT(-- ISNUMBER(SEARCH({"Lookup","Master-Detail"}, $B195))) &gt; 0,$B195 &amp; "(" &amp; $E195 &amp; ")",IF(SUMPRODUCT(-- ISNUMBER(SEARCH({"Formula","Roll-Up Summary"}, $B195))) &gt; 0,$B195 &amp; " (" &amp; $E195 &amp; ")",IF(SUMPRODUCT(-- ISNUMBER(SEARCH({"Content","Currency","Number","Percent","Text","URL"}, $B195))) &gt; 0,$B195 &amp; "(" &amp; $C195 &amp; ")",$B195)))), "  ", TRIM(IF($S195 = "YES", "(External ID)", "") &amp; " " &amp; IF(SUMPRODUCT(-- ISNUMBER(SEARCH({"Unique","Unique Case Insensitive"}, $R195))) &gt; 0, "(" &amp; $R195 &amp; ")", ""))))</f>
        <v>na</v>
      </c>
      <c r="E195" s="7" t="s">
        <v>195</v>
      </c>
      <c r="F195" s="7" t="s">
        <v>195</v>
      </c>
      <c r="G195" s="7" t="s">
        <v>195</v>
      </c>
      <c r="H195" s="7" t="s">
        <v>195</v>
      </c>
      <c r="I195" s="7" t="s">
        <v>195</v>
      </c>
      <c r="J195" s="7" t="s">
        <v>195</v>
      </c>
      <c r="K195" s="7" t="s">
        <v>195</v>
      </c>
      <c r="L195" s="7" t="s">
        <v>195</v>
      </c>
      <c r="M195" s="7" t="s">
        <v>29</v>
      </c>
      <c r="N195" s="7" t="s">
        <v>29</v>
      </c>
      <c r="O195" s="7" t="s">
        <v>29</v>
      </c>
      <c r="P195" s="7" t="s">
        <v>29</v>
      </c>
      <c r="Q195" s="7" t="s">
        <v>29</v>
      </c>
      <c r="R195" s="7" t="s">
        <v>29</v>
      </c>
      <c r="S195" s="7" t="s">
        <v>29</v>
      </c>
    </row>
    <row r="196" spans="2:19">
      <c r="B196" s="7" t="s">
        <v>195</v>
      </c>
      <c r="C196" s="8" t="s">
        <v>195</v>
      </c>
      <c r="D196" s="6" t="str">
        <f>LRTRIM(CONCATENATE(IF(SUMPRODUCT(-- ISNUMBER(SEARCH({"Auto Number"}, $B196))) &gt; 0, $B196, IF(SUMPRODUCT(-- ISNUMBER(SEARCH({"Lookup","Master-Detail"}, $B196))) &gt; 0,$B196 &amp; "(" &amp; $E196 &amp; ")",IF(SUMPRODUCT(-- ISNUMBER(SEARCH({"Formula","Roll-Up Summary"}, $B196))) &gt; 0,$B196 &amp; " (" &amp; $E196 &amp; ")",IF(SUMPRODUCT(-- ISNUMBER(SEARCH({"Content","Currency","Number","Percent","Text","URL"}, $B196))) &gt; 0,$B196 &amp; "(" &amp; $C196 &amp; ")",$B196)))), "  ", TRIM(IF($S196 = "YES", "(External ID)", "") &amp; " " &amp; IF(SUMPRODUCT(-- ISNUMBER(SEARCH({"Unique","Unique Case Insensitive"}, $R196))) &gt; 0, "(" &amp; $R196 &amp; ")", ""))))</f>
        <v>na</v>
      </c>
      <c r="E196" s="7" t="s">
        <v>195</v>
      </c>
      <c r="F196" s="7" t="s">
        <v>195</v>
      </c>
      <c r="G196" s="7" t="s">
        <v>195</v>
      </c>
      <c r="H196" s="7" t="s">
        <v>195</v>
      </c>
      <c r="I196" s="7" t="s">
        <v>195</v>
      </c>
      <c r="J196" s="7" t="s">
        <v>195</v>
      </c>
      <c r="K196" s="7" t="s">
        <v>195</v>
      </c>
      <c r="L196" s="7" t="s">
        <v>195</v>
      </c>
      <c r="M196" s="7" t="s">
        <v>29</v>
      </c>
      <c r="N196" s="7" t="s">
        <v>29</v>
      </c>
      <c r="O196" s="7" t="s">
        <v>29</v>
      </c>
      <c r="P196" s="7" t="s">
        <v>29</v>
      </c>
      <c r="Q196" s="7" t="s">
        <v>29</v>
      </c>
      <c r="R196" s="7" t="s">
        <v>29</v>
      </c>
      <c r="S196" s="7" t="s">
        <v>29</v>
      </c>
    </row>
    <row r="197" spans="2:19">
      <c r="B197" s="7" t="s">
        <v>195</v>
      </c>
      <c r="C197" s="8" t="s">
        <v>195</v>
      </c>
      <c r="D197" s="6" t="str">
        <f>LRTRIM(CONCATENATE(IF(SUMPRODUCT(-- ISNUMBER(SEARCH({"Auto Number"}, $B197))) &gt; 0, $B197, IF(SUMPRODUCT(-- ISNUMBER(SEARCH({"Lookup","Master-Detail"}, $B197))) &gt; 0,$B197 &amp; "(" &amp; $E197 &amp; ")",IF(SUMPRODUCT(-- ISNUMBER(SEARCH({"Formula","Roll-Up Summary"}, $B197))) &gt; 0,$B197 &amp; " (" &amp; $E197 &amp; ")",IF(SUMPRODUCT(-- ISNUMBER(SEARCH({"Content","Currency","Number","Percent","Text","URL"}, $B197))) &gt; 0,$B197 &amp; "(" &amp; $C197 &amp; ")",$B197)))), "  ", TRIM(IF($S197 = "YES", "(External ID)", "") &amp; " " &amp; IF(SUMPRODUCT(-- ISNUMBER(SEARCH({"Unique","Unique Case Insensitive"}, $R197))) &gt; 0, "(" &amp; $R197 &amp; ")", ""))))</f>
        <v>na</v>
      </c>
      <c r="E197" s="7" t="s">
        <v>195</v>
      </c>
      <c r="F197" s="7" t="s">
        <v>195</v>
      </c>
      <c r="G197" s="7" t="s">
        <v>195</v>
      </c>
      <c r="H197" s="7" t="s">
        <v>195</v>
      </c>
      <c r="I197" s="7" t="s">
        <v>195</v>
      </c>
      <c r="J197" s="7" t="s">
        <v>195</v>
      </c>
      <c r="K197" s="7" t="s">
        <v>195</v>
      </c>
      <c r="L197" s="7" t="s">
        <v>195</v>
      </c>
      <c r="M197" s="7" t="s">
        <v>29</v>
      </c>
      <c r="N197" s="7" t="s">
        <v>29</v>
      </c>
      <c r="O197" s="7" t="s">
        <v>29</v>
      </c>
      <c r="P197" s="7" t="s">
        <v>29</v>
      </c>
      <c r="Q197" s="7" t="s">
        <v>29</v>
      </c>
      <c r="R197" s="7" t="s">
        <v>29</v>
      </c>
      <c r="S197" s="7" t="s">
        <v>29</v>
      </c>
    </row>
    <row r="198" spans="2:19">
      <c r="B198" s="7" t="s">
        <v>195</v>
      </c>
      <c r="C198" s="8" t="s">
        <v>195</v>
      </c>
      <c r="D198" s="6" t="str">
        <f>LRTRIM(CONCATENATE(IF(SUMPRODUCT(-- ISNUMBER(SEARCH({"Auto Number"}, $B198))) &gt; 0, $B198, IF(SUMPRODUCT(-- ISNUMBER(SEARCH({"Lookup","Master-Detail"}, $B198))) &gt; 0,$B198 &amp; "(" &amp; $E198 &amp; ")",IF(SUMPRODUCT(-- ISNUMBER(SEARCH({"Formula","Roll-Up Summary"}, $B198))) &gt; 0,$B198 &amp; " (" &amp; $E198 &amp; ")",IF(SUMPRODUCT(-- ISNUMBER(SEARCH({"Content","Currency","Number","Percent","Text","URL"}, $B198))) &gt; 0,$B198 &amp; "(" &amp; $C198 &amp; ")",$B198)))), "  ", TRIM(IF($S198 = "YES", "(External ID)", "") &amp; " " &amp; IF(SUMPRODUCT(-- ISNUMBER(SEARCH({"Unique","Unique Case Insensitive"}, $R198))) &gt; 0, "(" &amp; $R198 &amp; ")", ""))))</f>
        <v>na</v>
      </c>
      <c r="E198" s="7" t="s">
        <v>195</v>
      </c>
      <c r="F198" s="7" t="s">
        <v>195</v>
      </c>
      <c r="G198" s="7" t="s">
        <v>195</v>
      </c>
      <c r="H198" s="7" t="s">
        <v>195</v>
      </c>
      <c r="I198" s="7" t="s">
        <v>195</v>
      </c>
      <c r="J198" s="7" t="s">
        <v>195</v>
      </c>
      <c r="K198" s="7" t="s">
        <v>195</v>
      </c>
      <c r="L198" s="7" t="s">
        <v>195</v>
      </c>
      <c r="M198" s="7" t="s">
        <v>29</v>
      </c>
      <c r="N198" s="7" t="s">
        <v>29</v>
      </c>
      <c r="O198" s="7" t="s">
        <v>29</v>
      </c>
      <c r="P198" s="7" t="s">
        <v>29</v>
      </c>
      <c r="Q198" s="7" t="s">
        <v>29</v>
      </c>
      <c r="R198" s="7" t="s">
        <v>29</v>
      </c>
      <c r="S198" s="7" t="s">
        <v>29</v>
      </c>
    </row>
    <row r="199" spans="2:19">
      <c r="B199" s="7" t="s">
        <v>195</v>
      </c>
      <c r="C199" s="8" t="s">
        <v>195</v>
      </c>
      <c r="D199" s="6" t="str">
        <f>LRTRIM(CONCATENATE(IF(SUMPRODUCT(-- ISNUMBER(SEARCH({"Auto Number"}, $B199))) &gt; 0, $B199, IF(SUMPRODUCT(-- ISNUMBER(SEARCH({"Lookup","Master-Detail"}, $B199))) &gt; 0,$B199 &amp; "(" &amp; $E199 &amp; ")",IF(SUMPRODUCT(-- ISNUMBER(SEARCH({"Formula","Roll-Up Summary"}, $B199))) &gt; 0,$B199 &amp; " (" &amp; $E199 &amp; ")",IF(SUMPRODUCT(-- ISNUMBER(SEARCH({"Content","Currency","Number","Percent","Text","URL"}, $B199))) &gt; 0,$B199 &amp; "(" &amp; $C199 &amp; ")",$B199)))), "  ", TRIM(IF($S199 = "YES", "(External ID)", "") &amp; " " &amp; IF(SUMPRODUCT(-- ISNUMBER(SEARCH({"Unique","Unique Case Insensitive"}, $R199))) &gt; 0, "(" &amp; $R199 &amp; ")", ""))))</f>
        <v>na</v>
      </c>
      <c r="E199" s="7" t="s">
        <v>195</v>
      </c>
      <c r="F199" s="7" t="s">
        <v>195</v>
      </c>
      <c r="G199" s="7" t="s">
        <v>195</v>
      </c>
      <c r="H199" s="7" t="s">
        <v>195</v>
      </c>
      <c r="I199" s="7" t="s">
        <v>195</v>
      </c>
      <c r="J199" s="7" t="s">
        <v>195</v>
      </c>
      <c r="K199" s="7" t="s">
        <v>195</v>
      </c>
      <c r="L199" s="7" t="s">
        <v>195</v>
      </c>
      <c r="M199" s="7" t="s">
        <v>29</v>
      </c>
      <c r="N199" s="7" t="s">
        <v>29</v>
      </c>
      <c r="O199" s="7" t="s">
        <v>29</v>
      </c>
      <c r="P199" s="7" t="s">
        <v>29</v>
      </c>
      <c r="Q199" s="7" t="s">
        <v>29</v>
      </c>
      <c r="R199" s="7" t="s">
        <v>29</v>
      </c>
      <c r="S199" s="7" t="s">
        <v>29</v>
      </c>
    </row>
    <row r="200" spans="2:19">
      <c r="B200" s="7" t="s">
        <v>195</v>
      </c>
      <c r="C200" s="8" t="s">
        <v>195</v>
      </c>
      <c r="D200" s="6" t="str">
        <f>LRTRIM(CONCATENATE(IF(SUMPRODUCT(-- ISNUMBER(SEARCH({"Auto Number"}, $B200))) &gt; 0, $B200, IF(SUMPRODUCT(-- ISNUMBER(SEARCH({"Lookup","Master-Detail"}, $B200))) &gt; 0,$B200 &amp; "(" &amp; $E200 &amp; ")",IF(SUMPRODUCT(-- ISNUMBER(SEARCH({"Formula","Roll-Up Summary"}, $B200))) &gt; 0,$B200 &amp; " (" &amp; $E200 &amp; ")",IF(SUMPRODUCT(-- ISNUMBER(SEARCH({"Content","Currency","Number","Percent","Text","URL"}, $B200))) &gt; 0,$B200 &amp; "(" &amp; $C200 &amp; ")",$B200)))), "  ", TRIM(IF($S200 = "YES", "(External ID)", "") &amp; " " &amp; IF(SUMPRODUCT(-- ISNUMBER(SEARCH({"Unique","Unique Case Insensitive"}, $R200))) &gt; 0, "(" &amp; $R200 &amp; ")", ""))))</f>
        <v>na</v>
      </c>
      <c r="E200" s="7" t="s">
        <v>195</v>
      </c>
      <c r="F200" s="7" t="s">
        <v>195</v>
      </c>
      <c r="G200" s="7" t="s">
        <v>195</v>
      </c>
      <c r="H200" s="7" t="s">
        <v>195</v>
      </c>
      <c r="I200" s="7" t="s">
        <v>195</v>
      </c>
      <c r="J200" s="7" t="s">
        <v>195</v>
      </c>
      <c r="K200" s="7" t="s">
        <v>195</v>
      </c>
      <c r="L200" s="7" t="s">
        <v>195</v>
      </c>
      <c r="M200" s="7" t="s">
        <v>29</v>
      </c>
      <c r="N200" s="7" t="s">
        <v>29</v>
      </c>
      <c r="O200" s="7" t="s">
        <v>29</v>
      </c>
      <c r="P200" s="7" t="s">
        <v>29</v>
      </c>
      <c r="Q200" s="7" t="s">
        <v>29</v>
      </c>
      <c r="R200" s="7" t="s">
        <v>29</v>
      </c>
      <c r="S200" s="7" t="s">
        <v>29</v>
      </c>
    </row>
  </sheetData>
  <sheetProtection formatCells="0" formatColumns="0" formatRows="0" insertColumns="0" insertRows="0" insertHyperlinks="0" deleteColumns="0" deleteRows="0" sort="0" autoFilter="0" pivotTables="0"/>
  <conditionalFormatting sqref="D2:D18">
    <cfRule type="expression" dxfId="60" priority="3">
      <formula>NOT(_xlfn.ISFORMULA($D2))</formula>
    </cfRule>
  </conditionalFormatting>
  <conditionalFormatting sqref="D19">
    <cfRule type="expression" dxfId="59" priority="2">
      <formula>NOT(_xlfn.ISFORMULA($D19))</formula>
    </cfRule>
  </conditionalFormatting>
  <conditionalFormatting sqref="D20:D200">
    <cfRule type="expression" dxfId="58" priority="1">
      <formula>NOT(_xlfn.ISFORMULA($D20))</formula>
    </cfRule>
  </conditionalFormatting>
  <dataValidations count="1">
    <dataValidation allowBlank="1" showInputMessage="1" showErrorMessage="1" sqref="A2:A18"/>
  </dataValidations>
  <pageMargins left="0.7" right="0.7" top="0.75" bottom="0.75" header="0.3" footer="0.3"/>
  <extLst>
    <ext xmlns:x14="http://schemas.microsoft.com/office/spreadsheetml/2009/9/main" uri="{CCE6A557-97BC-4b89-ADB6-D9C93CAAB3DF}">
      <x14:dataValidations xmlns:xm="http://schemas.microsoft.com/office/excel/2006/main" count="15">
        <x14:dataValidation type="list" allowBlank="1" showInputMessage="1" showErrorMessage="1">
          <x14:formula1>
            <xm:f>OFFSET('Reference Fields'!$K$2,0,0,COUNTA('Reference Fields'!$K:$K)-1)</xm:f>
          </x14:formula1>
          <xm:sqref>R2:R200</xm:sqref>
        </x14:dataValidation>
        <x14:dataValidation type="list" allowBlank="1" showInputMessage="1" showErrorMessage="1">
          <x14:formula1>
            <xm:f>OFFSET('Reference Fields'!$J$2,0,0,COUNTA('Reference Fields'!$J:$J)-1)</xm:f>
          </x14:formula1>
          <xm:sqref>Q2:Q200</xm:sqref>
        </x14:dataValidation>
        <x14:dataValidation type="list" allowBlank="1" showInputMessage="1" showErrorMessage="1">
          <x14:formula1>
            <xm:f>OFFSET('Reference Fields'!$J$2,0,0,COUNTA('Reference Fields'!$J:$J)-1)</xm:f>
          </x14:formula1>
          <xm:sqref>M2:M200</xm:sqref>
        </x14:dataValidation>
        <x14:dataValidation type="list" allowBlank="1" showInputMessage="1" showErrorMessage="1">
          <x14:formula1>
            <xm:f>OFFSET('Reference Fields'!$J$2,0,0,COUNTA('Reference Fields'!$J:$J)-1)</xm:f>
          </x14:formula1>
          <xm:sqref>N2:N200</xm:sqref>
        </x14:dataValidation>
        <x14:dataValidation type="list" allowBlank="1" showInputMessage="1" showErrorMessage="1">
          <x14:formula1>
            <xm:f>OFFSET('Reference Fields'!$J$2,0,0,COUNTA('Reference Fields'!$J:$J)-1)</xm:f>
          </x14:formula1>
          <xm:sqref>O2:O200</xm:sqref>
        </x14:dataValidation>
        <x14:dataValidation type="list" allowBlank="1" showInputMessage="1" showErrorMessage="1">
          <x14:formula1>
            <xm:f>OFFSET('Reference Fields'!$J$2,0,0,COUNTA('Reference Fields'!$J:$J)-1)</xm:f>
          </x14:formula1>
          <xm:sqref>P2:P200</xm:sqref>
        </x14:dataValidation>
        <x14:dataValidation type="list" allowBlank="1" showInputMessage="1" showErrorMessage="1">
          <x14:formula1>
            <xm:f>OFFSET('Reference Fields'!$J$2,0,0,COUNTA('Reference Fields'!$J:$J)-1)</xm:f>
          </x14:formula1>
          <xm:sqref>S2:S200</xm:sqref>
        </x14:dataValidation>
        <x14:dataValidation type="list" allowBlank="1" showInputMessage="1" showErrorMessage="1">
          <x14:formula1>
            <xm:f>OFFSET('Reference Fields'!$B$2,0,0,COUNTA('Reference Fields'!$B:$B)-1)</xm:f>
          </x14:formula1>
          <xm:sqref>B2:B200</xm:sqref>
        </x14:dataValidation>
        <x14:dataValidation type="list" allowBlank="1" showInputMessage="1" showErrorMessage="1">
          <x14:formula1>
            <xm:f>OFFSET('Reference Fields'!$D$2,0,0,COUNTA('Reference Fields'!$D:$D)-1)</xm:f>
          </x14:formula1>
          <xm:sqref>F2:F200</xm:sqref>
        </x14:dataValidation>
        <x14:dataValidation type="list" allowBlank="1" showInputMessage="1" showErrorMessage="1">
          <x14:formula1>
            <xm:f>OFFSET('Reference Fields'!$E$2,0,0,COUNTA('Reference Fields'!$E:$E)-1)</xm:f>
          </x14:formula1>
          <xm:sqref>G2:G200</xm:sqref>
        </x14:dataValidation>
        <x14:dataValidation type="list" allowBlank="1" showInputMessage="1" showErrorMessage="1">
          <x14:formula1>
            <xm:f>OFFSET('Reference Fields'!$F$2,0,0,COUNTA('Reference Fields'!$F:$F)-1)</xm:f>
          </x14:formula1>
          <xm:sqref>H2:H200</xm:sqref>
        </x14:dataValidation>
        <x14:dataValidation type="list" allowBlank="1" showInputMessage="1" showErrorMessage="1">
          <x14:formula1>
            <xm:f>OFFSET('Reference Fields'!$F$2,0,0,COUNTA('Reference Fields'!$F:$F)-1)</xm:f>
          </x14:formula1>
          <xm:sqref>I2:I200</xm:sqref>
        </x14:dataValidation>
        <x14:dataValidation type="list" allowBlank="1" showInputMessage="1" showErrorMessage="1">
          <x14:formula1>
            <xm:f>OFFSET('Reference Fields'!$G$2,0,0,COUNTA('Reference Fields'!$G:$G)-1)</xm:f>
          </x14:formula1>
          <xm:sqref>J2:J200</xm:sqref>
        </x14:dataValidation>
        <x14:dataValidation type="list" allowBlank="1" showInputMessage="1" showErrorMessage="1">
          <x14:formula1>
            <xm:f>OFFSET('Reference Fields'!$H$2,0,0,COUNTA('Reference Fields'!$H:$H)-1)</xm:f>
          </x14:formula1>
          <xm:sqref>K2:K200</xm:sqref>
        </x14:dataValidation>
        <x14:dataValidation type="list" allowBlank="1" showInputMessage="1" showErrorMessage="1">
          <x14:formula1>
            <xm:f>OFFSET('Reference Fields'!$I$2,0,0,COUNTA('Reference Fields'!$I:$I)-1)</xm:f>
          </x14:formula1>
          <xm:sqref>L2:L200</xm:sqref>
        </x14:dataValidation>
      </x14:dataValidations>
    </ext>
  </extLst>
</worksheet>
</file>

<file path=xl/worksheets/sheet21.xml><?xml version="1.0" encoding="utf-8"?>
<worksheet xmlns="http://schemas.openxmlformats.org/spreadsheetml/2006/main" xmlns:r="http://schemas.openxmlformats.org/officeDocument/2006/relationships">
  <sheetPr codeName="Sheet34"/>
  <dimension ref="A1:S200"/>
  <sheetViews>
    <sheetView workbookViewId="0">
      <selection activeCell="A2" sqref="A2"/>
    </sheetView>
  </sheetViews>
  <sheetFormatPr defaultRowHeight="14.5"/>
  <sheetData>
    <row r="1" spans="1:19">
      <c r="A1" s="1" t="s">
        <v>2</v>
      </c>
      <c r="B1" s="1" t="s">
        <v>1198</v>
      </c>
      <c r="C1" s="1" t="s">
        <v>1199</v>
      </c>
      <c r="D1" s="1" t="s">
        <v>0</v>
      </c>
      <c r="E1" s="1" t="s">
        <v>1</v>
      </c>
      <c r="F1" s="1" t="s">
        <v>30</v>
      </c>
      <c r="G1" s="1" t="s">
        <v>31</v>
      </c>
      <c r="H1" s="1" t="s">
        <v>1262</v>
      </c>
      <c r="I1" s="1" t="s">
        <v>49</v>
      </c>
      <c r="J1" s="1" t="s">
        <v>48</v>
      </c>
      <c r="K1" s="1" t="s">
        <v>54</v>
      </c>
      <c r="L1" s="1" t="s">
        <v>55</v>
      </c>
      <c r="M1" s="1" t="s">
        <v>27</v>
      </c>
      <c r="N1" s="1" t="s">
        <v>175</v>
      </c>
      <c r="O1" s="1" t="s">
        <v>193</v>
      </c>
      <c r="P1" s="1" t="s">
        <v>1221</v>
      </c>
      <c r="Q1" s="1" t="s">
        <v>1264</v>
      </c>
      <c r="R1" s="1" t="s">
        <v>1263</v>
      </c>
      <c r="S1" s="1" t="s">
        <v>1265</v>
      </c>
    </row>
    <row r="2" spans="1:19">
      <c r="A2" s="7" t="s">
        <v>1485</v>
      </c>
      <c r="B2" s="7" t="s">
        <v>1204</v>
      </c>
      <c r="C2" s="8" t="s">
        <v>195</v>
      </c>
      <c r="D2" s="5" t="str">
        <f>LRTRIM(CONCATENATE(IF(SUMPRODUCT(-- ISNUMBER(SEARCH({"Auto Number"}, $B2))) &gt; 0, $B2, IF(SUMPRODUCT(-- ISNUMBER(SEARCH({"Lookup","Master-Detail"}, $B2))) &gt; 0,$B2 &amp; "(" &amp; $E2 &amp; ")",IF(SUMPRODUCT(-- ISNUMBER(SEARCH({"Formula","Roll-Up Summary"}, $B2))) &gt; 0,$B2 &amp; " (" &amp; $E2 &amp; ")",IF(SUMPRODUCT(-- ISNUMBER(SEARCH({"Content","Currency","Number","Percent","Text","URL"}, $B2))) &gt; 0,$B2 &amp; "(" &amp; $C2 &amp; ")",$B2)))), "  ", TRIM(IF($S2 = "YES", "(External ID)", "") &amp; " " &amp; IF(SUMPRODUCT(-- ISNUMBER(SEARCH({"Unique","Unique Case Insensitive"}, $R2))) &gt; 0, "(" &amp; $R2 &amp; ")", ""))))</f>
        <v>Checkbox</v>
      </c>
      <c r="E2" s="7" t="s">
        <v>195</v>
      </c>
      <c r="F2" s="7" t="s">
        <v>1487</v>
      </c>
      <c r="G2" s="7" t="s">
        <v>195</v>
      </c>
      <c r="H2" s="7" t="s">
        <v>195</v>
      </c>
      <c r="I2" s="7" t="s">
        <v>195</v>
      </c>
      <c r="J2" s="7" t="s">
        <v>195</v>
      </c>
      <c r="K2" s="7" t="s">
        <v>195</v>
      </c>
      <c r="L2" s="7" t="s">
        <v>195</v>
      </c>
      <c r="M2" s="7" t="s">
        <v>28</v>
      </c>
      <c r="N2" s="7" t="s">
        <v>29</v>
      </c>
      <c r="O2" s="7" t="s">
        <v>29</v>
      </c>
      <c r="P2" s="7" t="s">
        <v>29</v>
      </c>
      <c r="Q2" s="7" t="s">
        <v>29</v>
      </c>
      <c r="R2" s="7" t="s">
        <v>29</v>
      </c>
      <c r="S2" s="7" t="s">
        <v>29</v>
      </c>
    </row>
    <row r="3" spans="1:19">
      <c r="A3" s="7" t="s">
        <v>1486</v>
      </c>
      <c r="B3" s="7" t="s">
        <v>1207</v>
      </c>
      <c r="C3" s="8" t="s">
        <v>195</v>
      </c>
      <c r="D3" s="5" t="str">
        <f>LRTRIM(CONCATENATE(IF(SUMPRODUCT(-- ISNUMBER(SEARCH({"Auto Number"}, $B3))) &gt; 0, $B3, IF(SUMPRODUCT(-- ISNUMBER(SEARCH({"Lookup","Master-Detail"}, $B3))) &gt; 0,$B3 &amp; "(" &amp; $E3 &amp; ")",IF(SUMPRODUCT(-- ISNUMBER(SEARCH({"Formula","Roll-Up Summary"}, $B3))) &gt; 0,$B3 &amp; " (" &amp; $E3 &amp; ")",IF(SUMPRODUCT(-- ISNUMBER(SEARCH({"Content","Currency","Number","Percent","Text","URL"}, $B3))) &gt; 0,$B3 &amp; "(" &amp; $C3 &amp; ")",$B3)))), "  ", TRIM(IF($S3 = "YES", "(External ID)", "") &amp; " " &amp; IF(SUMPRODUCT(-- ISNUMBER(SEARCH({"Unique","Unique Case Insensitive"}, $R3))) &gt; 0, "(" &amp; $R3 &amp; ")", ""))))</f>
        <v>Date/Time</v>
      </c>
      <c r="E3" s="7" t="s">
        <v>195</v>
      </c>
      <c r="F3" s="7" t="s">
        <v>1488</v>
      </c>
      <c r="G3" s="7" t="s">
        <v>195</v>
      </c>
      <c r="H3" s="7" t="s">
        <v>195</v>
      </c>
      <c r="I3" s="7" t="s">
        <v>195</v>
      </c>
      <c r="J3" s="7" t="s">
        <v>195</v>
      </c>
      <c r="K3" s="7" t="s">
        <v>195</v>
      </c>
      <c r="L3" s="7" t="s">
        <v>195</v>
      </c>
      <c r="M3" s="7" t="s">
        <v>29</v>
      </c>
      <c r="N3" s="7" t="s">
        <v>29</v>
      </c>
      <c r="O3" s="7" t="s">
        <v>29</v>
      </c>
      <c r="P3" s="7" t="s">
        <v>29</v>
      </c>
      <c r="Q3" s="7" t="s">
        <v>29</v>
      </c>
      <c r="R3" s="7" t="s">
        <v>29</v>
      </c>
      <c r="S3" s="7" t="s">
        <v>29</v>
      </c>
    </row>
    <row r="4" spans="1:19">
      <c r="A4" s="7" t="s">
        <v>1321</v>
      </c>
      <c r="B4" s="7" t="s">
        <v>1211</v>
      </c>
      <c r="C4" s="8" t="s">
        <v>195</v>
      </c>
      <c r="D4" s="5" t="str">
        <f>LRTRIM(CONCATENATE(IF(SUMPRODUCT(-- ISNUMBER(SEARCH({"Auto Number"}, $B4))) &gt; 0, $B4, IF(SUMPRODUCT(-- ISNUMBER(SEARCH({"Lookup","Master-Detail"}, $B4))) &gt; 0,$B4 &amp; "(" &amp; $E4 &amp; ")",IF(SUMPRODUCT(-- ISNUMBER(SEARCH({"Formula","Roll-Up Summary"}, $B4))) &gt; 0,$B4 &amp; " (" &amp; $E4 &amp; ")",IF(SUMPRODUCT(-- ISNUMBER(SEARCH({"Content","Currency","Number","Percent","Text","URL"}, $B4))) &gt; 0,$B4 &amp; "(" &amp; $C4 &amp; ")",$B4)))), "  ", TRIM(IF($S4 = "YES", "(External ID)", "") &amp; " " &amp; IF(SUMPRODUCT(-- ISNUMBER(SEARCH({"Unique","Unique Case Insensitive"}, $R4))) &gt; 0, "(" &amp; $R4 &amp; ")", ""))))</f>
        <v>Lookup(Lead)</v>
      </c>
      <c r="E4" s="7" t="s">
        <v>1318</v>
      </c>
      <c r="F4" s="7" t="s">
        <v>1318</v>
      </c>
      <c r="G4" s="7" t="s">
        <v>195</v>
      </c>
      <c r="H4" s="7" t="s">
        <v>195</v>
      </c>
      <c r="I4" s="7" t="s">
        <v>195</v>
      </c>
      <c r="J4" s="7" t="s">
        <v>195</v>
      </c>
      <c r="K4" s="7" t="s">
        <v>195</v>
      </c>
      <c r="L4" s="7" t="s">
        <v>195</v>
      </c>
      <c r="M4" s="7" t="s">
        <v>29</v>
      </c>
      <c r="N4" s="7" t="s">
        <v>29</v>
      </c>
      <c r="O4" s="7" t="s">
        <v>29</v>
      </c>
      <c r="P4" s="7" t="s">
        <v>29</v>
      </c>
      <c r="Q4" s="7" t="s">
        <v>29</v>
      </c>
      <c r="R4" s="7" t="s">
        <v>29</v>
      </c>
      <c r="S4" s="7" t="s">
        <v>29</v>
      </c>
    </row>
    <row r="5" spans="1:19">
      <c r="B5" s="7" t="s">
        <v>195</v>
      </c>
      <c r="C5" s="8" t="s">
        <v>195</v>
      </c>
      <c r="D5" s="5" t="str">
        <f>LRTRIM(CONCATENATE(IF(SUMPRODUCT(-- ISNUMBER(SEARCH({"Auto Number"}, $B5))) &gt; 0, $B5, IF(SUMPRODUCT(-- ISNUMBER(SEARCH({"Lookup","Master-Detail"}, $B5))) &gt; 0,$B5 &amp; "(" &amp; $E5 &amp; ")",IF(SUMPRODUCT(-- ISNUMBER(SEARCH({"Formula","Roll-Up Summary"}, $B5))) &gt; 0,$B5 &amp; " (" &amp; $E5 &amp; ")",IF(SUMPRODUCT(-- ISNUMBER(SEARCH({"Content","Currency","Number","Percent","Text","URL"}, $B5))) &gt; 0,$B5 &amp; "(" &amp; $C5 &amp; ")",$B5)))), "  ", TRIM(IF($S5 = "YES", "(External ID)", "") &amp; " " &amp; IF(SUMPRODUCT(-- ISNUMBER(SEARCH({"Unique","Unique Case Insensitive"}, $R5))) &gt; 0, "(" &amp; $R5 &amp; ")", ""))))</f>
        <v>na</v>
      </c>
      <c r="E5" s="7" t="s">
        <v>195</v>
      </c>
      <c r="F5" s="7" t="s">
        <v>195</v>
      </c>
      <c r="G5" s="7" t="s">
        <v>195</v>
      </c>
      <c r="H5" s="7" t="s">
        <v>195</v>
      </c>
      <c r="I5" s="7" t="s">
        <v>195</v>
      </c>
      <c r="J5" s="7" t="s">
        <v>195</v>
      </c>
      <c r="K5" s="7" t="s">
        <v>195</v>
      </c>
      <c r="L5" s="7" t="s">
        <v>195</v>
      </c>
      <c r="M5" s="7" t="s">
        <v>29</v>
      </c>
      <c r="N5" s="7" t="s">
        <v>29</v>
      </c>
      <c r="O5" s="7" t="s">
        <v>29</v>
      </c>
      <c r="P5" s="7" t="s">
        <v>29</v>
      </c>
      <c r="Q5" s="7" t="s">
        <v>29</v>
      </c>
      <c r="R5" s="7" t="s">
        <v>29</v>
      </c>
      <c r="S5" s="7" t="s">
        <v>29</v>
      </c>
    </row>
    <row r="6" spans="1:19">
      <c r="B6" s="7" t="s">
        <v>195</v>
      </c>
      <c r="C6" s="8" t="s">
        <v>195</v>
      </c>
      <c r="D6" s="5" t="str">
        <f>LRTRIM(CONCATENATE(IF(SUMPRODUCT(-- ISNUMBER(SEARCH({"Auto Number"}, $B6))) &gt; 0, $B6, IF(SUMPRODUCT(-- ISNUMBER(SEARCH({"Lookup","Master-Detail"}, $B6))) &gt; 0,$B6 &amp; "(" &amp; $E6 &amp; ")",IF(SUMPRODUCT(-- ISNUMBER(SEARCH({"Formula","Roll-Up Summary"}, $B6))) &gt; 0,$B6 &amp; " (" &amp; $E6 &amp; ")",IF(SUMPRODUCT(-- ISNUMBER(SEARCH({"Content","Currency","Number","Percent","Text","URL"}, $B6))) &gt; 0,$B6 &amp; "(" &amp; $C6 &amp; ")",$B6)))), "  ", TRIM(IF($S6 = "YES", "(External ID)", "") &amp; " " &amp; IF(SUMPRODUCT(-- ISNUMBER(SEARCH({"Unique","Unique Case Insensitive"}, $R6))) &gt; 0, "(" &amp; $R6 &amp; ")", ""))))</f>
        <v>na</v>
      </c>
      <c r="E6" s="7" t="s">
        <v>195</v>
      </c>
      <c r="F6" s="7" t="s">
        <v>195</v>
      </c>
      <c r="G6" s="7" t="s">
        <v>195</v>
      </c>
      <c r="H6" s="7" t="s">
        <v>195</v>
      </c>
      <c r="I6" s="7" t="s">
        <v>195</v>
      </c>
      <c r="J6" s="7" t="s">
        <v>195</v>
      </c>
      <c r="K6" s="7" t="s">
        <v>195</v>
      </c>
      <c r="L6" s="7" t="s">
        <v>195</v>
      </c>
      <c r="M6" s="7" t="s">
        <v>29</v>
      </c>
      <c r="N6" s="7" t="s">
        <v>29</v>
      </c>
      <c r="O6" s="7" t="s">
        <v>29</v>
      </c>
      <c r="P6" s="7" t="s">
        <v>29</v>
      </c>
      <c r="Q6" s="7" t="s">
        <v>29</v>
      </c>
      <c r="R6" s="7" t="s">
        <v>29</v>
      </c>
      <c r="S6" s="7" t="s">
        <v>29</v>
      </c>
    </row>
    <row r="7" spans="1:19">
      <c r="B7" s="7" t="s">
        <v>195</v>
      </c>
      <c r="C7" s="8" t="s">
        <v>195</v>
      </c>
      <c r="D7" s="5" t="str">
        <f>LRTRIM(CONCATENATE(IF(SUMPRODUCT(-- ISNUMBER(SEARCH({"Auto Number"}, $B7))) &gt; 0, $B7, IF(SUMPRODUCT(-- ISNUMBER(SEARCH({"Lookup","Master-Detail"}, $B7))) &gt; 0,$B7 &amp; "(" &amp; $E7 &amp; ")",IF(SUMPRODUCT(-- ISNUMBER(SEARCH({"Formula","Roll-Up Summary"}, $B7))) &gt; 0,$B7 &amp; " (" &amp; $E7 &amp; ")",IF(SUMPRODUCT(-- ISNUMBER(SEARCH({"Content","Currency","Number","Percent","Text","URL"}, $B7))) &gt; 0,$B7 &amp; "(" &amp; $C7 &amp; ")",$B7)))), "  ", TRIM(IF($S7 = "YES", "(External ID)", "") &amp; " " &amp; IF(SUMPRODUCT(-- ISNUMBER(SEARCH({"Unique","Unique Case Insensitive"}, $R7))) &gt; 0, "(" &amp; $R7 &amp; ")", ""))))</f>
        <v>na</v>
      </c>
      <c r="E7" s="7" t="s">
        <v>195</v>
      </c>
      <c r="F7" s="7" t="s">
        <v>195</v>
      </c>
      <c r="G7" s="7" t="s">
        <v>195</v>
      </c>
      <c r="H7" s="7" t="s">
        <v>195</v>
      </c>
      <c r="I7" s="7" t="s">
        <v>195</v>
      </c>
      <c r="J7" s="7" t="s">
        <v>195</v>
      </c>
      <c r="K7" s="7" t="s">
        <v>195</v>
      </c>
      <c r="L7" s="7" t="s">
        <v>195</v>
      </c>
      <c r="M7" s="7" t="s">
        <v>29</v>
      </c>
      <c r="N7" s="7" t="s">
        <v>29</v>
      </c>
      <c r="O7" s="7" t="s">
        <v>29</v>
      </c>
      <c r="P7" s="7" t="s">
        <v>29</v>
      </c>
      <c r="Q7" s="7" t="s">
        <v>29</v>
      </c>
      <c r="R7" s="7" t="s">
        <v>29</v>
      </c>
      <c r="S7" s="7" t="s">
        <v>29</v>
      </c>
    </row>
    <row r="8" spans="1:19">
      <c r="B8" s="7" t="s">
        <v>195</v>
      </c>
      <c r="C8" s="8" t="s">
        <v>195</v>
      </c>
      <c r="D8" s="5" t="str">
        <f>LRTRIM(CONCATENATE(IF(SUMPRODUCT(-- ISNUMBER(SEARCH({"Auto Number"}, $B8))) &gt; 0, $B8, IF(SUMPRODUCT(-- ISNUMBER(SEARCH({"Lookup","Master-Detail"}, $B8))) &gt; 0,$B8 &amp; "(" &amp; $E8 &amp; ")",IF(SUMPRODUCT(-- ISNUMBER(SEARCH({"Formula","Roll-Up Summary"}, $B8))) &gt; 0,$B8 &amp; " (" &amp; $E8 &amp; ")",IF(SUMPRODUCT(-- ISNUMBER(SEARCH({"Content","Currency","Number","Percent","Text","URL"}, $B8))) &gt; 0,$B8 &amp; "(" &amp; $C8 &amp; ")",$B8)))), "  ", TRIM(IF($S8 = "YES", "(External ID)", "") &amp; " " &amp; IF(SUMPRODUCT(-- ISNUMBER(SEARCH({"Unique","Unique Case Insensitive"}, $R8))) &gt; 0, "(" &amp; $R8 &amp; ")", ""))))</f>
        <v>na</v>
      </c>
      <c r="E8" s="7" t="s">
        <v>195</v>
      </c>
      <c r="F8" s="7" t="s">
        <v>195</v>
      </c>
      <c r="G8" s="7" t="s">
        <v>195</v>
      </c>
      <c r="H8" s="7" t="s">
        <v>195</v>
      </c>
      <c r="I8" s="7" t="s">
        <v>195</v>
      </c>
      <c r="J8" s="7" t="s">
        <v>195</v>
      </c>
      <c r="K8" s="7" t="s">
        <v>195</v>
      </c>
      <c r="L8" s="7" t="s">
        <v>195</v>
      </c>
      <c r="M8" s="7" t="s">
        <v>29</v>
      </c>
      <c r="N8" s="7" t="s">
        <v>29</v>
      </c>
      <c r="O8" s="7" t="s">
        <v>29</v>
      </c>
      <c r="P8" s="7" t="s">
        <v>29</v>
      </c>
      <c r="Q8" s="7" t="s">
        <v>29</v>
      </c>
      <c r="R8" s="7" t="s">
        <v>29</v>
      </c>
      <c r="S8" s="7" t="s">
        <v>29</v>
      </c>
    </row>
    <row r="9" spans="1:19">
      <c r="B9" s="7" t="s">
        <v>195</v>
      </c>
      <c r="C9" s="8" t="s">
        <v>195</v>
      </c>
      <c r="D9" s="5" t="str">
        <f>LRTRIM(CONCATENATE(IF(SUMPRODUCT(-- ISNUMBER(SEARCH({"Auto Number"}, $B9))) &gt; 0, $B9, IF(SUMPRODUCT(-- ISNUMBER(SEARCH({"Lookup","Master-Detail"}, $B9))) &gt; 0,$B9 &amp; "(" &amp; $E9 &amp; ")",IF(SUMPRODUCT(-- ISNUMBER(SEARCH({"Formula","Roll-Up Summary"}, $B9))) &gt; 0,$B9 &amp; " (" &amp; $E9 &amp; ")",IF(SUMPRODUCT(-- ISNUMBER(SEARCH({"Content","Currency","Number","Percent","Text","URL"}, $B9))) &gt; 0,$B9 &amp; "(" &amp; $C9 &amp; ")",$B9)))), "  ", TRIM(IF($S9 = "YES", "(External ID)", "") &amp; " " &amp; IF(SUMPRODUCT(-- ISNUMBER(SEARCH({"Unique","Unique Case Insensitive"}, $R9))) &gt; 0, "(" &amp; $R9 &amp; ")", ""))))</f>
        <v>na</v>
      </c>
      <c r="E9" s="7" t="s">
        <v>195</v>
      </c>
      <c r="F9" s="7" t="s">
        <v>195</v>
      </c>
      <c r="G9" s="7" t="s">
        <v>195</v>
      </c>
      <c r="H9" s="7" t="s">
        <v>195</v>
      </c>
      <c r="I9" s="7" t="s">
        <v>195</v>
      </c>
      <c r="J9" s="7" t="s">
        <v>195</v>
      </c>
      <c r="K9" s="7" t="s">
        <v>195</v>
      </c>
      <c r="L9" s="7" t="s">
        <v>195</v>
      </c>
      <c r="M9" s="7" t="s">
        <v>29</v>
      </c>
      <c r="N9" s="7" t="s">
        <v>29</v>
      </c>
      <c r="O9" s="7" t="s">
        <v>29</v>
      </c>
      <c r="P9" s="7" t="s">
        <v>29</v>
      </c>
      <c r="Q9" s="7" t="s">
        <v>29</v>
      </c>
      <c r="R9" s="7" t="s">
        <v>29</v>
      </c>
      <c r="S9" s="7" t="s">
        <v>29</v>
      </c>
    </row>
    <row r="10" spans="1:19">
      <c r="B10" s="7" t="s">
        <v>195</v>
      </c>
      <c r="C10" s="8" t="s">
        <v>195</v>
      </c>
      <c r="D10" s="5" t="str">
        <f>LRTRIM(CONCATENATE(IF(SUMPRODUCT(-- ISNUMBER(SEARCH({"Auto Number"}, $B10))) &gt; 0, $B10, IF(SUMPRODUCT(-- ISNUMBER(SEARCH({"Lookup","Master-Detail"}, $B10))) &gt; 0,$B10 &amp; "(" &amp; $E10 &amp; ")",IF(SUMPRODUCT(-- ISNUMBER(SEARCH({"Formula","Roll-Up Summary"}, $B10))) &gt; 0,$B10 &amp; " (" &amp; $E10 &amp; ")",IF(SUMPRODUCT(-- ISNUMBER(SEARCH({"Content","Currency","Number","Percent","Text","URL"}, $B10))) &gt; 0,$B10 &amp; "(" &amp; $C10 &amp; ")",$B10)))), "  ", TRIM(IF($S10 = "YES", "(External ID)", "") &amp; " " &amp; IF(SUMPRODUCT(-- ISNUMBER(SEARCH({"Unique","Unique Case Insensitive"}, $R10))) &gt; 0, "(" &amp; $R10 &amp; ")", ""))))</f>
        <v>na</v>
      </c>
      <c r="E10" s="7" t="s">
        <v>195</v>
      </c>
      <c r="F10" s="7" t="s">
        <v>195</v>
      </c>
      <c r="G10" s="7" t="s">
        <v>195</v>
      </c>
      <c r="H10" s="7" t="s">
        <v>195</v>
      </c>
      <c r="I10" s="7" t="s">
        <v>195</v>
      </c>
      <c r="J10" s="7" t="s">
        <v>195</v>
      </c>
      <c r="K10" s="7" t="s">
        <v>195</v>
      </c>
      <c r="L10" s="7" t="s">
        <v>195</v>
      </c>
      <c r="M10" s="7" t="s">
        <v>29</v>
      </c>
      <c r="N10" s="7" t="s">
        <v>29</v>
      </c>
      <c r="O10" s="7" t="s">
        <v>29</v>
      </c>
      <c r="P10" s="7" t="s">
        <v>29</v>
      </c>
      <c r="Q10" s="7" t="s">
        <v>29</v>
      </c>
      <c r="R10" s="7" t="s">
        <v>29</v>
      </c>
      <c r="S10" s="7" t="s">
        <v>29</v>
      </c>
    </row>
    <row r="11" spans="1:19">
      <c r="B11" s="7" t="s">
        <v>195</v>
      </c>
      <c r="C11" s="8" t="s">
        <v>195</v>
      </c>
      <c r="D11" s="5" t="str">
        <f>LRTRIM(CONCATENATE(IF(SUMPRODUCT(-- ISNUMBER(SEARCH({"Auto Number"}, $B11))) &gt; 0, $B11, IF(SUMPRODUCT(-- ISNUMBER(SEARCH({"Lookup","Master-Detail"}, $B11))) &gt; 0,$B11 &amp; "(" &amp; $E11 &amp; ")",IF(SUMPRODUCT(-- ISNUMBER(SEARCH({"Formula","Roll-Up Summary"}, $B11))) &gt; 0,$B11 &amp; " (" &amp; $E11 &amp; ")",IF(SUMPRODUCT(-- ISNUMBER(SEARCH({"Content","Currency","Number","Percent","Text","URL"}, $B11))) &gt; 0,$B11 &amp; "(" &amp; $C11 &amp; ")",$B11)))), "  ", TRIM(IF($S11 = "YES", "(External ID)", "") &amp; " " &amp; IF(SUMPRODUCT(-- ISNUMBER(SEARCH({"Unique","Unique Case Insensitive"}, $R11))) &gt; 0, "(" &amp; $R11 &amp; ")", ""))))</f>
        <v>na</v>
      </c>
      <c r="E11" s="7" t="s">
        <v>195</v>
      </c>
      <c r="F11" s="7" t="s">
        <v>195</v>
      </c>
      <c r="G11" s="7" t="s">
        <v>195</v>
      </c>
      <c r="H11" s="7" t="s">
        <v>195</v>
      </c>
      <c r="I11" s="7" t="s">
        <v>195</v>
      </c>
      <c r="J11" s="7" t="s">
        <v>195</v>
      </c>
      <c r="K11" s="7" t="s">
        <v>195</v>
      </c>
      <c r="L11" s="7" t="s">
        <v>195</v>
      </c>
      <c r="M11" s="7" t="s">
        <v>29</v>
      </c>
      <c r="N11" s="7" t="s">
        <v>29</v>
      </c>
      <c r="O11" s="7" t="s">
        <v>29</v>
      </c>
      <c r="P11" s="7" t="s">
        <v>29</v>
      </c>
      <c r="Q11" s="7" t="s">
        <v>29</v>
      </c>
      <c r="R11" s="7" t="s">
        <v>29</v>
      </c>
      <c r="S11" s="7" t="s">
        <v>29</v>
      </c>
    </row>
    <row r="12" spans="1:19">
      <c r="B12" s="7" t="s">
        <v>195</v>
      </c>
      <c r="C12" s="8" t="s">
        <v>195</v>
      </c>
      <c r="D12" s="5" t="str">
        <f>LRTRIM(CONCATENATE(IF(SUMPRODUCT(-- ISNUMBER(SEARCH({"Auto Number"}, $B12))) &gt; 0, $B12, IF(SUMPRODUCT(-- ISNUMBER(SEARCH({"Lookup","Master-Detail"}, $B12))) &gt; 0,$B12 &amp; "(" &amp; $E12 &amp; ")",IF(SUMPRODUCT(-- ISNUMBER(SEARCH({"Formula","Roll-Up Summary"}, $B12))) &gt; 0,$B12 &amp; " (" &amp; $E12 &amp; ")",IF(SUMPRODUCT(-- ISNUMBER(SEARCH({"Content","Currency","Number","Percent","Text","URL"}, $B12))) &gt; 0,$B12 &amp; "(" &amp; $C12 &amp; ")",$B12)))), "  ", TRIM(IF($S12 = "YES", "(External ID)", "") &amp; " " &amp; IF(SUMPRODUCT(-- ISNUMBER(SEARCH({"Unique","Unique Case Insensitive"}, $R12))) &gt; 0, "(" &amp; $R12 &amp; ")", ""))))</f>
        <v>na</v>
      </c>
      <c r="E12" s="7" t="s">
        <v>195</v>
      </c>
      <c r="F12" s="7" t="s">
        <v>195</v>
      </c>
      <c r="G12" s="7" t="s">
        <v>195</v>
      </c>
      <c r="H12" s="7" t="s">
        <v>195</v>
      </c>
      <c r="I12" s="7" t="s">
        <v>195</v>
      </c>
      <c r="J12" s="7" t="s">
        <v>195</v>
      </c>
      <c r="K12" s="7" t="s">
        <v>195</v>
      </c>
      <c r="L12" s="7" t="s">
        <v>195</v>
      </c>
      <c r="M12" s="7" t="s">
        <v>29</v>
      </c>
      <c r="N12" s="7" t="s">
        <v>29</v>
      </c>
      <c r="O12" s="7" t="s">
        <v>29</v>
      </c>
      <c r="P12" s="7" t="s">
        <v>29</v>
      </c>
      <c r="Q12" s="7" t="s">
        <v>29</v>
      </c>
      <c r="R12" s="7" t="s">
        <v>29</v>
      </c>
      <c r="S12" s="7" t="s">
        <v>29</v>
      </c>
    </row>
    <row r="13" spans="1:19">
      <c r="B13" s="7" t="s">
        <v>195</v>
      </c>
      <c r="C13" s="8" t="s">
        <v>195</v>
      </c>
      <c r="D13" s="5" t="str">
        <f>LRTRIM(CONCATENATE(IF(SUMPRODUCT(-- ISNUMBER(SEARCH({"Auto Number"}, $B13))) &gt; 0, $B13, IF(SUMPRODUCT(-- ISNUMBER(SEARCH({"Lookup","Master-Detail"}, $B13))) &gt; 0,$B13 &amp; "(" &amp; $E13 &amp; ")",IF(SUMPRODUCT(-- ISNUMBER(SEARCH({"Formula","Roll-Up Summary"}, $B13))) &gt; 0,$B13 &amp; " (" &amp; $E13 &amp; ")",IF(SUMPRODUCT(-- ISNUMBER(SEARCH({"Content","Currency","Number","Percent","Text","URL"}, $B13))) &gt; 0,$B13 &amp; "(" &amp; $C13 &amp; ")",$B13)))), "  ", TRIM(IF($S13 = "YES", "(External ID)", "") &amp; " " &amp; IF(SUMPRODUCT(-- ISNUMBER(SEARCH({"Unique","Unique Case Insensitive"}, $R13))) &gt; 0, "(" &amp; $R13 &amp; ")", ""))))</f>
        <v>na</v>
      </c>
      <c r="E13" s="7" t="s">
        <v>195</v>
      </c>
      <c r="F13" s="7" t="s">
        <v>195</v>
      </c>
      <c r="G13" s="7" t="s">
        <v>195</v>
      </c>
      <c r="H13" s="7" t="s">
        <v>195</v>
      </c>
      <c r="I13" s="7" t="s">
        <v>195</v>
      </c>
      <c r="J13" s="7" t="s">
        <v>195</v>
      </c>
      <c r="K13" s="7" t="s">
        <v>195</v>
      </c>
      <c r="L13" s="7" t="s">
        <v>195</v>
      </c>
      <c r="M13" s="7" t="s">
        <v>29</v>
      </c>
      <c r="N13" s="7" t="s">
        <v>29</v>
      </c>
      <c r="O13" s="7" t="s">
        <v>29</v>
      </c>
      <c r="P13" s="7" t="s">
        <v>29</v>
      </c>
      <c r="Q13" s="7" t="s">
        <v>29</v>
      </c>
      <c r="R13" s="7" t="s">
        <v>29</v>
      </c>
      <c r="S13" s="7" t="s">
        <v>29</v>
      </c>
    </row>
    <row r="14" spans="1:19">
      <c r="B14" s="7" t="s">
        <v>195</v>
      </c>
      <c r="C14" s="8" t="s">
        <v>195</v>
      </c>
      <c r="D14" s="5" t="str">
        <f>LRTRIM(CONCATENATE(IF(SUMPRODUCT(-- ISNUMBER(SEARCH({"Auto Number"}, $B14))) &gt; 0, $B14, IF(SUMPRODUCT(-- ISNUMBER(SEARCH({"Lookup","Master-Detail"}, $B14))) &gt; 0,$B14 &amp; "(" &amp; $E14 &amp; ")",IF(SUMPRODUCT(-- ISNUMBER(SEARCH({"Formula","Roll-Up Summary"}, $B14))) &gt; 0,$B14 &amp; " (" &amp; $E14 &amp; ")",IF(SUMPRODUCT(-- ISNUMBER(SEARCH({"Content","Currency","Number","Percent","Text","URL"}, $B14))) &gt; 0,$B14 &amp; "(" &amp; $C14 &amp; ")",$B14)))), "  ", TRIM(IF($S14 = "YES", "(External ID)", "") &amp; " " &amp; IF(SUMPRODUCT(-- ISNUMBER(SEARCH({"Unique","Unique Case Insensitive"}, $R14))) &gt; 0, "(" &amp; $R14 &amp; ")", ""))))</f>
        <v>na</v>
      </c>
      <c r="E14" s="7" t="s">
        <v>195</v>
      </c>
      <c r="F14" s="7" t="s">
        <v>195</v>
      </c>
      <c r="G14" s="7" t="s">
        <v>195</v>
      </c>
      <c r="H14" s="7" t="s">
        <v>195</v>
      </c>
      <c r="I14" s="7" t="s">
        <v>195</v>
      </c>
      <c r="J14" s="7" t="s">
        <v>195</v>
      </c>
      <c r="K14" s="7" t="s">
        <v>195</v>
      </c>
      <c r="L14" s="7" t="s">
        <v>195</v>
      </c>
      <c r="M14" s="7" t="s">
        <v>29</v>
      </c>
      <c r="N14" s="7" t="s">
        <v>29</v>
      </c>
      <c r="O14" s="7" t="s">
        <v>29</v>
      </c>
      <c r="P14" s="7" t="s">
        <v>29</v>
      </c>
      <c r="Q14" s="7" t="s">
        <v>29</v>
      </c>
      <c r="R14" s="7" t="s">
        <v>29</v>
      </c>
      <c r="S14" s="7" t="s">
        <v>29</v>
      </c>
    </row>
    <row r="15" spans="1:19">
      <c r="B15" s="7" t="s">
        <v>195</v>
      </c>
      <c r="C15" s="8" t="s">
        <v>195</v>
      </c>
      <c r="D15" s="5" t="str">
        <f>LRTRIM(CONCATENATE(IF(SUMPRODUCT(-- ISNUMBER(SEARCH({"Auto Number"}, $B15))) &gt; 0, $B15, IF(SUMPRODUCT(-- ISNUMBER(SEARCH({"Lookup","Master-Detail"}, $B15))) &gt; 0,$B15 &amp; "(" &amp; $E15 &amp; ")",IF(SUMPRODUCT(-- ISNUMBER(SEARCH({"Formula","Roll-Up Summary"}, $B15))) &gt; 0,$B15 &amp; " (" &amp; $E15 &amp; ")",IF(SUMPRODUCT(-- ISNUMBER(SEARCH({"Content","Currency","Number","Percent","Text","URL"}, $B15))) &gt; 0,$B15 &amp; "(" &amp; $C15 &amp; ")",$B15)))), "  ", TRIM(IF($S15 = "YES", "(External ID)", "") &amp; " " &amp; IF(SUMPRODUCT(-- ISNUMBER(SEARCH({"Unique","Unique Case Insensitive"}, $R15))) &gt; 0, "(" &amp; $R15 &amp; ")", ""))))</f>
        <v>na</v>
      </c>
      <c r="E15" s="7" t="s">
        <v>195</v>
      </c>
      <c r="F15" s="7" t="s">
        <v>195</v>
      </c>
      <c r="G15" s="7" t="s">
        <v>195</v>
      </c>
      <c r="H15" s="7" t="s">
        <v>195</v>
      </c>
      <c r="I15" s="7" t="s">
        <v>195</v>
      </c>
      <c r="J15" s="7" t="s">
        <v>195</v>
      </c>
      <c r="K15" s="7" t="s">
        <v>195</v>
      </c>
      <c r="L15" s="7" t="s">
        <v>195</v>
      </c>
      <c r="M15" s="7" t="s">
        <v>29</v>
      </c>
      <c r="N15" s="7" t="s">
        <v>29</v>
      </c>
      <c r="O15" s="7" t="s">
        <v>29</v>
      </c>
      <c r="P15" s="7" t="s">
        <v>29</v>
      </c>
      <c r="Q15" s="7" t="s">
        <v>29</v>
      </c>
      <c r="R15" s="7" t="s">
        <v>29</v>
      </c>
      <c r="S15" s="7" t="s">
        <v>29</v>
      </c>
    </row>
    <row r="16" spans="1:19">
      <c r="B16" s="7" t="s">
        <v>195</v>
      </c>
      <c r="C16" s="8" t="s">
        <v>195</v>
      </c>
      <c r="D16" s="5" t="str">
        <f>LRTRIM(CONCATENATE(IF(SUMPRODUCT(-- ISNUMBER(SEARCH({"Auto Number"}, $B16))) &gt; 0, $B16, IF(SUMPRODUCT(-- ISNUMBER(SEARCH({"Lookup","Master-Detail"}, $B16))) &gt; 0,$B16 &amp; "(" &amp; $E16 &amp; ")",IF(SUMPRODUCT(-- ISNUMBER(SEARCH({"Formula","Roll-Up Summary"}, $B16))) &gt; 0,$B16 &amp; " (" &amp; $E16 &amp; ")",IF(SUMPRODUCT(-- ISNUMBER(SEARCH({"Content","Currency","Number","Percent","Text","URL"}, $B16))) &gt; 0,$B16 &amp; "(" &amp; $C16 &amp; ")",$B16)))), "  ", TRIM(IF($S16 = "YES", "(External ID)", "") &amp; " " &amp; IF(SUMPRODUCT(-- ISNUMBER(SEARCH({"Unique","Unique Case Insensitive"}, $R16))) &gt; 0, "(" &amp; $R16 &amp; ")", ""))))</f>
        <v>na</v>
      </c>
      <c r="E16" s="7" t="s">
        <v>195</v>
      </c>
      <c r="F16" s="7" t="s">
        <v>195</v>
      </c>
      <c r="G16" s="7" t="s">
        <v>195</v>
      </c>
      <c r="H16" s="7" t="s">
        <v>195</v>
      </c>
      <c r="I16" s="7" t="s">
        <v>195</v>
      </c>
      <c r="J16" s="7" t="s">
        <v>195</v>
      </c>
      <c r="K16" s="7" t="s">
        <v>195</v>
      </c>
      <c r="L16" s="7" t="s">
        <v>195</v>
      </c>
      <c r="M16" s="7" t="s">
        <v>29</v>
      </c>
      <c r="N16" s="7" t="s">
        <v>29</v>
      </c>
      <c r="O16" s="7" t="s">
        <v>29</v>
      </c>
      <c r="P16" s="7" t="s">
        <v>29</v>
      </c>
      <c r="Q16" s="7" t="s">
        <v>29</v>
      </c>
      <c r="R16" s="7" t="s">
        <v>29</v>
      </c>
      <c r="S16" s="7" t="s">
        <v>29</v>
      </c>
    </row>
    <row r="17" spans="2:19">
      <c r="B17" s="7" t="s">
        <v>195</v>
      </c>
      <c r="C17" s="8" t="s">
        <v>195</v>
      </c>
      <c r="D17" s="5" t="str">
        <f>LRTRIM(CONCATENATE(IF(SUMPRODUCT(-- ISNUMBER(SEARCH({"Auto Number"}, $B17))) &gt; 0, $B17, IF(SUMPRODUCT(-- ISNUMBER(SEARCH({"Lookup","Master-Detail"}, $B17))) &gt; 0,$B17 &amp; "(" &amp; $E17 &amp; ")",IF(SUMPRODUCT(-- ISNUMBER(SEARCH({"Formula","Roll-Up Summary"}, $B17))) &gt; 0,$B17 &amp; " (" &amp; $E17 &amp; ")",IF(SUMPRODUCT(-- ISNUMBER(SEARCH({"Content","Currency","Number","Percent","Text","URL"}, $B17))) &gt; 0,$B17 &amp; "(" &amp; $C17 &amp; ")",$B17)))), "  ", TRIM(IF($S17 = "YES", "(External ID)", "") &amp; " " &amp; IF(SUMPRODUCT(-- ISNUMBER(SEARCH({"Unique","Unique Case Insensitive"}, $R17))) &gt; 0, "(" &amp; $R17 &amp; ")", ""))))</f>
        <v>na</v>
      </c>
      <c r="E17" s="7" t="s">
        <v>195</v>
      </c>
      <c r="F17" s="7" t="s">
        <v>195</v>
      </c>
      <c r="G17" s="7" t="s">
        <v>195</v>
      </c>
      <c r="H17" s="7" t="s">
        <v>195</v>
      </c>
      <c r="I17" s="7" t="s">
        <v>195</v>
      </c>
      <c r="J17" s="7" t="s">
        <v>195</v>
      </c>
      <c r="K17" s="7" t="s">
        <v>195</v>
      </c>
      <c r="L17" s="7" t="s">
        <v>195</v>
      </c>
      <c r="M17" s="7" t="s">
        <v>29</v>
      </c>
      <c r="N17" s="7" t="s">
        <v>29</v>
      </c>
      <c r="O17" s="7" t="s">
        <v>29</v>
      </c>
      <c r="P17" s="7" t="s">
        <v>29</v>
      </c>
      <c r="Q17" s="7" t="s">
        <v>29</v>
      </c>
      <c r="R17" s="7" t="s">
        <v>29</v>
      </c>
      <c r="S17" s="7" t="s">
        <v>29</v>
      </c>
    </row>
    <row r="18" spans="2:19">
      <c r="B18" s="7" t="s">
        <v>195</v>
      </c>
      <c r="C18" s="8" t="s">
        <v>195</v>
      </c>
      <c r="D18" s="5" t="str">
        <f>LRTRIM(CONCATENATE(IF(SUMPRODUCT(-- ISNUMBER(SEARCH({"Auto Number"}, $B18))) &gt; 0, $B18, IF(SUMPRODUCT(-- ISNUMBER(SEARCH({"Lookup","Master-Detail"}, $B18))) &gt; 0,$B18 &amp; "(" &amp; $E18 &amp; ")",IF(SUMPRODUCT(-- ISNUMBER(SEARCH({"Formula","Roll-Up Summary"}, $B18))) &gt; 0,$B18 &amp; " (" &amp; $E18 &amp; ")",IF(SUMPRODUCT(-- ISNUMBER(SEARCH({"Content","Currency","Number","Percent","Text","URL"}, $B18))) &gt; 0,$B18 &amp; "(" &amp; $C18 &amp; ")",$B18)))), "  ", TRIM(IF($S18 = "YES", "(External ID)", "") &amp; " " &amp; IF(SUMPRODUCT(-- ISNUMBER(SEARCH({"Unique","Unique Case Insensitive"}, $R18))) &gt; 0, "(" &amp; $R18 &amp; ")", ""))))</f>
        <v>na</v>
      </c>
      <c r="E18" s="7" t="s">
        <v>195</v>
      </c>
      <c r="F18" s="7" t="s">
        <v>195</v>
      </c>
      <c r="G18" s="7" t="s">
        <v>195</v>
      </c>
      <c r="H18" s="7" t="s">
        <v>195</v>
      </c>
      <c r="I18" s="7" t="s">
        <v>195</v>
      </c>
      <c r="J18" s="7" t="s">
        <v>195</v>
      </c>
      <c r="K18" s="7" t="s">
        <v>195</v>
      </c>
      <c r="L18" s="7" t="s">
        <v>195</v>
      </c>
      <c r="M18" s="7" t="s">
        <v>29</v>
      </c>
      <c r="N18" s="7" t="s">
        <v>29</v>
      </c>
      <c r="O18" s="7" t="s">
        <v>29</v>
      </c>
      <c r="P18" s="7" t="s">
        <v>29</v>
      </c>
      <c r="Q18" s="7" t="s">
        <v>29</v>
      </c>
      <c r="R18" s="7" t="s">
        <v>29</v>
      </c>
      <c r="S18" s="7" t="s">
        <v>29</v>
      </c>
    </row>
    <row r="19" spans="2:19">
      <c r="B19" s="7" t="s">
        <v>195</v>
      </c>
      <c r="C19" s="8" t="s">
        <v>195</v>
      </c>
      <c r="D19" s="5" t="str">
        <f>LRTRIM(CONCATENATE(IF(SUMPRODUCT(-- ISNUMBER(SEARCH({"Auto Number"}, $B19))) &gt; 0, $B19, IF(SUMPRODUCT(-- ISNUMBER(SEARCH({"Lookup","Master-Detail"}, $B19))) &gt; 0,$B19 &amp; "(" &amp; $E19 &amp; ")",IF(SUMPRODUCT(-- ISNUMBER(SEARCH({"Formula","Roll-Up Summary"}, $B19))) &gt; 0,$B19 &amp; " (" &amp; $E19 &amp; ")",IF(SUMPRODUCT(-- ISNUMBER(SEARCH({"Content","Currency","Number","Percent","Text","URL"}, $B19))) &gt; 0,$B19 &amp; "(" &amp; $C19 &amp; ")",$B19)))), "  ", TRIM(IF($S19 = "YES", "(External ID)", "") &amp; " " &amp; IF(SUMPRODUCT(-- ISNUMBER(SEARCH({"Unique","Unique Case Insensitive"}, $R19))) &gt; 0, "(" &amp; $R19 &amp; ")", ""))))</f>
        <v>na</v>
      </c>
      <c r="E19" s="7" t="s">
        <v>195</v>
      </c>
      <c r="F19" s="7" t="s">
        <v>195</v>
      </c>
      <c r="G19" s="7" t="s">
        <v>195</v>
      </c>
      <c r="H19" s="7" t="s">
        <v>195</v>
      </c>
      <c r="I19" s="7" t="s">
        <v>195</v>
      </c>
      <c r="J19" s="7" t="s">
        <v>195</v>
      </c>
      <c r="K19" s="7" t="s">
        <v>195</v>
      </c>
      <c r="L19" s="7" t="s">
        <v>195</v>
      </c>
      <c r="M19" s="7" t="s">
        <v>29</v>
      </c>
      <c r="N19" s="7" t="s">
        <v>29</v>
      </c>
      <c r="O19" s="7" t="s">
        <v>29</v>
      </c>
      <c r="P19" s="7" t="s">
        <v>29</v>
      </c>
      <c r="Q19" s="7" t="s">
        <v>29</v>
      </c>
      <c r="R19" s="7" t="s">
        <v>29</v>
      </c>
      <c r="S19" s="7" t="s">
        <v>29</v>
      </c>
    </row>
    <row r="20" spans="2:19">
      <c r="B20" s="7" t="s">
        <v>195</v>
      </c>
      <c r="C20" s="8" t="s">
        <v>195</v>
      </c>
      <c r="D20" s="5" t="str">
        <f>LRTRIM(CONCATENATE(IF(SUMPRODUCT(-- ISNUMBER(SEARCH({"Auto Number"}, $B20))) &gt; 0, $B20, IF(SUMPRODUCT(-- ISNUMBER(SEARCH({"Lookup","Master-Detail"}, $B20))) &gt; 0,$B20 &amp; "(" &amp; $E20 &amp; ")",IF(SUMPRODUCT(-- ISNUMBER(SEARCH({"Formula","Roll-Up Summary"}, $B20))) &gt; 0,$B20 &amp; " (" &amp; $E20 &amp; ")",IF(SUMPRODUCT(-- ISNUMBER(SEARCH({"Content","Currency","Number","Percent","Text","URL"}, $B20))) &gt; 0,$B20 &amp; "(" &amp; $C20 &amp; ")",$B20)))), "  ", TRIM(IF($S20 = "YES", "(External ID)", "") &amp; " " &amp; IF(SUMPRODUCT(-- ISNUMBER(SEARCH({"Unique","Unique Case Insensitive"}, $R20))) &gt; 0, "(" &amp; $R20 &amp; ")", ""))))</f>
        <v>na</v>
      </c>
      <c r="E20" s="7" t="s">
        <v>195</v>
      </c>
      <c r="F20" s="7" t="s">
        <v>195</v>
      </c>
      <c r="G20" s="7" t="s">
        <v>195</v>
      </c>
      <c r="H20" s="7" t="s">
        <v>195</v>
      </c>
      <c r="I20" s="7" t="s">
        <v>195</v>
      </c>
      <c r="J20" s="7" t="s">
        <v>195</v>
      </c>
      <c r="K20" s="7" t="s">
        <v>195</v>
      </c>
      <c r="L20" s="7" t="s">
        <v>195</v>
      </c>
      <c r="M20" s="7" t="s">
        <v>29</v>
      </c>
      <c r="N20" s="7" t="s">
        <v>29</v>
      </c>
      <c r="O20" s="7" t="s">
        <v>29</v>
      </c>
      <c r="P20" s="7" t="s">
        <v>29</v>
      </c>
      <c r="Q20" s="7" t="s">
        <v>29</v>
      </c>
      <c r="R20" s="7" t="s">
        <v>29</v>
      </c>
      <c r="S20" s="7" t="s">
        <v>29</v>
      </c>
    </row>
    <row r="21" spans="2:19">
      <c r="B21" s="7" t="s">
        <v>195</v>
      </c>
      <c r="C21" s="8" t="s">
        <v>195</v>
      </c>
      <c r="D21" s="5" t="str">
        <f>LRTRIM(CONCATENATE(IF(SUMPRODUCT(-- ISNUMBER(SEARCH({"Auto Number"}, $B21))) &gt; 0, $B21, IF(SUMPRODUCT(-- ISNUMBER(SEARCH({"Lookup","Master-Detail"}, $B21))) &gt; 0,$B21 &amp; "(" &amp; $E21 &amp; ")",IF(SUMPRODUCT(-- ISNUMBER(SEARCH({"Formula","Roll-Up Summary"}, $B21))) &gt; 0,$B21 &amp; " (" &amp; $E21 &amp; ")",IF(SUMPRODUCT(-- ISNUMBER(SEARCH({"Content","Currency","Number","Percent","Text","URL"}, $B21))) &gt; 0,$B21 &amp; "(" &amp; $C21 &amp; ")",$B21)))), "  ", TRIM(IF($S21 = "YES", "(External ID)", "") &amp; " " &amp; IF(SUMPRODUCT(-- ISNUMBER(SEARCH({"Unique","Unique Case Insensitive"}, $R21))) &gt; 0, "(" &amp; $R21 &amp; ")", ""))))</f>
        <v>na</v>
      </c>
      <c r="E21" s="7" t="s">
        <v>195</v>
      </c>
      <c r="F21" s="7" t="s">
        <v>195</v>
      </c>
      <c r="G21" s="7" t="s">
        <v>195</v>
      </c>
      <c r="H21" s="7" t="s">
        <v>195</v>
      </c>
      <c r="I21" s="7" t="s">
        <v>195</v>
      </c>
      <c r="J21" s="7" t="s">
        <v>195</v>
      </c>
      <c r="K21" s="7" t="s">
        <v>195</v>
      </c>
      <c r="L21" s="7" t="s">
        <v>195</v>
      </c>
      <c r="M21" s="7" t="s">
        <v>29</v>
      </c>
      <c r="N21" s="7" t="s">
        <v>29</v>
      </c>
      <c r="O21" s="7" t="s">
        <v>29</v>
      </c>
      <c r="P21" s="7" t="s">
        <v>29</v>
      </c>
      <c r="Q21" s="7" t="s">
        <v>29</v>
      </c>
      <c r="R21" s="7" t="s">
        <v>29</v>
      </c>
      <c r="S21" s="7" t="s">
        <v>29</v>
      </c>
    </row>
    <row r="22" spans="2:19">
      <c r="B22" s="7" t="s">
        <v>195</v>
      </c>
      <c r="C22" s="8" t="s">
        <v>195</v>
      </c>
      <c r="D22" s="5" t="str">
        <f>LRTRIM(CONCATENATE(IF(SUMPRODUCT(-- ISNUMBER(SEARCH({"Auto Number"}, $B22))) &gt; 0, $B22, IF(SUMPRODUCT(-- ISNUMBER(SEARCH({"Lookup","Master-Detail"}, $B22))) &gt; 0,$B22 &amp; "(" &amp; $E22 &amp; ")",IF(SUMPRODUCT(-- ISNUMBER(SEARCH({"Formula","Roll-Up Summary"}, $B22))) &gt; 0,$B22 &amp; " (" &amp; $E22 &amp; ")",IF(SUMPRODUCT(-- ISNUMBER(SEARCH({"Content","Currency","Number","Percent","Text","URL"}, $B22))) &gt; 0,$B22 &amp; "(" &amp; $C22 &amp; ")",$B22)))), "  ", TRIM(IF($S22 = "YES", "(External ID)", "") &amp; " " &amp; IF(SUMPRODUCT(-- ISNUMBER(SEARCH({"Unique","Unique Case Insensitive"}, $R22))) &gt; 0, "(" &amp; $R22 &amp; ")", ""))))</f>
        <v>na</v>
      </c>
      <c r="E22" s="7" t="s">
        <v>195</v>
      </c>
      <c r="F22" s="7" t="s">
        <v>195</v>
      </c>
      <c r="G22" s="7" t="s">
        <v>195</v>
      </c>
      <c r="H22" s="7" t="s">
        <v>195</v>
      </c>
      <c r="I22" s="7" t="s">
        <v>195</v>
      </c>
      <c r="J22" s="7" t="s">
        <v>195</v>
      </c>
      <c r="K22" s="7" t="s">
        <v>195</v>
      </c>
      <c r="L22" s="7" t="s">
        <v>195</v>
      </c>
      <c r="M22" s="7" t="s">
        <v>29</v>
      </c>
      <c r="N22" s="7" t="s">
        <v>29</v>
      </c>
      <c r="O22" s="7" t="s">
        <v>29</v>
      </c>
      <c r="P22" s="7" t="s">
        <v>29</v>
      </c>
      <c r="Q22" s="7" t="s">
        <v>29</v>
      </c>
      <c r="R22" s="7" t="s">
        <v>29</v>
      </c>
      <c r="S22" s="7" t="s">
        <v>29</v>
      </c>
    </row>
    <row r="23" spans="2:19">
      <c r="B23" s="7" t="s">
        <v>195</v>
      </c>
      <c r="C23" s="8" t="s">
        <v>195</v>
      </c>
      <c r="D23" s="5" t="str">
        <f>LRTRIM(CONCATENATE(IF(SUMPRODUCT(-- ISNUMBER(SEARCH({"Auto Number"}, $B23))) &gt; 0, $B23, IF(SUMPRODUCT(-- ISNUMBER(SEARCH({"Lookup","Master-Detail"}, $B23))) &gt; 0,$B23 &amp; "(" &amp; $E23 &amp; ")",IF(SUMPRODUCT(-- ISNUMBER(SEARCH({"Formula","Roll-Up Summary"}, $B23))) &gt; 0,$B23 &amp; " (" &amp; $E23 &amp; ")",IF(SUMPRODUCT(-- ISNUMBER(SEARCH({"Content","Currency","Number","Percent","Text","URL"}, $B23))) &gt; 0,$B23 &amp; "(" &amp; $C23 &amp; ")",$B23)))), "  ", TRIM(IF($S23 = "YES", "(External ID)", "") &amp; " " &amp; IF(SUMPRODUCT(-- ISNUMBER(SEARCH({"Unique","Unique Case Insensitive"}, $R23))) &gt; 0, "(" &amp; $R23 &amp; ")", ""))))</f>
        <v>na</v>
      </c>
      <c r="E23" s="7" t="s">
        <v>195</v>
      </c>
      <c r="F23" s="7" t="s">
        <v>195</v>
      </c>
      <c r="G23" s="7" t="s">
        <v>195</v>
      </c>
      <c r="H23" s="7" t="s">
        <v>195</v>
      </c>
      <c r="I23" s="7" t="s">
        <v>195</v>
      </c>
      <c r="J23" s="7" t="s">
        <v>195</v>
      </c>
      <c r="K23" s="7" t="s">
        <v>195</v>
      </c>
      <c r="L23" s="7" t="s">
        <v>195</v>
      </c>
      <c r="M23" s="7" t="s">
        <v>29</v>
      </c>
      <c r="N23" s="7" t="s">
        <v>29</v>
      </c>
      <c r="O23" s="7" t="s">
        <v>29</v>
      </c>
      <c r="P23" s="7" t="s">
        <v>29</v>
      </c>
      <c r="Q23" s="7" t="s">
        <v>29</v>
      </c>
      <c r="R23" s="7" t="s">
        <v>29</v>
      </c>
      <c r="S23" s="7" t="s">
        <v>29</v>
      </c>
    </row>
    <row r="24" spans="2:19">
      <c r="B24" s="7" t="s">
        <v>195</v>
      </c>
      <c r="C24" s="8" t="s">
        <v>195</v>
      </c>
      <c r="D24" s="5" t="str">
        <f>LRTRIM(CONCATENATE(IF(SUMPRODUCT(-- ISNUMBER(SEARCH({"Auto Number"}, $B24))) &gt; 0, $B24, IF(SUMPRODUCT(-- ISNUMBER(SEARCH({"Lookup","Master-Detail"}, $B24))) &gt; 0,$B24 &amp; "(" &amp; $E24 &amp; ")",IF(SUMPRODUCT(-- ISNUMBER(SEARCH({"Formula","Roll-Up Summary"}, $B24))) &gt; 0,$B24 &amp; " (" &amp; $E24 &amp; ")",IF(SUMPRODUCT(-- ISNUMBER(SEARCH({"Content","Currency","Number","Percent","Text","URL"}, $B24))) &gt; 0,$B24 &amp; "(" &amp; $C24 &amp; ")",$B24)))), "  ", TRIM(IF($S24 = "YES", "(External ID)", "") &amp; " " &amp; IF(SUMPRODUCT(-- ISNUMBER(SEARCH({"Unique","Unique Case Insensitive"}, $R24))) &gt; 0, "(" &amp; $R24 &amp; ")", ""))))</f>
        <v>na</v>
      </c>
      <c r="E24" s="7" t="s">
        <v>195</v>
      </c>
      <c r="F24" s="7" t="s">
        <v>195</v>
      </c>
      <c r="G24" s="7" t="s">
        <v>195</v>
      </c>
      <c r="H24" s="7" t="s">
        <v>195</v>
      </c>
      <c r="I24" s="7" t="s">
        <v>195</v>
      </c>
      <c r="J24" s="7" t="s">
        <v>195</v>
      </c>
      <c r="K24" s="7" t="s">
        <v>195</v>
      </c>
      <c r="L24" s="7" t="s">
        <v>195</v>
      </c>
      <c r="M24" s="7" t="s">
        <v>29</v>
      </c>
      <c r="N24" s="7" t="s">
        <v>29</v>
      </c>
      <c r="O24" s="7" t="s">
        <v>29</v>
      </c>
      <c r="P24" s="7" t="s">
        <v>29</v>
      </c>
      <c r="Q24" s="7" t="s">
        <v>29</v>
      </c>
      <c r="R24" s="7" t="s">
        <v>29</v>
      </c>
      <c r="S24" s="7" t="s">
        <v>29</v>
      </c>
    </row>
    <row r="25" spans="2:19">
      <c r="B25" s="7" t="s">
        <v>195</v>
      </c>
      <c r="C25" s="8" t="s">
        <v>195</v>
      </c>
      <c r="D25" s="5" t="str">
        <f>LRTRIM(CONCATENATE(IF(SUMPRODUCT(-- ISNUMBER(SEARCH({"Auto Number"}, $B25))) &gt; 0, $B25, IF(SUMPRODUCT(-- ISNUMBER(SEARCH({"Lookup","Master-Detail"}, $B25))) &gt; 0,$B25 &amp; "(" &amp; $E25 &amp; ")",IF(SUMPRODUCT(-- ISNUMBER(SEARCH({"Formula","Roll-Up Summary"}, $B25))) &gt; 0,$B25 &amp; " (" &amp; $E25 &amp; ")",IF(SUMPRODUCT(-- ISNUMBER(SEARCH({"Content","Currency","Number","Percent","Text","URL"}, $B25))) &gt; 0,$B25 &amp; "(" &amp; $C25 &amp; ")",$B25)))), "  ", TRIM(IF($S25 = "YES", "(External ID)", "") &amp; " " &amp; IF(SUMPRODUCT(-- ISNUMBER(SEARCH({"Unique","Unique Case Insensitive"}, $R25))) &gt; 0, "(" &amp; $R25 &amp; ")", ""))))</f>
        <v>na</v>
      </c>
      <c r="E25" s="7" t="s">
        <v>195</v>
      </c>
      <c r="F25" s="7" t="s">
        <v>195</v>
      </c>
      <c r="G25" s="7" t="s">
        <v>195</v>
      </c>
      <c r="H25" s="7" t="s">
        <v>195</v>
      </c>
      <c r="I25" s="7" t="s">
        <v>195</v>
      </c>
      <c r="J25" s="7" t="s">
        <v>195</v>
      </c>
      <c r="K25" s="7" t="s">
        <v>195</v>
      </c>
      <c r="L25" s="7" t="s">
        <v>195</v>
      </c>
      <c r="M25" s="7" t="s">
        <v>29</v>
      </c>
      <c r="N25" s="7" t="s">
        <v>29</v>
      </c>
      <c r="O25" s="7" t="s">
        <v>29</v>
      </c>
      <c r="P25" s="7" t="s">
        <v>29</v>
      </c>
      <c r="Q25" s="7" t="s">
        <v>29</v>
      </c>
      <c r="R25" s="7" t="s">
        <v>29</v>
      </c>
      <c r="S25" s="7" t="s">
        <v>29</v>
      </c>
    </row>
    <row r="26" spans="2:19">
      <c r="B26" s="7" t="s">
        <v>195</v>
      </c>
      <c r="C26" s="8" t="s">
        <v>195</v>
      </c>
      <c r="D26" s="5" t="str">
        <f>LRTRIM(CONCATENATE(IF(SUMPRODUCT(-- ISNUMBER(SEARCH({"Auto Number"}, $B26))) &gt; 0, $B26, IF(SUMPRODUCT(-- ISNUMBER(SEARCH({"Lookup","Master-Detail"}, $B26))) &gt; 0,$B26 &amp; "(" &amp; $E26 &amp; ")",IF(SUMPRODUCT(-- ISNUMBER(SEARCH({"Formula","Roll-Up Summary"}, $B26))) &gt; 0,$B26 &amp; " (" &amp; $E26 &amp; ")",IF(SUMPRODUCT(-- ISNUMBER(SEARCH({"Content","Currency","Number","Percent","Text","URL"}, $B26))) &gt; 0,$B26 &amp; "(" &amp; $C26 &amp; ")",$B26)))), "  ", TRIM(IF($S26 = "YES", "(External ID)", "") &amp; " " &amp; IF(SUMPRODUCT(-- ISNUMBER(SEARCH({"Unique","Unique Case Insensitive"}, $R26))) &gt; 0, "(" &amp; $R26 &amp; ")", ""))))</f>
        <v>na</v>
      </c>
      <c r="E26" s="7" t="s">
        <v>195</v>
      </c>
      <c r="F26" s="7" t="s">
        <v>195</v>
      </c>
      <c r="G26" s="7" t="s">
        <v>195</v>
      </c>
      <c r="H26" s="7" t="s">
        <v>195</v>
      </c>
      <c r="I26" s="7" t="s">
        <v>195</v>
      </c>
      <c r="J26" s="7" t="s">
        <v>195</v>
      </c>
      <c r="K26" s="7" t="s">
        <v>195</v>
      </c>
      <c r="L26" s="7" t="s">
        <v>195</v>
      </c>
      <c r="M26" s="7" t="s">
        <v>29</v>
      </c>
      <c r="N26" s="7" t="s">
        <v>29</v>
      </c>
      <c r="O26" s="7" t="s">
        <v>29</v>
      </c>
      <c r="P26" s="7" t="s">
        <v>29</v>
      </c>
      <c r="Q26" s="7" t="s">
        <v>29</v>
      </c>
      <c r="R26" s="7" t="s">
        <v>29</v>
      </c>
      <c r="S26" s="7" t="s">
        <v>29</v>
      </c>
    </row>
    <row r="27" spans="2:19">
      <c r="B27" s="7" t="s">
        <v>195</v>
      </c>
      <c r="C27" s="8" t="s">
        <v>195</v>
      </c>
      <c r="D27" s="5" t="str">
        <f>LRTRIM(CONCATENATE(IF(SUMPRODUCT(-- ISNUMBER(SEARCH({"Auto Number"}, $B27))) &gt; 0, $B27, IF(SUMPRODUCT(-- ISNUMBER(SEARCH({"Lookup","Master-Detail"}, $B27))) &gt; 0,$B27 &amp; "(" &amp; $E27 &amp; ")",IF(SUMPRODUCT(-- ISNUMBER(SEARCH({"Formula","Roll-Up Summary"}, $B27))) &gt; 0,$B27 &amp; " (" &amp; $E27 &amp; ")",IF(SUMPRODUCT(-- ISNUMBER(SEARCH({"Content","Currency","Number","Percent","Text","URL"}, $B27))) &gt; 0,$B27 &amp; "(" &amp; $C27 &amp; ")",$B27)))), "  ", TRIM(IF($S27 = "YES", "(External ID)", "") &amp; " " &amp; IF(SUMPRODUCT(-- ISNUMBER(SEARCH({"Unique","Unique Case Insensitive"}, $R27))) &gt; 0, "(" &amp; $R27 &amp; ")", ""))))</f>
        <v>na</v>
      </c>
      <c r="E27" s="7" t="s">
        <v>195</v>
      </c>
      <c r="F27" s="7" t="s">
        <v>195</v>
      </c>
      <c r="G27" s="7" t="s">
        <v>195</v>
      </c>
      <c r="H27" s="7" t="s">
        <v>195</v>
      </c>
      <c r="I27" s="7" t="s">
        <v>195</v>
      </c>
      <c r="J27" s="7" t="s">
        <v>195</v>
      </c>
      <c r="K27" s="7" t="s">
        <v>195</v>
      </c>
      <c r="L27" s="7" t="s">
        <v>195</v>
      </c>
      <c r="M27" s="7" t="s">
        <v>29</v>
      </c>
      <c r="N27" s="7" t="s">
        <v>29</v>
      </c>
      <c r="O27" s="7" t="s">
        <v>29</v>
      </c>
      <c r="P27" s="7" t="s">
        <v>29</v>
      </c>
      <c r="Q27" s="7" t="s">
        <v>29</v>
      </c>
      <c r="R27" s="7" t="s">
        <v>29</v>
      </c>
      <c r="S27" s="7" t="s">
        <v>29</v>
      </c>
    </row>
    <row r="28" spans="2:19">
      <c r="B28" s="7" t="s">
        <v>195</v>
      </c>
      <c r="C28" s="8" t="s">
        <v>195</v>
      </c>
      <c r="D28" s="5" t="str">
        <f>LRTRIM(CONCATENATE(IF(SUMPRODUCT(-- ISNUMBER(SEARCH({"Auto Number"}, $B28))) &gt; 0, $B28, IF(SUMPRODUCT(-- ISNUMBER(SEARCH({"Lookup","Master-Detail"}, $B28))) &gt; 0,$B28 &amp; "(" &amp; $E28 &amp; ")",IF(SUMPRODUCT(-- ISNUMBER(SEARCH({"Formula","Roll-Up Summary"}, $B28))) &gt; 0,$B28 &amp; " (" &amp; $E28 &amp; ")",IF(SUMPRODUCT(-- ISNUMBER(SEARCH({"Content","Currency","Number","Percent","Text","URL"}, $B28))) &gt; 0,$B28 &amp; "(" &amp; $C28 &amp; ")",$B28)))), "  ", TRIM(IF($S28 = "YES", "(External ID)", "") &amp; " " &amp; IF(SUMPRODUCT(-- ISNUMBER(SEARCH({"Unique","Unique Case Insensitive"}, $R28))) &gt; 0, "(" &amp; $R28 &amp; ")", ""))))</f>
        <v>na</v>
      </c>
      <c r="E28" s="7" t="s">
        <v>195</v>
      </c>
      <c r="F28" s="7" t="s">
        <v>195</v>
      </c>
      <c r="G28" s="7" t="s">
        <v>195</v>
      </c>
      <c r="H28" s="7" t="s">
        <v>195</v>
      </c>
      <c r="I28" s="7" t="s">
        <v>195</v>
      </c>
      <c r="J28" s="7" t="s">
        <v>195</v>
      </c>
      <c r="K28" s="7" t="s">
        <v>195</v>
      </c>
      <c r="L28" s="7" t="s">
        <v>195</v>
      </c>
      <c r="M28" s="7" t="s">
        <v>29</v>
      </c>
      <c r="N28" s="7" t="s">
        <v>29</v>
      </c>
      <c r="O28" s="7" t="s">
        <v>29</v>
      </c>
      <c r="P28" s="7" t="s">
        <v>29</v>
      </c>
      <c r="Q28" s="7" t="s">
        <v>29</v>
      </c>
      <c r="R28" s="7" t="s">
        <v>29</v>
      </c>
      <c r="S28" s="7" t="s">
        <v>29</v>
      </c>
    </row>
    <row r="29" spans="2:19">
      <c r="B29" s="7" t="s">
        <v>195</v>
      </c>
      <c r="C29" s="8" t="s">
        <v>195</v>
      </c>
      <c r="D29" s="5" t="str">
        <f>LRTRIM(CONCATENATE(IF(SUMPRODUCT(-- ISNUMBER(SEARCH({"Auto Number"}, $B29))) &gt; 0, $B29, IF(SUMPRODUCT(-- ISNUMBER(SEARCH({"Lookup","Master-Detail"}, $B29))) &gt; 0,$B29 &amp; "(" &amp; $E29 &amp; ")",IF(SUMPRODUCT(-- ISNUMBER(SEARCH({"Formula","Roll-Up Summary"}, $B29))) &gt; 0,$B29 &amp; " (" &amp; $E29 &amp; ")",IF(SUMPRODUCT(-- ISNUMBER(SEARCH({"Content","Currency","Number","Percent","Text","URL"}, $B29))) &gt; 0,$B29 &amp; "(" &amp; $C29 &amp; ")",$B29)))), "  ", TRIM(IF($S29 = "YES", "(External ID)", "") &amp; " " &amp; IF(SUMPRODUCT(-- ISNUMBER(SEARCH({"Unique","Unique Case Insensitive"}, $R29))) &gt; 0, "(" &amp; $R29 &amp; ")", ""))))</f>
        <v>na</v>
      </c>
      <c r="E29" s="7" t="s">
        <v>195</v>
      </c>
      <c r="F29" s="7" t="s">
        <v>195</v>
      </c>
      <c r="G29" s="7" t="s">
        <v>195</v>
      </c>
      <c r="H29" s="7" t="s">
        <v>195</v>
      </c>
      <c r="I29" s="7" t="s">
        <v>195</v>
      </c>
      <c r="J29" s="7" t="s">
        <v>195</v>
      </c>
      <c r="K29" s="7" t="s">
        <v>195</v>
      </c>
      <c r="L29" s="7" t="s">
        <v>195</v>
      </c>
      <c r="M29" s="7" t="s">
        <v>29</v>
      </c>
      <c r="N29" s="7" t="s">
        <v>29</v>
      </c>
      <c r="O29" s="7" t="s">
        <v>29</v>
      </c>
      <c r="P29" s="7" t="s">
        <v>29</v>
      </c>
      <c r="Q29" s="7" t="s">
        <v>29</v>
      </c>
      <c r="R29" s="7" t="s">
        <v>29</v>
      </c>
      <c r="S29" s="7" t="s">
        <v>29</v>
      </c>
    </row>
    <row r="30" spans="2:19">
      <c r="B30" s="7" t="s">
        <v>195</v>
      </c>
      <c r="C30" s="8" t="s">
        <v>195</v>
      </c>
      <c r="D30" s="5" t="str">
        <f>LRTRIM(CONCATENATE(IF(SUMPRODUCT(-- ISNUMBER(SEARCH({"Auto Number"}, $B30))) &gt; 0, $B30, IF(SUMPRODUCT(-- ISNUMBER(SEARCH({"Lookup","Master-Detail"}, $B30))) &gt; 0,$B30 &amp; "(" &amp; $E30 &amp; ")",IF(SUMPRODUCT(-- ISNUMBER(SEARCH({"Formula","Roll-Up Summary"}, $B30))) &gt; 0,$B30 &amp; " (" &amp; $E30 &amp; ")",IF(SUMPRODUCT(-- ISNUMBER(SEARCH({"Content","Currency","Number","Percent","Text","URL"}, $B30))) &gt; 0,$B30 &amp; "(" &amp; $C30 &amp; ")",$B30)))), "  ", TRIM(IF($S30 = "YES", "(External ID)", "") &amp; " " &amp; IF(SUMPRODUCT(-- ISNUMBER(SEARCH({"Unique","Unique Case Insensitive"}, $R30))) &gt; 0, "(" &amp; $R30 &amp; ")", ""))))</f>
        <v>na</v>
      </c>
      <c r="E30" s="7" t="s">
        <v>195</v>
      </c>
      <c r="F30" s="7" t="s">
        <v>195</v>
      </c>
      <c r="G30" s="7" t="s">
        <v>195</v>
      </c>
      <c r="H30" s="7" t="s">
        <v>195</v>
      </c>
      <c r="I30" s="7" t="s">
        <v>195</v>
      </c>
      <c r="J30" s="7" t="s">
        <v>195</v>
      </c>
      <c r="K30" s="7" t="s">
        <v>195</v>
      </c>
      <c r="L30" s="7" t="s">
        <v>195</v>
      </c>
      <c r="M30" s="7" t="s">
        <v>29</v>
      </c>
      <c r="N30" s="7" t="s">
        <v>29</v>
      </c>
      <c r="O30" s="7" t="s">
        <v>29</v>
      </c>
      <c r="P30" s="7" t="s">
        <v>29</v>
      </c>
      <c r="Q30" s="7" t="s">
        <v>29</v>
      </c>
      <c r="R30" s="7" t="s">
        <v>29</v>
      </c>
      <c r="S30" s="7" t="s">
        <v>29</v>
      </c>
    </row>
    <row r="31" spans="2:19">
      <c r="B31" s="7" t="s">
        <v>195</v>
      </c>
      <c r="C31" s="8" t="s">
        <v>195</v>
      </c>
      <c r="D31" s="5" t="str">
        <f>LRTRIM(CONCATENATE(IF(SUMPRODUCT(-- ISNUMBER(SEARCH({"Auto Number"}, $B31))) &gt; 0, $B31, IF(SUMPRODUCT(-- ISNUMBER(SEARCH({"Lookup","Master-Detail"}, $B31))) &gt; 0,$B31 &amp; "(" &amp; $E31 &amp; ")",IF(SUMPRODUCT(-- ISNUMBER(SEARCH({"Formula","Roll-Up Summary"}, $B31))) &gt; 0,$B31 &amp; " (" &amp; $E31 &amp; ")",IF(SUMPRODUCT(-- ISNUMBER(SEARCH({"Content","Currency","Number","Percent","Text","URL"}, $B31))) &gt; 0,$B31 &amp; "(" &amp; $C31 &amp; ")",$B31)))), "  ", TRIM(IF($S31 = "YES", "(External ID)", "") &amp; " " &amp; IF(SUMPRODUCT(-- ISNUMBER(SEARCH({"Unique","Unique Case Insensitive"}, $R31))) &gt; 0, "(" &amp; $R31 &amp; ")", ""))))</f>
        <v>na</v>
      </c>
      <c r="E31" s="7" t="s">
        <v>195</v>
      </c>
      <c r="F31" s="7" t="s">
        <v>195</v>
      </c>
      <c r="G31" s="7" t="s">
        <v>195</v>
      </c>
      <c r="H31" s="7" t="s">
        <v>195</v>
      </c>
      <c r="I31" s="7" t="s">
        <v>195</v>
      </c>
      <c r="J31" s="7" t="s">
        <v>195</v>
      </c>
      <c r="K31" s="7" t="s">
        <v>195</v>
      </c>
      <c r="L31" s="7" t="s">
        <v>195</v>
      </c>
      <c r="M31" s="7" t="s">
        <v>29</v>
      </c>
      <c r="N31" s="7" t="s">
        <v>29</v>
      </c>
      <c r="O31" s="7" t="s">
        <v>29</v>
      </c>
      <c r="P31" s="7" t="s">
        <v>29</v>
      </c>
      <c r="Q31" s="7" t="s">
        <v>29</v>
      </c>
      <c r="R31" s="7" t="s">
        <v>29</v>
      </c>
      <c r="S31" s="7" t="s">
        <v>29</v>
      </c>
    </row>
    <row r="32" spans="2:19">
      <c r="B32" s="7" t="s">
        <v>195</v>
      </c>
      <c r="C32" s="8" t="s">
        <v>195</v>
      </c>
      <c r="D32" s="5" t="str">
        <f>LRTRIM(CONCATENATE(IF(SUMPRODUCT(-- ISNUMBER(SEARCH({"Auto Number"}, $B32))) &gt; 0, $B32, IF(SUMPRODUCT(-- ISNUMBER(SEARCH({"Lookup","Master-Detail"}, $B32))) &gt; 0,$B32 &amp; "(" &amp; $E32 &amp; ")",IF(SUMPRODUCT(-- ISNUMBER(SEARCH({"Formula","Roll-Up Summary"}, $B32))) &gt; 0,$B32 &amp; " (" &amp; $E32 &amp; ")",IF(SUMPRODUCT(-- ISNUMBER(SEARCH({"Content","Currency","Number","Percent","Text","URL"}, $B32))) &gt; 0,$B32 &amp; "(" &amp; $C32 &amp; ")",$B32)))), "  ", TRIM(IF($S32 = "YES", "(External ID)", "") &amp; " " &amp; IF(SUMPRODUCT(-- ISNUMBER(SEARCH({"Unique","Unique Case Insensitive"}, $R32))) &gt; 0, "(" &amp; $R32 &amp; ")", ""))))</f>
        <v>na</v>
      </c>
      <c r="E32" s="7" t="s">
        <v>195</v>
      </c>
      <c r="F32" s="7" t="s">
        <v>195</v>
      </c>
      <c r="G32" s="7" t="s">
        <v>195</v>
      </c>
      <c r="H32" s="7" t="s">
        <v>195</v>
      </c>
      <c r="I32" s="7" t="s">
        <v>195</v>
      </c>
      <c r="J32" s="7" t="s">
        <v>195</v>
      </c>
      <c r="K32" s="7" t="s">
        <v>195</v>
      </c>
      <c r="L32" s="7" t="s">
        <v>195</v>
      </c>
      <c r="M32" s="7" t="s">
        <v>29</v>
      </c>
      <c r="N32" s="7" t="s">
        <v>29</v>
      </c>
      <c r="O32" s="7" t="s">
        <v>29</v>
      </c>
      <c r="P32" s="7" t="s">
        <v>29</v>
      </c>
      <c r="Q32" s="7" t="s">
        <v>29</v>
      </c>
      <c r="R32" s="7" t="s">
        <v>29</v>
      </c>
      <c r="S32" s="7" t="s">
        <v>29</v>
      </c>
    </row>
    <row r="33" spans="2:19">
      <c r="B33" s="7" t="s">
        <v>195</v>
      </c>
      <c r="C33" s="8" t="s">
        <v>195</v>
      </c>
      <c r="D33" s="5" t="str">
        <f>LRTRIM(CONCATENATE(IF(SUMPRODUCT(-- ISNUMBER(SEARCH({"Auto Number"}, $B33))) &gt; 0, $B33, IF(SUMPRODUCT(-- ISNUMBER(SEARCH({"Lookup","Master-Detail"}, $B33))) &gt; 0,$B33 &amp; "(" &amp; $E33 &amp; ")",IF(SUMPRODUCT(-- ISNUMBER(SEARCH({"Formula","Roll-Up Summary"}, $B33))) &gt; 0,$B33 &amp; " (" &amp; $E33 &amp; ")",IF(SUMPRODUCT(-- ISNUMBER(SEARCH({"Content","Currency","Number","Percent","Text","URL"}, $B33))) &gt; 0,$B33 &amp; "(" &amp; $C33 &amp; ")",$B33)))), "  ", TRIM(IF($S33 = "YES", "(External ID)", "") &amp; " " &amp; IF(SUMPRODUCT(-- ISNUMBER(SEARCH({"Unique","Unique Case Insensitive"}, $R33))) &gt; 0, "(" &amp; $R33 &amp; ")", ""))))</f>
        <v>na</v>
      </c>
      <c r="E33" s="7" t="s">
        <v>195</v>
      </c>
      <c r="F33" s="7" t="s">
        <v>195</v>
      </c>
      <c r="G33" s="7" t="s">
        <v>195</v>
      </c>
      <c r="H33" s="7" t="s">
        <v>195</v>
      </c>
      <c r="I33" s="7" t="s">
        <v>195</v>
      </c>
      <c r="J33" s="7" t="s">
        <v>195</v>
      </c>
      <c r="K33" s="7" t="s">
        <v>195</v>
      </c>
      <c r="L33" s="7" t="s">
        <v>195</v>
      </c>
      <c r="M33" s="7" t="s">
        <v>29</v>
      </c>
      <c r="N33" s="7" t="s">
        <v>29</v>
      </c>
      <c r="O33" s="7" t="s">
        <v>29</v>
      </c>
      <c r="P33" s="7" t="s">
        <v>29</v>
      </c>
      <c r="Q33" s="7" t="s">
        <v>29</v>
      </c>
      <c r="R33" s="7" t="s">
        <v>29</v>
      </c>
      <c r="S33" s="7" t="s">
        <v>29</v>
      </c>
    </row>
    <row r="34" spans="2:19">
      <c r="B34" s="7" t="s">
        <v>195</v>
      </c>
      <c r="C34" s="8" t="s">
        <v>195</v>
      </c>
      <c r="D34" s="5" t="str">
        <f>LRTRIM(CONCATENATE(IF(SUMPRODUCT(-- ISNUMBER(SEARCH({"Auto Number"}, $B34))) &gt; 0, $B34, IF(SUMPRODUCT(-- ISNUMBER(SEARCH({"Lookup","Master-Detail"}, $B34))) &gt; 0,$B34 &amp; "(" &amp; $E34 &amp; ")",IF(SUMPRODUCT(-- ISNUMBER(SEARCH({"Formula","Roll-Up Summary"}, $B34))) &gt; 0,$B34 &amp; " (" &amp; $E34 &amp; ")",IF(SUMPRODUCT(-- ISNUMBER(SEARCH({"Content","Currency","Number","Percent","Text","URL"}, $B34))) &gt; 0,$B34 &amp; "(" &amp; $C34 &amp; ")",$B34)))), "  ", TRIM(IF($S34 = "YES", "(External ID)", "") &amp; " " &amp; IF(SUMPRODUCT(-- ISNUMBER(SEARCH({"Unique","Unique Case Insensitive"}, $R34))) &gt; 0, "(" &amp; $R34 &amp; ")", ""))))</f>
        <v>na</v>
      </c>
      <c r="E34" s="7" t="s">
        <v>195</v>
      </c>
      <c r="F34" s="7" t="s">
        <v>195</v>
      </c>
      <c r="G34" s="7" t="s">
        <v>195</v>
      </c>
      <c r="H34" s="7" t="s">
        <v>195</v>
      </c>
      <c r="I34" s="7" t="s">
        <v>195</v>
      </c>
      <c r="J34" s="7" t="s">
        <v>195</v>
      </c>
      <c r="K34" s="7" t="s">
        <v>195</v>
      </c>
      <c r="L34" s="7" t="s">
        <v>195</v>
      </c>
      <c r="M34" s="7" t="s">
        <v>29</v>
      </c>
      <c r="N34" s="7" t="s">
        <v>29</v>
      </c>
      <c r="O34" s="7" t="s">
        <v>29</v>
      </c>
      <c r="P34" s="7" t="s">
        <v>29</v>
      </c>
      <c r="Q34" s="7" t="s">
        <v>29</v>
      </c>
      <c r="R34" s="7" t="s">
        <v>29</v>
      </c>
      <c r="S34" s="7" t="s">
        <v>29</v>
      </c>
    </row>
    <row r="35" spans="2:19">
      <c r="B35" s="7" t="s">
        <v>195</v>
      </c>
      <c r="C35" s="8" t="s">
        <v>195</v>
      </c>
      <c r="D35" s="5" t="str">
        <f>LRTRIM(CONCATENATE(IF(SUMPRODUCT(-- ISNUMBER(SEARCH({"Auto Number"}, $B35))) &gt; 0, $B35, IF(SUMPRODUCT(-- ISNUMBER(SEARCH({"Lookup","Master-Detail"}, $B35))) &gt; 0,$B35 &amp; "(" &amp; $E35 &amp; ")",IF(SUMPRODUCT(-- ISNUMBER(SEARCH({"Formula","Roll-Up Summary"}, $B35))) &gt; 0,$B35 &amp; " (" &amp; $E35 &amp; ")",IF(SUMPRODUCT(-- ISNUMBER(SEARCH({"Content","Currency","Number","Percent","Text","URL"}, $B35))) &gt; 0,$B35 &amp; "(" &amp; $C35 &amp; ")",$B35)))), "  ", TRIM(IF($S35 = "YES", "(External ID)", "") &amp; " " &amp; IF(SUMPRODUCT(-- ISNUMBER(SEARCH({"Unique","Unique Case Insensitive"}, $R35))) &gt; 0, "(" &amp; $R35 &amp; ")", ""))))</f>
        <v>na</v>
      </c>
      <c r="E35" s="7" t="s">
        <v>195</v>
      </c>
      <c r="F35" s="7" t="s">
        <v>195</v>
      </c>
      <c r="G35" s="7" t="s">
        <v>195</v>
      </c>
      <c r="H35" s="7" t="s">
        <v>195</v>
      </c>
      <c r="I35" s="7" t="s">
        <v>195</v>
      </c>
      <c r="J35" s="7" t="s">
        <v>195</v>
      </c>
      <c r="K35" s="7" t="s">
        <v>195</v>
      </c>
      <c r="L35" s="7" t="s">
        <v>195</v>
      </c>
      <c r="M35" s="7" t="s">
        <v>29</v>
      </c>
      <c r="N35" s="7" t="s">
        <v>29</v>
      </c>
      <c r="O35" s="7" t="s">
        <v>29</v>
      </c>
      <c r="P35" s="7" t="s">
        <v>29</v>
      </c>
      <c r="Q35" s="7" t="s">
        <v>29</v>
      </c>
      <c r="R35" s="7" t="s">
        <v>29</v>
      </c>
      <c r="S35" s="7" t="s">
        <v>29</v>
      </c>
    </row>
    <row r="36" spans="2:19">
      <c r="B36" s="7" t="s">
        <v>195</v>
      </c>
      <c r="C36" s="8" t="s">
        <v>195</v>
      </c>
      <c r="D36" s="5" t="str">
        <f>LRTRIM(CONCATENATE(IF(SUMPRODUCT(-- ISNUMBER(SEARCH({"Auto Number"}, $B36))) &gt; 0, $B36, IF(SUMPRODUCT(-- ISNUMBER(SEARCH({"Lookup","Master-Detail"}, $B36))) &gt; 0,$B36 &amp; "(" &amp; $E36 &amp; ")",IF(SUMPRODUCT(-- ISNUMBER(SEARCH({"Formula","Roll-Up Summary"}, $B36))) &gt; 0,$B36 &amp; " (" &amp; $E36 &amp; ")",IF(SUMPRODUCT(-- ISNUMBER(SEARCH({"Content","Currency","Number","Percent","Text","URL"}, $B36))) &gt; 0,$B36 &amp; "(" &amp; $C36 &amp; ")",$B36)))), "  ", TRIM(IF($S36 = "YES", "(External ID)", "") &amp; " " &amp; IF(SUMPRODUCT(-- ISNUMBER(SEARCH({"Unique","Unique Case Insensitive"}, $R36))) &gt; 0, "(" &amp; $R36 &amp; ")", ""))))</f>
        <v>na</v>
      </c>
      <c r="E36" s="7" t="s">
        <v>195</v>
      </c>
      <c r="F36" s="7" t="s">
        <v>195</v>
      </c>
      <c r="G36" s="7" t="s">
        <v>195</v>
      </c>
      <c r="H36" s="7" t="s">
        <v>195</v>
      </c>
      <c r="I36" s="7" t="s">
        <v>195</v>
      </c>
      <c r="J36" s="7" t="s">
        <v>195</v>
      </c>
      <c r="K36" s="7" t="s">
        <v>195</v>
      </c>
      <c r="L36" s="7" t="s">
        <v>195</v>
      </c>
      <c r="M36" s="7" t="s">
        <v>29</v>
      </c>
      <c r="N36" s="7" t="s">
        <v>29</v>
      </c>
      <c r="O36" s="7" t="s">
        <v>29</v>
      </c>
      <c r="P36" s="7" t="s">
        <v>29</v>
      </c>
      <c r="Q36" s="7" t="s">
        <v>29</v>
      </c>
      <c r="R36" s="7" t="s">
        <v>29</v>
      </c>
      <c r="S36" s="7" t="s">
        <v>29</v>
      </c>
    </row>
    <row r="37" spans="2:19">
      <c r="B37" s="7" t="s">
        <v>195</v>
      </c>
      <c r="C37" s="8" t="s">
        <v>195</v>
      </c>
      <c r="D37" s="5" t="str">
        <f>LRTRIM(CONCATENATE(IF(SUMPRODUCT(-- ISNUMBER(SEARCH({"Auto Number"}, $B37))) &gt; 0, $B37, IF(SUMPRODUCT(-- ISNUMBER(SEARCH({"Lookup","Master-Detail"}, $B37))) &gt; 0,$B37 &amp; "(" &amp; $E37 &amp; ")",IF(SUMPRODUCT(-- ISNUMBER(SEARCH({"Formula","Roll-Up Summary"}, $B37))) &gt; 0,$B37 &amp; " (" &amp; $E37 &amp; ")",IF(SUMPRODUCT(-- ISNUMBER(SEARCH({"Content","Currency","Number","Percent","Text","URL"}, $B37))) &gt; 0,$B37 &amp; "(" &amp; $C37 &amp; ")",$B37)))), "  ", TRIM(IF($S37 = "YES", "(External ID)", "") &amp; " " &amp; IF(SUMPRODUCT(-- ISNUMBER(SEARCH({"Unique","Unique Case Insensitive"}, $R37))) &gt; 0, "(" &amp; $R37 &amp; ")", ""))))</f>
        <v>na</v>
      </c>
      <c r="E37" s="7" t="s">
        <v>195</v>
      </c>
      <c r="F37" s="7" t="s">
        <v>195</v>
      </c>
      <c r="G37" s="7" t="s">
        <v>195</v>
      </c>
      <c r="H37" s="7" t="s">
        <v>195</v>
      </c>
      <c r="I37" s="7" t="s">
        <v>195</v>
      </c>
      <c r="J37" s="7" t="s">
        <v>195</v>
      </c>
      <c r="K37" s="7" t="s">
        <v>195</v>
      </c>
      <c r="L37" s="7" t="s">
        <v>195</v>
      </c>
      <c r="M37" s="7" t="s">
        <v>29</v>
      </c>
      <c r="N37" s="7" t="s">
        <v>29</v>
      </c>
      <c r="O37" s="7" t="s">
        <v>29</v>
      </c>
      <c r="P37" s="7" t="s">
        <v>29</v>
      </c>
      <c r="Q37" s="7" t="s">
        <v>29</v>
      </c>
      <c r="R37" s="7" t="s">
        <v>29</v>
      </c>
      <c r="S37" s="7" t="s">
        <v>29</v>
      </c>
    </row>
    <row r="38" spans="2:19">
      <c r="B38" s="7" t="s">
        <v>195</v>
      </c>
      <c r="C38" s="8" t="s">
        <v>195</v>
      </c>
      <c r="D38" s="5" t="str">
        <f>LRTRIM(CONCATENATE(IF(SUMPRODUCT(-- ISNUMBER(SEARCH({"Auto Number"}, $B38))) &gt; 0, $B38, IF(SUMPRODUCT(-- ISNUMBER(SEARCH({"Lookup","Master-Detail"}, $B38))) &gt; 0,$B38 &amp; "(" &amp; $E38 &amp; ")",IF(SUMPRODUCT(-- ISNUMBER(SEARCH({"Formula","Roll-Up Summary"}, $B38))) &gt; 0,$B38 &amp; " (" &amp; $E38 &amp; ")",IF(SUMPRODUCT(-- ISNUMBER(SEARCH({"Content","Currency","Number","Percent","Text","URL"}, $B38))) &gt; 0,$B38 &amp; "(" &amp; $C38 &amp; ")",$B38)))), "  ", TRIM(IF($S38 = "YES", "(External ID)", "") &amp; " " &amp; IF(SUMPRODUCT(-- ISNUMBER(SEARCH({"Unique","Unique Case Insensitive"}, $R38))) &gt; 0, "(" &amp; $R38 &amp; ")", ""))))</f>
        <v>na</v>
      </c>
      <c r="E38" s="7" t="s">
        <v>195</v>
      </c>
      <c r="F38" s="7" t="s">
        <v>195</v>
      </c>
      <c r="G38" s="7" t="s">
        <v>195</v>
      </c>
      <c r="H38" s="7" t="s">
        <v>195</v>
      </c>
      <c r="I38" s="7" t="s">
        <v>195</v>
      </c>
      <c r="J38" s="7" t="s">
        <v>195</v>
      </c>
      <c r="K38" s="7" t="s">
        <v>195</v>
      </c>
      <c r="L38" s="7" t="s">
        <v>195</v>
      </c>
      <c r="M38" s="7" t="s">
        <v>29</v>
      </c>
      <c r="N38" s="7" t="s">
        <v>29</v>
      </c>
      <c r="O38" s="7" t="s">
        <v>29</v>
      </c>
      <c r="P38" s="7" t="s">
        <v>29</v>
      </c>
      <c r="Q38" s="7" t="s">
        <v>29</v>
      </c>
      <c r="R38" s="7" t="s">
        <v>29</v>
      </c>
      <c r="S38" s="7" t="s">
        <v>29</v>
      </c>
    </row>
    <row r="39" spans="2:19">
      <c r="B39" s="7" t="s">
        <v>195</v>
      </c>
      <c r="C39" s="8" t="s">
        <v>195</v>
      </c>
      <c r="D39" s="5" t="str">
        <f>LRTRIM(CONCATENATE(IF(SUMPRODUCT(-- ISNUMBER(SEARCH({"Auto Number"}, $B39))) &gt; 0, $B39, IF(SUMPRODUCT(-- ISNUMBER(SEARCH({"Lookup","Master-Detail"}, $B39))) &gt; 0,$B39 &amp; "(" &amp; $E39 &amp; ")",IF(SUMPRODUCT(-- ISNUMBER(SEARCH({"Formula","Roll-Up Summary"}, $B39))) &gt; 0,$B39 &amp; " (" &amp; $E39 &amp; ")",IF(SUMPRODUCT(-- ISNUMBER(SEARCH({"Content","Currency","Number","Percent","Text","URL"}, $B39))) &gt; 0,$B39 &amp; "(" &amp; $C39 &amp; ")",$B39)))), "  ", TRIM(IF($S39 = "YES", "(External ID)", "") &amp; " " &amp; IF(SUMPRODUCT(-- ISNUMBER(SEARCH({"Unique","Unique Case Insensitive"}, $R39))) &gt; 0, "(" &amp; $R39 &amp; ")", ""))))</f>
        <v>na</v>
      </c>
      <c r="E39" s="7" t="s">
        <v>195</v>
      </c>
      <c r="F39" s="7" t="s">
        <v>195</v>
      </c>
      <c r="G39" s="7" t="s">
        <v>195</v>
      </c>
      <c r="H39" s="7" t="s">
        <v>195</v>
      </c>
      <c r="I39" s="7" t="s">
        <v>195</v>
      </c>
      <c r="J39" s="7" t="s">
        <v>195</v>
      </c>
      <c r="K39" s="7" t="s">
        <v>195</v>
      </c>
      <c r="L39" s="7" t="s">
        <v>195</v>
      </c>
      <c r="M39" s="7" t="s">
        <v>29</v>
      </c>
      <c r="N39" s="7" t="s">
        <v>29</v>
      </c>
      <c r="O39" s="7" t="s">
        <v>29</v>
      </c>
      <c r="P39" s="7" t="s">
        <v>29</v>
      </c>
      <c r="Q39" s="7" t="s">
        <v>29</v>
      </c>
      <c r="R39" s="7" t="s">
        <v>29</v>
      </c>
      <c r="S39" s="7" t="s">
        <v>29</v>
      </c>
    </row>
    <row r="40" spans="2:19">
      <c r="B40" s="7" t="s">
        <v>195</v>
      </c>
      <c r="C40" s="8" t="s">
        <v>195</v>
      </c>
      <c r="D40" s="5" t="str">
        <f>LRTRIM(CONCATENATE(IF(SUMPRODUCT(-- ISNUMBER(SEARCH({"Auto Number"}, $B40))) &gt; 0, $B40, IF(SUMPRODUCT(-- ISNUMBER(SEARCH({"Lookup","Master-Detail"}, $B40))) &gt; 0,$B40 &amp; "(" &amp; $E40 &amp; ")",IF(SUMPRODUCT(-- ISNUMBER(SEARCH({"Formula","Roll-Up Summary"}, $B40))) &gt; 0,$B40 &amp; " (" &amp; $E40 &amp; ")",IF(SUMPRODUCT(-- ISNUMBER(SEARCH({"Content","Currency","Number","Percent","Text","URL"}, $B40))) &gt; 0,$B40 &amp; "(" &amp; $C40 &amp; ")",$B40)))), "  ", TRIM(IF($S40 = "YES", "(External ID)", "") &amp; " " &amp; IF(SUMPRODUCT(-- ISNUMBER(SEARCH({"Unique","Unique Case Insensitive"}, $R40))) &gt; 0, "(" &amp; $R40 &amp; ")", ""))))</f>
        <v>na</v>
      </c>
      <c r="E40" s="7" t="s">
        <v>195</v>
      </c>
      <c r="F40" s="7" t="s">
        <v>195</v>
      </c>
      <c r="G40" s="7" t="s">
        <v>195</v>
      </c>
      <c r="H40" s="7" t="s">
        <v>195</v>
      </c>
      <c r="I40" s="7" t="s">
        <v>195</v>
      </c>
      <c r="J40" s="7" t="s">
        <v>195</v>
      </c>
      <c r="K40" s="7" t="s">
        <v>195</v>
      </c>
      <c r="L40" s="7" t="s">
        <v>195</v>
      </c>
      <c r="M40" s="7" t="s">
        <v>29</v>
      </c>
      <c r="N40" s="7" t="s">
        <v>29</v>
      </c>
      <c r="O40" s="7" t="s">
        <v>29</v>
      </c>
      <c r="P40" s="7" t="s">
        <v>29</v>
      </c>
      <c r="Q40" s="7" t="s">
        <v>29</v>
      </c>
      <c r="R40" s="7" t="s">
        <v>29</v>
      </c>
      <c r="S40" s="7" t="s">
        <v>29</v>
      </c>
    </row>
    <row r="41" spans="2:19">
      <c r="B41" s="7" t="s">
        <v>195</v>
      </c>
      <c r="C41" s="8" t="s">
        <v>195</v>
      </c>
      <c r="D41" s="5" t="str">
        <f>LRTRIM(CONCATENATE(IF(SUMPRODUCT(-- ISNUMBER(SEARCH({"Auto Number"}, $B41))) &gt; 0, $B41, IF(SUMPRODUCT(-- ISNUMBER(SEARCH({"Lookup","Master-Detail"}, $B41))) &gt; 0,$B41 &amp; "(" &amp; $E41 &amp; ")",IF(SUMPRODUCT(-- ISNUMBER(SEARCH({"Formula","Roll-Up Summary"}, $B41))) &gt; 0,$B41 &amp; " (" &amp; $E41 &amp; ")",IF(SUMPRODUCT(-- ISNUMBER(SEARCH({"Content","Currency","Number","Percent","Text","URL"}, $B41))) &gt; 0,$B41 &amp; "(" &amp; $C41 &amp; ")",$B41)))), "  ", TRIM(IF($S41 = "YES", "(External ID)", "") &amp; " " &amp; IF(SUMPRODUCT(-- ISNUMBER(SEARCH({"Unique","Unique Case Insensitive"}, $R41))) &gt; 0, "(" &amp; $R41 &amp; ")", ""))))</f>
        <v>na</v>
      </c>
      <c r="E41" s="7" t="s">
        <v>195</v>
      </c>
      <c r="F41" s="7" t="s">
        <v>195</v>
      </c>
      <c r="G41" s="7" t="s">
        <v>195</v>
      </c>
      <c r="H41" s="7" t="s">
        <v>195</v>
      </c>
      <c r="I41" s="7" t="s">
        <v>195</v>
      </c>
      <c r="J41" s="7" t="s">
        <v>195</v>
      </c>
      <c r="K41" s="7" t="s">
        <v>195</v>
      </c>
      <c r="L41" s="7" t="s">
        <v>195</v>
      </c>
      <c r="M41" s="7" t="s">
        <v>29</v>
      </c>
      <c r="N41" s="7" t="s">
        <v>29</v>
      </c>
      <c r="O41" s="7" t="s">
        <v>29</v>
      </c>
      <c r="P41" s="7" t="s">
        <v>29</v>
      </c>
      <c r="Q41" s="7" t="s">
        <v>29</v>
      </c>
      <c r="R41" s="7" t="s">
        <v>29</v>
      </c>
      <c r="S41" s="7" t="s">
        <v>29</v>
      </c>
    </row>
    <row r="42" spans="2:19">
      <c r="B42" s="7" t="s">
        <v>195</v>
      </c>
      <c r="C42" s="8" t="s">
        <v>195</v>
      </c>
      <c r="D42" s="5" t="str">
        <f>LRTRIM(CONCATENATE(IF(SUMPRODUCT(-- ISNUMBER(SEARCH({"Auto Number"}, $B42))) &gt; 0, $B42, IF(SUMPRODUCT(-- ISNUMBER(SEARCH({"Lookup","Master-Detail"}, $B42))) &gt; 0,$B42 &amp; "(" &amp; $E42 &amp; ")",IF(SUMPRODUCT(-- ISNUMBER(SEARCH({"Formula","Roll-Up Summary"}, $B42))) &gt; 0,$B42 &amp; " (" &amp; $E42 &amp; ")",IF(SUMPRODUCT(-- ISNUMBER(SEARCH({"Content","Currency","Number","Percent","Text","URL"}, $B42))) &gt; 0,$B42 &amp; "(" &amp; $C42 &amp; ")",$B42)))), "  ", TRIM(IF($S42 = "YES", "(External ID)", "") &amp; " " &amp; IF(SUMPRODUCT(-- ISNUMBER(SEARCH({"Unique","Unique Case Insensitive"}, $R42))) &gt; 0, "(" &amp; $R42 &amp; ")", ""))))</f>
        <v>na</v>
      </c>
      <c r="E42" s="7" t="s">
        <v>195</v>
      </c>
      <c r="F42" s="7" t="s">
        <v>195</v>
      </c>
      <c r="G42" s="7" t="s">
        <v>195</v>
      </c>
      <c r="H42" s="7" t="s">
        <v>195</v>
      </c>
      <c r="I42" s="7" t="s">
        <v>195</v>
      </c>
      <c r="J42" s="7" t="s">
        <v>195</v>
      </c>
      <c r="K42" s="7" t="s">
        <v>195</v>
      </c>
      <c r="L42" s="7" t="s">
        <v>195</v>
      </c>
      <c r="M42" s="7" t="s">
        <v>29</v>
      </c>
      <c r="N42" s="7" t="s">
        <v>29</v>
      </c>
      <c r="O42" s="7" t="s">
        <v>29</v>
      </c>
      <c r="P42" s="7" t="s">
        <v>29</v>
      </c>
      <c r="Q42" s="7" t="s">
        <v>29</v>
      </c>
      <c r="R42" s="7" t="s">
        <v>29</v>
      </c>
      <c r="S42" s="7" t="s">
        <v>29</v>
      </c>
    </row>
    <row r="43" spans="2:19">
      <c r="B43" s="7" t="s">
        <v>195</v>
      </c>
      <c r="C43" s="8" t="s">
        <v>195</v>
      </c>
      <c r="D43" s="5" t="str">
        <f>LRTRIM(CONCATENATE(IF(SUMPRODUCT(-- ISNUMBER(SEARCH({"Auto Number"}, $B43))) &gt; 0, $B43, IF(SUMPRODUCT(-- ISNUMBER(SEARCH({"Lookup","Master-Detail"}, $B43))) &gt; 0,$B43 &amp; "(" &amp; $E43 &amp; ")",IF(SUMPRODUCT(-- ISNUMBER(SEARCH({"Formula","Roll-Up Summary"}, $B43))) &gt; 0,$B43 &amp; " (" &amp; $E43 &amp; ")",IF(SUMPRODUCT(-- ISNUMBER(SEARCH({"Content","Currency","Number","Percent","Text","URL"}, $B43))) &gt; 0,$B43 &amp; "(" &amp; $C43 &amp; ")",$B43)))), "  ", TRIM(IF($S43 = "YES", "(External ID)", "") &amp; " " &amp; IF(SUMPRODUCT(-- ISNUMBER(SEARCH({"Unique","Unique Case Insensitive"}, $R43))) &gt; 0, "(" &amp; $R43 &amp; ")", ""))))</f>
        <v>na</v>
      </c>
      <c r="E43" s="7" t="s">
        <v>195</v>
      </c>
      <c r="F43" s="7" t="s">
        <v>195</v>
      </c>
      <c r="G43" s="7" t="s">
        <v>195</v>
      </c>
      <c r="H43" s="7" t="s">
        <v>195</v>
      </c>
      <c r="I43" s="7" t="s">
        <v>195</v>
      </c>
      <c r="J43" s="7" t="s">
        <v>195</v>
      </c>
      <c r="K43" s="7" t="s">
        <v>195</v>
      </c>
      <c r="L43" s="7" t="s">
        <v>195</v>
      </c>
      <c r="M43" s="7" t="s">
        <v>29</v>
      </c>
      <c r="N43" s="7" t="s">
        <v>29</v>
      </c>
      <c r="O43" s="7" t="s">
        <v>29</v>
      </c>
      <c r="P43" s="7" t="s">
        <v>29</v>
      </c>
      <c r="Q43" s="7" t="s">
        <v>29</v>
      </c>
      <c r="R43" s="7" t="s">
        <v>29</v>
      </c>
      <c r="S43" s="7" t="s">
        <v>29</v>
      </c>
    </row>
    <row r="44" spans="2:19">
      <c r="B44" s="7" t="s">
        <v>195</v>
      </c>
      <c r="C44" s="8" t="s">
        <v>195</v>
      </c>
      <c r="D44" s="5" t="str">
        <f>LRTRIM(CONCATENATE(IF(SUMPRODUCT(-- ISNUMBER(SEARCH({"Auto Number"}, $B44))) &gt; 0, $B44, IF(SUMPRODUCT(-- ISNUMBER(SEARCH({"Lookup","Master-Detail"}, $B44))) &gt; 0,$B44 &amp; "(" &amp; $E44 &amp; ")",IF(SUMPRODUCT(-- ISNUMBER(SEARCH({"Formula","Roll-Up Summary"}, $B44))) &gt; 0,$B44 &amp; " (" &amp; $E44 &amp; ")",IF(SUMPRODUCT(-- ISNUMBER(SEARCH({"Content","Currency","Number","Percent","Text","URL"}, $B44))) &gt; 0,$B44 &amp; "(" &amp; $C44 &amp; ")",$B44)))), "  ", TRIM(IF($S44 = "YES", "(External ID)", "") &amp; " " &amp; IF(SUMPRODUCT(-- ISNUMBER(SEARCH({"Unique","Unique Case Insensitive"}, $R44))) &gt; 0, "(" &amp; $R44 &amp; ")", ""))))</f>
        <v>na</v>
      </c>
      <c r="E44" s="7" t="s">
        <v>195</v>
      </c>
      <c r="F44" s="7" t="s">
        <v>195</v>
      </c>
      <c r="G44" s="7" t="s">
        <v>195</v>
      </c>
      <c r="H44" s="7" t="s">
        <v>195</v>
      </c>
      <c r="I44" s="7" t="s">
        <v>195</v>
      </c>
      <c r="J44" s="7" t="s">
        <v>195</v>
      </c>
      <c r="K44" s="7" t="s">
        <v>195</v>
      </c>
      <c r="L44" s="7" t="s">
        <v>195</v>
      </c>
      <c r="M44" s="7" t="s">
        <v>29</v>
      </c>
      <c r="N44" s="7" t="s">
        <v>29</v>
      </c>
      <c r="O44" s="7" t="s">
        <v>29</v>
      </c>
      <c r="P44" s="7" t="s">
        <v>29</v>
      </c>
      <c r="Q44" s="7" t="s">
        <v>29</v>
      </c>
      <c r="R44" s="7" t="s">
        <v>29</v>
      </c>
      <c r="S44" s="7" t="s">
        <v>29</v>
      </c>
    </row>
    <row r="45" spans="2:19">
      <c r="B45" s="7" t="s">
        <v>195</v>
      </c>
      <c r="C45" s="8" t="s">
        <v>195</v>
      </c>
      <c r="D45" s="5" t="str">
        <f>LRTRIM(CONCATENATE(IF(SUMPRODUCT(-- ISNUMBER(SEARCH({"Auto Number"}, $B45))) &gt; 0, $B45, IF(SUMPRODUCT(-- ISNUMBER(SEARCH({"Lookup","Master-Detail"}, $B45))) &gt; 0,$B45 &amp; "(" &amp; $E45 &amp; ")",IF(SUMPRODUCT(-- ISNUMBER(SEARCH({"Formula","Roll-Up Summary"}, $B45))) &gt; 0,$B45 &amp; " (" &amp; $E45 &amp; ")",IF(SUMPRODUCT(-- ISNUMBER(SEARCH({"Content","Currency","Number","Percent","Text","URL"}, $B45))) &gt; 0,$B45 &amp; "(" &amp; $C45 &amp; ")",$B45)))), "  ", TRIM(IF($S45 = "YES", "(External ID)", "") &amp; " " &amp; IF(SUMPRODUCT(-- ISNUMBER(SEARCH({"Unique","Unique Case Insensitive"}, $R45))) &gt; 0, "(" &amp; $R45 &amp; ")", ""))))</f>
        <v>na</v>
      </c>
      <c r="E45" s="7" t="s">
        <v>195</v>
      </c>
      <c r="F45" s="7" t="s">
        <v>195</v>
      </c>
      <c r="G45" s="7" t="s">
        <v>195</v>
      </c>
      <c r="H45" s="7" t="s">
        <v>195</v>
      </c>
      <c r="I45" s="7" t="s">
        <v>195</v>
      </c>
      <c r="J45" s="7" t="s">
        <v>195</v>
      </c>
      <c r="K45" s="7" t="s">
        <v>195</v>
      </c>
      <c r="L45" s="7" t="s">
        <v>195</v>
      </c>
      <c r="M45" s="7" t="s">
        <v>29</v>
      </c>
      <c r="N45" s="7" t="s">
        <v>29</v>
      </c>
      <c r="O45" s="7" t="s">
        <v>29</v>
      </c>
      <c r="P45" s="7" t="s">
        <v>29</v>
      </c>
      <c r="Q45" s="7" t="s">
        <v>29</v>
      </c>
      <c r="R45" s="7" t="s">
        <v>29</v>
      </c>
      <c r="S45" s="7" t="s">
        <v>29</v>
      </c>
    </row>
    <row r="46" spans="2:19">
      <c r="B46" s="7" t="s">
        <v>195</v>
      </c>
      <c r="C46" s="8" t="s">
        <v>195</v>
      </c>
      <c r="D46" s="5" t="str">
        <f>LRTRIM(CONCATENATE(IF(SUMPRODUCT(-- ISNUMBER(SEARCH({"Auto Number"}, $B46))) &gt; 0, $B46, IF(SUMPRODUCT(-- ISNUMBER(SEARCH({"Lookup","Master-Detail"}, $B46))) &gt; 0,$B46 &amp; "(" &amp; $E46 &amp; ")",IF(SUMPRODUCT(-- ISNUMBER(SEARCH({"Formula","Roll-Up Summary"}, $B46))) &gt; 0,$B46 &amp; " (" &amp; $E46 &amp; ")",IF(SUMPRODUCT(-- ISNUMBER(SEARCH({"Content","Currency","Number","Percent","Text","URL"}, $B46))) &gt; 0,$B46 &amp; "(" &amp; $C46 &amp; ")",$B46)))), "  ", TRIM(IF($S46 = "YES", "(External ID)", "") &amp; " " &amp; IF(SUMPRODUCT(-- ISNUMBER(SEARCH({"Unique","Unique Case Insensitive"}, $R46))) &gt; 0, "(" &amp; $R46 &amp; ")", ""))))</f>
        <v>na</v>
      </c>
      <c r="E46" s="7" t="s">
        <v>195</v>
      </c>
      <c r="F46" s="7" t="s">
        <v>195</v>
      </c>
      <c r="G46" s="7" t="s">
        <v>195</v>
      </c>
      <c r="H46" s="7" t="s">
        <v>195</v>
      </c>
      <c r="I46" s="7" t="s">
        <v>195</v>
      </c>
      <c r="J46" s="7" t="s">
        <v>195</v>
      </c>
      <c r="K46" s="7" t="s">
        <v>195</v>
      </c>
      <c r="L46" s="7" t="s">
        <v>195</v>
      </c>
      <c r="M46" s="7" t="s">
        <v>29</v>
      </c>
      <c r="N46" s="7" t="s">
        <v>29</v>
      </c>
      <c r="O46" s="7" t="s">
        <v>29</v>
      </c>
      <c r="P46" s="7" t="s">
        <v>29</v>
      </c>
      <c r="Q46" s="7" t="s">
        <v>29</v>
      </c>
      <c r="R46" s="7" t="s">
        <v>29</v>
      </c>
      <c r="S46" s="7" t="s">
        <v>29</v>
      </c>
    </row>
    <row r="47" spans="2:19">
      <c r="B47" s="7" t="s">
        <v>195</v>
      </c>
      <c r="C47" s="8" t="s">
        <v>195</v>
      </c>
      <c r="D47" s="5" t="str">
        <f>LRTRIM(CONCATENATE(IF(SUMPRODUCT(-- ISNUMBER(SEARCH({"Auto Number"}, $B47))) &gt; 0, $B47, IF(SUMPRODUCT(-- ISNUMBER(SEARCH({"Lookup","Master-Detail"}, $B47))) &gt; 0,$B47 &amp; "(" &amp; $E47 &amp; ")",IF(SUMPRODUCT(-- ISNUMBER(SEARCH({"Formula","Roll-Up Summary"}, $B47))) &gt; 0,$B47 &amp; " (" &amp; $E47 &amp; ")",IF(SUMPRODUCT(-- ISNUMBER(SEARCH({"Content","Currency","Number","Percent","Text","URL"}, $B47))) &gt; 0,$B47 &amp; "(" &amp; $C47 &amp; ")",$B47)))), "  ", TRIM(IF($S47 = "YES", "(External ID)", "") &amp; " " &amp; IF(SUMPRODUCT(-- ISNUMBER(SEARCH({"Unique","Unique Case Insensitive"}, $R47))) &gt; 0, "(" &amp; $R47 &amp; ")", ""))))</f>
        <v>na</v>
      </c>
      <c r="E47" s="7" t="s">
        <v>195</v>
      </c>
      <c r="F47" s="7" t="s">
        <v>195</v>
      </c>
      <c r="G47" s="7" t="s">
        <v>195</v>
      </c>
      <c r="H47" s="7" t="s">
        <v>195</v>
      </c>
      <c r="I47" s="7" t="s">
        <v>195</v>
      </c>
      <c r="J47" s="7" t="s">
        <v>195</v>
      </c>
      <c r="K47" s="7" t="s">
        <v>195</v>
      </c>
      <c r="L47" s="7" t="s">
        <v>195</v>
      </c>
      <c r="M47" s="7" t="s">
        <v>29</v>
      </c>
      <c r="N47" s="7" t="s">
        <v>29</v>
      </c>
      <c r="O47" s="7" t="s">
        <v>29</v>
      </c>
      <c r="P47" s="7" t="s">
        <v>29</v>
      </c>
      <c r="Q47" s="7" t="s">
        <v>29</v>
      </c>
      <c r="R47" s="7" t="s">
        <v>29</v>
      </c>
      <c r="S47" s="7" t="s">
        <v>29</v>
      </c>
    </row>
    <row r="48" spans="2:19">
      <c r="B48" s="7" t="s">
        <v>195</v>
      </c>
      <c r="C48" s="8" t="s">
        <v>195</v>
      </c>
      <c r="D48" s="5" t="str">
        <f>LRTRIM(CONCATENATE(IF(SUMPRODUCT(-- ISNUMBER(SEARCH({"Auto Number"}, $B48))) &gt; 0, $B48, IF(SUMPRODUCT(-- ISNUMBER(SEARCH({"Lookup","Master-Detail"}, $B48))) &gt; 0,$B48 &amp; "(" &amp; $E48 &amp; ")",IF(SUMPRODUCT(-- ISNUMBER(SEARCH({"Formula","Roll-Up Summary"}, $B48))) &gt; 0,$B48 &amp; " (" &amp; $E48 &amp; ")",IF(SUMPRODUCT(-- ISNUMBER(SEARCH({"Content","Currency","Number","Percent","Text","URL"}, $B48))) &gt; 0,$B48 &amp; "(" &amp; $C48 &amp; ")",$B48)))), "  ", TRIM(IF($S48 = "YES", "(External ID)", "") &amp; " " &amp; IF(SUMPRODUCT(-- ISNUMBER(SEARCH({"Unique","Unique Case Insensitive"}, $R48))) &gt; 0, "(" &amp; $R48 &amp; ")", ""))))</f>
        <v>na</v>
      </c>
      <c r="E48" s="7" t="s">
        <v>195</v>
      </c>
      <c r="F48" s="7" t="s">
        <v>195</v>
      </c>
      <c r="G48" s="7" t="s">
        <v>195</v>
      </c>
      <c r="H48" s="7" t="s">
        <v>195</v>
      </c>
      <c r="I48" s="7" t="s">
        <v>195</v>
      </c>
      <c r="J48" s="7" t="s">
        <v>195</v>
      </c>
      <c r="K48" s="7" t="s">
        <v>195</v>
      </c>
      <c r="L48" s="7" t="s">
        <v>195</v>
      </c>
      <c r="M48" s="7" t="s">
        <v>29</v>
      </c>
      <c r="N48" s="7" t="s">
        <v>29</v>
      </c>
      <c r="O48" s="7" t="s">
        <v>29</v>
      </c>
      <c r="P48" s="7" t="s">
        <v>29</v>
      </c>
      <c r="Q48" s="7" t="s">
        <v>29</v>
      </c>
      <c r="R48" s="7" t="s">
        <v>29</v>
      </c>
      <c r="S48" s="7" t="s">
        <v>29</v>
      </c>
    </row>
    <row r="49" spans="2:19">
      <c r="B49" s="7" t="s">
        <v>195</v>
      </c>
      <c r="C49" s="8" t="s">
        <v>195</v>
      </c>
      <c r="D49" s="5" t="str">
        <f>LRTRIM(CONCATENATE(IF(SUMPRODUCT(-- ISNUMBER(SEARCH({"Auto Number"}, $B49))) &gt; 0, $B49, IF(SUMPRODUCT(-- ISNUMBER(SEARCH({"Lookup","Master-Detail"}, $B49))) &gt; 0,$B49 &amp; "(" &amp; $E49 &amp; ")",IF(SUMPRODUCT(-- ISNUMBER(SEARCH({"Formula","Roll-Up Summary"}, $B49))) &gt; 0,$B49 &amp; " (" &amp; $E49 &amp; ")",IF(SUMPRODUCT(-- ISNUMBER(SEARCH({"Content","Currency","Number","Percent","Text","URL"}, $B49))) &gt; 0,$B49 &amp; "(" &amp; $C49 &amp; ")",$B49)))), "  ", TRIM(IF($S49 = "YES", "(External ID)", "") &amp; " " &amp; IF(SUMPRODUCT(-- ISNUMBER(SEARCH({"Unique","Unique Case Insensitive"}, $R49))) &gt; 0, "(" &amp; $R49 &amp; ")", ""))))</f>
        <v>na</v>
      </c>
      <c r="E49" s="7" t="s">
        <v>195</v>
      </c>
      <c r="F49" s="7" t="s">
        <v>195</v>
      </c>
      <c r="G49" s="7" t="s">
        <v>195</v>
      </c>
      <c r="H49" s="7" t="s">
        <v>195</v>
      </c>
      <c r="I49" s="7" t="s">
        <v>195</v>
      </c>
      <c r="J49" s="7" t="s">
        <v>195</v>
      </c>
      <c r="K49" s="7" t="s">
        <v>195</v>
      </c>
      <c r="L49" s="7" t="s">
        <v>195</v>
      </c>
      <c r="M49" s="7" t="s">
        <v>29</v>
      </c>
      <c r="N49" s="7" t="s">
        <v>29</v>
      </c>
      <c r="O49" s="7" t="s">
        <v>29</v>
      </c>
      <c r="P49" s="7" t="s">
        <v>29</v>
      </c>
      <c r="Q49" s="7" t="s">
        <v>29</v>
      </c>
      <c r="R49" s="7" t="s">
        <v>29</v>
      </c>
      <c r="S49" s="7" t="s">
        <v>29</v>
      </c>
    </row>
    <row r="50" spans="2:19">
      <c r="B50" s="7" t="s">
        <v>195</v>
      </c>
      <c r="C50" s="8" t="s">
        <v>195</v>
      </c>
      <c r="D50" s="5" t="str">
        <f>LRTRIM(CONCATENATE(IF(SUMPRODUCT(-- ISNUMBER(SEARCH({"Auto Number"}, $B50))) &gt; 0, $B50, IF(SUMPRODUCT(-- ISNUMBER(SEARCH({"Lookup","Master-Detail"}, $B50))) &gt; 0,$B50 &amp; "(" &amp; $E50 &amp; ")",IF(SUMPRODUCT(-- ISNUMBER(SEARCH({"Formula","Roll-Up Summary"}, $B50))) &gt; 0,$B50 &amp; " (" &amp; $E50 &amp; ")",IF(SUMPRODUCT(-- ISNUMBER(SEARCH({"Content","Currency","Number","Percent","Text","URL"}, $B50))) &gt; 0,$B50 &amp; "(" &amp; $C50 &amp; ")",$B50)))), "  ", TRIM(IF($S50 = "YES", "(External ID)", "") &amp; " " &amp; IF(SUMPRODUCT(-- ISNUMBER(SEARCH({"Unique","Unique Case Insensitive"}, $R50))) &gt; 0, "(" &amp; $R50 &amp; ")", ""))))</f>
        <v>na</v>
      </c>
      <c r="E50" s="7" t="s">
        <v>195</v>
      </c>
      <c r="F50" s="7" t="s">
        <v>195</v>
      </c>
      <c r="G50" s="7" t="s">
        <v>195</v>
      </c>
      <c r="H50" s="7" t="s">
        <v>195</v>
      </c>
      <c r="I50" s="7" t="s">
        <v>195</v>
      </c>
      <c r="J50" s="7" t="s">
        <v>195</v>
      </c>
      <c r="K50" s="7" t="s">
        <v>195</v>
      </c>
      <c r="L50" s="7" t="s">
        <v>195</v>
      </c>
      <c r="M50" s="7" t="s">
        <v>29</v>
      </c>
      <c r="N50" s="7" t="s">
        <v>29</v>
      </c>
      <c r="O50" s="7" t="s">
        <v>29</v>
      </c>
      <c r="P50" s="7" t="s">
        <v>29</v>
      </c>
      <c r="Q50" s="7" t="s">
        <v>29</v>
      </c>
      <c r="R50" s="7" t="s">
        <v>29</v>
      </c>
      <c r="S50" s="7" t="s">
        <v>29</v>
      </c>
    </row>
    <row r="51" spans="2:19">
      <c r="B51" s="7" t="s">
        <v>195</v>
      </c>
      <c r="C51" s="8" t="s">
        <v>195</v>
      </c>
      <c r="D51" s="5" t="str">
        <f>LRTRIM(CONCATENATE(IF(SUMPRODUCT(-- ISNUMBER(SEARCH({"Auto Number"}, $B51))) &gt; 0, $B51, IF(SUMPRODUCT(-- ISNUMBER(SEARCH({"Lookup","Master-Detail"}, $B51))) &gt; 0,$B51 &amp; "(" &amp; $E51 &amp; ")",IF(SUMPRODUCT(-- ISNUMBER(SEARCH({"Formula","Roll-Up Summary"}, $B51))) &gt; 0,$B51 &amp; " (" &amp; $E51 &amp; ")",IF(SUMPRODUCT(-- ISNUMBER(SEARCH({"Content","Currency","Number","Percent","Text","URL"}, $B51))) &gt; 0,$B51 &amp; "(" &amp; $C51 &amp; ")",$B51)))), "  ", TRIM(IF($S51 = "YES", "(External ID)", "") &amp; " " &amp; IF(SUMPRODUCT(-- ISNUMBER(SEARCH({"Unique","Unique Case Insensitive"}, $R51))) &gt; 0, "(" &amp; $R51 &amp; ")", ""))))</f>
        <v>na</v>
      </c>
      <c r="E51" s="7" t="s">
        <v>195</v>
      </c>
      <c r="F51" s="7" t="s">
        <v>195</v>
      </c>
      <c r="G51" s="7" t="s">
        <v>195</v>
      </c>
      <c r="H51" s="7" t="s">
        <v>195</v>
      </c>
      <c r="I51" s="7" t="s">
        <v>195</v>
      </c>
      <c r="J51" s="7" t="s">
        <v>195</v>
      </c>
      <c r="K51" s="7" t="s">
        <v>195</v>
      </c>
      <c r="L51" s="7" t="s">
        <v>195</v>
      </c>
      <c r="M51" s="7" t="s">
        <v>29</v>
      </c>
      <c r="N51" s="7" t="s">
        <v>29</v>
      </c>
      <c r="O51" s="7" t="s">
        <v>29</v>
      </c>
      <c r="P51" s="7" t="s">
        <v>29</v>
      </c>
      <c r="Q51" s="7" t="s">
        <v>29</v>
      </c>
      <c r="R51" s="7" t="s">
        <v>29</v>
      </c>
      <c r="S51" s="7" t="s">
        <v>29</v>
      </c>
    </row>
    <row r="52" spans="2:19">
      <c r="B52" s="7" t="s">
        <v>195</v>
      </c>
      <c r="C52" s="8" t="s">
        <v>195</v>
      </c>
      <c r="D52" s="5" t="str">
        <f>LRTRIM(CONCATENATE(IF(SUMPRODUCT(-- ISNUMBER(SEARCH({"Auto Number"}, $B52))) &gt; 0, $B52, IF(SUMPRODUCT(-- ISNUMBER(SEARCH({"Lookup","Master-Detail"}, $B52))) &gt; 0,$B52 &amp; "(" &amp; $E52 &amp; ")",IF(SUMPRODUCT(-- ISNUMBER(SEARCH({"Formula","Roll-Up Summary"}, $B52))) &gt; 0,$B52 &amp; " (" &amp; $E52 &amp; ")",IF(SUMPRODUCT(-- ISNUMBER(SEARCH({"Content","Currency","Number","Percent","Text","URL"}, $B52))) &gt; 0,$B52 &amp; "(" &amp; $C52 &amp; ")",$B52)))), "  ", TRIM(IF($S52 = "YES", "(External ID)", "") &amp; " " &amp; IF(SUMPRODUCT(-- ISNUMBER(SEARCH({"Unique","Unique Case Insensitive"}, $R52))) &gt; 0, "(" &amp; $R52 &amp; ")", ""))))</f>
        <v>na</v>
      </c>
      <c r="E52" s="7" t="s">
        <v>195</v>
      </c>
      <c r="F52" s="7" t="s">
        <v>195</v>
      </c>
      <c r="G52" s="7" t="s">
        <v>195</v>
      </c>
      <c r="H52" s="7" t="s">
        <v>195</v>
      </c>
      <c r="I52" s="7" t="s">
        <v>195</v>
      </c>
      <c r="J52" s="7" t="s">
        <v>195</v>
      </c>
      <c r="K52" s="7" t="s">
        <v>195</v>
      </c>
      <c r="L52" s="7" t="s">
        <v>195</v>
      </c>
      <c r="M52" s="7" t="s">
        <v>29</v>
      </c>
      <c r="N52" s="7" t="s">
        <v>29</v>
      </c>
      <c r="O52" s="7" t="s">
        <v>29</v>
      </c>
      <c r="P52" s="7" t="s">
        <v>29</v>
      </c>
      <c r="Q52" s="7" t="s">
        <v>29</v>
      </c>
      <c r="R52" s="7" t="s">
        <v>29</v>
      </c>
      <c r="S52" s="7" t="s">
        <v>29</v>
      </c>
    </row>
    <row r="53" spans="2:19">
      <c r="B53" s="7" t="s">
        <v>195</v>
      </c>
      <c r="C53" s="8" t="s">
        <v>195</v>
      </c>
      <c r="D53" s="5" t="str">
        <f>LRTRIM(CONCATENATE(IF(SUMPRODUCT(-- ISNUMBER(SEARCH({"Auto Number"}, $B53))) &gt; 0, $B53, IF(SUMPRODUCT(-- ISNUMBER(SEARCH({"Lookup","Master-Detail"}, $B53))) &gt; 0,$B53 &amp; "(" &amp; $E53 &amp; ")",IF(SUMPRODUCT(-- ISNUMBER(SEARCH({"Formula","Roll-Up Summary"}, $B53))) &gt; 0,$B53 &amp; " (" &amp; $E53 &amp; ")",IF(SUMPRODUCT(-- ISNUMBER(SEARCH({"Content","Currency","Number","Percent","Text","URL"}, $B53))) &gt; 0,$B53 &amp; "(" &amp; $C53 &amp; ")",$B53)))), "  ", TRIM(IF($S53 = "YES", "(External ID)", "") &amp; " " &amp; IF(SUMPRODUCT(-- ISNUMBER(SEARCH({"Unique","Unique Case Insensitive"}, $R53))) &gt; 0, "(" &amp; $R53 &amp; ")", ""))))</f>
        <v>na</v>
      </c>
      <c r="E53" s="7" t="s">
        <v>195</v>
      </c>
      <c r="F53" s="7" t="s">
        <v>195</v>
      </c>
      <c r="G53" s="7" t="s">
        <v>195</v>
      </c>
      <c r="H53" s="7" t="s">
        <v>195</v>
      </c>
      <c r="I53" s="7" t="s">
        <v>195</v>
      </c>
      <c r="J53" s="7" t="s">
        <v>195</v>
      </c>
      <c r="K53" s="7" t="s">
        <v>195</v>
      </c>
      <c r="L53" s="7" t="s">
        <v>195</v>
      </c>
      <c r="M53" s="7" t="s">
        <v>29</v>
      </c>
      <c r="N53" s="7" t="s">
        <v>29</v>
      </c>
      <c r="O53" s="7" t="s">
        <v>29</v>
      </c>
      <c r="P53" s="7" t="s">
        <v>29</v>
      </c>
      <c r="Q53" s="7" t="s">
        <v>29</v>
      </c>
      <c r="R53" s="7" t="s">
        <v>29</v>
      </c>
      <c r="S53" s="7" t="s">
        <v>29</v>
      </c>
    </row>
    <row r="54" spans="2:19">
      <c r="B54" s="7" t="s">
        <v>195</v>
      </c>
      <c r="C54" s="8" t="s">
        <v>195</v>
      </c>
      <c r="D54" s="5" t="str">
        <f>LRTRIM(CONCATENATE(IF(SUMPRODUCT(-- ISNUMBER(SEARCH({"Auto Number"}, $B54))) &gt; 0, $B54, IF(SUMPRODUCT(-- ISNUMBER(SEARCH({"Lookup","Master-Detail"}, $B54))) &gt; 0,$B54 &amp; "(" &amp; $E54 &amp; ")",IF(SUMPRODUCT(-- ISNUMBER(SEARCH({"Formula","Roll-Up Summary"}, $B54))) &gt; 0,$B54 &amp; " (" &amp; $E54 &amp; ")",IF(SUMPRODUCT(-- ISNUMBER(SEARCH({"Content","Currency","Number","Percent","Text","URL"}, $B54))) &gt; 0,$B54 &amp; "(" &amp; $C54 &amp; ")",$B54)))), "  ", TRIM(IF($S54 = "YES", "(External ID)", "") &amp; " " &amp; IF(SUMPRODUCT(-- ISNUMBER(SEARCH({"Unique","Unique Case Insensitive"}, $R54))) &gt; 0, "(" &amp; $R54 &amp; ")", ""))))</f>
        <v>na</v>
      </c>
      <c r="E54" s="7" t="s">
        <v>195</v>
      </c>
      <c r="F54" s="7" t="s">
        <v>195</v>
      </c>
      <c r="G54" s="7" t="s">
        <v>195</v>
      </c>
      <c r="H54" s="7" t="s">
        <v>195</v>
      </c>
      <c r="I54" s="7" t="s">
        <v>195</v>
      </c>
      <c r="J54" s="7" t="s">
        <v>195</v>
      </c>
      <c r="K54" s="7" t="s">
        <v>195</v>
      </c>
      <c r="L54" s="7" t="s">
        <v>195</v>
      </c>
      <c r="M54" s="7" t="s">
        <v>29</v>
      </c>
      <c r="N54" s="7" t="s">
        <v>29</v>
      </c>
      <c r="O54" s="7" t="s">
        <v>29</v>
      </c>
      <c r="P54" s="7" t="s">
        <v>29</v>
      </c>
      <c r="Q54" s="7" t="s">
        <v>29</v>
      </c>
      <c r="R54" s="7" t="s">
        <v>29</v>
      </c>
      <c r="S54" s="7" t="s">
        <v>29</v>
      </c>
    </row>
    <row r="55" spans="2:19">
      <c r="B55" s="7" t="s">
        <v>195</v>
      </c>
      <c r="C55" s="8" t="s">
        <v>195</v>
      </c>
      <c r="D55" s="5" t="str">
        <f>LRTRIM(CONCATENATE(IF(SUMPRODUCT(-- ISNUMBER(SEARCH({"Auto Number"}, $B55))) &gt; 0, $B55, IF(SUMPRODUCT(-- ISNUMBER(SEARCH({"Lookup","Master-Detail"}, $B55))) &gt; 0,$B55 &amp; "(" &amp; $E55 &amp; ")",IF(SUMPRODUCT(-- ISNUMBER(SEARCH({"Formula","Roll-Up Summary"}, $B55))) &gt; 0,$B55 &amp; " (" &amp; $E55 &amp; ")",IF(SUMPRODUCT(-- ISNUMBER(SEARCH({"Content","Currency","Number","Percent","Text","URL"}, $B55))) &gt; 0,$B55 &amp; "(" &amp; $C55 &amp; ")",$B55)))), "  ", TRIM(IF($S55 = "YES", "(External ID)", "") &amp; " " &amp; IF(SUMPRODUCT(-- ISNUMBER(SEARCH({"Unique","Unique Case Insensitive"}, $R55))) &gt; 0, "(" &amp; $R55 &amp; ")", ""))))</f>
        <v>na</v>
      </c>
      <c r="E55" s="7" t="s">
        <v>195</v>
      </c>
      <c r="F55" s="7" t="s">
        <v>195</v>
      </c>
      <c r="G55" s="7" t="s">
        <v>195</v>
      </c>
      <c r="H55" s="7" t="s">
        <v>195</v>
      </c>
      <c r="I55" s="7" t="s">
        <v>195</v>
      </c>
      <c r="J55" s="7" t="s">
        <v>195</v>
      </c>
      <c r="K55" s="7" t="s">
        <v>195</v>
      </c>
      <c r="L55" s="7" t="s">
        <v>195</v>
      </c>
      <c r="M55" s="7" t="s">
        <v>29</v>
      </c>
      <c r="N55" s="7" t="s">
        <v>29</v>
      </c>
      <c r="O55" s="7" t="s">
        <v>29</v>
      </c>
      <c r="P55" s="7" t="s">
        <v>29</v>
      </c>
      <c r="Q55" s="7" t="s">
        <v>29</v>
      </c>
      <c r="R55" s="7" t="s">
        <v>29</v>
      </c>
      <c r="S55" s="7" t="s">
        <v>29</v>
      </c>
    </row>
    <row r="56" spans="2:19">
      <c r="B56" s="7" t="s">
        <v>195</v>
      </c>
      <c r="C56" s="8" t="s">
        <v>195</v>
      </c>
      <c r="D56" s="5" t="str">
        <f>LRTRIM(CONCATENATE(IF(SUMPRODUCT(-- ISNUMBER(SEARCH({"Auto Number"}, $B56))) &gt; 0, $B56, IF(SUMPRODUCT(-- ISNUMBER(SEARCH({"Lookup","Master-Detail"}, $B56))) &gt; 0,$B56 &amp; "(" &amp; $E56 &amp; ")",IF(SUMPRODUCT(-- ISNUMBER(SEARCH({"Formula","Roll-Up Summary"}, $B56))) &gt; 0,$B56 &amp; " (" &amp; $E56 &amp; ")",IF(SUMPRODUCT(-- ISNUMBER(SEARCH({"Content","Currency","Number","Percent","Text","URL"}, $B56))) &gt; 0,$B56 &amp; "(" &amp; $C56 &amp; ")",$B56)))), "  ", TRIM(IF($S56 = "YES", "(External ID)", "") &amp; " " &amp; IF(SUMPRODUCT(-- ISNUMBER(SEARCH({"Unique","Unique Case Insensitive"}, $R56))) &gt; 0, "(" &amp; $R56 &amp; ")", ""))))</f>
        <v>na</v>
      </c>
      <c r="E56" s="7" t="s">
        <v>195</v>
      </c>
      <c r="F56" s="7" t="s">
        <v>195</v>
      </c>
      <c r="G56" s="7" t="s">
        <v>195</v>
      </c>
      <c r="H56" s="7" t="s">
        <v>195</v>
      </c>
      <c r="I56" s="7" t="s">
        <v>195</v>
      </c>
      <c r="J56" s="7" t="s">
        <v>195</v>
      </c>
      <c r="K56" s="7" t="s">
        <v>195</v>
      </c>
      <c r="L56" s="7" t="s">
        <v>195</v>
      </c>
      <c r="M56" s="7" t="s">
        <v>29</v>
      </c>
      <c r="N56" s="7" t="s">
        <v>29</v>
      </c>
      <c r="O56" s="7" t="s">
        <v>29</v>
      </c>
      <c r="P56" s="7" t="s">
        <v>29</v>
      </c>
      <c r="Q56" s="7" t="s">
        <v>29</v>
      </c>
      <c r="R56" s="7" t="s">
        <v>29</v>
      </c>
      <c r="S56" s="7" t="s">
        <v>29</v>
      </c>
    </row>
    <row r="57" spans="2:19">
      <c r="B57" s="7" t="s">
        <v>195</v>
      </c>
      <c r="C57" s="8" t="s">
        <v>195</v>
      </c>
      <c r="D57" s="5" t="str">
        <f>LRTRIM(CONCATENATE(IF(SUMPRODUCT(-- ISNUMBER(SEARCH({"Auto Number"}, $B57))) &gt; 0, $B57, IF(SUMPRODUCT(-- ISNUMBER(SEARCH({"Lookup","Master-Detail"}, $B57))) &gt; 0,$B57 &amp; "(" &amp; $E57 &amp; ")",IF(SUMPRODUCT(-- ISNUMBER(SEARCH({"Formula","Roll-Up Summary"}, $B57))) &gt; 0,$B57 &amp; " (" &amp; $E57 &amp; ")",IF(SUMPRODUCT(-- ISNUMBER(SEARCH({"Content","Currency","Number","Percent","Text","URL"}, $B57))) &gt; 0,$B57 &amp; "(" &amp; $C57 &amp; ")",$B57)))), "  ", TRIM(IF($S57 = "YES", "(External ID)", "") &amp; " " &amp; IF(SUMPRODUCT(-- ISNUMBER(SEARCH({"Unique","Unique Case Insensitive"}, $R57))) &gt; 0, "(" &amp; $R57 &amp; ")", ""))))</f>
        <v>na</v>
      </c>
      <c r="E57" s="7" t="s">
        <v>195</v>
      </c>
      <c r="F57" s="7" t="s">
        <v>195</v>
      </c>
      <c r="G57" s="7" t="s">
        <v>195</v>
      </c>
      <c r="H57" s="7" t="s">
        <v>195</v>
      </c>
      <c r="I57" s="7" t="s">
        <v>195</v>
      </c>
      <c r="J57" s="7" t="s">
        <v>195</v>
      </c>
      <c r="K57" s="7" t="s">
        <v>195</v>
      </c>
      <c r="L57" s="7" t="s">
        <v>195</v>
      </c>
      <c r="M57" s="7" t="s">
        <v>29</v>
      </c>
      <c r="N57" s="7" t="s">
        <v>29</v>
      </c>
      <c r="O57" s="7" t="s">
        <v>29</v>
      </c>
      <c r="P57" s="7" t="s">
        <v>29</v>
      </c>
      <c r="Q57" s="7" t="s">
        <v>29</v>
      </c>
      <c r="R57" s="7" t="s">
        <v>29</v>
      </c>
      <c r="S57" s="7" t="s">
        <v>29</v>
      </c>
    </row>
    <row r="58" spans="2:19">
      <c r="B58" s="7" t="s">
        <v>195</v>
      </c>
      <c r="C58" s="8" t="s">
        <v>195</v>
      </c>
      <c r="D58" s="5" t="str">
        <f>LRTRIM(CONCATENATE(IF(SUMPRODUCT(-- ISNUMBER(SEARCH({"Auto Number"}, $B58))) &gt; 0, $B58, IF(SUMPRODUCT(-- ISNUMBER(SEARCH({"Lookup","Master-Detail"}, $B58))) &gt; 0,$B58 &amp; "(" &amp; $E58 &amp; ")",IF(SUMPRODUCT(-- ISNUMBER(SEARCH({"Formula","Roll-Up Summary"}, $B58))) &gt; 0,$B58 &amp; " (" &amp; $E58 &amp; ")",IF(SUMPRODUCT(-- ISNUMBER(SEARCH({"Content","Currency","Number","Percent","Text","URL"}, $B58))) &gt; 0,$B58 &amp; "(" &amp; $C58 &amp; ")",$B58)))), "  ", TRIM(IF($S58 = "YES", "(External ID)", "") &amp; " " &amp; IF(SUMPRODUCT(-- ISNUMBER(SEARCH({"Unique","Unique Case Insensitive"}, $R58))) &gt; 0, "(" &amp; $R58 &amp; ")", ""))))</f>
        <v>na</v>
      </c>
      <c r="E58" s="7" t="s">
        <v>195</v>
      </c>
      <c r="F58" s="7" t="s">
        <v>195</v>
      </c>
      <c r="G58" s="7" t="s">
        <v>195</v>
      </c>
      <c r="H58" s="7" t="s">
        <v>195</v>
      </c>
      <c r="I58" s="7" t="s">
        <v>195</v>
      </c>
      <c r="J58" s="7" t="s">
        <v>195</v>
      </c>
      <c r="K58" s="7" t="s">
        <v>195</v>
      </c>
      <c r="L58" s="7" t="s">
        <v>195</v>
      </c>
      <c r="M58" s="7" t="s">
        <v>29</v>
      </c>
      <c r="N58" s="7" t="s">
        <v>29</v>
      </c>
      <c r="O58" s="7" t="s">
        <v>29</v>
      </c>
      <c r="P58" s="7" t="s">
        <v>29</v>
      </c>
      <c r="Q58" s="7" t="s">
        <v>29</v>
      </c>
      <c r="R58" s="7" t="s">
        <v>29</v>
      </c>
      <c r="S58" s="7" t="s">
        <v>29</v>
      </c>
    </row>
    <row r="59" spans="2:19">
      <c r="B59" s="7" t="s">
        <v>195</v>
      </c>
      <c r="C59" s="8" t="s">
        <v>195</v>
      </c>
      <c r="D59" s="5" t="str">
        <f>LRTRIM(CONCATENATE(IF(SUMPRODUCT(-- ISNUMBER(SEARCH({"Auto Number"}, $B59))) &gt; 0, $B59, IF(SUMPRODUCT(-- ISNUMBER(SEARCH({"Lookup","Master-Detail"}, $B59))) &gt; 0,$B59 &amp; "(" &amp; $E59 &amp; ")",IF(SUMPRODUCT(-- ISNUMBER(SEARCH({"Formula","Roll-Up Summary"}, $B59))) &gt; 0,$B59 &amp; " (" &amp; $E59 &amp; ")",IF(SUMPRODUCT(-- ISNUMBER(SEARCH({"Content","Currency","Number","Percent","Text","URL"}, $B59))) &gt; 0,$B59 &amp; "(" &amp; $C59 &amp; ")",$B59)))), "  ", TRIM(IF($S59 = "YES", "(External ID)", "") &amp; " " &amp; IF(SUMPRODUCT(-- ISNUMBER(SEARCH({"Unique","Unique Case Insensitive"}, $R59))) &gt; 0, "(" &amp; $R59 &amp; ")", ""))))</f>
        <v>na</v>
      </c>
      <c r="E59" s="7" t="s">
        <v>195</v>
      </c>
      <c r="F59" s="7" t="s">
        <v>195</v>
      </c>
      <c r="G59" s="7" t="s">
        <v>195</v>
      </c>
      <c r="H59" s="7" t="s">
        <v>195</v>
      </c>
      <c r="I59" s="7" t="s">
        <v>195</v>
      </c>
      <c r="J59" s="7" t="s">
        <v>195</v>
      </c>
      <c r="K59" s="7" t="s">
        <v>195</v>
      </c>
      <c r="L59" s="7" t="s">
        <v>195</v>
      </c>
      <c r="M59" s="7" t="s">
        <v>29</v>
      </c>
      <c r="N59" s="7" t="s">
        <v>29</v>
      </c>
      <c r="O59" s="7" t="s">
        <v>29</v>
      </c>
      <c r="P59" s="7" t="s">
        <v>29</v>
      </c>
      <c r="Q59" s="7" t="s">
        <v>29</v>
      </c>
      <c r="R59" s="7" t="s">
        <v>29</v>
      </c>
      <c r="S59" s="7" t="s">
        <v>29</v>
      </c>
    </row>
    <row r="60" spans="2:19">
      <c r="B60" s="7" t="s">
        <v>195</v>
      </c>
      <c r="C60" s="8" t="s">
        <v>195</v>
      </c>
      <c r="D60" s="5" t="str">
        <f>LRTRIM(CONCATENATE(IF(SUMPRODUCT(-- ISNUMBER(SEARCH({"Auto Number"}, $B60))) &gt; 0, $B60, IF(SUMPRODUCT(-- ISNUMBER(SEARCH({"Lookup","Master-Detail"}, $B60))) &gt; 0,$B60 &amp; "(" &amp; $E60 &amp; ")",IF(SUMPRODUCT(-- ISNUMBER(SEARCH({"Formula","Roll-Up Summary"}, $B60))) &gt; 0,$B60 &amp; " (" &amp; $E60 &amp; ")",IF(SUMPRODUCT(-- ISNUMBER(SEARCH({"Content","Currency","Number","Percent","Text","URL"}, $B60))) &gt; 0,$B60 &amp; "(" &amp; $C60 &amp; ")",$B60)))), "  ", TRIM(IF($S60 = "YES", "(External ID)", "") &amp; " " &amp; IF(SUMPRODUCT(-- ISNUMBER(SEARCH({"Unique","Unique Case Insensitive"}, $R60))) &gt; 0, "(" &amp; $R60 &amp; ")", ""))))</f>
        <v>na</v>
      </c>
      <c r="E60" s="7" t="s">
        <v>195</v>
      </c>
      <c r="F60" s="7" t="s">
        <v>195</v>
      </c>
      <c r="G60" s="7" t="s">
        <v>195</v>
      </c>
      <c r="H60" s="7" t="s">
        <v>195</v>
      </c>
      <c r="I60" s="7" t="s">
        <v>195</v>
      </c>
      <c r="J60" s="7" t="s">
        <v>195</v>
      </c>
      <c r="K60" s="7" t="s">
        <v>195</v>
      </c>
      <c r="L60" s="7" t="s">
        <v>195</v>
      </c>
      <c r="M60" s="7" t="s">
        <v>29</v>
      </c>
      <c r="N60" s="7" t="s">
        <v>29</v>
      </c>
      <c r="O60" s="7" t="s">
        <v>29</v>
      </c>
      <c r="P60" s="7" t="s">
        <v>29</v>
      </c>
      <c r="Q60" s="7" t="s">
        <v>29</v>
      </c>
      <c r="R60" s="7" t="s">
        <v>29</v>
      </c>
      <c r="S60" s="7" t="s">
        <v>29</v>
      </c>
    </row>
    <row r="61" spans="2:19">
      <c r="B61" s="7" t="s">
        <v>195</v>
      </c>
      <c r="C61" s="8" t="s">
        <v>195</v>
      </c>
      <c r="D61" s="5" t="str">
        <f>LRTRIM(CONCATENATE(IF(SUMPRODUCT(-- ISNUMBER(SEARCH({"Auto Number"}, $B61))) &gt; 0, $B61, IF(SUMPRODUCT(-- ISNUMBER(SEARCH({"Lookup","Master-Detail"}, $B61))) &gt; 0,$B61 &amp; "(" &amp; $E61 &amp; ")",IF(SUMPRODUCT(-- ISNUMBER(SEARCH({"Formula","Roll-Up Summary"}, $B61))) &gt; 0,$B61 &amp; " (" &amp; $E61 &amp; ")",IF(SUMPRODUCT(-- ISNUMBER(SEARCH({"Content","Currency","Number","Percent","Text","URL"}, $B61))) &gt; 0,$B61 &amp; "(" &amp; $C61 &amp; ")",$B61)))), "  ", TRIM(IF($S61 = "YES", "(External ID)", "") &amp; " " &amp; IF(SUMPRODUCT(-- ISNUMBER(SEARCH({"Unique","Unique Case Insensitive"}, $R61))) &gt; 0, "(" &amp; $R61 &amp; ")", ""))))</f>
        <v>na</v>
      </c>
      <c r="E61" s="7" t="s">
        <v>195</v>
      </c>
      <c r="F61" s="7" t="s">
        <v>195</v>
      </c>
      <c r="G61" s="7" t="s">
        <v>195</v>
      </c>
      <c r="H61" s="7" t="s">
        <v>195</v>
      </c>
      <c r="I61" s="7" t="s">
        <v>195</v>
      </c>
      <c r="J61" s="7" t="s">
        <v>195</v>
      </c>
      <c r="K61" s="7" t="s">
        <v>195</v>
      </c>
      <c r="L61" s="7" t="s">
        <v>195</v>
      </c>
      <c r="M61" s="7" t="s">
        <v>29</v>
      </c>
      <c r="N61" s="7" t="s">
        <v>29</v>
      </c>
      <c r="O61" s="7" t="s">
        <v>29</v>
      </c>
      <c r="P61" s="7" t="s">
        <v>29</v>
      </c>
      <c r="Q61" s="7" t="s">
        <v>29</v>
      </c>
      <c r="R61" s="7" t="s">
        <v>29</v>
      </c>
      <c r="S61" s="7" t="s">
        <v>29</v>
      </c>
    </row>
    <row r="62" spans="2:19">
      <c r="B62" s="7" t="s">
        <v>195</v>
      </c>
      <c r="C62" s="8" t="s">
        <v>195</v>
      </c>
      <c r="D62" s="5" t="str">
        <f>LRTRIM(CONCATENATE(IF(SUMPRODUCT(-- ISNUMBER(SEARCH({"Auto Number"}, $B62))) &gt; 0, $B62, IF(SUMPRODUCT(-- ISNUMBER(SEARCH({"Lookup","Master-Detail"}, $B62))) &gt; 0,$B62 &amp; "(" &amp; $E62 &amp; ")",IF(SUMPRODUCT(-- ISNUMBER(SEARCH({"Formula","Roll-Up Summary"}, $B62))) &gt; 0,$B62 &amp; " (" &amp; $E62 &amp; ")",IF(SUMPRODUCT(-- ISNUMBER(SEARCH({"Content","Currency","Number","Percent","Text","URL"}, $B62))) &gt; 0,$B62 &amp; "(" &amp; $C62 &amp; ")",$B62)))), "  ", TRIM(IF($S62 = "YES", "(External ID)", "") &amp; " " &amp; IF(SUMPRODUCT(-- ISNUMBER(SEARCH({"Unique","Unique Case Insensitive"}, $R62))) &gt; 0, "(" &amp; $R62 &amp; ")", ""))))</f>
        <v>na</v>
      </c>
      <c r="E62" s="7" t="s">
        <v>195</v>
      </c>
      <c r="F62" s="7" t="s">
        <v>195</v>
      </c>
      <c r="G62" s="7" t="s">
        <v>195</v>
      </c>
      <c r="H62" s="7" t="s">
        <v>195</v>
      </c>
      <c r="I62" s="7" t="s">
        <v>195</v>
      </c>
      <c r="J62" s="7" t="s">
        <v>195</v>
      </c>
      <c r="K62" s="7" t="s">
        <v>195</v>
      </c>
      <c r="L62" s="7" t="s">
        <v>195</v>
      </c>
      <c r="M62" s="7" t="s">
        <v>29</v>
      </c>
      <c r="N62" s="7" t="s">
        <v>29</v>
      </c>
      <c r="O62" s="7" t="s">
        <v>29</v>
      </c>
      <c r="P62" s="7" t="s">
        <v>29</v>
      </c>
      <c r="Q62" s="7" t="s">
        <v>29</v>
      </c>
      <c r="R62" s="7" t="s">
        <v>29</v>
      </c>
      <c r="S62" s="7" t="s">
        <v>29</v>
      </c>
    </row>
    <row r="63" spans="2:19">
      <c r="B63" s="7" t="s">
        <v>195</v>
      </c>
      <c r="C63" s="8" t="s">
        <v>195</v>
      </c>
      <c r="D63" s="5" t="str">
        <f>LRTRIM(CONCATENATE(IF(SUMPRODUCT(-- ISNUMBER(SEARCH({"Auto Number"}, $B63))) &gt; 0, $B63, IF(SUMPRODUCT(-- ISNUMBER(SEARCH({"Lookup","Master-Detail"}, $B63))) &gt; 0,$B63 &amp; "(" &amp; $E63 &amp; ")",IF(SUMPRODUCT(-- ISNUMBER(SEARCH({"Formula","Roll-Up Summary"}, $B63))) &gt; 0,$B63 &amp; " (" &amp; $E63 &amp; ")",IF(SUMPRODUCT(-- ISNUMBER(SEARCH({"Content","Currency","Number","Percent","Text","URL"}, $B63))) &gt; 0,$B63 &amp; "(" &amp; $C63 &amp; ")",$B63)))), "  ", TRIM(IF($S63 = "YES", "(External ID)", "") &amp; " " &amp; IF(SUMPRODUCT(-- ISNUMBER(SEARCH({"Unique","Unique Case Insensitive"}, $R63))) &gt; 0, "(" &amp; $R63 &amp; ")", ""))))</f>
        <v>na</v>
      </c>
      <c r="E63" s="7" t="s">
        <v>195</v>
      </c>
      <c r="F63" s="7" t="s">
        <v>195</v>
      </c>
      <c r="G63" s="7" t="s">
        <v>195</v>
      </c>
      <c r="H63" s="7" t="s">
        <v>195</v>
      </c>
      <c r="I63" s="7" t="s">
        <v>195</v>
      </c>
      <c r="J63" s="7" t="s">
        <v>195</v>
      </c>
      <c r="K63" s="7" t="s">
        <v>195</v>
      </c>
      <c r="L63" s="7" t="s">
        <v>195</v>
      </c>
      <c r="M63" s="7" t="s">
        <v>29</v>
      </c>
      <c r="N63" s="7" t="s">
        <v>29</v>
      </c>
      <c r="O63" s="7" t="s">
        <v>29</v>
      </c>
      <c r="P63" s="7" t="s">
        <v>29</v>
      </c>
      <c r="Q63" s="7" t="s">
        <v>29</v>
      </c>
      <c r="R63" s="7" t="s">
        <v>29</v>
      </c>
      <c r="S63" s="7" t="s">
        <v>29</v>
      </c>
    </row>
    <row r="64" spans="2:19">
      <c r="B64" s="7" t="s">
        <v>195</v>
      </c>
      <c r="C64" s="8" t="s">
        <v>195</v>
      </c>
      <c r="D64" s="5" t="str">
        <f>LRTRIM(CONCATENATE(IF(SUMPRODUCT(-- ISNUMBER(SEARCH({"Auto Number"}, $B64))) &gt; 0, $B64, IF(SUMPRODUCT(-- ISNUMBER(SEARCH({"Lookup","Master-Detail"}, $B64))) &gt; 0,$B64 &amp; "(" &amp; $E64 &amp; ")",IF(SUMPRODUCT(-- ISNUMBER(SEARCH({"Formula","Roll-Up Summary"}, $B64))) &gt; 0,$B64 &amp; " (" &amp; $E64 &amp; ")",IF(SUMPRODUCT(-- ISNUMBER(SEARCH({"Content","Currency","Number","Percent","Text","URL"}, $B64))) &gt; 0,$B64 &amp; "(" &amp; $C64 &amp; ")",$B64)))), "  ", TRIM(IF($S64 = "YES", "(External ID)", "") &amp; " " &amp; IF(SUMPRODUCT(-- ISNUMBER(SEARCH({"Unique","Unique Case Insensitive"}, $R64))) &gt; 0, "(" &amp; $R64 &amp; ")", ""))))</f>
        <v>na</v>
      </c>
      <c r="E64" s="7" t="s">
        <v>195</v>
      </c>
      <c r="F64" s="7" t="s">
        <v>195</v>
      </c>
      <c r="G64" s="7" t="s">
        <v>195</v>
      </c>
      <c r="H64" s="7" t="s">
        <v>195</v>
      </c>
      <c r="I64" s="7" t="s">
        <v>195</v>
      </c>
      <c r="J64" s="7" t="s">
        <v>195</v>
      </c>
      <c r="K64" s="7" t="s">
        <v>195</v>
      </c>
      <c r="L64" s="7" t="s">
        <v>195</v>
      </c>
      <c r="M64" s="7" t="s">
        <v>29</v>
      </c>
      <c r="N64" s="7" t="s">
        <v>29</v>
      </c>
      <c r="O64" s="7" t="s">
        <v>29</v>
      </c>
      <c r="P64" s="7" t="s">
        <v>29</v>
      </c>
      <c r="Q64" s="7" t="s">
        <v>29</v>
      </c>
      <c r="R64" s="7" t="s">
        <v>29</v>
      </c>
      <c r="S64" s="7" t="s">
        <v>29</v>
      </c>
    </row>
    <row r="65" spans="2:19">
      <c r="B65" s="7" t="s">
        <v>195</v>
      </c>
      <c r="C65" s="8" t="s">
        <v>195</v>
      </c>
      <c r="D65" s="5" t="str">
        <f>LRTRIM(CONCATENATE(IF(SUMPRODUCT(-- ISNUMBER(SEARCH({"Auto Number"}, $B65))) &gt; 0, $B65, IF(SUMPRODUCT(-- ISNUMBER(SEARCH({"Lookup","Master-Detail"}, $B65))) &gt; 0,$B65 &amp; "(" &amp; $E65 &amp; ")",IF(SUMPRODUCT(-- ISNUMBER(SEARCH({"Formula","Roll-Up Summary"}, $B65))) &gt; 0,$B65 &amp; " (" &amp; $E65 &amp; ")",IF(SUMPRODUCT(-- ISNUMBER(SEARCH({"Content","Currency","Number","Percent","Text","URL"}, $B65))) &gt; 0,$B65 &amp; "(" &amp; $C65 &amp; ")",$B65)))), "  ", TRIM(IF($S65 = "YES", "(External ID)", "") &amp; " " &amp; IF(SUMPRODUCT(-- ISNUMBER(SEARCH({"Unique","Unique Case Insensitive"}, $R65))) &gt; 0, "(" &amp; $R65 &amp; ")", ""))))</f>
        <v>na</v>
      </c>
      <c r="E65" s="7" t="s">
        <v>195</v>
      </c>
      <c r="F65" s="7" t="s">
        <v>195</v>
      </c>
      <c r="G65" s="7" t="s">
        <v>195</v>
      </c>
      <c r="H65" s="7" t="s">
        <v>195</v>
      </c>
      <c r="I65" s="7" t="s">
        <v>195</v>
      </c>
      <c r="J65" s="7" t="s">
        <v>195</v>
      </c>
      <c r="K65" s="7" t="s">
        <v>195</v>
      </c>
      <c r="L65" s="7" t="s">
        <v>195</v>
      </c>
      <c r="M65" s="7" t="s">
        <v>29</v>
      </c>
      <c r="N65" s="7" t="s">
        <v>29</v>
      </c>
      <c r="O65" s="7" t="s">
        <v>29</v>
      </c>
      <c r="P65" s="7" t="s">
        <v>29</v>
      </c>
      <c r="Q65" s="7" t="s">
        <v>29</v>
      </c>
      <c r="R65" s="7" t="s">
        <v>29</v>
      </c>
      <c r="S65" s="7" t="s">
        <v>29</v>
      </c>
    </row>
    <row r="66" spans="2:19">
      <c r="B66" s="7" t="s">
        <v>195</v>
      </c>
      <c r="C66" s="8" t="s">
        <v>195</v>
      </c>
      <c r="D66" s="5" t="str">
        <f>LRTRIM(CONCATENATE(IF(SUMPRODUCT(-- ISNUMBER(SEARCH({"Auto Number"}, $B66))) &gt; 0, $B66, IF(SUMPRODUCT(-- ISNUMBER(SEARCH({"Lookup","Master-Detail"}, $B66))) &gt; 0,$B66 &amp; "(" &amp; $E66 &amp; ")",IF(SUMPRODUCT(-- ISNUMBER(SEARCH({"Formula","Roll-Up Summary"}, $B66))) &gt; 0,$B66 &amp; " (" &amp; $E66 &amp; ")",IF(SUMPRODUCT(-- ISNUMBER(SEARCH({"Content","Currency","Number","Percent","Text","URL"}, $B66))) &gt; 0,$B66 &amp; "(" &amp; $C66 &amp; ")",$B66)))), "  ", TRIM(IF($S66 = "YES", "(External ID)", "") &amp; " " &amp; IF(SUMPRODUCT(-- ISNUMBER(SEARCH({"Unique","Unique Case Insensitive"}, $R66))) &gt; 0, "(" &amp; $R66 &amp; ")", ""))))</f>
        <v>na</v>
      </c>
      <c r="E66" s="7" t="s">
        <v>195</v>
      </c>
      <c r="F66" s="7" t="s">
        <v>195</v>
      </c>
      <c r="G66" s="7" t="s">
        <v>195</v>
      </c>
      <c r="H66" s="7" t="s">
        <v>195</v>
      </c>
      <c r="I66" s="7" t="s">
        <v>195</v>
      </c>
      <c r="J66" s="7" t="s">
        <v>195</v>
      </c>
      <c r="K66" s="7" t="s">
        <v>195</v>
      </c>
      <c r="L66" s="7" t="s">
        <v>195</v>
      </c>
      <c r="M66" s="7" t="s">
        <v>29</v>
      </c>
      <c r="N66" s="7" t="s">
        <v>29</v>
      </c>
      <c r="O66" s="7" t="s">
        <v>29</v>
      </c>
      <c r="P66" s="7" t="s">
        <v>29</v>
      </c>
      <c r="Q66" s="7" t="s">
        <v>29</v>
      </c>
      <c r="R66" s="7" t="s">
        <v>29</v>
      </c>
      <c r="S66" s="7" t="s">
        <v>29</v>
      </c>
    </row>
    <row r="67" spans="2:19">
      <c r="B67" s="7" t="s">
        <v>195</v>
      </c>
      <c r="C67" s="8" t="s">
        <v>195</v>
      </c>
      <c r="D67" s="5" t="str">
        <f>LRTRIM(CONCATENATE(IF(SUMPRODUCT(-- ISNUMBER(SEARCH({"Auto Number"}, $B67))) &gt; 0, $B67, IF(SUMPRODUCT(-- ISNUMBER(SEARCH({"Lookup","Master-Detail"}, $B67))) &gt; 0,$B67 &amp; "(" &amp; $E67 &amp; ")",IF(SUMPRODUCT(-- ISNUMBER(SEARCH({"Formula","Roll-Up Summary"}, $B67))) &gt; 0,$B67 &amp; " (" &amp; $E67 &amp; ")",IF(SUMPRODUCT(-- ISNUMBER(SEARCH({"Content","Currency","Number","Percent","Text","URL"}, $B67))) &gt; 0,$B67 &amp; "(" &amp; $C67 &amp; ")",$B67)))), "  ", TRIM(IF($S67 = "YES", "(External ID)", "") &amp; " " &amp; IF(SUMPRODUCT(-- ISNUMBER(SEARCH({"Unique","Unique Case Insensitive"}, $R67))) &gt; 0, "(" &amp; $R67 &amp; ")", ""))))</f>
        <v>na</v>
      </c>
      <c r="E67" s="7" t="s">
        <v>195</v>
      </c>
      <c r="F67" s="7" t="s">
        <v>195</v>
      </c>
      <c r="G67" s="7" t="s">
        <v>195</v>
      </c>
      <c r="H67" s="7" t="s">
        <v>195</v>
      </c>
      <c r="I67" s="7" t="s">
        <v>195</v>
      </c>
      <c r="J67" s="7" t="s">
        <v>195</v>
      </c>
      <c r="K67" s="7" t="s">
        <v>195</v>
      </c>
      <c r="L67" s="7" t="s">
        <v>195</v>
      </c>
      <c r="M67" s="7" t="s">
        <v>29</v>
      </c>
      <c r="N67" s="7" t="s">
        <v>29</v>
      </c>
      <c r="O67" s="7" t="s">
        <v>29</v>
      </c>
      <c r="P67" s="7" t="s">
        <v>29</v>
      </c>
      <c r="Q67" s="7" t="s">
        <v>29</v>
      </c>
      <c r="R67" s="7" t="s">
        <v>29</v>
      </c>
      <c r="S67" s="7" t="s">
        <v>29</v>
      </c>
    </row>
    <row r="68" spans="2:19">
      <c r="B68" s="7" t="s">
        <v>195</v>
      </c>
      <c r="C68" s="8" t="s">
        <v>195</v>
      </c>
      <c r="D68" s="5" t="str">
        <f>LRTRIM(CONCATENATE(IF(SUMPRODUCT(-- ISNUMBER(SEARCH({"Auto Number"}, $B68))) &gt; 0, $B68, IF(SUMPRODUCT(-- ISNUMBER(SEARCH({"Lookup","Master-Detail"}, $B68))) &gt; 0,$B68 &amp; "(" &amp; $E68 &amp; ")",IF(SUMPRODUCT(-- ISNUMBER(SEARCH({"Formula","Roll-Up Summary"}, $B68))) &gt; 0,$B68 &amp; " (" &amp; $E68 &amp; ")",IF(SUMPRODUCT(-- ISNUMBER(SEARCH({"Content","Currency","Number","Percent","Text","URL"}, $B68))) &gt; 0,$B68 &amp; "(" &amp; $C68 &amp; ")",$B68)))), "  ", TRIM(IF($S68 = "YES", "(External ID)", "") &amp; " " &amp; IF(SUMPRODUCT(-- ISNUMBER(SEARCH({"Unique","Unique Case Insensitive"}, $R68))) &gt; 0, "(" &amp; $R68 &amp; ")", ""))))</f>
        <v>na</v>
      </c>
      <c r="E68" s="7" t="s">
        <v>195</v>
      </c>
      <c r="F68" s="7" t="s">
        <v>195</v>
      </c>
      <c r="G68" s="7" t="s">
        <v>195</v>
      </c>
      <c r="H68" s="7" t="s">
        <v>195</v>
      </c>
      <c r="I68" s="7" t="s">
        <v>195</v>
      </c>
      <c r="J68" s="7" t="s">
        <v>195</v>
      </c>
      <c r="K68" s="7" t="s">
        <v>195</v>
      </c>
      <c r="L68" s="7" t="s">
        <v>195</v>
      </c>
      <c r="M68" s="7" t="s">
        <v>29</v>
      </c>
      <c r="N68" s="7" t="s">
        <v>29</v>
      </c>
      <c r="O68" s="7" t="s">
        <v>29</v>
      </c>
      <c r="P68" s="7" t="s">
        <v>29</v>
      </c>
      <c r="Q68" s="7" t="s">
        <v>29</v>
      </c>
      <c r="R68" s="7" t="s">
        <v>29</v>
      </c>
      <c r="S68" s="7" t="s">
        <v>29</v>
      </c>
    </row>
    <row r="69" spans="2:19">
      <c r="B69" s="7" t="s">
        <v>195</v>
      </c>
      <c r="C69" s="8" t="s">
        <v>195</v>
      </c>
      <c r="D69" s="5" t="str">
        <f>LRTRIM(CONCATENATE(IF(SUMPRODUCT(-- ISNUMBER(SEARCH({"Auto Number"}, $B69))) &gt; 0, $B69, IF(SUMPRODUCT(-- ISNUMBER(SEARCH({"Lookup","Master-Detail"}, $B69))) &gt; 0,$B69 &amp; "(" &amp; $E69 &amp; ")",IF(SUMPRODUCT(-- ISNUMBER(SEARCH({"Formula","Roll-Up Summary"}, $B69))) &gt; 0,$B69 &amp; " (" &amp; $E69 &amp; ")",IF(SUMPRODUCT(-- ISNUMBER(SEARCH({"Content","Currency","Number","Percent","Text","URL"}, $B69))) &gt; 0,$B69 &amp; "(" &amp; $C69 &amp; ")",$B69)))), "  ", TRIM(IF($S69 = "YES", "(External ID)", "") &amp; " " &amp; IF(SUMPRODUCT(-- ISNUMBER(SEARCH({"Unique","Unique Case Insensitive"}, $R69))) &gt; 0, "(" &amp; $R69 &amp; ")", ""))))</f>
        <v>na</v>
      </c>
      <c r="E69" s="7" t="s">
        <v>195</v>
      </c>
      <c r="F69" s="7" t="s">
        <v>195</v>
      </c>
      <c r="G69" s="7" t="s">
        <v>195</v>
      </c>
      <c r="H69" s="7" t="s">
        <v>195</v>
      </c>
      <c r="I69" s="7" t="s">
        <v>195</v>
      </c>
      <c r="J69" s="7" t="s">
        <v>195</v>
      </c>
      <c r="K69" s="7" t="s">
        <v>195</v>
      </c>
      <c r="L69" s="7" t="s">
        <v>195</v>
      </c>
      <c r="M69" s="7" t="s">
        <v>29</v>
      </c>
      <c r="N69" s="7" t="s">
        <v>29</v>
      </c>
      <c r="O69" s="7" t="s">
        <v>29</v>
      </c>
      <c r="P69" s="7" t="s">
        <v>29</v>
      </c>
      <c r="Q69" s="7" t="s">
        <v>29</v>
      </c>
      <c r="R69" s="7" t="s">
        <v>29</v>
      </c>
      <c r="S69" s="7" t="s">
        <v>29</v>
      </c>
    </row>
    <row r="70" spans="2:19">
      <c r="B70" s="7" t="s">
        <v>195</v>
      </c>
      <c r="C70" s="8" t="s">
        <v>195</v>
      </c>
      <c r="D70" s="5" t="str">
        <f>LRTRIM(CONCATENATE(IF(SUMPRODUCT(-- ISNUMBER(SEARCH({"Auto Number"}, $B70))) &gt; 0, $B70, IF(SUMPRODUCT(-- ISNUMBER(SEARCH({"Lookup","Master-Detail"}, $B70))) &gt; 0,$B70 &amp; "(" &amp; $E70 &amp; ")",IF(SUMPRODUCT(-- ISNUMBER(SEARCH({"Formula","Roll-Up Summary"}, $B70))) &gt; 0,$B70 &amp; " (" &amp; $E70 &amp; ")",IF(SUMPRODUCT(-- ISNUMBER(SEARCH({"Content","Currency","Number","Percent","Text","URL"}, $B70))) &gt; 0,$B70 &amp; "(" &amp; $C70 &amp; ")",$B70)))), "  ", TRIM(IF($S70 = "YES", "(External ID)", "") &amp; " " &amp; IF(SUMPRODUCT(-- ISNUMBER(SEARCH({"Unique","Unique Case Insensitive"}, $R70))) &gt; 0, "(" &amp; $R70 &amp; ")", ""))))</f>
        <v>na</v>
      </c>
      <c r="E70" s="7" t="s">
        <v>195</v>
      </c>
      <c r="F70" s="7" t="s">
        <v>195</v>
      </c>
      <c r="G70" s="7" t="s">
        <v>195</v>
      </c>
      <c r="H70" s="7" t="s">
        <v>195</v>
      </c>
      <c r="I70" s="7" t="s">
        <v>195</v>
      </c>
      <c r="J70" s="7" t="s">
        <v>195</v>
      </c>
      <c r="K70" s="7" t="s">
        <v>195</v>
      </c>
      <c r="L70" s="7" t="s">
        <v>195</v>
      </c>
      <c r="M70" s="7" t="s">
        <v>29</v>
      </c>
      <c r="N70" s="7" t="s">
        <v>29</v>
      </c>
      <c r="O70" s="7" t="s">
        <v>29</v>
      </c>
      <c r="P70" s="7" t="s">
        <v>29</v>
      </c>
      <c r="Q70" s="7" t="s">
        <v>29</v>
      </c>
      <c r="R70" s="7" t="s">
        <v>29</v>
      </c>
      <c r="S70" s="7" t="s">
        <v>29</v>
      </c>
    </row>
    <row r="71" spans="2:19">
      <c r="B71" s="7" t="s">
        <v>195</v>
      </c>
      <c r="C71" s="8" t="s">
        <v>195</v>
      </c>
      <c r="D71" s="5" t="str">
        <f>LRTRIM(CONCATENATE(IF(SUMPRODUCT(-- ISNUMBER(SEARCH({"Auto Number"}, $B71))) &gt; 0, $B71, IF(SUMPRODUCT(-- ISNUMBER(SEARCH({"Lookup","Master-Detail"}, $B71))) &gt; 0,$B71 &amp; "(" &amp; $E71 &amp; ")",IF(SUMPRODUCT(-- ISNUMBER(SEARCH({"Formula","Roll-Up Summary"}, $B71))) &gt; 0,$B71 &amp; " (" &amp; $E71 &amp; ")",IF(SUMPRODUCT(-- ISNUMBER(SEARCH({"Content","Currency","Number","Percent","Text","URL"}, $B71))) &gt; 0,$B71 &amp; "(" &amp; $C71 &amp; ")",$B71)))), "  ", TRIM(IF($S71 = "YES", "(External ID)", "") &amp; " " &amp; IF(SUMPRODUCT(-- ISNUMBER(SEARCH({"Unique","Unique Case Insensitive"}, $R71))) &gt; 0, "(" &amp; $R71 &amp; ")", ""))))</f>
        <v>na</v>
      </c>
      <c r="E71" s="7" t="s">
        <v>195</v>
      </c>
      <c r="F71" s="7" t="s">
        <v>195</v>
      </c>
      <c r="G71" s="7" t="s">
        <v>195</v>
      </c>
      <c r="H71" s="7" t="s">
        <v>195</v>
      </c>
      <c r="I71" s="7" t="s">
        <v>195</v>
      </c>
      <c r="J71" s="7" t="s">
        <v>195</v>
      </c>
      <c r="K71" s="7" t="s">
        <v>195</v>
      </c>
      <c r="L71" s="7" t="s">
        <v>195</v>
      </c>
      <c r="M71" s="7" t="s">
        <v>29</v>
      </c>
      <c r="N71" s="7" t="s">
        <v>29</v>
      </c>
      <c r="O71" s="7" t="s">
        <v>29</v>
      </c>
      <c r="P71" s="7" t="s">
        <v>29</v>
      </c>
      <c r="Q71" s="7" t="s">
        <v>29</v>
      </c>
      <c r="R71" s="7" t="s">
        <v>29</v>
      </c>
      <c r="S71" s="7" t="s">
        <v>29</v>
      </c>
    </row>
    <row r="72" spans="2:19">
      <c r="B72" s="7" t="s">
        <v>195</v>
      </c>
      <c r="C72" s="8" t="s">
        <v>195</v>
      </c>
      <c r="D72" s="5" t="str">
        <f>LRTRIM(CONCATENATE(IF(SUMPRODUCT(-- ISNUMBER(SEARCH({"Auto Number"}, $B72))) &gt; 0, $B72, IF(SUMPRODUCT(-- ISNUMBER(SEARCH({"Lookup","Master-Detail"}, $B72))) &gt; 0,$B72 &amp; "(" &amp; $E72 &amp; ")",IF(SUMPRODUCT(-- ISNUMBER(SEARCH({"Formula","Roll-Up Summary"}, $B72))) &gt; 0,$B72 &amp; " (" &amp; $E72 &amp; ")",IF(SUMPRODUCT(-- ISNUMBER(SEARCH({"Content","Currency","Number","Percent","Text","URL"}, $B72))) &gt; 0,$B72 &amp; "(" &amp; $C72 &amp; ")",$B72)))), "  ", TRIM(IF($S72 = "YES", "(External ID)", "") &amp; " " &amp; IF(SUMPRODUCT(-- ISNUMBER(SEARCH({"Unique","Unique Case Insensitive"}, $R72))) &gt; 0, "(" &amp; $R72 &amp; ")", ""))))</f>
        <v>na</v>
      </c>
      <c r="E72" s="7" t="s">
        <v>195</v>
      </c>
      <c r="F72" s="7" t="s">
        <v>195</v>
      </c>
      <c r="G72" s="7" t="s">
        <v>195</v>
      </c>
      <c r="H72" s="7" t="s">
        <v>195</v>
      </c>
      <c r="I72" s="7" t="s">
        <v>195</v>
      </c>
      <c r="J72" s="7" t="s">
        <v>195</v>
      </c>
      <c r="K72" s="7" t="s">
        <v>195</v>
      </c>
      <c r="L72" s="7" t="s">
        <v>195</v>
      </c>
      <c r="M72" s="7" t="s">
        <v>29</v>
      </c>
      <c r="N72" s="7" t="s">
        <v>29</v>
      </c>
      <c r="O72" s="7" t="s">
        <v>29</v>
      </c>
      <c r="P72" s="7" t="s">
        <v>29</v>
      </c>
      <c r="Q72" s="7" t="s">
        <v>29</v>
      </c>
      <c r="R72" s="7" t="s">
        <v>29</v>
      </c>
      <c r="S72" s="7" t="s">
        <v>29</v>
      </c>
    </row>
    <row r="73" spans="2:19">
      <c r="B73" s="7" t="s">
        <v>195</v>
      </c>
      <c r="C73" s="8" t="s">
        <v>195</v>
      </c>
      <c r="D73" s="5" t="str">
        <f>LRTRIM(CONCATENATE(IF(SUMPRODUCT(-- ISNUMBER(SEARCH({"Auto Number"}, $B73))) &gt; 0, $B73, IF(SUMPRODUCT(-- ISNUMBER(SEARCH({"Lookup","Master-Detail"}, $B73))) &gt; 0,$B73 &amp; "(" &amp; $E73 &amp; ")",IF(SUMPRODUCT(-- ISNUMBER(SEARCH({"Formula","Roll-Up Summary"}, $B73))) &gt; 0,$B73 &amp; " (" &amp; $E73 &amp; ")",IF(SUMPRODUCT(-- ISNUMBER(SEARCH({"Content","Currency","Number","Percent","Text","URL"}, $B73))) &gt; 0,$B73 &amp; "(" &amp; $C73 &amp; ")",$B73)))), "  ", TRIM(IF($S73 = "YES", "(External ID)", "") &amp; " " &amp; IF(SUMPRODUCT(-- ISNUMBER(SEARCH({"Unique","Unique Case Insensitive"}, $R73))) &gt; 0, "(" &amp; $R73 &amp; ")", ""))))</f>
        <v>na</v>
      </c>
      <c r="E73" s="7" t="s">
        <v>195</v>
      </c>
      <c r="F73" s="7" t="s">
        <v>195</v>
      </c>
      <c r="G73" s="7" t="s">
        <v>195</v>
      </c>
      <c r="H73" s="7" t="s">
        <v>195</v>
      </c>
      <c r="I73" s="7" t="s">
        <v>195</v>
      </c>
      <c r="J73" s="7" t="s">
        <v>195</v>
      </c>
      <c r="K73" s="7" t="s">
        <v>195</v>
      </c>
      <c r="L73" s="7" t="s">
        <v>195</v>
      </c>
      <c r="M73" s="7" t="s">
        <v>29</v>
      </c>
      <c r="N73" s="7" t="s">
        <v>29</v>
      </c>
      <c r="O73" s="7" t="s">
        <v>29</v>
      </c>
      <c r="P73" s="7" t="s">
        <v>29</v>
      </c>
      <c r="Q73" s="7" t="s">
        <v>29</v>
      </c>
      <c r="R73" s="7" t="s">
        <v>29</v>
      </c>
      <c r="S73" s="7" t="s">
        <v>29</v>
      </c>
    </row>
    <row r="74" spans="2:19">
      <c r="B74" s="7" t="s">
        <v>195</v>
      </c>
      <c r="C74" s="8" t="s">
        <v>195</v>
      </c>
      <c r="D74" s="5" t="str">
        <f>LRTRIM(CONCATENATE(IF(SUMPRODUCT(-- ISNUMBER(SEARCH({"Auto Number"}, $B74))) &gt; 0, $B74, IF(SUMPRODUCT(-- ISNUMBER(SEARCH({"Lookup","Master-Detail"}, $B74))) &gt; 0,$B74 &amp; "(" &amp; $E74 &amp; ")",IF(SUMPRODUCT(-- ISNUMBER(SEARCH({"Formula","Roll-Up Summary"}, $B74))) &gt; 0,$B74 &amp; " (" &amp; $E74 &amp; ")",IF(SUMPRODUCT(-- ISNUMBER(SEARCH({"Content","Currency","Number","Percent","Text","URL"}, $B74))) &gt; 0,$B74 &amp; "(" &amp; $C74 &amp; ")",$B74)))), "  ", TRIM(IF($S74 = "YES", "(External ID)", "") &amp; " " &amp; IF(SUMPRODUCT(-- ISNUMBER(SEARCH({"Unique","Unique Case Insensitive"}, $R74))) &gt; 0, "(" &amp; $R74 &amp; ")", ""))))</f>
        <v>na</v>
      </c>
      <c r="E74" s="7" t="s">
        <v>195</v>
      </c>
      <c r="F74" s="7" t="s">
        <v>195</v>
      </c>
      <c r="G74" s="7" t="s">
        <v>195</v>
      </c>
      <c r="H74" s="7" t="s">
        <v>195</v>
      </c>
      <c r="I74" s="7" t="s">
        <v>195</v>
      </c>
      <c r="J74" s="7" t="s">
        <v>195</v>
      </c>
      <c r="K74" s="7" t="s">
        <v>195</v>
      </c>
      <c r="L74" s="7" t="s">
        <v>195</v>
      </c>
      <c r="M74" s="7" t="s">
        <v>29</v>
      </c>
      <c r="N74" s="7" t="s">
        <v>29</v>
      </c>
      <c r="O74" s="7" t="s">
        <v>29</v>
      </c>
      <c r="P74" s="7" t="s">
        <v>29</v>
      </c>
      <c r="Q74" s="7" t="s">
        <v>29</v>
      </c>
      <c r="R74" s="7" t="s">
        <v>29</v>
      </c>
      <c r="S74" s="7" t="s">
        <v>29</v>
      </c>
    </row>
    <row r="75" spans="2:19">
      <c r="B75" s="7" t="s">
        <v>195</v>
      </c>
      <c r="C75" s="8" t="s">
        <v>195</v>
      </c>
      <c r="D75" s="5" t="str">
        <f>LRTRIM(CONCATENATE(IF(SUMPRODUCT(-- ISNUMBER(SEARCH({"Auto Number"}, $B75))) &gt; 0, $B75, IF(SUMPRODUCT(-- ISNUMBER(SEARCH({"Lookup","Master-Detail"}, $B75))) &gt; 0,$B75 &amp; "(" &amp; $E75 &amp; ")",IF(SUMPRODUCT(-- ISNUMBER(SEARCH({"Formula","Roll-Up Summary"}, $B75))) &gt; 0,$B75 &amp; " (" &amp; $E75 &amp; ")",IF(SUMPRODUCT(-- ISNUMBER(SEARCH({"Content","Currency","Number","Percent","Text","URL"}, $B75))) &gt; 0,$B75 &amp; "(" &amp; $C75 &amp; ")",$B75)))), "  ", TRIM(IF($S75 = "YES", "(External ID)", "") &amp; " " &amp; IF(SUMPRODUCT(-- ISNUMBER(SEARCH({"Unique","Unique Case Insensitive"}, $R75))) &gt; 0, "(" &amp; $R75 &amp; ")", ""))))</f>
        <v>na</v>
      </c>
      <c r="E75" s="7" t="s">
        <v>195</v>
      </c>
      <c r="F75" s="7" t="s">
        <v>195</v>
      </c>
      <c r="G75" s="7" t="s">
        <v>195</v>
      </c>
      <c r="H75" s="7" t="s">
        <v>195</v>
      </c>
      <c r="I75" s="7" t="s">
        <v>195</v>
      </c>
      <c r="J75" s="7" t="s">
        <v>195</v>
      </c>
      <c r="K75" s="7" t="s">
        <v>195</v>
      </c>
      <c r="L75" s="7" t="s">
        <v>195</v>
      </c>
      <c r="M75" s="7" t="s">
        <v>29</v>
      </c>
      <c r="N75" s="7" t="s">
        <v>29</v>
      </c>
      <c r="O75" s="7" t="s">
        <v>29</v>
      </c>
      <c r="P75" s="7" t="s">
        <v>29</v>
      </c>
      <c r="Q75" s="7" t="s">
        <v>29</v>
      </c>
      <c r="R75" s="7" t="s">
        <v>29</v>
      </c>
      <c r="S75" s="7" t="s">
        <v>29</v>
      </c>
    </row>
    <row r="76" spans="2:19">
      <c r="B76" s="7" t="s">
        <v>195</v>
      </c>
      <c r="C76" s="8" t="s">
        <v>195</v>
      </c>
      <c r="D76" s="5" t="str">
        <f>LRTRIM(CONCATENATE(IF(SUMPRODUCT(-- ISNUMBER(SEARCH({"Auto Number"}, $B76))) &gt; 0, $B76, IF(SUMPRODUCT(-- ISNUMBER(SEARCH({"Lookup","Master-Detail"}, $B76))) &gt; 0,$B76 &amp; "(" &amp; $E76 &amp; ")",IF(SUMPRODUCT(-- ISNUMBER(SEARCH({"Formula","Roll-Up Summary"}, $B76))) &gt; 0,$B76 &amp; " (" &amp; $E76 &amp; ")",IF(SUMPRODUCT(-- ISNUMBER(SEARCH({"Content","Currency","Number","Percent","Text","URL"}, $B76))) &gt; 0,$B76 &amp; "(" &amp; $C76 &amp; ")",$B76)))), "  ", TRIM(IF($S76 = "YES", "(External ID)", "") &amp; " " &amp; IF(SUMPRODUCT(-- ISNUMBER(SEARCH({"Unique","Unique Case Insensitive"}, $R76))) &gt; 0, "(" &amp; $R76 &amp; ")", ""))))</f>
        <v>na</v>
      </c>
      <c r="E76" s="7" t="s">
        <v>195</v>
      </c>
      <c r="F76" s="7" t="s">
        <v>195</v>
      </c>
      <c r="G76" s="7" t="s">
        <v>195</v>
      </c>
      <c r="H76" s="7" t="s">
        <v>195</v>
      </c>
      <c r="I76" s="7" t="s">
        <v>195</v>
      </c>
      <c r="J76" s="7" t="s">
        <v>195</v>
      </c>
      <c r="K76" s="7" t="s">
        <v>195</v>
      </c>
      <c r="L76" s="7" t="s">
        <v>195</v>
      </c>
      <c r="M76" s="7" t="s">
        <v>29</v>
      </c>
      <c r="N76" s="7" t="s">
        <v>29</v>
      </c>
      <c r="O76" s="7" t="s">
        <v>29</v>
      </c>
      <c r="P76" s="7" t="s">
        <v>29</v>
      </c>
      <c r="Q76" s="7" t="s">
        <v>29</v>
      </c>
      <c r="R76" s="7" t="s">
        <v>29</v>
      </c>
      <c r="S76" s="7" t="s">
        <v>29</v>
      </c>
    </row>
    <row r="77" spans="2:19">
      <c r="B77" s="7" t="s">
        <v>195</v>
      </c>
      <c r="C77" s="8" t="s">
        <v>195</v>
      </c>
      <c r="D77" s="5" t="str">
        <f>LRTRIM(CONCATENATE(IF(SUMPRODUCT(-- ISNUMBER(SEARCH({"Auto Number"}, $B77))) &gt; 0, $B77, IF(SUMPRODUCT(-- ISNUMBER(SEARCH({"Lookup","Master-Detail"}, $B77))) &gt; 0,$B77 &amp; "(" &amp; $E77 &amp; ")",IF(SUMPRODUCT(-- ISNUMBER(SEARCH({"Formula","Roll-Up Summary"}, $B77))) &gt; 0,$B77 &amp; " (" &amp; $E77 &amp; ")",IF(SUMPRODUCT(-- ISNUMBER(SEARCH({"Content","Currency","Number","Percent","Text","URL"}, $B77))) &gt; 0,$B77 &amp; "(" &amp; $C77 &amp; ")",$B77)))), "  ", TRIM(IF($S77 = "YES", "(External ID)", "") &amp; " " &amp; IF(SUMPRODUCT(-- ISNUMBER(SEARCH({"Unique","Unique Case Insensitive"}, $R77))) &gt; 0, "(" &amp; $R77 &amp; ")", ""))))</f>
        <v>na</v>
      </c>
      <c r="E77" s="7" t="s">
        <v>195</v>
      </c>
      <c r="F77" s="7" t="s">
        <v>195</v>
      </c>
      <c r="G77" s="7" t="s">
        <v>195</v>
      </c>
      <c r="H77" s="7" t="s">
        <v>195</v>
      </c>
      <c r="I77" s="7" t="s">
        <v>195</v>
      </c>
      <c r="J77" s="7" t="s">
        <v>195</v>
      </c>
      <c r="K77" s="7" t="s">
        <v>195</v>
      </c>
      <c r="L77" s="7" t="s">
        <v>195</v>
      </c>
      <c r="M77" s="7" t="s">
        <v>29</v>
      </c>
      <c r="N77" s="7" t="s">
        <v>29</v>
      </c>
      <c r="O77" s="7" t="s">
        <v>29</v>
      </c>
      <c r="P77" s="7" t="s">
        <v>29</v>
      </c>
      <c r="Q77" s="7" t="s">
        <v>29</v>
      </c>
      <c r="R77" s="7" t="s">
        <v>29</v>
      </c>
      <c r="S77" s="7" t="s">
        <v>29</v>
      </c>
    </row>
    <row r="78" spans="2:19">
      <c r="B78" s="7" t="s">
        <v>195</v>
      </c>
      <c r="C78" s="8" t="s">
        <v>195</v>
      </c>
      <c r="D78" s="5" t="str">
        <f>LRTRIM(CONCATENATE(IF(SUMPRODUCT(-- ISNUMBER(SEARCH({"Auto Number"}, $B78))) &gt; 0, $B78, IF(SUMPRODUCT(-- ISNUMBER(SEARCH({"Lookup","Master-Detail"}, $B78))) &gt; 0,$B78 &amp; "(" &amp; $E78 &amp; ")",IF(SUMPRODUCT(-- ISNUMBER(SEARCH({"Formula","Roll-Up Summary"}, $B78))) &gt; 0,$B78 &amp; " (" &amp; $E78 &amp; ")",IF(SUMPRODUCT(-- ISNUMBER(SEARCH({"Content","Currency","Number","Percent","Text","URL"}, $B78))) &gt; 0,$B78 &amp; "(" &amp; $C78 &amp; ")",$B78)))), "  ", TRIM(IF($S78 = "YES", "(External ID)", "") &amp; " " &amp; IF(SUMPRODUCT(-- ISNUMBER(SEARCH({"Unique","Unique Case Insensitive"}, $R78))) &gt; 0, "(" &amp; $R78 &amp; ")", ""))))</f>
        <v>na</v>
      </c>
      <c r="E78" s="7" t="s">
        <v>195</v>
      </c>
      <c r="F78" s="7" t="s">
        <v>195</v>
      </c>
      <c r="G78" s="7" t="s">
        <v>195</v>
      </c>
      <c r="H78" s="7" t="s">
        <v>195</v>
      </c>
      <c r="I78" s="7" t="s">
        <v>195</v>
      </c>
      <c r="J78" s="7" t="s">
        <v>195</v>
      </c>
      <c r="K78" s="7" t="s">
        <v>195</v>
      </c>
      <c r="L78" s="7" t="s">
        <v>195</v>
      </c>
      <c r="M78" s="7" t="s">
        <v>29</v>
      </c>
      <c r="N78" s="7" t="s">
        <v>29</v>
      </c>
      <c r="O78" s="7" t="s">
        <v>29</v>
      </c>
      <c r="P78" s="7" t="s">
        <v>29</v>
      </c>
      <c r="Q78" s="7" t="s">
        <v>29</v>
      </c>
      <c r="R78" s="7" t="s">
        <v>29</v>
      </c>
      <c r="S78" s="7" t="s">
        <v>29</v>
      </c>
    </row>
    <row r="79" spans="2:19">
      <c r="B79" s="7" t="s">
        <v>195</v>
      </c>
      <c r="C79" s="8" t="s">
        <v>195</v>
      </c>
      <c r="D79" s="5" t="str">
        <f>LRTRIM(CONCATENATE(IF(SUMPRODUCT(-- ISNUMBER(SEARCH({"Auto Number"}, $B79))) &gt; 0, $B79, IF(SUMPRODUCT(-- ISNUMBER(SEARCH({"Lookup","Master-Detail"}, $B79))) &gt; 0,$B79 &amp; "(" &amp; $E79 &amp; ")",IF(SUMPRODUCT(-- ISNUMBER(SEARCH({"Formula","Roll-Up Summary"}, $B79))) &gt; 0,$B79 &amp; " (" &amp; $E79 &amp; ")",IF(SUMPRODUCT(-- ISNUMBER(SEARCH({"Content","Currency","Number","Percent","Text","URL"}, $B79))) &gt; 0,$B79 &amp; "(" &amp; $C79 &amp; ")",$B79)))), "  ", TRIM(IF($S79 = "YES", "(External ID)", "") &amp; " " &amp; IF(SUMPRODUCT(-- ISNUMBER(SEARCH({"Unique","Unique Case Insensitive"}, $R79))) &gt; 0, "(" &amp; $R79 &amp; ")", ""))))</f>
        <v>na</v>
      </c>
      <c r="E79" s="7" t="s">
        <v>195</v>
      </c>
      <c r="F79" s="7" t="s">
        <v>195</v>
      </c>
      <c r="G79" s="7" t="s">
        <v>195</v>
      </c>
      <c r="H79" s="7" t="s">
        <v>195</v>
      </c>
      <c r="I79" s="7" t="s">
        <v>195</v>
      </c>
      <c r="J79" s="7" t="s">
        <v>195</v>
      </c>
      <c r="K79" s="7" t="s">
        <v>195</v>
      </c>
      <c r="L79" s="7" t="s">
        <v>195</v>
      </c>
      <c r="M79" s="7" t="s">
        <v>29</v>
      </c>
      <c r="N79" s="7" t="s">
        <v>29</v>
      </c>
      <c r="O79" s="7" t="s">
        <v>29</v>
      </c>
      <c r="P79" s="7" t="s">
        <v>29</v>
      </c>
      <c r="Q79" s="7" t="s">
        <v>29</v>
      </c>
      <c r="R79" s="7" t="s">
        <v>29</v>
      </c>
      <c r="S79" s="7" t="s">
        <v>29</v>
      </c>
    </row>
    <row r="80" spans="2:19">
      <c r="B80" s="7" t="s">
        <v>195</v>
      </c>
      <c r="C80" s="8" t="s">
        <v>195</v>
      </c>
      <c r="D80" s="5" t="str">
        <f>LRTRIM(CONCATENATE(IF(SUMPRODUCT(-- ISNUMBER(SEARCH({"Auto Number"}, $B80))) &gt; 0, $B80, IF(SUMPRODUCT(-- ISNUMBER(SEARCH({"Lookup","Master-Detail"}, $B80))) &gt; 0,$B80 &amp; "(" &amp; $E80 &amp; ")",IF(SUMPRODUCT(-- ISNUMBER(SEARCH({"Formula","Roll-Up Summary"}, $B80))) &gt; 0,$B80 &amp; " (" &amp; $E80 &amp; ")",IF(SUMPRODUCT(-- ISNUMBER(SEARCH({"Content","Currency","Number","Percent","Text","URL"}, $B80))) &gt; 0,$B80 &amp; "(" &amp; $C80 &amp; ")",$B80)))), "  ", TRIM(IF($S80 = "YES", "(External ID)", "") &amp; " " &amp; IF(SUMPRODUCT(-- ISNUMBER(SEARCH({"Unique","Unique Case Insensitive"}, $R80))) &gt; 0, "(" &amp; $R80 &amp; ")", ""))))</f>
        <v>na</v>
      </c>
      <c r="E80" s="7" t="s">
        <v>195</v>
      </c>
      <c r="F80" s="7" t="s">
        <v>195</v>
      </c>
      <c r="G80" s="7" t="s">
        <v>195</v>
      </c>
      <c r="H80" s="7" t="s">
        <v>195</v>
      </c>
      <c r="I80" s="7" t="s">
        <v>195</v>
      </c>
      <c r="J80" s="7" t="s">
        <v>195</v>
      </c>
      <c r="K80" s="7" t="s">
        <v>195</v>
      </c>
      <c r="L80" s="7" t="s">
        <v>195</v>
      </c>
      <c r="M80" s="7" t="s">
        <v>29</v>
      </c>
      <c r="N80" s="7" t="s">
        <v>29</v>
      </c>
      <c r="O80" s="7" t="s">
        <v>29</v>
      </c>
      <c r="P80" s="7" t="s">
        <v>29</v>
      </c>
      <c r="Q80" s="7" t="s">
        <v>29</v>
      </c>
      <c r="R80" s="7" t="s">
        <v>29</v>
      </c>
      <c r="S80" s="7" t="s">
        <v>29</v>
      </c>
    </row>
    <row r="81" spans="2:19">
      <c r="B81" s="7" t="s">
        <v>195</v>
      </c>
      <c r="C81" s="8" t="s">
        <v>195</v>
      </c>
      <c r="D81" s="5" t="str">
        <f>LRTRIM(CONCATENATE(IF(SUMPRODUCT(-- ISNUMBER(SEARCH({"Auto Number"}, $B81))) &gt; 0, $B81, IF(SUMPRODUCT(-- ISNUMBER(SEARCH({"Lookup","Master-Detail"}, $B81))) &gt; 0,$B81 &amp; "(" &amp; $E81 &amp; ")",IF(SUMPRODUCT(-- ISNUMBER(SEARCH({"Formula","Roll-Up Summary"}, $B81))) &gt; 0,$B81 &amp; " (" &amp; $E81 &amp; ")",IF(SUMPRODUCT(-- ISNUMBER(SEARCH({"Content","Currency","Number","Percent","Text","URL"}, $B81))) &gt; 0,$B81 &amp; "(" &amp; $C81 &amp; ")",$B81)))), "  ", TRIM(IF($S81 = "YES", "(External ID)", "") &amp; " " &amp; IF(SUMPRODUCT(-- ISNUMBER(SEARCH({"Unique","Unique Case Insensitive"}, $R81))) &gt; 0, "(" &amp; $R81 &amp; ")", ""))))</f>
        <v>na</v>
      </c>
      <c r="E81" s="7" t="s">
        <v>195</v>
      </c>
      <c r="F81" s="7" t="s">
        <v>195</v>
      </c>
      <c r="G81" s="7" t="s">
        <v>195</v>
      </c>
      <c r="H81" s="7" t="s">
        <v>195</v>
      </c>
      <c r="I81" s="7" t="s">
        <v>195</v>
      </c>
      <c r="J81" s="7" t="s">
        <v>195</v>
      </c>
      <c r="K81" s="7" t="s">
        <v>195</v>
      </c>
      <c r="L81" s="7" t="s">
        <v>195</v>
      </c>
      <c r="M81" s="7" t="s">
        <v>29</v>
      </c>
      <c r="N81" s="7" t="s">
        <v>29</v>
      </c>
      <c r="O81" s="7" t="s">
        <v>29</v>
      </c>
      <c r="P81" s="7" t="s">
        <v>29</v>
      </c>
      <c r="Q81" s="7" t="s">
        <v>29</v>
      </c>
      <c r="R81" s="7" t="s">
        <v>29</v>
      </c>
      <c r="S81" s="7" t="s">
        <v>29</v>
      </c>
    </row>
    <row r="82" spans="2:19">
      <c r="B82" s="7" t="s">
        <v>195</v>
      </c>
      <c r="C82" s="8" t="s">
        <v>195</v>
      </c>
      <c r="D82" s="5" t="str">
        <f>LRTRIM(CONCATENATE(IF(SUMPRODUCT(-- ISNUMBER(SEARCH({"Auto Number"}, $B82))) &gt; 0, $B82, IF(SUMPRODUCT(-- ISNUMBER(SEARCH({"Lookup","Master-Detail"}, $B82))) &gt; 0,$B82 &amp; "(" &amp; $E82 &amp; ")",IF(SUMPRODUCT(-- ISNUMBER(SEARCH({"Formula","Roll-Up Summary"}, $B82))) &gt; 0,$B82 &amp; " (" &amp; $E82 &amp; ")",IF(SUMPRODUCT(-- ISNUMBER(SEARCH({"Content","Currency","Number","Percent","Text","URL"}, $B82))) &gt; 0,$B82 &amp; "(" &amp; $C82 &amp; ")",$B82)))), "  ", TRIM(IF($S82 = "YES", "(External ID)", "") &amp; " " &amp; IF(SUMPRODUCT(-- ISNUMBER(SEARCH({"Unique","Unique Case Insensitive"}, $R82))) &gt; 0, "(" &amp; $R82 &amp; ")", ""))))</f>
        <v>na</v>
      </c>
      <c r="E82" s="7" t="s">
        <v>195</v>
      </c>
      <c r="F82" s="7" t="s">
        <v>195</v>
      </c>
      <c r="G82" s="7" t="s">
        <v>195</v>
      </c>
      <c r="H82" s="7" t="s">
        <v>195</v>
      </c>
      <c r="I82" s="7" t="s">
        <v>195</v>
      </c>
      <c r="J82" s="7" t="s">
        <v>195</v>
      </c>
      <c r="K82" s="7" t="s">
        <v>195</v>
      </c>
      <c r="L82" s="7" t="s">
        <v>195</v>
      </c>
      <c r="M82" s="7" t="s">
        <v>29</v>
      </c>
      <c r="N82" s="7" t="s">
        <v>29</v>
      </c>
      <c r="O82" s="7" t="s">
        <v>29</v>
      </c>
      <c r="P82" s="7" t="s">
        <v>29</v>
      </c>
      <c r="Q82" s="7" t="s">
        <v>29</v>
      </c>
      <c r="R82" s="7" t="s">
        <v>29</v>
      </c>
      <c r="S82" s="7" t="s">
        <v>29</v>
      </c>
    </row>
    <row r="83" spans="2:19">
      <c r="B83" s="7" t="s">
        <v>195</v>
      </c>
      <c r="C83" s="8" t="s">
        <v>195</v>
      </c>
      <c r="D83" s="5" t="str">
        <f>LRTRIM(CONCATENATE(IF(SUMPRODUCT(-- ISNUMBER(SEARCH({"Auto Number"}, $B83))) &gt; 0, $B83, IF(SUMPRODUCT(-- ISNUMBER(SEARCH({"Lookup","Master-Detail"}, $B83))) &gt; 0,$B83 &amp; "(" &amp; $E83 &amp; ")",IF(SUMPRODUCT(-- ISNUMBER(SEARCH({"Formula","Roll-Up Summary"}, $B83))) &gt; 0,$B83 &amp; " (" &amp; $E83 &amp; ")",IF(SUMPRODUCT(-- ISNUMBER(SEARCH({"Content","Currency","Number","Percent","Text","URL"}, $B83))) &gt; 0,$B83 &amp; "(" &amp; $C83 &amp; ")",$B83)))), "  ", TRIM(IF($S83 = "YES", "(External ID)", "") &amp; " " &amp; IF(SUMPRODUCT(-- ISNUMBER(SEARCH({"Unique","Unique Case Insensitive"}, $R83))) &gt; 0, "(" &amp; $R83 &amp; ")", ""))))</f>
        <v>na</v>
      </c>
      <c r="E83" s="7" t="s">
        <v>195</v>
      </c>
      <c r="F83" s="7" t="s">
        <v>195</v>
      </c>
      <c r="G83" s="7" t="s">
        <v>195</v>
      </c>
      <c r="H83" s="7" t="s">
        <v>195</v>
      </c>
      <c r="I83" s="7" t="s">
        <v>195</v>
      </c>
      <c r="J83" s="7" t="s">
        <v>195</v>
      </c>
      <c r="K83" s="7" t="s">
        <v>195</v>
      </c>
      <c r="L83" s="7" t="s">
        <v>195</v>
      </c>
      <c r="M83" s="7" t="s">
        <v>29</v>
      </c>
      <c r="N83" s="7" t="s">
        <v>29</v>
      </c>
      <c r="O83" s="7" t="s">
        <v>29</v>
      </c>
      <c r="P83" s="7" t="s">
        <v>29</v>
      </c>
      <c r="Q83" s="7" t="s">
        <v>29</v>
      </c>
      <c r="R83" s="7" t="s">
        <v>29</v>
      </c>
      <c r="S83" s="7" t="s">
        <v>29</v>
      </c>
    </row>
    <row r="84" spans="2:19">
      <c r="B84" s="7" t="s">
        <v>195</v>
      </c>
      <c r="C84" s="8" t="s">
        <v>195</v>
      </c>
      <c r="D84" s="5" t="str">
        <f>LRTRIM(CONCATENATE(IF(SUMPRODUCT(-- ISNUMBER(SEARCH({"Auto Number"}, $B84))) &gt; 0, $B84, IF(SUMPRODUCT(-- ISNUMBER(SEARCH({"Lookup","Master-Detail"}, $B84))) &gt; 0,$B84 &amp; "(" &amp; $E84 &amp; ")",IF(SUMPRODUCT(-- ISNUMBER(SEARCH({"Formula","Roll-Up Summary"}, $B84))) &gt; 0,$B84 &amp; " (" &amp; $E84 &amp; ")",IF(SUMPRODUCT(-- ISNUMBER(SEARCH({"Content","Currency","Number","Percent","Text","URL"}, $B84))) &gt; 0,$B84 &amp; "(" &amp; $C84 &amp; ")",$B84)))), "  ", TRIM(IF($S84 = "YES", "(External ID)", "") &amp; " " &amp; IF(SUMPRODUCT(-- ISNUMBER(SEARCH({"Unique","Unique Case Insensitive"}, $R84))) &gt; 0, "(" &amp; $R84 &amp; ")", ""))))</f>
        <v>na</v>
      </c>
      <c r="E84" s="7" t="s">
        <v>195</v>
      </c>
      <c r="F84" s="7" t="s">
        <v>195</v>
      </c>
      <c r="G84" s="7" t="s">
        <v>195</v>
      </c>
      <c r="H84" s="7" t="s">
        <v>195</v>
      </c>
      <c r="I84" s="7" t="s">
        <v>195</v>
      </c>
      <c r="J84" s="7" t="s">
        <v>195</v>
      </c>
      <c r="K84" s="7" t="s">
        <v>195</v>
      </c>
      <c r="L84" s="7" t="s">
        <v>195</v>
      </c>
      <c r="M84" s="7" t="s">
        <v>29</v>
      </c>
      <c r="N84" s="7" t="s">
        <v>29</v>
      </c>
      <c r="O84" s="7" t="s">
        <v>29</v>
      </c>
      <c r="P84" s="7" t="s">
        <v>29</v>
      </c>
      <c r="Q84" s="7" t="s">
        <v>29</v>
      </c>
      <c r="R84" s="7" t="s">
        <v>29</v>
      </c>
      <c r="S84" s="7" t="s">
        <v>29</v>
      </c>
    </row>
    <row r="85" spans="2:19">
      <c r="B85" s="7" t="s">
        <v>195</v>
      </c>
      <c r="C85" s="8" t="s">
        <v>195</v>
      </c>
      <c r="D85" s="5" t="str">
        <f>LRTRIM(CONCATENATE(IF(SUMPRODUCT(-- ISNUMBER(SEARCH({"Auto Number"}, $B85))) &gt; 0, $B85, IF(SUMPRODUCT(-- ISNUMBER(SEARCH({"Lookup","Master-Detail"}, $B85))) &gt; 0,$B85 &amp; "(" &amp; $E85 &amp; ")",IF(SUMPRODUCT(-- ISNUMBER(SEARCH({"Formula","Roll-Up Summary"}, $B85))) &gt; 0,$B85 &amp; " (" &amp; $E85 &amp; ")",IF(SUMPRODUCT(-- ISNUMBER(SEARCH({"Content","Currency","Number","Percent","Text","URL"}, $B85))) &gt; 0,$B85 &amp; "(" &amp; $C85 &amp; ")",$B85)))), "  ", TRIM(IF($S85 = "YES", "(External ID)", "") &amp; " " &amp; IF(SUMPRODUCT(-- ISNUMBER(SEARCH({"Unique","Unique Case Insensitive"}, $R85))) &gt; 0, "(" &amp; $R85 &amp; ")", ""))))</f>
        <v>na</v>
      </c>
      <c r="E85" s="7" t="s">
        <v>195</v>
      </c>
      <c r="F85" s="7" t="s">
        <v>195</v>
      </c>
      <c r="G85" s="7" t="s">
        <v>195</v>
      </c>
      <c r="H85" s="7" t="s">
        <v>195</v>
      </c>
      <c r="I85" s="7" t="s">
        <v>195</v>
      </c>
      <c r="J85" s="7" t="s">
        <v>195</v>
      </c>
      <c r="K85" s="7" t="s">
        <v>195</v>
      </c>
      <c r="L85" s="7" t="s">
        <v>195</v>
      </c>
      <c r="M85" s="7" t="s">
        <v>29</v>
      </c>
      <c r="N85" s="7" t="s">
        <v>29</v>
      </c>
      <c r="O85" s="7" t="s">
        <v>29</v>
      </c>
      <c r="P85" s="7" t="s">
        <v>29</v>
      </c>
      <c r="Q85" s="7" t="s">
        <v>29</v>
      </c>
      <c r="R85" s="7" t="s">
        <v>29</v>
      </c>
      <c r="S85" s="7" t="s">
        <v>29</v>
      </c>
    </row>
    <row r="86" spans="2:19">
      <c r="B86" s="7" t="s">
        <v>195</v>
      </c>
      <c r="C86" s="8" t="s">
        <v>195</v>
      </c>
      <c r="D86" s="5" t="str">
        <f>LRTRIM(CONCATENATE(IF(SUMPRODUCT(-- ISNUMBER(SEARCH({"Auto Number"}, $B86))) &gt; 0, $B86, IF(SUMPRODUCT(-- ISNUMBER(SEARCH({"Lookup","Master-Detail"}, $B86))) &gt; 0,$B86 &amp; "(" &amp; $E86 &amp; ")",IF(SUMPRODUCT(-- ISNUMBER(SEARCH({"Formula","Roll-Up Summary"}, $B86))) &gt; 0,$B86 &amp; " (" &amp; $E86 &amp; ")",IF(SUMPRODUCT(-- ISNUMBER(SEARCH({"Content","Currency","Number","Percent","Text","URL"}, $B86))) &gt; 0,$B86 &amp; "(" &amp; $C86 &amp; ")",$B86)))), "  ", TRIM(IF($S86 = "YES", "(External ID)", "") &amp; " " &amp; IF(SUMPRODUCT(-- ISNUMBER(SEARCH({"Unique","Unique Case Insensitive"}, $R86))) &gt; 0, "(" &amp; $R86 &amp; ")", ""))))</f>
        <v>na</v>
      </c>
      <c r="E86" s="7" t="s">
        <v>195</v>
      </c>
      <c r="F86" s="7" t="s">
        <v>195</v>
      </c>
      <c r="G86" s="7" t="s">
        <v>195</v>
      </c>
      <c r="H86" s="7" t="s">
        <v>195</v>
      </c>
      <c r="I86" s="7" t="s">
        <v>195</v>
      </c>
      <c r="J86" s="7" t="s">
        <v>195</v>
      </c>
      <c r="K86" s="7" t="s">
        <v>195</v>
      </c>
      <c r="L86" s="7" t="s">
        <v>195</v>
      </c>
      <c r="M86" s="7" t="s">
        <v>29</v>
      </c>
      <c r="N86" s="7" t="s">
        <v>29</v>
      </c>
      <c r="O86" s="7" t="s">
        <v>29</v>
      </c>
      <c r="P86" s="7" t="s">
        <v>29</v>
      </c>
      <c r="Q86" s="7" t="s">
        <v>29</v>
      </c>
      <c r="R86" s="7" t="s">
        <v>29</v>
      </c>
      <c r="S86" s="7" t="s">
        <v>29</v>
      </c>
    </row>
    <row r="87" spans="2:19">
      <c r="B87" s="7" t="s">
        <v>195</v>
      </c>
      <c r="C87" s="8" t="s">
        <v>195</v>
      </c>
      <c r="D87" s="5" t="str">
        <f>LRTRIM(CONCATENATE(IF(SUMPRODUCT(-- ISNUMBER(SEARCH({"Auto Number"}, $B87))) &gt; 0, $B87, IF(SUMPRODUCT(-- ISNUMBER(SEARCH({"Lookup","Master-Detail"}, $B87))) &gt; 0,$B87 &amp; "(" &amp; $E87 &amp; ")",IF(SUMPRODUCT(-- ISNUMBER(SEARCH({"Formula","Roll-Up Summary"}, $B87))) &gt; 0,$B87 &amp; " (" &amp; $E87 &amp; ")",IF(SUMPRODUCT(-- ISNUMBER(SEARCH({"Content","Currency","Number","Percent","Text","URL"}, $B87))) &gt; 0,$B87 &amp; "(" &amp; $C87 &amp; ")",$B87)))), "  ", TRIM(IF($S87 = "YES", "(External ID)", "") &amp; " " &amp; IF(SUMPRODUCT(-- ISNUMBER(SEARCH({"Unique","Unique Case Insensitive"}, $R87))) &gt; 0, "(" &amp; $R87 &amp; ")", ""))))</f>
        <v>na</v>
      </c>
      <c r="E87" s="7" t="s">
        <v>195</v>
      </c>
      <c r="F87" s="7" t="s">
        <v>195</v>
      </c>
      <c r="G87" s="7" t="s">
        <v>195</v>
      </c>
      <c r="H87" s="7" t="s">
        <v>195</v>
      </c>
      <c r="I87" s="7" t="s">
        <v>195</v>
      </c>
      <c r="J87" s="7" t="s">
        <v>195</v>
      </c>
      <c r="K87" s="7" t="s">
        <v>195</v>
      </c>
      <c r="L87" s="7" t="s">
        <v>195</v>
      </c>
      <c r="M87" s="7" t="s">
        <v>29</v>
      </c>
      <c r="N87" s="7" t="s">
        <v>29</v>
      </c>
      <c r="O87" s="7" t="s">
        <v>29</v>
      </c>
      <c r="P87" s="7" t="s">
        <v>29</v>
      </c>
      <c r="Q87" s="7" t="s">
        <v>29</v>
      </c>
      <c r="R87" s="7" t="s">
        <v>29</v>
      </c>
      <c r="S87" s="7" t="s">
        <v>29</v>
      </c>
    </row>
    <row r="88" spans="2:19">
      <c r="B88" s="7" t="s">
        <v>195</v>
      </c>
      <c r="C88" s="8" t="s">
        <v>195</v>
      </c>
      <c r="D88" s="5" t="str">
        <f>LRTRIM(CONCATENATE(IF(SUMPRODUCT(-- ISNUMBER(SEARCH({"Auto Number"}, $B88))) &gt; 0, $B88, IF(SUMPRODUCT(-- ISNUMBER(SEARCH({"Lookup","Master-Detail"}, $B88))) &gt; 0,$B88 &amp; "(" &amp; $E88 &amp; ")",IF(SUMPRODUCT(-- ISNUMBER(SEARCH({"Formula","Roll-Up Summary"}, $B88))) &gt; 0,$B88 &amp; " (" &amp; $E88 &amp; ")",IF(SUMPRODUCT(-- ISNUMBER(SEARCH({"Content","Currency","Number","Percent","Text","URL"}, $B88))) &gt; 0,$B88 &amp; "(" &amp; $C88 &amp; ")",$B88)))), "  ", TRIM(IF($S88 = "YES", "(External ID)", "") &amp; " " &amp; IF(SUMPRODUCT(-- ISNUMBER(SEARCH({"Unique","Unique Case Insensitive"}, $R88))) &gt; 0, "(" &amp; $R88 &amp; ")", ""))))</f>
        <v>na</v>
      </c>
      <c r="E88" s="7" t="s">
        <v>195</v>
      </c>
      <c r="F88" s="7" t="s">
        <v>195</v>
      </c>
      <c r="G88" s="7" t="s">
        <v>195</v>
      </c>
      <c r="H88" s="7" t="s">
        <v>195</v>
      </c>
      <c r="I88" s="7" t="s">
        <v>195</v>
      </c>
      <c r="J88" s="7" t="s">
        <v>195</v>
      </c>
      <c r="K88" s="7" t="s">
        <v>195</v>
      </c>
      <c r="L88" s="7" t="s">
        <v>195</v>
      </c>
      <c r="M88" s="7" t="s">
        <v>29</v>
      </c>
      <c r="N88" s="7" t="s">
        <v>29</v>
      </c>
      <c r="O88" s="7" t="s">
        <v>29</v>
      </c>
      <c r="P88" s="7" t="s">
        <v>29</v>
      </c>
      <c r="Q88" s="7" t="s">
        <v>29</v>
      </c>
      <c r="R88" s="7" t="s">
        <v>29</v>
      </c>
      <c r="S88" s="7" t="s">
        <v>29</v>
      </c>
    </row>
    <row r="89" spans="2:19">
      <c r="B89" s="7" t="s">
        <v>195</v>
      </c>
      <c r="C89" s="8" t="s">
        <v>195</v>
      </c>
      <c r="D89" s="5" t="str">
        <f>LRTRIM(CONCATENATE(IF(SUMPRODUCT(-- ISNUMBER(SEARCH({"Auto Number"}, $B89))) &gt; 0, $B89, IF(SUMPRODUCT(-- ISNUMBER(SEARCH({"Lookup","Master-Detail"}, $B89))) &gt; 0,$B89 &amp; "(" &amp; $E89 &amp; ")",IF(SUMPRODUCT(-- ISNUMBER(SEARCH({"Formula","Roll-Up Summary"}, $B89))) &gt; 0,$B89 &amp; " (" &amp; $E89 &amp; ")",IF(SUMPRODUCT(-- ISNUMBER(SEARCH({"Content","Currency","Number","Percent","Text","URL"}, $B89))) &gt; 0,$B89 &amp; "(" &amp; $C89 &amp; ")",$B89)))), "  ", TRIM(IF($S89 = "YES", "(External ID)", "") &amp; " " &amp; IF(SUMPRODUCT(-- ISNUMBER(SEARCH({"Unique","Unique Case Insensitive"}, $R89))) &gt; 0, "(" &amp; $R89 &amp; ")", ""))))</f>
        <v>na</v>
      </c>
      <c r="E89" s="7" t="s">
        <v>195</v>
      </c>
      <c r="F89" s="7" t="s">
        <v>195</v>
      </c>
      <c r="G89" s="7" t="s">
        <v>195</v>
      </c>
      <c r="H89" s="7" t="s">
        <v>195</v>
      </c>
      <c r="I89" s="7" t="s">
        <v>195</v>
      </c>
      <c r="J89" s="7" t="s">
        <v>195</v>
      </c>
      <c r="K89" s="7" t="s">
        <v>195</v>
      </c>
      <c r="L89" s="7" t="s">
        <v>195</v>
      </c>
      <c r="M89" s="7" t="s">
        <v>29</v>
      </c>
      <c r="N89" s="7" t="s">
        <v>29</v>
      </c>
      <c r="O89" s="7" t="s">
        <v>29</v>
      </c>
      <c r="P89" s="7" t="s">
        <v>29</v>
      </c>
      <c r="Q89" s="7" t="s">
        <v>29</v>
      </c>
      <c r="R89" s="7" t="s">
        <v>29</v>
      </c>
      <c r="S89" s="7" t="s">
        <v>29</v>
      </c>
    </row>
    <row r="90" spans="2:19">
      <c r="B90" s="7" t="s">
        <v>195</v>
      </c>
      <c r="C90" s="8" t="s">
        <v>195</v>
      </c>
      <c r="D90" s="5" t="str">
        <f>LRTRIM(CONCATENATE(IF(SUMPRODUCT(-- ISNUMBER(SEARCH({"Auto Number"}, $B90))) &gt; 0, $B90, IF(SUMPRODUCT(-- ISNUMBER(SEARCH({"Lookup","Master-Detail"}, $B90))) &gt; 0,$B90 &amp; "(" &amp; $E90 &amp; ")",IF(SUMPRODUCT(-- ISNUMBER(SEARCH({"Formula","Roll-Up Summary"}, $B90))) &gt; 0,$B90 &amp; " (" &amp; $E90 &amp; ")",IF(SUMPRODUCT(-- ISNUMBER(SEARCH({"Content","Currency","Number","Percent","Text","URL"}, $B90))) &gt; 0,$B90 &amp; "(" &amp; $C90 &amp; ")",$B90)))), "  ", TRIM(IF($S90 = "YES", "(External ID)", "") &amp; " " &amp; IF(SUMPRODUCT(-- ISNUMBER(SEARCH({"Unique","Unique Case Insensitive"}, $R90))) &gt; 0, "(" &amp; $R90 &amp; ")", ""))))</f>
        <v>na</v>
      </c>
      <c r="E90" s="7" t="s">
        <v>195</v>
      </c>
      <c r="F90" s="7" t="s">
        <v>195</v>
      </c>
      <c r="G90" s="7" t="s">
        <v>195</v>
      </c>
      <c r="H90" s="7" t="s">
        <v>195</v>
      </c>
      <c r="I90" s="7" t="s">
        <v>195</v>
      </c>
      <c r="J90" s="7" t="s">
        <v>195</v>
      </c>
      <c r="K90" s="7" t="s">
        <v>195</v>
      </c>
      <c r="L90" s="7" t="s">
        <v>195</v>
      </c>
      <c r="M90" s="7" t="s">
        <v>29</v>
      </c>
      <c r="N90" s="7" t="s">
        <v>29</v>
      </c>
      <c r="O90" s="7" t="s">
        <v>29</v>
      </c>
      <c r="P90" s="7" t="s">
        <v>29</v>
      </c>
      <c r="Q90" s="7" t="s">
        <v>29</v>
      </c>
      <c r="R90" s="7" t="s">
        <v>29</v>
      </c>
      <c r="S90" s="7" t="s">
        <v>29</v>
      </c>
    </row>
    <row r="91" spans="2:19">
      <c r="B91" s="7" t="s">
        <v>195</v>
      </c>
      <c r="C91" s="8" t="s">
        <v>195</v>
      </c>
      <c r="D91" s="5" t="str">
        <f>LRTRIM(CONCATENATE(IF(SUMPRODUCT(-- ISNUMBER(SEARCH({"Auto Number"}, $B91))) &gt; 0, $B91, IF(SUMPRODUCT(-- ISNUMBER(SEARCH({"Lookup","Master-Detail"}, $B91))) &gt; 0,$B91 &amp; "(" &amp; $E91 &amp; ")",IF(SUMPRODUCT(-- ISNUMBER(SEARCH({"Formula","Roll-Up Summary"}, $B91))) &gt; 0,$B91 &amp; " (" &amp; $E91 &amp; ")",IF(SUMPRODUCT(-- ISNUMBER(SEARCH({"Content","Currency","Number","Percent","Text","URL"}, $B91))) &gt; 0,$B91 &amp; "(" &amp; $C91 &amp; ")",$B91)))), "  ", TRIM(IF($S91 = "YES", "(External ID)", "") &amp; " " &amp; IF(SUMPRODUCT(-- ISNUMBER(SEARCH({"Unique","Unique Case Insensitive"}, $R91))) &gt; 0, "(" &amp; $R91 &amp; ")", ""))))</f>
        <v>na</v>
      </c>
      <c r="E91" s="7" t="s">
        <v>195</v>
      </c>
      <c r="F91" s="7" t="s">
        <v>195</v>
      </c>
      <c r="G91" s="7" t="s">
        <v>195</v>
      </c>
      <c r="H91" s="7" t="s">
        <v>195</v>
      </c>
      <c r="I91" s="7" t="s">
        <v>195</v>
      </c>
      <c r="J91" s="7" t="s">
        <v>195</v>
      </c>
      <c r="K91" s="7" t="s">
        <v>195</v>
      </c>
      <c r="L91" s="7" t="s">
        <v>195</v>
      </c>
      <c r="M91" s="7" t="s">
        <v>29</v>
      </c>
      <c r="N91" s="7" t="s">
        <v>29</v>
      </c>
      <c r="O91" s="7" t="s">
        <v>29</v>
      </c>
      <c r="P91" s="7" t="s">
        <v>29</v>
      </c>
      <c r="Q91" s="7" t="s">
        <v>29</v>
      </c>
      <c r="R91" s="7" t="s">
        <v>29</v>
      </c>
      <c r="S91" s="7" t="s">
        <v>29</v>
      </c>
    </row>
    <row r="92" spans="2:19">
      <c r="B92" s="7" t="s">
        <v>195</v>
      </c>
      <c r="C92" s="8" t="s">
        <v>195</v>
      </c>
      <c r="D92" s="5" t="str">
        <f>LRTRIM(CONCATENATE(IF(SUMPRODUCT(-- ISNUMBER(SEARCH({"Auto Number"}, $B92))) &gt; 0, $B92, IF(SUMPRODUCT(-- ISNUMBER(SEARCH({"Lookup","Master-Detail"}, $B92))) &gt; 0,$B92 &amp; "(" &amp; $E92 &amp; ")",IF(SUMPRODUCT(-- ISNUMBER(SEARCH({"Formula","Roll-Up Summary"}, $B92))) &gt; 0,$B92 &amp; " (" &amp; $E92 &amp; ")",IF(SUMPRODUCT(-- ISNUMBER(SEARCH({"Content","Currency","Number","Percent","Text","URL"}, $B92))) &gt; 0,$B92 &amp; "(" &amp; $C92 &amp; ")",$B92)))), "  ", TRIM(IF($S92 = "YES", "(External ID)", "") &amp; " " &amp; IF(SUMPRODUCT(-- ISNUMBER(SEARCH({"Unique","Unique Case Insensitive"}, $R92))) &gt; 0, "(" &amp; $R92 &amp; ")", ""))))</f>
        <v>na</v>
      </c>
      <c r="E92" s="7" t="s">
        <v>195</v>
      </c>
      <c r="F92" s="7" t="s">
        <v>195</v>
      </c>
      <c r="G92" s="7" t="s">
        <v>195</v>
      </c>
      <c r="H92" s="7" t="s">
        <v>195</v>
      </c>
      <c r="I92" s="7" t="s">
        <v>195</v>
      </c>
      <c r="J92" s="7" t="s">
        <v>195</v>
      </c>
      <c r="K92" s="7" t="s">
        <v>195</v>
      </c>
      <c r="L92" s="7" t="s">
        <v>195</v>
      </c>
      <c r="M92" s="7" t="s">
        <v>29</v>
      </c>
      <c r="N92" s="7" t="s">
        <v>29</v>
      </c>
      <c r="O92" s="7" t="s">
        <v>29</v>
      </c>
      <c r="P92" s="7" t="s">
        <v>29</v>
      </c>
      <c r="Q92" s="7" t="s">
        <v>29</v>
      </c>
      <c r="R92" s="7" t="s">
        <v>29</v>
      </c>
      <c r="S92" s="7" t="s">
        <v>29</v>
      </c>
    </row>
    <row r="93" spans="2:19">
      <c r="B93" s="7" t="s">
        <v>195</v>
      </c>
      <c r="C93" s="8" t="s">
        <v>195</v>
      </c>
      <c r="D93" s="5" t="str">
        <f>LRTRIM(CONCATENATE(IF(SUMPRODUCT(-- ISNUMBER(SEARCH({"Auto Number"}, $B93))) &gt; 0, $B93, IF(SUMPRODUCT(-- ISNUMBER(SEARCH({"Lookup","Master-Detail"}, $B93))) &gt; 0,$B93 &amp; "(" &amp; $E93 &amp; ")",IF(SUMPRODUCT(-- ISNUMBER(SEARCH({"Formula","Roll-Up Summary"}, $B93))) &gt; 0,$B93 &amp; " (" &amp; $E93 &amp; ")",IF(SUMPRODUCT(-- ISNUMBER(SEARCH({"Content","Currency","Number","Percent","Text","URL"}, $B93))) &gt; 0,$B93 &amp; "(" &amp; $C93 &amp; ")",$B93)))), "  ", TRIM(IF($S93 = "YES", "(External ID)", "") &amp; " " &amp; IF(SUMPRODUCT(-- ISNUMBER(SEARCH({"Unique","Unique Case Insensitive"}, $R93))) &gt; 0, "(" &amp; $R93 &amp; ")", ""))))</f>
        <v>na</v>
      </c>
      <c r="E93" s="7" t="s">
        <v>195</v>
      </c>
      <c r="F93" s="7" t="s">
        <v>195</v>
      </c>
      <c r="G93" s="7" t="s">
        <v>195</v>
      </c>
      <c r="H93" s="7" t="s">
        <v>195</v>
      </c>
      <c r="I93" s="7" t="s">
        <v>195</v>
      </c>
      <c r="J93" s="7" t="s">
        <v>195</v>
      </c>
      <c r="K93" s="7" t="s">
        <v>195</v>
      </c>
      <c r="L93" s="7" t="s">
        <v>195</v>
      </c>
      <c r="M93" s="7" t="s">
        <v>29</v>
      </c>
      <c r="N93" s="7" t="s">
        <v>29</v>
      </c>
      <c r="O93" s="7" t="s">
        <v>29</v>
      </c>
      <c r="P93" s="7" t="s">
        <v>29</v>
      </c>
      <c r="Q93" s="7" t="s">
        <v>29</v>
      </c>
      <c r="R93" s="7" t="s">
        <v>29</v>
      </c>
      <c r="S93" s="7" t="s">
        <v>29</v>
      </c>
    </row>
    <row r="94" spans="2:19">
      <c r="B94" s="7" t="s">
        <v>195</v>
      </c>
      <c r="C94" s="8" t="s">
        <v>195</v>
      </c>
      <c r="D94" s="5" t="str">
        <f>LRTRIM(CONCATENATE(IF(SUMPRODUCT(-- ISNUMBER(SEARCH({"Auto Number"}, $B94))) &gt; 0, $B94, IF(SUMPRODUCT(-- ISNUMBER(SEARCH({"Lookup","Master-Detail"}, $B94))) &gt; 0,$B94 &amp; "(" &amp; $E94 &amp; ")",IF(SUMPRODUCT(-- ISNUMBER(SEARCH({"Formula","Roll-Up Summary"}, $B94))) &gt; 0,$B94 &amp; " (" &amp; $E94 &amp; ")",IF(SUMPRODUCT(-- ISNUMBER(SEARCH({"Content","Currency","Number","Percent","Text","URL"}, $B94))) &gt; 0,$B94 &amp; "(" &amp; $C94 &amp; ")",$B94)))), "  ", TRIM(IF($S94 = "YES", "(External ID)", "") &amp; " " &amp; IF(SUMPRODUCT(-- ISNUMBER(SEARCH({"Unique","Unique Case Insensitive"}, $R94))) &gt; 0, "(" &amp; $R94 &amp; ")", ""))))</f>
        <v>na</v>
      </c>
      <c r="E94" s="7" t="s">
        <v>195</v>
      </c>
      <c r="F94" s="7" t="s">
        <v>195</v>
      </c>
      <c r="G94" s="7" t="s">
        <v>195</v>
      </c>
      <c r="H94" s="7" t="s">
        <v>195</v>
      </c>
      <c r="I94" s="7" t="s">
        <v>195</v>
      </c>
      <c r="J94" s="7" t="s">
        <v>195</v>
      </c>
      <c r="K94" s="7" t="s">
        <v>195</v>
      </c>
      <c r="L94" s="7" t="s">
        <v>195</v>
      </c>
      <c r="M94" s="7" t="s">
        <v>29</v>
      </c>
      <c r="N94" s="7" t="s">
        <v>29</v>
      </c>
      <c r="O94" s="7" t="s">
        <v>29</v>
      </c>
      <c r="P94" s="7" t="s">
        <v>29</v>
      </c>
      <c r="Q94" s="7" t="s">
        <v>29</v>
      </c>
      <c r="R94" s="7" t="s">
        <v>29</v>
      </c>
      <c r="S94" s="7" t="s">
        <v>29</v>
      </c>
    </row>
    <row r="95" spans="2:19">
      <c r="B95" s="7" t="s">
        <v>195</v>
      </c>
      <c r="C95" s="8" t="s">
        <v>195</v>
      </c>
      <c r="D95" s="5" t="str">
        <f>LRTRIM(CONCATENATE(IF(SUMPRODUCT(-- ISNUMBER(SEARCH({"Auto Number"}, $B95))) &gt; 0, $B95, IF(SUMPRODUCT(-- ISNUMBER(SEARCH({"Lookup","Master-Detail"}, $B95))) &gt; 0,$B95 &amp; "(" &amp; $E95 &amp; ")",IF(SUMPRODUCT(-- ISNUMBER(SEARCH({"Formula","Roll-Up Summary"}, $B95))) &gt; 0,$B95 &amp; " (" &amp; $E95 &amp; ")",IF(SUMPRODUCT(-- ISNUMBER(SEARCH({"Content","Currency","Number","Percent","Text","URL"}, $B95))) &gt; 0,$B95 &amp; "(" &amp; $C95 &amp; ")",$B95)))), "  ", TRIM(IF($S95 = "YES", "(External ID)", "") &amp; " " &amp; IF(SUMPRODUCT(-- ISNUMBER(SEARCH({"Unique","Unique Case Insensitive"}, $R95))) &gt; 0, "(" &amp; $R95 &amp; ")", ""))))</f>
        <v>na</v>
      </c>
      <c r="E95" s="7" t="s">
        <v>195</v>
      </c>
      <c r="F95" s="7" t="s">
        <v>195</v>
      </c>
      <c r="G95" s="7" t="s">
        <v>195</v>
      </c>
      <c r="H95" s="7" t="s">
        <v>195</v>
      </c>
      <c r="I95" s="7" t="s">
        <v>195</v>
      </c>
      <c r="J95" s="7" t="s">
        <v>195</v>
      </c>
      <c r="K95" s="7" t="s">
        <v>195</v>
      </c>
      <c r="L95" s="7" t="s">
        <v>195</v>
      </c>
      <c r="M95" s="7" t="s">
        <v>29</v>
      </c>
      <c r="N95" s="7" t="s">
        <v>29</v>
      </c>
      <c r="O95" s="7" t="s">
        <v>29</v>
      </c>
      <c r="P95" s="7" t="s">
        <v>29</v>
      </c>
      <c r="Q95" s="7" t="s">
        <v>29</v>
      </c>
      <c r="R95" s="7" t="s">
        <v>29</v>
      </c>
      <c r="S95" s="7" t="s">
        <v>29</v>
      </c>
    </row>
    <row r="96" spans="2:19">
      <c r="B96" s="7" t="s">
        <v>195</v>
      </c>
      <c r="C96" s="8" t="s">
        <v>195</v>
      </c>
      <c r="D96" s="5" t="str">
        <f>LRTRIM(CONCATENATE(IF(SUMPRODUCT(-- ISNUMBER(SEARCH({"Auto Number"}, $B96))) &gt; 0, $B96, IF(SUMPRODUCT(-- ISNUMBER(SEARCH({"Lookup","Master-Detail"}, $B96))) &gt; 0,$B96 &amp; "(" &amp; $E96 &amp; ")",IF(SUMPRODUCT(-- ISNUMBER(SEARCH({"Formula","Roll-Up Summary"}, $B96))) &gt; 0,$B96 &amp; " (" &amp; $E96 &amp; ")",IF(SUMPRODUCT(-- ISNUMBER(SEARCH({"Content","Currency","Number","Percent","Text","URL"}, $B96))) &gt; 0,$B96 &amp; "(" &amp; $C96 &amp; ")",$B96)))), "  ", TRIM(IF($S96 = "YES", "(External ID)", "") &amp; " " &amp; IF(SUMPRODUCT(-- ISNUMBER(SEARCH({"Unique","Unique Case Insensitive"}, $R96))) &gt; 0, "(" &amp; $R96 &amp; ")", ""))))</f>
        <v>na</v>
      </c>
      <c r="E96" s="7" t="s">
        <v>195</v>
      </c>
      <c r="F96" s="7" t="s">
        <v>195</v>
      </c>
      <c r="G96" s="7" t="s">
        <v>195</v>
      </c>
      <c r="H96" s="7" t="s">
        <v>195</v>
      </c>
      <c r="I96" s="7" t="s">
        <v>195</v>
      </c>
      <c r="J96" s="7" t="s">
        <v>195</v>
      </c>
      <c r="K96" s="7" t="s">
        <v>195</v>
      </c>
      <c r="L96" s="7" t="s">
        <v>195</v>
      </c>
      <c r="M96" s="7" t="s">
        <v>29</v>
      </c>
      <c r="N96" s="7" t="s">
        <v>29</v>
      </c>
      <c r="O96" s="7" t="s">
        <v>29</v>
      </c>
      <c r="P96" s="7" t="s">
        <v>29</v>
      </c>
      <c r="Q96" s="7" t="s">
        <v>29</v>
      </c>
      <c r="R96" s="7" t="s">
        <v>29</v>
      </c>
      <c r="S96" s="7" t="s">
        <v>29</v>
      </c>
    </row>
    <row r="97" spans="2:19">
      <c r="B97" s="7" t="s">
        <v>195</v>
      </c>
      <c r="C97" s="8" t="s">
        <v>195</v>
      </c>
      <c r="D97" s="5" t="str">
        <f>LRTRIM(CONCATENATE(IF(SUMPRODUCT(-- ISNUMBER(SEARCH({"Auto Number"}, $B97))) &gt; 0, $B97, IF(SUMPRODUCT(-- ISNUMBER(SEARCH({"Lookup","Master-Detail"}, $B97))) &gt; 0,$B97 &amp; "(" &amp; $E97 &amp; ")",IF(SUMPRODUCT(-- ISNUMBER(SEARCH({"Formula","Roll-Up Summary"}, $B97))) &gt; 0,$B97 &amp; " (" &amp; $E97 &amp; ")",IF(SUMPRODUCT(-- ISNUMBER(SEARCH({"Content","Currency","Number","Percent","Text","URL"}, $B97))) &gt; 0,$B97 &amp; "(" &amp; $C97 &amp; ")",$B97)))), "  ", TRIM(IF($S97 = "YES", "(External ID)", "") &amp; " " &amp; IF(SUMPRODUCT(-- ISNUMBER(SEARCH({"Unique","Unique Case Insensitive"}, $R97))) &gt; 0, "(" &amp; $R97 &amp; ")", ""))))</f>
        <v>na</v>
      </c>
      <c r="E97" s="7" t="s">
        <v>195</v>
      </c>
      <c r="F97" s="7" t="s">
        <v>195</v>
      </c>
      <c r="G97" s="7" t="s">
        <v>195</v>
      </c>
      <c r="H97" s="7" t="s">
        <v>195</v>
      </c>
      <c r="I97" s="7" t="s">
        <v>195</v>
      </c>
      <c r="J97" s="7" t="s">
        <v>195</v>
      </c>
      <c r="K97" s="7" t="s">
        <v>195</v>
      </c>
      <c r="L97" s="7" t="s">
        <v>195</v>
      </c>
      <c r="M97" s="7" t="s">
        <v>29</v>
      </c>
      <c r="N97" s="7" t="s">
        <v>29</v>
      </c>
      <c r="O97" s="7" t="s">
        <v>29</v>
      </c>
      <c r="P97" s="7" t="s">
        <v>29</v>
      </c>
      <c r="Q97" s="7" t="s">
        <v>29</v>
      </c>
      <c r="R97" s="7" t="s">
        <v>29</v>
      </c>
      <c r="S97" s="7" t="s">
        <v>29</v>
      </c>
    </row>
    <row r="98" spans="2:19">
      <c r="B98" s="7" t="s">
        <v>195</v>
      </c>
      <c r="C98" s="8" t="s">
        <v>195</v>
      </c>
      <c r="D98" s="5" t="str">
        <f>LRTRIM(CONCATENATE(IF(SUMPRODUCT(-- ISNUMBER(SEARCH({"Auto Number"}, $B98))) &gt; 0, $B98, IF(SUMPRODUCT(-- ISNUMBER(SEARCH({"Lookup","Master-Detail"}, $B98))) &gt; 0,$B98 &amp; "(" &amp; $E98 &amp; ")",IF(SUMPRODUCT(-- ISNUMBER(SEARCH({"Formula","Roll-Up Summary"}, $B98))) &gt; 0,$B98 &amp; " (" &amp; $E98 &amp; ")",IF(SUMPRODUCT(-- ISNUMBER(SEARCH({"Content","Currency","Number","Percent","Text","URL"}, $B98))) &gt; 0,$B98 &amp; "(" &amp; $C98 &amp; ")",$B98)))), "  ", TRIM(IF($S98 = "YES", "(External ID)", "") &amp; " " &amp; IF(SUMPRODUCT(-- ISNUMBER(SEARCH({"Unique","Unique Case Insensitive"}, $R98))) &gt; 0, "(" &amp; $R98 &amp; ")", ""))))</f>
        <v>na</v>
      </c>
      <c r="E98" s="7" t="s">
        <v>195</v>
      </c>
      <c r="F98" s="7" t="s">
        <v>195</v>
      </c>
      <c r="G98" s="7" t="s">
        <v>195</v>
      </c>
      <c r="H98" s="7" t="s">
        <v>195</v>
      </c>
      <c r="I98" s="7" t="s">
        <v>195</v>
      </c>
      <c r="J98" s="7" t="s">
        <v>195</v>
      </c>
      <c r="K98" s="7" t="s">
        <v>195</v>
      </c>
      <c r="L98" s="7" t="s">
        <v>195</v>
      </c>
      <c r="M98" s="7" t="s">
        <v>29</v>
      </c>
      <c r="N98" s="7" t="s">
        <v>29</v>
      </c>
      <c r="O98" s="7" t="s">
        <v>29</v>
      </c>
      <c r="P98" s="7" t="s">
        <v>29</v>
      </c>
      <c r="Q98" s="7" t="s">
        <v>29</v>
      </c>
      <c r="R98" s="7" t="s">
        <v>29</v>
      </c>
      <c r="S98" s="7" t="s">
        <v>29</v>
      </c>
    </row>
    <row r="99" spans="2:19">
      <c r="B99" s="7" t="s">
        <v>195</v>
      </c>
      <c r="C99" s="8" t="s">
        <v>195</v>
      </c>
      <c r="D99" s="5" t="str">
        <f>LRTRIM(CONCATENATE(IF(SUMPRODUCT(-- ISNUMBER(SEARCH({"Auto Number"}, $B99))) &gt; 0, $B99, IF(SUMPRODUCT(-- ISNUMBER(SEARCH({"Lookup","Master-Detail"}, $B99))) &gt; 0,$B99 &amp; "(" &amp; $E99 &amp; ")",IF(SUMPRODUCT(-- ISNUMBER(SEARCH({"Formula","Roll-Up Summary"}, $B99))) &gt; 0,$B99 &amp; " (" &amp; $E99 &amp; ")",IF(SUMPRODUCT(-- ISNUMBER(SEARCH({"Content","Currency","Number","Percent","Text","URL"}, $B99))) &gt; 0,$B99 &amp; "(" &amp; $C99 &amp; ")",$B99)))), "  ", TRIM(IF($S99 = "YES", "(External ID)", "") &amp; " " &amp; IF(SUMPRODUCT(-- ISNUMBER(SEARCH({"Unique","Unique Case Insensitive"}, $R99))) &gt; 0, "(" &amp; $R99 &amp; ")", ""))))</f>
        <v>na</v>
      </c>
      <c r="E99" s="7" t="s">
        <v>195</v>
      </c>
      <c r="F99" s="7" t="s">
        <v>195</v>
      </c>
      <c r="G99" s="7" t="s">
        <v>195</v>
      </c>
      <c r="H99" s="7" t="s">
        <v>195</v>
      </c>
      <c r="I99" s="7" t="s">
        <v>195</v>
      </c>
      <c r="J99" s="7" t="s">
        <v>195</v>
      </c>
      <c r="K99" s="7" t="s">
        <v>195</v>
      </c>
      <c r="L99" s="7" t="s">
        <v>195</v>
      </c>
      <c r="M99" s="7" t="s">
        <v>29</v>
      </c>
      <c r="N99" s="7" t="s">
        <v>29</v>
      </c>
      <c r="O99" s="7" t="s">
        <v>29</v>
      </c>
      <c r="P99" s="7" t="s">
        <v>29</v>
      </c>
      <c r="Q99" s="7" t="s">
        <v>29</v>
      </c>
      <c r="R99" s="7" t="s">
        <v>29</v>
      </c>
      <c r="S99" s="7" t="s">
        <v>29</v>
      </c>
    </row>
    <row r="100" spans="2:19">
      <c r="B100" s="7" t="s">
        <v>195</v>
      </c>
      <c r="C100" s="8" t="s">
        <v>195</v>
      </c>
      <c r="D100" s="5" t="str">
        <f>LRTRIM(CONCATENATE(IF(SUMPRODUCT(-- ISNUMBER(SEARCH({"Auto Number"}, $B100))) &gt; 0, $B100, IF(SUMPRODUCT(-- ISNUMBER(SEARCH({"Lookup","Master-Detail"}, $B100))) &gt; 0,$B100 &amp; "(" &amp; $E100 &amp; ")",IF(SUMPRODUCT(-- ISNUMBER(SEARCH({"Formula","Roll-Up Summary"}, $B100))) &gt; 0,$B100 &amp; " (" &amp; $E100 &amp; ")",IF(SUMPRODUCT(-- ISNUMBER(SEARCH({"Content","Currency","Number","Percent","Text","URL"}, $B100))) &gt; 0,$B100 &amp; "(" &amp; $C100 &amp; ")",$B100)))), "  ", TRIM(IF($S100 = "YES", "(External ID)", "") &amp; " " &amp; IF(SUMPRODUCT(-- ISNUMBER(SEARCH({"Unique","Unique Case Insensitive"}, $R100))) &gt; 0, "(" &amp; $R100 &amp; ")", ""))))</f>
        <v>na</v>
      </c>
      <c r="E100" s="7" t="s">
        <v>195</v>
      </c>
      <c r="F100" s="7" t="s">
        <v>195</v>
      </c>
      <c r="G100" s="7" t="s">
        <v>195</v>
      </c>
      <c r="H100" s="7" t="s">
        <v>195</v>
      </c>
      <c r="I100" s="7" t="s">
        <v>195</v>
      </c>
      <c r="J100" s="7" t="s">
        <v>195</v>
      </c>
      <c r="K100" s="7" t="s">
        <v>195</v>
      </c>
      <c r="L100" s="7" t="s">
        <v>195</v>
      </c>
      <c r="M100" s="7" t="s">
        <v>29</v>
      </c>
      <c r="N100" s="7" t="s">
        <v>29</v>
      </c>
      <c r="O100" s="7" t="s">
        <v>29</v>
      </c>
      <c r="P100" s="7" t="s">
        <v>29</v>
      </c>
      <c r="Q100" s="7" t="s">
        <v>29</v>
      </c>
      <c r="R100" s="7" t="s">
        <v>29</v>
      </c>
      <c r="S100" s="7" t="s">
        <v>29</v>
      </c>
    </row>
    <row r="101" spans="2:19">
      <c r="B101" s="7" t="s">
        <v>195</v>
      </c>
      <c r="C101" s="8" t="s">
        <v>195</v>
      </c>
      <c r="D101" s="5" t="str">
        <f>LRTRIM(CONCATENATE(IF(SUMPRODUCT(-- ISNUMBER(SEARCH({"Auto Number"}, $B101))) &gt; 0, $B101, IF(SUMPRODUCT(-- ISNUMBER(SEARCH({"Lookup","Master-Detail"}, $B101))) &gt; 0,$B101 &amp; "(" &amp; $E101 &amp; ")",IF(SUMPRODUCT(-- ISNUMBER(SEARCH({"Formula","Roll-Up Summary"}, $B101))) &gt; 0,$B101 &amp; " (" &amp; $E101 &amp; ")",IF(SUMPRODUCT(-- ISNUMBER(SEARCH({"Content","Currency","Number","Percent","Text","URL"}, $B101))) &gt; 0,$B101 &amp; "(" &amp; $C101 &amp; ")",$B101)))), "  ", TRIM(IF($S101 = "YES", "(External ID)", "") &amp; " " &amp; IF(SUMPRODUCT(-- ISNUMBER(SEARCH({"Unique","Unique Case Insensitive"}, $R101))) &gt; 0, "(" &amp; $R101 &amp; ")", ""))))</f>
        <v>na</v>
      </c>
      <c r="E101" s="7" t="s">
        <v>195</v>
      </c>
      <c r="F101" s="7" t="s">
        <v>195</v>
      </c>
      <c r="G101" s="7" t="s">
        <v>195</v>
      </c>
      <c r="H101" s="7" t="s">
        <v>195</v>
      </c>
      <c r="I101" s="7" t="s">
        <v>195</v>
      </c>
      <c r="J101" s="7" t="s">
        <v>195</v>
      </c>
      <c r="K101" s="7" t="s">
        <v>195</v>
      </c>
      <c r="L101" s="7" t="s">
        <v>195</v>
      </c>
      <c r="M101" s="7" t="s">
        <v>29</v>
      </c>
      <c r="N101" s="7" t="s">
        <v>29</v>
      </c>
      <c r="O101" s="7" t="s">
        <v>29</v>
      </c>
      <c r="P101" s="7" t="s">
        <v>29</v>
      </c>
      <c r="Q101" s="7" t="s">
        <v>29</v>
      </c>
      <c r="R101" s="7" t="s">
        <v>29</v>
      </c>
      <c r="S101" s="7" t="s">
        <v>29</v>
      </c>
    </row>
    <row r="102" spans="2:19">
      <c r="B102" s="7" t="s">
        <v>195</v>
      </c>
      <c r="C102" s="8" t="s">
        <v>195</v>
      </c>
      <c r="D102" s="5" t="str">
        <f>LRTRIM(CONCATENATE(IF(SUMPRODUCT(-- ISNUMBER(SEARCH({"Auto Number"}, $B102))) &gt; 0, $B102, IF(SUMPRODUCT(-- ISNUMBER(SEARCH({"Lookup","Master-Detail"}, $B102))) &gt; 0,$B102 &amp; "(" &amp; $E102 &amp; ")",IF(SUMPRODUCT(-- ISNUMBER(SEARCH({"Formula","Roll-Up Summary"}, $B102))) &gt; 0,$B102 &amp; " (" &amp; $E102 &amp; ")",IF(SUMPRODUCT(-- ISNUMBER(SEARCH({"Content","Currency","Number","Percent","Text","URL"}, $B102))) &gt; 0,$B102 &amp; "(" &amp; $C102 &amp; ")",$B102)))), "  ", TRIM(IF($S102 = "YES", "(External ID)", "") &amp; " " &amp; IF(SUMPRODUCT(-- ISNUMBER(SEARCH({"Unique","Unique Case Insensitive"}, $R102))) &gt; 0, "(" &amp; $R102 &amp; ")", ""))))</f>
        <v>na</v>
      </c>
      <c r="E102" s="7" t="s">
        <v>195</v>
      </c>
      <c r="F102" s="7" t="s">
        <v>195</v>
      </c>
      <c r="G102" s="7" t="s">
        <v>195</v>
      </c>
      <c r="H102" s="7" t="s">
        <v>195</v>
      </c>
      <c r="I102" s="7" t="s">
        <v>195</v>
      </c>
      <c r="J102" s="7" t="s">
        <v>195</v>
      </c>
      <c r="K102" s="7" t="s">
        <v>195</v>
      </c>
      <c r="L102" s="7" t="s">
        <v>195</v>
      </c>
      <c r="M102" s="7" t="s">
        <v>29</v>
      </c>
      <c r="N102" s="7" t="s">
        <v>29</v>
      </c>
      <c r="O102" s="7" t="s">
        <v>29</v>
      </c>
      <c r="P102" s="7" t="s">
        <v>29</v>
      </c>
      <c r="Q102" s="7" t="s">
        <v>29</v>
      </c>
      <c r="R102" s="7" t="s">
        <v>29</v>
      </c>
      <c r="S102" s="7" t="s">
        <v>29</v>
      </c>
    </row>
    <row r="103" spans="2:19">
      <c r="B103" s="7" t="s">
        <v>195</v>
      </c>
      <c r="C103" s="8" t="s">
        <v>195</v>
      </c>
      <c r="D103" s="5" t="str">
        <f>LRTRIM(CONCATENATE(IF(SUMPRODUCT(-- ISNUMBER(SEARCH({"Auto Number"}, $B103))) &gt; 0, $B103, IF(SUMPRODUCT(-- ISNUMBER(SEARCH({"Lookup","Master-Detail"}, $B103))) &gt; 0,$B103 &amp; "(" &amp; $E103 &amp; ")",IF(SUMPRODUCT(-- ISNUMBER(SEARCH({"Formula","Roll-Up Summary"}, $B103))) &gt; 0,$B103 &amp; " (" &amp; $E103 &amp; ")",IF(SUMPRODUCT(-- ISNUMBER(SEARCH({"Content","Currency","Number","Percent","Text","URL"}, $B103))) &gt; 0,$B103 &amp; "(" &amp; $C103 &amp; ")",$B103)))), "  ", TRIM(IF($S103 = "YES", "(External ID)", "") &amp; " " &amp; IF(SUMPRODUCT(-- ISNUMBER(SEARCH({"Unique","Unique Case Insensitive"}, $R103))) &gt; 0, "(" &amp; $R103 &amp; ")", ""))))</f>
        <v>na</v>
      </c>
      <c r="E103" s="7" t="s">
        <v>195</v>
      </c>
      <c r="F103" s="7" t="s">
        <v>195</v>
      </c>
      <c r="G103" s="7" t="s">
        <v>195</v>
      </c>
      <c r="H103" s="7" t="s">
        <v>195</v>
      </c>
      <c r="I103" s="7" t="s">
        <v>195</v>
      </c>
      <c r="J103" s="7" t="s">
        <v>195</v>
      </c>
      <c r="K103" s="7" t="s">
        <v>195</v>
      </c>
      <c r="L103" s="7" t="s">
        <v>195</v>
      </c>
      <c r="M103" s="7" t="s">
        <v>29</v>
      </c>
      <c r="N103" s="7" t="s">
        <v>29</v>
      </c>
      <c r="O103" s="7" t="s">
        <v>29</v>
      </c>
      <c r="P103" s="7" t="s">
        <v>29</v>
      </c>
      <c r="Q103" s="7" t="s">
        <v>29</v>
      </c>
      <c r="R103" s="7" t="s">
        <v>29</v>
      </c>
      <c r="S103" s="7" t="s">
        <v>29</v>
      </c>
    </row>
    <row r="104" spans="2:19">
      <c r="B104" s="7" t="s">
        <v>195</v>
      </c>
      <c r="C104" s="8" t="s">
        <v>195</v>
      </c>
      <c r="D104" s="5" t="str">
        <f>LRTRIM(CONCATENATE(IF(SUMPRODUCT(-- ISNUMBER(SEARCH({"Auto Number"}, $B104))) &gt; 0, $B104, IF(SUMPRODUCT(-- ISNUMBER(SEARCH({"Lookup","Master-Detail"}, $B104))) &gt; 0,$B104 &amp; "(" &amp; $E104 &amp; ")",IF(SUMPRODUCT(-- ISNUMBER(SEARCH({"Formula","Roll-Up Summary"}, $B104))) &gt; 0,$B104 &amp; " (" &amp; $E104 &amp; ")",IF(SUMPRODUCT(-- ISNUMBER(SEARCH({"Content","Currency","Number","Percent","Text","URL"}, $B104))) &gt; 0,$B104 &amp; "(" &amp; $C104 &amp; ")",$B104)))), "  ", TRIM(IF($S104 = "YES", "(External ID)", "") &amp; " " &amp; IF(SUMPRODUCT(-- ISNUMBER(SEARCH({"Unique","Unique Case Insensitive"}, $R104))) &gt; 0, "(" &amp; $R104 &amp; ")", ""))))</f>
        <v>na</v>
      </c>
      <c r="E104" s="7" t="s">
        <v>195</v>
      </c>
      <c r="F104" s="7" t="s">
        <v>195</v>
      </c>
      <c r="G104" s="7" t="s">
        <v>195</v>
      </c>
      <c r="H104" s="7" t="s">
        <v>195</v>
      </c>
      <c r="I104" s="7" t="s">
        <v>195</v>
      </c>
      <c r="J104" s="7" t="s">
        <v>195</v>
      </c>
      <c r="K104" s="7" t="s">
        <v>195</v>
      </c>
      <c r="L104" s="7" t="s">
        <v>195</v>
      </c>
      <c r="M104" s="7" t="s">
        <v>29</v>
      </c>
      <c r="N104" s="7" t="s">
        <v>29</v>
      </c>
      <c r="O104" s="7" t="s">
        <v>29</v>
      </c>
      <c r="P104" s="7" t="s">
        <v>29</v>
      </c>
      <c r="Q104" s="7" t="s">
        <v>29</v>
      </c>
      <c r="R104" s="7" t="s">
        <v>29</v>
      </c>
      <c r="S104" s="7" t="s">
        <v>29</v>
      </c>
    </row>
    <row r="105" spans="2:19">
      <c r="B105" s="7" t="s">
        <v>195</v>
      </c>
      <c r="C105" s="8" t="s">
        <v>195</v>
      </c>
      <c r="D105" s="5" t="str">
        <f>LRTRIM(CONCATENATE(IF(SUMPRODUCT(-- ISNUMBER(SEARCH({"Auto Number"}, $B105))) &gt; 0, $B105, IF(SUMPRODUCT(-- ISNUMBER(SEARCH({"Lookup","Master-Detail"}, $B105))) &gt; 0,$B105 &amp; "(" &amp; $E105 &amp; ")",IF(SUMPRODUCT(-- ISNUMBER(SEARCH({"Formula","Roll-Up Summary"}, $B105))) &gt; 0,$B105 &amp; " (" &amp; $E105 &amp; ")",IF(SUMPRODUCT(-- ISNUMBER(SEARCH({"Content","Currency","Number","Percent","Text","URL"}, $B105))) &gt; 0,$B105 &amp; "(" &amp; $C105 &amp; ")",$B105)))), "  ", TRIM(IF($S105 = "YES", "(External ID)", "") &amp; " " &amp; IF(SUMPRODUCT(-- ISNUMBER(SEARCH({"Unique","Unique Case Insensitive"}, $R105))) &gt; 0, "(" &amp; $R105 &amp; ")", ""))))</f>
        <v>na</v>
      </c>
      <c r="E105" s="7" t="s">
        <v>195</v>
      </c>
      <c r="F105" s="7" t="s">
        <v>195</v>
      </c>
      <c r="G105" s="7" t="s">
        <v>195</v>
      </c>
      <c r="H105" s="7" t="s">
        <v>195</v>
      </c>
      <c r="I105" s="7" t="s">
        <v>195</v>
      </c>
      <c r="J105" s="7" t="s">
        <v>195</v>
      </c>
      <c r="K105" s="7" t="s">
        <v>195</v>
      </c>
      <c r="L105" s="7" t="s">
        <v>195</v>
      </c>
      <c r="M105" s="7" t="s">
        <v>29</v>
      </c>
      <c r="N105" s="7" t="s">
        <v>29</v>
      </c>
      <c r="O105" s="7" t="s">
        <v>29</v>
      </c>
      <c r="P105" s="7" t="s">
        <v>29</v>
      </c>
      <c r="Q105" s="7" t="s">
        <v>29</v>
      </c>
      <c r="R105" s="7" t="s">
        <v>29</v>
      </c>
      <c r="S105" s="7" t="s">
        <v>29</v>
      </c>
    </row>
    <row r="106" spans="2:19">
      <c r="B106" s="7" t="s">
        <v>195</v>
      </c>
      <c r="C106" s="8" t="s">
        <v>195</v>
      </c>
      <c r="D106" s="5" t="str">
        <f>LRTRIM(CONCATENATE(IF(SUMPRODUCT(-- ISNUMBER(SEARCH({"Auto Number"}, $B106))) &gt; 0, $B106, IF(SUMPRODUCT(-- ISNUMBER(SEARCH({"Lookup","Master-Detail"}, $B106))) &gt; 0,$B106 &amp; "(" &amp; $E106 &amp; ")",IF(SUMPRODUCT(-- ISNUMBER(SEARCH({"Formula","Roll-Up Summary"}, $B106))) &gt; 0,$B106 &amp; " (" &amp; $E106 &amp; ")",IF(SUMPRODUCT(-- ISNUMBER(SEARCH({"Content","Currency","Number","Percent","Text","URL"}, $B106))) &gt; 0,$B106 &amp; "(" &amp; $C106 &amp; ")",$B106)))), "  ", TRIM(IF($S106 = "YES", "(External ID)", "") &amp; " " &amp; IF(SUMPRODUCT(-- ISNUMBER(SEARCH({"Unique","Unique Case Insensitive"}, $R106))) &gt; 0, "(" &amp; $R106 &amp; ")", ""))))</f>
        <v>na</v>
      </c>
      <c r="E106" s="7" t="s">
        <v>195</v>
      </c>
      <c r="F106" s="7" t="s">
        <v>195</v>
      </c>
      <c r="G106" s="7" t="s">
        <v>195</v>
      </c>
      <c r="H106" s="7" t="s">
        <v>195</v>
      </c>
      <c r="I106" s="7" t="s">
        <v>195</v>
      </c>
      <c r="J106" s="7" t="s">
        <v>195</v>
      </c>
      <c r="K106" s="7" t="s">
        <v>195</v>
      </c>
      <c r="L106" s="7" t="s">
        <v>195</v>
      </c>
      <c r="M106" s="7" t="s">
        <v>29</v>
      </c>
      <c r="N106" s="7" t="s">
        <v>29</v>
      </c>
      <c r="O106" s="7" t="s">
        <v>29</v>
      </c>
      <c r="P106" s="7" t="s">
        <v>29</v>
      </c>
      <c r="Q106" s="7" t="s">
        <v>29</v>
      </c>
      <c r="R106" s="7" t="s">
        <v>29</v>
      </c>
      <c r="S106" s="7" t="s">
        <v>29</v>
      </c>
    </row>
    <row r="107" spans="2:19">
      <c r="B107" s="7" t="s">
        <v>195</v>
      </c>
      <c r="C107" s="8" t="s">
        <v>195</v>
      </c>
      <c r="D107" s="5" t="str">
        <f>LRTRIM(CONCATENATE(IF(SUMPRODUCT(-- ISNUMBER(SEARCH({"Auto Number"}, $B107))) &gt; 0, $B107, IF(SUMPRODUCT(-- ISNUMBER(SEARCH({"Lookup","Master-Detail"}, $B107))) &gt; 0,$B107 &amp; "(" &amp; $E107 &amp; ")",IF(SUMPRODUCT(-- ISNUMBER(SEARCH({"Formula","Roll-Up Summary"}, $B107))) &gt; 0,$B107 &amp; " (" &amp; $E107 &amp; ")",IF(SUMPRODUCT(-- ISNUMBER(SEARCH({"Content","Currency","Number","Percent","Text","URL"}, $B107))) &gt; 0,$B107 &amp; "(" &amp; $C107 &amp; ")",$B107)))), "  ", TRIM(IF($S107 = "YES", "(External ID)", "") &amp; " " &amp; IF(SUMPRODUCT(-- ISNUMBER(SEARCH({"Unique","Unique Case Insensitive"}, $R107))) &gt; 0, "(" &amp; $R107 &amp; ")", ""))))</f>
        <v>na</v>
      </c>
      <c r="E107" s="7" t="s">
        <v>195</v>
      </c>
      <c r="F107" s="7" t="s">
        <v>195</v>
      </c>
      <c r="G107" s="7" t="s">
        <v>195</v>
      </c>
      <c r="H107" s="7" t="s">
        <v>195</v>
      </c>
      <c r="I107" s="7" t="s">
        <v>195</v>
      </c>
      <c r="J107" s="7" t="s">
        <v>195</v>
      </c>
      <c r="K107" s="7" t="s">
        <v>195</v>
      </c>
      <c r="L107" s="7" t="s">
        <v>195</v>
      </c>
      <c r="M107" s="7" t="s">
        <v>29</v>
      </c>
      <c r="N107" s="7" t="s">
        <v>29</v>
      </c>
      <c r="O107" s="7" t="s">
        <v>29</v>
      </c>
      <c r="P107" s="7" t="s">
        <v>29</v>
      </c>
      <c r="Q107" s="7" t="s">
        <v>29</v>
      </c>
      <c r="R107" s="7" t="s">
        <v>29</v>
      </c>
      <c r="S107" s="7" t="s">
        <v>29</v>
      </c>
    </row>
    <row r="108" spans="2:19">
      <c r="B108" s="7" t="s">
        <v>195</v>
      </c>
      <c r="C108" s="8" t="s">
        <v>195</v>
      </c>
      <c r="D108" s="5" t="str">
        <f>LRTRIM(CONCATENATE(IF(SUMPRODUCT(-- ISNUMBER(SEARCH({"Auto Number"}, $B108))) &gt; 0, $B108, IF(SUMPRODUCT(-- ISNUMBER(SEARCH({"Lookup","Master-Detail"}, $B108))) &gt; 0,$B108 &amp; "(" &amp; $E108 &amp; ")",IF(SUMPRODUCT(-- ISNUMBER(SEARCH({"Formula","Roll-Up Summary"}, $B108))) &gt; 0,$B108 &amp; " (" &amp; $E108 &amp; ")",IF(SUMPRODUCT(-- ISNUMBER(SEARCH({"Content","Currency","Number","Percent","Text","URL"}, $B108))) &gt; 0,$B108 &amp; "(" &amp; $C108 &amp; ")",$B108)))), "  ", TRIM(IF($S108 = "YES", "(External ID)", "") &amp; " " &amp; IF(SUMPRODUCT(-- ISNUMBER(SEARCH({"Unique","Unique Case Insensitive"}, $R108))) &gt; 0, "(" &amp; $R108 &amp; ")", ""))))</f>
        <v>na</v>
      </c>
      <c r="E108" s="7" t="s">
        <v>195</v>
      </c>
      <c r="F108" s="7" t="s">
        <v>195</v>
      </c>
      <c r="G108" s="7" t="s">
        <v>195</v>
      </c>
      <c r="H108" s="7" t="s">
        <v>195</v>
      </c>
      <c r="I108" s="7" t="s">
        <v>195</v>
      </c>
      <c r="J108" s="7" t="s">
        <v>195</v>
      </c>
      <c r="K108" s="7" t="s">
        <v>195</v>
      </c>
      <c r="L108" s="7" t="s">
        <v>195</v>
      </c>
      <c r="M108" s="7" t="s">
        <v>29</v>
      </c>
      <c r="N108" s="7" t="s">
        <v>29</v>
      </c>
      <c r="O108" s="7" t="s">
        <v>29</v>
      </c>
      <c r="P108" s="7" t="s">
        <v>29</v>
      </c>
      <c r="Q108" s="7" t="s">
        <v>29</v>
      </c>
      <c r="R108" s="7" t="s">
        <v>29</v>
      </c>
      <c r="S108" s="7" t="s">
        <v>29</v>
      </c>
    </row>
    <row r="109" spans="2:19">
      <c r="B109" s="7" t="s">
        <v>195</v>
      </c>
      <c r="C109" s="8" t="s">
        <v>195</v>
      </c>
      <c r="D109" s="5" t="str">
        <f>LRTRIM(CONCATENATE(IF(SUMPRODUCT(-- ISNUMBER(SEARCH({"Auto Number"}, $B109))) &gt; 0, $B109, IF(SUMPRODUCT(-- ISNUMBER(SEARCH({"Lookup","Master-Detail"}, $B109))) &gt; 0,$B109 &amp; "(" &amp; $E109 &amp; ")",IF(SUMPRODUCT(-- ISNUMBER(SEARCH({"Formula","Roll-Up Summary"}, $B109))) &gt; 0,$B109 &amp; " (" &amp; $E109 &amp; ")",IF(SUMPRODUCT(-- ISNUMBER(SEARCH({"Content","Currency","Number","Percent","Text","URL"}, $B109))) &gt; 0,$B109 &amp; "(" &amp; $C109 &amp; ")",$B109)))), "  ", TRIM(IF($S109 = "YES", "(External ID)", "") &amp; " " &amp; IF(SUMPRODUCT(-- ISNUMBER(SEARCH({"Unique","Unique Case Insensitive"}, $R109))) &gt; 0, "(" &amp; $R109 &amp; ")", ""))))</f>
        <v>na</v>
      </c>
      <c r="E109" s="7" t="s">
        <v>195</v>
      </c>
      <c r="F109" s="7" t="s">
        <v>195</v>
      </c>
      <c r="G109" s="7" t="s">
        <v>195</v>
      </c>
      <c r="H109" s="7" t="s">
        <v>195</v>
      </c>
      <c r="I109" s="7" t="s">
        <v>195</v>
      </c>
      <c r="J109" s="7" t="s">
        <v>195</v>
      </c>
      <c r="K109" s="7" t="s">
        <v>195</v>
      </c>
      <c r="L109" s="7" t="s">
        <v>195</v>
      </c>
      <c r="M109" s="7" t="s">
        <v>29</v>
      </c>
      <c r="N109" s="7" t="s">
        <v>29</v>
      </c>
      <c r="O109" s="7" t="s">
        <v>29</v>
      </c>
      <c r="P109" s="7" t="s">
        <v>29</v>
      </c>
      <c r="Q109" s="7" t="s">
        <v>29</v>
      </c>
      <c r="R109" s="7" t="s">
        <v>29</v>
      </c>
      <c r="S109" s="7" t="s">
        <v>29</v>
      </c>
    </row>
    <row r="110" spans="2:19">
      <c r="B110" s="7" t="s">
        <v>195</v>
      </c>
      <c r="C110" s="8" t="s">
        <v>195</v>
      </c>
      <c r="D110" s="5" t="str">
        <f>LRTRIM(CONCATENATE(IF(SUMPRODUCT(-- ISNUMBER(SEARCH({"Auto Number"}, $B110))) &gt; 0, $B110, IF(SUMPRODUCT(-- ISNUMBER(SEARCH({"Lookup","Master-Detail"}, $B110))) &gt; 0,$B110 &amp; "(" &amp; $E110 &amp; ")",IF(SUMPRODUCT(-- ISNUMBER(SEARCH({"Formula","Roll-Up Summary"}, $B110))) &gt; 0,$B110 &amp; " (" &amp; $E110 &amp; ")",IF(SUMPRODUCT(-- ISNUMBER(SEARCH({"Content","Currency","Number","Percent","Text","URL"}, $B110))) &gt; 0,$B110 &amp; "(" &amp; $C110 &amp; ")",$B110)))), "  ", TRIM(IF($S110 = "YES", "(External ID)", "") &amp; " " &amp; IF(SUMPRODUCT(-- ISNUMBER(SEARCH({"Unique","Unique Case Insensitive"}, $R110))) &gt; 0, "(" &amp; $R110 &amp; ")", ""))))</f>
        <v>na</v>
      </c>
      <c r="E110" s="7" t="s">
        <v>195</v>
      </c>
      <c r="F110" s="7" t="s">
        <v>195</v>
      </c>
      <c r="G110" s="7" t="s">
        <v>195</v>
      </c>
      <c r="H110" s="7" t="s">
        <v>195</v>
      </c>
      <c r="I110" s="7" t="s">
        <v>195</v>
      </c>
      <c r="J110" s="7" t="s">
        <v>195</v>
      </c>
      <c r="K110" s="7" t="s">
        <v>195</v>
      </c>
      <c r="L110" s="7" t="s">
        <v>195</v>
      </c>
      <c r="M110" s="7" t="s">
        <v>29</v>
      </c>
      <c r="N110" s="7" t="s">
        <v>29</v>
      </c>
      <c r="O110" s="7" t="s">
        <v>29</v>
      </c>
      <c r="P110" s="7" t="s">
        <v>29</v>
      </c>
      <c r="Q110" s="7" t="s">
        <v>29</v>
      </c>
      <c r="R110" s="7" t="s">
        <v>29</v>
      </c>
      <c r="S110" s="7" t="s">
        <v>29</v>
      </c>
    </row>
    <row r="111" spans="2:19">
      <c r="B111" s="7" t="s">
        <v>195</v>
      </c>
      <c r="C111" s="8" t="s">
        <v>195</v>
      </c>
      <c r="D111" s="5" t="str">
        <f>LRTRIM(CONCATENATE(IF(SUMPRODUCT(-- ISNUMBER(SEARCH({"Auto Number"}, $B111))) &gt; 0, $B111, IF(SUMPRODUCT(-- ISNUMBER(SEARCH({"Lookup","Master-Detail"}, $B111))) &gt; 0,$B111 &amp; "(" &amp; $E111 &amp; ")",IF(SUMPRODUCT(-- ISNUMBER(SEARCH({"Formula","Roll-Up Summary"}, $B111))) &gt; 0,$B111 &amp; " (" &amp; $E111 &amp; ")",IF(SUMPRODUCT(-- ISNUMBER(SEARCH({"Content","Currency","Number","Percent","Text","URL"}, $B111))) &gt; 0,$B111 &amp; "(" &amp; $C111 &amp; ")",$B111)))), "  ", TRIM(IF($S111 = "YES", "(External ID)", "") &amp; " " &amp; IF(SUMPRODUCT(-- ISNUMBER(SEARCH({"Unique","Unique Case Insensitive"}, $R111))) &gt; 0, "(" &amp; $R111 &amp; ")", ""))))</f>
        <v>na</v>
      </c>
      <c r="E111" s="7" t="s">
        <v>195</v>
      </c>
      <c r="F111" s="7" t="s">
        <v>195</v>
      </c>
      <c r="G111" s="7" t="s">
        <v>195</v>
      </c>
      <c r="H111" s="7" t="s">
        <v>195</v>
      </c>
      <c r="I111" s="7" t="s">
        <v>195</v>
      </c>
      <c r="J111" s="7" t="s">
        <v>195</v>
      </c>
      <c r="K111" s="7" t="s">
        <v>195</v>
      </c>
      <c r="L111" s="7" t="s">
        <v>195</v>
      </c>
      <c r="M111" s="7" t="s">
        <v>29</v>
      </c>
      <c r="N111" s="7" t="s">
        <v>29</v>
      </c>
      <c r="O111" s="7" t="s">
        <v>29</v>
      </c>
      <c r="P111" s="7" t="s">
        <v>29</v>
      </c>
      <c r="Q111" s="7" t="s">
        <v>29</v>
      </c>
      <c r="R111" s="7" t="s">
        <v>29</v>
      </c>
      <c r="S111" s="7" t="s">
        <v>29</v>
      </c>
    </row>
    <row r="112" spans="2:19">
      <c r="B112" s="7" t="s">
        <v>195</v>
      </c>
      <c r="C112" s="8" t="s">
        <v>195</v>
      </c>
      <c r="D112" s="5" t="str">
        <f>LRTRIM(CONCATENATE(IF(SUMPRODUCT(-- ISNUMBER(SEARCH({"Auto Number"}, $B112))) &gt; 0, $B112, IF(SUMPRODUCT(-- ISNUMBER(SEARCH({"Lookup","Master-Detail"}, $B112))) &gt; 0,$B112 &amp; "(" &amp; $E112 &amp; ")",IF(SUMPRODUCT(-- ISNUMBER(SEARCH({"Formula","Roll-Up Summary"}, $B112))) &gt; 0,$B112 &amp; " (" &amp; $E112 &amp; ")",IF(SUMPRODUCT(-- ISNUMBER(SEARCH({"Content","Currency","Number","Percent","Text","URL"}, $B112))) &gt; 0,$B112 &amp; "(" &amp; $C112 &amp; ")",$B112)))), "  ", TRIM(IF($S112 = "YES", "(External ID)", "") &amp; " " &amp; IF(SUMPRODUCT(-- ISNUMBER(SEARCH({"Unique","Unique Case Insensitive"}, $R112))) &gt; 0, "(" &amp; $R112 &amp; ")", ""))))</f>
        <v>na</v>
      </c>
      <c r="E112" s="7" t="s">
        <v>195</v>
      </c>
      <c r="F112" s="7" t="s">
        <v>195</v>
      </c>
      <c r="G112" s="7" t="s">
        <v>195</v>
      </c>
      <c r="H112" s="7" t="s">
        <v>195</v>
      </c>
      <c r="I112" s="7" t="s">
        <v>195</v>
      </c>
      <c r="J112" s="7" t="s">
        <v>195</v>
      </c>
      <c r="K112" s="7" t="s">
        <v>195</v>
      </c>
      <c r="L112" s="7" t="s">
        <v>195</v>
      </c>
      <c r="M112" s="7" t="s">
        <v>29</v>
      </c>
      <c r="N112" s="7" t="s">
        <v>29</v>
      </c>
      <c r="O112" s="7" t="s">
        <v>29</v>
      </c>
      <c r="P112" s="7" t="s">
        <v>29</v>
      </c>
      <c r="Q112" s="7" t="s">
        <v>29</v>
      </c>
      <c r="R112" s="7" t="s">
        <v>29</v>
      </c>
      <c r="S112" s="7" t="s">
        <v>29</v>
      </c>
    </row>
    <row r="113" spans="2:19">
      <c r="B113" s="7" t="s">
        <v>195</v>
      </c>
      <c r="C113" s="8" t="s">
        <v>195</v>
      </c>
      <c r="D113" s="5" t="str">
        <f>LRTRIM(CONCATENATE(IF(SUMPRODUCT(-- ISNUMBER(SEARCH({"Auto Number"}, $B113))) &gt; 0, $B113, IF(SUMPRODUCT(-- ISNUMBER(SEARCH({"Lookup","Master-Detail"}, $B113))) &gt; 0,$B113 &amp; "(" &amp; $E113 &amp; ")",IF(SUMPRODUCT(-- ISNUMBER(SEARCH({"Formula","Roll-Up Summary"}, $B113))) &gt; 0,$B113 &amp; " (" &amp; $E113 &amp; ")",IF(SUMPRODUCT(-- ISNUMBER(SEARCH({"Content","Currency","Number","Percent","Text","URL"}, $B113))) &gt; 0,$B113 &amp; "(" &amp; $C113 &amp; ")",$B113)))), "  ", TRIM(IF($S113 = "YES", "(External ID)", "") &amp; " " &amp; IF(SUMPRODUCT(-- ISNUMBER(SEARCH({"Unique","Unique Case Insensitive"}, $R113))) &gt; 0, "(" &amp; $R113 &amp; ")", ""))))</f>
        <v>na</v>
      </c>
      <c r="E113" s="7" t="s">
        <v>195</v>
      </c>
      <c r="F113" s="7" t="s">
        <v>195</v>
      </c>
      <c r="G113" s="7" t="s">
        <v>195</v>
      </c>
      <c r="H113" s="7" t="s">
        <v>195</v>
      </c>
      <c r="I113" s="7" t="s">
        <v>195</v>
      </c>
      <c r="J113" s="7" t="s">
        <v>195</v>
      </c>
      <c r="K113" s="7" t="s">
        <v>195</v>
      </c>
      <c r="L113" s="7" t="s">
        <v>195</v>
      </c>
      <c r="M113" s="7" t="s">
        <v>29</v>
      </c>
      <c r="N113" s="7" t="s">
        <v>29</v>
      </c>
      <c r="O113" s="7" t="s">
        <v>29</v>
      </c>
      <c r="P113" s="7" t="s">
        <v>29</v>
      </c>
      <c r="Q113" s="7" t="s">
        <v>29</v>
      </c>
      <c r="R113" s="7" t="s">
        <v>29</v>
      </c>
      <c r="S113" s="7" t="s">
        <v>29</v>
      </c>
    </row>
    <row r="114" spans="2:19">
      <c r="B114" s="7" t="s">
        <v>195</v>
      </c>
      <c r="C114" s="8" t="s">
        <v>195</v>
      </c>
      <c r="D114" s="5" t="str">
        <f>LRTRIM(CONCATENATE(IF(SUMPRODUCT(-- ISNUMBER(SEARCH({"Auto Number"}, $B114))) &gt; 0, $B114, IF(SUMPRODUCT(-- ISNUMBER(SEARCH({"Lookup","Master-Detail"}, $B114))) &gt; 0,$B114 &amp; "(" &amp; $E114 &amp; ")",IF(SUMPRODUCT(-- ISNUMBER(SEARCH({"Formula","Roll-Up Summary"}, $B114))) &gt; 0,$B114 &amp; " (" &amp; $E114 &amp; ")",IF(SUMPRODUCT(-- ISNUMBER(SEARCH({"Content","Currency","Number","Percent","Text","URL"}, $B114))) &gt; 0,$B114 &amp; "(" &amp; $C114 &amp; ")",$B114)))), "  ", TRIM(IF($S114 = "YES", "(External ID)", "") &amp; " " &amp; IF(SUMPRODUCT(-- ISNUMBER(SEARCH({"Unique","Unique Case Insensitive"}, $R114))) &gt; 0, "(" &amp; $R114 &amp; ")", ""))))</f>
        <v>na</v>
      </c>
      <c r="E114" s="7" t="s">
        <v>195</v>
      </c>
      <c r="F114" s="7" t="s">
        <v>195</v>
      </c>
      <c r="G114" s="7" t="s">
        <v>195</v>
      </c>
      <c r="H114" s="7" t="s">
        <v>195</v>
      </c>
      <c r="I114" s="7" t="s">
        <v>195</v>
      </c>
      <c r="J114" s="7" t="s">
        <v>195</v>
      </c>
      <c r="K114" s="7" t="s">
        <v>195</v>
      </c>
      <c r="L114" s="7" t="s">
        <v>195</v>
      </c>
      <c r="M114" s="7" t="s">
        <v>29</v>
      </c>
      <c r="N114" s="7" t="s">
        <v>29</v>
      </c>
      <c r="O114" s="7" t="s">
        <v>29</v>
      </c>
      <c r="P114" s="7" t="s">
        <v>29</v>
      </c>
      <c r="Q114" s="7" t="s">
        <v>29</v>
      </c>
      <c r="R114" s="7" t="s">
        <v>29</v>
      </c>
      <c r="S114" s="7" t="s">
        <v>29</v>
      </c>
    </row>
    <row r="115" spans="2:19">
      <c r="B115" s="7" t="s">
        <v>195</v>
      </c>
      <c r="C115" s="8" t="s">
        <v>195</v>
      </c>
      <c r="D115" s="5" t="str">
        <f>LRTRIM(CONCATENATE(IF(SUMPRODUCT(-- ISNUMBER(SEARCH({"Auto Number"}, $B115))) &gt; 0, $B115, IF(SUMPRODUCT(-- ISNUMBER(SEARCH({"Lookup","Master-Detail"}, $B115))) &gt; 0,$B115 &amp; "(" &amp; $E115 &amp; ")",IF(SUMPRODUCT(-- ISNUMBER(SEARCH({"Formula","Roll-Up Summary"}, $B115))) &gt; 0,$B115 &amp; " (" &amp; $E115 &amp; ")",IF(SUMPRODUCT(-- ISNUMBER(SEARCH({"Content","Currency","Number","Percent","Text","URL"}, $B115))) &gt; 0,$B115 &amp; "(" &amp; $C115 &amp; ")",$B115)))), "  ", TRIM(IF($S115 = "YES", "(External ID)", "") &amp; " " &amp; IF(SUMPRODUCT(-- ISNUMBER(SEARCH({"Unique","Unique Case Insensitive"}, $R115))) &gt; 0, "(" &amp; $R115 &amp; ")", ""))))</f>
        <v>na</v>
      </c>
      <c r="E115" s="7" t="s">
        <v>195</v>
      </c>
      <c r="F115" s="7" t="s">
        <v>195</v>
      </c>
      <c r="G115" s="7" t="s">
        <v>195</v>
      </c>
      <c r="H115" s="7" t="s">
        <v>195</v>
      </c>
      <c r="I115" s="7" t="s">
        <v>195</v>
      </c>
      <c r="J115" s="7" t="s">
        <v>195</v>
      </c>
      <c r="K115" s="7" t="s">
        <v>195</v>
      </c>
      <c r="L115" s="7" t="s">
        <v>195</v>
      </c>
      <c r="M115" s="7" t="s">
        <v>29</v>
      </c>
      <c r="N115" s="7" t="s">
        <v>29</v>
      </c>
      <c r="O115" s="7" t="s">
        <v>29</v>
      </c>
      <c r="P115" s="7" t="s">
        <v>29</v>
      </c>
      <c r="Q115" s="7" t="s">
        <v>29</v>
      </c>
      <c r="R115" s="7" t="s">
        <v>29</v>
      </c>
      <c r="S115" s="7" t="s">
        <v>29</v>
      </c>
    </row>
    <row r="116" spans="2:19">
      <c r="B116" s="7" t="s">
        <v>195</v>
      </c>
      <c r="C116" s="8" t="s">
        <v>195</v>
      </c>
      <c r="D116" s="5" t="str">
        <f>LRTRIM(CONCATENATE(IF(SUMPRODUCT(-- ISNUMBER(SEARCH({"Auto Number"}, $B116))) &gt; 0, $B116, IF(SUMPRODUCT(-- ISNUMBER(SEARCH({"Lookup","Master-Detail"}, $B116))) &gt; 0,$B116 &amp; "(" &amp; $E116 &amp; ")",IF(SUMPRODUCT(-- ISNUMBER(SEARCH({"Formula","Roll-Up Summary"}, $B116))) &gt; 0,$B116 &amp; " (" &amp; $E116 &amp; ")",IF(SUMPRODUCT(-- ISNUMBER(SEARCH({"Content","Currency","Number","Percent","Text","URL"}, $B116))) &gt; 0,$B116 &amp; "(" &amp; $C116 &amp; ")",$B116)))), "  ", TRIM(IF($S116 = "YES", "(External ID)", "") &amp; " " &amp; IF(SUMPRODUCT(-- ISNUMBER(SEARCH({"Unique","Unique Case Insensitive"}, $R116))) &gt; 0, "(" &amp; $R116 &amp; ")", ""))))</f>
        <v>na</v>
      </c>
      <c r="E116" s="7" t="s">
        <v>195</v>
      </c>
      <c r="F116" s="7" t="s">
        <v>195</v>
      </c>
      <c r="G116" s="7" t="s">
        <v>195</v>
      </c>
      <c r="H116" s="7" t="s">
        <v>195</v>
      </c>
      <c r="I116" s="7" t="s">
        <v>195</v>
      </c>
      <c r="J116" s="7" t="s">
        <v>195</v>
      </c>
      <c r="K116" s="7" t="s">
        <v>195</v>
      </c>
      <c r="L116" s="7" t="s">
        <v>195</v>
      </c>
      <c r="M116" s="7" t="s">
        <v>29</v>
      </c>
      <c r="N116" s="7" t="s">
        <v>29</v>
      </c>
      <c r="O116" s="7" t="s">
        <v>29</v>
      </c>
      <c r="P116" s="7" t="s">
        <v>29</v>
      </c>
      <c r="Q116" s="7" t="s">
        <v>29</v>
      </c>
      <c r="R116" s="7" t="s">
        <v>29</v>
      </c>
      <c r="S116" s="7" t="s">
        <v>29</v>
      </c>
    </row>
    <row r="117" spans="2:19">
      <c r="B117" s="7" t="s">
        <v>195</v>
      </c>
      <c r="C117" s="8" t="s">
        <v>195</v>
      </c>
      <c r="D117" s="5" t="str">
        <f>LRTRIM(CONCATENATE(IF(SUMPRODUCT(-- ISNUMBER(SEARCH({"Auto Number"}, $B117))) &gt; 0, $B117, IF(SUMPRODUCT(-- ISNUMBER(SEARCH({"Lookup","Master-Detail"}, $B117))) &gt; 0,$B117 &amp; "(" &amp; $E117 &amp; ")",IF(SUMPRODUCT(-- ISNUMBER(SEARCH({"Formula","Roll-Up Summary"}, $B117))) &gt; 0,$B117 &amp; " (" &amp; $E117 &amp; ")",IF(SUMPRODUCT(-- ISNUMBER(SEARCH({"Content","Currency","Number","Percent","Text","URL"}, $B117))) &gt; 0,$B117 &amp; "(" &amp; $C117 &amp; ")",$B117)))), "  ", TRIM(IF($S117 = "YES", "(External ID)", "") &amp; " " &amp; IF(SUMPRODUCT(-- ISNUMBER(SEARCH({"Unique","Unique Case Insensitive"}, $R117))) &gt; 0, "(" &amp; $R117 &amp; ")", ""))))</f>
        <v>na</v>
      </c>
      <c r="E117" s="7" t="s">
        <v>195</v>
      </c>
      <c r="F117" s="7" t="s">
        <v>195</v>
      </c>
      <c r="G117" s="7" t="s">
        <v>195</v>
      </c>
      <c r="H117" s="7" t="s">
        <v>195</v>
      </c>
      <c r="I117" s="7" t="s">
        <v>195</v>
      </c>
      <c r="J117" s="7" t="s">
        <v>195</v>
      </c>
      <c r="K117" s="7" t="s">
        <v>195</v>
      </c>
      <c r="L117" s="7" t="s">
        <v>195</v>
      </c>
      <c r="M117" s="7" t="s">
        <v>29</v>
      </c>
      <c r="N117" s="7" t="s">
        <v>29</v>
      </c>
      <c r="O117" s="7" t="s">
        <v>29</v>
      </c>
      <c r="P117" s="7" t="s">
        <v>29</v>
      </c>
      <c r="Q117" s="7" t="s">
        <v>29</v>
      </c>
      <c r="R117" s="7" t="s">
        <v>29</v>
      </c>
      <c r="S117" s="7" t="s">
        <v>29</v>
      </c>
    </row>
    <row r="118" spans="2:19">
      <c r="B118" s="7" t="s">
        <v>195</v>
      </c>
      <c r="C118" s="8" t="s">
        <v>195</v>
      </c>
      <c r="D118" s="5" t="str">
        <f>LRTRIM(CONCATENATE(IF(SUMPRODUCT(-- ISNUMBER(SEARCH({"Auto Number"}, $B118))) &gt; 0, $B118, IF(SUMPRODUCT(-- ISNUMBER(SEARCH({"Lookup","Master-Detail"}, $B118))) &gt; 0,$B118 &amp; "(" &amp; $E118 &amp; ")",IF(SUMPRODUCT(-- ISNUMBER(SEARCH({"Formula","Roll-Up Summary"}, $B118))) &gt; 0,$B118 &amp; " (" &amp; $E118 &amp; ")",IF(SUMPRODUCT(-- ISNUMBER(SEARCH({"Content","Currency","Number","Percent","Text","URL"}, $B118))) &gt; 0,$B118 &amp; "(" &amp; $C118 &amp; ")",$B118)))), "  ", TRIM(IF($S118 = "YES", "(External ID)", "") &amp; " " &amp; IF(SUMPRODUCT(-- ISNUMBER(SEARCH({"Unique","Unique Case Insensitive"}, $R118))) &gt; 0, "(" &amp; $R118 &amp; ")", ""))))</f>
        <v>na</v>
      </c>
      <c r="E118" s="7" t="s">
        <v>195</v>
      </c>
      <c r="F118" s="7" t="s">
        <v>195</v>
      </c>
      <c r="G118" s="7" t="s">
        <v>195</v>
      </c>
      <c r="H118" s="7" t="s">
        <v>195</v>
      </c>
      <c r="I118" s="7" t="s">
        <v>195</v>
      </c>
      <c r="J118" s="7" t="s">
        <v>195</v>
      </c>
      <c r="K118" s="7" t="s">
        <v>195</v>
      </c>
      <c r="L118" s="7" t="s">
        <v>195</v>
      </c>
      <c r="M118" s="7" t="s">
        <v>29</v>
      </c>
      <c r="N118" s="7" t="s">
        <v>29</v>
      </c>
      <c r="O118" s="7" t="s">
        <v>29</v>
      </c>
      <c r="P118" s="7" t="s">
        <v>29</v>
      </c>
      <c r="Q118" s="7" t="s">
        <v>29</v>
      </c>
      <c r="R118" s="7" t="s">
        <v>29</v>
      </c>
      <c r="S118" s="7" t="s">
        <v>29</v>
      </c>
    </row>
    <row r="119" spans="2:19">
      <c r="B119" s="7" t="s">
        <v>195</v>
      </c>
      <c r="C119" s="8" t="s">
        <v>195</v>
      </c>
      <c r="D119" s="5" t="str">
        <f>LRTRIM(CONCATENATE(IF(SUMPRODUCT(-- ISNUMBER(SEARCH({"Auto Number"}, $B119))) &gt; 0, $B119, IF(SUMPRODUCT(-- ISNUMBER(SEARCH({"Lookup","Master-Detail"}, $B119))) &gt; 0,$B119 &amp; "(" &amp; $E119 &amp; ")",IF(SUMPRODUCT(-- ISNUMBER(SEARCH({"Formula","Roll-Up Summary"}, $B119))) &gt; 0,$B119 &amp; " (" &amp; $E119 &amp; ")",IF(SUMPRODUCT(-- ISNUMBER(SEARCH({"Content","Currency","Number","Percent","Text","URL"}, $B119))) &gt; 0,$B119 &amp; "(" &amp; $C119 &amp; ")",$B119)))), "  ", TRIM(IF($S119 = "YES", "(External ID)", "") &amp; " " &amp; IF(SUMPRODUCT(-- ISNUMBER(SEARCH({"Unique","Unique Case Insensitive"}, $R119))) &gt; 0, "(" &amp; $R119 &amp; ")", ""))))</f>
        <v>na</v>
      </c>
      <c r="E119" s="7" t="s">
        <v>195</v>
      </c>
      <c r="F119" s="7" t="s">
        <v>195</v>
      </c>
      <c r="G119" s="7" t="s">
        <v>195</v>
      </c>
      <c r="H119" s="7" t="s">
        <v>195</v>
      </c>
      <c r="I119" s="7" t="s">
        <v>195</v>
      </c>
      <c r="J119" s="7" t="s">
        <v>195</v>
      </c>
      <c r="K119" s="7" t="s">
        <v>195</v>
      </c>
      <c r="L119" s="7" t="s">
        <v>195</v>
      </c>
      <c r="M119" s="7" t="s">
        <v>29</v>
      </c>
      <c r="N119" s="7" t="s">
        <v>29</v>
      </c>
      <c r="O119" s="7" t="s">
        <v>29</v>
      </c>
      <c r="P119" s="7" t="s">
        <v>29</v>
      </c>
      <c r="Q119" s="7" t="s">
        <v>29</v>
      </c>
      <c r="R119" s="7" t="s">
        <v>29</v>
      </c>
      <c r="S119" s="7" t="s">
        <v>29</v>
      </c>
    </row>
    <row r="120" spans="2:19">
      <c r="B120" s="7" t="s">
        <v>195</v>
      </c>
      <c r="C120" s="8" t="s">
        <v>195</v>
      </c>
      <c r="D120" s="5" t="str">
        <f>LRTRIM(CONCATENATE(IF(SUMPRODUCT(-- ISNUMBER(SEARCH({"Auto Number"}, $B120))) &gt; 0, $B120, IF(SUMPRODUCT(-- ISNUMBER(SEARCH({"Lookup","Master-Detail"}, $B120))) &gt; 0,$B120 &amp; "(" &amp; $E120 &amp; ")",IF(SUMPRODUCT(-- ISNUMBER(SEARCH({"Formula","Roll-Up Summary"}, $B120))) &gt; 0,$B120 &amp; " (" &amp; $E120 &amp; ")",IF(SUMPRODUCT(-- ISNUMBER(SEARCH({"Content","Currency","Number","Percent","Text","URL"}, $B120))) &gt; 0,$B120 &amp; "(" &amp; $C120 &amp; ")",$B120)))), "  ", TRIM(IF($S120 = "YES", "(External ID)", "") &amp; " " &amp; IF(SUMPRODUCT(-- ISNUMBER(SEARCH({"Unique","Unique Case Insensitive"}, $R120))) &gt; 0, "(" &amp; $R120 &amp; ")", ""))))</f>
        <v>na</v>
      </c>
      <c r="E120" s="7" t="s">
        <v>195</v>
      </c>
      <c r="F120" s="7" t="s">
        <v>195</v>
      </c>
      <c r="G120" s="7" t="s">
        <v>195</v>
      </c>
      <c r="H120" s="7" t="s">
        <v>195</v>
      </c>
      <c r="I120" s="7" t="s">
        <v>195</v>
      </c>
      <c r="J120" s="7" t="s">
        <v>195</v>
      </c>
      <c r="K120" s="7" t="s">
        <v>195</v>
      </c>
      <c r="L120" s="7" t="s">
        <v>195</v>
      </c>
      <c r="M120" s="7" t="s">
        <v>29</v>
      </c>
      <c r="N120" s="7" t="s">
        <v>29</v>
      </c>
      <c r="O120" s="7" t="s">
        <v>29</v>
      </c>
      <c r="P120" s="7" t="s">
        <v>29</v>
      </c>
      <c r="Q120" s="7" t="s">
        <v>29</v>
      </c>
      <c r="R120" s="7" t="s">
        <v>29</v>
      </c>
      <c r="S120" s="7" t="s">
        <v>29</v>
      </c>
    </row>
    <row r="121" spans="2:19">
      <c r="B121" s="7" t="s">
        <v>195</v>
      </c>
      <c r="C121" s="8" t="s">
        <v>195</v>
      </c>
      <c r="D121" s="5" t="str">
        <f>LRTRIM(CONCATENATE(IF(SUMPRODUCT(-- ISNUMBER(SEARCH({"Auto Number"}, $B121))) &gt; 0, $B121, IF(SUMPRODUCT(-- ISNUMBER(SEARCH({"Lookup","Master-Detail"}, $B121))) &gt; 0,$B121 &amp; "(" &amp; $E121 &amp; ")",IF(SUMPRODUCT(-- ISNUMBER(SEARCH({"Formula","Roll-Up Summary"}, $B121))) &gt; 0,$B121 &amp; " (" &amp; $E121 &amp; ")",IF(SUMPRODUCT(-- ISNUMBER(SEARCH({"Content","Currency","Number","Percent","Text","URL"}, $B121))) &gt; 0,$B121 &amp; "(" &amp; $C121 &amp; ")",$B121)))), "  ", TRIM(IF($S121 = "YES", "(External ID)", "") &amp; " " &amp; IF(SUMPRODUCT(-- ISNUMBER(SEARCH({"Unique","Unique Case Insensitive"}, $R121))) &gt; 0, "(" &amp; $R121 &amp; ")", ""))))</f>
        <v>na</v>
      </c>
      <c r="E121" s="7" t="s">
        <v>195</v>
      </c>
      <c r="F121" s="7" t="s">
        <v>195</v>
      </c>
      <c r="G121" s="7" t="s">
        <v>195</v>
      </c>
      <c r="H121" s="7" t="s">
        <v>195</v>
      </c>
      <c r="I121" s="7" t="s">
        <v>195</v>
      </c>
      <c r="J121" s="7" t="s">
        <v>195</v>
      </c>
      <c r="K121" s="7" t="s">
        <v>195</v>
      </c>
      <c r="L121" s="7" t="s">
        <v>195</v>
      </c>
      <c r="M121" s="7" t="s">
        <v>29</v>
      </c>
      <c r="N121" s="7" t="s">
        <v>29</v>
      </c>
      <c r="O121" s="7" t="s">
        <v>29</v>
      </c>
      <c r="P121" s="7" t="s">
        <v>29</v>
      </c>
      <c r="Q121" s="7" t="s">
        <v>29</v>
      </c>
      <c r="R121" s="7" t="s">
        <v>29</v>
      </c>
      <c r="S121" s="7" t="s">
        <v>29</v>
      </c>
    </row>
    <row r="122" spans="2:19">
      <c r="B122" s="7" t="s">
        <v>195</v>
      </c>
      <c r="C122" s="8" t="s">
        <v>195</v>
      </c>
      <c r="D122" s="5" t="str">
        <f>LRTRIM(CONCATENATE(IF(SUMPRODUCT(-- ISNUMBER(SEARCH({"Auto Number"}, $B122))) &gt; 0, $B122, IF(SUMPRODUCT(-- ISNUMBER(SEARCH({"Lookup","Master-Detail"}, $B122))) &gt; 0,$B122 &amp; "(" &amp; $E122 &amp; ")",IF(SUMPRODUCT(-- ISNUMBER(SEARCH({"Formula","Roll-Up Summary"}, $B122))) &gt; 0,$B122 &amp; " (" &amp; $E122 &amp; ")",IF(SUMPRODUCT(-- ISNUMBER(SEARCH({"Content","Currency","Number","Percent","Text","URL"}, $B122))) &gt; 0,$B122 &amp; "(" &amp; $C122 &amp; ")",$B122)))), "  ", TRIM(IF($S122 = "YES", "(External ID)", "") &amp; " " &amp; IF(SUMPRODUCT(-- ISNUMBER(SEARCH({"Unique","Unique Case Insensitive"}, $R122))) &gt; 0, "(" &amp; $R122 &amp; ")", ""))))</f>
        <v>na</v>
      </c>
      <c r="E122" s="7" t="s">
        <v>195</v>
      </c>
      <c r="F122" s="7" t="s">
        <v>195</v>
      </c>
      <c r="G122" s="7" t="s">
        <v>195</v>
      </c>
      <c r="H122" s="7" t="s">
        <v>195</v>
      </c>
      <c r="I122" s="7" t="s">
        <v>195</v>
      </c>
      <c r="J122" s="7" t="s">
        <v>195</v>
      </c>
      <c r="K122" s="7" t="s">
        <v>195</v>
      </c>
      <c r="L122" s="7" t="s">
        <v>195</v>
      </c>
      <c r="M122" s="7" t="s">
        <v>29</v>
      </c>
      <c r="N122" s="7" t="s">
        <v>29</v>
      </c>
      <c r="O122" s="7" t="s">
        <v>29</v>
      </c>
      <c r="P122" s="7" t="s">
        <v>29</v>
      </c>
      <c r="Q122" s="7" t="s">
        <v>29</v>
      </c>
      <c r="R122" s="7" t="s">
        <v>29</v>
      </c>
      <c r="S122" s="7" t="s">
        <v>29</v>
      </c>
    </row>
    <row r="123" spans="2:19">
      <c r="B123" s="7" t="s">
        <v>195</v>
      </c>
      <c r="C123" s="8" t="s">
        <v>195</v>
      </c>
      <c r="D123" s="5" t="str">
        <f>LRTRIM(CONCATENATE(IF(SUMPRODUCT(-- ISNUMBER(SEARCH({"Auto Number"}, $B123))) &gt; 0, $B123, IF(SUMPRODUCT(-- ISNUMBER(SEARCH({"Lookup","Master-Detail"}, $B123))) &gt; 0,$B123 &amp; "(" &amp; $E123 &amp; ")",IF(SUMPRODUCT(-- ISNUMBER(SEARCH({"Formula","Roll-Up Summary"}, $B123))) &gt; 0,$B123 &amp; " (" &amp; $E123 &amp; ")",IF(SUMPRODUCT(-- ISNUMBER(SEARCH({"Content","Currency","Number","Percent","Text","URL"}, $B123))) &gt; 0,$B123 &amp; "(" &amp; $C123 &amp; ")",$B123)))), "  ", TRIM(IF($S123 = "YES", "(External ID)", "") &amp; " " &amp; IF(SUMPRODUCT(-- ISNUMBER(SEARCH({"Unique","Unique Case Insensitive"}, $R123))) &gt; 0, "(" &amp; $R123 &amp; ")", ""))))</f>
        <v>na</v>
      </c>
      <c r="E123" s="7" t="s">
        <v>195</v>
      </c>
      <c r="F123" s="7" t="s">
        <v>195</v>
      </c>
      <c r="G123" s="7" t="s">
        <v>195</v>
      </c>
      <c r="H123" s="7" t="s">
        <v>195</v>
      </c>
      <c r="I123" s="7" t="s">
        <v>195</v>
      </c>
      <c r="J123" s="7" t="s">
        <v>195</v>
      </c>
      <c r="K123" s="7" t="s">
        <v>195</v>
      </c>
      <c r="L123" s="7" t="s">
        <v>195</v>
      </c>
      <c r="M123" s="7" t="s">
        <v>29</v>
      </c>
      <c r="N123" s="7" t="s">
        <v>29</v>
      </c>
      <c r="O123" s="7" t="s">
        <v>29</v>
      </c>
      <c r="P123" s="7" t="s">
        <v>29</v>
      </c>
      <c r="Q123" s="7" t="s">
        <v>29</v>
      </c>
      <c r="R123" s="7" t="s">
        <v>29</v>
      </c>
      <c r="S123" s="7" t="s">
        <v>29</v>
      </c>
    </row>
    <row r="124" spans="2:19">
      <c r="B124" s="7" t="s">
        <v>195</v>
      </c>
      <c r="C124" s="8" t="s">
        <v>195</v>
      </c>
      <c r="D124" s="5" t="str">
        <f>LRTRIM(CONCATENATE(IF(SUMPRODUCT(-- ISNUMBER(SEARCH({"Auto Number"}, $B124))) &gt; 0, $B124, IF(SUMPRODUCT(-- ISNUMBER(SEARCH({"Lookup","Master-Detail"}, $B124))) &gt; 0,$B124 &amp; "(" &amp; $E124 &amp; ")",IF(SUMPRODUCT(-- ISNUMBER(SEARCH({"Formula","Roll-Up Summary"}, $B124))) &gt; 0,$B124 &amp; " (" &amp; $E124 &amp; ")",IF(SUMPRODUCT(-- ISNUMBER(SEARCH({"Content","Currency","Number","Percent","Text","URL"}, $B124))) &gt; 0,$B124 &amp; "(" &amp; $C124 &amp; ")",$B124)))), "  ", TRIM(IF($S124 = "YES", "(External ID)", "") &amp; " " &amp; IF(SUMPRODUCT(-- ISNUMBER(SEARCH({"Unique","Unique Case Insensitive"}, $R124))) &gt; 0, "(" &amp; $R124 &amp; ")", ""))))</f>
        <v>na</v>
      </c>
      <c r="E124" s="7" t="s">
        <v>195</v>
      </c>
      <c r="F124" s="7" t="s">
        <v>195</v>
      </c>
      <c r="G124" s="7" t="s">
        <v>195</v>
      </c>
      <c r="H124" s="7" t="s">
        <v>195</v>
      </c>
      <c r="I124" s="7" t="s">
        <v>195</v>
      </c>
      <c r="J124" s="7" t="s">
        <v>195</v>
      </c>
      <c r="K124" s="7" t="s">
        <v>195</v>
      </c>
      <c r="L124" s="7" t="s">
        <v>195</v>
      </c>
      <c r="M124" s="7" t="s">
        <v>29</v>
      </c>
      <c r="N124" s="7" t="s">
        <v>29</v>
      </c>
      <c r="O124" s="7" t="s">
        <v>29</v>
      </c>
      <c r="P124" s="7" t="s">
        <v>29</v>
      </c>
      <c r="Q124" s="7" t="s">
        <v>29</v>
      </c>
      <c r="R124" s="7" t="s">
        <v>29</v>
      </c>
      <c r="S124" s="7" t="s">
        <v>29</v>
      </c>
    </row>
    <row r="125" spans="2:19">
      <c r="B125" s="7" t="s">
        <v>195</v>
      </c>
      <c r="C125" s="8" t="s">
        <v>195</v>
      </c>
      <c r="D125" s="5" t="str">
        <f>LRTRIM(CONCATENATE(IF(SUMPRODUCT(-- ISNUMBER(SEARCH({"Auto Number"}, $B125))) &gt; 0, $B125, IF(SUMPRODUCT(-- ISNUMBER(SEARCH({"Lookup","Master-Detail"}, $B125))) &gt; 0,$B125 &amp; "(" &amp; $E125 &amp; ")",IF(SUMPRODUCT(-- ISNUMBER(SEARCH({"Formula","Roll-Up Summary"}, $B125))) &gt; 0,$B125 &amp; " (" &amp; $E125 &amp; ")",IF(SUMPRODUCT(-- ISNUMBER(SEARCH({"Content","Currency","Number","Percent","Text","URL"}, $B125))) &gt; 0,$B125 &amp; "(" &amp; $C125 &amp; ")",$B125)))), "  ", TRIM(IF($S125 = "YES", "(External ID)", "") &amp; " " &amp; IF(SUMPRODUCT(-- ISNUMBER(SEARCH({"Unique","Unique Case Insensitive"}, $R125))) &gt; 0, "(" &amp; $R125 &amp; ")", ""))))</f>
        <v>na</v>
      </c>
      <c r="E125" s="7" t="s">
        <v>195</v>
      </c>
      <c r="F125" s="7" t="s">
        <v>195</v>
      </c>
      <c r="G125" s="7" t="s">
        <v>195</v>
      </c>
      <c r="H125" s="7" t="s">
        <v>195</v>
      </c>
      <c r="I125" s="7" t="s">
        <v>195</v>
      </c>
      <c r="J125" s="7" t="s">
        <v>195</v>
      </c>
      <c r="K125" s="7" t="s">
        <v>195</v>
      </c>
      <c r="L125" s="7" t="s">
        <v>195</v>
      </c>
      <c r="M125" s="7" t="s">
        <v>29</v>
      </c>
      <c r="N125" s="7" t="s">
        <v>29</v>
      </c>
      <c r="O125" s="7" t="s">
        <v>29</v>
      </c>
      <c r="P125" s="7" t="s">
        <v>29</v>
      </c>
      <c r="Q125" s="7" t="s">
        <v>29</v>
      </c>
      <c r="R125" s="7" t="s">
        <v>29</v>
      </c>
      <c r="S125" s="7" t="s">
        <v>29</v>
      </c>
    </row>
    <row r="126" spans="2:19">
      <c r="B126" s="7" t="s">
        <v>195</v>
      </c>
      <c r="C126" s="8" t="s">
        <v>195</v>
      </c>
      <c r="D126" s="5" t="str">
        <f>LRTRIM(CONCATENATE(IF(SUMPRODUCT(-- ISNUMBER(SEARCH({"Auto Number"}, $B126))) &gt; 0, $B126, IF(SUMPRODUCT(-- ISNUMBER(SEARCH({"Lookup","Master-Detail"}, $B126))) &gt; 0,$B126 &amp; "(" &amp; $E126 &amp; ")",IF(SUMPRODUCT(-- ISNUMBER(SEARCH({"Formula","Roll-Up Summary"}, $B126))) &gt; 0,$B126 &amp; " (" &amp; $E126 &amp; ")",IF(SUMPRODUCT(-- ISNUMBER(SEARCH({"Content","Currency","Number","Percent","Text","URL"}, $B126))) &gt; 0,$B126 &amp; "(" &amp; $C126 &amp; ")",$B126)))), "  ", TRIM(IF($S126 = "YES", "(External ID)", "") &amp; " " &amp; IF(SUMPRODUCT(-- ISNUMBER(SEARCH({"Unique","Unique Case Insensitive"}, $R126))) &gt; 0, "(" &amp; $R126 &amp; ")", ""))))</f>
        <v>na</v>
      </c>
      <c r="E126" s="7" t="s">
        <v>195</v>
      </c>
      <c r="F126" s="7" t="s">
        <v>195</v>
      </c>
      <c r="G126" s="7" t="s">
        <v>195</v>
      </c>
      <c r="H126" s="7" t="s">
        <v>195</v>
      </c>
      <c r="I126" s="7" t="s">
        <v>195</v>
      </c>
      <c r="J126" s="7" t="s">
        <v>195</v>
      </c>
      <c r="K126" s="7" t="s">
        <v>195</v>
      </c>
      <c r="L126" s="7" t="s">
        <v>195</v>
      </c>
      <c r="M126" s="7" t="s">
        <v>29</v>
      </c>
      <c r="N126" s="7" t="s">
        <v>29</v>
      </c>
      <c r="O126" s="7" t="s">
        <v>29</v>
      </c>
      <c r="P126" s="7" t="s">
        <v>29</v>
      </c>
      <c r="Q126" s="7" t="s">
        <v>29</v>
      </c>
      <c r="R126" s="7" t="s">
        <v>29</v>
      </c>
      <c r="S126" s="7" t="s">
        <v>29</v>
      </c>
    </row>
    <row r="127" spans="2:19">
      <c r="B127" s="7" t="s">
        <v>195</v>
      </c>
      <c r="C127" s="8" t="s">
        <v>195</v>
      </c>
      <c r="D127" s="5" t="str">
        <f>LRTRIM(CONCATENATE(IF(SUMPRODUCT(-- ISNUMBER(SEARCH({"Auto Number"}, $B127))) &gt; 0, $B127, IF(SUMPRODUCT(-- ISNUMBER(SEARCH({"Lookup","Master-Detail"}, $B127))) &gt; 0,$B127 &amp; "(" &amp; $E127 &amp; ")",IF(SUMPRODUCT(-- ISNUMBER(SEARCH({"Formula","Roll-Up Summary"}, $B127))) &gt; 0,$B127 &amp; " (" &amp; $E127 &amp; ")",IF(SUMPRODUCT(-- ISNUMBER(SEARCH({"Content","Currency","Number","Percent","Text","URL"}, $B127))) &gt; 0,$B127 &amp; "(" &amp; $C127 &amp; ")",$B127)))), "  ", TRIM(IF($S127 = "YES", "(External ID)", "") &amp; " " &amp; IF(SUMPRODUCT(-- ISNUMBER(SEARCH({"Unique","Unique Case Insensitive"}, $R127))) &gt; 0, "(" &amp; $R127 &amp; ")", ""))))</f>
        <v>na</v>
      </c>
      <c r="E127" s="7" t="s">
        <v>195</v>
      </c>
      <c r="F127" s="7" t="s">
        <v>195</v>
      </c>
      <c r="G127" s="7" t="s">
        <v>195</v>
      </c>
      <c r="H127" s="7" t="s">
        <v>195</v>
      </c>
      <c r="I127" s="7" t="s">
        <v>195</v>
      </c>
      <c r="J127" s="7" t="s">
        <v>195</v>
      </c>
      <c r="K127" s="7" t="s">
        <v>195</v>
      </c>
      <c r="L127" s="7" t="s">
        <v>195</v>
      </c>
      <c r="M127" s="7" t="s">
        <v>29</v>
      </c>
      <c r="N127" s="7" t="s">
        <v>29</v>
      </c>
      <c r="O127" s="7" t="s">
        <v>29</v>
      </c>
      <c r="P127" s="7" t="s">
        <v>29</v>
      </c>
      <c r="Q127" s="7" t="s">
        <v>29</v>
      </c>
      <c r="R127" s="7" t="s">
        <v>29</v>
      </c>
      <c r="S127" s="7" t="s">
        <v>29</v>
      </c>
    </row>
    <row r="128" spans="2:19">
      <c r="B128" s="7" t="s">
        <v>195</v>
      </c>
      <c r="C128" s="8" t="s">
        <v>195</v>
      </c>
      <c r="D128" s="5" t="str">
        <f>LRTRIM(CONCATENATE(IF(SUMPRODUCT(-- ISNUMBER(SEARCH({"Auto Number"}, $B128))) &gt; 0, $B128, IF(SUMPRODUCT(-- ISNUMBER(SEARCH({"Lookup","Master-Detail"}, $B128))) &gt; 0,$B128 &amp; "(" &amp; $E128 &amp; ")",IF(SUMPRODUCT(-- ISNUMBER(SEARCH({"Formula","Roll-Up Summary"}, $B128))) &gt; 0,$B128 &amp; " (" &amp; $E128 &amp; ")",IF(SUMPRODUCT(-- ISNUMBER(SEARCH({"Content","Currency","Number","Percent","Text","URL"}, $B128))) &gt; 0,$B128 &amp; "(" &amp; $C128 &amp; ")",$B128)))), "  ", TRIM(IF($S128 = "YES", "(External ID)", "") &amp; " " &amp; IF(SUMPRODUCT(-- ISNUMBER(SEARCH({"Unique","Unique Case Insensitive"}, $R128))) &gt; 0, "(" &amp; $R128 &amp; ")", ""))))</f>
        <v>na</v>
      </c>
      <c r="E128" s="7" t="s">
        <v>195</v>
      </c>
      <c r="F128" s="7" t="s">
        <v>195</v>
      </c>
      <c r="G128" s="7" t="s">
        <v>195</v>
      </c>
      <c r="H128" s="7" t="s">
        <v>195</v>
      </c>
      <c r="I128" s="7" t="s">
        <v>195</v>
      </c>
      <c r="J128" s="7" t="s">
        <v>195</v>
      </c>
      <c r="K128" s="7" t="s">
        <v>195</v>
      </c>
      <c r="L128" s="7" t="s">
        <v>195</v>
      </c>
      <c r="M128" s="7" t="s">
        <v>29</v>
      </c>
      <c r="N128" s="7" t="s">
        <v>29</v>
      </c>
      <c r="O128" s="7" t="s">
        <v>29</v>
      </c>
      <c r="P128" s="7" t="s">
        <v>29</v>
      </c>
      <c r="Q128" s="7" t="s">
        <v>29</v>
      </c>
      <c r="R128" s="7" t="s">
        <v>29</v>
      </c>
      <c r="S128" s="7" t="s">
        <v>29</v>
      </c>
    </row>
    <row r="129" spans="2:19">
      <c r="B129" s="7" t="s">
        <v>195</v>
      </c>
      <c r="C129" s="8" t="s">
        <v>195</v>
      </c>
      <c r="D129" s="5" t="str">
        <f>LRTRIM(CONCATENATE(IF(SUMPRODUCT(-- ISNUMBER(SEARCH({"Auto Number"}, $B129))) &gt; 0, $B129, IF(SUMPRODUCT(-- ISNUMBER(SEARCH({"Lookup","Master-Detail"}, $B129))) &gt; 0,$B129 &amp; "(" &amp; $E129 &amp; ")",IF(SUMPRODUCT(-- ISNUMBER(SEARCH({"Formula","Roll-Up Summary"}, $B129))) &gt; 0,$B129 &amp; " (" &amp; $E129 &amp; ")",IF(SUMPRODUCT(-- ISNUMBER(SEARCH({"Content","Currency","Number","Percent","Text","URL"}, $B129))) &gt; 0,$B129 &amp; "(" &amp; $C129 &amp; ")",$B129)))), "  ", TRIM(IF($S129 = "YES", "(External ID)", "") &amp; " " &amp; IF(SUMPRODUCT(-- ISNUMBER(SEARCH({"Unique","Unique Case Insensitive"}, $R129))) &gt; 0, "(" &amp; $R129 &amp; ")", ""))))</f>
        <v>na</v>
      </c>
      <c r="E129" s="7" t="s">
        <v>195</v>
      </c>
      <c r="F129" s="7" t="s">
        <v>195</v>
      </c>
      <c r="G129" s="7" t="s">
        <v>195</v>
      </c>
      <c r="H129" s="7" t="s">
        <v>195</v>
      </c>
      <c r="I129" s="7" t="s">
        <v>195</v>
      </c>
      <c r="J129" s="7" t="s">
        <v>195</v>
      </c>
      <c r="K129" s="7" t="s">
        <v>195</v>
      </c>
      <c r="L129" s="7" t="s">
        <v>195</v>
      </c>
      <c r="M129" s="7" t="s">
        <v>29</v>
      </c>
      <c r="N129" s="7" t="s">
        <v>29</v>
      </c>
      <c r="O129" s="7" t="s">
        <v>29</v>
      </c>
      <c r="P129" s="7" t="s">
        <v>29</v>
      </c>
      <c r="Q129" s="7" t="s">
        <v>29</v>
      </c>
      <c r="R129" s="7" t="s">
        <v>29</v>
      </c>
      <c r="S129" s="7" t="s">
        <v>29</v>
      </c>
    </row>
    <row r="130" spans="2:19">
      <c r="B130" s="7" t="s">
        <v>195</v>
      </c>
      <c r="C130" s="8" t="s">
        <v>195</v>
      </c>
      <c r="D130" s="5" t="str">
        <f>LRTRIM(CONCATENATE(IF(SUMPRODUCT(-- ISNUMBER(SEARCH({"Auto Number"}, $B130))) &gt; 0, $B130, IF(SUMPRODUCT(-- ISNUMBER(SEARCH({"Lookup","Master-Detail"}, $B130))) &gt; 0,$B130 &amp; "(" &amp; $E130 &amp; ")",IF(SUMPRODUCT(-- ISNUMBER(SEARCH({"Formula","Roll-Up Summary"}, $B130))) &gt; 0,$B130 &amp; " (" &amp; $E130 &amp; ")",IF(SUMPRODUCT(-- ISNUMBER(SEARCH({"Content","Currency","Number","Percent","Text","URL"}, $B130))) &gt; 0,$B130 &amp; "(" &amp; $C130 &amp; ")",$B130)))), "  ", TRIM(IF($S130 = "YES", "(External ID)", "") &amp; " " &amp; IF(SUMPRODUCT(-- ISNUMBER(SEARCH({"Unique","Unique Case Insensitive"}, $R130))) &gt; 0, "(" &amp; $R130 &amp; ")", ""))))</f>
        <v>na</v>
      </c>
      <c r="E130" s="7" t="s">
        <v>195</v>
      </c>
      <c r="F130" s="7" t="s">
        <v>195</v>
      </c>
      <c r="G130" s="7" t="s">
        <v>195</v>
      </c>
      <c r="H130" s="7" t="s">
        <v>195</v>
      </c>
      <c r="I130" s="7" t="s">
        <v>195</v>
      </c>
      <c r="J130" s="7" t="s">
        <v>195</v>
      </c>
      <c r="K130" s="7" t="s">
        <v>195</v>
      </c>
      <c r="L130" s="7" t="s">
        <v>195</v>
      </c>
      <c r="M130" s="7" t="s">
        <v>29</v>
      </c>
      <c r="N130" s="7" t="s">
        <v>29</v>
      </c>
      <c r="O130" s="7" t="s">
        <v>29</v>
      </c>
      <c r="P130" s="7" t="s">
        <v>29</v>
      </c>
      <c r="Q130" s="7" t="s">
        <v>29</v>
      </c>
      <c r="R130" s="7" t="s">
        <v>29</v>
      </c>
      <c r="S130" s="7" t="s">
        <v>29</v>
      </c>
    </row>
    <row r="131" spans="2:19">
      <c r="B131" s="7" t="s">
        <v>195</v>
      </c>
      <c r="C131" s="8" t="s">
        <v>195</v>
      </c>
      <c r="D131" s="5" t="str">
        <f>LRTRIM(CONCATENATE(IF(SUMPRODUCT(-- ISNUMBER(SEARCH({"Auto Number"}, $B131))) &gt; 0, $B131, IF(SUMPRODUCT(-- ISNUMBER(SEARCH({"Lookup","Master-Detail"}, $B131))) &gt; 0,$B131 &amp; "(" &amp; $E131 &amp; ")",IF(SUMPRODUCT(-- ISNUMBER(SEARCH({"Formula","Roll-Up Summary"}, $B131))) &gt; 0,$B131 &amp; " (" &amp; $E131 &amp; ")",IF(SUMPRODUCT(-- ISNUMBER(SEARCH({"Content","Currency","Number","Percent","Text","URL"}, $B131))) &gt; 0,$B131 &amp; "(" &amp; $C131 &amp; ")",$B131)))), "  ", TRIM(IF($S131 = "YES", "(External ID)", "") &amp; " " &amp; IF(SUMPRODUCT(-- ISNUMBER(SEARCH({"Unique","Unique Case Insensitive"}, $R131))) &gt; 0, "(" &amp; $R131 &amp; ")", ""))))</f>
        <v>na</v>
      </c>
      <c r="E131" s="7" t="s">
        <v>195</v>
      </c>
      <c r="F131" s="7" t="s">
        <v>195</v>
      </c>
      <c r="G131" s="7" t="s">
        <v>195</v>
      </c>
      <c r="H131" s="7" t="s">
        <v>195</v>
      </c>
      <c r="I131" s="7" t="s">
        <v>195</v>
      </c>
      <c r="J131" s="7" t="s">
        <v>195</v>
      </c>
      <c r="K131" s="7" t="s">
        <v>195</v>
      </c>
      <c r="L131" s="7" t="s">
        <v>195</v>
      </c>
      <c r="M131" s="7" t="s">
        <v>29</v>
      </c>
      <c r="N131" s="7" t="s">
        <v>29</v>
      </c>
      <c r="O131" s="7" t="s">
        <v>29</v>
      </c>
      <c r="P131" s="7" t="s">
        <v>29</v>
      </c>
      <c r="Q131" s="7" t="s">
        <v>29</v>
      </c>
      <c r="R131" s="7" t="s">
        <v>29</v>
      </c>
      <c r="S131" s="7" t="s">
        <v>29</v>
      </c>
    </row>
    <row r="132" spans="2:19">
      <c r="B132" s="7" t="s">
        <v>195</v>
      </c>
      <c r="C132" s="8" t="s">
        <v>195</v>
      </c>
      <c r="D132" s="5" t="str">
        <f>LRTRIM(CONCATENATE(IF(SUMPRODUCT(-- ISNUMBER(SEARCH({"Auto Number"}, $B132))) &gt; 0, $B132, IF(SUMPRODUCT(-- ISNUMBER(SEARCH({"Lookup","Master-Detail"}, $B132))) &gt; 0,$B132 &amp; "(" &amp; $E132 &amp; ")",IF(SUMPRODUCT(-- ISNUMBER(SEARCH({"Formula","Roll-Up Summary"}, $B132))) &gt; 0,$B132 &amp; " (" &amp; $E132 &amp; ")",IF(SUMPRODUCT(-- ISNUMBER(SEARCH({"Content","Currency","Number","Percent","Text","URL"}, $B132))) &gt; 0,$B132 &amp; "(" &amp; $C132 &amp; ")",$B132)))), "  ", TRIM(IF($S132 = "YES", "(External ID)", "") &amp; " " &amp; IF(SUMPRODUCT(-- ISNUMBER(SEARCH({"Unique","Unique Case Insensitive"}, $R132))) &gt; 0, "(" &amp; $R132 &amp; ")", ""))))</f>
        <v>na</v>
      </c>
      <c r="E132" s="7" t="s">
        <v>195</v>
      </c>
      <c r="F132" s="7" t="s">
        <v>195</v>
      </c>
      <c r="G132" s="7" t="s">
        <v>195</v>
      </c>
      <c r="H132" s="7" t="s">
        <v>195</v>
      </c>
      <c r="I132" s="7" t="s">
        <v>195</v>
      </c>
      <c r="J132" s="7" t="s">
        <v>195</v>
      </c>
      <c r="K132" s="7" t="s">
        <v>195</v>
      </c>
      <c r="L132" s="7" t="s">
        <v>195</v>
      </c>
      <c r="M132" s="7" t="s">
        <v>29</v>
      </c>
      <c r="N132" s="7" t="s">
        <v>29</v>
      </c>
      <c r="O132" s="7" t="s">
        <v>29</v>
      </c>
      <c r="P132" s="7" t="s">
        <v>29</v>
      </c>
      <c r="Q132" s="7" t="s">
        <v>29</v>
      </c>
      <c r="R132" s="7" t="s">
        <v>29</v>
      </c>
      <c r="S132" s="7" t="s">
        <v>29</v>
      </c>
    </row>
    <row r="133" spans="2:19">
      <c r="B133" s="7" t="s">
        <v>195</v>
      </c>
      <c r="C133" s="8" t="s">
        <v>195</v>
      </c>
      <c r="D133" s="5" t="str">
        <f>LRTRIM(CONCATENATE(IF(SUMPRODUCT(-- ISNUMBER(SEARCH({"Auto Number"}, $B133))) &gt; 0, $B133, IF(SUMPRODUCT(-- ISNUMBER(SEARCH({"Lookup","Master-Detail"}, $B133))) &gt; 0,$B133 &amp; "(" &amp; $E133 &amp; ")",IF(SUMPRODUCT(-- ISNUMBER(SEARCH({"Formula","Roll-Up Summary"}, $B133))) &gt; 0,$B133 &amp; " (" &amp; $E133 &amp; ")",IF(SUMPRODUCT(-- ISNUMBER(SEARCH({"Content","Currency","Number","Percent","Text","URL"}, $B133))) &gt; 0,$B133 &amp; "(" &amp; $C133 &amp; ")",$B133)))), "  ", TRIM(IF($S133 = "YES", "(External ID)", "") &amp; " " &amp; IF(SUMPRODUCT(-- ISNUMBER(SEARCH({"Unique","Unique Case Insensitive"}, $R133))) &gt; 0, "(" &amp; $R133 &amp; ")", ""))))</f>
        <v>na</v>
      </c>
      <c r="E133" s="7" t="s">
        <v>195</v>
      </c>
      <c r="F133" s="7" t="s">
        <v>195</v>
      </c>
      <c r="G133" s="7" t="s">
        <v>195</v>
      </c>
      <c r="H133" s="7" t="s">
        <v>195</v>
      </c>
      <c r="I133" s="7" t="s">
        <v>195</v>
      </c>
      <c r="J133" s="7" t="s">
        <v>195</v>
      </c>
      <c r="K133" s="7" t="s">
        <v>195</v>
      </c>
      <c r="L133" s="7" t="s">
        <v>195</v>
      </c>
      <c r="M133" s="7" t="s">
        <v>29</v>
      </c>
      <c r="N133" s="7" t="s">
        <v>29</v>
      </c>
      <c r="O133" s="7" t="s">
        <v>29</v>
      </c>
      <c r="P133" s="7" t="s">
        <v>29</v>
      </c>
      <c r="Q133" s="7" t="s">
        <v>29</v>
      </c>
      <c r="R133" s="7" t="s">
        <v>29</v>
      </c>
      <c r="S133" s="7" t="s">
        <v>29</v>
      </c>
    </row>
    <row r="134" spans="2:19">
      <c r="B134" s="7" t="s">
        <v>195</v>
      </c>
      <c r="C134" s="8" t="s">
        <v>195</v>
      </c>
      <c r="D134" s="5" t="str">
        <f>LRTRIM(CONCATENATE(IF(SUMPRODUCT(-- ISNUMBER(SEARCH({"Auto Number"}, $B134))) &gt; 0, $B134, IF(SUMPRODUCT(-- ISNUMBER(SEARCH({"Lookup","Master-Detail"}, $B134))) &gt; 0,$B134 &amp; "(" &amp; $E134 &amp; ")",IF(SUMPRODUCT(-- ISNUMBER(SEARCH({"Formula","Roll-Up Summary"}, $B134))) &gt; 0,$B134 &amp; " (" &amp; $E134 &amp; ")",IF(SUMPRODUCT(-- ISNUMBER(SEARCH({"Content","Currency","Number","Percent","Text","URL"}, $B134))) &gt; 0,$B134 &amp; "(" &amp; $C134 &amp; ")",$B134)))), "  ", TRIM(IF($S134 = "YES", "(External ID)", "") &amp; " " &amp; IF(SUMPRODUCT(-- ISNUMBER(SEARCH({"Unique","Unique Case Insensitive"}, $R134))) &gt; 0, "(" &amp; $R134 &amp; ")", ""))))</f>
        <v>na</v>
      </c>
      <c r="E134" s="7" t="s">
        <v>195</v>
      </c>
      <c r="F134" s="7" t="s">
        <v>195</v>
      </c>
      <c r="G134" s="7" t="s">
        <v>195</v>
      </c>
      <c r="H134" s="7" t="s">
        <v>195</v>
      </c>
      <c r="I134" s="7" t="s">
        <v>195</v>
      </c>
      <c r="J134" s="7" t="s">
        <v>195</v>
      </c>
      <c r="K134" s="7" t="s">
        <v>195</v>
      </c>
      <c r="L134" s="7" t="s">
        <v>195</v>
      </c>
      <c r="M134" s="7" t="s">
        <v>29</v>
      </c>
      <c r="N134" s="7" t="s">
        <v>29</v>
      </c>
      <c r="O134" s="7" t="s">
        <v>29</v>
      </c>
      <c r="P134" s="7" t="s">
        <v>29</v>
      </c>
      <c r="Q134" s="7" t="s">
        <v>29</v>
      </c>
      <c r="R134" s="7" t="s">
        <v>29</v>
      </c>
      <c r="S134" s="7" t="s">
        <v>29</v>
      </c>
    </row>
    <row r="135" spans="2:19">
      <c r="B135" s="7" t="s">
        <v>195</v>
      </c>
      <c r="C135" s="8" t="s">
        <v>195</v>
      </c>
      <c r="D135" s="5" t="str">
        <f>LRTRIM(CONCATENATE(IF(SUMPRODUCT(-- ISNUMBER(SEARCH({"Auto Number"}, $B135))) &gt; 0, $B135, IF(SUMPRODUCT(-- ISNUMBER(SEARCH({"Lookup","Master-Detail"}, $B135))) &gt; 0,$B135 &amp; "(" &amp; $E135 &amp; ")",IF(SUMPRODUCT(-- ISNUMBER(SEARCH({"Formula","Roll-Up Summary"}, $B135))) &gt; 0,$B135 &amp; " (" &amp; $E135 &amp; ")",IF(SUMPRODUCT(-- ISNUMBER(SEARCH({"Content","Currency","Number","Percent","Text","URL"}, $B135))) &gt; 0,$B135 &amp; "(" &amp; $C135 &amp; ")",$B135)))), "  ", TRIM(IF($S135 = "YES", "(External ID)", "") &amp; " " &amp; IF(SUMPRODUCT(-- ISNUMBER(SEARCH({"Unique","Unique Case Insensitive"}, $R135))) &gt; 0, "(" &amp; $R135 &amp; ")", ""))))</f>
        <v>na</v>
      </c>
      <c r="E135" s="7" t="s">
        <v>195</v>
      </c>
      <c r="F135" s="7" t="s">
        <v>195</v>
      </c>
      <c r="G135" s="7" t="s">
        <v>195</v>
      </c>
      <c r="H135" s="7" t="s">
        <v>195</v>
      </c>
      <c r="I135" s="7" t="s">
        <v>195</v>
      </c>
      <c r="J135" s="7" t="s">
        <v>195</v>
      </c>
      <c r="K135" s="7" t="s">
        <v>195</v>
      </c>
      <c r="L135" s="7" t="s">
        <v>195</v>
      </c>
      <c r="M135" s="7" t="s">
        <v>29</v>
      </c>
      <c r="N135" s="7" t="s">
        <v>29</v>
      </c>
      <c r="O135" s="7" t="s">
        <v>29</v>
      </c>
      <c r="P135" s="7" t="s">
        <v>29</v>
      </c>
      <c r="Q135" s="7" t="s">
        <v>29</v>
      </c>
      <c r="R135" s="7" t="s">
        <v>29</v>
      </c>
      <c r="S135" s="7" t="s">
        <v>29</v>
      </c>
    </row>
    <row r="136" spans="2:19">
      <c r="B136" s="7" t="s">
        <v>195</v>
      </c>
      <c r="C136" s="8" t="s">
        <v>195</v>
      </c>
      <c r="D136" s="5" t="str">
        <f>LRTRIM(CONCATENATE(IF(SUMPRODUCT(-- ISNUMBER(SEARCH({"Auto Number"}, $B136))) &gt; 0, $B136, IF(SUMPRODUCT(-- ISNUMBER(SEARCH({"Lookup","Master-Detail"}, $B136))) &gt; 0,$B136 &amp; "(" &amp; $E136 &amp; ")",IF(SUMPRODUCT(-- ISNUMBER(SEARCH({"Formula","Roll-Up Summary"}, $B136))) &gt; 0,$B136 &amp; " (" &amp; $E136 &amp; ")",IF(SUMPRODUCT(-- ISNUMBER(SEARCH({"Content","Currency","Number","Percent","Text","URL"}, $B136))) &gt; 0,$B136 &amp; "(" &amp; $C136 &amp; ")",$B136)))), "  ", TRIM(IF($S136 = "YES", "(External ID)", "") &amp; " " &amp; IF(SUMPRODUCT(-- ISNUMBER(SEARCH({"Unique","Unique Case Insensitive"}, $R136))) &gt; 0, "(" &amp; $R136 &amp; ")", ""))))</f>
        <v>na</v>
      </c>
      <c r="E136" s="7" t="s">
        <v>195</v>
      </c>
      <c r="F136" s="7" t="s">
        <v>195</v>
      </c>
      <c r="G136" s="7" t="s">
        <v>195</v>
      </c>
      <c r="H136" s="7" t="s">
        <v>195</v>
      </c>
      <c r="I136" s="7" t="s">
        <v>195</v>
      </c>
      <c r="J136" s="7" t="s">
        <v>195</v>
      </c>
      <c r="K136" s="7" t="s">
        <v>195</v>
      </c>
      <c r="L136" s="7" t="s">
        <v>195</v>
      </c>
      <c r="M136" s="7" t="s">
        <v>29</v>
      </c>
      <c r="N136" s="7" t="s">
        <v>29</v>
      </c>
      <c r="O136" s="7" t="s">
        <v>29</v>
      </c>
      <c r="P136" s="7" t="s">
        <v>29</v>
      </c>
      <c r="Q136" s="7" t="s">
        <v>29</v>
      </c>
      <c r="R136" s="7" t="s">
        <v>29</v>
      </c>
      <c r="S136" s="7" t="s">
        <v>29</v>
      </c>
    </row>
    <row r="137" spans="2:19">
      <c r="B137" s="7" t="s">
        <v>195</v>
      </c>
      <c r="C137" s="8" t="s">
        <v>195</v>
      </c>
      <c r="D137" s="5" t="str">
        <f>LRTRIM(CONCATENATE(IF(SUMPRODUCT(-- ISNUMBER(SEARCH({"Auto Number"}, $B137))) &gt; 0, $B137, IF(SUMPRODUCT(-- ISNUMBER(SEARCH({"Lookup","Master-Detail"}, $B137))) &gt; 0,$B137 &amp; "(" &amp; $E137 &amp; ")",IF(SUMPRODUCT(-- ISNUMBER(SEARCH({"Formula","Roll-Up Summary"}, $B137))) &gt; 0,$B137 &amp; " (" &amp; $E137 &amp; ")",IF(SUMPRODUCT(-- ISNUMBER(SEARCH({"Content","Currency","Number","Percent","Text","URL"}, $B137))) &gt; 0,$B137 &amp; "(" &amp; $C137 &amp; ")",$B137)))), "  ", TRIM(IF($S137 = "YES", "(External ID)", "") &amp; " " &amp; IF(SUMPRODUCT(-- ISNUMBER(SEARCH({"Unique","Unique Case Insensitive"}, $R137))) &gt; 0, "(" &amp; $R137 &amp; ")", ""))))</f>
        <v>na</v>
      </c>
      <c r="E137" s="7" t="s">
        <v>195</v>
      </c>
      <c r="F137" s="7" t="s">
        <v>195</v>
      </c>
      <c r="G137" s="7" t="s">
        <v>195</v>
      </c>
      <c r="H137" s="7" t="s">
        <v>195</v>
      </c>
      <c r="I137" s="7" t="s">
        <v>195</v>
      </c>
      <c r="J137" s="7" t="s">
        <v>195</v>
      </c>
      <c r="K137" s="7" t="s">
        <v>195</v>
      </c>
      <c r="L137" s="7" t="s">
        <v>195</v>
      </c>
      <c r="M137" s="7" t="s">
        <v>29</v>
      </c>
      <c r="N137" s="7" t="s">
        <v>29</v>
      </c>
      <c r="O137" s="7" t="s">
        <v>29</v>
      </c>
      <c r="P137" s="7" t="s">
        <v>29</v>
      </c>
      <c r="Q137" s="7" t="s">
        <v>29</v>
      </c>
      <c r="R137" s="7" t="s">
        <v>29</v>
      </c>
      <c r="S137" s="7" t="s">
        <v>29</v>
      </c>
    </row>
    <row r="138" spans="2:19">
      <c r="B138" s="7" t="s">
        <v>195</v>
      </c>
      <c r="C138" s="8" t="s">
        <v>195</v>
      </c>
      <c r="D138" s="5" t="str">
        <f>LRTRIM(CONCATENATE(IF(SUMPRODUCT(-- ISNUMBER(SEARCH({"Auto Number"}, $B138))) &gt; 0, $B138, IF(SUMPRODUCT(-- ISNUMBER(SEARCH({"Lookup","Master-Detail"}, $B138))) &gt; 0,$B138 &amp; "(" &amp; $E138 &amp; ")",IF(SUMPRODUCT(-- ISNUMBER(SEARCH({"Formula","Roll-Up Summary"}, $B138))) &gt; 0,$B138 &amp; " (" &amp; $E138 &amp; ")",IF(SUMPRODUCT(-- ISNUMBER(SEARCH({"Content","Currency","Number","Percent","Text","URL"}, $B138))) &gt; 0,$B138 &amp; "(" &amp; $C138 &amp; ")",$B138)))), "  ", TRIM(IF($S138 = "YES", "(External ID)", "") &amp; " " &amp; IF(SUMPRODUCT(-- ISNUMBER(SEARCH({"Unique","Unique Case Insensitive"}, $R138))) &gt; 0, "(" &amp; $R138 &amp; ")", ""))))</f>
        <v>na</v>
      </c>
      <c r="E138" s="7" t="s">
        <v>195</v>
      </c>
      <c r="F138" s="7" t="s">
        <v>195</v>
      </c>
      <c r="G138" s="7" t="s">
        <v>195</v>
      </c>
      <c r="H138" s="7" t="s">
        <v>195</v>
      </c>
      <c r="I138" s="7" t="s">
        <v>195</v>
      </c>
      <c r="J138" s="7" t="s">
        <v>195</v>
      </c>
      <c r="K138" s="7" t="s">
        <v>195</v>
      </c>
      <c r="L138" s="7" t="s">
        <v>195</v>
      </c>
      <c r="M138" s="7" t="s">
        <v>29</v>
      </c>
      <c r="N138" s="7" t="s">
        <v>29</v>
      </c>
      <c r="O138" s="7" t="s">
        <v>29</v>
      </c>
      <c r="P138" s="7" t="s">
        <v>29</v>
      </c>
      <c r="Q138" s="7" t="s">
        <v>29</v>
      </c>
      <c r="R138" s="7" t="s">
        <v>29</v>
      </c>
      <c r="S138" s="7" t="s">
        <v>29</v>
      </c>
    </row>
    <row r="139" spans="2:19">
      <c r="B139" s="7" t="s">
        <v>195</v>
      </c>
      <c r="C139" s="8" t="s">
        <v>195</v>
      </c>
      <c r="D139" s="5" t="str">
        <f>LRTRIM(CONCATENATE(IF(SUMPRODUCT(-- ISNUMBER(SEARCH({"Auto Number"}, $B139))) &gt; 0, $B139, IF(SUMPRODUCT(-- ISNUMBER(SEARCH({"Lookup","Master-Detail"}, $B139))) &gt; 0,$B139 &amp; "(" &amp; $E139 &amp; ")",IF(SUMPRODUCT(-- ISNUMBER(SEARCH({"Formula","Roll-Up Summary"}, $B139))) &gt; 0,$B139 &amp; " (" &amp; $E139 &amp; ")",IF(SUMPRODUCT(-- ISNUMBER(SEARCH({"Content","Currency","Number","Percent","Text","URL"}, $B139))) &gt; 0,$B139 &amp; "(" &amp; $C139 &amp; ")",$B139)))), "  ", TRIM(IF($S139 = "YES", "(External ID)", "") &amp; " " &amp; IF(SUMPRODUCT(-- ISNUMBER(SEARCH({"Unique","Unique Case Insensitive"}, $R139))) &gt; 0, "(" &amp; $R139 &amp; ")", ""))))</f>
        <v>na</v>
      </c>
      <c r="E139" s="7" t="s">
        <v>195</v>
      </c>
      <c r="F139" s="7" t="s">
        <v>195</v>
      </c>
      <c r="G139" s="7" t="s">
        <v>195</v>
      </c>
      <c r="H139" s="7" t="s">
        <v>195</v>
      </c>
      <c r="I139" s="7" t="s">
        <v>195</v>
      </c>
      <c r="J139" s="7" t="s">
        <v>195</v>
      </c>
      <c r="K139" s="7" t="s">
        <v>195</v>
      </c>
      <c r="L139" s="7" t="s">
        <v>195</v>
      </c>
      <c r="M139" s="7" t="s">
        <v>29</v>
      </c>
      <c r="N139" s="7" t="s">
        <v>29</v>
      </c>
      <c r="O139" s="7" t="s">
        <v>29</v>
      </c>
      <c r="P139" s="7" t="s">
        <v>29</v>
      </c>
      <c r="Q139" s="7" t="s">
        <v>29</v>
      </c>
      <c r="R139" s="7" t="s">
        <v>29</v>
      </c>
      <c r="S139" s="7" t="s">
        <v>29</v>
      </c>
    </row>
    <row r="140" spans="2:19">
      <c r="B140" s="7" t="s">
        <v>195</v>
      </c>
      <c r="C140" s="8" t="s">
        <v>195</v>
      </c>
      <c r="D140" s="5" t="str">
        <f>LRTRIM(CONCATENATE(IF(SUMPRODUCT(-- ISNUMBER(SEARCH({"Auto Number"}, $B140))) &gt; 0, $B140, IF(SUMPRODUCT(-- ISNUMBER(SEARCH({"Lookup","Master-Detail"}, $B140))) &gt; 0,$B140 &amp; "(" &amp; $E140 &amp; ")",IF(SUMPRODUCT(-- ISNUMBER(SEARCH({"Formula","Roll-Up Summary"}, $B140))) &gt; 0,$B140 &amp; " (" &amp; $E140 &amp; ")",IF(SUMPRODUCT(-- ISNUMBER(SEARCH({"Content","Currency","Number","Percent","Text","URL"}, $B140))) &gt; 0,$B140 &amp; "(" &amp; $C140 &amp; ")",$B140)))), "  ", TRIM(IF($S140 = "YES", "(External ID)", "") &amp; " " &amp; IF(SUMPRODUCT(-- ISNUMBER(SEARCH({"Unique","Unique Case Insensitive"}, $R140))) &gt; 0, "(" &amp; $R140 &amp; ")", ""))))</f>
        <v>na</v>
      </c>
      <c r="E140" s="7" t="s">
        <v>195</v>
      </c>
      <c r="F140" s="7" t="s">
        <v>195</v>
      </c>
      <c r="G140" s="7" t="s">
        <v>195</v>
      </c>
      <c r="H140" s="7" t="s">
        <v>195</v>
      </c>
      <c r="I140" s="7" t="s">
        <v>195</v>
      </c>
      <c r="J140" s="7" t="s">
        <v>195</v>
      </c>
      <c r="K140" s="7" t="s">
        <v>195</v>
      </c>
      <c r="L140" s="7" t="s">
        <v>195</v>
      </c>
      <c r="M140" s="7" t="s">
        <v>29</v>
      </c>
      <c r="N140" s="7" t="s">
        <v>29</v>
      </c>
      <c r="O140" s="7" t="s">
        <v>29</v>
      </c>
      <c r="P140" s="7" t="s">
        <v>29</v>
      </c>
      <c r="Q140" s="7" t="s">
        <v>29</v>
      </c>
      <c r="R140" s="7" t="s">
        <v>29</v>
      </c>
      <c r="S140" s="7" t="s">
        <v>29</v>
      </c>
    </row>
    <row r="141" spans="2:19">
      <c r="B141" s="7" t="s">
        <v>195</v>
      </c>
      <c r="C141" s="8" t="s">
        <v>195</v>
      </c>
      <c r="D141" s="5" t="str">
        <f>LRTRIM(CONCATENATE(IF(SUMPRODUCT(-- ISNUMBER(SEARCH({"Auto Number"}, $B141))) &gt; 0, $B141, IF(SUMPRODUCT(-- ISNUMBER(SEARCH({"Lookup","Master-Detail"}, $B141))) &gt; 0,$B141 &amp; "(" &amp; $E141 &amp; ")",IF(SUMPRODUCT(-- ISNUMBER(SEARCH({"Formula","Roll-Up Summary"}, $B141))) &gt; 0,$B141 &amp; " (" &amp; $E141 &amp; ")",IF(SUMPRODUCT(-- ISNUMBER(SEARCH({"Content","Currency","Number","Percent","Text","URL"}, $B141))) &gt; 0,$B141 &amp; "(" &amp; $C141 &amp; ")",$B141)))), "  ", TRIM(IF($S141 = "YES", "(External ID)", "") &amp; " " &amp; IF(SUMPRODUCT(-- ISNUMBER(SEARCH({"Unique","Unique Case Insensitive"}, $R141))) &gt; 0, "(" &amp; $R141 &amp; ")", ""))))</f>
        <v>na</v>
      </c>
      <c r="E141" s="7" t="s">
        <v>195</v>
      </c>
      <c r="F141" s="7" t="s">
        <v>195</v>
      </c>
      <c r="G141" s="7" t="s">
        <v>195</v>
      </c>
      <c r="H141" s="7" t="s">
        <v>195</v>
      </c>
      <c r="I141" s="7" t="s">
        <v>195</v>
      </c>
      <c r="J141" s="7" t="s">
        <v>195</v>
      </c>
      <c r="K141" s="7" t="s">
        <v>195</v>
      </c>
      <c r="L141" s="7" t="s">
        <v>195</v>
      </c>
      <c r="M141" s="7" t="s">
        <v>29</v>
      </c>
      <c r="N141" s="7" t="s">
        <v>29</v>
      </c>
      <c r="O141" s="7" t="s">
        <v>29</v>
      </c>
      <c r="P141" s="7" t="s">
        <v>29</v>
      </c>
      <c r="Q141" s="7" t="s">
        <v>29</v>
      </c>
      <c r="R141" s="7" t="s">
        <v>29</v>
      </c>
      <c r="S141" s="7" t="s">
        <v>29</v>
      </c>
    </row>
    <row r="142" spans="2:19">
      <c r="B142" s="7" t="s">
        <v>195</v>
      </c>
      <c r="C142" s="8" t="s">
        <v>195</v>
      </c>
      <c r="D142" s="5" t="str">
        <f>LRTRIM(CONCATENATE(IF(SUMPRODUCT(-- ISNUMBER(SEARCH({"Auto Number"}, $B142))) &gt; 0, $B142, IF(SUMPRODUCT(-- ISNUMBER(SEARCH({"Lookup","Master-Detail"}, $B142))) &gt; 0,$B142 &amp; "(" &amp; $E142 &amp; ")",IF(SUMPRODUCT(-- ISNUMBER(SEARCH({"Formula","Roll-Up Summary"}, $B142))) &gt; 0,$B142 &amp; " (" &amp; $E142 &amp; ")",IF(SUMPRODUCT(-- ISNUMBER(SEARCH({"Content","Currency","Number","Percent","Text","URL"}, $B142))) &gt; 0,$B142 &amp; "(" &amp; $C142 &amp; ")",$B142)))), "  ", TRIM(IF($S142 = "YES", "(External ID)", "") &amp; " " &amp; IF(SUMPRODUCT(-- ISNUMBER(SEARCH({"Unique","Unique Case Insensitive"}, $R142))) &gt; 0, "(" &amp; $R142 &amp; ")", ""))))</f>
        <v>na</v>
      </c>
      <c r="E142" s="7" t="s">
        <v>195</v>
      </c>
      <c r="F142" s="7" t="s">
        <v>195</v>
      </c>
      <c r="G142" s="7" t="s">
        <v>195</v>
      </c>
      <c r="H142" s="7" t="s">
        <v>195</v>
      </c>
      <c r="I142" s="7" t="s">
        <v>195</v>
      </c>
      <c r="J142" s="7" t="s">
        <v>195</v>
      </c>
      <c r="K142" s="7" t="s">
        <v>195</v>
      </c>
      <c r="L142" s="7" t="s">
        <v>195</v>
      </c>
      <c r="M142" s="7" t="s">
        <v>29</v>
      </c>
      <c r="N142" s="7" t="s">
        <v>29</v>
      </c>
      <c r="O142" s="7" t="s">
        <v>29</v>
      </c>
      <c r="P142" s="7" t="s">
        <v>29</v>
      </c>
      <c r="Q142" s="7" t="s">
        <v>29</v>
      </c>
      <c r="R142" s="7" t="s">
        <v>29</v>
      </c>
      <c r="S142" s="7" t="s">
        <v>29</v>
      </c>
    </row>
    <row r="143" spans="2:19">
      <c r="B143" s="7" t="s">
        <v>195</v>
      </c>
      <c r="C143" s="8" t="s">
        <v>195</v>
      </c>
      <c r="D143" s="5" t="str">
        <f>LRTRIM(CONCATENATE(IF(SUMPRODUCT(-- ISNUMBER(SEARCH({"Auto Number"}, $B143))) &gt; 0, $B143, IF(SUMPRODUCT(-- ISNUMBER(SEARCH({"Lookup","Master-Detail"}, $B143))) &gt; 0,$B143 &amp; "(" &amp; $E143 &amp; ")",IF(SUMPRODUCT(-- ISNUMBER(SEARCH({"Formula","Roll-Up Summary"}, $B143))) &gt; 0,$B143 &amp; " (" &amp; $E143 &amp; ")",IF(SUMPRODUCT(-- ISNUMBER(SEARCH({"Content","Currency","Number","Percent","Text","URL"}, $B143))) &gt; 0,$B143 &amp; "(" &amp; $C143 &amp; ")",$B143)))), "  ", TRIM(IF($S143 = "YES", "(External ID)", "") &amp; " " &amp; IF(SUMPRODUCT(-- ISNUMBER(SEARCH({"Unique","Unique Case Insensitive"}, $R143))) &gt; 0, "(" &amp; $R143 &amp; ")", ""))))</f>
        <v>na</v>
      </c>
      <c r="E143" s="7" t="s">
        <v>195</v>
      </c>
      <c r="F143" s="7" t="s">
        <v>195</v>
      </c>
      <c r="G143" s="7" t="s">
        <v>195</v>
      </c>
      <c r="H143" s="7" t="s">
        <v>195</v>
      </c>
      <c r="I143" s="7" t="s">
        <v>195</v>
      </c>
      <c r="J143" s="7" t="s">
        <v>195</v>
      </c>
      <c r="K143" s="7" t="s">
        <v>195</v>
      </c>
      <c r="L143" s="7" t="s">
        <v>195</v>
      </c>
      <c r="M143" s="7" t="s">
        <v>29</v>
      </c>
      <c r="N143" s="7" t="s">
        <v>29</v>
      </c>
      <c r="O143" s="7" t="s">
        <v>29</v>
      </c>
      <c r="P143" s="7" t="s">
        <v>29</v>
      </c>
      <c r="Q143" s="7" t="s">
        <v>29</v>
      </c>
      <c r="R143" s="7" t="s">
        <v>29</v>
      </c>
      <c r="S143" s="7" t="s">
        <v>29</v>
      </c>
    </row>
    <row r="144" spans="2:19">
      <c r="B144" s="7" t="s">
        <v>195</v>
      </c>
      <c r="C144" s="8" t="s">
        <v>195</v>
      </c>
      <c r="D144" s="5" t="str">
        <f>LRTRIM(CONCATENATE(IF(SUMPRODUCT(-- ISNUMBER(SEARCH({"Auto Number"}, $B144))) &gt; 0, $B144, IF(SUMPRODUCT(-- ISNUMBER(SEARCH({"Lookup","Master-Detail"}, $B144))) &gt; 0,$B144 &amp; "(" &amp; $E144 &amp; ")",IF(SUMPRODUCT(-- ISNUMBER(SEARCH({"Formula","Roll-Up Summary"}, $B144))) &gt; 0,$B144 &amp; " (" &amp; $E144 &amp; ")",IF(SUMPRODUCT(-- ISNUMBER(SEARCH({"Content","Currency","Number","Percent","Text","URL"}, $B144))) &gt; 0,$B144 &amp; "(" &amp; $C144 &amp; ")",$B144)))), "  ", TRIM(IF($S144 = "YES", "(External ID)", "") &amp; " " &amp; IF(SUMPRODUCT(-- ISNUMBER(SEARCH({"Unique","Unique Case Insensitive"}, $R144))) &gt; 0, "(" &amp; $R144 &amp; ")", ""))))</f>
        <v>na</v>
      </c>
      <c r="E144" s="7" t="s">
        <v>195</v>
      </c>
      <c r="F144" s="7" t="s">
        <v>195</v>
      </c>
      <c r="G144" s="7" t="s">
        <v>195</v>
      </c>
      <c r="H144" s="7" t="s">
        <v>195</v>
      </c>
      <c r="I144" s="7" t="s">
        <v>195</v>
      </c>
      <c r="J144" s="7" t="s">
        <v>195</v>
      </c>
      <c r="K144" s="7" t="s">
        <v>195</v>
      </c>
      <c r="L144" s="7" t="s">
        <v>195</v>
      </c>
      <c r="M144" s="7" t="s">
        <v>29</v>
      </c>
      <c r="N144" s="7" t="s">
        <v>29</v>
      </c>
      <c r="O144" s="7" t="s">
        <v>29</v>
      </c>
      <c r="P144" s="7" t="s">
        <v>29</v>
      </c>
      <c r="Q144" s="7" t="s">
        <v>29</v>
      </c>
      <c r="R144" s="7" t="s">
        <v>29</v>
      </c>
      <c r="S144" s="7" t="s">
        <v>29</v>
      </c>
    </row>
    <row r="145" spans="2:19">
      <c r="B145" s="7" t="s">
        <v>195</v>
      </c>
      <c r="C145" s="8" t="s">
        <v>195</v>
      </c>
      <c r="D145" s="5" t="str">
        <f>LRTRIM(CONCATENATE(IF(SUMPRODUCT(-- ISNUMBER(SEARCH({"Auto Number"}, $B145))) &gt; 0, $B145, IF(SUMPRODUCT(-- ISNUMBER(SEARCH({"Lookup","Master-Detail"}, $B145))) &gt; 0,$B145 &amp; "(" &amp; $E145 &amp; ")",IF(SUMPRODUCT(-- ISNUMBER(SEARCH({"Formula","Roll-Up Summary"}, $B145))) &gt; 0,$B145 &amp; " (" &amp; $E145 &amp; ")",IF(SUMPRODUCT(-- ISNUMBER(SEARCH({"Content","Currency","Number","Percent","Text","URL"}, $B145))) &gt; 0,$B145 &amp; "(" &amp; $C145 &amp; ")",$B145)))), "  ", TRIM(IF($S145 = "YES", "(External ID)", "") &amp; " " &amp; IF(SUMPRODUCT(-- ISNUMBER(SEARCH({"Unique","Unique Case Insensitive"}, $R145))) &gt; 0, "(" &amp; $R145 &amp; ")", ""))))</f>
        <v>na</v>
      </c>
      <c r="E145" s="7" t="s">
        <v>195</v>
      </c>
      <c r="F145" s="7" t="s">
        <v>195</v>
      </c>
      <c r="G145" s="7" t="s">
        <v>195</v>
      </c>
      <c r="H145" s="7" t="s">
        <v>195</v>
      </c>
      <c r="I145" s="7" t="s">
        <v>195</v>
      </c>
      <c r="J145" s="7" t="s">
        <v>195</v>
      </c>
      <c r="K145" s="7" t="s">
        <v>195</v>
      </c>
      <c r="L145" s="7" t="s">
        <v>195</v>
      </c>
      <c r="M145" s="7" t="s">
        <v>29</v>
      </c>
      <c r="N145" s="7" t="s">
        <v>29</v>
      </c>
      <c r="O145" s="7" t="s">
        <v>29</v>
      </c>
      <c r="P145" s="7" t="s">
        <v>29</v>
      </c>
      <c r="Q145" s="7" t="s">
        <v>29</v>
      </c>
      <c r="R145" s="7" t="s">
        <v>29</v>
      </c>
      <c r="S145" s="7" t="s">
        <v>29</v>
      </c>
    </row>
    <row r="146" spans="2:19">
      <c r="B146" s="7" t="s">
        <v>195</v>
      </c>
      <c r="C146" s="8" t="s">
        <v>195</v>
      </c>
      <c r="D146" s="5" t="str">
        <f>LRTRIM(CONCATENATE(IF(SUMPRODUCT(-- ISNUMBER(SEARCH({"Auto Number"}, $B146))) &gt; 0, $B146, IF(SUMPRODUCT(-- ISNUMBER(SEARCH({"Lookup","Master-Detail"}, $B146))) &gt; 0,$B146 &amp; "(" &amp; $E146 &amp; ")",IF(SUMPRODUCT(-- ISNUMBER(SEARCH({"Formula","Roll-Up Summary"}, $B146))) &gt; 0,$B146 &amp; " (" &amp; $E146 &amp; ")",IF(SUMPRODUCT(-- ISNUMBER(SEARCH({"Content","Currency","Number","Percent","Text","URL"}, $B146))) &gt; 0,$B146 &amp; "(" &amp; $C146 &amp; ")",$B146)))), "  ", TRIM(IF($S146 = "YES", "(External ID)", "") &amp; " " &amp; IF(SUMPRODUCT(-- ISNUMBER(SEARCH({"Unique","Unique Case Insensitive"}, $R146))) &gt; 0, "(" &amp; $R146 &amp; ")", ""))))</f>
        <v>na</v>
      </c>
      <c r="E146" s="7" t="s">
        <v>195</v>
      </c>
      <c r="F146" s="7" t="s">
        <v>195</v>
      </c>
      <c r="G146" s="7" t="s">
        <v>195</v>
      </c>
      <c r="H146" s="7" t="s">
        <v>195</v>
      </c>
      <c r="I146" s="7" t="s">
        <v>195</v>
      </c>
      <c r="J146" s="7" t="s">
        <v>195</v>
      </c>
      <c r="K146" s="7" t="s">
        <v>195</v>
      </c>
      <c r="L146" s="7" t="s">
        <v>195</v>
      </c>
      <c r="M146" s="7" t="s">
        <v>29</v>
      </c>
      <c r="N146" s="7" t="s">
        <v>29</v>
      </c>
      <c r="O146" s="7" t="s">
        <v>29</v>
      </c>
      <c r="P146" s="7" t="s">
        <v>29</v>
      </c>
      <c r="Q146" s="7" t="s">
        <v>29</v>
      </c>
      <c r="R146" s="7" t="s">
        <v>29</v>
      </c>
      <c r="S146" s="7" t="s">
        <v>29</v>
      </c>
    </row>
    <row r="147" spans="2:19">
      <c r="B147" s="7" t="s">
        <v>195</v>
      </c>
      <c r="C147" s="8" t="s">
        <v>195</v>
      </c>
      <c r="D147" s="5" t="str">
        <f>LRTRIM(CONCATENATE(IF(SUMPRODUCT(-- ISNUMBER(SEARCH({"Auto Number"}, $B147))) &gt; 0, $B147, IF(SUMPRODUCT(-- ISNUMBER(SEARCH({"Lookup","Master-Detail"}, $B147))) &gt; 0,$B147 &amp; "(" &amp; $E147 &amp; ")",IF(SUMPRODUCT(-- ISNUMBER(SEARCH({"Formula","Roll-Up Summary"}, $B147))) &gt; 0,$B147 &amp; " (" &amp; $E147 &amp; ")",IF(SUMPRODUCT(-- ISNUMBER(SEARCH({"Content","Currency","Number","Percent","Text","URL"}, $B147))) &gt; 0,$B147 &amp; "(" &amp; $C147 &amp; ")",$B147)))), "  ", TRIM(IF($S147 = "YES", "(External ID)", "") &amp; " " &amp; IF(SUMPRODUCT(-- ISNUMBER(SEARCH({"Unique","Unique Case Insensitive"}, $R147))) &gt; 0, "(" &amp; $R147 &amp; ")", ""))))</f>
        <v>na</v>
      </c>
      <c r="E147" s="7" t="s">
        <v>195</v>
      </c>
      <c r="F147" s="7" t="s">
        <v>195</v>
      </c>
      <c r="G147" s="7" t="s">
        <v>195</v>
      </c>
      <c r="H147" s="7" t="s">
        <v>195</v>
      </c>
      <c r="I147" s="7" t="s">
        <v>195</v>
      </c>
      <c r="J147" s="7" t="s">
        <v>195</v>
      </c>
      <c r="K147" s="7" t="s">
        <v>195</v>
      </c>
      <c r="L147" s="7" t="s">
        <v>195</v>
      </c>
      <c r="M147" s="7" t="s">
        <v>29</v>
      </c>
      <c r="N147" s="7" t="s">
        <v>29</v>
      </c>
      <c r="O147" s="7" t="s">
        <v>29</v>
      </c>
      <c r="P147" s="7" t="s">
        <v>29</v>
      </c>
      <c r="Q147" s="7" t="s">
        <v>29</v>
      </c>
      <c r="R147" s="7" t="s">
        <v>29</v>
      </c>
      <c r="S147" s="7" t="s">
        <v>29</v>
      </c>
    </row>
    <row r="148" spans="2:19">
      <c r="B148" s="7" t="s">
        <v>195</v>
      </c>
      <c r="C148" s="8" t="s">
        <v>195</v>
      </c>
      <c r="D148" s="5" t="str">
        <f>LRTRIM(CONCATENATE(IF(SUMPRODUCT(-- ISNUMBER(SEARCH({"Auto Number"}, $B148))) &gt; 0, $B148, IF(SUMPRODUCT(-- ISNUMBER(SEARCH({"Lookup","Master-Detail"}, $B148))) &gt; 0,$B148 &amp; "(" &amp; $E148 &amp; ")",IF(SUMPRODUCT(-- ISNUMBER(SEARCH({"Formula","Roll-Up Summary"}, $B148))) &gt; 0,$B148 &amp; " (" &amp; $E148 &amp; ")",IF(SUMPRODUCT(-- ISNUMBER(SEARCH({"Content","Currency","Number","Percent","Text","URL"}, $B148))) &gt; 0,$B148 &amp; "(" &amp; $C148 &amp; ")",$B148)))), "  ", TRIM(IF($S148 = "YES", "(External ID)", "") &amp; " " &amp; IF(SUMPRODUCT(-- ISNUMBER(SEARCH({"Unique","Unique Case Insensitive"}, $R148))) &gt; 0, "(" &amp; $R148 &amp; ")", ""))))</f>
        <v>na</v>
      </c>
      <c r="E148" s="7" t="s">
        <v>195</v>
      </c>
      <c r="F148" s="7" t="s">
        <v>195</v>
      </c>
      <c r="G148" s="7" t="s">
        <v>195</v>
      </c>
      <c r="H148" s="7" t="s">
        <v>195</v>
      </c>
      <c r="I148" s="7" t="s">
        <v>195</v>
      </c>
      <c r="J148" s="7" t="s">
        <v>195</v>
      </c>
      <c r="K148" s="7" t="s">
        <v>195</v>
      </c>
      <c r="L148" s="7" t="s">
        <v>195</v>
      </c>
      <c r="M148" s="7" t="s">
        <v>29</v>
      </c>
      <c r="N148" s="7" t="s">
        <v>29</v>
      </c>
      <c r="O148" s="7" t="s">
        <v>29</v>
      </c>
      <c r="P148" s="7" t="s">
        <v>29</v>
      </c>
      <c r="Q148" s="7" t="s">
        <v>29</v>
      </c>
      <c r="R148" s="7" t="s">
        <v>29</v>
      </c>
      <c r="S148" s="7" t="s">
        <v>29</v>
      </c>
    </row>
    <row r="149" spans="2:19">
      <c r="B149" s="7" t="s">
        <v>195</v>
      </c>
      <c r="C149" s="8" t="s">
        <v>195</v>
      </c>
      <c r="D149" s="5" t="str">
        <f>LRTRIM(CONCATENATE(IF(SUMPRODUCT(-- ISNUMBER(SEARCH({"Auto Number"}, $B149))) &gt; 0, $B149, IF(SUMPRODUCT(-- ISNUMBER(SEARCH({"Lookup","Master-Detail"}, $B149))) &gt; 0,$B149 &amp; "(" &amp; $E149 &amp; ")",IF(SUMPRODUCT(-- ISNUMBER(SEARCH({"Formula","Roll-Up Summary"}, $B149))) &gt; 0,$B149 &amp; " (" &amp; $E149 &amp; ")",IF(SUMPRODUCT(-- ISNUMBER(SEARCH({"Content","Currency","Number","Percent","Text","URL"}, $B149))) &gt; 0,$B149 &amp; "(" &amp; $C149 &amp; ")",$B149)))), "  ", TRIM(IF($S149 = "YES", "(External ID)", "") &amp; " " &amp; IF(SUMPRODUCT(-- ISNUMBER(SEARCH({"Unique","Unique Case Insensitive"}, $R149))) &gt; 0, "(" &amp; $R149 &amp; ")", ""))))</f>
        <v>na</v>
      </c>
      <c r="E149" s="7" t="s">
        <v>195</v>
      </c>
      <c r="F149" s="7" t="s">
        <v>195</v>
      </c>
      <c r="G149" s="7" t="s">
        <v>195</v>
      </c>
      <c r="H149" s="7" t="s">
        <v>195</v>
      </c>
      <c r="I149" s="7" t="s">
        <v>195</v>
      </c>
      <c r="J149" s="7" t="s">
        <v>195</v>
      </c>
      <c r="K149" s="7" t="s">
        <v>195</v>
      </c>
      <c r="L149" s="7" t="s">
        <v>195</v>
      </c>
      <c r="M149" s="7" t="s">
        <v>29</v>
      </c>
      <c r="N149" s="7" t="s">
        <v>29</v>
      </c>
      <c r="O149" s="7" t="s">
        <v>29</v>
      </c>
      <c r="P149" s="7" t="s">
        <v>29</v>
      </c>
      <c r="Q149" s="7" t="s">
        <v>29</v>
      </c>
      <c r="R149" s="7" t="s">
        <v>29</v>
      </c>
      <c r="S149" s="7" t="s">
        <v>29</v>
      </c>
    </row>
    <row r="150" spans="2:19">
      <c r="B150" s="7" t="s">
        <v>195</v>
      </c>
      <c r="C150" s="8" t="s">
        <v>195</v>
      </c>
      <c r="D150" s="5" t="str">
        <f>LRTRIM(CONCATENATE(IF(SUMPRODUCT(-- ISNUMBER(SEARCH({"Auto Number"}, $B150))) &gt; 0, $B150, IF(SUMPRODUCT(-- ISNUMBER(SEARCH({"Lookup","Master-Detail"}, $B150))) &gt; 0,$B150 &amp; "(" &amp; $E150 &amp; ")",IF(SUMPRODUCT(-- ISNUMBER(SEARCH({"Formula","Roll-Up Summary"}, $B150))) &gt; 0,$B150 &amp; " (" &amp; $E150 &amp; ")",IF(SUMPRODUCT(-- ISNUMBER(SEARCH({"Content","Currency","Number","Percent","Text","URL"}, $B150))) &gt; 0,$B150 &amp; "(" &amp; $C150 &amp; ")",$B150)))), "  ", TRIM(IF($S150 = "YES", "(External ID)", "") &amp; " " &amp; IF(SUMPRODUCT(-- ISNUMBER(SEARCH({"Unique","Unique Case Insensitive"}, $R150))) &gt; 0, "(" &amp; $R150 &amp; ")", ""))))</f>
        <v>na</v>
      </c>
      <c r="E150" s="7" t="s">
        <v>195</v>
      </c>
      <c r="F150" s="7" t="s">
        <v>195</v>
      </c>
      <c r="G150" s="7" t="s">
        <v>195</v>
      </c>
      <c r="H150" s="7" t="s">
        <v>195</v>
      </c>
      <c r="I150" s="7" t="s">
        <v>195</v>
      </c>
      <c r="J150" s="7" t="s">
        <v>195</v>
      </c>
      <c r="K150" s="7" t="s">
        <v>195</v>
      </c>
      <c r="L150" s="7" t="s">
        <v>195</v>
      </c>
      <c r="M150" s="7" t="s">
        <v>29</v>
      </c>
      <c r="N150" s="7" t="s">
        <v>29</v>
      </c>
      <c r="O150" s="7" t="s">
        <v>29</v>
      </c>
      <c r="P150" s="7" t="s">
        <v>29</v>
      </c>
      <c r="Q150" s="7" t="s">
        <v>29</v>
      </c>
      <c r="R150" s="7" t="s">
        <v>29</v>
      </c>
      <c r="S150" s="7" t="s">
        <v>29</v>
      </c>
    </row>
    <row r="151" spans="2:19">
      <c r="B151" s="7" t="s">
        <v>195</v>
      </c>
      <c r="C151" s="8" t="s">
        <v>195</v>
      </c>
      <c r="D151" s="5" t="str">
        <f>LRTRIM(CONCATENATE(IF(SUMPRODUCT(-- ISNUMBER(SEARCH({"Auto Number"}, $B151))) &gt; 0, $B151, IF(SUMPRODUCT(-- ISNUMBER(SEARCH({"Lookup","Master-Detail"}, $B151))) &gt; 0,$B151 &amp; "(" &amp; $E151 &amp; ")",IF(SUMPRODUCT(-- ISNUMBER(SEARCH({"Formula","Roll-Up Summary"}, $B151))) &gt; 0,$B151 &amp; " (" &amp; $E151 &amp; ")",IF(SUMPRODUCT(-- ISNUMBER(SEARCH({"Content","Currency","Number","Percent","Text","URL"}, $B151))) &gt; 0,$B151 &amp; "(" &amp; $C151 &amp; ")",$B151)))), "  ", TRIM(IF($S151 = "YES", "(External ID)", "") &amp; " " &amp; IF(SUMPRODUCT(-- ISNUMBER(SEARCH({"Unique","Unique Case Insensitive"}, $R151))) &gt; 0, "(" &amp; $R151 &amp; ")", ""))))</f>
        <v>na</v>
      </c>
      <c r="E151" s="7" t="s">
        <v>195</v>
      </c>
      <c r="F151" s="7" t="s">
        <v>195</v>
      </c>
      <c r="G151" s="7" t="s">
        <v>195</v>
      </c>
      <c r="H151" s="7" t="s">
        <v>195</v>
      </c>
      <c r="I151" s="7" t="s">
        <v>195</v>
      </c>
      <c r="J151" s="7" t="s">
        <v>195</v>
      </c>
      <c r="K151" s="7" t="s">
        <v>195</v>
      </c>
      <c r="L151" s="7" t="s">
        <v>195</v>
      </c>
      <c r="M151" s="7" t="s">
        <v>29</v>
      </c>
      <c r="N151" s="7" t="s">
        <v>29</v>
      </c>
      <c r="O151" s="7" t="s">
        <v>29</v>
      </c>
      <c r="P151" s="7" t="s">
        <v>29</v>
      </c>
      <c r="Q151" s="7" t="s">
        <v>29</v>
      </c>
      <c r="R151" s="7" t="s">
        <v>29</v>
      </c>
      <c r="S151" s="7" t="s">
        <v>29</v>
      </c>
    </row>
    <row r="152" spans="2:19">
      <c r="B152" s="7" t="s">
        <v>195</v>
      </c>
      <c r="C152" s="8" t="s">
        <v>195</v>
      </c>
      <c r="D152" s="5" t="str">
        <f>LRTRIM(CONCATENATE(IF(SUMPRODUCT(-- ISNUMBER(SEARCH({"Auto Number"}, $B152))) &gt; 0, $B152, IF(SUMPRODUCT(-- ISNUMBER(SEARCH({"Lookup","Master-Detail"}, $B152))) &gt; 0,$B152 &amp; "(" &amp; $E152 &amp; ")",IF(SUMPRODUCT(-- ISNUMBER(SEARCH({"Formula","Roll-Up Summary"}, $B152))) &gt; 0,$B152 &amp; " (" &amp; $E152 &amp; ")",IF(SUMPRODUCT(-- ISNUMBER(SEARCH({"Content","Currency","Number","Percent","Text","URL"}, $B152))) &gt; 0,$B152 &amp; "(" &amp; $C152 &amp; ")",$B152)))), "  ", TRIM(IF($S152 = "YES", "(External ID)", "") &amp; " " &amp; IF(SUMPRODUCT(-- ISNUMBER(SEARCH({"Unique","Unique Case Insensitive"}, $R152))) &gt; 0, "(" &amp; $R152 &amp; ")", ""))))</f>
        <v>na</v>
      </c>
      <c r="E152" s="7" t="s">
        <v>195</v>
      </c>
      <c r="F152" s="7" t="s">
        <v>195</v>
      </c>
      <c r="G152" s="7" t="s">
        <v>195</v>
      </c>
      <c r="H152" s="7" t="s">
        <v>195</v>
      </c>
      <c r="I152" s="7" t="s">
        <v>195</v>
      </c>
      <c r="J152" s="7" t="s">
        <v>195</v>
      </c>
      <c r="K152" s="7" t="s">
        <v>195</v>
      </c>
      <c r="L152" s="7" t="s">
        <v>195</v>
      </c>
      <c r="M152" s="7" t="s">
        <v>29</v>
      </c>
      <c r="N152" s="7" t="s">
        <v>29</v>
      </c>
      <c r="O152" s="7" t="s">
        <v>29</v>
      </c>
      <c r="P152" s="7" t="s">
        <v>29</v>
      </c>
      <c r="Q152" s="7" t="s">
        <v>29</v>
      </c>
      <c r="R152" s="7" t="s">
        <v>29</v>
      </c>
      <c r="S152" s="7" t="s">
        <v>29</v>
      </c>
    </row>
    <row r="153" spans="2:19">
      <c r="B153" s="7" t="s">
        <v>195</v>
      </c>
      <c r="C153" s="8" t="s">
        <v>195</v>
      </c>
      <c r="D153" s="5" t="str">
        <f>LRTRIM(CONCATENATE(IF(SUMPRODUCT(-- ISNUMBER(SEARCH({"Auto Number"}, $B153))) &gt; 0, $B153, IF(SUMPRODUCT(-- ISNUMBER(SEARCH({"Lookup","Master-Detail"}, $B153))) &gt; 0,$B153 &amp; "(" &amp; $E153 &amp; ")",IF(SUMPRODUCT(-- ISNUMBER(SEARCH({"Formula","Roll-Up Summary"}, $B153))) &gt; 0,$B153 &amp; " (" &amp; $E153 &amp; ")",IF(SUMPRODUCT(-- ISNUMBER(SEARCH({"Content","Currency","Number","Percent","Text","URL"}, $B153))) &gt; 0,$B153 &amp; "(" &amp; $C153 &amp; ")",$B153)))), "  ", TRIM(IF($S153 = "YES", "(External ID)", "") &amp; " " &amp; IF(SUMPRODUCT(-- ISNUMBER(SEARCH({"Unique","Unique Case Insensitive"}, $R153))) &gt; 0, "(" &amp; $R153 &amp; ")", ""))))</f>
        <v>na</v>
      </c>
      <c r="E153" s="7" t="s">
        <v>195</v>
      </c>
      <c r="F153" s="7" t="s">
        <v>195</v>
      </c>
      <c r="G153" s="7" t="s">
        <v>195</v>
      </c>
      <c r="H153" s="7" t="s">
        <v>195</v>
      </c>
      <c r="I153" s="7" t="s">
        <v>195</v>
      </c>
      <c r="J153" s="7" t="s">
        <v>195</v>
      </c>
      <c r="K153" s="7" t="s">
        <v>195</v>
      </c>
      <c r="L153" s="7" t="s">
        <v>195</v>
      </c>
      <c r="M153" s="7" t="s">
        <v>29</v>
      </c>
      <c r="N153" s="7" t="s">
        <v>29</v>
      </c>
      <c r="O153" s="7" t="s">
        <v>29</v>
      </c>
      <c r="P153" s="7" t="s">
        <v>29</v>
      </c>
      <c r="Q153" s="7" t="s">
        <v>29</v>
      </c>
      <c r="R153" s="7" t="s">
        <v>29</v>
      </c>
      <c r="S153" s="7" t="s">
        <v>29</v>
      </c>
    </row>
    <row r="154" spans="2:19">
      <c r="B154" s="7" t="s">
        <v>195</v>
      </c>
      <c r="C154" s="8" t="s">
        <v>195</v>
      </c>
      <c r="D154" s="5" t="str">
        <f>LRTRIM(CONCATENATE(IF(SUMPRODUCT(-- ISNUMBER(SEARCH({"Auto Number"}, $B154))) &gt; 0, $B154, IF(SUMPRODUCT(-- ISNUMBER(SEARCH({"Lookup","Master-Detail"}, $B154))) &gt; 0,$B154 &amp; "(" &amp; $E154 &amp; ")",IF(SUMPRODUCT(-- ISNUMBER(SEARCH({"Formula","Roll-Up Summary"}, $B154))) &gt; 0,$B154 &amp; " (" &amp; $E154 &amp; ")",IF(SUMPRODUCT(-- ISNUMBER(SEARCH({"Content","Currency","Number","Percent","Text","URL"}, $B154))) &gt; 0,$B154 &amp; "(" &amp; $C154 &amp; ")",$B154)))), "  ", TRIM(IF($S154 = "YES", "(External ID)", "") &amp; " " &amp; IF(SUMPRODUCT(-- ISNUMBER(SEARCH({"Unique","Unique Case Insensitive"}, $R154))) &gt; 0, "(" &amp; $R154 &amp; ")", ""))))</f>
        <v>na</v>
      </c>
      <c r="E154" s="7" t="s">
        <v>195</v>
      </c>
      <c r="F154" s="7" t="s">
        <v>195</v>
      </c>
      <c r="G154" s="7" t="s">
        <v>195</v>
      </c>
      <c r="H154" s="7" t="s">
        <v>195</v>
      </c>
      <c r="I154" s="7" t="s">
        <v>195</v>
      </c>
      <c r="J154" s="7" t="s">
        <v>195</v>
      </c>
      <c r="K154" s="7" t="s">
        <v>195</v>
      </c>
      <c r="L154" s="7" t="s">
        <v>195</v>
      </c>
      <c r="M154" s="7" t="s">
        <v>29</v>
      </c>
      <c r="N154" s="7" t="s">
        <v>29</v>
      </c>
      <c r="O154" s="7" t="s">
        <v>29</v>
      </c>
      <c r="P154" s="7" t="s">
        <v>29</v>
      </c>
      <c r="Q154" s="7" t="s">
        <v>29</v>
      </c>
      <c r="R154" s="7" t="s">
        <v>29</v>
      </c>
      <c r="S154" s="7" t="s">
        <v>29</v>
      </c>
    </row>
    <row r="155" spans="2:19">
      <c r="B155" s="7" t="s">
        <v>195</v>
      </c>
      <c r="C155" s="8" t="s">
        <v>195</v>
      </c>
      <c r="D155" s="5" t="str">
        <f>LRTRIM(CONCATENATE(IF(SUMPRODUCT(-- ISNUMBER(SEARCH({"Auto Number"}, $B155))) &gt; 0, $B155, IF(SUMPRODUCT(-- ISNUMBER(SEARCH({"Lookup","Master-Detail"}, $B155))) &gt; 0,$B155 &amp; "(" &amp; $E155 &amp; ")",IF(SUMPRODUCT(-- ISNUMBER(SEARCH({"Formula","Roll-Up Summary"}, $B155))) &gt; 0,$B155 &amp; " (" &amp; $E155 &amp; ")",IF(SUMPRODUCT(-- ISNUMBER(SEARCH({"Content","Currency","Number","Percent","Text","URL"}, $B155))) &gt; 0,$B155 &amp; "(" &amp; $C155 &amp; ")",$B155)))), "  ", TRIM(IF($S155 = "YES", "(External ID)", "") &amp; " " &amp; IF(SUMPRODUCT(-- ISNUMBER(SEARCH({"Unique","Unique Case Insensitive"}, $R155))) &gt; 0, "(" &amp; $R155 &amp; ")", ""))))</f>
        <v>na</v>
      </c>
      <c r="E155" s="7" t="s">
        <v>195</v>
      </c>
      <c r="F155" s="7" t="s">
        <v>195</v>
      </c>
      <c r="G155" s="7" t="s">
        <v>195</v>
      </c>
      <c r="H155" s="7" t="s">
        <v>195</v>
      </c>
      <c r="I155" s="7" t="s">
        <v>195</v>
      </c>
      <c r="J155" s="7" t="s">
        <v>195</v>
      </c>
      <c r="K155" s="7" t="s">
        <v>195</v>
      </c>
      <c r="L155" s="7" t="s">
        <v>195</v>
      </c>
      <c r="M155" s="7" t="s">
        <v>29</v>
      </c>
      <c r="N155" s="7" t="s">
        <v>29</v>
      </c>
      <c r="O155" s="7" t="s">
        <v>29</v>
      </c>
      <c r="P155" s="7" t="s">
        <v>29</v>
      </c>
      <c r="Q155" s="7" t="s">
        <v>29</v>
      </c>
      <c r="R155" s="7" t="s">
        <v>29</v>
      </c>
      <c r="S155" s="7" t="s">
        <v>29</v>
      </c>
    </row>
    <row r="156" spans="2:19">
      <c r="B156" s="7" t="s">
        <v>195</v>
      </c>
      <c r="C156" s="8" t="s">
        <v>195</v>
      </c>
      <c r="D156" s="5" t="str">
        <f>LRTRIM(CONCATENATE(IF(SUMPRODUCT(-- ISNUMBER(SEARCH({"Auto Number"}, $B156))) &gt; 0, $B156, IF(SUMPRODUCT(-- ISNUMBER(SEARCH({"Lookup","Master-Detail"}, $B156))) &gt; 0,$B156 &amp; "(" &amp; $E156 &amp; ")",IF(SUMPRODUCT(-- ISNUMBER(SEARCH({"Formula","Roll-Up Summary"}, $B156))) &gt; 0,$B156 &amp; " (" &amp; $E156 &amp; ")",IF(SUMPRODUCT(-- ISNUMBER(SEARCH({"Content","Currency","Number","Percent","Text","URL"}, $B156))) &gt; 0,$B156 &amp; "(" &amp; $C156 &amp; ")",$B156)))), "  ", TRIM(IF($S156 = "YES", "(External ID)", "") &amp; " " &amp; IF(SUMPRODUCT(-- ISNUMBER(SEARCH({"Unique","Unique Case Insensitive"}, $R156))) &gt; 0, "(" &amp; $R156 &amp; ")", ""))))</f>
        <v>na</v>
      </c>
      <c r="E156" s="7" t="s">
        <v>195</v>
      </c>
      <c r="F156" s="7" t="s">
        <v>195</v>
      </c>
      <c r="G156" s="7" t="s">
        <v>195</v>
      </c>
      <c r="H156" s="7" t="s">
        <v>195</v>
      </c>
      <c r="I156" s="7" t="s">
        <v>195</v>
      </c>
      <c r="J156" s="7" t="s">
        <v>195</v>
      </c>
      <c r="K156" s="7" t="s">
        <v>195</v>
      </c>
      <c r="L156" s="7" t="s">
        <v>195</v>
      </c>
      <c r="M156" s="7" t="s">
        <v>29</v>
      </c>
      <c r="N156" s="7" t="s">
        <v>29</v>
      </c>
      <c r="O156" s="7" t="s">
        <v>29</v>
      </c>
      <c r="P156" s="7" t="s">
        <v>29</v>
      </c>
      <c r="Q156" s="7" t="s">
        <v>29</v>
      </c>
      <c r="R156" s="7" t="s">
        <v>29</v>
      </c>
      <c r="S156" s="7" t="s">
        <v>29</v>
      </c>
    </row>
    <row r="157" spans="2:19">
      <c r="B157" s="7" t="s">
        <v>195</v>
      </c>
      <c r="C157" s="8" t="s">
        <v>195</v>
      </c>
      <c r="D157" s="5" t="str">
        <f>LRTRIM(CONCATENATE(IF(SUMPRODUCT(-- ISNUMBER(SEARCH({"Auto Number"}, $B157))) &gt; 0, $B157, IF(SUMPRODUCT(-- ISNUMBER(SEARCH({"Lookup","Master-Detail"}, $B157))) &gt; 0,$B157 &amp; "(" &amp; $E157 &amp; ")",IF(SUMPRODUCT(-- ISNUMBER(SEARCH({"Formula","Roll-Up Summary"}, $B157))) &gt; 0,$B157 &amp; " (" &amp; $E157 &amp; ")",IF(SUMPRODUCT(-- ISNUMBER(SEARCH({"Content","Currency","Number","Percent","Text","URL"}, $B157))) &gt; 0,$B157 &amp; "(" &amp; $C157 &amp; ")",$B157)))), "  ", TRIM(IF($S157 = "YES", "(External ID)", "") &amp; " " &amp; IF(SUMPRODUCT(-- ISNUMBER(SEARCH({"Unique","Unique Case Insensitive"}, $R157))) &gt; 0, "(" &amp; $R157 &amp; ")", ""))))</f>
        <v>na</v>
      </c>
      <c r="E157" s="7" t="s">
        <v>195</v>
      </c>
      <c r="F157" s="7" t="s">
        <v>195</v>
      </c>
      <c r="G157" s="7" t="s">
        <v>195</v>
      </c>
      <c r="H157" s="7" t="s">
        <v>195</v>
      </c>
      <c r="I157" s="7" t="s">
        <v>195</v>
      </c>
      <c r="J157" s="7" t="s">
        <v>195</v>
      </c>
      <c r="K157" s="7" t="s">
        <v>195</v>
      </c>
      <c r="L157" s="7" t="s">
        <v>195</v>
      </c>
      <c r="M157" s="7" t="s">
        <v>29</v>
      </c>
      <c r="N157" s="7" t="s">
        <v>29</v>
      </c>
      <c r="O157" s="7" t="s">
        <v>29</v>
      </c>
      <c r="P157" s="7" t="s">
        <v>29</v>
      </c>
      <c r="Q157" s="7" t="s">
        <v>29</v>
      </c>
      <c r="R157" s="7" t="s">
        <v>29</v>
      </c>
      <c r="S157" s="7" t="s">
        <v>29</v>
      </c>
    </row>
    <row r="158" spans="2:19">
      <c r="B158" s="7" t="s">
        <v>195</v>
      </c>
      <c r="C158" s="8" t="s">
        <v>195</v>
      </c>
      <c r="D158" s="5" t="str">
        <f>LRTRIM(CONCATENATE(IF(SUMPRODUCT(-- ISNUMBER(SEARCH({"Auto Number"}, $B158))) &gt; 0, $B158, IF(SUMPRODUCT(-- ISNUMBER(SEARCH({"Lookup","Master-Detail"}, $B158))) &gt; 0,$B158 &amp; "(" &amp; $E158 &amp; ")",IF(SUMPRODUCT(-- ISNUMBER(SEARCH({"Formula","Roll-Up Summary"}, $B158))) &gt; 0,$B158 &amp; " (" &amp; $E158 &amp; ")",IF(SUMPRODUCT(-- ISNUMBER(SEARCH({"Content","Currency","Number","Percent","Text","URL"}, $B158))) &gt; 0,$B158 &amp; "(" &amp; $C158 &amp; ")",$B158)))), "  ", TRIM(IF($S158 = "YES", "(External ID)", "") &amp; " " &amp; IF(SUMPRODUCT(-- ISNUMBER(SEARCH({"Unique","Unique Case Insensitive"}, $R158))) &gt; 0, "(" &amp; $R158 &amp; ")", ""))))</f>
        <v>na</v>
      </c>
      <c r="E158" s="7" t="s">
        <v>195</v>
      </c>
      <c r="F158" s="7" t="s">
        <v>195</v>
      </c>
      <c r="G158" s="7" t="s">
        <v>195</v>
      </c>
      <c r="H158" s="7" t="s">
        <v>195</v>
      </c>
      <c r="I158" s="7" t="s">
        <v>195</v>
      </c>
      <c r="J158" s="7" t="s">
        <v>195</v>
      </c>
      <c r="K158" s="7" t="s">
        <v>195</v>
      </c>
      <c r="L158" s="7" t="s">
        <v>195</v>
      </c>
      <c r="M158" s="7" t="s">
        <v>29</v>
      </c>
      <c r="N158" s="7" t="s">
        <v>29</v>
      </c>
      <c r="O158" s="7" t="s">
        <v>29</v>
      </c>
      <c r="P158" s="7" t="s">
        <v>29</v>
      </c>
      <c r="Q158" s="7" t="s">
        <v>29</v>
      </c>
      <c r="R158" s="7" t="s">
        <v>29</v>
      </c>
      <c r="S158" s="7" t="s">
        <v>29</v>
      </c>
    </row>
    <row r="159" spans="2:19">
      <c r="B159" s="7" t="s">
        <v>195</v>
      </c>
      <c r="C159" s="8" t="s">
        <v>195</v>
      </c>
      <c r="D159" s="5" t="str">
        <f>LRTRIM(CONCATENATE(IF(SUMPRODUCT(-- ISNUMBER(SEARCH({"Auto Number"}, $B159))) &gt; 0, $B159, IF(SUMPRODUCT(-- ISNUMBER(SEARCH({"Lookup","Master-Detail"}, $B159))) &gt; 0,$B159 &amp; "(" &amp; $E159 &amp; ")",IF(SUMPRODUCT(-- ISNUMBER(SEARCH({"Formula","Roll-Up Summary"}, $B159))) &gt; 0,$B159 &amp; " (" &amp; $E159 &amp; ")",IF(SUMPRODUCT(-- ISNUMBER(SEARCH({"Content","Currency","Number","Percent","Text","URL"}, $B159))) &gt; 0,$B159 &amp; "(" &amp; $C159 &amp; ")",$B159)))), "  ", TRIM(IF($S159 = "YES", "(External ID)", "") &amp; " " &amp; IF(SUMPRODUCT(-- ISNUMBER(SEARCH({"Unique","Unique Case Insensitive"}, $R159))) &gt; 0, "(" &amp; $R159 &amp; ")", ""))))</f>
        <v>na</v>
      </c>
      <c r="E159" s="7" t="s">
        <v>195</v>
      </c>
      <c r="F159" s="7" t="s">
        <v>195</v>
      </c>
      <c r="G159" s="7" t="s">
        <v>195</v>
      </c>
      <c r="H159" s="7" t="s">
        <v>195</v>
      </c>
      <c r="I159" s="7" t="s">
        <v>195</v>
      </c>
      <c r="J159" s="7" t="s">
        <v>195</v>
      </c>
      <c r="K159" s="7" t="s">
        <v>195</v>
      </c>
      <c r="L159" s="7" t="s">
        <v>195</v>
      </c>
      <c r="M159" s="7" t="s">
        <v>29</v>
      </c>
      <c r="N159" s="7" t="s">
        <v>29</v>
      </c>
      <c r="O159" s="7" t="s">
        <v>29</v>
      </c>
      <c r="P159" s="7" t="s">
        <v>29</v>
      </c>
      <c r="Q159" s="7" t="s">
        <v>29</v>
      </c>
      <c r="R159" s="7" t="s">
        <v>29</v>
      </c>
      <c r="S159" s="7" t="s">
        <v>29</v>
      </c>
    </row>
    <row r="160" spans="2:19">
      <c r="B160" s="7" t="s">
        <v>195</v>
      </c>
      <c r="C160" s="8" t="s">
        <v>195</v>
      </c>
      <c r="D160" s="5" t="str">
        <f>LRTRIM(CONCATENATE(IF(SUMPRODUCT(-- ISNUMBER(SEARCH({"Auto Number"}, $B160))) &gt; 0, $B160, IF(SUMPRODUCT(-- ISNUMBER(SEARCH({"Lookup","Master-Detail"}, $B160))) &gt; 0,$B160 &amp; "(" &amp; $E160 &amp; ")",IF(SUMPRODUCT(-- ISNUMBER(SEARCH({"Formula","Roll-Up Summary"}, $B160))) &gt; 0,$B160 &amp; " (" &amp; $E160 &amp; ")",IF(SUMPRODUCT(-- ISNUMBER(SEARCH({"Content","Currency","Number","Percent","Text","URL"}, $B160))) &gt; 0,$B160 &amp; "(" &amp; $C160 &amp; ")",$B160)))), "  ", TRIM(IF($S160 = "YES", "(External ID)", "") &amp; " " &amp; IF(SUMPRODUCT(-- ISNUMBER(SEARCH({"Unique","Unique Case Insensitive"}, $R160))) &gt; 0, "(" &amp; $R160 &amp; ")", ""))))</f>
        <v>na</v>
      </c>
      <c r="E160" s="7" t="s">
        <v>195</v>
      </c>
      <c r="F160" s="7" t="s">
        <v>195</v>
      </c>
      <c r="G160" s="7" t="s">
        <v>195</v>
      </c>
      <c r="H160" s="7" t="s">
        <v>195</v>
      </c>
      <c r="I160" s="7" t="s">
        <v>195</v>
      </c>
      <c r="J160" s="7" t="s">
        <v>195</v>
      </c>
      <c r="K160" s="7" t="s">
        <v>195</v>
      </c>
      <c r="L160" s="7" t="s">
        <v>195</v>
      </c>
      <c r="M160" s="7" t="s">
        <v>29</v>
      </c>
      <c r="N160" s="7" t="s">
        <v>29</v>
      </c>
      <c r="O160" s="7" t="s">
        <v>29</v>
      </c>
      <c r="P160" s="7" t="s">
        <v>29</v>
      </c>
      <c r="Q160" s="7" t="s">
        <v>29</v>
      </c>
      <c r="R160" s="7" t="s">
        <v>29</v>
      </c>
      <c r="S160" s="7" t="s">
        <v>29</v>
      </c>
    </row>
    <row r="161" spans="2:19">
      <c r="B161" s="7" t="s">
        <v>195</v>
      </c>
      <c r="C161" s="8" t="s">
        <v>195</v>
      </c>
      <c r="D161" s="5" t="str">
        <f>LRTRIM(CONCATENATE(IF(SUMPRODUCT(-- ISNUMBER(SEARCH({"Auto Number"}, $B161))) &gt; 0, $B161, IF(SUMPRODUCT(-- ISNUMBER(SEARCH({"Lookup","Master-Detail"}, $B161))) &gt; 0,$B161 &amp; "(" &amp; $E161 &amp; ")",IF(SUMPRODUCT(-- ISNUMBER(SEARCH({"Formula","Roll-Up Summary"}, $B161))) &gt; 0,$B161 &amp; " (" &amp; $E161 &amp; ")",IF(SUMPRODUCT(-- ISNUMBER(SEARCH({"Content","Currency","Number","Percent","Text","URL"}, $B161))) &gt; 0,$B161 &amp; "(" &amp; $C161 &amp; ")",$B161)))), "  ", TRIM(IF($S161 = "YES", "(External ID)", "") &amp; " " &amp; IF(SUMPRODUCT(-- ISNUMBER(SEARCH({"Unique","Unique Case Insensitive"}, $R161))) &gt; 0, "(" &amp; $R161 &amp; ")", ""))))</f>
        <v>na</v>
      </c>
      <c r="E161" s="7" t="s">
        <v>195</v>
      </c>
      <c r="F161" s="7" t="s">
        <v>195</v>
      </c>
      <c r="G161" s="7" t="s">
        <v>195</v>
      </c>
      <c r="H161" s="7" t="s">
        <v>195</v>
      </c>
      <c r="I161" s="7" t="s">
        <v>195</v>
      </c>
      <c r="J161" s="7" t="s">
        <v>195</v>
      </c>
      <c r="K161" s="7" t="s">
        <v>195</v>
      </c>
      <c r="L161" s="7" t="s">
        <v>195</v>
      </c>
      <c r="M161" s="7" t="s">
        <v>29</v>
      </c>
      <c r="N161" s="7" t="s">
        <v>29</v>
      </c>
      <c r="O161" s="7" t="s">
        <v>29</v>
      </c>
      <c r="P161" s="7" t="s">
        <v>29</v>
      </c>
      <c r="Q161" s="7" t="s">
        <v>29</v>
      </c>
      <c r="R161" s="7" t="s">
        <v>29</v>
      </c>
      <c r="S161" s="7" t="s">
        <v>29</v>
      </c>
    </row>
    <row r="162" spans="2:19">
      <c r="B162" s="7" t="s">
        <v>195</v>
      </c>
      <c r="C162" s="8" t="s">
        <v>195</v>
      </c>
      <c r="D162" s="5" t="str">
        <f>LRTRIM(CONCATENATE(IF(SUMPRODUCT(-- ISNUMBER(SEARCH({"Auto Number"}, $B162))) &gt; 0, $B162, IF(SUMPRODUCT(-- ISNUMBER(SEARCH({"Lookup","Master-Detail"}, $B162))) &gt; 0,$B162 &amp; "(" &amp; $E162 &amp; ")",IF(SUMPRODUCT(-- ISNUMBER(SEARCH({"Formula","Roll-Up Summary"}, $B162))) &gt; 0,$B162 &amp; " (" &amp; $E162 &amp; ")",IF(SUMPRODUCT(-- ISNUMBER(SEARCH({"Content","Currency","Number","Percent","Text","URL"}, $B162))) &gt; 0,$B162 &amp; "(" &amp; $C162 &amp; ")",$B162)))), "  ", TRIM(IF($S162 = "YES", "(External ID)", "") &amp; " " &amp; IF(SUMPRODUCT(-- ISNUMBER(SEARCH({"Unique","Unique Case Insensitive"}, $R162))) &gt; 0, "(" &amp; $R162 &amp; ")", ""))))</f>
        <v>na</v>
      </c>
      <c r="E162" s="7" t="s">
        <v>195</v>
      </c>
      <c r="F162" s="7" t="s">
        <v>195</v>
      </c>
      <c r="G162" s="7" t="s">
        <v>195</v>
      </c>
      <c r="H162" s="7" t="s">
        <v>195</v>
      </c>
      <c r="I162" s="7" t="s">
        <v>195</v>
      </c>
      <c r="J162" s="7" t="s">
        <v>195</v>
      </c>
      <c r="K162" s="7" t="s">
        <v>195</v>
      </c>
      <c r="L162" s="7" t="s">
        <v>195</v>
      </c>
      <c r="M162" s="7" t="s">
        <v>29</v>
      </c>
      <c r="N162" s="7" t="s">
        <v>29</v>
      </c>
      <c r="O162" s="7" t="s">
        <v>29</v>
      </c>
      <c r="P162" s="7" t="s">
        <v>29</v>
      </c>
      <c r="Q162" s="7" t="s">
        <v>29</v>
      </c>
      <c r="R162" s="7" t="s">
        <v>29</v>
      </c>
      <c r="S162" s="7" t="s">
        <v>29</v>
      </c>
    </row>
    <row r="163" spans="2:19">
      <c r="B163" s="7" t="s">
        <v>195</v>
      </c>
      <c r="C163" s="8" t="s">
        <v>195</v>
      </c>
      <c r="D163" s="5" t="str">
        <f>LRTRIM(CONCATENATE(IF(SUMPRODUCT(-- ISNUMBER(SEARCH({"Auto Number"}, $B163))) &gt; 0, $B163, IF(SUMPRODUCT(-- ISNUMBER(SEARCH({"Lookup","Master-Detail"}, $B163))) &gt; 0,$B163 &amp; "(" &amp; $E163 &amp; ")",IF(SUMPRODUCT(-- ISNUMBER(SEARCH({"Formula","Roll-Up Summary"}, $B163))) &gt; 0,$B163 &amp; " (" &amp; $E163 &amp; ")",IF(SUMPRODUCT(-- ISNUMBER(SEARCH({"Content","Currency","Number","Percent","Text","URL"}, $B163))) &gt; 0,$B163 &amp; "(" &amp; $C163 &amp; ")",$B163)))), "  ", TRIM(IF($S163 = "YES", "(External ID)", "") &amp; " " &amp; IF(SUMPRODUCT(-- ISNUMBER(SEARCH({"Unique","Unique Case Insensitive"}, $R163))) &gt; 0, "(" &amp; $R163 &amp; ")", ""))))</f>
        <v>na</v>
      </c>
      <c r="E163" s="7" t="s">
        <v>195</v>
      </c>
      <c r="F163" s="7" t="s">
        <v>195</v>
      </c>
      <c r="G163" s="7" t="s">
        <v>195</v>
      </c>
      <c r="H163" s="7" t="s">
        <v>195</v>
      </c>
      <c r="I163" s="7" t="s">
        <v>195</v>
      </c>
      <c r="J163" s="7" t="s">
        <v>195</v>
      </c>
      <c r="K163" s="7" t="s">
        <v>195</v>
      </c>
      <c r="L163" s="7" t="s">
        <v>195</v>
      </c>
      <c r="M163" s="7" t="s">
        <v>29</v>
      </c>
      <c r="N163" s="7" t="s">
        <v>29</v>
      </c>
      <c r="O163" s="7" t="s">
        <v>29</v>
      </c>
      <c r="P163" s="7" t="s">
        <v>29</v>
      </c>
      <c r="Q163" s="7" t="s">
        <v>29</v>
      </c>
      <c r="R163" s="7" t="s">
        <v>29</v>
      </c>
      <c r="S163" s="7" t="s">
        <v>29</v>
      </c>
    </row>
    <row r="164" spans="2:19">
      <c r="B164" s="7" t="s">
        <v>195</v>
      </c>
      <c r="C164" s="8" t="s">
        <v>195</v>
      </c>
      <c r="D164" s="5" t="str">
        <f>LRTRIM(CONCATENATE(IF(SUMPRODUCT(-- ISNUMBER(SEARCH({"Auto Number"}, $B164))) &gt; 0, $B164, IF(SUMPRODUCT(-- ISNUMBER(SEARCH({"Lookup","Master-Detail"}, $B164))) &gt; 0,$B164 &amp; "(" &amp; $E164 &amp; ")",IF(SUMPRODUCT(-- ISNUMBER(SEARCH({"Formula","Roll-Up Summary"}, $B164))) &gt; 0,$B164 &amp; " (" &amp; $E164 &amp; ")",IF(SUMPRODUCT(-- ISNUMBER(SEARCH({"Content","Currency","Number","Percent","Text","URL"}, $B164))) &gt; 0,$B164 &amp; "(" &amp; $C164 &amp; ")",$B164)))), "  ", TRIM(IF($S164 = "YES", "(External ID)", "") &amp; " " &amp; IF(SUMPRODUCT(-- ISNUMBER(SEARCH({"Unique","Unique Case Insensitive"}, $R164))) &gt; 0, "(" &amp; $R164 &amp; ")", ""))))</f>
        <v>na</v>
      </c>
      <c r="E164" s="7" t="s">
        <v>195</v>
      </c>
      <c r="F164" s="7" t="s">
        <v>195</v>
      </c>
      <c r="G164" s="7" t="s">
        <v>195</v>
      </c>
      <c r="H164" s="7" t="s">
        <v>195</v>
      </c>
      <c r="I164" s="7" t="s">
        <v>195</v>
      </c>
      <c r="J164" s="7" t="s">
        <v>195</v>
      </c>
      <c r="K164" s="7" t="s">
        <v>195</v>
      </c>
      <c r="L164" s="7" t="s">
        <v>195</v>
      </c>
      <c r="M164" s="7" t="s">
        <v>29</v>
      </c>
      <c r="N164" s="7" t="s">
        <v>29</v>
      </c>
      <c r="O164" s="7" t="s">
        <v>29</v>
      </c>
      <c r="P164" s="7" t="s">
        <v>29</v>
      </c>
      <c r="Q164" s="7" t="s">
        <v>29</v>
      </c>
      <c r="R164" s="7" t="s">
        <v>29</v>
      </c>
      <c r="S164" s="7" t="s">
        <v>29</v>
      </c>
    </row>
    <row r="165" spans="2:19">
      <c r="B165" s="7" t="s">
        <v>195</v>
      </c>
      <c r="C165" s="8" t="s">
        <v>195</v>
      </c>
      <c r="D165" s="5" t="str">
        <f>LRTRIM(CONCATENATE(IF(SUMPRODUCT(-- ISNUMBER(SEARCH({"Auto Number"}, $B165))) &gt; 0, $B165, IF(SUMPRODUCT(-- ISNUMBER(SEARCH({"Lookup","Master-Detail"}, $B165))) &gt; 0,$B165 &amp; "(" &amp; $E165 &amp; ")",IF(SUMPRODUCT(-- ISNUMBER(SEARCH({"Formula","Roll-Up Summary"}, $B165))) &gt; 0,$B165 &amp; " (" &amp; $E165 &amp; ")",IF(SUMPRODUCT(-- ISNUMBER(SEARCH({"Content","Currency","Number","Percent","Text","URL"}, $B165))) &gt; 0,$B165 &amp; "(" &amp; $C165 &amp; ")",$B165)))), "  ", TRIM(IF($S165 = "YES", "(External ID)", "") &amp; " " &amp; IF(SUMPRODUCT(-- ISNUMBER(SEARCH({"Unique","Unique Case Insensitive"}, $R165))) &gt; 0, "(" &amp; $R165 &amp; ")", ""))))</f>
        <v>na</v>
      </c>
      <c r="E165" s="7" t="s">
        <v>195</v>
      </c>
      <c r="F165" s="7" t="s">
        <v>195</v>
      </c>
      <c r="G165" s="7" t="s">
        <v>195</v>
      </c>
      <c r="H165" s="7" t="s">
        <v>195</v>
      </c>
      <c r="I165" s="7" t="s">
        <v>195</v>
      </c>
      <c r="J165" s="7" t="s">
        <v>195</v>
      </c>
      <c r="K165" s="7" t="s">
        <v>195</v>
      </c>
      <c r="L165" s="7" t="s">
        <v>195</v>
      </c>
      <c r="M165" s="7" t="s">
        <v>29</v>
      </c>
      <c r="N165" s="7" t="s">
        <v>29</v>
      </c>
      <c r="O165" s="7" t="s">
        <v>29</v>
      </c>
      <c r="P165" s="7" t="s">
        <v>29</v>
      </c>
      <c r="Q165" s="7" t="s">
        <v>29</v>
      </c>
      <c r="R165" s="7" t="s">
        <v>29</v>
      </c>
      <c r="S165" s="7" t="s">
        <v>29</v>
      </c>
    </row>
    <row r="166" spans="2:19">
      <c r="B166" s="7" t="s">
        <v>195</v>
      </c>
      <c r="C166" s="8" t="s">
        <v>195</v>
      </c>
      <c r="D166" s="5" t="str">
        <f>LRTRIM(CONCATENATE(IF(SUMPRODUCT(-- ISNUMBER(SEARCH({"Auto Number"}, $B166))) &gt; 0, $B166, IF(SUMPRODUCT(-- ISNUMBER(SEARCH({"Lookup","Master-Detail"}, $B166))) &gt; 0,$B166 &amp; "(" &amp; $E166 &amp; ")",IF(SUMPRODUCT(-- ISNUMBER(SEARCH({"Formula","Roll-Up Summary"}, $B166))) &gt; 0,$B166 &amp; " (" &amp; $E166 &amp; ")",IF(SUMPRODUCT(-- ISNUMBER(SEARCH({"Content","Currency","Number","Percent","Text","URL"}, $B166))) &gt; 0,$B166 &amp; "(" &amp; $C166 &amp; ")",$B166)))), "  ", TRIM(IF($S166 = "YES", "(External ID)", "") &amp; " " &amp; IF(SUMPRODUCT(-- ISNUMBER(SEARCH({"Unique","Unique Case Insensitive"}, $R166))) &gt; 0, "(" &amp; $R166 &amp; ")", ""))))</f>
        <v>na</v>
      </c>
      <c r="E166" s="7" t="s">
        <v>195</v>
      </c>
      <c r="F166" s="7" t="s">
        <v>195</v>
      </c>
      <c r="G166" s="7" t="s">
        <v>195</v>
      </c>
      <c r="H166" s="7" t="s">
        <v>195</v>
      </c>
      <c r="I166" s="7" t="s">
        <v>195</v>
      </c>
      <c r="J166" s="7" t="s">
        <v>195</v>
      </c>
      <c r="K166" s="7" t="s">
        <v>195</v>
      </c>
      <c r="L166" s="7" t="s">
        <v>195</v>
      </c>
      <c r="M166" s="7" t="s">
        <v>29</v>
      </c>
      <c r="N166" s="7" t="s">
        <v>29</v>
      </c>
      <c r="O166" s="7" t="s">
        <v>29</v>
      </c>
      <c r="P166" s="7" t="s">
        <v>29</v>
      </c>
      <c r="Q166" s="7" t="s">
        <v>29</v>
      </c>
      <c r="R166" s="7" t="s">
        <v>29</v>
      </c>
      <c r="S166" s="7" t="s">
        <v>29</v>
      </c>
    </row>
    <row r="167" spans="2:19">
      <c r="B167" s="7" t="s">
        <v>195</v>
      </c>
      <c r="C167" s="8" t="s">
        <v>195</v>
      </c>
      <c r="D167" s="5" t="str">
        <f>LRTRIM(CONCATENATE(IF(SUMPRODUCT(-- ISNUMBER(SEARCH({"Auto Number"}, $B167))) &gt; 0, $B167, IF(SUMPRODUCT(-- ISNUMBER(SEARCH({"Lookup","Master-Detail"}, $B167))) &gt; 0,$B167 &amp; "(" &amp; $E167 &amp; ")",IF(SUMPRODUCT(-- ISNUMBER(SEARCH({"Formula","Roll-Up Summary"}, $B167))) &gt; 0,$B167 &amp; " (" &amp; $E167 &amp; ")",IF(SUMPRODUCT(-- ISNUMBER(SEARCH({"Content","Currency","Number","Percent","Text","URL"}, $B167))) &gt; 0,$B167 &amp; "(" &amp; $C167 &amp; ")",$B167)))), "  ", TRIM(IF($S167 = "YES", "(External ID)", "") &amp; " " &amp; IF(SUMPRODUCT(-- ISNUMBER(SEARCH({"Unique","Unique Case Insensitive"}, $R167))) &gt; 0, "(" &amp; $R167 &amp; ")", ""))))</f>
        <v>na</v>
      </c>
      <c r="E167" s="7" t="s">
        <v>195</v>
      </c>
      <c r="F167" s="7" t="s">
        <v>195</v>
      </c>
      <c r="G167" s="7" t="s">
        <v>195</v>
      </c>
      <c r="H167" s="7" t="s">
        <v>195</v>
      </c>
      <c r="I167" s="7" t="s">
        <v>195</v>
      </c>
      <c r="J167" s="7" t="s">
        <v>195</v>
      </c>
      <c r="K167" s="7" t="s">
        <v>195</v>
      </c>
      <c r="L167" s="7" t="s">
        <v>195</v>
      </c>
      <c r="M167" s="7" t="s">
        <v>29</v>
      </c>
      <c r="N167" s="7" t="s">
        <v>29</v>
      </c>
      <c r="O167" s="7" t="s">
        <v>29</v>
      </c>
      <c r="P167" s="7" t="s">
        <v>29</v>
      </c>
      <c r="Q167" s="7" t="s">
        <v>29</v>
      </c>
      <c r="R167" s="7" t="s">
        <v>29</v>
      </c>
      <c r="S167" s="7" t="s">
        <v>29</v>
      </c>
    </row>
    <row r="168" spans="2:19">
      <c r="B168" s="7" t="s">
        <v>195</v>
      </c>
      <c r="C168" s="8" t="s">
        <v>195</v>
      </c>
      <c r="D168" s="5" t="str">
        <f>LRTRIM(CONCATENATE(IF(SUMPRODUCT(-- ISNUMBER(SEARCH({"Auto Number"}, $B168))) &gt; 0, $B168, IF(SUMPRODUCT(-- ISNUMBER(SEARCH({"Lookup","Master-Detail"}, $B168))) &gt; 0,$B168 &amp; "(" &amp; $E168 &amp; ")",IF(SUMPRODUCT(-- ISNUMBER(SEARCH({"Formula","Roll-Up Summary"}, $B168))) &gt; 0,$B168 &amp; " (" &amp; $E168 &amp; ")",IF(SUMPRODUCT(-- ISNUMBER(SEARCH({"Content","Currency","Number","Percent","Text","URL"}, $B168))) &gt; 0,$B168 &amp; "(" &amp; $C168 &amp; ")",$B168)))), "  ", TRIM(IF($S168 = "YES", "(External ID)", "") &amp; " " &amp; IF(SUMPRODUCT(-- ISNUMBER(SEARCH({"Unique","Unique Case Insensitive"}, $R168))) &gt; 0, "(" &amp; $R168 &amp; ")", ""))))</f>
        <v>na</v>
      </c>
      <c r="E168" s="7" t="s">
        <v>195</v>
      </c>
      <c r="F168" s="7" t="s">
        <v>195</v>
      </c>
      <c r="G168" s="7" t="s">
        <v>195</v>
      </c>
      <c r="H168" s="7" t="s">
        <v>195</v>
      </c>
      <c r="I168" s="7" t="s">
        <v>195</v>
      </c>
      <c r="J168" s="7" t="s">
        <v>195</v>
      </c>
      <c r="K168" s="7" t="s">
        <v>195</v>
      </c>
      <c r="L168" s="7" t="s">
        <v>195</v>
      </c>
      <c r="M168" s="7" t="s">
        <v>29</v>
      </c>
      <c r="N168" s="7" t="s">
        <v>29</v>
      </c>
      <c r="O168" s="7" t="s">
        <v>29</v>
      </c>
      <c r="P168" s="7" t="s">
        <v>29</v>
      </c>
      <c r="Q168" s="7" t="s">
        <v>29</v>
      </c>
      <c r="R168" s="7" t="s">
        <v>29</v>
      </c>
      <c r="S168" s="7" t="s">
        <v>29</v>
      </c>
    </row>
    <row r="169" spans="2:19">
      <c r="B169" s="7" t="s">
        <v>195</v>
      </c>
      <c r="C169" s="8" t="s">
        <v>195</v>
      </c>
      <c r="D169" s="5" t="str">
        <f>LRTRIM(CONCATENATE(IF(SUMPRODUCT(-- ISNUMBER(SEARCH({"Auto Number"}, $B169))) &gt; 0, $B169, IF(SUMPRODUCT(-- ISNUMBER(SEARCH({"Lookup","Master-Detail"}, $B169))) &gt; 0,$B169 &amp; "(" &amp; $E169 &amp; ")",IF(SUMPRODUCT(-- ISNUMBER(SEARCH({"Formula","Roll-Up Summary"}, $B169))) &gt; 0,$B169 &amp; " (" &amp; $E169 &amp; ")",IF(SUMPRODUCT(-- ISNUMBER(SEARCH({"Content","Currency","Number","Percent","Text","URL"}, $B169))) &gt; 0,$B169 &amp; "(" &amp; $C169 &amp; ")",$B169)))), "  ", TRIM(IF($S169 = "YES", "(External ID)", "") &amp; " " &amp; IF(SUMPRODUCT(-- ISNUMBER(SEARCH({"Unique","Unique Case Insensitive"}, $R169))) &gt; 0, "(" &amp; $R169 &amp; ")", ""))))</f>
        <v>na</v>
      </c>
      <c r="E169" s="7" t="s">
        <v>195</v>
      </c>
      <c r="F169" s="7" t="s">
        <v>195</v>
      </c>
      <c r="G169" s="7" t="s">
        <v>195</v>
      </c>
      <c r="H169" s="7" t="s">
        <v>195</v>
      </c>
      <c r="I169" s="7" t="s">
        <v>195</v>
      </c>
      <c r="J169" s="7" t="s">
        <v>195</v>
      </c>
      <c r="K169" s="7" t="s">
        <v>195</v>
      </c>
      <c r="L169" s="7" t="s">
        <v>195</v>
      </c>
      <c r="M169" s="7" t="s">
        <v>29</v>
      </c>
      <c r="N169" s="7" t="s">
        <v>29</v>
      </c>
      <c r="O169" s="7" t="s">
        <v>29</v>
      </c>
      <c r="P169" s="7" t="s">
        <v>29</v>
      </c>
      <c r="Q169" s="7" t="s">
        <v>29</v>
      </c>
      <c r="R169" s="7" t="s">
        <v>29</v>
      </c>
      <c r="S169" s="7" t="s">
        <v>29</v>
      </c>
    </row>
    <row r="170" spans="2:19">
      <c r="B170" s="7" t="s">
        <v>195</v>
      </c>
      <c r="C170" s="8" t="s">
        <v>195</v>
      </c>
      <c r="D170" s="5" t="str">
        <f>LRTRIM(CONCATENATE(IF(SUMPRODUCT(-- ISNUMBER(SEARCH({"Auto Number"}, $B170))) &gt; 0, $B170, IF(SUMPRODUCT(-- ISNUMBER(SEARCH({"Lookup","Master-Detail"}, $B170))) &gt; 0,$B170 &amp; "(" &amp; $E170 &amp; ")",IF(SUMPRODUCT(-- ISNUMBER(SEARCH({"Formula","Roll-Up Summary"}, $B170))) &gt; 0,$B170 &amp; " (" &amp; $E170 &amp; ")",IF(SUMPRODUCT(-- ISNUMBER(SEARCH({"Content","Currency","Number","Percent","Text","URL"}, $B170))) &gt; 0,$B170 &amp; "(" &amp; $C170 &amp; ")",$B170)))), "  ", TRIM(IF($S170 = "YES", "(External ID)", "") &amp; " " &amp; IF(SUMPRODUCT(-- ISNUMBER(SEARCH({"Unique","Unique Case Insensitive"}, $R170))) &gt; 0, "(" &amp; $R170 &amp; ")", ""))))</f>
        <v>na</v>
      </c>
      <c r="E170" s="7" t="s">
        <v>195</v>
      </c>
      <c r="F170" s="7" t="s">
        <v>195</v>
      </c>
      <c r="G170" s="7" t="s">
        <v>195</v>
      </c>
      <c r="H170" s="7" t="s">
        <v>195</v>
      </c>
      <c r="I170" s="7" t="s">
        <v>195</v>
      </c>
      <c r="J170" s="7" t="s">
        <v>195</v>
      </c>
      <c r="K170" s="7" t="s">
        <v>195</v>
      </c>
      <c r="L170" s="7" t="s">
        <v>195</v>
      </c>
      <c r="M170" s="7" t="s">
        <v>29</v>
      </c>
      <c r="N170" s="7" t="s">
        <v>29</v>
      </c>
      <c r="O170" s="7" t="s">
        <v>29</v>
      </c>
      <c r="P170" s="7" t="s">
        <v>29</v>
      </c>
      <c r="Q170" s="7" t="s">
        <v>29</v>
      </c>
      <c r="R170" s="7" t="s">
        <v>29</v>
      </c>
      <c r="S170" s="7" t="s">
        <v>29</v>
      </c>
    </row>
    <row r="171" spans="2:19">
      <c r="B171" s="7" t="s">
        <v>195</v>
      </c>
      <c r="C171" s="8" t="s">
        <v>195</v>
      </c>
      <c r="D171" s="5" t="str">
        <f>LRTRIM(CONCATENATE(IF(SUMPRODUCT(-- ISNUMBER(SEARCH({"Auto Number"}, $B171))) &gt; 0, $B171, IF(SUMPRODUCT(-- ISNUMBER(SEARCH({"Lookup","Master-Detail"}, $B171))) &gt; 0,$B171 &amp; "(" &amp; $E171 &amp; ")",IF(SUMPRODUCT(-- ISNUMBER(SEARCH({"Formula","Roll-Up Summary"}, $B171))) &gt; 0,$B171 &amp; " (" &amp; $E171 &amp; ")",IF(SUMPRODUCT(-- ISNUMBER(SEARCH({"Content","Currency","Number","Percent","Text","URL"}, $B171))) &gt; 0,$B171 &amp; "(" &amp; $C171 &amp; ")",$B171)))), "  ", TRIM(IF($S171 = "YES", "(External ID)", "") &amp; " " &amp; IF(SUMPRODUCT(-- ISNUMBER(SEARCH({"Unique","Unique Case Insensitive"}, $R171))) &gt; 0, "(" &amp; $R171 &amp; ")", ""))))</f>
        <v>na</v>
      </c>
      <c r="E171" s="7" t="s">
        <v>195</v>
      </c>
      <c r="F171" s="7" t="s">
        <v>195</v>
      </c>
      <c r="G171" s="7" t="s">
        <v>195</v>
      </c>
      <c r="H171" s="7" t="s">
        <v>195</v>
      </c>
      <c r="I171" s="7" t="s">
        <v>195</v>
      </c>
      <c r="J171" s="7" t="s">
        <v>195</v>
      </c>
      <c r="K171" s="7" t="s">
        <v>195</v>
      </c>
      <c r="L171" s="7" t="s">
        <v>195</v>
      </c>
      <c r="M171" s="7" t="s">
        <v>29</v>
      </c>
      <c r="N171" s="7" t="s">
        <v>29</v>
      </c>
      <c r="O171" s="7" t="s">
        <v>29</v>
      </c>
      <c r="P171" s="7" t="s">
        <v>29</v>
      </c>
      <c r="Q171" s="7" t="s">
        <v>29</v>
      </c>
      <c r="R171" s="7" t="s">
        <v>29</v>
      </c>
      <c r="S171" s="7" t="s">
        <v>29</v>
      </c>
    </row>
    <row r="172" spans="2:19">
      <c r="B172" s="7" t="s">
        <v>195</v>
      </c>
      <c r="C172" s="8" t="s">
        <v>195</v>
      </c>
      <c r="D172" s="5" t="str">
        <f>LRTRIM(CONCATENATE(IF(SUMPRODUCT(-- ISNUMBER(SEARCH({"Auto Number"}, $B172))) &gt; 0, $B172, IF(SUMPRODUCT(-- ISNUMBER(SEARCH({"Lookup","Master-Detail"}, $B172))) &gt; 0,$B172 &amp; "(" &amp; $E172 &amp; ")",IF(SUMPRODUCT(-- ISNUMBER(SEARCH({"Formula","Roll-Up Summary"}, $B172))) &gt; 0,$B172 &amp; " (" &amp; $E172 &amp; ")",IF(SUMPRODUCT(-- ISNUMBER(SEARCH({"Content","Currency","Number","Percent","Text","URL"}, $B172))) &gt; 0,$B172 &amp; "(" &amp; $C172 &amp; ")",$B172)))), "  ", TRIM(IF($S172 = "YES", "(External ID)", "") &amp; " " &amp; IF(SUMPRODUCT(-- ISNUMBER(SEARCH({"Unique","Unique Case Insensitive"}, $R172))) &gt; 0, "(" &amp; $R172 &amp; ")", ""))))</f>
        <v>na</v>
      </c>
      <c r="E172" s="7" t="s">
        <v>195</v>
      </c>
      <c r="F172" s="7" t="s">
        <v>195</v>
      </c>
      <c r="G172" s="7" t="s">
        <v>195</v>
      </c>
      <c r="H172" s="7" t="s">
        <v>195</v>
      </c>
      <c r="I172" s="7" t="s">
        <v>195</v>
      </c>
      <c r="J172" s="7" t="s">
        <v>195</v>
      </c>
      <c r="K172" s="7" t="s">
        <v>195</v>
      </c>
      <c r="L172" s="7" t="s">
        <v>195</v>
      </c>
      <c r="M172" s="7" t="s">
        <v>29</v>
      </c>
      <c r="N172" s="7" t="s">
        <v>29</v>
      </c>
      <c r="O172" s="7" t="s">
        <v>29</v>
      </c>
      <c r="P172" s="7" t="s">
        <v>29</v>
      </c>
      <c r="Q172" s="7" t="s">
        <v>29</v>
      </c>
      <c r="R172" s="7" t="s">
        <v>29</v>
      </c>
      <c r="S172" s="7" t="s">
        <v>29</v>
      </c>
    </row>
    <row r="173" spans="2:19">
      <c r="B173" s="7" t="s">
        <v>195</v>
      </c>
      <c r="C173" s="8" t="s">
        <v>195</v>
      </c>
      <c r="D173" s="5" t="str">
        <f>LRTRIM(CONCATENATE(IF(SUMPRODUCT(-- ISNUMBER(SEARCH({"Auto Number"}, $B173))) &gt; 0, $B173, IF(SUMPRODUCT(-- ISNUMBER(SEARCH({"Lookup","Master-Detail"}, $B173))) &gt; 0,$B173 &amp; "(" &amp; $E173 &amp; ")",IF(SUMPRODUCT(-- ISNUMBER(SEARCH({"Formula","Roll-Up Summary"}, $B173))) &gt; 0,$B173 &amp; " (" &amp; $E173 &amp; ")",IF(SUMPRODUCT(-- ISNUMBER(SEARCH({"Content","Currency","Number","Percent","Text","URL"}, $B173))) &gt; 0,$B173 &amp; "(" &amp; $C173 &amp; ")",$B173)))), "  ", TRIM(IF($S173 = "YES", "(External ID)", "") &amp; " " &amp; IF(SUMPRODUCT(-- ISNUMBER(SEARCH({"Unique","Unique Case Insensitive"}, $R173))) &gt; 0, "(" &amp; $R173 &amp; ")", ""))))</f>
        <v>na</v>
      </c>
      <c r="E173" s="7" t="s">
        <v>195</v>
      </c>
      <c r="F173" s="7" t="s">
        <v>195</v>
      </c>
      <c r="G173" s="7" t="s">
        <v>195</v>
      </c>
      <c r="H173" s="7" t="s">
        <v>195</v>
      </c>
      <c r="I173" s="7" t="s">
        <v>195</v>
      </c>
      <c r="J173" s="7" t="s">
        <v>195</v>
      </c>
      <c r="K173" s="7" t="s">
        <v>195</v>
      </c>
      <c r="L173" s="7" t="s">
        <v>195</v>
      </c>
      <c r="M173" s="7" t="s">
        <v>29</v>
      </c>
      <c r="N173" s="7" t="s">
        <v>29</v>
      </c>
      <c r="O173" s="7" t="s">
        <v>29</v>
      </c>
      <c r="P173" s="7" t="s">
        <v>29</v>
      </c>
      <c r="Q173" s="7" t="s">
        <v>29</v>
      </c>
      <c r="R173" s="7" t="s">
        <v>29</v>
      </c>
      <c r="S173" s="7" t="s">
        <v>29</v>
      </c>
    </row>
    <row r="174" spans="2:19">
      <c r="B174" s="7" t="s">
        <v>195</v>
      </c>
      <c r="C174" s="8" t="s">
        <v>195</v>
      </c>
      <c r="D174" s="5" t="str">
        <f>LRTRIM(CONCATENATE(IF(SUMPRODUCT(-- ISNUMBER(SEARCH({"Auto Number"}, $B174))) &gt; 0, $B174, IF(SUMPRODUCT(-- ISNUMBER(SEARCH({"Lookup","Master-Detail"}, $B174))) &gt; 0,$B174 &amp; "(" &amp; $E174 &amp; ")",IF(SUMPRODUCT(-- ISNUMBER(SEARCH({"Formula","Roll-Up Summary"}, $B174))) &gt; 0,$B174 &amp; " (" &amp; $E174 &amp; ")",IF(SUMPRODUCT(-- ISNUMBER(SEARCH({"Content","Currency","Number","Percent","Text","URL"}, $B174))) &gt; 0,$B174 &amp; "(" &amp; $C174 &amp; ")",$B174)))), "  ", TRIM(IF($S174 = "YES", "(External ID)", "") &amp; " " &amp; IF(SUMPRODUCT(-- ISNUMBER(SEARCH({"Unique","Unique Case Insensitive"}, $R174))) &gt; 0, "(" &amp; $R174 &amp; ")", ""))))</f>
        <v>na</v>
      </c>
      <c r="E174" s="7" t="s">
        <v>195</v>
      </c>
      <c r="F174" s="7" t="s">
        <v>195</v>
      </c>
      <c r="G174" s="7" t="s">
        <v>195</v>
      </c>
      <c r="H174" s="7" t="s">
        <v>195</v>
      </c>
      <c r="I174" s="7" t="s">
        <v>195</v>
      </c>
      <c r="J174" s="7" t="s">
        <v>195</v>
      </c>
      <c r="K174" s="7" t="s">
        <v>195</v>
      </c>
      <c r="L174" s="7" t="s">
        <v>195</v>
      </c>
      <c r="M174" s="7" t="s">
        <v>29</v>
      </c>
      <c r="N174" s="7" t="s">
        <v>29</v>
      </c>
      <c r="O174" s="7" t="s">
        <v>29</v>
      </c>
      <c r="P174" s="7" t="s">
        <v>29</v>
      </c>
      <c r="Q174" s="7" t="s">
        <v>29</v>
      </c>
      <c r="R174" s="7" t="s">
        <v>29</v>
      </c>
      <c r="S174" s="7" t="s">
        <v>29</v>
      </c>
    </row>
    <row r="175" spans="2:19">
      <c r="B175" s="7" t="s">
        <v>195</v>
      </c>
      <c r="C175" s="8" t="s">
        <v>195</v>
      </c>
      <c r="D175" s="5" t="str">
        <f>LRTRIM(CONCATENATE(IF(SUMPRODUCT(-- ISNUMBER(SEARCH({"Auto Number"}, $B175))) &gt; 0, $B175, IF(SUMPRODUCT(-- ISNUMBER(SEARCH({"Lookup","Master-Detail"}, $B175))) &gt; 0,$B175 &amp; "(" &amp; $E175 &amp; ")",IF(SUMPRODUCT(-- ISNUMBER(SEARCH({"Formula","Roll-Up Summary"}, $B175))) &gt; 0,$B175 &amp; " (" &amp; $E175 &amp; ")",IF(SUMPRODUCT(-- ISNUMBER(SEARCH({"Content","Currency","Number","Percent","Text","URL"}, $B175))) &gt; 0,$B175 &amp; "(" &amp; $C175 &amp; ")",$B175)))), "  ", TRIM(IF($S175 = "YES", "(External ID)", "") &amp; " " &amp; IF(SUMPRODUCT(-- ISNUMBER(SEARCH({"Unique","Unique Case Insensitive"}, $R175))) &gt; 0, "(" &amp; $R175 &amp; ")", ""))))</f>
        <v>na</v>
      </c>
      <c r="E175" s="7" t="s">
        <v>195</v>
      </c>
      <c r="F175" s="7" t="s">
        <v>195</v>
      </c>
      <c r="G175" s="7" t="s">
        <v>195</v>
      </c>
      <c r="H175" s="7" t="s">
        <v>195</v>
      </c>
      <c r="I175" s="7" t="s">
        <v>195</v>
      </c>
      <c r="J175" s="7" t="s">
        <v>195</v>
      </c>
      <c r="K175" s="7" t="s">
        <v>195</v>
      </c>
      <c r="L175" s="7" t="s">
        <v>195</v>
      </c>
      <c r="M175" s="7" t="s">
        <v>29</v>
      </c>
      <c r="N175" s="7" t="s">
        <v>29</v>
      </c>
      <c r="O175" s="7" t="s">
        <v>29</v>
      </c>
      <c r="P175" s="7" t="s">
        <v>29</v>
      </c>
      <c r="Q175" s="7" t="s">
        <v>29</v>
      </c>
      <c r="R175" s="7" t="s">
        <v>29</v>
      </c>
      <c r="S175" s="7" t="s">
        <v>29</v>
      </c>
    </row>
    <row r="176" spans="2:19">
      <c r="B176" s="7" t="s">
        <v>195</v>
      </c>
      <c r="C176" s="8" t="s">
        <v>195</v>
      </c>
      <c r="D176" s="5" t="str">
        <f>LRTRIM(CONCATENATE(IF(SUMPRODUCT(-- ISNUMBER(SEARCH({"Auto Number"}, $B176))) &gt; 0, $B176, IF(SUMPRODUCT(-- ISNUMBER(SEARCH({"Lookup","Master-Detail"}, $B176))) &gt; 0,$B176 &amp; "(" &amp; $E176 &amp; ")",IF(SUMPRODUCT(-- ISNUMBER(SEARCH({"Formula","Roll-Up Summary"}, $B176))) &gt; 0,$B176 &amp; " (" &amp; $E176 &amp; ")",IF(SUMPRODUCT(-- ISNUMBER(SEARCH({"Content","Currency","Number","Percent","Text","URL"}, $B176))) &gt; 0,$B176 &amp; "(" &amp; $C176 &amp; ")",$B176)))), "  ", TRIM(IF($S176 = "YES", "(External ID)", "") &amp; " " &amp; IF(SUMPRODUCT(-- ISNUMBER(SEARCH({"Unique","Unique Case Insensitive"}, $R176))) &gt; 0, "(" &amp; $R176 &amp; ")", ""))))</f>
        <v>na</v>
      </c>
      <c r="E176" s="7" t="s">
        <v>195</v>
      </c>
      <c r="F176" s="7" t="s">
        <v>195</v>
      </c>
      <c r="G176" s="7" t="s">
        <v>195</v>
      </c>
      <c r="H176" s="7" t="s">
        <v>195</v>
      </c>
      <c r="I176" s="7" t="s">
        <v>195</v>
      </c>
      <c r="J176" s="7" t="s">
        <v>195</v>
      </c>
      <c r="K176" s="7" t="s">
        <v>195</v>
      </c>
      <c r="L176" s="7" t="s">
        <v>195</v>
      </c>
      <c r="M176" s="7" t="s">
        <v>29</v>
      </c>
      <c r="N176" s="7" t="s">
        <v>29</v>
      </c>
      <c r="O176" s="7" t="s">
        <v>29</v>
      </c>
      <c r="P176" s="7" t="s">
        <v>29</v>
      </c>
      <c r="Q176" s="7" t="s">
        <v>29</v>
      </c>
      <c r="R176" s="7" t="s">
        <v>29</v>
      </c>
      <c r="S176" s="7" t="s">
        <v>29</v>
      </c>
    </row>
    <row r="177" spans="2:19">
      <c r="B177" s="7" t="s">
        <v>195</v>
      </c>
      <c r="C177" s="8" t="s">
        <v>195</v>
      </c>
      <c r="D177" s="5" t="str">
        <f>LRTRIM(CONCATENATE(IF(SUMPRODUCT(-- ISNUMBER(SEARCH({"Auto Number"}, $B177))) &gt; 0, $B177, IF(SUMPRODUCT(-- ISNUMBER(SEARCH({"Lookup","Master-Detail"}, $B177))) &gt; 0,$B177 &amp; "(" &amp; $E177 &amp; ")",IF(SUMPRODUCT(-- ISNUMBER(SEARCH({"Formula","Roll-Up Summary"}, $B177))) &gt; 0,$B177 &amp; " (" &amp; $E177 &amp; ")",IF(SUMPRODUCT(-- ISNUMBER(SEARCH({"Content","Currency","Number","Percent","Text","URL"}, $B177))) &gt; 0,$B177 &amp; "(" &amp; $C177 &amp; ")",$B177)))), "  ", TRIM(IF($S177 = "YES", "(External ID)", "") &amp; " " &amp; IF(SUMPRODUCT(-- ISNUMBER(SEARCH({"Unique","Unique Case Insensitive"}, $R177))) &gt; 0, "(" &amp; $R177 &amp; ")", ""))))</f>
        <v>na</v>
      </c>
      <c r="E177" s="7" t="s">
        <v>195</v>
      </c>
      <c r="F177" s="7" t="s">
        <v>195</v>
      </c>
      <c r="G177" s="7" t="s">
        <v>195</v>
      </c>
      <c r="H177" s="7" t="s">
        <v>195</v>
      </c>
      <c r="I177" s="7" t="s">
        <v>195</v>
      </c>
      <c r="J177" s="7" t="s">
        <v>195</v>
      </c>
      <c r="K177" s="7" t="s">
        <v>195</v>
      </c>
      <c r="L177" s="7" t="s">
        <v>195</v>
      </c>
      <c r="M177" s="7" t="s">
        <v>29</v>
      </c>
      <c r="N177" s="7" t="s">
        <v>29</v>
      </c>
      <c r="O177" s="7" t="s">
        <v>29</v>
      </c>
      <c r="P177" s="7" t="s">
        <v>29</v>
      </c>
      <c r="Q177" s="7" t="s">
        <v>29</v>
      </c>
      <c r="R177" s="7" t="s">
        <v>29</v>
      </c>
      <c r="S177" s="7" t="s">
        <v>29</v>
      </c>
    </row>
    <row r="178" spans="2:19">
      <c r="B178" s="7" t="s">
        <v>195</v>
      </c>
      <c r="C178" s="8" t="s">
        <v>195</v>
      </c>
      <c r="D178" s="5" t="str">
        <f>LRTRIM(CONCATENATE(IF(SUMPRODUCT(-- ISNUMBER(SEARCH({"Auto Number"}, $B178))) &gt; 0, $B178, IF(SUMPRODUCT(-- ISNUMBER(SEARCH({"Lookup","Master-Detail"}, $B178))) &gt; 0,$B178 &amp; "(" &amp; $E178 &amp; ")",IF(SUMPRODUCT(-- ISNUMBER(SEARCH({"Formula","Roll-Up Summary"}, $B178))) &gt; 0,$B178 &amp; " (" &amp; $E178 &amp; ")",IF(SUMPRODUCT(-- ISNUMBER(SEARCH({"Content","Currency","Number","Percent","Text","URL"}, $B178))) &gt; 0,$B178 &amp; "(" &amp; $C178 &amp; ")",$B178)))), "  ", TRIM(IF($S178 = "YES", "(External ID)", "") &amp; " " &amp; IF(SUMPRODUCT(-- ISNUMBER(SEARCH({"Unique","Unique Case Insensitive"}, $R178))) &gt; 0, "(" &amp; $R178 &amp; ")", ""))))</f>
        <v>na</v>
      </c>
      <c r="E178" s="7" t="s">
        <v>195</v>
      </c>
      <c r="F178" s="7" t="s">
        <v>195</v>
      </c>
      <c r="G178" s="7" t="s">
        <v>195</v>
      </c>
      <c r="H178" s="7" t="s">
        <v>195</v>
      </c>
      <c r="I178" s="7" t="s">
        <v>195</v>
      </c>
      <c r="J178" s="7" t="s">
        <v>195</v>
      </c>
      <c r="K178" s="7" t="s">
        <v>195</v>
      </c>
      <c r="L178" s="7" t="s">
        <v>195</v>
      </c>
      <c r="M178" s="7" t="s">
        <v>29</v>
      </c>
      <c r="N178" s="7" t="s">
        <v>29</v>
      </c>
      <c r="O178" s="7" t="s">
        <v>29</v>
      </c>
      <c r="P178" s="7" t="s">
        <v>29</v>
      </c>
      <c r="Q178" s="7" t="s">
        <v>29</v>
      </c>
      <c r="R178" s="7" t="s">
        <v>29</v>
      </c>
      <c r="S178" s="7" t="s">
        <v>29</v>
      </c>
    </row>
    <row r="179" spans="2:19">
      <c r="B179" s="7" t="s">
        <v>195</v>
      </c>
      <c r="C179" s="8" t="s">
        <v>195</v>
      </c>
      <c r="D179" s="5" t="str">
        <f>LRTRIM(CONCATENATE(IF(SUMPRODUCT(-- ISNUMBER(SEARCH({"Auto Number"}, $B179))) &gt; 0, $B179, IF(SUMPRODUCT(-- ISNUMBER(SEARCH({"Lookup","Master-Detail"}, $B179))) &gt; 0,$B179 &amp; "(" &amp; $E179 &amp; ")",IF(SUMPRODUCT(-- ISNUMBER(SEARCH({"Formula","Roll-Up Summary"}, $B179))) &gt; 0,$B179 &amp; " (" &amp; $E179 &amp; ")",IF(SUMPRODUCT(-- ISNUMBER(SEARCH({"Content","Currency","Number","Percent","Text","URL"}, $B179))) &gt; 0,$B179 &amp; "(" &amp; $C179 &amp; ")",$B179)))), "  ", TRIM(IF($S179 = "YES", "(External ID)", "") &amp; " " &amp; IF(SUMPRODUCT(-- ISNUMBER(SEARCH({"Unique","Unique Case Insensitive"}, $R179))) &gt; 0, "(" &amp; $R179 &amp; ")", ""))))</f>
        <v>na</v>
      </c>
      <c r="E179" s="7" t="s">
        <v>195</v>
      </c>
      <c r="F179" s="7" t="s">
        <v>195</v>
      </c>
      <c r="G179" s="7" t="s">
        <v>195</v>
      </c>
      <c r="H179" s="7" t="s">
        <v>195</v>
      </c>
      <c r="I179" s="7" t="s">
        <v>195</v>
      </c>
      <c r="J179" s="7" t="s">
        <v>195</v>
      </c>
      <c r="K179" s="7" t="s">
        <v>195</v>
      </c>
      <c r="L179" s="7" t="s">
        <v>195</v>
      </c>
      <c r="M179" s="7" t="s">
        <v>29</v>
      </c>
      <c r="N179" s="7" t="s">
        <v>29</v>
      </c>
      <c r="O179" s="7" t="s">
        <v>29</v>
      </c>
      <c r="P179" s="7" t="s">
        <v>29</v>
      </c>
      <c r="Q179" s="7" t="s">
        <v>29</v>
      </c>
      <c r="R179" s="7" t="s">
        <v>29</v>
      </c>
      <c r="S179" s="7" t="s">
        <v>29</v>
      </c>
    </row>
    <row r="180" spans="2:19">
      <c r="B180" s="7" t="s">
        <v>195</v>
      </c>
      <c r="C180" s="8" t="s">
        <v>195</v>
      </c>
      <c r="D180" s="5" t="str">
        <f>LRTRIM(CONCATENATE(IF(SUMPRODUCT(-- ISNUMBER(SEARCH({"Auto Number"}, $B180))) &gt; 0, $B180, IF(SUMPRODUCT(-- ISNUMBER(SEARCH({"Lookup","Master-Detail"}, $B180))) &gt; 0,$B180 &amp; "(" &amp; $E180 &amp; ")",IF(SUMPRODUCT(-- ISNUMBER(SEARCH({"Formula","Roll-Up Summary"}, $B180))) &gt; 0,$B180 &amp; " (" &amp; $E180 &amp; ")",IF(SUMPRODUCT(-- ISNUMBER(SEARCH({"Content","Currency","Number","Percent","Text","URL"}, $B180))) &gt; 0,$B180 &amp; "(" &amp; $C180 &amp; ")",$B180)))), "  ", TRIM(IF($S180 = "YES", "(External ID)", "") &amp; " " &amp; IF(SUMPRODUCT(-- ISNUMBER(SEARCH({"Unique","Unique Case Insensitive"}, $R180))) &gt; 0, "(" &amp; $R180 &amp; ")", ""))))</f>
        <v>na</v>
      </c>
      <c r="E180" s="7" t="s">
        <v>195</v>
      </c>
      <c r="F180" s="7" t="s">
        <v>195</v>
      </c>
      <c r="G180" s="7" t="s">
        <v>195</v>
      </c>
      <c r="H180" s="7" t="s">
        <v>195</v>
      </c>
      <c r="I180" s="7" t="s">
        <v>195</v>
      </c>
      <c r="J180" s="7" t="s">
        <v>195</v>
      </c>
      <c r="K180" s="7" t="s">
        <v>195</v>
      </c>
      <c r="L180" s="7" t="s">
        <v>195</v>
      </c>
      <c r="M180" s="7" t="s">
        <v>29</v>
      </c>
      <c r="N180" s="7" t="s">
        <v>29</v>
      </c>
      <c r="O180" s="7" t="s">
        <v>29</v>
      </c>
      <c r="P180" s="7" t="s">
        <v>29</v>
      </c>
      <c r="Q180" s="7" t="s">
        <v>29</v>
      </c>
      <c r="R180" s="7" t="s">
        <v>29</v>
      </c>
      <c r="S180" s="7" t="s">
        <v>29</v>
      </c>
    </row>
    <row r="181" spans="2:19">
      <c r="B181" s="7" t="s">
        <v>195</v>
      </c>
      <c r="C181" s="8" t="s">
        <v>195</v>
      </c>
      <c r="D181" s="5" t="str">
        <f>LRTRIM(CONCATENATE(IF(SUMPRODUCT(-- ISNUMBER(SEARCH({"Auto Number"}, $B181))) &gt; 0, $B181, IF(SUMPRODUCT(-- ISNUMBER(SEARCH({"Lookup","Master-Detail"}, $B181))) &gt; 0,$B181 &amp; "(" &amp; $E181 &amp; ")",IF(SUMPRODUCT(-- ISNUMBER(SEARCH({"Formula","Roll-Up Summary"}, $B181))) &gt; 0,$B181 &amp; " (" &amp; $E181 &amp; ")",IF(SUMPRODUCT(-- ISNUMBER(SEARCH({"Content","Currency","Number","Percent","Text","URL"}, $B181))) &gt; 0,$B181 &amp; "(" &amp; $C181 &amp; ")",$B181)))), "  ", TRIM(IF($S181 = "YES", "(External ID)", "") &amp; " " &amp; IF(SUMPRODUCT(-- ISNUMBER(SEARCH({"Unique","Unique Case Insensitive"}, $R181))) &gt; 0, "(" &amp; $R181 &amp; ")", ""))))</f>
        <v>na</v>
      </c>
      <c r="E181" s="7" t="s">
        <v>195</v>
      </c>
      <c r="F181" s="7" t="s">
        <v>195</v>
      </c>
      <c r="G181" s="7" t="s">
        <v>195</v>
      </c>
      <c r="H181" s="7" t="s">
        <v>195</v>
      </c>
      <c r="I181" s="7" t="s">
        <v>195</v>
      </c>
      <c r="J181" s="7" t="s">
        <v>195</v>
      </c>
      <c r="K181" s="7" t="s">
        <v>195</v>
      </c>
      <c r="L181" s="7" t="s">
        <v>195</v>
      </c>
      <c r="M181" s="7" t="s">
        <v>29</v>
      </c>
      <c r="N181" s="7" t="s">
        <v>29</v>
      </c>
      <c r="O181" s="7" t="s">
        <v>29</v>
      </c>
      <c r="P181" s="7" t="s">
        <v>29</v>
      </c>
      <c r="Q181" s="7" t="s">
        <v>29</v>
      </c>
      <c r="R181" s="7" t="s">
        <v>29</v>
      </c>
      <c r="S181" s="7" t="s">
        <v>29</v>
      </c>
    </row>
    <row r="182" spans="2:19">
      <c r="B182" s="7" t="s">
        <v>195</v>
      </c>
      <c r="C182" s="8" t="s">
        <v>195</v>
      </c>
      <c r="D182" s="5" t="str">
        <f>LRTRIM(CONCATENATE(IF(SUMPRODUCT(-- ISNUMBER(SEARCH({"Auto Number"}, $B182))) &gt; 0, $B182, IF(SUMPRODUCT(-- ISNUMBER(SEARCH({"Lookup","Master-Detail"}, $B182))) &gt; 0,$B182 &amp; "(" &amp; $E182 &amp; ")",IF(SUMPRODUCT(-- ISNUMBER(SEARCH({"Formula","Roll-Up Summary"}, $B182))) &gt; 0,$B182 &amp; " (" &amp; $E182 &amp; ")",IF(SUMPRODUCT(-- ISNUMBER(SEARCH({"Content","Currency","Number","Percent","Text","URL"}, $B182))) &gt; 0,$B182 &amp; "(" &amp; $C182 &amp; ")",$B182)))), "  ", TRIM(IF($S182 = "YES", "(External ID)", "") &amp; " " &amp; IF(SUMPRODUCT(-- ISNUMBER(SEARCH({"Unique","Unique Case Insensitive"}, $R182))) &gt; 0, "(" &amp; $R182 &amp; ")", ""))))</f>
        <v>na</v>
      </c>
      <c r="E182" s="7" t="s">
        <v>195</v>
      </c>
      <c r="F182" s="7" t="s">
        <v>195</v>
      </c>
      <c r="G182" s="7" t="s">
        <v>195</v>
      </c>
      <c r="H182" s="7" t="s">
        <v>195</v>
      </c>
      <c r="I182" s="7" t="s">
        <v>195</v>
      </c>
      <c r="J182" s="7" t="s">
        <v>195</v>
      </c>
      <c r="K182" s="7" t="s">
        <v>195</v>
      </c>
      <c r="L182" s="7" t="s">
        <v>195</v>
      </c>
      <c r="M182" s="7" t="s">
        <v>29</v>
      </c>
      <c r="N182" s="7" t="s">
        <v>29</v>
      </c>
      <c r="O182" s="7" t="s">
        <v>29</v>
      </c>
      <c r="P182" s="7" t="s">
        <v>29</v>
      </c>
      <c r="Q182" s="7" t="s">
        <v>29</v>
      </c>
      <c r="R182" s="7" t="s">
        <v>29</v>
      </c>
      <c r="S182" s="7" t="s">
        <v>29</v>
      </c>
    </row>
    <row r="183" spans="2:19">
      <c r="B183" s="7" t="s">
        <v>195</v>
      </c>
      <c r="C183" s="8" t="s">
        <v>195</v>
      </c>
      <c r="D183" s="5" t="str">
        <f>LRTRIM(CONCATENATE(IF(SUMPRODUCT(-- ISNUMBER(SEARCH({"Auto Number"}, $B183))) &gt; 0, $B183, IF(SUMPRODUCT(-- ISNUMBER(SEARCH({"Lookup","Master-Detail"}, $B183))) &gt; 0,$B183 &amp; "(" &amp; $E183 &amp; ")",IF(SUMPRODUCT(-- ISNUMBER(SEARCH({"Formula","Roll-Up Summary"}, $B183))) &gt; 0,$B183 &amp; " (" &amp; $E183 &amp; ")",IF(SUMPRODUCT(-- ISNUMBER(SEARCH({"Content","Currency","Number","Percent","Text","URL"}, $B183))) &gt; 0,$B183 &amp; "(" &amp; $C183 &amp; ")",$B183)))), "  ", TRIM(IF($S183 = "YES", "(External ID)", "") &amp; " " &amp; IF(SUMPRODUCT(-- ISNUMBER(SEARCH({"Unique","Unique Case Insensitive"}, $R183))) &gt; 0, "(" &amp; $R183 &amp; ")", ""))))</f>
        <v>na</v>
      </c>
      <c r="E183" s="7" t="s">
        <v>195</v>
      </c>
      <c r="F183" s="7" t="s">
        <v>195</v>
      </c>
      <c r="G183" s="7" t="s">
        <v>195</v>
      </c>
      <c r="H183" s="7" t="s">
        <v>195</v>
      </c>
      <c r="I183" s="7" t="s">
        <v>195</v>
      </c>
      <c r="J183" s="7" t="s">
        <v>195</v>
      </c>
      <c r="K183" s="7" t="s">
        <v>195</v>
      </c>
      <c r="L183" s="7" t="s">
        <v>195</v>
      </c>
      <c r="M183" s="7" t="s">
        <v>29</v>
      </c>
      <c r="N183" s="7" t="s">
        <v>29</v>
      </c>
      <c r="O183" s="7" t="s">
        <v>29</v>
      </c>
      <c r="P183" s="7" t="s">
        <v>29</v>
      </c>
      <c r="Q183" s="7" t="s">
        <v>29</v>
      </c>
      <c r="R183" s="7" t="s">
        <v>29</v>
      </c>
      <c r="S183" s="7" t="s">
        <v>29</v>
      </c>
    </row>
    <row r="184" spans="2:19">
      <c r="B184" s="7" t="s">
        <v>195</v>
      </c>
      <c r="C184" s="8" t="s">
        <v>195</v>
      </c>
      <c r="D184" s="5" t="str">
        <f>LRTRIM(CONCATENATE(IF(SUMPRODUCT(-- ISNUMBER(SEARCH({"Auto Number"}, $B184))) &gt; 0, $B184, IF(SUMPRODUCT(-- ISNUMBER(SEARCH({"Lookup","Master-Detail"}, $B184))) &gt; 0,$B184 &amp; "(" &amp; $E184 &amp; ")",IF(SUMPRODUCT(-- ISNUMBER(SEARCH({"Formula","Roll-Up Summary"}, $B184))) &gt; 0,$B184 &amp; " (" &amp; $E184 &amp; ")",IF(SUMPRODUCT(-- ISNUMBER(SEARCH({"Content","Currency","Number","Percent","Text","URL"}, $B184))) &gt; 0,$B184 &amp; "(" &amp; $C184 &amp; ")",$B184)))), "  ", TRIM(IF($S184 = "YES", "(External ID)", "") &amp; " " &amp; IF(SUMPRODUCT(-- ISNUMBER(SEARCH({"Unique","Unique Case Insensitive"}, $R184))) &gt; 0, "(" &amp; $R184 &amp; ")", ""))))</f>
        <v>na</v>
      </c>
      <c r="E184" s="7" t="s">
        <v>195</v>
      </c>
      <c r="F184" s="7" t="s">
        <v>195</v>
      </c>
      <c r="G184" s="7" t="s">
        <v>195</v>
      </c>
      <c r="H184" s="7" t="s">
        <v>195</v>
      </c>
      <c r="I184" s="7" t="s">
        <v>195</v>
      </c>
      <c r="J184" s="7" t="s">
        <v>195</v>
      </c>
      <c r="K184" s="7" t="s">
        <v>195</v>
      </c>
      <c r="L184" s="7" t="s">
        <v>195</v>
      </c>
      <c r="M184" s="7" t="s">
        <v>29</v>
      </c>
      <c r="N184" s="7" t="s">
        <v>29</v>
      </c>
      <c r="O184" s="7" t="s">
        <v>29</v>
      </c>
      <c r="P184" s="7" t="s">
        <v>29</v>
      </c>
      <c r="Q184" s="7" t="s">
        <v>29</v>
      </c>
      <c r="R184" s="7" t="s">
        <v>29</v>
      </c>
      <c r="S184" s="7" t="s">
        <v>29</v>
      </c>
    </row>
    <row r="185" spans="2:19">
      <c r="B185" s="7" t="s">
        <v>195</v>
      </c>
      <c r="C185" s="8" t="s">
        <v>195</v>
      </c>
      <c r="D185" s="5" t="str">
        <f>LRTRIM(CONCATENATE(IF(SUMPRODUCT(-- ISNUMBER(SEARCH({"Auto Number"}, $B185))) &gt; 0, $B185, IF(SUMPRODUCT(-- ISNUMBER(SEARCH({"Lookup","Master-Detail"}, $B185))) &gt; 0,$B185 &amp; "(" &amp; $E185 &amp; ")",IF(SUMPRODUCT(-- ISNUMBER(SEARCH({"Formula","Roll-Up Summary"}, $B185))) &gt; 0,$B185 &amp; " (" &amp; $E185 &amp; ")",IF(SUMPRODUCT(-- ISNUMBER(SEARCH({"Content","Currency","Number","Percent","Text","URL"}, $B185))) &gt; 0,$B185 &amp; "(" &amp; $C185 &amp; ")",$B185)))), "  ", TRIM(IF($S185 = "YES", "(External ID)", "") &amp; " " &amp; IF(SUMPRODUCT(-- ISNUMBER(SEARCH({"Unique","Unique Case Insensitive"}, $R185))) &gt; 0, "(" &amp; $R185 &amp; ")", ""))))</f>
        <v>na</v>
      </c>
      <c r="E185" s="7" t="s">
        <v>195</v>
      </c>
      <c r="F185" s="7" t="s">
        <v>195</v>
      </c>
      <c r="G185" s="7" t="s">
        <v>195</v>
      </c>
      <c r="H185" s="7" t="s">
        <v>195</v>
      </c>
      <c r="I185" s="7" t="s">
        <v>195</v>
      </c>
      <c r="J185" s="7" t="s">
        <v>195</v>
      </c>
      <c r="K185" s="7" t="s">
        <v>195</v>
      </c>
      <c r="L185" s="7" t="s">
        <v>195</v>
      </c>
      <c r="M185" s="7" t="s">
        <v>29</v>
      </c>
      <c r="N185" s="7" t="s">
        <v>29</v>
      </c>
      <c r="O185" s="7" t="s">
        <v>29</v>
      </c>
      <c r="P185" s="7" t="s">
        <v>29</v>
      </c>
      <c r="Q185" s="7" t="s">
        <v>29</v>
      </c>
      <c r="R185" s="7" t="s">
        <v>29</v>
      </c>
      <c r="S185" s="7" t="s">
        <v>29</v>
      </c>
    </row>
    <row r="186" spans="2:19">
      <c r="B186" s="7" t="s">
        <v>195</v>
      </c>
      <c r="C186" s="8" t="s">
        <v>195</v>
      </c>
      <c r="D186" s="5" t="str">
        <f>LRTRIM(CONCATENATE(IF(SUMPRODUCT(-- ISNUMBER(SEARCH({"Auto Number"}, $B186))) &gt; 0, $B186, IF(SUMPRODUCT(-- ISNUMBER(SEARCH({"Lookup","Master-Detail"}, $B186))) &gt; 0,$B186 &amp; "(" &amp; $E186 &amp; ")",IF(SUMPRODUCT(-- ISNUMBER(SEARCH({"Formula","Roll-Up Summary"}, $B186))) &gt; 0,$B186 &amp; " (" &amp; $E186 &amp; ")",IF(SUMPRODUCT(-- ISNUMBER(SEARCH({"Content","Currency","Number","Percent","Text","URL"}, $B186))) &gt; 0,$B186 &amp; "(" &amp; $C186 &amp; ")",$B186)))), "  ", TRIM(IF($S186 = "YES", "(External ID)", "") &amp; " " &amp; IF(SUMPRODUCT(-- ISNUMBER(SEARCH({"Unique","Unique Case Insensitive"}, $R186))) &gt; 0, "(" &amp; $R186 &amp; ")", ""))))</f>
        <v>na</v>
      </c>
      <c r="E186" s="7" t="s">
        <v>195</v>
      </c>
      <c r="F186" s="7" t="s">
        <v>195</v>
      </c>
      <c r="G186" s="7" t="s">
        <v>195</v>
      </c>
      <c r="H186" s="7" t="s">
        <v>195</v>
      </c>
      <c r="I186" s="7" t="s">
        <v>195</v>
      </c>
      <c r="J186" s="7" t="s">
        <v>195</v>
      </c>
      <c r="K186" s="7" t="s">
        <v>195</v>
      </c>
      <c r="L186" s="7" t="s">
        <v>195</v>
      </c>
      <c r="M186" s="7" t="s">
        <v>29</v>
      </c>
      <c r="N186" s="7" t="s">
        <v>29</v>
      </c>
      <c r="O186" s="7" t="s">
        <v>29</v>
      </c>
      <c r="P186" s="7" t="s">
        <v>29</v>
      </c>
      <c r="Q186" s="7" t="s">
        <v>29</v>
      </c>
      <c r="R186" s="7" t="s">
        <v>29</v>
      </c>
      <c r="S186" s="7" t="s">
        <v>29</v>
      </c>
    </row>
    <row r="187" spans="2:19">
      <c r="B187" s="7" t="s">
        <v>195</v>
      </c>
      <c r="C187" s="8" t="s">
        <v>195</v>
      </c>
      <c r="D187" s="5" t="str">
        <f>LRTRIM(CONCATENATE(IF(SUMPRODUCT(-- ISNUMBER(SEARCH({"Auto Number"}, $B187))) &gt; 0, $B187, IF(SUMPRODUCT(-- ISNUMBER(SEARCH({"Lookup","Master-Detail"}, $B187))) &gt; 0,$B187 &amp; "(" &amp; $E187 &amp; ")",IF(SUMPRODUCT(-- ISNUMBER(SEARCH({"Formula","Roll-Up Summary"}, $B187))) &gt; 0,$B187 &amp; " (" &amp; $E187 &amp; ")",IF(SUMPRODUCT(-- ISNUMBER(SEARCH({"Content","Currency","Number","Percent","Text","URL"}, $B187))) &gt; 0,$B187 &amp; "(" &amp; $C187 &amp; ")",$B187)))), "  ", TRIM(IF($S187 = "YES", "(External ID)", "") &amp; " " &amp; IF(SUMPRODUCT(-- ISNUMBER(SEARCH({"Unique","Unique Case Insensitive"}, $R187))) &gt; 0, "(" &amp; $R187 &amp; ")", ""))))</f>
        <v>na</v>
      </c>
      <c r="E187" s="7" t="s">
        <v>195</v>
      </c>
      <c r="F187" s="7" t="s">
        <v>195</v>
      </c>
      <c r="G187" s="7" t="s">
        <v>195</v>
      </c>
      <c r="H187" s="7" t="s">
        <v>195</v>
      </c>
      <c r="I187" s="7" t="s">
        <v>195</v>
      </c>
      <c r="J187" s="7" t="s">
        <v>195</v>
      </c>
      <c r="K187" s="7" t="s">
        <v>195</v>
      </c>
      <c r="L187" s="7" t="s">
        <v>195</v>
      </c>
      <c r="M187" s="7" t="s">
        <v>29</v>
      </c>
      <c r="N187" s="7" t="s">
        <v>29</v>
      </c>
      <c r="O187" s="7" t="s">
        <v>29</v>
      </c>
      <c r="P187" s="7" t="s">
        <v>29</v>
      </c>
      <c r="Q187" s="7" t="s">
        <v>29</v>
      </c>
      <c r="R187" s="7" t="s">
        <v>29</v>
      </c>
      <c r="S187" s="7" t="s">
        <v>29</v>
      </c>
    </row>
    <row r="188" spans="2:19">
      <c r="B188" s="7" t="s">
        <v>195</v>
      </c>
      <c r="C188" s="8" t="s">
        <v>195</v>
      </c>
      <c r="D188" s="5" t="str">
        <f>LRTRIM(CONCATENATE(IF(SUMPRODUCT(-- ISNUMBER(SEARCH({"Auto Number"}, $B188))) &gt; 0, $B188, IF(SUMPRODUCT(-- ISNUMBER(SEARCH({"Lookup","Master-Detail"}, $B188))) &gt; 0,$B188 &amp; "(" &amp; $E188 &amp; ")",IF(SUMPRODUCT(-- ISNUMBER(SEARCH({"Formula","Roll-Up Summary"}, $B188))) &gt; 0,$B188 &amp; " (" &amp; $E188 &amp; ")",IF(SUMPRODUCT(-- ISNUMBER(SEARCH({"Content","Currency","Number","Percent","Text","URL"}, $B188))) &gt; 0,$B188 &amp; "(" &amp; $C188 &amp; ")",$B188)))), "  ", TRIM(IF($S188 = "YES", "(External ID)", "") &amp; " " &amp; IF(SUMPRODUCT(-- ISNUMBER(SEARCH({"Unique","Unique Case Insensitive"}, $R188))) &gt; 0, "(" &amp; $R188 &amp; ")", ""))))</f>
        <v>na</v>
      </c>
      <c r="E188" s="7" t="s">
        <v>195</v>
      </c>
      <c r="F188" s="7" t="s">
        <v>195</v>
      </c>
      <c r="G188" s="7" t="s">
        <v>195</v>
      </c>
      <c r="H188" s="7" t="s">
        <v>195</v>
      </c>
      <c r="I188" s="7" t="s">
        <v>195</v>
      </c>
      <c r="J188" s="7" t="s">
        <v>195</v>
      </c>
      <c r="K188" s="7" t="s">
        <v>195</v>
      </c>
      <c r="L188" s="7" t="s">
        <v>195</v>
      </c>
      <c r="M188" s="7" t="s">
        <v>29</v>
      </c>
      <c r="N188" s="7" t="s">
        <v>29</v>
      </c>
      <c r="O188" s="7" t="s">
        <v>29</v>
      </c>
      <c r="P188" s="7" t="s">
        <v>29</v>
      </c>
      <c r="Q188" s="7" t="s">
        <v>29</v>
      </c>
      <c r="R188" s="7" t="s">
        <v>29</v>
      </c>
      <c r="S188" s="7" t="s">
        <v>29</v>
      </c>
    </row>
    <row r="189" spans="2:19">
      <c r="B189" s="7" t="s">
        <v>195</v>
      </c>
      <c r="C189" s="8" t="s">
        <v>195</v>
      </c>
      <c r="D189" s="5" t="str">
        <f>LRTRIM(CONCATENATE(IF(SUMPRODUCT(-- ISNUMBER(SEARCH({"Auto Number"}, $B189))) &gt; 0, $B189, IF(SUMPRODUCT(-- ISNUMBER(SEARCH({"Lookup","Master-Detail"}, $B189))) &gt; 0,$B189 &amp; "(" &amp; $E189 &amp; ")",IF(SUMPRODUCT(-- ISNUMBER(SEARCH({"Formula","Roll-Up Summary"}, $B189))) &gt; 0,$B189 &amp; " (" &amp; $E189 &amp; ")",IF(SUMPRODUCT(-- ISNUMBER(SEARCH({"Content","Currency","Number","Percent","Text","URL"}, $B189))) &gt; 0,$B189 &amp; "(" &amp; $C189 &amp; ")",$B189)))), "  ", TRIM(IF($S189 = "YES", "(External ID)", "") &amp; " " &amp; IF(SUMPRODUCT(-- ISNUMBER(SEARCH({"Unique","Unique Case Insensitive"}, $R189))) &gt; 0, "(" &amp; $R189 &amp; ")", ""))))</f>
        <v>na</v>
      </c>
      <c r="E189" s="7" t="s">
        <v>195</v>
      </c>
      <c r="F189" s="7" t="s">
        <v>195</v>
      </c>
      <c r="G189" s="7" t="s">
        <v>195</v>
      </c>
      <c r="H189" s="7" t="s">
        <v>195</v>
      </c>
      <c r="I189" s="7" t="s">
        <v>195</v>
      </c>
      <c r="J189" s="7" t="s">
        <v>195</v>
      </c>
      <c r="K189" s="7" t="s">
        <v>195</v>
      </c>
      <c r="L189" s="7" t="s">
        <v>195</v>
      </c>
      <c r="M189" s="7" t="s">
        <v>29</v>
      </c>
      <c r="N189" s="7" t="s">
        <v>29</v>
      </c>
      <c r="O189" s="7" t="s">
        <v>29</v>
      </c>
      <c r="P189" s="7" t="s">
        <v>29</v>
      </c>
      <c r="Q189" s="7" t="s">
        <v>29</v>
      </c>
      <c r="R189" s="7" t="s">
        <v>29</v>
      </c>
      <c r="S189" s="7" t="s">
        <v>29</v>
      </c>
    </row>
    <row r="190" spans="2:19">
      <c r="B190" s="7" t="s">
        <v>195</v>
      </c>
      <c r="C190" s="8" t="s">
        <v>195</v>
      </c>
      <c r="D190" s="5" t="str">
        <f>LRTRIM(CONCATENATE(IF(SUMPRODUCT(-- ISNUMBER(SEARCH({"Auto Number"}, $B190))) &gt; 0, $B190, IF(SUMPRODUCT(-- ISNUMBER(SEARCH({"Lookup","Master-Detail"}, $B190))) &gt; 0,$B190 &amp; "(" &amp; $E190 &amp; ")",IF(SUMPRODUCT(-- ISNUMBER(SEARCH({"Formula","Roll-Up Summary"}, $B190))) &gt; 0,$B190 &amp; " (" &amp; $E190 &amp; ")",IF(SUMPRODUCT(-- ISNUMBER(SEARCH({"Content","Currency","Number","Percent","Text","URL"}, $B190))) &gt; 0,$B190 &amp; "(" &amp; $C190 &amp; ")",$B190)))), "  ", TRIM(IF($S190 = "YES", "(External ID)", "") &amp; " " &amp; IF(SUMPRODUCT(-- ISNUMBER(SEARCH({"Unique","Unique Case Insensitive"}, $R190))) &gt; 0, "(" &amp; $R190 &amp; ")", ""))))</f>
        <v>na</v>
      </c>
      <c r="E190" s="7" t="s">
        <v>195</v>
      </c>
      <c r="F190" s="7" t="s">
        <v>195</v>
      </c>
      <c r="G190" s="7" t="s">
        <v>195</v>
      </c>
      <c r="H190" s="7" t="s">
        <v>195</v>
      </c>
      <c r="I190" s="7" t="s">
        <v>195</v>
      </c>
      <c r="J190" s="7" t="s">
        <v>195</v>
      </c>
      <c r="K190" s="7" t="s">
        <v>195</v>
      </c>
      <c r="L190" s="7" t="s">
        <v>195</v>
      </c>
      <c r="M190" s="7" t="s">
        <v>29</v>
      </c>
      <c r="N190" s="7" t="s">
        <v>29</v>
      </c>
      <c r="O190" s="7" t="s">
        <v>29</v>
      </c>
      <c r="P190" s="7" t="s">
        <v>29</v>
      </c>
      <c r="Q190" s="7" t="s">
        <v>29</v>
      </c>
      <c r="R190" s="7" t="s">
        <v>29</v>
      </c>
      <c r="S190" s="7" t="s">
        <v>29</v>
      </c>
    </row>
    <row r="191" spans="2:19">
      <c r="B191" s="7" t="s">
        <v>195</v>
      </c>
      <c r="C191" s="8" t="s">
        <v>195</v>
      </c>
      <c r="D191" s="5" t="str">
        <f>LRTRIM(CONCATENATE(IF(SUMPRODUCT(-- ISNUMBER(SEARCH({"Auto Number"}, $B191))) &gt; 0, $B191, IF(SUMPRODUCT(-- ISNUMBER(SEARCH({"Lookup","Master-Detail"}, $B191))) &gt; 0,$B191 &amp; "(" &amp; $E191 &amp; ")",IF(SUMPRODUCT(-- ISNUMBER(SEARCH({"Formula","Roll-Up Summary"}, $B191))) &gt; 0,$B191 &amp; " (" &amp; $E191 &amp; ")",IF(SUMPRODUCT(-- ISNUMBER(SEARCH({"Content","Currency","Number","Percent","Text","URL"}, $B191))) &gt; 0,$B191 &amp; "(" &amp; $C191 &amp; ")",$B191)))), "  ", TRIM(IF($S191 = "YES", "(External ID)", "") &amp; " " &amp; IF(SUMPRODUCT(-- ISNUMBER(SEARCH({"Unique","Unique Case Insensitive"}, $R191))) &gt; 0, "(" &amp; $R191 &amp; ")", ""))))</f>
        <v>na</v>
      </c>
      <c r="E191" s="7" t="s">
        <v>195</v>
      </c>
      <c r="F191" s="7" t="s">
        <v>195</v>
      </c>
      <c r="G191" s="7" t="s">
        <v>195</v>
      </c>
      <c r="H191" s="7" t="s">
        <v>195</v>
      </c>
      <c r="I191" s="7" t="s">
        <v>195</v>
      </c>
      <c r="J191" s="7" t="s">
        <v>195</v>
      </c>
      <c r="K191" s="7" t="s">
        <v>195</v>
      </c>
      <c r="L191" s="7" t="s">
        <v>195</v>
      </c>
      <c r="M191" s="7" t="s">
        <v>29</v>
      </c>
      <c r="N191" s="7" t="s">
        <v>29</v>
      </c>
      <c r="O191" s="7" t="s">
        <v>29</v>
      </c>
      <c r="P191" s="7" t="s">
        <v>29</v>
      </c>
      <c r="Q191" s="7" t="s">
        <v>29</v>
      </c>
      <c r="R191" s="7" t="s">
        <v>29</v>
      </c>
      <c r="S191" s="7" t="s">
        <v>29</v>
      </c>
    </row>
    <row r="192" spans="2:19">
      <c r="B192" s="7" t="s">
        <v>195</v>
      </c>
      <c r="C192" s="8" t="s">
        <v>195</v>
      </c>
      <c r="D192" s="5" t="str">
        <f>LRTRIM(CONCATENATE(IF(SUMPRODUCT(-- ISNUMBER(SEARCH({"Auto Number"}, $B192))) &gt; 0, $B192, IF(SUMPRODUCT(-- ISNUMBER(SEARCH({"Lookup","Master-Detail"}, $B192))) &gt; 0,$B192 &amp; "(" &amp; $E192 &amp; ")",IF(SUMPRODUCT(-- ISNUMBER(SEARCH({"Formula","Roll-Up Summary"}, $B192))) &gt; 0,$B192 &amp; " (" &amp; $E192 &amp; ")",IF(SUMPRODUCT(-- ISNUMBER(SEARCH({"Content","Currency","Number","Percent","Text","URL"}, $B192))) &gt; 0,$B192 &amp; "(" &amp; $C192 &amp; ")",$B192)))), "  ", TRIM(IF($S192 = "YES", "(External ID)", "") &amp; " " &amp; IF(SUMPRODUCT(-- ISNUMBER(SEARCH({"Unique","Unique Case Insensitive"}, $R192))) &gt; 0, "(" &amp; $R192 &amp; ")", ""))))</f>
        <v>na</v>
      </c>
      <c r="E192" s="7" t="s">
        <v>195</v>
      </c>
      <c r="F192" s="7" t="s">
        <v>195</v>
      </c>
      <c r="G192" s="7" t="s">
        <v>195</v>
      </c>
      <c r="H192" s="7" t="s">
        <v>195</v>
      </c>
      <c r="I192" s="7" t="s">
        <v>195</v>
      </c>
      <c r="J192" s="7" t="s">
        <v>195</v>
      </c>
      <c r="K192" s="7" t="s">
        <v>195</v>
      </c>
      <c r="L192" s="7" t="s">
        <v>195</v>
      </c>
      <c r="M192" s="7" t="s">
        <v>29</v>
      </c>
      <c r="N192" s="7" t="s">
        <v>29</v>
      </c>
      <c r="O192" s="7" t="s">
        <v>29</v>
      </c>
      <c r="P192" s="7" t="s">
        <v>29</v>
      </c>
      <c r="Q192" s="7" t="s">
        <v>29</v>
      </c>
      <c r="R192" s="7" t="s">
        <v>29</v>
      </c>
      <c r="S192" s="7" t="s">
        <v>29</v>
      </c>
    </row>
    <row r="193" spans="2:19">
      <c r="B193" s="7" t="s">
        <v>195</v>
      </c>
      <c r="C193" s="8" t="s">
        <v>195</v>
      </c>
      <c r="D193" s="5" t="str">
        <f>LRTRIM(CONCATENATE(IF(SUMPRODUCT(-- ISNUMBER(SEARCH({"Auto Number"}, $B193))) &gt; 0, $B193, IF(SUMPRODUCT(-- ISNUMBER(SEARCH({"Lookup","Master-Detail"}, $B193))) &gt; 0,$B193 &amp; "(" &amp; $E193 &amp; ")",IF(SUMPRODUCT(-- ISNUMBER(SEARCH({"Formula","Roll-Up Summary"}, $B193))) &gt; 0,$B193 &amp; " (" &amp; $E193 &amp; ")",IF(SUMPRODUCT(-- ISNUMBER(SEARCH({"Content","Currency","Number","Percent","Text","URL"}, $B193))) &gt; 0,$B193 &amp; "(" &amp; $C193 &amp; ")",$B193)))), "  ", TRIM(IF($S193 = "YES", "(External ID)", "") &amp; " " &amp; IF(SUMPRODUCT(-- ISNUMBER(SEARCH({"Unique","Unique Case Insensitive"}, $R193))) &gt; 0, "(" &amp; $R193 &amp; ")", ""))))</f>
        <v>na</v>
      </c>
      <c r="E193" s="7" t="s">
        <v>195</v>
      </c>
      <c r="F193" s="7" t="s">
        <v>195</v>
      </c>
      <c r="G193" s="7" t="s">
        <v>195</v>
      </c>
      <c r="H193" s="7" t="s">
        <v>195</v>
      </c>
      <c r="I193" s="7" t="s">
        <v>195</v>
      </c>
      <c r="J193" s="7" t="s">
        <v>195</v>
      </c>
      <c r="K193" s="7" t="s">
        <v>195</v>
      </c>
      <c r="L193" s="7" t="s">
        <v>195</v>
      </c>
      <c r="M193" s="7" t="s">
        <v>29</v>
      </c>
      <c r="N193" s="7" t="s">
        <v>29</v>
      </c>
      <c r="O193" s="7" t="s">
        <v>29</v>
      </c>
      <c r="P193" s="7" t="s">
        <v>29</v>
      </c>
      <c r="Q193" s="7" t="s">
        <v>29</v>
      </c>
      <c r="R193" s="7" t="s">
        <v>29</v>
      </c>
      <c r="S193" s="7" t="s">
        <v>29</v>
      </c>
    </row>
    <row r="194" spans="2:19">
      <c r="B194" s="7" t="s">
        <v>195</v>
      </c>
      <c r="C194" s="8" t="s">
        <v>195</v>
      </c>
      <c r="D194" s="5" t="str">
        <f>LRTRIM(CONCATENATE(IF(SUMPRODUCT(-- ISNUMBER(SEARCH({"Auto Number"}, $B194))) &gt; 0, $B194, IF(SUMPRODUCT(-- ISNUMBER(SEARCH({"Lookup","Master-Detail"}, $B194))) &gt; 0,$B194 &amp; "(" &amp; $E194 &amp; ")",IF(SUMPRODUCT(-- ISNUMBER(SEARCH({"Formula","Roll-Up Summary"}, $B194))) &gt; 0,$B194 &amp; " (" &amp; $E194 &amp; ")",IF(SUMPRODUCT(-- ISNUMBER(SEARCH({"Content","Currency","Number","Percent","Text","URL"}, $B194))) &gt; 0,$B194 &amp; "(" &amp; $C194 &amp; ")",$B194)))), "  ", TRIM(IF($S194 = "YES", "(External ID)", "") &amp; " " &amp; IF(SUMPRODUCT(-- ISNUMBER(SEARCH({"Unique","Unique Case Insensitive"}, $R194))) &gt; 0, "(" &amp; $R194 &amp; ")", ""))))</f>
        <v>na</v>
      </c>
      <c r="E194" s="7" t="s">
        <v>195</v>
      </c>
      <c r="F194" s="7" t="s">
        <v>195</v>
      </c>
      <c r="G194" s="7" t="s">
        <v>195</v>
      </c>
      <c r="H194" s="7" t="s">
        <v>195</v>
      </c>
      <c r="I194" s="7" t="s">
        <v>195</v>
      </c>
      <c r="J194" s="7" t="s">
        <v>195</v>
      </c>
      <c r="K194" s="7" t="s">
        <v>195</v>
      </c>
      <c r="L194" s="7" t="s">
        <v>195</v>
      </c>
      <c r="M194" s="7" t="s">
        <v>29</v>
      </c>
      <c r="N194" s="7" t="s">
        <v>29</v>
      </c>
      <c r="O194" s="7" t="s">
        <v>29</v>
      </c>
      <c r="P194" s="7" t="s">
        <v>29</v>
      </c>
      <c r="Q194" s="7" t="s">
        <v>29</v>
      </c>
      <c r="R194" s="7" t="s">
        <v>29</v>
      </c>
      <c r="S194" s="7" t="s">
        <v>29</v>
      </c>
    </row>
    <row r="195" spans="2:19">
      <c r="B195" s="7" t="s">
        <v>195</v>
      </c>
      <c r="C195" s="8" t="s">
        <v>195</v>
      </c>
      <c r="D195" s="5" t="str">
        <f>LRTRIM(CONCATENATE(IF(SUMPRODUCT(-- ISNUMBER(SEARCH({"Auto Number"}, $B195))) &gt; 0, $B195, IF(SUMPRODUCT(-- ISNUMBER(SEARCH({"Lookup","Master-Detail"}, $B195))) &gt; 0,$B195 &amp; "(" &amp; $E195 &amp; ")",IF(SUMPRODUCT(-- ISNUMBER(SEARCH({"Formula","Roll-Up Summary"}, $B195))) &gt; 0,$B195 &amp; " (" &amp; $E195 &amp; ")",IF(SUMPRODUCT(-- ISNUMBER(SEARCH({"Content","Currency","Number","Percent","Text","URL"}, $B195))) &gt; 0,$B195 &amp; "(" &amp; $C195 &amp; ")",$B195)))), "  ", TRIM(IF($S195 = "YES", "(External ID)", "") &amp; " " &amp; IF(SUMPRODUCT(-- ISNUMBER(SEARCH({"Unique","Unique Case Insensitive"}, $R195))) &gt; 0, "(" &amp; $R195 &amp; ")", ""))))</f>
        <v>na</v>
      </c>
      <c r="E195" s="7" t="s">
        <v>195</v>
      </c>
      <c r="F195" s="7" t="s">
        <v>195</v>
      </c>
      <c r="G195" s="7" t="s">
        <v>195</v>
      </c>
      <c r="H195" s="7" t="s">
        <v>195</v>
      </c>
      <c r="I195" s="7" t="s">
        <v>195</v>
      </c>
      <c r="J195" s="7" t="s">
        <v>195</v>
      </c>
      <c r="K195" s="7" t="s">
        <v>195</v>
      </c>
      <c r="L195" s="7" t="s">
        <v>195</v>
      </c>
      <c r="M195" s="7" t="s">
        <v>29</v>
      </c>
      <c r="N195" s="7" t="s">
        <v>29</v>
      </c>
      <c r="O195" s="7" t="s">
        <v>29</v>
      </c>
      <c r="P195" s="7" t="s">
        <v>29</v>
      </c>
      <c r="Q195" s="7" t="s">
        <v>29</v>
      </c>
      <c r="R195" s="7" t="s">
        <v>29</v>
      </c>
      <c r="S195" s="7" t="s">
        <v>29</v>
      </c>
    </row>
    <row r="196" spans="2:19">
      <c r="B196" s="7" t="s">
        <v>195</v>
      </c>
      <c r="C196" s="8" t="s">
        <v>195</v>
      </c>
      <c r="D196" s="5" t="str">
        <f>LRTRIM(CONCATENATE(IF(SUMPRODUCT(-- ISNUMBER(SEARCH({"Auto Number"}, $B196))) &gt; 0, $B196, IF(SUMPRODUCT(-- ISNUMBER(SEARCH({"Lookup","Master-Detail"}, $B196))) &gt; 0,$B196 &amp; "(" &amp; $E196 &amp; ")",IF(SUMPRODUCT(-- ISNUMBER(SEARCH({"Formula","Roll-Up Summary"}, $B196))) &gt; 0,$B196 &amp; " (" &amp; $E196 &amp; ")",IF(SUMPRODUCT(-- ISNUMBER(SEARCH({"Content","Currency","Number","Percent","Text","URL"}, $B196))) &gt; 0,$B196 &amp; "(" &amp; $C196 &amp; ")",$B196)))), "  ", TRIM(IF($S196 = "YES", "(External ID)", "") &amp; " " &amp; IF(SUMPRODUCT(-- ISNUMBER(SEARCH({"Unique","Unique Case Insensitive"}, $R196))) &gt; 0, "(" &amp; $R196 &amp; ")", ""))))</f>
        <v>na</v>
      </c>
      <c r="E196" s="7" t="s">
        <v>195</v>
      </c>
      <c r="F196" s="7" t="s">
        <v>195</v>
      </c>
      <c r="G196" s="7" t="s">
        <v>195</v>
      </c>
      <c r="H196" s="7" t="s">
        <v>195</v>
      </c>
      <c r="I196" s="7" t="s">
        <v>195</v>
      </c>
      <c r="J196" s="7" t="s">
        <v>195</v>
      </c>
      <c r="K196" s="7" t="s">
        <v>195</v>
      </c>
      <c r="L196" s="7" t="s">
        <v>195</v>
      </c>
      <c r="M196" s="7" t="s">
        <v>29</v>
      </c>
      <c r="N196" s="7" t="s">
        <v>29</v>
      </c>
      <c r="O196" s="7" t="s">
        <v>29</v>
      </c>
      <c r="P196" s="7" t="s">
        <v>29</v>
      </c>
      <c r="Q196" s="7" t="s">
        <v>29</v>
      </c>
      <c r="R196" s="7" t="s">
        <v>29</v>
      </c>
      <c r="S196" s="7" t="s">
        <v>29</v>
      </c>
    </row>
    <row r="197" spans="2:19">
      <c r="B197" s="7" t="s">
        <v>195</v>
      </c>
      <c r="C197" s="8" t="s">
        <v>195</v>
      </c>
      <c r="D197" s="5" t="str">
        <f>LRTRIM(CONCATENATE(IF(SUMPRODUCT(-- ISNUMBER(SEARCH({"Auto Number"}, $B197))) &gt; 0, $B197, IF(SUMPRODUCT(-- ISNUMBER(SEARCH({"Lookup","Master-Detail"}, $B197))) &gt; 0,$B197 &amp; "(" &amp; $E197 &amp; ")",IF(SUMPRODUCT(-- ISNUMBER(SEARCH({"Formula","Roll-Up Summary"}, $B197))) &gt; 0,$B197 &amp; " (" &amp; $E197 &amp; ")",IF(SUMPRODUCT(-- ISNUMBER(SEARCH({"Content","Currency","Number","Percent","Text","URL"}, $B197))) &gt; 0,$B197 &amp; "(" &amp; $C197 &amp; ")",$B197)))), "  ", TRIM(IF($S197 = "YES", "(External ID)", "") &amp; " " &amp; IF(SUMPRODUCT(-- ISNUMBER(SEARCH({"Unique","Unique Case Insensitive"}, $R197))) &gt; 0, "(" &amp; $R197 &amp; ")", ""))))</f>
        <v>na</v>
      </c>
      <c r="E197" s="7" t="s">
        <v>195</v>
      </c>
      <c r="F197" s="7" t="s">
        <v>195</v>
      </c>
      <c r="G197" s="7" t="s">
        <v>195</v>
      </c>
      <c r="H197" s="7" t="s">
        <v>195</v>
      </c>
      <c r="I197" s="7" t="s">
        <v>195</v>
      </c>
      <c r="J197" s="7" t="s">
        <v>195</v>
      </c>
      <c r="K197" s="7" t="s">
        <v>195</v>
      </c>
      <c r="L197" s="7" t="s">
        <v>195</v>
      </c>
      <c r="M197" s="7" t="s">
        <v>29</v>
      </c>
      <c r="N197" s="7" t="s">
        <v>29</v>
      </c>
      <c r="O197" s="7" t="s">
        <v>29</v>
      </c>
      <c r="P197" s="7" t="s">
        <v>29</v>
      </c>
      <c r="Q197" s="7" t="s">
        <v>29</v>
      </c>
      <c r="R197" s="7" t="s">
        <v>29</v>
      </c>
      <c r="S197" s="7" t="s">
        <v>29</v>
      </c>
    </row>
    <row r="198" spans="2:19">
      <c r="B198" s="7" t="s">
        <v>195</v>
      </c>
      <c r="C198" s="8" t="s">
        <v>195</v>
      </c>
      <c r="D198" s="5" t="str">
        <f>LRTRIM(CONCATENATE(IF(SUMPRODUCT(-- ISNUMBER(SEARCH({"Auto Number"}, $B198))) &gt; 0, $B198, IF(SUMPRODUCT(-- ISNUMBER(SEARCH({"Lookup","Master-Detail"}, $B198))) &gt; 0,$B198 &amp; "(" &amp; $E198 &amp; ")",IF(SUMPRODUCT(-- ISNUMBER(SEARCH({"Formula","Roll-Up Summary"}, $B198))) &gt; 0,$B198 &amp; " (" &amp; $E198 &amp; ")",IF(SUMPRODUCT(-- ISNUMBER(SEARCH({"Content","Currency","Number","Percent","Text","URL"}, $B198))) &gt; 0,$B198 &amp; "(" &amp; $C198 &amp; ")",$B198)))), "  ", TRIM(IF($S198 = "YES", "(External ID)", "") &amp; " " &amp; IF(SUMPRODUCT(-- ISNUMBER(SEARCH({"Unique","Unique Case Insensitive"}, $R198))) &gt; 0, "(" &amp; $R198 &amp; ")", ""))))</f>
        <v>na</v>
      </c>
      <c r="E198" s="7" t="s">
        <v>195</v>
      </c>
      <c r="F198" s="7" t="s">
        <v>195</v>
      </c>
      <c r="G198" s="7" t="s">
        <v>195</v>
      </c>
      <c r="H198" s="7" t="s">
        <v>195</v>
      </c>
      <c r="I198" s="7" t="s">
        <v>195</v>
      </c>
      <c r="J198" s="7" t="s">
        <v>195</v>
      </c>
      <c r="K198" s="7" t="s">
        <v>195</v>
      </c>
      <c r="L198" s="7" t="s">
        <v>195</v>
      </c>
      <c r="M198" s="7" t="s">
        <v>29</v>
      </c>
      <c r="N198" s="7" t="s">
        <v>29</v>
      </c>
      <c r="O198" s="7" t="s">
        <v>29</v>
      </c>
      <c r="P198" s="7" t="s">
        <v>29</v>
      </c>
      <c r="Q198" s="7" t="s">
        <v>29</v>
      </c>
      <c r="R198" s="7" t="s">
        <v>29</v>
      </c>
      <c r="S198" s="7" t="s">
        <v>29</v>
      </c>
    </row>
    <row r="199" spans="2:19">
      <c r="B199" s="7" t="s">
        <v>195</v>
      </c>
      <c r="C199" s="8" t="s">
        <v>195</v>
      </c>
      <c r="D199" s="5" t="str">
        <f>LRTRIM(CONCATENATE(IF(SUMPRODUCT(-- ISNUMBER(SEARCH({"Auto Number"}, $B199))) &gt; 0, $B199, IF(SUMPRODUCT(-- ISNUMBER(SEARCH({"Lookup","Master-Detail"}, $B199))) &gt; 0,$B199 &amp; "(" &amp; $E199 &amp; ")",IF(SUMPRODUCT(-- ISNUMBER(SEARCH({"Formula","Roll-Up Summary"}, $B199))) &gt; 0,$B199 &amp; " (" &amp; $E199 &amp; ")",IF(SUMPRODUCT(-- ISNUMBER(SEARCH({"Content","Currency","Number","Percent","Text","URL"}, $B199))) &gt; 0,$B199 &amp; "(" &amp; $C199 &amp; ")",$B199)))), "  ", TRIM(IF($S199 = "YES", "(External ID)", "") &amp; " " &amp; IF(SUMPRODUCT(-- ISNUMBER(SEARCH({"Unique","Unique Case Insensitive"}, $R199))) &gt; 0, "(" &amp; $R199 &amp; ")", ""))))</f>
        <v>na</v>
      </c>
      <c r="E199" s="7" t="s">
        <v>195</v>
      </c>
      <c r="F199" s="7" t="s">
        <v>195</v>
      </c>
      <c r="G199" s="7" t="s">
        <v>195</v>
      </c>
      <c r="H199" s="7" t="s">
        <v>195</v>
      </c>
      <c r="I199" s="7" t="s">
        <v>195</v>
      </c>
      <c r="J199" s="7" t="s">
        <v>195</v>
      </c>
      <c r="K199" s="7" t="s">
        <v>195</v>
      </c>
      <c r="L199" s="7" t="s">
        <v>195</v>
      </c>
      <c r="M199" s="7" t="s">
        <v>29</v>
      </c>
      <c r="N199" s="7" t="s">
        <v>29</v>
      </c>
      <c r="O199" s="7" t="s">
        <v>29</v>
      </c>
      <c r="P199" s="7" t="s">
        <v>29</v>
      </c>
      <c r="Q199" s="7" t="s">
        <v>29</v>
      </c>
      <c r="R199" s="7" t="s">
        <v>29</v>
      </c>
      <c r="S199" s="7" t="s">
        <v>29</v>
      </c>
    </row>
    <row r="200" spans="2:19">
      <c r="B200" s="7" t="s">
        <v>195</v>
      </c>
      <c r="C200" s="8" t="s">
        <v>195</v>
      </c>
      <c r="D200" s="5" t="str">
        <f>LRTRIM(CONCATENATE(IF(SUMPRODUCT(-- ISNUMBER(SEARCH({"Auto Number"}, $B200))) &gt; 0, $B200, IF(SUMPRODUCT(-- ISNUMBER(SEARCH({"Lookup","Master-Detail"}, $B200))) &gt; 0,$B200 &amp; "(" &amp; $E200 &amp; ")",IF(SUMPRODUCT(-- ISNUMBER(SEARCH({"Formula","Roll-Up Summary"}, $B200))) &gt; 0,$B200 &amp; " (" &amp; $E200 &amp; ")",IF(SUMPRODUCT(-- ISNUMBER(SEARCH({"Content","Currency","Number","Percent","Text","URL"}, $B200))) &gt; 0,$B200 &amp; "(" &amp; $C200 &amp; ")",$B200)))), "  ", TRIM(IF($S200 = "YES", "(External ID)", "") &amp; " " &amp; IF(SUMPRODUCT(-- ISNUMBER(SEARCH({"Unique","Unique Case Insensitive"}, $R200))) &gt; 0, "(" &amp; $R200 &amp; ")", ""))))</f>
        <v>na</v>
      </c>
      <c r="E200" s="7" t="s">
        <v>195</v>
      </c>
      <c r="F200" s="7" t="s">
        <v>195</v>
      </c>
      <c r="G200" s="7" t="s">
        <v>195</v>
      </c>
      <c r="H200" s="7" t="s">
        <v>195</v>
      </c>
      <c r="I200" s="7" t="s">
        <v>195</v>
      </c>
      <c r="J200" s="7" t="s">
        <v>195</v>
      </c>
      <c r="K200" s="7" t="s">
        <v>195</v>
      </c>
      <c r="L200" s="7" t="s">
        <v>195</v>
      </c>
      <c r="M200" s="7" t="s">
        <v>29</v>
      </c>
      <c r="N200" s="7" t="s">
        <v>29</v>
      </c>
      <c r="O200" s="7" t="s">
        <v>29</v>
      </c>
      <c r="P200" s="7" t="s">
        <v>29</v>
      </c>
      <c r="Q200" s="7" t="s">
        <v>29</v>
      </c>
      <c r="R200" s="7" t="s">
        <v>29</v>
      </c>
      <c r="S200" s="7" t="s">
        <v>29</v>
      </c>
    </row>
  </sheetData>
  <sheetProtection formatCells="0" formatColumns="0" formatRows="0" insertColumns="0" insertRows="0" insertHyperlinks="0" deleteColumns="0" deleteRows="0" sort="0" autoFilter="0" pivotTables="0"/>
  <conditionalFormatting sqref="D2:D4">
    <cfRule type="expression" dxfId="57" priority="3">
      <formula>NOT(_xlfn.ISFORMULA($D2))</formula>
    </cfRule>
  </conditionalFormatting>
  <conditionalFormatting sqref="D5">
    <cfRule type="expression" dxfId="56" priority="2">
      <formula>NOT(_xlfn.ISFORMULA($D5))</formula>
    </cfRule>
  </conditionalFormatting>
  <conditionalFormatting sqref="D6:D200">
    <cfRule type="expression" dxfId="55" priority="1">
      <formula>NOT(_xlfn.ISFORMULA($D6))</formula>
    </cfRule>
  </conditionalFormatting>
  <dataValidations count="1">
    <dataValidation allowBlank="1" showInputMessage="1" showErrorMessage="1" sqref="A2:A4"/>
  </dataValidations>
  <pageMargins left="0.7" right="0.7" top="0.75" bottom="0.75" header="0.3" footer="0.3"/>
  <extLst>
    <ext xmlns:x14="http://schemas.microsoft.com/office/spreadsheetml/2009/9/main" uri="{CCE6A557-97BC-4b89-ADB6-D9C93CAAB3DF}">
      <x14:dataValidations xmlns:xm="http://schemas.microsoft.com/office/excel/2006/main" count="15">
        <x14:dataValidation type="list" allowBlank="1" showInputMessage="1" showErrorMessage="1">
          <x14:formula1>
            <xm:f>OFFSET('Reference Fields'!$K$2,0,0,COUNTA('Reference Fields'!$K:$K)-1)</xm:f>
          </x14:formula1>
          <xm:sqref>R2:R200</xm:sqref>
        </x14:dataValidation>
        <x14:dataValidation type="list" allowBlank="1" showInputMessage="1" showErrorMessage="1">
          <x14:formula1>
            <xm:f>OFFSET('Reference Fields'!$J$2,0,0,COUNTA('Reference Fields'!$J:$J)-1)</xm:f>
          </x14:formula1>
          <xm:sqref>Q2:Q200</xm:sqref>
        </x14:dataValidation>
        <x14:dataValidation type="list" allowBlank="1" showInputMessage="1" showErrorMessage="1">
          <x14:formula1>
            <xm:f>OFFSET('Reference Fields'!$J$2,0,0,COUNTA('Reference Fields'!$J:$J)-1)</xm:f>
          </x14:formula1>
          <xm:sqref>M2:M200</xm:sqref>
        </x14:dataValidation>
        <x14:dataValidation type="list" allowBlank="1" showInputMessage="1" showErrorMessage="1">
          <x14:formula1>
            <xm:f>OFFSET('Reference Fields'!$J$2,0,0,COUNTA('Reference Fields'!$J:$J)-1)</xm:f>
          </x14:formula1>
          <xm:sqref>N2:N200</xm:sqref>
        </x14:dataValidation>
        <x14:dataValidation type="list" allowBlank="1" showInputMessage="1" showErrorMessage="1">
          <x14:formula1>
            <xm:f>OFFSET('Reference Fields'!$J$2,0,0,COUNTA('Reference Fields'!$J:$J)-1)</xm:f>
          </x14:formula1>
          <xm:sqref>O2:O200</xm:sqref>
        </x14:dataValidation>
        <x14:dataValidation type="list" allowBlank="1" showInputMessage="1" showErrorMessage="1">
          <x14:formula1>
            <xm:f>OFFSET('Reference Fields'!$J$2,0,0,COUNTA('Reference Fields'!$J:$J)-1)</xm:f>
          </x14:formula1>
          <xm:sqref>P2:P200</xm:sqref>
        </x14:dataValidation>
        <x14:dataValidation type="list" allowBlank="1" showInputMessage="1" showErrorMessage="1">
          <x14:formula1>
            <xm:f>OFFSET('Reference Fields'!$J$2,0,0,COUNTA('Reference Fields'!$J:$J)-1)</xm:f>
          </x14:formula1>
          <xm:sqref>S2:S200</xm:sqref>
        </x14:dataValidation>
        <x14:dataValidation type="list" allowBlank="1" showInputMessage="1" showErrorMessage="1">
          <x14:formula1>
            <xm:f>OFFSET('Reference Fields'!$B$2,0,0,COUNTA('Reference Fields'!$B:$B)-1)</xm:f>
          </x14:formula1>
          <xm:sqref>B2:B200</xm:sqref>
        </x14:dataValidation>
        <x14:dataValidation type="list" allowBlank="1" showInputMessage="1" showErrorMessage="1">
          <x14:formula1>
            <xm:f>OFFSET('Reference Fields'!$D$2,0,0,COUNTA('Reference Fields'!$D:$D)-1)</xm:f>
          </x14:formula1>
          <xm:sqref>F2:F200</xm:sqref>
        </x14:dataValidation>
        <x14:dataValidation type="list" allowBlank="1" showInputMessage="1" showErrorMessage="1">
          <x14:formula1>
            <xm:f>OFFSET('Reference Fields'!$E$2,0,0,COUNTA('Reference Fields'!$E:$E)-1)</xm:f>
          </x14:formula1>
          <xm:sqref>G2:G200</xm:sqref>
        </x14:dataValidation>
        <x14:dataValidation type="list" allowBlank="1" showInputMessage="1" showErrorMessage="1">
          <x14:formula1>
            <xm:f>OFFSET('Reference Fields'!$F$2,0,0,COUNTA('Reference Fields'!$F:$F)-1)</xm:f>
          </x14:formula1>
          <xm:sqref>H2:H200</xm:sqref>
        </x14:dataValidation>
        <x14:dataValidation type="list" allowBlank="1" showInputMessage="1" showErrorMessage="1">
          <x14:formula1>
            <xm:f>OFFSET('Reference Fields'!$F$2,0,0,COUNTA('Reference Fields'!$F:$F)-1)</xm:f>
          </x14:formula1>
          <xm:sqref>I2:I200</xm:sqref>
        </x14:dataValidation>
        <x14:dataValidation type="list" allowBlank="1" showInputMessage="1" showErrorMessage="1">
          <x14:formula1>
            <xm:f>OFFSET('Reference Fields'!$G$2,0,0,COUNTA('Reference Fields'!$G:$G)-1)</xm:f>
          </x14:formula1>
          <xm:sqref>J2:J200</xm:sqref>
        </x14:dataValidation>
        <x14:dataValidation type="list" allowBlank="1" showInputMessage="1" showErrorMessage="1">
          <x14:formula1>
            <xm:f>OFFSET('Reference Fields'!$H$2,0,0,COUNTA('Reference Fields'!$H:$H)-1)</xm:f>
          </x14:formula1>
          <xm:sqref>K2:K200</xm:sqref>
        </x14:dataValidation>
        <x14:dataValidation type="list" allowBlank="1" showInputMessage="1" showErrorMessage="1">
          <x14:formula1>
            <xm:f>OFFSET('Reference Fields'!$I$2,0,0,COUNTA('Reference Fields'!$I:$I)-1)</xm:f>
          </x14:formula1>
          <xm:sqref>L2:L200</xm:sqref>
        </x14:dataValidation>
      </x14:dataValidations>
    </ext>
  </extLst>
</worksheet>
</file>

<file path=xl/worksheets/sheet22.xml><?xml version="1.0" encoding="utf-8"?>
<worksheet xmlns="http://schemas.openxmlformats.org/spreadsheetml/2006/main" xmlns:r="http://schemas.openxmlformats.org/officeDocument/2006/relationships">
  <sheetPr codeName="Sheet14"/>
  <dimension ref="A1:S200"/>
  <sheetViews>
    <sheetView workbookViewId="0">
      <pane ySplit="1" topLeftCell="A2" activePane="bottomLeft" state="frozen"/>
      <selection pane="bottomLeft" activeCell="A2" sqref="A2"/>
    </sheetView>
  </sheetViews>
  <sheetFormatPr defaultRowHeight="14.5"/>
  <cols>
    <col min="1" max="1" width="23" bestFit="1" customWidth="1"/>
    <col min="2" max="2" width="13.54296875" customWidth="1"/>
    <col min="3" max="4" width="8.90625" customWidth="1"/>
    <col min="5" max="5" width="12.6328125" customWidth="1"/>
    <col min="6" max="6" width="15.6328125" bestFit="1" customWidth="1"/>
    <col min="7" max="8" width="15.453125" customWidth="1"/>
    <col min="9" max="9" width="22.6328125" customWidth="1"/>
    <col min="10" max="10" width="23.36328125" customWidth="1"/>
    <col min="11" max="11" width="17.54296875" customWidth="1"/>
    <col min="12" max="12" width="14.08984375" customWidth="1"/>
    <col min="13" max="13" width="10.453125" bestFit="1" customWidth="1"/>
    <col min="14" max="14" width="10.453125" customWidth="1"/>
    <col min="15" max="15" width="12.453125" bestFit="1" customWidth="1"/>
  </cols>
  <sheetData>
    <row r="1" spans="1:19" s="1" customFormat="1">
      <c r="A1" s="1" t="s">
        <v>2</v>
      </c>
      <c r="B1" s="1" t="s">
        <v>1198</v>
      </c>
      <c r="C1" s="1" t="s">
        <v>1199</v>
      </c>
      <c r="D1" s="1" t="s">
        <v>0</v>
      </c>
      <c r="E1" s="1" t="s">
        <v>1</v>
      </c>
      <c r="F1" s="1" t="s">
        <v>30</v>
      </c>
      <c r="G1" s="1" t="s">
        <v>31</v>
      </c>
      <c r="H1" s="1" t="s">
        <v>1262</v>
      </c>
      <c r="I1" s="1" t="s">
        <v>49</v>
      </c>
      <c r="J1" s="1" t="s">
        <v>48</v>
      </c>
      <c r="K1" s="1" t="s">
        <v>54</v>
      </c>
      <c r="L1" s="1" t="s">
        <v>55</v>
      </c>
      <c r="M1" s="1" t="s">
        <v>27</v>
      </c>
      <c r="N1" s="1" t="s">
        <v>175</v>
      </c>
      <c r="O1" s="1" t="s">
        <v>193</v>
      </c>
      <c r="P1" s="1" t="s">
        <v>1221</v>
      </c>
      <c r="Q1" s="1" t="s">
        <v>1264</v>
      </c>
      <c r="R1" s="1" t="s">
        <v>1263</v>
      </c>
      <c r="S1" s="1" t="s">
        <v>1265</v>
      </c>
    </row>
    <row r="2" spans="1:19">
      <c r="A2" s="7" t="s">
        <v>437</v>
      </c>
      <c r="B2" s="7" t="s">
        <v>1213</v>
      </c>
      <c r="C2" s="8" t="s">
        <v>1250</v>
      </c>
      <c r="D2" s="6" t="str">
        <f>LRTRIM(CONCATENATE(IF(SUMPRODUCT(-- ISNUMBER(SEARCH({"Auto Number"}, $B2))) &gt; 0, $B2, IF(SUMPRODUCT(-- ISNUMBER(SEARCH({"Lookup","Master-Detail"}, $B2))) &gt; 0,$B2 &amp; "(" &amp; $E2 &amp; ")",IF(SUMPRODUCT(-- ISNUMBER(SEARCH({"Formula","Roll-Up Summary"}, $B2))) &gt; 0,$B2 &amp; " (" &amp; $E2 &amp; ")",IF(SUMPRODUCT(-- ISNUMBER(SEARCH({"Content","Currency","Number","Percent","Text","URL"}, $B2))) &gt; 0,$B2 &amp; "(" &amp; $C2 &amp; ")",$B2)))), "  ", TRIM(IF($S2 = "YES", "(External ID)", "") &amp; " " &amp; IF(SUMPRODUCT(-- ISNUMBER(SEARCH({"Unique","Unique Case Insensitive"}, $R2))) &gt; 0, "(" &amp; $R2 &amp; ")", ""))))</f>
        <v>Number(18, 0)</v>
      </c>
      <c r="E2" s="7" t="s">
        <v>195</v>
      </c>
      <c r="F2" s="7" t="s">
        <v>479</v>
      </c>
      <c r="G2" s="7" t="s">
        <v>479</v>
      </c>
      <c r="H2" s="7" t="s">
        <v>195</v>
      </c>
      <c r="I2" s="7" t="s">
        <v>195</v>
      </c>
      <c r="J2" s="7" t="s">
        <v>195</v>
      </c>
      <c r="K2" s="7" t="s">
        <v>195</v>
      </c>
      <c r="L2" s="7" t="s">
        <v>195</v>
      </c>
      <c r="M2" s="7" t="s">
        <v>29</v>
      </c>
      <c r="N2" s="7" t="s">
        <v>29</v>
      </c>
      <c r="O2" s="7" t="s">
        <v>29</v>
      </c>
      <c r="P2" s="7" t="s">
        <v>29</v>
      </c>
      <c r="Q2" s="7" t="s">
        <v>29</v>
      </c>
      <c r="R2" s="7" t="s">
        <v>29</v>
      </c>
      <c r="S2" s="7" t="s">
        <v>29</v>
      </c>
    </row>
    <row r="3" spans="1:19">
      <c r="A3" s="7" t="s">
        <v>9</v>
      </c>
      <c r="B3" s="7" t="s">
        <v>1218</v>
      </c>
      <c r="C3" s="8">
        <v>50</v>
      </c>
      <c r="D3" s="6" t="str">
        <f>LRTRIM(CONCATENATE(IF(SUMPRODUCT(-- ISNUMBER(SEARCH({"Auto Number"}, $B3))) &gt; 0, $B3, IF(SUMPRODUCT(-- ISNUMBER(SEARCH({"Lookup","Master-Detail"}, $B3))) &gt; 0,$B3 &amp; "(" &amp; $E3 &amp; ")",IF(SUMPRODUCT(-- ISNUMBER(SEARCH({"Formula","Roll-Up Summary"}, $B3))) &gt; 0,$B3 &amp; " (" &amp; $E3 &amp; ")",IF(SUMPRODUCT(-- ISNUMBER(SEARCH({"Content","Currency","Number","Percent","Text","URL"}, $B3))) &gt; 0,$B3 &amp; "(" &amp; $C3 &amp; ")",$B3)))), "  ", TRIM(IF($S3 = "YES", "(External ID)", "") &amp; " " &amp; IF(SUMPRODUCT(-- ISNUMBER(SEARCH({"Unique","Unique Case Insensitive"}, $R3))) &gt; 0, "(" &amp; $R3 &amp; ")", ""))))</f>
        <v>Text(50)</v>
      </c>
      <c r="E3" s="7" t="s">
        <v>195</v>
      </c>
      <c r="F3" s="7" t="s">
        <v>18</v>
      </c>
      <c r="G3" s="7" t="s">
        <v>195</v>
      </c>
      <c r="H3" s="7" t="s">
        <v>195</v>
      </c>
      <c r="I3" s="7" t="s">
        <v>195</v>
      </c>
      <c r="J3" s="7" t="s">
        <v>195</v>
      </c>
      <c r="K3" s="7" t="s">
        <v>195</v>
      </c>
      <c r="L3" s="7" t="s">
        <v>195</v>
      </c>
      <c r="M3" s="7" t="s">
        <v>29</v>
      </c>
      <c r="N3" s="7" t="s">
        <v>29</v>
      </c>
      <c r="O3" s="7" t="s">
        <v>29</v>
      </c>
      <c r="P3" s="7" t="s">
        <v>29</v>
      </c>
      <c r="Q3" s="7" t="s">
        <v>29</v>
      </c>
      <c r="R3" s="7" t="s">
        <v>29</v>
      </c>
      <c r="S3" s="7" t="s">
        <v>29</v>
      </c>
    </row>
    <row r="4" spans="1:19">
      <c r="A4" s="7" t="s">
        <v>216</v>
      </c>
      <c r="B4" s="7" t="s">
        <v>1209</v>
      </c>
      <c r="C4" s="8">
        <v>1300</v>
      </c>
      <c r="D4" s="6" t="str">
        <f>LRTRIM(CONCATENATE(IF(SUMPRODUCT(-- ISNUMBER(SEARCH({"Auto Number"}, $B4))) &gt; 0, $B4, IF(SUMPRODUCT(-- ISNUMBER(SEARCH({"Lookup","Master-Detail"}, $B4))) &gt; 0,$B4 &amp; "(" &amp; $E4 &amp; ")",IF(SUMPRODUCT(-- ISNUMBER(SEARCH({"Formula","Roll-Up Summary"}, $B4))) &gt; 0,$B4 &amp; " (" &amp; $E4 &amp; ")",IF(SUMPRODUCT(-- ISNUMBER(SEARCH({"Content","Currency","Number","Percent","Text","URL"}, $B4))) &gt; 0,$B4 &amp; "(" &amp; $C4 &amp; ")",$B4)))), "  ", TRIM(IF($S4 = "YES", "(External ID)", "") &amp; " " &amp; IF(SUMPRODUCT(-- ISNUMBER(SEARCH({"Unique","Unique Case Insensitive"}, $R4))) &gt; 0, "(" &amp; $R4 &amp; ")", ""))))</f>
        <v>Formula (Text)</v>
      </c>
      <c r="E4" s="7" t="s">
        <v>1218</v>
      </c>
      <c r="F4" s="7" t="s">
        <v>126</v>
      </c>
      <c r="G4" s="7" t="s">
        <v>928</v>
      </c>
      <c r="H4" s="7" t="s">
        <v>195</v>
      </c>
      <c r="I4" s="7" t="s">
        <v>195</v>
      </c>
      <c r="J4" s="7" t="s">
        <v>195</v>
      </c>
      <c r="K4" s="7" t="s">
        <v>195</v>
      </c>
      <c r="L4" s="7" t="s">
        <v>195</v>
      </c>
      <c r="M4" s="7" t="s">
        <v>29</v>
      </c>
      <c r="N4" s="7" t="s">
        <v>29</v>
      </c>
      <c r="O4" s="7" t="s">
        <v>29</v>
      </c>
      <c r="P4" s="7" t="s">
        <v>29</v>
      </c>
      <c r="Q4" s="7" t="s">
        <v>29</v>
      </c>
      <c r="R4" s="7" t="s">
        <v>29</v>
      </c>
      <c r="S4" s="7" t="s">
        <v>29</v>
      </c>
    </row>
    <row r="5" spans="1:19">
      <c r="A5" s="7" t="s">
        <v>880</v>
      </c>
      <c r="B5" s="7" t="s">
        <v>1213</v>
      </c>
      <c r="C5" s="8" t="s">
        <v>1251</v>
      </c>
      <c r="D5" s="6" t="str">
        <f>LRTRIM(CONCATENATE(IF(SUMPRODUCT(-- ISNUMBER(SEARCH({"Auto Number"}, $B5))) &gt; 0, $B5, IF(SUMPRODUCT(-- ISNUMBER(SEARCH({"Lookup","Master-Detail"}, $B5))) &gt; 0,$B5 &amp; "(" &amp; $E5 &amp; ")",IF(SUMPRODUCT(-- ISNUMBER(SEARCH({"Formula","Roll-Up Summary"}, $B5))) &gt; 0,$B5 &amp; " (" &amp; $E5 &amp; ")",IF(SUMPRODUCT(-- ISNUMBER(SEARCH({"Content","Currency","Number","Percent","Text","URL"}, $B5))) &gt; 0,$B5 &amp; "(" &amp; $C5 &amp; ")",$B5)))), "  ", TRIM(IF($S5 = "YES", "(External ID)", "") &amp; " " &amp; IF(SUMPRODUCT(-- ISNUMBER(SEARCH({"Unique","Unique Case Insensitive"}, $R5))) &gt; 0, "(" &amp; $R5 &amp; ")", ""))))</f>
        <v>Number(2, 0)</v>
      </c>
      <c r="E5" s="7" t="s">
        <v>195</v>
      </c>
      <c r="F5" s="7" t="s">
        <v>907</v>
      </c>
      <c r="G5" s="7" t="s">
        <v>929</v>
      </c>
      <c r="H5" s="7" t="s">
        <v>195</v>
      </c>
      <c r="I5" s="7" t="s">
        <v>195</v>
      </c>
      <c r="J5" s="7" t="s">
        <v>195</v>
      </c>
      <c r="K5" s="7" t="s">
        <v>195</v>
      </c>
      <c r="L5" s="7" t="s">
        <v>195</v>
      </c>
      <c r="M5" s="7" t="s">
        <v>29</v>
      </c>
      <c r="N5" s="7" t="s">
        <v>29</v>
      </c>
      <c r="O5" s="7" t="s">
        <v>29</v>
      </c>
      <c r="P5" s="7" t="s">
        <v>29</v>
      </c>
      <c r="Q5" s="7" t="s">
        <v>29</v>
      </c>
      <c r="R5" s="7" t="s">
        <v>29</v>
      </c>
      <c r="S5" s="7" t="s">
        <v>29</v>
      </c>
    </row>
    <row r="6" spans="1:19">
      <c r="A6" s="7" t="s">
        <v>881</v>
      </c>
      <c r="B6" s="7" t="s">
        <v>1207</v>
      </c>
      <c r="C6" s="8">
        <v>0</v>
      </c>
      <c r="D6" s="6" t="str">
        <f>LRTRIM(CONCATENATE(IF(SUMPRODUCT(-- ISNUMBER(SEARCH({"Auto Number"}, $B6))) &gt; 0, $B6, IF(SUMPRODUCT(-- ISNUMBER(SEARCH({"Lookup","Master-Detail"}, $B6))) &gt; 0,$B6 &amp; "(" &amp; $E6 &amp; ")",IF(SUMPRODUCT(-- ISNUMBER(SEARCH({"Formula","Roll-Up Summary"}, $B6))) &gt; 0,$B6 &amp; " (" &amp; $E6 &amp; ")",IF(SUMPRODUCT(-- ISNUMBER(SEARCH({"Content","Currency","Number","Percent","Text","URL"}, $B6))) &gt; 0,$B6 &amp; "(" &amp; $C6 &amp; ")",$B6)))), "  ", TRIM(IF($S6 = "YES", "(External ID)", "") &amp; " " &amp; IF(SUMPRODUCT(-- ISNUMBER(SEARCH({"Unique","Unique Case Insensitive"}, $R6))) &gt; 0, "(" &amp; $R6 &amp; ")", ""))))</f>
        <v>Date/Time</v>
      </c>
      <c r="E6" s="7" t="s">
        <v>195</v>
      </c>
      <c r="F6" s="7" t="s">
        <v>908</v>
      </c>
      <c r="G6" s="7" t="s">
        <v>930</v>
      </c>
      <c r="H6" s="7" t="s">
        <v>195</v>
      </c>
      <c r="I6" s="7" t="s">
        <v>195</v>
      </c>
      <c r="J6" s="7" t="s">
        <v>195</v>
      </c>
      <c r="K6" s="7" t="s">
        <v>195</v>
      </c>
      <c r="L6" s="7" t="s">
        <v>195</v>
      </c>
      <c r="M6" s="7" t="s">
        <v>29</v>
      </c>
      <c r="N6" s="7" t="s">
        <v>29</v>
      </c>
      <c r="O6" s="7" t="s">
        <v>29</v>
      </c>
      <c r="P6" s="7" t="s">
        <v>29</v>
      </c>
      <c r="Q6" s="7" t="s">
        <v>29</v>
      </c>
      <c r="R6" s="7" t="s">
        <v>29</v>
      </c>
      <c r="S6" s="7" t="s">
        <v>29</v>
      </c>
    </row>
    <row r="7" spans="1:19">
      <c r="A7" s="7" t="s">
        <v>882</v>
      </c>
      <c r="B7" s="7" t="s">
        <v>1306</v>
      </c>
      <c r="C7" s="8">
        <v>255</v>
      </c>
      <c r="D7" s="6" t="str">
        <f>LRTRIM(CONCATENATE(IF(SUMPRODUCT(-- ISNUMBER(SEARCH({"Auto Number"}, $B7))) &gt; 0, $B7, IF(SUMPRODUCT(-- ISNUMBER(SEARCH({"Lookup","Master-Detail"}, $B7))) &gt; 0,$B7 &amp; "(" &amp; $E7 &amp; ")",IF(SUMPRODUCT(-- ISNUMBER(SEARCH({"Formula","Roll-Up Summary"}, $B7))) &gt; 0,$B7 &amp; " (" &amp; $E7 &amp; ")",IF(SUMPRODUCT(-- ISNUMBER(SEARCH({"Content","Currency","Number","Percent","Text","URL"}, $B7))) &gt; 0,$B7 &amp; "(" &amp; $C7 &amp; ")",$B7)))), "  ", TRIM(IF($S7 = "YES", "(External ID)", "") &amp; " " &amp; IF(SUMPRODUCT(-- ISNUMBER(SEARCH({"Unique","Unique Case Insensitive"}, $R7))) &gt; 0, "(" &amp; $R7 &amp; ")", ""))))</f>
        <v>Text Area(255)</v>
      </c>
      <c r="E7" s="7" t="s">
        <v>195</v>
      </c>
      <c r="F7" s="7" t="s">
        <v>326</v>
      </c>
      <c r="G7" s="7" t="s">
        <v>350</v>
      </c>
      <c r="H7" s="7" t="s">
        <v>195</v>
      </c>
      <c r="I7" s="7" t="s">
        <v>195</v>
      </c>
      <c r="J7" s="7" t="s">
        <v>195</v>
      </c>
      <c r="K7" s="7" t="s">
        <v>195</v>
      </c>
      <c r="L7" s="7" t="s">
        <v>195</v>
      </c>
      <c r="M7" s="7" t="s">
        <v>29</v>
      </c>
      <c r="N7" s="7" t="s">
        <v>29</v>
      </c>
      <c r="O7" s="7" t="s">
        <v>29</v>
      </c>
      <c r="P7" s="7" t="s">
        <v>29</v>
      </c>
      <c r="Q7" s="7" t="s">
        <v>29</v>
      </c>
      <c r="R7" s="7" t="s">
        <v>29</v>
      </c>
      <c r="S7" s="7" t="s">
        <v>29</v>
      </c>
    </row>
    <row r="8" spans="1:19">
      <c r="A8" s="7" t="s">
        <v>103</v>
      </c>
      <c r="B8" s="7" t="s">
        <v>1209</v>
      </c>
      <c r="C8" s="8">
        <v>1300</v>
      </c>
      <c r="D8" s="6" t="str">
        <f>LRTRIM(CONCATENATE(IF(SUMPRODUCT(-- ISNUMBER(SEARCH({"Auto Number"}, $B8))) &gt; 0, $B8, IF(SUMPRODUCT(-- ISNUMBER(SEARCH({"Lookup","Master-Detail"}, $B8))) &gt; 0,$B8 &amp; "(" &amp; $E8 &amp; ")",IF(SUMPRODUCT(-- ISNUMBER(SEARCH({"Formula","Roll-Up Summary"}, $B8))) &gt; 0,$B8 &amp; " (" &amp; $E8 &amp; ")",IF(SUMPRODUCT(-- ISNUMBER(SEARCH({"Content","Currency","Number","Percent","Text","URL"}, $B8))) &gt; 0,$B8 &amp; "(" &amp; $C8 &amp; ")",$B8)))), "  ", TRIM(IF($S8 = "YES", "(External ID)", "") &amp; " " &amp; IF(SUMPRODUCT(-- ISNUMBER(SEARCH({"Unique","Unique Case Insensitive"}, $R8))) &gt; 0, "(" &amp; $R8 &amp; ")", ""))))</f>
        <v>Formula (Text)</v>
      </c>
      <c r="E8" s="7" t="s">
        <v>1218</v>
      </c>
      <c r="F8" s="7" t="s">
        <v>202</v>
      </c>
      <c r="G8" s="7" t="s">
        <v>519</v>
      </c>
      <c r="H8" s="7" t="s">
        <v>195</v>
      </c>
      <c r="I8" s="7" t="s">
        <v>195</v>
      </c>
      <c r="J8" s="7" t="s">
        <v>195</v>
      </c>
      <c r="K8" s="7" t="s">
        <v>195</v>
      </c>
      <c r="L8" s="7" t="s">
        <v>195</v>
      </c>
      <c r="M8" s="7" t="s">
        <v>29</v>
      </c>
      <c r="N8" s="7" t="s">
        <v>29</v>
      </c>
      <c r="O8" s="7" t="s">
        <v>29</v>
      </c>
      <c r="P8" s="7" t="s">
        <v>29</v>
      </c>
      <c r="Q8" s="7" t="s">
        <v>29</v>
      </c>
      <c r="R8" s="7" t="s">
        <v>29</v>
      </c>
      <c r="S8" s="7" t="s">
        <v>29</v>
      </c>
    </row>
    <row r="9" spans="1:19">
      <c r="A9" s="7" t="s">
        <v>11</v>
      </c>
      <c r="B9" s="7" t="s">
        <v>1218</v>
      </c>
      <c r="C9" s="8">
        <v>200</v>
      </c>
      <c r="D9" s="6" t="str">
        <f>LRTRIM(CONCATENATE(IF(SUMPRODUCT(-- ISNUMBER(SEARCH({"Auto Number"}, $B9))) &gt; 0, $B9, IF(SUMPRODUCT(-- ISNUMBER(SEARCH({"Lookup","Master-Detail"}, $B9))) &gt; 0,$B9 &amp; "(" &amp; $E9 &amp; ")",IF(SUMPRODUCT(-- ISNUMBER(SEARCH({"Formula","Roll-Up Summary"}, $B9))) &gt; 0,$B9 &amp; " (" &amp; $E9 &amp; ")",IF(SUMPRODUCT(-- ISNUMBER(SEARCH({"Content","Currency","Number","Percent","Text","URL"}, $B9))) &gt; 0,$B9 &amp; "(" &amp; $C9 &amp; ")",$B9)))), "  ", TRIM(IF($S9 = "YES", "(External ID)", "") &amp; " " &amp; IF(SUMPRODUCT(-- ISNUMBER(SEARCH({"Unique","Unique Case Insensitive"}, $R9))) &gt; 0, "(" &amp; $R9 &amp; ")", ""))))</f>
        <v>Text(200)</v>
      </c>
      <c r="E9" s="7" t="s">
        <v>195</v>
      </c>
      <c r="F9" s="7" t="s">
        <v>555</v>
      </c>
      <c r="G9" s="7" t="s">
        <v>195</v>
      </c>
      <c r="H9" s="7" t="s">
        <v>195</v>
      </c>
      <c r="I9" s="7" t="s">
        <v>195</v>
      </c>
      <c r="J9" s="7" t="s">
        <v>195</v>
      </c>
      <c r="K9" s="7" t="s">
        <v>195</v>
      </c>
      <c r="L9" s="7" t="s">
        <v>195</v>
      </c>
      <c r="M9" s="7" t="s">
        <v>29</v>
      </c>
      <c r="N9" s="7" t="s">
        <v>29</v>
      </c>
      <c r="O9" s="7" t="s">
        <v>29</v>
      </c>
      <c r="P9" s="7" t="s">
        <v>29</v>
      </c>
      <c r="Q9" s="7" t="s">
        <v>29</v>
      </c>
      <c r="R9" s="7" t="s">
        <v>29</v>
      </c>
      <c r="S9" s="7" t="s">
        <v>29</v>
      </c>
    </row>
    <row r="10" spans="1:19">
      <c r="A10" s="7" t="s">
        <v>883</v>
      </c>
      <c r="B10" s="7" t="s">
        <v>1476</v>
      </c>
      <c r="C10" s="8">
        <v>5000</v>
      </c>
      <c r="D10" s="6" t="str">
        <f>LRTRIM(CONCATENATE(IF(SUMPRODUCT(-- ISNUMBER(SEARCH({"Auto Number"}, $B10))) &gt; 0, $B10, IF(SUMPRODUCT(-- ISNUMBER(SEARCH({"Lookup","Master-Detail"}, $B10))) &gt; 0,$B10 &amp; "(" &amp; $E10 &amp; ")",IF(SUMPRODUCT(-- ISNUMBER(SEARCH({"Formula","Roll-Up Summary"}, $B10))) &gt; 0,$B10 &amp; " (" &amp; $E10 &amp; ")",IF(SUMPRODUCT(-- ISNUMBER(SEARCH({"Content","Currency","Number","Percent","Text","URL"}, $B10))) &gt; 0,$B10 &amp; "(" &amp; $C10 &amp; ")",$B10)))), "  ", TRIM(IF($S10 = "YES", "(External ID)", "") &amp; " " &amp; IF(SUMPRODUCT(-- ISNUMBER(SEARCH({"Unique","Unique Case Insensitive"}, $R10))) &gt; 0, "(" &amp; $R10 &amp; ")", ""))))</f>
        <v>Long Text Area(5000)</v>
      </c>
      <c r="E10" s="7" t="s">
        <v>195</v>
      </c>
      <c r="F10" s="7" t="s">
        <v>854</v>
      </c>
      <c r="G10" s="7" t="s">
        <v>931</v>
      </c>
      <c r="H10" s="7" t="s">
        <v>195</v>
      </c>
      <c r="I10" s="7" t="s">
        <v>195</v>
      </c>
      <c r="J10" s="7" t="s">
        <v>195</v>
      </c>
      <c r="K10" s="7" t="s">
        <v>195</v>
      </c>
      <c r="L10" s="7" t="s">
        <v>195</v>
      </c>
      <c r="M10" s="7" t="s">
        <v>29</v>
      </c>
      <c r="N10" s="7" t="s">
        <v>29</v>
      </c>
      <c r="O10" s="7" t="s">
        <v>29</v>
      </c>
      <c r="P10" s="7" t="s">
        <v>29</v>
      </c>
      <c r="Q10" s="7" t="s">
        <v>29</v>
      </c>
      <c r="R10" s="7" t="s">
        <v>29</v>
      </c>
      <c r="S10" s="7" t="s">
        <v>29</v>
      </c>
    </row>
    <row r="11" spans="1:19">
      <c r="A11" s="7" t="s">
        <v>13</v>
      </c>
      <c r="B11" s="7" t="s">
        <v>1218</v>
      </c>
      <c r="C11" s="8">
        <v>10</v>
      </c>
      <c r="D11" s="6" t="str">
        <f>LRTRIM(CONCATENATE(IF(SUMPRODUCT(-- ISNUMBER(SEARCH({"Auto Number"}, $B11))) &gt; 0, $B11, IF(SUMPRODUCT(-- ISNUMBER(SEARCH({"Lookup","Master-Detail"}, $B11))) &gt; 0,$B11 &amp; "(" &amp; $E11 &amp; ")",IF(SUMPRODUCT(-- ISNUMBER(SEARCH({"Formula","Roll-Up Summary"}, $B11))) &gt; 0,$B11 &amp; " (" &amp; $E11 &amp; ")",IF(SUMPRODUCT(-- ISNUMBER(SEARCH({"Content","Currency","Number","Percent","Text","URL"}, $B11))) &gt; 0,$B11 &amp; "(" &amp; $C11 &amp; ")",$B11)))), "  ", TRIM(IF($S11 = "YES", "(External ID)", "") &amp; " " &amp; IF(SUMPRODUCT(-- ISNUMBER(SEARCH({"Unique","Unique Case Insensitive"}, $R11))) &gt; 0, "(" &amp; $R11 &amp; ")", ""))))</f>
        <v>Text(10)</v>
      </c>
      <c r="E11" s="7" t="s">
        <v>195</v>
      </c>
      <c r="F11" s="7" t="s">
        <v>160</v>
      </c>
      <c r="G11" s="7" t="s">
        <v>160</v>
      </c>
      <c r="H11" s="7" t="s">
        <v>195</v>
      </c>
      <c r="I11" s="7" t="s">
        <v>195</v>
      </c>
      <c r="J11" s="7" t="s">
        <v>195</v>
      </c>
      <c r="K11" s="7" t="s">
        <v>195</v>
      </c>
      <c r="L11" s="7" t="s">
        <v>195</v>
      </c>
      <c r="M11" s="7" t="s">
        <v>29</v>
      </c>
      <c r="N11" s="7" t="s">
        <v>29</v>
      </c>
      <c r="O11" s="7" t="s">
        <v>29</v>
      </c>
      <c r="P11" s="7" t="s">
        <v>29</v>
      </c>
      <c r="Q11" s="7" t="s">
        <v>29</v>
      </c>
      <c r="R11" s="7" t="s">
        <v>29</v>
      </c>
      <c r="S11" s="7" t="s">
        <v>29</v>
      </c>
    </row>
    <row r="12" spans="1:19">
      <c r="A12" s="7" t="s">
        <v>884</v>
      </c>
      <c r="B12" s="7" t="s">
        <v>1215</v>
      </c>
      <c r="C12" s="8">
        <v>255</v>
      </c>
      <c r="D12" s="6" t="str">
        <f>LRTRIM(CONCATENATE(IF(SUMPRODUCT(-- ISNUMBER(SEARCH({"Auto Number"}, $B12))) &gt; 0, $B12, IF(SUMPRODUCT(-- ISNUMBER(SEARCH({"Lookup","Master-Detail"}, $B12))) &gt; 0,$B12 &amp; "(" &amp; $E12 &amp; ")",IF(SUMPRODUCT(-- ISNUMBER(SEARCH({"Formula","Roll-Up Summary"}, $B12))) &gt; 0,$B12 &amp; " (" &amp; $E12 &amp; ")",IF(SUMPRODUCT(-- ISNUMBER(SEARCH({"Content","Currency","Number","Percent","Text","URL"}, $B12))) &gt; 0,$B12 &amp; "(" &amp; $C12 &amp; ")",$B12)))), "  ", TRIM(IF($S12 = "YES", "(External ID)", "") &amp; " " &amp; IF(SUMPRODUCT(-- ISNUMBER(SEARCH({"Unique","Unique Case Insensitive"}, $R12))) &gt; 0, "(" &amp; $R12 &amp; ")", ""))))</f>
        <v>Picklist</v>
      </c>
      <c r="E12" s="7" t="s">
        <v>195</v>
      </c>
      <c r="F12" s="7" t="s">
        <v>909</v>
      </c>
      <c r="G12" s="7" t="s">
        <v>932</v>
      </c>
      <c r="H12" s="7" t="s">
        <v>195</v>
      </c>
      <c r="I12" s="7" t="s">
        <v>906</v>
      </c>
      <c r="J12" s="7" t="s">
        <v>949</v>
      </c>
      <c r="K12" s="7" t="s">
        <v>195</v>
      </c>
      <c r="L12" s="7" t="s">
        <v>195</v>
      </c>
      <c r="M12" s="7" t="s">
        <v>29</v>
      </c>
      <c r="N12" s="7" t="s">
        <v>29</v>
      </c>
      <c r="O12" s="7" t="s">
        <v>29</v>
      </c>
      <c r="P12" s="7" t="s">
        <v>29</v>
      </c>
      <c r="Q12" s="7" t="s">
        <v>29</v>
      </c>
      <c r="R12" s="7" t="s">
        <v>29</v>
      </c>
      <c r="S12" s="7" t="s">
        <v>29</v>
      </c>
    </row>
    <row r="13" spans="1:19">
      <c r="A13" s="7" t="s">
        <v>885</v>
      </c>
      <c r="B13" s="7" t="s">
        <v>1204</v>
      </c>
      <c r="C13" s="8">
        <v>0</v>
      </c>
      <c r="D13" s="6" t="str">
        <f>LRTRIM(CONCATENATE(IF(SUMPRODUCT(-- ISNUMBER(SEARCH({"Auto Number"}, $B13))) &gt; 0, $B13, IF(SUMPRODUCT(-- ISNUMBER(SEARCH({"Lookup","Master-Detail"}, $B13))) &gt; 0,$B13 &amp; "(" &amp; $E13 &amp; ")",IF(SUMPRODUCT(-- ISNUMBER(SEARCH({"Formula","Roll-Up Summary"}, $B13))) &gt; 0,$B13 &amp; " (" &amp; $E13 &amp; ")",IF(SUMPRODUCT(-- ISNUMBER(SEARCH({"Content","Currency","Number","Percent","Text","URL"}, $B13))) &gt; 0,$B13 &amp; "(" &amp; $C13 &amp; ")",$B13)))), "  ", TRIM(IF($S13 = "YES", "(External ID)", "") &amp; " " &amp; IF(SUMPRODUCT(-- ISNUMBER(SEARCH({"Unique","Unique Case Insensitive"}, $R13))) &gt; 0, "(" &amp; $R13 &amp; ")", ""))))</f>
        <v>Checkbox</v>
      </c>
      <c r="E13" s="7" t="s">
        <v>195</v>
      </c>
      <c r="F13" s="7" t="s">
        <v>910</v>
      </c>
      <c r="G13" s="7" t="s">
        <v>933</v>
      </c>
      <c r="H13" s="7" t="s">
        <v>195</v>
      </c>
      <c r="I13" s="7" t="s">
        <v>195</v>
      </c>
      <c r="J13" s="7" t="s">
        <v>195</v>
      </c>
      <c r="K13" s="7" t="s">
        <v>195</v>
      </c>
      <c r="L13" s="7" t="s">
        <v>195</v>
      </c>
      <c r="M13" s="7" t="s">
        <v>28</v>
      </c>
      <c r="N13" s="7" t="s">
        <v>29</v>
      </c>
      <c r="O13" s="7" t="s">
        <v>29</v>
      </c>
      <c r="P13" s="7" t="s">
        <v>29</v>
      </c>
      <c r="Q13" s="7" t="s">
        <v>29</v>
      </c>
      <c r="R13" s="7" t="s">
        <v>29</v>
      </c>
      <c r="S13" s="7" t="s">
        <v>29</v>
      </c>
    </row>
    <row r="14" spans="1:19">
      <c r="A14" s="7" t="s">
        <v>886</v>
      </c>
      <c r="B14" s="7" t="s">
        <v>1204</v>
      </c>
      <c r="C14" s="8">
        <v>0</v>
      </c>
      <c r="D14" s="6" t="str">
        <f>LRTRIM(CONCATENATE(IF(SUMPRODUCT(-- ISNUMBER(SEARCH({"Auto Number"}, $B14))) &gt; 0, $B14, IF(SUMPRODUCT(-- ISNUMBER(SEARCH({"Lookup","Master-Detail"}, $B14))) &gt; 0,$B14 &amp; "(" &amp; $E14 &amp; ")",IF(SUMPRODUCT(-- ISNUMBER(SEARCH({"Formula","Roll-Up Summary"}, $B14))) &gt; 0,$B14 &amp; " (" &amp; $E14 &amp; ")",IF(SUMPRODUCT(-- ISNUMBER(SEARCH({"Content","Currency","Number","Percent","Text","URL"}, $B14))) &gt; 0,$B14 &amp; "(" &amp; $C14 &amp; ")",$B14)))), "  ", TRIM(IF($S14 = "YES", "(External ID)", "") &amp; " " &amp; IF(SUMPRODUCT(-- ISNUMBER(SEARCH({"Unique","Unique Case Insensitive"}, $R14))) &gt; 0, "(" &amp; $R14 &amp; ")", ""))))</f>
        <v>Checkbox</v>
      </c>
      <c r="E14" s="7" t="s">
        <v>195</v>
      </c>
      <c r="F14" s="7" t="s">
        <v>911</v>
      </c>
      <c r="G14" s="7" t="s">
        <v>934</v>
      </c>
      <c r="H14" s="7" t="s">
        <v>195</v>
      </c>
      <c r="I14" s="7" t="s">
        <v>195</v>
      </c>
      <c r="J14" s="7" t="s">
        <v>195</v>
      </c>
      <c r="K14" s="7" t="s">
        <v>195</v>
      </c>
      <c r="L14" s="7" t="s">
        <v>195</v>
      </c>
      <c r="M14" s="7" t="s">
        <v>28</v>
      </c>
      <c r="N14" s="7" t="s">
        <v>29</v>
      </c>
      <c r="O14" s="7" t="s">
        <v>29</v>
      </c>
      <c r="P14" s="7" t="s">
        <v>29</v>
      </c>
      <c r="Q14" s="7" t="s">
        <v>29</v>
      </c>
      <c r="R14" s="7" t="s">
        <v>29</v>
      </c>
      <c r="S14" s="7" t="s">
        <v>29</v>
      </c>
    </row>
    <row r="15" spans="1:19">
      <c r="A15" s="7" t="s">
        <v>887</v>
      </c>
      <c r="B15" s="7" t="s">
        <v>1204</v>
      </c>
      <c r="C15" s="8">
        <v>0</v>
      </c>
      <c r="D15" s="6" t="str">
        <f>LRTRIM(CONCATENATE(IF(SUMPRODUCT(-- ISNUMBER(SEARCH({"Auto Number"}, $B15))) &gt; 0, $B15, IF(SUMPRODUCT(-- ISNUMBER(SEARCH({"Lookup","Master-Detail"}, $B15))) &gt; 0,$B15 &amp; "(" &amp; $E15 &amp; ")",IF(SUMPRODUCT(-- ISNUMBER(SEARCH({"Formula","Roll-Up Summary"}, $B15))) &gt; 0,$B15 &amp; " (" &amp; $E15 &amp; ")",IF(SUMPRODUCT(-- ISNUMBER(SEARCH({"Content","Currency","Number","Percent","Text","URL"}, $B15))) &gt; 0,$B15 &amp; "(" &amp; $C15 &amp; ")",$B15)))), "  ", TRIM(IF($S15 = "YES", "(External ID)", "") &amp; " " &amp; IF(SUMPRODUCT(-- ISNUMBER(SEARCH({"Unique","Unique Case Insensitive"}, $R15))) &gt; 0, "(" &amp; $R15 &amp; ")", ""))))</f>
        <v>Checkbox</v>
      </c>
      <c r="E15" s="7" t="s">
        <v>195</v>
      </c>
      <c r="F15" s="7" t="s">
        <v>912</v>
      </c>
      <c r="G15" s="7" t="s">
        <v>935</v>
      </c>
      <c r="H15" s="7" t="s">
        <v>195</v>
      </c>
      <c r="I15" s="7" t="s">
        <v>195</v>
      </c>
      <c r="J15" s="7" t="s">
        <v>195</v>
      </c>
      <c r="K15" s="7" t="s">
        <v>195</v>
      </c>
      <c r="L15" s="7" t="s">
        <v>195</v>
      </c>
      <c r="M15" s="7" t="s">
        <v>28</v>
      </c>
      <c r="N15" s="7" t="s">
        <v>29</v>
      </c>
      <c r="O15" s="7" t="s">
        <v>29</v>
      </c>
      <c r="P15" s="7" t="s">
        <v>29</v>
      </c>
      <c r="Q15" s="7" t="s">
        <v>29</v>
      </c>
      <c r="R15" s="7" t="s">
        <v>29</v>
      </c>
      <c r="S15" s="7" t="s">
        <v>29</v>
      </c>
    </row>
    <row r="16" spans="1:19">
      <c r="A16" s="7" t="s">
        <v>888</v>
      </c>
      <c r="B16" s="7" t="s">
        <v>1218</v>
      </c>
      <c r="C16" s="8">
        <v>80</v>
      </c>
      <c r="D16" s="6" t="str">
        <f>LRTRIM(CONCATENATE(IF(SUMPRODUCT(-- ISNUMBER(SEARCH({"Auto Number"}, $B16))) &gt; 0, $B16, IF(SUMPRODUCT(-- ISNUMBER(SEARCH({"Lookup","Master-Detail"}, $B16))) &gt; 0,$B16 &amp; "(" &amp; $E16 &amp; ")",IF(SUMPRODUCT(-- ISNUMBER(SEARCH({"Formula","Roll-Up Summary"}, $B16))) &gt; 0,$B16 &amp; " (" &amp; $E16 &amp; ")",IF(SUMPRODUCT(-- ISNUMBER(SEARCH({"Content","Currency","Number","Percent","Text","URL"}, $B16))) &gt; 0,$B16 &amp; "(" &amp; $C16 &amp; ")",$B16)))), "  ", TRIM(IF($S16 = "YES", "(External ID)", "") &amp; " " &amp; IF(SUMPRODUCT(-- ISNUMBER(SEARCH({"Unique","Unique Case Insensitive"}, $R16))) &gt; 0, "(" &amp; $R16 &amp; ")", ""))))</f>
        <v>Text(80)  (External ID)</v>
      </c>
      <c r="E16" s="7" t="s">
        <v>195</v>
      </c>
      <c r="F16" s="7" t="s">
        <v>913</v>
      </c>
      <c r="G16" s="7" t="s">
        <v>195</v>
      </c>
      <c r="H16" s="7" t="s">
        <v>195</v>
      </c>
      <c r="I16" s="7" t="s">
        <v>195</v>
      </c>
      <c r="J16" s="7" t="s">
        <v>195</v>
      </c>
      <c r="K16" s="7" t="s">
        <v>195</v>
      </c>
      <c r="L16" s="7" t="s">
        <v>195</v>
      </c>
      <c r="M16" s="7" t="s">
        <v>29</v>
      </c>
      <c r="N16" s="7" t="s">
        <v>29</v>
      </c>
      <c r="O16" s="7" t="s">
        <v>29</v>
      </c>
      <c r="P16" s="7" t="s">
        <v>29</v>
      </c>
      <c r="Q16" s="7" t="s">
        <v>29</v>
      </c>
      <c r="R16" s="7" t="s">
        <v>29</v>
      </c>
      <c r="S16" s="7" t="s">
        <v>28</v>
      </c>
    </row>
    <row r="17" spans="1:19">
      <c r="A17" s="7" t="s">
        <v>889</v>
      </c>
      <c r="B17" s="7" t="s">
        <v>1207</v>
      </c>
      <c r="C17" s="8">
        <v>0</v>
      </c>
      <c r="D17" s="6" t="str">
        <f>LRTRIM(CONCATENATE(IF(SUMPRODUCT(-- ISNUMBER(SEARCH({"Auto Number"}, $B17))) &gt; 0, $B17, IF(SUMPRODUCT(-- ISNUMBER(SEARCH({"Lookup","Master-Detail"}, $B17))) &gt; 0,$B17 &amp; "(" &amp; $E17 &amp; ")",IF(SUMPRODUCT(-- ISNUMBER(SEARCH({"Formula","Roll-Up Summary"}, $B17))) &gt; 0,$B17 &amp; " (" &amp; $E17 &amp; ")",IF(SUMPRODUCT(-- ISNUMBER(SEARCH({"Content","Currency","Number","Percent","Text","URL"}, $B17))) &gt; 0,$B17 &amp; "(" &amp; $C17 &amp; ")",$B17)))), "  ", TRIM(IF($S17 = "YES", "(External ID)", "") &amp; " " &amp; IF(SUMPRODUCT(-- ISNUMBER(SEARCH({"Unique","Unique Case Insensitive"}, $R17))) &gt; 0, "(" &amp; $R17 &amp; ")", ""))))</f>
        <v>Date/Time</v>
      </c>
      <c r="E17" s="7" t="s">
        <v>195</v>
      </c>
      <c r="F17" s="7" t="s">
        <v>914</v>
      </c>
      <c r="G17" s="7" t="s">
        <v>936</v>
      </c>
      <c r="H17" s="7" t="s">
        <v>195</v>
      </c>
      <c r="I17" s="7" t="s">
        <v>195</v>
      </c>
      <c r="J17" s="7" t="s">
        <v>195</v>
      </c>
      <c r="K17" s="7" t="s">
        <v>195</v>
      </c>
      <c r="L17" s="7" t="s">
        <v>195</v>
      </c>
      <c r="M17" s="7" t="s">
        <v>29</v>
      </c>
      <c r="N17" s="7" t="s">
        <v>29</v>
      </c>
      <c r="O17" s="7" t="s">
        <v>29</v>
      </c>
      <c r="P17" s="7" t="s">
        <v>29</v>
      </c>
      <c r="Q17" s="7" t="s">
        <v>29</v>
      </c>
      <c r="R17" s="7" t="s">
        <v>29</v>
      </c>
      <c r="S17" s="7" t="s">
        <v>29</v>
      </c>
    </row>
    <row r="18" spans="1:19">
      <c r="A18" s="7" t="s">
        <v>14</v>
      </c>
      <c r="B18" s="7" t="s">
        <v>1204</v>
      </c>
      <c r="C18" s="8">
        <v>0</v>
      </c>
      <c r="D18" s="6" t="str">
        <f>LRTRIM(CONCATENATE(IF(SUMPRODUCT(-- ISNUMBER(SEARCH({"Auto Number"}, $B18))) &gt; 0, $B18, IF(SUMPRODUCT(-- ISNUMBER(SEARCH({"Lookup","Master-Detail"}, $B18))) &gt; 0,$B18 &amp; "(" &amp; $E18 &amp; ")",IF(SUMPRODUCT(-- ISNUMBER(SEARCH({"Formula","Roll-Up Summary"}, $B18))) &gt; 0,$B18 &amp; " (" &amp; $E18 &amp; ")",IF(SUMPRODUCT(-- ISNUMBER(SEARCH({"Content","Currency","Number","Percent","Text","URL"}, $B18))) &gt; 0,$B18 &amp; "(" &amp; $C18 &amp; ")",$B18)))), "  ", TRIM(IF($S18 = "YES", "(External ID)", "") &amp; " " &amp; IF(SUMPRODUCT(-- ISNUMBER(SEARCH({"Unique","Unique Case Insensitive"}, $R18))) &gt; 0, "(" &amp; $R18 &amp; ")", ""))))</f>
        <v>Checkbox</v>
      </c>
      <c r="E18" s="7" t="s">
        <v>195</v>
      </c>
      <c r="F18" s="7" t="s">
        <v>25</v>
      </c>
      <c r="G18" s="7" t="s">
        <v>195</v>
      </c>
      <c r="H18" s="7" t="s">
        <v>195</v>
      </c>
      <c r="I18" s="7" t="s">
        <v>195</v>
      </c>
      <c r="J18" s="7" t="s">
        <v>195</v>
      </c>
      <c r="K18" s="7" t="s">
        <v>195</v>
      </c>
      <c r="L18" s="7" t="s">
        <v>195</v>
      </c>
      <c r="M18" s="7" t="s">
        <v>28</v>
      </c>
      <c r="N18" s="7" t="s">
        <v>29</v>
      </c>
      <c r="O18" s="7" t="s">
        <v>29</v>
      </c>
      <c r="P18" s="7" t="s">
        <v>29</v>
      </c>
      <c r="Q18" s="7" t="s">
        <v>29</v>
      </c>
      <c r="R18" s="7" t="s">
        <v>29</v>
      </c>
      <c r="S18" s="7" t="s">
        <v>29</v>
      </c>
    </row>
    <row r="19" spans="1:19">
      <c r="A19" s="7" t="s">
        <v>2</v>
      </c>
      <c r="B19" s="7" t="s">
        <v>1218</v>
      </c>
      <c r="C19" s="8">
        <v>80</v>
      </c>
      <c r="D19" s="6" t="str">
        <f>LRTRIM(CONCATENATE(IF(SUMPRODUCT(-- ISNUMBER(SEARCH({"Auto Number"}, $B19))) &gt; 0, $B19, IF(SUMPRODUCT(-- ISNUMBER(SEARCH({"Lookup","Master-Detail"}, $B19))) &gt; 0,$B19 &amp; "(" &amp; $E19 &amp; ")",IF(SUMPRODUCT(-- ISNUMBER(SEARCH({"Formula","Roll-Up Summary"}, $B19))) &gt; 0,$B19 &amp; " (" &amp; $E19 &amp; ")",IF(SUMPRODUCT(-- ISNUMBER(SEARCH({"Content","Currency","Number","Percent","Text","URL"}, $B19))) &gt; 0,$B19 &amp; "(" &amp; $C19 &amp; ")",$B19)))), "  ", TRIM(IF($S19 = "YES", "(External ID)", "") &amp; " " &amp; IF(SUMPRODUCT(-- ISNUMBER(SEARCH({"Unique","Unique Case Insensitive"}, $R19))) &gt; 0, "(" &amp; $R19 &amp; ")", ""))))</f>
        <v>Text(80)</v>
      </c>
      <c r="E19" s="7" t="s">
        <v>195</v>
      </c>
      <c r="F19" s="7" t="s">
        <v>915</v>
      </c>
      <c r="G19" s="7" t="s">
        <v>195</v>
      </c>
      <c r="H19" s="7" t="s">
        <v>195</v>
      </c>
      <c r="I19" s="7" t="s">
        <v>195</v>
      </c>
      <c r="J19" s="7" t="s">
        <v>195</v>
      </c>
      <c r="K19" s="7" t="s">
        <v>195</v>
      </c>
      <c r="L19" s="7" t="s">
        <v>195</v>
      </c>
      <c r="M19" s="7" t="s">
        <v>29</v>
      </c>
      <c r="N19" s="7" t="s">
        <v>29</v>
      </c>
      <c r="O19" s="7" t="s">
        <v>29</v>
      </c>
      <c r="P19" s="7" t="s">
        <v>29</v>
      </c>
      <c r="Q19" s="7" t="s">
        <v>29</v>
      </c>
      <c r="R19" s="7" t="s">
        <v>29</v>
      </c>
      <c r="S19" s="7" t="s">
        <v>29</v>
      </c>
    </row>
    <row r="20" spans="1:19">
      <c r="A20" s="7" t="s">
        <v>87</v>
      </c>
      <c r="B20" s="7" t="s">
        <v>1211</v>
      </c>
      <c r="C20" s="8">
        <v>18</v>
      </c>
      <c r="D20" s="6" t="str">
        <f>LRTRIM(CONCATENATE(IF(SUMPRODUCT(-- ISNUMBER(SEARCH({"Auto Number"}, $B20))) &gt; 0, $B20, IF(SUMPRODUCT(-- ISNUMBER(SEARCH({"Lookup","Master-Detail"}, $B20))) &gt; 0,$B20 &amp; "(" &amp; $E20 &amp; ")",IF(SUMPRODUCT(-- ISNUMBER(SEARCH({"Formula","Roll-Up Summary"}, $B20))) &gt; 0,$B20 &amp; " (" &amp; $E20 &amp; ")",IF(SUMPRODUCT(-- ISNUMBER(SEARCH({"Content","Currency","Number","Percent","Text","URL"}, $B20))) &gt; 0,$B20 &amp; "(" &amp; $C20 &amp; ")",$B20)))), "  ", TRIM(IF($S20 = "YES", "(External ID)", "") &amp; " " &amp; IF(SUMPRODUCT(-- ISNUMBER(SEARCH({"Unique","Unique Case Insensitive"}, $R20))) &gt; 0, "(" &amp; $R20 &amp; ")", ""))))</f>
        <v>Lookup(User,Group)</v>
      </c>
      <c r="E20" s="7" t="s">
        <v>1290</v>
      </c>
      <c r="F20" s="7" t="s">
        <v>1292</v>
      </c>
      <c r="G20" s="7" t="s">
        <v>195</v>
      </c>
      <c r="H20" s="7" t="s">
        <v>195</v>
      </c>
      <c r="I20" s="7" t="s">
        <v>195</v>
      </c>
      <c r="J20" s="7" t="s">
        <v>195</v>
      </c>
      <c r="K20" s="7" t="s">
        <v>195</v>
      </c>
      <c r="L20" s="7" t="s">
        <v>195</v>
      </c>
      <c r="M20" s="7" t="s">
        <v>28</v>
      </c>
      <c r="N20" s="7" t="s">
        <v>29</v>
      </c>
      <c r="O20" s="7" t="s">
        <v>29</v>
      </c>
      <c r="P20" s="7" t="s">
        <v>29</v>
      </c>
      <c r="Q20" s="7" t="s">
        <v>29</v>
      </c>
      <c r="R20" s="7" t="s">
        <v>29</v>
      </c>
      <c r="S20" s="7" t="s">
        <v>29</v>
      </c>
    </row>
    <row r="21" spans="1:19">
      <c r="A21" s="7" t="s">
        <v>890</v>
      </c>
      <c r="B21" s="7" t="s">
        <v>1211</v>
      </c>
      <c r="C21" s="8">
        <v>18</v>
      </c>
      <c r="D21" s="6" t="str">
        <f>LRTRIM(CONCATENATE(IF(SUMPRODUCT(-- ISNUMBER(SEARCH({"Auto Number"}, $B21))) &gt; 0, $B21, IF(SUMPRODUCT(-- ISNUMBER(SEARCH({"Lookup","Master-Detail"}, $B21))) &gt; 0,$B21 &amp; "(" &amp; $E21 &amp; ")",IF(SUMPRODUCT(-- ISNUMBER(SEARCH({"Formula","Roll-Up Summary"}, $B21))) &gt; 0,$B21 &amp; " (" &amp; $E21 &amp; ")",IF(SUMPRODUCT(-- ISNUMBER(SEARCH({"Content","Currency","Number","Percent","Text","URL"}, $B21))) &gt; 0,$B21 &amp; "(" &amp; $C21 &amp; ")",$B21)))), "  ", TRIM(IF($S21 = "YES", "(External ID)", "") &amp; " " &amp; IF(SUMPRODUCT(-- ISNUMBER(SEARCH({"Unique","Unique Case Insensitive"}, $R21))) &gt; 0, "(" &amp; $R21 &amp; ")", ""))))</f>
        <v>Lookup(iSuite Task)</v>
      </c>
      <c r="E21" s="7" t="s">
        <v>1608</v>
      </c>
      <c r="F21" s="7" t="s">
        <v>916</v>
      </c>
      <c r="G21" s="7" t="s">
        <v>938</v>
      </c>
      <c r="H21" s="7" t="s">
        <v>195</v>
      </c>
      <c r="I21" s="7" t="s">
        <v>195</v>
      </c>
      <c r="J21" s="7" t="s">
        <v>195</v>
      </c>
      <c r="K21" s="7" t="s">
        <v>195</v>
      </c>
      <c r="L21" s="7" t="s">
        <v>195</v>
      </c>
      <c r="M21" s="7" t="s">
        <v>29</v>
      </c>
      <c r="N21" s="7" t="s">
        <v>29</v>
      </c>
      <c r="O21" s="7" t="s">
        <v>29</v>
      </c>
      <c r="P21" s="7" t="s">
        <v>29</v>
      </c>
      <c r="Q21" s="7" t="s">
        <v>29</v>
      </c>
      <c r="R21" s="7" t="s">
        <v>29</v>
      </c>
      <c r="S21" s="7" t="s">
        <v>29</v>
      </c>
    </row>
    <row r="22" spans="1:19">
      <c r="A22" s="7" t="s">
        <v>891</v>
      </c>
      <c r="B22" s="7" t="s">
        <v>1218</v>
      </c>
      <c r="C22" s="8">
        <v>80</v>
      </c>
      <c r="D22" s="6" t="str">
        <f>LRTRIM(CONCATENATE(IF(SUMPRODUCT(-- ISNUMBER(SEARCH({"Auto Number"}, $B22))) &gt; 0, $B22, IF(SUMPRODUCT(-- ISNUMBER(SEARCH({"Lookup","Master-Detail"}, $B22))) &gt; 0,$B22 &amp; "(" &amp; $E22 &amp; ")",IF(SUMPRODUCT(-- ISNUMBER(SEARCH({"Formula","Roll-Up Summary"}, $B22))) &gt; 0,$B22 &amp; " (" &amp; $E22 &amp; ")",IF(SUMPRODUCT(-- ISNUMBER(SEARCH({"Content","Currency","Number","Percent","Text","URL"}, $B22))) &gt; 0,$B22 &amp; "(" &amp; $C22 &amp; ")",$B22)))), "  ", TRIM(IF($S22 = "YES", "(External ID)", "") &amp; " " &amp; IF(SUMPRODUCT(-- ISNUMBER(SEARCH({"Unique","Unique Case Insensitive"}, $R22))) &gt; 0, "(" &amp; $R22 &amp; ")", ""))))</f>
        <v>Text(80)</v>
      </c>
      <c r="E22" s="7" t="s">
        <v>195</v>
      </c>
      <c r="F22" s="7" t="s">
        <v>917</v>
      </c>
      <c r="G22" s="7" t="s">
        <v>917</v>
      </c>
      <c r="H22" s="7" t="s">
        <v>195</v>
      </c>
      <c r="I22" s="7" t="s">
        <v>195</v>
      </c>
      <c r="J22" s="7" t="s">
        <v>195</v>
      </c>
      <c r="K22" s="7" t="s">
        <v>195</v>
      </c>
      <c r="L22" s="7" t="s">
        <v>195</v>
      </c>
      <c r="M22" s="7" t="s">
        <v>29</v>
      </c>
      <c r="N22" s="7" t="s">
        <v>29</v>
      </c>
      <c r="O22" s="7" t="s">
        <v>29</v>
      </c>
      <c r="P22" s="7" t="s">
        <v>29</v>
      </c>
      <c r="Q22" s="7" t="s">
        <v>29</v>
      </c>
      <c r="R22" s="7" t="s">
        <v>29</v>
      </c>
      <c r="S22" s="7" t="s">
        <v>29</v>
      </c>
    </row>
    <row r="23" spans="1:19">
      <c r="A23" s="7" t="s">
        <v>454</v>
      </c>
      <c r="B23" s="7" t="s">
        <v>1211</v>
      </c>
      <c r="C23" s="8">
        <v>18</v>
      </c>
      <c r="D23" s="6" t="str">
        <f>LRTRIM(CONCATENATE(IF(SUMPRODUCT(-- ISNUMBER(SEARCH({"Auto Number"}, $B23))) &gt; 0, $B23, IF(SUMPRODUCT(-- ISNUMBER(SEARCH({"Lookup","Master-Detail"}, $B23))) &gt; 0,$B23 &amp; "(" &amp; $E23 &amp; ")",IF(SUMPRODUCT(-- ISNUMBER(SEARCH({"Formula","Roll-Up Summary"}, $B23))) &gt; 0,$B23 &amp; " (" &amp; $E23 &amp; ")",IF(SUMPRODUCT(-- ISNUMBER(SEARCH({"Content","Currency","Number","Percent","Text","URL"}, $B23))) &gt; 0,$B23 &amp; "(" &amp; $C23 &amp; ")",$B23)))), "  ", TRIM(IF($S23 = "YES", "(External ID)", "") &amp; " " &amp; IF(SUMPRODUCT(-- ISNUMBER(SEARCH({"Unique","Unique Case Insensitive"}, $R23))) &gt; 0, "(" &amp; $R23 &amp; ")", ""))))</f>
        <v>Lookup(Policy)</v>
      </c>
      <c r="E23" s="7" t="s">
        <v>1609</v>
      </c>
      <c r="F23" s="7" t="s">
        <v>749</v>
      </c>
      <c r="G23" s="7" t="s">
        <v>939</v>
      </c>
      <c r="H23" s="7" t="s">
        <v>195</v>
      </c>
      <c r="I23" s="7" t="s">
        <v>195</v>
      </c>
      <c r="J23" s="7" t="s">
        <v>195</v>
      </c>
      <c r="K23" s="7" t="s">
        <v>195</v>
      </c>
      <c r="L23" s="7" t="s">
        <v>195</v>
      </c>
      <c r="M23" s="7" t="s">
        <v>29</v>
      </c>
      <c r="N23" s="7" t="s">
        <v>29</v>
      </c>
      <c r="O23" s="7" t="s">
        <v>29</v>
      </c>
      <c r="P23" s="7" t="s">
        <v>29</v>
      </c>
      <c r="Q23" s="7" t="s">
        <v>29</v>
      </c>
      <c r="R23" s="7" t="s">
        <v>29</v>
      </c>
      <c r="S23" s="7" t="s">
        <v>29</v>
      </c>
    </row>
    <row r="24" spans="1:19">
      <c r="A24" s="7" t="s">
        <v>892</v>
      </c>
      <c r="B24" s="7" t="s">
        <v>1215</v>
      </c>
      <c r="C24" s="8">
        <v>255</v>
      </c>
      <c r="D24" s="6" t="str">
        <f>LRTRIM(CONCATENATE(IF(SUMPRODUCT(-- ISNUMBER(SEARCH({"Auto Number"}, $B24))) &gt; 0, $B24, IF(SUMPRODUCT(-- ISNUMBER(SEARCH({"Lookup","Master-Detail"}, $B24))) &gt; 0,$B24 &amp; "(" &amp; $E24 &amp; ")",IF(SUMPRODUCT(-- ISNUMBER(SEARCH({"Formula","Roll-Up Summary"}, $B24))) &gt; 0,$B24 &amp; " (" &amp; $E24 &amp; ")",IF(SUMPRODUCT(-- ISNUMBER(SEARCH({"Content","Currency","Number","Percent","Text","URL"}, $B24))) &gt; 0,$B24 &amp; "(" &amp; $C24 &amp; ")",$B24)))), "  ", TRIM(IF($S24 = "YES", "(External ID)", "") &amp; " " &amp; IF(SUMPRODUCT(-- ISNUMBER(SEARCH({"Unique","Unique Case Insensitive"}, $R24))) &gt; 0, "(" &amp; $R24 &amp; ")", ""))))</f>
        <v>Picklist</v>
      </c>
      <c r="E24" s="7" t="s">
        <v>195</v>
      </c>
      <c r="F24" s="7" t="s">
        <v>918</v>
      </c>
      <c r="G24" s="7" t="s">
        <v>940</v>
      </c>
      <c r="H24" s="7" t="s">
        <v>195</v>
      </c>
      <c r="I24" s="7" t="s">
        <v>905</v>
      </c>
      <c r="J24" s="7" t="s">
        <v>195</v>
      </c>
      <c r="K24" s="7" t="s">
        <v>195</v>
      </c>
      <c r="L24" s="7" t="s">
        <v>195</v>
      </c>
      <c r="M24" s="7" t="s">
        <v>29</v>
      </c>
      <c r="N24" s="7" t="s">
        <v>29</v>
      </c>
      <c r="O24" s="7" t="s">
        <v>29</v>
      </c>
      <c r="P24" s="7" t="s">
        <v>29</v>
      </c>
      <c r="Q24" s="7" t="s">
        <v>29</v>
      </c>
      <c r="R24" s="7" t="s">
        <v>29</v>
      </c>
      <c r="S24" s="7" t="s">
        <v>29</v>
      </c>
    </row>
    <row r="25" spans="1:19">
      <c r="A25" s="7" t="s">
        <v>98</v>
      </c>
      <c r="B25" s="7" t="s">
        <v>1209</v>
      </c>
      <c r="C25" s="8" t="s">
        <v>195</v>
      </c>
      <c r="D25" s="6" t="str">
        <f>LRTRIM(CONCATENATE(IF(SUMPRODUCT(-- ISNUMBER(SEARCH({"Auto Number"}, $B25))) &gt; 0, $B25, IF(SUMPRODUCT(-- ISNUMBER(SEARCH({"Lookup","Master-Detail"}, $B25))) &gt; 0,$B25 &amp; "(" &amp; $E25 &amp; ")",IF(SUMPRODUCT(-- ISNUMBER(SEARCH({"Formula","Roll-Up Summary"}, $B25))) &gt; 0,$B25 &amp; " (" &amp; $E25 &amp; ")",IF(SUMPRODUCT(-- ISNUMBER(SEARCH({"Content","Currency","Number","Percent","Text","URL"}, $B25))) &gt; 0,$B25 &amp; "(" &amp; $C25 &amp; ")",$B25)))), "  ", TRIM(IF($S25 = "YES", "(External ID)", "") &amp; " " &amp; IF(SUMPRODUCT(-- ISNUMBER(SEARCH({"Unique","Unique Case Insensitive"}, $R25))) &gt; 0, "(" &amp; $R25 &amp; ")", ""))))</f>
        <v>Formula (Text)</v>
      </c>
      <c r="E25" s="7" t="s">
        <v>1218</v>
      </c>
      <c r="F25" s="7" t="s">
        <v>148</v>
      </c>
      <c r="G25" s="7" t="s">
        <v>148</v>
      </c>
      <c r="H25" s="7" t="s">
        <v>195</v>
      </c>
      <c r="I25" s="7" t="s">
        <v>195</v>
      </c>
      <c r="J25" s="7" t="s">
        <v>195</v>
      </c>
      <c r="K25" s="7" t="s">
        <v>195</v>
      </c>
      <c r="L25" s="7" t="s">
        <v>195</v>
      </c>
      <c r="M25" s="7" t="s">
        <v>29</v>
      </c>
      <c r="N25" s="7" t="s">
        <v>29</v>
      </c>
      <c r="O25" s="7" t="s">
        <v>29</v>
      </c>
      <c r="P25" s="7" t="s">
        <v>29</v>
      </c>
      <c r="Q25" s="7" t="s">
        <v>29</v>
      </c>
      <c r="R25" s="7" t="s">
        <v>29</v>
      </c>
      <c r="S25" s="7" t="s">
        <v>29</v>
      </c>
    </row>
    <row r="26" spans="1:19">
      <c r="A26" s="7" t="s">
        <v>893</v>
      </c>
      <c r="B26" s="7" t="s">
        <v>1213</v>
      </c>
      <c r="C26" s="8" t="s">
        <v>1250</v>
      </c>
      <c r="D26" s="6" t="str">
        <f>LRTRIM(CONCATENATE(IF(SUMPRODUCT(-- ISNUMBER(SEARCH({"Auto Number"}, $B26))) &gt; 0, $B26, IF(SUMPRODUCT(-- ISNUMBER(SEARCH({"Lookup","Master-Detail"}, $B26))) &gt; 0,$B26 &amp; "(" &amp; $E26 &amp; ")",IF(SUMPRODUCT(-- ISNUMBER(SEARCH({"Formula","Roll-Up Summary"}, $B26))) &gt; 0,$B26 &amp; " (" &amp; $E26 &amp; ")",IF(SUMPRODUCT(-- ISNUMBER(SEARCH({"Content","Currency","Number","Percent","Text","URL"}, $B26))) &gt; 0,$B26 &amp; "(" &amp; $C26 &amp; ")",$B26)))), "  ", TRIM(IF($S26 = "YES", "(External ID)", "") &amp; " " &amp; IF(SUMPRODUCT(-- ISNUMBER(SEARCH({"Unique","Unique Case Insensitive"}, $R26))) &gt; 0, "(" &amp; $R26 &amp; ")", ""))))</f>
        <v>Number(18, 0)</v>
      </c>
      <c r="E26" s="7" t="s">
        <v>195</v>
      </c>
      <c r="F26" s="7" t="s">
        <v>1610</v>
      </c>
      <c r="G26" s="7" t="s">
        <v>195</v>
      </c>
      <c r="H26" s="7" t="s">
        <v>195</v>
      </c>
      <c r="I26" s="7" t="s">
        <v>195</v>
      </c>
      <c r="J26" s="7" t="s">
        <v>195</v>
      </c>
      <c r="K26" s="7" t="s">
        <v>195</v>
      </c>
      <c r="L26" s="7" t="s">
        <v>195</v>
      </c>
      <c r="M26" s="7" t="s">
        <v>29</v>
      </c>
      <c r="N26" s="7" t="s">
        <v>29</v>
      </c>
      <c r="O26" s="7" t="s">
        <v>29</v>
      </c>
      <c r="P26" s="7" t="s">
        <v>29</v>
      </c>
      <c r="Q26" s="7" t="s">
        <v>29</v>
      </c>
      <c r="R26" s="7" t="s">
        <v>29</v>
      </c>
      <c r="S26" s="7" t="s">
        <v>29</v>
      </c>
    </row>
    <row r="27" spans="1:19">
      <c r="A27" s="7" t="s">
        <v>894</v>
      </c>
      <c r="B27" s="7" t="s">
        <v>1476</v>
      </c>
      <c r="C27" s="8">
        <v>32768</v>
      </c>
      <c r="D27" s="6" t="str">
        <f>LRTRIM(CONCATENATE(IF(SUMPRODUCT(-- ISNUMBER(SEARCH({"Auto Number"}, $B27))) &gt; 0, $B27, IF(SUMPRODUCT(-- ISNUMBER(SEARCH({"Lookup","Master-Detail"}, $B27))) &gt; 0,$B27 &amp; "(" &amp; $E27 &amp; ")",IF(SUMPRODUCT(-- ISNUMBER(SEARCH({"Formula","Roll-Up Summary"}, $B27))) &gt; 0,$B27 &amp; " (" &amp; $E27 &amp; ")",IF(SUMPRODUCT(-- ISNUMBER(SEARCH({"Content","Currency","Number","Percent","Text","URL"}, $B27))) &gt; 0,$B27 &amp; "(" &amp; $C27 &amp; ")",$B27)))), "  ", TRIM(IF($S27 = "YES", "(External ID)", "") &amp; " " &amp; IF(SUMPRODUCT(-- ISNUMBER(SEARCH({"Unique","Unique Case Insensitive"}, $R27))) &gt; 0, "(" &amp; $R27 &amp; ")", ""))))</f>
        <v>Long Text Area(32768)</v>
      </c>
      <c r="E27" s="7" t="s">
        <v>195</v>
      </c>
      <c r="F27" s="7" t="s">
        <v>919</v>
      </c>
      <c r="G27" s="7" t="s">
        <v>941</v>
      </c>
      <c r="H27" s="7" t="s">
        <v>195</v>
      </c>
      <c r="I27" s="7" t="s">
        <v>195</v>
      </c>
      <c r="J27" s="7" t="s">
        <v>195</v>
      </c>
      <c r="K27" s="7" t="s">
        <v>195</v>
      </c>
      <c r="L27" s="7" t="s">
        <v>195</v>
      </c>
      <c r="M27" s="7" t="s">
        <v>29</v>
      </c>
      <c r="N27" s="7" t="s">
        <v>29</v>
      </c>
      <c r="O27" s="7" t="s">
        <v>29</v>
      </c>
      <c r="P27" s="7" t="s">
        <v>29</v>
      </c>
      <c r="Q27" s="7" t="s">
        <v>29</v>
      </c>
      <c r="R27" s="7" t="s">
        <v>29</v>
      </c>
      <c r="S27" s="7" t="s">
        <v>29</v>
      </c>
    </row>
    <row r="28" spans="1:19">
      <c r="A28" s="7" t="s">
        <v>895</v>
      </c>
      <c r="B28" s="7" t="s">
        <v>1218</v>
      </c>
      <c r="C28" s="8">
        <v>80</v>
      </c>
      <c r="D28" s="6" t="str">
        <f>LRTRIM(CONCATENATE(IF(SUMPRODUCT(-- ISNUMBER(SEARCH({"Auto Number"}, $B28))) &gt; 0, $B28, IF(SUMPRODUCT(-- ISNUMBER(SEARCH({"Lookup","Master-Detail"}, $B28))) &gt; 0,$B28 &amp; "(" &amp; $E28 &amp; ")",IF(SUMPRODUCT(-- ISNUMBER(SEARCH({"Formula","Roll-Up Summary"}, $B28))) &gt; 0,$B28 &amp; " (" &amp; $E28 &amp; ")",IF(SUMPRODUCT(-- ISNUMBER(SEARCH({"Content","Currency","Number","Percent","Text","URL"}, $B28))) &gt; 0,$B28 &amp; "(" &amp; $C28 &amp; ")",$B28)))), "  ", TRIM(IF($S28 = "YES", "(External ID)", "") &amp; " " &amp; IF(SUMPRODUCT(-- ISNUMBER(SEARCH({"Unique","Unique Case Insensitive"}, $R28))) &gt; 0, "(" &amp; $R28 &amp; ")", ""))))</f>
        <v>Text(80)</v>
      </c>
      <c r="E28" s="7" t="s">
        <v>195</v>
      </c>
      <c r="F28" s="7" t="s">
        <v>920</v>
      </c>
      <c r="G28" s="7" t="s">
        <v>942</v>
      </c>
      <c r="H28" s="7" t="s">
        <v>195</v>
      </c>
      <c r="I28" s="7" t="s">
        <v>195</v>
      </c>
      <c r="J28" s="7" t="s">
        <v>195</v>
      </c>
      <c r="K28" s="7" t="s">
        <v>195</v>
      </c>
      <c r="L28" s="7" t="s">
        <v>195</v>
      </c>
      <c r="M28" s="7" t="s">
        <v>29</v>
      </c>
      <c r="N28" s="7" t="s">
        <v>29</v>
      </c>
      <c r="O28" s="7" t="s">
        <v>29</v>
      </c>
      <c r="P28" s="7" t="s">
        <v>29</v>
      </c>
      <c r="Q28" s="7" t="s">
        <v>29</v>
      </c>
      <c r="R28" s="7" t="s">
        <v>29</v>
      </c>
      <c r="S28" s="7" t="s">
        <v>29</v>
      </c>
    </row>
    <row r="29" spans="1:19">
      <c r="A29" s="7" t="s">
        <v>896</v>
      </c>
      <c r="B29" s="7" t="s">
        <v>386</v>
      </c>
      <c r="C29" s="8">
        <v>0</v>
      </c>
      <c r="D29" s="6" t="str">
        <f>LRTRIM(CONCATENATE(IF(SUMPRODUCT(-- ISNUMBER(SEARCH({"Auto Number"}, $B29))) &gt; 0, $B29, IF(SUMPRODUCT(-- ISNUMBER(SEARCH({"Lookup","Master-Detail"}, $B29))) &gt; 0,$B29 &amp; "(" &amp; $E29 &amp; ")",IF(SUMPRODUCT(-- ISNUMBER(SEARCH({"Formula","Roll-Up Summary"}, $B29))) &gt; 0,$B29 &amp; " (" &amp; $E29 &amp; ")",IF(SUMPRODUCT(-- ISNUMBER(SEARCH({"Content","Currency","Number","Percent","Text","URL"}, $B29))) &gt; 0,$B29 &amp; "(" &amp; $C29 &amp; ")",$B29)))), "  ", TRIM(IF($S29 = "YES", "(External ID)", "") &amp; " " &amp; IF(SUMPRODUCT(-- ISNUMBER(SEARCH({"Unique","Unique Case Insensitive"}, $R29))) &gt; 0, "(" &amp; $R29 &amp; ")", ""))))</f>
        <v>Date</v>
      </c>
      <c r="E29" s="7" t="s">
        <v>195</v>
      </c>
      <c r="F29" s="7" t="s">
        <v>921</v>
      </c>
      <c r="G29" s="7" t="s">
        <v>943</v>
      </c>
      <c r="H29" s="7" t="s">
        <v>195</v>
      </c>
      <c r="I29" s="7" t="s">
        <v>195</v>
      </c>
      <c r="J29" s="7" t="s">
        <v>195</v>
      </c>
      <c r="K29" s="7" t="s">
        <v>195</v>
      </c>
      <c r="L29" s="7" t="s">
        <v>195</v>
      </c>
      <c r="M29" s="7" t="s">
        <v>29</v>
      </c>
      <c r="N29" s="7" t="s">
        <v>29</v>
      </c>
      <c r="O29" s="7" t="s">
        <v>29</v>
      </c>
      <c r="P29" s="7" t="s">
        <v>29</v>
      </c>
      <c r="Q29" s="7" t="s">
        <v>29</v>
      </c>
      <c r="R29" s="7" t="s">
        <v>29</v>
      </c>
      <c r="S29" s="7" t="s">
        <v>29</v>
      </c>
    </row>
    <row r="30" spans="1:19">
      <c r="A30" s="7" t="s">
        <v>897</v>
      </c>
      <c r="B30" s="7" t="s">
        <v>386</v>
      </c>
      <c r="C30" s="8">
        <v>0</v>
      </c>
      <c r="D30" s="6" t="str">
        <f>LRTRIM(CONCATENATE(IF(SUMPRODUCT(-- ISNUMBER(SEARCH({"Auto Number"}, $B30))) &gt; 0, $B30, IF(SUMPRODUCT(-- ISNUMBER(SEARCH({"Lookup","Master-Detail"}, $B30))) &gt; 0,$B30 &amp; "(" &amp; $E30 &amp; ")",IF(SUMPRODUCT(-- ISNUMBER(SEARCH({"Formula","Roll-Up Summary"}, $B30))) &gt; 0,$B30 &amp; " (" &amp; $E30 &amp; ")",IF(SUMPRODUCT(-- ISNUMBER(SEARCH({"Content","Currency","Number","Percent","Text","URL"}, $B30))) &gt; 0,$B30 &amp; "(" &amp; $C30 &amp; ")",$B30)))), "  ", TRIM(IF($S30 = "YES", "(External ID)", "") &amp; " " &amp; IF(SUMPRODUCT(-- ISNUMBER(SEARCH({"Unique","Unique Case Insensitive"}, $R30))) &gt; 0, "(" &amp; $R30 &amp; ")", ""))))</f>
        <v>Date</v>
      </c>
      <c r="E30" s="7" t="s">
        <v>195</v>
      </c>
      <c r="F30" s="7" t="s">
        <v>922</v>
      </c>
      <c r="G30" s="7" t="s">
        <v>944</v>
      </c>
      <c r="H30" s="7" t="s">
        <v>195</v>
      </c>
      <c r="I30" s="7" t="s">
        <v>195</v>
      </c>
      <c r="J30" s="7" t="s">
        <v>195</v>
      </c>
      <c r="K30" s="7" t="s">
        <v>195</v>
      </c>
      <c r="L30" s="7" t="s">
        <v>195</v>
      </c>
      <c r="M30" s="7" t="s">
        <v>29</v>
      </c>
      <c r="N30" s="7" t="s">
        <v>29</v>
      </c>
      <c r="O30" s="7" t="s">
        <v>29</v>
      </c>
      <c r="P30" s="7" t="s">
        <v>29</v>
      </c>
      <c r="Q30" s="7" t="s">
        <v>29</v>
      </c>
      <c r="R30" s="7" t="s">
        <v>29</v>
      </c>
      <c r="S30" s="7" t="s">
        <v>29</v>
      </c>
    </row>
    <row r="31" spans="1:19">
      <c r="A31" s="7" t="s">
        <v>898</v>
      </c>
      <c r="B31" s="7" t="s">
        <v>1207</v>
      </c>
      <c r="C31" s="8">
        <v>0</v>
      </c>
      <c r="D31" s="6" t="str">
        <f>LRTRIM(CONCATENATE(IF(SUMPRODUCT(-- ISNUMBER(SEARCH({"Auto Number"}, $B31))) &gt; 0, $B31, IF(SUMPRODUCT(-- ISNUMBER(SEARCH({"Lookup","Master-Detail"}, $B31))) &gt; 0,$B31 &amp; "(" &amp; $E31 &amp; ")",IF(SUMPRODUCT(-- ISNUMBER(SEARCH({"Formula","Roll-Up Summary"}, $B31))) &gt; 0,$B31 &amp; " (" &amp; $E31 &amp; ")",IF(SUMPRODUCT(-- ISNUMBER(SEARCH({"Content","Currency","Number","Percent","Text","URL"}, $B31))) &gt; 0,$B31 &amp; "(" &amp; $C31 &amp; ")",$B31)))), "  ", TRIM(IF($S31 = "YES", "(External ID)", "") &amp; " " &amp; IF(SUMPRODUCT(-- ISNUMBER(SEARCH({"Unique","Unique Case Insensitive"}, $R31))) &gt; 0, "(" &amp; $R31 &amp; ")", ""))))</f>
        <v>Date/Time</v>
      </c>
      <c r="E31" s="7" t="s">
        <v>195</v>
      </c>
      <c r="F31" s="7" t="s">
        <v>923</v>
      </c>
      <c r="G31" s="7" t="s">
        <v>945</v>
      </c>
      <c r="H31" s="7" t="s">
        <v>195</v>
      </c>
      <c r="I31" s="7" t="s">
        <v>195</v>
      </c>
      <c r="J31" s="7" t="s">
        <v>195</v>
      </c>
      <c r="K31" s="7" t="s">
        <v>195</v>
      </c>
      <c r="L31" s="7" t="s">
        <v>195</v>
      </c>
      <c r="M31" s="7" t="s">
        <v>29</v>
      </c>
      <c r="N31" s="7" t="s">
        <v>29</v>
      </c>
      <c r="O31" s="7" t="s">
        <v>29</v>
      </c>
      <c r="P31" s="7" t="s">
        <v>29</v>
      </c>
      <c r="Q31" s="7" t="s">
        <v>29</v>
      </c>
      <c r="R31" s="7" t="s">
        <v>29</v>
      </c>
      <c r="S31" s="7" t="s">
        <v>29</v>
      </c>
    </row>
    <row r="32" spans="1:19">
      <c r="A32" s="7" t="s">
        <v>899</v>
      </c>
      <c r="B32" s="7" t="s">
        <v>1215</v>
      </c>
      <c r="C32" s="8">
        <v>255</v>
      </c>
      <c r="D32" s="6" t="str">
        <f>LRTRIM(CONCATENATE(IF(SUMPRODUCT(-- ISNUMBER(SEARCH({"Auto Number"}, $B32))) &gt; 0, $B32, IF(SUMPRODUCT(-- ISNUMBER(SEARCH({"Lookup","Master-Detail"}, $B32))) &gt; 0,$B32 &amp; "(" &amp; $E32 &amp; ")",IF(SUMPRODUCT(-- ISNUMBER(SEARCH({"Formula","Roll-Up Summary"}, $B32))) &gt; 0,$B32 &amp; " (" &amp; $E32 &amp; ")",IF(SUMPRODUCT(-- ISNUMBER(SEARCH({"Content","Currency","Number","Percent","Text","URL"}, $B32))) &gt; 0,$B32 &amp; "(" &amp; $C32 &amp; ")",$B32)))), "  ", TRIM(IF($S32 = "YES", "(External ID)", "") &amp; " " &amp; IF(SUMPRODUCT(-- ISNUMBER(SEARCH({"Unique","Unique Case Insensitive"}, $R32))) &gt; 0, "(" &amp; $R32 &amp; ")", ""))))</f>
        <v>Picklist</v>
      </c>
      <c r="E32" s="7" t="s">
        <v>195</v>
      </c>
      <c r="F32" s="7" t="s">
        <v>924</v>
      </c>
      <c r="G32" s="7" t="s">
        <v>308</v>
      </c>
      <c r="H32" s="7" t="s">
        <v>195</v>
      </c>
      <c r="I32" s="7" t="s">
        <v>904</v>
      </c>
      <c r="J32" s="7" t="s">
        <v>950</v>
      </c>
      <c r="K32" s="7" t="s">
        <v>195</v>
      </c>
      <c r="L32" s="7" t="s">
        <v>195</v>
      </c>
      <c r="M32" s="7" t="s">
        <v>29</v>
      </c>
      <c r="N32" s="7" t="s">
        <v>29</v>
      </c>
      <c r="O32" s="7" t="s">
        <v>29</v>
      </c>
      <c r="P32" s="7" t="s">
        <v>29</v>
      </c>
      <c r="Q32" s="7" t="s">
        <v>29</v>
      </c>
      <c r="R32" s="7" t="s">
        <v>29</v>
      </c>
      <c r="S32" s="7" t="s">
        <v>29</v>
      </c>
    </row>
    <row r="33" spans="1:19">
      <c r="A33" s="7" t="s">
        <v>900</v>
      </c>
      <c r="B33" s="7" t="s">
        <v>1218</v>
      </c>
      <c r="C33" s="8">
        <v>80</v>
      </c>
      <c r="D33" s="6" t="str">
        <f>LRTRIM(CONCATENATE(IF(SUMPRODUCT(-- ISNUMBER(SEARCH({"Auto Number"}, $B33))) &gt; 0, $B33, IF(SUMPRODUCT(-- ISNUMBER(SEARCH({"Lookup","Master-Detail"}, $B33))) &gt; 0,$B33 &amp; "(" &amp; $E33 &amp; ")",IF(SUMPRODUCT(-- ISNUMBER(SEARCH({"Formula","Roll-Up Summary"}, $B33))) &gt; 0,$B33 &amp; " (" &amp; $E33 &amp; ")",IF(SUMPRODUCT(-- ISNUMBER(SEARCH({"Content","Currency","Number","Percent","Text","URL"}, $B33))) &gt; 0,$B33 &amp; "(" &amp; $C33 &amp; ")",$B33)))), "  ", TRIM(IF($S33 = "YES", "(External ID)", "") &amp; " " &amp; IF(SUMPRODUCT(-- ISNUMBER(SEARCH({"Unique","Unique Case Insensitive"}, $R33))) &gt; 0, "(" &amp; $R33 &amp; ")", ""))))</f>
        <v>Text(80)</v>
      </c>
      <c r="E33" s="7" t="s">
        <v>195</v>
      </c>
      <c r="F33" s="7" t="s">
        <v>925</v>
      </c>
      <c r="G33" s="7" t="s">
        <v>946</v>
      </c>
      <c r="H33" s="7" t="s">
        <v>195</v>
      </c>
      <c r="I33" s="7" t="s">
        <v>195</v>
      </c>
      <c r="J33" s="7" t="s">
        <v>195</v>
      </c>
      <c r="K33" s="7" t="s">
        <v>195</v>
      </c>
      <c r="L33" s="7" t="s">
        <v>195</v>
      </c>
      <c r="M33" s="7" t="s">
        <v>29</v>
      </c>
      <c r="N33" s="7" t="s">
        <v>29</v>
      </c>
      <c r="O33" s="7" t="s">
        <v>29</v>
      </c>
      <c r="P33" s="7" t="s">
        <v>29</v>
      </c>
      <c r="Q33" s="7" t="s">
        <v>29</v>
      </c>
      <c r="R33" s="7" t="s">
        <v>29</v>
      </c>
      <c r="S33" s="7" t="s">
        <v>29</v>
      </c>
    </row>
    <row r="34" spans="1:19">
      <c r="A34" s="7" t="s">
        <v>901</v>
      </c>
      <c r="B34" s="7" t="s">
        <v>1218</v>
      </c>
      <c r="C34" s="8">
        <v>80</v>
      </c>
      <c r="D34" s="6" t="str">
        <f>LRTRIM(CONCATENATE(IF(SUMPRODUCT(-- ISNUMBER(SEARCH({"Auto Number"}, $B34))) &gt; 0, $B34, IF(SUMPRODUCT(-- ISNUMBER(SEARCH({"Lookup","Master-Detail"}, $B34))) &gt; 0,$B34 &amp; "(" &amp; $E34 &amp; ")",IF(SUMPRODUCT(-- ISNUMBER(SEARCH({"Formula","Roll-Up Summary"}, $B34))) &gt; 0,$B34 &amp; " (" &amp; $E34 &amp; ")",IF(SUMPRODUCT(-- ISNUMBER(SEARCH({"Content","Currency","Number","Percent","Text","URL"}, $B34))) &gt; 0,$B34 &amp; "(" &amp; $C34 &amp; ")",$B34)))), "  ", TRIM(IF($S34 = "YES", "(External ID)", "") &amp; " " &amp; IF(SUMPRODUCT(-- ISNUMBER(SEARCH({"Unique","Unique Case Insensitive"}, $R34))) &gt; 0, "(" &amp; $R34 &amp; ")", ""))))</f>
        <v>Text(80)</v>
      </c>
      <c r="E34" s="7" t="s">
        <v>195</v>
      </c>
      <c r="F34" s="7" t="s">
        <v>926</v>
      </c>
      <c r="G34" s="7" t="s">
        <v>947</v>
      </c>
      <c r="H34" s="7" t="s">
        <v>195</v>
      </c>
      <c r="I34" s="7" t="s">
        <v>195</v>
      </c>
      <c r="J34" s="7" t="s">
        <v>195</v>
      </c>
      <c r="K34" s="7" t="s">
        <v>195</v>
      </c>
      <c r="L34" s="7" t="s">
        <v>195</v>
      </c>
      <c r="M34" s="7" t="s">
        <v>29</v>
      </c>
      <c r="N34" s="7" t="s">
        <v>29</v>
      </c>
      <c r="O34" s="7" t="s">
        <v>29</v>
      </c>
      <c r="P34" s="7" t="s">
        <v>29</v>
      </c>
      <c r="Q34" s="7" t="s">
        <v>29</v>
      </c>
      <c r="R34" s="7" t="s">
        <v>29</v>
      </c>
      <c r="S34" s="7" t="s">
        <v>29</v>
      </c>
    </row>
    <row r="35" spans="1:19">
      <c r="A35" s="7" t="s">
        <v>902</v>
      </c>
      <c r="B35" s="7" t="s">
        <v>1218</v>
      </c>
      <c r="C35" s="8">
        <v>80</v>
      </c>
      <c r="D35" s="6" t="str">
        <f>LRTRIM(CONCATENATE(IF(SUMPRODUCT(-- ISNUMBER(SEARCH({"Auto Number"}, $B35))) &gt; 0, $B35, IF(SUMPRODUCT(-- ISNUMBER(SEARCH({"Lookup","Master-Detail"}, $B35))) &gt; 0,$B35 &amp; "(" &amp; $E35 &amp; ")",IF(SUMPRODUCT(-- ISNUMBER(SEARCH({"Formula","Roll-Up Summary"}, $B35))) &gt; 0,$B35 &amp; " (" &amp; $E35 &amp; ")",IF(SUMPRODUCT(-- ISNUMBER(SEARCH({"Content","Currency","Number","Percent","Text","URL"}, $B35))) &gt; 0,$B35 &amp; "(" &amp; $C35 &amp; ")",$B35)))), "  ", TRIM(IF($S35 = "YES", "(External ID)", "") &amp; " " &amp; IF(SUMPRODUCT(-- ISNUMBER(SEARCH({"Unique","Unique Case Insensitive"}, $R35))) &gt; 0, "(" &amp; $R35 &amp; ")", ""))))</f>
        <v>Text(80)</v>
      </c>
      <c r="E35" s="7" t="s">
        <v>195</v>
      </c>
      <c r="F35" s="7" t="s">
        <v>235</v>
      </c>
      <c r="G35" s="7" t="s">
        <v>264</v>
      </c>
      <c r="H35" s="7" t="s">
        <v>195</v>
      </c>
      <c r="I35" s="7" t="s">
        <v>195</v>
      </c>
      <c r="J35" s="7" t="s">
        <v>195</v>
      </c>
      <c r="K35" s="7" t="s">
        <v>195</v>
      </c>
      <c r="L35" s="7" t="s">
        <v>195</v>
      </c>
      <c r="M35" s="7" t="s">
        <v>29</v>
      </c>
      <c r="N35" s="7" t="s">
        <v>29</v>
      </c>
      <c r="O35" s="7" t="s">
        <v>29</v>
      </c>
      <c r="P35" s="7" t="s">
        <v>29</v>
      </c>
      <c r="Q35" s="7" t="s">
        <v>29</v>
      </c>
      <c r="R35" s="7" t="s">
        <v>29</v>
      </c>
      <c r="S35" s="7" t="s">
        <v>29</v>
      </c>
    </row>
    <row r="36" spans="1:19">
      <c r="A36" s="10" t="s">
        <v>903</v>
      </c>
      <c r="B36" s="7" t="s">
        <v>1213</v>
      </c>
      <c r="C36" s="8" t="s">
        <v>1381</v>
      </c>
      <c r="D36" s="6" t="str">
        <f>LRTRIM(CONCATENATE(IF(SUMPRODUCT(-- ISNUMBER(SEARCH({"Auto Number"}, $B36))) &gt; 0, $B36, IF(SUMPRODUCT(-- ISNUMBER(SEARCH({"Lookup","Master-Detail"}, $B36))) &gt; 0,$B36 &amp; "(" &amp; $E36 &amp; ")",IF(SUMPRODUCT(-- ISNUMBER(SEARCH({"Formula","Roll-Up Summary"}, $B36))) &gt; 0,$B36 &amp; " (" &amp; $E36 &amp; ")",IF(SUMPRODUCT(-- ISNUMBER(SEARCH({"Content","Currency","Number","Percent","Text","URL"}, $B36))) &gt; 0,$B36 &amp; "(" &amp; $C36 &amp; ")",$B36)))), "  ", TRIM(IF($S36 = "YES", "(External ID)", "") &amp; " " &amp; IF(SUMPRODUCT(-- ISNUMBER(SEARCH({"Unique","Unique Case Insensitive"}, $R36))) &gt; 0, "(" &amp; $R36 &amp; ")", ""))))</f>
        <v>Number(4, 0)</v>
      </c>
      <c r="E36" s="7" t="s">
        <v>195</v>
      </c>
      <c r="F36" s="7" t="s">
        <v>927</v>
      </c>
      <c r="G36" s="7" t="s">
        <v>948</v>
      </c>
      <c r="H36" s="7" t="s">
        <v>195</v>
      </c>
      <c r="I36" s="7" t="s">
        <v>195</v>
      </c>
      <c r="J36" s="7" t="s">
        <v>195</v>
      </c>
      <c r="K36" s="7" t="s">
        <v>195</v>
      </c>
      <c r="L36" s="7" t="s">
        <v>195</v>
      </c>
      <c r="M36" s="7" t="s">
        <v>29</v>
      </c>
      <c r="N36" s="7" t="s">
        <v>29</v>
      </c>
      <c r="O36" s="7" t="s">
        <v>29</v>
      </c>
      <c r="P36" s="7" t="s">
        <v>29</v>
      </c>
      <c r="Q36" s="7" t="s">
        <v>29</v>
      </c>
      <c r="R36" s="7" t="s">
        <v>29</v>
      </c>
      <c r="S36" s="7" t="s">
        <v>29</v>
      </c>
    </row>
    <row r="37" spans="1:19">
      <c r="A37" s="7" t="s">
        <v>951</v>
      </c>
      <c r="B37" s="7" t="s">
        <v>195</v>
      </c>
      <c r="C37" s="8" t="s">
        <v>195</v>
      </c>
      <c r="D37" s="6" t="str">
        <f>LRTRIM(CONCATENATE(IF(SUMPRODUCT(-- ISNUMBER(SEARCH({"Auto Number"}, $B37))) &gt; 0, $B37, IF(SUMPRODUCT(-- ISNUMBER(SEARCH({"Lookup","Master-Detail"}, $B37))) &gt; 0,$B37 &amp; "(" &amp; $E37 &amp; ")",IF(SUMPRODUCT(-- ISNUMBER(SEARCH({"Formula","Roll-Up Summary"}, $B37))) &gt; 0,$B37 &amp; " (" &amp; $E37 &amp; ")",IF(SUMPRODUCT(-- ISNUMBER(SEARCH({"Content","Currency","Number","Percent","Text","URL"}, $B37))) &gt; 0,$B37 &amp; "(" &amp; $C37 &amp; ")",$B37)))), "  ", TRIM(IF($S37 = "YES", "(External ID)", "") &amp; " " &amp; IF(SUMPRODUCT(-- ISNUMBER(SEARCH({"Unique","Unique Case Insensitive"}, $R37))) &gt; 0, "(" &amp; $R37 &amp; ")", ""))))</f>
        <v>na</v>
      </c>
      <c r="E37" s="7" t="s">
        <v>195</v>
      </c>
      <c r="F37" s="7" t="s">
        <v>195</v>
      </c>
      <c r="G37" s="7" t="s">
        <v>195</v>
      </c>
      <c r="H37" s="7" t="s">
        <v>195</v>
      </c>
      <c r="I37" s="7" t="s">
        <v>195</v>
      </c>
      <c r="J37" s="7" t="s">
        <v>195</v>
      </c>
      <c r="K37" s="7" t="s">
        <v>195</v>
      </c>
      <c r="L37" s="7" t="s">
        <v>195</v>
      </c>
      <c r="M37" s="7" t="s">
        <v>29</v>
      </c>
      <c r="N37" s="7" t="s">
        <v>28</v>
      </c>
      <c r="O37" s="7" t="s">
        <v>29</v>
      </c>
      <c r="P37" s="7" t="s">
        <v>29</v>
      </c>
      <c r="Q37" s="7" t="s">
        <v>29</v>
      </c>
      <c r="R37" s="7" t="s">
        <v>29</v>
      </c>
      <c r="S37" s="7" t="s">
        <v>29</v>
      </c>
    </row>
    <row r="38" spans="1:19">
      <c r="A38" s="7" t="s">
        <v>36</v>
      </c>
      <c r="B38" s="7" t="s">
        <v>195</v>
      </c>
      <c r="C38" s="8" t="s">
        <v>195</v>
      </c>
      <c r="D38" s="6" t="str">
        <f>LRTRIM(CONCATENATE(IF(SUMPRODUCT(-- ISNUMBER(SEARCH({"Auto Number"}, $B38))) &gt; 0, $B38, IF(SUMPRODUCT(-- ISNUMBER(SEARCH({"Lookup","Master-Detail"}, $B38))) &gt; 0,$B38 &amp; "(" &amp; $E38 &amp; ")",IF(SUMPRODUCT(-- ISNUMBER(SEARCH({"Formula","Roll-Up Summary"}, $B38))) &gt; 0,$B38 &amp; " (" &amp; $E38 &amp; ")",IF(SUMPRODUCT(-- ISNUMBER(SEARCH({"Content","Currency","Number","Percent","Text","URL"}, $B38))) &gt; 0,$B38 &amp; "(" &amp; $C38 &amp; ")",$B38)))), "  ", TRIM(IF($S38 = "YES", "(External ID)", "") &amp; " " &amp; IF(SUMPRODUCT(-- ISNUMBER(SEARCH({"Unique","Unique Case Insensitive"}, $R38))) &gt; 0, "(" &amp; $R38 &amp; ")", ""))))</f>
        <v>na</v>
      </c>
      <c r="E38" s="7" t="s">
        <v>195</v>
      </c>
      <c r="F38" s="7" t="s">
        <v>195</v>
      </c>
      <c r="G38" s="7" t="s">
        <v>195</v>
      </c>
      <c r="H38" s="7" t="s">
        <v>195</v>
      </c>
      <c r="I38" s="7" t="s">
        <v>195</v>
      </c>
      <c r="J38" s="7" t="s">
        <v>195</v>
      </c>
      <c r="K38" s="7" t="s">
        <v>195</v>
      </c>
      <c r="L38" s="7" t="s">
        <v>195</v>
      </c>
      <c r="M38" s="7" t="s">
        <v>28</v>
      </c>
      <c r="N38" s="7" t="s">
        <v>29</v>
      </c>
      <c r="O38" s="7" t="s">
        <v>29</v>
      </c>
      <c r="P38" s="7" t="s">
        <v>29</v>
      </c>
      <c r="Q38" s="7" t="s">
        <v>29</v>
      </c>
      <c r="R38" s="7" t="s">
        <v>29</v>
      </c>
      <c r="S38" s="7" t="s">
        <v>29</v>
      </c>
    </row>
    <row r="39" spans="1:19">
      <c r="A39" s="7" t="s">
        <v>34</v>
      </c>
      <c r="B39" s="7" t="s">
        <v>195</v>
      </c>
      <c r="C39" s="8" t="s">
        <v>195</v>
      </c>
      <c r="D39" s="6" t="str">
        <f>LRTRIM(CONCATENATE(IF(SUMPRODUCT(-- ISNUMBER(SEARCH({"Auto Number"}, $B39))) &gt; 0, $B39, IF(SUMPRODUCT(-- ISNUMBER(SEARCH({"Lookup","Master-Detail"}, $B39))) &gt; 0,$B39 &amp; "(" &amp; $E39 &amp; ")",IF(SUMPRODUCT(-- ISNUMBER(SEARCH({"Formula","Roll-Up Summary"}, $B39))) &gt; 0,$B39 &amp; " (" &amp; $E39 &amp; ")",IF(SUMPRODUCT(-- ISNUMBER(SEARCH({"Content","Currency","Number","Percent","Text","URL"}, $B39))) &gt; 0,$B39 &amp; "(" &amp; $C39 &amp; ")",$B39)))), "  ", TRIM(IF($S39 = "YES", "(External ID)", "") &amp; " " &amp; IF(SUMPRODUCT(-- ISNUMBER(SEARCH({"Unique","Unique Case Insensitive"}, $R39))) &gt; 0, "(" &amp; $R39 &amp; ")", ""))))</f>
        <v>na</v>
      </c>
      <c r="E39" s="7" t="s">
        <v>195</v>
      </c>
      <c r="F39" s="7" t="s">
        <v>195</v>
      </c>
      <c r="G39" s="7" t="s">
        <v>195</v>
      </c>
      <c r="H39" s="7" t="s">
        <v>195</v>
      </c>
      <c r="I39" s="7" t="s">
        <v>195</v>
      </c>
      <c r="J39" s="7" t="s">
        <v>195</v>
      </c>
      <c r="K39" s="7" t="s">
        <v>195</v>
      </c>
      <c r="L39" s="7" t="s">
        <v>195</v>
      </c>
      <c r="M39" s="7" t="s">
        <v>28</v>
      </c>
      <c r="N39" s="7" t="s">
        <v>29</v>
      </c>
      <c r="O39" s="7" t="s">
        <v>29</v>
      </c>
      <c r="P39" s="7" t="s">
        <v>29</v>
      </c>
      <c r="Q39" s="7" t="s">
        <v>29</v>
      </c>
      <c r="R39" s="7" t="s">
        <v>29</v>
      </c>
      <c r="S39" s="7" t="s">
        <v>29</v>
      </c>
    </row>
    <row r="40" spans="1:19">
      <c r="A40" s="7" t="s">
        <v>38</v>
      </c>
      <c r="B40" s="7" t="s">
        <v>195</v>
      </c>
      <c r="C40" s="8" t="s">
        <v>195</v>
      </c>
      <c r="D40" s="6" t="str">
        <f>LRTRIM(CONCATENATE(IF(SUMPRODUCT(-- ISNUMBER(SEARCH({"Auto Number"}, $B40))) &gt; 0, $B40, IF(SUMPRODUCT(-- ISNUMBER(SEARCH({"Lookup","Master-Detail"}, $B40))) &gt; 0,$B40 &amp; "(" &amp; $E40 &amp; ")",IF(SUMPRODUCT(-- ISNUMBER(SEARCH({"Formula","Roll-Up Summary"}, $B40))) &gt; 0,$B40 &amp; " (" &amp; $E40 &amp; ")",IF(SUMPRODUCT(-- ISNUMBER(SEARCH({"Content","Currency","Number","Percent","Text","URL"}, $B40))) &gt; 0,$B40 &amp; "(" &amp; $C40 &amp; ")",$B40)))), "  ", TRIM(IF($S40 = "YES", "(External ID)", "") &amp; " " &amp; IF(SUMPRODUCT(-- ISNUMBER(SEARCH({"Unique","Unique Case Insensitive"}, $R40))) &gt; 0, "(" &amp; $R40 &amp; ")", ""))))</f>
        <v>na</v>
      </c>
      <c r="E40" s="7" t="s">
        <v>195</v>
      </c>
      <c r="F40" s="7" t="s">
        <v>195</v>
      </c>
      <c r="G40" s="7" t="s">
        <v>195</v>
      </c>
      <c r="H40" s="7" t="s">
        <v>195</v>
      </c>
      <c r="I40" s="7" t="s">
        <v>195</v>
      </c>
      <c r="J40" s="7" t="s">
        <v>195</v>
      </c>
      <c r="K40" s="7" t="s">
        <v>195</v>
      </c>
      <c r="L40" s="7" t="s">
        <v>195</v>
      </c>
      <c r="M40" s="7" t="s">
        <v>28</v>
      </c>
      <c r="N40" s="7" t="s">
        <v>29</v>
      </c>
      <c r="O40" s="7" t="s">
        <v>29</v>
      </c>
      <c r="P40" s="7" t="s">
        <v>29</v>
      </c>
      <c r="Q40" s="7" t="s">
        <v>29</v>
      </c>
      <c r="R40" s="7" t="s">
        <v>29</v>
      </c>
      <c r="S40" s="7" t="s">
        <v>29</v>
      </c>
    </row>
    <row r="41" spans="1:19">
      <c r="A41" s="7" t="s">
        <v>39</v>
      </c>
      <c r="B41" s="7" t="s">
        <v>195</v>
      </c>
      <c r="C41" s="8" t="s">
        <v>195</v>
      </c>
      <c r="D41" s="6" t="str">
        <f>LRTRIM(CONCATENATE(IF(SUMPRODUCT(-- ISNUMBER(SEARCH({"Auto Number"}, $B41))) &gt; 0, $B41, IF(SUMPRODUCT(-- ISNUMBER(SEARCH({"Lookup","Master-Detail"}, $B41))) &gt; 0,$B41 &amp; "(" &amp; $E41 &amp; ")",IF(SUMPRODUCT(-- ISNUMBER(SEARCH({"Formula","Roll-Up Summary"}, $B41))) &gt; 0,$B41 &amp; " (" &amp; $E41 &amp; ")",IF(SUMPRODUCT(-- ISNUMBER(SEARCH({"Content","Currency","Number","Percent","Text","URL"}, $B41))) &gt; 0,$B41 &amp; "(" &amp; $C41 &amp; ")",$B41)))), "  ", TRIM(IF($S41 = "YES", "(External ID)", "") &amp; " " &amp; IF(SUMPRODUCT(-- ISNUMBER(SEARCH({"Unique","Unique Case Insensitive"}, $R41))) &gt; 0, "(" &amp; $R41 &amp; ")", ""))))</f>
        <v>na</v>
      </c>
      <c r="E41" s="7" t="s">
        <v>195</v>
      </c>
      <c r="F41" s="7" t="s">
        <v>195</v>
      </c>
      <c r="G41" s="7" t="s">
        <v>195</v>
      </c>
      <c r="H41" s="7" t="s">
        <v>195</v>
      </c>
      <c r="I41" s="7" t="s">
        <v>195</v>
      </c>
      <c r="J41" s="7" t="s">
        <v>195</v>
      </c>
      <c r="K41" s="7" t="s">
        <v>195</v>
      </c>
      <c r="L41" s="7" t="s">
        <v>195</v>
      </c>
      <c r="M41" s="7" t="s">
        <v>28</v>
      </c>
      <c r="N41" s="7" t="s">
        <v>29</v>
      </c>
      <c r="O41" s="7" t="s">
        <v>29</v>
      </c>
      <c r="P41" s="7" t="s">
        <v>29</v>
      </c>
      <c r="Q41" s="7" t="s">
        <v>29</v>
      </c>
      <c r="R41" s="7" t="s">
        <v>29</v>
      </c>
      <c r="S41" s="7" t="s">
        <v>29</v>
      </c>
    </row>
    <row r="42" spans="1:19">
      <c r="B42" s="7" t="s">
        <v>195</v>
      </c>
      <c r="C42" s="8" t="s">
        <v>195</v>
      </c>
      <c r="D42" s="6" t="str">
        <f>LRTRIM(CONCATENATE(IF(SUMPRODUCT(-- ISNUMBER(SEARCH({"Auto Number"}, $B42))) &gt; 0, $B42, IF(SUMPRODUCT(-- ISNUMBER(SEARCH({"Lookup","Master-Detail"}, $B42))) &gt; 0,$B42 &amp; "(" &amp; $E42 &amp; ")",IF(SUMPRODUCT(-- ISNUMBER(SEARCH({"Formula","Roll-Up Summary"}, $B42))) &gt; 0,$B42 &amp; " (" &amp; $E42 &amp; ")",IF(SUMPRODUCT(-- ISNUMBER(SEARCH({"Content","Currency","Number","Percent","Text","URL"}, $B42))) &gt; 0,$B42 &amp; "(" &amp; $C42 &amp; ")",$B42)))), "  ", TRIM(IF($S42 = "YES", "(External ID)", "") &amp; " " &amp; IF(SUMPRODUCT(-- ISNUMBER(SEARCH({"Unique","Unique Case Insensitive"}, $R42))) &gt; 0, "(" &amp; $R42 &amp; ")", ""))))</f>
        <v>na</v>
      </c>
      <c r="E42" s="7" t="s">
        <v>195</v>
      </c>
      <c r="F42" s="7" t="s">
        <v>195</v>
      </c>
      <c r="G42" s="7" t="s">
        <v>195</v>
      </c>
      <c r="H42" s="7" t="s">
        <v>195</v>
      </c>
      <c r="I42" s="7" t="s">
        <v>195</v>
      </c>
      <c r="J42" s="7" t="s">
        <v>195</v>
      </c>
      <c r="K42" s="7" t="s">
        <v>195</v>
      </c>
      <c r="L42" s="7" t="s">
        <v>195</v>
      </c>
      <c r="M42" s="7" t="s">
        <v>29</v>
      </c>
      <c r="N42" s="7" t="s">
        <v>29</v>
      </c>
      <c r="O42" s="7" t="s">
        <v>29</v>
      </c>
      <c r="P42" s="7" t="s">
        <v>29</v>
      </c>
      <c r="Q42" s="7" t="s">
        <v>29</v>
      </c>
      <c r="R42" s="7" t="s">
        <v>29</v>
      </c>
      <c r="S42" s="7" t="s">
        <v>29</v>
      </c>
    </row>
    <row r="43" spans="1:19">
      <c r="B43" s="7" t="s">
        <v>195</v>
      </c>
      <c r="C43" s="8" t="s">
        <v>195</v>
      </c>
      <c r="D43" s="6" t="str">
        <f>LRTRIM(CONCATENATE(IF(SUMPRODUCT(-- ISNUMBER(SEARCH({"Auto Number"}, $B43))) &gt; 0, $B43, IF(SUMPRODUCT(-- ISNUMBER(SEARCH({"Lookup","Master-Detail"}, $B43))) &gt; 0,$B43 &amp; "(" &amp; $E43 &amp; ")",IF(SUMPRODUCT(-- ISNUMBER(SEARCH({"Formula","Roll-Up Summary"}, $B43))) &gt; 0,$B43 &amp; " (" &amp; $E43 &amp; ")",IF(SUMPRODUCT(-- ISNUMBER(SEARCH({"Content","Currency","Number","Percent","Text","URL"}, $B43))) &gt; 0,$B43 &amp; "(" &amp; $C43 &amp; ")",$B43)))), "  ", TRIM(IF($S43 = "YES", "(External ID)", "") &amp; " " &amp; IF(SUMPRODUCT(-- ISNUMBER(SEARCH({"Unique","Unique Case Insensitive"}, $R43))) &gt; 0, "(" &amp; $R43 &amp; ")", ""))))</f>
        <v>na</v>
      </c>
      <c r="E43" s="7" t="s">
        <v>195</v>
      </c>
      <c r="F43" s="7" t="s">
        <v>195</v>
      </c>
      <c r="G43" s="7" t="s">
        <v>195</v>
      </c>
      <c r="H43" s="7" t="s">
        <v>195</v>
      </c>
      <c r="I43" s="7" t="s">
        <v>195</v>
      </c>
      <c r="J43" s="7" t="s">
        <v>195</v>
      </c>
      <c r="K43" s="7" t="s">
        <v>195</v>
      </c>
      <c r="L43" s="7" t="s">
        <v>195</v>
      </c>
      <c r="M43" s="7" t="s">
        <v>29</v>
      </c>
      <c r="N43" s="7" t="s">
        <v>29</v>
      </c>
      <c r="O43" s="7" t="s">
        <v>29</v>
      </c>
      <c r="P43" s="7" t="s">
        <v>29</v>
      </c>
      <c r="Q43" s="7" t="s">
        <v>29</v>
      </c>
      <c r="R43" s="7" t="s">
        <v>29</v>
      </c>
      <c r="S43" s="7" t="s">
        <v>29</v>
      </c>
    </row>
    <row r="44" spans="1:19">
      <c r="B44" s="7" t="s">
        <v>195</v>
      </c>
      <c r="C44" s="8" t="s">
        <v>195</v>
      </c>
      <c r="D44" s="6" t="str">
        <f>LRTRIM(CONCATENATE(IF(SUMPRODUCT(-- ISNUMBER(SEARCH({"Auto Number"}, $B44))) &gt; 0, $B44, IF(SUMPRODUCT(-- ISNUMBER(SEARCH({"Lookup","Master-Detail"}, $B44))) &gt; 0,$B44 &amp; "(" &amp; $E44 &amp; ")",IF(SUMPRODUCT(-- ISNUMBER(SEARCH({"Formula","Roll-Up Summary"}, $B44))) &gt; 0,$B44 &amp; " (" &amp; $E44 &amp; ")",IF(SUMPRODUCT(-- ISNUMBER(SEARCH({"Content","Currency","Number","Percent","Text","URL"}, $B44))) &gt; 0,$B44 &amp; "(" &amp; $C44 &amp; ")",$B44)))), "  ", TRIM(IF($S44 = "YES", "(External ID)", "") &amp; " " &amp; IF(SUMPRODUCT(-- ISNUMBER(SEARCH({"Unique","Unique Case Insensitive"}, $R44))) &gt; 0, "(" &amp; $R44 &amp; ")", ""))))</f>
        <v>na</v>
      </c>
      <c r="E44" s="7" t="s">
        <v>195</v>
      </c>
      <c r="F44" s="7" t="s">
        <v>195</v>
      </c>
      <c r="G44" s="7" t="s">
        <v>195</v>
      </c>
      <c r="H44" s="7" t="s">
        <v>195</v>
      </c>
      <c r="I44" s="7" t="s">
        <v>195</v>
      </c>
      <c r="J44" s="7" t="s">
        <v>195</v>
      </c>
      <c r="K44" s="7" t="s">
        <v>195</v>
      </c>
      <c r="L44" s="7" t="s">
        <v>195</v>
      </c>
      <c r="M44" s="7" t="s">
        <v>29</v>
      </c>
      <c r="N44" s="7" t="s">
        <v>29</v>
      </c>
      <c r="O44" s="7" t="s">
        <v>29</v>
      </c>
      <c r="P44" s="7" t="s">
        <v>29</v>
      </c>
      <c r="Q44" s="7" t="s">
        <v>29</v>
      </c>
      <c r="R44" s="7" t="s">
        <v>29</v>
      </c>
      <c r="S44" s="7" t="s">
        <v>29</v>
      </c>
    </row>
    <row r="45" spans="1:19">
      <c r="B45" s="7" t="s">
        <v>195</v>
      </c>
      <c r="C45" s="8" t="s">
        <v>195</v>
      </c>
      <c r="D45" s="6" t="str">
        <f>LRTRIM(CONCATENATE(IF(SUMPRODUCT(-- ISNUMBER(SEARCH({"Auto Number"}, $B45))) &gt; 0, $B45, IF(SUMPRODUCT(-- ISNUMBER(SEARCH({"Lookup","Master-Detail"}, $B45))) &gt; 0,$B45 &amp; "(" &amp; $E45 &amp; ")",IF(SUMPRODUCT(-- ISNUMBER(SEARCH({"Formula","Roll-Up Summary"}, $B45))) &gt; 0,$B45 &amp; " (" &amp; $E45 &amp; ")",IF(SUMPRODUCT(-- ISNUMBER(SEARCH({"Content","Currency","Number","Percent","Text","URL"}, $B45))) &gt; 0,$B45 &amp; "(" &amp; $C45 &amp; ")",$B45)))), "  ", TRIM(IF($S45 = "YES", "(External ID)", "") &amp; " " &amp; IF(SUMPRODUCT(-- ISNUMBER(SEARCH({"Unique","Unique Case Insensitive"}, $R45))) &gt; 0, "(" &amp; $R45 &amp; ")", ""))))</f>
        <v>na</v>
      </c>
      <c r="E45" s="7" t="s">
        <v>195</v>
      </c>
      <c r="F45" s="7" t="s">
        <v>195</v>
      </c>
      <c r="G45" s="7" t="s">
        <v>195</v>
      </c>
      <c r="H45" s="7" t="s">
        <v>195</v>
      </c>
      <c r="I45" s="7" t="s">
        <v>195</v>
      </c>
      <c r="J45" s="7" t="s">
        <v>195</v>
      </c>
      <c r="K45" s="7" t="s">
        <v>195</v>
      </c>
      <c r="L45" s="7" t="s">
        <v>195</v>
      </c>
      <c r="M45" s="7" t="s">
        <v>29</v>
      </c>
      <c r="N45" s="7" t="s">
        <v>29</v>
      </c>
      <c r="O45" s="7" t="s">
        <v>29</v>
      </c>
      <c r="P45" s="7" t="s">
        <v>29</v>
      </c>
      <c r="Q45" s="7" t="s">
        <v>29</v>
      </c>
      <c r="R45" s="7" t="s">
        <v>29</v>
      </c>
      <c r="S45" s="7" t="s">
        <v>29</v>
      </c>
    </row>
    <row r="46" spans="1:19">
      <c r="B46" s="7" t="s">
        <v>195</v>
      </c>
      <c r="C46" s="8" t="s">
        <v>195</v>
      </c>
      <c r="D46" s="6" t="str">
        <f>LRTRIM(CONCATENATE(IF(SUMPRODUCT(-- ISNUMBER(SEARCH({"Auto Number"}, $B46))) &gt; 0, $B46, IF(SUMPRODUCT(-- ISNUMBER(SEARCH({"Lookup","Master-Detail"}, $B46))) &gt; 0,$B46 &amp; "(" &amp; $E46 &amp; ")",IF(SUMPRODUCT(-- ISNUMBER(SEARCH({"Formula","Roll-Up Summary"}, $B46))) &gt; 0,$B46 &amp; " (" &amp; $E46 &amp; ")",IF(SUMPRODUCT(-- ISNUMBER(SEARCH({"Content","Currency","Number","Percent","Text","URL"}, $B46))) &gt; 0,$B46 &amp; "(" &amp; $C46 &amp; ")",$B46)))), "  ", TRIM(IF($S46 = "YES", "(External ID)", "") &amp; " " &amp; IF(SUMPRODUCT(-- ISNUMBER(SEARCH({"Unique","Unique Case Insensitive"}, $R46))) &gt; 0, "(" &amp; $R46 &amp; ")", ""))))</f>
        <v>na</v>
      </c>
      <c r="E46" s="7" t="s">
        <v>195</v>
      </c>
      <c r="F46" s="7" t="s">
        <v>195</v>
      </c>
      <c r="G46" s="7" t="s">
        <v>195</v>
      </c>
      <c r="H46" s="7" t="s">
        <v>195</v>
      </c>
      <c r="I46" s="7" t="s">
        <v>195</v>
      </c>
      <c r="J46" s="7" t="s">
        <v>195</v>
      </c>
      <c r="K46" s="7" t="s">
        <v>195</v>
      </c>
      <c r="L46" s="7" t="s">
        <v>195</v>
      </c>
      <c r="M46" s="7" t="s">
        <v>29</v>
      </c>
      <c r="N46" s="7" t="s">
        <v>29</v>
      </c>
      <c r="O46" s="7" t="s">
        <v>29</v>
      </c>
      <c r="P46" s="7" t="s">
        <v>29</v>
      </c>
      <c r="Q46" s="7" t="s">
        <v>29</v>
      </c>
      <c r="R46" s="7" t="s">
        <v>29</v>
      </c>
      <c r="S46" s="7" t="s">
        <v>29</v>
      </c>
    </row>
    <row r="47" spans="1:19">
      <c r="B47" s="7" t="s">
        <v>195</v>
      </c>
      <c r="C47" s="8" t="s">
        <v>195</v>
      </c>
      <c r="D47" s="6" t="str">
        <f>LRTRIM(CONCATENATE(IF(SUMPRODUCT(-- ISNUMBER(SEARCH({"Auto Number"}, $B47))) &gt; 0, $B47, IF(SUMPRODUCT(-- ISNUMBER(SEARCH({"Lookup","Master-Detail"}, $B47))) &gt; 0,$B47 &amp; "(" &amp; $E47 &amp; ")",IF(SUMPRODUCT(-- ISNUMBER(SEARCH({"Formula","Roll-Up Summary"}, $B47))) &gt; 0,$B47 &amp; " (" &amp; $E47 &amp; ")",IF(SUMPRODUCT(-- ISNUMBER(SEARCH({"Content","Currency","Number","Percent","Text","URL"}, $B47))) &gt; 0,$B47 &amp; "(" &amp; $C47 &amp; ")",$B47)))), "  ", TRIM(IF($S47 = "YES", "(External ID)", "") &amp; " " &amp; IF(SUMPRODUCT(-- ISNUMBER(SEARCH({"Unique","Unique Case Insensitive"}, $R47))) &gt; 0, "(" &amp; $R47 &amp; ")", ""))))</f>
        <v>na</v>
      </c>
      <c r="E47" s="7" t="s">
        <v>195</v>
      </c>
      <c r="F47" s="7" t="s">
        <v>195</v>
      </c>
      <c r="G47" s="7" t="s">
        <v>195</v>
      </c>
      <c r="H47" s="7" t="s">
        <v>195</v>
      </c>
      <c r="I47" s="7" t="s">
        <v>195</v>
      </c>
      <c r="J47" s="7" t="s">
        <v>195</v>
      </c>
      <c r="K47" s="7" t="s">
        <v>195</v>
      </c>
      <c r="L47" s="7" t="s">
        <v>195</v>
      </c>
      <c r="M47" s="7" t="s">
        <v>29</v>
      </c>
      <c r="N47" s="7" t="s">
        <v>29</v>
      </c>
      <c r="O47" s="7" t="s">
        <v>29</v>
      </c>
      <c r="P47" s="7" t="s">
        <v>29</v>
      </c>
      <c r="Q47" s="7" t="s">
        <v>29</v>
      </c>
      <c r="R47" s="7" t="s">
        <v>29</v>
      </c>
      <c r="S47" s="7" t="s">
        <v>29</v>
      </c>
    </row>
    <row r="48" spans="1:19">
      <c r="B48" s="7" t="s">
        <v>195</v>
      </c>
      <c r="C48" s="8" t="s">
        <v>195</v>
      </c>
      <c r="D48" s="6" t="str">
        <f>LRTRIM(CONCATENATE(IF(SUMPRODUCT(-- ISNUMBER(SEARCH({"Auto Number"}, $B48))) &gt; 0, $B48, IF(SUMPRODUCT(-- ISNUMBER(SEARCH({"Lookup","Master-Detail"}, $B48))) &gt; 0,$B48 &amp; "(" &amp; $E48 &amp; ")",IF(SUMPRODUCT(-- ISNUMBER(SEARCH({"Formula","Roll-Up Summary"}, $B48))) &gt; 0,$B48 &amp; " (" &amp; $E48 &amp; ")",IF(SUMPRODUCT(-- ISNUMBER(SEARCH({"Content","Currency","Number","Percent","Text","URL"}, $B48))) &gt; 0,$B48 &amp; "(" &amp; $C48 &amp; ")",$B48)))), "  ", TRIM(IF($S48 = "YES", "(External ID)", "") &amp; " " &amp; IF(SUMPRODUCT(-- ISNUMBER(SEARCH({"Unique","Unique Case Insensitive"}, $R48))) &gt; 0, "(" &amp; $R48 &amp; ")", ""))))</f>
        <v>na</v>
      </c>
      <c r="E48" s="7" t="s">
        <v>195</v>
      </c>
      <c r="F48" s="7" t="s">
        <v>195</v>
      </c>
      <c r="G48" s="7" t="s">
        <v>195</v>
      </c>
      <c r="H48" s="7" t="s">
        <v>195</v>
      </c>
      <c r="I48" s="7" t="s">
        <v>195</v>
      </c>
      <c r="J48" s="7" t="s">
        <v>195</v>
      </c>
      <c r="K48" s="7" t="s">
        <v>195</v>
      </c>
      <c r="L48" s="7" t="s">
        <v>195</v>
      </c>
      <c r="M48" s="7" t="s">
        <v>29</v>
      </c>
      <c r="N48" s="7" t="s">
        <v>29</v>
      </c>
      <c r="O48" s="7" t="s">
        <v>29</v>
      </c>
      <c r="P48" s="7" t="s">
        <v>29</v>
      </c>
      <c r="Q48" s="7" t="s">
        <v>29</v>
      </c>
      <c r="R48" s="7" t="s">
        <v>29</v>
      </c>
      <c r="S48" s="7" t="s">
        <v>29</v>
      </c>
    </row>
    <row r="49" spans="2:19">
      <c r="B49" s="7" t="s">
        <v>195</v>
      </c>
      <c r="C49" s="8" t="s">
        <v>195</v>
      </c>
      <c r="D49" s="6" t="str">
        <f>LRTRIM(CONCATENATE(IF(SUMPRODUCT(-- ISNUMBER(SEARCH({"Auto Number"}, $B49))) &gt; 0, $B49, IF(SUMPRODUCT(-- ISNUMBER(SEARCH({"Lookup","Master-Detail"}, $B49))) &gt; 0,$B49 &amp; "(" &amp; $E49 &amp; ")",IF(SUMPRODUCT(-- ISNUMBER(SEARCH({"Formula","Roll-Up Summary"}, $B49))) &gt; 0,$B49 &amp; " (" &amp; $E49 &amp; ")",IF(SUMPRODUCT(-- ISNUMBER(SEARCH({"Content","Currency","Number","Percent","Text","URL"}, $B49))) &gt; 0,$B49 &amp; "(" &amp; $C49 &amp; ")",$B49)))), "  ", TRIM(IF($S49 = "YES", "(External ID)", "") &amp; " " &amp; IF(SUMPRODUCT(-- ISNUMBER(SEARCH({"Unique","Unique Case Insensitive"}, $R49))) &gt; 0, "(" &amp; $R49 &amp; ")", ""))))</f>
        <v>na</v>
      </c>
      <c r="E49" s="7" t="s">
        <v>195</v>
      </c>
      <c r="F49" s="7" t="s">
        <v>195</v>
      </c>
      <c r="G49" s="7" t="s">
        <v>195</v>
      </c>
      <c r="H49" s="7" t="s">
        <v>195</v>
      </c>
      <c r="I49" s="7" t="s">
        <v>195</v>
      </c>
      <c r="J49" s="7" t="s">
        <v>195</v>
      </c>
      <c r="K49" s="7" t="s">
        <v>195</v>
      </c>
      <c r="L49" s="7" t="s">
        <v>195</v>
      </c>
      <c r="M49" s="7" t="s">
        <v>29</v>
      </c>
      <c r="N49" s="7" t="s">
        <v>29</v>
      </c>
      <c r="O49" s="7" t="s">
        <v>29</v>
      </c>
      <c r="P49" s="7" t="s">
        <v>29</v>
      </c>
      <c r="Q49" s="7" t="s">
        <v>29</v>
      </c>
      <c r="R49" s="7" t="s">
        <v>29</v>
      </c>
      <c r="S49" s="7" t="s">
        <v>29</v>
      </c>
    </row>
    <row r="50" spans="2:19">
      <c r="B50" s="7" t="s">
        <v>195</v>
      </c>
      <c r="C50" s="8" t="s">
        <v>195</v>
      </c>
      <c r="D50" s="6" t="str">
        <f>LRTRIM(CONCATENATE(IF(SUMPRODUCT(-- ISNUMBER(SEARCH({"Auto Number"}, $B50))) &gt; 0, $B50, IF(SUMPRODUCT(-- ISNUMBER(SEARCH({"Lookup","Master-Detail"}, $B50))) &gt; 0,$B50 &amp; "(" &amp; $E50 &amp; ")",IF(SUMPRODUCT(-- ISNUMBER(SEARCH({"Formula","Roll-Up Summary"}, $B50))) &gt; 0,$B50 &amp; " (" &amp; $E50 &amp; ")",IF(SUMPRODUCT(-- ISNUMBER(SEARCH({"Content","Currency","Number","Percent","Text","URL"}, $B50))) &gt; 0,$B50 &amp; "(" &amp; $C50 &amp; ")",$B50)))), "  ", TRIM(IF($S50 = "YES", "(External ID)", "") &amp; " " &amp; IF(SUMPRODUCT(-- ISNUMBER(SEARCH({"Unique","Unique Case Insensitive"}, $R50))) &gt; 0, "(" &amp; $R50 &amp; ")", ""))))</f>
        <v>na</v>
      </c>
      <c r="E50" s="7" t="s">
        <v>195</v>
      </c>
      <c r="F50" s="7" t="s">
        <v>195</v>
      </c>
      <c r="G50" s="7" t="s">
        <v>195</v>
      </c>
      <c r="H50" s="7" t="s">
        <v>195</v>
      </c>
      <c r="I50" s="7" t="s">
        <v>195</v>
      </c>
      <c r="J50" s="7" t="s">
        <v>195</v>
      </c>
      <c r="K50" s="7" t="s">
        <v>195</v>
      </c>
      <c r="L50" s="7" t="s">
        <v>195</v>
      </c>
      <c r="M50" s="7" t="s">
        <v>29</v>
      </c>
      <c r="N50" s="7" t="s">
        <v>29</v>
      </c>
      <c r="O50" s="7" t="s">
        <v>29</v>
      </c>
      <c r="P50" s="7" t="s">
        <v>29</v>
      </c>
      <c r="Q50" s="7" t="s">
        <v>29</v>
      </c>
      <c r="R50" s="7" t="s">
        <v>29</v>
      </c>
      <c r="S50" s="7" t="s">
        <v>29</v>
      </c>
    </row>
    <row r="51" spans="2:19">
      <c r="B51" s="7" t="s">
        <v>195</v>
      </c>
      <c r="C51" s="8" t="s">
        <v>195</v>
      </c>
      <c r="D51" s="6" t="str">
        <f>LRTRIM(CONCATENATE(IF(SUMPRODUCT(-- ISNUMBER(SEARCH({"Auto Number"}, $B51))) &gt; 0, $B51, IF(SUMPRODUCT(-- ISNUMBER(SEARCH({"Lookup","Master-Detail"}, $B51))) &gt; 0,$B51 &amp; "(" &amp; $E51 &amp; ")",IF(SUMPRODUCT(-- ISNUMBER(SEARCH({"Formula","Roll-Up Summary"}, $B51))) &gt; 0,$B51 &amp; " (" &amp; $E51 &amp; ")",IF(SUMPRODUCT(-- ISNUMBER(SEARCH({"Content","Currency","Number","Percent","Text","URL"}, $B51))) &gt; 0,$B51 &amp; "(" &amp; $C51 &amp; ")",$B51)))), "  ", TRIM(IF($S51 = "YES", "(External ID)", "") &amp; " " &amp; IF(SUMPRODUCT(-- ISNUMBER(SEARCH({"Unique","Unique Case Insensitive"}, $R51))) &gt; 0, "(" &amp; $R51 &amp; ")", ""))))</f>
        <v>na</v>
      </c>
      <c r="E51" s="7" t="s">
        <v>195</v>
      </c>
      <c r="F51" s="7" t="s">
        <v>195</v>
      </c>
      <c r="G51" s="7" t="s">
        <v>195</v>
      </c>
      <c r="H51" s="7" t="s">
        <v>195</v>
      </c>
      <c r="I51" s="7" t="s">
        <v>195</v>
      </c>
      <c r="J51" s="7" t="s">
        <v>195</v>
      </c>
      <c r="K51" s="7" t="s">
        <v>195</v>
      </c>
      <c r="L51" s="7" t="s">
        <v>195</v>
      </c>
      <c r="M51" s="7" t="s">
        <v>29</v>
      </c>
      <c r="N51" s="7" t="s">
        <v>29</v>
      </c>
      <c r="O51" s="7" t="s">
        <v>29</v>
      </c>
      <c r="P51" s="7" t="s">
        <v>29</v>
      </c>
      <c r="Q51" s="7" t="s">
        <v>29</v>
      </c>
      <c r="R51" s="7" t="s">
        <v>29</v>
      </c>
      <c r="S51" s="7" t="s">
        <v>29</v>
      </c>
    </row>
    <row r="52" spans="2:19">
      <c r="B52" s="7" t="s">
        <v>195</v>
      </c>
      <c r="C52" s="8" t="s">
        <v>195</v>
      </c>
      <c r="D52" s="6" t="str">
        <f>LRTRIM(CONCATENATE(IF(SUMPRODUCT(-- ISNUMBER(SEARCH({"Auto Number"}, $B52))) &gt; 0, $B52, IF(SUMPRODUCT(-- ISNUMBER(SEARCH({"Lookup","Master-Detail"}, $B52))) &gt; 0,$B52 &amp; "(" &amp; $E52 &amp; ")",IF(SUMPRODUCT(-- ISNUMBER(SEARCH({"Formula","Roll-Up Summary"}, $B52))) &gt; 0,$B52 &amp; " (" &amp; $E52 &amp; ")",IF(SUMPRODUCT(-- ISNUMBER(SEARCH({"Content","Currency","Number","Percent","Text","URL"}, $B52))) &gt; 0,$B52 &amp; "(" &amp; $C52 &amp; ")",$B52)))), "  ", TRIM(IF($S52 = "YES", "(External ID)", "") &amp; " " &amp; IF(SUMPRODUCT(-- ISNUMBER(SEARCH({"Unique","Unique Case Insensitive"}, $R52))) &gt; 0, "(" &amp; $R52 &amp; ")", ""))))</f>
        <v>na</v>
      </c>
      <c r="E52" s="7" t="s">
        <v>195</v>
      </c>
      <c r="F52" s="7" t="s">
        <v>195</v>
      </c>
      <c r="G52" s="7" t="s">
        <v>195</v>
      </c>
      <c r="H52" s="7" t="s">
        <v>195</v>
      </c>
      <c r="I52" s="7" t="s">
        <v>195</v>
      </c>
      <c r="J52" s="7" t="s">
        <v>195</v>
      </c>
      <c r="K52" s="7" t="s">
        <v>195</v>
      </c>
      <c r="L52" s="7" t="s">
        <v>195</v>
      </c>
      <c r="M52" s="7" t="s">
        <v>29</v>
      </c>
      <c r="N52" s="7" t="s">
        <v>29</v>
      </c>
      <c r="O52" s="7" t="s">
        <v>29</v>
      </c>
      <c r="P52" s="7" t="s">
        <v>29</v>
      </c>
      <c r="Q52" s="7" t="s">
        <v>29</v>
      </c>
      <c r="R52" s="7" t="s">
        <v>29</v>
      </c>
      <c r="S52" s="7" t="s">
        <v>29</v>
      </c>
    </row>
    <row r="53" spans="2:19">
      <c r="B53" s="7" t="s">
        <v>195</v>
      </c>
      <c r="C53" s="8" t="s">
        <v>195</v>
      </c>
      <c r="D53" s="6" t="str">
        <f>LRTRIM(CONCATENATE(IF(SUMPRODUCT(-- ISNUMBER(SEARCH({"Auto Number"}, $B53))) &gt; 0, $B53, IF(SUMPRODUCT(-- ISNUMBER(SEARCH({"Lookup","Master-Detail"}, $B53))) &gt; 0,$B53 &amp; "(" &amp; $E53 &amp; ")",IF(SUMPRODUCT(-- ISNUMBER(SEARCH({"Formula","Roll-Up Summary"}, $B53))) &gt; 0,$B53 &amp; " (" &amp; $E53 &amp; ")",IF(SUMPRODUCT(-- ISNUMBER(SEARCH({"Content","Currency","Number","Percent","Text","URL"}, $B53))) &gt; 0,$B53 &amp; "(" &amp; $C53 &amp; ")",$B53)))), "  ", TRIM(IF($S53 = "YES", "(External ID)", "") &amp; " " &amp; IF(SUMPRODUCT(-- ISNUMBER(SEARCH({"Unique","Unique Case Insensitive"}, $R53))) &gt; 0, "(" &amp; $R53 &amp; ")", ""))))</f>
        <v>na</v>
      </c>
      <c r="E53" s="7" t="s">
        <v>195</v>
      </c>
      <c r="F53" s="7" t="s">
        <v>195</v>
      </c>
      <c r="G53" s="7" t="s">
        <v>195</v>
      </c>
      <c r="H53" s="7" t="s">
        <v>195</v>
      </c>
      <c r="I53" s="7" t="s">
        <v>195</v>
      </c>
      <c r="J53" s="7" t="s">
        <v>195</v>
      </c>
      <c r="K53" s="7" t="s">
        <v>195</v>
      </c>
      <c r="L53" s="7" t="s">
        <v>195</v>
      </c>
      <c r="M53" s="7" t="s">
        <v>29</v>
      </c>
      <c r="N53" s="7" t="s">
        <v>29</v>
      </c>
      <c r="O53" s="7" t="s">
        <v>29</v>
      </c>
      <c r="P53" s="7" t="s">
        <v>29</v>
      </c>
      <c r="Q53" s="7" t="s">
        <v>29</v>
      </c>
      <c r="R53" s="7" t="s">
        <v>29</v>
      </c>
      <c r="S53" s="7" t="s">
        <v>29</v>
      </c>
    </row>
    <row r="54" spans="2:19">
      <c r="B54" s="7" t="s">
        <v>195</v>
      </c>
      <c r="C54" s="8" t="s">
        <v>195</v>
      </c>
      <c r="D54" s="6" t="str">
        <f>LRTRIM(CONCATENATE(IF(SUMPRODUCT(-- ISNUMBER(SEARCH({"Auto Number"}, $B54))) &gt; 0, $B54, IF(SUMPRODUCT(-- ISNUMBER(SEARCH({"Lookup","Master-Detail"}, $B54))) &gt; 0,$B54 &amp; "(" &amp; $E54 &amp; ")",IF(SUMPRODUCT(-- ISNUMBER(SEARCH({"Formula","Roll-Up Summary"}, $B54))) &gt; 0,$B54 &amp; " (" &amp; $E54 &amp; ")",IF(SUMPRODUCT(-- ISNUMBER(SEARCH({"Content","Currency","Number","Percent","Text","URL"}, $B54))) &gt; 0,$B54 &amp; "(" &amp; $C54 &amp; ")",$B54)))), "  ", TRIM(IF($S54 = "YES", "(External ID)", "") &amp; " " &amp; IF(SUMPRODUCT(-- ISNUMBER(SEARCH({"Unique","Unique Case Insensitive"}, $R54))) &gt; 0, "(" &amp; $R54 &amp; ")", ""))))</f>
        <v>na</v>
      </c>
      <c r="E54" s="7" t="s">
        <v>195</v>
      </c>
      <c r="F54" s="7" t="s">
        <v>195</v>
      </c>
      <c r="G54" s="7" t="s">
        <v>195</v>
      </c>
      <c r="H54" s="7" t="s">
        <v>195</v>
      </c>
      <c r="I54" s="7" t="s">
        <v>195</v>
      </c>
      <c r="J54" s="7" t="s">
        <v>195</v>
      </c>
      <c r="K54" s="7" t="s">
        <v>195</v>
      </c>
      <c r="L54" s="7" t="s">
        <v>195</v>
      </c>
      <c r="M54" s="7" t="s">
        <v>29</v>
      </c>
      <c r="N54" s="7" t="s">
        <v>29</v>
      </c>
      <c r="O54" s="7" t="s">
        <v>29</v>
      </c>
      <c r="P54" s="7" t="s">
        <v>29</v>
      </c>
      <c r="Q54" s="7" t="s">
        <v>29</v>
      </c>
      <c r="R54" s="7" t="s">
        <v>29</v>
      </c>
      <c r="S54" s="7" t="s">
        <v>29</v>
      </c>
    </row>
    <row r="55" spans="2:19">
      <c r="B55" s="7" t="s">
        <v>195</v>
      </c>
      <c r="C55" s="8" t="s">
        <v>195</v>
      </c>
      <c r="D55" s="6" t="str">
        <f>LRTRIM(CONCATENATE(IF(SUMPRODUCT(-- ISNUMBER(SEARCH({"Auto Number"}, $B55))) &gt; 0, $B55, IF(SUMPRODUCT(-- ISNUMBER(SEARCH({"Lookup","Master-Detail"}, $B55))) &gt; 0,$B55 &amp; "(" &amp; $E55 &amp; ")",IF(SUMPRODUCT(-- ISNUMBER(SEARCH({"Formula","Roll-Up Summary"}, $B55))) &gt; 0,$B55 &amp; " (" &amp; $E55 &amp; ")",IF(SUMPRODUCT(-- ISNUMBER(SEARCH({"Content","Currency","Number","Percent","Text","URL"}, $B55))) &gt; 0,$B55 &amp; "(" &amp; $C55 &amp; ")",$B55)))), "  ", TRIM(IF($S55 = "YES", "(External ID)", "") &amp; " " &amp; IF(SUMPRODUCT(-- ISNUMBER(SEARCH({"Unique","Unique Case Insensitive"}, $R55))) &gt; 0, "(" &amp; $R55 &amp; ")", ""))))</f>
        <v>na</v>
      </c>
      <c r="E55" s="7" t="s">
        <v>195</v>
      </c>
      <c r="F55" s="7" t="s">
        <v>195</v>
      </c>
      <c r="G55" s="7" t="s">
        <v>195</v>
      </c>
      <c r="H55" s="7" t="s">
        <v>195</v>
      </c>
      <c r="I55" s="7" t="s">
        <v>195</v>
      </c>
      <c r="J55" s="7" t="s">
        <v>195</v>
      </c>
      <c r="K55" s="7" t="s">
        <v>195</v>
      </c>
      <c r="L55" s="7" t="s">
        <v>195</v>
      </c>
      <c r="M55" s="7" t="s">
        <v>29</v>
      </c>
      <c r="N55" s="7" t="s">
        <v>29</v>
      </c>
      <c r="O55" s="7" t="s">
        <v>29</v>
      </c>
      <c r="P55" s="7" t="s">
        <v>29</v>
      </c>
      <c r="Q55" s="7" t="s">
        <v>29</v>
      </c>
      <c r="R55" s="7" t="s">
        <v>29</v>
      </c>
      <c r="S55" s="7" t="s">
        <v>29</v>
      </c>
    </row>
    <row r="56" spans="2:19">
      <c r="B56" s="7" t="s">
        <v>195</v>
      </c>
      <c r="C56" s="8" t="s">
        <v>195</v>
      </c>
      <c r="D56" s="6" t="str">
        <f>LRTRIM(CONCATENATE(IF(SUMPRODUCT(-- ISNUMBER(SEARCH({"Auto Number"}, $B56))) &gt; 0, $B56, IF(SUMPRODUCT(-- ISNUMBER(SEARCH({"Lookup","Master-Detail"}, $B56))) &gt; 0,$B56 &amp; "(" &amp; $E56 &amp; ")",IF(SUMPRODUCT(-- ISNUMBER(SEARCH({"Formula","Roll-Up Summary"}, $B56))) &gt; 0,$B56 &amp; " (" &amp; $E56 &amp; ")",IF(SUMPRODUCT(-- ISNUMBER(SEARCH({"Content","Currency","Number","Percent","Text","URL"}, $B56))) &gt; 0,$B56 &amp; "(" &amp; $C56 &amp; ")",$B56)))), "  ", TRIM(IF($S56 = "YES", "(External ID)", "") &amp; " " &amp; IF(SUMPRODUCT(-- ISNUMBER(SEARCH({"Unique","Unique Case Insensitive"}, $R56))) &gt; 0, "(" &amp; $R56 &amp; ")", ""))))</f>
        <v>na</v>
      </c>
      <c r="E56" s="7" t="s">
        <v>195</v>
      </c>
      <c r="F56" s="7" t="s">
        <v>195</v>
      </c>
      <c r="G56" s="7" t="s">
        <v>195</v>
      </c>
      <c r="H56" s="7" t="s">
        <v>195</v>
      </c>
      <c r="I56" s="7" t="s">
        <v>195</v>
      </c>
      <c r="J56" s="7" t="s">
        <v>195</v>
      </c>
      <c r="K56" s="7" t="s">
        <v>195</v>
      </c>
      <c r="L56" s="7" t="s">
        <v>195</v>
      </c>
      <c r="M56" s="7" t="s">
        <v>29</v>
      </c>
      <c r="N56" s="7" t="s">
        <v>29</v>
      </c>
      <c r="O56" s="7" t="s">
        <v>29</v>
      </c>
      <c r="P56" s="7" t="s">
        <v>29</v>
      </c>
      <c r="Q56" s="7" t="s">
        <v>29</v>
      </c>
      <c r="R56" s="7" t="s">
        <v>29</v>
      </c>
      <c r="S56" s="7" t="s">
        <v>29</v>
      </c>
    </row>
    <row r="57" spans="2:19">
      <c r="B57" s="7" t="s">
        <v>195</v>
      </c>
      <c r="C57" s="8" t="s">
        <v>195</v>
      </c>
      <c r="D57" s="6" t="str">
        <f>LRTRIM(CONCATENATE(IF(SUMPRODUCT(-- ISNUMBER(SEARCH({"Auto Number"}, $B57))) &gt; 0, $B57, IF(SUMPRODUCT(-- ISNUMBER(SEARCH({"Lookup","Master-Detail"}, $B57))) &gt; 0,$B57 &amp; "(" &amp; $E57 &amp; ")",IF(SUMPRODUCT(-- ISNUMBER(SEARCH({"Formula","Roll-Up Summary"}, $B57))) &gt; 0,$B57 &amp; " (" &amp; $E57 &amp; ")",IF(SUMPRODUCT(-- ISNUMBER(SEARCH({"Content","Currency","Number","Percent","Text","URL"}, $B57))) &gt; 0,$B57 &amp; "(" &amp; $C57 &amp; ")",$B57)))), "  ", TRIM(IF($S57 = "YES", "(External ID)", "") &amp; " " &amp; IF(SUMPRODUCT(-- ISNUMBER(SEARCH({"Unique","Unique Case Insensitive"}, $R57))) &gt; 0, "(" &amp; $R57 &amp; ")", ""))))</f>
        <v>na</v>
      </c>
      <c r="E57" s="7" t="s">
        <v>195</v>
      </c>
      <c r="F57" s="7" t="s">
        <v>195</v>
      </c>
      <c r="G57" s="7" t="s">
        <v>195</v>
      </c>
      <c r="H57" s="7" t="s">
        <v>195</v>
      </c>
      <c r="I57" s="7" t="s">
        <v>195</v>
      </c>
      <c r="J57" s="7" t="s">
        <v>195</v>
      </c>
      <c r="K57" s="7" t="s">
        <v>195</v>
      </c>
      <c r="L57" s="7" t="s">
        <v>195</v>
      </c>
      <c r="M57" s="7" t="s">
        <v>29</v>
      </c>
      <c r="N57" s="7" t="s">
        <v>29</v>
      </c>
      <c r="O57" s="7" t="s">
        <v>29</v>
      </c>
      <c r="P57" s="7" t="s">
        <v>29</v>
      </c>
      <c r="Q57" s="7" t="s">
        <v>29</v>
      </c>
      <c r="R57" s="7" t="s">
        <v>29</v>
      </c>
      <c r="S57" s="7" t="s">
        <v>29</v>
      </c>
    </row>
    <row r="58" spans="2:19">
      <c r="B58" s="7" t="s">
        <v>195</v>
      </c>
      <c r="C58" s="8" t="s">
        <v>195</v>
      </c>
      <c r="D58" s="6" t="str">
        <f>LRTRIM(CONCATENATE(IF(SUMPRODUCT(-- ISNUMBER(SEARCH({"Auto Number"}, $B58))) &gt; 0, $B58, IF(SUMPRODUCT(-- ISNUMBER(SEARCH({"Lookup","Master-Detail"}, $B58))) &gt; 0,$B58 &amp; "(" &amp; $E58 &amp; ")",IF(SUMPRODUCT(-- ISNUMBER(SEARCH({"Formula","Roll-Up Summary"}, $B58))) &gt; 0,$B58 &amp; " (" &amp; $E58 &amp; ")",IF(SUMPRODUCT(-- ISNUMBER(SEARCH({"Content","Currency","Number","Percent","Text","URL"}, $B58))) &gt; 0,$B58 &amp; "(" &amp; $C58 &amp; ")",$B58)))), "  ", TRIM(IF($S58 = "YES", "(External ID)", "") &amp; " " &amp; IF(SUMPRODUCT(-- ISNUMBER(SEARCH({"Unique","Unique Case Insensitive"}, $R58))) &gt; 0, "(" &amp; $R58 &amp; ")", ""))))</f>
        <v>na</v>
      </c>
      <c r="E58" s="7" t="s">
        <v>195</v>
      </c>
      <c r="F58" s="7" t="s">
        <v>195</v>
      </c>
      <c r="G58" s="7" t="s">
        <v>195</v>
      </c>
      <c r="H58" s="7" t="s">
        <v>195</v>
      </c>
      <c r="I58" s="7" t="s">
        <v>195</v>
      </c>
      <c r="J58" s="7" t="s">
        <v>195</v>
      </c>
      <c r="K58" s="7" t="s">
        <v>195</v>
      </c>
      <c r="L58" s="7" t="s">
        <v>195</v>
      </c>
      <c r="M58" s="7" t="s">
        <v>29</v>
      </c>
      <c r="N58" s="7" t="s">
        <v>29</v>
      </c>
      <c r="O58" s="7" t="s">
        <v>29</v>
      </c>
      <c r="P58" s="7" t="s">
        <v>29</v>
      </c>
      <c r="Q58" s="7" t="s">
        <v>29</v>
      </c>
      <c r="R58" s="7" t="s">
        <v>29</v>
      </c>
      <c r="S58" s="7" t="s">
        <v>29</v>
      </c>
    </row>
    <row r="59" spans="2:19">
      <c r="B59" s="7" t="s">
        <v>195</v>
      </c>
      <c r="C59" s="8" t="s">
        <v>195</v>
      </c>
      <c r="D59" s="6" t="str">
        <f>LRTRIM(CONCATENATE(IF(SUMPRODUCT(-- ISNUMBER(SEARCH({"Auto Number"}, $B59))) &gt; 0, $B59, IF(SUMPRODUCT(-- ISNUMBER(SEARCH({"Lookup","Master-Detail"}, $B59))) &gt; 0,$B59 &amp; "(" &amp; $E59 &amp; ")",IF(SUMPRODUCT(-- ISNUMBER(SEARCH({"Formula","Roll-Up Summary"}, $B59))) &gt; 0,$B59 &amp; " (" &amp; $E59 &amp; ")",IF(SUMPRODUCT(-- ISNUMBER(SEARCH({"Content","Currency","Number","Percent","Text","URL"}, $B59))) &gt; 0,$B59 &amp; "(" &amp; $C59 &amp; ")",$B59)))), "  ", TRIM(IF($S59 = "YES", "(External ID)", "") &amp; " " &amp; IF(SUMPRODUCT(-- ISNUMBER(SEARCH({"Unique","Unique Case Insensitive"}, $R59))) &gt; 0, "(" &amp; $R59 &amp; ")", ""))))</f>
        <v>na</v>
      </c>
      <c r="E59" s="7" t="s">
        <v>195</v>
      </c>
      <c r="F59" s="7" t="s">
        <v>195</v>
      </c>
      <c r="G59" s="7" t="s">
        <v>195</v>
      </c>
      <c r="H59" s="7" t="s">
        <v>195</v>
      </c>
      <c r="I59" s="7" t="s">
        <v>195</v>
      </c>
      <c r="J59" s="7" t="s">
        <v>195</v>
      </c>
      <c r="K59" s="7" t="s">
        <v>195</v>
      </c>
      <c r="L59" s="7" t="s">
        <v>195</v>
      </c>
      <c r="M59" s="7" t="s">
        <v>29</v>
      </c>
      <c r="N59" s="7" t="s">
        <v>29</v>
      </c>
      <c r="O59" s="7" t="s">
        <v>29</v>
      </c>
      <c r="P59" s="7" t="s">
        <v>29</v>
      </c>
      <c r="Q59" s="7" t="s">
        <v>29</v>
      </c>
      <c r="R59" s="7" t="s">
        <v>29</v>
      </c>
      <c r="S59" s="7" t="s">
        <v>29</v>
      </c>
    </row>
    <row r="60" spans="2:19">
      <c r="B60" s="7" t="s">
        <v>195</v>
      </c>
      <c r="C60" s="8" t="s">
        <v>195</v>
      </c>
      <c r="D60" s="6" t="str">
        <f>LRTRIM(CONCATENATE(IF(SUMPRODUCT(-- ISNUMBER(SEARCH({"Auto Number"}, $B60))) &gt; 0, $B60, IF(SUMPRODUCT(-- ISNUMBER(SEARCH({"Lookup","Master-Detail"}, $B60))) &gt; 0,$B60 &amp; "(" &amp; $E60 &amp; ")",IF(SUMPRODUCT(-- ISNUMBER(SEARCH({"Formula","Roll-Up Summary"}, $B60))) &gt; 0,$B60 &amp; " (" &amp; $E60 &amp; ")",IF(SUMPRODUCT(-- ISNUMBER(SEARCH({"Content","Currency","Number","Percent","Text","URL"}, $B60))) &gt; 0,$B60 &amp; "(" &amp; $C60 &amp; ")",$B60)))), "  ", TRIM(IF($S60 = "YES", "(External ID)", "") &amp; " " &amp; IF(SUMPRODUCT(-- ISNUMBER(SEARCH({"Unique","Unique Case Insensitive"}, $R60))) &gt; 0, "(" &amp; $R60 &amp; ")", ""))))</f>
        <v>na</v>
      </c>
      <c r="E60" s="7" t="s">
        <v>195</v>
      </c>
      <c r="F60" s="7" t="s">
        <v>195</v>
      </c>
      <c r="G60" s="7" t="s">
        <v>195</v>
      </c>
      <c r="H60" s="7" t="s">
        <v>195</v>
      </c>
      <c r="I60" s="7" t="s">
        <v>195</v>
      </c>
      <c r="J60" s="7" t="s">
        <v>195</v>
      </c>
      <c r="K60" s="7" t="s">
        <v>195</v>
      </c>
      <c r="L60" s="7" t="s">
        <v>195</v>
      </c>
      <c r="M60" s="7" t="s">
        <v>29</v>
      </c>
      <c r="N60" s="7" t="s">
        <v>29</v>
      </c>
      <c r="O60" s="7" t="s">
        <v>29</v>
      </c>
      <c r="P60" s="7" t="s">
        <v>29</v>
      </c>
      <c r="Q60" s="7" t="s">
        <v>29</v>
      </c>
      <c r="R60" s="7" t="s">
        <v>29</v>
      </c>
      <c r="S60" s="7" t="s">
        <v>29</v>
      </c>
    </row>
    <row r="61" spans="2:19">
      <c r="B61" s="7" t="s">
        <v>195</v>
      </c>
      <c r="C61" s="8" t="s">
        <v>195</v>
      </c>
      <c r="D61" s="6" t="str">
        <f>LRTRIM(CONCATENATE(IF(SUMPRODUCT(-- ISNUMBER(SEARCH({"Auto Number"}, $B61))) &gt; 0, $B61, IF(SUMPRODUCT(-- ISNUMBER(SEARCH({"Lookup","Master-Detail"}, $B61))) &gt; 0,$B61 &amp; "(" &amp; $E61 &amp; ")",IF(SUMPRODUCT(-- ISNUMBER(SEARCH({"Formula","Roll-Up Summary"}, $B61))) &gt; 0,$B61 &amp; " (" &amp; $E61 &amp; ")",IF(SUMPRODUCT(-- ISNUMBER(SEARCH({"Content","Currency","Number","Percent","Text","URL"}, $B61))) &gt; 0,$B61 &amp; "(" &amp; $C61 &amp; ")",$B61)))), "  ", TRIM(IF($S61 = "YES", "(External ID)", "") &amp; " " &amp; IF(SUMPRODUCT(-- ISNUMBER(SEARCH({"Unique","Unique Case Insensitive"}, $R61))) &gt; 0, "(" &amp; $R61 &amp; ")", ""))))</f>
        <v>na</v>
      </c>
      <c r="E61" s="7" t="s">
        <v>195</v>
      </c>
      <c r="F61" s="7" t="s">
        <v>195</v>
      </c>
      <c r="G61" s="7" t="s">
        <v>195</v>
      </c>
      <c r="H61" s="7" t="s">
        <v>195</v>
      </c>
      <c r="I61" s="7" t="s">
        <v>195</v>
      </c>
      <c r="J61" s="7" t="s">
        <v>195</v>
      </c>
      <c r="K61" s="7" t="s">
        <v>195</v>
      </c>
      <c r="L61" s="7" t="s">
        <v>195</v>
      </c>
      <c r="M61" s="7" t="s">
        <v>29</v>
      </c>
      <c r="N61" s="7" t="s">
        <v>29</v>
      </c>
      <c r="O61" s="7" t="s">
        <v>29</v>
      </c>
      <c r="P61" s="7" t="s">
        <v>29</v>
      </c>
      <c r="Q61" s="7" t="s">
        <v>29</v>
      </c>
      <c r="R61" s="7" t="s">
        <v>29</v>
      </c>
      <c r="S61" s="7" t="s">
        <v>29</v>
      </c>
    </row>
    <row r="62" spans="2:19">
      <c r="B62" s="7" t="s">
        <v>195</v>
      </c>
      <c r="C62" s="8" t="s">
        <v>195</v>
      </c>
      <c r="D62" s="6" t="str">
        <f>LRTRIM(CONCATENATE(IF(SUMPRODUCT(-- ISNUMBER(SEARCH({"Auto Number"}, $B62))) &gt; 0, $B62, IF(SUMPRODUCT(-- ISNUMBER(SEARCH({"Lookup","Master-Detail"}, $B62))) &gt; 0,$B62 &amp; "(" &amp; $E62 &amp; ")",IF(SUMPRODUCT(-- ISNUMBER(SEARCH({"Formula","Roll-Up Summary"}, $B62))) &gt; 0,$B62 &amp; " (" &amp; $E62 &amp; ")",IF(SUMPRODUCT(-- ISNUMBER(SEARCH({"Content","Currency","Number","Percent","Text","URL"}, $B62))) &gt; 0,$B62 &amp; "(" &amp; $C62 &amp; ")",$B62)))), "  ", TRIM(IF($S62 = "YES", "(External ID)", "") &amp; " " &amp; IF(SUMPRODUCT(-- ISNUMBER(SEARCH({"Unique","Unique Case Insensitive"}, $R62))) &gt; 0, "(" &amp; $R62 &amp; ")", ""))))</f>
        <v>na</v>
      </c>
      <c r="E62" s="7" t="s">
        <v>195</v>
      </c>
      <c r="F62" s="7" t="s">
        <v>195</v>
      </c>
      <c r="G62" s="7" t="s">
        <v>195</v>
      </c>
      <c r="H62" s="7" t="s">
        <v>195</v>
      </c>
      <c r="I62" s="7" t="s">
        <v>195</v>
      </c>
      <c r="J62" s="7" t="s">
        <v>195</v>
      </c>
      <c r="K62" s="7" t="s">
        <v>195</v>
      </c>
      <c r="L62" s="7" t="s">
        <v>195</v>
      </c>
      <c r="M62" s="7" t="s">
        <v>29</v>
      </c>
      <c r="N62" s="7" t="s">
        <v>29</v>
      </c>
      <c r="O62" s="7" t="s">
        <v>29</v>
      </c>
      <c r="P62" s="7" t="s">
        <v>29</v>
      </c>
      <c r="Q62" s="7" t="s">
        <v>29</v>
      </c>
      <c r="R62" s="7" t="s">
        <v>29</v>
      </c>
      <c r="S62" s="7" t="s">
        <v>29</v>
      </c>
    </row>
    <row r="63" spans="2:19">
      <c r="B63" s="7" t="s">
        <v>195</v>
      </c>
      <c r="C63" s="8" t="s">
        <v>195</v>
      </c>
      <c r="D63" s="6" t="str">
        <f>LRTRIM(CONCATENATE(IF(SUMPRODUCT(-- ISNUMBER(SEARCH({"Auto Number"}, $B63))) &gt; 0, $B63, IF(SUMPRODUCT(-- ISNUMBER(SEARCH({"Lookup","Master-Detail"}, $B63))) &gt; 0,$B63 &amp; "(" &amp; $E63 &amp; ")",IF(SUMPRODUCT(-- ISNUMBER(SEARCH({"Formula","Roll-Up Summary"}, $B63))) &gt; 0,$B63 &amp; " (" &amp; $E63 &amp; ")",IF(SUMPRODUCT(-- ISNUMBER(SEARCH({"Content","Currency","Number","Percent","Text","URL"}, $B63))) &gt; 0,$B63 &amp; "(" &amp; $C63 &amp; ")",$B63)))), "  ", TRIM(IF($S63 = "YES", "(External ID)", "") &amp; " " &amp; IF(SUMPRODUCT(-- ISNUMBER(SEARCH({"Unique","Unique Case Insensitive"}, $R63))) &gt; 0, "(" &amp; $R63 &amp; ")", ""))))</f>
        <v>na</v>
      </c>
      <c r="E63" s="7" t="s">
        <v>195</v>
      </c>
      <c r="F63" s="7" t="s">
        <v>195</v>
      </c>
      <c r="G63" s="7" t="s">
        <v>195</v>
      </c>
      <c r="H63" s="7" t="s">
        <v>195</v>
      </c>
      <c r="I63" s="7" t="s">
        <v>195</v>
      </c>
      <c r="J63" s="7" t="s">
        <v>195</v>
      </c>
      <c r="K63" s="7" t="s">
        <v>195</v>
      </c>
      <c r="L63" s="7" t="s">
        <v>195</v>
      </c>
      <c r="M63" s="7" t="s">
        <v>29</v>
      </c>
      <c r="N63" s="7" t="s">
        <v>29</v>
      </c>
      <c r="O63" s="7" t="s">
        <v>29</v>
      </c>
      <c r="P63" s="7" t="s">
        <v>29</v>
      </c>
      <c r="Q63" s="7" t="s">
        <v>29</v>
      </c>
      <c r="R63" s="7" t="s">
        <v>29</v>
      </c>
      <c r="S63" s="7" t="s">
        <v>29</v>
      </c>
    </row>
    <row r="64" spans="2:19">
      <c r="B64" s="7" t="s">
        <v>195</v>
      </c>
      <c r="C64" s="8" t="s">
        <v>195</v>
      </c>
      <c r="D64" s="6" t="str">
        <f>LRTRIM(CONCATENATE(IF(SUMPRODUCT(-- ISNUMBER(SEARCH({"Auto Number"}, $B64))) &gt; 0, $B64, IF(SUMPRODUCT(-- ISNUMBER(SEARCH({"Lookup","Master-Detail"}, $B64))) &gt; 0,$B64 &amp; "(" &amp; $E64 &amp; ")",IF(SUMPRODUCT(-- ISNUMBER(SEARCH({"Formula","Roll-Up Summary"}, $B64))) &gt; 0,$B64 &amp; " (" &amp; $E64 &amp; ")",IF(SUMPRODUCT(-- ISNUMBER(SEARCH({"Content","Currency","Number","Percent","Text","URL"}, $B64))) &gt; 0,$B64 &amp; "(" &amp; $C64 &amp; ")",$B64)))), "  ", TRIM(IF($S64 = "YES", "(External ID)", "") &amp; " " &amp; IF(SUMPRODUCT(-- ISNUMBER(SEARCH({"Unique","Unique Case Insensitive"}, $R64))) &gt; 0, "(" &amp; $R64 &amp; ")", ""))))</f>
        <v>na</v>
      </c>
      <c r="E64" s="7" t="s">
        <v>195</v>
      </c>
      <c r="F64" s="7" t="s">
        <v>195</v>
      </c>
      <c r="G64" s="7" t="s">
        <v>195</v>
      </c>
      <c r="H64" s="7" t="s">
        <v>195</v>
      </c>
      <c r="I64" s="7" t="s">
        <v>195</v>
      </c>
      <c r="J64" s="7" t="s">
        <v>195</v>
      </c>
      <c r="K64" s="7" t="s">
        <v>195</v>
      </c>
      <c r="L64" s="7" t="s">
        <v>195</v>
      </c>
      <c r="M64" s="7" t="s">
        <v>29</v>
      </c>
      <c r="N64" s="7" t="s">
        <v>29</v>
      </c>
      <c r="O64" s="7" t="s">
        <v>29</v>
      </c>
      <c r="P64" s="7" t="s">
        <v>29</v>
      </c>
      <c r="Q64" s="7" t="s">
        <v>29</v>
      </c>
      <c r="R64" s="7" t="s">
        <v>29</v>
      </c>
      <c r="S64" s="7" t="s">
        <v>29</v>
      </c>
    </row>
    <row r="65" spans="2:19">
      <c r="B65" s="7" t="s">
        <v>195</v>
      </c>
      <c r="C65" s="8" t="s">
        <v>195</v>
      </c>
      <c r="D65" s="6" t="str">
        <f>LRTRIM(CONCATENATE(IF(SUMPRODUCT(-- ISNUMBER(SEARCH({"Auto Number"}, $B65))) &gt; 0, $B65, IF(SUMPRODUCT(-- ISNUMBER(SEARCH({"Lookup","Master-Detail"}, $B65))) &gt; 0,$B65 &amp; "(" &amp; $E65 &amp; ")",IF(SUMPRODUCT(-- ISNUMBER(SEARCH({"Formula","Roll-Up Summary"}, $B65))) &gt; 0,$B65 &amp; " (" &amp; $E65 &amp; ")",IF(SUMPRODUCT(-- ISNUMBER(SEARCH({"Content","Currency","Number","Percent","Text","URL"}, $B65))) &gt; 0,$B65 &amp; "(" &amp; $C65 &amp; ")",$B65)))), "  ", TRIM(IF($S65 = "YES", "(External ID)", "") &amp; " " &amp; IF(SUMPRODUCT(-- ISNUMBER(SEARCH({"Unique","Unique Case Insensitive"}, $R65))) &gt; 0, "(" &amp; $R65 &amp; ")", ""))))</f>
        <v>na</v>
      </c>
      <c r="E65" s="7" t="s">
        <v>195</v>
      </c>
      <c r="F65" s="7" t="s">
        <v>195</v>
      </c>
      <c r="G65" s="7" t="s">
        <v>195</v>
      </c>
      <c r="H65" s="7" t="s">
        <v>195</v>
      </c>
      <c r="I65" s="7" t="s">
        <v>195</v>
      </c>
      <c r="J65" s="7" t="s">
        <v>195</v>
      </c>
      <c r="K65" s="7" t="s">
        <v>195</v>
      </c>
      <c r="L65" s="7" t="s">
        <v>195</v>
      </c>
      <c r="M65" s="7" t="s">
        <v>29</v>
      </c>
      <c r="N65" s="7" t="s">
        <v>29</v>
      </c>
      <c r="O65" s="7" t="s">
        <v>29</v>
      </c>
      <c r="P65" s="7" t="s">
        <v>29</v>
      </c>
      <c r="Q65" s="7" t="s">
        <v>29</v>
      </c>
      <c r="R65" s="7" t="s">
        <v>29</v>
      </c>
      <c r="S65" s="7" t="s">
        <v>29</v>
      </c>
    </row>
    <row r="66" spans="2:19">
      <c r="B66" s="7" t="s">
        <v>195</v>
      </c>
      <c r="C66" s="8" t="s">
        <v>195</v>
      </c>
      <c r="D66" s="6" t="str">
        <f>LRTRIM(CONCATENATE(IF(SUMPRODUCT(-- ISNUMBER(SEARCH({"Auto Number"}, $B66))) &gt; 0, $B66, IF(SUMPRODUCT(-- ISNUMBER(SEARCH({"Lookup","Master-Detail"}, $B66))) &gt; 0,$B66 &amp; "(" &amp; $E66 &amp; ")",IF(SUMPRODUCT(-- ISNUMBER(SEARCH({"Formula","Roll-Up Summary"}, $B66))) &gt; 0,$B66 &amp; " (" &amp; $E66 &amp; ")",IF(SUMPRODUCT(-- ISNUMBER(SEARCH({"Content","Currency","Number","Percent","Text","URL"}, $B66))) &gt; 0,$B66 &amp; "(" &amp; $C66 &amp; ")",$B66)))), "  ", TRIM(IF($S66 = "YES", "(External ID)", "") &amp; " " &amp; IF(SUMPRODUCT(-- ISNUMBER(SEARCH({"Unique","Unique Case Insensitive"}, $R66))) &gt; 0, "(" &amp; $R66 &amp; ")", ""))))</f>
        <v>na</v>
      </c>
      <c r="E66" s="7" t="s">
        <v>195</v>
      </c>
      <c r="F66" s="7" t="s">
        <v>195</v>
      </c>
      <c r="G66" s="7" t="s">
        <v>195</v>
      </c>
      <c r="H66" s="7" t="s">
        <v>195</v>
      </c>
      <c r="I66" s="7" t="s">
        <v>195</v>
      </c>
      <c r="J66" s="7" t="s">
        <v>195</v>
      </c>
      <c r="K66" s="7" t="s">
        <v>195</v>
      </c>
      <c r="L66" s="7" t="s">
        <v>195</v>
      </c>
      <c r="M66" s="7" t="s">
        <v>29</v>
      </c>
      <c r="N66" s="7" t="s">
        <v>29</v>
      </c>
      <c r="O66" s="7" t="s">
        <v>29</v>
      </c>
      <c r="P66" s="7" t="s">
        <v>29</v>
      </c>
      <c r="Q66" s="7" t="s">
        <v>29</v>
      </c>
      <c r="R66" s="7" t="s">
        <v>29</v>
      </c>
      <c r="S66" s="7" t="s">
        <v>29</v>
      </c>
    </row>
    <row r="67" spans="2:19">
      <c r="B67" s="7" t="s">
        <v>195</v>
      </c>
      <c r="C67" s="8" t="s">
        <v>195</v>
      </c>
      <c r="D67" s="6" t="str">
        <f>LRTRIM(CONCATENATE(IF(SUMPRODUCT(-- ISNUMBER(SEARCH({"Auto Number"}, $B67))) &gt; 0, $B67, IF(SUMPRODUCT(-- ISNUMBER(SEARCH({"Lookup","Master-Detail"}, $B67))) &gt; 0,$B67 &amp; "(" &amp; $E67 &amp; ")",IF(SUMPRODUCT(-- ISNUMBER(SEARCH({"Formula","Roll-Up Summary"}, $B67))) &gt; 0,$B67 &amp; " (" &amp; $E67 &amp; ")",IF(SUMPRODUCT(-- ISNUMBER(SEARCH({"Content","Currency","Number","Percent","Text","URL"}, $B67))) &gt; 0,$B67 &amp; "(" &amp; $C67 &amp; ")",$B67)))), "  ", TRIM(IF($S67 = "YES", "(External ID)", "") &amp; " " &amp; IF(SUMPRODUCT(-- ISNUMBER(SEARCH({"Unique","Unique Case Insensitive"}, $R67))) &gt; 0, "(" &amp; $R67 &amp; ")", ""))))</f>
        <v>na</v>
      </c>
      <c r="E67" s="7" t="s">
        <v>195</v>
      </c>
      <c r="F67" s="7" t="s">
        <v>195</v>
      </c>
      <c r="G67" s="7" t="s">
        <v>195</v>
      </c>
      <c r="H67" s="7" t="s">
        <v>195</v>
      </c>
      <c r="I67" s="7" t="s">
        <v>195</v>
      </c>
      <c r="J67" s="7" t="s">
        <v>195</v>
      </c>
      <c r="K67" s="7" t="s">
        <v>195</v>
      </c>
      <c r="L67" s="7" t="s">
        <v>195</v>
      </c>
      <c r="M67" s="7" t="s">
        <v>29</v>
      </c>
      <c r="N67" s="7" t="s">
        <v>29</v>
      </c>
      <c r="O67" s="7" t="s">
        <v>29</v>
      </c>
      <c r="P67" s="7" t="s">
        <v>29</v>
      </c>
      <c r="Q67" s="7" t="s">
        <v>29</v>
      </c>
      <c r="R67" s="7" t="s">
        <v>29</v>
      </c>
      <c r="S67" s="7" t="s">
        <v>29</v>
      </c>
    </row>
    <row r="68" spans="2:19">
      <c r="B68" s="7" t="s">
        <v>195</v>
      </c>
      <c r="C68" s="8" t="s">
        <v>195</v>
      </c>
      <c r="D68" s="6" t="str">
        <f>LRTRIM(CONCATENATE(IF(SUMPRODUCT(-- ISNUMBER(SEARCH({"Auto Number"}, $B68))) &gt; 0, $B68, IF(SUMPRODUCT(-- ISNUMBER(SEARCH({"Lookup","Master-Detail"}, $B68))) &gt; 0,$B68 &amp; "(" &amp; $E68 &amp; ")",IF(SUMPRODUCT(-- ISNUMBER(SEARCH({"Formula","Roll-Up Summary"}, $B68))) &gt; 0,$B68 &amp; " (" &amp; $E68 &amp; ")",IF(SUMPRODUCT(-- ISNUMBER(SEARCH({"Content","Currency","Number","Percent","Text","URL"}, $B68))) &gt; 0,$B68 &amp; "(" &amp; $C68 &amp; ")",$B68)))), "  ", TRIM(IF($S68 = "YES", "(External ID)", "") &amp; " " &amp; IF(SUMPRODUCT(-- ISNUMBER(SEARCH({"Unique","Unique Case Insensitive"}, $R68))) &gt; 0, "(" &amp; $R68 &amp; ")", ""))))</f>
        <v>na</v>
      </c>
      <c r="E68" s="7" t="s">
        <v>195</v>
      </c>
      <c r="F68" s="7" t="s">
        <v>195</v>
      </c>
      <c r="G68" s="7" t="s">
        <v>195</v>
      </c>
      <c r="H68" s="7" t="s">
        <v>195</v>
      </c>
      <c r="I68" s="7" t="s">
        <v>195</v>
      </c>
      <c r="J68" s="7" t="s">
        <v>195</v>
      </c>
      <c r="K68" s="7" t="s">
        <v>195</v>
      </c>
      <c r="L68" s="7" t="s">
        <v>195</v>
      </c>
      <c r="M68" s="7" t="s">
        <v>29</v>
      </c>
      <c r="N68" s="7" t="s">
        <v>29</v>
      </c>
      <c r="O68" s="7" t="s">
        <v>29</v>
      </c>
      <c r="P68" s="7" t="s">
        <v>29</v>
      </c>
      <c r="Q68" s="7" t="s">
        <v>29</v>
      </c>
      <c r="R68" s="7" t="s">
        <v>29</v>
      </c>
      <c r="S68" s="7" t="s">
        <v>29</v>
      </c>
    </row>
    <row r="69" spans="2:19">
      <c r="B69" s="7" t="s">
        <v>195</v>
      </c>
      <c r="C69" s="8" t="s">
        <v>195</v>
      </c>
      <c r="D69" s="6" t="str">
        <f>LRTRIM(CONCATENATE(IF(SUMPRODUCT(-- ISNUMBER(SEARCH({"Auto Number"}, $B69))) &gt; 0, $B69, IF(SUMPRODUCT(-- ISNUMBER(SEARCH({"Lookup","Master-Detail"}, $B69))) &gt; 0,$B69 &amp; "(" &amp; $E69 &amp; ")",IF(SUMPRODUCT(-- ISNUMBER(SEARCH({"Formula","Roll-Up Summary"}, $B69))) &gt; 0,$B69 &amp; " (" &amp; $E69 &amp; ")",IF(SUMPRODUCT(-- ISNUMBER(SEARCH({"Content","Currency","Number","Percent","Text","URL"}, $B69))) &gt; 0,$B69 &amp; "(" &amp; $C69 &amp; ")",$B69)))), "  ", TRIM(IF($S69 = "YES", "(External ID)", "") &amp; " " &amp; IF(SUMPRODUCT(-- ISNUMBER(SEARCH({"Unique","Unique Case Insensitive"}, $R69))) &gt; 0, "(" &amp; $R69 &amp; ")", ""))))</f>
        <v>na</v>
      </c>
      <c r="E69" s="7" t="s">
        <v>195</v>
      </c>
      <c r="F69" s="7" t="s">
        <v>195</v>
      </c>
      <c r="G69" s="7" t="s">
        <v>195</v>
      </c>
      <c r="H69" s="7" t="s">
        <v>195</v>
      </c>
      <c r="I69" s="7" t="s">
        <v>195</v>
      </c>
      <c r="J69" s="7" t="s">
        <v>195</v>
      </c>
      <c r="K69" s="7" t="s">
        <v>195</v>
      </c>
      <c r="L69" s="7" t="s">
        <v>195</v>
      </c>
      <c r="M69" s="7" t="s">
        <v>29</v>
      </c>
      <c r="N69" s="7" t="s">
        <v>29</v>
      </c>
      <c r="O69" s="7" t="s">
        <v>29</v>
      </c>
      <c r="P69" s="7" t="s">
        <v>29</v>
      </c>
      <c r="Q69" s="7" t="s">
        <v>29</v>
      </c>
      <c r="R69" s="7" t="s">
        <v>29</v>
      </c>
      <c r="S69" s="7" t="s">
        <v>29</v>
      </c>
    </row>
    <row r="70" spans="2:19">
      <c r="B70" s="7" t="s">
        <v>195</v>
      </c>
      <c r="C70" s="8" t="s">
        <v>195</v>
      </c>
      <c r="D70" s="6" t="str">
        <f>LRTRIM(CONCATENATE(IF(SUMPRODUCT(-- ISNUMBER(SEARCH({"Auto Number"}, $B70))) &gt; 0, $B70, IF(SUMPRODUCT(-- ISNUMBER(SEARCH({"Lookup","Master-Detail"}, $B70))) &gt; 0,$B70 &amp; "(" &amp; $E70 &amp; ")",IF(SUMPRODUCT(-- ISNUMBER(SEARCH({"Formula","Roll-Up Summary"}, $B70))) &gt; 0,$B70 &amp; " (" &amp; $E70 &amp; ")",IF(SUMPRODUCT(-- ISNUMBER(SEARCH({"Content","Currency","Number","Percent","Text","URL"}, $B70))) &gt; 0,$B70 &amp; "(" &amp; $C70 &amp; ")",$B70)))), "  ", TRIM(IF($S70 = "YES", "(External ID)", "") &amp; " " &amp; IF(SUMPRODUCT(-- ISNUMBER(SEARCH({"Unique","Unique Case Insensitive"}, $R70))) &gt; 0, "(" &amp; $R70 &amp; ")", ""))))</f>
        <v>na</v>
      </c>
      <c r="E70" s="7" t="s">
        <v>195</v>
      </c>
      <c r="F70" s="7" t="s">
        <v>195</v>
      </c>
      <c r="G70" s="7" t="s">
        <v>195</v>
      </c>
      <c r="H70" s="7" t="s">
        <v>195</v>
      </c>
      <c r="I70" s="7" t="s">
        <v>195</v>
      </c>
      <c r="J70" s="7" t="s">
        <v>195</v>
      </c>
      <c r="K70" s="7" t="s">
        <v>195</v>
      </c>
      <c r="L70" s="7" t="s">
        <v>195</v>
      </c>
      <c r="M70" s="7" t="s">
        <v>29</v>
      </c>
      <c r="N70" s="7" t="s">
        <v>29</v>
      </c>
      <c r="O70" s="7" t="s">
        <v>29</v>
      </c>
      <c r="P70" s="7" t="s">
        <v>29</v>
      </c>
      <c r="Q70" s="7" t="s">
        <v>29</v>
      </c>
      <c r="R70" s="7" t="s">
        <v>29</v>
      </c>
      <c r="S70" s="7" t="s">
        <v>29</v>
      </c>
    </row>
    <row r="71" spans="2:19">
      <c r="B71" s="7" t="s">
        <v>195</v>
      </c>
      <c r="C71" s="8" t="s">
        <v>195</v>
      </c>
      <c r="D71" s="6" t="str">
        <f>LRTRIM(CONCATENATE(IF(SUMPRODUCT(-- ISNUMBER(SEARCH({"Auto Number"}, $B71))) &gt; 0, $B71, IF(SUMPRODUCT(-- ISNUMBER(SEARCH({"Lookup","Master-Detail"}, $B71))) &gt; 0,$B71 &amp; "(" &amp; $E71 &amp; ")",IF(SUMPRODUCT(-- ISNUMBER(SEARCH({"Formula","Roll-Up Summary"}, $B71))) &gt; 0,$B71 &amp; " (" &amp; $E71 &amp; ")",IF(SUMPRODUCT(-- ISNUMBER(SEARCH({"Content","Currency","Number","Percent","Text","URL"}, $B71))) &gt; 0,$B71 &amp; "(" &amp; $C71 &amp; ")",$B71)))), "  ", TRIM(IF($S71 = "YES", "(External ID)", "") &amp; " " &amp; IF(SUMPRODUCT(-- ISNUMBER(SEARCH({"Unique","Unique Case Insensitive"}, $R71))) &gt; 0, "(" &amp; $R71 &amp; ")", ""))))</f>
        <v>na</v>
      </c>
      <c r="E71" s="7" t="s">
        <v>195</v>
      </c>
      <c r="F71" s="7" t="s">
        <v>195</v>
      </c>
      <c r="G71" s="7" t="s">
        <v>195</v>
      </c>
      <c r="H71" s="7" t="s">
        <v>195</v>
      </c>
      <c r="I71" s="7" t="s">
        <v>195</v>
      </c>
      <c r="J71" s="7" t="s">
        <v>195</v>
      </c>
      <c r="K71" s="7" t="s">
        <v>195</v>
      </c>
      <c r="L71" s="7" t="s">
        <v>195</v>
      </c>
      <c r="M71" s="7" t="s">
        <v>29</v>
      </c>
      <c r="N71" s="7" t="s">
        <v>29</v>
      </c>
      <c r="O71" s="7" t="s">
        <v>29</v>
      </c>
      <c r="P71" s="7" t="s">
        <v>29</v>
      </c>
      <c r="Q71" s="7" t="s">
        <v>29</v>
      </c>
      <c r="R71" s="7" t="s">
        <v>29</v>
      </c>
      <c r="S71" s="7" t="s">
        <v>29</v>
      </c>
    </row>
    <row r="72" spans="2:19">
      <c r="B72" s="7" t="s">
        <v>195</v>
      </c>
      <c r="C72" s="8" t="s">
        <v>195</v>
      </c>
      <c r="D72" s="6" t="str">
        <f>LRTRIM(CONCATENATE(IF(SUMPRODUCT(-- ISNUMBER(SEARCH({"Auto Number"}, $B72))) &gt; 0, $B72, IF(SUMPRODUCT(-- ISNUMBER(SEARCH({"Lookup","Master-Detail"}, $B72))) &gt; 0,$B72 &amp; "(" &amp; $E72 &amp; ")",IF(SUMPRODUCT(-- ISNUMBER(SEARCH({"Formula","Roll-Up Summary"}, $B72))) &gt; 0,$B72 &amp; " (" &amp; $E72 &amp; ")",IF(SUMPRODUCT(-- ISNUMBER(SEARCH({"Content","Currency","Number","Percent","Text","URL"}, $B72))) &gt; 0,$B72 &amp; "(" &amp; $C72 &amp; ")",$B72)))), "  ", TRIM(IF($S72 = "YES", "(External ID)", "") &amp; " " &amp; IF(SUMPRODUCT(-- ISNUMBER(SEARCH({"Unique","Unique Case Insensitive"}, $R72))) &gt; 0, "(" &amp; $R72 &amp; ")", ""))))</f>
        <v>na</v>
      </c>
      <c r="E72" s="7" t="s">
        <v>195</v>
      </c>
      <c r="F72" s="7" t="s">
        <v>195</v>
      </c>
      <c r="G72" s="7" t="s">
        <v>195</v>
      </c>
      <c r="H72" s="7" t="s">
        <v>195</v>
      </c>
      <c r="I72" s="7" t="s">
        <v>195</v>
      </c>
      <c r="J72" s="7" t="s">
        <v>195</v>
      </c>
      <c r="K72" s="7" t="s">
        <v>195</v>
      </c>
      <c r="L72" s="7" t="s">
        <v>195</v>
      </c>
      <c r="M72" s="7" t="s">
        <v>29</v>
      </c>
      <c r="N72" s="7" t="s">
        <v>29</v>
      </c>
      <c r="O72" s="7" t="s">
        <v>29</v>
      </c>
      <c r="P72" s="7" t="s">
        <v>29</v>
      </c>
      <c r="Q72" s="7" t="s">
        <v>29</v>
      </c>
      <c r="R72" s="7" t="s">
        <v>29</v>
      </c>
      <c r="S72" s="7" t="s">
        <v>29</v>
      </c>
    </row>
    <row r="73" spans="2:19">
      <c r="B73" s="7" t="s">
        <v>195</v>
      </c>
      <c r="C73" s="8" t="s">
        <v>195</v>
      </c>
      <c r="D73" s="6" t="str">
        <f>LRTRIM(CONCATENATE(IF(SUMPRODUCT(-- ISNUMBER(SEARCH({"Auto Number"}, $B73))) &gt; 0, $B73, IF(SUMPRODUCT(-- ISNUMBER(SEARCH({"Lookup","Master-Detail"}, $B73))) &gt; 0,$B73 &amp; "(" &amp; $E73 &amp; ")",IF(SUMPRODUCT(-- ISNUMBER(SEARCH({"Formula","Roll-Up Summary"}, $B73))) &gt; 0,$B73 &amp; " (" &amp; $E73 &amp; ")",IF(SUMPRODUCT(-- ISNUMBER(SEARCH({"Content","Currency","Number","Percent","Text","URL"}, $B73))) &gt; 0,$B73 &amp; "(" &amp; $C73 &amp; ")",$B73)))), "  ", TRIM(IF($S73 = "YES", "(External ID)", "") &amp; " " &amp; IF(SUMPRODUCT(-- ISNUMBER(SEARCH({"Unique","Unique Case Insensitive"}, $R73))) &gt; 0, "(" &amp; $R73 &amp; ")", ""))))</f>
        <v>na</v>
      </c>
      <c r="E73" s="7" t="s">
        <v>195</v>
      </c>
      <c r="F73" s="7" t="s">
        <v>195</v>
      </c>
      <c r="G73" s="7" t="s">
        <v>195</v>
      </c>
      <c r="H73" s="7" t="s">
        <v>195</v>
      </c>
      <c r="I73" s="7" t="s">
        <v>195</v>
      </c>
      <c r="J73" s="7" t="s">
        <v>195</v>
      </c>
      <c r="K73" s="7" t="s">
        <v>195</v>
      </c>
      <c r="L73" s="7" t="s">
        <v>195</v>
      </c>
      <c r="M73" s="7" t="s">
        <v>29</v>
      </c>
      <c r="N73" s="7" t="s">
        <v>29</v>
      </c>
      <c r="O73" s="7" t="s">
        <v>29</v>
      </c>
      <c r="P73" s="7" t="s">
        <v>29</v>
      </c>
      <c r="Q73" s="7" t="s">
        <v>29</v>
      </c>
      <c r="R73" s="7" t="s">
        <v>29</v>
      </c>
      <c r="S73" s="7" t="s">
        <v>29</v>
      </c>
    </row>
    <row r="74" spans="2:19">
      <c r="B74" s="7" t="s">
        <v>195</v>
      </c>
      <c r="C74" s="8" t="s">
        <v>195</v>
      </c>
      <c r="D74" s="6" t="str">
        <f>LRTRIM(CONCATENATE(IF(SUMPRODUCT(-- ISNUMBER(SEARCH({"Auto Number"}, $B74))) &gt; 0, $B74, IF(SUMPRODUCT(-- ISNUMBER(SEARCH({"Lookup","Master-Detail"}, $B74))) &gt; 0,$B74 &amp; "(" &amp; $E74 &amp; ")",IF(SUMPRODUCT(-- ISNUMBER(SEARCH({"Formula","Roll-Up Summary"}, $B74))) &gt; 0,$B74 &amp; " (" &amp; $E74 &amp; ")",IF(SUMPRODUCT(-- ISNUMBER(SEARCH({"Content","Currency","Number","Percent","Text","URL"}, $B74))) &gt; 0,$B74 &amp; "(" &amp; $C74 &amp; ")",$B74)))), "  ", TRIM(IF($S74 = "YES", "(External ID)", "") &amp; " " &amp; IF(SUMPRODUCT(-- ISNUMBER(SEARCH({"Unique","Unique Case Insensitive"}, $R74))) &gt; 0, "(" &amp; $R74 &amp; ")", ""))))</f>
        <v>na</v>
      </c>
      <c r="E74" s="7" t="s">
        <v>195</v>
      </c>
      <c r="F74" s="7" t="s">
        <v>195</v>
      </c>
      <c r="G74" s="7" t="s">
        <v>195</v>
      </c>
      <c r="H74" s="7" t="s">
        <v>195</v>
      </c>
      <c r="I74" s="7" t="s">
        <v>195</v>
      </c>
      <c r="J74" s="7" t="s">
        <v>195</v>
      </c>
      <c r="K74" s="7" t="s">
        <v>195</v>
      </c>
      <c r="L74" s="7" t="s">
        <v>195</v>
      </c>
      <c r="M74" s="7" t="s">
        <v>29</v>
      </c>
      <c r="N74" s="7" t="s">
        <v>29</v>
      </c>
      <c r="O74" s="7" t="s">
        <v>29</v>
      </c>
      <c r="P74" s="7" t="s">
        <v>29</v>
      </c>
      <c r="Q74" s="7" t="s">
        <v>29</v>
      </c>
      <c r="R74" s="7" t="s">
        <v>29</v>
      </c>
      <c r="S74" s="7" t="s">
        <v>29</v>
      </c>
    </row>
    <row r="75" spans="2:19">
      <c r="B75" s="7" t="s">
        <v>195</v>
      </c>
      <c r="C75" s="8" t="s">
        <v>195</v>
      </c>
      <c r="D75" s="6" t="str">
        <f>LRTRIM(CONCATENATE(IF(SUMPRODUCT(-- ISNUMBER(SEARCH({"Auto Number"}, $B75))) &gt; 0, $B75, IF(SUMPRODUCT(-- ISNUMBER(SEARCH({"Lookup","Master-Detail"}, $B75))) &gt; 0,$B75 &amp; "(" &amp; $E75 &amp; ")",IF(SUMPRODUCT(-- ISNUMBER(SEARCH({"Formula","Roll-Up Summary"}, $B75))) &gt; 0,$B75 &amp; " (" &amp; $E75 &amp; ")",IF(SUMPRODUCT(-- ISNUMBER(SEARCH({"Content","Currency","Number","Percent","Text","URL"}, $B75))) &gt; 0,$B75 &amp; "(" &amp; $C75 &amp; ")",$B75)))), "  ", TRIM(IF($S75 = "YES", "(External ID)", "") &amp; " " &amp; IF(SUMPRODUCT(-- ISNUMBER(SEARCH({"Unique","Unique Case Insensitive"}, $R75))) &gt; 0, "(" &amp; $R75 &amp; ")", ""))))</f>
        <v>na</v>
      </c>
      <c r="E75" s="7" t="s">
        <v>195</v>
      </c>
      <c r="F75" s="7" t="s">
        <v>195</v>
      </c>
      <c r="G75" s="7" t="s">
        <v>195</v>
      </c>
      <c r="H75" s="7" t="s">
        <v>195</v>
      </c>
      <c r="I75" s="7" t="s">
        <v>195</v>
      </c>
      <c r="J75" s="7" t="s">
        <v>195</v>
      </c>
      <c r="K75" s="7" t="s">
        <v>195</v>
      </c>
      <c r="L75" s="7" t="s">
        <v>195</v>
      </c>
      <c r="M75" s="7" t="s">
        <v>29</v>
      </c>
      <c r="N75" s="7" t="s">
        <v>29</v>
      </c>
      <c r="O75" s="7" t="s">
        <v>29</v>
      </c>
      <c r="P75" s="7" t="s">
        <v>29</v>
      </c>
      <c r="Q75" s="7" t="s">
        <v>29</v>
      </c>
      <c r="R75" s="7" t="s">
        <v>29</v>
      </c>
      <c r="S75" s="7" t="s">
        <v>29</v>
      </c>
    </row>
    <row r="76" spans="2:19">
      <c r="B76" s="7" t="s">
        <v>195</v>
      </c>
      <c r="C76" s="8" t="s">
        <v>195</v>
      </c>
      <c r="D76" s="6" t="str">
        <f>LRTRIM(CONCATENATE(IF(SUMPRODUCT(-- ISNUMBER(SEARCH({"Auto Number"}, $B76))) &gt; 0, $B76, IF(SUMPRODUCT(-- ISNUMBER(SEARCH({"Lookup","Master-Detail"}, $B76))) &gt; 0,$B76 &amp; "(" &amp; $E76 &amp; ")",IF(SUMPRODUCT(-- ISNUMBER(SEARCH({"Formula","Roll-Up Summary"}, $B76))) &gt; 0,$B76 &amp; " (" &amp; $E76 &amp; ")",IF(SUMPRODUCT(-- ISNUMBER(SEARCH({"Content","Currency","Number","Percent","Text","URL"}, $B76))) &gt; 0,$B76 &amp; "(" &amp; $C76 &amp; ")",$B76)))), "  ", TRIM(IF($S76 = "YES", "(External ID)", "") &amp; " " &amp; IF(SUMPRODUCT(-- ISNUMBER(SEARCH({"Unique","Unique Case Insensitive"}, $R76))) &gt; 0, "(" &amp; $R76 &amp; ")", ""))))</f>
        <v>na</v>
      </c>
      <c r="E76" s="7" t="s">
        <v>195</v>
      </c>
      <c r="F76" s="7" t="s">
        <v>195</v>
      </c>
      <c r="G76" s="7" t="s">
        <v>195</v>
      </c>
      <c r="H76" s="7" t="s">
        <v>195</v>
      </c>
      <c r="I76" s="7" t="s">
        <v>195</v>
      </c>
      <c r="J76" s="7" t="s">
        <v>195</v>
      </c>
      <c r="K76" s="7" t="s">
        <v>195</v>
      </c>
      <c r="L76" s="7" t="s">
        <v>195</v>
      </c>
      <c r="M76" s="7" t="s">
        <v>29</v>
      </c>
      <c r="N76" s="7" t="s">
        <v>29</v>
      </c>
      <c r="O76" s="7" t="s">
        <v>29</v>
      </c>
      <c r="P76" s="7" t="s">
        <v>29</v>
      </c>
      <c r="Q76" s="7" t="s">
        <v>29</v>
      </c>
      <c r="R76" s="7" t="s">
        <v>29</v>
      </c>
      <c r="S76" s="7" t="s">
        <v>29</v>
      </c>
    </row>
    <row r="77" spans="2:19">
      <c r="B77" s="7" t="s">
        <v>195</v>
      </c>
      <c r="C77" s="8" t="s">
        <v>195</v>
      </c>
      <c r="D77" s="6" t="str">
        <f>LRTRIM(CONCATENATE(IF(SUMPRODUCT(-- ISNUMBER(SEARCH({"Auto Number"}, $B77))) &gt; 0, $B77, IF(SUMPRODUCT(-- ISNUMBER(SEARCH({"Lookup","Master-Detail"}, $B77))) &gt; 0,$B77 &amp; "(" &amp; $E77 &amp; ")",IF(SUMPRODUCT(-- ISNUMBER(SEARCH({"Formula","Roll-Up Summary"}, $B77))) &gt; 0,$B77 &amp; " (" &amp; $E77 &amp; ")",IF(SUMPRODUCT(-- ISNUMBER(SEARCH({"Content","Currency","Number","Percent","Text","URL"}, $B77))) &gt; 0,$B77 &amp; "(" &amp; $C77 &amp; ")",$B77)))), "  ", TRIM(IF($S77 = "YES", "(External ID)", "") &amp; " " &amp; IF(SUMPRODUCT(-- ISNUMBER(SEARCH({"Unique","Unique Case Insensitive"}, $R77))) &gt; 0, "(" &amp; $R77 &amp; ")", ""))))</f>
        <v>na</v>
      </c>
      <c r="E77" s="7" t="s">
        <v>195</v>
      </c>
      <c r="F77" s="7" t="s">
        <v>195</v>
      </c>
      <c r="G77" s="7" t="s">
        <v>195</v>
      </c>
      <c r="H77" s="7" t="s">
        <v>195</v>
      </c>
      <c r="I77" s="7" t="s">
        <v>195</v>
      </c>
      <c r="J77" s="7" t="s">
        <v>195</v>
      </c>
      <c r="K77" s="7" t="s">
        <v>195</v>
      </c>
      <c r="L77" s="7" t="s">
        <v>195</v>
      </c>
      <c r="M77" s="7" t="s">
        <v>29</v>
      </c>
      <c r="N77" s="7" t="s">
        <v>29</v>
      </c>
      <c r="O77" s="7" t="s">
        <v>29</v>
      </c>
      <c r="P77" s="7" t="s">
        <v>29</v>
      </c>
      <c r="Q77" s="7" t="s">
        <v>29</v>
      </c>
      <c r="R77" s="7" t="s">
        <v>29</v>
      </c>
      <c r="S77" s="7" t="s">
        <v>29</v>
      </c>
    </row>
    <row r="78" spans="2:19">
      <c r="B78" s="7" t="s">
        <v>195</v>
      </c>
      <c r="C78" s="8" t="s">
        <v>195</v>
      </c>
      <c r="D78" s="6" t="str">
        <f>LRTRIM(CONCATENATE(IF(SUMPRODUCT(-- ISNUMBER(SEARCH({"Auto Number"}, $B78))) &gt; 0, $B78, IF(SUMPRODUCT(-- ISNUMBER(SEARCH({"Lookup","Master-Detail"}, $B78))) &gt; 0,$B78 &amp; "(" &amp; $E78 &amp; ")",IF(SUMPRODUCT(-- ISNUMBER(SEARCH({"Formula","Roll-Up Summary"}, $B78))) &gt; 0,$B78 &amp; " (" &amp; $E78 &amp; ")",IF(SUMPRODUCT(-- ISNUMBER(SEARCH({"Content","Currency","Number","Percent","Text","URL"}, $B78))) &gt; 0,$B78 &amp; "(" &amp; $C78 &amp; ")",$B78)))), "  ", TRIM(IF($S78 = "YES", "(External ID)", "") &amp; " " &amp; IF(SUMPRODUCT(-- ISNUMBER(SEARCH({"Unique","Unique Case Insensitive"}, $R78))) &gt; 0, "(" &amp; $R78 &amp; ")", ""))))</f>
        <v>na</v>
      </c>
      <c r="E78" s="7" t="s">
        <v>195</v>
      </c>
      <c r="F78" s="7" t="s">
        <v>195</v>
      </c>
      <c r="G78" s="7" t="s">
        <v>195</v>
      </c>
      <c r="H78" s="7" t="s">
        <v>195</v>
      </c>
      <c r="I78" s="7" t="s">
        <v>195</v>
      </c>
      <c r="J78" s="7" t="s">
        <v>195</v>
      </c>
      <c r="K78" s="7" t="s">
        <v>195</v>
      </c>
      <c r="L78" s="7" t="s">
        <v>195</v>
      </c>
      <c r="M78" s="7" t="s">
        <v>29</v>
      </c>
      <c r="N78" s="7" t="s">
        <v>29</v>
      </c>
      <c r="O78" s="7" t="s">
        <v>29</v>
      </c>
      <c r="P78" s="7" t="s">
        <v>29</v>
      </c>
      <c r="Q78" s="7" t="s">
        <v>29</v>
      </c>
      <c r="R78" s="7" t="s">
        <v>29</v>
      </c>
      <c r="S78" s="7" t="s">
        <v>29</v>
      </c>
    </row>
    <row r="79" spans="2:19">
      <c r="B79" s="7" t="s">
        <v>195</v>
      </c>
      <c r="C79" s="8" t="s">
        <v>195</v>
      </c>
      <c r="D79" s="6" t="str">
        <f>LRTRIM(CONCATENATE(IF(SUMPRODUCT(-- ISNUMBER(SEARCH({"Auto Number"}, $B79))) &gt; 0, $B79, IF(SUMPRODUCT(-- ISNUMBER(SEARCH({"Lookup","Master-Detail"}, $B79))) &gt; 0,$B79 &amp; "(" &amp; $E79 &amp; ")",IF(SUMPRODUCT(-- ISNUMBER(SEARCH({"Formula","Roll-Up Summary"}, $B79))) &gt; 0,$B79 &amp; " (" &amp; $E79 &amp; ")",IF(SUMPRODUCT(-- ISNUMBER(SEARCH({"Content","Currency","Number","Percent","Text","URL"}, $B79))) &gt; 0,$B79 &amp; "(" &amp; $C79 &amp; ")",$B79)))), "  ", TRIM(IF($S79 = "YES", "(External ID)", "") &amp; " " &amp; IF(SUMPRODUCT(-- ISNUMBER(SEARCH({"Unique","Unique Case Insensitive"}, $R79))) &gt; 0, "(" &amp; $R79 &amp; ")", ""))))</f>
        <v>na</v>
      </c>
      <c r="E79" s="7" t="s">
        <v>195</v>
      </c>
      <c r="F79" s="7" t="s">
        <v>195</v>
      </c>
      <c r="G79" s="7" t="s">
        <v>195</v>
      </c>
      <c r="H79" s="7" t="s">
        <v>195</v>
      </c>
      <c r="I79" s="7" t="s">
        <v>195</v>
      </c>
      <c r="J79" s="7" t="s">
        <v>195</v>
      </c>
      <c r="K79" s="7" t="s">
        <v>195</v>
      </c>
      <c r="L79" s="7" t="s">
        <v>195</v>
      </c>
      <c r="M79" s="7" t="s">
        <v>29</v>
      </c>
      <c r="N79" s="7" t="s">
        <v>29</v>
      </c>
      <c r="O79" s="7" t="s">
        <v>29</v>
      </c>
      <c r="P79" s="7" t="s">
        <v>29</v>
      </c>
      <c r="Q79" s="7" t="s">
        <v>29</v>
      </c>
      <c r="R79" s="7" t="s">
        <v>29</v>
      </c>
      <c r="S79" s="7" t="s">
        <v>29</v>
      </c>
    </row>
    <row r="80" spans="2:19">
      <c r="B80" s="7" t="s">
        <v>195</v>
      </c>
      <c r="C80" s="8" t="s">
        <v>195</v>
      </c>
      <c r="D80" s="6" t="str">
        <f>LRTRIM(CONCATENATE(IF(SUMPRODUCT(-- ISNUMBER(SEARCH({"Auto Number"}, $B80))) &gt; 0, $B80, IF(SUMPRODUCT(-- ISNUMBER(SEARCH({"Lookup","Master-Detail"}, $B80))) &gt; 0,$B80 &amp; "(" &amp; $E80 &amp; ")",IF(SUMPRODUCT(-- ISNUMBER(SEARCH({"Formula","Roll-Up Summary"}, $B80))) &gt; 0,$B80 &amp; " (" &amp; $E80 &amp; ")",IF(SUMPRODUCT(-- ISNUMBER(SEARCH({"Content","Currency","Number","Percent","Text","URL"}, $B80))) &gt; 0,$B80 &amp; "(" &amp; $C80 &amp; ")",$B80)))), "  ", TRIM(IF($S80 = "YES", "(External ID)", "") &amp; " " &amp; IF(SUMPRODUCT(-- ISNUMBER(SEARCH({"Unique","Unique Case Insensitive"}, $R80))) &gt; 0, "(" &amp; $R80 &amp; ")", ""))))</f>
        <v>na</v>
      </c>
      <c r="E80" s="7" t="s">
        <v>195</v>
      </c>
      <c r="F80" s="7" t="s">
        <v>195</v>
      </c>
      <c r="G80" s="7" t="s">
        <v>195</v>
      </c>
      <c r="H80" s="7" t="s">
        <v>195</v>
      </c>
      <c r="I80" s="7" t="s">
        <v>195</v>
      </c>
      <c r="J80" s="7" t="s">
        <v>195</v>
      </c>
      <c r="K80" s="7" t="s">
        <v>195</v>
      </c>
      <c r="L80" s="7" t="s">
        <v>195</v>
      </c>
      <c r="M80" s="7" t="s">
        <v>29</v>
      </c>
      <c r="N80" s="7" t="s">
        <v>29</v>
      </c>
      <c r="O80" s="7" t="s">
        <v>29</v>
      </c>
      <c r="P80" s="7" t="s">
        <v>29</v>
      </c>
      <c r="Q80" s="7" t="s">
        <v>29</v>
      </c>
      <c r="R80" s="7" t="s">
        <v>29</v>
      </c>
      <c r="S80" s="7" t="s">
        <v>29</v>
      </c>
    </row>
    <row r="81" spans="2:19">
      <c r="B81" s="7" t="s">
        <v>195</v>
      </c>
      <c r="C81" s="8" t="s">
        <v>195</v>
      </c>
      <c r="D81" s="6" t="str">
        <f>LRTRIM(CONCATENATE(IF(SUMPRODUCT(-- ISNUMBER(SEARCH({"Auto Number"}, $B81))) &gt; 0, $B81, IF(SUMPRODUCT(-- ISNUMBER(SEARCH({"Lookup","Master-Detail"}, $B81))) &gt; 0,$B81 &amp; "(" &amp; $E81 &amp; ")",IF(SUMPRODUCT(-- ISNUMBER(SEARCH({"Formula","Roll-Up Summary"}, $B81))) &gt; 0,$B81 &amp; " (" &amp; $E81 &amp; ")",IF(SUMPRODUCT(-- ISNUMBER(SEARCH({"Content","Currency","Number","Percent","Text","URL"}, $B81))) &gt; 0,$B81 &amp; "(" &amp; $C81 &amp; ")",$B81)))), "  ", TRIM(IF($S81 = "YES", "(External ID)", "") &amp; " " &amp; IF(SUMPRODUCT(-- ISNUMBER(SEARCH({"Unique","Unique Case Insensitive"}, $R81))) &gt; 0, "(" &amp; $R81 &amp; ")", ""))))</f>
        <v>na</v>
      </c>
      <c r="E81" s="7" t="s">
        <v>195</v>
      </c>
      <c r="F81" s="7" t="s">
        <v>195</v>
      </c>
      <c r="G81" s="7" t="s">
        <v>195</v>
      </c>
      <c r="H81" s="7" t="s">
        <v>195</v>
      </c>
      <c r="I81" s="7" t="s">
        <v>195</v>
      </c>
      <c r="J81" s="7" t="s">
        <v>195</v>
      </c>
      <c r="K81" s="7" t="s">
        <v>195</v>
      </c>
      <c r="L81" s="7" t="s">
        <v>195</v>
      </c>
      <c r="M81" s="7" t="s">
        <v>29</v>
      </c>
      <c r="N81" s="7" t="s">
        <v>29</v>
      </c>
      <c r="O81" s="7" t="s">
        <v>29</v>
      </c>
      <c r="P81" s="7" t="s">
        <v>29</v>
      </c>
      <c r="Q81" s="7" t="s">
        <v>29</v>
      </c>
      <c r="R81" s="7" t="s">
        <v>29</v>
      </c>
      <c r="S81" s="7" t="s">
        <v>29</v>
      </c>
    </row>
    <row r="82" spans="2:19">
      <c r="B82" s="7" t="s">
        <v>195</v>
      </c>
      <c r="C82" s="8" t="s">
        <v>195</v>
      </c>
      <c r="D82" s="6" t="str">
        <f>LRTRIM(CONCATENATE(IF(SUMPRODUCT(-- ISNUMBER(SEARCH({"Auto Number"}, $B82))) &gt; 0, $B82, IF(SUMPRODUCT(-- ISNUMBER(SEARCH({"Lookup","Master-Detail"}, $B82))) &gt; 0,$B82 &amp; "(" &amp; $E82 &amp; ")",IF(SUMPRODUCT(-- ISNUMBER(SEARCH({"Formula","Roll-Up Summary"}, $B82))) &gt; 0,$B82 &amp; " (" &amp; $E82 &amp; ")",IF(SUMPRODUCT(-- ISNUMBER(SEARCH({"Content","Currency","Number","Percent","Text","URL"}, $B82))) &gt; 0,$B82 &amp; "(" &amp; $C82 &amp; ")",$B82)))), "  ", TRIM(IF($S82 = "YES", "(External ID)", "") &amp; " " &amp; IF(SUMPRODUCT(-- ISNUMBER(SEARCH({"Unique","Unique Case Insensitive"}, $R82))) &gt; 0, "(" &amp; $R82 &amp; ")", ""))))</f>
        <v>na</v>
      </c>
      <c r="E82" s="7" t="s">
        <v>195</v>
      </c>
      <c r="F82" s="7" t="s">
        <v>195</v>
      </c>
      <c r="G82" s="7" t="s">
        <v>195</v>
      </c>
      <c r="H82" s="7" t="s">
        <v>195</v>
      </c>
      <c r="I82" s="7" t="s">
        <v>195</v>
      </c>
      <c r="J82" s="7" t="s">
        <v>195</v>
      </c>
      <c r="K82" s="7" t="s">
        <v>195</v>
      </c>
      <c r="L82" s="7" t="s">
        <v>195</v>
      </c>
      <c r="M82" s="7" t="s">
        <v>29</v>
      </c>
      <c r="N82" s="7" t="s">
        <v>29</v>
      </c>
      <c r="O82" s="7" t="s">
        <v>29</v>
      </c>
      <c r="P82" s="7" t="s">
        <v>29</v>
      </c>
      <c r="Q82" s="7" t="s">
        <v>29</v>
      </c>
      <c r="R82" s="7" t="s">
        <v>29</v>
      </c>
      <c r="S82" s="7" t="s">
        <v>29</v>
      </c>
    </row>
    <row r="83" spans="2:19">
      <c r="B83" s="7" t="s">
        <v>195</v>
      </c>
      <c r="C83" s="8" t="s">
        <v>195</v>
      </c>
      <c r="D83" s="6" t="str">
        <f>LRTRIM(CONCATENATE(IF(SUMPRODUCT(-- ISNUMBER(SEARCH({"Auto Number"}, $B83))) &gt; 0, $B83, IF(SUMPRODUCT(-- ISNUMBER(SEARCH({"Lookup","Master-Detail"}, $B83))) &gt; 0,$B83 &amp; "(" &amp; $E83 &amp; ")",IF(SUMPRODUCT(-- ISNUMBER(SEARCH({"Formula","Roll-Up Summary"}, $B83))) &gt; 0,$B83 &amp; " (" &amp; $E83 &amp; ")",IF(SUMPRODUCT(-- ISNUMBER(SEARCH({"Content","Currency","Number","Percent","Text","URL"}, $B83))) &gt; 0,$B83 &amp; "(" &amp; $C83 &amp; ")",$B83)))), "  ", TRIM(IF($S83 = "YES", "(External ID)", "") &amp; " " &amp; IF(SUMPRODUCT(-- ISNUMBER(SEARCH({"Unique","Unique Case Insensitive"}, $R83))) &gt; 0, "(" &amp; $R83 &amp; ")", ""))))</f>
        <v>na</v>
      </c>
      <c r="E83" s="7" t="s">
        <v>195</v>
      </c>
      <c r="F83" s="7" t="s">
        <v>195</v>
      </c>
      <c r="G83" s="7" t="s">
        <v>195</v>
      </c>
      <c r="H83" s="7" t="s">
        <v>195</v>
      </c>
      <c r="I83" s="7" t="s">
        <v>195</v>
      </c>
      <c r="J83" s="7" t="s">
        <v>195</v>
      </c>
      <c r="K83" s="7" t="s">
        <v>195</v>
      </c>
      <c r="L83" s="7" t="s">
        <v>195</v>
      </c>
      <c r="M83" s="7" t="s">
        <v>29</v>
      </c>
      <c r="N83" s="7" t="s">
        <v>29</v>
      </c>
      <c r="O83" s="7" t="s">
        <v>29</v>
      </c>
      <c r="P83" s="7" t="s">
        <v>29</v>
      </c>
      <c r="Q83" s="7" t="s">
        <v>29</v>
      </c>
      <c r="R83" s="7" t="s">
        <v>29</v>
      </c>
      <c r="S83" s="7" t="s">
        <v>29</v>
      </c>
    </row>
    <row r="84" spans="2:19">
      <c r="B84" s="7" t="s">
        <v>195</v>
      </c>
      <c r="C84" s="8" t="s">
        <v>195</v>
      </c>
      <c r="D84" s="6" t="str">
        <f>LRTRIM(CONCATENATE(IF(SUMPRODUCT(-- ISNUMBER(SEARCH({"Auto Number"}, $B84))) &gt; 0, $B84, IF(SUMPRODUCT(-- ISNUMBER(SEARCH({"Lookup","Master-Detail"}, $B84))) &gt; 0,$B84 &amp; "(" &amp; $E84 &amp; ")",IF(SUMPRODUCT(-- ISNUMBER(SEARCH({"Formula","Roll-Up Summary"}, $B84))) &gt; 0,$B84 &amp; " (" &amp; $E84 &amp; ")",IF(SUMPRODUCT(-- ISNUMBER(SEARCH({"Content","Currency","Number","Percent","Text","URL"}, $B84))) &gt; 0,$B84 &amp; "(" &amp; $C84 &amp; ")",$B84)))), "  ", TRIM(IF($S84 = "YES", "(External ID)", "") &amp; " " &amp; IF(SUMPRODUCT(-- ISNUMBER(SEARCH({"Unique","Unique Case Insensitive"}, $R84))) &gt; 0, "(" &amp; $R84 &amp; ")", ""))))</f>
        <v>na</v>
      </c>
      <c r="E84" s="7" t="s">
        <v>195</v>
      </c>
      <c r="F84" s="7" t="s">
        <v>195</v>
      </c>
      <c r="G84" s="7" t="s">
        <v>195</v>
      </c>
      <c r="H84" s="7" t="s">
        <v>195</v>
      </c>
      <c r="I84" s="7" t="s">
        <v>195</v>
      </c>
      <c r="J84" s="7" t="s">
        <v>195</v>
      </c>
      <c r="K84" s="7" t="s">
        <v>195</v>
      </c>
      <c r="L84" s="7" t="s">
        <v>195</v>
      </c>
      <c r="M84" s="7" t="s">
        <v>29</v>
      </c>
      <c r="N84" s="7" t="s">
        <v>29</v>
      </c>
      <c r="O84" s="7" t="s">
        <v>29</v>
      </c>
      <c r="P84" s="7" t="s">
        <v>29</v>
      </c>
      <c r="Q84" s="7" t="s">
        <v>29</v>
      </c>
      <c r="R84" s="7" t="s">
        <v>29</v>
      </c>
      <c r="S84" s="7" t="s">
        <v>29</v>
      </c>
    </row>
    <row r="85" spans="2:19">
      <c r="B85" s="7" t="s">
        <v>195</v>
      </c>
      <c r="C85" s="8" t="s">
        <v>195</v>
      </c>
      <c r="D85" s="6" t="str">
        <f>LRTRIM(CONCATENATE(IF(SUMPRODUCT(-- ISNUMBER(SEARCH({"Auto Number"}, $B85))) &gt; 0, $B85, IF(SUMPRODUCT(-- ISNUMBER(SEARCH({"Lookup","Master-Detail"}, $B85))) &gt; 0,$B85 &amp; "(" &amp; $E85 &amp; ")",IF(SUMPRODUCT(-- ISNUMBER(SEARCH({"Formula","Roll-Up Summary"}, $B85))) &gt; 0,$B85 &amp; " (" &amp; $E85 &amp; ")",IF(SUMPRODUCT(-- ISNUMBER(SEARCH({"Content","Currency","Number","Percent","Text","URL"}, $B85))) &gt; 0,$B85 &amp; "(" &amp; $C85 &amp; ")",$B85)))), "  ", TRIM(IF($S85 = "YES", "(External ID)", "") &amp; " " &amp; IF(SUMPRODUCT(-- ISNUMBER(SEARCH({"Unique","Unique Case Insensitive"}, $R85))) &gt; 0, "(" &amp; $R85 &amp; ")", ""))))</f>
        <v>na</v>
      </c>
      <c r="E85" s="7" t="s">
        <v>195</v>
      </c>
      <c r="F85" s="7" t="s">
        <v>195</v>
      </c>
      <c r="G85" s="7" t="s">
        <v>195</v>
      </c>
      <c r="H85" s="7" t="s">
        <v>195</v>
      </c>
      <c r="I85" s="7" t="s">
        <v>195</v>
      </c>
      <c r="J85" s="7" t="s">
        <v>195</v>
      </c>
      <c r="K85" s="7" t="s">
        <v>195</v>
      </c>
      <c r="L85" s="7" t="s">
        <v>195</v>
      </c>
      <c r="M85" s="7" t="s">
        <v>29</v>
      </c>
      <c r="N85" s="7" t="s">
        <v>29</v>
      </c>
      <c r="O85" s="7" t="s">
        <v>29</v>
      </c>
      <c r="P85" s="7" t="s">
        <v>29</v>
      </c>
      <c r="Q85" s="7" t="s">
        <v>29</v>
      </c>
      <c r="R85" s="7" t="s">
        <v>29</v>
      </c>
      <c r="S85" s="7" t="s">
        <v>29</v>
      </c>
    </row>
    <row r="86" spans="2:19">
      <c r="B86" s="7" t="s">
        <v>195</v>
      </c>
      <c r="C86" s="8" t="s">
        <v>195</v>
      </c>
      <c r="D86" s="6" t="str">
        <f>LRTRIM(CONCATENATE(IF(SUMPRODUCT(-- ISNUMBER(SEARCH({"Auto Number"}, $B86))) &gt; 0, $B86, IF(SUMPRODUCT(-- ISNUMBER(SEARCH({"Lookup","Master-Detail"}, $B86))) &gt; 0,$B86 &amp; "(" &amp; $E86 &amp; ")",IF(SUMPRODUCT(-- ISNUMBER(SEARCH({"Formula","Roll-Up Summary"}, $B86))) &gt; 0,$B86 &amp; " (" &amp; $E86 &amp; ")",IF(SUMPRODUCT(-- ISNUMBER(SEARCH({"Content","Currency","Number","Percent","Text","URL"}, $B86))) &gt; 0,$B86 &amp; "(" &amp; $C86 &amp; ")",$B86)))), "  ", TRIM(IF($S86 = "YES", "(External ID)", "") &amp; " " &amp; IF(SUMPRODUCT(-- ISNUMBER(SEARCH({"Unique","Unique Case Insensitive"}, $R86))) &gt; 0, "(" &amp; $R86 &amp; ")", ""))))</f>
        <v>na</v>
      </c>
      <c r="E86" s="7" t="s">
        <v>195</v>
      </c>
      <c r="F86" s="7" t="s">
        <v>195</v>
      </c>
      <c r="G86" s="7" t="s">
        <v>195</v>
      </c>
      <c r="H86" s="7" t="s">
        <v>195</v>
      </c>
      <c r="I86" s="7" t="s">
        <v>195</v>
      </c>
      <c r="J86" s="7" t="s">
        <v>195</v>
      </c>
      <c r="K86" s="7" t="s">
        <v>195</v>
      </c>
      <c r="L86" s="7" t="s">
        <v>195</v>
      </c>
      <c r="M86" s="7" t="s">
        <v>29</v>
      </c>
      <c r="N86" s="7" t="s">
        <v>29</v>
      </c>
      <c r="O86" s="7" t="s">
        <v>29</v>
      </c>
      <c r="P86" s="7" t="s">
        <v>29</v>
      </c>
      <c r="Q86" s="7" t="s">
        <v>29</v>
      </c>
      <c r="R86" s="7" t="s">
        <v>29</v>
      </c>
      <c r="S86" s="7" t="s">
        <v>29</v>
      </c>
    </row>
    <row r="87" spans="2:19">
      <c r="B87" s="7" t="s">
        <v>195</v>
      </c>
      <c r="C87" s="8" t="s">
        <v>195</v>
      </c>
      <c r="D87" s="6" t="str">
        <f>LRTRIM(CONCATENATE(IF(SUMPRODUCT(-- ISNUMBER(SEARCH({"Auto Number"}, $B87))) &gt; 0, $B87, IF(SUMPRODUCT(-- ISNUMBER(SEARCH({"Lookup","Master-Detail"}, $B87))) &gt; 0,$B87 &amp; "(" &amp; $E87 &amp; ")",IF(SUMPRODUCT(-- ISNUMBER(SEARCH({"Formula","Roll-Up Summary"}, $B87))) &gt; 0,$B87 &amp; " (" &amp; $E87 &amp; ")",IF(SUMPRODUCT(-- ISNUMBER(SEARCH({"Content","Currency","Number","Percent","Text","URL"}, $B87))) &gt; 0,$B87 &amp; "(" &amp; $C87 &amp; ")",$B87)))), "  ", TRIM(IF($S87 = "YES", "(External ID)", "") &amp; " " &amp; IF(SUMPRODUCT(-- ISNUMBER(SEARCH({"Unique","Unique Case Insensitive"}, $R87))) &gt; 0, "(" &amp; $R87 &amp; ")", ""))))</f>
        <v>na</v>
      </c>
      <c r="E87" s="7" t="s">
        <v>195</v>
      </c>
      <c r="F87" s="7" t="s">
        <v>195</v>
      </c>
      <c r="G87" s="7" t="s">
        <v>195</v>
      </c>
      <c r="H87" s="7" t="s">
        <v>195</v>
      </c>
      <c r="I87" s="7" t="s">
        <v>195</v>
      </c>
      <c r="J87" s="7" t="s">
        <v>195</v>
      </c>
      <c r="K87" s="7" t="s">
        <v>195</v>
      </c>
      <c r="L87" s="7" t="s">
        <v>195</v>
      </c>
      <c r="M87" s="7" t="s">
        <v>29</v>
      </c>
      <c r="N87" s="7" t="s">
        <v>29</v>
      </c>
      <c r="O87" s="7" t="s">
        <v>29</v>
      </c>
      <c r="P87" s="7" t="s">
        <v>29</v>
      </c>
      <c r="Q87" s="7" t="s">
        <v>29</v>
      </c>
      <c r="R87" s="7" t="s">
        <v>29</v>
      </c>
      <c r="S87" s="7" t="s">
        <v>29</v>
      </c>
    </row>
    <row r="88" spans="2:19">
      <c r="B88" s="7" t="s">
        <v>195</v>
      </c>
      <c r="C88" s="8" t="s">
        <v>195</v>
      </c>
      <c r="D88" s="6" t="str">
        <f>LRTRIM(CONCATENATE(IF(SUMPRODUCT(-- ISNUMBER(SEARCH({"Auto Number"}, $B88))) &gt; 0, $B88, IF(SUMPRODUCT(-- ISNUMBER(SEARCH({"Lookup","Master-Detail"}, $B88))) &gt; 0,$B88 &amp; "(" &amp; $E88 &amp; ")",IF(SUMPRODUCT(-- ISNUMBER(SEARCH({"Formula","Roll-Up Summary"}, $B88))) &gt; 0,$B88 &amp; " (" &amp; $E88 &amp; ")",IF(SUMPRODUCT(-- ISNUMBER(SEARCH({"Content","Currency","Number","Percent","Text","URL"}, $B88))) &gt; 0,$B88 &amp; "(" &amp; $C88 &amp; ")",$B88)))), "  ", TRIM(IF($S88 = "YES", "(External ID)", "") &amp; " " &amp; IF(SUMPRODUCT(-- ISNUMBER(SEARCH({"Unique","Unique Case Insensitive"}, $R88))) &gt; 0, "(" &amp; $R88 &amp; ")", ""))))</f>
        <v>na</v>
      </c>
      <c r="E88" s="7" t="s">
        <v>195</v>
      </c>
      <c r="F88" s="7" t="s">
        <v>195</v>
      </c>
      <c r="G88" s="7" t="s">
        <v>195</v>
      </c>
      <c r="H88" s="7" t="s">
        <v>195</v>
      </c>
      <c r="I88" s="7" t="s">
        <v>195</v>
      </c>
      <c r="J88" s="7" t="s">
        <v>195</v>
      </c>
      <c r="K88" s="7" t="s">
        <v>195</v>
      </c>
      <c r="L88" s="7" t="s">
        <v>195</v>
      </c>
      <c r="M88" s="7" t="s">
        <v>29</v>
      </c>
      <c r="N88" s="7" t="s">
        <v>29</v>
      </c>
      <c r="O88" s="7" t="s">
        <v>29</v>
      </c>
      <c r="P88" s="7" t="s">
        <v>29</v>
      </c>
      <c r="Q88" s="7" t="s">
        <v>29</v>
      </c>
      <c r="R88" s="7" t="s">
        <v>29</v>
      </c>
      <c r="S88" s="7" t="s">
        <v>29</v>
      </c>
    </row>
    <row r="89" spans="2:19">
      <c r="B89" s="7" t="s">
        <v>195</v>
      </c>
      <c r="C89" s="8" t="s">
        <v>195</v>
      </c>
      <c r="D89" s="6" t="str">
        <f>LRTRIM(CONCATENATE(IF(SUMPRODUCT(-- ISNUMBER(SEARCH({"Auto Number"}, $B89))) &gt; 0, $B89, IF(SUMPRODUCT(-- ISNUMBER(SEARCH({"Lookup","Master-Detail"}, $B89))) &gt; 0,$B89 &amp; "(" &amp; $E89 &amp; ")",IF(SUMPRODUCT(-- ISNUMBER(SEARCH({"Formula","Roll-Up Summary"}, $B89))) &gt; 0,$B89 &amp; " (" &amp; $E89 &amp; ")",IF(SUMPRODUCT(-- ISNUMBER(SEARCH({"Content","Currency","Number","Percent","Text","URL"}, $B89))) &gt; 0,$B89 &amp; "(" &amp; $C89 &amp; ")",$B89)))), "  ", TRIM(IF($S89 = "YES", "(External ID)", "") &amp; " " &amp; IF(SUMPRODUCT(-- ISNUMBER(SEARCH({"Unique","Unique Case Insensitive"}, $R89))) &gt; 0, "(" &amp; $R89 &amp; ")", ""))))</f>
        <v>na</v>
      </c>
      <c r="E89" s="7" t="s">
        <v>195</v>
      </c>
      <c r="F89" s="7" t="s">
        <v>195</v>
      </c>
      <c r="G89" s="7" t="s">
        <v>195</v>
      </c>
      <c r="H89" s="7" t="s">
        <v>195</v>
      </c>
      <c r="I89" s="7" t="s">
        <v>195</v>
      </c>
      <c r="J89" s="7" t="s">
        <v>195</v>
      </c>
      <c r="K89" s="7" t="s">
        <v>195</v>
      </c>
      <c r="L89" s="7" t="s">
        <v>195</v>
      </c>
      <c r="M89" s="7" t="s">
        <v>29</v>
      </c>
      <c r="N89" s="7" t="s">
        <v>29</v>
      </c>
      <c r="O89" s="7" t="s">
        <v>29</v>
      </c>
      <c r="P89" s="7" t="s">
        <v>29</v>
      </c>
      <c r="Q89" s="7" t="s">
        <v>29</v>
      </c>
      <c r="R89" s="7" t="s">
        <v>29</v>
      </c>
      <c r="S89" s="7" t="s">
        <v>29</v>
      </c>
    </row>
    <row r="90" spans="2:19">
      <c r="B90" s="7" t="s">
        <v>195</v>
      </c>
      <c r="C90" s="8" t="s">
        <v>195</v>
      </c>
      <c r="D90" s="6" t="str">
        <f>LRTRIM(CONCATENATE(IF(SUMPRODUCT(-- ISNUMBER(SEARCH({"Auto Number"}, $B90))) &gt; 0, $B90, IF(SUMPRODUCT(-- ISNUMBER(SEARCH({"Lookup","Master-Detail"}, $B90))) &gt; 0,$B90 &amp; "(" &amp; $E90 &amp; ")",IF(SUMPRODUCT(-- ISNUMBER(SEARCH({"Formula","Roll-Up Summary"}, $B90))) &gt; 0,$B90 &amp; " (" &amp; $E90 &amp; ")",IF(SUMPRODUCT(-- ISNUMBER(SEARCH({"Content","Currency","Number","Percent","Text","URL"}, $B90))) &gt; 0,$B90 &amp; "(" &amp; $C90 &amp; ")",$B90)))), "  ", TRIM(IF($S90 = "YES", "(External ID)", "") &amp; " " &amp; IF(SUMPRODUCT(-- ISNUMBER(SEARCH({"Unique","Unique Case Insensitive"}, $R90))) &gt; 0, "(" &amp; $R90 &amp; ")", ""))))</f>
        <v>na</v>
      </c>
      <c r="E90" s="7" t="s">
        <v>195</v>
      </c>
      <c r="F90" s="7" t="s">
        <v>195</v>
      </c>
      <c r="G90" s="7" t="s">
        <v>195</v>
      </c>
      <c r="H90" s="7" t="s">
        <v>195</v>
      </c>
      <c r="I90" s="7" t="s">
        <v>195</v>
      </c>
      <c r="J90" s="7" t="s">
        <v>195</v>
      </c>
      <c r="K90" s="7" t="s">
        <v>195</v>
      </c>
      <c r="L90" s="7" t="s">
        <v>195</v>
      </c>
      <c r="M90" s="7" t="s">
        <v>29</v>
      </c>
      <c r="N90" s="7" t="s">
        <v>29</v>
      </c>
      <c r="O90" s="7" t="s">
        <v>29</v>
      </c>
      <c r="P90" s="7" t="s">
        <v>29</v>
      </c>
      <c r="Q90" s="7" t="s">
        <v>29</v>
      </c>
      <c r="R90" s="7" t="s">
        <v>29</v>
      </c>
      <c r="S90" s="7" t="s">
        <v>29</v>
      </c>
    </row>
    <row r="91" spans="2:19">
      <c r="B91" s="7" t="s">
        <v>195</v>
      </c>
      <c r="C91" s="8" t="s">
        <v>195</v>
      </c>
      <c r="D91" s="6" t="str">
        <f>LRTRIM(CONCATENATE(IF(SUMPRODUCT(-- ISNUMBER(SEARCH({"Auto Number"}, $B91))) &gt; 0, $B91, IF(SUMPRODUCT(-- ISNUMBER(SEARCH({"Lookup","Master-Detail"}, $B91))) &gt; 0,$B91 &amp; "(" &amp; $E91 &amp; ")",IF(SUMPRODUCT(-- ISNUMBER(SEARCH({"Formula","Roll-Up Summary"}, $B91))) &gt; 0,$B91 &amp; " (" &amp; $E91 &amp; ")",IF(SUMPRODUCT(-- ISNUMBER(SEARCH({"Content","Currency","Number","Percent","Text","URL"}, $B91))) &gt; 0,$B91 &amp; "(" &amp; $C91 &amp; ")",$B91)))), "  ", TRIM(IF($S91 = "YES", "(External ID)", "") &amp; " " &amp; IF(SUMPRODUCT(-- ISNUMBER(SEARCH({"Unique","Unique Case Insensitive"}, $R91))) &gt; 0, "(" &amp; $R91 &amp; ")", ""))))</f>
        <v>na</v>
      </c>
      <c r="E91" s="7" t="s">
        <v>195</v>
      </c>
      <c r="F91" s="7" t="s">
        <v>195</v>
      </c>
      <c r="G91" s="7" t="s">
        <v>195</v>
      </c>
      <c r="H91" s="7" t="s">
        <v>195</v>
      </c>
      <c r="I91" s="7" t="s">
        <v>195</v>
      </c>
      <c r="J91" s="7" t="s">
        <v>195</v>
      </c>
      <c r="K91" s="7" t="s">
        <v>195</v>
      </c>
      <c r="L91" s="7" t="s">
        <v>195</v>
      </c>
      <c r="M91" s="7" t="s">
        <v>29</v>
      </c>
      <c r="N91" s="7" t="s">
        <v>29</v>
      </c>
      <c r="O91" s="7" t="s">
        <v>29</v>
      </c>
      <c r="P91" s="7" t="s">
        <v>29</v>
      </c>
      <c r="Q91" s="7" t="s">
        <v>29</v>
      </c>
      <c r="R91" s="7" t="s">
        <v>29</v>
      </c>
      <c r="S91" s="7" t="s">
        <v>29</v>
      </c>
    </row>
    <row r="92" spans="2:19">
      <c r="B92" s="7" t="s">
        <v>195</v>
      </c>
      <c r="C92" s="8" t="s">
        <v>195</v>
      </c>
      <c r="D92" s="6" t="str">
        <f>LRTRIM(CONCATENATE(IF(SUMPRODUCT(-- ISNUMBER(SEARCH({"Auto Number"}, $B92))) &gt; 0, $B92, IF(SUMPRODUCT(-- ISNUMBER(SEARCH({"Lookup","Master-Detail"}, $B92))) &gt; 0,$B92 &amp; "(" &amp; $E92 &amp; ")",IF(SUMPRODUCT(-- ISNUMBER(SEARCH({"Formula","Roll-Up Summary"}, $B92))) &gt; 0,$B92 &amp; " (" &amp; $E92 &amp; ")",IF(SUMPRODUCT(-- ISNUMBER(SEARCH({"Content","Currency","Number","Percent","Text","URL"}, $B92))) &gt; 0,$B92 &amp; "(" &amp; $C92 &amp; ")",$B92)))), "  ", TRIM(IF($S92 = "YES", "(External ID)", "") &amp; " " &amp; IF(SUMPRODUCT(-- ISNUMBER(SEARCH({"Unique","Unique Case Insensitive"}, $R92))) &gt; 0, "(" &amp; $R92 &amp; ")", ""))))</f>
        <v>na</v>
      </c>
      <c r="E92" s="7" t="s">
        <v>195</v>
      </c>
      <c r="F92" s="7" t="s">
        <v>195</v>
      </c>
      <c r="G92" s="7" t="s">
        <v>195</v>
      </c>
      <c r="H92" s="7" t="s">
        <v>195</v>
      </c>
      <c r="I92" s="7" t="s">
        <v>195</v>
      </c>
      <c r="J92" s="7" t="s">
        <v>195</v>
      </c>
      <c r="K92" s="7" t="s">
        <v>195</v>
      </c>
      <c r="L92" s="7" t="s">
        <v>195</v>
      </c>
      <c r="M92" s="7" t="s">
        <v>29</v>
      </c>
      <c r="N92" s="7" t="s">
        <v>29</v>
      </c>
      <c r="O92" s="7" t="s">
        <v>29</v>
      </c>
      <c r="P92" s="7" t="s">
        <v>29</v>
      </c>
      <c r="Q92" s="7" t="s">
        <v>29</v>
      </c>
      <c r="R92" s="7" t="s">
        <v>29</v>
      </c>
      <c r="S92" s="7" t="s">
        <v>29</v>
      </c>
    </row>
    <row r="93" spans="2:19">
      <c r="B93" s="7" t="s">
        <v>195</v>
      </c>
      <c r="C93" s="8" t="s">
        <v>195</v>
      </c>
      <c r="D93" s="6" t="str">
        <f>LRTRIM(CONCATENATE(IF(SUMPRODUCT(-- ISNUMBER(SEARCH({"Auto Number"}, $B93))) &gt; 0, $B93, IF(SUMPRODUCT(-- ISNUMBER(SEARCH({"Lookup","Master-Detail"}, $B93))) &gt; 0,$B93 &amp; "(" &amp; $E93 &amp; ")",IF(SUMPRODUCT(-- ISNUMBER(SEARCH({"Formula","Roll-Up Summary"}, $B93))) &gt; 0,$B93 &amp; " (" &amp; $E93 &amp; ")",IF(SUMPRODUCT(-- ISNUMBER(SEARCH({"Content","Currency","Number","Percent","Text","URL"}, $B93))) &gt; 0,$B93 &amp; "(" &amp; $C93 &amp; ")",$B93)))), "  ", TRIM(IF($S93 = "YES", "(External ID)", "") &amp; " " &amp; IF(SUMPRODUCT(-- ISNUMBER(SEARCH({"Unique","Unique Case Insensitive"}, $R93))) &gt; 0, "(" &amp; $R93 &amp; ")", ""))))</f>
        <v>na</v>
      </c>
      <c r="E93" s="7" t="s">
        <v>195</v>
      </c>
      <c r="F93" s="7" t="s">
        <v>195</v>
      </c>
      <c r="G93" s="7" t="s">
        <v>195</v>
      </c>
      <c r="H93" s="7" t="s">
        <v>195</v>
      </c>
      <c r="I93" s="7" t="s">
        <v>195</v>
      </c>
      <c r="J93" s="7" t="s">
        <v>195</v>
      </c>
      <c r="K93" s="7" t="s">
        <v>195</v>
      </c>
      <c r="L93" s="7" t="s">
        <v>195</v>
      </c>
      <c r="M93" s="7" t="s">
        <v>29</v>
      </c>
      <c r="N93" s="7" t="s">
        <v>29</v>
      </c>
      <c r="O93" s="7" t="s">
        <v>29</v>
      </c>
      <c r="P93" s="7" t="s">
        <v>29</v>
      </c>
      <c r="Q93" s="7" t="s">
        <v>29</v>
      </c>
      <c r="R93" s="7" t="s">
        <v>29</v>
      </c>
      <c r="S93" s="7" t="s">
        <v>29</v>
      </c>
    </row>
    <row r="94" spans="2:19">
      <c r="B94" s="7" t="s">
        <v>195</v>
      </c>
      <c r="C94" s="8" t="s">
        <v>195</v>
      </c>
      <c r="D94" s="6" t="str">
        <f>LRTRIM(CONCATENATE(IF(SUMPRODUCT(-- ISNUMBER(SEARCH({"Auto Number"}, $B94))) &gt; 0, $B94, IF(SUMPRODUCT(-- ISNUMBER(SEARCH({"Lookup","Master-Detail"}, $B94))) &gt; 0,$B94 &amp; "(" &amp; $E94 &amp; ")",IF(SUMPRODUCT(-- ISNUMBER(SEARCH({"Formula","Roll-Up Summary"}, $B94))) &gt; 0,$B94 &amp; " (" &amp; $E94 &amp; ")",IF(SUMPRODUCT(-- ISNUMBER(SEARCH({"Content","Currency","Number","Percent","Text","URL"}, $B94))) &gt; 0,$B94 &amp; "(" &amp; $C94 &amp; ")",$B94)))), "  ", TRIM(IF($S94 = "YES", "(External ID)", "") &amp; " " &amp; IF(SUMPRODUCT(-- ISNUMBER(SEARCH({"Unique","Unique Case Insensitive"}, $R94))) &gt; 0, "(" &amp; $R94 &amp; ")", ""))))</f>
        <v>na</v>
      </c>
      <c r="E94" s="7" t="s">
        <v>195</v>
      </c>
      <c r="F94" s="7" t="s">
        <v>195</v>
      </c>
      <c r="G94" s="7" t="s">
        <v>195</v>
      </c>
      <c r="H94" s="7" t="s">
        <v>195</v>
      </c>
      <c r="I94" s="7" t="s">
        <v>195</v>
      </c>
      <c r="J94" s="7" t="s">
        <v>195</v>
      </c>
      <c r="K94" s="7" t="s">
        <v>195</v>
      </c>
      <c r="L94" s="7" t="s">
        <v>195</v>
      </c>
      <c r="M94" s="7" t="s">
        <v>29</v>
      </c>
      <c r="N94" s="7" t="s">
        <v>29</v>
      </c>
      <c r="O94" s="7" t="s">
        <v>29</v>
      </c>
      <c r="P94" s="7" t="s">
        <v>29</v>
      </c>
      <c r="Q94" s="7" t="s">
        <v>29</v>
      </c>
      <c r="R94" s="7" t="s">
        <v>29</v>
      </c>
      <c r="S94" s="7" t="s">
        <v>29</v>
      </c>
    </row>
    <row r="95" spans="2:19">
      <c r="B95" s="7" t="s">
        <v>195</v>
      </c>
      <c r="C95" s="8" t="s">
        <v>195</v>
      </c>
      <c r="D95" s="6" t="str">
        <f>LRTRIM(CONCATENATE(IF(SUMPRODUCT(-- ISNUMBER(SEARCH({"Auto Number"}, $B95))) &gt; 0, $B95, IF(SUMPRODUCT(-- ISNUMBER(SEARCH({"Lookup","Master-Detail"}, $B95))) &gt; 0,$B95 &amp; "(" &amp; $E95 &amp; ")",IF(SUMPRODUCT(-- ISNUMBER(SEARCH({"Formula","Roll-Up Summary"}, $B95))) &gt; 0,$B95 &amp; " (" &amp; $E95 &amp; ")",IF(SUMPRODUCT(-- ISNUMBER(SEARCH({"Content","Currency","Number","Percent","Text","URL"}, $B95))) &gt; 0,$B95 &amp; "(" &amp; $C95 &amp; ")",$B95)))), "  ", TRIM(IF($S95 = "YES", "(External ID)", "") &amp; " " &amp; IF(SUMPRODUCT(-- ISNUMBER(SEARCH({"Unique","Unique Case Insensitive"}, $R95))) &gt; 0, "(" &amp; $R95 &amp; ")", ""))))</f>
        <v>na</v>
      </c>
      <c r="E95" s="7" t="s">
        <v>195</v>
      </c>
      <c r="F95" s="7" t="s">
        <v>195</v>
      </c>
      <c r="G95" s="7" t="s">
        <v>195</v>
      </c>
      <c r="H95" s="7" t="s">
        <v>195</v>
      </c>
      <c r="I95" s="7" t="s">
        <v>195</v>
      </c>
      <c r="J95" s="7" t="s">
        <v>195</v>
      </c>
      <c r="K95" s="7" t="s">
        <v>195</v>
      </c>
      <c r="L95" s="7" t="s">
        <v>195</v>
      </c>
      <c r="M95" s="7" t="s">
        <v>29</v>
      </c>
      <c r="N95" s="7" t="s">
        <v>29</v>
      </c>
      <c r="O95" s="7" t="s">
        <v>29</v>
      </c>
      <c r="P95" s="7" t="s">
        <v>29</v>
      </c>
      <c r="Q95" s="7" t="s">
        <v>29</v>
      </c>
      <c r="R95" s="7" t="s">
        <v>29</v>
      </c>
      <c r="S95" s="7" t="s">
        <v>29</v>
      </c>
    </row>
    <row r="96" spans="2:19">
      <c r="B96" s="7" t="s">
        <v>195</v>
      </c>
      <c r="C96" s="8" t="s">
        <v>195</v>
      </c>
      <c r="D96" s="6" t="str">
        <f>LRTRIM(CONCATENATE(IF(SUMPRODUCT(-- ISNUMBER(SEARCH({"Auto Number"}, $B96))) &gt; 0, $B96, IF(SUMPRODUCT(-- ISNUMBER(SEARCH({"Lookup","Master-Detail"}, $B96))) &gt; 0,$B96 &amp; "(" &amp; $E96 &amp; ")",IF(SUMPRODUCT(-- ISNUMBER(SEARCH({"Formula","Roll-Up Summary"}, $B96))) &gt; 0,$B96 &amp; " (" &amp; $E96 &amp; ")",IF(SUMPRODUCT(-- ISNUMBER(SEARCH({"Content","Currency","Number","Percent","Text","URL"}, $B96))) &gt; 0,$B96 &amp; "(" &amp; $C96 &amp; ")",$B96)))), "  ", TRIM(IF($S96 = "YES", "(External ID)", "") &amp; " " &amp; IF(SUMPRODUCT(-- ISNUMBER(SEARCH({"Unique","Unique Case Insensitive"}, $R96))) &gt; 0, "(" &amp; $R96 &amp; ")", ""))))</f>
        <v>na</v>
      </c>
      <c r="E96" s="7" t="s">
        <v>195</v>
      </c>
      <c r="F96" s="7" t="s">
        <v>195</v>
      </c>
      <c r="G96" s="7" t="s">
        <v>195</v>
      </c>
      <c r="H96" s="7" t="s">
        <v>195</v>
      </c>
      <c r="I96" s="7" t="s">
        <v>195</v>
      </c>
      <c r="J96" s="7" t="s">
        <v>195</v>
      </c>
      <c r="K96" s="7" t="s">
        <v>195</v>
      </c>
      <c r="L96" s="7" t="s">
        <v>195</v>
      </c>
      <c r="M96" s="7" t="s">
        <v>29</v>
      </c>
      <c r="N96" s="7" t="s">
        <v>29</v>
      </c>
      <c r="O96" s="7" t="s">
        <v>29</v>
      </c>
      <c r="P96" s="7" t="s">
        <v>29</v>
      </c>
      <c r="Q96" s="7" t="s">
        <v>29</v>
      </c>
      <c r="R96" s="7" t="s">
        <v>29</v>
      </c>
      <c r="S96" s="7" t="s">
        <v>29</v>
      </c>
    </row>
    <row r="97" spans="2:19">
      <c r="B97" s="7" t="s">
        <v>195</v>
      </c>
      <c r="C97" s="8" t="s">
        <v>195</v>
      </c>
      <c r="D97" s="6" t="str">
        <f>LRTRIM(CONCATENATE(IF(SUMPRODUCT(-- ISNUMBER(SEARCH({"Auto Number"}, $B97))) &gt; 0, $B97, IF(SUMPRODUCT(-- ISNUMBER(SEARCH({"Lookup","Master-Detail"}, $B97))) &gt; 0,$B97 &amp; "(" &amp; $E97 &amp; ")",IF(SUMPRODUCT(-- ISNUMBER(SEARCH({"Formula","Roll-Up Summary"}, $B97))) &gt; 0,$B97 &amp; " (" &amp; $E97 &amp; ")",IF(SUMPRODUCT(-- ISNUMBER(SEARCH({"Content","Currency","Number","Percent","Text","URL"}, $B97))) &gt; 0,$B97 &amp; "(" &amp; $C97 &amp; ")",$B97)))), "  ", TRIM(IF($S97 = "YES", "(External ID)", "") &amp; " " &amp; IF(SUMPRODUCT(-- ISNUMBER(SEARCH({"Unique","Unique Case Insensitive"}, $R97))) &gt; 0, "(" &amp; $R97 &amp; ")", ""))))</f>
        <v>na</v>
      </c>
      <c r="E97" s="7" t="s">
        <v>195</v>
      </c>
      <c r="F97" s="7" t="s">
        <v>195</v>
      </c>
      <c r="G97" s="7" t="s">
        <v>195</v>
      </c>
      <c r="H97" s="7" t="s">
        <v>195</v>
      </c>
      <c r="I97" s="7" t="s">
        <v>195</v>
      </c>
      <c r="J97" s="7" t="s">
        <v>195</v>
      </c>
      <c r="K97" s="7" t="s">
        <v>195</v>
      </c>
      <c r="L97" s="7" t="s">
        <v>195</v>
      </c>
      <c r="M97" s="7" t="s">
        <v>29</v>
      </c>
      <c r="N97" s="7" t="s">
        <v>29</v>
      </c>
      <c r="O97" s="7" t="s">
        <v>29</v>
      </c>
      <c r="P97" s="7" t="s">
        <v>29</v>
      </c>
      <c r="Q97" s="7" t="s">
        <v>29</v>
      </c>
      <c r="R97" s="7" t="s">
        <v>29</v>
      </c>
      <c r="S97" s="7" t="s">
        <v>29</v>
      </c>
    </row>
    <row r="98" spans="2:19">
      <c r="B98" s="7" t="s">
        <v>195</v>
      </c>
      <c r="C98" s="8" t="s">
        <v>195</v>
      </c>
      <c r="D98" s="6" t="str">
        <f>LRTRIM(CONCATENATE(IF(SUMPRODUCT(-- ISNUMBER(SEARCH({"Auto Number"}, $B98))) &gt; 0, $B98, IF(SUMPRODUCT(-- ISNUMBER(SEARCH({"Lookup","Master-Detail"}, $B98))) &gt; 0,$B98 &amp; "(" &amp; $E98 &amp; ")",IF(SUMPRODUCT(-- ISNUMBER(SEARCH({"Formula","Roll-Up Summary"}, $B98))) &gt; 0,$B98 &amp; " (" &amp; $E98 &amp; ")",IF(SUMPRODUCT(-- ISNUMBER(SEARCH({"Content","Currency","Number","Percent","Text","URL"}, $B98))) &gt; 0,$B98 &amp; "(" &amp; $C98 &amp; ")",$B98)))), "  ", TRIM(IF($S98 = "YES", "(External ID)", "") &amp; " " &amp; IF(SUMPRODUCT(-- ISNUMBER(SEARCH({"Unique","Unique Case Insensitive"}, $R98))) &gt; 0, "(" &amp; $R98 &amp; ")", ""))))</f>
        <v>na</v>
      </c>
      <c r="E98" s="7" t="s">
        <v>195</v>
      </c>
      <c r="F98" s="7" t="s">
        <v>195</v>
      </c>
      <c r="G98" s="7" t="s">
        <v>195</v>
      </c>
      <c r="H98" s="7" t="s">
        <v>195</v>
      </c>
      <c r="I98" s="7" t="s">
        <v>195</v>
      </c>
      <c r="J98" s="7" t="s">
        <v>195</v>
      </c>
      <c r="K98" s="7" t="s">
        <v>195</v>
      </c>
      <c r="L98" s="7" t="s">
        <v>195</v>
      </c>
      <c r="M98" s="7" t="s">
        <v>29</v>
      </c>
      <c r="N98" s="7" t="s">
        <v>29</v>
      </c>
      <c r="O98" s="7" t="s">
        <v>29</v>
      </c>
      <c r="P98" s="7" t="s">
        <v>29</v>
      </c>
      <c r="Q98" s="7" t="s">
        <v>29</v>
      </c>
      <c r="R98" s="7" t="s">
        <v>29</v>
      </c>
      <c r="S98" s="7" t="s">
        <v>29</v>
      </c>
    </row>
    <row r="99" spans="2:19">
      <c r="B99" s="7" t="s">
        <v>195</v>
      </c>
      <c r="C99" s="8" t="s">
        <v>195</v>
      </c>
      <c r="D99" s="6" t="str">
        <f>LRTRIM(CONCATENATE(IF(SUMPRODUCT(-- ISNUMBER(SEARCH({"Auto Number"}, $B99))) &gt; 0, $B99, IF(SUMPRODUCT(-- ISNUMBER(SEARCH({"Lookup","Master-Detail"}, $B99))) &gt; 0,$B99 &amp; "(" &amp; $E99 &amp; ")",IF(SUMPRODUCT(-- ISNUMBER(SEARCH({"Formula","Roll-Up Summary"}, $B99))) &gt; 0,$B99 &amp; " (" &amp; $E99 &amp; ")",IF(SUMPRODUCT(-- ISNUMBER(SEARCH({"Content","Currency","Number","Percent","Text","URL"}, $B99))) &gt; 0,$B99 &amp; "(" &amp; $C99 &amp; ")",$B99)))), "  ", TRIM(IF($S99 = "YES", "(External ID)", "") &amp; " " &amp; IF(SUMPRODUCT(-- ISNUMBER(SEARCH({"Unique","Unique Case Insensitive"}, $R99))) &gt; 0, "(" &amp; $R99 &amp; ")", ""))))</f>
        <v>na</v>
      </c>
      <c r="E99" s="7" t="s">
        <v>195</v>
      </c>
      <c r="F99" s="7" t="s">
        <v>195</v>
      </c>
      <c r="G99" s="7" t="s">
        <v>195</v>
      </c>
      <c r="H99" s="7" t="s">
        <v>195</v>
      </c>
      <c r="I99" s="7" t="s">
        <v>195</v>
      </c>
      <c r="J99" s="7" t="s">
        <v>195</v>
      </c>
      <c r="K99" s="7" t="s">
        <v>195</v>
      </c>
      <c r="L99" s="7" t="s">
        <v>195</v>
      </c>
      <c r="M99" s="7" t="s">
        <v>29</v>
      </c>
      <c r="N99" s="7" t="s">
        <v>29</v>
      </c>
      <c r="O99" s="7" t="s">
        <v>29</v>
      </c>
      <c r="P99" s="7" t="s">
        <v>29</v>
      </c>
      <c r="Q99" s="7" t="s">
        <v>29</v>
      </c>
      <c r="R99" s="7" t="s">
        <v>29</v>
      </c>
      <c r="S99" s="7" t="s">
        <v>29</v>
      </c>
    </row>
    <row r="100" spans="2:19">
      <c r="B100" s="7" t="s">
        <v>195</v>
      </c>
      <c r="C100" s="8" t="s">
        <v>195</v>
      </c>
      <c r="D100" s="6" t="str">
        <f>LRTRIM(CONCATENATE(IF(SUMPRODUCT(-- ISNUMBER(SEARCH({"Auto Number"}, $B100))) &gt; 0, $B100, IF(SUMPRODUCT(-- ISNUMBER(SEARCH({"Lookup","Master-Detail"}, $B100))) &gt; 0,$B100 &amp; "(" &amp; $E100 &amp; ")",IF(SUMPRODUCT(-- ISNUMBER(SEARCH({"Formula","Roll-Up Summary"}, $B100))) &gt; 0,$B100 &amp; " (" &amp; $E100 &amp; ")",IF(SUMPRODUCT(-- ISNUMBER(SEARCH({"Content","Currency","Number","Percent","Text","URL"}, $B100))) &gt; 0,$B100 &amp; "(" &amp; $C100 &amp; ")",$B100)))), "  ", TRIM(IF($S100 = "YES", "(External ID)", "") &amp; " " &amp; IF(SUMPRODUCT(-- ISNUMBER(SEARCH({"Unique","Unique Case Insensitive"}, $R100))) &gt; 0, "(" &amp; $R100 &amp; ")", ""))))</f>
        <v>na</v>
      </c>
      <c r="E100" s="7" t="s">
        <v>195</v>
      </c>
      <c r="F100" s="7" t="s">
        <v>195</v>
      </c>
      <c r="G100" s="7" t="s">
        <v>195</v>
      </c>
      <c r="H100" s="7" t="s">
        <v>195</v>
      </c>
      <c r="I100" s="7" t="s">
        <v>195</v>
      </c>
      <c r="J100" s="7" t="s">
        <v>195</v>
      </c>
      <c r="K100" s="7" t="s">
        <v>195</v>
      </c>
      <c r="L100" s="7" t="s">
        <v>195</v>
      </c>
      <c r="M100" s="7" t="s">
        <v>29</v>
      </c>
      <c r="N100" s="7" t="s">
        <v>29</v>
      </c>
      <c r="O100" s="7" t="s">
        <v>29</v>
      </c>
      <c r="P100" s="7" t="s">
        <v>29</v>
      </c>
      <c r="Q100" s="7" t="s">
        <v>29</v>
      </c>
      <c r="R100" s="7" t="s">
        <v>29</v>
      </c>
      <c r="S100" s="7" t="s">
        <v>29</v>
      </c>
    </row>
    <row r="101" spans="2:19">
      <c r="B101" s="7" t="s">
        <v>195</v>
      </c>
      <c r="C101" s="8" t="s">
        <v>195</v>
      </c>
      <c r="D101" s="6" t="str">
        <f>LRTRIM(CONCATENATE(IF(SUMPRODUCT(-- ISNUMBER(SEARCH({"Auto Number"}, $B101))) &gt; 0, $B101, IF(SUMPRODUCT(-- ISNUMBER(SEARCH({"Lookup","Master-Detail"}, $B101))) &gt; 0,$B101 &amp; "(" &amp; $E101 &amp; ")",IF(SUMPRODUCT(-- ISNUMBER(SEARCH({"Formula","Roll-Up Summary"}, $B101))) &gt; 0,$B101 &amp; " (" &amp; $E101 &amp; ")",IF(SUMPRODUCT(-- ISNUMBER(SEARCH({"Content","Currency","Number","Percent","Text","URL"}, $B101))) &gt; 0,$B101 &amp; "(" &amp; $C101 &amp; ")",$B101)))), "  ", TRIM(IF($S101 = "YES", "(External ID)", "") &amp; " " &amp; IF(SUMPRODUCT(-- ISNUMBER(SEARCH({"Unique","Unique Case Insensitive"}, $R101))) &gt; 0, "(" &amp; $R101 &amp; ")", ""))))</f>
        <v>na</v>
      </c>
      <c r="E101" s="7" t="s">
        <v>195</v>
      </c>
      <c r="F101" s="7" t="s">
        <v>195</v>
      </c>
      <c r="G101" s="7" t="s">
        <v>195</v>
      </c>
      <c r="H101" s="7" t="s">
        <v>195</v>
      </c>
      <c r="I101" s="7" t="s">
        <v>195</v>
      </c>
      <c r="J101" s="7" t="s">
        <v>195</v>
      </c>
      <c r="K101" s="7" t="s">
        <v>195</v>
      </c>
      <c r="L101" s="7" t="s">
        <v>195</v>
      </c>
      <c r="M101" s="7" t="s">
        <v>29</v>
      </c>
      <c r="N101" s="7" t="s">
        <v>29</v>
      </c>
      <c r="O101" s="7" t="s">
        <v>29</v>
      </c>
      <c r="P101" s="7" t="s">
        <v>29</v>
      </c>
      <c r="Q101" s="7" t="s">
        <v>29</v>
      </c>
      <c r="R101" s="7" t="s">
        <v>29</v>
      </c>
      <c r="S101" s="7" t="s">
        <v>29</v>
      </c>
    </row>
    <row r="102" spans="2:19">
      <c r="B102" s="7" t="s">
        <v>195</v>
      </c>
      <c r="C102" s="8" t="s">
        <v>195</v>
      </c>
      <c r="D102" s="6" t="str">
        <f>LRTRIM(CONCATENATE(IF(SUMPRODUCT(-- ISNUMBER(SEARCH({"Auto Number"}, $B102))) &gt; 0, $B102, IF(SUMPRODUCT(-- ISNUMBER(SEARCH({"Lookup","Master-Detail"}, $B102))) &gt; 0,$B102 &amp; "(" &amp; $E102 &amp; ")",IF(SUMPRODUCT(-- ISNUMBER(SEARCH({"Formula","Roll-Up Summary"}, $B102))) &gt; 0,$B102 &amp; " (" &amp; $E102 &amp; ")",IF(SUMPRODUCT(-- ISNUMBER(SEARCH({"Content","Currency","Number","Percent","Text","URL"}, $B102))) &gt; 0,$B102 &amp; "(" &amp; $C102 &amp; ")",$B102)))), "  ", TRIM(IF($S102 = "YES", "(External ID)", "") &amp; " " &amp; IF(SUMPRODUCT(-- ISNUMBER(SEARCH({"Unique","Unique Case Insensitive"}, $R102))) &gt; 0, "(" &amp; $R102 &amp; ")", ""))))</f>
        <v>na</v>
      </c>
      <c r="E102" s="7" t="s">
        <v>195</v>
      </c>
      <c r="F102" s="7" t="s">
        <v>195</v>
      </c>
      <c r="G102" s="7" t="s">
        <v>195</v>
      </c>
      <c r="H102" s="7" t="s">
        <v>195</v>
      </c>
      <c r="I102" s="7" t="s">
        <v>195</v>
      </c>
      <c r="J102" s="7" t="s">
        <v>195</v>
      </c>
      <c r="K102" s="7" t="s">
        <v>195</v>
      </c>
      <c r="L102" s="7" t="s">
        <v>195</v>
      </c>
      <c r="M102" s="7" t="s">
        <v>29</v>
      </c>
      <c r="N102" s="7" t="s">
        <v>29</v>
      </c>
      <c r="O102" s="7" t="s">
        <v>29</v>
      </c>
      <c r="P102" s="7" t="s">
        <v>29</v>
      </c>
      <c r="Q102" s="7" t="s">
        <v>29</v>
      </c>
      <c r="R102" s="7" t="s">
        <v>29</v>
      </c>
      <c r="S102" s="7" t="s">
        <v>29</v>
      </c>
    </row>
    <row r="103" spans="2:19">
      <c r="B103" s="7" t="s">
        <v>195</v>
      </c>
      <c r="C103" s="8" t="s">
        <v>195</v>
      </c>
      <c r="D103" s="6" t="str">
        <f>LRTRIM(CONCATENATE(IF(SUMPRODUCT(-- ISNUMBER(SEARCH({"Auto Number"}, $B103))) &gt; 0, $B103, IF(SUMPRODUCT(-- ISNUMBER(SEARCH({"Lookup","Master-Detail"}, $B103))) &gt; 0,$B103 &amp; "(" &amp; $E103 &amp; ")",IF(SUMPRODUCT(-- ISNUMBER(SEARCH({"Formula","Roll-Up Summary"}, $B103))) &gt; 0,$B103 &amp; " (" &amp; $E103 &amp; ")",IF(SUMPRODUCT(-- ISNUMBER(SEARCH({"Content","Currency","Number","Percent","Text","URL"}, $B103))) &gt; 0,$B103 &amp; "(" &amp; $C103 &amp; ")",$B103)))), "  ", TRIM(IF($S103 = "YES", "(External ID)", "") &amp; " " &amp; IF(SUMPRODUCT(-- ISNUMBER(SEARCH({"Unique","Unique Case Insensitive"}, $R103))) &gt; 0, "(" &amp; $R103 &amp; ")", ""))))</f>
        <v>na</v>
      </c>
      <c r="E103" s="7" t="s">
        <v>195</v>
      </c>
      <c r="F103" s="7" t="s">
        <v>195</v>
      </c>
      <c r="G103" s="7" t="s">
        <v>195</v>
      </c>
      <c r="H103" s="7" t="s">
        <v>195</v>
      </c>
      <c r="I103" s="7" t="s">
        <v>195</v>
      </c>
      <c r="J103" s="7" t="s">
        <v>195</v>
      </c>
      <c r="K103" s="7" t="s">
        <v>195</v>
      </c>
      <c r="L103" s="7" t="s">
        <v>195</v>
      </c>
      <c r="M103" s="7" t="s">
        <v>29</v>
      </c>
      <c r="N103" s="7" t="s">
        <v>29</v>
      </c>
      <c r="O103" s="7" t="s">
        <v>29</v>
      </c>
      <c r="P103" s="7" t="s">
        <v>29</v>
      </c>
      <c r="Q103" s="7" t="s">
        <v>29</v>
      </c>
      <c r="R103" s="7" t="s">
        <v>29</v>
      </c>
      <c r="S103" s="7" t="s">
        <v>29</v>
      </c>
    </row>
    <row r="104" spans="2:19">
      <c r="B104" s="7" t="s">
        <v>195</v>
      </c>
      <c r="C104" s="8" t="s">
        <v>195</v>
      </c>
      <c r="D104" s="6" t="str">
        <f>LRTRIM(CONCATENATE(IF(SUMPRODUCT(-- ISNUMBER(SEARCH({"Auto Number"}, $B104))) &gt; 0, $B104, IF(SUMPRODUCT(-- ISNUMBER(SEARCH({"Lookup","Master-Detail"}, $B104))) &gt; 0,$B104 &amp; "(" &amp; $E104 &amp; ")",IF(SUMPRODUCT(-- ISNUMBER(SEARCH({"Formula","Roll-Up Summary"}, $B104))) &gt; 0,$B104 &amp; " (" &amp; $E104 &amp; ")",IF(SUMPRODUCT(-- ISNUMBER(SEARCH({"Content","Currency","Number","Percent","Text","URL"}, $B104))) &gt; 0,$B104 &amp; "(" &amp; $C104 &amp; ")",$B104)))), "  ", TRIM(IF($S104 = "YES", "(External ID)", "") &amp; " " &amp; IF(SUMPRODUCT(-- ISNUMBER(SEARCH({"Unique","Unique Case Insensitive"}, $R104))) &gt; 0, "(" &amp; $R104 &amp; ")", ""))))</f>
        <v>na</v>
      </c>
      <c r="E104" s="7" t="s">
        <v>195</v>
      </c>
      <c r="F104" s="7" t="s">
        <v>195</v>
      </c>
      <c r="G104" s="7" t="s">
        <v>195</v>
      </c>
      <c r="H104" s="7" t="s">
        <v>195</v>
      </c>
      <c r="I104" s="7" t="s">
        <v>195</v>
      </c>
      <c r="J104" s="7" t="s">
        <v>195</v>
      </c>
      <c r="K104" s="7" t="s">
        <v>195</v>
      </c>
      <c r="L104" s="7" t="s">
        <v>195</v>
      </c>
      <c r="M104" s="7" t="s">
        <v>29</v>
      </c>
      <c r="N104" s="7" t="s">
        <v>29</v>
      </c>
      <c r="O104" s="7" t="s">
        <v>29</v>
      </c>
      <c r="P104" s="7" t="s">
        <v>29</v>
      </c>
      <c r="Q104" s="7" t="s">
        <v>29</v>
      </c>
      <c r="R104" s="7" t="s">
        <v>29</v>
      </c>
      <c r="S104" s="7" t="s">
        <v>29</v>
      </c>
    </row>
    <row r="105" spans="2:19">
      <c r="B105" s="7" t="s">
        <v>195</v>
      </c>
      <c r="C105" s="8" t="s">
        <v>195</v>
      </c>
      <c r="D105" s="6" t="str">
        <f>LRTRIM(CONCATENATE(IF(SUMPRODUCT(-- ISNUMBER(SEARCH({"Auto Number"}, $B105))) &gt; 0, $B105, IF(SUMPRODUCT(-- ISNUMBER(SEARCH({"Lookup","Master-Detail"}, $B105))) &gt; 0,$B105 &amp; "(" &amp; $E105 &amp; ")",IF(SUMPRODUCT(-- ISNUMBER(SEARCH({"Formula","Roll-Up Summary"}, $B105))) &gt; 0,$B105 &amp; " (" &amp; $E105 &amp; ")",IF(SUMPRODUCT(-- ISNUMBER(SEARCH({"Content","Currency","Number","Percent","Text","URL"}, $B105))) &gt; 0,$B105 &amp; "(" &amp; $C105 &amp; ")",$B105)))), "  ", TRIM(IF($S105 = "YES", "(External ID)", "") &amp; " " &amp; IF(SUMPRODUCT(-- ISNUMBER(SEARCH({"Unique","Unique Case Insensitive"}, $R105))) &gt; 0, "(" &amp; $R105 &amp; ")", ""))))</f>
        <v>na</v>
      </c>
      <c r="E105" s="7" t="s">
        <v>195</v>
      </c>
      <c r="F105" s="7" t="s">
        <v>195</v>
      </c>
      <c r="G105" s="7" t="s">
        <v>195</v>
      </c>
      <c r="H105" s="7" t="s">
        <v>195</v>
      </c>
      <c r="I105" s="7" t="s">
        <v>195</v>
      </c>
      <c r="J105" s="7" t="s">
        <v>195</v>
      </c>
      <c r="K105" s="7" t="s">
        <v>195</v>
      </c>
      <c r="L105" s="7" t="s">
        <v>195</v>
      </c>
      <c r="M105" s="7" t="s">
        <v>29</v>
      </c>
      <c r="N105" s="7" t="s">
        <v>29</v>
      </c>
      <c r="O105" s="7" t="s">
        <v>29</v>
      </c>
      <c r="P105" s="7" t="s">
        <v>29</v>
      </c>
      <c r="Q105" s="7" t="s">
        <v>29</v>
      </c>
      <c r="R105" s="7" t="s">
        <v>29</v>
      </c>
      <c r="S105" s="7" t="s">
        <v>29</v>
      </c>
    </row>
    <row r="106" spans="2:19">
      <c r="B106" s="7" t="s">
        <v>195</v>
      </c>
      <c r="C106" s="8" t="s">
        <v>195</v>
      </c>
      <c r="D106" s="6" t="str">
        <f>LRTRIM(CONCATENATE(IF(SUMPRODUCT(-- ISNUMBER(SEARCH({"Auto Number"}, $B106))) &gt; 0, $B106, IF(SUMPRODUCT(-- ISNUMBER(SEARCH({"Lookup","Master-Detail"}, $B106))) &gt; 0,$B106 &amp; "(" &amp; $E106 &amp; ")",IF(SUMPRODUCT(-- ISNUMBER(SEARCH({"Formula","Roll-Up Summary"}, $B106))) &gt; 0,$B106 &amp; " (" &amp; $E106 &amp; ")",IF(SUMPRODUCT(-- ISNUMBER(SEARCH({"Content","Currency","Number","Percent","Text","URL"}, $B106))) &gt; 0,$B106 &amp; "(" &amp; $C106 &amp; ")",$B106)))), "  ", TRIM(IF($S106 = "YES", "(External ID)", "") &amp; " " &amp; IF(SUMPRODUCT(-- ISNUMBER(SEARCH({"Unique","Unique Case Insensitive"}, $R106))) &gt; 0, "(" &amp; $R106 &amp; ")", ""))))</f>
        <v>na</v>
      </c>
      <c r="E106" s="7" t="s">
        <v>195</v>
      </c>
      <c r="F106" s="7" t="s">
        <v>195</v>
      </c>
      <c r="G106" s="7" t="s">
        <v>195</v>
      </c>
      <c r="H106" s="7" t="s">
        <v>195</v>
      </c>
      <c r="I106" s="7" t="s">
        <v>195</v>
      </c>
      <c r="J106" s="7" t="s">
        <v>195</v>
      </c>
      <c r="K106" s="7" t="s">
        <v>195</v>
      </c>
      <c r="L106" s="7" t="s">
        <v>195</v>
      </c>
      <c r="M106" s="7" t="s">
        <v>29</v>
      </c>
      <c r="N106" s="7" t="s">
        <v>29</v>
      </c>
      <c r="O106" s="7" t="s">
        <v>29</v>
      </c>
      <c r="P106" s="7" t="s">
        <v>29</v>
      </c>
      <c r="Q106" s="7" t="s">
        <v>29</v>
      </c>
      <c r="R106" s="7" t="s">
        <v>29</v>
      </c>
      <c r="S106" s="7" t="s">
        <v>29</v>
      </c>
    </row>
    <row r="107" spans="2:19">
      <c r="B107" s="7" t="s">
        <v>195</v>
      </c>
      <c r="C107" s="8" t="s">
        <v>195</v>
      </c>
      <c r="D107" s="6" t="str">
        <f>LRTRIM(CONCATENATE(IF(SUMPRODUCT(-- ISNUMBER(SEARCH({"Auto Number"}, $B107))) &gt; 0, $B107, IF(SUMPRODUCT(-- ISNUMBER(SEARCH({"Lookup","Master-Detail"}, $B107))) &gt; 0,$B107 &amp; "(" &amp; $E107 &amp; ")",IF(SUMPRODUCT(-- ISNUMBER(SEARCH({"Formula","Roll-Up Summary"}, $B107))) &gt; 0,$B107 &amp; " (" &amp; $E107 &amp; ")",IF(SUMPRODUCT(-- ISNUMBER(SEARCH({"Content","Currency","Number","Percent","Text","URL"}, $B107))) &gt; 0,$B107 &amp; "(" &amp; $C107 &amp; ")",$B107)))), "  ", TRIM(IF($S107 = "YES", "(External ID)", "") &amp; " " &amp; IF(SUMPRODUCT(-- ISNUMBER(SEARCH({"Unique","Unique Case Insensitive"}, $R107))) &gt; 0, "(" &amp; $R107 &amp; ")", ""))))</f>
        <v>na</v>
      </c>
      <c r="E107" s="7" t="s">
        <v>195</v>
      </c>
      <c r="F107" s="7" t="s">
        <v>195</v>
      </c>
      <c r="G107" s="7" t="s">
        <v>195</v>
      </c>
      <c r="H107" s="7" t="s">
        <v>195</v>
      </c>
      <c r="I107" s="7" t="s">
        <v>195</v>
      </c>
      <c r="J107" s="7" t="s">
        <v>195</v>
      </c>
      <c r="K107" s="7" t="s">
        <v>195</v>
      </c>
      <c r="L107" s="7" t="s">
        <v>195</v>
      </c>
      <c r="M107" s="7" t="s">
        <v>29</v>
      </c>
      <c r="N107" s="7" t="s">
        <v>29</v>
      </c>
      <c r="O107" s="7" t="s">
        <v>29</v>
      </c>
      <c r="P107" s="7" t="s">
        <v>29</v>
      </c>
      <c r="Q107" s="7" t="s">
        <v>29</v>
      </c>
      <c r="R107" s="7" t="s">
        <v>29</v>
      </c>
      <c r="S107" s="7" t="s">
        <v>29</v>
      </c>
    </row>
    <row r="108" spans="2:19">
      <c r="B108" s="7" t="s">
        <v>195</v>
      </c>
      <c r="C108" s="8" t="s">
        <v>195</v>
      </c>
      <c r="D108" s="6" t="str">
        <f>LRTRIM(CONCATENATE(IF(SUMPRODUCT(-- ISNUMBER(SEARCH({"Auto Number"}, $B108))) &gt; 0, $B108, IF(SUMPRODUCT(-- ISNUMBER(SEARCH({"Lookup","Master-Detail"}, $B108))) &gt; 0,$B108 &amp; "(" &amp; $E108 &amp; ")",IF(SUMPRODUCT(-- ISNUMBER(SEARCH({"Formula","Roll-Up Summary"}, $B108))) &gt; 0,$B108 &amp; " (" &amp; $E108 &amp; ")",IF(SUMPRODUCT(-- ISNUMBER(SEARCH({"Content","Currency","Number","Percent","Text","URL"}, $B108))) &gt; 0,$B108 &amp; "(" &amp; $C108 &amp; ")",$B108)))), "  ", TRIM(IF($S108 = "YES", "(External ID)", "") &amp; " " &amp; IF(SUMPRODUCT(-- ISNUMBER(SEARCH({"Unique","Unique Case Insensitive"}, $R108))) &gt; 0, "(" &amp; $R108 &amp; ")", ""))))</f>
        <v>na</v>
      </c>
      <c r="E108" s="7" t="s">
        <v>195</v>
      </c>
      <c r="F108" s="7" t="s">
        <v>195</v>
      </c>
      <c r="G108" s="7" t="s">
        <v>195</v>
      </c>
      <c r="H108" s="7" t="s">
        <v>195</v>
      </c>
      <c r="I108" s="7" t="s">
        <v>195</v>
      </c>
      <c r="J108" s="7" t="s">
        <v>195</v>
      </c>
      <c r="K108" s="7" t="s">
        <v>195</v>
      </c>
      <c r="L108" s="7" t="s">
        <v>195</v>
      </c>
      <c r="M108" s="7" t="s">
        <v>29</v>
      </c>
      <c r="N108" s="7" t="s">
        <v>29</v>
      </c>
      <c r="O108" s="7" t="s">
        <v>29</v>
      </c>
      <c r="P108" s="7" t="s">
        <v>29</v>
      </c>
      <c r="Q108" s="7" t="s">
        <v>29</v>
      </c>
      <c r="R108" s="7" t="s">
        <v>29</v>
      </c>
      <c r="S108" s="7" t="s">
        <v>29</v>
      </c>
    </row>
    <row r="109" spans="2:19">
      <c r="B109" s="7" t="s">
        <v>195</v>
      </c>
      <c r="C109" s="8" t="s">
        <v>195</v>
      </c>
      <c r="D109" s="6" t="str">
        <f>LRTRIM(CONCATENATE(IF(SUMPRODUCT(-- ISNUMBER(SEARCH({"Auto Number"}, $B109))) &gt; 0, $B109, IF(SUMPRODUCT(-- ISNUMBER(SEARCH({"Lookup","Master-Detail"}, $B109))) &gt; 0,$B109 &amp; "(" &amp; $E109 &amp; ")",IF(SUMPRODUCT(-- ISNUMBER(SEARCH({"Formula","Roll-Up Summary"}, $B109))) &gt; 0,$B109 &amp; " (" &amp; $E109 &amp; ")",IF(SUMPRODUCT(-- ISNUMBER(SEARCH({"Content","Currency","Number","Percent","Text","URL"}, $B109))) &gt; 0,$B109 &amp; "(" &amp; $C109 &amp; ")",$B109)))), "  ", TRIM(IF($S109 = "YES", "(External ID)", "") &amp; " " &amp; IF(SUMPRODUCT(-- ISNUMBER(SEARCH({"Unique","Unique Case Insensitive"}, $R109))) &gt; 0, "(" &amp; $R109 &amp; ")", ""))))</f>
        <v>na</v>
      </c>
      <c r="E109" s="7" t="s">
        <v>195</v>
      </c>
      <c r="F109" s="7" t="s">
        <v>195</v>
      </c>
      <c r="G109" s="7" t="s">
        <v>195</v>
      </c>
      <c r="H109" s="7" t="s">
        <v>195</v>
      </c>
      <c r="I109" s="7" t="s">
        <v>195</v>
      </c>
      <c r="J109" s="7" t="s">
        <v>195</v>
      </c>
      <c r="K109" s="7" t="s">
        <v>195</v>
      </c>
      <c r="L109" s="7" t="s">
        <v>195</v>
      </c>
      <c r="M109" s="7" t="s">
        <v>29</v>
      </c>
      <c r="N109" s="7" t="s">
        <v>29</v>
      </c>
      <c r="O109" s="7" t="s">
        <v>29</v>
      </c>
      <c r="P109" s="7" t="s">
        <v>29</v>
      </c>
      <c r="Q109" s="7" t="s">
        <v>29</v>
      </c>
      <c r="R109" s="7" t="s">
        <v>29</v>
      </c>
      <c r="S109" s="7" t="s">
        <v>29</v>
      </c>
    </row>
    <row r="110" spans="2:19">
      <c r="B110" s="7" t="s">
        <v>195</v>
      </c>
      <c r="C110" s="8" t="s">
        <v>195</v>
      </c>
      <c r="D110" s="6" t="str">
        <f>LRTRIM(CONCATENATE(IF(SUMPRODUCT(-- ISNUMBER(SEARCH({"Auto Number"}, $B110))) &gt; 0, $B110, IF(SUMPRODUCT(-- ISNUMBER(SEARCH({"Lookup","Master-Detail"}, $B110))) &gt; 0,$B110 &amp; "(" &amp; $E110 &amp; ")",IF(SUMPRODUCT(-- ISNUMBER(SEARCH({"Formula","Roll-Up Summary"}, $B110))) &gt; 0,$B110 &amp; " (" &amp; $E110 &amp; ")",IF(SUMPRODUCT(-- ISNUMBER(SEARCH({"Content","Currency","Number","Percent","Text","URL"}, $B110))) &gt; 0,$B110 &amp; "(" &amp; $C110 &amp; ")",$B110)))), "  ", TRIM(IF($S110 = "YES", "(External ID)", "") &amp; " " &amp; IF(SUMPRODUCT(-- ISNUMBER(SEARCH({"Unique","Unique Case Insensitive"}, $R110))) &gt; 0, "(" &amp; $R110 &amp; ")", ""))))</f>
        <v>na</v>
      </c>
      <c r="E110" s="7" t="s">
        <v>195</v>
      </c>
      <c r="F110" s="7" t="s">
        <v>195</v>
      </c>
      <c r="G110" s="7" t="s">
        <v>195</v>
      </c>
      <c r="H110" s="7" t="s">
        <v>195</v>
      </c>
      <c r="I110" s="7" t="s">
        <v>195</v>
      </c>
      <c r="J110" s="7" t="s">
        <v>195</v>
      </c>
      <c r="K110" s="7" t="s">
        <v>195</v>
      </c>
      <c r="L110" s="7" t="s">
        <v>195</v>
      </c>
      <c r="M110" s="7" t="s">
        <v>29</v>
      </c>
      <c r="N110" s="7" t="s">
        <v>29</v>
      </c>
      <c r="O110" s="7" t="s">
        <v>29</v>
      </c>
      <c r="P110" s="7" t="s">
        <v>29</v>
      </c>
      <c r="Q110" s="7" t="s">
        <v>29</v>
      </c>
      <c r="R110" s="7" t="s">
        <v>29</v>
      </c>
      <c r="S110" s="7" t="s">
        <v>29</v>
      </c>
    </row>
    <row r="111" spans="2:19">
      <c r="B111" s="7" t="s">
        <v>195</v>
      </c>
      <c r="C111" s="8" t="s">
        <v>195</v>
      </c>
      <c r="D111" s="6" t="str">
        <f>LRTRIM(CONCATENATE(IF(SUMPRODUCT(-- ISNUMBER(SEARCH({"Auto Number"}, $B111))) &gt; 0, $B111, IF(SUMPRODUCT(-- ISNUMBER(SEARCH({"Lookup","Master-Detail"}, $B111))) &gt; 0,$B111 &amp; "(" &amp; $E111 &amp; ")",IF(SUMPRODUCT(-- ISNUMBER(SEARCH({"Formula","Roll-Up Summary"}, $B111))) &gt; 0,$B111 &amp; " (" &amp; $E111 &amp; ")",IF(SUMPRODUCT(-- ISNUMBER(SEARCH({"Content","Currency","Number","Percent","Text","URL"}, $B111))) &gt; 0,$B111 &amp; "(" &amp; $C111 &amp; ")",$B111)))), "  ", TRIM(IF($S111 = "YES", "(External ID)", "") &amp; " " &amp; IF(SUMPRODUCT(-- ISNUMBER(SEARCH({"Unique","Unique Case Insensitive"}, $R111))) &gt; 0, "(" &amp; $R111 &amp; ")", ""))))</f>
        <v>na</v>
      </c>
      <c r="E111" s="7" t="s">
        <v>195</v>
      </c>
      <c r="F111" s="7" t="s">
        <v>195</v>
      </c>
      <c r="G111" s="7" t="s">
        <v>195</v>
      </c>
      <c r="H111" s="7" t="s">
        <v>195</v>
      </c>
      <c r="I111" s="7" t="s">
        <v>195</v>
      </c>
      <c r="J111" s="7" t="s">
        <v>195</v>
      </c>
      <c r="K111" s="7" t="s">
        <v>195</v>
      </c>
      <c r="L111" s="7" t="s">
        <v>195</v>
      </c>
      <c r="M111" s="7" t="s">
        <v>29</v>
      </c>
      <c r="N111" s="7" t="s">
        <v>29</v>
      </c>
      <c r="O111" s="7" t="s">
        <v>29</v>
      </c>
      <c r="P111" s="7" t="s">
        <v>29</v>
      </c>
      <c r="Q111" s="7" t="s">
        <v>29</v>
      </c>
      <c r="R111" s="7" t="s">
        <v>29</v>
      </c>
      <c r="S111" s="7" t="s">
        <v>29</v>
      </c>
    </row>
    <row r="112" spans="2:19">
      <c r="B112" s="7" t="s">
        <v>195</v>
      </c>
      <c r="C112" s="8" t="s">
        <v>195</v>
      </c>
      <c r="D112" s="6" t="str">
        <f>LRTRIM(CONCATENATE(IF(SUMPRODUCT(-- ISNUMBER(SEARCH({"Auto Number"}, $B112))) &gt; 0, $B112, IF(SUMPRODUCT(-- ISNUMBER(SEARCH({"Lookup","Master-Detail"}, $B112))) &gt; 0,$B112 &amp; "(" &amp; $E112 &amp; ")",IF(SUMPRODUCT(-- ISNUMBER(SEARCH({"Formula","Roll-Up Summary"}, $B112))) &gt; 0,$B112 &amp; " (" &amp; $E112 &amp; ")",IF(SUMPRODUCT(-- ISNUMBER(SEARCH({"Content","Currency","Number","Percent","Text","URL"}, $B112))) &gt; 0,$B112 &amp; "(" &amp; $C112 &amp; ")",$B112)))), "  ", TRIM(IF($S112 = "YES", "(External ID)", "") &amp; " " &amp; IF(SUMPRODUCT(-- ISNUMBER(SEARCH({"Unique","Unique Case Insensitive"}, $R112))) &gt; 0, "(" &amp; $R112 &amp; ")", ""))))</f>
        <v>na</v>
      </c>
      <c r="E112" s="7" t="s">
        <v>195</v>
      </c>
      <c r="F112" s="7" t="s">
        <v>195</v>
      </c>
      <c r="G112" s="7" t="s">
        <v>195</v>
      </c>
      <c r="H112" s="7" t="s">
        <v>195</v>
      </c>
      <c r="I112" s="7" t="s">
        <v>195</v>
      </c>
      <c r="J112" s="7" t="s">
        <v>195</v>
      </c>
      <c r="K112" s="7" t="s">
        <v>195</v>
      </c>
      <c r="L112" s="7" t="s">
        <v>195</v>
      </c>
      <c r="M112" s="7" t="s">
        <v>29</v>
      </c>
      <c r="N112" s="7" t="s">
        <v>29</v>
      </c>
      <c r="O112" s="7" t="s">
        <v>29</v>
      </c>
      <c r="P112" s="7" t="s">
        <v>29</v>
      </c>
      <c r="Q112" s="7" t="s">
        <v>29</v>
      </c>
      <c r="R112" s="7" t="s">
        <v>29</v>
      </c>
      <c r="S112" s="7" t="s">
        <v>29</v>
      </c>
    </row>
    <row r="113" spans="2:19">
      <c r="B113" s="7" t="s">
        <v>195</v>
      </c>
      <c r="C113" s="8" t="s">
        <v>195</v>
      </c>
      <c r="D113" s="6" t="str">
        <f>LRTRIM(CONCATENATE(IF(SUMPRODUCT(-- ISNUMBER(SEARCH({"Auto Number"}, $B113))) &gt; 0, $B113, IF(SUMPRODUCT(-- ISNUMBER(SEARCH({"Lookup","Master-Detail"}, $B113))) &gt; 0,$B113 &amp; "(" &amp; $E113 &amp; ")",IF(SUMPRODUCT(-- ISNUMBER(SEARCH({"Formula","Roll-Up Summary"}, $B113))) &gt; 0,$B113 &amp; " (" &amp; $E113 &amp; ")",IF(SUMPRODUCT(-- ISNUMBER(SEARCH({"Content","Currency","Number","Percent","Text","URL"}, $B113))) &gt; 0,$B113 &amp; "(" &amp; $C113 &amp; ")",$B113)))), "  ", TRIM(IF($S113 = "YES", "(External ID)", "") &amp; " " &amp; IF(SUMPRODUCT(-- ISNUMBER(SEARCH({"Unique","Unique Case Insensitive"}, $R113))) &gt; 0, "(" &amp; $R113 &amp; ")", ""))))</f>
        <v>na</v>
      </c>
      <c r="E113" s="7" t="s">
        <v>195</v>
      </c>
      <c r="F113" s="7" t="s">
        <v>195</v>
      </c>
      <c r="G113" s="7" t="s">
        <v>195</v>
      </c>
      <c r="H113" s="7" t="s">
        <v>195</v>
      </c>
      <c r="I113" s="7" t="s">
        <v>195</v>
      </c>
      <c r="J113" s="7" t="s">
        <v>195</v>
      </c>
      <c r="K113" s="7" t="s">
        <v>195</v>
      </c>
      <c r="L113" s="7" t="s">
        <v>195</v>
      </c>
      <c r="M113" s="7" t="s">
        <v>29</v>
      </c>
      <c r="N113" s="7" t="s">
        <v>29</v>
      </c>
      <c r="O113" s="7" t="s">
        <v>29</v>
      </c>
      <c r="P113" s="7" t="s">
        <v>29</v>
      </c>
      <c r="Q113" s="7" t="s">
        <v>29</v>
      </c>
      <c r="R113" s="7" t="s">
        <v>29</v>
      </c>
      <c r="S113" s="7" t="s">
        <v>29</v>
      </c>
    </row>
    <row r="114" spans="2:19">
      <c r="B114" s="7" t="s">
        <v>195</v>
      </c>
      <c r="C114" s="8" t="s">
        <v>195</v>
      </c>
      <c r="D114" s="6" t="str">
        <f>LRTRIM(CONCATENATE(IF(SUMPRODUCT(-- ISNUMBER(SEARCH({"Auto Number"}, $B114))) &gt; 0, $B114, IF(SUMPRODUCT(-- ISNUMBER(SEARCH({"Lookup","Master-Detail"}, $B114))) &gt; 0,$B114 &amp; "(" &amp; $E114 &amp; ")",IF(SUMPRODUCT(-- ISNUMBER(SEARCH({"Formula","Roll-Up Summary"}, $B114))) &gt; 0,$B114 &amp; " (" &amp; $E114 &amp; ")",IF(SUMPRODUCT(-- ISNUMBER(SEARCH({"Content","Currency","Number","Percent","Text","URL"}, $B114))) &gt; 0,$B114 &amp; "(" &amp; $C114 &amp; ")",$B114)))), "  ", TRIM(IF($S114 = "YES", "(External ID)", "") &amp; " " &amp; IF(SUMPRODUCT(-- ISNUMBER(SEARCH({"Unique","Unique Case Insensitive"}, $R114))) &gt; 0, "(" &amp; $R114 &amp; ")", ""))))</f>
        <v>na</v>
      </c>
      <c r="E114" s="7" t="s">
        <v>195</v>
      </c>
      <c r="F114" s="7" t="s">
        <v>195</v>
      </c>
      <c r="G114" s="7" t="s">
        <v>195</v>
      </c>
      <c r="H114" s="7" t="s">
        <v>195</v>
      </c>
      <c r="I114" s="7" t="s">
        <v>195</v>
      </c>
      <c r="J114" s="7" t="s">
        <v>195</v>
      </c>
      <c r="K114" s="7" t="s">
        <v>195</v>
      </c>
      <c r="L114" s="7" t="s">
        <v>195</v>
      </c>
      <c r="M114" s="7" t="s">
        <v>29</v>
      </c>
      <c r="N114" s="7" t="s">
        <v>29</v>
      </c>
      <c r="O114" s="7" t="s">
        <v>29</v>
      </c>
      <c r="P114" s="7" t="s">
        <v>29</v>
      </c>
      <c r="Q114" s="7" t="s">
        <v>29</v>
      </c>
      <c r="R114" s="7" t="s">
        <v>29</v>
      </c>
      <c r="S114" s="7" t="s">
        <v>29</v>
      </c>
    </row>
    <row r="115" spans="2:19">
      <c r="B115" s="7" t="s">
        <v>195</v>
      </c>
      <c r="C115" s="8" t="s">
        <v>195</v>
      </c>
      <c r="D115" s="6" t="str">
        <f>LRTRIM(CONCATENATE(IF(SUMPRODUCT(-- ISNUMBER(SEARCH({"Auto Number"}, $B115))) &gt; 0, $B115, IF(SUMPRODUCT(-- ISNUMBER(SEARCH({"Lookup","Master-Detail"}, $B115))) &gt; 0,$B115 &amp; "(" &amp; $E115 &amp; ")",IF(SUMPRODUCT(-- ISNUMBER(SEARCH({"Formula","Roll-Up Summary"}, $B115))) &gt; 0,$B115 &amp; " (" &amp; $E115 &amp; ")",IF(SUMPRODUCT(-- ISNUMBER(SEARCH({"Content","Currency","Number","Percent","Text","URL"}, $B115))) &gt; 0,$B115 &amp; "(" &amp; $C115 &amp; ")",$B115)))), "  ", TRIM(IF($S115 = "YES", "(External ID)", "") &amp; " " &amp; IF(SUMPRODUCT(-- ISNUMBER(SEARCH({"Unique","Unique Case Insensitive"}, $R115))) &gt; 0, "(" &amp; $R115 &amp; ")", ""))))</f>
        <v>na</v>
      </c>
      <c r="E115" s="7" t="s">
        <v>195</v>
      </c>
      <c r="F115" s="7" t="s">
        <v>195</v>
      </c>
      <c r="G115" s="7" t="s">
        <v>195</v>
      </c>
      <c r="H115" s="7" t="s">
        <v>195</v>
      </c>
      <c r="I115" s="7" t="s">
        <v>195</v>
      </c>
      <c r="J115" s="7" t="s">
        <v>195</v>
      </c>
      <c r="K115" s="7" t="s">
        <v>195</v>
      </c>
      <c r="L115" s="7" t="s">
        <v>195</v>
      </c>
      <c r="M115" s="7" t="s">
        <v>29</v>
      </c>
      <c r="N115" s="7" t="s">
        <v>29</v>
      </c>
      <c r="O115" s="7" t="s">
        <v>29</v>
      </c>
      <c r="P115" s="7" t="s">
        <v>29</v>
      </c>
      <c r="Q115" s="7" t="s">
        <v>29</v>
      </c>
      <c r="R115" s="7" t="s">
        <v>29</v>
      </c>
      <c r="S115" s="7" t="s">
        <v>29</v>
      </c>
    </row>
    <row r="116" spans="2:19">
      <c r="B116" s="7" t="s">
        <v>195</v>
      </c>
      <c r="C116" s="8" t="s">
        <v>195</v>
      </c>
      <c r="D116" s="6" t="str">
        <f>LRTRIM(CONCATENATE(IF(SUMPRODUCT(-- ISNUMBER(SEARCH({"Auto Number"}, $B116))) &gt; 0, $B116, IF(SUMPRODUCT(-- ISNUMBER(SEARCH({"Lookup","Master-Detail"}, $B116))) &gt; 0,$B116 &amp; "(" &amp; $E116 &amp; ")",IF(SUMPRODUCT(-- ISNUMBER(SEARCH({"Formula","Roll-Up Summary"}, $B116))) &gt; 0,$B116 &amp; " (" &amp; $E116 &amp; ")",IF(SUMPRODUCT(-- ISNUMBER(SEARCH({"Content","Currency","Number","Percent","Text","URL"}, $B116))) &gt; 0,$B116 &amp; "(" &amp; $C116 &amp; ")",$B116)))), "  ", TRIM(IF($S116 = "YES", "(External ID)", "") &amp; " " &amp; IF(SUMPRODUCT(-- ISNUMBER(SEARCH({"Unique","Unique Case Insensitive"}, $R116))) &gt; 0, "(" &amp; $R116 &amp; ")", ""))))</f>
        <v>na</v>
      </c>
      <c r="E116" s="7" t="s">
        <v>195</v>
      </c>
      <c r="F116" s="7" t="s">
        <v>195</v>
      </c>
      <c r="G116" s="7" t="s">
        <v>195</v>
      </c>
      <c r="H116" s="7" t="s">
        <v>195</v>
      </c>
      <c r="I116" s="7" t="s">
        <v>195</v>
      </c>
      <c r="J116" s="7" t="s">
        <v>195</v>
      </c>
      <c r="K116" s="7" t="s">
        <v>195</v>
      </c>
      <c r="L116" s="7" t="s">
        <v>195</v>
      </c>
      <c r="M116" s="7" t="s">
        <v>29</v>
      </c>
      <c r="N116" s="7" t="s">
        <v>29</v>
      </c>
      <c r="O116" s="7" t="s">
        <v>29</v>
      </c>
      <c r="P116" s="7" t="s">
        <v>29</v>
      </c>
      <c r="Q116" s="7" t="s">
        <v>29</v>
      </c>
      <c r="R116" s="7" t="s">
        <v>29</v>
      </c>
      <c r="S116" s="7" t="s">
        <v>29</v>
      </c>
    </row>
    <row r="117" spans="2:19">
      <c r="B117" s="7" t="s">
        <v>195</v>
      </c>
      <c r="C117" s="8" t="s">
        <v>195</v>
      </c>
      <c r="D117" s="6" t="str">
        <f>LRTRIM(CONCATENATE(IF(SUMPRODUCT(-- ISNUMBER(SEARCH({"Auto Number"}, $B117))) &gt; 0, $B117, IF(SUMPRODUCT(-- ISNUMBER(SEARCH({"Lookup","Master-Detail"}, $B117))) &gt; 0,$B117 &amp; "(" &amp; $E117 &amp; ")",IF(SUMPRODUCT(-- ISNUMBER(SEARCH({"Formula","Roll-Up Summary"}, $B117))) &gt; 0,$B117 &amp; " (" &amp; $E117 &amp; ")",IF(SUMPRODUCT(-- ISNUMBER(SEARCH({"Content","Currency","Number","Percent","Text","URL"}, $B117))) &gt; 0,$B117 &amp; "(" &amp; $C117 &amp; ")",$B117)))), "  ", TRIM(IF($S117 = "YES", "(External ID)", "") &amp; " " &amp; IF(SUMPRODUCT(-- ISNUMBER(SEARCH({"Unique","Unique Case Insensitive"}, $R117))) &gt; 0, "(" &amp; $R117 &amp; ")", ""))))</f>
        <v>na</v>
      </c>
      <c r="E117" s="7" t="s">
        <v>195</v>
      </c>
      <c r="F117" s="7" t="s">
        <v>195</v>
      </c>
      <c r="G117" s="7" t="s">
        <v>195</v>
      </c>
      <c r="H117" s="7" t="s">
        <v>195</v>
      </c>
      <c r="I117" s="7" t="s">
        <v>195</v>
      </c>
      <c r="J117" s="7" t="s">
        <v>195</v>
      </c>
      <c r="K117" s="7" t="s">
        <v>195</v>
      </c>
      <c r="L117" s="7" t="s">
        <v>195</v>
      </c>
      <c r="M117" s="7" t="s">
        <v>29</v>
      </c>
      <c r="N117" s="7" t="s">
        <v>29</v>
      </c>
      <c r="O117" s="7" t="s">
        <v>29</v>
      </c>
      <c r="P117" s="7" t="s">
        <v>29</v>
      </c>
      <c r="Q117" s="7" t="s">
        <v>29</v>
      </c>
      <c r="R117" s="7" t="s">
        <v>29</v>
      </c>
      <c r="S117" s="7" t="s">
        <v>29</v>
      </c>
    </row>
    <row r="118" spans="2:19">
      <c r="B118" s="7" t="s">
        <v>195</v>
      </c>
      <c r="C118" s="8" t="s">
        <v>195</v>
      </c>
      <c r="D118" s="6" t="str">
        <f>LRTRIM(CONCATENATE(IF(SUMPRODUCT(-- ISNUMBER(SEARCH({"Auto Number"}, $B118))) &gt; 0, $B118, IF(SUMPRODUCT(-- ISNUMBER(SEARCH({"Lookup","Master-Detail"}, $B118))) &gt; 0,$B118 &amp; "(" &amp; $E118 &amp; ")",IF(SUMPRODUCT(-- ISNUMBER(SEARCH({"Formula","Roll-Up Summary"}, $B118))) &gt; 0,$B118 &amp; " (" &amp; $E118 &amp; ")",IF(SUMPRODUCT(-- ISNUMBER(SEARCH({"Content","Currency","Number","Percent","Text","URL"}, $B118))) &gt; 0,$B118 &amp; "(" &amp; $C118 &amp; ")",$B118)))), "  ", TRIM(IF($S118 = "YES", "(External ID)", "") &amp; " " &amp; IF(SUMPRODUCT(-- ISNUMBER(SEARCH({"Unique","Unique Case Insensitive"}, $R118))) &gt; 0, "(" &amp; $R118 &amp; ")", ""))))</f>
        <v>na</v>
      </c>
      <c r="E118" s="7" t="s">
        <v>195</v>
      </c>
      <c r="F118" s="7" t="s">
        <v>195</v>
      </c>
      <c r="G118" s="7" t="s">
        <v>195</v>
      </c>
      <c r="H118" s="7" t="s">
        <v>195</v>
      </c>
      <c r="I118" s="7" t="s">
        <v>195</v>
      </c>
      <c r="J118" s="7" t="s">
        <v>195</v>
      </c>
      <c r="K118" s="7" t="s">
        <v>195</v>
      </c>
      <c r="L118" s="7" t="s">
        <v>195</v>
      </c>
      <c r="M118" s="7" t="s">
        <v>29</v>
      </c>
      <c r="N118" s="7" t="s">
        <v>29</v>
      </c>
      <c r="O118" s="7" t="s">
        <v>29</v>
      </c>
      <c r="P118" s="7" t="s">
        <v>29</v>
      </c>
      <c r="Q118" s="7" t="s">
        <v>29</v>
      </c>
      <c r="R118" s="7" t="s">
        <v>29</v>
      </c>
      <c r="S118" s="7" t="s">
        <v>29</v>
      </c>
    </row>
    <row r="119" spans="2:19">
      <c r="B119" s="7" t="s">
        <v>195</v>
      </c>
      <c r="C119" s="8" t="s">
        <v>195</v>
      </c>
      <c r="D119" s="6" t="str">
        <f>LRTRIM(CONCATENATE(IF(SUMPRODUCT(-- ISNUMBER(SEARCH({"Auto Number"}, $B119))) &gt; 0, $B119, IF(SUMPRODUCT(-- ISNUMBER(SEARCH({"Lookup","Master-Detail"}, $B119))) &gt; 0,$B119 &amp; "(" &amp; $E119 &amp; ")",IF(SUMPRODUCT(-- ISNUMBER(SEARCH({"Formula","Roll-Up Summary"}, $B119))) &gt; 0,$B119 &amp; " (" &amp; $E119 &amp; ")",IF(SUMPRODUCT(-- ISNUMBER(SEARCH({"Content","Currency","Number","Percent","Text","URL"}, $B119))) &gt; 0,$B119 &amp; "(" &amp; $C119 &amp; ")",$B119)))), "  ", TRIM(IF($S119 = "YES", "(External ID)", "") &amp; " " &amp; IF(SUMPRODUCT(-- ISNUMBER(SEARCH({"Unique","Unique Case Insensitive"}, $R119))) &gt; 0, "(" &amp; $R119 &amp; ")", ""))))</f>
        <v>na</v>
      </c>
      <c r="E119" s="7" t="s">
        <v>195</v>
      </c>
      <c r="F119" s="7" t="s">
        <v>195</v>
      </c>
      <c r="G119" s="7" t="s">
        <v>195</v>
      </c>
      <c r="H119" s="7" t="s">
        <v>195</v>
      </c>
      <c r="I119" s="7" t="s">
        <v>195</v>
      </c>
      <c r="J119" s="7" t="s">
        <v>195</v>
      </c>
      <c r="K119" s="7" t="s">
        <v>195</v>
      </c>
      <c r="L119" s="7" t="s">
        <v>195</v>
      </c>
      <c r="M119" s="7" t="s">
        <v>29</v>
      </c>
      <c r="N119" s="7" t="s">
        <v>29</v>
      </c>
      <c r="O119" s="7" t="s">
        <v>29</v>
      </c>
      <c r="P119" s="7" t="s">
        <v>29</v>
      </c>
      <c r="Q119" s="7" t="s">
        <v>29</v>
      </c>
      <c r="R119" s="7" t="s">
        <v>29</v>
      </c>
      <c r="S119" s="7" t="s">
        <v>29</v>
      </c>
    </row>
    <row r="120" spans="2:19">
      <c r="B120" s="7" t="s">
        <v>195</v>
      </c>
      <c r="C120" s="8" t="s">
        <v>195</v>
      </c>
      <c r="D120" s="6" t="str">
        <f>LRTRIM(CONCATENATE(IF(SUMPRODUCT(-- ISNUMBER(SEARCH({"Auto Number"}, $B120))) &gt; 0, $B120, IF(SUMPRODUCT(-- ISNUMBER(SEARCH({"Lookup","Master-Detail"}, $B120))) &gt; 0,$B120 &amp; "(" &amp; $E120 &amp; ")",IF(SUMPRODUCT(-- ISNUMBER(SEARCH({"Formula","Roll-Up Summary"}, $B120))) &gt; 0,$B120 &amp; " (" &amp; $E120 &amp; ")",IF(SUMPRODUCT(-- ISNUMBER(SEARCH({"Content","Currency","Number","Percent","Text","URL"}, $B120))) &gt; 0,$B120 &amp; "(" &amp; $C120 &amp; ")",$B120)))), "  ", TRIM(IF($S120 = "YES", "(External ID)", "") &amp; " " &amp; IF(SUMPRODUCT(-- ISNUMBER(SEARCH({"Unique","Unique Case Insensitive"}, $R120))) &gt; 0, "(" &amp; $R120 &amp; ")", ""))))</f>
        <v>na</v>
      </c>
      <c r="E120" s="7" t="s">
        <v>195</v>
      </c>
      <c r="F120" s="7" t="s">
        <v>195</v>
      </c>
      <c r="G120" s="7" t="s">
        <v>195</v>
      </c>
      <c r="H120" s="7" t="s">
        <v>195</v>
      </c>
      <c r="I120" s="7" t="s">
        <v>195</v>
      </c>
      <c r="J120" s="7" t="s">
        <v>195</v>
      </c>
      <c r="K120" s="7" t="s">
        <v>195</v>
      </c>
      <c r="L120" s="7" t="s">
        <v>195</v>
      </c>
      <c r="M120" s="7" t="s">
        <v>29</v>
      </c>
      <c r="N120" s="7" t="s">
        <v>29</v>
      </c>
      <c r="O120" s="7" t="s">
        <v>29</v>
      </c>
      <c r="P120" s="7" t="s">
        <v>29</v>
      </c>
      <c r="Q120" s="7" t="s">
        <v>29</v>
      </c>
      <c r="R120" s="7" t="s">
        <v>29</v>
      </c>
      <c r="S120" s="7" t="s">
        <v>29</v>
      </c>
    </row>
    <row r="121" spans="2:19">
      <c r="B121" s="7" t="s">
        <v>195</v>
      </c>
      <c r="C121" s="8" t="s">
        <v>195</v>
      </c>
      <c r="D121" s="6" t="str">
        <f>LRTRIM(CONCATENATE(IF(SUMPRODUCT(-- ISNUMBER(SEARCH({"Auto Number"}, $B121))) &gt; 0, $B121, IF(SUMPRODUCT(-- ISNUMBER(SEARCH({"Lookup","Master-Detail"}, $B121))) &gt; 0,$B121 &amp; "(" &amp; $E121 &amp; ")",IF(SUMPRODUCT(-- ISNUMBER(SEARCH({"Formula","Roll-Up Summary"}, $B121))) &gt; 0,$B121 &amp; " (" &amp; $E121 &amp; ")",IF(SUMPRODUCT(-- ISNUMBER(SEARCH({"Content","Currency","Number","Percent","Text","URL"}, $B121))) &gt; 0,$B121 &amp; "(" &amp; $C121 &amp; ")",$B121)))), "  ", TRIM(IF($S121 = "YES", "(External ID)", "") &amp; " " &amp; IF(SUMPRODUCT(-- ISNUMBER(SEARCH({"Unique","Unique Case Insensitive"}, $R121))) &gt; 0, "(" &amp; $R121 &amp; ")", ""))))</f>
        <v>na</v>
      </c>
      <c r="E121" s="7" t="s">
        <v>195</v>
      </c>
      <c r="F121" s="7" t="s">
        <v>195</v>
      </c>
      <c r="G121" s="7" t="s">
        <v>195</v>
      </c>
      <c r="H121" s="7" t="s">
        <v>195</v>
      </c>
      <c r="I121" s="7" t="s">
        <v>195</v>
      </c>
      <c r="J121" s="7" t="s">
        <v>195</v>
      </c>
      <c r="K121" s="7" t="s">
        <v>195</v>
      </c>
      <c r="L121" s="7" t="s">
        <v>195</v>
      </c>
      <c r="M121" s="7" t="s">
        <v>29</v>
      </c>
      <c r="N121" s="7" t="s">
        <v>29</v>
      </c>
      <c r="O121" s="7" t="s">
        <v>29</v>
      </c>
      <c r="P121" s="7" t="s">
        <v>29</v>
      </c>
      <c r="Q121" s="7" t="s">
        <v>29</v>
      </c>
      <c r="R121" s="7" t="s">
        <v>29</v>
      </c>
      <c r="S121" s="7" t="s">
        <v>29</v>
      </c>
    </row>
    <row r="122" spans="2:19">
      <c r="B122" s="7" t="s">
        <v>195</v>
      </c>
      <c r="C122" s="8" t="s">
        <v>195</v>
      </c>
      <c r="D122" s="6" t="str">
        <f>LRTRIM(CONCATENATE(IF(SUMPRODUCT(-- ISNUMBER(SEARCH({"Auto Number"}, $B122))) &gt; 0, $B122, IF(SUMPRODUCT(-- ISNUMBER(SEARCH({"Lookup","Master-Detail"}, $B122))) &gt; 0,$B122 &amp; "(" &amp; $E122 &amp; ")",IF(SUMPRODUCT(-- ISNUMBER(SEARCH({"Formula","Roll-Up Summary"}, $B122))) &gt; 0,$B122 &amp; " (" &amp; $E122 &amp; ")",IF(SUMPRODUCT(-- ISNUMBER(SEARCH({"Content","Currency","Number","Percent","Text","URL"}, $B122))) &gt; 0,$B122 &amp; "(" &amp; $C122 &amp; ")",$B122)))), "  ", TRIM(IF($S122 = "YES", "(External ID)", "") &amp; " " &amp; IF(SUMPRODUCT(-- ISNUMBER(SEARCH({"Unique","Unique Case Insensitive"}, $R122))) &gt; 0, "(" &amp; $R122 &amp; ")", ""))))</f>
        <v>na</v>
      </c>
      <c r="E122" s="7" t="s">
        <v>195</v>
      </c>
      <c r="F122" s="7" t="s">
        <v>195</v>
      </c>
      <c r="G122" s="7" t="s">
        <v>195</v>
      </c>
      <c r="H122" s="7" t="s">
        <v>195</v>
      </c>
      <c r="I122" s="7" t="s">
        <v>195</v>
      </c>
      <c r="J122" s="7" t="s">
        <v>195</v>
      </c>
      <c r="K122" s="7" t="s">
        <v>195</v>
      </c>
      <c r="L122" s="7" t="s">
        <v>195</v>
      </c>
      <c r="M122" s="7" t="s">
        <v>29</v>
      </c>
      <c r="N122" s="7" t="s">
        <v>29</v>
      </c>
      <c r="O122" s="7" t="s">
        <v>29</v>
      </c>
      <c r="P122" s="7" t="s">
        <v>29</v>
      </c>
      <c r="Q122" s="7" t="s">
        <v>29</v>
      </c>
      <c r="R122" s="7" t="s">
        <v>29</v>
      </c>
      <c r="S122" s="7" t="s">
        <v>29</v>
      </c>
    </row>
    <row r="123" spans="2:19">
      <c r="B123" s="7" t="s">
        <v>195</v>
      </c>
      <c r="C123" s="8" t="s">
        <v>195</v>
      </c>
      <c r="D123" s="6" t="str">
        <f>LRTRIM(CONCATENATE(IF(SUMPRODUCT(-- ISNUMBER(SEARCH({"Auto Number"}, $B123))) &gt; 0, $B123, IF(SUMPRODUCT(-- ISNUMBER(SEARCH({"Lookup","Master-Detail"}, $B123))) &gt; 0,$B123 &amp; "(" &amp; $E123 &amp; ")",IF(SUMPRODUCT(-- ISNUMBER(SEARCH({"Formula","Roll-Up Summary"}, $B123))) &gt; 0,$B123 &amp; " (" &amp; $E123 &amp; ")",IF(SUMPRODUCT(-- ISNUMBER(SEARCH({"Content","Currency","Number","Percent","Text","URL"}, $B123))) &gt; 0,$B123 &amp; "(" &amp; $C123 &amp; ")",$B123)))), "  ", TRIM(IF($S123 = "YES", "(External ID)", "") &amp; " " &amp; IF(SUMPRODUCT(-- ISNUMBER(SEARCH({"Unique","Unique Case Insensitive"}, $R123))) &gt; 0, "(" &amp; $R123 &amp; ")", ""))))</f>
        <v>na</v>
      </c>
      <c r="E123" s="7" t="s">
        <v>195</v>
      </c>
      <c r="F123" s="7" t="s">
        <v>195</v>
      </c>
      <c r="G123" s="7" t="s">
        <v>195</v>
      </c>
      <c r="H123" s="7" t="s">
        <v>195</v>
      </c>
      <c r="I123" s="7" t="s">
        <v>195</v>
      </c>
      <c r="J123" s="7" t="s">
        <v>195</v>
      </c>
      <c r="K123" s="7" t="s">
        <v>195</v>
      </c>
      <c r="L123" s="7" t="s">
        <v>195</v>
      </c>
      <c r="M123" s="7" t="s">
        <v>29</v>
      </c>
      <c r="N123" s="7" t="s">
        <v>29</v>
      </c>
      <c r="O123" s="7" t="s">
        <v>29</v>
      </c>
      <c r="P123" s="7" t="s">
        <v>29</v>
      </c>
      <c r="Q123" s="7" t="s">
        <v>29</v>
      </c>
      <c r="R123" s="7" t="s">
        <v>29</v>
      </c>
      <c r="S123" s="7" t="s">
        <v>29</v>
      </c>
    </row>
    <row r="124" spans="2:19">
      <c r="B124" s="7" t="s">
        <v>195</v>
      </c>
      <c r="C124" s="8" t="s">
        <v>195</v>
      </c>
      <c r="D124" s="6" t="str">
        <f>LRTRIM(CONCATENATE(IF(SUMPRODUCT(-- ISNUMBER(SEARCH({"Auto Number"}, $B124))) &gt; 0, $B124, IF(SUMPRODUCT(-- ISNUMBER(SEARCH({"Lookup","Master-Detail"}, $B124))) &gt; 0,$B124 &amp; "(" &amp; $E124 &amp; ")",IF(SUMPRODUCT(-- ISNUMBER(SEARCH({"Formula","Roll-Up Summary"}, $B124))) &gt; 0,$B124 &amp; " (" &amp; $E124 &amp; ")",IF(SUMPRODUCT(-- ISNUMBER(SEARCH({"Content","Currency","Number","Percent","Text","URL"}, $B124))) &gt; 0,$B124 &amp; "(" &amp; $C124 &amp; ")",$B124)))), "  ", TRIM(IF($S124 = "YES", "(External ID)", "") &amp; " " &amp; IF(SUMPRODUCT(-- ISNUMBER(SEARCH({"Unique","Unique Case Insensitive"}, $R124))) &gt; 0, "(" &amp; $R124 &amp; ")", ""))))</f>
        <v>na</v>
      </c>
      <c r="E124" s="7" t="s">
        <v>195</v>
      </c>
      <c r="F124" s="7" t="s">
        <v>195</v>
      </c>
      <c r="G124" s="7" t="s">
        <v>195</v>
      </c>
      <c r="H124" s="7" t="s">
        <v>195</v>
      </c>
      <c r="I124" s="7" t="s">
        <v>195</v>
      </c>
      <c r="J124" s="7" t="s">
        <v>195</v>
      </c>
      <c r="K124" s="7" t="s">
        <v>195</v>
      </c>
      <c r="L124" s="7" t="s">
        <v>195</v>
      </c>
      <c r="M124" s="7" t="s">
        <v>29</v>
      </c>
      <c r="N124" s="7" t="s">
        <v>29</v>
      </c>
      <c r="O124" s="7" t="s">
        <v>29</v>
      </c>
      <c r="P124" s="7" t="s">
        <v>29</v>
      </c>
      <c r="Q124" s="7" t="s">
        <v>29</v>
      </c>
      <c r="R124" s="7" t="s">
        <v>29</v>
      </c>
      <c r="S124" s="7" t="s">
        <v>29</v>
      </c>
    </row>
    <row r="125" spans="2:19">
      <c r="B125" s="7" t="s">
        <v>195</v>
      </c>
      <c r="C125" s="8" t="s">
        <v>195</v>
      </c>
      <c r="D125" s="6" t="str">
        <f>LRTRIM(CONCATENATE(IF(SUMPRODUCT(-- ISNUMBER(SEARCH({"Auto Number"}, $B125))) &gt; 0, $B125, IF(SUMPRODUCT(-- ISNUMBER(SEARCH({"Lookup","Master-Detail"}, $B125))) &gt; 0,$B125 &amp; "(" &amp; $E125 &amp; ")",IF(SUMPRODUCT(-- ISNUMBER(SEARCH({"Formula","Roll-Up Summary"}, $B125))) &gt; 0,$B125 &amp; " (" &amp; $E125 &amp; ")",IF(SUMPRODUCT(-- ISNUMBER(SEARCH({"Content","Currency","Number","Percent","Text","URL"}, $B125))) &gt; 0,$B125 &amp; "(" &amp; $C125 &amp; ")",$B125)))), "  ", TRIM(IF($S125 = "YES", "(External ID)", "") &amp; " " &amp; IF(SUMPRODUCT(-- ISNUMBER(SEARCH({"Unique","Unique Case Insensitive"}, $R125))) &gt; 0, "(" &amp; $R125 &amp; ")", ""))))</f>
        <v>na</v>
      </c>
      <c r="E125" s="7" t="s">
        <v>195</v>
      </c>
      <c r="F125" s="7" t="s">
        <v>195</v>
      </c>
      <c r="G125" s="7" t="s">
        <v>195</v>
      </c>
      <c r="H125" s="7" t="s">
        <v>195</v>
      </c>
      <c r="I125" s="7" t="s">
        <v>195</v>
      </c>
      <c r="J125" s="7" t="s">
        <v>195</v>
      </c>
      <c r="K125" s="7" t="s">
        <v>195</v>
      </c>
      <c r="L125" s="7" t="s">
        <v>195</v>
      </c>
      <c r="M125" s="7" t="s">
        <v>29</v>
      </c>
      <c r="N125" s="7" t="s">
        <v>29</v>
      </c>
      <c r="O125" s="7" t="s">
        <v>29</v>
      </c>
      <c r="P125" s="7" t="s">
        <v>29</v>
      </c>
      <c r="Q125" s="7" t="s">
        <v>29</v>
      </c>
      <c r="R125" s="7" t="s">
        <v>29</v>
      </c>
      <c r="S125" s="7" t="s">
        <v>29</v>
      </c>
    </row>
    <row r="126" spans="2:19">
      <c r="B126" s="7" t="s">
        <v>195</v>
      </c>
      <c r="C126" s="8" t="s">
        <v>195</v>
      </c>
      <c r="D126" s="6" t="str">
        <f>LRTRIM(CONCATENATE(IF(SUMPRODUCT(-- ISNUMBER(SEARCH({"Auto Number"}, $B126))) &gt; 0, $B126, IF(SUMPRODUCT(-- ISNUMBER(SEARCH({"Lookup","Master-Detail"}, $B126))) &gt; 0,$B126 &amp; "(" &amp; $E126 &amp; ")",IF(SUMPRODUCT(-- ISNUMBER(SEARCH({"Formula","Roll-Up Summary"}, $B126))) &gt; 0,$B126 &amp; " (" &amp; $E126 &amp; ")",IF(SUMPRODUCT(-- ISNUMBER(SEARCH({"Content","Currency","Number","Percent","Text","URL"}, $B126))) &gt; 0,$B126 &amp; "(" &amp; $C126 &amp; ")",$B126)))), "  ", TRIM(IF($S126 = "YES", "(External ID)", "") &amp; " " &amp; IF(SUMPRODUCT(-- ISNUMBER(SEARCH({"Unique","Unique Case Insensitive"}, $R126))) &gt; 0, "(" &amp; $R126 &amp; ")", ""))))</f>
        <v>na</v>
      </c>
      <c r="E126" s="7" t="s">
        <v>195</v>
      </c>
      <c r="F126" s="7" t="s">
        <v>195</v>
      </c>
      <c r="G126" s="7" t="s">
        <v>195</v>
      </c>
      <c r="H126" s="7" t="s">
        <v>195</v>
      </c>
      <c r="I126" s="7" t="s">
        <v>195</v>
      </c>
      <c r="J126" s="7" t="s">
        <v>195</v>
      </c>
      <c r="K126" s="7" t="s">
        <v>195</v>
      </c>
      <c r="L126" s="7" t="s">
        <v>195</v>
      </c>
      <c r="M126" s="7" t="s">
        <v>29</v>
      </c>
      <c r="N126" s="7" t="s">
        <v>29</v>
      </c>
      <c r="O126" s="7" t="s">
        <v>29</v>
      </c>
      <c r="P126" s="7" t="s">
        <v>29</v>
      </c>
      <c r="Q126" s="7" t="s">
        <v>29</v>
      </c>
      <c r="R126" s="7" t="s">
        <v>29</v>
      </c>
      <c r="S126" s="7" t="s">
        <v>29</v>
      </c>
    </row>
    <row r="127" spans="2:19">
      <c r="B127" s="7" t="s">
        <v>195</v>
      </c>
      <c r="C127" s="8" t="s">
        <v>195</v>
      </c>
      <c r="D127" s="6" t="str">
        <f>LRTRIM(CONCATENATE(IF(SUMPRODUCT(-- ISNUMBER(SEARCH({"Auto Number"}, $B127))) &gt; 0, $B127, IF(SUMPRODUCT(-- ISNUMBER(SEARCH({"Lookup","Master-Detail"}, $B127))) &gt; 0,$B127 &amp; "(" &amp; $E127 &amp; ")",IF(SUMPRODUCT(-- ISNUMBER(SEARCH({"Formula","Roll-Up Summary"}, $B127))) &gt; 0,$B127 &amp; " (" &amp; $E127 &amp; ")",IF(SUMPRODUCT(-- ISNUMBER(SEARCH({"Content","Currency","Number","Percent","Text","URL"}, $B127))) &gt; 0,$B127 &amp; "(" &amp; $C127 &amp; ")",$B127)))), "  ", TRIM(IF($S127 = "YES", "(External ID)", "") &amp; " " &amp; IF(SUMPRODUCT(-- ISNUMBER(SEARCH({"Unique","Unique Case Insensitive"}, $R127))) &gt; 0, "(" &amp; $R127 &amp; ")", ""))))</f>
        <v>na</v>
      </c>
      <c r="E127" s="7" t="s">
        <v>195</v>
      </c>
      <c r="F127" s="7" t="s">
        <v>195</v>
      </c>
      <c r="G127" s="7" t="s">
        <v>195</v>
      </c>
      <c r="H127" s="7" t="s">
        <v>195</v>
      </c>
      <c r="I127" s="7" t="s">
        <v>195</v>
      </c>
      <c r="J127" s="7" t="s">
        <v>195</v>
      </c>
      <c r="K127" s="7" t="s">
        <v>195</v>
      </c>
      <c r="L127" s="7" t="s">
        <v>195</v>
      </c>
      <c r="M127" s="7" t="s">
        <v>29</v>
      </c>
      <c r="N127" s="7" t="s">
        <v>29</v>
      </c>
      <c r="O127" s="7" t="s">
        <v>29</v>
      </c>
      <c r="P127" s="7" t="s">
        <v>29</v>
      </c>
      <c r="Q127" s="7" t="s">
        <v>29</v>
      </c>
      <c r="R127" s="7" t="s">
        <v>29</v>
      </c>
      <c r="S127" s="7" t="s">
        <v>29</v>
      </c>
    </row>
    <row r="128" spans="2:19">
      <c r="B128" s="7" t="s">
        <v>195</v>
      </c>
      <c r="C128" s="8" t="s">
        <v>195</v>
      </c>
      <c r="D128" s="6" t="str">
        <f>LRTRIM(CONCATENATE(IF(SUMPRODUCT(-- ISNUMBER(SEARCH({"Auto Number"}, $B128))) &gt; 0, $B128, IF(SUMPRODUCT(-- ISNUMBER(SEARCH({"Lookup","Master-Detail"}, $B128))) &gt; 0,$B128 &amp; "(" &amp; $E128 &amp; ")",IF(SUMPRODUCT(-- ISNUMBER(SEARCH({"Formula","Roll-Up Summary"}, $B128))) &gt; 0,$B128 &amp; " (" &amp; $E128 &amp; ")",IF(SUMPRODUCT(-- ISNUMBER(SEARCH({"Content","Currency","Number","Percent","Text","URL"}, $B128))) &gt; 0,$B128 &amp; "(" &amp; $C128 &amp; ")",$B128)))), "  ", TRIM(IF($S128 = "YES", "(External ID)", "") &amp; " " &amp; IF(SUMPRODUCT(-- ISNUMBER(SEARCH({"Unique","Unique Case Insensitive"}, $R128))) &gt; 0, "(" &amp; $R128 &amp; ")", ""))))</f>
        <v>na</v>
      </c>
      <c r="E128" s="7" t="s">
        <v>195</v>
      </c>
      <c r="F128" s="7" t="s">
        <v>195</v>
      </c>
      <c r="G128" s="7" t="s">
        <v>195</v>
      </c>
      <c r="H128" s="7" t="s">
        <v>195</v>
      </c>
      <c r="I128" s="7" t="s">
        <v>195</v>
      </c>
      <c r="J128" s="7" t="s">
        <v>195</v>
      </c>
      <c r="K128" s="7" t="s">
        <v>195</v>
      </c>
      <c r="L128" s="7" t="s">
        <v>195</v>
      </c>
      <c r="M128" s="7" t="s">
        <v>29</v>
      </c>
      <c r="N128" s="7" t="s">
        <v>29</v>
      </c>
      <c r="O128" s="7" t="s">
        <v>29</v>
      </c>
      <c r="P128" s="7" t="s">
        <v>29</v>
      </c>
      <c r="Q128" s="7" t="s">
        <v>29</v>
      </c>
      <c r="R128" s="7" t="s">
        <v>29</v>
      </c>
      <c r="S128" s="7" t="s">
        <v>29</v>
      </c>
    </row>
    <row r="129" spans="2:19">
      <c r="B129" s="7" t="s">
        <v>195</v>
      </c>
      <c r="C129" s="8" t="s">
        <v>195</v>
      </c>
      <c r="D129" s="6" t="str">
        <f>LRTRIM(CONCATENATE(IF(SUMPRODUCT(-- ISNUMBER(SEARCH({"Auto Number"}, $B129))) &gt; 0, $B129, IF(SUMPRODUCT(-- ISNUMBER(SEARCH({"Lookup","Master-Detail"}, $B129))) &gt; 0,$B129 &amp; "(" &amp; $E129 &amp; ")",IF(SUMPRODUCT(-- ISNUMBER(SEARCH({"Formula","Roll-Up Summary"}, $B129))) &gt; 0,$B129 &amp; " (" &amp; $E129 &amp; ")",IF(SUMPRODUCT(-- ISNUMBER(SEARCH({"Content","Currency","Number","Percent","Text","URL"}, $B129))) &gt; 0,$B129 &amp; "(" &amp; $C129 &amp; ")",$B129)))), "  ", TRIM(IF($S129 = "YES", "(External ID)", "") &amp; " " &amp; IF(SUMPRODUCT(-- ISNUMBER(SEARCH({"Unique","Unique Case Insensitive"}, $R129))) &gt; 0, "(" &amp; $R129 &amp; ")", ""))))</f>
        <v>na</v>
      </c>
      <c r="E129" s="7" t="s">
        <v>195</v>
      </c>
      <c r="F129" s="7" t="s">
        <v>195</v>
      </c>
      <c r="G129" s="7" t="s">
        <v>195</v>
      </c>
      <c r="H129" s="7" t="s">
        <v>195</v>
      </c>
      <c r="I129" s="7" t="s">
        <v>195</v>
      </c>
      <c r="J129" s="7" t="s">
        <v>195</v>
      </c>
      <c r="K129" s="7" t="s">
        <v>195</v>
      </c>
      <c r="L129" s="7" t="s">
        <v>195</v>
      </c>
      <c r="M129" s="7" t="s">
        <v>29</v>
      </c>
      <c r="N129" s="7" t="s">
        <v>29</v>
      </c>
      <c r="O129" s="7" t="s">
        <v>29</v>
      </c>
      <c r="P129" s="7" t="s">
        <v>29</v>
      </c>
      <c r="Q129" s="7" t="s">
        <v>29</v>
      </c>
      <c r="R129" s="7" t="s">
        <v>29</v>
      </c>
      <c r="S129" s="7" t="s">
        <v>29</v>
      </c>
    </row>
    <row r="130" spans="2:19">
      <c r="B130" s="7" t="s">
        <v>195</v>
      </c>
      <c r="C130" s="8" t="s">
        <v>195</v>
      </c>
      <c r="D130" s="6" t="str">
        <f>LRTRIM(CONCATENATE(IF(SUMPRODUCT(-- ISNUMBER(SEARCH({"Auto Number"}, $B130))) &gt; 0, $B130, IF(SUMPRODUCT(-- ISNUMBER(SEARCH({"Lookup","Master-Detail"}, $B130))) &gt; 0,$B130 &amp; "(" &amp; $E130 &amp; ")",IF(SUMPRODUCT(-- ISNUMBER(SEARCH({"Formula","Roll-Up Summary"}, $B130))) &gt; 0,$B130 &amp; " (" &amp; $E130 &amp; ")",IF(SUMPRODUCT(-- ISNUMBER(SEARCH({"Content","Currency","Number","Percent","Text","URL"}, $B130))) &gt; 0,$B130 &amp; "(" &amp; $C130 &amp; ")",$B130)))), "  ", TRIM(IF($S130 = "YES", "(External ID)", "") &amp; " " &amp; IF(SUMPRODUCT(-- ISNUMBER(SEARCH({"Unique","Unique Case Insensitive"}, $R130))) &gt; 0, "(" &amp; $R130 &amp; ")", ""))))</f>
        <v>na</v>
      </c>
      <c r="E130" s="7" t="s">
        <v>195</v>
      </c>
      <c r="F130" s="7" t="s">
        <v>195</v>
      </c>
      <c r="G130" s="7" t="s">
        <v>195</v>
      </c>
      <c r="H130" s="7" t="s">
        <v>195</v>
      </c>
      <c r="I130" s="7" t="s">
        <v>195</v>
      </c>
      <c r="J130" s="7" t="s">
        <v>195</v>
      </c>
      <c r="K130" s="7" t="s">
        <v>195</v>
      </c>
      <c r="L130" s="7" t="s">
        <v>195</v>
      </c>
      <c r="M130" s="7" t="s">
        <v>29</v>
      </c>
      <c r="N130" s="7" t="s">
        <v>29</v>
      </c>
      <c r="O130" s="7" t="s">
        <v>29</v>
      </c>
      <c r="P130" s="7" t="s">
        <v>29</v>
      </c>
      <c r="Q130" s="7" t="s">
        <v>29</v>
      </c>
      <c r="R130" s="7" t="s">
        <v>29</v>
      </c>
      <c r="S130" s="7" t="s">
        <v>29</v>
      </c>
    </row>
    <row r="131" spans="2:19">
      <c r="B131" s="7" t="s">
        <v>195</v>
      </c>
      <c r="C131" s="8" t="s">
        <v>195</v>
      </c>
      <c r="D131" s="6" t="str">
        <f>LRTRIM(CONCATENATE(IF(SUMPRODUCT(-- ISNUMBER(SEARCH({"Auto Number"}, $B131))) &gt; 0, $B131, IF(SUMPRODUCT(-- ISNUMBER(SEARCH({"Lookup","Master-Detail"}, $B131))) &gt; 0,$B131 &amp; "(" &amp; $E131 &amp; ")",IF(SUMPRODUCT(-- ISNUMBER(SEARCH({"Formula","Roll-Up Summary"}, $B131))) &gt; 0,$B131 &amp; " (" &amp; $E131 &amp; ")",IF(SUMPRODUCT(-- ISNUMBER(SEARCH({"Content","Currency","Number","Percent","Text","URL"}, $B131))) &gt; 0,$B131 &amp; "(" &amp; $C131 &amp; ")",$B131)))), "  ", TRIM(IF($S131 = "YES", "(External ID)", "") &amp; " " &amp; IF(SUMPRODUCT(-- ISNUMBER(SEARCH({"Unique","Unique Case Insensitive"}, $R131))) &gt; 0, "(" &amp; $R131 &amp; ")", ""))))</f>
        <v>na</v>
      </c>
      <c r="E131" s="7" t="s">
        <v>195</v>
      </c>
      <c r="F131" s="7" t="s">
        <v>195</v>
      </c>
      <c r="G131" s="7" t="s">
        <v>195</v>
      </c>
      <c r="H131" s="7" t="s">
        <v>195</v>
      </c>
      <c r="I131" s="7" t="s">
        <v>195</v>
      </c>
      <c r="J131" s="7" t="s">
        <v>195</v>
      </c>
      <c r="K131" s="7" t="s">
        <v>195</v>
      </c>
      <c r="L131" s="7" t="s">
        <v>195</v>
      </c>
      <c r="M131" s="7" t="s">
        <v>29</v>
      </c>
      <c r="N131" s="7" t="s">
        <v>29</v>
      </c>
      <c r="O131" s="7" t="s">
        <v>29</v>
      </c>
      <c r="P131" s="7" t="s">
        <v>29</v>
      </c>
      <c r="Q131" s="7" t="s">
        <v>29</v>
      </c>
      <c r="R131" s="7" t="s">
        <v>29</v>
      </c>
      <c r="S131" s="7" t="s">
        <v>29</v>
      </c>
    </row>
    <row r="132" spans="2:19">
      <c r="B132" s="7" t="s">
        <v>195</v>
      </c>
      <c r="C132" s="8" t="s">
        <v>195</v>
      </c>
      <c r="D132" s="6" t="str">
        <f>LRTRIM(CONCATENATE(IF(SUMPRODUCT(-- ISNUMBER(SEARCH({"Auto Number"}, $B132))) &gt; 0, $B132, IF(SUMPRODUCT(-- ISNUMBER(SEARCH({"Lookup","Master-Detail"}, $B132))) &gt; 0,$B132 &amp; "(" &amp; $E132 &amp; ")",IF(SUMPRODUCT(-- ISNUMBER(SEARCH({"Formula","Roll-Up Summary"}, $B132))) &gt; 0,$B132 &amp; " (" &amp; $E132 &amp; ")",IF(SUMPRODUCT(-- ISNUMBER(SEARCH({"Content","Currency","Number","Percent","Text","URL"}, $B132))) &gt; 0,$B132 &amp; "(" &amp; $C132 &amp; ")",$B132)))), "  ", TRIM(IF($S132 = "YES", "(External ID)", "") &amp; " " &amp; IF(SUMPRODUCT(-- ISNUMBER(SEARCH({"Unique","Unique Case Insensitive"}, $R132))) &gt; 0, "(" &amp; $R132 &amp; ")", ""))))</f>
        <v>na</v>
      </c>
      <c r="E132" s="7" t="s">
        <v>195</v>
      </c>
      <c r="F132" s="7" t="s">
        <v>195</v>
      </c>
      <c r="G132" s="7" t="s">
        <v>195</v>
      </c>
      <c r="H132" s="7" t="s">
        <v>195</v>
      </c>
      <c r="I132" s="7" t="s">
        <v>195</v>
      </c>
      <c r="J132" s="7" t="s">
        <v>195</v>
      </c>
      <c r="K132" s="7" t="s">
        <v>195</v>
      </c>
      <c r="L132" s="7" t="s">
        <v>195</v>
      </c>
      <c r="M132" s="7" t="s">
        <v>29</v>
      </c>
      <c r="N132" s="7" t="s">
        <v>29</v>
      </c>
      <c r="O132" s="7" t="s">
        <v>29</v>
      </c>
      <c r="P132" s="7" t="s">
        <v>29</v>
      </c>
      <c r="Q132" s="7" t="s">
        <v>29</v>
      </c>
      <c r="R132" s="7" t="s">
        <v>29</v>
      </c>
      <c r="S132" s="7" t="s">
        <v>29</v>
      </c>
    </row>
    <row r="133" spans="2:19">
      <c r="B133" s="7" t="s">
        <v>195</v>
      </c>
      <c r="C133" s="8" t="s">
        <v>195</v>
      </c>
      <c r="D133" s="6" t="str">
        <f>LRTRIM(CONCATENATE(IF(SUMPRODUCT(-- ISNUMBER(SEARCH({"Auto Number"}, $B133))) &gt; 0, $B133, IF(SUMPRODUCT(-- ISNUMBER(SEARCH({"Lookup","Master-Detail"}, $B133))) &gt; 0,$B133 &amp; "(" &amp; $E133 &amp; ")",IF(SUMPRODUCT(-- ISNUMBER(SEARCH({"Formula","Roll-Up Summary"}, $B133))) &gt; 0,$B133 &amp; " (" &amp; $E133 &amp; ")",IF(SUMPRODUCT(-- ISNUMBER(SEARCH({"Content","Currency","Number","Percent","Text","URL"}, $B133))) &gt; 0,$B133 &amp; "(" &amp; $C133 &amp; ")",$B133)))), "  ", TRIM(IF($S133 = "YES", "(External ID)", "") &amp; " " &amp; IF(SUMPRODUCT(-- ISNUMBER(SEARCH({"Unique","Unique Case Insensitive"}, $R133))) &gt; 0, "(" &amp; $R133 &amp; ")", ""))))</f>
        <v>na</v>
      </c>
      <c r="E133" s="7" t="s">
        <v>195</v>
      </c>
      <c r="F133" s="7" t="s">
        <v>195</v>
      </c>
      <c r="G133" s="7" t="s">
        <v>195</v>
      </c>
      <c r="H133" s="7" t="s">
        <v>195</v>
      </c>
      <c r="I133" s="7" t="s">
        <v>195</v>
      </c>
      <c r="J133" s="7" t="s">
        <v>195</v>
      </c>
      <c r="K133" s="7" t="s">
        <v>195</v>
      </c>
      <c r="L133" s="7" t="s">
        <v>195</v>
      </c>
      <c r="M133" s="7" t="s">
        <v>29</v>
      </c>
      <c r="N133" s="7" t="s">
        <v>29</v>
      </c>
      <c r="O133" s="7" t="s">
        <v>29</v>
      </c>
      <c r="P133" s="7" t="s">
        <v>29</v>
      </c>
      <c r="Q133" s="7" t="s">
        <v>29</v>
      </c>
      <c r="R133" s="7" t="s">
        <v>29</v>
      </c>
      <c r="S133" s="7" t="s">
        <v>29</v>
      </c>
    </row>
    <row r="134" spans="2:19">
      <c r="B134" s="7" t="s">
        <v>195</v>
      </c>
      <c r="C134" s="8" t="s">
        <v>195</v>
      </c>
      <c r="D134" s="6" t="str">
        <f>LRTRIM(CONCATENATE(IF(SUMPRODUCT(-- ISNUMBER(SEARCH({"Auto Number"}, $B134))) &gt; 0, $B134, IF(SUMPRODUCT(-- ISNUMBER(SEARCH({"Lookup","Master-Detail"}, $B134))) &gt; 0,$B134 &amp; "(" &amp; $E134 &amp; ")",IF(SUMPRODUCT(-- ISNUMBER(SEARCH({"Formula","Roll-Up Summary"}, $B134))) &gt; 0,$B134 &amp; " (" &amp; $E134 &amp; ")",IF(SUMPRODUCT(-- ISNUMBER(SEARCH({"Content","Currency","Number","Percent","Text","URL"}, $B134))) &gt; 0,$B134 &amp; "(" &amp; $C134 &amp; ")",$B134)))), "  ", TRIM(IF($S134 = "YES", "(External ID)", "") &amp; " " &amp; IF(SUMPRODUCT(-- ISNUMBER(SEARCH({"Unique","Unique Case Insensitive"}, $R134))) &gt; 0, "(" &amp; $R134 &amp; ")", ""))))</f>
        <v>na</v>
      </c>
      <c r="E134" s="7" t="s">
        <v>195</v>
      </c>
      <c r="F134" s="7" t="s">
        <v>195</v>
      </c>
      <c r="G134" s="7" t="s">
        <v>195</v>
      </c>
      <c r="H134" s="7" t="s">
        <v>195</v>
      </c>
      <c r="I134" s="7" t="s">
        <v>195</v>
      </c>
      <c r="J134" s="7" t="s">
        <v>195</v>
      </c>
      <c r="K134" s="7" t="s">
        <v>195</v>
      </c>
      <c r="L134" s="7" t="s">
        <v>195</v>
      </c>
      <c r="M134" s="7" t="s">
        <v>29</v>
      </c>
      <c r="N134" s="7" t="s">
        <v>29</v>
      </c>
      <c r="O134" s="7" t="s">
        <v>29</v>
      </c>
      <c r="P134" s="7" t="s">
        <v>29</v>
      </c>
      <c r="Q134" s="7" t="s">
        <v>29</v>
      </c>
      <c r="R134" s="7" t="s">
        <v>29</v>
      </c>
      <c r="S134" s="7" t="s">
        <v>29</v>
      </c>
    </row>
    <row r="135" spans="2:19">
      <c r="B135" s="7" t="s">
        <v>195</v>
      </c>
      <c r="C135" s="8" t="s">
        <v>195</v>
      </c>
      <c r="D135" s="6" t="str">
        <f>LRTRIM(CONCATENATE(IF(SUMPRODUCT(-- ISNUMBER(SEARCH({"Auto Number"}, $B135))) &gt; 0, $B135, IF(SUMPRODUCT(-- ISNUMBER(SEARCH({"Lookup","Master-Detail"}, $B135))) &gt; 0,$B135 &amp; "(" &amp; $E135 &amp; ")",IF(SUMPRODUCT(-- ISNUMBER(SEARCH({"Formula","Roll-Up Summary"}, $B135))) &gt; 0,$B135 &amp; " (" &amp; $E135 &amp; ")",IF(SUMPRODUCT(-- ISNUMBER(SEARCH({"Content","Currency","Number","Percent","Text","URL"}, $B135))) &gt; 0,$B135 &amp; "(" &amp; $C135 &amp; ")",$B135)))), "  ", TRIM(IF($S135 = "YES", "(External ID)", "") &amp; " " &amp; IF(SUMPRODUCT(-- ISNUMBER(SEARCH({"Unique","Unique Case Insensitive"}, $R135))) &gt; 0, "(" &amp; $R135 &amp; ")", ""))))</f>
        <v>na</v>
      </c>
      <c r="E135" s="7" t="s">
        <v>195</v>
      </c>
      <c r="F135" s="7" t="s">
        <v>195</v>
      </c>
      <c r="G135" s="7" t="s">
        <v>195</v>
      </c>
      <c r="H135" s="7" t="s">
        <v>195</v>
      </c>
      <c r="I135" s="7" t="s">
        <v>195</v>
      </c>
      <c r="J135" s="7" t="s">
        <v>195</v>
      </c>
      <c r="K135" s="7" t="s">
        <v>195</v>
      </c>
      <c r="L135" s="7" t="s">
        <v>195</v>
      </c>
      <c r="M135" s="7" t="s">
        <v>29</v>
      </c>
      <c r="N135" s="7" t="s">
        <v>29</v>
      </c>
      <c r="O135" s="7" t="s">
        <v>29</v>
      </c>
      <c r="P135" s="7" t="s">
        <v>29</v>
      </c>
      <c r="Q135" s="7" t="s">
        <v>29</v>
      </c>
      <c r="R135" s="7" t="s">
        <v>29</v>
      </c>
      <c r="S135" s="7" t="s">
        <v>29</v>
      </c>
    </row>
    <row r="136" spans="2:19">
      <c r="B136" s="7" t="s">
        <v>195</v>
      </c>
      <c r="C136" s="8" t="s">
        <v>195</v>
      </c>
      <c r="D136" s="6" t="str">
        <f>LRTRIM(CONCATENATE(IF(SUMPRODUCT(-- ISNUMBER(SEARCH({"Auto Number"}, $B136))) &gt; 0, $B136, IF(SUMPRODUCT(-- ISNUMBER(SEARCH({"Lookup","Master-Detail"}, $B136))) &gt; 0,$B136 &amp; "(" &amp; $E136 &amp; ")",IF(SUMPRODUCT(-- ISNUMBER(SEARCH({"Formula","Roll-Up Summary"}, $B136))) &gt; 0,$B136 &amp; " (" &amp; $E136 &amp; ")",IF(SUMPRODUCT(-- ISNUMBER(SEARCH({"Content","Currency","Number","Percent","Text","URL"}, $B136))) &gt; 0,$B136 &amp; "(" &amp; $C136 &amp; ")",$B136)))), "  ", TRIM(IF($S136 = "YES", "(External ID)", "") &amp; " " &amp; IF(SUMPRODUCT(-- ISNUMBER(SEARCH({"Unique","Unique Case Insensitive"}, $R136))) &gt; 0, "(" &amp; $R136 &amp; ")", ""))))</f>
        <v>na</v>
      </c>
      <c r="E136" s="7" t="s">
        <v>195</v>
      </c>
      <c r="F136" s="7" t="s">
        <v>195</v>
      </c>
      <c r="G136" s="7" t="s">
        <v>195</v>
      </c>
      <c r="H136" s="7" t="s">
        <v>195</v>
      </c>
      <c r="I136" s="7" t="s">
        <v>195</v>
      </c>
      <c r="J136" s="7" t="s">
        <v>195</v>
      </c>
      <c r="K136" s="7" t="s">
        <v>195</v>
      </c>
      <c r="L136" s="7" t="s">
        <v>195</v>
      </c>
      <c r="M136" s="7" t="s">
        <v>29</v>
      </c>
      <c r="N136" s="7" t="s">
        <v>29</v>
      </c>
      <c r="O136" s="7" t="s">
        <v>29</v>
      </c>
      <c r="P136" s="7" t="s">
        <v>29</v>
      </c>
      <c r="Q136" s="7" t="s">
        <v>29</v>
      </c>
      <c r="R136" s="7" t="s">
        <v>29</v>
      </c>
      <c r="S136" s="7" t="s">
        <v>29</v>
      </c>
    </row>
    <row r="137" spans="2:19">
      <c r="B137" s="7" t="s">
        <v>195</v>
      </c>
      <c r="C137" s="8" t="s">
        <v>195</v>
      </c>
      <c r="D137" s="6" t="str">
        <f>LRTRIM(CONCATENATE(IF(SUMPRODUCT(-- ISNUMBER(SEARCH({"Auto Number"}, $B137))) &gt; 0, $B137, IF(SUMPRODUCT(-- ISNUMBER(SEARCH({"Lookup","Master-Detail"}, $B137))) &gt; 0,$B137 &amp; "(" &amp; $E137 &amp; ")",IF(SUMPRODUCT(-- ISNUMBER(SEARCH({"Formula","Roll-Up Summary"}, $B137))) &gt; 0,$B137 &amp; " (" &amp; $E137 &amp; ")",IF(SUMPRODUCT(-- ISNUMBER(SEARCH({"Content","Currency","Number","Percent","Text","URL"}, $B137))) &gt; 0,$B137 &amp; "(" &amp; $C137 &amp; ")",$B137)))), "  ", TRIM(IF($S137 = "YES", "(External ID)", "") &amp; " " &amp; IF(SUMPRODUCT(-- ISNUMBER(SEARCH({"Unique","Unique Case Insensitive"}, $R137))) &gt; 0, "(" &amp; $R137 &amp; ")", ""))))</f>
        <v>na</v>
      </c>
      <c r="E137" s="7" t="s">
        <v>195</v>
      </c>
      <c r="F137" s="7" t="s">
        <v>195</v>
      </c>
      <c r="G137" s="7" t="s">
        <v>195</v>
      </c>
      <c r="H137" s="7" t="s">
        <v>195</v>
      </c>
      <c r="I137" s="7" t="s">
        <v>195</v>
      </c>
      <c r="J137" s="7" t="s">
        <v>195</v>
      </c>
      <c r="K137" s="7" t="s">
        <v>195</v>
      </c>
      <c r="L137" s="7" t="s">
        <v>195</v>
      </c>
      <c r="M137" s="7" t="s">
        <v>29</v>
      </c>
      <c r="N137" s="7" t="s">
        <v>29</v>
      </c>
      <c r="O137" s="7" t="s">
        <v>29</v>
      </c>
      <c r="P137" s="7" t="s">
        <v>29</v>
      </c>
      <c r="Q137" s="7" t="s">
        <v>29</v>
      </c>
      <c r="R137" s="7" t="s">
        <v>29</v>
      </c>
      <c r="S137" s="7" t="s">
        <v>29</v>
      </c>
    </row>
    <row r="138" spans="2:19">
      <c r="B138" s="7" t="s">
        <v>195</v>
      </c>
      <c r="C138" s="8" t="s">
        <v>195</v>
      </c>
      <c r="D138" s="6" t="str">
        <f>LRTRIM(CONCATENATE(IF(SUMPRODUCT(-- ISNUMBER(SEARCH({"Auto Number"}, $B138))) &gt; 0, $B138, IF(SUMPRODUCT(-- ISNUMBER(SEARCH({"Lookup","Master-Detail"}, $B138))) &gt; 0,$B138 &amp; "(" &amp; $E138 &amp; ")",IF(SUMPRODUCT(-- ISNUMBER(SEARCH({"Formula","Roll-Up Summary"}, $B138))) &gt; 0,$B138 &amp; " (" &amp; $E138 &amp; ")",IF(SUMPRODUCT(-- ISNUMBER(SEARCH({"Content","Currency","Number","Percent","Text","URL"}, $B138))) &gt; 0,$B138 &amp; "(" &amp; $C138 &amp; ")",$B138)))), "  ", TRIM(IF($S138 = "YES", "(External ID)", "") &amp; " " &amp; IF(SUMPRODUCT(-- ISNUMBER(SEARCH({"Unique","Unique Case Insensitive"}, $R138))) &gt; 0, "(" &amp; $R138 &amp; ")", ""))))</f>
        <v>na</v>
      </c>
      <c r="E138" s="7" t="s">
        <v>195</v>
      </c>
      <c r="F138" s="7" t="s">
        <v>195</v>
      </c>
      <c r="G138" s="7" t="s">
        <v>195</v>
      </c>
      <c r="H138" s="7" t="s">
        <v>195</v>
      </c>
      <c r="I138" s="7" t="s">
        <v>195</v>
      </c>
      <c r="J138" s="7" t="s">
        <v>195</v>
      </c>
      <c r="K138" s="7" t="s">
        <v>195</v>
      </c>
      <c r="L138" s="7" t="s">
        <v>195</v>
      </c>
      <c r="M138" s="7" t="s">
        <v>29</v>
      </c>
      <c r="N138" s="7" t="s">
        <v>29</v>
      </c>
      <c r="O138" s="7" t="s">
        <v>29</v>
      </c>
      <c r="P138" s="7" t="s">
        <v>29</v>
      </c>
      <c r="Q138" s="7" t="s">
        <v>29</v>
      </c>
      <c r="R138" s="7" t="s">
        <v>29</v>
      </c>
      <c r="S138" s="7" t="s">
        <v>29</v>
      </c>
    </row>
    <row r="139" spans="2:19">
      <c r="B139" s="7" t="s">
        <v>195</v>
      </c>
      <c r="C139" s="8" t="s">
        <v>195</v>
      </c>
      <c r="D139" s="6" t="str">
        <f>LRTRIM(CONCATENATE(IF(SUMPRODUCT(-- ISNUMBER(SEARCH({"Auto Number"}, $B139))) &gt; 0, $B139, IF(SUMPRODUCT(-- ISNUMBER(SEARCH({"Lookup","Master-Detail"}, $B139))) &gt; 0,$B139 &amp; "(" &amp; $E139 &amp; ")",IF(SUMPRODUCT(-- ISNUMBER(SEARCH({"Formula","Roll-Up Summary"}, $B139))) &gt; 0,$B139 &amp; " (" &amp; $E139 &amp; ")",IF(SUMPRODUCT(-- ISNUMBER(SEARCH({"Content","Currency","Number","Percent","Text","URL"}, $B139))) &gt; 0,$B139 &amp; "(" &amp; $C139 &amp; ")",$B139)))), "  ", TRIM(IF($S139 = "YES", "(External ID)", "") &amp; " " &amp; IF(SUMPRODUCT(-- ISNUMBER(SEARCH({"Unique","Unique Case Insensitive"}, $R139))) &gt; 0, "(" &amp; $R139 &amp; ")", ""))))</f>
        <v>na</v>
      </c>
      <c r="E139" s="7" t="s">
        <v>195</v>
      </c>
      <c r="F139" s="7" t="s">
        <v>195</v>
      </c>
      <c r="G139" s="7" t="s">
        <v>195</v>
      </c>
      <c r="H139" s="7" t="s">
        <v>195</v>
      </c>
      <c r="I139" s="7" t="s">
        <v>195</v>
      </c>
      <c r="J139" s="7" t="s">
        <v>195</v>
      </c>
      <c r="K139" s="7" t="s">
        <v>195</v>
      </c>
      <c r="L139" s="7" t="s">
        <v>195</v>
      </c>
      <c r="M139" s="7" t="s">
        <v>29</v>
      </c>
      <c r="N139" s="7" t="s">
        <v>29</v>
      </c>
      <c r="O139" s="7" t="s">
        <v>29</v>
      </c>
      <c r="P139" s="7" t="s">
        <v>29</v>
      </c>
      <c r="Q139" s="7" t="s">
        <v>29</v>
      </c>
      <c r="R139" s="7" t="s">
        <v>29</v>
      </c>
      <c r="S139" s="7" t="s">
        <v>29</v>
      </c>
    </row>
    <row r="140" spans="2:19">
      <c r="B140" s="7" t="s">
        <v>195</v>
      </c>
      <c r="C140" s="8" t="s">
        <v>195</v>
      </c>
      <c r="D140" s="6" t="str">
        <f>LRTRIM(CONCATENATE(IF(SUMPRODUCT(-- ISNUMBER(SEARCH({"Auto Number"}, $B140))) &gt; 0, $B140, IF(SUMPRODUCT(-- ISNUMBER(SEARCH({"Lookup","Master-Detail"}, $B140))) &gt; 0,$B140 &amp; "(" &amp; $E140 &amp; ")",IF(SUMPRODUCT(-- ISNUMBER(SEARCH({"Formula","Roll-Up Summary"}, $B140))) &gt; 0,$B140 &amp; " (" &amp; $E140 &amp; ")",IF(SUMPRODUCT(-- ISNUMBER(SEARCH({"Content","Currency","Number","Percent","Text","URL"}, $B140))) &gt; 0,$B140 &amp; "(" &amp; $C140 &amp; ")",$B140)))), "  ", TRIM(IF($S140 = "YES", "(External ID)", "") &amp; " " &amp; IF(SUMPRODUCT(-- ISNUMBER(SEARCH({"Unique","Unique Case Insensitive"}, $R140))) &gt; 0, "(" &amp; $R140 &amp; ")", ""))))</f>
        <v>na</v>
      </c>
      <c r="E140" s="7" t="s">
        <v>195</v>
      </c>
      <c r="F140" s="7" t="s">
        <v>195</v>
      </c>
      <c r="G140" s="7" t="s">
        <v>195</v>
      </c>
      <c r="H140" s="7" t="s">
        <v>195</v>
      </c>
      <c r="I140" s="7" t="s">
        <v>195</v>
      </c>
      <c r="J140" s="7" t="s">
        <v>195</v>
      </c>
      <c r="K140" s="7" t="s">
        <v>195</v>
      </c>
      <c r="L140" s="7" t="s">
        <v>195</v>
      </c>
      <c r="M140" s="7" t="s">
        <v>29</v>
      </c>
      <c r="N140" s="7" t="s">
        <v>29</v>
      </c>
      <c r="O140" s="7" t="s">
        <v>29</v>
      </c>
      <c r="P140" s="7" t="s">
        <v>29</v>
      </c>
      <c r="Q140" s="7" t="s">
        <v>29</v>
      </c>
      <c r="R140" s="7" t="s">
        <v>29</v>
      </c>
      <c r="S140" s="7" t="s">
        <v>29</v>
      </c>
    </row>
    <row r="141" spans="2:19">
      <c r="B141" s="7" t="s">
        <v>195</v>
      </c>
      <c r="C141" s="8" t="s">
        <v>195</v>
      </c>
      <c r="D141" s="6" t="str">
        <f>LRTRIM(CONCATENATE(IF(SUMPRODUCT(-- ISNUMBER(SEARCH({"Auto Number"}, $B141))) &gt; 0, $B141, IF(SUMPRODUCT(-- ISNUMBER(SEARCH({"Lookup","Master-Detail"}, $B141))) &gt; 0,$B141 &amp; "(" &amp; $E141 &amp; ")",IF(SUMPRODUCT(-- ISNUMBER(SEARCH({"Formula","Roll-Up Summary"}, $B141))) &gt; 0,$B141 &amp; " (" &amp; $E141 &amp; ")",IF(SUMPRODUCT(-- ISNUMBER(SEARCH({"Content","Currency","Number","Percent","Text","URL"}, $B141))) &gt; 0,$B141 &amp; "(" &amp; $C141 &amp; ")",$B141)))), "  ", TRIM(IF($S141 = "YES", "(External ID)", "") &amp; " " &amp; IF(SUMPRODUCT(-- ISNUMBER(SEARCH({"Unique","Unique Case Insensitive"}, $R141))) &gt; 0, "(" &amp; $R141 &amp; ")", ""))))</f>
        <v>na</v>
      </c>
      <c r="E141" s="7" t="s">
        <v>195</v>
      </c>
      <c r="F141" s="7" t="s">
        <v>195</v>
      </c>
      <c r="G141" s="7" t="s">
        <v>195</v>
      </c>
      <c r="H141" s="7" t="s">
        <v>195</v>
      </c>
      <c r="I141" s="7" t="s">
        <v>195</v>
      </c>
      <c r="J141" s="7" t="s">
        <v>195</v>
      </c>
      <c r="K141" s="7" t="s">
        <v>195</v>
      </c>
      <c r="L141" s="7" t="s">
        <v>195</v>
      </c>
      <c r="M141" s="7" t="s">
        <v>29</v>
      </c>
      <c r="N141" s="7" t="s">
        <v>29</v>
      </c>
      <c r="O141" s="7" t="s">
        <v>29</v>
      </c>
      <c r="P141" s="7" t="s">
        <v>29</v>
      </c>
      <c r="Q141" s="7" t="s">
        <v>29</v>
      </c>
      <c r="R141" s="7" t="s">
        <v>29</v>
      </c>
      <c r="S141" s="7" t="s">
        <v>29</v>
      </c>
    </row>
    <row r="142" spans="2:19">
      <c r="B142" s="7" t="s">
        <v>195</v>
      </c>
      <c r="C142" s="8" t="s">
        <v>195</v>
      </c>
      <c r="D142" s="6" t="str">
        <f>LRTRIM(CONCATENATE(IF(SUMPRODUCT(-- ISNUMBER(SEARCH({"Auto Number"}, $B142))) &gt; 0, $B142, IF(SUMPRODUCT(-- ISNUMBER(SEARCH({"Lookup","Master-Detail"}, $B142))) &gt; 0,$B142 &amp; "(" &amp; $E142 &amp; ")",IF(SUMPRODUCT(-- ISNUMBER(SEARCH({"Formula","Roll-Up Summary"}, $B142))) &gt; 0,$B142 &amp; " (" &amp; $E142 &amp; ")",IF(SUMPRODUCT(-- ISNUMBER(SEARCH({"Content","Currency","Number","Percent","Text","URL"}, $B142))) &gt; 0,$B142 &amp; "(" &amp; $C142 &amp; ")",$B142)))), "  ", TRIM(IF($S142 = "YES", "(External ID)", "") &amp; " " &amp; IF(SUMPRODUCT(-- ISNUMBER(SEARCH({"Unique","Unique Case Insensitive"}, $R142))) &gt; 0, "(" &amp; $R142 &amp; ")", ""))))</f>
        <v>na</v>
      </c>
      <c r="E142" s="7" t="s">
        <v>195</v>
      </c>
      <c r="F142" s="7" t="s">
        <v>195</v>
      </c>
      <c r="G142" s="7" t="s">
        <v>195</v>
      </c>
      <c r="H142" s="7" t="s">
        <v>195</v>
      </c>
      <c r="I142" s="7" t="s">
        <v>195</v>
      </c>
      <c r="J142" s="7" t="s">
        <v>195</v>
      </c>
      <c r="K142" s="7" t="s">
        <v>195</v>
      </c>
      <c r="L142" s="7" t="s">
        <v>195</v>
      </c>
      <c r="M142" s="7" t="s">
        <v>29</v>
      </c>
      <c r="N142" s="7" t="s">
        <v>29</v>
      </c>
      <c r="O142" s="7" t="s">
        <v>29</v>
      </c>
      <c r="P142" s="7" t="s">
        <v>29</v>
      </c>
      <c r="Q142" s="7" t="s">
        <v>29</v>
      </c>
      <c r="R142" s="7" t="s">
        <v>29</v>
      </c>
      <c r="S142" s="7" t="s">
        <v>29</v>
      </c>
    </row>
    <row r="143" spans="2:19">
      <c r="B143" s="7" t="s">
        <v>195</v>
      </c>
      <c r="C143" s="8" t="s">
        <v>195</v>
      </c>
      <c r="D143" s="6" t="str">
        <f>LRTRIM(CONCATENATE(IF(SUMPRODUCT(-- ISNUMBER(SEARCH({"Auto Number"}, $B143))) &gt; 0, $B143, IF(SUMPRODUCT(-- ISNUMBER(SEARCH({"Lookup","Master-Detail"}, $B143))) &gt; 0,$B143 &amp; "(" &amp; $E143 &amp; ")",IF(SUMPRODUCT(-- ISNUMBER(SEARCH({"Formula","Roll-Up Summary"}, $B143))) &gt; 0,$B143 &amp; " (" &amp; $E143 &amp; ")",IF(SUMPRODUCT(-- ISNUMBER(SEARCH({"Content","Currency","Number","Percent","Text","URL"}, $B143))) &gt; 0,$B143 &amp; "(" &amp; $C143 &amp; ")",$B143)))), "  ", TRIM(IF($S143 = "YES", "(External ID)", "") &amp; " " &amp; IF(SUMPRODUCT(-- ISNUMBER(SEARCH({"Unique","Unique Case Insensitive"}, $R143))) &gt; 0, "(" &amp; $R143 &amp; ")", ""))))</f>
        <v>na</v>
      </c>
      <c r="E143" s="7" t="s">
        <v>195</v>
      </c>
      <c r="F143" s="7" t="s">
        <v>195</v>
      </c>
      <c r="G143" s="7" t="s">
        <v>195</v>
      </c>
      <c r="H143" s="7" t="s">
        <v>195</v>
      </c>
      <c r="I143" s="7" t="s">
        <v>195</v>
      </c>
      <c r="J143" s="7" t="s">
        <v>195</v>
      </c>
      <c r="K143" s="7" t="s">
        <v>195</v>
      </c>
      <c r="L143" s="7" t="s">
        <v>195</v>
      </c>
      <c r="M143" s="7" t="s">
        <v>29</v>
      </c>
      <c r="N143" s="7" t="s">
        <v>29</v>
      </c>
      <c r="O143" s="7" t="s">
        <v>29</v>
      </c>
      <c r="P143" s="7" t="s">
        <v>29</v>
      </c>
      <c r="Q143" s="7" t="s">
        <v>29</v>
      </c>
      <c r="R143" s="7" t="s">
        <v>29</v>
      </c>
      <c r="S143" s="7" t="s">
        <v>29</v>
      </c>
    </row>
    <row r="144" spans="2:19">
      <c r="B144" s="7" t="s">
        <v>195</v>
      </c>
      <c r="C144" s="8" t="s">
        <v>195</v>
      </c>
      <c r="D144" s="6" t="str">
        <f>LRTRIM(CONCATENATE(IF(SUMPRODUCT(-- ISNUMBER(SEARCH({"Auto Number"}, $B144))) &gt; 0, $B144, IF(SUMPRODUCT(-- ISNUMBER(SEARCH({"Lookup","Master-Detail"}, $B144))) &gt; 0,$B144 &amp; "(" &amp; $E144 &amp; ")",IF(SUMPRODUCT(-- ISNUMBER(SEARCH({"Formula","Roll-Up Summary"}, $B144))) &gt; 0,$B144 &amp; " (" &amp; $E144 &amp; ")",IF(SUMPRODUCT(-- ISNUMBER(SEARCH({"Content","Currency","Number","Percent","Text","URL"}, $B144))) &gt; 0,$B144 &amp; "(" &amp; $C144 &amp; ")",$B144)))), "  ", TRIM(IF($S144 = "YES", "(External ID)", "") &amp; " " &amp; IF(SUMPRODUCT(-- ISNUMBER(SEARCH({"Unique","Unique Case Insensitive"}, $R144))) &gt; 0, "(" &amp; $R144 &amp; ")", ""))))</f>
        <v>na</v>
      </c>
      <c r="E144" s="7" t="s">
        <v>195</v>
      </c>
      <c r="F144" s="7" t="s">
        <v>195</v>
      </c>
      <c r="G144" s="7" t="s">
        <v>195</v>
      </c>
      <c r="H144" s="7" t="s">
        <v>195</v>
      </c>
      <c r="I144" s="7" t="s">
        <v>195</v>
      </c>
      <c r="J144" s="7" t="s">
        <v>195</v>
      </c>
      <c r="K144" s="7" t="s">
        <v>195</v>
      </c>
      <c r="L144" s="7" t="s">
        <v>195</v>
      </c>
      <c r="M144" s="7" t="s">
        <v>29</v>
      </c>
      <c r="N144" s="7" t="s">
        <v>29</v>
      </c>
      <c r="O144" s="7" t="s">
        <v>29</v>
      </c>
      <c r="P144" s="7" t="s">
        <v>29</v>
      </c>
      <c r="Q144" s="7" t="s">
        <v>29</v>
      </c>
      <c r="R144" s="7" t="s">
        <v>29</v>
      </c>
      <c r="S144" s="7" t="s">
        <v>29</v>
      </c>
    </row>
    <row r="145" spans="2:19">
      <c r="B145" s="7" t="s">
        <v>195</v>
      </c>
      <c r="C145" s="8" t="s">
        <v>195</v>
      </c>
      <c r="D145" s="6" t="str">
        <f>LRTRIM(CONCATENATE(IF(SUMPRODUCT(-- ISNUMBER(SEARCH({"Auto Number"}, $B145))) &gt; 0, $B145, IF(SUMPRODUCT(-- ISNUMBER(SEARCH({"Lookup","Master-Detail"}, $B145))) &gt; 0,$B145 &amp; "(" &amp; $E145 &amp; ")",IF(SUMPRODUCT(-- ISNUMBER(SEARCH({"Formula","Roll-Up Summary"}, $B145))) &gt; 0,$B145 &amp; " (" &amp; $E145 &amp; ")",IF(SUMPRODUCT(-- ISNUMBER(SEARCH({"Content","Currency","Number","Percent","Text","URL"}, $B145))) &gt; 0,$B145 &amp; "(" &amp; $C145 &amp; ")",$B145)))), "  ", TRIM(IF($S145 = "YES", "(External ID)", "") &amp; " " &amp; IF(SUMPRODUCT(-- ISNUMBER(SEARCH({"Unique","Unique Case Insensitive"}, $R145))) &gt; 0, "(" &amp; $R145 &amp; ")", ""))))</f>
        <v>na</v>
      </c>
      <c r="E145" s="7" t="s">
        <v>195</v>
      </c>
      <c r="F145" s="7" t="s">
        <v>195</v>
      </c>
      <c r="G145" s="7" t="s">
        <v>195</v>
      </c>
      <c r="H145" s="7" t="s">
        <v>195</v>
      </c>
      <c r="I145" s="7" t="s">
        <v>195</v>
      </c>
      <c r="J145" s="7" t="s">
        <v>195</v>
      </c>
      <c r="K145" s="7" t="s">
        <v>195</v>
      </c>
      <c r="L145" s="7" t="s">
        <v>195</v>
      </c>
      <c r="M145" s="7" t="s">
        <v>29</v>
      </c>
      <c r="N145" s="7" t="s">
        <v>29</v>
      </c>
      <c r="O145" s="7" t="s">
        <v>29</v>
      </c>
      <c r="P145" s="7" t="s">
        <v>29</v>
      </c>
      <c r="Q145" s="7" t="s">
        <v>29</v>
      </c>
      <c r="R145" s="7" t="s">
        <v>29</v>
      </c>
      <c r="S145" s="7" t="s">
        <v>29</v>
      </c>
    </row>
    <row r="146" spans="2:19">
      <c r="B146" s="7" t="s">
        <v>195</v>
      </c>
      <c r="C146" s="8" t="s">
        <v>195</v>
      </c>
      <c r="D146" s="6" t="str">
        <f>LRTRIM(CONCATENATE(IF(SUMPRODUCT(-- ISNUMBER(SEARCH({"Auto Number"}, $B146))) &gt; 0, $B146, IF(SUMPRODUCT(-- ISNUMBER(SEARCH({"Lookup","Master-Detail"}, $B146))) &gt; 0,$B146 &amp; "(" &amp; $E146 &amp; ")",IF(SUMPRODUCT(-- ISNUMBER(SEARCH({"Formula","Roll-Up Summary"}, $B146))) &gt; 0,$B146 &amp; " (" &amp; $E146 &amp; ")",IF(SUMPRODUCT(-- ISNUMBER(SEARCH({"Content","Currency","Number","Percent","Text","URL"}, $B146))) &gt; 0,$B146 &amp; "(" &amp; $C146 &amp; ")",$B146)))), "  ", TRIM(IF($S146 = "YES", "(External ID)", "") &amp; " " &amp; IF(SUMPRODUCT(-- ISNUMBER(SEARCH({"Unique","Unique Case Insensitive"}, $R146))) &gt; 0, "(" &amp; $R146 &amp; ")", ""))))</f>
        <v>na</v>
      </c>
      <c r="E146" s="7" t="s">
        <v>195</v>
      </c>
      <c r="F146" s="7" t="s">
        <v>195</v>
      </c>
      <c r="G146" s="7" t="s">
        <v>195</v>
      </c>
      <c r="H146" s="7" t="s">
        <v>195</v>
      </c>
      <c r="I146" s="7" t="s">
        <v>195</v>
      </c>
      <c r="J146" s="7" t="s">
        <v>195</v>
      </c>
      <c r="K146" s="7" t="s">
        <v>195</v>
      </c>
      <c r="L146" s="7" t="s">
        <v>195</v>
      </c>
      <c r="M146" s="7" t="s">
        <v>29</v>
      </c>
      <c r="N146" s="7" t="s">
        <v>29</v>
      </c>
      <c r="O146" s="7" t="s">
        <v>29</v>
      </c>
      <c r="P146" s="7" t="s">
        <v>29</v>
      </c>
      <c r="Q146" s="7" t="s">
        <v>29</v>
      </c>
      <c r="R146" s="7" t="s">
        <v>29</v>
      </c>
      <c r="S146" s="7" t="s">
        <v>29</v>
      </c>
    </row>
    <row r="147" spans="2:19">
      <c r="B147" s="7" t="s">
        <v>195</v>
      </c>
      <c r="C147" s="8" t="s">
        <v>195</v>
      </c>
      <c r="D147" s="6" t="str">
        <f>LRTRIM(CONCATENATE(IF(SUMPRODUCT(-- ISNUMBER(SEARCH({"Auto Number"}, $B147))) &gt; 0, $B147, IF(SUMPRODUCT(-- ISNUMBER(SEARCH({"Lookup","Master-Detail"}, $B147))) &gt; 0,$B147 &amp; "(" &amp; $E147 &amp; ")",IF(SUMPRODUCT(-- ISNUMBER(SEARCH({"Formula","Roll-Up Summary"}, $B147))) &gt; 0,$B147 &amp; " (" &amp; $E147 &amp; ")",IF(SUMPRODUCT(-- ISNUMBER(SEARCH({"Content","Currency","Number","Percent","Text","URL"}, $B147))) &gt; 0,$B147 &amp; "(" &amp; $C147 &amp; ")",$B147)))), "  ", TRIM(IF($S147 = "YES", "(External ID)", "") &amp; " " &amp; IF(SUMPRODUCT(-- ISNUMBER(SEARCH({"Unique","Unique Case Insensitive"}, $R147))) &gt; 0, "(" &amp; $R147 &amp; ")", ""))))</f>
        <v>na</v>
      </c>
      <c r="E147" s="7" t="s">
        <v>195</v>
      </c>
      <c r="F147" s="7" t="s">
        <v>195</v>
      </c>
      <c r="G147" s="7" t="s">
        <v>195</v>
      </c>
      <c r="H147" s="7" t="s">
        <v>195</v>
      </c>
      <c r="I147" s="7" t="s">
        <v>195</v>
      </c>
      <c r="J147" s="7" t="s">
        <v>195</v>
      </c>
      <c r="K147" s="7" t="s">
        <v>195</v>
      </c>
      <c r="L147" s="7" t="s">
        <v>195</v>
      </c>
      <c r="M147" s="7" t="s">
        <v>29</v>
      </c>
      <c r="N147" s="7" t="s">
        <v>29</v>
      </c>
      <c r="O147" s="7" t="s">
        <v>29</v>
      </c>
      <c r="P147" s="7" t="s">
        <v>29</v>
      </c>
      <c r="Q147" s="7" t="s">
        <v>29</v>
      </c>
      <c r="R147" s="7" t="s">
        <v>29</v>
      </c>
      <c r="S147" s="7" t="s">
        <v>29</v>
      </c>
    </row>
    <row r="148" spans="2:19">
      <c r="B148" s="7" t="s">
        <v>195</v>
      </c>
      <c r="C148" s="8" t="s">
        <v>195</v>
      </c>
      <c r="D148" s="6" t="str">
        <f>LRTRIM(CONCATENATE(IF(SUMPRODUCT(-- ISNUMBER(SEARCH({"Auto Number"}, $B148))) &gt; 0, $B148, IF(SUMPRODUCT(-- ISNUMBER(SEARCH({"Lookup","Master-Detail"}, $B148))) &gt; 0,$B148 &amp; "(" &amp; $E148 &amp; ")",IF(SUMPRODUCT(-- ISNUMBER(SEARCH({"Formula","Roll-Up Summary"}, $B148))) &gt; 0,$B148 &amp; " (" &amp; $E148 &amp; ")",IF(SUMPRODUCT(-- ISNUMBER(SEARCH({"Content","Currency","Number","Percent","Text","URL"}, $B148))) &gt; 0,$B148 &amp; "(" &amp; $C148 &amp; ")",$B148)))), "  ", TRIM(IF($S148 = "YES", "(External ID)", "") &amp; " " &amp; IF(SUMPRODUCT(-- ISNUMBER(SEARCH({"Unique","Unique Case Insensitive"}, $R148))) &gt; 0, "(" &amp; $R148 &amp; ")", ""))))</f>
        <v>na</v>
      </c>
      <c r="E148" s="7" t="s">
        <v>195</v>
      </c>
      <c r="F148" s="7" t="s">
        <v>195</v>
      </c>
      <c r="G148" s="7" t="s">
        <v>195</v>
      </c>
      <c r="H148" s="7" t="s">
        <v>195</v>
      </c>
      <c r="I148" s="7" t="s">
        <v>195</v>
      </c>
      <c r="J148" s="7" t="s">
        <v>195</v>
      </c>
      <c r="K148" s="7" t="s">
        <v>195</v>
      </c>
      <c r="L148" s="7" t="s">
        <v>195</v>
      </c>
      <c r="M148" s="7" t="s">
        <v>29</v>
      </c>
      <c r="N148" s="7" t="s">
        <v>29</v>
      </c>
      <c r="O148" s="7" t="s">
        <v>29</v>
      </c>
      <c r="P148" s="7" t="s">
        <v>29</v>
      </c>
      <c r="Q148" s="7" t="s">
        <v>29</v>
      </c>
      <c r="R148" s="7" t="s">
        <v>29</v>
      </c>
      <c r="S148" s="7" t="s">
        <v>29</v>
      </c>
    </row>
    <row r="149" spans="2:19">
      <c r="B149" s="7" t="s">
        <v>195</v>
      </c>
      <c r="C149" s="8" t="s">
        <v>195</v>
      </c>
      <c r="D149" s="6" t="str">
        <f>LRTRIM(CONCATENATE(IF(SUMPRODUCT(-- ISNUMBER(SEARCH({"Auto Number"}, $B149))) &gt; 0, $B149, IF(SUMPRODUCT(-- ISNUMBER(SEARCH({"Lookup","Master-Detail"}, $B149))) &gt; 0,$B149 &amp; "(" &amp; $E149 &amp; ")",IF(SUMPRODUCT(-- ISNUMBER(SEARCH({"Formula","Roll-Up Summary"}, $B149))) &gt; 0,$B149 &amp; " (" &amp; $E149 &amp; ")",IF(SUMPRODUCT(-- ISNUMBER(SEARCH({"Content","Currency","Number","Percent","Text","URL"}, $B149))) &gt; 0,$B149 &amp; "(" &amp; $C149 &amp; ")",$B149)))), "  ", TRIM(IF($S149 = "YES", "(External ID)", "") &amp; " " &amp; IF(SUMPRODUCT(-- ISNUMBER(SEARCH({"Unique","Unique Case Insensitive"}, $R149))) &gt; 0, "(" &amp; $R149 &amp; ")", ""))))</f>
        <v>na</v>
      </c>
      <c r="E149" s="7" t="s">
        <v>195</v>
      </c>
      <c r="F149" s="7" t="s">
        <v>195</v>
      </c>
      <c r="G149" s="7" t="s">
        <v>195</v>
      </c>
      <c r="H149" s="7" t="s">
        <v>195</v>
      </c>
      <c r="I149" s="7" t="s">
        <v>195</v>
      </c>
      <c r="J149" s="7" t="s">
        <v>195</v>
      </c>
      <c r="K149" s="7" t="s">
        <v>195</v>
      </c>
      <c r="L149" s="7" t="s">
        <v>195</v>
      </c>
      <c r="M149" s="7" t="s">
        <v>29</v>
      </c>
      <c r="N149" s="7" t="s">
        <v>29</v>
      </c>
      <c r="O149" s="7" t="s">
        <v>29</v>
      </c>
      <c r="P149" s="7" t="s">
        <v>29</v>
      </c>
      <c r="Q149" s="7" t="s">
        <v>29</v>
      </c>
      <c r="R149" s="7" t="s">
        <v>29</v>
      </c>
      <c r="S149" s="7" t="s">
        <v>29</v>
      </c>
    </row>
    <row r="150" spans="2:19">
      <c r="B150" s="7" t="s">
        <v>195</v>
      </c>
      <c r="C150" s="8" t="s">
        <v>195</v>
      </c>
      <c r="D150" s="6" t="str">
        <f>LRTRIM(CONCATENATE(IF(SUMPRODUCT(-- ISNUMBER(SEARCH({"Auto Number"}, $B150))) &gt; 0, $B150, IF(SUMPRODUCT(-- ISNUMBER(SEARCH({"Lookup","Master-Detail"}, $B150))) &gt; 0,$B150 &amp; "(" &amp; $E150 &amp; ")",IF(SUMPRODUCT(-- ISNUMBER(SEARCH({"Formula","Roll-Up Summary"}, $B150))) &gt; 0,$B150 &amp; " (" &amp; $E150 &amp; ")",IF(SUMPRODUCT(-- ISNUMBER(SEARCH({"Content","Currency","Number","Percent","Text","URL"}, $B150))) &gt; 0,$B150 &amp; "(" &amp; $C150 &amp; ")",$B150)))), "  ", TRIM(IF($S150 = "YES", "(External ID)", "") &amp; " " &amp; IF(SUMPRODUCT(-- ISNUMBER(SEARCH({"Unique","Unique Case Insensitive"}, $R150))) &gt; 0, "(" &amp; $R150 &amp; ")", ""))))</f>
        <v>na</v>
      </c>
      <c r="E150" s="7" t="s">
        <v>195</v>
      </c>
      <c r="F150" s="7" t="s">
        <v>195</v>
      </c>
      <c r="G150" s="7" t="s">
        <v>195</v>
      </c>
      <c r="H150" s="7" t="s">
        <v>195</v>
      </c>
      <c r="I150" s="7" t="s">
        <v>195</v>
      </c>
      <c r="J150" s="7" t="s">
        <v>195</v>
      </c>
      <c r="K150" s="7" t="s">
        <v>195</v>
      </c>
      <c r="L150" s="7" t="s">
        <v>195</v>
      </c>
      <c r="M150" s="7" t="s">
        <v>29</v>
      </c>
      <c r="N150" s="7" t="s">
        <v>29</v>
      </c>
      <c r="O150" s="7" t="s">
        <v>29</v>
      </c>
      <c r="P150" s="7" t="s">
        <v>29</v>
      </c>
      <c r="Q150" s="7" t="s">
        <v>29</v>
      </c>
      <c r="R150" s="7" t="s">
        <v>29</v>
      </c>
      <c r="S150" s="7" t="s">
        <v>29</v>
      </c>
    </row>
    <row r="151" spans="2:19">
      <c r="B151" s="7" t="s">
        <v>195</v>
      </c>
      <c r="C151" s="8" t="s">
        <v>195</v>
      </c>
      <c r="D151" s="6" t="str">
        <f>LRTRIM(CONCATENATE(IF(SUMPRODUCT(-- ISNUMBER(SEARCH({"Auto Number"}, $B151))) &gt; 0, $B151, IF(SUMPRODUCT(-- ISNUMBER(SEARCH({"Lookup","Master-Detail"}, $B151))) &gt; 0,$B151 &amp; "(" &amp; $E151 &amp; ")",IF(SUMPRODUCT(-- ISNUMBER(SEARCH({"Formula","Roll-Up Summary"}, $B151))) &gt; 0,$B151 &amp; " (" &amp; $E151 &amp; ")",IF(SUMPRODUCT(-- ISNUMBER(SEARCH({"Content","Currency","Number","Percent","Text","URL"}, $B151))) &gt; 0,$B151 &amp; "(" &amp; $C151 &amp; ")",$B151)))), "  ", TRIM(IF($S151 = "YES", "(External ID)", "") &amp; " " &amp; IF(SUMPRODUCT(-- ISNUMBER(SEARCH({"Unique","Unique Case Insensitive"}, $R151))) &gt; 0, "(" &amp; $R151 &amp; ")", ""))))</f>
        <v>na</v>
      </c>
      <c r="E151" s="7" t="s">
        <v>195</v>
      </c>
      <c r="F151" s="7" t="s">
        <v>195</v>
      </c>
      <c r="G151" s="7" t="s">
        <v>195</v>
      </c>
      <c r="H151" s="7" t="s">
        <v>195</v>
      </c>
      <c r="I151" s="7" t="s">
        <v>195</v>
      </c>
      <c r="J151" s="7" t="s">
        <v>195</v>
      </c>
      <c r="K151" s="7" t="s">
        <v>195</v>
      </c>
      <c r="L151" s="7" t="s">
        <v>195</v>
      </c>
      <c r="M151" s="7" t="s">
        <v>29</v>
      </c>
      <c r="N151" s="7" t="s">
        <v>29</v>
      </c>
      <c r="O151" s="7" t="s">
        <v>29</v>
      </c>
      <c r="P151" s="7" t="s">
        <v>29</v>
      </c>
      <c r="Q151" s="7" t="s">
        <v>29</v>
      </c>
      <c r="R151" s="7" t="s">
        <v>29</v>
      </c>
      <c r="S151" s="7" t="s">
        <v>29</v>
      </c>
    </row>
    <row r="152" spans="2:19">
      <c r="B152" s="7" t="s">
        <v>195</v>
      </c>
      <c r="C152" s="8" t="s">
        <v>195</v>
      </c>
      <c r="D152" s="6" t="str">
        <f>LRTRIM(CONCATENATE(IF(SUMPRODUCT(-- ISNUMBER(SEARCH({"Auto Number"}, $B152))) &gt; 0, $B152, IF(SUMPRODUCT(-- ISNUMBER(SEARCH({"Lookup","Master-Detail"}, $B152))) &gt; 0,$B152 &amp; "(" &amp; $E152 &amp; ")",IF(SUMPRODUCT(-- ISNUMBER(SEARCH({"Formula","Roll-Up Summary"}, $B152))) &gt; 0,$B152 &amp; " (" &amp; $E152 &amp; ")",IF(SUMPRODUCT(-- ISNUMBER(SEARCH({"Content","Currency","Number","Percent","Text","URL"}, $B152))) &gt; 0,$B152 &amp; "(" &amp; $C152 &amp; ")",$B152)))), "  ", TRIM(IF($S152 = "YES", "(External ID)", "") &amp; " " &amp; IF(SUMPRODUCT(-- ISNUMBER(SEARCH({"Unique","Unique Case Insensitive"}, $R152))) &gt; 0, "(" &amp; $R152 &amp; ")", ""))))</f>
        <v>na</v>
      </c>
      <c r="E152" s="7" t="s">
        <v>195</v>
      </c>
      <c r="F152" s="7" t="s">
        <v>195</v>
      </c>
      <c r="G152" s="7" t="s">
        <v>195</v>
      </c>
      <c r="H152" s="7" t="s">
        <v>195</v>
      </c>
      <c r="I152" s="7" t="s">
        <v>195</v>
      </c>
      <c r="J152" s="7" t="s">
        <v>195</v>
      </c>
      <c r="K152" s="7" t="s">
        <v>195</v>
      </c>
      <c r="L152" s="7" t="s">
        <v>195</v>
      </c>
      <c r="M152" s="7" t="s">
        <v>29</v>
      </c>
      <c r="N152" s="7" t="s">
        <v>29</v>
      </c>
      <c r="O152" s="7" t="s">
        <v>29</v>
      </c>
      <c r="P152" s="7" t="s">
        <v>29</v>
      </c>
      <c r="Q152" s="7" t="s">
        <v>29</v>
      </c>
      <c r="R152" s="7" t="s">
        <v>29</v>
      </c>
      <c r="S152" s="7" t="s">
        <v>29</v>
      </c>
    </row>
    <row r="153" spans="2:19">
      <c r="B153" s="7" t="s">
        <v>195</v>
      </c>
      <c r="C153" s="8" t="s">
        <v>195</v>
      </c>
      <c r="D153" s="6" t="str">
        <f>LRTRIM(CONCATENATE(IF(SUMPRODUCT(-- ISNUMBER(SEARCH({"Auto Number"}, $B153))) &gt; 0, $B153, IF(SUMPRODUCT(-- ISNUMBER(SEARCH({"Lookup","Master-Detail"}, $B153))) &gt; 0,$B153 &amp; "(" &amp; $E153 &amp; ")",IF(SUMPRODUCT(-- ISNUMBER(SEARCH({"Formula","Roll-Up Summary"}, $B153))) &gt; 0,$B153 &amp; " (" &amp; $E153 &amp; ")",IF(SUMPRODUCT(-- ISNUMBER(SEARCH({"Content","Currency","Number","Percent","Text","URL"}, $B153))) &gt; 0,$B153 &amp; "(" &amp; $C153 &amp; ")",$B153)))), "  ", TRIM(IF($S153 = "YES", "(External ID)", "") &amp; " " &amp; IF(SUMPRODUCT(-- ISNUMBER(SEARCH({"Unique","Unique Case Insensitive"}, $R153))) &gt; 0, "(" &amp; $R153 &amp; ")", ""))))</f>
        <v>na</v>
      </c>
      <c r="E153" s="7" t="s">
        <v>195</v>
      </c>
      <c r="F153" s="7" t="s">
        <v>195</v>
      </c>
      <c r="G153" s="7" t="s">
        <v>195</v>
      </c>
      <c r="H153" s="7" t="s">
        <v>195</v>
      </c>
      <c r="I153" s="7" t="s">
        <v>195</v>
      </c>
      <c r="J153" s="7" t="s">
        <v>195</v>
      </c>
      <c r="K153" s="7" t="s">
        <v>195</v>
      </c>
      <c r="L153" s="7" t="s">
        <v>195</v>
      </c>
      <c r="M153" s="7" t="s">
        <v>29</v>
      </c>
      <c r="N153" s="7" t="s">
        <v>29</v>
      </c>
      <c r="O153" s="7" t="s">
        <v>29</v>
      </c>
      <c r="P153" s="7" t="s">
        <v>29</v>
      </c>
      <c r="Q153" s="7" t="s">
        <v>29</v>
      </c>
      <c r="R153" s="7" t="s">
        <v>29</v>
      </c>
      <c r="S153" s="7" t="s">
        <v>29</v>
      </c>
    </row>
    <row r="154" spans="2:19">
      <c r="B154" s="7" t="s">
        <v>195</v>
      </c>
      <c r="C154" s="8" t="s">
        <v>195</v>
      </c>
      <c r="D154" s="6" t="str">
        <f>LRTRIM(CONCATENATE(IF(SUMPRODUCT(-- ISNUMBER(SEARCH({"Auto Number"}, $B154))) &gt; 0, $B154, IF(SUMPRODUCT(-- ISNUMBER(SEARCH({"Lookup","Master-Detail"}, $B154))) &gt; 0,$B154 &amp; "(" &amp; $E154 &amp; ")",IF(SUMPRODUCT(-- ISNUMBER(SEARCH({"Formula","Roll-Up Summary"}, $B154))) &gt; 0,$B154 &amp; " (" &amp; $E154 &amp; ")",IF(SUMPRODUCT(-- ISNUMBER(SEARCH({"Content","Currency","Number","Percent","Text","URL"}, $B154))) &gt; 0,$B154 &amp; "(" &amp; $C154 &amp; ")",$B154)))), "  ", TRIM(IF($S154 = "YES", "(External ID)", "") &amp; " " &amp; IF(SUMPRODUCT(-- ISNUMBER(SEARCH({"Unique","Unique Case Insensitive"}, $R154))) &gt; 0, "(" &amp; $R154 &amp; ")", ""))))</f>
        <v>na</v>
      </c>
      <c r="E154" s="7" t="s">
        <v>195</v>
      </c>
      <c r="F154" s="7" t="s">
        <v>195</v>
      </c>
      <c r="G154" s="7" t="s">
        <v>195</v>
      </c>
      <c r="H154" s="7" t="s">
        <v>195</v>
      </c>
      <c r="I154" s="7" t="s">
        <v>195</v>
      </c>
      <c r="J154" s="7" t="s">
        <v>195</v>
      </c>
      <c r="K154" s="7" t="s">
        <v>195</v>
      </c>
      <c r="L154" s="7" t="s">
        <v>195</v>
      </c>
      <c r="M154" s="7" t="s">
        <v>29</v>
      </c>
      <c r="N154" s="7" t="s">
        <v>29</v>
      </c>
      <c r="O154" s="7" t="s">
        <v>29</v>
      </c>
      <c r="P154" s="7" t="s">
        <v>29</v>
      </c>
      <c r="Q154" s="7" t="s">
        <v>29</v>
      </c>
      <c r="R154" s="7" t="s">
        <v>29</v>
      </c>
      <c r="S154" s="7" t="s">
        <v>29</v>
      </c>
    </row>
    <row r="155" spans="2:19">
      <c r="B155" s="7" t="s">
        <v>195</v>
      </c>
      <c r="C155" s="8" t="s">
        <v>195</v>
      </c>
      <c r="D155" s="6" t="str">
        <f>LRTRIM(CONCATENATE(IF(SUMPRODUCT(-- ISNUMBER(SEARCH({"Auto Number"}, $B155))) &gt; 0, $B155, IF(SUMPRODUCT(-- ISNUMBER(SEARCH({"Lookup","Master-Detail"}, $B155))) &gt; 0,$B155 &amp; "(" &amp; $E155 &amp; ")",IF(SUMPRODUCT(-- ISNUMBER(SEARCH({"Formula","Roll-Up Summary"}, $B155))) &gt; 0,$B155 &amp; " (" &amp; $E155 &amp; ")",IF(SUMPRODUCT(-- ISNUMBER(SEARCH({"Content","Currency","Number","Percent","Text","URL"}, $B155))) &gt; 0,$B155 &amp; "(" &amp; $C155 &amp; ")",$B155)))), "  ", TRIM(IF($S155 = "YES", "(External ID)", "") &amp; " " &amp; IF(SUMPRODUCT(-- ISNUMBER(SEARCH({"Unique","Unique Case Insensitive"}, $R155))) &gt; 0, "(" &amp; $R155 &amp; ")", ""))))</f>
        <v>na</v>
      </c>
      <c r="E155" s="7" t="s">
        <v>195</v>
      </c>
      <c r="F155" s="7" t="s">
        <v>195</v>
      </c>
      <c r="G155" s="7" t="s">
        <v>195</v>
      </c>
      <c r="H155" s="7" t="s">
        <v>195</v>
      </c>
      <c r="I155" s="7" t="s">
        <v>195</v>
      </c>
      <c r="J155" s="7" t="s">
        <v>195</v>
      </c>
      <c r="K155" s="7" t="s">
        <v>195</v>
      </c>
      <c r="L155" s="7" t="s">
        <v>195</v>
      </c>
      <c r="M155" s="7" t="s">
        <v>29</v>
      </c>
      <c r="N155" s="7" t="s">
        <v>29</v>
      </c>
      <c r="O155" s="7" t="s">
        <v>29</v>
      </c>
      <c r="P155" s="7" t="s">
        <v>29</v>
      </c>
      <c r="Q155" s="7" t="s">
        <v>29</v>
      </c>
      <c r="R155" s="7" t="s">
        <v>29</v>
      </c>
      <c r="S155" s="7" t="s">
        <v>29</v>
      </c>
    </row>
    <row r="156" spans="2:19">
      <c r="B156" s="7" t="s">
        <v>195</v>
      </c>
      <c r="C156" s="8" t="s">
        <v>195</v>
      </c>
      <c r="D156" s="6" t="str">
        <f>LRTRIM(CONCATENATE(IF(SUMPRODUCT(-- ISNUMBER(SEARCH({"Auto Number"}, $B156))) &gt; 0, $B156, IF(SUMPRODUCT(-- ISNUMBER(SEARCH({"Lookup","Master-Detail"}, $B156))) &gt; 0,$B156 &amp; "(" &amp; $E156 &amp; ")",IF(SUMPRODUCT(-- ISNUMBER(SEARCH({"Formula","Roll-Up Summary"}, $B156))) &gt; 0,$B156 &amp; " (" &amp; $E156 &amp; ")",IF(SUMPRODUCT(-- ISNUMBER(SEARCH({"Content","Currency","Number","Percent","Text","URL"}, $B156))) &gt; 0,$B156 &amp; "(" &amp; $C156 &amp; ")",$B156)))), "  ", TRIM(IF($S156 = "YES", "(External ID)", "") &amp; " " &amp; IF(SUMPRODUCT(-- ISNUMBER(SEARCH({"Unique","Unique Case Insensitive"}, $R156))) &gt; 0, "(" &amp; $R156 &amp; ")", ""))))</f>
        <v>na</v>
      </c>
      <c r="E156" s="7" t="s">
        <v>195</v>
      </c>
      <c r="F156" s="7" t="s">
        <v>195</v>
      </c>
      <c r="G156" s="7" t="s">
        <v>195</v>
      </c>
      <c r="H156" s="7" t="s">
        <v>195</v>
      </c>
      <c r="I156" s="7" t="s">
        <v>195</v>
      </c>
      <c r="J156" s="7" t="s">
        <v>195</v>
      </c>
      <c r="K156" s="7" t="s">
        <v>195</v>
      </c>
      <c r="L156" s="7" t="s">
        <v>195</v>
      </c>
      <c r="M156" s="7" t="s">
        <v>29</v>
      </c>
      <c r="N156" s="7" t="s">
        <v>29</v>
      </c>
      <c r="O156" s="7" t="s">
        <v>29</v>
      </c>
      <c r="P156" s="7" t="s">
        <v>29</v>
      </c>
      <c r="Q156" s="7" t="s">
        <v>29</v>
      </c>
      <c r="R156" s="7" t="s">
        <v>29</v>
      </c>
      <c r="S156" s="7" t="s">
        <v>29</v>
      </c>
    </row>
    <row r="157" spans="2:19">
      <c r="B157" s="7" t="s">
        <v>195</v>
      </c>
      <c r="C157" s="8" t="s">
        <v>195</v>
      </c>
      <c r="D157" s="6" t="str">
        <f>LRTRIM(CONCATENATE(IF(SUMPRODUCT(-- ISNUMBER(SEARCH({"Auto Number"}, $B157))) &gt; 0, $B157, IF(SUMPRODUCT(-- ISNUMBER(SEARCH({"Lookup","Master-Detail"}, $B157))) &gt; 0,$B157 &amp; "(" &amp; $E157 &amp; ")",IF(SUMPRODUCT(-- ISNUMBER(SEARCH({"Formula","Roll-Up Summary"}, $B157))) &gt; 0,$B157 &amp; " (" &amp; $E157 &amp; ")",IF(SUMPRODUCT(-- ISNUMBER(SEARCH({"Content","Currency","Number","Percent","Text","URL"}, $B157))) &gt; 0,$B157 &amp; "(" &amp; $C157 &amp; ")",$B157)))), "  ", TRIM(IF($S157 = "YES", "(External ID)", "") &amp; " " &amp; IF(SUMPRODUCT(-- ISNUMBER(SEARCH({"Unique","Unique Case Insensitive"}, $R157))) &gt; 0, "(" &amp; $R157 &amp; ")", ""))))</f>
        <v>na</v>
      </c>
      <c r="E157" s="7" t="s">
        <v>195</v>
      </c>
      <c r="F157" s="7" t="s">
        <v>195</v>
      </c>
      <c r="G157" s="7" t="s">
        <v>195</v>
      </c>
      <c r="H157" s="7" t="s">
        <v>195</v>
      </c>
      <c r="I157" s="7" t="s">
        <v>195</v>
      </c>
      <c r="J157" s="7" t="s">
        <v>195</v>
      </c>
      <c r="K157" s="7" t="s">
        <v>195</v>
      </c>
      <c r="L157" s="7" t="s">
        <v>195</v>
      </c>
      <c r="M157" s="7" t="s">
        <v>29</v>
      </c>
      <c r="N157" s="7" t="s">
        <v>29</v>
      </c>
      <c r="O157" s="7" t="s">
        <v>29</v>
      </c>
      <c r="P157" s="7" t="s">
        <v>29</v>
      </c>
      <c r="Q157" s="7" t="s">
        <v>29</v>
      </c>
      <c r="R157" s="7" t="s">
        <v>29</v>
      </c>
      <c r="S157" s="7" t="s">
        <v>29</v>
      </c>
    </row>
    <row r="158" spans="2:19">
      <c r="B158" s="7" t="s">
        <v>195</v>
      </c>
      <c r="C158" s="8" t="s">
        <v>195</v>
      </c>
      <c r="D158" s="6" t="str">
        <f>LRTRIM(CONCATENATE(IF(SUMPRODUCT(-- ISNUMBER(SEARCH({"Auto Number"}, $B158))) &gt; 0, $B158, IF(SUMPRODUCT(-- ISNUMBER(SEARCH({"Lookup","Master-Detail"}, $B158))) &gt; 0,$B158 &amp; "(" &amp; $E158 &amp; ")",IF(SUMPRODUCT(-- ISNUMBER(SEARCH({"Formula","Roll-Up Summary"}, $B158))) &gt; 0,$B158 &amp; " (" &amp; $E158 &amp; ")",IF(SUMPRODUCT(-- ISNUMBER(SEARCH({"Content","Currency","Number","Percent","Text","URL"}, $B158))) &gt; 0,$B158 &amp; "(" &amp; $C158 &amp; ")",$B158)))), "  ", TRIM(IF($S158 = "YES", "(External ID)", "") &amp; " " &amp; IF(SUMPRODUCT(-- ISNUMBER(SEARCH({"Unique","Unique Case Insensitive"}, $R158))) &gt; 0, "(" &amp; $R158 &amp; ")", ""))))</f>
        <v>na</v>
      </c>
      <c r="E158" s="7" t="s">
        <v>195</v>
      </c>
      <c r="F158" s="7" t="s">
        <v>195</v>
      </c>
      <c r="G158" s="7" t="s">
        <v>195</v>
      </c>
      <c r="H158" s="7" t="s">
        <v>195</v>
      </c>
      <c r="I158" s="7" t="s">
        <v>195</v>
      </c>
      <c r="J158" s="7" t="s">
        <v>195</v>
      </c>
      <c r="K158" s="7" t="s">
        <v>195</v>
      </c>
      <c r="L158" s="7" t="s">
        <v>195</v>
      </c>
      <c r="M158" s="7" t="s">
        <v>29</v>
      </c>
      <c r="N158" s="7" t="s">
        <v>29</v>
      </c>
      <c r="O158" s="7" t="s">
        <v>29</v>
      </c>
      <c r="P158" s="7" t="s">
        <v>29</v>
      </c>
      <c r="Q158" s="7" t="s">
        <v>29</v>
      </c>
      <c r="R158" s="7" t="s">
        <v>29</v>
      </c>
      <c r="S158" s="7" t="s">
        <v>29</v>
      </c>
    </row>
    <row r="159" spans="2:19">
      <c r="B159" s="7" t="s">
        <v>195</v>
      </c>
      <c r="C159" s="8" t="s">
        <v>195</v>
      </c>
      <c r="D159" s="6" t="str">
        <f>LRTRIM(CONCATENATE(IF(SUMPRODUCT(-- ISNUMBER(SEARCH({"Auto Number"}, $B159))) &gt; 0, $B159, IF(SUMPRODUCT(-- ISNUMBER(SEARCH({"Lookup","Master-Detail"}, $B159))) &gt; 0,$B159 &amp; "(" &amp; $E159 &amp; ")",IF(SUMPRODUCT(-- ISNUMBER(SEARCH({"Formula","Roll-Up Summary"}, $B159))) &gt; 0,$B159 &amp; " (" &amp; $E159 &amp; ")",IF(SUMPRODUCT(-- ISNUMBER(SEARCH({"Content","Currency","Number","Percent","Text","URL"}, $B159))) &gt; 0,$B159 &amp; "(" &amp; $C159 &amp; ")",$B159)))), "  ", TRIM(IF($S159 = "YES", "(External ID)", "") &amp; " " &amp; IF(SUMPRODUCT(-- ISNUMBER(SEARCH({"Unique","Unique Case Insensitive"}, $R159))) &gt; 0, "(" &amp; $R159 &amp; ")", ""))))</f>
        <v>na</v>
      </c>
      <c r="E159" s="7" t="s">
        <v>195</v>
      </c>
      <c r="F159" s="7" t="s">
        <v>195</v>
      </c>
      <c r="G159" s="7" t="s">
        <v>195</v>
      </c>
      <c r="H159" s="7" t="s">
        <v>195</v>
      </c>
      <c r="I159" s="7" t="s">
        <v>195</v>
      </c>
      <c r="J159" s="7" t="s">
        <v>195</v>
      </c>
      <c r="K159" s="7" t="s">
        <v>195</v>
      </c>
      <c r="L159" s="7" t="s">
        <v>195</v>
      </c>
      <c r="M159" s="7" t="s">
        <v>29</v>
      </c>
      <c r="N159" s="7" t="s">
        <v>29</v>
      </c>
      <c r="O159" s="7" t="s">
        <v>29</v>
      </c>
      <c r="P159" s="7" t="s">
        <v>29</v>
      </c>
      <c r="Q159" s="7" t="s">
        <v>29</v>
      </c>
      <c r="R159" s="7" t="s">
        <v>29</v>
      </c>
      <c r="S159" s="7" t="s">
        <v>29</v>
      </c>
    </row>
    <row r="160" spans="2:19">
      <c r="B160" s="7" t="s">
        <v>195</v>
      </c>
      <c r="C160" s="8" t="s">
        <v>195</v>
      </c>
      <c r="D160" s="6" t="str">
        <f>LRTRIM(CONCATENATE(IF(SUMPRODUCT(-- ISNUMBER(SEARCH({"Auto Number"}, $B160))) &gt; 0, $B160, IF(SUMPRODUCT(-- ISNUMBER(SEARCH({"Lookup","Master-Detail"}, $B160))) &gt; 0,$B160 &amp; "(" &amp; $E160 &amp; ")",IF(SUMPRODUCT(-- ISNUMBER(SEARCH({"Formula","Roll-Up Summary"}, $B160))) &gt; 0,$B160 &amp; " (" &amp; $E160 &amp; ")",IF(SUMPRODUCT(-- ISNUMBER(SEARCH({"Content","Currency","Number","Percent","Text","URL"}, $B160))) &gt; 0,$B160 &amp; "(" &amp; $C160 &amp; ")",$B160)))), "  ", TRIM(IF($S160 = "YES", "(External ID)", "") &amp; " " &amp; IF(SUMPRODUCT(-- ISNUMBER(SEARCH({"Unique","Unique Case Insensitive"}, $R160))) &gt; 0, "(" &amp; $R160 &amp; ")", ""))))</f>
        <v>na</v>
      </c>
      <c r="E160" s="7" t="s">
        <v>195</v>
      </c>
      <c r="F160" s="7" t="s">
        <v>195</v>
      </c>
      <c r="G160" s="7" t="s">
        <v>195</v>
      </c>
      <c r="H160" s="7" t="s">
        <v>195</v>
      </c>
      <c r="I160" s="7" t="s">
        <v>195</v>
      </c>
      <c r="J160" s="7" t="s">
        <v>195</v>
      </c>
      <c r="K160" s="7" t="s">
        <v>195</v>
      </c>
      <c r="L160" s="7" t="s">
        <v>195</v>
      </c>
      <c r="M160" s="7" t="s">
        <v>29</v>
      </c>
      <c r="N160" s="7" t="s">
        <v>29</v>
      </c>
      <c r="O160" s="7" t="s">
        <v>29</v>
      </c>
      <c r="P160" s="7" t="s">
        <v>29</v>
      </c>
      <c r="Q160" s="7" t="s">
        <v>29</v>
      </c>
      <c r="R160" s="7" t="s">
        <v>29</v>
      </c>
      <c r="S160" s="7" t="s">
        <v>29</v>
      </c>
    </row>
    <row r="161" spans="2:19">
      <c r="B161" s="7" t="s">
        <v>195</v>
      </c>
      <c r="C161" s="8" t="s">
        <v>195</v>
      </c>
      <c r="D161" s="6" t="str">
        <f>LRTRIM(CONCATENATE(IF(SUMPRODUCT(-- ISNUMBER(SEARCH({"Auto Number"}, $B161))) &gt; 0, $B161, IF(SUMPRODUCT(-- ISNUMBER(SEARCH({"Lookup","Master-Detail"}, $B161))) &gt; 0,$B161 &amp; "(" &amp; $E161 &amp; ")",IF(SUMPRODUCT(-- ISNUMBER(SEARCH({"Formula","Roll-Up Summary"}, $B161))) &gt; 0,$B161 &amp; " (" &amp; $E161 &amp; ")",IF(SUMPRODUCT(-- ISNUMBER(SEARCH({"Content","Currency","Number","Percent","Text","URL"}, $B161))) &gt; 0,$B161 &amp; "(" &amp; $C161 &amp; ")",$B161)))), "  ", TRIM(IF($S161 = "YES", "(External ID)", "") &amp; " " &amp; IF(SUMPRODUCT(-- ISNUMBER(SEARCH({"Unique","Unique Case Insensitive"}, $R161))) &gt; 0, "(" &amp; $R161 &amp; ")", ""))))</f>
        <v>na</v>
      </c>
      <c r="E161" s="7" t="s">
        <v>195</v>
      </c>
      <c r="F161" s="7" t="s">
        <v>195</v>
      </c>
      <c r="G161" s="7" t="s">
        <v>195</v>
      </c>
      <c r="H161" s="7" t="s">
        <v>195</v>
      </c>
      <c r="I161" s="7" t="s">
        <v>195</v>
      </c>
      <c r="J161" s="7" t="s">
        <v>195</v>
      </c>
      <c r="K161" s="7" t="s">
        <v>195</v>
      </c>
      <c r="L161" s="7" t="s">
        <v>195</v>
      </c>
      <c r="M161" s="7" t="s">
        <v>29</v>
      </c>
      <c r="N161" s="7" t="s">
        <v>29</v>
      </c>
      <c r="O161" s="7" t="s">
        <v>29</v>
      </c>
      <c r="P161" s="7" t="s">
        <v>29</v>
      </c>
      <c r="Q161" s="7" t="s">
        <v>29</v>
      </c>
      <c r="R161" s="7" t="s">
        <v>29</v>
      </c>
      <c r="S161" s="7" t="s">
        <v>29</v>
      </c>
    </row>
    <row r="162" spans="2:19">
      <c r="B162" s="7" t="s">
        <v>195</v>
      </c>
      <c r="C162" s="8" t="s">
        <v>195</v>
      </c>
      <c r="D162" s="6" t="str">
        <f>LRTRIM(CONCATENATE(IF(SUMPRODUCT(-- ISNUMBER(SEARCH({"Auto Number"}, $B162))) &gt; 0, $B162, IF(SUMPRODUCT(-- ISNUMBER(SEARCH({"Lookup","Master-Detail"}, $B162))) &gt; 0,$B162 &amp; "(" &amp; $E162 &amp; ")",IF(SUMPRODUCT(-- ISNUMBER(SEARCH({"Formula","Roll-Up Summary"}, $B162))) &gt; 0,$B162 &amp; " (" &amp; $E162 &amp; ")",IF(SUMPRODUCT(-- ISNUMBER(SEARCH({"Content","Currency","Number","Percent","Text","URL"}, $B162))) &gt; 0,$B162 &amp; "(" &amp; $C162 &amp; ")",$B162)))), "  ", TRIM(IF($S162 = "YES", "(External ID)", "") &amp; " " &amp; IF(SUMPRODUCT(-- ISNUMBER(SEARCH({"Unique","Unique Case Insensitive"}, $R162))) &gt; 0, "(" &amp; $R162 &amp; ")", ""))))</f>
        <v>na</v>
      </c>
      <c r="E162" s="7" t="s">
        <v>195</v>
      </c>
      <c r="F162" s="7" t="s">
        <v>195</v>
      </c>
      <c r="G162" s="7" t="s">
        <v>195</v>
      </c>
      <c r="H162" s="7" t="s">
        <v>195</v>
      </c>
      <c r="I162" s="7" t="s">
        <v>195</v>
      </c>
      <c r="J162" s="7" t="s">
        <v>195</v>
      </c>
      <c r="K162" s="7" t="s">
        <v>195</v>
      </c>
      <c r="L162" s="7" t="s">
        <v>195</v>
      </c>
      <c r="M162" s="7" t="s">
        <v>29</v>
      </c>
      <c r="N162" s="7" t="s">
        <v>29</v>
      </c>
      <c r="O162" s="7" t="s">
        <v>29</v>
      </c>
      <c r="P162" s="7" t="s">
        <v>29</v>
      </c>
      <c r="Q162" s="7" t="s">
        <v>29</v>
      </c>
      <c r="R162" s="7" t="s">
        <v>29</v>
      </c>
      <c r="S162" s="7" t="s">
        <v>29</v>
      </c>
    </row>
    <row r="163" spans="2:19">
      <c r="B163" s="7" t="s">
        <v>195</v>
      </c>
      <c r="C163" s="8" t="s">
        <v>195</v>
      </c>
      <c r="D163" s="6" t="str">
        <f>LRTRIM(CONCATENATE(IF(SUMPRODUCT(-- ISNUMBER(SEARCH({"Auto Number"}, $B163))) &gt; 0, $B163, IF(SUMPRODUCT(-- ISNUMBER(SEARCH({"Lookup","Master-Detail"}, $B163))) &gt; 0,$B163 &amp; "(" &amp; $E163 &amp; ")",IF(SUMPRODUCT(-- ISNUMBER(SEARCH({"Formula","Roll-Up Summary"}, $B163))) &gt; 0,$B163 &amp; " (" &amp; $E163 &amp; ")",IF(SUMPRODUCT(-- ISNUMBER(SEARCH({"Content","Currency","Number","Percent","Text","URL"}, $B163))) &gt; 0,$B163 &amp; "(" &amp; $C163 &amp; ")",$B163)))), "  ", TRIM(IF($S163 = "YES", "(External ID)", "") &amp; " " &amp; IF(SUMPRODUCT(-- ISNUMBER(SEARCH({"Unique","Unique Case Insensitive"}, $R163))) &gt; 0, "(" &amp; $R163 &amp; ")", ""))))</f>
        <v>na</v>
      </c>
      <c r="E163" s="7" t="s">
        <v>195</v>
      </c>
      <c r="F163" s="7" t="s">
        <v>195</v>
      </c>
      <c r="G163" s="7" t="s">
        <v>195</v>
      </c>
      <c r="H163" s="7" t="s">
        <v>195</v>
      </c>
      <c r="I163" s="7" t="s">
        <v>195</v>
      </c>
      <c r="J163" s="7" t="s">
        <v>195</v>
      </c>
      <c r="K163" s="7" t="s">
        <v>195</v>
      </c>
      <c r="L163" s="7" t="s">
        <v>195</v>
      </c>
      <c r="M163" s="7" t="s">
        <v>29</v>
      </c>
      <c r="N163" s="7" t="s">
        <v>29</v>
      </c>
      <c r="O163" s="7" t="s">
        <v>29</v>
      </c>
      <c r="P163" s="7" t="s">
        <v>29</v>
      </c>
      <c r="Q163" s="7" t="s">
        <v>29</v>
      </c>
      <c r="R163" s="7" t="s">
        <v>29</v>
      </c>
      <c r="S163" s="7" t="s">
        <v>29</v>
      </c>
    </row>
    <row r="164" spans="2:19">
      <c r="B164" s="7" t="s">
        <v>195</v>
      </c>
      <c r="C164" s="8" t="s">
        <v>195</v>
      </c>
      <c r="D164" s="6" t="str">
        <f>LRTRIM(CONCATENATE(IF(SUMPRODUCT(-- ISNUMBER(SEARCH({"Auto Number"}, $B164))) &gt; 0, $B164, IF(SUMPRODUCT(-- ISNUMBER(SEARCH({"Lookup","Master-Detail"}, $B164))) &gt; 0,$B164 &amp; "(" &amp; $E164 &amp; ")",IF(SUMPRODUCT(-- ISNUMBER(SEARCH({"Formula","Roll-Up Summary"}, $B164))) &gt; 0,$B164 &amp; " (" &amp; $E164 &amp; ")",IF(SUMPRODUCT(-- ISNUMBER(SEARCH({"Content","Currency","Number","Percent","Text","URL"}, $B164))) &gt; 0,$B164 &amp; "(" &amp; $C164 &amp; ")",$B164)))), "  ", TRIM(IF($S164 = "YES", "(External ID)", "") &amp; " " &amp; IF(SUMPRODUCT(-- ISNUMBER(SEARCH({"Unique","Unique Case Insensitive"}, $R164))) &gt; 0, "(" &amp; $R164 &amp; ")", ""))))</f>
        <v>na</v>
      </c>
      <c r="E164" s="7" t="s">
        <v>195</v>
      </c>
      <c r="F164" s="7" t="s">
        <v>195</v>
      </c>
      <c r="G164" s="7" t="s">
        <v>195</v>
      </c>
      <c r="H164" s="7" t="s">
        <v>195</v>
      </c>
      <c r="I164" s="7" t="s">
        <v>195</v>
      </c>
      <c r="J164" s="7" t="s">
        <v>195</v>
      </c>
      <c r="K164" s="7" t="s">
        <v>195</v>
      </c>
      <c r="L164" s="7" t="s">
        <v>195</v>
      </c>
      <c r="M164" s="7" t="s">
        <v>29</v>
      </c>
      <c r="N164" s="7" t="s">
        <v>29</v>
      </c>
      <c r="O164" s="7" t="s">
        <v>29</v>
      </c>
      <c r="P164" s="7" t="s">
        <v>29</v>
      </c>
      <c r="Q164" s="7" t="s">
        <v>29</v>
      </c>
      <c r="R164" s="7" t="s">
        <v>29</v>
      </c>
      <c r="S164" s="7" t="s">
        <v>29</v>
      </c>
    </row>
    <row r="165" spans="2:19">
      <c r="B165" s="7" t="s">
        <v>195</v>
      </c>
      <c r="C165" s="8" t="s">
        <v>195</v>
      </c>
      <c r="D165" s="6" t="str">
        <f>LRTRIM(CONCATENATE(IF(SUMPRODUCT(-- ISNUMBER(SEARCH({"Auto Number"}, $B165))) &gt; 0, $B165, IF(SUMPRODUCT(-- ISNUMBER(SEARCH({"Lookup","Master-Detail"}, $B165))) &gt; 0,$B165 &amp; "(" &amp; $E165 &amp; ")",IF(SUMPRODUCT(-- ISNUMBER(SEARCH({"Formula","Roll-Up Summary"}, $B165))) &gt; 0,$B165 &amp; " (" &amp; $E165 &amp; ")",IF(SUMPRODUCT(-- ISNUMBER(SEARCH({"Content","Currency","Number","Percent","Text","URL"}, $B165))) &gt; 0,$B165 &amp; "(" &amp; $C165 &amp; ")",$B165)))), "  ", TRIM(IF($S165 = "YES", "(External ID)", "") &amp; " " &amp; IF(SUMPRODUCT(-- ISNUMBER(SEARCH({"Unique","Unique Case Insensitive"}, $R165))) &gt; 0, "(" &amp; $R165 &amp; ")", ""))))</f>
        <v>na</v>
      </c>
      <c r="E165" s="7" t="s">
        <v>195</v>
      </c>
      <c r="F165" s="7" t="s">
        <v>195</v>
      </c>
      <c r="G165" s="7" t="s">
        <v>195</v>
      </c>
      <c r="H165" s="7" t="s">
        <v>195</v>
      </c>
      <c r="I165" s="7" t="s">
        <v>195</v>
      </c>
      <c r="J165" s="7" t="s">
        <v>195</v>
      </c>
      <c r="K165" s="7" t="s">
        <v>195</v>
      </c>
      <c r="L165" s="7" t="s">
        <v>195</v>
      </c>
      <c r="M165" s="7" t="s">
        <v>29</v>
      </c>
      <c r="N165" s="7" t="s">
        <v>29</v>
      </c>
      <c r="O165" s="7" t="s">
        <v>29</v>
      </c>
      <c r="P165" s="7" t="s">
        <v>29</v>
      </c>
      <c r="Q165" s="7" t="s">
        <v>29</v>
      </c>
      <c r="R165" s="7" t="s">
        <v>29</v>
      </c>
      <c r="S165" s="7" t="s">
        <v>29</v>
      </c>
    </row>
    <row r="166" spans="2:19">
      <c r="B166" s="7" t="s">
        <v>195</v>
      </c>
      <c r="C166" s="8" t="s">
        <v>195</v>
      </c>
      <c r="D166" s="6" t="str">
        <f>LRTRIM(CONCATENATE(IF(SUMPRODUCT(-- ISNUMBER(SEARCH({"Auto Number"}, $B166))) &gt; 0, $B166, IF(SUMPRODUCT(-- ISNUMBER(SEARCH({"Lookup","Master-Detail"}, $B166))) &gt; 0,$B166 &amp; "(" &amp; $E166 &amp; ")",IF(SUMPRODUCT(-- ISNUMBER(SEARCH({"Formula","Roll-Up Summary"}, $B166))) &gt; 0,$B166 &amp; " (" &amp; $E166 &amp; ")",IF(SUMPRODUCT(-- ISNUMBER(SEARCH({"Content","Currency","Number","Percent","Text","URL"}, $B166))) &gt; 0,$B166 &amp; "(" &amp; $C166 &amp; ")",$B166)))), "  ", TRIM(IF($S166 = "YES", "(External ID)", "") &amp; " " &amp; IF(SUMPRODUCT(-- ISNUMBER(SEARCH({"Unique","Unique Case Insensitive"}, $R166))) &gt; 0, "(" &amp; $R166 &amp; ")", ""))))</f>
        <v>na</v>
      </c>
      <c r="E166" s="7" t="s">
        <v>195</v>
      </c>
      <c r="F166" s="7" t="s">
        <v>195</v>
      </c>
      <c r="G166" s="7" t="s">
        <v>195</v>
      </c>
      <c r="H166" s="7" t="s">
        <v>195</v>
      </c>
      <c r="I166" s="7" t="s">
        <v>195</v>
      </c>
      <c r="J166" s="7" t="s">
        <v>195</v>
      </c>
      <c r="K166" s="7" t="s">
        <v>195</v>
      </c>
      <c r="L166" s="7" t="s">
        <v>195</v>
      </c>
      <c r="M166" s="7" t="s">
        <v>29</v>
      </c>
      <c r="N166" s="7" t="s">
        <v>29</v>
      </c>
      <c r="O166" s="7" t="s">
        <v>29</v>
      </c>
      <c r="P166" s="7" t="s">
        <v>29</v>
      </c>
      <c r="Q166" s="7" t="s">
        <v>29</v>
      </c>
      <c r="R166" s="7" t="s">
        <v>29</v>
      </c>
      <c r="S166" s="7" t="s">
        <v>29</v>
      </c>
    </row>
    <row r="167" spans="2:19">
      <c r="B167" s="7" t="s">
        <v>195</v>
      </c>
      <c r="C167" s="8" t="s">
        <v>195</v>
      </c>
      <c r="D167" s="6" t="str">
        <f>LRTRIM(CONCATENATE(IF(SUMPRODUCT(-- ISNUMBER(SEARCH({"Auto Number"}, $B167))) &gt; 0, $B167, IF(SUMPRODUCT(-- ISNUMBER(SEARCH({"Lookup","Master-Detail"}, $B167))) &gt; 0,$B167 &amp; "(" &amp; $E167 &amp; ")",IF(SUMPRODUCT(-- ISNUMBER(SEARCH({"Formula","Roll-Up Summary"}, $B167))) &gt; 0,$B167 &amp; " (" &amp; $E167 &amp; ")",IF(SUMPRODUCT(-- ISNUMBER(SEARCH({"Content","Currency","Number","Percent","Text","URL"}, $B167))) &gt; 0,$B167 &amp; "(" &amp; $C167 &amp; ")",$B167)))), "  ", TRIM(IF($S167 = "YES", "(External ID)", "") &amp; " " &amp; IF(SUMPRODUCT(-- ISNUMBER(SEARCH({"Unique","Unique Case Insensitive"}, $R167))) &gt; 0, "(" &amp; $R167 &amp; ")", ""))))</f>
        <v>na</v>
      </c>
      <c r="E167" s="7" t="s">
        <v>195</v>
      </c>
      <c r="F167" s="7" t="s">
        <v>195</v>
      </c>
      <c r="G167" s="7" t="s">
        <v>195</v>
      </c>
      <c r="H167" s="7" t="s">
        <v>195</v>
      </c>
      <c r="I167" s="7" t="s">
        <v>195</v>
      </c>
      <c r="J167" s="7" t="s">
        <v>195</v>
      </c>
      <c r="K167" s="7" t="s">
        <v>195</v>
      </c>
      <c r="L167" s="7" t="s">
        <v>195</v>
      </c>
      <c r="M167" s="7" t="s">
        <v>29</v>
      </c>
      <c r="N167" s="7" t="s">
        <v>29</v>
      </c>
      <c r="O167" s="7" t="s">
        <v>29</v>
      </c>
      <c r="P167" s="7" t="s">
        <v>29</v>
      </c>
      <c r="Q167" s="7" t="s">
        <v>29</v>
      </c>
      <c r="R167" s="7" t="s">
        <v>29</v>
      </c>
      <c r="S167" s="7" t="s">
        <v>29</v>
      </c>
    </row>
    <row r="168" spans="2:19">
      <c r="B168" s="7" t="s">
        <v>195</v>
      </c>
      <c r="C168" s="8" t="s">
        <v>195</v>
      </c>
      <c r="D168" s="6" t="str">
        <f>LRTRIM(CONCATENATE(IF(SUMPRODUCT(-- ISNUMBER(SEARCH({"Auto Number"}, $B168))) &gt; 0, $B168, IF(SUMPRODUCT(-- ISNUMBER(SEARCH({"Lookup","Master-Detail"}, $B168))) &gt; 0,$B168 &amp; "(" &amp; $E168 &amp; ")",IF(SUMPRODUCT(-- ISNUMBER(SEARCH({"Formula","Roll-Up Summary"}, $B168))) &gt; 0,$B168 &amp; " (" &amp; $E168 &amp; ")",IF(SUMPRODUCT(-- ISNUMBER(SEARCH({"Content","Currency","Number","Percent","Text","URL"}, $B168))) &gt; 0,$B168 &amp; "(" &amp; $C168 &amp; ")",$B168)))), "  ", TRIM(IF($S168 = "YES", "(External ID)", "") &amp; " " &amp; IF(SUMPRODUCT(-- ISNUMBER(SEARCH({"Unique","Unique Case Insensitive"}, $R168))) &gt; 0, "(" &amp; $R168 &amp; ")", ""))))</f>
        <v>na</v>
      </c>
      <c r="E168" s="7" t="s">
        <v>195</v>
      </c>
      <c r="F168" s="7" t="s">
        <v>195</v>
      </c>
      <c r="G168" s="7" t="s">
        <v>195</v>
      </c>
      <c r="H168" s="7" t="s">
        <v>195</v>
      </c>
      <c r="I168" s="7" t="s">
        <v>195</v>
      </c>
      <c r="J168" s="7" t="s">
        <v>195</v>
      </c>
      <c r="K168" s="7" t="s">
        <v>195</v>
      </c>
      <c r="L168" s="7" t="s">
        <v>195</v>
      </c>
      <c r="M168" s="7" t="s">
        <v>29</v>
      </c>
      <c r="N168" s="7" t="s">
        <v>29</v>
      </c>
      <c r="O168" s="7" t="s">
        <v>29</v>
      </c>
      <c r="P168" s="7" t="s">
        <v>29</v>
      </c>
      <c r="Q168" s="7" t="s">
        <v>29</v>
      </c>
      <c r="R168" s="7" t="s">
        <v>29</v>
      </c>
      <c r="S168" s="7" t="s">
        <v>29</v>
      </c>
    </row>
    <row r="169" spans="2:19">
      <c r="B169" s="7" t="s">
        <v>195</v>
      </c>
      <c r="C169" s="8" t="s">
        <v>195</v>
      </c>
      <c r="D169" s="6" t="str">
        <f>LRTRIM(CONCATENATE(IF(SUMPRODUCT(-- ISNUMBER(SEARCH({"Auto Number"}, $B169))) &gt; 0, $B169, IF(SUMPRODUCT(-- ISNUMBER(SEARCH({"Lookup","Master-Detail"}, $B169))) &gt; 0,$B169 &amp; "(" &amp; $E169 &amp; ")",IF(SUMPRODUCT(-- ISNUMBER(SEARCH({"Formula","Roll-Up Summary"}, $B169))) &gt; 0,$B169 &amp; " (" &amp; $E169 &amp; ")",IF(SUMPRODUCT(-- ISNUMBER(SEARCH({"Content","Currency","Number","Percent","Text","URL"}, $B169))) &gt; 0,$B169 &amp; "(" &amp; $C169 &amp; ")",$B169)))), "  ", TRIM(IF($S169 = "YES", "(External ID)", "") &amp; " " &amp; IF(SUMPRODUCT(-- ISNUMBER(SEARCH({"Unique","Unique Case Insensitive"}, $R169))) &gt; 0, "(" &amp; $R169 &amp; ")", ""))))</f>
        <v>na</v>
      </c>
      <c r="E169" s="7" t="s">
        <v>195</v>
      </c>
      <c r="F169" s="7" t="s">
        <v>195</v>
      </c>
      <c r="G169" s="7" t="s">
        <v>195</v>
      </c>
      <c r="H169" s="7" t="s">
        <v>195</v>
      </c>
      <c r="I169" s="7" t="s">
        <v>195</v>
      </c>
      <c r="J169" s="7" t="s">
        <v>195</v>
      </c>
      <c r="K169" s="7" t="s">
        <v>195</v>
      </c>
      <c r="L169" s="7" t="s">
        <v>195</v>
      </c>
      <c r="M169" s="7" t="s">
        <v>29</v>
      </c>
      <c r="N169" s="7" t="s">
        <v>29</v>
      </c>
      <c r="O169" s="7" t="s">
        <v>29</v>
      </c>
      <c r="P169" s="7" t="s">
        <v>29</v>
      </c>
      <c r="Q169" s="7" t="s">
        <v>29</v>
      </c>
      <c r="R169" s="7" t="s">
        <v>29</v>
      </c>
      <c r="S169" s="7" t="s">
        <v>29</v>
      </c>
    </row>
    <row r="170" spans="2:19">
      <c r="B170" s="7" t="s">
        <v>195</v>
      </c>
      <c r="C170" s="8" t="s">
        <v>195</v>
      </c>
      <c r="D170" s="6" t="str">
        <f>LRTRIM(CONCATENATE(IF(SUMPRODUCT(-- ISNUMBER(SEARCH({"Auto Number"}, $B170))) &gt; 0, $B170, IF(SUMPRODUCT(-- ISNUMBER(SEARCH({"Lookup","Master-Detail"}, $B170))) &gt; 0,$B170 &amp; "(" &amp; $E170 &amp; ")",IF(SUMPRODUCT(-- ISNUMBER(SEARCH({"Formula","Roll-Up Summary"}, $B170))) &gt; 0,$B170 &amp; " (" &amp; $E170 &amp; ")",IF(SUMPRODUCT(-- ISNUMBER(SEARCH({"Content","Currency","Number","Percent","Text","URL"}, $B170))) &gt; 0,$B170 &amp; "(" &amp; $C170 &amp; ")",$B170)))), "  ", TRIM(IF($S170 = "YES", "(External ID)", "") &amp; " " &amp; IF(SUMPRODUCT(-- ISNUMBER(SEARCH({"Unique","Unique Case Insensitive"}, $R170))) &gt; 0, "(" &amp; $R170 &amp; ")", ""))))</f>
        <v>na</v>
      </c>
      <c r="E170" s="7" t="s">
        <v>195</v>
      </c>
      <c r="F170" s="7" t="s">
        <v>195</v>
      </c>
      <c r="G170" s="7" t="s">
        <v>195</v>
      </c>
      <c r="H170" s="7" t="s">
        <v>195</v>
      </c>
      <c r="I170" s="7" t="s">
        <v>195</v>
      </c>
      <c r="J170" s="7" t="s">
        <v>195</v>
      </c>
      <c r="K170" s="7" t="s">
        <v>195</v>
      </c>
      <c r="L170" s="7" t="s">
        <v>195</v>
      </c>
      <c r="M170" s="7" t="s">
        <v>29</v>
      </c>
      <c r="N170" s="7" t="s">
        <v>29</v>
      </c>
      <c r="O170" s="7" t="s">
        <v>29</v>
      </c>
      <c r="P170" s="7" t="s">
        <v>29</v>
      </c>
      <c r="Q170" s="7" t="s">
        <v>29</v>
      </c>
      <c r="R170" s="7" t="s">
        <v>29</v>
      </c>
      <c r="S170" s="7" t="s">
        <v>29</v>
      </c>
    </row>
    <row r="171" spans="2:19">
      <c r="B171" s="7" t="s">
        <v>195</v>
      </c>
      <c r="C171" s="8" t="s">
        <v>195</v>
      </c>
      <c r="D171" s="6" t="str">
        <f>LRTRIM(CONCATENATE(IF(SUMPRODUCT(-- ISNUMBER(SEARCH({"Auto Number"}, $B171))) &gt; 0, $B171, IF(SUMPRODUCT(-- ISNUMBER(SEARCH({"Lookup","Master-Detail"}, $B171))) &gt; 0,$B171 &amp; "(" &amp; $E171 &amp; ")",IF(SUMPRODUCT(-- ISNUMBER(SEARCH({"Formula","Roll-Up Summary"}, $B171))) &gt; 0,$B171 &amp; " (" &amp; $E171 &amp; ")",IF(SUMPRODUCT(-- ISNUMBER(SEARCH({"Content","Currency","Number","Percent","Text","URL"}, $B171))) &gt; 0,$B171 &amp; "(" &amp; $C171 &amp; ")",$B171)))), "  ", TRIM(IF($S171 = "YES", "(External ID)", "") &amp; " " &amp; IF(SUMPRODUCT(-- ISNUMBER(SEARCH({"Unique","Unique Case Insensitive"}, $R171))) &gt; 0, "(" &amp; $R171 &amp; ")", ""))))</f>
        <v>na</v>
      </c>
      <c r="E171" s="7" t="s">
        <v>195</v>
      </c>
      <c r="F171" s="7" t="s">
        <v>195</v>
      </c>
      <c r="G171" s="7" t="s">
        <v>195</v>
      </c>
      <c r="H171" s="7" t="s">
        <v>195</v>
      </c>
      <c r="I171" s="7" t="s">
        <v>195</v>
      </c>
      <c r="J171" s="7" t="s">
        <v>195</v>
      </c>
      <c r="K171" s="7" t="s">
        <v>195</v>
      </c>
      <c r="L171" s="7" t="s">
        <v>195</v>
      </c>
      <c r="M171" s="7" t="s">
        <v>29</v>
      </c>
      <c r="N171" s="7" t="s">
        <v>29</v>
      </c>
      <c r="O171" s="7" t="s">
        <v>29</v>
      </c>
      <c r="P171" s="7" t="s">
        <v>29</v>
      </c>
      <c r="Q171" s="7" t="s">
        <v>29</v>
      </c>
      <c r="R171" s="7" t="s">
        <v>29</v>
      </c>
      <c r="S171" s="7" t="s">
        <v>29</v>
      </c>
    </row>
    <row r="172" spans="2:19">
      <c r="B172" s="7" t="s">
        <v>195</v>
      </c>
      <c r="C172" s="8" t="s">
        <v>195</v>
      </c>
      <c r="D172" s="6" t="str">
        <f>LRTRIM(CONCATENATE(IF(SUMPRODUCT(-- ISNUMBER(SEARCH({"Auto Number"}, $B172))) &gt; 0, $B172, IF(SUMPRODUCT(-- ISNUMBER(SEARCH({"Lookup","Master-Detail"}, $B172))) &gt; 0,$B172 &amp; "(" &amp; $E172 &amp; ")",IF(SUMPRODUCT(-- ISNUMBER(SEARCH({"Formula","Roll-Up Summary"}, $B172))) &gt; 0,$B172 &amp; " (" &amp; $E172 &amp; ")",IF(SUMPRODUCT(-- ISNUMBER(SEARCH({"Content","Currency","Number","Percent","Text","URL"}, $B172))) &gt; 0,$B172 &amp; "(" &amp; $C172 &amp; ")",$B172)))), "  ", TRIM(IF($S172 = "YES", "(External ID)", "") &amp; " " &amp; IF(SUMPRODUCT(-- ISNUMBER(SEARCH({"Unique","Unique Case Insensitive"}, $R172))) &gt; 0, "(" &amp; $R172 &amp; ")", ""))))</f>
        <v>na</v>
      </c>
      <c r="E172" s="7" t="s">
        <v>195</v>
      </c>
      <c r="F172" s="7" t="s">
        <v>195</v>
      </c>
      <c r="G172" s="7" t="s">
        <v>195</v>
      </c>
      <c r="H172" s="7" t="s">
        <v>195</v>
      </c>
      <c r="I172" s="7" t="s">
        <v>195</v>
      </c>
      <c r="J172" s="7" t="s">
        <v>195</v>
      </c>
      <c r="K172" s="7" t="s">
        <v>195</v>
      </c>
      <c r="L172" s="7" t="s">
        <v>195</v>
      </c>
      <c r="M172" s="7" t="s">
        <v>29</v>
      </c>
      <c r="N172" s="7" t="s">
        <v>29</v>
      </c>
      <c r="O172" s="7" t="s">
        <v>29</v>
      </c>
      <c r="P172" s="7" t="s">
        <v>29</v>
      </c>
      <c r="Q172" s="7" t="s">
        <v>29</v>
      </c>
      <c r="R172" s="7" t="s">
        <v>29</v>
      </c>
      <c r="S172" s="7" t="s">
        <v>29</v>
      </c>
    </row>
    <row r="173" spans="2:19">
      <c r="B173" s="7" t="s">
        <v>195</v>
      </c>
      <c r="C173" s="8" t="s">
        <v>195</v>
      </c>
      <c r="D173" s="6" t="str">
        <f>LRTRIM(CONCATENATE(IF(SUMPRODUCT(-- ISNUMBER(SEARCH({"Auto Number"}, $B173))) &gt; 0, $B173, IF(SUMPRODUCT(-- ISNUMBER(SEARCH({"Lookup","Master-Detail"}, $B173))) &gt; 0,$B173 &amp; "(" &amp; $E173 &amp; ")",IF(SUMPRODUCT(-- ISNUMBER(SEARCH({"Formula","Roll-Up Summary"}, $B173))) &gt; 0,$B173 &amp; " (" &amp; $E173 &amp; ")",IF(SUMPRODUCT(-- ISNUMBER(SEARCH({"Content","Currency","Number","Percent","Text","URL"}, $B173))) &gt; 0,$B173 &amp; "(" &amp; $C173 &amp; ")",$B173)))), "  ", TRIM(IF($S173 = "YES", "(External ID)", "") &amp; " " &amp; IF(SUMPRODUCT(-- ISNUMBER(SEARCH({"Unique","Unique Case Insensitive"}, $R173))) &gt; 0, "(" &amp; $R173 &amp; ")", ""))))</f>
        <v>na</v>
      </c>
      <c r="E173" s="7" t="s">
        <v>195</v>
      </c>
      <c r="F173" s="7" t="s">
        <v>195</v>
      </c>
      <c r="G173" s="7" t="s">
        <v>195</v>
      </c>
      <c r="H173" s="7" t="s">
        <v>195</v>
      </c>
      <c r="I173" s="7" t="s">
        <v>195</v>
      </c>
      <c r="J173" s="7" t="s">
        <v>195</v>
      </c>
      <c r="K173" s="7" t="s">
        <v>195</v>
      </c>
      <c r="L173" s="7" t="s">
        <v>195</v>
      </c>
      <c r="M173" s="7" t="s">
        <v>29</v>
      </c>
      <c r="N173" s="7" t="s">
        <v>29</v>
      </c>
      <c r="O173" s="7" t="s">
        <v>29</v>
      </c>
      <c r="P173" s="7" t="s">
        <v>29</v>
      </c>
      <c r="Q173" s="7" t="s">
        <v>29</v>
      </c>
      <c r="R173" s="7" t="s">
        <v>29</v>
      </c>
      <c r="S173" s="7" t="s">
        <v>29</v>
      </c>
    </row>
    <row r="174" spans="2:19">
      <c r="B174" s="7" t="s">
        <v>195</v>
      </c>
      <c r="C174" s="8" t="s">
        <v>195</v>
      </c>
      <c r="D174" s="6" t="str">
        <f>LRTRIM(CONCATENATE(IF(SUMPRODUCT(-- ISNUMBER(SEARCH({"Auto Number"}, $B174))) &gt; 0, $B174, IF(SUMPRODUCT(-- ISNUMBER(SEARCH({"Lookup","Master-Detail"}, $B174))) &gt; 0,$B174 &amp; "(" &amp; $E174 &amp; ")",IF(SUMPRODUCT(-- ISNUMBER(SEARCH({"Formula","Roll-Up Summary"}, $B174))) &gt; 0,$B174 &amp; " (" &amp; $E174 &amp; ")",IF(SUMPRODUCT(-- ISNUMBER(SEARCH({"Content","Currency","Number","Percent","Text","URL"}, $B174))) &gt; 0,$B174 &amp; "(" &amp; $C174 &amp; ")",$B174)))), "  ", TRIM(IF($S174 = "YES", "(External ID)", "") &amp; " " &amp; IF(SUMPRODUCT(-- ISNUMBER(SEARCH({"Unique","Unique Case Insensitive"}, $R174))) &gt; 0, "(" &amp; $R174 &amp; ")", ""))))</f>
        <v>na</v>
      </c>
      <c r="E174" s="7" t="s">
        <v>195</v>
      </c>
      <c r="F174" s="7" t="s">
        <v>195</v>
      </c>
      <c r="G174" s="7" t="s">
        <v>195</v>
      </c>
      <c r="H174" s="7" t="s">
        <v>195</v>
      </c>
      <c r="I174" s="7" t="s">
        <v>195</v>
      </c>
      <c r="J174" s="7" t="s">
        <v>195</v>
      </c>
      <c r="K174" s="7" t="s">
        <v>195</v>
      </c>
      <c r="L174" s="7" t="s">
        <v>195</v>
      </c>
      <c r="M174" s="7" t="s">
        <v>29</v>
      </c>
      <c r="N174" s="7" t="s">
        <v>29</v>
      </c>
      <c r="O174" s="7" t="s">
        <v>29</v>
      </c>
      <c r="P174" s="7" t="s">
        <v>29</v>
      </c>
      <c r="Q174" s="7" t="s">
        <v>29</v>
      </c>
      <c r="R174" s="7" t="s">
        <v>29</v>
      </c>
      <c r="S174" s="7" t="s">
        <v>29</v>
      </c>
    </row>
    <row r="175" spans="2:19">
      <c r="B175" s="7" t="s">
        <v>195</v>
      </c>
      <c r="C175" s="8" t="s">
        <v>195</v>
      </c>
      <c r="D175" s="6" t="str">
        <f>LRTRIM(CONCATENATE(IF(SUMPRODUCT(-- ISNUMBER(SEARCH({"Auto Number"}, $B175))) &gt; 0, $B175, IF(SUMPRODUCT(-- ISNUMBER(SEARCH({"Lookup","Master-Detail"}, $B175))) &gt; 0,$B175 &amp; "(" &amp; $E175 &amp; ")",IF(SUMPRODUCT(-- ISNUMBER(SEARCH({"Formula","Roll-Up Summary"}, $B175))) &gt; 0,$B175 &amp; " (" &amp; $E175 &amp; ")",IF(SUMPRODUCT(-- ISNUMBER(SEARCH({"Content","Currency","Number","Percent","Text","URL"}, $B175))) &gt; 0,$B175 &amp; "(" &amp; $C175 &amp; ")",$B175)))), "  ", TRIM(IF($S175 = "YES", "(External ID)", "") &amp; " " &amp; IF(SUMPRODUCT(-- ISNUMBER(SEARCH({"Unique","Unique Case Insensitive"}, $R175))) &gt; 0, "(" &amp; $R175 &amp; ")", ""))))</f>
        <v>na</v>
      </c>
      <c r="E175" s="7" t="s">
        <v>195</v>
      </c>
      <c r="F175" s="7" t="s">
        <v>195</v>
      </c>
      <c r="G175" s="7" t="s">
        <v>195</v>
      </c>
      <c r="H175" s="7" t="s">
        <v>195</v>
      </c>
      <c r="I175" s="7" t="s">
        <v>195</v>
      </c>
      <c r="J175" s="7" t="s">
        <v>195</v>
      </c>
      <c r="K175" s="7" t="s">
        <v>195</v>
      </c>
      <c r="L175" s="7" t="s">
        <v>195</v>
      </c>
      <c r="M175" s="7" t="s">
        <v>29</v>
      </c>
      <c r="N175" s="7" t="s">
        <v>29</v>
      </c>
      <c r="O175" s="7" t="s">
        <v>29</v>
      </c>
      <c r="P175" s="7" t="s">
        <v>29</v>
      </c>
      <c r="Q175" s="7" t="s">
        <v>29</v>
      </c>
      <c r="R175" s="7" t="s">
        <v>29</v>
      </c>
      <c r="S175" s="7" t="s">
        <v>29</v>
      </c>
    </row>
    <row r="176" spans="2:19">
      <c r="B176" s="7" t="s">
        <v>195</v>
      </c>
      <c r="C176" s="8" t="s">
        <v>195</v>
      </c>
      <c r="D176" s="6" t="str">
        <f>LRTRIM(CONCATENATE(IF(SUMPRODUCT(-- ISNUMBER(SEARCH({"Auto Number"}, $B176))) &gt; 0, $B176, IF(SUMPRODUCT(-- ISNUMBER(SEARCH({"Lookup","Master-Detail"}, $B176))) &gt; 0,$B176 &amp; "(" &amp; $E176 &amp; ")",IF(SUMPRODUCT(-- ISNUMBER(SEARCH({"Formula","Roll-Up Summary"}, $B176))) &gt; 0,$B176 &amp; " (" &amp; $E176 &amp; ")",IF(SUMPRODUCT(-- ISNUMBER(SEARCH({"Content","Currency","Number","Percent","Text","URL"}, $B176))) &gt; 0,$B176 &amp; "(" &amp; $C176 &amp; ")",$B176)))), "  ", TRIM(IF($S176 = "YES", "(External ID)", "") &amp; " " &amp; IF(SUMPRODUCT(-- ISNUMBER(SEARCH({"Unique","Unique Case Insensitive"}, $R176))) &gt; 0, "(" &amp; $R176 &amp; ")", ""))))</f>
        <v>na</v>
      </c>
      <c r="E176" s="7" t="s">
        <v>195</v>
      </c>
      <c r="F176" s="7" t="s">
        <v>195</v>
      </c>
      <c r="G176" s="7" t="s">
        <v>195</v>
      </c>
      <c r="H176" s="7" t="s">
        <v>195</v>
      </c>
      <c r="I176" s="7" t="s">
        <v>195</v>
      </c>
      <c r="J176" s="7" t="s">
        <v>195</v>
      </c>
      <c r="K176" s="7" t="s">
        <v>195</v>
      </c>
      <c r="L176" s="7" t="s">
        <v>195</v>
      </c>
      <c r="M176" s="7" t="s">
        <v>29</v>
      </c>
      <c r="N176" s="7" t="s">
        <v>29</v>
      </c>
      <c r="O176" s="7" t="s">
        <v>29</v>
      </c>
      <c r="P176" s="7" t="s">
        <v>29</v>
      </c>
      <c r="Q176" s="7" t="s">
        <v>29</v>
      </c>
      <c r="R176" s="7" t="s">
        <v>29</v>
      </c>
      <c r="S176" s="7" t="s">
        <v>29</v>
      </c>
    </row>
    <row r="177" spans="2:19">
      <c r="B177" s="7" t="s">
        <v>195</v>
      </c>
      <c r="C177" s="8" t="s">
        <v>195</v>
      </c>
      <c r="D177" s="6" t="str">
        <f>LRTRIM(CONCATENATE(IF(SUMPRODUCT(-- ISNUMBER(SEARCH({"Auto Number"}, $B177))) &gt; 0, $B177, IF(SUMPRODUCT(-- ISNUMBER(SEARCH({"Lookup","Master-Detail"}, $B177))) &gt; 0,$B177 &amp; "(" &amp; $E177 &amp; ")",IF(SUMPRODUCT(-- ISNUMBER(SEARCH({"Formula","Roll-Up Summary"}, $B177))) &gt; 0,$B177 &amp; " (" &amp; $E177 &amp; ")",IF(SUMPRODUCT(-- ISNUMBER(SEARCH({"Content","Currency","Number","Percent","Text","URL"}, $B177))) &gt; 0,$B177 &amp; "(" &amp; $C177 &amp; ")",$B177)))), "  ", TRIM(IF($S177 = "YES", "(External ID)", "") &amp; " " &amp; IF(SUMPRODUCT(-- ISNUMBER(SEARCH({"Unique","Unique Case Insensitive"}, $R177))) &gt; 0, "(" &amp; $R177 &amp; ")", ""))))</f>
        <v>na</v>
      </c>
      <c r="E177" s="7" t="s">
        <v>195</v>
      </c>
      <c r="F177" s="7" t="s">
        <v>195</v>
      </c>
      <c r="G177" s="7" t="s">
        <v>195</v>
      </c>
      <c r="H177" s="7" t="s">
        <v>195</v>
      </c>
      <c r="I177" s="7" t="s">
        <v>195</v>
      </c>
      <c r="J177" s="7" t="s">
        <v>195</v>
      </c>
      <c r="K177" s="7" t="s">
        <v>195</v>
      </c>
      <c r="L177" s="7" t="s">
        <v>195</v>
      </c>
      <c r="M177" s="7" t="s">
        <v>29</v>
      </c>
      <c r="N177" s="7" t="s">
        <v>29</v>
      </c>
      <c r="O177" s="7" t="s">
        <v>29</v>
      </c>
      <c r="P177" s="7" t="s">
        <v>29</v>
      </c>
      <c r="Q177" s="7" t="s">
        <v>29</v>
      </c>
      <c r="R177" s="7" t="s">
        <v>29</v>
      </c>
      <c r="S177" s="7" t="s">
        <v>29</v>
      </c>
    </row>
    <row r="178" spans="2:19">
      <c r="B178" s="7" t="s">
        <v>195</v>
      </c>
      <c r="C178" s="8" t="s">
        <v>195</v>
      </c>
      <c r="D178" s="6" t="str">
        <f>LRTRIM(CONCATENATE(IF(SUMPRODUCT(-- ISNUMBER(SEARCH({"Auto Number"}, $B178))) &gt; 0, $B178, IF(SUMPRODUCT(-- ISNUMBER(SEARCH({"Lookup","Master-Detail"}, $B178))) &gt; 0,$B178 &amp; "(" &amp; $E178 &amp; ")",IF(SUMPRODUCT(-- ISNUMBER(SEARCH({"Formula","Roll-Up Summary"}, $B178))) &gt; 0,$B178 &amp; " (" &amp; $E178 &amp; ")",IF(SUMPRODUCT(-- ISNUMBER(SEARCH({"Content","Currency","Number","Percent","Text","URL"}, $B178))) &gt; 0,$B178 &amp; "(" &amp; $C178 &amp; ")",$B178)))), "  ", TRIM(IF($S178 = "YES", "(External ID)", "") &amp; " " &amp; IF(SUMPRODUCT(-- ISNUMBER(SEARCH({"Unique","Unique Case Insensitive"}, $R178))) &gt; 0, "(" &amp; $R178 &amp; ")", ""))))</f>
        <v>na</v>
      </c>
      <c r="E178" s="7" t="s">
        <v>195</v>
      </c>
      <c r="F178" s="7" t="s">
        <v>195</v>
      </c>
      <c r="G178" s="7" t="s">
        <v>195</v>
      </c>
      <c r="H178" s="7" t="s">
        <v>195</v>
      </c>
      <c r="I178" s="7" t="s">
        <v>195</v>
      </c>
      <c r="J178" s="7" t="s">
        <v>195</v>
      </c>
      <c r="K178" s="7" t="s">
        <v>195</v>
      </c>
      <c r="L178" s="7" t="s">
        <v>195</v>
      </c>
      <c r="M178" s="7" t="s">
        <v>29</v>
      </c>
      <c r="N178" s="7" t="s">
        <v>29</v>
      </c>
      <c r="O178" s="7" t="s">
        <v>29</v>
      </c>
      <c r="P178" s="7" t="s">
        <v>29</v>
      </c>
      <c r="Q178" s="7" t="s">
        <v>29</v>
      </c>
      <c r="R178" s="7" t="s">
        <v>29</v>
      </c>
      <c r="S178" s="7" t="s">
        <v>29</v>
      </c>
    </row>
    <row r="179" spans="2:19">
      <c r="B179" s="7" t="s">
        <v>195</v>
      </c>
      <c r="C179" s="8" t="s">
        <v>195</v>
      </c>
      <c r="D179" s="6" t="str">
        <f>LRTRIM(CONCATENATE(IF(SUMPRODUCT(-- ISNUMBER(SEARCH({"Auto Number"}, $B179))) &gt; 0, $B179, IF(SUMPRODUCT(-- ISNUMBER(SEARCH({"Lookup","Master-Detail"}, $B179))) &gt; 0,$B179 &amp; "(" &amp; $E179 &amp; ")",IF(SUMPRODUCT(-- ISNUMBER(SEARCH({"Formula","Roll-Up Summary"}, $B179))) &gt; 0,$B179 &amp; " (" &amp; $E179 &amp; ")",IF(SUMPRODUCT(-- ISNUMBER(SEARCH({"Content","Currency","Number","Percent","Text","URL"}, $B179))) &gt; 0,$B179 &amp; "(" &amp; $C179 &amp; ")",$B179)))), "  ", TRIM(IF($S179 = "YES", "(External ID)", "") &amp; " " &amp; IF(SUMPRODUCT(-- ISNUMBER(SEARCH({"Unique","Unique Case Insensitive"}, $R179))) &gt; 0, "(" &amp; $R179 &amp; ")", ""))))</f>
        <v>na</v>
      </c>
      <c r="E179" s="7" t="s">
        <v>195</v>
      </c>
      <c r="F179" s="7" t="s">
        <v>195</v>
      </c>
      <c r="G179" s="7" t="s">
        <v>195</v>
      </c>
      <c r="H179" s="7" t="s">
        <v>195</v>
      </c>
      <c r="I179" s="7" t="s">
        <v>195</v>
      </c>
      <c r="J179" s="7" t="s">
        <v>195</v>
      </c>
      <c r="K179" s="7" t="s">
        <v>195</v>
      </c>
      <c r="L179" s="7" t="s">
        <v>195</v>
      </c>
      <c r="M179" s="7" t="s">
        <v>29</v>
      </c>
      <c r="N179" s="7" t="s">
        <v>29</v>
      </c>
      <c r="O179" s="7" t="s">
        <v>29</v>
      </c>
      <c r="P179" s="7" t="s">
        <v>29</v>
      </c>
      <c r="Q179" s="7" t="s">
        <v>29</v>
      </c>
      <c r="R179" s="7" t="s">
        <v>29</v>
      </c>
      <c r="S179" s="7" t="s">
        <v>29</v>
      </c>
    </row>
    <row r="180" spans="2:19">
      <c r="B180" s="7" t="s">
        <v>195</v>
      </c>
      <c r="C180" s="8" t="s">
        <v>195</v>
      </c>
      <c r="D180" s="6" t="str">
        <f>LRTRIM(CONCATENATE(IF(SUMPRODUCT(-- ISNUMBER(SEARCH({"Auto Number"}, $B180))) &gt; 0, $B180, IF(SUMPRODUCT(-- ISNUMBER(SEARCH({"Lookup","Master-Detail"}, $B180))) &gt; 0,$B180 &amp; "(" &amp; $E180 &amp; ")",IF(SUMPRODUCT(-- ISNUMBER(SEARCH({"Formula","Roll-Up Summary"}, $B180))) &gt; 0,$B180 &amp; " (" &amp; $E180 &amp; ")",IF(SUMPRODUCT(-- ISNUMBER(SEARCH({"Content","Currency","Number","Percent","Text","URL"}, $B180))) &gt; 0,$B180 &amp; "(" &amp; $C180 &amp; ")",$B180)))), "  ", TRIM(IF($S180 = "YES", "(External ID)", "") &amp; " " &amp; IF(SUMPRODUCT(-- ISNUMBER(SEARCH({"Unique","Unique Case Insensitive"}, $R180))) &gt; 0, "(" &amp; $R180 &amp; ")", ""))))</f>
        <v>na</v>
      </c>
      <c r="E180" s="7" t="s">
        <v>195</v>
      </c>
      <c r="F180" s="7" t="s">
        <v>195</v>
      </c>
      <c r="G180" s="7" t="s">
        <v>195</v>
      </c>
      <c r="H180" s="7" t="s">
        <v>195</v>
      </c>
      <c r="I180" s="7" t="s">
        <v>195</v>
      </c>
      <c r="J180" s="7" t="s">
        <v>195</v>
      </c>
      <c r="K180" s="7" t="s">
        <v>195</v>
      </c>
      <c r="L180" s="7" t="s">
        <v>195</v>
      </c>
      <c r="M180" s="7" t="s">
        <v>29</v>
      </c>
      <c r="N180" s="7" t="s">
        <v>29</v>
      </c>
      <c r="O180" s="7" t="s">
        <v>29</v>
      </c>
      <c r="P180" s="7" t="s">
        <v>29</v>
      </c>
      <c r="Q180" s="7" t="s">
        <v>29</v>
      </c>
      <c r="R180" s="7" t="s">
        <v>29</v>
      </c>
      <c r="S180" s="7" t="s">
        <v>29</v>
      </c>
    </row>
    <row r="181" spans="2:19">
      <c r="B181" s="7" t="s">
        <v>195</v>
      </c>
      <c r="C181" s="8" t="s">
        <v>195</v>
      </c>
      <c r="D181" s="6" t="str">
        <f>LRTRIM(CONCATENATE(IF(SUMPRODUCT(-- ISNUMBER(SEARCH({"Auto Number"}, $B181))) &gt; 0, $B181, IF(SUMPRODUCT(-- ISNUMBER(SEARCH({"Lookup","Master-Detail"}, $B181))) &gt; 0,$B181 &amp; "(" &amp; $E181 &amp; ")",IF(SUMPRODUCT(-- ISNUMBER(SEARCH({"Formula","Roll-Up Summary"}, $B181))) &gt; 0,$B181 &amp; " (" &amp; $E181 &amp; ")",IF(SUMPRODUCT(-- ISNUMBER(SEARCH({"Content","Currency","Number","Percent","Text","URL"}, $B181))) &gt; 0,$B181 &amp; "(" &amp; $C181 &amp; ")",$B181)))), "  ", TRIM(IF($S181 = "YES", "(External ID)", "") &amp; " " &amp; IF(SUMPRODUCT(-- ISNUMBER(SEARCH({"Unique","Unique Case Insensitive"}, $R181))) &gt; 0, "(" &amp; $R181 &amp; ")", ""))))</f>
        <v>na</v>
      </c>
      <c r="E181" s="7" t="s">
        <v>195</v>
      </c>
      <c r="F181" s="7" t="s">
        <v>195</v>
      </c>
      <c r="G181" s="7" t="s">
        <v>195</v>
      </c>
      <c r="H181" s="7" t="s">
        <v>195</v>
      </c>
      <c r="I181" s="7" t="s">
        <v>195</v>
      </c>
      <c r="J181" s="7" t="s">
        <v>195</v>
      </c>
      <c r="K181" s="7" t="s">
        <v>195</v>
      </c>
      <c r="L181" s="7" t="s">
        <v>195</v>
      </c>
      <c r="M181" s="7" t="s">
        <v>29</v>
      </c>
      <c r="N181" s="7" t="s">
        <v>29</v>
      </c>
      <c r="O181" s="7" t="s">
        <v>29</v>
      </c>
      <c r="P181" s="7" t="s">
        <v>29</v>
      </c>
      <c r="Q181" s="7" t="s">
        <v>29</v>
      </c>
      <c r="R181" s="7" t="s">
        <v>29</v>
      </c>
      <c r="S181" s="7" t="s">
        <v>29</v>
      </c>
    </row>
    <row r="182" spans="2:19">
      <c r="B182" s="7" t="s">
        <v>195</v>
      </c>
      <c r="C182" s="8" t="s">
        <v>195</v>
      </c>
      <c r="D182" s="6" t="str">
        <f>LRTRIM(CONCATENATE(IF(SUMPRODUCT(-- ISNUMBER(SEARCH({"Auto Number"}, $B182))) &gt; 0, $B182, IF(SUMPRODUCT(-- ISNUMBER(SEARCH({"Lookup","Master-Detail"}, $B182))) &gt; 0,$B182 &amp; "(" &amp; $E182 &amp; ")",IF(SUMPRODUCT(-- ISNUMBER(SEARCH({"Formula","Roll-Up Summary"}, $B182))) &gt; 0,$B182 &amp; " (" &amp; $E182 &amp; ")",IF(SUMPRODUCT(-- ISNUMBER(SEARCH({"Content","Currency","Number","Percent","Text","URL"}, $B182))) &gt; 0,$B182 &amp; "(" &amp; $C182 &amp; ")",$B182)))), "  ", TRIM(IF($S182 = "YES", "(External ID)", "") &amp; " " &amp; IF(SUMPRODUCT(-- ISNUMBER(SEARCH({"Unique","Unique Case Insensitive"}, $R182))) &gt; 0, "(" &amp; $R182 &amp; ")", ""))))</f>
        <v>na</v>
      </c>
      <c r="E182" s="7" t="s">
        <v>195</v>
      </c>
      <c r="F182" s="7" t="s">
        <v>195</v>
      </c>
      <c r="G182" s="7" t="s">
        <v>195</v>
      </c>
      <c r="H182" s="7" t="s">
        <v>195</v>
      </c>
      <c r="I182" s="7" t="s">
        <v>195</v>
      </c>
      <c r="J182" s="7" t="s">
        <v>195</v>
      </c>
      <c r="K182" s="7" t="s">
        <v>195</v>
      </c>
      <c r="L182" s="7" t="s">
        <v>195</v>
      </c>
      <c r="M182" s="7" t="s">
        <v>29</v>
      </c>
      <c r="N182" s="7" t="s">
        <v>29</v>
      </c>
      <c r="O182" s="7" t="s">
        <v>29</v>
      </c>
      <c r="P182" s="7" t="s">
        <v>29</v>
      </c>
      <c r="Q182" s="7" t="s">
        <v>29</v>
      </c>
      <c r="R182" s="7" t="s">
        <v>29</v>
      </c>
      <c r="S182" s="7" t="s">
        <v>29</v>
      </c>
    </row>
    <row r="183" spans="2:19">
      <c r="B183" s="7" t="s">
        <v>195</v>
      </c>
      <c r="C183" s="8" t="s">
        <v>195</v>
      </c>
      <c r="D183" s="6" t="str">
        <f>LRTRIM(CONCATENATE(IF(SUMPRODUCT(-- ISNUMBER(SEARCH({"Auto Number"}, $B183))) &gt; 0, $B183, IF(SUMPRODUCT(-- ISNUMBER(SEARCH({"Lookup","Master-Detail"}, $B183))) &gt; 0,$B183 &amp; "(" &amp; $E183 &amp; ")",IF(SUMPRODUCT(-- ISNUMBER(SEARCH({"Formula","Roll-Up Summary"}, $B183))) &gt; 0,$B183 &amp; " (" &amp; $E183 &amp; ")",IF(SUMPRODUCT(-- ISNUMBER(SEARCH({"Content","Currency","Number","Percent","Text","URL"}, $B183))) &gt; 0,$B183 &amp; "(" &amp; $C183 &amp; ")",$B183)))), "  ", TRIM(IF($S183 = "YES", "(External ID)", "") &amp; " " &amp; IF(SUMPRODUCT(-- ISNUMBER(SEARCH({"Unique","Unique Case Insensitive"}, $R183))) &gt; 0, "(" &amp; $R183 &amp; ")", ""))))</f>
        <v>na</v>
      </c>
      <c r="E183" s="7" t="s">
        <v>195</v>
      </c>
      <c r="F183" s="7" t="s">
        <v>195</v>
      </c>
      <c r="G183" s="7" t="s">
        <v>195</v>
      </c>
      <c r="H183" s="7" t="s">
        <v>195</v>
      </c>
      <c r="I183" s="7" t="s">
        <v>195</v>
      </c>
      <c r="J183" s="7" t="s">
        <v>195</v>
      </c>
      <c r="K183" s="7" t="s">
        <v>195</v>
      </c>
      <c r="L183" s="7" t="s">
        <v>195</v>
      </c>
      <c r="M183" s="7" t="s">
        <v>29</v>
      </c>
      <c r="N183" s="7" t="s">
        <v>29</v>
      </c>
      <c r="O183" s="7" t="s">
        <v>29</v>
      </c>
      <c r="P183" s="7" t="s">
        <v>29</v>
      </c>
      <c r="Q183" s="7" t="s">
        <v>29</v>
      </c>
      <c r="R183" s="7" t="s">
        <v>29</v>
      </c>
      <c r="S183" s="7" t="s">
        <v>29</v>
      </c>
    </row>
    <row r="184" spans="2:19">
      <c r="B184" s="7" t="s">
        <v>195</v>
      </c>
      <c r="C184" s="8" t="s">
        <v>195</v>
      </c>
      <c r="D184" s="6" t="str">
        <f>LRTRIM(CONCATENATE(IF(SUMPRODUCT(-- ISNUMBER(SEARCH({"Auto Number"}, $B184))) &gt; 0, $B184, IF(SUMPRODUCT(-- ISNUMBER(SEARCH({"Lookup","Master-Detail"}, $B184))) &gt; 0,$B184 &amp; "(" &amp; $E184 &amp; ")",IF(SUMPRODUCT(-- ISNUMBER(SEARCH({"Formula","Roll-Up Summary"}, $B184))) &gt; 0,$B184 &amp; " (" &amp; $E184 &amp; ")",IF(SUMPRODUCT(-- ISNUMBER(SEARCH({"Content","Currency","Number","Percent","Text","URL"}, $B184))) &gt; 0,$B184 &amp; "(" &amp; $C184 &amp; ")",$B184)))), "  ", TRIM(IF($S184 = "YES", "(External ID)", "") &amp; " " &amp; IF(SUMPRODUCT(-- ISNUMBER(SEARCH({"Unique","Unique Case Insensitive"}, $R184))) &gt; 0, "(" &amp; $R184 &amp; ")", ""))))</f>
        <v>na</v>
      </c>
      <c r="E184" s="7" t="s">
        <v>195</v>
      </c>
      <c r="F184" s="7" t="s">
        <v>195</v>
      </c>
      <c r="G184" s="7" t="s">
        <v>195</v>
      </c>
      <c r="H184" s="7" t="s">
        <v>195</v>
      </c>
      <c r="I184" s="7" t="s">
        <v>195</v>
      </c>
      <c r="J184" s="7" t="s">
        <v>195</v>
      </c>
      <c r="K184" s="7" t="s">
        <v>195</v>
      </c>
      <c r="L184" s="7" t="s">
        <v>195</v>
      </c>
      <c r="M184" s="7" t="s">
        <v>29</v>
      </c>
      <c r="N184" s="7" t="s">
        <v>29</v>
      </c>
      <c r="O184" s="7" t="s">
        <v>29</v>
      </c>
      <c r="P184" s="7" t="s">
        <v>29</v>
      </c>
      <c r="Q184" s="7" t="s">
        <v>29</v>
      </c>
      <c r="R184" s="7" t="s">
        <v>29</v>
      </c>
      <c r="S184" s="7" t="s">
        <v>29</v>
      </c>
    </row>
    <row r="185" spans="2:19">
      <c r="B185" s="7" t="s">
        <v>195</v>
      </c>
      <c r="C185" s="8" t="s">
        <v>195</v>
      </c>
      <c r="D185" s="6" t="str">
        <f>LRTRIM(CONCATENATE(IF(SUMPRODUCT(-- ISNUMBER(SEARCH({"Auto Number"}, $B185))) &gt; 0, $B185, IF(SUMPRODUCT(-- ISNUMBER(SEARCH({"Lookup","Master-Detail"}, $B185))) &gt; 0,$B185 &amp; "(" &amp; $E185 &amp; ")",IF(SUMPRODUCT(-- ISNUMBER(SEARCH({"Formula","Roll-Up Summary"}, $B185))) &gt; 0,$B185 &amp; " (" &amp; $E185 &amp; ")",IF(SUMPRODUCT(-- ISNUMBER(SEARCH({"Content","Currency","Number","Percent","Text","URL"}, $B185))) &gt; 0,$B185 &amp; "(" &amp; $C185 &amp; ")",$B185)))), "  ", TRIM(IF($S185 = "YES", "(External ID)", "") &amp; " " &amp; IF(SUMPRODUCT(-- ISNUMBER(SEARCH({"Unique","Unique Case Insensitive"}, $R185))) &gt; 0, "(" &amp; $R185 &amp; ")", ""))))</f>
        <v>na</v>
      </c>
      <c r="E185" s="7" t="s">
        <v>195</v>
      </c>
      <c r="F185" s="7" t="s">
        <v>195</v>
      </c>
      <c r="G185" s="7" t="s">
        <v>195</v>
      </c>
      <c r="H185" s="7" t="s">
        <v>195</v>
      </c>
      <c r="I185" s="7" t="s">
        <v>195</v>
      </c>
      <c r="J185" s="7" t="s">
        <v>195</v>
      </c>
      <c r="K185" s="7" t="s">
        <v>195</v>
      </c>
      <c r="L185" s="7" t="s">
        <v>195</v>
      </c>
      <c r="M185" s="7" t="s">
        <v>29</v>
      </c>
      <c r="N185" s="7" t="s">
        <v>29</v>
      </c>
      <c r="O185" s="7" t="s">
        <v>29</v>
      </c>
      <c r="P185" s="7" t="s">
        <v>29</v>
      </c>
      <c r="Q185" s="7" t="s">
        <v>29</v>
      </c>
      <c r="R185" s="7" t="s">
        <v>29</v>
      </c>
      <c r="S185" s="7" t="s">
        <v>29</v>
      </c>
    </row>
    <row r="186" spans="2:19">
      <c r="B186" s="7" t="s">
        <v>195</v>
      </c>
      <c r="C186" s="8" t="s">
        <v>195</v>
      </c>
      <c r="D186" s="6" t="str">
        <f>LRTRIM(CONCATENATE(IF(SUMPRODUCT(-- ISNUMBER(SEARCH({"Auto Number"}, $B186))) &gt; 0, $B186, IF(SUMPRODUCT(-- ISNUMBER(SEARCH({"Lookup","Master-Detail"}, $B186))) &gt; 0,$B186 &amp; "(" &amp; $E186 &amp; ")",IF(SUMPRODUCT(-- ISNUMBER(SEARCH({"Formula","Roll-Up Summary"}, $B186))) &gt; 0,$B186 &amp; " (" &amp; $E186 &amp; ")",IF(SUMPRODUCT(-- ISNUMBER(SEARCH({"Content","Currency","Number","Percent","Text","URL"}, $B186))) &gt; 0,$B186 &amp; "(" &amp; $C186 &amp; ")",$B186)))), "  ", TRIM(IF($S186 = "YES", "(External ID)", "") &amp; " " &amp; IF(SUMPRODUCT(-- ISNUMBER(SEARCH({"Unique","Unique Case Insensitive"}, $R186))) &gt; 0, "(" &amp; $R186 &amp; ")", ""))))</f>
        <v>na</v>
      </c>
      <c r="E186" s="7" t="s">
        <v>195</v>
      </c>
      <c r="F186" s="7" t="s">
        <v>195</v>
      </c>
      <c r="G186" s="7" t="s">
        <v>195</v>
      </c>
      <c r="H186" s="7" t="s">
        <v>195</v>
      </c>
      <c r="I186" s="7" t="s">
        <v>195</v>
      </c>
      <c r="J186" s="7" t="s">
        <v>195</v>
      </c>
      <c r="K186" s="7" t="s">
        <v>195</v>
      </c>
      <c r="L186" s="7" t="s">
        <v>195</v>
      </c>
      <c r="M186" s="7" t="s">
        <v>29</v>
      </c>
      <c r="N186" s="7" t="s">
        <v>29</v>
      </c>
      <c r="O186" s="7" t="s">
        <v>29</v>
      </c>
      <c r="P186" s="7" t="s">
        <v>29</v>
      </c>
      <c r="Q186" s="7" t="s">
        <v>29</v>
      </c>
      <c r="R186" s="7" t="s">
        <v>29</v>
      </c>
      <c r="S186" s="7" t="s">
        <v>29</v>
      </c>
    </row>
    <row r="187" spans="2:19">
      <c r="B187" s="7" t="s">
        <v>195</v>
      </c>
      <c r="C187" s="8" t="s">
        <v>195</v>
      </c>
      <c r="D187" s="6" t="str">
        <f>LRTRIM(CONCATENATE(IF(SUMPRODUCT(-- ISNUMBER(SEARCH({"Auto Number"}, $B187))) &gt; 0, $B187, IF(SUMPRODUCT(-- ISNUMBER(SEARCH({"Lookup","Master-Detail"}, $B187))) &gt; 0,$B187 &amp; "(" &amp; $E187 &amp; ")",IF(SUMPRODUCT(-- ISNUMBER(SEARCH({"Formula","Roll-Up Summary"}, $B187))) &gt; 0,$B187 &amp; " (" &amp; $E187 &amp; ")",IF(SUMPRODUCT(-- ISNUMBER(SEARCH({"Content","Currency","Number","Percent","Text","URL"}, $B187))) &gt; 0,$B187 &amp; "(" &amp; $C187 &amp; ")",$B187)))), "  ", TRIM(IF($S187 = "YES", "(External ID)", "") &amp; " " &amp; IF(SUMPRODUCT(-- ISNUMBER(SEARCH({"Unique","Unique Case Insensitive"}, $R187))) &gt; 0, "(" &amp; $R187 &amp; ")", ""))))</f>
        <v>na</v>
      </c>
      <c r="E187" s="7" t="s">
        <v>195</v>
      </c>
      <c r="F187" s="7" t="s">
        <v>195</v>
      </c>
      <c r="G187" s="7" t="s">
        <v>195</v>
      </c>
      <c r="H187" s="7" t="s">
        <v>195</v>
      </c>
      <c r="I187" s="7" t="s">
        <v>195</v>
      </c>
      <c r="J187" s="7" t="s">
        <v>195</v>
      </c>
      <c r="K187" s="7" t="s">
        <v>195</v>
      </c>
      <c r="L187" s="7" t="s">
        <v>195</v>
      </c>
      <c r="M187" s="7" t="s">
        <v>29</v>
      </c>
      <c r="N187" s="7" t="s">
        <v>29</v>
      </c>
      <c r="O187" s="7" t="s">
        <v>29</v>
      </c>
      <c r="P187" s="7" t="s">
        <v>29</v>
      </c>
      <c r="Q187" s="7" t="s">
        <v>29</v>
      </c>
      <c r="R187" s="7" t="s">
        <v>29</v>
      </c>
      <c r="S187" s="7" t="s">
        <v>29</v>
      </c>
    </row>
    <row r="188" spans="2:19">
      <c r="B188" s="7" t="s">
        <v>195</v>
      </c>
      <c r="C188" s="8" t="s">
        <v>195</v>
      </c>
      <c r="D188" s="6" t="str">
        <f>LRTRIM(CONCATENATE(IF(SUMPRODUCT(-- ISNUMBER(SEARCH({"Auto Number"}, $B188))) &gt; 0, $B188, IF(SUMPRODUCT(-- ISNUMBER(SEARCH({"Lookup","Master-Detail"}, $B188))) &gt; 0,$B188 &amp; "(" &amp; $E188 &amp; ")",IF(SUMPRODUCT(-- ISNUMBER(SEARCH({"Formula","Roll-Up Summary"}, $B188))) &gt; 0,$B188 &amp; " (" &amp; $E188 &amp; ")",IF(SUMPRODUCT(-- ISNUMBER(SEARCH({"Content","Currency","Number","Percent","Text","URL"}, $B188))) &gt; 0,$B188 &amp; "(" &amp; $C188 &amp; ")",$B188)))), "  ", TRIM(IF($S188 = "YES", "(External ID)", "") &amp; " " &amp; IF(SUMPRODUCT(-- ISNUMBER(SEARCH({"Unique","Unique Case Insensitive"}, $R188))) &gt; 0, "(" &amp; $R188 &amp; ")", ""))))</f>
        <v>na</v>
      </c>
      <c r="E188" s="7" t="s">
        <v>195</v>
      </c>
      <c r="F188" s="7" t="s">
        <v>195</v>
      </c>
      <c r="G188" s="7" t="s">
        <v>195</v>
      </c>
      <c r="H188" s="7" t="s">
        <v>195</v>
      </c>
      <c r="I188" s="7" t="s">
        <v>195</v>
      </c>
      <c r="J188" s="7" t="s">
        <v>195</v>
      </c>
      <c r="K188" s="7" t="s">
        <v>195</v>
      </c>
      <c r="L188" s="7" t="s">
        <v>195</v>
      </c>
      <c r="M188" s="7" t="s">
        <v>29</v>
      </c>
      <c r="N188" s="7" t="s">
        <v>29</v>
      </c>
      <c r="O188" s="7" t="s">
        <v>29</v>
      </c>
      <c r="P188" s="7" t="s">
        <v>29</v>
      </c>
      <c r="Q188" s="7" t="s">
        <v>29</v>
      </c>
      <c r="R188" s="7" t="s">
        <v>29</v>
      </c>
      <c r="S188" s="7" t="s">
        <v>29</v>
      </c>
    </row>
    <row r="189" spans="2:19">
      <c r="B189" s="7" t="s">
        <v>195</v>
      </c>
      <c r="C189" s="8" t="s">
        <v>195</v>
      </c>
      <c r="D189" s="6" t="str">
        <f>LRTRIM(CONCATENATE(IF(SUMPRODUCT(-- ISNUMBER(SEARCH({"Auto Number"}, $B189))) &gt; 0, $B189, IF(SUMPRODUCT(-- ISNUMBER(SEARCH({"Lookup","Master-Detail"}, $B189))) &gt; 0,$B189 &amp; "(" &amp; $E189 &amp; ")",IF(SUMPRODUCT(-- ISNUMBER(SEARCH({"Formula","Roll-Up Summary"}, $B189))) &gt; 0,$B189 &amp; " (" &amp; $E189 &amp; ")",IF(SUMPRODUCT(-- ISNUMBER(SEARCH({"Content","Currency","Number","Percent","Text","URL"}, $B189))) &gt; 0,$B189 &amp; "(" &amp; $C189 &amp; ")",$B189)))), "  ", TRIM(IF($S189 = "YES", "(External ID)", "") &amp; " " &amp; IF(SUMPRODUCT(-- ISNUMBER(SEARCH({"Unique","Unique Case Insensitive"}, $R189))) &gt; 0, "(" &amp; $R189 &amp; ")", ""))))</f>
        <v>na</v>
      </c>
      <c r="E189" s="7" t="s">
        <v>195</v>
      </c>
      <c r="F189" s="7" t="s">
        <v>195</v>
      </c>
      <c r="G189" s="7" t="s">
        <v>195</v>
      </c>
      <c r="H189" s="7" t="s">
        <v>195</v>
      </c>
      <c r="I189" s="7" t="s">
        <v>195</v>
      </c>
      <c r="J189" s="7" t="s">
        <v>195</v>
      </c>
      <c r="K189" s="7" t="s">
        <v>195</v>
      </c>
      <c r="L189" s="7" t="s">
        <v>195</v>
      </c>
      <c r="M189" s="7" t="s">
        <v>29</v>
      </c>
      <c r="N189" s="7" t="s">
        <v>29</v>
      </c>
      <c r="O189" s="7" t="s">
        <v>29</v>
      </c>
      <c r="P189" s="7" t="s">
        <v>29</v>
      </c>
      <c r="Q189" s="7" t="s">
        <v>29</v>
      </c>
      <c r="R189" s="7" t="s">
        <v>29</v>
      </c>
      <c r="S189" s="7" t="s">
        <v>29</v>
      </c>
    </row>
    <row r="190" spans="2:19">
      <c r="B190" s="7" t="s">
        <v>195</v>
      </c>
      <c r="C190" s="8" t="s">
        <v>195</v>
      </c>
      <c r="D190" s="6" t="str">
        <f>LRTRIM(CONCATENATE(IF(SUMPRODUCT(-- ISNUMBER(SEARCH({"Auto Number"}, $B190))) &gt; 0, $B190, IF(SUMPRODUCT(-- ISNUMBER(SEARCH({"Lookup","Master-Detail"}, $B190))) &gt; 0,$B190 &amp; "(" &amp; $E190 &amp; ")",IF(SUMPRODUCT(-- ISNUMBER(SEARCH({"Formula","Roll-Up Summary"}, $B190))) &gt; 0,$B190 &amp; " (" &amp; $E190 &amp; ")",IF(SUMPRODUCT(-- ISNUMBER(SEARCH({"Content","Currency","Number","Percent","Text","URL"}, $B190))) &gt; 0,$B190 &amp; "(" &amp; $C190 &amp; ")",$B190)))), "  ", TRIM(IF($S190 = "YES", "(External ID)", "") &amp; " " &amp; IF(SUMPRODUCT(-- ISNUMBER(SEARCH({"Unique","Unique Case Insensitive"}, $R190))) &gt; 0, "(" &amp; $R190 &amp; ")", ""))))</f>
        <v>na</v>
      </c>
      <c r="E190" s="7" t="s">
        <v>195</v>
      </c>
      <c r="F190" s="7" t="s">
        <v>195</v>
      </c>
      <c r="G190" s="7" t="s">
        <v>195</v>
      </c>
      <c r="H190" s="7" t="s">
        <v>195</v>
      </c>
      <c r="I190" s="7" t="s">
        <v>195</v>
      </c>
      <c r="J190" s="7" t="s">
        <v>195</v>
      </c>
      <c r="K190" s="7" t="s">
        <v>195</v>
      </c>
      <c r="L190" s="7" t="s">
        <v>195</v>
      </c>
      <c r="M190" s="7" t="s">
        <v>29</v>
      </c>
      <c r="N190" s="7" t="s">
        <v>29</v>
      </c>
      <c r="O190" s="7" t="s">
        <v>29</v>
      </c>
      <c r="P190" s="7" t="s">
        <v>29</v>
      </c>
      <c r="Q190" s="7" t="s">
        <v>29</v>
      </c>
      <c r="R190" s="7" t="s">
        <v>29</v>
      </c>
      <c r="S190" s="7" t="s">
        <v>29</v>
      </c>
    </row>
    <row r="191" spans="2:19">
      <c r="B191" s="7" t="s">
        <v>195</v>
      </c>
      <c r="C191" s="8" t="s">
        <v>195</v>
      </c>
      <c r="D191" s="6" t="str">
        <f>LRTRIM(CONCATENATE(IF(SUMPRODUCT(-- ISNUMBER(SEARCH({"Auto Number"}, $B191))) &gt; 0, $B191, IF(SUMPRODUCT(-- ISNUMBER(SEARCH({"Lookup","Master-Detail"}, $B191))) &gt; 0,$B191 &amp; "(" &amp; $E191 &amp; ")",IF(SUMPRODUCT(-- ISNUMBER(SEARCH({"Formula","Roll-Up Summary"}, $B191))) &gt; 0,$B191 &amp; " (" &amp; $E191 &amp; ")",IF(SUMPRODUCT(-- ISNUMBER(SEARCH({"Content","Currency","Number","Percent","Text","URL"}, $B191))) &gt; 0,$B191 &amp; "(" &amp; $C191 &amp; ")",$B191)))), "  ", TRIM(IF($S191 = "YES", "(External ID)", "") &amp; " " &amp; IF(SUMPRODUCT(-- ISNUMBER(SEARCH({"Unique","Unique Case Insensitive"}, $R191))) &gt; 0, "(" &amp; $R191 &amp; ")", ""))))</f>
        <v>na</v>
      </c>
      <c r="E191" s="7" t="s">
        <v>195</v>
      </c>
      <c r="F191" s="7" t="s">
        <v>195</v>
      </c>
      <c r="G191" s="7" t="s">
        <v>195</v>
      </c>
      <c r="H191" s="7" t="s">
        <v>195</v>
      </c>
      <c r="I191" s="7" t="s">
        <v>195</v>
      </c>
      <c r="J191" s="7" t="s">
        <v>195</v>
      </c>
      <c r="K191" s="7" t="s">
        <v>195</v>
      </c>
      <c r="L191" s="7" t="s">
        <v>195</v>
      </c>
      <c r="M191" s="7" t="s">
        <v>29</v>
      </c>
      <c r="N191" s="7" t="s">
        <v>29</v>
      </c>
      <c r="O191" s="7" t="s">
        <v>29</v>
      </c>
      <c r="P191" s="7" t="s">
        <v>29</v>
      </c>
      <c r="Q191" s="7" t="s">
        <v>29</v>
      </c>
      <c r="R191" s="7" t="s">
        <v>29</v>
      </c>
      <c r="S191" s="7" t="s">
        <v>29</v>
      </c>
    </row>
    <row r="192" spans="2:19">
      <c r="B192" s="7" t="s">
        <v>195</v>
      </c>
      <c r="C192" s="8" t="s">
        <v>195</v>
      </c>
      <c r="D192" s="6" t="str">
        <f>LRTRIM(CONCATENATE(IF(SUMPRODUCT(-- ISNUMBER(SEARCH({"Auto Number"}, $B192))) &gt; 0, $B192, IF(SUMPRODUCT(-- ISNUMBER(SEARCH({"Lookup","Master-Detail"}, $B192))) &gt; 0,$B192 &amp; "(" &amp; $E192 &amp; ")",IF(SUMPRODUCT(-- ISNUMBER(SEARCH({"Formula","Roll-Up Summary"}, $B192))) &gt; 0,$B192 &amp; " (" &amp; $E192 &amp; ")",IF(SUMPRODUCT(-- ISNUMBER(SEARCH({"Content","Currency","Number","Percent","Text","URL"}, $B192))) &gt; 0,$B192 &amp; "(" &amp; $C192 &amp; ")",$B192)))), "  ", TRIM(IF($S192 = "YES", "(External ID)", "") &amp; " " &amp; IF(SUMPRODUCT(-- ISNUMBER(SEARCH({"Unique","Unique Case Insensitive"}, $R192))) &gt; 0, "(" &amp; $R192 &amp; ")", ""))))</f>
        <v>na</v>
      </c>
      <c r="E192" s="7" t="s">
        <v>195</v>
      </c>
      <c r="F192" s="7" t="s">
        <v>195</v>
      </c>
      <c r="G192" s="7" t="s">
        <v>195</v>
      </c>
      <c r="H192" s="7" t="s">
        <v>195</v>
      </c>
      <c r="I192" s="7" t="s">
        <v>195</v>
      </c>
      <c r="J192" s="7" t="s">
        <v>195</v>
      </c>
      <c r="K192" s="7" t="s">
        <v>195</v>
      </c>
      <c r="L192" s="7" t="s">
        <v>195</v>
      </c>
      <c r="M192" s="7" t="s">
        <v>29</v>
      </c>
      <c r="N192" s="7" t="s">
        <v>29</v>
      </c>
      <c r="O192" s="7" t="s">
        <v>29</v>
      </c>
      <c r="P192" s="7" t="s">
        <v>29</v>
      </c>
      <c r="Q192" s="7" t="s">
        <v>29</v>
      </c>
      <c r="R192" s="7" t="s">
        <v>29</v>
      </c>
      <c r="S192" s="7" t="s">
        <v>29</v>
      </c>
    </row>
    <row r="193" spans="2:19">
      <c r="B193" s="7" t="s">
        <v>195</v>
      </c>
      <c r="C193" s="8" t="s">
        <v>195</v>
      </c>
      <c r="D193" s="6" t="str">
        <f>LRTRIM(CONCATENATE(IF(SUMPRODUCT(-- ISNUMBER(SEARCH({"Auto Number"}, $B193))) &gt; 0, $B193, IF(SUMPRODUCT(-- ISNUMBER(SEARCH({"Lookup","Master-Detail"}, $B193))) &gt; 0,$B193 &amp; "(" &amp; $E193 &amp; ")",IF(SUMPRODUCT(-- ISNUMBER(SEARCH({"Formula","Roll-Up Summary"}, $B193))) &gt; 0,$B193 &amp; " (" &amp; $E193 &amp; ")",IF(SUMPRODUCT(-- ISNUMBER(SEARCH({"Content","Currency","Number","Percent","Text","URL"}, $B193))) &gt; 0,$B193 &amp; "(" &amp; $C193 &amp; ")",$B193)))), "  ", TRIM(IF($S193 = "YES", "(External ID)", "") &amp; " " &amp; IF(SUMPRODUCT(-- ISNUMBER(SEARCH({"Unique","Unique Case Insensitive"}, $R193))) &gt; 0, "(" &amp; $R193 &amp; ")", ""))))</f>
        <v>na</v>
      </c>
      <c r="E193" s="7" t="s">
        <v>195</v>
      </c>
      <c r="F193" s="7" t="s">
        <v>195</v>
      </c>
      <c r="G193" s="7" t="s">
        <v>195</v>
      </c>
      <c r="H193" s="7" t="s">
        <v>195</v>
      </c>
      <c r="I193" s="7" t="s">
        <v>195</v>
      </c>
      <c r="J193" s="7" t="s">
        <v>195</v>
      </c>
      <c r="K193" s="7" t="s">
        <v>195</v>
      </c>
      <c r="L193" s="7" t="s">
        <v>195</v>
      </c>
      <c r="M193" s="7" t="s">
        <v>29</v>
      </c>
      <c r="N193" s="7" t="s">
        <v>29</v>
      </c>
      <c r="O193" s="7" t="s">
        <v>29</v>
      </c>
      <c r="P193" s="7" t="s">
        <v>29</v>
      </c>
      <c r="Q193" s="7" t="s">
        <v>29</v>
      </c>
      <c r="R193" s="7" t="s">
        <v>29</v>
      </c>
      <c r="S193" s="7" t="s">
        <v>29</v>
      </c>
    </row>
    <row r="194" spans="2:19">
      <c r="B194" s="7" t="s">
        <v>195</v>
      </c>
      <c r="C194" s="8" t="s">
        <v>195</v>
      </c>
      <c r="D194" s="6" t="str">
        <f>LRTRIM(CONCATENATE(IF(SUMPRODUCT(-- ISNUMBER(SEARCH({"Auto Number"}, $B194))) &gt; 0, $B194, IF(SUMPRODUCT(-- ISNUMBER(SEARCH({"Lookup","Master-Detail"}, $B194))) &gt; 0,$B194 &amp; "(" &amp; $E194 &amp; ")",IF(SUMPRODUCT(-- ISNUMBER(SEARCH({"Formula","Roll-Up Summary"}, $B194))) &gt; 0,$B194 &amp; " (" &amp; $E194 &amp; ")",IF(SUMPRODUCT(-- ISNUMBER(SEARCH({"Content","Currency","Number","Percent","Text","URL"}, $B194))) &gt; 0,$B194 &amp; "(" &amp; $C194 &amp; ")",$B194)))), "  ", TRIM(IF($S194 = "YES", "(External ID)", "") &amp; " " &amp; IF(SUMPRODUCT(-- ISNUMBER(SEARCH({"Unique","Unique Case Insensitive"}, $R194))) &gt; 0, "(" &amp; $R194 &amp; ")", ""))))</f>
        <v>na</v>
      </c>
      <c r="E194" s="7" t="s">
        <v>195</v>
      </c>
      <c r="F194" s="7" t="s">
        <v>195</v>
      </c>
      <c r="G194" s="7" t="s">
        <v>195</v>
      </c>
      <c r="H194" s="7" t="s">
        <v>195</v>
      </c>
      <c r="I194" s="7" t="s">
        <v>195</v>
      </c>
      <c r="J194" s="7" t="s">
        <v>195</v>
      </c>
      <c r="K194" s="7" t="s">
        <v>195</v>
      </c>
      <c r="L194" s="7" t="s">
        <v>195</v>
      </c>
      <c r="M194" s="7" t="s">
        <v>29</v>
      </c>
      <c r="N194" s="7" t="s">
        <v>29</v>
      </c>
      <c r="O194" s="7" t="s">
        <v>29</v>
      </c>
      <c r="P194" s="7" t="s">
        <v>29</v>
      </c>
      <c r="Q194" s="7" t="s">
        <v>29</v>
      </c>
      <c r="R194" s="7" t="s">
        <v>29</v>
      </c>
      <c r="S194" s="7" t="s">
        <v>29</v>
      </c>
    </row>
    <row r="195" spans="2:19">
      <c r="B195" s="7" t="s">
        <v>195</v>
      </c>
      <c r="C195" s="8" t="s">
        <v>195</v>
      </c>
      <c r="D195" s="6" t="str">
        <f>LRTRIM(CONCATENATE(IF(SUMPRODUCT(-- ISNUMBER(SEARCH({"Auto Number"}, $B195))) &gt; 0, $B195, IF(SUMPRODUCT(-- ISNUMBER(SEARCH({"Lookup","Master-Detail"}, $B195))) &gt; 0,$B195 &amp; "(" &amp; $E195 &amp; ")",IF(SUMPRODUCT(-- ISNUMBER(SEARCH({"Formula","Roll-Up Summary"}, $B195))) &gt; 0,$B195 &amp; " (" &amp; $E195 &amp; ")",IF(SUMPRODUCT(-- ISNUMBER(SEARCH({"Content","Currency","Number","Percent","Text","URL"}, $B195))) &gt; 0,$B195 &amp; "(" &amp; $C195 &amp; ")",$B195)))), "  ", TRIM(IF($S195 = "YES", "(External ID)", "") &amp; " " &amp; IF(SUMPRODUCT(-- ISNUMBER(SEARCH({"Unique","Unique Case Insensitive"}, $R195))) &gt; 0, "(" &amp; $R195 &amp; ")", ""))))</f>
        <v>na</v>
      </c>
      <c r="E195" s="7" t="s">
        <v>195</v>
      </c>
      <c r="F195" s="7" t="s">
        <v>195</v>
      </c>
      <c r="G195" s="7" t="s">
        <v>195</v>
      </c>
      <c r="H195" s="7" t="s">
        <v>195</v>
      </c>
      <c r="I195" s="7" t="s">
        <v>195</v>
      </c>
      <c r="J195" s="7" t="s">
        <v>195</v>
      </c>
      <c r="K195" s="7" t="s">
        <v>195</v>
      </c>
      <c r="L195" s="7" t="s">
        <v>195</v>
      </c>
      <c r="M195" s="7" t="s">
        <v>29</v>
      </c>
      <c r="N195" s="7" t="s">
        <v>29</v>
      </c>
      <c r="O195" s="7" t="s">
        <v>29</v>
      </c>
      <c r="P195" s="7" t="s">
        <v>29</v>
      </c>
      <c r="Q195" s="7" t="s">
        <v>29</v>
      </c>
      <c r="R195" s="7" t="s">
        <v>29</v>
      </c>
      <c r="S195" s="7" t="s">
        <v>29</v>
      </c>
    </row>
    <row r="196" spans="2:19">
      <c r="B196" s="7" t="s">
        <v>195</v>
      </c>
      <c r="C196" s="8" t="s">
        <v>195</v>
      </c>
      <c r="D196" s="6" t="str">
        <f>LRTRIM(CONCATENATE(IF(SUMPRODUCT(-- ISNUMBER(SEARCH({"Auto Number"}, $B196))) &gt; 0, $B196, IF(SUMPRODUCT(-- ISNUMBER(SEARCH({"Lookup","Master-Detail"}, $B196))) &gt; 0,$B196 &amp; "(" &amp; $E196 &amp; ")",IF(SUMPRODUCT(-- ISNUMBER(SEARCH({"Formula","Roll-Up Summary"}, $B196))) &gt; 0,$B196 &amp; " (" &amp; $E196 &amp; ")",IF(SUMPRODUCT(-- ISNUMBER(SEARCH({"Content","Currency","Number","Percent","Text","URL"}, $B196))) &gt; 0,$B196 &amp; "(" &amp; $C196 &amp; ")",$B196)))), "  ", TRIM(IF($S196 = "YES", "(External ID)", "") &amp; " " &amp; IF(SUMPRODUCT(-- ISNUMBER(SEARCH({"Unique","Unique Case Insensitive"}, $R196))) &gt; 0, "(" &amp; $R196 &amp; ")", ""))))</f>
        <v>na</v>
      </c>
      <c r="E196" s="7" t="s">
        <v>195</v>
      </c>
      <c r="F196" s="7" t="s">
        <v>195</v>
      </c>
      <c r="G196" s="7" t="s">
        <v>195</v>
      </c>
      <c r="H196" s="7" t="s">
        <v>195</v>
      </c>
      <c r="I196" s="7" t="s">
        <v>195</v>
      </c>
      <c r="J196" s="7" t="s">
        <v>195</v>
      </c>
      <c r="K196" s="7" t="s">
        <v>195</v>
      </c>
      <c r="L196" s="7" t="s">
        <v>195</v>
      </c>
      <c r="M196" s="7" t="s">
        <v>29</v>
      </c>
      <c r="N196" s="7" t="s">
        <v>29</v>
      </c>
      <c r="O196" s="7" t="s">
        <v>29</v>
      </c>
      <c r="P196" s="7" t="s">
        <v>29</v>
      </c>
      <c r="Q196" s="7" t="s">
        <v>29</v>
      </c>
      <c r="R196" s="7" t="s">
        <v>29</v>
      </c>
      <c r="S196" s="7" t="s">
        <v>29</v>
      </c>
    </row>
    <row r="197" spans="2:19">
      <c r="B197" s="7" t="s">
        <v>195</v>
      </c>
      <c r="C197" s="8" t="s">
        <v>195</v>
      </c>
      <c r="D197" s="6" t="str">
        <f>LRTRIM(CONCATENATE(IF(SUMPRODUCT(-- ISNUMBER(SEARCH({"Auto Number"}, $B197))) &gt; 0, $B197, IF(SUMPRODUCT(-- ISNUMBER(SEARCH({"Lookup","Master-Detail"}, $B197))) &gt; 0,$B197 &amp; "(" &amp; $E197 &amp; ")",IF(SUMPRODUCT(-- ISNUMBER(SEARCH({"Formula","Roll-Up Summary"}, $B197))) &gt; 0,$B197 &amp; " (" &amp; $E197 &amp; ")",IF(SUMPRODUCT(-- ISNUMBER(SEARCH({"Content","Currency","Number","Percent","Text","URL"}, $B197))) &gt; 0,$B197 &amp; "(" &amp; $C197 &amp; ")",$B197)))), "  ", TRIM(IF($S197 = "YES", "(External ID)", "") &amp; " " &amp; IF(SUMPRODUCT(-- ISNUMBER(SEARCH({"Unique","Unique Case Insensitive"}, $R197))) &gt; 0, "(" &amp; $R197 &amp; ")", ""))))</f>
        <v>na</v>
      </c>
      <c r="E197" s="7" t="s">
        <v>195</v>
      </c>
      <c r="F197" s="7" t="s">
        <v>195</v>
      </c>
      <c r="G197" s="7" t="s">
        <v>195</v>
      </c>
      <c r="H197" s="7" t="s">
        <v>195</v>
      </c>
      <c r="I197" s="7" t="s">
        <v>195</v>
      </c>
      <c r="J197" s="7" t="s">
        <v>195</v>
      </c>
      <c r="K197" s="7" t="s">
        <v>195</v>
      </c>
      <c r="L197" s="7" t="s">
        <v>195</v>
      </c>
      <c r="M197" s="7" t="s">
        <v>29</v>
      </c>
      <c r="N197" s="7" t="s">
        <v>29</v>
      </c>
      <c r="O197" s="7" t="s">
        <v>29</v>
      </c>
      <c r="P197" s="7" t="s">
        <v>29</v>
      </c>
      <c r="Q197" s="7" t="s">
        <v>29</v>
      </c>
      <c r="R197" s="7" t="s">
        <v>29</v>
      </c>
      <c r="S197" s="7" t="s">
        <v>29</v>
      </c>
    </row>
    <row r="198" spans="2:19">
      <c r="B198" s="7" t="s">
        <v>195</v>
      </c>
      <c r="C198" s="8" t="s">
        <v>195</v>
      </c>
      <c r="D198" s="6" t="str">
        <f>LRTRIM(CONCATENATE(IF(SUMPRODUCT(-- ISNUMBER(SEARCH({"Auto Number"}, $B198))) &gt; 0, $B198, IF(SUMPRODUCT(-- ISNUMBER(SEARCH({"Lookup","Master-Detail"}, $B198))) &gt; 0,$B198 &amp; "(" &amp; $E198 &amp; ")",IF(SUMPRODUCT(-- ISNUMBER(SEARCH({"Formula","Roll-Up Summary"}, $B198))) &gt; 0,$B198 &amp; " (" &amp; $E198 &amp; ")",IF(SUMPRODUCT(-- ISNUMBER(SEARCH({"Content","Currency","Number","Percent","Text","URL"}, $B198))) &gt; 0,$B198 &amp; "(" &amp; $C198 &amp; ")",$B198)))), "  ", TRIM(IF($S198 = "YES", "(External ID)", "") &amp; " " &amp; IF(SUMPRODUCT(-- ISNUMBER(SEARCH({"Unique","Unique Case Insensitive"}, $R198))) &gt; 0, "(" &amp; $R198 &amp; ")", ""))))</f>
        <v>na</v>
      </c>
      <c r="E198" s="7" t="s">
        <v>195</v>
      </c>
      <c r="F198" s="7" t="s">
        <v>195</v>
      </c>
      <c r="G198" s="7" t="s">
        <v>195</v>
      </c>
      <c r="H198" s="7" t="s">
        <v>195</v>
      </c>
      <c r="I198" s="7" t="s">
        <v>195</v>
      </c>
      <c r="J198" s="7" t="s">
        <v>195</v>
      </c>
      <c r="K198" s="7" t="s">
        <v>195</v>
      </c>
      <c r="L198" s="7" t="s">
        <v>195</v>
      </c>
      <c r="M198" s="7" t="s">
        <v>29</v>
      </c>
      <c r="N198" s="7" t="s">
        <v>29</v>
      </c>
      <c r="O198" s="7" t="s">
        <v>29</v>
      </c>
      <c r="P198" s="7" t="s">
        <v>29</v>
      </c>
      <c r="Q198" s="7" t="s">
        <v>29</v>
      </c>
      <c r="R198" s="7" t="s">
        <v>29</v>
      </c>
      <c r="S198" s="7" t="s">
        <v>29</v>
      </c>
    </row>
    <row r="199" spans="2:19">
      <c r="B199" s="7" t="s">
        <v>195</v>
      </c>
      <c r="C199" s="8" t="s">
        <v>195</v>
      </c>
      <c r="D199" s="6" t="str">
        <f>LRTRIM(CONCATENATE(IF(SUMPRODUCT(-- ISNUMBER(SEARCH({"Auto Number"}, $B199))) &gt; 0, $B199, IF(SUMPRODUCT(-- ISNUMBER(SEARCH({"Lookup","Master-Detail"}, $B199))) &gt; 0,$B199 &amp; "(" &amp; $E199 &amp; ")",IF(SUMPRODUCT(-- ISNUMBER(SEARCH({"Formula","Roll-Up Summary"}, $B199))) &gt; 0,$B199 &amp; " (" &amp; $E199 &amp; ")",IF(SUMPRODUCT(-- ISNUMBER(SEARCH({"Content","Currency","Number","Percent","Text","URL"}, $B199))) &gt; 0,$B199 &amp; "(" &amp; $C199 &amp; ")",$B199)))), "  ", TRIM(IF($S199 = "YES", "(External ID)", "") &amp; " " &amp; IF(SUMPRODUCT(-- ISNUMBER(SEARCH({"Unique","Unique Case Insensitive"}, $R199))) &gt; 0, "(" &amp; $R199 &amp; ")", ""))))</f>
        <v>na</v>
      </c>
      <c r="E199" s="7" t="s">
        <v>195</v>
      </c>
      <c r="F199" s="7" t="s">
        <v>195</v>
      </c>
      <c r="G199" s="7" t="s">
        <v>195</v>
      </c>
      <c r="H199" s="7" t="s">
        <v>195</v>
      </c>
      <c r="I199" s="7" t="s">
        <v>195</v>
      </c>
      <c r="J199" s="7" t="s">
        <v>195</v>
      </c>
      <c r="K199" s="7" t="s">
        <v>195</v>
      </c>
      <c r="L199" s="7" t="s">
        <v>195</v>
      </c>
      <c r="M199" s="7" t="s">
        <v>29</v>
      </c>
      <c r="N199" s="7" t="s">
        <v>29</v>
      </c>
      <c r="O199" s="7" t="s">
        <v>29</v>
      </c>
      <c r="P199" s="7" t="s">
        <v>29</v>
      </c>
      <c r="Q199" s="7" t="s">
        <v>29</v>
      </c>
      <c r="R199" s="7" t="s">
        <v>29</v>
      </c>
      <c r="S199" s="7" t="s">
        <v>29</v>
      </c>
    </row>
    <row r="200" spans="2:19">
      <c r="B200" s="7" t="s">
        <v>195</v>
      </c>
      <c r="C200" s="8" t="s">
        <v>195</v>
      </c>
      <c r="D200" s="6" t="str">
        <f>LRTRIM(CONCATENATE(IF(SUMPRODUCT(-- ISNUMBER(SEARCH({"Auto Number"}, $B200))) &gt; 0, $B200, IF(SUMPRODUCT(-- ISNUMBER(SEARCH({"Lookup","Master-Detail"}, $B200))) &gt; 0,$B200 &amp; "(" &amp; $E200 &amp; ")",IF(SUMPRODUCT(-- ISNUMBER(SEARCH({"Formula","Roll-Up Summary"}, $B200))) &gt; 0,$B200 &amp; " (" &amp; $E200 &amp; ")",IF(SUMPRODUCT(-- ISNUMBER(SEARCH({"Content","Currency","Number","Percent","Text","URL"}, $B200))) &gt; 0,$B200 &amp; "(" &amp; $C200 &amp; ")",$B200)))), "  ", TRIM(IF($S200 = "YES", "(External ID)", "") &amp; " " &amp; IF(SUMPRODUCT(-- ISNUMBER(SEARCH({"Unique","Unique Case Insensitive"}, $R200))) &gt; 0, "(" &amp; $R200 &amp; ")", ""))))</f>
        <v>na</v>
      </c>
      <c r="E200" s="7" t="s">
        <v>195</v>
      </c>
      <c r="F200" s="7" t="s">
        <v>195</v>
      </c>
      <c r="G200" s="7" t="s">
        <v>195</v>
      </c>
      <c r="H200" s="7" t="s">
        <v>195</v>
      </c>
      <c r="I200" s="7" t="s">
        <v>195</v>
      </c>
      <c r="J200" s="7" t="s">
        <v>195</v>
      </c>
      <c r="K200" s="7" t="s">
        <v>195</v>
      </c>
      <c r="L200" s="7" t="s">
        <v>195</v>
      </c>
      <c r="M200" s="7" t="s">
        <v>29</v>
      </c>
      <c r="N200" s="7" t="s">
        <v>29</v>
      </c>
      <c r="O200" s="7" t="s">
        <v>29</v>
      </c>
      <c r="P200" s="7" t="s">
        <v>29</v>
      </c>
      <c r="Q200" s="7" t="s">
        <v>29</v>
      </c>
      <c r="R200" s="7" t="s">
        <v>29</v>
      </c>
      <c r="S200" s="7" t="s">
        <v>29</v>
      </c>
    </row>
  </sheetData>
  <sheetProtection formatCells="0" formatColumns="0" formatRows="0" insertColumns="0" insertRows="0" insertHyperlinks="0" deleteColumns="0" deleteRows="0" sort="0" autoFilter="0" pivotTables="0"/>
  <conditionalFormatting sqref="D2:D41">
    <cfRule type="expression" dxfId="54" priority="3">
      <formula>NOT(_xlfn.ISFORMULA($D2))</formula>
    </cfRule>
  </conditionalFormatting>
  <conditionalFormatting sqref="D42">
    <cfRule type="expression" dxfId="53" priority="2">
      <formula>NOT(_xlfn.ISFORMULA($D42))</formula>
    </cfRule>
  </conditionalFormatting>
  <conditionalFormatting sqref="D43:D200">
    <cfRule type="expression" dxfId="52" priority="1">
      <formula>NOT(_xlfn.ISFORMULA($D43))</formula>
    </cfRule>
  </conditionalFormatting>
  <dataValidations count="1">
    <dataValidation allowBlank="1" showInputMessage="1" showErrorMessage="1" sqref="A2:A41"/>
  </dataValidations>
  <pageMargins left="0.7" right="0.7" top="0.75" bottom="0.75" header="0.3" footer="0.3"/>
  <extLst>
    <ext xmlns:x14="http://schemas.microsoft.com/office/spreadsheetml/2009/9/main" uri="{CCE6A557-97BC-4b89-ADB6-D9C93CAAB3DF}">
      <x14:dataValidations xmlns:xm="http://schemas.microsoft.com/office/excel/2006/main" count="15">
        <x14:dataValidation type="list" allowBlank="1" showInputMessage="1" showErrorMessage="1">
          <x14:formula1>
            <xm:f>OFFSET('Reference Fields'!$J$2,0,0,COUNTA('Reference Fields'!$J:$J)-1)</xm:f>
          </x14:formula1>
          <xm:sqref>Q2:Q200</xm:sqref>
        </x14:dataValidation>
        <x14:dataValidation type="list" allowBlank="1" showInputMessage="1" showErrorMessage="1">
          <x14:formula1>
            <xm:f>OFFSET('Reference Fields'!$J$2,0,0,COUNTA('Reference Fields'!$J:$J)-1)</xm:f>
          </x14:formula1>
          <xm:sqref>M2:M200</xm:sqref>
        </x14:dataValidation>
        <x14:dataValidation type="list" allowBlank="1" showInputMessage="1" showErrorMessage="1">
          <x14:formula1>
            <xm:f>OFFSET('Reference Fields'!$J$2,0,0,COUNTA('Reference Fields'!$J:$J)-1)</xm:f>
          </x14:formula1>
          <xm:sqref>N2:N200</xm:sqref>
        </x14:dataValidation>
        <x14:dataValidation type="list" allowBlank="1" showInputMessage="1" showErrorMessage="1">
          <x14:formula1>
            <xm:f>OFFSET('Reference Fields'!$J$2,0,0,COUNTA('Reference Fields'!$J:$J)-1)</xm:f>
          </x14:formula1>
          <xm:sqref>O2:O200</xm:sqref>
        </x14:dataValidation>
        <x14:dataValidation type="list" allowBlank="1" showInputMessage="1" showErrorMessage="1">
          <x14:formula1>
            <xm:f>OFFSET('Reference Fields'!$J$2,0,0,COUNTA('Reference Fields'!$J:$J)-1)</xm:f>
          </x14:formula1>
          <xm:sqref>P2:P200</xm:sqref>
        </x14:dataValidation>
        <x14:dataValidation type="list" allowBlank="1" showInputMessage="1" showErrorMessage="1">
          <x14:formula1>
            <xm:f>OFFSET('Reference Fields'!$J$2,0,0,COUNTA('Reference Fields'!$J:$J)-1)</xm:f>
          </x14:formula1>
          <xm:sqref>S2:S200</xm:sqref>
        </x14:dataValidation>
        <x14:dataValidation type="list" allowBlank="1" showInputMessage="1" showErrorMessage="1">
          <x14:formula1>
            <xm:f>OFFSET('Reference Fields'!$K$2,0,0,COUNTA('Reference Fields'!$K:$K)-1)</xm:f>
          </x14:formula1>
          <xm:sqref>R2:R200</xm:sqref>
        </x14:dataValidation>
        <x14:dataValidation type="list" allowBlank="1" showInputMessage="1" showErrorMessage="1">
          <x14:formula1>
            <xm:f>OFFSET('Reference Fields'!$B$2,0,0,COUNTA('Reference Fields'!$B:$B)-1)</xm:f>
          </x14:formula1>
          <xm:sqref>B2:B200</xm:sqref>
        </x14:dataValidation>
        <x14:dataValidation type="list" allowBlank="1" showInputMessage="1" showErrorMessage="1">
          <x14:formula1>
            <xm:f>OFFSET('Reference Fields'!$D$2,0,0,COUNTA('Reference Fields'!$D:$D)-1)</xm:f>
          </x14:formula1>
          <xm:sqref>F2:F200</xm:sqref>
        </x14:dataValidation>
        <x14:dataValidation type="list" allowBlank="1" showInputMessage="1" showErrorMessage="1">
          <x14:formula1>
            <xm:f>OFFSET('Reference Fields'!$E$2,0,0,COUNTA('Reference Fields'!$E:$E)-1)</xm:f>
          </x14:formula1>
          <xm:sqref>G2:G200</xm:sqref>
        </x14:dataValidation>
        <x14:dataValidation type="list" allowBlank="1" showInputMessage="1" showErrorMessage="1">
          <x14:formula1>
            <xm:f>OFFSET('Reference Fields'!$F$2,0,0,COUNTA('Reference Fields'!$F:$F)-1)</xm:f>
          </x14:formula1>
          <xm:sqref>H2:H200</xm:sqref>
        </x14:dataValidation>
        <x14:dataValidation type="list" allowBlank="1" showInputMessage="1" showErrorMessage="1">
          <x14:formula1>
            <xm:f>OFFSET('Reference Fields'!$F$2,0,0,COUNTA('Reference Fields'!$F:$F)-1)</xm:f>
          </x14:formula1>
          <xm:sqref>I2:I200</xm:sqref>
        </x14:dataValidation>
        <x14:dataValidation type="list" allowBlank="1" showInputMessage="1" showErrorMessage="1">
          <x14:formula1>
            <xm:f>OFFSET('Reference Fields'!$G$2,0,0,COUNTA('Reference Fields'!$G:$G)-1)</xm:f>
          </x14:formula1>
          <xm:sqref>J2:J200</xm:sqref>
        </x14:dataValidation>
        <x14:dataValidation type="list" allowBlank="1" showInputMessage="1" showErrorMessage="1">
          <x14:formula1>
            <xm:f>OFFSET('Reference Fields'!$H$2,0,0,COUNTA('Reference Fields'!$H:$H)-1)</xm:f>
          </x14:formula1>
          <xm:sqref>K2:K200</xm:sqref>
        </x14:dataValidation>
        <x14:dataValidation type="list" allowBlank="1" showInputMessage="1" showErrorMessage="1">
          <x14:formula1>
            <xm:f>OFFSET('Reference Fields'!$I$2,0,0,COUNTA('Reference Fields'!$I:$I)-1)</xm:f>
          </x14:formula1>
          <xm:sqref>L2:L200</xm:sqref>
        </x14:dataValidation>
      </x14:dataValidations>
    </ext>
  </extLst>
</worksheet>
</file>

<file path=xl/worksheets/sheet23.xml><?xml version="1.0" encoding="utf-8"?>
<worksheet xmlns="http://schemas.openxmlformats.org/spreadsheetml/2006/main" xmlns:r="http://schemas.openxmlformats.org/officeDocument/2006/relationships">
  <sheetPr codeName="Sheet15"/>
  <dimension ref="A1:S200"/>
  <sheetViews>
    <sheetView workbookViewId="0">
      <pane ySplit="1" topLeftCell="A2" activePane="bottomLeft" state="frozen"/>
      <selection pane="bottomLeft" activeCell="A2" sqref="A2"/>
    </sheetView>
  </sheetViews>
  <sheetFormatPr defaultRowHeight="14.5"/>
  <cols>
    <col min="1" max="1" width="23" bestFit="1" customWidth="1"/>
    <col min="2" max="2" width="13.54296875" customWidth="1"/>
    <col min="3" max="4" width="8.90625" customWidth="1"/>
    <col min="5" max="5" width="12.6328125" customWidth="1"/>
    <col min="6" max="6" width="15.6328125" bestFit="1" customWidth="1"/>
    <col min="7" max="8" width="15.453125" customWidth="1"/>
    <col min="9" max="9" width="22.6328125" customWidth="1"/>
    <col min="10" max="10" width="23.36328125" customWidth="1"/>
    <col min="11" max="11" width="17.54296875" customWidth="1"/>
    <col min="12" max="12" width="14.08984375" customWidth="1"/>
    <col min="13" max="13" width="10.453125" bestFit="1" customWidth="1"/>
    <col min="14" max="14" width="10.453125" customWidth="1"/>
    <col min="15" max="15" width="12.453125" bestFit="1" customWidth="1"/>
  </cols>
  <sheetData>
    <row r="1" spans="1:19" s="1" customFormat="1">
      <c r="A1" s="1" t="s">
        <v>2</v>
      </c>
      <c r="B1" s="1" t="s">
        <v>1198</v>
      </c>
      <c r="C1" s="1" t="s">
        <v>1199</v>
      </c>
      <c r="D1" s="1" t="s">
        <v>0</v>
      </c>
      <c r="E1" s="1" t="s">
        <v>1</v>
      </c>
      <c r="F1" s="1" t="s">
        <v>30</v>
      </c>
      <c r="G1" s="1" t="s">
        <v>31</v>
      </c>
      <c r="H1" s="1" t="s">
        <v>1262</v>
      </c>
      <c r="I1" s="1" t="s">
        <v>49</v>
      </c>
      <c r="J1" s="1" t="s">
        <v>48</v>
      </c>
      <c r="K1" s="1" t="s">
        <v>54</v>
      </c>
      <c r="L1" s="1" t="s">
        <v>55</v>
      </c>
      <c r="M1" s="1" t="s">
        <v>27</v>
      </c>
      <c r="N1" s="1" t="s">
        <v>175</v>
      </c>
      <c r="O1" s="1" t="s">
        <v>193</v>
      </c>
      <c r="P1" s="1" t="s">
        <v>1221</v>
      </c>
      <c r="Q1" s="1" t="s">
        <v>1264</v>
      </c>
      <c r="R1" s="1" t="s">
        <v>1263</v>
      </c>
      <c r="S1" s="1" t="s">
        <v>1265</v>
      </c>
    </row>
    <row r="2" spans="1:19">
      <c r="A2" s="7" t="s">
        <v>562</v>
      </c>
      <c r="B2" s="7" t="s">
        <v>1215</v>
      </c>
      <c r="C2" s="8">
        <v>255</v>
      </c>
      <c r="D2" s="6" t="str">
        <f>LRTRIM(CONCATENATE(IF(SUMPRODUCT(-- ISNUMBER(SEARCH({"Auto Number"}, $B2))) &gt; 0, $B2, IF(SUMPRODUCT(-- ISNUMBER(SEARCH({"Lookup","Master-Detail"}, $B2))) &gt; 0,$B2 &amp; "(" &amp; $E2 &amp; ")",IF(SUMPRODUCT(-- ISNUMBER(SEARCH({"Formula","Roll-Up Summary"}, $B2))) &gt; 0,$B2 &amp; " (" &amp; $E2 &amp; ")",IF(SUMPRODUCT(-- ISNUMBER(SEARCH({"Content","Currency","Number","Percent","Text","URL"}, $B2))) &gt; 0,$B2 &amp; "(" &amp; $C2 &amp; ")",$B2)))), "  ", TRIM(IF($S2 = "YES", "(External ID)", "") &amp; " " &amp; IF(SUMPRODUCT(-- ISNUMBER(SEARCH({"Unique","Unique Case Insensitive"}, $R2))) &gt; 0, "(" &amp; $R2 &amp; ")", ""))))</f>
        <v>Picklist</v>
      </c>
      <c r="E2" s="7" t="s">
        <v>195</v>
      </c>
      <c r="F2" s="7" t="s">
        <v>595</v>
      </c>
      <c r="G2" s="7" t="s">
        <v>211</v>
      </c>
      <c r="H2" s="7" t="s">
        <v>195</v>
      </c>
      <c r="I2" s="7" t="s">
        <v>588</v>
      </c>
      <c r="J2" s="7" t="s">
        <v>195</v>
      </c>
      <c r="K2" s="7" t="s">
        <v>195</v>
      </c>
      <c r="L2" s="7" t="s">
        <v>195</v>
      </c>
      <c r="M2" s="7" t="s">
        <v>29</v>
      </c>
      <c r="N2" s="7" t="s">
        <v>29</v>
      </c>
      <c r="O2" s="7" t="s">
        <v>29</v>
      </c>
      <c r="P2" s="7" t="s">
        <v>29</v>
      </c>
      <c r="Q2" s="7" t="s">
        <v>29</v>
      </c>
      <c r="R2" s="7" t="s">
        <v>29</v>
      </c>
      <c r="S2" s="7" t="s">
        <v>29</v>
      </c>
    </row>
    <row r="3" spans="1:19">
      <c r="A3" s="7" t="s">
        <v>563</v>
      </c>
      <c r="B3" s="7" t="s">
        <v>1215</v>
      </c>
      <c r="C3" s="8">
        <v>255</v>
      </c>
      <c r="D3" s="6" t="str">
        <f>LRTRIM(CONCATENATE(IF(SUMPRODUCT(-- ISNUMBER(SEARCH({"Auto Number"}, $B3))) &gt; 0, $B3, IF(SUMPRODUCT(-- ISNUMBER(SEARCH({"Lookup","Master-Detail"}, $B3))) &gt; 0,$B3 &amp; "(" &amp; $E3 &amp; ")",IF(SUMPRODUCT(-- ISNUMBER(SEARCH({"Formula","Roll-Up Summary"}, $B3))) &gt; 0,$B3 &amp; " (" &amp; $E3 &amp; ")",IF(SUMPRODUCT(-- ISNUMBER(SEARCH({"Content","Currency","Number","Percent","Text","URL"}, $B3))) &gt; 0,$B3 &amp; "(" &amp; $C3 &amp; ")",$B3)))), "  ", TRIM(IF($S3 = "YES", "(External ID)", "") &amp; " " &amp; IF(SUMPRODUCT(-- ISNUMBER(SEARCH({"Unique","Unique Case Insensitive"}, $R3))) &gt; 0, "(" &amp; $R3 &amp; ")", ""))))</f>
        <v>Picklist</v>
      </c>
      <c r="E3" s="7" t="s">
        <v>195</v>
      </c>
      <c r="F3" s="7" t="s">
        <v>596</v>
      </c>
      <c r="G3" s="7" t="s">
        <v>617</v>
      </c>
      <c r="H3" s="7" t="s">
        <v>195</v>
      </c>
      <c r="I3" s="7" t="s">
        <v>589</v>
      </c>
      <c r="J3" s="7" t="s">
        <v>195</v>
      </c>
      <c r="K3" s="7" t="s">
        <v>195</v>
      </c>
      <c r="L3" s="7" t="s">
        <v>195</v>
      </c>
      <c r="M3" s="7" t="s">
        <v>29</v>
      </c>
      <c r="N3" s="7" t="s">
        <v>29</v>
      </c>
      <c r="O3" s="7" t="s">
        <v>29</v>
      </c>
      <c r="P3" s="7" t="s">
        <v>29</v>
      </c>
      <c r="Q3" s="7" t="s">
        <v>29</v>
      </c>
      <c r="R3" s="7" t="s">
        <v>29</v>
      </c>
      <c r="S3" s="7" t="s">
        <v>29</v>
      </c>
    </row>
    <row r="4" spans="1:19">
      <c r="A4" s="7" t="s">
        <v>279</v>
      </c>
      <c r="B4" s="7" t="s">
        <v>1211</v>
      </c>
      <c r="C4" s="8" t="s">
        <v>195</v>
      </c>
      <c r="D4" s="6" t="str">
        <f>LRTRIM(CONCATENATE(IF(SUMPRODUCT(-- ISNUMBER(SEARCH({"Auto Number"}, $B4))) &gt; 0, $B4, IF(SUMPRODUCT(-- ISNUMBER(SEARCH({"Lookup","Master-Detail"}, $B4))) &gt; 0,$B4 &amp; "(" &amp; $E4 &amp; ")",IF(SUMPRODUCT(-- ISNUMBER(SEARCH({"Formula","Roll-Up Summary"}, $B4))) &gt; 0,$B4 &amp; " (" &amp; $E4 &amp; ")",IF(SUMPRODUCT(-- ISNUMBER(SEARCH({"Content","Currency","Number","Percent","Text","URL"}, $B4))) &gt; 0,$B4 &amp; "(" &amp; $C4 &amp; ")",$B4)))), "  ", TRIM(IF($S4 = "YES", "(External ID)", "") &amp; " " &amp; IF(SUMPRODUCT(-- ISNUMBER(SEARCH({"Unique","Unique Case Insensitive"}, $R4))) &gt; 0, "(" &amp; $R4 &amp; ")", ""))))</f>
        <v>Lookup(Account)</v>
      </c>
      <c r="E4" s="7" t="s">
        <v>5</v>
      </c>
      <c r="F4" s="7" t="s">
        <v>981</v>
      </c>
      <c r="G4" s="7" t="s">
        <v>559</v>
      </c>
      <c r="H4" s="7" t="s">
        <v>195</v>
      </c>
      <c r="I4" s="7" t="s">
        <v>195</v>
      </c>
      <c r="J4" s="7" t="s">
        <v>195</v>
      </c>
      <c r="K4" s="7" t="s">
        <v>195</v>
      </c>
      <c r="L4" s="7" t="s">
        <v>195</v>
      </c>
      <c r="M4" s="7" t="s">
        <v>29</v>
      </c>
      <c r="N4" s="7" t="s">
        <v>29</v>
      </c>
      <c r="O4" s="7" t="s">
        <v>29</v>
      </c>
      <c r="P4" s="7" t="s">
        <v>29</v>
      </c>
      <c r="Q4" s="7" t="s">
        <v>29</v>
      </c>
      <c r="R4" s="7" t="s">
        <v>29</v>
      </c>
      <c r="S4" s="7" t="s">
        <v>29</v>
      </c>
    </row>
    <row r="5" spans="1:19">
      <c r="A5" s="7" t="s">
        <v>1319</v>
      </c>
      <c r="B5" s="7" t="s">
        <v>1218</v>
      </c>
      <c r="C5" s="8">
        <v>18</v>
      </c>
      <c r="D5" s="6" t="str">
        <f>LRTRIM(CONCATENATE(IF(SUMPRODUCT(-- ISNUMBER(SEARCH({"Auto Number"}, $B5))) &gt; 0, $B5, IF(SUMPRODUCT(-- ISNUMBER(SEARCH({"Lookup","Master-Detail"}, $B5))) &gt; 0,$B5 &amp; "(" &amp; $E5 &amp; ")",IF(SUMPRODUCT(-- ISNUMBER(SEARCH({"Formula","Roll-Up Summary"}, $B5))) &gt; 0,$B5 &amp; " (" &amp; $E5 &amp; ")",IF(SUMPRODUCT(-- ISNUMBER(SEARCH({"Content","Currency","Number","Percent","Text","URL"}, $B5))) &gt; 0,$B5 &amp; "(" &amp; $C5 &amp; ")",$B5)))), "  ", TRIM(IF($S5 = "YES", "(External ID)", "") &amp; " " &amp; IF(SUMPRODUCT(-- ISNUMBER(SEARCH({"Unique","Unique Case Insensitive"}, $R5))) &gt; 0, "(" &amp; $R5 &amp; ")", ""))))</f>
        <v>Text(18)</v>
      </c>
      <c r="E5" s="7" t="s">
        <v>195</v>
      </c>
      <c r="F5" s="7" t="s">
        <v>1674</v>
      </c>
      <c r="G5" s="7" t="s">
        <v>195</v>
      </c>
      <c r="H5" s="7" t="s">
        <v>195</v>
      </c>
      <c r="I5" s="7" t="s">
        <v>195</v>
      </c>
      <c r="J5" s="7" t="s">
        <v>195</v>
      </c>
      <c r="K5" s="7" t="s">
        <v>195</v>
      </c>
      <c r="L5" s="7" t="s">
        <v>195</v>
      </c>
      <c r="M5" s="7" t="s">
        <v>29</v>
      </c>
      <c r="N5" s="7" t="s">
        <v>29</v>
      </c>
      <c r="O5" s="7" t="s">
        <v>29</v>
      </c>
      <c r="P5" s="7" t="s">
        <v>29</v>
      </c>
      <c r="Q5" s="7" t="s">
        <v>29</v>
      </c>
      <c r="R5" s="7" t="s">
        <v>29</v>
      </c>
      <c r="S5" s="7" t="s">
        <v>29</v>
      </c>
    </row>
    <row r="6" spans="1:19">
      <c r="A6" s="7" t="s">
        <v>1676</v>
      </c>
      <c r="B6" s="7" t="s">
        <v>1211</v>
      </c>
      <c r="C6" s="8" t="s">
        <v>195</v>
      </c>
      <c r="D6" s="6" t="str">
        <f>LRTRIM(CONCATENATE(IF(SUMPRODUCT(-- ISNUMBER(SEARCH({"Auto Number"}, $B6))) &gt; 0, $B6, IF(SUMPRODUCT(-- ISNUMBER(SEARCH({"Lookup","Master-Detail"}, $B6))) &gt; 0,$B6 &amp; "(" &amp; $E6 &amp; ")",IF(SUMPRODUCT(-- ISNUMBER(SEARCH({"Formula","Roll-Up Summary"}, $B6))) &gt; 0,$B6 &amp; " (" &amp; $E6 &amp; ")",IF(SUMPRODUCT(-- ISNUMBER(SEARCH({"Content","Currency","Number","Percent","Text","URL"}, $B6))) &gt; 0,$B6 &amp; "(" &amp; $C6 &amp; ")",$B6)))), "  ", TRIM(IF($S6 = "YES", "(External ID)", "") &amp; " " &amp; IF(SUMPRODUCT(-- ISNUMBER(SEARCH({"Unique","Unique Case Insensitive"}, $R6))) &gt; 0, "(" &amp; $R6 &amp; ")", ""))))</f>
        <v>Lookup(Campaign)</v>
      </c>
      <c r="E6" s="7" t="s">
        <v>1457</v>
      </c>
      <c r="F6" s="7" t="s">
        <v>1681</v>
      </c>
      <c r="G6" s="7" t="s">
        <v>195</v>
      </c>
      <c r="H6" s="7" t="s">
        <v>195</v>
      </c>
      <c r="I6" s="7" t="s">
        <v>195</v>
      </c>
      <c r="J6" s="7" t="s">
        <v>195</v>
      </c>
      <c r="K6" s="7" t="s">
        <v>195</v>
      </c>
      <c r="L6" s="7" t="s">
        <v>195</v>
      </c>
      <c r="M6" s="7" t="s">
        <v>29</v>
      </c>
      <c r="N6" s="7" t="s">
        <v>29</v>
      </c>
      <c r="O6" s="7" t="s">
        <v>29</v>
      </c>
      <c r="P6" s="7" t="s">
        <v>29</v>
      </c>
      <c r="Q6" s="7" t="s">
        <v>29</v>
      </c>
      <c r="R6" s="7" t="s">
        <v>29</v>
      </c>
      <c r="S6" s="7" t="s">
        <v>29</v>
      </c>
    </row>
    <row r="7" spans="1:19">
      <c r="A7" s="7" t="s">
        <v>565</v>
      </c>
      <c r="B7" s="7" t="s">
        <v>1218</v>
      </c>
      <c r="C7" s="8">
        <v>255</v>
      </c>
      <c r="D7" s="6" t="str">
        <f>LRTRIM(CONCATENATE(IF(SUMPRODUCT(-- ISNUMBER(SEARCH({"Auto Number"}, $B7))) &gt; 0, $B7, IF(SUMPRODUCT(-- ISNUMBER(SEARCH({"Lookup","Master-Detail"}, $B7))) &gt; 0,$B7 &amp; "(" &amp; $E7 &amp; ")",IF(SUMPRODUCT(-- ISNUMBER(SEARCH({"Formula","Roll-Up Summary"}, $B7))) &gt; 0,$B7 &amp; " (" &amp; $E7 &amp; ")",IF(SUMPRODUCT(-- ISNUMBER(SEARCH({"Content","Currency","Number","Percent","Text","URL"}, $B7))) &gt; 0,$B7 &amp; "(" &amp; $C7 &amp; ")",$B7)))), "  ", TRIM(IF($S7 = "YES", "(External ID)", "") &amp; " " &amp; IF(SUMPRODUCT(-- ISNUMBER(SEARCH({"Unique","Unique Case Insensitive"}, $R7))) &gt; 0, "(" &amp; $R7 &amp; ")", ""))))</f>
        <v>Text(255)</v>
      </c>
      <c r="E7" s="7" t="s">
        <v>195</v>
      </c>
      <c r="F7" s="7" t="s">
        <v>597</v>
      </c>
      <c r="G7" s="7" t="s">
        <v>619</v>
      </c>
      <c r="H7" s="7" t="s">
        <v>195</v>
      </c>
      <c r="I7" s="7" t="s">
        <v>195</v>
      </c>
      <c r="J7" s="7" t="s">
        <v>195</v>
      </c>
      <c r="K7" s="7" t="s">
        <v>195</v>
      </c>
      <c r="L7" s="7" t="s">
        <v>195</v>
      </c>
      <c r="M7" s="7" t="s">
        <v>29</v>
      </c>
      <c r="N7" s="7" t="s">
        <v>29</v>
      </c>
      <c r="O7" s="7" t="s">
        <v>29</v>
      </c>
      <c r="P7" s="7" t="s">
        <v>29</v>
      </c>
      <c r="Q7" s="7" t="s">
        <v>29</v>
      </c>
      <c r="R7" s="7" t="s">
        <v>29</v>
      </c>
      <c r="S7" s="7" t="s">
        <v>29</v>
      </c>
    </row>
    <row r="8" spans="1:19">
      <c r="A8" s="7" t="s">
        <v>566</v>
      </c>
      <c r="B8" s="7" t="s">
        <v>1218</v>
      </c>
      <c r="C8" s="8">
        <v>255</v>
      </c>
      <c r="D8" s="6" t="str">
        <f>LRTRIM(CONCATENATE(IF(SUMPRODUCT(-- ISNUMBER(SEARCH({"Auto Number"}, $B8))) &gt; 0, $B8, IF(SUMPRODUCT(-- ISNUMBER(SEARCH({"Lookup","Master-Detail"}, $B8))) &gt; 0,$B8 &amp; "(" &amp; $E8 &amp; ")",IF(SUMPRODUCT(-- ISNUMBER(SEARCH({"Formula","Roll-Up Summary"}, $B8))) &gt; 0,$B8 &amp; " (" &amp; $E8 &amp; ")",IF(SUMPRODUCT(-- ISNUMBER(SEARCH({"Content","Currency","Number","Percent","Text","URL"}, $B8))) &gt; 0,$B8 &amp; "(" &amp; $C8 &amp; ")",$B8)))), "  ", TRIM(IF($S8 = "YES", "(External ID)", "") &amp; " " &amp; IF(SUMPRODUCT(-- ISNUMBER(SEARCH({"Unique","Unique Case Insensitive"}, $R8))) &gt; 0, "(" &amp; $R8 &amp; ")", ""))))</f>
        <v>Text(255)</v>
      </c>
      <c r="E8" s="7" t="s">
        <v>195</v>
      </c>
      <c r="F8" s="7" t="s">
        <v>598</v>
      </c>
      <c r="G8" s="7" t="s">
        <v>620</v>
      </c>
      <c r="H8" s="7" t="s">
        <v>195</v>
      </c>
      <c r="I8" s="7" t="s">
        <v>195</v>
      </c>
      <c r="J8" s="7" t="s">
        <v>195</v>
      </c>
      <c r="K8" s="7" t="s">
        <v>195</v>
      </c>
      <c r="L8" s="7" t="s">
        <v>195</v>
      </c>
      <c r="M8" s="7" t="s">
        <v>29</v>
      </c>
      <c r="N8" s="7" t="s">
        <v>29</v>
      </c>
      <c r="O8" s="7" t="s">
        <v>29</v>
      </c>
      <c r="P8" s="7" t="s">
        <v>29</v>
      </c>
      <c r="Q8" s="7" t="s">
        <v>29</v>
      </c>
      <c r="R8" s="7" t="s">
        <v>29</v>
      </c>
      <c r="S8" s="7" t="s">
        <v>29</v>
      </c>
    </row>
    <row r="9" spans="1:19">
      <c r="A9" s="7" t="s">
        <v>103</v>
      </c>
      <c r="B9" s="7" t="s">
        <v>1218</v>
      </c>
      <c r="C9" s="8">
        <v>80</v>
      </c>
      <c r="D9" s="6" t="str">
        <f>LRTRIM(CONCATENATE(IF(SUMPRODUCT(-- ISNUMBER(SEARCH({"Auto Number"}, $B9))) &gt; 0, $B9, IF(SUMPRODUCT(-- ISNUMBER(SEARCH({"Lookup","Master-Detail"}, $B9))) &gt; 0,$B9 &amp; "(" &amp; $E9 &amp; ")",IF(SUMPRODUCT(-- ISNUMBER(SEARCH({"Formula","Roll-Up Summary"}, $B9))) &gt; 0,$B9 &amp; " (" &amp; $E9 &amp; ")",IF(SUMPRODUCT(-- ISNUMBER(SEARCH({"Content","Currency","Number","Percent","Text","URL"}, $B9))) &gt; 0,$B9 &amp; "(" &amp; $C9 &amp; ")",$B9)))), "  ", TRIM(IF($S9 = "YES", "(External ID)", "") &amp; " " &amp; IF(SUMPRODUCT(-- ISNUMBER(SEARCH({"Unique","Unique Case Insensitive"}, $R9))) &gt; 0, "(" &amp; $R9 &amp; ")", ""))))</f>
        <v>Text(80)</v>
      </c>
      <c r="E9" s="7" t="s">
        <v>195</v>
      </c>
      <c r="F9" s="7" t="s">
        <v>202</v>
      </c>
      <c r="G9" s="7" t="s">
        <v>621</v>
      </c>
      <c r="H9" s="7" t="s">
        <v>195</v>
      </c>
      <c r="I9" s="7" t="s">
        <v>195</v>
      </c>
      <c r="J9" s="7" t="s">
        <v>195</v>
      </c>
      <c r="K9" s="7" t="s">
        <v>195</v>
      </c>
      <c r="L9" s="7" t="s">
        <v>195</v>
      </c>
      <c r="M9" s="7" t="s">
        <v>29</v>
      </c>
      <c r="N9" s="7" t="s">
        <v>29</v>
      </c>
      <c r="O9" s="7" t="s">
        <v>29</v>
      </c>
      <c r="P9" s="7" t="s">
        <v>29</v>
      </c>
      <c r="Q9" s="7" t="s">
        <v>29</v>
      </c>
      <c r="R9" s="7" t="s">
        <v>29</v>
      </c>
      <c r="S9" s="7" t="s">
        <v>29</v>
      </c>
    </row>
    <row r="10" spans="1:19">
      <c r="A10" s="7" t="s">
        <v>567</v>
      </c>
      <c r="B10" s="7" t="s">
        <v>1218</v>
      </c>
      <c r="C10" s="8">
        <v>255</v>
      </c>
      <c r="D10" s="6" t="str">
        <f>LRTRIM(CONCATENATE(IF(SUMPRODUCT(-- ISNUMBER(SEARCH({"Auto Number"}, $B10))) &gt; 0, $B10, IF(SUMPRODUCT(-- ISNUMBER(SEARCH({"Lookup","Master-Detail"}, $B10))) &gt; 0,$B10 &amp; "(" &amp; $E10 &amp; ")",IF(SUMPRODUCT(-- ISNUMBER(SEARCH({"Formula","Roll-Up Summary"}, $B10))) &gt; 0,$B10 &amp; " (" &amp; $E10 &amp; ")",IF(SUMPRODUCT(-- ISNUMBER(SEARCH({"Content","Currency","Number","Percent","Text","URL"}, $B10))) &gt; 0,$B10 &amp; "(" &amp; $C10 &amp; ")",$B10)))), "  ", TRIM(IF($S10 = "YES", "(External ID)", "") &amp; " " &amp; IF(SUMPRODUCT(-- ISNUMBER(SEARCH({"Unique","Unique Case Insensitive"}, $R10))) &gt; 0, "(" &amp; $R10 &amp; ")", ""))))</f>
        <v>Text(255)</v>
      </c>
      <c r="E10" s="7" t="s">
        <v>195</v>
      </c>
      <c r="F10" s="7" t="s">
        <v>567</v>
      </c>
      <c r="G10" s="7" t="s">
        <v>195</v>
      </c>
      <c r="H10" s="7" t="s">
        <v>195</v>
      </c>
      <c r="I10" s="7" t="s">
        <v>195</v>
      </c>
      <c r="J10" s="7" t="s">
        <v>195</v>
      </c>
      <c r="K10" s="7" t="s">
        <v>195</v>
      </c>
      <c r="L10" s="7" t="s">
        <v>195</v>
      </c>
      <c r="M10" s="7" t="s">
        <v>29</v>
      </c>
      <c r="N10" s="7" t="s">
        <v>29</v>
      </c>
      <c r="O10" s="7" t="s">
        <v>29</v>
      </c>
      <c r="P10" s="7" t="s">
        <v>29</v>
      </c>
      <c r="Q10" s="7" t="s">
        <v>29</v>
      </c>
      <c r="R10" s="7" t="s">
        <v>29</v>
      </c>
      <c r="S10" s="7" t="s">
        <v>29</v>
      </c>
    </row>
    <row r="11" spans="1:19">
      <c r="A11" s="7" t="s">
        <v>568</v>
      </c>
      <c r="B11" s="7" t="s">
        <v>142</v>
      </c>
      <c r="C11" s="8">
        <v>80</v>
      </c>
      <c r="D11" s="6" t="str">
        <f>LRTRIM(CONCATENATE(IF(SUMPRODUCT(-- ISNUMBER(SEARCH({"Auto Number"}, $B11))) &gt; 0, $B11, IF(SUMPRODUCT(-- ISNUMBER(SEARCH({"Lookup","Master-Detail"}, $B11))) &gt; 0,$B11 &amp; "(" &amp; $E11 &amp; ")",IF(SUMPRODUCT(-- ISNUMBER(SEARCH({"Formula","Roll-Up Summary"}, $B11))) &gt; 0,$B11 &amp; " (" &amp; $E11 &amp; ")",IF(SUMPRODUCT(-- ISNUMBER(SEARCH({"Content","Currency","Number","Percent","Text","URL"}, $B11))) &gt; 0,$B11 &amp; "(" &amp; $C11 &amp; ")",$B11)))), "  ", TRIM(IF($S11 = "YES", "(External ID)", "") &amp; " " &amp; IF(SUMPRODUCT(-- ISNUMBER(SEARCH({"Unique","Unique Case Insensitive"}, $R11))) &gt; 0, "(" &amp; $R11 &amp; ")", ""))))</f>
        <v>Email</v>
      </c>
      <c r="E11" s="7" t="s">
        <v>195</v>
      </c>
      <c r="F11" s="7" t="s">
        <v>599</v>
      </c>
      <c r="G11" s="7" t="s">
        <v>195</v>
      </c>
      <c r="H11" s="7" t="s">
        <v>195</v>
      </c>
      <c r="I11" s="7" t="s">
        <v>195</v>
      </c>
      <c r="J11" s="7" t="s">
        <v>195</v>
      </c>
      <c r="K11" s="7" t="s">
        <v>195</v>
      </c>
      <c r="L11" s="7" t="s">
        <v>195</v>
      </c>
      <c r="M11" s="7" t="s">
        <v>29</v>
      </c>
      <c r="N11" s="7" t="s">
        <v>29</v>
      </c>
      <c r="O11" s="7" t="s">
        <v>29</v>
      </c>
      <c r="P11" s="7" t="s">
        <v>29</v>
      </c>
      <c r="Q11" s="7" t="s">
        <v>29</v>
      </c>
      <c r="R11" s="7" t="s">
        <v>29</v>
      </c>
      <c r="S11" s="7" t="s">
        <v>29</v>
      </c>
    </row>
    <row r="12" spans="1:19">
      <c r="A12" s="7" t="s">
        <v>569</v>
      </c>
      <c r="B12" s="7" t="s">
        <v>1218</v>
      </c>
      <c r="C12" s="8">
        <v>80</v>
      </c>
      <c r="D12" s="6" t="str">
        <f>LRTRIM(CONCATENATE(IF(SUMPRODUCT(-- ISNUMBER(SEARCH({"Auto Number"}, $B12))) &gt; 0, $B12, IF(SUMPRODUCT(-- ISNUMBER(SEARCH({"Lookup","Master-Detail"}, $B12))) &gt; 0,$B12 &amp; "(" &amp; $E12 &amp; ")",IF(SUMPRODUCT(-- ISNUMBER(SEARCH({"Formula","Roll-Up Summary"}, $B12))) &gt; 0,$B12 &amp; " (" &amp; $E12 &amp; ")",IF(SUMPRODUCT(-- ISNUMBER(SEARCH({"Content","Currency","Number","Percent","Text","URL"}, $B12))) &gt; 0,$B12 &amp; "(" &amp; $C12 &amp; ")",$B12)))), "  ", TRIM(IF($S12 = "YES", "(External ID)", "") &amp; " " &amp; IF(SUMPRODUCT(-- ISNUMBER(SEARCH({"Unique","Unique Case Insensitive"}, $R12))) &gt; 0, "(" &amp; $R12 &amp; ")", ""))))</f>
        <v>Text(80)</v>
      </c>
      <c r="E12" s="7" t="s">
        <v>195</v>
      </c>
      <c r="F12" s="7" t="s">
        <v>600</v>
      </c>
      <c r="G12" s="7" t="s">
        <v>623</v>
      </c>
      <c r="H12" s="7" t="s">
        <v>195</v>
      </c>
      <c r="I12" s="7" t="s">
        <v>195</v>
      </c>
      <c r="J12" s="7" t="s">
        <v>195</v>
      </c>
      <c r="K12" s="7" t="s">
        <v>195</v>
      </c>
      <c r="L12" s="7" t="s">
        <v>195</v>
      </c>
      <c r="M12" s="7" t="s">
        <v>29</v>
      </c>
      <c r="N12" s="7" t="s">
        <v>29</v>
      </c>
      <c r="O12" s="7" t="s">
        <v>29</v>
      </c>
      <c r="P12" s="7" t="s">
        <v>29</v>
      </c>
      <c r="Q12" s="7" t="s">
        <v>29</v>
      </c>
      <c r="R12" s="7" t="s">
        <v>29</v>
      </c>
      <c r="S12" s="7" t="s">
        <v>29</v>
      </c>
    </row>
    <row r="13" spans="1:19">
      <c r="A13" s="7" t="s">
        <v>570</v>
      </c>
      <c r="B13" s="7" t="s">
        <v>386</v>
      </c>
      <c r="C13" s="8">
        <v>0</v>
      </c>
      <c r="D13" s="6" t="str">
        <f>LRTRIM(CONCATENATE(IF(SUMPRODUCT(-- ISNUMBER(SEARCH({"Auto Number"}, $B13))) &gt; 0, $B13, IF(SUMPRODUCT(-- ISNUMBER(SEARCH({"Lookup","Master-Detail"}, $B13))) &gt; 0,$B13 &amp; "(" &amp; $E13 &amp; ")",IF(SUMPRODUCT(-- ISNUMBER(SEARCH({"Formula","Roll-Up Summary"}, $B13))) &gt; 0,$B13 &amp; " (" &amp; $E13 &amp; ")",IF(SUMPRODUCT(-- ISNUMBER(SEARCH({"Content","Currency","Number","Percent","Text","URL"}, $B13))) &gt; 0,$B13 &amp; "(" &amp; $C13 &amp; ")",$B13)))), "  ", TRIM(IF($S13 = "YES", "(External ID)", "") &amp; " " &amp; IF(SUMPRODUCT(-- ISNUMBER(SEARCH({"Unique","Unique Case Insensitive"}, $R13))) &gt; 0, "(" &amp; $R13 &amp; ")", ""))))</f>
        <v>Date</v>
      </c>
      <c r="E13" s="7" t="s">
        <v>195</v>
      </c>
      <c r="F13" s="7" t="s">
        <v>601</v>
      </c>
      <c r="G13" s="7" t="s">
        <v>624</v>
      </c>
      <c r="H13" s="7" t="s">
        <v>195</v>
      </c>
      <c r="I13" s="7" t="s">
        <v>195</v>
      </c>
      <c r="J13" s="7" t="s">
        <v>195</v>
      </c>
      <c r="K13" s="7" t="s">
        <v>195</v>
      </c>
      <c r="L13" s="7" t="s">
        <v>195</v>
      </c>
      <c r="M13" s="7" t="s">
        <v>29</v>
      </c>
      <c r="N13" s="7" t="s">
        <v>29</v>
      </c>
      <c r="O13" s="7" t="s">
        <v>29</v>
      </c>
      <c r="P13" s="7" t="s">
        <v>29</v>
      </c>
      <c r="Q13" s="7" t="s">
        <v>29</v>
      </c>
      <c r="R13" s="7" t="s">
        <v>29</v>
      </c>
      <c r="S13" s="7" t="s">
        <v>29</v>
      </c>
    </row>
    <row r="14" spans="1:19">
      <c r="A14" s="7" t="s">
        <v>571</v>
      </c>
      <c r="B14" s="7" t="s">
        <v>1218</v>
      </c>
      <c r="C14" s="8">
        <v>200</v>
      </c>
      <c r="D14" s="6" t="str">
        <f>LRTRIM(CONCATENATE(IF(SUMPRODUCT(-- ISNUMBER(SEARCH({"Auto Number"}, $B14))) &gt; 0, $B14, IF(SUMPRODUCT(-- ISNUMBER(SEARCH({"Lookup","Master-Detail"}, $B14))) &gt; 0,$B14 &amp; "(" &amp; $E14 &amp; ")",IF(SUMPRODUCT(-- ISNUMBER(SEARCH({"Formula","Roll-Up Summary"}, $B14))) &gt; 0,$B14 &amp; " (" &amp; $E14 &amp; ")",IF(SUMPRODUCT(-- ISNUMBER(SEARCH({"Content","Currency","Number","Percent","Text","URL"}, $B14))) &gt; 0,$B14 &amp; "(" &amp; $C14 &amp; ")",$B14)))), "  ", TRIM(IF($S14 = "YES", "(External ID)", "") &amp; " " &amp; IF(SUMPRODUCT(-- ISNUMBER(SEARCH({"Unique","Unique Case Insensitive"}, $R14))) &gt; 0, "(" &amp; $R14 &amp; ")", ""))))</f>
        <v>Text(200)</v>
      </c>
      <c r="E14" s="7" t="s">
        <v>195</v>
      </c>
      <c r="F14" s="7" t="s">
        <v>602</v>
      </c>
      <c r="G14" s="7" t="s">
        <v>625</v>
      </c>
      <c r="H14" s="7" t="s">
        <v>195</v>
      </c>
      <c r="I14" s="7" t="s">
        <v>195</v>
      </c>
      <c r="J14" s="7" t="s">
        <v>195</v>
      </c>
      <c r="K14" s="7" t="s">
        <v>195</v>
      </c>
      <c r="L14" s="7" t="s">
        <v>195</v>
      </c>
      <c r="M14" s="7" t="s">
        <v>29</v>
      </c>
      <c r="N14" s="7" t="s">
        <v>29</v>
      </c>
      <c r="O14" s="7" t="s">
        <v>29</v>
      </c>
      <c r="P14" s="7" t="s">
        <v>29</v>
      </c>
      <c r="Q14" s="7" t="s">
        <v>29</v>
      </c>
      <c r="R14" s="7" t="s">
        <v>29</v>
      </c>
      <c r="S14" s="7" t="s">
        <v>29</v>
      </c>
    </row>
    <row r="15" spans="1:19">
      <c r="A15" s="7" t="s">
        <v>1335</v>
      </c>
      <c r="B15" s="7" t="s">
        <v>1218</v>
      </c>
      <c r="C15" s="8">
        <v>255</v>
      </c>
      <c r="D15" s="6" t="str">
        <f>LRTRIM(CONCATENATE(IF(SUMPRODUCT(-- ISNUMBER(SEARCH({"Auto Number"}, $B15))) &gt; 0, $B15, IF(SUMPRODUCT(-- ISNUMBER(SEARCH({"Lookup","Master-Detail"}, $B15))) &gt; 0,$B15 &amp; "(" &amp; $E15 &amp; ")",IF(SUMPRODUCT(-- ISNUMBER(SEARCH({"Formula","Roll-Up Summary"}, $B15))) &gt; 0,$B15 &amp; " (" &amp; $E15 &amp; ")",IF(SUMPRODUCT(-- ISNUMBER(SEARCH({"Content","Currency","Number","Percent","Text","URL"}, $B15))) &gt; 0,$B15 &amp; "(" &amp; $C15 &amp; ")",$B15)))), "  ", TRIM(IF($S15 = "YES", "(External ID)", "") &amp; " " &amp; IF(SUMPRODUCT(-- ISNUMBER(SEARCH({"Unique","Unique Case Insensitive"}, $R15))) &gt; 0, "(" &amp; $R15 &amp; ")", ""))))</f>
        <v>Text(255)</v>
      </c>
      <c r="E15" s="7" t="s">
        <v>195</v>
      </c>
      <c r="F15" s="7" t="s">
        <v>1344</v>
      </c>
      <c r="G15" s="7" t="s">
        <v>195</v>
      </c>
      <c r="H15" s="7" t="s">
        <v>195</v>
      </c>
      <c r="I15" s="7" t="s">
        <v>195</v>
      </c>
      <c r="J15" s="7" t="s">
        <v>195</v>
      </c>
      <c r="K15" s="7" t="s">
        <v>195</v>
      </c>
      <c r="L15" s="7" t="s">
        <v>195</v>
      </c>
      <c r="M15" s="7" t="s">
        <v>29</v>
      </c>
      <c r="N15" s="7" t="s">
        <v>29</v>
      </c>
      <c r="O15" s="7" t="s">
        <v>29</v>
      </c>
      <c r="P15" s="7" t="s">
        <v>29</v>
      </c>
      <c r="Q15" s="7" t="s">
        <v>29</v>
      </c>
      <c r="R15" s="7" t="s">
        <v>29</v>
      </c>
      <c r="S15" s="7" t="s">
        <v>29</v>
      </c>
    </row>
    <row r="16" spans="1:19">
      <c r="A16" s="7" t="s">
        <v>142</v>
      </c>
      <c r="B16" s="7" t="s">
        <v>142</v>
      </c>
      <c r="C16" s="8">
        <v>80</v>
      </c>
      <c r="D16" s="6" t="str">
        <f>LRTRIM(CONCATENATE(IF(SUMPRODUCT(-- ISNUMBER(SEARCH({"Auto Number"}, $B16))) &gt; 0, $B16, IF(SUMPRODUCT(-- ISNUMBER(SEARCH({"Lookup","Master-Detail"}, $B16))) &gt; 0,$B16 &amp; "(" &amp; $E16 &amp; ")",IF(SUMPRODUCT(-- ISNUMBER(SEARCH({"Formula","Roll-Up Summary"}, $B16))) &gt; 0,$B16 &amp; " (" &amp; $E16 &amp; ")",IF(SUMPRODUCT(-- ISNUMBER(SEARCH({"Content","Currency","Number","Percent","Text","URL"}, $B16))) &gt; 0,$B16 &amp; "(" &amp; $C16 &amp; ")",$B16)))), "  ", TRIM(IF($S16 = "YES", "(External ID)", "") &amp; " " &amp; IF(SUMPRODUCT(-- ISNUMBER(SEARCH({"Unique","Unique Case Insensitive"}, $R16))) &gt; 0, "(" &amp; $R16 &amp; ")", ""))))</f>
        <v>Email</v>
      </c>
      <c r="E16" s="7" t="s">
        <v>195</v>
      </c>
      <c r="F16" s="7" t="s">
        <v>142</v>
      </c>
      <c r="G16" s="7" t="s">
        <v>195</v>
      </c>
      <c r="H16" s="7" t="s">
        <v>195</v>
      </c>
      <c r="I16" s="7" t="s">
        <v>195</v>
      </c>
      <c r="J16" s="7" t="s">
        <v>195</v>
      </c>
      <c r="K16" s="7" t="s">
        <v>195</v>
      </c>
      <c r="L16" s="7" t="s">
        <v>195</v>
      </c>
      <c r="M16" s="7" t="s">
        <v>29</v>
      </c>
      <c r="N16" s="7" t="s">
        <v>29</v>
      </c>
      <c r="O16" s="7" t="s">
        <v>29</v>
      </c>
      <c r="P16" s="7" t="s">
        <v>29</v>
      </c>
      <c r="Q16" s="7" t="s">
        <v>29</v>
      </c>
      <c r="R16" s="7" t="s">
        <v>29</v>
      </c>
      <c r="S16" s="7" t="s">
        <v>29</v>
      </c>
    </row>
    <row r="17" spans="1:19">
      <c r="A17" s="7" t="s">
        <v>572</v>
      </c>
      <c r="B17" s="7" t="s">
        <v>1213</v>
      </c>
      <c r="C17" s="8" t="s">
        <v>1251</v>
      </c>
      <c r="D17" s="6" t="str">
        <f>LRTRIM(CONCATENATE(IF(SUMPRODUCT(-- ISNUMBER(SEARCH({"Auto Number"}, $B17))) &gt; 0, $B17, IF(SUMPRODUCT(-- ISNUMBER(SEARCH({"Lookup","Master-Detail"}, $B17))) &gt; 0,$B17 &amp; "(" &amp; $E17 &amp; ")",IF(SUMPRODUCT(-- ISNUMBER(SEARCH({"Formula","Roll-Up Summary"}, $B17))) &gt; 0,$B17 &amp; " (" &amp; $E17 &amp; ")",IF(SUMPRODUCT(-- ISNUMBER(SEARCH({"Content","Currency","Number","Percent","Text","URL"}, $B17))) &gt; 0,$B17 &amp; "(" &amp; $C17 &amp; ")",$B17)))), "  ", TRIM(IF($S17 = "YES", "(External ID)", "") &amp; " " &amp; IF(SUMPRODUCT(-- ISNUMBER(SEARCH({"Unique","Unique Case Insensitive"}, $R17))) &gt; 0, "(" &amp; $R17 &amp; ")", ""))))</f>
        <v>Number(2, 0)</v>
      </c>
      <c r="E17" s="7" t="s">
        <v>195</v>
      </c>
      <c r="F17" s="7" t="s">
        <v>603</v>
      </c>
      <c r="G17" s="7" t="s">
        <v>626</v>
      </c>
      <c r="H17" s="7" t="s">
        <v>195</v>
      </c>
      <c r="I17" s="7" t="s">
        <v>195</v>
      </c>
      <c r="J17" s="7" t="s">
        <v>195</v>
      </c>
      <c r="K17" s="7" t="s">
        <v>195</v>
      </c>
      <c r="L17" s="7" t="s">
        <v>195</v>
      </c>
      <c r="M17" s="7" t="s">
        <v>29</v>
      </c>
      <c r="N17" s="7" t="s">
        <v>29</v>
      </c>
      <c r="O17" s="7" t="s">
        <v>29</v>
      </c>
      <c r="P17" s="7" t="s">
        <v>29</v>
      </c>
      <c r="Q17" s="7" t="s">
        <v>29</v>
      </c>
      <c r="R17" s="7" t="s">
        <v>29</v>
      </c>
      <c r="S17" s="7" t="s">
        <v>29</v>
      </c>
    </row>
    <row r="18" spans="1:19">
      <c r="A18" s="7" t="s">
        <v>573</v>
      </c>
      <c r="B18" s="7" t="s">
        <v>1218</v>
      </c>
      <c r="C18" s="8">
        <v>20</v>
      </c>
      <c r="D18" s="6" t="str">
        <f>LRTRIM(CONCATENATE(IF(SUMPRODUCT(-- ISNUMBER(SEARCH({"Auto Number"}, $B18))) &gt; 0, $B18, IF(SUMPRODUCT(-- ISNUMBER(SEARCH({"Lookup","Master-Detail"}, $B18))) &gt; 0,$B18 &amp; "(" &amp; $E18 &amp; ")",IF(SUMPRODUCT(-- ISNUMBER(SEARCH({"Formula","Roll-Up Summary"}, $B18))) &gt; 0,$B18 &amp; " (" &amp; $E18 &amp; ")",IF(SUMPRODUCT(-- ISNUMBER(SEARCH({"Content","Currency","Number","Percent","Text","URL"}, $B18))) &gt; 0,$B18 &amp; "(" &amp; $C18 &amp; ")",$B18)))), "  ", TRIM(IF($S18 = "YES", "(External ID)", "") &amp; " " &amp; IF(SUMPRODUCT(-- ISNUMBER(SEARCH({"Unique","Unique Case Insensitive"}, $R18))) &gt; 0, "(" &amp; $R18 &amp; ")", ""))))</f>
        <v>Text(20)</v>
      </c>
      <c r="E18" s="7" t="s">
        <v>195</v>
      </c>
      <c r="F18" s="7" t="s">
        <v>604</v>
      </c>
      <c r="G18" s="7" t="s">
        <v>627</v>
      </c>
      <c r="H18" s="7" t="s">
        <v>195</v>
      </c>
      <c r="I18" s="7" t="s">
        <v>195</v>
      </c>
      <c r="J18" s="7" t="s">
        <v>195</v>
      </c>
      <c r="K18" s="7" t="s">
        <v>195</v>
      </c>
      <c r="L18" s="7" t="s">
        <v>195</v>
      </c>
      <c r="M18" s="7" t="s">
        <v>29</v>
      </c>
      <c r="N18" s="7" t="s">
        <v>29</v>
      </c>
      <c r="O18" s="7" t="s">
        <v>29</v>
      </c>
      <c r="P18" s="7" t="s">
        <v>29</v>
      </c>
      <c r="Q18" s="7" t="s">
        <v>29</v>
      </c>
      <c r="R18" s="7" t="s">
        <v>29</v>
      </c>
      <c r="S18" s="7" t="s">
        <v>29</v>
      </c>
    </row>
    <row r="19" spans="1:19">
      <c r="A19" s="7" t="s">
        <v>574</v>
      </c>
      <c r="B19" s="7" t="s">
        <v>1204</v>
      </c>
      <c r="C19" s="8">
        <v>0</v>
      </c>
      <c r="D19" s="6" t="str">
        <f>LRTRIM(CONCATENATE(IF(SUMPRODUCT(-- ISNUMBER(SEARCH({"Auto Number"}, $B19))) &gt; 0, $B19, IF(SUMPRODUCT(-- ISNUMBER(SEARCH({"Lookup","Master-Detail"}, $B19))) &gt; 0,$B19 &amp; "(" &amp; $E19 &amp; ")",IF(SUMPRODUCT(-- ISNUMBER(SEARCH({"Formula","Roll-Up Summary"}, $B19))) &gt; 0,$B19 &amp; " (" &amp; $E19 &amp; ")",IF(SUMPRODUCT(-- ISNUMBER(SEARCH({"Content","Currency","Number","Percent","Text","URL"}, $B19))) &gt; 0,$B19 &amp; "(" &amp; $C19 &amp; ")",$B19)))), "  ", TRIM(IF($S19 = "YES", "(External ID)", "") &amp; " " &amp; IF(SUMPRODUCT(-- ISNUMBER(SEARCH({"Unique","Unique Case Insensitive"}, $R19))) &gt; 0, "(" &amp; $R19 &amp; ")", ""))))</f>
        <v>Checkbox</v>
      </c>
      <c r="E19" s="7" t="s">
        <v>195</v>
      </c>
      <c r="F19" s="7" t="s">
        <v>605</v>
      </c>
      <c r="G19" s="7" t="s">
        <v>195</v>
      </c>
      <c r="H19" s="7" t="s">
        <v>195</v>
      </c>
      <c r="I19" s="7" t="s">
        <v>195</v>
      </c>
      <c r="J19" s="7" t="s">
        <v>195</v>
      </c>
      <c r="K19" s="7" t="s">
        <v>195</v>
      </c>
      <c r="L19" s="7" t="s">
        <v>195</v>
      </c>
      <c r="M19" s="7" t="s">
        <v>28</v>
      </c>
      <c r="N19" s="7" t="s">
        <v>29</v>
      </c>
      <c r="O19" s="7" t="s">
        <v>29</v>
      </c>
      <c r="P19" s="7" t="s">
        <v>29</v>
      </c>
      <c r="Q19" s="7" t="s">
        <v>29</v>
      </c>
      <c r="R19" s="7" t="s">
        <v>29</v>
      </c>
      <c r="S19" s="7" t="s">
        <v>29</v>
      </c>
    </row>
    <row r="20" spans="1:19">
      <c r="A20" s="7" t="s">
        <v>1675</v>
      </c>
      <c r="B20" s="7" t="s">
        <v>1204</v>
      </c>
      <c r="C20" s="8">
        <v>0</v>
      </c>
      <c r="D20" s="6" t="str">
        <f>LRTRIM(CONCATENATE(IF(SUMPRODUCT(-- ISNUMBER(SEARCH({"Auto Number"}, $B20))) &gt; 0, $B20, IF(SUMPRODUCT(-- ISNUMBER(SEARCH({"Lookup","Master-Detail"}, $B20))) &gt; 0,$B20 &amp; "(" &amp; $E20 &amp; ")",IF(SUMPRODUCT(-- ISNUMBER(SEARCH({"Formula","Roll-Up Summary"}, $B20))) &gt; 0,$B20 &amp; " (" &amp; $E20 &amp; ")",IF(SUMPRODUCT(-- ISNUMBER(SEARCH({"Content","Currency","Number","Percent","Text","URL"}, $B20))) &gt; 0,$B20 &amp; "(" &amp; $C20 &amp; ")",$B20)))), "  ", TRIM(IF($S20 = "YES", "(External ID)", "") &amp; " " &amp; IF(SUMPRODUCT(-- ISNUMBER(SEARCH({"Unique","Unique Case Insensitive"}, $R20))) &gt; 0, "(" &amp; $R20 &amp; ")", ""))))</f>
        <v>Checkbox</v>
      </c>
      <c r="E20" s="7" t="s">
        <v>195</v>
      </c>
      <c r="F20" s="7" t="s">
        <v>606</v>
      </c>
      <c r="G20" s="7" t="s">
        <v>629</v>
      </c>
      <c r="H20" s="7" t="s">
        <v>195</v>
      </c>
      <c r="I20" s="7" t="s">
        <v>195</v>
      </c>
      <c r="J20" s="7" t="s">
        <v>195</v>
      </c>
      <c r="K20" s="7" t="s">
        <v>195</v>
      </c>
      <c r="L20" s="7" t="s">
        <v>195</v>
      </c>
      <c r="M20" s="7" t="s">
        <v>28</v>
      </c>
      <c r="N20" s="7" t="s">
        <v>29</v>
      </c>
      <c r="O20" s="7" t="s">
        <v>29</v>
      </c>
      <c r="P20" s="7" t="s">
        <v>29</v>
      </c>
      <c r="Q20" s="7" t="s">
        <v>29</v>
      </c>
      <c r="R20" s="7" t="s">
        <v>29</v>
      </c>
      <c r="S20" s="7" t="s">
        <v>29</v>
      </c>
    </row>
    <row r="21" spans="1:19">
      <c r="A21" s="7" t="s">
        <v>576</v>
      </c>
      <c r="B21" s="7" t="s">
        <v>1211</v>
      </c>
      <c r="C21" s="8">
        <v>18</v>
      </c>
      <c r="D21" s="6" t="str">
        <f>LRTRIM(CONCATENATE(IF(SUMPRODUCT(-- ISNUMBER(SEARCH({"Auto Number"}, $B21))) &gt; 0, $B21, IF(SUMPRODUCT(-- ISNUMBER(SEARCH({"Lookup","Master-Detail"}, $B21))) &gt; 0,$B21 &amp; "(" &amp; $E21 &amp; ")",IF(SUMPRODUCT(-- ISNUMBER(SEARCH({"Formula","Roll-Up Summary"}, $B21))) &gt; 0,$B21 &amp; " (" &amp; $E21 &amp; ")",IF(SUMPRODUCT(-- ISNUMBER(SEARCH({"Content","Currency","Number","Percent","Text","URL"}, $B21))) &gt; 0,$B21 &amp; "(" &amp; $C21 &amp; ")",$B21)))), "  ", TRIM(IF($S21 = "YES", "(External ID)", "") &amp; " " &amp; IF(SUMPRODUCT(-- ISNUMBER(SEARCH({"Unique","Unique Case Insensitive"}, $R21))) &gt; 0, "(" &amp; $R21 &amp; ")", ""))))</f>
        <v>Lookup(Individual)</v>
      </c>
      <c r="E21" s="7" t="s">
        <v>594</v>
      </c>
      <c r="F21" s="7" t="s">
        <v>594</v>
      </c>
      <c r="G21" s="7" t="s">
        <v>195</v>
      </c>
      <c r="H21" s="7" t="s">
        <v>195</v>
      </c>
      <c r="I21" s="7" t="s">
        <v>195</v>
      </c>
      <c r="J21" s="7" t="s">
        <v>195</v>
      </c>
      <c r="K21" s="7" t="s">
        <v>195</v>
      </c>
      <c r="L21" s="7" t="s">
        <v>195</v>
      </c>
      <c r="M21" s="7" t="s">
        <v>29</v>
      </c>
      <c r="N21" s="7" t="s">
        <v>29</v>
      </c>
      <c r="O21" s="7" t="s">
        <v>29</v>
      </c>
      <c r="P21" s="7" t="s">
        <v>29</v>
      </c>
      <c r="Q21" s="7" t="s">
        <v>29</v>
      </c>
      <c r="R21" s="7" t="s">
        <v>29</v>
      </c>
      <c r="S21" s="7" t="s">
        <v>29</v>
      </c>
    </row>
    <row r="22" spans="1:19">
      <c r="A22" s="7" t="s">
        <v>1678</v>
      </c>
      <c r="B22" s="7" t="s">
        <v>1218</v>
      </c>
      <c r="C22" s="8">
        <v>20</v>
      </c>
      <c r="D22" s="6" t="str">
        <f>LRTRIM(CONCATENATE(IF(SUMPRODUCT(-- ISNUMBER(SEARCH({"Auto Number"}, $B22))) &gt; 0, $B22, IF(SUMPRODUCT(-- ISNUMBER(SEARCH({"Lookup","Master-Detail"}, $B22))) &gt; 0,$B22 &amp; "(" &amp; $E22 &amp; ")",IF(SUMPRODUCT(-- ISNUMBER(SEARCH({"Formula","Roll-Up Summary"}, $B22))) &gt; 0,$B22 &amp; " (" &amp; $E22 &amp; ")",IF(SUMPRODUCT(-- ISNUMBER(SEARCH({"Content","Currency","Number","Percent","Text","URL"}, $B22))) &gt; 0,$B22 &amp; "(" &amp; $C22 &amp; ")",$B22)))), "  ", TRIM(IF($S22 = "YES", "(External ID)", "") &amp; " " &amp; IF(SUMPRODUCT(-- ISNUMBER(SEARCH({"Unique","Unique Case Insensitive"}, $R22))) &gt; 0, "(" &amp; $R22 &amp; ")", ""))))</f>
        <v>Text(20)</v>
      </c>
      <c r="E22" s="7" t="s">
        <v>195</v>
      </c>
      <c r="F22" s="7" t="s">
        <v>1684</v>
      </c>
      <c r="G22" s="7" t="s">
        <v>195</v>
      </c>
      <c r="H22" s="7" t="s">
        <v>195</v>
      </c>
      <c r="I22" s="7" t="s">
        <v>195</v>
      </c>
      <c r="J22" s="7" t="s">
        <v>195</v>
      </c>
      <c r="K22" s="7" t="s">
        <v>195</v>
      </c>
      <c r="L22" s="7" t="s">
        <v>195</v>
      </c>
      <c r="M22" s="7" t="s">
        <v>29</v>
      </c>
      <c r="N22" s="7" t="s">
        <v>29</v>
      </c>
      <c r="O22" s="7" t="s">
        <v>29</v>
      </c>
      <c r="P22" s="7" t="s">
        <v>29</v>
      </c>
      <c r="Q22" s="7" t="s">
        <v>29</v>
      </c>
      <c r="R22" s="7" t="s">
        <v>29</v>
      </c>
      <c r="S22" s="7" t="s">
        <v>29</v>
      </c>
    </row>
    <row r="23" spans="1:19">
      <c r="A23" s="7" t="s">
        <v>1616</v>
      </c>
      <c r="B23" s="7" t="s">
        <v>1215</v>
      </c>
      <c r="C23" s="8">
        <v>40</v>
      </c>
      <c r="D23" s="6" t="str">
        <f>LRTRIM(CONCATENATE(IF(SUMPRODUCT(-- ISNUMBER(SEARCH({"Auto Number"}, $B23))) &gt; 0, $B23, IF(SUMPRODUCT(-- ISNUMBER(SEARCH({"Lookup","Master-Detail"}, $B23))) &gt; 0,$B23 &amp; "(" &amp; $E23 &amp; ")",IF(SUMPRODUCT(-- ISNUMBER(SEARCH({"Formula","Roll-Up Summary"}, $B23))) &gt; 0,$B23 &amp; " (" &amp; $E23 &amp; ")",IF(SUMPRODUCT(-- ISNUMBER(SEARCH({"Content","Currency","Number","Percent","Text","URL"}, $B23))) &gt; 0,$B23 &amp; "(" &amp; $C23 &amp; ")",$B23)))), "  ", TRIM(IF($S23 = "YES", "(External ID)", "") &amp; " " &amp; IF(SUMPRODUCT(-- ISNUMBER(SEARCH({"Unique","Unique Case Insensitive"}, $R23))) &gt; 0, "(" &amp; $R23 &amp; ")", ""))))</f>
        <v>Picklist</v>
      </c>
      <c r="E23" s="7" t="s">
        <v>195</v>
      </c>
      <c r="F23" s="7" t="s">
        <v>609</v>
      </c>
      <c r="G23" s="7" t="s">
        <v>195</v>
      </c>
      <c r="H23" s="7" t="s">
        <v>195</v>
      </c>
      <c r="I23" s="7" t="s">
        <v>590</v>
      </c>
      <c r="J23" s="7" t="s">
        <v>195</v>
      </c>
      <c r="K23" s="7" t="s">
        <v>195</v>
      </c>
      <c r="L23" s="7" t="s">
        <v>195</v>
      </c>
      <c r="M23" s="7" t="s">
        <v>29</v>
      </c>
      <c r="N23" s="7" t="s">
        <v>29</v>
      </c>
      <c r="O23" s="7" t="s">
        <v>29</v>
      </c>
      <c r="P23" s="7" t="s">
        <v>29</v>
      </c>
      <c r="Q23" s="7" t="s">
        <v>29</v>
      </c>
      <c r="R23" s="7" t="s">
        <v>29</v>
      </c>
      <c r="S23" s="7" t="s">
        <v>29</v>
      </c>
    </row>
    <row r="24" spans="1:19">
      <c r="A24" s="7" t="s">
        <v>1396</v>
      </c>
      <c r="B24" s="7" t="s">
        <v>1215</v>
      </c>
      <c r="C24" s="8">
        <v>255</v>
      </c>
      <c r="D24" s="6" t="str">
        <f>LRTRIM(CONCATENATE(IF(SUMPRODUCT(-- ISNUMBER(SEARCH({"Auto Number"}, $B24))) &gt; 0, $B24, IF(SUMPRODUCT(-- ISNUMBER(SEARCH({"Lookup","Master-Detail"}, $B24))) &gt; 0,$B24 &amp; "(" &amp; $E24 &amp; ")",IF(SUMPRODUCT(-- ISNUMBER(SEARCH({"Formula","Roll-Up Summary"}, $B24))) &gt; 0,$B24 &amp; " (" &amp; $E24 &amp; ")",IF(SUMPRODUCT(-- ISNUMBER(SEARCH({"Content","Currency","Number","Percent","Text","URL"}, $B24))) &gt; 0,$B24 &amp; "(" &amp; $C24 &amp; ")",$B24)))), "  ", TRIM(IF($S24 = "YES", "(External ID)", "") &amp; " " &amp; IF(SUMPRODUCT(-- ISNUMBER(SEARCH({"Unique","Unique Case Insensitive"}, $R24))) &gt; 0, "(" &amp; $R24 &amp; ")", ""))))</f>
        <v>Picklist</v>
      </c>
      <c r="E24" s="7" t="s">
        <v>195</v>
      </c>
      <c r="F24" s="7" t="s">
        <v>610</v>
      </c>
      <c r="G24" s="7" t="s">
        <v>632</v>
      </c>
      <c r="H24" s="7" t="s">
        <v>195</v>
      </c>
      <c r="I24" s="7" t="s">
        <v>591</v>
      </c>
      <c r="J24" s="7" t="s">
        <v>195</v>
      </c>
      <c r="K24" s="7" t="s">
        <v>195</v>
      </c>
      <c r="L24" s="7" t="s">
        <v>195</v>
      </c>
      <c r="M24" s="7" t="s">
        <v>29</v>
      </c>
      <c r="N24" s="7" t="s">
        <v>29</v>
      </c>
      <c r="O24" s="7" t="s">
        <v>29</v>
      </c>
      <c r="P24" s="7" t="s">
        <v>29</v>
      </c>
      <c r="Q24" s="7" t="s">
        <v>29</v>
      </c>
      <c r="R24" s="7" t="s">
        <v>29</v>
      </c>
      <c r="S24" s="7" t="s">
        <v>29</v>
      </c>
    </row>
    <row r="25" spans="1:19">
      <c r="A25" s="7" t="s">
        <v>1677</v>
      </c>
      <c r="B25" s="7" t="s">
        <v>1218</v>
      </c>
      <c r="C25" s="8">
        <v>18</v>
      </c>
      <c r="D25" s="6" t="str">
        <f>LRTRIM(CONCATENATE(IF(SUMPRODUCT(-- ISNUMBER(SEARCH({"Auto Number"}, $B25))) &gt; 0, $B25, IF(SUMPRODUCT(-- ISNUMBER(SEARCH({"Lookup","Master-Detail"}, $B25))) &gt; 0,$B25 &amp; "(" &amp; $E25 &amp; ")",IF(SUMPRODUCT(-- ISNUMBER(SEARCH({"Formula","Roll-Up Summary"}, $B25))) &gt; 0,$B25 &amp; " (" &amp; $E25 &amp; ")",IF(SUMPRODUCT(-- ISNUMBER(SEARCH({"Content","Currency","Number","Percent","Text","URL"}, $B25))) &gt; 0,$B25 &amp; "(" &amp; $C25 &amp; ")",$B25)))), "  ", TRIM(IF($S25 = "YES", "(External ID)", "") &amp; " " &amp; IF(SUMPRODUCT(-- ISNUMBER(SEARCH({"Unique","Unique Case Insensitive"}, $R25))) &gt; 0, "(" &amp; $R25 &amp; ")", ""))))</f>
        <v>Text(18)</v>
      </c>
      <c r="E25" s="7" t="s">
        <v>195</v>
      </c>
      <c r="F25" s="7" t="s">
        <v>1682</v>
      </c>
      <c r="G25" s="7" t="s">
        <v>195</v>
      </c>
      <c r="H25" s="7" t="s">
        <v>195</v>
      </c>
      <c r="I25" s="7" t="s">
        <v>195</v>
      </c>
      <c r="J25" s="7" t="s">
        <v>195</v>
      </c>
      <c r="K25" s="7" t="s">
        <v>195</v>
      </c>
      <c r="L25" s="7" t="s">
        <v>195</v>
      </c>
      <c r="M25" s="7" t="s">
        <v>29</v>
      </c>
      <c r="N25" s="7" t="s">
        <v>29</v>
      </c>
      <c r="O25" s="7" t="s">
        <v>29</v>
      </c>
      <c r="P25" s="7" t="s">
        <v>29</v>
      </c>
      <c r="Q25" s="7" t="s">
        <v>29</v>
      </c>
      <c r="R25" s="7" t="s">
        <v>29</v>
      </c>
      <c r="S25" s="7" t="s">
        <v>29</v>
      </c>
    </row>
    <row r="26" spans="1:19">
      <c r="A26" s="7" t="s">
        <v>403</v>
      </c>
      <c r="B26" s="7" t="s">
        <v>95</v>
      </c>
      <c r="C26" s="8">
        <v>40</v>
      </c>
      <c r="D26" s="6" t="str">
        <f>LRTRIM(CONCATENATE(IF(SUMPRODUCT(-- ISNUMBER(SEARCH({"Auto Number"}, $B26))) &gt; 0, $B26, IF(SUMPRODUCT(-- ISNUMBER(SEARCH({"Lookup","Master-Detail"}, $B26))) &gt; 0,$B26 &amp; "(" &amp; $E26 &amp; ")",IF(SUMPRODUCT(-- ISNUMBER(SEARCH({"Formula","Roll-Up Summary"}, $B26))) &gt; 0,$B26 &amp; " (" &amp; $E26 &amp; ")",IF(SUMPRODUCT(-- ISNUMBER(SEARCH({"Content","Currency","Number","Percent","Text","URL"}, $B26))) &gt; 0,$B26 &amp; "(" &amp; $C26 &amp; ")",$B26)))), "  ", TRIM(IF($S26 = "YES", "(External ID)", "") &amp; " " &amp; IF(SUMPRODUCT(-- ISNUMBER(SEARCH({"Unique","Unique Case Insensitive"}, $R26))) &gt; 0, "(" &amp; $R26 &amp; ")", ""))))</f>
        <v>Phone</v>
      </c>
      <c r="E26" s="7" t="s">
        <v>195</v>
      </c>
      <c r="F26" s="7" t="s">
        <v>143</v>
      </c>
      <c r="G26" s="7" t="s">
        <v>195</v>
      </c>
      <c r="H26" s="7" t="s">
        <v>195</v>
      </c>
      <c r="I26" s="7" t="s">
        <v>195</v>
      </c>
      <c r="J26" s="7" t="s">
        <v>195</v>
      </c>
      <c r="K26" s="7" t="s">
        <v>195</v>
      </c>
      <c r="L26" s="7" t="s">
        <v>195</v>
      </c>
      <c r="M26" s="7" t="s">
        <v>29</v>
      </c>
      <c r="N26" s="7" t="s">
        <v>29</v>
      </c>
      <c r="O26" s="7" t="s">
        <v>29</v>
      </c>
      <c r="P26" s="7" t="s">
        <v>29</v>
      </c>
      <c r="Q26" s="7" t="s">
        <v>29</v>
      </c>
      <c r="R26" s="7" t="s">
        <v>29</v>
      </c>
      <c r="S26" s="7" t="s">
        <v>29</v>
      </c>
    </row>
    <row r="27" spans="1:19">
      <c r="A27" s="7" t="s">
        <v>579</v>
      </c>
      <c r="B27" s="7" t="s">
        <v>1204</v>
      </c>
      <c r="C27" s="8">
        <v>0</v>
      </c>
      <c r="D27" s="6" t="str">
        <f>LRTRIM(CONCATENATE(IF(SUMPRODUCT(-- ISNUMBER(SEARCH({"Auto Number"}, $B27))) &gt; 0, $B27, IF(SUMPRODUCT(-- ISNUMBER(SEARCH({"Lookup","Master-Detail"}, $B27))) &gt; 0,$B27 &amp; "(" &amp; $E27 &amp; ")",IF(SUMPRODUCT(-- ISNUMBER(SEARCH({"Formula","Roll-Up Summary"}, $B27))) &gt; 0,$B27 &amp; " (" &amp; $E27 &amp; ")",IF(SUMPRODUCT(-- ISNUMBER(SEARCH({"Content","Currency","Number","Percent","Text","URL"}, $B27))) &gt; 0,$B27 &amp; "(" &amp; $C27 &amp; ")",$B27)))), "  ", TRIM(IF($S27 = "YES", "(External ID)", "") &amp; " " &amp; IF(SUMPRODUCT(-- ISNUMBER(SEARCH({"Unique","Unique Case Insensitive"}, $R27))) &gt; 0, "(" &amp; $R27 &amp; ")", ""))))</f>
        <v>Checkbox</v>
      </c>
      <c r="E27" s="7" t="s">
        <v>195</v>
      </c>
      <c r="F27" s="7" t="s">
        <v>608</v>
      </c>
      <c r="G27" s="7" t="s">
        <v>633</v>
      </c>
      <c r="H27" s="7" t="s">
        <v>195</v>
      </c>
      <c r="I27" s="7" t="s">
        <v>195</v>
      </c>
      <c r="J27" s="7" t="s">
        <v>195</v>
      </c>
      <c r="K27" s="7" t="s">
        <v>195</v>
      </c>
      <c r="L27" s="7" t="s">
        <v>195</v>
      </c>
      <c r="M27" s="7" t="s">
        <v>28</v>
      </c>
      <c r="N27" s="7" t="s">
        <v>29</v>
      </c>
      <c r="O27" s="7" t="s">
        <v>29</v>
      </c>
      <c r="P27" s="7" t="s">
        <v>29</v>
      </c>
      <c r="Q27" s="7" t="s">
        <v>29</v>
      </c>
      <c r="R27" s="7" t="s">
        <v>29</v>
      </c>
      <c r="S27" s="7" t="s">
        <v>29</v>
      </c>
    </row>
    <row r="28" spans="1:19">
      <c r="A28" s="7" t="s">
        <v>95</v>
      </c>
      <c r="B28" s="7" t="s">
        <v>95</v>
      </c>
      <c r="C28" s="8">
        <v>40</v>
      </c>
      <c r="D28" s="6" t="str">
        <f>LRTRIM(CONCATENATE(IF(SUMPRODUCT(-- ISNUMBER(SEARCH({"Auto Number"}, $B28))) &gt; 0, $B28, IF(SUMPRODUCT(-- ISNUMBER(SEARCH({"Lookup","Master-Detail"}, $B28))) &gt; 0,$B28 &amp; "(" &amp; $E28 &amp; ")",IF(SUMPRODUCT(-- ISNUMBER(SEARCH({"Formula","Roll-Up Summary"}, $B28))) &gt; 0,$B28 &amp; " (" &amp; $E28 &amp; ")",IF(SUMPRODUCT(-- ISNUMBER(SEARCH({"Content","Currency","Number","Percent","Text","URL"}, $B28))) &gt; 0,$B28 &amp; "(" &amp; $C28 &amp; ")",$B28)))), "  ", TRIM(IF($S28 = "YES", "(External ID)", "") &amp; " " &amp; IF(SUMPRODUCT(-- ISNUMBER(SEARCH({"Unique","Unique Case Insensitive"}, $R28))) &gt; 0, "(" &amp; $R28 &amp; ")", ""))))</f>
        <v>Phone</v>
      </c>
      <c r="E28" s="7" t="s">
        <v>195</v>
      </c>
      <c r="F28" s="7" t="s">
        <v>95</v>
      </c>
      <c r="G28" s="7" t="s">
        <v>195</v>
      </c>
      <c r="H28" s="7" t="s">
        <v>195</v>
      </c>
      <c r="I28" s="7" t="s">
        <v>195</v>
      </c>
      <c r="J28" s="7" t="s">
        <v>195</v>
      </c>
      <c r="K28" s="7" t="s">
        <v>195</v>
      </c>
      <c r="L28" s="7" t="s">
        <v>195</v>
      </c>
      <c r="M28" s="7" t="s">
        <v>29</v>
      </c>
      <c r="N28" s="7" t="s">
        <v>29</v>
      </c>
      <c r="O28" s="7" t="s">
        <v>29</v>
      </c>
      <c r="P28" s="7" t="s">
        <v>29</v>
      </c>
      <c r="Q28" s="7" t="s">
        <v>29</v>
      </c>
      <c r="R28" s="7" t="s">
        <v>29</v>
      </c>
      <c r="S28" s="7" t="s">
        <v>29</v>
      </c>
    </row>
    <row r="29" spans="1:19">
      <c r="A29" s="7" t="s">
        <v>580</v>
      </c>
      <c r="B29" s="7" t="s">
        <v>1215</v>
      </c>
      <c r="C29" s="8">
        <v>255</v>
      </c>
      <c r="D29" s="6" t="str">
        <f>LRTRIM(CONCATENATE(IF(SUMPRODUCT(-- ISNUMBER(SEARCH({"Auto Number"}, $B29))) &gt; 0, $B29, IF(SUMPRODUCT(-- ISNUMBER(SEARCH({"Lookup","Master-Detail"}, $B29))) &gt; 0,$B29 &amp; "(" &amp; $E29 &amp; ")",IF(SUMPRODUCT(-- ISNUMBER(SEARCH({"Formula","Roll-Up Summary"}, $B29))) &gt; 0,$B29 &amp; " (" &amp; $E29 &amp; ")",IF(SUMPRODUCT(-- ISNUMBER(SEARCH({"Content","Currency","Number","Percent","Text","URL"}, $B29))) &gt; 0,$B29 &amp; "(" &amp; $C29 &amp; ")",$B29)))), "  ", TRIM(IF($S29 = "YES", "(External ID)", "") &amp; " " &amp; IF(SUMPRODUCT(-- ISNUMBER(SEARCH({"Unique","Unique Case Insensitive"}, $R29))) &gt; 0, "(" &amp; $R29 &amp; ")", ""))))</f>
        <v>Picklist</v>
      </c>
      <c r="E29" s="7" t="s">
        <v>195</v>
      </c>
      <c r="F29" s="7" t="s">
        <v>611</v>
      </c>
      <c r="G29" s="7" t="s">
        <v>634</v>
      </c>
      <c r="H29" s="7" t="s">
        <v>195</v>
      </c>
      <c r="I29" s="7" t="s">
        <v>592</v>
      </c>
      <c r="J29" s="7" t="s">
        <v>195</v>
      </c>
      <c r="K29" s="7" t="s">
        <v>195</v>
      </c>
      <c r="L29" s="7" t="s">
        <v>195</v>
      </c>
      <c r="M29" s="7" t="s">
        <v>29</v>
      </c>
      <c r="N29" s="7" t="s">
        <v>29</v>
      </c>
      <c r="O29" s="7" t="s">
        <v>29</v>
      </c>
      <c r="P29" s="7" t="s">
        <v>29</v>
      </c>
      <c r="Q29" s="7" t="s">
        <v>29</v>
      </c>
      <c r="R29" s="7" t="s">
        <v>29</v>
      </c>
      <c r="S29" s="7" t="s">
        <v>29</v>
      </c>
    </row>
    <row r="30" spans="1:19">
      <c r="A30" s="7" t="s">
        <v>581</v>
      </c>
      <c r="B30" s="7" t="s">
        <v>1204</v>
      </c>
      <c r="C30" s="8">
        <v>0</v>
      </c>
      <c r="D30" s="6" t="str">
        <f>LRTRIM(CONCATENATE(IF(SUMPRODUCT(-- ISNUMBER(SEARCH({"Auto Number"}, $B30))) &gt; 0, $B30, IF(SUMPRODUCT(-- ISNUMBER(SEARCH({"Lookup","Master-Detail"}, $B30))) &gt; 0,$B30 &amp; "(" &amp; $E30 &amp; ")",IF(SUMPRODUCT(-- ISNUMBER(SEARCH({"Formula","Roll-Up Summary"}, $B30))) &gt; 0,$B30 &amp; " (" &amp; $E30 &amp; ")",IF(SUMPRODUCT(-- ISNUMBER(SEARCH({"Content","Currency","Number","Percent","Text","URL"}, $B30))) &gt; 0,$B30 &amp; "(" &amp; $C30 &amp; ")",$B30)))), "  ", TRIM(IF($S30 = "YES", "(External ID)", "") &amp; " " &amp; IF(SUMPRODUCT(-- ISNUMBER(SEARCH({"Unique","Unique Case Insensitive"}, $R30))) &gt; 0, "(" &amp; $R30 &amp; ")", ""))))</f>
        <v>Checkbox</v>
      </c>
      <c r="E30" s="7" t="s">
        <v>195</v>
      </c>
      <c r="F30" s="7" t="s">
        <v>612</v>
      </c>
      <c r="G30" s="7" t="s">
        <v>195</v>
      </c>
      <c r="H30" s="7" t="s">
        <v>195</v>
      </c>
      <c r="I30" s="7" t="s">
        <v>195</v>
      </c>
      <c r="J30" s="7" t="s">
        <v>195</v>
      </c>
      <c r="K30" s="7" t="s">
        <v>195</v>
      </c>
      <c r="L30" s="7" t="s">
        <v>195</v>
      </c>
      <c r="M30" s="7" t="s">
        <v>28</v>
      </c>
      <c r="N30" s="7" t="s">
        <v>29</v>
      </c>
      <c r="O30" s="7" t="s">
        <v>29</v>
      </c>
      <c r="P30" s="7" t="s">
        <v>29</v>
      </c>
      <c r="Q30" s="7" t="s">
        <v>29</v>
      </c>
      <c r="R30" s="7" t="s">
        <v>29</v>
      </c>
      <c r="S30" s="7" t="s">
        <v>29</v>
      </c>
    </row>
    <row r="31" spans="1:19">
      <c r="A31" s="7" t="s">
        <v>97</v>
      </c>
      <c r="B31" s="7" t="s">
        <v>1217</v>
      </c>
      <c r="C31" s="8">
        <v>18</v>
      </c>
      <c r="D31" s="6" t="str">
        <f>LRTRIM(CONCATENATE(IF(SUMPRODUCT(-- ISNUMBER(SEARCH({"Auto Number"}, $B31))) &gt; 0, $B31, IF(SUMPRODUCT(-- ISNUMBER(SEARCH({"Lookup","Master-Detail"}, $B31))) &gt; 0,$B31 &amp; "(" &amp; $E31 &amp; ")",IF(SUMPRODUCT(-- ISNUMBER(SEARCH({"Formula","Roll-Up Summary"}, $B31))) &gt; 0,$B31 &amp; " (" &amp; $E31 &amp; ")",IF(SUMPRODUCT(-- ISNUMBER(SEARCH({"Content","Currency","Number","Percent","Text","URL"}, $B31))) &gt; 0,$B31 &amp; "(" &amp; $C31 &amp; ")",$B31)))), "  ", TRIM(IF($S31 = "YES", "(External ID)", "") &amp; " " &amp; IF(SUMPRODUCT(-- ISNUMBER(SEARCH({"Unique","Unique Case Insensitive"}, $R31))) &gt; 0, "(" &amp; $R31 &amp; ")", ""))))</f>
        <v>Record Type</v>
      </c>
      <c r="E31" s="7" t="s">
        <v>195</v>
      </c>
      <c r="F31" s="7" t="s">
        <v>1611</v>
      </c>
      <c r="G31" s="7" t="s">
        <v>195</v>
      </c>
      <c r="H31" s="7" t="s">
        <v>195</v>
      </c>
      <c r="I31" s="7" t="s">
        <v>195</v>
      </c>
      <c r="J31" s="7" t="s">
        <v>195</v>
      </c>
      <c r="K31" s="7" t="s">
        <v>195</v>
      </c>
      <c r="L31" s="7" t="s">
        <v>195</v>
      </c>
      <c r="M31" s="7" t="s">
        <v>29</v>
      </c>
      <c r="N31" s="7" t="s">
        <v>29</v>
      </c>
      <c r="O31" s="7" t="s">
        <v>29</v>
      </c>
      <c r="P31" s="7" t="s">
        <v>29</v>
      </c>
      <c r="Q31" s="7" t="s">
        <v>29</v>
      </c>
      <c r="R31" s="7" t="s">
        <v>29</v>
      </c>
      <c r="S31" s="7" t="s">
        <v>29</v>
      </c>
    </row>
    <row r="32" spans="1:19">
      <c r="A32" s="7" t="s">
        <v>1679</v>
      </c>
      <c r="B32" s="7" t="s">
        <v>1476</v>
      </c>
      <c r="C32" s="8">
        <v>2500</v>
      </c>
      <c r="D32" s="6" t="str">
        <f>LRTRIM(CONCATENATE(IF(SUMPRODUCT(-- ISNUMBER(SEARCH({"Auto Number"}, $B32))) &gt; 0, $B32, IF(SUMPRODUCT(-- ISNUMBER(SEARCH({"Lookup","Master-Detail"}, $B32))) &gt; 0,$B32 &amp; "(" &amp; $E32 &amp; ")",IF(SUMPRODUCT(-- ISNUMBER(SEARCH({"Formula","Roll-Up Summary"}, $B32))) &gt; 0,$B32 &amp; " (" &amp; $E32 &amp; ")",IF(SUMPRODUCT(-- ISNUMBER(SEARCH({"Content","Currency","Number","Percent","Text","URL"}, $B32))) &gt; 0,$B32 &amp; "(" &amp; $C32 &amp; ")",$B32)))), "  ", TRIM(IF($S32 = "YES", "(External ID)", "") &amp; " " &amp; IF(SUMPRODUCT(-- ISNUMBER(SEARCH({"Unique","Unique Case Insensitive"}, $R32))) &gt; 0, "(" &amp; $R32 &amp; ")", ""))))</f>
        <v>Long Text Area(2500)</v>
      </c>
      <c r="E32" s="7" t="s">
        <v>195</v>
      </c>
      <c r="F32" s="7" t="s">
        <v>1685</v>
      </c>
      <c r="G32" s="7" t="s">
        <v>195</v>
      </c>
      <c r="H32" s="7" t="s">
        <v>195</v>
      </c>
      <c r="I32" s="7" t="s">
        <v>195</v>
      </c>
      <c r="J32" s="7" t="s">
        <v>195</v>
      </c>
      <c r="K32" s="7" t="s">
        <v>195</v>
      </c>
      <c r="L32" s="7" t="s">
        <v>195</v>
      </c>
      <c r="M32" s="7" t="s">
        <v>29</v>
      </c>
      <c r="N32" s="7" t="s">
        <v>29</v>
      </c>
      <c r="O32" s="7" t="s">
        <v>29</v>
      </c>
      <c r="P32" s="7" t="s">
        <v>29</v>
      </c>
      <c r="Q32" s="7" t="s">
        <v>29</v>
      </c>
      <c r="R32" s="7" t="s">
        <v>29</v>
      </c>
      <c r="S32" s="7" t="s">
        <v>29</v>
      </c>
    </row>
    <row r="33" spans="1:19">
      <c r="A33" s="7" t="s">
        <v>582</v>
      </c>
      <c r="B33" s="7" t="s">
        <v>386</v>
      </c>
      <c r="C33" s="8">
        <v>0</v>
      </c>
      <c r="D33" s="6" t="str">
        <f>LRTRIM(CONCATENATE(IF(SUMPRODUCT(-- ISNUMBER(SEARCH({"Auto Number"}, $B33))) &gt; 0, $B33, IF(SUMPRODUCT(-- ISNUMBER(SEARCH({"Lookup","Master-Detail"}, $B33))) &gt; 0,$B33 &amp; "(" &amp; $E33 &amp; ")",IF(SUMPRODUCT(-- ISNUMBER(SEARCH({"Formula","Roll-Up Summary"}, $B33))) &gt; 0,$B33 &amp; " (" &amp; $E33 &amp; ")",IF(SUMPRODUCT(-- ISNUMBER(SEARCH({"Content","Currency","Number","Percent","Text","URL"}, $B33))) &gt; 0,$B33 &amp; "(" &amp; $C33 &amp; ")",$B33)))), "  ", TRIM(IF($S33 = "YES", "(External ID)", "") &amp; " " &amp; IF(SUMPRODUCT(-- ISNUMBER(SEARCH({"Unique","Unique Case Insensitive"}, $R33))) &gt; 0, "(" &amp; $R33 &amp; ")", ""))))</f>
        <v>Date</v>
      </c>
      <c r="E33" s="7" t="s">
        <v>195</v>
      </c>
      <c r="F33" s="7" t="s">
        <v>613</v>
      </c>
      <c r="G33" s="7" t="s">
        <v>635</v>
      </c>
      <c r="H33" s="7" t="s">
        <v>195</v>
      </c>
      <c r="I33" s="7" t="s">
        <v>195</v>
      </c>
      <c r="J33" s="7" t="s">
        <v>195</v>
      </c>
      <c r="K33" s="7" t="s">
        <v>195</v>
      </c>
      <c r="L33" s="7" t="s">
        <v>195</v>
      </c>
      <c r="M33" s="7" t="s">
        <v>29</v>
      </c>
      <c r="N33" s="7" t="s">
        <v>29</v>
      </c>
      <c r="O33" s="7" t="s">
        <v>29</v>
      </c>
      <c r="P33" s="7" t="s">
        <v>29</v>
      </c>
      <c r="Q33" s="7" t="s">
        <v>29</v>
      </c>
      <c r="R33" s="7" t="s">
        <v>29</v>
      </c>
      <c r="S33" s="7" t="s">
        <v>29</v>
      </c>
    </row>
    <row r="34" spans="1:19">
      <c r="A34" s="7" t="s">
        <v>308</v>
      </c>
      <c r="B34" s="7" t="s">
        <v>1215</v>
      </c>
      <c r="C34" s="8">
        <v>40</v>
      </c>
      <c r="D34" s="6" t="str">
        <f>LRTRIM(CONCATENATE(IF(SUMPRODUCT(-- ISNUMBER(SEARCH({"Auto Number"}, $B34))) &gt; 0, $B34, IF(SUMPRODUCT(-- ISNUMBER(SEARCH({"Lookup","Master-Detail"}, $B34))) &gt; 0,$B34 &amp; "(" &amp; $E34 &amp; ")",IF(SUMPRODUCT(-- ISNUMBER(SEARCH({"Formula","Roll-Up Summary"}, $B34))) &gt; 0,$B34 &amp; " (" &amp; $E34 &amp; ")",IF(SUMPRODUCT(-- ISNUMBER(SEARCH({"Content","Currency","Number","Percent","Text","URL"}, $B34))) &gt; 0,$B34 &amp; "(" &amp; $C34 &amp; ")",$B34)))), "  ", TRIM(IF($S34 = "YES", "(External ID)", "") &amp; " " &amp; IF(SUMPRODUCT(-- ISNUMBER(SEARCH({"Unique","Unique Case Insensitive"}, $R34))) &gt; 0, "(" &amp; $R34 &amp; ")", ""))))</f>
        <v>Picklist</v>
      </c>
      <c r="E34" s="7" t="s">
        <v>195</v>
      </c>
      <c r="F34" s="7" t="s">
        <v>1612</v>
      </c>
      <c r="G34" s="7" t="s">
        <v>195</v>
      </c>
      <c r="H34" s="7" t="s">
        <v>195</v>
      </c>
      <c r="I34" s="7" t="s">
        <v>593</v>
      </c>
      <c r="J34" s="7" t="s">
        <v>195</v>
      </c>
      <c r="K34" s="7" t="s">
        <v>195</v>
      </c>
      <c r="L34" s="7" t="s">
        <v>195</v>
      </c>
      <c r="M34" s="7" t="s">
        <v>28</v>
      </c>
      <c r="N34" s="7" t="s">
        <v>29</v>
      </c>
      <c r="O34" s="7" t="s">
        <v>29</v>
      </c>
      <c r="P34" s="7" t="s">
        <v>29</v>
      </c>
      <c r="Q34" s="7" t="s">
        <v>29</v>
      </c>
      <c r="R34" s="7" t="s">
        <v>29</v>
      </c>
      <c r="S34" s="7" t="s">
        <v>29</v>
      </c>
    </row>
    <row r="35" spans="1:19">
      <c r="A35" s="7" t="s">
        <v>584</v>
      </c>
      <c r="B35" s="7" t="s">
        <v>1206</v>
      </c>
      <c r="C35" s="8" t="s">
        <v>1250</v>
      </c>
      <c r="D35" s="6" t="str">
        <f>LRTRIM(CONCATENATE(IF(SUMPRODUCT(-- ISNUMBER(SEARCH({"Auto Number"}, $B35))) &gt; 0, $B35, IF(SUMPRODUCT(-- ISNUMBER(SEARCH({"Lookup","Master-Detail"}, $B35))) &gt; 0,$B35 &amp; "(" &amp; $E35 &amp; ")",IF(SUMPRODUCT(-- ISNUMBER(SEARCH({"Formula","Roll-Up Summary"}, $B35))) &gt; 0,$B35 &amp; " (" &amp; $E35 &amp; ")",IF(SUMPRODUCT(-- ISNUMBER(SEARCH({"Content","Currency","Number","Percent","Text","URL"}, $B35))) &gt; 0,$B35 &amp; "(" &amp; $C35 &amp; ")",$B35)))), "  ", TRIM(IF($S35 = "YES", "(External ID)", "") &amp; " " &amp; IF(SUMPRODUCT(-- ISNUMBER(SEARCH({"Unique","Unique Case Insensitive"}, $R35))) &gt; 0, "(" &amp; $R35 &amp; ")", ""))))</f>
        <v>Currency(18, 0)</v>
      </c>
      <c r="E35" s="7" t="s">
        <v>195</v>
      </c>
      <c r="F35" s="7" t="s">
        <v>614</v>
      </c>
      <c r="G35" s="7" t="s">
        <v>637</v>
      </c>
      <c r="H35" s="7" t="s">
        <v>195</v>
      </c>
      <c r="I35" s="7" t="s">
        <v>195</v>
      </c>
      <c r="J35" s="7" t="s">
        <v>195</v>
      </c>
      <c r="K35" s="7" t="s">
        <v>195</v>
      </c>
      <c r="L35" s="7" t="s">
        <v>195</v>
      </c>
      <c r="M35" s="7" t="s">
        <v>29</v>
      </c>
      <c r="N35" s="7" t="s">
        <v>29</v>
      </c>
      <c r="O35" s="7" t="s">
        <v>29</v>
      </c>
      <c r="P35" s="7" t="s">
        <v>29</v>
      </c>
      <c r="Q35" s="7" t="s">
        <v>29</v>
      </c>
      <c r="R35" s="7" t="s">
        <v>29</v>
      </c>
      <c r="S35" s="7" t="s">
        <v>29</v>
      </c>
    </row>
    <row r="36" spans="1:19">
      <c r="A36" s="7" t="s">
        <v>585</v>
      </c>
      <c r="B36" s="7" t="s">
        <v>1206</v>
      </c>
      <c r="C36" s="8" t="s">
        <v>1250</v>
      </c>
      <c r="D36" s="6" t="str">
        <f>LRTRIM(CONCATENATE(IF(SUMPRODUCT(-- ISNUMBER(SEARCH({"Auto Number"}, $B36))) &gt; 0, $B36, IF(SUMPRODUCT(-- ISNUMBER(SEARCH({"Lookup","Master-Detail"}, $B36))) &gt; 0,$B36 &amp; "(" &amp; $E36 &amp; ")",IF(SUMPRODUCT(-- ISNUMBER(SEARCH({"Formula","Roll-Up Summary"}, $B36))) &gt; 0,$B36 &amp; " (" &amp; $E36 &amp; ")",IF(SUMPRODUCT(-- ISNUMBER(SEARCH({"Content","Currency","Number","Percent","Text","URL"}, $B36))) &gt; 0,$B36 &amp; "(" &amp; $C36 &amp; ")",$B36)))), "  ", TRIM(IF($S36 = "YES", "(External ID)", "") &amp; " " &amp; IF(SUMPRODUCT(-- ISNUMBER(SEARCH({"Unique","Unique Case Insensitive"}, $R36))) &gt; 0, "(" &amp; $R36 &amp; ")", ""))))</f>
        <v>Currency(18, 0)</v>
      </c>
      <c r="E36" s="7" t="s">
        <v>195</v>
      </c>
      <c r="F36" s="7" t="s">
        <v>615</v>
      </c>
      <c r="G36" s="7" t="s">
        <v>638</v>
      </c>
      <c r="H36" s="7" t="s">
        <v>195</v>
      </c>
      <c r="I36" s="7" t="s">
        <v>195</v>
      </c>
      <c r="J36" s="7" t="s">
        <v>195</v>
      </c>
      <c r="K36" s="7" t="s">
        <v>195</v>
      </c>
      <c r="L36" s="7" t="s">
        <v>195</v>
      </c>
      <c r="M36" s="7" t="s">
        <v>29</v>
      </c>
      <c r="N36" s="7" t="s">
        <v>29</v>
      </c>
      <c r="O36" s="7" t="s">
        <v>29</v>
      </c>
      <c r="P36" s="7" t="s">
        <v>29</v>
      </c>
      <c r="Q36" s="7" t="s">
        <v>29</v>
      </c>
      <c r="R36" s="7" t="s">
        <v>29</v>
      </c>
      <c r="S36" s="7" t="s">
        <v>29</v>
      </c>
    </row>
    <row r="37" spans="1:19">
      <c r="A37" s="7" t="s">
        <v>144</v>
      </c>
      <c r="B37" s="7" t="s">
        <v>1218</v>
      </c>
      <c r="C37" s="8">
        <v>128</v>
      </c>
      <c r="D37" s="6" t="str">
        <f>LRTRIM(CONCATENATE(IF(SUMPRODUCT(-- ISNUMBER(SEARCH({"Auto Number"}, $B37))) &gt; 0, $B37, IF(SUMPRODUCT(-- ISNUMBER(SEARCH({"Lookup","Master-Detail"}, $B37))) &gt; 0,$B37 &amp; "(" &amp; $E37 &amp; ")",IF(SUMPRODUCT(-- ISNUMBER(SEARCH({"Formula","Roll-Up Summary"}, $B37))) &gt; 0,$B37 &amp; " (" &amp; $E37 &amp; ")",IF(SUMPRODUCT(-- ISNUMBER(SEARCH({"Content","Currency","Number","Percent","Text","URL"}, $B37))) &gt; 0,$B37 &amp; "(" &amp; $C37 &amp; ")",$B37)))), "  ", TRIM(IF($S37 = "YES", "(External ID)", "") &amp; " " &amp; IF(SUMPRODUCT(-- ISNUMBER(SEARCH({"Unique","Unique Case Insensitive"}, $R37))) &gt; 0, "(" &amp; $R37 &amp; ")", ""))))</f>
        <v>Text(128)</v>
      </c>
      <c r="E37" s="7" t="s">
        <v>195</v>
      </c>
      <c r="F37" s="7" t="s">
        <v>195</v>
      </c>
      <c r="G37" s="7" t="s">
        <v>195</v>
      </c>
      <c r="H37" s="7" t="s">
        <v>195</v>
      </c>
      <c r="I37" s="7" t="s">
        <v>195</v>
      </c>
      <c r="J37" s="7" t="s">
        <v>195</v>
      </c>
      <c r="K37" s="7" t="s">
        <v>195</v>
      </c>
      <c r="L37" s="7" t="s">
        <v>195</v>
      </c>
      <c r="M37" s="7" t="s">
        <v>29</v>
      </c>
      <c r="N37" s="7" t="s">
        <v>29</v>
      </c>
      <c r="O37" s="7" t="s">
        <v>29</v>
      </c>
      <c r="P37" s="7" t="s">
        <v>29</v>
      </c>
      <c r="Q37" s="7" t="s">
        <v>29</v>
      </c>
      <c r="R37" s="7" t="s">
        <v>29</v>
      </c>
      <c r="S37" s="7" t="s">
        <v>29</v>
      </c>
    </row>
    <row r="38" spans="1:19">
      <c r="A38" s="7" t="s">
        <v>586</v>
      </c>
      <c r="B38" s="7" t="s">
        <v>1204</v>
      </c>
      <c r="C38" s="8">
        <v>0</v>
      </c>
      <c r="D38" s="6" t="str">
        <f>LRTRIM(CONCATENATE(IF(SUMPRODUCT(-- ISNUMBER(SEARCH({"Auto Number"}, $B38))) &gt; 0, $B38, IF(SUMPRODUCT(-- ISNUMBER(SEARCH({"Lookup","Master-Detail"}, $B38))) &gt; 0,$B38 &amp; "(" &amp; $E38 &amp; ")",IF(SUMPRODUCT(-- ISNUMBER(SEARCH({"Formula","Roll-Up Summary"}, $B38))) &gt; 0,$B38 &amp; " (" &amp; $E38 &amp; ")",IF(SUMPRODUCT(-- ISNUMBER(SEARCH({"Content","Currency","Number","Percent","Text","URL"}, $B38))) &gt; 0,$B38 &amp; "(" &amp; $C38 &amp; ")",$B38)))), "  ", TRIM(IF($S38 = "YES", "(External ID)", "") &amp; " " &amp; IF(SUMPRODUCT(-- ISNUMBER(SEARCH({"Unique","Unique Case Insensitive"}, $R38))) &gt; 0, "(" &amp; $R38 &amp; ")", ""))))</f>
        <v>Checkbox</v>
      </c>
      <c r="E38" s="7" t="s">
        <v>195</v>
      </c>
      <c r="F38" s="7" t="s">
        <v>1683</v>
      </c>
      <c r="G38" s="7" t="s">
        <v>195</v>
      </c>
      <c r="H38" s="7" t="s">
        <v>195</v>
      </c>
      <c r="I38" s="7" t="s">
        <v>195</v>
      </c>
      <c r="J38" s="7" t="s">
        <v>195</v>
      </c>
      <c r="K38" s="7" t="s">
        <v>195</v>
      </c>
      <c r="L38" s="7" t="s">
        <v>195</v>
      </c>
      <c r="M38" s="7" t="s">
        <v>28</v>
      </c>
      <c r="N38" s="7" t="s">
        <v>29</v>
      </c>
      <c r="O38" s="7" t="s">
        <v>29</v>
      </c>
      <c r="P38" s="7" t="s">
        <v>29</v>
      </c>
      <c r="Q38" s="7" t="s">
        <v>29</v>
      </c>
      <c r="R38" s="7" t="s">
        <v>29</v>
      </c>
      <c r="S38" s="7" t="s">
        <v>29</v>
      </c>
    </row>
    <row r="39" spans="1:19">
      <c r="A39" s="7" t="s">
        <v>587</v>
      </c>
      <c r="B39" s="7" t="s">
        <v>1218</v>
      </c>
      <c r="C39" s="8">
        <v>18</v>
      </c>
      <c r="D39" s="6" t="str">
        <f>LRTRIM(CONCATENATE(IF(SUMPRODUCT(-- ISNUMBER(SEARCH({"Auto Number"}, $B39))) &gt; 0, $B39, IF(SUMPRODUCT(-- ISNUMBER(SEARCH({"Lookup","Master-Detail"}, $B39))) &gt; 0,$B39 &amp; "(" &amp; $E39 &amp; ")",IF(SUMPRODUCT(-- ISNUMBER(SEARCH({"Formula","Roll-Up Summary"}, $B39))) &gt; 0,$B39 &amp; " (" &amp; $E39 &amp; ")",IF(SUMPRODUCT(-- ISNUMBER(SEARCH({"Content","Currency","Number","Percent","Text","URL"}, $B39))) &gt; 0,$B39 &amp; "(" &amp; $C39 &amp; ")",$B39)))), "  ", TRIM(IF($S39 = "YES", "(External ID)", "") &amp; " " &amp; IF(SUMPRODUCT(-- ISNUMBER(SEARCH({"Unique","Unique Case Insensitive"}, $R39))) &gt; 0, "(" &amp; $R39 &amp; ")", ""))))</f>
        <v>Text(18)</v>
      </c>
      <c r="E39" s="7" t="s">
        <v>195</v>
      </c>
      <c r="F39" s="7" t="s">
        <v>616</v>
      </c>
      <c r="G39" s="7" t="s">
        <v>639</v>
      </c>
      <c r="H39" s="7" t="s">
        <v>195</v>
      </c>
      <c r="I39" s="7" t="s">
        <v>195</v>
      </c>
      <c r="J39" s="7" t="s">
        <v>195</v>
      </c>
      <c r="K39" s="7" t="s">
        <v>195</v>
      </c>
      <c r="L39" s="7" t="s">
        <v>195</v>
      </c>
      <c r="M39" s="7" t="s">
        <v>29</v>
      </c>
      <c r="N39" s="7" t="s">
        <v>29</v>
      </c>
      <c r="O39" s="7" t="s">
        <v>29</v>
      </c>
      <c r="P39" s="7" t="s">
        <v>29</v>
      </c>
      <c r="Q39" s="7" t="s">
        <v>29</v>
      </c>
      <c r="R39" s="7" t="s">
        <v>29</v>
      </c>
      <c r="S39" s="7" t="s">
        <v>29</v>
      </c>
    </row>
    <row r="40" spans="1:19">
      <c r="A40" s="7" t="s">
        <v>640</v>
      </c>
      <c r="B40" s="7" t="s">
        <v>195</v>
      </c>
      <c r="C40" s="8" t="s">
        <v>195</v>
      </c>
      <c r="D40" s="6" t="str">
        <f>LRTRIM(CONCATENATE(IF(SUMPRODUCT(-- ISNUMBER(SEARCH({"Auto Number"}, $B40))) &gt; 0, $B40, IF(SUMPRODUCT(-- ISNUMBER(SEARCH({"Lookup","Master-Detail"}, $B40))) &gt; 0,$B40 &amp; "(" &amp; $E40 &amp; ")",IF(SUMPRODUCT(-- ISNUMBER(SEARCH({"Formula","Roll-Up Summary"}, $B40))) &gt; 0,$B40 &amp; " (" &amp; $E40 &amp; ")",IF(SUMPRODUCT(-- ISNUMBER(SEARCH({"Content","Currency","Number","Percent","Text","URL"}, $B40))) &gt; 0,$B40 &amp; "(" &amp; $C40 &amp; ")",$B40)))), "  ", TRIM(IF($S40 = "YES", "(External ID)", "") &amp; " " &amp; IF(SUMPRODUCT(-- ISNUMBER(SEARCH({"Unique","Unique Case Insensitive"}, $R40))) &gt; 0, "(" &amp; $R40 &amp; ")", ""))))</f>
        <v>na</v>
      </c>
      <c r="E40" s="7" t="s">
        <v>195</v>
      </c>
      <c r="F40" s="7" t="s">
        <v>195</v>
      </c>
      <c r="G40" s="7" t="s">
        <v>195</v>
      </c>
      <c r="H40" s="7" t="s">
        <v>195</v>
      </c>
      <c r="I40" s="7" t="s">
        <v>195</v>
      </c>
      <c r="J40" s="7" t="s">
        <v>195</v>
      </c>
      <c r="K40" s="7" t="s">
        <v>195</v>
      </c>
      <c r="L40" s="7" t="s">
        <v>195</v>
      </c>
      <c r="M40" s="7" t="s">
        <v>29</v>
      </c>
      <c r="N40" s="7" t="s">
        <v>28</v>
      </c>
      <c r="O40" s="7" t="s">
        <v>29</v>
      </c>
      <c r="P40" s="7" t="s">
        <v>29</v>
      </c>
      <c r="Q40" s="7" t="s">
        <v>29</v>
      </c>
      <c r="R40" s="7" t="s">
        <v>29</v>
      </c>
      <c r="S40" s="7" t="s">
        <v>29</v>
      </c>
    </row>
    <row r="41" spans="1:19">
      <c r="A41" s="7" t="s">
        <v>36</v>
      </c>
      <c r="B41" s="7" t="s">
        <v>195</v>
      </c>
      <c r="C41" s="8" t="s">
        <v>195</v>
      </c>
      <c r="D41" s="6" t="str">
        <f>LRTRIM(CONCATENATE(IF(SUMPRODUCT(-- ISNUMBER(SEARCH({"Auto Number"}, $B41))) &gt; 0, $B41, IF(SUMPRODUCT(-- ISNUMBER(SEARCH({"Lookup","Master-Detail"}, $B41))) &gt; 0,$B41 &amp; "(" &amp; $E41 &amp; ")",IF(SUMPRODUCT(-- ISNUMBER(SEARCH({"Formula","Roll-Up Summary"}, $B41))) &gt; 0,$B41 &amp; " (" &amp; $E41 &amp; ")",IF(SUMPRODUCT(-- ISNUMBER(SEARCH({"Content","Currency","Number","Percent","Text","URL"}, $B41))) &gt; 0,$B41 &amp; "(" &amp; $C41 &amp; ")",$B41)))), "  ", TRIM(IF($S41 = "YES", "(External ID)", "") &amp; " " &amp; IF(SUMPRODUCT(-- ISNUMBER(SEARCH({"Unique","Unique Case Insensitive"}, $R41))) &gt; 0, "(" &amp; $R41 &amp; ")", ""))))</f>
        <v>na</v>
      </c>
      <c r="E41" s="7" t="s">
        <v>195</v>
      </c>
      <c r="F41" s="7" t="s">
        <v>195</v>
      </c>
      <c r="G41" s="7" t="s">
        <v>195</v>
      </c>
      <c r="H41" s="7" t="s">
        <v>195</v>
      </c>
      <c r="I41" s="7" t="s">
        <v>195</v>
      </c>
      <c r="J41" s="7" t="s">
        <v>195</v>
      </c>
      <c r="K41" s="7" t="s">
        <v>195</v>
      </c>
      <c r="L41" s="7" t="s">
        <v>195</v>
      </c>
      <c r="M41" s="7" t="s">
        <v>28</v>
      </c>
      <c r="N41" s="7" t="s">
        <v>29</v>
      </c>
      <c r="O41" s="7" t="s">
        <v>29</v>
      </c>
      <c r="P41" s="7" t="s">
        <v>29</v>
      </c>
      <c r="Q41" s="7" t="s">
        <v>29</v>
      </c>
      <c r="R41" s="7" t="s">
        <v>29</v>
      </c>
      <c r="S41" s="7" t="s">
        <v>29</v>
      </c>
    </row>
    <row r="42" spans="1:19">
      <c r="A42" s="7" t="s">
        <v>35</v>
      </c>
      <c r="B42" s="7" t="s">
        <v>195</v>
      </c>
      <c r="C42" s="8" t="s">
        <v>195</v>
      </c>
      <c r="D42" s="6" t="str">
        <f>LRTRIM(CONCATENATE(IF(SUMPRODUCT(-- ISNUMBER(SEARCH({"Auto Number"}, $B42))) &gt; 0, $B42, IF(SUMPRODUCT(-- ISNUMBER(SEARCH({"Lookup","Master-Detail"}, $B42))) &gt; 0,$B42 &amp; "(" &amp; $E42 &amp; ")",IF(SUMPRODUCT(-- ISNUMBER(SEARCH({"Formula","Roll-Up Summary"}, $B42))) &gt; 0,$B42 &amp; " (" &amp; $E42 &amp; ")",IF(SUMPRODUCT(-- ISNUMBER(SEARCH({"Content","Currency","Number","Percent","Text","URL"}, $B42))) &gt; 0,$B42 &amp; "(" &amp; $C42 &amp; ")",$B42)))), "  ", TRIM(IF($S42 = "YES", "(External ID)", "") &amp; " " &amp; IF(SUMPRODUCT(-- ISNUMBER(SEARCH({"Unique","Unique Case Insensitive"}, $R42))) &gt; 0, "(" &amp; $R42 &amp; ")", ""))))</f>
        <v>na</v>
      </c>
      <c r="E42" s="7" t="s">
        <v>195</v>
      </c>
      <c r="F42" s="7" t="s">
        <v>195</v>
      </c>
      <c r="G42" s="7" t="s">
        <v>195</v>
      </c>
      <c r="H42" s="7" t="s">
        <v>195</v>
      </c>
      <c r="I42" s="7" t="s">
        <v>195</v>
      </c>
      <c r="J42" s="7" t="s">
        <v>195</v>
      </c>
      <c r="K42" s="7" t="s">
        <v>195</v>
      </c>
      <c r="L42" s="7" t="s">
        <v>195</v>
      </c>
      <c r="M42" s="7" t="s">
        <v>28</v>
      </c>
      <c r="N42" s="7" t="s">
        <v>29</v>
      </c>
      <c r="O42" s="7" t="s">
        <v>29</v>
      </c>
      <c r="P42" s="7" t="s">
        <v>29</v>
      </c>
      <c r="Q42" s="7" t="s">
        <v>29</v>
      </c>
      <c r="R42" s="7" t="s">
        <v>29</v>
      </c>
      <c r="S42" s="7" t="s">
        <v>29</v>
      </c>
    </row>
    <row r="43" spans="1:19">
      <c r="A43" s="7" t="s">
        <v>1777</v>
      </c>
      <c r="B43" s="7" t="s">
        <v>195</v>
      </c>
      <c r="C43" s="8" t="s">
        <v>195</v>
      </c>
      <c r="D43" s="6" t="str">
        <f>LRTRIM(CONCATENATE(IF(SUMPRODUCT(-- ISNUMBER(SEARCH({"Auto Number"}, $B43))) &gt; 0, $B43, IF(SUMPRODUCT(-- ISNUMBER(SEARCH({"Lookup","Master-Detail"}, $B43))) &gt; 0,$B43 &amp; "(" &amp; $E43 &amp; ")",IF(SUMPRODUCT(-- ISNUMBER(SEARCH({"Formula","Roll-Up Summary"}, $B43))) &gt; 0,$B43 &amp; " (" &amp; $E43 &amp; ")",IF(SUMPRODUCT(-- ISNUMBER(SEARCH({"Content","Currency","Number","Percent","Text","URL"}, $B43))) &gt; 0,$B43 &amp; "(" &amp; $C43 &amp; ")",$B43)))), "  ", TRIM(IF($S43 = "YES", "(External ID)", "") &amp; " " &amp; IF(SUMPRODUCT(-- ISNUMBER(SEARCH({"Unique","Unique Case Insensitive"}, $R43))) &gt; 0, "(" &amp; $R43 &amp; ")", ""))))</f>
        <v>na</v>
      </c>
      <c r="E43" s="7" t="s">
        <v>195</v>
      </c>
      <c r="F43" s="7" t="s">
        <v>195</v>
      </c>
      <c r="G43" s="7" t="s">
        <v>625</v>
      </c>
      <c r="H43" s="7" t="s">
        <v>195</v>
      </c>
      <c r="I43" s="7" t="s">
        <v>195</v>
      </c>
      <c r="J43" s="7" t="s">
        <v>195</v>
      </c>
      <c r="K43" s="7" t="s">
        <v>195</v>
      </c>
      <c r="L43" s="7" t="s">
        <v>195</v>
      </c>
      <c r="M43" s="7" t="s">
        <v>29</v>
      </c>
      <c r="N43" s="7" t="s">
        <v>29</v>
      </c>
      <c r="O43" s="7" t="s">
        <v>29</v>
      </c>
      <c r="P43" s="7" t="s">
        <v>29</v>
      </c>
      <c r="Q43" s="7" t="s">
        <v>29</v>
      </c>
      <c r="R43" s="7" t="s">
        <v>29</v>
      </c>
      <c r="S43" s="7" t="s">
        <v>29</v>
      </c>
    </row>
    <row r="44" spans="1:19">
      <c r="A44" s="7" t="s">
        <v>1697</v>
      </c>
      <c r="B44" s="7" t="s">
        <v>195</v>
      </c>
      <c r="C44" s="8" t="s">
        <v>195</v>
      </c>
      <c r="D44" s="6" t="str">
        <f>LRTRIM(CONCATENATE(IF(SUMPRODUCT(-- ISNUMBER(SEARCH({"Auto Number"}, $B44))) &gt; 0, $B44, IF(SUMPRODUCT(-- ISNUMBER(SEARCH({"Lookup","Master-Detail"}, $B44))) &gt; 0,$B44 &amp; "(" &amp; $E44 &amp; ")",IF(SUMPRODUCT(-- ISNUMBER(SEARCH({"Formula","Roll-Up Summary"}, $B44))) &gt; 0,$B44 &amp; " (" &amp; $E44 &amp; ")",IF(SUMPRODUCT(-- ISNUMBER(SEARCH({"Content","Currency","Number","Percent","Text","URL"}, $B44))) &gt; 0,$B44 &amp; "(" &amp; $C44 &amp; ")",$B44)))), "  ", TRIM(IF($S44 = "YES", "(External ID)", "") &amp; " " &amp; IF(SUMPRODUCT(-- ISNUMBER(SEARCH({"Unique","Unique Case Insensitive"}, $R44))) &gt; 0, "(" &amp; $R44 &amp; ")", ""))))</f>
        <v>na</v>
      </c>
      <c r="E44" s="7" t="s">
        <v>195</v>
      </c>
      <c r="F44" s="7" t="s">
        <v>195</v>
      </c>
      <c r="G44" s="7" t="s">
        <v>195</v>
      </c>
      <c r="H44" s="7" t="s">
        <v>195</v>
      </c>
      <c r="I44" s="7" t="s">
        <v>1287</v>
      </c>
      <c r="J44" s="7" t="s">
        <v>195</v>
      </c>
      <c r="K44" s="7" t="s">
        <v>195</v>
      </c>
      <c r="L44" s="7" t="s">
        <v>195</v>
      </c>
      <c r="M44" s="7" t="s">
        <v>29</v>
      </c>
      <c r="N44" s="7" t="s">
        <v>29</v>
      </c>
      <c r="O44" s="7" t="s">
        <v>29</v>
      </c>
      <c r="P44" s="7" t="s">
        <v>29</v>
      </c>
      <c r="Q44" s="7" t="s">
        <v>29</v>
      </c>
      <c r="R44" s="7" t="s">
        <v>29</v>
      </c>
      <c r="S44" s="7" t="s">
        <v>29</v>
      </c>
    </row>
    <row r="45" spans="1:19">
      <c r="A45" s="7" t="s">
        <v>1776</v>
      </c>
      <c r="B45" s="7" t="s">
        <v>195</v>
      </c>
      <c r="C45" s="8" t="s">
        <v>195</v>
      </c>
      <c r="D45" s="6" t="str">
        <f>LRTRIM(CONCATENATE(IF(SUMPRODUCT(-- ISNUMBER(SEARCH({"Auto Number"}, $B45))) &gt; 0, $B45, IF(SUMPRODUCT(-- ISNUMBER(SEARCH({"Lookup","Master-Detail"}, $B45))) &gt; 0,$B45 &amp; "(" &amp; $E45 &amp; ")",IF(SUMPRODUCT(-- ISNUMBER(SEARCH({"Formula","Roll-Up Summary"}, $B45))) &gt; 0,$B45 &amp; " (" &amp; $E45 &amp; ")",IF(SUMPRODUCT(-- ISNUMBER(SEARCH({"Content","Currency","Number","Percent","Text","URL"}, $B45))) &gt; 0,$B45 &amp; "(" &amp; $C45 &amp; ")",$B45)))), "  ", TRIM(IF($S45 = "YES", "(External ID)", "") &amp; " " &amp; IF(SUMPRODUCT(-- ISNUMBER(SEARCH({"Unique","Unique Case Insensitive"}, $R45))) &gt; 0, "(" &amp; $R45 &amp; ")", ""))))</f>
        <v>na</v>
      </c>
      <c r="E45" s="7" t="s">
        <v>195</v>
      </c>
      <c r="F45" s="7" t="s">
        <v>195</v>
      </c>
      <c r="G45" s="7" t="s">
        <v>621</v>
      </c>
      <c r="H45" s="7" t="s">
        <v>195</v>
      </c>
      <c r="I45" s="7" t="s">
        <v>195</v>
      </c>
      <c r="J45" s="7" t="s">
        <v>195</v>
      </c>
      <c r="K45" s="7" t="s">
        <v>195</v>
      </c>
      <c r="L45" s="7" t="s">
        <v>195</v>
      </c>
      <c r="M45" s="7" t="s">
        <v>29</v>
      </c>
      <c r="N45" s="7" t="s">
        <v>29</v>
      </c>
      <c r="O45" s="7" t="s">
        <v>29</v>
      </c>
      <c r="P45" s="7" t="s">
        <v>29</v>
      </c>
      <c r="Q45" s="7" t="s">
        <v>29</v>
      </c>
      <c r="R45" s="7" t="s">
        <v>29</v>
      </c>
      <c r="S45" s="7" t="s">
        <v>29</v>
      </c>
    </row>
    <row r="46" spans="1:19">
      <c r="A46" s="7" t="s">
        <v>641</v>
      </c>
      <c r="B46" s="7" t="s">
        <v>195</v>
      </c>
      <c r="C46" s="8" t="s">
        <v>195</v>
      </c>
      <c r="D46" s="6" t="str">
        <f>LRTRIM(CONCATENATE(IF(SUMPRODUCT(-- ISNUMBER(SEARCH({"Auto Number"}, $B46))) &gt; 0, $B46, IF(SUMPRODUCT(-- ISNUMBER(SEARCH({"Lookup","Master-Detail"}, $B46))) &gt; 0,$B46 &amp; "(" &amp; $E46 &amp; ")",IF(SUMPRODUCT(-- ISNUMBER(SEARCH({"Formula","Roll-Up Summary"}, $B46))) &gt; 0,$B46 &amp; " (" &amp; $E46 &amp; ")",IF(SUMPRODUCT(-- ISNUMBER(SEARCH({"Content","Currency","Number","Percent","Text","URL"}, $B46))) &gt; 0,$B46 &amp; "(" &amp; $C46 &amp; ")",$B46)))), "  ", TRIM(IF($S46 = "YES", "(External ID)", "") &amp; " " &amp; IF(SUMPRODUCT(-- ISNUMBER(SEARCH({"Unique","Unique Case Insensitive"}, $R46))) &gt; 0, "(" &amp; $R46 &amp; ")", ""))))</f>
        <v>na</v>
      </c>
      <c r="E46" s="7" t="s">
        <v>195</v>
      </c>
      <c r="F46" s="7" t="s">
        <v>195</v>
      </c>
      <c r="G46" s="7" t="s">
        <v>195</v>
      </c>
      <c r="H46" s="7" t="s">
        <v>195</v>
      </c>
      <c r="I46" s="7" t="s">
        <v>195</v>
      </c>
      <c r="J46" s="7" t="s">
        <v>195</v>
      </c>
      <c r="K46" s="7" t="s">
        <v>195</v>
      </c>
      <c r="L46" s="7" t="s">
        <v>195</v>
      </c>
      <c r="M46" s="7" t="s">
        <v>28</v>
      </c>
      <c r="N46" s="7" t="s">
        <v>29</v>
      </c>
      <c r="O46" s="7" t="s">
        <v>29</v>
      </c>
      <c r="P46" s="7" t="s">
        <v>29</v>
      </c>
      <c r="Q46" s="7" t="s">
        <v>29</v>
      </c>
      <c r="R46" s="7" t="s">
        <v>29</v>
      </c>
      <c r="S46" s="7" t="s">
        <v>29</v>
      </c>
    </row>
    <row r="47" spans="1:19">
      <c r="A47" s="7" t="s">
        <v>34</v>
      </c>
      <c r="B47" s="7" t="s">
        <v>195</v>
      </c>
      <c r="C47" s="8" t="s">
        <v>195</v>
      </c>
      <c r="D47" s="6" t="str">
        <f>LRTRIM(CONCATENATE(IF(SUMPRODUCT(-- ISNUMBER(SEARCH({"Auto Number"}, $B47))) &gt; 0, $B47, IF(SUMPRODUCT(-- ISNUMBER(SEARCH({"Lookup","Master-Detail"}, $B47))) &gt; 0,$B47 &amp; "(" &amp; $E47 &amp; ")",IF(SUMPRODUCT(-- ISNUMBER(SEARCH({"Formula","Roll-Up Summary"}, $B47))) &gt; 0,$B47 &amp; " (" &amp; $E47 &amp; ")",IF(SUMPRODUCT(-- ISNUMBER(SEARCH({"Content","Currency","Number","Percent","Text","URL"}, $B47))) &gt; 0,$B47 &amp; "(" &amp; $C47 &amp; ")",$B47)))), "  ", TRIM(IF($S47 = "YES", "(External ID)", "") &amp; " " &amp; IF(SUMPRODUCT(-- ISNUMBER(SEARCH({"Unique","Unique Case Insensitive"}, $R47))) &gt; 0, "(" &amp; $R47 &amp; ")", ""))))</f>
        <v>na</v>
      </c>
      <c r="E47" s="7" t="s">
        <v>195</v>
      </c>
      <c r="F47" s="7" t="s">
        <v>195</v>
      </c>
      <c r="G47" s="7" t="s">
        <v>195</v>
      </c>
      <c r="H47" s="7" t="s">
        <v>195</v>
      </c>
      <c r="I47" s="7" t="s">
        <v>195</v>
      </c>
      <c r="J47" s="7" t="s">
        <v>195</v>
      </c>
      <c r="K47" s="7" t="s">
        <v>195</v>
      </c>
      <c r="L47" s="7" t="s">
        <v>195</v>
      </c>
      <c r="M47" s="7" t="s">
        <v>28</v>
      </c>
      <c r="N47" s="7" t="s">
        <v>29</v>
      </c>
      <c r="O47" s="7" t="s">
        <v>29</v>
      </c>
      <c r="P47" s="7" t="s">
        <v>29</v>
      </c>
      <c r="Q47" s="7" t="s">
        <v>29</v>
      </c>
      <c r="R47" s="7" t="s">
        <v>29</v>
      </c>
      <c r="S47" s="7" t="s">
        <v>29</v>
      </c>
    </row>
    <row r="48" spans="1:19">
      <c r="A48" s="7" t="s">
        <v>642</v>
      </c>
      <c r="B48" s="7" t="s">
        <v>195</v>
      </c>
      <c r="C48" s="8" t="s">
        <v>195</v>
      </c>
      <c r="D48" s="6" t="str">
        <f>LRTRIM(CONCATENATE(IF(SUMPRODUCT(-- ISNUMBER(SEARCH({"Auto Number"}, $B48))) &gt; 0, $B48, IF(SUMPRODUCT(-- ISNUMBER(SEARCH({"Lookup","Master-Detail"}, $B48))) &gt; 0,$B48 &amp; "(" &amp; $E48 &amp; ")",IF(SUMPRODUCT(-- ISNUMBER(SEARCH({"Formula","Roll-Up Summary"}, $B48))) &gt; 0,$B48 &amp; " (" &amp; $E48 &amp; ")",IF(SUMPRODUCT(-- ISNUMBER(SEARCH({"Content","Currency","Number","Percent","Text","URL"}, $B48))) &gt; 0,$B48 &amp; "(" &amp; $C48 &amp; ")",$B48)))), "  ", TRIM(IF($S48 = "YES", "(External ID)", "") &amp; " " &amp; IF(SUMPRODUCT(-- ISNUMBER(SEARCH({"Unique","Unique Case Insensitive"}, $R48))) &gt; 0, "(" &amp; $R48 &amp; ")", ""))))</f>
        <v>na</v>
      </c>
      <c r="E48" s="7" t="s">
        <v>195</v>
      </c>
      <c r="F48" s="7" t="s">
        <v>195</v>
      </c>
      <c r="G48" s="7" t="s">
        <v>195</v>
      </c>
      <c r="H48" s="7" t="s">
        <v>195</v>
      </c>
      <c r="I48" s="7" t="s">
        <v>195</v>
      </c>
      <c r="J48" s="7" t="s">
        <v>195</v>
      </c>
      <c r="K48" s="7" t="s">
        <v>195</v>
      </c>
      <c r="L48" s="7" t="s">
        <v>195</v>
      </c>
      <c r="M48" s="7" t="s">
        <v>28</v>
      </c>
      <c r="N48" s="7" t="s">
        <v>29</v>
      </c>
      <c r="O48" s="7" t="s">
        <v>29</v>
      </c>
      <c r="P48" s="7" t="s">
        <v>29</v>
      </c>
      <c r="Q48" s="7" t="s">
        <v>29</v>
      </c>
      <c r="R48" s="7" t="s">
        <v>29</v>
      </c>
      <c r="S48" s="7" t="s">
        <v>29</v>
      </c>
    </row>
    <row r="49" spans="1:19">
      <c r="A49" s="7" t="s">
        <v>38</v>
      </c>
      <c r="B49" s="7" t="s">
        <v>195</v>
      </c>
      <c r="C49" s="8" t="s">
        <v>195</v>
      </c>
      <c r="D49" s="6" t="str">
        <f>LRTRIM(CONCATENATE(IF(SUMPRODUCT(-- ISNUMBER(SEARCH({"Auto Number"}, $B49))) &gt; 0, $B49, IF(SUMPRODUCT(-- ISNUMBER(SEARCH({"Lookup","Master-Detail"}, $B49))) &gt; 0,$B49 &amp; "(" &amp; $E49 &amp; ")",IF(SUMPRODUCT(-- ISNUMBER(SEARCH({"Formula","Roll-Up Summary"}, $B49))) &gt; 0,$B49 &amp; " (" &amp; $E49 &amp; ")",IF(SUMPRODUCT(-- ISNUMBER(SEARCH({"Content","Currency","Number","Percent","Text","URL"}, $B49))) &gt; 0,$B49 &amp; "(" &amp; $C49 &amp; ")",$B49)))), "  ", TRIM(IF($S49 = "YES", "(External ID)", "") &amp; " " &amp; IF(SUMPRODUCT(-- ISNUMBER(SEARCH({"Unique","Unique Case Insensitive"}, $R49))) &gt; 0, "(" &amp; $R49 &amp; ")", ""))))</f>
        <v>na</v>
      </c>
      <c r="E49" s="7" t="s">
        <v>195</v>
      </c>
      <c r="F49" s="7" t="s">
        <v>195</v>
      </c>
      <c r="G49" s="7" t="s">
        <v>195</v>
      </c>
      <c r="H49" s="7" t="s">
        <v>195</v>
      </c>
      <c r="I49" s="7" t="s">
        <v>195</v>
      </c>
      <c r="J49" s="7" t="s">
        <v>195</v>
      </c>
      <c r="K49" s="7" t="s">
        <v>195</v>
      </c>
      <c r="L49" s="7" t="s">
        <v>195</v>
      </c>
      <c r="M49" s="7" t="s">
        <v>28</v>
      </c>
      <c r="N49" s="7" t="s">
        <v>29</v>
      </c>
      <c r="O49" s="7" t="s">
        <v>29</v>
      </c>
      <c r="P49" s="7" t="s">
        <v>29</v>
      </c>
      <c r="Q49" s="7" t="s">
        <v>29</v>
      </c>
      <c r="R49" s="7" t="s">
        <v>29</v>
      </c>
      <c r="S49" s="7" t="s">
        <v>29</v>
      </c>
    </row>
    <row r="50" spans="1:19">
      <c r="A50" s="7" t="s">
        <v>37</v>
      </c>
      <c r="B50" s="7" t="s">
        <v>195</v>
      </c>
      <c r="C50" s="8" t="s">
        <v>195</v>
      </c>
      <c r="D50" s="6" t="str">
        <f>LRTRIM(CONCATENATE(IF(SUMPRODUCT(-- ISNUMBER(SEARCH({"Auto Number"}, $B50))) &gt; 0, $B50, IF(SUMPRODUCT(-- ISNUMBER(SEARCH({"Lookup","Master-Detail"}, $B50))) &gt; 0,$B50 &amp; "(" &amp; $E50 &amp; ")",IF(SUMPRODUCT(-- ISNUMBER(SEARCH({"Formula","Roll-Up Summary"}, $B50))) &gt; 0,$B50 &amp; " (" &amp; $E50 &amp; ")",IF(SUMPRODUCT(-- ISNUMBER(SEARCH({"Content","Currency","Number","Percent","Text","URL"}, $B50))) &gt; 0,$B50 &amp; "(" &amp; $C50 &amp; ")",$B50)))), "  ", TRIM(IF($S50 = "YES", "(External ID)", "") &amp; " " &amp; IF(SUMPRODUCT(-- ISNUMBER(SEARCH({"Unique","Unique Case Insensitive"}, $R50))) &gt; 0, "(" &amp; $R50 &amp; ")", ""))))</f>
        <v>na</v>
      </c>
      <c r="E50" s="7" t="s">
        <v>195</v>
      </c>
      <c r="F50" s="7" t="s">
        <v>195</v>
      </c>
      <c r="G50" s="7" t="s">
        <v>195</v>
      </c>
      <c r="H50" s="7" t="s">
        <v>195</v>
      </c>
      <c r="I50" s="7" t="s">
        <v>195</v>
      </c>
      <c r="J50" s="7" t="s">
        <v>195</v>
      </c>
      <c r="K50" s="7" t="s">
        <v>195</v>
      </c>
      <c r="L50" s="7" t="s">
        <v>195</v>
      </c>
      <c r="M50" s="7" t="s">
        <v>28</v>
      </c>
      <c r="N50" s="7" t="s">
        <v>29</v>
      </c>
      <c r="O50" s="7" t="s">
        <v>29</v>
      </c>
      <c r="P50" s="7" t="s">
        <v>29</v>
      </c>
      <c r="Q50" s="7" t="s">
        <v>29</v>
      </c>
      <c r="R50" s="7" t="s">
        <v>29</v>
      </c>
      <c r="S50" s="7" t="s">
        <v>29</v>
      </c>
    </row>
    <row r="51" spans="1:19">
      <c r="A51" s="7" t="s">
        <v>2</v>
      </c>
      <c r="B51" s="7" t="s">
        <v>195</v>
      </c>
      <c r="C51" s="8" t="s">
        <v>195</v>
      </c>
      <c r="D51" s="6" t="str">
        <f>LRTRIM(CONCATENATE(IF(SUMPRODUCT(-- ISNUMBER(SEARCH({"Auto Number"}, $B51))) &gt; 0, $B51, IF(SUMPRODUCT(-- ISNUMBER(SEARCH({"Lookup","Master-Detail"}, $B51))) &gt; 0,$B51 &amp; "(" &amp; $E51 &amp; ")",IF(SUMPRODUCT(-- ISNUMBER(SEARCH({"Formula","Roll-Up Summary"}, $B51))) &gt; 0,$B51 &amp; " (" &amp; $E51 &amp; ")",IF(SUMPRODUCT(-- ISNUMBER(SEARCH({"Content","Currency","Number","Percent","Text","URL"}, $B51))) &gt; 0,$B51 &amp; "(" &amp; $C51 &amp; ")",$B51)))), "  ", TRIM(IF($S51 = "YES", "(External ID)", "") &amp; " " &amp; IF(SUMPRODUCT(-- ISNUMBER(SEARCH({"Unique","Unique Case Insensitive"}, $R51))) &gt; 0, "(" &amp; $R51 &amp; ")", ""))))</f>
        <v>na</v>
      </c>
      <c r="E51" s="7" t="s">
        <v>195</v>
      </c>
      <c r="F51" s="7" t="s">
        <v>195</v>
      </c>
      <c r="G51" s="7" t="s">
        <v>195</v>
      </c>
      <c r="H51" s="7" t="s">
        <v>195</v>
      </c>
      <c r="I51" s="7" t="s">
        <v>195</v>
      </c>
      <c r="J51" s="7" t="s">
        <v>195</v>
      </c>
      <c r="K51" s="7" t="s">
        <v>195</v>
      </c>
      <c r="L51" s="7" t="s">
        <v>195</v>
      </c>
      <c r="M51" s="7" t="s">
        <v>28</v>
      </c>
      <c r="N51" s="7" t="s">
        <v>29</v>
      </c>
      <c r="O51" s="7" t="s">
        <v>29</v>
      </c>
      <c r="P51" s="7" t="s">
        <v>29</v>
      </c>
      <c r="Q51" s="7" t="s">
        <v>29</v>
      </c>
      <c r="R51" s="7" t="s">
        <v>29</v>
      </c>
      <c r="S51" s="7" t="s">
        <v>29</v>
      </c>
    </row>
    <row r="52" spans="1:19">
      <c r="A52" s="7" t="s">
        <v>87</v>
      </c>
      <c r="B52" s="7" t="s">
        <v>195</v>
      </c>
      <c r="C52" s="8" t="s">
        <v>195</v>
      </c>
      <c r="D52" s="6" t="str">
        <f>LRTRIM(CONCATENATE(IF(SUMPRODUCT(-- ISNUMBER(SEARCH({"Auto Number"}, $B52))) &gt; 0, $B52, IF(SUMPRODUCT(-- ISNUMBER(SEARCH({"Lookup","Master-Detail"}, $B52))) &gt; 0,$B52 &amp; "(" &amp; $E52 &amp; ")",IF(SUMPRODUCT(-- ISNUMBER(SEARCH({"Formula","Roll-Up Summary"}, $B52))) &gt; 0,$B52 &amp; " (" &amp; $E52 &amp; ")",IF(SUMPRODUCT(-- ISNUMBER(SEARCH({"Content","Currency","Number","Percent","Text","URL"}, $B52))) &gt; 0,$B52 &amp; "(" &amp; $C52 &amp; ")",$B52)))), "  ", TRIM(IF($S52 = "YES", "(External ID)", "") &amp; " " &amp; IF(SUMPRODUCT(-- ISNUMBER(SEARCH({"Unique","Unique Case Insensitive"}, $R52))) &gt; 0, "(" &amp; $R52 &amp; ")", ""))))</f>
        <v>na</v>
      </c>
      <c r="E52" s="7" t="s">
        <v>195</v>
      </c>
      <c r="F52" s="7" t="s">
        <v>195</v>
      </c>
      <c r="G52" s="7" t="s">
        <v>195</v>
      </c>
      <c r="H52" s="7" t="s">
        <v>195</v>
      </c>
      <c r="I52" s="7" t="s">
        <v>195</v>
      </c>
      <c r="J52" s="7" t="s">
        <v>195</v>
      </c>
      <c r="K52" s="7" t="s">
        <v>195</v>
      </c>
      <c r="L52" s="7" t="s">
        <v>195</v>
      </c>
      <c r="M52" s="7" t="s">
        <v>28</v>
      </c>
      <c r="N52" s="7" t="s">
        <v>29</v>
      </c>
      <c r="O52" s="7" t="s">
        <v>29</v>
      </c>
      <c r="P52" s="7" t="s">
        <v>29</v>
      </c>
      <c r="Q52" s="7" t="s">
        <v>29</v>
      </c>
      <c r="R52" s="7" t="s">
        <v>29</v>
      </c>
      <c r="S52" s="7" t="s">
        <v>29</v>
      </c>
    </row>
    <row r="53" spans="1:19">
      <c r="A53" s="7" t="s">
        <v>39</v>
      </c>
      <c r="B53" s="7" t="s">
        <v>195</v>
      </c>
      <c r="C53" s="8" t="s">
        <v>195</v>
      </c>
      <c r="D53" s="6" t="str">
        <f>LRTRIM(CONCATENATE(IF(SUMPRODUCT(-- ISNUMBER(SEARCH({"Auto Number"}, $B53))) &gt; 0, $B53, IF(SUMPRODUCT(-- ISNUMBER(SEARCH({"Lookup","Master-Detail"}, $B53))) &gt; 0,$B53 &amp; "(" &amp; $E53 &amp; ")",IF(SUMPRODUCT(-- ISNUMBER(SEARCH({"Formula","Roll-Up Summary"}, $B53))) &gt; 0,$B53 &amp; " (" &amp; $E53 &amp; ")",IF(SUMPRODUCT(-- ISNUMBER(SEARCH({"Content","Currency","Number","Percent","Text","URL"}, $B53))) &gt; 0,$B53 &amp; "(" &amp; $C53 &amp; ")",$B53)))), "  ", TRIM(IF($S53 = "YES", "(External ID)", "") &amp; " " &amp; IF(SUMPRODUCT(-- ISNUMBER(SEARCH({"Unique","Unique Case Insensitive"}, $R53))) &gt; 0, "(" &amp; $R53 &amp; ")", ""))))</f>
        <v>na</v>
      </c>
      <c r="E53" s="7" t="s">
        <v>195</v>
      </c>
      <c r="F53" s="7" t="s">
        <v>195</v>
      </c>
      <c r="G53" s="7" t="s">
        <v>195</v>
      </c>
      <c r="H53" s="7" t="s">
        <v>195</v>
      </c>
      <c r="I53" s="7" t="s">
        <v>195</v>
      </c>
      <c r="J53" s="7" t="s">
        <v>195</v>
      </c>
      <c r="K53" s="7" t="s">
        <v>195</v>
      </c>
      <c r="L53" s="7" t="s">
        <v>195</v>
      </c>
      <c r="M53" s="7" t="s">
        <v>28</v>
      </c>
      <c r="N53" s="7" t="s">
        <v>29</v>
      </c>
      <c r="O53" s="7" t="s">
        <v>29</v>
      </c>
      <c r="P53" s="7" t="s">
        <v>29</v>
      </c>
      <c r="Q53" s="7" t="s">
        <v>29</v>
      </c>
      <c r="R53" s="7" t="s">
        <v>29</v>
      </c>
      <c r="S53" s="7" t="s">
        <v>29</v>
      </c>
    </row>
    <row r="54" spans="1:19">
      <c r="B54" s="7" t="s">
        <v>195</v>
      </c>
      <c r="C54" s="8" t="s">
        <v>195</v>
      </c>
      <c r="D54" s="6" t="str">
        <f>LRTRIM(CONCATENATE(IF(SUMPRODUCT(-- ISNUMBER(SEARCH({"Auto Number"}, $B54))) &gt; 0, $B54, IF(SUMPRODUCT(-- ISNUMBER(SEARCH({"Lookup","Master-Detail"}, $B54))) &gt; 0,$B54 &amp; "(" &amp; $E54 &amp; ")",IF(SUMPRODUCT(-- ISNUMBER(SEARCH({"Formula","Roll-Up Summary"}, $B54))) &gt; 0,$B54 &amp; " (" &amp; $E54 &amp; ")",IF(SUMPRODUCT(-- ISNUMBER(SEARCH({"Content","Currency","Number","Percent","Text","URL"}, $B54))) &gt; 0,$B54 &amp; "(" &amp; $C54 &amp; ")",$B54)))), "  ", TRIM(IF($S54 = "YES", "(External ID)", "") &amp; " " &amp; IF(SUMPRODUCT(-- ISNUMBER(SEARCH({"Unique","Unique Case Insensitive"}, $R54))) &gt; 0, "(" &amp; $R54 &amp; ")", ""))))</f>
        <v>na</v>
      </c>
      <c r="E54" s="7" t="s">
        <v>195</v>
      </c>
      <c r="F54" s="7" t="s">
        <v>195</v>
      </c>
      <c r="G54" s="7" t="s">
        <v>195</v>
      </c>
      <c r="H54" s="7" t="s">
        <v>195</v>
      </c>
      <c r="I54" s="7" t="s">
        <v>195</v>
      </c>
      <c r="J54" s="7" t="s">
        <v>195</v>
      </c>
      <c r="K54" s="7" t="s">
        <v>195</v>
      </c>
      <c r="L54" s="7" t="s">
        <v>195</v>
      </c>
      <c r="M54" s="7" t="s">
        <v>29</v>
      </c>
      <c r="N54" s="7" t="s">
        <v>29</v>
      </c>
      <c r="O54" s="7" t="s">
        <v>29</v>
      </c>
      <c r="P54" s="7" t="s">
        <v>29</v>
      </c>
      <c r="Q54" s="7" t="s">
        <v>29</v>
      </c>
      <c r="R54" s="7" t="s">
        <v>29</v>
      </c>
      <c r="S54" s="7" t="s">
        <v>29</v>
      </c>
    </row>
    <row r="55" spans="1:19">
      <c r="B55" s="7" t="s">
        <v>195</v>
      </c>
      <c r="C55" s="8" t="s">
        <v>195</v>
      </c>
      <c r="D55" s="6" t="str">
        <f>LRTRIM(CONCATENATE(IF(SUMPRODUCT(-- ISNUMBER(SEARCH({"Auto Number"}, $B55))) &gt; 0, $B55, IF(SUMPRODUCT(-- ISNUMBER(SEARCH({"Lookup","Master-Detail"}, $B55))) &gt; 0,$B55 &amp; "(" &amp; $E55 &amp; ")",IF(SUMPRODUCT(-- ISNUMBER(SEARCH({"Formula","Roll-Up Summary"}, $B55))) &gt; 0,$B55 &amp; " (" &amp; $E55 &amp; ")",IF(SUMPRODUCT(-- ISNUMBER(SEARCH({"Content","Currency","Number","Percent","Text","URL"}, $B55))) &gt; 0,$B55 &amp; "(" &amp; $C55 &amp; ")",$B55)))), "  ", TRIM(IF($S55 = "YES", "(External ID)", "") &amp; " " &amp; IF(SUMPRODUCT(-- ISNUMBER(SEARCH({"Unique","Unique Case Insensitive"}, $R55))) &gt; 0, "(" &amp; $R55 &amp; ")", ""))))</f>
        <v>na</v>
      </c>
      <c r="E55" s="7" t="s">
        <v>195</v>
      </c>
      <c r="F55" s="7" t="s">
        <v>195</v>
      </c>
      <c r="G55" s="7" t="s">
        <v>195</v>
      </c>
      <c r="H55" s="7" t="s">
        <v>195</v>
      </c>
      <c r="I55" s="7" t="s">
        <v>195</v>
      </c>
      <c r="J55" s="7" t="s">
        <v>195</v>
      </c>
      <c r="K55" s="7" t="s">
        <v>195</v>
      </c>
      <c r="L55" s="7" t="s">
        <v>195</v>
      </c>
      <c r="M55" s="7" t="s">
        <v>29</v>
      </c>
      <c r="N55" s="7" t="s">
        <v>29</v>
      </c>
      <c r="O55" s="7" t="s">
        <v>29</v>
      </c>
      <c r="P55" s="7" t="s">
        <v>29</v>
      </c>
      <c r="Q55" s="7" t="s">
        <v>29</v>
      </c>
      <c r="R55" s="7" t="s">
        <v>29</v>
      </c>
      <c r="S55" s="7" t="s">
        <v>29</v>
      </c>
    </row>
    <row r="56" spans="1:19">
      <c r="B56" s="7" t="s">
        <v>195</v>
      </c>
      <c r="C56" s="8" t="s">
        <v>195</v>
      </c>
      <c r="D56" s="6" t="str">
        <f>LRTRIM(CONCATENATE(IF(SUMPRODUCT(-- ISNUMBER(SEARCH({"Auto Number"}, $B56))) &gt; 0, $B56, IF(SUMPRODUCT(-- ISNUMBER(SEARCH({"Lookup","Master-Detail"}, $B56))) &gt; 0,$B56 &amp; "(" &amp; $E56 &amp; ")",IF(SUMPRODUCT(-- ISNUMBER(SEARCH({"Formula","Roll-Up Summary"}, $B56))) &gt; 0,$B56 &amp; " (" &amp; $E56 &amp; ")",IF(SUMPRODUCT(-- ISNUMBER(SEARCH({"Content","Currency","Number","Percent","Text","URL"}, $B56))) &gt; 0,$B56 &amp; "(" &amp; $C56 &amp; ")",$B56)))), "  ", TRIM(IF($S56 = "YES", "(External ID)", "") &amp; " " &amp; IF(SUMPRODUCT(-- ISNUMBER(SEARCH({"Unique","Unique Case Insensitive"}, $R56))) &gt; 0, "(" &amp; $R56 &amp; ")", ""))))</f>
        <v>na</v>
      </c>
      <c r="E56" s="7" t="s">
        <v>195</v>
      </c>
      <c r="F56" s="7" t="s">
        <v>195</v>
      </c>
      <c r="G56" s="7" t="s">
        <v>195</v>
      </c>
      <c r="H56" s="7" t="s">
        <v>195</v>
      </c>
      <c r="I56" s="7" t="s">
        <v>195</v>
      </c>
      <c r="J56" s="7" t="s">
        <v>195</v>
      </c>
      <c r="K56" s="7" t="s">
        <v>195</v>
      </c>
      <c r="L56" s="7" t="s">
        <v>195</v>
      </c>
      <c r="M56" s="7" t="s">
        <v>29</v>
      </c>
      <c r="N56" s="7" t="s">
        <v>29</v>
      </c>
      <c r="O56" s="7" t="s">
        <v>29</v>
      </c>
      <c r="P56" s="7" t="s">
        <v>29</v>
      </c>
      <c r="Q56" s="7" t="s">
        <v>29</v>
      </c>
      <c r="R56" s="7" t="s">
        <v>29</v>
      </c>
      <c r="S56" s="7" t="s">
        <v>29</v>
      </c>
    </row>
    <row r="57" spans="1:19">
      <c r="B57" s="7" t="s">
        <v>195</v>
      </c>
      <c r="C57" s="8" t="s">
        <v>195</v>
      </c>
      <c r="D57" s="6" t="str">
        <f>LRTRIM(CONCATENATE(IF(SUMPRODUCT(-- ISNUMBER(SEARCH({"Auto Number"}, $B57))) &gt; 0, $B57, IF(SUMPRODUCT(-- ISNUMBER(SEARCH({"Lookup","Master-Detail"}, $B57))) &gt; 0,$B57 &amp; "(" &amp; $E57 &amp; ")",IF(SUMPRODUCT(-- ISNUMBER(SEARCH({"Formula","Roll-Up Summary"}, $B57))) &gt; 0,$B57 &amp; " (" &amp; $E57 &amp; ")",IF(SUMPRODUCT(-- ISNUMBER(SEARCH({"Content","Currency","Number","Percent","Text","URL"}, $B57))) &gt; 0,$B57 &amp; "(" &amp; $C57 &amp; ")",$B57)))), "  ", TRIM(IF($S57 = "YES", "(External ID)", "") &amp; " " &amp; IF(SUMPRODUCT(-- ISNUMBER(SEARCH({"Unique","Unique Case Insensitive"}, $R57))) &gt; 0, "(" &amp; $R57 &amp; ")", ""))))</f>
        <v>na</v>
      </c>
      <c r="E57" s="7" t="s">
        <v>195</v>
      </c>
      <c r="F57" s="7" t="s">
        <v>195</v>
      </c>
      <c r="G57" s="7" t="s">
        <v>195</v>
      </c>
      <c r="H57" s="7" t="s">
        <v>195</v>
      </c>
      <c r="I57" s="7" t="s">
        <v>195</v>
      </c>
      <c r="J57" s="7" t="s">
        <v>195</v>
      </c>
      <c r="K57" s="7" t="s">
        <v>195</v>
      </c>
      <c r="L57" s="7" t="s">
        <v>195</v>
      </c>
      <c r="M57" s="7" t="s">
        <v>29</v>
      </c>
      <c r="N57" s="7" t="s">
        <v>29</v>
      </c>
      <c r="O57" s="7" t="s">
        <v>29</v>
      </c>
      <c r="P57" s="7" t="s">
        <v>29</v>
      </c>
      <c r="Q57" s="7" t="s">
        <v>29</v>
      </c>
      <c r="R57" s="7" t="s">
        <v>29</v>
      </c>
      <c r="S57" s="7" t="s">
        <v>29</v>
      </c>
    </row>
    <row r="58" spans="1:19">
      <c r="B58" s="7" t="s">
        <v>195</v>
      </c>
      <c r="C58" s="8" t="s">
        <v>195</v>
      </c>
      <c r="D58" s="6" t="str">
        <f>LRTRIM(CONCATENATE(IF(SUMPRODUCT(-- ISNUMBER(SEARCH({"Auto Number"}, $B58))) &gt; 0, $B58, IF(SUMPRODUCT(-- ISNUMBER(SEARCH({"Lookup","Master-Detail"}, $B58))) &gt; 0,$B58 &amp; "(" &amp; $E58 &amp; ")",IF(SUMPRODUCT(-- ISNUMBER(SEARCH({"Formula","Roll-Up Summary"}, $B58))) &gt; 0,$B58 &amp; " (" &amp; $E58 &amp; ")",IF(SUMPRODUCT(-- ISNUMBER(SEARCH({"Content","Currency","Number","Percent","Text","URL"}, $B58))) &gt; 0,$B58 &amp; "(" &amp; $C58 &amp; ")",$B58)))), "  ", TRIM(IF($S58 = "YES", "(External ID)", "") &amp; " " &amp; IF(SUMPRODUCT(-- ISNUMBER(SEARCH({"Unique","Unique Case Insensitive"}, $R58))) &gt; 0, "(" &amp; $R58 &amp; ")", ""))))</f>
        <v>na</v>
      </c>
      <c r="E58" s="7" t="s">
        <v>195</v>
      </c>
      <c r="F58" s="7" t="s">
        <v>195</v>
      </c>
      <c r="G58" s="7" t="s">
        <v>195</v>
      </c>
      <c r="H58" s="7" t="s">
        <v>195</v>
      </c>
      <c r="I58" s="7" t="s">
        <v>195</v>
      </c>
      <c r="J58" s="7" t="s">
        <v>195</v>
      </c>
      <c r="K58" s="7" t="s">
        <v>195</v>
      </c>
      <c r="L58" s="7" t="s">
        <v>195</v>
      </c>
      <c r="M58" s="7" t="s">
        <v>29</v>
      </c>
      <c r="N58" s="7" t="s">
        <v>29</v>
      </c>
      <c r="O58" s="7" t="s">
        <v>29</v>
      </c>
      <c r="P58" s="7" t="s">
        <v>29</v>
      </c>
      <c r="Q58" s="7" t="s">
        <v>29</v>
      </c>
      <c r="R58" s="7" t="s">
        <v>29</v>
      </c>
      <c r="S58" s="7" t="s">
        <v>29</v>
      </c>
    </row>
    <row r="59" spans="1:19">
      <c r="B59" s="7" t="s">
        <v>195</v>
      </c>
      <c r="C59" s="8" t="s">
        <v>195</v>
      </c>
      <c r="D59" s="6" t="str">
        <f>LRTRIM(CONCATENATE(IF(SUMPRODUCT(-- ISNUMBER(SEARCH({"Auto Number"}, $B59))) &gt; 0, $B59, IF(SUMPRODUCT(-- ISNUMBER(SEARCH({"Lookup","Master-Detail"}, $B59))) &gt; 0,$B59 &amp; "(" &amp; $E59 &amp; ")",IF(SUMPRODUCT(-- ISNUMBER(SEARCH({"Formula","Roll-Up Summary"}, $B59))) &gt; 0,$B59 &amp; " (" &amp; $E59 &amp; ")",IF(SUMPRODUCT(-- ISNUMBER(SEARCH({"Content","Currency","Number","Percent","Text","URL"}, $B59))) &gt; 0,$B59 &amp; "(" &amp; $C59 &amp; ")",$B59)))), "  ", TRIM(IF($S59 = "YES", "(External ID)", "") &amp; " " &amp; IF(SUMPRODUCT(-- ISNUMBER(SEARCH({"Unique","Unique Case Insensitive"}, $R59))) &gt; 0, "(" &amp; $R59 &amp; ")", ""))))</f>
        <v>na</v>
      </c>
      <c r="E59" s="7" t="s">
        <v>195</v>
      </c>
      <c r="F59" s="7" t="s">
        <v>195</v>
      </c>
      <c r="G59" s="7" t="s">
        <v>195</v>
      </c>
      <c r="H59" s="7" t="s">
        <v>195</v>
      </c>
      <c r="I59" s="7" t="s">
        <v>195</v>
      </c>
      <c r="J59" s="7" t="s">
        <v>195</v>
      </c>
      <c r="K59" s="7" t="s">
        <v>195</v>
      </c>
      <c r="L59" s="7" t="s">
        <v>195</v>
      </c>
      <c r="M59" s="7" t="s">
        <v>29</v>
      </c>
      <c r="N59" s="7" t="s">
        <v>29</v>
      </c>
      <c r="O59" s="7" t="s">
        <v>29</v>
      </c>
      <c r="P59" s="7" t="s">
        <v>29</v>
      </c>
      <c r="Q59" s="7" t="s">
        <v>29</v>
      </c>
      <c r="R59" s="7" t="s">
        <v>29</v>
      </c>
      <c r="S59" s="7" t="s">
        <v>29</v>
      </c>
    </row>
    <row r="60" spans="1:19">
      <c r="B60" s="7" t="s">
        <v>195</v>
      </c>
      <c r="C60" s="8" t="s">
        <v>195</v>
      </c>
      <c r="D60" s="6" t="str">
        <f>LRTRIM(CONCATENATE(IF(SUMPRODUCT(-- ISNUMBER(SEARCH({"Auto Number"}, $B60))) &gt; 0, $B60, IF(SUMPRODUCT(-- ISNUMBER(SEARCH({"Lookup","Master-Detail"}, $B60))) &gt; 0,$B60 &amp; "(" &amp; $E60 &amp; ")",IF(SUMPRODUCT(-- ISNUMBER(SEARCH({"Formula","Roll-Up Summary"}, $B60))) &gt; 0,$B60 &amp; " (" &amp; $E60 &amp; ")",IF(SUMPRODUCT(-- ISNUMBER(SEARCH({"Content","Currency","Number","Percent","Text","URL"}, $B60))) &gt; 0,$B60 &amp; "(" &amp; $C60 &amp; ")",$B60)))), "  ", TRIM(IF($S60 = "YES", "(External ID)", "") &amp; " " &amp; IF(SUMPRODUCT(-- ISNUMBER(SEARCH({"Unique","Unique Case Insensitive"}, $R60))) &gt; 0, "(" &amp; $R60 &amp; ")", ""))))</f>
        <v>na</v>
      </c>
      <c r="E60" s="7" t="s">
        <v>195</v>
      </c>
      <c r="F60" s="7" t="s">
        <v>195</v>
      </c>
      <c r="G60" s="7" t="s">
        <v>195</v>
      </c>
      <c r="H60" s="7" t="s">
        <v>195</v>
      </c>
      <c r="I60" s="7" t="s">
        <v>195</v>
      </c>
      <c r="J60" s="7" t="s">
        <v>195</v>
      </c>
      <c r="K60" s="7" t="s">
        <v>195</v>
      </c>
      <c r="L60" s="7" t="s">
        <v>195</v>
      </c>
      <c r="M60" s="7" t="s">
        <v>29</v>
      </c>
      <c r="N60" s="7" t="s">
        <v>29</v>
      </c>
      <c r="O60" s="7" t="s">
        <v>29</v>
      </c>
      <c r="P60" s="7" t="s">
        <v>29</v>
      </c>
      <c r="Q60" s="7" t="s">
        <v>29</v>
      </c>
      <c r="R60" s="7" t="s">
        <v>29</v>
      </c>
      <c r="S60" s="7" t="s">
        <v>29</v>
      </c>
    </row>
    <row r="61" spans="1:19">
      <c r="B61" s="7" t="s">
        <v>195</v>
      </c>
      <c r="C61" s="8" t="s">
        <v>195</v>
      </c>
      <c r="D61" s="6" t="str">
        <f>LRTRIM(CONCATENATE(IF(SUMPRODUCT(-- ISNUMBER(SEARCH({"Auto Number"}, $B61))) &gt; 0, $B61, IF(SUMPRODUCT(-- ISNUMBER(SEARCH({"Lookup","Master-Detail"}, $B61))) &gt; 0,$B61 &amp; "(" &amp; $E61 &amp; ")",IF(SUMPRODUCT(-- ISNUMBER(SEARCH({"Formula","Roll-Up Summary"}, $B61))) &gt; 0,$B61 &amp; " (" &amp; $E61 &amp; ")",IF(SUMPRODUCT(-- ISNUMBER(SEARCH({"Content","Currency","Number","Percent","Text","URL"}, $B61))) &gt; 0,$B61 &amp; "(" &amp; $C61 &amp; ")",$B61)))), "  ", TRIM(IF($S61 = "YES", "(External ID)", "") &amp; " " &amp; IF(SUMPRODUCT(-- ISNUMBER(SEARCH({"Unique","Unique Case Insensitive"}, $R61))) &gt; 0, "(" &amp; $R61 &amp; ")", ""))))</f>
        <v>na</v>
      </c>
      <c r="E61" s="7" t="s">
        <v>195</v>
      </c>
      <c r="F61" s="7" t="s">
        <v>195</v>
      </c>
      <c r="G61" s="7" t="s">
        <v>195</v>
      </c>
      <c r="H61" s="7" t="s">
        <v>195</v>
      </c>
      <c r="I61" s="7" t="s">
        <v>195</v>
      </c>
      <c r="J61" s="7" t="s">
        <v>195</v>
      </c>
      <c r="K61" s="7" t="s">
        <v>195</v>
      </c>
      <c r="L61" s="7" t="s">
        <v>195</v>
      </c>
      <c r="M61" s="7" t="s">
        <v>29</v>
      </c>
      <c r="N61" s="7" t="s">
        <v>29</v>
      </c>
      <c r="O61" s="7" t="s">
        <v>29</v>
      </c>
      <c r="P61" s="7" t="s">
        <v>29</v>
      </c>
      <c r="Q61" s="7" t="s">
        <v>29</v>
      </c>
      <c r="R61" s="7" t="s">
        <v>29</v>
      </c>
      <c r="S61" s="7" t="s">
        <v>29</v>
      </c>
    </row>
    <row r="62" spans="1:19">
      <c r="B62" s="7" t="s">
        <v>195</v>
      </c>
      <c r="C62" s="8" t="s">
        <v>195</v>
      </c>
      <c r="D62" s="6" t="str">
        <f>LRTRIM(CONCATENATE(IF(SUMPRODUCT(-- ISNUMBER(SEARCH({"Auto Number"}, $B62))) &gt; 0, $B62, IF(SUMPRODUCT(-- ISNUMBER(SEARCH({"Lookup","Master-Detail"}, $B62))) &gt; 0,$B62 &amp; "(" &amp; $E62 &amp; ")",IF(SUMPRODUCT(-- ISNUMBER(SEARCH({"Formula","Roll-Up Summary"}, $B62))) &gt; 0,$B62 &amp; " (" &amp; $E62 &amp; ")",IF(SUMPRODUCT(-- ISNUMBER(SEARCH({"Content","Currency","Number","Percent","Text","URL"}, $B62))) &gt; 0,$B62 &amp; "(" &amp; $C62 &amp; ")",$B62)))), "  ", TRIM(IF($S62 = "YES", "(External ID)", "") &amp; " " &amp; IF(SUMPRODUCT(-- ISNUMBER(SEARCH({"Unique","Unique Case Insensitive"}, $R62))) &gt; 0, "(" &amp; $R62 &amp; ")", ""))))</f>
        <v>na</v>
      </c>
      <c r="E62" s="7" t="s">
        <v>195</v>
      </c>
      <c r="F62" s="7" t="s">
        <v>195</v>
      </c>
      <c r="G62" s="7" t="s">
        <v>195</v>
      </c>
      <c r="H62" s="7" t="s">
        <v>195</v>
      </c>
      <c r="I62" s="7" t="s">
        <v>195</v>
      </c>
      <c r="J62" s="7" t="s">
        <v>195</v>
      </c>
      <c r="K62" s="7" t="s">
        <v>195</v>
      </c>
      <c r="L62" s="7" t="s">
        <v>195</v>
      </c>
      <c r="M62" s="7" t="s">
        <v>29</v>
      </c>
      <c r="N62" s="7" t="s">
        <v>29</v>
      </c>
      <c r="O62" s="7" t="s">
        <v>29</v>
      </c>
      <c r="P62" s="7" t="s">
        <v>29</v>
      </c>
      <c r="Q62" s="7" t="s">
        <v>29</v>
      </c>
      <c r="R62" s="7" t="s">
        <v>29</v>
      </c>
      <c r="S62" s="7" t="s">
        <v>29</v>
      </c>
    </row>
    <row r="63" spans="1:19">
      <c r="B63" s="7" t="s">
        <v>195</v>
      </c>
      <c r="C63" s="8" t="s">
        <v>195</v>
      </c>
      <c r="D63" s="6" t="str">
        <f>LRTRIM(CONCATENATE(IF(SUMPRODUCT(-- ISNUMBER(SEARCH({"Auto Number"}, $B63))) &gt; 0, $B63, IF(SUMPRODUCT(-- ISNUMBER(SEARCH({"Lookup","Master-Detail"}, $B63))) &gt; 0,$B63 &amp; "(" &amp; $E63 &amp; ")",IF(SUMPRODUCT(-- ISNUMBER(SEARCH({"Formula","Roll-Up Summary"}, $B63))) &gt; 0,$B63 &amp; " (" &amp; $E63 &amp; ")",IF(SUMPRODUCT(-- ISNUMBER(SEARCH({"Content","Currency","Number","Percent","Text","URL"}, $B63))) &gt; 0,$B63 &amp; "(" &amp; $C63 &amp; ")",$B63)))), "  ", TRIM(IF($S63 = "YES", "(External ID)", "") &amp; " " &amp; IF(SUMPRODUCT(-- ISNUMBER(SEARCH({"Unique","Unique Case Insensitive"}, $R63))) &gt; 0, "(" &amp; $R63 &amp; ")", ""))))</f>
        <v>na</v>
      </c>
      <c r="E63" s="7" t="s">
        <v>195</v>
      </c>
      <c r="F63" s="7" t="s">
        <v>195</v>
      </c>
      <c r="G63" s="7" t="s">
        <v>195</v>
      </c>
      <c r="H63" s="7" t="s">
        <v>195</v>
      </c>
      <c r="I63" s="7" t="s">
        <v>195</v>
      </c>
      <c r="J63" s="7" t="s">
        <v>195</v>
      </c>
      <c r="K63" s="7" t="s">
        <v>195</v>
      </c>
      <c r="L63" s="7" t="s">
        <v>195</v>
      </c>
      <c r="M63" s="7" t="s">
        <v>29</v>
      </c>
      <c r="N63" s="7" t="s">
        <v>29</v>
      </c>
      <c r="O63" s="7" t="s">
        <v>29</v>
      </c>
      <c r="P63" s="7" t="s">
        <v>29</v>
      </c>
      <c r="Q63" s="7" t="s">
        <v>29</v>
      </c>
      <c r="R63" s="7" t="s">
        <v>29</v>
      </c>
      <c r="S63" s="7" t="s">
        <v>29</v>
      </c>
    </row>
    <row r="64" spans="1:19">
      <c r="B64" s="7" t="s">
        <v>195</v>
      </c>
      <c r="C64" s="8" t="s">
        <v>195</v>
      </c>
      <c r="D64" s="6" t="str">
        <f>LRTRIM(CONCATENATE(IF(SUMPRODUCT(-- ISNUMBER(SEARCH({"Auto Number"}, $B64))) &gt; 0, $B64, IF(SUMPRODUCT(-- ISNUMBER(SEARCH({"Lookup","Master-Detail"}, $B64))) &gt; 0,$B64 &amp; "(" &amp; $E64 &amp; ")",IF(SUMPRODUCT(-- ISNUMBER(SEARCH({"Formula","Roll-Up Summary"}, $B64))) &gt; 0,$B64 &amp; " (" &amp; $E64 &amp; ")",IF(SUMPRODUCT(-- ISNUMBER(SEARCH({"Content","Currency","Number","Percent","Text","URL"}, $B64))) &gt; 0,$B64 &amp; "(" &amp; $C64 &amp; ")",$B64)))), "  ", TRIM(IF($S64 = "YES", "(External ID)", "") &amp; " " &amp; IF(SUMPRODUCT(-- ISNUMBER(SEARCH({"Unique","Unique Case Insensitive"}, $R64))) &gt; 0, "(" &amp; $R64 &amp; ")", ""))))</f>
        <v>na</v>
      </c>
      <c r="E64" s="7" t="s">
        <v>195</v>
      </c>
      <c r="F64" s="7" t="s">
        <v>195</v>
      </c>
      <c r="G64" s="7" t="s">
        <v>195</v>
      </c>
      <c r="H64" s="7" t="s">
        <v>195</v>
      </c>
      <c r="I64" s="7" t="s">
        <v>195</v>
      </c>
      <c r="J64" s="7" t="s">
        <v>195</v>
      </c>
      <c r="K64" s="7" t="s">
        <v>195</v>
      </c>
      <c r="L64" s="7" t="s">
        <v>195</v>
      </c>
      <c r="M64" s="7" t="s">
        <v>29</v>
      </c>
      <c r="N64" s="7" t="s">
        <v>29</v>
      </c>
      <c r="O64" s="7" t="s">
        <v>29</v>
      </c>
      <c r="P64" s="7" t="s">
        <v>29</v>
      </c>
      <c r="Q64" s="7" t="s">
        <v>29</v>
      </c>
      <c r="R64" s="7" t="s">
        <v>29</v>
      </c>
      <c r="S64" s="7" t="s">
        <v>29</v>
      </c>
    </row>
    <row r="65" spans="2:19">
      <c r="B65" s="7" t="s">
        <v>195</v>
      </c>
      <c r="C65" s="8" t="s">
        <v>195</v>
      </c>
      <c r="D65" s="6" t="str">
        <f>LRTRIM(CONCATENATE(IF(SUMPRODUCT(-- ISNUMBER(SEARCH({"Auto Number"}, $B65))) &gt; 0, $B65, IF(SUMPRODUCT(-- ISNUMBER(SEARCH({"Lookup","Master-Detail"}, $B65))) &gt; 0,$B65 &amp; "(" &amp; $E65 &amp; ")",IF(SUMPRODUCT(-- ISNUMBER(SEARCH({"Formula","Roll-Up Summary"}, $B65))) &gt; 0,$B65 &amp; " (" &amp; $E65 &amp; ")",IF(SUMPRODUCT(-- ISNUMBER(SEARCH({"Content","Currency","Number","Percent","Text","URL"}, $B65))) &gt; 0,$B65 &amp; "(" &amp; $C65 &amp; ")",$B65)))), "  ", TRIM(IF($S65 = "YES", "(External ID)", "") &amp; " " &amp; IF(SUMPRODUCT(-- ISNUMBER(SEARCH({"Unique","Unique Case Insensitive"}, $R65))) &gt; 0, "(" &amp; $R65 &amp; ")", ""))))</f>
        <v>na</v>
      </c>
      <c r="E65" s="7" t="s">
        <v>195</v>
      </c>
      <c r="F65" s="7" t="s">
        <v>195</v>
      </c>
      <c r="G65" s="7" t="s">
        <v>195</v>
      </c>
      <c r="H65" s="7" t="s">
        <v>195</v>
      </c>
      <c r="I65" s="7" t="s">
        <v>195</v>
      </c>
      <c r="J65" s="7" t="s">
        <v>195</v>
      </c>
      <c r="K65" s="7" t="s">
        <v>195</v>
      </c>
      <c r="L65" s="7" t="s">
        <v>195</v>
      </c>
      <c r="M65" s="7" t="s">
        <v>29</v>
      </c>
      <c r="N65" s="7" t="s">
        <v>29</v>
      </c>
      <c r="O65" s="7" t="s">
        <v>29</v>
      </c>
      <c r="P65" s="7" t="s">
        <v>29</v>
      </c>
      <c r="Q65" s="7" t="s">
        <v>29</v>
      </c>
      <c r="R65" s="7" t="s">
        <v>29</v>
      </c>
      <c r="S65" s="7" t="s">
        <v>29</v>
      </c>
    </row>
    <row r="66" spans="2:19">
      <c r="B66" s="7" t="s">
        <v>195</v>
      </c>
      <c r="C66" s="8" t="s">
        <v>195</v>
      </c>
      <c r="D66" s="6" t="str">
        <f>LRTRIM(CONCATENATE(IF(SUMPRODUCT(-- ISNUMBER(SEARCH({"Auto Number"}, $B66))) &gt; 0, $B66, IF(SUMPRODUCT(-- ISNUMBER(SEARCH({"Lookup","Master-Detail"}, $B66))) &gt; 0,$B66 &amp; "(" &amp; $E66 &amp; ")",IF(SUMPRODUCT(-- ISNUMBER(SEARCH({"Formula","Roll-Up Summary"}, $B66))) &gt; 0,$B66 &amp; " (" &amp; $E66 &amp; ")",IF(SUMPRODUCT(-- ISNUMBER(SEARCH({"Content","Currency","Number","Percent","Text","URL"}, $B66))) &gt; 0,$B66 &amp; "(" &amp; $C66 &amp; ")",$B66)))), "  ", TRIM(IF($S66 = "YES", "(External ID)", "") &amp; " " &amp; IF(SUMPRODUCT(-- ISNUMBER(SEARCH({"Unique","Unique Case Insensitive"}, $R66))) &gt; 0, "(" &amp; $R66 &amp; ")", ""))))</f>
        <v>na</v>
      </c>
      <c r="E66" s="7" t="s">
        <v>195</v>
      </c>
      <c r="F66" s="7" t="s">
        <v>195</v>
      </c>
      <c r="G66" s="7" t="s">
        <v>195</v>
      </c>
      <c r="H66" s="7" t="s">
        <v>195</v>
      </c>
      <c r="I66" s="7" t="s">
        <v>195</v>
      </c>
      <c r="J66" s="7" t="s">
        <v>195</v>
      </c>
      <c r="K66" s="7" t="s">
        <v>195</v>
      </c>
      <c r="L66" s="7" t="s">
        <v>195</v>
      </c>
      <c r="M66" s="7" t="s">
        <v>29</v>
      </c>
      <c r="N66" s="7" t="s">
        <v>29</v>
      </c>
      <c r="O66" s="7" t="s">
        <v>29</v>
      </c>
      <c r="P66" s="7" t="s">
        <v>29</v>
      </c>
      <c r="Q66" s="7" t="s">
        <v>29</v>
      </c>
      <c r="R66" s="7" t="s">
        <v>29</v>
      </c>
      <c r="S66" s="7" t="s">
        <v>29</v>
      </c>
    </row>
    <row r="67" spans="2:19">
      <c r="B67" s="7" t="s">
        <v>195</v>
      </c>
      <c r="C67" s="8" t="s">
        <v>195</v>
      </c>
      <c r="D67" s="6" t="str">
        <f>LRTRIM(CONCATENATE(IF(SUMPRODUCT(-- ISNUMBER(SEARCH({"Auto Number"}, $B67))) &gt; 0, $B67, IF(SUMPRODUCT(-- ISNUMBER(SEARCH({"Lookup","Master-Detail"}, $B67))) &gt; 0,$B67 &amp; "(" &amp; $E67 &amp; ")",IF(SUMPRODUCT(-- ISNUMBER(SEARCH({"Formula","Roll-Up Summary"}, $B67))) &gt; 0,$B67 &amp; " (" &amp; $E67 &amp; ")",IF(SUMPRODUCT(-- ISNUMBER(SEARCH({"Content","Currency","Number","Percent","Text","URL"}, $B67))) &gt; 0,$B67 &amp; "(" &amp; $C67 &amp; ")",$B67)))), "  ", TRIM(IF($S67 = "YES", "(External ID)", "") &amp; " " &amp; IF(SUMPRODUCT(-- ISNUMBER(SEARCH({"Unique","Unique Case Insensitive"}, $R67))) &gt; 0, "(" &amp; $R67 &amp; ")", ""))))</f>
        <v>na</v>
      </c>
      <c r="E67" s="7" t="s">
        <v>195</v>
      </c>
      <c r="F67" s="7" t="s">
        <v>195</v>
      </c>
      <c r="G67" s="7" t="s">
        <v>195</v>
      </c>
      <c r="H67" s="7" t="s">
        <v>195</v>
      </c>
      <c r="I67" s="7" t="s">
        <v>195</v>
      </c>
      <c r="J67" s="7" t="s">
        <v>195</v>
      </c>
      <c r="K67" s="7" t="s">
        <v>195</v>
      </c>
      <c r="L67" s="7" t="s">
        <v>195</v>
      </c>
      <c r="M67" s="7" t="s">
        <v>29</v>
      </c>
      <c r="N67" s="7" t="s">
        <v>29</v>
      </c>
      <c r="O67" s="7" t="s">
        <v>29</v>
      </c>
      <c r="P67" s="7" t="s">
        <v>29</v>
      </c>
      <c r="Q67" s="7" t="s">
        <v>29</v>
      </c>
      <c r="R67" s="7" t="s">
        <v>29</v>
      </c>
      <c r="S67" s="7" t="s">
        <v>29</v>
      </c>
    </row>
    <row r="68" spans="2:19">
      <c r="B68" s="7" t="s">
        <v>195</v>
      </c>
      <c r="C68" s="8" t="s">
        <v>195</v>
      </c>
      <c r="D68" s="6" t="str">
        <f>LRTRIM(CONCATENATE(IF(SUMPRODUCT(-- ISNUMBER(SEARCH({"Auto Number"}, $B68))) &gt; 0, $B68, IF(SUMPRODUCT(-- ISNUMBER(SEARCH({"Lookup","Master-Detail"}, $B68))) &gt; 0,$B68 &amp; "(" &amp; $E68 &amp; ")",IF(SUMPRODUCT(-- ISNUMBER(SEARCH({"Formula","Roll-Up Summary"}, $B68))) &gt; 0,$B68 &amp; " (" &amp; $E68 &amp; ")",IF(SUMPRODUCT(-- ISNUMBER(SEARCH({"Content","Currency","Number","Percent","Text","URL"}, $B68))) &gt; 0,$B68 &amp; "(" &amp; $C68 &amp; ")",$B68)))), "  ", TRIM(IF($S68 = "YES", "(External ID)", "") &amp; " " &amp; IF(SUMPRODUCT(-- ISNUMBER(SEARCH({"Unique","Unique Case Insensitive"}, $R68))) &gt; 0, "(" &amp; $R68 &amp; ")", ""))))</f>
        <v>na</v>
      </c>
      <c r="E68" s="7" t="s">
        <v>195</v>
      </c>
      <c r="F68" s="7" t="s">
        <v>195</v>
      </c>
      <c r="G68" s="7" t="s">
        <v>195</v>
      </c>
      <c r="H68" s="7" t="s">
        <v>195</v>
      </c>
      <c r="I68" s="7" t="s">
        <v>195</v>
      </c>
      <c r="J68" s="7" t="s">
        <v>195</v>
      </c>
      <c r="K68" s="7" t="s">
        <v>195</v>
      </c>
      <c r="L68" s="7" t="s">
        <v>195</v>
      </c>
      <c r="M68" s="7" t="s">
        <v>29</v>
      </c>
      <c r="N68" s="7" t="s">
        <v>29</v>
      </c>
      <c r="O68" s="7" t="s">
        <v>29</v>
      </c>
      <c r="P68" s="7" t="s">
        <v>29</v>
      </c>
      <c r="Q68" s="7" t="s">
        <v>29</v>
      </c>
      <c r="R68" s="7" t="s">
        <v>29</v>
      </c>
      <c r="S68" s="7" t="s">
        <v>29</v>
      </c>
    </row>
    <row r="69" spans="2:19">
      <c r="B69" s="7" t="s">
        <v>195</v>
      </c>
      <c r="C69" s="8" t="s">
        <v>195</v>
      </c>
      <c r="D69" s="6" t="str">
        <f>LRTRIM(CONCATENATE(IF(SUMPRODUCT(-- ISNUMBER(SEARCH({"Auto Number"}, $B69))) &gt; 0, $B69, IF(SUMPRODUCT(-- ISNUMBER(SEARCH({"Lookup","Master-Detail"}, $B69))) &gt; 0,$B69 &amp; "(" &amp; $E69 &amp; ")",IF(SUMPRODUCT(-- ISNUMBER(SEARCH({"Formula","Roll-Up Summary"}, $B69))) &gt; 0,$B69 &amp; " (" &amp; $E69 &amp; ")",IF(SUMPRODUCT(-- ISNUMBER(SEARCH({"Content","Currency","Number","Percent","Text","URL"}, $B69))) &gt; 0,$B69 &amp; "(" &amp; $C69 &amp; ")",$B69)))), "  ", TRIM(IF($S69 = "YES", "(External ID)", "") &amp; " " &amp; IF(SUMPRODUCT(-- ISNUMBER(SEARCH({"Unique","Unique Case Insensitive"}, $R69))) &gt; 0, "(" &amp; $R69 &amp; ")", ""))))</f>
        <v>na</v>
      </c>
      <c r="E69" s="7" t="s">
        <v>195</v>
      </c>
      <c r="F69" s="7" t="s">
        <v>195</v>
      </c>
      <c r="G69" s="7" t="s">
        <v>195</v>
      </c>
      <c r="H69" s="7" t="s">
        <v>195</v>
      </c>
      <c r="I69" s="7" t="s">
        <v>195</v>
      </c>
      <c r="J69" s="7" t="s">
        <v>195</v>
      </c>
      <c r="K69" s="7" t="s">
        <v>195</v>
      </c>
      <c r="L69" s="7" t="s">
        <v>195</v>
      </c>
      <c r="M69" s="7" t="s">
        <v>29</v>
      </c>
      <c r="N69" s="7" t="s">
        <v>29</v>
      </c>
      <c r="O69" s="7" t="s">
        <v>29</v>
      </c>
      <c r="P69" s="7" t="s">
        <v>29</v>
      </c>
      <c r="Q69" s="7" t="s">
        <v>29</v>
      </c>
      <c r="R69" s="7" t="s">
        <v>29</v>
      </c>
      <c r="S69" s="7" t="s">
        <v>29</v>
      </c>
    </row>
    <row r="70" spans="2:19">
      <c r="B70" s="7" t="s">
        <v>195</v>
      </c>
      <c r="C70" s="8" t="s">
        <v>195</v>
      </c>
      <c r="D70" s="6" t="str">
        <f>LRTRIM(CONCATENATE(IF(SUMPRODUCT(-- ISNUMBER(SEARCH({"Auto Number"}, $B70))) &gt; 0, $B70, IF(SUMPRODUCT(-- ISNUMBER(SEARCH({"Lookup","Master-Detail"}, $B70))) &gt; 0,$B70 &amp; "(" &amp; $E70 &amp; ")",IF(SUMPRODUCT(-- ISNUMBER(SEARCH({"Formula","Roll-Up Summary"}, $B70))) &gt; 0,$B70 &amp; " (" &amp; $E70 &amp; ")",IF(SUMPRODUCT(-- ISNUMBER(SEARCH({"Content","Currency","Number","Percent","Text","URL"}, $B70))) &gt; 0,$B70 &amp; "(" &amp; $C70 &amp; ")",$B70)))), "  ", TRIM(IF($S70 = "YES", "(External ID)", "") &amp; " " &amp; IF(SUMPRODUCT(-- ISNUMBER(SEARCH({"Unique","Unique Case Insensitive"}, $R70))) &gt; 0, "(" &amp; $R70 &amp; ")", ""))))</f>
        <v>na</v>
      </c>
      <c r="E70" s="7" t="s">
        <v>195</v>
      </c>
      <c r="F70" s="7" t="s">
        <v>195</v>
      </c>
      <c r="G70" s="7" t="s">
        <v>195</v>
      </c>
      <c r="H70" s="7" t="s">
        <v>195</v>
      </c>
      <c r="I70" s="7" t="s">
        <v>195</v>
      </c>
      <c r="J70" s="7" t="s">
        <v>195</v>
      </c>
      <c r="K70" s="7" t="s">
        <v>195</v>
      </c>
      <c r="L70" s="7" t="s">
        <v>195</v>
      </c>
      <c r="M70" s="7" t="s">
        <v>29</v>
      </c>
      <c r="N70" s="7" t="s">
        <v>29</v>
      </c>
      <c r="O70" s="7" t="s">
        <v>29</v>
      </c>
      <c r="P70" s="7" t="s">
        <v>29</v>
      </c>
      <c r="Q70" s="7" t="s">
        <v>29</v>
      </c>
      <c r="R70" s="7" t="s">
        <v>29</v>
      </c>
      <c r="S70" s="7" t="s">
        <v>29</v>
      </c>
    </row>
    <row r="71" spans="2:19">
      <c r="B71" s="7" t="s">
        <v>195</v>
      </c>
      <c r="C71" s="8" t="s">
        <v>195</v>
      </c>
      <c r="D71" s="6" t="str">
        <f>LRTRIM(CONCATENATE(IF(SUMPRODUCT(-- ISNUMBER(SEARCH({"Auto Number"}, $B71))) &gt; 0, $B71, IF(SUMPRODUCT(-- ISNUMBER(SEARCH({"Lookup","Master-Detail"}, $B71))) &gt; 0,$B71 &amp; "(" &amp; $E71 &amp; ")",IF(SUMPRODUCT(-- ISNUMBER(SEARCH({"Formula","Roll-Up Summary"}, $B71))) &gt; 0,$B71 &amp; " (" &amp; $E71 &amp; ")",IF(SUMPRODUCT(-- ISNUMBER(SEARCH({"Content","Currency","Number","Percent","Text","URL"}, $B71))) &gt; 0,$B71 &amp; "(" &amp; $C71 &amp; ")",$B71)))), "  ", TRIM(IF($S71 = "YES", "(External ID)", "") &amp; " " &amp; IF(SUMPRODUCT(-- ISNUMBER(SEARCH({"Unique","Unique Case Insensitive"}, $R71))) &gt; 0, "(" &amp; $R71 &amp; ")", ""))))</f>
        <v>na</v>
      </c>
      <c r="E71" s="7" t="s">
        <v>195</v>
      </c>
      <c r="F71" s="7" t="s">
        <v>195</v>
      </c>
      <c r="G71" s="7" t="s">
        <v>195</v>
      </c>
      <c r="H71" s="7" t="s">
        <v>195</v>
      </c>
      <c r="I71" s="7" t="s">
        <v>195</v>
      </c>
      <c r="J71" s="7" t="s">
        <v>195</v>
      </c>
      <c r="K71" s="7" t="s">
        <v>195</v>
      </c>
      <c r="L71" s="7" t="s">
        <v>195</v>
      </c>
      <c r="M71" s="7" t="s">
        <v>29</v>
      </c>
      <c r="N71" s="7" t="s">
        <v>29</v>
      </c>
      <c r="O71" s="7" t="s">
        <v>29</v>
      </c>
      <c r="P71" s="7" t="s">
        <v>29</v>
      </c>
      <c r="Q71" s="7" t="s">
        <v>29</v>
      </c>
      <c r="R71" s="7" t="s">
        <v>29</v>
      </c>
      <c r="S71" s="7" t="s">
        <v>29</v>
      </c>
    </row>
    <row r="72" spans="2:19">
      <c r="B72" s="7" t="s">
        <v>195</v>
      </c>
      <c r="C72" s="8" t="s">
        <v>195</v>
      </c>
      <c r="D72" s="6" t="str">
        <f>LRTRIM(CONCATENATE(IF(SUMPRODUCT(-- ISNUMBER(SEARCH({"Auto Number"}, $B72))) &gt; 0, $B72, IF(SUMPRODUCT(-- ISNUMBER(SEARCH({"Lookup","Master-Detail"}, $B72))) &gt; 0,$B72 &amp; "(" &amp; $E72 &amp; ")",IF(SUMPRODUCT(-- ISNUMBER(SEARCH({"Formula","Roll-Up Summary"}, $B72))) &gt; 0,$B72 &amp; " (" &amp; $E72 &amp; ")",IF(SUMPRODUCT(-- ISNUMBER(SEARCH({"Content","Currency","Number","Percent","Text","URL"}, $B72))) &gt; 0,$B72 &amp; "(" &amp; $C72 &amp; ")",$B72)))), "  ", TRIM(IF($S72 = "YES", "(External ID)", "") &amp; " " &amp; IF(SUMPRODUCT(-- ISNUMBER(SEARCH({"Unique","Unique Case Insensitive"}, $R72))) &gt; 0, "(" &amp; $R72 &amp; ")", ""))))</f>
        <v>na</v>
      </c>
      <c r="E72" s="7" t="s">
        <v>195</v>
      </c>
      <c r="F72" s="7" t="s">
        <v>195</v>
      </c>
      <c r="G72" s="7" t="s">
        <v>195</v>
      </c>
      <c r="H72" s="7" t="s">
        <v>195</v>
      </c>
      <c r="I72" s="7" t="s">
        <v>195</v>
      </c>
      <c r="J72" s="7" t="s">
        <v>195</v>
      </c>
      <c r="K72" s="7" t="s">
        <v>195</v>
      </c>
      <c r="L72" s="7" t="s">
        <v>195</v>
      </c>
      <c r="M72" s="7" t="s">
        <v>29</v>
      </c>
      <c r="N72" s="7" t="s">
        <v>29</v>
      </c>
      <c r="O72" s="7" t="s">
        <v>29</v>
      </c>
      <c r="P72" s="7" t="s">
        <v>29</v>
      </c>
      <c r="Q72" s="7" t="s">
        <v>29</v>
      </c>
      <c r="R72" s="7" t="s">
        <v>29</v>
      </c>
      <c r="S72" s="7" t="s">
        <v>29</v>
      </c>
    </row>
    <row r="73" spans="2:19">
      <c r="B73" s="7" t="s">
        <v>195</v>
      </c>
      <c r="C73" s="8" t="s">
        <v>195</v>
      </c>
      <c r="D73" s="6" t="str">
        <f>LRTRIM(CONCATENATE(IF(SUMPRODUCT(-- ISNUMBER(SEARCH({"Auto Number"}, $B73))) &gt; 0, $B73, IF(SUMPRODUCT(-- ISNUMBER(SEARCH({"Lookup","Master-Detail"}, $B73))) &gt; 0,$B73 &amp; "(" &amp; $E73 &amp; ")",IF(SUMPRODUCT(-- ISNUMBER(SEARCH({"Formula","Roll-Up Summary"}, $B73))) &gt; 0,$B73 &amp; " (" &amp; $E73 &amp; ")",IF(SUMPRODUCT(-- ISNUMBER(SEARCH({"Content","Currency","Number","Percent","Text","URL"}, $B73))) &gt; 0,$B73 &amp; "(" &amp; $C73 &amp; ")",$B73)))), "  ", TRIM(IF($S73 = "YES", "(External ID)", "") &amp; " " &amp; IF(SUMPRODUCT(-- ISNUMBER(SEARCH({"Unique","Unique Case Insensitive"}, $R73))) &gt; 0, "(" &amp; $R73 &amp; ")", ""))))</f>
        <v>na</v>
      </c>
      <c r="E73" s="7" t="s">
        <v>195</v>
      </c>
      <c r="F73" s="7" t="s">
        <v>195</v>
      </c>
      <c r="G73" s="7" t="s">
        <v>195</v>
      </c>
      <c r="H73" s="7" t="s">
        <v>195</v>
      </c>
      <c r="I73" s="7" t="s">
        <v>195</v>
      </c>
      <c r="J73" s="7" t="s">
        <v>195</v>
      </c>
      <c r="K73" s="7" t="s">
        <v>195</v>
      </c>
      <c r="L73" s="7" t="s">
        <v>195</v>
      </c>
      <c r="M73" s="7" t="s">
        <v>29</v>
      </c>
      <c r="N73" s="7" t="s">
        <v>29</v>
      </c>
      <c r="O73" s="7" t="s">
        <v>29</v>
      </c>
      <c r="P73" s="7" t="s">
        <v>29</v>
      </c>
      <c r="Q73" s="7" t="s">
        <v>29</v>
      </c>
      <c r="R73" s="7" t="s">
        <v>29</v>
      </c>
      <c r="S73" s="7" t="s">
        <v>29</v>
      </c>
    </row>
    <row r="74" spans="2:19">
      <c r="B74" s="7" t="s">
        <v>195</v>
      </c>
      <c r="C74" s="8" t="s">
        <v>195</v>
      </c>
      <c r="D74" s="6" t="str">
        <f>LRTRIM(CONCATENATE(IF(SUMPRODUCT(-- ISNUMBER(SEARCH({"Auto Number"}, $B74))) &gt; 0, $B74, IF(SUMPRODUCT(-- ISNUMBER(SEARCH({"Lookup","Master-Detail"}, $B74))) &gt; 0,$B74 &amp; "(" &amp; $E74 &amp; ")",IF(SUMPRODUCT(-- ISNUMBER(SEARCH({"Formula","Roll-Up Summary"}, $B74))) &gt; 0,$B74 &amp; " (" &amp; $E74 &amp; ")",IF(SUMPRODUCT(-- ISNUMBER(SEARCH({"Content","Currency","Number","Percent","Text","URL"}, $B74))) &gt; 0,$B74 &amp; "(" &amp; $C74 &amp; ")",$B74)))), "  ", TRIM(IF($S74 = "YES", "(External ID)", "") &amp; " " &amp; IF(SUMPRODUCT(-- ISNUMBER(SEARCH({"Unique","Unique Case Insensitive"}, $R74))) &gt; 0, "(" &amp; $R74 &amp; ")", ""))))</f>
        <v>na</v>
      </c>
      <c r="E74" s="7" t="s">
        <v>195</v>
      </c>
      <c r="F74" s="7" t="s">
        <v>195</v>
      </c>
      <c r="G74" s="7" t="s">
        <v>195</v>
      </c>
      <c r="H74" s="7" t="s">
        <v>195</v>
      </c>
      <c r="I74" s="7" t="s">
        <v>195</v>
      </c>
      <c r="J74" s="7" t="s">
        <v>195</v>
      </c>
      <c r="K74" s="7" t="s">
        <v>195</v>
      </c>
      <c r="L74" s="7" t="s">
        <v>195</v>
      </c>
      <c r="M74" s="7" t="s">
        <v>29</v>
      </c>
      <c r="N74" s="7" t="s">
        <v>29</v>
      </c>
      <c r="O74" s="7" t="s">
        <v>29</v>
      </c>
      <c r="P74" s="7" t="s">
        <v>29</v>
      </c>
      <c r="Q74" s="7" t="s">
        <v>29</v>
      </c>
      <c r="R74" s="7" t="s">
        <v>29</v>
      </c>
      <c r="S74" s="7" t="s">
        <v>29</v>
      </c>
    </row>
    <row r="75" spans="2:19">
      <c r="B75" s="7" t="s">
        <v>195</v>
      </c>
      <c r="C75" s="8" t="s">
        <v>195</v>
      </c>
      <c r="D75" s="6" t="str">
        <f>LRTRIM(CONCATENATE(IF(SUMPRODUCT(-- ISNUMBER(SEARCH({"Auto Number"}, $B75))) &gt; 0, $B75, IF(SUMPRODUCT(-- ISNUMBER(SEARCH({"Lookup","Master-Detail"}, $B75))) &gt; 0,$B75 &amp; "(" &amp; $E75 &amp; ")",IF(SUMPRODUCT(-- ISNUMBER(SEARCH({"Formula","Roll-Up Summary"}, $B75))) &gt; 0,$B75 &amp; " (" &amp; $E75 &amp; ")",IF(SUMPRODUCT(-- ISNUMBER(SEARCH({"Content","Currency","Number","Percent","Text","URL"}, $B75))) &gt; 0,$B75 &amp; "(" &amp; $C75 &amp; ")",$B75)))), "  ", TRIM(IF($S75 = "YES", "(External ID)", "") &amp; " " &amp; IF(SUMPRODUCT(-- ISNUMBER(SEARCH({"Unique","Unique Case Insensitive"}, $R75))) &gt; 0, "(" &amp; $R75 &amp; ")", ""))))</f>
        <v>na</v>
      </c>
      <c r="E75" s="7" t="s">
        <v>195</v>
      </c>
      <c r="F75" s="7" t="s">
        <v>195</v>
      </c>
      <c r="G75" s="7" t="s">
        <v>195</v>
      </c>
      <c r="H75" s="7" t="s">
        <v>195</v>
      </c>
      <c r="I75" s="7" t="s">
        <v>195</v>
      </c>
      <c r="J75" s="7" t="s">
        <v>195</v>
      </c>
      <c r="K75" s="7" t="s">
        <v>195</v>
      </c>
      <c r="L75" s="7" t="s">
        <v>195</v>
      </c>
      <c r="M75" s="7" t="s">
        <v>29</v>
      </c>
      <c r="N75" s="7" t="s">
        <v>29</v>
      </c>
      <c r="O75" s="7" t="s">
        <v>29</v>
      </c>
      <c r="P75" s="7" t="s">
        <v>29</v>
      </c>
      <c r="Q75" s="7" t="s">
        <v>29</v>
      </c>
      <c r="R75" s="7" t="s">
        <v>29</v>
      </c>
      <c r="S75" s="7" t="s">
        <v>29</v>
      </c>
    </row>
    <row r="76" spans="2:19">
      <c r="B76" s="7" t="s">
        <v>195</v>
      </c>
      <c r="C76" s="8" t="s">
        <v>195</v>
      </c>
      <c r="D76" s="6" t="str">
        <f>LRTRIM(CONCATENATE(IF(SUMPRODUCT(-- ISNUMBER(SEARCH({"Auto Number"}, $B76))) &gt; 0, $B76, IF(SUMPRODUCT(-- ISNUMBER(SEARCH({"Lookup","Master-Detail"}, $B76))) &gt; 0,$B76 &amp; "(" &amp; $E76 &amp; ")",IF(SUMPRODUCT(-- ISNUMBER(SEARCH({"Formula","Roll-Up Summary"}, $B76))) &gt; 0,$B76 &amp; " (" &amp; $E76 &amp; ")",IF(SUMPRODUCT(-- ISNUMBER(SEARCH({"Content","Currency","Number","Percent","Text","URL"}, $B76))) &gt; 0,$B76 &amp; "(" &amp; $C76 &amp; ")",$B76)))), "  ", TRIM(IF($S76 = "YES", "(External ID)", "") &amp; " " &amp; IF(SUMPRODUCT(-- ISNUMBER(SEARCH({"Unique","Unique Case Insensitive"}, $R76))) &gt; 0, "(" &amp; $R76 &amp; ")", ""))))</f>
        <v>na</v>
      </c>
      <c r="E76" s="7" t="s">
        <v>195</v>
      </c>
      <c r="F76" s="7" t="s">
        <v>195</v>
      </c>
      <c r="G76" s="7" t="s">
        <v>195</v>
      </c>
      <c r="H76" s="7" t="s">
        <v>195</v>
      </c>
      <c r="I76" s="7" t="s">
        <v>195</v>
      </c>
      <c r="J76" s="7" t="s">
        <v>195</v>
      </c>
      <c r="K76" s="7" t="s">
        <v>195</v>
      </c>
      <c r="L76" s="7" t="s">
        <v>195</v>
      </c>
      <c r="M76" s="7" t="s">
        <v>29</v>
      </c>
      <c r="N76" s="7" t="s">
        <v>29</v>
      </c>
      <c r="O76" s="7" t="s">
        <v>29</v>
      </c>
      <c r="P76" s="7" t="s">
        <v>29</v>
      </c>
      <c r="Q76" s="7" t="s">
        <v>29</v>
      </c>
      <c r="R76" s="7" t="s">
        <v>29</v>
      </c>
      <c r="S76" s="7" t="s">
        <v>29</v>
      </c>
    </row>
    <row r="77" spans="2:19">
      <c r="B77" s="7" t="s">
        <v>195</v>
      </c>
      <c r="C77" s="8" t="s">
        <v>195</v>
      </c>
      <c r="D77" s="6" t="str">
        <f>LRTRIM(CONCATENATE(IF(SUMPRODUCT(-- ISNUMBER(SEARCH({"Auto Number"}, $B77))) &gt; 0, $B77, IF(SUMPRODUCT(-- ISNUMBER(SEARCH({"Lookup","Master-Detail"}, $B77))) &gt; 0,$B77 &amp; "(" &amp; $E77 &amp; ")",IF(SUMPRODUCT(-- ISNUMBER(SEARCH({"Formula","Roll-Up Summary"}, $B77))) &gt; 0,$B77 &amp; " (" &amp; $E77 &amp; ")",IF(SUMPRODUCT(-- ISNUMBER(SEARCH({"Content","Currency","Number","Percent","Text","URL"}, $B77))) &gt; 0,$B77 &amp; "(" &amp; $C77 &amp; ")",$B77)))), "  ", TRIM(IF($S77 = "YES", "(External ID)", "") &amp; " " &amp; IF(SUMPRODUCT(-- ISNUMBER(SEARCH({"Unique","Unique Case Insensitive"}, $R77))) &gt; 0, "(" &amp; $R77 &amp; ")", ""))))</f>
        <v>na</v>
      </c>
      <c r="E77" s="7" t="s">
        <v>195</v>
      </c>
      <c r="F77" s="7" t="s">
        <v>195</v>
      </c>
      <c r="G77" s="7" t="s">
        <v>195</v>
      </c>
      <c r="H77" s="7" t="s">
        <v>195</v>
      </c>
      <c r="I77" s="7" t="s">
        <v>195</v>
      </c>
      <c r="J77" s="7" t="s">
        <v>195</v>
      </c>
      <c r="K77" s="7" t="s">
        <v>195</v>
      </c>
      <c r="L77" s="7" t="s">
        <v>195</v>
      </c>
      <c r="M77" s="7" t="s">
        <v>29</v>
      </c>
      <c r="N77" s="7" t="s">
        <v>29</v>
      </c>
      <c r="O77" s="7" t="s">
        <v>29</v>
      </c>
      <c r="P77" s="7" t="s">
        <v>29</v>
      </c>
      <c r="Q77" s="7" t="s">
        <v>29</v>
      </c>
      <c r="R77" s="7" t="s">
        <v>29</v>
      </c>
      <c r="S77" s="7" t="s">
        <v>29</v>
      </c>
    </row>
    <row r="78" spans="2:19">
      <c r="B78" s="7" t="s">
        <v>195</v>
      </c>
      <c r="C78" s="8" t="s">
        <v>195</v>
      </c>
      <c r="D78" s="6" t="str">
        <f>LRTRIM(CONCATENATE(IF(SUMPRODUCT(-- ISNUMBER(SEARCH({"Auto Number"}, $B78))) &gt; 0, $B78, IF(SUMPRODUCT(-- ISNUMBER(SEARCH({"Lookup","Master-Detail"}, $B78))) &gt; 0,$B78 &amp; "(" &amp; $E78 &amp; ")",IF(SUMPRODUCT(-- ISNUMBER(SEARCH({"Formula","Roll-Up Summary"}, $B78))) &gt; 0,$B78 &amp; " (" &amp; $E78 &amp; ")",IF(SUMPRODUCT(-- ISNUMBER(SEARCH({"Content","Currency","Number","Percent","Text","URL"}, $B78))) &gt; 0,$B78 &amp; "(" &amp; $C78 &amp; ")",$B78)))), "  ", TRIM(IF($S78 = "YES", "(External ID)", "") &amp; " " &amp; IF(SUMPRODUCT(-- ISNUMBER(SEARCH({"Unique","Unique Case Insensitive"}, $R78))) &gt; 0, "(" &amp; $R78 &amp; ")", ""))))</f>
        <v>na</v>
      </c>
      <c r="E78" s="7" t="s">
        <v>195</v>
      </c>
      <c r="F78" s="7" t="s">
        <v>195</v>
      </c>
      <c r="G78" s="7" t="s">
        <v>195</v>
      </c>
      <c r="H78" s="7" t="s">
        <v>195</v>
      </c>
      <c r="I78" s="7" t="s">
        <v>195</v>
      </c>
      <c r="J78" s="7" t="s">
        <v>195</v>
      </c>
      <c r="K78" s="7" t="s">
        <v>195</v>
      </c>
      <c r="L78" s="7" t="s">
        <v>195</v>
      </c>
      <c r="M78" s="7" t="s">
        <v>29</v>
      </c>
      <c r="N78" s="7" t="s">
        <v>29</v>
      </c>
      <c r="O78" s="7" t="s">
        <v>29</v>
      </c>
      <c r="P78" s="7" t="s">
        <v>29</v>
      </c>
      <c r="Q78" s="7" t="s">
        <v>29</v>
      </c>
      <c r="R78" s="7" t="s">
        <v>29</v>
      </c>
      <c r="S78" s="7" t="s">
        <v>29</v>
      </c>
    </row>
    <row r="79" spans="2:19">
      <c r="B79" s="7" t="s">
        <v>195</v>
      </c>
      <c r="C79" s="8" t="s">
        <v>195</v>
      </c>
      <c r="D79" s="6" t="str">
        <f>LRTRIM(CONCATENATE(IF(SUMPRODUCT(-- ISNUMBER(SEARCH({"Auto Number"}, $B79))) &gt; 0, $B79, IF(SUMPRODUCT(-- ISNUMBER(SEARCH({"Lookup","Master-Detail"}, $B79))) &gt; 0,$B79 &amp; "(" &amp; $E79 &amp; ")",IF(SUMPRODUCT(-- ISNUMBER(SEARCH({"Formula","Roll-Up Summary"}, $B79))) &gt; 0,$B79 &amp; " (" &amp; $E79 &amp; ")",IF(SUMPRODUCT(-- ISNUMBER(SEARCH({"Content","Currency","Number","Percent","Text","URL"}, $B79))) &gt; 0,$B79 &amp; "(" &amp; $C79 &amp; ")",$B79)))), "  ", TRIM(IF($S79 = "YES", "(External ID)", "") &amp; " " &amp; IF(SUMPRODUCT(-- ISNUMBER(SEARCH({"Unique","Unique Case Insensitive"}, $R79))) &gt; 0, "(" &amp; $R79 &amp; ")", ""))))</f>
        <v>na</v>
      </c>
      <c r="E79" s="7" t="s">
        <v>195</v>
      </c>
      <c r="F79" s="7" t="s">
        <v>195</v>
      </c>
      <c r="G79" s="7" t="s">
        <v>195</v>
      </c>
      <c r="H79" s="7" t="s">
        <v>195</v>
      </c>
      <c r="I79" s="7" t="s">
        <v>195</v>
      </c>
      <c r="J79" s="7" t="s">
        <v>195</v>
      </c>
      <c r="K79" s="7" t="s">
        <v>195</v>
      </c>
      <c r="L79" s="7" t="s">
        <v>195</v>
      </c>
      <c r="M79" s="7" t="s">
        <v>29</v>
      </c>
      <c r="N79" s="7" t="s">
        <v>29</v>
      </c>
      <c r="O79" s="7" t="s">
        <v>29</v>
      </c>
      <c r="P79" s="7" t="s">
        <v>29</v>
      </c>
      <c r="Q79" s="7" t="s">
        <v>29</v>
      </c>
      <c r="R79" s="7" t="s">
        <v>29</v>
      </c>
      <c r="S79" s="7" t="s">
        <v>29</v>
      </c>
    </row>
    <row r="80" spans="2:19">
      <c r="B80" s="7" t="s">
        <v>195</v>
      </c>
      <c r="C80" s="8" t="s">
        <v>195</v>
      </c>
      <c r="D80" s="6" t="str">
        <f>LRTRIM(CONCATENATE(IF(SUMPRODUCT(-- ISNUMBER(SEARCH({"Auto Number"}, $B80))) &gt; 0, $B80, IF(SUMPRODUCT(-- ISNUMBER(SEARCH({"Lookup","Master-Detail"}, $B80))) &gt; 0,$B80 &amp; "(" &amp; $E80 &amp; ")",IF(SUMPRODUCT(-- ISNUMBER(SEARCH({"Formula","Roll-Up Summary"}, $B80))) &gt; 0,$B80 &amp; " (" &amp; $E80 &amp; ")",IF(SUMPRODUCT(-- ISNUMBER(SEARCH({"Content","Currency","Number","Percent","Text","URL"}, $B80))) &gt; 0,$B80 &amp; "(" &amp; $C80 &amp; ")",$B80)))), "  ", TRIM(IF($S80 = "YES", "(External ID)", "") &amp; " " &amp; IF(SUMPRODUCT(-- ISNUMBER(SEARCH({"Unique","Unique Case Insensitive"}, $R80))) &gt; 0, "(" &amp; $R80 &amp; ")", ""))))</f>
        <v>na</v>
      </c>
      <c r="E80" s="7" t="s">
        <v>195</v>
      </c>
      <c r="F80" s="7" t="s">
        <v>195</v>
      </c>
      <c r="G80" s="7" t="s">
        <v>195</v>
      </c>
      <c r="H80" s="7" t="s">
        <v>195</v>
      </c>
      <c r="I80" s="7" t="s">
        <v>195</v>
      </c>
      <c r="J80" s="7" t="s">
        <v>195</v>
      </c>
      <c r="K80" s="7" t="s">
        <v>195</v>
      </c>
      <c r="L80" s="7" t="s">
        <v>195</v>
      </c>
      <c r="M80" s="7" t="s">
        <v>29</v>
      </c>
      <c r="N80" s="7" t="s">
        <v>29</v>
      </c>
      <c r="O80" s="7" t="s">
        <v>29</v>
      </c>
      <c r="P80" s="7" t="s">
        <v>29</v>
      </c>
      <c r="Q80" s="7" t="s">
        <v>29</v>
      </c>
      <c r="R80" s="7" t="s">
        <v>29</v>
      </c>
      <c r="S80" s="7" t="s">
        <v>29</v>
      </c>
    </row>
    <row r="81" spans="2:19">
      <c r="B81" s="7" t="s">
        <v>195</v>
      </c>
      <c r="C81" s="8" t="s">
        <v>195</v>
      </c>
      <c r="D81" s="6" t="str">
        <f>LRTRIM(CONCATENATE(IF(SUMPRODUCT(-- ISNUMBER(SEARCH({"Auto Number"}, $B81))) &gt; 0, $B81, IF(SUMPRODUCT(-- ISNUMBER(SEARCH({"Lookup","Master-Detail"}, $B81))) &gt; 0,$B81 &amp; "(" &amp; $E81 &amp; ")",IF(SUMPRODUCT(-- ISNUMBER(SEARCH({"Formula","Roll-Up Summary"}, $B81))) &gt; 0,$B81 &amp; " (" &amp; $E81 &amp; ")",IF(SUMPRODUCT(-- ISNUMBER(SEARCH({"Content","Currency","Number","Percent","Text","URL"}, $B81))) &gt; 0,$B81 &amp; "(" &amp; $C81 &amp; ")",$B81)))), "  ", TRIM(IF($S81 = "YES", "(External ID)", "") &amp; " " &amp; IF(SUMPRODUCT(-- ISNUMBER(SEARCH({"Unique","Unique Case Insensitive"}, $R81))) &gt; 0, "(" &amp; $R81 &amp; ")", ""))))</f>
        <v>na</v>
      </c>
      <c r="E81" s="7" t="s">
        <v>195</v>
      </c>
      <c r="F81" s="7" t="s">
        <v>195</v>
      </c>
      <c r="G81" s="7" t="s">
        <v>195</v>
      </c>
      <c r="H81" s="7" t="s">
        <v>195</v>
      </c>
      <c r="I81" s="7" t="s">
        <v>195</v>
      </c>
      <c r="J81" s="7" t="s">
        <v>195</v>
      </c>
      <c r="K81" s="7" t="s">
        <v>195</v>
      </c>
      <c r="L81" s="7" t="s">
        <v>195</v>
      </c>
      <c r="M81" s="7" t="s">
        <v>29</v>
      </c>
      <c r="N81" s="7" t="s">
        <v>29</v>
      </c>
      <c r="O81" s="7" t="s">
        <v>29</v>
      </c>
      <c r="P81" s="7" t="s">
        <v>29</v>
      </c>
      <c r="Q81" s="7" t="s">
        <v>29</v>
      </c>
      <c r="R81" s="7" t="s">
        <v>29</v>
      </c>
      <c r="S81" s="7" t="s">
        <v>29</v>
      </c>
    </row>
    <row r="82" spans="2:19">
      <c r="B82" s="7" t="s">
        <v>195</v>
      </c>
      <c r="C82" s="8" t="s">
        <v>195</v>
      </c>
      <c r="D82" s="6" t="str">
        <f>LRTRIM(CONCATENATE(IF(SUMPRODUCT(-- ISNUMBER(SEARCH({"Auto Number"}, $B82))) &gt; 0, $B82, IF(SUMPRODUCT(-- ISNUMBER(SEARCH({"Lookup","Master-Detail"}, $B82))) &gt; 0,$B82 &amp; "(" &amp; $E82 &amp; ")",IF(SUMPRODUCT(-- ISNUMBER(SEARCH({"Formula","Roll-Up Summary"}, $B82))) &gt; 0,$B82 &amp; " (" &amp; $E82 &amp; ")",IF(SUMPRODUCT(-- ISNUMBER(SEARCH({"Content","Currency","Number","Percent","Text","URL"}, $B82))) &gt; 0,$B82 &amp; "(" &amp; $C82 &amp; ")",$B82)))), "  ", TRIM(IF($S82 = "YES", "(External ID)", "") &amp; " " &amp; IF(SUMPRODUCT(-- ISNUMBER(SEARCH({"Unique","Unique Case Insensitive"}, $R82))) &gt; 0, "(" &amp; $R82 &amp; ")", ""))))</f>
        <v>na</v>
      </c>
      <c r="E82" s="7" t="s">
        <v>195</v>
      </c>
      <c r="F82" s="7" t="s">
        <v>195</v>
      </c>
      <c r="G82" s="7" t="s">
        <v>195</v>
      </c>
      <c r="H82" s="7" t="s">
        <v>195</v>
      </c>
      <c r="I82" s="7" t="s">
        <v>195</v>
      </c>
      <c r="J82" s="7" t="s">
        <v>195</v>
      </c>
      <c r="K82" s="7" t="s">
        <v>195</v>
      </c>
      <c r="L82" s="7" t="s">
        <v>195</v>
      </c>
      <c r="M82" s="7" t="s">
        <v>29</v>
      </c>
      <c r="N82" s="7" t="s">
        <v>29</v>
      </c>
      <c r="O82" s="7" t="s">
        <v>29</v>
      </c>
      <c r="P82" s="7" t="s">
        <v>29</v>
      </c>
      <c r="Q82" s="7" t="s">
        <v>29</v>
      </c>
      <c r="R82" s="7" t="s">
        <v>29</v>
      </c>
      <c r="S82" s="7" t="s">
        <v>29</v>
      </c>
    </row>
    <row r="83" spans="2:19">
      <c r="B83" s="7" t="s">
        <v>195</v>
      </c>
      <c r="C83" s="8" t="s">
        <v>195</v>
      </c>
      <c r="D83" s="6" t="str">
        <f>LRTRIM(CONCATENATE(IF(SUMPRODUCT(-- ISNUMBER(SEARCH({"Auto Number"}, $B83))) &gt; 0, $B83, IF(SUMPRODUCT(-- ISNUMBER(SEARCH({"Lookup","Master-Detail"}, $B83))) &gt; 0,$B83 &amp; "(" &amp; $E83 &amp; ")",IF(SUMPRODUCT(-- ISNUMBER(SEARCH({"Formula","Roll-Up Summary"}, $B83))) &gt; 0,$B83 &amp; " (" &amp; $E83 &amp; ")",IF(SUMPRODUCT(-- ISNUMBER(SEARCH({"Content","Currency","Number","Percent","Text","URL"}, $B83))) &gt; 0,$B83 &amp; "(" &amp; $C83 &amp; ")",$B83)))), "  ", TRIM(IF($S83 = "YES", "(External ID)", "") &amp; " " &amp; IF(SUMPRODUCT(-- ISNUMBER(SEARCH({"Unique","Unique Case Insensitive"}, $R83))) &gt; 0, "(" &amp; $R83 &amp; ")", ""))))</f>
        <v>na</v>
      </c>
      <c r="E83" s="7" t="s">
        <v>195</v>
      </c>
      <c r="F83" s="7" t="s">
        <v>195</v>
      </c>
      <c r="G83" s="7" t="s">
        <v>195</v>
      </c>
      <c r="H83" s="7" t="s">
        <v>195</v>
      </c>
      <c r="I83" s="7" t="s">
        <v>195</v>
      </c>
      <c r="J83" s="7" t="s">
        <v>195</v>
      </c>
      <c r="K83" s="7" t="s">
        <v>195</v>
      </c>
      <c r="L83" s="7" t="s">
        <v>195</v>
      </c>
      <c r="M83" s="7" t="s">
        <v>29</v>
      </c>
      <c r="N83" s="7" t="s">
        <v>29</v>
      </c>
      <c r="O83" s="7" t="s">
        <v>29</v>
      </c>
      <c r="P83" s="7" t="s">
        <v>29</v>
      </c>
      <c r="Q83" s="7" t="s">
        <v>29</v>
      </c>
      <c r="R83" s="7" t="s">
        <v>29</v>
      </c>
      <c r="S83" s="7" t="s">
        <v>29</v>
      </c>
    </row>
    <row r="84" spans="2:19">
      <c r="B84" s="7" t="s">
        <v>195</v>
      </c>
      <c r="C84" s="8" t="s">
        <v>195</v>
      </c>
      <c r="D84" s="6" t="str">
        <f>LRTRIM(CONCATENATE(IF(SUMPRODUCT(-- ISNUMBER(SEARCH({"Auto Number"}, $B84))) &gt; 0, $B84, IF(SUMPRODUCT(-- ISNUMBER(SEARCH({"Lookup","Master-Detail"}, $B84))) &gt; 0,$B84 &amp; "(" &amp; $E84 &amp; ")",IF(SUMPRODUCT(-- ISNUMBER(SEARCH({"Formula","Roll-Up Summary"}, $B84))) &gt; 0,$B84 &amp; " (" &amp; $E84 &amp; ")",IF(SUMPRODUCT(-- ISNUMBER(SEARCH({"Content","Currency","Number","Percent","Text","URL"}, $B84))) &gt; 0,$B84 &amp; "(" &amp; $C84 &amp; ")",$B84)))), "  ", TRIM(IF($S84 = "YES", "(External ID)", "") &amp; " " &amp; IF(SUMPRODUCT(-- ISNUMBER(SEARCH({"Unique","Unique Case Insensitive"}, $R84))) &gt; 0, "(" &amp; $R84 &amp; ")", ""))))</f>
        <v>na</v>
      </c>
      <c r="E84" s="7" t="s">
        <v>195</v>
      </c>
      <c r="F84" s="7" t="s">
        <v>195</v>
      </c>
      <c r="G84" s="7" t="s">
        <v>195</v>
      </c>
      <c r="H84" s="7" t="s">
        <v>195</v>
      </c>
      <c r="I84" s="7" t="s">
        <v>195</v>
      </c>
      <c r="J84" s="7" t="s">
        <v>195</v>
      </c>
      <c r="K84" s="7" t="s">
        <v>195</v>
      </c>
      <c r="L84" s="7" t="s">
        <v>195</v>
      </c>
      <c r="M84" s="7" t="s">
        <v>29</v>
      </c>
      <c r="N84" s="7" t="s">
        <v>29</v>
      </c>
      <c r="O84" s="7" t="s">
        <v>29</v>
      </c>
      <c r="P84" s="7" t="s">
        <v>29</v>
      </c>
      <c r="Q84" s="7" t="s">
        <v>29</v>
      </c>
      <c r="R84" s="7" t="s">
        <v>29</v>
      </c>
      <c r="S84" s="7" t="s">
        <v>29</v>
      </c>
    </row>
    <row r="85" spans="2:19">
      <c r="B85" s="7" t="s">
        <v>195</v>
      </c>
      <c r="C85" s="8" t="s">
        <v>195</v>
      </c>
      <c r="D85" s="6" t="str">
        <f>LRTRIM(CONCATENATE(IF(SUMPRODUCT(-- ISNUMBER(SEARCH({"Auto Number"}, $B85))) &gt; 0, $B85, IF(SUMPRODUCT(-- ISNUMBER(SEARCH({"Lookup","Master-Detail"}, $B85))) &gt; 0,$B85 &amp; "(" &amp; $E85 &amp; ")",IF(SUMPRODUCT(-- ISNUMBER(SEARCH({"Formula","Roll-Up Summary"}, $B85))) &gt; 0,$B85 &amp; " (" &amp; $E85 &amp; ")",IF(SUMPRODUCT(-- ISNUMBER(SEARCH({"Content","Currency","Number","Percent","Text","URL"}, $B85))) &gt; 0,$B85 &amp; "(" &amp; $C85 &amp; ")",$B85)))), "  ", TRIM(IF($S85 = "YES", "(External ID)", "") &amp; " " &amp; IF(SUMPRODUCT(-- ISNUMBER(SEARCH({"Unique","Unique Case Insensitive"}, $R85))) &gt; 0, "(" &amp; $R85 &amp; ")", ""))))</f>
        <v>na</v>
      </c>
      <c r="E85" s="7" t="s">
        <v>195</v>
      </c>
      <c r="F85" s="7" t="s">
        <v>195</v>
      </c>
      <c r="G85" s="7" t="s">
        <v>195</v>
      </c>
      <c r="H85" s="7" t="s">
        <v>195</v>
      </c>
      <c r="I85" s="7" t="s">
        <v>195</v>
      </c>
      <c r="J85" s="7" t="s">
        <v>195</v>
      </c>
      <c r="K85" s="7" t="s">
        <v>195</v>
      </c>
      <c r="L85" s="7" t="s">
        <v>195</v>
      </c>
      <c r="M85" s="7" t="s">
        <v>29</v>
      </c>
      <c r="N85" s="7" t="s">
        <v>29</v>
      </c>
      <c r="O85" s="7" t="s">
        <v>29</v>
      </c>
      <c r="P85" s="7" t="s">
        <v>29</v>
      </c>
      <c r="Q85" s="7" t="s">
        <v>29</v>
      </c>
      <c r="R85" s="7" t="s">
        <v>29</v>
      </c>
      <c r="S85" s="7" t="s">
        <v>29</v>
      </c>
    </row>
    <row r="86" spans="2:19">
      <c r="B86" s="7" t="s">
        <v>195</v>
      </c>
      <c r="C86" s="8" t="s">
        <v>195</v>
      </c>
      <c r="D86" s="6" t="str">
        <f>LRTRIM(CONCATENATE(IF(SUMPRODUCT(-- ISNUMBER(SEARCH({"Auto Number"}, $B86))) &gt; 0, $B86, IF(SUMPRODUCT(-- ISNUMBER(SEARCH({"Lookup","Master-Detail"}, $B86))) &gt; 0,$B86 &amp; "(" &amp; $E86 &amp; ")",IF(SUMPRODUCT(-- ISNUMBER(SEARCH({"Formula","Roll-Up Summary"}, $B86))) &gt; 0,$B86 &amp; " (" &amp; $E86 &amp; ")",IF(SUMPRODUCT(-- ISNUMBER(SEARCH({"Content","Currency","Number","Percent","Text","URL"}, $B86))) &gt; 0,$B86 &amp; "(" &amp; $C86 &amp; ")",$B86)))), "  ", TRIM(IF($S86 = "YES", "(External ID)", "") &amp; " " &amp; IF(SUMPRODUCT(-- ISNUMBER(SEARCH({"Unique","Unique Case Insensitive"}, $R86))) &gt; 0, "(" &amp; $R86 &amp; ")", ""))))</f>
        <v>na</v>
      </c>
      <c r="E86" s="7" t="s">
        <v>195</v>
      </c>
      <c r="F86" s="7" t="s">
        <v>195</v>
      </c>
      <c r="G86" s="7" t="s">
        <v>195</v>
      </c>
      <c r="H86" s="7" t="s">
        <v>195</v>
      </c>
      <c r="I86" s="7" t="s">
        <v>195</v>
      </c>
      <c r="J86" s="7" t="s">
        <v>195</v>
      </c>
      <c r="K86" s="7" t="s">
        <v>195</v>
      </c>
      <c r="L86" s="7" t="s">
        <v>195</v>
      </c>
      <c r="M86" s="7" t="s">
        <v>29</v>
      </c>
      <c r="N86" s="7" t="s">
        <v>29</v>
      </c>
      <c r="O86" s="7" t="s">
        <v>29</v>
      </c>
      <c r="P86" s="7" t="s">
        <v>29</v>
      </c>
      <c r="Q86" s="7" t="s">
        <v>29</v>
      </c>
      <c r="R86" s="7" t="s">
        <v>29</v>
      </c>
      <c r="S86" s="7" t="s">
        <v>29</v>
      </c>
    </row>
    <row r="87" spans="2:19">
      <c r="B87" s="7" t="s">
        <v>195</v>
      </c>
      <c r="C87" s="8" t="s">
        <v>195</v>
      </c>
      <c r="D87" s="6" t="str">
        <f>LRTRIM(CONCATENATE(IF(SUMPRODUCT(-- ISNUMBER(SEARCH({"Auto Number"}, $B87))) &gt; 0, $B87, IF(SUMPRODUCT(-- ISNUMBER(SEARCH({"Lookup","Master-Detail"}, $B87))) &gt; 0,$B87 &amp; "(" &amp; $E87 &amp; ")",IF(SUMPRODUCT(-- ISNUMBER(SEARCH({"Formula","Roll-Up Summary"}, $B87))) &gt; 0,$B87 &amp; " (" &amp; $E87 &amp; ")",IF(SUMPRODUCT(-- ISNUMBER(SEARCH({"Content","Currency","Number","Percent","Text","URL"}, $B87))) &gt; 0,$B87 &amp; "(" &amp; $C87 &amp; ")",$B87)))), "  ", TRIM(IF($S87 = "YES", "(External ID)", "") &amp; " " &amp; IF(SUMPRODUCT(-- ISNUMBER(SEARCH({"Unique","Unique Case Insensitive"}, $R87))) &gt; 0, "(" &amp; $R87 &amp; ")", ""))))</f>
        <v>na</v>
      </c>
      <c r="E87" s="7" t="s">
        <v>195</v>
      </c>
      <c r="F87" s="7" t="s">
        <v>195</v>
      </c>
      <c r="G87" s="7" t="s">
        <v>195</v>
      </c>
      <c r="H87" s="7" t="s">
        <v>195</v>
      </c>
      <c r="I87" s="7" t="s">
        <v>195</v>
      </c>
      <c r="J87" s="7" t="s">
        <v>195</v>
      </c>
      <c r="K87" s="7" t="s">
        <v>195</v>
      </c>
      <c r="L87" s="7" t="s">
        <v>195</v>
      </c>
      <c r="M87" s="7" t="s">
        <v>29</v>
      </c>
      <c r="N87" s="7" t="s">
        <v>29</v>
      </c>
      <c r="O87" s="7" t="s">
        <v>29</v>
      </c>
      <c r="P87" s="7" t="s">
        <v>29</v>
      </c>
      <c r="Q87" s="7" t="s">
        <v>29</v>
      </c>
      <c r="R87" s="7" t="s">
        <v>29</v>
      </c>
      <c r="S87" s="7" t="s">
        <v>29</v>
      </c>
    </row>
    <row r="88" spans="2:19">
      <c r="B88" s="7" t="s">
        <v>195</v>
      </c>
      <c r="C88" s="8" t="s">
        <v>195</v>
      </c>
      <c r="D88" s="6" t="str">
        <f>LRTRIM(CONCATENATE(IF(SUMPRODUCT(-- ISNUMBER(SEARCH({"Auto Number"}, $B88))) &gt; 0, $B88, IF(SUMPRODUCT(-- ISNUMBER(SEARCH({"Lookup","Master-Detail"}, $B88))) &gt; 0,$B88 &amp; "(" &amp; $E88 &amp; ")",IF(SUMPRODUCT(-- ISNUMBER(SEARCH({"Formula","Roll-Up Summary"}, $B88))) &gt; 0,$B88 &amp; " (" &amp; $E88 &amp; ")",IF(SUMPRODUCT(-- ISNUMBER(SEARCH({"Content","Currency","Number","Percent","Text","URL"}, $B88))) &gt; 0,$B88 &amp; "(" &amp; $C88 &amp; ")",$B88)))), "  ", TRIM(IF($S88 = "YES", "(External ID)", "") &amp; " " &amp; IF(SUMPRODUCT(-- ISNUMBER(SEARCH({"Unique","Unique Case Insensitive"}, $R88))) &gt; 0, "(" &amp; $R88 &amp; ")", ""))))</f>
        <v>na</v>
      </c>
      <c r="E88" s="7" t="s">
        <v>195</v>
      </c>
      <c r="F88" s="7" t="s">
        <v>195</v>
      </c>
      <c r="G88" s="7" t="s">
        <v>195</v>
      </c>
      <c r="H88" s="7" t="s">
        <v>195</v>
      </c>
      <c r="I88" s="7" t="s">
        <v>195</v>
      </c>
      <c r="J88" s="7" t="s">
        <v>195</v>
      </c>
      <c r="K88" s="7" t="s">
        <v>195</v>
      </c>
      <c r="L88" s="7" t="s">
        <v>195</v>
      </c>
      <c r="M88" s="7" t="s">
        <v>29</v>
      </c>
      <c r="N88" s="7" t="s">
        <v>29</v>
      </c>
      <c r="O88" s="7" t="s">
        <v>29</v>
      </c>
      <c r="P88" s="7" t="s">
        <v>29</v>
      </c>
      <c r="Q88" s="7" t="s">
        <v>29</v>
      </c>
      <c r="R88" s="7" t="s">
        <v>29</v>
      </c>
      <c r="S88" s="7" t="s">
        <v>29</v>
      </c>
    </row>
    <row r="89" spans="2:19">
      <c r="B89" s="7" t="s">
        <v>195</v>
      </c>
      <c r="C89" s="8" t="s">
        <v>195</v>
      </c>
      <c r="D89" s="6" t="str">
        <f>LRTRIM(CONCATENATE(IF(SUMPRODUCT(-- ISNUMBER(SEARCH({"Auto Number"}, $B89))) &gt; 0, $B89, IF(SUMPRODUCT(-- ISNUMBER(SEARCH({"Lookup","Master-Detail"}, $B89))) &gt; 0,$B89 &amp; "(" &amp; $E89 &amp; ")",IF(SUMPRODUCT(-- ISNUMBER(SEARCH({"Formula","Roll-Up Summary"}, $B89))) &gt; 0,$B89 &amp; " (" &amp; $E89 &amp; ")",IF(SUMPRODUCT(-- ISNUMBER(SEARCH({"Content","Currency","Number","Percent","Text","URL"}, $B89))) &gt; 0,$B89 &amp; "(" &amp; $C89 &amp; ")",$B89)))), "  ", TRIM(IF($S89 = "YES", "(External ID)", "") &amp; " " &amp; IF(SUMPRODUCT(-- ISNUMBER(SEARCH({"Unique","Unique Case Insensitive"}, $R89))) &gt; 0, "(" &amp; $R89 &amp; ")", ""))))</f>
        <v>na</v>
      </c>
      <c r="E89" s="7" t="s">
        <v>195</v>
      </c>
      <c r="F89" s="7" t="s">
        <v>195</v>
      </c>
      <c r="G89" s="7" t="s">
        <v>195</v>
      </c>
      <c r="H89" s="7" t="s">
        <v>195</v>
      </c>
      <c r="I89" s="7" t="s">
        <v>195</v>
      </c>
      <c r="J89" s="7" t="s">
        <v>195</v>
      </c>
      <c r="K89" s="7" t="s">
        <v>195</v>
      </c>
      <c r="L89" s="7" t="s">
        <v>195</v>
      </c>
      <c r="M89" s="7" t="s">
        <v>29</v>
      </c>
      <c r="N89" s="7" t="s">
        <v>29</v>
      </c>
      <c r="O89" s="7" t="s">
        <v>29</v>
      </c>
      <c r="P89" s="7" t="s">
        <v>29</v>
      </c>
      <c r="Q89" s="7" t="s">
        <v>29</v>
      </c>
      <c r="R89" s="7" t="s">
        <v>29</v>
      </c>
      <c r="S89" s="7" t="s">
        <v>29</v>
      </c>
    </row>
    <row r="90" spans="2:19">
      <c r="B90" s="7" t="s">
        <v>195</v>
      </c>
      <c r="C90" s="8" t="s">
        <v>195</v>
      </c>
      <c r="D90" s="6" t="str">
        <f>LRTRIM(CONCATENATE(IF(SUMPRODUCT(-- ISNUMBER(SEARCH({"Auto Number"}, $B90))) &gt; 0, $B90, IF(SUMPRODUCT(-- ISNUMBER(SEARCH({"Lookup","Master-Detail"}, $B90))) &gt; 0,$B90 &amp; "(" &amp; $E90 &amp; ")",IF(SUMPRODUCT(-- ISNUMBER(SEARCH({"Formula","Roll-Up Summary"}, $B90))) &gt; 0,$B90 &amp; " (" &amp; $E90 &amp; ")",IF(SUMPRODUCT(-- ISNUMBER(SEARCH({"Content","Currency","Number","Percent","Text","URL"}, $B90))) &gt; 0,$B90 &amp; "(" &amp; $C90 &amp; ")",$B90)))), "  ", TRIM(IF($S90 = "YES", "(External ID)", "") &amp; " " &amp; IF(SUMPRODUCT(-- ISNUMBER(SEARCH({"Unique","Unique Case Insensitive"}, $R90))) &gt; 0, "(" &amp; $R90 &amp; ")", ""))))</f>
        <v>na</v>
      </c>
      <c r="E90" s="7" t="s">
        <v>195</v>
      </c>
      <c r="F90" s="7" t="s">
        <v>195</v>
      </c>
      <c r="G90" s="7" t="s">
        <v>195</v>
      </c>
      <c r="H90" s="7" t="s">
        <v>195</v>
      </c>
      <c r="I90" s="7" t="s">
        <v>195</v>
      </c>
      <c r="J90" s="7" t="s">
        <v>195</v>
      </c>
      <c r="K90" s="7" t="s">
        <v>195</v>
      </c>
      <c r="L90" s="7" t="s">
        <v>195</v>
      </c>
      <c r="M90" s="7" t="s">
        <v>29</v>
      </c>
      <c r="N90" s="7" t="s">
        <v>29</v>
      </c>
      <c r="O90" s="7" t="s">
        <v>29</v>
      </c>
      <c r="P90" s="7" t="s">
        <v>29</v>
      </c>
      <c r="Q90" s="7" t="s">
        <v>29</v>
      </c>
      <c r="R90" s="7" t="s">
        <v>29</v>
      </c>
      <c r="S90" s="7" t="s">
        <v>29</v>
      </c>
    </row>
    <row r="91" spans="2:19">
      <c r="B91" s="7" t="s">
        <v>195</v>
      </c>
      <c r="C91" s="8" t="s">
        <v>195</v>
      </c>
      <c r="D91" s="6" t="str">
        <f>LRTRIM(CONCATENATE(IF(SUMPRODUCT(-- ISNUMBER(SEARCH({"Auto Number"}, $B91))) &gt; 0, $B91, IF(SUMPRODUCT(-- ISNUMBER(SEARCH({"Lookup","Master-Detail"}, $B91))) &gt; 0,$B91 &amp; "(" &amp; $E91 &amp; ")",IF(SUMPRODUCT(-- ISNUMBER(SEARCH({"Formula","Roll-Up Summary"}, $B91))) &gt; 0,$B91 &amp; " (" &amp; $E91 &amp; ")",IF(SUMPRODUCT(-- ISNUMBER(SEARCH({"Content","Currency","Number","Percent","Text","URL"}, $B91))) &gt; 0,$B91 &amp; "(" &amp; $C91 &amp; ")",$B91)))), "  ", TRIM(IF($S91 = "YES", "(External ID)", "") &amp; " " &amp; IF(SUMPRODUCT(-- ISNUMBER(SEARCH({"Unique","Unique Case Insensitive"}, $R91))) &gt; 0, "(" &amp; $R91 &amp; ")", ""))))</f>
        <v>na</v>
      </c>
      <c r="E91" s="7" t="s">
        <v>195</v>
      </c>
      <c r="F91" s="7" t="s">
        <v>195</v>
      </c>
      <c r="G91" s="7" t="s">
        <v>195</v>
      </c>
      <c r="H91" s="7" t="s">
        <v>195</v>
      </c>
      <c r="I91" s="7" t="s">
        <v>195</v>
      </c>
      <c r="J91" s="7" t="s">
        <v>195</v>
      </c>
      <c r="K91" s="7" t="s">
        <v>195</v>
      </c>
      <c r="L91" s="7" t="s">
        <v>195</v>
      </c>
      <c r="M91" s="7" t="s">
        <v>29</v>
      </c>
      <c r="N91" s="7" t="s">
        <v>29</v>
      </c>
      <c r="O91" s="7" t="s">
        <v>29</v>
      </c>
      <c r="P91" s="7" t="s">
        <v>29</v>
      </c>
      <c r="Q91" s="7" t="s">
        <v>29</v>
      </c>
      <c r="R91" s="7" t="s">
        <v>29</v>
      </c>
      <c r="S91" s="7" t="s">
        <v>29</v>
      </c>
    </row>
    <row r="92" spans="2:19">
      <c r="B92" s="7" t="s">
        <v>195</v>
      </c>
      <c r="C92" s="8" t="s">
        <v>195</v>
      </c>
      <c r="D92" s="6" t="str">
        <f>LRTRIM(CONCATENATE(IF(SUMPRODUCT(-- ISNUMBER(SEARCH({"Auto Number"}, $B92))) &gt; 0, $B92, IF(SUMPRODUCT(-- ISNUMBER(SEARCH({"Lookup","Master-Detail"}, $B92))) &gt; 0,$B92 &amp; "(" &amp; $E92 &amp; ")",IF(SUMPRODUCT(-- ISNUMBER(SEARCH({"Formula","Roll-Up Summary"}, $B92))) &gt; 0,$B92 &amp; " (" &amp; $E92 &amp; ")",IF(SUMPRODUCT(-- ISNUMBER(SEARCH({"Content","Currency","Number","Percent","Text","URL"}, $B92))) &gt; 0,$B92 &amp; "(" &amp; $C92 &amp; ")",$B92)))), "  ", TRIM(IF($S92 = "YES", "(External ID)", "") &amp; " " &amp; IF(SUMPRODUCT(-- ISNUMBER(SEARCH({"Unique","Unique Case Insensitive"}, $R92))) &gt; 0, "(" &amp; $R92 &amp; ")", ""))))</f>
        <v>na</v>
      </c>
      <c r="E92" s="7" t="s">
        <v>195</v>
      </c>
      <c r="F92" s="7" t="s">
        <v>195</v>
      </c>
      <c r="G92" s="7" t="s">
        <v>195</v>
      </c>
      <c r="H92" s="7" t="s">
        <v>195</v>
      </c>
      <c r="I92" s="7" t="s">
        <v>195</v>
      </c>
      <c r="J92" s="7" t="s">
        <v>195</v>
      </c>
      <c r="K92" s="7" t="s">
        <v>195</v>
      </c>
      <c r="L92" s="7" t="s">
        <v>195</v>
      </c>
      <c r="M92" s="7" t="s">
        <v>29</v>
      </c>
      <c r="N92" s="7" t="s">
        <v>29</v>
      </c>
      <c r="O92" s="7" t="s">
        <v>29</v>
      </c>
      <c r="P92" s="7" t="s">
        <v>29</v>
      </c>
      <c r="Q92" s="7" t="s">
        <v>29</v>
      </c>
      <c r="R92" s="7" t="s">
        <v>29</v>
      </c>
      <c r="S92" s="7" t="s">
        <v>29</v>
      </c>
    </row>
    <row r="93" spans="2:19">
      <c r="B93" s="7" t="s">
        <v>195</v>
      </c>
      <c r="C93" s="8" t="s">
        <v>195</v>
      </c>
      <c r="D93" s="6" t="str">
        <f>LRTRIM(CONCATENATE(IF(SUMPRODUCT(-- ISNUMBER(SEARCH({"Auto Number"}, $B93))) &gt; 0, $B93, IF(SUMPRODUCT(-- ISNUMBER(SEARCH({"Lookup","Master-Detail"}, $B93))) &gt; 0,$B93 &amp; "(" &amp; $E93 &amp; ")",IF(SUMPRODUCT(-- ISNUMBER(SEARCH({"Formula","Roll-Up Summary"}, $B93))) &gt; 0,$B93 &amp; " (" &amp; $E93 &amp; ")",IF(SUMPRODUCT(-- ISNUMBER(SEARCH({"Content","Currency","Number","Percent","Text","URL"}, $B93))) &gt; 0,$B93 &amp; "(" &amp; $C93 &amp; ")",$B93)))), "  ", TRIM(IF($S93 = "YES", "(External ID)", "") &amp; " " &amp; IF(SUMPRODUCT(-- ISNUMBER(SEARCH({"Unique","Unique Case Insensitive"}, $R93))) &gt; 0, "(" &amp; $R93 &amp; ")", ""))))</f>
        <v>na</v>
      </c>
      <c r="E93" s="7" t="s">
        <v>195</v>
      </c>
      <c r="F93" s="7" t="s">
        <v>195</v>
      </c>
      <c r="G93" s="7" t="s">
        <v>195</v>
      </c>
      <c r="H93" s="7" t="s">
        <v>195</v>
      </c>
      <c r="I93" s="7" t="s">
        <v>195</v>
      </c>
      <c r="J93" s="7" t="s">
        <v>195</v>
      </c>
      <c r="K93" s="7" t="s">
        <v>195</v>
      </c>
      <c r="L93" s="7" t="s">
        <v>195</v>
      </c>
      <c r="M93" s="7" t="s">
        <v>29</v>
      </c>
      <c r="N93" s="7" t="s">
        <v>29</v>
      </c>
      <c r="O93" s="7" t="s">
        <v>29</v>
      </c>
      <c r="P93" s="7" t="s">
        <v>29</v>
      </c>
      <c r="Q93" s="7" t="s">
        <v>29</v>
      </c>
      <c r="R93" s="7" t="s">
        <v>29</v>
      </c>
      <c r="S93" s="7" t="s">
        <v>29</v>
      </c>
    </row>
    <row r="94" spans="2:19">
      <c r="B94" s="7" t="s">
        <v>195</v>
      </c>
      <c r="C94" s="8" t="s">
        <v>195</v>
      </c>
      <c r="D94" s="6" t="str">
        <f>LRTRIM(CONCATENATE(IF(SUMPRODUCT(-- ISNUMBER(SEARCH({"Auto Number"}, $B94))) &gt; 0, $B94, IF(SUMPRODUCT(-- ISNUMBER(SEARCH({"Lookup","Master-Detail"}, $B94))) &gt; 0,$B94 &amp; "(" &amp; $E94 &amp; ")",IF(SUMPRODUCT(-- ISNUMBER(SEARCH({"Formula","Roll-Up Summary"}, $B94))) &gt; 0,$B94 &amp; " (" &amp; $E94 &amp; ")",IF(SUMPRODUCT(-- ISNUMBER(SEARCH({"Content","Currency","Number","Percent","Text","URL"}, $B94))) &gt; 0,$B94 &amp; "(" &amp; $C94 &amp; ")",$B94)))), "  ", TRIM(IF($S94 = "YES", "(External ID)", "") &amp; " " &amp; IF(SUMPRODUCT(-- ISNUMBER(SEARCH({"Unique","Unique Case Insensitive"}, $R94))) &gt; 0, "(" &amp; $R94 &amp; ")", ""))))</f>
        <v>na</v>
      </c>
      <c r="E94" s="7" t="s">
        <v>195</v>
      </c>
      <c r="F94" s="7" t="s">
        <v>195</v>
      </c>
      <c r="G94" s="7" t="s">
        <v>195</v>
      </c>
      <c r="H94" s="7" t="s">
        <v>195</v>
      </c>
      <c r="I94" s="7" t="s">
        <v>195</v>
      </c>
      <c r="J94" s="7" t="s">
        <v>195</v>
      </c>
      <c r="K94" s="7" t="s">
        <v>195</v>
      </c>
      <c r="L94" s="7" t="s">
        <v>195</v>
      </c>
      <c r="M94" s="7" t="s">
        <v>29</v>
      </c>
      <c r="N94" s="7" t="s">
        <v>29</v>
      </c>
      <c r="O94" s="7" t="s">
        <v>29</v>
      </c>
      <c r="P94" s="7" t="s">
        <v>29</v>
      </c>
      <c r="Q94" s="7" t="s">
        <v>29</v>
      </c>
      <c r="R94" s="7" t="s">
        <v>29</v>
      </c>
      <c r="S94" s="7" t="s">
        <v>29</v>
      </c>
    </row>
    <row r="95" spans="2:19">
      <c r="B95" s="7" t="s">
        <v>195</v>
      </c>
      <c r="C95" s="8" t="s">
        <v>195</v>
      </c>
      <c r="D95" s="6" t="str">
        <f>LRTRIM(CONCATENATE(IF(SUMPRODUCT(-- ISNUMBER(SEARCH({"Auto Number"}, $B95))) &gt; 0, $B95, IF(SUMPRODUCT(-- ISNUMBER(SEARCH({"Lookup","Master-Detail"}, $B95))) &gt; 0,$B95 &amp; "(" &amp; $E95 &amp; ")",IF(SUMPRODUCT(-- ISNUMBER(SEARCH({"Formula","Roll-Up Summary"}, $B95))) &gt; 0,$B95 &amp; " (" &amp; $E95 &amp; ")",IF(SUMPRODUCT(-- ISNUMBER(SEARCH({"Content","Currency","Number","Percent","Text","URL"}, $B95))) &gt; 0,$B95 &amp; "(" &amp; $C95 &amp; ")",$B95)))), "  ", TRIM(IF($S95 = "YES", "(External ID)", "") &amp; " " &amp; IF(SUMPRODUCT(-- ISNUMBER(SEARCH({"Unique","Unique Case Insensitive"}, $R95))) &gt; 0, "(" &amp; $R95 &amp; ")", ""))))</f>
        <v>na</v>
      </c>
      <c r="E95" s="7" t="s">
        <v>195</v>
      </c>
      <c r="F95" s="7" t="s">
        <v>195</v>
      </c>
      <c r="G95" s="7" t="s">
        <v>195</v>
      </c>
      <c r="H95" s="7" t="s">
        <v>195</v>
      </c>
      <c r="I95" s="7" t="s">
        <v>195</v>
      </c>
      <c r="J95" s="7" t="s">
        <v>195</v>
      </c>
      <c r="K95" s="7" t="s">
        <v>195</v>
      </c>
      <c r="L95" s="7" t="s">
        <v>195</v>
      </c>
      <c r="M95" s="7" t="s">
        <v>29</v>
      </c>
      <c r="N95" s="7" t="s">
        <v>29</v>
      </c>
      <c r="O95" s="7" t="s">
        <v>29</v>
      </c>
      <c r="P95" s="7" t="s">
        <v>29</v>
      </c>
      <c r="Q95" s="7" t="s">
        <v>29</v>
      </c>
      <c r="R95" s="7" t="s">
        <v>29</v>
      </c>
      <c r="S95" s="7" t="s">
        <v>29</v>
      </c>
    </row>
    <row r="96" spans="2:19">
      <c r="B96" s="7" t="s">
        <v>195</v>
      </c>
      <c r="C96" s="8" t="s">
        <v>195</v>
      </c>
      <c r="D96" s="6" t="str">
        <f>LRTRIM(CONCATENATE(IF(SUMPRODUCT(-- ISNUMBER(SEARCH({"Auto Number"}, $B96))) &gt; 0, $B96, IF(SUMPRODUCT(-- ISNUMBER(SEARCH({"Lookup","Master-Detail"}, $B96))) &gt; 0,$B96 &amp; "(" &amp; $E96 &amp; ")",IF(SUMPRODUCT(-- ISNUMBER(SEARCH({"Formula","Roll-Up Summary"}, $B96))) &gt; 0,$B96 &amp; " (" &amp; $E96 &amp; ")",IF(SUMPRODUCT(-- ISNUMBER(SEARCH({"Content","Currency","Number","Percent","Text","URL"}, $B96))) &gt; 0,$B96 &amp; "(" &amp; $C96 &amp; ")",$B96)))), "  ", TRIM(IF($S96 = "YES", "(External ID)", "") &amp; " " &amp; IF(SUMPRODUCT(-- ISNUMBER(SEARCH({"Unique","Unique Case Insensitive"}, $R96))) &gt; 0, "(" &amp; $R96 &amp; ")", ""))))</f>
        <v>na</v>
      </c>
      <c r="E96" s="7" t="s">
        <v>195</v>
      </c>
      <c r="F96" s="7" t="s">
        <v>195</v>
      </c>
      <c r="G96" s="7" t="s">
        <v>195</v>
      </c>
      <c r="H96" s="7" t="s">
        <v>195</v>
      </c>
      <c r="I96" s="7" t="s">
        <v>195</v>
      </c>
      <c r="J96" s="7" t="s">
        <v>195</v>
      </c>
      <c r="K96" s="7" t="s">
        <v>195</v>
      </c>
      <c r="L96" s="7" t="s">
        <v>195</v>
      </c>
      <c r="M96" s="7" t="s">
        <v>29</v>
      </c>
      <c r="N96" s="7" t="s">
        <v>29</v>
      </c>
      <c r="O96" s="7" t="s">
        <v>29</v>
      </c>
      <c r="P96" s="7" t="s">
        <v>29</v>
      </c>
      <c r="Q96" s="7" t="s">
        <v>29</v>
      </c>
      <c r="R96" s="7" t="s">
        <v>29</v>
      </c>
      <c r="S96" s="7" t="s">
        <v>29</v>
      </c>
    </row>
    <row r="97" spans="2:19">
      <c r="B97" s="7" t="s">
        <v>195</v>
      </c>
      <c r="C97" s="8" t="s">
        <v>195</v>
      </c>
      <c r="D97" s="6" t="str">
        <f>LRTRIM(CONCATENATE(IF(SUMPRODUCT(-- ISNUMBER(SEARCH({"Auto Number"}, $B97))) &gt; 0, $B97, IF(SUMPRODUCT(-- ISNUMBER(SEARCH({"Lookup","Master-Detail"}, $B97))) &gt; 0,$B97 &amp; "(" &amp; $E97 &amp; ")",IF(SUMPRODUCT(-- ISNUMBER(SEARCH({"Formula","Roll-Up Summary"}, $B97))) &gt; 0,$B97 &amp; " (" &amp; $E97 &amp; ")",IF(SUMPRODUCT(-- ISNUMBER(SEARCH({"Content","Currency","Number","Percent","Text","URL"}, $B97))) &gt; 0,$B97 &amp; "(" &amp; $C97 &amp; ")",$B97)))), "  ", TRIM(IF($S97 = "YES", "(External ID)", "") &amp; " " &amp; IF(SUMPRODUCT(-- ISNUMBER(SEARCH({"Unique","Unique Case Insensitive"}, $R97))) &gt; 0, "(" &amp; $R97 &amp; ")", ""))))</f>
        <v>na</v>
      </c>
      <c r="E97" s="7" t="s">
        <v>195</v>
      </c>
      <c r="F97" s="7" t="s">
        <v>195</v>
      </c>
      <c r="G97" s="7" t="s">
        <v>195</v>
      </c>
      <c r="H97" s="7" t="s">
        <v>195</v>
      </c>
      <c r="I97" s="7" t="s">
        <v>195</v>
      </c>
      <c r="J97" s="7" t="s">
        <v>195</v>
      </c>
      <c r="K97" s="7" t="s">
        <v>195</v>
      </c>
      <c r="L97" s="7" t="s">
        <v>195</v>
      </c>
      <c r="M97" s="7" t="s">
        <v>29</v>
      </c>
      <c r="N97" s="7" t="s">
        <v>29</v>
      </c>
      <c r="O97" s="7" t="s">
        <v>29</v>
      </c>
      <c r="P97" s="7" t="s">
        <v>29</v>
      </c>
      <c r="Q97" s="7" t="s">
        <v>29</v>
      </c>
      <c r="R97" s="7" t="s">
        <v>29</v>
      </c>
      <c r="S97" s="7" t="s">
        <v>29</v>
      </c>
    </row>
    <row r="98" spans="2:19">
      <c r="B98" s="7" t="s">
        <v>195</v>
      </c>
      <c r="C98" s="8" t="s">
        <v>195</v>
      </c>
      <c r="D98" s="6" t="str">
        <f>LRTRIM(CONCATENATE(IF(SUMPRODUCT(-- ISNUMBER(SEARCH({"Auto Number"}, $B98))) &gt; 0, $B98, IF(SUMPRODUCT(-- ISNUMBER(SEARCH({"Lookup","Master-Detail"}, $B98))) &gt; 0,$B98 &amp; "(" &amp; $E98 &amp; ")",IF(SUMPRODUCT(-- ISNUMBER(SEARCH({"Formula","Roll-Up Summary"}, $B98))) &gt; 0,$B98 &amp; " (" &amp; $E98 &amp; ")",IF(SUMPRODUCT(-- ISNUMBER(SEARCH({"Content","Currency","Number","Percent","Text","URL"}, $B98))) &gt; 0,$B98 &amp; "(" &amp; $C98 &amp; ")",$B98)))), "  ", TRIM(IF($S98 = "YES", "(External ID)", "") &amp; " " &amp; IF(SUMPRODUCT(-- ISNUMBER(SEARCH({"Unique","Unique Case Insensitive"}, $R98))) &gt; 0, "(" &amp; $R98 &amp; ")", ""))))</f>
        <v>na</v>
      </c>
      <c r="E98" s="7" t="s">
        <v>195</v>
      </c>
      <c r="F98" s="7" t="s">
        <v>195</v>
      </c>
      <c r="G98" s="7" t="s">
        <v>195</v>
      </c>
      <c r="H98" s="7" t="s">
        <v>195</v>
      </c>
      <c r="I98" s="7" t="s">
        <v>195</v>
      </c>
      <c r="J98" s="7" t="s">
        <v>195</v>
      </c>
      <c r="K98" s="7" t="s">
        <v>195</v>
      </c>
      <c r="L98" s="7" t="s">
        <v>195</v>
      </c>
      <c r="M98" s="7" t="s">
        <v>29</v>
      </c>
      <c r="N98" s="7" t="s">
        <v>29</v>
      </c>
      <c r="O98" s="7" t="s">
        <v>29</v>
      </c>
      <c r="P98" s="7" t="s">
        <v>29</v>
      </c>
      <c r="Q98" s="7" t="s">
        <v>29</v>
      </c>
      <c r="R98" s="7" t="s">
        <v>29</v>
      </c>
      <c r="S98" s="7" t="s">
        <v>29</v>
      </c>
    </row>
    <row r="99" spans="2:19">
      <c r="B99" s="7" t="s">
        <v>195</v>
      </c>
      <c r="C99" s="8" t="s">
        <v>195</v>
      </c>
      <c r="D99" s="6" t="str">
        <f>LRTRIM(CONCATENATE(IF(SUMPRODUCT(-- ISNUMBER(SEARCH({"Auto Number"}, $B99))) &gt; 0, $B99, IF(SUMPRODUCT(-- ISNUMBER(SEARCH({"Lookup","Master-Detail"}, $B99))) &gt; 0,$B99 &amp; "(" &amp; $E99 &amp; ")",IF(SUMPRODUCT(-- ISNUMBER(SEARCH({"Formula","Roll-Up Summary"}, $B99))) &gt; 0,$B99 &amp; " (" &amp; $E99 &amp; ")",IF(SUMPRODUCT(-- ISNUMBER(SEARCH({"Content","Currency","Number","Percent","Text","URL"}, $B99))) &gt; 0,$B99 &amp; "(" &amp; $C99 &amp; ")",$B99)))), "  ", TRIM(IF($S99 = "YES", "(External ID)", "") &amp; " " &amp; IF(SUMPRODUCT(-- ISNUMBER(SEARCH({"Unique","Unique Case Insensitive"}, $R99))) &gt; 0, "(" &amp; $R99 &amp; ")", ""))))</f>
        <v>na</v>
      </c>
      <c r="E99" s="7" t="s">
        <v>195</v>
      </c>
      <c r="F99" s="7" t="s">
        <v>195</v>
      </c>
      <c r="G99" s="7" t="s">
        <v>195</v>
      </c>
      <c r="H99" s="7" t="s">
        <v>195</v>
      </c>
      <c r="I99" s="7" t="s">
        <v>195</v>
      </c>
      <c r="J99" s="7" t="s">
        <v>195</v>
      </c>
      <c r="K99" s="7" t="s">
        <v>195</v>
      </c>
      <c r="L99" s="7" t="s">
        <v>195</v>
      </c>
      <c r="M99" s="7" t="s">
        <v>29</v>
      </c>
      <c r="N99" s="7" t="s">
        <v>29</v>
      </c>
      <c r="O99" s="7" t="s">
        <v>29</v>
      </c>
      <c r="P99" s="7" t="s">
        <v>29</v>
      </c>
      <c r="Q99" s="7" t="s">
        <v>29</v>
      </c>
      <c r="R99" s="7" t="s">
        <v>29</v>
      </c>
      <c r="S99" s="7" t="s">
        <v>29</v>
      </c>
    </row>
    <row r="100" spans="2:19">
      <c r="B100" s="7" t="s">
        <v>195</v>
      </c>
      <c r="C100" s="8" t="s">
        <v>195</v>
      </c>
      <c r="D100" s="6" t="str">
        <f>LRTRIM(CONCATENATE(IF(SUMPRODUCT(-- ISNUMBER(SEARCH({"Auto Number"}, $B100))) &gt; 0, $B100, IF(SUMPRODUCT(-- ISNUMBER(SEARCH({"Lookup","Master-Detail"}, $B100))) &gt; 0,$B100 &amp; "(" &amp; $E100 &amp; ")",IF(SUMPRODUCT(-- ISNUMBER(SEARCH({"Formula","Roll-Up Summary"}, $B100))) &gt; 0,$B100 &amp; " (" &amp; $E100 &amp; ")",IF(SUMPRODUCT(-- ISNUMBER(SEARCH({"Content","Currency","Number","Percent","Text","URL"}, $B100))) &gt; 0,$B100 &amp; "(" &amp; $C100 &amp; ")",$B100)))), "  ", TRIM(IF($S100 = "YES", "(External ID)", "") &amp; " " &amp; IF(SUMPRODUCT(-- ISNUMBER(SEARCH({"Unique","Unique Case Insensitive"}, $R100))) &gt; 0, "(" &amp; $R100 &amp; ")", ""))))</f>
        <v>na</v>
      </c>
      <c r="E100" s="7" t="s">
        <v>195</v>
      </c>
      <c r="F100" s="7" t="s">
        <v>195</v>
      </c>
      <c r="G100" s="7" t="s">
        <v>195</v>
      </c>
      <c r="H100" s="7" t="s">
        <v>195</v>
      </c>
      <c r="I100" s="7" t="s">
        <v>195</v>
      </c>
      <c r="J100" s="7" t="s">
        <v>195</v>
      </c>
      <c r="K100" s="7" t="s">
        <v>195</v>
      </c>
      <c r="L100" s="7" t="s">
        <v>195</v>
      </c>
      <c r="M100" s="7" t="s">
        <v>29</v>
      </c>
      <c r="N100" s="7" t="s">
        <v>29</v>
      </c>
      <c r="O100" s="7" t="s">
        <v>29</v>
      </c>
      <c r="P100" s="7" t="s">
        <v>29</v>
      </c>
      <c r="Q100" s="7" t="s">
        <v>29</v>
      </c>
      <c r="R100" s="7" t="s">
        <v>29</v>
      </c>
      <c r="S100" s="7" t="s">
        <v>29</v>
      </c>
    </row>
    <row r="101" spans="2:19">
      <c r="B101" s="7" t="s">
        <v>195</v>
      </c>
      <c r="C101" s="8" t="s">
        <v>195</v>
      </c>
      <c r="D101" s="6" t="str">
        <f>LRTRIM(CONCATENATE(IF(SUMPRODUCT(-- ISNUMBER(SEARCH({"Auto Number"}, $B101))) &gt; 0, $B101, IF(SUMPRODUCT(-- ISNUMBER(SEARCH({"Lookup","Master-Detail"}, $B101))) &gt; 0,$B101 &amp; "(" &amp; $E101 &amp; ")",IF(SUMPRODUCT(-- ISNUMBER(SEARCH({"Formula","Roll-Up Summary"}, $B101))) &gt; 0,$B101 &amp; " (" &amp; $E101 &amp; ")",IF(SUMPRODUCT(-- ISNUMBER(SEARCH({"Content","Currency","Number","Percent","Text","URL"}, $B101))) &gt; 0,$B101 &amp; "(" &amp; $C101 &amp; ")",$B101)))), "  ", TRIM(IF($S101 = "YES", "(External ID)", "") &amp; " " &amp; IF(SUMPRODUCT(-- ISNUMBER(SEARCH({"Unique","Unique Case Insensitive"}, $R101))) &gt; 0, "(" &amp; $R101 &amp; ")", ""))))</f>
        <v>na</v>
      </c>
      <c r="E101" s="7" t="s">
        <v>195</v>
      </c>
      <c r="F101" s="7" t="s">
        <v>195</v>
      </c>
      <c r="G101" s="7" t="s">
        <v>195</v>
      </c>
      <c r="H101" s="7" t="s">
        <v>195</v>
      </c>
      <c r="I101" s="7" t="s">
        <v>195</v>
      </c>
      <c r="J101" s="7" t="s">
        <v>195</v>
      </c>
      <c r="K101" s="7" t="s">
        <v>195</v>
      </c>
      <c r="L101" s="7" t="s">
        <v>195</v>
      </c>
      <c r="M101" s="7" t="s">
        <v>29</v>
      </c>
      <c r="N101" s="7" t="s">
        <v>29</v>
      </c>
      <c r="O101" s="7" t="s">
        <v>29</v>
      </c>
      <c r="P101" s="7" t="s">
        <v>29</v>
      </c>
      <c r="Q101" s="7" t="s">
        <v>29</v>
      </c>
      <c r="R101" s="7" t="s">
        <v>29</v>
      </c>
      <c r="S101" s="7" t="s">
        <v>29</v>
      </c>
    </row>
    <row r="102" spans="2:19">
      <c r="B102" s="7" t="s">
        <v>195</v>
      </c>
      <c r="C102" s="8" t="s">
        <v>195</v>
      </c>
      <c r="D102" s="6" t="str">
        <f>LRTRIM(CONCATENATE(IF(SUMPRODUCT(-- ISNUMBER(SEARCH({"Auto Number"}, $B102))) &gt; 0, $B102, IF(SUMPRODUCT(-- ISNUMBER(SEARCH({"Lookup","Master-Detail"}, $B102))) &gt; 0,$B102 &amp; "(" &amp; $E102 &amp; ")",IF(SUMPRODUCT(-- ISNUMBER(SEARCH({"Formula","Roll-Up Summary"}, $B102))) &gt; 0,$B102 &amp; " (" &amp; $E102 &amp; ")",IF(SUMPRODUCT(-- ISNUMBER(SEARCH({"Content","Currency","Number","Percent","Text","URL"}, $B102))) &gt; 0,$B102 &amp; "(" &amp; $C102 &amp; ")",$B102)))), "  ", TRIM(IF($S102 = "YES", "(External ID)", "") &amp; " " &amp; IF(SUMPRODUCT(-- ISNUMBER(SEARCH({"Unique","Unique Case Insensitive"}, $R102))) &gt; 0, "(" &amp; $R102 &amp; ")", ""))))</f>
        <v>na</v>
      </c>
      <c r="E102" s="7" t="s">
        <v>195</v>
      </c>
      <c r="F102" s="7" t="s">
        <v>195</v>
      </c>
      <c r="G102" s="7" t="s">
        <v>195</v>
      </c>
      <c r="H102" s="7" t="s">
        <v>195</v>
      </c>
      <c r="I102" s="7" t="s">
        <v>195</v>
      </c>
      <c r="J102" s="7" t="s">
        <v>195</v>
      </c>
      <c r="K102" s="7" t="s">
        <v>195</v>
      </c>
      <c r="L102" s="7" t="s">
        <v>195</v>
      </c>
      <c r="M102" s="7" t="s">
        <v>29</v>
      </c>
      <c r="N102" s="7" t="s">
        <v>29</v>
      </c>
      <c r="O102" s="7" t="s">
        <v>29</v>
      </c>
      <c r="P102" s="7" t="s">
        <v>29</v>
      </c>
      <c r="Q102" s="7" t="s">
        <v>29</v>
      </c>
      <c r="R102" s="7" t="s">
        <v>29</v>
      </c>
      <c r="S102" s="7" t="s">
        <v>29</v>
      </c>
    </row>
    <row r="103" spans="2:19">
      <c r="B103" s="7" t="s">
        <v>195</v>
      </c>
      <c r="C103" s="8" t="s">
        <v>195</v>
      </c>
      <c r="D103" s="6" t="str">
        <f>LRTRIM(CONCATENATE(IF(SUMPRODUCT(-- ISNUMBER(SEARCH({"Auto Number"}, $B103))) &gt; 0, $B103, IF(SUMPRODUCT(-- ISNUMBER(SEARCH({"Lookup","Master-Detail"}, $B103))) &gt; 0,$B103 &amp; "(" &amp; $E103 &amp; ")",IF(SUMPRODUCT(-- ISNUMBER(SEARCH({"Formula","Roll-Up Summary"}, $B103))) &gt; 0,$B103 &amp; " (" &amp; $E103 &amp; ")",IF(SUMPRODUCT(-- ISNUMBER(SEARCH({"Content","Currency","Number","Percent","Text","URL"}, $B103))) &gt; 0,$B103 &amp; "(" &amp; $C103 &amp; ")",$B103)))), "  ", TRIM(IF($S103 = "YES", "(External ID)", "") &amp; " " &amp; IF(SUMPRODUCT(-- ISNUMBER(SEARCH({"Unique","Unique Case Insensitive"}, $R103))) &gt; 0, "(" &amp; $R103 &amp; ")", ""))))</f>
        <v>na</v>
      </c>
      <c r="E103" s="7" t="s">
        <v>195</v>
      </c>
      <c r="F103" s="7" t="s">
        <v>195</v>
      </c>
      <c r="G103" s="7" t="s">
        <v>195</v>
      </c>
      <c r="H103" s="7" t="s">
        <v>195</v>
      </c>
      <c r="I103" s="7" t="s">
        <v>195</v>
      </c>
      <c r="J103" s="7" t="s">
        <v>195</v>
      </c>
      <c r="K103" s="7" t="s">
        <v>195</v>
      </c>
      <c r="L103" s="7" t="s">
        <v>195</v>
      </c>
      <c r="M103" s="7" t="s">
        <v>29</v>
      </c>
      <c r="N103" s="7" t="s">
        <v>29</v>
      </c>
      <c r="O103" s="7" t="s">
        <v>29</v>
      </c>
      <c r="P103" s="7" t="s">
        <v>29</v>
      </c>
      <c r="Q103" s="7" t="s">
        <v>29</v>
      </c>
      <c r="R103" s="7" t="s">
        <v>29</v>
      </c>
      <c r="S103" s="7" t="s">
        <v>29</v>
      </c>
    </row>
    <row r="104" spans="2:19">
      <c r="B104" s="7" t="s">
        <v>195</v>
      </c>
      <c r="C104" s="8" t="s">
        <v>195</v>
      </c>
      <c r="D104" s="6" t="str">
        <f>LRTRIM(CONCATENATE(IF(SUMPRODUCT(-- ISNUMBER(SEARCH({"Auto Number"}, $B104))) &gt; 0, $B104, IF(SUMPRODUCT(-- ISNUMBER(SEARCH({"Lookup","Master-Detail"}, $B104))) &gt; 0,$B104 &amp; "(" &amp; $E104 &amp; ")",IF(SUMPRODUCT(-- ISNUMBER(SEARCH({"Formula","Roll-Up Summary"}, $B104))) &gt; 0,$B104 &amp; " (" &amp; $E104 &amp; ")",IF(SUMPRODUCT(-- ISNUMBER(SEARCH({"Content","Currency","Number","Percent","Text","URL"}, $B104))) &gt; 0,$B104 &amp; "(" &amp; $C104 &amp; ")",$B104)))), "  ", TRIM(IF($S104 = "YES", "(External ID)", "") &amp; " " &amp; IF(SUMPRODUCT(-- ISNUMBER(SEARCH({"Unique","Unique Case Insensitive"}, $R104))) &gt; 0, "(" &amp; $R104 &amp; ")", ""))))</f>
        <v>na</v>
      </c>
      <c r="E104" s="7" t="s">
        <v>195</v>
      </c>
      <c r="F104" s="7" t="s">
        <v>195</v>
      </c>
      <c r="G104" s="7" t="s">
        <v>195</v>
      </c>
      <c r="H104" s="7" t="s">
        <v>195</v>
      </c>
      <c r="I104" s="7" t="s">
        <v>195</v>
      </c>
      <c r="J104" s="7" t="s">
        <v>195</v>
      </c>
      <c r="K104" s="7" t="s">
        <v>195</v>
      </c>
      <c r="L104" s="7" t="s">
        <v>195</v>
      </c>
      <c r="M104" s="7" t="s">
        <v>29</v>
      </c>
      <c r="N104" s="7" t="s">
        <v>29</v>
      </c>
      <c r="O104" s="7" t="s">
        <v>29</v>
      </c>
      <c r="P104" s="7" t="s">
        <v>29</v>
      </c>
      <c r="Q104" s="7" t="s">
        <v>29</v>
      </c>
      <c r="R104" s="7" t="s">
        <v>29</v>
      </c>
      <c r="S104" s="7" t="s">
        <v>29</v>
      </c>
    </row>
    <row r="105" spans="2:19">
      <c r="B105" s="7" t="s">
        <v>195</v>
      </c>
      <c r="C105" s="8" t="s">
        <v>195</v>
      </c>
      <c r="D105" s="6" t="str">
        <f>LRTRIM(CONCATENATE(IF(SUMPRODUCT(-- ISNUMBER(SEARCH({"Auto Number"}, $B105))) &gt; 0, $B105, IF(SUMPRODUCT(-- ISNUMBER(SEARCH({"Lookup","Master-Detail"}, $B105))) &gt; 0,$B105 &amp; "(" &amp; $E105 &amp; ")",IF(SUMPRODUCT(-- ISNUMBER(SEARCH({"Formula","Roll-Up Summary"}, $B105))) &gt; 0,$B105 &amp; " (" &amp; $E105 &amp; ")",IF(SUMPRODUCT(-- ISNUMBER(SEARCH({"Content","Currency","Number","Percent","Text","URL"}, $B105))) &gt; 0,$B105 &amp; "(" &amp; $C105 &amp; ")",$B105)))), "  ", TRIM(IF($S105 = "YES", "(External ID)", "") &amp; " " &amp; IF(SUMPRODUCT(-- ISNUMBER(SEARCH({"Unique","Unique Case Insensitive"}, $R105))) &gt; 0, "(" &amp; $R105 &amp; ")", ""))))</f>
        <v>na</v>
      </c>
      <c r="E105" s="7" t="s">
        <v>195</v>
      </c>
      <c r="F105" s="7" t="s">
        <v>195</v>
      </c>
      <c r="G105" s="7" t="s">
        <v>195</v>
      </c>
      <c r="H105" s="7" t="s">
        <v>195</v>
      </c>
      <c r="I105" s="7" t="s">
        <v>195</v>
      </c>
      <c r="J105" s="7" t="s">
        <v>195</v>
      </c>
      <c r="K105" s="7" t="s">
        <v>195</v>
      </c>
      <c r="L105" s="7" t="s">
        <v>195</v>
      </c>
      <c r="M105" s="7" t="s">
        <v>29</v>
      </c>
      <c r="N105" s="7" t="s">
        <v>29</v>
      </c>
      <c r="O105" s="7" t="s">
        <v>29</v>
      </c>
      <c r="P105" s="7" t="s">
        <v>29</v>
      </c>
      <c r="Q105" s="7" t="s">
        <v>29</v>
      </c>
      <c r="R105" s="7" t="s">
        <v>29</v>
      </c>
      <c r="S105" s="7" t="s">
        <v>29</v>
      </c>
    </row>
    <row r="106" spans="2:19">
      <c r="B106" s="7" t="s">
        <v>195</v>
      </c>
      <c r="C106" s="8" t="s">
        <v>195</v>
      </c>
      <c r="D106" s="6" t="str">
        <f>LRTRIM(CONCATENATE(IF(SUMPRODUCT(-- ISNUMBER(SEARCH({"Auto Number"}, $B106))) &gt; 0, $B106, IF(SUMPRODUCT(-- ISNUMBER(SEARCH({"Lookup","Master-Detail"}, $B106))) &gt; 0,$B106 &amp; "(" &amp; $E106 &amp; ")",IF(SUMPRODUCT(-- ISNUMBER(SEARCH({"Formula","Roll-Up Summary"}, $B106))) &gt; 0,$B106 &amp; " (" &amp; $E106 &amp; ")",IF(SUMPRODUCT(-- ISNUMBER(SEARCH({"Content","Currency","Number","Percent","Text","URL"}, $B106))) &gt; 0,$B106 &amp; "(" &amp; $C106 &amp; ")",$B106)))), "  ", TRIM(IF($S106 = "YES", "(External ID)", "") &amp; " " &amp; IF(SUMPRODUCT(-- ISNUMBER(SEARCH({"Unique","Unique Case Insensitive"}, $R106))) &gt; 0, "(" &amp; $R106 &amp; ")", ""))))</f>
        <v>na</v>
      </c>
      <c r="E106" s="7" t="s">
        <v>195</v>
      </c>
      <c r="F106" s="7" t="s">
        <v>195</v>
      </c>
      <c r="G106" s="7" t="s">
        <v>195</v>
      </c>
      <c r="H106" s="7" t="s">
        <v>195</v>
      </c>
      <c r="I106" s="7" t="s">
        <v>195</v>
      </c>
      <c r="J106" s="7" t="s">
        <v>195</v>
      </c>
      <c r="K106" s="7" t="s">
        <v>195</v>
      </c>
      <c r="L106" s="7" t="s">
        <v>195</v>
      </c>
      <c r="M106" s="7" t="s">
        <v>29</v>
      </c>
      <c r="N106" s="7" t="s">
        <v>29</v>
      </c>
      <c r="O106" s="7" t="s">
        <v>29</v>
      </c>
      <c r="P106" s="7" t="s">
        <v>29</v>
      </c>
      <c r="Q106" s="7" t="s">
        <v>29</v>
      </c>
      <c r="R106" s="7" t="s">
        <v>29</v>
      </c>
      <c r="S106" s="7" t="s">
        <v>29</v>
      </c>
    </row>
    <row r="107" spans="2:19">
      <c r="B107" s="7" t="s">
        <v>195</v>
      </c>
      <c r="C107" s="8" t="s">
        <v>195</v>
      </c>
      <c r="D107" s="6" t="str">
        <f>LRTRIM(CONCATENATE(IF(SUMPRODUCT(-- ISNUMBER(SEARCH({"Auto Number"}, $B107))) &gt; 0, $B107, IF(SUMPRODUCT(-- ISNUMBER(SEARCH({"Lookup","Master-Detail"}, $B107))) &gt; 0,$B107 &amp; "(" &amp; $E107 &amp; ")",IF(SUMPRODUCT(-- ISNUMBER(SEARCH({"Formula","Roll-Up Summary"}, $B107))) &gt; 0,$B107 &amp; " (" &amp; $E107 &amp; ")",IF(SUMPRODUCT(-- ISNUMBER(SEARCH({"Content","Currency","Number","Percent","Text","URL"}, $B107))) &gt; 0,$B107 &amp; "(" &amp; $C107 &amp; ")",$B107)))), "  ", TRIM(IF($S107 = "YES", "(External ID)", "") &amp; " " &amp; IF(SUMPRODUCT(-- ISNUMBER(SEARCH({"Unique","Unique Case Insensitive"}, $R107))) &gt; 0, "(" &amp; $R107 &amp; ")", ""))))</f>
        <v>na</v>
      </c>
      <c r="E107" s="7" t="s">
        <v>195</v>
      </c>
      <c r="F107" s="7" t="s">
        <v>195</v>
      </c>
      <c r="G107" s="7" t="s">
        <v>195</v>
      </c>
      <c r="H107" s="7" t="s">
        <v>195</v>
      </c>
      <c r="I107" s="7" t="s">
        <v>195</v>
      </c>
      <c r="J107" s="7" t="s">
        <v>195</v>
      </c>
      <c r="K107" s="7" t="s">
        <v>195</v>
      </c>
      <c r="L107" s="7" t="s">
        <v>195</v>
      </c>
      <c r="M107" s="7" t="s">
        <v>29</v>
      </c>
      <c r="N107" s="7" t="s">
        <v>29</v>
      </c>
      <c r="O107" s="7" t="s">
        <v>29</v>
      </c>
      <c r="P107" s="7" t="s">
        <v>29</v>
      </c>
      <c r="Q107" s="7" t="s">
        <v>29</v>
      </c>
      <c r="R107" s="7" t="s">
        <v>29</v>
      </c>
      <c r="S107" s="7" t="s">
        <v>29</v>
      </c>
    </row>
    <row r="108" spans="2:19">
      <c r="B108" s="7" t="s">
        <v>195</v>
      </c>
      <c r="C108" s="8" t="s">
        <v>195</v>
      </c>
      <c r="D108" s="6" t="str">
        <f>LRTRIM(CONCATENATE(IF(SUMPRODUCT(-- ISNUMBER(SEARCH({"Auto Number"}, $B108))) &gt; 0, $B108, IF(SUMPRODUCT(-- ISNUMBER(SEARCH({"Lookup","Master-Detail"}, $B108))) &gt; 0,$B108 &amp; "(" &amp; $E108 &amp; ")",IF(SUMPRODUCT(-- ISNUMBER(SEARCH({"Formula","Roll-Up Summary"}, $B108))) &gt; 0,$B108 &amp; " (" &amp; $E108 &amp; ")",IF(SUMPRODUCT(-- ISNUMBER(SEARCH({"Content","Currency","Number","Percent","Text","URL"}, $B108))) &gt; 0,$B108 &amp; "(" &amp; $C108 &amp; ")",$B108)))), "  ", TRIM(IF($S108 = "YES", "(External ID)", "") &amp; " " &amp; IF(SUMPRODUCT(-- ISNUMBER(SEARCH({"Unique","Unique Case Insensitive"}, $R108))) &gt; 0, "(" &amp; $R108 &amp; ")", ""))))</f>
        <v>na</v>
      </c>
      <c r="E108" s="7" t="s">
        <v>195</v>
      </c>
      <c r="F108" s="7" t="s">
        <v>195</v>
      </c>
      <c r="G108" s="7" t="s">
        <v>195</v>
      </c>
      <c r="H108" s="7" t="s">
        <v>195</v>
      </c>
      <c r="I108" s="7" t="s">
        <v>195</v>
      </c>
      <c r="J108" s="7" t="s">
        <v>195</v>
      </c>
      <c r="K108" s="7" t="s">
        <v>195</v>
      </c>
      <c r="L108" s="7" t="s">
        <v>195</v>
      </c>
      <c r="M108" s="7" t="s">
        <v>29</v>
      </c>
      <c r="N108" s="7" t="s">
        <v>29</v>
      </c>
      <c r="O108" s="7" t="s">
        <v>29</v>
      </c>
      <c r="P108" s="7" t="s">
        <v>29</v>
      </c>
      <c r="Q108" s="7" t="s">
        <v>29</v>
      </c>
      <c r="R108" s="7" t="s">
        <v>29</v>
      </c>
      <c r="S108" s="7" t="s">
        <v>29</v>
      </c>
    </row>
    <row r="109" spans="2:19">
      <c r="B109" s="7" t="s">
        <v>195</v>
      </c>
      <c r="C109" s="8" t="s">
        <v>195</v>
      </c>
      <c r="D109" s="6" t="str">
        <f>LRTRIM(CONCATENATE(IF(SUMPRODUCT(-- ISNUMBER(SEARCH({"Auto Number"}, $B109))) &gt; 0, $B109, IF(SUMPRODUCT(-- ISNUMBER(SEARCH({"Lookup","Master-Detail"}, $B109))) &gt; 0,$B109 &amp; "(" &amp; $E109 &amp; ")",IF(SUMPRODUCT(-- ISNUMBER(SEARCH({"Formula","Roll-Up Summary"}, $B109))) &gt; 0,$B109 &amp; " (" &amp; $E109 &amp; ")",IF(SUMPRODUCT(-- ISNUMBER(SEARCH({"Content","Currency","Number","Percent","Text","URL"}, $B109))) &gt; 0,$B109 &amp; "(" &amp; $C109 &amp; ")",$B109)))), "  ", TRIM(IF($S109 = "YES", "(External ID)", "") &amp; " " &amp; IF(SUMPRODUCT(-- ISNUMBER(SEARCH({"Unique","Unique Case Insensitive"}, $R109))) &gt; 0, "(" &amp; $R109 &amp; ")", ""))))</f>
        <v>na</v>
      </c>
      <c r="E109" s="7" t="s">
        <v>195</v>
      </c>
      <c r="F109" s="7" t="s">
        <v>195</v>
      </c>
      <c r="G109" s="7" t="s">
        <v>195</v>
      </c>
      <c r="H109" s="7" t="s">
        <v>195</v>
      </c>
      <c r="I109" s="7" t="s">
        <v>195</v>
      </c>
      <c r="J109" s="7" t="s">
        <v>195</v>
      </c>
      <c r="K109" s="7" t="s">
        <v>195</v>
      </c>
      <c r="L109" s="7" t="s">
        <v>195</v>
      </c>
      <c r="M109" s="7" t="s">
        <v>29</v>
      </c>
      <c r="N109" s="7" t="s">
        <v>29</v>
      </c>
      <c r="O109" s="7" t="s">
        <v>29</v>
      </c>
      <c r="P109" s="7" t="s">
        <v>29</v>
      </c>
      <c r="Q109" s="7" t="s">
        <v>29</v>
      </c>
      <c r="R109" s="7" t="s">
        <v>29</v>
      </c>
      <c r="S109" s="7" t="s">
        <v>29</v>
      </c>
    </row>
    <row r="110" spans="2:19">
      <c r="B110" s="7" t="s">
        <v>195</v>
      </c>
      <c r="C110" s="8" t="s">
        <v>195</v>
      </c>
      <c r="D110" s="6" t="str">
        <f>LRTRIM(CONCATENATE(IF(SUMPRODUCT(-- ISNUMBER(SEARCH({"Auto Number"}, $B110))) &gt; 0, $B110, IF(SUMPRODUCT(-- ISNUMBER(SEARCH({"Lookup","Master-Detail"}, $B110))) &gt; 0,$B110 &amp; "(" &amp; $E110 &amp; ")",IF(SUMPRODUCT(-- ISNUMBER(SEARCH({"Formula","Roll-Up Summary"}, $B110))) &gt; 0,$B110 &amp; " (" &amp; $E110 &amp; ")",IF(SUMPRODUCT(-- ISNUMBER(SEARCH({"Content","Currency","Number","Percent","Text","URL"}, $B110))) &gt; 0,$B110 &amp; "(" &amp; $C110 &amp; ")",$B110)))), "  ", TRIM(IF($S110 = "YES", "(External ID)", "") &amp; " " &amp; IF(SUMPRODUCT(-- ISNUMBER(SEARCH({"Unique","Unique Case Insensitive"}, $R110))) &gt; 0, "(" &amp; $R110 &amp; ")", ""))))</f>
        <v>na</v>
      </c>
      <c r="E110" s="7" t="s">
        <v>195</v>
      </c>
      <c r="F110" s="7" t="s">
        <v>195</v>
      </c>
      <c r="G110" s="7" t="s">
        <v>195</v>
      </c>
      <c r="H110" s="7" t="s">
        <v>195</v>
      </c>
      <c r="I110" s="7" t="s">
        <v>195</v>
      </c>
      <c r="J110" s="7" t="s">
        <v>195</v>
      </c>
      <c r="K110" s="7" t="s">
        <v>195</v>
      </c>
      <c r="L110" s="7" t="s">
        <v>195</v>
      </c>
      <c r="M110" s="7" t="s">
        <v>29</v>
      </c>
      <c r="N110" s="7" t="s">
        <v>29</v>
      </c>
      <c r="O110" s="7" t="s">
        <v>29</v>
      </c>
      <c r="P110" s="7" t="s">
        <v>29</v>
      </c>
      <c r="Q110" s="7" t="s">
        <v>29</v>
      </c>
      <c r="R110" s="7" t="s">
        <v>29</v>
      </c>
      <c r="S110" s="7" t="s">
        <v>29</v>
      </c>
    </row>
    <row r="111" spans="2:19">
      <c r="B111" s="7" t="s">
        <v>195</v>
      </c>
      <c r="C111" s="8" t="s">
        <v>195</v>
      </c>
      <c r="D111" s="6" t="str">
        <f>LRTRIM(CONCATENATE(IF(SUMPRODUCT(-- ISNUMBER(SEARCH({"Auto Number"}, $B111))) &gt; 0, $B111, IF(SUMPRODUCT(-- ISNUMBER(SEARCH({"Lookup","Master-Detail"}, $B111))) &gt; 0,$B111 &amp; "(" &amp; $E111 &amp; ")",IF(SUMPRODUCT(-- ISNUMBER(SEARCH({"Formula","Roll-Up Summary"}, $B111))) &gt; 0,$B111 &amp; " (" &amp; $E111 &amp; ")",IF(SUMPRODUCT(-- ISNUMBER(SEARCH({"Content","Currency","Number","Percent","Text","URL"}, $B111))) &gt; 0,$B111 &amp; "(" &amp; $C111 &amp; ")",$B111)))), "  ", TRIM(IF($S111 = "YES", "(External ID)", "") &amp; " " &amp; IF(SUMPRODUCT(-- ISNUMBER(SEARCH({"Unique","Unique Case Insensitive"}, $R111))) &gt; 0, "(" &amp; $R111 &amp; ")", ""))))</f>
        <v>na</v>
      </c>
      <c r="E111" s="7" t="s">
        <v>195</v>
      </c>
      <c r="F111" s="7" t="s">
        <v>195</v>
      </c>
      <c r="G111" s="7" t="s">
        <v>195</v>
      </c>
      <c r="H111" s="7" t="s">
        <v>195</v>
      </c>
      <c r="I111" s="7" t="s">
        <v>195</v>
      </c>
      <c r="J111" s="7" t="s">
        <v>195</v>
      </c>
      <c r="K111" s="7" t="s">
        <v>195</v>
      </c>
      <c r="L111" s="7" t="s">
        <v>195</v>
      </c>
      <c r="M111" s="7" t="s">
        <v>29</v>
      </c>
      <c r="N111" s="7" t="s">
        <v>29</v>
      </c>
      <c r="O111" s="7" t="s">
        <v>29</v>
      </c>
      <c r="P111" s="7" t="s">
        <v>29</v>
      </c>
      <c r="Q111" s="7" t="s">
        <v>29</v>
      </c>
      <c r="R111" s="7" t="s">
        <v>29</v>
      </c>
      <c r="S111" s="7" t="s">
        <v>29</v>
      </c>
    </row>
    <row r="112" spans="2:19">
      <c r="B112" s="7" t="s">
        <v>195</v>
      </c>
      <c r="C112" s="8" t="s">
        <v>195</v>
      </c>
      <c r="D112" s="6" t="str">
        <f>LRTRIM(CONCATENATE(IF(SUMPRODUCT(-- ISNUMBER(SEARCH({"Auto Number"}, $B112))) &gt; 0, $B112, IF(SUMPRODUCT(-- ISNUMBER(SEARCH({"Lookup","Master-Detail"}, $B112))) &gt; 0,$B112 &amp; "(" &amp; $E112 &amp; ")",IF(SUMPRODUCT(-- ISNUMBER(SEARCH({"Formula","Roll-Up Summary"}, $B112))) &gt; 0,$B112 &amp; " (" &amp; $E112 &amp; ")",IF(SUMPRODUCT(-- ISNUMBER(SEARCH({"Content","Currency","Number","Percent","Text","URL"}, $B112))) &gt; 0,$B112 &amp; "(" &amp; $C112 &amp; ")",$B112)))), "  ", TRIM(IF($S112 = "YES", "(External ID)", "") &amp; " " &amp; IF(SUMPRODUCT(-- ISNUMBER(SEARCH({"Unique","Unique Case Insensitive"}, $R112))) &gt; 0, "(" &amp; $R112 &amp; ")", ""))))</f>
        <v>na</v>
      </c>
      <c r="E112" s="7" t="s">
        <v>195</v>
      </c>
      <c r="F112" s="7" t="s">
        <v>195</v>
      </c>
      <c r="G112" s="7" t="s">
        <v>195</v>
      </c>
      <c r="H112" s="7" t="s">
        <v>195</v>
      </c>
      <c r="I112" s="7" t="s">
        <v>195</v>
      </c>
      <c r="J112" s="7" t="s">
        <v>195</v>
      </c>
      <c r="K112" s="7" t="s">
        <v>195</v>
      </c>
      <c r="L112" s="7" t="s">
        <v>195</v>
      </c>
      <c r="M112" s="7" t="s">
        <v>29</v>
      </c>
      <c r="N112" s="7" t="s">
        <v>29</v>
      </c>
      <c r="O112" s="7" t="s">
        <v>29</v>
      </c>
      <c r="P112" s="7" t="s">
        <v>29</v>
      </c>
      <c r="Q112" s="7" t="s">
        <v>29</v>
      </c>
      <c r="R112" s="7" t="s">
        <v>29</v>
      </c>
      <c r="S112" s="7" t="s">
        <v>29</v>
      </c>
    </row>
    <row r="113" spans="2:19">
      <c r="B113" s="7" t="s">
        <v>195</v>
      </c>
      <c r="C113" s="8" t="s">
        <v>195</v>
      </c>
      <c r="D113" s="6" t="str">
        <f>LRTRIM(CONCATENATE(IF(SUMPRODUCT(-- ISNUMBER(SEARCH({"Auto Number"}, $B113))) &gt; 0, $B113, IF(SUMPRODUCT(-- ISNUMBER(SEARCH({"Lookup","Master-Detail"}, $B113))) &gt; 0,$B113 &amp; "(" &amp; $E113 &amp; ")",IF(SUMPRODUCT(-- ISNUMBER(SEARCH({"Formula","Roll-Up Summary"}, $B113))) &gt; 0,$B113 &amp; " (" &amp; $E113 &amp; ")",IF(SUMPRODUCT(-- ISNUMBER(SEARCH({"Content","Currency","Number","Percent","Text","URL"}, $B113))) &gt; 0,$B113 &amp; "(" &amp; $C113 &amp; ")",$B113)))), "  ", TRIM(IF($S113 = "YES", "(External ID)", "") &amp; " " &amp; IF(SUMPRODUCT(-- ISNUMBER(SEARCH({"Unique","Unique Case Insensitive"}, $R113))) &gt; 0, "(" &amp; $R113 &amp; ")", ""))))</f>
        <v>na</v>
      </c>
      <c r="E113" s="7" t="s">
        <v>195</v>
      </c>
      <c r="F113" s="7" t="s">
        <v>195</v>
      </c>
      <c r="G113" s="7" t="s">
        <v>195</v>
      </c>
      <c r="H113" s="7" t="s">
        <v>195</v>
      </c>
      <c r="I113" s="7" t="s">
        <v>195</v>
      </c>
      <c r="J113" s="7" t="s">
        <v>195</v>
      </c>
      <c r="K113" s="7" t="s">
        <v>195</v>
      </c>
      <c r="L113" s="7" t="s">
        <v>195</v>
      </c>
      <c r="M113" s="7" t="s">
        <v>29</v>
      </c>
      <c r="N113" s="7" t="s">
        <v>29</v>
      </c>
      <c r="O113" s="7" t="s">
        <v>29</v>
      </c>
      <c r="P113" s="7" t="s">
        <v>29</v>
      </c>
      <c r="Q113" s="7" t="s">
        <v>29</v>
      </c>
      <c r="R113" s="7" t="s">
        <v>29</v>
      </c>
      <c r="S113" s="7" t="s">
        <v>29</v>
      </c>
    </row>
    <row r="114" spans="2:19">
      <c r="B114" s="7" t="s">
        <v>195</v>
      </c>
      <c r="C114" s="8" t="s">
        <v>195</v>
      </c>
      <c r="D114" s="6" t="str">
        <f>LRTRIM(CONCATENATE(IF(SUMPRODUCT(-- ISNUMBER(SEARCH({"Auto Number"}, $B114))) &gt; 0, $B114, IF(SUMPRODUCT(-- ISNUMBER(SEARCH({"Lookup","Master-Detail"}, $B114))) &gt; 0,$B114 &amp; "(" &amp; $E114 &amp; ")",IF(SUMPRODUCT(-- ISNUMBER(SEARCH({"Formula","Roll-Up Summary"}, $B114))) &gt; 0,$B114 &amp; " (" &amp; $E114 &amp; ")",IF(SUMPRODUCT(-- ISNUMBER(SEARCH({"Content","Currency","Number","Percent","Text","URL"}, $B114))) &gt; 0,$B114 &amp; "(" &amp; $C114 &amp; ")",$B114)))), "  ", TRIM(IF($S114 = "YES", "(External ID)", "") &amp; " " &amp; IF(SUMPRODUCT(-- ISNUMBER(SEARCH({"Unique","Unique Case Insensitive"}, $R114))) &gt; 0, "(" &amp; $R114 &amp; ")", ""))))</f>
        <v>na</v>
      </c>
      <c r="E114" s="7" t="s">
        <v>195</v>
      </c>
      <c r="F114" s="7" t="s">
        <v>195</v>
      </c>
      <c r="G114" s="7" t="s">
        <v>195</v>
      </c>
      <c r="H114" s="7" t="s">
        <v>195</v>
      </c>
      <c r="I114" s="7" t="s">
        <v>195</v>
      </c>
      <c r="J114" s="7" t="s">
        <v>195</v>
      </c>
      <c r="K114" s="7" t="s">
        <v>195</v>
      </c>
      <c r="L114" s="7" t="s">
        <v>195</v>
      </c>
      <c r="M114" s="7" t="s">
        <v>29</v>
      </c>
      <c r="N114" s="7" t="s">
        <v>29</v>
      </c>
      <c r="O114" s="7" t="s">
        <v>29</v>
      </c>
      <c r="P114" s="7" t="s">
        <v>29</v>
      </c>
      <c r="Q114" s="7" t="s">
        <v>29</v>
      </c>
      <c r="R114" s="7" t="s">
        <v>29</v>
      </c>
      <c r="S114" s="7" t="s">
        <v>29</v>
      </c>
    </row>
    <row r="115" spans="2:19">
      <c r="B115" s="7" t="s">
        <v>195</v>
      </c>
      <c r="C115" s="8" t="s">
        <v>195</v>
      </c>
      <c r="D115" s="6" t="str">
        <f>LRTRIM(CONCATENATE(IF(SUMPRODUCT(-- ISNUMBER(SEARCH({"Auto Number"}, $B115))) &gt; 0, $B115, IF(SUMPRODUCT(-- ISNUMBER(SEARCH({"Lookup","Master-Detail"}, $B115))) &gt; 0,$B115 &amp; "(" &amp; $E115 &amp; ")",IF(SUMPRODUCT(-- ISNUMBER(SEARCH({"Formula","Roll-Up Summary"}, $B115))) &gt; 0,$B115 &amp; " (" &amp; $E115 &amp; ")",IF(SUMPRODUCT(-- ISNUMBER(SEARCH({"Content","Currency","Number","Percent","Text","URL"}, $B115))) &gt; 0,$B115 &amp; "(" &amp; $C115 &amp; ")",$B115)))), "  ", TRIM(IF($S115 = "YES", "(External ID)", "") &amp; " " &amp; IF(SUMPRODUCT(-- ISNUMBER(SEARCH({"Unique","Unique Case Insensitive"}, $R115))) &gt; 0, "(" &amp; $R115 &amp; ")", ""))))</f>
        <v>na</v>
      </c>
      <c r="E115" s="7" t="s">
        <v>195</v>
      </c>
      <c r="F115" s="7" t="s">
        <v>195</v>
      </c>
      <c r="G115" s="7" t="s">
        <v>195</v>
      </c>
      <c r="H115" s="7" t="s">
        <v>195</v>
      </c>
      <c r="I115" s="7" t="s">
        <v>195</v>
      </c>
      <c r="J115" s="7" t="s">
        <v>195</v>
      </c>
      <c r="K115" s="7" t="s">
        <v>195</v>
      </c>
      <c r="L115" s="7" t="s">
        <v>195</v>
      </c>
      <c r="M115" s="7" t="s">
        <v>29</v>
      </c>
      <c r="N115" s="7" t="s">
        <v>29</v>
      </c>
      <c r="O115" s="7" t="s">
        <v>29</v>
      </c>
      <c r="P115" s="7" t="s">
        <v>29</v>
      </c>
      <c r="Q115" s="7" t="s">
        <v>29</v>
      </c>
      <c r="R115" s="7" t="s">
        <v>29</v>
      </c>
      <c r="S115" s="7" t="s">
        <v>29</v>
      </c>
    </row>
    <row r="116" spans="2:19">
      <c r="B116" s="7" t="s">
        <v>195</v>
      </c>
      <c r="C116" s="8" t="s">
        <v>195</v>
      </c>
      <c r="D116" s="6" t="str">
        <f>LRTRIM(CONCATENATE(IF(SUMPRODUCT(-- ISNUMBER(SEARCH({"Auto Number"}, $B116))) &gt; 0, $B116, IF(SUMPRODUCT(-- ISNUMBER(SEARCH({"Lookup","Master-Detail"}, $B116))) &gt; 0,$B116 &amp; "(" &amp; $E116 &amp; ")",IF(SUMPRODUCT(-- ISNUMBER(SEARCH({"Formula","Roll-Up Summary"}, $B116))) &gt; 0,$B116 &amp; " (" &amp; $E116 &amp; ")",IF(SUMPRODUCT(-- ISNUMBER(SEARCH({"Content","Currency","Number","Percent","Text","URL"}, $B116))) &gt; 0,$B116 &amp; "(" &amp; $C116 &amp; ")",$B116)))), "  ", TRIM(IF($S116 = "YES", "(External ID)", "") &amp; " " &amp; IF(SUMPRODUCT(-- ISNUMBER(SEARCH({"Unique","Unique Case Insensitive"}, $R116))) &gt; 0, "(" &amp; $R116 &amp; ")", ""))))</f>
        <v>na</v>
      </c>
      <c r="E116" s="7" t="s">
        <v>195</v>
      </c>
      <c r="F116" s="7" t="s">
        <v>195</v>
      </c>
      <c r="G116" s="7" t="s">
        <v>195</v>
      </c>
      <c r="H116" s="7" t="s">
        <v>195</v>
      </c>
      <c r="I116" s="7" t="s">
        <v>195</v>
      </c>
      <c r="J116" s="7" t="s">
        <v>195</v>
      </c>
      <c r="K116" s="7" t="s">
        <v>195</v>
      </c>
      <c r="L116" s="7" t="s">
        <v>195</v>
      </c>
      <c r="M116" s="7" t="s">
        <v>29</v>
      </c>
      <c r="N116" s="7" t="s">
        <v>29</v>
      </c>
      <c r="O116" s="7" t="s">
        <v>29</v>
      </c>
      <c r="P116" s="7" t="s">
        <v>29</v>
      </c>
      <c r="Q116" s="7" t="s">
        <v>29</v>
      </c>
      <c r="R116" s="7" t="s">
        <v>29</v>
      </c>
      <c r="S116" s="7" t="s">
        <v>29</v>
      </c>
    </row>
    <row r="117" spans="2:19">
      <c r="B117" s="7" t="s">
        <v>195</v>
      </c>
      <c r="C117" s="8" t="s">
        <v>195</v>
      </c>
      <c r="D117" s="6" t="str">
        <f>LRTRIM(CONCATENATE(IF(SUMPRODUCT(-- ISNUMBER(SEARCH({"Auto Number"}, $B117))) &gt; 0, $B117, IF(SUMPRODUCT(-- ISNUMBER(SEARCH({"Lookup","Master-Detail"}, $B117))) &gt; 0,$B117 &amp; "(" &amp; $E117 &amp; ")",IF(SUMPRODUCT(-- ISNUMBER(SEARCH({"Formula","Roll-Up Summary"}, $B117))) &gt; 0,$B117 &amp; " (" &amp; $E117 &amp; ")",IF(SUMPRODUCT(-- ISNUMBER(SEARCH({"Content","Currency","Number","Percent","Text","URL"}, $B117))) &gt; 0,$B117 &amp; "(" &amp; $C117 &amp; ")",$B117)))), "  ", TRIM(IF($S117 = "YES", "(External ID)", "") &amp; " " &amp; IF(SUMPRODUCT(-- ISNUMBER(SEARCH({"Unique","Unique Case Insensitive"}, $R117))) &gt; 0, "(" &amp; $R117 &amp; ")", ""))))</f>
        <v>na</v>
      </c>
      <c r="E117" s="7" t="s">
        <v>195</v>
      </c>
      <c r="F117" s="7" t="s">
        <v>195</v>
      </c>
      <c r="G117" s="7" t="s">
        <v>195</v>
      </c>
      <c r="H117" s="7" t="s">
        <v>195</v>
      </c>
      <c r="I117" s="7" t="s">
        <v>195</v>
      </c>
      <c r="J117" s="7" t="s">
        <v>195</v>
      </c>
      <c r="K117" s="7" t="s">
        <v>195</v>
      </c>
      <c r="L117" s="7" t="s">
        <v>195</v>
      </c>
      <c r="M117" s="7" t="s">
        <v>29</v>
      </c>
      <c r="N117" s="7" t="s">
        <v>29</v>
      </c>
      <c r="O117" s="7" t="s">
        <v>29</v>
      </c>
      <c r="P117" s="7" t="s">
        <v>29</v>
      </c>
      <c r="Q117" s="7" t="s">
        <v>29</v>
      </c>
      <c r="R117" s="7" t="s">
        <v>29</v>
      </c>
      <c r="S117" s="7" t="s">
        <v>29</v>
      </c>
    </row>
    <row r="118" spans="2:19">
      <c r="B118" s="7" t="s">
        <v>195</v>
      </c>
      <c r="C118" s="8" t="s">
        <v>195</v>
      </c>
      <c r="D118" s="6" t="str">
        <f>LRTRIM(CONCATENATE(IF(SUMPRODUCT(-- ISNUMBER(SEARCH({"Auto Number"}, $B118))) &gt; 0, $B118, IF(SUMPRODUCT(-- ISNUMBER(SEARCH({"Lookup","Master-Detail"}, $B118))) &gt; 0,$B118 &amp; "(" &amp; $E118 &amp; ")",IF(SUMPRODUCT(-- ISNUMBER(SEARCH({"Formula","Roll-Up Summary"}, $B118))) &gt; 0,$B118 &amp; " (" &amp; $E118 &amp; ")",IF(SUMPRODUCT(-- ISNUMBER(SEARCH({"Content","Currency","Number","Percent","Text","URL"}, $B118))) &gt; 0,$B118 &amp; "(" &amp; $C118 &amp; ")",$B118)))), "  ", TRIM(IF($S118 = "YES", "(External ID)", "") &amp; " " &amp; IF(SUMPRODUCT(-- ISNUMBER(SEARCH({"Unique","Unique Case Insensitive"}, $R118))) &gt; 0, "(" &amp; $R118 &amp; ")", ""))))</f>
        <v>na</v>
      </c>
      <c r="E118" s="7" t="s">
        <v>195</v>
      </c>
      <c r="F118" s="7" t="s">
        <v>195</v>
      </c>
      <c r="G118" s="7" t="s">
        <v>195</v>
      </c>
      <c r="H118" s="7" t="s">
        <v>195</v>
      </c>
      <c r="I118" s="7" t="s">
        <v>195</v>
      </c>
      <c r="J118" s="7" t="s">
        <v>195</v>
      </c>
      <c r="K118" s="7" t="s">
        <v>195</v>
      </c>
      <c r="L118" s="7" t="s">
        <v>195</v>
      </c>
      <c r="M118" s="7" t="s">
        <v>29</v>
      </c>
      <c r="N118" s="7" t="s">
        <v>29</v>
      </c>
      <c r="O118" s="7" t="s">
        <v>29</v>
      </c>
      <c r="P118" s="7" t="s">
        <v>29</v>
      </c>
      <c r="Q118" s="7" t="s">
        <v>29</v>
      </c>
      <c r="R118" s="7" t="s">
        <v>29</v>
      </c>
      <c r="S118" s="7" t="s">
        <v>29</v>
      </c>
    </row>
    <row r="119" spans="2:19">
      <c r="B119" s="7" t="s">
        <v>195</v>
      </c>
      <c r="C119" s="8" t="s">
        <v>195</v>
      </c>
      <c r="D119" s="6" t="str">
        <f>LRTRIM(CONCATENATE(IF(SUMPRODUCT(-- ISNUMBER(SEARCH({"Auto Number"}, $B119))) &gt; 0, $B119, IF(SUMPRODUCT(-- ISNUMBER(SEARCH({"Lookup","Master-Detail"}, $B119))) &gt; 0,$B119 &amp; "(" &amp; $E119 &amp; ")",IF(SUMPRODUCT(-- ISNUMBER(SEARCH({"Formula","Roll-Up Summary"}, $B119))) &gt; 0,$B119 &amp; " (" &amp; $E119 &amp; ")",IF(SUMPRODUCT(-- ISNUMBER(SEARCH({"Content","Currency","Number","Percent","Text","URL"}, $B119))) &gt; 0,$B119 &amp; "(" &amp; $C119 &amp; ")",$B119)))), "  ", TRIM(IF($S119 = "YES", "(External ID)", "") &amp; " " &amp; IF(SUMPRODUCT(-- ISNUMBER(SEARCH({"Unique","Unique Case Insensitive"}, $R119))) &gt; 0, "(" &amp; $R119 &amp; ")", ""))))</f>
        <v>na</v>
      </c>
      <c r="E119" s="7" t="s">
        <v>195</v>
      </c>
      <c r="F119" s="7" t="s">
        <v>195</v>
      </c>
      <c r="G119" s="7" t="s">
        <v>195</v>
      </c>
      <c r="H119" s="7" t="s">
        <v>195</v>
      </c>
      <c r="I119" s="7" t="s">
        <v>195</v>
      </c>
      <c r="J119" s="7" t="s">
        <v>195</v>
      </c>
      <c r="K119" s="7" t="s">
        <v>195</v>
      </c>
      <c r="L119" s="7" t="s">
        <v>195</v>
      </c>
      <c r="M119" s="7" t="s">
        <v>29</v>
      </c>
      <c r="N119" s="7" t="s">
        <v>29</v>
      </c>
      <c r="O119" s="7" t="s">
        <v>29</v>
      </c>
      <c r="P119" s="7" t="s">
        <v>29</v>
      </c>
      <c r="Q119" s="7" t="s">
        <v>29</v>
      </c>
      <c r="R119" s="7" t="s">
        <v>29</v>
      </c>
      <c r="S119" s="7" t="s">
        <v>29</v>
      </c>
    </row>
    <row r="120" spans="2:19">
      <c r="B120" s="7" t="s">
        <v>195</v>
      </c>
      <c r="C120" s="8" t="s">
        <v>195</v>
      </c>
      <c r="D120" s="6" t="str">
        <f>LRTRIM(CONCATENATE(IF(SUMPRODUCT(-- ISNUMBER(SEARCH({"Auto Number"}, $B120))) &gt; 0, $B120, IF(SUMPRODUCT(-- ISNUMBER(SEARCH({"Lookup","Master-Detail"}, $B120))) &gt; 0,$B120 &amp; "(" &amp; $E120 &amp; ")",IF(SUMPRODUCT(-- ISNUMBER(SEARCH({"Formula","Roll-Up Summary"}, $B120))) &gt; 0,$B120 &amp; " (" &amp; $E120 &amp; ")",IF(SUMPRODUCT(-- ISNUMBER(SEARCH({"Content","Currency","Number","Percent","Text","URL"}, $B120))) &gt; 0,$B120 &amp; "(" &amp; $C120 &amp; ")",$B120)))), "  ", TRIM(IF($S120 = "YES", "(External ID)", "") &amp; " " &amp; IF(SUMPRODUCT(-- ISNUMBER(SEARCH({"Unique","Unique Case Insensitive"}, $R120))) &gt; 0, "(" &amp; $R120 &amp; ")", ""))))</f>
        <v>na</v>
      </c>
      <c r="E120" s="7" t="s">
        <v>195</v>
      </c>
      <c r="F120" s="7" t="s">
        <v>195</v>
      </c>
      <c r="G120" s="7" t="s">
        <v>195</v>
      </c>
      <c r="H120" s="7" t="s">
        <v>195</v>
      </c>
      <c r="I120" s="7" t="s">
        <v>195</v>
      </c>
      <c r="J120" s="7" t="s">
        <v>195</v>
      </c>
      <c r="K120" s="7" t="s">
        <v>195</v>
      </c>
      <c r="L120" s="7" t="s">
        <v>195</v>
      </c>
      <c r="M120" s="7" t="s">
        <v>29</v>
      </c>
      <c r="N120" s="7" t="s">
        <v>29</v>
      </c>
      <c r="O120" s="7" t="s">
        <v>29</v>
      </c>
      <c r="P120" s="7" t="s">
        <v>29</v>
      </c>
      <c r="Q120" s="7" t="s">
        <v>29</v>
      </c>
      <c r="R120" s="7" t="s">
        <v>29</v>
      </c>
      <c r="S120" s="7" t="s">
        <v>29</v>
      </c>
    </row>
    <row r="121" spans="2:19">
      <c r="B121" s="7" t="s">
        <v>195</v>
      </c>
      <c r="C121" s="8" t="s">
        <v>195</v>
      </c>
      <c r="D121" s="6" t="str">
        <f>LRTRIM(CONCATENATE(IF(SUMPRODUCT(-- ISNUMBER(SEARCH({"Auto Number"}, $B121))) &gt; 0, $B121, IF(SUMPRODUCT(-- ISNUMBER(SEARCH({"Lookup","Master-Detail"}, $B121))) &gt; 0,$B121 &amp; "(" &amp; $E121 &amp; ")",IF(SUMPRODUCT(-- ISNUMBER(SEARCH({"Formula","Roll-Up Summary"}, $B121))) &gt; 0,$B121 &amp; " (" &amp; $E121 &amp; ")",IF(SUMPRODUCT(-- ISNUMBER(SEARCH({"Content","Currency","Number","Percent","Text","URL"}, $B121))) &gt; 0,$B121 &amp; "(" &amp; $C121 &amp; ")",$B121)))), "  ", TRIM(IF($S121 = "YES", "(External ID)", "") &amp; " " &amp; IF(SUMPRODUCT(-- ISNUMBER(SEARCH({"Unique","Unique Case Insensitive"}, $R121))) &gt; 0, "(" &amp; $R121 &amp; ")", ""))))</f>
        <v>na</v>
      </c>
      <c r="E121" s="7" t="s">
        <v>195</v>
      </c>
      <c r="F121" s="7" t="s">
        <v>195</v>
      </c>
      <c r="G121" s="7" t="s">
        <v>195</v>
      </c>
      <c r="H121" s="7" t="s">
        <v>195</v>
      </c>
      <c r="I121" s="7" t="s">
        <v>195</v>
      </c>
      <c r="J121" s="7" t="s">
        <v>195</v>
      </c>
      <c r="K121" s="7" t="s">
        <v>195</v>
      </c>
      <c r="L121" s="7" t="s">
        <v>195</v>
      </c>
      <c r="M121" s="7" t="s">
        <v>29</v>
      </c>
      <c r="N121" s="7" t="s">
        <v>29</v>
      </c>
      <c r="O121" s="7" t="s">
        <v>29</v>
      </c>
      <c r="P121" s="7" t="s">
        <v>29</v>
      </c>
      <c r="Q121" s="7" t="s">
        <v>29</v>
      </c>
      <c r="R121" s="7" t="s">
        <v>29</v>
      </c>
      <c r="S121" s="7" t="s">
        <v>29</v>
      </c>
    </row>
    <row r="122" spans="2:19">
      <c r="B122" s="7" t="s">
        <v>195</v>
      </c>
      <c r="C122" s="8" t="s">
        <v>195</v>
      </c>
      <c r="D122" s="6" t="str">
        <f>LRTRIM(CONCATENATE(IF(SUMPRODUCT(-- ISNUMBER(SEARCH({"Auto Number"}, $B122))) &gt; 0, $B122, IF(SUMPRODUCT(-- ISNUMBER(SEARCH({"Lookup","Master-Detail"}, $B122))) &gt; 0,$B122 &amp; "(" &amp; $E122 &amp; ")",IF(SUMPRODUCT(-- ISNUMBER(SEARCH({"Formula","Roll-Up Summary"}, $B122))) &gt; 0,$B122 &amp; " (" &amp; $E122 &amp; ")",IF(SUMPRODUCT(-- ISNUMBER(SEARCH({"Content","Currency","Number","Percent","Text","URL"}, $B122))) &gt; 0,$B122 &amp; "(" &amp; $C122 &amp; ")",$B122)))), "  ", TRIM(IF($S122 = "YES", "(External ID)", "") &amp; " " &amp; IF(SUMPRODUCT(-- ISNUMBER(SEARCH({"Unique","Unique Case Insensitive"}, $R122))) &gt; 0, "(" &amp; $R122 &amp; ")", ""))))</f>
        <v>na</v>
      </c>
      <c r="E122" s="7" t="s">
        <v>195</v>
      </c>
      <c r="F122" s="7" t="s">
        <v>195</v>
      </c>
      <c r="G122" s="7" t="s">
        <v>195</v>
      </c>
      <c r="H122" s="7" t="s">
        <v>195</v>
      </c>
      <c r="I122" s="7" t="s">
        <v>195</v>
      </c>
      <c r="J122" s="7" t="s">
        <v>195</v>
      </c>
      <c r="K122" s="7" t="s">
        <v>195</v>
      </c>
      <c r="L122" s="7" t="s">
        <v>195</v>
      </c>
      <c r="M122" s="7" t="s">
        <v>29</v>
      </c>
      <c r="N122" s="7" t="s">
        <v>29</v>
      </c>
      <c r="O122" s="7" t="s">
        <v>29</v>
      </c>
      <c r="P122" s="7" t="s">
        <v>29</v>
      </c>
      <c r="Q122" s="7" t="s">
        <v>29</v>
      </c>
      <c r="R122" s="7" t="s">
        <v>29</v>
      </c>
      <c r="S122" s="7" t="s">
        <v>29</v>
      </c>
    </row>
    <row r="123" spans="2:19">
      <c r="B123" s="7" t="s">
        <v>195</v>
      </c>
      <c r="C123" s="8" t="s">
        <v>195</v>
      </c>
      <c r="D123" s="6" t="str">
        <f>LRTRIM(CONCATENATE(IF(SUMPRODUCT(-- ISNUMBER(SEARCH({"Auto Number"}, $B123))) &gt; 0, $B123, IF(SUMPRODUCT(-- ISNUMBER(SEARCH({"Lookup","Master-Detail"}, $B123))) &gt; 0,$B123 &amp; "(" &amp; $E123 &amp; ")",IF(SUMPRODUCT(-- ISNUMBER(SEARCH({"Formula","Roll-Up Summary"}, $B123))) &gt; 0,$B123 &amp; " (" &amp; $E123 &amp; ")",IF(SUMPRODUCT(-- ISNUMBER(SEARCH({"Content","Currency","Number","Percent","Text","URL"}, $B123))) &gt; 0,$B123 &amp; "(" &amp; $C123 &amp; ")",$B123)))), "  ", TRIM(IF($S123 = "YES", "(External ID)", "") &amp; " " &amp; IF(SUMPRODUCT(-- ISNUMBER(SEARCH({"Unique","Unique Case Insensitive"}, $R123))) &gt; 0, "(" &amp; $R123 &amp; ")", ""))))</f>
        <v>na</v>
      </c>
      <c r="E123" s="7" t="s">
        <v>195</v>
      </c>
      <c r="F123" s="7" t="s">
        <v>195</v>
      </c>
      <c r="G123" s="7" t="s">
        <v>195</v>
      </c>
      <c r="H123" s="7" t="s">
        <v>195</v>
      </c>
      <c r="I123" s="7" t="s">
        <v>195</v>
      </c>
      <c r="J123" s="7" t="s">
        <v>195</v>
      </c>
      <c r="K123" s="7" t="s">
        <v>195</v>
      </c>
      <c r="L123" s="7" t="s">
        <v>195</v>
      </c>
      <c r="M123" s="7" t="s">
        <v>29</v>
      </c>
      <c r="N123" s="7" t="s">
        <v>29</v>
      </c>
      <c r="O123" s="7" t="s">
        <v>29</v>
      </c>
      <c r="P123" s="7" t="s">
        <v>29</v>
      </c>
      <c r="Q123" s="7" t="s">
        <v>29</v>
      </c>
      <c r="R123" s="7" t="s">
        <v>29</v>
      </c>
      <c r="S123" s="7" t="s">
        <v>29</v>
      </c>
    </row>
    <row r="124" spans="2:19">
      <c r="B124" s="7" t="s">
        <v>195</v>
      </c>
      <c r="C124" s="8" t="s">
        <v>195</v>
      </c>
      <c r="D124" s="6" t="str">
        <f>LRTRIM(CONCATENATE(IF(SUMPRODUCT(-- ISNUMBER(SEARCH({"Auto Number"}, $B124))) &gt; 0, $B124, IF(SUMPRODUCT(-- ISNUMBER(SEARCH({"Lookup","Master-Detail"}, $B124))) &gt; 0,$B124 &amp; "(" &amp; $E124 &amp; ")",IF(SUMPRODUCT(-- ISNUMBER(SEARCH({"Formula","Roll-Up Summary"}, $B124))) &gt; 0,$B124 &amp; " (" &amp; $E124 &amp; ")",IF(SUMPRODUCT(-- ISNUMBER(SEARCH({"Content","Currency","Number","Percent","Text","URL"}, $B124))) &gt; 0,$B124 &amp; "(" &amp; $C124 &amp; ")",$B124)))), "  ", TRIM(IF($S124 = "YES", "(External ID)", "") &amp; " " &amp; IF(SUMPRODUCT(-- ISNUMBER(SEARCH({"Unique","Unique Case Insensitive"}, $R124))) &gt; 0, "(" &amp; $R124 &amp; ")", ""))))</f>
        <v>na</v>
      </c>
      <c r="E124" s="7" t="s">
        <v>195</v>
      </c>
      <c r="F124" s="7" t="s">
        <v>195</v>
      </c>
      <c r="G124" s="7" t="s">
        <v>195</v>
      </c>
      <c r="H124" s="7" t="s">
        <v>195</v>
      </c>
      <c r="I124" s="7" t="s">
        <v>195</v>
      </c>
      <c r="J124" s="7" t="s">
        <v>195</v>
      </c>
      <c r="K124" s="7" t="s">
        <v>195</v>
      </c>
      <c r="L124" s="7" t="s">
        <v>195</v>
      </c>
      <c r="M124" s="7" t="s">
        <v>29</v>
      </c>
      <c r="N124" s="7" t="s">
        <v>29</v>
      </c>
      <c r="O124" s="7" t="s">
        <v>29</v>
      </c>
      <c r="P124" s="7" t="s">
        <v>29</v>
      </c>
      <c r="Q124" s="7" t="s">
        <v>29</v>
      </c>
      <c r="R124" s="7" t="s">
        <v>29</v>
      </c>
      <c r="S124" s="7" t="s">
        <v>29</v>
      </c>
    </row>
    <row r="125" spans="2:19">
      <c r="B125" s="7" t="s">
        <v>195</v>
      </c>
      <c r="C125" s="8" t="s">
        <v>195</v>
      </c>
      <c r="D125" s="6" t="str">
        <f>LRTRIM(CONCATENATE(IF(SUMPRODUCT(-- ISNUMBER(SEARCH({"Auto Number"}, $B125))) &gt; 0, $B125, IF(SUMPRODUCT(-- ISNUMBER(SEARCH({"Lookup","Master-Detail"}, $B125))) &gt; 0,$B125 &amp; "(" &amp; $E125 &amp; ")",IF(SUMPRODUCT(-- ISNUMBER(SEARCH({"Formula","Roll-Up Summary"}, $B125))) &gt; 0,$B125 &amp; " (" &amp; $E125 &amp; ")",IF(SUMPRODUCT(-- ISNUMBER(SEARCH({"Content","Currency","Number","Percent","Text","URL"}, $B125))) &gt; 0,$B125 &amp; "(" &amp; $C125 &amp; ")",$B125)))), "  ", TRIM(IF($S125 = "YES", "(External ID)", "") &amp; " " &amp; IF(SUMPRODUCT(-- ISNUMBER(SEARCH({"Unique","Unique Case Insensitive"}, $R125))) &gt; 0, "(" &amp; $R125 &amp; ")", ""))))</f>
        <v>na</v>
      </c>
      <c r="E125" s="7" t="s">
        <v>195</v>
      </c>
      <c r="F125" s="7" t="s">
        <v>195</v>
      </c>
      <c r="G125" s="7" t="s">
        <v>195</v>
      </c>
      <c r="H125" s="7" t="s">
        <v>195</v>
      </c>
      <c r="I125" s="7" t="s">
        <v>195</v>
      </c>
      <c r="J125" s="7" t="s">
        <v>195</v>
      </c>
      <c r="K125" s="7" t="s">
        <v>195</v>
      </c>
      <c r="L125" s="7" t="s">
        <v>195</v>
      </c>
      <c r="M125" s="7" t="s">
        <v>29</v>
      </c>
      <c r="N125" s="7" t="s">
        <v>29</v>
      </c>
      <c r="O125" s="7" t="s">
        <v>29</v>
      </c>
      <c r="P125" s="7" t="s">
        <v>29</v>
      </c>
      <c r="Q125" s="7" t="s">
        <v>29</v>
      </c>
      <c r="R125" s="7" t="s">
        <v>29</v>
      </c>
      <c r="S125" s="7" t="s">
        <v>29</v>
      </c>
    </row>
    <row r="126" spans="2:19">
      <c r="B126" s="7" t="s">
        <v>195</v>
      </c>
      <c r="C126" s="8" t="s">
        <v>195</v>
      </c>
      <c r="D126" s="6" t="str">
        <f>LRTRIM(CONCATENATE(IF(SUMPRODUCT(-- ISNUMBER(SEARCH({"Auto Number"}, $B126))) &gt; 0, $B126, IF(SUMPRODUCT(-- ISNUMBER(SEARCH({"Lookup","Master-Detail"}, $B126))) &gt; 0,$B126 &amp; "(" &amp; $E126 &amp; ")",IF(SUMPRODUCT(-- ISNUMBER(SEARCH({"Formula","Roll-Up Summary"}, $B126))) &gt; 0,$B126 &amp; " (" &amp; $E126 &amp; ")",IF(SUMPRODUCT(-- ISNUMBER(SEARCH({"Content","Currency","Number","Percent","Text","URL"}, $B126))) &gt; 0,$B126 &amp; "(" &amp; $C126 &amp; ")",$B126)))), "  ", TRIM(IF($S126 = "YES", "(External ID)", "") &amp; " " &amp; IF(SUMPRODUCT(-- ISNUMBER(SEARCH({"Unique","Unique Case Insensitive"}, $R126))) &gt; 0, "(" &amp; $R126 &amp; ")", ""))))</f>
        <v>na</v>
      </c>
      <c r="E126" s="7" t="s">
        <v>195</v>
      </c>
      <c r="F126" s="7" t="s">
        <v>195</v>
      </c>
      <c r="G126" s="7" t="s">
        <v>195</v>
      </c>
      <c r="H126" s="7" t="s">
        <v>195</v>
      </c>
      <c r="I126" s="7" t="s">
        <v>195</v>
      </c>
      <c r="J126" s="7" t="s">
        <v>195</v>
      </c>
      <c r="K126" s="7" t="s">
        <v>195</v>
      </c>
      <c r="L126" s="7" t="s">
        <v>195</v>
      </c>
      <c r="M126" s="7" t="s">
        <v>29</v>
      </c>
      <c r="N126" s="7" t="s">
        <v>29</v>
      </c>
      <c r="O126" s="7" t="s">
        <v>29</v>
      </c>
      <c r="P126" s="7" t="s">
        <v>29</v>
      </c>
      <c r="Q126" s="7" t="s">
        <v>29</v>
      </c>
      <c r="R126" s="7" t="s">
        <v>29</v>
      </c>
      <c r="S126" s="7" t="s">
        <v>29</v>
      </c>
    </row>
    <row r="127" spans="2:19">
      <c r="B127" s="7" t="s">
        <v>195</v>
      </c>
      <c r="C127" s="8" t="s">
        <v>195</v>
      </c>
      <c r="D127" s="6" t="str">
        <f>LRTRIM(CONCATENATE(IF(SUMPRODUCT(-- ISNUMBER(SEARCH({"Auto Number"}, $B127))) &gt; 0, $B127, IF(SUMPRODUCT(-- ISNUMBER(SEARCH({"Lookup","Master-Detail"}, $B127))) &gt; 0,$B127 &amp; "(" &amp; $E127 &amp; ")",IF(SUMPRODUCT(-- ISNUMBER(SEARCH({"Formula","Roll-Up Summary"}, $B127))) &gt; 0,$B127 &amp; " (" &amp; $E127 &amp; ")",IF(SUMPRODUCT(-- ISNUMBER(SEARCH({"Content","Currency","Number","Percent","Text","URL"}, $B127))) &gt; 0,$B127 &amp; "(" &amp; $C127 &amp; ")",$B127)))), "  ", TRIM(IF($S127 = "YES", "(External ID)", "") &amp; " " &amp; IF(SUMPRODUCT(-- ISNUMBER(SEARCH({"Unique","Unique Case Insensitive"}, $R127))) &gt; 0, "(" &amp; $R127 &amp; ")", ""))))</f>
        <v>na</v>
      </c>
      <c r="E127" s="7" t="s">
        <v>195</v>
      </c>
      <c r="F127" s="7" t="s">
        <v>195</v>
      </c>
      <c r="G127" s="7" t="s">
        <v>195</v>
      </c>
      <c r="H127" s="7" t="s">
        <v>195</v>
      </c>
      <c r="I127" s="7" t="s">
        <v>195</v>
      </c>
      <c r="J127" s="7" t="s">
        <v>195</v>
      </c>
      <c r="K127" s="7" t="s">
        <v>195</v>
      </c>
      <c r="L127" s="7" t="s">
        <v>195</v>
      </c>
      <c r="M127" s="7" t="s">
        <v>29</v>
      </c>
      <c r="N127" s="7" t="s">
        <v>29</v>
      </c>
      <c r="O127" s="7" t="s">
        <v>29</v>
      </c>
      <c r="P127" s="7" t="s">
        <v>29</v>
      </c>
      <c r="Q127" s="7" t="s">
        <v>29</v>
      </c>
      <c r="R127" s="7" t="s">
        <v>29</v>
      </c>
      <c r="S127" s="7" t="s">
        <v>29</v>
      </c>
    </row>
    <row r="128" spans="2:19">
      <c r="B128" s="7" t="s">
        <v>195</v>
      </c>
      <c r="C128" s="8" t="s">
        <v>195</v>
      </c>
      <c r="D128" s="6" t="str">
        <f>LRTRIM(CONCATENATE(IF(SUMPRODUCT(-- ISNUMBER(SEARCH({"Auto Number"}, $B128))) &gt; 0, $B128, IF(SUMPRODUCT(-- ISNUMBER(SEARCH({"Lookup","Master-Detail"}, $B128))) &gt; 0,$B128 &amp; "(" &amp; $E128 &amp; ")",IF(SUMPRODUCT(-- ISNUMBER(SEARCH({"Formula","Roll-Up Summary"}, $B128))) &gt; 0,$B128 &amp; " (" &amp; $E128 &amp; ")",IF(SUMPRODUCT(-- ISNUMBER(SEARCH({"Content","Currency","Number","Percent","Text","URL"}, $B128))) &gt; 0,$B128 &amp; "(" &amp; $C128 &amp; ")",$B128)))), "  ", TRIM(IF($S128 = "YES", "(External ID)", "") &amp; " " &amp; IF(SUMPRODUCT(-- ISNUMBER(SEARCH({"Unique","Unique Case Insensitive"}, $R128))) &gt; 0, "(" &amp; $R128 &amp; ")", ""))))</f>
        <v>na</v>
      </c>
      <c r="E128" s="7" t="s">
        <v>195</v>
      </c>
      <c r="F128" s="7" t="s">
        <v>195</v>
      </c>
      <c r="G128" s="7" t="s">
        <v>195</v>
      </c>
      <c r="H128" s="7" t="s">
        <v>195</v>
      </c>
      <c r="I128" s="7" t="s">
        <v>195</v>
      </c>
      <c r="J128" s="7" t="s">
        <v>195</v>
      </c>
      <c r="K128" s="7" t="s">
        <v>195</v>
      </c>
      <c r="L128" s="7" t="s">
        <v>195</v>
      </c>
      <c r="M128" s="7" t="s">
        <v>29</v>
      </c>
      <c r="N128" s="7" t="s">
        <v>29</v>
      </c>
      <c r="O128" s="7" t="s">
        <v>29</v>
      </c>
      <c r="P128" s="7" t="s">
        <v>29</v>
      </c>
      <c r="Q128" s="7" t="s">
        <v>29</v>
      </c>
      <c r="R128" s="7" t="s">
        <v>29</v>
      </c>
      <c r="S128" s="7" t="s">
        <v>29</v>
      </c>
    </row>
    <row r="129" spans="2:19">
      <c r="B129" s="7" t="s">
        <v>195</v>
      </c>
      <c r="C129" s="8" t="s">
        <v>195</v>
      </c>
      <c r="D129" s="6" t="str">
        <f>LRTRIM(CONCATENATE(IF(SUMPRODUCT(-- ISNUMBER(SEARCH({"Auto Number"}, $B129))) &gt; 0, $B129, IF(SUMPRODUCT(-- ISNUMBER(SEARCH({"Lookup","Master-Detail"}, $B129))) &gt; 0,$B129 &amp; "(" &amp; $E129 &amp; ")",IF(SUMPRODUCT(-- ISNUMBER(SEARCH({"Formula","Roll-Up Summary"}, $B129))) &gt; 0,$B129 &amp; " (" &amp; $E129 &amp; ")",IF(SUMPRODUCT(-- ISNUMBER(SEARCH({"Content","Currency","Number","Percent","Text","URL"}, $B129))) &gt; 0,$B129 &amp; "(" &amp; $C129 &amp; ")",$B129)))), "  ", TRIM(IF($S129 = "YES", "(External ID)", "") &amp; " " &amp; IF(SUMPRODUCT(-- ISNUMBER(SEARCH({"Unique","Unique Case Insensitive"}, $R129))) &gt; 0, "(" &amp; $R129 &amp; ")", ""))))</f>
        <v>na</v>
      </c>
      <c r="E129" s="7" t="s">
        <v>195</v>
      </c>
      <c r="F129" s="7" t="s">
        <v>195</v>
      </c>
      <c r="G129" s="7" t="s">
        <v>195</v>
      </c>
      <c r="H129" s="7" t="s">
        <v>195</v>
      </c>
      <c r="I129" s="7" t="s">
        <v>195</v>
      </c>
      <c r="J129" s="7" t="s">
        <v>195</v>
      </c>
      <c r="K129" s="7" t="s">
        <v>195</v>
      </c>
      <c r="L129" s="7" t="s">
        <v>195</v>
      </c>
      <c r="M129" s="7" t="s">
        <v>29</v>
      </c>
      <c r="N129" s="7" t="s">
        <v>29</v>
      </c>
      <c r="O129" s="7" t="s">
        <v>29</v>
      </c>
      <c r="P129" s="7" t="s">
        <v>29</v>
      </c>
      <c r="Q129" s="7" t="s">
        <v>29</v>
      </c>
      <c r="R129" s="7" t="s">
        <v>29</v>
      </c>
      <c r="S129" s="7" t="s">
        <v>29</v>
      </c>
    </row>
    <row r="130" spans="2:19">
      <c r="B130" s="7" t="s">
        <v>195</v>
      </c>
      <c r="C130" s="8" t="s">
        <v>195</v>
      </c>
      <c r="D130" s="6" t="str">
        <f>LRTRIM(CONCATENATE(IF(SUMPRODUCT(-- ISNUMBER(SEARCH({"Auto Number"}, $B130))) &gt; 0, $B130, IF(SUMPRODUCT(-- ISNUMBER(SEARCH({"Lookup","Master-Detail"}, $B130))) &gt; 0,$B130 &amp; "(" &amp; $E130 &amp; ")",IF(SUMPRODUCT(-- ISNUMBER(SEARCH({"Formula","Roll-Up Summary"}, $B130))) &gt; 0,$B130 &amp; " (" &amp; $E130 &amp; ")",IF(SUMPRODUCT(-- ISNUMBER(SEARCH({"Content","Currency","Number","Percent","Text","URL"}, $B130))) &gt; 0,$B130 &amp; "(" &amp; $C130 &amp; ")",$B130)))), "  ", TRIM(IF($S130 = "YES", "(External ID)", "") &amp; " " &amp; IF(SUMPRODUCT(-- ISNUMBER(SEARCH({"Unique","Unique Case Insensitive"}, $R130))) &gt; 0, "(" &amp; $R130 &amp; ")", ""))))</f>
        <v>na</v>
      </c>
      <c r="E130" s="7" t="s">
        <v>195</v>
      </c>
      <c r="F130" s="7" t="s">
        <v>195</v>
      </c>
      <c r="G130" s="7" t="s">
        <v>195</v>
      </c>
      <c r="H130" s="7" t="s">
        <v>195</v>
      </c>
      <c r="I130" s="7" t="s">
        <v>195</v>
      </c>
      <c r="J130" s="7" t="s">
        <v>195</v>
      </c>
      <c r="K130" s="7" t="s">
        <v>195</v>
      </c>
      <c r="L130" s="7" t="s">
        <v>195</v>
      </c>
      <c r="M130" s="7" t="s">
        <v>29</v>
      </c>
      <c r="N130" s="7" t="s">
        <v>29</v>
      </c>
      <c r="O130" s="7" t="s">
        <v>29</v>
      </c>
      <c r="P130" s="7" t="s">
        <v>29</v>
      </c>
      <c r="Q130" s="7" t="s">
        <v>29</v>
      </c>
      <c r="R130" s="7" t="s">
        <v>29</v>
      </c>
      <c r="S130" s="7" t="s">
        <v>29</v>
      </c>
    </row>
    <row r="131" spans="2:19">
      <c r="B131" s="7" t="s">
        <v>195</v>
      </c>
      <c r="C131" s="8" t="s">
        <v>195</v>
      </c>
      <c r="D131" s="6" t="str">
        <f>LRTRIM(CONCATENATE(IF(SUMPRODUCT(-- ISNUMBER(SEARCH({"Auto Number"}, $B131))) &gt; 0, $B131, IF(SUMPRODUCT(-- ISNUMBER(SEARCH({"Lookup","Master-Detail"}, $B131))) &gt; 0,$B131 &amp; "(" &amp; $E131 &amp; ")",IF(SUMPRODUCT(-- ISNUMBER(SEARCH({"Formula","Roll-Up Summary"}, $B131))) &gt; 0,$B131 &amp; " (" &amp; $E131 &amp; ")",IF(SUMPRODUCT(-- ISNUMBER(SEARCH({"Content","Currency","Number","Percent","Text","URL"}, $B131))) &gt; 0,$B131 &amp; "(" &amp; $C131 &amp; ")",$B131)))), "  ", TRIM(IF($S131 = "YES", "(External ID)", "") &amp; " " &amp; IF(SUMPRODUCT(-- ISNUMBER(SEARCH({"Unique","Unique Case Insensitive"}, $R131))) &gt; 0, "(" &amp; $R131 &amp; ")", ""))))</f>
        <v>na</v>
      </c>
      <c r="E131" s="7" t="s">
        <v>195</v>
      </c>
      <c r="F131" s="7" t="s">
        <v>195</v>
      </c>
      <c r="G131" s="7" t="s">
        <v>195</v>
      </c>
      <c r="H131" s="7" t="s">
        <v>195</v>
      </c>
      <c r="I131" s="7" t="s">
        <v>195</v>
      </c>
      <c r="J131" s="7" t="s">
        <v>195</v>
      </c>
      <c r="K131" s="7" t="s">
        <v>195</v>
      </c>
      <c r="L131" s="7" t="s">
        <v>195</v>
      </c>
      <c r="M131" s="7" t="s">
        <v>29</v>
      </c>
      <c r="N131" s="7" t="s">
        <v>29</v>
      </c>
      <c r="O131" s="7" t="s">
        <v>29</v>
      </c>
      <c r="P131" s="7" t="s">
        <v>29</v>
      </c>
      <c r="Q131" s="7" t="s">
        <v>29</v>
      </c>
      <c r="R131" s="7" t="s">
        <v>29</v>
      </c>
      <c r="S131" s="7" t="s">
        <v>29</v>
      </c>
    </row>
    <row r="132" spans="2:19">
      <c r="B132" s="7" t="s">
        <v>195</v>
      </c>
      <c r="C132" s="8" t="s">
        <v>195</v>
      </c>
      <c r="D132" s="6" t="str">
        <f>LRTRIM(CONCATENATE(IF(SUMPRODUCT(-- ISNUMBER(SEARCH({"Auto Number"}, $B132))) &gt; 0, $B132, IF(SUMPRODUCT(-- ISNUMBER(SEARCH({"Lookup","Master-Detail"}, $B132))) &gt; 0,$B132 &amp; "(" &amp; $E132 &amp; ")",IF(SUMPRODUCT(-- ISNUMBER(SEARCH({"Formula","Roll-Up Summary"}, $B132))) &gt; 0,$B132 &amp; " (" &amp; $E132 &amp; ")",IF(SUMPRODUCT(-- ISNUMBER(SEARCH({"Content","Currency","Number","Percent","Text","URL"}, $B132))) &gt; 0,$B132 &amp; "(" &amp; $C132 &amp; ")",$B132)))), "  ", TRIM(IF($S132 = "YES", "(External ID)", "") &amp; " " &amp; IF(SUMPRODUCT(-- ISNUMBER(SEARCH({"Unique","Unique Case Insensitive"}, $R132))) &gt; 0, "(" &amp; $R132 &amp; ")", ""))))</f>
        <v>na</v>
      </c>
      <c r="E132" s="7" t="s">
        <v>195</v>
      </c>
      <c r="F132" s="7" t="s">
        <v>195</v>
      </c>
      <c r="G132" s="7" t="s">
        <v>195</v>
      </c>
      <c r="H132" s="7" t="s">
        <v>195</v>
      </c>
      <c r="I132" s="7" t="s">
        <v>195</v>
      </c>
      <c r="J132" s="7" t="s">
        <v>195</v>
      </c>
      <c r="K132" s="7" t="s">
        <v>195</v>
      </c>
      <c r="L132" s="7" t="s">
        <v>195</v>
      </c>
      <c r="M132" s="7" t="s">
        <v>29</v>
      </c>
      <c r="N132" s="7" t="s">
        <v>29</v>
      </c>
      <c r="O132" s="7" t="s">
        <v>29</v>
      </c>
      <c r="P132" s="7" t="s">
        <v>29</v>
      </c>
      <c r="Q132" s="7" t="s">
        <v>29</v>
      </c>
      <c r="R132" s="7" t="s">
        <v>29</v>
      </c>
      <c r="S132" s="7" t="s">
        <v>29</v>
      </c>
    </row>
    <row r="133" spans="2:19">
      <c r="B133" s="7" t="s">
        <v>195</v>
      </c>
      <c r="C133" s="8" t="s">
        <v>195</v>
      </c>
      <c r="D133" s="6" t="str">
        <f>LRTRIM(CONCATENATE(IF(SUMPRODUCT(-- ISNUMBER(SEARCH({"Auto Number"}, $B133))) &gt; 0, $B133, IF(SUMPRODUCT(-- ISNUMBER(SEARCH({"Lookup","Master-Detail"}, $B133))) &gt; 0,$B133 &amp; "(" &amp; $E133 &amp; ")",IF(SUMPRODUCT(-- ISNUMBER(SEARCH({"Formula","Roll-Up Summary"}, $B133))) &gt; 0,$B133 &amp; " (" &amp; $E133 &amp; ")",IF(SUMPRODUCT(-- ISNUMBER(SEARCH({"Content","Currency","Number","Percent","Text","URL"}, $B133))) &gt; 0,$B133 &amp; "(" &amp; $C133 &amp; ")",$B133)))), "  ", TRIM(IF($S133 = "YES", "(External ID)", "") &amp; " " &amp; IF(SUMPRODUCT(-- ISNUMBER(SEARCH({"Unique","Unique Case Insensitive"}, $R133))) &gt; 0, "(" &amp; $R133 &amp; ")", ""))))</f>
        <v>na</v>
      </c>
      <c r="E133" s="7" t="s">
        <v>195</v>
      </c>
      <c r="F133" s="7" t="s">
        <v>195</v>
      </c>
      <c r="G133" s="7" t="s">
        <v>195</v>
      </c>
      <c r="H133" s="7" t="s">
        <v>195</v>
      </c>
      <c r="I133" s="7" t="s">
        <v>195</v>
      </c>
      <c r="J133" s="7" t="s">
        <v>195</v>
      </c>
      <c r="K133" s="7" t="s">
        <v>195</v>
      </c>
      <c r="L133" s="7" t="s">
        <v>195</v>
      </c>
      <c r="M133" s="7" t="s">
        <v>29</v>
      </c>
      <c r="N133" s="7" t="s">
        <v>29</v>
      </c>
      <c r="O133" s="7" t="s">
        <v>29</v>
      </c>
      <c r="P133" s="7" t="s">
        <v>29</v>
      </c>
      <c r="Q133" s="7" t="s">
        <v>29</v>
      </c>
      <c r="R133" s="7" t="s">
        <v>29</v>
      </c>
      <c r="S133" s="7" t="s">
        <v>29</v>
      </c>
    </row>
    <row r="134" spans="2:19">
      <c r="B134" s="7" t="s">
        <v>195</v>
      </c>
      <c r="C134" s="8" t="s">
        <v>195</v>
      </c>
      <c r="D134" s="6" t="str">
        <f>LRTRIM(CONCATENATE(IF(SUMPRODUCT(-- ISNUMBER(SEARCH({"Auto Number"}, $B134))) &gt; 0, $B134, IF(SUMPRODUCT(-- ISNUMBER(SEARCH({"Lookup","Master-Detail"}, $B134))) &gt; 0,$B134 &amp; "(" &amp; $E134 &amp; ")",IF(SUMPRODUCT(-- ISNUMBER(SEARCH({"Formula","Roll-Up Summary"}, $B134))) &gt; 0,$B134 &amp; " (" &amp; $E134 &amp; ")",IF(SUMPRODUCT(-- ISNUMBER(SEARCH({"Content","Currency","Number","Percent","Text","URL"}, $B134))) &gt; 0,$B134 &amp; "(" &amp; $C134 &amp; ")",$B134)))), "  ", TRIM(IF($S134 = "YES", "(External ID)", "") &amp; " " &amp; IF(SUMPRODUCT(-- ISNUMBER(SEARCH({"Unique","Unique Case Insensitive"}, $R134))) &gt; 0, "(" &amp; $R134 &amp; ")", ""))))</f>
        <v>na</v>
      </c>
      <c r="E134" s="7" t="s">
        <v>195</v>
      </c>
      <c r="F134" s="7" t="s">
        <v>195</v>
      </c>
      <c r="G134" s="7" t="s">
        <v>195</v>
      </c>
      <c r="H134" s="7" t="s">
        <v>195</v>
      </c>
      <c r="I134" s="7" t="s">
        <v>195</v>
      </c>
      <c r="J134" s="7" t="s">
        <v>195</v>
      </c>
      <c r="K134" s="7" t="s">
        <v>195</v>
      </c>
      <c r="L134" s="7" t="s">
        <v>195</v>
      </c>
      <c r="M134" s="7" t="s">
        <v>29</v>
      </c>
      <c r="N134" s="7" t="s">
        <v>29</v>
      </c>
      <c r="O134" s="7" t="s">
        <v>29</v>
      </c>
      <c r="P134" s="7" t="s">
        <v>29</v>
      </c>
      <c r="Q134" s="7" t="s">
        <v>29</v>
      </c>
      <c r="R134" s="7" t="s">
        <v>29</v>
      </c>
      <c r="S134" s="7" t="s">
        <v>29</v>
      </c>
    </row>
    <row r="135" spans="2:19">
      <c r="B135" s="7" t="s">
        <v>195</v>
      </c>
      <c r="C135" s="8" t="s">
        <v>195</v>
      </c>
      <c r="D135" s="6" t="str">
        <f>LRTRIM(CONCATENATE(IF(SUMPRODUCT(-- ISNUMBER(SEARCH({"Auto Number"}, $B135))) &gt; 0, $B135, IF(SUMPRODUCT(-- ISNUMBER(SEARCH({"Lookup","Master-Detail"}, $B135))) &gt; 0,$B135 &amp; "(" &amp; $E135 &amp; ")",IF(SUMPRODUCT(-- ISNUMBER(SEARCH({"Formula","Roll-Up Summary"}, $B135))) &gt; 0,$B135 &amp; " (" &amp; $E135 &amp; ")",IF(SUMPRODUCT(-- ISNUMBER(SEARCH({"Content","Currency","Number","Percent","Text","URL"}, $B135))) &gt; 0,$B135 &amp; "(" &amp; $C135 &amp; ")",$B135)))), "  ", TRIM(IF($S135 = "YES", "(External ID)", "") &amp; " " &amp; IF(SUMPRODUCT(-- ISNUMBER(SEARCH({"Unique","Unique Case Insensitive"}, $R135))) &gt; 0, "(" &amp; $R135 &amp; ")", ""))))</f>
        <v>na</v>
      </c>
      <c r="E135" s="7" t="s">
        <v>195</v>
      </c>
      <c r="F135" s="7" t="s">
        <v>195</v>
      </c>
      <c r="G135" s="7" t="s">
        <v>195</v>
      </c>
      <c r="H135" s="7" t="s">
        <v>195</v>
      </c>
      <c r="I135" s="7" t="s">
        <v>195</v>
      </c>
      <c r="J135" s="7" t="s">
        <v>195</v>
      </c>
      <c r="K135" s="7" t="s">
        <v>195</v>
      </c>
      <c r="L135" s="7" t="s">
        <v>195</v>
      </c>
      <c r="M135" s="7" t="s">
        <v>29</v>
      </c>
      <c r="N135" s="7" t="s">
        <v>29</v>
      </c>
      <c r="O135" s="7" t="s">
        <v>29</v>
      </c>
      <c r="P135" s="7" t="s">
        <v>29</v>
      </c>
      <c r="Q135" s="7" t="s">
        <v>29</v>
      </c>
      <c r="R135" s="7" t="s">
        <v>29</v>
      </c>
      <c r="S135" s="7" t="s">
        <v>29</v>
      </c>
    </row>
    <row r="136" spans="2:19">
      <c r="B136" s="7" t="s">
        <v>195</v>
      </c>
      <c r="C136" s="8" t="s">
        <v>195</v>
      </c>
      <c r="D136" s="6" t="str">
        <f>LRTRIM(CONCATENATE(IF(SUMPRODUCT(-- ISNUMBER(SEARCH({"Auto Number"}, $B136))) &gt; 0, $B136, IF(SUMPRODUCT(-- ISNUMBER(SEARCH({"Lookup","Master-Detail"}, $B136))) &gt; 0,$B136 &amp; "(" &amp; $E136 &amp; ")",IF(SUMPRODUCT(-- ISNUMBER(SEARCH({"Formula","Roll-Up Summary"}, $B136))) &gt; 0,$B136 &amp; " (" &amp; $E136 &amp; ")",IF(SUMPRODUCT(-- ISNUMBER(SEARCH({"Content","Currency","Number","Percent","Text","URL"}, $B136))) &gt; 0,$B136 &amp; "(" &amp; $C136 &amp; ")",$B136)))), "  ", TRIM(IF($S136 = "YES", "(External ID)", "") &amp; " " &amp; IF(SUMPRODUCT(-- ISNUMBER(SEARCH({"Unique","Unique Case Insensitive"}, $R136))) &gt; 0, "(" &amp; $R136 &amp; ")", ""))))</f>
        <v>na</v>
      </c>
      <c r="E136" s="7" t="s">
        <v>195</v>
      </c>
      <c r="F136" s="7" t="s">
        <v>195</v>
      </c>
      <c r="G136" s="7" t="s">
        <v>195</v>
      </c>
      <c r="H136" s="7" t="s">
        <v>195</v>
      </c>
      <c r="I136" s="7" t="s">
        <v>195</v>
      </c>
      <c r="J136" s="7" t="s">
        <v>195</v>
      </c>
      <c r="K136" s="7" t="s">
        <v>195</v>
      </c>
      <c r="L136" s="7" t="s">
        <v>195</v>
      </c>
      <c r="M136" s="7" t="s">
        <v>29</v>
      </c>
      <c r="N136" s="7" t="s">
        <v>29</v>
      </c>
      <c r="O136" s="7" t="s">
        <v>29</v>
      </c>
      <c r="P136" s="7" t="s">
        <v>29</v>
      </c>
      <c r="Q136" s="7" t="s">
        <v>29</v>
      </c>
      <c r="R136" s="7" t="s">
        <v>29</v>
      </c>
      <c r="S136" s="7" t="s">
        <v>29</v>
      </c>
    </row>
    <row r="137" spans="2:19">
      <c r="B137" s="7" t="s">
        <v>195</v>
      </c>
      <c r="C137" s="8" t="s">
        <v>195</v>
      </c>
      <c r="D137" s="6" t="str">
        <f>LRTRIM(CONCATENATE(IF(SUMPRODUCT(-- ISNUMBER(SEARCH({"Auto Number"}, $B137))) &gt; 0, $B137, IF(SUMPRODUCT(-- ISNUMBER(SEARCH({"Lookup","Master-Detail"}, $B137))) &gt; 0,$B137 &amp; "(" &amp; $E137 &amp; ")",IF(SUMPRODUCT(-- ISNUMBER(SEARCH({"Formula","Roll-Up Summary"}, $B137))) &gt; 0,$B137 &amp; " (" &amp; $E137 &amp; ")",IF(SUMPRODUCT(-- ISNUMBER(SEARCH({"Content","Currency","Number","Percent","Text","URL"}, $B137))) &gt; 0,$B137 &amp; "(" &amp; $C137 &amp; ")",$B137)))), "  ", TRIM(IF($S137 = "YES", "(External ID)", "") &amp; " " &amp; IF(SUMPRODUCT(-- ISNUMBER(SEARCH({"Unique","Unique Case Insensitive"}, $R137))) &gt; 0, "(" &amp; $R137 &amp; ")", ""))))</f>
        <v>na</v>
      </c>
      <c r="E137" s="7" t="s">
        <v>195</v>
      </c>
      <c r="F137" s="7" t="s">
        <v>195</v>
      </c>
      <c r="G137" s="7" t="s">
        <v>195</v>
      </c>
      <c r="H137" s="7" t="s">
        <v>195</v>
      </c>
      <c r="I137" s="7" t="s">
        <v>195</v>
      </c>
      <c r="J137" s="7" t="s">
        <v>195</v>
      </c>
      <c r="K137" s="7" t="s">
        <v>195</v>
      </c>
      <c r="L137" s="7" t="s">
        <v>195</v>
      </c>
      <c r="M137" s="7" t="s">
        <v>29</v>
      </c>
      <c r="N137" s="7" t="s">
        <v>29</v>
      </c>
      <c r="O137" s="7" t="s">
        <v>29</v>
      </c>
      <c r="P137" s="7" t="s">
        <v>29</v>
      </c>
      <c r="Q137" s="7" t="s">
        <v>29</v>
      </c>
      <c r="R137" s="7" t="s">
        <v>29</v>
      </c>
      <c r="S137" s="7" t="s">
        <v>29</v>
      </c>
    </row>
    <row r="138" spans="2:19">
      <c r="B138" s="7" t="s">
        <v>195</v>
      </c>
      <c r="C138" s="8" t="s">
        <v>195</v>
      </c>
      <c r="D138" s="6" t="str">
        <f>LRTRIM(CONCATENATE(IF(SUMPRODUCT(-- ISNUMBER(SEARCH({"Auto Number"}, $B138))) &gt; 0, $B138, IF(SUMPRODUCT(-- ISNUMBER(SEARCH({"Lookup","Master-Detail"}, $B138))) &gt; 0,$B138 &amp; "(" &amp; $E138 &amp; ")",IF(SUMPRODUCT(-- ISNUMBER(SEARCH({"Formula","Roll-Up Summary"}, $B138))) &gt; 0,$B138 &amp; " (" &amp; $E138 &amp; ")",IF(SUMPRODUCT(-- ISNUMBER(SEARCH({"Content","Currency","Number","Percent","Text","URL"}, $B138))) &gt; 0,$B138 &amp; "(" &amp; $C138 &amp; ")",$B138)))), "  ", TRIM(IF($S138 = "YES", "(External ID)", "") &amp; " " &amp; IF(SUMPRODUCT(-- ISNUMBER(SEARCH({"Unique","Unique Case Insensitive"}, $R138))) &gt; 0, "(" &amp; $R138 &amp; ")", ""))))</f>
        <v>na</v>
      </c>
      <c r="E138" s="7" t="s">
        <v>195</v>
      </c>
      <c r="F138" s="7" t="s">
        <v>195</v>
      </c>
      <c r="G138" s="7" t="s">
        <v>195</v>
      </c>
      <c r="H138" s="7" t="s">
        <v>195</v>
      </c>
      <c r="I138" s="7" t="s">
        <v>195</v>
      </c>
      <c r="J138" s="7" t="s">
        <v>195</v>
      </c>
      <c r="K138" s="7" t="s">
        <v>195</v>
      </c>
      <c r="L138" s="7" t="s">
        <v>195</v>
      </c>
      <c r="M138" s="7" t="s">
        <v>29</v>
      </c>
      <c r="N138" s="7" t="s">
        <v>29</v>
      </c>
      <c r="O138" s="7" t="s">
        <v>29</v>
      </c>
      <c r="P138" s="7" t="s">
        <v>29</v>
      </c>
      <c r="Q138" s="7" t="s">
        <v>29</v>
      </c>
      <c r="R138" s="7" t="s">
        <v>29</v>
      </c>
      <c r="S138" s="7" t="s">
        <v>29</v>
      </c>
    </row>
    <row r="139" spans="2:19">
      <c r="B139" s="7" t="s">
        <v>195</v>
      </c>
      <c r="C139" s="8" t="s">
        <v>195</v>
      </c>
      <c r="D139" s="6" t="str">
        <f>LRTRIM(CONCATENATE(IF(SUMPRODUCT(-- ISNUMBER(SEARCH({"Auto Number"}, $B139))) &gt; 0, $B139, IF(SUMPRODUCT(-- ISNUMBER(SEARCH({"Lookup","Master-Detail"}, $B139))) &gt; 0,$B139 &amp; "(" &amp; $E139 &amp; ")",IF(SUMPRODUCT(-- ISNUMBER(SEARCH({"Formula","Roll-Up Summary"}, $B139))) &gt; 0,$B139 &amp; " (" &amp; $E139 &amp; ")",IF(SUMPRODUCT(-- ISNUMBER(SEARCH({"Content","Currency","Number","Percent","Text","URL"}, $B139))) &gt; 0,$B139 &amp; "(" &amp; $C139 &amp; ")",$B139)))), "  ", TRIM(IF($S139 = "YES", "(External ID)", "") &amp; " " &amp; IF(SUMPRODUCT(-- ISNUMBER(SEARCH({"Unique","Unique Case Insensitive"}, $R139))) &gt; 0, "(" &amp; $R139 &amp; ")", ""))))</f>
        <v>na</v>
      </c>
      <c r="E139" s="7" t="s">
        <v>195</v>
      </c>
      <c r="F139" s="7" t="s">
        <v>195</v>
      </c>
      <c r="G139" s="7" t="s">
        <v>195</v>
      </c>
      <c r="H139" s="7" t="s">
        <v>195</v>
      </c>
      <c r="I139" s="7" t="s">
        <v>195</v>
      </c>
      <c r="J139" s="7" t="s">
        <v>195</v>
      </c>
      <c r="K139" s="7" t="s">
        <v>195</v>
      </c>
      <c r="L139" s="7" t="s">
        <v>195</v>
      </c>
      <c r="M139" s="7" t="s">
        <v>29</v>
      </c>
      <c r="N139" s="7" t="s">
        <v>29</v>
      </c>
      <c r="O139" s="7" t="s">
        <v>29</v>
      </c>
      <c r="P139" s="7" t="s">
        <v>29</v>
      </c>
      <c r="Q139" s="7" t="s">
        <v>29</v>
      </c>
      <c r="R139" s="7" t="s">
        <v>29</v>
      </c>
      <c r="S139" s="7" t="s">
        <v>29</v>
      </c>
    </row>
    <row r="140" spans="2:19">
      <c r="B140" s="7" t="s">
        <v>195</v>
      </c>
      <c r="C140" s="8" t="s">
        <v>195</v>
      </c>
      <c r="D140" s="6" t="str">
        <f>LRTRIM(CONCATENATE(IF(SUMPRODUCT(-- ISNUMBER(SEARCH({"Auto Number"}, $B140))) &gt; 0, $B140, IF(SUMPRODUCT(-- ISNUMBER(SEARCH({"Lookup","Master-Detail"}, $B140))) &gt; 0,$B140 &amp; "(" &amp; $E140 &amp; ")",IF(SUMPRODUCT(-- ISNUMBER(SEARCH({"Formula","Roll-Up Summary"}, $B140))) &gt; 0,$B140 &amp; " (" &amp; $E140 &amp; ")",IF(SUMPRODUCT(-- ISNUMBER(SEARCH({"Content","Currency","Number","Percent","Text","URL"}, $B140))) &gt; 0,$B140 &amp; "(" &amp; $C140 &amp; ")",$B140)))), "  ", TRIM(IF($S140 = "YES", "(External ID)", "") &amp; " " &amp; IF(SUMPRODUCT(-- ISNUMBER(SEARCH({"Unique","Unique Case Insensitive"}, $R140))) &gt; 0, "(" &amp; $R140 &amp; ")", ""))))</f>
        <v>na</v>
      </c>
      <c r="E140" s="7" t="s">
        <v>195</v>
      </c>
      <c r="F140" s="7" t="s">
        <v>195</v>
      </c>
      <c r="G140" s="7" t="s">
        <v>195</v>
      </c>
      <c r="H140" s="7" t="s">
        <v>195</v>
      </c>
      <c r="I140" s="7" t="s">
        <v>195</v>
      </c>
      <c r="J140" s="7" t="s">
        <v>195</v>
      </c>
      <c r="K140" s="7" t="s">
        <v>195</v>
      </c>
      <c r="L140" s="7" t="s">
        <v>195</v>
      </c>
      <c r="M140" s="7" t="s">
        <v>29</v>
      </c>
      <c r="N140" s="7" t="s">
        <v>29</v>
      </c>
      <c r="O140" s="7" t="s">
        <v>29</v>
      </c>
      <c r="P140" s="7" t="s">
        <v>29</v>
      </c>
      <c r="Q140" s="7" t="s">
        <v>29</v>
      </c>
      <c r="R140" s="7" t="s">
        <v>29</v>
      </c>
      <c r="S140" s="7" t="s">
        <v>29</v>
      </c>
    </row>
    <row r="141" spans="2:19">
      <c r="B141" s="7" t="s">
        <v>195</v>
      </c>
      <c r="C141" s="8" t="s">
        <v>195</v>
      </c>
      <c r="D141" s="6" t="str">
        <f>LRTRIM(CONCATENATE(IF(SUMPRODUCT(-- ISNUMBER(SEARCH({"Auto Number"}, $B141))) &gt; 0, $B141, IF(SUMPRODUCT(-- ISNUMBER(SEARCH({"Lookup","Master-Detail"}, $B141))) &gt; 0,$B141 &amp; "(" &amp; $E141 &amp; ")",IF(SUMPRODUCT(-- ISNUMBER(SEARCH({"Formula","Roll-Up Summary"}, $B141))) &gt; 0,$B141 &amp; " (" &amp; $E141 &amp; ")",IF(SUMPRODUCT(-- ISNUMBER(SEARCH({"Content","Currency","Number","Percent","Text","URL"}, $B141))) &gt; 0,$B141 &amp; "(" &amp; $C141 &amp; ")",$B141)))), "  ", TRIM(IF($S141 = "YES", "(External ID)", "") &amp; " " &amp; IF(SUMPRODUCT(-- ISNUMBER(SEARCH({"Unique","Unique Case Insensitive"}, $R141))) &gt; 0, "(" &amp; $R141 &amp; ")", ""))))</f>
        <v>na</v>
      </c>
      <c r="E141" s="7" t="s">
        <v>195</v>
      </c>
      <c r="F141" s="7" t="s">
        <v>195</v>
      </c>
      <c r="G141" s="7" t="s">
        <v>195</v>
      </c>
      <c r="H141" s="7" t="s">
        <v>195</v>
      </c>
      <c r="I141" s="7" t="s">
        <v>195</v>
      </c>
      <c r="J141" s="7" t="s">
        <v>195</v>
      </c>
      <c r="K141" s="7" t="s">
        <v>195</v>
      </c>
      <c r="L141" s="7" t="s">
        <v>195</v>
      </c>
      <c r="M141" s="7" t="s">
        <v>29</v>
      </c>
      <c r="N141" s="7" t="s">
        <v>29</v>
      </c>
      <c r="O141" s="7" t="s">
        <v>29</v>
      </c>
      <c r="P141" s="7" t="s">
        <v>29</v>
      </c>
      <c r="Q141" s="7" t="s">
        <v>29</v>
      </c>
      <c r="R141" s="7" t="s">
        <v>29</v>
      </c>
      <c r="S141" s="7" t="s">
        <v>29</v>
      </c>
    </row>
    <row r="142" spans="2:19">
      <c r="B142" s="7" t="s">
        <v>195</v>
      </c>
      <c r="C142" s="8" t="s">
        <v>195</v>
      </c>
      <c r="D142" s="6" t="str">
        <f>LRTRIM(CONCATENATE(IF(SUMPRODUCT(-- ISNUMBER(SEARCH({"Auto Number"}, $B142))) &gt; 0, $B142, IF(SUMPRODUCT(-- ISNUMBER(SEARCH({"Lookup","Master-Detail"}, $B142))) &gt; 0,$B142 &amp; "(" &amp; $E142 &amp; ")",IF(SUMPRODUCT(-- ISNUMBER(SEARCH({"Formula","Roll-Up Summary"}, $B142))) &gt; 0,$B142 &amp; " (" &amp; $E142 &amp; ")",IF(SUMPRODUCT(-- ISNUMBER(SEARCH({"Content","Currency","Number","Percent","Text","URL"}, $B142))) &gt; 0,$B142 &amp; "(" &amp; $C142 &amp; ")",$B142)))), "  ", TRIM(IF($S142 = "YES", "(External ID)", "") &amp; " " &amp; IF(SUMPRODUCT(-- ISNUMBER(SEARCH({"Unique","Unique Case Insensitive"}, $R142))) &gt; 0, "(" &amp; $R142 &amp; ")", ""))))</f>
        <v>na</v>
      </c>
      <c r="E142" s="7" t="s">
        <v>195</v>
      </c>
      <c r="F142" s="7" t="s">
        <v>195</v>
      </c>
      <c r="G142" s="7" t="s">
        <v>195</v>
      </c>
      <c r="H142" s="7" t="s">
        <v>195</v>
      </c>
      <c r="I142" s="7" t="s">
        <v>195</v>
      </c>
      <c r="J142" s="7" t="s">
        <v>195</v>
      </c>
      <c r="K142" s="7" t="s">
        <v>195</v>
      </c>
      <c r="L142" s="7" t="s">
        <v>195</v>
      </c>
      <c r="M142" s="7" t="s">
        <v>29</v>
      </c>
      <c r="N142" s="7" t="s">
        <v>29</v>
      </c>
      <c r="O142" s="7" t="s">
        <v>29</v>
      </c>
      <c r="P142" s="7" t="s">
        <v>29</v>
      </c>
      <c r="Q142" s="7" t="s">
        <v>29</v>
      </c>
      <c r="R142" s="7" t="s">
        <v>29</v>
      </c>
      <c r="S142" s="7" t="s">
        <v>29</v>
      </c>
    </row>
    <row r="143" spans="2:19">
      <c r="B143" s="7" t="s">
        <v>195</v>
      </c>
      <c r="C143" s="8" t="s">
        <v>195</v>
      </c>
      <c r="D143" s="6" t="str">
        <f>LRTRIM(CONCATENATE(IF(SUMPRODUCT(-- ISNUMBER(SEARCH({"Auto Number"}, $B143))) &gt; 0, $B143, IF(SUMPRODUCT(-- ISNUMBER(SEARCH({"Lookup","Master-Detail"}, $B143))) &gt; 0,$B143 &amp; "(" &amp; $E143 &amp; ")",IF(SUMPRODUCT(-- ISNUMBER(SEARCH({"Formula","Roll-Up Summary"}, $B143))) &gt; 0,$B143 &amp; " (" &amp; $E143 &amp; ")",IF(SUMPRODUCT(-- ISNUMBER(SEARCH({"Content","Currency","Number","Percent","Text","URL"}, $B143))) &gt; 0,$B143 &amp; "(" &amp; $C143 &amp; ")",$B143)))), "  ", TRIM(IF($S143 = "YES", "(External ID)", "") &amp; " " &amp; IF(SUMPRODUCT(-- ISNUMBER(SEARCH({"Unique","Unique Case Insensitive"}, $R143))) &gt; 0, "(" &amp; $R143 &amp; ")", ""))))</f>
        <v>na</v>
      </c>
      <c r="E143" s="7" t="s">
        <v>195</v>
      </c>
      <c r="F143" s="7" t="s">
        <v>195</v>
      </c>
      <c r="G143" s="7" t="s">
        <v>195</v>
      </c>
      <c r="H143" s="7" t="s">
        <v>195</v>
      </c>
      <c r="I143" s="7" t="s">
        <v>195</v>
      </c>
      <c r="J143" s="7" t="s">
        <v>195</v>
      </c>
      <c r="K143" s="7" t="s">
        <v>195</v>
      </c>
      <c r="L143" s="7" t="s">
        <v>195</v>
      </c>
      <c r="M143" s="7" t="s">
        <v>29</v>
      </c>
      <c r="N143" s="7" t="s">
        <v>29</v>
      </c>
      <c r="O143" s="7" t="s">
        <v>29</v>
      </c>
      <c r="P143" s="7" t="s">
        <v>29</v>
      </c>
      <c r="Q143" s="7" t="s">
        <v>29</v>
      </c>
      <c r="R143" s="7" t="s">
        <v>29</v>
      </c>
      <c r="S143" s="7" t="s">
        <v>29</v>
      </c>
    </row>
    <row r="144" spans="2:19">
      <c r="B144" s="7" t="s">
        <v>195</v>
      </c>
      <c r="C144" s="8" t="s">
        <v>195</v>
      </c>
      <c r="D144" s="6" t="str">
        <f>LRTRIM(CONCATENATE(IF(SUMPRODUCT(-- ISNUMBER(SEARCH({"Auto Number"}, $B144))) &gt; 0, $B144, IF(SUMPRODUCT(-- ISNUMBER(SEARCH({"Lookup","Master-Detail"}, $B144))) &gt; 0,$B144 &amp; "(" &amp; $E144 &amp; ")",IF(SUMPRODUCT(-- ISNUMBER(SEARCH({"Formula","Roll-Up Summary"}, $B144))) &gt; 0,$B144 &amp; " (" &amp; $E144 &amp; ")",IF(SUMPRODUCT(-- ISNUMBER(SEARCH({"Content","Currency","Number","Percent","Text","URL"}, $B144))) &gt; 0,$B144 &amp; "(" &amp; $C144 &amp; ")",$B144)))), "  ", TRIM(IF($S144 = "YES", "(External ID)", "") &amp; " " &amp; IF(SUMPRODUCT(-- ISNUMBER(SEARCH({"Unique","Unique Case Insensitive"}, $R144))) &gt; 0, "(" &amp; $R144 &amp; ")", ""))))</f>
        <v>na</v>
      </c>
      <c r="E144" s="7" t="s">
        <v>195</v>
      </c>
      <c r="F144" s="7" t="s">
        <v>195</v>
      </c>
      <c r="G144" s="7" t="s">
        <v>195</v>
      </c>
      <c r="H144" s="7" t="s">
        <v>195</v>
      </c>
      <c r="I144" s="7" t="s">
        <v>195</v>
      </c>
      <c r="J144" s="7" t="s">
        <v>195</v>
      </c>
      <c r="K144" s="7" t="s">
        <v>195</v>
      </c>
      <c r="L144" s="7" t="s">
        <v>195</v>
      </c>
      <c r="M144" s="7" t="s">
        <v>29</v>
      </c>
      <c r="N144" s="7" t="s">
        <v>29</v>
      </c>
      <c r="O144" s="7" t="s">
        <v>29</v>
      </c>
      <c r="P144" s="7" t="s">
        <v>29</v>
      </c>
      <c r="Q144" s="7" t="s">
        <v>29</v>
      </c>
      <c r="R144" s="7" t="s">
        <v>29</v>
      </c>
      <c r="S144" s="7" t="s">
        <v>29</v>
      </c>
    </row>
    <row r="145" spans="2:19">
      <c r="B145" s="7" t="s">
        <v>195</v>
      </c>
      <c r="C145" s="8" t="s">
        <v>195</v>
      </c>
      <c r="D145" s="6" t="str">
        <f>LRTRIM(CONCATENATE(IF(SUMPRODUCT(-- ISNUMBER(SEARCH({"Auto Number"}, $B145))) &gt; 0, $B145, IF(SUMPRODUCT(-- ISNUMBER(SEARCH({"Lookup","Master-Detail"}, $B145))) &gt; 0,$B145 &amp; "(" &amp; $E145 &amp; ")",IF(SUMPRODUCT(-- ISNUMBER(SEARCH({"Formula","Roll-Up Summary"}, $B145))) &gt; 0,$B145 &amp; " (" &amp; $E145 &amp; ")",IF(SUMPRODUCT(-- ISNUMBER(SEARCH({"Content","Currency","Number","Percent","Text","URL"}, $B145))) &gt; 0,$B145 &amp; "(" &amp; $C145 &amp; ")",$B145)))), "  ", TRIM(IF($S145 = "YES", "(External ID)", "") &amp; " " &amp; IF(SUMPRODUCT(-- ISNUMBER(SEARCH({"Unique","Unique Case Insensitive"}, $R145))) &gt; 0, "(" &amp; $R145 &amp; ")", ""))))</f>
        <v>na</v>
      </c>
      <c r="E145" s="7" t="s">
        <v>195</v>
      </c>
      <c r="F145" s="7" t="s">
        <v>195</v>
      </c>
      <c r="G145" s="7" t="s">
        <v>195</v>
      </c>
      <c r="H145" s="7" t="s">
        <v>195</v>
      </c>
      <c r="I145" s="7" t="s">
        <v>195</v>
      </c>
      <c r="J145" s="7" t="s">
        <v>195</v>
      </c>
      <c r="K145" s="7" t="s">
        <v>195</v>
      </c>
      <c r="L145" s="7" t="s">
        <v>195</v>
      </c>
      <c r="M145" s="7" t="s">
        <v>29</v>
      </c>
      <c r="N145" s="7" t="s">
        <v>29</v>
      </c>
      <c r="O145" s="7" t="s">
        <v>29</v>
      </c>
      <c r="P145" s="7" t="s">
        <v>29</v>
      </c>
      <c r="Q145" s="7" t="s">
        <v>29</v>
      </c>
      <c r="R145" s="7" t="s">
        <v>29</v>
      </c>
      <c r="S145" s="7" t="s">
        <v>29</v>
      </c>
    </row>
    <row r="146" spans="2:19">
      <c r="B146" s="7" t="s">
        <v>195</v>
      </c>
      <c r="C146" s="8" t="s">
        <v>195</v>
      </c>
      <c r="D146" s="6" t="str">
        <f>LRTRIM(CONCATENATE(IF(SUMPRODUCT(-- ISNUMBER(SEARCH({"Auto Number"}, $B146))) &gt; 0, $B146, IF(SUMPRODUCT(-- ISNUMBER(SEARCH({"Lookup","Master-Detail"}, $B146))) &gt; 0,$B146 &amp; "(" &amp; $E146 &amp; ")",IF(SUMPRODUCT(-- ISNUMBER(SEARCH({"Formula","Roll-Up Summary"}, $B146))) &gt; 0,$B146 &amp; " (" &amp; $E146 &amp; ")",IF(SUMPRODUCT(-- ISNUMBER(SEARCH({"Content","Currency","Number","Percent","Text","URL"}, $B146))) &gt; 0,$B146 &amp; "(" &amp; $C146 &amp; ")",$B146)))), "  ", TRIM(IF($S146 = "YES", "(External ID)", "") &amp; " " &amp; IF(SUMPRODUCT(-- ISNUMBER(SEARCH({"Unique","Unique Case Insensitive"}, $R146))) &gt; 0, "(" &amp; $R146 &amp; ")", ""))))</f>
        <v>na</v>
      </c>
      <c r="E146" s="7" t="s">
        <v>195</v>
      </c>
      <c r="F146" s="7" t="s">
        <v>195</v>
      </c>
      <c r="G146" s="7" t="s">
        <v>195</v>
      </c>
      <c r="H146" s="7" t="s">
        <v>195</v>
      </c>
      <c r="I146" s="7" t="s">
        <v>195</v>
      </c>
      <c r="J146" s="7" t="s">
        <v>195</v>
      </c>
      <c r="K146" s="7" t="s">
        <v>195</v>
      </c>
      <c r="L146" s="7" t="s">
        <v>195</v>
      </c>
      <c r="M146" s="7" t="s">
        <v>29</v>
      </c>
      <c r="N146" s="7" t="s">
        <v>29</v>
      </c>
      <c r="O146" s="7" t="s">
        <v>29</v>
      </c>
      <c r="P146" s="7" t="s">
        <v>29</v>
      </c>
      <c r="Q146" s="7" t="s">
        <v>29</v>
      </c>
      <c r="R146" s="7" t="s">
        <v>29</v>
      </c>
      <c r="S146" s="7" t="s">
        <v>29</v>
      </c>
    </row>
    <row r="147" spans="2:19">
      <c r="B147" s="7" t="s">
        <v>195</v>
      </c>
      <c r="C147" s="8" t="s">
        <v>195</v>
      </c>
      <c r="D147" s="6" t="str">
        <f>LRTRIM(CONCATENATE(IF(SUMPRODUCT(-- ISNUMBER(SEARCH({"Auto Number"}, $B147))) &gt; 0, $B147, IF(SUMPRODUCT(-- ISNUMBER(SEARCH({"Lookup","Master-Detail"}, $B147))) &gt; 0,$B147 &amp; "(" &amp; $E147 &amp; ")",IF(SUMPRODUCT(-- ISNUMBER(SEARCH({"Formula","Roll-Up Summary"}, $B147))) &gt; 0,$B147 &amp; " (" &amp; $E147 &amp; ")",IF(SUMPRODUCT(-- ISNUMBER(SEARCH({"Content","Currency","Number","Percent","Text","URL"}, $B147))) &gt; 0,$B147 &amp; "(" &amp; $C147 &amp; ")",$B147)))), "  ", TRIM(IF($S147 = "YES", "(External ID)", "") &amp; " " &amp; IF(SUMPRODUCT(-- ISNUMBER(SEARCH({"Unique","Unique Case Insensitive"}, $R147))) &gt; 0, "(" &amp; $R147 &amp; ")", ""))))</f>
        <v>na</v>
      </c>
      <c r="E147" s="7" t="s">
        <v>195</v>
      </c>
      <c r="F147" s="7" t="s">
        <v>195</v>
      </c>
      <c r="G147" s="7" t="s">
        <v>195</v>
      </c>
      <c r="H147" s="7" t="s">
        <v>195</v>
      </c>
      <c r="I147" s="7" t="s">
        <v>195</v>
      </c>
      <c r="J147" s="7" t="s">
        <v>195</v>
      </c>
      <c r="K147" s="7" t="s">
        <v>195</v>
      </c>
      <c r="L147" s="7" t="s">
        <v>195</v>
      </c>
      <c r="M147" s="7" t="s">
        <v>29</v>
      </c>
      <c r="N147" s="7" t="s">
        <v>29</v>
      </c>
      <c r="O147" s="7" t="s">
        <v>29</v>
      </c>
      <c r="P147" s="7" t="s">
        <v>29</v>
      </c>
      <c r="Q147" s="7" t="s">
        <v>29</v>
      </c>
      <c r="R147" s="7" t="s">
        <v>29</v>
      </c>
      <c r="S147" s="7" t="s">
        <v>29</v>
      </c>
    </row>
    <row r="148" spans="2:19">
      <c r="B148" s="7" t="s">
        <v>195</v>
      </c>
      <c r="C148" s="8" t="s">
        <v>195</v>
      </c>
      <c r="D148" s="6" t="str">
        <f>LRTRIM(CONCATENATE(IF(SUMPRODUCT(-- ISNUMBER(SEARCH({"Auto Number"}, $B148))) &gt; 0, $B148, IF(SUMPRODUCT(-- ISNUMBER(SEARCH({"Lookup","Master-Detail"}, $B148))) &gt; 0,$B148 &amp; "(" &amp; $E148 &amp; ")",IF(SUMPRODUCT(-- ISNUMBER(SEARCH({"Formula","Roll-Up Summary"}, $B148))) &gt; 0,$B148 &amp; " (" &amp; $E148 &amp; ")",IF(SUMPRODUCT(-- ISNUMBER(SEARCH({"Content","Currency","Number","Percent","Text","URL"}, $B148))) &gt; 0,$B148 &amp; "(" &amp; $C148 &amp; ")",$B148)))), "  ", TRIM(IF($S148 = "YES", "(External ID)", "") &amp; " " &amp; IF(SUMPRODUCT(-- ISNUMBER(SEARCH({"Unique","Unique Case Insensitive"}, $R148))) &gt; 0, "(" &amp; $R148 &amp; ")", ""))))</f>
        <v>na</v>
      </c>
      <c r="E148" s="7" t="s">
        <v>195</v>
      </c>
      <c r="F148" s="7" t="s">
        <v>195</v>
      </c>
      <c r="G148" s="7" t="s">
        <v>195</v>
      </c>
      <c r="H148" s="7" t="s">
        <v>195</v>
      </c>
      <c r="I148" s="7" t="s">
        <v>195</v>
      </c>
      <c r="J148" s="7" t="s">
        <v>195</v>
      </c>
      <c r="K148" s="7" t="s">
        <v>195</v>
      </c>
      <c r="L148" s="7" t="s">
        <v>195</v>
      </c>
      <c r="M148" s="7" t="s">
        <v>29</v>
      </c>
      <c r="N148" s="7" t="s">
        <v>29</v>
      </c>
      <c r="O148" s="7" t="s">
        <v>29</v>
      </c>
      <c r="P148" s="7" t="s">
        <v>29</v>
      </c>
      <c r="Q148" s="7" t="s">
        <v>29</v>
      </c>
      <c r="R148" s="7" t="s">
        <v>29</v>
      </c>
      <c r="S148" s="7" t="s">
        <v>29</v>
      </c>
    </row>
    <row r="149" spans="2:19">
      <c r="B149" s="7" t="s">
        <v>195</v>
      </c>
      <c r="C149" s="8" t="s">
        <v>195</v>
      </c>
      <c r="D149" s="6" t="str">
        <f>LRTRIM(CONCATENATE(IF(SUMPRODUCT(-- ISNUMBER(SEARCH({"Auto Number"}, $B149))) &gt; 0, $B149, IF(SUMPRODUCT(-- ISNUMBER(SEARCH({"Lookup","Master-Detail"}, $B149))) &gt; 0,$B149 &amp; "(" &amp; $E149 &amp; ")",IF(SUMPRODUCT(-- ISNUMBER(SEARCH({"Formula","Roll-Up Summary"}, $B149))) &gt; 0,$B149 &amp; " (" &amp; $E149 &amp; ")",IF(SUMPRODUCT(-- ISNUMBER(SEARCH({"Content","Currency","Number","Percent","Text","URL"}, $B149))) &gt; 0,$B149 &amp; "(" &amp; $C149 &amp; ")",$B149)))), "  ", TRIM(IF($S149 = "YES", "(External ID)", "") &amp; " " &amp; IF(SUMPRODUCT(-- ISNUMBER(SEARCH({"Unique","Unique Case Insensitive"}, $R149))) &gt; 0, "(" &amp; $R149 &amp; ")", ""))))</f>
        <v>na</v>
      </c>
      <c r="E149" s="7" t="s">
        <v>195</v>
      </c>
      <c r="F149" s="7" t="s">
        <v>195</v>
      </c>
      <c r="G149" s="7" t="s">
        <v>195</v>
      </c>
      <c r="H149" s="7" t="s">
        <v>195</v>
      </c>
      <c r="I149" s="7" t="s">
        <v>195</v>
      </c>
      <c r="J149" s="7" t="s">
        <v>195</v>
      </c>
      <c r="K149" s="7" t="s">
        <v>195</v>
      </c>
      <c r="L149" s="7" t="s">
        <v>195</v>
      </c>
      <c r="M149" s="7" t="s">
        <v>29</v>
      </c>
      <c r="N149" s="7" t="s">
        <v>29</v>
      </c>
      <c r="O149" s="7" t="s">
        <v>29</v>
      </c>
      <c r="P149" s="7" t="s">
        <v>29</v>
      </c>
      <c r="Q149" s="7" t="s">
        <v>29</v>
      </c>
      <c r="R149" s="7" t="s">
        <v>29</v>
      </c>
      <c r="S149" s="7" t="s">
        <v>29</v>
      </c>
    </row>
    <row r="150" spans="2:19">
      <c r="B150" s="7" t="s">
        <v>195</v>
      </c>
      <c r="C150" s="8" t="s">
        <v>195</v>
      </c>
      <c r="D150" s="6" t="str">
        <f>LRTRIM(CONCATENATE(IF(SUMPRODUCT(-- ISNUMBER(SEARCH({"Auto Number"}, $B150))) &gt; 0, $B150, IF(SUMPRODUCT(-- ISNUMBER(SEARCH({"Lookup","Master-Detail"}, $B150))) &gt; 0,$B150 &amp; "(" &amp; $E150 &amp; ")",IF(SUMPRODUCT(-- ISNUMBER(SEARCH({"Formula","Roll-Up Summary"}, $B150))) &gt; 0,$B150 &amp; " (" &amp; $E150 &amp; ")",IF(SUMPRODUCT(-- ISNUMBER(SEARCH({"Content","Currency","Number","Percent","Text","URL"}, $B150))) &gt; 0,$B150 &amp; "(" &amp; $C150 &amp; ")",$B150)))), "  ", TRIM(IF($S150 = "YES", "(External ID)", "") &amp; " " &amp; IF(SUMPRODUCT(-- ISNUMBER(SEARCH({"Unique","Unique Case Insensitive"}, $R150))) &gt; 0, "(" &amp; $R150 &amp; ")", ""))))</f>
        <v>na</v>
      </c>
      <c r="E150" s="7" t="s">
        <v>195</v>
      </c>
      <c r="F150" s="7" t="s">
        <v>195</v>
      </c>
      <c r="G150" s="7" t="s">
        <v>195</v>
      </c>
      <c r="H150" s="7" t="s">
        <v>195</v>
      </c>
      <c r="I150" s="7" t="s">
        <v>195</v>
      </c>
      <c r="J150" s="7" t="s">
        <v>195</v>
      </c>
      <c r="K150" s="7" t="s">
        <v>195</v>
      </c>
      <c r="L150" s="7" t="s">
        <v>195</v>
      </c>
      <c r="M150" s="7" t="s">
        <v>29</v>
      </c>
      <c r="N150" s="7" t="s">
        <v>29</v>
      </c>
      <c r="O150" s="7" t="s">
        <v>29</v>
      </c>
      <c r="P150" s="7" t="s">
        <v>29</v>
      </c>
      <c r="Q150" s="7" t="s">
        <v>29</v>
      </c>
      <c r="R150" s="7" t="s">
        <v>29</v>
      </c>
      <c r="S150" s="7" t="s">
        <v>29</v>
      </c>
    </row>
    <row r="151" spans="2:19">
      <c r="B151" s="7" t="s">
        <v>195</v>
      </c>
      <c r="C151" s="8" t="s">
        <v>195</v>
      </c>
      <c r="D151" s="6" t="str">
        <f>LRTRIM(CONCATENATE(IF(SUMPRODUCT(-- ISNUMBER(SEARCH({"Auto Number"}, $B151))) &gt; 0, $B151, IF(SUMPRODUCT(-- ISNUMBER(SEARCH({"Lookup","Master-Detail"}, $B151))) &gt; 0,$B151 &amp; "(" &amp; $E151 &amp; ")",IF(SUMPRODUCT(-- ISNUMBER(SEARCH({"Formula","Roll-Up Summary"}, $B151))) &gt; 0,$B151 &amp; " (" &amp; $E151 &amp; ")",IF(SUMPRODUCT(-- ISNUMBER(SEARCH({"Content","Currency","Number","Percent","Text","URL"}, $B151))) &gt; 0,$B151 &amp; "(" &amp; $C151 &amp; ")",$B151)))), "  ", TRIM(IF($S151 = "YES", "(External ID)", "") &amp; " " &amp; IF(SUMPRODUCT(-- ISNUMBER(SEARCH({"Unique","Unique Case Insensitive"}, $R151))) &gt; 0, "(" &amp; $R151 &amp; ")", ""))))</f>
        <v>na</v>
      </c>
      <c r="E151" s="7" t="s">
        <v>195</v>
      </c>
      <c r="F151" s="7" t="s">
        <v>195</v>
      </c>
      <c r="G151" s="7" t="s">
        <v>195</v>
      </c>
      <c r="H151" s="7" t="s">
        <v>195</v>
      </c>
      <c r="I151" s="7" t="s">
        <v>195</v>
      </c>
      <c r="J151" s="7" t="s">
        <v>195</v>
      </c>
      <c r="K151" s="7" t="s">
        <v>195</v>
      </c>
      <c r="L151" s="7" t="s">
        <v>195</v>
      </c>
      <c r="M151" s="7" t="s">
        <v>29</v>
      </c>
      <c r="N151" s="7" t="s">
        <v>29</v>
      </c>
      <c r="O151" s="7" t="s">
        <v>29</v>
      </c>
      <c r="P151" s="7" t="s">
        <v>29</v>
      </c>
      <c r="Q151" s="7" t="s">
        <v>29</v>
      </c>
      <c r="R151" s="7" t="s">
        <v>29</v>
      </c>
      <c r="S151" s="7" t="s">
        <v>29</v>
      </c>
    </row>
    <row r="152" spans="2:19">
      <c r="B152" s="7" t="s">
        <v>195</v>
      </c>
      <c r="C152" s="8" t="s">
        <v>195</v>
      </c>
      <c r="D152" s="6" t="str">
        <f>LRTRIM(CONCATENATE(IF(SUMPRODUCT(-- ISNUMBER(SEARCH({"Auto Number"}, $B152))) &gt; 0, $B152, IF(SUMPRODUCT(-- ISNUMBER(SEARCH({"Lookup","Master-Detail"}, $B152))) &gt; 0,$B152 &amp; "(" &amp; $E152 &amp; ")",IF(SUMPRODUCT(-- ISNUMBER(SEARCH({"Formula","Roll-Up Summary"}, $B152))) &gt; 0,$B152 &amp; " (" &amp; $E152 &amp; ")",IF(SUMPRODUCT(-- ISNUMBER(SEARCH({"Content","Currency","Number","Percent","Text","URL"}, $B152))) &gt; 0,$B152 &amp; "(" &amp; $C152 &amp; ")",$B152)))), "  ", TRIM(IF($S152 = "YES", "(External ID)", "") &amp; " " &amp; IF(SUMPRODUCT(-- ISNUMBER(SEARCH({"Unique","Unique Case Insensitive"}, $R152))) &gt; 0, "(" &amp; $R152 &amp; ")", ""))))</f>
        <v>na</v>
      </c>
      <c r="E152" s="7" t="s">
        <v>195</v>
      </c>
      <c r="F152" s="7" t="s">
        <v>195</v>
      </c>
      <c r="G152" s="7" t="s">
        <v>195</v>
      </c>
      <c r="H152" s="7" t="s">
        <v>195</v>
      </c>
      <c r="I152" s="7" t="s">
        <v>195</v>
      </c>
      <c r="J152" s="7" t="s">
        <v>195</v>
      </c>
      <c r="K152" s="7" t="s">
        <v>195</v>
      </c>
      <c r="L152" s="7" t="s">
        <v>195</v>
      </c>
      <c r="M152" s="7" t="s">
        <v>29</v>
      </c>
      <c r="N152" s="7" t="s">
        <v>29</v>
      </c>
      <c r="O152" s="7" t="s">
        <v>29</v>
      </c>
      <c r="P152" s="7" t="s">
        <v>29</v>
      </c>
      <c r="Q152" s="7" t="s">
        <v>29</v>
      </c>
      <c r="R152" s="7" t="s">
        <v>29</v>
      </c>
      <c r="S152" s="7" t="s">
        <v>29</v>
      </c>
    </row>
    <row r="153" spans="2:19">
      <c r="B153" s="7" t="s">
        <v>195</v>
      </c>
      <c r="C153" s="8" t="s">
        <v>195</v>
      </c>
      <c r="D153" s="6" t="str">
        <f>LRTRIM(CONCATENATE(IF(SUMPRODUCT(-- ISNUMBER(SEARCH({"Auto Number"}, $B153))) &gt; 0, $B153, IF(SUMPRODUCT(-- ISNUMBER(SEARCH({"Lookup","Master-Detail"}, $B153))) &gt; 0,$B153 &amp; "(" &amp; $E153 &amp; ")",IF(SUMPRODUCT(-- ISNUMBER(SEARCH({"Formula","Roll-Up Summary"}, $B153))) &gt; 0,$B153 &amp; " (" &amp; $E153 &amp; ")",IF(SUMPRODUCT(-- ISNUMBER(SEARCH({"Content","Currency","Number","Percent","Text","URL"}, $B153))) &gt; 0,$B153 &amp; "(" &amp; $C153 &amp; ")",$B153)))), "  ", TRIM(IF($S153 = "YES", "(External ID)", "") &amp; " " &amp; IF(SUMPRODUCT(-- ISNUMBER(SEARCH({"Unique","Unique Case Insensitive"}, $R153))) &gt; 0, "(" &amp; $R153 &amp; ")", ""))))</f>
        <v>na</v>
      </c>
      <c r="E153" s="7" t="s">
        <v>195</v>
      </c>
      <c r="F153" s="7" t="s">
        <v>195</v>
      </c>
      <c r="G153" s="7" t="s">
        <v>195</v>
      </c>
      <c r="H153" s="7" t="s">
        <v>195</v>
      </c>
      <c r="I153" s="7" t="s">
        <v>195</v>
      </c>
      <c r="J153" s="7" t="s">
        <v>195</v>
      </c>
      <c r="K153" s="7" t="s">
        <v>195</v>
      </c>
      <c r="L153" s="7" t="s">
        <v>195</v>
      </c>
      <c r="M153" s="7" t="s">
        <v>29</v>
      </c>
      <c r="N153" s="7" t="s">
        <v>29</v>
      </c>
      <c r="O153" s="7" t="s">
        <v>29</v>
      </c>
      <c r="P153" s="7" t="s">
        <v>29</v>
      </c>
      <c r="Q153" s="7" t="s">
        <v>29</v>
      </c>
      <c r="R153" s="7" t="s">
        <v>29</v>
      </c>
      <c r="S153" s="7" t="s">
        <v>29</v>
      </c>
    </row>
    <row r="154" spans="2:19">
      <c r="B154" s="7" t="s">
        <v>195</v>
      </c>
      <c r="C154" s="8" t="s">
        <v>195</v>
      </c>
      <c r="D154" s="6" t="str">
        <f>LRTRIM(CONCATENATE(IF(SUMPRODUCT(-- ISNUMBER(SEARCH({"Auto Number"}, $B154))) &gt; 0, $B154, IF(SUMPRODUCT(-- ISNUMBER(SEARCH({"Lookup","Master-Detail"}, $B154))) &gt; 0,$B154 &amp; "(" &amp; $E154 &amp; ")",IF(SUMPRODUCT(-- ISNUMBER(SEARCH({"Formula","Roll-Up Summary"}, $B154))) &gt; 0,$B154 &amp; " (" &amp; $E154 &amp; ")",IF(SUMPRODUCT(-- ISNUMBER(SEARCH({"Content","Currency","Number","Percent","Text","URL"}, $B154))) &gt; 0,$B154 &amp; "(" &amp; $C154 &amp; ")",$B154)))), "  ", TRIM(IF($S154 = "YES", "(External ID)", "") &amp; " " &amp; IF(SUMPRODUCT(-- ISNUMBER(SEARCH({"Unique","Unique Case Insensitive"}, $R154))) &gt; 0, "(" &amp; $R154 &amp; ")", ""))))</f>
        <v>na</v>
      </c>
      <c r="E154" s="7" t="s">
        <v>195</v>
      </c>
      <c r="F154" s="7" t="s">
        <v>195</v>
      </c>
      <c r="G154" s="7" t="s">
        <v>195</v>
      </c>
      <c r="H154" s="7" t="s">
        <v>195</v>
      </c>
      <c r="I154" s="7" t="s">
        <v>195</v>
      </c>
      <c r="J154" s="7" t="s">
        <v>195</v>
      </c>
      <c r="K154" s="7" t="s">
        <v>195</v>
      </c>
      <c r="L154" s="7" t="s">
        <v>195</v>
      </c>
      <c r="M154" s="7" t="s">
        <v>29</v>
      </c>
      <c r="N154" s="7" t="s">
        <v>29</v>
      </c>
      <c r="O154" s="7" t="s">
        <v>29</v>
      </c>
      <c r="P154" s="7" t="s">
        <v>29</v>
      </c>
      <c r="Q154" s="7" t="s">
        <v>29</v>
      </c>
      <c r="R154" s="7" t="s">
        <v>29</v>
      </c>
      <c r="S154" s="7" t="s">
        <v>29</v>
      </c>
    </row>
    <row r="155" spans="2:19">
      <c r="B155" s="7" t="s">
        <v>195</v>
      </c>
      <c r="C155" s="8" t="s">
        <v>195</v>
      </c>
      <c r="D155" s="6" t="str">
        <f>LRTRIM(CONCATENATE(IF(SUMPRODUCT(-- ISNUMBER(SEARCH({"Auto Number"}, $B155))) &gt; 0, $B155, IF(SUMPRODUCT(-- ISNUMBER(SEARCH({"Lookup","Master-Detail"}, $B155))) &gt; 0,$B155 &amp; "(" &amp; $E155 &amp; ")",IF(SUMPRODUCT(-- ISNUMBER(SEARCH({"Formula","Roll-Up Summary"}, $B155))) &gt; 0,$B155 &amp; " (" &amp; $E155 &amp; ")",IF(SUMPRODUCT(-- ISNUMBER(SEARCH({"Content","Currency","Number","Percent","Text","URL"}, $B155))) &gt; 0,$B155 &amp; "(" &amp; $C155 &amp; ")",$B155)))), "  ", TRIM(IF($S155 = "YES", "(External ID)", "") &amp; " " &amp; IF(SUMPRODUCT(-- ISNUMBER(SEARCH({"Unique","Unique Case Insensitive"}, $R155))) &gt; 0, "(" &amp; $R155 &amp; ")", ""))))</f>
        <v>na</v>
      </c>
      <c r="E155" s="7" t="s">
        <v>195</v>
      </c>
      <c r="F155" s="7" t="s">
        <v>195</v>
      </c>
      <c r="G155" s="7" t="s">
        <v>195</v>
      </c>
      <c r="H155" s="7" t="s">
        <v>195</v>
      </c>
      <c r="I155" s="7" t="s">
        <v>195</v>
      </c>
      <c r="J155" s="7" t="s">
        <v>195</v>
      </c>
      <c r="K155" s="7" t="s">
        <v>195</v>
      </c>
      <c r="L155" s="7" t="s">
        <v>195</v>
      </c>
      <c r="M155" s="7" t="s">
        <v>29</v>
      </c>
      <c r="N155" s="7" t="s">
        <v>29</v>
      </c>
      <c r="O155" s="7" t="s">
        <v>29</v>
      </c>
      <c r="P155" s="7" t="s">
        <v>29</v>
      </c>
      <c r="Q155" s="7" t="s">
        <v>29</v>
      </c>
      <c r="R155" s="7" t="s">
        <v>29</v>
      </c>
      <c r="S155" s="7" t="s">
        <v>29</v>
      </c>
    </row>
    <row r="156" spans="2:19">
      <c r="B156" s="7" t="s">
        <v>195</v>
      </c>
      <c r="C156" s="8" t="s">
        <v>195</v>
      </c>
      <c r="D156" s="6" t="str">
        <f>LRTRIM(CONCATENATE(IF(SUMPRODUCT(-- ISNUMBER(SEARCH({"Auto Number"}, $B156))) &gt; 0, $B156, IF(SUMPRODUCT(-- ISNUMBER(SEARCH({"Lookup","Master-Detail"}, $B156))) &gt; 0,$B156 &amp; "(" &amp; $E156 &amp; ")",IF(SUMPRODUCT(-- ISNUMBER(SEARCH({"Formula","Roll-Up Summary"}, $B156))) &gt; 0,$B156 &amp; " (" &amp; $E156 &amp; ")",IF(SUMPRODUCT(-- ISNUMBER(SEARCH({"Content","Currency","Number","Percent","Text","URL"}, $B156))) &gt; 0,$B156 &amp; "(" &amp; $C156 &amp; ")",$B156)))), "  ", TRIM(IF($S156 = "YES", "(External ID)", "") &amp; " " &amp; IF(SUMPRODUCT(-- ISNUMBER(SEARCH({"Unique","Unique Case Insensitive"}, $R156))) &gt; 0, "(" &amp; $R156 &amp; ")", ""))))</f>
        <v>na</v>
      </c>
      <c r="E156" s="7" t="s">
        <v>195</v>
      </c>
      <c r="F156" s="7" t="s">
        <v>195</v>
      </c>
      <c r="G156" s="7" t="s">
        <v>195</v>
      </c>
      <c r="H156" s="7" t="s">
        <v>195</v>
      </c>
      <c r="I156" s="7" t="s">
        <v>195</v>
      </c>
      <c r="J156" s="7" t="s">
        <v>195</v>
      </c>
      <c r="K156" s="7" t="s">
        <v>195</v>
      </c>
      <c r="L156" s="7" t="s">
        <v>195</v>
      </c>
      <c r="M156" s="7" t="s">
        <v>29</v>
      </c>
      <c r="N156" s="7" t="s">
        <v>29</v>
      </c>
      <c r="O156" s="7" t="s">
        <v>29</v>
      </c>
      <c r="P156" s="7" t="s">
        <v>29</v>
      </c>
      <c r="Q156" s="7" t="s">
        <v>29</v>
      </c>
      <c r="R156" s="7" t="s">
        <v>29</v>
      </c>
      <c r="S156" s="7" t="s">
        <v>29</v>
      </c>
    </row>
    <row r="157" spans="2:19">
      <c r="B157" s="7" t="s">
        <v>195</v>
      </c>
      <c r="C157" s="8" t="s">
        <v>195</v>
      </c>
      <c r="D157" s="6" t="str">
        <f>LRTRIM(CONCATENATE(IF(SUMPRODUCT(-- ISNUMBER(SEARCH({"Auto Number"}, $B157))) &gt; 0, $B157, IF(SUMPRODUCT(-- ISNUMBER(SEARCH({"Lookup","Master-Detail"}, $B157))) &gt; 0,$B157 &amp; "(" &amp; $E157 &amp; ")",IF(SUMPRODUCT(-- ISNUMBER(SEARCH({"Formula","Roll-Up Summary"}, $B157))) &gt; 0,$B157 &amp; " (" &amp; $E157 &amp; ")",IF(SUMPRODUCT(-- ISNUMBER(SEARCH({"Content","Currency","Number","Percent","Text","URL"}, $B157))) &gt; 0,$B157 &amp; "(" &amp; $C157 &amp; ")",$B157)))), "  ", TRIM(IF($S157 = "YES", "(External ID)", "") &amp; " " &amp; IF(SUMPRODUCT(-- ISNUMBER(SEARCH({"Unique","Unique Case Insensitive"}, $R157))) &gt; 0, "(" &amp; $R157 &amp; ")", ""))))</f>
        <v>na</v>
      </c>
      <c r="E157" s="7" t="s">
        <v>195</v>
      </c>
      <c r="F157" s="7" t="s">
        <v>195</v>
      </c>
      <c r="G157" s="7" t="s">
        <v>195</v>
      </c>
      <c r="H157" s="7" t="s">
        <v>195</v>
      </c>
      <c r="I157" s="7" t="s">
        <v>195</v>
      </c>
      <c r="J157" s="7" t="s">
        <v>195</v>
      </c>
      <c r="K157" s="7" t="s">
        <v>195</v>
      </c>
      <c r="L157" s="7" t="s">
        <v>195</v>
      </c>
      <c r="M157" s="7" t="s">
        <v>29</v>
      </c>
      <c r="N157" s="7" t="s">
        <v>29</v>
      </c>
      <c r="O157" s="7" t="s">
        <v>29</v>
      </c>
      <c r="P157" s="7" t="s">
        <v>29</v>
      </c>
      <c r="Q157" s="7" t="s">
        <v>29</v>
      </c>
      <c r="R157" s="7" t="s">
        <v>29</v>
      </c>
      <c r="S157" s="7" t="s">
        <v>29</v>
      </c>
    </row>
    <row r="158" spans="2:19">
      <c r="B158" s="7" t="s">
        <v>195</v>
      </c>
      <c r="C158" s="8" t="s">
        <v>195</v>
      </c>
      <c r="D158" s="6" t="str">
        <f>LRTRIM(CONCATENATE(IF(SUMPRODUCT(-- ISNUMBER(SEARCH({"Auto Number"}, $B158))) &gt; 0, $B158, IF(SUMPRODUCT(-- ISNUMBER(SEARCH({"Lookup","Master-Detail"}, $B158))) &gt; 0,$B158 &amp; "(" &amp; $E158 &amp; ")",IF(SUMPRODUCT(-- ISNUMBER(SEARCH({"Formula","Roll-Up Summary"}, $B158))) &gt; 0,$B158 &amp; " (" &amp; $E158 &amp; ")",IF(SUMPRODUCT(-- ISNUMBER(SEARCH({"Content","Currency","Number","Percent","Text","URL"}, $B158))) &gt; 0,$B158 &amp; "(" &amp; $C158 &amp; ")",$B158)))), "  ", TRIM(IF($S158 = "YES", "(External ID)", "") &amp; " " &amp; IF(SUMPRODUCT(-- ISNUMBER(SEARCH({"Unique","Unique Case Insensitive"}, $R158))) &gt; 0, "(" &amp; $R158 &amp; ")", ""))))</f>
        <v>na</v>
      </c>
      <c r="E158" s="7" t="s">
        <v>195</v>
      </c>
      <c r="F158" s="7" t="s">
        <v>195</v>
      </c>
      <c r="G158" s="7" t="s">
        <v>195</v>
      </c>
      <c r="H158" s="7" t="s">
        <v>195</v>
      </c>
      <c r="I158" s="7" t="s">
        <v>195</v>
      </c>
      <c r="J158" s="7" t="s">
        <v>195</v>
      </c>
      <c r="K158" s="7" t="s">
        <v>195</v>
      </c>
      <c r="L158" s="7" t="s">
        <v>195</v>
      </c>
      <c r="M158" s="7" t="s">
        <v>29</v>
      </c>
      <c r="N158" s="7" t="s">
        <v>29</v>
      </c>
      <c r="O158" s="7" t="s">
        <v>29</v>
      </c>
      <c r="P158" s="7" t="s">
        <v>29</v>
      </c>
      <c r="Q158" s="7" t="s">
        <v>29</v>
      </c>
      <c r="R158" s="7" t="s">
        <v>29</v>
      </c>
      <c r="S158" s="7" t="s">
        <v>29</v>
      </c>
    </row>
    <row r="159" spans="2:19">
      <c r="B159" s="7" t="s">
        <v>195</v>
      </c>
      <c r="C159" s="8" t="s">
        <v>195</v>
      </c>
      <c r="D159" s="6" t="str">
        <f>LRTRIM(CONCATENATE(IF(SUMPRODUCT(-- ISNUMBER(SEARCH({"Auto Number"}, $B159))) &gt; 0, $B159, IF(SUMPRODUCT(-- ISNUMBER(SEARCH({"Lookup","Master-Detail"}, $B159))) &gt; 0,$B159 &amp; "(" &amp; $E159 &amp; ")",IF(SUMPRODUCT(-- ISNUMBER(SEARCH({"Formula","Roll-Up Summary"}, $B159))) &gt; 0,$B159 &amp; " (" &amp; $E159 &amp; ")",IF(SUMPRODUCT(-- ISNUMBER(SEARCH({"Content","Currency","Number","Percent","Text","URL"}, $B159))) &gt; 0,$B159 &amp; "(" &amp; $C159 &amp; ")",$B159)))), "  ", TRIM(IF($S159 = "YES", "(External ID)", "") &amp; " " &amp; IF(SUMPRODUCT(-- ISNUMBER(SEARCH({"Unique","Unique Case Insensitive"}, $R159))) &gt; 0, "(" &amp; $R159 &amp; ")", ""))))</f>
        <v>na</v>
      </c>
      <c r="E159" s="7" t="s">
        <v>195</v>
      </c>
      <c r="F159" s="7" t="s">
        <v>195</v>
      </c>
      <c r="G159" s="7" t="s">
        <v>195</v>
      </c>
      <c r="H159" s="7" t="s">
        <v>195</v>
      </c>
      <c r="I159" s="7" t="s">
        <v>195</v>
      </c>
      <c r="J159" s="7" t="s">
        <v>195</v>
      </c>
      <c r="K159" s="7" t="s">
        <v>195</v>
      </c>
      <c r="L159" s="7" t="s">
        <v>195</v>
      </c>
      <c r="M159" s="7" t="s">
        <v>29</v>
      </c>
      <c r="N159" s="7" t="s">
        <v>29</v>
      </c>
      <c r="O159" s="7" t="s">
        <v>29</v>
      </c>
      <c r="P159" s="7" t="s">
        <v>29</v>
      </c>
      <c r="Q159" s="7" t="s">
        <v>29</v>
      </c>
      <c r="R159" s="7" t="s">
        <v>29</v>
      </c>
      <c r="S159" s="7" t="s">
        <v>29</v>
      </c>
    </row>
    <row r="160" spans="2:19">
      <c r="B160" s="7" t="s">
        <v>195</v>
      </c>
      <c r="C160" s="8" t="s">
        <v>195</v>
      </c>
      <c r="D160" s="6" t="str">
        <f>LRTRIM(CONCATENATE(IF(SUMPRODUCT(-- ISNUMBER(SEARCH({"Auto Number"}, $B160))) &gt; 0, $B160, IF(SUMPRODUCT(-- ISNUMBER(SEARCH({"Lookup","Master-Detail"}, $B160))) &gt; 0,$B160 &amp; "(" &amp; $E160 &amp; ")",IF(SUMPRODUCT(-- ISNUMBER(SEARCH({"Formula","Roll-Up Summary"}, $B160))) &gt; 0,$B160 &amp; " (" &amp; $E160 &amp; ")",IF(SUMPRODUCT(-- ISNUMBER(SEARCH({"Content","Currency","Number","Percent","Text","URL"}, $B160))) &gt; 0,$B160 &amp; "(" &amp; $C160 &amp; ")",$B160)))), "  ", TRIM(IF($S160 = "YES", "(External ID)", "") &amp; " " &amp; IF(SUMPRODUCT(-- ISNUMBER(SEARCH({"Unique","Unique Case Insensitive"}, $R160))) &gt; 0, "(" &amp; $R160 &amp; ")", ""))))</f>
        <v>na</v>
      </c>
      <c r="E160" s="7" t="s">
        <v>195</v>
      </c>
      <c r="F160" s="7" t="s">
        <v>195</v>
      </c>
      <c r="G160" s="7" t="s">
        <v>195</v>
      </c>
      <c r="H160" s="7" t="s">
        <v>195</v>
      </c>
      <c r="I160" s="7" t="s">
        <v>195</v>
      </c>
      <c r="J160" s="7" t="s">
        <v>195</v>
      </c>
      <c r="K160" s="7" t="s">
        <v>195</v>
      </c>
      <c r="L160" s="7" t="s">
        <v>195</v>
      </c>
      <c r="M160" s="7" t="s">
        <v>29</v>
      </c>
      <c r="N160" s="7" t="s">
        <v>29</v>
      </c>
      <c r="O160" s="7" t="s">
        <v>29</v>
      </c>
      <c r="P160" s="7" t="s">
        <v>29</v>
      </c>
      <c r="Q160" s="7" t="s">
        <v>29</v>
      </c>
      <c r="R160" s="7" t="s">
        <v>29</v>
      </c>
      <c r="S160" s="7" t="s">
        <v>29</v>
      </c>
    </row>
    <row r="161" spans="2:19">
      <c r="B161" s="7" t="s">
        <v>195</v>
      </c>
      <c r="C161" s="8" t="s">
        <v>195</v>
      </c>
      <c r="D161" s="6" t="str">
        <f>LRTRIM(CONCATENATE(IF(SUMPRODUCT(-- ISNUMBER(SEARCH({"Auto Number"}, $B161))) &gt; 0, $B161, IF(SUMPRODUCT(-- ISNUMBER(SEARCH({"Lookup","Master-Detail"}, $B161))) &gt; 0,$B161 &amp; "(" &amp; $E161 &amp; ")",IF(SUMPRODUCT(-- ISNUMBER(SEARCH({"Formula","Roll-Up Summary"}, $B161))) &gt; 0,$B161 &amp; " (" &amp; $E161 &amp; ")",IF(SUMPRODUCT(-- ISNUMBER(SEARCH({"Content","Currency","Number","Percent","Text","URL"}, $B161))) &gt; 0,$B161 &amp; "(" &amp; $C161 &amp; ")",$B161)))), "  ", TRIM(IF($S161 = "YES", "(External ID)", "") &amp; " " &amp; IF(SUMPRODUCT(-- ISNUMBER(SEARCH({"Unique","Unique Case Insensitive"}, $R161))) &gt; 0, "(" &amp; $R161 &amp; ")", ""))))</f>
        <v>na</v>
      </c>
      <c r="E161" s="7" t="s">
        <v>195</v>
      </c>
      <c r="F161" s="7" t="s">
        <v>195</v>
      </c>
      <c r="G161" s="7" t="s">
        <v>195</v>
      </c>
      <c r="H161" s="7" t="s">
        <v>195</v>
      </c>
      <c r="I161" s="7" t="s">
        <v>195</v>
      </c>
      <c r="J161" s="7" t="s">
        <v>195</v>
      </c>
      <c r="K161" s="7" t="s">
        <v>195</v>
      </c>
      <c r="L161" s="7" t="s">
        <v>195</v>
      </c>
      <c r="M161" s="7" t="s">
        <v>29</v>
      </c>
      <c r="N161" s="7" t="s">
        <v>29</v>
      </c>
      <c r="O161" s="7" t="s">
        <v>29</v>
      </c>
      <c r="P161" s="7" t="s">
        <v>29</v>
      </c>
      <c r="Q161" s="7" t="s">
        <v>29</v>
      </c>
      <c r="R161" s="7" t="s">
        <v>29</v>
      </c>
      <c r="S161" s="7" t="s">
        <v>29</v>
      </c>
    </row>
    <row r="162" spans="2:19">
      <c r="B162" s="7" t="s">
        <v>195</v>
      </c>
      <c r="C162" s="8" t="s">
        <v>195</v>
      </c>
      <c r="D162" s="6" t="str">
        <f>LRTRIM(CONCATENATE(IF(SUMPRODUCT(-- ISNUMBER(SEARCH({"Auto Number"}, $B162))) &gt; 0, $B162, IF(SUMPRODUCT(-- ISNUMBER(SEARCH({"Lookup","Master-Detail"}, $B162))) &gt; 0,$B162 &amp; "(" &amp; $E162 &amp; ")",IF(SUMPRODUCT(-- ISNUMBER(SEARCH({"Formula","Roll-Up Summary"}, $B162))) &gt; 0,$B162 &amp; " (" &amp; $E162 &amp; ")",IF(SUMPRODUCT(-- ISNUMBER(SEARCH({"Content","Currency","Number","Percent","Text","URL"}, $B162))) &gt; 0,$B162 &amp; "(" &amp; $C162 &amp; ")",$B162)))), "  ", TRIM(IF($S162 = "YES", "(External ID)", "") &amp; " " &amp; IF(SUMPRODUCT(-- ISNUMBER(SEARCH({"Unique","Unique Case Insensitive"}, $R162))) &gt; 0, "(" &amp; $R162 &amp; ")", ""))))</f>
        <v>na</v>
      </c>
      <c r="E162" s="7" t="s">
        <v>195</v>
      </c>
      <c r="F162" s="7" t="s">
        <v>195</v>
      </c>
      <c r="G162" s="7" t="s">
        <v>195</v>
      </c>
      <c r="H162" s="7" t="s">
        <v>195</v>
      </c>
      <c r="I162" s="7" t="s">
        <v>195</v>
      </c>
      <c r="J162" s="7" t="s">
        <v>195</v>
      </c>
      <c r="K162" s="7" t="s">
        <v>195</v>
      </c>
      <c r="L162" s="7" t="s">
        <v>195</v>
      </c>
      <c r="M162" s="7" t="s">
        <v>29</v>
      </c>
      <c r="N162" s="7" t="s">
        <v>29</v>
      </c>
      <c r="O162" s="7" t="s">
        <v>29</v>
      </c>
      <c r="P162" s="7" t="s">
        <v>29</v>
      </c>
      <c r="Q162" s="7" t="s">
        <v>29</v>
      </c>
      <c r="R162" s="7" t="s">
        <v>29</v>
      </c>
      <c r="S162" s="7" t="s">
        <v>29</v>
      </c>
    </row>
    <row r="163" spans="2:19">
      <c r="B163" s="7" t="s">
        <v>195</v>
      </c>
      <c r="C163" s="8" t="s">
        <v>195</v>
      </c>
      <c r="D163" s="6" t="str">
        <f>LRTRIM(CONCATENATE(IF(SUMPRODUCT(-- ISNUMBER(SEARCH({"Auto Number"}, $B163))) &gt; 0, $B163, IF(SUMPRODUCT(-- ISNUMBER(SEARCH({"Lookup","Master-Detail"}, $B163))) &gt; 0,$B163 &amp; "(" &amp; $E163 &amp; ")",IF(SUMPRODUCT(-- ISNUMBER(SEARCH({"Formula","Roll-Up Summary"}, $B163))) &gt; 0,$B163 &amp; " (" &amp; $E163 &amp; ")",IF(SUMPRODUCT(-- ISNUMBER(SEARCH({"Content","Currency","Number","Percent","Text","URL"}, $B163))) &gt; 0,$B163 &amp; "(" &amp; $C163 &amp; ")",$B163)))), "  ", TRIM(IF($S163 = "YES", "(External ID)", "") &amp; " " &amp; IF(SUMPRODUCT(-- ISNUMBER(SEARCH({"Unique","Unique Case Insensitive"}, $R163))) &gt; 0, "(" &amp; $R163 &amp; ")", ""))))</f>
        <v>na</v>
      </c>
      <c r="E163" s="7" t="s">
        <v>195</v>
      </c>
      <c r="F163" s="7" t="s">
        <v>195</v>
      </c>
      <c r="G163" s="7" t="s">
        <v>195</v>
      </c>
      <c r="H163" s="7" t="s">
        <v>195</v>
      </c>
      <c r="I163" s="7" t="s">
        <v>195</v>
      </c>
      <c r="J163" s="7" t="s">
        <v>195</v>
      </c>
      <c r="K163" s="7" t="s">
        <v>195</v>
      </c>
      <c r="L163" s="7" t="s">
        <v>195</v>
      </c>
      <c r="M163" s="7" t="s">
        <v>29</v>
      </c>
      <c r="N163" s="7" t="s">
        <v>29</v>
      </c>
      <c r="O163" s="7" t="s">
        <v>29</v>
      </c>
      <c r="P163" s="7" t="s">
        <v>29</v>
      </c>
      <c r="Q163" s="7" t="s">
        <v>29</v>
      </c>
      <c r="R163" s="7" t="s">
        <v>29</v>
      </c>
      <c r="S163" s="7" t="s">
        <v>29</v>
      </c>
    </row>
    <row r="164" spans="2:19">
      <c r="B164" s="7" t="s">
        <v>195</v>
      </c>
      <c r="C164" s="8" t="s">
        <v>195</v>
      </c>
      <c r="D164" s="6" t="str">
        <f>LRTRIM(CONCATENATE(IF(SUMPRODUCT(-- ISNUMBER(SEARCH({"Auto Number"}, $B164))) &gt; 0, $B164, IF(SUMPRODUCT(-- ISNUMBER(SEARCH({"Lookup","Master-Detail"}, $B164))) &gt; 0,$B164 &amp; "(" &amp; $E164 &amp; ")",IF(SUMPRODUCT(-- ISNUMBER(SEARCH({"Formula","Roll-Up Summary"}, $B164))) &gt; 0,$B164 &amp; " (" &amp; $E164 &amp; ")",IF(SUMPRODUCT(-- ISNUMBER(SEARCH({"Content","Currency","Number","Percent","Text","URL"}, $B164))) &gt; 0,$B164 &amp; "(" &amp; $C164 &amp; ")",$B164)))), "  ", TRIM(IF($S164 = "YES", "(External ID)", "") &amp; " " &amp; IF(SUMPRODUCT(-- ISNUMBER(SEARCH({"Unique","Unique Case Insensitive"}, $R164))) &gt; 0, "(" &amp; $R164 &amp; ")", ""))))</f>
        <v>na</v>
      </c>
      <c r="E164" s="7" t="s">
        <v>195</v>
      </c>
      <c r="F164" s="7" t="s">
        <v>195</v>
      </c>
      <c r="G164" s="7" t="s">
        <v>195</v>
      </c>
      <c r="H164" s="7" t="s">
        <v>195</v>
      </c>
      <c r="I164" s="7" t="s">
        <v>195</v>
      </c>
      <c r="J164" s="7" t="s">
        <v>195</v>
      </c>
      <c r="K164" s="7" t="s">
        <v>195</v>
      </c>
      <c r="L164" s="7" t="s">
        <v>195</v>
      </c>
      <c r="M164" s="7" t="s">
        <v>29</v>
      </c>
      <c r="N164" s="7" t="s">
        <v>29</v>
      </c>
      <c r="O164" s="7" t="s">
        <v>29</v>
      </c>
      <c r="P164" s="7" t="s">
        <v>29</v>
      </c>
      <c r="Q164" s="7" t="s">
        <v>29</v>
      </c>
      <c r="R164" s="7" t="s">
        <v>29</v>
      </c>
      <c r="S164" s="7" t="s">
        <v>29</v>
      </c>
    </row>
    <row r="165" spans="2:19">
      <c r="B165" s="7" t="s">
        <v>195</v>
      </c>
      <c r="C165" s="8" t="s">
        <v>195</v>
      </c>
      <c r="D165" s="6" t="str">
        <f>LRTRIM(CONCATENATE(IF(SUMPRODUCT(-- ISNUMBER(SEARCH({"Auto Number"}, $B165))) &gt; 0, $B165, IF(SUMPRODUCT(-- ISNUMBER(SEARCH({"Lookup","Master-Detail"}, $B165))) &gt; 0,$B165 &amp; "(" &amp; $E165 &amp; ")",IF(SUMPRODUCT(-- ISNUMBER(SEARCH({"Formula","Roll-Up Summary"}, $B165))) &gt; 0,$B165 &amp; " (" &amp; $E165 &amp; ")",IF(SUMPRODUCT(-- ISNUMBER(SEARCH({"Content","Currency","Number","Percent","Text","URL"}, $B165))) &gt; 0,$B165 &amp; "(" &amp; $C165 &amp; ")",$B165)))), "  ", TRIM(IF($S165 = "YES", "(External ID)", "") &amp; " " &amp; IF(SUMPRODUCT(-- ISNUMBER(SEARCH({"Unique","Unique Case Insensitive"}, $R165))) &gt; 0, "(" &amp; $R165 &amp; ")", ""))))</f>
        <v>na</v>
      </c>
      <c r="E165" s="7" t="s">
        <v>195</v>
      </c>
      <c r="F165" s="7" t="s">
        <v>195</v>
      </c>
      <c r="G165" s="7" t="s">
        <v>195</v>
      </c>
      <c r="H165" s="7" t="s">
        <v>195</v>
      </c>
      <c r="I165" s="7" t="s">
        <v>195</v>
      </c>
      <c r="J165" s="7" t="s">
        <v>195</v>
      </c>
      <c r="K165" s="7" t="s">
        <v>195</v>
      </c>
      <c r="L165" s="7" t="s">
        <v>195</v>
      </c>
      <c r="M165" s="7" t="s">
        <v>29</v>
      </c>
      <c r="N165" s="7" t="s">
        <v>29</v>
      </c>
      <c r="O165" s="7" t="s">
        <v>29</v>
      </c>
      <c r="P165" s="7" t="s">
        <v>29</v>
      </c>
      <c r="Q165" s="7" t="s">
        <v>29</v>
      </c>
      <c r="R165" s="7" t="s">
        <v>29</v>
      </c>
      <c r="S165" s="7" t="s">
        <v>29</v>
      </c>
    </row>
    <row r="166" spans="2:19">
      <c r="B166" s="7" t="s">
        <v>195</v>
      </c>
      <c r="C166" s="8" t="s">
        <v>195</v>
      </c>
      <c r="D166" s="6" t="str">
        <f>LRTRIM(CONCATENATE(IF(SUMPRODUCT(-- ISNUMBER(SEARCH({"Auto Number"}, $B166))) &gt; 0, $B166, IF(SUMPRODUCT(-- ISNUMBER(SEARCH({"Lookup","Master-Detail"}, $B166))) &gt; 0,$B166 &amp; "(" &amp; $E166 &amp; ")",IF(SUMPRODUCT(-- ISNUMBER(SEARCH({"Formula","Roll-Up Summary"}, $B166))) &gt; 0,$B166 &amp; " (" &amp; $E166 &amp; ")",IF(SUMPRODUCT(-- ISNUMBER(SEARCH({"Content","Currency","Number","Percent","Text","URL"}, $B166))) &gt; 0,$B166 &amp; "(" &amp; $C166 &amp; ")",$B166)))), "  ", TRIM(IF($S166 = "YES", "(External ID)", "") &amp; " " &amp; IF(SUMPRODUCT(-- ISNUMBER(SEARCH({"Unique","Unique Case Insensitive"}, $R166))) &gt; 0, "(" &amp; $R166 &amp; ")", ""))))</f>
        <v>na</v>
      </c>
      <c r="E166" s="7" t="s">
        <v>195</v>
      </c>
      <c r="F166" s="7" t="s">
        <v>195</v>
      </c>
      <c r="G166" s="7" t="s">
        <v>195</v>
      </c>
      <c r="H166" s="7" t="s">
        <v>195</v>
      </c>
      <c r="I166" s="7" t="s">
        <v>195</v>
      </c>
      <c r="J166" s="7" t="s">
        <v>195</v>
      </c>
      <c r="K166" s="7" t="s">
        <v>195</v>
      </c>
      <c r="L166" s="7" t="s">
        <v>195</v>
      </c>
      <c r="M166" s="7" t="s">
        <v>29</v>
      </c>
      <c r="N166" s="7" t="s">
        <v>29</v>
      </c>
      <c r="O166" s="7" t="s">
        <v>29</v>
      </c>
      <c r="P166" s="7" t="s">
        <v>29</v>
      </c>
      <c r="Q166" s="7" t="s">
        <v>29</v>
      </c>
      <c r="R166" s="7" t="s">
        <v>29</v>
      </c>
      <c r="S166" s="7" t="s">
        <v>29</v>
      </c>
    </row>
    <row r="167" spans="2:19">
      <c r="B167" s="7" t="s">
        <v>195</v>
      </c>
      <c r="C167" s="8" t="s">
        <v>195</v>
      </c>
      <c r="D167" s="6" t="str">
        <f>LRTRIM(CONCATENATE(IF(SUMPRODUCT(-- ISNUMBER(SEARCH({"Auto Number"}, $B167))) &gt; 0, $B167, IF(SUMPRODUCT(-- ISNUMBER(SEARCH({"Lookup","Master-Detail"}, $B167))) &gt; 0,$B167 &amp; "(" &amp; $E167 &amp; ")",IF(SUMPRODUCT(-- ISNUMBER(SEARCH({"Formula","Roll-Up Summary"}, $B167))) &gt; 0,$B167 &amp; " (" &amp; $E167 &amp; ")",IF(SUMPRODUCT(-- ISNUMBER(SEARCH({"Content","Currency","Number","Percent","Text","URL"}, $B167))) &gt; 0,$B167 &amp; "(" &amp; $C167 &amp; ")",$B167)))), "  ", TRIM(IF($S167 = "YES", "(External ID)", "") &amp; " " &amp; IF(SUMPRODUCT(-- ISNUMBER(SEARCH({"Unique","Unique Case Insensitive"}, $R167))) &gt; 0, "(" &amp; $R167 &amp; ")", ""))))</f>
        <v>na</v>
      </c>
      <c r="E167" s="7" t="s">
        <v>195</v>
      </c>
      <c r="F167" s="7" t="s">
        <v>195</v>
      </c>
      <c r="G167" s="7" t="s">
        <v>195</v>
      </c>
      <c r="H167" s="7" t="s">
        <v>195</v>
      </c>
      <c r="I167" s="7" t="s">
        <v>195</v>
      </c>
      <c r="J167" s="7" t="s">
        <v>195</v>
      </c>
      <c r="K167" s="7" t="s">
        <v>195</v>
      </c>
      <c r="L167" s="7" t="s">
        <v>195</v>
      </c>
      <c r="M167" s="7" t="s">
        <v>29</v>
      </c>
      <c r="N167" s="7" t="s">
        <v>29</v>
      </c>
      <c r="O167" s="7" t="s">
        <v>29</v>
      </c>
      <c r="P167" s="7" t="s">
        <v>29</v>
      </c>
      <c r="Q167" s="7" t="s">
        <v>29</v>
      </c>
      <c r="R167" s="7" t="s">
        <v>29</v>
      </c>
      <c r="S167" s="7" t="s">
        <v>29</v>
      </c>
    </row>
    <row r="168" spans="2:19">
      <c r="B168" s="7" t="s">
        <v>195</v>
      </c>
      <c r="C168" s="8" t="s">
        <v>195</v>
      </c>
      <c r="D168" s="6" t="str">
        <f>LRTRIM(CONCATENATE(IF(SUMPRODUCT(-- ISNUMBER(SEARCH({"Auto Number"}, $B168))) &gt; 0, $B168, IF(SUMPRODUCT(-- ISNUMBER(SEARCH({"Lookup","Master-Detail"}, $B168))) &gt; 0,$B168 &amp; "(" &amp; $E168 &amp; ")",IF(SUMPRODUCT(-- ISNUMBER(SEARCH({"Formula","Roll-Up Summary"}, $B168))) &gt; 0,$B168 &amp; " (" &amp; $E168 &amp; ")",IF(SUMPRODUCT(-- ISNUMBER(SEARCH({"Content","Currency","Number","Percent","Text","URL"}, $B168))) &gt; 0,$B168 &amp; "(" &amp; $C168 &amp; ")",$B168)))), "  ", TRIM(IF($S168 = "YES", "(External ID)", "") &amp; " " &amp; IF(SUMPRODUCT(-- ISNUMBER(SEARCH({"Unique","Unique Case Insensitive"}, $R168))) &gt; 0, "(" &amp; $R168 &amp; ")", ""))))</f>
        <v>na</v>
      </c>
      <c r="E168" s="7" t="s">
        <v>195</v>
      </c>
      <c r="F168" s="7" t="s">
        <v>195</v>
      </c>
      <c r="G168" s="7" t="s">
        <v>195</v>
      </c>
      <c r="H168" s="7" t="s">
        <v>195</v>
      </c>
      <c r="I168" s="7" t="s">
        <v>195</v>
      </c>
      <c r="J168" s="7" t="s">
        <v>195</v>
      </c>
      <c r="K168" s="7" t="s">
        <v>195</v>
      </c>
      <c r="L168" s="7" t="s">
        <v>195</v>
      </c>
      <c r="M168" s="7" t="s">
        <v>29</v>
      </c>
      <c r="N168" s="7" t="s">
        <v>29</v>
      </c>
      <c r="O168" s="7" t="s">
        <v>29</v>
      </c>
      <c r="P168" s="7" t="s">
        <v>29</v>
      </c>
      <c r="Q168" s="7" t="s">
        <v>29</v>
      </c>
      <c r="R168" s="7" t="s">
        <v>29</v>
      </c>
      <c r="S168" s="7" t="s">
        <v>29</v>
      </c>
    </row>
    <row r="169" spans="2:19">
      <c r="B169" s="7" t="s">
        <v>195</v>
      </c>
      <c r="C169" s="8" t="s">
        <v>195</v>
      </c>
      <c r="D169" s="6" t="str">
        <f>LRTRIM(CONCATENATE(IF(SUMPRODUCT(-- ISNUMBER(SEARCH({"Auto Number"}, $B169))) &gt; 0, $B169, IF(SUMPRODUCT(-- ISNUMBER(SEARCH({"Lookup","Master-Detail"}, $B169))) &gt; 0,$B169 &amp; "(" &amp; $E169 &amp; ")",IF(SUMPRODUCT(-- ISNUMBER(SEARCH({"Formula","Roll-Up Summary"}, $B169))) &gt; 0,$B169 &amp; " (" &amp; $E169 &amp; ")",IF(SUMPRODUCT(-- ISNUMBER(SEARCH({"Content","Currency","Number","Percent","Text","URL"}, $B169))) &gt; 0,$B169 &amp; "(" &amp; $C169 &amp; ")",$B169)))), "  ", TRIM(IF($S169 = "YES", "(External ID)", "") &amp; " " &amp; IF(SUMPRODUCT(-- ISNUMBER(SEARCH({"Unique","Unique Case Insensitive"}, $R169))) &gt; 0, "(" &amp; $R169 &amp; ")", ""))))</f>
        <v>na</v>
      </c>
      <c r="E169" s="7" t="s">
        <v>195</v>
      </c>
      <c r="F169" s="7" t="s">
        <v>195</v>
      </c>
      <c r="G169" s="7" t="s">
        <v>195</v>
      </c>
      <c r="H169" s="7" t="s">
        <v>195</v>
      </c>
      <c r="I169" s="7" t="s">
        <v>195</v>
      </c>
      <c r="J169" s="7" t="s">
        <v>195</v>
      </c>
      <c r="K169" s="7" t="s">
        <v>195</v>
      </c>
      <c r="L169" s="7" t="s">
        <v>195</v>
      </c>
      <c r="M169" s="7" t="s">
        <v>29</v>
      </c>
      <c r="N169" s="7" t="s">
        <v>29</v>
      </c>
      <c r="O169" s="7" t="s">
        <v>29</v>
      </c>
      <c r="P169" s="7" t="s">
        <v>29</v>
      </c>
      <c r="Q169" s="7" t="s">
        <v>29</v>
      </c>
      <c r="R169" s="7" t="s">
        <v>29</v>
      </c>
      <c r="S169" s="7" t="s">
        <v>29</v>
      </c>
    </row>
    <row r="170" spans="2:19">
      <c r="B170" s="7" t="s">
        <v>195</v>
      </c>
      <c r="C170" s="8" t="s">
        <v>195</v>
      </c>
      <c r="D170" s="6" t="str">
        <f>LRTRIM(CONCATENATE(IF(SUMPRODUCT(-- ISNUMBER(SEARCH({"Auto Number"}, $B170))) &gt; 0, $B170, IF(SUMPRODUCT(-- ISNUMBER(SEARCH({"Lookup","Master-Detail"}, $B170))) &gt; 0,$B170 &amp; "(" &amp; $E170 &amp; ")",IF(SUMPRODUCT(-- ISNUMBER(SEARCH({"Formula","Roll-Up Summary"}, $B170))) &gt; 0,$B170 &amp; " (" &amp; $E170 &amp; ")",IF(SUMPRODUCT(-- ISNUMBER(SEARCH({"Content","Currency","Number","Percent","Text","URL"}, $B170))) &gt; 0,$B170 &amp; "(" &amp; $C170 &amp; ")",$B170)))), "  ", TRIM(IF($S170 = "YES", "(External ID)", "") &amp; " " &amp; IF(SUMPRODUCT(-- ISNUMBER(SEARCH({"Unique","Unique Case Insensitive"}, $R170))) &gt; 0, "(" &amp; $R170 &amp; ")", ""))))</f>
        <v>na</v>
      </c>
      <c r="E170" s="7" t="s">
        <v>195</v>
      </c>
      <c r="F170" s="7" t="s">
        <v>195</v>
      </c>
      <c r="G170" s="7" t="s">
        <v>195</v>
      </c>
      <c r="H170" s="7" t="s">
        <v>195</v>
      </c>
      <c r="I170" s="7" t="s">
        <v>195</v>
      </c>
      <c r="J170" s="7" t="s">
        <v>195</v>
      </c>
      <c r="K170" s="7" t="s">
        <v>195</v>
      </c>
      <c r="L170" s="7" t="s">
        <v>195</v>
      </c>
      <c r="M170" s="7" t="s">
        <v>29</v>
      </c>
      <c r="N170" s="7" t="s">
        <v>29</v>
      </c>
      <c r="O170" s="7" t="s">
        <v>29</v>
      </c>
      <c r="P170" s="7" t="s">
        <v>29</v>
      </c>
      <c r="Q170" s="7" t="s">
        <v>29</v>
      </c>
      <c r="R170" s="7" t="s">
        <v>29</v>
      </c>
      <c r="S170" s="7" t="s">
        <v>29</v>
      </c>
    </row>
    <row r="171" spans="2:19">
      <c r="B171" s="7" t="s">
        <v>195</v>
      </c>
      <c r="C171" s="8" t="s">
        <v>195</v>
      </c>
      <c r="D171" s="6" t="str">
        <f>LRTRIM(CONCATENATE(IF(SUMPRODUCT(-- ISNUMBER(SEARCH({"Auto Number"}, $B171))) &gt; 0, $B171, IF(SUMPRODUCT(-- ISNUMBER(SEARCH({"Lookup","Master-Detail"}, $B171))) &gt; 0,$B171 &amp; "(" &amp; $E171 &amp; ")",IF(SUMPRODUCT(-- ISNUMBER(SEARCH({"Formula","Roll-Up Summary"}, $B171))) &gt; 0,$B171 &amp; " (" &amp; $E171 &amp; ")",IF(SUMPRODUCT(-- ISNUMBER(SEARCH({"Content","Currency","Number","Percent","Text","URL"}, $B171))) &gt; 0,$B171 &amp; "(" &amp; $C171 &amp; ")",$B171)))), "  ", TRIM(IF($S171 = "YES", "(External ID)", "") &amp; " " &amp; IF(SUMPRODUCT(-- ISNUMBER(SEARCH({"Unique","Unique Case Insensitive"}, $R171))) &gt; 0, "(" &amp; $R171 &amp; ")", ""))))</f>
        <v>na</v>
      </c>
      <c r="E171" s="7" t="s">
        <v>195</v>
      </c>
      <c r="F171" s="7" t="s">
        <v>195</v>
      </c>
      <c r="G171" s="7" t="s">
        <v>195</v>
      </c>
      <c r="H171" s="7" t="s">
        <v>195</v>
      </c>
      <c r="I171" s="7" t="s">
        <v>195</v>
      </c>
      <c r="J171" s="7" t="s">
        <v>195</v>
      </c>
      <c r="K171" s="7" t="s">
        <v>195</v>
      </c>
      <c r="L171" s="7" t="s">
        <v>195</v>
      </c>
      <c r="M171" s="7" t="s">
        <v>29</v>
      </c>
      <c r="N171" s="7" t="s">
        <v>29</v>
      </c>
      <c r="O171" s="7" t="s">
        <v>29</v>
      </c>
      <c r="P171" s="7" t="s">
        <v>29</v>
      </c>
      <c r="Q171" s="7" t="s">
        <v>29</v>
      </c>
      <c r="R171" s="7" t="s">
        <v>29</v>
      </c>
      <c r="S171" s="7" t="s">
        <v>29</v>
      </c>
    </row>
    <row r="172" spans="2:19">
      <c r="B172" s="7" t="s">
        <v>195</v>
      </c>
      <c r="C172" s="8" t="s">
        <v>195</v>
      </c>
      <c r="D172" s="6" t="str">
        <f>LRTRIM(CONCATENATE(IF(SUMPRODUCT(-- ISNUMBER(SEARCH({"Auto Number"}, $B172))) &gt; 0, $B172, IF(SUMPRODUCT(-- ISNUMBER(SEARCH({"Lookup","Master-Detail"}, $B172))) &gt; 0,$B172 &amp; "(" &amp; $E172 &amp; ")",IF(SUMPRODUCT(-- ISNUMBER(SEARCH({"Formula","Roll-Up Summary"}, $B172))) &gt; 0,$B172 &amp; " (" &amp; $E172 &amp; ")",IF(SUMPRODUCT(-- ISNUMBER(SEARCH({"Content","Currency","Number","Percent","Text","URL"}, $B172))) &gt; 0,$B172 &amp; "(" &amp; $C172 &amp; ")",$B172)))), "  ", TRIM(IF($S172 = "YES", "(External ID)", "") &amp; " " &amp; IF(SUMPRODUCT(-- ISNUMBER(SEARCH({"Unique","Unique Case Insensitive"}, $R172))) &gt; 0, "(" &amp; $R172 &amp; ")", ""))))</f>
        <v>na</v>
      </c>
      <c r="E172" s="7" t="s">
        <v>195</v>
      </c>
      <c r="F172" s="7" t="s">
        <v>195</v>
      </c>
      <c r="G172" s="7" t="s">
        <v>195</v>
      </c>
      <c r="H172" s="7" t="s">
        <v>195</v>
      </c>
      <c r="I172" s="7" t="s">
        <v>195</v>
      </c>
      <c r="J172" s="7" t="s">
        <v>195</v>
      </c>
      <c r="K172" s="7" t="s">
        <v>195</v>
      </c>
      <c r="L172" s="7" t="s">
        <v>195</v>
      </c>
      <c r="M172" s="7" t="s">
        <v>29</v>
      </c>
      <c r="N172" s="7" t="s">
        <v>29</v>
      </c>
      <c r="O172" s="7" t="s">
        <v>29</v>
      </c>
      <c r="P172" s="7" t="s">
        <v>29</v>
      </c>
      <c r="Q172" s="7" t="s">
        <v>29</v>
      </c>
      <c r="R172" s="7" t="s">
        <v>29</v>
      </c>
      <c r="S172" s="7" t="s">
        <v>29</v>
      </c>
    </row>
    <row r="173" spans="2:19">
      <c r="B173" s="7" t="s">
        <v>195</v>
      </c>
      <c r="C173" s="8" t="s">
        <v>195</v>
      </c>
      <c r="D173" s="6" t="str">
        <f>LRTRIM(CONCATENATE(IF(SUMPRODUCT(-- ISNUMBER(SEARCH({"Auto Number"}, $B173))) &gt; 0, $B173, IF(SUMPRODUCT(-- ISNUMBER(SEARCH({"Lookup","Master-Detail"}, $B173))) &gt; 0,$B173 &amp; "(" &amp; $E173 &amp; ")",IF(SUMPRODUCT(-- ISNUMBER(SEARCH({"Formula","Roll-Up Summary"}, $B173))) &gt; 0,$B173 &amp; " (" &amp; $E173 &amp; ")",IF(SUMPRODUCT(-- ISNUMBER(SEARCH({"Content","Currency","Number","Percent","Text","URL"}, $B173))) &gt; 0,$B173 &amp; "(" &amp; $C173 &amp; ")",$B173)))), "  ", TRIM(IF($S173 = "YES", "(External ID)", "") &amp; " " &amp; IF(SUMPRODUCT(-- ISNUMBER(SEARCH({"Unique","Unique Case Insensitive"}, $R173))) &gt; 0, "(" &amp; $R173 &amp; ")", ""))))</f>
        <v>na</v>
      </c>
      <c r="E173" s="7" t="s">
        <v>195</v>
      </c>
      <c r="F173" s="7" t="s">
        <v>195</v>
      </c>
      <c r="G173" s="7" t="s">
        <v>195</v>
      </c>
      <c r="H173" s="7" t="s">
        <v>195</v>
      </c>
      <c r="I173" s="7" t="s">
        <v>195</v>
      </c>
      <c r="J173" s="7" t="s">
        <v>195</v>
      </c>
      <c r="K173" s="7" t="s">
        <v>195</v>
      </c>
      <c r="L173" s="7" t="s">
        <v>195</v>
      </c>
      <c r="M173" s="7" t="s">
        <v>29</v>
      </c>
      <c r="N173" s="7" t="s">
        <v>29</v>
      </c>
      <c r="O173" s="7" t="s">
        <v>29</v>
      </c>
      <c r="P173" s="7" t="s">
        <v>29</v>
      </c>
      <c r="Q173" s="7" t="s">
        <v>29</v>
      </c>
      <c r="R173" s="7" t="s">
        <v>29</v>
      </c>
      <c r="S173" s="7" t="s">
        <v>29</v>
      </c>
    </row>
    <row r="174" spans="2:19">
      <c r="B174" s="7" t="s">
        <v>195</v>
      </c>
      <c r="C174" s="8" t="s">
        <v>195</v>
      </c>
      <c r="D174" s="6" t="str">
        <f>LRTRIM(CONCATENATE(IF(SUMPRODUCT(-- ISNUMBER(SEARCH({"Auto Number"}, $B174))) &gt; 0, $B174, IF(SUMPRODUCT(-- ISNUMBER(SEARCH({"Lookup","Master-Detail"}, $B174))) &gt; 0,$B174 &amp; "(" &amp; $E174 &amp; ")",IF(SUMPRODUCT(-- ISNUMBER(SEARCH({"Formula","Roll-Up Summary"}, $B174))) &gt; 0,$B174 &amp; " (" &amp; $E174 &amp; ")",IF(SUMPRODUCT(-- ISNUMBER(SEARCH({"Content","Currency","Number","Percent","Text","URL"}, $B174))) &gt; 0,$B174 &amp; "(" &amp; $C174 &amp; ")",$B174)))), "  ", TRIM(IF($S174 = "YES", "(External ID)", "") &amp; " " &amp; IF(SUMPRODUCT(-- ISNUMBER(SEARCH({"Unique","Unique Case Insensitive"}, $R174))) &gt; 0, "(" &amp; $R174 &amp; ")", ""))))</f>
        <v>na</v>
      </c>
      <c r="E174" s="7" t="s">
        <v>195</v>
      </c>
      <c r="F174" s="7" t="s">
        <v>195</v>
      </c>
      <c r="G174" s="7" t="s">
        <v>195</v>
      </c>
      <c r="H174" s="7" t="s">
        <v>195</v>
      </c>
      <c r="I174" s="7" t="s">
        <v>195</v>
      </c>
      <c r="J174" s="7" t="s">
        <v>195</v>
      </c>
      <c r="K174" s="7" t="s">
        <v>195</v>
      </c>
      <c r="L174" s="7" t="s">
        <v>195</v>
      </c>
      <c r="M174" s="7" t="s">
        <v>29</v>
      </c>
      <c r="N174" s="7" t="s">
        <v>29</v>
      </c>
      <c r="O174" s="7" t="s">
        <v>29</v>
      </c>
      <c r="P174" s="7" t="s">
        <v>29</v>
      </c>
      <c r="Q174" s="7" t="s">
        <v>29</v>
      </c>
      <c r="R174" s="7" t="s">
        <v>29</v>
      </c>
      <c r="S174" s="7" t="s">
        <v>29</v>
      </c>
    </row>
    <row r="175" spans="2:19">
      <c r="B175" s="7" t="s">
        <v>195</v>
      </c>
      <c r="C175" s="8" t="s">
        <v>195</v>
      </c>
      <c r="D175" s="6" t="str">
        <f>LRTRIM(CONCATENATE(IF(SUMPRODUCT(-- ISNUMBER(SEARCH({"Auto Number"}, $B175))) &gt; 0, $B175, IF(SUMPRODUCT(-- ISNUMBER(SEARCH({"Lookup","Master-Detail"}, $B175))) &gt; 0,$B175 &amp; "(" &amp; $E175 &amp; ")",IF(SUMPRODUCT(-- ISNUMBER(SEARCH({"Formula","Roll-Up Summary"}, $B175))) &gt; 0,$B175 &amp; " (" &amp; $E175 &amp; ")",IF(SUMPRODUCT(-- ISNUMBER(SEARCH({"Content","Currency","Number","Percent","Text","URL"}, $B175))) &gt; 0,$B175 &amp; "(" &amp; $C175 &amp; ")",$B175)))), "  ", TRIM(IF($S175 = "YES", "(External ID)", "") &amp; " " &amp; IF(SUMPRODUCT(-- ISNUMBER(SEARCH({"Unique","Unique Case Insensitive"}, $R175))) &gt; 0, "(" &amp; $R175 &amp; ")", ""))))</f>
        <v>na</v>
      </c>
      <c r="E175" s="7" t="s">
        <v>195</v>
      </c>
      <c r="F175" s="7" t="s">
        <v>195</v>
      </c>
      <c r="G175" s="7" t="s">
        <v>195</v>
      </c>
      <c r="H175" s="7" t="s">
        <v>195</v>
      </c>
      <c r="I175" s="7" t="s">
        <v>195</v>
      </c>
      <c r="J175" s="7" t="s">
        <v>195</v>
      </c>
      <c r="K175" s="7" t="s">
        <v>195</v>
      </c>
      <c r="L175" s="7" t="s">
        <v>195</v>
      </c>
      <c r="M175" s="7" t="s">
        <v>29</v>
      </c>
      <c r="N175" s="7" t="s">
        <v>29</v>
      </c>
      <c r="O175" s="7" t="s">
        <v>29</v>
      </c>
      <c r="P175" s="7" t="s">
        <v>29</v>
      </c>
      <c r="Q175" s="7" t="s">
        <v>29</v>
      </c>
      <c r="R175" s="7" t="s">
        <v>29</v>
      </c>
      <c r="S175" s="7" t="s">
        <v>29</v>
      </c>
    </row>
    <row r="176" spans="2:19">
      <c r="B176" s="7" t="s">
        <v>195</v>
      </c>
      <c r="C176" s="8" t="s">
        <v>195</v>
      </c>
      <c r="D176" s="6" t="str">
        <f>LRTRIM(CONCATENATE(IF(SUMPRODUCT(-- ISNUMBER(SEARCH({"Auto Number"}, $B176))) &gt; 0, $B176, IF(SUMPRODUCT(-- ISNUMBER(SEARCH({"Lookup","Master-Detail"}, $B176))) &gt; 0,$B176 &amp; "(" &amp; $E176 &amp; ")",IF(SUMPRODUCT(-- ISNUMBER(SEARCH({"Formula","Roll-Up Summary"}, $B176))) &gt; 0,$B176 &amp; " (" &amp; $E176 &amp; ")",IF(SUMPRODUCT(-- ISNUMBER(SEARCH({"Content","Currency","Number","Percent","Text","URL"}, $B176))) &gt; 0,$B176 &amp; "(" &amp; $C176 &amp; ")",$B176)))), "  ", TRIM(IF($S176 = "YES", "(External ID)", "") &amp; " " &amp; IF(SUMPRODUCT(-- ISNUMBER(SEARCH({"Unique","Unique Case Insensitive"}, $R176))) &gt; 0, "(" &amp; $R176 &amp; ")", ""))))</f>
        <v>na</v>
      </c>
      <c r="E176" s="7" t="s">
        <v>195</v>
      </c>
      <c r="F176" s="7" t="s">
        <v>195</v>
      </c>
      <c r="G176" s="7" t="s">
        <v>195</v>
      </c>
      <c r="H176" s="7" t="s">
        <v>195</v>
      </c>
      <c r="I176" s="7" t="s">
        <v>195</v>
      </c>
      <c r="J176" s="7" t="s">
        <v>195</v>
      </c>
      <c r="K176" s="7" t="s">
        <v>195</v>
      </c>
      <c r="L176" s="7" t="s">
        <v>195</v>
      </c>
      <c r="M176" s="7" t="s">
        <v>29</v>
      </c>
      <c r="N176" s="7" t="s">
        <v>29</v>
      </c>
      <c r="O176" s="7" t="s">
        <v>29</v>
      </c>
      <c r="P176" s="7" t="s">
        <v>29</v>
      </c>
      <c r="Q176" s="7" t="s">
        <v>29</v>
      </c>
      <c r="R176" s="7" t="s">
        <v>29</v>
      </c>
      <c r="S176" s="7" t="s">
        <v>29</v>
      </c>
    </row>
    <row r="177" spans="2:19">
      <c r="B177" s="7" t="s">
        <v>195</v>
      </c>
      <c r="C177" s="8" t="s">
        <v>195</v>
      </c>
      <c r="D177" s="6" t="str">
        <f>LRTRIM(CONCATENATE(IF(SUMPRODUCT(-- ISNUMBER(SEARCH({"Auto Number"}, $B177))) &gt; 0, $B177, IF(SUMPRODUCT(-- ISNUMBER(SEARCH({"Lookup","Master-Detail"}, $B177))) &gt; 0,$B177 &amp; "(" &amp; $E177 &amp; ")",IF(SUMPRODUCT(-- ISNUMBER(SEARCH({"Formula","Roll-Up Summary"}, $B177))) &gt; 0,$B177 &amp; " (" &amp; $E177 &amp; ")",IF(SUMPRODUCT(-- ISNUMBER(SEARCH({"Content","Currency","Number","Percent","Text","URL"}, $B177))) &gt; 0,$B177 &amp; "(" &amp; $C177 &amp; ")",$B177)))), "  ", TRIM(IF($S177 = "YES", "(External ID)", "") &amp; " " &amp; IF(SUMPRODUCT(-- ISNUMBER(SEARCH({"Unique","Unique Case Insensitive"}, $R177))) &gt; 0, "(" &amp; $R177 &amp; ")", ""))))</f>
        <v>na</v>
      </c>
      <c r="E177" s="7" t="s">
        <v>195</v>
      </c>
      <c r="F177" s="7" t="s">
        <v>195</v>
      </c>
      <c r="G177" s="7" t="s">
        <v>195</v>
      </c>
      <c r="H177" s="7" t="s">
        <v>195</v>
      </c>
      <c r="I177" s="7" t="s">
        <v>195</v>
      </c>
      <c r="J177" s="7" t="s">
        <v>195</v>
      </c>
      <c r="K177" s="7" t="s">
        <v>195</v>
      </c>
      <c r="L177" s="7" t="s">
        <v>195</v>
      </c>
      <c r="M177" s="7" t="s">
        <v>29</v>
      </c>
      <c r="N177" s="7" t="s">
        <v>29</v>
      </c>
      <c r="O177" s="7" t="s">
        <v>29</v>
      </c>
      <c r="P177" s="7" t="s">
        <v>29</v>
      </c>
      <c r="Q177" s="7" t="s">
        <v>29</v>
      </c>
      <c r="R177" s="7" t="s">
        <v>29</v>
      </c>
      <c r="S177" s="7" t="s">
        <v>29</v>
      </c>
    </row>
    <row r="178" spans="2:19">
      <c r="B178" s="7" t="s">
        <v>195</v>
      </c>
      <c r="C178" s="8" t="s">
        <v>195</v>
      </c>
      <c r="D178" s="6" t="str">
        <f>LRTRIM(CONCATENATE(IF(SUMPRODUCT(-- ISNUMBER(SEARCH({"Auto Number"}, $B178))) &gt; 0, $B178, IF(SUMPRODUCT(-- ISNUMBER(SEARCH({"Lookup","Master-Detail"}, $B178))) &gt; 0,$B178 &amp; "(" &amp; $E178 &amp; ")",IF(SUMPRODUCT(-- ISNUMBER(SEARCH({"Formula","Roll-Up Summary"}, $B178))) &gt; 0,$B178 &amp; " (" &amp; $E178 &amp; ")",IF(SUMPRODUCT(-- ISNUMBER(SEARCH({"Content","Currency","Number","Percent","Text","URL"}, $B178))) &gt; 0,$B178 &amp; "(" &amp; $C178 &amp; ")",$B178)))), "  ", TRIM(IF($S178 = "YES", "(External ID)", "") &amp; " " &amp; IF(SUMPRODUCT(-- ISNUMBER(SEARCH({"Unique","Unique Case Insensitive"}, $R178))) &gt; 0, "(" &amp; $R178 &amp; ")", ""))))</f>
        <v>na</v>
      </c>
      <c r="E178" s="7" t="s">
        <v>195</v>
      </c>
      <c r="F178" s="7" t="s">
        <v>195</v>
      </c>
      <c r="G178" s="7" t="s">
        <v>195</v>
      </c>
      <c r="H178" s="7" t="s">
        <v>195</v>
      </c>
      <c r="I178" s="7" t="s">
        <v>195</v>
      </c>
      <c r="J178" s="7" t="s">
        <v>195</v>
      </c>
      <c r="K178" s="7" t="s">
        <v>195</v>
      </c>
      <c r="L178" s="7" t="s">
        <v>195</v>
      </c>
      <c r="M178" s="7" t="s">
        <v>29</v>
      </c>
      <c r="N178" s="7" t="s">
        <v>29</v>
      </c>
      <c r="O178" s="7" t="s">
        <v>29</v>
      </c>
      <c r="P178" s="7" t="s">
        <v>29</v>
      </c>
      <c r="Q178" s="7" t="s">
        <v>29</v>
      </c>
      <c r="R178" s="7" t="s">
        <v>29</v>
      </c>
      <c r="S178" s="7" t="s">
        <v>29</v>
      </c>
    </row>
    <row r="179" spans="2:19">
      <c r="B179" s="7" t="s">
        <v>195</v>
      </c>
      <c r="C179" s="8" t="s">
        <v>195</v>
      </c>
      <c r="D179" s="6" t="str">
        <f>LRTRIM(CONCATENATE(IF(SUMPRODUCT(-- ISNUMBER(SEARCH({"Auto Number"}, $B179))) &gt; 0, $B179, IF(SUMPRODUCT(-- ISNUMBER(SEARCH({"Lookup","Master-Detail"}, $B179))) &gt; 0,$B179 &amp; "(" &amp; $E179 &amp; ")",IF(SUMPRODUCT(-- ISNUMBER(SEARCH({"Formula","Roll-Up Summary"}, $B179))) &gt; 0,$B179 &amp; " (" &amp; $E179 &amp; ")",IF(SUMPRODUCT(-- ISNUMBER(SEARCH({"Content","Currency","Number","Percent","Text","URL"}, $B179))) &gt; 0,$B179 &amp; "(" &amp; $C179 &amp; ")",$B179)))), "  ", TRIM(IF($S179 = "YES", "(External ID)", "") &amp; " " &amp; IF(SUMPRODUCT(-- ISNUMBER(SEARCH({"Unique","Unique Case Insensitive"}, $R179))) &gt; 0, "(" &amp; $R179 &amp; ")", ""))))</f>
        <v>na</v>
      </c>
      <c r="E179" s="7" t="s">
        <v>195</v>
      </c>
      <c r="F179" s="7" t="s">
        <v>195</v>
      </c>
      <c r="G179" s="7" t="s">
        <v>195</v>
      </c>
      <c r="H179" s="7" t="s">
        <v>195</v>
      </c>
      <c r="I179" s="7" t="s">
        <v>195</v>
      </c>
      <c r="J179" s="7" t="s">
        <v>195</v>
      </c>
      <c r="K179" s="7" t="s">
        <v>195</v>
      </c>
      <c r="L179" s="7" t="s">
        <v>195</v>
      </c>
      <c r="M179" s="7" t="s">
        <v>29</v>
      </c>
      <c r="N179" s="7" t="s">
        <v>29</v>
      </c>
      <c r="O179" s="7" t="s">
        <v>29</v>
      </c>
      <c r="P179" s="7" t="s">
        <v>29</v>
      </c>
      <c r="Q179" s="7" t="s">
        <v>29</v>
      </c>
      <c r="R179" s="7" t="s">
        <v>29</v>
      </c>
      <c r="S179" s="7" t="s">
        <v>29</v>
      </c>
    </row>
    <row r="180" spans="2:19">
      <c r="B180" s="7" t="s">
        <v>195</v>
      </c>
      <c r="C180" s="8" t="s">
        <v>195</v>
      </c>
      <c r="D180" s="6" t="str">
        <f>LRTRIM(CONCATENATE(IF(SUMPRODUCT(-- ISNUMBER(SEARCH({"Auto Number"}, $B180))) &gt; 0, $B180, IF(SUMPRODUCT(-- ISNUMBER(SEARCH({"Lookup","Master-Detail"}, $B180))) &gt; 0,$B180 &amp; "(" &amp; $E180 &amp; ")",IF(SUMPRODUCT(-- ISNUMBER(SEARCH({"Formula","Roll-Up Summary"}, $B180))) &gt; 0,$B180 &amp; " (" &amp; $E180 &amp; ")",IF(SUMPRODUCT(-- ISNUMBER(SEARCH({"Content","Currency","Number","Percent","Text","URL"}, $B180))) &gt; 0,$B180 &amp; "(" &amp; $C180 &amp; ")",$B180)))), "  ", TRIM(IF($S180 = "YES", "(External ID)", "") &amp; " " &amp; IF(SUMPRODUCT(-- ISNUMBER(SEARCH({"Unique","Unique Case Insensitive"}, $R180))) &gt; 0, "(" &amp; $R180 &amp; ")", ""))))</f>
        <v>na</v>
      </c>
      <c r="E180" s="7" t="s">
        <v>195</v>
      </c>
      <c r="F180" s="7" t="s">
        <v>195</v>
      </c>
      <c r="G180" s="7" t="s">
        <v>195</v>
      </c>
      <c r="H180" s="7" t="s">
        <v>195</v>
      </c>
      <c r="I180" s="7" t="s">
        <v>195</v>
      </c>
      <c r="J180" s="7" t="s">
        <v>195</v>
      </c>
      <c r="K180" s="7" t="s">
        <v>195</v>
      </c>
      <c r="L180" s="7" t="s">
        <v>195</v>
      </c>
      <c r="M180" s="7" t="s">
        <v>29</v>
      </c>
      <c r="N180" s="7" t="s">
        <v>29</v>
      </c>
      <c r="O180" s="7" t="s">
        <v>29</v>
      </c>
      <c r="P180" s="7" t="s">
        <v>29</v>
      </c>
      <c r="Q180" s="7" t="s">
        <v>29</v>
      </c>
      <c r="R180" s="7" t="s">
        <v>29</v>
      </c>
      <c r="S180" s="7" t="s">
        <v>29</v>
      </c>
    </row>
    <row r="181" spans="2:19">
      <c r="B181" s="7" t="s">
        <v>195</v>
      </c>
      <c r="C181" s="8" t="s">
        <v>195</v>
      </c>
      <c r="D181" s="6" t="str">
        <f>LRTRIM(CONCATENATE(IF(SUMPRODUCT(-- ISNUMBER(SEARCH({"Auto Number"}, $B181))) &gt; 0, $B181, IF(SUMPRODUCT(-- ISNUMBER(SEARCH({"Lookup","Master-Detail"}, $B181))) &gt; 0,$B181 &amp; "(" &amp; $E181 &amp; ")",IF(SUMPRODUCT(-- ISNUMBER(SEARCH({"Formula","Roll-Up Summary"}, $B181))) &gt; 0,$B181 &amp; " (" &amp; $E181 &amp; ")",IF(SUMPRODUCT(-- ISNUMBER(SEARCH({"Content","Currency","Number","Percent","Text","URL"}, $B181))) &gt; 0,$B181 &amp; "(" &amp; $C181 &amp; ")",$B181)))), "  ", TRIM(IF($S181 = "YES", "(External ID)", "") &amp; " " &amp; IF(SUMPRODUCT(-- ISNUMBER(SEARCH({"Unique","Unique Case Insensitive"}, $R181))) &gt; 0, "(" &amp; $R181 &amp; ")", ""))))</f>
        <v>na</v>
      </c>
      <c r="E181" s="7" t="s">
        <v>195</v>
      </c>
      <c r="F181" s="7" t="s">
        <v>195</v>
      </c>
      <c r="G181" s="7" t="s">
        <v>195</v>
      </c>
      <c r="H181" s="7" t="s">
        <v>195</v>
      </c>
      <c r="I181" s="7" t="s">
        <v>195</v>
      </c>
      <c r="J181" s="7" t="s">
        <v>195</v>
      </c>
      <c r="K181" s="7" t="s">
        <v>195</v>
      </c>
      <c r="L181" s="7" t="s">
        <v>195</v>
      </c>
      <c r="M181" s="7" t="s">
        <v>29</v>
      </c>
      <c r="N181" s="7" t="s">
        <v>29</v>
      </c>
      <c r="O181" s="7" t="s">
        <v>29</v>
      </c>
      <c r="P181" s="7" t="s">
        <v>29</v>
      </c>
      <c r="Q181" s="7" t="s">
        <v>29</v>
      </c>
      <c r="R181" s="7" t="s">
        <v>29</v>
      </c>
      <c r="S181" s="7" t="s">
        <v>29</v>
      </c>
    </row>
    <row r="182" spans="2:19">
      <c r="B182" s="7" t="s">
        <v>195</v>
      </c>
      <c r="C182" s="8" t="s">
        <v>195</v>
      </c>
      <c r="D182" s="6" t="str">
        <f>LRTRIM(CONCATENATE(IF(SUMPRODUCT(-- ISNUMBER(SEARCH({"Auto Number"}, $B182))) &gt; 0, $B182, IF(SUMPRODUCT(-- ISNUMBER(SEARCH({"Lookup","Master-Detail"}, $B182))) &gt; 0,$B182 &amp; "(" &amp; $E182 &amp; ")",IF(SUMPRODUCT(-- ISNUMBER(SEARCH({"Formula","Roll-Up Summary"}, $B182))) &gt; 0,$B182 &amp; " (" &amp; $E182 &amp; ")",IF(SUMPRODUCT(-- ISNUMBER(SEARCH({"Content","Currency","Number","Percent","Text","URL"}, $B182))) &gt; 0,$B182 &amp; "(" &amp; $C182 &amp; ")",$B182)))), "  ", TRIM(IF($S182 = "YES", "(External ID)", "") &amp; " " &amp; IF(SUMPRODUCT(-- ISNUMBER(SEARCH({"Unique","Unique Case Insensitive"}, $R182))) &gt; 0, "(" &amp; $R182 &amp; ")", ""))))</f>
        <v>na</v>
      </c>
      <c r="E182" s="7" t="s">
        <v>195</v>
      </c>
      <c r="F182" s="7" t="s">
        <v>195</v>
      </c>
      <c r="G182" s="7" t="s">
        <v>195</v>
      </c>
      <c r="H182" s="7" t="s">
        <v>195</v>
      </c>
      <c r="I182" s="7" t="s">
        <v>195</v>
      </c>
      <c r="J182" s="7" t="s">
        <v>195</v>
      </c>
      <c r="K182" s="7" t="s">
        <v>195</v>
      </c>
      <c r="L182" s="7" t="s">
        <v>195</v>
      </c>
      <c r="M182" s="7" t="s">
        <v>29</v>
      </c>
      <c r="N182" s="7" t="s">
        <v>29</v>
      </c>
      <c r="O182" s="7" t="s">
        <v>29</v>
      </c>
      <c r="P182" s="7" t="s">
        <v>29</v>
      </c>
      <c r="Q182" s="7" t="s">
        <v>29</v>
      </c>
      <c r="R182" s="7" t="s">
        <v>29</v>
      </c>
      <c r="S182" s="7" t="s">
        <v>29</v>
      </c>
    </row>
    <row r="183" spans="2:19">
      <c r="B183" s="7" t="s">
        <v>195</v>
      </c>
      <c r="C183" s="8" t="s">
        <v>195</v>
      </c>
      <c r="D183" s="6" t="str">
        <f>LRTRIM(CONCATENATE(IF(SUMPRODUCT(-- ISNUMBER(SEARCH({"Auto Number"}, $B183))) &gt; 0, $B183, IF(SUMPRODUCT(-- ISNUMBER(SEARCH({"Lookup","Master-Detail"}, $B183))) &gt; 0,$B183 &amp; "(" &amp; $E183 &amp; ")",IF(SUMPRODUCT(-- ISNUMBER(SEARCH({"Formula","Roll-Up Summary"}, $B183))) &gt; 0,$B183 &amp; " (" &amp; $E183 &amp; ")",IF(SUMPRODUCT(-- ISNUMBER(SEARCH({"Content","Currency","Number","Percent","Text","URL"}, $B183))) &gt; 0,$B183 &amp; "(" &amp; $C183 &amp; ")",$B183)))), "  ", TRIM(IF($S183 = "YES", "(External ID)", "") &amp; " " &amp; IF(SUMPRODUCT(-- ISNUMBER(SEARCH({"Unique","Unique Case Insensitive"}, $R183))) &gt; 0, "(" &amp; $R183 &amp; ")", ""))))</f>
        <v>na</v>
      </c>
      <c r="E183" s="7" t="s">
        <v>195</v>
      </c>
      <c r="F183" s="7" t="s">
        <v>195</v>
      </c>
      <c r="G183" s="7" t="s">
        <v>195</v>
      </c>
      <c r="H183" s="7" t="s">
        <v>195</v>
      </c>
      <c r="I183" s="7" t="s">
        <v>195</v>
      </c>
      <c r="J183" s="7" t="s">
        <v>195</v>
      </c>
      <c r="K183" s="7" t="s">
        <v>195</v>
      </c>
      <c r="L183" s="7" t="s">
        <v>195</v>
      </c>
      <c r="M183" s="7" t="s">
        <v>29</v>
      </c>
      <c r="N183" s="7" t="s">
        <v>29</v>
      </c>
      <c r="O183" s="7" t="s">
        <v>29</v>
      </c>
      <c r="P183" s="7" t="s">
        <v>29</v>
      </c>
      <c r="Q183" s="7" t="s">
        <v>29</v>
      </c>
      <c r="R183" s="7" t="s">
        <v>29</v>
      </c>
      <c r="S183" s="7" t="s">
        <v>29</v>
      </c>
    </row>
    <row r="184" spans="2:19">
      <c r="B184" s="7" t="s">
        <v>195</v>
      </c>
      <c r="C184" s="8" t="s">
        <v>195</v>
      </c>
      <c r="D184" s="6" t="str">
        <f>LRTRIM(CONCATENATE(IF(SUMPRODUCT(-- ISNUMBER(SEARCH({"Auto Number"}, $B184))) &gt; 0, $B184, IF(SUMPRODUCT(-- ISNUMBER(SEARCH({"Lookup","Master-Detail"}, $B184))) &gt; 0,$B184 &amp; "(" &amp; $E184 &amp; ")",IF(SUMPRODUCT(-- ISNUMBER(SEARCH({"Formula","Roll-Up Summary"}, $B184))) &gt; 0,$B184 &amp; " (" &amp; $E184 &amp; ")",IF(SUMPRODUCT(-- ISNUMBER(SEARCH({"Content","Currency","Number","Percent","Text","URL"}, $B184))) &gt; 0,$B184 &amp; "(" &amp; $C184 &amp; ")",$B184)))), "  ", TRIM(IF($S184 = "YES", "(External ID)", "") &amp; " " &amp; IF(SUMPRODUCT(-- ISNUMBER(SEARCH({"Unique","Unique Case Insensitive"}, $R184))) &gt; 0, "(" &amp; $R184 &amp; ")", ""))))</f>
        <v>na</v>
      </c>
      <c r="E184" s="7" t="s">
        <v>195</v>
      </c>
      <c r="F184" s="7" t="s">
        <v>195</v>
      </c>
      <c r="G184" s="7" t="s">
        <v>195</v>
      </c>
      <c r="H184" s="7" t="s">
        <v>195</v>
      </c>
      <c r="I184" s="7" t="s">
        <v>195</v>
      </c>
      <c r="J184" s="7" t="s">
        <v>195</v>
      </c>
      <c r="K184" s="7" t="s">
        <v>195</v>
      </c>
      <c r="L184" s="7" t="s">
        <v>195</v>
      </c>
      <c r="M184" s="7" t="s">
        <v>29</v>
      </c>
      <c r="N184" s="7" t="s">
        <v>29</v>
      </c>
      <c r="O184" s="7" t="s">
        <v>29</v>
      </c>
      <c r="P184" s="7" t="s">
        <v>29</v>
      </c>
      <c r="Q184" s="7" t="s">
        <v>29</v>
      </c>
      <c r="R184" s="7" t="s">
        <v>29</v>
      </c>
      <c r="S184" s="7" t="s">
        <v>29</v>
      </c>
    </row>
    <row r="185" spans="2:19">
      <c r="B185" s="7" t="s">
        <v>195</v>
      </c>
      <c r="C185" s="8" t="s">
        <v>195</v>
      </c>
      <c r="D185" s="6" t="str">
        <f>LRTRIM(CONCATENATE(IF(SUMPRODUCT(-- ISNUMBER(SEARCH({"Auto Number"}, $B185))) &gt; 0, $B185, IF(SUMPRODUCT(-- ISNUMBER(SEARCH({"Lookup","Master-Detail"}, $B185))) &gt; 0,$B185 &amp; "(" &amp; $E185 &amp; ")",IF(SUMPRODUCT(-- ISNUMBER(SEARCH({"Formula","Roll-Up Summary"}, $B185))) &gt; 0,$B185 &amp; " (" &amp; $E185 &amp; ")",IF(SUMPRODUCT(-- ISNUMBER(SEARCH({"Content","Currency","Number","Percent","Text","URL"}, $B185))) &gt; 0,$B185 &amp; "(" &amp; $C185 &amp; ")",$B185)))), "  ", TRIM(IF($S185 = "YES", "(External ID)", "") &amp; " " &amp; IF(SUMPRODUCT(-- ISNUMBER(SEARCH({"Unique","Unique Case Insensitive"}, $R185))) &gt; 0, "(" &amp; $R185 &amp; ")", ""))))</f>
        <v>na</v>
      </c>
      <c r="E185" s="7" t="s">
        <v>195</v>
      </c>
      <c r="F185" s="7" t="s">
        <v>195</v>
      </c>
      <c r="G185" s="7" t="s">
        <v>195</v>
      </c>
      <c r="H185" s="7" t="s">
        <v>195</v>
      </c>
      <c r="I185" s="7" t="s">
        <v>195</v>
      </c>
      <c r="J185" s="7" t="s">
        <v>195</v>
      </c>
      <c r="K185" s="7" t="s">
        <v>195</v>
      </c>
      <c r="L185" s="7" t="s">
        <v>195</v>
      </c>
      <c r="M185" s="7" t="s">
        <v>29</v>
      </c>
      <c r="N185" s="7" t="s">
        <v>29</v>
      </c>
      <c r="O185" s="7" t="s">
        <v>29</v>
      </c>
      <c r="P185" s="7" t="s">
        <v>29</v>
      </c>
      <c r="Q185" s="7" t="s">
        <v>29</v>
      </c>
      <c r="R185" s="7" t="s">
        <v>29</v>
      </c>
      <c r="S185" s="7" t="s">
        <v>29</v>
      </c>
    </row>
    <row r="186" spans="2:19">
      <c r="B186" s="7" t="s">
        <v>195</v>
      </c>
      <c r="C186" s="8" t="s">
        <v>195</v>
      </c>
      <c r="D186" s="6" t="str">
        <f>LRTRIM(CONCATENATE(IF(SUMPRODUCT(-- ISNUMBER(SEARCH({"Auto Number"}, $B186))) &gt; 0, $B186, IF(SUMPRODUCT(-- ISNUMBER(SEARCH({"Lookup","Master-Detail"}, $B186))) &gt; 0,$B186 &amp; "(" &amp; $E186 &amp; ")",IF(SUMPRODUCT(-- ISNUMBER(SEARCH({"Formula","Roll-Up Summary"}, $B186))) &gt; 0,$B186 &amp; " (" &amp; $E186 &amp; ")",IF(SUMPRODUCT(-- ISNUMBER(SEARCH({"Content","Currency","Number","Percent","Text","URL"}, $B186))) &gt; 0,$B186 &amp; "(" &amp; $C186 &amp; ")",$B186)))), "  ", TRIM(IF($S186 = "YES", "(External ID)", "") &amp; " " &amp; IF(SUMPRODUCT(-- ISNUMBER(SEARCH({"Unique","Unique Case Insensitive"}, $R186))) &gt; 0, "(" &amp; $R186 &amp; ")", ""))))</f>
        <v>na</v>
      </c>
      <c r="E186" s="7" t="s">
        <v>195</v>
      </c>
      <c r="F186" s="7" t="s">
        <v>195</v>
      </c>
      <c r="G186" s="7" t="s">
        <v>195</v>
      </c>
      <c r="H186" s="7" t="s">
        <v>195</v>
      </c>
      <c r="I186" s="7" t="s">
        <v>195</v>
      </c>
      <c r="J186" s="7" t="s">
        <v>195</v>
      </c>
      <c r="K186" s="7" t="s">
        <v>195</v>
      </c>
      <c r="L186" s="7" t="s">
        <v>195</v>
      </c>
      <c r="M186" s="7" t="s">
        <v>29</v>
      </c>
      <c r="N186" s="7" t="s">
        <v>29</v>
      </c>
      <c r="O186" s="7" t="s">
        <v>29</v>
      </c>
      <c r="P186" s="7" t="s">
        <v>29</v>
      </c>
      <c r="Q186" s="7" t="s">
        <v>29</v>
      </c>
      <c r="R186" s="7" t="s">
        <v>29</v>
      </c>
      <c r="S186" s="7" t="s">
        <v>29</v>
      </c>
    </row>
    <row r="187" spans="2:19">
      <c r="B187" s="7" t="s">
        <v>195</v>
      </c>
      <c r="C187" s="8" t="s">
        <v>195</v>
      </c>
      <c r="D187" s="6" t="str">
        <f>LRTRIM(CONCATENATE(IF(SUMPRODUCT(-- ISNUMBER(SEARCH({"Auto Number"}, $B187))) &gt; 0, $B187, IF(SUMPRODUCT(-- ISNUMBER(SEARCH({"Lookup","Master-Detail"}, $B187))) &gt; 0,$B187 &amp; "(" &amp; $E187 &amp; ")",IF(SUMPRODUCT(-- ISNUMBER(SEARCH({"Formula","Roll-Up Summary"}, $B187))) &gt; 0,$B187 &amp; " (" &amp; $E187 &amp; ")",IF(SUMPRODUCT(-- ISNUMBER(SEARCH({"Content","Currency","Number","Percent","Text","URL"}, $B187))) &gt; 0,$B187 &amp; "(" &amp; $C187 &amp; ")",$B187)))), "  ", TRIM(IF($S187 = "YES", "(External ID)", "") &amp; " " &amp; IF(SUMPRODUCT(-- ISNUMBER(SEARCH({"Unique","Unique Case Insensitive"}, $R187))) &gt; 0, "(" &amp; $R187 &amp; ")", ""))))</f>
        <v>na</v>
      </c>
      <c r="E187" s="7" t="s">
        <v>195</v>
      </c>
      <c r="F187" s="7" t="s">
        <v>195</v>
      </c>
      <c r="G187" s="7" t="s">
        <v>195</v>
      </c>
      <c r="H187" s="7" t="s">
        <v>195</v>
      </c>
      <c r="I187" s="7" t="s">
        <v>195</v>
      </c>
      <c r="J187" s="7" t="s">
        <v>195</v>
      </c>
      <c r="K187" s="7" t="s">
        <v>195</v>
      </c>
      <c r="L187" s="7" t="s">
        <v>195</v>
      </c>
      <c r="M187" s="7" t="s">
        <v>29</v>
      </c>
      <c r="N187" s="7" t="s">
        <v>29</v>
      </c>
      <c r="O187" s="7" t="s">
        <v>29</v>
      </c>
      <c r="P187" s="7" t="s">
        <v>29</v>
      </c>
      <c r="Q187" s="7" t="s">
        <v>29</v>
      </c>
      <c r="R187" s="7" t="s">
        <v>29</v>
      </c>
      <c r="S187" s="7" t="s">
        <v>29</v>
      </c>
    </row>
    <row r="188" spans="2:19">
      <c r="B188" s="7" t="s">
        <v>195</v>
      </c>
      <c r="C188" s="8" t="s">
        <v>195</v>
      </c>
      <c r="D188" s="6" t="str">
        <f>LRTRIM(CONCATENATE(IF(SUMPRODUCT(-- ISNUMBER(SEARCH({"Auto Number"}, $B188))) &gt; 0, $B188, IF(SUMPRODUCT(-- ISNUMBER(SEARCH({"Lookup","Master-Detail"}, $B188))) &gt; 0,$B188 &amp; "(" &amp; $E188 &amp; ")",IF(SUMPRODUCT(-- ISNUMBER(SEARCH({"Formula","Roll-Up Summary"}, $B188))) &gt; 0,$B188 &amp; " (" &amp; $E188 &amp; ")",IF(SUMPRODUCT(-- ISNUMBER(SEARCH({"Content","Currency","Number","Percent","Text","URL"}, $B188))) &gt; 0,$B188 &amp; "(" &amp; $C188 &amp; ")",$B188)))), "  ", TRIM(IF($S188 = "YES", "(External ID)", "") &amp; " " &amp; IF(SUMPRODUCT(-- ISNUMBER(SEARCH({"Unique","Unique Case Insensitive"}, $R188))) &gt; 0, "(" &amp; $R188 &amp; ")", ""))))</f>
        <v>na</v>
      </c>
      <c r="E188" s="7" t="s">
        <v>195</v>
      </c>
      <c r="F188" s="7" t="s">
        <v>195</v>
      </c>
      <c r="G188" s="7" t="s">
        <v>195</v>
      </c>
      <c r="H188" s="7" t="s">
        <v>195</v>
      </c>
      <c r="I188" s="7" t="s">
        <v>195</v>
      </c>
      <c r="J188" s="7" t="s">
        <v>195</v>
      </c>
      <c r="K188" s="7" t="s">
        <v>195</v>
      </c>
      <c r="L188" s="7" t="s">
        <v>195</v>
      </c>
      <c r="M188" s="7" t="s">
        <v>29</v>
      </c>
      <c r="N188" s="7" t="s">
        <v>29</v>
      </c>
      <c r="O188" s="7" t="s">
        <v>29</v>
      </c>
      <c r="P188" s="7" t="s">
        <v>29</v>
      </c>
      <c r="Q188" s="7" t="s">
        <v>29</v>
      </c>
      <c r="R188" s="7" t="s">
        <v>29</v>
      </c>
      <c r="S188" s="7" t="s">
        <v>29</v>
      </c>
    </row>
    <row r="189" spans="2:19">
      <c r="B189" s="7" t="s">
        <v>195</v>
      </c>
      <c r="C189" s="8" t="s">
        <v>195</v>
      </c>
      <c r="D189" s="6" t="str">
        <f>LRTRIM(CONCATENATE(IF(SUMPRODUCT(-- ISNUMBER(SEARCH({"Auto Number"}, $B189))) &gt; 0, $B189, IF(SUMPRODUCT(-- ISNUMBER(SEARCH({"Lookup","Master-Detail"}, $B189))) &gt; 0,$B189 &amp; "(" &amp; $E189 &amp; ")",IF(SUMPRODUCT(-- ISNUMBER(SEARCH({"Formula","Roll-Up Summary"}, $B189))) &gt; 0,$B189 &amp; " (" &amp; $E189 &amp; ")",IF(SUMPRODUCT(-- ISNUMBER(SEARCH({"Content","Currency","Number","Percent","Text","URL"}, $B189))) &gt; 0,$B189 &amp; "(" &amp; $C189 &amp; ")",$B189)))), "  ", TRIM(IF($S189 = "YES", "(External ID)", "") &amp; " " &amp; IF(SUMPRODUCT(-- ISNUMBER(SEARCH({"Unique","Unique Case Insensitive"}, $R189))) &gt; 0, "(" &amp; $R189 &amp; ")", ""))))</f>
        <v>na</v>
      </c>
      <c r="E189" s="7" t="s">
        <v>195</v>
      </c>
      <c r="F189" s="7" t="s">
        <v>195</v>
      </c>
      <c r="G189" s="7" t="s">
        <v>195</v>
      </c>
      <c r="H189" s="7" t="s">
        <v>195</v>
      </c>
      <c r="I189" s="7" t="s">
        <v>195</v>
      </c>
      <c r="J189" s="7" t="s">
        <v>195</v>
      </c>
      <c r="K189" s="7" t="s">
        <v>195</v>
      </c>
      <c r="L189" s="7" t="s">
        <v>195</v>
      </c>
      <c r="M189" s="7" t="s">
        <v>29</v>
      </c>
      <c r="N189" s="7" t="s">
        <v>29</v>
      </c>
      <c r="O189" s="7" t="s">
        <v>29</v>
      </c>
      <c r="P189" s="7" t="s">
        <v>29</v>
      </c>
      <c r="Q189" s="7" t="s">
        <v>29</v>
      </c>
      <c r="R189" s="7" t="s">
        <v>29</v>
      </c>
      <c r="S189" s="7" t="s">
        <v>29</v>
      </c>
    </row>
    <row r="190" spans="2:19">
      <c r="B190" s="7" t="s">
        <v>195</v>
      </c>
      <c r="C190" s="8" t="s">
        <v>195</v>
      </c>
      <c r="D190" s="6" t="str">
        <f>LRTRIM(CONCATENATE(IF(SUMPRODUCT(-- ISNUMBER(SEARCH({"Auto Number"}, $B190))) &gt; 0, $B190, IF(SUMPRODUCT(-- ISNUMBER(SEARCH({"Lookup","Master-Detail"}, $B190))) &gt; 0,$B190 &amp; "(" &amp; $E190 &amp; ")",IF(SUMPRODUCT(-- ISNUMBER(SEARCH({"Formula","Roll-Up Summary"}, $B190))) &gt; 0,$B190 &amp; " (" &amp; $E190 &amp; ")",IF(SUMPRODUCT(-- ISNUMBER(SEARCH({"Content","Currency","Number","Percent","Text","URL"}, $B190))) &gt; 0,$B190 &amp; "(" &amp; $C190 &amp; ")",$B190)))), "  ", TRIM(IF($S190 = "YES", "(External ID)", "") &amp; " " &amp; IF(SUMPRODUCT(-- ISNUMBER(SEARCH({"Unique","Unique Case Insensitive"}, $R190))) &gt; 0, "(" &amp; $R190 &amp; ")", ""))))</f>
        <v>na</v>
      </c>
      <c r="E190" s="7" t="s">
        <v>195</v>
      </c>
      <c r="F190" s="7" t="s">
        <v>195</v>
      </c>
      <c r="G190" s="7" t="s">
        <v>195</v>
      </c>
      <c r="H190" s="7" t="s">
        <v>195</v>
      </c>
      <c r="I190" s="7" t="s">
        <v>195</v>
      </c>
      <c r="J190" s="7" t="s">
        <v>195</v>
      </c>
      <c r="K190" s="7" t="s">
        <v>195</v>
      </c>
      <c r="L190" s="7" t="s">
        <v>195</v>
      </c>
      <c r="M190" s="7" t="s">
        <v>29</v>
      </c>
      <c r="N190" s="7" t="s">
        <v>29</v>
      </c>
      <c r="O190" s="7" t="s">
        <v>29</v>
      </c>
      <c r="P190" s="7" t="s">
        <v>29</v>
      </c>
      <c r="Q190" s="7" t="s">
        <v>29</v>
      </c>
      <c r="R190" s="7" t="s">
        <v>29</v>
      </c>
      <c r="S190" s="7" t="s">
        <v>29</v>
      </c>
    </row>
    <row r="191" spans="2:19">
      <c r="B191" s="7" t="s">
        <v>195</v>
      </c>
      <c r="C191" s="8" t="s">
        <v>195</v>
      </c>
      <c r="D191" s="6" t="str">
        <f>LRTRIM(CONCATENATE(IF(SUMPRODUCT(-- ISNUMBER(SEARCH({"Auto Number"}, $B191))) &gt; 0, $B191, IF(SUMPRODUCT(-- ISNUMBER(SEARCH({"Lookup","Master-Detail"}, $B191))) &gt; 0,$B191 &amp; "(" &amp; $E191 &amp; ")",IF(SUMPRODUCT(-- ISNUMBER(SEARCH({"Formula","Roll-Up Summary"}, $B191))) &gt; 0,$B191 &amp; " (" &amp; $E191 &amp; ")",IF(SUMPRODUCT(-- ISNUMBER(SEARCH({"Content","Currency","Number","Percent","Text","URL"}, $B191))) &gt; 0,$B191 &amp; "(" &amp; $C191 &amp; ")",$B191)))), "  ", TRIM(IF($S191 = "YES", "(External ID)", "") &amp; " " &amp; IF(SUMPRODUCT(-- ISNUMBER(SEARCH({"Unique","Unique Case Insensitive"}, $R191))) &gt; 0, "(" &amp; $R191 &amp; ")", ""))))</f>
        <v>na</v>
      </c>
      <c r="E191" s="7" t="s">
        <v>195</v>
      </c>
      <c r="F191" s="7" t="s">
        <v>195</v>
      </c>
      <c r="G191" s="7" t="s">
        <v>195</v>
      </c>
      <c r="H191" s="7" t="s">
        <v>195</v>
      </c>
      <c r="I191" s="7" t="s">
        <v>195</v>
      </c>
      <c r="J191" s="7" t="s">
        <v>195</v>
      </c>
      <c r="K191" s="7" t="s">
        <v>195</v>
      </c>
      <c r="L191" s="7" t="s">
        <v>195</v>
      </c>
      <c r="M191" s="7" t="s">
        <v>29</v>
      </c>
      <c r="N191" s="7" t="s">
        <v>29</v>
      </c>
      <c r="O191" s="7" t="s">
        <v>29</v>
      </c>
      <c r="P191" s="7" t="s">
        <v>29</v>
      </c>
      <c r="Q191" s="7" t="s">
        <v>29</v>
      </c>
      <c r="R191" s="7" t="s">
        <v>29</v>
      </c>
      <c r="S191" s="7" t="s">
        <v>29</v>
      </c>
    </row>
    <row r="192" spans="2:19">
      <c r="B192" s="7" t="s">
        <v>195</v>
      </c>
      <c r="C192" s="8" t="s">
        <v>195</v>
      </c>
      <c r="D192" s="6" t="str">
        <f>LRTRIM(CONCATENATE(IF(SUMPRODUCT(-- ISNUMBER(SEARCH({"Auto Number"}, $B192))) &gt; 0, $B192, IF(SUMPRODUCT(-- ISNUMBER(SEARCH({"Lookup","Master-Detail"}, $B192))) &gt; 0,$B192 &amp; "(" &amp; $E192 &amp; ")",IF(SUMPRODUCT(-- ISNUMBER(SEARCH({"Formula","Roll-Up Summary"}, $B192))) &gt; 0,$B192 &amp; " (" &amp; $E192 &amp; ")",IF(SUMPRODUCT(-- ISNUMBER(SEARCH({"Content","Currency","Number","Percent","Text","URL"}, $B192))) &gt; 0,$B192 &amp; "(" &amp; $C192 &amp; ")",$B192)))), "  ", TRIM(IF($S192 = "YES", "(External ID)", "") &amp; " " &amp; IF(SUMPRODUCT(-- ISNUMBER(SEARCH({"Unique","Unique Case Insensitive"}, $R192))) &gt; 0, "(" &amp; $R192 &amp; ")", ""))))</f>
        <v>na</v>
      </c>
      <c r="E192" s="7" t="s">
        <v>195</v>
      </c>
      <c r="F192" s="7" t="s">
        <v>195</v>
      </c>
      <c r="G192" s="7" t="s">
        <v>195</v>
      </c>
      <c r="H192" s="7" t="s">
        <v>195</v>
      </c>
      <c r="I192" s="7" t="s">
        <v>195</v>
      </c>
      <c r="J192" s="7" t="s">
        <v>195</v>
      </c>
      <c r="K192" s="7" t="s">
        <v>195</v>
      </c>
      <c r="L192" s="7" t="s">
        <v>195</v>
      </c>
      <c r="M192" s="7" t="s">
        <v>29</v>
      </c>
      <c r="N192" s="7" t="s">
        <v>29</v>
      </c>
      <c r="O192" s="7" t="s">
        <v>29</v>
      </c>
      <c r="P192" s="7" t="s">
        <v>29</v>
      </c>
      <c r="Q192" s="7" t="s">
        <v>29</v>
      </c>
      <c r="R192" s="7" t="s">
        <v>29</v>
      </c>
      <c r="S192" s="7" t="s">
        <v>29</v>
      </c>
    </row>
    <row r="193" spans="2:19">
      <c r="B193" s="7" t="s">
        <v>195</v>
      </c>
      <c r="C193" s="8" t="s">
        <v>195</v>
      </c>
      <c r="D193" s="6" t="str">
        <f>LRTRIM(CONCATENATE(IF(SUMPRODUCT(-- ISNUMBER(SEARCH({"Auto Number"}, $B193))) &gt; 0, $B193, IF(SUMPRODUCT(-- ISNUMBER(SEARCH({"Lookup","Master-Detail"}, $B193))) &gt; 0,$B193 &amp; "(" &amp; $E193 &amp; ")",IF(SUMPRODUCT(-- ISNUMBER(SEARCH({"Formula","Roll-Up Summary"}, $B193))) &gt; 0,$B193 &amp; " (" &amp; $E193 &amp; ")",IF(SUMPRODUCT(-- ISNUMBER(SEARCH({"Content","Currency","Number","Percent","Text","URL"}, $B193))) &gt; 0,$B193 &amp; "(" &amp; $C193 &amp; ")",$B193)))), "  ", TRIM(IF($S193 = "YES", "(External ID)", "") &amp; " " &amp; IF(SUMPRODUCT(-- ISNUMBER(SEARCH({"Unique","Unique Case Insensitive"}, $R193))) &gt; 0, "(" &amp; $R193 &amp; ")", ""))))</f>
        <v>na</v>
      </c>
      <c r="E193" s="7" t="s">
        <v>195</v>
      </c>
      <c r="F193" s="7" t="s">
        <v>195</v>
      </c>
      <c r="G193" s="7" t="s">
        <v>195</v>
      </c>
      <c r="H193" s="7" t="s">
        <v>195</v>
      </c>
      <c r="I193" s="7" t="s">
        <v>195</v>
      </c>
      <c r="J193" s="7" t="s">
        <v>195</v>
      </c>
      <c r="K193" s="7" t="s">
        <v>195</v>
      </c>
      <c r="L193" s="7" t="s">
        <v>195</v>
      </c>
      <c r="M193" s="7" t="s">
        <v>29</v>
      </c>
      <c r="N193" s="7" t="s">
        <v>29</v>
      </c>
      <c r="O193" s="7" t="s">
        <v>29</v>
      </c>
      <c r="P193" s="7" t="s">
        <v>29</v>
      </c>
      <c r="Q193" s="7" t="s">
        <v>29</v>
      </c>
      <c r="R193" s="7" t="s">
        <v>29</v>
      </c>
      <c r="S193" s="7" t="s">
        <v>29</v>
      </c>
    </row>
    <row r="194" spans="2:19">
      <c r="B194" s="7" t="s">
        <v>195</v>
      </c>
      <c r="C194" s="8" t="s">
        <v>195</v>
      </c>
      <c r="D194" s="6" t="str">
        <f>LRTRIM(CONCATENATE(IF(SUMPRODUCT(-- ISNUMBER(SEARCH({"Auto Number"}, $B194))) &gt; 0, $B194, IF(SUMPRODUCT(-- ISNUMBER(SEARCH({"Lookup","Master-Detail"}, $B194))) &gt; 0,$B194 &amp; "(" &amp; $E194 &amp; ")",IF(SUMPRODUCT(-- ISNUMBER(SEARCH({"Formula","Roll-Up Summary"}, $B194))) &gt; 0,$B194 &amp; " (" &amp; $E194 &amp; ")",IF(SUMPRODUCT(-- ISNUMBER(SEARCH({"Content","Currency","Number","Percent","Text","URL"}, $B194))) &gt; 0,$B194 &amp; "(" &amp; $C194 &amp; ")",$B194)))), "  ", TRIM(IF($S194 = "YES", "(External ID)", "") &amp; " " &amp; IF(SUMPRODUCT(-- ISNUMBER(SEARCH({"Unique","Unique Case Insensitive"}, $R194))) &gt; 0, "(" &amp; $R194 &amp; ")", ""))))</f>
        <v>na</v>
      </c>
      <c r="E194" s="7" t="s">
        <v>195</v>
      </c>
      <c r="F194" s="7" t="s">
        <v>195</v>
      </c>
      <c r="G194" s="7" t="s">
        <v>195</v>
      </c>
      <c r="H194" s="7" t="s">
        <v>195</v>
      </c>
      <c r="I194" s="7" t="s">
        <v>195</v>
      </c>
      <c r="J194" s="7" t="s">
        <v>195</v>
      </c>
      <c r="K194" s="7" t="s">
        <v>195</v>
      </c>
      <c r="L194" s="7" t="s">
        <v>195</v>
      </c>
      <c r="M194" s="7" t="s">
        <v>29</v>
      </c>
      <c r="N194" s="7" t="s">
        <v>29</v>
      </c>
      <c r="O194" s="7" t="s">
        <v>29</v>
      </c>
      <c r="P194" s="7" t="s">
        <v>29</v>
      </c>
      <c r="Q194" s="7" t="s">
        <v>29</v>
      </c>
      <c r="R194" s="7" t="s">
        <v>29</v>
      </c>
      <c r="S194" s="7" t="s">
        <v>29</v>
      </c>
    </row>
    <row r="195" spans="2:19">
      <c r="B195" s="7" t="s">
        <v>195</v>
      </c>
      <c r="C195" s="8" t="s">
        <v>195</v>
      </c>
      <c r="D195" s="6" t="str">
        <f>LRTRIM(CONCATENATE(IF(SUMPRODUCT(-- ISNUMBER(SEARCH({"Auto Number"}, $B195))) &gt; 0, $B195, IF(SUMPRODUCT(-- ISNUMBER(SEARCH({"Lookup","Master-Detail"}, $B195))) &gt; 0,$B195 &amp; "(" &amp; $E195 &amp; ")",IF(SUMPRODUCT(-- ISNUMBER(SEARCH({"Formula","Roll-Up Summary"}, $B195))) &gt; 0,$B195 &amp; " (" &amp; $E195 &amp; ")",IF(SUMPRODUCT(-- ISNUMBER(SEARCH({"Content","Currency","Number","Percent","Text","URL"}, $B195))) &gt; 0,$B195 &amp; "(" &amp; $C195 &amp; ")",$B195)))), "  ", TRIM(IF($S195 = "YES", "(External ID)", "") &amp; " " &amp; IF(SUMPRODUCT(-- ISNUMBER(SEARCH({"Unique","Unique Case Insensitive"}, $R195))) &gt; 0, "(" &amp; $R195 &amp; ")", ""))))</f>
        <v>na</v>
      </c>
      <c r="E195" s="7" t="s">
        <v>195</v>
      </c>
      <c r="F195" s="7" t="s">
        <v>195</v>
      </c>
      <c r="G195" s="7" t="s">
        <v>195</v>
      </c>
      <c r="H195" s="7" t="s">
        <v>195</v>
      </c>
      <c r="I195" s="7" t="s">
        <v>195</v>
      </c>
      <c r="J195" s="7" t="s">
        <v>195</v>
      </c>
      <c r="K195" s="7" t="s">
        <v>195</v>
      </c>
      <c r="L195" s="7" t="s">
        <v>195</v>
      </c>
      <c r="M195" s="7" t="s">
        <v>29</v>
      </c>
      <c r="N195" s="7" t="s">
        <v>29</v>
      </c>
      <c r="O195" s="7" t="s">
        <v>29</v>
      </c>
      <c r="P195" s="7" t="s">
        <v>29</v>
      </c>
      <c r="Q195" s="7" t="s">
        <v>29</v>
      </c>
      <c r="R195" s="7" t="s">
        <v>29</v>
      </c>
      <c r="S195" s="7" t="s">
        <v>29</v>
      </c>
    </row>
    <row r="196" spans="2:19">
      <c r="B196" s="7" t="s">
        <v>195</v>
      </c>
      <c r="C196" s="8" t="s">
        <v>195</v>
      </c>
      <c r="D196" s="6" t="str">
        <f>LRTRIM(CONCATENATE(IF(SUMPRODUCT(-- ISNUMBER(SEARCH({"Auto Number"}, $B196))) &gt; 0, $B196, IF(SUMPRODUCT(-- ISNUMBER(SEARCH({"Lookup","Master-Detail"}, $B196))) &gt; 0,$B196 &amp; "(" &amp; $E196 &amp; ")",IF(SUMPRODUCT(-- ISNUMBER(SEARCH({"Formula","Roll-Up Summary"}, $B196))) &gt; 0,$B196 &amp; " (" &amp; $E196 &amp; ")",IF(SUMPRODUCT(-- ISNUMBER(SEARCH({"Content","Currency","Number","Percent","Text","URL"}, $B196))) &gt; 0,$B196 &amp; "(" &amp; $C196 &amp; ")",$B196)))), "  ", TRIM(IF($S196 = "YES", "(External ID)", "") &amp; " " &amp; IF(SUMPRODUCT(-- ISNUMBER(SEARCH({"Unique","Unique Case Insensitive"}, $R196))) &gt; 0, "(" &amp; $R196 &amp; ")", ""))))</f>
        <v>na</v>
      </c>
      <c r="E196" s="7" t="s">
        <v>195</v>
      </c>
      <c r="F196" s="7" t="s">
        <v>195</v>
      </c>
      <c r="G196" s="7" t="s">
        <v>195</v>
      </c>
      <c r="H196" s="7" t="s">
        <v>195</v>
      </c>
      <c r="I196" s="7" t="s">
        <v>195</v>
      </c>
      <c r="J196" s="7" t="s">
        <v>195</v>
      </c>
      <c r="K196" s="7" t="s">
        <v>195</v>
      </c>
      <c r="L196" s="7" t="s">
        <v>195</v>
      </c>
      <c r="M196" s="7" t="s">
        <v>29</v>
      </c>
      <c r="N196" s="7" t="s">
        <v>29</v>
      </c>
      <c r="O196" s="7" t="s">
        <v>29</v>
      </c>
      <c r="P196" s="7" t="s">
        <v>29</v>
      </c>
      <c r="Q196" s="7" t="s">
        <v>29</v>
      </c>
      <c r="R196" s="7" t="s">
        <v>29</v>
      </c>
      <c r="S196" s="7" t="s">
        <v>29</v>
      </c>
    </row>
    <row r="197" spans="2:19">
      <c r="B197" s="7" t="s">
        <v>195</v>
      </c>
      <c r="C197" s="8" t="s">
        <v>195</v>
      </c>
      <c r="D197" s="6" t="str">
        <f>LRTRIM(CONCATENATE(IF(SUMPRODUCT(-- ISNUMBER(SEARCH({"Auto Number"}, $B197))) &gt; 0, $B197, IF(SUMPRODUCT(-- ISNUMBER(SEARCH({"Lookup","Master-Detail"}, $B197))) &gt; 0,$B197 &amp; "(" &amp; $E197 &amp; ")",IF(SUMPRODUCT(-- ISNUMBER(SEARCH({"Formula","Roll-Up Summary"}, $B197))) &gt; 0,$B197 &amp; " (" &amp; $E197 &amp; ")",IF(SUMPRODUCT(-- ISNUMBER(SEARCH({"Content","Currency","Number","Percent","Text","URL"}, $B197))) &gt; 0,$B197 &amp; "(" &amp; $C197 &amp; ")",$B197)))), "  ", TRIM(IF($S197 = "YES", "(External ID)", "") &amp; " " &amp; IF(SUMPRODUCT(-- ISNUMBER(SEARCH({"Unique","Unique Case Insensitive"}, $R197))) &gt; 0, "(" &amp; $R197 &amp; ")", ""))))</f>
        <v>na</v>
      </c>
      <c r="E197" s="7" t="s">
        <v>195</v>
      </c>
      <c r="F197" s="7" t="s">
        <v>195</v>
      </c>
      <c r="G197" s="7" t="s">
        <v>195</v>
      </c>
      <c r="H197" s="7" t="s">
        <v>195</v>
      </c>
      <c r="I197" s="7" t="s">
        <v>195</v>
      </c>
      <c r="J197" s="7" t="s">
        <v>195</v>
      </c>
      <c r="K197" s="7" t="s">
        <v>195</v>
      </c>
      <c r="L197" s="7" t="s">
        <v>195</v>
      </c>
      <c r="M197" s="7" t="s">
        <v>29</v>
      </c>
      <c r="N197" s="7" t="s">
        <v>29</v>
      </c>
      <c r="O197" s="7" t="s">
        <v>29</v>
      </c>
      <c r="P197" s="7" t="s">
        <v>29</v>
      </c>
      <c r="Q197" s="7" t="s">
        <v>29</v>
      </c>
      <c r="R197" s="7" t="s">
        <v>29</v>
      </c>
      <c r="S197" s="7" t="s">
        <v>29</v>
      </c>
    </row>
    <row r="198" spans="2:19">
      <c r="B198" s="7" t="s">
        <v>195</v>
      </c>
      <c r="C198" s="8" t="s">
        <v>195</v>
      </c>
      <c r="D198" s="6" t="str">
        <f>LRTRIM(CONCATENATE(IF(SUMPRODUCT(-- ISNUMBER(SEARCH({"Auto Number"}, $B198))) &gt; 0, $B198, IF(SUMPRODUCT(-- ISNUMBER(SEARCH({"Lookup","Master-Detail"}, $B198))) &gt; 0,$B198 &amp; "(" &amp; $E198 &amp; ")",IF(SUMPRODUCT(-- ISNUMBER(SEARCH({"Formula","Roll-Up Summary"}, $B198))) &gt; 0,$B198 &amp; " (" &amp; $E198 &amp; ")",IF(SUMPRODUCT(-- ISNUMBER(SEARCH({"Content","Currency","Number","Percent","Text","URL"}, $B198))) &gt; 0,$B198 &amp; "(" &amp; $C198 &amp; ")",$B198)))), "  ", TRIM(IF($S198 = "YES", "(External ID)", "") &amp; " " &amp; IF(SUMPRODUCT(-- ISNUMBER(SEARCH({"Unique","Unique Case Insensitive"}, $R198))) &gt; 0, "(" &amp; $R198 &amp; ")", ""))))</f>
        <v>na</v>
      </c>
      <c r="E198" s="7" t="s">
        <v>195</v>
      </c>
      <c r="F198" s="7" t="s">
        <v>195</v>
      </c>
      <c r="G198" s="7" t="s">
        <v>195</v>
      </c>
      <c r="H198" s="7" t="s">
        <v>195</v>
      </c>
      <c r="I198" s="7" t="s">
        <v>195</v>
      </c>
      <c r="J198" s="7" t="s">
        <v>195</v>
      </c>
      <c r="K198" s="7" t="s">
        <v>195</v>
      </c>
      <c r="L198" s="7" t="s">
        <v>195</v>
      </c>
      <c r="M198" s="7" t="s">
        <v>29</v>
      </c>
      <c r="N198" s="7" t="s">
        <v>29</v>
      </c>
      <c r="O198" s="7" t="s">
        <v>29</v>
      </c>
      <c r="P198" s="7" t="s">
        <v>29</v>
      </c>
      <c r="Q198" s="7" t="s">
        <v>29</v>
      </c>
      <c r="R198" s="7" t="s">
        <v>29</v>
      </c>
      <c r="S198" s="7" t="s">
        <v>29</v>
      </c>
    </row>
    <row r="199" spans="2:19">
      <c r="B199" s="7" t="s">
        <v>195</v>
      </c>
      <c r="C199" s="8" t="s">
        <v>195</v>
      </c>
      <c r="D199" s="6" t="str">
        <f>LRTRIM(CONCATENATE(IF(SUMPRODUCT(-- ISNUMBER(SEARCH({"Auto Number"}, $B199))) &gt; 0, $B199, IF(SUMPRODUCT(-- ISNUMBER(SEARCH({"Lookup","Master-Detail"}, $B199))) &gt; 0,$B199 &amp; "(" &amp; $E199 &amp; ")",IF(SUMPRODUCT(-- ISNUMBER(SEARCH({"Formula","Roll-Up Summary"}, $B199))) &gt; 0,$B199 &amp; " (" &amp; $E199 &amp; ")",IF(SUMPRODUCT(-- ISNUMBER(SEARCH({"Content","Currency","Number","Percent","Text","URL"}, $B199))) &gt; 0,$B199 &amp; "(" &amp; $C199 &amp; ")",$B199)))), "  ", TRIM(IF($S199 = "YES", "(External ID)", "") &amp; " " &amp; IF(SUMPRODUCT(-- ISNUMBER(SEARCH({"Unique","Unique Case Insensitive"}, $R199))) &gt; 0, "(" &amp; $R199 &amp; ")", ""))))</f>
        <v>na</v>
      </c>
      <c r="E199" s="7" t="s">
        <v>195</v>
      </c>
      <c r="F199" s="7" t="s">
        <v>195</v>
      </c>
      <c r="G199" s="7" t="s">
        <v>195</v>
      </c>
      <c r="H199" s="7" t="s">
        <v>195</v>
      </c>
      <c r="I199" s="7" t="s">
        <v>195</v>
      </c>
      <c r="J199" s="7" t="s">
        <v>195</v>
      </c>
      <c r="K199" s="7" t="s">
        <v>195</v>
      </c>
      <c r="L199" s="7" t="s">
        <v>195</v>
      </c>
      <c r="M199" s="7" t="s">
        <v>29</v>
      </c>
      <c r="N199" s="7" t="s">
        <v>29</v>
      </c>
      <c r="O199" s="7" t="s">
        <v>29</v>
      </c>
      <c r="P199" s="7" t="s">
        <v>29</v>
      </c>
      <c r="Q199" s="7" t="s">
        <v>29</v>
      </c>
      <c r="R199" s="7" t="s">
        <v>29</v>
      </c>
      <c r="S199" s="7" t="s">
        <v>29</v>
      </c>
    </row>
    <row r="200" spans="2:19">
      <c r="B200" s="7" t="s">
        <v>195</v>
      </c>
      <c r="C200" s="8" t="s">
        <v>195</v>
      </c>
      <c r="D200" s="6" t="str">
        <f>LRTRIM(CONCATENATE(IF(SUMPRODUCT(-- ISNUMBER(SEARCH({"Auto Number"}, $B200))) &gt; 0, $B200, IF(SUMPRODUCT(-- ISNUMBER(SEARCH({"Lookup","Master-Detail"}, $B200))) &gt; 0,$B200 &amp; "(" &amp; $E200 &amp; ")",IF(SUMPRODUCT(-- ISNUMBER(SEARCH({"Formula","Roll-Up Summary"}, $B200))) &gt; 0,$B200 &amp; " (" &amp; $E200 &amp; ")",IF(SUMPRODUCT(-- ISNUMBER(SEARCH({"Content","Currency","Number","Percent","Text","URL"}, $B200))) &gt; 0,$B200 &amp; "(" &amp; $C200 &amp; ")",$B200)))), "  ", TRIM(IF($S200 = "YES", "(External ID)", "") &amp; " " &amp; IF(SUMPRODUCT(-- ISNUMBER(SEARCH({"Unique","Unique Case Insensitive"}, $R200))) &gt; 0, "(" &amp; $R200 &amp; ")", ""))))</f>
        <v>na</v>
      </c>
      <c r="E200" s="7" t="s">
        <v>195</v>
      </c>
      <c r="F200" s="7" t="s">
        <v>195</v>
      </c>
      <c r="G200" s="7" t="s">
        <v>195</v>
      </c>
      <c r="H200" s="7" t="s">
        <v>195</v>
      </c>
      <c r="I200" s="7" t="s">
        <v>195</v>
      </c>
      <c r="J200" s="7" t="s">
        <v>195</v>
      </c>
      <c r="K200" s="7" t="s">
        <v>195</v>
      </c>
      <c r="L200" s="7" t="s">
        <v>195</v>
      </c>
      <c r="M200" s="7" t="s">
        <v>29</v>
      </c>
      <c r="N200" s="7" t="s">
        <v>29</v>
      </c>
      <c r="O200" s="7" t="s">
        <v>29</v>
      </c>
      <c r="P200" s="7" t="s">
        <v>29</v>
      </c>
      <c r="Q200" s="7" t="s">
        <v>29</v>
      </c>
      <c r="R200" s="7" t="s">
        <v>29</v>
      </c>
      <c r="S200" s="7" t="s">
        <v>29</v>
      </c>
    </row>
  </sheetData>
  <sheetProtection formatCells="0" formatColumns="0" formatRows="0" insertColumns="0" insertRows="0" insertHyperlinks="0" deleteColumns="0" deleteRows="0" sort="0" autoFilter="0" pivotTables="0"/>
  <conditionalFormatting sqref="D2:D53">
    <cfRule type="expression" dxfId="51" priority="3">
      <formula>NOT(_xlfn.ISFORMULA($D2))</formula>
    </cfRule>
  </conditionalFormatting>
  <conditionalFormatting sqref="D54">
    <cfRule type="expression" dxfId="50" priority="2">
      <formula>NOT(_xlfn.ISFORMULA($D54))</formula>
    </cfRule>
  </conditionalFormatting>
  <conditionalFormatting sqref="D55:D200">
    <cfRule type="expression" dxfId="49" priority="1">
      <formula>NOT(_xlfn.ISFORMULA($D55))</formula>
    </cfRule>
  </conditionalFormatting>
  <dataValidations count="1">
    <dataValidation allowBlank="1" showInputMessage="1" showErrorMessage="1" sqref="A2:A53"/>
  </dataValidations>
  <pageMargins left="0.7" right="0.7" top="0.75" bottom="0.75" header="0.3" footer="0.3"/>
  <extLst>
    <ext xmlns:x14="http://schemas.microsoft.com/office/spreadsheetml/2009/9/main" uri="{CCE6A557-97BC-4b89-ADB6-D9C93CAAB3DF}">
      <x14:dataValidations xmlns:xm="http://schemas.microsoft.com/office/excel/2006/main" count="10">
        <x14:dataValidation type="list" allowBlank="1" showInputMessage="1" showErrorMessage="1">
          <x14:formula1>
            <xm:f>OFFSET('Reference Fields'!$K$2,0,0,COUNTA('Reference Fields'!$K:$K)-1)</xm:f>
          </x14:formula1>
          <xm:sqref>R2:R200</xm:sqref>
        </x14:dataValidation>
        <x14:dataValidation type="list" allowBlank="1" showInputMessage="1" showErrorMessage="1">
          <x14:formula1>
            <xm:f>OFFSET('Reference Fields'!$J$2,0,0,COUNTA('Reference Fields'!$J:$J)-1)</xm:f>
          </x14:formula1>
          <xm:sqref>S2:S200</xm:sqref>
        </x14:dataValidation>
        <x14:dataValidation type="list" allowBlank="1" showInputMessage="1" showErrorMessage="1">
          <x14:formula1>
            <xm:f>OFFSET('Reference Fields'!$J$2,0,0,COUNTA('Reference Fields'!$J:$J)-1)</xm:f>
          </x14:formula1>
          <xm:sqref>M2:Q200</xm:sqref>
        </x14:dataValidation>
        <x14:dataValidation type="list" allowBlank="1" showInputMessage="1" showErrorMessage="1">
          <x14:formula1>
            <xm:f>OFFSET('Reference Fields'!$B$2,0,0,COUNTA('Reference Fields'!$B:$B)-1)</xm:f>
          </x14:formula1>
          <xm:sqref>B2:B200</xm:sqref>
        </x14:dataValidation>
        <x14:dataValidation type="list" allowBlank="1" showInputMessage="1" showErrorMessage="1">
          <x14:formula1>
            <xm:f>OFFSET('Reference Fields'!$D$2,0,0,COUNTA('Reference Fields'!$D:$D)-1)</xm:f>
          </x14:formula1>
          <xm:sqref>F2:F200</xm:sqref>
        </x14:dataValidation>
        <x14:dataValidation type="list" allowBlank="1" showInputMessage="1" showErrorMessage="1">
          <x14:formula1>
            <xm:f>OFFSET('Reference Fields'!$E$2,0,0,COUNTA('Reference Fields'!$E:$E)-1)</xm:f>
          </x14:formula1>
          <xm:sqref>G2:G200</xm:sqref>
        </x14:dataValidation>
        <x14:dataValidation type="list" allowBlank="1" showInputMessage="1" showErrorMessage="1">
          <x14:formula1>
            <xm:f>OFFSET('Reference Fields'!$F$2,0,0,COUNTA('Reference Fields'!$F:$F)-1)</xm:f>
          </x14:formula1>
          <xm:sqref>H2:I200</xm:sqref>
        </x14:dataValidation>
        <x14:dataValidation type="list" allowBlank="1" showInputMessage="1" showErrorMessage="1">
          <x14:formula1>
            <xm:f>OFFSET('Reference Fields'!$G$2,0,0,COUNTA('Reference Fields'!$G:$G)-1)</xm:f>
          </x14:formula1>
          <xm:sqref>J2:J200</xm:sqref>
        </x14:dataValidation>
        <x14:dataValidation type="list" allowBlank="1" showInputMessage="1" showErrorMessage="1">
          <x14:formula1>
            <xm:f>OFFSET('Reference Fields'!$H$2,0,0,COUNTA('Reference Fields'!$H:$H)-1)</xm:f>
          </x14:formula1>
          <xm:sqref>K2:K200</xm:sqref>
        </x14:dataValidation>
        <x14:dataValidation type="list" allowBlank="1" showInputMessage="1" showErrorMessage="1">
          <x14:formula1>
            <xm:f>OFFSET('Reference Fields'!$I$2,0,0,COUNTA('Reference Fields'!$I:$I)-1)</xm:f>
          </x14:formula1>
          <xm:sqref>L2:L200</xm:sqref>
        </x14:dataValidation>
      </x14:dataValidations>
    </ext>
  </extLst>
</worksheet>
</file>

<file path=xl/worksheets/sheet24.xml><?xml version="1.0" encoding="utf-8"?>
<worksheet xmlns="http://schemas.openxmlformats.org/spreadsheetml/2006/main" xmlns:r="http://schemas.openxmlformats.org/officeDocument/2006/relationships">
  <sheetPr codeName="Sheet16"/>
  <dimension ref="A1:S200"/>
  <sheetViews>
    <sheetView workbookViewId="0">
      <pane ySplit="1" topLeftCell="A2" activePane="bottomLeft" state="frozen"/>
      <selection pane="bottomLeft" activeCell="A2" sqref="A2"/>
    </sheetView>
  </sheetViews>
  <sheetFormatPr defaultRowHeight="14.5"/>
  <cols>
    <col min="1" max="1" width="23" bestFit="1" customWidth="1"/>
    <col min="2" max="2" width="13.54296875" customWidth="1"/>
    <col min="3" max="3" width="8.90625" customWidth="1"/>
    <col min="4" max="4" width="13.81640625" customWidth="1"/>
    <col min="5" max="5" width="12.6328125" customWidth="1"/>
    <col min="6" max="6" width="15.6328125" bestFit="1" customWidth="1"/>
    <col min="7" max="8" width="15.453125" customWidth="1"/>
    <col min="9" max="9" width="22.6328125" customWidth="1"/>
    <col min="10" max="10" width="23.36328125" customWidth="1"/>
    <col min="11" max="11" width="17.54296875" customWidth="1"/>
    <col min="12" max="12" width="14.08984375" customWidth="1"/>
    <col min="13" max="13" width="10.453125" bestFit="1" customWidth="1"/>
    <col min="14" max="14" width="10.453125" customWidth="1"/>
    <col min="15" max="15" width="12.453125" bestFit="1" customWidth="1"/>
  </cols>
  <sheetData>
    <row r="1" spans="1:19" s="1" customFormat="1">
      <c r="A1" s="1" t="s">
        <v>2</v>
      </c>
      <c r="B1" s="1" t="s">
        <v>1198</v>
      </c>
      <c r="C1" s="1" t="s">
        <v>1199</v>
      </c>
      <c r="D1" s="1" t="s">
        <v>0</v>
      </c>
      <c r="E1" s="1" t="s">
        <v>1</v>
      </c>
      <c r="F1" s="1" t="s">
        <v>30</v>
      </c>
      <c r="G1" s="1" t="s">
        <v>31</v>
      </c>
      <c r="H1" s="1" t="s">
        <v>1262</v>
      </c>
      <c r="I1" s="1" t="s">
        <v>49</v>
      </c>
      <c r="J1" s="1" t="s">
        <v>48</v>
      </c>
      <c r="K1" s="1" t="s">
        <v>54</v>
      </c>
      <c r="L1" s="1" t="s">
        <v>55</v>
      </c>
      <c r="M1" s="1" t="s">
        <v>27</v>
      </c>
      <c r="N1" s="1" t="s">
        <v>175</v>
      </c>
      <c r="O1" s="1" t="s">
        <v>193</v>
      </c>
      <c r="P1" s="1" t="s">
        <v>1221</v>
      </c>
      <c r="Q1" s="1" t="s">
        <v>1264</v>
      </c>
      <c r="R1" s="1" t="s">
        <v>1263</v>
      </c>
      <c r="S1" s="1" t="s">
        <v>1265</v>
      </c>
    </row>
    <row r="2" spans="1:19">
      <c r="A2" s="7" t="s">
        <v>3</v>
      </c>
      <c r="B2" s="7" t="s">
        <v>1211</v>
      </c>
      <c r="C2" s="8">
        <v>18</v>
      </c>
      <c r="D2" s="6" t="str">
        <f>LRTRIM(CONCATENATE(IF(SUMPRODUCT(-- ISNUMBER(SEARCH({"Auto Number"}, $B2))) &gt; 0, $B2, IF(SUMPRODUCT(-- ISNUMBER(SEARCH({"Lookup","Master-Detail"}, $B2))) &gt; 0,$B2 &amp; "(" &amp; $E2 &amp; ")",IF(SUMPRODUCT(-- ISNUMBER(SEARCH({"Formula","Roll-Up Summary"}, $B2))) &gt; 0,$B2 &amp; " (" &amp; $E2 &amp; ")",IF(SUMPRODUCT(-- ISNUMBER(SEARCH({"Content","Currency","Number","Percent","Text","URL"}, $B2))) &gt; 0,$B2 &amp; "(" &amp; $C2 &amp; ")",$B2)))), "  ", TRIM(IF($S2 = "YES", "(External ID)", "") &amp; " " &amp; IF(SUMPRODUCT(-- ISNUMBER(SEARCH({"Unique","Unique Case Insensitive"}, $R2))) &gt; 0, "(" &amp; $R2 &amp; ")", ""))))</f>
        <v>Lookup(Account)</v>
      </c>
      <c r="E2" s="7" t="s">
        <v>5</v>
      </c>
      <c r="F2" s="7" t="s">
        <v>195</v>
      </c>
      <c r="G2" s="7" t="s">
        <v>195</v>
      </c>
      <c r="H2" s="7" t="s">
        <v>195</v>
      </c>
      <c r="I2" s="7" t="s">
        <v>195</v>
      </c>
      <c r="J2" s="7" t="s">
        <v>195</v>
      </c>
      <c r="K2" s="7" t="s">
        <v>195</v>
      </c>
      <c r="L2" s="7" t="s">
        <v>195</v>
      </c>
      <c r="M2" s="7" t="s">
        <v>29</v>
      </c>
      <c r="N2" s="7" t="s">
        <v>29</v>
      </c>
      <c r="O2" s="7" t="s">
        <v>29</v>
      </c>
      <c r="P2" s="7" t="s">
        <v>29</v>
      </c>
      <c r="Q2" s="7" t="s">
        <v>29</v>
      </c>
      <c r="R2" s="7" t="s">
        <v>29</v>
      </c>
      <c r="S2" s="7" t="s">
        <v>29</v>
      </c>
    </row>
    <row r="3" spans="1:19">
      <c r="A3" s="7" t="s">
        <v>643</v>
      </c>
      <c r="B3" s="7" t="s">
        <v>1211</v>
      </c>
      <c r="C3" s="8">
        <v>18</v>
      </c>
      <c r="D3" s="6" t="str">
        <f>LRTRIM(CONCATENATE(IF(SUMPRODUCT(-- ISNUMBER(SEARCH({"Auto Number"}, $B3))) &gt; 0, $B3, IF(SUMPRODUCT(-- ISNUMBER(SEARCH({"Lookup","Master-Detail"}, $B3))) &gt; 0,$B3 &amp; "(" &amp; $E3 &amp; ")",IF(SUMPRODUCT(-- ISNUMBER(SEARCH({"Formula","Roll-Up Summary"}, $B3))) &gt; 0,$B3 &amp; " (" &amp; $E3 &amp; ")",IF(SUMPRODUCT(-- ISNUMBER(SEARCH({"Content","Currency","Number","Percent","Text","URL"}, $B3))) &gt; 0,$B3 &amp; "(" &amp; $C3 &amp; ")",$B3)))), "  ", TRIM(IF($S3 = "YES", "(External ID)", "") &amp; " " &amp; IF(SUMPRODUCT(-- ISNUMBER(SEARCH({"Unique","Unique Case Insensitive"}, $R3))) &gt; 0, "(" &amp; $R3 &amp; ")", ""))))</f>
        <v>Lookup(Target)</v>
      </c>
      <c r="E3" s="7" t="s">
        <v>1613</v>
      </c>
      <c r="F3" s="7" t="s">
        <v>652</v>
      </c>
      <c r="G3" s="7" t="s">
        <v>195</v>
      </c>
      <c r="H3" s="7" t="s">
        <v>195</v>
      </c>
      <c r="I3" s="7" t="s">
        <v>195</v>
      </c>
      <c r="J3" s="7" t="s">
        <v>195</v>
      </c>
      <c r="K3" s="7" t="s">
        <v>195</v>
      </c>
      <c r="L3" s="7" t="s">
        <v>195</v>
      </c>
      <c r="M3" s="7" t="s">
        <v>29</v>
      </c>
      <c r="N3" s="7" t="s">
        <v>29</v>
      </c>
      <c r="O3" s="7" t="s">
        <v>29</v>
      </c>
      <c r="P3" s="7" t="s">
        <v>29</v>
      </c>
      <c r="Q3" s="7" t="s">
        <v>29</v>
      </c>
      <c r="R3" s="7" t="s">
        <v>29</v>
      </c>
      <c r="S3" s="7" t="s">
        <v>29</v>
      </c>
    </row>
    <row r="4" spans="1:19">
      <c r="A4" s="7" t="s">
        <v>9</v>
      </c>
      <c r="B4" s="7" t="s">
        <v>1218</v>
      </c>
      <c r="C4" s="8">
        <v>50</v>
      </c>
      <c r="D4" s="6" t="str">
        <f>LRTRIM(CONCATENATE(IF(SUMPRODUCT(-- ISNUMBER(SEARCH({"Auto Number"}, $B4))) &gt; 0, $B4, IF(SUMPRODUCT(-- ISNUMBER(SEARCH({"Lookup","Master-Detail"}, $B4))) &gt; 0,$B4 &amp; "(" &amp; $E4 &amp; ")",IF(SUMPRODUCT(-- ISNUMBER(SEARCH({"Formula","Roll-Up Summary"}, $B4))) &gt; 0,$B4 &amp; " (" &amp; $E4 &amp; ")",IF(SUMPRODUCT(-- ISNUMBER(SEARCH({"Content","Currency","Number","Percent","Text","URL"}, $B4))) &gt; 0,$B4 &amp; "(" &amp; $C4 &amp; ")",$B4)))), "  ", TRIM(IF($S4 = "YES", "(External ID)", "") &amp; " " &amp; IF(SUMPRODUCT(-- ISNUMBER(SEARCH({"Unique","Unique Case Insensitive"}, $R4))) &gt; 0, "(" &amp; $R4 &amp; ")", ""))))</f>
        <v>Text(50)</v>
      </c>
      <c r="E4" s="7" t="s">
        <v>195</v>
      </c>
      <c r="F4" s="7" t="s">
        <v>554</v>
      </c>
      <c r="G4" s="7" t="s">
        <v>195</v>
      </c>
      <c r="H4" s="7" t="s">
        <v>195</v>
      </c>
      <c r="I4" s="7" t="s">
        <v>195</v>
      </c>
      <c r="J4" s="7" t="s">
        <v>195</v>
      </c>
      <c r="K4" s="7" t="s">
        <v>195</v>
      </c>
      <c r="L4" s="7" t="s">
        <v>195</v>
      </c>
      <c r="M4" s="7" t="s">
        <v>29</v>
      </c>
      <c r="N4" s="7" t="s">
        <v>29</v>
      </c>
      <c r="O4" s="7" t="s">
        <v>29</v>
      </c>
      <c r="P4" s="7" t="s">
        <v>29</v>
      </c>
      <c r="Q4" s="7" t="s">
        <v>29</v>
      </c>
      <c r="R4" s="7" t="s">
        <v>29</v>
      </c>
      <c r="S4" s="7" t="s">
        <v>29</v>
      </c>
    </row>
    <row r="5" spans="1:19">
      <c r="A5" s="7" t="s">
        <v>69</v>
      </c>
      <c r="B5" s="7" t="s">
        <v>1211</v>
      </c>
      <c r="C5" s="8">
        <v>18</v>
      </c>
      <c r="D5" s="6" t="str">
        <f>LRTRIM(CONCATENATE(IF(SUMPRODUCT(-- ISNUMBER(SEARCH({"Auto Number"}, $B5))) &gt; 0, $B5, IF(SUMPRODUCT(-- ISNUMBER(SEARCH({"Lookup","Master-Detail"}, $B5))) &gt; 0,$B5 &amp; "(" &amp; $E5 &amp; ")",IF(SUMPRODUCT(-- ISNUMBER(SEARCH({"Formula","Roll-Up Summary"}, $B5))) &gt; 0,$B5 &amp; " (" &amp; $E5 &amp; ")",IF(SUMPRODUCT(-- ISNUMBER(SEARCH({"Content","Currency","Number","Percent","Text","URL"}, $B5))) &gt; 0,$B5 &amp; "(" &amp; $C5 &amp; ")",$B5)))), "  ", TRIM(IF($S5 = "YES", "(External ID)", "") &amp; " " &amp; IF(SUMPRODUCT(-- ISNUMBER(SEARCH({"Unique","Unique Case Insensitive"}, $R5))) &gt; 0, "(" &amp; $R5 &amp; ")", ""))))</f>
        <v>Lookup(Broker Consultant Account)</v>
      </c>
      <c r="E5" s="7" t="s">
        <v>122</v>
      </c>
      <c r="F5" s="7" t="s">
        <v>122</v>
      </c>
      <c r="G5" s="7" t="s">
        <v>195</v>
      </c>
      <c r="H5" s="7" t="s">
        <v>195</v>
      </c>
      <c r="I5" s="7" t="s">
        <v>195</v>
      </c>
      <c r="J5" s="7" t="s">
        <v>195</v>
      </c>
      <c r="K5" s="7" t="s">
        <v>195</v>
      </c>
      <c r="L5" s="7" t="s">
        <v>195</v>
      </c>
      <c r="M5" s="7" t="s">
        <v>29</v>
      </c>
      <c r="N5" s="7" t="s">
        <v>29</v>
      </c>
      <c r="O5" s="7" t="s">
        <v>29</v>
      </c>
      <c r="P5" s="7" t="s">
        <v>29</v>
      </c>
      <c r="Q5" s="7" t="s">
        <v>29</v>
      </c>
      <c r="R5" s="7" t="s">
        <v>29</v>
      </c>
      <c r="S5" s="7" t="s">
        <v>29</v>
      </c>
    </row>
    <row r="6" spans="1:19">
      <c r="A6" s="7" t="s">
        <v>644</v>
      </c>
      <c r="B6" s="7" t="s">
        <v>1211</v>
      </c>
      <c r="C6" s="8">
        <v>18</v>
      </c>
      <c r="D6" s="6" t="str">
        <f>LRTRIM(CONCATENATE(IF(SUMPRODUCT(-- ISNUMBER(SEARCH({"Auto Number"}, $B6))) &gt; 0, $B6, IF(SUMPRODUCT(-- ISNUMBER(SEARCH({"Lookup","Master-Detail"}, $B6))) &gt; 0,$B6 &amp; "(" &amp; $E6 &amp; ")",IF(SUMPRODUCT(-- ISNUMBER(SEARCH({"Formula","Roll-Up Summary"}, $B6))) &gt; 0,$B6 &amp; " (" &amp; $E6 &amp; ")",IF(SUMPRODUCT(-- ISNUMBER(SEARCH({"Content","Currency","Number","Percent","Text","URL"}, $B6))) &gt; 0,$B6 &amp; "(" &amp; $C6 &amp; ")",$B6)))), "  ", TRIM(IF($S6 = "YES", "(External ID)", "") &amp; " " &amp; IF(SUMPRODUCT(-- ISNUMBER(SEARCH({"Unique","Unique Case Insensitive"}, $R6))) &gt; 0, "(" &amp; $R6 &amp; ")", ""))))</f>
        <v>Lookup(Target)</v>
      </c>
      <c r="E6" s="7" t="s">
        <v>1613</v>
      </c>
      <c r="F6" s="7" t="s">
        <v>653</v>
      </c>
      <c r="G6" s="7" t="s">
        <v>195</v>
      </c>
      <c r="H6" s="7" t="s">
        <v>195</v>
      </c>
      <c r="I6" s="7" t="s">
        <v>195</v>
      </c>
      <c r="J6" s="7" t="s">
        <v>195</v>
      </c>
      <c r="K6" s="7" t="s">
        <v>195</v>
      </c>
      <c r="L6" s="7" t="s">
        <v>195</v>
      </c>
      <c r="M6" s="7" t="s">
        <v>29</v>
      </c>
      <c r="N6" s="7" t="s">
        <v>29</v>
      </c>
      <c r="O6" s="7" t="s">
        <v>29</v>
      </c>
      <c r="P6" s="7" t="s">
        <v>29</v>
      </c>
      <c r="Q6" s="7" t="s">
        <v>29</v>
      </c>
      <c r="R6" s="7" t="s">
        <v>29</v>
      </c>
      <c r="S6" s="7" t="s">
        <v>29</v>
      </c>
    </row>
    <row r="7" spans="1:19">
      <c r="A7" s="7" t="s">
        <v>645</v>
      </c>
      <c r="B7" s="7" t="s">
        <v>386</v>
      </c>
      <c r="C7" s="8">
        <v>0</v>
      </c>
      <c r="D7" s="6" t="str">
        <f>LRTRIM(CONCATENATE(IF(SUMPRODUCT(-- ISNUMBER(SEARCH({"Auto Number"}, $B7))) &gt; 0, $B7, IF(SUMPRODUCT(-- ISNUMBER(SEARCH({"Lookup","Master-Detail"}, $B7))) &gt; 0,$B7 &amp; "(" &amp; $E7 &amp; ")",IF(SUMPRODUCT(-- ISNUMBER(SEARCH({"Formula","Roll-Up Summary"}, $B7))) &gt; 0,$B7 &amp; " (" &amp; $E7 &amp; ")",IF(SUMPRODUCT(-- ISNUMBER(SEARCH({"Content","Currency","Number","Percent","Text","URL"}, $B7))) &gt; 0,$B7 &amp; "(" &amp; $C7 &amp; ")",$B7)))), "  ", TRIM(IF($S7 = "YES", "(External ID)", "") &amp; " " &amp; IF(SUMPRODUCT(-- ISNUMBER(SEARCH({"Unique","Unique Case Insensitive"}, $R7))) &gt; 0, "(" &amp; $R7 &amp; ")", ""))))</f>
        <v>Date</v>
      </c>
      <c r="E7" s="7" t="s">
        <v>195</v>
      </c>
      <c r="F7" s="7" t="s">
        <v>654</v>
      </c>
      <c r="G7" s="7" t="s">
        <v>195</v>
      </c>
      <c r="H7" s="7" t="s">
        <v>195</v>
      </c>
      <c r="I7" s="7" t="s">
        <v>195</v>
      </c>
      <c r="J7" s="7" t="s">
        <v>195</v>
      </c>
      <c r="K7" s="7" t="s">
        <v>195</v>
      </c>
      <c r="L7" s="7" t="s">
        <v>195</v>
      </c>
      <c r="M7" s="7" t="s">
        <v>28</v>
      </c>
      <c r="N7" s="7" t="s">
        <v>29</v>
      </c>
      <c r="O7" s="7" t="s">
        <v>29</v>
      </c>
      <c r="P7" s="7" t="s">
        <v>29</v>
      </c>
      <c r="Q7" s="7" t="s">
        <v>29</v>
      </c>
      <c r="R7" s="7" t="s">
        <v>29</v>
      </c>
      <c r="S7" s="7" t="s">
        <v>29</v>
      </c>
    </row>
    <row r="8" spans="1:19">
      <c r="A8" s="7" t="s">
        <v>646</v>
      </c>
      <c r="B8" s="7" t="s">
        <v>1211</v>
      </c>
      <c r="C8" s="8">
        <v>18</v>
      </c>
      <c r="D8" s="6" t="str">
        <f>LRTRIM(CONCATENATE(IF(SUMPRODUCT(-- ISNUMBER(SEARCH({"Auto Number"}, $B8))) &gt; 0, $B8, IF(SUMPRODUCT(-- ISNUMBER(SEARCH({"Lookup","Master-Detail"}, $B8))) &gt; 0,$B8 &amp; "(" &amp; $E8 &amp; ")",IF(SUMPRODUCT(-- ISNUMBER(SEARCH({"Formula","Roll-Up Summary"}, $B8))) &gt; 0,$B8 &amp; " (" &amp; $E8 &amp; ")",IF(SUMPRODUCT(-- ISNUMBER(SEARCH({"Content","Currency","Number","Percent","Text","URL"}, $B8))) &gt; 0,$B8 &amp; "(" &amp; $C8 &amp; ")",$B8)))), "  ", TRIM(IF($S8 = "YES", "(External ID)", "") &amp; " " &amp; IF(SUMPRODUCT(-- ISNUMBER(SEARCH({"Unique","Unique Case Insensitive"}, $R8))) &gt; 0, "(" &amp; $R8 &amp; ")", ""))))</f>
        <v>Lookup(Target)</v>
      </c>
      <c r="E8" s="7" t="s">
        <v>1613</v>
      </c>
      <c r="F8" s="7" t="s">
        <v>655</v>
      </c>
      <c r="G8" s="7" t="s">
        <v>195</v>
      </c>
      <c r="H8" s="7" t="s">
        <v>195</v>
      </c>
      <c r="I8" s="7" t="s">
        <v>195</v>
      </c>
      <c r="J8" s="7" t="s">
        <v>195</v>
      </c>
      <c r="K8" s="7" t="s">
        <v>195</v>
      </c>
      <c r="L8" s="7" t="s">
        <v>195</v>
      </c>
      <c r="M8" s="7" t="s">
        <v>29</v>
      </c>
      <c r="N8" s="7" t="s">
        <v>29</v>
      </c>
      <c r="O8" s="7" t="s">
        <v>29</v>
      </c>
      <c r="P8" s="7" t="s">
        <v>29</v>
      </c>
      <c r="Q8" s="7" t="s">
        <v>29</v>
      </c>
      <c r="R8" s="7" t="s">
        <v>29</v>
      </c>
      <c r="S8" s="7" t="s">
        <v>29</v>
      </c>
    </row>
    <row r="9" spans="1:19">
      <c r="A9" s="7" t="s">
        <v>11</v>
      </c>
      <c r="B9" s="7" t="s">
        <v>1218</v>
      </c>
      <c r="C9" s="8">
        <v>200</v>
      </c>
      <c r="D9" s="6" t="str">
        <f>LRTRIM(CONCATENATE(IF(SUMPRODUCT(-- ISNUMBER(SEARCH({"Auto Number"}, $B9))) &gt; 0, $B9, IF(SUMPRODUCT(-- ISNUMBER(SEARCH({"Lookup","Master-Detail"}, $B9))) &gt; 0,$B9 &amp; "(" &amp; $E9 &amp; ")",IF(SUMPRODUCT(-- ISNUMBER(SEARCH({"Formula","Roll-Up Summary"}, $B9))) &gt; 0,$B9 &amp; " (" &amp; $E9 &amp; ")",IF(SUMPRODUCT(-- ISNUMBER(SEARCH({"Content","Currency","Number","Percent","Text","URL"}, $B9))) &gt; 0,$B9 &amp; "(" &amp; $C9 &amp; ")",$B9)))), "  ", TRIM(IF($S9 = "YES", "(External ID)", "") &amp; " " &amp; IF(SUMPRODUCT(-- ISNUMBER(SEARCH({"Unique","Unique Case Insensitive"}, $R9))) &gt; 0, "(" &amp; $R9 &amp; ")", ""))))</f>
        <v>Text(200)</v>
      </c>
      <c r="E9" s="7" t="s">
        <v>195</v>
      </c>
      <c r="F9" s="7" t="s">
        <v>555</v>
      </c>
      <c r="G9" s="7" t="s">
        <v>195</v>
      </c>
      <c r="H9" s="7" t="s">
        <v>195</v>
      </c>
      <c r="I9" s="7" t="s">
        <v>195</v>
      </c>
      <c r="J9" s="7" t="s">
        <v>195</v>
      </c>
      <c r="K9" s="7" t="s">
        <v>195</v>
      </c>
      <c r="L9" s="7" t="s">
        <v>195</v>
      </c>
      <c r="M9" s="7" t="s">
        <v>29</v>
      </c>
      <c r="N9" s="7" t="s">
        <v>29</v>
      </c>
      <c r="O9" s="7" t="s">
        <v>29</v>
      </c>
      <c r="P9" s="7" t="s">
        <v>29</v>
      </c>
      <c r="Q9" s="7" t="s">
        <v>29</v>
      </c>
      <c r="R9" s="7" t="s">
        <v>29</v>
      </c>
      <c r="S9" s="7" t="s">
        <v>29</v>
      </c>
    </row>
    <row r="10" spans="1:19">
      <c r="A10" s="7" t="s">
        <v>13</v>
      </c>
      <c r="B10" s="7" t="s">
        <v>1218</v>
      </c>
      <c r="C10" s="8">
        <v>10</v>
      </c>
      <c r="D10" s="6" t="str">
        <f>LRTRIM(CONCATENATE(IF(SUMPRODUCT(-- ISNUMBER(SEARCH({"Auto Number"}, $B10))) &gt; 0, $B10, IF(SUMPRODUCT(-- ISNUMBER(SEARCH({"Lookup","Master-Detail"}, $B10))) &gt; 0,$B10 &amp; "(" &amp; $E10 &amp; ")",IF(SUMPRODUCT(-- ISNUMBER(SEARCH({"Formula","Roll-Up Summary"}, $B10))) &gt; 0,$B10 &amp; " (" &amp; $E10 &amp; ")",IF(SUMPRODUCT(-- ISNUMBER(SEARCH({"Content","Currency","Number","Percent","Text","URL"}, $B10))) &gt; 0,$B10 &amp; "(" &amp; $C10 &amp; ")",$B10)))), "  ", TRIM(IF($S10 = "YES", "(External ID)", "") &amp; " " &amp; IF(SUMPRODUCT(-- ISNUMBER(SEARCH({"Unique","Unique Case Insensitive"}, $R10))) &gt; 0, "(" &amp; $R10 &amp; ")", ""))))</f>
        <v>Text(10)</v>
      </c>
      <c r="E10" s="7" t="s">
        <v>195</v>
      </c>
      <c r="F10" s="7" t="s">
        <v>160</v>
      </c>
      <c r="G10" s="7" t="s">
        <v>195</v>
      </c>
      <c r="H10" s="7" t="s">
        <v>195</v>
      </c>
      <c r="I10" s="7" t="s">
        <v>195</v>
      </c>
      <c r="J10" s="7" t="s">
        <v>195</v>
      </c>
      <c r="K10" s="7" t="s">
        <v>195</v>
      </c>
      <c r="L10" s="7" t="s">
        <v>195</v>
      </c>
      <c r="M10" s="7" t="s">
        <v>29</v>
      </c>
      <c r="N10" s="7" t="s">
        <v>29</v>
      </c>
      <c r="O10" s="7" t="s">
        <v>29</v>
      </c>
      <c r="P10" s="7" t="s">
        <v>29</v>
      </c>
      <c r="Q10" s="7" t="s">
        <v>29</v>
      </c>
      <c r="R10" s="7" t="s">
        <v>29</v>
      </c>
      <c r="S10" s="7" t="s">
        <v>29</v>
      </c>
    </row>
    <row r="11" spans="1:19">
      <c r="A11" s="7" t="s">
        <v>14</v>
      </c>
      <c r="B11" s="7" t="s">
        <v>1204</v>
      </c>
      <c r="C11" s="8">
        <v>0</v>
      </c>
      <c r="D11" s="6" t="str">
        <f>LRTRIM(CONCATENATE(IF(SUMPRODUCT(-- ISNUMBER(SEARCH({"Auto Number"}, $B11))) &gt; 0, $B11, IF(SUMPRODUCT(-- ISNUMBER(SEARCH({"Lookup","Master-Detail"}, $B11))) &gt; 0,$B11 &amp; "(" &amp; $E11 &amp; ")",IF(SUMPRODUCT(-- ISNUMBER(SEARCH({"Formula","Roll-Up Summary"}, $B11))) &gt; 0,$B11 &amp; " (" &amp; $E11 &amp; ")",IF(SUMPRODUCT(-- ISNUMBER(SEARCH({"Content","Currency","Number","Percent","Text","URL"}, $B11))) &gt; 0,$B11 &amp; "(" &amp; $C11 &amp; ")",$B11)))), "  ", TRIM(IF($S11 = "YES", "(External ID)", "") &amp; " " &amp; IF(SUMPRODUCT(-- ISNUMBER(SEARCH({"Unique","Unique Case Insensitive"}, $R11))) &gt; 0, "(" &amp; $R11 &amp; ")", ""))))</f>
        <v>Checkbox</v>
      </c>
      <c r="E11" s="7" t="s">
        <v>195</v>
      </c>
      <c r="F11" s="7" t="s">
        <v>25</v>
      </c>
      <c r="G11" s="7" t="s">
        <v>195</v>
      </c>
      <c r="H11" s="7" t="s">
        <v>195</v>
      </c>
      <c r="I11" s="7" t="s">
        <v>195</v>
      </c>
      <c r="J11" s="7" t="s">
        <v>195</v>
      </c>
      <c r="K11" s="7" t="s">
        <v>195</v>
      </c>
      <c r="L11" s="7" t="s">
        <v>195</v>
      </c>
      <c r="M11" s="7" t="s">
        <v>28</v>
      </c>
      <c r="N11" s="7" t="s">
        <v>29</v>
      </c>
      <c r="O11" s="7" t="s">
        <v>29</v>
      </c>
      <c r="P11" s="7" t="s">
        <v>29</v>
      </c>
      <c r="Q11" s="7" t="s">
        <v>29</v>
      </c>
      <c r="R11" s="7" t="s">
        <v>29</v>
      </c>
      <c r="S11" s="7" t="s">
        <v>29</v>
      </c>
    </row>
    <row r="12" spans="1:19">
      <c r="A12" s="7" t="s">
        <v>2</v>
      </c>
      <c r="B12" s="7" t="s">
        <v>1218</v>
      </c>
      <c r="C12" s="8">
        <v>120</v>
      </c>
      <c r="D12" s="6" t="str">
        <f>LRTRIM(CONCATENATE(IF(SUMPRODUCT(-- ISNUMBER(SEARCH({"Auto Number"}, $B12))) &gt; 0, $B12, IF(SUMPRODUCT(-- ISNUMBER(SEARCH({"Lookup","Master-Detail"}, $B12))) &gt; 0,$B12 &amp; "(" &amp; $E12 &amp; ")",IF(SUMPRODUCT(-- ISNUMBER(SEARCH({"Formula","Roll-Up Summary"}, $B12))) &gt; 0,$B12 &amp; " (" &amp; $E12 &amp; ")",IF(SUMPRODUCT(-- ISNUMBER(SEARCH({"Content","Currency","Number","Percent","Text","URL"}, $B12))) &gt; 0,$B12 &amp; "(" &amp; $C12 &amp; ")",$B12)))), "  ", TRIM(IF($S12 = "YES", "(External ID)", "") &amp; " " &amp; IF(SUMPRODUCT(-- ISNUMBER(SEARCH({"Unique","Unique Case Insensitive"}, $R12))) &gt; 0, "(" &amp; $R12 &amp; ")", ""))))</f>
        <v>Text(120)</v>
      </c>
      <c r="E12" s="7" t="s">
        <v>195</v>
      </c>
      <c r="F12" s="7" t="s">
        <v>1614</v>
      </c>
      <c r="G12" s="7" t="s">
        <v>195</v>
      </c>
      <c r="H12" s="7" t="s">
        <v>195</v>
      </c>
      <c r="I12" s="7" t="s">
        <v>195</v>
      </c>
      <c r="J12" s="7" t="s">
        <v>195</v>
      </c>
      <c r="K12" s="7" t="s">
        <v>195</v>
      </c>
      <c r="L12" s="7" t="s">
        <v>195</v>
      </c>
      <c r="M12" s="7" t="s">
        <v>28</v>
      </c>
      <c r="N12" s="7" t="s">
        <v>29</v>
      </c>
      <c r="O12" s="7" t="s">
        <v>29</v>
      </c>
      <c r="P12" s="7" t="s">
        <v>29</v>
      </c>
      <c r="Q12" s="7" t="s">
        <v>29</v>
      </c>
      <c r="R12" s="7" t="s">
        <v>29</v>
      </c>
      <c r="S12" s="7" t="s">
        <v>29</v>
      </c>
    </row>
    <row r="13" spans="1:19">
      <c r="A13" s="7" t="s">
        <v>1692</v>
      </c>
      <c r="B13" s="7" t="s">
        <v>1693</v>
      </c>
      <c r="C13" s="8" t="s">
        <v>195</v>
      </c>
      <c r="D13" s="6" t="str">
        <f>LRTRIM(CONCATENATE(IF(SUMPRODUCT(-- ISNUMBER(SEARCH({"Auto Number"}, $B13))) &gt; 0, $B13, IF(SUMPRODUCT(-- ISNUMBER(SEARCH({"Lookup","Master-Detail"}, $B13))) &gt; 0,$B13 &amp; "(" &amp; $E13 &amp; ")",IF(SUMPRODUCT(-- ISNUMBER(SEARCH({"Formula","Roll-Up Summary"}, $B13))) &gt; 0,$B13 &amp; " (" &amp; $E13 &amp; ")",IF(SUMPRODUCT(-- ISNUMBER(SEARCH({"Content","Currency","Number","Percent","Text","URL"}, $B13))) &gt; 0,$B13 &amp; "(" &amp; $C13 &amp; ")",$B13)))), "  ", TRIM(IF($S13 = "YES", "(External ID)", "") &amp; " " &amp; IF(SUMPRODUCT(-- ISNUMBER(SEARCH({"Unique","Unique Case Insensitive"}, $R13))) &gt; 0, "(" &amp; $R13 &amp; ")", ""))))</f>
        <v>Roll-Up Summary (SUM Transaction)</v>
      </c>
      <c r="E13" s="7" t="s">
        <v>1688</v>
      </c>
      <c r="F13" s="7" t="s">
        <v>1689</v>
      </c>
      <c r="G13" s="7" t="s">
        <v>195</v>
      </c>
      <c r="H13" s="7" t="s">
        <v>195</v>
      </c>
      <c r="I13" s="7" t="s">
        <v>195</v>
      </c>
      <c r="J13" s="7" t="s">
        <v>195</v>
      </c>
      <c r="K13" s="7" t="s">
        <v>195</v>
      </c>
      <c r="L13" s="7" t="s">
        <v>195</v>
      </c>
      <c r="M13" s="7" t="s">
        <v>29</v>
      </c>
      <c r="N13" s="7" t="s">
        <v>29</v>
      </c>
      <c r="O13" s="7" t="s">
        <v>29</v>
      </c>
      <c r="P13" s="7" t="s">
        <v>29</v>
      </c>
      <c r="Q13" s="7" t="s">
        <v>29</v>
      </c>
      <c r="R13" s="7" t="s">
        <v>29</v>
      </c>
      <c r="S13" s="7" t="s">
        <v>29</v>
      </c>
    </row>
    <row r="14" spans="1:19">
      <c r="A14" s="7" t="s">
        <v>647</v>
      </c>
      <c r="B14" s="7" t="s">
        <v>1218</v>
      </c>
      <c r="C14" s="8">
        <v>120</v>
      </c>
      <c r="D14" s="6" t="str">
        <f>LRTRIM(CONCATENATE(IF(SUMPRODUCT(-- ISNUMBER(SEARCH({"Auto Number"}, $B14))) &gt; 0, $B14, IF(SUMPRODUCT(-- ISNUMBER(SEARCH({"Lookup","Master-Detail"}, $B14))) &gt; 0,$B14 &amp; "(" &amp; $E14 &amp; ")",IF(SUMPRODUCT(-- ISNUMBER(SEARCH({"Formula","Roll-Up Summary"}, $B14))) &gt; 0,$B14 &amp; " (" &amp; $E14 &amp; ")",IF(SUMPRODUCT(-- ISNUMBER(SEARCH({"Content","Currency","Number","Percent","Text","URL"}, $B14))) &gt; 0,$B14 &amp; "(" &amp; $C14 &amp; ")",$B14)))), "  ", TRIM(IF($S14 = "YES", "(External ID)", "") &amp; " " &amp; IF(SUMPRODUCT(-- ISNUMBER(SEARCH({"Unique","Unique Case Insensitive"}, $R14))) &gt; 0, "(" &amp; $R14 &amp; ")", ""))))</f>
        <v>Text(120)  (External ID) (Unique Case Insensitive)</v>
      </c>
      <c r="E14" s="7" t="s">
        <v>195</v>
      </c>
      <c r="F14" s="7" t="s">
        <v>656</v>
      </c>
      <c r="G14" s="7" t="s">
        <v>195</v>
      </c>
      <c r="H14" s="7" t="s">
        <v>195</v>
      </c>
      <c r="I14" s="7" t="s">
        <v>195</v>
      </c>
      <c r="J14" s="7" t="s">
        <v>195</v>
      </c>
      <c r="K14" s="7" t="s">
        <v>195</v>
      </c>
      <c r="L14" s="7" t="s">
        <v>195</v>
      </c>
      <c r="M14" s="7" t="s">
        <v>29</v>
      </c>
      <c r="N14" s="7" t="s">
        <v>29</v>
      </c>
      <c r="O14" s="7" t="s">
        <v>29</v>
      </c>
      <c r="P14" s="7" t="s">
        <v>29</v>
      </c>
      <c r="Q14" s="7" t="s">
        <v>29</v>
      </c>
      <c r="R14" s="7" t="s">
        <v>1271</v>
      </c>
      <c r="S14" s="7" t="s">
        <v>28</v>
      </c>
    </row>
    <row r="15" spans="1:19">
      <c r="A15" s="7" t="s">
        <v>87</v>
      </c>
      <c r="B15" s="7" t="s">
        <v>1211</v>
      </c>
      <c r="C15" s="8">
        <v>18</v>
      </c>
      <c r="D15" s="6" t="str">
        <f>LRTRIM(CONCATENATE(IF(SUMPRODUCT(-- ISNUMBER(SEARCH({"Auto Number"}, $B15))) &gt; 0, $B15, IF(SUMPRODUCT(-- ISNUMBER(SEARCH({"Lookup","Master-Detail"}, $B15))) &gt; 0,$B15 &amp; "(" &amp; $E15 &amp; ")",IF(SUMPRODUCT(-- ISNUMBER(SEARCH({"Formula","Roll-Up Summary"}, $B15))) &gt; 0,$B15 &amp; " (" &amp; $E15 &amp; ")",IF(SUMPRODUCT(-- ISNUMBER(SEARCH({"Content","Currency","Number","Percent","Text","URL"}, $B15))) &gt; 0,$B15 &amp; "(" &amp; $C15 &amp; ")",$B15)))), "  ", TRIM(IF($S15 = "YES", "(External ID)", "") &amp; " " &amp; IF(SUMPRODUCT(-- ISNUMBER(SEARCH({"Unique","Unique Case Insensitive"}, $R15))) &gt; 0, "(" &amp; $R15 &amp; ")", ""))))</f>
        <v>Lookup(User)</v>
      </c>
      <c r="E15" s="7" t="s">
        <v>7</v>
      </c>
      <c r="F15" s="7" t="s">
        <v>195</v>
      </c>
      <c r="G15" s="7" t="s">
        <v>195</v>
      </c>
      <c r="H15" s="7" t="s">
        <v>195</v>
      </c>
      <c r="I15" s="7" t="s">
        <v>195</v>
      </c>
      <c r="J15" s="7" t="s">
        <v>195</v>
      </c>
      <c r="K15" s="7" t="s">
        <v>195</v>
      </c>
      <c r="L15" s="7" t="s">
        <v>195</v>
      </c>
      <c r="M15" s="7" t="s">
        <v>28</v>
      </c>
      <c r="N15" s="7" t="s">
        <v>29</v>
      </c>
      <c r="O15" s="7" t="s">
        <v>29</v>
      </c>
      <c r="P15" s="7" t="s">
        <v>29</v>
      </c>
      <c r="Q15" s="7" t="s">
        <v>29</v>
      </c>
      <c r="R15" s="7" t="s">
        <v>29</v>
      </c>
      <c r="S15" s="7" t="s">
        <v>29</v>
      </c>
    </row>
    <row r="16" spans="1:19">
      <c r="A16" s="7" t="s">
        <v>457</v>
      </c>
      <c r="B16" s="7" t="s">
        <v>1211</v>
      </c>
      <c r="C16" s="8">
        <v>18</v>
      </c>
      <c r="D16" s="6" t="str">
        <f>LRTRIM(CONCATENATE(IF(SUMPRODUCT(-- ISNUMBER(SEARCH({"Auto Number"}, $B16))) &gt; 0, $B16, IF(SUMPRODUCT(-- ISNUMBER(SEARCH({"Lookup","Master-Detail"}, $B16))) &gt; 0,$B16 &amp; "(" &amp; $E16 &amp; ")",IF(SUMPRODUCT(-- ISNUMBER(SEARCH({"Formula","Roll-Up Summary"}, $B16))) &gt; 0,$B16 &amp; " (" &amp; $E16 &amp; ")",IF(SUMPRODUCT(-- ISNUMBER(SEARCH({"Content","Currency","Number","Percent","Text","URL"}, $B16))) &gt; 0,$B16 &amp; "(" &amp; $C16 &amp; ")",$B16)))), "  ", TRIM(IF($S16 = "YES", "(External ID)", "") &amp; " " &amp; IF(SUMPRODUCT(-- ISNUMBER(SEARCH({"Unique","Unique Case Insensitive"}, $R16))) &gt; 0, "(" &amp; $R16 &amp; ")", ""))))</f>
        <v>Lookup(Price Book)</v>
      </c>
      <c r="E16" s="7" t="s">
        <v>1383</v>
      </c>
      <c r="F16" s="7" t="s">
        <v>1383</v>
      </c>
      <c r="G16" s="7" t="s">
        <v>195</v>
      </c>
      <c r="H16" s="7" t="s">
        <v>195</v>
      </c>
      <c r="I16" s="7" t="s">
        <v>195</v>
      </c>
      <c r="J16" s="7" t="s">
        <v>195</v>
      </c>
      <c r="K16" s="7" t="s">
        <v>195</v>
      </c>
      <c r="L16" s="7" t="s">
        <v>195</v>
      </c>
      <c r="M16" s="7" t="s">
        <v>29</v>
      </c>
      <c r="N16" s="7" t="s">
        <v>29</v>
      </c>
      <c r="O16" s="7" t="s">
        <v>29</v>
      </c>
      <c r="P16" s="7" t="s">
        <v>29</v>
      </c>
      <c r="Q16" s="7" t="s">
        <v>29</v>
      </c>
      <c r="R16" s="7" t="s">
        <v>29</v>
      </c>
      <c r="S16" s="7" t="s">
        <v>29</v>
      </c>
    </row>
    <row r="17" spans="1:19">
      <c r="A17" s="7" t="s">
        <v>648</v>
      </c>
      <c r="B17" s="7" t="s">
        <v>1211</v>
      </c>
      <c r="C17" s="8">
        <v>18</v>
      </c>
      <c r="D17" s="6" t="str">
        <f>LRTRIM(CONCATENATE(IF(SUMPRODUCT(-- ISNUMBER(SEARCH({"Auto Number"}, $B17))) &gt; 0, $B17, IF(SUMPRODUCT(-- ISNUMBER(SEARCH({"Lookup","Master-Detail"}, $B17))) &gt; 0,$B17 &amp; "(" &amp; $E17 &amp; ")",IF(SUMPRODUCT(-- ISNUMBER(SEARCH({"Formula","Roll-Up Summary"}, $B17))) &gt; 0,$B17 &amp; " (" &amp; $E17 &amp; ")",IF(SUMPRODUCT(-- ISNUMBER(SEARCH({"Content","Currency","Number","Percent","Text","URL"}, $B17))) &gt; 0,$B17 &amp; "(" &amp; $C17 &amp; ")",$B17)))), "  ", TRIM(IF($S17 = "YES", "(External ID)", "") &amp; " " &amp; IF(SUMPRODUCT(-- ISNUMBER(SEARCH({"Unique","Unique Case Insensitive"}, $R17))) &gt; 0, "(" &amp; $R17 &amp; ")", ""))))</f>
        <v>Lookup(Target)</v>
      </c>
      <c r="E17" s="7" t="s">
        <v>1613</v>
      </c>
      <c r="F17" s="7" t="s">
        <v>657</v>
      </c>
      <c r="G17" s="7" t="s">
        <v>195</v>
      </c>
      <c r="H17" s="7" t="s">
        <v>195</v>
      </c>
      <c r="I17" s="7" t="s">
        <v>195</v>
      </c>
      <c r="J17" s="7" t="s">
        <v>195</v>
      </c>
      <c r="K17" s="7" t="s">
        <v>195</v>
      </c>
      <c r="L17" s="7" t="s">
        <v>195</v>
      </c>
      <c r="M17" s="7" t="s">
        <v>29</v>
      </c>
      <c r="N17" s="7" t="s">
        <v>29</v>
      </c>
      <c r="O17" s="7" t="s">
        <v>29</v>
      </c>
      <c r="P17" s="7" t="s">
        <v>29</v>
      </c>
      <c r="Q17" s="7" t="s">
        <v>29</v>
      </c>
      <c r="R17" s="7" t="s">
        <v>29</v>
      </c>
      <c r="S17" s="7" t="s">
        <v>29</v>
      </c>
    </row>
    <row r="18" spans="1:19">
      <c r="A18" s="7" t="s">
        <v>649</v>
      </c>
      <c r="B18" s="7" t="s">
        <v>1211</v>
      </c>
      <c r="C18" s="8">
        <v>18</v>
      </c>
      <c r="D18" s="6" t="str">
        <f>LRTRIM(CONCATENATE(IF(SUMPRODUCT(-- ISNUMBER(SEARCH({"Auto Number"}, $B18))) &gt; 0, $B18, IF(SUMPRODUCT(-- ISNUMBER(SEARCH({"Lookup","Master-Detail"}, $B18))) &gt; 0,$B18 &amp; "(" &amp; $E18 &amp; ")",IF(SUMPRODUCT(-- ISNUMBER(SEARCH({"Formula","Roll-Up Summary"}, $B18))) &gt; 0,$B18 &amp; " (" &amp; $E18 &amp; ")",IF(SUMPRODUCT(-- ISNUMBER(SEARCH({"Content","Currency","Number","Percent","Text","URL"}, $B18))) &gt; 0,$B18 &amp; "(" &amp; $C18 &amp; ")",$B18)))), "  ", TRIM(IF($S18 = "YES", "(External ID)", "") &amp; " " &amp; IF(SUMPRODUCT(-- ISNUMBER(SEARCH({"Unique","Unique Case Insensitive"}, $R18))) &gt; 0, "(" &amp; $R18 &amp; ")", ""))))</f>
        <v>Lookup(Target)</v>
      </c>
      <c r="E18" s="7" t="s">
        <v>1613</v>
      </c>
      <c r="F18" s="7" t="s">
        <v>658</v>
      </c>
      <c r="G18" s="7" t="s">
        <v>195</v>
      </c>
      <c r="H18" s="7" t="s">
        <v>195</v>
      </c>
      <c r="I18" s="7" t="s">
        <v>195</v>
      </c>
      <c r="J18" s="7" t="s">
        <v>195</v>
      </c>
      <c r="K18" s="7" t="s">
        <v>195</v>
      </c>
      <c r="L18" s="7" t="s">
        <v>195</v>
      </c>
      <c r="M18" s="7" t="s">
        <v>29</v>
      </c>
      <c r="N18" s="7" t="s">
        <v>29</v>
      </c>
      <c r="O18" s="7" t="s">
        <v>29</v>
      </c>
      <c r="P18" s="7" t="s">
        <v>29</v>
      </c>
      <c r="Q18" s="7" t="s">
        <v>29</v>
      </c>
      <c r="R18" s="7" t="s">
        <v>29</v>
      </c>
      <c r="S18" s="7" t="s">
        <v>29</v>
      </c>
    </row>
    <row r="19" spans="1:19">
      <c r="A19" s="7" t="s">
        <v>1617</v>
      </c>
      <c r="B19" s="7" t="s">
        <v>1215</v>
      </c>
      <c r="C19" s="8">
        <v>255</v>
      </c>
      <c r="D19" s="6" t="str">
        <f>LRTRIM(CONCATENATE(IF(SUMPRODUCT(-- ISNUMBER(SEARCH({"Auto Number"}, $B19))) &gt; 0, $B19, IF(SUMPRODUCT(-- ISNUMBER(SEARCH({"Lookup","Master-Detail"}, $B19))) &gt; 0,$B19 &amp; "(" &amp; $E19 &amp; ")",IF(SUMPRODUCT(-- ISNUMBER(SEARCH({"Formula","Roll-Up Summary"}, $B19))) &gt; 0,$B19 &amp; " (" &amp; $E19 &amp; ")",IF(SUMPRODUCT(-- ISNUMBER(SEARCH({"Content","Currency","Number","Percent","Text","URL"}, $B19))) &gt; 0,$B19 &amp; "(" &amp; $C19 &amp; ")",$B19)))), "  ", TRIM(IF($S19 = "YES", "(External ID)", "") &amp; " " &amp; IF(SUMPRODUCT(-- ISNUMBER(SEARCH({"Unique","Unique Case Insensitive"}, $R19))) &gt; 0, "(" &amp; $R19 &amp; ")", ""))))</f>
        <v>Picklist</v>
      </c>
      <c r="E19" s="7" t="s">
        <v>195</v>
      </c>
      <c r="F19" s="7" t="s">
        <v>659</v>
      </c>
      <c r="G19" s="7" t="s">
        <v>195</v>
      </c>
      <c r="H19" s="7" t="s">
        <v>195</v>
      </c>
      <c r="I19" s="7" t="s">
        <v>651</v>
      </c>
      <c r="J19" s="7" t="s">
        <v>195</v>
      </c>
      <c r="K19" s="7" t="s">
        <v>195</v>
      </c>
      <c r="L19" s="7" t="s">
        <v>195</v>
      </c>
      <c r="M19" s="7" t="s">
        <v>28</v>
      </c>
      <c r="N19" s="7" t="s">
        <v>29</v>
      </c>
      <c r="O19" s="7" t="s">
        <v>29</v>
      </c>
      <c r="P19" s="7" t="s">
        <v>29</v>
      </c>
      <c r="Q19" s="7" t="s">
        <v>29</v>
      </c>
      <c r="R19" s="7" t="s">
        <v>29</v>
      </c>
      <c r="S19" s="7" t="s">
        <v>29</v>
      </c>
    </row>
    <row r="20" spans="1:19">
      <c r="A20" s="7" t="s">
        <v>34</v>
      </c>
      <c r="B20" s="7" t="s">
        <v>195</v>
      </c>
      <c r="C20" s="8" t="s">
        <v>195</v>
      </c>
      <c r="D20" s="6" t="str">
        <f>LRTRIM(CONCATENATE(IF(SUMPRODUCT(-- ISNUMBER(SEARCH({"Auto Number"}, $B20))) &gt; 0, $B20, IF(SUMPRODUCT(-- ISNUMBER(SEARCH({"Lookup","Master-Detail"}, $B20))) &gt; 0,$B20 &amp; "(" &amp; $E20 &amp; ")",IF(SUMPRODUCT(-- ISNUMBER(SEARCH({"Formula","Roll-Up Summary"}, $B20))) &gt; 0,$B20 &amp; " (" &amp; $E20 &amp; ")",IF(SUMPRODUCT(-- ISNUMBER(SEARCH({"Content","Currency","Number","Percent","Text","URL"}, $B20))) &gt; 0,$B20 &amp; "(" &amp; $C20 &amp; ")",$B20)))), "  ", TRIM(IF($S20 = "YES", "(External ID)", "") &amp; " " &amp; IF(SUMPRODUCT(-- ISNUMBER(SEARCH({"Unique","Unique Case Insensitive"}, $R20))) &gt; 0, "(" &amp; $R20 &amp; ")", ""))))</f>
        <v>na</v>
      </c>
      <c r="E20" s="7" t="s">
        <v>195</v>
      </c>
      <c r="F20" s="7" t="s">
        <v>195</v>
      </c>
      <c r="G20" s="7" t="s">
        <v>195</v>
      </c>
      <c r="H20" s="7" t="s">
        <v>195</v>
      </c>
      <c r="I20" s="7" t="s">
        <v>195</v>
      </c>
      <c r="J20" s="7" t="s">
        <v>195</v>
      </c>
      <c r="K20" s="7" t="s">
        <v>195</v>
      </c>
      <c r="L20" s="7" t="s">
        <v>195</v>
      </c>
      <c r="M20" s="7" t="s">
        <v>28</v>
      </c>
      <c r="N20" s="7" t="s">
        <v>29</v>
      </c>
      <c r="O20" s="7" t="s">
        <v>29</v>
      </c>
      <c r="P20" s="7" t="s">
        <v>29</v>
      </c>
      <c r="Q20" s="7" t="s">
        <v>29</v>
      </c>
      <c r="R20" s="7" t="s">
        <v>29</v>
      </c>
      <c r="S20" s="7" t="s">
        <v>29</v>
      </c>
    </row>
    <row r="21" spans="1:19">
      <c r="A21" s="7" t="s">
        <v>660</v>
      </c>
      <c r="B21" s="7" t="s">
        <v>195</v>
      </c>
      <c r="C21" s="8" t="s">
        <v>195</v>
      </c>
      <c r="D21" s="6" t="str">
        <f>LRTRIM(CONCATENATE(IF(SUMPRODUCT(-- ISNUMBER(SEARCH({"Auto Number"}, $B21))) &gt; 0, $B21, IF(SUMPRODUCT(-- ISNUMBER(SEARCH({"Lookup","Master-Detail"}, $B21))) &gt; 0,$B21 &amp; "(" &amp; $E21 &amp; ")",IF(SUMPRODUCT(-- ISNUMBER(SEARCH({"Formula","Roll-Up Summary"}, $B21))) &gt; 0,$B21 &amp; " (" &amp; $E21 &amp; ")",IF(SUMPRODUCT(-- ISNUMBER(SEARCH({"Content","Currency","Number","Percent","Text","URL"}, $B21))) &gt; 0,$B21 &amp; "(" &amp; $C21 &amp; ")",$B21)))), "  ", TRIM(IF($S21 = "YES", "(External ID)", "") &amp; " " &amp; IF(SUMPRODUCT(-- ISNUMBER(SEARCH({"Unique","Unique Case Insensitive"}, $R21))) &gt; 0, "(" &amp; $R21 &amp; ")", ""))))</f>
        <v>na</v>
      </c>
      <c r="E21" s="7" t="s">
        <v>195</v>
      </c>
      <c r="F21" s="7" t="s">
        <v>195</v>
      </c>
      <c r="G21" s="7" t="s">
        <v>195</v>
      </c>
      <c r="H21" s="7" t="s">
        <v>195</v>
      </c>
      <c r="I21" s="7" t="s">
        <v>195</v>
      </c>
      <c r="J21" s="7" t="s">
        <v>195</v>
      </c>
      <c r="K21" s="7" t="s">
        <v>195</v>
      </c>
      <c r="L21" s="7" t="s">
        <v>195</v>
      </c>
      <c r="M21" s="7" t="s">
        <v>28</v>
      </c>
      <c r="N21" s="7" t="s">
        <v>29</v>
      </c>
      <c r="O21" s="7" t="s">
        <v>29</v>
      </c>
      <c r="P21" s="7" t="s">
        <v>29</v>
      </c>
      <c r="Q21" s="7" t="s">
        <v>29</v>
      </c>
      <c r="R21" s="7" t="s">
        <v>29</v>
      </c>
      <c r="S21" s="7" t="s">
        <v>29</v>
      </c>
    </row>
    <row r="22" spans="1:19">
      <c r="A22" s="7" t="s">
        <v>661</v>
      </c>
      <c r="B22" s="7" t="s">
        <v>195</v>
      </c>
      <c r="C22" s="8" t="s">
        <v>195</v>
      </c>
      <c r="D22" s="6" t="str">
        <f>LRTRIM(CONCATENATE(IF(SUMPRODUCT(-- ISNUMBER(SEARCH({"Auto Number"}, $B22))) &gt; 0, $B22, IF(SUMPRODUCT(-- ISNUMBER(SEARCH({"Lookup","Master-Detail"}, $B22))) &gt; 0,$B22 &amp; "(" &amp; $E22 &amp; ")",IF(SUMPRODUCT(-- ISNUMBER(SEARCH({"Formula","Roll-Up Summary"}, $B22))) &gt; 0,$B22 &amp; " (" &amp; $E22 &amp; ")",IF(SUMPRODUCT(-- ISNUMBER(SEARCH({"Content","Currency","Number","Percent","Text","URL"}, $B22))) &gt; 0,$B22 &amp; "(" &amp; $C22 &amp; ")",$B22)))), "  ", TRIM(IF($S22 = "YES", "(External ID)", "") &amp; " " &amp; IF(SUMPRODUCT(-- ISNUMBER(SEARCH({"Unique","Unique Case Insensitive"}, $R22))) &gt; 0, "(" &amp; $R22 &amp; ")", ""))))</f>
        <v>na</v>
      </c>
      <c r="E22" s="7" t="s">
        <v>195</v>
      </c>
      <c r="F22" s="7" t="s">
        <v>195</v>
      </c>
      <c r="G22" s="7" t="s">
        <v>195</v>
      </c>
      <c r="H22" s="7" t="s">
        <v>195</v>
      </c>
      <c r="I22" s="7" t="s">
        <v>195</v>
      </c>
      <c r="J22" s="7" t="s">
        <v>195</v>
      </c>
      <c r="K22" s="7" t="s">
        <v>195</v>
      </c>
      <c r="L22" s="7" t="s">
        <v>195</v>
      </c>
      <c r="M22" s="7" t="s">
        <v>28</v>
      </c>
      <c r="N22" s="7" t="s">
        <v>29</v>
      </c>
      <c r="O22" s="7" t="s">
        <v>29</v>
      </c>
      <c r="P22" s="7" t="s">
        <v>29</v>
      </c>
      <c r="Q22" s="7" t="s">
        <v>29</v>
      </c>
      <c r="R22" s="7" t="s">
        <v>29</v>
      </c>
      <c r="S22" s="7" t="s">
        <v>29</v>
      </c>
    </row>
    <row r="23" spans="1:19">
      <c r="A23" s="7" t="s">
        <v>662</v>
      </c>
      <c r="B23" s="7" t="s">
        <v>195</v>
      </c>
      <c r="C23" s="8" t="s">
        <v>195</v>
      </c>
      <c r="D23" s="6" t="str">
        <f>LRTRIM(CONCATENATE(IF(SUMPRODUCT(-- ISNUMBER(SEARCH({"Auto Number"}, $B23))) &gt; 0, $B23, IF(SUMPRODUCT(-- ISNUMBER(SEARCH({"Lookup","Master-Detail"}, $B23))) &gt; 0,$B23 &amp; "(" &amp; $E23 &amp; ")",IF(SUMPRODUCT(-- ISNUMBER(SEARCH({"Formula","Roll-Up Summary"}, $B23))) &gt; 0,$B23 &amp; " (" &amp; $E23 &amp; ")",IF(SUMPRODUCT(-- ISNUMBER(SEARCH({"Content","Currency","Number","Percent","Text","URL"}, $B23))) &gt; 0,$B23 &amp; "(" &amp; $C23 &amp; ")",$B23)))), "  ", TRIM(IF($S23 = "YES", "(External ID)", "") &amp; " " &amp; IF(SUMPRODUCT(-- ISNUMBER(SEARCH({"Unique","Unique Case Insensitive"}, $R23))) &gt; 0, "(" &amp; $R23 &amp; ")", ""))))</f>
        <v>na</v>
      </c>
      <c r="E23" s="7" t="s">
        <v>195</v>
      </c>
      <c r="F23" s="7" t="s">
        <v>195</v>
      </c>
      <c r="G23" s="7" t="s">
        <v>195</v>
      </c>
      <c r="H23" s="7" t="s">
        <v>195</v>
      </c>
      <c r="I23" s="7" t="s">
        <v>1698</v>
      </c>
      <c r="J23" s="7" t="s">
        <v>195</v>
      </c>
      <c r="K23" s="7" t="s">
        <v>195</v>
      </c>
      <c r="L23" s="7" t="s">
        <v>195</v>
      </c>
      <c r="M23" s="7" t="s">
        <v>28</v>
      </c>
      <c r="N23" s="7" t="s">
        <v>29</v>
      </c>
      <c r="O23" s="7" t="s">
        <v>29</v>
      </c>
      <c r="P23" s="7" t="s">
        <v>29</v>
      </c>
      <c r="Q23" s="7" t="s">
        <v>29</v>
      </c>
      <c r="R23" s="7" t="s">
        <v>29</v>
      </c>
      <c r="S23" s="7" t="s">
        <v>29</v>
      </c>
    </row>
    <row r="24" spans="1:19">
      <c r="A24" s="7" t="s">
        <v>1687</v>
      </c>
      <c r="B24" s="7" t="s">
        <v>195</v>
      </c>
      <c r="C24" s="8" t="s">
        <v>195</v>
      </c>
      <c r="D24" s="6" t="str">
        <f>LRTRIM(CONCATENATE(IF(SUMPRODUCT(-- ISNUMBER(SEARCH({"Auto Number"}, $B24))) &gt; 0, $B24, IF(SUMPRODUCT(-- ISNUMBER(SEARCH({"Lookup","Master-Detail"}, $B24))) &gt; 0,$B24 &amp; "(" &amp; $E24 &amp; ")",IF(SUMPRODUCT(-- ISNUMBER(SEARCH({"Formula","Roll-Up Summary"}, $B24))) &gt; 0,$B24 &amp; " (" &amp; $E24 &amp; ")",IF(SUMPRODUCT(-- ISNUMBER(SEARCH({"Content","Currency","Number","Percent","Text","URL"}, $B24))) &gt; 0,$B24 &amp; "(" &amp; $C24 &amp; ")",$B24)))), "  ", TRIM(IF($S24 = "YES", "(External ID)", "") &amp; " " &amp; IF(SUMPRODUCT(-- ISNUMBER(SEARCH({"Unique","Unique Case Insensitive"}, $R24))) &gt; 0, "(" &amp; $R24 &amp; ")", ""))))</f>
        <v>na</v>
      </c>
      <c r="E24" s="7" t="s">
        <v>195</v>
      </c>
      <c r="F24" s="7" t="s">
        <v>195</v>
      </c>
      <c r="G24" s="7" t="s">
        <v>195</v>
      </c>
      <c r="H24" s="7" t="s">
        <v>195</v>
      </c>
      <c r="I24" s="7" t="s">
        <v>1698</v>
      </c>
      <c r="J24" s="7" t="s">
        <v>195</v>
      </c>
      <c r="K24" s="7" t="s">
        <v>195</v>
      </c>
      <c r="L24" s="7" t="s">
        <v>195</v>
      </c>
      <c r="M24" s="7" t="s">
        <v>29</v>
      </c>
      <c r="N24" s="7" t="s">
        <v>29</v>
      </c>
      <c r="O24" s="7" t="s">
        <v>29</v>
      </c>
      <c r="P24" s="7" t="s">
        <v>29</v>
      </c>
      <c r="Q24" s="7" t="s">
        <v>29</v>
      </c>
      <c r="R24" s="7" t="s">
        <v>29</v>
      </c>
      <c r="S24" s="7" t="s">
        <v>29</v>
      </c>
    </row>
    <row r="25" spans="1:19">
      <c r="A25" s="7" t="s">
        <v>663</v>
      </c>
      <c r="B25" s="7" t="s">
        <v>195</v>
      </c>
      <c r="C25" s="8" t="s">
        <v>195</v>
      </c>
      <c r="D25" s="6" t="str">
        <f>LRTRIM(CONCATENATE(IF(SUMPRODUCT(-- ISNUMBER(SEARCH({"Auto Number"}, $B25))) &gt; 0, $B25, IF(SUMPRODUCT(-- ISNUMBER(SEARCH({"Lookup","Master-Detail"}, $B25))) &gt; 0,$B25 &amp; "(" &amp; $E25 &amp; ")",IF(SUMPRODUCT(-- ISNUMBER(SEARCH({"Formula","Roll-Up Summary"}, $B25))) &gt; 0,$B25 &amp; " (" &amp; $E25 &amp; ")",IF(SUMPRODUCT(-- ISNUMBER(SEARCH({"Content","Currency","Number","Percent","Text","URL"}, $B25))) &gt; 0,$B25 &amp; "(" &amp; $C25 &amp; ")",$B25)))), "  ", TRIM(IF($S25 = "YES", "(External ID)", "") &amp; " " &amp; IF(SUMPRODUCT(-- ISNUMBER(SEARCH({"Unique","Unique Case Insensitive"}, $R25))) &gt; 0, "(" &amp; $R25 &amp; ")", ""))))</f>
        <v>na</v>
      </c>
      <c r="E25" s="7" t="s">
        <v>195</v>
      </c>
      <c r="F25" s="7" t="s">
        <v>195</v>
      </c>
      <c r="G25" s="7" t="s">
        <v>195</v>
      </c>
      <c r="H25" s="7" t="s">
        <v>195</v>
      </c>
      <c r="I25" s="7" t="s">
        <v>195</v>
      </c>
      <c r="J25" s="7" t="s">
        <v>195</v>
      </c>
      <c r="K25" s="7" t="s">
        <v>195</v>
      </c>
      <c r="L25" s="7" t="s">
        <v>195</v>
      </c>
      <c r="M25" s="7" t="s">
        <v>28</v>
      </c>
      <c r="N25" s="7" t="s">
        <v>29</v>
      </c>
      <c r="O25" s="7" t="s">
        <v>29</v>
      </c>
      <c r="P25" s="7" t="s">
        <v>29</v>
      </c>
      <c r="Q25" s="7" t="s">
        <v>29</v>
      </c>
      <c r="R25" s="7" t="s">
        <v>29</v>
      </c>
      <c r="S25" s="7" t="s">
        <v>29</v>
      </c>
    </row>
    <row r="26" spans="1:19">
      <c r="A26" s="7" t="s">
        <v>35</v>
      </c>
      <c r="B26" s="7" t="s">
        <v>195</v>
      </c>
      <c r="C26" s="8" t="s">
        <v>195</v>
      </c>
      <c r="D26" s="6" t="str">
        <f>LRTRIM(CONCATENATE(IF(SUMPRODUCT(-- ISNUMBER(SEARCH({"Auto Number"}, $B26))) &gt; 0, $B26, IF(SUMPRODUCT(-- ISNUMBER(SEARCH({"Lookup","Master-Detail"}, $B26))) &gt; 0,$B26 &amp; "(" &amp; $E26 &amp; ")",IF(SUMPRODUCT(-- ISNUMBER(SEARCH({"Formula","Roll-Up Summary"}, $B26))) &gt; 0,$B26 &amp; " (" &amp; $E26 &amp; ")",IF(SUMPRODUCT(-- ISNUMBER(SEARCH({"Content","Currency","Number","Percent","Text","URL"}, $B26))) &gt; 0,$B26 &amp; "(" &amp; $C26 &amp; ")",$B26)))), "  ", TRIM(IF($S26 = "YES", "(External ID)", "") &amp; " " &amp; IF(SUMPRODUCT(-- ISNUMBER(SEARCH({"Unique","Unique Case Insensitive"}, $R26))) &gt; 0, "(" &amp; $R26 &amp; ")", ""))))</f>
        <v>na</v>
      </c>
      <c r="E26" s="7" t="s">
        <v>195</v>
      </c>
      <c r="F26" s="7" t="s">
        <v>195</v>
      </c>
      <c r="G26" s="7" t="s">
        <v>195</v>
      </c>
      <c r="H26" s="7" t="s">
        <v>195</v>
      </c>
      <c r="I26" s="7" t="s">
        <v>195</v>
      </c>
      <c r="J26" s="7" t="s">
        <v>195</v>
      </c>
      <c r="K26" s="7" t="s">
        <v>195</v>
      </c>
      <c r="L26" s="7" t="s">
        <v>195</v>
      </c>
      <c r="M26" s="7" t="s">
        <v>28</v>
      </c>
      <c r="N26" s="7" t="s">
        <v>29</v>
      </c>
      <c r="O26" s="7" t="s">
        <v>29</v>
      </c>
      <c r="P26" s="7" t="s">
        <v>29</v>
      </c>
      <c r="Q26" s="7" t="s">
        <v>29</v>
      </c>
      <c r="R26" s="7" t="s">
        <v>29</v>
      </c>
      <c r="S26" s="7" t="s">
        <v>29</v>
      </c>
    </row>
    <row r="27" spans="1:19">
      <c r="A27" s="7" t="s">
        <v>36</v>
      </c>
      <c r="B27" s="7" t="s">
        <v>195</v>
      </c>
      <c r="C27" s="8" t="s">
        <v>195</v>
      </c>
      <c r="D27" s="6" t="str">
        <f>LRTRIM(CONCATENATE(IF(SUMPRODUCT(-- ISNUMBER(SEARCH({"Auto Number"}, $B27))) &gt; 0, $B27, IF(SUMPRODUCT(-- ISNUMBER(SEARCH({"Lookup","Master-Detail"}, $B27))) &gt; 0,$B27 &amp; "(" &amp; $E27 &amp; ")",IF(SUMPRODUCT(-- ISNUMBER(SEARCH({"Formula","Roll-Up Summary"}, $B27))) &gt; 0,$B27 &amp; " (" &amp; $E27 &amp; ")",IF(SUMPRODUCT(-- ISNUMBER(SEARCH({"Content","Currency","Number","Percent","Text","URL"}, $B27))) &gt; 0,$B27 &amp; "(" &amp; $C27 &amp; ")",$B27)))), "  ", TRIM(IF($S27 = "YES", "(External ID)", "") &amp; " " &amp; IF(SUMPRODUCT(-- ISNUMBER(SEARCH({"Unique","Unique Case Insensitive"}, $R27))) &gt; 0, "(" &amp; $R27 &amp; ")", ""))))</f>
        <v>na</v>
      </c>
      <c r="E27" s="7" t="s">
        <v>195</v>
      </c>
      <c r="F27" s="7" t="s">
        <v>195</v>
      </c>
      <c r="G27" s="7" t="s">
        <v>195</v>
      </c>
      <c r="H27" s="7" t="s">
        <v>195</v>
      </c>
      <c r="I27" s="7" t="s">
        <v>195</v>
      </c>
      <c r="J27" s="7" t="s">
        <v>195</v>
      </c>
      <c r="K27" s="7" t="s">
        <v>195</v>
      </c>
      <c r="L27" s="7" t="s">
        <v>195</v>
      </c>
      <c r="M27" s="7" t="s">
        <v>28</v>
      </c>
      <c r="N27" s="7" t="s">
        <v>29</v>
      </c>
      <c r="O27" s="7" t="s">
        <v>29</v>
      </c>
      <c r="P27" s="7" t="s">
        <v>29</v>
      </c>
      <c r="Q27" s="7" t="s">
        <v>29</v>
      </c>
      <c r="R27" s="7" t="s">
        <v>29</v>
      </c>
      <c r="S27" s="7" t="s">
        <v>29</v>
      </c>
    </row>
    <row r="28" spans="1:19">
      <c r="A28" s="7" t="s">
        <v>37</v>
      </c>
      <c r="B28" s="7" t="s">
        <v>195</v>
      </c>
      <c r="C28" s="8" t="s">
        <v>195</v>
      </c>
      <c r="D28" s="6" t="str">
        <f>LRTRIM(CONCATENATE(IF(SUMPRODUCT(-- ISNUMBER(SEARCH({"Auto Number"}, $B28))) &gt; 0, $B28, IF(SUMPRODUCT(-- ISNUMBER(SEARCH({"Lookup","Master-Detail"}, $B28))) &gt; 0,$B28 &amp; "(" &amp; $E28 &amp; ")",IF(SUMPRODUCT(-- ISNUMBER(SEARCH({"Formula","Roll-Up Summary"}, $B28))) &gt; 0,$B28 &amp; " (" &amp; $E28 &amp; ")",IF(SUMPRODUCT(-- ISNUMBER(SEARCH({"Content","Currency","Number","Percent","Text","URL"}, $B28))) &gt; 0,$B28 &amp; "(" &amp; $C28 &amp; ")",$B28)))), "  ", TRIM(IF($S28 = "YES", "(External ID)", "") &amp; " " &amp; IF(SUMPRODUCT(-- ISNUMBER(SEARCH({"Unique","Unique Case Insensitive"}, $R28))) &gt; 0, "(" &amp; $R28 &amp; ")", ""))))</f>
        <v>na</v>
      </c>
      <c r="E28" s="7" t="s">
        <v>195</v>
      </c>
      <c r="F28" s="7" t="s">
        <v>195</v>
      </c>
      <c r="G28" s="7" t="s">
        <v>195</v>
      </c>
      <c r="H28" s="7" t="s">
        <v>195</v>
      </c>
      <c r="I28" s="7" t="s">
        <v>195</v>
      </c>
      <c r="J28" s="7" t="s">
        <v>195</v>
      </c>
      <c r="K28" s="7" t="s">
        <v>195</v>
      </c>
      <c r="L28" s="7" t="s">
        <v>195</v>
      </c>
      <c r="M28" s="7" t="s">
        <v>28</v>
      </c>
      <c r="N28" s="7" t="s">
        <v>29</v>
      </c>
      <c r="O28" s="7" t="s">
        <v>29</v>
      </c>
      <c r="P28" s="7" t="s">
        <v>29</v>
      </c>
      <c r="Q28" s="7" t="s">
        <v>29</v>
      </c>
      <c r="R28" s="7" t="s">
        <v>29</v>
      </c>
      <c r="S28" s="7" t="s">
        <v>29</v>
      </c>
    </row>
    <row r="29" spans="1:19">
      <c r="A29" s="7" t="s">
        <v>38</v>
      </c>
      <c r="B29" s="7" t="s">
        <v>195</v>
      </c>
      <c r="C29" s="8" t="s">
        <v>195</v>
      </c>
      <c r="D29" s="6" t="str">
        <f>LRTRIM(CONCATENATE(IF(SUMPRODUCT(-- ISNUMBER(SEARCH({"Auto Number"}, $B29))) &gt; 0, $B29, IF(SUMPRODUCT(-- ISNUMBER(SEARCH({"Lookup","Master-Detail"}, $B29))) &gt; 0,$B29 &amp; "(" &amp; $E29 &amp; ")",IF(SUMPRODUCT(-- ISNUMBER(SEARCH({"Formula","Roll-Up Summary"}, $B29))) &gt; 0,$B29 &amp; " (" &amp; $E29 &amp; ")",IF(SUMPRODUCT(-- ISNUMBER(SEARCH({"Content","Currency","Number","Percent","Text","URL"}, $B29))) &gt; 0,$B29 &amp; "(" &amp; $C29 &amp; ")",$B29)))), "  ", TRIM(IF($S29 = "YES", "(External ID)", "") &amp; " " &amp; IF(SUMPRODUCT(-- ISNUMBER(SEARCH({"Unique","Unique Case Insensitive"}, $R29))) &gt; 0, "(" &amp; $R29 &amp; ")", ""))))</f>
        <v>na</v>
      </c>
      <c r="E29" s="7" t="s">
        <v>195</v>
      </c>
      <c r="F29" s="7" t="s">
        <v>195</v>
      </c>
      <c r="G29" s="7" t="s">
        <v>195</v>
      </c>
      <c r="H29" s="7" t="s">
        <v>195</v>
      </c>
      <c r="I29" s="7" t="s">
        <v>195</v>
      </c>
      <c r="J29" s="7" t="s">
        <v>195</v>
      </c>
      <c r="K29" s="7" t="s">
        <v>195</v>
      </c>
      <c r="L29" s="7" t="s">
        <v>195</v>
      </c>
      <c r="M29" s="7" t="s">
        <v>28</v>
      </c>
      <c r="N29" s="7" t="s">
        <v>29</v>
      </c>
      <c r="O29" s="7" t="s">
        <v>29</v>
      </c>
      <c r="P29" s="7" t="s">
        <v>29</v>
      </c>
      <c r="Q29" s="7" t="s">
        <v>29</v>
      </c>
      <c r="R29" s="7" t="s">
        <v>29</v>
      </c>
      <c r="S29" s="7" t="s">
        <v>29</v>
      </c>
    </row>
    <row r="30" spans="1:19">
      <c r="A30" s="7" t="s">
        <v>39</v>
      </c>
      <c r="B30" s="7" t="s">
        <v>195</v>
      </c>
      <c r="C30" s="8" t="s">
        <v>195</v>
      </c>
      <c r="D30" s="6" t="str">
        <f>LRTRIM(CONCATENATE(IF(SUMPRODUCT(-- ISNUMBER(SEARCH({"Auto Number"}, $B30))) &gt; 0, $B30, IF(SUMPRODUCT(-- ISNUMBER(SEARCH({"Lookup","Master-Detail"}, $B30))) &gt; 0,$B30 &amp; "(" &amp; $E30 &amp; ")",IF(SUMPRODUCT(-- ISNUMBER(SEARCH({"Formula","Roll-Up Summary"}, $B30))) &gt; 0,$B30 &amp; " (" &amp; $E30 &amp; ")",IF(SUMPRODUCT(-- ISNUMBER(SEARCH({"Content","Currency","Number","Percent","Text","URL"}, $B30))) &gt; 0,$B30 &amp; "(" &amp; $C30 &amp; ")",$B30)))), "  ", TRIM(IF($S30 = "YES", "(External ID)", "") &amp; " " &amp; IF(SUMPRODUCT(-- ISNUMBER(SEARCH({"Unique","Unique Case Insensitive"}, $R30))) &gt; 0, "(" &amp; $R30 &amp; ")", ""))))</f>
        <v>na</v>
      </c>
      <c r="E30" s="7" t="s">
        <v>195</v>
      </c>
      <c r="F30" s="7" t="s">
        <v>195</v>
      </c>
      <c r="G30" s="7" t="s">
        <v>195</v>
      </c>
      <c r="H30" s="7" t="s">
        <v>195</v>
      </c>
      <c r="I30" s="7" t="s">
        <v>195</v>
      </c>
      <c r="J30" s="7" t="s">
        <v>195</v>
      </c>
      <c r="K30" s="7" t="s">
        <v>195</v>
      </c>
      <c r="L30" s="7" t="s">
        <v>195</v>
      </c>
      <c r="M30" s="7" t="s">
        <v>28</v>
      </c>
      <c r="N30" s="7" t="s">
        <v>29</v>
      </c>
      <c r="O30" s="7" t="s">
        <v>29</v>
      </c>
      <c r="P30" s="7" t="s">
        <v>29</v>
      </c>
      <c r="Q30" s="7" t="s">
        <v>29</v>
      </c>
      <c r="R30" s="7" t="s">
        <v>29</v>
      </c>
      <c r="S30" s="7" t="s">
        <v>29</v>
      </c>
    </row>
    <row r="31" spans="1:19">
      <c r="A31" s="7" t="s">
        <v>664</v>
      </c>
      <c r="B31" s="7" t="s">
        <v>195</v>
      </c>
      <c r="C31" s="8" t="s">
        <v>195</v>
      </c>
      <c r="D31" s="6" t="str">
        <f>LRTRIM(CONCATENATE(IF(SUMPRODUCT(-- ISNUMBER(SEARCH({"Auto Number"}, $B31))) &gt; 0, $B31, IF(SUMPRODUCT(-- ISNUMBER(SEARCH({"Lookup","Master-Detail"}, $B31))) &gt; 0,$B31 &amp; "(" &amp; $E31 &amp; ")",IF(SUMPRODUCT(-- ISNUMBER(SEARCH({"Formula","Roll-Up Summary"}, $B31))) &gt; 0,$B31 &amp; " (" &amp; $E31 &amp; ")",IF(SUMPRODUCT(-- ISNUMBER(SEARCH({"Content","Currency","Number","Percent","Text","URL"}, $B31))) &gt; 0,$B31 &amp; "(" &amp; $C31 &amp; ")",$B31)))), "  ", TRIM(IF($S31 = "YES", "(External ID)", "") &amp; " " &amp; IF(SUMPRODUCT(-- ISNUMBER(SEARCH({"Unique","Unique Case Insensitive"}, $R31))) &gt; 0, "(" &amp; $R31 &amp; ")", ""))))</f>
        <v>na</v>
      </c>
      <c r="E31" s="7" t="s">
        <v>195</v>
      </c>
      <c r="F31" s="7" t="s">
        <v>195</v>
      </c>
      <c r="G31" s="7" t="s">
        <v>195</v>
      </c>
      <c r="H31" s="7" t="s">
        <v>195</v>
      </c>
      <c r="I31" s="7" t="s">
        <v>195</v>
      </c>
      <c r="J31" s="7" t="s">
        <v>195</v>
      </c>
      <c r="K31" s="7" t="s">
        <v>195</v>
      </c>
      <c r="L31" s="7" t="s">
        <v>195</v>
      </c>
      <c r="M31" s="7" t="s">
        <v>28</v>
      </c>
      <c r="N31" s="7" t="s">
        <v>29</v>
      </c>
      <c r="O31" s="7" t="s">
        <v>29</v>
      </c>
      <c r="P31" s="7" t="s">
        <v>29</v>
      </c>
      <c r="Q31" s="7" t="s">
        <v>29</v>
      </c>
      <c r="R31" s="7" t="s">
        <v>29</v>
      </c>
      <c r="S31" s="7" t="s">
        <v>29</v>
      </c>
    </row>
    <row r="32" spans="1:19">
      <c r="A32" s="7" t="s">
        <v>665</v>
      </c>
      <c r="B32" s="7" t="s">
        <v>195</v>
      </c>
      <c r="C32" s="8" t="s">
        <v>195</v>
      </c>
      <c r="D32" s="6" t="str">
        <f>LRTRIM(CONCATENATE(IF(SUMPRODUCT(-- ISNUMBER(SEARCH({"Auto Number"}, $B32))) &gt; 0, $B32, IF(SUMPRODUCT(-- ISNUMBER(SEARCH({"Lookup","Master-Detail"}, $B32))) &gt; 0,$B32 &amp; "(" &amp; $E32 &amp; ")",IF(SUMPRODUCT(-- ISNUMBER(SEARCH({"Formula","Roll-Up Summary"}, $B32))) &gt; 0,$B32 &amp; " (" &amp; $E32 &amp; ")",IF(SUMPRODUCT(-- ISNUMBER(SEARCH({"Content","Currency","Number","Percent","Text","URL"}, $B32))) &gt; 0,$B32 &amp; "(" &amp; $C32 &amp; ")",$B32)))), "  ", TRIM(IF($S32 = "YES", "(External ID)", "") &amp; " " &amp; IF(SUMPRODUCT(-- ISNUMBER(SEARCH({"Unique","Unique Case Insensitive"}, $R32))) &gt; 0, "(" &amp; $R32 &amp; ")", ""))))</f>
        <v>na</v>
      </c>
      <c r="E32" s="7" t="s">
        <v>195</v>
      </c>
      <c r="F32" s="7" t="s">
        <v>195</v>
      </c>
      <c r="G32" s="7" t="s">
        <v>195</v>
      </c>
      <c r="H32" s="7" t="s">
        <v>195</v>
      </c>
      <c r="I32" s="7" t="s">
        <v>195</v>
      </c>
      <c r="J32" s="7" t="s">
        <v>195</v>
      </c>
      <c r="K32" s="7" t="s">
        <v>195</v>
      </c>
      <c r="L32" s="7" t="s">
        <v>195</v>
      </c>
      <c r="M32" s="7" t="s">
        <v>28</v>
      </c>
      <c r="N32" s="7" t="s">
        <v>29</v>
      </c>
      <c r="O32" s="7" t="s">
        <v>29</v>
      </c>
      <c r="P32" s="7" t="s">
        <v>29</v>
      </c>
      <c r="Q32" s="7" t="s">
        <v>29</v>
      </c>
      <c r="R32" s="7" t="s">
        <v>29</v>
      </c>
      <c r="S32" s="7" t="s">
        <v>29</v>
      </c>
    </row>
    <row r="33" spans="2:19">
      <c r="B33" s="7" t="s">
        <v>195</v>
      </c>
      <c r="C33" s="8" t="s">
        <v>195</v>
      </c>
      <c r="D33" s="6" t="str">
        <f>LRTRIM(CONCATENATE(IF(SUMPRODUCT(-- ISNUMBER(SEARCH({"Auto Number"}, $B33))) &gt; 0, $B33, IF(SUMPRODUCT(-- ISNUMBER(SEARCH({"Lookup","Master-Detail"}, $B33))) &gt; 0,$B33 &amp; "(" &amp; $E33 &amp; ")",IF(SUMPRODUCT(-- ISNUMBER(SEARCH({"Formula","Roll-Up Summary"}, $B33))) &gt; 0,$B33 &amp; " (" &amp; $E33 &amp; ")",IF(SUMPRODUCT(-- ISNUMBER(SEARCH({"Content","Currency","Number","Percent","Text","URL"}, $B33))) &gt; 0,$B33 &amp; "(" &amp; $C33 &amp; ")",$B33)))), "  ", TRIM(IF($S33 = "YES", "(External ID)", "") &amp; " " &amp; IF(SUMPRODUCT(-- ISNUMBER(SEARCH({"Unique","Unique Case Insensitive"}, $R33))) &gt; 0, "(" &amp; $R33 &amp; ")", ""))))</f>
        <v>na</v>
      </c>
      <c r="E33" s="7" t="s">
        <v>195</v>
      </c>
      <c r="F33" s="7" t="s">
        <v>195</v>
      </c>
      <c r="G33" s="7" t="s">
        <v>195</v>
      </c>
      <c r="H33" s="7" t="s">
        <v>195</v>
      </c>
      <c r="I33" s="7" t="s">
        <v>195</v>
      </c>
      <c r="J33" s="7" t="s">
        <v>195</v>
      </c>
      <c r="K33" s="7" t="s">
        <v>195</v>
      </c>
      <c r="L33" s="7" t="s">
        <v>195</v>
      </c>
      <c r="M33" s="7" t="s">
        <v>29</v>
      </c>
      <c r="N33" s="7" t="s">
        <v>29</v>
      </c>
      <c r="O33" s="7" t="s">
        <v>29</v>
      </c>
      <c r="P33" s="7" t="s">
        <v>29</v>
      </c>
      <c r="Q33" s="7" t="s">
        <v>29</v>
      </c>
      <c r="R33" s="7" t="s">
        <v>29</v>
      </c>
      <c r="S33" s="7" t="s">
        <v>29</v>
      </c>
    </row>
    <row r="34" spans="2:19">
      <c r="B34" s="7" t="s">
        <v>195</v>
      </c>
      <c r="C34" s="8" t="s">
        <v>195</v>
      </c>
      <c r="D34" s="6" t="str">
        <f>LRTRIM(CONCATENATE(IF(SUMPRODUCT(-- ISNUMBER(SEARCH({"Auto Number"}, $B34))) &gt; 0, $B34, IF(SUMPRODUCT(-- ISNUMBER(SEARCH({"Lookup","Master-Detail"}, $B34))) &gt; 0,$B34 &amp; "(" &amp; $E34 &amp; ")",IF(SUMPRODUCT(-- ISNUMBER(SEARCH({"Formula","Roll-Up Summary"}, $B34))) &gt; 0,$B34 &amp; " (" &amp; $E34 &amp; ")",IF(SUMPRODUCT(-- ISNUMBER(SEARCH({"Content","Currency","Number","Percent","Text","URL"}, $B34))) &gt; 0,$B34 &amp; "(" &amp; $C34 &amp; ")",$B34)))), "  ", TRIM(IF($S34 = "YES", "(External ID)", "") &amp; " " &amp; IF(SUMPRODUCT(-- ISNUMBER(SEARCH({"Unique","Unique Case Insensitive"}, $R34))) &gt; 0, "(" &amp; $R34 &amp; ")", ""))))</f>
        <v>na</v>
      </c>
      <c r="E34" s="7" t="s">
        <v>195</v>
      </c>
      <c r="F34" s="7" t="s">
        <v>195</v>
      </c>
      <c r="G34" s="7" t="s">
        <v>195</v>
      </c>
      <c r="H34" s="7" t="s">
        <v>195</v>
      </c>
      <c r="I34" s="7" t="s">
        <v>195</v>
      </c>
      <c r="J34" s="7" t="s">
        <v>195</v>
      </c>
      <c r="K34" s="7" t="s">
        <v>195</v>
      </c>
      <c r="L34" s="7" t="s">
        <v>195</v>
      </c>
      <c r="M34" s="7" t="s">
        <v>29</v>
      </c>
      <c r="N34" s="7" t="s">
        <v>29</v>
      </c>
      <c r="O34" s="7" t="s">
        <v>29</v>
      </c>
      <c r="P34" s="7" t="s">
        <v>29</v>
      </c>
      <c r="Q34" s="7" t="s">
        <v>29</v>
      </c>
      <c r="R34" s="7" t="s">
        <v>29</v>
      </c>
      <c r="S34" s="7" t="s">
        <v>29</v>
      </c>
    </row>
    <row r="35" spans="2:19">
      <c r="B35" s="7" t="s">
        <v>195</v>
      </c>
      <c r="C35" s="8" t="s">
        <v>195</v>
      </c>
      <c r="D35" s="6" t="str">
        <f>LRTRIM(CONCATENATE(IF(SUMPRODUCT(-- ISNUMBER(SEARCH({"Auto Number"}, $B35))) &gt; 0, $B35, IF(SUMPRODUCT(-- ISNUMBER(SEARCH({"Lookup","Master-Detail"}, $B35))) &gt; 0,$B35 &amp; "(" &amp; $E35 &amp; ")",IF(SUMPRODUCT(-- ISNUMBER(SEARCH({"Formula","Roll-Up Summary"}, $B35))) &gt; 0,$B35 &amp; " (" &amp; $E35 &amp; ")",IF(SUMPRODUCT(-- ISNUMBER(SEARCH({"Content","Currency","Number","Percent","Text","URL"}, $B35))) &gt; 0,$B35 &amp; "(" &amp; $C35 &amp; ")",$B35)))), "  ", TRIM(IF($S35 = "YES", "(External ID)", "") &amp; " " &amp; IF(SUMPRODUCT(-- ISNUMBER(SEARCH({"Unique","Unique Case Insensitive"}, $R35))) &gt; 0, "(" &amp; $R35 &amp; ")", ""))))</f>
        <v>na</v>
      </c>
      <c r="E35" s="7" t="s">
        <v>195</v>
      </c>
      <c r="F35" s="7" t="s">
        <v>195</v>
      </c>
      <c r="G35" s="7" t="s">
        <v>195</v>
      </c>
      <c r="H35" s="7" t="s">
        <v>195</v>
      </c>
      <c r="I35" s="7" t="s">
        <v>195</v>
      </c>
      <c r="J35" s="7" t="s">
        <v>195</v>
      </c>
      <c r="K35" s="7" t="s">
        <v>195</v>
      </c>
      <c r="L35" s="7" t="s">
        <v>195</v>
      </c>
      <c r="M35" s="7" t="s">
        <v>29</v>
      </c>
      <c r="N35" s="7" t="s">
        <v>29</v>
      </c>
      <c r="O35" s="7" t="s">
        <v>29</v>
      </c>
      <c r="P35" s="7" t="s">
        <v>29</v>
      </c>
      <c r="Q35" s="7" t="s">
        <v>29</v>
      </c>
      <c r="R35" s="7" t="s">
        <v>29</v>
      </c>
      <c r="S35" s="7" t="s">
        <v>29</v>
      </c>
    </row>
    <row r="36" spans="2:19">
      <c r="B36" s="7" t="s">
        <v>195</v>
      </c>
      <c r="C36" s="8" t="s">
        <v>195</v>
      </c>
      <c r="D36" s="6" t="str">
        <f>LRTRIM(CONCATENATE(IF(SUMPRODUCT(-- ISNUMBER(SEARCH({"Auto Number"}, $B36))) &gt; 0, $B36, IF(SUMPRODUCT(-- ISNUMBER(SEARCH({"Lookup","Master-Detail"}, $B36))) &gt; 0,$B36 &amp; "(" &amp; $E36 &amp; ")",IF(SUMPRODUCT(-- ISNUMBER(SEARCH({"Formula","Roll-Up Summary"}, $B36))) &gt; 0,$B36 &amp; " (" &amp; $E36 &amp; ")",IF(SUMPRODUCT(-- ISNUMBER(SEARCH({"Content","Currency","Number","Percent","Text","URL"}, $B36))) &gt; 0,$B36 &amp; "(" &amp; $C36 &amp; ")",$B36)))), "  ", TRIM(IF($S36 = "YES", "(External ID)", "") &amp; " " &amp; IF(SUMPRODUCT(-- ISNUMBER(SEARCH({"Unique","Unique Case Insensitive"}, $R36))) &gt; 0, "(" &amp; $R36 &amp; ")", ""))))</f>
        <v>na</v>
      </c>
      <c r="E36" s="7" t="s">
        <v>195</v>
      </c>
      <c r="F36" s="7" t="s">
        <v>195</v>
      </c>
      <c r="G36" s="7" t="s">
        <v>195</v>
      </c>
      <c r="H36" s="7" t="s">
        <v>195</v>
      </c>
      <c r="I36" s="7" t="s">
        <v>195</v>
      </c>
      <c r="J36" s="7" t="s">
        <v>195</v>
      </c>
      <c r="K36" s="7" t="s">
        <v>195</v>
      </c>
      <c r="L36" s="7" t="s">
        <v>195</v>
      </c>
      <c r="M36" s="7" t="s">
        <v>29</v>
      </c>
      <c r="N36" s="7" t="s">
        <v>29</v>
      </c>
      <c r="O36" s="7" t="s">
        <v>29</v>
      </c>
      <c r="P36" s="7" t="s">
        <v>29</v>
      </c>
      <c r="Q36" s="7" t="s">
        <v>29</v>
      </c>
      <c r="R36" s="7" t="s">
        <v>29</v>
      </c>
      <c r="S36" s="7" t="s">
        <v>29</v>
      </c>
    </row>
    <row r="37" spans="2:19">
      <c r="B37" s="7" t="s">
        <v>195</v>
      </c>
      <c r="C37" s="8" t="s">
        <v>195</v>
      </c>
      <c r="D37" s="6" t="str">
        <f>LRTRIM(CONCATENATE(IF(SUMPRODUCT(-- ISNUMBER(SEARCH({"Auto Number"}, $B37))) &gt; 0, $B37, IF(SUMPRODUCT(-- ISNUMBER(SEARCH({"Lookup","Master-Detail"}, $B37))) &gt; 0,$B37 &amp; "(" &amp; $E37 &amp; ")",IF(SUMPRODUCT(-- ISNUMBER(SEARCH({"Formula","Roll-Up Summary"}, $B37))) &gt; 0,$B37 &amp; " (" &amp; $E37 &amp; ")",IF(SUMPRODUCT(-- ISNUMBER(SEARCH({"Content","Currency","Number","Percent","Text","URL"}, $B37))) &gt; 0,$B37 &amp; "(" &amp; $C37 &amp; ")",$B37)))), "  ", TRIM(IF($S37 = "YES", "(External ID)", "") &amp; " " &amp; IF(SUMPRODUCT(-- ISNUMBER(SEARCH({"Unique","Unique Case Insensitive"}, $R37))) &gt; 0, "(" &amp; $R37 &amp; ")", ""))))</f>
        <v>na</v>
      </c>
      <c r="E37" s="7" t="s">
        <v>195</v>
      </c>
      <c r="F37" s="7" t="s">
        <v>195</v>
      </c>
      <c r="G37" s="7" t="s">
        <v>195</v>
      </c>
      <c r="H37" s="7" t="s">
        <v>195</v>
      </c>
      <c r="I37" s="7" t="s">
        <v>195</v>
      </c>
      <c r="J37" s="7" t="s">
        <v>195</v>
      </c>
      <c r="K37" s="7" t="s">
        <v>195</v>
      </c>
      <c r="L37" s="7" t="s">
        <v>195</v>
      </c>
      <c r="M37" s="7" t="s">
        <v>29</v>
      </c>
      <c r="N37" s="7" t="s">
        <v>29</v>
      </c>
      <c r="O37" s="7" t="s">
        <v>29</v>
      </c>
      <c r="P37" s="7" t="s">
        <v>29</v>
      </c>
      <c r="Q37" s="7" t="s">
        <v>29</v>
      </c>
      <c r="R37" s="7" t="s">
        <v>29</v>
      </c>
      <c r="S37" s="7" t="s">
        <v>29</v>
      </c>
    </row>
    <row r="38" spans="2:19">
      <c r="B38" s="7" t="s">
        <v>195</v>
      </c>
      <c r="C38" s="8" t="s">
        <v>195</v>
      </c>
      <c r="D38" s="6" t="str">
        <f>LRTRIM(CONCATENATE(IF(SUMPRODUCT(-- ISNUMBER(SEARCH({"Auto Number"}, $B38))) &gt; 0, $B38, IF(SUMPRODUCT(-- ISNUMBER(SEARCH({"Lookup","Master-Detail"}, $B38))) &gt; 0,$B38 &amp; "(" &amp; $E38 &amp; ")",IF(SUMPRODUCT(-- ISNUMBER(SEARCH({"Formula","Roll-Up Summary"}, $B38))) &gt; 0,$B38 &amp; " (" &amp; $E38 &amp; ")",IF(SUMPRODUCT(-- ISNUMBER(SEARCH({"Content","Currency","Number","Percent","Text","URL"}, $B38))) &gt; 0,$B38 &amp; "(" &amp; $C38 &amp; ")",$B38)))), "  ", TRIM(IF($S38 = "YES", "(External ID)", "") &amp; " " &amp; IF(SUMPRODUCT(-- ISNUMBER(SEARCH({"Unique","Unique Case Insensitive"}, $R38))) &gt; 0, "(" &amp; $R38 &amp; ")", ""))))</f>
        <v>na</v>
      </c>
      <c r="E38" s="7" t="s">
        <v>195</v>
      </c>
      <c r="F38" s="7" t="s">
        <v>195</v>
      </c>
      <c r="G38" s="7" t="s">
        <v>195</v>
      </c>
      <c r="H38" s="7" t="s">
        <v>195</v>
      </c>
      <c r="I38" s="7" t="s">
        <v>195</v>
      </c>
      <c r="J38" s="7" t="s">
        <v>195</v>
      </c>
      <c r="K38" s="7" t="s">
        <v>195</v>
      </c>
      <c r="L38" s="7" t="s">
        <v>195</v>
      </c>
      <c r="M38" s="7" t="s">
        <v>29</v>
      </c>
      <c r="N38" s="7" t="s">
        <v>29</v>
      </c>
      <c r="O38" s="7" t="s">
        <v>29</v>
      </c>
      <c r="P38" s="7" t="s">
        <v>29</v>
      </c>
      <c r="Q38" s="7" t="s">
        <v>29</v>
      </c>
      <c r="R38" s="7" t="s">
        <v>29</v>
      </c>
      <c r="S38" s="7" t="s">
        <v>29</v>
      </c>
    </row>
    <row r="39" spans="2:19">
      <c r="B39" s="7" t="s">
        <v>195</v>
      </c>
      <c r="C39" s="8" t="s">
        <v>195</v>
      </c>
      <c r="D39" s="6" t="str">
        <f>LRTRIM(CONCATENATE(IF(SUMPRODUCT(-- ISNUMBER(SEARCH({"Auto Number"}, $B39))) &gt; 0, $B39, IF(SUMPRODUCT(-- ISNUMBER(SEARCH({"Lookup","Master-Detail"}, $B39))) &gt; 0,$B39 &amp; "(" &amp; $E39 &amp; ")",IF(SUMPRODUCT(-- ISNUMBER(SEARCH({"Formula","Roll-Up Summary"}, $B39))) &gt; 0,$B39 &amp; " (" &amp; $E39 &amp; ")",IF(SUMPRODUCT(-- ISNUMBER(SEARCH({"Content","Currency","Number","Percent","Text","URL"}, $B39))) &gt; 0,$B39 &amp; "(" &amp; $C39 &amp; ")",$B39)))), "  ", TRIM(IF($S39 = "YES", "(External ID)", "") &amp; " " &amp; IF(SUMPRODUCT(-- ISNUMBER(SEARCH({"Unique","Unique Case Insensitive"}, $R39))) &gt; 0, "(" &amp; $R39 &amp; ")", ""))))</f>
        <v>na</v>
      </c>
      <c r="E39" s="7" t="s">
        <v>195</v>
      </c>
      <c r="F39" s="7" t="s">
        <v>195</v>
      </c>
      <c r="G39" s="7" t="s">
        <v>195</v>
      </c>
      <c r="H39" s="7" t="s">
        <v>195</v>
      </c>
      <c r="I39" s="7" t="s">
        <v>195</v>
      </c>
      <c r="J39" s="7" t="s">
        <v>195</v>
      </c>
      <c r="K39" s="7" t="s">
        <v>195</v>
      </c>
      <c r="L39" s="7" t="s">
        <v>195</v>
      </c>
      <c r="M39" s="7" t="s">
        <v>29</v>
      </c>
      <c r="N39" s="7" t="s">
        <v>29</v>
      </c>
      <c r="O39" s="7" t="s">
        <v>29</v>
      </c>
      <c r="P39" s="7" t="s">
        <v>29</v>
      </c>
      <c r="Q39" s="7" t="s">
        <v>29</v>
      </c>
      <c r="R39" s="7" t="s">
        <v>29</v>
      </c>
      <c r="S39" s="7" t="s">
        <v>29</v>
      </c>
    </row>
    <row r="40" spans="2:19">
      <c r="B40" s="7" t="s">
        <v>195</v>
      </c>
      <c r="C40" s="8" t="s">
        <v>195</v>
      </c>
      <c r="D40" s="6" t="str">
        <f>LRTRIM(CONCATENATE(IF(SUMPRODUCT(-- ISNUMBER(SEARCH({"Auto Number"}, $B40))) &gt; 0, $B40, IF(SUMPRODUCT(-- ISNUMBER(SEARCH({"Lookup","Master-Detail"}, $B40))) &gt; 0,$B40 &amp; "(" &amp; $E40 &amp; ")",IF(SUMPRODUCT(-- ISNUMBER(SEARCH({"Formula","Roll-Up Summary"}, $B40))) &gt; 0,$B40 &amp; " (" &amp; $E40 &amp; ")",IF(SUMPRODUCT(-- ISNUMBER(SEARCH({"Content","Currency","Number","Percent","Text","URL"}, $B40))) &gt; 0,$B40 &amp; "(" &amp; $C40 &amp; ")",$B40)))), "  ", TRIM(IF($S40 = "YES", "(External ID)", "") &amp; " " &amp; IF(SUMPRODUCT(-- ISNUMBER(SEARCH({"Unique","Unique Case Insensitive"}, $R40))) &gt; 0, "(" &amp; $R40 &amp; ")", ""))))</f>
        <v>na</v>
      </c>
      <c r="E40" s="7" t="s">
        <v>195</v>
      </c>
      <c r="F40" s="7" t="s">
        <v>195</v>
      </c>
      <c r="G40" s="7" t="s">
        <v>195</v>
      </c>
      <c r="H40" s="7" t="s">
        <v>195</v>
      </c>
      <c r="I40" s="7" t="s">
        <v>195</v>
      </c>
      <c r="J40" s="7" t="s">
        <v>195</v>
      </c>
      <c r="K40" s="7" t="s">
        <v>195</v>
      </c>
      <c r="L40" s="7" t="s">
        <v>195</v>
      </c>
      <c r="M40" s="7" t="s">
        <v>29</v>
      </c>
      <c r="N40" s="7" t="s">
        <v>29</v>
      </c>
      <c r="O40" s="7" t="s">
        <v>29</v>
      </c>
      <c r="P40" s="7" t="s">
        <v>29</v>
      </c>
      <c r="Q40" s="7" t="s">
        <v>29</v>
      </c>
      <c r="R40" s="7" t="s">
        <v>29</v>
      </c>
      <c r="S40" s="7" t="s">
        <v>29</v>
      </c>
    </row>
    <row r="41" spans="2:19">
      <c r="B41" s="7" t="s">
        <v>195</v>
      </c>
      <c r="C41" s="8" t="s">
        <v>195</v>
      </c>
      <c r="D41" s="6" t="str">
        <f>LRTRIM(CONCATENATE(IF(SUMPRODUCT(-- ISNUMBER(SEARCH({"Auto Number"}, $B41))) &gt; 0, $B41, IF(SUMPRODUCT(-- ISNUMBER(SEARCH({"Lookup","Master-Detail"}, $B41))) &gt; 0,$B41 &amp; "(" &amp; $E41 &amp; ")",IF(SUMPRODUCT(-- ISNUMBER(SEARCH({"Formula","Roll-Up Summary"}, $B41))) &gt; 0,$B41 &amp; " (" &amp; $E41 &amp; ")",IF(SUMPRODUCT(-- ISNUMBER(SEARCH({"Content","Currency","Number","Percent","Text","URL"}, $B41))) &gt; 0,$B41 &amp; "(" &amp; $C41 &amp; ")",$B41)))), "  ", TRIM(IF($S41 = "YES", "(External ID)", "") &amp; " " &amp; IF(SUMPRODUCT(-- ISNUMBER(SEARCH({"Unique","Unique Case Insensitive"}, $R41))) &gt; 0, "(" &amp; $R41 &amp; ")", ""))))</f>
        <v>na</v>
      </c>
      <c r="E41" s="7" t="s">
        <v>195</v>
      </c>
      <c r="F41" s="7" t="s">
        <v>195</v>
      </c>
      <c r="G41" s="7" t="s">
        <v>195</v>
      </c>
      <c r="H41" s="7" t="s">
        <v>195</v>
      </c>
      <c r="I41" s="7" t="s">
        <v>195</v>
      </c>
      <c r="J41" s="7" t="s">
        <v>195</v>
      </c>
      <c r="K41" s="7" t="s">
        <v>195</v>
      </c>
      <c r="L41" s="7" t="s">
        <v>195</v>
      </c>
      <c r="M41" s="7" t="s">
        <v>29</v>
      </c>
      <c r="N41" s="7" t="s">
        <v>29</v>
      </c>
      <c r="O41" s="7" t="s">
        <v>29</v>
      </c>
      <c r="P41" s="7" t="s">
        <v>29</v>
      </c>
      <c r="Q41" s="7" t="s">
        <v>29</v>
      </c>
      <c r="R41" s="7" t="s">
        <v>29</v>
      </c>
      <c r="S41" s="7" t="s">
        <v>29</v>
      </c>
    </row>
    <row r="42" spans="2:19">
      <c r="B42" s="7" t="s">
        <v>195</v>
      </c>
      <c r="C42" s="8" t="s">
        <v>195</v>
      </c>
      <c r="D42" s="6" t="str">
        <f>LRTRIM(CONCATENATE(IF(SUMPRODUCT(-- ISNUMBER(SEARCH({"Auto Number"}, $B42))) &gt; 0, $B42, IF(SUMPRODUCT(-- ISNUMBER(SEARCH({"Lookup","Master-Detail"}, $B42))) &gt; 0,$B42 &amp; "(" &amp; $E42 &amp; ")",IF(SUMPRODUCT(-- ISNUMBER(SEARCH({"Formula","Roll-Up Summary"}, $B42))) &gt; 0,$B42 &amp; " (" &amp; $E42 &amp; ")",IF(SUMPRODUCT(-- ISNUMBER(SEARCH({"Content","Currency","Number","Percent","Text","URL"}, $B42))) &gt; 0,$B42 &amp; "(" &amp; $C42 &amp; ")",$B42)))), "  ", TRIM(IF($S42 = "YES", "(External ID)", "") &amp; " " &amp; IF(SUMPRODUCT(-- ISNUMBER(SEARCH({"Unique","Unique Case Insensitive"}, $R42))) &gt; 0, "(" &amp; $R42 &amp; ")", ""))))</f>
        <v>na</v>
      </c>
      <c r="E42" s="7" t="s">
        <v>195</v>
      </c>
      <c r="F42" s="7" t="s">
        <v>195</v>
      </c>
      <c r="G42" s="7" t="s">
        <v>195</v>
      </c>
      <c r="H42" s="7" t="s">
        <v>195</v>
      </c>
      <c r="I42" s="7" t="s">
        <v>195</v>
      </c>
      <c r="J42" s="7" t="s">
        <v>195</v>
      </c>
      <c r="K42" s="7" t="s">
        <v>195</v>
      </c>
      <c r="L42" s="7" t="s">
        <v>195</v>
      </c>
      <c r="M42" s="7" t="s">
        <v>29</v>
      </c>
      <c r="N42" s="7" t="s">
        <v>29</v>
      </c>
      <c r="O42" s="7" t="s">
        <v>29</v>
      </c>
      <c r="P42" s="7" t="s">
        <v>29</v>
      </c>
      <c r="Q42" s="7" t="s">
        <v>29</v>
      </c>
      <c r="R42" s="7" t="s">
        <v>29</v>
      </c>
      <c r="S42" s="7" t="s">
        <v>29</v>
      </c>
    </row>
    <row r="43" spans="2:19">
      <c r="B43" s="7" t="s">
        <v>195</v>
      </c>
      <c r="C43" s="8" t="s">
        <v>195</v>
      </c>
      <c r="D43" s="6" t="str">
        <f>LRTRIM(CONCATENATE(IF(SUMPRODUCT(-- ISNUMBER(SEARCH({"Auto Number"}, $B43))) &gt; 0, $B43, IF(SUMPRODUCT(-- ISNUMBER(SEARCH({"Lookup","Master-Detail"}, $B43))) &gt; 0,$B43 &amp; "(" &amp; $E43 &amp; ")",IF(SUMPRODUCT(-- ISNUMBER(SEARCH({"Formula","Roll-Up Summary"}, $B43))) &gt; 0,$B43 &amp; " (" &amp; $E43 &amp; ")",IF(SUMPRODUCT(-- ISNUMBER(SEARCH({"Content","Currency","Number","Percent","Text","URL"}, $B43))) &gt; 0,$B43 &amp; "(" &amp; $C43 &amp; ")",$B43)))), "  ", TRIM(IF($S43 = "YES", "(External ID)", "") &amp; " " &amp; IF(SUMPRODUCT(-- ISNUMBER(SEARCH({"Unique","Unique Case Insensitive"}, $R43))) &gt; 0, "(" &amp; $R43 &amp; ")", ""))))</f>
        <v>na</v>
      </c>
      <c r="E43" s="7" t="s">
        <v>195</v>
      </c>
      <c r="F43" s="7" t="s">
        <v>195</v>
      </c>
      <c r="G43" s="7" t="s">
        <v>195</v>
      </c>
      <c r="H43" s="7" t="s">
        <v>195</v>
      </c>
      <c r="I43" s="7" t="s">
        <v>195</v>
      </c>
      <c r="J43" s="7" t="s">
        <v>195</v>
      </c>
      <c r="K43" s="7" t="s">
        <v>195</v>
      </c>
      <c r="L43" s="7" t="s">
        <v>195</v>
      </c>
      <c r="M43" s="7" t="s">
        <v>29</v>
      </c>
      <c r="N43" s="7" t="s">
        <v>29</v>
      </c>
      <c r="O43" s="7" t="s">
        <v>29</v>
      </c>
      <c r="P43" s="7" t="s">
        <v>29</v>
      </c>
      <c r="Q43" s="7" t="s">
        <v>29</v>
      </c>
      <c r="R43" s="7" t="s">
        <v>29</v>
      </c>
      <c r="S43" s="7" t="s">
        <v>29</v>
      </c>
    </row>
    <row r="44" spans="2:19">
      <c r="B44" s="7" t="s">
        <v>195</v>
      </c>
      <c r="C44" s="8" t="s">
        <v>195</v>
      </c>
      <c r="D44" s="6" t="str">
        <f>LRTRIM(CONCATENATE(IF(SUMPRODUCT(-- ISNUMBER(SEARCH({"Auto Number"}, $B44))) &gt; 0, $B44, IF(SUMPRODUCT(-- ISNUMBER(SEARCH({"Lookup","Master-Detail"}, $B44))) &gt; 0,$B44 &amp; "(" &amp; $E44 &amp; ")",IF(SUMPRODUCT(-- ISNUMBER(SEARCH({"Formula","Roll-Up Summary"}, $B44))) &gt; 0,$B44 &amp; " (" &amp; $E44 &amp; ")",IF(SUMPRODUCT(-- ISNUMBER(SEARCH({"Content","Currency","Number","Percent","Text","URL"}, $B44))) &gt; 0,$B44 &amp; "(" &amp; $C44 &amp; ")",$B44)))), "  ", TRIM(IF($S44 = "YES", "(External ID)", "") &amp; " " &amp; IF(SUMPRODUCT(-- ISNUMBER(SEARCH({"Unique","Unique Case Insensitive"}, $R44))) &gt; 0, "(" &amp; $R44 &amp; ")", ""))))</f>
        <v>na</v>
      </c>
      <c r="E44" s="7" t="s">
        <v>195</v>
      </c>
      <c r="F44" s="7" t="s">
        <v>195</v>
      </c>
      <c r="G44" s="7" t="s">
        <v>195</v>
      </c>
      <c r="H44" s="7" t="s">
        <v>195</v>
      </c>
      <c r="I44" s="7" t="s">
        <v>195</v>
      </c>
      <c r="J44" s="7" t="s">
        <v>195</v>
      </c>
      <c r="K44" s="7" t="s">
        <v>195</v>
      </c>
      <c r="L44" s="7" t="s">
        <v>195</v>
      </c>
      <c r="M44" s="7" t="s">
        <v>29</v>
      </c>
      <c r="N44" s="7" t="s">
        <v>29</v>
      </c>
      <c r="O44" s="7" t="s">
        <v>29</v>
      </c>
      <c r="P44" s="7" t="s">
        <v>29</v>
      </c>
      <c r="Q44" s="7" t="s">
        <v>29</v>
      </c>
      <c r="R44" s="7" t="s">
        <v>29</v>
      </c>
      <c r="S44" s="7" t="s">
        <v>29</v>
      </c>
    </row>
    <row r="45" spans="2:19">
      <c r="B45" s="7" t="s">
        <v>195</v>
      </c>
      <c r="C45" s="8" t="s">
        <v>195</v>
      </c>
      <c r="D45" s="6" t="str">
        <f>LRTRIM(CONCATENATE(IF(SUMPRODUCT(-- ISNUMBER(SEARCH({"Auto Number"}, $B45))) &gt; 0, $B45, IF(SUMPRODUCT(-- ISNUMBER(SEARCH({"Lookup","Master-Detail"}, $B45))) &gt; 0,$B45 &amp; "(" &amp; $E45 &amp; ")",IF(SUMPRODUCT(-- ISNUMBER(SEARCH({"Formula","Roll-Up Summary"}, $B45))) &gt; 0,$B45 &amp; " (" &amp; $E45 &amp; ")",IF(SUMPRODUCT(-- ISNUMBER(SEARCH({"Content","Currency","Number","Percent","Text","URL"}, $B45))) &gt; 0,$B45 &amp; "(" &amp; $C45 &amp; ")",$B45)))), "  ", TRIM(IF($S45 = "YES", "(External ID)", "") &amp; " " &amp; IF(SUMPRODUCT(-- ISNUMBER(SEARCH({"Unique","Unique Case Insensitive"}, $R45))) &gt; 0, "(" &amp; $R45 &amp; ")", ""))))</f>
        <v>na</v>
      </c>
      <c r="E45" s="7" t="s">
        <v>195</v>
      </c>
      <c r="F45" s="7" t="s">
        <v>195</v>
      </c>
      <c r="G45" s="7" t="s">
        <v>195</v>
      </c>
      <c r="H45" s="7" t="s">
        <v>195</v>
      </c>
      <c r="I45" s="7" t="s">
        <v>195</v>
      </c>
      <c r="J45" s="7" t="s">
        <v>195</v>
      </c>
      <c r="K45" s="7" t="s">
        <v>195</v>
      </c>
      <c r="L45" s="7" t="s">
        <v>195</v>
      </c>
      <c r="M45" s="7" t="s">
        <v>29</v>
      </c>
      <c r="N45" s="7" t="s">
        <v>29</v>
      </c>
      <c r="O45" s="7" t="s">
        <v>29</v>
      </c>
      <c r="P45" s="7" t="s">
        <v>29</v>
      </c>
      <c r="Q45" s="7" t="s">
        <v>29</v>
      </c>
      <c r="R45" s="7" t="s">
        <v>29</v>
      </c>
      <c r="S45" s="7" t="s">
        <v>29</v>
      </c>
    </row>
    <row r="46" spans="2:19">
      <c r="B46" s="7" t="s">
        <v>195</v>
      </c>
      <c r="C46" s="8" t="s">
        <v>195</v>
      </c>
      <c r="D46" s="6" t="str">
        <f>LRTRIM(CONCATENATE(IF(SUMPRODUCT(-- ISNUMBER(SEARCH({"Auto Number"}, $B46))) &gt; 0, $B46, IF(SUMPRODUCT(-- ISNUMBER(SEARCH({"Lookup","Master-Detail"}, $B46))) &gt; 0,$B46 &amp; "(" &amp; $E46 &amp; ")",IF(SUMPRODUCT(-- ISNUMBER(SEARCH({"Formula","Roll-Up Summary"}, $B46))) &gt; 0,$B46 &amp; " (" &amp; $E46 &amp; ")",IF(SUMPRODUCT(-- ISNUMBER(SEARCH({"Content","Currency","Number","Percent","Text","URL"}, $B46))) &gt; 0,$B46 &amp; "(" &amp; $C46 &amp; ")",$B46)))), "  ", TRIM(IF($S46 = "YES", "(External ID)", "") &amp; " " &amp; IF(SUMPRODUCT(-- ISNUMBER(SEARCH({"Unique","Unique Case Insensitive"}, $R46))) &gt; 0, "(" &amp; $R46 &amp; ")", ""))))</f>
        <v>na</v>
      </c>
      <c r="E46" s="7" t="s">
        <v>195</v>
      </c>
      <c r="F46" s="7" t="s">
        <v>195</v>
      </c>
      <c r="G46" s="7" t="s">
        <v>195</v>
      </c>
      <c r="H46" s="7" t="s">
        <v>195</v>
      </c>
      <c r="I46" s="7" t="s">
        <v>195</v>
      </c>
      <c r="J46" s="7" t="s">
        <v>195</v>
      </c>
      <c r="K46" s="7" t="s">
        <v>195</v>
      </c>
      <c r="L46" s="7" t="s">
        <v>195</v>
      </c>
      <c r="M46" s="7" t="s">
        <v>29</v>
      </c>
      <c r="N46" s="7" t="s">
        <v>29</v>
      </c>
      <c r="O46" s="7" t="s">
        <v>29</v>
      </c>
      <c r="P46" s="7" t="s">
        <v>29</v>
      </c>
      <c r="Q46" s="7" t="s">
        <v>29</v>
      </c>
      <c r="R46" s="7" t="s">
        <v>29</v>
      </c>
      <c r="S46" s="7" t="s">
        <v>29</v>
      </c>
    </row>
    <row r="47" spans="2:19">
      <c r="B47" s="7" t="s">
        <v>195</v>
      </c>
      <c r="C47" s="8" t="s">
        <v>195</v>
      </c>
      <c r="D47" s="6" t="str">
        <f>LRTRIM(CONCATENATE(IF(SUMPRODUCT(-- ISNUMBER(SEARCH({"Auto Number"}, $B47))) &gt; 0, $B47, IF(SUMPRODUCT(-- ISNUMBER(SEARCH({"Lookup","Master-Detail"}, $B47))) &gt; 0,$B47 &amp; "(" &amp; $E47 &amp; ")",IF(SUMPRODUCT(-- ISNUMBER(SEARCH({"Formula","Roll-Up Summary"}, $B47))) &gt; 0,$B47 &amp; " (" &amp; $E47 &amp; ")",IF(SUMPRODUCT(-- ISNUMBER(SEARCH({"Content","Currency","Number","Percent","Text","URL"}, $B47))) &gt; 0,$B47 &amp; "(" &amp; $C47 &amp; ")",$B47)))), "  ", TRIM(IF($S47 = "YES", "(External ID)", "") &amp; " " &amp; IF(SUMPRODUCT(-- ISNUMBER(SEARCH({"Unique","Unique Case Insensitive"}, $R47))) &gt; 0, "(" &amp; $R47 &amp; ")", ""))))</f>
        <v>na</v>
      </c>
      <c r="E47" s="7" t="s">
        <v>195</v>
      </c>
      <c r="F47" s="7" t="s">
        <v>195</v>
      </c>
      <c r="G47" s="7" t="s">
        <v>195</v>
      </c>
      <c r="H47" s="7" t="s">
        <v>195</v>
      </c>
      <c r="I47" s="7" t="s">
        <v>195</v>
      </c>
      <c r="J47" s="7" t="s">
        <v>195</v>
      </c>
      <c r="K47" s="7" t="s">
        <v>195</v>
      </c>
      <c r="L47" s="7" t="s">
        <v>195</v>
      </c>
      <c r="M47" s="7" t="s">
        <v>29</v>
      </c>
      <c r="N47" s="7" t="s">
        <v>29</v>
      </c>
      <c r="O47" s="7" t="s">
        <v>29</v>
      </c>
      <c r="P47" s="7" t="s">
        <v>29</v>
      </c>
      <c r="Q47" s="7" t="s">
        <v>29</v>
      </c>
      <c r="R47" s="7" t="s">
        <v>29</v>
      </c>
      <c r="S47" s="7" t="s">
        <v>29</v>
      </c>
    </row>
    <row r="48" spans="2:19">
      <c r="B48" s="7" t="s">
        <v>195</v>
      </c>
      <c r="C48" s="8" t="s">
        <v>195</v>
      </c>
      <c r="D48" s="6" t="str">
        <f>LRTRIM(CONCATENATE(IF(SUMPRODUCT(-- ISNUMBER(SEARCH({"Auto Number"}, $B48))) &gt; 0, $B48, IF(SUMPRODUCT(-- ISNUMBER(SEARCH({"Lookup","Master-Detail"}, $B48))) &gt; 0,$B48 &amp; "(" &amp; $E48 &amp; ")",IF(SUMPRODUCT(-- ISNUMBER(SEARCH({"Formula","Roll-Up Summary"}, $B48))) &gt; 0,$B48 &amp; " (" &amp; $E48 &amp; ")",IF(SUMPRODUCT(-- ISNUMBER(SEARCH({"Content","Currency","Number","Percent","Text","URL"}, $B48))) &gt; 0,$B48 &amp; "(" &amp; $C48 &amp; ")",$B48)))), "  ", TRIM(IF($S48 = "YES", "(External ID)", "") &amp; " " &amp; IF(SUMPRODUCT(-- ISNUMBER(SEARCH({"Unique","Unique Case Insensitive"}, $R48))) &gt; 0, "(" &amp; $R48 &amp; ")", ""))))</f>
        <v>na</v>
      </c>
      <c r="E48" s="7" t="s">
        <v>195</v>
      </c>
      <c r="F48" s="7" t="s">
        <v>195</v>
      </c>
      <c r="G48" s="7" t="s">
        <v>195</v>
      </c>
      <c r="H48" s="7" t="s">
        <v>195</v>
      </c>
      <c r="I48" s="7" t="s">
        <v>195</v>
      </c>
      <c r="J48" s="7" t="s">
        <v>195</v>
      </c>
      <c r="K48" s="7" t="s">
        <v>195</v>
      </c>
      <c r="L48" s="7" t="s">
        <v>195</v>
      </c>
      <c r="M48" s="7" t="s">
        <v>29</v>
      </c>
      <c r="N48" s="7" t="s">
        <v>29</v>
      </c>
      <c r="O48" s="7" t="s">
        <v>29</v>
      </c>
      <c r="P48" s="7" t="s">
        <v>29</v>
      </c>
      <c r="Q48" s="7" t="s">
        <v>29</v>
      </c>
      <c r="R48" s="7" t="s">
        <v>29</v>
      </c>
      <c r="S48" s="7" t="s">
        <v>29</v>
      </c>
    </row>
    <row r="49" spans="2:19">
      <c r="B49" s="7" t="s">
        <v>195</v>
      </c>
      <c r="C49" s="8" t="s">
        <v>195</v>
      </c>
      <c r="D49" s="6" t="str">
        <f>LRTRIM(CONCATENATE(IF(SUMPRODUCT(-- ISNUMBER(SEARCH({"Auto Number"}, $B49))) &gt; 0, $B49, IF(SUMPRODUCT(-- ISNUMBER(SEARCH({"Lookup","Master-Detail"}, $B49))) &gt; 0,$B49 &amp; "(" &amp; $E49 &amp; ")",IF(SUMPRODUCT(-- ISNUMBER(SEARCH({"Formula","Roll-Up Summary"}, $B49))) &gt; 0,$B49 &amp; " (" &amp; $E49 &amp; ")",IF(SUMPRODUCT(-- ISNUMBER(SEARCH({"Content","Currency","Number","Percent","Text","URL"}, $B49))) &gt; 0,$B49 &amp; "(" &amp; $C49 &amp; ")",$B49)))), "  ", TRIM(IF($S49 = "YES", "(External ID)", "") &amp; " " &amp; IF(SUMPRODUCT(-- ISNUMBER(SEARCH({"Unique","Unique Case Insensitive"}, $R49))) &gt; 0, "(" &amp; $R49 &amp; ")", ""))))</f>
        <v>na</v>
      </c>
      <c r="E49" s="7" t="s">
        <v>195</v>
      </c>
      <c r="F49" s="7" t="s">
        <v>195</v>
      </c>
      <c r="G49" s="7" t="s">
        <v>195</v>
      </c>
      <c r="H49" s="7" t="s">
        <v>195</v>
      </c>
      <c r="I49" s="7" t="s">
        <v>195</v>
      </c>
      <c r="J49" s="7" t="s">
        <v>195</v>
      </c>
      <c r="K49" s="7" t="s">
        <v>195</v>
      </c>
      <c r="L49" s="7" t="s">
        <v>195</v>
      </c>
      <c r="M49" s="7" t="s">
        <v>29</v>
      </c>
      <c r="N49" s="7" t="s">
        <v>29</v>
      </c>
      <c r="O49" s="7" t="s">
        <v>29</v>
      </c>
      <c r="P49" s="7" t="s">
        <v>29</v>
      </c>
      <c r="Q49" s="7" t="s">
        <v>29</v>
      </c>
      <c r="R49" s="7" t="s">
        <v>29</v>
      </c>
      <c r="S49" s="7" t="s">
        <v>29</v>
      </c>
    </row>
    <row r="50" spans="2:19">
      <c r="B50" s="7" t="s">
        <v>195</v>
      </c>
      <c r="C50" s="8" t="s">
        <v>195</v>
      </c>
      <c r="D50" s="6" t="str">
        <f>LRTRIM(CONCATENATE(IF(SUMPRODUCT(-- ISNUMBER(SEARCH({"Auto Number"}, $B50))) &gt; 0, $B50, IF(SUMPRODUCT(-- ISNUMBER(SEARCH({"Lookup","Master-Detail"}, $B50))) &gt; 0,$B50 &amp; "(" &amp; $E50 &amp; ")",IF(SUMPRODUCT(-- ISNUMBER(SEARCH({"Formula","Roll-Up Summary"}, $B50))) &gt; 0,$B50 &amp; " (" &amp; $E50 &amp; ")",IF(SUMPRODUCT(-- ISNUMBER(SEARCH({"Content","Currency","Number","Percent","Text","URL"}, $B50))) &gt; 0,$B50 &amp; "(" &amp; $C50 &amp; ")",$B50)))), "  ", TRIM(IF($S50 = "YES", "(External ID)", "") &amp; " " &amp; IF(SUMPRODUCT(-- ISNUMBER(SEARCH({"Unique","Unique Case Insensitive"}, $R50))) &gt; 0, "(" &amp; $R50 &amp; ")", ""))))</f>
        <v>na</v>
      </c>
      <c r="E50" s="7" t="s">
        <v>195</v>
      </c>
      <c r="F50" s="7" t="s">
        <v>195</v>
      </c>
      <c r="G50" s="7" t="s">
        <v>195</v>
      </c>
      <c r="H50" s="7" t="s">
        <v>195</v>
      </c>
      <c r="I50" s="7" t="s">
        <v>195</v>
      </c>
      <c r="J50" s="7" t="s">
        <v>195</v>
      </c>
      <c r="K50" s="7" t="s">
        <v>195</v>
      </c>
      <c r="L50" s="7" t="s">
        <v>195</v>
      </c>
      <c r="M50" s="7" t="s">
        <v>29</v>
      </c>
      <c r="N50" s="7" t="s">
        <v>29</v>
      </c>
      <c r="O50" s="7" t="s">
        <v>29</v>
      </c>
      <c r="P50" s="7" t="s">
        <v>29</v>
      </c>
      <c r="Q50" s="7" t="s">
        <v>29</v>
      </c>
      <c r="R50" s="7" t="s">
        <v>29</v>
      </c>
      <c r="S50" s="7" t="s">
        <v>29</v>
      </c>
    </row>
    <row r="51" spans="2:19">
      <c r="B51" s="7" t="s">
        <v>195</v>
      </c>
      <c r="C51" s="8" t="s">
        <v>195</v>
      </c>
      <c r="D51" s="6" t="str">
        <f>LRTRIM(CONCATENATE(IF(SUMPRODUCT(-- ISNUMBER(SEARCH({"Auto Number"}, $B51))) &gt; 0, $B51, IF(SUMPRODUCT(-- ISNUMBER(SEARCH({"Lookup","Master-Detail"}, $B51))) &gt; 0,$B51 &amp; "(" &amp; $E51 &amp; ")",IF(SUMPRODUCT(-- ISNUMBER(SEARCH({"Formula","Roll-Up Summary"}, $B51))) &gt; 0,$B51 &amp; " (" &amp; $E51 &amp; ")",IF(SUMPRODUCT(-- ISNUMBER(SEARCH({"Content","Currency","Number","Percent","Text","URL"}, $B51))) &gt; 0,$B51 &amp; "(" &amp; $C51 &amp; ")",$B51)))), "  ", TRIM(IF($S51 = "YES", "(External ID)", "") &amp; " " &amp; IF(SUMPRODUCT(-- ISNUMBER(SEARCH({"Unique","Unique Case Insensitive"}, $R51))) &gt; 0, "(" &amp; $R51 &amp; ")", ""))))</f>
        <v>na</v>
      </c>
      <c r="E51" s="7" t="s">
        <v>195</v>
      </c>
      <c r="F51" s="7" t="s">
        <v>195</v>
      </c>
      <c r="G51" s="7" t="s">
        <v>195</v>
      </c>
      <c r="H51" s="7" t="s">
        <v>195</v>
      </c>
      <c r="I51" s="7" t="s">
        <v>195</v>
      </c>
      <c r="J51" s="7" t="s">
        <v>195</v>
      </c>
      <c r="K51" s="7" t="s">
        <v>195</v>
      </c>
      <c r="L51" s="7" t="s">
        <v>195</v>
      </c>
      <c r="M51" s="7" t="s">
        <v>29</v>
      </c>
      <c r="N51" s="7" t="s">
        <v>29</v>
      </c>
      <c r="O51" s="7" t="s">
        <v>29</v>
      </c>
      <c r="P51" s="7" t="s">
        <v>29</v>
      </c>
      <c r="Q51" s="7" t="s">
        <v>29</v>
      </c>
      <c r="R51" s="7" t="s">
        <v>29</v>
      </c>
      <c r="S51" s="7" t="s">
        <v>29</v>
      </c>
    </row>
    <row r="52" spans="2:19">
      <c r="B52" s="7" t="s">
        <v>195</v>
      </c>
      <c r="C52" s="8" t="s">
        <v>195</v>
      </c>
      <c r="D52" s="6" t="str">
        <f>LRTRIM(CONCATENATE(IF(SUMPRODUCT(-- ISNUMBER(SEARCH({"Auto Number"}, $B52))) &gt; 0, $B52, IF(SUMPRODUCT(-- ISNUMBER(SEARCH({"Lookup","Master-Detail"}, $B52))) &gt; 0,$B52 &amp; "(" &amp; $E52 &amp; ")",IF(SUMPRODUCT(-- ISNUMBER(SEARCH({"Formula","Roll-Up Summary"}, $B52))) &gt; 0,$B52 &amp; " (" &amp; $E52 &amp; ")",IF(SUMPRODUCT(-- ISNUMBER(SEARCH({"Content","Currency","Number","Percent","Text","URL"}, $B52))) &gt; 0,$B52 &amp; "(" &amp; $C52 &amp; ")",$B52)))), "  ", TRIM(IF($S52 = "YES", "(External ID)", "") &amp; " " &amp; IF(SUMPRODUCT(-- ISNUMBER(SEARCH({"Unique","Unique Case Insensitive"}, $R52))) &gt; 0, "(" &amp; $R52 &amp; ")", ""))))</f>
        <v>na</v>
      </c>
      <c r="E52" s="7" t="s">
        <v>195</v>
      </c>
      <c r="F52" s="7" t="s">
        <v>195</v>
      </c>
      <c r="G52" s="7" t="s">
        <v>195</v>
      </c>
      <c r="H52" s="7" t="s">
        <v>195</v>
      </c>
      <c r="I52" s="7" t="s">
        <v>195</v>
      </c>
      <c r="J52" s="7" t="s">
        <v>195</v>
      </c>
      <c r="K52" s="7" t="s">
        <v>195</v>
      </c>
      <c r="L52" s="7" t="s">
        <v>195</v>
      </c>
      <c r="M52" s="7" t="s">
        <v>29</v>
      </c>
      <c r="N52" s="7" t="s">
        <v>29</v>
      </c>
      <c r="O52" s="7" t="s">
        <v>29</v>
      </c>
      <c r="P52" s="7" t="s">
        <v>29</v>
      </c>
      <c r="Q52" s="7" t="s">
        <v>29</v>
      </c>
      <c r="R52" s="7" t="s">
        <v>29</v>
      </c>
      <c r="S52" s="7" t="s">
        <v>29</v>
      </c>
    </row>
    <row r="53" spans="2:19">
      <c r="B53" s="7" t="s">
        <v>195</v>
      </c>
      <c r="C53" s="8" t="s">
        <v>195</v>
      </c>
      <c r="D53" s="6" t="str">
        <f>LRTRIM(CONCATENATE(IF(SUMPRODUCT(-- ISNUMBER(SEARCH({"Auto Number"}, $B53))) &gt; 0, $B53, IF(SUMPRODUCT(-- ISNUMBER(SEARCH({"Lookup","Master-Detail"}, $B53))) &gt; 0,$B53 &amp; "(" &amp; $E53 &amp; ")",IF(SUMPRODUCT(-- ISNUMBER(SEARCH({"Formula","Roll-Up Summary"}, $B53))) &gt; 0,$B53 &amp; " (" &amp; $E53 &amp; ")",IF(SUMPRODUCT(-- ISNUMBER(SEARCH({"Content","Currency","Number","Percent","Text","URL"}, $B53))) &gt; 0,$B53 &amp; "(" &amp; $C53 &amp; ")",$B53)))), "  ", TRIM(IF($S53 = "YES", "(External ID)", "") &amp; " " &amp; IF(SUMPRODUCT(-- ISNUMBER(SEARCH({"Unique","Unique Case Insensitive"}, $R53))) &gt; 0, "(" &amp; $R53 &amp; ")", ""))))</f>
        <v>na</v>
      </c>
      <c r="E53" s="7" t="s">
        <v>195</v>
      </c>
      <c r="F53" s="7" t="s">
        <v>195</v>
      </c>
      <c r="G53" s="7" t="s">
        <v>195</v>
      </c>
      <c r="H53" s="7" t="s">
        <v>195</v>
      </c>
      <c r="I53" s="7" t="s">
        <v>195</v>
      </c>
      <c r="J53" s="7" t="s">
        <v>195</v>
      </c>
      <c r="K53" s="7" t="s">
        <v>195</v>
      </c>
      <c r="L53" s="7" t="s">
        <v>195</v>
      </c>
      <c r="M53" s="7" t="s">
        <v>29</v>
      </c>
      <c r="N53" s="7" t="s">
        <v>29</v>
      </c>
      <c r="O53" s="7" t="s">
        <v>29</v>
      </c>
      <c r="P53" s="7" t="s">
        <v>29</v>
      </c>
      <c r="Q53" s="7" t="s">
        <v>29</v>
      </c>
      <c r="R53" s="7" t="s">
        <v>29</v>
      </c>
      <c r="S53" s="7" t="s">
        <v>29</v>
      </c>
    </row>
    <row r="54" spans="2:19">
      <c r="B54" s="7" t="s">
        <v>195</v>
      </c>
      <c r="C54" s="8" t="s">
        <v>195</v>
      </c>
      <c r="D54" s="6" t="str">
        <f>LRTRIM(CONCATENATE(IF(SUMPRODUCT(-- ISNUMBER(SEARCH({"Auto Number"}, $B54))) &gt; 0, $B54, IF(SUMPRODUCT(-- ISNUMBER(SEARCH({"Lookup","Master-Detail"}, $B54))) &gt; 0,$B54 &amp; "(" &amp; $E54 &amp; ")",IF(SUMPRODUCT(-- ISNUMBER(SEARCH({"Formula","Roll-Up Summary"}, $B54))) &gt; 0,$B54 &amp; " (" &amp; $E54 &amp; ")",IF(SUMPRODUCT(-- ISNUMBER(SEARCH({"Content","Currency","Number","Percent","Text","URL"}, $B54))) &gt; 0,$B54 &amp; "(" &amp; $C54 &amp; ")",$B54)))), "  ", TRIM(IF($S54 = "YES", "(External ID)", "") &amp; " " &amp; IF(SUMPRODUCT(-- ISNUMBER(SEARCH({"Unique","Unique Case Insensitive"}, $R54))) &gt; 0, "(" &amp; $R54 &amp; ")", ""))))</f>
        <v>na</v>
      </c>
      <c r="E54" s="7" t="s">
        <v>195</v>
      </c>
      <c r="F54" s="7" t="s">
        <v>195</v>
      </c>
      <c r="G54" s="7" t="s">
        <v>195</v>
      </c>
      <c r="H54" s="7" t="s">
        <v>195</v>
      </c>
      <c r="I54" s="7" t="s">
        <v>195</v>
      </c>
      <c r="J54" s="7" t="s">
        <v>195</v>
      </c>
      <c r="K54" s="7" t="s">
        <v>195</v>
      </c>
      <c r="L54" s="7" t="s">
        <v>195</v>
      </c>
      <c r="M54" s="7" t="s">
        <v>29</v>
      </c>
      <c r="N54" s="7" t="s">
        <v>29</v>
      </c>
      <c r="O54" s="7" t="s">
        <v>29</v>
      </c>
      <c r="P54" s="7" t="s">
        <v>29</v>
      </c>
      <c r="Q54" s="7" t="s">
        <v>29</v>
      </c>
      <c r="R54" s="7" t="s">
        <v>29</v>
      </c>
      <c r="S54" s="7" t="s">
        <v>29</v>
      </c>
    </row>
    <row r="55" spans="2:19">
      <c r="B55" s="7" t="s">
        <v>195</v>
      </c>
      <c r="C55" s="8" t="s">
        <v>195</v>
      </c>
      <c r="D55" s="6" t="str">
        <f>LRTRIM(CONCATENATE(IF(SUMPRODUCT(-- ISNUMBER(SEARCH({"Auto Number"}, $B55))) &gt; 0, $B55, IF(SUMPRODUCT(-- ISNUMBER(SEARCH({"Lookup","Master-Detail"}, $B55))) &gt; 0,$B55 &amp; "(" &amp; $E55 &amp; ")",IF(SUMPRODUCT(-- ISNUMBER(SEARCH({"Formula","Roll-Up Summary"}, $B55))) &gt; 0,$B55 &amp; " (" &amp; $E55 &amp; ")",IF(SUMPRODUCT(-- ISNUMBER(SEARCH({"Content","Currency","Number","Percent","Text","URL"}, $B55))) &gt; 0,$B55 &amp; "(" &amp; $C55 &amp; ")",$B55)))), "  ", TRIM(IF($S55 = "YES", "(External ID)", "") &amp; " " &amp; IF(SUMPRODUCT(-- ISNUMBER(SEARCH({"Unique","Unique Case Insensitive"}, $R55))) &gt; 0, "(" &amp; $R55 &amp; ")", ""))))</f>
        <v>na</v>
      </c>
      <c r="E55" s="7" t="s">
        <v>195</v>
      </c>
      <c r="F55" s="7" t="s">
        <v>195</v>
      </c>
      <c r="G55" s="7" t="s">
        <v>195</v>
      </c>
      <c r="H55" s="7" t="s">
        <v>195</v>
      </c>
      <c r="I55" s="7" t="s">
        <v>195</v>
      </c>
      <c r="J55" s="7" t="s">
        <v>195</v>
      </c>
      <c r="K55" s="7" t="s">
        <v>195</v>
      </c>
      <c r="L55" s="7" t="s">
        <v>195</v>
      </c>
      <c r="M55" s="7" t="s">
        <v>29</v>
      </c>
      <c r="N55" s="7" t="s">
        <v>29</v>
      </c>
      <c r="O55" s="7" t="s">
        <v>29</v>
      </c>
      <c r="P55" s="7" t="s">
        <v>29</v>
      </c>
      <c r="Q55" s="7" t="s">
        <v>29</v>
      </c>
      <c r="R55" s="7" t="s">
        <v>29</v>
      </c>
      <c r="S55" s="7" t="s">
        <v>29</v>
      </c>
    </row>
    <row r="56" spans="2:19">
      <c r="B56" s="7" t="s">
        <v>195</v>
      </c>
      <c r="C56" s="8" t="s">
        <v>195</v>
      </c>
      <c r="D56" s="6" t="str">
        <f>LRTRIM(CONCATENATE(IF(SUMPRODUCT(-- ISNUMBER(SEARCH({"Auto Number"}, $B56))) &gt; 0, $B56, IF(SUMPRODUCT(-- ISNUMBER(SEARCH({"Lookup","Master-Detail"}, $B56))) &gt; 0,$B56 &amp; "(" &amp; $E56 &amp; ")",IF(SUMPRODUCT(-- ISNUMBER(SEARCH({"Formula","Roll-Up Summary"}, $B56))) &gt; 0,$B56 &amp; " (" &amp; $E56 &amp; ")",IF(SUMPRODUCT(-- ISNUMBER(SEARCH({"Content","Currency","Number","Percent","Text","URL"}, $B56))) &gt; 0,$B56 &amp; "(" &amp; $C56 &amp; ")",$B56)))), "  ", TRIM(IF($S56 = "YES", "(External ID)", "") &amp; " " &amp; IF(SUMPRODUCT(-- ISNUMBER(SEARCH({"Unique","Unique Case Insensitive"}, $R56))) &gt; 0, "(" &amp; $R56 &amp; ")", ""))))</f>
        <v>na</v>
      </c>
      <c r="E56" s="7" t="s">
        <v>195</v>
      </c>
      <c r="F56" s="7" t="s">
        <v>195</v>
      </c>
      <c r="G56" s="7" t="s">
        <v>195</v>
      </c>
      <c r="H56" s="7" t="s">
        <v>195</v>
      </c>
      <c r="I56" s="7" t="s">
        <v>195</v>
      </c>
      <c r="J56" s="7" t="s">
        <v>195</v>
      </c>
      <c r="K56" s="7" t="s">
        <v>195</v>
      </c>
      <c r="L56" s="7" t="s">
        <v>195</v>
      </c>
      <c r="M56" s="7" t="s">
        <v>29</v>
      </c>
      <c r="N56" s="7" t="s">
        <v>29</v>
      </c>
      <c r="O56" s="7" t="s">
        <v>29</v>
      </c>
      <c r="P56" s="7" t="s">
        <v>29</v>
      </c>
      <c r="Q56" s="7" t="s">
        <v>29</v>
      </c>
      <c r="R56" s="7" t="s">
        <v>29</v>
      </c>
      <c r="S56" s="7" t="s">
        <v>29</v>
      </c>
    </row>
    <row r="57" spans="2:19">
      <c r="B57" s="7" t="s">
        <v>195</v>
      </c>
      <c r="C57" s="8" t="s">
        <v>195</v>
      </c>
      <c r="D57" s="6" t="str">
        <f>LRTRIM(CONCATENATE(IF(SUMPRODUCT(-- ISNUMBER(SEARCH({"Auto Number"}, $B57))) &gt; 0, $B57, IF(SUMPRODUCT(-- ISNUMBER(SEARCH({"Lookup","Master-Detail"}, $B57))) &gt; 0,$B57 &amp; "(" &amp; $E57 &amp; ")",IF(SUMPRODUCT(-- ISNUMBER(SEARCH({"Formula","Roll-Up Summary"}, $B57))) &gt; 0,$B57 &amp; " (" &amp; $E57 &amp; ")",IF(SUMPRODUCT(-- ISNUMBER(SEARCH({"Content","Currency","Number","Percent","Text","URL"}, $B57))) &gt; 0,$B57 &amp; "(" &amp; $C57 &amp; ")",$B57)))), "  ", TRIM(IF($S57 = "YES", "(External ID)", "") &amp; " " &amp; IF(SUMPRODUCT(-- ISNUMBER(SEARCH({"Unique","Unique Case Insensitive"}, $R57))) &gt; 0, "(" &amp; $R57 &amp; ")", ""))))</f>
        <v>na</v>
      </c>
      <c r="E57" s="7" t="s">
        <v>195</v>
      </c>
      <c r="F57" s="7" t="s">
        <v>195</v>
      </c>
      <c r="G57" s="7" t="s">
        <v>195</v>
      </c>
      <c r="H57" s="7" t="s">
        <v>195</v>
      </c>
      <c r="I57" s="7" t="s">
        <v>195</v>
      </c>
      <c r="J57" s="7" t="s">
        <v>195</v>
      </c>
      <c r="K57" s="7" t="s">
        <v>195</v>
      </c>
      <c r="L57" s="7" t="s">
        <v>195</v>
      </c>
      <c r="M57" s="7" t="s">
        <v>29</v>
      </c>
      <c r="N57" s="7" t="s">
        <v>29</v>
      </c>
      <c r="O57" s="7" t="s">
        <v>29</v>
      </c>
      <c r="P57" s="7" t="s">
        <v>29</v>
      </c>
      <c r="Q57" s="7" t="s">
        <v>29</v>
      </c>
      <c r="R57" s="7" t="s">
        <v>29</v>
      </c>
      <c r="S57" s="7" t="s">
        <v>29</v>
      </c>
    </row>
    <row r="58" spans="2:19">
      <c r="B58" s="7" t="s">
        <v>195</v>
      </c>
      <c r="C58" s="8" t="s">
        <v>195</v>
      </c>
      <c r="D58" s="6" t="str">
        <f>LRTRIM(CONCATENATE(IF(SUMPRODUCT(-- ISNUMBER(SEARCH({"Auto Number"}, $B58))) &gt; 0, $B58, IF(SUMPRODUCT(-- ISNUMBER(SEARCH({"Lookup","Master-Detail"}, $B58))) &gt; 0,$B58 &amp; "(" &amp; $E58 &amp; ")",IF(SUMPRODUCT(-- ISNUMBER(SEARCH({"Formula","Roll-Up Summary"}, $B58))) &gt; 0,$B58 &amp; " (" &amp; $E58 &amp; ")",IF(SUMPRODUCT(-- ISNUMBER(SEARCH({"Content","Currency","Number","Percent","Text","URL"}, $B58))) &gt; 0,$B58 &amp; "(" &amp; $C58 &amp; ")",$B58)))), "  ", TRIM(IF($S58 = "YES", "(External ID)", "") &amp; " " &amp; IF(SUMPRODUCT(-- ISNUMBER(SEARCH({"Unique","Unique Case Insensitive"}, $R58))) &gt; 0, "(" &amp; $R58 &amp; ")", ""))))</f>
        <v>na</v>
      </c>
      <c r="E58" s="7" t="s">
        <v>195</v>
      </c>
      <c r="F58" s="7" t="s">
        <v>195</v>
      </c>
      <c r="G58" s="7" t="s">
        <v>195</v>
      </c>
      <c r="H58" s="7" t="s">
        <v>195</v>
      </c>
      <c r="I58" s="7" t="s">
        <v>195</v>
      </c>
      <c r="J58" s="7" t="s">
        <v>195</v>
      </c>
      <c r="K58" s="7" t="s">
        <v>195</v>
      </c>
      <c r="L58" s="7" t="s">
        <v>195</v>
      </c>
      <c r="M58" s="7" t="s">
        <v>29</v>
      </c>
      <c r="N58" s="7" t="s">
        <v>29</v>
      </c>
      <c r="O58" s="7" t="s">
        <v>29</v>
      </c>
      <c r="P58" s="7" t="s">
        <v>29</v>
      </c>
      <c r="Q58" s="7" t="s">
        <v>29</v>
      </c>
      <c r="R58" s="7" t="s">
        <v>29</v>
      </c>
      <c r="S58" s="7" t="s">
        <v>29</v>
      </c>
    </row>
    <row r="59" spans="2:19">
      <c r="B59" s="7" t="s">
        <v>195</v>
      </c>
      <c r="C59" s="8" t="s">
        <v>195</v>
      </c>
      <c r="D59" s="6" t="str">
        <f>LRTRIM(CONCATENATE(IF(SUMPRODUCT(-- ISNUMBER(SEARCH({"Auto Number"}, $B59))) &gt; 0, $B59, IF(SUMPRODUCT(-- ISNUMBER(SEARCH({"Lookup","Master-Detail"}, $B59))) &gt; 0,$B59 &amp; "(" &amp; $E59 &amp; ")",IF(SUMPRODUCT(-- ISNUMBER(SEARCH({"Formula","Roll-Up Summary"}, $B59))) &gt; 0,$B59 &amp; " (" &amp; $E59 &amp; ")",IF(SUMPRODUCT(-- ISNUMBER(SEARCH({"Content","Currency","Number","Percent","Text","URL"}, $B59))) &gt; 0,$B59 &amp; "(" &amp; $C59 &amp; ")",$B59)))), "  ", TRIM(IF($S59 = "YES", "(External ID)", "") &amp; " " &amp; IF(SUMPRODUCT(-- ISNUMBER(SEARCH({"Unique","Unique Case Insensitive"}, $R59))) &gt; 0, "(" &amp; $R59 &amp; ")", ""))))</f>
        <v>na</v>
      </c>
      <c r="E59" s="7" t="s">
        <v>195</v>
      </c>
      <c r="F59" s="7" t="s">
        <v>195</v>
      </c>
      <c r="G59" s="7" t="s">
        <v>195</v>
      </c>
      <c r="H59" s="7" t="s">
        <v>195</v>
      </c>
      <c r="I59" s="7" t="s">
        <v>195</v>
      </c>
      <c r="J59" s="7" t="s">
        <v>195</v>
      </c>
      <c r="K59" s="7" t="s">
        <v>195</v>
      </c>
      <c r="L59" s="7" t="s">
        <v>195</v>
      </c>
      <c r="M59" s="7" t="s">
        <v>29</v>
      </c>
      <c r="N59" s="7" t="s">
        <v>29</v>
      </c>
      <c r="O59" s="7" t="s">
        <v>29</v>
      </c>
      <c r="P59" s="7" t="s">
        <v>29</v>
      </c>
      <c r="Q59" s="7" t="s">
        <v>29</v>
      </c>
      <c r="R59" s="7" t="s">
        <v>29</v>
      </c>
      <c r="S59" s="7" t="s">
        <v>29</v>
      </c>
    </row>
    <row r="60" spans="2:19">
      <c r="B60" s="7" t="s">
        <v>195</v>
      </c>
      <c r="C60" s="8" t="s">
        <v>195</v>
      </c>
      <c r="D60" s="6" t="str">
        <f>LRTRIM(CONCATENATE(IF(SUMPRODUCT(-- ISNUMBER(SEARCH({"Auto Number"}, $B60))) &gt; 0, $B60, IF(SUMPRODUCT(-- ISNUMBER(SEARCH({"Lookup","Master-Detail"}, $B60))) &gt; 0,$B60 &amp; "(" &amp; $E60 &amp; ")",IF(SUMPRODUCT(-- ISNUMBER(SEARCH({"Formula","Roll-Up Summary"}, $B60))) &gt; 0,$B60 &amp; " (" &amp; $E60 &amp; ")",IF(SUMPRODUCT(-- ISNUMBER(SEARCH({"Content","Currency","Number","Percent","Text","URL"}, $B60))) &gt; 0,$B60 &amp; "(" &amp; $C60 &amp; ")",$B60)))), "  ", TRIM(IF($S60 = "YES", "(External ID)", "") &amp; " " &amp; IF(SUMPRODUCT(-- ISNUMBER(SEARCH({"Unique","Unique Case Insensitive"}, $R60))) &gt; 0, "(" &amp; $R60 &amp; ")", ""))))</f>
        <v>na</v>
      </c>
      <c r="E60" s="7" t="s">
        <v>195</v>
      </c>
      <c r="F60" s="7" t="s">
        <v>195</v>
      </c>
      <c r="G60" s="7" t="s">
        <v>195</v>
      </c>
      <c r="H60" s="7" t="s">
        <v>195</v>
      </c>
      <c r="I60" s="7" t="s">
        <v>195</v>
      </c>
      <c r="J60" s="7" t="s">
        <v>195</v>
      </c>
      <c r="K60" s="7" t="s">
        <v>195</v>
      </c>
      <c r="L60" s="7" t="s">
        <v>195</v>
      </c>
      <c r="M60" s="7" t="s">
        <v>29</v>
      </c>
      <c r="N60" s="7" t="s">
        <v>29</v>
      </c>
      <c r="O60" s="7" t="s">
        <v>29</v>
      </c>
      <c r="P60" s="7" t="s">
        <v>29</v>
      </c>
      <c r="Q60" s="7" t="s">
        <v>29</v>
      </c>
      <c r="R60" s="7" t="s">
        <v>29</v>
      </c>
      <c r="S60" s="7" t="s">
        <v>29</v>
      </c>
    </row>
    <row r="61" spans="2:19">
      <c r="B61" s="7" t="s">
        <v>195</v>
      </c>
      <c r="C61" s="8" t="s">
        <v>195</v>
      </c>
      <c r="D61" s="6" t="str">
        <f>LRTRIM(CONCATENATE(IF(SUMPRODUCT(-- ISNUMBER(SEARCH({"Auto Number"}, $B61))) &gt; 0, $B61, IF(SUMPRODUCT(-- ISNUMBER(SEARCH({"Lookup","Master-Detail"}, $B61))) &gt; 0,$B61 &amp; "(" &amp; $E61 &amp; ")",IF(SUMPRODUCT(-- ISNUMBER(SEARCH({"Formula","Roll-Up Summary"}, $B61))) &gt; 0,$B61 &amp; " (" &amp; $E61 &amp; ")",IF(SUMPRODUCT(-- ISNUMBER(SEARCH({"Content","Currency","Number","Percent","Text","URL"}, $B61))) &gt; 0,$B61 &amp; "(" &amp; $C61 &amp; ")",$B61)))), "  ", TRIM(IF($S61 = "YES", "(External ID)", "") &amp; " " &amp; IF(SUMPRODUCT(-- ISNUMBER(SEARCH({"Unique","Unique Case Insensitive"}, $R61))) &gt; 0, "(" &amp; $R61 &amp; ")", ""))))</f>
        <v>na</v>
      </c>
      <c r="E61" s="7" t="s">
        <v>195</v>
      </c>
      <c r="F61" s="7" t="s">
        <v>195</v>
      </c>
      <c r="G61" s="7" t="s">
        <v>195</v>
      </c>
      <c r="H61" s="7" t="s">
        <v>195</v>
      </c>
      <c r="I61" s="7" t="s">
        <v>195</v>
      </c>
      <c r="J61" s="7" t="s">
        <v>195</v>
      </c>
      <c r="K61" s="7" t="s">
        <v>195</v>
      </c>
      <c r="L61" s="7" t="s">
        <v>195</v>
      </c>
      <c r="M61" s="7" t="s">
        <v>29</v>
      </c>
      <c r="N61" s="7" t="s">
        <v>29</v>
      </c>
      <c r="O61" s="7" t="s">
        <v>29</v>
      </c>
      <c r="P61" s="7" t="s">
        <v>29</v>
      </c>
      <c r="Q61" s="7" t="s">
        <v>29</v>
      </c>
      <c r="R61" s="7" t="s">
        <v>29</v>
      </c>
      <c r="S61" s="7" t="s">
        <v>29</v>
      </c>
    </row>
    <row r="62" spans="2:19">
      <c r="B62" s="7" t="s">
        <v>195</v>
      </c>
      <c r="C62" s="8" t="s">
        <v>195</v>
      </c>
      <c r="D62" s="6" t="str">
        <f>LRTRIM(CONCATENATE(IF(SUMPRODUCT(-- ISNUMBER(SEARCH({"Auto Number"}, $B62))) &gt; 0, $B62, IF(SUMPRODUCT(-- ISNUMBER(SEARCH({"Lookup","Master-Detail"}, $B62))) &gt; 0,$B62 &amp; "(" &amp; $E62 &amp; ")",IF(SUMPRODUCT(-- ISNUMBER(SEARCH({"Formula","Roll-Up Summary"}, $B62))) &gt; 0,$B62 &amp; " (" &amp; $E62 &amp; ")",IF(SUMPRODUCT(-- ISNUMBER(SEARCH({"Content","Currency","Number","Percent","Text","URL"}, $B62))) &gt; 0,$B62 &amp; "(" &amp; $C62 &amp; ")",$B62)))), "  ", TRIM(IF($S62 = "YES", "(External ID)", "") &amp; " " &amp; IF(SUMPRODUCT(-- ISNUMBER(SEARCH({"Unique","Unique Case Insensitive"}, $R62))) &gt; 0, "(" &amp; $R62 &amp; ")", ""))))</f>
        <v>na</v>
      </c>
      <c r="E62" s="7" t="s">
        <v>195</v>
      </c>
      <c r="F62" s="7" t="s">
        <v>195</v>
      </c>
      <c r="G62" s="7" t="s">
        <v>195</v>
      </c>
      <c r="H62" s="7" t="s">
        <v>195</v>
      </c>
      <c r="I62" s="7" t="s">
        <v>195</v>
      </c>
      <c r="J62" s="7" t="s">
        <v>195</v>
      </c>
      <c r="K62" s="7" t="s">
        <v>195</v>
      </c>
      <c r="L62" s="7" t="s">
        <v>195</v>
      </c>
      <c r="M62" s="7" t="s">
        <v>29</v>
      </c>
      <c r="N62" s="7" t="s">
        <v>29</v>
      </c>
      <c r="O62" s="7" t="s">
        <v>29</v>
      </c>
      <c r="P62" s="7" t="s">
        <v>29</v>
      </c>
      <c r="Q62" s="7" t="s">
        <v>29</v>
      </c>
      <c r="R62" s="7" t="s">
        <v>29</v>
      </c>
      <c r="S62" s="7" t="s">
        <v>29</v>
      </c>
    </row>
    <row r="63" spans="2:19">
      <c r="B63" s="7" t="s">
        <v>195</v>
      </c>
      <c r="C63" s="8" t="s">
        <v>195</v>
      </c>
      <c r="D63" s="6" t="str">
        <f>LRTRIM(CONCATENATE(IF(SUMPRODUCT(-- ISNUMBER(SEARCH({"Auto Number"}, $B63))) &gt; 0, $B63, IF(SUMPRODUCT(-- ISNUMBER(SEARCH({"Lookup","Master-Detail"}, $B63))) &gt; 0,$B63 &amp; "(" &amp; $E63 &amp; ")",IF(SUMPRODUCT(-- ISNUMBER(SEARCH({"Formula","Roll-Up Summary"}, $B63))) &gt; 0,$B63 &amp; " (" &amp; $E63 &amp; ")",IF(SUMPRODUCT(-- ISNUMBER(SEARCH({"Content","Currency","Number","Percent","Text","URL"}, $B63))) &gt; 0,$B63 &amp; "(" &amp; $C63 &amp; ")",$B63)))), "  ", TRIM(IF($S63 = "YES", "(External ID)", "") &amp; " " &amp; IF(SUMPRODUCT(-- ISNUMBER(SEARCH({"Unique","Unique Case Insensitive"}, $R63))) &gt; 0, "(" &amp; $R63 &amp; ")", ""))))</f>
        <v>na</v>
      </c>
      <c r="E63" s="7" t="s">
        <v>195</v>
      </c>
      <c r="F63" s="7" t="s">
        <v>195</v>
      </c>
      <c r="G63" s="7" t="s">
        <v>195</v>
      </c>
      <c r="H63" s="7" t="s">
        <v>195</v>
      </c>
      <c r="I63" s="7" t="s">
        <v>195</v>
      </c>
      <c r="J63" s="7" t="s">
        <v>195</v>
      </c>
      <c r="K63" s="7" t="s">
        <v>195</v>
      </c>
      <c r="L63" s="7" t="s">
        <v>195</v>
      </c>
      <c r="M63" s="7" t="s">
        <v>29</v>
      </c>
      <c r="N63" s="7" t="s">
        <v>29</v>
      </c>
      <c r="O63" s="7" t="s">
        <v>29</v>
      </c>
      <c r="P63" s="7" t="s">
        <v>29</v>
      </c>
      <c r="Q63" s="7" t="s">
        <v>29</v>
      </c>
      <c r="R63" s="7" t="s">
        <v>29</v>
      </c>
      <c r="S63" s="7" t="s">
        <v>29</v>
      </c>
    </row>
    <row r="64" spans="2:19">
      <c r="B64" s="7" t="s">
        <v>195</v>
      </c>
      <c r="C64" s="8" t="s">
        <v>195</v>
      </c>
      <c r="D64" s="6" t="str">
        <f>LRTRIM(CONCATENATE(IF(SUMPRODUCT(-- ISNUMBER(SEARCH({"Auto Number"}, $B64))) &gt; 0, $B64, IF(SUMPRODUCT(-- ISNUMBER(SEARCH({"Lookup","Master-Detail"}, $B64))) &gt; 0,$B64 &amp; "(" &amp; $E64 &amp; ")",IF(SUMPRODUCT(-- ISNUMBER(SEARCH({"Formula","Roll-Up Summary"}, $B64))) &gt; 0,$B64 &amp; " (" &amp; $E64 &amp; ")",IF(SUMPRODUCT(-- ISNUMBER(SEARCH({"Content","Currency","Number","Percent","Text","URL"}, $B64))) &gt; 0,$B64 &amp; "(" &amp; $C64 &amp; ")",$B64)))), "  ", TRIM(IF($S64 = "YES", "(External ID)", "") &amp; " " &amp; IF(SUMPRODUCT(-- ISNUMBER(SEARCH({"Unique","Unique Case Insensitive"}, $R64))) &gt; 0, "(" &amp; $R64 &amp; ")", ""))))</f>
        <v>na</v>
      </c>
      <c r="E64" s="7" t="s">
        <v>195</v>
      </c>
      <c r="F64" s="7" t="s">
        <v>195</v>
      </c>
      <c r="G64" s="7" t="s">
        <v>195</v>
      </c>
      <c r="H64" s="7" t="s">
        <v>195</v>
      </c>
      <c r="I64" s="7" t="s">
        <v>195</v>
      </c>
      <c r="J64" s="7" t="s">
        <v>195</v>
      </c>
      <c r="K64" s="7" t="s">
        <v>195</v>
      </c>
      <c r="L64" s="7" t="s">
        <v>195</v>
      </c>
      <c r="M64" s="7" t="s">
        <v>29</v>
      </c>
      <c r="N64" s="7" t="s">
        <v>29</v>
      </c>
      <c r="O64" s="7" t="s">
        <v>29</v>
      </c>
      <c r="P64" s="7" t="s">
        <v>29</v>
      </c>
      <c r="Q64" s="7" t="s">
        <v>29</v>
      </c>
      <c r="R64" s="7" t="s">
        <v>29</v>
      </c>
      <c r="S64" s="7" t="s">
        <v>29</v>
      </c>
    </row>
    <row r="65" spans="2:19">
      <c r="B65" s="7" t="s">
        <v>195</v>
      </c>
      <c r="C65" s="8" t="s">
        <v>195</v>
      </c>
      <c r="D65" s="6" t="str">
        <f>LRTRIM(CONCATENATE(IF(SUMPRODUCT(-- ISNUMBER(SEARCH({"Auto Number"}, $B65))) &gt; 0, $B65, IF(SUMPRODUCT(-- ISNUMBER(SEARCH({"Lookup","Master-Detail"}, $B65))) &gt; 0,$B65 &amp; "(" &amp; $E65 &amp; ")",IF(SUMPRODUCT(-- ISNUMBER(SEARCH({"Formula","Roll-Up Summary"}, $B65))) &gt; 0,$B65 &amp; " (" &amp; $E65 &amp; ")",IF(SUMPRODUCT(-- ISNUMBER(SEARCH({"Content","Currency","Number","Percent","Text","URL"}, $B65))) &gt; 0,$B65 &amp; "(" &amp; $C65 &amp; ")",$B65)))), "  ", TRIM(IF($S65 = "YES", "(External ID)", "") &amp; " " &amp; IF(SUMPRODUCT(-- ISNUMBER(SEARCH({"Unique","Unique Case Insensitive"}, $R65))) &gt; 0, "(" &amp; $R65 &amp; ")", ""))))</f>
        <v>na</v>
      </c>
      <c r="E65" s="7" t="s">
        <v>195</v>
      </c>
      <c r="F65" s="7" t="s">
        <v>195</v>
      </c>
      <c r="G65" s="7" t="s">
        <v>195</v>
      </c>
      <c r="H65" s="7" t="s">
        <v>195</v>
      </c>
      <c r="I65" s="7" t="s">
        <v>195</v>
      </c>
      <c r="J65" s="7" t="s">
        <v>195</v>
      </c>
      <c r="K65" s="7" t="s">
        <v>195</v>
      </c>
      <c r="L65" s="7" t="s">
        <v>195</v>
      </c>
      <c r="M65" s="7" t="s">
        <v>29</v>
      </c>
      <c r="N65" s="7" t="s">
        <v>29</v>
      </c>
      <c r="O65" s="7" t="s">
        <v>29</v>
      </c>
      <c r="P65" s="7" t="s">
        <v>29</v>
      </c>
      <c r="Q65" s="7" t="s">
        <v>29</v>
      </c>
      <c r="R65" s="7" t="s">
        <v>29</v>
      </c>
      <c r="S65" s="7" t="s">
        <v>29</v>
      </c>
    </row>
    <row r="66" spans="2:19">
      <c r="B66" s="7" t="s">
        <v>195</v>
      </c>
      <c r="C66" s="8" t="s">
        <v>195</v>
      </c>
      <c r="D66" s="6" t="str">
        <f>LRTRIM(CONCATENATE(IF(SUMPRODUCT(-- ISNUMBER(SEARCH({"Auto Number"}, $B66))) &gt; 0, $B66, IF(SUMPRODUCT(-- ISNUMBER(SEARCH({"Lookup","Master-Detail"}, $B66))) &gt; 0,$B66 &amp; "(" &amp; $E66 &amp; ")",IF(SUMPRODUCT(-- ISNUMBER(SEARCH({"Formula","Roll-Up Summary"}, $B66))) &gt; 0,$B66 &amp; " (" &amp; $E66 &amp; ")",IF(SUMPRODUCT(-- ISNUMBER(SEARCH({"Content","Currency","Number","Percent","Text","URL"}, $B66))) &gt; 0,$B66 &amp; "(" &amp; $C66 &amp; ")",$B66)))), "  ", TRIM(IF($S66 = "YES", "(External ID)", "") &amp; " " &amp; IF(SUMPRODUCT(-- ISNUMBER(SEARCH({"Unique","Unique Case Insensitive"}, $R66))) &gt; 0, "(" &amp; $R66 &amp; ")", ""))))</f>
        <v>na</v>
      </c>
      <c r="E66" s="7" t="s">
        <v>195</v>
      </c>
      <c r="F66" s="7" t="s">
        <v>195</v>
      </c>
      <c r="G66" s="7" t="s">
        <v>195</v>
      </c>
      <c r="H66" s="7" t="s">
        <v>195</v>
      </c>
      <c r="I66" s="7" t="s">
        <v>195</v>
      </c>
      <c r="J66" s="7" t="s">
        <v>195</v>
      </c>
      <c r="K66" s="7" t="s">
        <v>195</v>
      </c>
      <c r="L66" s="7" t="s">
        <v>195</v>
      </c>
      <c r="M66" s="7" t="s">
        <v>29</v>
      </c>
      <c r="N66" s="7" t="s">
        <v>29</v>
      </c>
      <c r="O66" s="7" t="s">
        <v>29</v>
      </c>
      <c r="P66" s="7" t="s">
        <v>29</v>
      </c>
      <c r="Q66" s="7" t="s">
        <v>29</v>
      </c>
      <c r="R66" s="7" t="s">
        <v>29</v>
      </c>
      <c r="S66" s="7" t="s">
        <v>29</v>
      </c>
    </row>
    <row r="67" spans="2:19">
      <c r="B67" s="7" t="s">
        <v>195</v>
      </c>
      <c r="C67" s="8" t="s">
        <v>195</v>
      </c>
      <c r="D67" s="6" t="str">
        <f>LRTRIM(CONCATENATE(IF(SUMPRODUCT(-- ISNUMBER(SEARCH({"Auto Number"}, $B67))) &gt; 0, $B67, IF(SUMPRODUCT(-- ISNUMBER(SEARCH({"Lookup","Master-Detail"}, $B67))) &gt; 0,$B67 &amp; "(" &amp; $E67 &amp; ")",IF(SUMPRODUCT(-- ISNUMBER(SEARCH({"Formula","Roll-Up Summary"}, $B67))) &gt; 0,$B67 &amp; " (" &amp; $E67 &amp; ")",IF(SUMPRODUCT(-- ISNUMBER(SEARCH({"Content","Currency","Number","Percent","Text","URL"}, $B67))) &gt; 0,$B67 &amp; "(" &amp; $C67 &amp; ")",$B67)))), "  ", TRIM(IF($S67 = "YES", "(External ID)", "") &amp; " " &amp; IF(SUMPRODUCT(-- ISNUMBER(SEARCH({"Unique","Unique Case Insensitive"}, $R67))) &gt; 0, "(" &amp; $R67 &amp; ")", ""))))</f>
        <v>na</v>
      </c>
      <c r="E67" s="7" t="s">
        <v>195</v>
      </c>
      <c r="F67" s="7" t="s">
        <v>195</v>
      </c>
      <c r="G67" s="7" t="s">
        <v>195</v>
      </c>
      <c r="H67" s="7" t="s">
        <v>195</v>
      </c>
      <c r="I67" s="7" t="s">
        <v>195</v>
      </c>
      <c r="J67" s="7" t="s">
        <v>195</v>
      </c>
      <c r="K67" s="7" t="s">
        <v>195</v>
      </c>
      <c r="L67" s="7" t="s">
        <v>195</v>
      </c>
      <c r="M67" s="7" t="s">
        <v>29</v>
      </c>
      <c r="N67" s="7" t="s">
        <v>29</v>
      </c>
      <c r="O67" s="7" t="s">
        <v>29</v>
      </c>
      <c r="P67" s="7" t="s">
        <v>29</v>
      </c>
      <c r="Q67" s="7" t="s">
        <v>29</v>
      </c>
      <c r="R67" s="7" t="s">
        <v>29</v>
      </c>
      <c r="S67" s="7" t="s">
        <v>29</v>
      </c>
    </row>
    <row r="68" spans="2:19">
      <c r="B68" s="7" t="s">
        <v>195</v>
      </c>
      <c r="C68" s="8" t="s">
        <v>195</v>
      </c>
      <c r="D68" s="6" t="str">
        <f>LRTRIM(CONCATENATE(IF(SUMPRODUCT(-- ISNUMBER(SEARCH({"Auto Number"}, $B68))) &gt; 0, $B68, IF(SUMPRODUCT(-- ISNUMBER(SEARCH({"Lookup","Master-Detail"}, $B68))) &gt; 0,$B68 &amp; "(" &amp; $E68 &amp; ")",IF(SUMPRODUCT(-- ISNUMBER(SEARCH({"Formula","Roll-Up Summary"}, $B68))) &gt; 0,$B68 &amp; " (" &amp; $E68 &amp; ")",IF(SUMPRODUCT(-- ISNUMBER(SEARCH({"Content","Currency","Number","Percent","Text","URL"}, $B68))) &gt; 0,$B68 &amp; "(" &amp; $C68 &amp; ")",$B68)))), "  ", TRIM(IF($S68 = "YES", "(External ID)", "") &amp; " " &amp; IF(SUMPRODUCT(-- ISNUMBER(SEARCH({"Unique","Unique Case Insensitive"}, $R68))) &gt; 0, "(" &amp; $R68 &amp; ")", ""))))</f>
        <v>na</v>
      </c>
      <c r="E68" s="7" t="s">
        <v>195</v>
      </c>
      <c r="F68" s="7" t="s">
        <v>195</v>
      </c>
      <c r="G68" s="7" t="s">
        <v>195</v>
      </c>
      <c r="H68" s="7" t="s">
        <v>195</v>
      </c>
      <c r="I68" s="7" t="s">
        <v>195</v>
      </c>
      <c r="J68" s="7" t="s">
        <v>195</v>
      </c>
      <c r="K68" s="7" t="s">
        <v>195</v>
      </c>
      <c r="L68" s="7" t="s">
        <v>195</v>
      </c>
      <c r="M68" s="7" t="s">
        <v>29</v>
      </c>
      <c r="N68" s="7" t="s">
        <v>29</v>
      </c>
      <c r="O68" s="7" t="s">
        <v>29</v>
      </c>
      <c r="P68" s="7" t="s">
        <v>29</v>
      </c>
      <c r="Q68" s="7" t="s">
        <v>29</v>
      </c>
      <c r="R68" s="7" t="s">
        <v>29</v>
      </c>
      <c r="S68" s="7" t="s">
        <v>29</v>
      </c>
    </row>
    <row r="69" spans="2:19">
      <c r="B69" s="7" t="s">
        <v>195</v>
      </c>
      <c r="C69" s="8" t="s">
        <v>195</v>
      </c>
      <c r="D69" s="6" t="str">
        <f>LRTRIM(CONCATENATE(IF(SUMPRODUCT(-- ISNUMBER(SEARCH({"Auto Number"}, $B69))) &gt; 0, $B69, IF(SUMPRODUCT(-- ISNUMBER(SEARCH({"Lookup","Master-Detail"}, $B69))) &gt; 0,$B69 &amp; "(" &amp; $E69 &amp; ")",IF(SUMPRODUCT(-- ISNUMBER(SEARCH({"Formula","Roll-Up Summary"}, $B69))) &gt; 0,$B69 &amp; " (" &amp; $E69 &amp; ")",IF(SUMPRODUCT(-- ISNUMBER(SEARCH({"Content","Currency","Number","Percent","Text","URL"}, $B69))) &gt; 0,$B69 &amp; "(" &amp; $C69 &amp; ")",$B69)))), "  ", TRIM(IF($S69 = "YES", "(External ID)", "") &amp; " " &amp; IF(SUMPRODUCT(-- ISNUMBER(SEARCH({"Unique","Unique Case Insensitive"}, $R69))) &gt; 0, "(" &amp; $R69 &amp; ")", ""))))</f>
        <v>na</v>
      </c>
      <c r="E69" s="7" t="s">
        <v>195</v>
      </c>
      <c r="F69" s="7" t="s">
        <v>195</v>
      </c>
      <c r="G69" s="7" t="s">
        <v>195</v>
      </c>
      <c r="H69" s="7" t="s">
        <v>195</v>
      </c>
      <c r="I69" s="7" t="s">
        <v>195</v>
      </c>
      <c r="J69" s="7" t="s">
        <v>195</v>
      </c>
      <c r="K69" s="7" t="s">
        <v>195</v>
      </c>
      <c r="L69" s="7" t="s">
        <v>195</v>
      </c>
      <c r="M69" s="7" t="s">
        <v>29</v>
      </c>
      <c r="N69" s="7" t="s">
        <v>29</v>
      </c>
      <c r="O69" s="7" t="s">
        <v>29</v>
      </c>
      <c r="P69" s="7" t="s">
        <v>29</v>
      </c>
      <c r="Q69" s="7" t="s">
        <v>29</v>
      </c>
      <c r="R69" s="7" t="s">
        <v>29</v>
      </c>
      <c r="S69" s="7" t="s">
        <v>29</v>
      </c>
    </row>
    <row r="70" spans="2:19">
      <c r="B70" s="7" t="s">
        <v>195</v>
      </c>
      <c r="C70" s="8" t="s">
        <v>195</v>
      </c>
      <c r="D70" s="6" t="str">
        <f>LRTRIM(CONCATENATE(IF(SUMPRODUCT(-- ISNUMBER(SEARCH({"Auto Number"}, $B70))) &gt; 0, $B70, IF(SUMPRODUCT(-- ISNUMBER(SEARCH({"Lookup","Master-Detail"}, $B70))) &gt; 0,$B70 &amp; "(" &amp; $E70 &amp; ")",IF(SUMPRODUCT(-- ISNUMBER(SEARCH({"Formula","Roll-Up Summary"}, $B70))) &gt; 0,$B70 &amp; " (" &amp; $E70 &amp; ")",IF(SUMPRODUCT(-- ISNUMBER(SEARCH({"Content","Currency","Number","Percent","Text","URL"}, $B70))) &gt; 0,$B70 &amp; "(" &amp; $C70 &amp; ")",$B70)))), "  ", TRIM(IF($S70 = "YES", "(External ID)", "") &amp; " " &amp; IF(SUMPRODUCT(-- ISNUMBER(SEARCH({"Unique","Unique Case Insensitive"}, $R70))) &gt; 0, "(" &amp; $R70 &amp; ")", ""))))</f>
        <v>na</v>
      </c>
      <c r="E70" s="7" t="s">
        <v>195</v>
      </c>
      <c r="F70" s="7" t="s">
        <v>195</v>
      </c>
      <c r="G70" s="7" t="s">
        <v>195</v>
      </c>
      <c r="H70" s="7" t="s">
        <v>195</v>
      </c>
      <c r="I70" s="7" t="s">
        <v>195</v>
      </c>
      <c r="J70" s="7" t="s">
        <v>195</v>
      </c>
      <c r="K70" s="7" t="s">
        <v>195</v>
      </c>
      <c r="L70" s="7" t="s">
        <v>195</v>
      </c>
      <c r="M70" s="7" t="s">
        <v>29</v>
      </c>
      <c r="N70" s="7" t="s">
        <v>29</v>
      </c>
      <c r="O70" s="7" t="s">
        <v>29</v>
      </c>
      <c r="P70" s="7" t="s">
        <v>29</v>
      </c>
      <c r="Q70" s="7" t="s">
        <v>29</v>
      </c>
      <c r="R70" s="7" t="s">
        <v>29</v>
      </c>
      <c r="S70" s="7" t="s">
        <v>29</v>
      </c>
    </row>
    <row r="71" spans="2:19">
      <c r="B71" s="7" t="s">
        <v>195</v>
      </c>
      <c r="C71" s="8" t="s">
        <v>195</v>
      </c>
      <c r="D71" s="6" t="str">
        <f>LRTRIM(CONCATENATE(IF(SUMPRODUCT(-- ISNUMBER(SEARCH({"Auto Number"}, $B71))) &gt; 0, $B71, IF(SUMPRODUCT(-- ISNUMBER(SEARCH({"Lookup","Master-Detail"}, $B71))) &gt; 0,$B71 &amp; "(" &amp; $E71 &amp; ")",IF(SUMPRODUCT(-- ISNUMBER(SEARCH({"Formula","Roll-Up Summary"}, $B71))) &gt; 0,$B71 &amp; " (" &amp; $E71 &amp; ")",IF(SUMPRODUCT(-- ISNUMBER(SEARCH({"Content","Currency","Number","Percent","Text","URL"}, $B71))) &gt; 0,$B71 &amp; "(" &amp; $C71 &amp; ")",$B71)))), "  ", TRIM(IF($S71 = "YES", "(External ID)", "") &amp; " " &amp; IF(SUMPRODUCT(-- ISNUMBER(SEARCH({"Unique","Unique Case Insensitive"}, $R71))) &gt; 0, "(" &amp; $R71 &amp; ")", ""))))</f>
        <v>na</v>
      </c>
      <c r="E71" s="7" t="s">
        <v>195</v>
      </c>
      <c r="F71" s="7" t="s">
        <v>195</v>
      </c>
      <c r="G71" s="7" t="s">
        <v>195</v>
      </c>
      <c r="H71" s="7" t="s">
        <v>195</v>
      </c>
      <c r="I71" s="7" t="s">
        <v>195</v>
      </c>
      <c r="J71" s="7" t="s">
        <v>195</v>
      </c>
      <c r="K71" s="7" t="s">
        <v>195</v>
      </c>
      <c r="L71" s="7" t="s">
        <v>195</v>
      </c>
      <c r="M71" s="7" t="s">
        <v>29</v>
      </c>
      <c r="N71" s="7" t="s">
        <v>29</v>
      </c>
      <c r="O71" s="7" t="s">
        <v>29</v>
      </c>
      <c r="P71" s="7" t="s">
        <v>29</v>
      </c>
      <c r="Q71" s="7" t="s">
        <v>29</v>
      </c>
      <c r="R71" s="7" t="s">
        <v>29</v>
      </c>
      <c r="S71" s="7" t="s">
        <v>29</v>
      </c>
    </row>
    <row r="72" spans="2:19">
      <c r="B72" s="7" t="s">
        <v>195</v>
      </c>
      <c r="C72" s="8" t="s">
        <v>195</v>
      </c>
      <c r="D72" s="6" t="str">
        <f>LRTRIM(CONCATENATE(IF(SUMPRODUCT(-- ISNUMBER(SEARCH({"Auto Number"}, $B72))) &gt; 0, $B72, IF(SUMPRODUCT(-- ISNUMBER(SEARCH({"Lookup","Master-Detail"}, $B72))) &gt; 0,$B72 &amp; "(" &amp; $E72 &amp; ")",IF(SUMPRODUCT(-- ISNUMBER(SEARCH({"Formula","Roll-Up Summary"}, $B72))) &gt; 0,$B72 &amp; " (" &amp; $E72 &amp; ")",IF(SUMPRODUCT(-- ISNUMBER(SEARCH({"Content","Currency","Number","Percent","Text","URL"}, $B72))) &gt; 0,$B72 &amp; "(" &amp; $C72 &amp; ")",$B72)))), "  ", TRIM(IF($S72 = "YES", "(External ID)", "") &amp; " " &amp; IF(SUMPRODUCT(-- ISNUMBER(SEARCH({"Unique","Unique Case Insensitive"}, $R72))) &gt; 0, "(" &amp; $R72 &amp; ")", ""))))</f>
        <v>na</v>
      </c>
      <c r="E72" s="7" t="s">
        <v>195</v>
      </c>
      <c r="F72" s="7" t="s">
        <v>195</v>
      </c>
      <c r="G72" s="7" t="s">
        <v>195</v>
      </c>
      <c r="H72" s="7" t="s">
        <v>195</v>
      </c>
      <c r="I72" s="7" t="s">
        <v>195</v>
      </c>
      <c r="J72" s="7" t="s">
        <v>195</v>
      </c>
      <c r="K72" s="7" t="s">
        <v>195</v>
      </c>
      <c r="L72" s="7" t="s">
        <v>195</v>
      </c>
      <c r="M72" s="7" t="s">
        <v>29</v>
      </c>
      <c r="N72" s="7" t="s">
        <v>29</v>
      </c>
      <c r="O72" s="7" t="s">
        <v>29</v>
      </c>
      <c r="P72" s="7" t="s">
        <v>29</v>
      </c>
      <c r="Q72" s="7" t="s">
        <v>29</v>
      </c>
      <c r="R72" s="7" t="s">
        <v>29</v>
      </c>
      <c r="S72" s="7" t="s">
        <v>29</v>
      </c>
    </row>
    <row r="73" spans="2:19">
      <c r="B73" s="7" t="s">
        <v>195</v>
      </c>
      <c r="C73" s="8" t="s">
        <v>195</v>
      </c>
      <c r="D73" s="6" t="str">
        <f>LRTRIM(CONCATENATE(IF(SUMPRODUCT(-- ISNUMBER(SEARCH({"Auto Number"}, $B73))) &gt; 0, $B73, IF(SUMPRODUCT(-- ISNUMBER(SEARCH({"Lookup","Master-Detail"}, $B73))) &gt; 0,$B73 &amp; "(" &amp; $E73 &amp; ")",IF(SUMPRODUCT(-- ISNUMBER(SEARCH({"Formula","Roll-Up Summary"}, $B73))) &gt; 0,$B73 &amp; " (" &amp; $E73 &amp; ")",IF(SUMPRODUCT(-- ISNUMBER(SEARCH({"Content","Currency","Number","Percent","Text","URL"}, $B73))) &gt; 0,$B73 &amp; "(" &amp; $C73 &amp; ")",$B73)))), "  ", TRIM(IF($S73 = "YES", "(External ID)", "") &amp; " " &amp; IF(SUMPRODUCT(-- ISNUMBER(SEARCH({"Unique","Unique Case Insensitive"}, $R73))) &gt; 0, "(" &amp; $R73 &amp; ")", ""))))</f>
        <v>na</v>
      </c>
      <c r="E73" s="7" t="s">
        <v>195</v>
      </c>
      <c r="F73" s="7" t="s">
        <v>195</v>
      </c>
      <c r="G73" s="7" t="s">
        <v>195</v>
      </c>
      <c r="H73" s="7" t="s">
        <v>195</v>
      </c>
      <c r="I73" s="7" t="s">
        <v>195</v>
      </c>
      <c r="J73" s="7" t="s">
        <v>195</v>
      </c>
      <c r="K73" s="7" t="s">
        <v>195</v>
      </c>
      <c r="L73" s="7" t="s">
        <v>195</v>
      </c>
      <c r="M73" s="7" t="s">
        <v>29</v>
      </c>
      <c r="N73" s="7" t="s">
        <v>29</v>
      </c>
      <c r="O73" s="7" t="s">
        <v>29</v>
      </c>
      <c r="P73" s="7" t="s">
        <v>29</v>
      </c>
      <c r="Q73" s="7" t="s">
        <v>29</v>
      </c>
      <c r="R73" s="7" t="s">
        <v>29</v>
      </c>
      <c r="S73" s="7" t="s">
        <v>29</v>
      </c>
    </row>
    <row r="74" spans="2:19">
      <c r="B74" s="7" t="s">
        <v>195</v>
      </c>
      <c r="C74" s="8" t="s">
        <v>195</v>
      </c>
      <c r="D74" s="6" t="str">
        <f>LRTRIM(CONCATENATE(IF(SUMPRODUCT(-- ISNUMBER(SEARCH({"Auto Number"}, $B74))) &gt; 0, $B74, IF(SUMPRODUCT(-- ISNUMBER(SEARCH({"Lookup","Master-Detail"}, $B74))) &gt; 0,$B74 &amp; "(" &amp; $E74 &amp; ")",IF(SUMPRODUCT(-- ISNUMBER(SEARCH({"Formula","Roll-Up Summary"}, $B74))) &gt; 0,$B74 &amp; " (" &amp; $E74 &amp; ")",IF(SUMPRODUCT(-- ISNUMBER(SEARCH({"Content","Currency","Number","Percent","Text","URL"}, $B74))) &gt; 0,$B74 &amp; "(" &amp; $C74 &amp; ")",$B74)))), "  ", TRIM(IF($S74 = "YES", "(External ID)", "") &amp; " " &amp; IF(SUMPRODUCT(-- ISNUMBER(SEARCH({"Unique","Unique Case Insensitive"}, $R74))) &gt; 0, "(" &amp; $R74 &amp; ")", ""))))</f>
        <v>na</v>
      </c>
      <c r="E74" s="7" t="s">
        <v>195</v>
      </c>
      <c r="F74" s="7" t="s">
        <v>195</v>
      </c>
      <c r="G74" s="7" t="s">
        <v>195</v>
      </c>
      <c r="H74" s="7" t="s">
        <v>195</v>
      </c>
      <c r="I74" s="7" t="s">
        <v>195</v>
      </c>
      <c r="J74" s="7" t="s">
        <v>195</v>
      </c>
      <c r="K74" s="7" t="s">
        <v>195</v>
      </c>
      <c r="L74" s="7" t="s">
        <v>195</v>
      </c>
      <c r="M74" s="7" t="s">
        <v>29</v>
      </c>
      <c r="N74" s="7" t="s">
        <v>29</v>
      </c>
      <c r="O74" s="7" t="s">
        <v>29</v>
      </c>
      <c r="P74" s="7" t="s">
        <v>29</v>
      </c>
      <c r="Q74" s="7" t="s">
        <v>29</v>
      </c>
      <c r="R74" s="7" t="s">
        <v>29</v>
      </c>
      <c r="S74" s="7" t="s">
        <v>29</v>
      </c>
    </row>
    <row r="75" spans="2:19">
      <c r="B75" s="7" t="s">
        <v>195</v>
      </c>
      <c r="C75" s="8" t="s">
        <v>195</v>
      </c>
      <c r="D75" s="6" t="str">
        <f>LRTRIM(CONCATENATE(IF(SUMPRODUCT(-- ISNUMBER(SEARCH({"Auto Number"}, $B75))) &gt; 0, $B75, IF(SUMPRODUCT(-- ISNUMBER(SEARCH({"Lookup","Master-Detail"}, $B75))) &gt; 0,$B75 &amp; "(" &amp; $E75 &amp; ")",IF(SUMPRODUCT(-- ISNUMBER(SEARCH({"Formula","Roll-Up Summary"}, $B75))) &gt; 0,$B75 &amp; " (" &amp; $E75 &amp; ")",IF(SUMPRODUCT(-- ISNUMBER(SEARCH({"Content","Currency","Number","Percent","Text","URL"}, $B75))) &gt; 0,$B75 &amp; "(" &amp; $C75 &amp; ")",$B75)))), "  ", TRIM(IF($S75 = "YES", "(External ID)", "") &amp; " " &amp; IF(SUMPRODUCT(-- ISNUMBER(SEARCH({"Unique","Unique Case Insensitive"}, $R75))) &gt; 0, "(" &amp; $R75 &amp; ")", ""))))</f>
        <v>na</v>
      </c>
      <c r="E75" s="7" t="s">
        <v>195</v>
      </c>
      <c r="F75" s="7" t="s">
        <v>195</v>
      </c>
      <c r="G75" s="7" t="s">
        <v>195</v>
      </c>
      <c r="H75" s="7" t="s">
        <v>195</v>
      </c>
      <c r="I75" s="7" t="s">
        <v>195</v>
      </c>
      <c r="J75" s="7" t="s">
        <v>195</v>
      </c>
      <c r="K75" s="7" t="s">
        <v>195</v>
      </c>
      <c r="L75" s="7" t="s">
        <v>195</v>
      </c>
      <c r="M75" s="7" t="s">
        <v>29</v>
      </c>
      <c r="N75" s="7" t="s">
        <v>29</v>
      </c>
      <c r="O75" s="7" t="s">
        <v>29</v>
      </c>
      <c r="P75" s="7" t="s">
        <v>29</v>
      </c>
      <c r="Q75" s="7" t="s">
        <v>29</v>
      </c>
      <c r="R75" s="7" t="s">
        <v>29</v>
      </c>
      <c r="S75" s="7" t="s">
        <v>29</v>
      </c>
    </row>
    <row r="76" spans="2:19">
      <c r="B76" s="7" t="s">
        <v>195</v>
      </c>
      <c r="C76" s="8" t="s">
        <v>195</v>
      </c>
      <c r="D76" s="6" t="str">
        <f>LRTRIM(CONCATENATE(IF(SUMPRODUCT(-- ISNUMBER(SEARCH({"Auto Number"}, $B76))) &gt; 0, $B76, IF(SUMPRODUCT(-- ISNUMBER(SEARCH({"Lookup","Master-Detail"}, $B76))) &gt; 0,$B76 &amp; "(" &amp; $E76 &amp; ")",IF(SUMPRODUCT(-- ISNUMBER(SEARCH({"Formula","Roll-Up Summary"}, $B76))) &gt; 0,$B76 &amp; " (" &amp; $E76 &amp; ")",IF(SUMPRODUCT(-- ISNUMBER(SEARCH({"Content","Currency","Number","Percent","Text","URL"}, $B76))) &gt; 0,$B76 &amp; "(" &amp; $C76 &amp; ")",$B76)))), "  ", TRIM(IF($S76 = "YES", "(External ID)", "") &amp; " " &amp; IF(SUMPRODUCT(-- ISNUMBER(SEARCH({"Unique","Unique Case Insensitive"}, $R76))) &gt; 0, "(" &amp; $R76 &amp; ")", ""))))</f>
        <v>na</v>
      </c>
      <c r="E76" s="7" t="s">
        <v>195</v>
      </c>
      <c r="F76" s="7" t="s">
        <v>195</v>
      </c>
      <c r="G76" s="7" t="s">
        <v>195</v>
      </c>
      <c r="H76" s="7" t="s">
        <v>195</v>
      </c>
      <c r="I76" s="7" t="s">
        <v>195</v>
      </c>
      <c r="J76" s="7" t="s">
        <v>195</v>
      </c>
      <c r="K76" s="7" t="s">
        <v>195</v>
      </c>
      <c r="L76" s="7" t="s">
        <v>195</v>
      </c>
      <c r="M76" s="7" t="s">
        <v>29</v>
      </c>
      <c r="N76" s="7" t="s">
        <v>29</v>
      </c>
      <c r="O76" s="7" t="s">
        <v>29</v>
      </c>
      <c r="P76" s="7" t="s">
        <v>29</v>
      </c>
      <c r="Q76" s="7" t="s">
        <v>29</v>
      </c>
      <c r="R76" s="7" t="s">
        <v>29</v>
      </c>
      <c r="S76" s="7" t="s">
        <v>29</v>
      </c>
    </row>
    <row r="77" spans="2:19">
      <c r="B77" s="7" t="s">
        <v>195</v>
      </c>
      <c r="C77" s="8" t="s">
        <v>195</v>
      </c>
      <c r="D77" s="6" t="str">
        <f>LRTRIM(CONCATENATE(IF(SUMPRODUCT(-- ISNUMBER(SEARCH({"Auto Number"}, $B77))) &gt; 0, $B77, IF(SUMPRODUCT(-- ISNUMBER(SEARCH({"Lookup","Master-Detail"}, $B77))) &gt; 0,$B77 &amp; "(" &amp; $E77 &amp; ")",IF(SUMPRODUCT(-- ISNUMBER(SEARCH({"Formula","Roll-Up Summary"}, $B77))) &gt; 0,$B77 &amp; " (" &amp; $E77 &amp; ")",IF(SUMPRODUCT(-- ISNUMBER(SEARCH({"Content","Currency","Number","Percent","Text","URL"}, $B77))) &gt; 0,$B77 &amp; "(" &amp; $C77 &amp; ")",$B77)))), "  ", TRIM(IF($S77 = "YES", "(External ID)", "") &amp; " " &amp; IF(SUMPRODUCT(-- ISNUMBER(SEARCH({"Unique","Unique Case Insensitive"}, $R77))) &gt; 0, "(" &amp; $R77 &amp; ")", ""))))</f>
        <v>na</v>
      </c>
      <c r="E77" s="7" t="s">
        <v>195</v>
      </c>
      <c r="F77" s="7" t="s">
        <v>195</v>
      </c>
      <c r="G77" s="7" t="s">
        <v>195</v>
      </c>
      <c r="H77" s="7" t="s">
        <v>195</v>
      </c>
      <c r="I77" s="7" t="s">
        <v>195</v>
      </c>
      <c r="J77" s="7" t="s">
        <v>195</v>
      </c>
      <c r="K77" s="7" t="s">
        <v>195</v>
      </c>
      <c r="L77" s="7" t="s">
        <v>195</v>
      </c>
      <c r="M77" s="7" t="s">
        <v>29</v>
      </c>
      <c r="N77" s="7" t="s">
        <v>29</v>
      </c>
      <c r="O77" s="7" t="s">
        <v>29</v>
      </c>
      <c r="P77" s="7" t="s">
        <v>29</v>
      </c>
      <c r="Q77" s="7" t="s">
        <v>29</v>
      </c>
      <c r="R77" s="7" t="s">
        <v>29</v>
      </c>
      <c r="S77" s="7" t="s">
        <v>29</v>
      </c>
    </row>
    <row r="78" spans="2:19">
      <c r="B78" s="7" t="s">
        <v>195</v>
      </c>
      <c r="C78" s="8" t="s">
        <v>195</v>
      </c>
      <c r="D78" s="6" t="str">
        <f>LRTRIM(CONCATENATE(IF(SUMPRODUCT(-- ISNUMBER(SEARCH({"Auto Number"}, $B78))) &gt; 0, $B78, IF(SUMPRODUCT(-- ISNUMBER(SEARCH({"Lookup","Master-Detail"}, $B78))) &gt; 0,$B78 &amp; "(" &amp; $E78 &amp; ")",IF(SUMPRODUCT(-- ISNUMBER(SEARCH({"Formula","Roll-Up Summary"}, $B78))) &gt; 0,$B78 &amp; " (" &amp; $E78 &amp; ")",IF(SUMPRODUCT(-- ISNUMBER(SEARCH({"Content","Currency","Number","Percent","Text","URL"}, $B78))) &gt; 0,$B78 &amp; "(" &amp; $C78 &amp; ")",$B78)))), "  ", TRIM(IF($S78 = "YES", "(External ID)", "") &amp; " " &amp; IF(SUMPRODUCT(-- ISNUMBER(SEARCH({"Unique","Unique Case Insensitive"}, $R78))) &gt; 0, "(" &amp; $R78 &amp; ")", ""))))</f>
        <v>na</v>
      </c>
      <c r="E78" s="7" t="s">
        <v>195</v>
      </c>
      <c r="F78" s="7" t="s">
        <v>195</v>
      </c>
      <c r="G78" s="7" t="s">
        <v>195</v>
      </c>
      <c r="H78" s="7" t="s">
        <v>195</v>
      </c>
      <c r="I78" s="7" t="s">
        <v>195</v>
      </c>
      <c r="J78" s="7" t="s">
        <v>195</v>
      </c>
      <c r="K78" s="7" t="s">
        <v>195</v>
      </c>
      <c r="L78" s="7" t="s">
        <v>195</v>
      </c>
      <c r="M78" s="7" t="s">
        <v>29</v>
      </c>
      <c r="N78" s="7" t="s">
        <v>29</v>
      </c>
      <c r="O78" s="7" t="s">
        <v>29</v>
      </c>
      <c r="P78" s="7" t="s">
        <v>29</v>
      </c>
      <c r="Q78" s="7" t="s">
        <v>29</v>
      </c>
      <c r="R78" s="7" t="s">
        <v>29</v>
      </c>
      <c r="S78" s="7" t="s">
        <v>29</v>
      </c>
    </row>
    <row r="79" spans="2:19">
      <c r="B79" s="7" t="s">
        <v>195</v>
      </c>
      <c r="C79" s="8" t="s">
        <v>195</v>
      </c>
      <c r="D79" s="6" t="str">
        <f>LRTRIM(CONCATENATE(IF(SUMPRODUCT(-- ISNUMBER(SEARCH({"Auto Number"}, $B79))) &gt; 0, $B79, IF(SUMPRODUCT(-- ISNUMBER(SEARCH({"Lookup","Master-Detail"}, $B79))) &gt; 0,$B79 &amp; "(" &amp; $E79 &amp; ")",IF(SUMPRODUCT(-- ISNUMBER(SEARCH({"Formula","Roll-Up Summary"}, $B79))) &gt; 0,$B79 &amp; " (" &amp; $E79 &amp; ")",IF(SUMPRODUCT(-- ISNUMBER(SEARCH({"Content","Currency","Number","Percent","Text","URL"}, $B79))) &gt; 0,$B79 &amp; "(" &amp; $C79 &amp; ")",$B79)))), "  ", TRIM(IF($S79 = "YES", "(External ID)", "") &amp; " " &amp; IF(SUMPRODUCT(-- ISNUMBER(SEARCH({"Unique","Unique Case Insensitive"}, $R79))) &gt; 0, "(" &amp; $R79 &amp; ")", ""))))</f>
        <v>na</v>
      </c>
      <c r="E79" s="7" t="s">
        <v>195</v>
      </c>
      <c r="F79" s="7" t="s">
        <v>195</v>
      </c>
      <c r="G79" s="7" t="s">
        <v>195</v>
      </c>
      <c r="H79" s="7" t="s">
        <v>195</v>
      </c>
      <c r="I79" s="7" t="s">
        <v>195</v>
      </c>
      <c r="J79" s="7" t="s">
        <v>195</v>
      </c>
      <c r="K79" s="7" t="s">
        <v>195</v>
      </c>
      <c r="L79" s="7" t="s">
        <v>195</v>
      </c>
      <c r="M79" s="7" t="s">
        <v>29</v>
      </c>
      <c r="N79" s="7" t="s">
        <v>29</v>
      </c>
      <c r="O79" s="7" t="s">
        <v>29</v>
      </c>
      <c r="P79" s="7" t="s">
        <v>29</v>
      </c>
      <c r="Q79" s="7" t="s">
        <v>29</v>
      </c>
      <c r="R79" s="7" t="s">
        <v>29</v>
      </c>
      <c r="S79" s="7" t="s">
        <v>29</v>
      </c>
    </row>
    <row r="80" spans="2:19">
      <c r="B80" s="7" t="s">
        <v>195</v>
      </c>
      <c r="C80" s="8" t="s">
        <v>195</v>
      </c>
      <c r="D80" s="6" t="str">
        <f>LRTRIM(CONCATENATE(IF(SUMPRODUCT(-- ISNUMBER(SEARCH({"Auto Number"}, $B80))) &gt; 0, $B80, IF(SUMPRODUCT(-- ISNUMBER(SEARCH({"Lookup","Master-Detail"}, $B80))) &gt; 0,$B80 &amp; "(" &amp; $E80 &amp; ")",IF(SUMPRODUCT(-- ISNUMBER(SEARCH({"Formula","Roll-Up Summary"}, $B80))) &gt; 0,$B80 &amp; " (" &amp; $E80 &amp; ")",IF(SUMPRODUCT(-- ISNUMBER(SEARCH({"Content","Currency","Number","Percent","Text","URL"}, $B80))) &gt; 0,$B80 &amp; "(" &amp; $C80 &amp; ")",$B80)))), "  ", TRIM(IF($S80 = "YES", "(External ID)", "") &amp; " " &amp; IF(SUMPRODUCT(-- ISNUMBER(SEARCH({"Unique","Unique Case Insensitive"}, $R80))) &gt; 0, "(" &amp; $R80 &amp; ")", ""))))</f>
        <v>na</v>
      </c>
      <c r="E80" s="7" t="s">
        <v>195</v>
      </c>
      <c r="F80" s="7" t="s">
        <v>195</v>
      </c>
      <c r="G80" s="7" t="s">
        <v>195</v>
      </c>
      <c r="H80" s="7" t="s">
        <v>195</v>
      </c>
      <c r="I80" s="7" t="s">
        <v>195</v>
      </c>
      <c r="J80" s="7" t="s">
        <v>195</v>
      </c>
      <c r="K80" s="7" t="s">
        <v>195</v>
      </c>
      <c r="L80" s="7" t="s">
        <v>195</v>
      </c>
      <c r="M80" s="7" t="s">
        <v>29</v>
      </c>
      <c r="N80" s="7" t="s">
        <v>29</v>
      </c>
      <c r="O80" s="7" t="s">
        <v>29</v>
      </c>
      <c r="P80" s="7" t="s">
        <v>29</v>
      </c>
      <c r="Q80" s="7" t="s">
        <v>29</v>
      </c>
      <c r="R80" s="7" t="s">
        <v>29</v>
      </c>
      <c r="S80" s="7" t="s">
        <v>29</v>
      </c>
    </row>
    <row r="81" spans="2:19">
      <c r="B81" s="7" t="s">
        <v>195</v>
      </c>
      <c r="C81" s="8" t="s">
        <v>195</v>
      </c>
      <c r="D81" s="6" t="str">
        <f>LRTRIM(CONCATENATE(IF(SUMPRODUCT(-- ISNUMBER(SEARCH({"Auto Number"}, $B81))) &gt; 0, $B81, IF(SUMPRODUCT(-- ISNUMBER(SEARCH({"Lookup","Master-Detail"}, $B81))) &gt; 0,$B81 &amp; "(" &amp; $E81 &amp; ")",IF(SUMPRODUCT(-- ISNUMBER(SEARCH({"Formula","Roll-Up Summary"}, $B81))) &gt; 0,$B81 &amp; " (" &amp; $E81 &amp; ")",IF(SUMPRODUCT(-- ISNUMBER(SEARCH({"Content","Currency","Number","Percent","Text","URL"}, $B81))) &gt; 0,$B81 &amp; "(" &amp; $C81 &amp; ")",$B81)))), "  ", TRIM(IF($S81 = "YES", "(External ID)", "") &amp; " " &amp; IF(SUMPRODUCT(-- ISNUMBER(SEARCH({"Unique","Unique Case Insensitive"}, $R81))) &gt; 0, "(" &amp; $R81 &amp; ")", ""))))</f>
        <v>na</v>
      </c>
      <c r="E81" s="7" t="s">
        <v>195</v>
      </c>
      <c r="F81" s="7" t="s">
        <v>195</v>
      </c>
      <c r="G81" s="7" t="s">
        <v>195</v>
      </c>
      <c r="H81" s="7" t="s">
        <v>195</v>
      </c>
      <c r="I81" s="7" t="s">
        <v>195</v>
      </c>
      <c r="J81" s="7" t="s">
        <v>195</v>
      </c>
      <c r="K81" s="7" t="s">
        <v>195</v>
      </c>
      <c r="L81" s="7" t="s">
        <v>195</v>
      </c>
      <c r="M81" s="7" t="s">
        <v>29</v>
      </c>
      <c r="N81" s="7" t="s">
        <v>29</v>
      </c>
      <c r="O81" s="7" t="s">
        <v>29</v>
      </c>
      <c r="P81" s="7" t="s">
        <v>29</v>
      </c>
      <c r="Q81" s="7" t="s">
        <v>29</v>
      </c>
      <c r="R81" s="7" t="s">
        <v>29</v>
      </c>
      <c r="S81" s="7" t="s">
        <v>29</v>
      </c>
    </row>
    <row r="82" spans="2:19">
      <c r="B82" s="7" t="s">
        <v>195</v>
      </c>
      <c r="C82" s="8" t="s">
        <v>195</v>
      </c>
      <c r="D82" s="6" t="str">
        <f>LRTRIM(CONCATENATE(IF(SUMPRODUCT(-- ISNUMBER(SEARCH({"Auto Number"}, $B82))) &gt; 0, $B82, IF(SUMPRODUCT(-- ISNUMBER(SEARCH({"Lookup","Master-Detail"}, $B82))) &gt; 0,$B82 &amp; "(" &amp; $E82 &amp; ")",IF(SUMPRODUCT(-- ISNUMBER(SEARCH({"Formula","Roll-Up Summary"}, $B82))) &gt; 0,$B82 &amp; " (" &amp; $E82 &amp; ")",IF(SUMPRODUCT(-- ISNUMBER(SEARCH({"Content","Currency","Number","Percent","Text","URL"}, $B82))) &gt; 0,$B82 &amp; "(" &amp; $C82 &amp; ")",$B82)))), "  ", TRIM(IF($S82 = "YES", "(External ID)", "") &amp; " " &amp; IF(SUMPRODUCT(-- ISNUMBER(SEARCH({"Unique","Unique Case Insensitive"}, $R82))) &gt; 0, "(" &amp; $R82 &amp; ")", ""))))</f>
        <v>na</v>
      </c>
      <c r="E82" s="7" t="s">
        <v>195</v>
      </c>
      <c r="F82" s="7" t="s">
        <v>195</v>
      </c>
      <c r="G82" s="7" t="s">
        <v>195</v>
      </c>
      <c r="H82" s="7" t="s">
        <v>195</v>
      </c>
      <c r="I82" s="7" t="s">
        <v>195</v>
      </c>
      <c r="J82" s="7" t="s">
        <v>195</v>
      </c>
      <c r="K82" s="7" t="s">
        <v>195</v>
      </c>
      <c r="L82" s="7" t="s">
        <v>195</v>
      </c>
      <c r="M82" s="7" t="s">
        <v>29</v>
      </c>
      <c r="N82" s="7" t="s">
        <v>29</v>
      </c>
      <c r="O82" s="7" t="s">
        <v>29</v>
      </c>
      <c r="P82" s="7" t="s">
        <v>29</v>
      </c>
      <c r="Q82" s="7" t="s">
        <v>29</v>
      </c>
      <c r="R82" s="7" t="s">
        <v>29</v>
      </c>
      <c r="S82" s="7" t="s">
        <v>29</v>
      </c>
    </row>
    <row r="83" spans="2:19">
      <c r="B83" s="7" t="s">
        <v>195</v>
      </c>
      <c r="C83" s="8" t="s">
        <v>195</v>
      </c>
      <c r="D83" s="6" t="str">
        <f>LRTRIM(CONCATENATE(IF(SUMPRODUCT(-- ISNUMBER(SEARCH({"Auto Number"}, $B83))) &gt; 0, $B83, IF(SUMPRODUCT(-- ISNUMBER(SEARCH({"Lookup","Master-Detail"}, $B83))) &gt; 0,$B83 &amp; "(" &amp; $E83 &amp; ")",IF(SUMPRODUCT(-- ISNUMBER(SEARCH({"Formula","Roll-Up Summary"}, $B83))) &gt; 0,$B83 &amp; " (" &amp; $E83 &amp; ")",IF(SUMPRODUCT(-- ISNUMBER(SEARCH({"Content","Currency","Number","Percent","Text","URL"}, $B83))) &gt; 0,$B83 &amp; "(" &amp; $C83 &amp; ")",$B83)))), "  ", TRIM(IF($S83 = "YES", "(External ID)", "") &amp; " " &amp; IF(SUMPRODUCT(-- ISNUMBER(SEARCH({"Unique","Unique Case Insensitive"}, $R83))) &gt; 0, "(" &amp; $R83 &amp; ")", ""))))</f>
        <v>na</v>
      </c>
      <c r="E83" s="7" t="s">
        <v>195</v>
      </c>
      <c r="F83" s="7" t="s">
        <v>195</v>
      </c>
      <c r="G83" s="7" t="s">
        <v>195</v>
      </c>
      <c r="H83" s="7" t="s">
        <v>195</v>
      </c>
      <c r="I83" s="7" t="s">
        <v>195</v>
      </c>
      <c r="J83" s="7" t="s">
        <v>195</v>
      </c>
      <c r="K83" s="7" t="s">
        <v>195</v>
      </c>
      <c r="L83" s="7" t="s">
        <v>195</v>
      </c>
      <c r="M83" s="7" t="s">
        <v>29</v>
      </c>
      <c r="N83" s="7" t="s">
        <v>29</v>
      </c>
      <c r="O83" s="7" t="s">
        <v>29</v>
      </c>
      <c r="P83" s="7" t="s">
        <v>29</v>
      </c>
      <c r="Q83" s="7" t="s">
        <v>29</v>
      </c>
      <c r="R83" s="7" t="s">
        <v>29</v>
      </c>
      <c r="S83" s="7" t="s">
        <v>29</v>
      </c>
    </row>
    <row r="84" spans="2:19">
      <c r="B84" s="7" t="s">
        <v>195</v>
      </c>
      <c r="C84" s="8" t="s">
        <v>195</v>
      </c>
      <c r="D84" s="6" t="str">
        <f>LRTRIM(CONCATENATE(IF(SUMPRODUCT(-- ISNUMBER(SEARCH({"Auto Number"}, $B84))) &gt; 0, $B84, IF(SUMPRODUCT(-- ISNUMBER(SEARCH({"Lookup","Master-Detail"}, $B84))) &gt; 0,$B84 &amp; "(" &amp; $E84 &amp; ")",IF(SUMPRODUCT(-- ISNUMBER(SEARCH({"Formula","Roll-Up Summary"}, $B84))) &gt; 0,$B84 &amp; " (" &amp; $E84 &amp; ")",IF(SUMPRODUCT(-- ISNUMBER(SEARCH({"Content","Currency","Number","Percent","Text","URL"}, $B84))) &gt; 0,$B84 &amp; "(" &amp; $C84 &amp; ")",$B84)))), "  ", TRIM(IF($S84 = "YES", "(External ID)", "") &amp; " " &amp; IF(SUMPRODUCT(-- ISNUMBER(SEARCH({"Unique","Unique Case Insensitive"}, $R84))) &gt; 0, "(" &amp; $R84 &amp; ")", ""))))</f>
        <v>na</v>
      </c>
      <c r="E84" s="7" t="s">
        <v>195</v>
      </c>
      <c r="F84" s="7" t="s">
        <v>195</v>
      </c>
      <c r="G84" s="7" t="s">
        <v>195</v>
      </c>
      <c r="H84" s="7" t="s">
        <v>195</v>
      </c>
      <c r="I84" s="7" t="s">
        <v>195</v>
      </c>
      <c r="J84" s="7" t="s">
        <v>195</v>
      </c>
      <c r="K84" s="7" t="s">
        <v>195</v>
      </c>
      <c r="L84" s="7" t="s">
        <v>195</v>
      </c>
      <c r="M84" s="7" t="s">
        <v>29</v>
      </c>
      <c r="N84" s="7" t="s">
        <v>29</v>
      </c>
      <c r="O84" s="7" t="s">
        <v>29</v>
      </c>
      <c r="P84" s="7" t="s">
        <v>29</v>
      </c>
      <c r="Q84" s="7" t="s">
        <v>29</v>
      </c>
      <c r="R84" s="7" t="s">
        <v>29</v>
      </c>
      <c r="S84" s="7" t="s">
        <v>29</v>
      </c>
    </row>
    <row r="85" spans="2:19">
      <c r="B85" s="7" t="s">
        <v>195</v>
      </c>
      <c r="C85" s="8" t="s">
        <v>195</v>
      </c>
      <c r="D85" s="6" t="str">
        <f>LRTRIM(CONCATENATE(IF(SUMPRODUCT(-- ISNUMBER(SEARCH({"Auto Number"}, $B85))) &gt; 0, $B85, IF(SUMPRODUCT(-- ISNUMBER(SEARCH({"Lookup","Master-Detail"}, $B85))) &gt; 0,$B85 &amp; "(" &amp; $E85 &amp; ")",IF(SUMPRODUCT(-- ISNUMBER(SEARCH({"Formula","Roll-Up Summary"}, $B85))) &gt; 0,$B85 &amp; " (" &amp; $E85 &amp; ")",IF(SUMPRODUCT(-- ISNUMBER(SEARCH({"Content","Currency","Number","Percent","Text","URL"}, $B85))) &gt; 0,$B85 &amp; "(" &amp; $C85 &amp; ")",$B85)))), "  ", TRIM(IF($S85 = "YES", "(External ID)", "") &amp; " " &amp; IF(SUMPRODUCT(-- ISNUMBER(SEARCH({"Unique","Unique Case Insensitive"}, $R85))) &gt; 0, "(" &amp; $R85 &amp; ")", ""))))</f>
        <v>na</v>
      </c>
      <c r="E85" s="7" t="s">
        <v>195</v>
      </c>
      <c r="F85" s="7" t="s">
        <v>195</v>
      </c>
      <c r="G85" s="7" t="s">
        <v>195</v>
      </c>
      <c r="H85" s="7" t="s">
        <v>195</v>
      </c>
      <c r="I85" s="7" t="s">
        <v>195</v>
      </c>
      <c r="J85" s="7" t="s">
        <v>195</v>
      </c>
      <c r="K85" s="7" t="s">
        <v>195</v>
      </c>
      <c r="L85" s="7" t="s">
        <v>195</v>
      </c>
      <c r="M85" s="7" t="s">
        <v>29</v>
      </c>
      <c r="N85" s="7" t="s">
        <v>29</v>
      </c>
      <c r="O85" s="7" t="s">
        <v>29</v>
      </c>
      <c r="P85" s="7" t="s">
        <v>29</v>
      </c>
      <c r="Q85" s="7" t="s">
        <v>29</v>
      </c>
      <c r="R85" s="7" t="s">
        <v>29</v>
      </c>
      <c r="S85" s="7" t="s">
        <v>29</v>
      </c>
    </row>
    <row r="86" spans="2:19">
      <c r="B86" s="7" t="s">
        <v>195</v>
      </c>
      <c r="C86" s="8" t="s">
        <v>195</v>
      </c>
      <c r="D86" s="6" t="str">
        <f>LRTRIM(CONCATENATE(IF(SUMPRODUCT(-- ISNUMBER(SEARCH({"Auto Number"}, $B86))) &gt; 0, $B86, IF(SUMPRODUCT(-- ISNUMBER(SEARCH({"Lookup","Master-Detail"}, $B86))) &gt; 0,$B86 &amp; "(" &amp; $E86 &amp; ")",IF(SUMPRODUCT(-- ISNUMBER(SEARCH({"Formula","Roll-Up Summary"}, $B86))) &gt; 0,$B86 &amp; " (" &amp; $E86 &amp; ")",IF(SUMPRODUCT(-- ISNUMBER(SEARCH({"Content","Currency","Number","Percent","Text","URL"}, $B86))) &gt; 0,$B86 &amp; "(" &amp; $C86 &amp; ")",$B86)))), "  ", TRIM(IF($S86 = "YES", "(External ID)", "") &amp; " " &amp; IF(SUMPRODUCT(-- ISNUMBER(SEARCH({"Unique","Unique Case Insensitive"}, $R86))) &gt; 0, "(" &amp; $R86 &amp; ")", ""))))</f>
        <v>na</v>
      </c>
      <c r="E86" s="7" t="s">
        <v>195</v>
      </c>
      <c r="F86" s="7" t="s">
        <v>195</v>
      </c>
      <c r="G86" s="7" t="s">
        <v>195</v>
      </c>
      <c r="H86" s="7" t="s">
        <v>195</v>
      </c>
      <c r="I86" s="7" t="s">
        <v>195</v>
      </c>
      <c r="J86" s="7" t="s">
        <v>195</v>
      </c>
      <c r="K86" s="7" t="s">
        <v>195</v>
      </c>
      <c r="L86" s="7" t="s">
        <v>195</v>
      </c>
      <c r="M86" s="7" t="s">
        <v>29</v>
      </c>
      <c r="N86" s="7" t="s">
        <v>29</v>
      </c>
      <c r="O86" s="7" t="s">
        <v>29</v>
      </c>
      <c r="P86" s="7" t="s">
        <v>29</v>
      </c>
      <c r="Q86" s="7" t="s">
        <v>29</v>
      </c>
      <c r="R86" s="7" t="s">
        <v>29</v>
      </c>
      <c r="S86" s="7" t="s">
        <v>29</v>
      </c>
    </row>
    <row r="87" spans="2:19">
      <c r="B87" s="7" t="s">
        <v>195</v>
      </c>
      <c r="C87" s="8" t="s">
        <v>195</v>
      </c>
      <c r="D87" s="6" t="str">
        <f>LRTRIM(CONCATENATE(IF(SUMPRODUCT(-- ISNUMBER(SEARCH({"Auto Number"}, $B87))) &gt; 0, $B87, IF(SUMPRODUCT(-- ISNUMBER(SEARCH({"Lookup","Master-Detail"}, $B87))) &gt; 0,$B87 &amp; "(" &amp; $E87 &amp; ")",IF(SUMPRODUCT(-- ISNUMBER(SEARCH({"Formula","Roll-Up Summary"}, $B87))) &gt; 0,$B87 &amp; " (" &amp; $E87 &amp; ")",IF(SUMPRODUCT(-- ISNUMBER(SEARCH({"Content","Currency","Number","Percent","Text","URL"}, $B87))) &gt; 0,$B87 &amp; "(" &amp; $C87 &amp; ")",$B87)))), "  ", TRIM(IF($S87 = "YES", "(External ID)", "") &amp; " " &amp; IF(SUMPRODUCT(-- ISNUMBER(SEARCH({"Unique","Unique Case Insensitive"}, $R87))) &gt; 0, "(" &amp; $R87 &amp; ")", ""))))</f>
        <v>na</v>
      </c>
      <c r="E87" s="7" t="s">
        <v>195</v>
      </c>
      <c r="F87" s="7" t="s">
        <v>195</v>
      </c>
      <c r="G87" s="7" t="s">
        <v>195</v>
      </c>
      <c r="H87" s="7" t="s">
        <v>195</v>
      </c>
      <c r="I87" s="7" t="s">
        <v>195</v>
      </c>
      <c r="J87" s="7" t="s">
        <v>195</v>
      </c>
      <c r="K87" s="7" t="s">
        <v>195</v>
      </c>
      <c r="L87" s="7" t="s">
        <v>195</v>
      </c>
      <c r="M87" s="7" t="s">
        <v>29</v>
      </c>
      <c r="N87" s="7" t="s">
        <v>29</v>
      </c>
      <c r="O87" s="7" t="s">
        <v>29</v>
      </c>
      <c r="P87" s="7" t="s">
        <v>29</v>
      </c>
      <c r="Q87" s="7" t="s">
        <v>29</v>
      </c>
      <c r="R87" s="7" t="s">
        <v>29</v>
      </c>
      <c r="S87" s="7" t="s">
        <v>29</v>
      </c>
    </row>
    <row r="88" spans="2:19">
      <c r="B88" s="7" t="s">
        <v>195</v>
      </c>
      <c r="C88" s="8" t="s">
        <v>195</v>
      </c>
      <c r="D88" s="6" t="str">
        <f>LRTRIM(CONCATENATE(IF(SUMPRODUCT(-- ISNUMBER(SEARCH({"Auto Number"}, $B88))) &gt; 0, $B88, IF(SUMPRODUCT(-- ISNUMBER(SEARCH({"Lookup","Master-Detail"}, $B88))) &gt; 0,$B88 &amp; "(" &amp; $E88 &amp; ")",IF(SUMPRODUCT(-- ISNUMBER(SEARCH({"Formula","Roll-Up Summary"}, $B88))) &gt; 0,$B88 &amp; " (" &amp; $E88 &amp; ")",IF(SUMPRODUCT(-- ISNUMBER(SEARCH({"Content","Currency","Number","Percent","Text","URL"}, $B88))) &gt; 0,$B88 &amp; "(" &amp; $C88 &amp; ")",$B88)))), "  ", TRIM(IF($S88 = "YES", "(External ID)", "") &amp; " " &amp; IF(SUMPRODUCT(-- ISNUMBER(SEARCH({"Unique","Unique Case Insensitive"}, $R88))) &gt; 0, "(" &amp; $R88 &amp; ")", ""))))</f>
        <v>na</v>
      </c>
      <c r="E88" s="7" t="s">
        <v>195</v>
      </c>
      <c r="F88" s="7" t="s">
        <v>195</v>
      </c>
      <c r="G88" s="7" t="s">
        <v>195</v>
      </c>
      <c r="H88" s="7" t="s">
        <v>195</v>
      </c>
      <c r="I88" s="7" t="s">
        <v>195</v>
      </c>
      <c r="J88" s="7" t="s">
        <v>195</v>
      </c>
      <c r="K88" s="7" t="s">
        <v>195</v>
      </c>
      <c r="L88" s="7" t="s">
        <v>195</v>
      </c>
      <c r="M88" s="7" t="s">
        <v>29</v>
      </c>
      <c r="N88" s="7" t="s">
        <v>29</v>
      </c>
      <c r="O88" s="7" t="s">
        <v>29</v>
      </c>
      <c r="P88" s="7" t="s">
        <v>29</v>
      </c>
      <c r="Q88" s="7" t="s">
        <v>29</v>
      </c>
      <c r="R88" s="7" t="s">
        <v>29</v>
      </c>
      <c r="S88" s="7" t="s">
        <v>29</v>
      </c>
    </row>
    <row r="89" spans="2:19">
      <c r="B89" s="7" t="s">
        <v>195</v>
      </c>
      <c r="C89" s="8" t="s">
        <v>195</v>
      </c>
      <c r="D89" s="6" t="str">
        <f>LRTRIM(CONCATENATE(IF(SUMPRODUCT(-- ISNUMBER(SEARCH({"Auto Number"}, $B89))) &gt; 0, $B89, IF(SUMPRODUCT(-- ISNUMBER(SEARCH({"Lookup","Master-Detail"}, $B89))) &gt; 0,$B89 &amp; "(" &amp; $E89 &amp; ")",IF(SUMPRODUCT(-- ISNUMBER(SEARCH({"Formula","Roll-Up Summary"}, $B89))) &gt; 0,$B89 &amp; " (" &amp; $E89 &amp; ")",IF(SUMPRODUCT(-- ISNUMBER(SEARCH({"Content","Currency","Number","Percent","Text","URL"}, $B89))) &gt; 0,$B89 &amp; "(" &amp; $C89 &amp; ")",$B89)))), "  ", TRIM(IF($S89 = "YES", "(External ID)", "") &amp; " " &amp; IF(SUMPRODUCT(-- ISNUMBER(SEARCH({"Unique","Unique Case Insensitive"}, $R89))) &gt; 0, "(" &amp; $R89 &amp; ")", ""))))</f>
        <v>na</v>
      </c>
      <c r="E89" s="7" t="s">
        <v>195</v>
      </c>
      <c r="F89" s="7" t="s">
        <v>195</v>
      </c>
      <c r="G89" s="7" t="s">
        <v>195</v>
      </c>
      <c r="H89" s="7" t="s">
        <v>195</v>
      </c>
      <c r="I89" s="7" t="s">
        <v>195</v>
      </c>
      <c r="J89" s="7" t="s">
        <v>195</v>
      </c>
      <c r="K89" s="7" t="s">
        <v>195</v>
      </c>
      <c r="L89" s="7" t="s">
        <v>195</v>
      </c>
      <c r="M89" s="7" t="s">
        <v>29</v>
      </c>
      <c r="N89" s="7" t="s">
        <v>29</v>
      </c>
      <c r="O89" s="7" t="s">
        <v>29</v>
      </c>
      <c r="P89" s="7" t="s">
        <v>29</v>
      </c>
      <c r="Q89" s="7" t="s">
        <v>29</v>
      </c>
      <c r="R89" s="7" t="s">
        <v>29</v>
      </c>
      <c r="S89" s="7" t="s">
        <v>29</v>
      </c>
    </row>
    <row r="90" spans="2:19">
      <c r="B90" s="7" t="s">
        <v>195</v>
      </c>
      <c r="C90" s="8" t="s">
        <v>195</v>
      </c>
      <c r="D90" s="6" t="str">
        <f>LRTRIM(CONCATENATE(IF(SUMPRODUCT(-- ISNUMBER(SEARCH({"Auto Number"}, $B90))) &gt; 0, $B90, IF(SUMPRODUCT(-- ISNUMBER(SEARCH({"Lookup","Master-Detail"}, $B90))) &gt; 0,$B90 &amp; "(" &amp; $E90 &amp; ")",IF(SUMPRODUCT(-- ISNUMBER(SEARCH({"Formula","Roll-Up Summary"}, $B90))) &gt; 0,$B90 &amp; " (" &amp; $E90 &amp; ")",IF(SUMPRODUCT(-- ISNUMBER(SEARCH({"Content","Currency","Number","Percent","Text","URL"}, $B90))) &gt; 0,$B90 &amp; "(" &amp; $C90 &amp; ")",$B90)))), "  ", TRIM(IF($S90 = "YES", "(External ID)", "") &amp; " " &amp; IF(SUMPRODUCT(-- ISNUMBER(SEARCH({"Unique","Unique Case Insensitive"}, $R90))) &gt; 0, "(" &amp; $R90 &amp; ")", ""))))</f>
        <v>na</v>
      </c>
      <c r="E90" s="7" t="s">
        <v>195</v>
      </c>
      <c r="F90" s="7" t="s">
        <v>195</v>
      </c>
      <c r="G90" s="7" t="s">
        <v>195</v>
      </c>
      <c r="H90" s="7" t="s">
        <v>195</v>
      </c>
      <c r="I90" s="7" t="s">
        <v>195</v>
      </c>
      <c r="J90" s="7" t="s">
        <v>195</v>
      </c>
      <c r="K90" s="7" t="s">
        <v>195</v>
      </c>
      <c r="L90" s="7" t="s">
        <v>195</v>
      </c>
      <c r="M90" s="7" t="s">
        <v>29</v>
      </c>
      <c r="N90" s="7" t="s">
        <v>29</v>
      </c>
      <c r="O90" s="7" t="s">
        <v>29</v>
      </c>
      <c r="P90" s="7" t="s">
        <v>29</v>
      </c>
      <c r="Q90" s="7" t="s">
        <v>29</v>
      </c>
      <c r="R90" s="7" t="s">
        <v>29</v>
      </c>
      <c r="S90" s="7" t="s">
        <v>29</v>
      </c>
    </row>
    <row r="91" spans="2:19">
      <c r="B91" s="7" t="s">
        <v>195</v>
      </c>
      <c r="C91" s="8" t="s">
        <v>195</v>
      </c>
      <c r="D91" s="6" t="str">
        <f>LRTRIM(CONCATENATE(IF(SUMPRODUCT(-- ISNUMBER(SEARCH({"Auto Number"}, $B91))) &gt; 0, $B91, IF(SUMPRODUCT(-- ISNUMBER(SEARCH({"Lookup","Master-Detail"}, $B91))) &gt; 0,$B91 &amp; "(" &amp; $E91 &amp; ")",IF(SUMPRODUCT(-- ISNUMBER(SEARCH({"Formula","Roll-Up Summary"}, $B91))) &gt; 0,$B91 &amp; " (" &amp; $E91 &amp; ")",IF(SUMPRODUCT(-- ISNUMBER(SEARCH({"Content","Currency","Number","Percent","Text","URL"}, $B91))) &gt; 0,$B91 &amp; "(" &amp; $C91 &amp; ")",$B91)))), "  ", TRIM(IF($S91 = "YES", "(External ID)", "") &amp; " " &amp; IF(SUMPRODUCT(-- ISNUMBER(SEARCH({"Unique","Unique Case Insensitive"}, $R91))) &gt; 0, "(" &amp; $R91 &amp; ")", ""))))</f>
        <v>na</v>
      </c>
      <c r="E91" s="7" t="s">
        <v>195</v>
      </c>
      <c r="F91" s="7" t="s">
        <v>195</v>
      </c>
      <c r="G91" s="7" t="s">
        <v>195</v>
      </c>
      <c r="H91" s="7" t="s">
        <v>195</v>
      </c>
      <c r="I91" s="7" t="s">
        <v>195</v>
      </c>
      <c r="J91" s="7" t="s">
        <v>195</v>
      </c>
      <c r="K91" s="7" t="s">
        <v>195</v>
      </c>
      <c r="L91" s="7" t="s">
        <v>195</v>
      </c>
      <c r="M91" s="7" t="s">
        <v>29</v>
      </c>
      <c r="N91" s="7" t="s">
        <v>29</v>
      </c>
      <c r="O91" s="7" t="s">
        <v>29</v>
      </c>
      <c r="P91" s="7" t="s">
        <v>29</v>
      </c>
      <c r="Q91" s="7" t="s">
        <v>29</v>
      </c>
      <c r="R91" s="7" t="s">
        <v>29</v>
      </c>
      <c r="S91" s="7" t="s">
        <v>29</v>
      </c>
    </row>
    <row r="92" spans="2:19">
      <c r="B92" s="7" t="s">
        <v>195</v>
      </c>
      <c r="C92" s="8" t="s">
        <v>195</v>
      </c>
      <c r="D92" s="6" t="str">
        <f>LRTRIM(CONCATENATE(IF(SUMPRODUCT(-- ISNUMBER(SEARCH({"Auto Number"}, $B92))) &gt; 0, $B92, IF(SUMPRODUCT(-- ISNUMBER(SEARCH({"Lookup","Master-Detail"}, $B92))) &gt; 0,$B92 &amp; "(" &amp; $E92 &amp; ")",IF(SUMPRODUCT(-- ISNUMBER(SEARCH({"Formula","Roll-Up Summary"}, $B92))) &gt; 0,$B92 &amp; " (" &amp; $E92 &amp; ")",IF(SUMPRODUCT(-- ISNUMBER(SEARCH({"Content","Currency","Number","Percent","Text","URL"}, $B92))) &gt; 0,$B92 &amp; "(" &amp; $C92 &amp; ")",$B92)))), "  ", TRIM(IF($S92 = "YES", "(External ID)", "") &amp; " " &amp; IF(SUMPRODUCT(-- ISNUMBER(SEARCH({"Unique","Unique Case Insensitive"}, $R92))) &gt; 0, "(" &amp; $R92 &amp; ")", ""))))</f>
        <v>na</v>
      </c>
      <c r="E92" s="7" t="s">
        <v>195</v>
      </c>
      <c r="F92" s="7" t="s">
        <v>195</v>
      </c>
      <c r="G92" s="7" t="s">
        <v>195</v>
      </c>
      <c r="H92" s="7" t="s">
        <v>195</v>
      </c>
      <c r="I92" s="7" t="s">
        <v>195</v>
      </c>
      <c r="J92" s="7" t="s">
        <v>195</v>
      </c>
      <c r="K92" s="7" t="s">
        <v>195</v>
      </c>
      <c r="L92" s="7" t="s">
        <v>195</v>
      </c>
      <c r="M92" s="7" t="s">
        <v>29</v>
      </c>
      <c r="N92" s="7" t="s">
        <v>29</v>
      </c>
      <c r="O92" s="7" t="s">
        <v>29</v>
      </c>
      <c r="P92" s="7" t="s">
        <v>29</v>
      </c>
      <c r="Q92" s="7" t="s">
        <v>29</v>
      </c>
      <c r="R92" s="7" t="s">
        <v>29</v>
      </c>
      <c r="S92" s="7" t="s">
        <v>29</v>
      </c>
    </row>
    <row r="93" spans="2:19">
      <c r="B93" s="7" t="s">
        <v>195</v>
      </c>
      <c r="C93" s="8" t="s">
        <v>195</v>
      </c>
      <c r="D93" s="6" t="str">
        <f>LRTRIM(CONCATENATE(IF(SUMPRODUCT(-- ISNUMBER(SEARCH({"Auto Number"}, $B93))) &gt; 0, $B93, IF(SUMPRODUCT(-- ISNUMBER(SEARCH({"Lookup","Master-Detail"}, $B93))) &gt; 0,$B93 &amp; "(" &amp; $E93 &amp; ")",IF(SUMPRODUCT(-- ISNUMBER(SEARCH({"Formula","Roll-Up Summary"}, $B93))) &gt; 0,$B93 &amp; " (" &amp; $E93 &amp; ")",IF(SUMPRODUCT(-- ISNUMBER(SEARCH({"Content","Currency","Number","Percent","Text","URL"}, $B93))) &gt; 0,$B93 &amp; "(" &amp; $C93 &amp; ")",$B93)))), "  ", TRIM(IF($S93 = "YES", "(External ID)", "") &amp; " " &amp; IF(SUMPRODUCT(-- ISNUMBER(SEARCH({"Unique","Unique Case Insensitive"}, $R93))) &gt; 0, "(" &amp; $R93 &amp; ")", ""))))</f>
        <v>na</v>
      </c>
      <c r="E93" s="7" t="s">
        <v>195</v>
      </c>
      <c r="F93" s="7" t="s">
        <v>195</v>
      </c>
      <c r="G93" s="7" t="s">
        <v>195</v>
      </c>
      <c r="H93" s="7" t="s">
        <v>195</v>
      </c>
      <c r="I93" s="7" t="s">
        <v>195</v>
      </c>
      <c r="J93" s="7" t="s">
        <v>195</v>
      </c>
      <c r="K93" s="7" t="s">
        <v>195</v>
      </c>
      <c r="L93" s="7" t="s">
        <v>195</v>
      </c>
      <c r="M93" s="7" t="s">
        <v>29</v>
      </c>
      <c r="N93" s="7" t="s">
        <v>29</v>
      </c>
      <c r="O93" s="7" t="s">
        <v>29</v>
      </c>
      <c r="P93" s="7" t="s">
        <v>29</v>
      </c>
      <c r="Q93" s="7" t="s">
        <v>29</v>
      </c>
      <c r="R93" s="7" t="s">
        <v>29</v>
      </c>
      <c r="S93" s="7" t="s">
        <v>29</v>
      </c>
    </row>
    <row r="94" spans="2:19">
      <c r="B94" s="7" t="s">
        <v>195</v>
      </c>
      <c r="C94" s="8" t="s">
        <v>195</v>
      </c>
      <c r="D94" s="6" t="str">
        <f>LRTRIM(CONCATENATE(IF(SUMPRODUCT(-- ISNUMBER(SEARCH({"Auto Number"}, $B94))) &gt; 0, $B94, IF(SUMPRODUCT(-- ISNUMBER(SEARCH({"Lookup","Master-Detail"}, $B94))) &gt; 0,$B94 &amp; "(" &amp; $E94 &amp; ")",IF(SUMPRODUCT(-- ISNUMBER(SEARCH({"Formula","Roll-Up Summary"}, $B94))) &gt; 0,$B94 &amp; " (" &amp; $E94 &amp; ")",IF(SUMPRODUCT(-- ISNUMBER(SEARCH({"Content","Currency","Number","Percent","Text","URL"}, $B94))) &gt; 0,$B94 &amp; "(" &amp; $C94 &amp; ")",$B94)))), "  ", TRIM(IF($S94 = "YES", "(External ID)", "") &amp; " " &amp; IF(SUMPRODUCT(-- ISNUMBER(SEARCH({"Unique","Unique Case Insensitive"}, $R94))) &gt; 0, "(" &amp; $R94 &amp; ")", ""))))</f>
        <v>na</v>
      </c>
      <c r="E94" s="7" t="s">
        <v>195</v>
      </c>
      <c r="F94" s="7" t="s">
        <v>195</v>
      </c>
      <c r="G94" s="7" t="s">
        <v>195</v>
      </c>
      <c r="H94" s="7" t="s">
        <v>195</v>
      </c>
      <c r="I94" s="7" t="s">
        <v>195</v>
      </c>
      <c r="J94" s="7" t="s">
        <v>195</v>
      </c>
      <c r="K94" s="7" t="s">
        <v>195</v>
      </c>
      <c r="L94" s="7" t="s">
        <v>195</v>
      </c>
      <c r="M94" s="7" t="s">
        <v>29</v>
      </c>
      <c r="N94" s="7" t="s">
        <v>29</v>
      </c>
      <c r="O94" s="7" t="s">
        <v>29</v>
      </c>
      <c r="P94" s="7" t="s">
        <v>29</v>
      </c>
      <c r="Q94" s="7" t="s">
        <v>29</v>
      </c>
      <c r="R94" s="7" t="s">
        <v>29</v>
      </c>
      <c r="S94" s="7" t="s">
        <v>29</v>
      </c>
    </row>
    <row r="95" spans="2:19">
      <c r="B95" s="7" t="s">
        <v>195</v>
      </c>
      <c r="C95" s="8" t="s">
        <v>195</v>
      </c>
      <c r="D95" s="6" t="str">
        <f>LRTRIM(CONCATENATE(IF(SUMPRODUCT(-- ISNUMBER(SEARCH({"Auto Number"}, $B95))) &gt; 0, $B95, IF(SUMPRODUCT(-- ISNUMBER(SEARCH({"Lookup","Master-Detail"}, $B95))) &gt; 0,$B95 &amp; "(" &amp; $E95 &amp; ")",IF(SUMPRODUCT(-- ISNUMBER(SEARCH({"Formula","Roll-Up Summary"}, $B95))) &gt; 0,$B95 &amp; " (" &amp; $E95 &amp; ")",IF(SUMPRODUCT(-- ISNUMBER(SEARCH({"Content","Currency","Number","Percent","Text","URL"}, $B95))) &gt; 0,$B95 &amp; "(" &amp; $C95 &amp; ")",$B95)))), "  ", TRIM(IF($S95 = "YES", "(External ID)", "") &amp; " " &amp; IF(SUMPRODUCT(-- ISNUMBER(SEARCH({"Unique","Unique Case Insensitive"}, $R95))) &gt; 0, "(" &amp; $R95 &amp; ")", ""))))</f>
        <v>na</v>
      </c>
      <c r="E95" s="7" t="s">
        <v>195</v>
      </c>
      <c r="F95" s="7" t="s">
        <v>195</v>
      </c>
      <c r="G95" s="7" t="s">
        <v>195</v>
      </c>
      <c r="H95" s="7" t="s">
        <v>195</v>
      </c>
      <c r="I95" s="7" t="s">
        <v>195</v>
      </c>
      <c r="J95" s="7" t="s">
        <v>195</v>
      </c>
      <c r="K95" s="7" t="s">
        <v>195</v>
      </c>
      <c r="L95" s="7" t="s">
        <v>195</v>
      </c>
      <c r="M95" s="7" t="s">
        <v>29</v>
      </c>
      <c r="N95" s="7" t="s">
        <v>29</v>
      </c>
      <c r="O95" s="7" t="s">
        <v>29</v>
      </c>
      <c r="P95" s="7" t="s">
        <v>29</v>
      </c>
      <c r="Q95" s="7" t="s">
        <v>29</v>
      </c>
      <c r="R95" s="7" t="s">
        <v>29</v>
      </c>
      <c r="S95" s="7" t="s">
        <v>29</v>
      </c>
    </row>
    <row r="96" spans="2:19">
      <c r="B96" s="7" t="s">
        <v>195</v>
      </c>
      <c r="C96" s="8" t="s">
        <v>195</v>
      </c>
      <c r="D96" s="6" t="str">
        <f>LRTRIM(CONCATENATE(IF(SUMPRODUCT(-- ISNUMBER(SEARCH({"Auto Number"}, $B96))) &gt; 0, $B96, IF(SUMPRODUCT(-- ISNUMBER(SEARCH({"Lookup","Master-Detail"}, $B96))) &gt; 0,$B96 &amp; "(" &amp; $E96 &amp; ")",IF(SUMPRODUCT(-- ISNUMBER(SEARCH({"Formula","Roll-Up Summary"}, $B96))) &gt; 0,$B96 &amp; " (" &amp; $E96 &amp; ")",IF(SUMPRODUCT(-- ISNUMBER(SEARCH({"Content","Currency","Number","Percent","Text","URL"}, $B96))) &gt; 0,$B96 &amp; "(" &amp; $C96 &amp; ")",$B96)))), "  ", TRIM(IF($S96 = "YES", "(External ID)", "") &amp; " " &amp; IF(SUMPRODUCT(-- ISNUMBER(SEARCH({"Unique","Unique Case Insensitive"}, $R96))) &gt; 0, "(" &amp; $R96 &amp; ")", ""))))</f>
        <v>na</v>
      </c>
      <c r="E96" s="7" t="s">
        <v>195</v>
      </c>
      <c r="F96" s="7" t="s">
        <v>195</v>
      </c>
      <c r="G96" s="7" t="s">
        <v>195</v>
      </c>
      <c r="H96" s="7" t="s">
        <v>195</v>
      </c>
      <c r="I96" s="7" t="s">
        <v>195</v>
      </c>
      <c r="J96" s="7" t="s">
        <v>195</v>
      </c>
      <c r="K96" s="7" t="s">
        <v>195</v>
      </c>
      <c r="L96" s="7" t="s">
        <v>195</v>
      </c>
      <c r="M96" s="7" t="s">
        <v>29</v>
      </c>
      <c r="N96" s="7" t="s">
        <v>29</v>
      </c>
      <c r="O96" s="7" t="s">
        <v>29</v>
      </c>
      <c r="P96" s="7" t="s">
        <v>29</v>
      </c>
      <c r="Q96" s="7" t="s">
        <v>29</v>
      </c>
      <c r="R96" s="7" t="s">
        <v>29</v>
      </c>
      <c r="S96" s="7" t="s">
        <v>29</v>
      </c>
    </row>
    <row r="97" spans="2:19">
      <c r="B97" s="7" t="s">
        <v>195</v>
      </c>
      <c r="C97" s="8" t="s">
        <v>195</v>
      </c>
      <c r="D97" s="6" t="str">
        <f>LRTRIM(CONCATENATE(IF(SUMPRODUCT(-- ISNUMBER(SEARCH({"Auto Number"}, $B97))) &gt; 0, $B97, IF(SUMPRODUCT(-- ISNUMBER(SEARCH({"Lookup","Master-Detail"}, $B97))) &gt; 0,$B97 &amp; "(" &amp; $E97 &amp; ")",IF(SUMPRODUCT(-- ISNUMBER(SEARCH({"Formula","Roll-Up Summary"}, $B97))) &gt; 0,$B97 &amp; " (" &amp; $E97 &amp; ")",IF(SUMPRODUCT(-- ISNUMBER(SEARCH({"Content","Currency","Number","Percent","Text","URL"}, $B97))) &gt; 0,$B97 &amp; "(" &amp; $C97 &amp; ")",$B97)))), "  ", TRIM(IF($S97 = "YES", "(External ID)", "") &amp; " " &amp; IF(SUMPRODUCT(-- ISNUMBER(SEARCH({"Unique","Unique Case Insensitive"}, $R97))) &gt; 0, "(" &amp; $R97 &amp; ")", ""))))</f>
        <v>na</v>
      </c>
      <c r="E97" s="7" t="s">
        <v>195</v>
      </c>
      <c r="F97" s="7" t="s">
        <v>195</v>
      </c>
      <c r="G97" s="7" t="s">
        <v>195</v>
      </c>
      <c r="H97" s="7" t="s">
        <v>195</v>
      </c>
      <c r="I97" s="7" t="s">
        <v>195</v>
      </c>
      <c r="J97" s="7" t="s">
        <v>195</v>
      </c>
      <c r="K97" s="7" t="s">
        <v>195</v>
      </c>
      <c r="L97" s="7" t="s">
        <v>195</v>
      </c>
      <c r="M97" s="7" t="s">
        <v>29</v>
      </c>
      <c r="N97" s="7" t="s">
        <v>29</v>
      </c>
      <c r="O97" s="7" t="s">
        <v>29</v>
      </c>
      <c r="P97" s="7" t="s">
        <v>29</v>
      </c>
      <c r="Q97" s="7" t="s">
        <v>29</v>
      </c>
      <c r="R97" s="7" t="s">
        <v>29</v>
      </c>
      <c r="S97" s="7" t="s">
        <v>29</v>
      </c>
    </row>
    <row r="98" spans="2:19">
      <c r="B98" s="7" t="s">
        <v>195</v>
      </c>
      <c r="C98" s="8" t="s">
        <v>195</v>
      </c>
      <c r="D98" s="6" t="str">
        <f>LRTRIM(CONCATENATE(IF(SUMPRODUCT(-- ISNUMBER(SEARCH({"Auto Number"}, $B98))) &gt; 0, $B98, IF(SUMPRODUCT(-- ISNUMBER(SEARCH({"Lookup","Master-Detail"}, $B98))) &gt; 0,$B98 &amp; "(" &amp; $E98 &amp; ")",IF(SUMPRODUCT(-- ISNUMBER(SEARCH({"Formula","Roll-Up Summary"}, $B98))) &gt; 0,$B98 &amp; " (" &amp; $E98 &amp; ")",IF(SUMPRODUCT(-- ISNUMBER(SEARCH({"Content","Currency","Number","Percent","Text","URL"}, $B98))) &gt; 0,$B98 &amp; "(" &amp; $C98 &amp; ")",$B98)))), "  ", TRIM(IF($S98 = "YES", "(External ID)", "") &amp; " " &amp; IF(SUMPRODUCT(-- ISNUMBER(SEARCH({"Unique","Unique Case Insensitive"}, $R98))) &gt; 0, "(" &amp; $R98 &amp; ")", ""))))</f>
        <v>na</v>
      </c>
      <c r="E98" s="7" t="s">
        <v>195</v>
      </c>
      <c r="F98" s="7" t="s">
        <v>195</v>
      </c>
      <c r="G98" s="7" t="s">
        <v>195</v>
      </c>
      <c r="H98" s="7" t="s">
        <v>195</v>
      </c>
      <c r="I98" s="7" t="s">
        <v>195</v>
      </c>
      <c r="J98" s="7" t="s">
        <v>195</v>
      </c>
      <c r="K98" s="7" t="s">
        <v>195</v>
      </c>
      <c r="L98" s="7" t="s">
        <v>195</v>
      </c>
      <c r="M98" s="7" t="s">
        <v>29</v>
      </c>
      <c r="N98" s="7" t="s">
        <v>29</v>
      </c>
      <c r="O98" s="7" t="s">
        <v>29</v>
      </c>
      <c r="P98" s="7" t="s">
        <v>29</v>
      </c>
      <c r="Q98" s="7" t="s">
        <v>29</v>
      </c>
      <c r="R98" s="7" t="s">
        <v>29</v>
      </c>
      <c r="S98" s="7" t="s">
        <v>29</v>
      </c>
    </row>
    <row r="99" spans="2:19">
      <c r="B99" s="7" t="s">
        <v>195</v>
      </c>
      <c r="C99" s="8" t="s">
        <v>195</v>
      </c>
      <c r="D99" s="6" t="str">
        <f>LRTRIM(CONCATENATE(IF(SUMPRODUCT(-- ISNUMBER(SEARCH({"Auto Number"}, $B99))) &gt; 0, $B99, IF(SUMPRODUCT(-- ISNUMBER(SEARCH({"Lookup","Master-Detail"}, $B99))) &gt; 0,$B99 &amp; "(" &amp; $E99 &amp; ")",IF(SUMPRODUCT(-- ISNUMBER(SEARCH({"Formula","Roll-Up Summary"}, $B99))) &gt; 0,$B99 &amp; " (" &amp; $E99 &amp; ")",IF(SUMPRODUCT(-- ISNUMBER(SEARCH({"Content","Currency","Number","Percent","Text","URL"}, $B99))) &gt; 0,$B99 &amp; "(" &amp; $C99 &amp; ")",$B99)))), "  ", TRIM(IF($S99 = "YES", "(External ID)", "") &amp; " " &amp; IF(SUMPRODUCT(-- ISNUMBER(SEARCH({"Unique","Unique Case Insensitive"}, $R99))) &gt; 0, "(" &amp; $R99 &amp; ")", ""))))</f>
        <v>na</v>
      </c>
      <c r="E99" s="7" t="s">
        <v>195</v>
      </c>
      <c r="F99" s="7" t="s">
        <v>195</v>
      </c>
      <c r="G99" s="7" t="s">
        <v>195</v>
      </c>
      <c r="H99" s="7" t="s">
        <v>195</v>
      </c>
      <c r="I99" s="7" t="s">
        <v>195</v>
      </c>
      <c r="J99" s="7" t="s">
        <v>195</v>
      </c>
      <c r="K99" s="7" t="s">
        <v>195</v>
      </c>
      <c r="L99" s="7" t="s">
        <v>195</v>
      </c>
      <c r="M99" s="7" t="s">
        <v>29</v>
      </c>
      <c r="N99" s="7" t="s">
        <v>29</v>
      </c>
      <c r="O99" s="7" t="s">
        <v>29</v>
      </c>
      <c r="P99" s="7" t="s">
        <v>29</v>
      </c>
      <c r="Q99" s="7" t="s">
        <v>29</v>
      </c>
      <c r="R99" s="7" t="s">
        <v>29</v>
      </c>
      <c r="S99" s="7" t="s">
        <v>29</v>
      </c>
    </row>
    <row r="100" spans="2:19">
      <c r="B100" s="7" t="s">
        <v>195</v>
      </c>
      <c r="C100" s="8" t="s">
        <v>195</v>
      </c>
      <c r="D100" s="6" t="str">
        <f>LRTRIM(CONCATENATE(IF(SUMPRODUCT(-- ISNUMBER(SEARCH({"Auto Number"}, $B100))) &gt; 0, $B100, IF(SUMPRODUCT(-- ISNUMBER(SEARCH({"Lookup","Master-Detail"}, $B100))) &gt; 0,$B100 &amp; "(" &amp; $E100 &amp; ")",IF(SUMPRODUCT(-- ISNUMBER(SEARCH({"Formula","Roll-Up Summary"}, $B100))) &gt; 0,$B100 &amp; " (" &amp; $E100 &amp; ")",IF(SUMPRODUCT(-- ISNUMBER(SEARCH({"Content","Currency","Number","Percent","Text","URL"}, $B100))) &gt; 0,$B100 &amp; "(" &amp; $C100 &amp; ")",$B100)))), "  ", TRIM(IF($S100 = "YES", "(External ID)", "") &amp; " " &amp; IF(SUMPRODUCT(-- ISNUMBER(SEARCH({"Unique","Unique Case Insensitive"}, $R100))) &gt; 0, "(" &amp; $R100 &amp; ")", ""))))</f>
        <v>na</v>
      </c>
      <c r="E100" s="7" t="s">
        <v>195</v>
      </c>
      <c r="F100" s="7" t="s">
        <v>195</v>
      </c>
      <c r="G100" s="7" t="s">
        <v>195</v>
      </c>
      <c r="H100" s="7" t="s">
        <v>195</v>
      </c>
      <c r="I100" s="7" t="s">
        <v>195</v>
      </c>
      <c r="J100" s="7" t="s">
        <v>195</v>
      </c>
      <c r="K100" s="7" t="s">
        <v>195</v>
      </c>
      <c r="L100" s="7" t="s">
        <v>195</v>
      </c>
      <c r="M100" s="7" t="s">
        <v>29</v>
      </c>
      <c r="N100" s="7" t="s">
        <v>29</v>
      </c>
      <c r="O100" s="7" t="s">
        <v>29</v>
      </c>
      <c r="P100" s="7" t="s">
        <v>29</v>
      </c>
      <c r="Q100" s="7" t="s">
        <v>29</v>
      </c>
      <c r="R100" s="7" t="s">
        <v>29</v>
      </c>
      <c r="S100" s="7" t="s">
        <v>29</v>
      </c>
    </row>
    <row r="101" spans="2:19">
      <c r="B101" s="7" t="s">
        <v>195</v>
      </c>
      <c r="C101" s="8" t="s">
        <v>195</v>
      </c>
      <c r="D101" s="6" t="str">
        <f>LRTRIM(CONCATENATE(IF(SUMPRODUCT(-- ISNUMBER(SEARCH({"Auto Number"}, $B101))) &gt; 0, $B101, IF(SUMPRODUCT(-- ISNUMBER(SEARCH({"Lookup","Master-Detail"}, $B101))) &gt; 0,$B101 &amp; "(" &amp; $E101 &amp; ")",IF(SUMPRODUCT(-- ISNUMBER(SEARCH({"Formula","Roll-Up Summary"}, $B101))) &gt; 0,$B101 &amp; " (" &amp; $E101 &amp; ")",IF(SUMPRODUCT(-- ISNUMBER(SEARCH({"Content","Currency","Number","Percent","Text","URL"}, $B101))) &gt; 0,$B101 &amp; "(" &amp; $C101 &amp; ")",$B101)))), "  ", TRIM(IF($S101 = "YES", "(External ID)", "") &amp; " " &amp; IF(SUMPRODUCT(-- ISNUMBER(SEARCH({"Unique","Unique Case Insensitive"}, $R101))) &gt; 0, "(" &amp; $R101 &amp; ")", ""))))</f>
        <v>na</v>
      </c>
      <c r="E101" s="7" t="s">
        <v>195</v>
      </c>
      <c r="F101" s="7" t="s">
        <v>195</v>
      </c>
      <c r="G101" s="7" t="s">
        <v>195</v>
      </c>
      <c r="H101" s="7" t="s">
        <v>195</v>
      </c>
      <c r="I101" s="7" t="s">
        <v>195</v>
      </c>
      <c r="J101" s="7" t="s">
        <v>195</v>
      </c>
      <c r="K101" s="7" t="s">
        <v>195</v>
      </c>
      <c r="L101" s="7" t="s">
        <v>195</v>
      </c>
      <c r="M101" s="7" t="s">
        <v>29</v>
      </c>
      <c r="N101" s="7" t="s">
        <v>29</v>
      </c>
      <c r="O101" s="7" t="s">
        <v>29</v>
      </c>
      <c r="P101" s="7" t="s">
        <v>29</v>
      </c>
      <c r="Q101" s="7" t="s">
        <v>29</v>
      </c>
      <c r="R101" s="7" t="s">
        <v>29</v>
      </c>
      <c r="S101" s="7" t="s">
        <v>29</v>
      </c>
    </row>
    <row r="102" spans="2:19">
      <c r="B102" s="7" t="s">
        <v>195</v>
      </c>
      <c r="C102" s="8" t="s">
        <v>195</v>
      </c>
      <c r="D102" s="6" t="str">
        <f>LRTRIM(CONCATENATE(IF(SUMPRODUCT(-- ISNUMBER(SEARCH({"Auto Number"}, $B102))) &gt; 0, $B102, IF(SUMPRODUCT(-- ISNUMBER(SEARCH({"Lookup","Master-Detail"}, $B102))) &gt; 0,$B102 &amp; "(" &amp; $E102 &amp; ")",IF(SUMPRODUCT(-- ISNUMBER(SEARCH({"Formula","Roll-Up Summary"}, $B102))) &gt; 0,$B102 &amp; " (" &amp; $E102 &amp; ")",IF(SUMPRODUCT(-- ISNUMBER(SEARCH({"Content","Currency","Number","Percent","Text","URL"}, $B102))) &gt; 0,$B102 &amp; "(" &amp; $C102 &amp; ")",$B102)))), "  ", TRIM(IF($S102 = "YES", "(External ID)", "") &amp; " " &amp; IF(SUMPRODUCT(-- ISNUMBER(SEARCH({"Unique","Unique Case Insensitive"}, $R102))) &gt; 0, "(" &amp; $R102 &amp; ")", ""))))</f>
        <v>na</v>
      </c>
      <c r="E102" s="7" t="s">
        <v>195</v>
      </c>
      <c r="F102" s="7" t="s">
        <v>195</v>
      </c>
      <c r="G102" s="7" t="s">
        <v>195</v>
      </c>
      <c r="H102" s="7" t="s">
        <v>195</v>
      </c>
      <c r="I102" s="7" t="s">
        <v>195</v>
      </c>
      <c r="J102" s="7" t="s">
        <v>195</v>
      </c>
      <c r="K102" s="7" t="s">
        <v>195</v>
      </c>
      <c r="L102" s="7" t="s">
        <v>195</v>
      </c>
      <c r="M102" s="7" t="s">
        <v>29</v>
      </c>
      <c r="N102" s="7" t="s">
        <v>29</v>
      </c>
      <c r="O102" s="7" t="s">
        <v>29</v>
      </c>
      <c r="P102" s="7" t="s">
        <v>29</v>
      </c>
      <c r="Q102" s="7" t="s">
        <v>29</v>
      </c>
      <c r="R102" s="7" t="s">
        <v>29</v>
      </c>
      <c r="S102" s="7" t="s">
        <v>29</v>
      </c>
    </row>
    <row r="103" spans="2:19">
      <c r="B103" s="7" t="s">
        <v>195</v>
      </c>
      <c r="C103" s="8" t="s">
        <v>195</v>
      </c>
      <c r="D103" s="6" t="str">
        <f>LRTRIM(CONCATENATE(IF(SUMPRODUCT(-- ISNUMBER(SEARCH({"Auto Number"}, $B103))) &gt; 0, $B103, IF(SUMPRODUCT(-- ISNUMBER(SEARCH({"Lookup","Master-Detail"}, $B103))) &gt; 0,$B103 &amp; "(" &amp; $E103 &amp; ")",IF(SUMPRODUCT(-- ISNUMBER(SEARCH({"Formula","Roll-Up Summary"}, $B103))) &gt; 0,$B103 &amp; " (" &amp; $E103 &amp; ")",IF(SUMPRODUCT(-- ISNUMBER(SEARCH({"Content","Currency","Number","Percent","Text","URL"}, $B103))) &gt; 0,$B103 &amp; "(" &amp; $C103 &amp; ")",$B103)))), "  ", TRIM(IF($S103 = "YES", "(External ID)", "") &amp; " " &amp; IF(SUMPRODUCT(-- ISNUMBER(SEARCH({"Unique","Unique Case Insensitive"}, $R103))) &gt; 0, "(" &amp; $R103 &amp; ")", ""))))</f>
        <v>na</v>
      </c>
      <c r="E103" s="7" t="s">
        <v>195</v>
      </c>
      <c r="F103" s="7" t="s">
        <v>195</v>
      </c>
      <c r="G103" s="7" t="s">
        <v>195</v>
      </c>
      <c r="H103" s="7" t="s">
        <v>195</v>
      </c>
      <c r="I103" s="7" t="s">
        <v>195</v>
      </c>
      <c r="J103" s="7" t="s">
        <v>195</v>
      </c>
      <c r="K103" s="7" t="s">
        <v>195</v>
      </c>
      <c r="L103" s="7" t="s">
        <v>195</v>
      </c>
      <c r="M103" s="7" t="s">
        <v>29</v>
      </c>
      <c r="N103" s="7" t="s">
        <v>29</v>
      </c>
      <c r="O103" s="7" t="s">
        <v>29</v>
      </c>
      <c r="P103" s="7" t="s">
        <v>29</v>
      </c>
      <c r="Q103" s="7" t="s">
        <v>29</v>
      </c>
      <c r="R103" s="7" t="s">
        <v>29</v>
      </c>
      <c r="S103" s="7" t="s">
        <v>29</v>
      </c>
    </row>
    <row r="104" spans="2:19">
      <c r="B104" s="7" t="s">
        <v>195</v>
      </c>
      <c r="C104" s="8" t="s">
        <v>195</v>
      </c>
      <c r="D104" s="6" t="str">
        <f>LRTRIM(CONCATENATE(IF(SUMPRODUCT(-- ISNUMBER(SEARCH({"Auto Number"}, $B104))) &gt; 0, $B104, IF(SUMPRODUCT(-- ISNUMBER(SEARCH({"Lookup","Master-Detail"}, $B104))) &gt; 0,$B104 &amp; "(" &amp; $E104 &amp; ")",IF(SUMPRODUCT(-- ISNUMBER(SEARCH({"Formula","Roll-Up Summary"}, $B104))) &gt; 0,$B104 &amp; " (" &amp; $E104 &amp; ")",IF(SUMPRODUCT(-- ISNUMBER(SEARCH({"Content","Currency","Number","Percent","Text","URL"}, $B104))) &gt; 0,$B104 &amp; "(" &amp; $C104 &amp; ")",$B104)))), "  ", TRIM(IF($S104 = "YES", "(External ID)", "") &amp; " " &amp; IF(SUMPRODUCT(-- ISNUMBER(SEARCH({"Unique","Unique Case Insensitive"}, $R104))) &gt; 0, "(" &amp; $R104 &amp; ")", ""))))</f>
        <v>na</v>
      </c>
      <c r="E104" s="7" t="s">
        <v>195</v>
      </c>
      <c r="F104" s="7" t="s">
        <v>195</v>
      </c>
      <c r="G104" s="7" t="s">
        <v>195</v>
      </c>
      <c r="H104" s="7" t="s">
        <v>195</v>
      </c>
      <c r="I104" s="7" t="s">
        <v>195</v>
      </c>
      <c r="J104" s="7" t="s">
        <v>195</v>
      </c>
      <c r="K104" s="7" t="s">
        <v>195</v>
      </c>
      <c r="L104" s="7" t="s">
        <v>195</v>
      </c>
      <c r="M104" s="7" t="s">
        <v>29</v>
      </c>
      <c r="N104" s="7" t="s">
        <v>29</v>
      </c>
      <c r="O104" s="7" t="s">
        <v>29</v>
      </c>
      <c r="P104" s="7" t="s">
        <v>29</v>
      </c>
      <c r="Q104" s="7" t="s">
        <v>29</v>
      </c>
      <c r="R104" s="7" t="s">
        <v>29</v>
      </c>
      <c r="S104" s="7" t="s">
        <v>29</v>
      </c>
    </row>
    <row r="105" spans="2:19">
      <c r="B105" s="7" t="s">
        <v>195</v>
      </c>
      <c r="C105" s="8" t="s">
        <v>195</v>
      </c>
      <c r="D105" s="6" t="str">
        <f>LRTRIM(CONCATENATE(IF(SUMPRODUCT(-- ISNUMBER(SEARCH({"Auto Number"}, $B105))) &gt; 0, $B105, IF(SUMPRODUCT(-- ISNUMBER(SEARCH({"Lookup","Master-Detail"}, $B105))) &gt; 0,$B105 &amp; "(" &amp; $E105 &amp; ")",IF(SUMPRODUCT(-- ISNUMBER(SEARCH({"Formula","Roll-Up Summary"}, $B105))) &gt; 0,$B105 &amp; " (" &amp; $E105 &amp; ")",IF(SUMPRODUCT(-- ISNUMBER(SEARCH({"Content","Currency","Number","Percent","Text","URL"}, $B105))) &gt; 0,$B105 &amp; "(" &amp; $C105 &amp; ")",$B105)))), "  ", TRIM(IF($S105 = "YES", "(External ID)", "") &amp; " " &amp; IF(SUMPRODUCT(-- ISNUMBER(SEARCH({"Unique","Unique Case Insensitive"}, $R105))) &gt; 0, "(" &amp; $R105 &amp; ")", ""))))</f>
        <v>na</v>
      </c>
      <c r="E105" s="7" t="s">
        <v>195</v>
      </c>
      <c r="F105" s="7" t="s">
        <v>195</v>
      </c>
      <c r="G105" s="7" t="s">
        <v>195</v>
      </c>
      <c r="H105" s="7" t="s">
        <v>195</v>
      </c>
      <c r="I105" s="7" t="s">
        <v>195</v>
      </c>
      <c r="J105" s="7" t="s">
        <v>195</v>
      </c>
      <c r="K105" s="7" t="s">
        <v>195</v>
      </c>
      <c r="L105" s="7" t="s">
        <v>195</v>
      </c>
      <c r="M105" s="7" t="s">
        <v>29</v>
      </c>
      <c r="N105" s="7" t="s">
        <v>29</v>
      </c>
      <c r="O105" s="7" t="s">
        <v>29</v>
      </c>
      <c r="P105" s="7" t="s">
        <v>29</v>
      </c>
      <c r="Q105" s="7" t="s">
        <v>29</v>
      </c>
      <c r="R105" s="7" t="s">
        <v>29</v>
      </c>
      <c r="S105" s="7" t="s">
        <v>29</v>
      </c>
    </row>
    <row r="106" spans="2:19">
      <c r="B106" s="7" t="s">
        <v>195</v>
      </c>
      <c r="C106" s="8" t="s">
        <v>195</v>
      </c>
      <c r="D106" s="6" t="str">
        <f>LRTRIM(CONCATENATE(IF(SUMPRODUCT(-- ISNUMBER(SEARCH({"Auto Number"}, $B106))) &gt; 0, $B106, IF(SUMPRODUCT(-- ISNUMBER(SEARCH({"Lookup","Master-Detail"}, $B106))) &gt; 0,$B106 &amp; "(" &amp; $E106 &amp; ")",IF(SUMPRODUCT(-- ISNUMBER(SEARCH({"Formula","Roll-Up Summary"}, $B106))) &gt; 0,$B106 &amp; " (" &amp; $E106 &amp; ")",IF(SUMPRODUCT(-- ISNUMBER(SEARCH({"Content","Currency","Number","Percent","Text","URL"}, $B106))) &gt; 0,$B106 &amp; "(" &amp; $C106 &amp; ")",$B106)))), "  ", TRIM(IF($S106 = "YES", "(External ID)", "") &amp; " " &amp; IF(SUMPRODUCT(-- ISNUMBER(SEARCH({"Unique","Unique Case Insensitive"}, $R106))) &gt; 0, "(" &amp; $R106 &amp; ")", ""))))</f>
        <v>na</v>
      </c>
      <c r="E106" s="7" t="s">
        <v>195</v>
      </c>
      <c r="F106" s="7" t="s">
        <v>195</v>
      </c>
      <c r="G106" s="7" t="s">
        <v>195</v>
      </c>
      <c r="H106" s="7" t="s">
        <v>195</v>
      </c>
      <c r="I106" s="7" t="s">
        <v>195</v>
      </c>
      <c r="J106" s="7" t="s">
        <v>195</v>
      </c>
      <c r="K106" s="7" t="s">
        <v>195</v>
      </c>
      <c r="L106" s="7" t="s">
        <v>195</v>
      </c>
      <c r="M106" s="7" t="s">
        <v>29</v>
      </c>
      <c r="N106" s="7" t="s">
        <v>29</v>
      </c>
      <c r="O106" s="7" t="s">
        <v>29</v>
      </c>
      <c r="P106" s="7" t="s">
        <v>29</v>
      </c>
      <c r="Q106" s="7" t="s">
        <v>29</v>
      </c>
      <c r="R106" s="7" t="s">
        <v>29</v>
      </c>
      <c r="S106" s="7" t="s">
        <v>29</v>
      </c>
    </row>
    <row r="107" spans="2:19">
      <c r="B107" s="7" t="s">
        <v>195</v>
      </c>
      <c r="C107" s="8" t="s">
        <v>195</v>
      </c>
      <c r="D107" s="6" t="str">
        <f>LRTRIM(CONCATENATE(IF(SUMPRODUCT(-- ISNUMBER(SEARCH({"Auto Number"}, $B107))) &gt; 0, $B107, IF(SUMPRODUCT(-- ISNUMBER(SEARCH({"Lookup","Master-Detail"}, $B107))) &gt; 0,$B107 &amp; "(" &amp; $E107 &amp; ")",IF(SUMPRODUCT(-- ISNUMBER(SEARCH({"Formula","Roll-Up Summary"}, $B107))) &gt; 0,$B107 &amp; " (" &amp; $E107 &amp; ")",IF(SUMPRODUCT(-- ISNUMBER(SEARCH({"Content","Currency","Number","Percent","Text","URL"}, $B107))) &gt; 0,$B107 &amp; "(" &amp; $C107 &amp; ")",$B107)))), "  ", TRIM(IF($S107 = "YES", "(External ID)", "") &amp; " " &amp; IF(SUMPRODUCT(-- ISNUMBER(SEARCH({"Unique","Unique Case Insensitive"}, $R107))) &gt; 0, "(" &amp; $R107 &amp; ")", ""))))</f>
        <v>na</v>
      </c>
      <c r="E107" s="7" t="s">
        <v>195</v>
      </c>
      <c r="F107" s="7" t="s">
        <v>195</v>
      </c>
      <c r="G107" s="7" t="s">
        <v>195</v>
      </c>
      <c r="H107" s="7" t="s">
        <v>195</v>
      </c>
      <c r="I107" s="7" t="s">
        <v>195</v>
      </c>
      <c r="J107" s="7" t="s">
        <v>195</v>
      </c>
      <c r="K107" s="7" t="s">
        <v>195</v>
      </c>
      <c r="L107" s="7" t="s">
        <v>195</v>
      </c>
      <c r="M107" s="7" t="s">
        <v>29</v>
      </c>
      <c r="N107" s="7" t="s">
        <v>29</v>
      </c>
      <c r="O107" s="7" t="s">
        <v>29</v>
      </c>
      <c r="P107" s="7" t="s">
        <v>29</v>
      </c>
      <c r="Q107" s="7" t="s">
        <v>29</v>
      </c>
      <c r="R107" s="7" t="s">
        <v>29</v>
      </c>
      <c r="S107" s="7" t="s">
        <v>29</v>
      </c>
    </row>
    <row r="108" spans="2:19">
      <c r="B108" s="7" t="s">
        <v>195</v>
      </c>
      <c r="C108" s="8" t="s">
        <v>195</v>
      </c>
      <c r="D108" s="6" t="str">
        <f>LRTRIM(CONCATENATE(IF(SUMPRODUCT(-- ISNUMBER(SEARCH({"Auto Number"}, $B108))) &gt; 0, $B108, IF(SUMPRODUCT(-- ISNUMBER(SEARCH({"Lookup","Master-Detail"}, $B108))) &gt; 0,$B108 &amp; "(" &amp; $E108 &amp; ")",IF(SUMPRODUCT(-- ISNUMBER(SEARCH({"Formula","Roll-Up Summary"}, $B108))) &gt; 0,$B108 &amp; " (" &amp; $E108 &amp; ")",IF(SUMPRODUCT(-- ISNUMBER(SEARCH({"Content","Currency","Number","Percent","Text","URL"}, $B108))) &gt; 0,$B108 &amp; "(" &amp; $C108 &amp; ")",$B108)))), "  ", TRIM(IF($S108 = "YES", "(External ID)", "") &amp; " " &amp; IF(SUMPRODUCT(-- ISNUMBER(SEARCH({"Unique","Unique Case Insensitive"}, $R108))) &gt; 0, "(" &amp; $R108 &amp; ")", ""))))</f>
        <v>na</v>
      </c>
      <c r="E108" s="7" t="s">
        <v>195</v>
      </c>
      <c r="F108" s="7" t="s">
        <v>195</v>
      </c>
      <c r="G108" s="7" t="s">
        <v>195</v>
      </c>
      <c r="H108" s="7" t="s">
        <v>195</v>
      </c>
      <c r="I108" s="7" t="s">
        <v>195</v>
      </c>
      <c r="J108" s="7" t="s">
        <v>195</v>
      </c>
      <c r="K108" s="7" t="s">
        <v>195</v>
      </c>
      <c r="L108" s="7" t="s">
        <v>195</v>
      </c>
      <c r="M108" s="7" t="s">
        <v>29</v>
      </c>
      <c r="N108" s="7" t="s">
        <v>29</v>
      </c>
      <c r="O108" s="7" t="s">
        <v>29</v>
      </c>
      <c r="P108" s="7" t="s">
        <v>29</v>
      </c>
      <c r="Q108" s="7" t="s">
        <v>29</v>
      </c>
      <c r="R108" s="7" t="s">
        <v>29</v>
      </c>
      <c r="S108" s="7" t="s">
        <v>29</v>
      </c>
    </row>
    <row r="109" spans="2:19">
      <c r="B109" s="7" t="s">
        <v>195</v>
      </c>
      <c r="C109" s="8" t="s">
        <v>195</v>
      </c>
      <c r="D109" s="6" t="str">
        <f>LRTRIM(CONCATENATE(IF(SUMPRODUCT(-- ISNUMBER(SEARCH({"Auto Number"}, $B109))) &gt; 0, $B109, IF(SUMPRODUCT(-- ISNUMBER(SEARCH({"Lookup","Master-Detail"}, $B109))) &gt; 0,$B109 &amp; "(" &amp; $E109 &amp; ")",IF(SUMPRODUCT(-- ISNUMBER(SEARCH({"Formula","Roll-Up Summary"}, $B109))) &gt; 0,$B109 &amp; " (" &amp; $E109 &amp; ")",IF(SUMPRODUCT(-- ISNUMBER(SEARCH({"Content","Currency","Number","Percent","Text","URL"}, $B109))) &gt; 0,$B109 &amp; "(" &amp; $C109 &amp; ")",$B109)))), "  ", TRIM(IF($S109 = "YES", "(External ID)", "") &amp; " " &amp; IF(SUMPRODUCT(-- ISNUMBER(SEARCH({"Unique","Unique Case Insensitive"}, $R109))) &gt; 0, "(" &amp; $R109 &amp; ")", ""))))</f>
        <v>na</v>
      </c>
      <c r="E109" s="7" t="s">
        <v>195</v>
      </c>
      <c r="F109" s="7" t="s">
        <v>195</v>
      </c>
      <c r="G109" s="7" t="s">
        <v>195</v>
      </c>
      <c r="H109" s="7" t="s">
        <v>195</v>
      </c>
      <c r="I109" s="7" t="s">
        <v>195</v>
      </c>
      <c r="J109" s="7" t="s">
        <v>195</v>
      </c>
      <c r="K109" s="7" t="s">
        <v>195</v>
      </c>
      <c r="L109" s="7" t="s">
        <v>195</v>
      </c>
      <c r="M109" s="7" t="s">
        <v>29</v>
      </c>
      <c r="N109" s="7" t="s">
        <v>29</v>
      </c>
      <c r="O109" s="7" t="s">
        <v>29</v>
      </c>
      <c r="P109" s="7" t="s">
        <v>29</v>
      </c>
      <c r="Q109" s="7" t="s">
        <v>29</v>
      </c>
      <c r="R109" s="7" t="s">
        <v>29</v>
      </c>
      <c r="S109" s="7" t="s">
        <v>29</v>
      </c>
    </row>
    <row r="110" spans="2:19">
      <c r="B110" s="7" t="s">
        <v>195</v>
      </c>
      <c r="C110" s="8" t="s">
        <v>195</v>
      </c>
      <c r="D110" s="6" t="str">
        <f>LRTRIM(CONCATENATE(IF(SUMPRODUCT(-- ISNUMBER(SEARCH({"Auto Number"}, $B110))) &gt; 0, $B110, IF(SUMPRODUCT(-- ISNUMBER(SEARCH({"Lookup","Master-Detail"}, $B110))) &gt; 0,$B110 &amp; "(" &amp; $E110 &amp; ")",IF(SUMPRODUCT(-- ISNUMBER(SEARCH({"Formula","Roll-Up Summary"}, $B110))) &gt; 0,$B110 &amp; " (" &amp; $E110 &amp; ")",IF(SUMPRODUCT(-- ISNUMBER(SEARCH({"Content","Currency","Number","Percent","Text","URL"}, $B110))) &gt; 0,$B110 &amp; "(" &amp; $C110 &amp; ")",$B110)))), "  ", TRIM(IF($S110 = "YES", "(External ID)", "") &amp; " " &amp; IF(SUMPRODUCT(-- ISNUMBER(SEARCH({"Unique","Unique Case Insensitive"}, $R110))) &gt; 0, "(" &amp; $R110 &amp; ")", ""))))</f>
        <v>na</v>
      </c>
      <c r="E110" s="7" t="s">
        <v>195</v>
      </c>
      <c r="F110" s="7" t="s">
        <v>195</v>
      </c>
      <c r="G110" s="7" t="s">
        <v>195</v>
      </c>
      <c r="H110" s="7" t="s">
        <v>195</v>
      </c>
      <c r="I110" s="7" t="s">
        <v>195</v>
      </c>
      <c r="J110" s="7" t="s">
        <v>195</v>
      </c>
      <c r="K110" s="7" t="s">
        <v>195</v>
      </c>
      <c r="L110" s="7" t="s">
        <v>195</v>
      </c>
      <c r="M110" s="7" t="s">
        <v>29</v>
      </c>
      <c r="N110" s="7" t="s">
        <v>29</v>
      </c>
      <c r="O110" s="7" t="s">
        <v>29</v>
      </c>
      <c r="P110" s="7" t="s">
        <v>29</v>
      </c>
      <c r="Q110" s="7" t="s">
        <v>29</v>
      </c>
      <c r="R110" s="7" t="s">
        <v>29</v>
      </c>
      <c r="S110" s="7" t="s">
        <v>29</v>
      </c>
    </row>
    <row r="111" spans="2:19">
      <c r="B111" s="7" t="s">
        <v>195</v>
      </c>
      <c r="C111" s="8" t="s">
        <v>195</v>
      </c>
      <c r="D111" s="6" t="str">
        <f>LRTRIM(CONCATENATE(IF(SUMPRODUCT(-- ISNUMBER(SEARCH({"Auto Number"}, $B111))) &gt; 0, $B111, IF(SUMPRODUCT(-- ISNUMBER(SEARCH({"Lookup","Master-Detail"}, $B111))) &gt; 0,$B111 &amp; "(" &amp; $E111 &amp; ")",IF(SUMPRODUCT(-- ISNUMBER(SEARCH({"Formula","Roll-Up Summary"}, $B111))) &gt; 0,$B111 &amp; " (" &amp; $E111 &amp; ")",IF(SUMPRODUCT(-- ISNUMBER(SEARCH({"Content","Currency","Number","Percent","Text","URL"}, $B111))) &gt; 0,$B111 &amp; "(" &amp; $C111 &amp; ")",$B111)))), "  ", TRIM(IF($S111 = "YES", "(External ID)", "") &amp; " " &amp; IF(SUMPRODUCT(-- ISNUMBER(SEARCH({"Unique","Unique Case Insensitive"}, $R111))) &gt; 0, "(" &amp; $R111 &amp; ")", ""))))</f>
        <v>na</v>
      </c>
      <c r="E111" s="7" t="s">
        <v>195</v>
      </c>
      <c r="F111" s="7" t="s">
        <v>195</v>
      </c>
      <c r="G111" s="7" t="s">
        <v>195</v>
      </c>
      <c r="H111" s="7" t="s">
        <v>195</v>
      </c>
      <c r="I111" s="7" t="s">
        <v>195</v>
      </c>
      <c r="J111" s="7" t="s">
        <v>195</v>
      </c>
      <c r="K111" s="7" t="s">
        <v>195</v>
      </c>
      <c r="L111" s="7" t="s">
        <v>195</v>
      </c>
      <c r="M111" s="7" t="s">
        <v>29</v>
      </c>
      <c r="N111" s="7" t="s">
        <v>29</v>
      </c>
      <c r="O111" s="7" t="s">
        <v>29</v>
      </c>
      <c r="P111" s="7" t="s">
        <v>29</v>
      </c>
      <c r="Q111" s="7" t="s">
        <v>29</v>
      </c>
      <c r="R111" s="7" t="s">
        <v>29</v>
      </c>
      <c r="S111" s="7" t="s">
        <v>29</v>
      </c>
    </row>
    <row r="112" spans="2:19">
      <c r="B112" s="7" t="s">
        <v>195</v>
      </c>
      <c r="C112" s="8" t="s">
        <v>195</v>
      </c>
      <c r="D112" s="6" t="str">
        <f>LRTRIM(CONCATENATE(IF(SUMPRODUCT(-- ISNUMBER(SEARCH({"Auto Number"}, $B112))) &gt; 0, $B112, IF(SUMPRODUCT(-- ISNUMBER(SEARCH({"Lookup","Master-Detail"}, $B112))) &gt; 0,$B112 &amp; "(" &amp; $E112 &amp; ")",IF(SUMPRODUCT(-- ISNUMBER(SEARCH({"Formula","Roll-Up Summary"}, $B112))) &gt; 0,$B112 &amp; " (" &amp; $E112 &amp; ")",IF(SUMPRODUCT(-- ISNUMBER(SEARCH({"Content","Currency","Number","Percent","Text","URL"}, $B112))) &gt; 0,$B112 &amp; "(" &amp; $C112 &amp; ")",$B112)))), "  ", TRIM(IF($S112 = "YES", "(External ID)", "") &amp; " " &amp; IF(SUMPRODUCT(-- ISNUMBER(SEARCH({"Unique","Unique Case Insensitive"}, $R112))) &gt; 0, "(" &amp; $R112 &amp; ")", ""))))</f>
        <v>na</v>
      </c>
      <c r="E112" s="7" t="s">
        <v>195</v>
      </c>
      <c r="F112" s="7" t="s">
        <v>195</v>
      </c>
      <c r="G112" s="7" t="s">
        <v>195</v>
      </c>
      <c r="H112" s="7" t="s">
        <v>195</v>
      </c>
      <c r="I112" s="7" t="s">
        <v>195</v>
      </c>
      <c r="J112" s="7" t="s">
        <v>195</v>
      </c>
      <c r="K112" s="7" t="s">
        <v>195</v>
      </c>
      <c r="L112" s="7" t="s">
        <v>195</v>
      </c>
      <c r="M112" s="7" t="s">
        <v>29</v>
      </c>
      <c r="N112" s="7" t="s">
        <v>29</v>
      </c>
      <c r="O112" s="7" t="s">
        <v>29</v>
      </c>
      <c r="P112" s="7" t="s">
        <v>29</v>
      </c>
      <c r="Q112" s="7" t="s">
        <v>29</v>
      </c>
      <c r="R112" s="7" t="s">
        <v>29</v>
      </c>
      <c r="S112" s="7" t="s">
        <v>29</v>
      </c>
    </row>
    <row r="113" spans="2:19">
      <c r="B113" s="7" t="s">
        <v>195</v>
      </c>
      <c r="C113" s="8" t="s">
        <v>195</v>
      </c>
      <c r="D113" s="6" t="str">
        <f>LRTRIM(CONCATENATE(IF(SUMPRODUCT(-- ISNUMBER(SEARCH({"Auto Number"}, $B113))) &gt; 0, $B113, IF(SUMPRODUCT(-- ISNUMBER(SEARCH({"Lookup","Master-Detail"}, $B113))) &gt; 0,$B113 &amp; "(" &amp; $E113 &amp; ")",IF(SUMPRODUCT(-- ISNUMBER(SEARCH({"Formula","Roll-Up Summary"}, $B113))) &gt; 0,$B113 &amp; " (" &amp; $E113 &amp; ")",IF(SUMPRODUCT(-- ISNUMBER(SEARCH({"Content","Currency","Number","Percent","Text","URL"}, $B113))) &gt; 0,$B113 &amp; "(" &amp; $C113 &amp; ")",$B113)))), "  ", TRIM(IF($S113 = "YES", "(External ID)", "") &amp; " " &amp; IF(SUMPRODUCT(-- ISNUMBER(SEARCH({"Unique","Unique Case Insensitive"}, $R113))) &gt; 0, "(" &amp; $R113 &amp; ")", ""))))</f>
        <v>na</v>
      </c>
      <c r="E113" s="7" t="s">
        <v>195</v>
      </c>
      <c r="F113" s="7" t="s">
        <v>195</v>
      </c>
      <c r="G113" s="7" t="s">
        <v>195</v>
      </c>
      <c r="H113" s="7" t="s">
        <v>195</v>
      </c>
      <c r="I113" s="7" t="s">
        <v>195</v>
      </c>
      <c r="J113" s="7" t="s">
        <v>195</v>
      </c>
      <c r="K113" s="7" t="s">
        <v>195</v>
      </c>
      <c r="L113" s="7" t="s">
        <v>195</v>
      </c>
      <c r="M113" s="7" t="s">
        <v>29</v>
      </c>
      <c r="N113" s="7" t="s">
        <v>29</v>
      </c>
      <c r="O113" s="7" t="s">
        <v>29</v>
      </c>
      <c r="P113" s="7" t="s">
        <v>29</v>
      </c>
      <c r="Q113" s="7" t="s">
        <v>29</v>
      </c>
      <c r="R113" s="7" t="s">
        <v>29</v>
      </c>
      <c r="S113" s="7" t="s">
        <v>29</v>
      </c>
    </row>
    <row r="114" spans="2:19">
      <c r="B114" s="7" t="s">
        <v>195</v>
      </c>
      <c r="C114" s="8" t="s">
        <v>195</v>
      </c>
      <c r="D114" s="6" t="str">
        <f>LRTRIM(CONCATENATE(IF(SUMPRODUCT(-- ISNUMBER(SEARCH({"Auto Number"}, $B114))) &gt; 0, $B114, IF(SUMPRODUCT(-- ISNUMBER(SEARCH({"Lookup","Master-Detail"}, $B114))) &gt; 0,$B114 &amp; "(" &amp; $E114 &amp; ")",IF(SUMPRODUCT(-- ISNUMBER(SEARCH({"Formula","Roll-Up Summary"}, $B114))) &gt; 0,$B114 &amp; " (" &amp; $E114 &amp; ")",IF(SUMPRODUCT(-- ISNUMBER(SEARCH({"Content","Currency","Number","Percent","Text","URL"}, $B114))) &gt; 0,$B114 &amp; "(" &amp; $C114 &amp; ")",$B114)))), "  ", TRIM(IF($S114 = "YES", "(External ID)", "") &amp; " " &amp; IF(SUMPRODUCT(-- ISNUMBER(SEARCH({"Unique","Unique Case Insensitive"}, $R114))) &gt; 0, "(" &amp; $R114 &amp; ")", ""))))</f>
        <v>na</v>
      </c>
      <c r="E114" s="7" t="s">
        <v>195</v>
      </c>
      <c r="F114" s="7" t="s">
        <v>195</v>
      </c>
      <c r="G114" s="7" t="s">
        <v>195</v>
      </c>
      <c r="H114" s="7" t="s">
        <v>195</v>
      </c>
      <c r="I114" s="7" t="s">
        <v>195</v>
      </c>
      <c r="J114" s="7" t="s">
        <v>195</v>
      </c>
      <c r="K114" s="7" t="s">
        <v>195</v>
      </c>
      <c r="L114" s="7" t="s">
        <v>195</v>
      </c>
      <c r="M114" s="7" t="s">
        <v>29</v>
      </c>
      <c r="N114" s="7" t="s">
        <v>29</v>
      </c>
      <c r="O114" s="7" t="s">
        <v>29</v>
      </c>
      <c r="P114" s="7" t="s">
        <v>29</v>
      </c>
      <c r="Q114" s="7" t="s">
        <v>29</v>
      </c>
      <c r="R114" s="7" t="s">
        <v>29</v>
      </c>
      <c r="S114" s="7" t="s">
        <v>29</v>
      </c>
    </row>
    <row r="115" spans="2:19">
      <c r="B115" s="7" t="s">
        <v>195</v>
      </c>
      <c r="C115" s="8" t="s">
        <v>195</v>
      </c>
      <c r="D115" s="6" t="str">
        <f>LRTRIM(CONCATENATE(IF(SUMPRODUCT(-- ISNUMBER(SEARCH({"Auto Number"}, $B115))) &gt; 0, $B115, IF(SUMPRODUCT(-- ISNUMBER(SEARCH({"Lookup","Master-Detail"}, $B115))) &gt; 0,$B115 &amp; "(" &amp; $E115 &amp; ")",IF(SUMPRODUCT(-- ISNUMBER(SEARCH({"Formula","Roll-Up Summary"}, $B115))) &gt; 0,$B115 &amp; " (" &amp; $E115 &amp; ")",IF(SUMPRODUCT(-- ISNUMBER(SEARCH({"Content","Currency","Number","Percent","Text","URL"}, $B115))) &gt; 0,$B115 &amp; "(" &amp; $C115 &amp; ")",$B115)))), "  ", TRIM(IF($S115 = "YES", "(External ID)", "") &amp; " " &amp; IF(SUMPRODUCT(-- ISNUMBER(SEARCH({"Unique","Unique Case Insensitive"}, $R115))) &gt; 0, "(" &amp; $R115 &amp; ")", ""))))</f>
        <v>na</v>
      </c>
      <c r="E115" s="7" t="s">
        <v>195</v>
      </c>
      <c r="F115" s="7" t="s">
        <v>195</v>
      </c>
      <c r="G115" s="7" t="s">
        <v>195</v>
      </c>
      <c r="H115" s="7" t="s">
        <v>195</v>
      </c>
      <c r="I115" s="7" t="s">
        <v>195</v>
      </c>
      <c r="J115" s="7" t="s">
        <v>195</v>
      </c>
      <c r="K115" s="7" t="s">
        <v>195</v>
      </c>
      <c r="L115" s="7" t="s">
        <v>195</v>
      </c>
      <c r="M115" s="7" t="s">
        <v>29</v>
      </c>
      <c r="N115" s="7" t="s">
        <v>29</v>
      </c>
      <c r="O115" s="7" t="s">
        <v>29</v>
      </c>
      <c r="P115" s="7" t="s">
        <v>29</v>
      </c>
      <c r="Q115" s="7" t="s">
        <v>29</v>
      </c>
      <c r="R115" s="7" t="s">
        <v>29</v>
      </c>
      <c r="S115" s="7" t="s">
        <v>29</v>
      </c>
    </row>
    <row r="116" spans="2:19">
      <c r="B116" s="7" t="s">
        <v>195</v>
      </c>
      <c r="C116" s="8" t="s">
        <v>195</v>
      </c>
      <c r="D116" s="6" t="str">
        <f>LRTRIM(CONCATENATE(IF(SUMPRODUCT(-- ISNUMBER(SEARCH({"Auto Number"}, $B116))) &gt; 0, $B116, IF(SUMPRODUCT(-- ISNUMBER(SEARCH({"Lookup","Master-Detail"}, $B116))) &gt; 0,$B116 &amp; "(" &amp; $E116 &amp; ")",IF(SUMPRODUCT(-- ISNUMBER(SEARCH({"Formula","Roll-Up Summary"}, $B116))) &gt; 0,$B116 &amp; " (" &amp; $E116 &amp; ")",IF(SUMPRODUCT(-- ISNUMBER(SEARCH({"Content","Currency","Number","Percent","Text","URL"}, $B116))) &gt; 0,$B116 &amp; "(" &amp; $C116 &amp; ")",$B116)))), "  ", TRIM(IF($S116 = "YES", "(External ID)", "") &amp; " " &amp; IF(SUMPRODUCT(-- ISNUMBER(SEARCH({"Unique","Unique Case Insensitive"}, $R116))) &gt; 0, "(" &amp; $R116 &amp; ")", ""))))</f>
        <v>na</v>
      </c>
      <c r="E116" s="7" t="s">
        <v>195</v>
      </c>
      <c r="F116" s="7" t="s">
        <v>195</v>
      </c>
      <c r="G116" s="7" t="s">
        <v>195</v>
      </c>
      <c r="H116" s="7" t="s">
        <v>195</v>
      </c>
      <c r="I116" s="7" t="s">
        <v>195</v>
      </c>
      <c r="J116" s="7" t="s">
        <v>195</v>
      </c>
      <c r="K116" s="7" t="s">
        <v>195</v>
      </c>
      <c r="L116" s="7" t="s">
        <v>195</v>
      </c>
      <c r="M116" s="7" t="s">
        <v>29</v>
      </c>
      <c r="N116" s="7" t="s">
        <v>29</v>
      </c>
      <c r="O116" s="7" t="s">
        <v>29</v>
      </c>
      <c r="P116" s="7" t="s">
        <v>29</v>
      </c>
      <c r="Q116" s="7" t="s">
        <v>29</v>
      </c>
      <c r="R116" s="7" t="s">
        <v>29</v>
      </c>
      <c r="S116" s="7" t="s">
        <v>29</v>
      </c>
    </row>
    <row r="117" spans="2:19">
      <c r="B117" s="7" t="s">
        <v>195</v>
      </c>
      <c r="C117" s="8" t="s">
        <v>195</v>
      </c>
      <c r="D117" s="6" t="str">
        <f>LRTRIM(CONCATENATE(IF(SUMPRODUCT(-- ISNUMBER(SEARCH({"Auto Number"}, $B117))) &gt; 0, $B117, IF(SUMPRODUCT(-- ISNUMBER(SEARCH({"Lookup","Master-Detail"}, $B117))) &gt; 0,$B117 &amp; "(" &amp; $E117 &amp; ")",IF(SUMPRODUCT(-- ISNUMBER(SEARCH({"Formula","Roll-Up Summary"}, $B117))) &gt; 0,$B117 &amp; " (" &amp; $E117 &amp; ")",IF(SUMPRODUCT(-- ISNUMBER(SEARCH({"Content","Currency","Number","Percent","Text","URL"}, $B117))) &gt; 0,$B117 &amp; "(" &amp; $C117 &amp; ")",$B117)))), "  ", TRIM(IF($S117 = "YES", "(External ID)", "") &amp; " " &amp; IF(SUMPRODUCT(-- ISNUMBER(SEARCH({"Unique","Unique Case Insensitive"}, $R117))) &gt; 0, "(" &amp; $R117 &amp; ")", ""))))</f>
        <v>na</v>
      </c>
      <c r="E117" s="7" t="s">
        <v>195</v>
      </c>
      <c r="F117" s="7" t="s">
        <v>195</v>
      </c>
      <c r="G117" s="7" t="s">
        <v>195</v>
      </c>
      <c r="H117" s="7" t="s">
        <v>195</v>
      </c>
      <c r="I117" s="7" t="s">
        <v>195</v>
      </c>
      <c r="J117" s="7" t="s">
        <v>195</v>
      </c>
      <c r="K117" s="7" t="s">
        <v>195</v>
      </c>
      <c r="L117" s="7" t="s">
        <v>195</v>
      </c>
      <c r="M117" s="7" t="s">
        <v>29</v>
      </c>
      <c r="N117" s="7" t="s">
        <v>29</v>
      </c>
      <c r="O117" s="7" t="s">
        <v>29</v>
      </c>
      <c r="P117" s="7" t="s">
        <v>29</v>
      </c>
      <c r="Q117" s="7" t="s">
        <v>29</v>
      </c>
      <c r="R117" s="7" t="s">
        <v>29</v>
      </c>
      <c r="S117" s="7" t="s">
        <v>29</v>
      </c>
    </row>
    <row r="118" spans="2:19">
      <c r="B118" s="7" t="s">
        <v>195</v>
      </c>
      <c r="C118" s="8" t="s">
        <v>195</v>
      </c>
      <c r="D118" s="6" t="str">
        <f>LRTRIM(CONCATENATE(IF(SUMPRODUCT(-- ISNUMBER(SEARCH({"Auto Number"}, $B118))) &gt; 0, $B118, IF(SUMPRODUCT(-- ISNUMBER(SEARCH({"Lookup","Master-Detail"}, $B118))) &gt; 0,$B118 &amp; "(" &amp; $E118 &amp; ")",IF(SUMPRODUCT(-- ISNUMBER(SEARCH({"Formula","Roll-Up Summary"}, $B118))) &gt; 0,$B118 &amp; " (" &amp; $E118 &amp; ")",IF(SUMPRODUCT(-- ISNUMBER(SEARCH({"Content","Currency","Number","Percent","Text","URL"}, $B118))) &gt; 0,$B118 &amp; "(" &amp; $C118 &amp; ")",$B118)))), "  ", TRIM(IF($S118 = "YES", "(External ID)", "") &amp; " " &amp; IF(SUMPRODUCT(-- ISNUMBER(SEARCH({"Unique","Unique Case Insensitive"}, $R118))) &gt; 0, "(" &amp; $R118 &amp; ")", ""))))</f>
        <v>na</v>
      </c>
      <c r="E118" s="7" t="s">
        <v>195</v>
      </c>
      <c r="F118" s="7" t="s">
        <v>195</v>
      </c>
      <c r="G118" s="7" t="s">
        <v>195</v>
      </c>
      <c r="H118" s="7" t="s">
        <v>195</v>
      </c>
      <c r="I118" s="7" t="s">
        <v>195</v>
      </c>
      <c r="J118" s="7" t="s">
        <v>195</v>
      </c>
      <c r="K118" s="7" t="s">
        <v>195</v>
      </c>
      <c r="L118" s="7" t="s">
        <v>195</v>
      </c>
      <c r="M118" s="7" t="s">
        <v>29</v>
      </c>
      <c r="N118" s="7" t="s">
        <v>29</v>
      </c>
      <c r="O118" s="7" t="s">
        <v>29</v>
      </c>
      <c r="P118" s="7" t="s">
        <v>29</v>
      </c>
      <c r="Q118" s="7" t="s">
        <v>29</v>
      </c>
      <c r="R118" s="7" t="s">
        <v>29</v>
      </c>
      <c r="S118" s="7" t="s">
        <v>29</v>
      </c>
    </row>
    <row r="119" spans="2:19">
      <c r="B119" s="7" t="s">
        <v>195</v>
      </c>
      <c r="C119" s="8" t="s">
        <v>195</v>
      </c>
      <c r="D119" s="6" t="str">
        <f>LRTRIM(CONCATENATE(IF(SUMPRODUCT(-- ISNUMBER(SEARCH({"Auto Number"}, $B119))) &gt; 0, $B119, IF(SUMPRODUCT(-- ISNUMBER(SEARCH({"Lookup","Master-Detail"}, $B119))) &gt; 0,$B119 &amp; "(" &amp; $E119 &amp; ")",IF(SUMPRODUCT(-- ISNUMBER(SEARCH({"Formula","Roll-Up Summary"}, $B119))) &gt; 0,$B119 &amp; " (" &amp; $E119 &amp; ")",IF(SUMPRODUCT(-- ISNUMBER(SEARCH({"Content","Currency","Number","Percent","Text","URL"}, $B119))) &gt; 0,$B119 &amp; "(" &amp; $C119 &amp; ")",$B119)))), "  ", TRIM(IF($S119 = "YES", "(External ID)", "") &amp; " " &amp; IF(SUMPRODUCT(-- ISNUMBER(SEARCH({"Unique","Unique Case Insensitive"}, $R119))) &gt; 0, "(" &amp; $R119 &amp; ")", ""))))</f>
        <v>na</v>
      </c>
      <c r="E119" s="7" t="s">
        <v>195</v>
      </c>
      <c r="F119" s="7" t="s">
        <v>195</v>
      </c>
      <c r="G119" s="7" t="s">
        <v>195</v>
      </c>
      <c r="H119" s="7" t="s">
        <v>195</v>
      </c>
      <c r="I119" s="7" t="s">
        <v>195</v>
      </c>
      <c r="J119" s="7" t="s">
        <v>195</v>
      </c>
      <c r="K119" s="7" t="s">
        <v>195</v>
      </c>
      <c r="L119" s="7" t="s">
        <v>195</v>
      </c>
      <c r="M119" s="7" t="s">
        <v>29</v>
      </c>
      <c r="N119" s="7" t="s">
        <v>29</v>
      </c>
      <c r="O119" s="7" t="s">
        <v>29</v>
      </c>
      <c r="P119" s="7" t="s">
        <v>29</v>
      </c>
      <c r="Q119" s="7" t="s">
        <v>29</v>
      </c>
      <c r="R119" s="7" t="s">
        <v>29</v>
      </c>
      <c r="S119" s="7" t="s">
        <v>29</v>
      </c>
    </row>
    <row r="120" spans="2:19">
      <c r="B120" s="7" t="s">
        <v>195</v>
      </c>
      <c r="C120" s="8" t="s">
        <v>195</v>
      </c>
      <c r="D120" s="6" t="str">
        <f>LRTRIM(CONCATENATE(IF(SUMPRODUCT(-- ISNUMBER(SEARCH({"Auto Number"}, $B120))) &gt; 0, $B120, IF(SUMPRODUCT(-- ISNUMBER(SEARCH({"Lookup","Master-Detail"}, $B120))) &gt; 0,$B120 &amp; "(" &amp; $E120 &amp; ")",IF(SUMPRODUCT(-- ISNUMBER(SEARCH({"Formula","Roll-Up Summary"}, $B120))) &gt; 0,$B120 &amp; " (" &amp; $E120 &amp; ")",IF(SUMPRODUCT(-- ISNUMBER(SEARCH({"Content","Currency","Number","Percent","Text","URL"}, $B120))) &gt; 0,$B120 &amp; "(" &amp; $C120 &amp; ")",$B120)))), "  ", TRIM(IF($S120 = "YES", "(External ID)", "") &amp; " " &amp; IF(SUMPRODUCT(-- ISNUMBER(SEARCH({"Unique","Unique Case Insensitive"}, $R120))) &gt; 0, "(" &amp; $R120 &amp; ")", ""))))</f>
        <v>na</v>
      </c>
      <c r="E120" s="7" t="s">
        <v>195</v>
      </c>
      <c r="F120" s="7" t="s">
        <v>195</v>
      </c>
      <c r="G120" s="7" t="s">
        <v>195</v>
      </c>
      <c r="H120" s="7" t="s">
        <v>195</v>
      </c>
      <c r="I120" s="7" t="s">
        <v>195</v>
      </c>
      <c r="J120" s="7" t="s">
        <v>195</v>
      </c>
      <c r="K120" s="7" t="s">
        <v>195</v>
      </c>
      <c r="L120" s="7" t="s">
        <v>195</v>
      </c>
      <c r="M120" s="7" t="s">
        <v>29</v>
      </c>
      <c r="N120" s="7" t="s">
        <v>29</v>
      </c>
      <c r="O120" s="7" t="s">
        <v>29</v>
      </c>
      <c r="P120" s="7" t="s">
        <v>29</v>
      </c>
      <c r="Q120" s="7" t="s">
        <v>29</v>
      </c>
      <c r="R120" s="7" t="s">
        <v>29</v>
      </c>
      <c r="S120" s="7" t="s">
        <v>29</v>
      </c>
    </row>
    <row r="121" spans="2:19">
      <c r="B121" s="7" t="s">
        <v>195</v>
      </c>
      <c r="C121" s="8" t="s">
        <v>195</v>
      </c>
      <c r="D121" s="6" t="str">
        <f>LRTRIM(CONCATENATE(IF(SUMPRODUCT(-- ISNUMBER(SEARCH({"Auto Number"}, $B121))) &gt; 0, $B121, IF(SUMPRODUCT(-- ISNUMBER(SEARCH({"Lookup","Master-Detail"}, $B121))) &gt; 0,$B121 &amp; "(" &amp; $E121 &amp; ")",IF(SUMPRODUCT(-- ISNUMBER(SEARCH({"Formula","Roll-Up Summary"}, $B121))) &gt; 0,$B121 &amp; " (" &amp; $E121 &amp; ")",IF(SUMPRODUCT(-- ISNUMBER(SEARCH({"Content","Currency","Number","Percent","Text","URL"}, $B121))) &gt; 0,$B121 &amp; "(" &amp; $C121 &amp; ")",$B121)))), "  ", TRIM(IF($S121 = "YES", "(External ID)", "") &amp; " " &amp; IF(SUMPRODUCT(-- ISNUMBER(SEARCH({"Unique","Unique Case Insensitive"}, $R121))) &gt; 0, "(" &amp; $R121 &amp; ")", ""))))</f>
        <v>na</v>
      </c>
      <c r="E121" s="7" t="s">
        <v>195</v>
      </c>
      <c r="F121" s="7" t="s">
        <v>195</v>
      </c>
      <c r="G121" s="7" t="s">
        <v>195</v>
      </c>
      <c r="H121" s="7" t="s">
        <v>195</v>
      </c>
      <c r="I121" s="7" t="s">
        <v>195</v>
      </c>
      <c r="J121" s="7" t="s">
        <v>195</v>
      </c>
      <c r="K121" s="7" t="s">
        <v>195</v>
      </c>
      <c r="L121" s="7" t="s">
        <v>195</v>
      </c>
      <c r="M121" s="7" t="s">
        <v>29</v>
      </c>
      <c r="N121" s="7" t="s">
        <v>29</v>
      </c>
      <c r="O121" s="7" t="s">
        <v>29</v>
      </c>
      <c r="P121" s="7" t="s">
        <v>29</v>
      </c>
      <c r="Q121" s="7" t="s">
        <v>29</v>
      </c>
      <c r="R121" s="7" t="s">
        <v>29</v>
      </c>
      <c r="S121" s="7" t="s">
        <v>29</v>
      </c>
    </row>
    <row r="122" spans="2:19">
      <c r="B122" s="7" t="s">
        <v>195</v>
      </c>
      <c r="C122" s="8" t="s">
        <v>195</v>
      </c>
      <c r="D122" s="6" t="str">
        <f>LRTRIM(CONCATENATE(IF(SUMPRODUCT(-- ISNUMBER(SEARCH({"Auto Number"}, $B122))) &gt; 0, $B122, IF(SUMPRODUCT(-- ISNUMBER(SEARCH({"Lookup","Master-Detail"}, $B122))) &gt; 0,$B122 &amp; "(" &amp; $E122 &amp; ")",IF(SUMPRODUCT(-- ISNUMBER(SEARCH({"Formula","Roll-Up Summary"}, $B122))) &gt; 0,$B122 &amp; " (" &amp; $E122 &amp; ")",IF(SUMPRODUCT(-- ISNUMBER(SEARCH({"Content","Currency","Number","Percent","Text","URL"}, $B122))) &gt; 0,$B122 &amp; "(" &amp; $C122 &amp; ")",$B122)))), "  ", TRIM(IF($S122 = "YES", "(External ID)", "") &amp; " " &amp; IF(SUMPRODUCT(-- ISNUMBER(SEARCH({"Unique","Unique Case Insensitive"}, $R122))) &gt; 0, "(" &amp; $R122 &amp; ")", ""))))</f>
        <v>na</v>
      </c>
      <c r="E122" s="7" t="s">
        <v>195</v>
      </c>
      <c r="F122" s="7" t="s">
        <v>195</v>
      </c>
      <c r="G122" s="7" t="s">
        <v>195</v>
      </c>
      <c r="H122" s="7" t="s">
        <v>195</v>
      </c>
      <c r="I122" s="7" t="s">
        <v>195</v>
      </c>
      <c r="J122" s="7" t="s">
        <v>195</v>
      </c>
      <c r="K122" s="7" t="s">
        <v>195</v>
      </c>
      <c r="L122" s="7" t="s">
        <v>195</v>
      </c>
      <c r="M122" s="7" t="s">
        <v>29</v>
      </c>
      <c r="N122" s="7" t="s">
        <v>29</v>
      </c>
      <c r="O122" s="7" t="s">
        <v>29</v>
      </c>
      <c r="P122" s="7" t="s">
        <v>29</v>
      </c>
      <c r="Q122" s="7" t="s">
        <v>29</v>
      </c>
      <c r="R122" s="7" t="s">
        <v>29</v>
      </c>
      <c r="S122" s="7" t="s">
        <v>29</v>
      </c>
    </row>
    <row r="123" spans="2:19">
      <c r="B123" s="7" t="s">
        <v>195</v>
      </c>
      <c r="C123" s="8" t="s">
        <v>195</v>
      </c>
      <c r="D123" s="6" t="str">
        <f>LRTRIM(CONCATENATE(IF(SUMPRODUCT(-- ISNUMBER(SEARCH({"Auto Number"}, $B123))) &gt; 0, $B123, IF(SUMPRODUCT(-- ISNUMBER(SEARCH({"Lookup","Master-Detail"}, $B123))) &gt; 0,$B123 &amp; "(" &amp; $E123 &amp; ")",IF(SUMPRODUCT(-- ISNUMBER(SEARCH({"Formula","Roll-Up Summary"}, $B123))) &gt; 0,$B123 &amp; " (" &amp; $E123 &amp; ")",IF(SUMPRODUCT(-- ISNUMBER(SEARCH({"Content","Currency","Number","Percent","Text","URL"}, $B123))) &gt; 0,$B123 &amp; "(" &amp; $C123 &amp; ")",$B123)))), "  ", TRIM(IF($S123 = "YES", "(External ID)", "") &amp; " " &amp; IF(SUMPRODUCT(-- ISNUMBER(SEARCH({"Unique","Unique Case Insensitive"}, $R123))) &gt; 0, "(" &amp; $R123 &amp; ")", ""))))</f>
        <v>na</v>
      </c>
      <c r="E123" s="7" t="s">
        <v>195</v>
      </c>
      <c r="F123" s="7" t="s">
        <v>195</v>
      </c>
      <c r="G123" s="7" t="s">
        <v>195</v>
      </c>
      <c r="H123" s="7" t="s">
        <v>195</v>
      </c>
      <c r="I123" s="7" t="s">
        <v>195</v>
      </c>
      <c r="J123" s="7" t="s">
        <v>195</v>
      </c>
      <c r="K123" s="7" t="s">
        <v>195</v>
      </c>
      <c r="L123" s="7" t="s">
        <v>195</v>
      </c>
      <c r="M123" s="7" t="s">
        <v>29</v>
      </c>
      <c r="N123" s="7" t="s">
        <v>29</v>
      </c>
      <c r="O123" s="7" t="s">
        <v>29</v>
      </c>
      <c r="P123" s="7" t="s">
        <v>29</v>
      </c>
      <c r="Q123" s="7" t="s">
        <v>29</v>
      </c>
      <c r="R123" s="7" t="s">
        <v>29</v>
      </c>
      <c r="S123" s="7" t="s">
        <v>29</v>
      </c>
    </row>
    <row r="124" spans="2:19">
      <c r="B124" s="7" t="s">
        <v>195</v>
      </c>
      <c r="C124" s="8" t="s">
        <v>195</v>
      </c>
      <c r="D124" s="6" t="str">
        <f>LRTRIM(CONCATENATE(IF(SUMPRODUCT(-- ISNUMBER(SEARCH({"Auto Number"}, $B124))) &gt; 0, $B124, IF(SUMPRODUCT(-- ISNUMBER(SEARCH({"Lookup","Master-Detail"}, $B124))) &gt; 0,$B124 &amp; "(" &amp; $E124 &amp; ")",IF(SUMPRODUCT(-- ISNUMBER(SEARCH({"Formula","Roll-Up Summary"}, $B124))) &gt; 0,$B124 &amp; " (" &amp; $E124 &amp; ")",IF(SUMPRODUCT(-- ISNUMBER(SEARCH({"Content","Currency","Number","Percent","Text","URL"}, $B124))) &gt; 0,$B124 &amp; "(" &amp; $C124 &amp; ")",$B124)))), "  ", TRIM(IF($S124 = "YES", "(External ID)", "") &amp; " " &amp; IF(SUMPRODUCT(-- ISNUMBER(SEARCH({"Unique","Unique Case Insensitive"}, $R124))) &gt; 0, "(" &amp; $R124 &amp; ")", ""))))</f>
        <v>na</v>
      </c>
      <c r="E124" s="7" t="s">
        <v>195</v>
      </c>
      <c r="F124" s="7" t="s">
        <v>195</v>
      </c>
      <c r="G124" s="7" t="s">
        <v>195</v>
      </c>
      <c r="H124" s="7" t="s">
        <v>195</v>
      </c>
      <c r="I124" s="7" t="s">
        <v>195</v>
      </c>
      <c r="J124" s="7" t="s">
        <v>195</v>
      </c>
      <c r="K124" s="7" t="s">
        <v>195</v>
      </c>
      <c r="L124" s="7" t="s">
        <v>195</v>
      </c>
      <c r="M124" s="7" t="s">
        <v>29</v>
      </c>
      <c r="N124" s="7" t="s">
        <v>29</v>
      </c>
      <c r="O124" s="7" t="s">
        <v>29</v>
      </c>
      <c r="P124" s="7" t="s">
        <v>29</v>
      </c>
      <c r="Q124" s="7" t="s">
        <v>29</v>
      </c>
      <c r="R124" s="7" t="s">
        <v>29</v>
      </c>
      <c r="S124" s="7" t="s">
        <v>29</v>
      </c>
    </row>
    <row r="125" spans="2:19">
      <c r="B125" s="7" t="s">
        <v>195</v>
      </c>
      <c r="C125" s="8" t="s">
        <v>195</v>
      </c>
      <c r="D125" s="6" t="str">
        <f>LRTRIM(CONCATENATE(IF(SUMPRODUCT(-- ISNUMBER(SEARCH({"Auto Number"}, $B125))) &gt; 0, $B125, IF(SUMPRODUCT(-- ISNUMBER(SEARCH({"Lookup","Master-Detail"}, $B125))) &gt; 0,$B125 &amp; "(" &amp; $E125 &amp; ")",IF(SUMPRODUCT(-- ISNUMBER(SEARCH({"Formula","Roll-Up Summary"}, $B125))) &gt; 0,$B125 &amp; " (" &amp; $E125 &amp; ")",IF(SUMPRODUCT(-- ISNUMBER(SEARCH({"Content","Currency","Number","Percent","Text","URL"}, $B125))) &gt; 0,$B125 &amp; "(" &amp; $C125 &amp; ")",$B125)))), "  ", TRIM(IF($S125 = "YES", "(External ID)", "") &amp; " " &amp; IF(SUMPRODUCT(-- ISNUMBER(SEARCH({"Unique","Unique Case Insensitive"}, $R125))) &gt; 0, "(" &amp; $R125 &amp; ")", ""))))</f>
        <v>na</v>
      </c>
      <c r="E125" s="7" t="s">
        <v>195</v>
      </c>
      <c r="F125" s="7" t="s">
        <v>195</v>
      </c>
      <c r="G125" s="7" t="s">
        <v>195</v>
      </c>
      <c r="H125" s="7" t="s">
        <v>195</v>
      </c>
      <c r="I125" s="7" t="s">
        <v>195</v>
      </c>
      <c r="J125" s="7" t="s">
        <v>195</v>
      </c>
      <c r="K125" s="7" t="s">
        <v>195</v>
      </c>
      <c r="L125" s="7" t="s">
        <v>195</v>
      </c>
      <c r="M125" s="7" t="s">
        <v>29</v>
      </c>
      <c r="N125" s="7" t="s">
        <v>29</v>
      </c>
      <c r="O125" s="7" t="s">
        <v>29</v>
      </c>
      <c r="P125" s="7" t="s">
        <v>29</v>
      </c>
      <c r="Q125" s="7" t="s">
        <v>29</v>
      </c>
      <c r="R125" s="7" t="s">
        <v>29</v>
      </c>
      <c r="S125" s="7" t="s">
        <v>29</v>
      </c>
    </row>
    <row r="126" spans="2:19">
      <c r="B126" s="7" t="s">
        <v>195</v>
      </c>
      <c r="C126" s="8" t="s">
        <v>195</v>
      </c>
      <c r="D126" s="6" t="str">
        <f>LRTRIM(CONCATENATE(IF(SUMPRODUCT(-- ISNUMBER(SEARCH({"Auto Number"}, $B126))) &gt; 0, $B126, IF(SUMPRODUCT(-- ISNUMBER(SEARCH({"Lookup","Master-Detail"}, $B126))) &gt; 0,$B126 &amp; "(" &amp; $E126 &amp; ")",IF(SUMPRODUCT(-- ISNUMBER(SEARCH({"Formula","Roll-Up Summary"}, $B126))) &gt; 0,$B126 &amp; " (" &amp; $E126 &amp; ")",IF(SUMPRODUCT(-- ISNUMBER(SEARCH({"Content","Currency","Number","Percent","Text","URL"}, $B126))) &gt; 0,$B126 &amp; "(" &amp; $C126 &amp; ")",$B126)))), "  ", TRIM(IF($S126 = "YES", "(External ID)", "") &amp; " " &amp; IF(SUMPRODUCT(-- ISNUMBER(SEARCH({"Unique","Unique Case Insensitive"}, $R126))) &gt; 0, "(" &amp; $R126 &amp; ")", ""))))</f>
        <v>na</v>
      </c>
      <c r="E126" s="7" t="s">
        <v>195</v>
      </c>
      <c r="F126" s="7" t="s">
        <v>195</v>
      </c>
      <c r="G126" s="7" t="s">
        <v>195</v>
      </c>
      <c r="H126" s="7" t="s">
        <v>195</v>
      </c>
      <c r="I126" s="7" t="s">
        <v>195</v>
      </c>
      <c r="J126" s="7" t="s">
        <v>195</v>
      </c>
      <c r="K126" s="7" t="s">
        <v>195</v>
      </c>
      <c r="L126" s="7" t="s">
        <v>195</v>
      </c>
      <c r="M126" s="7" t="s">
        <v>29</v>
      </c>
      <c r="N126" s="7" t="s">
        <v>29</v>
      </c>
      <c r="O126" s="7" t="s">
        <v>29</v>
      </c>
      <c r="P126" s="7" t="s">
        <v>29</v>
      </c>
      <c r="Q126" s="7" t="s">
        <v>29</v>
      </c>
      <c r="R126" s="7" t="s">
        <v>29</v>
      </c>
      <c r="S126" s="7" t="s">
        <v>29</v>
      </c>
    </row>
    <row r="127" spans="2:19">
      <c r="B127" s="7" t="s">
        <v>195</v>
      </c>
      <c r="C127" s="8" t="s">
        <v>195</v>
      </c>
      <c r="D127" s="6" t="str">
        <f>LRTRIM(CONCATENATE(IF(SUMPRODUCT(-- ISNUMBER(SEARCH({"Auto Number"}, $B127))) &gt; 0, $B127, IF(SUMPRODUCT(-- ISNUMBER(SEARCH({"Lookup","Master-Detail"}, $B127))) &gt; 0,$B127 &amp; "(" &amp; $E127 &amp; ")",IF(SUMPRODUCT(-- ISNUMBER(SEARCH({"Formula","Roll-Up Summary"}, $B127))) &gt; 0,$B127 &amp; " (" &amp; $E127 &amp; ")",IF(SUMPRODUCT(-- ISNUMBER(SEARCH({"Content","Currency","Number","Percent","Text","URL"}, $B127))) &gt; 0,$B127 &amp; "(" &amp; $C127 &amp; ")",$B127)))), "  ", TRIM(IF($S127 = "YES", "(External ID)", "") &amp; " " &amp; IF(SUMPRODUCT(-- ISNUMBER(SEARCH({"Unique","Unique Case Insensitive"}, $R127))) &gt; 0, "(" &amp; $R127 &amp; ")", ""))))</f>
        <v>na</v>
      </c>
      <c r="E127" s="7" t="s">
        <v>195</v>
      </c>
      <c r="F127" s="7" t="s">
        <v>195</v>
      </c>
      <c r="G127" s="7" t="s">
        <v>195</v>
      </c>
      <c r="H127" s="7" t="s">
        <v>195</v>
      </c>
      <c r="I127" s="7" t="s">
        <v>195</v>
      </c>
      <c r="J127" s="7" t="s">
        <v>195</v>
      </c>
      <c r="K127" s="7" t="s">
        <v>195</v>
      </c>
      <c r="L127" s="7" t="s">
        <v>195</v>
      </c>
      <c r="M127" s="7" t="s">
        <v>29</v>
      </c>
      <c r="N127" s="7" t="s">
        <v>29</v>
      </c>
      <c r="O127" s="7" t="s">
        <v>29</v>
      </c>
      <c r="P127" s="7" t="s">
        <v>29</v>
      </c>
      <c r="Q127" s="7" t="s">
        <v>29</v>
      </c>
      <c r="R127" s="7" t="s">
        <v>29</v>
      </c>
      <c r="S127" s="7" t="s">
        <v>29</v>
      </c>
    </row>
    <row r="128" spans="2:19">
      <c r="B128" s="7" t="s">
        <v>195</v>
      </c>
      <c r="C128" s="8" t="s">
        <v>195</v>
      </c>
      <c r="D128" s="6" t="str">
        <f>LRTRIM(CONCATENATE(IF(SUMPRODUCT(-- ISNUMBER(SEARCH({"Auto Number"}, $B128))) &gt; 0, $B128, IF(SUMPRODUCT(-- ISNUMBER(SEARCH({"Lookup","Master-Detail"}, $B128))) &gt; 0,$B128 &amp; "(" &amp; $E128 &amp; ")",IF(SUMPRODUCT(-- ISNUMBER(SEARCH({"Formula","Roll-Up Summary"}, $B128))) &gt; 0,$B128 &amp; " (" &amp; $E128 &amp; ")",IF(SUMPRODUCT(-- ISNUMBER(SEARCH({"Content","Currency","Number","Percent","Text","URL"}, $B128))) &gt; 0,$B128 &amp; "(" &amp; $C128 &amp; ")",$B128)))), "  ", TRIM(IF($S128 = "YES", "(External ID)", "") &amp; " " &amp; IF(SUMPRODUCT(-- ISNUMBER(SEARCH({"Unique","Unique Case Insensitive"}, $R128))) &gt; 0, "(" &amp; $R128 &amp; ")", ""))))</f>
        <v>na</v>
      </c>
      <c r="E128" s="7" t="s">
        <v>195</v>
      </c>
      <c r="F128" s="7" t="s">
        <v>195</v>
      </c>
      <c r="G128" s="7" t="s">
        <v>195</v>
      </c>
      <c r="H128" s="7" t="s">
        <v>195</v>
      </c>
      <c r="I128" s="7" t="s">
        <v>195</v>
      </c>
      <c r="J128" s="7" t="s">
        <v>195</v>
      </c>
      <c r="K128" s="7" t="s">
        <v>195</v>
      </c>
      <c r="L128" s="7" t="s">
        <v>195</v>
      </c>
      <c r="M128" s="7" t="s">
        <v>29</v>
      </c>
      <c r="N128" s="7" t="s">
        <v>29</v>
      </c>
      <c r="O128" s="7" t="s">
        <v>29</v>
      </c>
      <c r="P128" s="7" t="s">
        <v>29</v>
      </c>
      <c r="Q128" s="7" t="s">
        <v>29</v>
      </c>
      <c r="R128" s="7" t="s">
        <v>29</v>
      </c>
      <c r="S128" s="7" t="s">
        <v>29</v>
      </c>
    </row>
    <row r="129" spans="2:19">
      <c r="B129" s="7" t="s">
        <v>195</v>
      </c>
      <c r="C129" s="8" t="s">
        <v>195</v>
      </c>
      <c r="D129" s="6" t="str">
        <f>LRTRIM(CONCATENATE(IF(SUMPRODUCT(-- ISNUMBER(SEARCH({"Auto Number"}, $B129))) &gt; 0, $B129, IF(SUMPRODUCT(-- ISNUMBER(SEARCH({"Lookup","Master-Detail"}, $B129))) &gt; 0,$B129 &amp; "(" &amp; $E129 &amp; ")",IF(SUMPRODUCT(-- ISNUMBER(SEARCH({"Formula","Roll-Up Summary"}, $B129))) &gt; 0,$B129 &amp; " (" &amp; $E129 &amp; ")",IF(SUMPRODUCT(-- ISNUMBER(SEARCH({"Content","Currency","Number","Percent","Text","URL"}, $B129))) &gt; 0,$B129 &amp; "(" &amp; $C129 &amp; ")",$B129)))), "  ", TRIM(IF($S129 = "YES", "(External ID)", "") &amp; " " &amp; IF(SUMPRODUCT(-- ISNUMBER(SEARCH({"Unique","Unique Case Insensitive"}, $R129))) &gt; 0, "(" &amp; $R129 &amp; ")", ""))))</f>
        <v>na</v>
      </c>
      <c r="E129" s="7" t="s">
        <v>195</v>
      </c>
      <c r="F129" s="7" t="s">
        <v>195</v>
      </c>
      <c r="G129" s="7" t="s">
        <v>195</v>
      </c>
      <c r="H129" s="7" t="s">
        <v>195</v>
      </c>
      <c r="I129" s="7" t="s">
        <v>195</v>
      </c>
      <c r="J129" s="7" t="s">
        <v>195</v>
      </c>
      <c r="K129" s="7" t="s">
        <v>195</v>
      </c>
      <c r="L129" s="7" t="s">
        <v>195</v>
      </c>
      <c r="M129" s="7" t="s">
        <v>29</v>
      </c>
      <c r="N129" s="7" t="s">
        <v>29</v>
      </c>
      <c r="O129" s="7" t="s">
        <v>29</v>
      </c>
      <c r="P129" s="7" t="s">
        <v>29</v>
      </c>
      <c r="Q129" s="7" t="s">
        <v>29</v>
      </c>
      <c r="R129" s="7" t="s">
        <v>29</v>
      </c>
      <c r="S129" s="7" t="s">
        <v>29</v>
      </c>
    </row>
    <row r="130" spans="2:19">
      <c r="B130" s="7" t="s">
        <v>195</v>
      </c>
      <c r="C130" s="8" t="s">
        <v>195</v>
      </c>
      <c r="D130" s="6" t="str">
        <f>LRTRIM(CONCATENATE(IF(SUMPRODUCT(-- ISNUMBER(SEARCH({"Auto Number"}, $B130))) &gt; 0, $B130, IF(SUMPRODUCT(-- ISNUMBER(SEARCH({"Lookup","Master-Detail"}, $B130))) &gt; 0,$B130 &amp; "(" &amp; $E130 &amp; ")",IF(SUMPRODUCT(-- ISNUMBER(SEARCH({"Formula","Roll-Up Summary"}, $B130))) &gt; 0,$B130 &amp; " (" &amp; $E130 &amp; ")",IF(SUMPRODUCT(-- ISNUMBER(SEARCH({"Content","Currency","Number","Percent","Text","URL"}, $B130))) &gt; 0,$B130 &amp; "(" &amp; $C130 &amp; ")",$B130)))), "  ", TRIM(IF($S130 = "YES", "(External ID)", "") &amp; " " &amp; IF(SUMPRODUCT(-- ISNUMBER(SEARCH({"Unique","Unique Case Insensitive"}, $R130))) &gt; 0, "(" &amp; $R130 &amp; ")", ""))))</f>
        <v>na</v>
      </c>
      <c r="E130" s="7" t="s">
        <v>195</v>
      </c>
      <c r="F130" s="7" t="s">
        <v>195</v>
      </c>
      <c r="G130" s="7" t="s">
        <v>195</v>
      </c>
      <c r="H130" s="7" t="s">
        <v>195</v>
      </c>
      <c r="I130" s="7" t="s">
        <v>195</v>
      </c>
      <c r="J130" s="7" t="s">
        <v>195</v>
      </c>
      <c r="K130" s="7" t="s">
        <v>195</v>
      </c>
      <c r="L130" s="7" t="s">
        <v>195</v>
      </c>
      <c r="M130" s="7" t="s">
        <v>29</v>
      </c>
      <c r="N130" s="7" t="s">
        <v>29</v>
      </c>
      <c r="O130" s="7" t="s">
        <v>29</v>
      </c>
      <c r="P130" s="7" t="s">
        <v>29</v>
      </c>
      <c r="Q130" s="7" t="s">
        <v>29</v>
      </c>
      <c r="R130" s="7" t="s">
        <v>29</v>
      </c>
      <c r="S130" s="7" t="s">
        <v>29</v>
      </c>
    </row>
    <row r="131" spans="2:19">
      <c r="B131" s="7" t="s">
        <v>195</v>
      </c>
      <c r="C131" s="8" t="s">
        <v>195</v>
      </c>
      <c r="D131" s="6" t="str">
        <f>LRTRIM(CONCATENATE(IF(SUMPRODUCT(-- ISNUMBER(SEARCH({"Auto Number"}, $B131))) &gt; 0, $B131, IF(SUMPRODUCT(-- ISNUMBER(SEARCH({"Lookup","Master-Detail"}, $B131))) &gt; 0,$B131 &amp; "(" &amp; $E131 &amp; ")",IF(SUMPRODUCT(-- ISNUMBER(SEARCH({"Formula","Roll-Up Summary"}, $B131))) &gt; 0,$B131 &amp; " (" &amp; $E131 &amp; ")",IF(SUMPRODUCT(-- ISNUMBER(SEARCH({"Content","Currency","Number","Percent","Text","URL"}, $B131))) &gt; 0,$B131 &amp; "(" &amp; $C131 &amp; ")",$B131)))), "  ", TRIM(IF($S131 = "YES", "(External ID)", "") &amp; " " &amp; IF(SUMPRODUCT(-- ISNUMBER(SEARCH({"Unique","Unique Case Insensitive"}, $R131))) &gt; 0, "(" &amp; $R131 &amp; ")", ""))))</f>
        <v>na</v>
      </c>
      <c r="E131" s="7" t="s">
        <v>195</v>
      </c>
      <c r="F131" s="7" t="s">
        <v>195</v>
      </c>
      <c r="G131" s="7" t="s">
        <v>195</v>
      </c>
      <c r="H131" s="7" t="s">
        <v>195</v>
      </c>
      <c r="I131" s="7" t="s">
        <v>195</v>
      </c>
      <c r="J131" s="7" t="s">
        <v>195</v>
      </c>
      <c r="K131" s="7" t="s">
        <v>195</v>
      </c>
      <c r="L131" s="7" t="s">
        <v>195</v>
      </c>
      <c r="M131" s="7" t="s">
        <v>29</v>
      </c>
      <c r="N131" s="7" t="s">
        <v>29</v>
      </c>
      <c r="O131" s="7" t="s">
        <v>29</v>
      </c>
      <c r="P131" s="7" t="s">
        <v>29</v>
      </c>
      <c r="Q131" s="7" t="s">
        <v>29</v>
      </c>
      <c r="R131" s="7" t="s">
        <v>29</v>
      </c>
      <c r="S131" s="7" t="s">
        <v>29</v>
      </c>
    </row>
    <row r="132" spans="2:19">
      <c r="B132" s="7" t="s">
        <v>195</v>
      </c>
      <c r="C132" s="8" t="s">
        <v>195</v>
      </c>
      <c r="D132" s="6" t="str">
        <f>LRTRIM(CONCATENATE(IF(SUMPRODUCT(-- ISNUMBER(SEARCH({"Auto Number"}, $B132))) &gt; 0, $B132, IF(SUMPRODUCT(-- ISNUMBER(SEARCH({"Lookup","Master-Detail"}, $B132))) &gt; 0,$B132 &amp; "(" &amp; $E132 &amp; ")",IF(SUMPRODUCT(-- ISNUMBER(SEARCH({"Formula","Roll-Up Summary"}, $B132))) &gt; 0,$B132 &amp; " (" &amp; $E132 &amp; ")",IF(SUMPRODUCT(-- ISNUMBER(SEARCH({"Content","Currency","Number","Percent","Text","URL"}, $B132))) &gt; 0,$B132 &amp; "(" &amp; $C132 &amp; ")",$B132)))), "  ", TRIM(IF($S132 = "YES", "(External ID)", "") &amp; " " &amp; IF(SUMPRODUCT(-- ISNUMBER(SEARCH({"Unique","Unique Case Insensitive"}, $R132))) &gt; 0, "(" &amp; $R132 &amp; ")", ""))))</f>
        <v>na</v>
      </c>
      <c r="E132" s="7" t="s">
        <v>195</v>
      </c>
      <c r="F132" s="7" t="s">
        <v>195</v>
      </c>
      <c r="G132" s="7" t="s">
        <v>195</v>
      </c>
      <c r="H132" s="7" t="s">
        <v>195</v>
      </c>
      <c r="I132" s="7" t="s">
        <v>195</v>
      </c>
      <c r="J132" s="7" t="s">
        <v>195</v>
      </c>
      <c r="K132" s="7" t="s">
        <v>195</v>
      </c>
      <c r="L132" s="7" t="s">
        <v>195</v>
      </c>
      <c r="M132" s="7" t="s">
        <v>29</v>
      </c>
      <c r="N132" s="7" t="s">
        <v>29</v>
      </c>
      <c r="O132" s="7" t="s">
        <v>29</v>
      </c>
      <c r="P132" s="7" t="s">
        <v>29</v>
      </c>
      <c r="Q132" s="7" t="s">
        <v>29</v>
      </c>
      <c r="R132" s="7" t="s">
        <v>29</v>
      </c>
      <c r="S132" s="7" t="s">
        <v>29</v>
      </c>
    </row>
    <row r="133" spans="2:19">
      <c r="B133" s="7" t="s">
        <v>195</v>
      </c>
      <c r="C133" s="8" t="s">
        <v>195</v>
      </c>
      <c r="D133" s="6" t="str">
        <f>LRTRIM(CONCATENATE(IF(SUMPRODUCT(-- ISNUMBER(SEARCH({"Auto Number"}, $B133))) &gt; 0, $B133, IF(SUMPRODUCT(-- ISNUMBER(SEARCH({"Lookup","Master-Detail"}, $B133))) &gt; 0,$B133 &amp; "(" &amp; $E133 &amp; ")",IF(SUMPRODUCT(-- ISNUMBER(SEARCH({"Formula","Roll-Up Summary"}, $B133))) &gt; 0,$B133 &amp; " (" &amp; $E133 &amp; ")",IF(SUMPRODUCT(-- ISNUMBER(SEARCH({"Content","Currency","Number","Percent","Text","URL"}, $B133))) &gt; 0,$B133 &amp; "(" &amp; $C133 &amp; ")",$B133)))), "  ", TRIM(IF($S133 = "YES", "(External ID)", "") &amp; " " &amp; IF(SUMPRODUCT(-- ISNUMBER(SEARCH({"Unique","Unique Case Insensitive"}, $R133))) &gt; 0, "(" &amp; $R133 &amp; ")", ""))))</f>
        <v>na</v>
      </c>
      <c r="E133" s="7" t="s">
        <v>195</v>
      </c>
      <c r="F133" s="7" t="s">
        <v>195</v>
      </c>
      <c r="G133" s="7" t="s">
        <v>195</v>
      </c>
      <c r="H133" s="7" t="s">
        <v>195</v>
      </c>
      <c r="I133" s="7" t="s">
        <v>195</v>
      </c>
      <c r="J133" s="7" t="s">
        <v>195</v>
      </c>
      <c r="K133" s="7" t="s">
        <v>195</v>
      </c>
      <c r="L133" s="7" t="s">
        <v>195</v>
      </c>
      <c r="M133" s="7" t="s">
        <v>29</v>
      </c>
      <c r="N133" s="7" t="s">
        <v>29</v>
      </c>
      <c r="O133" s="7" t="s">
        <v>29</v>
      </c>
      <c r="P133" s="7" t="s">
        <v>29</v>
      </c>
      <c r="Q133" s="7" t="s">
        <v>29</v>
      </c>
      <c r="R133" s="7" t="s">
        <v>29</v>
      </c>
      <c r="S133" s="7" t="s">
        <v>29</v>
      </c>
    </row>
    <row r="134" spans="2:19">
      <c r="B134" s="7" t="s">
        <v>195</v>
      </c>
      <c r="C134" s="8" t="s">
        <v>195</v>
      </c>
      <c r="D134" s="6" t="str">
        <f>LRTRIM(CONCATENATE(IF(SUMPRODUCT(-- ISNUMBER(SEARCH({"Auto Number"}, $B134))) &gt; 0, $B134, IF(SUMPRODUCT(-- ISNUMBER(SEARCH({"Lookup","Master-Detail"}, $B134))) &gt; 0,$B134 &amp; "(" &amp; $E134 &amp; ")",IF(SUMPRODUCT(-- ISNUMBER(SEARCH({"Formula","Roll-Up Summary"}, $B134))) &gt; 0,$B134 &amp; " (" &amp; $E134 &amp; ")",IF(SUMPRODUCT(-- ISNUMBER(SEARCH({"Content","Currency","Number","Percent","Text","URL"}, $B134))) &gt; 0,$B134 &amp; "(" &amp; $C134 &amp; ")",$B134)))), "  ", TRIM(IF($S134 = "YES", "(External ID)", "") &amp; " " &amp; IF(SUMPRODUCT(-- ISNUMBER(SEARCH({"Unique","Unique Case Insensitive"}, $R134))) &gt; 0, "(" &amp; $R134 &amp; ")", ""))))</f>
        <v>na</v>
      </c>
      <c r="E134" s="7" t="s">
        <v>195</v>
      </c>
      <c r="F134" s="7" t="s">
        <v>195</v>
      </c>
      <c r="G134" s="7" t="s">
        <v>195</v>
      </c>
      <c r="H134" s="7" t="s">
        <v>195</v>
      </c>
      <c r="I134" s="7" t="s">
        <v>195</v>
      </c>
      <c r="J134" s="7" t="s">
        <v>195</v>
      </c>
      <c r="K134" s="7" t="s">
        <v>195</v>
      </c>
      <c r="L134" s="7" t="s">
        <v>195</v>
      </c>
      <c r="M134" s="7" t="s">
        <v>29</v>
      </c>
      <c r="N134" s="7" t="s">
        <v>29</v>
      </c>
      <c r="O134" s="7" t="s">
        <v>29</v>
      </c>
      <c r="P134" s="7" t="s">
        <v>29</v>
      </c>
      <c r="Q134" s="7" t="s">
        <v>29</v>
      </c>
      <c r="R134" s="7" t="s">
        <v>29</v>
      </c>
      <c r="S134" s="7" t="s">
        <v>29</v>
      </c>
    </row>
    <row r="135" spans="2:19">
      <c r="B135" s="7" t="s">
        <v>195</v>
      </c>
      <c r="C135" s="8" t="s">
        <v>195</v>
      </c>
      <c r="D135" s="6" t="str">
        <f>LRTRIM(CONCATENATE(IF(SUMPRODUCT(-- ISNUMBER(SEARCH({"Auto Number"}, $B135))) &gt; 0, $B135, IF(SUMPRODUCT(-- ISNUMBER(SEARCH({"Lookup","Master-Detail"}, $B135))) &gt; 0,$B135 &amp; "(" &amp; $E135 &amp; ")",IF(SUMPRODUCT(-- ISNUMBER(SEARCH({"Formula","Roll-Up Summary"}, $B135))) &gt; 0,$B135 &amp; " (" &amp; $E135 &amp; ")",IF(SUMPRODUCT(-- ISNUMBER(SEARCH({"Content","Currency","Number","Percent","Text","URL"}, $B135))) &gt; 0,$B135 &amp; "(" &amp; $C135 &amp; ")",$B135)))), "  ", TRIM(IF($S135 = "YES", "(External ID)", "") &amp; " " &amp; IF(SUMPRODUCT(-- ISNUMBER(SEARCH({"Unique","Unique Case Insensitive"}, $R135))) &gt; 0, "(" &amp; $R135 &amp; ")", ""))))</f>
        <v>na</v>
      </c>
      <c r="E135" s="7" t="s">
        <v>195</v>
      </c>
      <c r="F135" s="7" t="s">
        <v>195</v>
      </c>
      <c r="G135" s="7" t="s">
        <v>195</v>
      </c>
      <c r="H135" s="7" t="s">
        <v>195</v>
      </c>
      <c r="I135" s="7" t="s">
        <v>195</v>
      </c>
      <c r="J135" s="7" t="s">
        <v>195</v>
      </c>
      <c r="K135" s="7" t="s">
        <v>195</v>
      </c>
      <c r="L135" s="7" t="s">
        <v>195</v>
      </c>
      <c r="M135" s="7" t="s">
        <v>29</v>
      </c>
      <c r="N135" s="7" t="s">
        <v>29</v>
      </c>
      <c r="O135" s="7" t="s">
        <v>29</v>
      </c>
      <c r="P135" s="7" t="s">
        <v>29</v>
      </c>
      <c r="Q135" s="7" t="s">
        <v>29</v>
      </c>
      <c r="R135" s="7" t="s">
        <v>29</v>
      </c>
      <c r="S135" s="7" t="s">
        <v>29</v>
      </c>
    </row>
    <row r="136" spans="2:19">
      <c r="B136" s="7" t="s">
        <v>195</v>
      </c>
      <c r="C136" s="8" t="s">
        <v>195</v>
      </c>
      <c r="D136" s="6" t="str">
        <f>LRTRIM(CONCATENATE(IF(SUMPRODUCT(-- ISNUMBER(SEARCH({"Auto Number"}, $B136))) &gt; 0, $B136, IF(SUMPRODUCT(-- ISNUMBER(SEARCH({"Lookup","Master-Detail"}, $B136))) &gt; 0,$B136 &amp; "(" &amp; $E136 &amp; ")",IF(SUMPRODUCT(-- ISNUMBER(SEARCH({"Formula","Roll-Up Summary"}, $B136))) &gt; 0,$B136 &amp; " (" &amp; $E136 &amp; ")",IF(SUMPRODUCT(-- ISNUMBER(SEARCH({"Content","Currency","Number","Percent","Text","URL"}, $B136))) &gt; 0,$B136 &amp; "(" &amp; $C136 &amp; ")",$B136)))), "  ", TRIM(IF($S136 = "YES", "(External ID)", "") &amp; " " &amp; IF(SUMPRODUCT(-- ISNUMBER(SEARCH({"Unique","Unique Case Insensitive"}, $R136))) &gt; 0, "(" &amp; $R136 &amp; ")", ""))))</f>
        <v>na</v>
      </c>
      <c r="E136" s="7" t="s">
        <v>195</v>
      </c>
      <c r="F136" s="7" t="s">
        <v>195</v>
      </c>
      <c r="G136" s="7" t="s">
        <v>195</v>
      </c>
      <c r="H136" s="7" t="s">
        <v>195</v>
      </c>
      <c r="I136" s="7" t="s">
        <v>195</v>
      </c>
      <c r="J136" s="7" t="s">
        <v>195</v>
      </c>
      <c r="K136" s="7" t="s">
        <v>195</v>
      </c>
      <c r="L136" s="7" t="s">
        <v>195</v>
      </c>
      <c r="M136" s="7" t="s">
        <v>29</v>
      </c>
      <c r="N136" s="7" t="s">
        <v>29</v>
      </c>
      <c r="O136" s="7" t="s">
        <v>29</v>
      </c>
      <c r="P136" s="7" t="s">
        <v>29</v>
      </c>
      <c r="Q136" s="7" t="s">
        <v>29</v>
      </c>
      <c r="R136" s="7" t="s">
        <v>29</v>
      </c>
      <c r="S136" s="7" t="s">
        <v>29</v>
      </c>
    </row>
    <row r="137" spans="2:19">
      <c r="B137" s="7" t="s">
        <v>195</v>
      </c>
      <c r="C137" s="8" t="s">
        <v>195</v>
      </c>
      <c r="D137" s="6" t="str">
        <f>LRTRIM(CONCATENATE(IF(SUMPRODUCT(-- ISNUMBER(SEARCH({"Auto Number"}, $B137))) &gt; 0, $B137, IF(SUMPRODUCT(-- ISNUMBER(SEARCH({"Lookup","Master-Detail"}, $B137))) &gt; 0,$B137 &amp; "(" &amp; $E137 &amp; ")",IF(SUMPRODUCT(-- ISNUMBER(SEARCH({"Formula","Roll-Up Summary"}, $B137))) &gt; 0,$B137 &amp; " (" &amp; $E137 &amp; ")",IF(SUMPRODUCT(-- ISNUMBER(SEARCH({"Content","Currency","Number","Percent","Text","URL"}, $B137))) &gt; 0,$B137 &amp; "(" &amp; $C137 &amp; ")",$B137)))), "  ", TRIM(IF($S137 = "YES", "(External ID)", "") &amp; " " &amp; IF(SUMPRODUCT(-- ISNUMBER(SEARCH({"Unique","Unique Case Insensitive"}, $R137))) &gt; 0, "(" &amp; $R137 &amp; ")", ""))))</f>
        <v>na</v>
      </c>
      <c r="E137" s="7" t="s">
        <v>195</v>
      </c>
      <c r="F137" s="7" t="s">
        <v>195</v>
      </c>
      <c r="G137" s="7" t="s">
        <v>195</v>
      </c>
      <c r="H137" s="7" t="s">
        <v>195</v>
      </c>
      <c r="I137" s="7" t="s">
        <v>195</v>
      </c>
      <c r="J137" s="7" t="s">
        <v>195</v>
      </c>
      <c r="K137" s="7" t="s">
        <v>195</v>
      </c>
      <c r="L137" s="7" t="s">
        <v>195</v>
      </c>
      <c r="M137" s="7" t="s">
        <v>29</v>
      </c>
      <c r="N137" s="7" t="s">
        <v>29</v>
      </c>
      <c r="O137" s="7" t="s">
        <v>29</v>
      </c>
      <c r="P137" s="7" t="s">
        <v>29</v>
      </c>
      <c r="Q137" s="7" t="s">
        <v>29</v>
      </c>
      <c r="R137" s="7" t="s">
        <v>29</v>
      </c>
      <c r="S137" s="7" t="s">
        <v>29</v>
      </c>
    </row>
    <row r="138" spans="2:19">
      <c r="B138" s="7" t="s">
        <v>195</v>
      </c>
      <c r="C138" s="8" t="s">
        <v>195</v>
      </c>
      <c r="D138" s="6" t="str">
        <f>LRTRIM(CONCATENATE(IF(SUMPRODUCT(-- ISNUMBER(SEARCH({"Auto Number"}, $B138))) &gt; 0, $B138, IF(SUMPRODUCT(-- ISNUMBER(SEARCH({"Lookup","Master-Detail"}, $B138))) &gt; 0,$B138 &amp; "(" &amp; $E138 &amp; ")",IF(SUMPRODUCT(-- ISNUMBER(SEARCH({"Formula","Roll-Up Summary"}, $B138))) &gt; 0,$B138 &amp; " (" &amp; $E138 &amp; ")",IF(SUMPRODUCT(-- ISNUMBER(SEARCH({"Content","Currency","Number","Percent","Text","URL"}, $B138))) &gt; 0,$B138 &amp; "(" &amp; $C138 &amp; ")",$B138)))), "  ", TRIM(IF($S138 = "YES", "(External ID)", "") &amp; " " &amp; IF(SUMPRODUCT(-- ISNUMBER(SEARCH({"Unique","Unique Case Insensitive"}, $R138))) &gt; 0, "(" &amp; $R138 &amp; ")", ""))))</f>
        <v>na</v>
      </c>
      <c r="E138" s="7" t="s">
        <v>195</v>
      </c>
      <c r="F138" s="7" t="s">
        <v>195</v>
      </c>
      <c r="G138" s="7" t="s">
        <v>195</v>
      </c>
      <c r="H138" s="7" t="s">
        <v>195</v>
      </c>
      <c r="I138" s="7" t="s">
        <v>195</v>
      </c>
      <c r="J138" s="7" t="s">
        <v>195</v>
      </c>
      <c r="K138" s="7" t="s">
        <v>195</v>
      </c>
      <c r="L138" s="7" t="s">
        <v>195</v>
      </c>
      <c r="M138" s="7" t="s">
        <v>29</v>
      </c>
      <c r="N138" s="7" t="s">
        <v>29</v>
      </c>
      <c r="O138" s="7" t="s">
        <v>29</v>
      </c>
      <c r="P138" s="7" t="s">
        <v>29</v>
      </c>
      <c r="Q138" s="7" t="s">
        <v>29</v>
      </c>
      <c r="R138" s="7" t="s">
        <v>29</v>
      </c>
      <c r="S138" s="7" t="s">
        <v>29</v>
      </c>
    </row>
    <row r="139" spans="2:19">
      <c r="B139" s="7" t="s">
        <v>195</v>
      </c>
      <c r="C139" s="8" t="s">
        <v>195</v>
      </c>
      <c r="D139" s="6" t="str">
        <f>LRTRIM(CONCATENATE(IF(SUMPRODUCT(-- ISNUMBER(SEARCH({"Auto Number"}, $B139))) &gt; 0, $B139, IF(SUMPRODUCT(-- ISNUMBER(SEARCH({"Lookup","Master-Detail"}, $B139))) &gt; 0,$B139 &amp; "(" &amp; $E139 &amp; ")",IF(SUMPRODUCT(-- ISNUMBER(SEARCH({"Formula","Roll-Up Summary"}, $B139))) &gt; 0,$B139 &amp; " (" &amp; $E139 &amp; ")",IF(SUMPRODUCT(-- ISNUMBER(SEARCH({"Content","Currency","Number","Percent","Text","URL"}, $B139))) &gt; 0,$B139 &amp; "(" &amp; $C139 &amp; ")",$B139)))), "  ", TRIM(IF($S139 = "YES", "(External ID)", "") &amp; " " &amp; IF(SUMPRODUCT(-- ISNUMBER(SEARCH({"Unique","Unique Case Insensitive"}, $R139))) &gt; 0, "(" &amp; $R139 &amp; ")", ""))))</f>
        <v>na</v>
      </c>
      <c r="E139" s="7" t="s">
        <v>195</v>
      </c>
      <c r="F139" s="7" t="s">
        <v>195</v>
      </c>
      <c r="G139" s="7" t="s">
        <v>195</v>
      </c>
      <c r="H139" s="7" t="s">
        <v>195</v>
      </c>
      <c r="I139" s="7" t="s">
        <v>195</v>
      </c>
      <c r="J139" s="7" t="s">
        <v>195</v>
      </c>
      <c r="K139" s="7" t="s">
        <v>195</v>
      </c>
      <c r="L139" s="7" t="s">
        <v>195</v>
      </c>
      <c r="M139" s="7" t="s">
        <v>29</v>
      </c>
      <c r="N139" s="7" t="s">
        <v>29</v>
      </c>
      <c r="O139" s="7" t="s">
        <v>29</v>
      </c>
      <c r="P139" s="7" t="s">
        <v>29</v>
      </c>
      <c r="Q139" s="7" t="s">
        <v>29</v>
      </c>
      <c r="R139" s="7" t="s">
        <v>29</v>
      </c>
      <c r="S139" s="7" t="s">
        <v>29</v>
      </c>
    </row>
    <row r="140" spans="2:19">
      <c r="B140" s="7" t="s">
        <v>195</v>
      </c>
      <c r="C140" s="8" t="s">
        <v>195</v>
      </c>
      <c r="D140" s="6" t="str">
        <f>LRTRIM(CONCATENATE(IF(SUMPRODUCT(-- ISNUMBER(SEARCH({"Auto Number"}, $B140))) &gt; 0, $B140, IF(SUMPRODUCT(-- ISNUMBER(SEARCH({"Lookup","Master-Detail"}, $B140))) &gt; 0,$B140 &amp; "(" &amp; $E140 &amp; ")",IF(SUMPRODUCT(-- ISNUMBER(SEARCH({"Formula","Roll-Up Summary"}, $B140))) &gt; 0,$B140 &amp; " (" &amp; $E140 &amp; ")",IF(SUMPRODUCT(-- ISNUMBER(SEARCH({"Content","Currency","Number","Percent","Text","URL"}, $B140))) &gt; 0,$B140 &amp; "(" &amp; $C140 &amp; ")",$B140)))), "  ", TRIM(IF($S140 = "YES", "(External ID)", "") &amp; " " &amp; IF(SUMPRODUCT(-- ISNUMBER(SEARCH({"Unique","Unique Case Insensitive"}, $R140))) &gt; 0, "(" &amp; $R140 &amp; ")", ""))))</f>
        <v>na</v>
      </c>
      <c r="E140" s="7" t="s">
        <v>195</v>
      </c>
      <c r="F140" s="7" t="s">
        <v>195</v>
      </c>
      <c r="G140" s="7" t="s">
        <v>195</v>
      </c>
      <c r="H140" s="7" t="s">
        <v>195</v>
      </c>
      <c r="I140" s="7" t="s">
        <v>195</v>
      </c>
      <c r="J140" s="7" t="s">
        <v>195</v>
      </c>
      <c r="K140" s="7" t="s">
        <v>195</v>
      </c>
      <c r="L140" s="7" t="s">
        <v>195</v>
      </c>
      <c r="M140" s="7" t="s">
        <v>29</v>
      </c>
      <c r="N140" s="7" t="s">
        <v>29</v>
      </c>
      <c r="O140" s="7" t="s">
        <v>29</v>
      </c>
      <c r="P140" s="7" t="s">
        <v>29</v>
      </c>
      <c r="Q140" s="7" t="s">
        <v>29</v>
      </c>
      <c r="R140" s="7" t="s">
        <v>29</v>
      </c>
      <c r="S140" s="7" t="s">
        <v>29</v>
      </c>
    </row>
    <row r="141" spans="2:19">
      <c r="B141" s="7" t="s">
        <v>195</v>
      </c>
      <c r="C141" s="8" t="s">
        <v>195</v>
      </c>
      <c r="D141" s="6" t="str">
        <f>LRTRIM(CONCATENATE(IF(SUMPRODUCT(-- ISNUMBER(SEARCH({"Auto Number"}, $B141))) &gt; 0, $B141, IF(SUMPRODUCT(-- ISNUMBER(SEARCH({"Lookup","Master-Detail"}, $B141))) &gt; 0,$B141 &amp; "(" &amp; $E141 &amp; ")",IF(SUMPRODUCT(-- ISNUMBER(SEARCH({"Formula","Roll-Up Summary"}, $B141))) &gt; 0,$B141 &amp; " (" &amp; $E141 &amp; ")",IF(SUMPRODUCT(-- ISNUMBER(SEARCH({"Content","Currency","Number","Percent","Text","URL"}, $B141))) &gt; 0,$B141 &amp; "(" &amp; $C141 &amp; ")",$B141)))), "  ", TRIM(IF($S141 = "YES", "(External ID)", "") &amp; " " &amp; IF(SUMPRODUCT(-- ISNUMBER(SEARCH({"Unique","Unique Case Insensitive"}, $R141))) &gt; 0, "(" &amp; $R141 &amp; ")", ""))))</f>
        <v>na</v>
      </c>
      <c r="E141" s="7" t="s">
        <v>195</v>
      </c>
      <c r="F141" s="7" t="s">
        <v>195</v>
      </c>
      <c r="G141" s="7" t="s">
        <v>195</v>
      </c>
      <c r="H141" s="7" t="s">
        <v>195</v>
      </c>
      <c r="I141" s="7" t="s">
        <v>195</v>
      </c>
      <c r="J141" s="7" t="s">
        <v>195</v>
      </c>
      <c r="K141" s="7" t="s">
        <v>195</v>
      </c>
      <c r="L141" s="7" t="s">
        <v>195</v>
      </c>
      <c r="M141" s="7" t="s">
        <v>29</v>
      </c>
      <c r="N141" s="7" t="s">
        <v>29</v>
      </c>
      <c r="O141" s="7" t="s">
        <v>29</v>
      </c>
      <c r="P141" s="7" t="s">
        <v>29</v>
      </c>
      <c r="Q141" s="7" t="s">
        <v>29</v>
      </c>
      <c r="R141" s="7" t="s">
        <v>29</v>
      </c>
      <c r="S141" s="7" t="s">
        <v>29</v>
      </c>
    </row>
    <row r="142" spans="2:19">
      <c r="B142" s="7" t="s">
        <v>195</v>
      </c>
      <c r="C142" s="8" t="s">
        <v>195</v>
      </c>
      <c r="D142" s="6" t="str">
        <f>LRTRIM(CONCATENATE(IF(SUMPRODUCT(-- ISNUMBER(SEARCH({"Auto Number"}, $B142))) &gt; 0, $B142, IF(SUMPRODUCT(-- ISNUMBER(SEARCH({"Lookup","Master-Detail"}, $B142))) &gt; 0,$B142 &amp; "(" &amp; $E142 &amp; ")",IF(SUMPRODUCT(-- ISNUMBER(SEARCH({"Formula","Roll-Up Summary"}, $B142))) &gt; 0,$B142 &amp; " (" &amp; $E142 &amp; ")",IF(SUMPRODUCT(-- ISNUMBER(SEARCH({"Content","Currency","Number","Percent","Text","URL"}, $B142))) &gt; 0,$B142 &amp; "(" &amp; $C142 &amp; ")",$B142)))), "  ", TRIM(IF($S142 = "YES", "(External ID)", "") &amp; " " &amp; IF(SUMPRODUCT(-- ISNUMBER(SEARCH({"Unique","Unique Case Insensitive"}, $R142))) &gt; 0, "(" &amp; $R142 &amp; ")", ""))))</f>
        <v>na</v>
      </c>
      <c r="E142" s="7" t="s">
        <v>195</v>
      </c>
      <c r="F142" s="7" t="s">
        <v>195</v>
      </c>
      <c r="G142" s="7" t="s">
        <v>195</v>
      </c>
      <c r="H142" s="7" t="s">
        <v>195</v>
      </c>
      <c r="I142" s="7" t="s">
        <v>195</v>
      </c>
      <c r="J142" s="7" t="s">
        <v>195</v>
      </c>
      <c r="K142" s="7" t="s">
        <v>195</v>
      </c>
      <c r="L142" s="7" t="s">
        <v>195</v>
      </c>
      <c r="M142" s="7" t="s">
        <v>29</v>
      </c>
      <c r="N142" s="7" t="s">
        <v>29</v>
      </c>
      <c r="O142" s="7" t="s">
        <v>29</v>
      </c>
      <c r="P142" s="7" t="s">
        <v>29</v>
      </c>
      <c r="Q142" s="7" t="s">
        <v>29</v>
      </c>
      <c r="R142" s="7" t="s">
        <v>29</v>
      </c>
      <c r="S142" s="7" t="s">
        <v>29</v>
      </c>
    </row>
    <row r="143" spans="2:19">
      <c r="B143" s="7" t="s">
        <v>195</v>
      </c>
      <c r="C143" s="8" t="s">
        <v>195</v>
      </c>
      <c r="D143" s="6" t="str">
        <f>LRTRIM(CONCATENATE(IF(SUMPRODUCT(-- ISNUMBER(SEARCH({"Auto Number"}, $B143))) &gt; 0, $B143, IF(SUMPRODUCT(-- ISNUMBER(SEARCH({"Lookup","Master-Detail"}, $B143))) &gt; 0,$B143 &amp; "(" &amp; $E143 &amp; ")",IF(SUMPRODUCT(-- ISNUMBER(SEARCH({"Formula","Roll-Up Summary"}, $B143))) &gt; 0,$B143 &amp; " (" &amp; $E143 &amp; ")",IF(SUMPRODUCT(-- ISNUMBER(SEARCH({"Content","Currency","Number","Percent","Text","URL"}, $B143))) &gt; 0,$B143 &amp; "(" &amp; $C143 &amp; ")",$B143)))), "  ", TRIM(IF($S143 = "YES", "(External ID)", "") &amp; " " &amp; IF(SUMPRODUCT(-- ISNUMBER(SEARCH({"Unique","Unique Case Insensitive"}, $R143))) &gt; 0, "(" &amp; $R143 &amp; ")", ""))))</f>
        <v>na</v>
      </c>
      <c r="E143" s="7" t="s">
        <v>195</v>
      </c>
      <c r="F143" s="7" t="s">
        <v>195</v>
      </c>
      <c r="G143" s="7" t="s">
        <v>195</v>
      </c>
      <c r="H143" s="7" t="s">
        <v>195</v>
      </c>
      <c r="I143" s="7" t="s">
        <v>195</v>
      </c>
      <c r="J143" s="7" t="s">
        <v>195</v>
      </c>
      <c r="K143" s="7" t="s">
        <v>195</v>
      </c>
      <c r="L143" s="7" t="s">
        <v>195</v>
      </c>
      <c r="M143" s="7" t="s">
        <v>29</v>
      </c>
      <c r="N143" s="7" t="s">
        <v>29</v>
      </c>
      <c r="O143" s="7" t="s">
        <v>29</v>
      </c>
      <c r="P143" s="7" t="s">
        <v>29</v>
      </c>
      <c r="Q143" s="7" t="s">
        <v>29</v>
      </c>
      <c r="R143" s="7" t="s">
        <v>29</v>
      </c>
      <c r="S143" s="7" t="s">
        <v>29</v>
      </c>
    </row>
    <row r="144" spans="2:19">
      <c r="B144" s="7" t="s">
        <v>195</v>
      </c>
      <c r="C144" s="8" t="s">
        <v>195</v>
      </c>
      <c r="D144" s="6" t="str">
        <f>LRTRIM(CONCATENATE(IF(SUMPRODUCT(-- ISNUMBER(SEARCH({"Auto Number"}, $B144))) &gt; 0, $B144, IF(SUMPRODUCT(-- ISNUMBER(SEARCH({"Lookup","Master-Detail"}, $B144))) &gt; 0,$B144 &amp; "(" &amp; $E144 &amp; ")",IF(SUMPRODUCT(-- ISNUMBER(SEARCH({"Formula","Roll-Up Summary"}, $B144))) &gt; 0,$B144 &amp; " (" &amp; $E144 &amp; ")",IF(SUMPRODUCT(-- ISNUMBER(SEARCH({"Content","Currency","Number","Percent","Text","URL"}, $B144))) &gt; 0,$B144 &amp; "(" &amp; $C144 &amp; ")",$B144)))), "  ", TRIM(IF($S144 = "YES", "(External ID)", "") &amp; " " &amp; IF(SUMPRODUCT(-- ISNUMBER(SEARCH({"Unique","Unique Case Insensitive"}, $R144))) &gt; 0, "(" &amp; $R144 &amp; ")", ""))))</f>
        <v>na</v>
      </c>
      <c r="E144" s="7" t="s">
        <v>195</v>
      </c>
      <c r="F144" s="7" t="s">
        <v>195</v>
      </c>
      <c r="G144" s="7" t="s">
        <v>195</v>
      </c>
      <c r="H144" s="7" t="s">
        <v>195</v>
      </c>
      <c r="I144" s="7" t="s">
        <v>195</v>
      </c>
      <c r="J144" s="7" t="s">
        <v>195</v>
      </c>
      <c r="K144" s="7" t="s">
        <v>195</v>
      </c>
      <c r="L144" s="7" t="s">
        <v>195</v>
      </c>
      <c r="M144" s="7" t="s">
        <v>29</v>
      </c>
      <c r="N144" s="7" t="s">
        <v>29</v>
      </c>
      <c r="O144" s="7" t="s">
        <v>29</v>
      </c>
      <c r="P144" s="7" t="s">
        <v>29</v>
      </c>
      <c r="Q144" s="7" t="s">
        <v>29</v>
      </c>
      <c r="R144" s="7" t="s">
        <v>29</v>
      </c>
      <c r="S144" s="7" t="s">
        <v>29</v>
      </c>
    </row>
    <row r="145" spans="2:19">
      <c r="B145" s="7" t="s">
        <v>195</v>
      </c>
      <c r="C145" s="8" t="s">
        <v>195</v>
      </c>
      <c r="D145" s="6" t="str">
        <f>LRTRIM(CONCATENATE(IF(SUMPRODUCT(-- ISNUMBER(SEARCH({"Auto Number"}, $B145))) &gt; 0, $B145, IF(SUMPRODUCT(-- ISNUMBER(SEARCH({"Lookup","Master-Detail"}, $B145))) &gt; 0,$B145 &amp; "(" &amp; $E145 &amp; ")",IF(SUMPRODUCT(-- ISNUMBER(SEARCH({"Formula","Roll-Up Summary"}, $B145))) &gt; 0,$B145 &amp; " (" &amp; $E145 &amp; ")",IF(SUMPRODUCT(-- ISNUMBER(SEARCH({"Content","Currency","Number","Percent","Text","URL"}, $B145))) &gt; 0,$B145 &amp; "(" &amp; $C145 &amp; ")",$B145)))), "  ", TRIM(IF($S145 = "YES", "(External ID)", "") &amp; " " &amp; IF(SUMPRODUCT(-- ISNUMBER(SEARCH({"Unique","Unique Case Insensitive"}, $R145))) &gt; 0, "(" &amp; $R145 &amp; ")", ""))))</f>
        <v>na</v>
      </c>
      <c r="E145" s="7" t="s">
        <v>195</v>
      </c>
      <c r="F145" s="7" t="s">
        <v>195</v>
      </c>
      <c r="G145" s="7" t="s">
        <v>195</v>
      </c>
      <c r="H145" s="7" t="s">
        <v>195</v>
      </c>
      <c r="I145" s="7" t="s">
        <v>195</v>
      </c>
      <c r="J145" s="7" t="s">
        <v>195</v>
      </c>
      <c r="K145" s="7" t="s">
        <v>195</v>
      </c>
      <c r="L145" s="7" t="s">
        <v>195</v>
      </c>
      <c r="M145" s="7" t="s">
        <v>29</v>
      </c>
      <c r="N145" s="7" t="s">
        <v>29</v>
      </c>
      <c r="O145" s="7" t="s">
        <v>29</v>
      </c>
      <c r="P145" s="7" t="s">
        <v>29</v>
      </c>
      <c r="Q145" s="7" t="s">
        <v>29</v>
      </c>
      <c r="R145" s="7" t="s">
        <v>29</v>
      </c>
      <c r="S145" s="7" t="s">
        <v>29</v>
      </c>
    </row>
    <row r="146" spans="2:19">
      <c r="B146" s="7" t="s">
        <v>195</v>
      </c>
      <c r="C146" s="8" t="s">
        <v>195</v>
      </c>
      <c r="D146" s="6" t="str">
        <f>LRTRIM(CONCATENATE(IF(SUMPRODUCT(-- ISNUMBER(SEARCH({"Auto Number"}, $B146))) &gt; 0, $B146, IF(SUMPRODUCT(-- ISNUMBER(SEARCH({"Lookup","Master-Detail"}, $B146))) &gt; 0,$B146 &amp; "(" &amp; $E146 &amp; ")",IF(SUMPRODUCT(-- ISNUMBER(SEARCH({"Formula","Roll-Up Summary"}, $B146))) &gt; 0,$B146 &amp; " (" &amp; $E146 &amp; ")",IF(SUMPRODUCT(-- ISNUMBER(SEARCH({"Content","Currency","Number","Percent","Text","URL"}, $B146))) &gt; 0,$B146 &amp; "(" &amp; $C146 &amp; ")",$B146)))), "  ", TRIM(IF($S146 = "YES", "(External ID)", "") &amp; " " &amp; IF(SUMPRODUCT(-- ISNUMBER(SEARCH({"Unique","Unique Case Insensitive"}, $R146))) &gt; 0, "(" &amp; $R146 &amp; ")", ""))))</f>
        <v>na</v>
      </c>
      <c r="E146" s="7" t="s">
        <v>195</v>
      </c>
      <c r="F146" s="7" t="s">
        <v>195</v>
      </c>
      <c r="G146" s="7" t="s">
        <v>195</v>
      </c>
      <c r="H146" s="7" t="s">
        <v>195</v>
      </c>
      <c r="I146" s="7" t="s">
        <v>195</v>
      </c>
      <c r="J146" s="7" t="s">
        <v>195</v>
      </c>
      <c r="K146" s="7" t="s">
        <v>195</v>
      </c>
      <c r="L146" s="7" t="s">
        <v>195</v>
      </c>
      <c r="M146" s="7" t="s">
        <v>29</v>
      </c>
      <c r="N146" s="7" t="s">
        <v>29</v>
      </c>
      <c r="O146" s="7" t="s">
        <v>29</v>
      </c>
      <c r="P146" s="7" t="s">
        <v>29</v>
      </c>
      <c r="Q146" s="7" t="s">
        <v>29</v>
      </c>
      <c r="R146" s="7" t="s">
        <v>29</v>
      </c>
      <c r="S146" s="7" t="s">
        <v>29</v>
      </c>
    </row>
    <row r="147" spans="2:19">
      <c r="B147" s="7" t="s">
        <v>195</v>
      </c>
      <c r="C147" s="8" t="s">
        <v>195</v>
      </c>
      <c r="D147" s="6" t="str">
        <f>LRTRIM(CONCATENATE(IF(SUMPRODUCT(-- ISNUMBER(SEARCH({"Auto Number"}, $B147))) &gt; 0, $B147, IF(SUMPRODUCT(-- ISNUMBER(SEARCH({"Lookup","Master-Detail"}, $B147))) &gt; 0,$B147 &amp; "(" &amp; $E147 &amp; ")",IF(SUMPRODUCT(-- ISNUMBER(SEARCH({"Formula","Roll-Up Summary"}, $B147))) &gt; 0,$B147 &amp; " (" &amp; $E147 &amp; ")",IF(SUMPRODUCT(-- ISNUMBER(SEARCH({"Content","Currency","Number","Percent","Text","URL"}, $B147))) &gt; 0,$B147 &amp; "(" &amp; $C147 &amp; ")",$B147)))), "  ", TRIM(IF($S147 = "YES", "(External ID)", "") &amp; " " &amp; IF(SUMPRODUCT(-- ISNUMBER(SEARCH({"Unique","Unique Case Insensitive"}, $R147))) &gt; 0, "(" &amp; $R147 &amp; ")", ""))))</f>
        <v>na</v>
      </c>
      <c r="E147" s="7" t="s">
        <v>195</v>
      </c>
      <c r="F147" s="7" t="s">
        <v>195</v>
      </c>
      <c r="G147" s="7" t="s">
        <v>195</v>
      </c>
      <c r="H147" s="7" t="s">
        <v>195</v>
      </c>
      <c r="I147" s="7" t="s">
        <v>195</v>
      </c>
      <c r="J147" s="7" t="s">
        <v>195</v>
      </c>
      <c r="K147" s="7" t="s">
        <v>195</v>
      </c>
      <c r="L147" s="7" t="s">
        <v>195</v>
      </c>
      <c r="M147" s="7" t="s">
        <v>29</v>
      </c>
      <c r="N147" s="7" t="s">
        <v>29</v>
      </c>
      <c r="O147" s="7" t="s">
        <v>29</v>
      </c>
      <c r="P147" s="7" t="s">
        <v>29</v>
      </c>
      <c r="Q147" s="7" t="s">
        <v>29</v>
      </c>
      <c r="R147" s="7" t="s">
        <v>29</v>
      </c>
      <c r="S147" s="7" t="s">
        <v>29</v>
      </c>
    </row>
    <row r="148" spans="2:19">
      <c r="B148" s="7" t="s">
        <v>195</v>
      </c>
      <c r="C148" s="8" t="s">
        <v>195</v>
      </c>
      <c r="D148" s="6" t="str">
        <f>LRTRIM(CONCATENATE(IF(SUMPRODUCT(-- ISNUMBER(SEARCH({"Auto Number"}, $B148))) &gt; 0, $B148, IF(SUMPRODUCT(-- ISNUMBER(SEARCH({"Lookup","Master-Detail"}, $B148))) &gt; 0,$B148 &amp; "(" &amp; $E148 &amp; ")",IF(SUMPRODUCT(-- ISNUMBER(SEARCH({"Formula","Roll-Up Summary"}, $B148))) &gt; 0,$B148 &amp; " (" &amp; $E148 &amp; ")",IF(SUMPRODUCT(-- ISNUMBER(SEARCH({"Content","Currency","Number","Percent","Text","URL"}, $B148))) &gt; 0,$B148 &amp; "(" &amp; $C148 &amp; ")",$B148)))), "  ", TRIM(IF($S148 = "YES", "(External ID)", "") &amp; " " &amp; IF(SUMPRODUCT(-- ISNUMBER(SEARCH({"Unique","Unique Case Insensitive"}, $R148))) &gt; 0, "(" &amp; $R148 &amp; ")", ""))))</f>
        <v>na</v>
      </c>
      <c r="E148" s="7" t="s">
        <v>195</v>
      </c>
      <c r="F148" s="7" t="s">
        <v>195</v>
      </c>
      <c r="G148" s="7" t="s">
        <v>195</v>
      </c>
      <c r="H148" s="7" t="s">
        <v>195</v>
      </c>
      <c r="I148" s="7" t="s">
        <v>195</v>
      </c>
      <c r="J148" s="7" t="s">
        <v>195</v>
      </c>
      <c r="K148" s="7" t="s">
        <v>195</v>
      </c>
      <c r="L148" s="7" t="s">
        <v>195</v>
      </c>
      <c r="M148" s="7" t="s">
        <v>29</v>
      </c>
      <c r="N148" s="7" t="s">
        <v>29</v>
      </c>
      <c r="O148" s="7" t="s">
        <v>29</v>
      </c>
      <c r="P148" s="7" t="s">
        <v>29</v>
      </c>
      <c r="Q148" s="7" t="s">
        <v>29</v>
      </c>
      <c r="R148" s="7" t="s">
        <v>29</v>
      </c>
      <c r="S148" s="7" t="s">
        <v>29</v>
      </c>
    </row>
    <row r="149" spans="2:19">
      <c r="B149" s="7" t="s">
        <v>195</v>
      </c>
      <c r="C149" s="8" t="s">
        <v>195</v>
      </c>
      <c r="D149" s="6" t="str">
        <f>LRTRIM(CONCATENATE(IF(SUMPRODUCT(-- ISNUMBER(SEARCH({"Auto Number"}, $B149))) &gt; 0, $B149, IF(SUMPRODUCT(-- ISNUMBER(SEARCH({"Lookup","Master-Detail"}, $B149))) &gt; 0,$B149 &amp; "(" &amp; $E149 &amp; ")",IF(SUMPRODUCT(-- ISNUMBER(SEARCH({"Formula","Roll-Up Summary"}, $B149))) &gt; 0,$B149 &amp; " (" &amp; $E149 &amp; ")",IF(SUMPRODUCT(-- ISNUMBER(SEARCH({"Content","Currency","Number","Percent","Text","URL"}, $B149))) &gt; 0,$B149 &amp; "(" &amp; $C149 &amp; ")",$B149)))), "  ", TRIM(IF($S149 = "YES", "(External ID)", "") &amp; " " &amp; IF(SUMPRODUCT(-- ISNUMBER(SEARCH({"Unique","Unique Case Insensitive"}, $R149))) &gt; 0, "(" &amp; $R149 &amp; ")", ""))))</f>
        <v>na</v>
      </c>
      <c r="E149" s="7" t="s">
        <v>195</v>
      </c>
      <c r="F149" s="7" t="s">
        <v>195</v>
      </c>
      <c r="G149" s="7" t="s">
        <v>195</v>
      </c>
      <c r="H149" s="7" t="s">
        <v>195</v>
      </c>
      <c r="I149" s="7" t="s">
        <v>195</v>
      </c>
      <c r="J149" s="7" t="s">
        <v>195</v>
      </c>
      <c r="K149" s="7" t="s">
        <v>195</v>
      </c>
      <c r="L149" s="7" t="s">
        <v>195</v>
      </c>
      <c r="M149" s="7" t="s">
        <v>29</v>
      </c>
      <c r="N149" s="7" t="s">
        <v>29</v>
      </c>
      <c r="O149" s="7" t="s">
        <v>29</v>
      </c>
      <c r="P149" s="7" t="s">
        <v>29</v>
      </c>
      <c r="Q149" s="7" t="s">
        <v>29</v>
      </c>
      <c r="R149" s="7" t="s">
        <v>29</v>
      </c>
      <c r="S149" s="7" t="s">
        <v>29</v>
      </c>
    </row>
    <row r="150" spans="2:19">
      <c r="B150" s="7" t="s">
        <v>195</v>
      </c>
      <c r="C150" s="8" t="s">
        <v>195</v>
      </c>
      <c r="D150" s="6" t="str">
        <f>LRTRIM(CONCATENATE(IF(SUMPRODUCT(-- ISNUMBER(SEARCH({"Auto Number"}, $B150))) &gt; 0, $B150, IF(SUMPRODUCT(-- ISNUMBER(SEARCH({"Lookup","Master-Detail"}, $B150))) &gt; 0,$B150 &amp; "(" &amp; $E150 &amp; ")",IF(SUMPRODUCT(-- ISNUMBER(SEARCH({"Formula","Roll-Up Summary"}, $B150))) &gt; 0,$B150 &amp; " (" &amp; $E150 &amp; ")",IF(SUMPRODUCT(-- ISNUMBER(SEARCH({"Content","Currency","Number","Percent","Text","URL"}, $B150))) &gt; 0,$B150 &amp; "(" &amp; $C150 &amp; ")",$B150)))), "  ", TRIM(IF($S150 = "YES", "(External ID)", "") &amp; " " &amp; IF(SUMPRODUCT(-- ISNUMBER(SEARCH({"Unique","Unique Case Insensitive"}, $R150))) &gt; 0, "(" &amp; $R150 &amp; ")", ""))))</f>
        <v>na</v>
      </c>
      <c r="E150" s="7" t="s">
        <v>195</v>
      </c>
      <c r="F150" s="7" t="s">
        <v>195</v>
      </c>
      <c r="G150" s="7" t="s">
        <v>195</v>
      </c>
      <c r="H150" s="7" t="s">
        <v>195</v>
      </c>
      <c r="I150" s="7" t="s">
        <v>195</v>
      </c>
      <c r="J150" s="7" t="s">
        <v>195</v>
      </c>
      <c r="K150" s="7" t="s">
        <v>195</v>
      </c>
      <c r="L150" s="7" t="s">
        <v>195</v>
      </c>
      <c r="M150" s="7" t="s">
        <v>29</v>
      </c>
      <c r="N150" s="7" t="s">
        <v>29</v>
      </c>
      <c r="O150" s="7" t="s">
        <v>29</v>
      </c>
      <c r="P150" s="7" t="s">
        <v>29</v>
      </c>
      <c r="Q150" s="7" t="s">
        <v>29</v>
      </c>
      <c r="R150" s="7" t="s">
        <v>29</v>
      </c>
      <c r="S150" s="7" t="s">
        <v>29</v>
      </c>
    </row>
    <row r="151" spans="2:19">
      <c r="B151" s="7" t="s">
        <v>195</v>
      </c>
      <c r="C151" s="8" t="s">
        <v>195</v>
      </c>
      <c r="D151" s="6" t="str">
        <f>LRTRIM(CONCATENATE(IF(SUMPRODUCT(-- ISNUMBER(SEARCH({"Auto Number"}, $B151))) &gt; 0, $B151, IF(SUMPRODUCT(-- ISNUMBER(SEARCH({"Lookup","Master-Detail"}, $B151))) &gt; 0,$B151 &amp; "(" &amp; $E151 &amp; ")",IF(SUMPRODUCT(-- ISNUMBER(SEARCH({"Formula","Roll-Up Summary"}, $B151))) &gt; 0,$B151 &amp; " (" &amp; $E151 &amp; ")",IF(SUMPRODUCT(-- ISNUMBER(SEARCH({"Content","Currency","Number","Percent","Text","URL"}, $B151))) &gt; 0,$B151 &amp; "(" &amp; $C151 &amp; ")",$B151)))), "  ", TRIM(IF($S151 = "YES", "(External ID)", "") &amp; " " &amp; IF(SUMPRODUCT(-- ISNUMBER(SEARCH({"Unique","Unique Case Insensitive"}, $R151))) &gt; 0, "(" &amp; $R151 &amp; ")", ""))))</f>
        <v>na</v>
      </c>
      <c r="E151" s="7" t="s">
        <v>195</v>
      </c>
      <c r="F151" s="7" t="s">
        <v>195</v>
      </c>
      <c r="G151" s="7" t="s">
        <v>195</v>
      </c>
      <c r="H151" s="7" t="s">
        <v>195</v>
      </c>
      <c r="I151" s="7" t="s">
        <v>195</v>
      </c>
      <c r="J151" s="7" t="s">
        <v>195</v>
      </c>
      <c r="K151" s="7" t="s">
        <v>195</v>
      </c>
      <c r="L151" s="7" t="s">
        <v>195</v>
      </c>
      <c r="M151" s="7" t="s">
        <v>29</v>
      </c>
      <c r="N151" s="7" t="s">
        <v>29</v>
      </c>
      <c r="O151" s="7" t="s">
        <v>29</v>
      </c>
      <c r="P151" s="7" t="s">
        <v>29</v>
      </c>
      <c r="Q151" s="7" t="s">
        <v>29</v>
      </c>
      <c r="R151" s="7" t="s">
        <v>29</v>
      </c>
      <c r="S151" s="7" t="s">
        <v>29</v>
      </c>
    </row>
    <row r="152" spans="2:19">
      <c r="B152" s="7" t="s">
        <v>195</v>
      </c>
      <c r="C152" s="8" t="s">
        <v>195</v>
      </c>
      <c r="D152" s="6" t="str">
        <f>LRTRIM(CONCATENATE(IF(SUMPRODUCT(-- ISNUMBER(SEARCH({"Auto Number"}, $B152))) &gt; 0, $B152, IF(SUMPRODUCT(-- ISNUMBER(SEARCH({"Lookup","Master-Detail"}, $B152))) &gt; 0,$B152 &amp; "(" &amp; $E152 &amp; ")",IF(SUMPRODUCT(-- ISNUMBER(SEARCH({"Formula","Roll-Up Summary"}, $B152))) &gt; 0,$B152 &amp; " (" &amp; $E152 &amp; ")",IF(SUMPRODUCT(-- ISNUMBER(SEARCH({"Content","Currency","Number","Percent","Text","URL"}, $B152))) &gt; 0,$B152 &amp; "(" &amp; $C152 &amp; ")",$B152)))), "  ", TRIM(IF($S152 = "YES", "(External ID)", "") &amp; " " &amp; IF(SUMPRODUCT(-- ISNUMBER(SEARCH({"Unique","Unique Case Insensitive"}, $R152))) &gt; 0, "(" &amp; $R152 &amp; ")", ""))))</f>
        <v>na</v>
      </c>
      <c r="E152" s="7" t="s">
        <v>195</v>
      </c>
      <c r="F152" s="7" t="s">
        <v>195</v>
      </c>
      <c r="G152" s="7" t="s">
        <v>195</v>
      </c>
      <c r="H152" s="7" t="s">
        <v>195</v>
      </c>
      <c r="I152" s="7" t="s">
        <v>195</v>
      </c>
      <c r="J152" s="7" t="s">
        <v>195</v>
      </c>
      <c r="K152" s="7" t="s">
        <v>195</v>
      </c>
      <c r="L152" s="7" t="s">
        <v>195</v>
      </c>
      <c r="M152" s="7" t="s">
        <v>29</v>
      </c>
      <c r="N152" s="7" t="s">
        <v>29</v>
      </c>
      <c r="O152" s="7" t="s">
        <v>29</v>
      </c>
      <c r="P152" s="7" t="s">
        <v>29</v>
      </c>
      <c r="Q152" s="7" t="s">
        <v>29</v>
      </c>
      <c r="R152" s="7" t="s">
        <v>29</v>
      </c>
      <c r="S152" s="7" t="s">
        <v>29</v>
      </c>
    </row>
    <row r="153" spans="2:19">
      <c r="B153" s="7" t="s">
        <v>195</v>
      </c>
      <c r="C153" s="8" t="s">
        <v>195</v>
      </c>
      <c r="D153" s="6" t="str">
        <f>LRTRIM(CONCATENATE(IF(SUMPRODUCT(-- ISNUMBER(SEARCH({"Auto Number"}, $B153))) &gt; 0, $B153, IF(SUMPRODUCT(-- ISNUMBER(SEARCH({"Lookup","Master-Detail"}, $B153))) &gt; 0,$B153 &amp; "(" &amp; $E153 &amp; ")",IF(SUMPRODUCT(-- ISNUMBER(SEARCH({"Formula","Roll-Up Summary"}, $B153))) &gt; 0,$B153 &amp; " (" &amp; $E153 &amp; ")",IF(SUMPRODUCT(-- ISNUMBER(SEARCH({"Content","Currency","Number","Percent","Text","URL"}, $B153))) &gt; 0,$B153 &amp; "(" &amp; $C153 &amp; ")",$B153)))), "  ", TRIM(IF($S153 = "YES", "(External ID)", "") &amp; " " &amp; IF(SUMPRODUCT(-- ISNUMBER(SEARCH({"Unique","Unique Case Insensitive"}, $R153))) &gt; 0, "(" &amp; $R153 &amp; ")", ""))))</f>
        <v>na</v>
      </c>
      <c r="E153" s="7" t="s">
        <v>195</v>
      </c>
      <c r="F153" s="7" t="s">
        <v>195</v>
      </c>
      <c r="G153" s="7" t="s">
        <v>195</v>
      </c>
      <c r="H153" s="7" t="s">
        <v>195</v>
      </c>
      <c r="I153" s="7" t="s">
        <v>195</v>
      </c>
      <c r="J153" s="7" t="s">
        <v>195</v>
      </c>
      <c r="K153" s="7" t="s">
        <v>195</v>
      </c>
      <c r="L153" s="7" t="s">
        <v>195</v>
      </c>
      <c r="M153" s="7" t="s">
        <v>29</v>
      </c>
      <c r="N153" s="7" t="s">
        <v>29</v>
      </c>
      <c r="O153" s="7" t="s">
        <v>29</v>
      </c>
      <c r="P153" s="7" t="s">
        <v>29</v>
      </c>
      <c r="Q153" s="7" t="s">
        <v>29</v>
      </c>
      <c r="R153" s="7" t="s">
        <v>29</v>
      </c>
      <c r="S153" s="7" t="s">
        <v>29</v>
      </c>
    </row>
    <row r="154" spans="2:19">
      <c r="B154" s="7" t="s">
        <v>195</v>
      </c>
      <c r="C154" s="8" t="s">
        <v>195</v>
      </c>
      <c r="D154" s="6" t="str">
        <f>LRTRIM(CONCATENATE(IF(SUMPRODUCT(-- ISNUMBER(SEARCH({"Auto Number"}, $B154))) &gt; 0, $B154, IF(SUMPRODUCT(-- ISNUMBER(SEARCH({"Lookup","Master-Detail"}, $B154))) &gt; 0,$B154 &amp; "(" &amp; $E154 &amp; ")",IF(SUMPRODUCT(-- ISNUMBER(SEARCH({"Formula","Roll-Up Summary"}, $B154))) &gt; 0,$B154 &amp; " (" &amp; $E154 &amp; ")",IF(SUMPRODUCT(-- ISNUMBER(SEARCH({"Content","Currency","Number","Percent","Text","URL"}, $B154))) &gt; 0,$B154 &amp; "(" &amp; $C154 &amp; ")",$B154)))), "  ", TRIM(IF($S154 = "YES", "(External ID)", "") &amp; " " &amp; IF(SUMPRODUCT(-- ISNUMBER(SEARCH({"Unique","Unique Case Insensitive"}, $R154))) &gt; 0, "(" &amp; $R154 &amp; ")", ""))))</f>
        <v>na</v>
      </c>
      <c r="E154" s="7" t="s">
        <v>195</v>
      </c>
      <c r="F154" s="7" t="s">
        <v>195</v>
      </c>
      <c r="G154" s="7" t="s">
        <v>195</v>
      </c>
      <c r="H154" s="7" t="s">
        <v>195</v>
      </c>
      <c r="I154" s="7" t="s">
        <v>195</v>
      </c>
      <c r="J154" s="7" t="s">
        <v>195</v>
      </c>
      <c r="K154" s="7" t="s">
        <v>195</v>
      </c>
      <c r="L154" s="7" t="s">
        <v>195</v>
      </c>
      <c r="M154" s="7" t="s">
        <v>29</v>
      </c>
      <c r="N154" s="7" t="s">
        <v>29</v>
      </c>
      <c r="O154" s="7" t="s">
        <v>29</v>
      </c>
      <c r="P154" s="7" t="s">
        <v>29</v>
      </c>
      <c r="Q154" s="7" t="s">
        <v>29</v>
      </c>
      <c r="R154" s="7" t="s">
        <v>29</v>
      </c>
      <c r="S154" s="7" t="s">
        <v>29</v>
      </c>
    </row>
    <row r="155" spans="2:19">
      <c r="B155" s="7" t="s">
        <v>195</v>
      </c>
      <c r="C155" s="8" t="s">
        <v>195</v>
      </c>
      <c r="D155" s="6" t="str">
        <f>LRTRIM(CONCATENATE(IF(SUMPRODUCT(-- ISNUMBER(SEARCH({"Auto Number"}, $B155))) &gt; 0, $B155, IF(SUMPRODUCT(-- ISNUMBER(SEARCH({"Lookup","Master-Detail"}, $B155))) &gt; 0,$B155 &amp; "(" &amp; $E155 &amp; ")",IF(SUMPRODUCT(-- ISNUMBER(SEARCH({"Formula","Roll-Up Summary"}, $B155))) &gt; 0,$B155 &amp; " (" &amp; $E155 &amp; ")",IF(SUMPRODUCT(-- ISNUMBER(SEARCH({"Content","Currency","Number","Percent","Text","URL"}, $B155))) &gt; 0,$B155 &amp; "(" &amp; $C155 &amp; ")",$B155)))), "  ", TRIM(IF($S155 = "YES", "(External ID)", "") &amp; " " &amp; IF(SUMPRODUCT(-- ISNUMBER(SEARCH({"Unique","Unique Case Insensitive"}, $R155))) &gt; 0, "(" &amp; $R155 &amp; ")", ""))))</f>
        <v>na</v>
      </c>
      <c r="E155" s="7" t="s">
        <v>195</v>
      </c>
      <c r="F155" s="7" t="s">
        <v>195</v>
      </c>
      <c r="G155" s="7" t="s">
        <v>195</v>
      </c>
      <c r="H155" s="7" t="s">
        <v>195</v>
      </c>
      <c r="I155" s="7" t="s">
        <v>195</v>
      </c>
      <c r="J155" s="7" t="s">
        <v>195</v>
      </c>
      <c r="K155" s="7" t="s">
        <v>195</v>
      </c>
      <c r="L155" s="7" t="s">
        <v>195</v>
      </c>
      <c r="M155" s="7" t="s">
        <v>29</v>
      </c>
      <c r="N155" s="7" t="s">
        <v>29</v>
      </c>
      <c r="O155" s="7" t="s">
        <v>29</v>
      </c>
      <c r="P155" s="7" t="s">
        <v>29</v>
      </c>
      <c r="Q155" s="7" t="s">
        <v>29</v>
      </c>
      <c r="R155" s="7" t="s">
        <v>29</v>
      </c>
      <c r="S155" s="7" t="s">
        <v>29</v>
      </c>
    </row>
    <row r="156" spans="2:19">
      <c r="B156" s="7" t="s">
        <v>195</v>
      </c>
      <c r="C156" s="8" t="s">
        <v>195</v>
      </c>
      <c r="D156" s="6" t="str">
        <f>LRTRIM(CONCATENATE(IF(SUMPRODUCT(-- ISNUMBER(SEARCH({"Auto Number"}, $B156))) &gt; 0, $B156, IF(SUMPRODUCT(-- ISNUMBER(SEARCH({"Lookup","Master-Detail"}, $B156))) &gt; 0,$B156 &amp; "(" &amp; $E156 &amp; ")",IF(SUMPRODUCT(-- ISNUMBER(SEARCH({"Formula","Roll-Up Summary"}, $B156))) &gt; 0,$B156 &amp; " (" &amp; $E156 &amp; ")",IF(SUMPRODUCT(-- ISNUMBER(SEARCH({"Content","Currency","Number","Percent","Text","URL"}, $B156))) &gt; 0,$B156 &amp; "(" &amp; $C156 &amp; ")",$B156)))), "  ", TRIM(IF($S156 = "YES", "(External ID)", "") &amp; " " &amp; IF(SUMPRODUCT(-- ISNUMBER(SEARCH({"Unique","Unique Case Insensitive"}, $R156))) &gt; 0, "(" &amp; $R156 &amp; ")", ""))))</f>
        <v>na</v>
      </c>
      <c r="E156" s="7" t="s">
        <v>195</v>
      </c>
      <c r="F156" s="7" t="s">
        <v>195</v>
      </c>
      <c r="G156" s="7" t="s">
        <v>195</v>
      </c>
      <c r="H156" s="7" t="s">
        <v>195</v>
      </c>
      <c r="I156" s="7" t="s">
        <v>195</v>
      </c>
      <c r="J156" s="7" t="s">
        <v>195</v>
      </c>
      <c r="K156" s="7" t="s">
        <v>195</v>
      </c>
      <c r="L156" s="7" t="s">
        <v>195</v>
      </c>
      <c r="M156" s="7" t="s">
        <v>29</v>
      </c>
      <c r="N156" s="7" t="s">
        <v>29</v>
      </c>
      <c r="O156" s="7" t="s">
        <v>29</v>
      </c>
      <c r="P156" s="7" t="s">
        <v>29</v>
      </c>
      <c r="Q156" s="7" t="s">
        <v>29</v>
      </c>
      <c r="R156" s="7" t="s">
        <v>29</v>
      </c>
      <c r="S156" s="7" t="s">
        <v>29</v>
      </c>
    </row>
    <row r="157" spans="2:19">
      <c r="B157" s="7" t="s">
        <v>195</v>
      </c>
      <c r="C157" s="8" t="s">
        <v>195</v>
      </c>
      <c r="D157" s="6" t="str">
        <f>LRTRIM(CONCATENATE(IF(SUMPRODUCT(-- ISNUMBER(SEARCH({"Auto Number"}, $B157))) &gt; 0, $B157, IF(SUMPRODUCT(-- ISNUMBER(SEARCH({"Lookup","Master-Detail"}, $B157))) &gt; 0,$B157 &amp; "(" &amp; $E157 &amp; ")",IF(SUMPRODUCT(-- ISNUMBER(SEARCH({"Formula","Roll-Up Summary"}, $B157))) &gt; 0,$B157 &amp; " (" &amp; $E157 &amp; ")",IF(SUMPRODUCT(-- ISNUMBER(SEARCH({"Content","Currency","Number","Percent","Text","URL"}, $B157))) &gt; 0,$B157 &amp; "(" &amp; $C157 &amp; ")",$B157)))), "  ", TRIM(IF($S157 = "YES", "(External ID)", "") &amp; " " &amp; IF(SUMPRODUCT(-- ISNUMBER(SEARCH({"Unique","Unique Case Insensitive"}, $R157))) &gt; 0, "(" &amp; $R157 &amp; ")", ""))))</f>
        <v>na</v>
      </c>
      <c r="E157" s="7" t="s">
        <v>195</v>
      </c>
      <c r="F157" s="7" t="s">
        <v>195</v>
      </c>
      <c r="G157" s="7" t="s">
        <v>195</v>
      </c>
      <c r="H157" s="7" t="s">
        <v>195</v>
      </c>
      <c r="I157" s="7" t="s">
        <v>195</v>
      </c>
      <c r="J157" s="7" t="s">
        <v>195</v>
      </c>
      <c r="K157" s="7" t="s">
        <v>195</v>
      </c>
      <c r="L157" s="7" t="s">
        <v>195</v>
      </c>
      <c r="M157" s="7" t="s">
        <v>29</v>
      </c>
      <c r="N157" s="7" t="s">
        <v>29</v>
      </c>
      <c r="O157" s="7" t="s">
        <v>29</v>
      </c>
      <c r="P157" s="7" t="s">
        <v>29</v>
      </c>
      <c r="Q157" s="7" t="s">
        <v>29</v>
      </c>
      <c r="R157" s="7" t="s">
        <v>29</v>
      </c>
      <c r="S157" s="7" t="s">
        <v>29</v>
      </c>
    </row>
    <row r="158" spans="2:19">
      <c r="B158" s="7" t="s">
        <v>195</v>
      </c>
      <c r="C158" s="8" t="s">
        <v>195</v>
      </c>
      <c r="D158" s="6" t="str">
        <f>LRTRIM(CONCATENATE(IF(SUMPRODUCT(-- ISNUMBER(SEARCH({"Auto Number"}, $B158))) &gt; 0, $B158, IF(SUMPRODUCT(-- ISNUMBER(SEARCH({"Lookup","Master-Detail"}, $B158))) &gt; 0,$B158 &amp; "(" &amp; $E158 &amp; ")",IF(SUMPRODUCT(-- ISNUMBER(SEARCH({"Formula","Roll-Up Summary"}, $B158))) &gt; 0,$B158 &amp; " (" &amp; $E158 &amp; ")",IF(SUMPRODUCT(-- ISNUMBER(SEARCH({"Content","Currency","Number","Percent","Text","URL"}, $B158))) &gt; 0,$B158 &amp; "(" &amp; $C158 &amp; ")",$B158)))), "  ", TRIM(IF($S158 = "YES", "(External ID)", "") &amp; " " &amp; IF(SUMPRODUCT(-- ISNUMBER(SEARCH({"Unique","Unique Case Insensitive"}, $R158))) &gt; 0, "(" &amp; $R158 &amp; ")", ""))))</f>
        <v>na</v>
      </c>
      <c r="E158" s="7" t="s">
        <v>195</v>
      </c>
      <c r="F158" s="7" t="s">
        <v>195</v>
      </c>
      <c r="G158" s="7" t="s">
        <v>195</v>
      </c>
      <c r="H158" s="7" t="s">
        <v>195</v>
      </c>
      <c r="I158" s="7" t="s">
        <v>195</v>
      </c>
      <c r="J158" s="7" t="s">
        <v>195</v>
      </c>
      <c r="K158" s="7" t="s">
        <v>195</v>
      </c>
      <c r="L158" s="7" t="s">
        <v>195</v>
      </c>
      <c r="M158" s="7" t="s">
        <v>29</v>
      </c>
      <c r="N158" s="7" t="s">
        <v>29</v>
      </c>
      <c r="O158" s="7" t="s">
        <v>29</v>
      </c>
      <c r="P158" s="7" t="s">
        <v>29</v>
      </c>
      <c r="Q158" s="7" t="s">
        <v>29</v>
      </c>
      <c r="R158" s="7" t="s">
        <v>29</v>
      </c>
      <c r="S158" s="7" t="s">
        <v>29</v>
      </c>
    </row>
    <row r="159" spans="2:19">
      <c r="B159" s="7" t="s">
        <v>195</v>
      </c>
      <c r="C159" s="8" t="s">
        <v>195</v>
      </c>
      <c r="D159" s="6" t="str">
        <f>LRTRIM(CONCATENATE(IF(SUMPRODUCT(-- ISNUMBER(SEARCH({"Auto Number"}, $B159))) &gt; 0, $B159, IF(SUMPRODUCT(-- ISNUMBER(SEARCH({"Lookup","Master-Detail"}, $B159))) &gt; 0,$B159 &amp; "(" &amp; $E159 &amp; ")",IF(SUMPRODUCT(-- ISNUMBER(SEARCH({"Formula","Roll-Up Summary"}, $B159))) &gt; 0,$B159 &amp; " (" &amp; $E159 &amp; ")",IF(SUMPRODUCT(-- ISNUMBER(SEARCH({"Content","Currency","Number","Percent","Text","URL"}, $B159))) &gt; 0,$B159 &amp; "(" &amp; $C159 &amp; ")",$B159)))), "  ", TRIM(IF($S159 = "YES", "(External ID)", "") &amp; " " &amp; IF(SUMPRODUCT(-- ISNUMBER(SEARCH({"Unique","Unique Case Insensitive"}, $R159))) &gt; 0, "(" &amp; $R159 &amp; ")", ""))))</f>
        <v>na</v>
      </c>
      <c r="E159" s="7" t="s">
        <v>195</v>
      </c>
      <c r="F159" s="7" t="s">
        <v>195</v>
      </c>
      <c r="G159" s="7" t="s">
        <v>195</v>
      </c>
      <c r="H159" s="7" t="s">
        <v>195</v>
      </c>
      <c r="I159" s="7" t="s">
        <v>195</v>
      </c>
      <c r="J159" s="7" t="s">
        <v>195</v>
      </c>
      <c r="K159" s="7" t="s">
        <v>195</v>
      </c>
      <c r="L159" s="7" t="s">
        <v>195</v>
      </c>
      <c r="M159" s="7" t="s">
        <v>29</v>
      </c>
      <c r="N159" s="7" t="s">
        <v>29</v>
      </c>
      <c r="O159" s="7" t="s">
        <v>29</v>
      </c>
      <c r="P159" s="7" t="s">
        <v>29</v>
      </c>
      <c r="Q159" s="7" t="s">
        <v>29</v>
      </c>
      <c r="R159" s="7" t="s">
        <v>29</v>
      </c>
      <c r="S159" s="7" t="s">
        <v>29</v>
      </c>
    </row>
    <row r="160" spans="2:19">
      <c r="B160" s="7" t="s">
        <v>195</v>
      </c>
      <c r="C160" s="8" t="s">
        <v>195</v>
      </c>
      <c r="D160" s="6" t="str">
        <f>LRTRIM(CONCATENATE(IF(SUMPRODUCT(-- ISNUMBER(SEARCH({"Auto Number"}, $B160))) &gt; 0, $B160, IF(SUMPRODUCT(-- ISNUMBER(SEARCH({"Lookup","Master-Detail"}, $B160))) &gt; 0,$B160 &amp; "(" &amp; $E160 &amp; ")",IF(SUMPRODUCT(-- ISNUMBER(SEARCH({"Formula","Roll-Up Summary"}, $B160))) &gt; 0,$B160 &amp; " (" &amp; $E160 &amp; ")",IF(SUMPRODUCT(-- ISNUMBER(SEARCH({"Content","Currency","Number","Percent","Text","URL"}, $B160))) &gt; 0,$B160 &amp; "(" &amp; $C160 &amp; ")",$B160)))), "  ", TRIM(IF($S160 = "YES", "(External ID)", "") &amp; " " &amp; IF(SUMPRODUCT(-- ISNUMBER(SEARCH({"Unique","Unique Case Insensitive"}, $R160))) &gt; 0, "(" &amp; $R160 &amp; ")", ""))))</f>
        <v>na</v>
      </c>
      <c r="E160" s="7" t="s">
        <v>195</v>
      </c>
      <c r="F160" s="7" t="s">
        <v>195</v>
      </c>
      <c r="G160" s="7" t="s">
        <v>195</v>
      </c>
      <c r="H160" s="7" t="s">
        <v>195</v>
      </c>
      <c r="I160" s="7" t="s">
        <v>195</v>
      </c>
      <c r="J160" s="7" t="s">
        <v>195</v>
      </c>
      <c r="K160" s="7" t="s">
        <v>195</v>
      </c>
      <c r="L160" s="7" t="s">
        <v>195</v>
      </c>
      <c r="M160" s="7" t="s">
        <v>29</v>
      </c>
      <c r="N160" s="7" t="s">
        <v>29</v>
      </c>
      <c r="O160" s="7" t="s">
        <v>29</v>
      </c>
      <c r="P160" s="7" t="s">
        <v>29</v>
      </c>
      <c r="Q160" s="7" t="s">
        <v>29</v>
      </c>
      <c r="R160" s="7" t="s">
        <v>29</v>
      </c>
      <c r="S160" s="7" t="s">
        <v>29</v>
      </c>
    </row>
    <row r="161" spans="2:19">
      <c r="B161" s="7" t="s">
        <v>195</v>
      </c>
      <c r="C161" s="8" t="s">
        <v>195</v>
      </c>
      <c r="D161" s="6" t="str">
        <f>LRTRIM(CONCATENATE(IF(SUMPRODUCT(-- ISNUMBER(SEARCH({"Auto Number"}, $B161))) &gt; 0, $B161, IF(SUMPRODUCT(-- ISNUMBER(SEARCH({"Lookup","Master-Detail"}, $B161))) &gt; 0,$B161 &amp; "(" &amp; $E161 &amp; ")",IF(SUMPRODUCT(-- ISNUMBER(SEARCH({"Formula","Roll-Up Summary"}, $B161))) &gt; 0,$B161 &amp; " (" &amp; $E161 &amp; ")",IF(SUMPRODUCT(-- ISNUMBER(SEARCH({"Content","Currency","Number","Percent","Text","URL"}, $B161))) &gt; 0,$B161 &amp; "(" &amp; $C161 &amp; ")",$B161)))), "  ", TRIM(IF($S161 = "YES", "(External ID)", "") &amp; " " &amp; IF(SUMPRODUCT(-- ISNUMBER(SEARCH({"Unique","Unique Case Insensitive"}, $R161))) &gt; 0, "(" &amp; $R161 &amp; ")", ""))))</f>
        <v>na</v>
      </c>
      <c r="E161" s="7" t="s">
        <v>195</v>
      </c>
      <c r="F161" s="7" t="s">
        <v>195</v>
      </c>
      <c r="G161" s="7" t="s">
        <v>195</v>
      </c>
      <c r="H161" s="7" t="s">
        <v>195</v>
      </c>
      <c r="I161" s="7" t="s">
        <v>195</v>
      </c>
      <c r="J161" s="7" t="s">
        <v>195</v>
      </c>
      <c r="K161" s="7" t="s">
        <v>195</v>
      </c>
      <c r="L161" s="7" t="s">
        <v>195</v>
      </c>
      <c r="M161" s="7" t="s">
        <v>29</v>
      </c>
      <c r="N161" s="7" t="s">
        <v>29</v>
      </c>
      <c r="O161" s="7" t="s">
        <v>29</v>
      </c>
      <c r="P161" s="7" t="s">
        <v>29</v>
      </c>
      <c r="Q161" s="7" t="s">
        <v>29</v>
      </c>
      <c r="R161" s="7" t="s">
        <v>29</v>
      </c>
      <c r="S161" s="7" t="s">
        <v>29</v>
      </c>
    </row>
    <row r="162" spans="2:19">
      <c r="B162" s="7" t="s">
        <v>195</v>
      </c>
      <c r="C162" s="8" t="s">
        <v>195</v>
      </c>
      <c r="D162" s="6" t="str">
        <f>LRTRIM(CONCATENATE(IF(SUMPRODUCT(-- ISNUMBER(SEARCH({"Auto Number"}, $B162))) &gt; 0, $B162, IF(SUMPRODUCT(-- ISNUMBER(SEARCH({"Lookup","Master-Detail"}, $B162))) &gt; 0,$B162 &amp; "(" &amp; $E162 &amp; ")",IF(SUMPRODUCT(-- ISNUMBER(SEARCH({"Formula","Roll-Up Summary"}, $B162))) &gt; 0,$B162 &amp; " (" &amp; $E162 &amp; ")",IF(SUMPRODUCT(-- ISNUMBER(SEARCH({"Content","Currency","Number","Percent","Text","URL"}, $B162))) &gt; 0,$B162 &amp; "(" &amp; $C162 &amp; ")",$B162)))), "  ", TRIM(IF($S162 = "YES", "(External ID)", "") &amp; " " &amp; IF(SUMPRODUCT(-- ISNUMBER(SEARCH({"Unique","Unique Case Insensitive"}, $R162))) &gt; 0, "(" &amp; $R162 &amp; ")", ""))))</f>
        <v>na</v>
      </c>
      <c r="E162" s="7" t="s">
        <v>195</v>
      </c>
      <c r="F162" s="7" t="s">
        <v>195</v>
      </c>
      <c r="G162" s="7" t="s">
        <v>195</v>
      </c>
      <c r="H162" s="7" t="s">
        <v>195</v>
      </c>
      <c r="I162" s="7" t="s">
        <v>195</v>
      </c>
      <c r="J162" s="7" t="s">
        <v>195</v>
      </c>
      <c r="K162" s="7" t="s">
        <v>195</v>
      </c>
      <c r="L162" s="7" t="s">
        <v>195</v>
      </c>
      <c r="M162" s="7" t="s">
        <v>29</v>
      </c>
      <c r="N162" s="7" t="s">
        <v>29</v>
      </c>
      <c r="O162" s="7" t="s">
        <v>29</v>
      </c>
      <c r="P162" s="7" t="s">
        <v>29</v>
      </c>
      <c r="Q162" s="7" t="s">
        <v>29</v>
      </c>
      <c r="R162" s="7" t="s">
        <v>29</v>
      </c>
      <c r="S162" s="7" t="s">
        <v>29</v>
      </c>
    </row>
    <row r="163" spans="2:19">
      <c r="B163" s="7" t="s">
        <v>195</v>
      </c>
      <c r="C163" s="8" t="s">
        <v>195</v>
      </c>
      <c r="D163" s="6" t="str">
        <f>LRTRIM(CONCATENATE(IF(SUMPRODUCT(-- ISNUMBER(SEARCH({"Auto Number"}, $B163))) &gt; 0, $B163, IF(SUMPRODUCT(-- ISNUMBER(SEARCH({"Lookup","Master-Detail"}, $B163))) &gt; 0,$B163 &amp; "(" &amp; $E163 &amp; ")",IF(SUMPRODUCT(-- ISNUMBER(SEARCH({"Formula","Roll-Up Summary"}, $B163))) &gt; 0,$B163 &amp; " (" &amp; $E163 &amp; ")",IF(SUMPRODUCT(-- ISNUMBER(SEARCH({"Content","Currency","Number","Percent","Text","URL"}, $B163))) &gt; 0,$B163 &amp; "(" &amp; $C163 &amp; ")",$B163)))), "  ", TRIM(IF($S163 = "YES", "(External ID)", "") &amp; " " &amp; IF(SUMPRODUCT(-- ISNUMBER(SEARCH({"Unique","Unique Case Insensitive"}, $R163))) &gt; 0, "(" &amp; $R163 &amp; ")", ""))))</f>
        <v>na</v>
      </c>
      <c r="E163" s="7" t="s">
        <v>195</v>
      </c>
      <c r="F163" s="7" t="s">
        <v>195</v>
      </c>
      <c r="G163" s="7" t="s">
        <v>195</v>
      </c>
      <c r="H163" s="7" t="s">
        <v>195</v>
      </c>
      <c r="I163" s="7" t="s">
        <v>195</v>
      </c>
      <c r="J163" s="7" t="s">
        <v>195</v>
      </c>
      <c r="K163" s="7" t="s">
        <v>195</v>
      </c>
      <c r="L163" s="7" t="s">
        <v>195</v>
      </c>
      <c r="M163" s="7" t="s">
        <v>29</v>
      </c>
      <c r="N163" s="7" t="s">
        <v>29</v>
      </c>
      <c r="O163" s="7" t="s">
        <v>29</v>
      </c>
      <c r="P163" s="7" t="s">
        <v>29</v>
      </c>
      <c r="Q163" s="7" t="s">
        <v>29</v>
      </c>
      <c r="R163" s="7" t="s">
        <v>29</v>
      </c>
      <c r="S163" s="7" t="s">
        <v>29</v>
      </c>
    </row>
    <row r="164" spans="2:19">
      <c r="B164" s="7" t="s">
        <v>195</v>
      </c>
      <c r="C164" s="8" t="s">
        <v>195</v>
      </c>
      <c r="D164" s="6" t="str">
        <f>LRTRIM(CONCATENATE(IF(SUMPRODUCT(-- ISNUMBER(SEARCH({"Auto Number"}, $B164))) &gt; 0, $B164, IF(SUMPRODUCT(-- ISNUMBER(SEARCH({"Lookup","Master-Detail"}, $B164))) &gt; 0,$B164 &amp; "(" &amp; $E164 &amp; ")",IF(SUMPRODUCT(-- ISNUMBER(SEARCH({"Formula","Roll-Up Summary"}, $B164))) &gt; 0,$B164 &amp; " (" &amp; $E164 &amp; ")",IF(SUMPRODUCT(-- ISNUMBER(SEARCH({"Content","Currency","Number","Percent","Text","URL"}, $B164))) &gt; 0,$B164 &amp; "(" &amp; $C164 &amp; ")",$B164)))), "  ", TRIM(IF($S164 = "YES", "(External ID)", "") &amp; " " &amp; IF(SUMPRODUCT(-- ISNUMBER(SEARCH({"Unique","Unique Case Insensitive"}, $R164))) &gt; 0, "(" &amp; $R164 &amp; ")", ""))))</f>
        <v>na</v>
      </c>
      <c r="E164" s="7" t="s">
        <v>195</v>
      </c>
      <c r="F164" s="7" t="s">
        <v>195</v>
      </c>
      <c r="G164" s="7" t="s">
        <v>195</v>
      </c>
      <c r="H164" s="7" t="s">
        <v>195</v>
      </c>
      <c r="I164" s="7" t="s">
        <v>195</v>
      </c>
      <c r="J164" s="7" t="s">
        <v>195</v>
      </c>
      <c r="K164" s="7" t="s">
        <v>195</v>
      </c>
      <c r="L164" s="7" t="s">
        <v>195</v>
      </c>
      <c r="M164" s="7" t="s">
        <v>29</v>
      </c>
      <c r="N164" s="7" t="s">
        <v>29</v>
      </c>
      <c r="O164" s="7" t="s">
        <v>29</v>
      </c>
      <c r="P164" s="7" t="s">
        <v>29</v>
      </c>
      <c r="Q164" s="7" t="s">
        <v>29</v>
      </c>
      <c r="R164" s="7" t="s">
        <v>29</v>
      </c>
      <c r="S164" s="7" t="s">
        <v>29</v>
      </c>
    </row>
    <row r="165" spans="2:19">
      <c r="B165" s="7" t="s">
        <v>195</v>
      </c>
      <c r="C165" s="8" t="s">
        <v>195</v>
      </c>
      <c r="D165" s="6" t="str">
        <f>LRTRIM(CONCATENATE(IF(SUMPRODUCT(-- ISNUMBER(SEARCH({"Auto Number"}, $B165))) &gt; 0, $B165, IF(SUMPRODUCT(-- ISNUMBER(SEARCH({"Lookup","Master-Detail"}, $B165))) &gt; 0,$B165 &amp; "(" &amp; $E165 &amp; ")",IF(SUMPRODUCT(-- ISNUMBER(SEARCH({"Formula","Roll-Up Summary"}, $B165))) &gt; 0,$B165 &amp; " (" &amp; $E165 &amp; ")",IF(SUMPRODUCT(-- ISNUMBER(SEARCH({"Content","Currency","Number","Percent","Text","URL"}, $B165))) &gt; 0,$B165 &amp; "(" &amp; $C165 &amp; ")",$B165)))), "  ", TRIM(IF($S165 = "YES", "(External ID)", "") &amp; " " &amp; IF(SUMPRODUCT(-- ISNUMBER(SEARCH({"Unique","Unique Case Insensitive"}, $R165))) &gt; 0, "(" &amp; $R165 &amp; ")", ""))))</f>
        <v>na</v>
      </c>
      <c r="E165" s="7" t="s">
        <v>195</v>
      </c>
      <c r="F165" s="7" t="s">
        <v>195</v>
      </c>
      <c r="G165" s="7" t="s">
        <v>195</v>
      </c>
      <c r="H165" s="7" t="s">
        <v>195</v>
      </c>
      <c r="I165" s="7" t="s">
        <v>195</v>
      </c>
      <c r="J165" s="7" t="s">
        <v>195</v>
      </c>
      <c r="K165" s="7" t="s">
        <v>195</v>
      </c>
      <c r="L165" s="7" t="s">
        <v>195</v>
      </c>
      <c r="M165" s="7" t="s">
        <v>29</v>
      </c>
      <c r="N165" s="7" t="s">
        <v>29</v>
      </c>
      <c r="O165" s="7" t="s">
        <v>29</v>
      </c>
      <c r="P165" s="7" t="s">
        <v>29</v>
      </c>
      <c r="Q165" s="7" t="s">
        <v>29</v>
      </c>
      <c r="R165" s="7" t="s">
        <v>29</v>
      </c>
      <c r="S165" s="7" t="s">
        <v>29</v>
      </c>
    </row>
    <row r="166" spans="2:19">
      <c r="B166" s="7" t="s">
        <v>195</v>
      </c>
      <c r="C166" s="8" t="s">
        <v>195</v>
      </c>
      <c r="D166" s="6" t="str">
        <f>LRTRIM(CONCATENATE(IF(SUMPRODUCT(-- ISNUMBER(SEARCH({"Auto Number"}, $B166))) &gt; 0, $B166, IF(SUMPRODUCT(-- ISNUMBER(SEARCH({"Lookup","Master-Detail"}, $B166))) &gt; 0,$B166 &amp; "(" &amp; $E166 &amp; ")",IF(SUMPRODUCT(-- ISNUMBER(SEARCH({"Formula","Roll-Up Summary"}, $B166))) &gt; 0,$B166 &amp; " (" &amp; $E166 &amp; ")",IF(SUMPRODUCT(-- ISNUMBER(SEARCH({"Content","Currency","Number","Percent","Text","URL"}, $B166))) &gt; 0,$B166 &amp; "(" &amp; $C166 &amp; ")",$B166)))), "  ", TRIM(IF($S166 = "YES", "(External ID)", "") &amp; " " &amp; IF(SUMPRODUCT(-- ISNUMBER(SEARCH({"Unique","Unique Case Insensitive"}, $R166))) &gt; 0, "(" &amp; $R166 &amp; ")", ""))))</f>
        <v>na</v>
      </c>
      <c r="E166" s="7" t="s">
        <v>195</v>
      </c>
      <c r="F166" s="7" t="s">
        <v>195</v>
      </c>
      <c r="G166" s="7" t="s">
        <v>195</v>
      </c>
      <c r="H166" s="7" t="s">
        <v>195</v>
      </c>
      <c r="I166" s="7" t="s">
        <v>195</v>
      </c>
      <c r="J166" s="7" t="s">
        <v>195</v>
      </c>
      <c r="K166" s="7" t="s">
        <v>195</v>
      </c>
      <c r="L166" s="7" t="s">
        <v>195</v>
      </c>
      <c r="M166" s="7" t="s">
        <v>29</v>
      </c>
      <c r="N166" s="7" t="s">
        <v>29</v>
      </c>
      <c r="O166" s="7" t="s">
        <v>29</v>
      </c>
      <c r="P166" s="7" t="s">
        <v>29</v>
      </c>
      <c r="Q166" s="7" t="s">
        <v>29</v>
      </c>
      <c r="R166" s="7" t="s">
        <v>29</v>
      </c>
      <c r="S166" s="7" t="s">
        <v>29</v>
      </c>
    </row>
    <row r="167" spans="2:19">
      <c r="B167" s="7" t="s">
        <v>195</v>
      </c>
      <c r="C167" s="8" t="s">
        <v>195</v>
      </c>
      <c r="D167" s="6" t="str">
        <f>LRTRIM(CONCATENATE(IF(SUMPRODUCT(-- ISNUMBER(SEARCH({"Auto Number"}, $B167))) &gt; 0, $B167, IF(SUMPRODUCT(-- ISNUMBER(SEARCH({"Lookup","Master-Detail"}, $B167))) &gt; 0,$B167 &amp; "(" &amp; $E167 &amp; ")",IF(SUMPRODUCT(-- ISNUMBER(SEARCH({"Formula","Roll-Up Summary"}, $B167))) &gt; 0,$B167 &amp; " (" &amp; $E167 &amp; ")",IF(SUMPRODUCT(-- ISNUMBER(SEARCH({"Content","Currency","Number","Percent","Text","URL"}, $B167))) &gt; 0,$B167 &amp; "(" &amp; $C167 &amp; ")",$B167)))), "  ", TRIM(IF($S167 = "YES", "(External ID)", "") &amp; " " &amp; IF(SUMPRODUCT(-- ISNUMBER(SEARCH({"Unique","Unique Case Insensitive"}, $R167))) &gt; 0, "(" &amp; $R167 &amp; ")", ""))))</f>
        <v>na</v>
      </c>
      <c r="E167" s="7" t="s">
        <v>195</v>
      </c>
      <c r="F167" s="7" t="s">
        <v>195</v>
      </c>
      <c r="G167" s="7" t="s">
        <v>195</v>
      </c>
      <c r="H167" s="7" t="s">
        <v>195</v>
      </c>
      <c r="I167" s="7" t="s">
        <v>195</v>
      </c>
      <c r="J167" s="7" t="s">
        <v>195</v>
      </c>
      <c r="K167" s="7" t="s">
        <v>195</v>
      </c>
      <c r="L167" s="7" t="s">
        <v>195</v>
      </c>
      <c r="M167" s="7" t="s">
        <v>29</v>
      </c>
      <c r="N167" s="7" t="s">
        <v>29</v>
      </c>
      <c r="O167" s="7" t="s">
        <v>29</v>
      </c>
      <c r="P167" s="7" t="s">
        <v>29</v>
      </c>
      <c r="Q167" s="7" t="s">
        <v>29</v>
      </c>
      <c r="R167" s="7" t="s">
        <v>29</v>
      </c>
      <c r="S167" s="7" t="s">
        <v>29</v>
      </c>
    </row>
    <row r="168" spans="2:19">
      <c r="B168" s="7" t="s">
        <v>195</v>
      </c>
      <c r="C168" s="8" t="s">
        <v>195</v>
      </c>
      <c r="D168" s="6" t="str">
        <f>LRTRIM(CONCATENATE(IF(SUMPRODUCT(-- ISNUMBER(SEARCH({"Auto Number"}, $B168))) &gt; 0, $B168, IF(SUMPRODUCT(-- ISNUMBER(SEARCH({"Lookup","Master-Detail"}, $B168))) &gt; 0,$B168 &amp; "(" &amp; $E168 &amp; ")",IF(SUMPRODUCT(-- ISNUMBER(SEARCH({"Formula","Roll-Up Summary"}, $B168))) &gt; 0,$B168 &amp; " (" &amp; $E168 &amp; ")",IF(SUMPRODUCT(-- ISNUMBER(SEARCH({"Content","Currency","Number","Percent","Text","URL"}, $B168))) &gt; 0,$B168 &amp; "(" &amp; $C168 &amp; ")",$B168)))), "  ", TRIM(IF($S168 = "YES", "(External ID)", "") &amp; " " &amp; IF(SUMPRODUCT(-- ISNUMBER(SEARCH({"Unique","Unique Case Insensitive"}, $R168))) &gt; 0, "(" &amp; $R168 &amp; ")", ""))))</f>
        <v>na</v>
      </c>
      <c r="E168" s="7" t="s">
        <v>195</v>
      </c>
      <c r="F168" s="7" t="s">
        <v>195</v>
      </c>
      <c r="G168" s="7" t="s">
        <v>195</v>
      </c>
      <c r="H168" s="7" t="s">
        <v>195</v>
      </c>
      <c r="I168" s="7" t="s">
        <v>195</v>
      </c>
      <c r="J168" s="7" t="s">
        <v>195</v>
      </c>
      <c r="K168" s="7" t="s">
        <v>195</v>
      </c>
      <c r="L168" s="7" t="s">
        <v>195</v>
      </c>
      <c r="M168" s="7" t="s">
        <v>29</v>
      </c>
      <c r="N168" s="7" t="s">
        <v>29</v>
      </c>
      <c r="O168" s="7" t="s">
        <v>29</v>
      </c>
      <c r="P168" s="7" t="s">
        <v>29</v>
      </c>
      <c r="Q168" s="7" t="s">
        <v>29</v>
      </c>
      <c r="R168" s="7" t="s">
        <v>29</v>
      </c>
      <c r="S168" s="7" t="s">
        <v>29</v>
      </c>
    </row>
    <row r="169" spans="2:19">
      <c r="B169" s="7" t="s">
        <v>195</v>
      </c>
      <c r="C169" s="8" t="s">
        <v>195</v>
      </c>
      <c r="D169" s="6" t="str">
        <f>LRTRIM(CONCATENATE(IF(SUMPRODUCT(-- ISNUMBER(SEARCH({"Auto Number"}, $B169))) &gt; 0, $B169, IF(SUMPRODUCT(-- ISNUMBER(SEARCH({"Lookup","Master-Detail"}, $B169))) &gt; 0,$B169 &amp; "(" &amp; $E169 &amp; ")",IF(SUMPRODUCT(-- ISNUMBER(SEARCH({"Formula","Roll-Up Summary"}, $B169))) &gt; 0,$B169 &amp; " (" &amp; $E169 &amp; ")",IF(SUMPRODUCT(-- ISNUMBER(SEARCH({"Content","Currency","Number","Percent","Text","URL"}, $B169))) &gt; 0,$B169 &amp; "(" &amp; $C169 &amp; ")",$B169)))), "  ", TRIM(IF($S169 = "YES", "(External ID)", "") &amp; " " &amp; IF(SUMPRODUCT(-- ISNUMBER(SEARCH({"Unique","Unique Case Insensitive"}, $R169))) &gt; 0, "(" &amp; $R169 &amp; ")", ""))))</f>
        <v>na</v>
      </c>
      <c r="E169" s="7" t="s">
        <v>195</v>
      </c>
      <c r="F169" s="7" t="s">
        <v>195</v>
      </c>
      <c r="G169" s="7" t="s">
        <v>195</v>
      </c>
      <c r="H169" s="7" t="s">
        <v>195</v>
      </c>
      <c r="I169" s="7" t="s">
        <v>195</v>
      </c>
      <c r="J169" s="7" t="s">
        <v>195</v>
      </c>
      <c r="K169" s="7" t="s">
        <v>195</v>
      </c>
      <c r="L169" s="7" t="s">
        <v>195</v>
      </c>
      <c r="M169" s="7" t="s">
        <v>29</v>
      </c>
      <c r="N169" s="7" t="s">
        <v>29</v>
      </c>
      <c r="O169" s="7" t="s">
        <v>29</v>
      </c>
      <c r="P169" s="7" t="s">
        <v>29</v>
      </c>
      <c r="Q169" s="7" t="s">
        <v>29</v>
      </c>
      <c r="R169" s="7" t="s">
        <v>29</v>
      </c>
      <c r="S169" s="7" t="s">
        <v>29</v>
      </c>
    </row>
    <row r="170" spans="2:19">
      <c r="B170" s="7" t="s">
        <v>195</v>
      </c>
      <c r="C170" s="8" t="s">
        <v>195</v>
      </c>
      <c r="D170" s="6" t="str">
        <f>LRTRIM(CONCATENATE(IF(SUMPRODUCT(-- ISNUMBER(SEARCH({"Auto Number"}, $B170))) &gt; 0, $B170, IF(SUMPRODUCT(-- ISNUMBER(SEARCH({"Lookup","Master-Detail"}, $B170))) &gt; 0,$B170 &amp; "(" &amp; $E170 &amp; ")",IF(SUMPRODUCT(-- ISNUMBER(SEARCH({"Formula","Roll-Up Summary"}, $B170))) &gt; 0,$B170 &amp; " (" &amp; $E170 &amp; ")",IF(SUMPRODUCT(-- ISNUMBER(SEARCH({"Content","Currency","Number","Percent","Text","URL"}, $B170))) &gt; 0,$B170 &amp; "(" &amp; $C170 &amp; ")",$B170)))), "  ", TRIM(IF($S170 = "YES", "(External ID)", "") &amp; " " &amp; IF(SUMPRODUCT(-- ISNUMBER(SEARCH({"Unique","Unique Case Insensitive"}, $R170))) &gt; 0, "(" &amp; $R170 &amp; ")", ""))))</f>
        <v>na</v>
      </c>
      <c r="E170" s="7" t="s">
        <v>195</v>
      </c>
      <c r="F170" s="7" t="s">
        <v>195</v>
      </c>
      <c r="G170" s="7" t="s">
        <v>195</v>
      </c>
      <c r="H170" s="7" t="s">
        <v>195</v>
      </c>
      <c r="I170" s="7" t="s">
        <v>195</v>
      </c>
      <c r="J170" s="7" t="s">
        <v>195</v>
      </c>
      <c r="K170" s="7" t="s">
        <v>195</v>
      </c>
      <c r="L170" s="7" t="s">
        <v>195</v>
      </c>
      <c r="M170" s="7" t="s">
        <v>29</v>
      </c>
      <c r="N170" s="7" t="s">
        <v>29</v>
      </c>
      <c r="O170" s="7" t="s">
        <v>29</v>
      </c>
      <c r="P170" s="7" t="s">
        <v>29</v>
      </c>
      <c r="Q170" s="7" t="s">
        <v>29</v>
      </c>
      <c r="R170" s="7" t="s">
        <v>29</v>
      </c>
      <c r="S170" s="7" t="s">
        <v>29</v>
      </c>
    </row>
    <row r="171" spans="2:19">
      <c r="B171" s="7" t="s">
        <v>195</v>
      </c>
      <c r="C171" s="8" t="s">
        <v>195</v>
      </c>
      <c r="D171" s="6" t="str">
        <f>LRTRIM(CONCATENATE(IF(SUMPRODUCT(-- ISNUMBER(SEARCH({"Auto Number"}, $B171))) &gt; 0, $B171, IF(SUMPRODUCT(-- ISNUMBER(SEARCH({"Lookup","Master-Detail"}, $B171))) &gt; 0,$B171 &amp; "(" &amp; $E171 &amp; ")",IF(SUMPRODUCT(-- ISNUMBER(SEARCH({"Formula","Roll-Up Summary"}, $B171))) &gt; 0,$B171 &amp; " (" &amp; $E171 &amp; ")",IF(SUMPRODUCT(-- ISNUMBER(SEARCH({"Content","Currency","Number","Percent","Text","URL"}, $B171))) &gt; 0,$B171 &amp; "(" &amp; $C171 &amp; ")",$B171)))), "  ", TRIM(IF($S171 = "YES", "(External ID)", "") &amp; " " &amp; IF(SUMPRODUCT(-- ISNUMBER(SEARCH({"Unique","Unique Case Insensitive"}, $R171))) &gt; 0, "(" &amp; $R171 &amp; ")", ""))))</f>
        <v>na</v>
      </c>
      <c r="E171" s="7" t="s">
        <v>195</v>
      </c>
      <c r="F171" s="7" t="s">
        <v>195</v>
      </c>
      <c r="G171" s="7" t="s">
        <v>195</v>
      </c>
      <c r="H171" s="7" t="s">
        <v>195</v>
      </c>
      <c r="I171" s="7" t="s">
        <v>195</v>
      </c>
      <c r="J171" s="7" t="s">
        <v>195</v>
      </c>
      <c r="K171" s="7" t="s">
        <v>195</v>
      </c>
      <c r="L171" s="7" t="s">
        <v>195</v>
      </c>
      <c r="M171" s="7" t="s">
        <v>29</v>
      </c>
      <c r="N171" s="7" t="s">
        <v>29</v>
      </c>
      <c r="O171" s="7" t="s">
        <v>29</v>
      </c>
      <c r="P171" s="7" t="s">
        <v>29</v>
      </c>
      <c r="Q171" s="7" t="s">
        <v>29</v>
      </c>
      <c r="R171" s="7" t="s">
        <v>29</v>
      </c>
      <c r="S171" s="7" t="s">
        <v>29</v>
      </c>
    </row>
    <row r="172" spans="2:19">
      <c r="B172" s="7" t="s">
        <v>195</v>
      </c>
      <c r="C172" s="8" t="s">
        <v>195</v>
      </c>
      <c r="D172" s="6" t="str">
        <f>LRTRIM(CONCATENATE(IF(SUMPRODUCT(-- ISNUMBER(SEARCH({"Auto Number"}, $B172))) &gt; 0, $B172, IF(SUMPRODUCT(-- ISNUMBER(SEARCH({"Lookup","Master-Detail"}, $B172))) &gt; 0,$B172 &amp; "(" &amp; $E172 &amp; ")",IF(SUMPRODUCT(-- ISNUMBER(SEARCH({"Formula","Roll-Up Summary"}, $B172))) &gt; 0,$B172 &amp; " (" &amp; $E172 &amp; ")",IF(SUMPRODUCT(-- ISNUMBER(SEARCH({"Content","Currency","Number","Percent","Text","URL"}, $B172))) &gt; 0,$B172 &amp; "(" &amp; $C172 &amp; ")",$B172)))), "  ", TRIM(IF($S172 = "YES", "(External ID)", "") &amp; " " &amp; IF(SUMPRODUCT(-- ISNUMBER(SEARCH({"Unique","Unique Case Insensitive"}, $R172))) &gt; 0, "(" &amp; $R172 &amp; ")", ""))))</f>
        <v>na</v>
      </c>
      <c r="E172" s="7" t="s">
        <v>195</v>
      </c>
      <c r="F172" s="7" t="s">
        <v>195</v>
      </c>
      <c r="G172" s="7" t="s">
        <v>195</v>
      </c>
      <c r="H172" s="7" t="s">
        <v>195</v>
      </c>
      <c r="I172" s="7" t="s">
        <v>195</v>
      </c>
      <c r="J172" s="7" t="s">
        <v>195</v>
      </c>
      <c r="K172" s="7" t="s">
        <v>195</v>
      </c>
      <c r="L172" s="7" t="s">
        <v>195</v>
      </c>
      <c r="M172" s="7" t="s">
        <v>29</v>
      </c>
      <c r="N172" s="7" t="s">
        <v>29</v>
      </c>
      <c r="O172" s="7" t="s">
        <v>29</v>
      </c>
      <c r="P172" s="7" t="s">
        <v>29</v>
      </c>
      <c r="Q172" s="7" t="s">
        <v>29</v>
      </c>
      <c r="R172" s="7" t="s">
        <v>29</v>
      </c>
      <c r="S172" s="7" t="s">
        <v>29</v>
      </c>
    </row>
    <row r="173" spans="2:19">
      <c r="B173" s="7" t="s">
        <v>195</v>
      </c>
      <c r="C173" s="8" t="s">
        <v>195</v>
      </c>
      <c r="D173" s="6" t="str">
        <f>LRTRIM(CONCATENATE(IF(SUMPRODUCT(-- ISNUMBER(SEARCH({"Auto Number"}, $B173))) &gt; 0, $B173, IF(SUMPRODUCT(-- ISNUMBER(SEARCH({"Lookup","Master-Detail"}, $B173))) &gt; 0,$B173 &amp; "(" &amp; $E173 &amp; ")",IF(SUMPRODUCT(-- ISNUMBER(SEARCH({"Formula","Roll-Up Summary"}, $B173))) &gt; 0,$B173 &amp; " (" &amp; $E173 &amp; ")",IF(SUMPRODUCT(-- ISNUMBER(SEARCH({"Content","Currency","Number","Percent","Text","URL"}, $B173))) &gt; 0,$B173 &amp; "(" &amp; $C173 &amp; ")",$B173)))), "  ", TRIM(IF($S173 = "YES", "(External ID)", "") &amp; " " &amp; IF(SUMPRODUCT(-- ISNUMBER(SEARCH({"Unique","Unique Case Insensitive"}, $R173))) &gt; 0, "(" &amp; $R173 &amp; ")", ""))))</f>
        <v>na</v>
      </c>
      <c r="E173" s="7" t="s">
        <v>195</v>
      </c>
      <c r="F173" s="7" t="s">
        <v>195</v>
      </c>
      <c r="G173" s="7" t="s">
        <v>195</v>
      </c>
      <c r="H173" s="7" t="s">
        <v>195</v>
      </c>
      <c r="I173" s="7" t="s">
        <v>195</v>
      </c>
      <c r="J173" s="7" t="s">
        <v>195</v>
      </c>
      <c r="K173" s="7" t="s">
        <v>195</v>
      </c>
      <c r="L173" s="7" t="s">
        <v>195</v>
      </c>
      <c r="M173" s="7" t="s">
        <v>29</v>
      </c>
      <c r="N173" s="7" t="s">
        <v>29</v>
      </c>
      <c r="O173" s="7" t="s">
        <v>29</v>
      </c>
      <c r="P173" s="7" t="s">
        <v>29</v>
      </c>
      <c r="Q173" s="7" t="s">
        <v>29</v>
      </c>
      <c r="R173" s="7" t="s">
        <v>29</v>
      </c>
      <c r="S173" s="7" t="s">
        <v>29</v>
      </c>
    </row>
    <row r="174" spans="2:19">
      <c r="B174" s="7" t="s">
        <v>195</v>
      </c>
      <c r="C174" s="8" t="s">
        <v>195</v>
      </c>
      <c r="D174" s="6" t="str">
        <f>LRTRIM(CONCATENATE(IF(SUMPRODUCT(-- ISNUMBER(SEARCH({"Auto Number"}, $B174))) &gt; 0, $B174, IF(SUMPRODUCT(-- ISNUMBER(SEARCH({"Lookup","Master-Detail"}, $B174))) &gt; 0,$B174 &amp; "(" &amp; $E174 &amp; ")",IF(SUMPRODUCT(-- ISNUMBER(SEARCH({"Formula","Roll-Up Summary"}, $B174))) &gt; 0,$B174 &amp; " (" &amp; $E174 &amp; ")",IF(SUMPRODUCT(-- ISNUMBER(SEARCH({"Content","Currency","Number","Percent","Text","URL"}, $B174))) &gt; 0,$B174 &amp; "(" &amp; $C174 &amp; ")",$B174)))), "  ", TRIM(IF($S174 = "YES", "(External ID)", "") &amp; " " &amp; IF(SUMPRODUCT(-- ISNUMBER(SEARCH({"Unique","Unique Case Insensitive"}, $R174))) &gt; 0, "(" &amp; $R174 &amp; ")", ""))))</f>
        <v>na</v>
      </c>
      <c r="E174" s="7" t="s">
        <v>195</v>
      </c>
      <c r="F174" s="7" t="s">
        <v>195</v>
      </c>
      <c r="G174" s="7" t="s">
        <v>195</v>
      </c>
      <c r="H174" s="7" t="s">
        <v>195</v>
      </c>
      <c r="I174" s="7" t="s">
        <v>195</v>
      </c>
      <c r="J174" s="7" t="s">
        <v>195</v>
      </c>
      <c r="K174" s="7" t="s">
        <v>195</v>
      </c>
      <c r="L174" s="7" t="s">
        <v>195</v>
      </c>
      <c r="M174" s="7" t="s">
        <v>29</v>
      </c>
      <c r="N174" s="7" t="s">
        <v>29</v>
      </c>
      <c r="O174" s="7" t="s">
        <v>29</v>
      </c>
      <c r="P174" s="7" t="s">
        <v>29</v>
      </c>
      <c r="Q174" s="7" t="s">
        <v>29</v>
      </c>
      <c r="R174" s="7" t="s">
        <v>29</v>
      </c>
      <c r="S174" s="7" t="s">
        <v>29</v>
      </c>
    </row>
    <row r="175" spans="2:19">
      <c r="B175" s="7" t="s">
        <v>195</v>
      </c>
      <c r="C175" s="8" t="s">
        <v>195</v>
      </c>
      <c r="D175" s="6" t="str">
        <f>LRTRIM(CONCATENATE(IF(SUMPRODUCT(-- ISNUMBER(SEARCH({"Auto Number"}, $B175))) &gt; 0, $B175, IF(SUMPRODUCT(-- ISNUMBER(SEARCH({"Lookup","Master-Detail"}, $B175))) &gt; 0,$B175 &amp; "(" &amp; $E175 &amp; ")",IF(SUMPRODUCT(-- ISNUMBER(SEARCH({"Formula","Roll-Up Summary"}, $B175))) &gt; 0,$B175 &amp; " (" &amp; $E175 &amp; ")",IF(SUMPRODUCT(-- ISNUMBER(SEARCH({"Content","Currency","Number","Percent","Text","URL"}, $B175))) &gt; 0,$B175 &amp; "(" &amp; $C175 &amp; ")",$B175)))), "  ", TRIM(IF($S175 = "YES", "(External ID)", "") &amp; " " &amp; IF(SUMPRODUCT(-- ISNUMBER(SEARCH({"Unique","Unique Case Insensitive"}, $R175))) &gt; 0, "(" &amp; $R175 &amp; ")", ""))))</f>
        <v>na</v>
      </c>
      <c r="E175" s="7" t="s">
        <v>195</v>
      </c>
      <c r="F175" s="7" t="s">
        <v>195</v>
      </c>
      <c r="G175" s="7" t="s">
        <v>195</v>
      </c>
      <c r="H175" s="7" t="s">
        <v>195</v>
      </c>
      <c r="I175" s="7" t="s">
        <v>195</v>
      </c>
      <c r="J175" s="7" t="s">
        <v>195</v>
      </c>
      <c r="K175" s="7" t="s">
        <v>195</v>
      </c>
      <c r="L175" s="7" t="s">
        <v>195</v>
      </c>
      <c r="M175" s="7" t="s">
        <v>29</v>
      </c>
      <c r="N175" s="7" t="s">
        <v>29</v>
      </c>
      <c r="O175" s="7" t="s">
        <v>29</v>
      </c>
      <c r="P175" s="7" t="s">
        <v>29</v>
      </c>
      <c r="Q175" s="7" t="s">
        <v>29</v>
      </c>
      <c r="R175" s="7" t="s">
        <v>29</v>
      </c>
      <c r="S175" s="7" t="s">
        <v>29</v>
      </c>
    </row>
    <row r="176" spans="2:19">
      <c r="B176" s="7" t="s">
        <v>195</v>
      </c>
      <c r="C176" s="8" t="s">
        <v>195</v>
      </c>
      <c r="D176" s="6" t="str">
        <f>LRTRIM(CONCATENATE(IF(SUMPRODUCT(-- ISNUMBER(SEARCH({"Auto Number"}, $B176))) &gt; 0, $B176, IF(SUMPRODUCT(-- ISNUMBER(SEARCH({"Lookup","Master-Detail"}, $B176))) &gt; 0,$B176 &amp; "(" &amp; $E176 &amp; ")",IF(SUMPRODUCT(-- ISNUMBER(SEARCH({"Formula","Roll-Up Summary"}, $B176))) &gt; 0,$B176 &amp; " (" &amp; $E176 &amp; ")",IF(SUMPRODUCT(-- ISNUMBER(SEARCH({"Content","Currency","Number","Percent","Text","URL"}, $B176))) &gt; 0,$B176 &amp; "(" &amp; $C176 &amp; ")",$B176)))), "  ", TRIM(IF($S176 = "YES", "(External ID)", "") &amp; " " &amp; IF(SUMPRODUCT(-- ISNUMBER(SEARCH({"Unique","Unique Case Insensitive"}, $R176))) &gt; 0, "(" &amp; $R176 &amp; ")", ""))))</f>
        <v>na</v>
      </c>
      <c r="E176" s="7" t="s">
        <v>195</v>
      </c>
      <c r="F176" s="7" t="s">
        <v>195</v>
      </c>
      <c r="G176" s="7" t="s">
        <v>195</v>
      </c>
      <c r="H176" s="7" t="s">
        <v>195</v>
      </c>
      <c r="I176" s="7" t="s">
        <v>195</v>
      </c>
      <c r="J176" s="7" t="s">
        <v>195</v>
      </c>
      <c r="K176" s="7" t="s">
        <v>195</v>
      </c>
      <c r="L176" s="7" t="s">
        <v>195</v>
      </c>
      <c r="M176" s="7" t="s">
        <v>29</v>
      </c>
      <c r="N176" s="7" t="s">
        <v>29</v>
      </c>
      <c r="O176" s="7" t="s">
        <v>29</v>
      </c>
      <c r="P176" s="7" t="s">
        <v>29</v>
      </c>
      <c r="Q176" s="7" t="s">
        <v>29</v>
      </c>
      <c r="R176" s="7" t="s">
        <v>29</v>
      </c>
      <c r="S176" s="7" t="s">
        <v>29</v>
      </c>
    </row>
    <row r="177" spans="2:19">
      <c r="B177" s="7" t="s">
        <v>195</v>
      </c>
      <c r="C177" s="8" t="s">
        <v>195</v>
      </c>
      <c r="D177" s="6" t="str">
        <f>LRTRIM(CONCATENATE(IF(SUMPRODUCT(-- ISNUMBER(SEARCH({"Auto Number"}, $B177))) &gt; 0, $B177, IF(SUMPRODUCT(-- ISNUMBER(SEARCH({"Lookup","Master-Detail"}, $B177))) &gt; 0,$B177 &amp; "(" &amp; $E177 &amp; ")",IF(SUMPRODUCT(-- ISNUMBER(SEARCH({"Formula","Roll-Up Summary"}, $B177))) &gt; 0,$B177 &amp; " (" &amp; $E177 &amp; ")",IF(SUMPRODUCT(-- ISNUMBER(SEARCH({"Content","Currency","Number","Percent","Text","URL"}, $B177))) &gt; 0,$B177 &amp; "(" &amp; $C177 &amp; ")",$B177)))), "  ", TRIM(IF($S177 = "YES", "(External ID)", "") &amp; " " &amp; IF(SUMPRODUCT(-- ISNUMBER(SEARCH({"Unique","Unique Case Insensitive"}, $R177))) &gt; 0, "(" &amp; $R177 &amp; ")", ""))))</f>
        <v>na</v>
      </c>
      <c r="E177" s="7" t="s">
        <v>195</v>
      </c>
      <c r="F177" s="7" t="s">
        <v>195</v>
      </c>
      <c r="G177" s="7" t="s">
        <v>195</v>
      </c>
      <c r="H177" s="7" t="s">
        <v>195</v>
      </c>
      <c r="I177" s="7" t="s">
        <v>195</v>
      </c>
      <c r="J177" s="7" t="s">
        <v>195</v>
      </c>
      <c r="K177" s="7" t="s">
        <v>195</v>
      </c>
      <c r="L177" s="7" t="s">
        <v>195</v>
      </c>
      <c r="M177" s="7" t="s">
        <v>29</v>
      </c>
      <c r="N177" s="7" t="s">
        <v>29</v>
      </c>
      <c r="O177" s="7" t="s">
        <v>29</v>
      </c>
      <c r="P177" s="7" t="s">
        <v>29</v>
      </c>
      <c r="Q177" s="7" t="s">
        <v>29</v>
      </c>
      <c r="R177" s="7" t="s">
        <v>29</v>
      </c>
      <c r="S177" s="7" t="s">
        <v>29</v>
      </c>
    </row>
    <row r="178" spans="2:19">
      <c r="B178" s="7" t="s">
        <v>195</v>
      </c>
      <c r="C178" s="8" t="s">
        <v>195</v>
      </c>
      <c r="D178" s="6" t="str">
        <f>LRTRIM(CONCATENATE(IF(SUMPRODUCT(-- ISNUMBER(SEARCH({"Auto Number"}, $B178))) &gt; 0, $B178, IF(SUMPRODUCT(-- ISNUMBER(SEARCH({"Lookup","Master-Detail"}, $B178))) &gt; 0,$B178 &amp; "(" &amp; $E178 &amp; ")",IF(SUMPRODUCT(-- ISNUMBER(SEARCH({"Formula","Roll-Up Summary"}, $B178))) &gt; 0,$B178 &amp; " (" &amp; $E178 &amp; ")",IF(SUMPRODUCT(-- ISNUMBER(SEARCH({"Content","Currency","Number","Percent","Text","URL"}, $B178))) &gt; 0,$B178 &amp; "(" &amp; $C178 &amp; ")",$B178)))), "  ", TRIM(IF($S178 = "YES", "(External ID)", "") &amp; " " &amp; IF(SUMPRODUCT(-- ISNUMBER(SEARCH({"Unique","Unique Case Insensitive"}, $R178))) &gt; 0, "(" &amp; $R178 &amp; ")", ""))))</f>
        <v>na</v>
      </c>
      <c r="E178" s="7" t="s">
        <v>195</v>
      </c>
      <c r="F178" s="7" t="s">
        <v>195</v>
      </c>
      <c r="G178" s="7" t="s">
        <v>195</v>
      </c>
      <c r="H178" s="7" t="s">
        <v>195</v>
      </c>
      <c r="I178" s="7" t="s">
        <v>195</v>
      </c>
      <c r="J178" s="7" t="s">
        <v>195</v>
      </c>
      <c r="K178" s="7" t="s">
        <v>195</v>
      </c>
      <c r="L178" s="7" t="s">
        <v>195</v>
      </c>
      <c r="M178" s="7" t="s">
        <v>29</v>
      </c>
      <c r="N178" s="7" t="s">
        <v>29</v>
      </c>
      <c r="O178" s="7" t="s">
        <v>29</v>
      </c>
      <c r="P178" s="7" t="s">
        <v>29</v>
      </c>
      <c r="Q178" s="7" t="s">
        <v>29</v>
      </c>
      <c r="R178" s="7" t="s">
        <v>29</v>
      </c>
      <c r="S178" s="7" t="s">
        <v>29</v>
      </c>
    </row>
    <row r="179" spans="2:19">
      <c r="B179" s="7" t="s">
        <v>195</v>
      </c>
      <c r="C179" s="8" t="s">
        <v>195</v>
      </c>
      <c r="D179" s="6" t="str">
        <f>LRTRIM(CONCATENATE(IF(SUMPRODUCT(-- ISNUMBER(SEARCH({"Auto Number"}, $B179))) &gt; 0, $B179, IF(SUMPRODUCT(-- ISNUMBER(SEARCH({"Lookup","Master-Detail"}, $B179))) &gt; 0,$B179 &amp; "(" &amp; $E179 &amp; ")",IF(SUMPRODUCT(-- ISNUMBER(SEARCH({"Formula","Roll-Up Summary"}, $B179))) &gt; 0,$B179 &amp; " (" &amp; $E179 &amp; ")",IF(SUMPRODUCT(-- ISNUMBER(SEARCH({"Content","Currency","Number","Percent","Text","URL"}, $B179))) &gt; 0,$B179 &amp; "(" &amp; $C179 &amp; ")",$B179)))), "  ", TRIM(IF($S179 = "YES", "(External ID)", "") &amp; " " &amp; IF(SUMPRODUCT(-- ISNUMBER(SEARCH({"Unique","Unique Case Insensitive"}, $R179))) &gt; 0, "(" &amp; $R179 &amp; ")", ""))))</f>
        <v>na</v>
      </c>
      <c r="E179" s="7" t="s">
        <v>195</v>
      </c>
      <c r="F179" s="7" t="s">
        <v>195</v>
      </c>
      <c r="G179" s="7" t="s">
        <v>195</v>
      </c>
      <c r="H179" s="7" t="s">
        <v>195</v>
      </c>
      <c r="I179" s="7" t="s">
        <v>195</v>
      </c>
      <c r="J179" s="7" t="s">
        <v>195</v>
      </c>
      <c r="K179" s="7" t="s">
        <v>195</v>
      </c>
      <c r="L179" s="7" t="s">
        <v>195</v>
      </c>
      <c r="M179" s="7" t="s">
        <v>29</v>
      </c>
      <c r="N179" s="7" t="s">
        <v>29</v>
      </c>
      <c r="O179" s="7" t="s">
        <v>29</v>
      </c>
      <c r="P179" s="7" t="s">
        <v>29</v>
      </c>
      <c r="Q179" s="7" t="s">
        <v>29</v>
      </c>
      <c r="R179" s="7" t="s">
        <v>29</v>
      </c>
      <c r="S179" s="7" t="s">
        <v>29</v>
      </c>
    </row>
    <row r="180" spans="2:19">
      <c r="B180" s="7" t="s">
        <v>195</v>
      </c>
      <c r="C180" s="8" t="s">
        <v>195</v>
      </c>
      <c r="D180" s="6" t="str">
        <f>LRTRIM(CONCATENATE(IF(SUMPRODUCT(-- ISNUMBER(SEARCH({"Auto Number"}, $B180))) &gt; 0, $B180, IF(SUMPRODUCT(-- ISNUMBER(SEARCH({"Lookup","Master-Detail"}, $B180))) &gt; 0,$B180 &amp; "(" &amp; $E180 &amp; ")",IF(SUMPRODUCT(-- ISNUMBER(SEARCH({"Formula","Roll-Up Summary"}, $B180))) &gt; 0,$B180 &amp; " (" &amp; $E180 &amp; ")",IF(SUMPRODUCT(-- ISNUMBER(SEARCH({"Content","Currency","Number","Percent","Text","URL"}, $B180))) &gt; 0,$B180 &amp; "(" &amp; $C180 &amp; ")",$B180)))), "  ", TRIM(IF($S180 = "YES", "(External ID)", "") &amp; " " &amp; IF(SUMPRODUCT(-- ISNUMBER(SEARCH({"Unique","Unique Case Insensitive"}, $R180))) &gt; 0, "(" &amp; $R180 &amp; ")", ""))))</f>
        <v>na</v>
      </c>
      <c r="E180" s="7" t="s">
        <v>195</v>
      </c>
      <c r="F180" s="7" t="s">
        <v>195</v>
      </c>
      <c r="G180" s="7" t="s">
        <v>195</v>
      </c>
      <c r="H180" s="7" t="s">
        <v>195</v>
      </c>
      <c r="I180" s="7" t="s">
        <v>195</v>
      </c>
      <c r="J180" s="7" t="s">
        <v>195</v>
      </c>
      <c r="K180" s="7" t="s">
        <v>195</v>
      </c>
      <c r="L180" s="7" t="s">
        <v>195</v>
      </c>
      <c r="M180" s="7" t="s">
        <v>29</v>
      </c>
      <c r="N180" s="7" t="s">
        <v>29</v>
      </c>
      <c r="O180" s="7" t="s">
        <v>29</v>
      </c>
      <c r="P180" s="7" t="s">
        <v>29</v>
      </c>
      <c r="Q180" s="7" t="s">
        <v>29</v>
      </c>
      <c r="R180" s="7" t="s">
        <v>29</v>
      </c>
      <c r="S180" s="7" t="s">
        <v>29</v>
      </c>
    </row>
    <row r="181" spans="2:19">
      <c r="B181" s="7" t="s">
        <v>195</v>
      </c>
      <c r="C181" s="8" t="s">
        <v>195</v>
      </c>
      <c r="D181" s="6" t="str">
        <f>LRTRIM(CONCATENATE(IF(SUMPRODUCT(-- ISNUMBER(SEARCH({"Auto Number"}, $B181))) &gt; 0, $B181, IF(SUMPRODUCT(-- ISNUMBER(SEARCH({"Lookup","Master-Detail"}, $B181))) &gt; 0,$B181 &amp; "(" &amp; $E181 &amp; ")",IF(SUMPRODUCT(-- ISNUMBER(SEARCH({"Formula","Roll-Up Summary"}, $B181))) &gt; 0,$B181 &amp; " (" &amp; $E181 &amp; ")",IF(SUMPRODUCT(-- ISNUMBER(SEARCH({"Content","Currency","Number","Percent","Text","URL"}, $B181))) &gt; 0,$B181 &amp; "(" &amp; $C181 &amp; ")",$B181)))), "  ", TRIM(IF($S181 = "YES", "(External ID)", "") &amp; " " &amp; IF(SUMPRODUCT(-- ISNUMBER(SEARCH({"Unique","Unique Case Insensitive"}, $R181))) &gt; 0, "(" &amp; $R181 &amp; ")", ""))))</f>
        <v>na</v>
      </c>
      <c r="E181" s="7" t="s">
        <v>195</v>
      </c>
      <c r="F181" s="7" t="s">
        <v>195</v>
      </c>
      <c r="G181" s="7" t="s">
        <v>195</v>
      </c>
      <c r="H181" s="7" t="s">
        <v>195</v>
      </c>
      <c r="I181" s="7" t="s">
        <v>195</v>
      </c>
      <c r="J181" s="7" t="s">
        <v>195</v>
      </c>
      <c r="K181" s="7" t="s">
        <v>195</v>
      </c>
      <c r="L181" s="7" t="s">
        <v>195</v>
      </c>
      <c r="M181" s="7" t="s">
        <v>29</v>
      </c>
      <c r="N181" s="7" t="s">
        <v>29</v>
      </c>
      <c r="O181" s="7" t="s">
        <v>29</v>
      </c>
      <c r="P181" s="7" t="s">
        <v>29</v>
      </c>
      <c r="Q181" s="7" t="s">
        <v>29</v>
      </c>
      <c r="R181" s="7" t="s">
        <v>29</v>
      </c>
      <c r="S181" s="7" t="s">
        <v>29</v>
      </c>
    </row>
    <row r="182" spans="2:19">
      <c r="B182" s="7" t="s">
        <v>195</v>
      </c>
      <c r="C182" s="8" t="s">
        <v>195</v>
      </c>
      <c r="D182" s="6" t="str">
        <f>LRTRIM(CONCATENATE(IF(SUMPRODUCT(-- ISNUMBER(SEARCH({"Auto Number"}, $B182))) &gt; 0, $B182, IF(SUMPRODUCT(-- ISNUMBER(SEARCH({"Lookup","Master-Detail"}, $B182))) &gt; 0,$B182 &amp; "(" &amp; $E182 &amp; ")",IF(SUMPRODUCT(-- ISNUMBER(SEARCH({"Formula","Roll-Up Summary"}, $B182))) &gt; 0,$B182 &amp; " (" &amp; $E182 &amp; ")",IF(SUMPRODUCT(-- ISNUMBER(SEARCH({"Content","Currency","Number","Percent","Text","URL"}, $B182))) &gt; 0,$B182 &amp; "(" &amp; $C182 &amp; ")",$B182)))), "  ", TRIM(IF($S182 = "YES", "(External ID)", "") &amp; " " &amp; IF(SUMPRODUCT(-- ISNUMBER(SEARCH({"Unique","Unique Case Insensitive"}, $R182))) &gt; 0, "(" &amp; $R182 &amp; ")", ""))))</f>
        <v>na</v>
      </c>
      <c r="E182" s="7" t="s">
        <v>195</v>
      </c>
      <c r="F182" s="7" t="s">
        <v>195</v>
      </c>
      <c r="G182" s="7" t="s">
        <v>195</v>
      </c>
      <c r="H182" s="7" t="s">
        <v>195</v>
      </c>
      <c r="I182" s="7" t="s">
        <v>195</v>
      </c>
      <c r="J182" s="7" t="s">
        <v>195</v>
      </c>
      <c r="K182" s="7" t="s">
        <v>195</v>
      </c>
      <c r="L182" s="7" t="s">
        <v>195</v>
      </c>
      <c r="M182" s="7" t="s">
        <v>29</v>
      </c>
      <c r="N182" s="7" t="s">
        <v>29</v>
      </c>
      <c r="O182" s="7" t="s">
        <v>29</v>
      </c>
      <c r="P182" s="7" t="s">
        <v>29</v>
      </c>
      <c r="Q182" s="7" t="s">
        <v>29</v>
      </c>
      <c r="R182" s="7" t="s">
        <v>29</v>
      </c>
      <c r="S182" s="7" t="s">
        <v>29</v>
      </c>
    </row>
    <row r="183" spans="2:19">
      <c r="B183" s="7" t="s">
        <v>195</v>
      </c>
      <c r="C183" s="8" t="s">
        <v>195</v>
      </c>
      <c r="D183" s="6" t="str">
        <f>LRTRIM(CONCATENATE(IF(SUMPRODUCT(-- ISNUMBER(SEARCH({"Auto Number"}, $B183))) &gt; 0, $B183, IF(SUMPRODUCT(-- ISNUMBER(SEARCH({"Lookup","Master-Detail"}, $B183))) &gt; 0,$B183 &amp; "(" &amp; $E183 &amp; ")",IF(SUMPRODUCT(-- ISNUMBER(SEARCH({"Formula","Roll-Up Summary"}, $B183))) &gt; 0,$B183 &amp; " (" &amp; $E183 &amp; ")",IF(SUMPRODUCT(-- ISNUMBER(SEARCH({"Content","Currency","Number","Percent","Text","URL"}, $B183))) &gt; 0,$B183 &amp; "(" &amp; $C183 &amp; ")",$B183)))), "  ", TRIM(IF($S183 = "YES", "(External ID)", "") &amp; " " &amp; IF(SUMPRODUCT(-- ISNUMBER(SEARCH({"Unique","Unique Case Insensitive"}, $R183))) &gt; 0, "(" &amp; $R183 &amp; ")", ""))))</f>
        <v>na</v>
      </c>
      <c r="E183" s="7" t="s">
        <v>195</v>
      </c>
      <c r="F183" s="7" t="s">
        <v>195</v>
      </c>
      <c r="G183" s="7" t="s">
        <v>195</v>
      </c>
      <c r="H183" s="7" t="s">
        <v>195</v>
      </c>
      <c r="I183" s="7" t="s">
        <v>195</v>
      </c>
      <c r="J183" s="7" t="s">
        <v>195</v>
      </c>
      <c r="K183" s="7" t="s">
        <v>195</v>
      </c>
      <c r="L183" s="7" t="s">
        <v>195</v>
      </c>
      <c r="M183" s="7" t="s">
        <v>29</v>
      </c>
      <c r="N183" s="7" t="s">
        <v>29</v>
      </c>
      <c r="O183" s="7" t="s">
        <v>29</v>
      </c>
      <c r="P183" s="7" t="s">
        <v>29</v>
      </c>
      <c r="Q183" s="7" t="s">
        <v>29</v>
      </c>
      <c r="R183" s="7" t="s">
        <v>29</v>
      </c>
      <c r="S183" s="7" t="s">
        <v>29</v>
      </c>
    </row>
    <row r="184" spans="2:19">
      <c r="B184" s="7" t="s">
        <v>195</v>
      </c>
      <c r="C184" s="8" t="s">
        <v>195</v>
      </c>
      <c r="D184" s="6" t="str">
        <f>LRTRIM(CONCATENATE(IF(SUMPRODUCT(-- ISNUMBER(SEARCH({"Auto Number"}, $B184))) &gt; 0, $B184, IF(SUMPRODUCT(-- ISNUMBER(SEARCH({"Lookup","Master-Detail"}, $B184))) &gt; 0,$B184 &amp; "(" &amp; $E184 &amp; ")",IF(SUMPRODUCT(-- ISNUMBER(SEARCH({"Formula","Roll-Up Summary"}, $B184))) &gt; 0,$B184 &amp; " (" &amp; $E184 &amp; ")",IF(SUMPRODUCT(-- ISNUMBER(SEARCH({"Content","Currency","Number","Percent","Text","URL"}, $B184))) &gt; 0,$B184 &amp; "(" &amp; $C184 &amp; ")",$B184)))), "  ", TRIM(IF($S184 = "YES", "(External ID)", "") &amp; " " &amp; IF(SUMPRODUCT(-- ISNUMBER(SEARCH({"Unique","Unique Case Insensitive"}, $R184))) &gt; 0, "(" &amp; $R184 &amp; ")", ""))))</f>
        <v>na</v>
      </c>
      <c r="E184" s="7" t="s">
        <v>195</v>
      </c>
      <c r="F184" s="7" t="s">
        <v>195</v>
      </c>
      <c r="G184" s="7" t="s">
        <v>195</v>
      </c>
      <c r="H184" s="7" t="s">
        <v>195</v>
      </c>
      <c r="I184" s="7" t="s">
        <v>195</v>
      </c>
      <c r="J184" s="7" t="s">
        <v>195</v>
      </c>
      <c r="K184" s="7" t="s">
        <v>195</v>
      </c>
      <c r="L184" s="7" t="s">
        <v>195</v>
      </c>
      <c r="M184" s="7" t="s">
        <v>29</v>
      </c>
      <c r="N184" s="7" t="s">
        <v>29</v>
      </c>
      <c r="O184" s="7" t="s">
        <v>29</v>
      </c>
      <c r="P184" s="7" t="s">
        <v>29</v>
      </c>
      <c r="Q184" s="7" t="s">
        <v>29</v>
      </c>
      <c r="R184" s="7" t="s">
        <v>29</v>
      </c>
      <c r="S184" s="7" t="s">
        <v>29</v>
      </c>
    </row>
    <row r="185" spans="2:19">
      <c r="B185" s="7" t="s">
        <v>195</v>
      </c>
      <c r="C185" s="8" t="s">
        <v>195</v>
      </c>
      <c r="D185" s="6" t="str">
        <f>LRTRIM(CONCATENATE(IF(SUMPRODUCT(-- ISNUMBER(SEARCH({"Auto Number"}, $B185))) &gt; 0, $B185, IF(SUMPRODUCT(-- ISNUMBER(SEARCH({"Lookup","Master-Detail"}, $B185))) &gt; 0,$B185 &amp; "(" &amp; $E185 &amp; ")",IF(SUMPRODUCT(-- ISNUMBER(SEARCH({"Formula","Roll-Up Summary"}, $B185))) &gt; 0,$B185 &amp; " (" &amp; $E185 &amp; ")",IF(SUMPRODUCT(-- ISNUMBER(SEARCH({"Content","Currency","Number","Percent","Text","URL"}, $B185))) &gt; 0,$B185 &amp; "(" &amp; $C185 &amp; ")",$B185)))), "  ", TRIM(IF($S185 = "YES", "(External ID)", "") &amp; " " &amp; IF(SUMPRODUCT(-- ISNUMBER(SEARCH({"Unique","Unique Case Insensitive"}, $R185))) &gt; 0, "(" &amp; $R185 &amp; ")", ""))))</f>
        <v>na</v>
      </c>
      <c r="E185" s="7" t="s">
        <v>195</v>
      </c>
      <c r="F185" s="7" t="s">
        <v>195</v>
      </c>
      <c r="G185" s="7" t="s">
        <v>195</v>
      </c>
      <c r="H185" s="7" t="s">
        <v>195</v>
      </c>
      <c r="I185" s="7" t="s">
        <v>195</v>
      </c>
      <c r="J185" s="7" t="s">
        <v>195</v>
      </c>
      <c r="K185" s="7" t="s">
        <v>195</v>
      </c>
      <c r="L185" s="7" t="s">
        <v>195</v>
      </c>
      <c r="M185" s="7" t="s">
        <v>29</v>
      </c>
      <c r="N185" s="7" t="s">
        <v>29</v>
      </c>
      <c r="O185" s="7" t="s">
        <v>29</v>
      </c>
      <c r="P185" s="7" t="s">
        <v>29</v>
      </c>
      <c r="Q185" s="7" t="s">
        <v>29</v>
      </c>
      <c r="R185" s="7" t="s">
        <v>29</v>
      </c>
      <c r="S185" s="7" t="s">
        <v>29</v>
      </c>
    </row>
    <row r="186" spans="2:19">
      <c r="B186" s="7" t="s">
        <v>195</v>
      </c>
      <c r="C186" s="8" t="s">
        <v>195</v>
      </c>
      <c r="D186" s="6" t="str">
        <f>LRTRIM(CONCATENATE(IF(SUMPRODUCT(-- ISNUMBER(SEARCH({"Auto Number"}, $B186))) &gt; 0, $B186, IF(SUMPRODUCT(-- ISNUMBER(SEARCH({"Lookup","Master-Detail"}, $B186))) &gt; 0,$B186 &amp; "(" &amp; $E186 &amp; ")",IF(SUMPRODUCT(-- ISNUMBER(SEARCH({"Formula","Roll-Up Summary"}, $B186))) &gt; 0,$B186 &amp; " (" &amp; $E186 &amp; ")",IF(SUMPRODUCT(-- ISNUMBER(SEARCH({"Content","Currency","Number","Percent","Text","URL"}, $B186))) &gt; 0,$B186 &amp; "(" &amp; $C186 &amp; ")",$B186)))), "  ", TRIM(IF($S186 = "YES", "(External ID)", "") &amp; " " &amp; IF(SUMPRODUCT(-- ISNUMBER(SEARCH({"Unique","Unique Case Insensitive"}, $R186))) &gt; 0, "(" &amp; $R186 &amp; ")", ""))))</f>
        <v>na</v>
      </c>
      <c r="E186" s="7" t="s">
        <v>195</v>
      </c>
      <c r="F186" s="7" t="s">
        <v>195</v>
      </c>
      <c r="G186" s="7" t="s">
        <v>195</v>
      </c>
      <c r="H186" s="7" t="s">
        <v>195</v>
      </c>
      <c r="I186" s="7" t="s">
        <v>195</v>
      </c>
      <c r="J186" s="7" t="s">
        <v>195</v>
      </c>
      <c r="K186" s="7" t="s">
        <v>195</v>
      </c>
      <c r="L186" s="7" t="s">
        <v>195</v>
      </c>
      <c r="M186" s="7" t="s">
        <v>29</v>
      </c>
      <c r="N186" s="7" t="s">
        <v>29</v>
      </c>
      <c r="O186" s="7" t="s">
        <v>29</v>
      </c>
      <c r="P186" s="7" t="s">
        <v>29</v>
      </c>
      <c r="Q186" s="7" t="s">
        <v>29</v>
      </c>
      <c r="R186" s="7" t="s">
        <v>29</v>
      </c>
      <c r="S186" s="7" t="s">
        <v>29</v>
      </c>
    </row>
    <row r="187" spans="2:19">
      <c r="B187" s="7" t="s">
        <v>195</v>
      </c>
      <c r="C187" s="8" t="s">
        <v>195</v>
      </c>
      <c r="D187" s="6" t="str">
        <f>LRTRIM(CONCATENATE(IF(SUMPRODUCT(-- ISNUMBER(SEARCH({"Auto Number"}, $B187))) &gt; 0, $B187, IF(SUMPRODUCT(-- ISNUMBER(SEARCH({"Lookup","Master-Detail"}, $B187))) &gt; 0,$B187 &amp; "(" &amp; $E187 &amp; ")",IF(SUMPRODUCT(-- ISNUMBER(SEARCH({"Formula","Roll-Up Summary"}, $B187))) &gt; 0,$B187 &amp; " (" &amp; $E187 &amp; ")",IF(SUMPRODUCT(-- ISNUMBER(SEARCH({"Content","Currency","Number","Percent","Text","URL"}, $B187))) &gt; 0,$B187 &amp; "(" &amp; $C187 &amp; ")",$B187)))), "  ", TRIM(IF($S187 = "YES", "(External ID)", "") &amp; " " &amp; IF(SUMPRODUCT(-- ISNUMBER(SEARCH({"Unique","Unique Case Insensitive"}, $R187))) &gt; 0, "(" &amp; $R187 &amp; ")", ""))))</f>
        <v>na</v>
      </c>
      <c r="E187" s="7" t="s">
        <v>195</v>
      </c>
      <c r="F187" s="7" t="s">
        <v>195</v>
      </c>
      <c r="G187" s="7" t="s">
        <v>195</v>
      </c>
      <c r="H187" s="7" t="s">
        <v>195</v>
      </c>
      <c r="I187" s="7" t="s">
        <v>195</v>
      </c>
      <c r="J187" s="7" t="s">
        <v>195</v>
      </c>
      <c r="K187" s="7" t="s">
        <v>195</v>
      </c>
      <c r="L187" s="7" t="s">
        <v>195</v>
      </c>
      <c r="M187" s="7" t="s">
        <v>29</v>
      </c>
      <c r="N187" s="7" t="s">
        <v>29</v>
      </c>
      <c r="O187" s="7" t="s">
        <v>29</v>
      </c>
      <c r="P187" s="7" t="s">
        <v>29</v>
      </c>
      <c r="Q187" s="7" t="s">
        <v>29</v>
      </c>
      <c r="R187" s="7" t="s">
        <v>29</v>
      </c>
      <c r="S187" s="7" t="s">
        <v>29</v>
      </c>
    </row>
    <row r="188" spans="2:19">
      <c r="B188" s="7" t="s">
        <v>195</v>
      </c>
      <c r="C188" s="8" t="s">
        <v>195</v>
      </c>
      <c r="D188" s="6" t="str">
        <f>LRTRIM(CONCATENATE(IF(SUMPRODUCT(-- ISNUMBER(SEARCH({"Auto Number"}, $B188))) &gt; 0, $B188, IF(SUMPRODUCT(-- ISNUMBER(SEARCH({"Lookup","Master-Detail"}, $B188))) &gt; 0,$B188 &amp; "(" &amp; $E188 &amp; ")",IF(SUMPRODUCT(-- ISNUMBER(SEARCH({"Formula","Roll-Up Summary"}, $B188))) &gt; 0,$B188 &amp; " (" &amp; $E188 &amp; ")",IF(SUMPRODUCT(-- ISNUMBER(SEARCH({"Content","Currency","Number","Percent","Text","URL"}, $B188))) &gt; 0,$B188 &amp; "(" &amp; $C188 &amp; ")",$B188)))), "  ", TRIM(IF($S188 = "YES", "(External ID)", "") &amp; " " &amp; IF(SUMPRODUCT(-- ISNUMBER(SEARCH({"Unique","Unique Case Insensitive"}, $R188))) &gt; 0, "(" &amp; $R188 &amp; ")", ""))))</f>
        <v>na</v>
      </c>
      <c r="E188" s="7" t="s">
        <v>195</v>
      </c>
      <c r="F188" s="7" t="s">
        <v>195</v>
      </c>
      <c r="G188" s="7" t="s">
        <v>195</v>
      </c>
      <c r="H188" s="7" t="s">
        <v>195</v>
      </c>
      <c r="I188" s="7" t="s">
        <v>195</v>
      </c>
      <c r="J188" s="7" t="s">
        <v>195</v>
      </c>
      <c r="K188" s="7" t="s">
        <v>195</v>
      </c>
      <c r="L188" s="7" t="s">
        <v>195</v>
      </c>
      <c r="M188" s="7" t="s">
        <v>29</v>
      </c>
      <c r="N188" s="7" t="s">
        <v>29</v>
      </c>
      <c r="O188" s="7" t="s">
        <v>29</v>
      </c>
      <c r="P188" s="7" t="s">
        <v>29</v>
      </c>
      <c r="Q188" s="7" t="s">
        <v>29</v>
      </c>
      <c r="R188" s="7" t="s">
        <v>29</v>
      </c>
      <c r="S188" s="7" t="s">
        <v>29</v>
      </c>
    </row>
    <row r="189" spans="2:19">
      <c r="B189" s="7" t="s">
        <v>195</v>
      </c>
      <c r="C189" s="8" t="s">
        <v>195</v>
      </c>
      <c r="D189" s="6" t="str">
        <f>LRTRIM(CONCATENATE(IF(SUMPRODUCT(-- ISNUMBER(SEARCH({"Auto Number"}, $B189))) &gt; 0, $B189, IF(SUMPRODUCT(-- ISNUMBER(SEARCH({"Lookup","Master-Detail"}, $B189))) &gt; 0,$B189 &amp; "(" &amp; $E189 &amp; ")",IF(SUMPRODUCT(-- ISNUMBER(SEARCH({"Formula","Roll-Up Summary"}, $B189))) &gt; 0,$B189 &amp; " (" &amp; $E189 &amp; ")",IF(SUMPRODUCT(-- ISNUMBER(SEARCH({"Content","Currency","Number","Percent","Text","URL"}, $B189))) &gt; 0,$B189 &amp; "(" &amp; $C189 &amp; ")",$B189)))), "  ", TRIM(IF($S189 = "YES", "(External ID)", "") &amp; " " &amp; IF(SUMPRODUCT(-- ISNUMBER(SEARCH({"Unique","Unique Case Insensitive"}, $R189))) &gt; 0, "(" &amp; $R189 &amp; ")", ""))))</f>
        <v>na</v>
      </c>
      <c r="E189" s="7" t="s">
        <v>195</v>
      </c>
      <c r="F189" s="7" t="s">
        <v>195</v>
      </c>
      <c r="G189" s="7" t="s">
        <v>195</v>
      </c>
      <c r="H189" s="7" t="s">
        <v>195</v>
      </c>
      <c r="I189" s="7" t="s">
        <v>195</v>
      </c>
      <c r="J189" s="7" t="s">
        <v>195</v>
      </c>
      <c r="K189" s="7" t="s">
        <v>195</v>
      </c>
      <c r="L189" s="7" t="s">
        <v>195</v>
      </c>
      <c r="M189" s="7" t="s">
        <v>29</v>
      </c>
      <c r="N189" s="7" t="s">
        <v>29</v>
      </c>
      <c r="O189" s="7" t="s">
        <v>29</v>
      </c>
      <c r="P189" s="7" t="s">
        <v>29</v>
      </c>
      <c r="Q189" s="7" t="s">
        <v>29</v>
      </c>
      <c r="R189" s="7" t="s">
        <v>29</v>
      </c>
      <c r="S189" s="7" t="s">
        <v>29</v>
      </c>
    </row>
    <row r="190" spans="2:19">
      <c r="B190" s="7" t="s">
        <v>195</v>
      </c>
      <c r="C190" s="8" t="s">
        <v>195</v>
      </c>
      <c r="D190" s="6" t="str">
        <f>LRTRIM(CONCATENATE(IF(SUMPRODUCT(-- ISNUMBER(SEARCH({"Auto Number"}, $B190))) &gt; 0, $B190, IF(SUMPRODUCT(-- ISNUMBER(SEARCH({"Lookup","Master-Detail"}, $B190))) &gt; 0,$B190 &amp; "(" &amp; $E190 &amp; ")",IF(SUMPRODUCT(-- ISNUMBER(SEARCH({"Formula","Roll-Up Summary"}, $B190))) &gt; 0,$B190 &amp; " (" &amp; $E190 &amp; ")",IF(SUMPRODUCT(-- ISNUMBER(SEARCH({"Content","Currency","Number","Percent","Text","URL"}, $B190))) &gt; 0,$B190 &amp; "(" &amp; $C190 &amp; ")",$B190)))), "  ", TRIM(IF($S190 = "YES", "(External ID)", "") &amp; " " &amp; IF(SUMPRODUCT(-- ISNUMBER(SEARCH({"Unique","Unique Case Insensitive"}, $R190))) &gt; 0, "(" &amp; $R190 &amp; ")", ""))))</f>
        <v>na</v>
      </c>
      <c r="E190" s="7" t="s">
        <v>195</v>
      </c>
      <c r="F190" s="7" t="s">
        <v>195</v>
      </c>
      <c r="G190" s="7" t="s">
        <v>195</v>
      </c>
      <c r="H190" s="7" t="s">
        <v>195</v>
      </c>
      <c r="I190" s="7" t="s">
        <v>195</v>
      </c>
      <c r="J190" s="7" t="s">
        <v>195</v>
      </c>
      <c r="K190" s="7" t="s">
        <v>195</v>
      </c>
      <c r="L190" s="7" t="s">
        <v>195</v>
      </c>
      <c r="M190" s="7" t="s">
        <v>29</v>
      </c>
      <c r="N190" s="7" t="s">
        <v>29</v>
      </c>
      <c r="O190" s="7" t="s">
        <v>29</v>
      </c>
      <c r="P190" s="7" t="s">
        <v>29</v>
      </c>
      <c r="Q190" s="7" t="s">
        <v>29</v>
      </c>
      <c r="R190" s="7" t="s">
        <v>29</v>
      </c>
      <c r="S190" s="7" t="s">
        <v>29</v>
      </c>
    </row>
    <row r="191" spans="2:19">
      <c r="B191" s="7" t="s">
        <v>195</v>
      </c>
      <c r="C191" s="8" t="s">
        <v>195</v>
      </c>
      <c r="D191" s="6" t="str">
        <f>LRTRIM(CONCATENATE(IF(SUMPRODUCT(-- ISNUMBER(SEARCH({"Auto Number"}, $B191))) &gt; 0, $B191, IF(SUMPRODUCT(-- ISNUMBER(SEARCH({"Lookup","Master-Detail"}, $B191))) &gt; 0,$B191 &amp; "(" &amp; $E191 &amp; ")",IF(SUMPRODUCT(-- ISNUMBER(SEARCH({"Formula","Roll-Up Summary"}, $B191))) &gt; 0,$B191 &amp; " (" &amp; $E191 &amp; ")",IF(SUMPRODUCT(-- ISNUMBER(SEARCH({"Content","Currency","Number","Percent","Text","URL"}, $B191))) &gt; 0,$B191 &amp; "(" &amp; $C191 &amp; ")",$B191)))), "  ", TRIM(IF($S191 = "YES", "(External ID)", "") &amp; " " &amp; IF(SUMPRODUCT(-- ISNUMBER(SEARCH({"Unique","Unique Case Insensitive"}, $R191))) &gt; 0, "(" &amp; $R191 &amp; ")", ""))))</f>
        <v>na</v>
      </c>
      <c r="E191" s="7" t="s">
        <v>195</v>
      </c>
      <c r="F191" s="7" t="s">
        <v>195</v>
      </c>
      <c r="G191" s="7" t="s">
        <v>195</v>
      </c>
      <c r="H191" s="7" t="s">
        <v>195</v>
      </c>
      <c r="I191" s="7" t="s">
        <v>195</v>
      </c>
      <c r="J191" s="7" t="s">
        <v>195</v>
      </c>
      <c r="K191" s="7" t="s">
        <v>195</v>
      </c>
      <c r="L191" s="7" t="s">
        <v>195</v>
      </c>
      <c r="M191" s="7" t="s">
        <v>29</v>
      </c>
      <c r="N191" s="7" t="s">
        <v>29</v>
      </c>
      <c r="O191" s="7" t="s">
        <v>29</v>
      </c>
      <c r="P191" s="7" t="s">
        <v>29</v>
      </c>
      <c r="Q191" s="7" t="s">
        <v>29</v>
      </c>
      <c r="R191" s="7" t="s">
        <v>29</v>
      </c>
      <c r="S191" s="7" t="s">
        <v>29</v>
      </c>
    </row>
    <row r="192" spans="2:19">
      <c r="B192" s="7" t="s">
        <v>195</v>
      </c>
      <c r="C192" s="8" t="s">
        <v>195</v>
      </c>
      <c r="D192" s="6" t="str">
        <f>LRTRIM(CONCATENATE(IF(SUMPRODUCT(-- ISNUMBER(SEARCH({"Auto Number"}, $B192))) &gt; 0, $B192, IF(SUMPRODUCT(-- ISNUMBER(SEARCH({"Lookup","Master-Detail"}, $B192))) &gt; 0,$B192 &amp; "(" &amp; $E192 &amp; ")",IF(SUMPRODUCT(-- ISNUMBER(SEARCH({"Formula","Roll-Up Summary"}, $B192))) &gt; 0,$B192 &amp; " (" &amp; $E192 &amp; ")",IF(SUMPRODUCT(-- ISNUMBER(SEARCH({"Content","Currency","Number","Percent","Text","URL"}, $B192))) &gt; 0,$B192 &amp; "(" &amp; $C192 &amp; ")",$B192)))), "  ", TRIM(IF($S192 = "YES", "(External ID)", "") &amp; " " &amp; IF(SUMPRODUCT(-- ISNUMBER(SEARCH({"Unique","Unique Case Insensitive"}, $R192))) &gt; 0, "(" &amp; $R192 &amp; ")", ""))))</f>
        <v>na</v>
      </c>
      <c r="E192" s="7" t="s">
        <v>195</v>
      </c>
      <c r="F192" s="7" t="s">
        <v>195</v>
      </c>
      <c r="G192" s="7" t="s">
        <v>195</v>
      </c>
      <c r="H192" s="7" t="s">
        <v>195</v>
      </c>
      <c r="I192" s="7" t="s">
        <v>195</v>
      </c>
      <c r="J192" s="7" t="s">
        <v>195</v>
      </c>
      <c r="K192" s="7" t="s">
        <v>195</v>
      </c>
      <c r="L192" s="7" t="s">
        <v>195</v>
      </c>
      <c r="M192" s="7" t="s">
        <v>29</v>
      </c>
      <c r="N192" s="7" t="s">
        <v>29</v>
      </c>
      <c r="O192" s="7" t="s">
        <v>29</v>
      </c>
      <c r="P192" s="7" t="s">
        <v>29</v>
      </c>
      <c r="Q192" s="7" t="s">
        <v>29</v>
      </c>
      <c r="R192" s="7" t="s">
        <v>29</v>
      </c>
      <c r="S192" s="7" t="s">
        <v>29</v>
      </c>
    </row>
    <row r="193" spans="2:19">
      <c r="B193" s="7" t="s">
        <v>195</v>
      </c>
      <c r="C193" s="8" t="s">
        <v>195</v>
      </c>
      <c r="D193" s="6" t="str">
        <f>LRTRIM(CONCATENATE(IF(SUMPRODUCT(-- ISNUMBER(SEARCH({"Auto Number"}, $B193))) &gt; 0, $B193, IF(SUMPRODUCT(-- ISNUMBER(SEARCH({"Lookup","Master-Detail"}, $B193))) &gt; 0,$B193 &amp; "(" &amp; $E193 &amp; ")",IF(SUMPRODUCT(-- ISNUMBER(SEARCH({"Formula","Roll-Up Summary"}, $B193))) &gt; 0,$B193 &amp; " (" &amp; $E193 &amp; ")",IF(SUMPRODUCT(-- ISNUMBER(SEARCH({"Content","Currency","Number","Percent","Text","URL"}, $B193))) &gt; 0,$B193 &amp; "(" &amp; $C193 &amp; ")",$B193)))), "  ", TRIM(IF($S193 = "YES", "(External ID)", "") &amp; " " &amp; IF(SUMPRODUCT(-- ISNUMBER(SEARCH({"Unique","Unique Case Insensitive"}, $R193))) &gt; 0, "(" &amp; $R193 &amp; ")", ""))))</f>
        <v>na</v>
      </c>
      <c r="E193" s="7" t="s">
        <v>195</v>
      </c>
      <c r="F193" s="7" t="s">
        <v>195</v>
      </c>
      <c r="G193" s="7" t="s">
        <v>195</v>
      </c>
      <c r="H193" s="7" t="s">
        <v>195</v>
      </c>
      <c r="I193" s="7" t="s">
        <v>195</v>
      </c>
      <c r="J193" s="7" t="s">
        <v>195</v>
      </c>
      <c r="K193" s="7" t="s">
        <v>195</v>
      </c>
      <c r="L193" s="7" t="s">
        <v>195</v>
      </c>
      <c r="M193" s="7" t="s">
        <v>29</v>
      </c>
      <c r="N193" s="7" t="s">
        <v>29</v>
      </c>
      <c r="O193" s="7" t="s">
        <v>29</v>
      </c>
      <c r="P193" s="7" t="s">
        <v>29</v>
      </c>
      <c r="Q193" s="7" t="s">
        <v>29</v>
      </c>
      <c r="R193" s="7" t="s">
        <v>29</v>
      </c>
      <c r="S193" s="7" t="s">
        <v>29</v>
      </c>
    </row>
    <row r="194" spans="2:19">
      <c r="B194" s="7" t="s">
        <v>195</v>
      </c>
      <c r="C194" s="8" t="s">
        <v>195</v>
      </c>
      <c r="D194" s="6" t="str">
        <f>LRTRIM(CONCATENATE(IF(SUMPRODUCT(-- ISNUMBER(SEARCH({"Auto Number"}, $B194))) &gt; 0, $B194, IF(SUMPRODUCT(-- ISNUMBER(SEARCH({"Lookup","Master-Detail"}, $B194))) &gt; 0,$B194 &amp; "(" &amp; $E194 &amp; ")",IF(SUMPRODUCT(-- ISNUMBER(SEARCH({"Formula","Roll-Up Summary"}, $B194))) &gt; 0,$B194 &amp; " (" &amp; $E194 &amp; ")",IF(SUMPRODUCT(-- ISNUMBER(SEARCH({"Content","Currency","Number","Percent","Text","URL"}, $B194))) &gt; 0,$B194 &amp; "(" &amp; $C194 &amp; ")",$B194)))), "  ", TRIM(IF($S194 = "YES", "(External ID)", "") &amp; " " &amp; IF(SUMPRODUCT(-- ISNUMBER(SEARCH({"Unique","Unique Case Insensitive"}, $R194))) &gt; 0, "(" &amp; $R194 &amp; ")", ""))))</f>
        <v>na</v>
      </c>
      <c r="E194" s="7" t="s">
        <v>195</v>
      </c>
      <c r="F194" s="7" t="s">
        <v>195</v>
      </c>
      <c r="G194" s="7" t="s">
        <v>195</v>
      </c>
      <c r="H194" s="7" t="s">
        <v>195</v>
      </c>
      <c r="I194" s="7" t="s">
        <v>195</v>
      </c>
      <c r="J194" s="7" t="s">
        <v>195</v>
      </c>
      <c r="K194" s="7" t="s">
        <v>195</v>
      </c>
      <c r="L194" s="7" t="s">
        <v>195</v>
      </c>
      <c r="M194" s="7" t="s">
        <v>29</v>
      </c>
      <c r="N194" s="7" t="s">
        <v>29</v>
      </c>
      <c r="O194" s="7" t="s">
        <v>29</v>
      </c>
      <c r="P194" s="7" t="s">
        <v>29</v>
      </c>
      <c r="Q194" s="7" t="s">
        <v>29</v>
      </c>
      <c r="R194" s="7" t="s">
        <v>29</v>
      </c>
      <c r="S194" s="7" t="s">
        <v>29</v>
      </c>
    </row>
    <row r="195" spans="2:19">
      <c r="B195" s="7" t="s">
        <v>195</v>
      </c>
      <c r="C195" s="8" t="s">
        <v>195</v>
      </c>
      <c r="D195" s="6" t="str">
        <f>LRTRIM(CONCATENATE(IF(SUMPRODUCT(-- ISNUMBER(SEARCH({"Auto Number"}, $B195))) &gt; 0, $B195, IF(SUMPRODUCT(-- ISNUMBER(SEARCH({"Lookup","Master-Detail"}, $B195))) &gt; 0,$B195 &amp; "(" &amp; $E195 &amp; ")",IF(SUMPRODUCT(-- ISNUMBER(SEARCH({"Formula","Roll-Up Summary"}, $B195))) &gt; 0,$B195 &amp; " (" &amp; $E195 &amp; ")",IF(SUMPRODUCT(-- ISNUMBER(SEARCH({"Content","Currency","Number","Percent","Text","URL"}, $B195))) &gt; 0,$B195 &amp; "(" &amp; $C195 &amp; ")",$B195)))), "  ", TRIM(IF($S195 = "YES", "(External ID)", "") &amp; " " &amp; IF(SUMPRODUCT(-- ISNUMBER(SEARCH({"Unique","Unique Case Insensitive"}, $R195))) &gt; 0, "(" &amp; $R195 &amp; ")", ""))))</f>
        <v>na</v>
      </c>
      <c r="E195" s="7" t="s">
        <v>195</v>
      </c>
      <c r="F195" s="7" t="s">
        <v>195</v>
      </c>
      <c r="G195" s="7" t="s">
        <v>195</v>
      </c>
      <c r="H195" s="7" t="s">
        <v>195</v>
      </c>
      <c r="I195" s="7" t="s">
        <v>195</v>
      </c>
      <c r="J195" s="7" t="s">
        <v>195</v>
      </c>
      <c r="K195" s="7" t="s">
        <v>195</v>
      </c>
      <c r="L195" s="7" t="s">
        <v>195</v>
      </c>
      <c r="M195" s="7" t="s">
        <v>29</v>
      </c>
      <c r="N195" s="7" t="s">
        <v>29</v>
      </c>
      <c r="O195" s="7" t="s">
        <v>29</v>
      </c>
      <c r="P195" s="7" t="s">
        <v>29</v>
      </c>
      <c r="Q195" s="7" t="s">
        <v>29</v>
      </c>
      <c r="R195" s="7" t="s">
        <v>29</v>
      </c>
      <c r="S195" s="7" t="s">
        <v>29</v>
      </c>
    </row>
    <row r="196" spans="2:19">
      <c r="B196" s="7" t="s">
        <v>195</v>
      </c>
      <c r="C196" s="8" t="s">
        <v>195</v>
      </c>
      <c r="D196" s="6" t="str">
        <f>LRTRIM(CONCATENATE(IF(SUMPRODUCT(-- ISNUMBER(SEARCH({"Auto Number"}, $B196))) &gt; 0, $B196, IF(SUMPRODUCT(-- ISNUMBER(SEARCH({"Lookup","Master-Detail"}, $B196))) &gt; 0,$B196 &amp; "(" &amp; $E196 &amp; ")",IF(SUMPRODUCT(-- ISNUMBER(SEARCH({"Formula","Roll-Up Summary"}, $B196))) &gt; 0,$B196 &amp; " (" &amp; $E196 &amp; ")",IF(SUMPRODUCT(-- ISNUMBER(SEARCH({"Content","Currency","Number","Percent","Text","URL"}, $B196))) &gt; 0,$B196 &amp; "(" &amp; $C196 &amp; ")",$B196)))), "  ", TRIM(IF($S196 = "YES", "(External ID)", "") &amp; " " &amp; IF(SUMPRODUCT(-- ISNUMBER(SEARCH({"Unique","Unique Case Insensitive"}, $R196))) &gt; 0, "(" &amp; $R196 &amp; ")", ""))))</f>
        <v>na</v>
      </c>
      <c r="E196" s="7" t="s">
        <v>195</v>
      </c>
      <c r="F196" s="7" t="s">
        <v>195</v>
      </c>
      <c r="G196" s="7" t="s">
        <v>195</v>
      </c>
      <c r="H196" s="7" t="s">
        <v>195</v>
      </c>
      <c r="I196" s="7" t="s">
        <v>195</v>
      </c>
      <c r="J196" s="7" t="s">
        <v>195</v>
      </c>
      <c r="K196" s="7" t="s">
        <v>195</v>
      </c>
      <c r="L196" s="7" t="s">
        <v>195</v>
      </c>
      <c r="M196" s="7" t="s">
        <v>29</v>
      </c>
      <c r="N196" s="7" t="s">
        <v>29</v>
      </c>
      <c r="O196" s="7" t="s">
        <v>29</v>
      </c>
      <c r="P196" s="7" t="s">
        <v>29</v>
      </c>
      <c r="Q196" s="7" t="s">
        <v>29</v>
      </c>
      <c r="R196" s="7" t="s">
        <v>29</v>
      </c>
      <c r="S196" s="7" t="s">
        <v>29</v>
      </c>
    </row>
    <row r="197" spans="2:19">
      <c r="B197" s="7" t="s">
        <v>195</v>
      </c>
      <c r="C197" s="8" t="s">
        <v>195</v>
      </c>
      <c r="D197" s="6" t="str">
        <f>LRTRIM(CONCATENATE(IF(SUMPRODUCT(-- ISNUMBER(SEARCH({"Auto Number"}, $B197))) &gt; 0, $B197, IF(SUMPRODUCT(-- ISNUMBER(SEARCH({"Lookup","Master-Detail"}, $B197))) &gt; 0,$B197 &amp; "(" &amp; $E197 &amp; ")",IF(SUMPRODUCT(-- ISNUMBER(SEARCH({"Formula","Roll-Up Summary"}, $B197))) &gt; 0,$B197 &amp; " (" &amp; $E197 &amp; ")",IF(SUMPRODUCT(-- ISNUMBER(SEARCH({"Content","Currency","Number","Percent","Text","URL"}, $B197))) &gt; 0,$B197 &amp; "(" &amp; $C197 &amp; ")",$B197)))), "  ", TRIM(IF($S197 = "YES", "(External ID)", "") &amp; " " &amp; IF(SUMPRODUCT(-- ISNUMBER(SEARCH({"Unique","Unique Case Insensitive"}, $R197))) &gt; 0, "(" &amp; $R197 &amp; ")", ""))))</f>
        <v>na</v>
      </c>
      <c r="E197" s="7" t="s">
        <v>195</v>
      </c>
      <c r="F197" s="7" t="s">
        <v>195</v>
      </c>
      <c r="G197" s="7" t="s">
        <v>195</v>
      </c>
      <c r="H197" s="7" t="s">
        <v>195</v>
      </c>
      <c r="I197" s="7" t="s">
        <v>195</v>
      </c>
      <c r="J197" s="7" t="s">
        <v>195</v>
      </c>
      <c r="K197" s="7" t="s">
        <v>195</v>
      </c>
      <c r="L197" s="7" t="s">
        <v>195</v>
      </c>
      <c r="M197" s="7" t="s">
        <v>29</v>
      </c>
      <c r="N197" s="7" t="s">
        <v>29</v>
      </c>
      <c r="O197" s="7" t="s">
        <v>29</v>
      </c>
      <c r="P197" s="7" t="s">
        <v>29</v>
      </c>
      <c r="Q197" s="7" t="s">
        <v>29</v>
      </c>
      <c r="R197" s="7" t="s">
        <v>29</v>
      </c>
      <c r="S197" s="7" t="s">
        <v>29</v>
      </c>
    </row>
    <row r="198" spans="2:19">
      <c r="B198" s="7" t="s">
        <v>195</v>
      </c>
      <c r="C198" s="8" t="s">
        <v>195</v>
      </c>
      <c r="D198" s="6" t="str">
        <f>LRTRIM(CONCATENATE(IF(SUMPRODUCT(-- ISNUMBER(SEARCH({"Auto Number"}, $B198))) &gt; 0, $B198, IF(SUMPRODUCT(-- ISNUMBER(SEARCH({"Lookup","Master-Detail"}, $B198))) &gt; 0,$B198 &amp; "(" &amp; $E198 &amp; ")",IF(SUMPRODUCT(-- ISNUMBER(SEARCH({"Formula","Roll-Up Summary"}, $B198))) &gt; 0,$B198 &amp; " (" &amp; $E198 &amp; ")",IF(SUMPRODUCT(-- ISNUMBER(SEARCH({"Content","Currency","Number","Percent","Text","URL"}, $B198))) &gt; 0,$B198 &amp; "(" &amp; $C198 &amp; ")",$B198)))), "  ", TRIM(IF($S198 = "YES", "(External ID)", "") &amp; " " &amp; IF(SUMPRODUCT(-- ISNUMBER(SEARCH({"Unique","Unique Case Insensitive"}, $R198))) &gt; 0, "(" &amp; $R198 &amp; ")", ""))))</f>
        <v>na</v>
      </c>
      <c r="E198" s="7" t="s">
        <v>195</v>
      </c>
      <c r="F198" s="7" t="s">
        <v>195</v>
      </c>
      <c r="G198" s="7" t="s">
        <v>195</v>
      </c>
      <c r="H198" s="7" t="s">
        <v>195</v>
      </c>
      <c r="I198" s="7" t="s">
        <v>195</v>
      </c>
      <c r="J198" s="7" t="s">
        <v>195</v>
      </c>
      <c r="K198" s="7" t="s">
        <v>195</v>
      </c>
      <c r="L198" s="7" t="s">
        <v>195</v>
      </c>
      <c r="M198" s="7" t="s">
        <v>29</v>
      </c>
      <c r="N198" s="7" t="s">
        <v>29</v>
      </c>
      <c r="O198" s="7" t="s">
        <v>29</v>
      </c>
      <c r="P198" s="7" t="s">
        <v>29</v>
      </c>
      <c r="Q198" s="7" t="s">
        <v>29</v>
      </c>
      <c r="R198" s="7" t="s">
        <v>29</v>
      </c>
      <c r="S198" s="7" t="s">
        <v>29</v>
      </c>
    </row>
    <row r="199" spans="2:19">
      <c r="B199" s="7" t="s">
        <v>195</v>
      </c>
      <c r="C199" s="8" t="s">
        <v>195</v>
      </c>
      <c r="D199" s="6" t="str">
        <f>LRTRIM(CONCATENATE(IF(SUMPRODUCT(-- ISNUMBER(SEARCH({"Auto Number"}, $B199))) &gt; 0, $B199, IF(SUMPRODUCT(-- ISNUMBER(SEARCH({"Lookup","Master-Detail"}, $B199))) &gt; 0,$B199 &amp; "(" &amp; $E199 &amp; ")",IF(SUMPRODUCT(-- ISNUMBER(SEARCH({"Formula","Roll-Up Summary"}, $B199))) &gt; 0,$B199 &amp; " (" &amp; $E199 &amp; ")",IF(SUMPRODUCT(-- ISNUMBER(SEARCH({"Content","Currency","Number","Percent","Text","URL"}, $B199))) &gt; 0,$B199 &amp; "(" &amp; $C199 &amp; ")",$B199)))), "  ", TRIM(IF($S199 = "YES", "(External ID)", "") &amp; " " &amp; IF(SUMPRODUCT(-- ISNUMBER(SEARCH({"Unique","Unique Case Insensitive"}, $R199))) &gt; 0, "(" &amp; $R199 &amp; ")", ""))))</f>
        <v>na</v>
      </c>
      <c r="E199" s="7" t="s">
        <v>195</v>
      </c>
      <c r="F199" s="7" t="s">
        <v>195</v>
      </c>
      <c r="G199" s="7" t="s">
        <v>195</v>
      </c>
      <c r="H199" s="7" t="s">
        <v>195</v>
      </c>
      <c r="I199" s="7" t="s">
        <v>195</v>
      </c>
      <c r="J199" s="7" t="s">
        <v>195</v>
      </c>
      <c r="K199" s="7" t="s">
        <v>195</v>
      </c>
      <c r="L199" s="7" t="s">
        <v>195</v>
      </c>
      <c r="M199" s="7" t="s">
        <v>29</v>
      </c>
      <c r="N199" s="7" t="s">
        <v>29</v>
      </c>
      <c r="O199" s="7" t="s">
        <v>29</v>
      </c>
      <c r="P199" s="7" t="s">
        <v>29</v>
      </c>
      <c r="Q199" s="7" t="s">
        <v>29</v>
      </c>
      <c r="R199" s="7" t="s">
        <v>29</v>
      </c>
      <c r="S199" s="7" t="s">
        <v>29</v>
      </c>
    </row>
    <row r="200" spans="2:19">
      <c r="B200" s="7" t="s">
        <v>195</v>
      </c>
      <c r="C200" s="8" t="s">
        <v>195</v>
      </c>
      <c r="D200" s="6" t="str">
        <f>LRTRIM(CONCATENATE(IF(SUMPRODUCT(-- ISNUMBER(SEARCH({"Auto Number"}, $B200))) &gt; 0, $B200, IF(SUMPRODUCT(-- ISNUMBER(SEARCH({"Lookup","Master-Detail"}, $B200))) &gt; 0,$B200 &amp; "(" &amp; $E200 &amp; ")",IF(SUMPRODUCT(-- ISNUMBER(SEARCH({"Formula","Roll-Up Summary"}, $B200))) &gt; 0,$B200 &amp; " (" &amp; $E200 &amp; ")",IF(SUMPRODUCT(-- ISNUMBER(SEARCH({"Content","Currency","Number","Percent","Text","URL"}, $B200))) &gt; 0,$B200 &amp; "(" &amp; $C200 &amp; ")",$B200)))), "  ", TRIM(IF($S200 = "YES", "(External ID)", "") &amp; " " &amp; IF(SUMPRODUCT(-- ISNUMBER(SEARCH({"Unique","Unique Case Insensitive"}, $R200))) &gt; 0, "(" &amp; $R200 &amp; ")", ""))))</f>
        <v>na</v>
      </c>
      <c r="E200" s="7" t="s">
        <v>195</v>
      </c>
      <c r="F200" s="7" t="s">
        <v>195</v>
      </c>
      <c r="G200" s="7" t="s">
        <v>195</v>
      </c>
      <c r="H200" s="7" t="s">
        <v>195</v>
      </c>
      <c r="I200" s="7" t="s">
        <v>195</v>
      </c>
      <c r="J200" s="7" t="s">
        <v>195</v>
      </c>
      <c r="K200" s="7" t="s">
        <v>195</v>
      </c>
      <c r="L200" s="7" t="s">
        <v>195</v>
      </c>
      <c r="M200" s="7" t="s">
        <v>29</v>
      </c>
      <c r="N200" s="7" t="s">
        <v>29</v>
      </c>
      <c r="O200" s="7" t="s">
        <v>29</v>
      </c>
      <c r="P200" s="7" t="s">
        <v>29</v>
      </c>
      <c r="Q200" s="7" t="s">
        <v>29</v>
      </c>
      <c r="R200" s="7" t="s">
        <v>29</v>
      </c>
      <c r="S200" s="7" t="s">
        <v>29</v>
      </c>
    </row>
  </sheetData>
  <sheetProtection formatCells="0" formatColumns="0" formatRows="0" insertColumns="0" insertRows="0" insertHyperlinks="0" deleteColumns="0" deleteRows="0" sort="0" autoFilter="0" pivotTables="0"/>
  <conditionalFormatting sqref="D2:D32">
    <cfRule type="expression" dxfId="48" priority="3">
      <formula>NOT(_xlfn.ISFORMULA($D2))</formula>
    </cfRule>
  </conditionalFormatting>
  <conditionalFormatting sqref="D33">
    <cfRule type="expression" dxfId="47" priority="2">
      <formula>NOT(_xlfn.ISFORMULA($D33))</formula>
    </cfRule>
  </conditionalFormatting>
  <conditionalFormatting sqref="D34:D200">
    <cfRule type="expression" dxfId="46" priority="1">
      <formula>NOT(_xlfn.ISFORMULA($D34))</formula>
    </cfRule>
  </conditionalFormatting>
  <dataValidations count="1">
    <dataValidation allowBlank="1" showInputMessage="1" showErrorMessage="1" sqref="A2:A32"/>
  </dataValidations>
  <pageMargins left="0.7" right="0.7" top="0.75" bottom="0.75" header="0.3" footer="0.3"/>
  <extLst>
    <ext xmlns:x14="http://schemas.microsoft.com/office/spreadsheetml/2009/9/main" uri="{CCE6A557-97BC-4b89-ADB6-D9C93CAAB3DF}">
      <x14:dataValidations xmlns:xm="http://schemas.microsoft.com/office/excel/2006/main" count="15">
        <x14:dataValidation type="list" allowBlank="1" showInputMessage="1" showErrorMessage="1">
          <x14:formula1>
            <xm:f>OFFSET('Reference Fields'!$J$2,0,0,COUNTA('Reference Fields'!$J:$J)-1)</xm:f>
          </x14:formula1>
          <xm:sqref>P2:P200</xm:sqref>
        </x14:dataValidation>
        <x14:dataValidation type="list" allowBlank="1" showInputMessage="1" showErrorMessage="1">
          <x14:formula1>
            <xm:f>OFFSET('Reference Fields'!$J$2,0,0,COUNTA('Reference Fields'!$J:$J)-1)</xm:f>
          </x14:formula1>
          <xm:sqref>M2:M200</xm:sqref>
        </x14:dataValidation>
        <x14:dataValidation type="list" allowBlank="1" showInputMessage="1" showErrorMessage="1">
          <x14:formula1>
            <xm:f>OFFSET('Reference Fields'!$J$2,0,0,COUNTA('Reference Fields'!$J:$J)-1)</xm:f>
          </x14:formula1>
          <xm:sqref>N2:N200</xm:sqref>
        </x14:dataValidation>
        <x14:dataValidation type="list" allowBlank="1" showInputMessage="1" showErrorMessage="1">
          <x14:formula1>
            <xm:f>OFFSET('Reference Fields'!$J$2,0,0,COUNTA('Reference Fields'!$J:$J)-1)</xm:f>
          </x14:formula1>
          <xm:sqref>O2:O200</xm:sqref>
        </x14:dataValidation>
        <x14:dataValidation type="list" allowBlank="1" showInputMessage="1" showErrorMessage="1">
          <x14:formula1>
            <xm:f>OFFSET('Reference Fields'!$J$2,0,0,COUNTA('Reference Fields'!$J:$J)-1)</xm:f>
          </x14:formula1>
          <xm:sqref>Q2:Q200</xm:sqref>
        </x14:dataValidation>
        <x14:dataValidation type="list" allowBlank="1" showInputMessage="1" showErrorMessage="1">
          <x14:formula1>
            <xm:f>OFFSET('Reference Fields'!$J$2,0,0,COUNTA('Reference Fields'!$J:$J)-1)</xm:f>
          </x14:formula1>
          <xm:sqref>S2:S200</xm:sqref>
        </x14:dataValidation>
        <x14:dataValidation type="list" allowBlank="1" showInputMessage="1" showErrorMessage="1">
          <x14:formula1>
            <xm:f>OFFSET('Reference Fields'!$K$2,0,0,COUNTA('Reference Fields'!$K:$K)-1)</xm:f>
          </x14:formula1>
          <xm:sqref>R2:R200</xm:sqref>
        </x14:dataValidation>
        <x14:dataValidation type="list" allowBlank="1" showInputMessage="1" showErrorMessage="1">
          <x14:formula1>
            <xm:f>OFFSET('Reference Fields'!$B$2,0,0,COUNTA('Reference Fields'!$B:$B)-1)</xm:f>
          </x14:formula1>
          <xm:sqref>B2:B200</xm:sqref>
        </x14:dataValidation>
        <x14:dataValidation type="list" allowBlank="1" showInputMessage="1" showErrorMessage="1">
          <x14:formula1>
            <xm:f>OFFSET('Reference Fields'!$D$2,0,0,COUNTA('Reference Fields'!$D:$D)-1)</xm:f>
          </x14:formula1>
          <xm:sqref>F2:F200</xm:sqref>
        </x14:dataValidation>
        <x14:dataValidation type="list" allowBlank="1" showInputMessage="1" showErrorMessage="1">
          <x14:formula1>
            <xm:f>OFFSET('Reference Fields'!$E$2,0,0,COUNTA('Reference Fields'!$E:$E)-1)</xm:f>
          </x14:formula1>
          <xm:sqref>G2:G200</xm:sqref>
        </x14:dataValidation>
        <x14:dataValidation type="list" allowBlank="1" showInputMessage="1" showErrorMessage="1">
          <x14:formula1>
            <xm:f>OFFSET('Reference Fields'!$F$2,0,0,COUNTA('Reference Fields'!$F:$F)-1)</xm:f>
          </x14:formula1>
          <xm:sqref>H2:H200</xm:sqref>
        </x14:dataValidation>
        <x14:dataValidation type="list" allowBlank="1" showInputMessage="1" showErrorMessage="1">
          <x14:formula1>
            <xm:f>OFFSET('Reference Fields'!$F$2,0,0,COUNTA('Reference Fields'!$F:$F)-1)</xm:f>
          </x14:formula1>
          <xm:sqref>I2:I200</xm:sqref>
        </x14:dataValidation>
        <x14:dataValidation type="list" allowBlank="1" showInputMessage="1" showErrorMessage="1">
          <x14:formula1>
            <xm:f>OFFSET('Reference Fields'!$G$2,0,0,COUNTA('Reference Fields'!$G:$G)-1)</xm:f>
          </x14:formula1>
          <xm:sqref>J2:J200</xm:sqref>
        </x14:dataValidation>
        <x14:dataValidation type="list" allowBlank="1" showInputMessage="1" showErrorMessage="1">
          <x14:formula1>
            <xm:f>OFFSET('Reference Fields'!$H$2,0,0,COUNTA('Reference Fields'!$H:$H)-1)</xm:f>
          </x14:formula1>
          <xm:sqref>K2:K200</xm:sqref>
        </x14:dataValidation>
        <x14:dataValidation type="list" allowBlank="1" showInputMessage="1" showErrorMessage="1">
          <x14:formula1>
            <xm:f>OFFSET('Reference Fields'!$I$2,0,0,COUNTA('Reference Fields'!$I:$I)-1)</xm:f>
          </x14:formula1>
          <xm:sqref>L2:L200</xm:sqref>
        </x14:dataValidation>
      </x14:dataValidations>
    </ext>
  </extLst>
</worksheet>
</file>

<file path=xl/worksheets/sheet25.xml><?xml version="1.0" encoding="utf-8"?>
<worksheet xmlns="http://schemas.openxmlformats.org/spreadsheetml/2006/main" xmlns:r="http://schemas.openxmlformats.org/officeDocument/2006/relationships">
  <sheetPr codeName="Sheet17"/>
  <dimension ref="A1:S200"/>
  <sheetViews>
    <sheetView workbookViewId="0">
      <pane ySplit="1" topLeftCell="A2" activePane="bottomLeft" state="frozen"/>
      <selection pane="bottomLeft" activeCell="A2" sqref="A2"/>
    </sheetView>
  </sheetViews>
  <sheetFormatPr defaultRowHeight="14.5"/>
  <cols>
    <col min="1" max="1" width="23" bestFit="1" customWidth="1"/>
    <col min="2" max="2" width="13.54296875" customWidth="1"/>
    <col min="3" max="4" width="8.90625" customWidth="1"/>
    <col min="5" max="5" width="12.6328125" customWidth="1"/>
    <col min="6" max="6" width="15.6328125" bestFit="1" customWidth="1"/>
    <col min="7" max="8" width="15.453125" customWidth="1"/>
    <col min="9" max="9" width="22.6328125" customWidth="1"/>
    <col min="10" max="10" width="23.36328125" customWidth="1"/>
    <col min="11" max="11" width="17.54296875" customWidth="1"/>
    <col min="12" max="12" width="14.08984375" customWidth="1"/>
    <col min="13" max="13" width="10.453125" bestFit="1" customWidth="1"/>
    <col min="14" max="14" width="10.453125" customWidth="1"/>
    <col min="15" max="15" width="12.453125" bestFit="1" customWidth="1"/>
  </cols>
  <sheetData>
    <row r="1" spans="1:19" s="1" customFormat="1">
      <c r="A1" s="1" t="s">
        <v>2</v>
      </c>
      <c r="B1" s="1" t="s">
        <v>1198</v>
      </c>
      <c r="C1" s="1" t="s">
        <v>1199</v>
      </c>
      <c r="D1" s="1" t="s">
        <v>0</v>
      </c>
      <c r="E1" s="1" t="s">
        <v>1</v>
      </c>
      <c r="F1" s="1" t="s">
        <v>30</v>
      </c>
      <c r="G1" s="1" t="s">
        <v>31</v>
      </c>
      <c r="H1" s="1" t="s">
        <v>1262</v>
      </c>
      <c r="I1" s="1" t="s">
        <v>49</v>
      </c>
      <c r="J1" s="1" t="s">
        <v>48</v>
      </c>
      <c r="K1" s="1" t="s">
        <v>54</v>
      </c>
      <c r="L1" s="1" t="s">
        <v>55</v>
      </c>
      <c r="M1" s="1" t="s">
        <v>27</v>
      </c>
      <c r="N1" s="1" t="s">
        <v>175</v>
      </c>
      <c r="O1" s="1" t="s">
        <v>193</v>
      </c>
      <c r="P1" s="1" t="s">
        <v>1221</v>
      </c>
      <c r="Q1" s="1" t="s">
        <v>1264</v>
      </c>
      <c r="R1" s="1" t="s">
        <v>1263</v>
      </c>
      <c r="S1" s="1" t="s">
        <v>1265</v>
      </c>
    </row>
    <row r="2" spans="1:19">
      <c r="A2" s="7" t="s">
        <v>666</v>
      </c>
      <c r="B2" s="7" t="s">
        <v>1206</v>
      </c>
      <c r="C2" s="8" t="s">
        <v>1289</v>
      </c>
      <c r="D2" s="6" t="str">
        <f>LRTRIM(CONCATENATE(IF(SUMPRODUCT(-- ISNUMBER(SEARCH({"Auto Number"}, $B2))) &gt; 0, $B2, IF(SUMPRODUCT(-- ISNUMBER(SEARCH({"Lookup","Master-Detail"}, $B2))) &gt; 0,$B2 &amp; "(" &amp; $E2 &amp; ")",IF(SUMPRODUCT(-- ISNUMBER(SEARCH({"Formula","Roll-Up Summary"}, $B2))) &gt; 0,$B2 &amp; " (" &amp; $E2 &amp; ")",IF(SUMPRODUCT(-- ISNUMBER(SEARCH({"Content","Currency","Number","Percent","Text","URL"}, $B2))) &gt; 0,$B2 &amp; "(" &amp; $C2 &amp; ")",$B2)))), "  ", TRIM(IF($S2 = "YES", "(External ID)", "") &amp; " " &amp; IF(SUMPRODUCT(-- ISNUMBER(SEARCH({"Unique","Unique Case Insensitive"}, $R2))) &gt; 0, "(" &amp; $R2 &amp; ")", ""))))</f>
        <v>Currency(16, 2)</v>
      </c>
      <c r="E2" s="7" t="s">
        <v>195</v>
      </c>
      <c r="F2" s="7" t="s">
        <v>715</v>
      </c>
      <c r="G2" s="7" t="s">
        <v>195</v>
      </c>
      <c r="H2" s="7" t="s">
        <v>195</v>
      </c>
      <c r="I2" s="7" t="s">
        <v>195</v>
      </c>
      <c r="J2" s="7" t="s">
        <v>195</v>
      </c>
      <c r="K2" s="7" t="s">
        <v>195</v>
      </c>
      <c r="L2" s="7" t="s">
        <v>195</v>
      </c>
      <c r="M2" s="7" t="s">
        <v>29</v>
      </c>
      <c r="N2" s="7" t="s">
        <v>29</v>
      </c>
      <c r="O2" s="7" t="s">
        <v>29</v>
      </c>
      <c r="P2" s="7" t="s">
        <v>29</v>
      </c>
      <c r="Q2" s="7" t="s">
        <v>29</v>
      </c>
      <c r="R2" s="7" t="s">
        <v>29</v>
      </c>
      <c r="S2" s="7" t="s">
        <v>29</v>
      </c>
    </row>
    <row r="3" spans="1:19">
      <c r="A3" s="7" t="s">
        <v>667</v>
      </c>
      <c r="B3" s="7" t="s">
        <v>1206</v>
      </c>
      <c r="C3" s="8" t="s">
        <v>1289</v>
      </c>
      <c r="D3" s="6" t="str">
        <f>LRTRIM(CONCATENATE(IF(SUMPRODUCT(-- ISNUMBER(SEARCH({"Auto Number"}, $B3))) &gt; 0, $B3, IF(SUMPRODUCT(-- ISNUMBER(SEARCH({"Lookup","Master-Detail"}, $B3))) &gt; 0,$B3 &amp; "(" &amp; $E3 &amp; ")",IF(SUMPRODUCT(-- ISNUMBER(SEARCH({"Formula","Roll-Up Summary"}, $B3))) &gt; 0,$B3 &amp; " (" &amp; $E3 &amp; ")",IF(SUMPRODUCT(-- ISNUMBER(SEARCH({"Content","Currency","Number","Percent","Text","URL"}, $B3))) &gt; 0,$B3 &amp; "(" &amp; $C3 &amp; ")",$B3)))), "  ", TRIM(IF($S3 = "YES", "(External ID)", "") &amp; " " &amp; IF(SUMPRODUCT(-- ISNUMBER(SEARCH({"Unique","Unique Case Insensitive"}, $R3))) &gt; 0, "(" &amp; $R3 &amp; ")", ""))))</f>
        <v>Currency(16, 2)</v>
      </c>
      <c r="E3" s="7" t="s">
        <v>195</v>
      </c>
      <c r="F3" s="7" t="s">
        <v>716</v>
      </c>
      <c r="G3" s="7" t="s">
        <v>195</v>
      </c>
      <c r="H3" s="7" t="s">
        <v>195</v>
      </c>
      <c r="I3" s="7" t="s">
        <v>195</v>
      </c>
      <c r="J3" s="7" t="s">
        <v>195</v>
      </c>
      <c r="K3" s="7" t="s">
        <v>195</v>
      </c>
      <c r="L3" s="7" t="s">
        <v>195</v>
      </c>
      <c r="M3" s="7" t="s">
        <v>29</v>
      </c>
      <c r="N3" s="7" t="s">
        <v>29</v>
      </c>
      <c r="O3" s="7" t="s">
        <v>29</v>
      </c>
      <c r="P3" s="7" t="s">
        <v>29</v>
      </c>
      <c r="Q3" s="7" t="s">
        <v>29</v>
      </c>
      <c r="R3" s="7" t="s">
        <v>29</v>
      </c>
      <c r="S3" s="7" t="s">
        <v>29</v>
      </c>
    </row>
    <row r="4" spans="1:19">
      <c r="A4" s="7" t="s">
        <v>668</v>
      </c>
      <c r="B4" s="7" t="s">
        <v>1206</v>
      </c>
      <c r="C4" s="8" t="s">
        <v>1289</v>
      </c>
      <c r="D4" s="6" t="str">
        <f>LRTRIM(CONCATENATE(IF(SUMPRODUCT(-- ISNUMBER(SEARCH({"Auto Number"}, $B4))) &gt; 0, $B4, IF(SUMPRODUCT(-- ISNUMBER(SEARCH({"Lookup","Master-Detail"}, $B4))) &gt; 0,$B4 &amp; "(" &amp; $E4 &amp; ")",IF(SUMPRODUCT(-- ISNUMBER(SEARCH({"Formula","Roll-Up Summary"}, $B4))) &gt; 0,$B4 &amp; " (" &amp; $E4 &amp; ")",IF(SUMPRODUCT(-- ISNUMBER(SEARCH({"Content","Currency","Number","Percent","Text","URL"}, $B4))) &gt; 0,$B4 &amp; "(" &amp; $C4 &amp; ")",$B4)))), "  ", TRIM(IF($S4 = "YES", "(External ID)", "") &amp; " " &amp; IF(SUMPRODUCT(-- ISNUMBER(SEARCH({"Unique","Unique Case Insensitive"}, $R4))) &gt; 0, "(" &amp; $R4 &amp; ")", ""))))</f>
        <v>Currency(16, 2)</v>
      </c>
      <c r="E4" s="7" t="s">
        <v>195</v>
      </c>
      <c r="F4" s="7" t="s">
        <v>717</v>
      </c>
      <c r="G4" s="7" t="s">
        <v>195</v>
      </c>
      <c r="H4" s="7" t="s">
        <v>195</v>
      </c>
      <c r="I4" s="7" t="s">
        <v>195</v>
      </c>
      <c r="J4" s="7" t="s">
        <v>195</v>
      </c>
      <c r="K4" s="7" t="s">
        <v>195</v>
      </c>
      <c r="L4" s="7" t="s">
        <v>195</v>
      </c>
      <c r="M4" s="7" t="s">
        <v>29</v>
      </c>
      <c r="N4" s="7" t="s">
        <v>29</v>
      </c>
      <c r="O4" s="7" t="s">
        <v>29</v>
      </c>
      <c r="P4" s="7" t="s">
        <v>29</v>
      </c>
      <c r="Q4" s="7" t="s">
        <v>29</v>
      </c>
      <c r="R4" s="7" t="s">
        <v>29</v>
      </c>
      <c r="S4" s="7" t="s">
        <v>29</v>
      </c>
    </row>
    <row r="5" spans="1:19">
      <c r="A5" s="7" t="s">
        <v>669</v>
      </c>
      <c r="B5" s="7" t="s">
        <v>1218</v>
      </c>
      <c r="C5" s="8">
        <v>80</v>
      </c>
      <c r="D5" s="6" t="str">
        <f>LRTRIM(CONCATENATE(IF(SUMPRODUCT(-- ISNUMBER(SEARCH({"Auto Number"}, $B5))) &gt; 0, $B5, IF(SUMPRODUCT(-- ISNUMBER(SEARCH({"Lookup","Master-Detail"}, $B5))) &gt; 0,$B5 &amp; "(" &amp; $E5 &amp; ")",IF(SUMPRODUCT(-- ISNUMBER(SEARCH({"Formula","Roll-Up Summary"}, $B5))) &gt; 0,$B5 &amp; " (" &amp; $E5 &amp; ")",IF(SUMPRODUCT(-- ISNUMBER(SEARCH({"Content","Currency","Number","Percent","Text","URL"}, $B5))) &gt; 0,$B5 &amp; "(" &amp; $C5 &amp; ")",$B5)))), "  ", TRIM(IF($S5 = "YES", "(External ID)", "") &amp; " " &amp; IF(SUMPRODUCT(-- ISNUMBER(SEARCH({"Unique","Unique Case Insensitive"}, $R5))) &gt; 0, "(" &amp; $R5 &amp; ")", ""))))</f>
        <v>Text(80)  (External ID) (Unique Case Insensitive)</v>
      </c>
      <c r="E5" s="7" t="s">
        <v>195</v>
      </c>
      <c r="F5" s="7" t="s">
        <v>718</v>
      </c>
      <c r="G5" s="7" t="s">
        <v>195</v>
      </c>
      <c r="H5" s="7" t="s">
        <v>195</v>
      </c>
      <c r="I5" s="7" t="s">
        <v>195</v>
      </c>
      <c r="J5" s="7" t="s">
        <v>195</v>
      </c>
      <c r="K5" s="7" t="s">
        <v>195</v>
      </c>
      <c r="L5" s="7" t="s">
        <v>195</v>
      </c>
      <c r="M5" s="7" t="s">
        <v>29</v>
      </c>
      <c r="N5" s="7" t="s">
        <v>29</v>
      </c>
      <c r="O5" s="7" t="s">
        <v>29</v>
      </c>
      <c r="P5" s="7" t="s">
        <v>29</v>
      </c>
      <c r="Q5" s="7" t="s">
        <v>29</v>
      </c>
      <c r="R5" s="7" t="s">
        <v>1271</v>
      </c>
      <c r="S5" s="7" t="s">
        <v>28</v>
      </c>
    </row>
    <row r="6" spans="1:19">
      <c r="A6" s="7" t="s">
        <v>670</v>
      </c>
      <c r="B6" s="7" t="s">
        <v>1206</v>
      </c>
      <c r="C6" s="8" t="s">
        <v>1289</v>
      </c>
      <c r="D6" s="6" t="str">
        <f>LRTRIM(CONCATENATE(IF(SUMPRODUCT(-- ISNUMBER(SEARCH({"Auto Number"}, $B6))) &gt; 0, $B6, IF(SUMPRODUCT(-- ISNUMBER(SEARCH({"Lookup","Master-Detail"}, $B6))) &gt; 0,$B6 &amp; "(" &amp; $E6 &amp; ")",IF(SUMPRODUCT(-- ISNUMBER(SEARCH({"Formula","Roll-Up Summary"}, $B6))) &gt; 0,$B6 &amp; " (" &amp; $E6 &amp; ")",IF(SUMPRODUCT(-- ISNUMBER(SEARCH({"Content","Currency","Number","Percent","Text","URL"}, $B6))) &gt; 0,$B6 &amp; "(" &amp; $C6 &amp; ")",$B6)))), "  ", TRIM(IF($S6 = "YES", "(External ID)", "") &amp; " " &amp; IF(SUMPRODUCT(-- ISNUMBER(SEARCH({"Unique","Unique Case Insensitive"}, $R6))) &gt; 0, "(" &amp; $R6 &amp; ")", ""))))</f>
        <v>Currency(16, 2)</v>
      </c>
      <c r="E6" s="7" t="s">
        <v>195</v>
      </c>
      <c r="F6" s="7" t="s">
        <v>719</v>
      </c>
      <c r="G6" s="7" t="s">
        <v>195</v>
      </c>
      <c r="H6" s="7" t="s">
        <v>195</v>
      </c>
      <c r="I6" s="7" t="s">
        <v>195</v>
      </c>
      <c r="J6" s="7" t="s">
        <v>195</v>
      </c>
      <c r="K6" s="7" t="s">
        <v>195</v>
      </c>
      <c r="L6" s="7" t="s">
        <v>195</v>
      </c>
      <c r="M6" s="7" t="s">
        <v>29</v>
      </c>
      <c r="N6" s="7" t="s">
        <v>29</v>
      </c>
      <c r="O6" s="7" t="s">
        <v>29</v>
      </c>
      <c r="P6" s="7" t="s">
        <v>29</v>
      </c>
      <c r="Q6" s="7" t="s">
        <v>29</v>
      </c>
      <c r="R6" s="7" t="s">
        <v>29</v>
      </c>
      <c r="S6" s="7" t="s">
        <v>29</v>
      </c>
    </row>
    <row r="7" spans="1:19">
      <c r="A7" s="7" t="s">
        <v>671</v>
      </c>
      <c r="B7" s="7" t="s">
        <v>1218</v>
      </c>
      <c r="C7" s="8">
        <v>3</v>
      </c>
      <c r="D7" s="6" t="str">
        <f>LRTRIM(CONCATENATE(IF(SUMPRODUCT(-- ISNUMBER(SEARCH({"Auto Number"}, $B7))) &gt; 0, $B7, IF(SUMPRODUCT(-- ISNUMBER(SEARCH({"Lookup","Master-Detail"}, $B7))) &gt; 0,$B7 &amp; "(" &amp; $E7 &amp; ")",IF(SUMPRODUCT(-- ISNUMBER(SEARCH({"Formula","Roll-Up Summary"}, $B7))) &gt; 0,$B7 &amp; " (" &amp; $E7 &amp; ")",IF(SUMPRODUCT(-- ISNUMBER(SEARCH({"Content","Currency","Number","Percent","Text","URL"}, $B7))) &gt; 0,$B7 &amp; "(" &amp; $C7 &amp; ")",$B7)))), "  ", TRIM(IF($S7 = "YES", "(External ID)", "") &amp; " " &amp; IF(SUMPRODUCT(-- ISNUMBER(SEARCH({"Unique","Unique Case Insensitive"}, $R7))) &gt; 0, "(" &amp; $R7 &amp; ")", ""))))</f>
        <v>Text(3)</v>
      </c>
      <c r="E7" s="7" t="s">
        <v>195</v>
      </c>
      <c r="F7" s="7" t="s">
        <v>720</v>
      </c>
      <c r="G7" s="7" t="s">
        <v>195</v>
      </c>
      <c r="H7" s="7" t="s">
        <v>195</v>
      </c>
      <c r="I7" s="7" t="s">
        <v>195</v>
      </c>
      <c r="J7" s="7" t="s">
        <v>195</v>
      </c>
      <c r="K7" s="7" t="s">
        <v>195</v>
      </c>
      <c r="L7" s="7" t="s">
        <v>195</v>
      </c>
      <c r="M7" s="7" t="s">
        <v>29</v>
      </c>
      <c r="N7" s="7" t="s">
        <v>29</v>
      </c>
      <c r="O7" s="7" t="s">
        <v>29</v>
      </c>
      <c r="P7" s="7" t="s">
        <v>29</v>
      </c>
      <c r="Q7" s="7" t="s">
        <v>29</v>
      </c>
      <c r="R7" s="7" t="s">
        <v>29</v>
      </c>
      <c r="S7" s="7" t="s">
        <v>29</v>
      </c>
    </row>
    <row r="8" spans="1:19">
      <c r="A8" s="7" t="s">
        <v>672</v>
      </c>
      <c r="B8" s="7" t="s">
        <v>1218</v>
      </c>
      <c r="C8" s="8">
        <v>30</v>
      </c>
      <c r="D8" s="6" t="str">
        <f>LRTRIM(CONCATENATE(IF(SUMPRODUCT(-- ISNUMBER(SEARCH({"Auto Number"}, $B8))) &gt; 0, $B8, IF(SUMPRODUCT(-- ISNUMBER(SEARCH({"Lookup","Master-Detail"}, $B8))) &gt; 0,$B8 &amp; "(" &amp; $E8 &amp; ")",IF(SUMPRODUCT(-- ISNUMBER(SEARCH({"Formula","Roll-Up Summary"}, $B8))) &gt; 0,$B8 &amp; " (" &amp; $E8 &amp; ")",IF(SUMPRODUCT(-- ISNUMBER(SEARCH({"Content","Currency","Number","Percent","Text","URL"}, $B8))) &gt; 0,$B8 &amp; "(" &amp; $C8 &amp; ")",$B8)))), "  ", TRIM(IF($S8 = "YES", "(External ID)", "") &amp; " " &amp; IF(SUMPRODUCT(-- ISNUMBER(SEARCH({"Unique","Unique Case Insensitive"}, $R8))) &gt; 0, "(" &amp; $R8 &amp; ")", ""))))</f>
        <v>Text(30)</v>
      </c>
      <c r="E8" s="7" t="s">
        <v>195</v>
      </c>
      <c r="F8" s="7" t="s">
        <v>721</v>
      </c>
      <c r="G8" s="7" t="s">
        <v>195</v>
      </c>
      <c r="H8" s="7" t="s">
        <v>195</v>
      </c>
      <c r="I8" s="7" t="s">
        <v>195</v>
      </c>
      <c r="J8" s="7" t="s">
        <v>195</v>
      </c>
      <c r="K8" s="7" t="s">
        <v>195</v>
      </c>
      <c r="L8" s="7" t="s">
        <v>195</v>
      </c>
      <c r="M8" s="7" t="s">
        <v>29</v>
      </c>
      <c r="N8" s="7" t="s">
        <v>29</v>
      </c>
      <c r="O8" s="7" t="s">
        <v>29</v>
      </c>
      <c r="P8" s="7" t="s">
        <v>29</v>
      </c>
      <c r="Q8" s="7" t="s">
        <v>29</v>
      </c>
      <c r="R8" s="7" t="s">
        <v>29</v>
      </c>
      <c r="S8" s="7" t="s">
        <v>29</v>
      </c>
    </row>
    <row r="9" spans="1:19">
      <c r="A9" s="7" t="s">
        <v>9</v>
      </c>
      <c r="B9" s="7" t="s">
        <v>1218</v>
      </c>
      <c r="C9" s="8">
        <v>50</v>
      </c>
      <c r="D9" s="6" t="str">
        <f>LRTRIM(CONCATENATE(IF(SUMPRODUCT(-- ISNUMBER(SEARCH({"Auto Number"}, $B9))) &gt; 0, $B9, IF(SUMPRODUCT(-- ISNUMBER(SEARCH({"Lookup","Master-Detail"}, $B9))) &gt; 0,$B9 &amp; "(" &amp; $E9 &amp; ")",IF(SUMPRODUCT(-- ISNUMBER(SEARCH({"Formula","Roll-Up Summary"}, $B9))) &gt; 0,$B9 &amp; " (" &amp; $E9 &amp; ")",IF(SUMPRODUCT(-- ISNUMBER(SEARCH({"Content","Currency","Number","Percent","Text","URL"}, $B9))) &gt; 0,$B9 &amp; "(" &amp; $C9 &amp; ")",$B9)))), "  ", TRIM(IF($S9 = "YES", "(External ID)", "") &amp; " " &amp; IF(SUMPRODUCT(-- ISNUMBER(SEARCH({"Unique","Unique Case Insensitive"}, $R9))) &gt; 0, "(" &amp; $R9 &amp; ")", ""))))</f>
        <v>Text(50)</v>
      </c>
      <c r="E9" s="7" t="s">
        <v>195</v>
      </c>
      <c r="F9" s="7" t="s">
        <v>554</v>
      </c>
      <c r="G9" s="7" t="s">
        <v>195</v>
      </c>
      <c r="H9" s="7" t="s">
        <v>195</v>
      </c>
      <c r="I9" s="7" t="s">
        <v>195</v>
      </c>
      <c r="J9" s="7" t="s">
        <v>195</v>
      </c>
      <c r="K9" s="7" t="s">
        <v>195</v>
      </c>
      <c r="L9" s="7" t="s">
        <v>195</v>
      </c>
      <c r="M9" s="7" t="s">
        <v>29</v>
      </c>
      <c r="N9" s="7" t="s">
        <v>29</v>
      </c>
      <c r="O9" s="7" t="s">
        <v>29</v>
      </c>
      <c r="P9" s="7" t="s">
        <v>29</v>
      </c>
      <c r="Q9" s="7" t="s">
        <v>29</v>
      </c>
      <c r="R9" s="7" t="s">
        <v>29</v>
      </c>
      <c r="S9" s="7" t="s">
        <v>29</v>
      </c>
    </row>
    <row r="10" spans="1:19">
      <c r="A10" s="7" t="s">
        <v>217</v>
      </c>
      <c r="B10" s="7" t="s">
        <v>1211</v>
      </c>
      <c r="C10" s="8">
        <v>18</v>
      </c>
      <c r="D10" s="6" t="str">
        <f>LRTRIM(CONCATENATE(IF(SUMPRODUCT(-- ISNUMBER(SEARCH({"Auto Number"}, $B10))) &gt; 0, $B10, IF(SUMPRODUCT(-- ISNUMBER(SEARCH({"Lookup","Master-Detail"}, $B10))) &gt; 0,$B10 &amp; "(" &amp; $E10 &amp; ")",IF(SUMPRODUCT(-- ISNUMBER(SEARCH({"Formula","Roll-Up Summary"}, $B10))) &gt; 0,$B10 &amp; " (" &amp; $E10 &amp; ")",IF(SUMPRODUCT(-- ISNUMBER(SEARCH({"Content","Currency","Number","Percent","Text","URL"}, $B10))) &gt; 0,$B10 &amp; "(" &amp; $C10 &amp; ")",$B10)))), "  ", TRIM(IF($S10 = "YES", "(External ID)", "") &amp; " " &amp; IF(SUMPRODUCT(-- ISNUMBER(SEARCH({"Unique","Unique Case Insensitive"}, $R10))) &gt; 0, "(" &amp; $R10 &amp; ")", ""))))</f>
        <v>Lookup(Broker Consultant Account)</v>
      </c>
      <c r="E10" s="7" t="s">
        <v>122</v>
      </c>
      <c r="F10" s="7" t="s">
        <v>220</v>
      </c>
      <c r="G10" s="7" t="s">
        <v>195</v>
      </c>
      <c r="H10" s="7" t="s">
        <v>195</v>
      </c>
      <c r="I10" s="7" t="s">
        <v>195</v>
      </c>
      <c r="J10" s="7" t="s">
        <v>195</v>
      </c>
      <c r="K10" s="7" t="s">
        <v>195</v>
      </c>
      <c r="L10" s="7" t="s">
        <v>195</v>
      </c>
      <c r="M10" s="7" t="s">
        <v>29</v>
      </c>
      <c r="N10" s="7" t="s">
        <v>29</v>
      </c>
      <c r="O10" s="7" t="s">
        <v>29</v>
      </c>
      <c r="P10" s="7" t="s">
        <v>29</v>
      </c>
      <c r="Q10" s="7" t="s">
        <v>29</v>
      </c>
      <c r="R10" s="7" t="s">
        <v>29</v>
      </c>
      <c r="S10" s="7" t="s">
        <v>29</v>
      </c>
    </row>
    <row r="11" spans="1:19">
      <c r="A11" s="7" t="s">
        <v>673</v>
      </c>
      <c r="B11" s="7" t="s">
        <v>1211</v>
      </c>
      <c r="C11" s="8">
        <v>18</v>
      </c>
      <c r="D11" s="6" t="str">
        <f>LRTRIM(CONCATENATE(IF(SUMPRODUCT(-- ISNUMBER(SEARCH({"Auto Number"}, $B11))) &gt; 0, $B11, IF(SUMPRODUCT(-- ISNUMBER(SEARCH({"Lookup","Master-Detail"}, $B11))) &gt; 0,$B11 &amp; "(" &amp; $E11 &amp; ")",IF(SUMPRODUCT(-- ISNUMBER(SEARCH({"Formula","Roll-Up Summary"}, $B11))) &gt; 0,$B11 &amp; " (" &amp; $E11 &amp; ")",IF(SUMPRODUCT(-- ISNUMBER(SEARCH({"Content","Currency","Number","Percent","Text","URL"}, $B11))) &gt; 0,$B11 &amp; "(" &amp; $C11 &amp; ")",$B11)))), "  ", TRIM(IF($S11 = "YES", "(External ID)", "") &amp; " " &amp; IF(SUMPRODUCT(-- ISNUMBER(SEARCH({"Unique","Unique Case Insensitive"}, $R11))) &gt; 0, "(" &amp; $R11 &amp; ")", ""))))</f>
        <v>Lookup(Region)</v>
      </c>
      <c r="E11" s="7" t="s">
        <v>148</v>
      </c>
      <c r="F11" s="7" t="s">
        <v>722</v>
      </c>
      <c r="G11" s="7" t="s">
        <v>195</v>
      </c>
      <c r="H11" s="7" t="s">
        <v>195</v>
      </c>
      <c r="I11" s="7" t="s">
        <v>195</v>
      </c>
      <c r="J11" s="7" t="s">
        <v>195</v>
      </c>
      <c r="K11" s="7" t="s">
        <v>195</v>
      </c>
      <c r="L11" s="7" t="s">
        <v>195</v>
      </c>
      <c r="M11" s="7" t="s">
        <v>29</v>
      </c>
      <c r="N11" s="7" t="s">
        <v>29</v>
      </c>
      <c r="O11" s="7" t="s">
        <v>29</v>
      </c>
      <c r="P11" s="7" t="s">
        <v>29</v>
      </c>
      <c r="Q11" s="7" t="s">
        <v>29</v>
      </c>
      <c r="R11" s="7" t="s">
        <v>29</v>
      </c>
      <c r="S11" s="7" t="s">
        <v>29</v>
      </c>
    </row>
    <row r="12" spans="1:19">
      <c r="A12" s="7" t="s">
        <v>674</v>
      </c>
      <c r="B12" s="7" t="s">
        <v>1211</v>
      </c>
      <c r="C12" s="8">
        <v>18</v>
      </c>
      <c r="D12" s="6" t="str">
        <f>LRTRIM(CONCATENATE(IF(SUMPRODUCT(-- ISNUMBER(SEARCH({"Auto Number"}, $B12))) &gt; 0, $B12, IF(SUMPRODUCT(-- ISNUMBER(SEARCH({"Lookup","Master-Detail"}, $B12))) &gt; 0,$B12 &amp; "(" &amp; $E12 &amp; ")",IF(SUMPRODUCT(-- ISNUMBER(SEARCH({"Formula","Roll-Up Summary"}, $B12))) &gt; 0,$B12 &amp; " (" &amp; $E12 &amp; ")",IF(SUMPRODUCT(-- ISNUMBER(SEARCH({"Content","Currency","Number","Percent","Text","URL"}, $B12))) &gt; 0,$B12 &amp; "(" &amp; $C12 &amp; ")",$B12)))), "  ", TRIM(IF($S12 = "YES", "(External ID)", "") &amp; " " &amp; IF(SUMPRODUCT(-- ISNUMBER(SEARCH({"Unique","Unique Case Insensitive"}, $R12))) &gt; 0, "(" &amp; $R12 &amp; ")", ""))))</f>
        <v>Lookup(User)</v>
      </c>
      <c r="E12" s="7" t="s">
        <v>7</v>
      </c>
      <c r="F12" s="7" t="s">
        <v>126</v>
      </c>
      <c r="G12" s="7" t="s">
        <v>195</v>
      </c>
      <c r="H12" s="7" t="s">
        <v>195</v>
      </c>
      <c r="I12" s="7" t="s">
        <v>195</v>
      </c>
      <c r="J12" s="7" t="s">
        <v>195</v>
      </c>
      <c r="K12" s="7" t="s">
        <v>195</v>
      </c>
      <c r="L12" s="7" t="s">
        <v>195</v>
      </c>
      <c r="M12" s="7" t="s">
        <v>29</v>
      </c>
      <c r="N12" s="7" t="s">
        <v>29</v>
      </c>
      <c r="O12" s="7" t="s">
        <v>29</v>
      </c>
      <c r="P12" s="7" t="s">
        <v>29</v>
      </c>
      <c r="Q12" s="7" t="s">
        <v>29</v>
      </c>
      <c r="R12" s="7" t="s">
        <v>29</v>
      </c>
      <c r="S12" s="7" t="s">
        <v>29</v>
      </c>
    </row>
    <row r="13" spans="1:19">
      <c r="A13" s="7" t="s">
        <v>675</v>
      </c>
      <c r="B13" s="7" t="s">
        <v>1209</v>
      </c>
      <c r="C13" s="8">
        <v>1300</v>
      </c>
      <c r="D13" s="6" t="str">
        <f>LRTRIM(CONCATENATE(IF(SUMPRODUCT(-- ISNUMBER(SEARCH({"Auto Number"}, $B13))) &gt; 0, $B13, IF(SUMPRODUCT(-- ISNUMBER(SEARCH({"Lookup","Master-Detail"}, $B13))) &gt; 0,$B13 &amp; "(" &amp; $E13 &amp; ")",IF(SUMPRODUCT(-- ISNUMBER(SEARCH({"Formula","Roll-Up Summary"}, $B13))) &gt; 0,$B13 &amp; " (" &amp; $E13 &amp; ")",IF(SUMPRODUCT(-- ISNUMBER(SEARCH({"Content","Currency","Number","Percent","Text","URL"}, $B13))) &gt; 0,$B13 &amp; "(" &amp; $C13 &amp; ")",$B13)))), "  ", TRIM(IF($S13 = "YES", "(External ID)", "") &amp; " " &amp; IF(SUMPRODUCT(-- ISNUMBER(SEARCH({"Unique","Unique Case Insensitive"}, $R13))) &gt; 0, "(" &amp; $R13 &amp; ")", ""))))</f>
        <v>Formula (Text)</v>
      </c>
      <c r="E13" s="7" t="s">
        <v>1218</v>
      </c>
      <c r="F13" s="7" t="s">
        <v>723</v>
      </c>
      <c r="G13" s="7" t="s">
        <v>195</v>
      </c>
      <c r="H13" s="7" t="s">
        <v>195</v>
      </c>
      <c r="I13" s="7" t="s">
        <v>195</v>
      </c>
      <c r="J13" s="7" t="s">
        <v>195</v>
      </c>
      <c r="K13" s="7" t="s">
        <v>195</v>
      </c>
      <c r="L13" s="7" t="s">
        <v>195</v>
      </c>
      <c r="M13" s="7" t="s">
        <v>29</v>
      </c>
      <c r="N13" s="7" t="s">
        <v>29</v>
      </c>
      <c r="O13" s="7" t="s">
        <v>29</v>
      </c>
      <c r="P13" s="7" t="s">
        <v>29</v>
      </c>
      <c r="Q13" s="7" t="s">
        <v>29</v>
      </c>
      <c r="R13" s="7" t="s">
        <v>29</v>
      </c>
      <c r="S13" s="7" t="s">
        <v>29</v>
      </c>
    </row>
    <row r="14" spans="1:19">
      <c r="A14" s="7" t="s">
        <v>676</v>
      </c>
      <c r="B14" s="7" t="s">
        <v>1206</v>
      </c>
      <c r="C14" s="8" t="s">
        <v>1289</v>
      </c>
      <c r="D14" s="6" t="str">
        <f>LRTRIM(CONCATENATE(IF(SUMPRODUCT(-- ISNUMBER(SEARCH({"Auto Number"}, $B14))) &gt; 0, $B14, IF(SUMPRODUCT(-- ISNUMBER(SEARCH({"Lookup","Master-Detail"}, $B14))) &gt; 0,$B14 &amp; "(" &amp; $E14 &amp; ")",IF(SUMPRODUCT(-- ISNUMBER(SEARCH({"Formula","Roll-Up Summary"}, $B14))) &gt; 0,$B14 &amp; " (" &amp; $E14 &amp; ")",IF(SUMPRODUCT(-- ISNUMBER(SEARCH({"Content","Currency","Number","Percent","Text","URL"}, $B14))) &gt; 0,$B14 &amp; "(" &amp; $C14 &amp; ")",$B14)))), "  ", TRIM(IF($S14 = "YES", "(External ID)", "") &amp; " " &amp; IF(SUMPRODUCT(-- ISNUMBER(SEARCH({"Unique","Unique Case Insensitive"}, $R14))) &gt; 0, "(" &amp; $R14 &amp; ")", ""))))</f>
        <v>Currency(16, 2)</v>
      </c>
      <c r="E14" s="7" t="s">
        <v>195</v>
      </c>
      <c r="F14" s="7" t="s">
        <v>724</v>
      </c>
      <c r="G14" s="7" t="s">
        <v>195</v>
      </c>
      <c r="H14" s="7" t="s">
        <v>195</v>
      </c>
      <c r="I14" s="7" t="s">
        <v>195</v>
      </c>
      <c r="J14" s="7" t="s">
        <v>195</v>
      </c>
      <c r="K14" s="7" t="s">
        <v>195</v>
      </c>
      <c r="L14" s="7" t="s">
        <v>195</v>
      </c>
      <c r="M14" s="7" t="s">
        <v>29</v>
      </c>
      <c r="N14" s="7" t="s">
        <v>29</v>
      </c>
      <c r="O14" s="7" t="s">
        <v>29</v>
      </c>
      <c r="P14" s="7" t="s">
        <v>29</v>
      </c>
      <c r="Q14" s="7" t="s">
        <v>29</v>
      </c>
      <c r="R14" s="7" t="s">
        <v>29</v>
      </c>
      <c r="S14" s="7" t="s">
        <v>29</v>
      </c>
    </row>
    <row r="15" spans="1:19">
      <c r="A15" s="7" t="s">
        <v>1623</v>
      </c>
      <c r="B15" s="7" t="s">
        <v>1209</v>
      </c>
      <c r="C15" s="8" t="s">
        <v>195</v>
      </c>
      <c r="D15" s="6" t="str">
        <f>LRTRIM(CONCATENATE(IF(SUMPRODUCT(-- ISNUMBER(SEARCH({"Auto Number"}, $B15))) &gt; 0, $B15, IF(SUMPRODUCT(-- ISNUMBER(SEARCH({"Lookup","Master-Detail"}, $B15))) &gt; 0,$B15 &amp; "(" &amp; $E15 &amp; ")",IF(SUMPRODUCT(-- ISNUMBER(SEARCH({"Formula","Roll-Up Summary"}, $B15))) &gt; 0,$B15 &amp; " (" &amp; $E15 &amp; ")",IF(SUMPRODUCT(-- ISNUMBER(SEARCH({"Content","Currency","Number","Percent","Text","URL"}, $B15))) &gt; 0,$B15 &amp; "(" &amp; $C15 &amp; ")",$B15)))), "  ", TRIM(IF($S15 = "YES", "(External ID)", "") &amp; " " &amp; IF(SUMPRODUCT(-- ISNUMBER(SEARCH({"Unique","Unique Case Insensitive"}, $R15))) &gt; 0, "(" &amp; $R15 &amp; ")", ""))))</f>
        <v>Formula (Number)</v>
      </c>
      <c r="E15" s="7" t="s">
        <v>1213</v>
      </c>
      <c r="F15" s="7" t="s">
        <v>1651</v>
      </c>
      <c r="G15" s="7" t="s">
        <v>195</v>
      </c>
      <c r="H15" s="7" t="s">
        <v>195</v>
      </c>
      <c r="I15" s="7" t="s">
        <v>195</v>
      </c>
      <c r="J15" s="7" t="s">
        <v>195</v>
      </c>
      <c r="K15" s="7" t="s">
        <v>195</v>
      </c>
      <c r="L15" s="7" t="s">
        <v>195</v>
      </c>
      <c r="M15" s="7" t="s">
        <v>29</v>
      </c>
      <c r="N15" s="7" t="s">
        <v>29</v>
      </c>
      <c r="O15" s="7" t="s">
        <v>29</v>
      </c>
      <c r="P15" s="7" t="s">
        <v>29</v>
      </c>
      <c r="Q15" s="7" t="s">
        <v>29</v>
      </c>
      <c r="R15" s="7" t="s">
        <v>29</v>
      </c>
      <c r="S15" s="7" t="s">
        <v>29</v>
      </c>
    </row>
    <row r="16" spans="1:19">
      <c r="A16" s="7" t="s">
        <v>1624</v>
      </c>
      <c r="B16" s="7" t="s">
        <v>1209</v>
      </c>
      <c r="C16" s="8" t="s">
        <v>195</v>
      </c>
      <c r="D16" s="6" t="str">
        <f>LRTRIM(CONCATENATE(IF(SUMPRODUCT(-- ISNUMBER(SEARCH({"Auto Number"}, $B16))) &gt; 0, $B16, IF(SUMPRODUCT(-- ISNUMBER(SEARCH({"Lookup","Master-Detail"}, $B16))) &gt; 0,$B16 &amp; "(" &amp; $E16 &amp; ")",IF(SUMPRODUCT(-- ISNUMBER(SEARCH({"Formula","Roll-Up Summary"}, $B16))) &gt; 0,$B16 &amp; " (" &amp; $E16 &amp; ")",IF(SUMPRODUCT(-- ISNUMBER(SEARCH({"Content","Currency","Number","Percent","Text","URL"}, $B16))) &gt; 0,$B16 &amp; "(" &amp; $C16 &amp; ")",$B16)))), "  ", TRIM(IF($S16 = "YES", "(External ID)", "") &amp; " " &amp; IF(SUMPRODUCT(-- ISNUMBER(SEARCH({"Unique","Unique Case Insensitive"}, $R16))) &gt; 0, "(" &amp; $R16 &amp; ")", ""))))</f>
        <v>Formula (Number)</v>
      </c>
      <c r="E16" s="7" t="s">
        <v>1213</v>
      </c>
      <c r="F16" s="7" t="s">
        <v>1652</v>
      </c>
      <c r="G16" s="7" t="s">
        <v>195</v>
      </c>
      <c r="H16" s="7" t="s">
        <v>195</v>
      </c>
      <c r="I16" s="7" t="s">
        <v>195</v>
      </c>
      <c r="J16" s="7" t="s">
        <v>195</v>
      </c>
      <c r="K16" s="7" t="s">
        <v>195</v>
      </c>
      <c r="L16" s="7" t="s">
        <v>195</v>
      </c>
      <c r="M16" s="7" t="s">
        <v>29</v>
      </c>
      <c r="N16" s="7" t="s">
        <v>29</v>
      </c>
      <c r="O16" s="7" t="s">
        <v>29</v>
      </c>
      <c r="P16" s="7" t="s">
        <v>29</v>
      </c>
      <c r="Q16" s="7" t="s">
        <v>29</v>
      </c>
      <c r="R16" s="7" t="s">
        <v>29</v>
      </c>
      <c r="S16" s="7" t="s">
        <v>29</v>
      </c>
    </row>
    <row r="17" spans="1:19">
      <c r="A17" s="7" t="s">
        <v>677</v>
      </c>
      <c r="B17" s="7" t="s">
        <v>1213</v>
      </c>
      <c r="C17" s="8" t="s">
        <v>1615</v>
      </c>
      <c r="D17" s="6" t="str">
        <f>LRTRIM(CONCATENATE(IF(SUMPRODUCT(-- ISNUMBER(SEARCH({"Auto Number"}, $B17))) &gt; 0, $B17, IF(SUMPRODUCT(-- ISNUMBER(SEARCH({"Lookup","Master-Detail"}, $B17))) &gt; 0,$B17 &amp; "(" &amp; $E17 &amp; ")",IF(SUMPRODUCT(-- ISNUMBER(SEARCH({"Formula","Roll-Up Summary"}, $B17))) &gt; 0,$B17 &amp; " (" &amp; $E17 &amp; ")",IF(SUMPRODUCT(-- ISNUMBER(SEARCH({"Content","Currency","Number","Percent","Text","URL"}, $B17))) &gt; 0,$B17 &amp; "(" &amp; $C17 &amp; ")",$B17)))), "  ", TRIM(IF($S17 = "YES", "(External ID)", "") &amp; " " &amp; IF(SUMPRODUCT(-- ISNUMBER(SEARCH({"Unique","Unique Case Insensitive"}, $R17))) &gt; 0, "(" &amp; $R17 &amp; ")", ""))))</f>
        <v>Number(1, 0)</v>
      </c>
      <c r="E17" s="7" t="s">
        <v>195</v>
      </c>
      <c r="F17" s="7" t="s">
        <v>725</v>
      </c>
      <c r="G17" s="7" t="s">
        <v>195</v>
      </c>
      <c r="H17" s="7" t="s">
        <v>195</v>
      </c>
      <c r="I17" s="7" t="s">
        <v>195</v>
      </c>
      <c r="J17" s="7" t="s">
        <v>195</v>
      </c>
      <c r="K17" s="7" t="s">
        <v>195</v>
      </c>
      <c r="L17" s="7" t="s">
        <v>195</v>
      </c>
      <c r="M17" s="7" t="s">
        <v>29</v>
      </c>
      <c r="N17" s="7" t="s">
        <v>29</v>
      </c>
      <c r="O17" s="7" t="s">
        <v>29</v>
      </c>
      <c r="P17" s="7" t="s">
        <v>29</v>
      </c>
      <c r="Q17" s="7" t="s">
        <v>29</v>
      </c>
      <c r="R17" s="7" t="s">
        <v>29</v>
      </c>
      <c r="S17" s="7" t="s">
        <v>29</v>
      </c>
    </row>
    <row r="18" spans="1:19">
      <c r="A18" s="7" t="s">
        <v>1625</v>
      </c>
      <c r="B18" s="7" t="s">
        <v>1209</v>
      </c>
      <c r="C18" s="8" t="s">
        <v>195</v>
      </c>
      <c r="D18" s="6" t="str">
        <f>LRTRIM(CONCATENATE(IF(SUMPRODUCT(-- ISNUMBER(SEARCH({"Auto Number"}, $B18))) &gt; 0, $B18, IF(SUMPRODUCT(-- ISNUMBER(SEARCH({"Lookup","Master-Detail"}, $B18))) &gt; 0,$B18 &amp; "(" &amp; $E18 &amp; ")",IF(SUMPRODUCT(-- ISNUMBER(SEARCH({"Formula","Roll-Up Summary"}, $B18))) &gt; 0,$B18 &amp; " (" &amp; $E18 &amp; ")",IF(SUMPRODUCT(-- ISNUMBER(SEARCH({"Content","Currency","Number","Percent","Text","URL"}, $B18))) &gt; 0,$B18 &amp; "(" &amp; $C18 &amp; ")",$B18)))), "  ", TRIM(IF($S18 = "YES", "(External ID)", "") &amp; " " &amp; IF(SUMPRODUCT(-- ISNUMBER(SEARCH({"Unique","Unique Case Insensitive"}, $R18))) &gt; 0, "(" &amp; $R18 &amp; ")", ""))))</f>
        <v>Formula (Number)</v>
      </c>
      <c r="E18" s="7" t="s">
        <v>1213</v>
      </c>
      <c r="F18" s="7" t="s">
        <v>1653</v>
      </c>
      <c r="G18" s="7" t="s">
        <v>195</v>
      </c>
      <c r="H18" s="7" t="s">
        <v>195</v>
      </c>
      <c r="I18" s="7" t="s">
        <v>195</v>
      </c>
      <c r="J18" s="7" t="s">
        <v>195</v>
      </c>
      <c r="K18" s="7" t="s">
        <v>195</v>
      </c>
      <c r="L18" s="7" t="s">
        <v>195</v>
      </c>
      <c r="M18" s="7" t="s">
        <v>29</v>
      </c>
      <c r="N18" s="7" t="s">
        <v>29</v>
      </c>
      <c r="O18" s="7" t="s">
        <v>29</v>
      </c>
      <c r="P18" s="7" t="s">
        <v>29</v>
      </c>
      <c r="Q18" s="7" t="s">
        <v>29</v>
      </c>
      <c r="R18" s="7" t="s">
        <v>29</v>
      </c>
      <c r="S18" s="7" t="s">
        <v>29</v>
      </c>
    </row>
    <row r="19" spans="1:19">
      <c r="A19" s="7" t="s">
        <v>1626</v>
      </c>
      <c r="B19" s="7" t="s">
        <v>1209</v>
      </c>
      <c r="C19" s="8" t="s">
        <v>195</v>
      </c>
      <c r="D19" s="6" t="str">
        <f>LRTRIM(CONCATENATE(IF(SUMPRODUCT(-- ISNUMBER(SEARCH({"Auto Number"}, $B19))) &gt; 0, $B19, IF(SUMPRODUCT(-- ISNUMBER(SEARCH({"Lookup","Master-Detail"}, $B19))) &gt; 0,$B19 &amp; "(" &amp; $E19 &amp; ")",IF(SUMPRODUCT(-- ISNUMBER(SEARCH({"Formula","Roll-Up Summary"}, $B19))) &gt; 0,$B19 &amp; " (" &amp; $E19 &amp; ")",IF(SUMPRODUCT(-- ISNUMBER(SEARCH({"Content","Currency","Number","Percent","Text","URL"}, $B19))) &gt; 0,$B19 &amp; "(" &amp; $C19 &amp; ")",$B19)))), "  ", TRIM(IF($S19 = "YES", "(External ID)", "") &amp; " " &amp; IF(SUMPRODUCT(-- ISNUMBER(SEARCH({"Unique","Unique Case Insensitive"}, $R19))) &gt; 0, "(" &amp; $R19 &amp; ")", ""))))</f>
        <v>Formula (Number)</v>
      </c>
      <c r="E19" s="7" t="s">
        <v>1213</v>
      </c>
      <c r="F19" s="7" t="s">
        <v>1654</v>
      </c>
      <c r="G19" s="7" t="s">
        <v>195</v>
      </c>
      <c r="H19" s="7" t="s">
        <v>195</v>
      </c>
      <c r="I19" s="7" t="s">
        <v>195</v>
      </c>
      <c r="J19" s="7" t="s">
        <v>195</v>
      </c>
      <c r="K19" s="7" t="s">
        <v>195</v>
      </c>
      <c r="L19" s="7" t="s">
        <v>195</v>
      </c>
      <c r="M19" s="7" t="s">
        <v>29</v>
      </c>
      <c r="N19" s="7" t="s">
        <v>29</v>
      </c>
      <c r="O19" s="7" t="s">
        <v>29</v>
      </c>
      <c r="P19" s="7" t="s">
        <v>29</v>
      </c>
      <c r="Q19" s="7" t="s">
        <v>29</v>
      </c>
      <c r="R19" s="7" t="s">
        <v>29</v>
      </c>
      <c r="S19" s="7" t="s">
        <v>29</v>
      </c>
    </row>
    <row r="20" spans="1:19">
      <c r="A20" s="7" t="s">
        <v>1627</v>
      </c>
      <c r="B20" s="7" t="s">
        <v>1209</v>
      </c>
      <c r="C20" s="8" t="s">
        <v>195</v>
      </c>
      <c r="D20" s="6" t="str">
        <f>LRTRIM(CONCATENATE(IF(SUMPRODUCT(-- ISNUMBER(SEARCH({"Auto Number"}, $B20))) &gt; 0, $B20, IF(SUMPRODUCT(-- ISNUMBER(SEARCH({"Lookup","Master-Detail"}, $B20))) &gt; 0,$B20 &amp; "(" &amp; $E20 &amp; ")",IF(SUMPRODUCT(-- ISNUMBER(SEARCH({"Formula","Roll-Up Summary"}, $B20))) &gt; 0,$B20 &amp; " (" &amp; $E20 &amp; ")",IF(SUMPRODUCT(-- ISNUMBER(SEARCH({"Content","Currency","Number","Percent","Text","URL"}, $B20))) &gt; 0,$B20 &amp; "(" &amp; $C20 &amp; ")",$B20)))), "  ", TRIM(IF($S20 = "YES", "(External ID)", "") &amp; " " &amp; IF(SUMPRODUCT(-- ISNUMBER(SEARCH({"Unique","Unique Case Insensitive"}, $R20))) &gt; 0, "(" &amp; $R20 &amp; ")", ""))))</f>
        <v>Formula (Number)</v>
      </c>
      <c r="E20" s="7" t="s">
        <v>1213</v>
      </c>
      <c r="F20" s="7" t="s">
        <v>1655</v>
      </c>
      <c r="G20" s="7" t="s">
        <v>195</v>
      </c>
      <c r="H20" s="7" t="s">
        <v>195</v>
      </c>
      <c r="I20" s="7" t="s">
        <v>195</v>
      </c>
      <c r="J20" s="7" t="s">
        <v>195</v>
      </c>
      <c r="K20" s="7" t="s">
        <v>195</v>
      </c>
      <c r="L20" s="7" t="s">
        <v>195</v>
      </c>
      <c r="M20" s="7" t="s">
        <v>29</v>
      </c>
      <c r="N20" s="7" t="s">
        <v>29</v>
      </c>
      <c r="O20" s="7" t="s">
        <v>29</v>
      </c>
      <c r="P20" s="7" t="s">
        <v>29</v>
      </c>
      <c r="Q20" s="7" t="s">
        <v>29</v>
      </c>
      <c r="R20" s="7" t="s">
        <v>29</v>
      </c>
      <c r="S20" s="7" t="s">
        <v>29</v>
      </c>
    </row>
    <row r="21" spans="1:19">
      <c r="A21" s="7" t="s">
        <v>1628</v>
      </c>
      <c r="B21" s="7" t="s">
        <v>1209</v>
      </c>
      <c r="C21" s="8" t="s">
        <v>195</v>
      </c>
      <c r="D21" s="6" t="str">
        <f>LRTRIM(CONCATENATE(IF(SUMPRODUCT(-- ISNUMBER(SEARCH({"Auto Number"}, $B21))) &gt; 0, $B21, IF(SUMPRODUCT(-- ISNUMBER(SEARCH({"Lookup","Master-Detail"}, $B21))) &gt; 0,$B21 &amp; "(" &amp; $E21 &amp; ")",IF(SUMPRODUCT(-- ISNUMBER(SEARCH({"Formula","Roll-Up Summary"}, $B21))) &gt; 0,$B21 &amp; " (" &amp; $E21 &amp; ")",IF(SUMPRODUCT(-- ISNUMBER(SEARCH({"Content","Currency","Number","Percent","Text","URL"}, $B21))) &gt; 0,$B21 &amp; "(" &amp; $C21 &amp; ")",$B21)))), "  ", TRIM(IF($S21 = "YES", "(External ID)", "") &amp; " " &amp; IF(SUMPRODUCT(-- ISNUMBER(SEARCH({"Unique","Unique Case Insensitive"}, $R21))) &gt; 0, "(" &amp; $R21 &amp; ")", ""))))</f>
        <v>Formula (Number)</v>
      </c>
      <c r="E21" s="7" t="s">
        <v>1213</v>
      </c>
      <c r="F21" s="7" t="s">
        <v>1656</v>
      </c>
      <c r="G21" s="7" t="s">
        <v>195</v>
      </c>
      <c r="H21" s="7" t="s">
        <v>195</v>
      </c>
      <c r="I21" s="7" t="s">
        <v>195</v>
      </c>
      <c r="J21" s="7" t="s">
        <v>195</v>
      </c>
      <c r="K21" s="7" t="s">
        <v>195</v>
      </c>
      <c r="L21" s="7" t="s">
        <v>195</v>
      </c>
      <c r="M21" s="7" t="s">
        <v>29</v>
      </c>
      <c r="N21" s="7" t="s">
        <v>29</v>
      </c>
      <c r="O21" s="7" t="s">
        <v>29</v>
      </c>
      <c r="P21" s="7" t="s">
        <v>29</v>
      </c>
      <c r="Q21" s="7" t="s">
        <v>29</v>
      </c>
      <c r="R21" s="7" t="s">
        <v>29</v>
      </c>
      <c r="S21" s="7" t="s">
        <v>29</v>
      </c>
    </row>
    <row r="22" spans="1:19">
      <c r="A22" s="7" t="s">
        <v>1629</v>
      </c>
      <c r="B22" s="7" t="s">
        <v>1209</v>
      </c>
      <c r="C22" s="8" t="s">
        <v>195</v>
      </c>
      <c r="D22" s="6" t="str">
        <f>LRTRIM(CONCATENATE(IF(SUMPRODUCT(-- ISNUMBER(SEARCH({"Auto Number"}, $B22))) &gt; 0, $B22, IF(SUMPRODUCT(-- ISNUMBER(SEARCH({"Lookup","Master-Detail"}, $B22))) &gt; 0,$B22 &amp; "(" &amp; $E22 &amp; ")",IF(SUMPRODUCT(-- ISNUMBER(SEARCH({"Formula","Roll-Up Summary"}, $B22))) &gt; 0,$B22 &amp; " (" &amp; $E22 &amp; ")",IF(SUMPRODUCT(-- ISNUMBER(SEARCH({"Content","Currency","Number","Percent","Text","URL"}, $B22))) &gt; 0,$B22 &amp; "(" &amp; $C22 &amp; ")",$B22)))), "  ", TRIM(IF($S22 = "YES", "(External ID)", "") &amp; " " &amp; IF(SUMPRODUCT(-- ISNUMBER(SEARCH({"Unique","Unique Case Insensitive"}, $R22))) &gt; 0, "(" &amp; $R22 &amp; ")", ""))))</f>
        <v>Formula (Number)</v>
      </c>
      <c r="E22" s="7" t="s">
        <v>1213</v>
      </c>
      <c r="F22" s="7" t="s">
        <v>1657</v>
      </c>
      <c r="G22" s="7" t="s">
        <v>195</v>
      </c>
      <c r="H22" s="7" t="s">
        <v>195</v>
      </c>
      <c r="I22" s="7" t="s">
        <v>195</v>
      </c>
      <c r="J22" s="7" t="s">
        <v>195</v>
      </c>
      <c r="K22" s="7" t="s">
        <v>195</v>
      </c>
      <c r="L22" s="7" t="s">
        <v>195</v>
      </c>
      <c r="M22" s="7" t="s">
        <v>29</v>
      </c>
      <c r="N22" s="7" t="s">
        <v>29</v>
      </c>
      <c r="O22" s="7" t="s">
        <v>29</v>
      </c>
      <c r="P22" s="7" t="s">
        <v>29</v>
      </c>
      <c r="Q22" s="7" t="s">
        <v>29</v>
      </c>
      <c r="R22" s="7" t="s">
        <v>29</v>
      </c>
      <c r="S22" s="7" t="s">
        <v>29</v>
      </c>
    </row>
    <row r="23" spans="1:19">
      <c r="A23" s="7" t="s">
        <v>1630</v>
      </c>
      <c r="B23" s="7" t="s">
        <v>1209</v>
      </c>
      <c r="C23" s="8" t="s">
        <v>195</v>
      </c>
      <c r="D23" s="6" t="str">
        <f>LRTRIM(CONCATENATE(IF(SUMPRODUCT(-- ISNUMBER(SEARCH({"Auto Number"}, $B23))) &gt; 0, $B23, IF(SUMPRODUCT(-- ISNUMBER(SEARCH({"Lookup","Master-Detail"}, $B23))) &gt; 0,$B23 &amp; "(" &amp; $E23 &amp; ")",IF(SUMPRODUCT(-- ISNUMBER(SEARCH({"Formula","Roll-Up Summary"}, $B23))) &gt; 0,$B23 &amp; " (" &amp; $E23 &amp; ")",IF(SUMPRODUCT(-- ISNUMBER(SEARCH({"Content","Currency","Number","Percent","Text","URL"}, $B23))) &gt; 0,$B23 &amp; "(" &amp; $C23 &amp; ")",$B23)))), "  ", TRIM(IF($S23 = "YES", "(External ID)", "") &amp; " " &amp; IF(SUMPRODUCT(-- ISNUMBER(SEARCH({"Unique","Unique Case Insensitive"}, $R23))) &gt; 0, "(" &amp; $R23 &amp; ")", ""))))</f>
        <v>Formula (Number)</v>
      </c>
      <c r="E23" s="7" t="s">
        <v>1213</v>
      </c>
      <c r="F23" s="7" t="s">
        <v>1658</v>
      </c>
      <c r="G23" s="7" t="s">
        <v>195</v>
      </c>
      <c r="H23" s="7" t="s">
        <v>195</v>
      </c>
      <c r="I23" s="7" t="s">
        <v>195</v>
      </c>
      <c r="J23" s="7" t="s">
        <v>195</v>
      </c>
      <c r="K23" s="7" t="s">
        <v>195</v>
      </c>
      <c r="L23" s="7" t="s">
        <v>195</v>
      </c>
      <c r="M23" s="7" t="s">
        <v>29</v>
      </c>
      <c r="N23" s="7" t="s">
        <v>29</v>
      </c>
      <c r="O23" s="7" t="s">
        <v>29</v>
      </c>
      <c r="P23" s="7" t="s">
        <v>29</v>
      </c>
      <c r="Q23" s="7" t="s">
        <v>29</v>
      </c>
      <c r="R23" s="7" t="s">
        <v>29</v>
      </c>
      <c r="S23" s="7" t="s">
        <v>29</v>
      </c>
    </row>
    <row r="24" spans="1:19">
      <c r="A24" s="7" t="s">
        <v>678</v>
      </c>
      <c r="B24" s="7" t="s">
        <v>1209</v>
      </c>
      <c r="C24" s="8">
        <v>1300</v>
      </c>
      <c r="D24" s="6" t="str">
        <f>LRTRIM(CONCATENATE(IF(SUMPRODUCT(-- ISNUMBER(SEARCH({"Auto Number"}, $B24))) &gt; 0, $B24, IF(SUMPRODUCT(-- ISNUMBER(SEARCH({"Lookup","Master-Detail"}, $B24))) &gt; 0,$B24 &amp; "(" &amp; $E24 &amp; ")",IF(SUMPRODUCT(-- ISNUMBER(SEARCH({"Formula","Roll-Up Summary"}, $B24))) &gt; 0,$B24 &amp; " (" &amp; $E24 &amp; ")",IF(SUMPRODUCT(-- ISNUMBER(SEARCH({"Content","Currency","Number","Percent","Text","URL"}, $B24))) &gt; 0,$B24 &amp; "(" &amp; $C24 &amp; ")",$B24)))), "  ", TRIM(IF($S24 = "YES", "(External ID)", "") &amp; " " &amp; IF(SUMPRODUCT(-- ISNUMBER(SEARCH({"Unique","Unique Case Insensitive"}, $R24))) &gt; 0, "(" &amp; $R24 &amp; ")", ""))))</f>
        <v>Formula (Text)</v>
      </c>
      <c r="E24" s="7" t="s">
        <v>1218</v>
      </c>
      <c r="F24" s="7" t="s">
        <v>499</v>
      </c>
      <c r="G24" s="7" t="s">
        <v>195</v>
      </c>
      <c r="H24" s="7" t="s">
        <v>195</v>
      </c>
      <c r="I24" s="7" t="s">
        <v>195</v>
      </c>
      <c r="J24" s="7" t="s">
        <v>195</v>
      </c>
      <c r="K24" s="7" t="s">
        <v>195</v>
      </c>
      <c r="L24" s="7" t="s">
        <v>195</v>
      </c>
      <c r="M24" s="7" t="s">
        <v>29</v>
      </c>
      <c r="N24" s="7" t="s">
        <v>29</v>
      </c>
      <c r="O24" s="7" t="s">
        <v>29</v>
      </c>
      <c r="P24" s="7" t="s">
        <v>29</v>
      </c>
      <c r="Q24" s="7" t="s">
        <v>29</v>
      </c>
      <c r="R24" s="7" t="s">
        <v>29</v>
      </c>
      <c r="S24" s="7" t="s">
        <v>29</v>
      </c>
    </row>
    <row r="25" spans="1:19">
      <c r="A25" s="7" t="s">
        <v>103</v>
      </c>
      <c r="B25" s="7" t="s">
        <v>1211</v>
      </c>
      <c r="C25" s="8">
        <v>18</v>
      </c>
      <c r="D25" s="6" t="str">
        <f>LRTRIM(CONCATENATE(IF(SUMPRODUCT(-- ISNUMBER(SEARCH({"Auto Number"}, $B25))) &gt; 0, $B25, IF(SUMPRODUCT(-- ISNUMBER(SEARCH({"Lookup","Master-Detail"}, $B25))) &gt; 0,$B25 &amp; "(" &amp; $E25 &amp; ")",IF(SUMPRODUCT(-- ISNUMBER(SEARCH({"Formula","Roll-Up Summary"}, $B25))) &gt; 0,$B25 &amp; " (" &amp; $E25 &amp; ")",IF(SUMPRODUCT(-- ISNUMBER(SEARCH({"Content","Currency","Number","Percent","Text","URL"}, $B25))) &gt; 0,$B25 &amp; "(" &amp; $C25 &amp; ")",$B25)))), "  ", TRIM(IF($S25 = "YES", "(External ID)", "") &amp; " " &amp; IF(SUMPRODUCT(-- ISNUMBER(SEARCH({"Unique","Unique Case Insensitive"}, $R25))) &gt; 0, "(" &amp; $R25 &amp; ")", ""))))</f>
        <v>Lookup(Commission Agreement)</v>
      </c>
      <c r="E25" s="7" t="s">
        <v>202</v>
      </c>
      <c r="F25" s="7" t="s">
        <v>202</v>
      </c>
      <c r="G25" s="7" t="s">
        <v>195</v>
      </c>
      <c r="H25" s="7" t="s">
        <v>195</v>
      </c>
      <c r="I25" s="7" t="s">
        <v>195</v>
      </c>
      <c r="J25" s="7" t="s">
        <v>195</v>
      </c>
      <c r="K25" s="7" t="s">
        <v>195</v>
      </c>
      <c r="L25" s="7" t="s">
        <v>195</v>
      </c>
      <c r="M25" s="7" t="s">
        <v>29</v>
      </c>
      <c r="N25" s="7" t="s">
        <v>29</v>
      </c>
      <c r="O25" s="7" t="s">
        <v>29</v>
      </c>
      <c r="P25" s="7" t="s">
        <v>29</v>
      </c>
      <c r="Q25" s="7" t="s">
        <v>29</v>
      </c>
      <c r="R25" s="7" t="s">
        <v>29</v>
      </c>
      <c r="S25" s="7" t="s">
        <v>29</v>
      </c>
    </row>
    <row r="26" spans="1:19">
      <c r="A26" s="7" t="s">
        <v>679</v>
      </c>
      <c r="B26" s="7" t="s">
        <v>1218</v>
      </c>
      <c r="C26" s="8">
        <v>20</v>
      </c>
      <c r="D26" s="6" t="str">
        <f>LRTRIM(CONCATENATE(IF(SUMPRODUCT(-- ISNUMBER(SEARCH({"Auto Number"}, $B26))) &gt; 0, $B26, IF(SUMPRODUCT(-- ISNUMBER(SEARCH({"Lookup","Master-Detail"}, $B26))) &gt; 0,$B26 &amp; "(" &amp; $E26 &amp; ")",IF(SUMPRODUCT(-- ISNUMBER(SEARCH({"Formula","Roll-Up Summary"}, $B26))) &gt; 0,$B26 &amp; " (" &amp; $E26 &amp; ")",IF(SUMPRODUCT(-- ISNUMBER(SEARCH({"Content","Currency","Number","Percent","Text","URL"}, $B26))) &gt; 0,$B26 &amp; "(" &amp; $C26 &amp; ")",$B26)))), "  ", TRIM(IF($S26 = "YES", "(External ID)", "") &amp; " " &amp; IF(SUMPRODUCT(-- ISNUMBER(SEARCH({"Unique","Unique Case Insensitive"}, $R26))) &gt; 0, "(" &amp; $R26 &amp; ")", ""))))</f>
        <v>Text(20)</v>
      </c>
      <c r="E26" s="7" t="s">
        <v>195</v>
      </c>
      <c r="F26" s="7" t="s">
        <v>726</v>
      </c>
      <c r="G26" s="7" t="s">
        <v>195</v>
      </c>
      <c r="H26" s="7" t="s">
        <v>195</v>
      </c>
      <c r="I26" s="7" t="s">
        <v>195</v>
      </c>
      <c r="J26" s="7" t="s">
        <v>195</v>
      </c>
      <c r="K26" s="7" t="s">
        <v>195</v>
      </c>
      <c r="L26" s="7" t="s">
        <v>195</v>
      </c>
      <c r="M26" s="7" t="s">
        <v>29</v>
      </c>
      <c r="N26" s="7" t="s">
        <v>29</v>
      </c>
      <c r="O26" s="7" t="s">
        <v>29</v>
      </c>
      <c r="P26" s="7" t="s">
        <v>29</v>
      </c>
      <c r="Q26" s="7" t="s">
        <v>29</v>
      </c>
      <c r="R26" s="7" t="s">
        <v>29</v>
      </c>
      <c r="S26" s="7" t="s">
        <v>29</v>
      </c>
    </row>
    <row r="27" spans="1:19">
      <c r="A27" s="7" t="s">
        <v>11</v>
      </c>
      <c r="B27" s="7" t="s">
        <v>1218</v>
      </c>
      <c r="C27" s="8">
        <v>200</v>
      </c>
      <c r="D27" s="6" t="str">
        <f>LRTRIM(CONCATENATE(IF(SUMPRODUCT(-- ISNUMBER(SEARCH({"Auto Number"}, $B27))) &gt; 0, $B27, IF(SUMPRODUCT(-- ISNUMBER(SEARCH({"Lookup","Master-Detail"}, $B27))) &gt; 0,$B27 &amp; "(" &amp; $E27 &amp; ")",IF(SUMPRODUCT(-- ISNUMBER(SEARCH({"Formula","Roll-Up Summary"}, $B27))) &gt; 0,$B27 &amp; " (" &amp; $E27 &amp; ")",IF(SUMPRODUCT(-- ISNUMBER(SEARCH({"Content","Currency","Number","Percent","Text","URL"}, $B27))) &gt; 0,$B27 &amp; "(" &amp; $C27 &amp; ")",$B27)))), "  ", TRIM(IF($S27 = "YES", "(External ID)", "") &amp; " " &amp; IF(SUMPRODUCT(-- ISNUMBER(SEARCH({"Unique","Unique Case Insensitive"}, $R27))) &gt; 0, "(" &amp; $R27 &amp; ")", ""))))</f>
        <v>Text(200)</v>
      </c>
      <c r="E27" s="7" t="s">
        <v>195</v>
      </c>
      <c r="F27" s="7" t="s">
        <v>555</v>
      </c>
      <c r="G27" s="7" t="s">
        <v>195</v>
      </c>
      <c r="H27" s="7" t="s">
        <v>195</v>
      </c>
      <c r="I27" s="7" t="s">
        <v>195</v>
      </c>
      <c r="J27" s="7" t="s">
        <v>195</v>
      </c>
      <c r="K27" s="7" t="s">
        <v>195</v>
      </c>
      <c r="L27" s="7" t="s">
        <v>195</v>
      </c>
      <c r="M27" s="7" t="s">
        <v>29</v>
      </c>
      <c r="N27" s="7" t="s">
        <v>29</v>
      </c>
      <c r="O27" s="7" t="s">
        <v>29</v>
      </c>
      <c r="P27" s="7" t="s">
        <v>29</v>
      </c>
      <c r="Q27" s="7" t="s">
        <v>29</v>
      </c>
      <c r="R27" s="7" t="s">
        <v>29</v>
      </c>
      <c r="S27" s="7" t="s">
        <v>29</v>
      </c>
    </row>
    <row r="28" spans="1:19">
      <c r="A28" s="7" t="s">
        <v>680</v>
      </c>
      <c r="B28" s="7" t="s">
        <v>386</v>
      </c>
      <c r="C28" s="8">
        <v>0</v>
      </c>
      <c r="D28" s="6" t="str">
        <f>LRTRIM(CONCATENATE(IF(SUMPRODUCT(-- ISNUMBER(SEARCH({"Auto Number"}, $B28))) &gt; 0, $B28, IF(SUMPRODUCT(-- ISNUMBER(SEARCH({"Lookup","Master-Detail"}, $B28))) &gt; 0,$B28 &amp; "(" &amp; $E28 &amp; ")",IF(SUMPRODUCT(-- ISNUMBER(SEARCH({"Formula","Roll-Up Summary"}, $B28))) &gt; 0,$B28 &amp; " (" &amp; $E28 &amp; ")",IF(SUMPRODUCT(-- ISNUMBER(SEARCH({"Content","Currency","Number","Percent","Text","URL"}, $B28))) &gt; 0,$B28 &amp; "(" &amp; $C28 &amp; ")",$B28)))), "  ", TRIM(IF($S28 = "YES", "(External ID)", "") &amp; " " &amp; IF(SUMPRODUCT(-- ISNUMBER(SEARCH({"Unique","Unique Case Insensitive"}, $R28))) &gt; 0, "(" &amp; $R28 &amp; ")", ""))))</f>
        <v>Date</v>
      </c>
      <c r="E28" s="7" t="s">
        <v>195</v>
      </c>
      <c r="F28" s="7" t="s">
        <v>727</v>
      </c>
      <c r="G28" s="7" t="s">
        <v>195</v>
      </c>
      <c r="H28" s="7" t="s">
        <v>195</v>
      </c>
      <c r="I28" s="7" t="s">
        <v>195</v>
      </c>
      <c r="J28" s="7" t="s">
        <v>195</v>
      </c>
      <c r="K28" s="7" t="s">
        <v>195</v>
      </c>
      <c r="L28" s="7" t="s">
        <v>195</v>
      </c>
      <c r="M28" s="7" t="s">
        <v>29</v>
      </c>
      <c r="N28" s="7" t="s">
        <v>29</v>
      </c>
      <c r="O28" s="7" t="s">
        <v>29</v>
      </c>
      <c r="P28" s="7" t="s">
        <v>29</v>
      </c>
      <c r="Q28" s="7" t="s">
        <v>29</v>
      </c>
      <c r="R28" s="7" t="s">
        <v>29</v>
      </c>
      <c r="S28" s="7" t="s">
        <v>29</v>
      </c>
    </row>
    <row r="29" spans="1:19">
      <c r="A29" s="7" t="s">
        <v>13</v>
      </c>
      <c r="B29" s="7" t="s">
        <v>1218</v>
      </c>
      <c r="C29" s="8">
        <v>10</v>
      </c>
      <c r="D29" s="6" t="str">
        <f>LRTRIM(CONCATENATE(IF(SUMPRODUCT(-- ISNUMBER(SEARCH({"Auto Number"}, $B29))) &gt; 0, $B29, IF(SUMPRODUCT(-- ISNUMBER(SEARCH({"Lookup","Master-Detail"}, $B29))) &gt; 0,$B29 &amp; "(" &amp; $E29 &amp; ")",IF(SUMPRODUCT(-- ISNUMBER(SEARCH({"Formula","Roll-Up Summary"}, $B29))) &gt; 0,$B29 &amp; " (" &amp; $E29 &amp; ")",IF(SUMPRODUCT(-- ISNUMBER(SEARCH({"Content","Currency","Number","Percent","Text","URL"}, $B29))) &gt; 0,$B29 &amp; "(" &amp; $C29 &amp; ")",$B29)))), "  ", TRIM(IF($S29 = "YES", "(External ID)", "") &amp; " " &amp; IF(SUMPRODUCT(-- ISNUMBER(SEARCH({"Unique","Unique Case Insensitive"}, $R29))) &gt; 0, "(" &amp; $R29 &amp; ")", ""))))</f>
        <v>Text(10)</v>
      </c>
      <c r="E29" s="7" t="s">
        <v>195</v>
      </c>
      <c r="F29" s="7" t="s">
        <v>160</v>
      </c>
      <c r="G29" s="7" t="s">
        <v>160</v>
      </c>
      <c r="H29" s="7" t="s">
        <v>195</v>
      </c>
      <c r="I29" s="7" t="s">
        <v>195</v>
      </c>
      <c r="J29" s="7" t="s">
        <v>195</v>
      </c>
      <c r="K29" s="7" t="s">
        <v>195</v>
      </c>
      <c r="L29" s="7" t="s">
        <v>195</v>
      </c>
      <c r="M29" s="7" t="s">
        <v>29</v>
      </c>
      <c r="N29" s="7" t="s">
        <v>29</v>
      </c>
      <c r="O29" s="7" t="s">
        <v>29</v>
      </c>
      <c r="P29" s="7" t="s">
        <v>29</v>
      </c>
      <c r="Q29" s="7" t="s">
        <v>29</v>
      </c>
      <c r="R29" s="7" t="s">
        <v>29</v>
      </c>
      <c r="S29" s="7" t="s">
        <v>29</v>
      </c>
    </row>
    <row r="30" spans="1:19">
      <c r="A30" s="7" t="s">
        <v>1619</v>
      </c>
      <c r="B30" s="7" t="s">
        <v>1209</v>
      </c>
      <c r="C30" s="8" t="s">
        <v>195</v>
      </c>
      <c r="D30" s="6" t="str">
        <f>LRTRIM(CONCATENATE(IF(SUMPRODUCT(-- ISNUMBER(SEARCH({"Auto Number"}, $B30))) &gt; 0, $B30, IF(SUMPRODUCT(-- ISNUMBER(SEARCH({"Lookup","Master-Detail"}, $B30))) &gt; 0,$B30 &amp; "(" &amp; $E30 &amp; ")",IF(SUMPRODUCT(-- ISNUMBER(SEARCH({"Formula","Roll-Up Summary"}, $B30))) &gt; 0,$B30 &amp; " (" &amp; $E30 &amp; ")",IF(SUMPRODUCT(-- ISNUMBER(SEARCH({"Content","Currency","Number","Percent","Text","URL"}, $B30))) &gt; 0,$B30 &amp; "(" &amp; $C30 &amp; ")",$B30)))), "  ", TRIM(IF($S30 = "YES", "(External ID)", "") &amp; " " &amp; IF(SUMPRODUCT(-- ISNUMBER(SEARCH({"Unique","Unique Case Insensitive"}, $R30))) &gt; 0, "(" &amp; $R30 &amp; ")", ""))))</f>
        <v>Formula (Currency)</v>
      </c>
      <c r="E30" s="7" t="s">
        <v>1206</v>
      </c>
      <c r="F30" s="7" t="s">
        <v>1647</v>
      </c>
      <c r="G30" s="7" t="s">
        <v>195</v>
      </c>
      <c r="H30" s="7" t="s">
        <v>195</v>
      </c>
      <c r="I30" s="7" t="s">
        <v>195</v>
      </c>
      <c r="J30" s="7" t="s">
        <v>195</v>
      </c>
      <c r="K30" s="7" t="s">
        <v>195</v>
      </c>
      <c r="L30" s="7" t="s">
        <v>195</v>
      </c>
      <c r="M30" s="7" t="s">
        <v>29</v>
      </c>
      <c r="N30" s="7" t="s">
        <v>29</v>
      </c>
      <c r="O30" s="7" t="s">
        <v>29</v>
      </c>
      <c r="P30" s="7" t="s">
        <v>29</v>
      </c>
      <c r="Q30" s="7" t="s">
        <v>29</v>
      </c>
      <c r="R30" s="7" t="s">
        <v>29</v>
      </c>
      <c r="S30" s="7" t="s">
        <v>29</v>
      </c>
    </row>
    <row r="31" spans="1:19">
      <c r="A31" s="7" t="s">
        <v>1620</v>
      </c>
      <c r="B31" s="7" t="s">
        <v>1209</v>
      </c>
      <c r="C31" s="8" t="s">
        <v>195</v>
      </c>
      <c r="D31" s="6" t="str">
        <f>LRTRIM(CONCATENATE(IF(SUMPRODUCT(-- ISNUMBER(SEARCH({"Auto Number"}, $B31))) &gt; 0, $B31, IF(SUMPRODUCT(-- ISNUMBER(SEARCH({"Lookup","Master-Detail"}, $B31))) &gt; 0,$B31 &amp; "(" &amp; $E31 &amp; ")",IF(SUMPRODUCT(-- ISNUMBER(SEARCH({"Formula","Roll-Up Summary"}, $B31))) &gt; 0,$B31 &amp; " (" &amp; $E31 &amp; ")",IF(SUMPRODUCT(-- ISNUMBER(SEARCH({"Content","Currency","Number","Percent","Text","URL"}, $B31))) &gt; 0,$B31 &amp; "(" &amp; $C31 &amp; ")",$B31)))), "  ", TRIM(IF($S31 = "YES", "(External ID)", "") &amp; " " &amp; IF(SUMPRODUCT(-- ISNUMBER(SEARCH({"Unique","Unique Case Insensitive"}, $R31))) &gt; 0, "(" &amp; $R31 &amp; ")", ""))))</f>
        <v>Formula (Currency)</v>
      </c>
      <c r="E31" s="7" t="s">
        <v>1206</v>
      </c>
      <c r="F31" s="7" t="s">
        <v>1648</v>
      </c>
      <c r="G31" s="7" t="s">
        <v>195</v>
      </c>
      <c r="H31" s="7" t="s">
        <v>195</v>
      </c>
      <c r="I31" s="7" t="s">
        <v>195</v>
      </c>
      <c r="J31" s="7" t="s">
        <v>195</v>
      </c>
      <c r="K31" s="7" t="s">
        <v>195</v>
      </c>
      <c r="L31" s="7" t="s">
        <v>195</v>
      </c>
      <c r="M31" s="7" t="s">
        <v>29</v>
      </c>
      <c r="N31" s="7" t="s">
        <v>29</v>
      </c>
      <c r="O31" s="7" t="s">
        <v>29</v>
      </c>
      <c r="P31" s="7" t="s">
        <v>29</v>
      </c>
      <c r="Q31" s="7" t="s">
        <v>29</v>
      </c>
      <c r="R31" s="7" t="s">
        <v>29</v>
      </c>
      <c r="S31" s="7" t="s">
        <v>29</v>
      </c>
    </row>
    <row r="32" spans="1:19">
      <c r="A32" s="7" t="s">
        <v>1621</v>
      </c>
      <c r="B32" s="7" t="s">
        <v>1209</v>
      </c>
      <c r="C32" s="8" t="s">
        <v>195</v>
      </c>
      <c r="D32" s="6" t="str">
        <f>LRTRIM(CONCATENATE(IF(SUMPRODUCT(-- ISNUMBER(SEARCH({"Auto Number"}, $B32))) &gt; 0, $B32, IF(SUMPRODUCT(-- ISNUMBER(SEARCH({"Lookup","Master-Detail"}, $B32))) &gt; 0,$B32 &amp; "(" &amp; $E32 &amp; ")",IF(SUMPRODUCT(-- ISNUMBER(SEARCH({"Formula","Roll-Up Summary"}, $B32))) &gt; 0,$B32 &amp; " (" &amp; $E32 &amp; ")",IF(SUMPRODUCT(-- ISNUMBER(SEARCH({"Content","Currency","Number","Percent","Text","URL"}, $B32))) &gt; 0,$B32 &amp; "(" &amp; $C32 &amp; ")",$B32)))), "  ", TRIM(IF($S32 = "YES", "(External ID)", "") &amp; " " &amp; IF(SUMPRODUCT(-- ISNUMBER(SEARCH({"Unique","Unique Case Insensitive"}, $R32))) &gt; 0, "(" &amp; $R32 &amp; ")", ""))))</f>
        <v>Formula (Currency)</v>
      </c>
      <c r="E32" s="7" t="s">
        <v>1206</v>
      </c>
      <c r="F32" s="7" t="s">
        <v>1649</v>
      </c>
      <c r="G32" s="7" t="s">
        <v>195</v>
      </c>
      <c r="H32" s="7" t="s">
        <v>195</v>
      </c>
      <c r="I32" s="7" t="s">
        <v>195</v>
      </c>
      <c r="J32" s="7" t="s">
        <v>195</v>
      </c>
      <c r="K32" s="7" t="s">
        <v>195</v>
      </c>
      <c r="L32" s="7" t="s">
        <v>195</v>
      </c>
      <c r="M32" s="7" t="s">
        <v>29</v>
      </c>
      <c r="N32" s="7" t="s">
        <v>29</v>
      </c>
      <c r="O32" s="7" t="s">
        <v>29</v>
      </c>
      <c r="P32" s="7" t="s">
        <v>29</v>
      </c>
      <c r="Q32" s="7" t="s">
        <v>29</v>
      </c>
      <c r="R32" s="7" t="s">
        <v>29</v>
      </c>
      <c r="S32" s="7" t="s">
        <v>29</v>
      </c>
    </row>
    <row r="33" spans="1:19">
      <c r="A33" s="7" t="s">
        <v>1622</v>
      </c>
      <c r="B33" s="7" t="s">
        <v>1209</v>
      </c>
      <c r="C33" s="8" t="s">
        <v>195</v>
      </c>
      <c r="D33" s="6" t="str">
        <f>LRTRIM(CONCATENATE(IF(SUMPRODUCT(-- ISNUMBER(SEARCH({"Auto Number"}, $B33))) &gt; 0, $B33, IF(SUMPRODUCT(-- ISNUMBER(SEARCH({"Lookup","Master-Detail"}, $B33))) &gt; 0,$B33 &amp; "(" &amp; $E33 &amp; ")",IF(SUMPRODUCT(-- ISNUMBER(SEARCH({"Formula","Roll-Up Summary"}, $B33))) &gt; 0,$B33 &amp; " (" &amp; $E33 &amp; ")",IF(SUMPRODUCT(-- ISNUMBER(SEARCH({"Content","Currency","Number","Percent","Text","URL"}, $B33))) &gt; 0,$B33 &amp; "(" &amp; $C33 &amp; ")",$B33)))), "  ", TRIM(IF($S33 = "YES", "(External ID)", "") &amp; " " &amp; IF(SUMPRODUCT(-- ISNUMBER(SEARCH({"Unique","Unique Case Insensitive"}, $R33))) &gt; 0, "(" &amp; $R33 &amp; ")", ""))))</f>
        <v>Formula (Currency)</v>
      </c>
      <c r="E33" s="7" t="s">
        <v>1206</v>
      </c>
      <c r="F33" s="7" t="s">
        <v>1650</v>
      </c>
      <c r="G33" s="7" t="s">
        <v>195</v>
      </c>
      <c r="H33" s="7" t="s">
        <v>195</v>
      </c>
      <c r="I33" s="7" t="s">
        <v>195</v>
      </c>
      <c r="J33" s="7" t="s">
        <v>195</v>
      </c>
      <c r="K33" s="7" t="s">
        <v>195</v>
      </c>
      <c r="L33" s="7" t="s">
        <v>195</v>
      </c>
      <c r="M33" s="7" t="s">
        <v>29</v>
      </c>
      <c r="N33" s="7" t="s">
        <v>29</v>
      </c>
      <c r="O33" s="7" t="s">
        <v>29</v>
      </c>
      <c r="P33" s="7" t="s">
        <v>29</v>
      </c>
      <c r="Q33" s="7" t="s">
        <v>29</v>
      </c>
      <c r="R33" s="7" t="s">
        <v>29</v>
      </c>
      <c r="S33" s="7" t="s">
        <v>29</v>
      </c>
    </row>
    <row r="34" spans="1:19">
      <c r="A34" s="7" t="s">
        <v>1631</v>
      </c>
      <c r="B34" s="7" t="s">
        <v>1209</v>
      </c>
      <c r="C34" s="8" t="s">
        <v>195</v>
      </c>
      <c r="D34" s="6" t="str">
        <f>LRTRIM(CONCATENATE(IF(SUMPRODUCT(-- ISNUMBER(SEARCH({"Auto Number"}, $B34))) &gt; 0, $B34, IF(SUMPRODUCT(-- ISNUMBER(SEARCH({"Lookup","Master-Detail"}, $B34))) &gt; 0,$B34 &amp; "(" &amp; $E34 &amp; ")",IF(SUMPRODUCT(-- ISNUMBER(SEARCH({"Formula","Roll-Up Summary"}, $B34))) &gt; 0,$B34 &amp; " (" &amp; $E34 &amp; ")",IF(SUMPRODUCT(-- ISNUMBER(SEARCH({"Content","Currency","Number","Percent","Text","URL"}, $B34))) &gt; 0,$B34 &amp; "(" &amp; $C34 &amp; ")",$B34)))), "  ", TRIM(IF($S34 = "YES", "(External ID)", "") &amp; " " &amp; IF(SUMPRODUCT(-- ISNUMBER(SEARCH({"Unique","Unique Case Insensitive"}, $R34))) &gt; 0, "(" &amp; $R34 &amp; ")", ""))))</f>
        <v>Formula (Currency)</v>
      </c>
      <c r="E34" s="7" t="s">
        <v>1206</v>
      </c>
      <c r="F34" s="7" t="s">
        <v>1647</v>
      </c>
      <c r="G34" s="7" t="s">
        <v>195</v>
      </c>
      <c r="H34" s="7" t="s">
        <v>195</v>
      </c>
      <c r="I34" s="7" t="s">
        <v>195</v>
      </c>
      <c r="J34" s="7" t="s">
        <v>195</v>
      </c>
      <c r="K34" s="7" t="s">
        <v>195</v>
      </c>
      <c r="L34" s="7" t="s">
        <v>195</v>
      </c>
      <c r="M34" s="7" t="s">
        <v>29</v>
      </c>
      <c r="N34" s="7" t="s">
        <v>29</v>
      </c>
      <c r="O34" s="7" t="s">
        <v>29</v>
      </c>
      <c r="P34" s="7" t="s">
        <v>29</v>
      </c>
      <c r="Q34" s="7" t="s">
        <v>29</v>
      </c>
      <c r="R34" s="7" t="s">
        <v>29</v>
      </c>
      <c r="S34" s="7" t="s">
        <v>29</v>
      </c>
    </row>
    <row r="35" spans="1:19">
      <c r="A35" s="7" t="s">
        <v>1632</v>
      </c>
      <c r="B35" s="7" t="s">
        <v>1209</v>
      </c>
      <c r="C35" s="8" t="s">
        <v>195</v>
      </c>
      <c r="D35" s="6" t="str">
        <f>LRTRIM(CONCATENATE(IF(SUMPRODUCT(-- ISNUMBER(SEARCH({"Auto Number"}, $B35))) &gt; 0, $B35, IF(SUMPRODUCT(-- ISNUMBER(SEARCH({"Lookup","Master-Detail"}, $B35))) &gt; 0,$B35 &amp; "(" &amp; $E35 &amp; ")",IF(SUMPRODUCT(-- ISNUMBER(SEARCH({"Formula","Roll-Up Summary"}, $B35))) &gt; 0,$B35 &amp; " (" &amp; $E35 &amp; ")",IF(SUMPRODUCT(-- ISNUMBER(SEARCH({"Content","Currency","Number","Percent","Text","URL"}, $B35))) &gt; 0,$B35 &amp; "(" &amp; $C35 &amp; ")",$B35)))), "  ", TRIM(IF($S35 = "YES", "(External ID)", "") &amp; " " &amp; IF(SUMPRODUCT(-- ISNUMBER(SEARCH({"Unique","Unique Case Insensitive"}, $R35))) &gt; 0, "(" &amp; $R35 &amp; ")", ""))))</f>
        <v>Formula (Currency)</v>
      </c>
      <c r="E35" s="7" t="s">
        <v>1206</v>
      </c>
      <c r="F35" s="7" t="s">
        <v>1648</v>
      </c>
      <c r="G35" s="7" t="s">
        <v>195</v>
      </c>
      <c r="H35" s="7" t="s">
        <v>195</v>
      </c>
      <c r="I35" s="7" t="s">
        <v>195</v>
      </c>
      <c r="J35" s="7" t="s">
        <v>195</v>
      </c>
      <c r="K35" s="7" t="s">
        <v>195</v>
      </c>
      <c r="L35" s="7" t="s">
        <v>195</v>
      </c>
      <c r="M35" s="7" t="s">
        <v>29</v>
      </c>
      <c r="N35" s="7" t="s">
        <v>29</v>
      </c>
      <c r="O35" s="7" t="s">
        <v>29</v>
      </c>
      <c r="P35" s="7" t="s">
        <v>29</v>
      </c>
      <c r="Q35" s="7" t="s">
        <v>29</v>
      </c>
      <c r="R35" s="7" t="s">
        <v>29</v>
      </c>
      <c r="S35" s="7" t="s">
        <v>29</v>
      </c>
    </row>
    <row r="36" spans="1:19">
      <c r="A36" s="7" t="s">
        <v>1633</v>
      </c>
      <c r="B36" s="7" t="s">
        <v>1209</v>
      </c>
      <c r="C36" s="8" t="s">
        <v>195</v>
      </c>
      <c r="D36" s="6" t="str">
        <f>LRTRIM(CONCATENATE(IF(SUMPRODUCT(-- ISNUMBER(SEARCH({"Auto Number"}, $B36))) &gt; 0, $B36, IF(SUMPRODUCT(-- ISNUMBER(SEARCH({"Lookup","Master-Detail"}, $B36))) &gt; 0,$B36 &amp; "(" &amp; $E36 &amp; ")",IF(SUMPRODUCT(-- ISNUMBER(SEARCH({"Formula","Roll-Up Summary"}, $B36))) &gt; 0,$B36 &amp; " (" &amp; $E36 &amp; ")",IF(SUMPRODUCT(-- ISNUMBER(SEARCH({"Content","Currency","Number","Percent","Text","URL"}, $B36))) &gt; 0,$B36 &amp; "(" &amp; $C36 &amp; ")",$B36)))), "  ", TRIM(IF($S36 = "YES", "(External ID)", "") &amp; " " &amp; IF(SUMPRODUCT(-- ISNUMBER(SEARCH({"Unique","Unique Case Insensitive"}, $R36))) &gt; 0, "(" &amp; $R36 &amp; ")", ""))))</f>
        <v>Formula (Currency)</v>
      </c>
      <c r="E36" s="7" t="s">
        <v>1206</v>
      </c>
      <c r="F36" s="7" t="s">
        <v>1659</v>
      </c>
      <c r="G36" s="7" t="s">
        <v>195</v>
      </c>
      <c r="H36" s="7" t="s">
        <v>195</v>
      </c>
      <c r="I36" s="7" t="s">
        <v>195</v>
      </c>
      <c r="J36" s="7" t="s">
        <v>195</v>
      </c>
      <c r="K36" s="7" t="s">
        <v>195</v>
      </c>
      <c r="L36" s="7" t="s">
        <v>195</v>
      </c>
      <c r="M36" s="7" t="s">
        <v>29</v>
      </c>
      <c r="N36" s="7" t="s">
        <v>29</v>
      </c>
      <c r="O36" s="7" t="s">
        <v>29</v>
      </c>
      <c r="P36" s="7" t="s">
        <v>29</v>
      </c>
      <c r="Q36" s="7" t="s">
        <v>29</v>
      </c>
      <c r="R36" s="7" t="s">
        <v>29</v>
      </c>
      <c r="S36" s="7" t="s">
        <v>29</v>
      </c>
    </row>
    <row r="37" spans="1:19">
      <c r="A37" s="7" t="s">
        <v>1634</v>
      </c>
      <c r="B37" s="7" t="s">
        <v>1209</v>
      </c>
      <c r="C37" s="8" t="s">
        <v>195</v>
      </c>
      <c r="D37" s="6" t="str">
        <f>LRTRIM(CONCATENATE(IF(SUMPRODUCT(-- ISNUMBER(SEARCH({"Auto Number"}, $B37))) &gt; 0, $B37, IF(SUMPRODUCT(-- ISNUMBER(SEARCH({"Lookup","Master-Detail"}, $B37))) &gt; 0,$B37 &amp; "(" &amp; $E37 &amp; ")",IF(SUMPRODUCT(-- ISNUMBER(SEARCH({"Formula","Roll-Up Summary"}, $B37))) &gt; 0,$B37 &amp; " (" &amp; $E37 &amp; ")",IF(SUMPRODUCT(-- ISNUMBER(SEARCH({"Content","Currency","Number","Percent","Text","URL"}, $B37))) &gt; 0,$B37 &amp; "(" &amp; $C37 &amp; ")",$B37)))), "  ", TRIM(IF($S37 = "YES", "(External ID)", "") &amp; " " &amp; IF(SUMPRODUCT(-- ISNUMBER(SEARCH({"Unique","Unique Case Insensitive"}, $R37))) &gt; 0, "(" &amp; $R37 &amp; ")", ""))))</f>
        <v>Formula (Currency)</v>
      </c>
      <c r="E37" s="7" t="s">
        <v>1206</v>
      </c>
      <c r="F37" s="7" t="s">
        <v>1649</v>
      </c>
      <c r="G37" s="7" t="s">
        <v>195</v>
      </c>
      <c r="H37" s="7" t="s">
        <v>195</v>
      </c>
      <c r="I37" s="7" t="s">
        <v>195</v>
      </c>
      <c r="J37" s="7" t="s">
        <v>195</v>
      </c>
      <c r="K37" s="7" t="s">
        <v>195</v>
      </c>
      <c r="L37" s="7" t="s">
        <v>195</v>
      </c>
      <c r="M37" s="7" t="s">
        <v>29</v>
      </c>
      <c r="N37" s="7" t="s">
        <v>29</v>
      </c>
      <c r="O37" s="7" t="s">
        <v>29</v>
      </c>
      <c r="P37" s="7" t="s">
        <v>29</v>
      </c>
      <c r="Q37" s="7" t="s">
        <v>29</v>
      </c>
      <c r="R37" s="7" t="s">
        <v>29</v>
      </c>
      <c r="S37" s="7" t="s">
        <v>29</v>
      </c>
    </row>
    <row r="38" spans="1:19">
      <c r="A38" s="7" t="s">
        <v>1635</v>
      </c>
      <c r="B38" s="7" t="s">
        <v>1209</v>
      </c>
      <c r="C38" s="8" t="s">
        <v>195</v>
      </c>
      <c r="D38" s="6" t="str">
        <f>LRTRIM(CONCATENATE(IF(SUMPRODUCT(-- ISNUMBER(SEARCH({"Auto Number"}, $B38))) &gt; 0, $B38, IF(SUMPRODUCT(-- ISNUMBER(SEARCH({"Lookup","Master-Detail"}, $B38))) &gt; 0,$B38 &amp; "(" &amp; $E38 &amp; ")",IF(SUMPRODUCT(-- ISNUMBER(SEARCH({"Formula","Roll-Up Summary"}, $B38))) &gt; 0,$B38 &amp; " (" &amp; $E38 &amp; ")",IF(SUMPRODUCT(-- ISNUMBER(SEARCH({"Content","Currency","Number","Percent","Text","URL"}, $B38))) &gt; 0,$B38 &amp; "(" &amp; $C38 &amp; ")",$B38)))), "  ", TRIM(IF($S38 = "YES", "(External ID)", "") &amp; " " &amp; IF(SUMPRODUCT(-- ISNUMBER(SEARCH({"Unique","Unique Case Insensitive"}, $R38))) &gt; 0, "(" &amp; $R38 &amp; ")", ""))))</f>
        <v>Formula (Currency)</v>
      </c>
      <c r="E38" s="7" t="s">
        <v>1206</v>
      </c>
      <c r="F38" s="7" t="s">
        <v>1660</v>
      </c>
      <c r="G38" s="7" t="s">
        <v>195</v>
      </c>
      <c r="H38" s="7" t="s">
        <v>195</v>
      </c>
      <c r="I38" s="7" t="s">
        <v>195</v>
      </c>
      <c r="J38" s="7" t="s">
        <v>195</v>
      </c>
      <c r="K38" s="7" t="s">
        <v>195</v>
      </c>
      <c r="L38" s="7" t="s">
        <v>195</v>
      </c>
      <c r="M38" s="7" t="s">
        <v>29</v>
      </c>
      <c r="N38" s="7" t="s">
        <v>29</v>
      </c>
      <c r="O38" s="7" t="s">
        <v>29</v>
      </c>
      <c r="P38" s="7" t="s">
        <v>29</v>
      </c>
      <c r="Q38" s="7" t="s">
        <v>29</v>
      </c>
      <c r="R38" s="7" t="s">
        <v>29</v>
      </c>
      <c r="S38" s="7" t="s">
        <v>29</v>
      </c>
    </row>
    <row r="39" spans="1:19">
      <c r="A39" s="7" t="s">
        <v>1636</v>
      </c>
      <c r="B39" s="7" t="s">
        <v>1209</v>
      </c>
      <c r="C39" s="8" t="s">
        <v>195</v>
      </c>
      <c r="D39" s="6" t="str">
        <f>LRTRIM(CONCATENATE(IF(SUMPRODUCT(-- ISNUMBER(SEARCH({"Auto Number"}, $B39))) &gt; 0, $B39, IF(SUMPRODUCT(-- ISNUMBER(SEARCH({"Lookup","Master-Detail"}, $B39))) &gt; 0,$B39 &amp; "(" &amp; $E39 &amp; ")",IF(SUMPRODUCT(-- ISNUMBER(SEARCH({"Formula","Roll-Up Summary"}, $B39))) &gt; 0,$B39 &amp; " (" &amp; $E39 &amp; ")",IF(SUMPRODUCT(-- ISNUMBER(SEARCH({"Content","Currency","Number","Percent","Text","URL"}, $B39))) &gt; 0,$B39 &amp; "(" &amp; $C39 &amp; ")",$B39)))), "  ", TRIM(IF($S39 = "YES", "(External ID)", "") &amp; " " &amp; IF(SUMPRODUCT(-- ISNUMBER(SEARCH({"Unique","Unique Case Insensitive"}, $R39))) &gt; 0, "(" &amp; $R39 &amp; ")", ""))))</f>
        <v>Formula (Currency)</v>
      </c>
      <c r="E39" s="7" t="s">
        <v>1206</v>
      </c>
      <c r="F39" s="7" t="s">
        <v>1661</v>
      </c>
      <c r="G39" s="7" t="s">
        <v>195</v>
      </c>
      <c r="H39" s="7" t="s">
        <v>195</v>
      </c>
      <c r="I39" s="7" t="s">
        <v>195</v>
      </c>
      <c r="J39" s="7" t="s">
        <v>195</v>
      </c>
      <c r="K39" s="7" t="s">
        <v>195</v>
      </c>
      <c r="L39" s="7" t="s">
        <v>195</v>
      </c>
      <c r="M39" s="7" t="s">
        <v>29</v>
      </c>
      <c r="N39" s="7" t="s">
        <v>29</v>
      </c>
      <c r="O39" s="7" t="s">
        <v>29</v>
      </c>
      <c r="P39" s="7" t="s">
        <v>29</v>
      </c>
      <c r="Q39" s="7" t="s">
        <v>29</v>
      </c>
      <c r="R39" s="7" t="s">
        <v>29</v>
      </c>
      <c r="S39" s="7" t="s">
        <v>29</v>
      </c>
    </row>
    <row r="40" spans="1:19">
      <c r="A40" s="7" t="s">
        <v>1637</v>
      </c>
      <c r="B40" s="7" t="s">
        <v>1209</v>
      </c>
      <c r="C40" s="8" t="s">
        <v>195</v>
      </c>
      <c r="D40" s="6" t="str">
        <f>LRTRIM(CONCATENATE(IF(SUMPRODUCT(-- ISNUMBER(SEARCH({"Auto Number"}, $B40))) &gt; 0, $B40, IF(SUMPRODUCT(-- ISNUMBER(SEARCH({"Lookup","Master-Detail"}, $B40))) &gt; 0,$B40 &amp; "(" &amp; $E40 &amp; ")",IF(SUMPRODUCT(-- ISNUMBER(SEARCH({"Formula","Roll-Up Summary"}, $B40))) &gt; 0,$B40 &amp; " (" &amp; $E40 &amp; ")",IF(SUMPRODUCT(-- ISNUMBER(SEARCH({"Content","Currency","Number","Percent","Text","URL"}, $B40))) &gt; 0,$B40 &amp; "(" &amp; $C40 &amp; ")",$B40)))), "  ", TRIM(IF($S40 = "YES", "(External ID)", "") &amp; " " &amp; IF(SUMPRODUCT(-- ISNUMBER(SEARCH({"Unique","Unique Case Insensitive"}, $R40))) &gt; 0, "(" &amp; $R40 &amp; ")", ""))))</f>
        <v>Formula (Currency)</v>
      </c>
      <c r="E40" s="7" t="s">
        <v>1206</v>
      </c>
      <c r="F40" s="7" t="s">
        <v>1650</v>
      </c>
      <c r="G40" s="7" t="s">
        <v>195</v>
      </c>
      <c r="H40" s="7" t="s">
        <v>195</v>
      </c>
      <c r="I40" s="7" t="s">
        <v>195</v>
      </c>
      <c r="J40" s="7" t="s">
        <v>195</v>
      </c>
      <c r="K40" s="7" t="s">
        <v>195</v>
      </c>
      <c r="L40" s="7" t="s">
        <v>195</v>
      </c>
      <c r="M40" s="7" t="s">
        <v>29</v>
      </c>
      <c r="N40" s="7" t="s">
        <v>29</v>
      </c>
      <c r="O40" s="7" t="s">
        <v>29</v>
      </c>
      <c r="P40" s="7" t="s">
        <v>29</v>
      </c>
      <c r="Q40" s="7" t="s">
        <v>29</v>
      </c>
      <c r="R40" s="7" t="s">
        <v>29</v>
      </c>
      <c r="S40" s="7" t="s">
        <v>29</v>
      </c>
    </row>
    <row r="41" spans="1:19">
      <c r="A41" s="7" t="s">
        <v>1638</v>
      </c>
      <c r="B41" s="7" t="s">
        <v>1209</v>
      </c>
      <c r="C41" s="8" t="s">
        <v>195</v>
      </c>
      <c r="D41" s="6" t="str">
        <f>LRTRIM(CONCATENATE(IF(SUMPRODUCT(-- ISNUMBER(SEARCH({"Auto Number"}, $B41))) &gt; 0, $B41, IF(SUMPRODUCT(-- ISNUMBER(SEARCH({"Lookup","Master-Detail"}, $B41))) &gt; 0,$B41 &amp; "(" &amp; $E41 &amp; ")",IF(SUMPRODUCT(-- ISNUMBER(SEARCH({"Formula","Roll-Up Summary"}, $B41))) &gt; 0,$B41 &amp; " (" &amp; $E41 &amp; ")",IF(SUMPRODUCT(-- ISNUMBER(SEARCH({"Content","Currency","Number","Percent","Text","URL"}, $B41))) &gt; 0,$B41 &amp; "(" &amp; $C41 &amp; ")",$B41)))), "  ", TRIM(IF($S41 = "YES", "(External ID)", "") &amp; " " &amp; IF(SUMPRODUCT(-- ISNUMBER(SEARCH({"Unique","Unique Case Insensitive"}, $R41))) &gt; 0, "(" &amp; $R41 &amp; ")", ""))))</f>
        <v>Formula (Currency)</v>
      </c>
      <c r="E41" s="7" t="s">
        <v>1206</v>
      </c>
      <c r="F41" s="7" t="s">
        <v>1662</v>
      </c>
      <c r="G41" s="7" t="s">
        <v>195</v>
      </c>
      <c r="H41" s="7" t="s">
        <v>195</v>
      </c>
      <c r="I41" s="7" t="s">
        <v>195</v>
      </c>
      <c r="J41" s="7" t="s">
        <v>195</v>
      </c>
      <c r="K41" s="7" t="s">
        <v>195</v>
      </c>
      <c r="L41" s="7" t="s">
        <v>195</v>
      </c>
      <c r="M41" s="7" t="s">
        <v>29</v>
      </c>
      <c r="N41" s="7" t="s">
        <v>29</v>
      </c>
      <c r="O41" s="7" t="s">
        <v>29</v>
      </c>
      <c r="P41" s="7" t="s">
        <v>29</v>
      </c>
      <c r="Q41" s="7" t="s">
        <v>29</v>
      </c>
      <c r="R41" s="7" t="s">
        <v>29</v>
      </c>
      <c r="S41" s="7" t="s">
        <v>29</v>
      </c>
    </row>
    <row r="42" spans="1:19">
      <c r="A42" s="7" t="s">
        <v>681</v>
      </c>
      <c r="B42" s="7" t="s">
        <v>1206</v>
      </c>
      <c r="C42" s="8" t="s">
        <v>1289</v>
      </c>
      <c r="D42" s="6" t="str">
        <f>LRTRIM(CONCATENATE(IF(SUMPRODUCT(-- ISNUMBER(SEARCH({"Auto Number"}, $B42))) &gt; 0, $B42, IF(SUMPRODUCT(-- ISNUMBER(SEARCH({"Lookup","Master-Detail"}, $B42))) &gt; 0,$B42 &amp; "(" &amp; $E42 &amp; ")",IF(SUMPRODUCT(-- ISNUMBER(SEARCH({"Formula","Roll-Up Summary"}, $B42))) &gt; 0,$B42 &amp; " (" &amp; $E42 &amp; ")",IF(SUMPRODUCT(-- ISNUMBER(SEARCH({"Content","Currency","Number","Percent","Text","URL"}, $B42))) &gt; 0,$B42 &amp; "(" &amp; $C42 &amp; ")",$B42)))), "  ", TRIM(IF($S42 = "YES", "(External ID)", "") &amp; " " &amp; IF(SUMPRODUCT(-- ISNUMBER(SEARCH({"Unique","Unique Case Insensitive"}, $R42))) &gt; 0, "(" &amp; $R42 &amp; ")", ""))))</f>
        <v>Currency(16, 2)</v>
      </c>
      <c r="E42" s="7" t="s">
        <v>195</v>
      </c>
      <c r="F42" s="7" t="s">
        <v>728</v>
      </c>
      <c r="G42" s="7" t="s">
        <v>760</v>
      </c>
      <c r="H42" s="7" t="s">
        <v>195</v>
      </c>
      <c r="I42" s="7" t="s">
        <v>195</v>
      </c>
      <c r="J42" s="7" t="s">
        <v>195</v>
      </c>
      <c r="K42" s="7" t="s">
        <v>195</v>
      </c>
      <c r="L42" s="7" t="s">
        <v>195</v>
      </c>
      <c r="M42" s="7" t="s">
        <v>29</v>
      </c>
      <c r="N42" s="7" t="s">
        <v>29</v>
      </c>
      <c r="O42" s="7" t="s">
        <v>29</v>
      </c>
      <c r="P42" s="7" t="s">
        <v>29</v>
      </c>
      <c r="Q42" s="7" t="s">
        <v>29</v>
      </c>
      <c r="R42" s="7" t="s">
        <v>29</v>
      </c>
      <c r="S42" s="7" t="s">
        <v>29</v>
      </c>
    </row>
    <row r="43" spans="1:19">
      <c r="A43" s="7" t="s">
        <v>83</v>
      </c>
      <c r="B43" s="7" t="s">
        <v>1211</v>
      </c>
      <c r="C43" s="8">
        <v>18</v>
      </c>
      <c r="D43" s="6" t="str">
        <f>LRTRIM(CONCATENATE(IF(SUMPRODUCT(-- ISNUMBER(SEARCH({"Auto Number"}, $B43))) &gt; 0, $B43, IF(SUMPRODUCT(-- ISNUMBER(SEARCH({"Lookup","Master-Detail"}, $B43))) &gt; 0,$B43 &amp; "(" &amp; $E43 &amp; ")",IF(SUMPRODUCT(-- ISNUMBER(SEARCH({"Formula","Roll-Up Summary"}, $B43))) &gt; 0,$B43 &amp; " (" &amp; $E43 &amp; ")",IF(SUMPRODUCT(-- ISNUMBER(SEARCH({"Content","Currency","Number","Percent","Text","URL"}, $B43))) &gt; 0,$B43 &amp; "(" &amp; $C43 &amp; ")",$B43)))), "  ", TRIM(IF($S43 = "YES", "(External ID)", "") &amp; " " &amp; IF(SUMPRODUCT(-- ISNUMBER(SEARCH({"Unique","Unique Case Insensitive"}, $R43))) &gt; 0, "(" &amp; $R43 &amp; ")", ""))))</f>
        <v>Lookup(IHK Number)</v>
      </c>
      <c r="E43" s="7" t="s">
        <v>133</v>
      </c>
      <c r="F43" s="7" t="s">
        <v>133</v>
      </c>
      <c r="G43" s="7" t="s">
        <v>195</v>
      </c>
      <c r="H43" s="7" t="s">
        <v>195</v>
      </c>
      <c r="I43" s="7" t="s">
        <v>195</v>
      </c>
      <c r="J43" s="7" t="s">
        <v>195</v>
      </c>
      <c r="K43" s="7" t="s">
        <v>195</v>
      </c>
      <c r="L43" s="7" t="s">
        <v>195</v>
      </c>
      <c r="M43" s="7" t="s">
        <v>29</v>
      </c>
      <c r="N43" s="7" t="s">
        <v>29</v>
      </c>
      <c r="O43" s="7" t="s">
        <v>29</v>
      </c>
      <c r="P43" s="7" t="s">
        <v>29</v>
      </c>
      <c r="Q43" s="7" t="s">
        <v>29</v>
      </c>
      <c r="R43" s="7" t="s">
        <v>29</v>
      </c>
      <c r="S43" s="7" t="s">
        <v>29</v>
      </c>
    </row>
    <row r="44" spans="1:19">
      <c r="A44" s="7" t="s">
        <v>682</v>
      </c>
      <c r="B44" s="7" t="s">
        <v>1204</v>
      </c>
      <c r="C44" s="8">
        <v>0</v>
      </c>
      <c r="D44" s="6" t="str">
        <f>LRTRIM(CONCATENATE(IF(SUMPRODUCT(-- ISNUMBER(SEARCH({"Auto Number"}, $B44))) &gt; 0, $B44, IF(SUMPRODUCT(-- ISNUMBER(SEARCH({"Lookup","Master-Detail"}, $B44))) &gt; 0,$B44 &amp; "(" &amp; $E44 &amp; ")",IF(SUMPRODUCT(-- ISNUMBER(SEARCH({"Formula","Roll-Up Summary"}, $B44))) &gt; 0,$B44 &amp; " (" &amp; $E44 &amp; ")",IF(SUMPRODUCT(-- ISNUMBER(SEARCH({"Content","Currency","Number","Percent","Text","URL"}, $B44))) &gt; 0,$B44 &amp; "(" &amp; $C44 &amp; ")",$B44)))), "  ", TRIM(IF($S44 = "YES", "(External ID)", "") &amp; " " &amp; IF(SUMPRODUCT(-- ISNUMBER(SEARCH({"Unique","Unique Case Insensitive"}, $R44))) &gt; 0, "(" &amp; $R44 &amp; ")", ""))))</f>
        <v>Checkbox</v>
      </c>
      <c r="E44" s="7" t="s">
        <v>195</v>
      </c>
      <c r="F44" s="7" t="s">
        <v>729</v>
      </c>
      <c r="G44" s="7" t="s">
        <v>195</v>
      </c>
      <c r="H44" s="7" t="s">
        <v>195</v>
      </c>
      <c r="I44" s="7" t="s">
        <v>195</v>
      </c>
      <c r="J44" s="7" t="s">
        <v>195</v>
      </c>
      <c r="K44" s="7" t="s">
        <v>195</v>
      </c>
      <c r="L44" s="7" t="s">
        <v>195</v>
      </c>
      <c r="M44" s="7" t="s">
        <v>28</v>
      </c>
      <c r="N44" s="7" t="s">
        <v>29</v>
      </c>
      <c r="O44" s="7" t="s">
        <v>29</v>
      </c>
      <c r="P44" s="7" t="s">
        <v>29</v>
      </c>
      <c r="Q44" s="7" t="s">
        <v>29</v>
      </c>
      <c r="R44" s="7" t="s">
        <v>29</v>
      </c>
      <c r="S44" s="7" t="s">
        <v>29</v>
      </c>
    </row>
    <row r="45" spans="1:19">
      <c r="A45" s="7" t="s">
        <v>683</v>
      </c>
      <c r="B45" s="7" t="s">
        <v>1204</v>
      </c>
      <c r="C45" s="8">
        <v>0</v>
      </c>
      <c r="D45" s="6" t="str">
        <f>LRTRIM(CONCATENATE(IF(SUMPRODUCT(-- ISNUMBER(SEARCH({"Auto Number"}, $B45))) &gt; 0, $B45, IF(SUMPRODUCT(-- ISNUMBER(SEARCH({"Lookup","Master-Detail"}, $B45))) &gt; 0,$B45 &amp; "(" &amp; $E45 &amp; ")",IF(SUMPRODUCT(-- ISNUMBER(SEARCH({"Formula","Roll-Up Summary"}, $B45))) &gt; 0,$B45 &amp; " (" &amp; $E45 &amp; ")",IF(SUMPRODUCT(-- ISNUMBER(SEARCH({"Content","Currency","Number","Percent","Text","URL"}, $B45))) &gt; 0,$B45 &amp; "(" &amp; $C45 &amp; ")",$B45)))), "  ", TRIM(IF($S45 = "YES", "(External ID)", "") &amp; " " &amp; IF(SUMPRODUCT(-- ISNUMBER(SEARCH({"Unique","Unique Case Insensitive"}, $R45))) &gt; 0, "(" &amp; $R45 &amp; ")", ""))))</f>
        <v>Checkbox</v>
      </c>
      <c r="E45" s="7" t="s">
        <v>195</v>
      </c>
      <c r="F45" s="7" t="s">
        <v>730</v>
      </c>
      <c r="G45" s="7" t="s">
        <v>195</v>
      </c>
      <c r="H45" s="7" t="s">
        <v>195</v>
      </c>
      <c r="I45" s="7" t="s">
        <v>195</v>
      </c>
      <c r="J45" s="7" t="s">
        <v>195</v>
      </c>
      <c r="K45" s="7" t="s">
        <v>195</v>
      </c>
      <c r="L45" s="7" t="s">
        <v>195</v>
      </c>
      <c r="M45" s="7" t="s">
        <v>28</v>
      </c>
      <c r="N45" s="7" t="s">
        <v>29</v>
      </c>
      <c r="O45" s="7" t="s">
        <v>29</v>
      </c>
      <c r="P45" s="7" t="s">
        <v>29</v>
      </c>
      <c r="Q45" s="7" t="s">
        <v>29</v>
      </c>
      <c r="R45" s="7" t="s">
        <v>29</v>
      </c>
      <c r="S45" s="7" t="s">
        <v>29</v>
      </c>
    </row>
    <row r="46" spans="1:19">
      <c r="A46" s="7" t="s">
        <v>684</v>
      </c>
      <c r="B46" s="7" t="s">
        <v>1204</v>
      </c>
      <c r="C46" s="8">
        <v>0</v>
      </c>
      <c r="D46" s="6" t="str">
        <f>LRTRIM(CONCATENATE(IF(SUMPRODUCT(-- ISNUMBER(SEARCH({"Auto Number"}, $B46))) &gt; 0, $B46, IF(SUMPRODUCT(-- ISNUMBER(SEARCH({"Lookup","Master-Detail"}, $B46))) &gt; 0,$B46 &amp; "(" &amp; $E46 &amp; ")",IF(SUMPRODUCT(-- ISNUMBER(SEARCH({"Formula","Roll-Up Summary"}, $B46))) &gt; 0,$B46 &amp; " (" &amp; $E46 &amp; ")",IF(SUMPRODUCT(-- ISNUMBER(SEARCH({"Content","Currency","Number","Percent","Text","URL"}, $B46))) &gt; 0,$B46 &amp; "(" &amp; $C46 &amp; ")",$B46)))), "  ", TRIM(IF($S46 = "YES", "(External ID)", "") &amp; " " &amp; IF(SUMPRODUCT(-- ISNUMBER(SEARCH({"Unique","Unique Case Insensitive"}, $R46))) &gt; 0, "(" &amp; $R46 &amp; ")", ""))))</f>
        <v>Checkbox</v>
      </c>
      <c r="E46" s="7" t="s">
        <v>195</v>
      </c>
      <c r="F46" s="7" t="s">
        <v>731</v>
      </c>
      <c r="G46" s="7" t="s">
        <v>195</v>
      </c>
      <c r="H46" s="7" t="s">
        <v>195</v>
      </c>
      <c r="I46" s="7" t="s">
        <v>195</v>
      </c>
      <c r="J46" s="7" t="s">
        <v>195</v>
      </c>
      <c r="K46" s="7" t="s">
        <v>195</v>
      </c>
      <c r="L46" s="7" t="s">
        <v>195</v>
      </c>
      <c r="M46" s="7" t="s">
        <v>28</v>
      </c>
      <c r="N46" s="7" t="s">
        <v>29</v>
      </c>
      <c r="O46" s="7" t="s">
        <v>29</v>
      </c>
      <c r="P46" s="7" t="s">
        <v>29</v>
      </c>
      <c r="Q46" s="7" t="s">
        <v>29</v>
      </c>
      <c r="R46" s="7" t="s">
        <v>29</v>
      </c>
      <c r="S46" s="7" t="s">
        <v>29</v>
      </c>
    </row>
    <row r="47" spans="1:19">
      <c r="A47" s="7" t="s">
        <v>685</v>
      </c>
      <c r="B47" s="7" t="s">
        <v>1204</v>
      </c>
      <c r="C47" s="8">
        <v>0</v>
      </c>
      <c r="D47" s="6" t="str">
        <f>LRTRIM(CONCATENATE(IF(SUMPRODUCT(-- ISNUMBER(SEARCH({"Auto Number"}, $B47))) &gt; 0, $B47, IF(SUMPRODUCT(-- ISNUMBER(SEARCH({"Lookup","Master-Detail"}, $B47))) &gt; 0,$B47 &amp; "(" &amp; $E47 &amp; ")",IF(SUMPRODUCT(-- ISNUMBER(SEARCH({"Formula","Roll-Up Summary"}, $B47))) &gt; 0,$B47 &amp; " (" &amp; $E47 &amp; ")",IF(SUMPRODUCT(-- ISNUMBER(SEARCH({"Content","Currency","Number","Percent","Text","URL"}, $B47))) &gt; 0,$B47 &amp; "(" &amp; $C47 &amp; ")",$B47)))), "  ", TRIM(IF($S47 = "YES", "(External ID)", "") &amp; " " &amp; IF(SUMPRODUCT(-- ISNUMBER(SEARCH({"Unique","Unique Case Insensitive"}, $R47))) &gt; 0, "(" &amp; $R47 &amp; ")", ""))))</f>
        <v>Checkbox</v>
      </c>
      <c r="E47" s="7" t="s">
        <v>195</v>
      </c>
      <c r="F47" s="7" t="s">
        <v>732</v>
      </c>
      <c r="G47" s="7" t="s">
        <v>195</v>
      </c>
      <c r="H47" s="7" t="s">
        <v>195</v>
      </c>
      <c r="I47" s="7" t="s">
        <v>195</v>
      </c>
      <c r="J47" s="7" t="s">
        <v>195</v>
      </c>
      <c r="K47" s="7" t="s">
        <v>195</v>
      </c>
      <c r="L47" s="7" t="s">
        <v>195</v>
      </c>
      <c r="M47" s="7" t="s">
        <v>28</v>
      </c>
      <c r="N47" s="7" t="s">
        <v>29</v>
      </c>
      <c r="O47" s="7" t="s">
        <v>29</v>
      </c>
      <c r="P47" s="7" t="s">
        <v>29</v>
      </c>
      <c r="Q47" s="7" t="s">
        <v>29</v>
      </c>
      <c r="R47" s="7" t="s">
        <v>29</v>
      </c>
      <c r="S47" s="7" t="s">
        <v>29</v>
      </c>
    </row>
    <row r="48" spans="1:19">
      <c r="A48" s="7" t="s">
        <v>686</v>
      </c>
      <c r="B48" s="7" t="s">
        <v>1204</v>
      </c>
      <c r="C48" s="8">
        <v>0</v>
      </c>
      <c r="D48" s="6" t="str">
        <f>LRTRIM(CONCATENATE(IF(SUMPRODUCT(-- ISNUMBER(SEARCH({"Auto Number"}, $B48))) &gt; 0, $B48, IF(SUMPRODUCT(-- ISNUMBER(SEARCH({"Lookup","Master-Detail"}, $B48))) &gt; 0,$B48 &amp; "(" &amp; $E48 &amp; ")",IF(SUMPRODUCT(-- ISNUMBER(SEARCH({"Formula","Roll-Up Summary"}, $B48))) &gt; 0,$B48 &amp; " (" &amp; $E48 &amp; ")",IF(SUMPRODUCT(-- ISNUMBER(SEARCH({"Content","Currency","Number","Percent","Text","URL"}, $B48))) &gt; 0,$B48 &amp; "(" &amp; $C48 &amp; ")",$B48)))), "  ", TRIM(IF($S48 = "YES", "(External ID)", "") &amp; " " &amp; IF(SUMPRODUCT(-- ISNUMBER(SEARCH({"Unique","Unique Case Insensitive"}, $R48))) &gt; 0, "(" &amp; $R48 &amp; ")", ""))))</f>
        <v>Checkbox</v>
      </c>
      <c r="E48" s="7" t="s">
        <v>195</v>
      </c>
      <c r="F48" s="7" t="s">
        <v>733</v>
      </c>
      <c r="G48" s="7" t="s">
        <v>195</v>
      </c>
      <c r="H48" s="7" t="s">
        <v>195</v>
      </c>
      <c r="I48" s="7" t="s">
        <v>195</v>
      </c>
      <c r="J48" s="7" t="s">
        <v>195</v>
      </c>
      <c r="K48" s="7" t="s">
        <v>195</v>
      </c>
      <c r="L48" s="7" t="s">
        <v>195</v>
      </c>
      <c r="M48" s="7" t="s">
        <v>28</v>
      </c>
      <c r="N48" s="7" t="s">
        <v>29</v>
      </c>
      <c r="O48" s="7" t="s">
        <v>29</v>
      </c>
      <c r="P48" s="7" t="s">
        <v>29</v>
      </c>
      <c r="Q48" s="7" t="s">
        <v>29</v>
      </c>
      <c r="R48" s="7" t="s">
        <v>29</v>
      </c>
      <c r="S48" s="7" t="s">
        <v>29</v>
      </c>
    </row>
    <row r="49" spans="1:19">
      <c r="A49" s="7" t="s">
        <v>687</v>
      </c>
      <c r="B49" s="7" t="s">
        <v>1204</v>
      </c>
      <c r="C49" s="8">
        <v>0</v>
      </c>
      <c r="D49" s="6" t="str">
        <f>LRTRIM(CONCATENATE(IF(SUMPRODUCT(-- ISNUMBER(SEARCH({"Auto Number"}, $B49))) &gt; 0, $B49, IF(SUMPRODUCT(-- ISNUMBER(SEARCH({"Lookup","Master-Detail"}, $B49))) &gt; 0,$B49 &amp; "(" &amp; $E49 &amp; ")",IF(SUMPRODUCT(-- ISNUMBER(SEARCH({"Formula","Roll-Up Summary"}, $B49))) &gt; 0,$B49 &amp; " (" &amp; $E49 &amp; ")",IF(SUMPRODUCT(-- ISNUMBER(SEARCH({"Content","Currency","Number","Percent","Text","URL"}, $B49))) &gt; 0,$B49 &amp; "(" &amp; $C49 &amp; ")",$B49)))), "  ", TRIM(IF($S49 = "YES", "(External ID)", "") &amp; " " &amp; IF(SUMPRODUCT(-- ISNUMBER(SEARCH({"Unique","Unique Case Insensitive"}, $R49))) &gt; 0, "(" &amp; $R49 &amp; ")", ""))))</f>
        <v>Checkbox</v>
      </c>
      <c r="E49" s="7" t="s">
        <v>195</v>
      </c>
      <c r="F49" s="7" t="s">
        <v>734</v>
      </c>
      <c r="G49" s="7" t="s">
        <v>195</v>
      </c>
      <c r="H49" s="7" t="s">
        <v>195</v>
      </c>
      <c r="I49" s="7" t="s">
        <v>195</v>
      </c>
      <c r="J49" s="7" t="s">
        <v>195</v>
      </c>
      <c r="K49" s="7" t="s">
        <v>195</v>
      </c>
      <c r="L49" s="7" t="s">
        <v>195</v>
      </c>
      <c r="M49" s="7" t="s">
        <v>28</v>
      </c>
      <c r="N49" s="7" t="s">
        <v>29</v>
      </c>
      <c r="O49" s="7" t="s">
        <v>29</v>
      </c>
      <c r="P49" s="7" t="s">
        <v>29</v>
      </c>
      <c r="Q49" s="7" t="s">
        <v>29</v>
      </c>
      <c r="R49" s="7" t="s">
        <v>29</v>
      </c>
      <c r="S49" s="7" t="s">
        <v>29</v>
      </c>
    </row>
    <row r="50" spans="1:19">
      <c r="A50" s="7" t="s">
        <v>688</v>
      </c>
      <c r="B50" s="7" t="s">
        <v>1204</v>
      </c>
      <c r="C50" s="8">
        <v>0</v>
      </c>
      <c r="D50" s="6" t="str">
        <f>LRTRIM(CONCATENATE(IF(SUMPRODUCT(-- ISNUMBER(SEARCH({"Auto Number"}, $B50))) &gt; 0, $B50, IF(SUMPRODUCT(-- ISNUMBER(SEARCH({"Lookup","Master-Detail"}, $B50))) &gt; 0,$B50 &amp; "(" &amp; $E50 &amp; ")",IF(SUMPRODUCT(-- ISNUMBER(SEARCH({"Formula","Roll-Up Summary"}, $B50))) &gt; 0,$B50 &amp; " (" &amp; $E50 &amp; ")",IF(SUMPRODUCT(-- ISNUMBER(SEARCH({"Content","Currency","Number","Percent","Text","URL"}, $B50))) &gt; 0,$B50 &amp; "(" &amp; $C50 &amp; ")",$B50)))), "  ", TRIM(IF($S50 = "YES", "(External ID)", "") &amp; " " &amp; IF(SUMPRODUCT(-- ISNUMBER(SEARCH({"Unique","Unique Case Insensitive"}, $R50))) &gt; 0, "(" &amp; $R50 &amp; ")", ""))))</f>
        <v>Checkbox</v>
      </c>
      <c r="E50" s="7" t="s">
        <v>195</v>
      </c>
      <c r="F50" s="7" t="s">
        <v>735</v>
      </c>
      <c r="G50" s="7" t="s">
        <v>195</v>
      </c>
      <c r="H50" s="7" t="s">
        <v>195</v>
      </c>
      <c r="I50" s="7" t="s">
        <v>195</v>
      </c>
      <c r="J50" s="7" t="s">
        <v>195</v>
      </c>
      <c r="K50" s="7" t="s">
        <v>195</v>
      </c>
      <c r="L50" s="7" t="s">
        <v>195</v>
      </c>
      <c r="M50" s="7" t="s">
        <v>28</v>
      </c>
      <c r="N50" s="7" t="s">
        <v>29</v>
      </c>
      <c r="O50" s="7" t="s">
        <v>29</v>
      </c>
      <c r="P50" s="7" t="s">
        <v>29</v>
      </c>
      <c r="Q50" s="7" t="s">
        <v>29</v>
      </c>
      <c r="R50" s="7" t="s">
        <v>29</v>
      </c>
      <c r="S50" s="7" t="s">
        <v>29</v>
      </c>
    </row>
    <row r="51" spans="1:19">
      <c r="A51" s="7" t="s">
        <v>689</v>
      </c>
      <c r="B51" s="7" t="s">
        <v>1204</v>
      </c>
      <c r="C51" s="8">
        <v>0</v>
      </c>
      <c r="D51" s="6" t="str">
        <f>LRTRIM(CONCATENATE(IF(SUMPRODUCT(-- ISNUMBER(SEARCH({"Auto Number"}, $B51))) &gt; 0, $B51, IF(SUMPRODUCT(-- ISNUMBER(SEARCH({"Lookup","Master-Detail"}, $B51))) &gt; 0,$B51 &amp; "(" &amp; $E51 &amp; ")",IF(SUMPRODUCT(-- ISNUMBER(SEARCH({"Formula","Roll-Up Summary"}, $B51))) &gt; 0,$B51 &amp; " (" &amp; $E51 &amp; ")",IF(SUMPRODUCT(-- ISNUMBER(SEARCH({"Content","Currency","Number","Percent","Text","URL"}, $B51))) &gt; 0,$B51 &amp; "(" &amp; $C51 &amp; ")",$B51)))), "  ", TRIM(IF($S51 = "YES", "(External ID)", "") &amp; " " &amp; IF(SUMPRODUCT(-- ISNUMBER(SEARCH({"Unique","Unique Case Insensitive"}, $R51))) &gt; 0, "(" &amp; $R51 &amp; ")", ""))))</f>
        <v>Checkbox</v>
      </c>
      <c r="E51" s="7" t="s">
        <v>195</v>
      </c>
      <c r="F51" s="7" t="s">
        <v>736</v>
      </c>
      <c r="G51" s="7" t="s">
        <v>195</v>
      </c>
      <c r="H51" s="7" t="s">
        <v>195</v>
      </c>
      <c r="I51" s="7" t="s">
        <v>195</v>
      </c>
      <c r="J51" s="7" t="s">
        <v>195</v>
      </c>
      <c r="K51" s="7" t="s">
        <v>195</v>
      </c>
      <c r="L51" s="7" t="s">
        <v>195</v>
      </c>
      <c r="M51" s="7" t="s">
        <v>28</v>
      </c>
      <c r="N51" s="7" t="s">
        <v>29</v>
      </c>
      <c r="O51" s="7" t="s">
        <v>29</v>
      </c>
      <c r="P51" s="7" t="s">
        <v>29</v>
      </c>
      <c r="Q51" s="7" t="s">
        <v>29</v>
      </c>
      <c r="R51" s="7" t="s">
        <v>29</v>
      </c>
      <c r="S51" s="7" t="s">
        <v>29</v>
      </c>
    </row>
    <row r="52" spans="1:19">
      <c r="A52" s="7" t="s">
        <v>690</v>
      </c>
      <c r="B52" s="7" t="s">
        <v>1204</v>
      </c>
      <c r="C52" s="8">
        <v>0</v>
      </c>
      <c r="D52" s="6" t="str">
        <f>LRTRIM(CONCATENATE(IF(SUMPRODUCT(-- ISNUMBER(SEARCH({"Auto Number"}, $B52))) &gt; 0, $B52, IF(SUMPRODUCT(-- ISNUMBER(SEARCH({"Lookup","Master-Detail"}, $B52))) &gt; 0,$B52 &amp; "(" &amp; $E52 &amp; ")",IF(SUMPRODUCT(-- ISNUMBER(SEARCH({"Formula","Roll-Up Summary"}, $B52))) &gt; 0,$B52 &amp; " (" &amp; $E52 &amp; ")",IF(SUMPRODUCT(-- ISNUMBER(SEARCH({"Content","Currency","Number","Percent","Text","URL"}, $B52))) &gt; 0,$B52 &amp; "(" &amp; $C52 &amp; ")",$B52)))), "  ", TRIM(IF($S52 = "YES", "(External ID)", "") &amp; " " &amp; IF(SUMPRODUCT(-- ISNUMBER(SEARCH({"Unique","Unique Case Insensitive"}, $R52))) &gt; 0, "(" &amp; $R52 &amp; ")", ""))))</f>
        <v>Checkbox</v>
      </c>
      <c r="E52" s="7" t="s">
        <v>195</v>
      </c>
      <c r="F52" s="7" t="s">
        <v>737</v>
      </c>
      <c r="G52" s="7" t="s">
        <v>195</v>
      </c>
      <c r="H52" s="7" t="s">
        <v>195</v>
      </c>
      <c r="I52" s="7" t="s">
        <v>195</v>
      </c>
      <c r="J52" s="7" t="s">
        <v>195</v>
      </c>
      <c r="K52" s="7" t="s">
        <v>195</v>
      </c>
      <c r="L52" s="7" t="s">
        <v>195</v>
      </c>
      <c r="M52" s="7" t="s">
        <v>28</v>
      </c>
      <c r="N52" s="7" t="s">
        <v>29</v>
      </c>
      <c r="O52" s="7" t="s">
        <v>29</v>
      </c>
      <c r="P52" s="7" t="s">
        <v>29</v>
      </c>
      <c r="Q52" s="7" t="s">
        <v>29</v>
      </c>
      <c r="R52" s="7" t="s">
        <v>29</v>
      </c>
      <c r="S52" s="7" t="s">
        <v>29</v>
      </c>
    </row>
    <row r="53" spans="1:19">
      <c r="A53" s="7" t="s">
        <v>691</v>
      </c>
      <c r="B53" s="7" t="s">
        <v>1204</v>
      </c>
      <c r="C53" s="8">
        <v>0</v>
      </c>
      <c r="D53" s="6" t="str">
        <f>LRTRIM(CONCATENATE(IF(SUMPRODUCT(-- ISNUMBER(SEARCH({"Auto Number"}, $B53))) &gt; 0, $B53, IF(SUMPRODUCT(-- ISNUMBER(SEARCH({"Lookup","Master-Detail"}, $B53))) &gt; 0,$B53 &amp; "(" &amp; $E53 &amp; ")",IF(SUMPRODUCT(-- ISNUMBER(SEARCH({"Formula","Roll-Up Summary"}, $B53))) &gt; 0,$B53 &amp; " (" &amp; $E53 &amp; ")",IF(SUMPRODUCT(-- ISNUMBER(SEARCH({"Content","Currency","Number","Percent","Text","URL"}, $B53))) &gt; 0,$B53 &amp; "(" &amp; $C53 &amp; ")",$B53)))), "  ", TRIM(IF($S53 = "YES", "(External ID)", "") &amp; " " &amp; IF(SUMPRODUCT(-- ISNUMBER(SEARCH({"Unique","Unique Case Insensitive"}, $R53))) &gt; 0, "(" &amp; $R53 &amp; ")", ""))))</f>
        <v>Checkbox</v>
      </c>
      <c r="E53" s="7" t="s">
        <v>195</v>
      </c>
      <c r="F53" s="7" t="s">
        <v>738</v>
      </c>
      <c r="G53" s="7" t="s">
        <v>195</v>
      </c>
      <c r="H53" s="7" t="s">
        <v>195</v>
      </c>
      <c r="I53" s="7" t="s">
        <v>195</v>
      </c>
      <c r="J53" s="7" t="s">
        <v>195</v>
      </c>
      <c r="K53" s="7" t="s">
        <v>195</v>
      </c>
      <c r="L53" s="7" t="s">
        <v>195</v>
      </c>
      <c r="M53" s="7" t="s">
        <v>28</v>
      </c>
      <c r="N53" s="7" t="s">
        <v>29</v>
      </c>
      <c r="O53" s="7" t="s">
        <v>29</v>
      </c>
      <c r="P53" s="7" t="s">
        <v>29</v>
      </c>
      <c r="Q53" s="7" t="s">
        <v>29</v>
      </c>
      <c r="R53" s="7" t="s">
        <v>29</v>
      </c>
      <c r="S53" s="7" t="s">
        <v>29</v>
      </c>
    </row>
    <row r="54" spans="1:19">
      <c r="A54" s="7" t="s">
        <v>692</v>
      </c>
      <c r="B54" s="7" t="s">
        <v>1204</v>
      </c>
      <c r="C54" s="8">
        <v>0</v>
      </c>
      <c r="D54" s="6" t="str">
        <f>LRTRIM(CONCATENATE(IF(SUMPRODUCT(-- ISNUMBER(SEARCH({"Auto Number"}, $B54))) &gt; 0, $B54, IF(SUMPRODUCT(-- ISNUMBER(SEARCH({"Lookup","Master-Detail"}, $B54))) &gt; 0,$B54 &amp; "(" &amp; $E54 &amp; ")",IF(SUMPRODUCT(-- ISNUMBER(SEARCH({"Formula","Roll-Up Summary"}, $B54))) &gt; 0,$B54 &amp; " (" &amp; $E54 &amp; ")",IF(SUMPRODUCT(-- ISNUMBER(SEARCH({"Content","Currency","Number","Percent","Text","URL"}, $B54))) &gt; 0,$B54 &amp; "(" &amp; $C54 &amp; ")",$B54)))), "  ", TRIM(IF($S54 = "YES", "(External ID)", "") &amp; " " &amp; IF(SUMPRODUCT(-- ISNUMBER(SEARCH({"Unique","Unique Case Insensitive"}, $R54))) &gt; 0, "(" &amp; $R54 &amp; ")", ""))))</f>
        <v>Checkbox</v>
      </c>
      <c r="E54" s="7" t="s">
        <v>195</v>
      </c>
      <c r="F54" s="7" t="s">
        <v>739</v>
      </c>
      <c r="G54" s="7" t="s">
        <v>195</v>
      </c>
      <c r="H54" s="7" t="s">
        <v>195</v>
      </c>
      <c r="I54" s="7" t="s">
        <v>195</v>
      </c>
      <c r="J54" s="7" t="s">
        <v>195</v>
      </c>
      <c r="K54" s="7" t="s">
        <v>195</v>
      </c>
      <c r="L54" s="7" t="s">
        <v>195</v>
      </c>
      <c r="M54" s="7" t="s">
        <v>28</v>
      </c>
      <c r="N54" s="7" t="s">
        <v>29</v>
      </c>
      <c r="O54" s="7" t="s">
        <v>29</v>
      </c>
      <c r="P54" s="7" t="s">
        <v>29</v>
      </c>
      <c r="Q54" s="7" t="s">
        <v>29</v>
      </c>
      <c r="R54" s="7" t="s">
        <v>29</v>
      </c>
      <c r="S54" s="7" t="s">
        <v>29</v>
      </c>
    </row>
    <row r="55" spans="1:19">
      <c r="A55" s="7" t="s">
        <v>693</v>
      </c>
      <c r="B55" s="7" t="s">
        <v>1204</v>
      </c>
      <c r="C55" s="8">
        <v>0</v>
      </c>
      <c r="D55" s="6" t="str">
        <f>LRTRIM(CONCATENATE(IF(SUMPRODUCT(-- ISNUMBER(SEARCH({"Auto Number"}, $B55))) &gt; 0, $B55, IF(SUMPRODUCT(-- ISNUMBER(SEARCH({"Lookup","Master-Detail"}, $B55))) &gt; 0,$B55 &amp; "(" &amp; $E55 &amp; ")",IF(SUMPRODUCT(-- ISNUMBER(SEARCH({"Formula","Roll-Up Summary"}, $B55))) &gt; 0,$B55 &amp; " (" &amp; $E55 &amp; ")",IF(SUMPRODUCT(-- ISNUMBER(SEARCH({"Content","Currency","Number","Percent","Text","URL"}, $B55))) &gt; 0,$B55 &amp; "(" &amp; $C55 &amp; ")",$B55)))), "  ", TRIM(IF($S55 = "YES", "(External ID)", "") &amp; " " &amp; IF(SUMPRODUCT(-- ISNUMBER(SEARCH({"Unique","Unique Case Insensitive"}, $R55))) &gt; 0, "(" &amp; $R55 &amp; ")", ""))))</f>
        <v>Checkbox</v>
      </c>
      <c r="E55" s="7" t="s">
        <v>195</v>
      </c>
      <c r="F55" s="7" t="s">
        <v>740</v>
      </c>
      <c r="G55" s="7" t="s">
        <v>195</v>
      </c>
      <c r="H55" s="7" t="s">
        <v>195</v>
      </c>
      <c r="I55" s="7" t="s">
        <v>195</v>
      </c>
      <c r="J55" s="7" t="s">
        <v>195</v>
      </c>
      <c r="K55" s="7" t="s">
        <v>195</v>
      </c>
      <c r="L55" s="7" t="s">
        <v>195</v>
      </c>
      <c r="M55" s="7" t="s">
        <v>28</v>
      </c>
      <c r="N55" s="7" t="s">
        <v>29</v>
      </c>
      <c r="O55" s="7" t="s">
        <v>29</v>
      </c>
      <c r="P55" s="7" t="s">
        <v>29</v>
      </c>
      <c r="Q55" s="7" t="s">
        <v>29</v>
      </c>
      <c r="R55" s="7" t="s">
        <v>29</v>
      </c>
      <c r="S55" s="7" t="s">
        <v>29</v>
      </c>
    </row>
    <row r="56" spans="1:19">
      <c r="A56" s="7" t="s">
        <v>694</v>
      </c>
      <c r="B56" s="7" t="s">
        <v>1204</v>
      </c>
      <c r="C56" s="8">
        <v>0</v>
      </c>
      <c r="D56" s="6" t="str">
        <f>LRTRIM(CONCATENATE(IF(SUMPRODUCT(-- ISNUMBER(SEARCH({"Auto Number"}, $B56))) &gt; 0, $B56, IF(SUMPRODUCT(-- ISNUMBER(SEARCH({"Lookup","Master-Detail"}, $B56))) &gt; 0,$B56 &amp; "(" &amp; $E56 &amp; ")",IF(SUMPRODUCT(-- ISNUMBER(SEARCH({"Formula","Roll-Up Summary"}, $B56))) &gt; 0,$B56 &amp; " (" &amp; $E56 &amp; ")",IF(SUMPRODUCT(-- ISNUMBER(SEARCH({"Content","Currency","Number","Percent","Text","URL"}, $B56))) &gt; 0,$B56 &amp; "(" &amp; $C56 &amp; ")",$B56)))), "  ", TRIM(IF($S56 = "YES", "(External ID)", "") &amp; " " &amp; IF(SUMPRODUCT(-- ISNUMBER(SEARCH({"Unique","Unique Case Insensitive"}, $R56))) &gt; 0, "(" &amp; $R56 &amp; ")", ""))))</f>
        <v>Checkbox</v>
      </c>
      <c r="E56" s="7" t="s">
        <v>195</v>
      </c>
      <c r="F56" s="7" t="s">
        <v>741</v>
      </c>
      <c r="G56" s="7" t="s">
        <v>195</v>
      </c>
      <c r="H56" s="7" t="s">
        <v>195</v>
      </c>
      <c r="I56" s="7" t="s">
        <v>195</v>
      </c>
      <c r="J56" s="7" t="s">
        <v>195</v>
      </c>
      <c r="K56" s="7" t="s">
        <v>195</v>
      </c>
      <c r="L56" s="7" t="s">
        <v>195</v>
      </c>
      <c r="M56" s="7" t="s">
        <v>28</v>
      </c>
      <c r="N56" s="7" t="s">
        <v>29</v>
      </c>
      <c r="O56" s="7" t="s">
        <v>29</v>
      </c>
      <c r="P56" s="7" t="s">
        <v>29</v>
      </c>
      <c r="Q56" s="7" t="s">
        <v>29</v>
      </c>
      <c r="R56" s="7" t="s">
        <v>29</v>
      </c>
      <c r="S56" s="7" t="s">
        <v>29</v>
      </c>
    </row>
    <row r="57" spans="1:19">
      <c r="A57" s="7" t="s">
        <v>695</v>
      </c>
      <c r="B57" s="7" t="s">
        <v>1204</v>
      </c>
      <c r="C57" s="8">
        <v>0</v>
      </c>
      <c r="D57" s="6" t="str">
        <f>LRTRIM(CONCATENATE(IF(SUMPRODUCT(-- ISNUMBER(SEARCH({"Auto Number"}, $B57))) &gt; 0, $B57, IF(SUMPRODUCT(-- ISNUMBER(SEARCH({"Lookup","Master-Detail"}, $B57))) &gt; 0,$B57 &amp; "(" &amp; $E57 &amp; ")",IF(SUMPRODUCT(-- ISNUMBER(SEARCH({"Formula","Roll-Up Summary"}, $B57))) &gt; 0,$B57 &amp; " (" &amp; $E57 &amp; ")",IF(SUMPRODUCT(-- ISNUMBER(SEARCH({"Content","Currency","Number","Percent","Text","URL"}, $B57))) &gt; 0,$B57 &amp; "(" &amp; $C57 &amp; ")",$B57)))), "  ", TRIM(IF($S57 = "YES", "(External ID)", "") &amp; " " &amp; IF(SUMPRODUCT(-- ISNUMBER(SEARCH({"Unique","Unique Case Insensitive"}, $R57))) &gt; 0, "(" &amp; $R57 &amp; ")", ""))))</f>
        <v>Checkbox</v>
      </c>
      <c r="E57" s="7" t="s">
        <v>195</v>
      </c>
      <c r="F57" s="7" t="s">
        <v>742</v>
      </c>
      <c r="G57" s="7" t="s">
        <v>195</v>
      </c>
      <c r="H57" s="7" t="s">
        <v>195</v>
      </c>
      <c r="I57" s="7" t="s">
        <v>195</v>
      </c>
      <c r="J57" s="7" t="s">
        <v>195</v>
      </c>
      <c r="K57" s="7" t="s">
        <v>195</v>
      </c>
      <c r="L57" s="7" t="s">
        <v>195</v>
      </c>
      <c r="M57" s="7" t="s">
        <v>28</v>
      </c>
      <c r="N57" s="7" t="s">
        <v>29</v>
      </c>
      <c r="O57" s="7" t="s">
        <v>29</v>
      </c>
      <c r="P57" s="7" t="s">
        <v>29</v>
      </c>
      <c r="Q57" s="7" t="s">
        <v>29</v>
      </c>
      <c r="R57" s="7" t="s">
        <v>29</v>
      </c>
      <c r="S57" s="7" t="s">
        <v>29</v>
      </c>
    </row>
    <row r="58" spans="1:19">
      <c r="A58" s="7" t="s">
        <v>696</v>
      </c>
      <c r="B58" s="7" t="s">
        <v>1204</v>
      </c>
      <c r="C58" s="8">
        <v>0</v>
      </c>
      <c r="D58" s="6" t="str">
        <f>LRTRIM(CONCATENATE(IF(SUMPRODUCT(-- ISNUMBER(SEARCH({"Auto Number"}, $B58))) &gt; 0, $B58, IF(SUMPRODUCT(-- ISNUMBER(SEARCH({"Lookup","Master-Detail"}, $B58))) &gt; 0,$B58 &amp; "(" &amp; $E58 &amp; ")",IF(SUMPRODUCT(-- ISNUMBER(SEARCH({"Formula","Roll-Up Summary"}, $B58))) &gt; 0,$B58 &amp; " (" &amp; $E58 &amp; ")",IF(SUMPRODUCT(-- ISNUMBER(SEARCH({"Content","Currency","Number","Percent","Text","URL"}, $B58))) &gt; 0,$B58 &amp; "(" &amp; $C58 &amp; ")",$B58)))), "  ", TRIM(IF($S58 = "YES", "(External ID)", "") &amp; " " &amp; IF(SUMPRODUCT(-- ISNUMBER(SEARCH({"Unique","Unique Case Insensitive"}, $R58))) &gt; 0, "(" &amp; $R58 &amp; ")", ""))))</f>
        <v>Checkbox</v>
      </c>
      <c r="E58" s="7" t="s">
        <v>195</v>
      </c>
      <c r="F58" s="7" t="s">
        <v>743</v>
      </c>
      <c r="G58" s="7" t="s">
        <v>195</v>
      </c>
      <c r="H58" s="7" t="s">
        <v>195</v>
      </c>
      <c r="I58" s="7" t="s">
        <v>195</v>
      </c>
      <c r="J58" s="7" t="s">
        <v>195</v>
      </c>
      <c r="K58" s="7" t="s">
        <v>195</v>
      </c>
      <c r="L58" s="7" t="s">
        <v>195</v>
      </c>
      <c r="M58" s="7" t="s">
        <v>28</v>
      </c>
      <c r="N58" s="7" t="s">
        <v>29</v>
      </c>
      <c r="O58" s="7" t="s">
        <v>29</v>
      </c>
      <c r="P58" s="7" t="s">
        <v>29</v>
      </c>
      <c r="Q58" s="7" t="s">
        <v>29</v>
      </c>
      <c r="R58" s="7" t="s">
        <v>29</v>
      </c>
      <c r="S58" s="7" t="s">
        <v>29</v>
      </c>
    </row>
    <row r="59" spans="1:19">
      <c r="A59" s="7" t="s">
        <v>697</v>
      </c>
      <c r="B59" s="7" t="s">
        <v>1204</v>
      </c>
      <c r="C59" s="8">
        <v>0</v>
      </c>
      <c r="D59" s="6" t="str">
        <f>LRTRIM(CONCATENATE(IF(SUMPRODUCT(-- ISNUMBER(SEARCH({"Auto Number"}, $B59))) &gt; 0, $B59, IF(SUMPRODUCT(-- ISNUMBER(SEARCH({"Lookup","Master-Detail"}, $B59))) &gt; 0,$B59 &amp; "(" &amp; $E59 &amp; ")",IF(SUMPRODUCT(-- ISNUMBER(SEARCH({"Formula","Roll-Up Summary"}, $B59))) &gt; 0,$B59 &amp; " (" &amp; $E59 &amp; ")",IF(SUMPRODUCT(-- ISNUMBER(SEARCH({"Content","Currency","Number","Percent","Text","URL"}, $B59))) &gt; 0,$B59 &amp; "(" &amp; $C59 &amp; ")",$B59)))), "  ", TRIM(IF($S59 = "YES", "(External ID)", "") &amp; " " &amp; IF(SUMPRODUCT(-- ISNUMBER(SEARCH({"Unique","Unique Case Insensitive"}, $R59))) &gt; 0, "(" &amp; $R59 &amp; ")", ""))))</f>
        <v>Checkbox</v>
      </c>
      <c r="E59" s="7" t="s">
        <v>195</v>
      </c>
      <c r="F59" s="7" t="s">
        <v>744</v>
      </c>
      <c r="G59" s="7" t="s">
        <v>195</v>
      </c>
      <c r="H59" s="7" t="s">
        <v>195</v>
      </c>
      <c r="I59" s="7" t="s">
        <v>195</v>
      </c>
      <c r="J59" s="7" t="s">
        <v>195</v>
      </c>
      <c r="K59" s="7" t="s">
        <v>195</v>
      </c>
      <c r="L59" s="7" t="s">
        <v>195</v>
      </c>
      <c r="M59" s="7" t="s">
        <v>28</v>
      </c>
      <c r="N59" s="7" t="s">
        <v>29</v>
      </c>
      <c r="O59" s="7" t="s">
        <v>29</v>
      </c>
      <c r="P59" s="7" t="s">
        <v>29</v>
      </c>
      <c r="Q59" s="7" t="s">
        <v>29</v>
      </c>
      <c r="R59" s="7" t="s">
        <v>29</v>
      </c>
      <c r="S59" s="7" t="s">
        <v>29</v>
      </c>
    </row>
    <row r="60" spans="1:19">
      <c r="A60" s="7" t="s">
        <v>698</v>
      </c>
      <c r="B60" s="7" t="s">
        <v>1204</v>
      </c>
      <c r="C60" s="8">
        <v>0</v>
      </c>
      <c r="D60" s="6" t="str">
        <f>LRTRIM(CONCATENATE(IF(SUMPRODUCT(-- ISNUMBER(SEARCH({"Auto Number"}, $B60))) &gt; 0, $B60, IF(SUMPRODUCT(-- ISNUMBER(SEARCH({"Lookup","Master-Detail"}, $B60))) &gt; 0,$B60 &amp; "(" &amp; $E60 &amp; ")",IF(SUMPRODUCT(-- ISNUMBER(SEARCH({"Formula","Roll-Up Summary"}, $B60))) &gt; 0,$B60 &amp; " (" &amp; $E60 &amp; ")",IF(SUMPRODUCT(-- ISNUMBER(SEARCH({"Content","Currency","Number","Percent","Text","URL"}, $B60))) &gt; 0,$B60 &amp; "(" &amp; $C60 &amp; ")",$B60)))), "  ", TRIM(IF($S60 = "YES", "(External ID)", "") &amp; " " &amp; IF(SUMPRODUCT(-- ISNUMBER(SEARCH({"Unique","Unique Case Insensitive"}, $R60))) &gt; 0, "(" &amp; $R60 &amp; ")", ""))))</f>
        <v>Checkbox</v>
      </c>
      <c r="E60" s="7" t="s">
        <v>195</v>
      </c>
      <c r="F60" s="7" t="s">
        <v>745</v>
      </c>
      <c r="G60" s="7" t="s">
        <v>195</v>
      </c>
      <c r="H60" s="7" t="s">
        <v>195</v>
      </c>
      <c r="I60" s="7" t="s">
        <v>195</v>
      </c>
      <c r="J60" s="7" t="s">
        <v>195</v>
      </c>
      <c r="K60" s="7" t="s">
        <v>195</v>
      </c>
      <c r="L60" s="7" t="s">
        <v>195</v>
      </c>
      <c r="M60" s="7" t="s">
        <v>28</v>
      </c>
      <c r="N60" s="7" t="s">
        <v>29</v>
      </c>
      <c r="O60" s="7" t="s">
        <v>29</v>
      </c>
      <c r="P60" s="7" t="s">
        <v>29</v>
      </c>
      <c r="Q60" s="7" t="s">
        <v>29</v>
      </c>
      <c r="R60" s="7" t="s">
        <v>29</v>
      </c>
      <c r="S60" s="7" t="s">
        <v>29</v>
      </c>
    </row>
    <row r="61" spans="1:19">
      <c r="A61" s="7" t="s">
        <v>699</v>
      </c>
      <c r="B61" s="7" t="s">
        <v>1204</v>
      </c>
      <c r="C61" s="8">
        <v>0</v>
      </c>
      <c r="D61" s="6" t="str">
        <f>LRTRIM(CONCATENATE(IF(SUMPRODUCT(-- ISNUMBER(SEARCH({"Auto Number"}, $B61))) &gt; 0, $B61, IF(SUMPRODUCT(-- ISNUMBER(SEARCH({"Lookup","Master-Detail"}, $B61))) &gt; 0,$B61 &amp; "(" &amp; $E61 &amp; ")",IF(SUMPRODUCT(-- ISNUMBER(SEARCH({"Formula","Roll-Up Summary"}, $B61))) &gt; 0,$B61 &amp; " (" &amp; $E61 &amp; ")",IF(SUMPRODUCT(-- ISNUMBER(SEARCH({"Content","Currency","Number","Percent","Text","URL"}, $B61))) &gt; 0,$B61 &amp; "(" &amp; $C61 &amp; ")",$B61)))), "  ", TRIM(IF($S61 = "YES", "(External ID)", "") &amp; " " &amp; IF(SUMPRODUCT(-- ISNUMBER(SEARCH({"Unique","Unique Case Insensitive"}, $R61))) &gt; 0, "(" &amp; $R61 &amp; ")", ""))))</f>
        <v>Checkbox</v>
      </c>
      <c r="E61" s="7" t="s">
        <v>195</v>
      </c>
      <c r="F61" s="7" t="s">
        <v>746</v>
      </c>
      <c r="G61" s="7" t="s">
        <v>195</v>
      </c>
      <c r="H61" s="7" t="s">
        <v>195</v>
      </c>
      <c r="I61" s="7" t="s">
        <v>195</v>
      </c>
      <c r="J61" s="7" t="s">
        <v>195</v>
      </c>
      <c r="K61" s="7" t="s">
        <v>195</v>
      </c>
      <c r="L61" s="7" t="s">
        <v>195</v>
      </c>
      <c r="M61" s="7" t="s">
        <v>28</v>
      </c>
      <c r="N61" s="7" t="s">
        <v>29</v>
      </c>
      <c r="O61" s="7" t="s">
        <v>29</v>
      </c>
      <c r="P61" s="7" t="s">
        <v>29</v>
      </c>
      <c r="Q61" s="7" t="s">
        <v>29</v>
      </c>
      <c r="R61" s="7" t="s">
        <v>29</v>
      </c>
      <c r="S61" s="7" t="s">
        <v>29</v>
      </c>
    </row>
    <row r="62" spans="1:19">
      <c r="A62" s="7" t="s">
        <v>700</v>
      </c>
      <c r="B62" s="7" t="s">
        <v>1204</v>
      </c>
      <c r="C62" s="8">
        <v>0</v>
      </c>
      <c r="D62" s="6" t="str">
        <f>LRTRIM(CONCATENATE(IF(SUMPRODUCT(-- ISNUMBER(SEARCH({"Auto Number"}, $B62))) &gt; 0, $B62, IF(SUMPRODUCT(-- ISNUMBER(SEARCH({"Lookup","Master-Detail"}, $B62))) &gt; 0,$B62 &amp; "(" &amp; $E62 &amp; ")",IF(SUMPRODUCT(-- ISNUMBER(SEARCH({"Formula","Roll-Up Summary"}, $B62))) &gt; 0,$B62 &amp; " (" &amp; $E62 &amp; ")",IF(SUMPRODUCT(-- ISNUMBER(SEARCH({"Content","Currency","Number","Percent","Text","URL"}, $B62))) &gt; 0,$B62 &amp; "(" &amp; $C62 &amp; ")",$B62)))), "  ", TRIM(IF($S62 = "YES", "(External ID)", "") &amp; " " &amp; IF(SUMPRODUCT(-- ISNUMBER(SEARCH({"Unique","Unique Case Insensitive"}, $R62))) &gt; 0, "(" &amp; $R62 &amp; ")", ""))))</f>
        <v>Checkbox</v>
      </c>
      <c r="E62" s="7" t="s">
        <v>195</v>
      </c>
      <c r="F62" s="7" t="s">
        <v>747</v>
      </c>
      <c r="G62" s="7" t="s">
        <v>195</v>
      </c>
      <c r="H62" s="7" t="s">
        <v>195</v>
      </c>
      <c r="I62" s="7" t="s">
        <v>195</v>
      </c>
      <c r="J62" s="7" t="s">
        <v>195</v>
      </c>
      <c r="K62" s="7" t="s">
        <v>195</v>
      </c>
      <c r="L62" s="7" t="s">
        <v>195</v>
      </c>
      <c r="M62" s="7" t="s">
        <v>28</v>
      </c>
      <c r="N62" s="7" t="s">
        <v>29</v>
      </c>
      <c r="O62" s="7" t="s">
        <v>29</v>
      </c>
      <c r="P62" s="7" t="s">
        <v>29</v>
      </c>
      <c r="Q62" s="7" t="s">
        <v>29</v>
      </c>
      <c r="R62" s="7" t="s">
        <v>29</v>
      </c>
      <c r="S62" s="7" t="s">
        <v>29</v>
      </c>
    </row>
    <row r="63" spans="1:19">
      <c r="A63" s="7" t="s">
        <v>14</v>
      </c>
      <c r="B63" s="7" t="s">
        <v>1204</v>
      </c>
      <c r="C63" s="8">
        <v>0</v>
      </c>
      <c r="D63" s="6" t="str">
        <f>LRTRIM(CONCATENATE(IF(SUMPRODUCT(-- ISNUMBER(SEARCH({"Auto Number"}, $B63))) &gt; 0, $B63, IF(SUMPRODUCT(-- ISNUMBER(SEARCH({"Lookup","Master-Detail"}, $B63))) &gt; 0,$B63 &amp; "(" &amp; $E63 &amp; ")",IF(SUMPRODUCT(-- ISNUMBER(SEARCH({"Formula","Roll-Up Summary"}, $B63))) &gt; 0,$B63 &amp; " (" &amp; $E63 &amp; ")",IF(SUMPRODUCT(-- ISNUMBER(SEARCH({"Content","Currency","Number","Percent","Text","URL"}, $B63))) &gt; 0,$B63 &amp; "(" &amp; $C63 &amp; ")",$B63)))), "  ", TRIM(IF($S63 = "YES", "(External ID)", "") &amp; " " &amp; IF(SUMPRODUCT(-- ISNUMBER(SEARCH({"Unique","Unique Case Insensitive"}, $R63))) &gt; 0, "(" &amp; $R63 &amp; ")", ""))))</f>
        <v>Checkbox</v>
      </c>
      <c r="E63" s="7" t="s">
        <v>195</v>
      </c>
      <c r="F63" s="7" t="s">
        <v>25</v>
      </c>
      <c r="G63" s="7" t="s">
        <v>195</v>
      </c>
      <c r="H63" s="7" t="s">
        <v>195</v>
      </c>
      <c r="I63" s="7" t="s">
        <v>195</v>
      </c>
      <c r="J63" s="7" t="s">
        <v>195</v>
      </c>
      <c r="K63" s="7" t="s">
        <v>195</v>
      </c>
      <c r="L63" s="7" t="s">
        <v>195</v>
      </c>
      <c r="M63" s="7" t="s">
        <v>28</v>
      </c>
      <c r="N63" s="7" t="s">
        <v>29</v>
      </c>
      <c r="O63" s="7" t="s">
        <v>29</v>
      </c>
      <c r="P63" s="7" t="s">
        <v>29</v>
      </c>
      <c r="Q63" s="7" t="s">
        <v>29</v>
      </c>
      <c r="R63" s="7" t="s">
        <v>29</v>
      </c>
      <c r="S63" s="7" t="s">
        <v>29</v>
      </c>
    </row>
    <row r="64" spans="1:19">
      <c r="A64" s="7" t="s">
        <v>1639</v>
      </c>
      <c r="B64" s="7" t="s">
        <v>1209</v>
      </c>
      <c r="C64" s="8" t="s">
        <v>195</v>
      </c>
      <c r="D64" s="6" t="str">
        <f>LRTRIM(CONCATENATE(IF(SUMPRODUCT(-- ISNUMBER(SEARCH({"Auto Number"}, $B64))) &gt; 0, $B64, IF(SUMPRODUCT(-- ISNUMBER(SEARCH({"Lookup","Master-Detail"}, $B64))) &gt; 0,$B64 &amp; "(" &amp; $E64 &amp; ")",IF(SUMPRODUCT(-- ISNUMBER(SEARCH({"Formula","Roll-Up Summary"}, $B64))) &gt; 0,$B64 &amp; " (" &amp; $E64 &amp; ")",IF(SUMPRODUCT(-- ISNUMBER(SEARCH({"Content","Currency","Number","Percent","Text","URL"}, $B64))) &gt; 0,$B64 &amp; "(" &amp; $C64 &amp; ")",$B64)))), "  ", TRIM(IF($S64 = "YES", "(External ID)", "") &amp; " " &amp; IF(SUMPRODUCT(-- ISNUMBER(SEARCH({"Unique","Unique Case Insensitive"}, $R64))) &gt; 0, "(" &amp; $R64 &amp; ")", ""))))</f>
        <v>Formula (Currency)</v>
      </c>
      <c r="E64" s="7" t="s">
        <v>1206</v>
      </c>
      <c r="F64" s="7" t="s">
        <v>1663</v>
      </c>
      <c r="G64" s="7" t="s">
        <v>195</v>
      </c>
      <c r="H64" s="7" t="s">
        <v>195</v>
      </c>
      <c r="I64" s="7" t="s">
        <v>195</v>
      </c>
      <c r="J64" s="7" t="s">
        <v>195</v>
      </c>
      <c r="K64" s="7" t="s">
        <v>195</v>
      </c>
      <c r="L64" s="7" t="s">
        <v>195</v>
      </c>
      <c r="M64" s="7" t="s">
        <v>29</v>
      </c>
      <c r="N64" s="7" t="s">
        <v>29</v>
      </c>
      <c r="O64" s="7" t="s">
        <v>29</v>
      </c>
      <c r="P64" s="7" t="s">
        <v>29</v>
      </c>
      <c r="Q64" s="7" t="s">
        <v>29</v>
      </c>
      <c r="R64" s="7" t="s">
        <v>29</v>
      </c>
      <c r="S64" s="7" t="s">
        <v>29</v>
      </c>
    </row>
    <row r="65" spans="1:19">
      <c r="A65" s="7" t="s">
        <v>1640</v>
      </c>
      <c r="B65" s="7" t="s">
        <v>1209</v>
      </c>
      <c r="C65" s="8" t="s">
        <v>195</v>
      </c>
      <c r="D65" s="6" t="str">
        <f>LRTRIM(CONCATENATE(IF(SUMPRODUCT(-- ISNUMBER(SEARCH({"Auto Number"}, $B65))) &gt; 0, $B65, IF(SUMPRODUCT(-- ISNUMBER(SEARCH({"Lookup","Master-Detail"}, $B65))) &gt; 0,$B65 &amp; "(" &amp; $E65 &amp; ")",IF(SUMPRODUCT(-- ISNUMBER(SEARCH({"Formula","Roll-Up Summary"}, $B65))) &gt; 0,$B65 &amp; " (" &amp; $E65 &amp; ")",IF(SUMPRODUCT(-- ISNUMBER(SEARCH({"Content","Currency","Number","Percent","Text","URL"}, $B65))) &gt; 0,$B65 &amp; "(" &amp; $C65 &amp; ")",$B65)))), "  ", TRIM(IF($S65 = "YES", "(External ID)", "") &amp; " " &amp; IF(SUMPRODUCT(-- ISNUMBER(SEARCH({"Unique","Unique Case Insensitive"}, $R65))) &gt; 0, "(" &amp; $R65 &amp; ")", ""))))</f>
        <v>Formula (Currency)</v>
      </c>
      <c r="E65" s="7" t="s">
        <v>1206</v>
      </c>
      <c r="F65" s="7" t="s">
        <v>1664</v>
      </c>
      <c r="G65" s="7" t="s">
        <v>195</v>
      </c>
      <c r="H65" s="7" t="s">
        <v>195</v>
      </c>
      <c r="I65" s="7" t="s">
        <v>195</v>
      </c>
      <c r="J65" s="7" t="s">
        <v>195</v>
      </c>
      <c r="K65" s="7" t="s">
        <v>195</v>
      </c>
      <c r="L65" s="7" t="s">
        <v>195</v>
      </c>
      <c r="M65" s="7" t="s">
        <v>29</v>
      </c>
      <c r="N65" s="7" t="s">
        <v>29</v>
      </c>
      <c r="O65" s="7" t="s">
        <v>29</v>
      </c>
      <c r="P65" s="7" t="s">
        <v>29</v>
      </c>
      <c r="Q65" s="7" t="s">
        <v>29</v>
      </c>
      <c r="R65" s="7" t="s">
        <v>29</v>
      </c>
      <c r="S65" s="7" t="s">
        <v>29</v>
      </c>
    </row>
    <row r="66" spans="1:19">
      <c r="A66" s="7" t="s">
        <v>1641</v>
      </c>
      <c r="B66" s="7" t="s">
        <v>1209</v>
      </c>
      <c r="C66" s="8" t="s">
        <v>195</v>
      </c>
      <c r="D66" s="6" t="str">
        <f>LRTRIM(CONCATENATE(IF(SUMPRODUCT(-- ISNUMBER(SEARCH({"Auto Number"}, $B66))) &gt; 0, $B66, IF(SUMPRODUCT(-- ISNUMBER(SEARCH({"Lookup","Master-Detail"}, $B66))) &gt; 0,$B66 &amp; "(" &amp; $E66 &amp; ")",IF(SUMPRODUCT(-- ISNUMBER(SEARCH({"Formula","Roll-Up Summary"}, $B66))) &gt; 0,$B66 &amp; " (" &amp; $E66 &amp; ")",IF(SUMPRODUCT(-- ISNUMBER(SEARCH({"Content","Currency","Number","Percent","Text","URL"}, $B66))) &gt; 0,$B66 &amp; "(" &amp; $C66 &amp; ")",$B66)))), "  ", TRIM(IF($S66 = "YES", "(External ID)", "") &amp; " " &amp; IF(SUMPRODUCT(-- ISNUMBER(SEARCH({"Unique","Unique Case Insensitive"}, $R66))) &gt; 0, "(" &amp; $R66 &amp; ")", ""))))</f>
        <v>Formula (Currency)</v>
      </c>
      <c r="E66" s="7" t="s">
        <v>1206</v>
      </c>
      <c r="F66" s="7" t="s">
        <v>1665</v>
      </c>
      <c r="G66" s="7" t="s">
        <v>195</v>
      </c>
      <c r="H66" s="7" t="s">
        <v>195</v>
      </c>
      <c r="I66" s="7" t="s">
        <v>195</v>
      </c>
      <c r="J66" s="7" t="s">
        <v>195</v>
      </c>
      <c r="K66" s="7" t="s">
        <v>195</v>
      </c>
      <c r="L66" s="7" t="s">
        <v>195</v>
      </c>
      <c r="M66" s="7" t="s">
        <v>29</v>
      </c>
      <c r="N66" s="7" t="s">
        <v>29</v>
      </c>
      <c r="O66" s="7" t="s">
        <v>29</v>
      </c>
      <c r="P66" s="7" t="s">
        <v>29</v>
      </c>
      <c r="Q66" s="7" t="s">
        <v>29</v>
      </c>
      <c r="R66" s="7" t="s">
        <v>29</v>
      </c>
      <c r="S66" s="7" t="s">
        <v>29</v>
      </c>
    </row>
    <row r="67" spans="1:19">
      <c r="A67" s="7" t="s">
        <v>1642</v>
      </c>
      <c r="B67" s="7" t="s">
        <v>1209</v>
      </c>
      <c r="C67" s="8" t="s">
        <v>195</v>
      </c>
      <c r="D67" s="6" t="str">
        <f>LRTRIM(CONCATENATE(IF(SUMPRODUCT(-- ISNUMBER(SEARCH({"Auto Number"}, $B67))) &gt; 0, $B67, IF(SUMPRODUCT(-- ISNUMBER(SEARCH({"Lookup","Master-Detail"}, $B67))) &gt; 0,$B67 &amp; "(" &amp; $E67 &amp; ")",IF(SUMPRODUCT(-- ISNUMBER(SEARCH({"Formula","Roll-Up Summary"}, $B67))) &gt; 0,$B67 &amp; " (" &amp; $E67 &amp; ")",IF(SUMPRODUCT(-- ISNUMBER(SEARCH({"Content","Currency","Number","Percent","Text","URL"}, $B67))) &gt; 0,$B67 &amp; "(" &amp; $C67 &amp; ")",$B67)))), "  ", TRIM(IF($S67 = "YES", "(External ID)", "") &amp; " " &amp; IF(SUMPRODUCT(-- ISNUMBER(SEARCH({"Unique","Unique Case Insensitive"}, $R67))) &gt; 0, "(" &amp; $R67 &amp; ")", ""))))</f>
        <v>Formula (Currency)</v>
      </c>
      <c r="E67" s="7" t="s">
        <v>1206</v>
      </c>
      <c r="F67" s="7" t="s">
        <v>1666</v>
      </c>
      <c r="G67" s="7" t="s">
        <v>195</v>
      </c>
      <c r="H67" s="7" t="s">
        <v>195</v>
      </c>
      <c r="I67" s="7" t="s">
        <v>195</v>
      </c>
      <c r="J67" s="7" t="s">
        <v>195</v>
      </c>
      <c r="K67" s="7" t="s">
        <v>195</v>
      </c>
      <c r="L67" s="7" t="s">
        <v>195</v>
      </c>
      <c r="M67" s="7" t="s">
        <v>29</v>
      </c>
      <c r="N67" s="7" t="s">
        <v>29</v>
      </c>
      <c r="O67" s="7" t="s">
        <v>29</v>
      </c>
      <c r="P67" s="7" t="s">
        <v>29</v>
      </c>
      <c r="Q67" s="7" t="s">
        <v>29</v>
      </c>
      <c r="R67" s="7" t="s">
        <v>29</v>
      </c>
      <c r="S67" s="7" t="s">
        <v>29</v>
      </c>
    </row>
    <row r="68" spans="1:19">
      <c r="A68" s="7" t="s">
        <v>1643</v>
      </c>
      <c r="B68" s="7" t="s">
        <v>1209</v>
      </c>
      <c r="C68" s="8" t="s">
        <v>195</v>
      </c>
      <c r="D68" s="6" t="str">
        <f>LRTRIM(CONCATENATE(IF(SUMPRODUCT(-- ISNUMBER(SEARCH({"Auto Number"}, $B68))) &gt; 0, $B68, IF(SUMPRODUCT(-- ISNUMBER(SEARCH({"Lookup","Master-Detail"}, $B68))) &gt; 0,$B68 &amp; "(" &amp; $E68 &amp; ")",IF(SUMPRODUCT(-- ISNUMBER(SEARCH({"Formula","Roll-Up Summary"}, $B68))) &gt; 0,$B68 &amp; " (" &amp; $E68 &amp; ")",IF(SUMPRODUCT(-- ISNUMBER(SEARCH({"Content","Currency","Number","Percent","Text","URL"}, $B68))) &gt; 0,$B68 &amp; "(" &amp; $C68 &amp; ")",$B68)))), "  ", TRIM(IF($S68 = "YES", "(External ID)", "") &amp; " " &amp; IF(SUMPRODUCT(-- ISNUMBER(SEARCH({"Unique","Unique Case Insensitive"}, $R68))) &gt; 0, "(" &amp; $R68 &amp; ")", ""))))</f>
        <v>Formula (Currency)</v>
      </c>
      <c r="E68" s="7" t="s">
        <v>1206</v>
      </c>
      <c r="F68" s="7" t="s">
        <v>1667</v>
      </c>
      <c r="G68" s="7" t="s">
        <v>195</v>
      </c>
      <c r="H68" s="7" t="s">
        <v>195</v>
      </c>
      <c r="I68" s="7" t="s">
        <v>195</v>
      </c>
      <c r="J68" s="7" t="s">
        <v>195</v>
      </c>
      <c r="K68" s="7" t="s">
        <v>195</v>
      </c>
      <c r="L68" s="7" t="s">
        <v>195</v>
      </c>
      <c r="M68" s="7" t="s">
        <v>29</v>
      </c>
      <c r="N68" s="7" t="s">
        <v>29</v>
      </c>
      <c r="O68" s="7" t="s">
        <v>29</v>
      </c>
      <c r="P68" s="7" t="s">
        <v>29</v>
      </c>
      <c r="Q68" s="7" t="s">
        <v>29</v>
      </c>
      <c r="R68" s="7" t="s">
        <v>29</v>
      </c>
      <c r="S68" s="7" t="s">
        <v>29</v>
      </c>
    </row>
    <row r="69" spans="1:19">
      <c r="A69" s="7" t="s">
        <v>1644</v>
      </c>
      <c r="B69" s="7" t="s">
        <v>1209</v>
      </c>
      <c r="C69" s="8" t="s">
        <v>195</v>
      </c>
      <c r="D69" s="6" t="str">
        <f>LRTRIM(CONCATENATE(IF(SUMPRODUCT(-- ISNUMBER(SEARCH({"Auto Number"}, $B69))) &gt; 0, $B69, IF(SUMPRODUCT(-- ISNUMBER(SEARCH({"Lookup","Master-Detail"}, $B69))) &gt; 0,$B69 &amp; "(" &amp; $E69 &amp; ")",IF(SUMPRODUCT(-- ISNUMBER(SEARCH({"Formula","Roll-Up Summary"}, $B69))) &gt; 0,$B69 &amp; " (" &amp; $E69 &amp; ")",IF(SUMPRODUCT(-- ISNUMBER(SEARCH({"Content","Currency","Number","Percent","Text","URL"}, $B69))) &gt; 0,$B69 &amp; "(" &amp; $C69 &amp; ")",$B69)))), "  ", TRIM(IF($S69 = "YES", "(External ID)", "") &amp; " " &amp; IF(SUMPRODUCT(-- ISNUMBER(SEARCH({"Unique","Unique Case Insensitive"}, $R69))) &gt; 0, "(" &amp; $R69 &amp; ")", ""))))</f>
        <v>Formula (Currency)</v>
      </c>
      <c r="E69" s="7" t="s">
        <v>1206</v>
      </c>
      <c r="F69" s="7" t="s">
        <v>1668</v>
      </c>
      <c r="G69" s="7" t="s">
        <v>195</v>
      </c>
      <c r="H69" s="7" t="s">
        <v>195</v>
      </c>
      <c r="I69" s="7" t="s">
        <v>195</v>
      </c>
      <c r="J69" s="7" t="s">
        <v>195</v>
      </c>
      <c r="K69" s="7" t="s">
        <v>195</v>
      </c>
      <c r="L69" s="7" t="s">
        <v>195</v>
      </c>
      <c r="M69" s="7" t="s">
        <v>29</v>
      </c>
      <c r="N69" s="7" t="s">
        <v>29</v>
      </c>
      <c r="O69" s="7" t="s">
        <v>29</v>
      </c>
      <c r="P69" s="7" t="s">
        <v>29</v>
      </c>
      <c r="Q69" s="7" t="s">
        <v>29</v>
      </c>
      <c r="R69" s="7" t="s">
        <v>29</v>
      </c>
      <c r="S69" s="7" t="s">
        <v>29</v>
      </c>
    </row>
    <row r="70" spans="1:19">
      <c r="A70" s="7" t="s">
        <v>1645</v>
      </c>
      <c r="B70" s="7" t="s">
        <v>1209</v>
      </c>
      <c r="C70" s="8" t="s">
        <v>195</v>
      </c>
      <c r="D70" s="6" t="str">
        <f>LRTRIM(CONCATENATE(IF(SUMPRODUCT(-- ISNUMBER(SEARCH({"Auto Number"}, $B70))) &gt; 0, $B70, IF(SUMPRODUCT(-- ISNUMBER(SEARCH({"Lookup","Master-Detail"}, $B70))) &gt; 0,$B70 &amp; "(" &amp; $E70 &amp; ")",IF(SUMPRODUCT(-- ISNUMBER(SEARCH({"Formula","Roll-Up Summary"}, $B70))) &gt; 0,$B70 &amp; " (" &amp; $E70 &amp; ")",IF(SUMPRODUCT(-- ISNUMBER(SEARCH({"Content","Currency","Number","Percent","Text","URL"}, $B70))) &gt; 0,$B70 &amp; "(" &amp; $C70 &amp; ")",$B70)))), "  ", TRIM(IF($S70 = "YES", "(External ID)", "") &amp; " " &amp; IF(SUMPRODUCT(-- ISNUMBER(SEARCH({"Unique","Unique Case Insensitive"}, $R70))) &gt; 0, "(" &amp; $R70 &amp; ")", ""))))</f>
        <v>Formula (Currency)</v>
      </c>
      <c r="E70" s="7" t="s">
        <v>1206</v>
      </c>
      <c r="F70" s="7" t="s">
        <v>1669</v>
      </c>
      <c r="G70" s="7" t="s">
        <v>195</v>
      </c>
      <c r="H70" s="7" t="s">
        <v>195</v>
      </c>
      <c r="I70" s="7" t="s">
        <v>195</v>
      </c>
      <c r="J70" s="7" t="s">
        <v>195</v>
      </c>
      <c r="K70" s="7" t="s">
        <v>195</v>
      </c>
      <c r="L70" s="7" t="s">
        <v>195</v>
      </c>
      <c r="M70" s="7" t="s">
        <v>29</v>
      </c>
      <c r="N70" s="7" t="s">
        <v>29</v>
      </c>
      <c r="O70" s="7" t="s">
        <v>29</v>
      </c>
      <c r="P70" s="7" t="s">
        <v>29</v>
      </c>
      <c r="Q70" s="7" t="s">
        <v>29</v>
      </c>
      <c r="R70" s="7" t="s">
        <v>29</v>
      </c>
      <c r="S70" s="7" t="s">
        <v>29</v>
      </c>
    </row>
    <row r="71" spans="1:19">
      <c r="A71" s="7" t="s">
        <v>1646</v>
      </c>
      <c r="B71" s="7" t="s">
        <v>1209</v>
      </c>
      <c r="C71" s="8" t="s">
        <v>195</v>
      </c>
      <c r="D71" s="6" t="str">
        <f>LRTRIM(CONCATENATE(IF(SUMPRODUCT(-- ISNUMBER(SEARCH({"Auto Number"}, $B71))) &gt; 0, $B71, IF(SUMPRODUCT(-- ISNUMBER(SEARCH({"Lookup","Master-Detail"}, $B71))) &gt; 0,$B71 &amp; "(" &amp; $E71 &amp; ")",IF(SUMPRODUCT(-- ISNUMBER(SEARCH({"Formula","Roll-Up Summary"}, $B71))) &gt; 0,$B71 &amp; " (" &amp; $E71 &amp; ")",IF(SUMPRODUCT(-- ISNUMBER(SEARCH({"Content","Currency","Number","Percent","Text","URL"}, $B71))) &gt; 0,$B71 &amp; "(" &amp; $C71 &amp; ")",$B71)))), "  ", TRIM(IF($S71 = "YES", "(External ID)", "") &amp; " " &amp; IF(SUMPRODUCT(-- ISNUMBER(SEARCH({"Unique","Unique Case Insensitive"}, $R71))) &gt; 0, "(" &amp; $R71 &amp; ")", ""))))</f>
        <v>Formula (Currency)</v>
      </c>
      <c r="E71" s="7" t="s">
        <v>1206</v>
      </c>
      <c r="F71" s="7" t="s">
        <v>1670</v>
      </c>
      <c r="G71" s="7" t="s">
        <v>195</v>
      </c>
      <c r="H71" s="7" t="s">
        <v>195</v>
      </c>
      <c r="I71" s="7" t="s">
        <v>195</v>
      </c>
      <c r="J71" s="7" t="s">
        <v>195</v>
      </c>
      <c r="K71" s="7" t="s">
        <v>195</v>
      </c>
      <c r="L71" s="7" t="s">
        <v>195</v>
      </c>
      <c r="M71" s="7" t="s">
        <v>29</v>
      </c>
      <c r="N71" s="7" t="s">
        <v>29</v>
      </c>
      <c r="O71" s="7" t="s">
        <v>29</v>
      </c>
      <c r="P71" s="7" t="s">
        <v>29</v>
      </c>
      <c r="Q71" s="7" t="s">
        <v>29</v>
      </c>
      <c r="R71" s="7" t="s">
        <v>29</v>
      </c>
      <c r="S71" s="7" t="s">
        <v>29</v>
      </c>
    </row>
    <row r="72" spans="1:19">
      <c r="A72" s="7" t="s">
        <v>701</v>
      </c>
      <c r="B72" s="7" t="s">
        <v>1211</v>
      </c>
      <c r="C72" s="8">
        <v>18</v>
      </c>
      <c r="D72" s="6" t="str">
        <f>LRTRIM(CONCATENATE(IF(SUMPRODUCT(-- ISNUMBER(SEARCH({"Auto Number"}, $B72))) &gt; 0, $B72, IF(SUMPRODUCT(-- ISNUMBER(SEARCH({"Lookup","Master-Detail"}, $B72))) &gt; 0,$B72 &amp; "(" &amp; $E72 &amp; ")",IF(SUMPRODUCT(-- ISNUMBER(SEARCH({"Formula","Roll-Up Summary"}, $B72))) &gt; 0,$B72 &amp; " (" &amp; $E72 &amp; ")",IF(SUMPRODUCT(-- ISNUMBER(SEARCH({"Content","Currency","Number","Percent","Text","URL"}, $B72))) &gt; 0,$B72 &amp; "(" &amp; $C72 &amp; ")",$B72)))), "  ", TRIM(IF($S72 = "YES", "(External ID)", "") &amp; " " &amp; IF(SUMPRODUCT(-- ISNUMBER(SEARCH({"Unique","Unique Case Insensitive"}, $R72))) &gt; 0, "(" &amp; $R72 &amp; ")", ""))))</f>
        <v>Lookup(Opportunity)</v>
      </c>
      <c r="E72" s="7" t="s">
        <v>714</v>
      </c>
      <c r="F72" s="7" t="s">
        <v>714</v>
      </c>
      <c r="G72" s="7" t="s">
        <v>195</v>
      </c>
      <c r="H72" s="7" t="s">
        <v>195</v>
      </c>
      <c r="I72" s="7" t="s">
        <v>195</v>
      </c>
      <c r="J72" s="7" t="s">
        <v>195</v>
      </c>
      <c r="K72" s="7" t="s">
        <v>195</v>
      </c>
      <c r="L72" s="7" t="s">
        <v>195</v>
      </c>
      <c r="M72" s="7" t="s">
        <v>28</v>
      </c>
      <c r="N72" s="7" t="s">
        <v>29</v>
      </c>
      <c r="O72" s="7" t="s">
        <v>29</v>
      </c>
      <c r="P72" s="7" t="s">
        <v>29</v>
      </c>
      <c r="Q72" s="7" t="s">
        <v>29</v>
      </c>
      <c r="R72" s="7" t="s">
        <v>29</v>
      </c>
      <c r="S72" s="7" t="s">
        <v>29</v>
      </c>
    </row>
    <row r="73" spans="1:19">
      <c r="A73" s="7" t="s">
        <v>702</v>
      </c>
      <c r="B73" s="7" t="s">
        <v>1218</v>
      </c>
      <c r="C73" s="8">
        <v>80</v>
      </c>
      <c r="D73" s="6" t="str">
        <f>LRTRIM(CONCATENATE(IF(SUMPRODUCT(-- ISNUMBER(SEARCH({"Auto Number"}, $B73))) &gt; 0, $B73, IF(SUMPRODUCT(-- ISNUMBER(SEARCH({"Lookup","Master-Detail"}, $B73))) &gt; 0,$B73 &amp; "(" &amp; $E73 &amp; ")",IF(SUMPRODUCT(-- ISNUMBER(SEARCH({"Formula","Roll-Up Summary"}, $B73))) &gt; 0,$B73 &amp; " (" &amp; $E73 &amp; ")",IF(SUMPRODUCT(-- ISNUMBER(SEARCH({"Content","Currency","Number","Percent","Text","URL"}, $B73))) &gt; 0,$B73 &amp; "(" &amp; $C73 &amp; ")",$B73)))), "  ", TRIM(IF($S73 = "YES", "(External ID)", "") &amp; " " &amp; IF(SUMPRODUCT(-- ISNUMBER(SEARCH({"Unique","Unique Case Insensitive"}, $R73))) &gt; 0, "(" &amp; $R73 &amp; ")", ""))))</f>
        <v>Text(80)</v>
      </c>
      <c r="E73" s="7" t="s">
        <v>195</v>
      </c>
      <c r="F73" s="7" t="s">
        <v>748</v>
      </c>
      <c r="G73" s="7" t="s">
        <v>195</v>
      </c>
      <c r="H73" s="7" t="s">
        <v>195</v>
      </c>
      <c r="I73" s="7" t="s">
        <v>195</v>
      </c>
      <c r="J73" s="7" t="s">
        <v>195</v>
      </c>
      <c r="K73" s="7" t="s">
        <v>195</v>
      </c>
      <c r="L73" s="7" t="s">
        <v>195</v>
      </c>
      <c r="M73" s="7" t="s">
        <v>29</v>
      </c>
      <c r="N73" s="7" t="s">
        <v>29</v>
      </c>
      <c r="O73" s="7" t="s">
        <v>29</v>
      </c>
      <c r="P73" s="7" t="s">
        <v>29</v>
      </c>
      <c r="Q73" s="7" t="s">
        <v>29</v>
      </c>
      <c r="R73" s="7" t="s">
        <v>29</v>
      </c>
      <c r="S73" s="7" t="s">
        <v>29</v>
      </c>
    </row>
    <row r="74" spans="1:19">
      <c r="A74" s="7" t="s">
        <v>454</v>
      </c>
      <c r="B74" s="7" t="s">
        <v>1211</v>
      </c>
      <c r="C74" s="8">
        <v>18</v>
      </c>
      <c r="D74" s="6" t="str">
        <f>LRTRIM(CONCATENATE(IF(SUMPRODUCT(-- ISNUMBER(SEARCH({"Auto Number"}, $B74))) &gt; 0, $B74, IF(SUMPRODUCT(-- ISNUMBER(SEARCH({"Lookup","Master-Detail"}, $B74))) &gt; 0,$B74 &amp; "(" &amp; $E74 &amp; ")",IF(SUMPRODUCT(-- ISNUMBER(SEARCH({"Formula","Roll-Up Summary"}, $B74))) &gt; 0,$B74 &amp; " (" &amp; $E74 &amp; ")",IF(SUMPRODUCT(-- ISNUMBER(SEARCH({"Content","Currency","Number","Percent","Text","URL"}, $B74))) &gt; 0,$B74 &amp; "(" &amp; $C74 &amp; ")",$B74)))), "  ", TRIM(IF($S74 = "YES", "(External ID)", "") &amp; " " &amp; IF(SUMPRODUCT(-- ISNUMBER(SEARCH({"Unique","Unique Case Insensitive"}, $R74))) &gt; 0, "(" &amp; $R74 &amp; ")", ""))))</f>
        <v>Lookup(Policy)</v>
      </c>
      <c r="E74" s="7" t="s">
        <v>1609</v>
      </c>
      <c r="F74" s="7" t="s">
        <v>749</v>
      </c>
      <c r="G74" s="7" t="s">
        <v>195</v>
      </c>
      <c r="H74" s="7" t="s">
        <v>195</v>
      </c>
      <c r="I74" s="7" t="s">
        <v>195</v>
      </c>
      <c r="J74" s="7" t="s">
        <v>195</v>
      </c>
      <c r="K74" s="7" t="s">
        <v>195</v>
      </c>
      <c r="L74" s="7" t="s">
        <v>195</v>
      </c>
      <c r="M74" s="7" t="s">
        <v>29</v>
      </c>
      <c r="N74" s="7" t="s">
        <v>29</v>
      </c>
      <c r="O74" s="7" t="s">
        <v>29</v>
      </c>
      <c r="P74" s="7" t="s">
        <v>29</v>
      </c>
      <c r="Q74" s="7" t="s">
        <v>29</v>
      </c>
      <c r="R74" s="7" t="s">
        <v>29</v>
      </c>
      <c r="S74" s="7" t="s">
        <v>29</v>
      </c>
    </row>
    <row r="75" spans="1:19">
      <c r="A75" s="7" t="s">
        <v>703</v>
      </c>
      <c r="B75" s="7" t="s">
        <v>1206</v>
      </c>
      <c r="C75" s="8" t="s">
        <v>1289</v>
      </c>
      <c r="D75" s="6" t="str">
        <f>LRTRIM(CONCATENATE(IF(SUMPRODUCT(-- ISNUMBER(SEARCH({"Auto Number"}, $B75))) &gt; 0, $B75, IF(SUMPRODUCT(-- ISNUMBER(SEARCH({"Lookup","Master-Detail"}, $B75))) &gt; 0,$B75 &amp; "(" &amp; $E75 &amp; ")",IF(SUMPRODUCT(-- ISNUMBER(SEARCH({"Formula","Roll-Up Summary"}, $B75))) &gt; 0,$B75 &amp; " (" &amp; $E75 &amp; ")",IF(SUMPRODUCT(-- ISNUMBER(SEARCH({"Content","Currency","Number","Percent","Text","URL"}, $B75))) &gt; 0,$B75 &amp; "(" &amp; $C75 &amp; ")",$B75)))), "  ", TRIM(IF($S75 = "YES", "(External ID)", "") &amp; " " &amp; IF(SUMPRODUCT(-- ISNUMBER(SEARCH({"Unique","Unique Case Insensitive"}, $R75))) &gt; 0, "(" &amp; $R75 &amp; ")", ""))))</f>
        <v>Currency(16, 2)</v>
      </c>
      <c r="E75" s="7" t="s">
        <v>195</v>
      </c>
      <c r="F75" s="7" t="s">
        <v>750</v>
      </c>
      <c r="G75" s="7" t="s">
        <v>195</v>
      </c>
      <c r="H75" s="7" t="s">
        <v>195</v>
      </c>
      <c r="I75" s="7" t="s">
        <v>195</v>
      </c>
      <c r="J75" s="7" t="s">
        <v>195</v>
      </c>
      <c r="K75" s="7" t="s">
        <v>195</v>
      </c>
      <c r="L75" s="7" t="s">
        <v>195</v>
      </c>
      <c r="M75" s="7" t="s">
        <v>29</v>
      </c>
      <c r="N75" s="7" t="s">
        <v>29</v>
      </c>
      <c r="O75" s="7" t="s">
        <v>29</v>
      </c>
      <c r="P75" s="7" t="s">
        <v>29</v>
      </c>
      <c r="Q75" s="7" t="s">
        <v>29</v>
      </c>
      <c r="R75" s="7" t="s">
        <v>29</v>
      </c>
      <c r="S75" s="7" t="s">
        <v>29</v>
      </c>
    </row>
    <row r="76" spans="1:19">
      <c r="A76" s="7" t="s">
        <v>704</v>
      </c>
      <c r="B76" s="7" t="s">
        <v>1215</v>
      </c>
      <c r="C76" s="8" t="s">
        <v>195</v>
      </c>
      <c r="D76" s="6" t="str">
        <f>LRTRIM(CONCATENATE(IF(SUMPRODUCT(-- ISNUMBER(SEARCH({"Auto Number"}, $B76))) &gt; 0, $B76, IF(SUMPRODUCT(-- ISNUMBER(SEARCH({"Lookup","Master-Detail"}, $B76))) &gt; 0,$B76 &amp; "(" &amp; $E76 &amp; ")",IF(SUMPRODUCT(-- ISNUMBER(SEARCH({"Formula","Roll-Up Summary"}, $B76))) &gt; 0,$B76 &amp; " (" &amp; $E76 &amp; ")",IF(SUMPRODUCT(-- ISNUMBER(SEARCH({"Content","Currency","Number","Percent","Text","URL"}, $B76))) &gt; 0,$B76 &amp; "(" &amp; $C76 &amp; ")",$B76)))), "  ", TRIM(IF($S76 = "YES", "(External ID)", "") &amp; " " &amp; IF(SUMPRODUCT(-- ISNUMBER(SEARCH({"Unique","Unique Case Insensitive"}, $R76))) &gt; 0, "(" &amp; $R76 &amp; ")", ""))))</f>
        <v>Picklist</v>
      </c>
      <c r="E76" s="7" t="s">
        <v>195</v>
      </c>
      <c r="F76" s="7" t="s">
        <v>751</v>
      </c>
      <c r="G76" s="7" t="s">
        <v>761</v>
      </c>
      <c r="H76" s="7" t="s">
        <v>195</v>
      </c>
      <c r="I76" s="7" t="s">
        <v>195</v>
      </c>
      <c r="J76" s="7" t="s">
        <v>195</v>
      </c>
      <c r="K76" s="7" t="s">
        <v>195</v>
      </c>
      <c r="L76" s="7" t="s">
        <v>195</v>
      </c>
      <c r="M76" s="7" t="s">
        <v>29</v>
      </c>
      <c r="N76" s="7" t="s">
        <v>29</v>
      </c>
      <c r="O76" s="7" t="s">
        <v>29</v>
      </c>
      <c r="P76" s="7" t="s">
        <v>29</v>
      </c>
      <c r="Q76" s="7" t="s">
        <v>29</v>
      </c>
      <c r="R76" s="7" t="s">
        <v>29</v>
      </c>
      <c r="S76" s="7" t="s">
        <v>29</v>
      </c>
    </row>
    <row r="77" spans="1:19">
      <c r="A77" s="7" t="s">
        <v>705</v>
      </c>
      <c r="B77" s="7" t="s">
        <v>1211</v>
      </c>
      <c r="C77" s="8">
        <v>18</v>
      </c>
      <c r="D77" s="6" t="str">
        <f>LRTRIM(CONCATENATE(IF(SUMPRODUCT(-- ISNUMBER(SEARCH({"Auto Number"}, $B77))) &gt; 0, $B77, IF(SUMPRODUCT(-- ISNUMBER(SEARCH({"Lookup","Master-Detail"}, $B77))) &gt; 0,$B77 &amp; "(" &amp; $E77 &amp; ")",IF(SUMPRODUCT(-- ISNUMBER(SEARCH({"Formula","Roll-Up Summary"}, $B77))) &gt; 0,$B77 &amp; " (" &amp; $E77 &amp; ")",IF(SUMPRODUCT(-- ISNUMBER(SEARCH({"Content","Currency","Number","Percent","Text","URL"}, $B77))) &gt; 0,$B77 &amp; "(" &amp; $C77 &amp; ")",$B77)))), "  ", TRIM(IF($S77 = "YES", "(External ID)", "") &amp; " " &amp; IF(SUMPRODUCT(-- ISNUMBER(SEARCH({"Unique","Unique Case Insensitive"}, $R77))) &gt; 0, "(" &amp; $R77 &amp; ")", ""))))</f>
        <v>Lookup(Product)</v>
      </c>
      <c r="E77" s="7" t="s">
        <v>506</v>
      </c>
      <c r="F77" s="7" t="s">
        <v>506</v>
      </c>
      <c r="G77" s="7" t="s">
        <v>195</v>
      </c>
      <c r="H77" s="7" t="s">
        <v>195</v>
      </c>
      <c r="I77" s="7" t="s">
        <v>195</v>
      </c>
      <c r="J77" s="7" t="s">
        <v>195</v>
      </c>
      <c r="K77" s="7" t="s">
        <v>195</v>
      </c>
      <c r="L77" s="7" t="s">
        <v>195</v>
      </c>
      <c r="M77" s="7" t="s">
        <v>29</v>
      </c>
      <c r="N77" s="7" t="s">
        <v>29</v>
      </c>
      <c r="O77" s="7" t="s">
        <v>29</v>
      </c>
      <c r="P77" s="7" t="s">
        <v>29</v>
      </c>
      <c r="Q77" s="7" t="s">
        <v>29</v>
      </c>
      <c r="R77" s="7" t="s">
        <v>29</v>
      </c>
      <c r="S77" s="7" t="s">
        <v>29</v>
      </c>
    </row>
    <row r="78" spans="1:19">
      <c r="A78" s="7" t="s">
        <v>458</v>
      </c>
      <c r="B78" s="7" t="s">
        <v>1215</v>
      </c>
      <c r="C78" s="8">
        <v>255</v>
      </c>
      <c r="D78" s="6" t="str">
        <f>LRTRIM(CONCATENATE(IF(SUMPRODUCT(-- ISNUMBER(SEARCH({"Auto Number"}, $B78))) &gt; 0, $B78, IF(SUMPRODUCT(-- ISNUMBER(SEARCH({"Lookup","Master-Detail"}, $B78))) &gt; 0,$B78 &amp; "(" &amp; $E78 &amp; ")",IF(SUMPRODUCT(-- ISNUMBER(SEARCH({"Formula","Roll-Up Summary"}, $B78))) &gt; 0,$B78 &amp; " (" &amp; $E78 &amp; ")",IF(SUMPRODUCT(-- ISNUMBER(SEARCH({"Content","Currency","Number","Percent","Text","URL"}, $B78))) &gt; 0,$B78 &amp; "(" &amp; $C78 &amp; ")",$B78)))), "  ", TRIM(IF($S78 = "YES", "(External ID)", "") &amp; " " &amp; IF(SUMPRODUCT(-- ISNUMBER(SEARCH({"Unique","Unique Case Insensitive"}, $R78))) &gt; 0, "(" &amp; $R78 &amp; ")", ""))))</f>
        <v>Picklist</v>
      </c>
      <c r="E78" s="7" t="s">
        <v>195</v>
      </c>
      <c r="F78" s="7" t="s">
        <v>503</v>
      </c>
      <c r="G78" s="7" t="s">
        <v>537</v>
      </c>
      <c r="H78" s="7" t="s">
        <v>195</v>
      </c>
      <c r="I78" s="7" t="s">
        <v>470</v>
      </c>
      <c r="J78" s="7" t="s">
        <v>195</v>
      </c>
      <c r="K78" s="7" t="s">
        <v>195</v>
      </c>
      <c r="L78" s="7" t="s">
        <v>195</v>
      </c>
      <c r="M78" s="7" t="s">
        <v>29</v>
      </c>
      <c r="N78" s="7" t="s">
        <v>29</v>
      </c>
      <c r="O78" s="7" t="s">
        <v>29</v>
      </c>
      <c r="P78" s="7" t="s">
        <v>29</v>
      </c>
      <c r="Q78" s="7" t="s">
        <v>29</v>
      </c>
      <c r="R78" s="7" t="s">
        <v>29</v>
      </c>
      <c r="S78" s="7" t="s">
        <v>29</v>
      </c>
    </row>
    <row r="79" spans="1:19">
      <c r="A79" s="7" t="s">
        <v>706</v>
      </c>
      <c r="B79" s="7" t="s">
        <v>1218</v>
      </c>
      <c r="C79" s="8">
        <v>255</v>
      </c>
      <c r="D79" s="6" t="str">
        <f>LRTRIM(CONCATENATE(IF(SUMPRODUCT(-- ISNUMBER(SEARCH({"Auto Number"}, $B79))) &gt; 0, $B79, IF(SUMPRODUCT(-- ISNUMBER(SEARCH({"Lookup","Master-Detail"}, $B79))) &gt; 0,$B79 &amp; "(" &amp; $E79 &amp; ")",IF(SUMPRODUCT(-- ISNUMBER(SEARCH({"Formula","Roll-Up Summary"}, $B79))) &gt; 0,$B79 &amp; " (" &amp; $E79 &amp; ")",IF(SUMPRODUCT(-- ISNUMBER(SEARCH({"Content","Currency","Number","Percent","Text","URL"}, $B79))) &gt; 0,$B79 &amp; "(" &amp; $C79 &amp; ")",$B79)))), "  ", TRIM(IF($S79 = "YES", "(External ID)", "") &amp; " " &amp; IF(SUMPRODUCT(-- ISNUMBER(SEARCH({"Unique","Unique Case Insensitive"}, $R79))) &gt; 0, "(" &amp; $R79 &amp; ")", ""))))</f>
        <v>Text(255)</v>
      </c>
      <c r="E79" s="7" t="s">
        <v>195</v>
      </c>
      <c r="F79" s="7" t="s">
        <v>753</v>
      </c>
      <c r="G79" s="7" t="s">
        <v>195</v>
      </c>
      <c r="H79" s="7" t="s">
        <v>195</v>
      </c>
      <c r="I79" s="7" t="s">
        <v>195</v>
      </c>
      <c r="J79" s="7" t="s">
        <v>195</v>
      </c>
      <c r="K79" s="7" t="s">
        <v>195</v>
      </c>
      <c r="L79" s="7" t="s">
        <v>195</v>
      </c>
      <c r="M79" s="7" t="s">
        <v>29</v>
      </c>
      <c r="N79" s="7" t="s">
        <v>29</v>
      </c>
      <c r="O79" s="7" t="s">
        <v>29</v>
      </c>
      <c r="P79" s="7" t="s">
        <v>29</v>
      </c>
      <c r="Q79" s="7" t="s">
        <v>29</v>
      </c>
      <c r="R79" s="7" t="s">
        <v>29</v>
      </c>
      <c r="S79" s="7" t="s">
        <v>29</v>
      </c>
    </row>
    <row r="80" spans="1:19">
      <c r="A80" s="7" t="s">
        <v>707</v>
      </c>
      <c r="B80" s="7" t="s">
        <v>1218</v>
      </c>
      <c r="C80" s="8">
        <v>80</v>
      </c>
      <c r="D80" s="6" t="str">
        <f>LRTRIM(CONCATENATE(IF(SUMPRODUCT(-- ISNUMBER(SEARCH({"Auto Number"}, $B80))) &gt; 0, $B80, IF(SUMPRODUCT(-- ISNUMBER(SEARCH({"Lookup","Master-Detail"}, $B80))) &gt; 0,$B80 &amp; "(" &amp; $E80 &amp; ")",IF(SUMPRODUCT(-- ISNUMBER(SEARCH({"Formula","Roll-Up Summary"}, $B80))) &gt; 0,$B80 &amp; " (" &amp; $E80 &amp; ")",IF(SUMPRODUCT(-- ISNUMBER(SEARCH({"Content","Currency","Number","Percent","Text","URL"}, $B80))) &gt; 0,$B80 &amp; "(" &amp; $C80 &amp; ")",$B80)))), "  ", TRIM(IF($S80 = "YES", "(External ID)", "") &amp; " " &amp; IF(SUMPRODUCT(-- ISNUMBER(SEARCH({"Unique","Unique Case Insensitive"}, $R80))) &gt; 0, "(" &amp; $R80 &amp; ")", ""))))</f>
        <v>Text(80)</v>
      </c>
      <c r="E80" s="7" t="s">
        <v>195</v>
      </c>
      <c r="F80" s="7" t="s">
        <v>754</v>
      </c>
      <c r="G80" s="7" t="s">
        <v>195</v>
      </c>
      <c r="H80" s="7" t="s">
        <v>195</v>
      </c>
      <c r="I80" s="7" t="s">
        <v>195</v>
      </c>
      <c r="J80" s="7" t="s">
        <v>195</v>
      </c>
      <c r="K80" s="7" t="s">
        <v>195</v>
      </c>
      <c r="L80" s="7" t="s">
        <v>195</v>
      </c>
      <c r="M80" s="7" t="s">
        <v>29</v>
      </c>
      <c r="N80" s="7" t="s">
        <v>29</v>
      </c>
      <c r="O80" s="7" t="s">
        <v>29</v>
      </c>
      <c r="P80" s="7" t="s">
        <v>29</v>
      </c>
      <c r="Q80" s="7" t="s">
        <v>29</v>
      </c>
      <c r="R80" s="7" t="s">
        <v>29</v>
      </c>
      <c r="S80" s="7" t="s">
        <v>29</v>
      </c>
    </row>
    <row r="81" spans="1:19">
      <c r="A81" s="7" t="s">
        <v>708</v>
      </c>
      <c r="B81" s="7" t="s">
        <v>1211</v>
      </c>
      <c r="C81" s="8">
        <v>18</v>
      </c>
      <c r="D81" s="6" t="str">
        <f>LRTRIM(CONCATENATE(IF(SUMPRODUCT(-- ISNUMBER(SEARCH({"Auto Number"}, $B81))) &gt; 0, $B81, IF(SUMPRODUCT(-- ISNUMBER(SEARCH({"Lookup","Master-Detail"}, $B81))) &gt; 0,$B81 &amp; "(" &amp; $E81 &amp; ")",IF(SUMPRODUCT(-- ISNUMBER(SEARCH({"Formula","Roll-Up Summary"}, $B81))) &gt; 0,$B81 &amp; " (" &amp; $E81 &amp; ")",IF(SUMPRODUCT(-- ISNUMBER(SEARCH({"Content","Currency","Number","Percent","Text","URL"}, $B81))) &gt; 0,$B81 &amp; "(" &amp; $C81 &amp; ")",$B81)))), "  ", TRIM(IF($S81 = "YES", "(External ID)", "") &amp; " " &amp; IF(SUMPRODUCT(-- ISNUMBER(SEARCH({"Unique","Unique Case Insensitive"}, $R81))) &gt; 0, "(" &amp; $R81 &amp; ")", ""))))</f>
        <v>Lookup(User)</v>
      </c>
      <c r="E81" s="7" t="s">
        <v>7</v>
      </c>
      <c r="F81" s="7" t="s">
        <v>755</v>
      </c>
      <c r="G81" s="7" t="s">
        <v>195</v>
      </c>
      <c r="H81" s="7" t="s">
        <v>195</v>
      </c>
      <c r="I81" s="7" t="s">
        <v>195</v>
      </c>
      <c r="J81" s="7" t="s">
        <v>195</v>
      </c>
      <c r="K81" s="7" t="s">
        <v>195</v>
      </c>
      <c r="L81" s="7" t="s">
        <v>195</v>
      </c>
      <c r="M81" s="7" t="s">
        <v>29</v>
      </c>
      <c r="N81" s="7" t="s">
        <v>29</v>
      </c>
      <c r="O81" s="7" t="s">
        <v>29</v>
      </c>
      <c r="P81" s="7" t="s">
        <v>29</v>
      </c>
      <c r="Q81" s="7" t="s">
        <v>29</v>
      </c>
      <c r="R81" s="7" t="s">
        <v>29</v>
      </c>
      <c r="S81" s="7" t="s">
        <v>29</v>
      </c>
    </row>
    <row r="82" spans="1:19">
      <c r="A82" s="7" t="s">
        <v>709</v>
      </c>
      <c r="B82" s="7" t="s">
        <v>386</v>
      </c>
      <c r="C82" s="8">
        <v>0</v>
      </c>
      <c r="D82" s="6" t="str">
        <f>LRTRIM(CONCATENATE(IF(SUMPRODUCT(-- ISNUMBER(SEARCH({"Auto Number"}, $B82))) &gt; 0, $B82, IF(SUMPRODUCT(-- ISNUMBER(SEARCH({"Lookup","Master-Detail"}, $B82))) &gt; 0,$B82 &amp; "(" &amp; $E82 &amp; ")",IF(SUMPRODUCT(-- ISNUMBER(SEARCH({"Formula","Roll-Up Summary"}, $B82))) &gt; 0,$B82 &amp; " (" &amp; $E82 &amp; ")",IF(SUMPRODUCT(-- ISNUMBER(SEARCH({"Content","Currency","Number","Percent","Text","URL"}, $B82))) &gt; 0,$B82 &amp; "(" &amp; $C82 &amp; ")",$B82)))), "  ", TRIM(IF($S82 = "YES", "(External ID)", "") &amp; " " &amp; IF(SUMPRODUCT(-- ISNUMBER(SEARCH({"Unique","Unique Case Insensitive"}, $R82))) &gt; 0, "(" &amp; $R82 &amp; ")", ""))))</f>
        <v>Date</v>
      </c>
      <c r="E82" s="7" t="s">
        <v>195</v>
      </c>
      <c r="F82" s="7" t="s">
        <v>386</v>
      </c>
      <c r="G82" s="7" t="s">
        <v>195</v>
      </c>
      <c r="H82" s="7" t="s">
        <v>195</v>
      </c>
      <c r="I82" s="7" t="s">
        <v>195</v>
      </c>
      <c r="J82" s="7" t="s">
        <v>195</v>
      </c>
      <c r="K82" s="7" t="s">
        <v>195</v>
      </c>
      <c r="L82" s="7" t="s">
        <v>195</v>
      </c>
      <c r="M82" s="7" t="s">
        <v>29</v>
      </c>
      <c r="N82" s="7" t="s">
        <v>29</v>
      </c>
      <c r="O82" s="7" t="s">
        <v>29</v>
      </c>
      <c r="P82" s="7" t="s">
        <v>29</v>
      </c>
      <c r="Q82" s="7" t="s">
        <v>29</v>
      </c>
      <c r="R82" s="7" t="s">
        <v>29</v>
      </c>
      <c r="S82" s="7" t="s">
        <v>29</v>
      </c>
    </row>
    <row r="83" spans="1:19">
      <c r="A83" s="7" t="s">
        <v>710</v>
      </c>
      <c r="B83" s="7" t="s">
        <v>1206</v>
      </c>
      <c r="C83" s="8" t="s">
        <v>1289</v>
      </c>
      <c r="D83" s="6" t="str">
        <f>LRTRIM(CONCATENATE(IF(SUMPRODUCT(-- ISNUMBER(SEARCH({"Auto Number"}, $B83))) &gt; 0, $B83, IF(SUMPRODUCT(-- ISNUMBER(SEARCH({"Lookup","Master-Detail"}, $B83))) &gt; 0,$B83 &amp; "(" &amp; $E83 &amp; ")",IF(SUMPRODUCT(-- ISNUMBER(SEARCH({"Formula","Roll-Up Summary"}, $B83))) &gt; 0,$B83 &amp; " (" &amp; $E83 &amp; ")",IF(SUMPRODUCT(-- ISNUMBER(SEARCH({"Content","Currency","Number","Percent","Text","URL"}, $B83))) &gt; 0,$B83 &amp; "(" &amp; $C83 &amp; ")",$B83)))), "  ", TRIM(IF($S83 = "YES", "(External ID)", "") &amp; " " &amp; IF(SUMPRODUCT(-- ISNUMBER(SEARCH({"Unique","Unique Case Insensitive"}, $R83))) &gt; 0, "(" &amp; $R83 &amp; ")", ""))))</f>
        <v>Currency(16, 2)</v>
      </c>
      <c r="E83" s="7" t="s">
        <v>195</v>
      </c>
      <c r="F83" s="7" t="s">
        <v>756</v>
      </c>
      <c r="G83" s="7" t="s">
        <v>195</v>
      </c>
      <c r="H83" s="7" t="s">
        <v>195</v>
      </c>
      <c r="I83" s="7" t="s">
        <v>195</v>
      </c>
      <c r="J83" s="7" t="s">
        <v>195</v>
      </c>
      <c r="K83" s="7" t="s">
        <v>195</v>
      </c>
      <c r="L83" s="7" t="s">
        <v>195</v>
      </c>
      <c r="M83" s="7" t="s">
        <v>29</v>
      </c>
      <c r="N83" s="7" t="s">
        <v>29</v>
      </c>
      <c r="O83" s="7" t="s">
        <v>29</v>
      </c>
      <c r="P83" s="7" t="s">
        <v>29</v>
      </c>
      <c r="Q83" s="7" t="s">
        <v>29</v>
      </c>
      <c r="R83" s="7" t="s">
        <v>29</v>
      </c>
      <c r="S83" s="7" t="s">
        <v>29</v>
      </c>
    </row>
    <row r="84" spans="1:19">
      <c r="A84" s="7" t="s">
        <v>711</v>
      </c>
      <c r="B84" s="7" t="s">
        <v>1218</v>
      </c>
      <c r="C84" s="8">
        <v>10</v>
      </c>
      <c r="D84" s="6" t="str">
        <f>LRTRIM(CONCATENATE(IF(SUMPRODUCT(-- ISNUMBER(SEARCH({"Auto Number"}, $B84))) &gt; 0, $B84, IF(SUMPRODUCT(-- ISNUMBER(SEARCH({"Lookup","Master-Detail"}, $B84))) &gt; 0,$B84 &amp; "(" &amp; $E84 &amp; ")",IF(SUMPRODUCT(-- ISNUMBER(SEARCH({"Formula","Roll-Up Summary"}, $B84))) &gt; 0,$B84 &amp; " (" &amp; $E84 &amp; ")",IF(SUMPRODUCT(-- ISNUMBER(SEARCH({"Content","Currency","Number","Percent","Text","URL"}, $B84))) &gt; 0,$B84 &amp; "(" &amp; $C84 &amp; ")",$B84)))), "  ", TRIM(IF($S84 = "YES", "(External ID)", "") &amp; " " &amp; IF(SUMPRODUCT(-- ISNUMBER(SEARCH({"Unique","Unique Case Insensitive"}, $R84))) &gt; 0, "(" &amp; $R84 &amp; ")", ""))))</f>
        <v>Text(10)</v>
      </c>
      <c r="E84" s="7" t="s">
        <v>195</v>
      </c>
      <c r="F84" s="7" t="s">
        <v>757</v>
      </c>
      <c r="G84" s="7" t="s">
        <v>195</v>
      </c>
      <c r="H84" s="7" t="s">
        <v>195</v>
      </c>
      <c r="I84" s="7" t="s">
        <v>195</v>
      </c>
      <c r="J84" s="7" t="s">
        <v>195</v>
      </c>
      <c r="K84" s="7" t="s">
        <v>195</v>
      </c>
      <c r="L84" s="7" t="s">
        <v>195</v>
      </c>
      <c r="M84" s="7" t="s">
        <v>29</v>
      </c>
      <c r="N84" s="7" t="s">
        <v>29</v>
      </c>
      <c r="O84" s="7" t="s">
        <v>29</v>
      </c>
      <c r="P84" s="7" t="s">
        <v>29</v>
      </c>
      <c r="Q84" s="7" t="s">
        <v>29</v>
      </c>
      <c r="R84" s="7" t="s">
        <v>29</v>
      </c>
      <c r="S84" s="7" t="s">
        <v>29</v>
      </c>
    </row>
    <row r="85" spans="1:19">
      <c r="A85" s="7" t="s">
        <v>712</v>
      </c>
      <c r="B85" s="7" t="s">
        <v>1218</v>
      </c>
      <c r="C85" s="8">
        <v>60</v>
      </c>
      <c r="D85" s="6" t="str">
        <f>LRTRIM(CONCATENATE(IF(SUMPRODUCT(-- ISNUMBER(SEARCH({"Auto Number"}, $B85))) &gt; 0, $B85, IF(SUMPRODUCT(-- ISNUMBER(SEARCH({"Lookup","Master-Detail"}, $B85))) &gt; 0,$B85 &amp; "(" &amp; $E85 &amp; ")",IF(SUMPRODUCT(-- ISNUMBER(SEARCH({"Formula","Roll-Up Summary"}, $B85))) &gt; 0,$B85 &amp; " (" &amp; $E85 &amp; ")",IF(SUMPRODUCT(-- ISNUMBER(SEARCH({"Content","Currency","Number","Percent","Text","URL"}, $B85))) &gt; 0,$B85 &amp; "(" &amp; $C85 &amp; ")",$B85)))), "  ", TRIM(IF($S85 = "YES", "(External ID)", "") &amp; " " &amp; IF(SUMPRODUCT(-- ISNUMBER(SEARCH({"Unique","Unique Case Insensitive"}, $R85))) &gt; 0, "(" &amp; $R85 &amp; ")", ""))))</f>
        <v>Text(60)</v>
      </c>
      <c r="E85" s="7" t="s">
        <v>195</v>
      </c>
      <c r="F85" s="7" t="s">
        <v>758</v>
      </c>
      <c r="G85" s="7" t="s">
        <v>195</v>
      </c>
      <c r="H85" s="7" t="s">
        <v>195</v>
      </c>
      <c r="I85" s="7" t="s">
        <v>195</v>
      </c>
      <c r="J85" s="7" t="s">
        <v>195</v>
      </c>
      <c r="K85" s="7" t="s">
        <v>195</v>
      </c>
      <c r="L85" s="7" t="s">
        <v>195</v>
      </c>
      <c r="M85" s="7" t="s">
        <v>29</v>
      </c>
      <c r="N85" s="7" t="s">
        <v>29</v>
      </c>
      <c r="O85" s="7" t="s">
        <v>29</v>
      </c>
      <c r="P85" s="7" t="s">
        <v>29</v>
      </c>
      <c r="Q85" s="7" t="s">
        <v>29</v>
      </c>
      <c r="R85" s="7" t="s">
        <v>29</v>
      </c>
      <c r="S85" s="7" t="s">
        <v>29</v>
      </c>
    </row>
    <row r="86" spans="1:19">
      <c r="A86" s="7" t="s">
        <v>713</v>
      </c>
      <c r="B86" s="7" t="s">
        <v>1206</v>
      </c>
      <c r="C86" s="8" t="s">
        <v>1289</v>
      </c>
      <c r="D86" s="6" t="str">
        <f>LRTRIM(CONCATENATE(IF(SUMPRODUCT(-- ISNUMBER(SEARCH({"Auto Number"}, $B86))) &gt; 0, $B86, IF(SUMPRODUCT(-- ISNUMBER(SEARCH({"Lookup","Master-Detail"}, $B86))) &gt; 0,$B86 &amp; "(" &amp; $E86 &amp; ")",IF(SUMPRODUCT(-- ISNUMBER(SEARCH({"Formula","Roll-Up Summary"}, $B86))) &gt; 0,$B86 &amp; " (" &amp; $E86 &amp; ")",IF(SUMPRODUCT(-- ISNUMBER(SEARCH({"Content","Currency","Number","Percent","Text","URL"}, $B86))) &gt; 0,$B86 &amp; "(" &amp; $C86 &amp; ")",$B86)))), "  ", TRIM(IF($S86 = "YES", "(External ID)", "") &amp; " " &amp; IF(SUMPRODUCT(-- ISNUMBER(SEARCH({"Unique","Unique Case Insensitive"}, $R86))) &gt; 0, "(" &amp; $R86 &amp; ")", ""))))</f>
        <v>Currency(16, 2)</v>
      </c>
      <c r="E86" s="7" t="s">
        <v>195</v>
      </c>
      <c r="F86" s="7" t="s">
        <v>759</v>
      </c>
      <c r="G86" s="7" t="s">
        <v>195</v>
      </c>
      <c r="H86" s="7" t="s">
        <v>195</v>
      </c>
      <c r="I86" s="7" t="s">
        <v>195</v>
      </c>
      <c r="J86" s="7" t="s">
        <v>195</v>
      </c>
      <c r="K86" s="7" t="s">
        <v>195</v>
      </c>
      <c r="L86" s="7" t="s">
        <v>195</v>
      </c>
      <c r="M86" s="7" t="s">
        <v>29</v>
      </c>
      <c r="N86" s="7" t="s">
        <v>29</v>
      </c>
      <c r="O86" s="7" t="s">
        <v>29</v>
      </c>
      <c r="P86" s="7" t="s">
        <v>29</v>
      </c>
      <c r="Q86" s="7" t="s">
        <v>29</v>
      </c>
      <c r="R86" s="7" t="s">
        <v>29</v>
      </c>
      <c r="S86" s="7" t="s">
        <v>29</v>
      </c>
    </row>
    <row r="87" spans="1:19">
      <c r="A87" s="7" t="s">
        <v>762</v>
      </c>
      <c r="B87" s="7" t="s">
        <v>195</v>
      </c>
      <c r="C87" s="8" t="s">
        <v>195</v>
      </c>
      <c r="D87" s="6" t="str">
        <f>LRTRIM(CONCATENATE(IF(SUMPRODUCT(-- ISNUMBER(SEARCH({"Auto Number"}, $B87))) &gt; 0, $B87, IF(SUMPRODUCT(-- ISNUMBER(SEARCH({"Lookup","Master-Detail"}, $B87))) &gt; 0,$B87 &amp; "(" &amp; $E87 &amp; ")",IF(SUMPRODUCT(-- ISNUMBER(SEARCH({"Formula","Roll-Up Summary"}, $B87))) &gt; 0,$B87 &amp; " (" &amp; $E87 &amp; ")",IF(SUMPRODUCT(-- ISNUMBER(SEARCH({"Content","Currency","Number","Percent","Text","URL"}, $B87))) &gt; 0,$B87 &amp; "(" &amp; $C87 &amp; ")",$B87)))), "  ", TRIM(IF($S87 = "YES", "(External ID)", "") &amp; " " &amp; IF(SUMPRODUCT(-- ISNUMBER(SEARCH({"Unique","Unique Case Insensitive"}, $R87))) &gt; 0, "(" &amp; $R87 &amp; ")", ""))))</f>
        <v>na</v>
      </c>
      <c r="E87" s="7" t="s">
        <v>195</v>
      </c>
      <c r="F87" s="7" t="s">
        <v>195</v>
      </c>
      <c r="G87" s="7" t="s">
        <v>195</v>
      </c>
      <c r="H87" s="7" t="s">
        <v>195</v>
      </c>
      <c r="I87" s="7" t="s">
        <v>195</v>
      </c>
      <c r="J87" s="7" t="s">
        <v>195</v>
      </c>
      <c r="K87" s="7" t="s">
        <v>195</v>
      </c>
      <c r="L87" s="7" t="s">
        <v>195</v>
      </c>
      <c r="M87" s="7" t="s">
        <v>29</v>
      </c>
      <c r="N87" s="7" t="s">
        <v>29</v>
      </c>
      <c r="O87" s="7" t="s">
        <v>28</v>
      </c>
      <c r="P87" s="7" t="s">
        <v>29</v>
      </c>
      <c r="Q87" s="7" t="s">
        <v>29</v>
      </c>
      <c r="R87" s="7" t="s">
        <v>29</v>
      </c>
      <c r="S87" s="7" t="s">
        <v>29</v>
      </c>
    </row>
    <row r="88" spans="1:19">
      <c r="A88" s="7" t="s">
        <v>763</v>
      </c>
      <c r="B88" s="7" t="s">
        <v>195</v>
      </c>
      <c r="C88" s="8" t="s">
        <v>195</v>
      </c>
      <c r="D88" s="6" t="str">
        <f>LRTRIM(CONCATENATE(IF(SUMPRODUCT(-- ISNUMBER(SEARCH({"Auto Number"}, $B88))) &gt; 0, $B88, IF(SUMPRODUCT(-- ISNUMBER(SEARCH({"Lookup","Master-Detail"}, $B88))) &gt; 0,$B88 &amp; "(" &amp; $E88 &amp; ")",IF(SUMPRODUCT(-- ISNUMBER(SEARCH({"Formula","Roll-Up Summary"}, $B88))) &gt; 0,$B88 &amp; " (" &amp; $E88 &amp; ")",IF(SUMPRODUCT(-- ISNUMBER(SEARCH({"Content","Currency","Number","Percent","Text","URL"}, $B88))) &gt; 0,$B88 &amp; "(" &amp; $C88 &amp; ")",$B88)))), "  ", TRIM(IF($S88 = "YES", "(External ID)", "") &amp; " " &amp; IF(SUMPRODUCT(-- ISNUMBER(SEARCH({"Unique","Unique Case Insensitive"}, $R88))) &gt; 0, "(" &amp; $R88 &amp; ")", ""))))</f>
        <v>na</v>
      </c>
      <c r="E88" s="7" t="s">
        <v>195</v>
      </c>
      <c r="F88" s="7" t="s">
        <v>195</v>
      </c>
      <c r="G88" s="7" t="s">
        <v>195</v>
      </c>
      <c r="H88" s="7" t="s">
        <v>195</v>
      </c>
      <c r="I88" s="7" t="s">
        <v>195</v>
      </c>
      <c r="J88" s="7" t="s">
        <v>195</v>
      </c>
      <c r="K88" s="7" t="s">
        <v>195</v>
      </c>
      <c r="L88" s="7" t="s">
        <v>195</v>
      </c>
      <c r="M88" s="7" t="s">
        <v>29</v>
      </c>
      <c r="N88" s="7" t="s">
        <v>29</v>
      </c>
      <c r="O88" s="7" t="s">
        <v>28</v>
      </c>
      <c r="P88" s="7" t="s">
        <v>29</v>
      </c>
      <c r="Q88" s="7" t="s">
        <v>29</v>
      </c>
      <c r="R88" s="7" t="s">
        <v>29</v>
      </c>
      <c r="S88" s="7" t="s">
        <v>29</v>
      </c>
    </row>
    <row r="89" spans="1:19">
      <c r="A89" s="7" t="s">
        <v>644</v>
      </c>
      <c r="B89" s="7" t="s">
        <v>195</v>
      </c>
      <c r="C89" s="8" t="s">
        <v>195</v>
      </c>
      <c r="D89" s="6" t="str">
        <f>LRTRIM(CONCATENATE(IF(SUMPRODUCT(-- ISNUMBER(SEARCH({"Auto Number"}, $B89))) &gt; 0, $B89, IF(SUMPRODUCT(-- ISNUMBER(SEARCH({"Lookup","Master-Detail"}, $B89))) &gt; 0,$B89 &amp; "(" &amp; $E89 &amp; ")",IF(SUMPRODUCT(-- ISNUMBER(SEARCH({"Formula","Roll-Up Summary"}, $B89))) &gt; 0,$B89 &amp; " (" &amp; $E89 &amp; ")",IF(SUMPRODUCT(-- ISNUMBER(SEARCH({"Content","Currency","Number","Percent","Text","URL"}, $B89))) &gt; 0,$B89 &amp; "(" &amp; $C89 &amp; ")",$B89)))), "  ", TRIM(IF($S89 = "YES", "(External ID)", "") &amp; " " &amp; IF(SUMPRODUCT(-- ISNUMBER(SEARCH({"Unique","Unique Case Insensitive"}, $R89))) &gt; 0, "(" &amp; $R89 &amp; ")", ""))))</f>
        <v>na</v>
      </c>
      <c r="E89" s="7" t="s">
        <v>195</v>
      </c>
      <c r="F89" s="7" t="s">
        <v>195</v>
      </c>
      <c r="G89" s="7" t="s">
        <v>195</v>
      </c>
      <c r="H89" s="7" t="s">
        <v>195</v>
      </c>
      <c r="I89" s="7" t="s">
        <v>195</v>
      </c>
      <c r="J89" s="7" t="s">
        <v>195</v>
      </c>
      <c r="K89" s="7" t="s">
        <v>195</v>
      </c>
      <c r="L89" s="7" t="s">
        <v>195</v>
      </c>
      <c r="M89" s="7" t="s">
        <v>29</v>
      </c>
      <c r="N89" s="7" t="s">
        <v>29</v>
      </c>
      <c r="O89" s="7" t="s">
        <v>28</v>
      </c>
      <c r="P89" s="7" t="s">
        <v>29</v>
      </c>
      <c r="Q89" s="7" t="s">
        <v>29</v>
      </c>
      <c r="R89" s="7" t="s">
        <v>29</v>
      </c>
      <c r="S89" s="7" t="s">
        <v>29</v>
      </c>
    </row>
    <row r="90" spans="1:19">
      <c r="A90" s="7" t="s">
        <v>764</v>
      </c>
      <c r="B90" s="7" t="s">
        <v>195</v>
      </c>
      <c r="C90" s="8" t="s">
        <v>195</v>
      </c>
      <c r="D90" s="6" t="str">
        <f>LRTRIM(CONCATENATE(IF(SUMPRODUCT(-- ISNUMBER(SEARCH({"Auto Number"}, $B90))) &gt; 0, $B90, IF(SUMPRODUCT(-- ISNUMBER(SEARCH({"Lookup","Master-Detail"}, $B90))) &gt; 0,$B90 &amp; "(" &amp; $E90 &amp; ")",IF(SUMPRODUCT(-- ISNUMBER(SEARCH({"Formula","Roll-Up Summary"}, $B90))) &gt; 0,$B90 &amp; " (" &amp; $E90 &amp; ")",IF(SUMPRODUCT(-- ISNUMBER(SEARCH({"Content","Currency","Number","Percent","Text","URL"}, $B90))) &gt; 0,$B90 &amp; "(" &amp; $C90 &amp; ")",$B90)))), "  ", TRIM(IF($S90 = "YES", "(External ID)", "") &amp; " " &amp; IF(SUMPRODUCT(-- ISNUMBER(SEARCH({"Unique","Unique Case Insensitive"}, $R90))) &gt; 0, "(" &amp; $R90 &amp; ")", ""))))</f>
        <v>na</v>
      </c>
      <c r="E90" s="7" t="s">
        <v>195</v>
      </c>
      <c r="F90" s="7" t="s">
        <v>195</v>
      </c>
      <c r="G90" s="7" t="s">
        <v>195</v>
      </c>
      <c r="H90" s="7" t="s">
        <v>195</v>
      </c>
      <c r="I90" s="7" t="s">
        <v>195</v>
      </c>
      <c r="J90" s="7" t="s">
        <v>195</v>
      </c>
      <c r="K90" s="7" t="s">
        <v>195</v>
      </c>
      <c r="L90" s="7" t="s">
        <v>195</v>
      </c>
      <c r="M90" s="7" t="s">
        <v>29</v>
      </c>
      <c r="N90" s="7" t="s">
        <v>29</v>
      </c>
      <c r="O90" s="7" t="s">
        <v>28</v>
      </c>
      <c r="P90" s="7" t="s">
        <v>29</v>
      </c>
      <c r="Q90" s="7" t="s">
        <v>29</v>
      </c>
      <c r="R90" s="7" t="s">
        <v>29</v>
      </c>
      <c r="S90" s="7" t="s">
        <v>29</v>
      </c>
    </row>
    <row r="91" spans="1:19">
      <c r="A91" s="7" t="s">
        <v>765</v>
      </c>
      <c r="B91" s="7" t="s">
        <v>195</v>
      </c>
      <c r="C91" s="8" t="s">
        <v>195</v>
      </c>
      <c r="D91" s="6" t="str">
        <f>LRTRIM(CONCATENATE(IF(SUMPRODUCT(-- ISNUMBER(SEARCH({"Auto Number"}, $B91))) &gt; 0, $B91, IF(SUMPRODUCT(-- ISNUMBER(SEARCH({"Lookup","Master-Detail"}, $B91))) &gt; 0,$B91 &amp; "(" &amp; $E91 &amp; ")",IF(SUMPRODUCT(-- ISNUMBER(SEARCH({"Formula","Roll-Up Summary"}, $B91))) &gt; 0,$B91 &amp; " (" &amp; $E91 &amp; ")",IF(SUMPRODUCT(-- ISNUMBER(SEARCH({"Content","Currency","Number","Percent","Text","URL"}, $B91))) &gt; 0,$B91 &amp; "(" &amp; $C91 &amp; ")",$B91)))), "  ", TRIM(IF($S91 = "YES", "(External ID)", "") &amp; " " &amp; IF(SUMPRODUCT(-- ISNUMBER(SEARCH({"Unique","Unique Case Insensitive"}, $R91))) &gt; 0, "(" &amp; $R91 &amp; ")", ""))))</f>
        <v>na</v>
      </c>
      <c r="E91" s="7" t="s">
        <v>195</v>
      </c>
      <c r="F91" s="7" t="s">
        <v>195</v>
      </c>
      <c r="G91" s="7" t="s">
        <v>195</v>
      </c>
      <c r="H91" s="7" t="s">
        <v>195</v>
      </c>
      <c r="I91" s="7" t="s">
        <v>195</v>
      </c>
      <c r="J91" s="7" t="s">
        <v>195</v>
      </c>
      <c r="K91" s="7" t="s">
        <v>195</v>
      </c>
      <c r="L91" s="7" t="s">
        <v>195</v>
      </c>
      <c r="M91" s="7" t="s">
        <v>29</v>
      </c>
      <c r="N91" s="7" t="s">
        <v>29</v>
      </c>
      <c r="O91" s="7" t="s">
        <v>28</v>
      </c>
      <c r="P91" s="7" t="s">
        <v>29</v>
      </c>
      <c r="Q91" s="7" t="s">
        <v>29</v>
      </c>
      <c r="R91" s="7" t="s">
        <v>29</v>
      </c>
      <c r="S91" s="7" t="s">
        <v>29</v>
      </c>
    </row>
    <row r="92" spans="1:19">
      <c r="A92" s="7" t="s">
        <v>766</v>
      </c>
      <c r="B92" s="7" t="s">
        <v>195</v>
      </c>
      <c r="C92" s="8" t="s">
        <v>195</v>
      </c>
      <c r="D92" s="6" t="str">
        <f>LRTRIM(CONCATENATE(IF(SUMPRODUCT(-- ISNUMBER(SEARCH({"Auto Number"}, $B92))) &gt; 0, $B92, IF(SUMPRODUCT(-- ISNUMBER(SEARCH({"Lookup","Master-Detail"}, $B92))) &gt; 0,$B92 &amp; "(" &amp; $E92 &amp; ")",IF(SUMPRODUCT(-- ISNUMBER(SEARCH({"Formula","Roll-Up Summary"}, $B92))) &gt; 0,$B92 &amp; " (" &amp; $E92 &amp; ")",IF(SUMPRODUCT(-- ISNUMBER(SEARCH({"Content","Currency","Number","Percent","Text","URL"}, $B92))) &gt; 0,$B92 &amp; "(" &amp; $C92 &amp; ")",$B92)))), "  ", TRIM(IF($S92 = "YES", "(External ID)", "") &amp; " " &amp; IF(SUMPRODUCT(-- ISNUMBER(SEARCH({"Unique","Unique Case Insensitive"}, $R92))) &gt; 0, "(" &amp; $R92 &amp; ")", ""))))</f>
        <v>na</v>
      </c>
      <c r="E92" s="7" t="s">
        <v>195</v>
      </c>
      <c r="F92" s="7" t="s">
        <v>195</v>
      </c>
      <c r="G92" s="7" t="s">
        <v>195</v>
      </c>
      <c r="H92" s="7" t="s">
        <v>195</v>
      </c>
      <c r="I92" s="7" t="s">
        <v>195</v>
      </c>
      <c r="J92" s="7" t="s">
        <v>195</v>
      </c>
      <c r="K92" s="7" t="s">
        <v>195</v>
      </c>
      <c r="L92" s="7" t="s">
        <v>195</v>
      </c>
      <c r="M92" s="7" t="s">
        <v>29</v>
      </c>
      <c r="N92" s="7" t="s">
        <v>29</v>
      </c>
      <c r="O92" s="7" t="s">
        <v>28</v>
      </c>
      <c r="P92" s="7" t="s">
        <v>29</v>
      </c>
      <c r="Q92" s="7" t="s">
        <v>29</v>
      </c>
      <c r="R92" s="7" t="s">
        <v>29</v>
      </c>
      <c r="S92" s="7" t="s">
        <v>29</v>
      </c>
    </row>
    <row r="93" spans="1:19">
      <c r="A93" s="7" t="s">
        <v>767</v>
      </c>
      <c r="B93" s="7" t="s">
        <v>195</v>
      </c>
      <c r="C93" s="8" t="s">
        <v>195</v>
      </c>
      <c r="D93" s="6" t="str">
        <f>LRTRIM(CONCATENATE(IF(SUMPRODUCT(-- ISNUMBER(SEARCH({"Auto Number"}, $B93))) &gt; 0, $B93, IF(SUMPRODUCT(-- ISNUMBER(SEARCH({"Lookup","Master-Detail"}, $B93))) &gt; 0,$B93 &amp; "(" &amp; $E93 &amp; ")",IF(SUMPRODUCT(-- ISNUMBER(SEARCH({"Formula","Roll-Up Summary"}, $B93))) &gt; 0,$B93 &amp; " (" &amp; $E93 &amp; ")",IF(SUMPRODUCT(-- ISNUMBER(SEARCH({"Content","Currency","Number","Percent","Text","URL"}, $B93))) &gt; 0,$B93 &amp; "(" &amp; $C93 &amp; ")",$B93)))), "  ", TRIM(IF($S93 = "YES", "(External ID)", "") &amp; " " &amp; IF(SUMPRODUCT(-- ISNUMBER(SEARCH({"Unique","Unique Case Insensitive"}, $R93))) &gt; 0, "(" &amp; $R93 &amp; ")", ""))))</f>
        <v>na</v>
      </c>
      <c r="E93" s="7" t="s">
        <v>195</v>
      </c>
      <c r="F93" s="7" t="s">
        <v>195</v>
      </c>
      <c r="G93" s="7" t="s">
        <v>195</v>
      </c>
      <c r="H93" s="7" t="s">
        <v>195</v>
      </c>
      <c r="I93" s="7" t="s">
        <v>195</v>
      </c>
      <c r="J93" s="7" t="s">
        <v>195</v>
      </c>
      <c r="K93" s="7" t="s">
        <v>195</v>
      </c>
      <c r="L93" s="7" t="s">
        <v>195</v>
      </c>
      <c r="M93" s="7" t="s">
        <v>29</v>
      </c>
      <c r="N93" s="7" t="s">
        <v>29</v>
      </c>
      <c r="O93" s="7" t="s">
        <v>28</v>
      </c>
      <c r="P93" s="7" t="s">
        <v>29</v>
      </c>
      <c r="Q93" s="7" t="s">
        <v>29</v>
      </c>
      <c r="R93" s="7" t="s">
        <v>29</v>
      </c>
      <c r="S93" s="7" t="s">
        <v>29</v>
      </c>
    </row>
    <row r="94" spans="1:19">
      <c r="A94" s="7" t="s">
        <v>768</v>
      </c>
      <c r="B94" s="7" t="s">
        <v>195</v>
      </c>
      <c r="C94" s="8" t="s">
        <v>195</v>
      </c>
      <c r="D94" s="6" t="str">
        <f>LRTRIM(CONCATENATE(IF(SUMPRODUCT(-- ISNUMBER(SEARCH({"Auto Number"}, $B94))) &gt; 0, $B94, IF(SUMPRODUCT(-- ISNUMBER(SEARCH({"Lookup","Master-Detail"}, $B94))) &gt; 0,$B94 &amp; "(" &amp; $E94 &amp; ")",IF(SUMPRODUCT(-- ISNUMBER(SEARCH({"Formula","Roll-Up Summary"}, $B94))) &gt; 0,$B94 &amp; " (" &amp; $E94 &amp; ")",IF(SUMPRODUCT(-- ISNUMBER(SEARCH({"Content","Currency","Number","Percent","Text","URL"}, $B94))) &gt; 0,$B94 &amp; "(" &amp; $C94 &amp; ")",$B94)))), "  ", TRIM(IF($S94 = "YES", "(External ID)", "") &amp; " " &amp; IF(SUMPRODUCT(-- ISNUMBER(SEARCH({"Unique","Unique Case Insensitive"}, $R94))) &gt; 0, "(" &amp; $R94 &amp; ")", ""))))</f>
        <v>na</v>
      </c>
      <c r="E94" s="7" t="s">
        <v>195</v>
      </c>
      <c r="F94" s="7" t="s">
        <v>195</v>
      </c>
      <c r="G94" s="7" t="s">
        <v>195</v>
      </c>
      <c r="H94" s="7" t="s">
        <v>195</v>
      </c>
      <c r="I94" s="7" t="s">
        <v>195</v>
      </c>
      <c r="J94" s="7" t="s">
        <v>195</v>
      </c>
      <c r="K94" s="7" t="s">
        <v>195</v>
      </c>
      <c r="L94" s="7" t="s">
        <v>195</v>
      </c>
      <c r="M94" s="7" t="s">
        <v>29</v>
      </c>
      <c r="N94" s="7" t="s">
        <v>29</v>
      </c>
      <c r="O94" s="7" t="s">
        <v>28</v>
      </c>
      <c r="P94" s="7" t="s">
        <v>29</v>
      </c>
      <c r="Q94" s="7" t="s">
        <v>29</v>
      </c>
      <c r="R94" s="7" t="s">
        <v>29</v>
      </c>
      <c r="S94" s="7" t="s">
        <v>29</v>
      </c>
    </row>
    <row r="95" spans="1:19">
      <c r="A95" s="7" t="s">
        <v>769</v>
      </c>
      <c r="B95" s="7" t="s">
        <v>195</v>
      </c>
      <c r="C95" s="8" t="s">
        <v>195</v>
      </c>
      <c r="D95" s="6" t="str">
        <f>LRTRIM(CONCATENATE(IF(SUMPRODUCT(-- ISNUMBER(SEARCH({"Auto Number"}, $B95))) &gt; 0, $B95, IF(SUMPRODUCT(-- ISNUMBER(SEARCH({"Lookup","Master-Detail"}, $B95))) &gt; 0,$B95 &amp; "(" &amp; $E95 &amp; ")",IF(SUMPRODUCT(-- ISNUMBER(SEARCH({"Formula","Roll-Up Summary"}, $B95))) &gt; 0,$B95 &amp; " (" &amp; $E95 &amp; ")",IF(SUMPRODUCT(-- ISNUMBER(SEARCH({"Content","Currency","Number","Percent","Text","URL"}, $B95))) &gt; 0,$B95 &amp; "(" &amp; $C95 &amp; ")",$B95)))), "  ", TRIM(IF($S95 = "YES", "(External ID)", "") &amp; " " &amp; IF(SUMPRODUCT(-- ISNUMBER(SEARCH({"Unique","Unique Case Insensitive"}, $R95))) &gt; 0, "(" &amp; $R95 &amp; ")", ""))))</f>
        <v>na</v>
      </c>
      <c r="E95" s="7" t="s">
        <v>195</v>
      </c>
      <c r="F95" s="7" t="s">
        <v>195</v>
      </c>
      <c r="G95" s="7" t="s">
        <v>195</v>
      </c>
      <c r="H95" s="7" t="s">
        <v>195</v>
      </c>
      <c r="I95" s="7" t="s">
        <v>195</v>
      </c>
      <c r="J95" s="7" t="s">
        <v>195</v>
      </c>
      <c r="K95" s="7" t="s">
        <v>195</v>
      </c>
      <c r="L95" s="7" t="s">
        <v>195</v>
      </c>
      <c r="M95" s="7" t="s">
        <v>29</v>
      </c>
      <c r="N95" s="7" t="s">
        <v>29</v>
      </c>
      <c r="O95" s="7" t="s">
        <v>28</v>
      </c>
      <c r="P95" s="7" t="s">
        <v>29</v>
      </c>
      <c r="Q95" s="7" t="s">
        <v>29</v>
      </c>
      <c r="R95" s="7" t="s">
        <v>29</v>
      </c>
      <c r="S95" s="7" t="s">
        <v>29</v>
      </c>
    </row>
    <row r="96" spans="1:19">
      <c r="A96" s="7" t="s">
        <v>770</v>
      </c>
      <c r="B96" s="7" t="s">
        <v>195</v>
      </c>
      <c r="C96" s="8" t="s">
        <v>195</v>
      </c>
      <c r="D96" s="6" t="str">
        <f>LRTRIM(CONCATENATE(IF(SUMPRODUCT(-- ISNUMBER(SEARCH({"Auto Number"}, $B96))) &gt; 0, $B96, IF(SUMPRODUCT(-- ISNUMBER(SEARCH({"Lookup","Master-Detail"}, $B96))) &gt; 0,$B96 &amp; "(" &amp; $E96 &amp; ")",IF(SUMPRODUCT(-- ISNUMBER(SEARCH({"Formula","Roll-Up Summary"}, $B96))) &gt; 0,$B96 &amp; " (" &amp; $E96 &amp; ")",IF(SUMPRODUCT(-- ISNUMBER(SEARCH({"Content","Currency","Number","Percent","Text","URL"}, $B96))) &gt; 0,$B96 &amp; "(" &amp; $C96 &amp; ")",$B96)))), "  ", TRIM(IF($S96 = "YES", "(External ID)", "") &amp; " " &amp; IF(SUMPRODUCT(-- ISNUMBER(SEARCH({"Unique","Unique Case Insensitive"}, $R96))) &gt; 0, "(" &amp; $R96 &amp; ")", ""))))</f>
        <v>na</v>
      </c>
      <c r="E96" s="7" t="s">
        <v>195</v>
      </c>
      <c r="F96" s="7" t="s">
        <v>195</v>
      </c>
      <c r="G96" s="7" t="s">
        <v>195</v>
      </c>
      <c r="H96" s="7" t="s">
        <v>195</v>
      </c>
      <c r="I96" s="7" t="s">
        <v>195</v>
      </c>
      <c r="J96" s="7" t="s">
        <v>195</v>
      </c>
      <c r="K96" s="7" t="s">
        <v>195</v>
      </c>
      <c r="L96" s="7" t="s">
        <v>195</v>
      </c>
      <c r="M96" s="7" t="s">
        <v>29</v>
      </c>
      <c r="N96" s="7" t="s">
        <v>29</v>
      </c>
      <c r="O96" s="7" t="s">
        <v>28</v>
      </c>
      <c r="P96" s="7" t="s">
        <v>29</v>
      </c>
      <c r="Q96" s="7" t="s">
        <v>29</v>
      </c>
      <c r="R96" s="7" t="s">
        <v>29</v>
      </c>
      <c r="S96" s="7" t="s">
        <v>29</v>
      </c>
    </row>
    <row r="97" spans="1:19">
      <c r="A97" s="7" t="s">
        <v>771</v>
      </c>
      <c r="B97" s="7" t="s">
        <v>195</v>
      </c>
      <c r="C97" s="8" t="s">
        <v>195</v>
      </c>
      <c r="D97" s="6" t="str">
        <f>LRTRIM(CONCATENATE(IF(SUMPRODUCT(-- ISNUMBER(SEARCH({"Auto Number"}, $B97))) &gt; 0, $B97, IF(SUMPRODUCT(-- ISNUMBER(SEARCH({"Lookup","Master-Detail"}, $B97))) &gt; 0,$B97 &amp; "(" &amp; $E97 &amp; ")",IF(SUMPRODUCT(-- ISNUMBER(SEARCH({"Formula","Roll-Up Summary"}, $B97))) &gt; 0,$B97 &amp; " (" &amp; $E97 &amp; ")",IF(SUMPRODUCT(-- ISNUMBER(SEARCH({"Content","Currency","Number","Percent","Text","URL"}, $B97))) &gt; 0,$B97 &amp; "(" &amp; $C97 &amp; ")",$B97)))), "  ", TRIM(IF($S97 = "YES", "(External ID)", "") &amp; " " &amp; IF(SUMPRODUCT(-- ISNUMBER(SEARCH({"Unique","Unique Case Insensitive"}, $R97))) &gt; 0, "(" &amp; $R97 &amp; ")", ""))))</f>
        <v>na</v>
      </c>
      <c r="E97" s="7" t="s">
        <v>195</v>
      </c>
      <c r="F97" s="7" t="s">
        <v>195</v>
      </c>
      <c r="G97" s="7" t="s">
        <v>195</v>
      </c>
      <c r="H97" s="7" t="s">
        <v>195</v>
      </c>
      <c r="I97" s="7" t="s">
        <v>195</v>
      </c>
      <c r="J97" s="7" t="s">
        <v>195</v>
      </c>
      <c r="K97" s="7" t="s">
        <v>195</v>
      </c>
      <c r="L97" s="7" t="s">
        <v>195</v>
      </c>
      <c r="M97" s="7" t="s">
        <v>29</v>
      </c>
      <c r="N97" s="7" t="s">
        <v>29</v>
      </c>
      <c r="O97" s="7" t="s">
        <v>28</v>
      </c>
      <c r="P97" s="7" t="s">
        <v>29</v>
      </c>
      <c r="Q97" s="7" t="s">
        <v>29</v>
      </c>
      <c r="R97" s="7" t="s">
        <v>29</v>
      </c>
      <c r="S97" s="7" t="s">
        <v>29</v>
      </c>
    </row>
    <row r="98" spans="1:19">
      <c r="A98" s="10" t="s">
        <v>772</v>
      </c>
      <c r="B98" s="7" t="s">
        <v>195</v>
      </c>
      <c r="C98" s="8" t="s">
        <v>195</v>
      </c>
      <c r="D98" s="6" t="str">
        <f>LRTRIM(CONCATENATE(IF(SUMPRODUCT(-- ISNUMBER(SEARCH({"Auto Number"}, $B98))) &gt; 0, $B98, IF(SUMPRODUCT(-- ISNUMBER(SEARCH({"Lookup","Master-Detail"}, $B98))) &gt; 0,$B98 &amp; "(" &amp; $E98 &amp; ")",IF(SUMPRODUCT(-- ISNUMBER(SEARCH({"Formula","Roll-Up Summary"}, $B98))) &gt; 0,$B98 &amp; " (" &amp; $E98 &amp; ")",IF(SUMPRODUCT(-- ISNUMBER(SEARCH({"Content","Currency","Number","Percent","Text","URL"}, $B98))) &gt; 0,$B98 &amp; "(" &amp; $C98 &amp; ")",$B98)))), "  ", TRIM(IF($S98 = "YES", "(External ID)", "") &amp; " " &amp; IF(SUMPRODUCT(-- ISNUMBER(SEARCH({"Unique","Unique Case Insensitive"}, $R98))) &gt; 0, "(" &amp; $R98 &amp; ")", ""))))</f>
        <v>na</v>
      </c>
      <c r="E98" s="7" t="s">
        <v>195</v>
      </c>
      <c r="F98" s="7" t="s">
        <v>195</v>
      </c>
      <c r="G98" s="7" t="s">
        <v>195</v>
      </c>
      <c r="H98" s="7" t="s">
        <v>195</v>
      </c>
      <c r="I98" s="7" t="s">
        <v>195</v>
      </c>
      <c r="J98" s="7" t="s">
        <v>195</v>
      </c>
      <c r="K98" s="7" t="s">
        <v>195</v>
      </c>
      <c r="L98" s="7" t="s">
        <v>195</v>
      </c>
      <c r="M98" s="7" t="s">
        <v>29</v>
      </c>
      <c r="N98" s="7" t="s">
        <v>29</v>
      </c>
      <c r="O98" s="7" t="s">
        <v>28</v>
      </c>
      <c r="P98" s="7" t="s">
        <v>29</v>
      </c>
      <c r="Q98" s="7" t="s">
        <v>29</v>
      </c>
      <c r="R98" s="7" t="s">
        <v>29</v>
      </c>
      <c r="S98" s="7" t="s">
        <v>29</v>
      </c>
    </row>
    <row r="99" spans="1:19">
      <c r="A99" s="7" t="s">
        <v>773</v>
      </c>
      <c r="B99" s="7" t="s">
        <v>195</v>
      </c>
      <c r="C99" s="8" t="s">
        <v>195</v>
      </c>
      <c r="D99" s="6" t="str">
        <f>LRTRIM(CONCATENATE(IF(SUMPRODUCT(-- ISNUMBER(SEARCH({"Auto Number"}, $B99))) &gt; 0, $B99, IF(SUMPRODUCT(-- ISNUMBER(SEARCH({"Lookup","Master-Detail"}, $B99))) &gt; 0,$B99 &amp; "(" &amp; $E99 &amp; ")",IF(SUMPRODUCT(-- ISNUMBER(SEARCH({"Formula","Roll-Up Summary"}, $B99))) &gt; 0,$B99 &amp; " (" &amp; $E99 &amp; ")",IF(SUMPRODUCT(-- ISNUMBER(SEARCH({"Content","Currency","Number","Percent","Text","URL"}, $B99))) &gt; 0,$B99 &amp; "(" &amp; $C99 &amp; ")",$B99)))), "  ", TRIM(IF($S99 = "YES", "(External ID)", "") &amp; " " &amp; IF(SUMPRODUCT(-- ISNUMBER(SEARCH({"Unique","Unique Case Insensitive"}, $R99))) &gt; 0, "(" &amp; $R99 &amp; ")", ""))))</f>
        <v>na</v>
      </c>
      <c r="E99" s="7" t="s">
        <v>195</v>
      </c>
      <c r="F99" s="7" t="s">
        <v>195</v>
      </c>
      <c r="G99" s="7" t="s">
        <v>195</v>
      </c>
      <c r="H99" s="7" t="s">
        <v>195</v>
      </c>
      <c r="I99" s="7" t="s">
        <v>195</v>
      </c>
      <c r="J99" s="7" t="s">
        <v>195</v>
      </c>
      <c r="K99" s="7" t="s">
        <v>195</v>
      </c>
      <c r="L99" s="7" t="s">
        <v>195</v>
      </c>
      <c r="M99" s="7" t="s">
        <v>28</v>
      </c>
      <c r="N99" s="7" t="s">
        <v>29</v>
      </c>
      <c r="O99" s="7" t="s">
        <v>29</v>
      </c>
      <c r="P99" s="7" t="s">
        <v>29</v>
      </c>
      <c r="Q99" s="7" t="s">
        <v>29</v>
      </c>
      <c r="R99" s="7" t="s">
        <v>29</v>
      </c>
      <c r="S99" s="7" t="s">
        <v>29</v>
      </c>
    </row>
    <row r="100" spans="1:19">
      <c r="A100" s="7" t="s">
        <v>35</v>
      </c>
      <c r="B100" s="7" t="s">
        <v>195</v>
      </c>
      <c r="C100" s="8" t="s">
        <v>195</v>
      </c>
      <c r="D100" s="6" t="str">
        <f>LRTRIM(CONCATENATE(IF(SUMPRODUCT(-- ISNUMBER(SEARCH({"Auto Number"}, $B100))) &gt; 0, $B100, IF(SUMPRODUCT(-- ISNUMBER(SEARCH({"Lookup","Master-Detail"}, $B100))) &gt; 0,$B100 &amp; "(" &amp; $E100 &amp; ")",IF(SUMPRODUCT(-- ISNUMBER(SEARCH({"Formula","Roll-Up Summary"}, $B100))) &gt; 0,$B100 &amp; " (" &amp; $E100 &amp; ")",IF(SUMPRODUCT(-- ISNUMBER(SEARCH({"Content","Currency","Number","Percent","Text","URL"}, $B100))) &gt; 0,$B100 &amp; "(" &amp; $C100 &amp; ")",$B100)))), "  ", TRIM(IF($S100 = "YES", "(External ID)", "") &amp; " " &amp; IF(SUMPRODUCT(-- ISNUMBER(SEARCH({"Unique","Unique Case Insensitive"}, $R100))) &gt; 0, "(" &amp; $R100 &amp; ")", ""))))</f>
        <v>na</v>
      </c>
      <c r="E100" s="7" t="s">
        <v>195</v>
      </c>
      <c r="F100" s="7" t="s">
        <v>195</v>
      </c>
      <c r="G100" s="7" t="s">
        <v>195</v>
      </c>
      <c r="H100" s="7" t="s">
        <v>195</v>
      </c>
      <c r="I100" s="7" t="s">
        <v>195</v>
      </c>
      <c r="J100" s="7" t="s">
        <v>195</v>
      </c>
      <c r="K100" s="7" t="s">
        <v>195</v>
      </c>
      <c r="L100" s="7" t="s">
        <v>195</v>
      </c>
      <c r="M100" s="7" t="s">
        <v>28</v>
      </c>
      <c r="N100" s="7" t="s">
        <v>29</v>
      </c>
      <c r="O100" s="7" t="s">
        <v>29</v>
      </c>
      <c r="P100" s="7" t="s">
        <v>29</v>
      </c>
      <c r="Q100" s="7" t="s">
        <v>29</v>
      </c>
      <c r="R100" s="7" t="s">
        <v>29</v>
      </c>
      <c r="S100" s="7" t="s">
        <v>29</v>
      </c>
    </row>
    <row r="101" spans="1:19">
      <c r="A101" s="7" t="s">
        <v>36</v>
      </c>
      <c r="B101" s="7" t="s">
        <v>195</v>
      </c>
      <c r="C101" s="8" t="s">
        <v>195</v>
      </c>
      <c r="D101" s="6" t="str">
        <f>LRTRIM(CONCATENATE(IF(SUMPRODUCT(-- ISNUMBER(SEARCH({"Auto Number"}, $B101))) &gt; 0, $B101, IF(SUMPRODUCT(-- ISNUMBER(SEARCH({"Lookup","Master-Detail"}, $B101))) &gt; 0,$B101 &amp; "(" &amp; $E101 &amp; ")",IF(SUMPRODUCT(-- ISNUMBER(SEARCH({"Formula","Roll-Up Summary"}, $B101))) &gt; 0,$B101 &amp; " (" &amp; $E101 &amp; ")",IF(SUMPRODUCT(-- ISNUMBER(SEARCH({"Content","Currency","Number","Percent","Text","URL"}, $B101))) &gt; 0,$B101 &amp; "(" &amp; $C101 &amp; ")",$B101)))), "  ", TRIM(IF($S101 = "YES", "(External ID)", "") &amp; " " &amp; IF(SUMPRODUCT(-- ISNUMBER(SEARCH({"Unique","Unique Case Insensitive"}, $R101))) &gt; 0, "(" &amp; $R101 &amp; ")", ""))))</f>
        <v>na</v>
      </c>
      <c r="E101" s="7" t="s">
        <v>195</v>
      </c>
      <c r="F101" s="7" t="s">
        <v>195</v>
      </c>
      <c r="G101" s="7" t="s">
        <v>195</v>
      </c>
      <c r="H101" s="7" t="s">
        <v>195</v>
      </c>
      <c r="I101" s="7" t="s">
        <v>195</v>
      </c>
      <c r="J101" s="7" t="s">
        <v>195</v>
      </c>
      <c r="K101" s="7" t="s">
        <v>195</v>
      </c>
      <c r="L101" s="7" t="s">
        <v>195</v>
      </c>
      <c r="M101" s="7" t="s">
        <v>28</v>
      </c>
      <c r="N101" s="7" t="s">
        <v>29</v>
      </c>
      <c r="O101" s="7" t="s">
        <v>29</v>
      </c>
      <c r="P101" s="7" t="s">
        <v>29</v>
      </c>
      <c r="Q101" s="7" t="s">
        <v>29</v>
      </c>
      <c r="R101" s="7" t="s">
        <v>29</v>
      </c>
      <c r="S101" s="7" t="s">
        <v>29</v>
      </c>
    </row>
    <row r="102" spans="1:19">
      <c r="A102" s="7" t="s">
        <v>37</v>
      </c>
      <c r="B102" s="7" t="s">
        <v>195</v>
      </c>
      <c r="C102" s="8" t="s">
        <v>195</v>
      </c>
      <c r="D102" s="6" t="str">
        <f>LRTRIM(CONCATENATE(IF(SUMPRODUCT(-- ISNUMBER(SEARCH({"Auto Number"}, $B102))) &gt; 0, $B102, IF(SUMPRODUCT(-- ISNUMBER(SEARCH({"Lookup","Master-Detail"}, $B102))) &gt; 0,$B102 &amp; "(" &amp; $E102 &amp; ")",IF(SUMPRODUCT(-- ISNUMBER(SEARCH({"Formula","Roll-Up Summary"}, $B102))) &gt; 0,$B102 &amp; " (" &amp; $E102 &amp; ")",IF(SUMPRODUCT(-- ISNUMBER(SEARCH({"Content","Currency","Number","Percent","Text","URL"}, $B102))) &gt; 0,$B102 &amp; "(" &amp; $C102 &amp; ")",$B102)))), "  ", TRIM(IF($S102 = "YES", "(External ID)", "") &amp; " " &amp; IF(SUMPRODUCT(-- ISNUMBER(SEARCH({"Unique","Unique Case Insensitive"}, $R102))) &gt; 0, "(" &amp; $R102 &amp; ")", ""))))</f>
        <v>na</v>
      </c>
      <c r="E102" s="7" t="s">
        <v>195</v>
      </c>
      <c r="F102" s="7" t="s">
        <v>195</v>
      </c>
      <c r="G102" s="7" t="s">
        <v>195</v>
      </c>
      <c r="H102" s="7" t="s">
        <v>195</v>
      </c>
      <c r="I102" s="7" t="s">
        <v>195</v>
      </c>
      <c r="J102" s="7" t="s">
        <v>195</v>
      </c>
      <c r="K102" s="7" t="s">
        <v>195</v>
      </c>
      <c r="L102" s="7" t="s">
        <v>195</v>
      </c>
      <c r="M102" s="7" t="s">
        <v>28</v>
      </c>
      <c r="N102" s="7" t="s">
        <v>29</v>
      </c>
      <c r="O102" s="7" t="s">
        <v>29</v>
      </c>
      <c r="P102" s="7" t="s">
        <v>29</v>
      </c>
      <c r="Q102" s="7" t="s">
        <v>29</v>
      </c>
      <c r="R102" s="7" t="s">
        <v>29</v>
      </c>
      <c r="S102" s="7" t="s">
        <v>29</v>
      </c>
    </row>
    <row r="103" spans="1:19">
      <c r="A103" s="7" t="s">
        <v>38</v>
      </c>
      <c r="B103" s="7" t="s">
        <v>195</v>
      </c>
      <c r="C103" s="8" t="s">
        <v>195</v>
      </c>
      <c r="D103" s="6" t="str">
        <f>LRTRIM(CONCATENATE(IF(SUMPRODUCT(-- ISNUMBER(SEARCH({"Auto Number"}, $B103))) &gt; 0, $B103, IF(SUMPRODUCT(-- ISNUMBER(SEARCH({"Lookup","Master-Detail"}, $B103))) &gt; 0,$B103 &amp; "(" &amp; $E103 &amp; ")",IF(SUMPRODUCT(-- ISNUMBER(SEARCH({"Formula","Roll-Up Summary"}, $B103))) &gt; 0,$B103 &amp; " (" &amp; $E103 &amp; ")",IF(SUMPRODUCT(-- ISNUMBER(SEARCH({"Content","Currency","Number","Percent","Text","URL"}, $B103))) &gt; 0,$B103 &amp; "(" &amp; $C103 &amp; ")",$B103)))), "  ", TRIM(IF($S103 = "YES", "(External ID)", "") &amp; " " &amp; IF(SUMPRODUCT(-- ISNUMBER(SEARCH({"Unique","Unique Case Insensitive"}, $R103))) &gt; 0, "(" &amp; $R103 &amp; ")", ""))))</f>
        <v>na</v>
      </c>
      <c r="E103" s="7" t="s">
        <v>195</v>
      </c>
      <c r="F103" s="7" t="s">
        <v>195</v>
      </c>
      <c r="G103" s="7" t="s">
        <v>195</v>
      </c>
      <c r="H103" s="7" t="s">
        <v>195</v>
      </c>
      <c r="I103" s="7" t="s">
        <v>195</v>
      </c>
      <c r="J103" s="7" t="s">
        <v>195</v>
      </c>
      <c r="K103" s="7" t="s">
        <v>195</v>
      </c>
      <c r="L103" s="7" t="s">
        <v>195</v>
      </c>
      <c r="M103" s="7" t="s">
        <v>28</v>
      </c>
      <c r="N103" s="7" t="s">
        <v>29</v>
      </c>
      <c r="O103" s="7" t="s">
        <v>29</v>
      </c>
      <c r="P103" s="7" t="s">
        <v>29</v>
      </c>
      <c r="Q103" s="7" t="s">
        <v>29</v>
      </c>
      <c r="R103" s="7" t="s">
        <v>29</v>
      </c>
      <c r="S103" s="7" t="s">
        <v>29</v>
      </c>
    </row>
    <row r="104" spans="1:19">
      <c r="A104" s="7" t="s">
        <v>39</v>
      </c>
      <c r="B104" s="7" t="s">
        <v>195</v>
      </c>
      <c r="C104" s="8" t="s">
        <v>195</v>
      </c>
      <c r="D104" s="6" t="str">
        <f>LRTRIM(CONCATENATE(IF(SUMPRODUCT(-- ISNUMBER(SEARCH({"Auto Number"}, $B104))) &gt; 0, $B104, IF(SUMPRODUCT(-- ISNUMBER(SEARCH({"Lookup","Master-Detail"}, $B104))) &gt; 0,$B104 &amp; "(" &amp; $E104 &amp; ")",IF(SUMPRODUCT(-- ISNUMBER(SEARCH({"Formula","Roll-Up Summary"}, $B104))) &gt; 0,$B104 &amp; " (" &amp; $E104 &amp; ")",IF(SUMPRODUCT(-- ISNUMBER(SEARCH({"Content","Currency","Number","Percent","Text","URL"}, $B104))) &gt; 0,$B104 &amp; "(" &amp; $C104 &amp; ")",$B104)))), "  ", TRIM(IF($S104 = "YES", "(External ID)", "") &amp; " " &amp; IF(SUMPRODUCT(-- ISNUMBER(SEARCH({"Unique","Unique Case Insensitive"}, $R104))) &gt; 0, "(" &amp; $R104 &amp; ")", ""))))</f>
        <v>na</v>
      </c>
      <c r="E104" s="7" t="s">
        <v>195</v>
      </c>
      <c r="F104" s="7" t="s">
        <v>195</v>
      </c>
      <c r="G104" s="7" t="s">
        <v>195</v>
      </c>
      <c r="H104" s="7" t="s">
        <v>195</v>
      </c>
      <c r="I104" s="7" t="s">
        <v>195</v>
      </c>
      <c r="J104" s="7" t="s">
        <v>195</v>
      </c>
      <c r="K104" s="7" t="s">
        <v>195</v>
      </c>
      <c r="L104" s="7" t="s">
        <v>195</v>
      </c>
      <c r="M104" s="7" t="s">
        <v>28</v>
      </c>
      <c r="N104" s="7" t="s">
        <v>29</v>
      </c>
      <c r="O104" s="7" t="s">
        <v>29</v>
      </c>
      <c r="P104" s="7" t="s">
        <v>29</v>
      </c>
      <c r="Q104" s="7" t="s">
        <v>29</v>
      </c>
      <c r="R104" s="7" t="s">
        <v>29</v>
      </c>
      <c r="S104" s="7" t="s">
        <v>29</v>
      </c>
    </row>
    <row r="105" spans="1:19">
      <c r="A105" s="7" t="s">
        <v>34</v>
      </c>
      <c r="B105" s="7" t="s">
        <v>195</v>
      </c>
      <c r="C105" s="8" t="s">
        <v>195</v>
      </c>
      <c r="D105" s="6" t="str">
        <f>LRTRIM(CONCATENATE(IF(SUMPRODUCT(-- ISNUMBER(SEARCH({"Auto Number"}, $B105))) &gt; 0, $B105, IF(SUMPRODUCT(-- ISNUMBER(SEARCH({"Lookup","Master-Detail"}, $B105))) &gt; 0,$B105 &amp; "(" &amp; $E105 &amp; ")",IF(SUMPRODUCT(-- ISNUMBER(SEARCH({"Formula","Roll-Up Summary"}, $B105))) &gt; 0,$B105 &amp; " (" &amp; $E105 &amp; ")",IF(SUMPRODUCT(-- ISNUMBER(SEARCH({"Content","Currency","Number","Percent","Text","URL"}, $B105))) &gt; 0,$B105 &amp; "(" &amp; $C105 &amp; ")",$B105)))), "  ", TRIM(IF($S105 = "YES", "(External ID)", "") &amp; " " &amp; IF(SUMPRODUCT(-- ISNUMBER(SEARCH({"Unique","Unique Case Insensitive"}, $R105))) &gt; 0, "(" &amp; $R105 &amp; ")", ""))))</f>
        <v>na</v>
      </c>
      <c r="E105" s="7" t="s">
        <v>195</v>
      </c>
      <c r="F105" s="7" t="s">
        <v>195</v>
      </c>
      <c r="G105" s="7" t="s">
        <v>195</v>
      </c>
      <c r="H105" s="7" t="s">
        <v>195</v>
      </c>
      <c r="I105" s="7" t="s">
        <v>195</v>
      </c>
      <c r="J105" s="7" t="s">
        <v>195</v>
      </c>
      <c r="K105" s="7" t="s">
        <v>195</v>
      </c>
      <c r="L105" s="7" t="s">
        <v>195</v>
      </c>
      <c r="M105" s="7" t="s">
        <v>28</v>
      </c>
      <c r="N105" s="7" t="s">
        <v>29</v>
      </c>
      <c r="O105" s="7" t="s">
        <v>29</v>
      </c>
      <c r="P105" s="7" t="s">
        <v>29</v>
      </c>
      <c r="Q105" s="7" t="s">
        <v>29</v>
      </c>
      <c r="R105" s="7" t="s">
        <v>29</v>
      </c>
      <c r="S105" s="7" t="s">
        <v>29</v>
      </c>
    </row>
    <row r="106" spans="1:19">
      <c r="B106" s="7" t="s">
        <v>195</v>
      </c>
      <c r="C106" s="8" t="s">
        <v>195</v>
      </c>
      <c r="D106" s="6" t="str">
        <f>LRTRIM(CONCATENATE(IF(SUMPRODUCT(-- ISNUMBER(SEARCH({"Auto Number"}, $B106))) &gt; 0, $B106, IF(SUMPRODUCT(-- ISNUMBER(SEARCH({"Lookup","Master-Detail"}, $B106))) &gt; 0,$B106 &amp; "(" &amp; $E106 &amp; ")",IF(SUMPRODUCT(-- ISNUMBER(SEARCH({"Formula","Roll-Up Summary"}, $B106))) &gt; 0,$B106 &amp; " (" &amp; $E106 &amp; ")",IF(SUMPRODUCT(-- ISNUMBER(SEARCH({"Content","Currency","Number","Percent","Text","URL"}, $B106))) &gt; 0,$B106 &amp; "(" &amp; $C106 &amp; ")",$B106)))), "  ", TRIM(IF($S106 = "YES", "(External ID)", "") &amp; " " &amp; IF(SUMPRODUCT(-- ISNUMBER(SEARCH({"Unique","Unique Case Insensitive"}, $R106))) &gt; 0, "(" &amp; $R106 &amp; ")", ""))))</f>
        <v>na</v>
      </c>
      <c r="E106" s="7" t="s">
        <v>195</v>
      </c>
      <c r="F106" s="7" t="s">
        <v>195</v>
      </c>
      <c r="G106" s="7" t="s">
        <v>195</v>
      </c>
      <c r="H106" s="7" t="s">
        <v>195</v>
      </c>
      <c r="I106" s="7" t="s">
        <v>195</v>
      </c>
      <c r="J106" s="7" t="s">
        <v>195</v>
      </c>
      <c r="K106" s="7" t="s">
        <v>195</v>
      </c>
      <c r="L106" s="7" t="s">
        <v>195</v>
      </c>
      <c r="M106" s="7" t="s">
        <v>29</v>
      </c>
      <c r="N106" s="7" t="s">
        <v>29</v>
      </c>
      <c r="O106" s="7" t="s">
        <v>29</v>
      </c>
      <c r="P106" s="7" t="s">
        <v>29</v>
      </c>
      <c r="Q106" s="7" t="s">
        <v>29</v>
      </c>
      <c r="R106" s="7" t="s">
        <v>29</v>
      </c>
      <c r="S106" s="7" t="s">
        <v>29</v>
      </c>
    </row>
    <row r="107" spans="1:19">
      <c r="B107" s="7" t="s">
        <v>195</v>
      </c>
      <c r="C107" s="8" t="s">
        <v>195</v>
      </c>
      <c r="D107" s="6" t="str">
        <f>LRTRIM(CONCATENATE(IF(SUMPRODUCT(-- ISNUMBER(SEARCH({"Auto Number"}, $B107))) &gt; 0, $B107, IF(SUMPRODUCT(-- ISNUMBER(SEARCH({"Lookup","Master-Detail"}, $B107))) &gt; 0,$B107 &amp; "(" &amp; $E107 &amp; ")",IF(SUMPRODUCT(-- ISNUMBER(SEARCH({"Formula","Roll-Up Summary"}, $B107))) &gt; 0,$B107 &amp; " (" &amp; $E107 &amp; ")",IF(SUMPRODUCT(-- ISNUMBER(SEARCH({"Content","Currency","Number","Percent","Text","URL"}, $B107))) &gt; 0,$B107 &amp; "(" &amp; $C107 &amp; ")",$B107)))), "  ", TRIM(IF($S107 = "YES", "(External ID)", "") &amp; " " &amp; IF(SUMPRODUCT(-- ISNUMBER(SEARCH({"Unique","Unique Case Insensitive"}, $R107))) &gt; 0, "(" &amp; $R107 &amp; ")", ""))))</f>
        <v>na</v>
      </c>
      <c r="E107" s="7" t="s">
        <v>195</v>
      </c>
      <c r="F107" s="7" t="s">
        <v>195</v>
      </c>
      <c r="G107" s="7" t="s">
        <v>195</v>
      </c>
      <c r="H107" s="7" t="s">
        <v>195</v>
      </c>
      <c r="I107" s="7" t="s">
        <v>195</v>
      </c>
      <c r="J107" s="7" t="s">
        <v>195</v>
      </c>
      <c r="K107" s="7" t="s">
        <v>195</v>
      </c>
      <c r="L107" s="7" t="s">
        <v>195</v>
      </c>
      <c r="M107" s="7" t="s">
        <v>29</v>
      </c>
      <c r="N107" s="7" t="s">
        <v>29</v>
      </c>
      <c r="O107" s="7" t="s">
        <v>29</v>
      </c>
      <c r="P107" s="7" t="s">
        <v>29</v>
      </c>
      <c r="Q107" s="7" t="s">
        <v>29</v>
      </c>
      <c r="R107" s="7" t="s">
        <v>29</v>
      </c>
      <c r="S107" s="7" t="s">
        <v>29</v>
      </c>
    </row>
    <row r="108" spans="1:19">
      <c r="B108" s="7" t="s">
        <v>195</v>
      </c>
      <c r="C108" s="8" t="s">
        <v>195</v>
      </c>
      <c r="D108" s="6" t="str">
        <f>LRTRIM(CONCATENATE(IF(SUMPRODUCT(-- ISNUMBER(SEARCH({"Auto Number"}, $B108))) &gt; 0, $B108, IF(SUMPRODUCT(-- ISNUMBER(SEARCH({"Lookup","Master-Detail"}, $B108))) &gt; 0,$B108 &amp; "(" &amp; $E108 &amp; ")",IF(SUMPRODUCT(-- ISNUMBER(SEARCH({"Formula","Roll-Up Summary"}, $B108))) &gt; 0,$B108 &amp; " (" &amp; $E108 &amp; ")",IF(SUMPRODUCT(-- ISNUMBER(SEARCH({"Content","Currency","Number","Percent","Text","URL"}, $B108))) &gt; 0,$B108 &amp; "(" &amp; $C108 &amp; ")",$B108)))), "  ", TRIM(IF($S108 = "YES", "(External ID)", "") &amp; " " &amp; IF(SUMPRODUCT(-- ISNUMBER(SEARCH({"Unique","Unique Case Insensitive"}, $R108))) &gt; 0, "(" &amp; $R108 &amp; ")", ""))))</f>
        <v>na</v>
      </c>
      <c r="E108" s="7" t="s">
        <v>195</v>
      </c>
      <c r="F108" s="7" t="s">
        <v>195</v>
      </c>
      <c r="G108" s="7" t="s">
        <v>195</v>
      </c>
      <c r="H108" s="7" t="s">
        <v>195</v>
      </c>
      <c r="I108" s="7" t="s">
        <v>195</v>
      </c>
      <c r="J108" s="7" t="s">
        <v>195</v>
      </c>
      <c r="K108" s="7" t="s">
        <v>195</v>
      </c>
      <c r="L108" s="7" t="s">
        <v>195</v>
      </c>
      <c r="M108" s="7" t="s">
        <v>29</v>
      </c>
      <c r="N108" s="7" t="s">
        <v>29</v>
      </c>
      <c r="O108" s="7" t="s">
        <v>29</v>
      </c>
      <c r="P108" s="7" t="s">
        <v>29</v>
      </c>
      <c r="Q108" s="7" t="s">
        <v>29</v>
      </c>
      <c r="R108" s="7" t="s">
        <v>29</v>
      </c>
      <c r="S108" s="7" t="s">
        <v>29</v>
      </c>
    </row>
    <row r="109" spans="1:19">
      <c r="B109" s="7" t="s">
        <v>195</v>
      </c>
      <c r="C109" s="8" t="s">
        <v>195</v>
      </c>
      <c r="D109" s="6" t="str">
        <f>LRTRIM(CONCATENATE(IF(SUMPRODUCT(-- ISNUMBER(SEARCH({"Auto Number"}, $B109))) &gt; 0, $B109, IF(SUMPRODUCT(-- ISNUMBER(SEARCH({"Lookup","Master-Detail"}, $B109))) &gt; 0,$B109 &amp; "(" &amp; $E109 &amp; ")",IF(SUMPRODUCT(-- ISNUMBER(SEARCH({"Formula","Roll-Up Summary"}, $B109))) &gt; 0,$B109 &amp; " (" &amp; $E109 &amp; ")",IF(SUMPRODUCT(-- ISNUMBER(SEARCH({"Content","Currency","Number","Percent","Text","URL"}, $B109))) &gt; 0,$B109 &amp; "(" &amp; $C109 &amp; ")",$B109)))), "  ", TRIM(IF($S109 = "YES", "(External ID)", "") &amp; " " &amp; IF(SUMPRODUCT(-- ISNUMBER(SEARCH({"Unique","Unique Case Insensitive"}, $R109))) &gt; 0, "(" &amp; $R109 &amp; ")", ""))))</f>
        <v>na</v>
      </c>
      <c r="E109" s="7" t="s">
        <v>195</v>
      </c>
      <c r="F109" s="7" t="s">
        <v>195</v>
      </c>
      <c r="G109" s="7" t="s">
        <v>195</v>
      </c>
      <c r="H109" s="7" t="s">
        <v>195</v>
      </c>
      <c r="I109" s="7" t="s">
        <v>195</v>
      </c>
      <c r="J109" s="7" t="s">
        <v>195</v>
      </c>
      <c r="K109" s="7" t="s">
        <v>195</v>
      </c>
      <c r="L109" s="7" t="s">
        <v>195</v>
      </c>
      <c r="M109" s="7" t="s">
        <v>29</v>
      </c>
      <c r="N109" s="7" t="s">
        <v>29</v>
      </c>
      <c r="O109" s="7" t="s">
        <v>29</v>
      </c>
      <c r="P109" s="7" t="s">
        <v>29</v>
      </c>
      <c r="Q109" s="7" t="s">
        <v>29</v>
      </c>
      <c r="R109" s="7" t="s">
        <v>29</v>
      </c>
      <c r="S109" s="7" t="s">
        <v>29</v>
      </c>
    </row>
    <row r="110" spans="1:19">
      <c r="B110" s="7" t="s">
        <v>195</v>
      </c>
      <c r="C110" s="8" t="s">
        <v>195</v>
      </c>
      <c r="D110" s="6" t="str">
        <f>LRTRIM(CONCATENATE(IF(SUMPRODUCT(-- ISNUMBER(SEARCH({"Auto Number"}, $B110))) &gt; 0, $B110, IF(SUMPRODUCT(-- ISNUMBER(SEARCH({"Lookup","Master-Detail"}, $B110))) &gt; 0,$B110 &amp; "(" &amp; $E110 &amp; ")",IF(SUMPRODUCT(-- ISNUMBER(SEARCH({"Formula","Roll-Up Summary"}, $B110))) &gt; 0,$B110 &amp; " (" &amp; $E110 &amp; ")",IF(SUMPRODUCT(-- ISNUMBER(SEARCH({"Content","Currency","Number","Percent","Text","URL"}, $B110))) &gt; 0,$B110 &amp; "(" &amp; $C110 &amp; ")",$B110)))), "  ", TRIM(IF($S110 = "YES", "(External ID)", "") &amp; " " &amp; IF(SUMPRODUCT(-- ISNUMBER(SEARCH({"Unique","Unique Case Insensitive"}, $R110))) &gt; 0, "(" &amp; $R110 &amp; ")", ""))))</f>
        <v>na</v>
      </c>
      <c r="E110" s="7" t="s">
        <v>195</v>
      </c>
      <c r="F110" s="7" t="s">
        <v>195</v>
      </c>
      <c r="G110" s="7" t="s">
        <v>195</v>
      </c>
      <c r="H110" s="7" t="s">
        <v>195</v>
      </c>
      <c r="I110" s="7" t="s">
        <v>195</v>
      </c>
      <c r="J110" s="7" t="s">
        <v>195</v>
      </c>
      <c r="K110" s="7" t="s">
        <v>195</v>
      </c>
      <c r="L110" s="7" t="s">
        <v>195</v>
      </c>
      <c r="M110" s="7" t="s">
        <v>29</v>
      </c>
      <c r="N110" s="7" t="s">
        <v>29</v>
      </c>
      <c r="O110" s="7" t="s">
        <v>29</v>
      </c>
      <c r="P110" s="7" t="s">
        <v>29</v>
      </c>
      <c r="Q110" s="7" t="s">
        <v>29</v>
      </c>
      <c r="R110" s="7" t="s">
        <v>29</v>
      </c>
      <c r="S110" s="7" t="s">
        <v>29</v>
      </c>
    </row>
    <row r="111" spans="1:19">
      <c r="B111" s="7" t="s">
        <v>195</v>
      </c>
      <c r="C111" s="8" t="s">
        <v>195</v>
      </c>
      <c r="D111" s="6" t="str">
        <f>LRTRIM(CONCATENATE(IF(SUMPRODUCT(-- ISNUMBER(SEARCH({"Auto Number"}, $B111))) &gt; 0, $B111, IF(SUMPRODUCT(-- ISNUMBER(SEARCH({"Lookup","Master-Detail"}, $B111))) &gt; 0,$B111 &amp; "(" &amp; $E111 &amp; ")",IF(SUMPRODUCT(-- ISNUMBER(SEARCH({"Formula","Roll-Up Summary"}, $B111))) &gt; 0,$B111 &amp; " (" &amp; $E111 &amp; ")",IF(SUMPRODUCT(-- ISNUMBER(SEARCH({"Content","Currency","Number","Percent","Text","URL"}, $B111))) &gt; 0,$B111 &amp; "(" &amp; $C111 &amp; ")",$B111)))), "  ", TRIM(IF($S111 = "YES", "(External ID)", "") &amp; " " &amp; IF(SUMPRODUCT(-- ISNUMBER(SEARCH({"Unique","Unique Case Insensitive"}, $R111))) &gt; 0, "(" &amp; $R111 &amp; ")", ""))))</f>
        <v>na</v>
      </c>
      <c r="E111" s="7" t="s">
        <v>195</v>
      </c>
      <c r="F111" s="7" t="s">
        <v>195</v>
      </c>
      <c r="G111" s="7" t="s">
        <v>195</v>
      </c>
      <c r="H111" s="7" t="s">
        <v>195</v>
      </c>
      <c r="I111" s="7" t="s">
        <v>195</v>
      </c>
      <c r="J111" s="7" t="s">
        <v>195</v>
      </c>
      <c r="K111" s="7" t="s">
        <v>195</v>
      </c>
      <c r="L111" s="7" t="s">
        <v>195</v>
      </c>
      <c r="M111" s="7" t="s">
        <v>29</v>
      </c>
      <c r="N111" s="7" t="s">
        <v>29</v>
      </c>
      <c r="O111" s="7" t="s">
        <v>29</v>
      </c>
      <c r="P111" s="7" t="s">
        <v>29</v>
      </c>
      <c r="Q111" s="7" t="s">
        <v>29</v>
      </c>
      <c r="R111" s="7" t="s">
        <v>29</v>
      </c>
      <c r="S111" s="7" t="s">
        <v>29</v>
      </c>
    </row>
    <row r="112" spans="1:19">
      <c r="B112" s="7" t="s">
        <v>195</v>
      </c>
      <c r="C112" s="8" t="s">
        <v>195</v>
      </c>
      <c r="D112" s="6" t="str">
        <f>LRTRIM(CONCATENATE(IF(SUMPRODUCT(-- ISNUMBER(SEARCH({"Auto Number"}, $B112))) &gt; 0, $B112, IF(SUMPRODUCT(-- ISNUMBER(SEARCH({"Lookup","Master-Detail"}, $B112))) &gt; 0,$B112 &amp; "(" &amp; $E112 &amp; ")",IF(SUMPRODUCT(-- ISNUMBER(SEARCH({"Formula","Roll-Up Summary"}, $B112))) &gt; 0,$B112 &amp; " (" &amp; $E112 &amp; ")",IF(SUMPRODUCT(-- ISNUMBER(SEARCH({"Content","Currency","Number","Percent","Text","URL"}, $B112))) &gt; 0,$B112 &amp; "(" &amp; $C112 &amp; ")",$B112)))), "  ", TRIM(IF($S112 = "YES", "(External ID)", "") &amp; " " &amp; IF(SUMPRODUCT(-- ISNUMBER(SEARCH({"Unique","Unique Case Insensitive"}, $R112))) &gt; 0, "(" &amp; $R112 &amp; ")", ""))))</f>
        <v>na</v>
      </c>
      <c r="E112" s="7" t="s">
        <v>195</v>
      </c>
      <c r="F112" s="7" t="s">
        <v>195</v>
      </c>
      <c r="G112" s="7" t="s">
        <v>195</v>
      </c>
      <c r="H112" s="7" t="s">
        <v>195</v>
      </c>
      <c r="I112" s="7" t="s">
        <v>195</v>
      </c>
      <c r="J112" s="7" t="s">
        <v>195</v>
      </c>
      <c r="K112" s="7" t="s">
        <v>195</v>
      </c>
      <c r="L112" s="7" t="s">
        <v>195</v>
      </c>
      <c r="M112" s="7" t="s">
        <v>29</v>
      </c>
      <c r="N112" s="7" t="s">
        <v>29</v>
      </c>
      <c r="O112" s="7" t="s">
        <v>29</v>
      </c>
      <c r="P112" s="7" t="s">
        <v>29</v>
      </c>
      <c r="Q112" s="7" t="s">
        <v>29</v>
      </c>
      <c r="R112" s="7" t="s">
        <v>29</v>
      </c>
      <c r="S112" s="7" t="s">
        <v>29</v>
      </c>
    </row>
    <row r="113" spans="2:19">
      <c r="B113" s="7" t="s">
        <v>195</v>
      </c>
      <c r="C113" s="8" t="s">
        <v>195</v>
      </c>
      <c r="D113" s="6" t="str">
        <f>LRTRIM(CONCATENATE(IF(SUMPRODUCT(-- ISNUMBER(SEARCH({"Auto Number"}, $B113))) &gt; 0, $B113, IF(SUMPRODUCT(-- ISNUMBER(SEARCH({"Lookup","Master-Detail"}, $B113))) &gt; 0,$B113 &amp; "(" &amp; $E113 &amp; ")",IF(SUMPRODUCT(-- ISNUMBER(SEARCH({"Formula","Roll-Up Summary"}, $B113))) &gt; 0,$B113 &amp; " (" &amp; $E113 &amp; ")",IF(SUMPRODUCT(-- ISNUMBER(SEARCH({"Content","Currency","Number","Percent","Text","URL"}, $B113))) &gt; 0,$B113 &amp; "(" &amp; $C113 &amp; ")",$B113)))), "  ", TRIM(IF($S113 = "YES", "(External ID)", "") &amp; " " &amp; IF(SUMPRODUCT(-- ISNUMBER(SEARCH({"Unique","Unique Case Insensitive"}, $R113))) &gt; 0, "(" &amp; $R113 &amp; ")", ""))))</f>
        <v>na</v>
      </c>
      <c r="E113" s="7" t="s">
        <v>195</v>
      </c>
      <c r="F113" s="7" t="s">
        <v>195</v>
      </c>
      <c r="G113" s="7" t="s">
        <v>195</v>
      </c>
      <c r="H113" s="7" t="s">
        <v>195</v>
      </c>
      <c r="I113" s="7" t="s">
        <v>195</v>
      </c>
      <c r="J113" s="7" t="s">
        <v>195</v>
      </c>
      <c r="K113" s="7" t="s">
        <v>195</v>
      </c>
      <c r="L113" s="7" t="s">
        <v>195</v>
      </c>
      <c r="M113" s="7" t="s">
        <v>29</v>
      </c>
      <c r="N113" s="7" t="s">
        <v>29</v>
      </c>
      <c r="O113" s="7" t="s">
        <v>29</v>
      </c>
      <c r="P113" s="7" t="s">
        <v>29</v>
      </c>
      <c r="Q113" s="7" t="s">
        <v>29</v>
      </c>
      <c r="R113" s="7" t="s">
        <v>29</v>
      </c>
      <c r="S113" s="7" t="s">
        <v>29</v>
      </c>
    </row>
    <row r="114" spans="2:19">
      <c r="B114" s="7" t="s">
        <v>195</v>
      </c>
      <c r="C114" s="8" t="s">
        <v>195</v>
      </c>
      <c r="D114" s="6" t="str">
        <f>LRTRIM(CONCATENATE(IF(SUMPRODUCT(-- ISNUMBER(SEARCH({"Auto Number"}, $B114))) &gt; 0, $B114, IF(SUMPRODUCT(-- ISNUMBER(SEARCH({"Lookup","Master-Detail"}, $B114))) &gt; 0,$B114 &amp; "(" &amp; $E114 &amp; ")",IF(SUMPRODUCT(-- ISNUMBER(SEARCH({"Formula","Roll-Up Summary"}, $B114))) &gt; 0,$B114 &amp; " (" &amp; $E114 &amp; ")",IF(SUMPRODUCT(-- ISNUMBER(SEARCH({"Content","Currency","Number","Percent","Text","URL"}, $B114))) &gt; 0,$B114 &amp; "(" &amp; $C114 &amp; ")",$B114)))), "  ", TRIM(IF($S114 = "YES", "(External ID)", "") &amp; " " &amp; IF(SUMPRODUCT(-- ISNUMBER(SEARCH({"Unique","Unique Case Insensitive"}, $R114))) &gt; 0, "(" &amp; $R114 &amp; ")", ""))))</f>
        <v>na</v>
      </c>
      <c r="E114" s="7" t="s">
        <v>195</v>
      </c>
      <c r="F114" s="7" t="s">
        <v>195</v>
      </c>
      <c r="G114" s="7" t="s">
        <v>195</v>
      </c>
      <c r="H114" s="7" t="s">
        <v>195</v>
      </c>
      <c r="I114" s="7" t="s">
        <v>195</v>
      </c>
      <c r="J114" s="7" t="s">
        <v>195</v>
      </c>
      <c r="K114" s="7" t="s">
        <v>195</v>
      </c>
      <c r="L114" s="7" t="s">
        <v>195</v>
      </c>
      <c r="M114" s="7" t="s">
        <v>29</v>
      </c>
      <c r="N114" s="7" t="s">
        <v>29</v>
      </c>
      <c r="O114" s="7" t="s">
        <v>29</v>
      </c>
      <c r="P114" s="7" t="s">
        <v>29</v>
      </c>
      <c r="Q114" s="7" t="s">
        <v>29</v>
      </c>
      <c r="R114" s="7" t="s">
        <v>29</v>
      </c>
      <c r="S114" s="7" t="s">
        <v>29</v>
      </c>
    </row>
    <row r="115" spans="2:19">
      <c r="B115" s="7" t="s">
        <v>195</v>
      </c>
      <c r="C115" s="8" t="s">
        <v>195</v>
      </c>
      <c r="D115" s="6" t="str">
        <f>LRTRIM(CONCATENATE(IF(SUMPRODUCT(-- ISNUMBER(SEARCH({"Auto Number"}, $B115))) &gt; 0, $B115, IF(SUMPRODUCT(-- ISNUMBER(SEARCH({"Lookup","Master-Detail"}, $B115))) &gt; 0,$B115 &amp; "(" &amp; $E115 &amp; ")",IF(SUMPRODUCT(-- ISNUMBER(SEARCH({"Formula","Roll-Up Summary"}, $B115))) &gt; 0,$B115 &amp; " (" &amp; $E115 &amp; ")",IF(SUMPRODUCT(-- ISNUMBER(SEARCH({"Content","Currency","Number","Percent","Text","URL"}, $B115))) &gt; 0,$B115 &amp; "(" &amp; $C115 &amp; ")",$B115)))), "  ", TRIM(IF($S115 = "YES", "(External ID)", "") &amp; " " &amp; IF(SUMPRODUCT(-- ISNUMBER(SEARCH({"Unique","Unique Case Insensitive"}, $R115))) &gt; 0, "(" &amp; $R115 &amp; ")", ""))))</f>
        <v>na</v>
      </c>
      <c r="E115" s="7" t="s">
        <v>195</v>
      </c>
      <c r="F115" s="7" t="s">
        <v>195</v>
      </c>
      <c r="G115" s="7" t="s">
        <v>195</v>
      </c>
      <c r="H115" s="7" t="s">
        <v>195</v>
      </c>
      <c r="I115" s="7" t="s">
        <v>195</v>
      </c>
      <c r="J115" s="7" t="s">
        <v>195</v>
      </c>
      <c r="K115" s="7" t="s">
        <v>195</v>
      </c>
      <c r="L115" s="7" t="s">
        <v>195</v>
      </c>
      <c r="M115" s="7" t="s">
        <v>29</v>
      </c>
      <c r="N115" s="7" t="s">
        <v>29</v>
      </c>
      <c r="O115" s="7" t="s">
        <v>29</v>
      </c>
      <c r="P115" s="7" t="s">
        <v>29</v>
      </c>
      <c r="Q115" s="7" t="s">
        <v>29</v>
      </c>
      <c r="R115" s="7" t="s">
        <v>29</v>
      </c>
      <c r="S115" s="7" t="s">
        <v>29</v>
      </c>
    </row>
    <row r="116" spans="2:19">
      <c r="B116" s="7" t="s">
        <v>195</v>
      </c>
      <c r="C116" s="8" t="s">
        <v>195</v>
      </c>
      <c r="D116" s="6" t="str">
        <f>LRTRIM(CONCATENATE(IF(SUMPRODUCT(-- ISNUMBER(SEARCH({"Auto Number"}, $B116))) &gt; 0, $B116, IF(SUMPRODUCT(-- ISNUMBER(SEARCH({"Lookup","Master-Detail"}, $B116))) &gt; 0,$B116 &amp; "(" &amp; $E116 &amp; ")",IF(SUMPRODUCT(-- ISNUMBER(SEARCH({"Formula","Roll-Up Summary"}, $B116))) &gt; 0,$B116 &amp; " (" &amp; $E116 &amp; ")",IF(SUMPRODUCT(-- ISNUMBER(SEARCH({"Content","Currency","Number","Percent","Text","URL"}, $B116))) &gt; 0,$B116 &amp; "(" &amp; $C116 &amp; ")",$B116)))), "  ", TRIM(IF($S116 = "YES", "(External ID)", "") &amp; " " &amp; IF(SUMPRODUCT(-- ISNUMBER(SEARCH({"Unique","Unique Case Insensitive"}, $R116))) &gt; 0, "(" &amp; $R116 &amp; ")", ""))))</f>
        <v>na</v>
      </c>
      <c r="E116" s="7" t="s">
        <v>195</v>
      </c>
      <c r="F116" s="7" t="s">
        <v>195</v>
      </c>
      <c r="G116" s="7" t="s">
        <v>195</v>
      </c>
      <c r="H116" s="7" t="s">
        <v>195</v>
      </c>
      <c r="I116" s="7" t="s">
        <v>195</v>
      </c>
      <c r="J116" s="7" t="s">
        <v>195</v>
      </c>
      <c r="K116" s="7" t="s">
        <v>195</v>
      </c>
      <c r="L116" s="7" t="s">
        <v>195</v>
      </c>
      <c r="M116" s="7" t="s">
        <v>29</v>
      </c>
      <c r="N116" s="7" t="s">
        <v>29</v>
      </c>
      <c r="O116" s="7" t="s">
        <v>29</v>
      </c>
      <c r="P116" s="7" t="s">
        <v>29</v>
      </c>
      <c r="Q116" s="7" t="s">
        <v>29</v>
      </c>
      <c r="R116" s="7" t="s">
        <v>29</v>
      </c>
      <c r="S116" s="7" t="s">
        <v>29</v>
      </c>
    </row>
    <row r="117" spans="2:19">
      <c r="B117" s="7" t="s">
        <v>195</v>
      </c>
      <c r="C117" s="8" t="s">
        <v>195</v>
      </c>
      <c r="D117" s="6" t="str">
        <f>LRTRIM(CONCATENATE(IF(SUMPRODUCT(-- ISNUMBER(SEARCH({"Auto Number"}, $B117))) &gt; 0, $B117, IF(SUMPRODUCT(-- ISNUMBER(SEARCH({"Lookup","Master-Detail"}, $B117))) &gt; 0,$B117 &amp; "(" &amp; $E117 &amp; ")",IF(SUMPRODUCT(-- ISNUMBER(SEARCH({"Formula","Roll-Up Summary"}, $B117))) &gt; 0,$B117 &amp; " (" &amp; $E117 &amp; ")",IF(SUMPRODUCT(-- ISNUMBER(SEARCH({"Content","Currency","Number","Percent","Text","URL"}, $B117))) &gt; 0,$B117 &amp; "(" &amp; $C117 &amp; ")",$B117)))), "  ", TRIM(IF($S117 = "YES", "(External ID)", "") &amp; " " &amp; IF(SUMPRODUCT(-- ISNUMBER(SEARCH({"Unique","Unique Case Insensitive"}, $R117))) &gt; 0, "(" &amp; $R117 &amp; ")", ""))))</f>
        <v>na</v>
      </c>
      <c r="E117" s="7" t="s">
        <v>195</v>
      </c>
      <c r="F117" s="7" t="s">
        <v>195</v>
      </c>
      <c r="G117" s="7" t="s">
        <v>195</v>
      </c>
      <c r="H117" s="7" t="s">
        <v>195</v>
      </c>
      <c r="I117" s="7" t="s">
        <v>195</v>
      </c>
      <c r="J117" s="7" t="s">
        <v>195</v>
      </c>
      <c r="K117" s="7" t="s">
        <v>195</v>
      </c>
      <c r="L117" s="7" t="s">
        <v>195</v>
      </c>
      <c r="M117" s="7" t="s">
        <v>29</v>
      </c>
      <c r="N117" s="7" t="s">
        <v>29</v>
      </c>
      <c r="O117" s="7" t="s">
        <v>29</v>
      </c>
      <c r="P117" s="7" t="s">
        <v>29</v>
      </c>
      <c r="Q117" s="7" t="s">
        <v>29</v>
      </c>
      <c r="R117" s="7" t="s">
        <v>29</v>
      </c>
      <c r="S117" s="7" t="s">
        <v>29</v>
      </c>
    </row>
    <row r="118" spans="2:19">
      <c r="B118" s="7" t="s">
        <v>195</v>
      </c>
      <c r="C118" s="8" t="s">
        <v>195</v>
      </c>
      <c r="D118" s="6" t="str">
        <f>LRTRIM(CONCATENATE(IF(SUMPRODUCT(-- ISNUMBER(SEARCH({"Auto Number"}, $B118))) &gt; 0, $B118, IF(SUMPRODUCT(-- ISNUMBER(SEARCH({"Lookup","Master-Detail"}, $B118))) &gt; 0,$B118 &amp; "(" &amp; $E118 &amp; ")",IF(SUMPRODUCT(-- ISNUMBER(SEARCH({"Formula","Roll-Up Summary"}, $B118))) &gt; 0,$B118 &amp; " (" &amp; $E118 &amp; ")",IF(SUMPRODUCT(-- ISNUMBER(SEARCH({"Content","Currency","Number","Percent","Text","URL"}, $B118))) &gt; 0,$B118 &amp; "(" &amp; $C118 &amp; ")",$B118)))), "  ", TRIM(IF($S118 = "YES", "(External ID)", "") &amp; " " &amp; IF(SUMPRODUCT(-- ISNUMBER(SEARCH({"Unique","Unique Case Insensitive"}, $R118))) &gt; 0, "(" &amp; $R118 &amp; ")", ""))))</f>
        <v>na</v>
      </c>
      <c r="E118" s="7" t="s">
        <v>195</v>
      </c>
      <c r="F118" s="7" t="s">
        <v>195</v>
      </c>
      <c r="G118" s="7" t="s">
        <v>195</v>
      </c>
      <c r="H118" s="7" t="s">
        <v>195</v>
      </c>
      <c r="I118" s="7" t="s">
        <v>195</v>
      </c>
      <c r="J118" s="7" t="s">
        <v>195</v>
      </c>
      <c r="K118" s="7" t="s">
        <v>195</v>
      </c>
      <c r="L118" s="7" t="s">
        <v>195</v>
      </c>
      <c r="M118" s="7" t="s">
        <v>29</v>
      </c>
      <c r="N118" s="7" t="s">
        <v>29</v>
      </c>
      <c r="O118" s="7" t="s">
        <v>29</v>
      </c>
      <c r="P118" s="7" t="s">
        <v>29</v>
      </c>
      <c r="Q118" s="7" t="s">
        <v>29</v>
      </c>
      <c r="R118" s="7" t="s">
        <v>29</v>
      </c>
      <c r="S118" s="7" t="s">
        <v>29</v>
      </c>
    </row>
    <row r="119" spans="2:19">
      <c r="B119" s="7" t="s">
        <v>195</v>
      </c>
      <c r="C119" s="8" t="s">
        <v>195</v>
      </c>
      <c r="D119" s="6" t="str">
        <f>LRTRIM(CONCATENATE(IF(SUMPRODUCT(-- ISNUMBER(SEARCH({"Auto Number"}, $B119))) &gt; 0, $B119, IF(SUMPRODUCT(-- ISNUMBER(SEARCH({"Lookup","Master-Detail"}, $B119))) &gt; 0,$B119 &amp; "(" &amp; $E119 &amp; ")",IF(SUMPRODUCT(-- ISNUMBER(SEARCH({"Formula","Roll-Up Summary"}, $B119))) &gt; 0,$B119 &amp; " (" &amp; $E119 &amp; ")",IF(SUMPRODUCT(-- ISNUMBER(SEARCH({"Content","Currency","Number","Percent","Text","URL"}, $B119))) &gt; 0,$B119 &amp; "(" &amp; $C119 &amp; ")",$B119)))), "  ", TRIM(IF($S119 = "YES", "(External ID)", "") &amp; " " &amp; IF(SUMPRODUCT(-- ISNUMBER(SEARCH({"Unique","Unique Case Insensitive"}, $R119))) &gt; 0, "(" &amp; $R119 &amp; ")", ""))))</f>
        <v>na</v>
      </c>
      <c r="E119" s="7" t="s">
        <v>195</v>
      </c>
      <c r="F119" s="7" t="s">
        <v>195</v>
      </c>
      <c r="G119" s="7" t="s">
        <v>195</v>
      </c>
      <c r="H119" s="7" t="s">
        <v>195</v>
      </c>
      <c r="I119" s="7" t="s">
        <v>195</v>
      </c>
      <c r="J119" s="7" t="s">
        <v>195</v>
      </c>
      <c r="K119" s="7" t="s">
        <v>195</v>
      </c>
      <c r="L119" s="7" t="s">
        <v>195</v>
      </c>
      <c r="M119" s="7" t="s">
        <v>29</v>
      </c>
      <c r="N119" s="7" t="s">
        <v>29</v>
      </c>
      <c r="O119" s="7" t="s">
        <v>29</v>
      </c>
      <c r="P119" s="7" t="s">
        <v>29</v>
      </c>
      <c r="Q119" s="7" t="s">
        <v>29</v>
      </c>
      <c r="R119" s="7" t="s">
        <v>29</v>
      </c>
      <c r="S119" s="7" t="s">
        <v>29</v>
      </c>
    </row>
    <row r="120" spans="2:19">
      <c r="B120" s="7" t="s">
        <v>195</v>
      </c>
      <c r="C120" s="8" t="s">
        <v>195</v>
      </c>
      <c r="D120" s="6" t="str">
        <f>LRTRIM(CONCATENATE(IF(SUMPRODUCT(-- ISNUMBER(SEARCH({"Auto Number"}, $B120))) &gt; 0, $B120, IF(SUMPRODUCT(-- ISNUMBER(SEARCH({"Lookup","Master-Detail"}, $B120))) &gt; 0,$B120 &amp; "(" &amp; $E120 &amp; ")",IF(SUMPRODUCT(-- ISNUMBER(SEARCH({"Formula","Roll-Up Summary"}, $B120))) &gt; 0,$B120 &amp; " (" &amp; $E120 &amp; ")",IF(SUMPRODUCT(-- ISNUMBER(SEARCH({"Content","Currency","Number","Percent","Text","URL"}, $B120))) &gt; 0,$B120 &amp; "(" &amp; $C120 &amp; ")",$B120)))), "  ", TRIM(IF($S120 = "YES", "(External ID)", "") &amp; " " &amp; IF(SUMPRODUCT(-- ISNUMBER(SEARCH({"Unique","Unique Case Insensitive"}, $R120))) &gt; 0, "(" &amp; $R120 &amp; ")", ""))))</f>
        <v>na</v>
      </c>
      <c r="E120" s="7" t="s">
        <v>195</v>
      </c>
      <c r="F120" s="7" t="s">
        <v>195</v>
      </c>
      <c r="G120" s="7" t="s">
        <v>195</v>
      </c>
      <c r="H120" s="7" t="s">
        <v>195</v>
      </c>
      <c r="I120" s="7" t="s">
        <v>195</v>
      </c>
      <c r="J120" s="7" t="s">
        <v>195</v>
      </c>
      <c r="K120" s="7" t="s">
        <v>195</v>
      </c>
      <c r="L120" s="7" t="s">
        <v>195</v>
      </c>
      <c r="M120" s="7" t="s">
        <v>29</v>
      </c>
      <c r="N120" s="7" t="s">
        <v>29</v>
      </c>
      <c r="O120" s="7" t="s">
        <v>29</v>
      </c>
      <c r="P120" s="7" t="s">
        <v>29</v>
      </c>
      <c r="Q120" s="7" t="s">
        <v>29</v>
      </c>
      <c r="R120" s="7" t="s">
        <v>29</v>
      </c>
      <c r="S120" s="7" t="s">
        <v>29</v>
      </c>
    </row>
    <row r="121" spans="2:19">
      <c r="B121" s="7" t="s">
        <v>195</v>
      </c>
      <c r="C121" s="8" t="s">
        <v>195</v>
      </c>
      <c r="D121" s="6" t="str">
        <f>LRTRIM(CONCATENATE(IF(SUMPRODUCT(-- ISNUMBER(SEARCH({"Auto Number"}, $B121))) &gt; 0, $B121, IF(SUMPRODUCT(-- ISNUMBER(SEARCH({"Lookup","Master-Detail"}, $B121))) &gt; 0,$B121 &amp; "(" &amp; $E121 &amp; ")",IF(SUMPRODUCT(-- ISNUMBER(SEARCH({"Formula","Roll-Up Summary"}, $B121))) &gt; 0,$B121 &amp; " (" &amp; $E121 &amp; ")",IF(SUMPRODUCT(-- ISNUMBER(SEARCH({"Content","Currency","Number","Percent","Text","URL"}, $B121))) &gt; 0,$B121 &amp; "(" &amp; $C121 &amp; ")",$B121)))), "  ", TRIM(IF($S121 = "YES", "(External ID)", "") &amp; " " &amp; IF(SUMPRODUCT(-- ISNUMBER(SEARCH({"Unique","Unique Case Insensitive"}, $R121))) &gt; 0, "(" &amp; $R121 &amp; ")", ""))))</f>
        <v>na</v>
      </c>
      <c r="E121" s="7" t="s">
        <v>195</v>
      </c>
      <c r="F121" s="7" t="s">
        <v>195</v>
      </c>
      <c r="G121" s="7" t="s">
        <v>195</v>
      </c>
      <c r="H121" s="7" t="s">
        <v>195</v>
      </c>
      <c r="I121" s="7" t="s">
        <v>195</v>
      </c>
      <c r="J121" s="7" t="s">
        <v>195</v>
      </c>
      <c r="K121" s="7" t="s">
        <v>195</v>
      </c>
      <c r="L121" s="7" t="s">
        <v>195</v>
      </c>
      <c r="M121" s="7" t="s">
        <v>29</v>
      </c>
      <c r="N121" s="7" t="s">
        <v>29</v>
      </c>
      <c r="O121" s="7" t="s">
        <v>29</v>
      </c>
      <c r="P121" s="7" t="s">
        <v>29</v>
      </c>
      <c r="Q121" s="7" t="s">
        <v>29</v>
      </c>
      <c r="R121" s="7" t="s">
        <v>29</v>
      </c>
      <c r="S121" s="7" t="s">
        <v>29</v>
      </c>
    </row>
    <row r="122" spans="2:19">
      <c r="B122" s="7" t="s">
        <v>195</v>
      </c>
      <c r="C122" s="8" t="s">
        <v>195</v>
      </c>
      <c r="D122" s="6" t="str">
        <f>LRTRIM(CONCATENATE(IF(SUMPRODUCT(-- ISNUMBER(SEARCH({"Auto Number"}, $B122))) &gt; 0, $B122, IF(SUMPRODUCT(-- ISNUMBER(SEARCH({"Lookup","Master-Detail"}, $B122))) &gt; 0,$B122 &amp; "(" &amp; $E122 &amp; ")",IF(SUMPRODUCT(-- ISNUMBER(SEARCH({"Formula","Roll-Up Summary"}, $B122))) &gt; 0,$B122 &amp; " (" &amp; $E122 &amp; ")",IF(SUMPRODUCT(-- ISNUMBER(SEARCH({"Content","Currency","Number","Percent","Text","URL"}, $B122))) &gt; 0,$B122 &amp; "(" &amp; $C122 &amp; ")",$B122)))), "  ", TRIM(IF($S122 = "YES", "(External ID)", "") &amp; " " &amp; IF(SUMPRODUCT(-- ISNUMBER(SEARCH({"Unique","Unique Case Insensitive"}, $R122))) &gt; 0, "(" &amp; $R122 &amp; ")", ""))))</f>
        <v>na</v>
      </c>
      <c r="E122" s="7" t="s">
        <v>195</v>
      </c>
      <c r="F122" s="7" t="s">
        <v>195</v>
      </c>
      <c r="G122" s="7" t="s">
        <v>195</v>
      </c>
      <c r="H122" s="7" t="s">
        <v>195</v>
      </c>
      <c r="I122" s="7" t="s">
        <v>195</v>
      </c>
      <c r="J122" s="7" t="s">
        <v>195</v>
      </c>
      <c r="K122" s="7" t="s">
        <v>195</v>
      </c>
      <c r="L122" s="7" t="s">
        <v>195</v>
      </c>
      <c r="M122" s="7" t="s">
        <v>29</v>
      </c>
      <c r="N122" s="7" t="s">
        <v>29</v>
      </c>
      <c r="O122" s="7" t="s">
        <v>29</v>
      </c>
      <c r="P122" s="7" t="s">
        <v>29</v>
      </c>
      <c r="Q122" s="7" t="s">
        <v>29</v>
      </c>
      <c r="R122" s="7" t="s">
        <v>29</v>
      </c>
      <c r="S122" s="7" t="s">
        <v>29</v>
      </c>
    </row>
    <row r="123" spans="2:19">
      <c r="B123" s="7" t="s">
        <v>195</v>
      </c>
      <c r="C123" s="8" t="s">
        <v>195</v>
      </c>
      <c r="D123" s="6" t="str">
        <f>LRTRIM(CONCATENATE(IF(SUMPRODUCT(-- ISNUMBER(SEARCH({"Auto Number"}, $B123))) &gt; 0, $B123, IF(SUMPRODUCT(-- ISNUMBER(SEARCH({"Lookup","Master-Detail"}, $B123))) &gt; 0,$B123 &amp; "(" &amp; $E123 &amp; ")",IF(SUMPRODUCT(-- ISNUMBER(SEARCH({"Formula","Roll-Up Summary"}, $B123))) &gt; 0,$B123 &amp; " (" &amp; $E123 &amp; ")",IF(SUMPRODUCT(-- ISNUMBER(SEARCH({"Content","Currency","Number","Percent","Text","URL"}, $B123))) &gt; 0,$B123 &amp; "(" &amp; $C123 &amp; ")",$B123)))), "  ", TRIM(IF($S123 = "YES", "(External ID)", "") &amp; " " &amp; IF(SUMPRODUCT(-- ISNUMBER(SEARCH({"Unique","Unique Case Insensitive"}, $R123))) &gt; 0, "(" &amp; $R123 &amp; ")", ""))))</f>
        <v>na</v>
      </c>
      <c r="E123" s="7" t="s">
        <v>195</v>
      </c>
      <c r="F123" s="7" t="s">
        <v>195</v>
      </c>
      <c r="G123" s="7" t="s">
        <v>195</v>
      </c>
      <c r="H123" s="7" t="s">
        <v>195</v>
      </c>
      <c r="I123" s="7" t="s">
        <v>195</v>
      </c>
      <c r="J123" s="7" t="s">
        <v>195</v>
      </c>
      <c r="K123" s="7" t="s">
        <v>195</v>
      </c>
      <c r="L123" s="7" t="s">
        <v>195</v>
      </c>
      <c r="M123" s="7" t="s">
        <v>29</v>
      </c>
      <c r="N123" s="7" t="s">
        <v>29</v>
      </c>
      <c r="O123" s="7" t="s">
        <v>29</v>
      </c>
      <c r="P123" s="7" t="s">
        <v>29</v>
      </c>
      <c r="Q123" s="7" t="s">
        <v>29</v>
      </c>
      <c r="R123" s="7" t="s">
        <v>29</v>
      </c>
      <c r="S123" s="7" t="s">
        <v>29</v>
      </c>
    </row>
    <row r="124" spans="2:19">
      <c r="B124" s="7" t="s">
        <v>195</v>
      </c>
      <c r="C124" s="8" t="s">
        <v>195</v>
      </c>
      <c r="D124" s="6" t="str">
        <f>LRTRIM(CONCATENATE(IF(SUMPRODUCT(-- ISNUMBER(SEARCH({"Auto Number"}, $B124))) &gt; 0, $B124, IF(SUMPRODUCT(-- ISNUMBER(SEARCH({"Lookup","Master-Detail"}, $B124))) &gt; 0,$B124 &amp; "(" &amp; $E124 &amp; ")",IF(SUMPRODUCT(-- ISNUMBER(SEARCH({"Formula","Roll-Up Summary"}, $B124))) &gt; 0,$B124 &amp; " (" &amp; $E124 &amp; ")",IF(SUMPRODUCT(-- ISNUMBER(SEARCH({"Content","Currency","Number","Percent","Text","URL"}, $B124))) &gt; 0,$B124 &amp; "(" &amp; $C124 &amp; ")",$B124)))), "  ", TRIM(IF($S124 = "YES", "(External ID)", "") &amp; " " &amp; IF(SUMPRODUCT(-- ISNUMBER(SEARCH({"Unique","Unique Case Insensitive"}, $R124))) &gt; 0, "(" &amp; $R124 &amp; ")", ""))))</f>
        <v>na</v>
      </c>
      <c r="E124" s="7" t="s">
        <v>195</v>
      </c>
      <c r="F124" s="7" t="s">
        <v>195</v>
      </c>
      <c r="G124" s="7" t="s">
        <v>195</v>
      </c>
      <c r="H124" s="7" t="s">
        <v>195</v>
      </c>
      <c r="I124" s="7" t="s">
        <v>195</v>
      </c>
      <c r="J124" s="7" t="s">
        <v>195</v>
      </c>
      <c r="K124" s="7" t="s">
        <v>195</v>
      </c>
      <c r="L124" s="7" t="s">
        <v>195</v>
      </c>
      <c r="M124" s="7" t="s">
        <v>29</v>
      </c>
      <c r="N124" s="7" t="s">
        <v>29</v>
      </c>
      <c r="O124" s="7" t="s">
        <v>29</v>
      </c>
      <c r="P124" s="7" t="s">
        <v>29</v>
      </c>
      <c r="Q124" s="7" t="s">
        <v>29</v>
      </c>
      <c r="R124" s="7" t="s">
        <v>29</v>
      </c>
      <c r="S124" s="7" t="s">
        <v>29</v>
      </c>
    </row>
    <row r="125" spans="2:19">
      <c r="B125" s="7" t="s">
        <v>195</v>
      </c>
      <c r="C125" s="8" t="s">
        <v>195</v>
      </c>
      <c r="D125" s="6" t="str">
        <f>LRTRIM(CONCATENATE(IF(SUMPRODUCT(-- ISNUMBER(SEARCH({"Auto Number"}, $B125))) &gt; 0, $B125, IF(SUMPRODUCT(-- ISNUMBER(SEARCH({"Lookup","Master-Detail"}, $B125))) &gt; 0,$B125 &amp; "(" &amp; $E125 &amp; ")",IF(SUMPRODUCT(-- ISNUMBER(SEARCH({"Formula","Roll-Up Summary"}, $B125))) &gt; 0,$B125 &amp; " (" &amp; $E125 &amp; ")",IF(SUMPRODUCT(-- ISNUMBER(SEARCH({"Content","Currency","Number","Percent","Text","URL"}, $B125))) &gt; 0,$B125 &amp; "(" &amp; $C125 &amp; ")",$B125)))), "  ", TRIM(IF($S125 = "YES", "(External ID)", "") &amp; " " &amp; IF(SUMPRODUCT(-- ISNUMBER(SEARCH({"Unique","Unique Case Insensitive"}, $R125))) &gt; 0, "(" &amp; $R125 &amp; ")", ""))))</f>
        <v>na</v>
      </c>
      <c r="E125" s="7" t="s">
        <v>195</v>
      </c>
      <c r="F125" s="7" t="s">
        <v>195</v>
      </c>
      <c r="G125" s="7" t="s">
        <v>195</v>
      </c>
      <c r="H125" s="7" t="s">
        <v>195</v>
      </c>
      <c r="I125" s="7" t="s">
        <v>195</v>
      </c>
      <c r="J125" s="7" t="s">
        <v>195</v>
      </c>
      <c r="K125" s="7" t="s">
        <v>195</v>
      </c>
      <c r="L125" s="7" t="s">
        <v>195</v>
      </c>
      <c r="M125" s="7" t="s">
        <v>29</v>
      </c>
      <c r="N125" s="7" t="s">
        <v>29</v>
      </c>
      <c r="O125" s="7" t="s">
        <v>29</v>
      </c>
      <c r="P125" s="7" t="s">
        <v>29</v>
      </c>
      <c r="Q125" s="7" t="s">
        <v>29</v>
      </c>
      <c r="R125" s="7" t="s">
        <v>29</v>
      </c>
      <c r="S125" s="7" t="s">
        <v>29</v>
      </c>
    </row>
    <row r="126" spans="2:19">
      <c r="B126" s="7" t="s">
        <v>195</v>
      </c>
      <c r="C126" s="8" t="s">
        <v>195</v>
      </c>
      <c r="D126" s="6" t="str">
        <f>LRTRIM(CONCATENATE(IF(SUMPRODUCT(-- ISNUMBER(SEARCH({"Auto Number"}, $B126))) &gt; 0, $B126, IF(SUMPRODUCT(-- ISNUMBER(SEARCH({"Lookup","Master-Detail"}, $B126))) &gt; 0,$B126 &amp; "(" &amp; $E126 &amp; ")",IF(SUMPRODUCT(-- ISNUMBER(SEARCH({"Formula","Roll-Up Summary"}, $B126))) &gt; 0,$B126 &amp; " (" &amp; $E126 &amp; ")",IF(SUMPRODUCT(-- ISNUMBER(SEARCH({"Content","Currency","Number","Percent","Text","URL"}, $B126))) &gt; 0,$B126 &amp; "(" &amp; $C126 &amp; ")",$B126)))), "  ", TRIM(IF($S126 = "YES", "(External ID)", "") &amp; " " &amp; IF(SUMPRODUCT(-- ISNUMBER(SEARCH({"Unique","Unique Case Insensitive"}, $R126))) &gt; 0, "(" &amp; $R126 &amp; ")", ""))))</f>
        <v>na</v>
      </c>
      <c r="E126" s="7" t="s">
        <v>195</v>
      </c>
      <c r="F126" s="7" t="s">
        <v>195</v>
      </c>
      <c r="G126" s="7" t="s">
        <v>195</v>
      </c>
      <c r="H126" s="7" t="s">
        <v>195</v>
      </c>
      <c r="I126" s="7" t="s">
        <v>195</v>
      </c>
      <c r="J126" s="7" t="s">
        <v>195</v>
      </c>
      <c r="K126" s="7" t="s">
        <v>195</v>
      </c>
      <c r="L126" s="7" t="s">
        <v>195</v>
      </c>
      <c r="M126" s="7" t="s">
        <v>29</v>
      </c>
      <c r="N126" s="7" t="s">
        <v>29</v>
      </c>
      <c r="O126" s="7" t="s">
        <v>29</v>
      </c>
      <c r="P126" s="7" t="s">
        <v>29</v>
      </c>
      <c r="Q126" s="7" t="s">
        <v>29</v>
      </c>
      <c r="R126" s="7" t="s">
        <v>29</v>
      </c>
      <c r="S126" s="7" t="s">
        <v>29</v>
      </c>
    </row>
    <row r="127" spans="2:19">
      <c r="B127" s="7" t="s">
        <v>195</v>
      </c>
      <c r="C127" s="8" t="s">
        <v>195</v>
      </c>
      <c r="D127" s="6" t="str">
        <f>LRTRIM(CONCATENATE(IF(SUMPRODUCT(-- ISNUMBER(SEARCH({"Auto Number"}, $B127))) &gt; 0, $B127, IF(SUMPRODUCT(-- ISNUMBER(SEARCH({"Lookup","Master-Detail"}, $B127))) &gt; 0,$B127 &amp; "(" &amp; $E127 &amp; ")",IF(SUMPRODUCT(-- ISNUMBER(SEARCH({"Formula","Roll-Up Summary"}, $B127))) &gt; 0,$B127 &amp; " (" &amp; $E127 &amp; ")",IF(SUMPRODUCT(-- ISNUMBER(SEARCH({"Content","Currency","Number","Percent","Text","URL"}, $B127))) &gt; 0,$B127 &amp; "(" &amp; $C127 &amp; ")",$B127)))), "  ", TRIM(IF($S127 = "YES", "(External ID)", "") &amp; " " &amp; IF(SUMPRODUCT(-- ISNUMBER(SEARCH({"Unique","Unique Case Insensitive"}, $R127))) &gt; 0, "(" &amp; $R127 &amp; ")", ""))))</f>
        <v>na</v>
      </c>
      <c r="E127" s="7" t="s">
        <v>195</v>
      </c>
      <c r="F127" s="7" t="s">
        <v>195</v>
      </c>
      <c r="G127" s="7" t="s">
        <v>195</v>
      </c>
      <c r="H127" s="7" t="s">
        <v>195</v>
      </c>
      <c r="I127" s="7" t="s">
        <v>195</v>
      </c>
      <c r="J127" s="7" t="s">
        <v>195</v>
      </c>
      <c r="K127" s="7" t="s">
        <v>195</v>
      </c>
      <c r="L127" s="7" t="s">
        <v>195</v>
      </c>
      <c r="M127" s="7" t="s">
        <v>29</v>
      </c>
      <c r="N127" s="7" t="s">
        <v>29</v>
      </c>
      <c r="O127" s="7" t="s">
        <v>29</v>
      </c>
      <c r="P127" s="7" t="s">
        <v>29</v>
      </c>
      <c r="Q127" s="7" t="s">
        <v>29</v>
      </c>
      <c r="R127" s="7" t="s">
        <v>29</v>
      </c>
      <c r="S127" s="7" t="s">
        <v>29</v>
      </c>
    </row>
    <row r="128" spans="2:19">
      <c r="B128" s="7" t="s">
        <v>195</v>
      </c>
      <c r="C128" s="8" t="s">
        <v>195</v>
      </c>
      <c r="D128" s="6" t="str">
        <f>LRTRIM(CONCATENATE(IF(SUMPRODUCT(-- ISNUMBER(SEARCH({"Auto Number"}, $B128))) &gt; 0, $B128, IF(SUMPRODUCT(-- ISNUMBER(SEARCH({"Lookup","Master-Detail"}, $B128))) &gt; 0,$B128 &amp; "(" &amp; $E128 &amp; ")",IF(SUMPRODUCT(-- ISNUMBER(SEARCH({"Formula","Roll-Up Summary"}, $B128))) &gt; 0,$B128 &amp; " (" &amp; $E128 &amp; ")",IF(SUMPRODUCT(-- ISNUMBER(SEARCH({"Content","Currency","Number","Percent","Text","URL"}, $B128))) &gt; 0,$B128 &amp; "(" &amp; $C128 &amp; ")",$B128)))), "  ", TRIM(IF($S128 = "YES", "(External ID)", "") &amp; " " &amp; IF(SUMPRODUCT(-- ISNUMBER(SEARCH({"Unique","Unique Case Insensitive"}, $R128))) &gt; 0, "(" &amp; $R128 &amp; ")", ""))))</f>
        <v>na</v>
      </c>
      <c r="E128" s="7" t="s">
        <v>195</v>
      </c>
      <c r="F128" s="7" t="s">
        <v>195</v>
      </c>
      <c r="G128" s="7" t="s">
        <v>195</v>
      </c>
      <c r="H128" s="7" t="s">
        <v>195</v>
      </c>
      <c r="I128" s="7" t="s">
        <v>195</v>
      </c>
      <c r="J128" s="7" t="s">
        <v>195</v>
      </c>
      <c r="K128" s="7" t="s">
        <v>195</v>
      </c>
      <c r="L128" s="7" t="s">
        <v>195</v>
      </c>
      <c r="M128" s="7" t="s">
        <v>29</v>
      </c>
      <c r="N128" s="7" t="s">
        <v>29</v>
      </c>
      <c r="O128" s="7" t="s">
        <v>29</v>
      </c>
      <c r="P128" s="7" t="s">
        <v>29</v>
      </c>
      <c r="Q128" s="7" t="s">
        <v>29</v>
      </c>
      <c r="R128" s="7" t="s">
        <v>29</v>
      </c>
      <c r="S128" s="7" t="s">
        <v>29</v>
      </c>
    </row>
    <row r="129" spans="2:19">
      <c r="B129" s="7" t="s">
        <v>195</v>
      </c>
      <c r="C129" s="8" t="s">
        <v>195</v>
      </c>
      <c r="D129" s="6" t="str">
        <f>LRTRIM(CONCATENATE(IF(SUMPRODUCT(-- ISNUMBER(SEARCH({"Auto Number"}, $B129))) &gt; 0, $B129, IF(SUMPRODUCT(-- ISNUMBER(SEARCH({"Lookup","Master-Detail"}, $B129))) &gt; 0,$B129 &amp; "(" &amp; $E129 &amp; ")",IF(SUMPRODUCT(-- ISNUMBER(SEARCH({"Formula","Roll-Up Summary"}, $B129))) &gt; 0,$B129 &amp; " (" &amp; $E129 &amp; ")",IF(SUMPRODUCT(-- ISNUMBER(SEARCH({"Content","Currency","Number","Percent","Text","URL"}, $B129))) &gt; 0,$B129 &amp; "(" &amp; $C129 &amp; ")",$B129)))), "  ", TRIM(IF($S129 = "YES", "(External ID)", "") &amp; " " &amp; IF(SUMPRODUCT(-- ISNUMBER(SEARCH({"Unique","Unique Case Insensitive"}, $R129))) &gt; 0, "(" &amp; $R129 &amp; ")", ""))))</f>
        <v>na</v>
      </c>
      <c r="E129" s="7" t="s">
        <v>195</v>
      </c>
      <c r="F129" s="7" t="s">
        <v>195</v>
      </c>
      <c r="G129" s="7" t="s">
        <v>195</v>
      </c>
      <c r="H129" s="7" t="s">
        <v>195</v>
      </c>
      <c r="I129" s="7" t="s">
        <v>195</v>
      </c>
      <c r="J129" s="7" t="s">
        <v>195</v>
      </c>
      <c r="K129" s="7" t="s">
        <v>195</v>
      </c>
      <c r="L129" s="7" t="s">
        <v>195</v>
      </c>
      <c r="M129" s="7" t="s">
        <v>29</v>
      </c>
      <c r="N129" s="7" t="s">
        <v>29</v>
      </c>
      <c r="O129" s="7" t="s">
        <v>29</v>
      </c>
      <c r="P129" s="7" t="s">
        <v>29</v>
      </c>
      <c r="Q129" s="7" t="s">
        <v>29</v>
      </c>
      <c r="R129" s="7" t="s">
        <v>29</v>
      </c>
      <c r="S129" s="7" t="s">
        <v>29</v>
      </c>
    </row>
    <row r="130" spans="2:19">
      <c r="B130" s="7" t="s">
        <v>195</v>
      </c>
      <c r="C130" s="8" t="s">
        <v>195</v>
      </c>
      <c r="D130" s="6" t="str">
        <f>LRTRIM(CONCATENATE(IF(SUMPRODUCT(-- ISNUMBER(SEARCH({"Auto Number"}, $B130))) &gt; 0, $B130, IF(SUMPRODUCT(-- ISNUMBER(SEARCH({"Lookup","Master-Detail"}, $B130))) &gt; 0,$B130 &amp; "(" &amp; $E130 &amp; ")",IF(SUMPRODUCT(-- ISNUMBER(SEARCH({"Formula","Roll-Up Summary"}, $B130))) &gt; 0,$B130 &amp; " (" &amp; $E130 &amp; ")",IF(SUMPRODUCT(-- ISNUMBER(SEARCH({"Content","Currency","Number","Percent","Text","URL"}, $B130))) &gt; 0,$B130 &amp; "(" &amp; $C130 &amp; ")",$B130)))), "  ", TRIM(IF($S130 = "YES", "(External ID)", "") &amp; " " &amp; IF(SUMPRODUCT(-- ISNUMBER(SEARCH({"Unique","Unique Case Insensitive"}, $R130))) &gt; 0, "(" &amp; $R130 &amp; ")", ""))))</f>
        <v>na</v>
      </c>
      <c r="E130" s="7" t="s">
        <v>195</v>
      </c>
      <c r="F130" s="7" t="s">
        <v>195</v>
      </c>
      <c r="G130" s="7" t="s">
        <v>195</v>
      </c>
      <c r="H130" s="7" t="s">
        <v>195</v>
      </c>
      <c r="I130" s="7" t="s">
        <v>195</v>
      </c>
      <c r="J130" s="7" t="s">
        <v>195</v>
      </c>
      <c r="K130" s="7" t="s">
        <v>195</v>
      </c>
      <c r="L130" s="7" t="s">
        <v>195</v>
      </c>
      <c r="M130" s="7" t="s">
        <v>29</v>
      </c>
      <c r="N130" s="7" t="s">
        <v>29</v>
      </c>
      <c r="O130" s="7" t="s">
        <v>29</v>
      </c>
      <c r="P130" s="7" t="s">
        <v>29</v>
      </c>
      <c r="Q130" s="7" t="s">
        <v>29</v>
      </c>
      <c r="R130" s="7" t="s">
        <v>29</v>
      </c>
      <c r="S130" s="7" t="s">
        <v>29</v>
      </c>
    </row>
    <row r="131" spans="2:19">
      <c r="B131" s="7" t="s">
        <v>195</v>
      </c>
      <c r="C131" s="8" t="s">
        <v>195</v>
      </c>
      <c r="D131" s="6" t="str">
        <f>LRTRIM(CONCATENATE(IF(SUMPRODUCT(-- ISNUMBER(SEARCH({"Auto Number"}, $B131))) &gt; 0, $B131, IF(SUMPRODUCT(-- ISNUMBER(SEARCH({"Lookup","Master-Detail"}, $B131))) &gt; 0,$B131 &amp; "(" &amp; $E131 &amp; ")",IF(SUMPRODUCT(-- ISNUMBER(SEARCH({"Formula","Roll-Up Summary"}, $B131))) &gt; 0,$B131 &amp; " (" &amp; $E131 &amp; ")",IF(SUMPRODUCT(-- ISNUMBER(SEARCH({"Content","Currency","Number","Percent","Text","URL"}, $B131))) &gt; 0,$B131 &amp; "(" &amp; $C131 &amp; ")",$B131)))), "  ", TRIM(IF($S131 = "YES", "(External ID)", "") &amp; " " &amp; IF(SUMPRODUCT(-- ISNUMBER(SEARCH({"Unique","Unique Case Insensitive"}, $R131))) &gt; 0, "(" &amp; $R131 &amp; ")", ""))))</f>
        <v>na</v>
      </c>
      <c r="E131" s="7" t="s">
        <v>195</v>
      </c>
      <c r="F131" s="7" t="s">
        <v>195</v>
      </c>
      <c r="G131" s="7" t="s">
        <v>195</v>
      </c>
      <c r="H131" s="7" t="s">
        <v>195</v>
      </c>
      <c r="I131" s="7" t="s">
        <v>195</v>
      </c>
      <c r="J131" s="7" t="s">
        <v>195</v>
      </c>
      <c r="K131" s="7" t="s">
        <v>195</v>
      </c>
      <c r="L131" s="7" t="s">
        <v>195</v>
      </c>
      <c r="M131" s="7" t="s">
        <v>29</v>
      </c>
      <c r="N131" s="7" t="s">
        <v>29</v>
      </c>
      <c r="O131" s="7" t="s">
        <v>29</v>
      </c>
      <c r="P131" s="7" t="s">
        <v>29</v>
      </c>
      <c r="Q131" s="7" t="s">
        <v>29</v>
      </c>
      <c r="R131" s="7" t="s">
        <v>29</v>
      </c>
      <c r="S131" s="7" t="s">
        <v>29</v>
      </c>
    </row>
    <row r="132" spans="2:19">
      <c r="B132" s="7" t="s">
        <v>195</v>
      </c>
      <c r="C132" s="8" t="s">
        <v>195</v>
      </c>
      <c r="D132" s="6" t="str">
        <f>LRTRIM(CONCATENATE(IF(SUMPRODUCT(-- ISNUMBER(SEARCH({"Auto Number"}, $B132))) &gt; 0, $B132, IF(SUMPRODUCT(-- ISNUMBER(SEARCH({"Lookup","Master-Detail"}, $B132))) &gt; 0,$B132 &amp; "(" &amp; $E132 &amp; ")",IF(SUMPRODUCT(-- ISNUMBER(SEARCH({"Formula","Roll-Up Summary"}, $B132))) &gt; 0,$B132 &amp; " (" &amp; $E132 &amp; ")",IF(SUMPRODUCT(-- ISNUMBER(SEARCH({"Content","Currency","Number","Percent","Text","URL"}, $B132))) &gt; 0,$B132 &amp; "(" &amp; $C132 &amp; ")",$B132)))), "  ", TRIM(IF($S132 = "YES", "(External ID)", "") &amp; " " &amp; IF(SUMPRODUCT(-- ISNUMBER(SEARCH({"Unique","Unique Case Insensitive"}, $R132))) &gt; 0, "(" &amp; $R132 &amp; ")", ""))))</f>
        <v>na</v>
      </c>
      <c r="E132" s="7" t="s">
        <v>195</v>
      </c>
      <c r="F132" s="7" t="s">
        <v>195</v>
      </c>
      <c r="G132" s="7" t="s">
        <v>195</v>
      </c>
      <c r="H132" s="7" t="s">
        <v>195</v>
      </c>
      <c r="I132" s="7" t="s">
        <v>195</v>
      </c>
      <c r="J132" s="7" t="s">
        <v>195</v>
      </c>
      <c r="K132" s="7" t="s">
        <v>195</v>
      </c>
      <c r="L132" s="7" t="s">
        <v>195</v>
      </c>
      <c r="M132" s="7" t="s">
        <v>29</v>
      </c>
      <c r="N132" s="7" t="s">
        <v>29</v>
      </c>
      <c r="O132" s="7" t="s">
        <v>29</v>
      </c>
      <c r="P132" s="7" t="s">
        <v>29</v>
      </c>
      <c r="Q132" s="7" t="s">
        <v>29</v>
      </c>
      <c r="R132" s="7" t="s">
        <v>29</v>
      </c>
      <c r="S132" s="7" t="s">
        <v>29</v>
      </c>
    </row>
    <row r="133" spans="2:19">
      <c r="B133" s="7" t="s">
        <v>195</v>
      </c>
      <c r="C133" s="8" t="s">
        <v>195</v>
      </c>
      <c r="D133" s="6" t="str">
        <f>LRTRIM(CONCATENATE(IF(SUMPRODUCT(-- ISNUMBER(SEARCH({"Auto Number"}, $B133))) &gt; 0, $B133, IF(SUMPRODUCT(-- ISNUMBER(SEARCH({"Lookup","Master-Detail"}, $B133))) &gt; 0,$B133 &amp; "(" &amp; $E133 &amp; ")",IF(SUMPRODUCT(-- ISNUMBER(SEARCH({"Formula","Roll-Up Summary"}, $B133))) &gt; 0,$B133 &amp; " (" &amp; $E133 &amp; ")",IF(SUMPRODUCT(-- ISNUMBER(SEARCH({"Content","Currency","Number","Percent","Text","URL"}, $B133))) &gt; 0,$B133 &amp; "(" &amp; $C133 &amp; ")",$B133)))), "  ", TRIM(IF($S133 = "YES", "(External ID)", "") &amp; " " &amp; IF(SUMPRODUCT(-- ISNUMBER(SEARCH({"Unique","Unique Case Insensitive"}, $R133))) &gt; 0, "(" &amp; $R133 &amp; ")", ""))))</f>
        <v>na</v>
      </c>
      <c r="E133" s="7" t="s">
        <v>195</v>
      </c>
      <c r="F133" s="7" t="s">
        <v>195</v>
      </c>
      <c r="G133" s="7" t="s">
        <v>195</v>
      </c>
      <c r="H133" s="7" t="s">
        <v>195</v>
      </c>
      <c r="I133" s="7" t="s">
        <v>195</v>
      </c>
      <c r="J133" s="7" t="s">
        <v>195</v>
      </c>
      <c r="K133" s="7" t="s">
        <v>195</v>
      </c>
      <c r="L133" s="7" t="s">
        <v>195</v>
      </c>
      <c r="M133" s="7" t="s">
        <v>29</v>
      </c>
      <c r="N133" s="7" t="s">
        <v>29</v>
      </c>
      <c r="O133" s="7" t="s">
        <v>29</v>
      </c>
      <c r="P133" s="7" t="s">
        <v>29</v>
      </c>
      <c r="Q133" s="7" t="s">
        <v>29</v>
      </c>
      <c r="R133" s="7" t="s">
        <v>29</v>
      </c>
      <c r="S133" s="7" t="s">
        <v>29</v>
      </c>
    </row>
    <row r="134" spans="2:19">
      <c r="B134" s="7" t="s">
        <v>195</v>
      </c>
      <c r="C134" s="8" t="s">
        <v>195</v>
      </c>
      <c r="D134" s="6" t="str">
        <f>LRTRIM(CONCATENATE(IF(SUMPRODUCT(-- ISNUMBER(SEARCH({"Auto Number"}, $B134))) &gt; 0, $B134, IF(SUMPRODUCT(-- ISNUMBER(SEARCH({"Lookup","Master-Detail"}, $B134))) &gt; 0,$B134 &amp; "(" &amp; $E134 &amp; ")",IF(SUMPRODUCT(-- ISNUMBER(SEARCH({"Formula","Roll-Up Summary"}, $B134))) &gt; 0,$B134 &amp; " (" &amp; $E134 &amp; ")",IF(SUMPRODUCT(-- ISNUMBER(SEARCH({"Content","Currency","Number","Percent","Text","URL"}, $B134))) &gt; 0,$B134 &amp; "(" &amp; $C134 &amp; ")",$B134)))), "  ", TRIM(IF($S134 = "YES", "(External ID)", "") &amp; " " &amp; IF(SUMPRODUCT(-- ISNUMBER(SEARCH({"Unique","Unique Case Insensitive"}, $R134))) &gt; 0, "(" &amp; $R134 &amp; ")", ""))))</f>
        <v>na</v>
      </c>
      <c r="E134" s="7" t="s">
        <v>195</v>
      </c>
      <c r="F134" s="7" t="s">
        <v>195</v>
      </c>
      <c r="G134" s="7" t="s">
        <v>195</v>
      </c>
      <c r="H134" s="7" t="s">
        <v>195</v>
      </c>
      <c r="I134" s="7" t="s">
        <v>195</v>
      </c>
      <c r="J134" s="7" t="s">
        <v>195</v>
      </c>
      <c r="K134" s="7" t="s">
        <v>195</v>
      </c>
      <c r="L134" s="7" t="s">
        <v>195</v>
      </c>
      <c r="M134" s="7" t="s">
        <v>29</v>
      </c>
      <c r="N134" s="7" t="s">
        <v>29</v>
      </c>
      <c r="O134" s="7" t="s">
        <v>29</v>
      </c>
      <c r="P134" s="7" t="s">
        <v>29</v>
      </c>
      <c r="Q134" s="7" t="s">
        <v>29</v>
      </c>
      <c r="R134" s="7" t="s">
        <v>29</v>
      </c>
      <c r="S134" s="7" t="s">
        <v>29</v>
      </c>
    </row>
    <row r="135" spans="2:19">
      <c r="B135" s="7" t="s">
        <v>195</v>
      </c>
      <c r="C135" s="8" t="s">
        <v>195</v>
      </c>
      <c r="D135" s="6" t="str">
        <f>LRTRIM(CONCATENATE(IF(SUMPRODUCT(-- ISNUMBER(SEARCH({"Auto Number"}, $B135))) &gt; 0, $B135, IF(SUMPRODUCT(-- ISNUMBER(SEARCH({"Lookup","Master-Detail"}, $B135))) &gt; 0,$B135 &amp; "(" &amp; $E135 &amp; ")",IF(SUMPRODUCT(-- ISNUMBER(SEARCH({"Formula","Roll-Up Summary"}, $B135))) &gt; 0,$B135 &amp; " (" &amp; $E135 &amp; ")",IF(SUMPRODUCT(-- ISNUMBER(SEARCH({"Content","Currency","Number","Percent","Text","URL"}, $B135))) &gt; 0,$B135 &amp; "(" &amp; $C135 &amp; ")",$B135)))), "  ", TRIM(IF($S135 = "YES", "(External ID)", "") &amp; " " &amp; IF(SUMPRODUCT(-- ISNUMBER(SEARCH({"Unique","Unique Case Insensitive"}, $R135))) &gt; 0, "(" &amp; $R135 &amp; ")", ""))))</f>
        <v>na</v>
      </c>
      <c r="E135" s="7" t="s">
        <v>195</v>
      </c>
      <c r="F135" s="7" t="s">
        <v>195</v>
      </c>
      <c r="G135" s="7" t="s">
        <v>195</v>
      </c>
      <c r="H135" s="7" t="s">
        <v>195</v>
      </c>
      <c r="I135" s="7" t="s">
        <v>195</v>
      </c>
      <c r="J135" s="7" t="s">
        <v>195</v>
      </c>
      <c r="K135" s="7" t="s">
        <v>195</v>
      </c>
      <c r="L135" s="7" t="s">
        <v>195</v>
      </c>
      <c r="M135" s="7" t="s">
        <v>29</v>
      </c>
      <c r="N135" s="7" t="s">
        <v>29</v>
      </c>
      <c r="O135" s="7" t="s">
        <v>29</v>
      </c>
      <c r="P135" s="7" t="s">
        <v>29</v>
      </c>
      <c r="Q135" s="7" t="s">
        <v>29</v>
      </c>
      <c r="R135" s="7" t="s">
        <v>29</v>
      </c>
      <c r="S135" s="7" t="s">
        <v>29</v>
      </c>
    </row>
    <row r="136" spans="2:19">
      <c r="B136" s="7" t="s">
        <v>195</v>
      </c>
      <c r="C136" s="8" t="s">
        <v>195</v>
      </c>
      <c r="D136" s="6" t="str">
        <f>LRTRIM(CONCATENATE(IF(SUMPRODUCT(-- ISNUMBER(SEARCH({"Auto Number"}, $B136))) &gt; 0, $B136, IF(SUMPRODUCT(-- ISNUMBER(SEARCH({"Lookup","Master-Detail"}, $B136))) &gt; 0,$B136 &amp; "(" &amp; $E136 &amp; ")",IF(SUMPRODUCT(-- ISNUMBER(SEARCH({"Formula","Roll-Up Summary"}, $B136))) &gt; 0,$B136 &amp; " (" &amp; $E136 &amp; ")",IF(SUMPRODUCT(-- ISNUMBER(SEARCH({"Content","Currency","Number","Percent","Text","URL"}, $B136))) &gt; 0,$B136 &amp; "(" &amp; $C136 &amp; ")",$B136)))), "  ", TRIM(IF($S136 = "YES", "(External ID)", "") &amp; " " &amp; IF(SUMPRODUCT(-- ISNUMBER(SEARCH({"Unique","Unique Case Insensitive"}, $R136))) &gt; 0, "(" &amp; $R136 &amp; ")", ""))))</f>
        <v>na</v>
      </c>
      <c r="E136" s="7" t="s">
        <v>195</v>
      </c>
      <c r="F136" s="7" t="s">
        <v>195</v>
      </c>
      <c r="G136" s="7" t="s">
        <v>195</v>
      </c>
      <c r="H136" s="7" t="s">
        <v>195</v>
      </c>
      <c r="I136" s="7" t="s">
        <v>195</v>
      </c>
      <c r="J136" s="7" t="s">
        <v>195</v>
      </c>
      <c r="K136" s="7" t="s">
        <v>195</v>
      </c>
      <c r="L136" s="7" t="s">
        <v>195</v>
      </c>
      <c r="M136" s="7" t="s">
        <v>29</v>
      </c>
      <c r="N136" s="7" t="s">
        <v>29</v>
      </c>
      <c r="O136" s="7" t="s">
        <v>29</v>
      </c>
      <c r="P136" s="7" t="s">
        <v>29</v>
      </c>
      <c r="Q136" s="7" t="s">
        <v>29</v>
      </c>
      <c r="R136" s="7" t="s">
        <v>29</v>
      </c>
      <c r="S136" s="7" t="s">
        <v>29</v>
      </c>
    </row>
    <row r="137" spans="2:19">
      <c r="B137" s="7" t="s">
        <v>195</v>
      </c>
      <c r="C137" s="8" t="s">
        <v>195</v>
      </c>
      <c r="D137" s="6" t="str">
        <f>LRTRIM(CONCATENATE(IF(SUMPRODUCT(-- ISNUMBER(SEARCH({"Auto Number"}, $B137))) &gt; 0, $B137, IF(SUMPRODUCT(-- ISNUMBER(SEARCH({"Lookup","Master-Detail"}, $B137))) &gt; 0,$B137 &amp; "(" &amp; $E137 &amp; ")",IF(SUMPRODUCT(-- ISNUMBER(SEARCH({"Formula","Roll-Up Summary"}, $B137))) &gt; 0,$B137 &amp; " (" &amp; $E137 &amp; ")",IF(SUMPRODUCT(-- ISNUMBER(SEARCH({"Content","Currency","Number","Percent","Text","URL"}, $B137))) &gt; 0,$B137 &amp; "(" &amp; $C137 &amp; ")",$B137)))), "  ", TRIM(IF($S137 = "YES", "(External ID)", "") &amp; " " &amp; IF(SUMPRODUCT(-- ISNUMBER(SEARCH({"Unique","Unique Case Insensitive"}, $R137))) &gt; 0, "(" &amp; $R137 &amp; ")", ""))))</f>
        <v>na</v>
      </c>
      <c r="E137" s="7" t="s">
        <v>195</v>
      </c>
      <c r="F137" s="7" t="s">
        <v>195</v>
      </c>
      <c r="G137" s="7" t="s">
        <v>195</v>
      </c>
      <c r="H137" s="7" t="s">
        <v>195</v>
      </c>
      <c r="I137" s="7" t="s">
        <v>195</v>
      </c>
      <c r="J137" s="7" t="s">
        <v>195</v>
      </c>
      <c r="K137" s="7" t="s">
        <v>195</v>
      </c>
      <c r="L137" s="7" t="s">
        <v>195</v>
      </c>
      <c r="M137" s="7" t="s">
        <v>29</v>
      </c>
      <c r="N137" s="7" t="s">
        <v>29</v>
      </c>
      <c r="O137" s="7" t="s">
        <v>29</v>
      </c>
      <c r="P137" s="7" t="s">
        <v>29</v>
      </c>
      <c r="Q137" s="7" t="s">
        <v>29</v>
      </c>
      <c r="R137" s="7" t="s">
        <v>29</v>
      </c>
      <c r="S137" s="7" t="s">
        <v>29</v>
      </c>
    </row>
    <row r="138" spans="2:19">
      <c r="B138" s="7" t="s">
        <v>195</v>
      </c>
      <c r="C138" s="8" t="s">
        <v>195</v>
      </c>
      <c r="D138" s="6" t="str">
        <f>LRTRIM(CONCATENATE(IF(SUMPRODUCT(-- ISNUMBER(SEARCH({"Auto Number"}, $B138))) &gt; 0, $B138, IF(SUMPRODUCT(-- ISNUMBER(SEARCH({"Lookup","Master-Detail"}, $B138))) &gt; 0,$B138 &amp; "(" &amp; $E138 &amp; ")",IF(SUMPRODUCT(-- ISNUMBER(SEARCH({"Formula","Roll-Up Summary"}, $B138))) &gt; 0,$B138 &amp; " (" &amp; $E138 &amp; ")",IF(SUMPRODUCT(-- ISNUMBER(SEARCH({"Content","Currency","Number","Percent","Text","URL"}, $B138))) &gt; 0,$B138 &amp; "(" &amp; $C138 &amp; ")",$B138)))), "  ", TRIM(IF($S138 = "YES", "(External ID)", "") &amp; " " &amp; IF(SUMPRODUCT(-- ISNUMBER(SEARCH({"Unique","Unique Case Insensitive"}, $R138))) &gt; 0, "(" &amp; $R138 &amp; ")", ""))))</f>
        <v>na</v>
      </c>
      <c r="E138" s="7" t="s">
        <v>195</v>
      </c>
      <c r="F138" s="7" t="s">
        <v>195</v>
      </c>
      <c r="G138" s="7" t="s">
        <v>195</v>
      </c>
      <c r="H138" s="7" t="s">
        <v>195</v>
      </c>
      <c r="I138" s="7" t="s">
        <v>195</v>
      </c>
      <c r="J138" s="7" t="s">
        <v>195</v>
      </c>
      <c r="K138" s="7" t="s">
        <v>195</v>
      </c>
      <c r="L138" s="7" t="s">
        <v>195</v>
      </c>
      <c r="M138" s="7" t="s">
        <v>29</v>
      </c>
      <c r="N138" s="7" t="s">
        <v>29</v>
      </c>
      <c r="O138" s="7" t="s">
        <v>29</v>
      </c>
      <c r="P138" s="7" t="s">
        <v>29</v>
      </c>
      <c r="Q138" s="7" t="s">
        <v>29</v>
      </c>
      <c r="R138" s="7" t="s">
        <v>29</v>
      </c>
      <c r="S138" s="7" t="s">
        <v>29</v>
      </c>
    </row>
    <row r="139" spans="2:19">
      <c r="B139" s="7" t="s">
        <v>195</v>
      </c>
      <c r="C139" s="8" t="s">
        <v>195</v>
      </c>
      <c r="D139" s="6" t="str">
        <f>LRTRIM(CONCATENATE(IF(SUMPRODUCT(-- ISNUMBER(SEARCH({"Auto Number"}, $B139))) &gt; 0, $B139, IF(SUMPRODUCT(-- ISNUMBER(SEARCH({"Lookup","Master-Detail"}, $B139))) &gt; 0,$B139 &amp; "(" &amp; $E139 &amp; ")",IF(SUMPRODUCT(-- ISNUMBER(SEARCH({"Formula","Roll-Up Summary"}, $B139))) &gt; 0,$B139 &amp; " (" &amp; $E139 &amp; ")",IF(SUMPRODUCT(-- ISNUMBER(SEARCH({"Content","Currency","Number","Percent","Text","URL"}, $B139))) &gt; 0,$B139 &amp; "(" &amp; $C139 &amp; ")",$B139)))), "  ", TRIM(IF($S139 = "YES", "(External ID)", "") &amp; " " &amp; IF(SUMPRODUCT(-- ISNUMBER(SEARCH({"Unique","Unique Case Insensitive"}, $R139))) &gt; 0, "(" &amp; $R139 &amp; ")", ""))))</f>
        <v>na</v>
      </c>
      <c r="E139" s="7" t="s">
        <v>195</v>
      </c>
      <c r="F139" s="7" t="s">
        <v>195</v>
      </c>
      <c r="G139" s="7" t="s">
        <v>195</v>
      </c>
      <c r="H139" s="7" t="s">
        <v>195</v>
      </c>
      <c r="I139" s="7" t="s">
        <v>195</v>
      </c>
      <c r="J139" s="7" t="s">
        <v>195</v>
      </c>
      <c r="K139" s="7" t="s">
        <v>195</v>
      </c>
      <c r="L139" s="7" t="s">
        <v>195</v>
      </c>
      <c r="M139" s="7" t="s">
        <v>29</v>
      </c>
      <c r="N139" s="7" t="s">
        <v>29</v>
      </c>
      <c r="O139" s="7" t="s">
        <v>29</v>
      </c>
      <c r="P139" s="7" t="s">
        <v>29</v>
      </c>
      <c r="Q139" s="7" t="s">
        <v>29</v>
      </c>
      <c r="R139" s="7" t="s">
        <v>29</v>
      </c>
      <c r="S139" s="7" t="s">
        <v>29</v>
      </c>
    </row>
    <row r="140" spans="2:19">
      <c r="B140" s="7" t="s">
        <v>195</v>
      </c>
      <c r="C140" s="8" t="s">
        <v>195</v>
      </c>
      <c r="D140" s="6" t="str">
        <f>LRTRIM(CONCATENATE(IF(SUMPRODUCT(-- ISNUMBER(SEARCH({"Auto Number"}, $B140))) &gt; 0, $B140, IF(SUMPRODUCT(-- ISNUMBER(SEARCH({"Lookup","Master-Detail"}, $B140))) &gt; 0,$B140 &amp; "(" &amp; $E140 &amp; ")",IF(SUMPRODUCT(-- ISNUMBER(SEARCH({"Formula","Roll-Up Summary"}, $B140))) &gt; 0,$B140 &amp; " (" &amp; $E140 &amp; ")",IF(SUMPRODUCT(-- ISNUMBER(SEARCH({"Content","Currency","Number","Percent","Text","URL"}, $B140))) &gt; 0,$B140 &amp; "(" &amp; $C140 &amp; ")",$B140)))), "  ", TRIM(IF($S140 = "YES", "(External ID)", "") &amp; " " &amp; IF(SUMPRODUCT(-- ISNUMBER(SEARCH({"Unique","Unique Case Insensitive"}, $R140))) &gt; 0, "(" &amp; $R140 &amp; ")", ""))))</f>
        <v>na</v>
      </c>
      <c r="E140" s="7" t="s">
        <v>195</v>
      </c>
      <c r="F140" s="7" t="s">
        <v>195</v>
      </c>
      <c r="G140" s="7" t="s">
        <v>195</v>
      </c>
      <c r="H140" s="7" t="s">
        <v>195</v>
      </c>
      <c r="I140" s="7" t="s">
        <v>195</v>
      </c>
      <c r="J140" s="7" t="s">
        <v>195</v>
      </c>
      <c r="K140" s="7" t="s">
        <v>195</v>
      </c>
      <c r="L140" s="7" t="s">
        <v>195</v>
      </c>
      <c r="M140" s="7" t="s">
        <v>29</v>
      </c>
      <c r="N140" s="7" t="s">
        <v>29</v>
      </c>
      <c r="O140" s="7" t="s">
        <v>29</v>
      </c>
      <c r="P140" s="7" t="s">
        <v>29</v>
      </c>
      <c r="Q140" s="7" t="s">
        <v>29</v>
      </c>
      <c r="R140" s="7" t="s">
        <v>29</v>
      </c>
      <c r="S140" s="7" t="s">
        <v>29</v>
      </c>
    </row>
    <row r="141" spans="2:19">
      <c r="B141" s="7" t="s">
        <v>195</v>
      </c>
      <c r="C141" s="8" t="s">
        <v>195</v>
      </c>
      <c r="D141" s="6" t="str">
        <f>LRTRIM(CONCATENATE(IF(SUMPRODUCT(-- ISNUMBER(SEARCH({"Auto Number"}, $B141))) &gt; 0, $B141, IF(SUMPRODUCT(-- ISNUMBER(SEARCH({"Lookup","Master-Detail"}, $B141))) &gt; 0,$B141 &amp; "(" &amp; $E141 &amp; ")",IF(SUMPRODUCT(-- ISNUMBER(SEARCH({"Formula","Roll-Up Summary"}, $B141))) &gt; 0,$B141 &amp; " (" &amp; $E141 &amp; ")",IF(SUMPRODUCT(-- ISNUMBER(SEARCH({"Content","Currency","Number","Percent","Text","URL"}, $B141))) &gt; 0,$B141 &amp; "(" &amp; $C141 &amp; ")",$B141)))), "  ", TRIM(IF($S141 = "YES", "(External ID)", "") &amp; " " &amp; IF(SUMPRODUCT(-- ISNUMBER(SEARCH({"Unique","Unique Case Insensitive"}, $R141))) &gt; 0, "(" &amp; $R141 &amp; ")", ""))))</f>
        <v>na</v>
      </c>
      <c r="E141" s="7" t="s">
        <v>195</v>
      </c>
      <c r="F141" s="7" t="s">
        <v>195</v>
      </c>
      <c r="G141" s="7" t="s">
        <v>195</v>
      </c>
      <c r="H141" s="7" t="s">
        <v>195</v>
      </c>
      <c r="I141" s="7" t="s">
        <v>195</v>
      </c>
      <c r="J141" s="7" t="s">
        <v>195</v>
      </c>
      <c r="K141" s="7" t="s">
        <v>195</v>
      </c>
      <c r="L141" s="7" t="s">
        <v>195</v>
      </c>
      <c r="M141" s="7" t="s">
        <v>29</v>
      </c>
      <c r="N141" s="7" t="s">
        <v>29</v>
      </c>
      <c r="O141" s="7" t="s">
        <v>29</v>
      </c>
      <c r="P141" s="7" t="s">
        <v>29</v>
      </c>
      <c r="Q141" s="7" t="s">
        <v>29</v>
      </c>
      <c r="R141" s="7" t="s">
        <v>29</v>
      </c>
      <c r="S141" s="7" t="s">
        <v>29</v>
      </c>
    </row>
    <row r="142" spans="2:19">
      <c r="B142" s="7" t="s">
        <v>195</v>
      </c>
      <c r="C142" s="8" t="s">
        <v>195</v>
      </c>
      <c r="D142" s="6" t="str">
        <f>LRTRIM(CONCATENATE(IF(SUMPRODUCT(-- ISNUMBER(SEARCH({"Auto Number"}, $B142))) &gt; 0, $B142, IF(SUMPRODUCT(-- ISNUMBER(SEARCH({"Lookup","Master-Detail"}, $B142))) &gt; 0,$B142 &amp; "(" &amp; $E142 &amp; ")",IF(SUMPRODUCT(-- ISNUMBER(SEARCH({"Formula","Roll-Up Summary"}, $B142))) &gt; 0,$B142 &amp; " (" &amp; $E142 &amp; ")",IF(SUMPRODUCT(-- ISNUMBER(SEARCH({"Content","Currency","Number","Percent","Text","URL"}, $B142))) &gt; 0,$B142 &amp; "(" &amp; $C142 &amp; ")",$B142)))), "  ", TRIM(IF($S142 = "YES", "(External ID)", "") &amp; " " &amp; IF(SUMPRODUCT(-- ISNUMBER(SEARCH({"Unique","Unique Case Insensitive"}, $R142))) &gt; 0, "(" &amp; $R142 &amp; ")", ""))))</f>
        <v>na</v>
      </c>
      <c r="E142" s="7" t="s">
        <v>195</v>
      </c>
      <c r="F142" s="7" t="s">
        <v>195</v>
      </c>
      <c r="G142" s="7" t="s">
        <v>195</v>
      </c>
      <c r="H142" s="7" t="s">
        <v>195</v>
      </c>
      <c r="I142" s="7" t="s">
        <v>195</v>
      </c>
      <c r="J142" s="7" t="s">
        <v>195</v>
      </c>
      <c r="K142" s="7" t="s">
        <v>195</v>
      </c>
      <c r="L142" s="7" t="s">
        <v>195</v>
      </c>
      <c r="M142" s="7" t="s">
        <v>29</v>
      </c>
      <c r="N142" s="7" t="s">
        <v>29</v>
      </c>
      <c r="O142" s="7" t="s">
        <v>29</v>
      </c>
      <c r="P142" s="7" t="s">
        <v>29</v>
      </c>
      <c r="Q142" s="7" t="s">
        <v>29</v>
      </c>
      <c r="R142" s="7" t="s">
        <v>29</v>
      </c>
      <c r="S142" s="7" t="s">
        <v>29</v>
      </c>
    </row>
    <row r="143" spans="2:19">
      <c r="B143" s="7" t="s">
        <v>195</v>
      </c>
      <c r="C143" s="8" t="s">
        <v>195</v>
      </c>
      <c r="D143" s="6" t="str">
        <f>LRTRIM(CONCATENATE(IF(SUMPRODUCT(-- ISNUMBER(SEARCH({"Auto Number"}, $B143))) &gt; 0, $B143, IF(SUMPRODUCT(-- ISNUMBER(SEARCH({"Lookup","Master-Detail"}, $B143))) &gt; 0,$B143 &amp; "(" &amp; $E143 &amp; ")",IF(SUMPRODUCT(-- ISNUMBER(SEARCH({"Formula","Roll-Up Summary"}, $B143))) &gt; 0,$B143 &amp; " (" &amp; $E143 &amp; ")",IF(SUMPRODUCT(-- ISNUMBER(SEARCH({"Content","Currency","Number","Percent","Text","URL"}, $B143))) &gt; 0,$B143 &amp; "(" &amp; $C143 &amp; ")",$B143)))), "  ", TRIM(IF($S143 = "YES", "(External ID)", "") &amp; " " &amp; IF(SUMPRODUCT(-- ISNUMBER(SEARCH({"Unique","Unique Case Insensitive"}, $R143))) &gt; 0, "(" &amp; $R143 &amp; ")", ""))))</f>
        <v>na</v>
      </c>
      <c r="E143" s="7" t="s">
        <v>195</v>
      </c>
      <c r="F143" s="7" t="s">
        <v>195</v>
      </c>
      <c r="G143" s="7" t="s">
        <v>195</v>
      </c>
      <c r="H143" s="7" t="s">
        <v>195</v>
      </c>
      <c r="I143" s="7" t="s">
        <v>195</v>
      </c>
      <c r="J143" s="7" t="s">
        <v>195</v>
      </c>
      <c r="K143" s="7" t="s">
        <v>195</v>
      </c>
      <c r="L143" s="7" t="s">
        <v>195</v>
      </c>
      <c r="M143" s="7" t="s">
        <v>29</v>
      </c>
      <c r="N143" s="7" t="s">
        <v>29</v>
      </c>
      <c r="O143" s="7" t="s">
        <v>29</v>
      </c>
      <c r="P143" s="7" t="s">
        <v>29</v>
      </c>
      <c r="Q143" s="7" t="s">
        <v>29</v>
      </c>
      <c r="R143" s="7" t="s">
        <v>29</v>
      </c>
      <c r="S143" s="7" t="s">
        <v>29</v>
      </c>
    </row>
    <row r="144" spans="2:19">
      <c r="B144" s="7" t="s">
        <v>195</v>
      </c>
      <c r="C144" s="8" t="s">
        <v>195</v>
      </c>
      <c r="D144" s="6" t="str">
        <f>LRTRIM(CONCATENATE(IF(SUMPRODUCT(-- ISNUMBER(SEARCH({"Auto Number"}, $B144))) &gt; 0, $B144, IF(SUMPRODUCT(-- ISNUMBER(SEARCH({"Lookup","Master-Detail"}, $B144))) &gt; 0,$B144 &amp; "(" &amp; $E144 &amp; ")",IF(SUMPRODUCT(-- ISNUMBER(SEARCH({"Formula","Roll-Up Summary"}, $B144))) &gt; 0,$B144 &amp; " (" &amp; $E144 &amp; ")",IF(SUMPRODUCT(-- ISNUMBER(SEARCH({"Content","Currency","Number","Percent","Text","URL"}, $B144))) &gt; 0,$B144 &amp; "(" &amp; $C144 &amp; ")",$B144)))), "  ", TRIM(IF($S144 = "YES", "(External ID)", "") &amp; " " &amp; IF(SUMPRODUCT(-- ISNUMBER(SEARCH({"Unique","Unique Case Insensitive"}, $R144))) &gt; 0, "(" &amp; $R144 &amp; ")", ""))))</f>
        <v>na</v>
      </c>
      <c r="E144" s="7" t="s">
        <v>195</v>
      </c>
      <c r="F144" s="7" t="s">
        <v>195</v>
      </c>
      <c r="G144" s="7" t="s">
        <v>195</v>
      </c>
      <c r="H144" s="7" t="s">
        <v>195</v>
      </c>
      <c r="I144" s="7" t="s">
        <v>195</v>
      </c>
      <c r="J144" s="7" t="s">
        <v>195</v>
      </c>
      <c r="K144" s="7" t="s">
        <v>195</v>
      </c>
      <c r="L144" s="7" t="s">
        <v>195</v>
      </c>
      <c r="M144" s="7" t="s">
        <v>29</v>
      </c>
      <c r="N144" s="7" t="s">
        <v>29</v>
      </c>
      <c r="O144" s="7" t="s">
        <v>29</v>
      </c>
      <c r="P144" s="7" t="s">
        <v>29</v>
      </c>
      <c r="Q144" s="7" t="s">
        <v>29</v>
      </c>
      <c r="R144" s="7" t="s">
        <v>29</v>
      </c>
      <c r="S144" s="7" t="s">
        <v>29</v>
      </c>
    </row>
    <row r="145" spans="2:19">
      <c r="B145" s="7" t="s">
        <v>195</v>
      </c>
      <c r="C145" s="8" t="s">
        <v>195</v>
      </c>
      <c r="D145" s="6" t="str">
        <f>LRTRIM(CONCATENATE(IF(SUMPRODUCT(-- ISNUMBER(SEARCH({"Auto Number"}, $B145))) &gt; 0, $B145, IF(SUMPRODUCT(-- ISNUMBER(SEARCH({"Lookup","Master-Detail"}, $B145))) &gt; 0,$B145 &amp; "(" &amp; $E145 &amp; ")",IF(SUMPRODUCT(-- ISNUMBER(SEARCH({"Formula","Roll-Up Summary"}, $B145))) &gt; 0,$B145 &amp; " (" &amp; $E145 &amp; ")",IF(SUMPRODUCT(-- ISNUMBER(SEARCH({"Content","Currency","Number","Percent","Text","URL"}, $B145))) &gt; 0,$B145 &amp; "(" &amp; $C145 &amp; ")",$B145)))), "  ", TRIM(IF($S145 = "YES", "(External ID)", "") &amp; " " &amp; IF(SUMPRODUCT(-- ISNUMBER(SEARCH({"Unique","Unique Case Insensitive"}, $R145))) &gt; 0, "(" &amp; $R145 &amp; ")", ""))))</f>
        <v>na</v>
      </c>
      <c r="E145" s="7" t="s">
        <v>195</v>
      </c>
      <c r="F145" s="7" t="s">
        <v>195</v>
      </c>
      <c r="G145" s="7" t="s">
        <v>195</v>
      </c>
      <c r="H145" s="7" t="s">
        <v>195</v>
      </c>
      <c r="I145" s="7" t="s">
        <v>195</v>
      </c>
      <c r="J145" s="7" t="s">
        <v>195</v>
      </c>
      <c r="K145" s="7" t="s">
        <v>195</v>
      </c>
      <c r="L145" s="7" t="s">
        <v>195</v>
      </c>
      <c r="M145" s="7" t="s">
        <v>29</v>
      </c>
      <c r="N145" s="7" t="s">
        <v>29</v>
      </c>
      <c r="O145" s="7" t="s">
        <v>29</v>
      </c>
      <c r="P145" s="7" t="s">
        <v>29</v>
      </c>
      <c r="Q145" s="7" t="s">
        <v>29</v>
      </c>
      <c r="R145" s="7" t="s">
        <v>29</v>
      </c>
      <c r="S145" s="7" t="s">
        <v>29</v>
      </c>
    </row>
    <row r="146" spans="2:19">
      <c r="B146" s="7" t="s">
        <v>195</v>
      </c>
      <c r="C146" s="8" t="s">
        <v>195</v>
      </c>
      <c r="D146" s="6" t="str">
        <f>LRTRIM(CONCATENATE(IF(SUMPRODUCT(-- ISNUMBER(SEARCH({"Auto Number"}, $B146))) &gt; 0, $B146, IF(SUMPRODUCT(-- ISNUMBER(SEARCH({"Lookup","Master-Detail"}, $B146))) &gt; 0,$B146 &amp; "(" &amp; $E146 &amp; ")",IF(SUMPRODUCT(-- ISNUMBER(SEARCH({"Formula","Roll-Up Summary"}, $B146))) &gt; 0,$B146 &amp; " (" &amp; $E146 &amp; ")",IF(SUMPRODUCT(-- ISNUMBER(SEARCH({"Content","Currency","Number","Percent","Text","URL"}, $B146))) &gt; 0,$B146 &amp; "(" &amp; $C146 &amp; ")",$B146)))), "  ", TRIM(IF($S146 = "YES", "(External ID)", "") &amp; " " &amp; IF(SUMPRODUCT(-- ISNUMBER(SEARCH({"Unique","Unique Case Insensitive"}, $R146))) &gt; 0, "(" &amp; $R146 &amp; ")", ""))))</f>
        <v>na</v>
      </c>
      <c r="E146" s="7" t="s">
        <v>195</v>
      </c>
      <c r="F146" s="7" t="s">
        <v>195</v>
      </c>
      <c r="G146" s="7" t="s">
        <v>195</v>
      </c>
      <c r="H146" s="7" t="s">
        <v>195</v>
      </c>
      <c r="I146" s="7" t="s">
        <v>195</v>
      </c>
      <c r="J146" s="7" t="s">
        <v>195</v>
      </c>
      <c r="K146" s="7" t="s">
        <v>195</v>
      </c>
      <c r="L146" s="7" t="s">
        <v>195</v>
      </c>
      <c r="M146" s="7" t="s">
        <v>29</v>
      </c>
      <c r="N146" s="7" t="s">
        <v>29</v>
      </c>
      <c r="O146" s="7" t="s">
        <v>29</v>
      </c>
      <c r="P146" s="7" t="s">
        <v>29</v>
      </c>
      <c r="Q146" s="7" t="s">
        <v>29</v>
      </c>
      <c r="R146" s="7" t="s">
        <v>29</v>
      </c>
      <c r="S146" s="7" t="s">
        <v>29</v>
      </c>
    </row>
    <row r="147" spans="2:19">
      <c r="B147" s="7" t="s">
        <v>195</v>
      </c>
      <c r="C147" s="8" t="s">
        <v>195</v>
      </c>
      <c r="D147" s="6" t="str">
        <f>LRTRIM(CONCATENATE(IF(SUMPRODUCT(-- ISNUMBER(SEARCH({"Auto Number"}, $B147))) &gt; 0, $B147, IF(SUMPRODUCT(-- ISNUMBER(SEARCH({"Lookup","Master-Detail"}, $B147))) &gt; 0,$B147 &amp; "(" &amp; $E147 &amp; ")",IF(SUMPRODUCT(-- ISNUMBER(SEARCH({"Formula","Roll-Up Summary"}, $B147))) &gt; 0,$B147 &amp; " (" &amp; $E147 &amp; ")",IF(SUMPRODUCT(-- ISNUMBER(SEARCH({"Content","Currency","Number","Percent","Text","URL"}, $B147))) &gt; 0,$B147 &amp; "(" &amp; $C147 &amp; ")",$B147)))), "  ", TRIM(IF($S147 = "YES", "(External ID)", "") &amp; " " &amp; IF(SUMPRODUCT(-- ISNUMBER(SEARCH({"Unique","Unique Case Insensitive"}, $R147))) &gt; 0, "(" &amp; $R147 &amp; ")", ""))))</f>
        <v>na</v>
      </c>
      <c r="E147" s="7" t="s">
        <v>195</v>
      </c>
      <c r="F147" s="7" t="s">
        <v>195</v>
      </c>
      <c r="G147" s="7" t="s">
        <v>195</v>
      </c>
      <c r="H147" s="7" t="s">
        <v>195</v>
      </c>
      <c r="I147" s="7" t="s">
        <v>195</v>
      </c>
      <c r="J147" s="7" t="s">
        <v>195</v>
      </c>
      <c r="K147" s="7" t="s">
        <v>195</v>
      </c>
      <c r="L147" s="7" t="s">
        <v>195</v>
      </c>
      <c r="M147" s="7" t="s">
        <v>29</v>
      </c>
      <c r="N147" s="7" t="s">
        <v>29</v>
      </c>
      <c r="O147" s="7" t="s">
        <v>29</v>
      </c>
      <c r="P147" s="7" t="s">
        <v>29</v>
      </c>
      <c r="Q147" s="7" t="s">
        <v>29</v>
      </c>
      <c r="R147" s="7" t="s">
        <v>29</v>
      </c>
      <c r="S147" s="7" t="s">
        <v>29</v>
      </c>
    </row>
    <row r="148" spans="2:19">
      <c r="B148" s="7" t="s">
        <v>195</v>
      </c>
      <c r="C148" s="8" t="s">
        <v>195</v>
      </c>
      <c r="D148" s="6" t="str">
        <f>LRTRIM(CONCATENATE(IF(SUMPRODUCT(-- ISNUMBER(SEARCH({"Auto Number"}, $B148))) &gt; 0, $B148, IF(SUMPRODUCT(-- ISNUMBER(SEARCH({"Lookup","Master-Detail"}, $B148))) &gt; 0,$B148 &amp; "(" &amp; $E148 &amp; ")",IF(SUMPRODUCT(-- ISNUMBER(SEARCH({"Formula","Roll-Up Summary"}, $B148))) &gt; 0,$B148 &amp; " (" &amp; $E148 &amp; ")",IF(SUMPRODUCT(-- ISNUMBER(SEARCH({"Content","Currency","Number","Percent","Text","URL"}, $B148))) &gt; 0,$B148 &amp; "(" &amp; $C148 &amp; ")",$B148)))), "  ", TRIM(IF($S148 = "YES", "(External ID)", "") &amp; " " &amp; IF(SUMPRODUCT(-- ISNUMBER(SEARCH({"Unique","Unique Case Insensitive"}, $R148))) &gt; 0, "(" &amp; $R148 &amp; ")", ""))))</f>
        <v>na</v>
      </c>
      <c r="E148" s="7" t="s">
        <v>195</v>
      </c>
      <c r="F148" s="7" t="s">
        <v>195</v>
      </c>
      <c r="G148" s="7" t="s">
        <v>195</v>
      </c>
      <c r="H148" s="7" t="s">
        <v>195</v>
      </c>
      <c r="I148" s="7" t="s">
        <v>195</v>
      </c>
      <c r="J148" s="7" t="s">
        <v>195</v>
      </c>
      <c r="K148" s="7" t="s">
        <v>195</v>
      </c>
      <c r="L148" s="7" t="s">
        <v>195</v>
      </c>
      <c r="M148" s="7" t="s">
        <v>29</v>
      </c>
      <c r="N148" s="7" t="s">
        <v>29</v>
      </c>
      <c r="O148" s="7" t="s">
        <v>29</v>
      </c>
      <c r="P148" s="7" t="s">
        <v>29</v>
      </c>
      <c r="Q148" s="7" t="s">
        <v>29</v>
      </c>
      <c r="R148" s="7" t="s">
        <v>29</v>
      </c>
      <c r="S148" s="7" t="s">
        <v>29</v>
      </c>
    </row>
    <row r="149" spans="2:19">
      <c r="B149" s="7" t="s">
        <v>195</v>
      </c>
      <c r="C149" s="8" t="s">
        <v>195</v>
      </c>
      <c r="D149" s="6" t="str">
        <f>LRTRIM(CONCATENATE(IF(SUMPRODUCT(-- ISNUMBER(SEARCH({"Auto Number"}, $B149))) &gt; 0, $B149, IF(SUMPRODUCT(-- ISNUMBER(SEARCH({"Lookup","Master-Detail"}, $B149))) &gt; 0,$B149 &amp; "(" &amp; $E149 &amp; ")",IF(SUMPRODUCT(-- ISNUMBER(SEARCH({"Formula","Roll-Up Summary"}, $B149))) &gt; 0,$B149 &amp; " (" &amp; $E149 &amp; ")",IF(SUMPRODUCT(-- ISNUMBER(SEARCH({"Content","Currency","Number","Percent","Text","URL"}, $B149))) &gt; 0,$B149 &amp; "(" &amp; $C149 &amp; ")",$B149)))), "  ", TRIM(IF($S149 = "YES", "(External ID)", "") &amp; " " &amp; IF(SUMPRODUCT(-- ISNUMBER(SEARCH({"Unique","Unique Case Insensitive"}, $R149))) &gt; 0, "(" &amp; $R149 &amp; ")", ""))))</f>
        <v>na</v>
      </c>
      <c r="E149" s="7" t="s">
        <v>195</v>
      </c>
      <c r="F149" s="7" t="s">
        <v>195</v>
      </c>
      <c r="G149" s="7" t="s">
        <v>195</v>
      </c>
      <c r="H149" s="7" t="s">
        <v>195</v>
      </c>
      <c r="I149" s="7" t="s">
        <v>195</v>
      </c>
      <c r="J149" s="7" t="s">
        <v>195</v>
      </c>
      <c r="K149" s="7" t="s">
        <v>195</v>
      </c>
      <c r="L149" s="7" t="s">
        <v>195</v>
      </c>
      <c r="M149" s="7" t="s">
        <v>29</v>
      </c>
      <c r="N149" s="7" t="s">
        <v>29</v>
      </c>
      <c r="O149" s="7" t="s">
        <v>29</v>
      </c>
      <c r="P149" s="7" t="s">
        <v>29</v>
      </c>
      <c r="Q149" s="7" t="s">
        <v>29</v>
      </c>
      <c r="R149" s="7" t="s">
        <v>29</v>
      </c>
      <c r="S149" s="7" t="s">
        <v>29</v>
      </c>
    </row>
    <row r="150" spans="2:19">
      <c r="B150" s="7" t="s">
        <v>195</v>
      </c>
      <c r="C150" s="8" t="s">
        <v>195</v>
      </c>
      <c r="D150" s="6" t="str">
        <f>LRTRIM(CONCATENATE(IF(SUMPRODUCT(-- ISNUMBER(SEARCH({"Auto Number"}, $B150))) &gt; 0, $B150, IF(SUMPRODUCT(-- ISNUMBER(SEARCH({"Lookup","Master-Detail"}, $B150))) &gt; 0,$B150 &amp; "(" &amp; $E150 &amp; ")",IF(SUMPRODUCT(-- ISNUMBER(SEARCH({"Formula","Roll-Up Summary"}, $B150))) &gt; 0,$B150 &amp; " (" &amp; $E150 &amp; ")",IF(SUMPRODUCT(-- ISNUMBER(SEARCH({"Content","Currency","Number","Percent","Text","URL"}, $B150))) &gt; 0,$B150 &amp; "(" &amp; $C150 &amp; ")",$B150)))), "  ", TRIM(IF($S150 = "YES", "(External ID)", "") &amp; " " &amp; IF(SUMPRODUCT(-- ISNUMBER(SEARCH({"Unique","Unique Case Insensitive"}, $R150))) &gt; 0, "(" &amp; $R150 &amp; ")", ""))))</f>
        <v>na</v>
      </c>
      <c r="E150" s="7" t="s">
        <v>195</v>
      </c>
      <c r="F150" s="7" t="s">
        <v>195</v>
      </c>
      <c r="G150" s="7" t="s">
        <v>195</v>
      </c>
      <c r="H150" s="7" t="s">
        <v>195</v>
      </c>
      <c r="I150" s="7" t="s">
        <v>195</v>
      </c>
      <c r="J150" s="7" t="s">
        <v>195</v>
      </c>
      <c r="K150" s="7" t="s">
        <v>195</v>
      </c>
      <c r="L150" s="7" t="s">
        <v>195</v>
      </c>
      <c r="M150" s="7" t="s">
        <v>29</v>
      </c>
      <c r="N150" s="7" t="s">
        <v>29</v>
      </c>
      <c r="O150" s="7" t="s">
        <v>29</v>
      </c>
      <c r="P150" s="7" t="s">
        <v>29</v>
      </c>
      <c r="Q150" s="7" t="s">
        <v>29</v>
      </c>
      <c r="R150" s="7" t="s">
        <v>29</v>
      </c>
      <c r="S150" s="7" t="s">
        <v>29</v>
      </c>
    </row>
    <row r="151" spans="2:19">
      <c r="B151" s="7" t="s">
        <v>195</v>
      </c>
      <c r="C151" s="8" t="s">
        <v>195</v>
      </c>
      <c r="D151" s="6" t="str">
        <f>LRTRIM(CONCATENATE(IF(SUMPRODUCT(-- ISNUMBER(SEARCH({"Auto Number"}, $B151))) &gt; 0, $B151, IF(SUMPRODUCT(-- ISNUMBER(SEARCH({"Lookup","Master-Detail"}, $B151))) &gt; 0,$B151 &amp; "(" &amp; $E151 &amp; ")",IF(SUMPRODUCT(-- ISNUMBER(SEARCH({"Formula","Roll-Up Summary"}, $B151))) &gt; 0,$B151 &amp; " (" &amp; $E151 &amp; ")",IF(SUMPRODUCT(-- ISNUMBER(SEARCH({"Content","Currency","Number","Percent","Text","URL"}, $B151))) &gt; 0,$B151 &amp; "(" &amp; $C151 &amp; ")",$B151)))), "  ", TRIM(IF($S151 = "YES", "(External ID)", "") &amp; " " &amp; IF(SUMPRODUCT(-- ISNUMBER(SEARCH({"Unique","Unique Case Insensitive"}, $R151))) &gt; 0, "(" &amp; $R151 &amp; ")", ""))))</f>
        <v>na</v>
      </c>
      <c r="E151" s="7" t="s">
        <v>195</v>
      </c>
      <c r="F151" s="7" t="s">
        <v>195</v>
      </c>
      <c r="G151" s="7" t="s">
        <v>195</v>
      </c>
      <c r="H151" s="7" t="s">
        <v>195</v>
      </c>
      <c r="I151" s="7" t="s">
        <v>195</v>
      </c>
      <c r="J151" s="7" t="s">
        <v>195</v>
      </c>
      <c r="K151" s="7" t="s">
        <v>195</v>
      </c>
      <c r="L151" s="7" t="s">
        <v>195</v>
      </c>
      <c r="M151" s="7" t="s">
        <v>29</v>
      </c>
      <c r="N151" s="7" t="s">
        <v>29</v>
      </c>
      <c r="O151" s="7" t="s">
        <v>29</v>
      </c>
      <c r="P151" s="7" t="s">
        <v>29</v>
      </c>
      <c r="Q151" s="7" t="s">
        <v>29</v>
      </c>
      <c r="R151" s="7" t="s">
        <v>29</v>
      </c>
      <c r="S151" s="7" t="s">
        <v>29</v>
      </c>
    </row>
    <row r="152" spans="2:19">
      <c r="B152" s="7" t="s">
        <v>195</v>
      </c>
      <c r="C152" s="8" t="s">
        <v>195</v>
      </c>
      <c r="D152" s="6" t="str">
        <f>LRTRIM(CONCATENATE(IF(SUMPRODUCT(-- ISNUMBER(SEARCH({"Auto Number"}, $B152))) &gt; 0, $B152, IF(SUMPRODUCT(-- ISNUMBER(SEARCH({"Lookup","Master-Detail"}, $B152))) &gt; 0,$B152 &amp; "(" &amp; $E152 &amp; ")",IF(SUMPRODUCT(-- ISNUMBER(SEARCH({"Formula","Roll-Up Summary"}, $B152))) &gt; 0,$B152 &amp; " (" &amp; $E152 &amp; ")",IF(SUMPRODUCT(-- ISNUMBER(SEARCH({"Content","Currency","Number","Percent","Text","URL"}, $B152))) &gt; 0,$B152 &amp; "(" &amp; $C152 &amp; ")",$B152)))), "  ", TRIM(IF($S152 = "YES", "(External ID)", "") &amp; " " &amp; IF(SUMPRODUCT(-- ISNUMBER(SEARCH({"Unique","Unique Case Insensitive"}, $R152))) &gt; 0, "(" &amp; $R152 &amp; ")", ""))))</f>
        <v>na</v>
      </c>
      <c r="E152" s="7" t="s">
        <v>195</v>
      </c>
      <c r="F152" s="7" t="s">
        <v>195</v>
      </c>
      <c r="G152" s="7" t="s">
        <v>195</v>
      </c>
      <c r="H152" s="7" t="s">
        <v>195</v>
      </c>
      <c r="I152" s="7" t="s">
        <v>195</v>
      </c>
      <c r="J152" s="7" t="s">
        <v>195</v>
      </c>
      <c r="K152" s="7" t="s">
        <v>195</v>
      </c>
      <c r="L152" s="7" t="s">
        <v>195</v>
      </c>
      <c r="M152" s="7" t="s">
        <v>29</v>
      </c>
      <c r="N152" s="7" t="s">
        <v>29</v>
      </c>
      <c r="O152" s="7" t="s">
        <v>29</v>
      </c>
      <c r="P152" s="7" t="s">
        <v>29</v>
      </c>
      <c r="Q152" s="7" t="s">
        <v>29</v>
      </c>
      <c r="R152" s="7" t="s">
        <v>29</v>
      </c>
      <c r="S152" s="7" t="s">
        <v>29</v>
      </c>
    </row>
    <row r="153" spans="2:19">
      <c r="B153" s="7" t="s">
        <v>195</v>
      </c>
      <c r="C153" s="8" t="s">
        <v>195</v>
      </c>
      <c r="D153" s="6" t="str">
        <f>LRTRIM(CONCATENATE(IF(SUMPRODUCT(-- ISNUMBER(SEARCH({"Auto Number"}, $B153))) &gt; 0, $B153, IF(SUMPRODUCT(-- ISNUMBER(SEARCH({"Lookup","Master-Detail"}, $B153))) &gt; 0,$B153 &amp; "(" &amp; $E153 &amp; ")",IF(SUMPRODUCT(-- ISNUMBER(SEARCH({"Formula","Roll-Up Summary"}, $B153))) &gt; 0,$B153 &amp; " (" &amp; $E153 &amp; ")",IF(SUMPRODUCT(-- ISNUMBER(SEARCH({"Content","Currency","Number","Percent","Text","URL"}, $B153))) &gt; 0,$B153 &amp; "(" &amp; $C153 &amp; ")",$B153)))), "  ", TRIM(IF($S153 = "YES", "(External ID)", "") &amp; " " &amp; IF(SUMPRODUCT(-- ISNUMBER(SEARCH({"Unique","Unique Case Insensitive"}, $R153))) &gt; 0, "(" &amp; $R153 &amp; ")", ""))))</f>
        <v>na</v>
      </c>
      <c r="E153" s="7" t="s">
        <v>195</v>
      </c>
      <c r="F153" s="7" t="s">
        <v>195</v>
      </c>
      <c r="G153" s="7" t="s">
        <v>195</v>
      </c>
      <c r="H153" s="7" t="s">
        <v>195</v>
      </c>
      <c r="I153" s="7" t="s">
        <v>195</v>
      </c>
      <c r="J153" s="7" t="s">
        <v>195</v>
      </c>
      <c r="K153" s="7" t="s">
        <v>195</v>
      </c>
      <c r="L153" s="7" t="s">
        <v>195</v>
      </c>
      <c r="M153" s="7" t="s">
        <v>29</v>
      </c>
      <c r="N153" s="7" t="s">
        <v>29</v>
      </c>
      <c r="O153" s="7" t="s">
        <v>29</v>
      </c>
      <c r="P153" s="7" t="s">
        <v>29</v>
      </c>
      <c r="Q153" s="7" t="s">
        <v>29</v>
      </c>
      <c r="R153" s="7" t="s">
        <v>29</v>
      </c>
      <c r="S153" s="7" t="s">
        <v>29</v>
      </c>
    </row>
    <row r="154" spans="2:19">
      <c r="B154" s="7" t="s">
        <v>195</v>
      </c>
      <c r="C154" s="8" t="s">
        <v>195</v>
      </c>
      <c r="D154" s="6" t="str">
        <f>LRTRIM(CONCATENATE(IF(SUMPRODUCT(-- ISNUMBER(SEARCH({"Auto Number"}, $B154))) &gt; 0, $B154, IF(SUMPRODUCT(-- ISNUMBER(SEARCH({"Lookup","Master-Detail"}, $B154))) &gt; 0,$B154 &amp; "(" &amp; $E154 &amp; ")",IF(SUMPRODUCT(-- ISNUMBER(SEARCH({"Formula","Roll-Up Summary"}, $B154))) &gt; 0,$B154 &amp; " (" &amp; $E154 &amp; ")",IF(SUMPRODUCT(-- ISNUMBER(SEARCH({"Content","Currency","Number","Percent","Text","URL"}, $B154))) &gt; 0,$B154 &amp; "(" &amp; $C154 &amp; ")",$B154)))), "  ", TRIM(IF($S154 = "YES", "(External ID)", "") &amp; " " &amp; IF(SUMPRODUCT(-- ISNUMBER(SEARCH({"Unique","Unique Case Insensitive"}, $R154))) &gt; 0, "(" &amp; $R154 &amp; ")", ""))))</f>
        <v>na</v>
      </c>
      <c r="E154" s="7" t="s">
        <v>195</v>
      </c>
      <c r="F154" s="7" t="s">
        <v>195</v>
      </c>
      <c r="G154" s="7" t="s">
        <v>195</v>
      </c>
      <c r="H154" s="7" t="s">
        <v>195</v>
      </c>
      <c r="I154" s="7" t="s">
        <v>195</v>
      </c>
      <c r="J154" s="7" t="s">
        <v>195</v>
      </c>
      <c r="K154" s="7" t="s">
        <v>195</v>
      </c>
      <c r="L154" s="7" t="s">
        <v>195</v>
      </c>
      <c r="M154" s="7" t="s">
        <v>29</v>
      </c>
      <c r="N154" s="7" t="s">
        <v>29</v>
      </c>
      <c r="O154" s="7" t="s">
        <v>29</v>
      </c>
      <c r="P154" s="7" t="s">
        <v>29</v>
      </c>
      <c r="Q154" s="7" t="s">
        <v>29</v>
      </c>
      <c r="R154" s="7" t="s">
        <v>29</v>
      </c>
      <c r="S154" s="7" t="s">
        <v>29</v>
      </c>
    </row>
    <row r="155" spans="2:19">
      <c r="B155" s="7" t="s">
        <v>195</v>
      </c>
      <c r="C155" s="8" t="s">
        <v>195</v>
      </c>
      <c r="D155" s="6" t="str">
        <f>LRTRIM(CONCATENATE(IF(SUMPRODUCT(-- ISNUMBER(SEARCH({"Auto Number"}, $B155))) &gt; 0, $B155, IF(SUMPRODUCT(-- ISNUMBER(SEARCH({"Lookup","Master-Detail"}, $B155))) &gt; 0,$B155 &amp; "(" &amp; $E155 &amp; ")",IF(SUMPRODUCT(-- ISNUMBER(SEARCH({"Formula","Roll-Up Summary"}, $B155))) &gt; 0,$B155 &amp; " (" &amp; $E155 &amp; ")",IF(SUMPRODUCT(-- ISNUMBER(SEARCH({"Content","Currency","Number","Percent","Text","URL"}, $B155))) &gt; 0,$B155 &amp; "(" &amp; $C155 &amp; ")",$B155)))), "  ", TRIM(IF($S155 = "YES", "(External ID)", "") &amp; " " &amp; IF(SUMPRODUCT(-- ISNUMBER(SEARCH({"Unique","Unique Case Insensitive"}, $R155))) &gt; 0, "(" &amp; $R155 &amp; ")", ""))))</f>
        <v>na</v>
      </c>
      <c r="E155" s="7" t="s">
        <v>195</v>
      </c>
      <c r="F155" s="7" t="s">
        <v>195</v>
      </c>
      <c r="G155" s="7" t="s">
        <v>195</v>
      </c>
      <c r="H155" s="7" t="s">
        <v>195</v>
      </c>
      <c r="I155" s="7" t="s">
        <v>195</v>
      </c>
      <c r="J155" s="7" t="s">
        <v>195</v>
      </c>
      <c r="K155" s="7" t="s">
        <v>195</v>
      </c>
      <c r="L155" s="7" t="s">
        <v>195</v>
      </c>
      <c r="M155" s="7" t="s">
        <v>29</v>
      </c>
      <c r="N155" s="7" t="s">
        <v>29</v>
      </c>
      <c r="O155" s="7" t="s">
        <v>29</v>
      </c>
      <c r="P155" s="7" t="s">
        <v>29</v>
      </c>
      <c r="Q155" s="7" t="s">
        <v>29</v>
      </c>
      <c r="R155" s="7" t="s">
        <v>29</v>
      </c>
      <c r="S155" s="7" t="s">
        <v>29</v>
      </c>
    </row>
    <row r="156" spans="2:19">
      <c r="B156" s="7" t="s">
        <v>195</v>
      </c>
      <c r="C156" s="8" t="s">
        <v>195</v>
      </c>
      <c r="D156" s="6" t="str">
        <f>LRTRIM(CONCATENATE(IF(SUMPRODUCT(-- ISNUMBER(SEARCH({"Auto Number"}, $B156))) &gt; 0, $B156, IF(SUMPRODUCT(-- ISNUMBER(SEARCH({"Lookup","Master-Detail"}, $B156))) &gt; 0,$B156 &amp; "(" &amp; $E156 &amp; ")",IF(SUMPRODUCT(-- ISNUMBER(SEARCH({"Formula","Roll-Up Summary"}, $B156))) &gt; 0,$B156 &amp; " (" &amp; $E156 &amp; ")",IF(SUMPRODUCT(-- ISNUMBER(SEARCH({"Content","Currency","Number","Percent","Text","URL"}, $B156))) &gt; 0,$B156 &amp; "(" &amp; $C156 &amp; ")",$B156)))), "  ", TRIM(IF($S156 = "YES", "(External ID)", "") &amp; " " &amp; IF(SUMPRODUCT(-- ISNUMBER(SEARCH({"Unique","Unique Case Insensitive"}, $R156))) &gt; 0, "(" &amp; $R156 &amp; ")", ""))))</f>
        <v>na</v>
      </c>
      <c r="E156" s="7" t="s">
        <v>195</v>
      </c>
      <c r="F156" s="7" t="s">
        <v>195</v>
      </c>
      <c r="G156" s="7" t="s">
        <v>195</v>
      </c>
      <c r="H156" s="7" t="s">
        <v>195</v>
      </c>
      <c r="I156" s="7" t="s">
        <v>195</v>
      </c>
      <c r="J156" s="7" t="s">
        <v>195</v>
      </c>
      <c r="K156" s="7" t="s">
        <v>195</v>
      </c>
      <c r="L156" s="7" t="s">
        <v>195</v>
      </c>
      <c r="M156" s="7" t="s">
        <v>29</v>
      </c>
      <c r="N156" s="7" t="s">
        <v>29</v>
      </c>
      <c r="O156" s="7" t="s">
        <v>29</v>
      </c>
      <c r="P156" s="7" t="s">
        <v>29</v>
      </c>
      <c r="Q156" s="7" t="s">
        <v>29</v>
      </c>
      <c r="R156" s="7" t="s">
        <v>29</v>
      </c>
      <c r="S156" s="7" t="s">
        <v>29</v>
      </c>
    </row>
    <row r="157" spans="2:19">
      <c r="B157" s="7" t="s">
        <v>195</v>
      </c>
      <c r="C157" s="8" t="s">
        <v>195</v>
      </c>
      <c r="D157" s="6" t="str">
        <f>LRTRIM(CONCATENATE(IF(SUMPRODUCT(-- ISNUMBER(SEARCH({"Auto Number"}, $B157))) &gt; 0, $B157, IF(SUMPRODUCT(-- ISNUMBER(SEARCH({"Lookup","Master-Detail"}, $B157))) &gt; 0,$B157 &amp; "(" &amp; $E157 &amp; ")",IF(SUMPRODUCT(-- ISNUMBER(SEARCH({"Formula","Roll-Up Summary"}, $B157))) &gt; 0,$B157 &amp; " (" &amp; $E157 &amp; ")",IF(SUMPRODUCT(-- ISNUMBER(SEARCH({"Content","Currency","Number","Percent","Text","URL"}, $B157))) &gt; 0,$B157 &amp; "(" &amp; $C157 &amp; ")",$B157)))), "  ", TRIM(IF($S157 = "YES", "(External ID)", "") &amp; " " &amp; IF(SUMPRODUCT(-- ISNUMBER(SEARCH({"Unique","Unique Case Insensitive"}, $R157))) &gt; 0, "(" &amp; $R157 &amp; ")", ""))))</f>
        <v>na</v>
      </c>
      <c r="E157" s="7" t="s">
        <v>195</v>
      </c>
      <c r="F157" s="7" t="s">
        <v>195</v>
      </c>
      <c r="G157" s="7" t="s">
        <v>195</v>
      </c>
      <c r="H157" s="7" t="s">
        <v>195</v>
      </c>
      <c r="I157" s="7" t="s">
        <v>195</v>
      </c>
      <c r="J157" s="7" t="s">
        <v>195</v>
      </c>
      <c r="K157" s="7" t="s">
        <v>195</v>
      </c>
      <c r="L157" s="7" t="s">
        <v>195</v>
      </c>
      <c r="M157" s="7" t="s">
        <v>29</v>
      </c>
      <c r="N157" s="7" t="s">
        <v>29</v>
      </c>
      <c r="O157" s="7" t="s">
        <v>29</v>
      </c>
      <c r="P157" s="7" t="s">
        <v>29</v>
      </c>
      <c r="Q157" s="7" t="s">
        <v>29</v>
      </c>
      <c r="R157" s="7" t="s">
        <v>29</v>
      </c>
      <c r="S157" s="7" t="s">
        <v>29</v>
      </c>
    </row>
    <row r="158" spans="2:19">
      <c r="B158" s="7" t="s">
        <v>195</v>
      </c>
      <c r="C158" s="8" t="s">
        <v>195</v>
      </c>
      <c r="D158" s="6" t="str">
        <f>LRTRIM(CONCATENATE(IF(SUMPRODUCT(-- ISNUMBER(SEARCH({"Auto Number"}, $B158))) &gt; 0, $B158, IF(SUMPRODUCT(-- ISNUMBER(SEARCH({"Lookup","Master-Detail"}, $B158))) &gt; 0,$B158 &amp; "(" &amp; $E158 &amp; ")",IF(SUMPRODUCT(-- ISNUMBER(SEARCH({"Formula","Roll-Up Summary"}, $B158))) &gt; 0,$B158 &amp; " (" &amp; $E158 &amp; ")",IF(SUMPRODUCT(-- ISNUMBER(SEARCH({"Content","Currency","Number","Percent","Text","URL"}, $B158))) &gt; 0,$B158 &amp; "(" &amp; $C158 &amp; ")",$B158)))), "  ", TRIM(IF($S158 = "YES", "(External ID)", "") &amp; " " &amp; IF(SUMPRODUCT(-- ISNUMBER(SEARCH({"Unique","Unique Case Insensitive"}, $R158))) &gt; 0, "(" &amp; $R158 &amp; ")", ""))))</f>
        <v>na</v>
      </c>
      <c r="E158" s="7" t="s">
        <v>195</v>
      </c>
      <c r="F158" s="7" t="s">
        <v>195</v>
      </c>
      <c r="G158" s="7" t="s">
        <v>195</v>
      </c>
      <c r="H158" s="7" t="s">
        <v>195</v>
      </c>
      <c r="I158" s="7" t="s">
        <v>195</v>
      </c>
      <c r="J158" s="7" t="s">
        <v>195</v>
      </c>
      <c r="K158" s="7" t="s">
        <v>195</v>
      </c>
      <c r="L158" s="7" t="s">
        <v>195</v>
      </c>
      <c r="M158" s="7" t="s">
        <v>29</v>
      </c>
      <c r="N158" s="7" t="s">
        <v>29</v>
      </c>
      <c r="O158" s="7" t="s">
        <v>29</v>
      </c>
      <c r="P158" s="7" t="s">
        <v>29</v>
      </c>
      <c r="Q158" s="7" t="s">
        <v>29</v>
      </c>
      <c r="R158" s="7" t="s">
        <v>29</v>
      </c>
      <c r="S158" s="7" t="s">
        <v>29</v>
      </c>
    </row>
    <row r="159" spans="2:19">
      <c r="B159" s="7" t="s">
        <v>195</v>
      </c>
      <c r="C159" s="8" t="s">
        <v>195</v>
      </c>
      <c r="D159" s="6" t="str">
        <f>LRTRIM(CONCATENATE(IF(SUMPRODUCT(-- ISNUMBER(SEARCH({"Auto Number"}, $B159))) &gt; 0, $B159, IF(SUMPRODUCT(-- ISNUMBER(SEARCH({"Lookup","Master-Detail"}, $B159))) &gt; 0,$B159 &amp; "(" &amp; $E159 &amp; ")",IF(SUMPRODUCT(-- ISNUMBER(SEARCH({"Formula","Roll-Up Summary"}, $B159))) &gt; 0,$B159 &amp; " (" &amp; $E159 &amp; ")",IF(SUMPRODUCT(-- ISNUMBER(SEARCH({"Content","Currency","Number","Percent","Text","URL"}, $B159))) &gt; 0,$B159 &amp; "(" &amp; $C159 &amp; ")",$B159)))), "  ", TRIM(IF($S159 = "YES", "(External ID)", "") &amp; " " &amp; IF(SUMPRODUCT(-- ISNUMBER(SEARCH({"Unique","Unique Case Insensitive"}, $R159))) &gt; 0, "(" &amp; $R159 &amp; ")", ""))))</f>
        <v>na</v>
      </c>
      <c r="E159" s="7" t="s">
        <v>195</v>
      </c>
      <c r="F159" s="7" t="s">
        <v>195</v>
      </c>
      <c r="G159" s="7" t="s">
        <v>195</v>
      </c>
      <c r="H159" s="7" t="s">
        <v>195</v>
      </c>
      <c r="I159" s="7" t="s">
        <v>195</v>
      </c>
      <c r="J159" s="7" t="s">
        <v>195</v>
      </c>
      <c r="K159" s="7" t="s">
        <v>195</v>
      </c>
      <c r="L159" s="7" t="s">
        <v>195</v>
      </c>
      <c r="M159" s="7" t="s">
        <v>29</v>
      </c>
      <c r="N159" s="7" t="s">
        <v>29</v>
      </c>
      <c r="O159" s="7" t="s">
        <v>29</v>
      </c>
      <c r="P159" s="7" t="s">
        <v>29</v>
      </c>
      <c r="Q159" s="7" t="s">
        <v>29</v>
      </c>
      <c r="R159" s="7" t="s">
        <v>29</v>
      </c>
      <c r="S159" s="7" t="s">
        <v>29</v>
      </c>
    </row>
    <row r="160" spans="2:19">
      <c r="B160" s="7" t="s">
        <v>195</v>
      </c>
      <c r="C160" s="8" t="s">
        <v>195</v>
      </c>
      <c r="D160" s="6" t="str">
        <f>LRTRIM(CONCATENATE(IF(SUMPRODUCT(-- ISNUMBER(SEARCH({"Auto Number"}, $B160))) &gt; 0, $B160, IF(SUMPRODUCT(-- ISNUMBER(SEARCH({"Lookup","Master-Detail"}, $B160))) &gt; 0,$B160 &amp; "(" &amp; $E160 &amp; ")",IF(SUMPRODUCT(-- ISNUMBER(SEARCH({"Formula","Roll-Up Summary"}, $B160))) &gt; 0,$B160 &amp; " (" &amp; $E160 &amp; ")",IF(SUMPRODUCT(-- ISNUMBER(SEARCH({"Content","Currency","Number","Percent","Text","URL"}, $B160))) &gt; 0,$B160 &amp; "(" &amp; $C160 &amp; ")",$B160)))), "  ", TRIM(IF($S160 = "YES", "(External ID)", "") &amp; " " &amp; IF(SUMPRODUCT(-- ISNUMBER(SEARCH({"Unique","Unique Case Insensitive"}, $R160))) &gt; 0, "(" &amp; $R160 &amp; ")", ""))))</f>
        <v>na</v>
      </c>
      <c r="E160" s="7" t="s">
        <v>195</v>
      </c>
      <c r="F160" s="7" t="s">
        <v>195</v>
      </c>
      <c r="G160" s="7" t="s">
        <v>195</v>
      </c>
      <c r="H160" s="7" t="s">
        <v>195</v>
      </c>
      <c r="I160" s="7" t="s">
        <v>195</v>
      </c>
      <c r="J160" s="7" t="s">
        <v>195</v>
      </c>
      <c r="K160" s="7" t="s">
        <v>195</v>
      </c>
      <c r="L160" s="7" t="s">
        <v>195</v>
      </c>
      <c r="M160" s="7" t="s">
        <v>29</v>
      </c>
      <c r="N160" s="7" t="s">
        <v>29</v>
      </c>
      <c r="O160" s="7" t="s">
        <v>29</v>
      </c>
      <c r="P160" s="7" t="s">
        <v>29</v>
      </c>
      <c r="Q160" s="7" t="s">
        <v>29</v>
      </c>
      <c r="R160" s="7" t="s">
        <v>29</v>
      </c>
      <c r="S160" s="7" t="s">
        <v>29</v>
      </c>
    </row>
    <row r="161" spans="2:19">
      <c r="B161" s="7" t="s">
        <v>195</v>
      </c>
      <c r="C161" s="8" t="s">
        <v>195</v>
      </c>
      <c r="D161" s="6" t="str">
        <f>LRTRIM(CONCATENATE(IF(SUMPRODUCT(-- ISNUMBER(SEARCH({"Auto Number"}, $B161))) &gt; 0, $B161, IF(SUMPRODUCT(-- ISNUMBER(SEARCH({"Lookup","Master-Detail"}, $B161))) &gt; 0,$B161 &amp; "(" &amp; $E161 &amp; ")",IF(SUMPRODUCT(-- ISNUMBER(SEARCH({"Formula","Roll-Up Summary"}, $B161))) &gt; 0,$B161 &amp; " (" &amp; $E161 &amp; ")",IF(SUMPRODUCT(-- ISNUMBER(SEARCH({"Content","Currency","Number","Percent","Text","URL"}, $B161))) &gt; 0,$B161 &amp; "(" &amp; $C161 &amp; ")",$B161)))), "  ", TRIM(IF($S161 = "YES", "(External ID)", "") &amp; " " &amp; IF(SUMPRODUCT(-- ISNUMBER(SEARCH({"Unique","Unique Case Insensitive"}, $R161))) &gt; 0, "(" &amp; $R161 &amp; ")", ""))))</f>
        <v>na</v>
      </c>
      <c r="E161" s="7" t="s">
        <v>195</v>
      </c>
      <c r="F161" s="7" t="s">
        <v>195</v>
      </c>
      <c r="G161" s="7" t="s">
        <v>195</v>
      </c>
      <c r="H161" s="7" t="s">
        <v>195</v>
      </c>
      <c r="I161" s="7" t="s">
        <v>195</v>
      </c>
      <c r="J161" s="7" t="s">
        <v>195</v>
      </c>
      <c r="K161" s="7" t="s">
        <v>195</v>
      </c>
      <c r="L161" s="7" t="s">
        <v>195</v>
      </c>
      <c r="M161" s="7" t="s">
        <v>29</v>
      </c>
      <c r="N161" s="7" t="s">
        <v>29</v>
      </c>
      <c r="O161" s="7" t="s">
        <v>29</v>
      </c>
      <c r="P161" s="7" t="s">
        <v>29</v>
      </c>
      <c r="Q161" s="7" t="s">
        <v>29</v>
      </c>
      <c r="R161" s="7" t="s">
        <v>29</v>
      </c>
      <c r="S161" s="7" t="s">
        <v>29</v>
      </c>
    </row>
    <row r="162" spans="2:19">
      <c r="B162" s="7" t="s">
        <v>195</v>
      </c>
      <c r="C162" s="8" t="s">
        <v>195</v>
      </c>
      <c r="D162" s="6" t="str">
        <f>LRTRIM(CONCATENATE(IF(SUMPRODUCT(-- ISNUMBER(SEARCH({"Auto Number"}, $B162))) &gt; 0, $B162, IF(SUMPRODUCT(-- ISNUMBER(SEARCH({"Lookup","Master-Detail"}, $B162))) &gt; 0,$B162 &amp; "(" &amp; $E162 &amp; ")",IF(SUMPRODUCT(-- ISNUMBER(SEARCH({"Formula","Roll-Up Summary"}, $B162))) &gt; 0,$B162 &amp; " (" &amp; $E162 &amp; ")",IF(SUMPRODUCT(-- ISNUMBER(SEARCH({"Content","Currency","Number","Percent","Text","URL"}, $B162))) &gt; 0,$B162 &amp; "(" &amp; $C162 &amp; ")",$B162)))), "  ", TRIM(IF($S162 = "YES", "(External ID)", "") &amp; " " &amp; IF(SUMPRODUCT(-- ISNUMBER(SEARCH({"Unique","Unique Case Insensitive"}, $R162))) &gt; 0, "(" &amp; $R162 &amp; ")", ""))))</f>
        <v>na</v>
      </c>
      <c r="E162" s="7" t="s">
        <v>195</v>
      </c>
      <c r="F162" s="7" t="s">
        <v>195</v>
      </c>
      <c r="G162" s="7" t="s">
        <v>195</v>
      </c>
      <c r="H162" s="7" t="s">
        <v>195</v>
      </c>
      <c r="I162" s="7" t="s">
        <v>195</v>
      </c>
      <c r="J162" s="7" t="s">
        <v>195</v>
      </c>
      <c r="K162" s="7" t="s">
        <v>195</v>
      </c>
      <c r="L162" s="7" t="s">
        <v>195</v>
      </c>
      <c r="M162" s="7" t="s">
        <v>29</v>
      </c>
      <c r="N162" s="7" t="s">
        <v>29</v>
      </c>
      <c r="O162" s="7" t="s">
        <v>29</v>
      </c>
      <c r="P162" s="7" t="s">
        <v>29</v>
      </c>
      <c r="Q162" s="7" t="s">
        <v>29</v>
      </c>
      <c r="R162" s="7" t="s">
        <v>29</v>
      </c>
      <c r="S162" s="7" t="s">
        <v>29</v>
      </c>
    </row>
    <row r="163" spans="2:19">
      <c r="B163" s="7" t="s">
        <v>195</v>
      </c>
      <c r="C163" s="8" t="s">
        <v>195</v>
      </c>
      <c r="D163" s="6" t="str">
        <f>LRTRIM(CONCATENATE(IF(SUMPRODUCT(-- ISNUMBER(SEARCH({"Auto Number"}, $B163))) &gt; 0, $B163, IF(SUMPRODUCT(-- ISNUMBER(SEARCH({"Lookup","Master-Detail"}, $B163))) &gt; 0,$B163 &amp; "(" &amp; $E163 &amp; ")",IF(SUMPRODUCT(-- ISNUMBER(SEARCH({"Formula","Roll-Up Summary"}, $B163))) &gt; 0,$B163 &amp; " (" &amp; $E163 &amp; ")",IF(SUMPRODUCT(-- ISNUMBER(SEARCH({"Content","Currency","Number","Percent","Text","URL"}, $B163))) &gt; 0,$B163 &amp; "(" &amp; $C163 &amp; ")",$B163)))), "  ", TRIM(IF($S163 = "YES", "(External ID)", "") &amp; " " &amp; IF(SUMPRODUCT(-- ISNUMBER(SEARCH({"Unique","Unique Case Insensitive"}, $R163))) &gt; 0, "(" &amp; $R163 &amp; ")", ""))))</f>
        <v>na</v>
      </c>
      <c r="E163" s="7" t="s">
        <v>195</v>
      </c>
      <c r="F163" s="7" t="s">
        <v>195</v>
      </c>
      <c r="G163" s="7" t="s">
        <v>195</v>
      </c>
      <c r="H163" s="7" t="s">
        <v>195</v>
      </c>
      <c r="I163" s="7" t="s">
        <v>195</v>
      </c>
      <c r="J163" s="7" t="s">
        <v>195</v>
      </c>
      <c r="K163" s="7" t="s">
        <v>195</v>
      </c>
      <c r="L163" s="7" t="s">
        <v>195</v>
      </c>
      <c r="M163" s="7" t="s">
        <v>29</v>
      </c>
      <c r="N163" s="7" t="s">
        <v>29</v>
      </c>
      <c r="O163" s="7" t="s">
        <v>29</v>
      </c>
      <c r="P163" s="7" t="s">
        <v>29</v>
      </c>
      <c r="Q163" s="7" t="s">
        <v>29</v>
      </c>
      <c r="R163" s="7" t="s">
        <v>29</v>
      </c>
      <c r="S163" s="7" t="s">
        <v>29</v>
      </c>
    </row>
    <row r="164" spans="2:19">
      <c r="B164" s="7" t="s">
        <v>195</v>
      </c>
      <c r="C164" s="8" t="s">
        <v>195</v>
      </c>
      <c r="D164" s="6" t="str">
        <f>LRTRIM(CONCATENATE(IF(SUMPRODUCT(-- ISNUMBER(SEARCH({"Auto Number"}, $B164))) &gt; 0, $B164, IF(SUMPRODUCT(-- ISNUMBER(SEARCH({"Lookup","Master-Detail"}, $B164))) &gt; 0,$B164 &amp; "(" &amp; $E164 &amp; ")",IF(SUMPRODUCT(-- ISNUMBER(SEARCH({"Formula","Roll-Up Summary"}, $B164))) &gt; 0,$B164 &amp; " (" &amp; $E164 &amp; ")",IF(SUMPRODUCT(-- ISNUMBER(SEARCH({"Content","Currency","Number","Percent","Text","URL"}, $B164))) &gt; 0,$B164 &amp; "(" &amp; $C164 &amp; ")",$B164)))), "  ", TRIM(IF($S164 = "YES", "(External ID)", "") &amp; " " &amp; IF(SUMPRODUCT(-- ISNUMBER(SEARCH({"Unique","Unique Case Insensitive"}, $R164))) &gt; 0, "(" &amp; $R164 &amp; ")", ""))))</f>
        <v>na</v>
      </c>
      <c r="E164" s="7" t="s">
        <v>195</v>
      </c>
      <c r="F164" s="7" t="s">
        <v>195</v>
      </c>
      <c r="G164" s="7" t="s">
        <v>195</v>
      </c>
      <c r="H164" s="7" t="s">
        <v>195</v>
      </c>
      <c r="I164" s="7" t="s">
        <v>195</v>
      </c>
      <c r="J164" s="7" t="s">
        <v>195</v>
      </c>
      <c r="K164" s="7" t="s">
        <v>195</v>
      </c>
      <c r="L164" s="7" t="s">
        <v>195</v>
      </c>
      <c r="M164" s="7" t="s">
        <v>29</v>
      </c>
      <c r="N164" s="7" t="s">
        <v>29</v>
      </c>
      <c r="O164" s="7" t="s">
        <v>29</v>
      </c>
      <c r="P164" s="7" t="s">
        <v>29</v>
      </c>
      <c r="Q164" s="7" t="s">
        <v>29</v>
      </c>
      <c r="R164" s="7" t="s">
        <v>29</v>
      </c>
      <c r="S164" s="7" t="s">
        <v>29</v>
      </c>
    </row>
    <row r="165" spans="2:19">
      <c r="B165" s="7" t="s">
        <v>195</v>
      </c>
      <c r="C165" s="8" t="s">
        <v>195</v>
      </c>
      <c r="D165" s="6" t="str">
        <f>LRTRIM(CONCATENATE(IF(SUMPRODUCT(-- ISNUMBER(SEARCH({"Auto Number"}, $B165))) &gt; 0, $B165, IF(SUMPRODUCT(-- ISNUMBER(SEARCH({"Lookup","Master-Detail"}, $B165))) &gt; 0,$B165 &amp; "(" &amp; $E165 &amp; ")",IF(SUMPRODUCT(-- ISNUMBER(SEARCH({"Formula","Roll-Up Summary"}, $B165))) &gt; 0,$B165 &amp; " (" &amp; $E165 &amp; ")",IF(SUMPRODUCT(-- ISNUMBER(SEARCH({"Content","Currency","Number","Percent","Text","URL"}, $B165))) &gt; 0,$B165 &amp; "(" &amp; $C165 &amp; ")",$B165)))), "  ", TRIM(IF($S165 = "YES", "(External ID)", "") &amp; " " &amp; IF(SUMPRODUCT(-- ISNUMBER(SEARCH({"Unique","Unique Case Insensitive"}, $R165))) &gt; 0, "(" &amp; $R165 &amp; ")", ""))))</f>
        <v>na</v>
      </c>
      <c r="E165" s="7" t="s">
        <v>195</v>
      </c>
      <c r="F165" s="7" t="s">
        <v>195</v>
      </c>
      <c r="G165" s="7" t="s">
        <v>195</v>
      </c>
      <c r="H165" s="7" t="s">
        <v>195</v>
      </c>
      <c r="I165" s="7" t="s">
        <v>195</v>
      </c>
      <c r="J165" s="7" t="s">
        <v>195</v>
      </c>
      <c r="K165" s="7" t="s">
        <v>195</v>
      </c>
      <c r="L165" s="7" t="s">
        <v>195</v>
      </c>
      <c r="M165" s="7" t="s">
        <v>29</v>
      </c>
      <c r="N165" s="7" t="s">
        <v>29</v>
      </c>
      <c r="O165" s="7" t="s">
        <v>29</v>
      </c>
      <c r="P165" s="7" t="s">
        <v>29</v>
      </c>
      <c r="Q165" s="7" t="s">
        <v>29</v>
      </c>
      <c r="R165" s="7" t="s">
        <v>29</v>
      </c>
      <c r="S165" s="7" t="s">
        <v>29</v>
      </c>
    </row>
    <row r="166" spans="2:19">
      <c r="B166" s="7" t="s">
        <v>195</v>
      </c>
      <c r="C166" s="8" t="s">
        <v>195</v>
      </c>
      <c r="D166" s="6" t="str">
        <f>LRTRIM(CONCATENATE(IF(SUMPRODUCT(-- ISNUMBER(SEARCH({"Auto Number"}, $B166))) &gt; 0, $B166, IF(SUMPRODUCT(-- ISNUMBER(SEARCH({"Lookup","Master-Detail"}, $B166))) &gt; 0,$B166 &amp; "(" &amp; $E166 &amp; ")",IF(SUMPRODUCT(-- ISNUMBER(SEARCH({"Formula","Roll-Up Summary"}, $B166))) &gt; 0,$B166 &amp; " (" &amp; $E166 &amp; ")",IF(SUMPRODUCT(-- ISNUMBER(SEARCH({"Content","Currency","Number","Percent","Text","URL"}, $B166))) &gt; 0,$B166 &amp; "(" &amp; $C166 &amp; ")",$B166)))), "  ", TRIM(IF($S166 = "YES", "(External ID)", "") &amp; " " &amp; IF(SUMPRODUCT(-- ISNUMBER(SEARCH({"Unique","Unique Case Insensitive"}, $R166))) &gt; 0, "(" &amp; $R166 &amp; ")", ""))))</f>
        <v>na</v>
      </c>
      <c r="E166" s="7" t="s">
        <v>195</v>
      </c>
      <c r="F166" s="7" t="s">
        <v>195</v>
      </c>
      <c r="G166" s="7" t="s">
        <v>195</v>
      </c>
      <c r="H166" s="7" t="s">
        <v>195</v>
      </c>
      <c r="I166" s="7" t="s">
        <v>195</v>
      </c>
      <c r="J166" s="7" t="s">
        <v>195</v>
      </c>
      <c r="K166" s="7" t="s">
        <v>195</v>
      </c>
      <c r="L166" s="7" t="s">
        <v>195</v>
      </c>
      <c r="M166" s="7" t="s">
        <v>29</v>
      </c>
      <c r="N166" s="7" t="s">
        <v>29</v>
      </c>
      <c r="O166" s="7" t="s">
        <v>29</v>
      </c>
      <c r="P166" s="7" t="s">
        <v>29</v>
      </c>
      <c r="Q166" s="7" t="s">
        <v>29</v>
      </c>
      <c r="R166" s="7" t="s">
        <v>29</v>
      </c>
      <c r="S166" s="7" t="s">
        <v>29</v>
      </c>
    </row>
    <row r="167" spans="2:19">
      <c r="B167" s="7" t="s">
        <v>195</v>
      </c>
      <c r="C167" s="8" t="s">
        <v>195</v>
      </c>
      <c r="D167" s="6" t="str">
        <f>LRTRIM(CONCATENATE(IF(SUMPRODUCT(-- ISNUMBER(SEARCH({"Auto Number"}, $B167))) &gt; 0, $B167, IF(SUMPRODUCT(-- ISNUMBER(SEARCH({"Lookup","Master-Detail"}, $B167))) &gt; 0,$B167 &amp; "(" &amp; $E167 &amp; ")",IF(SUMPRODUCT(-- ISNUMBER(SEARCH({"Formula","Roll-Up Summary"}, $B167))) &gt; 0,$B167 &amp; " (" &amp; $E167 &amp; ")",IF(SUMPRODUCT(-- ISNUMBER(SEARCH({"Content","Currency","Number","Percent","Text","URL"}, $B167))) &gt; 0,$B167 &amp; "(" &amp; $C167 &amp; ")",$B167)))), "  ", TRIM(IF($S167 = "YES", "(External ID)", "") &amp; " " &amp; IF(SUMPRODUCT(-- ISNUMBER(SEARCH({"Unique","Unique Case Insensitive"}, $R167))) &gt; 0, "(" &amp; $R167 &amp; ")", ""))))</f>
        <v>na</v>
      </c>
      <c r="E167" s="7" t="s">
        <v>195</v>
      </c>
      <c r="F167" s="7" t="s">
        <v>195</v>
      </c>
      <c r="G167" s="7" t="s">
        <v>195</v>
      </c>
      <c r="H167" s="7" t="s">
        <v>195</v>
      </c>
      <c r="I167" s="7" t="s">
        <v>195</v>
      </c>
      <c r="J167" s="7" t="s">
        <v>195</v>
      </c>
      <c r="K167" s="7" t="s">
        <v>195</v>
      </c>
      <c r="L167" s="7" t="s">
        <v>195</v>
      </c>
      <c r="M167" s="7" t="s">
        <v>29</v>
      </c>
      <c r="N167" s="7" t="s">
        <v>29</v>
      </c>
      <c r="O167" s="7" t="s">
        <v>29</v>
      </c>
      <c r="P167" s="7" t="s">
        <v>29</v>
      </c>
      <c r="Q167" s="7" t="s">
        <v>29</v>
      </c>
      <c r="R167" s="7" t="s">
        <v>29</v>
      </c>
      <c r="S167" s="7" t="s">
        <v>29</v>
      </c>
    </row>
    <row r="168" spans="2:19">
      <c r="B168" s="7" t="s">
        <v>195</v>
      </c>
      <c r="C168" s="8" t="s">
        <v>195</v>
      </c>
      <c r="D168" s="6" t="str">
        <f>LRTRIM(CONCATENATE(IF(SUMPRODUCT(-- ISNUMBER(SEARCH({"Auto Number"}, $B168))) &gt; 0, $B168, IF(SUMPRODUCT(-- ISNUMBER(SEARCH({"Lookup","Master-Detail"}, $B168))) &gt; 0,$B168 &amp; "(" &amp; $E168 &amp; ")",IF(SUMPRODUCT(-- ISNUMBER(SEARCH({"Formula","Roll-Up Summary"}, $B168))) &gt; 0,$B168 &amp; " (" &amp; $E168 &amp; ")",IF(SUMPRODUCT(-- ISNUMBER(SEARCH({"Content","Currency","Number","Percent","Text","URL"}, $B168))) &gt; 0,$B168 &amp; "(" &amp; $C168 &amp; ")",$B168)))), "  ", TRIM(IF($S168 = "YES", "(External ID)", "") &amp; " " &amp; IF(SUMPRODUCT(-- ISNUMBER(SEARCH({"Unique","Unique Case Insensitive"}, $R168))) &gt; 0, "(" &amp; $R168 &amp; ")", ""))))</f>
        <v>na</v>
      </c>
      <c r="E168" s="7" t="s">
        <v>195</v>
      </c>
      <c r="F168" s="7" t="s">
        <v>195</v>
      </c>
      <c r="G168" s="7" t="s">
        <v>195</v>
      </c>
      <c r="H168" s="7" t="s">
        <v>195</v>
      </c>
      <c r="I168" s="7" t="s">
        <v>195</v>
      </c>
      <c r="J168" s="7" t="s">
        <v>195</v>
      </c>
      <c r="K168" s="7" t="s">
        <v>195</v>
      </c>
      <c r="L168" s="7" t="s">
        <v>195</v>
      </c>
      <c r="M168" s="7" t="s">
        <v>29</v>
      </c>
      <c r="N168" s="7" t="s">
        <v>29</v>
      </c>
      <c r="O168" s="7" t="s">
        <v>29</v>
      </c>
      <c r="P168" s="7" t="s">
        <v>29</v>
      </c>
      <c r="Q168" s="7" t="s">
        <v>29</v>
      </c>
      <c r="R168" s="7" t="s">
        <v>29</v>
      </c>
      <c r="S168" s="7" t="s">
        <v>29</v>
      </c>
    </row>
    <row r="169" spans="2:19">
      <c r="B169" s="7" t="s">
        <v>195</v>
      </c>
      <c r="C169" s="8" t="s">
        <v>195</v>
      </c>
      <c r="D169" s="6" t="str">
        <f>LRTRIM(CONCATENATE(IF(SUMPRODUCT(-- ISNUMBER(SEARCH({"Auto Number"}, $B169))) &gt; 0, $B169, IF(SUMPRODUCT(-- ISNUMBER(SEARCH({"Lookup","Master-Detail"}, $B169))) &gt; 0,$B169 &amp; "(" &amp; $E169 &amp; ")",IF(SUMPRODUCT(-- ISNUMBER(SEARCH({"Formula","Roll-Up Summary"}, $B169))) &gt; 0,$B169 &amp; " (" &amp; $E169 &amp; ")",IF(SUMPRODUCT(-- ISNUMBER(SEARCH({"Content","Currency","Number","Percent","Text","URL"}, $B169))) &gt; 0,$B169 &amp; "(" &amp; $C169 &amp; ")",$B169)))), "  ", TRIM(IF($S169 = "YES", "(External ID)", "") &amp; " " &amp; IF(SUMPRODUCT(-- ISNUMBER(SEARCH({"Unique","Unique Case Insensitive"}, $R169))) &gt; 0, "(" &amp; $R169 &amp; ")", ""))))</f>
        <v>na</v>
      </c>
      <c r="E169" s="7" t="s">
        <v>195</v>
      </c>
      <c r="F169" s="7" t="s">
        <v>195</v>
      </c>
      <c r="G169" s="7" t="s">
        <v>195</v>
      </c>
      <c r="H169" s="7" t="s">
        <v>195</v>
      </c>
      <c r="I169" s="7" t="s">
        <v>195</v>
      </c>
      <c r="J169" s="7" t="s">
        <v>195</v>
      </c>
      <c r="K169" s="7" t="s">
        <v>195</v>
      </c>
      <c r="L169" s="7" t="s">
        <v>195</v>
      </c>
      <c r="M169" s="7" t="s">
        <v>29</v>
      </c>
      <c r="N169" s="7" t="s">
        <v>29</v>
      </c>
      <c r="O169" s="7" t="s">
        <v>29</v>
      </c>
      <c r="P169" s="7" t="s">
        <v>29</v>
      </c>
      <c r="Q169" s="7" t="s">
        <v>29</v>
      </c>
      <c r="R169" s="7" t="s">
        <v>29</v>
      </c>
      <c r="S169" s="7" t="s">
        <v>29</v>
      </c>
    </row>
    <row r="170" spans="2:19">
      <c r="B170" s="7" t="s">
        <v>195</v>
      </c>
      <c r="C170" s="8" t="s">
        <v>195</v>
      </c>
      <c r="D170" s="6" t="str">
        <f>LRTRIM(CONCATENATE(IF(SUMPRODUCT(-- ISNUMBER(SEARCH({"Auto Number"}, $B170))) &gt; 0, $B170, IF(SUMPRODUCT(-- ISNUMBER(SEARCH({"Lookup","Master-Detail"}, $B170))) &gt; 0,$B170 &amp; "(" &amp; $E170 &amp; ")",IF(SUMPRODUCT(-- ISNUMBER(SEARCH({"Formula","Roll-Up Summary"}, $B170))) &gt; 0,$B170 &amp; " (" &amp; $E170 &amp; ")",IF(SUMPRODUCT(-- ISNUMBER(SEARCH({"Content","Currency","Number","Percent","Text","URL"}, $B170))) &gt; 0,$B170 &amp; "(" &amp; $C170 &amp; ")",$B170)))), "  ", TRIM(IF($S170 = "YES", "(External ID)", "") &amp; " " &amp; IF(SUMPRODUCT(-- ISNUMBER(SEARCH({"Unique","Unique Case Insensitive"}, $R170))) &gt; 0, "(" &amp; $R170 &amp; ")", ""))))</f>
        <v>na</v>
      </c>
      <c r="E170" s="7" t="s">
        <v>195</v>
      </c>
      <c r="F170" s="7" t="s">
        <v>195</v>
      </c>
      <c r="G170" s="7" t="s">
        <v>195</v>
      </c>
      <c r="H170" s="7" t="s">
        <v>195</v>
      </c>
      <c r="I170" s="7" t="s">
        <v>195</v>
      </c>
      <c r="J170" s="7" t="s">
        <v>195</v>
      </c>
      <c r="K170" s="7" t="s">
        <v>195</v>
      </c>
      <c r="L170" s="7" t="s">
        <v>195</v>
      </c>
      <c r="M170" s="7" t="s">
        <v>29</v>
      </c>
      <c r="N170" s="7" t="s">
        <v>29</v>
      </c>
      <c r="O170" s="7" t="s">
        <v>29</v>
      </c>
      <c r="P170" s="7" t="s">
        <v>29</v>
      </c>
      <c r="Q170" s="7" t="s">
        <v>29</v>
      </c>
      <c r="R170" s="7" t="s">
        <v>29</v>
      </c>
      <c r="S170" s="7" t="s">
        <v>29</v>
      </c>
    </row>
    <row r="171" spans="2:19">
      <c r="B171" s="7" t="s">
        <v>195</v>
      </c>
      <c r="C171" s="8" t="s">
        <v>195</v>
      </c>
      <c r="D171" s="6" t="str">
        <f>LRTRIM(CONCATENATE(IF(SUMPRODUCT(-- ISNUMBER(SEARCH({"Auto Number"}, $B171))) &gt; 0, $B171, IF(SUMPRODUCT(-- ISNUMBER(SEARCH({"Lookup","Master-Detail"}, $B171))) &gt; 0,$B171 &amp; "(" &amp; $E171 &amp; ")",IF(SUMPRODUCT(-- ISNUMBER(SEARCH({"Formula","Roll-Up Summary"}, $B171))) &gt; 0,$B171 &amp; " (" &amp; $E171 &amp; ")",IF(SUMPRODUCT(-- ISNUMBER(SEARCH({"Content","Currency","Number","Percent","Text","URL"}, $B171))) &gt; 0,$B171 &amp; "(" &amp; $C171 &amp; ")",$B171)))), "  ", TRIM(IF($S171 = "YES", "(External ID)", "") &amp; " " &amp; IF(SUMPRODUCT(-- ISNUMBER(SEARCH({"Unique","Unique Case Insensitive"}, $R171))) &gt; 0, "(" &amp; $R171 &amp; ")", ""))))</f>
        <v>na</v>
      </c>
      <c r="E171" s="7" t="s">
        <v>195</v>
      </c>
      <c r="F171" s="7" t="s">
        <v>195</v>
      </c>
      <c r="G171" s="7" t="s">
        <v>195</v>
      </c>
      <c r="H171" s="7" t="s">
        <v>195</v>
      </c>
      <c r="I171" s="7" t="s">
        <v>195</v>
      </c>
      <c r="J171" s="7" t="s">
        <v>195</v>
      </c>
      <c r="K171" s="7" t="s">
        <v>195</v>
      </c>
      <c r="L171" s="7" t="s">
        <v>195</v>
      </c>
      <c r="M171" s="7" t="s">
        <v>29</v>
      </c>
      <c r="N171" s="7" t="s">
        <v>29</v>
      </c>
      <c r="O171" s="7" t="s">
        <v>29</v>
      </c>
      <c r="P171" s="7" t="s">
        <v>29</v>
      </c>
      <c r="Q171" s="7" t="s">
        <v>29</v>
      </c>
      <c r="R171" s="7" t="s">
        <v>29</v>
      </c>
      <c r="S171" s="7" t="s">
        <v>29</v>
      </c>
    </row>
    <row r="172" spans="2:19">
      <c r="B172" s="7" t="s">
        <v>195</v>
      </c>
      <c r="C172" s="8" t="s">
        <v>195</v>
      </c>
      <c r="D172" s="6" t="str">
        <f>LRTRIM(CONCATENATE(IF(SUMPRODUCT(-- ISNUMBER(SEARCH({"Auto Number"}, $B172))) &gt; 0, $B172, IF(SUMPRODUCT(-- ISNUMBER(SEARCH({"Lookup","Master-Detail"}, $B172))) &gt; 0,$B172 &amp; "(" &amp; $E172 &amp; ")",IF(SUMPRODUCT(-- ISNUMBER(SEARCH({"Formula","Roll-Up Summary"}, $B172))) &gt; 0,$B172 &amp; " (" &amp; $E172 &amp; ")",IF(SUMPRODUCT(-- ISNUMBER(SEARCH({"Content","Currency","Number","Percent","Text","URL"}, $B172))) &gt; 0,$B172 &amp; "(" &amp; $C172 &amp; ")",$B172)))), "  ", TRIM(IF($S172 = "YES", "(External ID)", "") &amp; " " &amp; IF(SUMPRODUCT(-- ISNUMBER(SEARCH({"Unique","Unique Case Insensitive"}, $R172))) &gt; 0, "(" &amp; $R172 &amp; ")", ""))))</f>
        <v>na</v>
      </c>
      <c r="E172" s="7" t="s">
        <v>195</v>
      </c>
      <c r="F172" s="7" t="s">
        <v>195</v>
      </c>
      <c r="G172" s="7" t="s">
        <v>195</v>
      </c>
      <c r="H172" s="7" t="s">
        <v>195</v>
      </c>
      <c r="I172" s="7" t="s">
        <v>195</v>
      </c>
      <c r="J172" s="7" t="s">
        <v>195</v>
      </c>
      <c r="K172" s="7" t="s">
        <v>195</v>
      </c>
      <c r="L172" s="7" t="s">
        <v>195</v>
      </c>
      <c r="M172" s="7" t="s">
        <v>29</v>
      </c>
      <c r="N172" s="7" t="s">
        <v>29</v>
      </c>
      <c r="O172" s="7" t="s">
        <v>29</v>
      </c>
      <c r="P172" s="7" t="s">
        <v>29</v>
      </c>
      <c r="Q172" s="7" t="s">
        <v>29</v>
      </c>
      <c r="R172" s="7" t="s">
        <v>29</v>
      </c>
      <c r="S172" s="7" t="s">
        <v>29</v>
      </c>
    </row>
    <row r="173" spans="2:19">
      <c r="B173" s="7" t="s">
        <v>195</v>
      </c>
      <c r="C173" s="8" t="s">
        <v>195</v>
      </c>
      <c r="D173" s="6" t="str">
        <f>LRTRIM(CONCATENATE(IF(SUMPRODUCT(-- ISNUMBER(SEARCH({"Auto Number"}, $B173))) &gt; 0, $B173, IF(SUMPRODUCT(-- ISNUMBER(SEARCH({"Lookup","Master-Detail"}, $B173))) &gt; 0,$B173 &amp; "(" &amp; $E173 &amp; ")",IF(SUMPRODUCT(-- ISNUMBER(SEARCH({"Formula","Roll-Up Summary"}, $B173))) &gt; 0,$B173 &amp; " (" &amp; $E173 &amp; ")",IF(SUMPRODUCT(-- ISNUMBER(SEARCH({"Content","Currency","Number","Percent","Text","URL"}, $B173))) &gt; 0,$B173 &amp; "(" &amp; $C173 &amp; ")",$B173)))), "  ", TRIM(IF($S173 = "YES", "(External ID)", "") &amp; " " &amp; IF(SUMPRODUCT(-- ISNUMBER(SEARCH({"Unique","Unique Case Insensitive"}, $R173))) &gt; 0, "(" &amp; $R173 &amp; ")", ""))))</f>
        <v>na</v>
      </c>
      <c r="E173" s="7" t="s">
        <v>195</v>
      </c>
      <c r="F173" s="7" t="s">
        <v>195</v>
      </c>
      <c r="G173" s="7" t="s">
        <v>195</v>
      </c>
      <c r="H173" s="7" t="s">
        <v>195</v>
      </c>
      <c r="I173" s="7" t="s">
        <v>195</v>
      </c>
      <c r="J173" s="7" t="s">
        <v>195</v>
      </c>
      <c r="K173" s="7" t="s">
        <v>195</v>
      </c>
      <c r="L173" s="7" t="s">
        <v>195</v>
      </c>
      <c r="M173" s="7" t="s">
        <v>29</v>
      </c>
      <c r="N173" s="7" t="s">
        <v>29</v>
      </c>
      <c r="O173" s="7" t="s">
        <v>29</v>
      </c>
      <c r="P173" s="7" t="s">
        <v>29</v>
      </c>
      <c r="Q173" s="7" t="s">
        <v>29</v>
      </c>
      <c r="R173" s="7" t="s">
        <v>29</v>
      </c>
      <c r="S173" s="7" t="s">
        <v>29</v>
      </c>
    </row>
    <row r="174" spans="2:19">
      <c r="B174" s="7" t="s">
        <v>195</v>
      </c>
      <c r="C174" s="8" t="s">
        <v>195</v>
      </c>
      <c r="D174" s="6" t="str">
        <f>LRTRIM(CONCATENATE(IF(SUMPRODUCT(-- ISNUMBER(SEARCH({"Auto Number"}, $B174))) &gt; 0, $B174, IF(SUMPRODUCT(-- ISNUMBER(SEARCH({"Lookup","Master-Detail"}, $B174))) &gt; 0,$B174 &amp; "(" &amp; $E174 &amp; ")",IF(SUMPRODUCT(-- ISNUMBER(SEARCH({"Formula","Roll-Up Summary"}, $B174))) &gt; 0,$B174 &amp; " (" &amp; $E174 &amp; ")",IF(SUMPRODUCT(-- ISNUMBER(SEARCH({"Content","Currency","Number","Percent","Text","URL"}, $B174))) &gt; 0,$B174 &amp; "(" &amp; $C174 &amp; ")",$B174)))), "  ", TRIM(IF($S174 = "YES", "(External ID)", "") &amp; " " &amp; IF(SUMPRODUCT(-- ISNUMBER(SEARCH({"Unique","Unique Case Insensitive"}, $R174))) &gt; 0, "(" &amp; $R174 &amp; ")", ""))))</f>
        <v>na</v>
      </c>
      <c r="E174" s="7" t="s">
        <v>195</v>
      </c>
      <c r="F174" s="7" t="s">
        <v>195</v>
      </c>
      <c r="G174" s="7" t="s">
        <v>195</v>
      </c>
      <c r="H174" s="7" t="s">
        <v>195</v>
      </c>
      <c r="I174" s="7" t="s">
        <v>195</v>
      </c>
      <c r="J174" s="7" t="s">
        <v>195</v>
      </c>
      <c r="K174" s="7" t="s">
        <v>195</v>
      </c>
      <c r="L174" s="7" t="s">
        <v>195</v>
      </c>
      <c r="M174" s="7" t="s">
        <v>29</v>
      </c>
      <c r="N174" s="7" t="s">
        <v>29</v>
      </c>
      <c r="O174" s="7" t="s">
        <v>29</v>
      </c>
      <c r="P174" s="7" t="s">
        <v>29</v>
      </c>
      <c r="Q174" s="7" t="s">
        <v>29</v>
      </c>
      <c r="R174" s="7" t="s">
        <v>29</v>
      </c>
      <c r="S174" s="7" t="s">
        <v>29</v>
      </c>
    </row>
    <row r="175" spans="2:19">
      <c r="B175" s="7" t="s">
        <v>195</v>
      </c>
      <c r="C175" s="8" t="s">
        <v>195</v>
      </c>
      <c r="D175" s="6" t="str">
        <f>LRTRIM(CONCATENATE(IF(SUMPRODUCT(-- ISNUMBER(SEARCH({"Auto Number"}, $B175))) &gt; 0, $B175, IF(SUMPRODUCT(-- ISNUMBER(SEARCH({"Lookup","Master-Detail"}, $B175))) &gt; 0,$B175 &amp; "(" &amp; $E175 &amp; ")",IF(SUMPRODUCT(-- ISNUMBER(SEARCH({"Formula","Roll-Up Summary"}, $B175))) &gt; 0,$B175 &amp; " (" &amp; $E175 &amp; ")",IF(SUMPRODUCT(-- ISNUMBER(SEARCH({"Content","Currency","Number","Percent","Text","URL"}, $B175))) &gt; 0,$B175 &amp; "(" &amp; $C175 &amp; ")",$B175)))), "  ", TRIM(IF($S175 = "YES", "(External ID)", "") &amp; " " &amp; IF(SUMPRODUCT(-- ISNUMBER(SEARCH({"Unique","Unique Case Insensitive"}, $R175))) &gt; 0, "(" &amp; $R175 &amp; ")", ""))))</f>
        <v>na</v>
      </c>
      <c r="E175" s="7" t="s">
        <v>195</v>
      </c>
      <c r="F175" s="7" t="s">
        <v>195</v>
      </c>
      <c r="G175" s="7" t="s">
        <v>195</v>
      </c>
      <c r="H175" s="7" t="s">
        <v>195</v>
      </c>
      <c r="I175" s="7" t="s">
        <v>195</v>
      </c>
      <c r="J175" s="7" t="s">
        <v>195</v>
      </c>
      <c r="K175" s="7" t="s">
        <v>195</v>
      </c>
      <c r="L175" s="7" t="s">
        <v>195</v>
      </c>
      <c r="M175" s="7" t="s">
        <v>29</v>
      </c>
      <c r="N175" s="7" t="s">
        <v>29</v>
      </c>
      <c r="O175" s="7" t="s">
        <v>29</v>
      </c>
      <c r="P175" s="7" t="s">
        <v>29</v>
      </c>
      <c r="Q175" s="7" t="s">
        <v>29</v>
      </c>
      <c r="R175" s="7" t="s">
        <v>29</v>
      </c>
      <c r="S175" s="7" t="s">
        <v>29</v>
      </c>
    </row>
    <row r="176" spans="2:19">
      <c r="B176" s="7" t="s">
        <v>195</v>
      </c>
      <c r="C176" s="8" t="s">
        <v>195</v>
      </c>
      <c r="D176" s="6" t="str">
        <f>LRTRIM(CONCATENATE(IF(SUMPRODUCT(-- ISNUMBER(SEARCH({"Auto Number"}, $B176))) &gt; 0, $B176, IF(SUMPRODUCT(-- ISNUMBER(SEARCH({"Lookup","Master-Detail"}, $B176))) &gt; 0,$B176 &amp; "(" &amp; $E176 &amp; ")",IF(SUMPRODUCT(-- ISNUMBER(SEARCH({"Formula","Roll-Up Summary"}, $B176))) &gt; 0,$B176 &amp; " (" &amp; $E176 &amp; ")",IF(SUMPRODUCT(-- ISNUMBER(SEARCH({"Content","Currency","Number","Percent","Text","URL"}, $B176))) &gt; 0,$B176 &amp; "(" &amp; $C176 &amp; ")",$B176)))), "  ", TRIM(IF($S176 = "YES", "(External ID)", "") &amp; " " &amp; IF(SUMPRODUCT(-- ISNUMBER(SEARCH({"Unique","Unique Case Insensitive"}, $R176))) &gt; 0, "(" &amp; $R176 &amp; ")", ""))))</f>
        <v>na</v>
      </c>
      <c r="E176" s="7" t="s">
        <v>195</v>
      </c>
      <c r="F176" s="7" t="s">
        <v>195</v>
      </c>
      <c r="G176" s="7" t="s">
        <v>195</v>
      </c>
      <c r="H176" s="7" t="s">
        <v>195</v>
      </c>
      <c r="I176" s="7" t="s">
        <v>195</v>
      </c>
      <c r="J176" s="7" t="s">
        <v>195</v>
      </c>
      <c r="K176" s="7" t="s">
        <v>195</v>
      </c>
      <c r="L176" s="7" t="s">
        <v>195</v>
      </c>
      <c r="M176" s="7" t="s">
        <v>29</v>
      </c>
      <c r="N176" s="7" t="s">
        <v>29</v>
      </c>
      <c r="O176" s="7" t="s">
        <v>29</v>
      </c>
      <c r="P176" s="7" t="s">
        <v>29</v>
      </c>
      <c r="Q176" s="7" t="s">
        <v>29</v>
      </c>
      <c r="R176" s="7" t="s">
        <v>29</v>
      </c>
      <c r="S176" s="7" t="s">
        <v>29</v>
      </c>
    </row>
    <row r="177" spans="2:19">
      <c r="B177" s="7" t="s">
        <v>195</v>
      </c>
      <c r="C177" s="8" t="s">
        <v>195</v>
      </c>
      <c r="D177" s="6" t="str">
        <f>LRTRIM(CONCATENATE(IF(SUMPRODUCT(-- ISNUMBER(SEARCH({"Auto Number"}, $B177))) &gt; 0, $B177, IF(SUMPRODUCT(-- ISNUMBER(SEARCH({"Lookup","Master-Detail"}, $B177))) &gt; 0,$B177 &amp; "(" &amp; $E177 &amp; ")",IF(SUMPRODUCT(-- ISNUMBER(SEARCH({"Formula","Roll-Up Summary"}, $B177))) &gt; 0,$B177 &amp; " (" &amp; $E177 &amp; ")",IF(SUMPRODUCT(-- ISNUMBER(SEARCH({"Content","Currency","Number","Percent","Text","URL"}, $B177))) &gt; 0,$B177 &amp; "(" &amp; $C177 &amp; ")",$B177)))), "  ", TRIM(IF($S177 = "YES", "(External ID)", "") &amp; " " &amp; IF(SUMPRODUCT(-- ISNUMBER(SEARCH({"Unique","Unique Case Insensitive"}, $R177))) &gt; 0, "(" &amp; $R177 &amp; ")", ""))))</f>
        <v>na</v>
      </c>
      <c r="E177" s="7" t="s">
        <v>195</v>
      </c>
      <c r="F177" s="7" t="s">
        <v>195</v>
      </c>
      <c r="G177" s="7" t="s">
        <v>195</v>
      </c>
      <c r="H177" s="7" t="s">
        <v>195</v>
      </c>
      <c r="I177" s="7" t="s">
        <v>195</v>
      </c>
      <c r="J177" s="7" t="s">
        <v>195</v>
      </c>
      <c r="K177" s="7" t="s">
        <v>195</v>
      </c>
      <c r="L177" s="7" t="s">
        <v>195</v>
      </c>
      <c r="M177" s="7" t="s">
        <v>29</v>
      </c>
      <c r="N177" s="7" t="s">
        <v>29</v>
      </c>
      <c r="O177" s="7" t="s">
        <v>29</v>
      </c>
      <c r="P177" s="7" t="s">
        <v>29</v>
      </c>
      <c r="Q177" s="7" t="s">
        <v>29</v>
      </c>
      <c r="R177" s="7" t="s">
        <v>29</v>
      </c>
      <c r="S177" s="7" t="s">
        <v>29</v>
      </c>
    </row>
    <row r="178" spans="2:19">
      <c r="B178" s="7" t="s">
        <v>195</v>
      </c>
      <c r="C178" s="8" t="s">
        <v>195</v>
      </c>
      <c r="D178" s="6" t="str">
        <f>LRTRIM(CONCATENATE(IF(SUMPRODUCT(-- ISNUMBER(SEARCH({"Auto Number"}, $B178))) &gt; 0, $B178, IF(SUMPRODUCT(-- ISNUMBER(SEARCH({"Lookup","Master-Detail"}, $B178))) &gt; 0,$B178 &amp; "(" &amp; $E178 &amp; ")",IF(SUMPRODUCT(-- ISNUMBER(SEARCH({"Formula","Roll-Up Summary"}, $B178))) &gt; 0,$B178 &amp; " (" &amp; $E178 &amp; ")",IF(SUMPRODUCT(-- ISNUMBER(SEARCH({"Content","Currency","Number","Percent","Text","URL"}, $B178))) &gt; 0,$B178 &amp; "(" &amp; $C178 &amp; ")",$B178)))), "  ", TRIM(IF($S178 = "YES", "(External ID)", "") &amp; " " &amp; IF(SUMPRODUCT(-- ISNUMBER(SEARCH({"Unique","Unique Case Insensitive"}, $R178))) &gt; 0, "(" &amp; $R178 &amp; ")", ""))))</f>
        <v>na</v>
      </c>
      <c r="E178" s="7" t="s">
        <v>195</v>
      </c>
      <c r="F178" s="7" t="s">
        <v>195</v>
      </c>
      <c r="G178" s="7" t="s">
        <v>195</v>
      </c>
      <c r="H178" s="7" t="s">
        <v>195</v>
      </c>
      <c r="I178" s="7" t="s">
        <v>195</v>
      </c>
      <c r="J178" s="7" t="s">
        <v>195</v>
      </c>
      <c r="K178" s="7" t="s">
        <v>195</v>
      </c>
      <c r="L178" s="7" t="s">
        <v>195</v>
      </c>
      <c r="M178" s="7" t="s">
        <v>29</v>
      </c>
      <c r="N178" s="7" t="s">
        <v>29</v>
      </c>
      <c r="O178" s="7" t="s">
        <v>29</v>
      </c>
      <c r="P178" s="7" t="s">
        <v>29</v>
      </c>
      <c r="Q178" s="7" t="s">
        <v>29</v>
      </c>
      <c r="R178" s="7" t="s">
        <v>29</v>
      </c>
      <c r="S178" s="7" t="s">
        <v>29</v>
      </c>
    </row>
    <row r="179" spans="2:19">
      <c r="B179" s="7" t="s">
        <v>195</v>
      </c>
      <c r="C179" s="8" t="s">
        <v>195</v>
      </c>
      <c r="D179" s="6" t="str">
        <f>LRTRIM(CONCATENATE(IF(SUMPRODUCT(-- ISNUMBER(SEARCH({"Auto Number"}, $B179))) &gt; 0, $B179, IF(SUMPRODUCT(-- ISNUMBER(SEARCH({"Lookup","Master-Detail"}, $B179))) &gt; 0,$B179 &amp; "(" &amp; $E179 &amp; ")",IF(SUMPRODUCT(-- ISNUMBER(SEARCH({"Formula","Roll-Up Summary"}, $B179))) &gt; 0,$B179 &amp; " (" &amp; $E179 &amp; ")",IF(SUMPRODUCT(-- ISNUMBER(SEARCH({"Content","Currency","Number","Percent","Text","URL"}, $B179))) &gt; 0,$B179 &amp; "(" &amp; $C179 &amp; ")",$B179)))), "  ", TRIM(IF($S179 = "YES", "(External ID)", "") &amp; " " &amp; IF(SUMPRODUCT(-- ISNUMBER(SEARCH({"Unique","Unique Case Insensitive"}, $R179))) &gt; 0, "(" &amp; $R179 &amp; ")", ""))))</f>
        <v>na</v>
      </c>
      <c r="E179" s="7" t="s">
        <v>195</v>
      </c>
      <c r="F179" s="7" t="s">
        <v>195</v>
      </c>
      <c r="G179" s="7" t="s">
        <v>195</v>
      </c>
      <c r="H179" s="7" t="s">
        <v>195</v>
      </c>
      <c r="I179" s="7" t="s">
        <v>195</v>
      </c>
      <c r="J179" s="7" t="s">
        <v>195</v>
      </c>
      <c r="K179" s="7" t="s">
        <v>195</v>
      </c>
      <c r="L179" s="7" t="s">
        <v>195</v>
      </c>
      <c r="M179" s="7" t="s">
        <v>29</v>
      </c>
      <c r="N179" s="7" t="s">
        <v>29</v>
      </c>
      <c r="O179" s="7" t="s">
        <v>29</v>
      </c>
      <c r="P179" s="7" t="s">
        <v>29</v>
      </c>
      <c r="Q179" s="7" t="s">
        <v>29</v>
      </c>
      <c r="R179" s="7" t="s">
        <v>29</v>
      </c>
      <c r="S179" s="7" t="s">
        <v>29</v>
      </c>
    </row>
    <row r="180" spans="2:19">
      <c r="B180" s="7" t="s">
        <v>195</v>
      </c>
      <c r="C180" s="8" t="s">
        <v>195</v>
      </c>
      <c r="D180" s="6" t="str">
        <f>LRTRIM(CONCATENATE(IF(SUMPRODUCT(-- ISNUMBER(SEARCH({"Auto Number"}, $B180))) &gt; 0, $B180, IF(SUMPRODUCT(-- ISNUMBER(SEARCH({"Lookup","Master-Detail"}, $B180))) &gt; 0,$B180 &amp; "(" &amp; $E180 &amp; ")",IF(SUMPRODUCT(-- ISNUMBER(SEARCH({"Formula","Roll-Up Summary"}, $B180))) &gt; 0,$B180 &amp; " (" &amp; $E180 &amp; ")",IF(SUMPRODUCT(-- ISNUMBER(SEARCH({"Content","Currency","Number","Percent","Text","URL"}, $B180))) &gt; 0,$B180 &amp; "(" &amp; $C180 &amp; ")",$B180)))), "  ", TRIM(IF($S180 = "YES", "(External ID)", "") &amp; " " &amp; IF(SUMPRODUCT(-- ISNUMBER(SEARCH({"Unique","Unique Case Insensitive"}, $R180))) &gt; 0, "(" &amp; $R180 &amp; ")", ""))))</f>
        <v>na</v>
      </c>
      <c r="E180" s="7" t="s">
        <v>195</v>
      </c>
      <c r="F180" s="7" t="s">
        <v>195</v>
      </c>
      <c r="G180" s="7" t="s">
        <v>195</v>
      </c>
      <c r="H180" s="7" t="s">
        <v>195</v>
      </c>
      <c r="I180" s="7" t="s">
        <v>195</v>
      </c>
      <c r="J180" s="7" t="s">
        <v>195</v>
      </c>
      <c r="K180" s="7" t="s">
        <v>195</v>
      </c>
      <c r="L180" s="7" t="s">
        <v>195</v>
      </c>
      <c r="M180" s="7" t="s">
        <v>29</v>
      </c>
      <c r="N180" s="7" t="s">
        <v>29</v>
      </c>
      <c r="O180" s="7" t="s">
        <v>29</v>
      </c>
      <c r="P180" s="7" t="s">
        <v>29</v>
      </c>
      <c r="Q180" s="7" t="s">
        <v>29</v>
      </c>
      <c r="R180" s="7" t="s">
        <v>29</v>
      </c>
      <c r="S180" s="7" t="s">
        <v>29</v>
      </c>
    </row>
    <row r="181" spans="2:19">
      <c r="B181" s="7" t="s">
        <v>195</v>
      </c>
      <c r="C181" s="8" t="s">
        <v>195</v>
      </c>
      <c r="D181" s="6" t="str">
        <f>LRTRIM(CONCATENATE(IF(SUMPRODUCT(-- ISNUMBER(SEARCH({"Auto Number"}, $B181))) &gt; 0, $B181, IF(SUMPRODUCT(-- ISNUMBER(SEARCH({"Lookup","Master-Detail"}, $B181))) &gt; 0,$B181 &amp; "(" &amp; $E181 &amp; ")",IF(SUMPRODUCT(-- ISNUMBER(SEARCH({"Formula","Roll-Up Summary"}, $B181))) &gt; 0,$B181 &amp; " (" &amp; $E181 &amp; ")",IF(SUMPRODUCT(-- ISNUMBER(SEARCH({"Content","Currency","Number","Percent","Text","URL"}, $B181))) &gt; 0,$B181 &amp; "(" &amp; $C181 &amp; ")",$B181)))), "  ", TRIM(IF($S181 = "YES", "(External ID)", "") &amp; " " &amp; IF(SUMPRODUCT(-- ISNUMBER(SEARCH({"Unique","Unique Case Insensitive"}, $R181))) &gt; 0, "(" &amp; $R181 &amp; ")", ""))))</f>
        <v>na</v>
      </c>
      <c r="E181" s="7" t="s">
        <v>195</v>
      </c>
      <c r="F181" s="7" t="s">
        <v>195</v>
      </c>
      <c r="G181" s="7" t="s">
        <v>195</v>
      </c>
      <c r="H181" s="7" t="s">
        <v>195</v>
      </c>
      <c r="I181" s="7" t="s">
        <v>195</v>
      </c>
      <c r="J181" s="7" t="s">
        <v>195</v>
      </c>
      <c r="K181" s="7" t="s">
        <v>195</v>
      </c>
      <c r="L181" s="7" t="s">
        <v>195</v>
      </c>
      <c r="M181" s="7" t="s">
        <v>29</v>
      </c>
      <c r="N181" s="7" t="s">
        <v>29</v>
      </c>
      <c r="O181" s="7" t="s">
        <v>29</v>
      </c>
      <c r="P181" s="7" t="s">
        <v>29</v>
      </c>
      <c r="Q181" s="7" t="s">
        <v>29</v>
      </c>
      <c r="R181" s="7" t="s">
        <v>29</v>
      </c>
      <c r="S181" s="7" t="s">
        <v>29</v>
      </c>
    </row>
    <row r="182" spans="2:19">
      <c r="B182" s="7" t="s">
        <v>195</v>
      </c>
      <c r="C182" s="8" t="s">
        <v>195</v>
      </c>
      <c r="D182" s="6" t="str">
        <f>LRTRIM(CONCATENATE(IF(SUMPRODUCT(-- ISNUMBER(SEARCH({"Auto Number"}, $B182))) &gt; 0, $B182, IF(SUMPRODUCT(-- ISNUMBER(SEARCH({"Lookup","Master-Detail"}, $B182))) &gt; 0,$B182 &amp; "(" &amp; $E182 &amp; ")",IF(SUMPRODUCT(-- ISNUMBER(SEARCH({"Formula","Roll-Up Summary"}, $B182))) &gt; 0,$B182 &amp; " (" &amp; $E182 &amp; ")",IF(SUMPRODUCT(-- ISNUMBER(SEARCH({"Content","Currency","Number","Percent","Text","URL"}, $B182))) &gt; 0,$B182 &amp; "(" &amp; $C182 &amp; ")",$B182)))), "  ", TRIM(IF($S182 = "YES", "(External ID)", "") &amp; " " &amp; IF(SUMPRODUCT(-- ISNUMBER(SEARCH({"Unique","Unique Case Insensitive"}, $R182))) &gt; 0, "(" &amp; $R182 &amp; ")", ""))))</f>
        <v>na</v>
      </c>
      <c r="E182" s="7" t="s">
        <v>195</v>
      </c>
      <c r="F182" s="7" t="s">
        <v>195</v>
      </c>
      <c r="G182" s="7" t="s">
        <v>195</v>
      </c>
      <c r="H182" s="7" t="s">
        <v>195</v>
      </c>
      <c r="I182" s="7" t="s">
        <v>195</v>
      </c>
      <c r="J182" s="7" t="s">
        <v>195</v>
      </c>
      <c r="K182" s="7" t="s">
        <v>195</v>
      </c>
      <c r="L182" s="7" t="s">
        <v>195</v>
      </c>
      <c r="M182" s="7" t="s">
        <v>29</v>
      </c>
      <c r="N182" s="7" t="s">
        <v>29</v>
      </c>
      <c r="O182" s="7" t="s">
        <v>29</v>
      </c>
      <c r="P182" s="7" t="s">
        <v>29</v>
      </c>
      <c r="Q182" s="7" t="s">
        <v>29</v>
      </c>
      <c r="R182" s="7" t="s">
        <v>29</v>
      </c>
      <c r="S182" s="7" t="s">
        <v>29</v>
      </c>
    </row>
    <row r="183" spans="2:19">
      <c r="B183" s="7" t="s">
        <v>195</v>
      </c>
      <c r="C183" s="8" t="s">
        <v>195</v>
      </c>
      <c r="D183" s="6" t="str">
        <f>LRTRIM(CONCATENATE(IF(SUMPRODUCT(-- ISNUMBER(SEARCH({"Auto Number"}, $B183))) &gt; 0, $B183, IF(SUMPRODUCT(-- ISNUMBER(SEARCH({"Lookup","Master-Detail"}, $B183))) &gt; 0,$B183 &amp; "(" &amp; $E183 &amp; ")",IF(SUMPRODUCT(-- ISNUMBER(SEARCH({"Formula","Roll-Up Summary"}, $B183))) &gt; 0,$B183 &amp; " (" &amp; $E183 &amp; ")",IF(SUMPRODUCT(-- ISNUMBER(SEARCH({"Content","Currency","Number","Percent","Text","URL"}, $B183))) &gt; 0,$B183 &amp; "(" &amp; $C183 &amp; ")",$B183)))), "  ", TRIM(IF($S183 = "YES", "(External ID)", "") &amp; " " &amp; IF(SUMPRODUCT(-- ISNUMBER(SEARCH({"Unique","Unique Case Insensitive"}, $R183))) &gt; 0, "(" &amp; $R183 &amp; ")", ""))))</f>
        <v>na</v>
      </c>
      <c r="E183" s="7" t="s">
        <v>195</v>
      </c>
      <c r="F183" s="7" t="s">
        <v>195</v>
      </c>
      <c r="G183" s="7" t="s">
        <v>195</v>
      </c>
      <c r="H183" s="7" t="s">
        <v>195</v>
      </c>
      <c r="I183" s="7" t="s">
        <v>195</v>
      </c>
      <c r="J183" s="7" t="s">
        <v>195</v>
      </c>
      <c r="K183" s="7" t="s">
        <v>195</v>
      </c>
      <c r="L183" s="7" t="s">
        <v>195</v>
      </c>
      <c r="M183" s="7" t="s">
        <v>29</v>
      </c>
      <c r="N183" s="7" t="s">
        <v>29</v>
      </c>
      <c r="O183" s="7" t="s">
        <v>29</v>
      </c>
      <c r="P183" s="7" t="s">
        <v>29</v>
      </c>
      <c r="Q183" s="7" t="s">
        <v>29</v>
      </c>
      <c r="R183" s="7" t="s">
        <v>29</v>
      </c>
      <c r="S183" s="7" t="s">
        <v>29</v>
      </c>
    </row>
    <row r="184" spans="2:19">
      <c r="B184" s="7" t="s">
        <v>195</v>
      </c>
      <c r="C184" s="8" t="s">
        <v>195</v>
      </c>
      <c r="D184" s="6" t="str">
        <f>LRTRIM(CONCATENATE(IF(SUMPRODUCT(-- ISNUMBER(SEARCH({"Auto Number"}, $B184))) &gt; 0, $B184, IF(SUMPRODUCT(-- ISNUMBER(SEARCH({"Lookup","Master-Detail"}, $B184))) &gt; 0,$B184 &amp; "(" &amp; $E184 &amp; ")",IF(SUMPRODUCT(-- ISNUMBER(SEARCH({"Formula","Roll-Up Summary"}, $B184))) &gt; 0,$B184 &amp; " (" &amp; $E184 &amp; ")",IF(SUMPRODUCT(-- ISNUMBER(SEARCH({"Content","Currency","Number","Percent","Text","URL"}, $B184))) &gt; 0,$B184 &amp; "(" &amp; $C184 &amp; ")",$B184)))), "  ", TRIM(IF($S184 = "YES", "(External ID)", "") &amp; " " &amp; IF(SUMPRODUCT(-- ISNUMBER(SEARCH({"Unique","Unique Case Insensitive"}, $R184))) &gt; 0, "(" &amp; $R184 &amp; ")", ""))))</f>
        <v>na</v>
      </c>
      <c r="E184" s="7" t="s">
        <v>195</v>
      </c>
      <c r="F184" s="7" t="s">
        <v>195</v>
      </c>
      <c r="G184" s="7" t="s">
        <v>195</v>
      </c>
      <c r="H184" s="7" t="s">
        <v>195</v>
      </c>
      <c r="I184" s="7" t="s">
        <v>195</v>
      </c>
      <c r="J184" s="7" t="s">
        <v>195</v>
      </c>
      <c r="K184" s="7" t="s">
        <v>195</v>
      </c>
      <c r="L184" s="7" t="s">
        <v>195</v>
      </c>
      <c r="M184" s="7" t="s">
        <v>29</v>
      </c>
      <c r="N184" s="7" t="s">
        <v>29</v>
      </c>
      <c r="O184" s="7" t="s">
        <v>29</v>
      </c>
      <c r="P184" s="7" t="s">
        <v>29</v>
      </c>
      <c r="Q184" s="7" t="s">
        <v>29</v>
      </c>
      <c r="R184" s="7" t="s">
        <v>29</v>
      </c>
      <c r="S184" s="7" t="s">
        <v>29</v>
      </c>
    </row>
    <row r="185" spans="2:19">
      <c r="B185" s="7" t="s">
        <v>195</v>
      </c>
      <c r="C185" s="8" t="s">
        <v>195</v>
      </c>
      <c r="D185" s="6" t="str">
        <f>LRTRIM(CONCATENATE(IF(SUMPRODUCT(-- ISNUMBER(SEARCH({"Auto Number"}, $B185))) &gt; 0, $B185, IF(SUMPRODUCT(-- ISNUMBER(SEARCH({"Lookup","Master-Detail"}, $B185))) &gt; 0,$B185 &amp; "(" &amp; $E185 &amp; ")",IF(SUMPRODUCT(-- ISNUMBER(SEARCH({"Formula","Roll-Up Summary"}, $B185))) &gt; 0,$B185 &amp; " (" &amp; $E185 &amp; ")",IF(SUMPRODUCT(-- ISNUMBER(SEARCH({"Content","Currency","Number","Percent","Text","URL"}, $B185))) &gt; 0,$B185 &amp; "(" &amp; $C185 &amp; ")",$B185)))), "  ", TRIM(IF($S185 = "YES", "(External ID)", "") &amp; " " &amp; IF(SUMPRODUCT(-- ISNUMBER(SEARCH({"Unique","Unique Case Insensitive"}, $R185))) &gt; 0, "(" &amp; $R185 &amp; ")", ""))))</f>
        <v>na</v>
      </c>
      <c r="E185" s="7" t="s">
        <v>195</v>
      </c>
      <c r="F185" s="7" t="s">
        <v>195</v>
      </c>
      <c r="G185" s="7" t="s">
        <v>195</v>
      </c>
      <c r="H185" s="7" t="s">
        <v>195</v>
      </c>
      <c r="I185" s="7" t="s">
        <v>195</v>
      </c>
      <c r="J185" s="7" t="s">
        <v>195</v>
      </c>
      <c r="K185" s="7" t="s">
        <v>195</v>
      </c>
      <c r="L185" s="7" t="s">
        <v>195</v>
      </c>
      <c r="M185" s="7" t="s">
        <v>29</v>
      </c>
      <c r="N185" s="7" t="s">
        <v>29</v>
      </c>
      <c r="O185" s="7" t="s">
        <v>29</v>
      </c>
      <c r="P185" s="7" t="s">
        <v>29</v>
      </c>
      <c r="Q185" s="7" t="s">
        <v>29</v>
      </c>
      <c r="R185" s="7" t="s">
        <v>29</v>
      </c>
      <c r="S185" s="7" t="s">
        <v>29</v>
      </c>
    </row>
    <row r="186" spans="2:19">
      <c r="B186" s="7" t="s">
        <v>195</v>
      </c>
      <c r="C186" s="8" t="s">
        <v>195</v>
      </c>
      <c r="D186" s="6" t="str">
        <f>LRTRIM(CONCATENATE(IF(SUMPRODUCT(-- ISNUMBER(SEARCH({"Auto Number"}, $B186))) &gt; 0, $B186, IF(SUMPRODUCT(-- ISNUMBER(SEARCH({"Lookup","Master-Detail"}, $B186))) &gt; 0,$B186 &amp; "(" &amp; $E186 &amp; ")",IF(SUMPRODUCT(-- ISNUMBER(SEARCH({"Formula","Roll-Up Summary"}, $B186))) &gt; 0,$B186 &amp; " (" &amp; $E186 &amp; ")",IF(SUMPRODUCT(-- ISNUMBER(SEARCH({"Content","Currency","Number","Percent","Text","URL"}, $B186))) &gt; 0,$B186 &amp; "(" &amp; $C186 &amp; ")",$B186)))), "  ", TRIM(IF($S186 = "YES", "(External ID)", "") &amp; " " &amp; IF(SUMPRODUCT(-- ISNUMBER(SEARCH({"Unique","Unique Case Insensitive"}, $R186))) &gt; 0, "(" &amp; $R186 &amp; ")", ""))))</f>
        <v>na</v>
      </c>
      <c r="E186" s="7" t="s">
        <v>195</v>
      </c>
      <c r="F186" s="7" t="s">
        <v>195</v>
      </c>
      <c r="G186" s="7" t="s">
        <v>195</v>
      </c>
      <c r="H186" s="7" t="s">
        <v>195</v>
      </c>
      <c r="I186" s="7" t="s">
        <v>195</v>
      </c>
      <c r="J186" s="7" t="s">
        <v>195</v>
      </c>
      <c r="K186" s="7" t="s">
        <v>195</v>
      </c>
      <c r="L186" s="7" t="s">
        <v>195</v>
      </c>
      <c r="M186" s="7" t="s">
        <v>29</v>
      </c>
      <c r="N186" s="7" t="s">
        <v>29</v>
      </c>
      <c r="O186" s="7" t="s">
        <v>29</v>
      </c>
      <c r="P186" s="7" t="s">
        <v>29</v>
      </c>
      <c r="Q186" s="7" t="s">
        <v>29</v>
      </c>
      <c r="R186" s="7" t="s">
        <v>29</v>
      </c>
      <c r="S186" s="7" t="s">
        <v>29</v>
      </c>
    </row>
    <row r="187" spans="2:19">
      <c r="B187" s="7" t="s">
        <v>195</v>
      </c>
      <c r="C187" s="8" t="s">
        <v>195</v>
      </c>
      <c r="D187" s="6" t="str">
        <f>LRTRIM(CONCATENATE(IF(SUMPRODUCT(-- ISNUMBER(SEARCH({"Auto Number"}, $B187))) &gt; 0, $B187, IF(SUMPRODUCT(-- ISNUMBER(SEARCH({"Lookup","Master-Detail"}, $B187))) &gt; 0,$B187 &amp; "(" &amp; $E187 &amp; ")",IF(SUMPRODUCT(-- ISNUMBER(SEARCH({"Formula","Roll-Up Summary"}, $B187))) &gt; 0,$B187 &amp; " (" &amp; $E187 &amp; ")",IF(SUMPRODUCT(-- ISNUMBER(SEARCH({"Content","Currency","Number","Percent","Text","URL"}, $B187))) &gt; 0,$B187 &amp; "(" &amp; $C187 &amp; ")",$B187)))), "  ", TRIM(IF($S187 = "YES", "(External ID)", "") &amp; " " &amp; IF(SUMPRODUCT(-- ISNUMBER(SEARCH({"Unique","Unique Case Insensitive"}, $R187))) &gt; 0, "(" &amp; $R187 &amp; ")", ""))))</f>
        <v>na</v>
      </c>
      <c r="E187" s="7" t="s">
        <v>195</v>
      </c>
      <c r="F187" s="7" t="s">
        <v>195</v>
      </c>
      <c r="G187" s="7" t="s">
        <v>195</v>
      </c>
      <c r="H187" s="7" t="s">
        <v>195</v>
      </c>
      <c r="I187" s="7" t="s">
        <v>195</v>
      </c>
      <c r="J187" s="7" t="s">
        <v>195</v>
      </c>
      <c r="K187" s="7" t="s">
        <v>195</v>
      </c>
      <c r="L187" s="7" t="s">
        <v>195</v>
      </c>
      <c r="M187" s="7" t="s">
        <v>29</v>
      </c>
      <c r="N187" s="7" t="s">
        <v>29</v>
      </c>
      <c r="O187" s="7" t="s">
        <v>29</v>
      </c>
      <c r="P187" s="7" t="s">
        <v>29</v>
      </c>
      <c r="Q187" s="7" t="s">
        <v>29</v>
      </c>
      <c r="R187" s="7" t="s">
        <v>29</v>
      </c>
      <c r="S187" s="7" t="s">
        <v>29</v>
      </c>
    </row>
    <row r="188" spans="2:19">
      <c r="B188" s="7" t="s">
        <v>195</v>
      </c>
      <c r="C188" s="8" t="s">
        <v>195</v>
      </c>
      <c r="D188" s="6" t="str">
        <f>LRTRIM(CONCATENATE(IF(SUMPRODUCT(-- ISNUMBER(SEARCH({"Auto Number"}, $B188))) &gt; 0, $B188, IF(SUMPRODUCT(-- ISNUMBER(SEARCH({"Lookup","Master-Detail"}, $B188))) &gt; 0,$B188 &amp; "(" &amp; $E188 &amp; ")",IF(SUMPRODUCT(-- ISNUMBER(SEARCH({"Formula","Roll-Up Summary"}, $B188))) &gt; 0,$B188 &amp; " (" &amp; $E188 &amp; ")",IF(SUMPRODUCT(-- ISNUMBER(SEARCH({"Content","Currency","Number","Percent","Text","URL"}, $B188))) &gt; 0,$B188 &amp; "(" &amp; $C188 &amp; ")",$B188)))), "  ", TRIM(IF($S188 = "YES", "(External ID)", "") &amp; " " &amp; IF(SUMPRODUCT(-- ISNUMBER(SEARCH({"Unique","Unique Case Insensitive"}, $R188))) &gt; 0, "(" &amp; $R188 &amp; ")", ""))))</f>
        <v>na</v>
      </c>
      <c r="E188" s="7" t="s">
        <v>195</v>
      </c>
      <c r="F188" s="7" t="s">
        <v>195</v>
      </c>
      <c r="G188" s="7" t="s">
        <v>195</v>
      </c>
      <c r="H188" s="7" t="s">
        <v>195</v>
      </c>
      <c r="I188" s="7" t="s">
        <v>195</v>
      </c>
      <c r="J188" s="7" t="s">
        <v>195</v>
      </c>
      <c r="K188" s="7" t="s">
        <v>195</v>
      </c>
      <c r="L188" s="7" t="s">
        <v>195</v>
      </c>
      <c r="M188" s="7" t="s">
        <v>29</v>
      </c>
      <c r="N188" s="7" t="s">
        <v>29</v>
      </c>
      <c r="O188" s="7" t="s">
        <v>29</v>
      </c>
      <c r="P188" s="7" t="s">
        <v>29</v>
      </c>
      <c r="Q188" s="7" t="s">
        <v>29</v>
      </c>
      <c r="R188" s="7" t="s">
        <v>29</v>
      </c>
      <c r="S188" s="7" t="s">
        <v>29</v>
      </c>
    </row>
    <row r="189" spans="2:19">
      <c r="B189" s="7" t="s">
        <v>195</v>
      </c>
      <c r="C189" s="8" t="s">
        <v>195</v>
      </c>
      <c r="D189" s="6" t="str">
        <f>LRTRIM(CONCATENATE(IF(SUMPRODUCT(-- ISNUMBER(SEARCH({"Auto Number"}, $B189))) &gt; 0, $B189, IF(SUMPRODUCT(-- ISNUMBER(SEARCH({"Lookup","Master-Detail"}, $B189))) &gt; 0,$B189 &amp; "(" &amp; $E189 &amp; ")",IF(SUMPRODUCT(-- ISNUMBER(SEARCH({"Formula","Roll-Up Summary"}, $B189))) &gt; 0,$B189 &amp; " (" &amp; $E189 &amp; ")",IF(SUMPRODUCT(-- ISNUMBER(SEARCH({"Content","Currency","Number","Percent","Text","URL"}, $B189))) &gt; 0,$B189 &amp; "(" &amp; $C189 &amp; ")",$B189)))), "  ", TRIM(IF($S189 = "YES", "(External ID)", "") &amp; " " &amp; IF(SUMPRODUCT(-- ISNUMBER(SEARCH({"Unique","Unique Case Insensitive"}, $R189))) &gt; 0, "(" &amp; $R189 &amp; ")", ""))))</f>
        <v>na</v>
      </c>
      <c r="E189" s="7" t="s">
        <v>195</v>
      </c>
      <c r="F189" s="7" t="s">
        <v>195</v>
      </c>
      <c r="G189" s="7" t="s">
        <v>195</v>
      </c>
      <c r="H189" s="7" t="s">
        <v>195</v>
      </c>
      <c r="I189" s="7" t="s">
        <v>195</v>
      </c>
      <c r="J189" s="7" t="s">
        <v>195</v>
      </c>
      <c r="K189" s="7" t="s">
        <v>195</v>
      </c>
      <c r="L189" s="7" t="s">
        <v>195</v>
      </c>
      <c r="M189" s="7" t="s">
        <v>29</v>
      </c>
      <c r="N189" s="7" t="s">
        <v>29</v>
      </c>
      <c r="O189" s="7" t="s">
        <v>29</v>
      </c>
      <c r="P189" s="7" t="s">
        <v>29</v>
      </c>
      <c r="Q189" s="7" t="s">
        <v>29</v>
      </c>
      <c r="R189" s="7" t="s">
        <v>29</v>
      </c>
      <c r="S189" s="7" t="s">
        <v>29</v>
      </c>
    </row>
    <row r="190" spans="2:19">
      <c r="B190" s="7" t="s">
        <v>195</v>
      </c>
      <c r="C190" s="8" t="s">
        <v>195</v>
      </c>
      <c r="D190" s="6" t="str">
        <f>LRTRIM(CONCATENATE(IF(SUMPRODUCT(-- ISNUMBER(SEARCH({"Auto Number"}, $B190))) &gt; 0, $B190, IF(SUMPRODUCT(-- ISNUMBER(SEARCH({"Lookup","Master-Detail"}, $B190))) &gt; 0,$B190 &amp; "(" &amp; $E190 &amp; ")",IF(SUMPRODUCT(-- ISNUMBER(SEARCH({"Formula","Roll-Up Summary"}, $B190))) &gt; 0,$B190 &amp; " (" &amp; $E190 &amp; ")",IF(SUMPRODUCT(-- ISNUMBER(SEARCH({"Content","Currency","Number","Percent","Text","URL"}, $B190))) &gt; 0,$B190 &amp; "(" &amp; $C190 &amp; ")",$B190)))), "  ", TRIM(IF($S190 = "YES", "(External ID)", "") &amp; " " &amp; IF(SUMPRODUCT(-- ISNUMBER(SEARCH({"Unique","Unique Case Insensitive"}, $R190))) &gt; 0, "(" &amp; $R190 &amp; ")", ""))))</f>
        <v>na</v>
      </c>
      <c r="E190" s="7" t="s">
        <v>195</v>
      </c>
      <c r="F190" s="7" t="s">
        <v>195</v>
      </c>
      <c r="G190" s="7" t="s">
        <v>195</v>
      </c>
      <c r="H190" s="7" t="s">
        <v>195</v>
      </c>
      <c r="I190" s="7" t="s">
        <v>195</v>
      </c>
      <c r="J190" s="7" t="s">
        <v>195</v>
      </c>
      <c r="K190" s="7" t="s">
        <v>195</v>
      </c>
      <c r="L190" s="7" t="s">
        <v>195</v>
      </c>
      <c r="M190" s="7" t="s">
        <v>29</v>
      </c>
      <c r="N190" s="7" t="s">
        <v>29</v>
      </c>
      <c r="O190" s="7" t="s">
        <v>29</v>
      </c>
      <c r="P190" s="7" t="s">
        <v>29</v>
      </c>
      <c r="Q190" s="7" t="s">
        <v>29</v>
      </c>
      <c r="R190" s="7" t="s">
        <v>29</v>
      </c>
      <c r="S190" s="7" t="s">
        <v>29</v>
      </c>
    </row>
    <row r="191" spans="2:19">
      <c r="B191" s="7" t="s">
        <v>195</v>
      </c>
      <c r="C191" s="8" t="s">
        <v>195</v>
      </c>
      <c r="D191" s="6" t="str">
        <f>LRTRIM(CONCATENATE(IF(SUMPRODUCT(-- ISNUMBER(SEARCH({"Auto Number"}, $B191))) &gt; 0, $B191, IF(SUMPRODUCT(-- ISNUMBER(SEARCH({"Lookup","Master-Detail"}, $B191))) &gt; 0,$B191 &amp; "(" &amp; $E191 &amp; ")",IF(SUMPRODUCT(-- ISNUMBER(SEARCH({"Formula","Roll-Up Summary"}, $B191))) &gt; 0,$B191 &amp; " (" &amp; $E191 &amp; ")",IF(SUMPRODUCT(-- ISNUMBER(SEARCH({"Content","Currency","Number","Percent","Text","URL"}, $B191))) &gt; 0,$B191 &amp; "(" &amp; $C191 &amp; ")",$B191)))), "  ", TRIM(IF($S191 = "YES", "(External ID)", "") &amp; " " &amp; IF(SUMPRODUCT(-- ISNUMBER(SEARCH({"Unique","Unique Case Insensitive"}, $R191))) &gt; 0, "(" &amp; $R191 &amp; ")", ""))))</f>
        <v>na</v>
      </c>
      <c r="E191" s="7" t="s">
        <v>195</v>
      </c>
      <c r="F191" s="7" t="s">
        <v>195</v>
      </c>
      <c r="G191" s="7" t="s">
        <v>195</v>
      </c>
      <c r="H191" s="7" t="s">
        <v>195</v>
      </c>
      <c r="I191" s="7" t="s">
        <v>195</v>
      </c>
      <c r="J191" s="7" t="s">
        <v>195</v>
      </c>
      <c r="K191" s="7" t="s">
        <v>195</v>
      </c>
      <c r="L191" s="7" t="s">
        <v>195</v>
      </c>
      <c r="M191" s="7" t="s">
        <v>29</v>
      </c>
      <c r="N191" s="7" t="s">
        <v>29</v>
      </c>
      <c r="O191" s="7" t="s">
        <v>29</v>
      </c>
      <c r="P191" s="7" t="s">
        <v>29</v>
      </c>
      <c r="Q191" s="7" t="s">
        <v>29</v>
      </c>
      <c r="R191" s="7" t="s">
        <v>29</v>
      </c>
      <c r="S191" s="7" t="s">
        <v>29</v>
      </c>
    </row>
    <row r="192" spans="2:19">
      <c r="B192" s="7" t="s">
        <v>195</v>
      </c>
      <c r="C192" s="8" t="s">
        <v>195</v>
      </c>
      <c r="D192" s="6" t="str">
        <f>LRTRIM(CONCATENATE(IF(SUMPRODUCT(-- ISNUMBER(SEARCH({"Auto Number"}, $B192))) &gt; 0, $B192, IF(SUMPRODUCT(-- ISNUMBER(SEARCH({"Lookup","Master-Detail"}, $B192))) &gt; 0,$B192 &amp; "(" &amp; $E192 &amp; ")",IF(SUMPRODUCT(-- ISNUMBER(SEARCH({"Formula","Roll-Up Summary"}, $B192))) &gt; 0,$B192 &amp; " (" &amp; $E192 &amp; ")",IF(SUMPRODUCT(-- ISNUMBER(SEARCH({"Content","Currency","Number","Percent","Text","URL"}, $B192))) &gt; 0,$B192 &amp; "(" &amp; $C192 &amp; ")",$B192)))), "  ", TRIM(IF($S192 = "YES", "(External ID)", "") &amp; " " &amp; IF(SUMPRODUCT(-- ISNUMBER(SEARCH({"Unique","Unique Case Insensitive"}, $R192))) &gt; 0, "(" &amp; $R192 &amp; ")", ""))))</f>
        <v>na</v>
      </c>
      <c r="E192" s="7" t="s">
        <v>195</v>
      </c>
      <c r="F192" s="7" t="s">
        <v>195</v>
      </c>
      <c r="G192" s="7" t="s">
        <v>195</v>
      </c>
      <c r="H192" s="7" t="s">
        <v>195</v>
      </c>
      <c r="I192" s="7" t="s">
        <v>195</v>
      </c>
      <c r="J192" s="7" t="s">
        <v>195</v>
      </c>
      <c r="K192" s="7" t="s">
        <v>195</v>
      </c>
      <c r="L192" s="7" t="s">
        <v>195</v>
      </c>
      <c r="M192" s="7" t="s">
        <v>29</v>
      </c>
      <c r="N192" s="7" t="s">
        <v>29</v>
      </c>
      <c r="O192" s="7" t="s">
        <v>29</v>
      </c>
      <c r="P192" s="7" t="s">
        <v>29</v>
      </c>
      <c r="Q192" s="7" t="s">
        <v>29</v>
      </c>
      <c r="R192" s="7" t="s">
        <v>29</v>
      </c>
      <c r="S192" s="7" t="s">
        <v>29</v>
      </c>
    </row>
    <row r="193" spans="2:19">
      <c r="B193" s="7" t="s">
        <v>195</v>
      </c>
      <c r="C193" s="8" t="s">
        <v>195</v>
      </c>
      <c r="D193" s="6" t="str">
        <f>LRTRIM(CONCATENATE(IF(SUMPRODUCT(-- ISNUMBER(SEARCH({"Auto Number"}, $B193))) &gt; 0, $B193, IF(SUMPRODUCT(-- ISNUMBER(SEARCH({"Lookup","Master-Detail"}, $B193))) &gt; 0,$B193 &amp; "(" &amp; $E193 &amp; ")",IF(SUMPRODUCT(-- ISNUMBER(SEARCH({"Formula","Roll-Up Summary"}, $B193))) &gt; 0,$B193 &amp; " (" &amp; $E193 &amp; ")",IF(SUMPRODUCT(-- ISNUMBER(SEARCH({"Content","Currency","Number","Percent","Text","URL"}, $B193))) &gt; 0,$B193 &amp; "(" &amp; $C193 &amp; ")",$B193)))), "  ", TRIM(IF($S193 = "YES", "(External ID)", "") &amp; " " &amp; IF(SUMPRODUCT(-- ISNUMBER(SEARCH({"Unique","Unique Case Insensitive"}, $R193))) &gt; 0, "(" &amp; $R193 &amp; ")", ""))))</f>
        <v>na</v>
      </c>
      <c r="E193" s="7" t="s">
        <v>195</v>
      </c>
      <c r="F193" s="7" t="s">
        <v>195</v>
      </c>
      <c r="G193" s="7" t="s">
        <v>195</v>
      </c>
      <c r="H193" s="7" t="s">
        <v>195</v>
      </c>
      <c r="I193" s="7" t="s">
        <v>195</v>
      </c>
      <c r="J193" s="7" t="s">
        <v>195</v>
      </c>
      <c r="K193" s="7" t="s">
        <v>195</v>
      </c>
      <c r="L193" s="7" t="s">
        <v>195</v>
      </c>
      <c r="M193" s="7" t="s">
        <v>29</v>
      </c>
      <c r="N193" s="7" t="s">
        <v>29</v>
      </c>
      <c r="O193" s="7" t="s">
        <v>29</v>
      </c>
      <c r="P193" s="7" t="s">
        <v>29</v>
      </c>
      <c r="Q193" s="7" t="s">
        <v>29</v>
      </c>
      <c r="R193" s="7" t="s">
        <v>29</v>
      </c>
      <c r="S193" s="7" t="s">
        <v>29</v>
      </c>
    </row>
    <row r="194" spans="2:19">
      <c r="B194" s="7" t="s">
        <v>195</v>
      </c>
      <c r="C194" s="8" t="s">
        <v>195</v>
      </c>
      <c r="D194" s="6" t="str">
        <f>LRTRIM(CONCATENATE(IF(SUMPRODUCT(-- ISNUMBER(SEARCH({"Auto Number"}, $B194))) &gt; 0, $B194, IF(SUMPRODUCT(-- ISNUMBER(SEARCH({"Lookup","Master-Detail"}, $B194))) &gt; 0,$B194 &amp; "(" &amp; $E194 &amp; ")",IF(SUMPRODUCT(-- ISNUMBER(SEARCH({"Formula","Roll-Up Summary"}, $B194))) &gt; 0,$B194 &amp; " (" &amp; $E194 &amp; ")",IF(SUMPRODUCT(-- ISNUMBER(SEARCH({"Content","Currency","Number","Percent","Text","URL"}, $B194))) &gt; 0,$B194 &amp; "(" &amp; $C194 &amp; ")",$B194)))), "  ", TRIM(IF($S194 = "YES", "(External ID)", "") &amp; " " &amp; IF(SUMPRODUCT(-- ISNUMBER(SEARCH({"Unique","Unique Case Insensitive"}, $R194))) &gt; 0, "(" &amp; $R194 &amp; ")", ""))))</f>
        <v>na</v>
      </c>
      <c r="E194" s="7" t="s">
        <v>195</v>
      </c>
      <c r="F194" s="7" t="s">
        <v>195</v>
      </c>
      <c r="G194" s="7" t="s">
        <v>195</v>
      </c>
      <c r="H194" s="7" t="s">
        <v>195</v>
      </c>
      <c r="I194" s="7" t="s">
        <v>195</v>
      </c>
      <c r="J194" s="7" t="s">
        <v>195</v>
      </c>
      <c r="K194" s="7" t="s">
        <v>195</v>
      </c>
      <c r="L194" s="7" t="s">
        <v>195</v>
      </c>
      <c r="M194" s="7" t="s">
        <v>29</v>
      </c>
      <c r="N194" s="7" t="s">
        <v>29</v>
      </c>
      <c r="O194" s="7" t="s">
        <v>29</v>
      </c>
      <c r="P194" s="7" t="s">
        <v>29</v>
      </c>
      <c r="Q194" s="7" t="s">
        <v>29</v>
      </c>
      <c r="R194" s="7" t="s">
        <v>29</v>
      </c>
      <c r="S194" s="7" t="s">
        <v>29</v>
      </c>
    </row>
    <row r="195" spans="2:19">
      <c r="B195" s="7" t="s">
        <v>195</v>
      </c>
      <c r="C195" s="8" t="s">
        <v>195</v>
      </c>
      <c r="D195" s="6" t="str">
        <f>LRTRIM(CONCATENATE(IF(SUMPRODUCT(-- ISNUMBER(SEARCH({"Auto Number"}, $B195))) &gt; 0, $B195, IF(SUMPRODUCT(-- ISNUMBER(SEARCH({"Lookup","Master-Detail"}, $B195))) &gt; 0,$B195 &amp; "(" &amp; $E195 &amp; ")",IF(SUMPRODUCT(-- ISNUMBER(SEARCH({"Formula","Roll-Up Summary"}, $B195))) &gt; 0,$B195 &amp; " (" &amp; $E195 &amp; ")",IF(SUMPRODUCT(-- ISNUMBER(SEARCH({"Content","Currency","Number","Percent","Text","URL"}, $B195))) &gt; 0,$B195 &amp; "(" &amp; $C195 &amp; ")",$B195)))), "  ", TRIM(IF($S195 = "YES", "(External ID)", "") &amp; " " &amp; IF(SUMPRODUCT(-- ISNUMBER(SEARCH({"Unique","Unique Case Insensitive"}, $R195))) &gt; 0, "(" &amp; $R195 &amp; ")", ""))))</f>
        <v>na</v>
      </c>
      <c r="E195" s="7" t="s">
        <v>195</v>
      </c>
      <c r="F195" s="7" t="s">
        <v>195</v>
      </c>
      <c r="G195" s="7" t="s">
        <v>195</v>
      </c>
      <c r="H195" s="7" t="s">
        <v>195</v>
      </c>
      <c r="I195" s="7" t="s">
        <v>195</v>
      </c>
      <c r="J195" s="7" t="s">
        <v>195</v>
      </c>
      <c r="K195" s="7" t="s">
        <v>195</v>
      </c>
      <c r="L195" s="7" t="s">
        <v>195</v>
      </c>
      <c r="M195" s="7" t="s">
        <v>29</v>
      </c>
      <c r="N195" s="7" t="s">
        <v>29</v>
      </c>
      <c r="O195" s="7" t="s">
        <v>29</v>
      </c>
      <c r="P195" s="7" t="s">
        <v>29</v>
      </c>
      <c r="Q195" s="7" t="s">
        <v>29</v>
      </c>
      <c r="R195" s="7" t="s">
        <v>29</v>
      </c>
      <c r="S195" s="7" t="s">
        <v>29</v>
      </c>
    </row>
    <row r="196" spans="2:19">
      <c r="B196" s="7" t="s">
        <v>195</v>
      </c>
      <c r="C196" s="8" t="s">
        <v>195</v>
      </c>
      <c r="D196" s="6" t="str">
        <f>LRTRIM(CONCATENATE(IF(SUMPRODUCT(-- ISNUMBER(SEARCH({"Auto Number"}, $B196))) &gt; 0, $B196, IF(SUMPRODUCT(-- ISNUMBER(SEARCH({"Lookup","Master-Detail"}, $B196))) &gt; 0,$B196 &amp; "(" &amp; $E196 &amp; ")",IF(SUMPRODUCT(-- ISNUMBER(SEARCH({"Formula","Roll-Up Summary"}, $B196))) &gt; 0,$B196 &amp; " (" &amp; $E196 &amp; ")",IF(SUMPRODUCT(-- ISNUMBER(SEARCH({"Content","Currency","Number","Percent","Text","URL"}, $B196))) &gt; 0,$B196 &amp; "(" &amp; $C196 &amp; ")",$B196)))), "  ", TRIM(IF($S196 = "YES", "(External ID)", "") &amp; " " &amp; IF(SUMPRODUCT(-- ISNUMBER(SEARCH({"Unique","Unique Case Insensitive"}, $R196))) &gt; 0, "(" &amp; $R196 &amp; ")", ""))))</f>
        <v>na</v>
      </c>
      <c r="E196" s="7" t="s">
        <v>195</v>
      </c>
      <c r="F196" s="7" t="s">
        <v>195</v>
      </c>
      <c r="G196" s="7" t="s">
        <v>195</v>
      </c>
      <c r="H196" s="7" t="s">
        <v>195</v>
      </c>
      <c r="I196" s="7" t="s">
        <v>195</v>
      </c>
      <c r="J196" s="7" t="s">
        <v>195</v>
      </c>
      <c r="K196" s="7" t="s">
        <v>195</v>
      </c>
      <c r="L196" s="7" t="s">
        <v>195</v>
      </c>
      <c r="M196" s="7" t="s">
        <v>29</v>
      </c>
      <c r="N196" s="7" t="s">
        <v>29</v>
      </c>
      <c r="O196" s="7" t="s">
        <v>29</v>
      </c>
      <c r="P196" s="7" t="s">
        <v>29</v>
      </c>
      <c r="Q196" s="7" t="s">
        <v>29</v>
      </c>
      <c r="R196" s="7" t="s">
        <v>29</v>
      </c>
      <c r="S196" s="7" t="s">
        <v>29</v>
      </c>
    </row>
    <row r="197" spans="2:19">
      <c r="B197" s="7" t="s">
        <v>195</v>
      </c>
      <c r="C197" s="8" t="s">
        <v>195</v>
      </c>
      <c r="D197" s="6" t="str">
        <f>LRTRIM(CONCATENATE(IF(SUMPRODUCT(-- ISNUMBER(SEARCH({"Auto Number"}, $B197))) &gt; 0, $B197, IF(SUMPRODUCT(-- ISNUMBER(SEARCH({"Lookup","Master-Detail"}, $B197))) &gt; 0,$B197 &amp; "(" &amp; $E197 &amp; ")",IF(SUMPRODUCT(-- ISNUMBER(SEARCH({"Formula","Roll-Up Summary"}, $B197))) &gt; 0,$B197 &amp; " (" &amp; $E197 &amp; ")",IF(SUMPRODUCT(-- ISNUMBER(SEARCH({"Content","Currency","Number","Percent","Text","URL"}, $B197))) &gt; 0,$B197 &amp; "(" &amp; $C197 &amp; ")",$B197)))), "  ", TRIM(IF($S197 = "YES", "(External ID)", "") &amp; " " &amp; IF(SUMPRODUCT(-- ISNUMBER(SEARCH({"Unique","Unique Case Insensitive"}, $R197))) &gt; 0, "(" &amp; $R197 &amp; ")", ""))))</f>
        <v>na</v>
      </c>
      <c r="E197" s="7" t="s">
        <v>195</v>
      </c>
      <c r="F197" s="7" t="s">
        <v>195</v>
      </c>
      <c r="G197" s="7" t="s">
        <v>195</v>
      </c>
      <c r="H197" s="7" t="s">
        <v>195</v>
      </c>
      <c r="I197" s="7" t="s">
        <v>195</v>
      </c>
      <c r="J197" s="7" t="s">
        <v>195</v>
      </c>
      <c r="K197" s="7" t="s">
        <v>195</v>
      </c>
      <c r="L197" s="7" t="s">
        <v>195</v>
      </c>
      <c r="M197" s="7" t="s">
        <v>29</v>
      </c>
      <c r="N197" s="7" t="s">
        <v>29</v>
      </c>
      <c r="O197" s="7" t="s">
        <v>29</v>
      </c>
      <c r="P197" s="7" t="s">
        <v>29</v>
      </c>
      <c r="Q197" s="7" t="s">
        <v>29</v>
      </c>
      <c r="R197" s="7" t="s">
        <v>29</v>
      </c>
      <c r="S197" s="7" t="s">
        <v>29</v>
      </c>
    </row>
    <row r="198" spans="2:19">
      <c r="B198" s="7" t="s">
        <v>195</v>
      </c>
      <c r="C198" s="8" t="s">
        <v>195</v>
      </c>
      <c r="D198" s="6" t="str">
        <f>LRTRIM(CONCATENATE(IF(SUMPRODUCT(-- ISNUMBER(SEARCH({"Auto Number"}, $B198))) &gt; 0, $B198, IF(SUMPRODUCT(-- ISNUMBER(SEARCH({"Lookup","Master-Detail"}, $B198))) &gt; 0,$B198 &amp; "(" &amp; $E198 &amp; ")",IF(SUMPRODUCT(-- ISNUMBER(SEARCH({"Formula","Roll-Up Summary"}, $B198))) &gt; 0,$B198 &amp; " (" &amp; $E198 &amp; ")",IF(SUMPRODUCT(-- ISNUMBER(SEARCH({"Content","Currency","Number","Percent","Text","URL"}, $B198))) &gt; 0,$B198 &amp; "(" &amp; $C198 &amp; ")",$B198)))), "  ", TRIM(IF($S198 = "YES", "(External ID)", "") &amp; " " &amp; IF(SUMPRODUCT(-- ISNUMBER(SEARCH({"Unique","Unique Case Insensitive"}, $R198))) &gt; 0, "(" &amp; $R198 &amp; ")", ""))))</f>
        <v>na</v>
      </c>
      <c r="E198" s="7" t="s">
        <v>195</v>
      </c>
      <c r="F198" s="7" t="s">
        <v>195</v>
      </c>
      <c r="G198" s="7" t="s">
        <v>195</v>
      </c>
      <c r="H198" s="7" t="s">
        <v>195</v>
      </c>
      <c r="I198" s="7" t="s">
        <v>195</v>
      </c>
      <c r="J198" s="7" t="s">
        <v>195</v>
      </c>
      <c r="K198" s="7" t="s">
        <v>195</v>
      </c>
      <c r="L198" s="7" t="s">
        <v>195</v>
      </c>
      <c r="M198" s="7" t="s">
        <v>29</v>
      </c>
      <c r="N198" s="7" t="s">
        <v>29</v>
      </c>
      <c r="O198" s="7" t="s">
        <v>29</v>
      </c>
      <c r="P198" s="7" t="s">
        <v>29</v>
      </c>
      <c r="Q198" s="7" t="s">
        <v>29</v>
      </c>
      <c r="R198" s="7" t="s">
        <v>29</v>
      </c>
      <c r="S198" s="7" t="s">
        <v>29</v>
      </c>
    </row>
    <row r="199" spans="2:19">
      <c r="B199" s="7" t="s">
        <v>195</v>
      </c>
      <c r="C199" s="8" t="s">
        <v>195</v>
      </c>
      <c r="D199" s="6" t="str">
        <f>LRTRIM(CONCATENATE(IF(SUMPRODUCT(-- ISNUMBER(SEARCH({"Auto Number"}, $B199))) &gt; 0, $B199, IF(SUMPRODUCT(-- ISNUMBER(SEARCH({"Lookup","Master-Detail"}, $B199))) &gt; 0,$B199 &amp; "(" &amp; $E199 &amp; ")",IF(SUMPRODUCT(-- ISNUMBER(SEARCH({"Formula","Roll-Up Summary"}, $B199))) &gt; 0,$B199 &amp; " (" &amp; $E199 &amp; ")",IF(SUMPRODUCT(-- ISNUMBER(SEARCH({"Content","Currency","Number","Percent","Text","URL"}, $B199))) &gt; 0,$B199 &amp; "(" &amp; $C199 &amp; ")",$B199)))), "  ", TRIM(IF($S199 = "YES", "(External ID)", "") &amp; " " &amp; IF(SUMPRODUCT(-- ISNUMBER(SEARCH({"Unique","Unique Case Insensitive"}, $R199))) &gt; 0, "(" &amp; $R199 &amp; ")", ""))))</f>
        <v>na</v>
      </c>
      <c r="E199" s="7" t="s">
        <v>195</v>
      </c>
      <c r="F199" s="7" t="s">
        <v>195</v>
      </c>
      <c r="G199" s="7" t="s">
        <v>195</v>
      </c>
      <c r="H199" s="7" t="s">
        <v>195</v>
      </c>
      <c r="I199" s="7" t="s">
        <v>195</v>
      </c>
      <c r="J199" s="7" t="s">
        <v>195</v>
      </c>
      <c r="K199" s="7" t="s">
        <v>195</v>
      </c>
      <c r="L199" s="7" t="s">
        <v>195</v>
      </c>
      <c r="M199" s="7" t="s">
        <v>29</v>
      </c>
      <c r="N199" s="7" t="s">
        <v>29</v>
      </c>
      <c r="O199" s="7" t="s">
        <v>29</v>
      </c>
      <c r="P199" s="7" t="s">
        <v>29</v>
      </c>
      <c r="Q199" s="7" t="s">
        <v>29</v>
      </c>
      <c r="R199" s="7" t="s">
        <v>29</v>
      </c>
      <c r="S199" s="7" t="s">
        <v>29</v>
      </c>
    </row>
    <row r="200" spans="2:19">
      <c r="B200" s="7" t="s">
        <v>195</v>
      </c>
      <c r="C200" s="8" t="s">
        <v>195</v>
      </c>
      <c r="D200" s="6" t="str">
        <f>LRTRIM(CONCATENATE(IF(SUMPRODUCT(-- ISNUMBER(SEARCH({"Auto Number"}, $B200))) &gt; 0, $B200, IF(SUMPRODUCT(-- ISNUMBER(SEARCH({"Lookup","Master-Detail"}, $B200))) &gt; 0,$B200 &amp; "(" &amp; $E200 &amp; ")",IF(SUMPRODUCT(-- ISNUMBER(SEARCH({"Formula","Roll-Up Summary"}, $B200))) &gt; 0,$B200 &amp; " (" &amp; $E200 &amp; ")",IF(SUMPRODUCT(-- ISNUMBER(SEARCH({"Content","Currency","Number","Percent","Text","URL"}, $B200))) &gt; 0,$B200 &amp; "(" &amp; $C200 &amp; ")",$B200)))), "  ", TRIM(IF($S200 = "YES", "(External ID)", "") &amp; " " &amp; IF(SUMPRODUCT(-- ISNUMBER(SEARCH({"Unique","Unique Case Insensitive"}, $R200))) &gt; 0, "(" &amp; $R200 &amp; ")", ""))))</f>
        <v>na</v>
      </c>
      <c r="E200" s="7" t="s">
        <v>195</v>
      </c>
      <c r="F200" s="7" t="s">
        <v>195</v>
      </c>
      <c r="G200" s="7" t="s">
        <v>195</v>
      </c>
      <c r="H200" s="7" t="s">
        <v>195</v>
      </c>
      <c r="I200" s="7" t="s">
        <v>195</v>
      </c>
      <c r="J200" s="7" t="s">
        <v>195</v>
      </c>
      <c r="K200" s="7" t="s">
        <v>195</v>
      </c>
      <c r="L200" s="7" t="s">
        <v>195</v>
      </c>
      <c r="M200" s="7" t="s">
        <v>29</v>
      </c>
      <c r="N200" s="7" t="s">
        <v>29</v>
      </c>
      <c r="O200" s="7" t="s">
        <v>29</v>
      </c>
      <c r="P200" s="7" t="s">
        <v>29</v>
      </c>
      <c r="Q200" s="7" t="s">
        <v>29</v>
      </c>
      <c r="R200" s="7" t="s">
        <v>29</v>
      </c>
      <c r="S200" s="7" t="s">
        <v>29</v>
      </c>
    </row>
  </sheetData>
  <sheetProtection formatCells="0" formatColumns="0" formatRows="0" insertColumns="0" insertRows="0" insertHyperlinks="0" deleteColumns="0" deleteRows="0" sort="0" autoFilter="0" pivotTables="0"/>
  <conditionalFormatting sqref="D2:D105">
    <cfRule type="expression" dxfId="45" priority="3">
      <formula>NOT(_xlfn.ISFORMULA($D2))</formula>
    </cfRule>
  </conditionalFormatting>
  <conditionalFormatting sqref="D106">
    <cfRule type="expression" dxfId="44" priority="2">
      <formula>NOT(_xlfn.ISFORMULA($D106))</formula>
    </cfRule>
  </conditionalFormatting>
  <conditionalFormatting sqref="D107:D200">
    <cfRule type="expression" dxfId="43" priority="1">
      <formula>NOT(_xlfn.ISFORMULA($D107))</formula>
    </cfRule>
  </conditionalFormatting>
  <dataValidations count="1">
    <dataValidation allowBlank="1" showInputMessage="1" showErrorMessage="1" sqref="A2:A105"/>
  </dataValidations>
  <pageMargins left="0.7" right="0.7" top="0.75" bottom="0.75" header="0.3" footer="0.3"/>
  <extLst>
    <ext xmlns:x14="http://schemas.microsoft.com/office/spreadsheetml/2009/9/main" uri="{CCE6A557-97BC-4b89-ADB6-D9C93CAAB3DF}">
      <x14:dataValidations xmlns:xm="http://schemas.microsoft.com/office/excel/2006/main" count="15">
        <x14:dataValidation type="list" allowBlank="1" showInputMessage="1" showErrorMessage="1">
          <x14:formula1>
            <xm:f>OFFSET('Reference Fields'!$K$2,0,0,COUNTA('Reference Fields'!$K:$K)-1)</xm:f>
          </x14:formula1>
          <xm:sqref>R2:R200</xm:sqref>
        </x14:dataValidation>
        <x14:dataValidation type="list" allowBlank="1" showInputMessage="1" showErrorMessage="1">
          <x14:formula1>
            <xm:f>OFFSET('Reference Fields'!$J$2,0,0,COUNTA('Reference Fields'!$J:$J)-1)</xm:f>
          </x14:formula1>
          <xm:sqref>Q2:Q200</xm:sqref>
        </x14:dataValidation>
        <x14:dataValidation type="list" allowBlank="1" showInputMessage="1" showErrorMessage="1">
          <x14:formula1>
            <xm:f>OFFSET('Reference Fields'!$J$2,0,0,COUNTA('Reference Fields'!$J:$J)-1)</xm:f>
          </x14:formula1>
          <xm:sqref>M2:M200</xm:sqref>
        </x14:dataValidation>
        <x14:dataValidation type="list" allowBlank="1" showInputMessage="1" showErrorMessage="1">
          <x14:formula1>
            <xm:f>OFFSET('Reference Fields'!$J$2,0,0,COUNTA('Reference Fields'!$J:$J)-1)</xm:f>
          </x14:formula1>
          <xm:sqref>N2:N200</xm:sqref>
        </x14:dataValidation>
        <x14:dataValidation type="list" allowBlank="1" showInputMessage="1" showErrorMessage="1">
          <x14:formula1>
            <xm:f>OFFSET('Reference Fields'!$J$2,0,0,COUNTA('Reference Fields'!$J:$J)-1)</xm:f>
          </x14:formula1>
          <xm:sqref>O2:O200</xm:sqref>
        </x14:dataValidation>
        <x14:dataValidation type="list" allowBlank="1" showInputMessage="1" showErrorMessage="1">
          <x14:formula1>
            <xm:f>OFFSET('Reference Fields'!$J$2,0,0,COUNTA('Reference Fields'!$J:$J)-1)</xm:f>
          </x14:formula1>
          <xm:sqref>P2:P200</xm:sqref>
        </x14:dataValidation>
        <x14:dataValidation type="list" allowBlank="1" showInputMessage="1" showErrorMessage="1">
          <x14:formula1>
            <xm:f>OFFSET('Reference Fields'!$J$2,0,0,COUNTA('Reference Fields'!$J:$J)-1)</xm:f>
          </x14:formula1>
          <xm:sqref>S2:S200</xm:sqref>
        </x14:dataValidation>
        <x14:dataValidation type="list" allowBlank="1" showInputMessage="1" showErrorMessage="1">
          <x14:formula1>
            <xm:f>OFFSET('Reference Fields'!$B$2,0,0,COUNTA('Reference Fields'!$B:$B)-1)</xm:f>
          </x14:formula1>
          <xm:sqref>B2:B200</xm:sqref>
        </x14:dataValidation>
        <x14:dataValidation type="list" allowBlank="1" showInputMessage="1" showErrorMessage="1">
          <x14:formula1>
            <xm:f>OFFSET('Reference Fields'!$D$2,0,0,COUNTA('Reference Fields'!$D:$D)-1)</xm:f>
          </x14:formula1>
          <xm:sqref>F2:F200</xm:sqref>
        </x14:dataValidation>
        <x14:dataValidation type="list" allowBlank="1" showInputMessage="1" showErrorMessage="1">
          <x14:formula1>
            <xm:f>OFFSET('Reference Fields'!$E$2,0,0,COUNTA('Reference Fields'!$E:$E)-1)</xm:f>
          </x14:formula1>
          <xm:sqref>G2:G200</xm:sqref>
        </x14:dataValidation>
        <x14:dataValidation type="list" allowBlank="1" showInputMessage="1" showErrorMessage="1">
          <x14:formula1>
            <xm:f>OFFSET('Reference Fields'!$F$2,0,0,COUNTA('Reference Fields'!$F:$F)-1)</xm:f>
          </x14:formula1>
          <xm:sqref>H2:H200</xm:sqref>
        </x14:dataValidation>
        <x14:dataValidation type="list" allowBlank="1" showInputMessage="1" showErrorMessage="1">
          <x14:formula1>
            <xm:f>OFFSET('Reference Fields'!$F$2,0,0,COUNTA('Reference Fields'!$F:$F)-1)</xm:f>
          </x14:formula1>
          <xm:sqref>I2:I200</xm:sqref>
        </x14:dataValidation>
        <x14:dataValidation type="list" allowBlank="1" showInputMessage="1" showErrorMessage="1">
          <x14:formula1>
            <xm:f>OFFSET('Reference Fields'!$G$2,0,0,COUNTA('Reference Fields'!$G:$G)-1)</xm:f>
          </x14:formula1>
          <xm:sqref>J2:J200</xm:sqref>
        </x14:dataValidation>
        <x14:dataValidation type="list" allowBlank="1" showInputMessage="1" showErrorMessage="1">
          <x14:formula1>
            <xm:f>OFFSET('Reference Fields'!$H$2,0,0,COUNTA('Reference Fields'!$H:$H)-1)</xm:f>
          </x14:formula1>
          <xm:sqref>K2:K200</xm:sqref>
        </x14:dataValidation>
        <x14:dataValidation type="list" allowBlank="1" showInputMessage="1" showErrorMessage="1">
          <x14:formula1>
            <xm:f>OFFSET('Reference Fields'!$I$2,0,0,COUNTA('Reference Fields'!$I:$I)-1)</xm:f>
          </x14:formula1>
          <xm:sqref>L2:L200</xm:sqref>
        </x14:dataValidation>
      </x14:dataValidations>
    </ext>
  </extLst>
</worksheet>
</file>

<file path=xl/worksheets/sheet26.xml><?xml version="1.0" encoding="utf-8"?>
<worksheet xmlns="http://schemas.openxmlformats.org/spreadsheetml/2006/main" xmlns:r="http://schemas.openxmlformats.org/officeDocument/2006/relationships">
  <sheetPr codeName="Sheet35"/>
  <dimension ref="A1:S200"/>
  <sheetViews>
    <sheetView workbookViewId="0">
      <selection activeCell="A2" sqref="A2"/>
    </sheetView>
  </sheetViews>
  <sheetFormatPr defaultRowHeight="14.5"/>
  <cols>
    <col min="1" max="3" width="8.90625" style="7"/>
    <col min="4" max="4" width="8.90625" style="11"/>
    <col min="5" max="19" width="8.90625" style="7"/>
  </cols>
  <sheetData>
    <row r="1" spans="1:19">
      <c r="A1" s="1" t="s">
        <v>2</v>
      </c>
      <c r="B1" s="1" t="s">
        <v>1198</v>
      </c>
      <c r="C1" s="1" t="s">
        <v>1199</v>
      </c>
      <c r="D1" s="1" t="s">
        <v>0</v>
      </c>
      <c r="E1" s="1" t="s">
        <v>1</v>
      </c>
      <c r="F1" s="1" t="s">
        <v>30</v>
      </c>
      <c r="G1" s="1" t="s">
        <v>31</v>
      </c>
      <c r="H1" s="1" t="s">
        <v>1262</v>
      </c>
      <c r="I1" s="1" t="s">
        <v>49</v>
      </c>
      <c r="J1" s="1" t="s">
        <v>48</v>
      </c>
      <c r="K1" s="1" t="s">
        <v>54</v>
      </c>
      <c r="L1" s="1" t="s">
        <v>55</v>
      </c>
      <c r="M1" s="1" t="s">
        <v>27</v>
      </c>
      <c r="N1" s="1" t="s">
        <v>175</v>
      </c>
      <c r="O1" s="1" t="s">
        <v>193</v>
      </c>
      <c r="P1" s="1" t="s">
        <v>1221</v>
      </c>
      <c r="Q1" s="1" t="s">
        <v>1264</v>
      </c>
      <c r="R1" s="1" t="s">
        <v>1263</v>
      </c>
      <c r="S1" s="1" t="s">
        <v>1265</v>
      </c>
    </row>
    <row r="2" spans="1:19">
      <c r="A2" s="7" t="s">
        <v>1778</v>
      </c>
      <c r="B2" s="7" t="s">
        <v>1204</v>
      </c>
      <c r="C2" s="8">
        <v>0</v>
      </c>
      <c r="D2" s="5" t="str">
        <f>LRTRIM(CONCATENATE(IF(SUMPRODUCT(-- ISNUMBER(SEARCH({"Auto Number"}, $B2))) &gt; 0, $B2, IF(SUMPRODUCT(-- ISNUMBER(SEARCH({"Lookup","Master-Detail"}, $B2))) &gt; 0,$B2 &amp; "(" &amp; $E2 &amp; ")",IF(SUMPRODUCT(-- ISNUMBER(SEARCH({"Formula","Roll-Up Summary"}, $B2))) &gt; 0,$B2 &amp; " (" &amp; $E2 &amp; ")",IF(SUMPRODUCT(-- ISNUMBER(SEARCH({"Content","Currency","Number","Percent","Text","URL"}, $B2))) &gt; 0,$B2 &amp; "(" &amp; $C2 &amp; ")",$B2)))), "  ", TRIM(IF($S2 = "YES", "(External ID)", "") &amp; " " &amp; IF(SUMPRODUCT(-- ISNUMBER(SEARCH({"Unique","Unique Case Insensitive"}, $R2))) &gt; 0, "(" &amp; $R2 &amp; ")", ""))))</f>
        <v>Checkbox</v>
      </c>
      <c r="E2" s="7" t="s">
        <v>195</v>
      </c>
      <c r="F2" s="7" t="s">
        <v>1783</v>
      </c>
      <c r="G2" s="7" t="s">
        <v>195</v>
      </c>
      <c r="H2" s="7" t="s">
        <v>195</v>
      </c>
      <c r="I2" s="7" t="s">
        <v>195</v>
      </c>
      <c r="J2" s="7" t="s">
        <v>195</v>
      </c>
      <c r="K2" s="7" t="s">
        <v>195</v>
      </c>
      <c r="L2" s="7" t="s">
        <v>195</v>
      </c>
      <c r="M2" s="7" t="s">
        <v>29</v>
      </c>
      <c r="N2" s="7" t="s">
        <v>29</v>
      </c>
      <c r="O2" s="7" t="s">
        <v>29</v>
      </c>
      <c r="P2" s="7" t="s">
        <v>29</v>
      </c>
      <c r="Q2" s="7" t="s">
        <v>29</v>
      </c>
      <c r="R2" s="7" t="s">
        <v>29</v>
      </c>
      <c r="S2" s="7" t="s">
        <v>29</v>
      </c>
    </row>
    <row r="3" spans="1:19">
      <c r="A3" s="7" t="s">
        <v>1779</v>
      </c>
      <c r="B3" s="7" t="s">
        <v>1204</v>
      </c>
      <c r="C3" s="8">
        <v>0</v>
      </c>
      <c r="D3" s="5" t="str">
        <f>LRTRIM(CONCATENATE(IF(SUMPRODUCT(-- ISNUMBER(SEARCH({"Auto Number"}, $B3))) &gt; 0, $B3, IF(SUMPRODUCT(-- ISNUMBER(SEARCH({"Lookup","Master-Detail"}, $B3))) &gt; 0,$B3 &amp; "(" &amp; $E3 &amp; ")",IF(SUMPRODUCT(-- ISNUMBER(SEARCH({"Formula","Roll-Up Summary"}, $B3))) &gt; 0,$B3 &amp; " (" &amp; $E3 &amp; ")",IF(SUMPRODUCT(-- ISNUMBER(SEARCH({"Content","Currency","Number","Percent","Text","URL"}, $B3))) &gt; 0,$B3 &amp; "(" &amp; $C3 &amp; ")",$B3)))), "  ", TRIM(IF($S3 = "YES", "(External ID)", "") &amp; " " &amp; IF(SUMPRODUCT(-- ISNUMBER(SEARCH({"Unique","Unique Case Insensitive"}, $R3))) &gt; 0, "(" &amp; $R3 &amp; ")", ""))))</f>
        <v>Checkbox</v>
      </c>
      <c r="E3" s="7" t="s">
        <v>195</v>
      </c>
      <c r="F3" s="7" t="s">
        <v>1784</v>
      </c>
      <c r="G3" s="7" t="s">
        <v>195</v>
      </c>
      <c r="H3" s="7" t="s">
        <v>195</v>
      </c>
      <c r="I3" s="7" t="s">
        <v>195</v>
      </c>
      <c r="J3" s="7" t="s">
        <v>195</v>
      </c>
      <c r="K3" s="7" t="s">
        <v>195</v>
      </c>
      <c r="L3" s="7" t="s">
        <v>195</v>
      </c>
      <c r="M3" s="7" t="s">
        <v>29</v>
      </c>
      <c r="N3" s="7" t="s">
        <v>29</v>
      </c>
      <c r="O3" s="7" t="s">
        <v>29</v>
      </c>
      <c r="P3" s="7" t="s">
        <v>29</v>
      </c>
      <c r="Q3" s="7" t="s">
        <v>29</v>
      </c>
      <c r="R3" s="7" t="s">
        <v>29</v>
      </c>
      <c r="S3" s="7" t="s">
        <v>29</v>
      </c>
    </row>
    <row r="4" spans="1:19">
      <c r="A4" s="7" t="s">
        <v>1780</v>
      </c>
      <c r="B4" s="7" t="s">
        <v>1204</v>
      </c>
      <c r="C4" s="8">
        <v>0</v>
      </c>
      <c r="D4" s="5" t="str">
        <f>LRTRIM(CONCATENATE(IF(SUMPRODUCT(-- ISNUMBER(SEARCH({"Auto Number"}, $B4))) &gt; 0, $B4, IF(SUMPRODUCT(-- ISNUMBER(SEARCH({"Lookup","Master-Detail"}, $B4))) &gt; 0,$B4 &amp; "(" &amp; $E4 &amp; ")",IF(SUMPRODUCT(-- ISNUMBER(SEARCH({"Formula","Roll-Up Summary"}, $B4))) &gt; 0,$B4 &amp; " (" &amp; $E4 &amp; ")",IF(SUMPRODUCT(-- ISNUMBER(SEARCH({"Content","Currency","Number","Percent","Text","URL"}, $B4))) &gt; 0,$B4 &amp; "(" &amp; $C4 &amp; ")",$B4)))), "  ", TRIM(IF($S4 = "YES", "(External ID)", "") &amp; " " &amp; IF(SUMPRODUCT(-- ISNUMBER(SEARCH({"Unique","Unique Case Insensitive"}, $R4))) &gt; 0, "(" &amp; $R4 &amp; ")", ""))))</f>
        <v>Checkbox</v>
      </c>
      <c r="E4" s="7" t="s">
        <v>195</v>
      </c>
      <c r="F4" s="7" t="s">
        <v>1785</v>
      </c>
      <c r="G4" s="7" t="s">
        <v>195</v>
      </c>
      <c r="H4" s="7" t="s">
        <v>195</v>
      </c>
      <c r="I4" s="7" t="s">
        <v>195</v>
      </c>
      <c r="J4" s="7" t="s">
        <v>195</v>
      </c>
      <c r="K4" s="7" t="s">
        <v>195</v>
      </c>
      <c r="L4" s="7" t="s">
        <v>195</v>
      </c>
      <c r="M4" s="7" t="s">
        <v>29</v>
      </c>
      <c r="N4" s="7" t="s">
        <v>29</v>
      </c>
      <c r="O4" s="7" t="s">
        <v>29</v>
      </c>
      <c r="P4" s="7" t="s">
        <v>29</v>
      </c>
      <c r="Q4" s="7" t="s">
        <v>29</v>
      </c>
      <c r="R4" s="7" t="s">
        <v>29</v>
      </c>
      <c r="S4" s="7" t="s">
        <v>29</v>
      </c>
    </row>
    <row r="5" spans="1:19">
      <c r="A5" s="7" t="s">
        <v>1781</v>
      </c>
      <c r="B5" s="7" t="s">
        <v>1204</v>
      </c>
      <c r="C5" s="8">
        <v>0</v>
      </c>
      <c r="D5" s="5" t="str">
        <f>LRTRIM(CONCATENATE(IF(SUMPRODUCT(-- ISNUMBER(SEARCH({"Auto Number"}, $B5))) &gt; 0, $B5, IF(SUMPRODUCT(-- ISNUMBER(SEARCH({"Lookup","Master-Detail"}, $B5))) &gt; 0,$B5 &amp; "(" &amp; $E5 &amp; ")",IF(SUMPRODUCT(-- ISNUMBER(SEARCH({"Formula","Roll-Up Summary"}, $B5))) &gt; 0,$B5 &amp; " (" &amp; $E5 &amp; ")",IF(SUMPRODUCT(-- ISNUMBER(SEARCH({"Content","Currency","Number","Percent","Text","URL"}, $B5))) &gt; 0,$B5 &amp; "(" &amp; $C5 &amp; ")",$B5)))), "  ", TRIM(IF($S5 = "YES", "(External ID)", "") &amp; " " &amp; IF(SUMPRODUCT(-- ISNUMBER(SEARCH({"Unique","Unique Case Insensitive"}, $R5))) &gt; 0, "(" &amp; $R5 &amp; ")", ""))))</f>
        <v>Checkbox</v>
      </c>
      <c r="E5" s="7" t="s">
        <v>195</v>
      </c>
      <c r="F5" s="7" t="s">
        <v>1786</v>
      </c>
      <c r="G5" s="7" t="s">
        <v>195</v>
      </c>
      <c r="H5" s="7" t="s">
        <v>195</v>
      </c>
      <c r="I5" s="7" t="s">
        <v>195</v>
      </c>
      <c r="J5" s="7" t="s">
        <v>195</v>
      </c>
      <c r="K5" s="7" t="s">
        <v>195</v>
      </c>
      <c r="L5" s="7" t="s">
        <v>195</v>
      </c>
      <c r="M5" s="7" t="s">
        <v>29</v>
      </c>
      <c r="N5" s="7" t="s">
        <v>29</v>
      </c>
      <c r="O5" s="7" t="s">
        <v>29</v>
      </c>
      <c r="P5" s="7" t="s">
        <v>29</v>
      </c>
      <c r="Q5" s="7" t="s">
        <v>29</v>
      </c>
      <c r="R5" s="7" t="s">
        <v>29</v>
      </c>
      <c r="S5" s="7" t="s">
        <v>29</v>
      </c>
    </row>
    <row r="6" spans="1:19">
      <c r="A6" s="7" t="s">
        <v>1782</v>
      </c>
      <c r="B6" s="7" t="s">
        <v>1204</v>
      </c>
      <c r="C6" s="8">
        <v>0</v>
      </c>
      <c r="D6" s="5" t="str">
        <f>LRTRIM(CONCATENATE(IF(SUMPRODUCT(-- ISNUMBER(SEARCH({"Auto Number"}, $B6))) &gt; 0, $B6, IF(SUMPRODUCT(-- ISNUMBER(SEARCH({"Lookup","Master-Detail"}, $B6))) &gt; 0,$B6 &amp; "(" &amp; $E6 &amp; ")",IF(SUMPRODUCT(-- ISNUMBER(SEARCH({"Formula","Roll-Up Summary"}, $B6))) &gt; 0,$B6 &amp; " (" &amp; $E6 &amp; ")",IF(SUMPRODUCT(-- ISNUMBER(SEARCH({"Content","Currency","Number","Percent","Text","URL"}, $B6))) &gt; 0,$B6 &amp; "(" &amp; $C6 &amp; ")",$B6)))), "  ", TRIM(IF($S6 = "YES", "(External ID)", "") &amp; " " &amp; IF(SUMPRODUCT(-- ISNUMBER(SEARCH({"Unique","Unique Case Insensitive"}, $R6))) &gt; 0, "(" &amp; $R6 &amp; ")", ""))))</f>
        <v>Checkbox</v>
      </c>
      <c r="E6" s="7" t="s">
        <v>195</v>
      </c>
      <c r="F6" s="7" t="s">
        <v>1787</v>
      </c>
      <c r="G6" s="7" t="s">
        <v>195</v>
      </c>
      <c r="H6" s="7" t="s">
        <v>195</v>
      </c>
      <c r="I6" s="7" t="s">
        <v>195</v>
      </c>
      <c r="J6" s="7" t="s">
        <v>195</v>
      </c>
      <c r="K6" s="7" t="s">
        <v>195</v>
      </c>
      <c r="L6" s="7" t="s">
        <v>195</v>
      </c>
      <c r="M6" s="7" t="s">
        <v>29</v>
      </c>
      <c r="N6" s="7" t="s">
        <v>29</v>
      </c>
      <c r="O6" s="7" t="s">
        <v>29</v>
      </c>
      <c r="P6" s="7" t="s">
        <v>29</v>
      </c>
      <c r="Q6" s="7" t="s">
        <v>29</v>
      </c>
      <c r="R6" s="7" t="s">
        <v>29</v>
      </c>
      <c r="S6" s="7" t="s">
        <v>29</v>
      </c>
    </row>
    <row r="7" spans="1:19">
      <c r="B7" s="7" t="s">
        <v>195</v>
      </c>
      <c r="C7" s="8" t="s">
        <v>195</v>
      </c>
      <c r="D7" s="5" t="str">
        <f>LRTRIM(CONCATENATE(IF(SUMPRODUCT(-- ISNUMBER(SEARCH({"Auto Number"}, $B7))) &gt; 0, $B7, IF(SUMPRODUCT(-- ISNUMBER(SEARCH({"Lookup","Master-Detail"}, $B7))) &gt; 0,$B7 &amp; "(" &amp; $E7 &amp; ")",IF(SUMPRODUCT(-- ISNUMBER(SEARCH({"Formula","Roll-Up Summary"}, $B7))) &gt; 0,$B7 &amp; " (" &amp; $E7 &amp; ")",IF(SUMPRODUCT(-- ISNUMBER(SEARCH({"Content","Currency","Number","Percent","Text","URL"}, $B7))) &gt; 0,$B7 &amp; "(" &amp; $C7 &amp; ")",$B7)))), "  ", TRIM(IF($S7 = "YES", "(External ID)", "") &amp; " " &amp; IF(SUMPRODUCT(-- ISNUMBER(SEARCH({"Unique","Unique Case Insensitive"}, $R7))) &gt; 0, "(" &amp; $R7 &amp; ")", ""))))</f>
        <v>na</v>
      </c>
      <c r="E7" s="7" t="s">
        <v>195</v>
      </c>
      <c r="F7" s="7" t="s">
        <v>195</v>
      </c>
      <c r="G7" s="7" t="s">
        <v>195</v>
      </c>
      <c r="H7" s="7" t="s">
        <v>195</v>
      </c>
      <c r="I7" s="7" t="s">
        <v>195</v>
      </c>
      <c r="J7" s="7" t="s">
        <v>195</v>
      </c>
      <c r="K7" s="7" t="s">
        <v>195</v>
      </c>
      <c r="L7" s="7" t="s">
        <v>195</v>
      </c>
      <c r="M7" s="7" t="s">
        <v>29</v>
      </c>
      <c r="N7" s="7" t="s">
        <v>29</v>
      </c>
      <c r="O7" s="7" t="s">
        <v>29</v>
      </c>
      <c r="P7" s="7" t="s">
        <v>29</v>
      </c>
      <c r="Q7" s="7" t="s">
        <v>29</v>
      </c>
      <c r="R7" s="7" t="s">
        <v>29</v>
      </c>
      <c r="S7" s="7" t="s">
        <v>29</v>
      </c>
    </row>
    <row r="8" spans="1:19">
      <c r="B8" s="7" t="s">
        <v>195</v>
      </c>
      <c r="C8" s="8" t="s">
        <v>195</v>
      </c>
      <c r="D8" s="5" t="str">
        <f>LRTRIM(CONCATENATE(IF(SUMPRODUCT(-- ISNUMBER(SEARCH({"Auto Number"}, $B8))) &gt; 0, $B8, IF(SUMPRODUCT(-- ISNUMBER(SEARCH({"Lookup","Master-Detail"}, $B8))) &gt; 0,$B8 &amp; "(" &amp; $E8 &amp; ")",IF(SUMPRODUCT(-- ISNUMBER(SEARCH({"Formula","Roll-Up Summary"}, $B8))) &gt; 0,$B8 &amp; " (" &amp; $E8 &amp; ")",IF(SUMPRODUCT(-- ISNUMBER(SEARCH({"Content","Currency","Number","Percent","Text","URL"}, $B8))) &gt; 0,$B8 &amp; "(" &amp; $C8 &amp; ")",$B8)))), "  ", TRIM(IF($S8 = "YES", "(External ID)", "") &amp; " " &amp; IF(SUMPRODUCT(-- ISNUMBER(SEARCH({"Unique","Unique Case Insensitive"}, $R8))) &gt; 0, "(" &amp; $R8 &amp; ")", ""))))</f>
        <v>na</v>
      </c>
      <c r="E8" s="7" t="s">
        <v>195</v>
      </c>
      <c r="F8" s="7" t="s">
        <v>195</v>
      </c>
      <c r="G8" s="7" t="s">
        <v>195</v>
      </c>
      <c r="H8" s="7" t="s">
        <v>195</v>
      </c>
      <c r="I8" s="7" t="s">
        <v>195</v>
      </c>
      <c r="J8" s="7" t="s">
        <v>195</v>
      </c>
      <c r="K8" s="7" t="s">
        <v>195</v>
      </c>
      <c r="L8" s="7" t="s">
        <v>195</v>
      </c>
      <c r="M8" s="7" t="s">
        <v>29</v>
      </c>
      <c r="N8" s="7" t="s">
        <v>29</v>
      </c>
      <c r="O8" s="7" t="s">
        <v>29</v>
      </c>
      <c r="P8" s="7" t="s">
        <v>29</v>
      </c>
      <c r="Q8" s="7" t="s">
        <v>29</v>
      </c>
      <c r="R8" s="7" t="s">
        <v>29</v>
      </c>
      <c r="S8" s="7" t="s">
        <v>29</v>
      </c>
    </row>
    <row r="9" spans="1:19">
      <c r="B9" s="7" t="s">
        <v>195</v>
      </c>
      <c r="C9" s="8" t="s">
        <v>195</v>
      </c>
      <c r="D9" s="5" t="str">
        <f>LRTRIM(CONCATENATE(IF(SUMPRODUCT(-- ISNUMBER(SEARCH({"Auto Number"}, $B9))) &gt; 0, $B9, IF(SUMPRODUCT(-- ISNUMBER(SEARCH({"Lookup","Master-Detail"}, $B9))) &gt; 0,$B9 &amp; "(" &amp; $E9 &amp; ")",IF(SUMPRODUCT(-- ISNUMBER(SEARCH({"Formula","Roll-Up Summary"}, $B9))) &gt; 0,$B9 &amp; " (" &amp; $E9 &amp; ")",IF(SUMPRODUCT(-- ISNUMBER(SEARCH({"Content","Currency","Number","Percent","Text","URL"}, $B9))) &gt; 0,$B9 &amp; "(" &amp; $C9 &amp; ")",$B9)))), "  ", TRIM(IF($S9 = "YES", "(External ID)", "") &amp; " " &amp; IF(SUMPRODUCT(-- ISNUMBER(SEARCH({"Unique","Unique Case Insensitive"}, $R9))) &gt; 0, "(" &amp; $R9 &amp; ")", ""))))</f>
        <v>na</v>
      </c>
      <c r="E9" s="7" t="s">
        <v>195</v>
      </c>
      <c r="F9" s="7" t="s">
        <v>195</v>
      </c>
      <c r="G9" s="7" t="s">
        <v>195</v>
      </c>
      <c r="H9" s="7" t="s">
        <v>195</v>
      </c>
      <c r="I9" s="7" t="s">
        <v>195</v>
      </c>
      <c r="J9" s="7" t="s">
        <v>195</v>
      </c>
      <c r="K9" s="7" t="s">
        <v>195</v>
      </c>
      <c r="L9" s="7" t="s">
        <v>195</v>
      </c>
      <c r="M9" s="7" t="s">
        <v>29</v>
      </c>
      <c r="N9" s="7" t="s">
        <v>29</v>
      </c>
      <c r="O9" s="7" t="s">
        <v>29</v>
      </c>
      <c r="P9" s="7" t="s">
        <v>29</v>
      </c>
      <c r="Q9" s="7" t="s">
        <v>29</v>
      </c>
      <c r="R9" s="7" t="s">
        <v>29</v>
      </c>
      <c r="S9" s="7" t="s">
        <v>29</v>
      </c>
    </row>
    <row r="10" spans="1:19">
      <c r="B10" s="7" t="s">
        <v>195</v>
      </c>
      <c r="C10" s="8" t="s">
        <v>195</v>
      </c>
      <c r="D10" s="5" t="str">
        <f>LRTRIM(CONCATENATE(IF(SUMPRODUCT(-- ISNUMBER(SEARCH({"Auto Number"}, $B10))) &gt; 0, $B10, IF(SUMPRODUCT(-- ISNUMBER(SEARCH({"Lookup","Master-Detail"}, $B10))) &gt; 0,$B10 &amp; "(" &amp; $E10 &amp; ")",IF(SUMPRODUCT(-- ISNUMBER(SEARCH({"Formula","Roll-Up Summary"}, $B10))) &gt; 0,$B10 &amp; " (" &amp; $E10 &amp; ")",IF(SUMPRODUCT(-- ISNUMBER(SEARCH({"Content","Currency","Number","Percent","Text","URL"}, $B10))) &gt; 0,$B10 &amp; "(" &amp; $C10 &amp; ")",$B10)))), "  ", TRIM(IF($S10 = "YES", "(External ID)", "") &amp; " " &amp; IF(SUMPRODUCT(-- ISNUMBER(SEARCH({"Unique","Unique Case Insensitive"}, $R10))) &gt; 0, "(" &amp; $R10 &amp; ")", ""))))</f>
        <v>na</v>
      </c>
      <c r="E10" s="7" t="s">
        <v>195</v>
      </c>
      <c r="F10" s="7" t="s">
        <v>195</v>
      </c>
      <c r="G10" s="7" t="s">
        <v>195</v>
      </c>
      <c r="H10" s="7" t="s">
        <v>195</v>
      </c>
      <c r="I10" s="7" t="s">
        <v>195</v>
      </c>
      <c r="J10" s="7" t="s">
        <v>195</v>
      </c>
      <c r="K10" s="7" t="s">
        <v>195</v>
      </c>
      <c r="L10" s="7" t="s">
        <v>195</v>
      </c>
      <c r="M10" s="7" t="s">
        <v>29</v>
      </c>
      <c r="N10" s="7" t="s">
        <v>29</v>
      </c>
      <c r="O10" s="7" t="s">
        <v>29</v>
      </c>
      <c r="P10" s="7" t="s">
        <v>29</v>
      </c>
      <c r="Q10" s="7" t="s">
        <v>29</v>
      </c>
      <c r="R10" s="7" t="s">
        <v>29</v>
      </c>
      <c r="S10" s="7" t="s">
        <v>29</v>
      </c>
    </row>
    <row r="11" spans="1:19">
      <c r="B11" s="7" t="s">
        <v>195</v>
      </c>
      <c r="C11" s="8" t="s">
        <v>195</v>
      </c>
      <c r="D11" s="5" t="str">
        <f>LRTRIM(CONCATENATE(IF(SUMPRODUCT(-- ISNUMBER(SEARCH({"Auto Number"}, $B11))) &gt; 0, $B11, IF(SUMPRODUCT(-- ISNUMBER(SEARCH({"Lookup","Master-Detail"}, $B11))) &gt; 0,$B11 &amp; "(" &amp; $E11 &amp; ")",IF(SUMPRODUCT(-- ISNUMBER(SEARCH({"Formula","Roll-Up Summary"}, $B11))) &gt; 0,$B11 &amp; " (" &amp; $E11 &amp; ")",IF(SUMPRODUCT(-- ISNUMBER(SEARCH({"Content","Currency","Number","Percent","Text","URL"}, $B11))) &gt; 0,$B11 &amp; "(" &amp; $C11 &amp; ")",$B11)))), "  ", TRIM(IF($S11 = "YES", "(External ID)", "") &amp; " " &amp; IF(SUMPRODUCT(-- ISNUMBER(SEARCH({"Unique","Unique Case Insensitive"}, $R11))) &gt; 0, "(" &amp; $R11 &amp; ")", ""))))</f>
        <v>na</v>
      </c>
      <c r="E11" s="7" t="s">
        <v>195</v>
      </c>
      <c r="F11" s="7" t="s">
        <v>195</v>
      </c>
      <c r="G11" s="7" t="s">
        <v>195</v>
      </c>
      <c r="H11" s="7" t="s">
        <v>195</v>
      </c>
      <c r="I11" s="7" t="s">
        <v>195</v>
      </c>
      <c r="J11" s="7" t="s">
        <v>195</v>
      </c>
      <c r="K11" s="7" t="s">
        <v>195</v>
      </c>
      <c r="L11" s="7" t="s">
        <v>195</v>
      </c>
      <c r="M11" s="7" t="s">
        <v>29</v>
      </c>
      <c r="N11" s="7" t="s">
        <v>29</v>
      </c>
      <c r="O11" s="7" t="s">
        <v>29</v>
      </c>
      <c r="P11" s="7" t="s">
        <v>29</v>
      </c>
      <c r="Q11" s="7" t="s">
        <v>29</v>
      </c>
      <c r="R11" s="7" t="s">
        <v>29</v>
      </c>
      <c r="S11" s="7" t="s">
        <v>29</v>
      </c>
    </row>
    <row r="12" spans="1:19">
      <c r="B12" s="7" t="s">
        <v>195</v>
      </c>
      <c r="C12" s="8" t="s">
        <v>195</v>
      </c>
      <c r="D12" s="5" t="str">
        <f>LRTRIM(CONCATENATE(IF(SUMPRODUCT(-- ISNUMBER(SEARCH({"Auto Number"}, $B12))) &gt; 0, $B12, IF(SUMPRODUCT(-- ISNUMBER(SEARCH({"Lookup","Master-Detail"}, $B12))) &gt; 0,$B12 &amp; "(" &amp; $E12 &amp; ")",IF(SUMPRODUCT(-- ISNUMBER(SEARCH({"Formula","Roll-Up Summary"}, $B12))) &gt; 0,$B12 &amp; " (" &amp; $E12 &amp; ")",IF(SUMPRODUCT(-- ISNUMBER(SEARCH({"Content","Currency","Number","Percent","Text","URL"}, $B12))) &gt; 0,$B12 &amp; "(" &amp; $C12 &amp; ")",$B12)))), "  ", TRIM(IF($S12 = "YES", "(External ID)", "") &amp; " " &amp; IF(SUMPRODUCT(-- ISNUMBER(SEARCH({"Unique","Unique Case Insensitive"}, $R12))) &gt; 0, "(" &amp; $R12 &amp; ")", ""))))</f>
        <v>na</v>
      </c>
      <c r="E12" s="7" t="s">
        <v>195</v>
      </c>
      <c r="F12" s="7" t="s">
        <v>195</v>
      </c>
      <c r="G12" s="7" t="s">
        <v>195</v>
      </c>
      <c r="H12" s="7" t="s">
        <v>195</v>
      </c>
      <c r="I12" s="7" t="s">
        <v>195</v>
      </c>
      <c r="J12" s="7" t="s">
        <v>195</v>
      </c>
      <c r="K12" s="7" t="s">
        <v>195</v>
      </c>
      <c r="L12" s="7" t="s">
        <v>195</v>
      </c>
      <c r="M12" s="7" t="s">
        <v>29</v>
      </c>
      <c r="N12" s="7" t="s">
        <v>29</v>
      </c>
      <c r="O12" s="7" t="s">
        <v>29</v>
      </c>
      <c r="P12" s="7" t="s">
        <v>29</v>
      </c>
      <c r="Q12" s="7" t="s">
        <v>29</v>
      </c>
      <c r="R12" s="7" t="s">
        <v>29</v>
      </c>
      <c r="S12" s="7" t="s">
        <v>29</v>
      </c>
    </row>
    <row r="13" spans="1:19">
      <c r="B13" s="7" t="s">
        <v>195</v>
      </c>
      <c r="C13" s="8" t="s">
        <v>195</v>
      </c>
      <c r="D13" s="5" t="str">
        <f>LRTRIM(CONCATENATE(IF(SUMPRODUCT(-- ISNUMBER(SEARCH({"Auto Number"}, $B13))) &gt; 0, $B13, IF(SUMPRODUCT(-- ISNUMBER(SEARCH({"Lookup","Master-Detail"}, $B13))) &gt; 0,$B13 &amp; "(" &amp; $E13 &amp; ")",IF(SUMPRODUCT(-- ISNUMBER(SEARCH({"Formula","Roll-Up Summary"}, $B13))) &gt; 0,$B13 &amp; " (" &amp; $E13 &amp; ")",IF(SUMPRODUCT(-- ISNUMBER(SEARCH({"Content","Currency","Number","Percent","Text","URL"}, $B13))) &gt; 0,$B13 &amp; "(" &amp; $C13 &amp; ")",$B13)))), "  ", TRIM(IF($S13 = "YES", "(External ID)", "") &amp; " " &amp; IF(SUMPRODUCT(-- ISNUMBER(SEARCH({"Unique","Unique Case Insensitive"}, $R13))) &gt; 0, "(" &amp; $R13 &amp; ")", ""))))</f>
        <v>na</v>
      </c>
      <c r="E13" s="7" t="s">
        <v>195</v>
      </c>
      <c r="F13" s="7" t="s">
        <v>195</v>
      </c>
      <c r="G13" s="7" t="s">
        <v>195</v>
      </c>
      <c r="H13" s="7" t="s">
        <v>195</v>
      </c>
      <c r="I13" s="7" t="s">
        <v>195</v>
      </c>
      <c r="J13" s="7" t="s">
        <v>195</v>
      </c>
      <c r="K13" s="7" t="s">
        <v>195</v>
      </c>
      <c r="L13" s="7" t="s">
        <v>195</v>
      </c>
      <c r="M13" s="7" t="s">
        <v>29</v>
      </c>
      <c r="N13" s="7" t="s">
        <v>29</v>
      </c>
      <c r="O13" s="7" t="s">
        <v>29</v>
      </c>
      <c r="P13" s="7" t="s">
        <v>29</v>
      </c>
      <c r="Q13" s="7" t="s">
        <v>29</v>
      </c>
      <c r="R13" s="7" t="s">
        <v>29</v>
      </c>
      <c r="S13" s="7" t="s">
        <v>29</v>
      </c>
    </row>
    <row r="14" spans="1:19">
      <c r="B14" s="7" t="s">
        <v>195</v>
      </c>
      <c r="C14" s="8" t="s">
        <v>195</v>
      </c>
      <c r="D14" s="5" t="str">
        <f>LRTRIM(CONCATENATE(IF(SUMPRODUCT(-- ISNUMBER(SEARCH({"Auto Number"}, $B14))) &gt; 0, $B14, IF(SUMPRODUCT(-- ISNUMBER(SEARCH({"Lookup","Master-Detail"}, $B14))) &gt; 0,$B14 &amp; "(" &amp; $E14 &amp; ")",IF(SUMPRODUCT(-- ISNUMBER(SEARCH({"Formula","Roll-Up Summary"}, $B14))) &gt; 0,$B14 &amp; " (" &amp; $E14 &amp; ")",IF(SUMPRODUCT(-- ISNUMBER(SEARCH({"Content","Currency","Number","Percent","Text","URL"}, $B14))) &gt; 0,$B14 &amp; "(" &amp; $C14 &amp; ")",$B14)))), "  ", TRIM(IF($S14 = "YES", "(External ID)", "") &amp; " " &amp; IF(SUMPRODUCT(-- ISNUMBER(SEARCH({"Unique","Unique Case Insensitive"}, $R14))) &gt; 0, "(" &amp; $R14 &amp; ")", ""))))</f>
        <v>na</v>
      </c>
      <c r="E14" s="7" t="s">
        <v>195</v>
      </c>
      <c r="F14" s="7" t="s">
        <v>195</v>
      </c>
      <c r="G14" s="7" t="s">
        <v>195</v>
      </c>
      <c r="H14" s="7" t="s">
        <v>195</v>
      </c>
      <c r="I14" s="7" t="s">
        <v>195</v>
      </c>
      <c r="J14" s="7" t="s">
        <v>195</v>
      </c>
      <c r="K14" s="7" t="s">
        <v>195</v>
      </c>
      <c r="L14" s="7" t="s">
        <v>195</v>
      </c>
      <c r="M14" s="7" t="s">
        <v>29</v>
      </c>
      <c r="N14" s="7" t="s">
        <v>29</v>
      </c>
      <c r="O14" s="7" t="s">
        <v>29</v>
      </c>
      <c r="P14" s="7" t="s">
        <v>29</v>
      </c>
      <c r="Q14" s="7" t="s">
        <v>29</v>
      </c>
      <c r="R14" s="7" t="s">
        <v>29</v>
      </c>
      <c r="S14" s="7" t="s">
        <v>29</v>
      </c>
    </row>
    <row r="15" spans="1:19">
      <c r="B15" s="7" t="s">
        <v>195</v>
      </c>
      <c r="C15" s="8" t="s">
        <v>195</v>
      </c>
      <c r="D15" s="5" t="str">
        <f>LRTRIM(CONCATENATE(IF(SUMPRODUCT(-- ISNUMBER(SEARCH({"Auto Number"}, $B15))) &gt; 0, $B15, IF(SUMPRODUCT(-- ISNUMBER(SEARCH({"Lookup","Master-Detail"}, $B15))) &gt; 0,$B15 &amp; "(" &amp; $E15 &amp; ")",IF(SUMPRODUCT(-- ISNUMBER(SEARCH({"Formula","Roll-Up Summary"}, $B15))) &gt; 0,$B15 &amp; " (" &amp; $E15 &amp; ")",IF(SUMPRODUCT(-- ISNUMBER(SEARCH({"Content","Currency","Number","Percent","Text","URL"}, $B15))) &gt; 0,$B15 &amp; "(" &amp; $C15 &amp; ")",$B15)))), "  ", TRIM(IF($S15 = "YES", "(External ID)", "") &amp; " " &amp; IF(SUMPRODUCT(-- ISNUMBER(SEARCH({"Unique","Unique Case Insensitive"}, $R15))) &gt; 0, "(" &amp; $R15 &amp; ")", ""))))</f>
        <v>na</v>
      </c>
      <c r="E15" s="7" t="s">
        <v>195</v>
      </c>
      <c r="F15" s="7" t="s">
        <v>195</v>
      </c>
      <c r="G15" s="7" t="s">
        <v>195</v>
      </c>
      <c r="H15" s="7" t="s">
        <v>195</v>
      </c>
      <c r="I15" s="7" t="s">
        <v>195</v>
      </c>
      <c r="J15" s="7" t="s">
        <v>195</v>
      </c>
      <c r="K15" s="7" t="s">
        <v>195</v>
      </c>
      <c r="L15" s="7" t="s">
        <v>195</v>
      </c>
      <c r="M15" s="7" t="s">
        <v>29</v>
      </c>
      <c r="N15" s="7" t="s">
        <v>29</v>
      </c>
      <c r="O15" s="7" t="s">
        <v>29</v>
      </c>
      <c r="P15" s="7" t="s">
        <v>29</v>
      </c>
      <c r="Q15" s="7" t="s">
        <v>29</v>
      </c>
      <c r="R15" s="7" t="s">
        <v>29</v>
      </c>
      <c r="S15" s="7" t="s">
        <v>29</v>
      </c>
    </row>
    <row r="16" spans="1:19">
      <c r="B16" s="7" t="s">
        <v>195</v>
      </c>
      <c r="C16" s="8" t="s">
        <v>195</v>
      </c>
      <c r="D16" s="5" t="str">
        <f>LRTRIM(CONCATENATE(IF(SUMPRODUCT(-- ISNUMBER(SEARCH({"Auto Number"}, $B16))) &gt; 0, $B16, IF(SUMPRODUCT(-- ISNUMBER(SEARCH({"Lookup","Master-Detail"}, $B16))) &gt; 0,$B16 &amp; "(" &amp; $E16 &amp; ")",IF(SUMPRODUCT(-- ISNUMBER(SEARCH({"Formula","Roll-Up Summary"}, $B16))) &gt; 0,$B16 &amp; " (" &amp; $E16 &amp; ")",IF(SUMPRODUCT(-- ISNUMBER(SEARCH({"Content","Currency","Number","Percent","Text","URL"}, $B16))) &gt; 0,$B16 &amp; "(" &amp; $C16 &amp; ")",$B16)))), "  ", TRIM(IF($S16 = "YES", "(External ID)", "") &amp; " " &amp; IF(SUMPRODUCT(-- ISNUMBER(SEARCH({"Unique","Unique Case Insensitive"}, $R16))) &gt; 0, "(" &amp; $R16 &amp; ")", ""))))</f>
        <v>na</v>
      </c>
      <c r="E16" s="7" t="s">
        <v>195</v>
      </c>
      <c r="F16" s="7" t="s">
        <v>195</v>
      </c>
      <c r="G16" s="7" t="s">
        <v>195</v>
      </c>
      <c r="H16" s="7" t="s">
        <v>195</v>
      </c>
      <c r="I16" s="7" t="s">
        <v>195</v>
      </c>
      <c r="J16" s="7" t="s">
        <v>195</v>
      </c>
      <c r="K16" s="7" t="s">
        <v>195</v>
      </c>
      <c r="L16" s="7" t="s">
        <v>195</v>
      </c>
      <c r="M16" s="7" t="s">
        <v>29</v>
      </c>
      <c r="N16" s="7" t="s">
        <v>29</v>
      </c>
      <c r="O16" s="7" t="s">
        <v>29</v>
      </c>
      <c r="P16" s="7" t="s">
        <v>29</v>
      </c>
      <c r="Q16" s="7" t="s">
        <v>29</v>
      </c>
      <c r="R16" s="7" t="s">
        <v>29</v>
      </c>
      <c r="S16" s="7" t="s">
        <v>29</v>
      </c>
    </row>
    <row r="17" spans="2:19">
      <c r="B17" s="7" t="s">
        <v>195</v>
      </c>
      <c r="C17" s="8" t="s">
        <v>195</v>
      </c>
      <c r="D17" s="5" t="str">
        <f>LRTRIM(CONCATENATE(IF(SUMPRODUCT(-- ISNUMBER(SEARCH({"Auto Number"}, $B17))) &gt; 0, $B17, IF(SUMPRODUCT(-- ISNUMBER(SEARCH({"Lookup","Master-Detail"}, $B17))) &gt; 0,$B17 &amp; "(" &amp; $E17 &amp; ")",IF(SUMPRODUCT(-- ISNUMBER(SEARCH({"Formula","Roll-Up Summary"}, $B17))) &gt; 0,$B17 &amp; " (" &amp; $E17 &amp; ")",IF(SUMPRODUCT(-- ISNUMBER(SEARCH({"Content","Currency","Number","Percent","Text","URL"}, $B17))) &gt; 0,$B17 &amp; "(" &amp; $C17 &amp; ")",$B17)))), "  ", TRIM(IF($S17 = "YES", "(External ID)", "") &amp; " " &amp; IF(SUMPRODUCT(-- ISNUMBER(SEARCH({"Unique","Unique Case Insensitive"}, $R17))) &gt; 0, "(" &amp; $R17 &amp; ")", ""))))</f>
        <v>na</v>
      </c>
      <c r="E17" s="7" t="s">
        <v>195</v>
      </c>
      <c r="F17" s="7" t="s">
        <v>195</v>
      </c>
      <c r="G17" s="7" t="s">
        <v>195</v>
      </c>
      <c r="H17" s="7" t="s">
        <v>195</v>
      </c>
      <c r="I17" s="7" t="s">
        <v>195</v>
      </c>
      <c r="J17" s="7" t="s">
        <v>195</v>
      </c>
      <c r="K17" s="7" t="s">
        <v>195</v>
      </c>
      <c r="L17" s="7" t="s">
        <v>195</v>
      </c>
      <c r="M17" s="7" t="s">
        <v>29</v>
      </c>
      <c r="N17" s="7" t="s">
        <v>29</v>
      </c>
      <c r="O17" s="7" t="s">
        <v>29</v>
      </c>
      <c r="P17" s="7" t="s">
        <v>29</v>
      </c>
      <c r="Q17" s="7" t="s">
        <v>29</v>
      </c>
      <c r="R17" s="7" t="s">
        <v>29</v>
      </c>
      <c r="S17" s="7" t="s">
        <v>29</v>
      </c>
    </row>
    <row r="18" spans="2:19">
      <c r="B18" s="7" t="s">
        <v>195</v>
      </c>
      <c r="C18" s="8" t="s">
        <v>195</v>
      </c>
      <c r="D18" s="5" t="str">
        <f>LRTRIM(CONCATENATE(IF(SUMPRODUCT(-- ISNUMBER(SEARCH({"Auto Number"}, $B18))) &gt; 0, $B18, IF(SUMPRODUCT(-- ISNUMBER(SEARCH({"Lookup","Master-Detail"}, $B18))) &gt; 0,$B18 &amp; "(" &amp; $E18 &amp; ")",IF(SUMPRODUCT(-- ISNUMBER(SEARCH({"Formula","Roll-Up Summary"}, $B18))) &gt; 0,$B18 &amp; " (" &amp; $E18 &amp; ")",IF(SUMPRODUCT(-- ISNUMBER(SEARCH({"Content","Currency","Number","Percent","Text","URL"}, $B18))) &gt; 0,$B18 &amp; "(" &amp; $C18 &amp; ")",$B18)))), "  ", TRIM(IF($S18 = "YES", "(External ID)", "") &amp; " " &amp; IF(SUMPRODUCT(-- ISNUMBER(SEARCH({"Unique","Unique Case Insensitive"}, $R18))) &gt; 0, "(" &amp; $R18 &amp; ")", ""))))</f>
        <v>na</v>
      </c>
      <c r="E18" s="7" t="s">
        <v>195</v>
      </c>
      <c r="F18" s="7" t="s">
        <v>195</v>
      </c>
      <c r="G18" s="7" t="s">
        <v>195</v>
      </c>
      <c r="H18" s="7" t="s">
        <v>195</v>
      </c>
      <c r="I18" s="7" t="s">
        <v>195</v>
      </c>
      <c r="J18" s="7" t="s">
        <v>195</v>
      </c>
      <c r="K18" s="7" t="s">
        <v>195</v>
      </c>
      <c r="L18" s="7" t="s">
        <v>195</v>
      </c>
      <c r="M18" s="7" t="s">
        <v>29</v>
      </c>
      <c r="N18" s="7" t="s">
        <v>29</v>
      </c>
      <c r="O18" s="7" t="s">
        <v>29</v>
      </c>
      <c r="P18" s="7" t="s">
        <v>29</v>
      </c>
      <c r="Q18" s="7" t="s">
        <v>29</v>
      </c>
      <c r="R18" s="7" t="s">
        <v>29</v>
      </c>
      <c r="S18" s="7" t="s">
        <v>29</v>
      </c>
    </row>
    <row r="19" spans="2:19">
      <c r="B19" s="7" t="s">
        <v>195</v>
      </c>
      <c r="C19" s="8" t="s">
        <v>195</v>
      </c>
      <c r="D19" s="5" t="str">
        <f>LRTRIM(CONCATENATE(IF(SUMPRODUCT(-- ISNUMBER(SEARCH({"Auto Number"}, $B19))) &gt; 0, $B19, IF(SUMPRODUCT(-- ISNUMBER(SEARCH({"Lookup","Master-Detail"}, $B19))) &gt; 0,$B19 &amp; "(" &amp; $E19 &amp; ")",IF(SUMPRODUCT(-- ISNUMBER(SEARCH({"Formula","Roll-Up Summary"}, $B19))) &gt; 0,$B19 &amp; " (" &amp; $E19 &amp; ")",IF(SUMPRODUCT(-- ISNUMBER(SEARCH({"Content","Currency","Number","Percent","Text","URL"}, $B19))) &gt; 0,$B19 &amp; "(" &amp; $C19 &amp; ")",$B19)))), "  ", TRIM(IF($S19 = "YES", "(External ID)", "") &amp; " " &amp; IF(SUMPRODUCT(-- ISNUMBER(SEARCH({"Unique","Unique Case Insensitive"}, $R19))) &gt; 0, "(" &amp; $R19 &amp; ")", ""))))</f>
        <v>na</v>
      </c>
      <c r="E19" s="7" t="s">
        <v>195</v>
      </c>
      <c r="F19" s="7" t="s">
        <v>195</v>
      </c>
      <c r="G19" s="7" t="s">
        <v>195</v>
      </c>
      <c r="H19" s="7" t="s">
        <v>195</v>
      </c>
      <c r="I19" s="7" t="s">
        <v>195</v>
      </c>
      <c r="J19" s="7" t="s">
        <v>195</v>
      </c>
      <c r="K19" s="7" t="s">
        <v>195</v>
      </c>
      <c r="L19" s="7" t="s">
        <v>195</v>
      </c>
      <c r="M19" s="7" t="s">
        <v>29</v>
      </c>
      <c r="N19" s="7" t="s">
        <v>29</v>
      </c>
      <c r="O19" s="7" t="s">
        <v>29</v>
      </c>
      <c r="P19" s="7" t="s">
        <v>29</v>
      </c>
      <c r="Q19" s="7" t="s">
        <v>29</v>
      </c>
      <c r="R19" s="7" t="s">
        <v>29</v>
      </c>
      <c r="S19" s="7" t="s">
        <v>29</v>
      </c>
    </row>
    <row r="20" spans="2:19">
      <c r="B20" s="7" t="s">
        <v>195</v>
      </c>
      <c r="C20" s="8" t="s">
        <v>195</v>
      </c>
      <c r="D20" s="5" t="str">
        <f>LRTRIM(CONCATENATE(IF(SUMPRODUCT(-- ISNUMBER(SEARCH({"Auto Number"}, $B20))) &gt; 0, $B20, IF(SUMPRODUCT(-- ISNUMBER(SEARCH({"Lookup","Master-Detail"}, $B20))) &gt; 0,$B20 &amp; "(" &amp; $E20 &amp; ")",IF(SUMPRODUCT(-- ISNUMBER(SEARCH({"Formula","Roll-Up Summary"}, $B20))) &gt; 0,$B20 &amp; " (" &amp; $E20 &amp; ")",IF(SUMPRODUCT(-- ISNUMBER(SEARCH({"Content","Currency","Number","Percent","Text","URL"}, $B20))) &gt; 0,$B20 &amp; "(" &amp; $C20 &amp; ")",$B20)))), "  ", TRIM(IF($S20 = "YES", "(External ID)", "") &amp; " " &amp; IF(SUMPRODUCT(-- ISNUMBER(SEARCH({"Unique","Unique Case Insensitive"}, $R20))) &gt; 0, "(" &amp; $R20 &amp; ")", ""))))</f>
        <v>na</v>
      </c>
      <c r="E20" s="7" t="s">
        <v>195</v>
      </c>
      <c r="F20" s="7" t="s">
        <v>195</v>
      </c>
      <c r="G20" s="7" t="s">
        <v>195</v>
      </c>
      <c r="H20" s="7" t="s">
        <v>195</v>
      </c>
      <c r="I20" s="7" t="s">
        <v>195</v>
      </c>
      <c r="J20" s="7" t="s">
        <v>195</v>
      </c>
      <c r="K20" s="7" t="s">
        <v>195</v>
      </c>
      <c r="L20" s="7" t="s">
        <v>195</v>
      </c>
      <c r="M20" s="7" t="s">
        <v>29</v>
      </c>
      <c r="N20" s="7" t="s">
        <v>29</v>
      </c>
      <c r="O20" s="7" t="s">
        <v>29</v>
      </c>
      <c r="P20" s="7" t="s">
        <v>29</v>
      </c>
      <c r="Q20" s="7" t="s">
        <v>29</v>
      </c>
      <c r="R20" s="7" t="s">
        <v>29</v>
      </c>
      <c r="S20" s="7" t="s">
        <v>29</v>
      </c>
    </row>
    <row r="21" spans="2:19">
      <c r="B21" s="7" t="s">
        <v>195</v>
      </c>
      <c r="C21" s="8" t="s">
        <v>195</v>
      </c>
      <c r="D21" s="5" t="str">
        <f>LRTRIM(CONCATENATE(IF(SUMPRODUCT(-- ISNUMBER(SEARCH({"Auto Number"}, $B21))) &gt; 0, $B21, IF(SUMPRODUCT(-- ISNUMBER(SEARCH({"Lookup","Master-Detail"}, $B21))) &gt; 0,$B21 &amp; "(" &amp; $E21 &amp; ")",IF(SUMPRODUCT(-- ISNUMBER(SEARCH({"Formula","Roll-Up Summary"}, $B21))) &gt; 0,$B21 &amp; " (" &amp; $E21 &amp; ")",IF(SUMPRODUCT(-- ISNUMBER(SEARCH({"Content","Currency","Number","Percent","Text","URL"}, $B21))) &gt; 0,$B21 &amp; "(" &amp; $C21 &amp; ")",$B21)))), "  ", TRIM(IF($S21 = "YES", "(External ID)", "") &amp; " " &amp; IF(SUMPRODUCT(-- ISNUMBER(SEARCH({"Unique","Unique Case Insensitive"}, $R21))) &gt; 0, "(" &amp; $R21 &amp; ")", ""))))</f>
        <v>na</v>
      </c>
      <c r="E21" s="7" t="s">
        <v>195</v>
      </c>
      <c r="F21" s="7" t="s">
        <v>195</v>
      </c>
      <c r="G21" s="7" t="s">
        <v>195</v>
      </c>
      <c r="H21" s="7" t="s">
        <v>195</v>
      </c>
      <c r="I21" s="7" t="s">
        <v>195</v>
      </c>
      <c r="J21" s="7" t="s">
        <v>195</v>
      </c>
      <c r="K21" s="7" t="s">
        <v>195</v>
      </c>
      <c r="L21" s="7" t="s">
        <v>195</v>
      </c>
      <c r="M21" s="7" t="s">
        <v>29</v>
      </c>
      <c r="N21" s="7" t="s">
        <v>29</v>
      </c>
      <c r="O21" s="7" t="s">
        <v>29</v>
      </c>
      <c r="P21" s="7" t="s">
        <v>29</v>
      </c>
      <c r="Q21" s="7" t="s">
        <v>29</v>
      </c>
      <c r="R21" s="7" t="s">
        <v>29</v>
      </c>
      <c r="S21" s="7" t="s">
        <v>29</v>
      </c>
    </row>
    <row r="22" spans="2:19">
      <c r="B22" s="7" t="s">
        <v>195</v>
      </c>
      <c r="C22" s="8" t="s">
        <v>195</v>
      </c>
      <c r="D22" s="5" t="str">
        <f>LRTRIM(CONCATENATE(IF(SUMPRODUCT(-- ISNUMBER(SEARCH({"Auto Number"}, $B22))) &gt; 0, $B22, IF(SUMPRODUCT(-- ISNUMBER(SEARCH({"Lookup","Master-Detail"}, $B22))) &gt; 0,$B22 &amp; "(" &amp; $E22 &amp; ")",IF(SUMPRODUCT(-- ISNUMBER(SEARCH({"Formula","Roll-Up Summary"}, $B22))) &gt; 0,$B22 &amp; " (" &amp; $E22 &amp; ")",IF(SUMPRODUCT(-- ISNUMBER(SEARCH({"Content","Currency","Number","Percent","Text","URL"}, $B22))) &gt; 0,$B22 &amp; "(" &amp; $C22 &amp; ")",$B22)))), "  ", TRIM(IF($S22 = "YES", "(External ID)", "") &amp; " " &amp; IF(SUMPRODUCT(-- ISNUMBER(SEARCH({"Unique","Unique Case Insensitive"}, $R22))) &gt; 0, "(" &amp; $R22 &amp; ")", ""))))</f>
        <v>na</v>
      </c>
      <c r="E22" s="7" t="s">
        <v>195</v>
      </c>
      <c r="F22" s="7" t="s">
        <v>195</v>
      </c>
      <c r="G22" s="7" t="s">
        <v>195</v>
      </c>
      <c r="H22" s="7" t="s">
        <v>195</v>
      </c>
      <c r="I22" s="7" t="s">
        <v>195</v>
      </c>
      <c r="J22" s="7" t="s">
        <v>195</v>
      </c>
      <c r="K22" s="7" t="s">
        <v>195</v>
      </c>
      <c r="L22" s="7" t="s">
        <v>195</v>
      </c>
      <c r="M22" s="7" t="s">
        <v>29</v>
      </c>
      <c r="N22" s="7" t="s">
        <v>29</v>
      </c>
      <c r="O22" s="7" t="s">
        <v>29</v>
      </c>
      <c r="P22" s="7" t="s">
        <v>29</v>
      </c>
      <c r="Q22" s="7" t="s">
        <v>29</v>
      </c>
      <c r="R22" s="7" t="s">
        <v>29</v>
      </c>
      <c r="S22" s="7" t="s">
        <v>29</v>
      </c>
    </row>
    <row r="23" spans="2:19">
      <c r="B23" s="7" t="s">
        <v>195</v>
      </c>
      <c r="C23" s="8" t="s">
        <v>195</v>
      </c>
      <c r="D23" s="5" t="str">
        <f>LRTRIM(CONCATENATE(IF(SUMPRODUCT(-- ISNUMBER(SEARCH({"Auto Number"}, $B23))) &gt; 0, $B23, IF(SUMPRODUCT(-- ISNUMBER(SEARCH({"Lookup","Master-Detail"}, $B23))) &gt; 0,$B23 &amp; "(" &amp; $E23 &amp; ")",IF(SUMPRODUCT(-- ISNUMBER(SEARCH({"Formula","Roll-Up Summary"}, $B23))) &gt; 0,$B23 &amp; " (" &amp; $E23 &amp; ")",IF(SUMPRODUCT(-- ISNUMBER(SEARCH({"Content","Currency","Number","Percent","Text","URL"}, $B23))) &gt; 0,$B23 &amp; "(" &amp; $C23 &amp; ")",$B23)))), "  ", TRIM(IF($S23 = "YES", "(External ID)", "") &amp; " " &amp; IF(SUMPRODUCT(-- ISNUMBER(SEARCH({"Unique","Unique Case Insensitive"}, $R23))) &gt; 0, "(" &amp; $R23 &amp; ")", ""))))</f>
        <v>na</v>
      </c>
      <c r="E23" s="7" t="s">
        <v>195</v>
      </c>
      <c r="F23" s="7" t="s">
        <v>195</v>
      </c>
      <c r="G23" s="7" t="s">
        <v>195</v>
      </c>
      <c r="H23" s="7" t="s">
        <v>195</v>
      </c>
      <c r="I23" s="7" t="s">
        <v>195</v>
      </c>
      <c r="J23" s="7" t="s">
        <v>195</v>
      </c>
      <c r="K23" s="7" t="s">
        <v>195</v>
      </c>
      <c r="L23" s="7" t="s">
        <v>195</v>
      </c>
      <c r="M23" s="7" t="s">
        <v>29</v>
      </c>
      <c r="N23" s="7" t="s">
        <v>29</v>
      </c>
      <c r="O23" s="7" t="s">
        <v>29</v>
      </c>
      <c r="P23" s="7" t="s">
        <v>29</v>
      </c>
      <c r="Q23" s="7" t="s">
        <v>29</v>
      </c>
      <c r="R23" s="7" t="s">
        <v>29</v>
      </c>
      <c r="S23" s="7" t="s">
        <v>29</v>
      </c>
    </row>
    <row r="24" spans="2:19">
      <c r="B24" s="7" t="s">
        <v>195</v>
      </c>
      <c r="C24" s="8" t="s">
        <v>195</v>
      </c>
      <c r="D24" s="5" t="str">
        <f>LRTRIM(CONCATENATE(IF(SUMPRODUCT(-- ISNUMBER(SEARCH({"Auto Number"}, $B24))) &gt; 0, $B24, IF(SUMPRODUCT(-- ISNUMBER(SEARCH({"Lookup","Master-Detail"}, $B24))) &gt; 0,$B24 &amp; "(" &amp; $E24 &amp; ")",IF(SUMPRODUCT(-- ISNUMBER(SEARCH({"Formula","Roll-Up Summary"}, $B24))) &gt; 0,$B24 &amp; " (" &amp; $E24 &amp; ")",IF(SUMPRODUCT(-- ISNUMBER(SEARCH({"Content","Currency","Number","Percent","Text","URL"}, $B24))) &gt; 0,$B24 &amp; "(" &amp; $C24 &amp; ")",$B24)))), "  ", TRIM(IF($S24 = "YES", "(External ID)", "") &amp; " " &amp; IF(SUMPRODUCT(-- ISNUMBER(SEARCH({"Unique","Unique Case Insensitive"}, $R24))) &gt; 0, "(" &amp; $R24 &amp; ")", ""))))</f>
        <v>na</v>
      </c>
      <c r="E24" s="7" t="s">
        <v>195</v>
      </c>
      <c r="F24" s="7" t="s">
        <v>195</v>
      </c>
      <c r="G24" s="7" t="s">
        <v>195</v>
      </c>
      <c r="H24" s="7" t="s">
        <v>195</v>
      </c>
      <c r="I24" s="7" t="s">
        <v>195</v>
      </c>
      <c r="J24" s="7" t="s">
        <v>195</v>
      </c>
      <c r="K24" s="7" t="s">
        <v>195</v>
      </c>
      <c r="L24" s="7" t="s">
        <v>195</v>
      </c>
      <c r="M24" s="7" t="s">
        <v>29</v>
      </c>
      <c r="N24" s="7" t="s">
        <v>29</v>
      </c>
      <c r="O24" s="7" t="s">
        <v>29</v>
      </c>
      <c r="P24" s="7" t="s">
        <v>29</v>
      </c>
      <c r="Q24" s="7" t="s">
        <v>29</v>
      </c>
      <c r="R24" s="7" t="s">
        <v>29</v>
      </c>
      <c r="S24" s="7" t="s">
        <v>29</v>
      </c>
    </row>
    <row r="25" spans="2:19">
      <c r="B25" s="7" t="s">
        <v>195</v>
      </c>
      <c r="C25" s="8" t="s">
        <v>195</v>
      </c>
      <c r="D25" s="5" t="str">
        <f>LRTRIM(CONCATENATE(IF(SUMPRODUCT(-- ISNUMBER(SEARCH({"Auto Number"}, $B25))) &gt; 0, $B25, IF(SUMPRODUCT(-- ISNUMBER(SEARCH({"Lookup","Master-Detail"}, $B25))) &gt; 0,$B25 &amp; "(" &amp; $E25 &amp; ")",IF(SUMPRODUCT(-- ISNUMBER(SEARCH({"Formula","Roll-Up Summary"}, $B25))) &gt; 0,$B25 &amp; " (" &amp; $E25 &amp; ")",IF(SUMPRODUCT(-- ISNUMBER(SEARCH({"Content","Currency","Number","Percent","Text","URL"}, $B25))) &gt; 0,$B25 &amp; "(" &amp; $C25 &amp; ")",$B25)))), "  ", TRIM(IF($S25 = "YES", "(External ID)", "") &amp; " " &amp; IF(SUMPRODUCT(-- ISNUMBER(SEARCH({"Unique","Unique Case Insensitive"}, $R25))) &gt; 0, "(" &amp; $R25 &amp; ")", ""))))</f>
        <v>na</v>
      </c>
      <c r="E25" s="7" t="s">
        <v>195</v>
      </c>
      <c r="F25" s="7" t="s">
        <v>195</v>
      </c>
      <c r="G25" s="7" t="s">
        <v>195</v>
      </c>
      <c r="H25" s="7" t="s">
        <v>195</v>
      </c>
      <c r="I25" s="7" t="s">
        <v>195</v>
      </c>
      <c r="J25" s="7" t="s">
        <v>195</v>
      </c>
      <c r="K25" s="7" t="s">
        <v>195</v>
      </c>
      <c r="L25" s="7" t="s">
        <v>195</v>
      </c>
      <c r="M25" s="7" t="s">
        <v>29</v>
      </c>
      <c r="N25" s="7" t="s">
        <v>29</v>
      </c>
      <c r="O25" s="7" t="s">
        <v>29</v>
      </c>
      <c r="P25" s="7" t="s">
        <v>29</v>
      </c>
      <c r="Q25" s="7" t="s">
        <v>29</v>
      </c>
      <c r="R25" s="7" t="s">
        <v>29</v>
      </c>
      <c r="S25" s="7" t="s">
        <v>29</v>
      </c>
    </row>
    <row r="26" spans="2:19">
      <c r="B26" s="7" t="s">
        <v>195</v>
      </c>
      <c r="C26" s="8" t="s">
        <v>195</v>
      </c>
      <c r="D26" s="5" t="str">
        <f>LRTRIM(CONCATENATE(IF(SUMPRODUCT(-- ISNUMBER(SEARCH({"Auto Number"}, $B26))) &gt; 0, $B26, IF(SUMPRODUCT(-- ISNUMBER(SEARCH({"Lookup","Master-Detail"}, $B26))) &gt; 0,$B26 &amp; "(" &amp; $E26 &amp; ")",IF(SUMPRODUCT(-- ISNUMBER(SEARCH({"Formula","Roll-Up Summary"}, $B26))) &gt; 0,$B26 &amp; " (" &amp; $E26 &amp; ")",IF(SUMPRODUCT(-- ISNUMBER(SEARCH({"Content","Currency","Number","Percent","Text","URL"}, $B26))) &gt; 0,$B26 &amp; "(" &amp; $C26 &amp; ")",$B26)))), "  ", TRIM(IF($S26 = "YES", "(External ID)", "") &amp; " " &amp; IF(SUMPRODUCT(-- ISNUMBER(SEARCH({"Unique","Unique Case Insensitive"}, $R26))) &gt; 0, "(" &amp; $R26 &amp; ")", ""))))</f>
        <v>na</v>
      </c>
      <c r="E26" s="7" t="s">
        <v>195</v>
      </c>
      <c r="F26" s="7" t="s">
        <v>195</v>
      </c>
      <c r="G26" s="7" t="s">
        <v>195</v>
      </c>
      <c r="H26" s="7" t="s">
        <v>195</v>
      </c>
      <c r="I26" s="7" t="s">
        <v>195</v>
      </c>
      <c r="J26" s="7" t="s">
        <v>195</v>
      </c>
      <c r="K26" s="7" t="s">
        <v>195</v>
      </c>
      <c r="L26" s="7" t="s">
        <v>195</v>
      </c>
      <c r="M26" s="7" t="s">
        <v>29</v>
      </c>
      <c r="N26" s="7" t="s">
        <v>29</v>
      </c>
      <c r="O26" s="7" t="s">
        <v>29</v>
      </c>
      <c r="P26" s="7" t="s">
        <v>29</v>
      </c>
      <c r="Q26" s="7" t="s">
        <v>29</v>
      </c>
      <c r="R26" s="7" t="s">
        <v>29</v>
      </c>
      <c r="S26" s="7" t="s">
        <v>29</v>
      </c>
    </row>
    <row r="27" spans="2:19">
      <c r="B27" s="7" t="s">
        <v>195</v>
      </c>
      <c r="C27" s="8" t="s">
        <v>195</v>
      </c>
      <c r="D27" s="5" t="str">
        <f>LRTRIM(CONCATENATE(IF(SUMPRODUCT(-- ISNUMBER(SEARCH({"Auto Number"}, $B27))) &gt; 0, $B27, IF(SUMPRODUCT(-- ISNUMBER(SEARCH({"Lookup","Master-Detail"}, $B27))) &gt; 0,$B27 &amp; "(" &amp; $E27 &amp; ")",IF(SUMPRODUCT(-- ISNUMBER(SEARCH({"Formula","Roll-Up Summary"}, $B27))) &gt; 0,$B27 &amp; " (" &amp; $E27 &amp; ")",IF(SUMPRODUCT(-- ISNUMBER(SEARCH({"Content","Currency","Number","Percent","Text","URL"}, $B27))) &gt; 0,$B27 &amp; "(" &amp; $C27 &amp; ")",$B27)))), "  ", TRIM(IF($S27 = "YES", "(External ID)", "") &amp; " " &amp; IF(SUMPRODUCT(-- ISNUMBER(SEARCH({"Unique","Unique Case Insensitive"}, $R27))) &gt; 0, "(" &amp; $R27 &amp; ")", ""))))</f>
        <v>na</v>
      </c>
      <c r="E27" s="7" t="s">
        <v>195</v>
      </c>
      <c r="F27" s="7" t="s">
        <v>195</v>
      </c>
      <c r="G27" s="7" t="s">
        <v>195</v>
      </c>
      <c r="H27" s="7" t="s">
        <v>195</v>
      </c>
      <c r="I27" s="7" t="s">
        <v>195</v>
      </c>
      <c r="J27" s="7" t="s">
        <v>195</v>
      </c>
      <c r="K27" s="7" t="s">
        <v>195</v>
      </c>
      <c r="L27" s="7" t="s">
        <v>195</v>
      </c>
      <c r="M27" s="7" t="s">
        <v>29</v>
      </c>
      <c r="N27" s="7" t="s">
        <v>29</v>
      </c>
      <c r="O27" s="7" t="s">
        <v>29</v>
      </c>
      <c r="P27" s="7" t="s">
        <v>29</v>
      </c>
      <c r="Q27" s="7" t="s">
        <v>29</v>
      </c>
      <c r="R27" s="7" t="s">
        <v>29</v>
      </c>
      <c r="S27" s="7" t="s">
        <v>29</v>
      </c>
    </row>
    <row r="28" spans="2:19">
      <c r="B28" s="7" t="s">
        <v>195</v>
      </c>
      <c r="C28" s="8" t="s">
        <v>195</v>
      </c>
      <c r="D28" s="5" t="str">
        <f>LRTRIM(CONCATENATE(IF(SUMPRODUCT(-- ISNUMBER(SEARCH({"Auto Number"}, $B28))) &gt; 0, $B28, IF(SUMPRODUCT(-- ISNUMBER(SEARCH({"Lookup","Master-Detail"}, $B28))) &gt; 0,$B28 &amp; "(" &amp; $E28 &amp; ")",IF(SUMPRODUCT(-- ISNUMBER(SEARCH({"Formula","Roll-Up Summary"}, $B28))) &gt; 0,$B28 &amp; " (" &amp; $E28 &amp; ")",IF(SUMPRODUCT(-- ISNUMBER(SEARCH({"Content","Currency","Number","Percent","Text","URL"}, $B28))) &gt; 0,$B28 &amp; "(" &amp; $C28 &amp; ")",$B28)))), "  ", TRIM(IF($S28 = "YES", "(External ID)", "") &amp; " " &amp; IF(SUMPRODUCT(-- ISNUMBER(SEARCH({"Unique","Unique Case Insensitive"}, $R28))) &gt; 0, "(" &amp; $R28 &amp; ")", ""))))</f>
        <v>na</v>
      </c>
      <c r="E28" s="7" t="s">
        <v>195</v>
      </c>
      <c r="F28" s="7" t="s">
        <v>195</v>
      </c>
      <c r="G28" s="7" t="s">
        <v>195</v>
      </c>
      <c r="H28" s="7" t="s">
        <v>195</v>
      </c>
      <c r="I28" s="7" t="s">
        <v>195</v>
      </c>
      <c r="J28" s="7" t="s">
        <v>195</v>
      </c>
      <c r="K28" s="7" t="s">
        <v>195</v>
      </c>
      <c r="L28" s="7" t="s">
        <v>195</v>
      </c>
      <c r="M28" s="7" t="s">
        <v>29</v>
      </c>
      <c r="N28" s="7" t="s">
        <v>29</v>
      </c>
      <c r="O28" s="7" t="s">
        <v>29</v>
      </c>
      <c r="P28" s="7" t="s">
        <v>29</v>
      </c>
      <c r="Q28" s="7" t="s">
        <v>29</v>
      </c>
      <c r="R28" s="7" t="s">
        <v>29</v>
      </c>
      <c r="S28" s="7" t="s">
        <v>29</v>
      </c>
    </row>
    <row r="29" spans="2:19">
      <c r="B29" s="7" t="s">
        <v>195</v>
      </c>
      <c r="C29" s="8" t="s">
        <v>195</v>
      </c>
      <c r="D29" s="5" t="str">
        <f>LRTRIM(CONCATENATE(IF(SUMPRODUCT(-- ISNUMBER(SEARCH({"Auto Number"}, $B29))) &gt; 0, $B29, IF(SUMPRODUCT(-- ISNUMBER(SEARCH({"Lookup","Master-Detail"}, $B29))) &gt; 0,$B29 &amp; "(" &amp; $E29 &amp; ")",IF(SUMPRODUCT(-- ISNUMBER(SEARCH({"Formula","Roll-Up Summary"}, $B29))) &gt; 0,$B29 &amp; " (" &amp; $E29 &amp; ")",IF(SUMPRODUCT(-- ISNUMBER(SEARCH({"Content","Currency","Number","Percent","Text","URL"}, $B29))) &gt; 0,$B29 &amp; "(" &amp; $C29 &amp; ")",$B29)))), "  ", TRIM(IF($S29 = "YES", "(External ID)", "") &amp; " " &amp; IF(SUMPRODUCT(-- ISNUMBER(SEARCH({"Unique","Unique Case Insensitive"}, $R29))) &gt; 0, "(" &amp; $R29 &amp; ")", ""))))</f>
        <v>na</v>
      </c>
      <c r="E29" s="7" t="s">
        <v>195</v>
      </c>
      <c r="F29" s="7" t="s">
        <v>195</v>
      </c>
      <c r="G29" s="7" t="s">
        <v>195</v>
      </c>
      <c r="H29" s="7" t="s">
        <v>195</v>
      </c>
      <c r="I29" s="7" t="s">
        <v>195</v>
      </c>
      <c r="J29" s="7" t="s">
        <v>195</v>
      </c>
      <c r="K29" s="7" t="s">
        <v>195</v>
      </c>
      <c r="L29" s="7" t="s">
        <v>195</v>
      </c>
      <c r="M29" s="7" t="s">
        <v>29</v>
      </c>
      <c r="N29" s="7" t="s">
        <v>29</v>
      </c>
      <c r="O29" s="7" t="s">
        <v>29</v>
      </c>
      <c r="P29" s="7" t="s">
        <v>29</v>
      </c>
      <c r="Q29" s="7" t="s">
        <v>29</v>
      </c>
      <c r="R29" s="7" t="s">
        <v>29</v>
      </c>
      <c r="S29" s="7" t="s">
        <v>29</v>
      </c>
    </row>
    <row r="30" spans="2:19">
      <c r="B30" s="7" t="s">
        <v>195</v>
      </c>
      <c r="C30" s="8" t="s">
        <v>195</v>
      </c>
      <c r="D30" s="5" t="str">
        <f>LRTRIM(CONCATENATE(IF(SUMPRODUCT(-- ISNUMBER(SEARCH({"Auto Number"}, $B30))) &gt; 0, $B30, IF(SUMPRODUCT(-- ISNUMBER(SEARCH({"Lookup","Master-Detail"}, $B30))) &gt; 0,$B30 &amp; "(" &amp; $E30 &amp; ")",IF(SUMPRODUCT(-- ISNUMBER(SEARCH({"Formula","Roll-Up Summary"}, $B30))) &gt; 0,$B30 &amp; " (" &amp; $E30 &amp; ")",IF(SUMPRODUCT(-- ISNUMBER(SEARCH({"Content","Currency","Number","Percent","Text","URL"}, $B30))) &gt; 0,$B30 &amp; "(" &amp; $C30 &amp; ")",$B30)))), "  ", TRIM(IF($S30 = "YES", "(External ID)", "") &amp; " " &amp; IF(SUMPRODUCT(-- ISNUMBER(SEARCH({"Unique","Unique Case Insensitive"}, $R30))) &gt; 0, "(" &amp; $R30 &amp; ")", ""))))</f>
        <v>na</v>
      </c>
      <c r="E30" s="7" t="s">
        <v>195</v>
      </c>
      <c r="F30" s="7" t="s">
        <v>195</v>
      </c>
      <c r="G30" s="7" t="s">
        <v>195</v>
      </c>
      <c r="H30" s="7" t="s">
        <v>195</v>
      </c>
      <c r="I30" s="7" t="s">
        <v>195</v>
      </c>
      <c r="J30" s="7" t="s">
        <v>195</v>
      </c>
      <c r="K30" s="7" t="s">
        <v>195</v>
      </c>
      <c r="L30" s="7" t="s">
        <v>195</v>
      </c>
      <c r="M30" s="7" t="s">
        <v>29</v>
      </c>
      <c r="N30" s="7" t="s">
        <v>29</v>
      </c>
      <c r="O30" s="7" t="s">
        <v>29</v>
      </c>
      <c r="P30" s="7" t="s">
        <v>29</v>
      </c>
      <c r="Q30" s="7" t="s">
        <v>29</v>
      </c>
      <c r="R30" s="7" t="s">
        <v>29</v>
      </c>
      <c r="S30" s="7" t="s">
        <v>29</v>
      </c>
    </row>
    <row r="31" spans="2:19">
      <c r="B31" s="7" t="s">
        <v>195</v>
      </c>
      <c r="C31" s="8" t="s">
        <v>195</v>
      </c>
      <c r="D31" s="5" t="str">
        <f>LRTRIM(CONCATENATE(IF(SUMPRODUCT(-- ISNUMBER(SEARCH({"Auto Number"}, $B31))) &gt; 0, $B31, IF(SUMPRODUCT(-- ISNUMBER(SEARCH({"Lookup","Master-Detail"}, $B31))) &gt; 0,$B31 &amp; "(" &amp; $E31 &amp; ")",IF(SUMPRODUCT(-- ISNUMBER(SEARCH({"Formula","Roll-Up Summary"}, $B31))) &gt; 0,$B31 &amp; " (" &amp; $E31 &amp; ")",IF(SUMPRODUCT(-- ISNUMBER(SEARCH({"Content","Currency","Number","Percent","Text","URL"}, $B31))) &gt; 0,$B31 &amp; "(" &amp; $C31 &amp; ")",$B31)))), "  ", TRIM(IF($S31 = "YES", "(External ID)", "") &amp; " " &amp; IF(SUMPRODUCT(-- ISNUMBER(SEARCH({"Unique","Unique Case Insensitive"}, $R31))) &gt; 0, "(" &amp; $R31 &amp; ")", ""))))</f>
        <v>na</v>
      </c>
      <c r="E31" s="7" t="s">
        <v>195</v>
      </c>
      <c r="F31" s="7" t="s">
        <v>195</v>
      </c>
      <c r="G31" s="7" t="s">
        <v>195</v>
      </c>
      <c r="H31" s="7" t="s">
        <v>195</v>
      </c>
      <c r="I31" s="7" t="s">
        <v>195</v>
      </c>
      <c r="J31" s="7" t="s">
        <v>195</v>
      </c>
      <c r="K31" s="7" t="s">
        <v>195</v>
      </c>
      <c r="L31" s="7" t="s">
        <v>195</v>
      </c>
      <c r="M31" s="7" t="s">
        <v>29</v>
      </c>
      <c r="N31" s="7" t="s">
        <v>29</v>
      </c>
      <c r="O31" s="7" t="s">
        <v>29</v>
      </c>
      <c r="P31" s="7" t="s">
        <v>29</v>
      </c>
      <c r="Q31" s="7" t="s">
        <v>29</v>
      </c>
      <c r="R31" s="7" t="s">
        <v>29</v>
      </c>
      <c r="S31" s="7" t="s">
        <v>29</v>
      </c>
    </row>
    <row r="32" spans="2:19">
      <c r="B32" s="7" t="s">
        <v>195</v>
      </c>
      <c r="C32" s="8" t="s">
        <v>195</v>
      </c>
      <c r="D32" s="5" t="str">
        <f>LRTRIM(CONCATENATE(IF(SUMPRODUCT(-- ISNUMBER(SEARCH({"Auto Number"}, $B32))) &gt; 0, $B32, IF(SUMPRODUCT(-- ISNUMBER(SEARCH({"Lookup","Master-Detail"}, $B32))) &gt; 0,$B32 &amp; "(" &amp; $E32 &amp; ")",IF(SUMPRODUCT(-- ISNUMBER(SEARCH({"Formula","Roll-Up Summary"}, $B32))) &gt; 0,$B32 &amp; " (" &amp; $E32 &amp; ")",IF(SUMPRODUCT(-- ISNUMBER(SEARCH({"Content","Currency","Number","Percent","Text","URL"}, $B32))) &gt; 0,$B32 &amp; "(" &amp; $C32 &amp; ")",$B32)))), "  ", TRIM(IF($S32 = "YES", "(External ID)", "") &amp; " " &amp; IF(SUMPRODUCT(-- ISNUMBER(SEARCH({"Unique","Unique Case Insensitive"}, $R32))) &gt; 0, "(" &amp; $R32 &amp; ")", ""))))</f>
        <v>na</v>
      </c>
      <c r="E32" s="7" t="s">
        <v>195</v>
      </c>
      <c r="F32" s="7" t="s">
        <v>195</v>
      </c>
      <c r="G32" s="7" t="s">
        <v>195</v>
      </c>
      <c r="H32" s="7" t="s">
        <v>195</v>
      </c>
      <c r="I32" s="7" t="s">
        <v>195</v>
      </c>
      <c r="J32" s="7" t="s">
        <v>195</v>
      </c>
      <c r="K32" s="7" t="s">
        <v>195</v>
      </c>
      <c r="L32" s="7" t="s">
        <v>195</v>
      </c>
      <c r="M32" s="7" t="s">
        <v>29</v>
      </c>
      <c r="N32" s="7" t="s">
        <v>29</v>
      </c>
      <c r="O32" s="7" t="s">
        <v>29</v>
      </c>
      <c r="P32" s="7" t="s">
        <v>29</v>
      </c>
      <c r="Q32" s="7" t="s">
        <v>29</v>
      </c>
      <c r="R32" s="7" t="s">
        <v>29</v>
      </c>
      <c r="S32" s="7" t="s">
        <v>29</v>
      </c>
    </row>
    <row r="33" spans="2:19">
      <c r="B33" s="7" t="s">
        <v>195</v>
      </c>
      <c r="C33" s="8" t="s">
        <v>195</v>
      </c>
      <c r="D33" s="5" t="str">
        <f>LRTRIM(CONCATENATE(IF(SUMPRODUCT(-- ISNUMBER(SEARCH({"Auto Number"}, $B33))) &gt; 0, $B33, IF(SUMPRODUCT(-- ISNUMBER(SEARCH({"Lookup","Master-Detail"}, $B33))) &gt; 0,$B33 &amp; "(" &amp; $E33 &amp; ")",IF(SUMPRODUCT(-- ISNUMBER(SEARCH({"Formula","Roll-Up Summary"}, $B33))) &gt; 0,$B33 &amp; " (" &amp; $E33 &amp; ")",IF(SUMPRODUCT(-- ISNUMBER(SEARCH({"Content","Currency","Number","Percent","Text","URL"}, $B33))) &gt; 0,$B33 &amp; "(" &amp; $C33 &amp; ")",$B33)))), "  ", TRIM(IF($S33 = "YES", "(External ID)", "") &amp; " " &amp; IF(SUMPRODUCT(-- ISNUMBER(SEARCH({"Unique","Unique Case Insensitive"}, $R33))) &gt; 0, "(" &amp; $R33 &amp; ")", ""))))</f>
        <v>na</v>
      </c>
      <c r="E33" s="7" t="s">
        <v>195</v>
      </c>
      <c r="F33" s="7" t="s">
        <v>195</v>
      </c>
      <c r="G33" s="7" t="s">
        <v>195</v>
      </c>
      <c r="H33" s="7" t="s">
        <v>195</v>
      </c>
      <c r="I33" s="7" t="s">
        <v>195</v>
      </c>
      <c r="J33" s="7" t="s">
        <v>195</v>
      </c>
      <c r="K33" s="7" t="s">
        <v>195</v>
      </c>
      <c r="L33" s="7" t="s">
        <v>195</v>
      </c>
      <c r="M33" s="7" t="s">
        <v>29</v>
      </c>
      <c r="N33" s="7" t="s">
        <v>29</v>
      </c>
      <c r="O33" s="7" t="s">
        <v>29</v>
      </c>
      <c r="P33" s="7" t="s">
        <v>29</v>
      </c>
      <c r="Q33" s="7" t="s">
        <v>29</v>
      </c>
      <c r="R33" s="7" t="s">
        <v>29</v>
      </c>
      <c r="S33" s="7" t="s">
        <v>29</v>
      </c>
    </row>
    <row r="34" spans="2:19">
      <c r="B34" s="7" t="s">
        <v>195</v>
      </c>
      <c r="C34" s="8" t="s">
        <v>195</v>
      </c>
      <c r="D34" s="5" t="str">
        <f>LRTRIM(CONCATENATE(IF(SUMPRODUCT(-- ISNUMBER(SEARCH({"Auto Number"}, $B34))) &gt; 0, $B34, IF(SUMPRODUCT(-- ISNUMBER(SEARCH({"Lookup","Master-Detail"}, $B34))) &gt; 0,$B34 &amp; "(" &amp; $E34 &amp; ")",IF(SUMPRODUCT(-- ISNUMBER(SEARCH({"Formula","Roll-Up Summary"}, $B34))) &gt; 0,$B34 &amp; " (" &amp; $E34 &amp; ")",IF(SUMPRODUCT(-- ISNUMBER(SEARCH({"Content","Currency","Number","Percent","Text","URL"}, $B34))) &gt; 0,$B34 &amp; "(" &amp; $C34 &amp; ")",$B34)))), "  ", TRIM(IF($S34 = "YES", "(External ID)", "") &amp; " " &amp; IF(SUMPRODUCT(-- ISNUMBER(SEARCH({"Unique","Unique Case Insensitive"}, $R34))) &gt; 0, "(" &amp; $R34 &amp; ")", ""))))</f>
        <v>na</v>
      </c>
      <c r="E34" s="7" t="s">
        <v>195</v>
      </c>
      <c r="F34" s="7" t="s">
        <v>195</v>
      </c>
      <c r="G34" s="7" t="s">
        <v>195</v>
      </c>
      <c r="H34" s="7" t="s">
        <v>195</v>
      </c>
      <c r="I34" s="7" t="s">
        <v>195</v>
      </c>
      <c r="J34" s="7" t="s">
        <v>195</v>
      </c>
      <c r="K34" s="7" t="s">
        <v>195</v>
      </c>
      <c r="L34" s="7" t="s">
        <v>195</v>
      </c>
      <c r="M34" s="7" t="s">
        <v>29</v>
      </c>
      <c r="N34" s="7" t="s">
        <v>29</v>
      </c>
      <c r="O34" s="7" t="s">
        <v>29</v>
      </c>
      <c r="P34" s="7" t="s">
        <v>29</v>
      </c>
      <c r="Q34" s="7" t="s">
        <v>29</v>
      </c>
      <c r="R34" s="7" t="s">
        <v>29</v>
      </c>
      <c r="S34" s="7" t="s">
        <v>29</v>
      </c>
    </row>
    <row r="35" spans="2:19">
      <c r="B35" s="7" t="s">
        <v>195</v>
      </c>
      <c r="C35" s="8" t="s">
        <v>195</v>
      </c>
      <c r="D35" s="5" t="str">
        <f>LRTRIM(CONCATENATE(IF(SUMPRODUCT(-- ISNUMBER(SEARCH({"Auto Number"}, $B35))) &gt; 0, $B35, IF(SUMPRODUCT(-- ISNUMBER(SEARCH({"Lookup","Master-Detail"}, $B35))) &gt; 0,$B35 &amp; "(" &amp; $E35 &amp; ")",IF(SUMPRODUCT(-- ISNUMBER(SEARCH({"Formula","Roll-Up Summary"}, $B35))) &gt; 0,$B35 &amp; " (" &amp; $E35 &amp; ")",IF(SUMPRODUCT(-- ISNUMBER(SEARCH({"Content","Currency","Number","Percent","Text","URL"}, $B35))) &gt; 0,$B35 &amp; "(" &amp; $C35 &amp; ")",$B35)))), "  ", TRIM(IF($S35 = "YES", "(External ID)", "") &amp; " " &amp; IF(SUMPRODUCT(-- ISNUMBER(SEARCH({"Unique","Unique Case Insensitive"}, $R35))) &gt; 0, "(" &amp; $R35 &amp; ")", ""))))</f>
        <v>na</v>
      </c>
      <c r="E35" s="7" t="s">
        <v>195</v>
      </c>
      <c r="F35" s="7" t="s">
        <v>195</v>
      </c>
      <c r="G35" s="7" t="s">
        <v>195</v>
      </c>
      <c r="H35" s="7" t="s">
        <v>195</v>
      </c>
      <c r="I35" s="7" t="s">
        <v>195</v>
      </c>
      <c r="J35" s="7" t="s">
        <v>195</v>
      </c>
      <c r="K35" s="7" t="s">
        <v>195</v>
      </c>
      <c r="L35" s="7" t="s">
        <v>195</v>
      </c>
      <c r="M35" s="7" t="s">
        <v>29</v>
      </c>
      <c r="N35" s="7" t="s">
        <v>29</v>
      </c>
      <c r="O35" s="7" t="s">
        <v>29</v>
      </c>
      <c r="P35" s="7" t="s">
        <v>29</v>
      </c>
      <c r="Q35" s="7" t="s">
        <v>29</v>
      </c>
      <c r="R35" s="7" t="s">
        <v>29</v>
      </c>
      <c r="S35" s="7" t="s">
        <v>29</v>
      </c>
    </row>
    <row r="36" spans="2:19">
      <c r="B36" s="7" t="s">
        <v>195</v>
      </c>
      <c r="C36" s="8" t="s">
        <v>195</v>
      </c>
      <c r="D36" s="5" t="str">
        <f>LRTRIM(CONCATENATE(IF(SUMPRODUCT(-- ISNUMBER(SEARCH({"Auto Number"}, $B36))) &gt; 0, $B36, IF(SUMPRODUCT(-- ISNUMBER(SEARCH({"Lookup","Master-Detail"}, $B36))) &gt; 0,$B36 &amp; "(" &amp; $E36 &amp; ")",IF(SUMPRODUCT(-- ISNUMBER(SEARCH({"Formula","Roll-Up Summary"}, $B36))) &gt; 0,$B36 &amp; " (" &amp; $E36 &amp; ")",IF(SUMPRODUCT(-- ISNUMBER(SEARCH({"Content","Currency","Number","Percent","Text","URL"}, $B36))) &gt; 0,$B36 &amp; "(" &amp; $C36 &amp; ")",$B36)))), "  ", TRIM(IF($S36 = "YES", "(External ID)", "") &amp; " " &amp; IF(SUMPRODUCT(-- ISNUMBER(SEARCH({"Unique","Unique Case Insensitive"}, $R36))) &gt; 0, "(" &amp; $R36 &amp; ")", ""))))</f>
        <v>na</v>
      </c>
      <c r="E36" s="7" t="s">
        <v>195</v>
      </c>
      <c r="F36" s="7" t="s">
        <v>195</v>
      </c>
      <c r="G36" s="7" t="s">
        <v>195</v>
      </c>
      <c r="H36" s="7" t="s">
        <v>195</v>
      </c>
      <c r="I36" s="7" t="s">
        <v>195</v>
      </c>
      <c r="J36" s="7" t="s">
        <v>195</v>
      </c>
      <c r="K36" s="7" t="s">
        <v>195</v>
      </c>
      <c r="L36" s="7" t="s">
        <v>195</v>
      </c>
      <c r="M36" s="7" t="s">
        <v>29</v>
      </c>
      <c r="N36" s="7" t="s">
        <v>29</v>
      </c>
      <c r="O36" s="7" t="s">
        <v>29</v>
      </c>
      <c r="P36" s="7" t="s">
        <v>29</v>
      </c>
      <c r="Q36" s="7" t="s">
        <v>29</v>
      </c>
      <c r="R36" s="7" t="s">
        <v>29</v>
      </c>
      <c r="S36" s="7" t="s">
        <v>29</v>
      </c>
    </row>
    <row r="37" spans="2:19">
      <c r="B37" s="7" t="s">
        <v>195</v>
      </c>
      <c r="C37" s="8" t="s">
        <v>195</v>
      </c>
      <c r="D37" s="5" t="str">
        <f>LRTRIM(CONCATENATE(IF(SUMPRODUCT(-- ISNUMBER(SEARCH({"Auto Number"}, $B37))) &gt; 0, $B37, IF(SUMPRODUCT(-- ISNUMBER(SEARCH({"Lookup","Master-Detail"}, $B37))) &gt; 0,$B37 &amp; "(" &amp; $E37 &amp; ")",IF(SUMPRODUCT(-- ISNUMBER(SEARCH({"Formula","Roll-Up Summary"}, $B37))) &gt; 0,$B37 &amp; " (" &amp; $E37 &amp; ")",IF(SUMPRODUCT(-- ISNUMBER(SEARCH({"Content","Currency","Number","Percent","Text","URL"}, $B37))) &gt; 0,$B37 &amp; "(" &amp; $C37 &amp; ")",$B37)))), "  ", TRIM(IF($S37 = "YES", "(External ID)", "") &amp; " " &amp; IF(SUMPRODUCT(-- ISNUMBER(SEARCH({"Unique","Unique Case Insensitive"}, $R37))) &gt; 0, "(" &amp; $R37 &amp; ")", ""))))</f>
        <v>na</v>
      </c>
      <c r="E37" s="7" t="s">
        <v>195</v>
      </c>
      <c r="F37" s="7" t="s">
        <v>195</v>
      </c>
      <c r="G37" s="7" t="s">
        <v>195</v>
      </c>
      <c r="H37" s="7" t="s">
        <v>195</v>
      </c>
      <c r="I37" s="7" t="s">
        <v>195</v>
      </c>
      <c r="J37" s="7" t="s">
        <v>195</v>
      </c>
      <c r="K37" s="7" t="s">
        <v>195</v>
      </c>
      <c r="L37" s="7" t="s">
        <v>195</v>
      </c>
      <c r="M37" s="7" t="s">
        <v>29</v>
      </c>
      <c r="N37" s="7" t="s">
        <v>29</v>
      </c>
      <c r="O37" s="7" t="s">
        <v>29</v>
      </c>
      <c r="P37" s="7" t="s">
        <v>29</v>
      </c>
      <c r="Q37" s="7" t="s">
        <v>29</v>
      </c>
      <c r="R37" s="7" t="s">
        <v>29</v>
      </c>
      <c r="S37" s="7" t="s">
        <v>29</v>
      </c>
    </row>
    <row r="38" spans="2:19">
      <c r="B38" s="7" t="s">
        <v>195</v>
      </c>
      <c r="C38" s="8" t="s">
        <v>195</v>
      </c>
      <c r="D38" s="5" t="str">
        <f>LRTRIM(CONCATENATE(IF(SUMPRODUCT(-- ISNUMBER(SEARCH({"Auto Number"}, $B38))) &gt; 0, $B38, IF(SUMPRODUCT(-- ISNUMBER(SEARCH({"Lookup","Master-Detail"}, $B38))) &gt; 0,$B38 &amp; "(" &amp; $E38 &amp; ")",IF(SUMPRODUCT(-- ISNUMBER(SEARCH({"Formula","Roll-Up Summary"}, $B38))) &gt; 0,$B38 &amp; " (" &amp; $E38 &amp; ")",IF(SUMPRODUCT(-- ISNUMBER(SEARCH({"Content","Currency","Number","Percent","Text","URL"}, $B38))) &gt; 0,$B38 &amp; "(" &amp; $C38 &amp; ")",$B38)))), "  ", TRIM(IF($S38 = "YES", "(External ID)", "") &amp; " " &amp; IF(SUMPRODUCT(-- ISNUMBER(SEARCH({"Unique","Unique Case Insensitive"}, $R38))) &gt; 0, "(" &amp; $R38 &amp; ")", ""))))</f>
        <v>na</v>
      </c>
      <c r="E38" s="7" t="s">
        <v>195</v>
      </c>
      <c r="F38" s="7" t="s">
        <v>195</v>
      </c>
      <c r="G38" s="7" t="s">
        <v>195</v>
      </c>
      <c r="H38" s="7" t="s">
        <v>195</v>
      </c>
      <c r="I38" s="7" t="s">
        <v>195</v>
      </c>
      <c r="J38" s="7" t="s">
        <v>195</v>
      </c>
      <c r="K38" s="7" t="s">
        <v>195</v>
      </c>
      <c r="L38" s="7" t="s">
        <v>195</v>
      </c>
      <c r="M38" s="7" t="s">
        <v>29</v>
      </c>
      <c r="N38" s="7" t="s">
        <v>29</v>
      </c>
      <c r="O38" s="7" t="s">
        <v>29</v>
      </c>
      <c r="P38" s="7" t="s">
        <v>29</v>
      </c>
      <c r="Q38" s="7" t="s">
        <v>29</v>
      </c>
      <c r="R38" s="7" t="s">
        <v>29</v>
      </c>
      <c r="S38" s="7" t="s">
        <v>29</v>
      </c>
    </row>
    <row r="39" spans="2:19">
      <c r="B39" s="7" t="s">
        <v>195</v>
      </c>
      <c r="C39" s="8" t="s">
        <v>195</v>
      </c>
      <c r="D39" s="5" t="str">
        <f>LRTRIM(CONCATENATE(IF(SUMPRODUCT(-- ISNUMBER(SEARCH({"Auto Number"}, $B39))) &gt; 0, $B39, IF(SUMPRODUCT(-- ISNUMBER(SEARCH({"Lookup","Master-Detail"}, $B39))) &gt; 0,$B39 &amp; "(" &amp; $E39 &amp; ")",IF(SUMPRODUCT(-- ISNUMBER(SEARCH({"Formula","Roll-Up Summary"}, $B39))) &gt; 0,$B39 &amp; " (" &amp; $E39 &amp; ")",IF(SUMPRODUCT(-- ISNUMBER(SEARCH({"Content","Currency","Number","Percent","Text","URL"}, $B39))) &gt; 0,$B39 &amp; "(" &amp; $C39 &amp; ")",$B39)))), "  ", TRIM(IF($S39 = "YES", "(External ID)", "") &amp; " " &amp; IF(SUMPRODUCT(-- ISNUMBER(SEARCH({"Unique","Unique Case Insensitive"}, $R39))) &gt; 0, "(" &amp; $R39 &amp; ")", ""))))</f>
        <v>na</v>
      </c>
      <c r="E39" s="7" t="s">
        <v>195</v>
      </c>
      <c r="F39" s="7" t="s">
        <v>195</v>
      </c>
      <c r="G39" s="7" t="s">
        <v>195</v>
      </c>
      <c r="H39" s="7" t="s">
        <v>195</v>
      </c>
      <c r="I39" s="7" t="s">
        <v>195</v>
      </c>
      <c r="J39" s="7" t="s">
        <v>195</v>
      </c>
      <c r="K39" s="7" t="s">
        <v>195</v>
      </c>
      <c r="L39" s="7" t="s">
        <v>195</v>
      </c>
      <c r="M39" s="7" t="s">
        <v>29</v>
      </c>
      <c r="N39" s="7" t="s">
        <v>29</v>
      </c>
      <c r="O39" s="7" t="s">
        <v>29</v>
      </c>
      <c r="P39" s="7" t="s">
        <v>29</v>
      </c>
      <c r="Q39" s="7" t="s">
        <v>29</v>
      </c>
      <c r="R39" s="7" t="s">
        <v>29</v>
      </c>
      <c r="S39" s="7" t="s">
        <v>29</v>
      </c>
    </row>
    <row r="40" spans="2:19">
      <c r="B40" s="7" t="s">
        <v>195</v>
      </c>
      <c r="C40" s="8" t="s">
        <v>195</v>
      </c>
      <c r="D40" s="5" t="str">
        <f>LRTRIM(CONCATENATE(IF(SUMPRODUCT(-- ISNUMBER(SEARCH({"Auto Number"}, $B40))) &gt; 0, $B40, IF(SUMPRODUCT(-- ISNUMBER(SEARCH({"Lookup","Master-Detail"}, $B40))) &gt; 0,$B40 &amp; "(" &amp; $E40 &amp; ")",IF(SUMPRODUCT(-- ISNUMBER(SEARCH({"Formula","Roll-Up Summary"}, $B40))) &gt; 0,$B40 &amp; " (" &amp; $E40 &amp; ")",IF(SUMPRODUCT(-- ISNUMBER(SEARCH({"Content","Currency","Number","Percent","Text","URL"}, $B40))) &gt; 0,$B40 &amp; "(" &amp; $C40 &amp; ")",$B40)))), "  ", TRIM(IF($S40 = "YES", "(External ID)", "") &amp; " " &amp; IF(SUMPRODUCT(-- ISNUMBER(SEARCH({"Unique","Unique Case Insensitive"}, $R40))) &gt; 0, "(" &amp; $R40 &amp; ")", ""))))</f>
        <v>na</v>
      </c>
      <c r="E40" s="7" t="s">
        <v>195</v>
      </c>
      <c r="F40" s="7" t="s">
        <v>195</v>
      </c>
      <c r="G40" s="7" t="s">
        <v>195</v>
      </c>
      <c r="H40" s="7" t="s">
        <v>195</v>
      </c>
      <c r="I40" s="7" t="s">
        <v>195</v>
      </c>
      <c r="J40" s="7" t="s">
        <v>195</v>
      </c>
      <c r="K40" s="7" t="s">
        <v>195</v>
      </c>
      <c r="L40" s="7" t="s">
        <v>195</v>
      </c>
      <c r="M40" s="7" t="s">
        <v>29</v>
      </c>
      <c r="N40" s="7" t="s">
        <v>29</v>
      </c>
      <c r="O40" s="7" t="s">
        <v>29</v>
      </c>
      <c r="P40" s="7" t="s">
        <v>29</v>
      </c>
      <c r="Q40" s="7" t="s">
        <v>29</v>
      </c>
      <c r="R40" s="7" t="s">
        <v>29</v>
      </c>
      <c r="S40" s="7" t="s">
        <v>29</v>
      </c>
    </row>
    <row r="41" spans="2:19">
      <c r="B41" s="7" t="s">
        <v>195</v>
      </c>
      <c r="C41" s="8" t="s">
        <v>195</v>
      </c>
      <c r="D41" s="5" t="str">
        <f>LRTRIM(CONCATENATE(IF(SUMPRODUCT(-- ISNUMBER(SEARCH({"Auto Number"}, $B41))) &gt; 0, $B41, IF(SUMPRODUCT(-- ISNUMBER(SEARCH({"Lookup","Master-Detail"}, $B41))) &gt; 0,$B41 &amp; "(" &amp; $E41 &amp; ")",IF(SUMPRODUCT(-- ISNUMBER(SEARCH({"Formula","Roll-Up Summary"}, $B41))) &gt; 0,$B41 &amp; " (" &amp; $E41 &amp; ")",IF(SUMPRODUCT(-- ISNUMBER(SEARCH({"Content","Currency","Number","Percent","Text","URL"}, $B41))) &gt; 0,$B41 &amp; "(" &amp; $C41 &amp; ")",$B41)))), "  ", TRIM(IF($S41 = "YES", "(External ID)", "") &amp; " " &amp; IF(SUMPRODUCT(-- ISNUMBER(SEARCH({"Unique","Unique Case Insensitive"}, $R41))) &gt; 0, "(" &amp; $R41 &amp; ")", ""))))</f>
        <v>na</v>
      </c>
      <c r="E41" s="7" t="s">
        <v>195</v>
      </c>
      <c r="F41" s="7" t="s">
        <v>195</v>
      </c>
      <c r="G41" s="7" t="s">
        <v>195</v>
      </c>
      <c r="H41" s="7" t="s">
        <v>195</v>
      </c>
      <c r="I41" s="7" t="s">
        <v>195</v>
      </c>
      <c r="J41" s="7" t="s">
        <v>195</v>
      </c>
      <c r="K41" s="7" t="s">
        <v>195</v>
      </c>
      <c r="L41" s="7" t="s">
        <v>195</v>
      </c>
      <c r="M41" s="7" t="s">
        <v>29</v>
      </c>
      <c r="N41" s="7" t="s">
        <v>29</v>
      </c>
      <c r="O41" s="7" t="s">
        <v>29</v>
      </c>
      <c r="P41" s="7" t="s">
        <v>29</v>
      </c>
      <c r="Q41" s="7" t="s">
        <v>29</v>
      </c>
      <c r="R41" s="7" t="s">
        <v>29</v>
      </c>
      <c r="S41" s="7" t="s">
        <v>29</v>
      </c>
    </row>
    <row r="42" spans="2:19">
      <c r="B42" s="7" t="s">
        <v>195</v>
      </c>
      <c r="C42" s="8" t="s">
        <v>195</v>
      </c>
      <c r="D42" s="5" t="str">
        <f>LRTRIM(CONCATENATE(IF(SUMPRODUCT(-- ISNUMBER(SEARCH({"Auto Number"}, $B42))) &gt; 0, $B42, IF(SUMPRODUCT(-- ISNUMBER(SEARCH({"Lookup","Master-Detail"}, $B42))) &gt; 0,$B42 &amp; "(" &amp; $E42 &amp; ")",IF(SUMPRODUCT(-- ISNUMBER(SEARCH({"Formula","Roll-Up Summary"}, $B42))) &gt; 0,$B42 &amp; " (" &amp; $E42 &amp; ")",IF(SUMPRODUCT(-- ISNUMBER(SEARCH({"Content","Currency","Number","Percent","Text","URL"}, $B42))) &gt; 0,$B42 &amp; "(" &amp; $C42 &amp; ")",$B42)))), "  ", TRIM(IF($S42 = "YES", "(External ID)", "") &amp; " " &amp; IF(SUMPRODUCT(-- ISNUMBER(SEARCH({"Unique","Unique Case Insensitive"}, $R42))) &gt; 0, "(" &amp; $R42 &amp; ")", ""))))</f>
        <v>na</v>
      </c>
      <c r="E42" s="7" t="s">
        <v>195</v>
      </c>
      <c r="F42" s="7" t="s">
        <v>195</v>
      </c>
      <c r="G42" s="7" t="s">
        <v>195</v>
      </c>
      <c r="H42" s="7" t="s">
        <v>195</v>
      </c>
      <c r="I42" s="7" t="s">
        <v>195</v>
      </c>
      <c r="J42" s="7" t="s">
        <v>195</v>
      </c>
      <c r="K42" s="7" t="s">
        <v>195</v>
      </c>
      <c r="L42" s="7" t="s">
        <v>195</v>
      </c>
      <c r="M42" s="7" t="s">
        <v>29</v>
      </c>
      <c r="N42" s="7" t="s">
        <v>29</v>
      </c>
      <c r="O42" s="7" t="s">
        <v>29</v>
      </c>
      <c r="P42" s="7" t="s">
        <v>29</v>
      </c>
      <c r="Q42" s="7" t="s">
        <v>29</v>
      </c>
      <c r="R42" s="7" t="s">
        <v>29</v>
      </c>
      <c r="S42" s="7" t="s">
        <v>29</v>
      </c>
    </row>
    <row r="43" spans="2:19">
      <c r="B43" s="7" t="s">
        <v>195</v>
      </c>
      <c r="C43" s="8" t="s">
        <v>195</v>
      </c>
      <c r="D43" s="5" t="str">
        <f>LRTRIM(CONCATENATE(IF(SUMPRODUCT(-- ISNUMBER(SEARCH({"Auto Number"}, $B43))) &gt; 0, $B43, IF(SUMPRODUCT(-- ISNUMBER(SEARCH({"Lookup","Master-Detail"}, $B43))) &gt; 0,$B43 &amp; "(" &amp; $E43 &amp; ")",IF(SUMPRODUCT(-- ISNUMBER(SEARCH({"Formula","Roll-Up Summary"}, $B43))) &gt; 0,$B43 &amp; " (" &amp; $E43 &amp; ")",IF(SUMPRODUCT(-- ISNUMBER(SEARCH({"Content","Currency","Number","Percent","Text","URL"}, $B43))) &gt; 0,$B43 &amp; "(" &amp; $C43 &amp; ")",$B43)))), "  ", TRIM(IF($S43 = "YES", "(External ID)", "") &amp; " " &amp; IF(SUMPRODUCT(-- ISNUMBER(SEARCH({"Unique","Unique Case Insensitive"}, $R43))) &gt; 0, "(" &amp; $R43 &amp; ")", ""))))</f>
        <v>na</v>
      </c>
      <c r="E43" s="7" t="s">
        <v>195</v>
      </c>
      <c r="F43" s="7" t="s">
        <v>195</v>
      </c>
      <c r="G43" s="7" t="s">
        <v>195</v>
      </c>
      <c r="H43" s="7" t="s">
        <v>195</v>
      </c>
      <c r="I43" s="7" t="s">
        <v>195</v>
      </c>
      <c r="J43" s="7" t="s">
        <v>195</v>
      </c>
      <c r="K43" s="7" t="s">
        <v>195</v>
      </c>
      <c r="L43" s="7" t="s">
        <v>195</v>
      </c>
      <c r="M43" s="7" t="s">
        <v>29</v>
      </c>
      <c r="N43" s="7" t="s">
        <v>29</v>
      </c>
      <c r="O43" s="7" t="s">
        <v>29</v>
      </c>
      <c r="P43" s="7" t="s">
        <v>29</v>
      </c>
      <c r="Q43" s="7" t="s">
        <v>29</v>
      </c>
      <c r="R43" s="7" t="s">
        <v>29</v>
      </c>
      <c r="S43" s="7" t="s">
        <v>29</v>
      </c>
    </row>
    <row r="44" spans="2:19">
      <c r="B44" s="7" t="s">
        <v>195</v>
      </c>
      <c r="C44" s="8" t="s">
        <v>195</v>
      </c>
      <c r="D44" s="5" t="str">
        <f>LRTRIM(CONCATENATE(IF(SUMPRODUCT(-- ISNUMBER(SEARCH({"Auto Number"}, $B44))) &gt; 0, $B44, IF(SUMPRODUCT(-- ISNUMBER(SEARCH({"Lookup","Master-Detail"}, $B44))) &gt; 0,$B44 &amp; "(" &amp; $E44 &amp; ")",IF(SUMPRODUCT(-- ISNUMBER(SEARCH({"Formula","Roll-Up Summary"}, $B44))) &gt; 0,$B44 &amp; " (" &amp; $E44 &amp; ")",IF(SUMPRODUCT(-- ISNUMBER(SEARCH({"Content","Currency","Number","Percent","Text","URL"}, $B44))) &gt; 0,$B44 &amp; "(" &amp; $C44 &amp; ")",$B44)))), "  ", TRIM(IF($S44 = "YES", "(External ID)", "") &amp; " " &amp; IF(SUMPRODUCT(-- ISNUMBER(SEARCH({"Unique","Unique Case Insensitive"}, $R44))) &gt; 0, "(" &amp; $R44 &amp; ")", ""))))</f>
        <v>na</v>
      </c>
      <c r="E44" s="7" t="s">
        <v>195</v>
      </c>
      <c r="F44" s="7" t="s">
        <v>195</v>
      </c>
      <c r="G44" s="7" t="s">
        <v>195</v>
      </c>
      <c r="H44" s="7" t="s">
        <v>195</v>
      </c>
      <c r="I44" s="7" t="s">
        <v>195</v>
      </c>
      <c r="J44" s="7" t="s">
        <v>195</v>
      </c>
      <c r="K44" s="7" t="s">
        <v>195</v>
      </c>
      <c r="L44" s="7" t="s">
        <v>195</v>
      </c>
      <c r="M44" s="7" t="s">
        <v>29</v>
      </c>
      <c r="N44" s="7" t="s">
        <v>29</v>
      </c>
      <c r="O44" s="7" t="s">
        <v>29</v>
      </c>
      <c r="P44" s="7" t="s">
        <v>29</v>
      </c>
      <c r="Q44" s="7" t="s">
        <v>29</v>
      </c>
      <c r="R44" s="7" t="s">
        <v>29</v>
      </c>
      <c r="S44" s="7" t="s">
        <v>29</v>
      </c>
    </row>
    <row r="45" spans="2:19">
      <c r="B45" s="7" t="s">
        <v>195</v>
      </c>
      <c r="C45" s="8" t="s">
        <v>195</v>
      </c>
      <c r="D45" s="5" t="str">
        <f>LRTRIM(CONCATENATE(IF(SUMPRODUCT(-- ISNUMBER(SEARCH({"Auto Number"}, $B45))) &gt; 0, $B45, IF(SUMPRODUCT(-- ISNUMBER(SEARCH({"Lookup","Master-Detail"}, $B45))) &gt; 0,$B45 &amp; "(" &amp; $E45 &amp; ")",IF(SUMPRODUCT(-- ISNUMBER(SEARCH({"Formula","Roll-Up Summary"}, $B45))) &gt; 0,$B45 &amp; " (" &amp; $E45 &amp; ")",IF(SUMPRODUCT(-- ISNUMBER(SEARCH({"Content","Currency","Number","Percent","Text","URL"}, $B45))) &gt; 0,$B45 &amp; "(" &amp; $C45 &amp; ")",$B45)))), "  ", TRIM(IF($S45 = "YES", "(External ID)", "") &amp; " " &amp; IF(SUMPRODUCT(-- ISNUMBER(SEARCH({"Unique","Unique Case Insensitive"}, $R45))) &gt; 0, "(" &amp; $R45 &amp; ")", ""))))</f>
        <v>na</v>
      </c>
      <c r="E45" s="7" t="s">
        <v>195</v>
      </c>
      <c r="F45" s="7" t="s">
        <v>195</v>
      </c>
      <c r="G45" s="7" t="s">
        <v>195</v>
      </c>
      <c r="H45" s="7" t="s">
        <v>195</v>
      </c>
      <c r="I45" s="7" t="s">
        <v>195</v>
      </c>
      <c r="J45" s="7" t="s">
        <v>195</v>
      </c>
      <c r="K45" s="7" t="s">
        <v>195</v>
      </c>
      <c r="L45" s="7" t="s">
        <v>195</v>
      </c>
      <c r="M45" s="7" t="s">
        <v>29</v>
      </c>
      <c r="N45" s="7" t="s">
        <v>29</v>
      </c>
      <c r="O45" s="7" t="s">
        <v>29</v>
      </c>
      <c r="P45" s="7" t="s">
        <v>29</v>
      </c>
      <c r="Q45" s="7" t="s">
        <v>29</v>
      </c>
      <c r="R45" s="7" t="s">
        <v>29</v>
      </c>
      <c r="S45" s="7" t="s">
        <v>29</v>
      </c>
    </row>
    <row r="46" spans="2:19">
      <c r="B46" s="7" t="s">
        <v>195</v>
      </c>
      <c r="C46" s="8" t="s">
        <v>195</v>
      </c>
      <c r="D46" s="5" t="str">
        <f>LRTRIM(CONCATENATE(IF(SUMPRODUCT(-- ISNUMBER(SEARCH({"Auto Number"}, $B46))) &gt; 0, $B46, IF(SUMPRODUCT(-- ISNUMBER(SEARCH({"Lookup","Master-Detail"}, $B46))) &gt; 0,$B46 &amp; "(" &amp; $E46 &amp; ")",IF(SUMPRODUCT(-- ISNUMBER(SEARCH({"Formula","Roll-Up Summary"}, $B46))) &gt; 0,$B46 &amp; " (" &amp; $E46 &amp; ")",IF(SUMPRODUCT(-- ISNUMBER(SEARCH({"Content","Currency","Number","Percent","Text","URL"}, $B46))) &gt; 0,$B46 &amp; "(" &amp; $C46 &amp; ")",$B46)))), "  ", TRIM(IF($S46 = "YES", "(External ID)", "") &amp; " " &amp; IF(SUMPRODUCT(-- ISNUMBER(SEARCH({"Unique","Unique Case Insensitive"}, $R46))) &gt; 0, "(" &amp; $R46 &amp; ")", ""))))</f>
        <v>na</v>
      </c>
      <c r="E46" s="7" t="s">
        <v>195</v>
      </c>
      <c r="F46" s="7" t="s">
        <v>195</v>
      </c>
      <c r="G46" s="7" t="s">
        <v>195</v>
      </c>
      <c r="H46" s="7" t="s">
        <v>195</v>
      </c>
      <c r="I46" s="7" t="s">
        <v>195</v>
      </c>
      <c r="J46" s="7" t="s">
        <v>195</v>
      </c>
      <c r="K46" s="7" t="s">
        <v>195</v>
      </c>
      <c r="L46" s="7" t="s">
        <v>195</v>
      </c>
      <c r="M46" s="7" t="s">
        <v>29</v>
      </c>
      <c r="N46" s="7" t="s">
        <v>29</v>
      </c>
      <c r="O46" s="7" t="s">
        <v>29</v>
      </c>
      <c r="P46" s="7" t="s">
        <v>29</v>
      </c>
      <c r="Q46" s="7" t="s">
        <v>29</v>
      </c>
      <c r="R46" s="7" t="s">
        <v>29</v>
      </c>
      <c r="S46" s="7" t="s">
        <v>29</v>
      </c>
    </row>
    <row r="47" spans="2:19">
      <c r="B47" s="7" t="s">
        <v>195</v>
      </c>
      <c r="C47" s="8" t="s">
        <v>195</v>
      </c>
      <c r="D47" s="5" t="str">
        <f>LRTRIM(CONCATENATE(IF(SUMPRODUCT(-- ISNUMBER(SEARCH({"Auto Number"}, $B47))) &gt; 0, $B47, IF(SUMPRODUCT(-- ISNUMBER(SEARCH({"Lookup","Master-Detail"}, $B47))) &gt; 0,$B47 &amp; "(" &amp; $E47 &amp; ")",IF(SUMPRODUCT(-- ISNUMBER(SEARCH({"Formula","Roll-Up Summary"}, $B47))) &gt; 0,$B47 &amp; " (" &amp; $E47 &amp; ")",IF(SUMPRODUCT(-- ISNUMBER(SEARCH({"Content","Currency","Number","Percent","Text","URL"}, $B47))) &gt; 0,$B47 &amp; "(" &amp; $C47 &amp; ")",$B47)))), "  ", TRIM(IF($S47 = "YES", "(External ID)", "") &amp; " " &amp; IF(SUMPRODUCT(-- ISNUMBER(SEARCH({"Unique","Unique Case Insensitive"}, $R47))) &gt; 0, "(" &amp; $R47 &amp; ")", ""))))</f>
        <v>na</v>
      </c>
      <c r="E47" s="7" t="s">
        <v>195</v>
      </c>
      <c r="F47" s="7" t="s">
        <v>195</v>
      </c>
      <c r="G47" s="7" t="s">
        <v>195</v>
      </c>
      <c r="H47" s="7" t="s">
        <v>195</v>
      </c>
      <c r="I47" s="7" t="s">
        <v>195</v>
      </c>
      <c r="J47" s="7" t="s">
        <v>195</v>
      </c>
      <c r="K47" s="7" t="s">
        <v>195</v>
      </c>
      <c r="L47" s="7" t="s">
        <v>195</v>
      </c>
      <c r="M47" s="7" t="s">
        <v>29</v>
      </c>
      <c r="N47" s="7" t="s">
        <v>29</v>
      </c>
      <c r="O47" s="7" t="s">
        <v>29</v>
      </c>
      <c r="P47" s="7" t="s">
        <v>29</v>
      </c>
      <c r="Q47" s="7" t="s">
        <v>29</v>
      </c>
      <c r="R47" s="7" t="s">
        <v>29</v>
      </c>
      <c r="S47" s="7" t="s">
        <v>29</v>
      </c>
    </row>
    <row r="48" spans="2:19">
      <c r="B48" s="7" t="s">
        <v>195</v>
      </c>
      <c r="C48" s="8" t="s">
        <v>195</v>
      </c>
      <c r="D48" s="5" t="str">
        <f>LRTRIM(CONCATENATE(IF(SUMPRODUCT(-- ISNUMBER(SEARCH({"Auto Number"}, $B48))) &gt; 0, $B48, IF(SUMPRODUCT(-- ISNUMBER(SEARCH({"Lookup","Master-Detail"}, $B48))) &gt; 0,$B48 &amp; "(" &amp; $E48 &amp; ")",IF(SUMPRODUCT(-- ISNUMBER(SEARCH({"Formula","Roll-Up Summary"}, $B48))) &gt; 0,$B48 &amp; " (" &amp; $E48 &amp; ")",IF(SUMPRODUCT(-- ISNUMBER(SEARCH({"Content","Currency","Number","Percent","Text","URL"}, $B48))) &gt; 0,$B48 &amp; "(" &amp; $C48 &amp; ")",$B48)))), "  ", TRIM(IF($S48 = "YES", "(External ID)", "") &amp; " " &amp; IF(SUMPRODUCT(-- ISNUMBER(SEARCH({"Unique","Unique Case Insensitive"}, $R48))) &gt; 0, "(" &amp; $R48 &amp; ")", ""))))</f>
        <v>na</v>
      </c>
      <c r="E48" s="7" t="s">
        <v>195</v>
      </c>
      <c r="F48" s="7" t="s">
        <v>195</v>
      </c>
      <c r="G48" s="7" t="s">
        <v>195</v>
      </c>
      <c r="H48" s="7" t="s">
        <v>195</v>
      </c>
      <c r="I48" s="7" t="s">
        <v>195</v>
      </c>
      <c r="J48" s="7" t="s">
        <v>195</v>
      </c>
      <c r="K48" s="7" t="s">
        <v>195</v>
      </c>
      <c r="L48" s="7" t="s">
        <v>195</v>
      </c>
      <c r="M48" s="7" t="s">
        <v>29</v>
      </c>
      <c r="N48" s="7" t="s">
        <v>29</v>
      </c>
      <c r="O48" s="7" t="s">
        <v>29</v>
      </c>
      <c r="P48" s="7" t="s">
        <v>29</v>
      </c>
      <c r="Q48" s="7" t="s">
        <v>29</v>
      </c>
      <c r="R48" s="7" t="s">
        <v>29</v>
      </c>
      <c r="S48" s="7" t="s">
        <v>29</v>
      </c>
    </row>
    <row r="49" spans="2:19">
      <c r="B49" s="7" t="s">
        <v>195</v>
      </c>
      <c r="C49" s="8" t="s">
        <v>195</v>
      </c>
      <c r="D49" s="5" t="str">
        <f>LRTRIM(CONCATENATE(IF(SUMPRODUCT(-- ISNUMBER(SEARCH({"Auto Number"}, $B49))) &gt; 0, $B49, IF(SUMPRODUCT(-- ISNUMBER(SEARCH({"Lookup","Master-Detail"}, $B49))) &gt; 0,$B49 &amp; "(" &amp; $E49 &amp; ")",IF(SUMPRODUCT(-- ISNUMBER(SEARCH({"Formula","Roll-Up Summary"}, $B49))) &gt; 0,$B49 &amp; " (" &amp; $E49 &amp; ")",IF(SUMPRODUCT(-- ISNUMBER(SEARCH({"Content","Currency","Number","Percent","Text","URL"}, $B49))) &gt; 0,$B49 &amp; "(" &amp; $C49 &amp; ")",$B49)))), "  ", TRIM(IF($S49 = "YES", "(External ID)", "") &amp; " " &amp; IF(SUMPRODUCT(-- ISNUMBER(SEARCH({"Unique","Unique Case Insensitive"}, $R49))) &gt; 0, "(" &amp; $R49 &amp; ")", ""))))</f>
        <v>na</v>
      </c>
      <c r="E49" s="7" t="s">
        <v>195</v>
      </c>
      <c r="F49" s="7" t="s">
        <v>195</v>
      </c>
      <c r="G49" s="7" t="s">
        <v>195</v>
      </c>
      <c r="H49" s="7" t="s">
        <v>195</v>
      </c>
      <c r="I49" s="7" t="s">
        <v>195</v>
      </c>
      <c r="J49" s="7" t="s">
        <v>195</v>
      </c>
      <c r="K49" s="7" t="s">
        <v>195</v>
      </c>
      <c r="L49" s="7" t="s">
        <v>195</v>
      </c>
      <c r="M49" s="7" t="s">
        <v>29</v>
      </c>
      <c r="N49" s="7" t="s">
        <v>29</v>
      </c>
      <c r="O49" s="7" t="s">
        <v>29</v>
      </c>
      <c r="P49" s="7" t="s">
        <v>29</v>
      </c>
      <c r="Q49" s="7" t="s">
        <v>29</v>
      </c>
      <c r="R49" s="7" t="s">
        <v>29</v>
      </c>
      <c r="S49" s="7" t="s">
        <v>29</v>
      </c>
    </row>
    <row r="50" spans="2:19">
      <c r="B50" s="7" t="s">
        <v>195</v>
      </c>
      <c r="C50" s="8" t="s">
        <v>195</v>
      </c>
      <c r="D50" s="5" t="str">
        <f>LRTRIM(CONCATENATE(IF(SUMPRODUCT(-- ISNUMBER(SEARCH({"Auto Number"}, $B50))) &gt; 0, $B50, IF(SUMPRODUCT(-- ISNUMBER(SEARCH({"Lookup","Master-Detail"}, $B50))) &gt; 0,$B50 &amp; "(" &amp; $E50 &amp; ")",IF(SUMPRODUCT(-- ISNUMBER(SEARCH({"Formula","Roll-Up Summary"}, $B50))) &gt; 0,$B50 &amp; " (" &amp; $E50 &amp; ")",IF(SUMPRODUCT(-- ISNUMBER(SEARCH({"Content","Currency","Number","Percent","Text","URL"}, $B50))) &gt; 0,$B50 &amp; "(" &amp; $C50 &amp; ")",$B50)))), "  ", TRIM(IF($S50 = "YES", "(External ID)", "") &amp; " " &amp; IF(SUMPRODUCT(-- ISNUMBER(SEARCH({"Unique","Unique Case Insensitive"}, $R50))) &gt; 0, "(" &amp; $R50 &amp; ")", ""))))</f>
        <v>na</v>
      </c>
      <c r="E50" s="7" t="s">
        <v>195</v>
      </c>
      <c r="F50" s="7" t="s">
        <v>195</v>
      </c>
      <c r="G50" s="7" t="s">
        <v>195</v>
      </c>
      <c r="H50" s="7" t="s">
        <v>195</v>
      </c>
      <c r="I50" s="7" t="s">
        <v>195</v>
      </c>
      <c r="J50" s="7" t="s">
        <v>195</v>
      </c>
      <c r="K50" s="7" t="s">
        <v>195</v>
      </c>
      <c r="L50" s="7" t="s">
        <v>195</v>
      </c>
      <c r="M50" s="7" t="s">
        <v>29</v>
      </c>
      <c r="N50" s="7" t="s">
        <v>29</v>
      </c>
      <c r="O50" s="7" t="s">
        <v>29</v>
      </c>
      <c r="P50" s="7" t="s">
        <v>29</v>
      </c>
      <c r="Q50" s="7" t="s">
        <v>29</v>
      </c>
      <c r="R50" s="7" t="s">
        <v>29</v>
      </c>
      <c r="S50" s="7" t="s">
        <v>29</v>
      </c>
    </row>
    <row r="51" spans="2:19">
      <c r="B51" s="7" t="s">
        <v>195</v>
      </c>
      <c r="C51" s="8" t="s">
        <v>195</v>
      </c>
      <c r="D51" s="5" t="str">
        <f>LRTRIM(CONCATENATE(IF(SUMPRODUCT(-- ISNUMBER(SEARCH({"Auto Number"}, $B51))) &gt; 0, $B51, IF(SUMPRODUCT(-- ISNUMBER(SEARCH({"Lookup","Master-Detail"}, $B51))) &gt; 0,$B51 &amp; "(" &amp; $E51 &amp; ")",IF(SUMPRODUCT(-- ISNUMBER(SEARCH({"Formula","Roll-Up Summary"}, $B51))) &gt; 0,$B51 &amp; " (" &amp; $E51 &amp; ")",IF(SUMPRODUCT(-- ISNUMBER(SEARCH({"Content","Currency","Number","Percent","Text","URL"}, $B51))) &gt; 0,$B51 &amp; "(" &amp; $C51 &amp; ")",$B51)))), "  ", TRIM(IF($S51 = "YES", "(External ID)", "") &amp; " " &amp; IF(SUMPRODUCT(-- ISNUMBER(SEARCH({"Unique","Unique Case Insensitive"}, $R51))) &gt; 0, "(" &amp; $R51 &amp; ")", ""))))</f>
        <v>na</v>
      </c>
      <c r="E51" s="7" t="s">
        <v>195</v>
      </c>
      <c r="F51" s="7" t="s">
        <v>195</v>
      </c>
      <c r="G51" s="7" t="s">
        <v>195</v>
      </c>
      <c r="H51" s="7" t="s">
        <v>195</v>
      </c>
      <c r="I51" s="7" t="s">
        <v>195</v>
      </c>
      <c r="J51" s="7" t="s">
        <v>195</v>
      </c>
      <c r="K51" s="7" t="s">
        <v>195</v>
      </c>
      <c r="L51" s="7" t="s">
        <v>195</v>
      </c>
      <c r="M51" s="7" t="s">
        <v>29</v>
      </c>
      <c r="N51" s="7" t="s">
        <v>29</v>
      </c>
      <c r="O51" s="7" t="s">
        <v>29</v>
      </c>
      <c r="P51" s="7" t="s">
        <v>29</v>
      </c>
      <c r="Q51" s="7" t="s">
        <v>29</v>
      </c>
      <c r="R51" s="7" t="s">
        <v>29</v>
      </c>
      <c r="S51" s="7" t="s">
        <v>29</v>
      </c>
    </row>
    <row r="52" spans="2:19">
      <c r="B52" s="7" t="s">
        <v>195</v>
      </c>
      <c r="C52" s="8" t="s">
        <v>195</v>
      </c>
      <c r="D52" s="5" t="str">
        <f>LRTRIM(CONCATENATE(IF(SUMPRODUCT(-- ISNUMBER(SEARCH({"Auto Number"}, $B52))) &gt; 0, $B52, IF(SUMPRODUCT(-- ISNUMBER(SEARCH({"Lookup","Master-Detail"}, $B52))) &gt; 0,$B52 &amp; "(" &amp; $E52 &amp; ")",IF(SUMPRODUCT(-- ISNUMBER(SEARCH({"Formula","Roll-Up Summary"}, $B52))) &gt; 0,$B52 &amp; " (" &amp; $E52 &amp; ")",IF(SUMPRODUCT(-- ISNUMBER(SEARCH({"Content","Currency","Number","Percent","Text","URL"}, $B52))) &gt; 0,$B52 &amp; "(" &amp; $C52 &amp; ")",$B52)))), "  ", TRIM(IF($S52 = "YES", "(External ID)", "") &amp; " " &amp; IF(SUMPRODUCT(-- ISNUMBER(SEARCH({"Unique","Unique Case Insensitive"}, $R52))) &gt; 0, "(" &amp; $R52 &amp; ")", ""))))</f>
        <v>na</v>
      </c>
      <c r="E52" s="7" t="s">
        <v>195</v>
      </c>
      <c r="F52" s="7" t="s">
        <v>195</v>
      </c>
      <c r="G52" s="7" t="s">
        <v>195</v>
      </c>
      <c r="H52" s="7" t="s">
        <v>195</v>
      </c>
      <c r="I52" s="7" t="s">
        <v>195</v>
      </c>
      <c r="J52" s="7" t="s">
        <v>195</v>
      </c>
      <c r="K52" s="7" t="s">
        <v>195</v>
      </c>
      <c r="L52" s="7" t="s">
        <v>195</v>
      </c>
      <c r="M52" s="7" t="s">
        <v>29</v>
      </c>
      <c r="N52" s="7" t="s">
        <v>29</v>
      </c>
      <c r="O52" s="7" t="s">
        <v>29</v>
      </c>
      <c r="P52" s="7" t="s">
        <v>29</v>
      </c>
      <c r="Q52" s="7" t="s">
        <v>29</v>
      </c>
      <c r="R52" s="7" t="s">
        <v>29</v>
      </c>
      <c r="S52" s="7" t="s">
        <v>29</v>
      </c>
    </row>
    <row r="53" spans="2:19">
      <c r="B53" s="7" t="s">
        <v>195</v>
      </c>
      <c r="C53" s="8" t="s">
        <v>195</v>
      </c>
      <c r="D53" s="5" t="str">
        <f>LRTRIM(CONCATENATE(IF(SUMPRODUCT(-- ISNUMBER(SEARCH({"Auto Number"}, $B53))) &gt; 0, $B53, IF(SUMPRODUCT(-- ISNUMBER(SEARCH({"Lookup","Master-Detail"}, $B53))) &gt; 0,$B53 &amp; "(" &amp; $E53 &amp; ")",IF(SUMPRODUCT(-- ISNUMBER(SEARCH({"Formula","Roll-Up Summary"}, $B53))) &gt; 0,$B53 &amp; " (" &amp; $E53 &amp; ")",IF(SUMPRODUCT(-- ISNUMBER(SEARCH({"Content","Currency","Number","Percent","Text","URL"}, $B53))) &gt; 0,$B53 &amp; "(" &amp; $C53 &amp; ")",$B53)))), "  ", TRIM(IF($S53 = "YES", "(External ID)", "") &amp; " " &amp; IF(SUMPRODUCT(-- ISNUMBER(SEARCH({"Unique","Unique Case Insensitive"}, $R53))) &gt; 0, "(" &amp; $R53 &amp; ")", ""))))</f>
        <v>na</v>
      </c>
      <c r="E53" s="7" t="s">
        <v>195</v>
      </c>
      <c r="F53" s="7" t="s">
        <v>195</v>
      </c>
      <c r="G53" s="7" t="s">
        <v>195</v>
      </c>
      <c r="H53" s="7" t="s">
        <v>195</v>
      </c>
      <c r="I53" s="7" t="s">
        <v>195</v>
      </c>
      <c r="J53" s="7" t="s">
        <v>195</v>
      </c>
      <c r="K53" s="7" t="s">
        <v>195</v>
      </c>
      <c r="L53" s="7" t="s">
        <v>195</v>
      </c>
      <c r="M53" s="7" t="s">
        <v>29</v>
      </c>
      <c r="N53" s="7" t="s">
        <v>29</v>
      </c>
      <c r="O53" s="7" t="s">
        <v>29</v>
      </c>
      <c r="P53" s="7" t="s">
        <v>29</v>
      </c>
      <c r="Q53" s="7" t="s">
        <v>29</v>
      </c>
      <c r="R53" s="7" t="s">
        <v>29</v>
      </c>
      <c r="S53" s="7" t="s">
        <v>29</v>
      </c>
    </row>
    <row r="54" spans="2:19">
      <c r="B54" s="7" t="s">
        <v>195</v>
      </c>
      <c r="C54" s="8" t="s">
        <v>195</v>
      </c>
      <c r="D54" s="5" t="str">
        <f>LRTRIM(CONCATENATE(IF(SUMPRODUCT(-- ISNUMBER(SEARCH({"Auto Number"}, $B54))) &gt; 0, $B54, IF(SUMPRODUCT(-- ISNUMBER(SEARCH({"Lookup","Master-Detail"}, $B54))) &gt; 0,$B54 &amp; "(" &amp; $E54 &amp; ")",IF(SUMPRODUCT(-- ISNUMBER(SEARCH({"Formula","Roll-Up Summary"}, $B54))) &gt; 0,$B54 &amp; " (" &amp; $E54 &amp; ")",IF(SUMPRODUCT(-- ISNUMBER(SEARCH({"Content","Currency","Number","Percent","Text","URL"}, $B54))) &gt; 0,$B54 &amp; "(" &amp; $C54 &amp; ")",$B54)))), "  ", TRIM(IF($S54 = "YES", "(External ID)", "") &amp; " " &amp; IF(SUMPRODUCT(-- ISNUMBER(SEARCH({"Unique","Unique Case Insensitive"}, $R54))) &gt; 0, "(" &amp; $R54 &amp; ")", ""))))</f>
        <v>na</v>
      </c>
      <c r="E54" s="7" t="s">
        <v>195</v>
      </c>
      <c r="F54" s="7" t="s">
        <v>195</v>
      </c>
      <c r="G54" s="7" t="s">
        <v>195</v>
      </c>
      <c r="H54" s="7" t="s">
        <v>195</v>
      </c>
      <c r="I54" s="7" t="s">
        <v>195</v>
      </c>
      <c r="J54" s="7" t="s">
        <v>195</v>
      </c>
      <c r="K54" s="7" t="s">
        <v>195</v>
      </c>
      <c r="L54" s="7" t="s">
        <v>195</v>
      </c>
      <c r="M54" s="7" t="s">
        <v>29</v>
      </c>
      <c r="N54" s="7" t="s">
        <v>29</v>
      </c>
      <c r="O54" s="7" t="s">
        <v>29</v>
      </c>
      <c r="P54" s="7" t="s">
        <v>29</v>
      </c>
      <c r="Q54" s="7" t="s">
        <v>29</v>
      </c>
      <c r="R54" s="7" t="s">
        <v>29</v>
      </c>
      <c r="S54" s="7" t="s">
        <v>29</v>
      </c>
    </row>
    <row r="55" spans="2:19">
      <c r="B55" s="7" t="s">
        <v>195</v>
      </c>
      <c r="C55" s="8" t="s">
        <v>195</v>
      </c>
      <c r="D55" s="5" t="str">
        <f>LRTRIM(CONCATENATE(IF(SUMPRODUCT(-- ISNUMBER(SEARCH({"Auto Number"}, $B55))) &gt; 0, $B55, IF(SUMPRODUCT(-- ISNUMBER(SEARCH({"Lookup","Master-Detail"}, $B55))) &gt; 0,$B55 &amp; "(" &amp; $E55 &amp; ")",IF(SUMPRODUCT(-- ISNUMBER(SEARCH({"Formula","Roll-Up Summary"}, $B55))) &gt; 0,$B55 &amp; " (" &amp; $E55 &amp; ")",IF(SUMPRODUCT(-- ISNUMBER(SEARCH({"Content","Currency","Number","Percent","Text","URL"}, $B55))) &gt; 0,$B55 &amp; "(" &amp; $C55 &amp; ")",$B55)))), "  ", TRIM(IF($S55 = "YES", "(External ID)", "") &amp; " " &amp; IF(SUMPRODUCT(-- ISNUMBER(SEARCH({"Unique","Unique Case Insensitive"}, $R55))) &gt; 0, "(" &amp; $R55 &amp; ")", ""))))</f>
        <v>na</v>
      </c>
      <c r="E55" s="7" t="s">
        <v>195</v>
      </c>
      <c r="F55" s="7" t="s">
        <v>195</v>
      </c>
      <c r="G55" s="7" t="s">
        <v>195</v>
      </c>
      <c r="H55" s="7" t="s">
        <v>195</v>
      </c>
      <c r="I55" s="7" t="s">
        <v>195</v>
      </c>
      <c r="J55" s="7" t="s">
        <v>195</v>
      </c>
      <c r="K55" s="7" t="s">
        <v>195</v>
      </c>
      <c r="L55" s="7" t="s">
        <v>195</v>
      </c>
      <c r="M55" s="7" t="s">
        <v>29</v>
      </c>
      <c r="N55" s="7" t="s">
        <v>29</v>
      </c>
      <c r="O55" s="7" t="s">
        <v>29</v>
      </c>
      <c r="P55" s="7" t="s">
        <v>29</v>
      </c>
      <c r="Q55" s="7" t="s">
        <v>29</v>
      </c>
      <c r="R55" s="7" t="s">
        <v>29</v>
      </c>
      <c r="S55" s="7" t="s">
        <v>29</v>
      </c>
    </row>
    <row r="56" spans="2:19">
      <c r="B56" s="7" t="s">
        <v>195</v>
      </c>
      <c r="C56" s="8" t="s">
        <v>195</v>
      </c>
      <c r="D56" s="5" t="str">
        <f>LRTRIM(CONCATENATE(IF(SUMPRODUCT(-- ISNUMBER(SEARCH({"Auto Number"}, $B56))) &gt; 0, $B56, IF(SUMPRODUCT(-- ISNUMBER(SEARCH({"Lookup","Master-Detail"}, $B56))) &gt; 0,$B56 &amp; "(" &amp; $E56 &amp; ")",IF(SUMPRODUCT(-- ISNUMBER(SEARCH({"Formula","Roll-Up Summary"}, $B56))) &gt; 0,$B56 &amp; " (" &amp; $E56 &amp; ")",IF(SUMPRODUCT(-- ISNUMBER(SEARCH({"Content","Currency","Number","Percent","Text","URL"}, $B56))) &gt; 0,$B56 &amp; "(" &amp; $C56 &amp; ")",$B56)))), "  ", TRIM(IF($S56 = "YES", "(External ID)", "") &amp; " " &amp; IF(SUMPRODUCT(-- ISNUMBER(SEARCH({"Unique","Unique Case Insensitive"}, $R56))) &gt; 0, "(" &amp; $R56 &amp; ")", ""))))</f>
        <v>na</v>
      </c>
      <c r="E56" s="7" t="s">
        <v>195</v>
      </c>
      <c r="F56" s="7" t="s">
        <v>195</v>
      </c>
      <c r="G56" s="7" t="s">
        <v>195</v>
      </c>
      <c r="H56" s="7" t="s">
        <v>195</v>
      </c>
      <c r="I56" s="7" t="s">
        <v>195</v>
      </c>
      <c r="J56" s="7" t="s">
        <v>195</v>
      </c>
      <c r="K56" s="7" t="s">
        <v>195</v>
      </c>
      <c r="L56" s="7" t="s">
        <v>195</v>
      </c>
      <c r="M56" s="7" t="s">
        <v>29</v>
      </c>
      <c r="N56" s="7" t="s">
        <v>29</v>
      </c>
      <c r="O56" s="7" t="s">
        <v>29</v>
      </c>
      <c r="P56" s="7" t="s">
        <v>29</v>
      </c>
      <c r="Q56" s="7" t="s">
        <v>29</v>
      </c>
      <c r="R56" s="7" t="s">
        <v>29</v>
      </c>
      <c r="S56" s="7" t="s">
        <v>29</v>
      </c>
    </row>
    <row r="57" spans="2:19">
      <c r="B57" s="7" t="s">
        <v>195</v>
      </c>
      <c r="C57" s="8" t="s">
        <v>195</v>
      </c>
      <c r="D57" s="5" t="str">
        <f>LRTRIM(CONCATENATE(IF(SUMPRODUCT(-- ISNUMBER(SEARCH({"Auto Number"}, $B57))) &gt; 0, $B57, IF(SUMPRODUCT(-- ISNUMBER(SEARCH({"Lookup","Master-Detail"}, $B57))) &gt; 0,$B57 &amp; "(" &amp; $E57 &amp; ")",IF(SUMPRODUCT(-- ISNUMBER(SEARCH({"Formula","Roll-Up Summary"}, $B57))) &gt; 0,$B57 &amp; " (" &amp; $E57 &amp; ")",IF(SUMPRODUCT(-- ISNUMBER(SEARCH({"Content","Currency","Number","Percent","Text","URL"}, $B57))) &gt; 0,$B57 &amp; "(" &amp; $C57 &amp; ")",$B57)))), "  ", TRIM(IF($S57 = "YES", "(External ID)", "") &amp; " " &amp; IF(SUMPRODUCT(-- ISNUMBER(SEARCH({"Unique","Unique Case Insensitive"}, $R57))) &gt; 0, "(" &amp; $R57 &amp; ")", ""))))</f>
        <v>na</v>
      </c>
      <c r="E57" s="7" t="s">
        <v>195</v>
      </c>
      <c r="F57" s="7" t="s">
        <v>195</v>
      </c>
      <c r="G57" s="7" t="s">
        <v>195</v>
      </c>
      <c r="H57" s="7" t="s">
        <v>195</v>
      </c>
      <c r="I57" s="7" t="s">
        <v>195</v>
      </c>
      <c r="J57" s="7" t="s">
        <v>195</v>
      </c>
      <c r="K57" s="7" t="s">
        <v>195</v>
      </c>
      <c r="L57" s="7" t="s">
        <v>195</v>
      </c>
      <c r="M57" s="7" t="s">
        <v>29</v>
      </c>
      <c r="N57" s="7" t="s">
        <v>29</v>
      </c>
      <c r="O57" s="7" t="s">
        <v>29</v>
      </c>
      <c r="P57" s="7" t="s">
        <v>29</v>
      </c>
      <c r="Q57" s="7" t="s">
        <v>29</v>
      </c>
      <c r="R57" s="7" t="s">
        <v>29</v>
      </c>
      <c r="S57" s="7" t="s">
        <v>29</v>
      </c>
    </row>
    <row r="58" spans="2:19">
      <c r="B58" s="7" t="s">
        <v>195</v>
      </c>
      <c r="C58" s="8" t="s">
        <v>195</v>
      </c>
      <c r="D58" s="5" t="str">
        <f>LRTRIM(CONCATENATE(IF(SUMPRODUCT(-- ISNUMBER(SEARCH({"Auto Number"}, $B58))) &gt; 0, $B58, IF(SUMPRODUCT(-- ISNUMBER(SEARCH({"Lookup","Master-Detail"}, $B58))) &gt; 0,$B58 &amp; "(" &amp; $E58 &amp; ")",IF(SUMPRODUCT(-- ISNUMBER(SEARCH({"Formula","Roll-Up Summary"}, $B58))) &gt; 0,$B58 &amp; " (" &amp; $E58 &amp; ")",IF(SUMPRODUCT(-- ISNUMBER(SEARCH({"Content","Currency","Number","Percent","Text","URL"}, $B58))) &gt; 0,$B58 &amp; "(" &amp; $C58 &amp; ")",$B58)))), "  ", TRIM(IF($S58 = "YES", "(External ID)", "") &amp; " " &amp; IF(SUMPRODUCT(-- ISNUMBER(SEARCH({"Unique","Unique Case Insensitive"}, $R58))) &gt; 0, "(" &amp; $R58 &amp; ")", ""))))</f>
        <v>na</v>
      </c>
      <c r="E58" s="7" t="s">
        <v>195</v>
      </c>
      <c r="F58" s="7" t="s">
        <v>195</v>
      </c>
      <c r="G58" s="7" t="s">
        <v>195</v>
      </c>
      <c r="H58" s="7" t="s">
        <v>195</v>
      </c>
      <c r="I58" s="7" t="s">
        <v>195</v>
      </c>
      <c r="J58" s="7" t="s">
        <v>195</v>
      </c>
      <c r="K58" s="7" t="s">
        <v>195</v>
      </c>
      <c r="L58" s="7" t="s">
        <v>195</v>
      </c>
      <c r="M58" s="7" t="s">
        <v>29</v>
      </c>
      <c r="N58" s="7" t="s">
        <v>29</v>
      </c>
      <c r="O58" s="7" t="s">
        <v>29</v>
      </c>
      <c r="P58" s="7" t="s">
        <v>29</v>
      </c>
      <c r="Q58" s="7" t="s">
        <v>29</v>
      </c>
      <c r="R58" s="7" t="s">
        <v>29</v>
      </c>
      <c r="S58" s="7" t="s">
        <v>29</v>
      </c>
    </row>
    <row r="59" spans="2:19">
      <c r="B59" s="7" t="s">
        <v>195</v>
      </c>
      <c r="C59" s="8" t="s">
        <v>195</v>
      </c>
      <c r="D59" s="5" t="str">
        <f>LRTRIM(CONCATENATE(IF(SUMPRODUCT(-- ISNUMBER(SEARCH({"Auto Number"}, $B59))) &gt; 0, $B59, IF(SUMPRODUCT(-- ISNUMBER(SEARCH({"Lookup","Master-Detail"}, $B59))) &gt; 0,$B59 &amp; "(" &amp; $E59 &amp; ")",IF(SUMPRODUCT(-- ISNUMBER(SEARCH({"Formula","Roll-Up Summary"}, $B59))) &gt; 0,$B59 &amp; " (" &amp; $E59 &amp; ")",IF(SUMPRODUCT(-- ISNUMBER(SEARCH({"Content","Currency","Number","Percent","Text","URL"}, $B59))) &gt; 0,$B59 &amp; "(" &amp; $C59 &amp; ")",$B59)))), "  ", TRIM(IF($S59 = "YES", "(External ID)", "") &amp; " " &amp; IF(SUMPRODUCT(-- ISNUMBER(SEARCH({"Unique","Unique Case Insensitive"}, $R59))) &gt; 0, "(" &amp; $R59 &amp; ")", ""))))</f>
        <v>na</v>
      </c>
      <c r="E59" s="7" t="s">
        <v>195</v>
      </c>
      <c r="F59" s="7" t="s">
        <v>195</v>
      </c>
      <c r="G59" s="7" t="s">
        <v>195</v>
      </c>
      <c r="H59" s="7" t="s">
        <v>195</v>
      </c>
      <c r="I59" s="7" t="s">
        <v>195</v>
      </c>
      <c r="J59" s="7" t="s">
        <v>195</v>
      </c>
      <c r="K59" s="7" t="s">
        <v>195</v>
      </c>
      <c r="L59" s="7" t="s">
        <v>195</v>
      </c>
      <c r="M59" s="7" t="s">
        <v>29</v>
      </c>
      <c r="N59" s="7" t="s">
        <v>29</v>
      </c>
      <c r="O59" s="7" t="s">
        <v>29</v>
      </c>
      <c r="P59" s="7" t="s">
        <v>29</v>
      </c>
      <c r="Q59" s="7" t="s">
        <v>29</v>
      </c>
      <c r="R59" s="7" t="s">
        <v>29</v>
      </c>
      <c r="S59" s="7" t="s">
        <v>29</v>
      </c>
    </row>
    <row r="60" spans="2:19">
      <c r="B60" s="7" t="s">
        <v>195</v>
      </c>
      <c r="C60" s="8" t="s">
        <v>195</v>
      </c>
      <c r="D60" s="5" t="str">
        <f>LRTRIM(CONCATENATE(IF(SUMPRODUCT(-- ISNUMBER(SEARCH({"Auto Number"}, $B60))) &gt; 0, $B60, IF(SUMPRODUCT(-- ISNUMBER(SEARCH({"Lookup","Master-Detail"}, $B60))) &gt; 0,$B60 &amp; "(" &amp; $E60 &amp; ")",IF(SUMPRODUCT(-- ISNUMBER(SEARCH({"Formula","Roll-Up Summary"}, $B60))) &gt; 0,$B60 &amp; " (" &amp; $E60 &amp; ")",IF(SUMPRODUCT(-- ISNUMBER(SEARCH({"Content","Currency","Number","Percent","Text","URL"}, $B60))) &gt; 0,$B60 &amp; "(" &amp; $C60 &amp; ")",$B60)))), "  ", TRIM(IF($S60 = "YES", "(External ID)", "") &amp; " " &amp; IF(SUMPRODUCT(-- ISNUMBER(SEARCH({"Unique","Unique Case Insensitive"}, $R60))) &gt; 0, "(" &amp; $R60 &amp; ")", ""))))</f>
        <v>na</v>
      </c>
      <c r="E60" s="7" t="s">
        <v>195</v>
      </c>
      <c r="F60" s="7" t="s">
        <v>195</v>
      </c>
      <c r="G60" s="7" t="s">
        <v>195</v>
      </c>
      <c r="H60" s="7" t="s">
        <v>195</v>
      </c>
      <c r="I60" s="7" t="s">
        <v>195</v>
      </c>
      <c r="J60" s="7" t="s">
        <v>195</v>
      </c>
      <c r="K60" s="7" t="s">
        <v>195</v>
      </c>
      <c r="L60" s="7" t="s">
        <v>195</v>
      </c>
      <c r="M60" s="7" t="s">
        <v>29</v>
      </c>
      <c r="N60" s="7" t="s">
        <v>29</v>
      </c>
      <c r="O60" s="7" t="s">
        <v>29</v>
      </c>
      <c r="P60" s="7" t="s">
        <v>29</v>
      </c>
      <c r="Q60" s="7" t="s">
        <v>29</v>
      </c>
      <c r="R60" s="7" t="s">
        <v>29</v>
      </c>
      <c r="S60" s="7" t="s">
        <v>29</v>
      </c>
    </row>
    <row r="61" spans="2:19">
      <c r="B61" s="7" t="s">
        <v>195</v>
      </c>
      <c r="C61" s="8" t="s">
        <v>195</v>
      </c>
      <c r="D61" s="5" t="str">
        <f>LRTRIM(CONCATENATE(IF(SUMPRODUCT(-- ISNUMBER(SEARCH({"Auto Number"}, $B61))) &gt; 0, $B61, IF(SUMPRODUCT(-- ISNUMBER(SEARCH({"Lookup","Master-Detail"}, $B61))) &gt; 0,$B61 &amp; "(" &amp; $E61 &amp; ")",IF(SUMPRODUCT(-- ISNUMBER(SEARCH({"Formula","Roll-Up Summary"}, $B61))) &gt; 0,$B61 &amp; " (" &amp; $E61 &amp; ")",IF(SUMPRODUCT(-- ISNUMBER(SEARCH({"Content","Currency","Number","Percent","Text","URL"}, $B61))) &gt; 0,$B61 &amp; "(" &amp; $C61 &amp; ")",$B61)))), "  ", TRIM(IF($S61 = "YES", "(External ID)", "") &amp; " " &amp; IF(SUMPRODUCT(-- ISNUMBER(SEARCH({"Unique","Unique Case Insensitive"}, $R61))) &gt; 0, "(" &amp; $R61 &amp; ")", ""))))</f>
        <v>na</v>
      </c>
      <c r="E61" s="7" t="s">
        <v>195</v>
      </c>
      <c r="F61" s="7" t="s">
        <v>195</v>
      </c>
      <c r="G61" s="7" t="s">
        <v>195</v>
      </c>
      <c r="H61" s="7" t="s">
        <v>195</v>
      </c>
      <c r="I61" s="7" t="s">
        <v>195</v>
      </c>
      <c r="J61" s="7" t="s">
        <v>195</v>
      </c>
      <c r="K61" s="7" t="s">
        <v>195</v>
      </c>
      <c r="L61" s="7" t="s">
        <v>195</v>
      </c>
      <c r="M61" s="7" t="s">
        <v>29</v>
      </c>
      <c r="N61" s="7" t="s">
        <v>29</v>
      </c>
      <c r="O61" s="7" t="s">
        <v>29</v>
      </c>
      <c r="P61" s="7" t="s">
        <v>29</v>
      </c>
      <c r="Q61" s="7" t="s">
        <v>29</v>
      </c>
      <c r="R61" s="7" t="s">
        <v>29</v>
      </c>
      <c r="S61" s="7" t="s">
        <v>29</v>
      </c>
    </row>
    <row r="62" spans="2:19">
      <c r="B62" s="7" t="s">
        <v>195</v>
      </c>
      <c r="C62" s="8" t="s">
        <v>195</v>
      </c>
      <c r="D62" s="5" t="str">
        <f>LRTRIM(CONCATENATE(IF(SUMPRODUCT(-- ISNUMBER(SEARCH({"Auto Number"}, $B62))) &gt; 0, $B62, IF(SUMPRODUCT(-- ISNUMBER(SEARCH({"Lookup","Master-Detail"}, $B62))) &gt; 0,$B62 &amp; "(" &amp; $E62 &amp; ")",IF(SUMPRODUCT(-- ISNUMBER(SEARCH({"Formula","Roll-Up Summary"}, $B62))) &gt; 0,$B62 &amp; " (" &amp; $E62 &amp; ")",IF(SUMPRODUCT(-- ISNUMBER(SEARCH({"Content","Currency","Number","Percent","Text","URL"}, $B62))) &gt; 0,$B62 &amp; "(" &amp; $C62 &amp; ")",$B62)))), "  ", TRIM(IF($S62 = "YES", "(External ID)", "") &amp; " " &amp; IF(SUMPRODUCT(-- ISNUMBER(SEARCH({"Unique","Unique Case Insensitive"}, $R62))) &gt; 0, "(" &amp; $R62 &amp; ")", ""))))</f>
        <v>na</v>
      </c>
      <c r="E62" s="7" t="s">
        <v>195</v>
      </c>
      <c r="F62" s="7" t="s">
        <v>195</v>
      </c>
      <c r="G62" s="7" t="s">
        <v>195</v>
      </c>
      <c r="H62" s="7" t="s">
        <v>195</v>
      </c>
      <c r="I62" s="7" t="s">
        <v>195</v>
      </c>
      <c r="J62" s="7" t="s">
        <v>195</v>
      </c>
      <c r="K62" s="7" t="s">
        <v>195</v>
      </c>
      <c r="L62" s="7" t="s">
        <v>195</v>
      </c>
      <c r="M62" s="7" t="s">
        <v>29</v>
      </c>
      <c r="N62" s="7" t="s">
        <v>29</v>
      </c>
      <c r="O62" s="7" t="s">
        <v>29</v>
      </c>
      <c r="P62" s="7" t="s">
        <v>29</v>
      </c>
      <c r="Q62" s="7" t="s">
        <v>29</v>
      </c>
      <c r="R62" s="7" t="s">
        <v>29</v>
      </c>
      <c r="S62" s="7" t="s">
        <v>29</v>
      </c>
    </row>
    <row r="63" spans="2:19">
      <c r="B63" s="7" t="s">
        <v>195</v>
      </c>
      <c r="C63" s="8" t="s">
        <v>195</v>
      </c>
      <c r="D63" s="5" t="str">
        <f>LRTRIM(CONCATENATE(IF(SUMPRODUCT(-- ISNUMBER(SEARCH({"Auto Number"}, $B63))) &gt; 0, $B63, IF(SUMPRODUCT(-- ISNUMBER(SEARCH({"Lookup","Master-Detail"}, $B63))) &gt; 0,$B63 &amp; "(" &amp; $E63 &amp; ")",IF(SUMPRODUCT(-- ISNUMBER(SEARCH({"Formula","Roll-Up Summary"}, $B63))) &gt; 0,$B63 &amp; " (" &amp; $E63 &amp; ")",IF(SUMPRODUCT(-- ISNUMBER(SEARCH({"Content","Currency","Number","Percent","Text","URL"}, $B63))) &gt; 0,$B63 &amp; "(" &amp; $C63 &amp; ")",$B63)))), "  ", TRIM(IF($S63 = "YES", "(External ID)", "") &amp; " " &amp; IF(SUMPRODUCT(-- ISNUMBER(SEARCH({"Unique","Unique Case Insensitive"}, $R63))) &gt; 0, "(" &amp; $R63 &amp; ")", ""))))</f>
        <v>na</v>
      </c>
      <c r="E63" s="7" t="s">
        <v>195</v>
      </c>
      <c r="F63" s="7" t="s">
        <v>195</v>
      </c>
      <c r="G63" s="7" t="s">
        <v>195</v>
      </c>
      <c r="H63" s="7" t="s">
        <v>195</v>
      </c>
      <c r="I63" s="7" t="s">
        <v>195</v>
      </c>
      <c r="J63" s="7" t="s">
        <v>195</v>
      </c>
      <c r="K63" s="7" t="s">
        <v>195</v>
      </c>
      <c r="L63" s="7" t="s">
        <v>195</v>
      </c>
      <c r="M63" s="7" t="s">
        <v>29</v>
      </c>
      <c r="N63" s="7" t="s">
        <v>29</v>
      </c>
      <c r="O63" s="7" t="s">
        <v>29</v>
      </c>
      <c r="P63" s="7" t="s">
        <v>29</v>
      </c>
      <c r="Q63" s="7" t="s">
        <v>29</v>
      </c>
      <c r="R63" s="7" t="s">
        <v>29</v>
      </c>
      <c r="S63" s="7" t="s">
        <v>29</v>
      </c>
    </row>
    <row r="64" spans="2:19">
      <c r="B64" s="7" t="s">
        <v>195</v>
      </c>
      <c r="C64" s="8" t="s">
        <v>195</v>
      </c>
      <c r="D64" s="5" t="str">
        <f>LRTRIM(CONCATENATE(IF(SUMPRODUCT(-- ISNUMBER(SEARCH({"Auto Number"}, $B64))) &gt; 0, $B64, IF(SUMPRODUCT(-- ISNUMBER(SEARCH({"Lookup","Master-Detail"}, $B64))) &gt; 0,$B64 &amp; "(" &amp; $E64 &amp; ")",IF(SUMPRODUCT(-- ISNUMBER(SEARCH({"Formula","Roll-Up Summary"}, $B64))) &gt; 0,$B64 &amp; " (" &amp; $E64 &amp; ")",IF(SUMPRODUCT(-- ISNUMBER(SEARCH({"Content","Currency","Number","Percent","Text","URL"}, $B64))) &gt; 0,$B64 &amp; "(" &amp; $C64 &amp; ")",$B64)))), "  ", TRIM(IF($S64 = "YES", "(External ID)", "") &amp; " " &amp; IF(SUMPRODUCT(-- ISNUMBER(SEARCH({"Unique","Unique Case Insensitive"}, $R64))) &gt; 0, "(" &amp; $R64 &amp; ")", ""))))</f>
        <v>na</v>
      </c>
      <c r="E64" s="7" t="s">
        <v>195</v>
      </c>
      <c r="F64" s="7" t="s">
        <v>195</v>
      </c>
      <c r="G64" s="7" t="s">
        <v>195</v>
      </c>
      <c r="H64" s="7" t="s">
        <v>195</v>
      </c>
      <c r="I64" s="7" t="s">
        <v>195</v>
      </c>
      <c r="J64" s="7" t="s">
        <v>195</v>
      </c>
      <c r="K64" s="7" t="s">
        <v>195</v>
      </c>
      <c r="L64" s="7" t="s">
        <v>195</v>
      </c>
      <c r="M64" s="7" t="s">
        <v>29</v>
      </c>
      <c r="N64" s="7" t="s">
        <v>29</v>
      </c>
      <c r="O64" s="7" t="s">
        <v>29</v>
      </c>
      <c r="P64" s="7" t="s">
        <v>29</v>
      </c>
      <c r="Q64" s="7" t="s">
        <v>29</v>
      </c>
      <c r="R64" s="7" t="s">
        <v>29</v>
      </c>
      <c r="S64" s="7" t="s">
        <v>29</v>
      </c>
    </row>
    <row r="65" spans="2:19">
      <c r="B65" s="7" t="s">
        <v>195</v>
      </c>
      <c r="C65" s="8" t="s">
        <v>195</v>
      </c>
      <c r="D65" s="5" t="str">
        <f>LRTRIM(CONCATENATE(IF(SUMPRODUCT(-- ISNUMBER(SEARCH({"Auto Number"}, $B65))) &gt; 0, $B65, IF(SUMPRODUCT(-- ISNUMBER(SEARCH({"Lookup","Master-Detail"}, $B65))) &gt; 0,$B65 &amp; "(" &amp; $E65 &amp; ")",IF(SUMPRODUCT(-- ISNUMBER(SEARCH({"Formula","Roll-Up Summary"}, $B65))) &gt; 0,$B65 &amp; " (" &amp; $E65 &amp; ")",IF(SUMPRODUCT(-- ISNUMBER(SEARCH({"Content","Currency","Number","Percent","Text","URL"}, $B65))) &gt; 0,$B65 &amp; "(" &amp; $C65 &amp; ")",$B65)))), "  ", TRIM(IF($S65 = "YES", "(External ID)", "") &amp; " " &amp; IF(SUMPRODUCT(-- ISNUMBER(SEARCH({"Unique","Unique Case Insensitive"}, $R65))) &gt; 0, "(" &amp; $R65 &amp; ")", ""))))</f>
        <v>na</v>
      </c>
      <c r="E65" s="7" t="s">
        <v>195</v>
      </c>
      <c r="F65" s="7" t="s">
        <v>195</v>
      </c>
      <c r="G65" s="7" t="s">
        <v>195</v>
      </c>
      <c r="H65" s="7" t="s">
        <v>195</v>
      </c>
      <c r="I65" s="7" t="s">
        <v>195</v>
      </c>
      <c r="J65" s="7" t="s">
        <v>195</v>
      </c>
      <c r="K65" s="7" t="s">
        <v>195</v>
      </c>
      <c r="L65" s="7" t="s">
        <v>195</v>
      </c>
      <c r="M65" s="7" t="s">
        <v>29</v>
      </c>
      <c r="N65" s="7" t="s">
        <v>29</v>
      </c>
      <c r="O65" s="7" t="s">
        <v>29</v>
      </c>
      <c r="P65" s="7" t="s">
        <v>29</v>
      </c>
      <c r="Q65" s="7" t="s">
        <v>29</v>
      </c>
      <c r="R65" s="7" t="s">
        <v>29</v>
      </c>
      <c r="S65" s="7" t="s">
        <v>29</v>
      </c>
    </row>
    <row r="66" spans="2:19">
      <c r="B66" s="7" t="s">
        <v>195</v>
      </c>
      <c r="C66" s="8" t="s">
        <v>195</v>
      </c>
      <c r="D66" s="5" t="str">
        <f>LRTRIM(CONCATENATE(IF(SUMPRODUCT(-- ISNUMBER(SEARCH({"Auto Number"}, $B66))) &gt; 0, $B66, IF(SUMPRODUCT(-- ISNUMBER(SEARCH({"Lookup","Master-Detail"}, $B66))) &gt; 0,$B66 &amp; "(" &amp; $E66 &amp; ")",IF(SUMPRODUCT(-- ISNUMBER(SEARCH({"Formula","Roll-Up Summary"}, $B66))) &gt; 0,$B66 &amp; " (" &amp; $E66 &amp; ")",IF(SUMPRODUCT(-- ISNUMBER(SEARCH({"Content","Currency","Number","Percent","Text","URL"}, $B66))) &gt; 0,$B66 &amp; "(" &amp; $C66 &amp; ")",$B66)))), "  ", TRIM(IF($S66 = "YES", "(External ID)", "") &amp; " " &amp; IF(SUMPRODUCT(-- ISNUMBER(SEARCH({"Unique","Unique Case Insensitive"}, $R66))) &gt; 0, "(" &amp; $R66 &amp; ")", ""))))</f>
        <v>na</v>
      </c>
      <c r="E66" s="7" t="s">
        <v>195</v>
      </c>
      <c r="F66" s="7" t="s">
        <v>195</v>
      </c>
      <c r="G66" s="7" t="s">
        <v>195</v>
      </c>
      <c r="H66" s="7" t="s">
        <v>195</v>
      </c>
      <c r="I66" s="7" t="s">
        <v>195</v>
      </c>
      <c r="J66" s="7" t="s">
        <v>195</v>
      </c>
      <c r="K66" s="7" t="s">
        <v>195</v>
      </c>
      <c r="L66" s="7" t="s">
        <v>195</v>
      </c>
      <c r="M66" s="7" t="s">
        <v>29</v>
      </c>
      <c r="N66" s="7" t="s">
        <v>29</v>
      </c>
      <c r="O66" s="7" t="s">
        <v>29</v>
      </c>
      <c r="P66" s="7" t="s">
        <v>29</v>
      </c>
      <c r="Q66" s="7" t="s">
        <v>29</v>
      </c>
      <c r="R66" s="7" t="s">
        <v>29</v>
      </c>
      <c r="S66" s="7" t="s">
        <v>29</v>
      </c>
    </row>
    <row r="67" spans="2:19">
      <c r="B67" s="7" t="s">
        <v>195</v>
      </c>
      <c r="C67" s="8" t="s">
        <v>195</v>
      </c>
      <c r="D67" s="5" t="str">
        <f>LRTRIM(CONCATENATE(IF(SUMPRODUCT(-- ISNUMBER(SEARCH({"Auto Number"}, $B67))) &gt; 0, $B67, IF(SUMPRODUCT(-- ISNUMBER(SEARCH({"Lookup","Master-Detail"}, $B67))) &gt; 0,$B67 &amp; "(" &amp; $E67 &amp; ")",IF(SUMPRODUCT(-- ISNUMBER(SEARCH({"Formula","Roll-Up Summary"}, $B67))) &gt; 0,$B67 &amp; " (" &amp; $E67 &amp; ")",IF(SUMPRODUCT(-- ISNUMBER(SEARCH({"Content","Currency","Number","Percent","Text","URL"}, $B67))) &gt; 0,$B67 &amp; "(" &amp; $C67 &amp; ")",$B67)))), "  ", TRIM(IF($S67 = "YES", "(External ID)", "") &amp; " " &amp; IF(SUMPRODUCT(-- ISNUMBER(SEARCH({"Unique","Unique Case Insensitive"}, $R67))) &gt; 0, "(" &amp; $R67 &amp; ")", ""))))</f>
        <v>na</v>
      </c>
      <c r="E67" s="7" t="s">
        <v>195</v>
      </c>
      <c r="F67" s="7" t="s">
        <v>195</v>
      </c>
      <c r="G67" s="7" t="s">
        <v>195</v>
      </c>
      <c r="H67" s="7" t="s">
        <v>195</v>
      </c>
      <c r="I67" s="7" t="s">
        <v>195</v>
      </c>
      <c r="J67" s="7" t="s">
        <v>195</v>
      </c>
      <c r="K67" s="7" t="s">
        <v>195</v>
      </c>
      <c r="L67" s="7" t="s">
        <v>195</v>
      </c>
      <c r="M67" s="7" t="s">
        <v>29</v>
      </c>
      <c r="N67" s="7" t="s">
        <v>29</v>
      </c>
      <c r="O67" s="7" t="s">
        <v>29</v>
      </c>
      <c r="P67" s="7" t="s">
        <v>29</v>
      </c>
      <c r="Q67" s="7" t="s">
        <v>29</v>
      </c>
      <c r="R67" s="7" t="s">
        <v>29</v>
      </c>
      <c r="S67" s="7" t="s">
        <v>29</v>
      </c>
    </row>
    <row r="68" spans="2:19">
      <c r="B68" s="7" t="s">
        <v>195</v>
      </c>
      <c r="C68" s="8" t="s">
        <v>195</v>
      </c>
      <c r="D68" s="5" t="str">
        <f>LRTRIM(CONCATENATE(IF(SUMPRODUCT(-- ISNUMBER(SEARCH({"Auto Number"}, $B68))) &gt; 0, $B68, IF(SUMPRODUCT(-- ISNUMBER(SEARCH({"Lookup","Master-Detail"}, $B68))) &gt; 0,$B68 &amp; "(" &amp; $E68 &amp; ")",IF(SUMPRODUCT(-- ISNUMBER(SEARCH({"Formula","Roll-Up Summary"}, $B68))) &gt; 0,$B68 &amp; " (" &amp; $E68 &amp; ")",IF(SUMPRODUCT(-- ISNUMBER(SEARCH({"Content","Currency","Number","Percent","Text","URL"}, $B68))) &gt; 0,$B68 &amp; "(" &amp; $C68 &amp; ")",$B68)))), "  ", TRIM(IF($S68 = "YES", "(External ID)", "") &amp; " " &amp; IF(SUMPRODUCT(-- ISNUMBER(SEARCH({"Unique","Unique Case Insensitive"}, $R68))) &gt; 0, "(" &amp; $R68 &amp; ")", ""))))</f>
        <v>na</v>
      </c>
      <c r="E68" s="7" t="s">
        <v>195</v>
      </c>
      <c r="F68" s="7" t="s">
        <v>195</v>
      </c>
      <c r="G68" s="7" t="s">
        <v>195</v>
      </c>
      <c r="H68" s="7" t="s">
        <v>195</v>
      </c>
      <c r="I68" s="7" t="s">
        <v>195</v>
      </c>
      <c r="J68" s="7" t="s">
        <v>195</v>
      </c>
      <c r="K68" s="7" t="s">
        <v>195</v>
      </c>
      <c r="L68" s="7" t="s">
        <v>195</v>
      </c>
      <c r="M68" s="7" t="s">
        <v>29</v>
      </c>
      <c r="N68" s="7" t="s">
        <v>29</v>
      </c>
      <c r="O68" s="7" t="s">
        <v>29</v>
      </c>
      <c r="P68" s="7" t="s">
        <v>29</v>
      </c>
      <c r="Q68" s="7" t="s">
        <v>29</v>
      </c>
      <c r="R68" s="7" t="s">
        <v>29</v>
      </c>
      <c r="S68" s="7" t="s">
        <v>29</v>
      </c>
    </row>
    <row r="69" spans="2:19">
      <c r="B69" s="7" t="s">
        <v>195</v>
      </c>
      <c r="C69" s="8" t="s">
        <v>195</v>
      </c>
      <c r="D69" s="5" t="str">
        <f>LRTRIM(CONCATENATE(IF(SUMPRODUCT(-- ISNUMBER(SEARCH({"Auto Number"}, $B69))) &gt; 0, $B69, IF(SUMPRODUCT(-- ISNUMBER(SEARCH({"Lookup","Master-Detail"}, $B69))) &gt; 0,$B69 &amp; "(" &amp; $E69 &amp; ")",IF(SUMPRODUCT(-- ISNUMBER(SEARCH({"Formula","Roll-Up Summary"}, $B69))) &gt; 0,$B69 &amp; " (" &amp; $E69 &amp; ")",IF(SUMPRODUCT(-- ISNUMBER(SEARCH({"Content","Currency","Number","Percent","Text","URL"}, $B69))) &gt; 0,$B69 &amp; "(" &amp; $C69 &amp; ")",$B69)))), "  ", TRIM(IF($S69 = "YES", "(External ID)", "") &amp; " " &amp; IF(SUMPRODUCT(-- ISNUMBER(SEARCH({"Unique","Unique Case Insensitive"}, $R69))) &gt; 0, "(" &amp; $R69 &amp; ")", ""))))</f>
        <v>na</v>
      </c>
      <c r="E69" s="7" t="s">
        <v>195</v>
      </c>
      <c r="F69" s="7" t="s">
        <v>195</v>
      </c>
      <c r="G69" s="7" t="s">
        <v>195</v>
      </c>
      <c r="H69" s="7" t="s">
        <v>195</v>
      </c>
      <c r="I69" s="7" t="s">
        <v>195</v>
      </c>
      <c r="J69" s="7" t="s">
        <v>195</v>
      </c>
      <c r="K69" s="7" t="s">
        <v>195</v>
      </c>
      <c r="L69" s="7" t="s">
        <v>195</v>
      </c>
      <c r="M69" s="7" t="s">
        <v>29</v>
      </c>
      <c r="N69" s="7" t="s">
        <v>29</v>
      </c>
      <c r="O69" s="7" t="s">
        <v>29</v>
      </c>
      <c r="P69" s="7" t="s">
        <v>29</v>
      </c>
      <c r="Q69" s="7" t="s">
        <v>29</v>
      </c>
      <c r="R69" s="7" t="s">
        <v>29</v>
      </c>
      <c r="S69" s="7" t="s">
        <v>29</v>
      </c>
    </row>
    <row r="70" spans="2:19">
      <c r="B70" s="7" t="s">
        <v>195</v>
      </c>
      <c r="C70" s="8" t="s">
        <v>195</v>
      </c>
      <c r="D70" s="5" t="str">
        <f>LRTRIM(CONCATENATE(IF(SUMPRODUCT(-- ISNUMBER(SEARCH({"Auto Number"}, $B70))) &gt; 0, $B70, IF(SUMPRODUCT(-- ISNUMBER(SEARCH({"Lookup","Master-Detail"}, $B70))) &gt; 0,$B70 &amp; "(" &amp; $E70 &amp; ")",IF(SUMPRODUCT(-- ISNUMBER(SEARCH({"Formula","Roll-Up Summary"}, $B70))) &gt; 0,$B70 &amp; " (" &amp; $E70 &amp; ")",IF(SUMPRODUCT(-- ISNUMBER(SEARCH({"Content","Currency","Number","Percent","Text","URL"}, $B70))) &gt; 0,$B70 &amp; "(" &amp; $C70 &amp; ")",$B70)))), "  ", TRIM(IF($S70 = "YES", "(External ID)", "") &amp; " " &amp; IF(SUMPRODUCT(-- ISNUMBER(SEARCH({"Unique","Unique Case Insensitive"}, $R70))) &gt; 0, "(" &amp; $R70 &amp; ")", ""))))</f>
        <v>na</v>
      </c>
      <c r="E70" s="7" t="s">
        <v>195</v>
      </c>
      <c r="F70" s="7" t="s">
        <v>195</v>
      </c>
      <c r="G70" s="7" t="s">
        <v>195</v>
      </c>
      <c r="H70" s="7" t="s">
        <v>195</v>
      </c>
      <c r="I70" s="7" t="s">
        <v>195</v>
      </c>
      <c r="J70" s="7" t="s">
        <v>195</v>
      </c>
      <c r="K70" s="7" t="s">
        <v>195</v>
      </c>
      <c r="L70" s="7" t="s">
        <v>195</v>
      </c>
      <c r="M70" s="7" t="s">
        <v>29</v>
      </c>
      <c r="N70" s="7" t="s">
        <v>29</v>
      </c>
      <c r="O70" s="7" t="s">
        <v>29</v>
      </c>
      <c r="P70" s="7" t="s">
        <v>29</v>
      </c>
      <c r="Q70" s="7" t="s">
        <v>29</v>
      </c>
      <c r="R70" s="7" t="s">
        <v>29</v>
      </c>
      <c r="S70" s="7" t="s">
        <v>29</v>
      </c>
    </row>
    <row r="71" spans="2:19">
      <c r="B71" s="7" t="s">
        <v>195</v>
      </c>
      <c r="C71" s="8" t="s">
        <v>195</v>
      </c>
      <c r="D71" s="5" t="str">
        <f>LRTRIM(CONCATENATE(IF(SUMPRODUCT(-- ISNUMBER(SEARCH({"Auto Number"}, $B71))) &gt; 0, $B71, IF(SUMPRODUCT(-- ISNUMBER(SEARCH({"Lookup","Master-Detail"}, $B71))) &gt; 0,$B71 &amp; "(" &amp; $E71 &amp; ")",IF(SUMPRODUCT(-- ISNUMBER(SEARCH({"Formula","Roll-Up Summary"}, $B71))) &gt; 0,$B71 &amp; " (" &amp; $E71 &amp; ")",IF(SUMPRODUCT(-- ISNUMBER(SEARCH({"Content","Currency","Number","Percent","Text","URL"}, $B71))) &gt; 0,$B71 &amp; "(" &amp; $C71 &amp; ")",$B71)))), "  ", TRIM(IF($S71 = "YES", "(External ID)", "") &amp; " " &amp; IF(SUMPRODUCT(-- ISNUMBER(SEARCH({"Unique","Unique Case Insensitive"}, $R71))) &gt; 0, "(" &amp; $R71 &amp; ")", ""))))</f>
        <v>na</v>
      </c>
      <c r="E71" s="7" t="s">
        <v>195</v>
      </c>
      <c r="F71" s="7" t="s">
        <v>195</v>
      </c>
      <c r="G71" s="7" t="s">
        <v>195</v>
      </c>
      <c r="H71" s="7" t="s">
        <v>195</v>
      </c>
      <c r="I71" s="7" t="s">
        <v>195</v>
      </c>
      <c r="J71" s="7" t="s">
        <v>195</v>
      </c>
      <c r="K71" s="7" t="s">
        <v>195</v>
      </c>
      <c r="L71" s="7" t="s">
        <v>195</v>
      </c>
      <c r="M71" s="7" t="s">
        <v>29</v>
      </c>
      <c r="N71" s="7" t="s">
        <v>29</v>
      </c>
      <c r="O71" s="7" t="s">
        <v>29</v>
      </c>
      <c r="P71" s="7" t="s">
        <v>29</v>
      </c>
      <c r="Q71" s="7" t="s">
        <v>29</v>
      </c>
      <c r="R71" s="7" t="s">
        <v>29</v>
      </c>
      <c r="S71" s="7" t="s">
        <v>29</v>
      </c>
    </row>
    <row r="72" spans="2:19">
      <c r="B72" s="7" t="s">
        <v>195</v>
      </c>
      <c r="C72" s="8" t="s">
        <v>195</v>
      </c>
      <c r="D72" s="5" t="str">
        <f>LRTRIM(CONCATENATE(IF(SUMPRODUCT(-- ISNUMBER(SEARCH({"Auto Number"}, $B72))) &gt; 0, $B72, IF(SUMPRODUCT(-- ISNUMBER(SEARCH({"Lookup","Master-Detail"}, $B72))) &gt; 0,$B72 &amp; "(" &amp; $E72 &amp; ")",IF(SUMPRODUCT(-- ISNUMBER(SEARCH({"Formula","Roll-Up Summary"}, $B72))) &gt; 0,$B72 &amp; " (" &amp; $E72 &amp; ")",IF(SUMPRODUCT(-- ISNUMBER(SEARCH({"Content","Currency","Number","Percent","Text","URL"}, $B72))) &gt; 0,$B72 &amp; "(" &amp; $C72 &amp; ")",$B72)))), "  ", TRIM(IF($S72 = "YES", "(External ID)", "") &amp; " " &amp; IF(SUMPRODUCT(-- ISNUMBER(SEARCH({"Unique","Unique Case Insensitive"}, $R72))) &gt; 0, "(" &amp; $R72 &amp; ")", ""))))</f>
        <v>na</v>
      </c>
      <c r="E72" s="7" t="s">
        <v>195</v>
      </c>
      <c r="F72" s="7" t="s">
        <v>195</v>
      </c>
      <c r="G72" s="7" t="s">
        <v>195</v>
      </c>
      <c r="H72" s="7" t="s">
        <v>195</v>
      </c>
      <c r="I72" s="7" t="s">
        <v>195</v>
      </c>
      <c r="J72" s="7" t="s">
        <v>195</v>
      </c>
      <c r="K72" s="7" t="s">
        <v>195</v>
      </c>
      <c r="L72" s="7" t="s">
        <v>195</v>
      </c>
      <c r="M72" s="7" t="s">
        <v>29</v>
      </c>
      <c r="N72" s="7" t="s">
        <v>29</v>
      </c>
      <c r="O72" s="7" t="s">
        <v>29</v>
      </c>
      <c r="P72" s="7" t="s">
        <v>29</v>
      </c>
      <c r="Q72" s="7" t="s">
        <v>29</v>
      </c>
      <c r="R72" s="7" t="s">
        <v>29</v>
      </c>
      <c r="S72" s="7" t="s">
        <v>29</v>
      </c>
    </row>
    <row r="73" spans="2:19">
      <c r="B73" s="7" t="s">
        <v>195</v>
      </c>
      <c r="C73" s="8" t="s">
        <v>195</v>
      </c>
      <c r="D73" s="5" t="str">
        <f>LRTRIM(CONCATENATE(IF(SUMPRODUCT(-- ISNUMBER(SEARCH({"Auto Number"}, $B73))) &gt; 0, $B73, IF(SUMPRODUCT(-- ISNUMBER(SEARCH({"Lookup","Master-Detail"}, $B73))) &gt; 0,$B73 &amp; "(" &amp; $E73 &amp; ")",IF(SUMPRODUCT(-- ISNUMBER(SEARCH({"Formula","Roll-Up Summary"}, $B73))) &gt; 0,$B73 &amp; " (" &amp; $E73 &amp; ")",IF(SUMPRODUCT(-- ISNUMBER(SEARCH({"Content","Currency","Number","Percent","Text","URL"}, $B73))) &gt; 0,$B73 &amp; "(" &amp; $C73 &amp; ")",$B73)))), "  ", TRIM(IF($S73 = "YES", "(External ID)", "") &amp; " " &amp; IF(SUMPRODUCT(-- ISNUMBER(SEARCH({"Unique","Unique Case Insensitive"}, $R73))) &gt; 0, "(" &amp; $R73 &amp; ")", ""))))</f>
        <v>na</v>
      </c>
      <c r="E73" s="7" t="s">
        <v>195</v>
      </c>
      <c r="F73" s="7" t="s">
        <v>195</v>
      </c>
      <c r="G73" s="7" t="s">
        <v>195</v>
      </c>
      <c r="H73" s="7" t="s">
        <v>195</v>
      </c>
      <c r="I73" s="7" t="s">
        <v>195</v>
      </c>
      <c r="J73" s="7" t="s">
        <v>195</v>
      </c>
      <c r="K73" s="7" t="s">
        <v>195</v>
      </c>
      <c r="L73" s="7" t="s">
        <v>195</v>
      </c>
      <c r="M73" s="7" t="s">
        <v>29</v>
      </c>
      <c r="N73" s="7" t="s">
        <v>29</v>
      </c>
      <c r="O73" s="7" t="s">
        <v>29</v>
      </c>
      <c r="P73" s="7" t="s">
        <v>29</v>
      </c>
      <c r="Q73" s="7" t="s">
        <v>29</v>
      </c>
      <c r="R73" s="7" t="s">
        <v>29</v>
      </c>
      <c r="S73" s="7" t="s">
        <v>29</v>
      </c>
    </row>
    <row r="74" spans="2:19">
      <c r="B74" s="7" t="s">
        <v>195</v>
      </c>
      <c r="C74" s="8" t="s">
        <v>195</v>
      </c>
      <c r="D74" s="5" t="str">
        <f>LRTRIM(CONCATENATE(IF(SUMPRODUCT(-- ISNUMBER(SEARCH({"Auto Number"}, $B74))) &gt; 0, $B74, IF(SUMPRODUCT(-- ISNUMBER(SEARCH({"Lookup","Master-Detail"}, $B74))) &gt; 0,$B74 &amp; "(" &amp; $E74 &amp; ")",IF(SUMPRODUCT(-- ISNUMBER(SEARCH({"Formula","Roll-Up Summary"}, $B74))) &gt; 0,$B74 &amp; " (" &amp; $E74 &amp; ")",IF(SUMPRODUCT(-- ISNUMBER(SEARCH({"Content","Currency","Number","Percent","Text","URL"}, $B74))) &gt; 0,$B74 &amp; "(" &amp; $C74 &amp; ")",$B74)))), "  ", TRIM(IF($S74 = "YES", "(External ID)", "") &amp; " " &amp; IF(SUMPRODUCT(-- ISNUMBER(SEARCH({"Unique","Unique Case Insensitive"}, $R74))) &gt; 0, "(" &amp; $R74 &amp; ")", ""))))</f>
        <v>na</v>
      </c>
      <c r="E74" s="7" t="s">
        <v>195</v>
      </c>
      <c r="F74" s="7" t="s">
        <v>195</v>
      </c>
      <c r="G74" s="7" t="s">
        <v>195</v>
      </c>
      <c r="H74" s="7" t="s">
        <v>195</v>
      </c>
      <c r="I74" s="7" t="s">
        <v>195</v>
      </c>
      <c r="J74" s="7" t="s">
        <v>195</v>
      </c>
      <c r="K74" s="7" t="s">
        <v>195</v>
      </c>
      <c r="L74" s="7" t="s">
        <v>195</v>
      </c>
      <c r="M74" s="7" t="s">
        <v>29</v>
      </c>
      <c r="N74" s="7" t="s">
        <v>29</v>
      </c>
      <c r="O74" s="7" t="s">
        <v>29</v>
      </c>
      <c r="P74" s="7" t="s">
        <v>29</v>
      </c>
      <c r="Q74" s="7" t="s">
        <v>29</v>
      </c>
      <c r="R74" s="7" t="s">
        <v>29</v>
      </c>
      <c r="S74" s="7" t="s">
        <v>29</v>
      </c>
    </row>
    <row r="75" spans="2:19">
      <c r="B75" s="7" t="s">
        <v>195</v>
      </c>
      <c r="C75" s="8" t="s">
        <v>195</v>
      </c>
      <c r="D75" s="5" t="str">
        <f>LRTRIM(CONCATENATE(IF(SUMPRODUCT(-- ISNUMBER(SEARCH({"Auto Number"}, $B75))) &gt; 0, $B75, IF(SUMPRODUCT(-- ISNUMBER(SEARCH({"Lookup","Master-Detail"}, $B75))) &gt; 0,$B75 &amp; "(" &amp; $E75 &amp; ")",IF(SUMPRODUCT(-- ISNUMBER(SEARCH({"Formula","Roll-Up Summary"}, $B75))) &gt; 0,$B75 &amp; " (" &amp; $E75 &amp; ")",IF(SUMPRODUCT(-- ISNUMBER(SEARCH({"Content","Currency","Number","Percent","Text","URL"}, $B75))) &gt; 0,$B75 &amp; "(" &amp; $C75 &amp; ")",$B75)))), "  ", TRIM(IF($S75 = "YES", "(External ID)", "") &amp; " " &amp; IF(SUMPRODUCT(-- ISNUMBER(SEARCH({"Unique","Unique Case Insensitive"}, $R75))) &gt; 0, "(" &amp; $R75 &amp; ")", ""))))</f>
        <v>na</v>
      </c>
      <c r="E75" s="7" t="s">
        <v>195</v>
      </c>
      <c r="F75" s="7" t="s">
        <v>195</v>
      </c>
      <c r="G75" s="7" t="s">
        <v>195</v>
      </c>
      <c r="H75" s="7" t="s">
        <v>195</v>
      </c>
      <c r="I75" s="7" t="s">
        <v>195</v>
      </c>
      <c r="J75" s="7" t="s">
        <v>195</v>
      </c>
      <c r="K75" s="7" t="s">
        <v>195</v>
      </c>
      <c r="L75" s="7" t="s">
        <v>195</v>
      </c>
      <c r="M75" s="7" t="s">
        <v>29</v>
      </c>
      <c r="N75" s="7" t="s">
        <v>29</v>
      </c>
      <c r="O75" s="7" t="s">
        <v>29</v>
      </c>
      <c r="P75" s="7" t="s">
        <v>29</v>
      </c>
      <c r="Q75" s="7" t="s">
        <v>29</v>
      </c>
      <c r="R75" s="7" t="s">
        <v>29</v>
      </c>
      <c r="S75" s="7" t="s">
        <v>29</v>
      </c>
    </row>
    <row r="76" spans="2:19">
      <c r="B76" s="7" t="s">
        <v>195</v>
      </c>
      <c r="C76" s="8" t="s">
        <v>195</v>
      </c>
      <c r="D76" s="5" t="str">
        <f>LRTRIM(CONCATENATE(IF(SUMPRODUCT(-- ISNUMBER(SEARCH({"Auto Number"}, $B76))) &gt; 0, $B76, IF(SUMPRODUCT(-- ISNUMBER(SEARCH({"Lookup","Master-Detail"}, $B76))) &gt; 0,$B76 &amp; "(" &amp; $E76 &amp; ")",IF(SUMPRODUCT(-- ISNUMBER(SEARCH({"Formula","Roll-Up Summary"}, $B76))) &gt; 0,$B76 &amp; " (" &amp; $E76 &amp; ")",IF(SUMPRODUCT(-- ISNUMBER(SEARCH({"Content","Currency","Number","Percent","Text","URL"}, $B76))) &gt; 0,$B76 &amp; "(" &amp; $C76 &amp; ")",$B76)))), "  ", TRIM(IF($S76 = "YES", "(External ID)", "") &amp; " " &amp; IF(SUMPRODUCT(-- ISNUMBER(SEARCH({"Unique","Unique Case Insensitive"}, $R76))) &gt; 0, "(" &amp; $R76 &amp; ")", ""))))</f>
        <v>na</v>
      </c>
      <c r="E76" s="7" t="s">
        <v>195</v>
      </c>
      <c r="F76" s="7" t="s">
        <v>195</v>
      </c>
      <c r="G76" s="7" t="s">
        <v>195</v>
      </c>
      <c r="H76" s="7" t="s">
        <v>195</v>
      </c>
      <c r="I76" s="7" t="s">
        <v>195</v>
      </c>
      <c r="J76" s="7" t="s">
        <v>195</v>
      </c>
      <c r="K76" s="7" t="s">
        <v>195</v>
      </c>
      <c r="L76" s="7" t="s">
        <v>195</v>
      </c>
      <c r="M76" s="7" t="s">
        <v>29</v>
      </c>
      <c r="N76" s="7" t="s">
        <v>29</v>
      </c>
      <c r="O76" s="7" t="s">
        <v>29</v>
      </c>
      <c r="P76" s="7" t="s">
        <v>29</v>
      </c>
      <c r="Q76" s="7" t="s">
        <v>29</v>
      </c>
      <c r="R76" s="7" t="s">
        <v>29</v>
      </c>
      <c r="S76" s="7" t="s">
        <v>29</v>
      </c>
    </row>
    <row r="77" spans="2:19">
      <c r="B77" s="7" t="s">
        <v>195</v>
      </c>
      <c r="C77" s="8" t="s">
        <v>195</v>
      </c>
      <c r="D77" s="5" t="str">
        <f>LRTRIM(CONCATENATE(IF(SUMPRODUCT(-- ISNUMBER(SEARCH({"Auto Number"}, $B77))) &gt; 0, $B77, IF(SUMPRODUCT(-- ISNUMBER(SEARCH({"Lookup","Master-Detail"}, $B77))) &gt; 0,$B77 &amp; "(" &amp; $E77 &amp; ")",IF(SUMPRODUCT(-- ISNUMBER(SEARCH({"Formula","Roll-Up Summary"}, $B77))) &gt; 0,$B77 &amp; " (" &amp; $E77 &amp; ")",IF(SUMPRODUCT(-- ISNUMBER(SEARCH({"Content","Currency","Number","Percent","Text","URL"}, $B77))) &gt; 0,$B77 &amp; "(" &amp; $C77 &amp; ")",$B77)))), "  ", TRIM(IF($S77 = "YES", "(External ID)", "") &amp; " " &amp; IF(SUMPRODUCT(-- ISNUMBER(SEARCH({"Unique","Unique Case Insensitive"}, $R77))) &gt; 0, "(" &amp; $R77 &amp; ")", ""))))</f>
        <v>na</v>
      </c>
      <c r="E77" s="7" t="s">
        <v>195</v>
      </c>
      <c r="F77" s="7" t="s">
        <v>195</v>
      </c>
      <c r="G77" s="7" t="s">
        <v>195</v>
      </c>
      <c r="H77" s="7" t="s">
        <v>195</v>
      </c>
      <c r="I77" s="7" t="s">
        <v>195</v>
      </c>
      <c r="J77" s="7" t="s">
        <v>195</v>
      </c>
      <c r="K77" s="7" t="s">
        <v>195</v>
      </c>
      <c r="L77" s="7" t="s">
        <v>195</v>
      </c>
      <c r="M77" s="7" t="s">
        <v>29</v>
      </c>
      <c r="N77" s="7" t="s">
        <v>29</v>
      </c>
      <c r="O77" s="7" t="s">
        <v>29</v>
      </c>
      <c r="P77" s="7" t="s">
        <v>29</v>
      </c>
      <c r="Q77" s="7" t="s">
        <v>29</v>
      </c>
      <c r="R77" s="7" t="s">
        <v>29</v>
      </c>
      <c r="S77" s="7" t="s">
        <v>29</v>
      </c>
    </row>
    <row r="78" spans="2:19">
      <c r="B78" s="7" t="s">
        <v>195</v>
      </c>
      <c r="C78" s="8" t="s">
        <v>195</v>
      </c>
      <c r="D78" s="5" t="str">
        <f>LRTRIM(CONCATENATE(IF(SUMPRODUCT(-- ISNUMBER(SEARCH({"Auto Number"}, $B78))) &gt; 0, $B78, IF(SUMPRODUCT(-- ISNUMBER(SEARCH({"Lookup","Master-Detail"}, $B78))) &gt; 0,$B78 &amp; "(" &amp; $E78 &amp; ")",IF(SUMPRODUCT(-- ISNUMBER(SEARCH({"Formula","Roll-Up Summary"}, $B78))) &gt; 0,$B78 &amp; " (" &amp; $E78 &amp; ")",IF(SUMPRODUCT(-- ISNUMBER(SEARCH({"Content","Currency","Number","Percent","Text","URL"}, $B78))) &gt; 0,$B78 &amp; "(" &amp; $C78 &amp; ")",$B78)))), "  ", TRIM(IF($S78 = "YES", "(External ID)", "") &amp; " " &amp; IF(SUMPRODUCT(-- ISNUMBER(SEARCH({"Unique","Unique Case Insensitive"}, $R78))) &gt; 0, "(" &amp; $R78 &amp; ")", ""))))</f>
        <v>na</v>
      </c>
      <c r="E78" s="7" t="s">
        <v>195</v>
      </c>
      <c r="F78" s="7" t="s">
        <v>195</v>
      </c>
      <c r="G78" s="7" t="s">
        <v>195</v>
      </c>
      <c r="H78" s="7" t="s">
        <v>195</v>
      </c>
      <c r="I78" s="7" t="s">
        <v>195</v>
      </c>
      <c r="J78" s="7" t="s">
        <v>195</v>
      </c>
      <c r="K78" s="7" t="s">
        <v>195</v>
      </c>
      <c r="L78" s="7" t="s">
        <v>195</v>
      </c>
      <c r="M78" s="7" t="s">
        <v>29</v>
      </c>
      <c r="N78" s="7" t="s">
        <v>29</v>
      </c>
      <c r="O78" s="7" t="s">
        <v>29</v>
      </c>
      <c r="P78" s="7" t="s">
        <v>29</v>
      </c>
      <c r="Q78" s="7" t="s">
        <v>29</v>
      </c>
      <c r="R78" s="7" t="s">
        <v>29</v>
      </c>
      <c r="S78" s="7" t="s">
        <v>29</v>
      </c>
    </row>
    <row r="79" spans="2:19">
      <c r="B79" s="7" t="s">
        <v>195</v>
      </c>
      <c r="C79" s="8" t="s">
        <v>195</v>
      </c>
      <c r="D79" s="5" t="str">
        <f>LRTRIM(CONCATENATE(IF(SUMPRODUCT(-- ISNUMBER(SEARCH({"Auto Number"}, $B79))) &gt; 0, $B79, IF(SUMPRODUCT(-- ISNUMBER(SEARCH({"Lookup","Master-Detail"}, $B79))) &gt; 0,$B79 &amp; "(" &amp; $E79 &amp; ")",IF(SUMPRODUCT(-- ISNUMBER(SEARCH({"Formula","Roll-Up Summary"}, $B79))) &gt; 0,$B79 &amp; " (" &amp; $E79 &amp; ")",IF(SUMPRODUCT(-- ISNUMBER(SEARCH({"Content","Currency","Number","Percent","Text","URL"}, $B79))) &gt; 0,$B79 &amp; "(" &amp; $C79 &amp; ")",$B79)))), "  ", TRIM(IF($S79 = "YES", "(External ID)", "") &amp; " " &amp; IF(SUMPRODUCT(-- ISNUMBER(SEARCH({"Unique","Unique Case Insensitive"}, $R79))) &gt; 0, "(" &amp; $R79 &amp; ")", ""))))</f>
        <v>na</v>
      </c>
      <c r="E79" s="7" t="s">
        <v>195</v>
      </c>
      <c r="F79" s="7" t="s">
        <v>195</v>
      </c>
      <c r="G79" s="7" t="s">
        <v>195</v>
      </c>
      <c r="H79" s="7" t="s">
        <v>195</v>
      </c>
      <c r="I79" s="7" t="s">
        <v>195</v>
      </c>
      <c r="J79" s="7" t="s">
        <v>195</v>
      </c>
      <c r="K79" s="7" t="s">
        <v>195</v>
      </c>
      <c r="L79" s="7" t="s">
        <v>195</v>
      </c>
      <c r="M79" s="7" t="s">
        <v>29</v>
      </c>
      <c r="N79" s="7" t="s">
        <v>29</v>
      </c>
      <c r="O79" s="7" t="s">
        <v>29</v>
      </c>
      <c r="P79" s="7" t="s">
        <v>29</v>
      </c>
      <c r="Q79" s="7" t="s">
        <v>29</v>
      </c>
      <c r="R79" s="7" t="s">
        <v>29</v>
      </c>
      <c r="S79" s="7" t="s">
        <v>29</v>
      </c>
    </row>
    <row r="80" spans="2:19">
      <c r="B80" s="7" t="s">
        <v>195</v>
      </c>
      <c r="C80" s="8" t="s">
        <v>195</v>
      </c>
      <c r="D80" s="5" t="str">
        <f>LRTRIM(CONCATENATE(IF(SUMPRODUCT(-- ISNUMBER(SEARCH({"Auto Number"}, $B80))) &gt; 0, $B80, IF(SUMPRODUCT(-- ISNUMBER(SEARCH({"Lookup","Master-Detail"}, $B80))) &gt; 0,$B80 &amp; "(" &amp; $E80 &amp; ")",IF(SUMPRODUCT(-- ISNUMBER(SEARCH({"Formula","Roll-Up Summary"}, $B80))) &gt; 0,$B80 &amp; " (" &amp; $E80 &amp; ")",IF(SUMPRODUCT(-- ISNUMBER(SEARCH({"Content","Currency","Number","Percent","Text","URL"}, $B80))) &gt; 0,$B80 &amp; "(" &amp; $C80 &amp; ")",$B80)))), "  ", TRIM(IF($S80 = "YES", "(External ID)", "") &amp; " " &amp; IF(SUMPRODUCT(-- ISNUMBER(SEARCH({"Unique","Unique Case Insensitive"}, $R80))) &gt; 0, "(" &amp; $R80 &amp; ")", ""))))</f>
        <v>na</v>
      </c>
      <c r="E80" s="7" t="s">
        <v>195</v>
      </c>
      <c r="F80" s="7" t="s">
        <v>195</v>
      </c>
      <c r="G80" s="7" t="s">
        <v>195</v>
      </c>
      <c r="H80" s="7" t="s">
        <v>195</v>
      </c>
      <c r="I80" s="7" t="s">
        <v>195</v>
      </c>
      <c r="J80" s="7" t="s">
        <v>195</v>
      </c>
      <c r="K80" s="7" t="s">
        <v>195</v>
      </c>
      <c r="L80" s="7" t="s">
        <v>195</v>
      </c>
      <c r="M80" s="7" t="s">
        <v>29</v>
      </c>
      <c r="N80" s="7" t="s">
        <v>29</v>
      </c>
      <c r="O80" s="7" t="s">
        <v>29</v>
      </c>
      <c r="P80" s="7" t="s">
        <v>29</v>
      </c>
      <c r="Q80" s="7" t="s">
        <v>29</v>
      </c>
      <c r="R80" s="7" t="s">
        <v>29</v>
      </c>
      <c r="S80" s="7" t="s">
        <v>29</v>
      </c>
    </row>
    <row r="81" spans="2:19">
      <c r="B81" s="7" t="s">
        <v>195</v>
      </c>
      <c r="C81" s="8" t="s">
        <v>195</v>
      </c>
      <c r="D81" s="5" t="str">
        <f>LRTRIM(CONCATENATE(IF(SUMPRODUCT(-- ISNUMBER(SEARCH({"Auto Number"}, $B81))) &gt; 0, $B81, IF(SUMPRODUCT(-- ISNUMBER(SEARCH({"Lookup","Master-Detail"}, $B81))) &gt; 0,$B81 &amp; "(" &amp; $E81 &amp; ")",IF(SUMPRODUCT(-- ISNUMBER(SEARCH({"Formula","Roll-Up Summary"}, $B81))) &gt; 0,$B81 &amp; " (" &amp; $E81 &amp; ")",IF(SUMPRODUCT(-- ISNUMBER(SEARCH({"Content","Currency","Number","Percent","Text","URL"}, $B81))) &gt; 0,$B81 &amp; "(" &amp; $C81 &amp; ")",$B81)))), "  ", TRIM(IF($S81 = "YES", "(External ID)", "") &amp; " " &amp; IF(SUMPRODUCT(-- ISNUMBER(SEARCH({"Unique","Unique Case Insensitive"}, $R81))) &gt; 0, "(" &amp; $R81 &amp; ")", ""))))</f>
        <v>na</v>
      </c>
      <c r="E81" s="7" t="s">
        <v>195</v>
      </c>
      <c r="F81" s="7" t="s">
        <v>195</v>
      </c>
      <c r="G81" s="7" t="s">
        <v>195</v>
      </c>
      <c r="H81" s="7" t="s">
        <v>195</v>
      </c>
      <c r="I81" s="7" t="s">
        <v>195</v>
      </c>
      <c r="J81" s="7" t="s">
        <v>195</v>
      </c>
      <c r="K81" s="7" t="s">
        <v>195</v>
      </c>
      <c r="L81" s="7" t="s">
        <v>195</v>
      </c>
      <c r="M81" s="7" t="s">
        <v>29</v>
      </c>
      <c r="N81" s="7" t="s">
        <v>29</v>
      </c>
      <c r="O81" s="7" t="s">
        <v>29</v>
      </c>
      <c r="P81" s="7" t="s">
        <v>29</v>
      </c>
      <c r="Q81" s="7" t="s">
        <v>29</v>
      </c>
      <c r="R81" s="7" t="s">
        <v>29</v>
      </c>
      <c r="S81" s="7" t="s">
        <v>29</v>
      </c>
    </row>
    <row r="82" spans="2:19">
      <c r="B82" s="7" t="s">
        <v>195</v>
      </c>
      <c r="C82" s="8" t="s">
        <v>195</v>
      </c>
      <c r="D82" s="5" t="str">
        <f>LRTRIM(CONCATENATE(IF(SUMPRODUCT(-- ISNUMBER(SEARCH({"Auto Number"}, $B82))) &gt; 0, $B82, IF(SUMPRODUCT(-- ISNUMBER(SEARCH({"Lookup","Master-Detail"}, $B82))) &gt; 0,$B82 &amp; "(" &amp; $E82 &amp; ")",IF(SUMPRODUCT(-- ISNUMBER(SEARCH({"Formula","Roll-Up Summary"}, $B82))) &gt; 0,$B82 &amp; " (" &amp; $E82 &amp; ")",IF(SUMPRODUCT(-- ISNUMBER(SEARCH({"Content","Currency","Number","Percent","Text","URL"}, $B82))) &gt; 0,$B82 &amp; "(" &amp; $C82 &amp; ")",$B82)))), "  ", TRIM(IF($S82 = "YES", "(External ID)", "") &amp; " " &amp; IF(SUMPRODUCT(-- ISNUMBER(SEARCH({"Unique","Unique Case Insensitive"}, $R82))) &gt; 0, "(" &amp; $R82 &amp; ")", ""))))</f>
        <v>na</v>
      </c>
      <c r="E82" s="7" t="s">
        <v>195</v>
      </c>
      <c r="F82" s="7" t="s">
        <v>195</v>
      </c>
      <c r="G82" s="7" t="s">
        <v>195</v>
      </c>
      <c r="H82" s="7" t="s">
        <v>195</v>
      </c>
      <c r="I82" s="7" t="s">
        <v>195</v>
      </c>
      <c r="J82" s="7" t="s">
        <v>195</v>
      </c>
      <c r="K82" s="7" t="s">
        <v>195</v>
      </c>
      <c r="L82" s="7" t="s">
        <v>195</v>
      </c>
      <c r="M82" s="7" t="s">
        <v>29</v>
      </c>
      <c r="N82" s="7" t="s">
        <v>29</v>
      </c>
      <c r="O82" s="7" t="s">
        <v>29</v>
      </c>
      <c r="P82" s="7" t="s">
        <v>29</v>
      </c>
      <c r="Q82" s="7" t="s">
        <v>29</v>
      </c>
      <c r="R82" s="7" t="s">
        <v>29</v>
      </c>
      <c r="S82" s="7" t="s">
        <v>29</v>
      </c>
    </row>
    <row r="83" spans="2:19">
      <c r="B83" s="7" t="s">
        <v>195</v>
      </c>
      <c r="C83" s="8" t="s">
        <v>195</v>
      </c>
      <c r="D83" s="5" t="str">
        <f>LRTRIM(CONCATENATE(IF(SUMPRODUCT(-- ISNUMBER(SEARCH({"Auto Number"}, $B83))) &gt; 0, $B83, IF(SUMPRODUCT(-- ISNUMBER(SEARCH({"Lookup","Master-Detail"}, $B83))) &gt; 0,$B83 &amp; "(" &amp; $E83 &amp; ")",IF(SUMPRODUCT(-- ISNUMBER(SEARCH({"Formula","Roll-Up Summary"}, $B83))) &gt; 0,$B83 &amp; " (" &amp; $E83 &amp; ")",IF(SUMPRODUCT(-- ISNUMBER(SEARCH({"Content","Currency","Number","Percent","Text","URL"}, $B83))) &gt; 0,$B83 &amp; "(" &amp; $C83 &amp; ")",$B83)))), "  ", TRIM(IF($S83 = "YES", "(External ID)", "") &amp; " " &amp; IF(SUMPRODUCT(-- ISNUMBER(SEARCH({"Unique","Unique Case Insensitive"}, $R83))) &gt; 0, "(" &amp; $R83 &amp; ")", ""))))</f>
        <v>na</v>
      </c>
      <c r="E83" s="7" t="s">
        <v>195</v>
      </c>
      <c r="F83" s="7" t="s">
        <v>195</v>
      </c>
      <c r="G83" s="7" t="s">
        <v>195</v>
      </c>
      <c r="H83" s="7" t="s">
        <v>195</v>
      </c>
      <c r="I83" s="7" t="s">
        <v>195</v>
      </c>
      <c r="J83" s="7" t="s">
        <v>195</v>
      </c>
      <c r="K83" s="7" t="s">
        <v>195</v>
      </c>
      <c r="L83" s="7" t="s">
        <v>195</v>
      </c>
      <c r="M83" s="7" t="s">
        <v>29</v>
      </c>
      <c r="N83" s="7" t="s">
        <v>29</v>
      </c>
      <c r="O83" s="7" t="s">
        <v>29</v>
      </c>
      <c r="P83" s="7" t="s">
        <v>29</v>
      </c>
      <c r="Q83" s="7" t="s">
        <v>29</v>
      </c>
      <c r="R83" s="7" t="s">
        <v>29</v>
      </c>
      <c r="S83" s="7" t="s">
        <v>29</v>
      </c>
    </row>
    <row r="84" spans="2:19">
      <c r="B84" s="7" t="s">
        <v>195</v>
      </c>
      <c r="C84" s="8" t="s">
        <v>195</v>
      </c>
      <c r="D84" s="5" t="str">
        <f>LRTRIM(CONCATENATE(IF(SUMPRODUCT(-- ISNUMBER(SEARCH({"Auto Number"}, $B84))) &gt; 0, $B84, IF(SUMPRODUCT(-- ISNUMBER(SEARCH({"Lookup","Master-Detail"}, $B84))) &gt; 0,$B84 &amp; "(" &amp; $E84 &amp; ")",IF(SUMPRODUCT(-- ISNUMBER(SEARCH({"Formula","Roll-Up Summary"}, $B84))) &gt; 0,$B84 &amp; " (" &amp; $E84 &amp; ")",IF(SUMPRODUCT(-- ISNUMBER(SEARCH({"Content","Currency","Number","Percent","Text","URL"}, $B84))) &gt; 0,$B84 &amp; "(" &amp; $C84 &amp; ")",$B84)))), "  ", TRIM(IF($S84 = "YES", "(External ID)", "") &amp; " " &amp; IF(SUMPRODUCT(-- ISNUMBER(SEARCH({"Unique","Unique Case Insensitive"}, $R84))) &gt; 0, "(" &amp; $R84 &amp; ")", ""))))</f>
        <v>na</v>
      </c>
      <c r="E84" s="7" t="s">
        <v>195</v>
      </c>
      <c r="F84" s="7" t="s">
        <v>195</v>
      </c>
      <c r="G84" s="7" t="s">
        <v>195</v>
      </c>
      <c r="H84" s="7" t="s">
        <v>195</v>
      </c>
      <c r="I84" s="7" t="s">
        <v>195</v>
      </c>
      <c r="J84" s="7" t="s">
        <v>195</v>
      </c>
      <c r="K84" s="7" t="s">
        <v>195</v>
      </c>
      <c r="L84" s="7" t="s">
        <v>195</v>
      </c>
      <c r="M84" s="7" t="s">
        <v>29</v>
      </c>
      <c r="N84" s="7" t="s">
        <v>29</v>
      </c>
      <c r="O84" s="7" t="s">
        <v>29</v>
      </c>
      <c r="P84" s="7" t="s">
        <v>29</v>
      </c>
      <c r="Q84" s="7" t="s">
        <v>29</v>
      </c>
      <c r="R84" s="7" t="s">
        <v>29</v>
      </c>
      <c r="S84" s="7" t="s">
        <v>29</v>
      </c>
    </row>
    <row r="85" spans="2:19">
      <c r="B85" s="7" t="s">
        <v>195</v>
      </c>
      <c r="C85" s="8" t="s">
        <v>195</v>
      </c>
      <c r="D85" s="5" t="str">
        <f>LRTRIM(CONCATENATE(IF(SUMPRODUCT(-- ISNUMBER(SEARCH({"Auto Number"}, $B85))) &gt; 0, $B85, IF(SUMPRODUCT(-- ISNUMBER(SEARCH({"Lookup","Master-Detail"}, $B85))) &gt; 0,$B85 &amp; "(" &amp; $E85 &amp; ")",IF(SUMPRODUCT(-- ISNUMBER(SEARCH({"Formula","Roll-Up Summary"}, $B85))) &gt; 0,$B85 &amp; " (" &amp; $E85 &amp; ")",IF(SUMPRODUCT(-- ISNUMBER(SEARCH({"Content","Currency","Number","Percent","Text","URL"}, $B85))) &gt; 0,$B85 &amp; "(" &amp; $C85 &amp; ")",$B85)))), "  ", TRIM(IF($S85 = "YES", "(External ID)", "") &amp; " " &amp; IF(SUMPRODUCT(-- ISNUMBER(SEARCH({"Unique","Unique Case Insensitive"}, $R85))) &gt; 0, "(" &amp; $R85 &amp; ")", ""))))</f>
        <v>na</v>
      </c>
      <c r="E85" s="7" t="s">
        <v>195</v>
      </c>
      <c r="F85" s="7" t="s">
        <v>195</v>
      </c>
      <c r="G85" s="7" t="s">
        <v>195</v>
      </c>
      <c r="H85" s="7" t="s">
        <v>195</v>
      </c>
      <c r="I85" s="7" t="s">
        <v>195</v>
      </c>
      <c r="J85" s="7" t="s">
        <v>195</v>
      </c>
      <c r="K85" s="7" t="s">
        <v>195</v>
      </c>
      <c r="L85" s="7" t="s">
        <v>195</v>
      </c>
      <c r="M85" s="7" t="s">
        <v>29</v>
      </c>
      <c r="N85" s="7" t="s">
        <v>29</v>
      </c>
      <c r="O85" s="7" t="s">
        <v>29</v>
      </c>
      <c r="P85" s="7" t="s">
        <v>29</v>
      </c>
      <c r="Q85" s="7" t="s">
        <v>29</v>
      </c>
      <c r="R85" s="7" t="s">
        <v>29</v>
      </c>
      <c r="S85" s="7" t="s">
        <v>29</v>
      </c>
    </row>
    <row r="86" spans="2:19">
      <c r="B86" s="7" t="s">
        <v>195</v>
      </c>
      <c r="C86" s="8" t="s">
        <v>195</v>
      </c>
      <c r="D86" s="5" t="str">
        <f>LRTRIM(CONCATENATE(IF(SUMPRODUCT(-- ISNUMBER(SEARCH({"Auto Number"}, $B86))) &gt; 0, $B86, IF(SUMPRODUCT(-- ISNUMBER(SEARCH({"Lookup","Master-Detail"}, $B86))) &gt; 0,$B86 &amp; "(" &amp; $E86 &amp; ")",IF(SUMPRODUCT(-- ISNUMBER(SEARCH({"Formula","Roll-Up Summary"}, $B86))) &gt; 0,$B86 &amp; " (" &amp; $E86 &amp; ")",IF(SUMPRODUCT(-- ISNUMBER(SEARCH({"Content","Currency","Number","Percent","Text","URL"}, $B86))) &gt; 0,$B86 &amp; "(" &amp; $C86 &amp; ")",$B86)))), "  ", TRIM(IF($S86 = "YES", "(External ID)", "") &amp; " " &amp; IF(SUMPRODUCT(-- ISNUMBER(SEARCH({"Unique","Unique Case Insensitive"}, $R86))) &gt; 0, "(" &amp; $R86 &amp; ")", ""))))</f>
        <v>na</v>
      </c>
      <c r="E86" s="7" t="s">
        <v>195</v>
      </c>
      <c r="F86" s="7" t="s">
        <v>195</v>
      </c>
      <c r="G86" s="7" t="s">
        <v>195</v>
      </c>
      <c r="H86" s="7" t="s">
        <v>195</v>
      </c>
      <c r="I86" s="7" t="s">
        <v>195</v>
      </c>
      <c r="J86" s="7" t="s">
        <v>195</v>
      </c>
      <c r="K86" s="7" t="s">
        <v>195</v>
      </c>
      <c r="L86" s="7" t="s">
        <v>195</v>
      </c>
      <c r="M86" s="7" t="s">
        <v>29</v>
      </c>
      <c r="N86" s="7" t="s">
        <v>29</v>
      </c>
      <c r="O86" s="7" t="s">
        <v>29</v>
      </c>
      <c r="P86" s="7" t="s">
        <v>29</v>
      </c>
      <c r="Q86" s="7" t="s">
        <v>29</v>
      </c>
      <c r="R86" s="7" t="s">
        <v>29</v>
      </c>
      <c r="S86" s="7" t="s">
        <v>29</v>
      </c>
    </row>
    <row r="87" spans="2:19">
      <c r="B87" s="7" t="s">
        <v>195</v>
      </c>
      <c r="C87" s="8" t="s">
        <v>195</v>
      </c>
      <c r="D87" s="5" t="str">
        <f>LRTRIM(CONCATENATE(IF(SUMPRODUCT(-- ISNUMBER(SEARCH({"Auto Number"}, $B87))) &gt; 0, $B87, IF(SUMPRODUCT(-- ISNUMBER(SEARCH({"Lookup","Master-Detail"}, $B87))) &gt; 0,$B87 &amp; "(" &amp; $E87 &amp; ")",IF(SUMPRODUCT(-- ISNUMBER(SEARCH({"Formula","Roll-Up Summary"}, $B87))) &gt; 0,$B87 &amp; " (" &amp; $E87 &amp; ")",IF(SUMPRODUCT(-- ISNUMBER(SEARCH({"Content","Currency","Number","Percent","Text","URL"}, $B87))) &gt; 0,$B87 &amp; "(" &amp; $C87 &amp; ")",$B87)))), "  ", TRIM(IF($S87 = "YES", "(External ID)", "") &amp; " " &amp; IF(SUMPRODUCT(-- ISNUMBER(SEARCH({"Unique","Unique Case Insensitive"}, $R87))) &gt; 0, "(" &amp; $R87 &amp; ")", ""))))</f>
        <v>na</v>
      </c>
      <c r="E87" s="7" t="s">
        <v>195</v>
      </c>
      <c r="F87" s="7" t="s">
        <v>195</v>
      </c>
      <c r="G87" s="7" t="s">
        <v>195</v>
      </c>
      <c r="H87" s="7" t="s">
        <v>195</v>
      </c>
      <c r="I87" s="7" t="s">
        <v>195</v>
      </c>
      <c r="J87" s="7" t="s">
        <v>195</v>
      </c>
      <c r="K87" s="7" t="s">
        <v>195</v>
      </c>
      <c r="L87" s="7" t="s">
        <v>195</v>
      </c>
      <c r="M87" s="7" t="s">
        <v>29</v>
      </c>
      <c r="N87" s="7" t="s">
        <v>29</v>
      </c>
      <c r="O87" s="7" t="s">
        <v>29</v>
      </c>
      <c r="P87" s="7" t="s">
        <v>29</v>
      </c>
      <c r="Q87" s="7" t="s">
        <v>29</v>
      </c>
      <c r="R87" s="7" t="s">
        <v>29</v>
      </c>
      <c r="S87" s="7" t="s">
        <v>29</v>
      </c>
    </row>
    <row r="88" spans="2:19">
      <c r="B88" s="7" t="s">
        <v>195</v>
      </c>
      <c r="C88" s="8" t="s">
        <v>195</v>
      </c>
      <c r="D88" s="5" t="str">
        <f>LRTRIM(CONCATENATE(IF(SUMPRODUCT(-- ISNUMBER(SEARCH({"Auto Number"}, $B88))) &gt; 0, $B88, IF(SUMPRODUCT(-- ISNUMBER(SEARCH({"Lookup","Master-Detail"}, $B88))) &gt; 0,$B88 &amp; "(" &amp; $E88 &amp; ")",IF(SUMPRODUCT(-- ISNUMBER(SEARCH({"Formula","Roll-Up Summary"}, $B88))) &gt; 0,$B88 &amp; " (" &amp; $E88 &amp; ")",IF(SUMPRODUCT(-- ISNUMBER(SEARCH({"Content","Currency","Number","Percent","Text","URL"}, $B88))) &gt; 0,$B88 &amp; "(" &amp; $C88 &amp; ")",$B88)))), "  ", TRIM(IF($S88 = "YES", "(External ID)", "") &amp; " " &amp; IF(SUMPRODUCT(-- ISNUMBER(SEARCH({"Unique","Unique Case Insensitive"}, $R88))) &gt; 0, "(" &amp; $R88 &amp; ")", ""))))</f>
        <v>na</v>
      </c>
      <c r="E88" s="7" t="s">
        <v>195</v>
      </c>
      <c r="F88" s="7" t="s">
        <v>195</v>
      </c>
      <c r="G88" s="7" t="s">
        <v>195</v>
      </c>
      <c r="H88" s="7" t="s">
        <v>195</v>
      </c>
      <c r="I88" s="7" t="s">
        <v>195</v>
      </c>
      <c r="J88" s="7" t="s">
        <v>195</v>
      </c>
      <c r="K88" s="7" t="s">
        <v>195</v>
      </c>
      <c r="L88" s="7" t="s">
        <v>195</v>
      </c>
      <c r="M88" s="7" t="s">
        <v>29</v>
      </c>
      <c r="N88" s="7" t="s">
        <v>29</v>
      </c>
      <c r="O88" s="7" t="s">
        <v>29</v>
      </c>
      <c r="P88" s="7" t="s">
        <v>29</v>
      </c>
      <c r="Q88" s="7" t="s">
        <v>29</v>
      </c>
      <c r="R88" s="7" t="s">
        <v>29</v>
      </c>
      <c r="S88" s="7" t="s">
        <v>29</v>
      </c>
    </row>
    <row r="89" spans="2:19">
      <c r="B89" s="7" t="s">
        <v>195</v>
      </c>
      <c r="C89" s="8" t="s">
        <v>195</v>
      </c>
      <c r="D89" s="5" t="str">
        <f>LRTRIM(CONCATENATE(IF(SUMPRODUCT(-- ISNUMBER(SEARCH({"Auto Number"}, $B89))) &gt; 0, $B89, IF(SUMPRODUCT(-- ISNUMBER(SEARCH({"Lookup","Master-Detail"}, $B89))) &gt; 0,$B89 &amp; "(" &amp; $E89 &amp; ")",IF(SUMPRODUCT(-- ISNUMBER(SEARCH({"Formula","Roll-Up Summary"}, $B89))) &gt; 0,$B89 &amp; " (" &amp; $E89 &amp; ")",IF(SUMPRODUCT(-- ISNUMBER(SEARCH({"Content","Currency","Number","Percent","Text","URL"}, $B89))) &gt; 0,$B89 &amp; "(" &amp; $C89 &amp; ")",$B89)))), "  ", TRIM(IF($S89 = "YES", "(External ID)", "") &amp; " " &amp; IF(SUMPRODUCT(-- ISNUMBER(SEARCH({"Unique","Unique Case Insensitive"}, $R89))) &gt; 0, "(" &amp; $R89 &amp; ")", ""))))</f>
        <v>na</v>
      </c>
      <c r="E89" s="7" t="s">
        <v>195</v>
      </c>
      <c r="F89" s="7" t="s">
        <v>195</v>
      </c>
      <c r="G89" s="7" t="s">
        <v>195</v>
      </c>
      <c r="H89" s="7" t="s">
        <v>195</v>
      </c>
      <c r="I89" s="7" t="s">
        <v>195</v>
      </c>
      <c r="J89" s="7" t="s">
        <v>195</v>
      </c>
      <c r="K89" s="7" t="s">
        <v>195</v>
      </c>
      <c r="L89" s="7" t="s">
        <v>195</v>
      </c>
      <c r="M89" s="7" t="s">
        <v>29</v>
      </c>
      <c r="N89" s="7" t="s">
        <v>29</v>
      </c>
      <c r="O89" s="7" t="s">
        <v>29</v>
      </c>
      <c r="P89" s="7" t="s">
        <v>29</v>
      </c>
      <c r="Q89" s="7" t="s">
        <v>29</v>
      </c>
      <c r="R89" s="7" t="s">
        <v>29</v>
      </c>
      <c r="S89" s="7" t="s">
        <v>29</v>
      </c>
    </row>
    <row r="90" spans="2:19">
      <c r="B90" s="7" t="s">
        <v>195</v>
      </c>
      <c r="C90" s="8" t="s">
        <v>195</v>
      </c>
      <c r="D90" s="5" t="str">
        <f>LRTRIM(CONCATENATE(IF(SUMPRODUCT(-- ISNUMBER(SEARCH({"Auto Number"}, $B90))) &gt; 0, $B90, IF(SUMPRODUCT(-- ISNUMBER(SEARCH({"Lookup","Master-Detail"}, $B90))) &gt; 0,$B90 &amp; "(" &amp; $E90 &amp; ")",IF(SUMPRODUCT(-- ISNUMBER(SEARCH({"Formula","Roll-Up Summary"}, $B90))) &gt; 0,$B90 &amp; " (" &amp; $E90 &amp; ")",IF(SUMPRODUCT(-- ISNUMBER(SEARCH({"Content","Currency","Number","Percent","Text","URL"}, $B90))) &gt; 0,$B90 &amp; "(" &amp; $C90 &amp; ")",$B90)))), "  ", TRIM(IF($S90 = "YES", "(External ID)", "") &amp; " " &amp; IF(SUMPRODUCT(-- ISNUMBER(SEARCH({"Unique","Unique Case Insensitive"}, $R90))) &gt; 0, "(" &amp; $R90 &amp; ")", ""))))</f>
        <v>na</v>
      </c>
      <c r="E90" s="7" t="s">
        <v>195</v>
      </c>
      <c r="F90" s="7" t="s">
        <v>195</v>
      </c>
      <c r="G90" s="7" t="s">
        <v>195</v>
      </c>
      <c r="H90" s="7" t="s">
        <v>195</v>
      </c>
      <c r="I90" s="7" t="s">
        <v>195</v>
      </c>
      <c r="J90" s="7" t="s">
        <v>195</v>
      </c>
      <c r="K90" s="7" t="s">
        <v>195</v>
      </c>
      <c r="L90" s="7" t="s">
        <v>195</v>
      </c>
      <c r="M90" s="7" t="s">
        <v>29</v>
      </c>
      <c r="N90" s="7" t="s">
        <v>29</v>
      </c>
      <c r="O90" s="7" t="s">
        <v>29</v>
      </c>
      <c r="P90" s="7" t="s">
        <v>29</v>
      </c>
      <c r="Q90" s="7" t="s">
        <v>29</v>
      </c>
      <c r="R90" s="7" t="s">
        <v>29</v>
      </c>
      <c r="S90" s="7" t="s">
        <v>29</v>
      </c>
    </row>
    <row r="91" spans="2:19">
      <c r="B91" s="7" t="s">
        <v>195</v>
      </c>
      <c r="C91" s="8" t="s">
        <v>195</v>
      </c>
      <c r="D91" s="5" t="str">
        <f>LRTRIM(CONCATENATE(IF(SUMPRODUCT(-- ISNUMBER(SEARCH({"Auto Number"}, $B91))) &gt; 0, $B91, IF(SUMPRODUCT(-- ISNUMBER(SEARCH({"Lookup","Master-Detail"}, $B91))) &gt; 0,$B91 &amp; "(" &amp; $E91 &amp; ")",IF(SUMPRODUCT(-- ISNUMBER(SEARCH({"Formula","Roll-Up Summary"}, $B91))) &gt; 0,$B91 &amp; " (" &amp; $E91 &amp; ")",IF(SUMPRODUCT(-- ISNUMBER(SEARCH({"Content","Currency","Number","Percent","Text","URL"}, $B91))) &gt; 0,$B91 &amp; "(" &amp; $C91 &amp; ")",$B91)))), "  ", TRIM(IF($S91 = "YES", "(External ID)", "") &amp; " " &amp; IF(SUMPRODUCT(-- ISNUMBER(SEARCH({"Unique","Unique Case Insensitive"}, $R91))) &gt; 0, "(" &amp; $R91 &amp; ")", ""))))</f>
        <v>na</v>
      </c>
      <c r="E91" s="7" t="s">
        <v>195</v>
      </c>
      <c r="F91" s="7" t="s">
        <v>195</v>
      </c>
      <c r="G91" s="7" t="s">
        <v>195</v>
      </c>
      <c r="H91" s="7" t="s">
        <v>195</v>
      </c>
      <c r="I91" s="7" t="s">
        <v>195</v>
      </c>
      <c r="J91" s="7" t="s">
        <v>195</v>
      </c>
      <c r="K91" s="7" t="s">
        <v>195</v>
      </c>
      <c r="L91" s="7" t="s">
        <v>195</v>
      </c>
      <c r="M91" s="7" t="s">
        <v>29</v>
      </c>
      <c r="N91" s="7" t="s">
        <v>29</v>
      </c>
      <c r="O91" s="7" t="s">
        <v>29</v>
      </c>
      <c r="P91" s="7" t="s">
        <v>29</v>
      </c>
      <c r="Q91" s="7" t="s">
        <v>29</v>
      </c>
      <c r="R91" s="7" t="s">
        <v>29</v>
      </c>
      <c r="S91" s="7" t="s">
        <v>29</v>
      </c>
    </row>
    <row r="92" spans="2:19">
      <c r="B92" s="7" t="s">
        <v>195</v>
      </c>
      <c r="C92" s="8" t="s">
        <v>195</v>
      </c>
      <c r="D92" s="5" t="str">
        <f>LRTRIM(CONCATENATE(IF(SUMPRODUCT(-- ISNUMBER(SEARCH({"Auto Number"}, $B92))) &gt; 0, $B92, IF(SUMPRODUCT(-- ISNUMBER(SEARCH({"Lookup","Master-Detail"}, $B92))) &gt; 0,$B92 &amp; "(" &amp; $E92 &amp; ")",IF(SUMPRODUCT(-- ISNUMBER(SEARCH({"Formula","Roll-Up Summary"}, $B92))) &gt; 0,$B92 &amp; " (" &amp; $E92 &amp; ")",IF(SUMPRODUCT(-- ISNUMBER(SEARCH({"Content","Currency","Number","Percent","Text","URL"}, $B92))) &gt; 0,$B92 &amp; "(" &amp; $C92 &amp; ")",$B92)))), "  ", TRIM(IF($S92 = "YES", "(External ID)", "") &amp; " " &amp; IF(SUMPRODUCT(-- ISNUMBER(SEARCH({"Unique","Unique Case Insensitive"}, $R92))) &gt; 0, "(" &amp; $R92 &amp; ")", ""))))</f>
        <v>na</v>
      </c>
      <c r="E92" s="7" t="s">
        <v>195</v>
      </c>
      <c r="F92" s="7" t="s">
        <v>195</v>
      </c>
      <c r="G92" s="7" t="s">
        <v>195</v>
      </c>
      <c r="H92" s="7" t="s">
        <v>195</v>
      </c>
      <c r="I92" s="7" t="s">
        <v>195</v>
      </c>
      <c r="J92" s="7" t="s">
        <v>195</v>
      </c>
      <c r="K92" s="7" t="s">
        <v>195</v>
      </c>
      <c r="L92" s="7" t="s">
        <v>195</v>
      </c>
      <c r="M92" s="7" t="s">
        <v>29</v>
      </c>
      <c r="N92" s="7" t="s">
        <v>29</v>
      </c>
      <c r="O92" s="7" t="s">
        <v>29</v>
      </c>
      <c r="P92" s="7" t="s">
        <v>29</v>
      </c>
      <c r="Q92" s="7" t="s">
        <v>29</v>
      </c>
      <c r="R92" s="7" t="s">
        <v>29</v>
      </c>
      <c r="S92" s="7" t="s">
        <v>29</v>
      </c>
    </row>
    <row r="93" spans="2:19">
      <c r="B93" s="7" t="s">
        <v>195</v>
      </c>
      <c r="C93" s="8" t="s">
        <v>195</v>
      </c>
      <c r="D93" s="5" t="str">
        <f>LRTRIM(CONCATENATE(IF(SUMPRODUCT(-- ISNUMBER(SEARCH({"Auto Number"}, $B93))) &gt; 0, $B93, IF(SUMPRODUCT(-- ISNUMBER(SEARCH({"Lookup","Master-Detail"}, $B93))) &gt; 0,$B93 &amp; "(" &amp; $E93 &amp; ")",IF(SUMPRODUCT(-- ISNUMBER(SEARCH({"Formula","Roll-Up Summary"}, $B93))) &gt; 0,$B93 &amp; " (" &amp; $E93 &amp; ")",IF(SUMPRODUCT(-- ISNUMBER(SEARCH({"Content","Currency","Number","Percent","Text","URL"}, $B93))) &gt; 0,$B93 &amp; "(" &amp; $C93 &amp; ")",$B93)))), "  ", TRIM(IF($S93 = "YES", "(External ID)", "") &amp; " " &amp; IF(SUMPRODUCT(-- ISNUMBER(SEARCH({"Unique","Unique Case Insensitive"}, $R93))) &gt; 0, "(" &amp; $R93 &amp; ")", ""))))</f>
        <v>na</v>
      </c>
      <c r="E93" s="7" t="s">
        <v>195</v>
      </c>
      <c r="F93" s="7" t="s">
        <v>195</v>
      </c>
      <c r="G93" s="7" t="s">
        <v>195</v>
      </c>
      <c r="H93" s="7" t="s">
        <v>195</v>
      </c>
      <c r="I93" s="7" t="s">
        <v>195</v>
      </c>
      <c r="J93" s="7" t="s">
        <v>195</v>
      </c>
      <c r="K93" s="7" t="s">
        <v>195</v>
      </c>
      <c r="L93" s="7" t="s">
        <v>195</v>
      </c>
      <c r="M93" s="7" t="s">
        <v>29</v>
      </c>
      <c r="N93" s="7" t="s">
        <v>29</v>
      </c>
      <c r="O93" s="7" t="s">
        <v>29</v>
      </c>
      <c r="P93" s="7" t="s">
        <v>29</v>
      </c>
      <c r="Q93" s="7" t="s">
        <v>29</v>
      </c>
      <c r="R93" s="7" t="s">
        <v>29</v>
      </c>
      <c r="S93" s="7" t="s">
        <v>29</v>
      </c>
    </row>
    <row r="94" spans="2:19">
      <c r="B94" s="7" t="s">
        <v>195</v>
      </c>
      <c r="C94" s="8" t="s">
        <v>195</v>
      </c>
      <c r="D94" s="5" t="str">
        <f>LRTRIM(CONCATENATE(IF(SUMPRODUCT(-- ISNUMBER(SEARCH({"Auto Number"}, $B94))) &gt; 0, $B94, IF(SUMPRODUCT(-- ISNUMBER(SEARCH({"Lookup","Master-Detail"}, $B94))) &gt; 0,$B94 &amp; "(" &amp; $E94 &amp; ")",IF(SUMPRODUCT(-- ISNUMBER(SEARCH({"Formula","Roll-Up Summary"}, $B94))) &gt; 0,$B94 &amp; " (" &amp; $E94 &amp; ")",IF(SUMPRODUCT(-- ISNUMBER(SEARCH({"Content","Currency","Number","Percent","Text","URL"}, $B94))) &gt; 0,$B94 &amp; "(" &amp; $C94 &amp; ")",$B94)))), "  ", TRIM(IF($S94 = "YES", "(External ID)", "") &amp; " " &amp; IF(SUMPRODUCT(-- ISNUMBER(SEARCH({"Unique","Unique Case Insensitive"}, $R94))) &gt; 0, "(" &amp; $R94 &amp; ")", ""))))</f>
        <v>na</v>
      </c>
      <c r="E94" s="7" t="s">
        <v>195</v>
      </c>
      <c r="F94" s="7" t="s">
        <v>195</v>
      </c>
      <c r="G94" s="7" t="s">
        <v>195</v>
      </c>
      <c r="H94" s="7" t="s">
        <v>195</v>
      </c>
      <c r="I94" s="7" t="s">
        <v>195</v>
      </c>
      <c r="J94" s="7" t="s">
        <v>195</v>
      </c>
      <c r="K94" s="7" t="s">
        <v>195</v>
      </c>
      <c r="L94" s="7" t="s">
        <v>195</v>
      </c>
      <c r="M94" s="7" t="s">
        <v>29</v>
      </c>
      <c r="N94" s="7" t="s">
        <v>29</v>
      </c>
      <c r="O94" s="7" t="s">
        <v>29</v>
      </c>
      <c r="P94" s="7" t="s">
        <v>29</v>
      </c>
      <c r="Q94" s="7" t="s">
        <v>29</v>
      </c>
      <c r="R94" s="7" t="s">
        <v>29</v>
      </c>
      <c r="S94" s="7" t="s">
        <v>29</v>
      </c>
    </row>
    <row r="95" spans="2:19">
      <c r="B95" s="7" t="s">
        <v>195</v>
      </c>
      <c r="C95" s="8" t="s">
        <v>195</v>
      </c>
      <c r="D95" s="5" t="str">
        <f>LRTRIM(CONCATENATE(IF(SUMPRODUCT(-- ISNUMBER(SEARCH({"Auto Number"}, $B95))) &gt; 0, $B95, IF(SUMPRODUCT(-- ISNUMBER(SEARCH({"Lookup","Master-Detail"}, $B95))) &gt; 0,$B95 &amp; "(" &amp; $E95 &amp; ")",IF(SUMPRODUCT(-- ISNUMBER(SEARCH({"Formula","Roll-Up Summary"}, $B95))) &gt; 0,$B95 &amp; " (" &amp; $E95 &amp; ")",IF(SUMPRODUCT(-- ISNUMBER(SEARCH({"Content","Currency","Number","Percent","Text","URL"}, $B95))) &gt; 0,$B95 &amp; "(" &amp; $C95 &amp; ")",$B95)))), "  ", TRIM(IF($S95 = "YES", "(External ID)", "") &amp; " " &amp; IF(SUMPRODUCT(-- ISNUMBER(SEARCH({"Unique","Unique Case Insensitive"}, $R95))) &gt; 0, "(" &amp; $R95 &amp; ")", ""))))</f>
        <v>na</v>
      </c>
      <c r="E95" s="7" t="s">
        <v>195</v>
      </c>
      <c r="F95" s="7" t="s">
        <v>195</v>
      </c>
      <c r="G95" s="7" t="s">
        <v>195</v>
      </c>
      <c r="H95" s="7" t="s">
        <v>195</v>
      </c>
      <c r="I95" s="7" t="s">
        <v>195</v>
      </c>
      <c r="J95" s="7" t="s">
        <v>195</v>
      </c>
      <c r="K95" s="7" t="s">
        <v>195</v>
      </c>
      <c r="L95" s="7" t="s">
        <v>195</v>
      </c>
      <c r="M95" s="7" t="s">
        <v>29</v>
      </c>
      <c r="N95" s="7" t="s">
        <v>29</v>
      </c>
      <c r="O95" s="7" t="s">
        <v>29</v>
      </c>
      <c r="P95" s="7" t="s">
        <v>29</v>
      </c>
      <c r="Q95" s="7" t="s">
        <v>29</v>
      </c>
      <c r="R95" s="7" t="s">
        <v>29</v>
      </c>
      <c r="S95" s="7" t="s">
        <v>29</v>
      </c>
    </row>
    <row r="96" spans="2:19">
      <c r="B96" s="7" t="s">
        <v>195</v>
      </c>
      <c r="C96" s="8" t="s">
        <v>195</v>
      </c>
      <c r="D96" s="5" t="str">
        <f>LRTRIM(CONCATENATE(IF(SUMPRODUCT(-- ISNUMBER(SEARCH({"Auto Number"}, $B96))) &gt; 0, $B96, IF(SUMPRODUCT(-- ISNUMBER(SEARCH({"Lookup","Master-Detail"}, $B96))) &gt; 0,$B96 &amp; "(" &amp; $E96 &amp; ")",IF(SUMPRODUCT(-- ISNUMBER(SEARCH({"Formula","Roll-Up Summary"}, $B96))) &gt; 0,$B96 &amp; " (" &amp; $E96 &amp; ")",IF(SUMPRODUCT(-- ISNUMBER(SEARCH({"Content","Currency","Number","Percent","Text","URL"}, $B96))) &gt; 0,$B96 &amp; "(" &amp; $C96 &amp; ")",$B96)))), "  ", TRIM(IF($S96 = "YES", "(External ID)", "") &amp; " " &amp; IF(SUMPRODUCT(-- ISNUMBER(SEARCH({"Unique","Unique Case Insensitive"}, $R96))) &gt; 0, "(" &amp; $R96 &amp; ")", ""))))</f>
        <v>na</v>
      </c>
      <c r="E96" s="7" t="s">
        <v>195</v>
      </c>
      <c r="F96" s="7" t="s">
        <v>195</v>
      </c>
      <c r="G96" s="7" t="s">
        <v>195</v>
      </c>
      <c r="H96" s="7" t="s">
        <v>195</v>
      </c>
      <c r="I96" s="7" t="s">
        <v>195</v>
      </c>
      <c r="J96" s="7" t="s">
        <v>195</v>
      </c>
      <c r="K96" s="7" t="s">
        <v>195</v>
      </c>
      <c r="L96" s="7" t="s">
        <v>195</v>
      </c>
      <c r="M96" s="7" t="s">
        <v>29</v>
      </c>
      <c r="N96" s="7" t="s">
        <v>29</v>
      </c>
      <c r="O96" s="7" t="s">
        <v>29</v>
      </c>
      <c r="P96" s="7" t="s">
        <v>29</v>
      </c>
      <c r="Q96" s="7" t="s">
        <v>29</v>
      </c>
      <c r="R96" s="7" t="s">
        <v>29</v>
      </c>
      <c r="S96" s="7" t="s">
        <v>29</v>
      </c>
    </row>
    <row r="97" spans="2:19">
      <c r="B97" s="7" t="s">
        <v>195</v>
      </c>
      <c r="C97" s="8" t="s">
        <v>195</v>
      </c>
      <c r="D97" s="5" t="str">
        <f>LRTRIM(CONCATENATE(IF(SUMPRODUCT(-- ISNUMBER(SEARCH({"Auto Number"}, $B97))) &gt; 0, $B97, IF(SUMPRODUCT(-- ISNUMBER(SEARCH({"Lookup","Master-Detail"}, $B97))) &gt; 0,$B97 &amp; "(" &amp; $E97 &amp; ")",IF(SUMPRODUCT(-- ISNUMBER(SEARCH({"Formula","Roll-Up Summary"}, $B97))) &gt; 0,$B97 &amp; " (" &amp; $E97 &amp; ")",IF(SUMPRODUCT(-- ISNUMBER(SEARCH({"Content","Currency","Number","Percent","Text","URL"}, $B97))) &gt; 0,$B97 &amp; "(" &amp; $C97 &amp; ")",$B97)))), "  ", TRIM(IF($S97 = "YES", "(External ID)", "") &amp; " " &amp; IF(SUMPRODUCT(-- ISNUMBER(SEARCH({"Unique","Unique Case Insensitive"}, $R97))) &gt; 0, "(" &amp; $R97 &amp; ")", ""))))</f>
        <v>na</v>
      </c>
      <c r="E97" s="7" t="s">
        <v>195</v>
      </c>
      <c r="F97" s="7" t="s">
        <v>195</v>
      </c>
      <c r="G97" s="7" t="s">
        <v>195</v>
      </c>
      <c r="H97" s="7" t="s">
        <v>195</v>
      </c>
      <c r="I97" s="7" t="s">
        <v>195</v>
      </c>
      <c r="J97" s="7" t="s">
        <v>195</v>
      </c>
      <c r="K97" s="7" t="s">
        <v>195</v>
      </c>
      <c r="L97" s="7" t="s">
        <v>195</v>
      </c>
      <c r="M97" s="7" t="s">
        <v>29</v>
      </c>
      <c r="N97" s="7" t="s">
        <v>29</v>
      </c>
      <c r="O97" s="7" t="s">
        <v>29</v>
      </c>
      <c r="P97" s="7" t="s">
        <v>29</v>
      </c>
      <c r="Q97" s="7" t="s">
        <v>29</v>
      </c>
      <c r="R97" s="7" t="s">
        <v>29</v>
      </c>
      <c r="S97" s="7" t="s">
        <v>29</v>
      </c>
    </row>
    <row r="98" spans="2:19">
      <c r="B98" s="7" t="s">
        <v>195</v>
      </c>
      <c r="C98" s="8" t="s">
        <v>195</v>
      </c>
      <c r="D98" s="5" t="str">
        <f>LRTRIM(CONCATENATE(IF(SUMPRODUCT(-- ISNUMBER(SEARCH({"Auto Number"}, $B98))) &gt; 0, $B98, IF(SUMPRODUCT(-- ISNUMBER(SEARCH({"Lookup","Master-Detail"}, $B98))) &gt; 0,$B98 &amp; "(" &amp; $E98 &amp; ")",IF(SUMPRODUCT(-- ISNUMBER(SEARCH({"Formula","Roll-Up Summary"}, $B98))) &gt; 0,$B98 &amp; " (" &amp; $E98 &amp; ")",IF(SUMPRODUCT(-- ISNUMBER(SEARCH({"Content","Currency","Number","Percent","Text","URL"}, $B98))) &gt; 0,$B98 &amp; "(" &amp; $C98 &amp; ")",$B98)))), "  ", TRIM(IF($S98 = "YES", "(External ID)", "") &amp; " " &amp; IF(SUMPRODUCT(-- ISNUMBER(SEARCH({"Unique","Unique Case Insensitive"}, $R98))) &gt; 0, "(" &amp; $R98 &amp; ")", ""))))</f>
        <v>na</v>
      </c>
      <c r="E98" s="7" t="s">
        <v>195</v>
      </c>
      <c r="F98" s="7" t="s">
        <v>195</v>
      </c>
      <c r="G98" s="7" t="s">
        <v>195</v>
      </c>
      <c r="H98" s="7" t="s">
        <v>195</v>
      </c>
      <c r="I98" s="7" t="s">
        <v>195</v>
      </c>
      <c r="J98" s="7" t="s">
        <v>195</v>
      </c>
      <c r="K98" s="7" t="s">
        <v>195</v>
      </c>
      <c r="L98" s="7" t="s">
        <v>195</v>
      </c>
      <c r="M98" s="7" t="s">
        <v>29</v>
      </c>
      <c r="N98" s="7" t="s">
        <v>29</v>
      </c>
      <c r="O98" s="7" t="s">
        <v>29</v>
      </c>
      <c r="P98" s="7" t="s">
        <v>29</v>
      </c>
      <c r="Q98" s="7" t="s">
        <v>29</v>
      </c>
      <c r="R98" s="7" t="s">
        <v>29</v>
      </c>
      <c r="S98" s="7" t="s">
        <v>29</v>
      </c>
    </row>
    <row r="99" spans="2:19">
      <c r="B99" s="7" t="s">
        <v>195</v>
      </c>
      <c r="C99" s="8" t="s">
        <v>195</v>
      </c>
      <c r="D99" s="5" t="str">
        <f>LRTRIM(CONCATENATE(IF(SUMPRODUCT(-- ISNUMBER(SEARCH({"Auto Number"}, $B99))) &gt; 0, $B99, IF(SUMPRODUCT(-- ISNUMBER(SEARCH({"Lookup","Master-Detail"}, $B99))) &gt; 0,$B99 &amp; "(" &amp; $E99 &amp; ")",IF(SUMPRODUCT(-- ISNUMBER(SEARCH({"Formula","Roll-Up Summary"}, $B99))) &gt; 0,$B99 &amp; " (" &amp; $E99 &amp; ")",IF(SUMPRODUCT(-- ISNUMBER(SEARCH({"Content","Currency","Number","Percent","Text","URL"}, $B99))) &gt; 0,$B99 &amp; "(" &amp; $C99 &amp; ")",$B99)))), "  ", TRIM(IF($S99 = "YES", "(External ID)", "") &amp; " " &amp; IF(SUMPRODUCT(-- ISNUMBER(SEARCH({"Unique","Unique Case Insensitive"}, $R99))) &gt; 0, "(" &amp; $R99 &amp; ")", ""))))</f>
        <v>na</v>
      </c>
      <c r="E99" s="7" t="s">
        <v>195</v>
      </c>
      <c r="F99" s="7" t="s">
        <v>195</v>
      </c>
      <c r="G99" s="7" t="s">
        <v>195</v>
      </c>
      <c r="H99" s="7" t="s">
        <v>195</v>
      </c>
      <c r="I99" s="7" t="s">
        <v>195</v>
      </c>
      <c r="J99" s="7" t="s">
        <v>195</v>
      </c>
      <c r="K99" s="7" t="s">
        <v>195</v>
      </c>
      <c r="L99" s="7" t="s">
        <v>195</v>
      </c>
      <c r="M99" s="7" t="s">
        <v>29</v>
      </c>
      <c r="N99" s="7" t="s">
        <v>29</v>
      </c>
      <c r="O99" s="7" t="s">
        <v>29</v>
      </c>
      <c r="P99" s="7" t="s">
        <v>29</v>
      </c>
      <c r="Q99" s="7" t="s">
        <v>29</v>
      </c>
      <c r="R99" s="7" t="s">
        <v>29</v>
      </c>
      <c r="S99" s="7" t="s">
        <v>29</v>
      </c>
    </row>
    <row r="100" spans="2:19">
      <c r="B100" s="7" t="s">
        <v>195</v>
      </c>
      <c r="C100" s="8" t="s">
        <v>195</v>
      </c>
      <c r="D100" s="5" t="str">
        <f>LRTRIM(CONCATENATE(IF(SUMPRODUCT(-- ISNUMBER(SEARCH({"Auto Number"}, $B100))) &gt; 0, $B100, IF(SUMPRODUCT(-- ISNUMBER(SEARCH({"Lookup","Master-Detail"}, $B100))) &gt; 0,$B100 &amp; "(" &amp; $E100 &amp; ")",IF(SUMPRODUCT(-- ISNUMBER(SEARCH({"Formula","Roll-Up Summary"}, $B100))) &gt; 0,$B100 &amp; " (" &amp; $E100 &amp; ")",IF(SUMPRODUCT(-- ISNUMBER(SEARCH({"Content","Currency","Number","Percent","Text","URL"}, $B100))) &gt; 0,$B100 &amp; "(" &amp; $C100 &amp; ")",$B100)))), "  ", TRIM(IF($S100 = "YES", "(External ID)", "") &amp; " " &amp; IF(SUMPRODUCT(-- ISNUMBER(SEARCH({"Unique","Unique Case Insensitive"}, $R100))) &gt; 0, "(" &amp; $R100 &amp; ")", ""))))</f>
        <v>na</v>
      </c>
      <c r="E100" s="7" t="s">
        <v>195</v>
      </c>
      <c r="F100" s="7" t="s">
        <v>195</v>
      </c>
      <c r="G100" s="7" t="s">
        <v>195</v>
      </c>
      <c r="H100" s="7" t="s">
        <v>195</v>
      </c>
      <c r="I100" s="7" t="s">
        <v>195</v>
      </c>
      <c r="J100" s="7" t="s">
        <v>195</v>
      </c>
      <c r="K100" s="7" t="s">
        <v>195</v>
      </c>
      <c r="L100" s="7" t="s">
        <v>195</v>
      </c>
      <c r="M100" s="7" t="s">
        <v>29</v>
      </c>
      <c r="N100" s="7" t="s">
        <v>29</v>
      </c>
      <c r="O100" s="7" t="s">
        <v>29</v>
      </c>
      <c r="P100" s="7" t="s">
        <v>29</v>
      </c>
      <c r="Q100" s="7" t="s">
        <v>29</v>
      </c>
      <c r="R100" s="7" t="s">
        <v>29</v>
      </c>
      <c r="S100" s="7" t="s">
        <v>29</v>
      </c>
    </row>
    <row r="101" spans="2:19">
      <c r="B101" s="7" t="s">
        <v>195</v>
      </c>
      <c r="C101" s="8" t="s">
        <v>195</v>
      </c>
      <c r="D101" s="5" t="str">
        <f>LRTRIM(CONCATENATE(IF(SUMPRODUCT(-- ISNUMBER(SEARCH({"Auto Number"}, $B101))) &gt; 0, $B101, IF(SUMPRODUCT(-- ISNUMBER(SEARCH({"Lookup","Master-Detail"}, $B101))) &gt; 0,$B101 &amp; "(" &amp; $E101 &amp; ")",IF(SUMPRODUCT(-- ISNUMBER(SEARCH({"Formula","Roll-Up Summary"}, $B101))) &gt; 0,$B101 &amp; " (" &amp; $E101 &amp; ")",IF(SUMPRODUCT(-- ISNUMBER(SEARCH({"Content","Currency","Number","Percent","Text","URL"}, $B101))) &gt; 0,$B101 &amp; "(" &amp; $C101 &amp; ")",$B101)))), "  ", TRIM(IF($S101 = "YES", "(External ID)", "") &amp; " " &amp; IF(SUMPRODUCT(-- ISNUMBER(SEARCH({"Unique","Unique Case Insensitive"}, $R101))) &gt; 0, "(" &amp; $R101 &amp; ")", ""))))</f>
        <v>na</v>
      </c>
      <c r="E101" s="7" t="s">
        <v>195</v>
      </c>
      <c r="F101" s="7" t="s">
        <v>195</v>
      </c>
      <c r="G101" s="7" t="s">
        <v>195</v>
      </c>
      <c r="H101" s="7" t="s">
        <v>195</v>
      </c>
      <c r="I101" s="7" t="s">
        <v>195</v>
      </c>
      <c r="J101" s="7" t="s">
        <v>195</v>
      </c>
      <c r="K101" s="7" t="s">
        <v>195</v>
      </c>
      <c r="L101" s="7" t="s">
        <v>195</v>
      </c>
      <c r="M101" s="7" t="s">
        <v>29</v>
      </c>
      <c r="N101" s="7" t="s">
        <v>29</v>
      </c>
      <c r="O101" s="7" t="s">
        <v>29</v>
      </c>
      <c r="P101" s="7" t="s">
        <v>29</v>
      </c>
      <c r="Q101" s="7" t="s">
        <v>29</v>
      </c>
      <c r="R101" s="7" t="s">
        <v>29</v>
      </c>
      <c r="S101" s="7" t="s">
        <v>29</v>
      </c>
    </row>
    <row r="102" spans="2:19">
      <c r="B102" s="7" t="s">
        <v>195</v>
      </c>
      <c r="C102" s="8" t="s">
        <v>195</v>
      </c>
      <c r="D102" s="5" t="str">
        <f>LRTRIM(CONCATENATE(IF(SUMPRODUCT(-- ISNUMBER(SEARCH({"Auto Number"}, $B102))) &gt; 0, $B102, IF(SUMPRODUCT(-- ISNUMBER(SEARCH({"Lookup","Master-Detail"}, $B102))) &gt; 0,$B102 &amp; "(" &amp; $E102 &amp; ")",IF(SUMPRODUCT(-- ISNUMBER(SEARCH({"Formula","Roll-Up Summary"}, $B102))) &gt; 0,$B102 &amp; " (" &amp; $E102 &amp; ")",IF(SUMPRODUCT(-- ISNUMBER(SEARCH({"Content","Currency","Number","Percent","Text","URL"}, $B102))) &gt; 0,$B102 &amp; "(" &amp; $C102 &amp; ")",$B102)))), "  ", TRIM(IF($S102 = "YES", "(External ID)", "") &amp; " " &amp; IF(SUMPRODUCT(-- ISNUMBER(SEARCH({"Unique","Unique Case Insensitive"}, $R102))) &gt; 0, "(" &amp; $R102 &amp; ")", ""))))</f>
        <v>na</v>
      </c>
      <c r="E102" s="7" t="s">
        <v>195</v>
      </c>
      <c r="F102" s="7" t="s">
        <v>195</v>
      </c>
      <c r="G102" s="7" t="s">
        <v>195</v>
      </c>
      <c r="H102" s="7" t="s">
        <v>195</v>
      </c>
      <c r="I102" s="7" t="s">
        <v>195</v>
      </c>
      <c r="J102" s="7" t="s">
        <v>195</v>
      </c>
      <c r="K102" s="7" t="s">
        <v>195</v>
      </c>
      <c r="L102" s="7" t="s">
        <v>195</v>
      </c>
      <c r="M102" s="7" t="s">
        <v>29</v>
      </c>
      <c r="N102" s="7" t="s">
        <v>29</v>
      </c>
      <c r="O102" s="7" t="s">
        <v>29</v>
      </c>
      <c r="P102" s="7" t="s">
        <v>29</v>
      </c>
      <c r="Q102" s="7" t="s">
        <v>29</v>
      </c>
      <c r="R102" s="7" t="s">
        <v>29</v>
      </c>
      <c r="S102" s="7" t="s">
        <v>29</v>
      </c>
    </row>
    <row r="103" spans="2:19">
      <c r="B103" s="7" t="s">
        <v>195</v>
      </c>
      <c r="C103" s="8" t="s">
        <v>195</v>
      </c>
      <c r="D103" s="5" t="str">
        <f>LRTRIM(CONCATENATE(IF(SUMPRODUCT(-- ISNUMBER(SEARCH({"Auto Number"}, $B103))) &gt; 0, $B103, IF(SUMPRODUCT(-- ISNUMBER(SEARCH({"Lookup","Master-Detail"}, $B103))) &gt; 0,$B103 &amp; "(" &amp; $E103 &amp; ")",IF(SUMPRODUCT(-- ISNUMBER(SEARCH({"Formula","Roll-Up Summary"}, $B103))) &gt; 0,$B103 &amp; " (" &amp; $E103 &amp; ")",IF(SUMPRODUCT(-- ISNUMBER(SEARCH({"Content","Currency","Number","Percent","Text","URL"}, $B103))) &gt; 0,$B103 &amp; "(" &amp; $C103 &amp; ")",$B103)))), "  ", TRIM(IF($S103 = "YES", "(External ID)", "") &amp; " " &amp; IF(SUMPRODUCT(-- ISNUMBER(SEARCH({"Unique","Unique Case Insensitive"}, $R103))) &gt; 0, "(" &amp; $R103 &amp; ")", ""))))</f>
        <v>na</v>
      </c>
      <c r="E103" s="7" t="s">
        <v>195</v>
      </c>
      <c r="F103" s="7" t="s">
        <v>195</v>
      </c>
      <c r="G103" s="7" t="s">
        <v>195</v>
      </c>
      <c r="H103" s="7" t="s">
        <v>195</v>
      </c>
      <c r="I103" s="7" t="s">
        <v>195</v>
      </c>
      <c r="J103" s="7" t="s">
        <v>195</v>
      </c>
      <c r="K103" s="7" t="s">
        <v>195</v>
      </c>
      <c r="L103" s="7" t="s">
        <v>195</v>
      </c>
      <c r="M103" s="7" t="s">
        <v>29</v>
      </c>
      <c r="N103" s="7" t="s">
        <v>29</v>
      </c>
      <c r="O103" s="7" t="s">
        <v>29</v>
      </c>
      <c r="P103" s="7" t="s">
        <v>29</v>
      </c>
      <c r="Q103" s="7" t="s">
        <v>29</v>
      </c>
      <c r="R103" s="7" t="s">
        <v>29</v>
      </c>
      <c r="S103" s="7" t="s">
        <v>29</v>
      </c>
    </row>
    <row r="104" spans="2:19">
      <c r="B104" s="7" t="s">
        <v>195</v>
      </c>
      <c r="C104" s="8" t="s">
        <v>195</v>
      </c>
      <c r="D104" s="5" t="str">
        <f>LRTRIM(CONCATENATE(IF(SUMPRODUCT(-- ISNUMBER(SEARCH({"Auto Number"}, $B104))) &gt; 0, $B104, IF(SUMPRODUCT(-- ISNUMBER(SEARCH({"Lookup","Master-Detail"}, $B104))) &gt; 0,$B104 &amp; "(" &amp; $E104 &amp; ")",IF(SUMPRODUCT(-- ISNUMBER(SEARCH({"Formula","Roll-Up Summary"}, $B104))) &gt; 0,$B104 &amp; " (" &amp; $E104 &amp; ")",IF(SUMPRODUCT(-- ISNUMBER(SEARCH({"Content","Currency","Number","Percent","Text","URL"}, $B104))) &gt; 0,$B104 &amp; "(" &amp; $C104 &amp; ")",$B104)))), "  ", TRIM(IF($S104 = "YES", "(External ID)", "") &amp; " " &amp; IF(SUMPRODUCT(-- ISNUMBER(SEARCH({"Unique","Unique Case Insensitive"}, $R104))) &gt; 0, "(" &amp; $R104 &amp; ")", ""))))</f>
        <v>na</v>
      </c>
      <c r="E104" s="7" t="s">
        <v>195</v>
      </c>
      <c r="F104" s="7" t="s">
        <v>195</v>
      </c>
      <c r="G104" s="7" t="s">
        <v>195</v>
      </c>
      <c r="H104" s="7" t="s">
        <v>195</v>
      </c>
      <c r="I104" s="7" t="s">
        <v>195</v>
      </c>
      <c r="J104" s="7" t="s">
        <v>195</v>
      </c>
      <c r="K104" s="7" t="s">
        <v>195</v>
      </c>
      <c r="L104" s="7" t="s">
        <v>195</v>
      </c>
      <c r="M104" s="7" t="s">
        <v>29</v>
      </c>
      <c r="N104" s="7" t="s">
        <v>29</v>
      </c>
      <c r="O104" s="7" t="s">
        <v>29</v>
      </c>
      <c r="P104" s="7" t="s">
        <v>29</v>
      </c>
      <c r="Q104" s="7" t="s">
        <v>29</v>
      </c>
      <c r="R104" s="7" t="s">
        <v>29</v>
      </c>
      <c r="S104" s="7" t="s">
        <v>29</v>
      </c>
    </row>
    <row r="105" spans="2:19">
      <c r="B105" s="7" t="s">
        <v>195</v>
      </c>
      <c r="C105" s="8" t="s">
        <v>195</v>
      </c>
      <c r="D105" s="5" t="str">
        <f>LRTRIM(CONCATENATE(IF(SUMPRODUCT(-- ISNUMBER(SEARCH({"Auto Number"}, $B105))) &gt; 0, $B105, IF(SUMPRODUCT(-- ISNUMBER(SEARCH({"Lookup","Master-Detail"}, $B105))) &gt; 0,$B105 &amp; "(" &amp; $E105 &amp; ")",IF(SUMPRODUCT(-- ISNUMBER(SEARCH({"Formula","Roll-Up Summary"}, $B105))) &gt; 0,$B105 &amp; " (" &amp; $E105 &amp; ")",IF(SUMPRODUCT(-- ISNUMBER(SEARCH({"Content","Currency","Number","Percent","Text","URL"}, $B105))) &gt; 0,$B105 &amp; "(" &amp; $C105 &amp; ")",$B105)))), "  ", TRIM(IF($S105 = "YES", "(External ID)", "") &amp; " " &amp; IF(SUMPRODUCT(-- ISNUMBER(SEARCH({"Unique","Unique Case Insensitive"}, $R105))) &gt; 0, "(" &amp; $R105 &amp; ")", ""))))</f>
        <v>na</v>
      </c>
      <c r="E105" s="7" t="s">
        <v>195</v>
      </c>
      <c r="F105" s="7" t="s">
        <v>195</v>
      </c>
      <c r="G105" s="7" t="s">
        <v>195</v>
      </c>
      <c r="H105" s="7" t="s">
        <v>195</v>
      </c>
      <c r="I105" s="7" t="s">
        <v>195</v>
      </c>
      <c r="J105" s="7" t="s">
        <v>195</v>
      </c>
      <c r="K105" s="7" t="s">
        <v>195</v>
      </c>
      <c r="L105" s="7" t="s">
        <v>195</v>
      </c>
      <c r="M105" s="7" t="s">
        <v>29</v>
      </c>
      <c r="N105" s="7" t="s">
        <v>29</v>
      </c>
      <c r="O105" s="7" t="s">
        <v>29</v>
      </c>
      <c r="P105" s="7" t="s">
        <v>29</v>
      </c>
      <c r="Q105" s="7" t="s">
        <v>29</v>
      </c>
      <c r="R105" s="7" t="s">
        <v>29</v>
      </c>
      <c r="S105" s="7" t="s">
        <v>29</v>
      </c>
    </row>
    <row r="106" spans="2:19">
      <c r="B106" s="7" t="s">
        <v>195</v>
      </c>
      <c r="C106" s="8" t="s">
        <v>195</v>
      </c>
      <c r="D106" s="5" t="str">
        <f>LRTRIM(CONCATENATE(IF(SUMPRODUCT(-- ISNUMBER(SEARCH({"Auto Number"}, $B106))) &gt; 0, $B106, IF(SUMPRODUCT(-- ISNUMBER(SEARCH({"Lookup","Master-Detail"}, $B106))) &gt; 0,$B106 &amp; "(" &amp; $E106 &amp; ")",IF(SUMPRODUCT(-- ISNUMBER(SEARCH({"Formula","Roll-Up Summary"}, $B106))) &gt; 0,$B106 &amp; " (" &amp; $E106 &amp; ")",IF(SUMPRODUCT(-- ISNUMBER(SEARCH({"Content","Currency","Number","Percent","Text","URL"}, $B106))) &gt; 0,$B106 &amp; "(" &amp; $C106 &amp; ")",$B106)))), "  ", TRIM(IF($S106 = "YES", "(External ID)", "") &amp; " " &amp; IF(SUMPRODUCT(-- ISNUMBER(SEARCH({"Unique","Unique Case Insensitive"}, $R106))) &gt; 0, "(" &amp; $R106 &amp; ")", ""))))</f>
        <v>na</v>
      </c>
      <c r="E106" s="7" t="s">
        <v>195</v>
      </c>
      <c r="F106" s="7" t="s">
        <v>195</v>
      </c>
      <c r="G106" s="7" t="s">
        <v>195</v>
      </c>
      <c r="H106" s="7" t="s">
        <v>195</v>
      </c>
      <c r="I106" s="7" t="s">
        <v>195</v>
      </c>
      <c r="J106" s="7" t="s">
        <v>195</v>
      </c>
      <c r="K106" s="7" t="s">
        <v>195</v>
      </c>
      <c r="L106" s="7" t="s">
        <v>195</v>
      </c>
      <c r="M106" s="7" t="s">
        <v>29</v>
      </c>
      <c r="N106" s="7" t="s">
        <v>29</v>
      </c>
      <c r="O106" s="7" t="s">
        <v>29</v>
      </c>
      <c r="P106" s="7" t="s">
        <v>29</v>
      </c>
      <c r="Q106" s="7" t="s">
        <v>29</v>
      </c>
      <c r="R106" s="7" t="s">
        <v>29</v>
      </c>
      <c r="S106" s="7" t="s">
        <v>29</v>
      </c>
    </row>
    <row r="107" spans="2:19">
      <c r="B107" s="7" t="s">
        <v>195</v>
      </c>
      <c r="C107" s="8" t="s">
        <v>195</v>
      </c>
      <c r="D107" s="5" t="str">
        <f>LRTRIM(CONCATENATE(IF(SUMPRODUCT(-- ISNUMBER(SEARCH({"Auto Number"}, $B107))) &gt; 0, $B107, IF(SUMPRODUCT(-- ISNUMBER(SEARCH({"Lookup","Master-Detail"}, $B107))) &gt; 0,$B107 &amp; "(" &amp; $E107 &amp; ")",IF(SUMPRODUCT(-- ISNUMBER(SEARCH({"Formula","Roll-Up Summary"}, $B107))) &gt; 0,$B107 &amp; " (" &amp; $E107 &amp; ")",IF(SUMPRODUCT(-- ISNUMBER(SEARCH({"Content","Currency","Number","Percent","Text","URL"}, $B107))) &gt; 0,$B107 &amp; "(" &amp; $C107 &amp; ")",$B107)))), "  ", TRIM(IF($S107 = "YES", "(External ID)", "") &amp; " " &amp; IF(SUMPRODUCT(-- ISNUMBER(SEARCH({"Unique","Unique Case Insensitive"}, $R107))) &gt; 0, "(" &amp; $R107 &amp; ")", ""))))</f>
        <v>na</v>
      </c>
      <c r="E107" s="7" t="s">
        <v>195</v>
      </c>
      <c r="F107" s="7" t="s">
        <v>195</v>
      </c>
      <c r="G107" s="7" t="s">
        <v>195</v>
      </c>
      <c r="H107" s="7" t="s">
        <v>195</v>
      </c>
      <c r="I107" s="7" t="s">
        <v>195</v>
      </c>
      <c r="J107" s="7" t="s">
        <v>195</v>
      </c>
      <c r="K107" s="7" t="s">
        <v>195</v>
      </c>
      <c r="L107" s="7" t="s">
        <v>195</v>
      </c>
      <c r="M107" s="7" t="s">
        <v>29</v>
      </c>
      <c r="N107" s="7" t="s">
        <v>29</v>
      </c>
      <c r="O107" s="7" t="s">
        <v>29</v>
      </c>
      <c r="P107" s="7" t="s">
        <v>29</v>
      </c>
      <c r="Q107" s="7" t="s">
        <v>29</v>
      </c>
      <c r="R107" s="7" t="s">
        <v>29</v>
      </c>
      <c r="S107" s="7" t="s">
        <v>29</v>
      </c>
    </row>
    <row r="108" spans="2:19">
      <c r="B108" s="7" t="s">
        <v>195</v>
      </c>
      <c r="C108" s="8" t="s">
        <v>195</v>
      </c>
      <c r="D108" s="5" t="str">
        <f>LRTRIM(CONCATENATE(IF(SUMPRODUCT(-- ISNUMBER(SEARCH({"Auto Number"}, $B108))) &gt; 0, $B108, IF(SUMPRODUCT(-- ISNUMBER(SEARCH({"Lookup","Master-Detail"}, $B108))) &gt; 0,$B108 &amp; "(" &amp; $E108 &amp; ")",IF(SUMPRODUCT(-- ISNUMBER(SEARCH({"Formula","Roll-Up Summary"}, $B108))) &gt; 0,$B108 &amp; " (" &amp; $E108 &amp; ")",IF(SUMPRODUCT(-- ISNUMBER(SEARCH({"Content","Currency","Number","Percent","Text","URL"}, $B108))) &gt; 0,$B108 &amp; "(" &amp; $C108 &amp; ")",$B108)))), "  ", TRIM(IF($S108 = "YES", "(External ID)", "") &amp; " " &amp; IF(SUMPRODUCT(-- ISNUMBER(SEARCH({"Unique","Unique Case Insensitive"}, $R108))) &gt; 0, "(" &amp; $R108 &amp; ")", ""))))</f>
        <v>na</v>
      </c>
      <c r="E108" s="7" t="s">
        <v>195</v>
      </c>
      <c r="F108" s="7" t="s">
        <v>195</v>
      </c>
      <c r="G108" s="7" t="s">
        <v>195</v>
      </c>
      <c r="H108" s="7" t="s">
        <v>195</v>
      </c>
      <c r="I108" s="7" t="s">
        <v>195</v>
      </c>
      <c r="J108" s="7" t="s">
        <v>195</v>
      </c>
      <c r="K108" s="7" t="s">
        <v>195</v>
      </c>
      <c r="L108" s="7" t="s">
        <v>195</v>
      </c>
      <c r="M108" s="7" t="s">
        <v>29</v>
      </c>
      <c r="N108" s="7" t="s">
        <v>29</v>
      </c>
      <c r="O108" s="7" t="s">
        <v>29</v>
      </c>
      <c r="P108" s="7" t="s">
        <v>29</v>
      </c>
      <c r="Q108" s="7" t="s">
        <v>29</v>
      </c>
      <c r="R108" s="7" t="s">
        <v>29</v>
      </c>
      <c r="S108" s="7" t="s">
        <v>29</v>
      </c>
    </row>
    <row r="109" spans="2:19">
      <c r="B109" s="7" t="s">
        <v>195</v>
      </c>
      <c r="C109" s="8" t="s">
        <v>195</v>
      </c>
      <c r="D109" s="5" t="str">
        <f>LRTRIM(CONCATENATE(IF(SUMPRODUCT(-- ISNUMBER(SEARCH({"Auto Number"}, $B109))) &gt; 0, $B109, IF(SUMPRODUCT(-- ISNUMBER(SEARCH({"Lookup","Master-Detail"}, $B109))) &gt; 0,$B109 &amp; "(" &amp; $E109 &amp; ")",IF(SUMPRODUCT(-- ISNUMBER(SEARCH({"Formula","Roll-Up Summary"}, $B109))) &gt; 0,$B109 &amp; " (" &amp; $E109 &amp; ")",IF(SUMPRODUCT(-- ISNUMBER(SEARCH({"Content","Currency","Number","Percent","Text","URL"}, $B109))) &gt; 0,$B109 &amp; "(" &amp; $C109 &amp; ")",$B109)))), "  ", TRIM(IF($S109 = "YES", "(External ID)", "") &amp; " " &amp; IF(SUMPRODUCT(-- ISNUMBER(SEARCH({"Unique","Unique Case Insensitive"}, $R109))) &gt; 0, "(" &amp; $R109 &amp; ")", ""))))</f>
        <v>na</v>
      </c>
      <c r="E109" s="7" t="s">
        <v>195</v>
      </c>
      <c r="F109" s="7" t="s">
        <v>195</v>
      </c>
      <c r="G109" s="7" t="s">
        <v>195</v>
      </c>
      <c r="H109" s="7" t="s">
        <v>195</v>
      </c>
      <c r="I109" s="7" t="s">
        <v>195</v>
      </c>
      <c r="J109" s="7" t="s">
        <v>195</v>
      </c>
      <c r="K109" s="7" t="s">
        <v>195</v>
      </c>
      <c r="L109" s="7" t="s">
        <v>195</v>
      </c>
      <c r="M109" s="7" t="s">
        <v>29</v>
      </c>
      <c r="N109" s="7" t="s">
        <v>29</v>
      </c>
      <c r="O109" s="7" t="s">
        <v>29</v>
      </c>
      <c r="P109" s="7" t="s">
        <v>29</v>
      </c>
      <c r="Q109" s="7" t="s">
        <v>29</v>
      </c>
      <c r="R109" s="7" t="s">
        <v>29</v>
      </c>
      <c r="S109" s="7" t="s">
        <v>29</v>
      </c>
    </row>
    <row r="110" spans="2:19">
      <c r="B110" s="7" t="s">
        <v>195</v>
      </c>
      <c r="C110" s="8" t="s">
        <v>195</v>
      </c>
      <c r="D110" s="5" t="str">
        <f>LRTRIM(CONCATENATE(IF(SUMPRODUCT(-- ISNUMBER(SEARCH({"Auto Number"}, $B110))) &gt; 0, $B110, IF(SUMPRODUCT(-- ISNUMBER(SEARCH({"Lookup","Master-Detail"}, $B110))) &gt; 0,$B110 &amp; "(" &amp; $E110 &amp; ")",IF(SUMPRODUCT(-- ISNUMBER(SEARCH({"Formula","Roll-Up Summary"}, $B110))) &gt; 0,$B110 &amp; " (" &amp; $E110 &amp; ")",IF(SUMPRODUCT(-- ISNUMBER(SEARCH({"Content","Currency","Number","Percent","Text","URL"}, $B110))) &gt; 0,$B110 &amp; "(" &amp; $C110 &amp; ")",$B110)))), "  ", TRIM(IF($S110 = "YES", "(External ID)", "") &amp; " " &amp; IF(SUMPRODUCT(-- ISNUMBER(SEARCH({"Unique","Unique Case Insensitive"}, $R110))) &gt; 0, "(" &amp; $R110 &amp; ")", ""))))</f>
        <v>na</v>
      </c>
      <c r="E110" s="7" t="s">
        <v>195</v>
      </c>
      <c r="F110" s="7" t="s">
        <v>195</v>
      </c>
      <c r="G110" s="7" t="s">
        <v>195</v>
      </c>
      <c r="H110" s="7" t="s">
        <v>195</v>
      </c>
      <c r="I110" s="7" t="s">
        <v>195</v>
      </c>
      <c r="J110" s="7" t="s">
        <v>195</v>
      </c>
      <c r="K110" s="7" t="s">
        <v>195</v>
      </c>
      <c r="L110" s="7" t="s">
        <v>195</v>
      </c>
      <c r="M110" s="7" t="s">
        <v>29</v>
      </c>
      <c r="N110" s="7" t="s">
        <v>29</v>
      </c>
      <c r="O110" s="7" t="s">
        <v>29</v>
      </c>
      <c r="P110" s="7" t="s">
        <v>29</v>
      </c>
      <c r="Q110" s="7" t="s">
        <v>29</v>
      </c>
      <c r="R110" s="7" t="s">
        <v>29</v>
      </c>
      <c r="S110" s="7" t="s">
        <v>29</v>
      </c>
    </row>
    <row r="111" spans="2:19">
      <c r="B111" s="7" t="s">
        <v>195</v>
      </c>
      <c r="C111" s="8" t="s">
        <v>195</v>
      </c>
      <c r="D111" s="5" t="str">
        <f>LRTRIM(CONCATENATE(IF(SUMPRODUCT(-- ISNUMBER(SEARCH({"Auto Number"}, $B111))) &gt; 0, $B111, IF(SUMPRODUCT(-- ISNUMBER(SEARCH({"Lookup","Master-Detail"}, $B111))) &gt; 0,$B111 &amp; "(" &amp; $E111 &amp; ")",IF(SUMPRODUCT(-- ISNUMBER(SEARCH({"Formula","Roll-Up Summary"}, $B111))) &gt; 0,$B111 &amp; " (" &amp; $E111 &amp; ")",IF(SUMPRODUCT(-- ISNUMBER(SEARCH({"Content","Currency","Number","Percent","Text","URL"}, $B111))) &gt; 0,$B111 &amp; "(" &amp; $C111 &amp; ")",$B111)))), "  ", TRIM(IF($S111 = "YES", "(External ID)", "") &amp; " " &amp; IF(SUMPRODUCT(-- ISNUMBER(SEARCH({"Unique","Unique Case Insensitive"}, $R111))) &gt; 0, "(" &amp; $R111 &amp; ")", ""))))</f>
        <v>na</v>
      </c>
      <c r="E111" s="7" t="s">
        <v>195</v>
      </c>
      <c r="F111" s="7" t="s">
        <v>195</v>
      </c>
      <c r="G111" s="7" t="s">
        <v>195</v>
      </c>
      <c r="H111" s="7" t="s">
        <v>195</v>
      </c>
      <c r="I111" s="7" t="s">
        <v>195</v>
      </c>
      <c r="J111" s="7" t="s">
        <v>195</v>
      </c>
      <c r="K111" s="7" t="s">
        <v>195</v>
      </c>
      <c r="L111" s="7" t="s">
        <v>195</v>
      </c>
      <c r="M111" s="7" t="s">
        <v>29</v>
      </c>
      <c r="N111" s="7" t="s">
        <v>29</v>
      </c>
      <c r="O111" s="7" t="s">
        <v>29</v>
      </c>
      <c r="P111" s="7" t="s">
        <v>29</v>
      </c>
      <c r="Q111" s="7" t="s">
        <v>29</v>
      </c>
      <c r="R111" s="7" t="s">
        <v>29</v>
      </c>
      <c r="S111" s="7" t="s">
        <v>29</v>
      </c>
    </row>
    <row r="112" spans="2:19">
      <c r="B112" s="7" t="s">
        <v>195</v>
      </c>
      <c r="C112" s="8" t="s">
        <v>195</v>
      </c>
      <c r="D112" s="5" t="str">
        <f>LRTRIM(CONCATENATE(IF(SUMPRODUCT(-- ISNUMBER(SEARCH({"Auto Number"}, $B112))) &gt; 0, $B112, IF(SUMPRODUCT(-- ISNUMBER(SEARCH({"Lookup","Master-Detail"}, $B112))) &gt; 0,$B112 &amp; "(" &amp; $E112 &amp; ")",IF(SUMPRODUCT(-- ISNUMBER(SEARCH({"Formula","Roll-Up Summary"}, $B112))) &gt; 0,$B112 &amp; " (" &amp; $E112 &amp; ")",IF(SUMPRODUCT(-- ISNUMBER(SEARCH({"Content","Currency","Number","Percent","Text","URL"}, $B112))) &gt; 0,$B112 &amp; "(" &amp; $C112 &amp; ")",$B112)))), "  ", TRIM(IF($S112 = "YES", "(External ID)", "") &amp; " " &amp; IF(SUMPRODUCT(-- ISNUMBER(SEARCH({"Unique","Unique Case Insensitive"}, $R112))) &gt; 0, "(" &amp; $R112 &amp; ")", ""))))</f>
        <v>na</v>
      </c>
      <c r="E112" s="7" t="s">
        <v>195</v>
      </c>
      <c r="F112" s="7" t="s">
        <v>195</v>
      </c>
      <c r="G112" s="7" t="s">
        <v>195</v>
      </c>
      <c r="H112" s="7" t="s">
        <v>195</v>
      </c>
      <c r="I112" s="7" t="s">
        <v>195</v>
      </c>
      <c r="J112" s="7" t="s">
        <v>195</v>
      </c>
      <c r="K112" s="7" t="s">
        <v>195</v>
      </c>
      <c r="L112" s="7" t="s">
        <v>195</v>
      </c>
      <c r="M112" s="7" t="s">
        <v>29</v>
      </c>
      <c r="N112" s="7" t="s">
        <v>29</v>
      </c>
      <c r="O112" s="7" t="s">
        <v>29</v>
      </c>
      <c r="P112" s="7" t="s">
        <v>29</v>
      </c>
      <c r="Q112" s="7" t="s">
        <v>29</v>
      </c>
      <c r="R112" s="7" t="s">
        <v>29</v>
      </c>
      <c r="S112" s="7" t="s">
        <v>29</v>
      </c>
    </row>
    <row r="113" spans="2:19">
      <c r="B113" s="7" t="s">
        <v>195</v>
      </c>
      <c r="C113" s="8" t="s">
        <v>195</v>
      </c>
      <c r="D113" s="5" t="str">
        <f>LRTRIM(CONCATENATE(IF(SUMPRODUCT(-- ISNUMBER(SEARCH({"Auto Number"}, $B113))) &gt; 0, $B113, IF(SUMPRODUCT(-- ISNUMBER(SEARCH({"Lookup","Master-Detail"}, $B113))) &gt; 0,$B113 &amp; "(" &amp; $E113 &amp; ")",IF(SUMPRODUCT(-- ISNUMBER(SEARCH({"Formula","Roll-Up Summary"}, $B113))) &gt; 0,$B113 &amp; " (" &amp; $E113 &amp; ")",IF(SUMPRODUCT(-- ISNUMBER(SEARCH({"Content","Currency","Number","Percent","Text","URL"}, $B113))) &gt; 0,$B113 &amp; "(" &amp; $C113 &amp; ")",$B113)))), "  ", TRIM(IF($S113 = "YES", "(External ID)", "") &amp; " " &amp; IF(SUMPRODUCT(-- ISNUMBER(SEARCH({"Unique","Unique Case Insensitive"}, $R113))) &gt; 0, "(" &amp; $R113 &amp; ")", ""))))</f>
        <v>na</v>
      </c>
      <c r="E113" s="7" t="s">
        <v>195</v>
      </c>
      <c r="F113" s="7" t="s">
        <v>195</v>
      </c>
      <c r="G113" s="7" t="s">
        <v>195</v>
      </c>
      <c r="H113" s="7" t="s">
        <v>195</v>
      </c>
      <c r="I113" s="7" t="s">
        <v>195</v>
      </c>
      <c r="J113" s="7" t="s">
        <v>195</v>
      </c>
      <c r="K113" s="7" t="s">
        <v>195</v>
      </c>
      <c r="L113" s="7" t="s">
        <v>195</v>
      </c>
      <c r="M113" s="7" t="s">
        <v>29</v>
      </c>
      <c r="N113" s="7" t="s">
        <v>29</v>
      </c>
      <c r="O113" s="7" t="s">
        <v>29</v>
      </c>
      <c r="P113" s="7" t="s">
        <v>29</v>
      </c>
      <c r="Q113" s="7" t="s">
        <v>29</v>
      </c>
      <c r="R113" s="7" t="s">
        <v>29</v>
      </c>
      <c r="S113" s="7" t="s">
        <v>29</v>
      </c>
    </row>
    <row r="114" spans="2:19">
      <c r="B114" s="7" t="s">
        <v>195</v>
      </c>
      <c r="C114" s="8" t="s">
        <v>195</v>
      </c>
      <c r="D114" s="5" t="str">
        <f>LRTRIM(CONCATENATE(IF(SUMPRODUCT(-- ISNUMBER(SEARCH({"Auto Number"}, $B114))) &gt; 0, $B114, IF(SUMPRODUCT(-- ISNUMBER(SEARCH({"Lookup","Master-Detail"}, $B114))) &gt; 0,$B114 &amp; "(" &amp; $E114 &amp; ")",IF(SUMPRODUCT(-- ISNUMBER(SEARCH({"Formula","Roll-Up Summary"}, $B114))) &gt; 0,$B114 &amp; " (" &amp; $E114 &amp; ")",IF(SUMPRODUCT(-- ISNUMBER(SEARCH({"Content","Currency","Number","Percent","Text","URL"}, $B114))) &gt; 0,$B114 &amp; "(" &amp; $C114 &amp; ")",$B114)))), "  ", TRIM(IF($S114 = "YES", "(External ID)", "") &amp; " " &amp; IF(SUMPRODUCT(-- ISNUMBER(SEARCH({"Unique","Unique Case Insensitive"}, $R114))) &gt; 0, "(" &amp; $R114 &amp; ")", ""))))</f>
        <v>na</v>
      </c>
      <c r="E114" s="7" t="s">
        <v>195</v>
      </c>
      <c r="F114" s="7" t="s">
        <v>195</v>
      </c>
      <c r="G114" s="7" t="s">
        <v>195</v>
      </c>
      <c r="H114" s="7" t="s">
        <v>195</v>
      </c>
      <c r="I114" s="7" t="s">
        <v>195</v>
      </c>
      <c r="J114" s="7" t="s">
        <v>195</v>
      </c>
      <c r="K114" s="7" t="s">
        <v>195</v>
      </c>
      <c r="L114" s="7" t="s">
        <v>195</v>
      </c>
      <c r="M114" s="7" t="s">
        <v>29</v>
      </c>
      <c r="N114" s="7" t="s">
        <v>29</v>
      </c>
      <c r="O114" s="7" t="s">
        <v>29</v>
      </c>
      <c r="P114" s="7" t="s">
        <v>29</v>
      </c>
      <c r="Q114" s="7" t="s">
        <v>29</v>
      </c>
      <c r="R114" s="7" t="s">
        <v>29</v>
      </c>
      <c r="S114" s="7" t="s">
        <v>29</v>
      </c>
    </row>
    <row r="115" spans="2:19">
      <c r="B115" s="7" t="s">
        <v>195</v>
      </c>
      <c r="C115" s="8" t="s">
        <v>195</v>
      </c>
      <c r="D115" s="5" t="str">
        <f>LRTRIM(CONCATENATE(IF(SUMPRODUCT(-- ISNUMBER(SEARCH({"Auto Number"}, $B115))) &gt; 0, $B115, IF(SUMPRODUCT(-- ISNUMBER(SEARCH({"Lookup","Master-Detail"}, $B115))) &gt; 0,$B115 &amp; "(" &amp; $E115 &amp; ")",IF(SUMPRODUCT(-- ISNUMBER(SEARCH({"Formula","Roll-Up Summary"}, $B115))) &gt; 0,$B115 &amp; " (" &amp; $E115 &amp; ")",IF(SUMPRODUCT(-- ISNUMBER(SEARCH({"Content","Currency","Number","Percent","Text","URL"}, $B115))) &gt; 0,$B115 &amp; "(" &amp; $C115 &amp; ")",$B115)))), "  ", TRIM(IF($S115 = "YES", "(External ID)", "") &amp; " " &amp; IF(SUMPRODUCT(-- ISNUMBER(SEARCH({"Unique","Unique Case Insensitive"}, $R115))) &gt; 0, "(" &amp; $R115 &amp; ")", ""))))</f>
        <v>na</v>
      </c>
      <c r="E115" s="7" t="s">
        <v>195</v>
      </c>
      <c r="F115" s="7" t="s">
        <v>195</v>
      </c>
      <c r="G115" s="7" t="s">
        <v>195</v>
      </c>
      <c r="H115" s="7" t="s">
        <v>195</v>
      </c>
      <c r="I115" s="7" t="s">
        <v>195</v>
      </c>
      <c r="J115" s="7" t="s">
        <v>195</v>
      </c>
      <c r="K115" s="7" t="s">
        <v>195</v>
      </c>
      <c r="L115" s="7" t="s">
        <v>195</v>
      </c>
      <c r="M115" s="7" t="s">
        <v>29</v>
      </c>
      <c r="N115" s="7" t="s">
        <v>29</v>
      </c>
      <c r="O115" s="7" t="s">
        <v>29</v>
      </c>
      <c r="P115" s="7" t="s">
        <v>29</v>
      </c>
      <c r="Q115" s="7" t="s">
        <v>29</v>
      </c>
      <c r="R115" s="7" t="s">
        <v>29</v>
      </c>
      <c r="S115" s="7" t="s">
        <v>29</v>
      </c>
    </row>
    <row r="116" spans="2:19">
      <c r="B116" s="7" t="s">
        <v>195</v>
      </c>
      <c r="C116" s="8" t="s">
        <v>195</v>
      </c>
      <c r="D116" s="5" t="str">
        <f>LRTRIM(CONCATENATE(IF(SUMPRODUCT(-- ISNUMBER(SEARCH({"Auto Number"}, $B116))) &gt; 0, $B116, IF(SUMPRODUCT(-- ISNUMBER(SEARCH({"Lookup","Master-Detail"}, $B116))) &gt; 0,$B116 &amp; "(" &amp; $E116 &amp; ")",IF(SUMPRODUCT(-- ISNUMBER(SEARCH({"Formula","Roll-Up Summary"}, $B116))) &gt; 0,$B116 &amp; " (" &amp; $E116 &amp; ")",IF(SUMPRODUCT(-- ISNUMBER(SEARCH({"Content","Currency","Number","Percent","Text","URL"}, $B116))) &gt; 0,$B116 &amp; "(" &amp; $C116 &amp; ")",$B116)))), "  ", TRIM(IF($S116 = "YES", "(External ID)", "") &amp; " " &amp; IF(SUMPRODUCT(-- ISNUMBER(SEARCH({"Unique","Unique Case Insensitive"}, $R116))) &gt; 0, "(" &amp; $R116 &amp; ")", ""))))</f>
        <v>na</v>
      </c>
      <c r="E116" s="7" t="s">
        <v>195</v>
      </c>
      <c r="F116" s="7" t="s">
        <v>195</v>
      </c>
      <c r="G116" s="7" t="s">
        <v>195</v>
      </c>
      <c r="H116" s="7" t="s">
        <v>195</v>
      </c>
      <c r="I116" s="7" t="s">
        <v>195</v>
      </c>
      <c r="J116" s="7" t="s">
        <v>195</v>
      </c>
      <c r="K116" s="7" t="s">
        <v>195</v>
      </c>
      <c r="L116" s="7" t="s">
        <v>195</v>
      </c>
      <c r="M116" s="7" t="s">
        <v>29</v>
      </c>
      <c r="N116" s="7" t="s">
        <v>29</v>
      </c>
      <c r="O116" s="7" t="s">
        <v>29</v>
      </c>
      <c r="P116" s="7" t="s">
        <v>29</v>
      </c>
      <c r="Q116" s="7" t="s">
        <v>29</v>
      </c>
      <c r="R116" s="7" t="s">
        <v>29</v>
      </c>
      <c r="S116" s="7" t="s">
        <v>29</v>
      </c>
    </row>
    <row r="117" spans="2:19">
      <c r="B117" s="7" t="s">
        <v>195</v>
      </c>
      <c r="C117" s="8" t="s">
        <v>195</v>
      </c>
      <c r="D117" s="5" t="str">
        <f>LRTRIM(CONCATENATE(IF(SUMPRODUCT(-- ISNUMBER(SEARCH({"Auto Number"}, $B117))) &gt; 0, $B117, IF(SUMPRODUCT(-- ISNUMBER(SEARCH({"Lookup","Master-Detail"}, $B117))) &gt; 0,$B117 &amp; "(" &amp; $E117 &amp; ")",IF(SUMPRODUCT(-- ISNUMBER(SEARCH({"Formula","Roll-Up Summary"}, $B117))) &gt; 0,$B117 &amp; " (" &amp; $E117 &amp; ")",IF(SUMPRODUCT(-- ISNUMBER(SEARCH({"Content","Currency","Number","Percent","Text","URL"}, $B117))) &gt; 0,$B117 &amp; "(" &amp; $C117 &amp; ")",$B117)))), "  ", TRIM(IF($S117 = "YES", "(External ID)", "") &amp; " " &amp; IF(SUMPRODUCT(-- ISNUMBER(SEARCH({"Unique","Unique Case Insensitive"}, $R117))) &gt; 0, "(" &amp; $R117 &amp; ")", ""))))</f>
        <v>na</v>
      </c>
      <c r="E117" s="7" t="s">
        <v>195</v>
      </c>
      <c r="F117" s="7" t="s">
        <v>195</v>
      </c>
      <c r="G117" s="7" t="s">
        <v>195</v>
      </c>
      <c r="H117" s="7" t="s">
        <v>195</v>
      </c>
      <c r="I117" s="7" t="s">
        <v>195</v>
      </c>
      <c r="J117" s="7" t="s">
        <v>195</v>
      </c>
      <c r="K117" s="7" t="s">
        <v>195</v>
      </c>
      <c r="L117" s="7" t="s">
        <v>195</v>
      </c>
      <c r="M117" s="7" t="s">
        <v>29</v>
      </c>
      <c r="N117" s="7" t="s">
        <v>29</v>
      </c>
      <c r="O117" s="7" t="s">
        <v>29</v>
      </c>
      <c r="P117" s="7" t="s">
        <v>29</v>
      </c>
      <c r="Q117" s="7" t="s">
        <v>29</v>
      </c>
      <c r="R117" s="7" t="s">
        <v>29</v>
      </c>
      <c r="S117" s="7" t="s">
        <v>29</v>
      </c>
    </row>
    <row r="118" spans="2:19">
      <c r="B118" s="7" t="s">
        <v>195</v>
      </c>
      <c r="C118" s="8" t="s">
        <v>195</v>
      </c>
      <c r="D118" s="5" t="str">
        <f>LRTRIM(CONCATENATE(IF(SUMPRODUCT(-- ISNUMBER(SEARCH({"Auto Number"}, $B118))) &gt; 0, $B118, IF(SUMPRODUCT(-- ISNUMBER(SEARCH({"Lookup","Master-Detail"}, $B118))) &gt; 0,$B118 &amp; "(" &amp; $E118 &amp; ")",IF(SUMPRODUCT(-- ISNUMBER(SEARCH({"Formula","Roll-Up Summary"}, $B118))) &gt; 0,$B118 &amp; " (" &amp; $E118 &amp; ")",IF(SUMPRODUCT(-- ISNUMBER(SEARCH({"Content","Currency","Number","Percent","Text","URL"}, $B118))) &gt; 0,$B118 &amp; "(" &amp; $C118 &amp; ")",$B118)))), "  ", TRIM(IF($S118 = "YES", "(External ID)", "") &amp; " " &amp; IF(SUMPRODUCT(-- ISNUMBER(SEARCH({"Unique","Unique Case Insensitive"}, $R118))) &gt; 0, "(" &amp; $R118 &amp; ")", ""))))</f>
        <v>na</v>
      </c>
      <c r="E118" s="7" t="s">
        <v>195</v>
      </c>
      <c r="F118" s="7" t="s">
        <v>195</v>
      </c>
      <c r="G118" s="7" t="s">
        <v>195</v>
      </c>
      <c r="H118" s="7" t="s">
        <v>195</v>
      </c>
      <c r="I118" s="7" t="s">
        <v>195</v>
      </c>
      <c r="J118" s="7" t="s">
        <v>195</v>
      </c>
      <c r="K118" s="7" t="s">
        <v>195</v>
      </c>
      <c r="L118" s="7" t="s">
        <v>195</v>
      </c>
      <c r="M118" s="7" t="s">
        <v>29</v>
      </c>
      <c r="N118" s="7" t="s">
        <v>29</v>
      </c>
      <c r="O118" s="7" t="s">
        <v>29</v>
      </c>
      <c r="P118" s="7" t="s">
        <v>29</v>
      </c>
      <c r="Q118" s="7" t="s">
        <v>29</v>
      </c>
      <c r="R118" s="7" t="s">
        <v>29</v>
      </c>
      <c r="S118" s="7" t="s">
        <v>29</v>
      </c>
    </row>
    <row r="119" spans="2:19">
      <c r="B119" s="7" t="s">
        <v>195</v>
      </c>
      <c r="C119" s="8" t="s">
        <v>195</v>
      </c>
      <c r="D119" s="5" t="str">
        <f>LRTRIM(CONCATENATE(IF(SUMPRODUCT(-- ISNUMBER(SEARCH({"Auto Number"}, $B119))) &gt; 0, $B119, IF(SUMPRODUCT(-- ISNUMBER(SEARCH({"Lookup","Master-Detail"}, $B119))) &gt; 0,$B119 &amp; "(" &amp; $E119 &amp; ")",IF(SUMPRODUCT(-- ISNUMBER(SEARCH({"Formula","Roll-Up Summary"}, $B119))) &gt; 0,$B119 &amp; " (" &amp; $E119 &amp; ")",IF(SUMPRODUCT(-- ISNUMBER(SEARCH({"Content","Currency","Number","Percent","Text","URL"}, $B119))) &gt; 0,$B119 &amp; "(" &amp; $C119 &amp; ")",$B119)))), "  ", TRIM(IF($S119 = "YES", "(External ID)", "") &amp; " " &amp; IF(SUMPRODUCT(-- ISNUMBER(SEARCH({"Unique","Unique Case Insensitive"}, $R119))) &gt; 0, "(" &amp; $R119 &amp; ")", ""))))</f>
        <v>na</v>
      </c>
      <c r="E119" s="7" t="s">
        <v>195</v>
      </c>
      <c r="F119" s="7" t="s">
        <v>195</v>
      </c>
      <c r="G119" s="7" t="s">
        <v>195</v>
      </c>
      <c r="H119" s="7" t="s">
        <v>195</v>
      </c>
      <c r="I119" s="7" t="s">
        <v>195</v>
      </c>
      <c r="J119" s="7" t="s">
        <v>195</v>
      </c>
      <c r="K119" s="7" t="s">
        <v>195</v>
      </c>
      <c r="L119" s="7" t="s">
        <v>195</v>
      </c>
      <c r="M119" s="7" t="s">
        <v>29</v>
      </c>
      <c r="N119" s="7" t="s">
        <v>29</v>
      </c>
      <c r="O119" s="7" t="s">
        <v>29</v>
      </c>
      <c r="P119" s="7" t="s">
        <v>29</v>
      </c>
      <c r="Q119" s="7" t="s">
        <v>29</v>
      </c>
      <c r="R119" s="7" t="s">
        <v>29</v>
      </c>
      <c r="S119" s="7" t="s">
        <v>29</v>
      </c>
    </row>
    <row r="120" spans="2:19">
      <c r="B120" s="7" t="s">
        <v>195</v>
      </c>
      <c r="C120" s="8" t="s">
        <v>195</v>
      </c>
      <c r="D120" s="5" t="str">
        <f>LRTRIM(CONCATENATE(IF(SUMPRODUCT(-- ISNUMBER(SEARCH({"Auto Number"}, $B120))) &gt; 0, $B120, IF(SUMPRODUCT(-- ISNUMBER(SEARCH({"Lookup","Master-Detail"}, $B120))) &gt; 0,$B120 &amp; "(" &amp; $E120 &amp; ")",IF(SUMPRODUCT(-- ISNUMBER(SEARCH({"Formula","Roll-Up Summary"}, $B120))) &gt; 0,$B120 &amp; " (" &amp; $E120 &amp; ")",IF(SUMPRODUCT(-- ISNUMBER(SEARCH({"Content","Currency","Number","Percent","Text","URL"}, $B120))) &gt; 0,$B120 &amp; "(" &amp; $C120 &amp; ")",$B120)))), "  ", TRIM(IF($S120 = "YES", "(External ID)", "") &amp; " " &amp; IF(SUMPRODUCT(-- ISNUMBER(SEARCH({"Unique","Unique Case Insensitive"}, $R120))) &gt; 0, "(" &amp; $R120 &amp; ")", ""))))</f>
        <v>na</v>
      </c>
      <c r="E120" s="7" t="s">
        <v>195</v>
      </c>
      <c r="F120" s="7" t="s">
        <v>195</v>
      </c>
      <c r="G120" s="7" t="s">
        <v>195</v>
      </c>
      <c r="H120" s="7" t="s">
        <v>195</v>
      </c>
      <c r="I120" s="7" t="s">
        <v>195</v>
      </c>
      <c r="J120" s="7" t="s">
        <v>195</v>
      </c>
      <c r="K120" s="7" t="s">
        <v>195</v>
      </c>
      <c r="L120" s="7" t="s">
        <v>195</v>
      </c>
      <c r="M120" s="7" t="s">
        <v>29</v>
      </c>
      <c r="N120" s="7" t="s">
        <v>29</v>
      </c>
      <c r="O120" s="7" t="s">
        <v>29</v>
      </c>
      <c r="P120" s="7" t="s">
        <v>29</v>
      </c>
      <c r="Q120" s="7" t="s">
        <v>29</v>
      </c>
      <c r="R120" s="7" t="s">
        <v>29</v>
      </c>
      <c r="S120" s="7" t="s">
        <v>29</v>
      </c>
    </row>
    <row r="121" spans="2:19">
      <c r="B121" s="7" t="s">
        <v>195</v>
      </c>
      <c r="C121" s="8" t="s">
        <v>195</v>
      </c>
      <c r="D121" s="5" t="str">
        <f>LRTRIM(CONCATENATE(IF(SUMPRODUCT(-- ISNUMBER(SEARCH({"Auto Number"}, $B121))) &gt; 0, $B121, IF(SUMPRODUCT(-- ISNUMBER(SEARCH({"Lookup","Master-Detail"}, $B121))) &gt; 0,$B121 &amp; "(" &amp; $E121 &amp; ")",IF(SUMPRODUCT(-- ISNUMBER(SEARCH({"Formula","Roll-Up Summary"}, $B121))) &gt; 0,$B121 &amp; " (" &amp; $E121 &amp; ")",IF(SUMPRODUCT(-- ISNUMBER(SEARCH({"Content","Currency","Number","Percent","Text","URL"}, $B121))) &gt; 0,$B121 &amp; "(" &amp; $C121 &amp; ")",$B121)))), "  ", TRIM(IF($S121 = "YES", "(External ID)", "") &amp; " " &amp; IF(SUMPRODUCT(-- ISNUMBER(SEARCH({"Unique","Unique Case Insensitive"}, $R121))) &gt; 0, "(" &amp; $R121 &amp; ")", ""))))</f>
        <v>na</v>
      </c>
      <c r="E121" s="7" t="s">
        <v>195</v>
      </c>
      <c r="F121" s="7" t="s">
        <v>195</v>
      </c>
      <c r="G121" s="7" t="s">
        <v>195</v>
      </c>
      <c r="H121" s="7" t="s">
        <v>195</v>
      </c>
      <c r="I121" s="7" t="s">
        <v>195</v>
      </c>
      <c r="J121" s="7" t="s">
        <v>195</v>
      </c>
      <c r="K121" s="7" t="s">
        <v>195</v>
      </c>
      <c r="L121" s="7" t="s">
        <v>195</v>
      </c>
      <c r="M121" s="7" t="s">
        <v>29</v>
      </c>
      <c r="N121" s="7" t="s">
        <v>29</v>
      </c>
      <c r="O121" s="7" t="s">
        <v>29</v>
      </c>
      <c r="P121" s="7" t="s">
        <v>29</v>
      </c>
      <c r="Q121" s="7" t="s">
        <v>29</v>
      </c>
      <c r="R121" s="7" t="s">
        <v>29</v>
      </c>
      <c r="S121" s="7" t="s">
        <v>29</v>
      </c>
    </row>
    <row r="122" spans="2:19">
      <c r="B122" s="7" t="s">
        <v>195</v>
      </c>
      <c r="C122" s="8" t="s">
        <v>195</v>
      </c>
      <c r="D122" s="5" t="str">
        <f>LRTRIM(CONCATENATE(IF(SUMPRODUCT(-- ISNUMBER(SEARCH({"Auto Number"}, $B122))) &gt; 0, $B122, IF(SUMPRODUCT(-- ISNUMBER(SEARCH({"Lookup","Master-Detail"}, $B122))) &gt; 0,$B122 &amp; "(" &amp; $E122 &amp; ")",IF(SUMPRODUCT(-- ISNUMBER(SEARCH({"Formula","Roll-Up Summary"}, $B122))) &gt; 0,$B122 &amp; " (" &amp; $E122 &amp; ")",IF(SUMPRODUCT(-- ISNUMBER(SEARCH({"Content","Currency","Number","Percent","Text","URL"}, $B122))) &gt; 0,$B122 &amp; "(" &amp; $C122 &amp; ")",$B122)))), "  ", TRIM(IF($S122 = "YES", "(External ID)", "") &amp; " " &amp; IF(SUMPRODUCT(-- ISNUMBER(SEARCH({"Unique","Unique Case Insensitive"}, $R122))) &gt; 0, "(" &amp; $R122 &amp; ")", ""))))</f>
        <v>na</v>
      </c>
      <c r="E122" s="7" t="s">
        <v>195</v>
      </c>
      <c r="F122" s="7" t="s">
        <v>195</v>
      </c>
      <c r="G122" s="7" t="s">
        <v>195</v>
      </c>
      <c r="H122" s="7" t="s">
        <v>195</v>
      </c>
      <c r="I122" s="7" t="s">
        <v>195</v>
      </c>
      <c r="J122" s="7" t="s">
        <v>195</v>
      </c>
      <c r="K122" s="7" t="s">
        <v>195</v>
      </c>
      <c r="L122" s="7" t="s">
        <v>195</v>
      </c>
      <c r="M122" s="7" t="s">
        <v>29</v>
      </c>
      <c r="N122" s="7" t="s">
        <v>29</v>
      </c>
      <c r="O122" s="7" t="s">
        <v>29</v>
      </c>
      <c r="P122" s="7" t="s">
        <v>29</v>
      </c>
      <c r="Q122" s="7" t="s">
        <v>29</v>
      </c>
      <c r="R122" s="7" t="s">
        <v>29</v>
      </c>
      <c r="S122" s="7" t="s">
        <v>29</v>
      </c>
    </row>
    <row r="123" spans="2:19">
      <c r="B123" s="7" t="s">
        <v>195</v>
      </c>
      <c r="C123" s="8" t="s">
        <v>195</v>
      </c>
      <c r="D123" s="5" t="str">
        <f>LRTRIM(CONCATENATE(IF(SUMPRODUCT(-- ISNUMBER(SEARCH({"Auto Number"}, $B123))) &gt; 0, $B123, IF(SUMPRODUCT(-- ISNUMBER(SEARCH({"Lookup","Master-Detail"}, $B123))) &gt; 0,$B123 &amp; "(" &amp; $E123 &amp; ")",IF(SUMPRODUCT(-- ISNUMBER(SEARCH({"Formula","Roll-Up Summary"}, $B123))) &gt; 0,$B123 &amp; " (" &amp; $E123 &amp; ")",IF(SUMPRODUCT(-- ISNUMBER(SEARCH({"Content","Currency","Number","Percent","Text","URL"}, $B123))) &gt; 0,$B123 &amp; "(" &amp; $C123 &amp; ")",$B123)))), "  ", TRIM(IF($S123 = "YES", "(External ID)", "") &amp; " " &amp; IF(SUMPRODUCT(-- ISNUMBER(SEARCH({"Unique","Unique Case Insensitive"}, $R123))) &gt; 0, "(" &amp; $R123 &amp; ")", ""))))</f>
        <v>na</v>
      </c>
      <c r="E123" s="7" t="s">
        <v>195</v>
      </c>
      <c r="F123" s="7" t="s">
        <v>195</v>
      </c>
      <c r="G123" s="7" t="s">
        <v>195</v>
      </c>
      <c r="H123" s="7" t="s">
        <v>195</v>
      </c>
      <c r="I123" s="7" t="s">
        <v>195</v>
      </c>
      <c r="J123" s="7" t="s">
        <v>195</v>
      </c>
      <c r="K123" s="7" t="s">
        <v>195</v>
      </c>
      <c r="L123" s="7" t="s">
        <v>195</v>
      </c>
      <c r="M123" s="7" t="s">
        <v>29</v>
      </c>
      <c r="N123" s="7" t="s">
        <v>29</v>
      </c>
      <c r="O123" s="7" t="s">
        <v>29</v>
      </c>
      <c r="P123" s="7" t="s">
        <v>29</v>
      </c>
      <c r="Q123" s="7" t="s">
        <v>29</v>
      </c>
      <c r="R123" s="7" t="s">
        <v>29</v>
      </c>
      <c r="S123" s="7" t="s">
        <v>29</v>
      </c>
    </row>
    <row r="124" spans="2:19">
      <c r="B124" s="7" t="s">
        <v>195</v>
      </c>
      <c r="C124" s="8" t="s">
        <v>195</v>
      </c>
      <c r="D124" s="5" t="str">
        <f>LRTRIM(CONCATENATE(IF(SUMPRODUCT(-- ISNUMBER(SEARCH({"Auto Number"}, $B124))) &gt; 0, $B124, IF(SUMPRODUCT(-- ISNUMBER(SEARCH({"Lookup","Master-Detail"}, $B124))) &gt; 0,$B124 &amp; "(" &amp; $E124 &amp; ")",IF(SUMPRODUCT(-- ISNUMBER(SEARCH({"Formula","Roll-Up Summary"}, $B124))) &gt; 0,$B124 &amp; " (" &amp; $E124 &amp; ")",IF(SUMPRODUCT(-- ISNUMBER(SEARCH({"Content","Currency","Number","Percent","Text","URL"}, $B124))) &gt; 0,$B124 &amp; "(" &amp; $C124 &amp; ")",$B124)))), "  ", TRIM(IF($S124 = "YES", "(External ID)", "") &amp; " " &amp; IF(SUMPRODUCT(-- ISNUMBER(SEARCH({"Unique","Unique Case Insensitive"}, $R124))) &gt; 0, "(" &amp; $R124 &amp; ")", ""))))</f>
        <v>na</v>
      </c>
      <c r="E124" s="7" t="s">
        <v>195</v>
      </c>
      <c r="F124" s="7" t="s">
        <v>195</v>
      </c>
      <c r="G124" s="7" t="s">
        <v>195</v>
      </c>
      <c r="H124" s="7" t="s">
        <v>195</v>
      </c>
      <c r="I124" s="7" t="s">
        <v>195</v>
      </c>
      <c r="J124" s="7" t="s">
        <v>195</v>
      </c>
      <c r="K124" s="7" t="s">
        <v>195</v>
      </c>
      <c r="L124" s="7" t="s">
        <v>195</v>
      </c>
      <c r="M124" s="7" t="s">
        <v>29</v>
      </c>
      <c r="N124" s="7" t="s">
        <v>29</v>
      </c>
      <c r="O124" s="7" t="s">
        <v>29</v>
      </c>
      <c r="P124" s="7" t="s">
        <v>29</v>
      </c>
      <c r="Q124" s="7" t="s">
        <v>29</v>
      </c>
      <c r="R124" s="7" t="s">
        <v>29</v>
      </c>
      <c r="S124" s="7" t="s">
        <v>29</v>
      </c>
    </row>
    <row r="125" spans="2:19">
      <c r="B125" s="7" t="s">
        <v>195</v>
      </c>
      <c r="C125" s="8" t="s">
        <v>195</v>
      </c>
      <c r="D125" s="5" t="str">
        <f>LRTRIM(CONCATENATE(IF(SUMPRODUCT(-- ISNUMBER(SEARCH({"Auto Number"}, $B125))) &gt; 0, $B125, IF(SUMPRODUCT(-- ISNUMBER(SEARCH({"Lookup","Master-Detail"}, $B125))) &gt; 0,$B125 &amp; "(" &amp; $E125 &amp; ")",IF(SUMPRODUCT(-- ISNUMBER(SEARCH({"Formula","Roll-Up Summary"}, $B125))) &gt; 0,$B125 &amp; " (" &amp; $E125 &amp; ")",IF(SUMPRODUCT(-- ISNUMBER(SEARCH({"Content","Currency","Number","Percent","Text","URL"}, $B125))) &gt; 0,$B125 &amp; "(" &amp; $C125 &amp; ")",$B125)))), "  ", TRIM(IF($S125 = "YES", "(External ID)", "") &amp; " " &amp; IF(SUMPRODUCT(-- ISNUMBER(SEARCH({"Unique","Unique Case Insensitive"}, $R125))) &gt; 0, "(" &amp; $R125 &amp; ")", ""))))</f>
        <v>na</v>
      </c>
      <c r="E125" s="7" t="s">
        <v>195</v>
      </c>
      <c r="F125" s="7" t="s">
        <v>195</v>
      </c>
      <c r="G125" s="7" t="s">
        <v>195</v>
      </c>
      <c r="H125" s="7" t="s">
        <v>195</v>
      </c>
      <c r="I125" s="7" t="s">
        <v>195</v>
      </c>
      <c r="J125" s="7" t="s">
        <v>195</v>
      </c>
      <c r="K125" s="7" t="s">
        <v>195</v>
      </c>
      <c r="L125" s="7" t="s">
        <v>195</v>
      </c>
      <c r="M125" s="7" t="s">
        <v>29</v>
      </c>
      <c r="N125" s="7" t="s">
        <v>29</v>
      </c>
      <c r="O125" s="7" t="s">
        <v>29</v>
      </c>
      <c r="P125" s="7" t="s">
        <v>29</v>
      </c>
      <c r="Q125" s="7" t="s">
        <v>29</v>
      </c>
      <c r="R125" s="7" t="s">
        <v>29</v>
      </c>
      <c r="S125" s="7" t="s">
        <v>29</v>
      </c>
    </row>
    <row r="126" spans="2:19">
      <c r="B126" s="7" t="s">
        <v>195</v>
      </c>
      <c r="C126" s="8" t="s">
        <v>195</v>
      </c>
      <c r="D126" s="5" t="str">
        <f>LRTRIM(CONCATENATE(IF(SUMPRODUCT(-- ISNUMBER(SEARCH({"Auto Number"}, $B126))) &gt; 0, $B126, IF(SUMPRODUCT(-- ISNUMBER(SEARCH({"Lookup","Master-Detail"}, $B126))) &gt; 0,$B126 &amp; "(" &amp; $E126 &amp; ")",IF(SUMPRODUCT(-- ISNUMBER(SEARCH({"Formula","Roll-Up Summary"}, $B126))) &gt; 0,$B126 &amp; " (" &amp; $E126 &amp; ")",IF(SUMPRODUCT(-- ISNUMBER(SEARCH({"Content","Currency","Number","Percent","Text","URL"}, $B126))) &gt; 0,$B126 &amp; "(" &amp; $C126 &amp; ")",$B126)))), "  ", TRIM(IF($S126 = "YES", "(External ID)", "") &amp; " " &amp; IF(SUMPRODUCT(-- ISNUMBER(SEARCH({"Unique","Unique Case Insensitive"}, $R126))) &gt; 0, "(" &amp; $R126 &amp; ")", ""))))</f>
        <v>na</v>
      </c>
      <c r="E126" s="7" t="s">
        <v>195</v>
      </c>
      <c r="F126" s="7" t="s">
        <v>195</v>
      </c>
      <c r="G126" s="7" t="s">
        <v>195</v>
      </c>
      <c r="H126" s="7" t="s">
        <v>195</v>
      </c>
      <c r="I126" s="7" t="s">
        <v>195</v>
      </c>
      <c r="J126" s="7" t="s">
        <v>195</v>
      </c>
      <c r="K126" s="7" t="s">
        <v>195</v>
      </c>
      <c r="L126" s="7" t="s">
        <v>195</v>
      </c>
      <c r="M126" s="7" t="s">
        <v>29</v>
      </c>
      <c r="N126" s="7" t="s">
        <v>29</v>
      </c>
      <c r="O126" s="7" t="s">
        <v>29</v>
      </c>
      <c r="P126" s="7" t="s">
        <v>29</v>
      </c>
      <c r="Q126" s="7" t="s">
        <v>29</v>
      </c>
      <c r="R126" s="7" t="s">
        <v>29</v>
      </c>
      <c r="S126" s="7" t="s">
        <v>29</v>
      </c>
    </row>
    <row r="127" spans="2:19">
      <c r="B127" s="7" t="s">
        <v>195</v>
      </c>
      <c r="C127" s="8" t="s">
        <v>195</v>
      </c>
      <c r="D127" s="5" t="str">
        <f>LRTRIM(CONCATENATE(IF(SUMPRODUCT(-- ISNUMBER(SEARCH({"Auto Number"}, $B127))) &gt; 0, $B127, IF(SUMPRODUCT(-- ISNUMBER(SEARCH({"Lookup","Master-Detail"}, $B127))) &gt; 0,$B127 &amp; "(" &amp; $E127 &amp; ")",IF(SUMPRODUCT(-- ISNUMBER(SEARCH({"Formula","Roll-Up Summary"}, $B127))) &gt; 0,$B127 &amp; " (" &amp; $E127 &amp; ")",IF(SUMPRODUCT(-- ISNUMBER(SEARCH({"Content","Currency","Number","Percent","Text","URL"}, $B127))) &gt; 0,$B127 &amp; "(" &amp; $C127 &amp; ")",$B127)))), "  ", TRIM(IF($S127 = "YES", "(External ID)", "") &amp; " " &amp; IF(SUMPRODUCT(-- ISNUMBER(SEARCH({"Unique","Unique Case Insensitive"}, $R127))) &gt; 0, "(" &amp; $R127 &amp; ")", ""))))</f>
        <v>na</v>
      </c>
      <c r="E127" s="7" t="s">
        <v>195</v>
      </c>
      <c r="F127" s="7" t="s">
        <v>195</v>
      </c>
      <c r="G127" s="7" t="s">
        <v>195</v>
      </c>
      <c r="H127" s="7" t="s">
        <v>195</v>
      </c>
      <c r="I127" s="7" t="s">
        <v>195</v>
      </c>
      <c r="J127" s="7" t="s">
        <v>195</v>
      </c>
      <c r="K127" s="7" t="s">
        <v>195</v>
      </c>
      <c r="L127" s="7" t="s">
        <v>195</v>
      </c>
      <c r="M127" s="7" t="s">
        <v>29</v>
      </c>
      <c r="N127" s="7" t="s">
        <v>29</v>
      </c>
      <c r="O127" s="7" t="s">
        <v>29</v>
      </c>
      <c r="P127" s="7" t="s">
        <v>29</v>
      </c>
      <c r="Q127" s="7" t="s">
        <v>29</v>
      </c>
      <c r="R127" s="7" t="s">
        <v>29</v>
      </c>
      <c r="S127" s="7" t="s">
        <v>29</v>
      </c>
    </row>
    <row r="128" spans="2:19">
      <c r="B128" s="7" t="s">
        <v>195</v>
      </c>
      <c r="C128" s="8" t="s">
        <v>195</v>
      </c>
      <c r="D128" s="5" t="str">
        <f>LRTRIM(CONCATENATE(IF(SUMPRODUCT(-- ISNUMBER(SEARCH({"Auto Number"}, $B128))) &gt; 0, $B128, IF(SUMPRODUCT(-- ISNUMBER(SEARCH({"Lookup","Master-Detail"}, $B128))) &gt; 0,$B128 &amp; "(" &amp; $E128 &amp; ")",IF(SUMPRODUCT(-- ISNUMBER(SEARCH({"Formula","Roll-Up Summary"}, $B128))) &gt; 0,$B128 &amp; " (" &amp; $E128 &amp; ")",IF(SUMPRODUCT(-- ISNUMBER(SEARCH({"Content","Currency","Number","Percent","Text","URL"}, $B128))) &gt; 0,$B128 &amp; "(" &amp; $C128 &amp; ")",$B128)))), "  ", TRIM(IF($S128 = "YES", "(External ID)", "") &amp; " " &amp; IF(SUMPRODUCT(-- ISNUMBER(SEARCH({"Unique","Unique Case Insensitive"}, $R128))) &gt; 0, "(" &amp; $R128 &amp; ")", ""))))</f>
        <v>na</v>
      </c>
      <c r="E128" s="7" t="s">
        <v>195</v>
      </c>
      <c r="F128" s="7" t="s">
        <v>195</v>
      </c>
      <c r="G128" s="7" t="s">
        <v>195</v>
      </c>
      <c r="H128" s="7" t="s">
        <v>195</v>
      </c>
      <c r="I128" s="7" t="s">
        <v>195</v>
      </c>
      <c r="J128" s="7" t="s">
        <v>195</v>
      </c>
      <c r="K128" s="7" t="s">
        <v>195</v>
      </c>
      <c r="L128" s="7" t="s">
        <v>195</v>
      </c>
      <c r="M128" s="7" t="s">
        <v>29</v>
      </c>
      <c r="N128" s="7" t="s">
        <v>29</v>
      </c>
      <c r="O128" s="7" t="s">
        <v>29</v>
      </c>
      <c r="P128" s="7" t="s">
        <v>29</v>
      </c>
      <c r="Q128" s="7" t="s">
        <v>29</v>
      </c>
      <c r="R128" s="7" t="s">
        <v>29</v>
      </c>
      <c r="S128" s="7" t="s">
        <v>29</v>
      </c>
    </row>
    <row r="129" spans="2:19">
      <c r="B129" s="7" t="s">
        <v>195</v>
      </c>
      <c r="C129" s="8" t="s">
        <v>195</v>
      </c>
      <c r="D129" s="5" t="str">
        <f>LRTRIM(CONCATENATE(IF(SUMPRODUCT(-- ISNUMBER(SEARCH({"Auto Number"}, $B129))) &gt; 0, $B129, IF(SUMPRODUCT(-- ISNUMBER(SEARCH({"Lookup","Master-Detail"}, $B129))) &gt; 0,$B129 &amp; "(" &amp; $E129 &amp; ")",IF(SUMPRODUCT(-- ISNUMBER(SEARCH({"Formula","Roll-Up Summary"}, $B129))) &gt; 0,$B129 &amp; " (" &amp; $E129 &amp; ")",IF(SUMPRODUCT(-- ISNUMBER(SEARCH({"Content","Currency","Number","Percent","Text","URL"}, $B129))) &gt; 0,$B129 &amp; "(" &amp; $C129 &amp; ")",$B129)))), "  ", TRIM(IF($S129 = "YES", "(External ID)", "") &amp; " " &amp; IF(SUMPRODUCT(-- ISNUMBER(SEARCH({"Unique","Unique Case Insensitive"}, $R129))) &gt; 0, "(" &amp; $R129 &amp; ")", ""))))</f>
        <v>na</v>
      </c>
      <c r="E129" s="7" t="s">
        <v>195</v>
      </c>
      <c r="F129" s="7" t="s">
        <v>195</v>
      </c>
      <c r="G129" s="7" t="s">
        <v>195</v>
      </c>
      <c r="H129" s="7" t="s">
        <v>195</v>
      </c>
      <c r="I129" s="7" t="s">
        <v>195</v>
      </c>
      <c r="J129" s="7" t="s">
        <v>195</v>
      </c>
      <c r="K129" s="7" t="s">
        <v>195</v>
      </c>
      <c r="L129" s="7" t="s">
        <v>195</v>
      </c>
      <c r="M129" s="7" t="s">
        <v>29</v>
      </c>
      <c r="N129" s="7" t="s">
        <v>29</v>
      </c>
      <c r="O129" s="7" t="s">
        <v>29</v>
      </c>
      <c r="P129" s="7" t="s">
        <v>29</v>
      </c>
      <c r="Q129" s="7" t="s">
        <v>29</v>
      </c>
      <c r="R129" s="7" t="s">
        <v>29</v>
      </c>
      <c r="S129" s="7" t="s">
        <v>29</v>
      </c>
    </row>
    <row r="130" spans="2:19">
      <c r="B130" s="7" t="s">
        <v>195</v>
      </c>
      <c r="C130" s="8" t="s">
        <v>195</v>
      </c>
      <c r="D130" s="5" t="str">
        <f>LRTRIM(CONCATENATE(IF(SUMPRODUCT(-- ISNUMBER(SEARCH({"Auto Number"}, $B130))) &gt; 0, $B130, IF(SUMPRODUCT(-- ISNUMBER(SEARCH({"Lookup","Master-Detail"}, $B130))) &gt; 0,$B130 &amp; "(" &amp; $E130 &amp; ")",IF(SUMPRODUCT(-- ISNUMBER(SEARCH({"Formula","Roll-Up Summary"}, $B130))) &gt; 0,$B130 &amp; " (" &amp; $E130 &amp; ")",IF(SUMPRODUCT(-- ISNUMBER(SEARCH({"Content","Currency","Number","Percent","Text","URL"}, $B130))) &gt; 0,$B130 &amp; "(" &amp; $C130 &amp; ")",$B130)))), "  ", TRIM(IF($S130 = "YES", "(External ID)", "") &amp; " " &amp; IF(SUMPRODUCT(-- ISNUMBER(SEARCH({"Unique","Unique Case Insensitive"}, $R130))) &gt; 0, "(" &amp; $R130 &amp; ")", ""))))</f>
        <v>na</v>
      </c>
      <c r="E130" s="7" t="s">
        <v>195</v>
      </c>
      <c r="F130" s="7" t="s">
        <v>195</v>
      </c>
      <c r="G130" s="7" t="s">
        <v>195</v>
      </c>
      <c r="H130" s="7" t="s">
        <v>195</v>
      </c>
      <c r="I130" s="7" t="s">
        <v>195</v>
      </c>
      <c r="J130" s="7" t="s">
        <v>195</v>
      </c>
      <c r="K130" s="7" t="s">
        <v>195</v>
      </c>
      <c r="L130" s="7" t="s">
        <v>195</v>
      </c>
      <c r="M130" s="7" t="s">
        <v>29</v>
      </c>
      <c r="N130" s="7" t="s">
        <v>29</v>
      </c>
      <c r="O130" s="7" t="s">
        <v>29</v>
      </c>
      <c r="P130" s="7" t="s">
        <v>29</v>
      </c>
      <c r="Q130" s="7" t="s">
        <v>29</v>
      </c>
      <c r="R130" s="7" t="s">
        <v>29</v>
      </c>
      <c r="S130" s="7" t="s">
        <v>29</v>
      </c>
    </row>
    <row r="131" spans="2:19">
      <c r="B131" s="7" t="s">
        <v>195</v>
      </c>
      <c r="C131" s="8" t="s">
        <v>195</v>
      </c>
      <c r="D131" s="5" t="str">
        <f>LRTRIM(CONCATENATE(IF(SUMPRODUCT(-- ISNUMBER(SEARCH({"Auto Number"}, $B131))) &gt; 0, $B131, IF(SUMPRODUCT(-- ISNUMBER(SEARCH({"Lookup","Master-Detail"}, $B131))) &gt; 0,$B131 &amp; "(" &amp; $E131 &amp; ")",IF(SUMPRODUCT(-- ISNUMBER(SEARCH({"Formula","Roll-Up Summary"}, $B131))) &gt; 0,$B131 &amp; " (" &amp; $E131 &amp; ")",IF(SUMPRODUCT(-- ISNUMBER(SEARCH({"Content","Currency","Number","Percent","Text","URL"}, $B131))) &gt; 0,$B131 &amp; "(" &amp; $C131 &amp; ")",$B131)))), "  ", TRIM(IF($S131 = "YES", "(External ID)", "") &amp; " " &amp; IF(SUMPRODUCT(-- ISNUMBER(SEARCH({"Unique","Unique Case Insensitive"}, $R131))) &gt; 0, "(" &amp; $R131 &amp; ")", ""))))</f>
        <v>na</v>
      </c>
      <c r="E131" s="7" t="s">
        <v>195</v>
      </c>
      <c r="F131" s="7" t="s">
        <v>195</v>
      </c>
      <c r="G131" s="7" t="s">
        <v>195</v>
      </c>
      <c r="H131" s="7" t="s">
        <v>195</v>
      </c>
      <c r="I131" s="7" t="s">
        <v>195</v>
      </c>
      <c r="J131" s="7" t="s">
        <v>195</v>
      </c>
      <c r="K131" s="7" t="s">
        <v>195</v>
      </c>
      <c r="L131" s="7" t="s">
        <v>195</v>
      </c>
      <c r="M131" s="7" t="s">
        <v>29</v>
      </c>
      <c r="N131" s="7" t="s">
        <v>29</v>
      </c>
      <c r="O131" s="7" t="s">
        <v>29</v>
      </c>
      <c r="P131" s="7" t="s">
        <v>29</v>
      </c>
      <c r="Q131" s="7" t="s">
        <v>29</v>
      </c>
      <c r="R131" s="7" t="s">
        <v>29</v>
      </c>
      <c r="S131" s="7" t="s">
        <v>29</v>
      </c>
    </row>
    <row r="132" spans="2:19">
      <c r="B132" s="7" t="s">
        <v>195</v>
      </c>
      <c r="C132" s="8" t="s">
        <v>195</v>
      </c>
      <c r="D132" s="5" t="str">
        <f>LRTRIM(CONCATENATE(IF(SUMPRODUCT(-- ISNUMBER(SEARCH({"Auto Number"}, $B132))) &gt; 0, $B132, IF(SUMPRODUCT(-- ISNUMBER(SEARCH({"Lookup","Master-Detail"}, $B132))) &gt; 0,$B132 &amp; "(" &amp; $E132 &amp; ")",IF(SUMPRODUCT(-- ISNUMBER(SEARCH({"Formula","Roll-Up Summary"}, $B132))) &gt; 0,$B132 &amp; " (" &amp; $E132 &amp; ")",IF(SUMPRODUCT(-- ISNUMBER(SEARCH({"Content","Currency","Number","Percent","Text","URL"}, $B132))) &gt; 0,$B132 &amp; "(" &amp; $C132 &amp; ")",$B132)))), "  ", TRIM(IF($S132 = "YES", "(External ID)", "") &amp; " " &amp; IF(SUMPRODUCT(-- ISNUMBER(SEARCH({"Unique","Unique Case Insensitive"}, $R132))) &gt; 0, "(" &amp; $R132 &amp; ")", ""))))</f>
        <v>na</v>
      </c>
      <c r="E132" s="7" t="s">
        <v>195</v>
      </c>
      <c r="F132" s="7" t="s">
        <v>195</v>
      </c>
      <c r="G132" s="7" t="s">
        <v>195</v>
      </c>
      <c r="H132" s="7" t="s">
        <v>195</v>
      </c>
      <c r="I132" s="7" t="s">
        <v>195</v>
      </c>
      <c r="J132" s="7" t="s">
        <v>195</v>
      </c>
      <c r="K132" s="7" t="s">
        <v>195</v>
      </c>
      <c r="L132" s="7" t="s">
        <v>195</v>
      </c>
      <c r="M132" s="7" t="s">
        <v>29</v>
      </c>
      <c r="N132" s="7" t="s">
        <v>29</v>
      </c>
      <c r="O132" s="7" t="s">
        <v>29</v>
      </c>
      <c r="P132" s="7" t="s">
        <v>29</v>
      </c>
      <c r="Q132" s="7" t="s">
        <v>29</v>
      </c>
      <c r="R132" s="7" t="s">
        <v>29</v>
      </c>
      <c r="S132" s="7" t="s">
        <v>29</v>
      </c>
    </row>
    <row r="133" spans="2:19">
      <c r="B133" s="7" t="s">
        <v>195</v>
      </c>
      <c r="C133" s="8" t="s">
        <v>195</v>
      </c>
      <c r="D133" s="5" t="str">
        <f>LRTRIM(CONCATENATE(IF(SUMPRODUCT(-- ISNUMBER(SEARCH({"Auto Number"}, $B133))) &gt; 0, $B133, IF(SUMPRODUCT(-- ISNUMBER(SEARCH({"Lookup","Master-Detail"}, $B133))) &gt; 0,$B133 &amp; "(" &amp; $E133 &amp; ")",IF(SUMPRODUCT(-- ISNUMBER(SEARCH({"Formula","Roll-Up Summary"}, $B133))) &gt; 0,$B133 &amp; " (" &amp; $E133 &amp; ")",IF(SUMPRODUCT(-- ISNUMBER(SEARCH({"Content","Currency","Number","Percent","Text","URL"}, $B133))) &gt; 0,$B133 &amp; "(" &amp; $C133 &amp; ")",$B133)))), "  ", TRIM(IF($S133 = "YES", "(External ID)", "") &amp; " " &amp; IF(SUMPRODUCT(-- ISNUMBER(SEARCH({"Unique","Unique Case Insensitive"}, $R133))) &gt; 0, "(" &amp; $R133 &amp; ")", ""))))</f>
        <v>na</v>
      </c>
      <c r="E133" s="7" t="s">
        <v>195</v>
      </c>
      <c r="F133" s="7" t="s">
        <v>195</v>
      </c>
      <c r="G133" s="7" t="s">
        <v>195</v>
      </c>
      <c r="H133" s="7" t="s">
        <v>195</v>
      </c>
      <c r="I133" s="7" t="s">
        <v>195</v>
      </c>
      <c r="J133" s="7" t="s">
        <v>195</v>
      </c>
      <c r="K133" s="7" t="s">
        <v>195</v>
      </c>
      <c r="L133" s="7" t="s">
        <v>195</v>
      </c>
      <c r="M133" s="7" t="s">
        <v>29</v>
      </c>
      <c r="N133" s="7" t="s">
        <v>29</v>
      </c>
      <c r="O133" s="7" t="s">
        <v>29</v>
      </c>
      <c r="P133" s="7" t="s">
        <v>29</v>
      </c>
      <c r="Q133" s="7" t="s">
        <v>29</v>
      </c>
      <c r="R133" s="7" t="s">
        <v>29</v>
      </c>
      <c r="S133" s="7" t="s">
        <v>29</v>
      </c>
    </row>
    <row r="134" spans="2:19">
      <c r="B134" s="7" t="s">
        <v>195</v>
      </c>
      <c r="C134" s="8" t="s">
        <v>195</v>
      </c>
      <c r="D134" s="5" t="str">
        <f>LRTRIM(CONCATENATE(IF(SUMPRODUCT(-- ISNUMBER(SEARCH({"Auto Number"}, $B134))) &gt; 0, $B134, IF(SUMPRODUCT(-- ISNUMBER(SEARCH({"Lookup","Master-Detail"}, $B134))) &gt; 0,$B134 &amp; "(" &amp; $E134 &amp; ")",IF(SUMPRODUCT(-- ISNUMBER(SEARCH({"Formula","Roll-Up Summary"}, $B134))) &gt; 0,$B134 &amp; " (" &amp; $E134 &amp; ")",IF(SUMPRODUCT(-- ISNUMBER(SEARCH({"Content","Currency","Number","Percent","Text","URL"}, $B134))) &gt; 0,$B134 &amp; "(" &amp; $C134 &amp; ")",$B134)))), "  ", TRIM(IF($S134 = "YES", "(External ID)", "") &amp; " " &amp; IF(SUMPRODUCT(-- ISNUMBER(SEARCH({"Unique","Unique Case Insensitive"}, $R134))) &gt; 0, "(" &amp; $R134 &amp; ")", ""))))</f>
        <v>na</v>
      </c>
      <c r="E134" s="7" t="s">
        <v>195</v>
      </c>
      <c r="F134" s="7" t="s">
        <v>195</v>
      </c>
      <c r="G134" s="7" t="s">
        <v>195</v>
      </c>
      <c r="H134" s="7" t="s">
        <v>195</v>
      </c>
      <c r="I134" s="7" t="s">
        <v>195</v>
      </c>
      <c r="J134" s="7" t="s">
        <v>195</v>
      </c>
      <c r="K134" s="7" t="s">
        <v>195</v>
      </c>
      <c r="L134" s="7" t="s">
        <v>195</v>
      </c>
      <c r="M134" s="7" t="s">
        <v>29</v>
      </c>
      <c r="N134" s="7" t="s">
        <v>29</v>
      </c>
      <c r="O134" s="7" t="s">
        <v>29</v>
      </c>
      <c r="P134" s="7" t="s">
        <v>29</v>
      </c>
      <c r="Q134" s="7" t="s">
        <v>29</v>
      </c>
      <c r="R134" s="7" t="s">
        <v>29</v>
      </c>
      <c r="S134" s="7" t="s">
        <v>29</v>
      </c>
    </row>
    <row r="135" spans="2:19">
      <c r="B135" s="7" t="s">
        <v>195</v>
      </c>
      <c r="C135" s="8" t="s">
        <v>195</v>
      </c>
      <c r="D135" s="5" t="str">
        <f>LRTRIM(CONCATENATE(IF(SUMPRODUCT(-- ISNUMBER(SEARCH({"Auto Number"}, $B135))) &gt; 0, $B135, IF(SUMPRODUCT(-- ISNUMBER(SEARCH({"Lookup","Master-Detail"}, $B135))) &gt; 0,$B135 &amp; "(" &amp; $E135 &amp; ")",IF(SUMPRODUCT(-- ISNUMBER(SEARCH({"Formula","Roll-Up Summary"}, $B135))) &gt; 0,$B135 &amp; " (" &amp; $E135 &amp; ")",IF(SUMPRODUCT(-- ISNUMBER(SEARCH({"Content","Currency","Number","Percent","Text","URL"}, $B135))) &gt; 0,$B135 &amp; "(" &amp; $C135 &amp; ")",$B135)))), "  ", TRIM(IF($S135 = "YES", "(External ID)", "") &amp; " " &amp; IF(SUMPRODUCT(-- ISNUMBER(SEARCH({"Unique","Unique Case Insensitive"}, $R135))) &gt; 0, "(" &amp; $R135 &amp; ")", ""))))</f>
        <v>na</v>
      </c>
      <c r="E135" s="7" t="s">
        <v>195</v>
      </c>
      <c r="F135" s="7" t="s">
        <v>195</v>
      </c>
      <c r="G135" s="7" t="s">
        <v>195</v>
      </c>
      <c r="H135" s="7" t="s">
        <v>195</v>
      </c>
      <c r="I135" s="7" t="s">
        <v>195</v>
      </c>
      <c r="J135" s="7" t="s">
        <v>195</v>
      </c>
      <c r="K135" s="7" t="s">
        <v>195</v>
      </c>
      <c r="L135" s="7" t="s">
        <v>195</v>
      </c>
      <c r="M135" s="7" t="s">
        <v>29</v>
      </c>
      <c r="N135" s="7" t="s">
        <v>29</v>
      </c>
      <c r="O135" s="7" t="s">
        <v>29</v>
      </c>
      <c r="P135" s="7" t="s">
        <v>29</v>
      </c>
      <c r="Q135" s="7" t="s">
        <v>29</v>
      </c>
      <c r="R135" s="7" t="s">
        <v>29</v>
      </c>
      <c r="S135" s="7" t="s">
        <v>29</v>
      </c>
    </row>
    <row r="136" spans="2:19">
      <c r="B136" s="7" t="s">
        <v>195</v>
      </c>
      <c r="C136" s="8" t="s">
        <v>195</v>
      </c>
      <c r="D136" s="5" t="str">
        <f>LRTRIM(CONCATENATE(IF(SUMPRODUCT(-- ISNUMBER(SEARCH({"Auto Number"}, $B136))) &gt; 0, $B136, IF(SUMPRODUCT(-- ISNUMBER(SEARCH({"Lookup","Master-Detail"}, $B136))) &gt; 0,$B136 &amp; "(" &amp; $E136 &amp; ")",IF(SUMPRODUCT(-- ISNUMBER(SEARCH({"Formula","Roll-Up Summary"}, $B136))) &gt; 0,$B136 &amp; " (" &amp; $E136 &amp; ")",IF(SUMPRODUCT(-- ISNUMBER(SEARCH({"Content","Currency","Number","Percent","Text","URL"}, $B136))) &gt; 0,$B136 &amp; "(" &amp; $C136 &amp; ")",$B136)))), "  ", TRIM(IF($S136 = "YES", "(External ID)", "") &amp; " " &amp; IF(SUMPRODUCT(-- ISNUMBER(SEARCH({"Unique","Unique Case Insensitive"}, $R136))) &gt; 0, "(" &amp; $R136 &amp; ")", ""))))</f>
        <v>na</v>
      </c>
      <c r="E136" s="7" t="s">
        <v>195</v>
      </c>
      <c r="F136" s="7" t="s">
        <v>195</v>
      </c>
      <c r="G136" s="7" t="s">
        <v>195</v>
      </c>
      <c r="H136" s="7" t="s">
        <v>195</v>
      </c>
      <c r="I136" s="7" t="s">
        <v>195</v>
      </c>
      <c r="J136" s="7" t="s">
        <v>195</v>
      </c>
      <c r="K136" s="7" t="s">
        <v>195</v>
      </c>
      <c r="L136" s="7" t="s">
        <v>195</v>
      </c>
      <c r="M136" s="7" t="s">
        <v>29</v>
      </c>
      <c r="N136" s="7" t="s">
        <v>29</v>
      </c>
      <c r="O136" s="7" t="s">
        <v>29</v>
      </c>
      <c r="P136" s="7" t="s">
        <v>29</v>
      </c>
      <c r="Q136" s="7" t="s">
        <v>29</v>
      </c>
      <c r="R136" s="7" t="s">
        <v>29</v>
      </c>
      <c r="S136" s="7" t="s">
        <v>29</v>
      </c>
    </row>
    <row r="137" spans="2:19">
      <c r="B137" s="7" t="s">
        <v>195</v>
      </c>
      <c r="C137" s="8" t="s">
        <v>195</v>
      </c>
      <c r="D137" s="5" t="str">
        <f>LRTRIM(CONCATENATE(IF(SUMPRODUCT(-- ISNUMBER(SEARCH({"Auto Number"}, $B137))) &gt; 0, $B137, IF(SUMPRODUCT(-- ISNUMBER(SEARCH({"Lookup","Master-Detail"}, $B137))) &gt; 0,$B137 &amp; "(" &amp; $E137 &amp; ")",IF(SUMPRODUCT(-- ISNUMBER(SEARCH({"Formula","Roll-Up Summary"}, $B137))) &gt; 0,$B137 &amp; " (" &amp; $E137 &amp; ")",IF(SUMPRODUCT(-- ISNUMBER(SEARCH({"Content","Currency","Number","Percent","Text","URL"}, $B137))) &gt; 0,$B137 &amp; "(" &amp; $C137 &amp; ")",$B137)))), "  ", TRIM(IF($S137 = "YES", "(External ID)", "") &amp; " " &amp; IF(SUMPRODUCT(-- ISNUMBER(SEARCH({"Unique","Unique Case Insensitive"}, $R137))) &gt; 0, "(" &amp; $R137 &amp; ")", ""))))</f>
        <v>na</v>
      </c>
      <c r="E137" s="7" t="s">
        <v>195</v>
      </c>
      <c r="F137" s="7" t="s">
        <v>195</v>
      </c>
      <c r="G137" s="7" t="s">
        <v>195</v>
      </c>
      <c r="H137" s="7" t="s">
        <v>195</v>
      </c>
      <c r="I137" s="7" t="s">
        <v>195</v>
      </c>
      <c r="J137" s="7" t="s">
        <v>195</v>
      </c>
      <c r="K137" s="7" t="s">
        <v>195</v>
      </c>
      <c r="L137" s="7" t="s">
        <v>195</v>
      </c>
      <c r="M137" s="7" t="s">
        <v>29</v>
      </c>
      <c r="N137" s="7" t="s">
        <v>29</v>
      </c>
      <c r="O137" s="7" t="s">
        <v>29</v>
      </c>
      <c r="P137" s="7" t="s">
        <v>29</v>
      </c>
      <c r="Q137" s="7" t="s">
        <v>29</v>
      </c>
      <c r="R137" s="7" t="s">
        <v>29</v>
      </c>
      <c r="S137" s="7" t="s">
        <v>29</v>
      </c>
    </row>
    <row r="138" spans="2:19">
      <c r="B138" s="7" t="s">
        <v>195</v>
      </c>
      <c r="C138" s="8" t="s">
        <v>195</v>
      </c>
      <c r="D138" s="5" t="str">
        <f>LRTRIM(CONCATENATE(IF(SUMPRODUCT(-- ISNUMBER(SEARCH({"Auto Number"}, $B138))) &gt; 0, $B138, IF(SUMPRODUCT(-- ISNUMBER(SEARCH({"Lookup","Master-Detail"}, $B138))) &gt; 0,$B138 &amp; "(" &amp; $E138 &amp; ")",IF(SUMPRODUCT(-- ISNUMBER(SEARCH({"Formula","Roll-Up Summary"}, $B138))) &gt; 0,$B138 &amp; " (" &amp; $E138 &amp; ")",IF(SUMPRODUCT(-- ISNUMBER(SEARCH({"Content","Currency","Number","Percent","Text","URL"}, $B138))) &gt; 0,$B138 &amp; "(" &amp; $C138 &amp; ")",$B138)))), "  ", TRIM(IF($S138 = "YES", "(External ID)", "") &amp; " " &amp; IF(SUMPRODUCT(-- ISNUMBER(SEARCH({"Unique","Unique Case Insensitive"}, $R138))) &gt; 0, "(" &amp; $R138 &amp; ")", ""))))</f>
        <v>na</v>
      </c>
      <c r="E138" s="7" t="s">
        <v>195</v>
      </c>
      <c r="F138" s="7" t="s">
        <v>195</v>
      </c>
      <c r="G138" s="7" t="s">
        <v>195</v>
      </c>
      <c r="H138" s="7" t="s">
        <v>195</v>
      </c>
      <c r="I138" s="7" t="s">
        <v>195</v>
      </c>
      <c r="J138" s="7" t="s">
        <v>195</v>
      </c>
      <c r="K138" s="7" t="s">
        <v>195</v>
      </c>
      <c r="L138" s="7" t="s">
        <v>195</v>
      </c>
      <c r="M138" s="7" t="s">
        <v>29</v>
      </c>
      <c r="N138" s="7" t="s">
        <v>29</v>
      </c>
      <c r="O138" s="7" t="s">
        <v>29</v>
      </c>
      <c r="P138" s="7" t="s">
        <v>29</v>
      </c>
      <c r="Q138" s="7" t="s">
        <v>29</v>
      </c>
      <c r="R138" s="7" t="s">
        <v>29</v>
      </c>
      <c r="S138" s="7" t="s">
        <v>29</v>
      </c>
    </row>
    <row r="139" spans="2:19">
      <c r="B139" s="7" t="s">
        <v>195</v>
      </c>
      <c r="C139" s="8" t="s">
        <v>195</v>
      </c>
      <c r="D139" s="5" t="str">
        <f>LRTRIM(CONCATENATE(IF(SUMPRODUCT(-- ISNUMBER(SEARCH({"Auto Number"}, $B139))) &gt; 0, $B139, IF(SUMPRODUCT(-- ISNUMBER(SEARCH({"Lookup","Master-Detail"}, $B139))) &gt; 0,$B139 &amp; "(" &amp; $E139 &amp; ")",IF(SUMPRODUCT(-- ISNUMBER(SEARCH({"Formula","Roll-Up Summary"}, $B139))) &gt; 0,$B139 &amp; " (" &amp; $E139 &amp; ")",IF(SUMPRODUCT(-- ISNUMBER(SEARCH({"Content","Currency","Number","Percent","Text","URL"}, $B139))) &gt; 0,$B139 &amp; "(" &amp; $C139 &amp; ")",$B139)))), "  ", TRIM(IF($S139 = "YES", "(External ID)", "") &amp; " " &amp; IF(SUMPRODUCT(-- ISNUMBER(SEARCH({"Unique","Unique Case Insensitive"}, $R139))) &gt; 0, "(" &amp; $R139 &amp; ")", ""))))</f>
        <v>na</v>
      </c>
      <c r="E139" s="7" t="s">
        <v>195</v>
      </c>
      <c r="F139" s="7" t="s">
        <v>195</v>
      </c>
      <c r="G139" s="7" t="s">
        <v>195</v>
      </c>
      <c r="H139" s="7" t="s">
        <v>195</v>
      </c>
      <c r="I139" s="7" t="s">
        <v>195</v>
      </c>
      <c r="J139" s="7" t="s">
        <v>195</v>
      </c>
      <c r="K139" s="7" t="s">
        <v>195</v>
      </c>
      <c r="L139" s="7" t="s">
        <v>195</v>
      </c>
      <c r="M139" s="7" t="s">
        <v>29</v>
      </c>
      <c r="N139" s="7" t="s">
        <v>29</v>
      </c>
      <c r="O139" s="7" t="s">
        <v>29</v>
      </c>
      <c r="P139" s="7" t="s">
        <v>29</v>
      </c>
      <c r="Q139" s="7" t="s">
        <v>29</v>
      </c>
      <c r="R139" s="7" t="s">
        <v>29</v>
      </c>
      <c r="S139" s="7" t="s">
        <v>29</v>
      </c>
    </row>
    <row r="140" spans="2:19">
      <c r="B140" s="7" t="s">
        <v>195</v>
      </c>
      <c r="C140" s="8" t="s">
        <v>195</v>
      </c>
      <c r="D140" s="5" t="str">
        <f>LRTRIM(CONCATENATE(IF(SUMPRODUCT(-- ISNUMBER(SEARCH({"Auto Number"}, $B140))) &gt; 0, $B140, IF(SUMPRODUCT(-- ISNUMBER(SEARCH({"Lookup","Master-Detail"}, $B140))) &gt; 0,$B140 &amp; "(" &amp; $E140 &amp; ")",IF(SUMPRODUCT(-- ISNUMBER(SEARCH({"Formula","Roll-Up Summary"}, $B140))) &gt; 0,$B140 &amp; " (" &amp; $E140 &amp; ")",IF(SUMPRODUCT(-- ISNUMBER(SEARCH({"Content","Currency","Number","Percent","Text","URL"}, $B140))) &gt; 0,$B140 &amp; "(" &amp; $C140 &amp; ")",$B140)))), "  ", TRIM(IF($S140 = "YES", "(External ID)", "") &amp; " " &amp; IF(SUMPRODUCT(-- ISNUMBER(SEARCH({"Unique","Unique Case Insensitive"}, $R140))) &gt; 0, "(" &amp; $R140 &amp; ")", ""))))</f>
        <v>na</v>
      </c>
      <c r="E140" s="7" t="s">
        <v>195</v>
      </c>
      <c r="F140" s="7" t="s">
        <v>195</v>
      </c>
      <c r="G140" s="7" t="s">
        <v>195</v>
      </c>
      <c r="H140" s="7" t="s">
        <v>195</v>
      </c>
      <c r="I140" s="7" t="s">
        <v>195</v>
      </c>
      <c r="J140" s="7" t="s">
        <v>195</v>
      </c>
      <c r="K140" s="7" t="s">
        <v>195</v>
      </c>
      <c r="L140" s="7" t="s">
        <v>195</v>
      </c>
      <c r="M140" s="7" t="s">
        <v>29</v>
      </c>
      <c r="N140" s="7" t="s">
        <v>29</v>
      </c>
      <c r="O140" s="7" t="s">
        <v>29</v>
      </c>
      <c r="P140" s="7" t="s">
        <v>29</v>
      </c>
      <c r="Q140" s="7" t="s">
        <v>29</v>
      </c>
      <c r="R140" s="7" t="s">
        <v>29</v>
      </c>
      <c r="S140" s="7" t="s">
        <v>29</v>
      </c>
    </row>
    <row r="141" spans="2:19">
      <c r="B141" s="7" t="s">
        <v>195</v>
      </c>
      <c r="C141" s="8" t="s">
        <v>195</v>
      </c>
      <c r="D141" s="5" t="str">
        <f>LRTRIM(CONCATENATE(IF(SUMPRODUCT(-- ISNUMBER(SEARCH({"Auto Number"}, $B141))) &gt; 0, $B141, IF(SUMPRODUCT(-- ISNUMBER(SEARCH({"Lookup","Master-Detail"}, $B141))) &gt; 0,$B141 &amp; "(" &amp; $E141 &amp; ")",IF(SUMPRODUCT(-- ISNUMBER(SEARCH({"Formula","Roll-Up Summary"}, $B141))) &gt; 0,$B141 &amp; " (" &amp; $E141 &amp; ")",IF(SUMPRODUCT(-- ISNUMBER(SEARCH({"Content","Currency","Number","Percent","Text","URL"}, $B141))) &gt; 0,$B141 &amp; "(" &amp; $C141 &amp; ")",$B141)))), "  ", TRIM(IF($S141 = "YES", "(External ID)", "") &amp; " " &amp; IF(SUMPRODUCT(-- ISNUMBER(SEARCH({"Unique","Unique Case Insensitive"}, $R141))) &gt; 0, "(" &amp; $R141 &amp; ")", ""))))</f>
        <v>na</v>
      </c>
      <c r="E141" s="7" t="s">
        <v>195</v>
      </c>
      <c r="F141" s="7" t="s">
        <v>195</v>
      </c>
      <c r="G141" s="7" t="s">
        <v>195</v>
      </c>
      <c r="H141" s="7" t="s">
        <v>195</v>
      </c>
      <c r="I141" s="7" t="s">
        <v>195</v>
      </c>
      <c r="J141" s="7" t="s">
        <v>195</v>
      </c>
      <c r="K141" s="7" t="s">
        <v>195</v>
      </c>
      <c r="L141" s="7" t="s">
        <v>195</v>
      </c>
      <c r="M141" s="7" t="s">
        <v>29</v>
      </c>
      <c r="N141" s="7" t="s">
        <v>29</v>
      </c>
      <c r="O141" s="7" t="s">
        <v>29</v>
      </c>
      <c r="P141" s="7" t="s">
        <v>29</v>
      </c>
      <c r="Q141" s="7" t="s">
        <v>29</v>
      </c>
      <c r="R141" s="7" t="s">
        <v>29</v>
      </c>
      <c r="S141" s="7" t="s">
        <v>29</v>
      </c>
    </row>
    <row r="142" spans="2:19">
      <c r="B142" s="7" t="s">
        <v>195</v>
      </c>
      <c r="C142" s="8" t="s">
        <v>195</v>
      </c>
      <c r="D142" s="5" t="str">
        <f>LRTRIM(CONCATENATE(IF(SUMPRODUCT(-- ISNUMBER(SEARCH({"Auto Number"}, $B142))) &gt; 0, $B142, IF(SUMPRODUCT(-- ISNUMBER(SEARCH({"Lookup","Master-Detail"}, $B142))) &gt; 0,$B142 &amp; "(" &amp; $E142 &amp; ")",IF(SUMPRODUCT(-- ISNUMBER(SEARCH({"Formula","Roll-Up Summary"}, $B142))) &gt; 0,$B142 &amp; " (" &amp; $E142 &amp; ")",IF(SUMPRODUCT(-- ISNUMBER(SEARCH({"Content","Currency","Number","Percent","Text","URL"}, $B142))) &gt; 0,$B142 &amp; "(" &amp; $C142 &amp; ")",$B142)))), "  ", TRIM(IF($S142 = "YES", "(External ID)", "") &amp; " " &amp; IF(SUMPRODUCT(-- ISNUMBER(SEARCH({"Unique","Unique Case Insensitive"}, $R142))) &gt; 0, "(" &amp; $R142 &amp; ")", ""))))</f>
        <v>na</v>
      </c>
      <c r="E142" s="7" t="s">
        <v>195</v>
      </c>
      <c r="F142" s="7" t="s">
        <v>195</v>
      </c>
      <c r="G142" s="7" t="s">
        <v>195</v>
      </c>
      <c r="H142" s="7" t="s">
        <v>195</v>
      </c>
      <c r="I142" s="7" t="s">
        <v>195</v>
      </c>
      <c r="J142" s="7" t="s">
        <v>195</v>
      </c>
      <c r="K142" s="7" t="s">
        <v>195</v>
      </c>
      <c r="L142" s="7" t="s">
        <v>195</v>
      </c>
      <c r="M142" s="7" t="s">
        <v>29</v>
      </c>
      <c r="N142" s="7" t="s">
        <v>29</v>
      </c>
      <c r="O142" s="7" t="s">
        <v>29</v>
      </c>
      <c r="P142" s="7" t="s">
        <v>29</v>
      </c>
      <c r="Q142" s="7" t="s">
        <v>29</v>
      </c>
      <c r="R142" s="7" t="s">
        <v>29</v>
      </c>
      <c r="S142" s="7" t="s">
        <v>29</v>
      </c>
    </row>
    <row r="143" spans="2:19">
      <c r="B143" s="7" t="s">
        <v>195</v>
      </c>
      <c r="C143" s="8" t="s">
        <v>195</v>
      </c>
      <c r="D143" s="5" t="str">
        <f>LRTRIM(CONCATENATE(IF(SUMPRODUCT(-- ISNUMBER(SEARCH({"Auto Number"}, $B143))) &gt; 0, $B143, IF(SUMPRODUCT(-- ISNUMBER(SEARCH({"Lookup","Master-Detail"}, $B143))) &gt; 0,$B143 &amp; "(" &amp; $E143 &amp; ")",IF(SUMPRODUCT(-- ISNUMBER(SEARCH({"Formula","Roll-Up Summary"}, $B143))) &gt; 0,$B143 &amp; " (" &amp; $E143 &amp; ")",IF(SUMPRODUCT(-- ISNUMBER(SEARCH({"Content","Currency","Number","Percent","Text","URL"}, $B143))) &gt; 0,$B143 &amp; "(" &amp; $C143 &amp; ")",$B143)))), "  ", TRIM(IF($S143 = "YES", "(External ID)", "") &amp; " " &amp; IF(SUMPRODUCT(-- ISNUMBER(SEARCH({"Unique","Unique Case Insensitive"}, $R143))) &gt; 0, "(" &amp; $R143 &amp; ")", ""))))</f>
        <v>na</v>
      </c>
      <c r="E143" s="7" t="s">
        <v>195</v>
      </c>
      <c r="F143" s="7" t="s">
        <v>195</v>
      </c>
      <c r="G143" s="7" t="s">
        <v>195</v>
      </c>
      <c r="H143" s="7" t="s">
        <v>195</v>
      </c>
      <c r="I143" s="7" t="s">
        <v>195</v>
      </c>
      <c r="J143" s="7" t="s">
        <v>195</v>
      </c>
      <c r="K143" s="7" t="s">
        <v>195</v>
      </c>
      <c r="L143" s="7" t="s">
        <v>195</v>
      </c>
      <c r="M143" s="7" t="s">
        <v>29</v>
      </c>
      <c r="N143" s="7" t="s">
        <v>29</v>
      </c>
      <c r="O143" s="7" t="s">
        <v>29</v>
      </c>
      <c r="P143" s="7" t="s">
        <v>29</v>
      </c>
      <c r="Q143" s="7" t="s">
        <v>29</v>
      </c>
      <c r="R143" s="7" t="s">
        <v>29</v>
      </c>
      <c r="S143" s="7" t="s">
        <v>29</v>
      </c>
    </row>
    <row r="144" spans="2:19">
      <c r="B144" s="7" t="s">
        <v>195</v>
      </c>
      <c r="C144" s="8" t="s">
        <v>195</v>
      </c>
      <c r="D144" s="5" t="str">
        <f>LRTRIM(CONCATENATE(IF(SUMPRODUCT(-- ISNUMBER(SEARCH({"Auto Number"}, $B144))) &gt; 0, $B144, IF(SUMPRODUCT(-- ISNUMBER(SEARCH({"Lookup","Master-Detail"}, $B144))) &gt; 0,$B144 &amp; "(" &amp; $E144 &amp; ")",IF(SUMPRODUCT(-- ISNUMBER(SEARCH({"Formula","Roll-Up Summary"}, $B144))) &gt; 0,$B144 &amp; " (" &amp; $E144 &amp; ")",IF(SUMPRODUCT(-- ISNUMBER(SEARCH({"Content","Currency","Number","Percent","Text","URL"}, $B144))) &gt; 0,$B144 &amp; "(" &amp; $C144 &amp; ")",$B144)))), "  ", TRIM(IF($S144 = "YES", "(External ID)", "") &amp; " " &amp; IF(SUMPRODUCT(-- ISNUMBER(SEARCH({"Unique","Unique Case Insensitive"}, $R144))) &gt; 0, "(" &amp; $R144 &amp; ")", ""))))</f>
        <v>na</v>
      </c>
      <c r="E144" s="7" t="s">
        <v>195</v>
      </c>
      <c r="F144" s="7" t="s">
        <v>195</v>
      </c>
      <c r="G144" s="7" t="s">
        <v>195</v>
      </c>
      <c r="H144" s="7" t="s">
        <v>195</v>
      </c>
      <c r="I144" s="7" t="s">
        <v>195</v>
      </c>
      <c r="J144" s="7" t="s">
        <v>195</v>
      </c>
      <c r="K144" s="7" t="s">
        <v>195</v>
      </c>
      <c r="L144" s="7" t="s">
        <v>195</v>
      </c>
      <c r="M144" s="7" t="s">
        <v>29</v>
      </c>
      <c r="N144" s="7" t="s">
        <v>29</v>
      </c>
      <c r="O144" s="7" t="s">
        <v>29</v>
      </c>
      <c r="P144" s="7" t="s">
        <v>29</v>
      </c>
      <c r="Q144" s="7" t="s">
        <v>29</v>
      </c>
      <c r="R144" s="7" t="s">
        <v>29</v>
      </c>
      <c r="S144" s="7" t="s">
        <v>29</v>
      </c>
    </row>
    <row r="145" spans="2:19">
      <c r="B145" s="7" t="s">
        <v>195</v>
      </c>
      <c r="C145" s="8" t="s">
        <v>195</v>
      </c>
      <c r="D145" s="5" t="str">
        <f>LRTRIM(CONCATENATE(IF(SUMPRODUCT(-- ISNUMBER(SEARCH({"Auto Number"}, $B145))) &gt; 0, $B145, IF(SUMPRODUCT(-- ISNUMBER(SEARCH({"Lookup","Master-Detail"}, $B145))) &gt; 0,$B145 &amp; "(" &amp; $E145 &amp; ")",IF(SUMPRODUCT(-- ISNUMBER(SEARCH({"Formula","Roll-Up Summary"}, $B145))) &gt; 0,$B145 &amp; " (" &amp; $E145 &amp; ")",IF(SUMPRODUCT(-- ISNUMBER(SEARCH({"Content","Currency","Number","Percent","Text","URL"}, $B145))) &gt; 0,$B145 &amp; "(" &amp; $C145 &amp; ")",$B145)))), "  ", TRIM(IF($S145 = "YES", "(External ID)", "") &amp; " " &amp; IF(SUMPRODUCT(-- ISNUMBER(SEARCH({"Unique","Unique Case Insensitive"}, $R145))) &gt; 0, "(" &amp; $R145 &amp; ")", ""))))</f>
        <v>na</v>
      </c>
      <c r="E145" s="7" t="s">
        <v>195</v>
      </c>
      <c r="F145" s="7" t="s">
        <v>195</v>
      </c>
      <c r="G145" s="7" t="s">
        <v>195</v>
      </c>
      <c r="H145" s="7" t="s">
        <v>195</v>
      </c>
      <c r="I145" s="7" t="s">
        <v>195</v>
      </c>
      <c r="J145" s="7" t="s">
        <v>195</v>
      </c>
      <c r="K145" s="7" t="s">
        <v>195</v>
      </c>
      <c r="L145" s="7" t="s">
        <v>195</v>
      </c>
      <c r="M145" s="7" t="s">
        <v>29</v>
      </c>
      <c r="N145" s="7" t="s">
        <v>29</v>
      </c>
      <c r="O145" s="7" t="s">
        <v>29</v>
      </c>
      <c r="P145" s="7" t="s">
        <v>29</v>
      </c>
      <c r="Q145" s="7" t="s">
        <v>29</v>
      </c>
      <c r="R145" s="7" t="s">
        <v>29</v>
      </c>
      <c r="S145" s="7" t="s">
        <v>29</v>
      </c>
    </row>
    <row r="146" spans="2:19">
      <c r="B146" s="7" t="s">
        <v>195</v>
      </c>
      <c r="C146" s="8" t="s">
        <v>195</v>
      </c>
      <c r="D146" s="5" t="str">
        <f>LRTRIM(CONCATENATE(IF(SUMPRODUCT(-- ISNUMBER(SEARCH({"Auto Number"}, $B146))) &gt; 0, $B146, IF(SUMPRODUCT(-- ISNUMBER(SEARCH({"Lookup","Master-Detail"}, $B146))) &gt; 0,$B146 &amp; "(" &amp; $E146 &amp; ")",IF(SUMPRODUCT(-- ISNUMBER(SEARCH({"Formula","Roll-Up Summary"}, $B146))) &gt; 0,$B146 &amp; " (" &amp; $E146 &amp; ")",IF(SUMPRODUCT(-- ISNUMBER(SEARCH({"Content","Currency","Number","Percent","Text","URL"}, $B146))) &gt; 0,$B146 &amp; "(" &amp; $C146 &amp; ")",$B146)))), "  ", TRIM(IF($S146 = "YES", "(External ID)", "") &amp; " " &amp; IF(SUMPRODUCT(-- ISNUMBER(SEARCH({"Unique","Unique Case Insensitive"}, $R146))) &gt; 0, "(" &amp; $R146 &amp; ")", ""))))</f>
        <v>na</v>
      </c>
      <c r="E146" s="7" t="s">
        <v>195</v>
      </c>
      <c r="F146" s="7" t="s">
        <v>195</v>
      </c>
      <c r="G146" s="7" t="s">
        <v>195</v>
      </c>
      <c r="H146" s="7" t="s">
        <v>195</v>
      </c>
      <c r="I146" s="7" t="s">
        <v>195</v>
      </c>
      <c r="J146" s="7" t="s">
        <v>195</v>
      </c>
      <c r="K146" s="7" t="s">
        <v>195</v>
      </c>
      <c r="L146" s="7" t="s">
        <v>195</v>
      </c>
      <c r="M146" s="7" t="s">
        <v>29</v>
      </c>
      <c r="N146" s="7" t="s">
        <v>29</v>
      </c>
      <c r="O146" s="7" t="s">
        <v>29</v>
      </c>
      <c r="P146" s="7" t="s">
        <v>29</v>
      </c>
      <c r="Q146" s="7" t="s">
        <v>29</v>
      </c>
      <c r="R146" s="7" t="s">
        <v>29</v>
      </c>
      <c r="S146" s="7" t="s">
        <v>29</v>
      </c>
    </row>
    <row r="147" spans="2:19">
      <c r="B147" s="7" t="s">
        <v>195</v>
      </c>
      <c r="C147" s="8" t="s">
        <v>195</v>
      </c>
      <c r="D147" s="5" t="str">
        <f>LRTRIM(CONCATENATE(IF(SUMPRODUCT(-- ISNUMBER(SEARCH({"Auto Number"}, $B147))) &gt; 0, $B147, IF(SUMPRODUCT(-- ISNUMBER(SEARCH({"Lookup","Master-Detail"}, $B147))) &gt; 0,$B147 &amp; "(" &amp; $E147 &amp; ")",IF(SUMPRODUCT(-- ISNUMBER(SEARCH({"Formula","Roll-Up Summary"}, $B147))) &gt; 0,$B147 &amp; " (" &amp; $E147 &amp; ")",IF(SUMPRODUCT(-- ISNUMBER(SEARCH({"Content","Currency","Number","Percent","Text","URL"}, $B147))) &gt; 0,$B147 &amp; "(" &amp; $C147 &amp; ")",$B147)))), "  ", TRIM(IF($S147 = "YES", "(External ID)", "") &amp; " " &amp; IF(SUMPRODUCT(-- ISNUMBER(SEARCH({"Unique","Unique Case Insensitive"}, $R147))) &gt; 0, "(" &amp; $R147 &amp; ")", ""))))</f>
        <v>na</v>
      </c>
      <c r="E147" s="7" t="s">
        <v>195</v>
      </c>
      <c r="F147" s="7" t="s">
        <v>195</v>
      </c>
      <c r="G147" s="7" t="s">
        <v>195</v>
      </c>
      <c r="H147" s="7" t="s">
        <v>195</v>
      </c>
      <c r="I147" s="7" t="s">
        <v>195</v>
      </c>
      <c r="J147" s="7" t="s">
        <v>195</v>
      </c>
      <c r="K147" s="7" t="s">
        <v>195</v>
      </c>
      <c r="L147" s="7" t="s">
        <v>195</v>
      </c>
      <c r="M147" s="7" t="s">
        <v>29</v>
      </c>
      <c r="N147" s="7" t="s">
        <v>29</v>
      </c>
      <c r="O147" s="7" t="s">
        <v>29</v>
      </c>
      <c r="P147" s="7" t="s">
        <v>29</v>
      </c>
      <c r="Q147" s="7" t="s">
        <v>29</v>
      </c>
      <c r="R147" s="7" t="s">
        <v>29</v>
      </c>
      <c r="S147" s="7" t="s">
        <v>29</v>
      </c>
    </row>
    <row r="148" spans="2:19">
      <c r="B148" s="7" t="s">
        <v>195</v>
      </c>
      <c r="C148" s="8" t="s">
        <v>195</v>
      </c>
      <c r="D148" s="5" t="str">
        <f>LRTRIM(CONCATENATE(IF(SUMPRODUCT(-- ISNUMBER(SEARCH({"Auto Number"}, $B148))) &gt; 0, $B148, IF(SUMPRODUCT(-- ISNUMBER(SEARCH({"Lookup","Master-Detail"}, $B148))) &gt; 0,$B148 &amp; "(" &amp; $E148 &amp; ")",IF(SUMPRODUCT(-- ISNUMBER(SEARCH({"Formula","Roll-Up Summary"}, $B148))) &gt; 0,$B148 &amp; " (" &amp; $E148 &amp; ")",IF(SUMPRODUCT(-- ISNUMBER(SEARCH({"Content","Currency","Number","Percent","Text","URL"}, $B148))) &gt; 0,$B148 &amp; "(" &amp; $C148 &amp; ")",$B148)))), "  ", TRIM(IF($S148 = "YES", "(External ID)", "") &amp; " " &amp; IF(SUMPRODUCT(-- ISNUMBER(SEARCH({"Unique","Unique Case Insensitive"}, $R148))) &gt; 0, "(" &amp; $R148 &amp; ")", ""))))</f>
        <v>na</v>
      </c>
      <c r="E148" s="7" t="s">
        <v>195</v>
      </c>
      <c r="F148" s="7" t="s">
        <v>195</v>
      </c>
      <c r="G148" s="7" t="s">
        <v>195</v>
      </c>
      <c r="H148" s="7" t="s">
        <v>195</v>
      </c>
      <c r="I148" s="7" t="s">
        <v>195</v>
      </c>
      <c r="J148" s="7" t="s">
        <v>195</v>
      </c>
      <c r="K148" s="7" t="s">
        <v>195</v>
      </c>
      <c r="L148" s="7" t="s">
        <v>195</v>
      </c>
      <c r="M148" s="7" t="s">
        <v>29</v>
      </c>
      <c r="N148" s="7" t="s">
        <v>29</v>
      </c>
      <c r="O148" s="7" t="s">
        <v>29</v>
      </c>
      <c r="P148" s="7" t="s">
        <v>29</v>
      </c>
      <c r="Q148" s="7" t="s">
        <v>29</v>
      </c>
      <c r="R148" s="7" t="s">
        <v>29</v>
      </c>
      <c r="S148" s="7" t="s">
        <v>29</v>
      </c>
    </row>
    <row r="149" spans="2:19">
      <c r="B149" s="7" t="s">
        <v>195</v>
      </c>
      <c r="C149" s="8" t="s">
        <v>195</v>
      </c>
      <c r="D149" s="5" t="str">
        <f>LRTRIM(CONCATENATE(IF(SUMPRODUCT(-- ISNUMBER(SEARCH({"Auto Number"}, $B149))) &gt; 0, $B149, IF(SUMPRODUCT(-- ISNUMBER(SEARCH({"Lookup","Master-Detail"}, $B149))) &gt; 0,$B149 &amp; "(" &amp; $E149 &amp; ")",IF(SUMPRODUCT(-- ISNUMBER(SEARCH({"Formula","Roll-Up Summary"}, $B149))) &gt; 0,$B149 &amp; " (" &amp; $E149 &amp; ")",IF(SUMPRODUCT(-- ISNUMBER(SEARCH({"Content","Currency","Number","Percent","Text","URL"}, $B149))) &gt; 0,$B149 &amp; "(" &amp; $C149 &amp; ")",$B149)))), "  ", TRIM(IF($S149 = "YES", "(External ID)", "") &amp; " " &amp; IF(SUMPRODUCT(-- ISNUMBER(SEARCH({"Unique","Unique Case Insensitive"}, $R149))) &gt; 0, "(" &amp; $R149 &amp; ")", ""))))</f>
        <v>na</v>
      </c>
      <c r="E149" s="7" t="s">
        <v>195</v>
      </c>
      <c r="F149" s="7" t="s">
        <v>195</v>
      </c>
      <c r="G149" s="7" t="s">
        <v>195</v>
      </c>
      <c r="H149" s="7" t="s">
        <v>195</v>
      </c>
      <c r="I149" s="7" t="s">
        <v>195</v>
      </c>
      <c r="J149" s="7" t="s">
        <v>195</v>
      </c>
      <c r="K149" s="7" t="s">
        <v>195</v>
      </c>
      <c r="L149" s="7" t="s">
        <v>195</v>
      </c>
      <c r="M149" s="7" t="s">
        <v>29</v>
      </c>
      <c r="N149" s="7" t="s">
        <v>29</v>
      </c>
      <c r="O149" s="7" t="s">
        <v>29</v>
      </c>
      <c r="P149" s="7" t="s">
        <v>29</v>
      </c>
      <c r="Q149" s="7" t="s">
        <v>29</v>
      </c>
      <c r="R149" s="7" t="s">
        <v>29</v>
      </c>
      <c r="S149" s="7" t="s">
        <v>29</v>
      </c>
    </row>
    <row r="150" spans="2:19">
      <c r="B150" s="7" t="s">
        <v>195</v>
      </c>
      <c r="C150" s="8" t="s">
        <v>195</v>
      </c>
      <c r="D150" s="5" t="str">
        <f>LRTRIM(CONCATENATE(IF(SUMPRODUCT(-- ISNUMBER(SEARCH({"Auto Number"}, $B150))) &gt; 0, $B150, IF(SUMPRODUCT(-- ISNUMBER(SEARCH({"Lookup","Master-Detail"}, $B150))) &gt; 0,$B150 &amp; "(" &amp; $E150 &amp; ")",IF(SUMPRODUCT(-- ISNUMBER(SEARCH({"Formula","Roll-Up Summary"}, $B150))) &gt; 0,$B150 &amp; " (" &amp; $E150 &amp; ")",IF(SUMPRODUCT(-- ISNUMBER(SEARCH({"Content","Currency","Number","Percent","Text","URL"}, $B150))) &gt; 0,$B150 &amp; "(" &amp; $C150 &amp; ")",$B150)))), "  ", TRIM(IF($S150 = "YES", "(External ID)", "") &amp; " " &amp; IF(SUMPRODUCT(-- ISNUMBER(SEARCH({"Unique","Unique Case Insensitive"}, $R150))) &gt; 0, "(" &amp; $R150 &amp; ")", ""))))</f>
        <v>na</v>
      </c>
      <c r="E150" s="7" t="s">
        <v>195</v>
      </c>
      <c r="F150" s="7" t="s">
        <v>195</v>
      </c>
      <c r="G150" s="7" t="s">
        <v>195</v>
      </c>
      <c r="H150" s="7" t="s">
        <v>195</v>
      </c>
      <c r="I150" s="7" t="s">
        <v>195</v>
      </c>
      <c r="J150" s="7" t="s">
        <v>195</v>
      </c>
      <c r="K150" s="7" t="s">
        <v>195</v>
      </c>
      <c r="L150" s="7" t="s">
        <v>195</v>
      </c>
      <c r="M150" s="7" t="s">
        <v>29</v>
      </c>
      <c r="N150" s="7" t="s">
        <v>29</v>
      </c>
      <c r="O150" s="7" t="s">
        <v>29</v>
      </c>
      <c r="P150" s="7" t="s">
        <v>29</v>
      </c>
      <c r="Q150" s="7" t="s">
        <v>29</v>
      </c>
      <c r="R150" s="7" t="s">
        <v>29</v>
      </c>
      <c r="S150" s="7" t="s">
        <v>29</v>
      </c>
    </row>
    <row r="151" spans="2:19">
      <c r="B151" s="7" t="s">
        <v>195</v>
      </c>
      <c r="C151" s="8" t="s">
        <v>195</v>
      </c>
      <c r="D151" s="5" t="str">
        <f>LRTRIM(CONCATENATE(IF(SUMPRODUCT(-- ISNUMBER(SEARCH({"Auto Number"}, $B151))) &gt; 0, $B151, IF(SUMPRODUCT(-- ISNUMBER(SEARCH({"Lookup","Master-Detail"}, $B151))) &gt; 0,$B151 &amp; "(" &amp; $E151 &amp; ")",IF(SUMPRODUCT(-- ISNUMBER(SEARCH({"Formula","Roll-Up Summary"}, $B151))) &gt; 0,$B151 &amp; " (" &amp; $E151 &amp; ")",IF(SUMPRODUCT(-- ISNUMBER(SEARCH({"Content","Currency","Number","Percent","Text","URL"}, $B151))) &gt; 0,$B151 &amp; "(" &amp; $C151 &amp; ")",$B151)))), "  ", TRIM(IF($S151 = "YES", "(External ID)", "") &amp; " " &amp; IF(SUMPRODUCT(-- ISNUMBER(SEARCH({"Unique","Unique Case Insensitive"}, $R151))) &gt; 0, "(" &amp; $R151 &amp; ")", ""))))</f>
        <v>na</v>
      </c>
      <c r="E151" s="7" t="s">
        <v>195</v>
      </c>
      <c r="F151" s="7" t="s">
        <v>195</v>
      </c>
      <c r="G151" s="7" t="s">
        <v>195</v>
      </c>
      <c r="H151" s="7" t="s">
        <v>195</v>
      </c>
      <c r="I151" s="7" t="s">
        <v>195</v>
      </c>
      <c r="J151" s="7" t="s">
        <v>195</v>
      </c>
      <c r="K151" s="7" t="s">
        <v>195</v>
      </c>
      <c r="L151" s="7" t="s">
        <v>195</v>
      </c>
      <c r="M151" s="7" t="s">
        <v>29</v>
      </c>
      <c r="N151" s="7" t="s">
        <v>29</v>
      </c>
      <c r="O151" s="7" t="s">
        <v>29</v>
      </c>
      <c r="P151" s="7" t="s">
        <v>29</v>
      </c>
      <c r="Q151" s="7" t="s">
        <v>29</v>
      </c>
      <c r="R151" s="7" t="s">
        <v>29</v>
      </c>
      <c r="S151" s="7" t="s">
        <v>29</v>
      </c>
    </row>
    <row r="152" spans="2:19">
      <c r="B152" s="7" t="s">
        <v>195</v>
      </c>
      <c r="C152" s="8" t="s">
        <v>195</v>
      </c>
      <c r="D152" s="5" t="str">
        <f>LRTRIM(CONCATENATE(IF(SUMPRODUCT(-- ISNUMBER(SEARCH({"Auto Number"}, $B152))) &gt; 0, $B152, IF(SUMPRODUCT(-- ISNUMBER(SEARCH({"Lookup","Master-Detail"}, $B152))) &gt; 0,$B152 &amp; "(" &amp; $E152 &amp; ")",IF(SUMPRODUCT(-- ISNUMBER(SEARCH({"Formula","Roll-Up Summary"}, $B152))) &gt; 0,$B152 &amp; " (" &amp; $E152 &amp; ")",IF(SUMPRODUCT(-- ISNUMBER(SEARCH({"Content","Currency","Number","Percent","Text","URL"}, $B152))) &gt; 0,$B152 &amp; "(" &amp; $C152 &amp; ")",$B152)))), "  ", TRIM(IF($S152 = "YES", "(External ID)", "") &amp; " " &amp; IF(SUMPRODUCT(-- ISNUMBER(SEARCH({"Unique","Unique Case Insensitive"}, $R152))) &gt; 0, "(" &amp; $R152 &amp; ")", ""))))</f>
        <v>na</v>
      </c>
      <c r="E152" s="7" t="s">
        <v>195</v>
      </c>
      <c r="F152" s="7" t="s">
        <v>195</v>
      </c>
      <c r="G152" s="7" t="s">
        <v>195</v>
      </c>
      <c r="H152" s="7" t="s">
        <v>195</v>
      </c>
      <c r="I152" s="7" t="s">
        <v>195</v>
      </c>
      <c r="J152" s="7" t="s">
        <v>195</v>
      </c>
      <c r="K152" s="7" t="s">
        <v>195</v>
      </c>
      <c r="L152" s="7" t="s">
        <v>195</v>
      </c>
      <c r="M152" s="7" t="s">
        <v>29</v>
      </c>
      <c r="N152" s="7" t="s">
        <v>29</v>
      </c>
      <c r="O152" s="7" t="s">
        <v>29</v>
      </c>
      <c r="P152" s="7" t="s">
        <v>29</v>
      </c>
      <c r="Q152" s="7" t="s">
        <v>29</v>
      </c>
      <c r="R152" s="7" t="s">
        <v>29</v>
      </c>
      <c r="S152" s="7" t="s">
        <v>29</v>
      </c>
    </row>
    <row r="153" spans="2:19">
      <c r="B153" s="7" t="s">
        <v>195</v>
      </c>
      <c r="C153" s="8" t="s">
        <v>195</v>
      </c>
      <c r="D153" s="5" t="str">
        <f>LRTRIM(CONCATENATE(IF(SUMPRODUCT(-- ISNUMBER(SEARCH({"Auto Number"}, $B153))) &gt; 0, $B153, IF(SUMPRODUCT(-- ISNUMBER(SEARCH({"Lookup","Master-Detail"}, $B153))) &gt; 0,$B153 &amp; "(" &amp; $E153 &amp; ")",IF(SUMPRODUCT(-- ISNUMBER(SEARCH({"Formula","Roll-Up Summary"}, $B153))) &gt; 0,$B153 &amp; " (" &amp; $E153 &amp; ")",IF(SUMPRODUCT(-- ISNUMBER(SEARCH({"Content","Currency","Number","Percent","Text","URL"}, $B153))) &gt; 0,$B153 &amp; "(" &amp; $C153 &amp; ")",$B153)))), "  ", TRIM(IF($S153 = "YES", "(External ID)", "") &amp; " " &amp; IF(SUMPRODUCT(-- ISNUMBER(SEARCH({"Unique","Unique Case Insensitive"}, $R153))) &gt; 0, "(" &amp; $R153 &amp; ")", ""))))</f>
        <v>na</v>
      </c>
      <c r="E153" s="7" t="s">
        <v>195</v>
      </c>
      <c r="F153" s="7" t="s">
        <v>195</v>
      </c>
      <c r="G153" s="7" t="s">
        <v>195</v>
      </c>
      <c r="H153" s="7" t="s">
        <v>195</v>
      </c>
      <c r="I153" s="7" t="s">
        <v>195</v>
      </c>
      <c r="J153" s="7" t="s">
        <v>195</v>
      </c>
      <c r="K153" s="7" t="s">
        <v>195</v>
      </c>
      <c r="L153" s="7" t="s">
        <v>195</v>
      </c>
      <c r="M153" s="7" t="s">
        <v>29</v>
      </c>
      <c r="N153" s="7" t="s">
        <v>29</v>
      </c>
      <c r="O153" s="7" t="s">
        <v>29</v>
      </c>
      <c r="P153" s="7" t="s">
        <v>29</v>
      </c>
      <c r="Q153" s="7" t="s">
        <v>29</v>
      </c>
      <c r="R153" s="7" t="s">
        <v>29</v>
      </c>
      <c r="S153" s="7" t="s">
        <v>29</v>
      </c>
    </row>
    <row r="154" spans="2:19">
      <c r="B154" s="7" t="s">
        <v>195</v>
      </c>
      <c r="C154" s="8" t="s">
        <v>195</v>
      </c>
      <c r="D154" s="5" t="str">
        <f>LRTRIM(CONCATENATE(IF(SUMPRODUCT(-- ISNUMBER(SEARCH({"Auto Number"}, $B154))) &gt; 0, $B154, IF(SUMPRODUCT(-- ISNUMBER(SEARCH({"Lookup","Master-Detail"}, $B154))) &gt; 0,$B154 &amp; "(" &amp; $E154 &amp; ")",IF(SUMPRODUCT(-- ISNUMBER(SEARCH({"Formula","Roll-Up Summary"}, $B154))) &gt; 0,$B154 &amp; " (" &amp; $E154 &amp; ")",IF(SUMPRODUCT(-- ISNUMBER(SEARCH({"Content","Currency","Number","Percent","Text","URL"}, $B154))) &gt; 0,$B154 &amp; "(" &amp; $C154 &amp; ")",$B154)))), "  ", TRIM(IF($S154 = "YES", "(External ID)", "") &amp; " " &amp; IF(SUMPRODUCT(-- ISNUMBER(SEARCH({"Unique","Unique Case Insensitive"}, $R154))) &gt; 0, "(" &amp; $R154 &amp; ")", ""))))</f>
        <v>na</v>
      </c>
      <c r="E154" s="7" t="s">
        <v>195</v>
      </c>
      <c r="F154" s="7" t="s">
        <v>195</v>
      </c>
      <c r="G154" s="7" t="s">
        <v>195</v>
      </c>
      <c r="H154" s="7" t="s">
        <v>195</v>
      </c>
      <c r="I154" s="7" t="s">
        <v>195</v>
      </c>
      <c r="J154" s="7" t="s">
        <v>195</v>
      </c>
      <c r="K154" s="7" t="s">
        <v>195</v>
      </c>
      <c r="L154" s="7" t="s">
        <v>195</v>
      </c>
      <c r="M154" s="7" t="s">
        <v>29</v>
      </c>
      <c r="N154" s="7" t="s">
        <v>29</v>
      </c>
      <c r="O154" s="7" t="s">
        <v>29</v>
      </c>
      <c r="P154" s="7" t="s">
        <v>29</v>
      </c>
      <c r="Q154" s="7" t="s">
        <v>29</v>
      </c>
      <c r="R154" s="7" t="s">
        <v>29</v>
      </c>
      <c r="S154" s="7" t="s">
        <v>29</v>
      </c>
    </row>
    <row r="155" spans="2:19">
      <c r="B155" s="7" t="s">
        <v>195</v>
      </c>
      <c r="C155" s="8" t="s">
        <v>195</v>
      </c>
      <c r="D155" s="5" t="str">
        <f>LRTRIM(CONCATENATE(IF(SUMPRODUCT(-- ISNUMBER(SEARCH({"Auto Number"}, $B155))) &gt; 0, $B155, IF(SUMPRODUCT(-- ISNUMBER(SEARCH({"Lookup","Master-Detail"}, $B155))) &gt; 0,$B155 &amp; "(" &amp; $E155 &amp; ")",IF(SUMPRODUCT(-- ISNUMBER(SEARCH({"Formula","Roll-Up Summary"}, $B155))) &gt; 0,$B155 &amp; " (" &amp; $E155 &amp; ")",IF(SUMPRODUCT(-- ISNUMBER(SEARCH({"Content","Currency","Number","Percent","Text","URL"}, $B155))) &gt; 0,$B155 &amp; "(" &amp; $C155 &amp; ")",$B155)))), "  ", TRIM(IF($S155 = "YES", "(External ID)", "") &amp; " " &amp; IF(SUMPRODUCT(-- ISNUMBER(SEARCH({"Unique","Unique Case Insensitive"}, $R155))) &gt; 0, "(" &amp; $R155 &amp; ")", ""))))</f>
        <v>na</v>
      </c>
      <c r="E155" s="7" t="s">
        <v>195</v>
      </c>
      <c r="F155" s="7" t="s">
        <v>195</v>
      </c>
      <c r="G155" s="7" t="s">
        <v>195</v>
      </c>
      <c r="H155" s="7" t="s">
        <v>195</v>
      </c>
      <c r="I155" s="7" t="s">
        <v>195</v>
      </c>
      <c r="J155" s="7" t="s">
        <v>195</v>
      </c>
      <c r="K155" s="7" t="s">
        <v>195</v>
      </c>
      <c r="L155" s="7" t="s">
        <v>195</v>
      </c>
      <c r="M155" s="7" t="s">
        <v>29</v>
      </c>
      <c r="N155" s="7" t="s">
        <v>29</v>
      </c>
      <c r="O155" s="7" t="s">
        <v>29</v>
      </c>
      <c r="P155" s="7" t="s">
        <v>29</v>
      </c>
      <c r="Q155" s="7" t="s">
        <v>29</v>
      </c>
      <c r="R155" s="7" t="s">
        <v>29</v>
      </c>
      <c r="S155" s="7" t="s">
        <v>29</v>
      </c>
    </row>
    <row r="156" spans="2:19">
      <c r="B156" s="7" t="s">
        <v>195</v>
      </c>
      <c r="C156" s="8" t="s">
        <v>195</v>
      </c>
      <c r="D156" s="5" t="str">
        <f>LRTRIM(CONCATENATE(IF(SUMPRODUCT(-- ISNUMBER(SEARCH({"Auto Number"}, $B156))) &gt; 0, $B156, IF(SUMPRODUCT(-- ISNUMBER(SEARCH({"Lookup","Master-Detail"}, $B156))) &gt; 0,$B156 &amp; "(" &amp; $E156 &amp; ")",IF(SUMPRODUCT(-- ISNUMBER(SEARCH({"Formula","Roll-Up Summary"}, $B156))) &gt; 0,$B156 &amp; " (" &amp; $E156 &amp; ")",IF(SUMPRODUCT(-- ISNUMBER(SEARCH({"Content","Currency","Number","Percent","Text","URL"}, $B156))) &gt; 0,$B156 &amp; "(" &amp; $C156 &amp; ")",$B156)))), "  ", TRIM(IF($S156 = "YES", "(External ID)", "") &amp; " " &amp; IF(SUMPRODUCT(-- ISNUMBER(SEARCH({"Unique","Unique Case Insensitive"}, $R156))) &gt; 0, "(" &amp; $R156 &amp; ")", ""))))</f>
        <v>na</v>
      </c>
      <c r="E156" s="7" t="s">
        <v>195</v>
      </c>
      <c r="F156" s="7" t="s">
        <v>195</v>
      </c>
      <c r="G156" s="7" t="s">
        <v>195</v>
      </c>
      <c r="H156" s="7" t="s">
        <v>195</v>
      </c>
      <c r="I156" s="7" t="s">
        <v>195</v>
      </c>
      <c r="J156" s="7" t="s">
        <v>195</v>
      </c>
      <c r="K156" s="7" t="s">
        <v>195</v>
      </c>
      <c r="L156" s="7" t="s">
        <v>195</v>
      </c>
      <c r="M156" s="7" t="s">
        <v>29</v>
      </c>
      <c r="N156" s="7" t="s">
        <v>29</v>
      </c>
      <c r="O156" s="7" t="s">
        <v>29</v>
      </c>
      <c r="P156" s="7" t="s">
        <v>29</v>
      </c>
      <c r="Q156" s="7" t="s">
        <v>29</v>
      </c>
      <c r="R156" s="7" t="s">
        <v>29</v>
      </c>
      <c r="S156" s="7" t="s">
        <v>29</v>
      </c>
    </row>
    <row r="157" spans="2:19">
      <c r="B157" s="7" t="s">
        <v>195</v>
      </c>
      <c r="C157" s="8" t="s">
        <v>195</v>
      </c>
      <c r="D157" s="5" t="str">
        <f>LRTRIM(CONCATENATE(IF(SUMPRODUCT(-- ISNUMBER(SEARCH({"Auto Number"}, $B157))) &gt; 0, $B157, IF(SUMPRODUCT(-- ISNUMBER(SEARCH({"Lookup","Master-Detail"}, $B157))) &gt; 0,$B157 &amp; "(" &amp; $E157 &amp; ")",IF(SUMPRODUCT(-- ISNUMBER(SEARCH({"Formula","Roll-Up Summary"}, $B157))) &gt; 0,$B157 &amp; " (" &amp; $E157 &amp; ")",IF(SUMPRODUCT(-- ISNUMBER(SEARCH({"Content","Currency","Number","Percent","Text","URL"}, $B157))) &gt; 0,$B157 &amp; "(" &amp; $C157 &amp; ")",$B157)))), "  ", TRIM(IF($S157 = "YES", "(External ID)", "") &amp; " " &amp; IF(SUMPRODUCT(-- ISNUMBER(SEARCH({"Unique","Unique Case Insensitive"}, $R157))) &gt; 0, "(" &amp; $R157 &amp; ")", ""))))</f>
        <v>na</v>
      </c>
      <c r="E157" s="7" t="s">
        <v>195</v>
      </c>
      <c r="F157" s="7" t="s">
        <v>195</v>
      </c>
      <c r="G157" s="7" t="s">
        <v>195</v>
      </c>
      <c r="H157" s="7" t="s">
        <v>195</v>
      </c>
      <c r="I157" s="7" t="s">
        <v>195</v>
      </c>
      <c r="J157" s="7" t="s">
        <v>195</v>
      </c>
      <c r="K157" s="7" t="s">
        <v>195</v>
      </c>
      <c r="L157" s="7" t="s">
        <v>195</v>
      </c>
      <c r="M157" s="7" t="s">
        <v>29</v>
      </c>
      <c r="N157" s="7" t="s">
        <v>29</v>
      </c>
      <c r="O157" s="7" t="s">
        <v>29</v>
      </c>
      <c r="P157" s="7" t="s">
        <v>29</v>
      </c>
      <c r="Q157" s="7" t="s">
        <v>29</v>
      </c>
      <c r="R157" s="7" t="s">
        <v>29</v>
      </c>
      <c r="S157" s="7" t="s">
        <v>29</v>
      </c>
    </row>
    <row r="158" spans="2:19">
      <c r="B158" s="7" t="s">
        <v>195</v>
      </c>
      <c r="C158" s="8" t="s">
        <v>195</v>
      </c>
      <c r="D158" s="5" t="str">
        <f>LRTRIM(CONCATENATE(IF(SUMPRODUCT(-- ISNUMBER(SEARCH({"Auto Number"}, $B158))) &gt; 0, $B158, IF(SUMPRODUCT(-- ISNUMBER(SEARCH({"Lookup","Master-Detail"}, $B158))) &gt; 0,$B158 &amp; "(" &amp; $E158 &amp; ")",IF(SUMPRODUCT(-- ISNUMBER(SEARCH({"Formula","Roll-Up Summary"}, $B158))) &gt; 0,$B158 &amp; " (" &amp; $E158 &amp; ")",IF(SUMPRODUCT(-- ISNUMBER(SEARCH({"Content","Currency","Number","Percent","Text","URL"}, $B158))) &gt; 0,$B158 &amp; "(" &amp; $C158 &amp; ")",$B158)))), "  ", TRIM(IF($S158 = "YES", "(External ID)", "") &amp; " " &amp; IF(SUMPRODUCT(-- ISNUMBER(SEARCH({"Unique","Unique Case Insensitive"}, $R158))) &gt; 0, "(" &amp; $R158 &amp; ")", ""))))</f>
        <v>na</v>
      </c>
      <c r="E158" s="7" t="s">
        <v>195</v>
      </c>
      <c r="F158" s="7" t="s">
        <v>195</v>
      </c>
      <c r="G158" s="7" t="s">
        <v>195</v>
      </c>
      <c r="H158" s="7" t="s">
        <v>195</v>
      </c>
      <c r="I158" s="7" t="s">
        <v>195</v>
      </c>
      <c r="J158" s="7" t="s">
        <v>195</v>
      </c>
      <c r="K158" s="7" t="s">
        <v>195</v>
      </c>
      <c r="L158" s="7" t="s">
        <v>195</v>
      </c>
      <c r="M158" s="7" t="s">
        <v>29</v>
      </c>
      <c r="N158" s="7" t="s">
        <v>29</v>
      </c>
      <c r="O158" s="7" t="s">
        <v>29</v>
      </c>
      <c r="P158" s="7" t="s">
        <v>29</v>
      </c>
      <c r="Q158" s="7" t="s">
        <v>29</v>
      </c>
      <c r="R158" s="7" t="s">
        <v>29</v>
      </c>
      <c r="S158" s="7" t="s">
        <v>29</v>
      </c>
    </row>
    <row r="159" spans="2:19">
      <c r="B159" s="7" t="s">
        <v>195</v>
      </c>
      <c r="C159" s="8" t="s">
        <v>195</v>
      </c>
      <c r="D159" s="5" t="str">
        <f>LRTRIM(CONCATENATE(IF(SUMPRODUCT(-- ISNUMBER(SEARCH({"Auto Number"}, $B159))) &gt; 0, $B159, IF(SUMPRODUCT(-- ISNUMBER(SEARCH({"Lookup","Master-Detail"}, $B159))) &gt; 0,$B159 &amp; "(" &amp; $E159 &amp; ")",IF(SUMPRODUCT(-- ISNUMBER(SEARCH({"Formula","Roll-Up Summary"}, $B159))) &gt; 0,$B159 &amp; " (" &amp; $E159 &amp; ")",IF(SUMPRODUCT(-- ISNUMBER(SEARCH({"Content","Currency","Number","Percent","Text","URL"}, $B159))) &gt; 0,$B159 &amp; "(" &amp; $C159 &amp; ")",$B159)))), "  ", TRIM(IF($S159 = "YES", "(External ID)", "") &amp; " " &amp; IF(SUMPRODUCT(-- ISNUMBER(SEARCH({"Unique","Unique Case Insensitive"}, $R159))) &gt; 0, "(" &amp; $R159 &amp; ")", ""))))</f>
        <v>na</v>
      </c>
      <c r="E159" s="7" t="s">
        <v>195</v>
      </c>
      <c r="F159" s="7" t="s">
        <v>195</v>
      </c>
      <c r="G159" s="7" t="s">
        <v>195</v>
      </c>
      <c r="H159" s="7" t="s">
        <v>195</v>
      </c>
      <c r="I159" s="7" t="s">
        <v>195</v>
      </c>
      <c r="J159" s="7" t="s">
        <v>195</v>
      </c>
      <c r="K159" s="7" t="s">
        <v>195</v>
      </c>
      <c r="L159" s="7" t="s">
        <v>195</v>
      </c>
      <c r="M159" s="7" t="s">
        <v>29</v>
      </c>
      <c r="N159" s="7" t="s">
        <v>29</v>
      </c>
      <c r="O159" s="7" t="s">
        <v>29</v>
      </c>
      <c r="P159" s="7" t="s">
        <v>29</v>
      </c>
      <c r="Q159" s="7" t="s">
        <v>29</v>
      </c>
      <c r="R159" s="7" t="s">
        <v>29</v>
      </c>
      <c r="S159" s="7" t="s">
        <v>29</v>
      </c>
    </row>
    <row r="160" spans="2:19">
      <c r="B160" s="7" t="s">
        <v>195</v>
      </c>
      <c r="C160" s="8" t="s">
        <v>195</v>
      </c>
      <c r="D160" s="5" t="str">
        <f>LRTRIM(CONCATENATE(IF(SUMPRODUCT(-- ISNUMBER(SEARCH({"Auto Number"}, $B160))) &gt; 0, $B160, IF(SUMPRODUCT(-- ISNUMBER(SEARCH({"Lookup","Master-Detail"}, $B160))) &gt; 0,$B160 &amp; "(" &amp; $E160 &amp; ")",IF(SUMPRODUCT(-- ISNUMBER(SEARCH({"Formula","Roll-Up Summary"}, $B160))) &gt; 0,$B160 &amp; " (" &amp; $E160 &amp; ")",IF(SUMPRODUCT(-- ISNUMBER(SEARCH({"Content","Currency","Number","Percent","Text","URL"}, $B160))) &gt; 0,$B160 &amp; "(" &amp; $C160 &amp; ")",$B160)))), "  ", TRIM(IF($S160 = "YES", "(External ID)", "") &amp; " " &amp; IF(SUMPRODUCT(-- ISNUMBER(SEARCH({"Unique","Unique Case Insensitive"}, $R160))) &gt; 0, "(" &amp; $R160 &amp; ")", ""))))</f>
        <v>na</v>
      </c>
      <c r="E160" s="7" t="s">
        <v>195</v>
      </c>
      <c r="F160" s="7" t="s">
        <v>195</v>
      </c>
      <c r="G160" s="7" t="s">
        <v>195</v>
      </c>
      <c r="H160" s="7" t="s">
        <v>195</v>
      </c>
      <c r="I160" s="7" t="s">
        <v>195</v>
      </c>
      <c r="J160" s="7" t="s">
        <v>195</v>
      </c>
      <c r="K160" s="7" t="s">
        <v>195</v>
      </c>
      <c r="L160" s="7" t="s">
        <v>195</v>
      </c>
      <c r="M160" s="7" t="s">
        <v>29</v>
      </c>
      <c r="N160" s="7" t="s">
        <v>29</v>
      </c>
      <c r="O160" s="7" t="s">
        <v>29</v>
      </c>
      <c r="P160" s="7" t="s">
        <v>29</v>
      </c>
      <c r="Q160" s="7" t="s">
        <v>29</v>
      </c>
      <c r="R160" s="7" t="s">
        <v>29</v>
      </c>
      <c r="S160" s="7" t="s">
        <v>29</v>
      </c>
    </row>
    <row r="161" spans="2:19">
      <c r="B161" s="7" t="s">
        <v>195</v>
      </c>
      <c r="C161" s="8" t="s">
        <v>195</v>
      </c>
      <c r="D161" s="5" t="str">
        <f>LRTRIM(CONCATENATE(IF(SUMPRODUCT(-- ISNUMBER(SEARCH({"Auto Number"}, $B161))) &gt; 0, $B161, IF(SUMPRODUCT(-- ISNUMBER(SEARCH({"Lookup","Master-Detail"}, $B161))) &gt; 0,$B161 &amp; "(" &amp; $E161 &amp; ")",IF(SUMPRODUCT(-- ISNUMBER(SEARCH({"Formula","Roll-Up Summary"}, $B161))) &gt; 0,$B161 &amp; " (" &amp; $E161 &amp; ")",IF(SUMPRODUCT(-- ISNUMBER(SEARCH({"Content","Currency","Number","Percent","Text","URL"}, $B161))) &gt; 0,$B161 &amp; "(" &amp; $C161 &amp; ")",$B161)))), "  ", TRIM(IF($S161 = "YES", "(External ID)", "") &amp; " " &amp; IF(SUMPRODUCT(-- ISNUMBER(SEARCH({"Unique","Unique Case Insensitive"}, $R161))) &gt; 0, "(" &amp; $R161 &amp; ")", ""))))</f>
        <v>na</v>
      </c>
      <c r="E161" s="7" t="s">
        <v>195</v>
      </c>
      <c r="F161" s="7" t="s">
        <v>195</v>
      </c>
      <c r="G161" s="7" t="s">
        <v>195</v>
      </c>
      <c r="H161" s="7" t="s">
        <v>195</v>
      </c>
      <c r="I161" s="7" t="s">
        <v>195</v>
      </c>
      <c r="J161" s="7" t="s">
        <v>195</v>
      </c>
      <c r="K161" s="7" t="s">
        <v>195</v>
      </c>
      <c r="L161" s="7" t="s">
        <v>195</v>
      </c>
      <c r="M161" s="7" t="s">
        <v>29</v>
      </c>
      <c r="N161" s="7" t="s">
        <v>29</v>
      </c>
      <c r="O161" s="7" t="s">
        <v>29</v>
      </c>
      <c r="P161" s="7" t="s">
        <v>29</v>
      </c>
      <c r="Q161" s="7" t="s">
        <v>29</v>
      </c>
      <c r="R161" s="7" t="s">
        <v>29</v>
      </c>
      <c r="S161" s="7" t="s">
        <v>29</v>
      </c>
    </row>
    <row r="162" spans="2:19">
      <c r="B162" s="7" t="s">
        <v>195</v>
      </c>
      <c r="C162" s="8" t="s">
        <v>195</v>
      </c>
      <c r="D162" s="5" t="str">
        <f>LRTRIM(CONCATENATE(IF(SUMPRODUCT(-- ISNUMBER(SEARCH({"Auto Number"}, $B162))) &gt; 0, $B162, IF(SUMPRODUCT(-- ISNUMBER(SEARCH({"Lookup","Master-Detail"}, $B162))) &gt; 0,$B162 &amp; "(" &amp; $E162 &amp; ")",IF(SUMPRODUCT(-- ISNUMBER(SEARCH({"Formula","Roll-Up Summary"}, $B162))) &gt; 0,$B162 &amp; " (" &amp; $E162 &amp; ")",IF(SUMPRODUCT(-- ISNUMBER(SEARCH({"Content","Currency","Number","Percent","Text","URL"}, $B162))) &gt; 0,$B162 &amp; "(" &amp; $C162 &amp; ")",$B162)))), "  ", TRIM(IF($S162 = "YES", "(External ID)", "") &amp; " " &amp; IF(SUMPRODUCT(-- ISNUMBER(SEARCH({"Unique","Unique Case Insensitive"}, $R162))) &gt; 0, "(" &amp; $R162 &amp; ")", ""))))</f>
        <v>na</v>
      </c>
      <c r="E162" s="7" t="s">
        <v>195</v>
      </c>
      <c r="F162" s="7" t="s">
        <v>195</v>
      </c>
      <c r="G162" s="7" t="s">
        <v>195</v>
      </c>
      <c r="H162" s="7" t="s">
        <v>195</v>
      </c>
      <c r="I162" s="7" t="s">
        <v>195</v>
      </c>
      <c r="J162" s="7" t="s">
        <v>195</v>
      </c>
      <c r="K162" s="7" t="s">
        <v>195</v>
      </c>
      <c r="L162" s="7" t="s">
        <v>195</v>
      </c>
      <c r="M162" s="7" t="s">
        <v>29</v>
      </c>
      <c r="N162" s="7" t="s">
        <v>29</v>
      </c>
      <c r="O162" s="7" t="s">
        <v>29</v>
      </c>
      <c r="P162" s="7" t="s">
        <v>29</v>
      </c>
      <c r="Q162" s="7" t="s">
        <v>29</v>
      </c>
      <c r="R162" s="7" t="s">
        <v>29</v>
      </c>
      <c r="S162" s="7" t="s">
        <v>29</v>
      </c>
    </row>
    <row r="163" spans="2:19">
      <c r="B163" s="7" t="s">
        <v>195</v>
      </c>
      <c r="C163" s="8" t="s">
        <v>195</v>
      </c>
      <c r="D163" s="5" t="str">
        <f>LRTRIM(CONCATENATE(IF(SUMPRODUCT(-- ISNUMBER(SEARCH({"Auto Number"}, $B163))) &gt; 0, $B163, IF(SUMPRODUCT(-- ISNUMBER(SEARCH({"Lookup","Master-Detail"}, $B163))) &gt; 0,$B163 &amp; "(" &amp; $E163 &amp; ")",IF(SUMPRODUCT(-- ISNUMBER(SEARCH({"Formula","Roll-Up Summary"}, $B163))) &gt; 0,$B163 &amp; " (" &amp; $E163 &amp; ")",IF(SUMPRODUCT(-- ISNUMBER(SEARCH({"Content","Currency","Number","Percent","Text","URL"}, $B163))) &gt; 0,$B163 &amp; "(" &amp; $C163 &amp; ")",$B163)))), "  ", TRIM(IF($S163 = "YES", "(External ID)", "") &amp; " " &amp; IF(SUMPRODUCT(-- ISNUMBER(SEARCH({"Unique","Unique Case Insensitive"}, $R163))) &gt; 0, "(" &amp; $R163 &amp; ")", ""))))</f>
        <v>na</v>
      </c>
      <c r="E163" s="7" t="s">
        <v>195</v>
      </c>
      <c r="F163" s="7" t="s">
        <v>195</v>
      </c>
      <c r="G163" s="7" t="s">
        <v>195</v>
      </c>
      <c r="H163" s="7" t="s">
        <v>195</v>
      </c>
      <c r="I163" s="7" t="s">
        <v>195</v>
      </c>
      <c r="J163" s="7" t="s">
        <v>195</v>
      </c>
      <c r="K163" s="7" t="s">
        <v>195</v>
      </c>
      <c r="L163" s="7" t="s">
        <v>195</v>
      </c>
      <c r="M163" s="7" t="s">
        <v>29</v>
      </c>
      <c r="N163" s="7" t="s">
        <v>29</v>
      </c>
      <c r="O163" s="7" t="s">
        <v>29</v>
      </c>
      <c r="P163" s="7" t="s">
        <v>29</v>
      </c>
      <c r="Q163" s="7" t="s">
        <v>29</v>
      </c>
      <c r="R163" s="7" t="s">
        <v>29</v>
      </c>
      <c r="S163" s="7" t="s">
        <v>29</v>
      </c>
    </row>
    <row r="164" spans="2:19">
      <c r="B164" s="7" t="s">
        <v>195</v>
      </c>
      <c r="C164" s="8" t="s">
        <v>195</v>
      </c>
      <c r="D164" s="5" t="str">
        <f>LRTRIM(CONCATENATE(IF(SUMPRODUCT(-- ISNUMBER(SEARCH({"Auto Number"}, $B164))) &gt; 0, $B164, IF(SUMPRODUCT(-- ISNUMBER(SEARCH({"Lookup","Master-Detail"}, $B164))) &gt; 0,$B164 &amp; "(" &amp; $E164 &amp; ")",IF(SUMPRODUCT(-- ISNUMBER(SEARCH({"Formula","Roll-Up Summary"}, $B164))) &gt; 0,$B164 &amp; " (" &amp; $E164 &amp; ")",IF(SUMPRODUCT(-- ISNUMBER(SEARCH({"Content","Currency","Number","Percent","Text","URL"}, $B164))) &gt; 0,$B164 &amp; "(" &amp; $C164 &amp; ")",$B164)))), "  ", TRIM(IF($S164 = "YES", "(External ID)", "") &amp; " " &amp; IF(SUMPRODUCT(-- ISNUMBER(SEARCH({"Unique","Unique Case Insensitive"}, $R164))) &gt; 0, "(" &amp; $R164 &amp; ")", ""))))</f>
        <v>na</v>
      </c>
      <c r="E164" s="7" t="s">
        <v>195</v>
      </c>
      <c r="F164" s="7" t="s">
        <v>195</v>
      </c>
      <c r="G164" s="7" t="s">
        <v>195</v>
      </c>
      <c r="H164" s="7" t="s">
        <v>195</v>
      </c>
      <c r="I164" s="7" t="s">
        <v>195</v>
      </c>
      <c r="J164" s="7" t="s">
        <v>195</v>
      </c>
      <c r="K164" s="7" t="s">
        <v>195</v>
      </c>
      <c r="L164" s="7" t="s">
        <v>195</v>
      </c>
      <c r="M164" s="7" t="s">
        <v>29</v>
      </c>
      <c r="N164" s="7" t="s">
        <v>29</v>
      </c>
      <c r="O164" s="7" t="s">
        <v>29</v>
      </c>
      <c r="P164" s="7" t="s">
        <v>29</v>
      </c>
      <c r="Q164" s="7" t="s">
        <v>29</v>
      </c>
      <c r="R164" s="7" t="s">
        <v>29</v>
      </c>
      <c r="S164" s="7" t="s">
        <v>29</v>
      </c>
    </row>
    <row r="165" spans="2:19">
      <c r="B165" s="7" t="s">
        <v>195</v>
      </c>
      <c r="C165" s="8" t="s">
        <v>195</v>
      </c>
      <c r="D165" s="5" t="str">
        <f>LRTRIM(CONCATENATE(IF(SUMPRODUCT(-- ISNUMBER(SEARCH({"Auto Number"}, $B165))) &gt; 0, $B165, IF(SUMPRODUCT(-- ISNUMBER(SEARCH({"Lookup","Master-Detail"}, $B165))) &gt; 0,$B165 &amp; "(" &amp; $E165 &amp; ")",IF(SUMPRODUCT(-- ISNUMBER(SEARCH({"Formula","Roll-Up Summary"}, $B165))) &gt; 0,$B165 &amp; " (" &amp; $E165 &amp; ")",IF(SUMPRODUCT(-- ISNUMBER(SEARCH({"Content","Currency","Number","Percent","Text","URL"}, $B165))) &gt; 0,$B165 &amp; "(" &amp; $C165 &amp; ")",$B165)))), "  ", TRIM(IF($S165 = "YES", "(External ID)", "") &amp; " " &amp; IF(SUMPRODUCT(-- ISNUMBER(SEARCH({"Unique","Unique Case Insensitive"}, $R165))) &gt; 0, "(" &amp; $R165 &amp; ")", ""))))</f>
        <v>na</v>
      </c>
      <c r="E165" s="7" t="s">
        <v>195</v>
      </c>
      <c r="F165" s="7" t="s">
        <v>195</v>
      </c>
      <c r="G165" s="7" t="s">
        <v>195</v>
      </c>
      <c r="H165" s="7" t="s">
        <v>195</v>
      </c>
      <c r="I165" s="7" t="s">
        <v>195</v>
      </c>
      <c r="J165" s="7" t="s">
        <v>195</v>
      </c>
      <c r="K165" s="7" t="s">
        <v>195</v>
      </c>
      <c r="L165" s="7" t="s">
        <v>195</v>
      </c>
      <c r="M165" s="7" t="s">
        <v>29</v>
      </c>
      <c r="N165" s="7" t="s">
        <v>29</v>
      </c>
      <c r="O165" s="7" t="s">
        <v>29</v>
      </c>
      <c r="P165" s="7" t="s">
        <v>29</v>
      </c>
      <c r="Q165" s="7" t="s">
        <v>29</v>
      </c>
      <c r="R165" s="7" t="s">
        <v>29</v>
      </c>
      <c r="S165" s="7" t="s">
        <v>29</v>
      </c>
    </row>
    <row r="166" spans="2:19">
      <c r="B166" s="7" t="s">
        <v>195</v>
      </c>
      <c r="C166" s="8" t="s">
        <v>195</v>
      </c>
      <c r="D166" s="5" t="str">
        <f>LRTRIM(CONCATENATE(IF(SUMPRODUCT(-- ISNUMBER(SEARCH({"Auto Number"}, $B166))) &gt; 0, $B166, IF(SUMPRODUCT(-- ISNUMBER(SEARCH({"Lookup","Master-Detail"}, $B166))) &gt; 0,$B166 &amp; "(" &amp; $E166 &amp; ")",IF(SUMPRODUCT(-- ISNUMBER(SEARCH({"Formula","Roll-Up Summary"}, $B166))) &gt; 0,$B166 &amp; " (" &amp; $E166 &amp; ")",IF(SUMPRODUCT(-- ISNUMBER(SEARCH({"Content","Currency","Number","Percent","Text","URL"}, $B166))) &gt; 0,$B166 &amp; "(" &amp; $C166 &amp; ")",$B166)))), "  ", TRIM(IF($S166 = "YES", "(External ID)", "") &amp; " " &amp; IF(SUMPRODUCT(-- ISNUMBER(SEARCH({"Unique","Unique Case Insensitive"}, $R166))) &gt; 0, "(" &amp; $R166 &amp; ")", ""))))</f>
        <v>na</v>
      </c>
      <c r="E166" s="7" t="s">
        <v>195</v>
      </c>
      <c r="F166" s="7" t="s">
        <v>195</v>
      </c>
      <c r="G166" s="7" t="s">
        <v>195</v>
      </c>
      <c r="H166" s="7" t="s">
        <v>195</v>
      </c>
      <c r="I166" s="7" t="s">
        <v>195</v>
      </c>
      <c r="J166" s="7" t="s">
        <v>195</v>
      </c>
      <c r="K166" s="7" t="s">
        <v>195</v>
      </c>
      <c r="L166" s="7" t="s">
        <v>195</v>
      </c>
      <c r="M166" s="7" t="s">
        <v>29</v>
      </c>
      <c r="N166" s="7" t="s">
        <v>29</v>
      </c>
      <c r="O166" s="7" t="s">
        <v>29</v>
      </c>
      <c r="P166" s="7" t="s">
        <v>29</v>
      </c>
      <c r="Q166" s="7" t="s">
        <v>29</v>
      </c>
      <c r="R166" s="7" t="s">
        <v>29</v>
      </c>
      <c r="S166" s="7" t="s">
        <v>29</v>
      </c>
    </row>
    <row r="167" spans="2:19">
      <c r="B167" s="7" t="s">
        <v>195</v>
      </c>
      <c r="C167" s="8" t="s">
        <v>195</v>
      </c>
      <c r="D167" s="5" t="str">
        <f>LRTRIM(CONCATENATE(IF(SUMPRODUCT(-- ISNUMBER(SEARCH({"Auto Number"}, $B167))) &gt; 0, $B167, IF(SUMPRODUCT(-- ISNUMBER(SEARCH({"Lookup","Master-Detail"}, $B167))) &gt; 0,$B167 &amp; "(" &amp; $E167 &amp; ")",IF(SUMPRODUCT(-- ISNUMBER(SEARCH({"Formula","Roll-Up Summary"}, $B167))) &gt; 0,$B167 &amp; " (" &amp; $E167 &amp; ")",IF(SUMPRODUCT(-- ISNUMBER(SEARCH({"Content","Currency","Number","Percent","Text","URL"}, $B167))) &gt; 0,$B167 &amp; "(" &amp; $C167 &amp; ")",$B167)))), "  ", TRIM(IF($S167 = "YES", "(External ID)", "") &amp; " " &amp; IF(SUMPRODUCT(-- ISNUMBER(SEARCH({"Unique","Unique Case Insensitive"}, $R167))) &gt; 0, "(" &amp; $R167 &amp; ")", ""))))</f>
        <v>na</v>
      </c>
      <c r="E167" s="7" t="s">
        <v>195</v>
      </c>
      <c r="F167" s="7" t="s">
        <v>195</v>
      </c>
      <c r="G167" s="7" t="s">
        <v>195</v>
      </c>
      <c r="H167" s="7" t="s">
        <v>195</v>
      </c>
      <c r="I167" s="7" t="s">
        <v>195</v>
      </c>
      <c r="J167" s="7" t="s">
        <v>195</v>
      </c>
      <c r="K167" s="7" t="s">
        <v>195</v>
      </c>
      <c r="L167" s="7" t="s">
        <v>195</v>
      </c>
      <c r="M167" s="7" t="s">
        <v>29</v>
      </c>
      <c r="N167" s="7" t="s">
        <v>29</v>
      </c>
      <c r="O167" s="7" t="s">
        <v>29</v>
      </c>
      <c r="P167" s="7" t="s">
        <v>29</v>
      </c>
      <c r="Q167" s="7" t="s">
        <v>29</v>
      </c>
      <c r="R167" s="7" t="s">
        <v>29</v>
      </c>
      <c r="S167" s="7" t="s">
        <v>29</v>
      </c>
    </row>
    <row r="168" spans="2:19">
      <c r="B168" s="7" t="s">
        <v>195</v>
      </c>
      <c r="C168" s="8" t="s">
        <v>195</v>
      </c>
      <c r="D168" s="5" t="str">
        <f>LRTRIM(CONCATENATE(IF(SUMPRODUCT(-- ISNUMBER(SEARCH({"Auto Number"}, $B168))) &gt; 0, $B168, IF(SUMPRODUCT(-- ISNUMBER(SEARCH({"Lookup","Master-Detail"}, $B168))) &gt; 0,$B168 &amp; "(" &amp; $E168 &amp; ")",IF(SUMPRODUCT(-- ISNUMBER(SEARCH({"Formula","Roll-Up Summary"}, $B168))) &gt; 0,$B168 &amp; " (" &amp; $E168 &amp; ")",IF(SUMPRODUCT(-- ISNUMBER(SEARCH({"Content","Currency","Number","Percent","Text","URL"}, $B168))) &gt; 0,$B168 &amp; "(" &amp; $C168 &amp; ")",$B168)))), "  ", TRIM(IF($S168 = "YES", "(External ID)", "") &amp; " " &amp; IF(SUMPRODUCT(-- ISNUMBER(SEARCH({"Unique","Unique Case Insensitive"}, $R168))) &gt; 0, "(" &amp; $R168 &amp; ")", ""))))</f>
        <v>na</v>
      </c>
      <c r="E168" s="7" t="s">
        <v>195</v>
      </c>
      <c r="F168" s="7" t="s">
        <v>195</v>
      </c>
      <c r="G168" s="7" t="s">
        <v>195</v>
      </c>
      <c r="H168" s="7" t="s">
        <v>195</v>
      </c>
      <c r="I168" s="7" t="s">
        <v>195</v>
      </c>
      <c r="J168" s="7" t="s">
        <v>195</v>
      </c>
      <c r="K168" s="7" t="s">
        <v>195</v>
      </c>
      <c r="L168" s="7" t="s">
        <v>195</v>
      </c>
      <c r="M168" s="7" t="s">
        <v>29</v>
      </c>
      <c r="N168" s="7" t="s">
        <v>29</v>
      </c>
      <c r="O168" s="7" t="s">
        <v>29</v>
      </c>
      <c r="P168" s="7" t="s">
        <v>29</v>
      </c>
      <c r="Q168" s="7" t="s">
        <v>29</v>
      </c>
      <c r="R168" s="7" t="s">
        <v>29</v>
      </c>
      <c r="S168" s="7" t="s">
        <v>29</v>
      </c>
    </row>
    <row r="169" spans="2:19">
      <c r="B169" s="7" t="s">
        <v>195</v>
      </c>
      <c r="C169" s="8" t="s">
        <v>195</v>
      </c>
      <c r="D169" s="5" t="str">
        <f>LRTRIM(CONCATENATE(IF(SUMPRODUCT(-- ISNUMBER(SEARCH({"Auto Number"}, $B169))) &gt; 0, $B169, IF(SUMPRODUCT(-- ISNUMBER(SEARCH({"Lookup","Master-Detail"}, $B169))) &gt; 0,$B169 &amp; "(" &amp; $E169 &amp; ")",IF(SUMPRODUCT(-- ISNUMBER(SEARCH({"Formula","Roll-Up Summary"}, $B169))) &gt; 0,$B169 &amp; " (" &amp; $E169 &amp; ")",IF(SUMPRODUCT(-- ISNUMBER(SEARCH({"Content","Currency","Number","Percent","Text","URL"}, $B169))) &gt; 0,$B169 &amp; "(" &amp; $C169 &amp; ")",$B169)))), "  ", TRIM(IF($S169 = "YES", "(External ID)", "") &amp; " " &amp; IF(SUMPRODUCT(-- ISNUMBER(SEARCH({"Unique","Unique Case Insensitive"}, $R169))) &gt; 0, "(" &amp; $R169 &amp; ")", ""))))</f>
        <v>na</v>
      </c>
      <c r="E169" s="7" t="s">
        <v>195</v>
      </c>
      <c r="F169" s="7" t="s">
        <v>195</v>
      </c>
      <c r="G169" s="7" t="s">
        <v>195</v>
      </c>
      <c r="H169" s="7" t="s">
        <v>195</v>
      </c>
      <c r="I169" s="7" t="s">
        <v>195</v>
      </c>
      <c r="J169" s="7" t="s">
        <v>195</v>
      </c>
      <c r="K169" s="7" t="s">
        <v>195</v>
      </c>
      <c r="L169" s="7" t="s">
        <v>195</v>
      </c>
      <c r="M169" s="7" t="s">
        <v>29</v>
      </c>
      <c r="N169" s="7" t="s">
        <v>29</v>
      </c>
      <c r="O169" s="7" t="s">
        <v>29</v>
      </c>
      <c r="P169" s="7" t="s">
        <v>29</v>
      </c>
      <c r="Q169" s="7" t="s">
        <v>29</v>
      </c>
      <c r="R169" s="7" t="s">
        <v>29</v>
      </c>
      <c r="S169" s="7" t="s">
        <v>29</v>
      </c>
    </row>
    <row r="170" spans="2:19">
      <c r="B170" s="7" t="s">
        <v>195</v>
      </c>
      <c r="C170" s="8" t="s">
        <v>195</v>
      </c>
      <c r="D170" s="5" t="str">
        <f>LRTRIM(CONCATENATE(IF(SUMPRODUCT(-- ISNUMBER(SEARCH({"Auto Number"}, $B170))) &gt; 0, $B170, IF(SUMPRODUCT(-- ISNUMBER(SEARCH({"Lookup","Master-Detail"}, $B170))) &gt; 0,$B170 &amp; "(" &amp; $E170 &amp; ")",IF(SUMPRODUCT(-- ISNUMBER(SEARCH({"Formula","Roll-Up Summary"}, $B170))) &gt; 0,$B170 &amp; " (" &amp; $E170 &amp; ")",IF(SUMPRODUCT(-- ISNUMBER(SEARCH({"Content","Currency","Number","Percent","Text","URL"}, $B170))) &gt; 0,$B170 &amp; "(" &amp; $C170 &amp; ")",$B170)))), "  ", TRIM(IF($S170 = "YES", "(External ID)", "") &amp; " " &amp; IF(SUMPRODUCT(-- ISNUMBER(SEARCH({"Unique","Unique Case Insensitive"}, $R170))) &gt; 0, "(" &amp; $R170 &amp; ")", ""))))</f>
        <v>na</v>
      </c>
      <c r="E170" s="7" t="s">
        <v>195</v>
      </c>
      <c r="F170" s="7" t="s">
        <v>195</v>
      </c>
      <c r="G170" s="7" t="s">
        <v>195</v>
      </c>
      <c r="H170" s="7" t="s">
        <v>195</v>
      </c>
      <c r="I170" s="7" t="s">
        <v>195</v>
      </c>
      <c r="J170" s="7" t="s">
        <v>195</v>
      </c>
      <c r="K170" s="7" t="s">
        <v>195</v>
      </c>
      <c r="L170" s="7" t="s">
        <v>195</v>
      </c>
      <c r="M170" s="7" t="s">
        <v>29</v>
      </c>
      <c r="N170" s="7" t="s">
        <v>29</v>
      </c>
      <c r="O170" s="7" t="s">
        <v>29</v>
      </c>
      <c r="P170" s="7" t="s">
        <v>29</v>
      </c>
      <c r="Q170" s="7" t="s">
        <v>29</v>
      </c>
      <c r="R170" s="7" t="s">
        <v>29</v>
      </c>
      <c r="S170" s="7" t="s">
        <v>29</v>
      </c>
    </row>
    <row r="171" spans="2:19">
      <c r="B171" s="7" t="s">
        <v>195</v>
      </c>
      <c r="C171" s="8" t="s">
        <v>195</v>
      </c>
      <c r="D171" s="5" t="str">
        <f>LRTRIM(CONCATENATE(IF(SUMPRODUCT(-- ISNUMBER(SEARCH({"Auto Number"}, $B171))) &gt; 0, $B171, IF(SUMPRODUCT(-- ISNUMBER(SEARCH({"Lookup","Master-Detail"}, $B171))) &gt; 0,$B171 &amp; "(" &amp; $E171 &amp; ")",IF(SUMPRODUCT(-- ISNUMBER(SEARCH({"Formula","Roll-Up Summary"}, $B171))) &gt; 0,$B171 &amp; " (" &amp; $E171 &amp; ")",IF(SUMPRODUCT(-- ISNUMBER(SEARCH({"Content","Currency","Number","Percent","Text","URL"}, $B171))) &gt; 0,$B171 &amp; "(" &amp; $C171 &amp; ")",$B171)))), "  ", TRIM(IF($S171 = "YES", "(External ID)", "") &amp; " " &amp; IF(SUMPRODUCT(-- ISNUMBER(SEARCH({"Unique","Unique Case Insensitive"}, $R171))) &gt; 0, "(" &amp; $R171 &amp; ")", ""))))</f>
        <v>na</v>
      </c>
      <c r="E171" s="7" t="s">
        <v>195</v>
      </c>
      <c r="F171" s="7" t="s">
        <v>195</v>
      </c>
      <c r="G171" s="7" t="s">
        <v>195</v>
      </c>
      <c r="H171" s="7" t="s">
        <v>195</v>
      </c>
      <c r="I171" s="7" t="s">
        <v>195</v>
      </c>
      <c r="J171" s="7" t="s">
        <v>195</v>
      </c>
      <c r="K171" s="7" t="s">
        <v>195</v>
      </c>
      <c r="L171" s="7" t="s">
        <v>195</v>
      </c>
      <c r="M171" s="7" t="s">
        <v>29</v>
      </c>
      <c r="N171" s="7" t="s">
        <v>29</v>
      </c>
      <c r="O171" s="7" t="s">
        <v>29</v>
      </c>
      <c r="P171" s="7" t="s">
        <v>29</v>
      </c>
      <c r="Q171" s="7" t="s">
        <v>29</v>
      </c>
      <c r="R171" s="7" t="s">
        <v>29</v>
      </c>
      <c r="S171" s="7" t="s">
        <v>29</v>
      </c>
    </row>
    <row r="172" spans="2:19">
      <c r="B172" s="7" t="s">
        <v>195</v>
      </c>
      <c r="C172" s="8" t="s">
        <v>195</v>
      </c>
      <c r="D172" s="5" t="str">
        <f>LRTRIM(CONCATENATE(IF(SUMPRODUCT(-- ISNUMBER(SEARCH({"Auto Number"}, $B172))) &gt; 0, $B172, IF(SUMPRODUCT(-- ISNUMBER(SEARCH({"Lookup","Master-Detail"}, $B172))) &gt; 0,$B172 &amp; "(" &amp; $E172 &amp; ")",IF(SUMPRODUCT(-- ISNUMBER(SEARCH({"Formula","Roll-Up Summary"}, $B172))) &gt; 0,$B172 &amp; " (" &amp; $E172 &amp; ")",IF(SUMPRODUCT(-- ISNUMBER(SEARCH({"Content","Currency","Number","Percent","Text","URL"}, $B172))) &gt; 0,$B172 &amp; "(" &amp; $C172 &amp; ")",$B172)))), "  ", TRIM(IF($S172 = "YES", "(External ID)", "") &amp; " " &amp; IF(SUMPRODUCT(-- ISNUMBER(SEARCH({"Unique","Unique Case Insensitive"}, $R172))) &gt; 0, "(" &amp; $R172 &amp; ")", ""))))</f>
        <v>na</v>
      </c>
      <c r="E172" s="7" t="s">
        <v>195</v>
      </c>
      <c r="F172" s="7" t="s">
        <v>195</v>
      </c>
      <c r="G172" s="7" t="s">
        <v>195</v>
      </c>
      <c r="H172" s="7" t="s">
        <v>195</v>
      </c>
      <c r="I172" s="7" t="s">
        <v>195</v>
      </c>
      <c r="J172" s="7" t="s">
        <v>195</v>
      </c>
      <c r="K172" s="7" t="s">
        <v>195</v>
      </c>
      <c r="L172" s="7" t="s">
        <v>195</v>
      </c>
      <c r="M172" s="7" t="s">
        <v>29</v>
      </c>
      <c r="N172" s="7" t="s">
        <v>29</v>
      </c>
      <c r="O172" s="7" t="s">
        <v>29</v>
      </c>
      <c r="P172" s="7" t="s">
        <v>29</v>
      </c>
      <c r="Q172" s="7" t="s">
        <v>29</v>
      </c>
      <c r="R172" s="7" t="s">
        <v>29</v>
      </c>
      <c r="S172" s="7" t="s">
        <v>29</v>
      </c>
    </row>
    <row r="173" spans="2:19">
      <c r="B173" s="7" t="s">
        <v>195</v>
      </c>
      <c r="C173" s="8" t="s">
        <v>195</v>
      </c>
      <c r="D173" s="5" t="str">
        <f>LRTRIM(CONCATENATE(IF(SUMPRODUCT(-- ISNUMBER(SEARCH({"Auto Number"}, $B173))) &gt; 0, $B173, IF(SUMPRODUCT(-- ISNUMBER(SEARCH({"Lookup","Master-Detail"}, $B173))) &gt; 0,$B173 &amp; "(" &amp; $E173 &amp; ")",IF(SUMPRODUCT(-- ISNUMBER(SEARCH({"Formula","Roll-Up Summary"}, $B173))) &gt; 0,$B173 &amp; " (" &amp; $E173 &amp; ")",IF(SUMPRODUCT(-- ISNUMBER(SEARCH({"Content","Currency","Number","Percent","Text","URL"}, $B173))) &gt; 0,$B173 &amp; "(" &amp; $C173 &amp; ")",$B173)))), "  ", TRIM(IF($S173 = "YES", "(External ID)", "") &amp; " " &amp; IF(SUMPRODUCT(-- ISNUMBER(SEARCH({"Unique","Unique Case Insensitive"}, $R173))) &gt; 0, "(" &amp; $R173 &amp; ")", ""))))</f>
        <v>na</v>
      </c>
      <c r="E173" s="7" t="s">
        <v>195</v>
      </c>
      <c r="F173" s="7" t="s">
        <v>195</v>
      </c>
      <c r="G173" s="7" t="s">
        <v>195</v>
      </c>
      <c r="H173" s="7" t="s">
        <v>195</v>
      </c>
      <c r="I173" s="7" t="s">
        <v>195</v>
      </c>
      <c r="J173" s="7" t="s">
        <v>195</v>
      </c>
      <c r="K173" s="7" t="s">
        <v>195</v>
      </c>
      <c r="L173" s="7" t="s">
        <v>195</v>
      </c>
      <c r="M173" s="7" t="s">
        <v>29</v>
      </c>
      <c r="N173" s="7" t="s">
        <v>29</v>
      </c>
      <c r="O173" s="7" t="s">
        <v>29</v>
      </c>
      <c r="P173" s="7" t="s">
        <v>29</v>
      </c>
      <c r="Q173" s="7" t="s">
        <v>29</v>
      </c>
      <c r="R173" s="7" t="s">
        <v>29</v>
      </c>
      <c r="S173" s="7" t="s">
        <v>29</v>
      </c>
    </row>
    <row r="174" spans="2:19">
      <c r="B174" s="7" t="s">
        <v>195</v>
      </c>
      <c r="C174" s="8" t="s">
        <v>195</v>
      </c>
      <c r="D174" s="5" t="str">
        <f>LRTRIM(CONCATENATE(IF(SUMPRODUCT(-- ISNUMBER(SEARCH({"Auto Number"}, $B174))) &gt; 0, $B174, IF(SUMPRODUCT(-- ISNUMBER(SEARCH({"Lookup","Master-Detail"}, $B174))) &gt; 0,$B174 &amp; "(" &amp; $E174 &amp; ")",IF(SUMPRODUCT(-- ISNUMBER(SEARCH({"Formula","Roll-Up Summary"}, $B174))) &gt; 0,$B174 &amp; " (" &amp; $E174 &amp; ")",IF(SUMPRODUCT(-- ISNUMBER(SEARCH({"Content","Currency","Number","Percent","Text","URL"}, $B174))) &gt; 0,$B174 &amp; "(" &amp; $C174 &amp; ")",$B174)))), "  ", TRIM(IF($S174 = "YES", "(External ID)", "") &amp; " " &amp; IF(SUMPRODUCT(-- ISNUMBER(SEARCH({"Unique","Unique Case Insensitive"}, $R174))) &gt; 0, "(" &amp; $R174 &amp; ")", ""))))</f>
        <v>na</v>
      </c>
      <c r="E174" s="7" t="s">
        <v>195</v>
      </c>
      <c r="F174" s="7" t="s">
        <v>195</v>
      </c>
      <c r="G174" s="7" t="s">
        <v>195</v>
      </c>
      <c r="H174" s="7" t="s">
        <v>195</v>
      </c>
      <c r="I174" s="7" t="s">
        <v>195</v>
      </c>
      <c r="J174" s="7" t="s">
        <v>195</v>
      </c>
      <c r="K174" s="7" t="s">
        <v>195</v>
      </c>
      <c r="L174" s="7" t="s">
        <v>195</v>
      </c>
      <c r="M174" s="7" t="s">
        <v>29</v>
      </c>
      <c r="N174" s="7" t="s">
        <v>29</v>
      </c>
      <c r="O174" s="7" t="s">
        <v>29</v>
      </c>
      <c r="P174" s="7" t="s">
        <v>29</v>
      </c>
      <c r="Q174" s="7" t="s">
        <v>29</v>
      </c>
      <c r="R174" s="7" t="s">
        <v>29</v>
      </c>
      <c r="S174" s="7" t="s">
        <v>29</v>
      </c>
    </row>
    <row r="175" spans="2:19">
      <c r="B175" s="7" t="s">
        <v>195</v>
      </c>
      <c r="C175" s="8" t="s">
        <v>195</v>
      </c>
      <c r="D175" s="5" t="str">
        <f>LRTRIM(CONCATENATE(IF(SUMPRODUCT(-- ISNUMBER(SEARCH({"Auto Number"}, $B175))) &gt; 0, $B175, IF(SUMPRODUCT(-- ISNUMBER(SEARCH({"Lookup","Master-Detail"}, $B175))) &gt; 0,$B175 &amp; "(" &amp; $E175 &amp; ")",IF(SUMPRODUCT(-- ISNUMBER(SEARCH({"Formula","Roll-Up Summary"}, $B175))) &gt; 0,$B175 &amp; " (" &amp; $E175 &amp; ")",IF(SUMPRODUCT(-- ISNUMBER(SEARCH({"Content","Currency","Number","Percent","Text","URL"}, $B175))) &gt; 0,$B175 &amp; "(" &amp; $C175 &amp; ")",$B175)))), "  ", TRIM(IF($S175 = "YES", "(External ID)", "") &amp; " " &amp; IF(SUMPRODUCT(-- ISNUMBER(SEARCH({"Unique","Unique Case Insensitive"}, $R175))) &gt; 0, "(" &amp; $R175 &amp; ")", ""))))</f>
        <v>na</v>
      </c>
      <c r="E175" s="7" t="s">
        <v>195</v>
      </c>
      <c r="F175" s="7" t="s">
        <v>195</v>
      </c>
      <c r="G175" s="7" t="s">
        <v>195</v>
      </c>
      <c r="H175" s="7" t="s">
        <v>195</v>
      </c>
      <c r="I175" s="7" t="s">
        <v>195</v>
      </c>
      <c r="J175" s="7" t="s">
        <v>195</v>
      </c>
      <c r="K175" s="7" t="s">
        <v>195</v>
      </c>
      <c r="L175" s="7" t="s">
        <v>195</v>
      </c>
      <c r="M175" s="7" t="s">
        <v>29</v>
      </c>
      <c r="N175" s="7" t="s">
        <v>29</v>
      </c>
      <c r="O175" s="7" t="s">
        <v>29</v>
      </c>
      <c r="P175" s="7" t="s">
        <v>29</v>
      </c>
      <c r="Q175" s="7" t="s">
        <v>29</v>
      </c>
      <c r="R175" s="7" t="s">
        <v>29</v>
      </c>
      <c r="S175" s="7" t="s">
        <v>29</v>
      </c>
    </row>
    <row r="176" spans="2:19">
      <c r="B176" s="7" t="s">
        <v>195</v>
      </c>
      <c r="C176" s="8" t="s">
        <v>195</v>
      </c>
      <c r="D176" s="5" t="str">
        <f>LRTRIM(CONCATENATE(IF(SUMPRODUCT(-- ISNUMBER(SEARCH({"Auto Number"}, $B176))) &gt; 0, $B176, IF(SUMPRODUCT(-- ISNUMBER(SEARCH({"Lookup","Master-Detail"}, $B176))) &gt; 0,$B176 &amp; "(" &amp; $E176 &amp; ")",IF(SUMPRODUCT(-- ISNUMBER(SEARCH({"Formula","Roll-Up Summary"}, $B176))) &gt; 0,$B176 &amp; " (" &amp; $E176 &amp; ")",IF(SUMPRODUCT(-- ISNUMBER(SEARCH({"Content","Currency","Number","Percent","Text","URL"}, $B176))) &gt; 0,$B176 &amp; "(" &amp; $C176 &amp; ")",$B176)))), "  ", TRIM(IF($S176 = "YES", "(External ID)", "") &amp; " " &amp; IF(SUMPRODUCT(-- ISNUMBER(SEARCH({"Unique","Unique Case Insensitive"}, $R176))) &gt; 0, "(" &amp; $R176 &amp; ")", ""))))</f>
        <v>na</v>
      </c>
      <c r="E176" s="7" t="s">
        <v>195</v>
      </c>
      <c r="F176" s="7" t="s">
        <v>195</v>
      </c>
      <c r="G176" s="7" t="s">
        <v>195</v>
      </c>
      <c r="H176" s="7" t="s">
        <v>195</v>
      </c>
      <c r="I176" s="7" t="s">
        <v>195</v>
      </c>
      <c r="J176" s="7" t="s">
        <v>195</v>
      </c>
      <c r="K176" s="7" t="s">
        <v>195</v>
      </c>
      <c r="L176" s="7" t="s">
        <v>195</v>
      </c>
      <c r="M176" s="7" t="s">
        <v>29</v>
      </c>
      <c r="N176" s="7" t="s">
        <v>29</v>
      </c>
      <c r="O176" s="7" t="s">
        <v>29</v>
      </c>
      <c r="P176" s="7" t="s">
        <v>29</v>
      </c>
      <c r="Q176" s="7" t="s">
        <v>29</v>
      </c>
      <c r="R176" s="7" t="s">
        <v>29</v>
      </c>
      <c r="S176" s="7" t="s">
        <v>29</v>
      </c>
    </row>
    <row r="177" spans="2:19">
      <c r="B177" s="7" t="s">
        <v>195</v>
      </c>
      <c r="C177" s="8" t="s">
        <v>195</v>
      </c>
      <c r="D177" s="5" t="str">
        <f>LRTRIM(CONCATENATE(IF(SUMPRODUCT(-- ISNUMBER(SEARCH({"Auto Number"}, $B177))) &gt; 0, $B177, IF(SUMPRODUCT(-- ISNUMBER(SEARCH({"Lookup","Master-Detail"}, $B177))) &gt; 0,$B177 &amp; "(" &amp; $E177 &amp; ")",IF(SUMPRODUCT(-- ISNUMBER(SEARCH({"Formula","Roll-Up Summary"}, $B177))) &gt; 0,$B177 &amp; " (" &amp; $E177 &amp; ")",IF(SUMPRODUCT(-- ISNUMBER(SEARCH({"Content","Currency","Number","Percent","Text","URL"}, $B177))) &gt; 0,$B177 &amp; "(" &amp; $C177 &amp; ")",$B177)))), "  ", TRIM(IF($S177 = "YES", "(External ID)", "") &amp; " " &amp; IF(SUMPRODUCT(-- ISNUMBER(SEARCH({"Unique","Unique Case Insensitive"}, $R177))) &gt; 0, "(" &amp; $R177 &amp; ")", ""))))</f>
        <v>na</v>
      </c>
      <c r="E177" s="7" t="s">
        <v>195</v>
      </c>
      <c r="F177" s="7" t="s">
        <v>195</v>
      </c>
      <c r="G177" s="7" t="s">
        <v>195</v>
      </c>
      <c r="H177" s="7" t="s">
        <v>195</v>
      </c>
      <c r="I177" s="7" t="s">
        <v>195</v>
      </c>
      <c r="J177" s="7" t="s">
        <v>195</v>
      </c>
      <c r="K177" s="7" t="s">
        <v>195</v>
      </c>
      <c r="L177" s="7" t="s">
        <v>195</v>
      </c>
      <c r="M177" s="7" t="s">
        <v>29</v>
      </c>
      <c r="N177" s="7" t="s">
        <v>29</v>
      </c>
      <c r="O177" s="7" t="s">
        <v>29</v>
      </c>
      <c r="P177" s="7" t="s">
        <v>29</v>
      </c>
      <c r="Q177" s="7" t="s">
        <v>29</v>
      </c>
      <c r="R177" s="7" t="s">
        <v>29</v>
      </c>
      <c r="S177" s="7" t="s">
        <v>29</v>
      </c>
    </row>
    <row r="178" spans="2:19">
      <c r="B178" s="7" t="s">
        <v>195</v>
      </c>
      <c r="C178" s="8" t="s">
        <v>195</v>
      </c>
      <c r="D178" s="5" t="str">
        <f>LRTRIM(CONCATENATE(IF(SUMPRODUCT(-- ISNUMBER(SEARCH({"Auto Number"}, $B178))) &gt; 0, $B178, IF(SUMPRODUCT(-- ISNUMBER(SEARCH({"Lookup","Master-Detail"}, $B178))) &gt; 0,$B178 &amp; "(" &amp; $E178 &amp; ")",IF(SUMPRODUCT(-- ISNUMBER(SEARCH({"Formula","Roll-Up Summary"}, $B178))) &gt; 0,$B178 &amp; " (" &amp; $E178 &amp; ")",IF(SUMPRODUCT(-- ISNUMBER(SEARCH({"Content","Currency","Number","Percent","Text","URL"}, $B178))) &gt; 0,$B178 &amp; "(" &amp; $C178 &amp; ")",$B178)))), "  ", TRIM(IF($S178 = "YES", "(External ID)", "") &amp; " " &amp; IF(SUMPRODUCT(-- ISNUMBER(SEARCH({"Unique","Unique Case Insensitive"}, $R178))) &gt; 0, "(" &amp; $R178 &amp; ")", ""))))</f>
        <v>na</v>
      </c>
      <c r="E178" s="7" t="s">
        <v>195</v>
      </c>
      <c r="F178" s="7" t="s">
        <v>195</v>
      </c>
      <c r="G178" s="7" t="s">
        <v>195</v>
      </c>
      <c r="H178" s="7" t="s">
        <v>195</v>
      </c>
      <c r="I178" s="7" t="s">
        <v>195</v>
      </c>
      <c r="J178" s="7" t="s">
        <v>195</v>
      </c>
      <c r="K178" s="7" t="s">
        <v>195</v>
      </c>
      <c r="L178" s="7" t="s">
        <v>195</v>
      </c>
      <c r="M178" s="7" t="s">
        <v>29</v>
      </c>
      <c r="N178" s="7" t="s">
        <v>29</v>
      </c>
      <c r="O178" s="7" t="s">
        <v>29</v>
      </c>
      <c r="P178" s="7" t="s">
        <v>29</v>
      </c>
      <c r="Q178" s="7" t="s">
        <v>29</v>
      </c>
      <c r="R178" s="7" t="s">
        <v>29</v>
      </c>
      <c r="S178" s="7" t="s">
        <v>29</v>
      </c>
    </row>
    <row r="179" spans="2:19">
      <c r="B179" s="7" t="s">
        <v>195</v>
      </c>
      <c r="C179" s="8" t="s">
        <v>195</v>
      </c>
      <c r="D179" s="5" t="str">
        <f>LRTRIM(CONCATENATE(IF(SUMPRODUCT(-- ISNUMBER(SEARCH({"Auto Number"}, $B179))) &gt; 0, $B179, IF(SUMPRODUCT(-- ISNUMBER(SEARCH({"Lookup","Master-Detail"}, $B179))) &gt; 0,$B179 &amp; "(" &amp; $E179 &amp; ")",IF(SUMPRODUCT(-- ISNUMBER(SEARCH({"Formula","Roll-Up Summary"}, $B179))) &gt; 0,$B179 &amp; " (" &amp; $E179 &amp; ")",IF(SUMPRODUCT(-- ISNUMBER(SEARCH({"Content","Currency","Number","Percent","Text","URL"}, $B179))) &gt; 0,$B179 &amp; "(" &amp; $C179 &amp; ")",$B179)))), "  ", TRIM(IF($S179 = "YES", "(External ID)", "") &amp; " " &amp; IF(SUMPRODUCT(-- ISNUMBER(SEARCH({"Unique","Unique Case Insensitive"}, $R179))) &gt; 0, "(" &amp; $R179 &amp; ")", ""))))</f>
        <v>na</v>
      </c>
      <c r="E179" s="7" t="s">
        <v>195</v>
      </c>
      <c r="F179" s="7" t="s">
        <v>195</v>
      </c>
      <c r="G179" s="7" t="s">
        <v>195</v>
      </c>
      <c r="H179" s="7" t="s">
        <v>195</v>
      </c>
      <c r="I179" s="7" t="s">
        <v>195</v>
      </c>
      <c r="J179" s="7" t="s">
        <v>195</v>
      </c>
      <c r="K179" s="7" t="s">
        <v>195</v>
      </c>
      <c r="L179" s="7" t="s">
        <v>195</v>
      </c>
      <c r="M179" s="7" t="s">
        <v>29</v>
      </c>
      <c r="N179" s="7" t="s">
        <v>29</v>
      </c>
      <c r="O179" s="7" t="s">
        <v>29</v>
      </c>
      <c r="P179" s="7" t="s">
        <v>29</v>
      </c>
      <c r="Q179" s="7" t="s">
        <v>29</v>
      </c>
      <c r="R179" s="7" t="s">
        <v>29</v>
      </c>
      <c r="S179" s="7" t="s">
        <v>29</v>
      </c>
    </row>
    <row r="180" spans="2:19">
      <c r="B180" s="7" t="s">
        <v>195</v>
      </c>
      <c r="C180" s="8" t="s">
        <v>195</v>
      </c>
      <c r="D180" s="5" t="str">
        <f>LRTRIM(CONCATENATE(IF(SUMPRODUCT(-- ISNUMBER(SEARCH({"Auto Number"}, $B180))) &gt; 0, $B180, IF(SUMPRODUCT(-- ISNUMBER(SEARCH({"Lookup","Master-Detail"}, $B180))) &gt; 0,$B180 &amp; "(" &amp; $E180 &amp; ")",IF(SUMPRODUCT(-- ISNUMBER(SEARCH({"Formula","Roll-Up Summary"}, $B180))) &gt; 0,$B180 &amp; " (" &amp; $E180 &amp; ")",IF(SUMPRODUCT(-- ISNUMBER(SEARCH({"Content","Currency","Number","Percent","Text","URL"}, $B180))) &gt; 0,$B180 &amp; "(" &amp; $C180 &amp; ")",$B180)))), "  ", TRIM(IF($S180 = "YES", "(External ID)", "") &amp; " " &amp; IF(SUMPRODUCT(-- ISNUMBER(SEARCH({"Unique","Unique Case Insensitive"}, $R180))) &gt; 0, "(" &amp; $R180 &amp; ")", ""))))</f>
        <v>na</v>
      </c>
      <c r="E180" s="7" t="s">
        <v>195</v>
      </c>
      <c r="F180" s="7" t="s">
        <v>195</v>
      </c>
      <c r="G180" s="7" t="s">
        <v>195</v>
      </c>
      <c r="H180" s="7" t="s">
        <v>195</v>
      </c>
      <c r="I180" s="7" t="s">
        <v>195</v>
      </c>
      <c r="J180" s="7" t="s">
        <v>195</v>
      </c>
      <c r="K180" s="7" t="s">
        <v>195</v>
      </c>
      <c r="L180" s="7" t="s">
        <v>195</v>
      </c>
      <c r="M180" s="7" t="s">
        <v>29</v>
      </c>
      <c r="N180" s="7" t="s">
        <v>29</v>
      </c>
      <c r="O180" s="7" t="s">
        <v>29</v>
      </c>
      <c r="P180" s="7" t="s">
        <v>29</v>
      </c>
      <c r="Q180" s="7" t="s">
        <v>29</v>
      </c>
      <c r="R180" s="7" t="s">
        <v>29</v>
      </c>
      <c r="S180" s="7" t="s">
        <v>29</v>
      </c>
    </row>
    <row r="181" spans="2:19">
      <c r="B181" s="7" t="s">
        <v>195</v>
      </c>
      <c r="C181" s="8" t="s">
        <v>195</v>
      </c>
      <c r="D181" s="5" t="str">
        <f>LRTRIM(CONCATENATE(IF(SUMPRODUCT(-- ISNUMBER(SEARCH({"Auto Number"}, $B181))) &gt; 0, $B181, IF(SUMPRODUCT(-- ISNUMBER(SEARCH({"Lookup","Master-Detail"}, $B181))) &gt; 0,$B181 &amp; "(" &amp; $E181 &amp; ")",IF(SUMPRODUCT(-- ISNUMBER(SEARCH({"Formula","Roll-Up Summary"}, $B181))) &gt; 0,$B181 &amp; " (" &amp; $E181 &amp; ")",IF(SUMPRODUCT(-- ISNUMBER(SEARCH({"Content","Currency","Number","Percent","Text","URL"}, $B181))) &gt; 0,$B181 &amp; "(" &amp; $C181 &amp; ")",$B181)))), "  ", TRIM(IF($S181 = "YES", "(External ID)", "") &amp; " " &amp; IF(SUMPRODUCT(-- ISNUMBER(SEARCH({"Unique","Unique Case Insensitive"}, $R181))) &gt; 0, "(" &amp; $R181 &amp; ")", ""))))</f>
        <v>na</v>
      </c>
      <c r="E181" s="7" t="s">
        <v>195</v>
      </c>
      <c r="F181" s="7" t="s">
        <v>195</v>
      </c>
      <c r="G181" s="7" t="s">
        <v>195</v>
      </c>
      <c r="H181" s="7" t="s">
        <v>195</v>
      </c>
      <c r="I181" s="7" t="s">
        <v>195</v>
      </c>
      <c r="J181" s="7" t="s">
        <v>195</v>
      </c>
      <c r="K181" s="7" t="s">
        <v>195</v>
      </c>
      <c r="L181" s="7" t="s">
        <v>195</v>
      </c>
      <c r="M181" s="7" t="s">
        <v>29</v>
      </c>
      <c r="N181" s="7" t="s">
        <v>29</v>
      </c>
      <c r="O181" s="7" t="s">
        <v>29</v>
      </c>
      <c r="P181" s="7" t="s">
        <v>29</v>
      </c>
      <c r="Q181" s="7" t="s">
        <v>29</v>
      </c>
      <c r="R181" s="7" t="s">
        <v>29</v>
      </c>
      <c r="S181" s="7" t="s">
        <v>29</v>
      </c>
    </row>
    <row r="182" spans="2:19">
      <c r="B182" s="7" t="s">
        <v>195</v>
      </c>
      <c r="C182" s="8" t="s">
        <v>195</v>
      </c>
      <c r="D182" s="5" t="str">
        <f>LRTRIM(CONCATENATE(IF(SUMPRODUCT(-- ISNUMBER(SEARCH({"Auto Number"}, $B182))) &gt; 0, $B182, IF(SUMPRODUCT(-- ISNUMBER(SEARCH({"Lookup","Master-Detail"}, $B182))) &gt; 0,$B182 &amp; "(" &amp; $E182 &amp; ")",IF(SUMPRODUCT(-- ISNUMBER(SEARCH({"Formula","Roll-Up Summary"}, $B182))) &gt; 0,$B182 &amp; " (" &amp; $E182 &amp; ")",IF(SUMPRODUCT(-- ISNUMBER(SEARCH({"Content","Currency","Number","Percent","Text","URL"}, $B182))) &gt; 0,$B182 &amp; "(" &amp; $C182 &amp; ")",$B182)))), "  ", TRIM(IF($S182 = "YES", "(External ID)", "") &amp; " " &amp; IF(SUMPRODUCT(-- ISNUMBER(SEARCH({"Unique","Unique Case Insensitive"}, $R182))) &gt; 0, "(" &amp; $R182 &amp; ")", ""))))</f>
        <v>na</v>
      </c>
      <c r="E182" s="7" t="s">
        <v>195</v>
      </c>
      <c r="F182" s="7" t="s">
        <v>195</v>
      </c>
      <c r="G182" s="7" t="s">
        <v>195</v>
      </c>
      <c r="H182" s="7" t="s">
        <v>195</v>
      </c>
      <c r="I182" s="7" t="s">
        <v>195</v>
      </c>
      <c r="J182" s="7" t="s">
        <v>195</v>
      </c>
      <c r="K182" s="7" t="s">
        <v>195</v>
      </c>
      <c r="L182" s="7" t="s">
        <v>195</v>
      </c>
      <c r="M182" s="7" t="s">
        <v>29</v>
      </c>
      <c r="N182" s="7" t="s">
        <v>29</v>
      </c>
      <c r="O182" s="7" t="s">
        <v>29</v>
      </c>
      <c r="P182" s="7" t="s">
        <v>29</v>
      </c>
      <c r="Q182" s="7" t="s">
        <v>29</v>
      </c>
      <c r="R182" s="7" t="s">
        <v>29</v>
      </c>
      <c r="S182" s="7" t="s">
        <v>29</v>
      </c>
    </row>
    <row r="183" spans="2:19">
      <c r="B183" s="7" t="s">
        <v>195</v>
      </c>
      <c r="C183" s="8" t="s">
        <v>195</v>
      </c>
      <c r="D183" s="5" t="str">
        <f>LRTRIM(CONCATENATE(IF(SUMPRODUCT(-- ISNUMBER(SEARCH({"Auto Number"}, $B183))) &gt; 0, $B183, IF(SUMPRODUCT(-- ISNUMBER(SEARCH({"Lookup","Master-Detail"}, $B183))) &gt; 0,$B183 &amp; "(" &amp; $E183 &amp; ")",IF(SUMPRODUCT(-- ISNUMBER(SEARCH({"Formula","Roll-Up Summary"}, $B183))) &gt; 0,$B183 &amp; " (" &amp; $E183 &amp; ")",IF(SUMPRODUCT(-- ISNUMBER(SEARCH({"Content","Currency","Number","Percent","Text","URL"}, $B183))) &gt; 0,$B183 &amp; "(" &amp; $C183 &amp; ")",$B183)))), "  ", TRIM(IF($S183 = "YES", "(External ID)", "") &amp; " " &amp; IF(SUMPRODUCT(-- ISNUMBER(SEARCH({"Unique","Unique Case Insensitive"}, $R183))) &gt; 0, "(" &amp; $R183 &amp; ")", ""))))</f>
        <v>na</v>
      </c>
      <c r="E183" s="7" t="s">
        <v>195</v>
      </c>
      <c r="F183" s="7" t="s">
        <v>195</v>
      </c>
      <c r="G183" s="7" t="s">
        <v>195</v>
      </c>
      <c r="H183" s="7" t="s">
        <v>195</v>
      </c>
      <c r="I183" s="7" t="s">
        <v>195</v>
      </c>
      <c r="J183" s="7" t="s">
        <v>195</v>
      </c>
      <c r="K183" s="7" t="s">
        <v>195</v>
      </c>
      <c r="L183" s="7" t="s">
        <v>195</v>
      </c>
      <c r="M183" s="7" t="s">
        <v>29</v>
      </c>
      <c r="N183" s="7" t="s">
        <v>29</v>
      </c>
      <c r="O183" s="7" t="s">
        <v>29</v>
      </c>
      <c r="P183" s="7" t="s">
        <v>29</v>
      </c>
      <c r="Q183" s="7" t="s">
        <v>29</v>
      </c>
      <c r="R183" s="7" t="s">
        <v>29</v>
      </c>
      <c r="S183" s="7" t="s">
        <v>29</v>
      </c>
    </row>
    <row r="184" spans="2:19">
      <c r="B184" s="7" t="s">
        <v>195</v>
      </c>
      <c r="C184" s="8" t="s">
        <v>195</v>
      </c>
      <c r="D184" s="5" t="str">
        <f>LRTRIM(CONCATENATE(IF(SUMPRODUCT(-- ISNUMBER(SEARCH({"Auto Number"}, $B184))) &gt; 0, $B184, IF(SUMPRODUCT(-- ISNUMBER(SEARCH({"Lookup","Master-Detail"}, $B184))) &gt; 0,$B184 &amp; "(" &amp; $E184 &amp; ")",IF(SUMPRODUCT(-- ISNUMBER(SEARCH({"Formula","Roll-Up Summary"}, $B184))) &gt; 0,$B184 &amp; " (" &amp; $E184 &amp; ")",IF(SUMPRODUCT(-- ISNUMBER(SEARCH({"Content","Currency","Number","Percent","Text","URL"}, $B184))) &gt; 0,$B184 &amp; "(" &amp; $C184 &amp; ")",$B184)))), "  ", TRIM(IF($S184 = "YES", "(External ID)", "") &amp; " " &amp; IF(SUMPRODUCT(-- ISNUMBER(SEARCH({"Unique","Unique Case Insensitive"}, $R184))) &gt; 0, "(" &amp; $R184 &amp; ")", ""))))</f>
        <v>na</v>
      </c>
      <c r="E184" s="7" t="s">
        <v>195</v>
      </c>
      <c r="F184" s="7" t="s">
        <v>195</v>
      </c>
      <c r="G184" s="7" t="s">
        <v>195</v>
      </c>
      <c r="H184" s="7" t="s">
        <v>195</v>
      </c>
      <c r="I184" s="7" t="s">
        <v>195</v>
      </c>
      <c r="J184" s="7" t="s">
        <v>195</v>
      </c>
      <c r="K184" s="7" t="s">
        <v>195</v>
      </c>
      <c r="L184" s="7" t="s">
        <v>195</v>
      </c>
      <c r="M184" s="7" t="s">
        <v>29</v>
      </c>
      <c r="N184" s="7" t="s">
        <v>29</v>
      </c>
      <c r="O184" s="7" t="s">
        <v>29</v>
      </c>
      <c r="P184" s="7" t="s">
        <v>29</v>
      </c>
      <c r="Q184" s="7" t="s">
        <v>29</v>
      </c>
      <c r="R184" s="7" t="s">
        <v>29</v>
      </c>
      <c r="S184" s="7" t="s">
        <v>29</v>
      </c>
    </row>
    <row r="185" spans="2:19">
      <c r="B185" s="7" t="s">
        <v>195</v>
      </c>
      <c r="C185" s="8" t="s">
        <v>195</v>
      </c>
      <c r="D185" s="5" t="str">
        <f>LRTRIM(CONCATENATE(IF(SUMPRODUCT(-- ISNUMBER(SEARCH({"Auto Number"}, $B185))) &gt; 0, $B185, IF(SUMPRODUCT(-- ISNUMBER(SEARCH({"Lookup","Master-Detail"}, $B185))) &gt; 0,$B185 &amp; "(" &amp; $E185 &amp; ")",IF(SUMPRODUCT(-- ISNUMBER(SEARCH({"Formula","Roll-Up Summary"}, $B185))) &gt; 0,$B185 &amp; " (" &amp; $E185 &amp; ")",IF(SUMPRODUCT(-- ISNUMBER(SEARCH({"Content","Currency","Number","Percent","Text","URL"}, $B185))) &gt; 0,$B185 &amp; "(" &amp; $C185 &amp; ")",$B185)))), "  ", TRIM(IF($S185 = "YES", "(External ID)", "") &amp; " " &amp; IF(SUMPRODUCT(-- ISNUMBER(SEARCH({"Unique","Unique Case Insensitive"}, $R185))) &gt; 0, "(" &amp; $R185 &amp; ")", ""))))</f>
        <v>na</v>
      </c>
      <c r="E185" s="7" t="s">
        <v>195</v>
      </c>
      <c r="F185" s="7" t="s">
        <v>195</v>
      </c>
      <c r="G185" s="7" t="s">
        <v>195</v>
      </c>
      <c r="H185" s="7" t="s">
        <v>195</v>
      </c>
      <c r="I185" s="7" t="s">
        <v>195</v>
      </c>
      <c r="J185" s="7" t="s">
        <v>195</v>
      </c>
      <c r="K185" s="7" t="s">
        <v>195</v>
      </c>
      <c r="L185" s="7" t="s">
        <v>195</v>
      </c>
      <c r="M185" s="7" t="s">
        <v>29</v>
      </c>
      <c r="N185" s="7" t="s">
        <v>29</v>
      </c>
      <c r="O185" s="7" t="s">
        <v>29</v>
      </c>
      <c r="P185" s="7" t="s">
        <v>29</v>
      </c>
      <c r="Q185" s="7" t="s">
        <v>29</v>
      </c>
      <c r="R185" s="7" t="s">
        <v>29</v>
      </c>
      <c r="S185" s="7" t="s">
        <v>29</v>
      </c>
    </row>
    <row r="186" spans="2:19">
      <c r="B186" s="7" t="s">
        <v>195</v>
      </c>
      <c r="C186" s="8" t="s">
        <v>195</v>
      </c>
      <c r="D186" s="5" t="str">
        <f>LRTRIM(CONCATENATE(IF(SUMPRODUCT(-- ISNUMBER(SEARCH({"Auto Number"}, $B186))) &gt; 0, $B186, IF(SUMPRODUCT(-- ISNUMBER(SEARCH({"Lookup","Master-Detail"}, $B186))) &gt; 0,$B186 &amp; "(" &amp; $E186 &amp; ")",IF(SUMPRODUCT(-- ISNUMBER(SEARCH({"Formula","Roll-Up Summary"}, $B186))) &gt; 0,$B186 &amp; " (" &amp; $E186 &amp; ")",IF(SUMPRODUCT(-- ISNUMBER(SEARCH({"Content","Currency","Number","Percent","Text","URL"}, $B186))) &gt; 0,$B186 &amp; "(" &amp; $C186 &amp; ")",$B186)))), "  ", TRIM(IF($S186 = "YES", "(External ID)", "") &amp; " " &amp; IF(SUMPRODUCT(-- ISNUMBER(SEARCH({"Unique","Unique Case Insensitive"}, $R186))) &gt; 0, "(" &amp; $R186 &amp; ")", ""))))</f>
        <v>na</v>
      </c>
      <c r="E186" s="7" t="s">
        <v>195</v>
      </c>
      <c r="F186" s="7" t="s">
        <v>195</v>
      </c>
      <c r="G186" s="7" t="s">
        <v>195</v>
      </c>
      <c r="H186" s="7" t="s">
        <v>195</v>
      </c>
      <c r="I186" s="7" t="s">
        <v>195</v>
      </c>
      <c r="J186" s="7" t="s">
        <v>195</v>
      </c>
      <c r="K186" s="7" t="s">
        <v>195</v>
      </c>
      <c r="L186" s="7" t="s">
        <v>195</v>
      </c>
      <c r="M186" s="7" t="s">
        <v>29</v>
      </c>
      <c r="N186" s="7" t="s">
        <v>29</v>
      </c>
      <c r="O186" s="7" t="s">
        <v>29</v>
      </c>
      <c r="P186" s="7" t="s">
        <v>29</v>
      </c>
      <c r="Q186" s="7" t="s">
        <v>29</v>
      </c>
      <c r="R186" s="7" t="s">
        <v>29</v>
      </c>
      <c r="S186" s="7" t="s">
        <v>29</v>
      </c>
    </row>
    <row r="187" spans="2:19">
      <c r="B187" s="7" t="s">
        <v>195</v>
      </c>
      <c r="C187" s="8" t="s">
        <v>195</v>
      </c>
      <c r="D187" s="5" t="str">
        <f>LRTRIM(CONCATENATE(IF(SUMPRODUCT(-- ISNUMBER(SEARCH({"Auto Number"}, $B187))) &gt; 0, $B187, IF(SUMPRODUCT(-- ISNUMBER(SEARCH({"Lookup","Master-Detail"}, $B187))) &gt; 0,$B187 &amp; "(" &amp; $E187 &amp; ")",IF(SUMPRODUCT(-- ISNUMBER(SEARCH({"Formula","Roll-Up Summary"}, $B187))) &gt; 0,$B187 &amp; " (" &amp; $E187 &amp; ")",IF(SUMPRODUCT(-- ISNUMBER(SEARCH({"Content","Currency","Number","Percent","Text","URL"}, $B187))) &gt; 0,$B187 &amp; "(" &amp; $C187 &amp; ")",$B187)))), "  ", TRIM(IF($S187 = "YES", "(External ID)", "") &amp; " " &amp; IF(SUMPRODUCT(-- ISNUMBER(SEARCH({"Unique","Unique Case Insensitive"}, $R187))) &gt; 0, "(" &amp; $R187 &amp; ")", ""))))</f>
        <v>na</v>
      </c>
      <c r="E187" s="7" t="s">
        <v>195</v>
      </c>
      <c r="F187" s="7" t="s">
        <v>195</v>
      </c>
      <c r="G187" s="7" t="s">
        <v>195</v>
      </c>
      <c r="H187" s="7" t="s">
        <v>195</v>
      </c>
      <c r="I187" s="7" t="s">
        <v>195</v>
      </c>
      <c r="J187" s="7" t="s">
        <v>195</v>
      </c>
      <c r="K187" s="7" t="s">
        <v>195</v>
      </c>
      <c r="L187" s="7" t="s">
        <v>195</v>
      </c>
      <c r="M187" s="7" t="s">
        <v>29</v>
      </c>
      <c r="N187" s="7" t="s">
        <v>29</v>
      </c>
      <c r="O187" s="7" t="s">
        <v>29</v>
      </c>
      <c r="P187" s="7" t="s">
        <v>29</v>
      </c>
      <c r="Q187" s="7" t="s">
        <v>29</v>
      </c>
      <c r="R187" s="7" t="s">
        <v>29</v>
      </c>
      <c r="S187" s="7" t="s">
        <v>29</v>
      </c>
    </row>
    <row r="188" spans="2:19">
      <c r="B188" s="7" t="s">
        <v>195</v>
      </c>
      <c r="C188" s="8" t="s">
        <v>195</v>
      </c>
      <c r="D188" s="5" t="str">
        <f>LRTRIM(CONCATENATE(IF(SUMPRODUCT(-- ISNUMBER(SEARCH({"Auto Number"}, $B188))) &gt; 0, $B188, IF(SUMPRODUCT(-- ISNUMBER(SEARCH({"Lookup","Master-Detail"}, $B188))) &gt; 0,$B188 &amp; "(" &amp; $E188 &amp; ")",IF(SUMPRODUCT(-- ISNUMBER(SEARCH({"Formula","Roll-Up Summary"}, $B188))) &gt; 0,$B188 &amp; " (" &amp; $E188 &amp; ")",IF(SUMPRODUCT(-- ISNUMBER(SEARCH({"Content","Currency","Number","Percent","Text","URL"}, $B188))) &gt; 0,$B188 &amp; "(" &amp; $C188 &amp; ")",$B188)))), "  ", TRIM(IF($S188 = "YES", "(External ID)", "") &amp; " " &amp; IF(SUMPRODUCT(-- ISNUMBER(SEARCH({"Unique","Unique Case Insensitive"}, $R188))) &gt; 0, "(" &amp; $R188 &amp; ")", ""))))</f>
        <v>na</v>
      </c>
      <c r="E188" s="7" t="s">
        <v>195</v>
      </c>
      <c r="F188" s="7" t="s">
        <v>195</v>
      </c>
      <c r="G188" s="7" t="s">
        <v>195</v>
      </c>
      <c r="H188" s="7" t="s">
        <v>195</v>
      </c>
      <c r="I188" s="7" t="s">
        <v>195</v>
      </c>
      <c r="J188" s="7" t="s">
        <v>195</v>
      </c>
      <c r="K188" s="7" t="s">
        <v>195</v>
      </c>
      <c r="L188" s="7" t="s">
        <v>195</v>
      </c>
      <c r="M188" s="7" t="s">
        <v>29</v>
      </c>
      <c r="N188" s="7" t="s">
        <v>29</v>
      </c>
      <c r="O188" s="7" t="s">
        <v>29</v>
      </c>
      <c r="P188" s="7" t="s">
        <v>29</v>
      </c>
      <c r="Q188" s="7" t="s">
        <v>29</v>
      </c>
      <c r="R188" s="7" t="s">
        <v>29</v>
      </c>
      <c r="S188" s="7" t="s">
        <v>29</v>
      </c>
    </row>
    <row r="189" spans="2:19">
      <c r="B189" s="7" t="s">
        <v>195</v>
      </c>
      <c r="C189" s="8" t="s">
        <v>195</v>
      </c>
      <c r="D189" s="5" t="str">
        <f>LRTRIM(CONCATENATE(IF(SUMPRODUCT(-- ISNUMBER(SEARCH({"Auto Number"}, $B189))) &gt; 0, $B189, IF(SUMPRODUCT(-- ISNUMBER(SEARCH({"Lookup","Master-Detail"}, $B189))) &gt; 0,$B189 &amp; "(" &amp; $E189 &amp; ")",IF(SUMPRODUCT(-- ISNUMBER(SEARCH({"Formula","Roll-Up Summary"}, $B189))) &gt; 0,$B189 &amp; " (" &amp; $E189 &amp; ")",IF(SUMPRODUCT(-- ISNUMBER(SEARCH({"Content","Currency","Number","Percent","Text","URL"}, $B189))) &gt; 0,$B189 &amp; "(" &amp; $C189 &amp; ")",$B189)))), "  ", TRIM(IF($S189 = "YES", "(External ID)", "") &amp; " " &amp; IF(SUMPRODUCT(-- ISNUMBER(SEARCH({"Unique","Unique Case Insensitive"}, $R189))) &gt; 0, "(" &amp; $R189 &amp; ")", ""))))</f>
        <v>na</v>
      </c>
      <c r="E189" s="7" t="s">
        <v>195</v>
      </c>
      <c r="F189" s="7" t="s">
        <v>195</v>
      </c>
      <c r="G189" s="7" t="s">
        <v>195</v>
      </c>
      <c r="H189" s="7" t="s">
        <v>195</v>
      </c>
      <c r="I189" s="7" t="s">
        <v>195</v>
      </c>
      <c r="J189" s="7" t="s">
        <v>195</v>
      </c>
      <c r="K189" s="7" t="s">
        <v>195</v>
      </c>
      <c r="L189" s="7" t="s">
        <v>195</v>
      </c>
      <c r="M189" s="7" t="s">
        <v>29</v>
      </c>
      <c r="N189" s="7" t="s">
        <v>29</v>
      </c>
      <c r="O189" s="7" t="s">
        <v>29</v>
      </c>
      <c r="P189" s="7" t="s">
        <v>29</v>
      </c>
      <c r="Q189" s="7" t="s">
        <v>29</v>
      </c>
      <c r="R189" s="7" t="s">
        <v>29</v>
      </c>
      <c r="S189" s="7" t="s">
        <v>29</v>
      </c>
    </row>
    <row r="190" spans="2:19">
      <c r="B190" s="7" t="s">
        <v>195</v>
      </c>
      <c r="C190" s="8" t="s">
        <v>195</v>
      </c>
      <c r="D190" s="5" t="str">
        <f>LRTRIM(CONCATENATE(IF(SUMPRODUCT(-- ISNUMBER(SEARCH({"Auto Number"}, $B190))) &gt; 0, $B190, IF(SUMPRODUCT(-- ISNUMBER(SEARCH({"Lookup","Master-Detail"}, $B190))) &gt; 0,$B190 &amp; "(" &amp; $E190 &amp; ")",IF(SUMPRODUCT(-- ISNUMBER(SEARCH({"Formula","Roll-Up Summary"}, $B190))) &gt; 0,$B190 &amp; " (" &amp; $E190 &amp; ")",IF(SUMPRODUCT(-- ISNUMBER(SEARCH({"Content","Currency","Number","Percent","Text","URL"}, $B190))) &gt; 0,$B190 &amp; "(" &amp; $C190 &amp; ")",$B190)))), "  ", TRIM(IF($S190 = "YES", "(External ID)", "") &amp; " " &amp; IF(SUMPRODUCT(-- ISNUMBER(SEARCH({"Unique","Unique Case Insensitive"}, $R190))) &gt; 0, "(" &amp; $R190 &amp; ")", ""))))</f>
        <v>na</v>
      </c>
      <c r="E190" s="7" t="s">
        <v>195</v>
      </c>
      <c r="F190" s="7" t="s">
        <v>195</v>
      </c>
      <c r="G190" s="7" t="s">
        <v>195</v>
      </c>
      <c r="H190" s="7" t="s">
        <v>195</v>
      </c>
      <c r="I190" s="7" t="s">
        <v>195</v>
      </c>
      <c r="J190" s="7" t="s">
        <v>195</v>
      </c>
      <c r="K190" s="7" t="s">
        <v>195</v>
      </c>
      <c r="L190" s="7" t="s">
        <v>195</v>
      </c>
      <c r="M190" s="7" t="s">
        <v>29</v>
      </c>
      <c r="N190" s="7" t="s">
        <v>29</v>
      </c>
      <c r="O190" s="7" t="s">
        <v>29</v>
      </c>
      <c r="P190" s="7" t="s">
        <v>29</v>
      </c>
      <c r="Q190" s="7" t="s">
        <v>29</v>
      </c>
      <c r="R190" s="7" t="s">
        <v>29</v>
      </c>
      <c r="S190" s="7" t="s">
        <v>29</v>
      </c>
    </row>
    <row r="191" spans="2:19">
      <c r="B191" s="7" t="s">
        <v>195</v>
      </c>
      <c r="C191" s="8" t="s">
        <v>195</v>
      </c>
      <c r="D191" s="5" t="str">
        <f>LRTRIM(CONCATENATE(IF(SUMPRODUCT(-- ISNUMBER(SEARCH({"Auto Number"}, $B191))) &gt; 0, $B191, IF(SUMPRODUCT(-- ISNUMBER(SEARCH({"Lookup","Master-Detail"}, $B191))) &gt; 0,$B191 &amp; "(" &amp; $E191 &amp; ")",IF(SUMPRODUCT(-- ISNUMBER(SEARCH({"Formula","Roll-Up Summary"}, $B191))) &gt; 0,$B191 &amp; " (" &amp; $E191 &amp; ")",IF(SUMPRODUCT(-- ISNUMBER(SEARCH({"Content","Currency","Number","Percent","Text","URL"}, $B191))) &gt; 0,$B191 &amp; "(" &amp; $C191 &amp; ")",$B191)))), "  ", TRIM(IF($S191 = "YES", "(External ID)", "") &amp; " " &amp; IF(SUMPRODUCT(-- ISNUMBER(SEARCH({"Unique","Unique Case Insensitive"}, $R191))) &gt; 0, "(" &amp; $R191 &amp; ")", ""))))</f>
        <v>na</v>
      </c>
      <c r="E191" s="7" t="s">
        <v>195</v>
      </c>
      <c r="F191" s="7" t="s">
        <v>195</v>
      </c>
      <c r="G191" s="7" t="s">
        <v>195</v>
      </c>
      <c r="H191" s="7" t="s">
        <v>195</v>
      </c>
      <c r="I191" s="7" t="s">
        <v>195</v>
      </c>
      <c r="J191" s="7" t="s">
        <v>195</v>
      </c>
      <c r="K191" s="7" t="s">
        <v>195</v>
      </c>
      <c r="L191" s="7" t="s">
        <v>195</v>
      </c>
      <c r="M191" s="7" t="s">
        <v>29</v>
      </c>
      <c r="N191" s="7" t="s">
        <v>29</v>
      </c>
      <c r="O191" s="7" t="s">
        <v>29</v>
      </c>
      <c r="P191" s="7" t="s">
        <v>29</v>
      </c>
      <c r="Q191" s="7" t="s">
        <v>29</v>
      </c>
      <c r="R191" s="7" t="s">
        <v>29</v>
      </c>
      <c r="S191" s="7" t="s">
        <v>29</v>
      </c>
    </row>
    <row r="192" spans="2:19">
      <c r="B192" s="7" t="s">
        <v>195</v>
      </c>
      <c r="C192" s="8" t="s">
        <v>195</v>
      </c>
      <c r="D192" s="5" t="str">
        <f>LRTRIM(CONCATENATE(IF(SUMPRODUCT(-- ISNUMBER(SEARCH({"Auto Number"}, $B192))) &gt; 0, $B192, IF(SUMPRODUCT(-- ISNUMBER(SEARCH({"Lookup","Master-Detail"}, $B192))) &gt; 0,$B192 &amp; "(" &amp; $E192 &amp; ")",IF(SUMPRODUCT(-- ISNUMBER(SEARCH({"Formula","Roll-Up Summary"}, $B192))) &gt; 0,$B192 &amp; " (" &amp; $E192 &amp; ")",IF(SUMPRODUCT(-- ISNUMBER(SEARCH({"Content","Currency","Number","Percent","Text","URL"}, $B192))) &gt; 0,$B192 &amp; "(" &amp; $C192 &amp; ")",$B192)))), "  ", TRIM(IF($S192 = "YES", "(External ID)", "") &amp; " " &amp; IF(SUMPRODUCT(-- ISNUMBER(SEARCH({"Unique","Unique Case Insensitive"}, $R192))) &gt; 0, "(" &amp; $R192 &amp; ")", ""))))</f>
        <v>na</v>
      </c>
      <c r="E192" s="7" t="s">
        <v>195</v>
      </c>
      <c r="F192" s="7" t="s">
        <v>195</v>
      </c>
      <c r="G192" s="7" t="s">
        <v>195</v>
      </c>
      <c r="H192" s="7" t="s">
        <v>195</v>
      </c>
      <c r="I192" s="7" t="s">
        <v>195</v>
      </c>
      <c r="J192" s="7" t="s">
        <v>195</v>
      </c>
      <c r="K192" s="7" t="s">
        <v>195</v>
      </c>
      <c r="L192" s="7" t="s">
        <v>195</v>
      </c>
      <c r="M192" s="7" t="s">
        <v>29</v>
      </c>
      <c r="N192" s="7" t="s">
        <v>29</v>
      </c>
      <c r="O192" s="7" t="s">
        <v>29</v>
      </c>
      <c r="P192" s="7" t="s">
        <v>29</v>
      </c>
      <c r="Q192" s="7" t="s">
        <v>29</v>
      </c>
      <c r="R192" s="7" t="s">
        <v>29</v>
      </c>
      <c r="S192" s="7" t="s">
        <v>29</v>
      </c>
    </row>
    <row r="193" spans="2:19">
      <c r="B193" s="7" t="s">
        <v>195</v>
      </c>
      <c r="C193" s="8" t="s">
        <v>195</v>
      </c>
      <c r="D193" s="5" t="str">
        <f>LRTRIM(CONCATENATE(IF(SUMPRODUCT(-- ISNUMBER(SEARCH({"Auto Number"}, $B193))) &gt; 0, $B193, IF(SUMPRODUCT(-- ISNUMBER(SEARCH({"Lookup","Master-Detail"}, $B193))) &gt; 0,$B193 &amp; "(" &amp; $E193 &amp; ")",IF(SUMPRODUCT(-- ISNUMBER(SEARCH({"Formula","Roll-Up Summary"}, $B193))) &gt; 0,$B193 &amp; " (" &amp; $E193 &amp; ")",IF(SUMPRODUCT(-- ISNUMBER(SEARCH({"Content","Currency","Number","Percent","Text","URL"}, $B193))) &gt; 0,$B193 &amp; "(" &amp; $C193 &amp; ")",$B193)))), "  ", TRIM(IF($S193 = "YES", "(External ID)", "") &amp; " " &amp; IF(SUMPRODUCT(-- ISNUMBER(SEARCH({"Unique","Unique Case Insensitive"}, $R193))) &gt; 0, "(" &amp; $R193 &amp; ")", ""))))</f>
        <v>na</v>
      </c>
      <c r="E193" s="7" t="s">
        <v>195</v>
      </c>
      <c r="F193" s="7" t="s">
        <v>195</v>
      </c>
      <c r="G193" s="7" t="s">
        <v>195</v>
      </c>
      <c r="H193" s="7" t="s">
        <v>195</v>
      </c>
      <c r="I193" s="7" t="s">
        <v>195</v>
      </c>
      <c r="J193" s="7" t="s">
        <v>195</v>
      </c>
      <c r="K193" s="7" t="s">
        <v>195</v>
      </c>
      <c r="L193" s="7" t="s">
        <v>195</v>
      </c>
      <c r="M193" s="7" t="s">
        <v>29</v>
      </c>
      <c r="N193" s="7" t="s">
        <v>29</v>
      </c>
      <c r="O193" s="7" t="s">
        <v>29</v>
      </c>
      <c r="P193" s="7" t="s">
        <v>29</v>
      </c>
      <c r="Q193" s="7" t="s">
        <v>29</v>
      </c>
      <c r="R193" s="7" t="s">
        <v>29</v>
      </c>
      <c r="S193" s="7" t="s">
        <v>29</v>
      </c>
    </row>
    <row r="194" spans="2:19">
      <c r="B194" s="7" t="s">
        <v>195</v>
      </c>
      <c r="C194" s="8" t="s">
        <v>195</v>
      </c>
      <c r="D194" s="5" t="str">
        <f>LRTRIM(CONCATENATE(IF(SUMPRODUCT(-- ISNUMBER(SEARCH({"Auto Number"}, $B194))) &gt; 0, $B194, IF(SUMPRODUCT(-- ISNUMBER(SEARCH({"Lookup","Master-Detail"}, $B194))) &gt; 0,$B194 &amp; "(" &amp; $E194 &amp; ")",IF(SUMPRODUCT(-- ISNUMBER(SEARCH({"Formula","Roll-Up Summary"}, $B194))) &gt; 0,$B194 &amp; " (" &amp; $E194 &amp; ")",IF(SUMPRODUCT(-- ISNUMBER(SEARCH({"Content","Currency","Number","Percent","Text","URL"}, $B194))) &gt; 0,$B194 &amp; "(" &amp; $C194 &amp; ")",$B194)))), "  ", TRIM(IF($S194 = "YES", "(External ID)", "") &amp; " " &amp; IF(SUMPRODUCT(-- ISNUMBER(SEARCH({"Unique","Unique Case Insensitive"}, $R194))) &gt; 0, "(" &amp; $R194 &amp; ")", ""))))</f>
        <v>na</v>
      </c>
      <c r="E194" s="7" t="s">
        <v>195</v>
      </c>
      <c r="F194" s="7" t="s">
        <v>195</v>
      </c>
      <c r="G194" s="7" t="s">
        <v>195</v>
      </c>
      <c r="H194" s="7" t="s">
        <v>195</v>
      </c>
      <c r="I194" s="7" t="s">
        <v>195</v>
      </c>
      <c r="J194" s="7" t="s">
        <v>195</v>
      </c>
      <c r="K194" s="7" t="s">
        <v>195</v>
      </c>
      <c r="L194" s="7" t="s">
        <v>195</v>
      </c>
      <c r="M194" s="7" t="s">
        <v>29</v>
      </c>
      <c r="N194" s="7" t="s">
        <v>29</v>
      </c>
      <c r="O194" s="7" t="s">
        <v>29</v>
      </c>
      <c r="P194" s="7" t="s">
        <v>29</v>
      </c>
      <c r="Q194" s="7" t="s">
        <v>29</v>
      </c>
      <c r="R194" s="7" t="s">
        <v>29</v>
      </c>
      <c r="S194" s="7" t="s">
        <v>29</v>
      </c>
    </row>
    <row r="195" spans="2:19">
      <c r="B195" s="7" t="s">
        <v>195</v>
      </c>
      <c r="C195" s="8" t="s">
        <v>195</v>
      </c>
      <c r="D195" s="5" t="str">
        <f>LRTRIM(CONCATENATE(IF(SUMPRODUCT(-- ISNUMBER(SEARCH({"Auto Number"}, $B195))) &gt; 0, $B195, IF(SUMPRODUCT(-- ISNUMBER(SEARCH({"Lookup","Master-Detail"}, $B195))) &gt; 0,$B195 &amp; "(" &amp; $E195 &amp; ")",IF(SUMPRODUCT(-- ISNUMBER(SEARCH({"Formula","Roll-Up Summary"}, $B195))) &gt; 0,$B195 &amp; " (" &amp; $E195 &amp; ")",IF(SUMPRODUCT(-- ISNUMBER(SEARCH({"Content","Currency","Number","Percent","Text","URL"}, $B195))) &gt; 0,$B195 &amp; "(" &amp; $C195 &amp; ")",$B195)))), "  ", TRIM(IF($S195 = "YES", "(External ID)", "") &amp; " " &amp; IF(SUMPRODUCT(-- ISNUMBER(SEARCH({"Unique","Unique Case Insensitive"}, $R195))) &gt; 0, "(" &amp; $R195 &amp; ")", ""))))</f>
        <v>na</v>
      </c>
      <c r="E195" s="7" t="s">
        <v>195</v>
      </c>
      <c r="F195" s="7" t="s">
        <v>195</v>
      </c>
      <c r="G195" s="7" t="s">
        <v>195</v>
      </c>
      <c r="H195" s="7" t="s">
        <v>195</v>
      </c>
      <c r="I195" s="7" t="s">
        <v>195</v>
      </c>
      <c r="J195" s="7" t="s">
        <v>195</v>
      </c>
      <c r="K195" s="7" t="s">
        <v>195</v>
      </c>
      <c r="L195" s="7" t="s">
        <v>195</v>
      </c>
      <c r="M195" s="7" t="s">
        <v>29</v>
      </c>
      <c r="N195" s="7" t="s">
        <v>29</v>
      </c>
      <c r="O195" s="7" t="s">
        <v>29</v>
      </c>
      <c r="P195" s="7" t="s">
        <v>29</v>
      </c>
      <c r="Q195" s="7" t="s">
        <v>29</v>
      </c>
      <c r="R195" s="7" t="s">
        <v>29</v>
      </c>
      <c r="S195" s="7" t="s">
        <v>29</v>
      </c>
    </row>
    <row r="196" spans="2:19">
      <c r="B196" s="7" t="s">
        <v>195</v>
      </c>
      <c r="C196" s="8" t="s">
        <v>195</v>
      </c>
      <c r="D196" s="5" t="str">
        <f>LRTRIM(CONCATENATE(IF(SUMPRODUCT(-- ISNUMBER(SEARCH({"Auto Number"}, $B196))) &gt; 0, $B196, IF(SUMPRODUCT(-- ISNUMBER(SEARCH({"Lookup","Master-Detail"}, $B196))) &gt; 0,$B196 &amp; "(" &amp; $E196 &amp; ")",IF(SUMPRODUCT(-- ISNUMBER(SEARCH({"Formula","Roll-Up Summary"}, $B196))) &gt; 0,$B196 &amp; " (" &amp; $E196 &amp; ")",IF(SUMPRODUCT(-- ISNUMBER(SEARCH({"Content","Currency","Number","Percent","Text","URL"}, $B196))) &gt; 0,$B196 &amp; "(" &amp; $C196 &amp; ")",$B196)))), "  ", TRIM(IF($S196 = "YES", "(External ID)", "") &amp; " " &amp; IF(SUMPRODUCT(-- ISNUMBER(SEARCH({"Unique","Unique Case Insensitive"}, $R196))) &gt; 0, "(" &amp; $R196 &amp; ")", ""))))</f>
        <v>na</v>
      </c>
      <c r="E196" s="7" t="s">
        <v>195</v>
      </c>
      <c r="F196" s="7" t="s">
        <v>195</v>
      </c>
      <c r="G196" s="7" t="s">
        <v>195</v>
      </c>
      <c r="H196" s="7" t="s">
        <v>195</v>
      </c>
      <c r="I196" s="7" t="s">
        <v>195</v>
      </c>
      <c r="J196" s="7" t="s">
        <v>195</v>
      </c>
      <c r="K196" s="7" t="s">
        <v>195</v>
      </c>
      <c r="L196" s="7" t="s">
        <v>195</v>
      </c>
      <c r="M196" s="7" t="s">
        <v>29</v>
      </c>
      <c r="N196" s="7" t="s">
        <v>29</v>
      </c>
      <c r="O196" s="7" t="s">
        <v>29</v>
      </c>
      <c r="P196" s="7" t="s">
        <v>29</v>
      </c>
      <c r="Q196" s="7" t="s">
        <v>29</v>
      </c>
      <c r="R196" s="7" t="s">
        <v>29</v>
      </c>
      <c r="S196" s="7" t="s">
        <v>29</v>
      </c>
    </row>
    <row r="197" spans="2:19">
      <c r="B197" s="7" t="s">
        <v>195</v>
      </c>
      <c r="C197" s="8" t="s">
        <v>195</v>
      </c>
      <c r="D197" s="5" t="str">
        <f>LRTRIM(CONCATENATE(IF(SUMPRODUCT(-- ISNUMBER(SEARCH({"Auto Number"}, $B197))) &gt; 0, $B197, IF(SUMPRODUCT(-- ISNUMBER(SEARCH({"Lookup","Master-Detail"}, $B197))) &gt; 0,$B197 &amp; "(" &amp; $E197 &amp; ")",IF(SUMPRODUCT(-- ISNUMBER(SEARCH({"Formula","Roll-Up Summary"}, $B197))) &gt; 0,$B197 &amp; " (" &amp; $E197 &amp; ")",IF(SUMPRODUCT(-- ISNUMBER(SEARCH({"Content","Currency","Number","Percent","Text","URL"}, $B197))) &gt; 0,$B197 &amp; "(" &amp; $C197 &amp; ")",$B197)))), "  ", TRIM(IF($S197 = "YES", "(External ID)", "") &amp; " " &amp; IF(SUMPRODUCT(-- ISNUMBER(SEARCH({"Unique","Unique Case Insensitive"}, $R197))) &gt; 0, "(" &amp; $R197 &amp; ")", ""))))</f>
        <v>na</v>
      </c>
      <c r="E197" s="7" t="s">
        <v>195</v>
      </c>
      <c r="F197" s="7" t="s">
        <v>195</v>
      </c>
      <c r="G197" s="7" t="s">
        <v>195</v>
      </c>
      <c r="H197" s="7" t="s">
        <v>195</v>
      </c>
      <c r="I197" s="7" t="s">
        <v>195</v>
      </c>
      <c r="J197" s="7" t="s">
        <v>195</v>
      </c>
      <c r="K197" s="7" t="s">
        <v>195</v>
      </c>
      <c r="L197" s="7" t="s">
        <v>195</v>
      </c>
      <c r="M197" s="7" t="s">
        <v>29</v>
      </c>
      <c r="N197" s="7" t="s">
        <v>29</v>
      </c>
      <c r="O197" s="7" t="s">
        <v>29</v>
      </c>
      <c r="P197" s="7" t="s">
        <v>29</v>
      </c>
      <c r="Q197" s="7" t="s">
        <v>29</v>
      </c>
      <c r="R197" s="7" t="s">
        <v>29</v>
      </c>
      <c r="S197" s="7" t="s">
        <v>29</v>
      </c>
    </row>
    <row r="198" spans="2:19">
      <c r="B198" s="7" t="s">
        <v>195</v>
      </c>
      <c r="C198" s="8" t="s">
        <v>195</v>
      </c>
      <c r="D198" s="5" t="str">
        <f>LRTRIM(CONCATENATE(IF(SUMPRODUCT(-- ISNUMBER(SEARCH({"Auto Number"}, $B198))) &gt; 0, $B198, IF(SUMPRODUCT(-- ISNUMBER(SEARCH({"Lookup","Master-Detail"}, $B198))) &gt; 0,$B198 &amp; "(" &amp; $E198 &amp; ")",IF(SUMPRODUCT(-- ISNUMBER(SEARCH({"Formula","Roll-Up Summary"}, $B198))) &gt; 0,$B198 &amp; " (" &amp; $E198 &amp; ")",IF(SUMPRODUCT(-- ISNUMBER(SEARCH({"Content","Currency","Number","Percent","Text","URL"}, $B198))) &gt; 0,$B198 &amp; "(" &amp; $C198 &amp; ")",$B198)))), "  ", TRIM(IF($S198 = "YES", "(External ID)", "") &amp; " " &amp; IF(SUMPRODUCT(-- ISNUMBER(SEARCH({"Unique","Unique Case Insensitive"}, $R198))) &gt; 0, "(" &amp; $R198 &amp; ")", ""))))</f>
        <v>na</v>
      </c>
      <c r="E198" s="7" t="s">
        <v>195</v>
      </c>
      <c r="F198" s="7" t="s">
        <v>195</v>
      </c>
      <c r="G198" s="7" t="s">
        <v>195</v>
      </c>
      <c r="H198" s="7" t="s">
        <v>195</v>
      </c>
      <c r="I198" s="7" t="s">
        <v>195</v>
      </c>
      <c r="J198" s="7" t="s">
        <v>195</v>
      </c>
      <c r="K198" s="7" t="s">
        <v>195</v>
      </c>
      <c r="L198" s="7" t="s">
        <v>195</v>
      </c>
      <c r="M198" s="7" t="s">
        <v>29</v>
      </c>
      <c r="N198" s="7" t="s">
        <v>29</v>
      </c>
      <c r="O198" s="7" t="s">
        <v>29</v>
      </c>
      <c r="P198" s="7" t="s">
        <v>29</v>
      </c>
      <c r="Q198" s="7" t="s">
        <v>29</v>
      </c>
      <c r="R198" s="7" t="s">
        <v>29</v>
      </c>
      <c r="S198" s="7" t="s">
        <v>29</v>
      </c>
    </row>
    <row r="199" spans="2:19">
      <c r="B199" s="7" t="s">
        <v>195</v>
      </c>
      <c r="C199" s="8" t="s">
        <v>195</v>
      </c>
      <c r="D199" s="5" t="str">
        <f>LRTRIM(CONCATENATE(IF(SUMPRODUCT(-- ISNUMBER(SEARCH({"Auto Number"}, $B199))) &gt; 0, $B199, IF(SUMPRODUCT(-- ISNUMBER(SEARCH({"Lookup","Master-Detail"}, $B199))) &gt; 0,$B199 &amp; "(" &amp; $E199 &amp; ")",IF(SUMPRODUCT(-- ISNUMBER(SEARCH({"Formula","Roll-Up Summary"}, $B199))) &gt; 0,$B199 &amp; " (" &amp; $E199 &amp; ")",IF(SUMPRODUCT(-- ISNUMBER(SEARCH({"Content","Currency","Number","Percent","Text","URL"}, $B199))) &gt; 0,$B199 &amp; "(" &amp; $C199 &amp; ")",$B199)))), "  ", TRIM(IF($S199 = "YES", "(External ID)", "") &amp; " " &amp; IF(SUMPRODUCT(-- ISNUMBER(SEARCH({"Unique","Unique Case Insensitive"}, $R199))) &gt; 0, "(" &amp; $R199 &amp; ")", ""))))</f>
        <v>na</v>
      </c>
      <c r="E199" s="7" t="s">
        <v>195</v>
      </c>
      <c r="F199" s="7" t="s">
        <v>195</v>
      </c>
      <c r="G199" s="7" t="s">
        <v>195</v>
      </c>
      <c r="H199" s="7" t="s">
        <v>195</v>
      </c>
      <c r="I199" s="7" t="s">
        <v>195</v>
      </c>
      <c r="J199" s="7" t="s">
        <v>195</v>
      </c>
      <c r="K199" s="7" t="s">
        <v>195</v>
      </c>
      <c r="L199" s="7" t="s">
        <v>195</v>
      </c>
      <c r="M199" s="7" t="s">
        <v>29</v>
      </c>
      <c r="N199" s="7" t="s">
        <v>29</v>
      </c>
      <c r="O199" s="7" t="s">
        <v>29</v>
      </c>
      <c r="P199" s="7" t="s">
        <v>29</v>
      </c>
      <c r="Q199" s="7" t="s">
        <v>29</v>
      </c>
      <c r="R199" s="7" t="s">
        <v>29</v>
      </c>
      <c r="S199" s="7" t="s">
        <v>29</v>
      </c>
    </row>
    <row r="200" spans="2:19">
      <c r="B200" s="7" t="s">
        <v>195</v>
      </c>
      <c r="C200" s="8" t="s">
        <v>195</v>
      </c>
      <c r="D200" s="5" t="str">
        <f>LRTRIM(CONCATENATE(IF(SUMPRODUCT(-- ISNUMBER(SEARCH({"Auto Number"}, $B200))) &gt; 0, $B200, IF(SUMPRODUCT(-- ISNUMBER(SEARCH({"Lookup","Master-Detail"}, $B200))) &gt; 0,$B200 &amp; "(" &amp; $E200 &amp; ")",IF(SUMPRODUCT(-- ISNUMBER(SEARCH({"Formula","Roll-Up Summary"}, $B200))) &gt; 0,$B200 &amp; " (" &amp; $E200 &amp; ")",IF(SUMPRODUCT(-- ISNUMBER(SEARCH({"Content","Currency","Number","Percent","Text","URL"}, $B200))) &gt; 0,$B200 &amp; "(" &amp; $C200 &amp; ")",$B200)))), "  ", TRIM(IF($S200 = "YES", "(External ID)", "") &amp; " " &amp; IF(SUMPRODUCT(-- ISNUMBER(SEARCH({"Unique","Unique Case Insensitive"}, $R200))) &gt; 0, "(" &amp; $R200 &amp; ")", ""))))</f>
        <v>na</v>
      </c>
      <c r="E200" s="7" t="s">
        <v>195</v>
      </c>
      <c r="F200" s="7" t="s">
        <v>195</v>
      </c>
      <c r="G200" s="7" t="s">
        <v>195</v>
      </c>
      <c r="H200" s="7" t="s">
        <v>195</v>
      </c>
      <c r="I200" s="7" t="s">
        <v>195</v>
      </c>
      <c r="J200" s="7" t="s">
        <v>195</v>
      </c>
      <c r="K200" s="7" t="s">
        <v>195</v>
      </c>
      <c r="L200" s="7" t="s">
        <v>195</v>
      </c>
      <c r="M200" s="7" t="s">
        <v>29</v>
      </c>
      <c r="N200" s="7" t="s">
        <v>29</v>
      </c>
      <c r="O200" s="7" t="s">
        <v>29</v>
      </c>
      <c r="P200" s="7" t="s">
        <v>29</v>
      </c>
      <c r="Q200" s="7" t="s">
        <v>29</v>
      </c>
      <c r="R200" s="7" t="s">
        <v>29</v>
      </c>
      <c r="S200" s="7" t="s">
        <v>29</v>
      </c>
    </row>
  </sheetData>
  <sheetProtection formatCells="0" formatColumns="0" formatRows="0" insertColumns="0" insertRows="0" insertHyperlinks="0" deleteColumns="0" deleteRows="0" sort="0" autoFilter="0" pivotTables="0"/>
  <conditionalFormatting sqref="D2:D6">
    <cfRule type="expression" dxfId="42" priority="3">
      <formula>NOT(_xlfn.ISFORMULA($D2))</formula>
    </cfRule>
  </conditionalFormatting>
  <conditionalFormatting sqref="D7">
    <cfRule type="expression" dxfId="41" priority="2">
      <formula>NOT(_xlfn.ISFORMULA($D7))</formula>
    </cfRule>
  </conditionalFormatting>
  <conditionalFormatting sqref="D8:D200">
    <cfRule type="expression" dxfId="40" priority="1">
      <formula>NOT(_xlfn.ISFORMULA($D8))</formula>
    </cfRule>
  </conditionalFormatting>
  <dataValidations count="1">
    <dataValidation allowBlank="1" showInputMessage="1" showErrorMessage="1" sqref="A2:A1048576"/>
  </dataValidations>
  <pageMargins left="0.7" right="0.7" top="0.75" bottom="0.75" header="0.3" footer="0.3"/>
  <extLst>
    <ext xmlns:x14="http://schemas.microsoft.com/office/spreadsheetml/2009/9/main" uri="{CCE6A557-97BC-4b89-ADB6-D9C93CAAB3DF}">
      <x14:dataValidations xmlns:xm="http://schemas.microsoft.com/office/excel/2006/main" count="15">
        <x14:dataValidation type="list" allowBlank="1" showInputMessage="1" showErrorMessage="1">
          <x14:formula1>
            <xm:f>OFFSET('Reference Fields'!$K$2,0,0,COUNTA('Reference Fields'!$K:$K)-1)</xm:f>
          </x14:formula1>
          <xm:sqref>R2:R1048576</xm:sqref>
        </x14:dataValidation>
        <x14:dataValidation type="list" allowBlank="1" showInputMessage="1" showErrorMessage="1">
          <x14:formula1>
            <xm:f>OFFSET('Reference Fields'!$J$2,0,0,COUNTA('Reference Fields'!$J:$J)-1)</xm:f>
          </x14:formula1>
          <xm:sqref>P2:P1048576</xm:sqref>
        </x14:dataValidation>
        <x14:dataValidation type="list" allowBlank="1" showInputMessage="1" showErrorMessage="1">
          <x14:formula1>
            <xm:f>OFFSET('Reference Fields'!$J$2,0,0,COUNTA('Reference Fields'!$J:$J)-1)</xm:f>
          </x14:formula1>
          <xm:sqref>M2:M1048576</xm:sqref>
        </x14:dataValidation>
        <x14:dataValidation type="list" allowBlank="1" showInputMessage="1" showErrorMessage="1">
          <x14:formula1>
            <xm:f>OFFSET('Reference Fields'!$J$2,0,0,COUNTA('Reference Fields'!$J:$J)-1)</xm:f>
          </x14:formula1>
          <xm:sqref>N2:N1048576</xm:sqref>
        </x14:dataValidation>
        <x14:dataValidation type="list" allowBlank="1" showInputMessage="1" showErrorMessage="1">
          <x14:formula1>
            <xm:f>OFFSET('Reference Fields'!$J$2,0,0,COUNTA('Reference Fields'!$J:$J)-1)</xm:f>
          </x14:formula1>
          <xm:sqref>O2:O1048576</xm:sqref>
        </x14:dataValidation>
        <x14:dataValidation type="list" allowBlank="1" showInputMessage="1" showErrorMessage="1">
          <x14:formula1>
            <xm:f>OFFSET('Reference Fields'!$J$2,0,0,COUNTA('Reference Fields'!$J:$J)-1)</xm:f>
          </x14:formula1>
          <xm:sqref>Q2:Q1048576</xm:sqref>
        </x14:dataValidation>
        <x14:dataValidation type="list" allowBlank="1" showInputMessage="1" showErrorMessage="1">
          <x14:formula1>
            <xm:f>OFFSET('Reference Fields'!$J$2,0,0,COUNTA('Reference Fields'!$J:$J)-1)</xm:f>
          </x14:formula1>
          <xm:sqref>S2:S1048576</xm:sqref>
        </x14:dataValidation>
        <x14:dataValidation type="list" allowBlank="1" showInputMessage="1" showErrorMessage="1">
          <x14:formula1>
            <xm:f>OFFSET('Reference Fields'!$B$2,0,0,COUNTA('Reference Fields'!$B:$B)-1)</xm:f>
          </x14:formula1>
          <xm:sqref>B2:B1048576</xm:sqref>
        </x14:dataValidation>
        <x14:dataValidation type="list" allowBlank="1" showInputMessage="1" showErrorMessage="1">
          <x14:formula1>
            <xm:f>OFFSET('Reference Fields'!$D$2,0,0,COUNTA('Reference Fields'!$D:$D)-1)</xm:f>
          </x14:formula1>
          <xm:sqref>F2:F1048576</xm:sqref>
        </x14:dataValidation>
        <x14:dataValidation type="list" allowBlank="1" showInputMessage="1" showErrorMessage="1">
          <x14:formula1>
            <xm:f>OFFSET('Reference Fields'!$E$2,0,0,COUNTA('Reference Fields'!$E:$E)-1)</xm:f>
          </x14:formula1>
          <xm:sqref>G2:G1048576</xm:sqref>
        </x14:dataValidation>
        <x14:dataValidation type="list" allowBlank="1" showInputMessage="1" showErrorMessage="1">
          <x14:formula1>
            <xm:f>OFFSET('Reference Fields'!$F$2,0,0,COUNTA('Reference Fields'!$F:$F)-1)</xm:f>
          </x14:formula1>
          <xm:sqref>H2:H1048576</xm:sqref>
        </x14:dataValidation>
        <x14:dataValidation type="list" allowBlank="1" showInputMessage="1" showErrorMessage="1">
          <x14:formula1>
            <xm:f>OFFSET('Reference Fields'!$F$2,0,0,COUNTA('Reference Fields'!$F:$F)-1)</xm:f>
          </x14:formula1>
          <xm:sqref>I2:I1048576</xm:sqref>
        </x14:dataValidation>
        <x14:dataValidation type="list" allowBlank="1" showInputMessage="1" showErrorMessage="1">
          <x14:formula1>
            <xm:f>OFFSET('Reference Fields'!$G$2,0,0,COUNTA('Reference Fields'!$G:$G)-1)</xm:f>
          </x14:formula1>
          <xm:sqref>J2:J1048576</xm:sqref>
        </x14:dataValidation>
        <x14:dataValidation type="list" allowBlank="1" showInputMessage="1" showErrorMessage="1">
          <x14:formula1>
            <xm:f>OFFSET('Reference Fields'!$H$2,0,0,COUNTA('Reference Fields'!$H:$H)-1)</xm:f>
          </x14:formula1>
          <xm:sqref>K2:K1048576</xm:sqref>
        </x14:dataValidation>
        <x14:dataValidation type="list" allowBlank="1" showInputMessage="1" showErrorMessage="1">
          <x14:formula1>
            <xm:f>OFFSET('Reference Fields'!$I$2,0,0,COUNTA('Reference Fields'!$I:$I)-1)</xm:f>
          </x14:formula1>
          <xm:sqref>L2:L1048576</xm:sqref>
        </x14:dataValidation>
      </x14:dataValidations>
    </ext>
  </extLst>
</worksheet>
</file>

<file path=xl/worksheets/sheet27.xml><?xml version="1.0" encoding="utf-8"?>
<worksheet xmlns="http://schemas.openxmlformats.org/spreadsheetml/2006/main" xmlns:r="http://schemas.openxmlformats.org/officeDocument/2006/relationships">
  <sheetPr codeName="Sheet18"/>
  <dimension ref="A1:S200"/>
  <sheetViews>
    <sheetView workbookViewId="0">
      <pane ySplit="1" topLeftCell="A2" activePane="bottomLeft" state="frozen"/>
      <selection pane="bottomLeft" activeCell="A2" sqref="A2"/>
    </sheetView>
  </sheetViews>
  <sheetFormatPr defaultRowHeight="14.5"/>
  <cols>
    <col min="1" max="1" width="23" bestFit="1" customWidth="1"/>
    <col min="2" max="2" width="13.54296875" customWidth="1"/>
    <col min="3" max="4" width="8.90625" customWidth="1"/>
    <col min="5" max="5" width="12.6328125" customWidth="1"/>
    <col min="6" max="6" width="15.6328125" bestFit="1" customWidth="1"/>
    <col min="7" max="8" width="15.453125" customWidth="1"/>
    <col min="9" max="9" width="22.6328125" customWidth="1"/>
    <col min="10" max="10" width="23.36328125" customWidth="1"/>
    <col min="11" max="11" width="17.54296875" customWidth="1"/>
    <col min="12" max="12" width="14.08984375" customWidth="1"/>
    <col min="13" max="13" width="10.453125" bestFit="1" customWidth="1"/>
    <col min="14" max="14" width="10.453125" customWidth="1"/>
    <col min="15" max="15" width="12.453125" bestFit="1" customWidth="1"/>
  </cols>
  <sheetData>
    <row r="1" spans="1:19" s="1" customFormat="1">
      <c r="A1" s="1" t="s">
        <v>2</v>
      </c>
      <c r="B1" s="1" t="s">
        <v>1198</v>
      </c>
      <c r="C1" s="1" t="s">
        <v>1199</v>
      </c>
      <c r="D1" s="1" t="s">
        <v>0</v>
      </c>
      <c r="E1" s="1" t="s">
        <v>1</v>
      </c>
      <c r="F1" s="1" t="s">
        <v>30</v>
      </c>
      <c r="G1" s="1" t="s">
        <v>31</v>
      </c>
      <c r="H1" s="1" t="s">
        <v>1262</v>
      </c>
      <c r="I1" s="1" t="s">
        <v>49</v>
      </c>
      <c r="J1" s="1" t="s">
        <v>48</v>
      </c>
      <c r="K1" s="1" t="s">
        <v>54</v>
      </c>
      <c r="L1" s="1" t="s">
        <v>55</v>
      </c>
      <c r="M1" s="1" t="s">
        <v>27</v>
      </c>
      <c r="N1" s="1" t="s">
        <v>175</v>
      </c>
      <c r="O1" s="1" t="s">
        <v>193</v>
      </c>
      <c r="P1" s="1" t="s">
        <v>1221</v>
      </c>
      <c r="Q1" s="1" t="s">
        <v>1264</v>
      </c>
      <c r="R1" s="1" t="s">
        <v>1263</v>
      </c>
      <c r="S1" s="1" t="s">
        <v>1265</v>
      </c>
    </row>
    <row r="2" spans="1:19">
      <c r="A2" s="7" t="s">
        <v>9</v>
      </c>
      <c r="B2" s="7" t="s">
        <v>1218</v>
      </c>
      <c r="C2" s="8">
        <v>50</v>
      </c>
      <c r="D2" s="6" t="str">
        <f>LRTRIM(CONCATENATE(IF(SUMPRODUCT(-- ISNUMBER(SEARCH({"Auto Number"}, $B2))) &gt; 0, $B2, IF(SUMPRODUCT(-- ISNUMBER(SEARCH({"Lookup","Master-Detail"}, $B2))) &gt; 0,$B2 &amp; "(" &amp; $E2 &amp; ")",IF(SUMPRODUCT(-- ISNUMBER(SEARCH({"Formula","Roll-Up Summary"}, $B2))) &gt; 0,$B2 &amp; " (" &amp; $E2 &amp; ")",IF(SUMPRODUCT(-- ISNUMBER(SEARCH({"Content","Currency","Number","Percent","Text","URL"}, $B2))) &gt; 0,$B2 &amp; "(" &amp; $C2 &amp; ")",$B2)))), "  ", TRIM(IF($S2 = "YES", "(External ID)", "") &amp; " " &amp; IF(SUMPRODUCT(-- ISNUMBER(SEARCH({"Unique","Unique Case Insensitive"}, $R2))) &gt; 0, "(" &amp; $R2 &amp; ")", ""))))</f>
        <v>Text(50)</v>
      </c>
      <c r="E2" s="7" t="s">
        <v>195</v>
      </c>
      <c r="F2" s="7" t="s">
        <v>18</v>
      </c>
      <c r="G2" s="7" t="s">
        <v>195</v>
      </c>
      <c r="H2" s="7" t="s">
        <v>195</v>
      </c>
      <c r="I2" s="7" t="s">
        <v>195</v>
      </c>
      <c r="J2" s="7" t="s">
        <v>195</v>
      </c>
      <c r="K2" s="7" t="s">
        <v>195</v>
      </c>
      <c r="L2" s="7" t="s">
        <v>195</v>
      </c>
      <c r="M2" s="7" t="s">
        <v>29</v>
      </c>
      <c r="N2" s="7" t="s">
        <v>29</v>
      </c>
      <c r="O2" s="7" t="s">
        <v>29</v>
      </c>
      <c r="P2" s="7" t="s">
        <v>29</v>
      </c>
      <c r="Q2" s="7" t="s">
        <v>29</v>
      </c>
      <c r="R2" s="7" t="s">
        <v>29</v>
      </c>
      <c r="S2" s="7" t="s">
        <v>29</v>
      </c>
    </row>
    <row r="3" spans="1:19">
      <c r="A3" s="7" t="s">
        <v>774</v>
      </c>
      <c r="B3" s="7" t="s">
        <v>1215</v>
      </c>
      <c r="C3" s="8">
        <v>255</v>
      </c>
      <c r="D3" s="6" t="str">
        <f>LRTRIM(CONCATENATE(IF(SUMPRODUCT(-- ISNUMBER(SEARCH({"Auto Number"}, $B3))) &gt; 0, $B3, IF(SUMPRODUCT(-- ISNUMBER(SEARCH({"Lookup","Master-Detail"}, $B3))) &gt; 0,$B3 &amp; "(" &amp; $E3 &amp; ")",IF(SUMPRODUCT(-- ISNUMBER(SEARCH({"Formula","Roll-Up Summary"}, $B3))) &gt; 0,$B3 &amp; " (" &amp; $E3 &amp; ")",IF(SUMPRODUCT(-- ISNUMBER(SEARCH({"Content","Currency","Number","Percent","Text","URL"}, $B3))) &gt; 0,$B3 &amp; "(" &amp; $C3 &amp; ")",$B3)))), "  ", TRIM(IF($S3 = "YES", "(External ID)", "") &amp; " " &amp; IF(SUMPRODUCT(-- ISNUMBER(SEARCH({"Unique","Unique Case Insensitive"}, $R3))) &gt; 0, "(" &amp; $R3 &amp; ")", ""))))</f>
        <v>Picklist</v>
      </c>
      <c r="E3" s="7" t="s">
        <v>195</v>
      </c>
      <c r="F3" s="7" t="s">
        <v>800</v>
      </c>
      <c r="G3" s="7" t="s">
        <v>800</v>
      </c>
      <c r="H3" s="7" t="s">
        <v>195</v>
      </c>
      <c r="I3" s="7" t="s">
        <v>799</v>
      </c>
      <c r="J3" s="7" t="s">
        <v>195</v>
      </c>
      <c r="K3" s="7" t="s">
        <v>195</v>
      </c>
      <c r="L3" s="7" t="s">
        <v>195</v>
      </c>
      <c r="M3" s="7" t="s">
        <v>29</v>
      </c>
      <c r="N3" s="7" t="s">
        <v>29</v>
      </c>
      <c r="O3" s="7" t="s">
        <v>29</v>
      </c>
      <c r="P3" s="7" t="s">
        <v>29</v>
      </c>
      <c r="Q3" s="7" t="s">
        <v>29</v>
      </c>
      <c r="R3" s="7" t="s">
        <v>29</v>
      </c>
      <c r="S3" s="7" t="s">
        <v>29</v>
      </c>
    </row>
    <row r="4" spans="1:19">
      <c r="A4" s="7" t="s">
        <v>775</v>
      </c>
      <c r="B4" s="7" t="s">
        <v>1218</v>
      </c>
      <c r="C4" s="8">
        <v>5</v>
      </c>
      <c r="D4" s="6" t="str">
        <f>LRTRIM(CONCATENATE(IF(SUMPRODUCT(-- ISNUMBER(SEARCH({"Auto Number"}, $B4))) &gt; 0, $B4, IF(SUMPRODUCT(-- ISNUMBER(SEARCH({"Lookup","Master-Detail"}, $B4))) &gt; 0,$B4 &amp; "(" &amp; $E4 &amp; ")",IF(SUMPRODUCT(-- ISNUMBER(SEARCH({"Formula","Roll-Up Summary"}, $B4))) &gt; 0,$B4 &amp; " (" &amp; $E4 &amp; ")",IF(SUMPRODUCT(-- ISNUMBER(SEARCH({"Content","Currency","Number","Percent","Text","URL"}, $B4))) &gt; 0,$B4 &amp; "(" &amp; $C4 &amp; ")",$B4)))), "  ", TRIM(IF($S4 = "YES", "(External ID)", "") &amp; " " &amp; IF(SUMPRODUCT(-- ISNUMBER(SEARCH({"Unique","Unique Case Insensitive"}, $R4))) &gt; 0, "(" &amp; $R4 &amp; ")", ""))))</f>
        <v>Text(5)</v>
      </c>
      <c r="E4" s="7" t="s">
        <v>195</v>
      </c>
      <c r="F4" s="7" t="s">
        <v>801</v>
      </c>
      <c r="G4" s="7" t="s">
        <v>825</v>
      </c>
      <c r="H4" s="7" t="s">
        <v>195</v>
      </c>
      <c r="I4" s="7" t="s">
        <v>195</v>
      </c>
      <c r="J4" s="7" t="s">
        <v>195</v>
      </c>
      <c r="K4" s="7" t="s">
        <v>195</v>
      </c>
      <c r="L4" s="7" t="s">
        <v>195</v>
      </c>
      <c r="M4" s="7" t="s">
        <v>29</v>
      </c>
      <c r="N4" s="7" t="s">
        <v>29</v>
      </c>
      <c r="O4" s="7" t="s">
        <v>29</v>
      </c>
      <c r="P4" s="7" t="s">
        <v>29</v>
      </c>
      <c r="Q4" s="7" t="s">
        <v>29</v>
      </c>
      <c r="R4" s="7" t="s">
        <v>29</v>
      </c>
      <c r="S4" s="7" t="s">
        <v>29</v>
      </c>
    </row>
    <row r="5" spans="1:19">
      <c r="A5" s="7" t="s">
        <v>103</v>
      </c>
      <c r="B5" s="7" t="s">
        <v>1211</v>
      </c>
      <c r="C5" s="8">
        <v>18</v>
      </c>
      <c r="D5" s="6" t="str">
        <f>LRTRIM(CONCATENATE(IF(SUMPRODUCT(-- ISNUMBER(SEARCH({"Auto Number"}, $B5))) &gt; 0, $B5, IF(SUMPRODUCT(-- ISNUMBER(SEARCH({"Lookup","Master-Detail"}, $B5))) &gt; 0,$B5 &amp; "(" &amp; $E5 &amp; ")",IF(SUMPRODUCT(-- ISNUMBER(SEARCH({"Formula","Roll-Up Summary"}, $B5))) &gt; 0,$B5 &amp; " (" &amp; $E5 &amp; ")",IF(SUMPRODUCT(-- ISNUMBER(SEARCH({"Content","Currency","Number","Percent","Text","URL"}, $B5))) &gt; 0,$B5 &amp; "(" &amp; $C5 &amp; ")",$B5)))), "  ", TRIM(IF($S5 = "YES", "(External ID)", "") &amp; " " &amp; IF(SUMPRODUCT(-- ISNUMBER(SEARCH({"Unique","Unique Case Insensitive"}, $R5))) &gt; 0, "(" &amp; $R5 &amp; ")", ""))))</f>
        <v>Lookup(Commission Agreement)</v>
      </c>
      <c r="E5" s="7" t="s">
        <v>202</v>
      </c>
      <c r="F5" s="7" t="s">
        <v>202</v>
      </c>
      <c r="G5" s="7" t="s">
        <v>519</v>
      </c>
      <c r="H5" s="7" t="s">
        <v>195</v>
      </c>
      <c r="I5" s="7" t="s">
        <v>195</v>
      </c>
      <c r="J5" s="7" t="s">
        <v>195</v>
      </c>
      <c r="K5" s="7" t="s">
        <v>195</v>
      </c>
      <c r="L5" s="7" t="s">
        <v>195</v>
      </c>
      <c r="M5" s="7" t="s">
        <v>29</v>
      </c>
      <c r="N5" s="7" t="s">
        <v>29</v>
      </c>
      <c r="O5" s="7" t="s">
        <v>29</v>
      </c>
      <c r="P5" s="7" t="s">
        <v>29</v>
      </c>
      <c r="Q5" s="7" t="s">
        <v>29</v>
      </c>
      <c r="R5" s="7" t="s">
        <v>29</v>
      </c>
      <c r="S5" s="7" t="s">
        <v>29</v>
      </c>
    </row>
    <row r="6" spans="1:19">
      <c r="A6" s="7" t="s">
        <v>776</v>
      </c>
      <c r="B6" s="7" t="s">
        <v>1204</v>
      </c>
      <c r="C6" s="8">
        <v>0</v>
      </c>
      <c r="D6" s="6" t="str">
        <f>LRTRIM(CONCATENATE(IF(SUMPRODUCT(-- ISNUMBER(SEARCH({"Auto Number"}, $B6))) &gt; 0, $B6, IF(SUMPRODUCT(-- ISNUMBER(SEARCH({"Lookup","Master-Detail"}, $B6))) &gt; 0,$B6 &amp; "(" &amp; $E6 &amp; ")",IF(SUMPRODUCT(-- ISNUMBER(SEARCH({"Formula","Roll-Up Summary"}, $B6))) &gt; 0,$B6 &amp; " (" &amp; $E6 &amp; ")",IF(SUMPRODUCT(-- ISNUMBER(SEARCH({"Content","Currency","Number","Percent","Text","URL"}, $B6))) &gt; 0,$B6 &amp; "(" &amp; $C6 &amp; ")",$B6)))), "  ", TRIM(IF($S6 = "YES", "(External ID)", "") &amp; " " &amp; IF(SUMPRODUCT(-- ISNUMBER(SEARCH({"Unique","Unique Case Insensitive"}, $R6))) &gt; 0, "(" &amp; $R6 &amp; ")", ""))))</f>
        <v>Checkbox</v>
      </c>
      <c r="E6" s="7" t="s">
        <v>195</v>
      </c>
      <c r="F6" s="7" t="s">
        <v>802</v>
      </c>
      <c r="G6" s="7" t="s">
        <v>826</v>
      </c>
      <c r="H6" s="7" t="s">
        <v>195</v>
      </c>
      <c r="I6" s="7" t="s">
        <v>195</v>
      </c>
      <c r="J6" s="7" t="s">
        <v>195</v>
      </c>
      <c r="K6" s="7" t="s">
        <v>195</v>
      </c>
      <c r="L6" s="7" t="s">
        <v>195</v>
      </c>
      <c r="M6" s="7" t="s">
        <v>28</v>
      </c>
      <c r="N6" s="7" t="s">
        <v>29</v>
      </c>
      <c r="O6" s="7" t="s">
        <v>29</v>
      </c>
      <c r="P6" s="7" t="s">
        <v>29</v>
      </c>
      <c r="Q6" s="7" t="s">
        <v>29</v>
      </c>
      <c r="R6" s="7" t="s">
        <v>29</v>
      </c>
      <c r="S6" s="7" t="s">
        <v>29</v>
      </c>
    </row>
    <row r="7" spans="1:19">
      <c r="A7" s="7" t="s">
        <v>36</v>
      </c>
      <c r="B7" s="7" t="s">
        <v>1211</v>
      </c>
      <c r="C7" s="8">
        <v>18</v>
      </c>
      <c r="D7" s="6" t="str">
        <f>LRTRIM(CONCATENATE(IF(SUMPRODUCT(-- ISNUMBER(SEARCH({"Auto Number"}, $B7))) &gt; 0, $B7, IF(SUMPRODUCT(-- ISNUMBER(SEARCH({"Lookup","Master-Detail"}, $B7))) &gt; 0,$B7 &amp; "(" &amp; $E7 &amp; ")",IF(SUMPRODUCT(-- ISNUMBER(SEARCH({"Formula","Roll-Up Summary"}, $B7))) &gt; 0,$B7 &amp; " (" &amp; $E7 &amp; ")",IF(SUMPRODUCT(-- ISNUMBER(SEARCH({"Content","Currency","Number","Percent","Text","URL"}, $B7))) &gt; 0,$B7 &amp; "(" &amp; $C7 &amp; ")",$B7)))), "  ", TRIM(IF($S7 = "YES", "(External ID)", "") &amp; " " &amp; IF(SUMPRODUCT(-- ISNUMBER(SEARCH({"Unique","Unique Case Insensitive"}, $R7))) &gt; 0, "(" &amp; $R7 &amp; ")", ""))))</f>
        <v>Lookup(User)</v>
      </c>
      <c r="E7" s="7" t="s">
        <v>7</v>
      </c>
      <c r="F7" s="7" t="s">
        <v>1253</v>
      </c>
      <c r="G7" s="7" t="s">
        <v>195</v>
      </c>
      <c r="H7" s="7" t="s">
        <v>195</v>
      </c>
      <c r="I7" s="7" t="s">
        <v>195</v>
      </c>
      <c r="J7" s="7" t="s">
        <v>195</v>
      </c>
      <c r="K7" s="7" t="s">
        <v>195</v>
      </c>
      <c r="L7" s="7" t="s">
        <v>195</v>
      </c>
      <c r="M7" s="7" t="s">
        <v>29</v>
      </c>
      <c r="N7" s="7" t="s">
        <v>29</v>
      </c>
      <c r="O7" s="7" t="s">
        <v>29</v>
      </c>
      <c r="P7" s="7" t="s">
        <v>29</v>
      </c>
      <c r="Q7" s="7" t="s">
        <v>29</v>
      </c>
      <c r="R7" s="7" t="s">
        <v>29</v>
      </c>
      <c r="S7" s="7" t="s">
        <v>29</v>
      </c>
    </row>
    <row r="8" spans="1:19">
      <c r="A8" s="7" t="s">
        <v>777</v>
      </c>
      <c r="B8" s="7" t="s">
        <v>1207</v>
      </c>
      <c r="C8" s="8">
        <v>0</v>
      </c>
      <c r="D8" s="6" t="str">
        <f>LRTRIM(CONCATENATE(IF(SUMPRODUCT(-- ISNUMBER(SEARCH({"Auto Number"}, $B8))) &gt; 0, $B8, IF(SUMPRODUCT(-- ISNUMBER(SEARCH({"Lookup","Master-Detail"}, $B8))) &gt; 0,$B8 &amp; "(" &amp; $E8 &amp; ")",IF(SUMPRODUCT(-- ISNUMBER(SEARCH({"Formula","Roll-Up Summary"}, $B8))) &gt; 0,$B8 &amp; " (" &amp; $E8 &amp; ")",IF(SUMPRODUCT(-- ISNUMBER(SEARCH({"Content","Currency","Number","Percent","Text","URL"}, $B8))) &gt; 0,$B8 &amp; "(" &amp; $C8 &amp; ")",$B8)))), "  ", TRIM(IF($S8 = "YES", "(External ID)", "") &amp; " " &amp; IF(SUMPRODUCT(-- ISNUMBER(SEARCH({"Unique","Unique Case Insensitive"}, $R8))) &gt; 0, "(" &amp; $R8 &amp; ")", ""))))</f>
        <v>Date/Time</v>
      </c>
      <c r="E8" s="7" t="s">
        <v>195</v>
      </c>
      <c r="F8" s="7" t="s">
        <v>804</v>
      </c>
      <c r="G8" s="7" t="s">
        <v>827</v>
      </c>
      <c r="H8" s="7" t="s">
        <v>195</v>
      </c>
      <c r="I8" s="7" t="s">
        <v>195</v>
      </c>
      <c r="J8" s="7" t="s">
        <v>195</v>
      </c>
      <c r="K8" s="7" t="s">
        <v>195</v>
      </c>
      <c r="L8" s="7" t="s">
        <v>195</v>
      </c>
      <c r="M8" s="7" t="s">
        <v>29</v>
      </c>
      <c r="N8" s="7" t="s">
        <v>29</v>
      </c>
      <c r="O8" s="7" t="s">
        <v>29</v>
      </c>
      <c r="P8" s="7" t="s">
        <v>29</v>
      </c>
      <c r="Q8" s="7" t="s">
        <v>29</v>
      </c>
      <c r="R8" s="7" t="s">
        <v>29</v>
      </c>
      <c r="S8" s="7" t="s">
        <v>29</v>
      </c>
    </row>
    <row r="9" spans="1:19">
      <c r="A9" s="7" t="s">
        <v>11</v>
      </c>
      <c r="B9" s="7" t="s">
        <v>1218</v>
      </c>
      <c r="C9" s="8">
        <v>200</v>
      </c>
      <c r="D9" s="6" t="str">
        <f>LRTRIM(CONCATENATE(IF(SUMPRODUCT(-- ISNUMBER(SEARCH({"Auto Number"}, $B9))) &gt; 0, $B9, IF(SUMPRODUCT(-- ISNUMBER(SEARCH({"Lookup","Master-Detail"}, $B9))) &gt; 0,$B9 &amp; "(" &amp; $E9 &amp; ")",IF(SUMPRODUCT(-- ISNUMBER(SEARCH({"Formula","Roll-Up Summary"}, $B9))) &gt; 0,$B9 &amp; " (" &amp; $E9 &amp; ")",IF(SUMPRODUCT(-- ISNUMBER(SEARCH({"Content","Currency","Number","Percent","Text","URL"}, $B9))) &gt; 0,$B9 &amp; "(" &amp; $C9 &amp; ")",$B9)))), "  ", TRIM(IF($S9 = "YES", "(External ID)", "") &amp; " " &amp; IF(SUMPRODUCT(-- ISNUMBER(SEARCH({"Unique","Unique Case Insensitive"}, $R9))) &gt; 0, "(" &amp; $R9 &amp; ")", ""))))</f>
        <v>Text(200)</v>
      </c>
      <c r="E9" s="7" t="s">
        <v>195</v>
      </c>
      <c r="F9" s="7" t="s">
        <v>20</v>
      </c>
      <c r="G9" s="7" t="s">
        <v>195</v>
      </c>
      <c r="H9" s="7" t="s">
        <v>195</v>
      </c>
      <c r="I9" s="7" t="s">
        <v>195</v>
      </c>
      <c r="J9" s="7" t="s">
        <v>195</v>
      </c>
      <c r="K9" s="7" t="s">
        <v>195</v>
      </c>
      <c r="L9" s="7" t="s">
        <v>195</v>
      </c>
      <c r="M9" s="7" t="s">
        <v>29</v>
      </c>
      <c r="N9" s="7" t="s">
        <v>29</v>
      </c>
      <c r="O9" s="7" t="s">
        <v>29</v>
      </c>
      <c r="P9" s="7" t="s">
        <v>29</v>
      </c>
      <c r="Q9" s="7" t="s">
        <v>29</v>
      </c>
      <c r="R9" s="7" t="s">
        <v>29</v>
      </c>
      <c r="S9" s="7" t="s">
        <v>29</v>
      </c>
    </row>
    <row r="10" spans="1:19">
      <c r="A10" s="7" t="s">
        <v>778</v>
      </c>
      <c r="B10" s="7" t="s">
        <v>1207</v>
      </c>
      <c r="C10" s="8">
        <v>0</v>
      </c>
      <c r="D10" s="6" t="str">
        <f>LRTRIM(CONCATENATE(IF(SUMPRODUCT(-- ISNUMBER(SEARCH({"Auto Number"}, $B10))) &gt; 0, $B10, IF(SUMPRODUCT(-- ISNUMBER(SEARCH({"Lookup","Master-Detail"}, $B10))) &gt; 0,$B10 &amp; "(" &amp; $E10 &amp; ")",IF(SUMPRODUCT(-- ISNUMBER(SEARCH({"Formula","Roll-Up Summary"}, $B10))) &gt; 0,$B10 &amp; " (" &amp; $E10 &amp; ")",IF(SUMPRODUCT(-- ISNUMBER(SEARCH({"Content","Currency","Number","Percent","Text","URL"}, $B10))) &gt; 0,$B10 &amp; "(" &amp; $C10 &amp; ")",$B10)))), "  ", TRIM(IF($S10 = "YES", "(External ID)", "") &amp; " " &amp; IF(SUMPRODUCT(-- ISNUMBER(SEARCH({"Unique","Unique Case Insensitive"}, $R10))) &gt; 0, "(" &amp; $R10 &amp; ")", ""))))</f>
        <v>Date/Time</v>
      </c>
      <c r="E10" s="7" t="s">
        <v>195</v>
      </c>
      <c r="F10" s="7" t="s">
        <v>805</v>
      </c>
      <c r="G10" s="7" t="s">
        <v>828</v>
      </c>
      <c r="H10" s="7" t="s">
        <v>195</v>
      </c>
      <c r="I10" s="7" t="s">
        <v>195</v>
      </c>
      <c r="J10" s="7" t="s">
        <v>195</v>
      </c>
      <c r="K10" s="7" t="s">
        <v>195</v>
      </c>
      <c r="L10" s="7" t="s">
        <v>195</v>
      </c>
      <c r="M10" s="7" t="s">
        <v>29</v>
      </c>
      <c r="N10" s="7" t="s">
        <v>29</v>
      </c>
      <c r="O10" s="7" t="s">
        <v>29</v>
      </c>
      <c r="P10" s="7" t="s">
        <v>29</v>
      </c>
      <c r="Q10" s="7" t="s">
        <v>29</v>
      </c>
      <c r="R10" s="7" t="s">
        <v>29</v>
      </c>
      <c r="S10" s="7" t="s">
        <v>29</v>
      </c>
    </row>
    <row r="11" spans="1:19">
      <c r="A11" s="7" t="s">
        <v>13</v>
      </c>
      <c r="B11" s="7" t="s">
        <v>1218</v>
      </c>
      <c r="C11" s="8">
        <v>10</v>
      </c>
      <c r="D11" s="6" t="str">
        <f>LRTRIM(CONCATENATE(IF(SUMPRODUCT(-- ISNUMBER(SEARCH({"Auto Number"}, $B11))) &gt; 0, $B11, IF(SUMPRODUCT(-- ISNUMBER(SEARCH({"Lookup","Master-Detail"}, $B11))) &gt; 0,$B11 &amp; "(" &amp; $E11 &amp; ")",IF(SUMPRODUCT(-- ISNUMBER(SEARCH({"Formula","Roll-Up Summary"}, $B11))) &gt; 0,$B11 &amp; " (" &amp; $E11 &amp; ")",IF(SUMPRODUCT(-- ISNUMBER(SEARCH({"Content","Currency","Number","Percent","Text","URL"}, $B11))) &gt; 0,$B11 &amp; "(" &amp; $C11 &amp; ")",$B11)))), "  ", TRIM(IF($S11 = "YES", "(External ID)", "") &amp; " " &amp; IF(SUMPRODUCT(-- ISNUMBER(SEARCH({"Unique","Unique Case Insensitive"}, $R11))) &gt; 0, "(" &amp; $R11 &amp; ")", ""))))</f>
        <v>Text(10)</v>
      </c>
      <c r="E11" s="7" t="s">
        <v>195</v>
      </c>
      <c r="F11" s="7" t="s">
        <v>24</v>
      </c>
      <c r="G11" s="7" t="s">
        <v>160</v>
      </c>
      <c r="H11" s="7" t="s">
        <v>195</v>
      </c>
      <c r="I11" s="7" t="s">
        <v>195</v>
      </c>
      <c r="J11" s="7" t="s">
        <v>195</v>
      </c>
      <c r="K11" s="7" t="s">
        <v>195</v>
      </c>
      <c r="L11" s="7" t="s">
        <v>195</v>
      </c>
      <c r="M11" s="7" t="s">
        <v>29</v>
      </c>
      <c r="N11" s="7" t="s">
        <v>29</v>
      </c>
      <c r="O11" s="7" t="s">
        <v>29</v>
      </c>
      <c r="P11" s="7" t="s">
        <v>29</v>
      </c>
      <c r="Q11" s="7" t="s">
        <v>29</v>
      </c>
      <c r="R11" s="7" t="s">
        <v>29</v>
      </c>
      <c r="S11" s="7" t="s">
        <v>29</v>
      </c>
    </row>
    <row r="12" spans="1:19">
      <c r="A12" s="7" t="s">
        <v>779</v>
      </c>
      <c r="B12" s="7" t="s">
        <v>1218</v>
      </c>
      <c r="C12" s="8">
        <v>255</v>
      </c>
      <c r="D12" s="6" t="str">
        <f>LRTRIM(CONCATENATE(IF(SUMPRODUCT(-- ISNUMBER(SEARCH({"Auto Number"}, $B12))) &gt; 0, $B12, IF(SUMPRODUCT(-- ISNUMBER(SEARCH({"Lookup","Master-Detail"}, $B12))) &gt; 0,$B12 &amp; "(" &amp; $E12 &amp; ")",IF(SUMPRODUCT(-- ISNUMBER(SEARCH({"Formula","Roll-Up Summary"}, $B12))) &gt; 0,$B12 &amp; " (" &amp; $E12 &amp; ")",IF(SUMPRODUCT(-- ISNUMBER(SEARCH({"Content","Currency","Number","Percent","Text","URL"}, $B12))) &gt; 0,$B12 &amp; "(" &amp; $C12 &amp; ")",$B12)))), "  ", TRIM(IF($S12 = "YES", "(External ID)", "") &amp; " " &amp; IF(SUMPRODUCT(-- ISNUMBER(SEARCH({"Unique","Unique Case Insensitive"}, $R12))) &gt; 0, "(" &amp; $R12 &amp; ")", ""))))</f>
        <v>Text(255)</v>
      </c>
      <c r="E12" s="7" t="s">
        <v>195</v>
      </c>
      <c r="F12" s="7" t="s">
        <v>806</v>
      </c>
      <c r="G12" s="7" t="s">
        <v>195</v>
      </c>
      <c r="H12" s="7" t="s">
        <v>195</v>
      </c>
      <c r="I12" s="7" t="s">
        <v>195</v>
      </c>
      <c r="J12" s="7" t="s">
        <v>195</v>
      </c>
      <c r="K12" s="7" t="s">
        <v>195</v>
      </c>
      <c r="L12" s="7" t="s">
        <v>195</v>
      </c>
      <c r="M12" s="7" t="s">
        <v>29</v>
      </c>
      <c r="N12" s="7" t="s">
        <v>29</v>
      </c>
      <c r="O12" s="7" t="s">
        <v>29</v>
      </c>
      <c r="P12" s="7" t="s">
        <v>29</v>
      </c>
      <c r="Q12" s="7" t="s">
        <v>29</v>
      </c>
      <c r="R12" s="7" t="s">
        <v>29</v>
      </c>
      <c r="S12" s="7" t="s">
        <v>29</v>
      </c>
    </row>
    <row r="13" spans="1:19">
      <c r="A13" s="7" t="s">
        <v>780</v>
      </c>
      <c r="B13" s="7" t="s">
        <v>1218</v>
      </c>
      <c r="C13" s="8">
        <v>20</v>
      </c>
      <c r="D13" s="6" t="str">
        <f>LRTRIM(CONCATENATE(IF(SUMPRODUCT(-- ISNUMBER(SEARCH({"Auto Number"}, $B13))) &gt; 0, $B13, IF(SUMPRODUCT(-- ISNUMBER(SEARCH({"Lookup","Master-Detail"}, $B13))) &gt; 0,$B13 &amp; "(" &amp; $E13 &amp; ")",IF(SUMPRODUCT(-- ISNUMBER(SEARCH({"Formula","Roll-Up Summary"}, $B13))) &gt; 0,$B13 &amp; " (" &amp; $E13 &amp; ")",IF(SUMPRODUCT(-- ISNUMBER(SEARCH({"Content","Currency","Number","Percent","Text","URL"}, $B13))) &gt; 0,$B13 &amp; "(" &amp; $C13 &amp; ")",$B13)))), "  ", TRIM(IF($S13 = "YES", "(External ID)", "") &amp; " " &amp; IF(SUMPRODUCT(-- ISNUMBER(SEARCH({"Unique","Unique Case Insensitive"}, $R13))) &gt; 0, "(" &amp; $R13 &amp; ")", ""))))</f>
        <v>Text(20)</v>
      </c>
      <c r="E13" s="7" t="s">
        <v>195</v>
      </c>
      <c r="F13" s="7" t="s">
        <v>807</v>
      </c>
      <c r="G13" s="7" t="s">
        <v>829</v>
      </c>
      <c r="H13" s="7" t="s">
        <v>195</v>
      </c>
      <c r="I13" s="7" t="s">
        <v>195</v>
      </c>
      <c r="J13" s="7" t="s">
        <v>195</v>
      </c>
      <c r="K13" s="7" t="s">
        <v>195</v>
      </c>
      <c r="L13" s="7" t="s">
        <v>195</v>
      </c>
      <c r="M13" s="7" t="s">
        <v>29</v>
      </c>
      <c r="N13" s="7" t="s">
        <v>29</v>
      </c>
      <c r="O13" s="7" t="s">
        <v>29</v>
      </c>
      <c r="P13" s="7" t="s">
        <v>29</v>
      </c>
      <c r="Q13" s="7" t="s">
        <v>29</v>
      </c>
      <c r="R13" s="7" t="s">
        <v>29</v>
      </c>
      <c r="S13" s="7" t="s">
        <v>29</v>
      </c>
    </row>
    <row r="14" spans="1:19">
      <c r="A14" s="7" t="s">
        <v>781</v>
      </c>
      <c r="B14" s="7" t="s">
        <v>1204</v>
      </c>
      <c r="C14" s="8">
        <v>0</v>
      </c>
      <c r="D14" s="6" t="str">
        <f>LRTRIM(CONCATENATE(IF(SUMPRODUCT(-- ISNUMBER(SEARCH({"Auto Number"}, $B14))) &gt; 0, $B14, IF(SUMPRODUCT(-- ISNUMBER(SEARCH({"Lookup","Master-Detail"}, $B14))) &gt; 0,$B14 &amp; "(" &amp; $E14 &amp; ")",IF(SUMPRODUCT(-- ISNUMBER(SEARCH({"Formula","Roll-Up Summary"}, $B14))) &gt; 0,$B14 &amp; " (" &amp; $E14 &amp; ")",IF(SUMPRODUCT(-- ISNUMBER(SEARCH({"Content","Currency","Number","Percent","Text","URL"}, $B14))) &gt; 0,$B14 &amp; "(" &amp; $C14 &amp; ")",$B14)))), "  ", TRIM(IF($S14 = "YES", "(External ID)", "") &amp; " " &amp; IF(SUMPRODUCT(-- ISNUMBER(SEARCH({"Unique","Unique Case Insensitive"}, $R14))) &gt; 0, "(" &amp; $R14 &amp; ")", ""))))</f>
        <v>Checkbox</v>
      </c>
      <c r="E14" s="7" t="s">
        <v>195</v>
      </c>
      <c r="F14" s="7" t="s">
        <v>808</v>
      </c>
      <c r="G14" s="7" t="s">
        <v>808</v>
      </c>
      <c r="H14" s="7" t="s">
        <v>195</v>
      </c>
      <c r="I14" s="7" t="s">
        <v>195</v>
      </c>
      <c r="J14" s="7" t="s">
        <v>195</v>
      </c>
      <c r="K14" s="7" t="s">
        <v>195</v>
      </c>
      <c r="L14" s="7" t="s">
        <v>195</v>
      </c>
      <c r="M14" s="7" t="s">
        <v>28</v>
      </c>
      <c r="N14" s="7" t="s">
        <v>29</v>
      </c>
      <c r="O14" s="7" t="s">
        <v>29</v>
      </c>
      <c r="P14" s="7" t="s">
        <v>29</v>
      </c>
      <c r="Q14" s="7" t="s">
        <v>29</v>
      </c>
      <c r="R14" s="7" t="s">
        <v>29</v>
      </c>
      <c r="S14" s="7" t="s">
        <v>29</v>
      </c>
    </row>
    <row r="15" spans="1:19">
      <c r="A15" s="7" t="s">
        <v>782</v>
      </c>
      <c r="B15" s="7" t="s">
        <v>1204</v>
      </c>
      <c r="C15" s="8">
        <v>0</v>
      </c>
      <c r="D15" s="6" t="str">
        <f>LRTRIM(CONCATENATE(IF(SUMPRODUCT(-- ISNUMBER(SEARCH({"Auto Number"}, $B15))) &gt; 0, $B15, IF(SUMPRODUCT(-- ISNUMBER(SEARCH({"Lookup","Master-Detail"}, $B15))) &gt; 0,$B15 &amp; "(" &amp; $E15 &amp; ")",IF(SUMPRODUCT(-- ISNUMBER(SEARCH({"Formula","Roll-Up Summary"}, $B15))) &gt; 0,$B15 &amp; " (" &amp; $E15 &amp; ")",IF(SUMPRODUCT(-- ISNUMBER(SEARCH({"Content","Currency","Number","Percent","Text","URL"}, $B15))) &gt; 0,$B15 &amp; "(" &amp; $C15 &amp; ")",$B15)))), "  ", TRIM(IF($S15 = "YES", "(External ID)", "") &amp; " " &amp; IF(SUMPRODUCT(-- ISNUMBER(SEARCH({"Unique","Unique Case Insensitive"}, $R15))) &gt; 0, "(" &amp; $R15 &amp; ")", ""))))</f>
        <v>Checkbox</v>
      </c>
      <c r="E15" s="7" t="s">
        <v>195</v>
      </c>
      <c r="F15" s="7" t="s">
        <v>809</v>
      </c>
      <c r="G15" s="7" t="s">
        <v>830</v>
      </c>
      <c r="H15" s="7" t="s">
        <v>195</v>
      </c>
      <c r="I15" s="7" t="s">
        <v>195</v>
      </c>
      <c r="J15" s="7" t="s">
        <v>195</v>
      </c>
      <c r="K15" s="7" t="s">
        <v>195</v>
      </c>
      <c r="L15" s="7" t="s">
        <v>195</v>
      </c>
      <c r="M15" s="7" t="s">
        <v>28</v>
      </c>
      <c r="N15" s="7" t="s">
        <v>29</v>
      </c>
      <c r="O15" s="7" t="s">
        <v>29</v>
      </c>
      <c r="P15" s="7" t="s">
        <v>29</v>
      </c>
      <c r="Q15" s="7" t="s">
        <v>29</v>
      </c>
      <c r="R15" s="7" t="s">
        <v>29</v>
      </c>
      <c r="S15" s="7" t="s">
        <v>29</v>
      </c>
    </row>
    <row r="16" spans="1:19">
      <c r="A16" s="7" t="s">
        <v>783</v>
      </c>
      <c r="B16" s="7" t="s">
        <v>1204</v>
      </c>
      <c r="C16" s="8">
        <v>0</v>
      </c>
      <c r="D16" s="6" t="str">
        <f>LRTRIM(CONCATENATE(IF(SUMPRODUCT(-- ISNUMBER(SEARCH({"Auto Number"}, $B16))) &gt; 0, $B16, IF(SUMPRODUCT(-- ISNUMBER(SEARCH({"Lookup","Master-Detail"}, $B16))) &gt; 0,$B16 &amp; "(" &amp; $E16 &amp; ")",IF(SUMPRODUCT(-- ISNUMBER(SEARCH({"Formula","Roll-Up Summary"}, $B16))) &gt; 0,$B16 &amp; " (" &amp; $E16 &amp; ")",IF(SUMPRODUCT(-- ISNUMBER(SEARCH({"Content","Currency","Number","Percent","Text","URL"}, $B16))) &gt; 0,$B16 &amp; "(" &amp; $C16 &amp; ")",$B16)))), "  ", TRIM(IF($S16 = "YES", "(External ID)", "") &amp; " " &amp; IF(SUMPRODUCT(-- ISNUMBER(SEARCH({"Unique","Unique Case Insensitive"}, $R16))) &gt; 0, "(" &amp; $R16 &amp; ")", ""))))</f>
        <v>Checkbox</v>
      </c>
      <c r="E16" s="7" t="s">
        <v>195</v>
      </c>
      <c r="F16" s="7" t="s">
        <v>810</v>
      </c>
      <c r="G16" s="7" t="s">
        <v>831</v>
      </c>
      <c r="H16" s="7" t="s">
        <v>195</v>
      </c>
      <c r="I16" s="7" t="s">
        <v>195</v>
      </c>
      <c r="J16" s="7" t="s">
        <v>195</v>
      </c>
      <c r="K16" s="7" t="s">
        <v>195</v>
      </c>
      <c r="L16" s="7" t="s">
        <v>195</v>
      </c>
      <c r="M16" s="7" t="s">
        <v>28</v>
      </c>
      <c r="N16" s="7" t="s">
        <v>29</v>
      </c>
      <c r="O16" s="7" t="s">
        <v>29</v>
      </c>
      <c r="P16" s="7" t="s">
        <v>29</v>
      </c>
      <c r="Q16" s="7" t="s">
        <v>29</v>
      </c>
      <c r="R16" s="7" t="s">
        <v>29</v>
      </c>
      <c r="S16" s="7" t="s">
        <v>29</v>
      </c>
    </row>
    <row r="17" spans="1:19">
      <c r="A17" s="7" t="s">
        <v>784</v>
      </c>
      <c r="B17" s="7" t="s">
        <v>1204</v>
      </c>
      <c r="C17" s="8">
        <v>0</v>
      </c>
      <c r="D17" s="6" t="str">
        <f>LRTRIM(CONCATENATE(IF(SUMPRODUCT(-- ISNUMBER(SEARCH({"Auto Number"}, $B17))) &gt; 0, $B17, IF(SUMPRODUCT(-- ISNUMBER(SEARCH({"Lookup","Master-Detail"}, $B17))) &gt; 0,$B17 &amp; "(" &amp; $E17 &amp; ")",IF(SUMPRODUCT(-- ISNUMBER(SEARCH({"Formula","Roll-Up Summary"}, $B17))) &gt; 0,$B17 &amp; " (" &amp; $E17 &amp; ")",IF(SUMPRODUCT(-- ISNUMBER(SEARCH({"Content","Currency","Number","Percent","Text","URL"}, $B17))) &gt; 0,$B17 &amp; "(" &amp; $C17 &amp; ")",$B17)))), "  ", TRIM(IF($S17 = "YES", "(External ID)", "") &amp; " " &amp; IF(SUMPRODUCT(-- ISNUMBER(SEARCH({"Unique","Unique Case Insensitive"}, $R17))) &gt; 0, "(" &amp; $R17 &amp; ")", ""))))</f>
        <v>Checkbox</v>
      </c>
      <c r="E17" s="7" t="s">
        <v>195</v>
      </c>
      <c r="F17" s="7" t="s">
        <v>811</v>
      </c>
      <c r="G17" s="7" t="s">
        <v>811</v>
      </c>
      <c r="H17" s="7" t="s">
        <v>195</v>
      </c>
      <c r="I17" s="7" t="s">
        <v>195</v>
      </c>
      <c r="J17" s="7" t="s">
        <v>195</v>
      </c>
      <c r="K17" s="7" t="s">
        <v>195</v>
      </c>
      <c r="L17" s="7" t="s">
        <v>195</v>
      </c>
      <c r="M17" s="7" t="s">
        <v>28</v>
      </c>
      <c r="N17" s="7" t="s">
        <v>29</v>
      </c>
      <c r="O17" s="7" t="s">
        <v>29</v>
      </c>
      <c r="P17" s="7" t="s">
        <v>29</v>
      </c>
      <c r="Q17" s="7" t="s">
        <v>29</v>
      </c>
      <c r="R17" s="7" t="s">
        <v>29</v>
      </c>
      <c r="S17" s="7" t="s">
        <v>29</v>
      </c>
    </row>
    <row r="18" spans="1:19">
      <c r="A18" s="7" t="s">
        <v>785</v>
      </c>
      <c r="B18" s="7" t="s">
        <v>1204</v>
      </c>
      <c r="C18" s="8">
        <v>0</v>
      </c>
      <c r="D18" s="6" t="str">
        <f>LRTRIM(CONCATENATE(IF(SUMPRODUCT(-- ISNUMBER(SEARCH({"Auto Number"}, $B18))) &gt; 0, $B18, IF(SUMPRODUCT(-- ISNUMBER(SEARCH({"Lookup","Master-Detail"}, $B18))) &gt; 0,$B18 &amp; "(" &amp; $E18 &amp; ")",IF(SUMPRODUCT(-- ISNUMBER(SEARCH({"Formula","Roll-Up Summary"}, $B18))) &gt; 0,$B18 &amp; " (" &amp; $E18 &amp; ")",IF(SUMPRODUCT(-- ISNUMBER(SEARCH({"Content","Currency","Number","Percent","Text","URL"}, $B18))) &gt; 0,$B18 &amp; "(" &amp; $C18 &amp; ")",$B18)))), "  ", TRIM(IF($S18 = "YES", "(External ID)", "") &amp; " " &amp; IF(SUMPRODUCT(-- ISNUMBER(SEARCH({"Unique","Unique Case Insensitive"}, $R18))) &gt; 0, "(" &amp; $R18 &amp; ")", ""))))</f>
        <v>Checkbox</v>
      </c>
      <c r="E18" s="7" t="s">
        <v>195</v>
      </c>
      <c r="F18" s="7" t="s">
        <v>812</v>
      </c>
      <c r="G18" s="7" t="s">
        <v>832</v>
      </c>
      <c r="H18" s="7" t="s">
        <v>195</v>
      </c>
      <c r="I18" s="7" t="s">
        <v>195</v>
      </c>
      <c r="J18" s="7" t="s">
        <v>195</v>
      </c>
      <c r="K18" s="7" t="s">
        <v>195</v>
      </c>
      <c r="L18" s="7" t="s">
        <v>195</v>
      </c>
      <c r="M18" s="7" t="s">
        <v>28</v>
      </c>
      <c r="N18" s="7" t="s">
        <v>29</v>
      </c>
      <c r="O18" s="7" t="s">
        <v>29</v>
      </c>
      <c r="P18" s="7" t="s">
        <v>29</v>
      </c>
      <c r="Q18" s="7" t="s">
        <v>29</v>
      </c>
      <c r="R18" s="7" t="s">
        <v>29</v>
      </c>
      <c r="S18" s="7" t="s">
        <v>29</v>
      </c>
    </row>
    <row r="19" spans="1:19">
      <c r="A19" s="7" t="s">
        <v>786</v>
      </c>
      <c r="B19" s="7" t="s">
        <v>1204</v>
      </c>
      <c r="C19" s="8">
        <v>0</v>
      </c>
      <c r="D19" s="6" t="str">
        <f>LRTRIM(CONCATENATE(IF(SUMPRODUCT(-- ISNUMBER(SEARCH({"Auto Number"}, $B19))) &gt; 0, $B19, IF(SUMPRODUCT(-- ISNUMBER(SEARCH({"Lookup","Master-Detail"}, $B19))) &gt; 0,$B19 &amp; "(" &amp; $E19 &amp; ")",IF(SUMPRODUCT(-- ISNUMBER(SEARCH({"Formula","Roll-Up Summary"}, $B19))) &gt; 0,$B19 &amp; " (" &amp; $E19 &amp; ")",IF(SUMPRODUCT(-- ISNUMBER(SEARCH({"Content","Currency","Number","Percent","Text","URL"}, $B19))) &gt; 0,$B19 &amp; "(" &amp; $C19 &amp; ")",$B19)))), "  ", TRIM(IF($S19 = "YES", "(External ID)", "") &amp; " " &amp; IF(SUMPRODUCT(-- ISNUMBER(SEARCH({"Unique","Unique Case Insensitive"}, $R19))) &gt; 0, "(" &amp; $R19 &amp; ")", ""))))</f>
        <v>Checkbox</v>
      </c>
      <c r="E19" s="7" t="s">
        <v>195</v>
      </c>
      <c r="F19" s="7" t="s">
        <v>813</v>
      </c>
      <c r="G19" s="7" t="s">
        <v>833</v>
      </c>
      <c r="H19" s="7" t="s">
        <v>195</v>
      </c>
      <c r="I19" s="7" t="s">
        <v>195</v>
      </c>
      <c r="J19" s="7" t="s">
        <v>195</v>
      </c>
      <c r="K19" s="7" t="s">
        <v>195</v>
      </c>
      <c r="L19" s="7" t="s">
        <v>195</v>
      </c>
      <c r="M19" s="7" t="s">
        <v>28</v>
      </c>
      <c r="N19" s="7" t="s">
        <v>29</v>
      </c>
      <c r="O19" s="7" t="s">
        <v>29</v>
      </c>
      <c r="P19" s="7" t="s">
        <v>29</v>
      </c>
      <c r="Q19" s="7" t="s">
        <v>29</v>
      </c>
      <c r="R19" s="7" t="s">
        <v>29</v>
      </c>
      <c r="S19" s="7" t="s">
        <v>29</v>
      </c>
    </row>
    <row r="20" spans="1:19">
      <c r="A20" s="7" t="s">
        <v>787</v>
      </c>
      <c r="B20" s="7" t="s">
        <v>1204</v>
      </c>
      <c r="C20" s="8">
        <v>0</v>
      </c>
      <c r="D20" s="6" t="str">
        <f>LRTRIM(CONCATENATE(IF(SUMPRODUCT(-- ISNUMBER(SEARCH({"Auto Number"}, $B20))) &gt; 0, $B20, IF(SUMPRODUCT(-- ISNUMBER(SEARCH({"Lookup","Master-Detail"}, $B20))) &gt; 0,$B20 &amp; "(" &amp; $E20 &amp; ")",IF(SUMPRODUCT(-- ISNUMBER(SEARCH({"Formula","Roll-Up Summary"}, $B20))) &gt; 0,$B20 &amp; " (" &amp; $E20 &amp; ")",IF(SUMPRODUCT(-- ISNUMBER(SEARCH({"Content","Currency","Number","Percent","Text","URL"}, $B20))) &gt; 0,$B20 &amp; "(" &amp; $C20 &amp; ")",$B20)))), "  ", TRIM(IF($S20 = "YES", "(External ID)", "") &amp; " " &amp; IF(SUMPRODUCT(-- ISNUMBER(SEARCH({"Unique","Unique Case Insensitive"}, $R20))) &gt; 0, "(" &amp; $R20 &amp; ")", ""))))</f>
        <v>Checkbox</v>
      </c>
      <c r="E20" s="7" t="s">
        <v>195</v>
      </c>
      <c r="F20" s="7" t="s">
        <v>814</v>
      </c>
      <c r="G20" s="7" t="s">
        <v>814</v>
      </c>
      <c r="H20" s="7" t="s">
        <v>195</v>
      </c>
      <c r="I20" s="7" t="s">
        <v>195</v>
      </c>
      <c r="J20" s="7" t="s">
        <v>195</v>
      </c>
      <c r="K20" s="7" t="s">
        <v>195</v>
      </c>
      <c r="L20" s="7" t="s">
        <v>195</v>
      </c>
      <c r="M20" s="7" t="s">
        <v>28</v>
      </c>
      <c r="N20" s="7" t="s">
        <v>29</v>
      </c>
      <c r="O20" s="7" t="s">
        <v>29</v>
      </c>
      <c r="P20" s="7" t="s">
        <v>29</v>
      </c>
      <c r="Q20" s="7" t="s">
        <v>29</v>
      </c>
      <c r="R20" s="7" t="s">
        <v>29</v>
      </c>
      <c r="S20" s="7" t="s">
        <v>29</v>
      </c>
    </row>
    <row r="21" spans="1:19">
      <c r="A21" s="7" t="s">
        <v>788</v>
      </c>
      <c r="B21" s="7" t="s">
        <v>1204</v>
      </c>
      <c r="C21" s="8">
        <v>0</v>
      </c>
      <c r="D21" s="6" t="str">
        <f>LRTRIM(CONCATENATE(IF(SUMPRODUCT(-- ISNUMBER(SEARCH({"Auto Number"}, $B21))) &gt; 0, $B21, IF(SUMPRODUCT(-- ISNUMBER(SEARCH({"Lookup","Master-Detail"}, $B21))) &gt; 0,$B21 &amp; "(" &amp; $E21 &amp; ")",IF(SUMPRODUCT(-- ISNUMBER(SEARCH({"Formula","Roll-Up Summary"}, $B21))) &gt; 0,$B21 &amp; " (" &amp; $E21 &amp; ")",IF(SUMPRODUCT(-- ISNUMBER(SEARCH({"Content","Currency","Number","Percent","Text","URL"}, $B21))) &gt; 0,$B21 &amp; "(" &amp; $C21 &amp; ")",$B21)))), "  ", TRIM(IF($S21 = "YES", "(External ID)", "") &amp; " " &amp; IF(SUMPRODUCT(-- ISNUMBER(SEARCH({"Unique","Unique Case Insensitive"}, $R21))) &gt; 0, "(" &amp; $R21 &amp; ")", ""))))</f>
        <v>Checkbox</v>
      </c>
      <c r="E21" s="7" t="s">
        <v>195</v>
      </c>
      <c r="F21" s="7" t="s">
        <v>815</v>
      </c>
      <c r="G21" s="7" t="s">
        <v>834</v>
      </c>
      <c r="H21" s="7" t="s">
        <v>195</v>
      </c>
      <c r="I21" s="7" t="s">
        <v>195</v>
      </c>
      <c r="J21" s="7" t="s">
        <v>195</v>
      </c>
      <c r="K21" s="7" t="s">
        <v>195</v>
      </c>
      <c r="L21" s="7" t="s">
        <v>195</v>
      </c>
      <c r="M21" s="7" t="s">
        <v>28</v>
      </c>
      <c r="N21" s="7" t="s">
        <v>29</v>
      </c>
      <c r="O21" s="7" t="s">
        <v>29</v>
      </c>
      <c r="P21" s="7" t="s">
        <v>29</v>
      </c>
      <c r="Q21" s="7" t="s">
        <v>29</v>
      </c>
      <c r="R21" s="7" t="s">
        <v>29</v>
      </c>
      <c r="S21" s="7" t="s">
        <v>29</v>
      </c>
    </row>
    <row r="22" spans="1:19">
      <c r="A22" s="7" t="s">
        <v>789</v>
      </c>
      <c r="B22" s="7" t="s">
        <v>1204</v>
      </c>
      <c r="C22" s="8">
        <v>0</v>
      </c>
      <c r="D22" s="6" t="str">
        <f>LRTRIM(CONCATENATE(IF(SUMPRODUCT(-- ISNUMBER(SEARCH({"Auto Number"}, $B22))) &gt; 0, $B22, IF(SUMPRODUCT(-- ISNUMBER(SEARCH({"Lookup","Master-Detail"}, $B22))) &gt; 0,$B22 &amp; "(" &amp; $E22 &amp; ")",IF(SUMPRODUCT(-- ISNUMBER(SEARCH({"Formula","Roll-Up Summary"}, $B22))) &gt; 0,$B22 &amp; " (" &amp; $E22 &amp; ")",IF(SUMPRODUCT(-- ISNUMBER(SEARCH({"Content","Currency","Number","Percent","Text","URL"}, $B22))) &gt; 0,$B22 &amp; "(" &amp; $C22 &amp; ")",$B22)))), "  ", TRIM(IF($S22 = "YES", "(External ID)", "") &amp; " " &amp; IF(SUMPRODUCT(-- ISNUMBER(SEARCH({"Unique","Unique Case Insensitive"}, $R22))) &gt; 0, "(" &amp; $R22 &amp; ")", ""))))</f>
        <v>Checkbox</v>
      </c>
      <c r="E22" s="7" t="s">
        <v>195</v>
      </c>
      <c r="F22" s="7" t="s">
        <v>816</v>
      </c>
      <c r="G22" s="7" t="s">
        <v>835</v>
      </c>
      <c r="H22" s="7" t="s">
        <v>195</v>
      </c>
      <c r="I22" s="7" t="s">
        <v>195</v>
      </c>
      <c r="J22" s="7" t="s">
        <v>195</v>
      </c>
      <c r="K22" s="7" t="s">
        <v>195</v>
      </c>
      <c r="L22" s="7" t="s">
        <v>195</v>
      </c>
      <c r="M22" s="7" t="s">
        <v>28</v>
      </c>
      <c r="N22" s="7" t="s">
        <v>29</v>
      </c>
      <c r="O22" s="7" t="s">
        <v>29</v>
      </c>
      <c r="P22" s="7" t="s">
        <v>29</v>
      </c>
      <c r="Q22" s="7" t="s">
        <v>29</v>
      </c>
      <c r="R22" s="7" t="s">
        <v>29</v>
      </c>
      <c r="S22" s="7" t="s">
        <v>29</v>
      </c>
    </row>
    <row r="23" spans="1:19">
      <c r="A23" s="7" t="s">
        <v>1694</v>
      </c>
      <c r="B23" s="7" t="s">
        <v>1204</v>
      </c>
      <c r="C23" s="8">
        <v>0</v>
      </c>
      <c r="D23" s="6" t="str">
        <f>LRTRIM(CONCATENATE(IF(SUMPRODUCT(-- ISNUMBER(SEARCH({"Auto Number"}, $B23))) &gt; 0, $B23, IF(SUMPRODUCT(-- ISNUMBER(SEARCH({"Lookup","Master-Detail"}, $B23))) &gt; 0,$B23 &amp; "(" &amp; $E23 &amp; ")",IF(SUMPRODUCT(-- ISNUMBER(SEARCH({"Formula","Roll-Up Summary"}, $B23))) &gt; 0,$B23 &amp; " (" &amp; $E23 &amp; ")",IF(SUMPRODUCT(-- ISNUMBER(SEARCH({"Content","Currency","Number","Percent","Text","URL"}, $B23))) &gt; 0,$B23 &amp; "(" &amp; $C23 &amp; ")",$B23)))), "  ", TRIM(IF($S23 = "YES", "(External ID)", "") &amp; " " &amp; IF(SUMPRODUCT(-- ISNUMBER(SEARCH({"Unique","Unique Case Insensitive"}, $R23))) &gt; 0, "(" &amp; $R23 &amp; ")", ""))))</f>
        <v>Checkbox</v>
      </c>
      <c r="E23" s="7" t="s">
        <v>195</v>
      </c>
      <c r="F23" s="7" t="s">
        <v>817</v>
      </c>
      <c r="G23" s="7" t="s">
        <v>817</v>
      </c>
      <c r="H23" s="7" t="s">
        <v>195</v>
      </c>
      <c r="I23" s="7" t="s">
        <v>195</v>
      </c>
      <c r="J23" s="7" t="s">
        <v>195</v>
      </c>
      <c r="K23" s="7" t="s">
        <v>195</v>
      </c>
      <c r="L23" s="7" t="s">
        <v>195</v>
      </c>
      <c r="M23" s="7" t="s">
        <v>28</v>
      </c>
      <c r="N23" s="7" t="s">
        <v>29</v>
      </c>
      <c r="O23" s="7" t="s">
        <v>29</v>
      </c>
      <c r="P23" s="7" t="s">
        <v>29</v>
      </c>
      <c r="Q23" s="7" t="s">
        <v>29</v>
      </c>
      <c r="R23" s="7" t="s">
        <v>29</v>
      </c>
      <c r="S23" s="7" t="s">
        <v>29</v>
      </c>
    </row>
    <row r="24" spans="1:19">
      <c r="A24" s="7" t="s">
        <v>791</v>
      </c>
      <c r="B24" s="7" t="s">
        <v>1204</v>
      </c>
      <c r="C24" s="8">
        <v>0</v>
      </c>
      <c r="D24" s="6" t="str">
        <f>LRTRIM(CONCATENATE(IF(SUMPRODUCT(-- ISNUMBER(SEARCH({"Auto Number"}, $B24))) &gt; 0, $B24, IF(SUMPRODUCT(-- ISNUMBER(SEARCH({"Lookup","Master-Detail"}, $B24))) &gt; 0,$B24 &amp; "(" &amp; $E24 &amp; ")",IF(SUMPRODUCT(-- ISNUMBER(SEARCH({"Formula","Roll-Up Summary"}, $B24))) &gt; 0,$B24 &amp; " (" &amp; $E24 &amp; ")",IF(SUMPRODUCT(-- ISNUMBER(SEARCH({"Content","Currency","Number","Percent","Text","URL"}, $B24))) &gt; 0,$B24 &amp; "(" &amp; $C24 &amp; ")",$B24)))), "  ", TRIM(IF($S24 = "YES", "(External ID)", "") &amp; " " &amp; IF(SUMPRODUCT(-- ISNUMBER(SEARCH({"Unique","Unique Case Insensitive"}, $R24))) &gt; 0, "(" &amp; $R24 &amp; ")", ""))))</f>
        <v>Checkbox</v>
      </c>
      <c r="E24" s="7" t="s">
        <v>195</v>
      </c>
      <c r="F24" s="7" t="s">
        <v>818</v>
      </c>
      <c r="G24" s="7" t="s">
        <v>836</v>
      </c>
      <c r="H24" s="7" t="s">
        <v>195</v>
      </c>
      <c r="I24" s="7" t="s">
        <v>195</v>
      </c>
      <c r="J24" s="7" t="s">
        <v>195</v>
      </c>
      <c r="K24" s="7" t="s">
        <v>195</v>
      </c>
      <c r="L24" s="7" t="s">
        <v>195</v>
      </c>
      <c r="M24" s="7" t="s">
        <v>28</v>
      </c>
      <c r="N24" s="7" t="s">
        <v>29</v>
      </c>
      <c r="O24" s="7" t="s">
        <v>29</v>
      </c>
      <c r="P24" s="7" t="s">
        <v>29</v>
      </c>
      <c r="Q24" s="7" t="s">
        <v>29</v>
      </c>
      <c r="R24" s="7" t="s">
        <v>29</v>
      </c>
      <c r="S24" s="7" t="s">
        <v>29</v>
      </c>
    </row>
    <row r="25" spans="1:19">
      <c r="A25" s="7" t="s">
        <v>14</v>
      </c>
      <c r="B25" s="7" t="s">
        <v>1204</v>
      </c>
      <c r="C25" s="8">
        <v>0</v>
      </c>
      <c r="D25" s="6" t="str">
        <f>LRTRIM(CONCATENATE(IF(SUMPRODUCT(-- ISNUMBER(SEARCH({"Auto Number"}, $B25))) &gt; 0, $B25, IF(SUMPRODUCT(-- ISNUMBER(SEARCH({"Lookup","Master-Detail"}, $B25))) &gt; 0,$B25 &amp; "(" &amp; $E25 &amp; ")",IF(SUMPRODUCT(-- ISNUMBER(SEARCH({"Formula","Roll-Up Summary"}, $B25))) &gt; 0,$B25 &amp; " (" &amp; $E25 &amp; ")",IF(SUMPRODUCT(-- ISNUMBER(SEARCH({"Content","Currency","Number","Percent","Text","URL"}, $B25))) &gt; 0,$B25 &amp; "(" &amp; $C25 &amp; ")",$B25)))), "  ", TRIM(IF($S25 = "YES", "(External ID)", "") &amp; " " &amp; IF(SUMPRODUCT(-- ISNUMBER(SEARCH({"Unique","Unique Case Insensitive"}, $R25))) &gt; 0, "(" &amp; $R25 &amp; ")", ""))))</f>
        <v>Checkbox</v>
      </c>
      <c r="E25" s="7" t="s">
        <v>195</v>
      </c>
      <c r="F25" s="7" t="s">
        <v>25</v>
      </c>
      <c r="G25" s="7" t="s">
        <v>195</v>
      </c>
      <c r="H25" s="7" t="s">
        <v>195</v>
      </c>
      <c r="I25" s="7" t="s">
        <v>195</v>
      </c>
      <c r="J25" s="7" t="s">
        <v>195</v>
      </c>
      <c r="K25" s="7" t="s">
        <v>195</v>
      </c>
      <c r="L25" s="7" t="s">
        <v>195</v>
      </c>
      <c r="M25" s="7" t="s">
        <v>28</v>
      </c>
      <c r="N25" s="7" t="s">
        <v>29</v>
      </c>
      <c r="O25" s="7" t="s">
        <v>29</v>
      </c>
      <c r="P25" s="7" t="s">
        <v>29</v>
      </c>
      <c r="Q25" s="7" t="s">
        <v>29</v>
      </c>
      <c r="R25" s="7" t="s">
        <v>29</v>
      </c>
      <c r="S25" s="7" t="s">
        <v>29</v>
      </c>
    </row>
    <row r="26" spans="1:19">
      <c r="A26" s="7" t="s">
        <v>792</v>
      </c>
      <c r="B26" s="7" t="s">
        <v>1213</v>
      </c>
      <c r="C26" s="8" t="s">
        <v>1250</v>
      </c>
      <c r="D26" s="6" t="str">
        <f>LRTRIM(CONCATENATE(IF(SUMPRODUCT(-- ISNUMBER(SEARCH({"Auto Number"}, $B26))) &gt; 0, $B26, IF(SUMPRODUCT(-- ISNUMBER(SEARCH({"Lookup","Master-Detail"}, $B26))) &gt; 0,$B26 &amp; "(" &amp; $E26 &amp; ")",IF(SUMPRODUCT(-- ISNUMBER(SEARCH({"Formula","Roll-Up Summary"}, $B26))) &gt; 0,$B26 &amp; " (" &amp; $E26 &amp; ")",IF(SUMPRODUCT(-- ISNUMBER(SEARCH({"Content","Currency","Number","Percent","Text","URL"}, $B26))) &gt; 0,$B26 &amp; "(" &amp; $C26 &amp; ")",$B26)))), "  ", TRIM(IF($S26 = "YES", "(External ID)", "") &amp; " " &amp; IF(SUMPRODUCT(-- ISNUMBER(SEARCH({"Unique","Unique Case Insensitive"}, $R26))) &gt; 0, "(" &amp; $R26 &amp; ")", ""))))</f>
        <v>Number(18, 0)</v>
      </c>
      <c r="E26" s="7" t="s">
        <v>195</v>
      </c>
      <c r="F26" s="7" t="s">
        <v>819</v>
      </c>
      <c r="G26" s="7" t="s">
        <v>837</v>
      </c>
      <c r="H26" s="7" t="s">
        <v>195</v>
      </c>
      <c r="I26" s="7" t="s">
        <v>195</v>
      </c>
      <c r="J26" s="7" t="s">
        <v>195</v>
      </c>
      <c r="K26" s="7" t="s">
        <v>195</v>
      </c>
      <c r="L26" s="7" t="s">
        <v>195</v>
      </c>
      <c r="M26" s="7" t="s">
        <v>29</v>
      </c>
      <c r="N26" s="7" t="s">
        <v>29</v>
      </c>
      <c r="O26" s="7" t="s">
        <v>29</v>
      </c>
      <c r="P26" s="7" t="s">
        <v>29</v>
      </c>
      <c r="Q26" s="7" t="s">
        <v>29</v>
      </c>
      <c r="R26" s="7" t="s">
        <v>29</v>
      </c>
      <c r="S26" s="7" t="s">
        <v>29</v>
      </c>
    </row>
    <row r="27" spans="1:19">
      <c r="A27" s="7" t="s">
        <v>793</v>
      </c>
      <c r="B27" s="7" t="s">
        <v>1218</v>
      </c>
      <c r="C27" s="8">
        <v>80</v>
      </c>
      <c r="D27" s="6" t="str">
        <f>LRTRIM(CONCATENATE(IF(SUMPRODUCT(-- ISNUMBER(SEARCH({"Auto Number"}, $B27))) &gt; 0, $B27, IF(SUMPRODUCT(-- ISNUMBER(SEARCH({"Lookup","Master-Detail"}, $B27))) &gt; 0,$B27 &amp; "(" &amp; $E27 &amp; ")",IF(SUMPRODUCT(-- ISNUMBER(SEARCH({"Formula","Roll-Up Summary"}, $B27))) &gt; 0,$B27 &amp; " (" &amp; $E27 &amp; ")",IF(SUMPRODUCT(-- ISNUMBER(SEARCH({"Content","Currency","Number","Percent","Text","URL"}, $B27))) &gt; 0,$B27 &amp; "(" &amp; $C27 &amp; ")",$B27)))), "  ", TRIM(IF($S27 = "YES", "(External ID)", "") &amp; " " &amp; IF(SUMPRODUCT(-- ISNUMBER(SEARCH({"Unique","Unique Case Insensitive"}, $R27))) &gt; 0, "(" &amp; $R27 &amp; ")", ""))))</f>
        <v>Text(80)</v>
      </c>
      <c r="E27" s="7" t="s">
        <v>195</v>
      </c>
      <c r="F27" s="7" t="s">
        <v>820</v>
      </c>
      <c r="G27" s="7" t="s">
        <v>838</v>
      </c>
      <c r="H27" s="7" t="s">
        <v>195</v>
      </c>
      <c r="I27" s="7" t="s">
        <v>195</v>
      </c>
      <c r="J27" s="7" t="s">
        <v>195</v>
      </c>
      <c r="K27" s="7" t="s">
        <v>195</v>
      </c>
      <c r="L27" s="7" t="s">
        <v>195</v>
      </c>
      <c r="M27" s="7" t="s">
        <v>29</v>
      </c>
      <c r="N27" s="7" t="s">
        <v>29</v>
      </c>
      <c r="O27" s="7" t="s">
        <v>29</v>
      </c>
      <c r="P27" s="7" t="s">
        <v>29</v>
      </c>
      <c r="Q27" s="7" t="s">
        <v>29</v>
      </c>
      <c r="R27" s="7" t="s">
        <v>29</v>
      </c>
      <c r="S27" s="7" t="s">
        <v>29</v>
      </c>
    </row>
    <row r="28" spans="1:19">
      <c r="A28" s="7" t="s">
        <v>1695</v>
      </c>
      <c r="B28" s="7" t="s">
        <v>1213</v>
      </c>
      <c r="C28" s="8" t="s">
        <v>1250</v>
      </c>
      <c r="D28" s="6" t="str">
        <f>LRTRIM(CONCATENATE(IF(SUMPRODUCT(-- ISNUMBER(SEARCH({"Auto Number"}, $B28))) &gt; 0, $B28, IF(SUMPRODUCT(-- ISNUMBER(SEARCH({"Lookup","Master-Detail"}, $B28))) &gt; 0,$B28 &amp; "(" &amp; $E28 &amp; ")",IF(SUMPRODUCT(-- ISNUMBER(SEARCH({"Formula","Roll-Up Summary"}, $B28))) &gt; 0,$B28 &amp; " (" &amp; $E28 &amp; ")",IF(SUMPRODUCT(-- ISNUMBER(SEARCH({"Content","Currency","Number","Percent","Text","URL"}, $B28))) &gt; 0,$B28 &amp; "(" &amp; $C28 &amp; ")",$B28)))), "  ", TRIM(IF($S28 = "YES", "(External ID)", "") &amp; " " &amp; IF(SUMPRODUCT(-- ISNUMBER(SEARCH({"Unique","Unique Case Insensitive"}, $R28))) &gt; 0, "(" &amp; $R28 &amp; ")", ""))))</f>
        <v>Number(18, 0)  (External ID)</v>
      </c>
      <c r="E28" s="7" t="s">
        <v>195</v>
      </c>
      <c r="F28" s="7" t="s">
        <v>1696</v>
      </c>
      <c r="G28" s="7" t="s">
        <v>195</v>
      </c>
      <c r="H28" s="7" t="s">
        <v>195</v>
      </c>
      <c r="I28" s="7" t="s">
        <v>195</v>
      </c>
      <c r="J28" s="7" t="s">
        <v>195</v>
      </c>
      <c r="K28" s="7" t="s">
        <v>195</v>
      </c>
      <c r="L28" s="7" t="s">
        <v>195</v>
      </c>
      <c r="M28" s="7" t="s">
        <v>29</v>
      </c>
      <c r="N28" s="7" t="s">
        <v>29</v>
      </c>
      <c r="O28" s="7" t="s">
        <v>29</v>
      </c>
      <c r="P28" s="7" t="s">
        <v>29</v>
      </c>
      <c r="Q28" s="7" t="s">
        <v>29</v>
      </c>
      <c r="R28" s="7" t="s">
        <v>29</v>
      </c>
      <c r="S28" s="7" t="s">
        <v>28</v>
      </c>
    </row>
    <row r="29" spans="1:19">
      <c r="A29" s="7" t="s">
        <v>794</v>
      </c>
      <c r="B29" s="7" t="s">
        <v>1204</v>
      </c>
      <c r="C29" s="8">
        <v>0</v>
      </c>
      <c r="D29" s="6" t="str">
        <f>LRTRIM(CONCATENATE(IF(SUMPRODUCT(-- ISNUMBER(SEARCH({"Auto Number"}, $B29))) &gt; 0, $B29, IF(SUMPRODUCT(-- ISNUMBER(SEARCH({"Lookup","Master-Detail"}, $B29))) &gt; 0,$B29 &amp; "(" &amp; $E29 &amp; ")",IF(SUMPRODUCT(-- ISNUMBER(SEARCH({"Formula","Roll-Up Summary"}, $B29))) &gt; 0,$B29 &amp; " (" &amp; $E29 &amp; ")",IF(SUMPRODUCT(-- ISNUMBER(SEARCH({"Content","Currency","Number","Percent","Text","URL"}, $B29))) &gt; 0,$B29 &amp; "(" &amp; $C29 &amp; ")",$B29)))), "  ", TRIM(IF($S29 = "YES", "(External ID)", "") &amp; " " &amp; IF(SUMPRODUCT(-- ISNUMBER(SEARCH({"Unique","Unique Case Insensitive"}, $R29))) &gt; 0, "(" &amp; $R29 &amp; ")", ""))))</f>
        <v>Checkbox</v>
      </c>
      <c r="E29" s="7" t="s">
        <v>195</v>
      </c>
      <c r="F29" s="7" t="s">
        <v>821</v>
      </c>
      <c r="G29" s="7" t="s">
        <v>839</v>
      </c>
      <c r="H29" s="7" t="s">
        <v>195</v>
      </c>
      <c r="I29" s="7" t="s">
        <v>195</v>
      </c>
      <c r="J29" s="7" t="s">
        <v>195</v>
      </c>
      <c r="K29" s="7" t="s">
        <v>195</v>
      </c>
      <c r="L29" s="7" t="s">
        <v>195</v>
      </c>
      <c r="M29" s="7" t="s">
        <v>28</v>
      </c>
      <c r="N29" s="7" t="s">
        <v>29</v>
      </c>
      <c r="O29" s="7" t="s">
        <v>29</v>
      </c>
      <c r="P29" s="7" t="s">
        <v>29</v>
      </c>
      <c r="Q29" s="7" t="s">
        <v>29</v>
      </c>
      <c r="R29" s="7" t="s">
        <v>29</v>
      </c>
      <c r="S29" s="7" t="s">
        <v>29</v>
      </c>
    </row>
    <row r="30" spans="1:19">
      <c r="A30" s="7" t="s">
        <v>795</v>
      </c>
      <c r="B30" s="7" t="s">
        <v>1218</v>
      </c>
      <c r="C30" s="8">
        <v>20</v>
      </c>
      <c r="D30" s="6" t="str">
        <f>LRTRIM(CONCATENATE(IF(SUMPRODUCT(-- ISNUMBER(SEARCH({"Auto Number"}, $B30))) &gt; 0, $B30, IF(SUMPRODUCT(-- ISNUMBER(SEARCH({"Lookup","Master-Detail"}, $B30))) &gt; 0,$B30 &amp; "(" &amp; $E30 &amp; ")",IF(SUMPRODUCT(-- ISNUMBER(SEARCH({"Formula","Roll-Up Summary"}, $B30))) &gt; 0,$B30 &amp; " (" &amp; $E30 &amp; ")",IF(SUMPRODUCT(-- ISNUMBER(SEARCH({"Content","Currency","Number","Percent","Text","URL"}, $B30))) &gt; 0,$B30 &amp; "(" &amp; $C30 &amp; ")",$B30)))), "  ", TRIM(IF($S30 = "YES", "(External ID)", "") &amp; " " &amp; IF(SUMPRODUCT(-- ISNUMBER(SEARCH({"Unique","Unique Case Insensitive"}, $R30))) &gt; 0, "(" &amp; $R30 &amp; ")", ""))))</f>
        <v>Text(20)</v>
      </c>
      <c r="E30" s="7" t="s">
        <v>195</v>
      </c>
      <c r="F30" s="7" t="s">
        <v>822</v>
      </c>
      <c r="G30" s="7" t="s">
        <v>840</v>
      </c>
      <c r="H30" s="7" t="s">
        <v>195</v>
      </c>
      <c r="I30" s="7" t="s">
        <v>195</v>
      </c>
      <c r="J30" s="7" t="s">
        <v>195</v>
      </c>
      <c r="K30" s="7" t="s">
        <v>195</v>
      </c>
      <c r="L30" s="7" t="s">
        <v>195</v>
      </c>
      <c r="M30" s="7" t="s">
        <v>29</v>
      </c>
      <c r="N30" s="7" t="s">
        <v>29</v>
      </c>
      <c r="O30" s="7" t="s">
        <v>29</v>
      </c>
      <c r="P30" s="7" t="s">
        <v>29</v>
      </c>
      <c r="Q30" s="7" t="s">
        <v>29</v>
      </c>
      <c r="R30" s="7" t="s">
        <v>29</v>
      </c>
      <c r="S30" s="7" t="s">
        <v>29</v>
      </c>
    </row>
    <row r="31" spans="1:19">
      <c r="A31" s="7" t="s">
        <v>796</v>
      </c>
      <c r="B31" s="7" t="s">
        <v>1218</v>
      </c>
      <c r="C31" s="8">
        <v>50</v>
      </c>
      <c r="D31" s="6" t="str">
        <f>LRTRIM(CONCATENATE(IF(SUMPRODUCT(-- ISNUMBER(SEARCH({"Auto Number"}, $B31))) &gt; 0, $B31, IF(SUMPRODUCT(-- ISNUMBER(SEARCH({"Lookup","Master-Detail"}, $B31))) &gt; 0,$B31 &amp; "(" &amp; $E31 &amp; ")",IF(SUMPRODUCT(-- ISNUMBER(SEARCH({"Formula","Roll-Up Summary"}, $B31))) &gt; 0,$B31 &amp; " (" &amp; $E31 &amp; ")",IF(SUMPRODUCT(-- ISNUMBER(SEARCH({"Content","Currency","Number","Percent","Text","URL"}, $B31))) &gt; 0,$B31 &amp; "(" &amp; $C31 &amp; ")",$B31)))), "  ", TRIM(IF($S31 = "YES", "(External ID)", "") &amp; " " &amp; IF(SUMPRODUCT(-- ISNUMBER(SEARCH({"Unique","Unique Case Insensitive"}, $R31))) &gt; 0, "(" &amp; $R31 &amp; ")", ""))))</f>
        <v>Text(50)</v>
      </c>
      <c r="E31" s="7" t="s">
        <v>195</v>
      </c>
      <c r="F31" s="7" t="s">
        <v>823</v>
      </c>
      <c r="G31" s="7" t="s">
        <v>841</v>
      </c>
      <c r="H31" s="7" t="s">
        <v>195</v>
      </c>
      <c r="I31" s="7" t="s">
        <v>195</v>
      </c>
      <c r="J31" s="7" t="s">
        <v>195</v>
      </c>
      <c r="K31" s="7" t="s">
        <v>195</v>
      </c>
      <c r="L31" s="7" t="s">
        <v>195</v>
      </c>
      <c r="M31" s="7" t="s">
        <v>29</v>
      </c>
      <c r="N31" s="7" t="s">
        <v>29</v>
      </c>
      <c r="O31" s="7" t="s">
        <v>29</v>
      </c>
      <c r="P31" s="7" t="s">
        <v>29</v>
      </c>
      <c r="Q31" s="7" t="s">
        <v>29</v>
      </c>
      <c r="R31" s="7" t="s">
        <v>29</v>
      </c>
      <c r="S31" s="7" t="s">
        <v>29</v>
      </c>
    </row>
    <row r="32" spans="1:19">
      <c r="A32" s="7" t="s">
        <v>797</v>
      </c>
      <c r="B32" s="7" t="s">
        <v>1211</v>
      </c>
      <c r="C32" s="8">
        <v>18</v>
      </c>
      <c r="D32" s="6" t="str">
        <f>LRTRIM(CONCATENATE(IF(SUMPRODUCT(-- ISNUMBER(SEARCH({"Auto Number"}, $B32))) &gt; 0, $B32, IF(SUMPRODUCT(-- ISNUMBER(SEARCH({"Lookup","Master-Detail"}, $B32))) &gt; 0,$B32 &amp; "(" &amp; $E32 &amp; ")",IF(SUMPRODUCT(-- ISNUMBER(SEARCH({"Formula","Roll-Up Summary"}, $B32))) &gt; 0,$B32 &amp; " (" &amp; $E32 &amp; ")",IF(SUMPRODUCT(-- ISNUMBER(SEARCH({"Content","Currency","Number","Percent","Text","URL"}, $B32))) &gt; 0,$B32 &amp; "(" &amp; $C32 &amp; ")",$B32)))), "  ", TRIM(IF($S32 = "YES", "(External ID)", "") &amp; " " &amp; IF(SUMPRODUCT(-- ISNUMBER(SEARCH({"Unique","Unique Case Insensitive"}, $R32))) &gt; 0, "(" &amp; $R32 &amp; ")", ""))))</f>
        <v>Lookup(Product)</v>
      </c>
      <c r="E32" s="7" t="s">
        <v>506</v>
      </c>
      <c r="F32" s="7" t="s">
        <v>206</v>
      </c>
      <c r="G32" s="7" t="s">
        <v>211</v>
      </c>
      <c r="H32" s="7" t="s">
        <v>195</v>
      </c>
      <c r="I32" s="7" t="s">
        <v>195</v>
      </c>
      <c r="J32" s="7" t="s">
        <v>195</v>
      </c>
      <c r="K32" s="7" t="s">
        <v>195</v>
      </c>
      <c r="L32" s="7" t="s">
        <v>195</v>
      </c>
      <c r="M32" s="7" t="s">
        <v>29</v>
      </c>
      <c r="N32" s="7" t="s">
        <v>29</v>
      </c>
      <c r="O32" s="7" t="s">
        <v>29</v>
      </c>
      <c r="P32" s="7" t="s">
        <v>29</v>
      </c>
      <c r="Q32" s="7" t="s">
        <v>29</v>
      </c>
      <c r="R32" s="7" t="s">
        <v>29</v>
      </c>
      <c r="S32" s="7" t="s">
        <v>29</v>
      </c>
    </row>
    <row r="33" spans="1:19">
      <c r="A33" s="7" t="s">
        <v>798</v>
      </c>
      <c r="B33" s="7" t="s">
        <v>1206</v>
      </c>
      <c r="C33" s="8" t="s">
        <v>1289</v>
      </c>
      <c r="D33" s="6" t="str">
        <f>LRTRIM(CONCATENATE(IF(SUMPRODUCT(-- ISNUMBER(SEARCH({"Auto Number"}, $B33))) &gt; 0, $B33, IF(SUMPRODUCT(-- ISNUMBER(SEARCH({"Lookup","Master-Detail"}, $B33))) &gt; 0,$B33 &amp; "(" &amp; $E33 &amp; ")",IF(SUMPRODUCT(-- ISNUMBER(SEARCH({"Formula","Roll-Up Summary"}, $B33))) &gt; 0,$B33 &amp; " (" &amp; $E33 &amp; ")",IF(SUMPRODUCT(-- ISNUMBER(SEARCH({"Content","Currency","Number","Percent","Text","URL"}, $B33))) &gt; 0,$B33 &amp; "(" &amp; $C33 &amp; ")",$B33)))), "  ", TRIM(IF($S33 = "YES", "(External ID)", "") &amp; " " &amp; IF(SUMPRODUCT(-- ISNUMBER(SEARCH({"Unique","Unique Case Insensitive"}, $R33))) &gt; 0, "(" &amp; $R33 &amp; ")", ""))))</f>
        <v>Currency(16, 2)</v>
      </c>
      <c r="E33" s="7" t="s">
        <v>195</v>
      </c>
      <c r="F33" s="7" t="s">
        <v>824</v>
      </c>
      <c r="G33" s="7" t="s">
        <v>541</v>
      </c>
      <c r="H33" s="7" t="s">
        <v>195</v>
      </c>
      <c r="I33" s="7" t="s">
        <v>195</v>
      </c>
      <c r="J33" s="7" t="s">
        <v>195</v>
      </c>
      <c r="K33" s="7" t="s">
        <v>195</v>
      </c>
      <c r="L33" s="7" t="s">
        <v>195</v>
      </c>
      <c r="M33" s="7" t="s">
        <v>29</v>
      </c>
      <c r="N33" s="7" t="s">
        <v>29</v>
      </c>
      <c r="O33" s="7" t="s">
        <v>29</v>
      </c>
      <c r="P33" s="7" t="s">
        <v>29</v>
      </c>
      <c r="Q33" s="7" t="s">
        <v>29</v>
      </c>
      <c r="R33" s="7" t="s">
        <v>29</v>
      </c>
      <c r="S33" s="7" t="s">
        <v>29</v>
      </c>
    </row>
    <row r="34" spans="1:19">
      <c r="A34" s="7" t="s">
        <v>35</v>
      </c>
      <c r="B34" s="7" t="s">
        <v>195</v>
      </c>
      <c r="C34" s="8" t="s">
        <v>195</v>
      </c>
      <c r="D34" s="6" t="str">
        <f>LRTRIM(CONCATENATE(IF(SUMPRODUCT(-- ISNUMBER(SEARCH({"Auto Number"}, $B34))) &gt; 0, $B34, IF(SUMPRODUCT(-- ISNUMBER(SEARCH({"Lookup","Master-Detail"}, $B34))) &gt; 0,$B34 &amp; "(" &amp; $E34 &amp; ")",IF(SUMPRODUCT(-- ISNUMBER(SEARCH({"Formula","Roll-Up Summary"}, $B34))) &gt; 0,$B34 &amp; " (" &amp; $E34 &amp; ")",IF(SUMPRODUCT(-- ISNUMBER(SEARCH({"Content","Currency","Number","Percent","Text","URL"}, $B34))) &gt; 0,$B34 &amp; "(" &amp; $C34 &amp; ")",$B34)))), "  ", TRIM(IF($S34 = "YES", "(External ID)", "") &amp; " " &amp; IF(SUMPRODUCT(-- ISNUMBER(SEARCH({"Unique","Unique Case Insensitive"}, $R34))) &gt; 0, "(" &amp; $R34 &amp; ")", ""))))</f>
        <v>na</v>
      </c>
      <c r="E34" s="7" t="s">
        <v>195</v>
      </c>
      <c r="F34" s="7" t="s">
        <v>195</v>
      </c>
      <c r="G34" s="7" t="s">
        <v>195</v>
      </c>
      <c r="H34" s="7" t="s">
        <v>195</v>
      </c>
      <c r="I34" s="7" t="s">
        <v>195</v>
      </c>
      <c r="J34" s="7" t="s">
        <v>195</v>
      </c>
      <c r="K34" s="7" t="s">
        <v>195</v>
      </c>
      <c r="L34" s="7" t="s">
        <v>195</v>
      </c>
      <c r="M34" s="7" t="s">
        <v>28</v>
      </c>
      <c r="N34" s="7" t="s">
        <v>29</v>
      </c>
      <c r="O34" s="7" t="s">
        <v>29</v>
      </c>
      <c r="P34" s="7" t="s">
        <v>29</v>
      </c>
      <c r="Q34" s="7" t="s">
        <v>29</v>
      </c>
      <c r="R34" s="7" t="s">
        <v>29</v>
      </c>
      <c r="S34" s="7" t="s">
        <v>29</v>
      </c>
    </row>
    <row r="35" spans="1:19">
      <c r="A35" s="7" t="s">
        <v>38</v>
      </c>
      <c r="B35" s="7" t="s">
        <v>195</v>
      </c>
      <c r="C35" s="8" t="s">
        <v>195</v>
      </c>
      <c r="D35" s="6" t="str">
        <f>LRTRIM(CONCATENATE(IF(SUMPRODUCT(-- ISNUMBER(SEARCH({"Auto Number"}, $B35))) &gt; 0, $B35, IF(SUMPRODUCT(-- ISNUMBER(SEARCH({"Lookup","Master-Detail"}, $B35))) &gt; 0,$B35 &amp; "(" &amp; $E35 &amp; ")",IF(SUMPRODUCT(-- ISNUMBER(SEARCH({"Formula","Roll-Up Summary"}, $B35))) &gt; 0,$B35 &amp; " (" &amp; $E35 &amp; ")",IF(SUMPRODUCT(-- ISNUMBER(SEARCH({"Content","Currency","Number","Percent","Text","URL"}, $B35))) &gt; 0,$B35 &amp; "(" &amp; $C35 &amp; ")",$B35)))), "  ", TRIM(IF($S35 = "YES", "(External ID)", "") &amp; " " &amp; IF(SUMPRODUCT(-- ISNUMBER(SEARCH({"Unique","Unique Case Insensitive"}, $R35))) &gt; 0, "(" &amp; $R35 &amp; ")", ""))))</f>
        <v>na</v>
      </c>
      <c r="E35" s="7" t="s">
        <v>195</v>
      </c>
      <c r="F35" s="7" t="s">
        <v>195</v>
      </c>
      <c r="G35" s="7" t="s">
        <v>195</v>
      </c>
      <c r="H35" s="7" t="s">
        <v>195</v>
      </c>
      <c r="I35" s="7" t="s">
        <v>195</v>
      </c>
      <c r="J35" s="7" t="s">
        <v>195</v>
      </c>
      <c r="K35" s="7" t="s">
        <v>195</v>
      </c>
      <c r="L35" s="7" t="s">
        <v>195</v>
      </c>
      <c r="M35" s="7" t="s">
        <v>28</v>
      </c>
      <c r="N35" s="7" t="s">
        <v>29</v>
      </c>
      <c r="O35" s="7" t="s">
        <v>29</v>
      </c>
      <c r="P35" s="7" t="s">
        <v>29</v>
      </c>
      <c r="Q35" s="7" t="s">
        <v>29</v>
      </c>
      <c r="R35" s="7" t="s">
        <v>29</v>
      </c>
      <c r="S35" s="7" t="s">
        <v>29</v>
      </c>
    </row>
    <row r="36" spans="1:19">
      <c r="A36" s="7" t="s">
        <v>37</v>
      </c>
      <c r="B36" s="7" t="s">
        <v>195</v>
      </c>
      <c r="C36" s="8" t="s">
        <v>195</v>
      </c>
      <c r="D36" s="6" t="str">
        <f>LRTRIM(CONCATENATE(IF(SUMPRODUCT(-- ISNUMBER(SEARCH({"Auto Number"}, $B36))) &gt; 0, $B36, IF(SUMPRODUCT(-- ISNUMBER(SEARCH({"Lookup","Master-Detail"}, $B36))) &gt; 0,$B36 &amp; "(" &amp; $E36 &amp; ")",IF(SUMPRODUCT(-- ISNUMBER(SEARCH({"Formula","Roll-Up Summary"}, $B36))) &gt; 0,$B36 &amp; " (" &amp; $E36 &amp; ")",IF(SUMPRODUCT(-- ISNUMBER(SEARCH({"Content","Currency","Number","Percent","Text","URL"}, $B36))) &gt; 0,$B36 &amp; "(" &amp; $C36 &amp; ")",$B36)))), "  ", TRIM(IF($S36 = "YES", "(External ID)", "") &amp; " " &amp; IF(SUMPRODUCT(-- ISNUMBER(SEARCH({"Unique","Unique Case Insensitive"}, $R36))) &gt; 0, "(" &amp; $R36 &amp; ")", ""))))</f>
        <v>na</v>
      </c>
      <c r="E36" s="7" t="s">
        <v>195</v>
      </c>
      <c r="F36" s="7" t="s">
        <v>195</v>
      </c>
      <c r="G36" s="7" t="s">
        <v>195</v>
      </c>
      <c r="H36" s="7" t="s">
        <v>195</v>
      </c>
      <c r="I36" s="7" t="s">
        <v>195</v>
      </c>
      <c r="J36" s="7" t="s">
        <v>195</v>
      </c>
      <c r="K36" s="7" t="s">
        <v>195</v>
      </c>
      <c r="L36" s="7" t="s">
        <v>195</v>
      </c>
      <c r="M36" s="7" t="s">
        <v>28</v>
      </c>
      <c r="N36" s="7" t="s">
        <v>29</v>
      </c>
      <c r="O36" s="7" t="s">
        <v>29</v>
      </c>
      <c r="P36" s="7" t="s">
        <v>29</v>
      </c>
      <c r="Q36" s="7" t="s">
        <v>29</v>
      </c>
      <c r="R36" s="7" t="s">
        <v>29</v>
      </c>
      <c r="S36" s="7" t="s">
        <v>29</v>
      </c>
    </row>
    <row r="37" spans="1:19">
      <c r="A37" s="7" t="s">
        <v>87</v>
      </c>
      <c r="B37" s="7" t="s">
        <v>195</v>
      </c>
      <c r="C37" s="8" t="s">
        <v>195</v>
      </c>
      <c r="D37" s="6" t="str">
        <f>LRTRIM(CONCATENATE(IF(SUMPRODUCT(-- ISNUMBER(SEARCH({"Auto Number"}, $B37))) &gt; 0, $B37, IF(SUMPRODUCT(-- ISNUMBER(SEARCH({"Lookup","Master-Detail"}, $B37))) &gt; 0,$B37 &amp; "(" &amp; $E37 &amp; ")",IF(SUMPRODUCT(-- ISNUMBER(SEARCH({"Formula","Roll-Up Summary"}, $B37))) &gt; 0,$B37 &amp; " (" &amp; $E37 &amp; ")",IF(SUMPRODUCT(-- ISNUMBER(SEARCH({"Content","Currency","Number","Percent","Text","URL"}, $B37))) &gt; 0,$B37 &amp; "(" &amp; $C37 &amp; ")",$B37)))), "  ", TRIM(IF($S37 = "YES", "(External ID)", "") &amp; " " &amp; IF(SUMPRODUCT(-- ISNUMBER(SEARCH({"Unique","Unique Case Insensitive"}, $R37))) &gt; 0, "(" &amp; $R37 &amp; ")", ""))))</f>
        <v>na</v>
      </c>
      <c r="E37" s="7" t="s">
        <v>195</v>
      </c>
      <c r="F37" s="7" t="s">
        <v>195</v>
      </c>
      <c r="G37" s="7" t="s">
        <v>195</v>
      </c>
      <c r="H37" s="7" t="s">
        <v>195</v>
      </c>
      <c r="I37" s="7" t="s">
        <v>195</v>
      </c>
      <c r="J37" s="7" t="s">
        <v>195</v>
      </c>
      <c r="K37" s="7" t="s">
        <v>195</v>
      </c>
      <c r="L37" s="7" t="s">
        <v>195</v>
      </c>
      <c r="M37" s="7" t="s">
        <v>28</v>
      </c>
      <c r="N37" s="7" t="s">
        <v>29</v>
      </c>
      <c r="O37" s="7" t="s">
        <v>29</v>
      </c>
      <c r="P37" s="7" t="s">
        <v>29</v>
      </c>
      <c r="Q37" s="7" t="s">
        <v>29</v>
      </c>
      <c r="R37" s="7" t="s">
        <v>29</v>
      </c>
      <c r="S37" s="7" t="s">
        <v>29</v>
      </c>
    </row>
    <row r="38" spans="1:19">
      <c r="A38" s="7" t="s">
        <v>39</v>
      </c>
      <c r="B38" s="7" t="s">
        <v>195</v>
      </c>
      <c r="C38" s="8" t="s">
        <v>195</v>
      </c>
      <c r="D38" s="6" t="str">
        <f>LRTRIM(CONCATENATE(IF(SUMPRODUCT(-- ISNUMBER(SEARCH({"Auto Number"}, $B38))) &gt; 0, $B38, IF(SUMPRODUCT(-- ISNUMBER(SEARCH({"Lookup","Master-Detail"}, $B38))) &gt; 0,$B38 &amp; "(" &amp; $E38 &amp; ")",IF(SUMPRODUCT(-- ISNUMBER(SEARCH({"Formula","Roll-Up Summary"}, $B38))) &gt; 0,$B38 &amp; " (" &amp; $E38 &amp; ")",IF(SUMPRODUCT(-- ISNUMBER(SEARCH({"Content","Currency","Number","Percent","Text","URL"}, $B38))) &gt; 0,$B38 &amp; "(" &amp; $C38 &amp; ")",$B38)))), "  ", TRIM(IF($S38 = "YES", "(External ID)", "") &amp; " " &amp; IF(SUMPRODUCT(-- ISNUMBER(SEARCH({"Unique","Unique Case Insensitive"}, $R38))) &gt; 0, "(" &amp; $R38 &amp; ")", ""))))</f>
        <v>na</v>
      </c>
      <c r="E38" s="7" t="s">
        <v>195</v>
      </c>
      <c r="F38" s="7" t="s">
        <v>195</v>
      </c>
      <c r="G38" s="7" t="s">
        <v>195</v>
      </c>
      <c r="H38" s="7" t="s">
        <v>195</v>
      </c>
      <c r="I38" s="7" t="s">
        <v>195</v>
      </c>
      <c r="J38" s="7" t="s">
        <v>195</v>
      </c>
      <c r="K38" s="7" t="s">
        <v>195</v>
      </c>
      <c r="L38" s="7" t="s">
        <v>195</v>
      </c>
      <c r="M38" s="7" t="s">
        <v>28</v>
      </c>
      <c r="N38" s="7" t="s">
        <v>29</v>
      </c>
      <c r="O38" s="7" t="s">
        <v>29</v>
      </c>
      <c r="P38" s="7" t="s">
        <v>29</v>
      </c>
      <c r="Q38" s="7" t="s">
        <v>29</v>
      </c>
      <c r="R38" s="7" t="s">
        <v>29</v>
      </c>
      <c r="S38" s="7" t="s">
        <v>29</v>
      </c>
    </row>
    <row r="39" spans="1:19">
      <c r="B39" s="7" t="s">
        <v>195</v>
      </c>
      <c r="C39" s="8" t="s">
        <v>195</v>
      </c>
      <c r="D39" s="6" t="str">
        <f>LRTRIM(CONCATENATE(IF(SUMPRODUCT(-- ISNUMBER(SEARCH({"Auto Number"}, $B39))) &gt; 0, $B39, IF(SUMPRODUCT(-- ISNUMBER(SEARCH({"Lookup","Master-Detail"}, $B39))) &gt; 0,$B39 &amp; "(" &amp; $E39 &amp; ")",IF(SUMPRODUCT(-- ISNUMBER(SEARCH({"Formula","Roll-Up Summary"}, $B39))) &gt; 0,$B39 &amp; " (" &amp; $E39 &amp; ")",IF(SUMPRODUCT(-- ISNUMBER(SEARCH({"Content","Currency","Number","Percent","Text","URL"}, $B39))) &gt; 0,$B39 &amp; "(" &amp; $C39 &amp; ")",$B39)))), "  ", TRIM(IF($S39 = "YES", "(External ID)", "") &amp; " " &amp; IF(SUMPRODUCT(-- ISNUMBER(SEARCH({"Unique","Unique Case Insensitive"}, $R39))) &gt; 0, "(" &amp; $R39 &amp; ")", ""))))</f>
        <v>na</v>
      </c>
      <c r="E39" s="7" t="s">
        <v>195</v>
      </c>
      <c r="F39" s="7" t="s">
        <v>195</v>
      </c>
      <c r="G39" s="7" t="s">
        <v>195</v>
      </c>
      <c r="H39" s="7" t="s">
        <v>195</v>
      </c>
      <c r="I39" s="7" t="s">
        <v>195</v>
      </c>
      <c r="J39" s="7" t="s">
        <v>195</v>
      </c>
      <c r="K39" s="7" t="s">
        <v>195</v>
      </c>
      <c r="L39" s="7" t="s">
        <v>195</v>
      </c>
      <c r="M39" s="7" t="s">
        <v>29</v>
      </c>
      <c r="N39" s="7" t="s">
        <v>29</v>
      </c>
      <c r="O39" s="7" t="s">
        <v>29</v>
      </c>
      <c r="P39" s="7" t="s">
        <v>29</v>
      </c>
      <c r="Q39" s="7" t="s">
        <v>29</v>
      </c>
      <c r="R39" s="7" t="s">
        <v>29</v>
      </c>
      <c r="S39" s="7" t="s">
        <v>29</v>
      </c>
    </row>
    <row r="40" spans="1:19">
      <c r="B40" s="7" t="s">
        <v>195</v>
      </c>
      <c r="C40" s="8" t="s">
        <v>195</v>
      </c>
      <c r="D40" s="6" t="str">
        <f>LRTRIM(CONCATENATE(IF(SUMPRODUCT(-- ISNUMBER(SEARCH({"Auto Number"}, $B40))) &gt; 0, $B40, IF(SUMPRODUCT(-- ISNUMBER(SEARCH({"Lookup","Master-Detail"}, $B40))) &gt; 0,$B40 &amp; "(" &amp; $E40 &amp; ")",IF(SUMPRODUCT(-- ISNUMBER(SEARCH({"Formula","Roll-Up Summary"}, $B40))) &gt; 0,$B40 &amp; " (" &amp; $E40 &amp; ")",IF(SUMPRODUCT(-- ISNUMBER(SEARCH({"Content","Currency","Number","Percent","Text","URL"}, $B40))) &gt; 0,$B40 &amp; "(" &amp; $C40 &amp; ")",$B40)))), "  ", TRIM(IF($S40 = "YES", "(External ID)", "") &amp; " " &amp; IF(SUMPRODUCT(-- ISNUMBER(SEARCH({"Unique","Unique Case Insensitive"}, $R40))) &gt; 0, "(" &amp; $R40 &amp; ")", ""))))</f>
        <v>na</v>
      </c>
      <c r="E40" s="7" t="s">
        <v>195</v>
      </c>
      <c r="F40" s="7" t="s">
        <v>195</v>
      </c>
      <c r="G40" s="7" t="s">
        <v>195</v>
      </c>
      <c r="H40" s="7" t="s">
        <v>195</v>
      </c>
      <c r="I40" s="7" t="s">
        <v>195</v>
      </c>
      <c r="J40" s="7" t="s">
        <v>195</v>
      </c>
      <c r="K40" s="7" t="s">
        <v>195</v>
      </c>
      <c r="L40" s="7" t="s">
        <v>195</v>
      </c>
      <c r="M40" s="7" t="s">
        <v>29</v>
      </c>
      <c r="N40" s="7" t="s">
        <v>29</v>
      </c>
      <c r="O40" s="7" t="s">
        <v>29</v>
      </c>
      <c r="P40" s="7" t="s">
        <v>29</v>
      </c>
      <c r="Q40" s="7" t="s">
        <v>29</v>
      </c>
      <c r="R40" s="7" t="s">
        <v>29</v>
      </c>
      <c r="S40" s="7" t="s">
        <v>29</v>
      </c>
    </row>
    <row r="41" spans="1:19">
      <c r="B41" s="7" t="s">
        <v>195</v>
      </c>
      <c r="C41" s="8" t="s">
        <v>195</v>
      </c>
      <c r="D41" s="6" t="str">
        <f>LRTRIM(CONCATENATE(IF(SUMPRODUCT(-- ISNUMBER(SEARCH({"Auto Number"}, $B41))) &gt; 0, $B41, IF(SUMPRODUCT(-- ISNUMBER(SEARCH({"Lookup","Master-Detail"}, $B41))) &gt; 0,$B41 &amp; "(" &amp; $E41 &amp; ")",IF(SUMPRODUCT(-- ISNUMBER(SEARCH({"Formula","Roll-Up Summary"}, $B41))) &gt; 0,$B41 &amp; " (" &amp; $E41 &amp; ")",IF(SUMPRODUCT(-- ISNUMBER(SEARCH({"Content","Currency","Number","Percent","Text","URL"}, $B41))) &gt; 0,$B41 &amp; "(" &amp; $C41 &amp; ")",$B41)))), "  ", TRIM(IF($S41 = "YES", "(External ID)", "") &amp; " " &amp; IF(SUMPRODUCT(-- ISNUMBER(SEARCH({"Unique","Unique Case Insensitive"}, $R41))) &gt; 0, "(" &amp; $R41 &amp; ")", ""))))</f>
        <v>na</v>
      </c>
      <c r="E41" s="7" t="s">
        <v>195</v>
      </c>
      <c r="F41" s="7" t="s">
        <v>195</v>
      </c>
      <c r="G41" s="7" t="s">
        <v>195</v>
      </c>
      <c r="H41" s="7" t="s">
        <v>195</v>
      </c>
      <c r="I41" s="7" t="s">
        <v>195</v>
      </c>
      <c r="J41" s="7" t="s">
        <v>195</v>
      </c>
      <c r="K41" s="7" t="s">
        <v>195</v>
      </c>
      <c r="L41" s="7" t="s">
        <v>195</v>
      </c>
      <c r="M41" s="7" t="s">
        <v>29</v>
      </c>
      <c r="N41" s="7" t="s">
        <v>29</v>
      </c>
      <c r="O41" s="7" t="s">
        <v>29</v>
      </c>
      <c r="P41" s="7" t="s">
        <v>29</v>
      </c>
      <c r="Q41" s="7" t="s">
        <v>29</v>
      </c>
      <c r="R41" s="7" t="s">
        <v>29</v>
      </c>
      <c r="S41" s="7" t="s">
        <v>29</v>
      </c>
    </row>
    <row r="42" spans="1:19">
      <c r="B42" s="7" t="s">
        <v>195</v>
      </c>
      <c r="C42" s="8" t="s">
        <v>195</v>
      </c>
      <c r="D42" s="6" t="str">
        <f>LRTRIM(CONCATENATE(IF(SUMPRODUCT(-- ISNUMBER(SEARCH({"Auto Number"}, $B42))) &gt; 0, $B42, IF(SUMPRODUCT(-- ISNUMBER(SEARCH({"Lookup","Master-Detail"}, $B42))) &gt; 0,$B42 &amp; "(" &amp; $E42 &amp; ")",IF(SUMPRODUCT(-- ISNUMBER(SEARCH({"Formula","Roll-Up Summary"}, $B42))) &gt; 0,$B42 &amp; " (" &amp; $E42 &amp; ")",IF(SUMPRODUCT(-- ISNUMBER(SEARCH({"Content","Currency","Number","Percent","Text","URL"}, $B42))) &gt; 0,$B42 &amp; "(" &amp; $C42 &amp; ")",$B42)))), "  ", TRIM(IF($S42 = "YES", "(External ID)", "") &amp; " " &amp; IF(SUMPRODUCT(-- ISNUMBER(SEARCH({"Unique","Unique Case Insensitive"}, $R42))) &gt; 0, "(" &amp; $R42 &amp; ")", ""))))</f>
        <v>na</v>
      </c>
      <c r="E42" s="7" t="s">
        <v>195</v>
      </c>
      <c r="F42" s="7" t="s">
        <v>195</v>
      </c>
      <c r="G42" s="7" t="s">
        <v>195</v>
      </c>
      <c r="H42" s="7" t="s">
        <v>195</v>
      </c>
      <c r="I42" s="7" t="s">
        <v>195</v>
      </c>
      <c r="J42" s="7" t="s">
        <v>195</v>
      </c>
      <c r="K42" s="7" t="s">
        <v>195</v>
      </c>
      <c r="L42" s="7" t="s">
        <v>195</v>
      </c>
      <c r="M42" s="7" t="s">
        <v>29</v>
      </c>
      <c r="N42" s="7" t="s">
        <v>29</v>
      </c>
      <c r="O42" s="7" t="s">
        <v>29</v>
      </c>
      <c r="P42" s="7" t="s">
        <v>29</v>
      </c>
      <c r="Q42" s="7" t="s">
        <v>29</v>
      </c>
      <c r="R42" s="7" t="s">
        <v>29</v>
      </c>
      <c r="S42" s="7" t="s">
        <v>29</v>
      </c>
    </row>
    <row r="43" spans="1:19">
      <c r="B43" s="7" t="s">
        <v>195</v>
      </c>
      <c r="C43" s="8" t="s">
        <v>195</v>
      </c>
      <c r="D43" s="6" t="str">
        <f>LRTRIM(CONCATENATE(IF(SUMPRODUCT(-- ISNUMBER(SEARCH({"Auto Number"}, $B43))) &gt; 0, $B43, IF(SUMPRODUCT(-- ISNUMBER(SEARCH({"Lookup","Master-Detail"}, $B43))) &gt; 0,$B43 &amp; "(" &amp; $E43 &amp; ")",IF(SUMPRODUCT(-- ISNUMBER(SEARCH({"Formula","Roll-Up Summary"}, $B43))) &gt; 0,$B43 &amp; " (" &amp; $E43 &amp; ")",IF(SUMPRODUCT(-- ISNUMBER(SEARCH({"Content","Currency","Number","Percent","Text","URL"}, $B43))) &gt; 0,$B43 &amp; "(" &amp; $C43 &amp; ")",$B43)))), "  ", TRIM(IF($S43 = "YES", "(External ID)", "") &amp; " " &amp; IF(SUMPRODUCT(-- ISNUMBER(SEARCH({"Unique","Unique Case Insensitive"}, $R43))) &gt; 0, "(" &amp; $R43 &amp; ")", ""))))</f>
        <v>na</v>
      </c>
      <c r="E43" s="7" t="s">
        <v>195</v>
      </c>
      <c r="F43" s="7" t="s">
        <v>195</v>
      </c>
      <c r="G43" s="7" t="s">
        <v>195</v>
      </c>
      <c r="H43" s="7" t="s">
        <v>195</v>
      </c>
      <c r="I43" s="7" t="s">
        <v>195</v>
      </c>
      <c r="J43" s="7" t="s">
        <v>195</v>
      </c>
      <c r="K43" s="7" t="s">
        <v>195</v>
      </c>
      <c r="L43" s="7" t="s">
        <v>195</v>
      </c>
      <c r="M43" s="7" t="s">
        <v>29</v>
      </c>
      <c r="N43" s="7" t="s">
        <v>29</v>
      </c>
      <c r="O43" s="7" t="s">
        <v>29</v>
      </c>
      <c r="P43" s="7" t="s">
        <v>29</v>
      </c>
      <c r="Q43" s="7" t="s">
        <v>29</v>
      </c>
      <c r="R43" s="7" t="s">
        <v>29</v>
      </c>
      <c r="S43" s="7" t="s">
        <v>29</v>
      </c>
    </row>
    <row r="44" spans="1:19">
      <c r="B44" s="7" t="s">
        <v>195</v>
      </c>
      <c r="C44" s="8" t="s">
        <v>195</v>
      </c>
      <c r="D44" s="6" t="str">
        <f>LRTRIM(CONCATENATE(IF(SUMPRODUCT(-- ISNUMBER(SEARCH({"Auto Number"}, $B44))) &gt; 0, $B44, IF(SUMPRODUCT(-- ISNUMBER(SEARCH({"Lookup","Master-Detail"}, $B44))) &gt; 0,$B44 &amp; "(" &amp; $E44 &amp; ")",IF(SUMPRODUCT(-- ISNUMBER(SEARCH({"Formula","Roll-Up Summary"}, $B44))) &gt; 0,$B44 &amp; " (" &amp; $E44 &amp; ")",IF(SUMPRODUCT(-- ISNUMBER(SEARCH({"Content","Currency","Number","Percent","Text","URL"}, $B44))) &gt; 0,$B44 &amp; "(" &amp; $C44 &amp; ")",$B44)))), "  ", TRIM(IF($S44 = "YES", "(External ID)", "") &amp; " " &amp; IF(SUMPRODUCT(-- ISNUMBER(SEARCH({"Unique","Unique Case Insensitive"}, $R44))) &gt; 0, "(" &amp; $R44 &amp; ")", ""))))</f>
        <v>na</v>
      </c>
      <c r="E44" s="7" t="s">
        <v>195</v>
      </c>
      <c r="F44" s="7" t="s">
        <v>195</v>
      </c>
      <c r="G44" s="7" t="s">
        <v>195</v>
      </c>
      <c r="H44" s="7" t="s">
        <v>195</v>
      </c>
      <c r="I44" s="7" t="s">
        <v>195</v>
      </c>
      <c r="J44" s="7" t="s">
        <v>195</v>
      </c>
      <c r="K44" s="7" t="s">
        <v>195</v>
      </c>
      <c r="L44" s="7" t="s">
        <v>195</v>
      </c>
      <c r="M44" s="7" t="s">
        <v>29</v>
      </c>
      <c r="N44" s="7" t="s">
        <v>29</v>
      </c>
      <c r="O44" s="7" t="s">
        <v>29</v>
      </c>
      <c r="P44" s="7" t="s">
        <v>29</v>
      </c>
      <c r="Q44" s="7" t="s">
        <v>29</v>
      </c>
      <c r="R44" s="7" t="s">
        <v>29</v>
      </c>
      <c r="S44" s="7" t="s">
        <v>29</v>
      </c>
    </row>
    <row r="45" spans="1:19">
      <c r="B45" s="7" t="s">
        <v>195</v>
      </c>
      <c r="C45" s="8" t="s">
        <v>195</v>
      </c>
      <c r="D45" s="6" t="str">
        <f>LRTRIM(CONCATENATE(IF(SUMPRODUCT(-- ISNUMBER(SEARCH({"Auto Number"}, $B45))) &gt; 0, $B45, IF(SUMPRODUCT(-- ISNUMBER(SEARCH({"Lookup","Master-Detail"}, $B45))) &gt; 0,$B45 &amp; "(" &amp; $E45 &amp; ")",IF(SUMPRODUCT(-- ISNUMBER(SEARCH({"Formula","Roll-Up Summary"}, $B45))) &gt; 0,$B45 &amp; " (" &amp; $E45 &amp; ")",IF(SUMPRODUCT(-- ISNUMBER(SEARCH({"Content","Currency","Number","Percent","Text","URL"}, $B45))) &gt; 0,$B45 &amp; "(" &amp; $C45 &amp; ")",$B45)))), "  ", TRIM(IF($S45 = "YES", "(External ID)", "") &amp; " " &amp; IF(SUMPRODUCT(-- ISNUMBER(SEARCH({"Unique","Unique Case Insensitive"}, $R45))) &gt; 0, "(" &amp; $R45 &amp; ")", ""))))</f>
        <v>na</v>
      </c>
      <c r="E45" s="7" t="s">
        <v>195</v>
      </c>
      <c r="F45" s="7" t="s">
        <v>195</v>
      </c>
      <c r="G45" s="7" t="s">
        <v>195</v>
      </c>
      <c r="H45" s="7" t="s">
        <v>195</v>
      </c>
      <c r="I45" s="7" t="s">
        <v>195</v>
      </c>
      <c r="J45" s="7" t="s">
        <v>195</v>
      </c>
      <c r="K45" s="7" t="s">
        <v>195</v>
      </c>
      <c r="L45" s="7" t="s">
        <v>195</v>
      </c>
      <c r="M45" s="7" t="s">
        <v>29</v>
      </c>
      <c r="N45" s="7" t="s">
        <v>29</v>
      </c>
      <c r="O45" s="7" t="s">
        <v>29</v>
      </c>
      <c r="P45" s="7" t="s">
        <v>29</v>
      </c>
      <c r="Q45" s="7" t="s">
        <v>29</v>
      </c>
      <c r="R45" s="7" t="s">
        <v>29</v>
      </c>
      <c r="S45" s="7" t="s">
        <v>29</v>
      </c>
    </row>
    <row r="46" spans="1:19">
      <c r="B46" s="7" t="s">
        <v>195</v>
      </c>
      <c r="C46" s="8" t="s">
        <v>195</v>
      </c>
      <c r="D46" s="6" t="str">
        <f>LRTRIM(CONCATENATE(IF(SUMPRODUCT(-- ISNUMBER(SEARCH({"Auto Number"}, $B46))) &gt; 0, $B46, IF(SUMPRODUCT(-- ISNUMBER(SEARCH({"Lookup","Master-Detail"}, $B46))) &gt; 0,$B46 &amp; "(" &amp; $E46 &amp; ")",IF(SUMPRODUCT(-- ISNUMBER(SEARCH({"Formula","Roll-Up Summary"}, $B46))) &gt; 0,$B46 &amp; " (" &amp; $E46 &amp; ")",IF(SUMPRODUCT(-- ISNUMBER(SEARCH({"Content","Currency","Number","Percent","Text","URL"}, $B46))) &gt; 0,$B46 &amp; "(" &amp; $C46 &amp; ")",$B46)))), "  ", TRIM(IF($S46 = "YES", "(External ID)", "") &amp; " " &amp; IF(SUMPRODUCT(-- ISNUMBER(SEARCH({"Unique","Unique Case Insensitive"}, $R46))) &gt; 0, "(" &amp; $R46 &amp; ")", ""))))</f>
        <v>na</v>
      </c>
      <c r="E46" s="7" t="s">
        <v>195</v>
      </c>
      <c r="F46" s="7" t="s">
        <v>195</v>
      </c>
      <c r="G46" s="7" t="s">
        <v>195</v>
      </c>
      <c r="H46" s="7" t="s">
        <v>195</v>
      </c>
      <c r="I46" s="7" t="s">
        <v>195</v>
      </c>
      <c r="J46" s="7" t="s">
        <v>195</v>
      </c>
      <c r="K46" s="7" t="s">
        <v>195</v>
      </c>
      <c r="L46" s="7" t="s">
        <v>195</v>
      </c>
      <c r="M46" s="7" t="s">
        <v>29</v>
      </c>
      <c r="N46" s="7" t="s">
        <v>29</v>
      </c>
      <c r="O46" s="7" t="s">
        <v>29</v>
      </c>
      <c r="P46" s="7" t="s">
        <v>29</v>
      </c>
      <c r="Q46" s="7" t="s">
        <v>29</v>
      </c>
      <c r="R46" s="7" t="s">
        <v>29</v>
      </c>
      <c r="S46" s="7" t="s">
        <v>29</v>
      </c>
    </row>
    <row r="47" spans="1:19">
      <c r="B47" s="7" t="s">
        <v>195</v>
      </c>
      <c r="C47" s="8" t="s">
        <v>195</v>
      </c>
      <c r="D47" s="6" t="str">
        <f>LRTRIM(CONCATENATE(IF(SUMPRODUCT(-- ISNUMBER(SEARCH({"Auto Number"}, $B47))) &gt; 0, $B47, IF(SUMPRODUCT(-- ISNUMBER(SEARCH({"Lookup","Master-Detail"}, $B47))) &gt; 0,$B47 &amp; "(" &amp; $E47 &amp; ")",IF(SUMPRODUCT(-- ISNUMBER(SEARCH({"Formula","Roll-Up Summary"}, $B47))) &gt; 0,$B47 &amp; " (" &amp; $E47 &amp; ")",IF(SUMPRODUCT(-- ISNUMBER(SEARCH({"Content","Currency","Number","Percent","Text","URL"}, $B47))) &gt; 0,$B47 &amp; "(" &amp; $C47 &amp; ")",$B47)))), "  ", TRIM(IF($S47 = "YES", "(External ID)", "") &amp; " " &amp; IF(SUMPRODUCT(-- ISNUMBER(SEARCH({"Unique","Unique Case Insensitive"}, $R47))) &gt; 0, "(" &amp; $R47 &amp; ")", ""))))</f>
        <v>na</v>
      </c>
      <c r="E47" s="7" t="s">
        <v>195</v>
      </c>
      <c r="F47" s="7" t="s">
        <v>195</v>
      </c>
      <c r="G47" s="7" t="s">
        <v>195</v>
      </c>
      <c r="H47" s="7" t="s">
        <v>195</v>
      </c>
      <c r="I47" s="7" t="s">
        <v>195</v>
      </c>
      <c r="J47" s="7" t="s">
        <v>195</v>
      </c>
      <c r="K47" s="7" t="s">
        <v>195</v>
      </c>
      <c r="L47" s="7" t="s">
        <v>195</v>
      </c>
      <c r="M47" s="7" t="s">
        <v>29</v>
      </c>
      <c r="N47" s="7" t="s">
        <v>29</v>
      </c>
      <c r="O47" s="7" t="s">
        <v>29</v>
      </c>
      <c r="P47" s="7" t="s">
        <v>29</v>
      </c>
      <c r="Q47" s="7" t="s">
        <v>29</v>
      </c>
      <c r="R47" s="7" t="s">
        <v>29</v>
      </c>
      <c r="S47" s="7" t="s">
        <v>29</v>
      </c>
    </row>
    <row r="48" spans="1:19">
      <c r="B48" s="7" t="s">
        <v>195</v>
      </c>
      <c r="C48" s="8" t="s">
        <v>195</v>
      </c>
      <c r="D48" s="6" t="str">
        <f>LRTRIM(CONCATENATE(IF(SUMPRODUCT(-- ISNUMBER(SEARCH({"Auto Number"}, $B48))) &gt; 0, $B48, IF(SUMPRODUCT(-- ISNUMBER(SEARCH({"Lookup","Master-Detail"}, $B48))) &gt; 0,$B48 &amp; "(" &amp; $E48 &amp; ")",IF(SUMPRODUCT(-- ISNUMBER(SEARCH({"Formula","Roll-Up Summary"}, $B48))) &gt; 0,$B48 &amp; " (" &amp; $E48 &amp; ")",IF(SUMPRODUCT(-- ISNUMBER(SEARCH({"Content","Currency","Number","Percent","Text","URL"}, $B48))) &gt; 0,$B48 &amp; "(" &amp; $C48 &amp; ")",$B48)))), "  ", TRIM(IF($S48 = "YES", "(External ID)", "") &amp; " " &amp; IF(SUMPRODUCT(-- ISNUMBER(SEARCH({"Unique","Unique Case Insensitive"}, $R48))) &gt; 0, "(" &amp; $R48 &amp; ")", ""))))</f>
        <v>na</v>
      </c>
      <c r="E48" s="7" t="s">
        <v>195</v>
      </c>
      <c r="F48" s="7" t="s">
        <v>195</v>
      </c>
      <c r="G48" s="7" t="s">
        <v>195</v>
      </c>
      <c r="H48" s="7" t="s">
        <v>195</v>
      </c>
      <c r="I48" s="7" t="s">
        <v>195</v>
      </c>
      <c r="J48" s="7" t="s">
        <v>195</v>
      </c>
      <c r="K48" s="7" t="s">
        <v>195</v>
      </c>
      <c r="L48" s="7" t="s">
        <v>195</v>
      </c>
      <c r="M48" s="7" t="s">
        <v>29</v>
      </c>
      <c r="N48" s="7" t="s">
        <v>29</v>
      </c>
      <c r="O48" s="7" t="s">
        <v>29</v>
      </c>
      <c r="P48" s="7" t="s">
        <v>29</v>
      </c>
      <c r="Q48" s="7" t="s">
        <v>29</v>
      </c>
      <c r="R48" s="7" t="s">
        <v>29</v>
      </c>
      <c r="S48" s="7" t="s">
        <v>29</v>
      </c>
    </row>
    <row r="49" spans="2:19">
      <c r="B49" s="7" t="s">
        <v>195</v>
      </c>
      <c r="C49" s="8" t="s">
        <v>195</v>
      </c>
      <c r="D49" s="6" t="str">
        <f>LRTRIM(CONCATENATE(IF(SUMPRODUCT(-- ISNUMBER(SEARCH({"Auto Number"}, $B49))) &gt; 0, $B49, IF(SUMPRODUCT(-- ISNUMBER(SEARCH({"Lookup","Master-Detail"}, $B49))) &gt; 0,$B49 &amp; "(" &amp; $E49 &amp; ")",IF(SUMPRODUCT(-- ISNUMBER(SEARCH({"Formula","Roll-Up Summary"}, $B49))) &gt; 0,$B49 &amp; " (" &amp; $E49 &amp; ")",IF(SUMPRODUCT(-- ISNUMBER(SEARCH({"Content","Currency","Number","Percent","Text","URL"}, $B49))) &gt; 0,$B49 &amp; "(" &amp; $C49 &amp; ")",$B49)))), "  ", TRIM(IF($S49 = "YES", "(External ID)", "") &amp; " " &amp; IF(SUMPRODUCT(-- ISNUMBER(SEARCH({"Unique","Unique Case Insensitive"}, $R49))) &gt; 0, "(" &amp; $R49 &amp; ")", ""))))</f>
        <v>na</v>
      </c>
      <c r="E49" s="7" t="s">
        <v>195</v>
      </c>
      <c r="F49" s="7" t="s">
        <v>195</v>
      </c>
      <c r="G49" s="7" t="s">
        <v>195</v>
      </c>
      <c r="H49" s="7" t="s">
        <v>195</v>
      </c>
      <c r="I49" s="7" t="s">
        <v>195</v>
      </c>
      <c r="J49" s="7" t="s">
        <v>195</v>
      </c>
      <c r="K49" s="7" t="s">
        <v>195</v>
      </c>
      <c r="L49" s="7" t="s">
        <v>195</v>
      </c>
      <c r="M49" s="7" t="s">
        <v>29</v>
      </c>
      <c r="N49" s="7" t="s">
        <v>29</v>
      </c>
      <c r="O49" s="7" t="s">
        <v>29</v>
      </c>
      <c r="P49" s="7" t="s">
        <v>29</v>
      </c>
      <c r="Q49" s="7" t="s">
        <v>29</v>
      </c>
      <c r="R49" s="7" t="s">
        <v>29</v>
      </c>
      <c r="S49" s="7" t="s">
        <v>29</v>
      </c>
    </row>
    <row r="50" spans="2:19">
      <c r="B50" s="7" t="s">
        <v>195</v>
      </c>
      <c r="C50" s="8" t="s">
        <v>195</v>
      </c>
      <c r="D50" s="6" t="str">
        <f>LRTRIM(CONCATENATE(IF(SUMPRODUCT(-- ISNUMBER(SEARCH({"Auto Number"}, $B50))) &gt; 0, $B50, IF(SUMPRODUCT(-- ISNUMBER(SEARCH({"Lookup","Master-Detail"}, $B50))) &gt; 0,$B50 &amp; "(" &amp; $E50 &amp; ")",IF(SUMPRODUCT(-- ISNUMBER(SEARCH({"Formula","Roll-Up Summary"}, $B50))) &gt; 0,$B50 &amp; " (" &amp; $E50 &amp; ")",IF(SUMPRODUCT(-- ISNUMBER(SEARCH({"Content","Currency","Number","Percent","Text","URL"}, $B50))) &gt; 0,$B50 &amp; "(" &amp; $C50 &amp; ")",$B50)))), "  ", TRIM(IF($S50 = "YES", "(External ID)", "") &amp; " " &amp; IF(SUMPRODUCT(-- ISNUMBER(SEARCH({"Unique","Unique Case Insensitive"}, $R50))) &gt; 0, "(" &amp; $R50 &amp; ")", ""))))</f>
        <v>na</v>
      </c>
      <c r="E50" s="7" t="s">
        <v>195</v>
      </c>
      <c r="F50" s="7" t="s">
        <v>195</v>
      </c>
      <c r="G50" s="7" t="s">
        <v>195</v>
      </c>
      <c r="H50" s="7" t="s">
        <v>195</v>
      </c>
      <c r="I50" s="7" t="s">
        <v>195</v>
      </c>
      <c r="J50" s="7" t="s">
        <v>195</v>
      </c>
      <c r="K50" s="7" t="s">
        <v>195</v>
      </c>
      <c r="L50" s="7" t="s">
        <v>195</v>
      </c>
      <c r="M50" s="7" t="s">
        <v>29</v>
      </c>
      <c r="N50" s="7" t="s">
        <v>29</v>
      </c>
      <c r="O50" s="7" t="s">
        <v>29</v>
      </c>
      <c r="P50" s="7" t="s">
        <v>29</v>
      </c>
      <c r="Q50" s="7" t="s">
        <v>29</v>
      </c>
      <c r="R50" s="7" t="s">
        <v>29</v>
      </c>
      <c r="S50" s="7" t="s">
        <v>29</v>
      </c>
    </row>
    <row r="51" spans="2:19">
      <c r="B51" s="7" t="s">
        <v>195</v>
      </c>
      <c r="C51" s="8" t="s">
        <v>195</v>
      </c>
      <c r="D51" s="6" t="str">
        <f>LRTRIM(CONCATENATE(IF(SUMPRODUCT(-- ISNUMBER(SEARCH({"Auto Number"}, $B51))) &gt; 0, $B51, IF(SUMPRODUCT(-- ISNUMBER(SEARCH({"Lookup","Master-Detail"}, $B51))) &gt; 0,$B51 &amp; "(" &amp; $E51 &amp; ")",IF(SUMPRODUCT(-- ISNUMBER(SEARCH({"Formula","Roll-Up Summary"}, $B51))) &gt; 0,$B51 &amp; " (" &amp; $E51 &amp; ")",IF(SUMPRODUCT(-- ISNUMBER(SEARCH({"Content","Currency","Number","Percent","Text","URL"}, $B51))) &gt; 0,$B51 &amp; "(" &amp; $C51 &amp; ")",$B51)))), "  ", TRIM(IF($S51 = "YES", "(External ID)", "") &amp; " " &amp; IF(SUMPRODUCT(-- ISNUMBER(SEARCH({"Unique","Unique Case Insensitive"}, $R51))) &gt; 0, "(" &amp; $R51 &amp; ")", ""))))</f>
        <v>na</v>
      </c>
      <c r="E51" s="7" t="s">
        <v>195</v>
      </c>
      <c r="F51" s="7" t="s">
        <v>195</v>
      </c>
      <c r="G51" s="7" t="s">
        <v>195</v>
      </c>
      <c r="H51" s="7" t="s">
        <v>195</v>
      </c>
      <c r="I51" s="7" t="s">
        <v>195</v>
      </c>
      <c r="J51" s="7" t="s">
        <v>195</v>
      </c>
      <c r="K51" s="7" t="s">
        <v>195</v>
      </c>
      <c r="L51" s="7" t="s">
        <v>195</v>
      </c>
      <c r="M51" s="7" t="s">
        <v>29</v>
      </c>
      <c r="N51" s="7" t="s">
        <v>29</v>
      </c>
      <c r="O51" s="7" t="s">
        <v>29</v>
      </c>
      <c r="P51" s="7" t="s">
        <v>29</v>
      </c>
      <c r="Q51" s="7" t="s">
        <v>29</v>
      </c>
      <c r="R51" s="7" t="s">
        <v>29</v>
      </c>
      <c r="S51" s="7" t="s">
        <v>29</v>
      </c>
    </row>
    <row r="52" spans="2:19">
      <c r="B52" s="7" t="s">
        <v>195</v>
      </c>
      <c r="C52" s="8" t="s">
        <v>195</v>
      </c>
      <c r="D52" s="6" t="str">
        <f>LRTRIM(CONCATENATE(IF(SUMPRODUCT(-- ISNUMBER(SEARCH({"Auto Number"}, $B52))) &gt; 0, $B52, IF(SUMPRODUCT(-- ISNUMBER(SEARCH({"Lookup","Master-Detail"}, $B52))) &gt; 0,$B52 &amp; "(" &amp; $E52 &amp; ")",IF(SUMPRODUCT(-- ISNUMBER(SEARCH({"Formula","Roll-Up Summary"}, $B52))) &gt; 0,$B52 &amp; " (" &amp; $E52 &amp; ")",IF(SUMPRODUCT(-- ISNUMBER(SEARCH({"Content","Currency","Number","Percent","Text","URL"}, $B52))) &gt; 0,$B52 &amp; "(" &amp; $C52 &amp; ")",$B52)))), "  ", TRIM(IF($S52 = "YES", "(External ID)", "") &amp; " " &amp; IF(SUMPRODUCT(-- ISNUMBER(SEARCH({"Unique","Unique Case Insensitive"}, $R52))) &gt; 0, "(" &amp; $R52 &amp; ")", ""))))</f>
        <v>na</v>
      </c>
      <c r="E52" s="7" t="s">
        <v>195</v>
      </c>
      <c r="F52" s="7" t="s">
        <v>195</v>
      </c>
      <c r="G52" s="7" t="s">
        <v>195</v>
      </c>
      <c r="H52" s="7" t="s">
        <v>195</v>
      </c>
      <c r="I52" s="7" t="s">
        <v>195</v>
      </c>
      <c r="J52" s="7" t="s">
        <v>195</v>
      </c>
      <c r="K52" s="7" t="s">
        <v>195</v>
      </c>
      <c r="L52" s="7" t="s">
        <v>195</v>
      </c>
      <c r="M52" s="7" t="s">
        <v>29</v>
      </c>
      <c r="N52" s="7" t="s">
        <v>29</v>
      </c>
      <c r="O52" s="7" t="s">
        <v>29</v>
      </c>
      <c r="P52" s="7" t="s">
        <v>29</v>
      </c>
      <c r="Q52" s="7" t="s">
        <v>29</v>
      </c>
      <c r="R52" s="7" t="s">
        <v>29</v>
      </c>
      <c r="S52" s="7" t="s">
        <v>29</v>
      </c>
    </row>
    <row r="53" spans="2:19">
      <c r="B53" s="7" t="s">
        <v>195</v>
      </c>
      <c r="C53" s="8" t="s">
        <v>195</v>
      </c>
      <c r="D53" s="6" t="str">
        <f>LRTRIM(CONCATENATE(IF(SUMPRODUCT(-- ISNUMBER(SEARCH({"Auto Number"}, $B53))) &gt; 0, $B53, IF(SUMPRODUCT(-- ISNUMBER(SEARCH({"Lookup","Master-Detail"}, $B53))) &gt; 0,$B53 &amp; "(" &amp; $E53 &amp; ")",IF(SUMPRODUCT(-- ISNUMBER(SEARCH({"Formula","Roll-Up Summary"}, $B53))) &gt; 0,$B53 &amp; " (" &amp; $E53 &amp; ")",IF(SUMPRODUCT(-- ISNUMBER(SEARCH({"Content","Currency","Number","Percent","Text","URL"}, $B53))) &gt; 0,$B53 &amp; "(" &amp; $C53 &amp; ")",$B53)))), "  ", TRIM(IF($S53 = "YES", "(External ID)", "") &amp; " " &amp; IF(SUMPRODUCT(-- ISNUMBER(SEARCH({"Unique","Unique Case Insensitive"}, $R53))) &gt; 0, "(" &amp; $R53 &amp; ")", ""))))</f>
        <v>na</v>
      </c>
      <c r="E53" s="7" t="s">
        <v>195</v>
      </c>
      <c r="F53" s="7" t="s">
        <v>195</v>
      </c>
      <c r="G53" s="7" t="s">
        <v>195</v>
      </c>
      <c r="H53" s="7" t="s">
        <v>195</v>
      </c>
      <c r="I53" s="7" t="s">
        <v>195</v>
      </c>
      <c r="J53" s="7" t="s">
        <v>195</v>
      </c>
      <c r="K53" s="7" t="s">
        <v>195</v>
      </c>
      <c r="L53" s="7" t="s">
        <v>195</v>
      </c>
      <c r="M53" s="7" t="s">
        <v>29</v>
      </c>
      <c r="N53" s="7" t="s">
        <v>29</v>
      </c>
      <c r="O53" s="7" t="s">
        <v>29</v>
      </c>
      <c r="P53" s="7" t="s">
        <v>29</v>
      </c>
      <c r="Q53" s="7" t="s">
        <v>29</v>
      </c>
      <c r="R53" s="7" t="s">
        <v>29</v>
      </c>
      <c r="S53" s="7" t="s">
        <v>29</v>
      </c>
    </row>
    <row r="54" spans="2:19">
      <c r="B54" s="7" t="s">
        <v>195</v>
      </c>
      <c r="C54" s="8" t="s">
        <v>195</v>
      </c>
      <c r="D54" s="6" t="str">
        <f>LRTRIM(CONCATENATE(IF(SUMPRODUCT(-- ISNUMBER(SEARCH({"Auto Number"}, $B54))) &gt; 0, $B54, IF(SUMPRODUCT(-- ISNUMBER(SEARCH({"Lookup","Master-Detail"}, $B54))) &gt; 0,$B54 &amp; "(" &amp; $E54 &amp; ")",IF(SUMPRODUCT(-- ISNUMBER(SEARCH({"Formula","Roll-Up Summary"}, $B54))) &gt; 0,$B54 &amp; " (" &amp; $E54 &amp; ")",IF(SUMPRODUCT(-- ISNUMBER(SEARCH({"Content","Currency","Number","Percent","Text","URL"}, $B54))) &gt; 0,$B54 &amp; "(" &amp; $C54 &amp; ")",$B54)))), "  ", TRIM(IF($S54 = "YES", "(External ID)", "") &amp; " " &amp; IF(SUMPRODUCT(-- ISNUMBER(SEARCH({"Unique","Unique Case Insensitive"}, $R54))) &gt; 0, "(" &amp; $R54 &amp; ")", ""))))</f>
        <v>na</v>
      </c>
      <c r="E54" s="7" t="s">
        <v>195</v>
      </c>
      <c r="F54" s="7" t="s">
        <v>195</v>
      </c>
      <c r="G54" s="7" t="s">
        <v>195</v>
      </c>
      <c r="H54" s="7" t="s">
        <v>195</v>
      </c>
      <c r="I54" s="7" t="s">
        <v>195</v>
      </c>
      <c r="J54" s="7" t="s">
        <v>195</v>
      </c>
      <c r="K54" s="7" t="s">
        <v>195</v>
      </c>
      <c r="L54" s="7" t="s">
        <v>195</v>
      </c>
      <c r="M54" s="7" t="s">
        <v>29</v>
      </c>
      <c r="N54" s="7" t="s">
        <v>29</v>
      </c>
      <c r="O54" s="7" t="s">
        <v>29</v>
      </c>
      <c r="P54" s="7" t="s">
        <v>29</v>
      </c>
      <c r="Q54" s="7" t="s">
        <v>29</v>
      </c>
      <c r="R54" s="7" t="s">
        <v>29</v>
      </c>
      <c r="S54" s="7" t="s">
        <v>29</v>
      </c>
    </row>
    <row r="55" spans="2:19">
      <c r="B55" s="7" t="s">
        <v>195</v>
      </c>
      <c r="C55" s="8" t="s">
        <v>195</v>
      </c>
      <c r="D55" s="6" t="str">
        <f>LRTRIM(CONCATENATE(IF(SUMPRODUCT(-- ISNUMBER(SEARCH({"Auto Number"}, $B55))) &gt; 0, $B55, IF(SUMPRODUCT(-- ISNUMBER(SEARCH({"Lookup","Master-Detail"}, $B55))) &gt; 0,$B55 &amp; "(" &amp; $E55 &amp; ")",IF(SUMPRODUCT(-- ISNUMBER(SEARCH({"Formula","Roll-Up Summary"}, $B55))) &gt; 0,$B55 &amp; " (" &amp; $E55 &amp; ")",IF(SUMPRODUCT(-- ISNUMBER(SEARCH({"Content","Currency","Number","Percent","Text","URL"}, $B55))) &gt; 0,$B55 &amp; "(" &amp; $C55 &amp; ")",$B55)))), "  ", TRIM(IF($S55 = "YES", "(External ID)", "") &amp; " " &amp; IF(SUMPRODUCT(-- ISNUMBER(SEARCH({"Unique","Unique Case Insensitive"}, $R55))) &gt; 0, "(" &amp; $R55 &amp; ")", ""))))</f>
        <v>na</v>
      </c>
      <c r="E55" s="7" t="s">
        <v>195</v>
      </c>
      <c r="F55" s="7" t="s">
        <v>195</v>
      </c>
      <c r="G55" s="7" t="s">
        <v>195</v>
      </c>
      <c r="H55" s="7" t="s">
        <v>195</v>
      </c>
      <c r="I55" s="7" t="s">
        <v>195</v>
      </c>
      <c r="J55" s="7" t="s">
        <v>195</v>
      </c>
      <c r="K55" s="7" t="s">
        <v>195</v>
      </c>
      <c r="L55" s="7" t="s">
        <v>195</v>
      </c>
      <c r="M55" s="7" t="s">
        <v>29</v>
      </c>
      <c r="N55" s="7" t="s">
        <v>29</v>
      </c>
      <c r="O55" s="7" t="s">
        <v>29</v>
      </c>
      <c r="P55" s="7" t="s">
        <v>29</v>
      </c>
      <c r="Q55" s="7" t="s">
        <v>29</v>
      </c>
      <c r="R55" s="7" t="s">
        <v>29</v>
      </c>
      <c r="S55" s="7" t="s">
        <v>29</v>
      </c>
    </row>
    <row r="56" spans="2:19">
      <c r="B56" s="7" t="s">
        <v>195</v>
      </c>
      <c r="C56" s="8" t="s">
        <v>195</v>
      </c>
      <c r="D56" s="6" t="str">
        <f>LRTRIM(CONCATENATE(IF(SUMPRODUCT(-- ISNUMBER(SEARCH({"Auto Number"}, $B56))) &gt; 0, $B56, IF(SUMPRODUCT(-- ISNUMBER(SEARCH({"Lookup","Master-Detail"}, $B56))) &gt; 0,$B56 &amp; "(" &amp; $E56 &amp; ")",IF(SUMPRODUCT(-- ISNUMBER(SEARCH({"Formula","Roll-Up Summary"}, $B56))) &gt; 0,$B56 &amp; " (" &amp; $E56 &amp; ")",IF(SUMPRODUCT(-- ISNUMBER(SEARCH({"Content","Currency","Number","Percent","Text","URL"}, $B56))) &gt; 0,$B56 &amp; "(" &amp; $C56 &amp; ")",$B56)))), "  ", TRIM(IF($S56 = "YES", "(External ID)", "") &amp; " " &amp; IF(SUMPRODUCT(-- ISNUMBER(SEARCH({"Unique","Unique Case Insensitive"}, $R56))) &gt; 0, "(" &amp; $R56 &amp; ")", ""))))</f>
        <v>na</v>
      </c>
      <c r="E56" s="7" t="s">
        <v>195</v>
      </c>
      <c r="F56" s="7" t="s">
        <v>195</v>
      </c>
      <c r="G56" s="7" t="s">
        <v>195</v>
      </c>
      <c r="H56" s="7" t="s">
        <v>195</v>
      </c>
      <c r="I56" s="7" t="s">
        <v>195</v>
      </c>
      <c r="J56" s="7" t="s">
        <v>195</v>
      </c>
      <c r="K56" s="7" t="s">
        <v>195</v>
      </c>
      <c r="L56" s="7" t="s">
        <v>195</v>
      </c>
      <c r="M56" s="7" t="s">
        <v>29</v>
      </c>
      <c r="N56" s="7" t="s">
        <v>29</v>
      </c>
      <c r="O56" s="7" t="s">
        <v>29</v>
      </c>
      <c r="P56" s="7" t="s">
        <v>29</v>
      </c>
      <c r="Q56" s="7" t="s">
        <v>29</v>
      </c>
      <c r="R56" s="7" t="s">
        <v>29</v>
      </c>
      <c r="S56" s="7" t="s">
        <v>29</v>
      </c>
    </row>
    <row r="57" spans="2:19">
      <c r="B57" s="7" t="s">
        <v>195</v>
      </c>
      <c r="C57" s="8" t="s">
        <v>195</v>
      </c>
      <c r="D57" s="6" t="str">
        <f>LRTRIM(CONCATENATE(IF(SUMPRODUCT(-- ISNUMBER(SEARCH({"Auto Number"}, $B57))) &gt; 0, $B57, IF(SUMPRODUCT(-- ISNUMBER(SEARCH({"Lookup","Master-Detail"}, $B57))) &gt; 0,$B57 &amp; "(" &amp; $E57 &amp; ")",IF(SUMPRODUCT(-- ISNUMBER(SEARCH({"Formula","Roll-Up Summary"}, $B57))) &gt; 0,$B57 &amp; " (" &amp; $E57 &amp; ")",IF(SUMPRODUCT(-- ISNUMBER(SEARCH({"Content","Currency","Number","Percent","Text","URL"}, $B57))) &gt; 0,$B57 &amp; "(" &amp; $C57 &amp; ")",$B57)))), "  ", TRIM(IF($S57 = "YES", "(External ID)", "") &amp; " " &amp; IF(SUMPRODUCT(-- ISNUMBER(SEARCH({"Unique","Unique Case Insensitive"}, $R57))) &gt; 0, "(" &amp; $R57 &amp; ")", ""))))</f>
        <v>na</v>
      </c>
      <c r="E57" s="7" t="s">
        <v>195</v>
      </c>
      <c r="F57" s="7" t="s">
        <v>195</v>
      </c>
      <c r="G57" s="7" t="s">
        <v>195</v>
      </c>
      <c r="H57" s="7" t="s">
        <v>195</v>
      </c>
      <c r="I57" s="7" t="s">
        <v>195</v>
      </c>
      <c r="J57" s="7" t="s">
        <v>195</v>
      </c>
      <c r="K57" s="7" t="s">
        <v>195</v>
      </c>
      <c r="L57" s="7" t="s">
        <v>195</v>
      </c>
      <c r="M57" s="7" t="s">
        <v>29</v>
      </c>
      <c r="N57" s="7" t="s">
        <v>29</v>
      </c>
      <c r="O57" s="7" t="s">
        <v>29</v>
      </c>
      <c r="P57" s="7" t="s">
        <v>29</v>
      </c>
      <c r="Q57" s="7" t="s">
        <v>29</v>
      </c>
      <c r="R57" s="7" t="s">
        <v>29</v>
      </c>
      <c r="S57" s="7" t="s">
        <v>29</v>
      </c>
    </row>
    <row r="58" spans="2:19">
      <c r="B58" s="7" t="s">
        <v>195</v>
      </c>
      <c r="C58" s="8" t="s">
        <v>195</v>
      </c>
      <c r="D58" s="6" t="str">
        <f>LRTRIM(CONCATENATE(IF(SUMPRODUCT(-- ISNUMBER(SEARCH({"Auto Number"}, $B58))) &gt; 0, $B58, IF(SUMPRODUCT(-- ISNUMBER(SEARCH({"Lookup","Master-Detail"}, $B58))) &gt; 0,$B58 &amp; "(" &amp; $E58 &amp; ")",IF(SUMPRODUCT(-- ISNUMBER(SEARCH({"Formula","Roll-Up Summary"}, $B58))) &gt; 0,$B58 &amp; " (" &amp; $E58 &amp; ")",IF(SUMPRODUCT(-- ISNUMBER(SEARCH({"Content","Currency","Number","Percent","Text","URL"}, $B58))) &gt; 0,$B58 &amp; "(" &amp; $C58 &amp; ")",$B58)))), "  ", TRIM(IF($S58 = "YES", "(External ID)", "") &amp; " " &amp; IF(SUMPRODUCT(-- ISNUMBER(SEARCH({"Unique","Unique Case Insensitive"}, $R58))) &gt; 0, "(" &amp; $R58 &amp; ")", ""))))</f>
        <v>na</v>
      </c>
      <c r="E58" s="7" t="s">
        <v>195</v>
      </c>
      <c r="F58" s="7" t="s">
        <v>195</v>
      </c>
      <c r="G58" s="7" t="s">
        <v>195</v>
      </c>
      <c r="H58" s="7" t="s">
        <v>195</v>
      </c>
      <c r="I58" s="7" t="s">
        <v>195</v>
      </c>
      <c r="J58" s="7" t="s">
        <v>195</v>
      </c>
      <c r="K58" s="7" t="s">
        <v>195</v>
      </c>
      <c r="L58" s="7" t="s">
        <v>195</v>
      </c>
      <c r="M58" s="7" t="s">
        <v>29</v>
      </c>
      <c r="N58" s="7" t="s">
        <v>29</v>
      </c>
      <c r="O58" s="7" t="s">
        <v>29</v>
      </c>
      <c r="P58" s="7" t="s">
        <v>29</v>
      </c>
      <c r="Q58" s="7" t="s">
        <v>29</v>
      </c>
      <c r="R58" s="7" t="s">
        <v>29</v>
      </c>
      <c r="S58" s="7" t="s">
        <v>29</v>
      </c>
    </row>
    <row r="59" spans="2:19">
      <c r="B59" s="7" t="s">
        <v>195</v>
      </c>
      <c r="C59" s="8" t="s">
        <v>195</v>
      </c>
      <c r="D59" s="6" t="str">
        <f>LRTRIM(CONCATENATE(IF(SUMPRODUCT(-- ISNUMBER(SEARCH({"Auto Number"}, $B59))) &gt; 0, $B59, IF(SUMPRODUCT(-- ISNUMBER(SEARCH({"Lookup","Master-Detail"}, $B59))) &gt; 0,$B59 &amp; "(" &amp; $E59 &amp; ")",IF(SUMPRODUCT(-- ISNUMBER(SEARCH({"Formula","Roll-Up Summary"}, $B59))) &gt; 0,$B59 &amp; " (" &amp; $E59 &amp; ")",IF(SUMPRODUCT(-- ISNUMBER(SEARCH({"Content","Currency","Number","Percent","Text","URL"}, $B59))) &gt; 0,$B59 &amp; "(" &amp; $C59 &amp; ")",$B59)))), "  ", TRIM(IF($S59 = "YES", "(External ID)", "") &amp; " " &amp; IF(SUMPRODUCT(-- ISNUMBER(SEARCH({"Unique","Unique Case Insensitive"}, $R59))) &gt; 0, "(" &amp; $R59 &amp; ")", ""))))</f>
        <v>na</v>
      </c>
      <c r="E59" s="7" t="s">
        <v>195</v>
      </c>
      <c r="F59" s="7" t="s">
        <v>195</v>
      </c>
      <c r="G59" s="7" t="s">
        <v>195</v>
      </c>
      <c r="H59" s="7" t="s">
        <v>195</v>
      </c>
      <c r="I59" s="7" t="s">
        <v>195</v>
      </c>
      <c r="J59" s="7" t="s">
        <v>195</v>
      </c>
      <c r="K59" s="7" t="s">
        <v>195</v>
      </c>
      <c r="L59" s="7" t="s">
        <v>195</v>
      </c>
      <c r="M59" s="7" t="s">
        <v>29</v>
      </c>
      <c r="N59" s="7" t="s">
        <v>29</v>
      </c>
      <c r="O59" s="7" t="s">
        <v>29</v>
      </c>
      <c r="P59" s="7" t="s">
        <v>29</v>
      </c>
      <c r="Q59" s="7" t="s">
        <v>29</v>
      </c>
      <c r="R59" s="7" t="s">
        <v>29</v>
      </c>
      <c r="S59" s="7" t="s">
        <v>29</v>
      </c>
    </row>
    <row r="60" spans="2:19">
      <c r="B60" s="7" t="s">
        <v>195</v>
      </c>
      <c r="C60" s="8" t="s">
        <v>195</v>
      </c>
      <c r="D60" s="6" t="str">
        <f>LRTRIM(CONCATENATE(IF(SUMPRODUCT(-- ISNUMBER(SEARCH({"Auto Number"}, $B60))) &gt; 0, $B60, IF(SUMPRODUCT(-- ISNUMBER(SEARCH({"Lookup","Master-Detail"}, $B60))) &gt; 0,$B60 &amp; "(" &amp; $E60 &amp; ")",IF(SUMPRODUCT(-- ISNUMBER(SEARCH({"Formula","Roll-Up Summary"}, $B60))) &gt; 0,$B60 &amp; " (" &amp; $E60 &amp; ")",IF(SUMPRODUCT(-- ISNUMBER(SEARCH({"Content","Currency","Number","Percent","Text","URL"}, $B60))) &gt; 0,$B60 &amp; "(" &amp; $C60 &amp; ")",$B60)))), "  ", TRIM(IF($S60 = "YES", "(External ID)", "") &amp; " " &amp; IF(SUMPRODUCT(-- ISNUMBER(SEARCH({"Unique","Unique Case Insensitive"}, $R60))) &gt; 0, "(" &amp; $R60 &amp; ")", ""))))</f>
        <v>na</v>
      </c>
      <c r="E60" s="7" t="s">
        <v>195</v>
      </c>
      <c r="F60" s="7" t="s">
        <v>195</v>
      </c>
      <c r="G60" s="7" t="s">
        <v>195</v>
      </c>
      <c r="H60" s="7" t="s">
        <v>195</v>
      </c>
      <c r="I60" s="7" t="s">
        <v>195</v>
      </c>
      <c r="J60" s="7" t="s">
        <v>195</v>
      </c>
      <c r="K60" s="7" t="s">
        <v>195</v>
      </c>
      <c r="L60" s="7" t="s">
        <v>195</v>
      </c>
      <c r="M60" s="7" t="s">
        <v>29</v>
      </c>
      <c r="N60" s="7" t="s">
        <v>29</v>
      </c>
      <c r="O60" s="7" t="s">
        <v>29</v>
      </c>
      <c r="P60" s="7" t="s">
        <v>29</v>
      </c>
      <c r="Q60" s="7" t="s">
        <v>29</v>
      </c>
      <c r="R60" s="7" t="s">
        <v>29</v>
      </c>
      <c r="S60" s="7" t="s">
        <v>29</v>
      </c>
    </row>
    <row r="61" spans="2:19">
      <c r="B61" s="7" t="s">
        <v>195</v>
      </c>
      <c r="C61" s="8" t="s">
        <v>195</v>
      </c>
      <c r="D61" s="6" t="str">
        <f>LRTRIM(CONCATENATE(IF(SUMPRODUCT(-- ISNUMBER(SEARCH({"Auto Number"}, $B61))) &gt; 0, $B61, IF(SUMPRODUCT(-- ISNUMBER(SEARCH({"Lookup","Master-Detail"}, $B61))) &gt; 0,$B61 &amp; "(" &amp; $E61 &amp; ")",IF(SUMPRODUCT(-- ISNUMBER(SEARCH({"Formula","Roll-Up Summary"}, $B61))) &gt; 0,$B61 &amp; " (" &amp; $E61 &amp; ")",IF(SUMPRODUCT(-- ISNUMBER(SEARCH({"Content","Currency","Number","Percent","Text","URL"}, $B61))) &gt; 0,$B61 &amp; "(" &amp; $C61 &amp; ")",$B61)))), "  ", TRIM(IF($S61 = "YES", "(External ID)", "") &amp; " " &amp; IF(SUMPRODUCT(-- ISNUMBER(SEARCH({"Unique","Unique Case Insensitive"}, $R61))) &gt; 0, "(" &amp; $R61 &amp; ")", ""))))</f>
        <v>na</v>
      </c>
      <c r="E61" s="7" t="s">
        <v>195</v>
      </c>
      <c r="F61" s="7" t="s">
        <v>195</v>
      </c>
      <c r="G61" s="7" t="s">
        <v>195</v>
      </c>
      <c r="H61" s="7" t="s">
        <v>195</v>
      </c>
      <c r="I61" s="7" t="s">
        <v>195</v>
      </c>
      <c r="J61" s="7" t="s">
        <v>195</v>
      </c>
      <c r="K61" s="7" t="s">
        <v>195</v>
      </c>
      <c r="L61" s="7" t="s">
        <v>195</v>
      </c>
      <c r="M61" s="7" t="s">
        <v>29</v>
      </c>
      <c r="N61" s="7" t="s">
        <v>29</v>
      </c>
      <c r="O61" s="7" t="s">
        <v>29</v>
      </c>
      <c r="P61" s="7" t="s">
        <v>29</v>
      </c>
      <c r="Q61" s="7" t="s">
        <v>29</v>
      </c>
      <c r="R61" s="7" t="s">
        <v>29</v>
      </c>
      <c r="S61" s="7" t="s">
        <v>29</v>
      </c>
    </row>
    <row r="62" spans="2:19">
      <c r="B62" s="7" t="s">
        <v>195</v>
      </c>
      <c r="C62" s="8" t="s">
        <v>195</v>
      </c>
      <c r="D62" s="6" t="str">
        <f>LRTRIM(CONCATENATE(IF(SUMPRODUCT(-- ISNUMBER(SEARCH({"Auto Number"}, $B62))) &gt; 0, $B62, IF(SUMPRODUCT(-- ISNUMBER(SEARCH({"Lookup","Master-Detail"}, $B62))) &gt; 0,$B62 &amp; "(" &amp; $E62 &amp; ")",IF(SUMPRODUCT(-- ISNUMBER(SEARCH({"Formula","Roll-Up Summary"}, $B62))) &gt; 0,$B62 &amp; " (" &amp; $E62 &amp; ")",IF(SUMPRODUCT(-- ISNUMBER(SEARCH({"Content","Currency","Number","Percent","Text","URL"}, $B62))) &gt; 0,$B62 &amp; "(" &amp; $C62 &amp; ")",$B62)))), "  ", TRIM(IF($S62 = "YES", "(External ID)", "") &amp; " " &amp; IF(SUMPRODUCT(-- ISNUMBER(SEARCH({"Unique","Unique Case Insensitive"}, $R62))) &gt; 0, "(" &amp; $R62 &amp; ")", ""))))</f>
        <v>na</v>
      </c>
      <c r="E62" s="7" t="s">
        <v>195</v>
      </c>
      <c r="F62" s="7" t="s">
        <v>195</v>
      </c>
      <c r="G62" s="7" t="s">
        <v>195</v>
      </c>
      <c r="H62" s="7" t="s">
        <v>195</v>
      </c>
      <c r="I62" s="7" t="s">
        <v>195</v>
      </c>
      <c r="J62" s="7" t="s">
        <v>195</v>
      </c>
      <c r="K62" s="7" t="s">
        <v>195</v>
      </c>
      <c r="L62" s="7" t="s">
        <v>195</v>
      </c>
      <c r="M62" s="7" t="s">
        <v>29</v>
      </c>
      <c r="N62" s="7" t="s">
        <v>29</v>
      </c>
      <c r="O62" s="7" t="s">
        <v>29</v>
      </c>
      <c r="P62" s="7" t="s">
        <v>29</v>
      </c>
      <c r="Q62" s="7" t="s">
        <v>29</v>
      </c>
      <c r="R62" s="7" t="s">
        <v>29</v>
      </c>
      <c r="S62" s="7" t="s">
        <v>29</v>
      </c>
    </row>
    <row r="63" spans="2:19">
      <c r="B63" s="7" t="s">
        <v>195</v>
      </c>
      <c r="C63" s="8" t="s">
        <v>195</v>
      </c>
      <c r="D63" s="6" t="str">
        <f>LRTRIM(CONCATENATE(IF(SUMPRODUCT(-- ISNUMBER(SEARCH({"Auto Number"}, $B63))) &gt; 0, $B63, IF(SUMPRODUCT(-- ISNUMBER(SEARCH({"Lookup","Master-Detail"}, $B63))) &gt; 0,$B63 &amp; "(" &amp; $E63 &amp; ")",IF(SUMPRODUCT(-- ISNUMBER(SEARCH({"Formula","Roll-Up Summary"}, $B63))) &gt; 0,$B63 &amp; " (" &amp; $E63 &amp; ")",IF(SUMPRODUCT(-- ISNUMBER(SEARCH({"Content","Currency","Number","Percent","Text","URL"}, $B63))) &gt; 0,$B63 &amp; "(" &amp; $C63 &amp; ")",$B63)))), "  ", TRIM(IF($S63 = "YES", "(External ID)", "") &amp; " " &amp; IF(SUMPRODUCT(-- ISNUMBER(SEARCH({"Unique","Unique Case Insensitive"}, $R63))) &gt; 0, "(" &amp; $R63 &amp; ")", ""))))</f>
        <v>na</v>
      </c>
      <c r="E63" s="7" t="s">
        <v>195</v>
      </c>
      <c r="F63" s="7" t="s">
        <v>195</v>
      </c>
      <c r="G63" s="7" t="s">
        <v>195</v>
      </c>
      <c r="H63" s="7" t="s">
        <v>195</v>
      </c>
      <c r="I63" s="7" t="s">
        <v>195</v>
      </c>
      <c r="J63" s="7" t="s">
        <v>195</v>
      </c>
      <c r="K63" s="7" t="s">
        <v>195</v>
      </c>
      <c r="L63" s="7" t="s">
        <v>195</v>
      </c>
      <c r="M63" s="7" t="s">
        <v>29</v>
      </c>
      <c r="N63" s="7" t="s">
        <v>29</v>
      </c>
      <c r="O63" s="7" t="s">
        <v>29</v>
      </c>
      <c r="P63" s="7" t="s">
        <v>29</v>
      </c>
      <c r="Q63" s="7" t="s">
        <v>29</v>
      </c>
      <c r="R63" s="7" t="s">
        <v>29</v>
      </c>
      <c r="S63" s="7" t="s">
        <v>29</v>
      </c>
    </row>
    <row r="64" spans="2:19">
      <c r="B64" s="7" t="s">
        <v>195</v>
      </c>
      <c r="C64" s="8" t="s">
        <v>195</v>
      </c>
      <c r="D64" s="6" t="str">
        <f>LRTRIM(CONCATENATE(IF(SUMPRODUCT(-- ISNUMBER(SEARCH({"Auto Number"}, $B64))) &gt; 0, $B64, IF(SUMPRODUCT(-- ISNUMBER(SEARCH({"Lookup","Master-Detail"}, $B64))) &gt; 0,$B64 &amp; "(" &amp; $E64 &amp; ")",IF(SUMPRODUCT(-- ISNUMBER(SEARCH({"Formula","Roll-Up Summary"}, $B64))) &gt; 0,$B64 &amp; " (" &amp; $E64 &amp; ")",IF(SUMPRODUCT(-- ISNUMBER(SEARCH({"Content","Currency","Number","Percent","Text","URL"}, $B64))) &gt; 0,$B64 &amp; "(" &amp; $C64 &amp; ")",$B64)))), "  ", TRIM(IF($S64 = "YES", "(External ID)", "") &amp; " " &amp; IF(SUMPRODUCT(-- ISNUMBER(SEARCH({"Unique","Unique Case Insensitive"}, $R64))) &gt; 0, "(" &amp; $R64 &amp; ")", ""))))</f>
        <v>na</v>
      </c>
      <c r="E64" s="7" t="s">
        <v>195</v>
      </c>
      <c r="F64" s="7" t="s">
        <v>195</v>
      </c>
      <c r="G64" s="7" t="s">
        <v>195</v>
      </c>
      <c r="H64" s="7" t="s">
        <v>195</v>
      </c>
      <c r="I64" s="7" t="s">
        <v>195</v>
      </c>
      <c r="J64" s="7" t="s">
        <v>195</v>
      </c>
      <c r="K64" s="7" t="s">
        <v>195</v>
      </c>
      <c r="L64" s="7" t="s">
        <v>195</v>
      </c>
      <c r="M64" s="7" t="s">
        <v>29</v>
      </c>
      <c r="N64" s="7" t="s">
        <v>29</v>
      </c>
      <c r="O64" s="7" t="s">
        <v>29</v>
      </c>
      <c r="P64" s="7" t="s">
        <v>29</v>
      </c>
      <c r="Q64" s="7" t="s">
        <v>29</v>
      </c>
      <c r="R64" s="7" t="s">
        <v>29</v>
      </c>
      <c r="S64" s="7" t="s">
        <v>29</v>
      </c>
    </row>
    <row r="65" spans="2:19">
      <c r="B65" s="7" t="s">
        <v>195</v>
      </c>
      <c r="C65" s="8" t="s">
        <v>195</v>
      </c>
      <c r="D65" s="6" t="str">
        <f>LRTRIM(CONCATENATE(IF(SUMPRODUCT(-- ISNUMBER(SEARCH({"Auto Number"}, $B65))) &gt; 0, $B65, IF(SUMPRODUCT(-- ISNUMBER(SEARCH({"Lookup","Master-Detail"}, $B65))) &gt; 0,$B65 &amp; "(" &amp; $E65 &amp; ")",IF(SUMPRODUCT(-- ISNUMBER(SEARCH({"Formula","Roll-Up Summary"}, $B65))) &gt; 0,$B65 &amp; " (" &amp; $E65 &amp; ")",IF(SUMPRODUCT(-- ISNUMBER(SEARCH({"Content","Currency","Number","Percent","Text","URL"}, $B65))) &gt; 0,$B65 &amp; "(" &amp; $C65 &amp; ")",$B65)))), "  ", TRIM(IF($S65 = "YES", "(External ID)", "") &amp; " " &amp; IF(SUMPRODUCT(-- ISNUMBER(SEARCH({"Unique","Unique Case Insensitive"}, $R65))) &gt; 0, "(" &amp; $R65 &amp; ")", ""))))</f>
        <v>na</v>
      </c>
      <c r="E65" s="7" t="s">
        <v>195</v>
      </c>
      <c r="F65" s="7" t="s">
        <v>195</v>
      </c>
      <c r="G65" s="7" t="s">
        <v>195</v>
      </c>
      <c r="H65" s="7" t="s">
        <v>195</v>
      </c>
      <c r="I65" s="7" t="s">
        <v>195</v>
      </c>
      <c r="J65" s="7" t="s">
        <v>195</v>
      </c>
      <c r="K65" s="7" t="s">
        <v>195</v>
      </c>
      <c r="L65" s="7" t="s">
        <v>195</v>
      </c>
      <c r="M65" s="7" t="s">
        <v>29</v>
      </c>
      <c r="N65" s="7" t="s">
        <v>29</v>
      </c>
      <c r="O65" s="7" t="s">
        <v>29</v>
      </c>
      <c r="P65" s="7" t="s">
        <v>29</v>
      </c>
      <c r="Q65" s="7" t="s">
        <v>29</v>
      </c>
      <c r="R65" s="7" t="s">
        <v>29</v>
      </c>
      <c r="S65" s="7" t="s">
        <v>29</v>
      </c>
    </row>
    <row r="66" spans="2:19">
      <c r="B66" s="7" t="s">
        <v>195</v>
      </c>
      <c r="C66" s="8" t="s">
        <v>195</v>
      </c>
      <c r="D66" s="6" t="str">
        <f>LRTRIM(CONCATENATE(IF(SUMPRODUCT(-- ISNUMBER(SEARCH({"Auto Number"}, $B66))) &gt; 0, $B66, IF(SUMPRODUCT(-- ISNUMBER(SEARCH({"Lookup","Master-Detail"}, $B66))) &gt; 0,$B66 &amp; "(" &amp; $E66 &amp; ")",IF(SUMPRODUCT(-- ISNUMBER(SEARCH({"Formula","Roll-Up Summary"}, $B66))) &gt; 0,$B66 &amp; " (" &amp; $E66 &amp; ")",IF(SUMPRODUCT(-- ISNUMBER(SEARCH({"Content","Currency","Number","Percent","Text","URL"}, $B66))) &gt; 0,$B66 &amp; "(" &amp; $C66 &amp; ")",$B66)))), "  ", TRIM(IF($S66 = "YES", "(External ID)", "") &amp; " " &amp; IF(SUMPRODUCT(-- ISNUMBER(SEARCH({"Unique","Unique Case Insensitive"}, $R66))) &gt; 0, "(" &amp; $R66 &amp; ")", ""))))</f>
        <v>na</v>
      </c>
      <c r="E66" s="7" t="s">
        <v>195</v>
      </c>
      <c r="F66" s="7" t="s">
        <v>195</v>
      </c>
      <c r="G66" s="7" t="s">
        <v>195</v>
      </c>
      <c r="H66" s="7" t="s">
        <v>195</v>
      </c>
      <c r="I66" s="7" t="s">
        <v>195</v>
      </c>
      <c r="J66" s="7" t="s">
        <v>195</v>
      </c>
      <c r="K66" s="7" t="s">
        <v>195</v>
      </c>
      <c r="L66" s="7" t="s">
        <v>195</v>
      </c>
      <c r="M66" s="7" t="s">
        <v>29</v>
      </c>
      <c r="N66" s="7" t="s">
        <v>29</v>
      </c>
      <c r="O66" s="7" t="s">
        <v>29</v>
      </c>
      <c r="P66" s="7" t="s">
        <v>29</v>
      </c>
      <c r="Q66" s="7" t="s">
        <v>29</v>
      </c>
      <c r="R66" s="7" t="s">
        <v>29</v>
      </c>
      <c r="S66" s="7" t="s">
        <v>29</v>
      </c>
    </row>
    <row r="67" spans="2:19">
      <c r="B67" s="7" t="s">
        <v>195</v>
      </c>
      <c r="C67" s="8" t="s">
        <v>195</v>
      </c>
      <c r="D67" s="6" t="str">
        <f>LRTRIM(CONCATENATE(IF(SUMPRODUCT(-- ISNUMBER(SEARCH({"Auto Number"}, $B67))) &gt; 0, $B67, IF(SUMPRODUCT(-- ISNUMBER(SEARCH({"Lookup","Master-Detail"}, $B67))) &gt; 0,$B67 &amp; "(" &amp; $E67 &amp; ")",IF(SUMPRODUCT(-- ISNUMBER(SEARCH({"Formula","Roll-Up Summary"}, $B67))) &gt; 0,$B67 &amp; " (" &amp; $E67 &amp; ")",IF(SUMPRODUCT(-- ISNUMBER(SEARCH({"Content","Currency","Number","Percent","Text","URL"}, $B67))) &gt; 0,$B67 &amp; "(" &amp; $C67 &amp; ")",$B67)))), "  ", TRIM(IF($S67 = "YES", "(External ID)", "") &amp; " " &amp; IF(SUMPRODUCT(-- ISNUMBER(SEARCH({"Unique","Unique Case Insensitive"}, $R67))) &gt; 0, "(" &amp; $R67 &amp; ")", ""))))</f>
        <v>na</v>
      </c>
      <c r="E67" s="7" t="s">
        <v>195</v>
      </c>
      <c r="F67" s="7" t="s">
        <v>195</v>
      </c>
      <c r="G67" s="7" t="s">
        <v>195</v>
      </c>
      <c r="H67" s="7" t="s">
        <v>195</v>
      </c>
      <c r="I67" s="7" t="s">
        <v>195</v>
      </c>
      <c r="J67" s="7" t="s">
        <v>195</v>
      </c>
      <c r="K67" s="7" t="s">
        <v>195</v>
      </c>
      <c r="L67" s="7" t="s">
        <v>195</v>
      </c>
      <c r="M67" s="7" t="s">
        <v>29</v>
      </c>
      <c r="N67" s="7" t="s">
        <v>29</v>
      </c>
      <c r="O67" s="7" t="s">
        <v>29</v>
      </c>
      <c r="P67" s="7" t="s">
        <v>29</v>
      </c>
      <c r="Q67" s="7" t="s">
        <v>29</v>
      </c>
      <c r="R67" s="7" t="s">
        <v>29</v>
      </c>
      <c r="S67" s="7" t="s">
        <v>29</v>
      </c>
    </row>
    <row r="68" spans="2:19">
      <c r="B68" s="7" t="s">
        <v>195</v>
      </c>
      <c r="C68" s="8" t="s">
        <v>195</v>
      </c>
      <c r="D68" s="6" t="str">
        <f>LRTRIM(CONCATENATE(IF(SUMPRODUCT(-- ISNUMBER(SEARCH({"Auto Number"}, $B68))) &gt; 0, $B68, IF(SUMPRODUCT(-- ISNUMBER(SEARCH({"Lookup","Master-Detail"}, $B68))) &gt; 0,$B68 &amp; "(" &amp; $E68 &amp; ")",IF(SUMPRODUCT(-- ISNUMBER(SEARCH({"Formula","Roll-Up Summary"}, $B68))) &gt; 0,$B68 &amp; " (" &amp; $E68 &amp; ")",IF(SUMPRODUCT(-- ISNUMBER(SEARCH({"Content","Currency","Number","Percent","Text","URL"}, $B68))) &gt; 0,$B68 &amp; "(" &amp; $C68 &amp; ")",$B68)))), "  ", TRIM(IF($S68 = "YES", "(External ID)", "") &amp; " " &amp; IF(SUMPRODUCT(-- ISNUMBER(SEARCH({"Unique","Unique Case Insensitive"}, $R68))) &gt; 0, "(" &amp; $R68 &amp; ")", ""))))</f>
        <v>na</v>
      </c>
      <c r="E68" s="7" t="s">
        <v>195</v>
      </c>
      <c r="F68" s="7" t="s">
        <v>195</v>
      </c>
      <c r="G68" s="7" t="s">
        <v>195</v>
      </c>
      <c r="H68" s="7" t="s">
        <v>195</v>
      </c>
      <c r="I68" s="7" t="s">
        <v>195</v>
      </c>
      <c r="J68" s="7" t="s">
        <v>195</v>
      </c>
      <c r="K68" s="7" t="s">
        <v>195</v>
      </c>
      <c r="L68" s="7" t="s">
        <v>195</v>
      </c>
      <c r="M68" s="7" t="s">
        <v>29</v>
      </c>
      <c r="N68" s="7" t="s">
        <v>29</v>
      </c>
      <c r="O68" s="7" t="s">
        <v>29</v>
      </c>
      <c r="P68" s="7" t="s">
        <v>29</v>
      </c>
      <c r="Q68" s="7" t="s">
        <v>29</v>
      </c>
      <c r="R68" s="7" t="s">
        <v>29</v>
      </c>
      <c r="S68" s="7" t="s">
        <v>29</v>
      </c>
    </row>
    <row r="69" spans="2:19">
      <c r="B69" s="7" t="s">
        <v>195</v>
      </c>
      <c r="C69" s="8" t="s">
        <v>195</v>
      </c>
      <c r="D69" s="6" t="str">
        <f>LRTRIM(CONCATENATE(IF(SUMPRODUCT(-- ISNUMBER(SEARCH({"Auto Number"}, $B69))) &gt; 0, $B69, IF(SUMPRODUCT(-- ISNUMBER(SEARCH({"Lookup","Master-Detail"}, $B69))) &gt; 0,$B69 &amp; "(" &amp; $E69 &amp; ")",IF(SUMPRODUCT(-- ISNUMBER(SEARCH({"Formula","Roll-Up Summary"}, $B69))) &gt; 0,$B69 &amp; " (" &amp; $E69 &amp; ")",IF(SUMPRODUCT(-- ISNUMBER(SEARCH({"Content","Currency","Number","Percent","Text","URL"}, $B69))) &gt; 0,$B69 &amp; "(" &amp; $C69 &amp; ")",$B69)))), "  ", TRIM(IF($S69 = "YES", "(External ID)", "") &amp; " " &amp; IF(SUMPRODUCT(-- ISNUMBER(SEARCH({"Unique","Unique Case Insensitive"}, $R69))) &gt; 0, "(" &amp; $R69 &amp; ")", ""))))</f>
        <v>na</v>
      </c>
      <c r="E69" s="7" t="s">
        <v>195</v>
      </c>
      <c r="F69" s="7" t="s">
        <v>195</v>
      </c>
      <c r="G69" s="7" t="s">
        <v>195</v>
      </c>
      <c r="H69" s="7" t="s">
        <v>195</v>
      </c>
      <c r="I69" s="7" t="s">
        <v>195</v>
      </c>
      <c r="J69" s="7" t="s">
        <v>195</v>
      </c>
      <c r="K69" s="7" t="s">
        <v>195</v>
      </c>
      <c r="L69" s="7" t="s">
        <v>195</v>
      </c>
      <c r="M69" s="7" t="s">
        <v>29</v>
      </c>
      <c r="N69" s="7" t="s">
        <v>29</v>
      </c>
      <c r="O69" s="7" t="s">
        <v>29</v>
      </c>
      <c r="P69" s="7" t="s">
        <v>29</v>
      </c>
      <c r="Q69" s="7" t="s">
        <v>29</v>
      </c>
      <c r="R69" s="7" t="s">
        <v>29</v>
      </c>
      <c r="S69" s="7" t="s">
        <v>29</v>
      </c>
    </row>
    <row r="70" spans="2:19">
      <c r="B70" s="7" t="s">
        <v>195</v>
      </c>
      <c r="C70" s="8" t="s">
        <v>195</v>
      </c>
      <c r="D70" s="6" t="str">
        <f>LRTRIM(CONCATENATE(IF(SUMPRODUCT(-- ISNUMBER(SEARCH({"Auto Number"}, $B70))) &gt; 0, $B70, IF(SUMPRODUCT(-- ISNUMBER(SEARCH({"Lookup","Master-Detail"}, $B70))) &gt; 0,$B70 &amp; "(" &amp; $E70 &amp; ")",IF(SUMPRODUCT(-- ISNUMBER(SEARCH({"Formula","Roll-Up Summary"}, $B70))) &gt; 0,$B70 &amp; " (" &amp; $E70 &amp; ")",IF(SUMPRODUCT(-- ISNUMBER(SEARCH({"Content","Currency","Number","Percent","Text","URL"}, $B70))) &gt; 0,$B70 &amp; "(" &amp; $C70 &amp; ")",$B70)))), "  ", TRIM(IF($S70 = "YES", "(External ID)", "") &amp; " " &amp; IF(SUMPRODUCT(-- ISNUMBER(SEARCH({"Unique","Unique Case Insensitive"}, $R70))) &gt; 0, "(" &amp; $R70 &amp; ")", ""))))</f>
        <v>na</v>
      </c>
      <c r="E70" s="7" t="s">
        <v>195</v>
      </c>
      <c r="F70" s="7" t="s">
        <v>195</v>
      </c>
      <c r="G70" s="7" t="s">
        <v>195</v>
      </c>
      <c r="H70" s="7" t="s">
        <v>195</v>
      </c>
      <c r="I70" s="7" t="s">
        <v>195</v>
      </c>
      <c r="J70" s="7" t="s">
        <v>195</v>
      </c>
      <c r="K70" s="7" t="s">
        <v>195</v>
      </c>
      <c r="L70" s="7" t="s">
        <v>195</v>
      </c>
      <c r="M70" s="7" t="s">
        <v>29</v>
      </c>
      <c r="N70" s="7" t="s">
        <v>29</v>
      </c>
      <c r="O70" s="7" t="s">
        <v>29</v>
      </c>
      <c r="P70" s="7" t="s">
        <v>29</v>
      </c>
      <c r="Q70" s="7" t="s">
        <v>29</v>
      </c>
      <c r="R70" s="7" t="s">
        <v>29</v>
      </c>
      <c r="S70" s="7" t="s">
        <v>29</v>
      </c>
    </row>
    <row r="71" spans="2:19">
      <c r="B71" s="7" t="s">
        <v>195</v>
      </c>
      <c r="C71" s="8" t="s">
        <v>195</v>
      </c>
      <c r="D71" s="6" t="str">
        <f>LRTRIM(CONCATENATE(IF(SUMPRODUCT(-- ISNUMBER(SEARCH({"Auto Number"}, $B71))) &gt; 0, $B71, IF(SUMPRODUCT(-- ISNUMBER(SEARCH({"Lookup","Master-Detail"}, $B71))) &gt; 0,$B71 &amp; "(" &amp; $E71 &amp; ")",IF(SUMPRODUCT(-- ISNUMBER(SEARCH({"Formula","Roll-Up Summary"}, $B71))) &gt; 0,$B71 &amp; " (" &amp; $E71 &amp; ")",IF(SUMPRODUCT(-- ISNUMBER(SEARCH({"Content","Currency","Number","Percent","Text","URL"}, $B71))) &gt; 0,$B71 &amp; "(" &amp; $C71 &amp; ")",$B71)))), "  ", TRIM(IF($S71 = "YES", "(External ID)", "") &amp; " " &amp; IF(SUMPRODUCT(-- ISNUMBER(SEARCH({"Unique","Unique Case Insensitive"}, $R71))) &gt; 0, "(" &amp; $R71 &amp; ")", ""))))</f>
        <v>na</v>
      </c>
      <c r="E71" s="7" t="s">
        <v>195</v>
      </c>
      <c r="F71" s="7" t="s">
        <v>195</v>
      </c>
      <c r="G71" s="7" t="s">
        <v>195</v>
      </c>
      <c r="H71" s="7" t="s">
        <v>195</v>
      </c>
      <c r="I71" s="7" t="s">
        <v>195</v>
      </c>
      <c r="J71" s="7" t="s">
        <v>195</v>
      </c>
      <c r="K71" s="7" t="s">
        <v>195</v>
      </c>
      <c r="L71" s="7" t="s">
        <v>195</v>
      </c>
      <c r="M71" s="7" t="s">
        <v>29</v>
      </c>
      <c r="N71" s="7" t="s">
        <v>29</v>
      </c>
      <c r="O71" s="7" t="s">
        <v>29</v>
      </c>
      <c r="P71" s="7" t="s">
        <v>29</v>
      </c>
      <c r="Q71" s="7" t="s">
        <v>29</v>
      </c>
      <c r="R71" s="7" t="s">
        <v>29</v>
      </c>
      <c r="S71" s="7" t="s">
        <v>29</v>
      </c>
    </row>
    <row r="72" spans="2:19">
      <c r="B72" s="7" t="s">
        <v>195</v>
      </c>
      <c r="C72" s="8" t="s">
        <v>195</v>
      </c>
      <c r="D72" s="6" t="str">
        <f>LRTRIM(CONCATENATE(IF(SUMPRODUCT(-- ISNUMBER(SEARCH({"Auto Number"}, $B72))) &gt; 0, $B72, IF(SUMPRODUCT(-- ISNUMBER(SEARCH({"Lookup","Master-Detail"}, $B72))) &gt; 0,$B72 &amp; "(" &amp; $E72 &amp; ")",IF(SUMPRODUCT(-- ISNUMBER(SEARCH({"Formula","Roll-Up Summary"}, $B72))) &gt; 0,$B72 &amp; " (" &amp; $E72 &amp; ")",IF(SUMPRODUCT(-- ISNUMBER(SEARCH({"Content","Currency","Number","Percent","Text","URL"}, $B72))) &gt; 0,$B72 &amp; "(" &amp; $C72 &amp; ")",$B72)))), "  ", TRIM(IF($S72 = "YES", "(External ID)", "") &amp; " " &amp; IF(SUMPRODUCT(-- ISNUMBER(SEARCH({"Unique","Unique Case Insensitive"}, $R72))) &gt; 0, "(" &amp; $R72 &amp; ")", ""))))</f>
        <v>na</v>
      </c>
      <c r="E72" s="7" t="s">
        <v>195</v>
      </c>
      <c r="F72" s="7" t="s">
        <v>195</v>
      </c>
      <c r="G72" s="7" t="s">
        <v>195</v>
      </c>
      <c r="H72" s="7" t="s">
        <v>195</v>
      </c>
      <c r="I72" s="7" t="s">
        <v>195</v>
      </c>
      <c r="J72" s="7" t="s">
        <v>195</v>
      </c>
      <c r="K72" s="7" t="s">
        <v>195</v>
      </c>
      <c r="L72" s="7" t="s">
        <v>195</v>
      </c>
      <c r="M72" s="7" t="s">
        <v>29</v>
      </c>
      <c r="N72" s="7" t="s">
        <v>29</v>
      </c>
      <c r="O72" s="7" t="s">
        <v>29</v>
      </c>
      <c r="P72" s="7" t="s">
        <v>29</v>
      </c>
      <c r="Q72" s="7" t="s">
        <v>29</v>
      </c>
      <c r="R72" s="7" t="s">
        <v>29</v>
      </c>
      <c r="S72" s="7" t="s">
        <v>29</v>
      </c>
    </row>
    <row r="73" spans="2:19">
      <c r="B73" s="7" t="s">
        <v>195</v>
      </c>
      <c r="C73" s="8" t="s">
        <v>195</v>
      </c>
      <c r="D73" s="6" t="str">
        <f>LRTRIM(CONCATENATE(IF(SUMPRODUCT(-- ISNUMBER(SEARCH({"Auto Number"}, $B73))) &gt; 0, $B73, IF(SUMPRODUCT(-- ISNUMBER(SEARCH({"Lookup","Master-Detail"}, $B73))) &gt; 0,$B73 &amp; "(" &amp; $E73 &amp; ")",IF(SUMPRODUCT(-- ISNUMBER(SEARCH({"Formula","Roll-Up Summary"}, $B73))) &gt; 0,$B73 &amp; " (" &amp; $E73 &amp; ")",IF(SUMPRODUCT(-- ISNUMBER(SEARCH({"Content","Currency","Number","Percent","Text","URL"}, $B73))) &gt; 0,$B73 &amp; "(" &amp; $C73 &amp; ")",$B73)))), "  ", TRIM(IF($S73 = "YES", "(External ID)", "") &amp; " " &amp; IF(SUMPRODUCT(-- ISNUMBER(SEARCH({"Unique","Unique Case Insensitive"}, $R73))) &gt; 0, "(" &amp; $R73 &amp; ")", ""))))</f>
        <v>na</v>
      </c>
      <c r="E73" s="7" t="s">
        <v>195</v>
      </c>
      <c r="F73" s="7" t="s">
        <v>195</v>
      </c>
      <c r="G73" s="7" t="s">
        <v>195</v>
      </c>
      <c r="H73" s="7" t="s">
        <v>195</v>
      </c>
      <c r="I73" s="7" t="s">
        <v>195</v>
      </c>
      <c r="J73" s="7" t="s">
        <v>195</v>
      </c>
      <c r="K73" s="7" t="s">
        <v>195</v>
      </c>
      <c r="L73" s="7" t="s">
        <v>195</v>
      </c>
      <c r="M73" s="7" t="s">
        <v>29</v>
      </c>
      <c r="N73" s="7" t="s">
        <v>29</v>
      </c>
      <c r="O73" s="7" t="s">
        <v>29</v>
      </c>
      <c r="P73" s="7" t="s">
        <v>29</v>
      </c>
      <c r="Q73" s="7" t="s">
        <v>29</v>
      </c>
      <c r="R73" s="7" t="s">
        <v>29</v>
      </c>
      <c r="S73" s="7" t="s">
        <v>29</v>
      </c>
    </row>
    <row r="74" spans="2:19">
      <c r="B74" s="7" t="s">
        <v>195</v>
      </c>
      <c r="C74" s="8" t="s">
        <v>195</v>
      </c>
      <c r="D74" s="6" t="str">
        <f>LRTRIM(CONCATENATE(IF(SUMPRODUCT(-- ISNUMBER(SEARCH({"Auto Number"}, $B74))) &gt; 0, $B74, IF(SUMPRODUCT(-- ISNUMBER(SEARCH({"Lookup","Master-Detail"}, $B74))) &gt; 0,$B74 &amp; "(" &amp; $E74 &amp; ")",IF(SUMPRODUCT(-- ISNUMBER(SEARCH({"Formula","Roll-Up Summary"}, $B74))) &gt; 0,$B74 &amp; " (" &amp; $E74 &amp; ")",IF(SUMPRODUCT(-- ISNUMBER(SEARCH({"Content","Currency","Number","Percent","Text","URL"}, $B74))) &gt; 0,$B74 &amp; "(" &amp; $C74 &amp; ")",$B74)))), "  ", TRIM(IF($S74 = "YES", "(External ID)", "") &amp; " " &amp; IF(SUMPRODUCT(-- ISNUMBER(SEARCH({"Unique","Unique Case Insensitive"}, $R74))) &gt; 0, "(" &amp; $R74 &amp; ")", ""))))</f>
        <v>na</v>
      </c>
      <c r="E74" s="7" t="s">
        <v>195</v>
      </c>
      <c r="F74" s="7" t="s">
        <v>195</v>
      </c>
      <c r="G74" s="7" t="s">
        <v>195</v>
      </c>
      <c r="H74" s="7" t="s">
        <v>195</v>
      </c>
      <c r="I74" s="7" t="s">
        <v>195</v>
      </c>
      <c r="J74" s="7" t="s">
        <v>195</v>
      </c>
      <c r="K74" s="7" t="s">
        <v>195</v>
      </c>
      <c r="L74" s="7" t="s">
        <v>195</v>
      </c>
      <c r="M74" s="7" t="s">
        <v>29</v>
      </c>
      <c r="N74" s="7" t="s">
        <v>29</v>
      </c>
      <c r="O74" s="7" t="s">
        <v>29</v>
      </c>
      <c r="P74" s="7" t="s">
        <v>29</v>
      </c>
      <c r="Q74" s="7" t="s">
        <v>29</v>
      </c>
      <c r="R74" s="7" t="s">
        <v>29</v>
      </c>
      <c r="S74" s="7" t="s">
        <v>29</v>
      </c>
    </row>
    <row r="75" spans="2:19">
      <c r="B75" s="7" t="s">
        <v>195</v>
      </c>
      <c r="C75" s="8" t="s">
        <v>195</v>
      </c>
      <c r="D75" s="6" t="str">
        <f>LRTRIM(CONCATENATE(IF(SUMPRODUCT(-- ISNUMBER(SEARCH({"Auto Number"}, $B75))) &gt; 0, $B75, IF(SUMPRODUCT(-- ISNUMBER(SEARCH({"Lookup","Master-Detail"}, $B75))) &gt; 0,$B75 &amp; "(" &amp; $E75 &amp; ")",IF(SUMPRODUCT(-- ISNUMBER(SEARCH({"Formula","Roll-Up Summary"}, $B75))) &gt; 0,$B75 &amp; " (" &amp; $E75 &amp; ")",IF(SUMPRODUCT(-- ISNUMBER(SEARCH({"Content","Currency","Number","Percent","Text","URL"}, $B75))) &gt; 0,$B75 &amp; "(" &amp; $C75 &amp; ")",$B75)))), "  ", TRIM(IF($S75 = "YES", "(External ID)", "") &amp; " " &amp; IF(SUMPRODUCT(-- ISNUMBER(SEARCH({"Unique","Unique Case Insensitive"}, $R75))) &gt; 0, "(" &amp; $R75 &amp; ")", ""))))</f>
        <v>na</v>
      </c>
      <c r="E75" s="7" t="s">
        <v>195</v>
      </c>
      <c r="F75" s="7" t="s">
        <v>195</v>
      </c>
      <c r="G75" s="7" t="s">
        <v>195</v>
      </c>
      <c r="H75" s="7" t="s">
        <v>195</v>
      </c>
      <c r="I75" s="7" t="s">
        <v>195</v>
      </c>
      <c r="J75" s="7" t="s">
        <v>195</v>
      </c>
      <c r="K75" s="7" t="s">
        <v>195</v>
      </c>
      <c r="L75" s="7" t="s">
        <v>195</v>
      </c>
      <c r="M75" s="7" t="s">
        <v>29</v>
      </c>
      <c r="N75" s="7" t="s">
        <v>29</v>
      </c>
      <c r="O75" s="7" t="s">
        <v>29</v>
      </c>
      <c r="P75" s="7" t="s">
        <v>29</v>
      </c>
      <c r="Q75" s="7" t="s">
        <v>29</v>
      </c>
      <c r="R75" s="7" t="s">
        <v>29</v>
      </c>
      <c r="S75" s="7" t="s">
        <v>29</v>
      </c>
    </row>
    <row r="76" spans="2:19">
      <c r="B76" s="7" t="s">
        <v>195</v>
      </c>
      <c r="C76" s="8" t="s">
        <v>195</v>
      </c>
      <c r="D76" s="6" t="str">
        <f>LRTRIM(CONCATENATE(IF(SUMPRODUCT(-- ISNUMBER(SEARCH({"Auto Number"}, $B76))) &gt; 0, $B76, IF(SUMPRODUCT(-- ISNUMBER(SEARCH({"Lookup","Master-Detail"}, $B76))) &gt; 0,$B76 &amp; "(" &amp; $E76 &amp; ")",IF(SUMPRODUCT(-- ISNUMBER(SEARCH({"Formula","Roll-Up Summary"}, $B76))) &gt; 0,$B76 &amp; " (" &amp; $E76 &amp; ")",IF(SUMPRODUCT(-- ISNUMBER(SEARCH({"Content","Currency","Number","Percent","Text","URL"}, $B76))) &gt; 0,$B76 &amp; "(" &amp; $C76 &amp; ")",$B76)))), "  ", TRIM(IF($S76 = "YES", "(External ID)", "") &amp; " " &amp; IF(SUMPRODUCT(-- ISNUMBER(SEARCH({"Unique","Unique Case Insensitive"}, $R76))) &gt; 0, "(" &amp; $R76 &amp; ")", ""))))</f>
        <v>na</v>
      </c>
      <c r="E76" s="7" t="s">
        <v>195</v>
      </c>
      <c r="F76" s="7" t="s">
        <v>195</v>
      </c>
      <c r="G76" s="7" t="s">
        <v>195</v>
      </c>
      <c r="H76" s="7" t="s">
        <v>195</v>
      </c>
      <c r="I76" s="7" t="s">
        <v>195</v>
      </c>
      <c r="J76" s="7" t="s">
        <v>195</v>
      </c>
      <c r="K76" s="7" t="s">
        <v>195</v>
      </c>
      <c r="L76" s="7" t="s">
        <v>195</v>
      </c>
      <c r="M76" s="7" t="s">
        <v>29</v>
      </c>
      <c r="N76" s="7" t="s">
        <v>29</v>
      </c>
      <c r="O76" s="7" t="s">
        <v>29</v>
      </c>
      <c r="P76" s="7" t="s">
        <v>29</v>
      </c>
      <c r="Q76" s="7" t="s">
        <v>29</v>
      </c>
      <c r="R76" s="7" t="s">
        <v>29</v>
      </c>
      <c r="S76" s="7" t="s">
        <v>29</v>
      </c>
    </row>
    <row r="77" spans="2:19">
      <c r="B77" s="7" t="s">
        <v>195</v>
      </c>
      <c r="C77" s="8" t="s">
        <v>195</v>
      </c>
      <c r="D77" s="6" t="str">
        <f>LRTRIM(CONCATENATE(IF(SUMPRODUCT(-- ISNUMBER(SEARCH({"Auto Number"}, $B77))) &gt; 0, $B77, IF(SUMPRODUCT(-- ISNUMBER(SEARCH({"Lookup","Master-Detail"}, $B77))) &gt; 0,$B77 &amp; "(" &amp; $E77 &amp; ")",IF(SUMPRODUCT(-- ISNUMBER(SEARCH({"Formula","Roll-Up Summary"}, $B77))) &gt; 0,$B77 &amp; " (" &amp; $E77 &amp; ")",IF(SUMPRODUCT(-- ISNUMBER(SEARCH({"Content","Currency","Number","Percent","Text","URL"}, $B77))) &gt; 0,$B77 &amp; "(" &amp; $C77 &amp; ")",$B77)))), "  ", TRIM(IF($S77 = "YES", "(External ID)", "") &amp; " " &amp; IF(SUMPRODUCT(-- ISNUMBER(SEARCH({"Unique","Unique Case Insensitive"}, $R77))) &gt; 0, "(" &amp; $R77 &amp; ")", ""))))</f>
        <v>na</v>
      </c>
      <c r="E77" s="7" t="s">
        <v>195</v>
      </c>
      <c r="F77" s="7" t="s">
        <v>195</v>
      </c>
      <c r="G77" s="7" t="s">
        <v>195</v>
      </c>
      <c r="H77" s="7" t="s">
        <v>195</v>
      </c>
      <c r="I77" s="7" t="s">
        <v>195</v>
      </c>
      <c r="J77" s="7" t="s">
        <v>195</v>
      </c>
      <c r="K77" s="7" t="s">
        <v>195</v>
      </c>
      <c r="L77" s="7" t="s">
        <v>195</v>
      </c>
      <c r="M77" s="7" t="s">
        <v>29</v>
      </c>
      <c r="N77" s="7" t="s">
        <v>29</v>
      </c>
      <c r="O77" s="7" t="s">
        <v>29</v>
      </c>
      <c r="P77" s="7" t="s">
        <v>29</v>
      </c>
      <c r="Q77" s="7" t="s">
        <v>29</v>
      </c>
      <c r="R77" s="7" t="s">
        <v>29</v>
      </c>
      <c r="S77" s="7" t="s">
        <v>29</v>
      </c>
    </row>
    <row r="78" spans="2:19">
      <c r="B78" s="7" t="s">
        <v>195</v>
      </c>
      <c r="C78" s="8" t="s">
        <v>195</v>
      </c>
      <c r="D78" s="6" t="str">
        <f>LRTRIM(CONCATENATE(IF(SUMPRODUCT(-- ISNUMBER(SEARCH({"Auto Number"}, $B78))) &gt; 0, $B78, IF(SUMPRODUCT(-- ISNUMBER(SEARCH({"Lookup","Master-Detail"}, $B78))) &gt; 0,$B78 &amp; "(" &amp; $E78 &amp; ")",IF(SUMPRODUCT(-- ISNUMBER(SEARCH({"Formula","Roll-Up Summary"}, $B78))) &gt; 0,$B78 &amp; " (" &amp; $E78 &amp; ")",IF(SUMPRODUCT(-- ISNUMBER(SEARCH({"Content","Currency","Number","Percent","Text","URL"}, $B78))) &gt; 0,$B78 &amp; "(" &amp; $C78 &amp; ")",$B78)))), "  ", TRIM(IF($S78 = "YES", "(External ID)", "") &amp; " " &amp; IF(SUMPRODUCT(-- ISNUMBER(SEARCH({"Unique","Unique Case Insensitive"}, $R78))) &gt; 0, "(" &amp; $R78 &amp; ")", ""))))</f>
        <v>na</v>
      </c>
      <c r="E78" s="7" t="s">
        <v>195</v>
      </c>
      <c r="F78" s="7" t="s">
        <v>195</v>
      </c>
      <c r="G78" s="7" t="s">
        <v>195</v>
      </c>
      <c r="H78" s="7" t="s">
        <v>195</v>
      </c>
      <c r="I78" s="7" t="s">
        <v>195</v>
      </c>
      <c r="J78" s="7" t="s">
        <v>195</v>
      </c>
      <c r="K78" s="7" t="s">
        <v>195</v>
      </c>
      <c r="L78" s="7" t="s">
        <v>195</v>
      </c>
      <c r="M78" s="7" t="s">
        <v>29</v>
      </c>
      <c r="N78" s="7" t="s">
        <v>29</v>
      </c>
      <c r="O78" s="7" t="s">
        <v>29</v>
      </c>
      <c r="P78" s="7" t="s">
        <v>29</v>
      </c>
      <c r="Q78" s="7" t="s">
        <v>29</v>
      </c>
      <c r="R78" s="7" t="s">
        <v>29</v>
      </c>
      <c r="S78" s="7" t="s">
        <v>29</v>
      </c>
    </row>
    <row r="79" spans="2:19">
      <c r="B79" s="7" t="s">
        <v>195</v>
      </c>
      <c r="C79" s="8" t="s">
        <v>195</v>
      </c>
      <c r="D79" s="6" t="str">
        <f>LRTRIM(CONCATENATE(IF(SUMPRODUCT(-- ISNUMBER(SEARCH({"Auto Number"}, $B79))) &gt; 0, $B79, IF(SUMPRODUCT(-- ISNUMBER(SEARCH({"Lookup","Master-Detail"}, $B79))) &gt; 0,$B79 &amp; "(" &amp; $E79 &amp; ")",IF(SUMPRODUCT(-- ISNUMBER(SEARCH({"Formula","Roll-Up Summary"}, $B79))) &gt; 0,$B79 &amp; " (" &amp; $E79 &amp; ")",IF(SUMPRODUCT(-- ISNUMBER(SEARCH({"Content","Currency","Number","Percent","Text","URL"}, $B79))) &gt; 0,$B79 &amp; "(" &amp; $C79 &amp; ")",$B79)))), "  ", TRIM(IF($S79 = "YES", "(External ID)", "") &amp; " " &amp; IF(SUMPRODUCT(-- ISNUMBER(SEARCH({"Unique","Unique Case Insensitive"}, $R79))) &gt; 0, "(" &amp; $R79 &amp; ")", ""))))</f>
        <v>na</v>
      </c>
      <c r="E79" s="7" t="s">
        <v>195</v>
      </c>
      <c r="F79" s="7" t="s">
        <v>195</v>
      </c>
      <c r="G79" s="7" t="s">
        <v>195</v>
      </c>
      <c r="H79" s="7" t="s">
        <v>195</v>
      </c>
      <c r="I79" s="7" t="s">
        <v>195</v>
      </c>
      <c r="J79" s="7" t="s">
        <v>195</v>
      </c>
      <c r="K79" s="7" t="s">
        <v>195</v>
      </c>
      <c r="L79" s="7" t="s">
        <v>195</v>
      </c>
      <c r="M79" s="7" t="s">
        <v>29</v>
      </c>
      <c r="N79" s="7" t="s">
        <v>29</v>
      </c>
      <c r="O79" s="7" t="s">
        <v>29</v>
      </c>
      <c r="P79" s="7" t="s">
        <v>29</v>
      </c>
      <c r="Q79" s="7" t="s">
        <v>29</v>
      </c>
      <c r="R79" s="7" t="s">
        <v>29</v>
      </c>
      <c r="S79" s="7" t="s">
        <v>29</v>
      </c>
    </row>
    <row r="80" spans="2:19">
      <c r="B80" s="7" t="s">
        <v>195</v>
      </c>
      <c r="C80" s="8" t="s">
        <v>195</v>
      </c>
      <c r="D80" s="6" t="str">
        <f>LRTRIM(CONCATENATE(IF(SUMPRODUCT(-- ISNUMBER(SEARCH({"Auto Number"}, $B80))) &gt; 0, $B80, IF(SUMPRODUCT(-- ISNUMBER(SEARCH({"Lookup","Master-Detail"}, $B80))) &gt; 0,$B80 &amp; "(" &amp; $E80 &amp; ")",IF(SUMPRODUCT(-- ISNUMBER(SEARCH({"Formula","Roll-Up Summary"}, $B80))) &gt; 0,$B80 &amp; " (" &amp; $E80 &amp; ")",IF(SUMPRODUCT(-- ISNUMBER(SEARCH({"Content","Currency","Number","Percent","Text","URL"}, $B80))) &gt; 0,$B80 &amp; "(" &amp; $C80 &amp; ")",$B80)))), "  ", TRIM(IF($S80 = "YES", "(External ID)", "") &amp; " " &amp; IF(SUMPRODUCT(-- ISNUMBER(SEARCH({"Unique","Unique Case Insensitive"}, $R80))) &gt; 0, "(" &amp; $R80 &amp; ")", ""))))</f>
        <v>na</v>
      </c>
      <c r="E80" s="7" t="s">
        <v>195</v>
      </c>
      <c r="F80" s="7" t="s">
        <v>195</v>
      </c>
      <c r="G80" s="7" t="s">
        <v>195</v>
      </c>
      <c r="H80" s="7" t="s">
        <v>195</v>
      </c>
      <c r="I80" s="7" t="s">
        <v>195</v>
      </c>
      <c r="J80" s="7" t="s">
        <v>195</v>
      </c>
      <c r="K80" s="7" t="s">
        <v>195</v>
      </c>
      <c r="L80" s="7" t="s">
        <v>195</v>
      </c>
      <c r="M80" s="7" t="s">
        <v>29</v>
      </c>
      <c r="N80" s="7" t="s">
        <v>29</v>
      </c>
      <c r="O80" s="7" t="s">
        <v>29</v>
      </c>
      <c r="P80" s="7" t="s">
        <v>29</v>
      </c>
      <c r="Q80" s="7" t="s">
        <v>29</v>
      </c>
      <c r="R80" s="7" t="s">
        <v>29</v>
      </c>
      <c r="S80" s="7" t="s">
        <v>29</v>
      </c>
    </row>
    <row r="81" spans="2:19">
      <c r="B81" s="7" t="s">
        <v>195</v>
      </c>
      <c r="C81" s="8" t="s">
        <v>195</v>
      </c>
      <c r="D81" s="6" t="str">
        <f>LRTRIM(CONCATENATE(IF(SUMPRODUCT(-- ISNUMBER(SEARCH({"Auto Number"}, $B81))) &gt; 0, $B81, IF(SUMPRODUCT(-- ISNUMBER(SEARCH({"Lookup","Master-Detail"}, $B81))) &gt; 0,$B81 &amp; "(" &amp; $E81 &amp; ")",IF(SUMPRODUCT(-- ISNUMBER(SEARCH({"Formula","Roll-Up Summary"}, $B81))) &gt; 0,$B81 &amp; " (" &amp; $E81 &amp; ")",IF(SUMPRODUCT(-- ISNUMBER(SEARCH({"Content","Currency","Number","Percent","Text","URL"}, $B81))) &gt; 0,$B81 &amp; "(" &amp; $C81 &amp; ")",$B81)))), "  ", TRIM(IF($S81 = "YES", "(External ID)", "") &amp; " " &amp; IF(SUMPRODUCT(-- ISNUMBER(SEARCH({"Unique","Unique Case Insensitive"}, $R81))) &gt; 0, "(" &amp; $R81 &amp; ")", ""))))</f>
        <v>na</v>
      </c>
      <c r="E81" s="7" t="s">
        <v>195</v>
      </c>
      <c r="F81" s="7" t="s">
        <v>195</v>
      </c>
      <c r="G81" s="7" t="s">
        <v>195</v>
      </c>
      <c r="H81" s="7" t="s">
        <v>195</v>
      </c>
      <c r="I81" s="7" t="s">
        <v>195</v>
      </c>
      <c r="J81" s="7" t="s">
        <v>195</v>
      </c>
      <c r="K81" s="7" t="s">
        <v>195</v>
      </c>
      <c r="L81" s="7" t="s">
        <v>195</v>
      </c>
      <c r="M81" s="7" t="s">
        <v>29</v>
      </c>
      <c r="N81" s="7" t="s">
        <v>29</v>
      </c>
      <c r="O81" s="7" t="s">
        <v>29</v>
      </c>
      <c r="P81" s="7" t="s">
        <v>29</v>
      </c>
      <c r="Q81" s="7" t="s">
        <v>29</v>
      </c>
      <c r="R81" s="7" t="s">
        <v>29</v>
      </c>
      <c r="S81" s="7" t="s">
        <v>29</v>
      </c>
    </row>
    <row r="82" spans="2:19">
      <c r="B82" s="7" t="s">
        <v>195</v>
      </c>
      <c r="C82" s="8" t="s">
        <v>195</v>
      </c>
      <c r="D82" s="6" t="str">
        <f>LRTRIM(CONCATENATE(IF(SUMPRODUCT(-- ISNUMBER(SEARCH({"Auto Number"}, $B82))) &gt; 0, $B82, IF(SUMPRODUCT(-- ISNUMBER(SEARCH({"Lookup","Master-Detail"}, $B82))) &gt; 0,$B82 &amp; "(" &amp; $E82 &amp; ")",IF(SUMPRODUCT(-- ISNUMBER(SEARCH({"Formula","Roll-Up Summary"}, $B82))) &gt; 0,$B82 &amp; " (" &amp; $E82 &amp; ")",IF(SUMPRODUCT(-- ISNUMBER(SEARCH({"Content","Currency","Number","Percent","Text","URL"}, $B82))) &gt; 0,$B82 &amp; "(" &amp; $C82 &amp; ")",$B82)))), "  ", TRIM(IF($S82 = "YES", "(External ID)", "") &amp; " " &amp; IF(SUMPRODUCT(-- ISNUMBER(SEARCH({"Unique","Unique Case Insensitive"}, $R82))) &gt; 0, "(" &amp; $R82 &amp; ")", ""))))</f>
        <v>na</v>
      </c>
      <c r="E82" s="7" t="s">
        <v>195</v>
      </c>
      <c r="F82" s="7" t="s">
        <v>195</v>
      </c>
      <c r="G82" s="7" t="s">
        <v>195</v>
      </c>
      <c r="H82" s="7" t="s">
        <v>195</v>
      </c>
      <c r="I82" s="7" t="s">
        <v>195</v>
      </c>
      <c r="J82" s="7" t="s">
        <v>195</v>
      </c>
      <c r="K82" s="7" t="s">
        <v>195</v>
      </c>
      <c r="L82" s="7" t="s">
        <v>195</v>
      </c>
      <c r="M82" s="7" t="s">
        <v>29</v>
      </c>
      <c r="N82" s="7" t="s">
        <v>29</v>
      </c>
      <c r="O82" s="7" t="s">
        <v>29</v>
      </c>
      <c r="P82" s="7" t="s">
        <v>29</v>
      </c>
      <c r="Q82" s="7" t="s">
        <v>29</v>
      </c>
      <c r="R82" s="7" t="s">
        <v>29</v>
      </c>
      <c r="S82" s="7" t="s">
        <v>29</v>
      </c>
    </row>
    <row r="83" spans="2:19">
      <c r="B83" s="7" t="s">
        <v>195</v>
      </c>
      <c r="C83" s="8" t="s">
        <v>195</v>
      </c>
      <c r="D83" s="6" t="str">
        <f>LRTRIM(CONCATENATE(IF(SUMPRODUCT(-- ISNUMBER(SEARCH({"Auto Number"}, $B83))) &gt; 0, $B83, IF(SUMPRODUCT(-- ISNUMBER(SEARCH({"Lookup","Master-Detail"}, $B83))) &gt; 0,$B83 &amp; "(" &amp; $E83 &amp; ")",IF(SUMPRODUCT(-- ISNUMBER(SEARCH({"Formula","Roll-Up Summary"}, $B83))) &gt; 0,$B83 &amp; " (" &amp; $E83 &amp; ")",IF(SUMPRODUCT(-- ISNUMBER(SEARCH({"Content","Currency","Number","Percent","Text","URL"}, $B83))) &gt; 0,$B83 &amp; "(" &amp; $C83 &amp; ")",$B83)))), "  ", TRIM(IF($S83 = "YES", "(External ID)", "") &amp; " " &amp; IF(SUMPRODUCT(-- ISNUMBER(SEARCH({"Unique","Unique Case Insensitive"}, $R83))) &gt; 0, "(" &amp; $R83 &amp; ")", ""))))</f>
        <v>na</v>
      </c>
      <c r="E83" s="7" t="s">
        <v>195</v>
      </c>
      <c r="F83" s="7" t="s">
        <v>195</v>
      </c>
      <c r="G83" s="7" t="s">
        <v>195</v>
      </c>
      <c r="H83" s="7" t="s">
        <v>195</v>
      </c>
      <c r="I83" s="7" t="s">
        <v>195</v>
      </c>
      <c r="J83" s="7" t="s">
        <v>195</v>
      </c>
      <c r="K83" s="7" t="s">
        <v>195</v>
      </c>
      <c r="L83" s="7" t="s">
        <v>195</v>
      </c>
      <c r="M83" s="7" t="s">
        <v>29</v>
      </c>
      <c r="N83" s="7" t="s">
        <v>29</v>
      </c>
      <c r="O83" s="7" t="s">
        <v>29</v>
      </c>
      <c r="P83" s="7" t="s">
        <v>29</v>
      </c>
      <c r="Q83" s="7" t="s">
        <v>29</v>
      </c>
      <c r="R83" s="7" t="s">
        <v>29</v>
      </c>
      <c r="S83" s="7" t="s">
        <v>29</v>
      </c>
    </row>
    <row r="84" spans="2:19">
      <c r="B84" s="7" t="s">
        <v>195</v>
      </c>
      <c r="C84" s="8" t="s">
        <v>195</v>
      </c>
      <c r="D84" s="6" t="str">
        <f>LRTRIM(CONCATENATE(IF(SUMPRODUCT(-- ISNUMBER(SEARCH({"Auto Number"}, $B84))) &gt; 0, $B84, IF(SUMPRODUCT(-- ISNUMBER(SEARCH({"Lookup","Master-Detail"}, $B84))) &gt; 0,$B84 &amp; "(" &amp; $E84 &amp; ")",IF(SUMPRODUCT(-- ISNUMBER(SEARCH({"Formula","Roll-Up Summary"}, $B84))) &gt; 0,$B84 &amp; " (" &amp; $E84 &amp; ")",IF(SUMPRODUCT(-- ISNUMBER(SEARCH({"Content","Currency","Number","Percent","Text","URL"}, $B84))) &gt; 0,$B84 &amp; "(" &amp; $C84 &amp; ")",$B84)))), "  ", TRIM(IF($S84 = "YES", "(External ID)", "") &amp; " " &amp; IF(SUMPRODUCT(-- ISNUMBER(SEARCH({"Unique","Unique Case Insensitive"}, $R84))) &gt; 0, "(" &amp; $R84 &amp; ")", ""))))</f>
        <v>na</v>
      </c>
      <c r="E84" s="7" t="s">
        <v>195</v>
      </c>
      <c r="F84" s="7" t="s">
        <v>195</v>
      </c>
      <c r="G84" s="7" t="s">
        <v>195</v>
      </c>
      <c r="H84" s="7" t="s">
        <v>195</v>
      </c>
      <c r="I84" s="7" t="s">
        <v>195</v>
      </c>
      <c r="J84" s="7" t="s">
        <v>195</v>
      </c>
      <c r="K84" s="7" t="s">
        <v>195</v>
      </c>
      <c r="L84" s="7" t="s">
        <v>195</v>
      </c>
      <c r="M84" s="7" t="s">
        <v>29</v>
      </c>
      <c r="N84" s="7" t="s">
        <v>29</v>
      </c>
      <c r="O84" s="7" t="s">
        <v>29</v>
      </c>
      <c r="P84" s="7" t="s">
        <v>29</v>
      </c>
      <c r="Q84" s="7" t="s">
        <v>29</v>
      </c>
      <c r="R84" s="7" t="s">
        <v>29</v>
      </c>
      <c r="S84" s="7" t="s">
        <v>29</v>
      </c>
    </row>
    <row r="85" spans="2:19">
      <c r="B85" s="7" t="s">
        <v>195</v>
      </c>
      <c r="C85" s="8" t="s">
        <v>195</v>
      </c>
      <c r="D85" s="6" t="str">
        <f>LRTRIM(CONCATENATE(IF(SUMPRODUCT(-- ISNUMBER(SEARCH({"Auto Number"}, $B85))) &gt; 0, $B85, IF(SUMPRODUCT(-- ISNUMBER(SEARCH({"Lookup","Master-Detail"}, $B85))) &gt; 0,$B85 &amp; "(" &amp; $E85 &amp; ")",IF(SUMPRODUCT(-- ISNUMBER(SEARCH({"Formula","Roll-Up Summary"}, $B85))) &gt; 0,$B85 &amp; " (" &amp; $E85 &amp; ")",IF(SUMPRODUCT(-- ISNUMBER(SEARCH({"Content","Currency","Number","Percent","Text","URL"}, $B85))) &gt; 0,$B85 &amp; "(" &amp; $C85 &amp; ")",$B85)))), "  ", TRIM(IF($S85 = "YES", "(External ID)", "") &amp; " " &amp; IF(SUMPRODUCT(-- ISNUMBER(SEARCH({"Unique","Unique Case Insensitive"}, $R85))) &gt; 0, "(" &amp; $R85 &amp; ")", ""))))</f>
        <v>na</v>
      </c>
      <c r="E85" s="7" t="s">
        <v>195</v>
      </c>
      <c r="F85" s="7" t="s">
        <v>195</v>
      </c>
      <c r="G85" s="7" t="s">
        <v>195</v>
      </c>
      <c r="H85" s="7" t="s">
        <v>195</v>
      </c>
      <c r="I85" s="7" t="s">
        <v>195</v>
      </c>
      <c r="J85" s="7" t="s">
        <v>195</v>
      </c>
      <c r="K85" s="7" t="s">
        <v>195</v>
      </c>
      <c r="L85" s="7" t="s">
        <v>195</v>
      </c>
      <c r="M85" s="7" t="s">
        <v>29</v>
      </c>
      <c r="N85" s="7" t="s">
        <v>29</v>
      </c>
      <c r="O85" s="7" t="s">
        <v>29</v>
      </c>
      <c r="P85" s="7" t="s">
        <v>29</v>
      </c>
      <c r="Q85" s="7" t="s">
        <v>29</v>
      </c>
      <c r="R85" s="7" t="s">
        <v>29</v>
      </c>
      <c r="S85" s="7" t="s">
        <v>29</v>
      </c>
    </row>
    <row r="86" spans="2:19">
      <c r="B86" s="7" t="s">
        <v>195</v>
      </c>
      <c r="C86" s="8" t="s">
        <v>195</v>
      </c>
      <c r="D86" s="6" t="str">
        <f>LRTRIM(CONCATENATE(IF(SUMPRODUCT(-- ISNUMBER(SEARCH({"Auto Number"}, $B86))) &gt; 0, $B86, IF(SUMPRODUCT(-- ISNUMBER(SEARCH({"Lookup","Master-Detail"}, $B86))) &gt; 0,$B86 &amp; "(" &amp; $E86 &amp; ")",IF(SUMPRODUCT(-- ISNUMBER(SEARCH({"Formula","Roll-Up Summary"}, $B86))) &gt; 0,$B86 &amp; " (" &amp; $E86 &amp; ")",IF(SUMPRODUCT(-- ISNUMBER(SEARCH({"Content","Currency","Number","Percent","Text","URL"}, $B86))) &gt; 0,$B86 &amp; "(" &amp; $C86 &amp; ")",$B86)))), "  ", TRIM(IF($S86 = "YES", "(External ID)", "") &amp; " " &amp; IF(SUMPRODUCT(-- ISNUMBER(SEARCH({"Unique","Unique Case Insensitive"}, $R86))) &gt; 0, "(" &amp; $R86 &amp; ")", ""))))</f>
        <v>na</v>
      </c>
      <c r="E86" s="7" t="s">
        <v>195</v>
      </c>
      <c r="F86" s="7" t="s">
        <v>195</v>
      </c>
      <c r="G86" s="7" t="s">
        <v>195</v>
      </c>
      <c r="H86" s="7" t="s">
        <v>195</v>
      </c>
      <c r="I86" s="7" t="s">
        <v>195</v>
      </c>
      <c r="J86" s="7" t="s">
        <v>195</v>
      </c>
      <c r="K86" s="7" t="s">
        <v>195</v>
      </c>
      <c r="L86" s="7" t="s">
        <v>195</v>
      </c>
      <c r="M86" s="7" t="s">
        <v>29</v>
      </c>
      <c r="N86" s="7" t="s">
        <v>29</v>
      </c>
      <c r="O86" s="7" t="s">
        <v>29</v>
      </c>
      <c r="P86" s="7" t="s">
        <v>29</v>
      </c>
      <c r="Q86" s="7" t="s">
        <v>29</v>
      </c>
      <c r="R86" s="7" t="s">
        <v>29</v>
      </c>
      <c r="S86" s="7" t="s">
        <v>29</v>
      </c>
    </row>
    <row r="87" spans="2:19">
      <c r="B87" s="7" t="s">
        <v>195</v>
      </c>
      <c r="C87" s="8" t="s">
        <v>195</v>
      </c>
      <c r="D87" s="6" t="str">
        <f>LRTRIM(CONCATENATE(IF(SUMPRODUCT(-- ISNUMBER(SEARCH({"Auto Number"}, $B87))) &gt; 0, $B87, IF(SUMPRODUCT(-- ISNUMBER(SEARCH({"Lookup","Master-Detail"}, $B87))) &gt; 0,$B87 &amp; "(" &amp; $E87 &amp; ")",IF(SUMPRODUCT(-- ISNUMBER(SEARCH({"Formula","Roll-Up Summary"}, $B87))) &gt; 0,$B87 &amp; " (" &amp; $E87 &amp; ")",IF(SUMPRODUCT(-- ISNUMBER(SEARCH({"Content","Currency","Number","Percent","Text","URL"}, $B87))) &gt; 0,$B87 &amp; "(" &amp; $C87 &amp; ")",$B87)))), "  ", TRIM(IF($S87 = "YES", "(External ID)", "") &amp; " " &amp; IF(SUMPRODUCT(-- ISNUMBER(SEARCH({"Unique","Unique Case Insensitive"}, $R87))) &gt; 0, "(" &amp; $R87 &amp; ")", ""))))</f>
        <v>na</v>
      </c>
      <c r="E87" s="7" t="s">
        <v>195</v>
      </c>
      <c r="F87" s="7" t="s">
        <v>195</v>
      </c>
      <c r="G87" s="7" t="s">
        <v>195</v>
      </c>
      <c r="H87" s="7" t="s">
        <v>195</v>
      </c>
      <c r="I87" s="7" t="s">
        <v>195</v>
      </c>
      <c r="J87" s="7" t="s">
        <v>195</v>
      </c>
      <c r="K87" s="7" t="s">
        <v>195</v>
      </c>
      <c r="L87" s="7" t="s">
        <v>195</v>
      </c>
      <c r="M87" s="7" t="s">
        <v>29</v>
      </c>
      <c r="N87" s="7" t="s">
        <v>29</v>
      </c>
      <c r="O87" s="7" t="s">
        <v>29</v>
      </c>
      <c r="P87" s="7" t="s">
        <v>29</v>
      </c>
      <c r="Q87" s="7" t="s">
        <v>29</v>
      </c>
      <c r="R87" s="7" t="s">
        <v>29</v>
      </c>
      <c r="S87" s="7" t="s">
        <v>29</v>
      </c>
    </row>
    <row r="88" spans="2:19">
      <c r="B88" s="7" t="s">
        <v>195</v>
      </c>
      <c r="C88" s="8" t="s">
        <v>195</v>
      </c>
      <c r="D88" s="6" t="str">
        <f>LRTRIM(CONCATENATE(IF(SUMPRODUCT(-- ISNUMBER(SEARCH({"Auto Number"}, $B88))) &gt; 0, $B88, IF(SUMPRODUCT(-- ISNUMBER(SEARCH({"Lookup","Master-Detail"}, $B88))) &gt; 0,$B88 &amp; "(" &amp; $E88 &amp; ")",IF(SUMPRODUCT(-- ISNUMBER(SEARCH({"Formula","Roll-Up Summary"}, $B88))) &gt; 0,$B88 &amp; " (" &amp; $E88 &amp; ")",IF(SUMPRODUCT(-- ISNUMBER(SEARCH({"Content","Currency","Number","Percent","Text","URL"}, $B88))) &gt; 0,$B88 &amp; "(" &amp; $C88 &amp; ")",$B88)))), "  ", TRIM(IF($S88 = "YES", "(External ID)", "") &amp; " " &amp; IF(SUMPRODUCT(-- ISNUMBER(SEARCH({"Unique","Unique Case Insensitive"}, $R88))) &gt; 0, "(" &amp; $R88 &amp; ")", ""))))</f>
        <v>na</v>
      </c>
      <c r="E88" s="7" t="s">
        <v>195</v>
      </c>
      <c r="F88" s="7" t="s">
        <v>195</v>
      </c>
      <c r="G88" s="7" t="s">
        <v>195</v>
      </c>
      <c r="H88" s="7" t="s">
        <v>195</v>
      </c>
      <c r="I88" s="7" t="s">
        <v>195</v>
      </c>
      <c r="J88" s="7" t="s">
        <v>195</v>
      </c>
      <c r="K88" s="7" t="s">
        <v>195</v>
      </c>
      <c r="L88" s="7" t="s">
        <v>195</v>
      </c>
      <c r="M88" s="7" t="s">
        <v>29</v>
      </c>
      <c r="N88" s="7" t="s">
        <v>29</v>
      </c>
      <c r="O88" s="7" t="s">
        <v>29</v>
      </c>
      <c r="P88" s="7" t="s">
        <v>29</v>
      </c>
      <c r="Q88" s="7" t="s">
        <v>29</v>
      </c>
      <c r="R88" s="7" t="s">
        <v>29</v>
      </c>
      <c r="S88" s="7" t="s">
        <v>29</v>
      </c>
    </row>
    <row r="89" spans="2:19">
      <c r="B89" s="7" t="s">
        <v>195</v>
      </c>
      <c r="C89" s="8" t="s">
        <v>195</v>
      </c>
      <c r="D89" s="6" t="str">
        <f>LRTRIM(CONCATENATE(IF(SUMPRODUCT(-- ISNUMBER(SEARCH({"Auto Number"}, $B89))) &gt; 0, $B89, IF(SUMPRODUCT(-- ISNUMBER(SEARCH({"Lookup","Master-Detail"}, $B89))) &gt; 0,$B89 &amp; "(" &amp; $E89 &amp; ")",IF(SUMPRODUCT(-- ISNUMBER(SEARCH({"Formula","Roll-Up Summary"}, $B89))) &gt; 0,$B89 &amp; " (" &amp; $E89 &amp; ")",IF(SUMPRODUCT(-- ISNUMBER(SEARCH({"Content","Currency","Number","Percent","Text","URL"}, $B89))) &gt; 0,$B89 &amp; "(" &amp; $C89 &amp; ")",$B89)))), "  ", TRIM(IF($S89 = "YES", "(External ID)", "") &amp; " " &amp; IF(SUMPRODUCT(-- ISNUMBER(SEARCH({"Unique","Unique Case Insensitive"}, $R89))) &gt; 0, "(" &amp; $R89 &amp; ")", ""))))</f>
        <v>na</v>
      </c>
      <c r="E89" s="7" t="s">
        <v>195</v>
      </c>
      <c r="F89" s="7" t="s">
        <v>195</v>
      </c>
      <c r="G89" s="7" t="s">
        <v>195</v>
      </c>
      <c r="H89" s="7" t="s">
        <v>195</v>
      </c>
      <c r="I89" s="7" t="s">
        <v>195</v>
      </c>
      <c r="J89" s="7" t="s">
        <v>195</v>
      </c>
      <c r="K89" s="7" t="s">
        <v>195</v>
      </c>
      <c r="L89" s="7" t="s">
        <v>195</v>
      </c>
      <c r="M89" s="7" t="s">
        <v>29</v>
      </c>
      <c r="N89" s="7" t="s">
        <v>29</v>
      </c>
      <c r="O89" s="7" t="s">
        <v>29</v>
      </c>
      <c r="P89" s="7" t="s">
        <v>29</v>
      </c>
      <c r="Q89" s="7" t="s">
        <v>29</v>
      </c>
      <c r="R89" s="7" t="s">
        <v>29</v>
      </c>
      <c r="S89" s="7" t="s">
        <v>29</v>
      </c>
    </row>
    <row r="90" spans="2:19">
      <c r="B90" s="7" t="s">
        <v>195</v>
      </c>
      <c r="C90" s="8" t="s">
        <v>195</v>
      </c>
      <c r="D90" s="6" t="str">
        <f>LRTRIM(CONCATENATE(IF(SUMPRODUCT(-- ISNUMBER(SEARCH({"Auto Number"}, $B90))) &gt; 0, $B90, IF(SUMPRODUCT(-- ISNUMBER(SEARCH({"Lookup","Master-Detail"}, $B90))) &gt; 0,$B90 &amp; "(" &amp; $E90 &amp; ")",IF(SUMPRODUCT(-- ISNUMBER(SEARCH({"Formula","Roll-Up Summary"}, $B90))) &gt; 0,$B90 &amp; " (" &amp; $E90 &amp; ")",IF(SUMPRODUCT(-- ISNUMBER(SEARCH({"Content","Currency","Number","Percent","Text","URL"}, $B90))) &gt; 0,$B90 &amp; "(" &amp; $C90 &amp; ")",$B90)))), "  ", TRIM(IF($S90 = "YES", "(External ID)", "") &amp; " " &amp; IF(SUMPRODUCT(-- ISNUMBER(SEARCH({"Unique","Unique Case Insensitive"}, $R90))) &gt; 0, "(" &amp; $R90 &amp; ")", ""))))</f>
        <v>na</v>
      </c>
      <c r="E90" s="7" t="s">
        <v>195</v>
      </c>
      <c r="F90" s="7" t="s">
        <v>195</v>
      </c>
      <c r="G90" s="7" t="s">
        <v>195</v>
      </c>
      <c r="H90" s="7" t="s">
        <v>195</v>
      </c>
      <c r="I90" s="7" t="s">
        <v>195</v>
      </c>
      <c r="J90" s="7" t="s">
        <v>195</v>
      </c>
      <c r="K90" s="7" t="s">
        <v>195</v>
      </c>
      <c r="L90" s="7" t="s">
        <v>195</v>
      </c>
      <c r="M90" s="7" t="s">
        <v>29</v>
      </c>
      <c r="N90" s="7" t="s">
        <v>29</v>
      </c>
      <c r="O90" s="7" t="s">
        <v>29</v>
      </c>
      <c r="P90" s="7" t="s">
        <v>29</v>
      </c>
      <c r="Q90" s="7" t="s">
        <v>29</v>
      </c>
      <c r="R90" s="7" t="s">
        <v>29</v>
      </c>
      <c r="S90" s="7" t="s">
        <v>29</v>
      </c>
    </row>
    <row r="91" spans="2:19">
      <c r="B91" s="7" t="s">
        <v>195</v>
      </c>
      <c r="C91" s="8" t="s">
        <v>195</v>
      </c>
      <c r="D91" s="6" t="str">
        <f>LRTRIM(CONCATENATE(IF(SUMPRODUCT(-- ISNUMBER(SEARCH({"Auto Number"}, $B91))) &gt; 0, $B91, IF(SUMPRODUCT(-- ISNUMBER(SEARCH({"Lookup","Master-Detail"}, $B91))) &gt; 0,$B91 &amp; "(" &amp; $E91 &amp; ")",IF(SUMPRODUCT(-- ISNUMBER(SEARCH({"Formula","Roll-Up Summary"}, $B91))) &gt; 0,$B91 &amp; " (" &amp; $E91 &amp; ")",IF(SUMPRODUCT(-- ISNUMBER(SEARCH({"Content","Currency","Number","Percent","Text","URL"}, $B91))) &gt; 0,$B91 &amp; "(" &amp; $C91 &amp; ")",$B91)))), "  ", TRIM(IF($S91 = "YES", "(External ID)", "") &amp; " " &amp; IF(SUMPRODUCT(-- ISNUMBER(SEARCH({"Unique","Unique Case Insensitive"}, $R91))) &gt; 0, "(" &amp; $R91 &amp; ")", ""))))</f>
        <v>na</v>
      </c>
      <c r="E91" s="7" t="s">
        <v>195</v>
      </c>
      <c r="F91" s="7" t="s">
        <v>195</v>
      </c>
      <c r="G91" s="7" t="s">
        <v>195</v>
      </c>
      <c r="H91" s="7" t="s">
        <v>195</v>
      </c>
      <c r="I91" s="7" t="s">
        <v>195</v>
      </c>
      <c r="J91" s="7" t="s">
        <v>195</v>
      </c>
      <c r="K91" s="7" t="s">
        <v>195</v>
      </c>
      <c r="L91" s="7" t="s">
        <v>195</v>
      </c>
      <c r="M91" s="7" t="s">
        <v>29</v>
      </c>
      <c r="N91" s="7" t="s">
        <v>29</v>
      </c>
      <c r="O91" s="7" t="s">
        <v>29</v>
      </c>
      <c r="P91" s="7" t="s">
        <v>29</v>
      </c>
      <c r="Q91" s="7" t="s">
        <v>29</v>
      </c>
      <c r="R91" s="7" t="s">
        <v>29</v>
      </c>
      <c r="S91" s="7" t="s">
        <v>29</v>
      </c>
    </row>
    <row r="92" spans="2:19">
      <c r="B92" s="7" t="s">
        <v>195</v>
      </c>
      <c r="C92" s="8" t="s">
        <v>195</v>
      </c>
      <c r="D92" s="6" t="str">
        <f>LRTRIM(CONCATENATE(IF(SUMPRODUCT(-- ISNUMBER(SEARCH({"Auto Number"}, $B92))) &gt; 0, $B92, IF(SUMPRODUCT(-- ISNUMBER(SEARCH({"Lookup","Master-Detail"}, $B92))) &gt; 0,$B92 &amp; "(" &amp; $E92 &amp; ")",IF(SUMPRODUCT(-- ISNUMBER(SEARCH({"Formula","Roll-Up Summary"}, $B92))) &gt; 0,$B92 &amp; " (" &amp; $E92 &amp; ")",IF(SUMPRODUCT(-- ISNUMBER(SEARCH({"Content","Currency","Number","Percent","Text","URL"}, $B92))) &gt; 0,$B92 &amp; "(" &amp; $C92 &amp; ")",$B92)))), "  ", TRIM(IF($S92 = "YES", "(External ID)", "") &amp; " " &amp; IF(SUMPRODUCT(-- ISNUMBER(SEARCH({"Unique","Unique Case Insensitive"}, $R92))) &gt; 0, "(" &amp; $R92 &amp; ")", ""))))</f>
        <v>na</v>
      </c>
      <c r="E92" s="7" t="s">
        <v>195</v>
      </c>
      <c r="F92" s="7" t="s">
        <v>195</v>
      </c>
      <c r="G92" s="7" t="s">
        <v>195</v>
      </c>
      <c r="H92" s="7" t="s">
        <v>195</v>
      </c>
      <c r="I92" s="7" t="s">
        <v>195</v>
      </c>
      <c r="J92" s="7" t="s">
        <v>195</v>
      </c>
      <c r="K92" s="7" t="s">
        <v>195</v>
      </c>
      <c r="L92" s="7" t="s">
        <v>195</v>
      </c>
      <c r="M92" s="7" t="s">
        <v>29</v>
      </c>
      <c r="N92" s="7" t="s">
        <v>29</v>
      </c>
      <c r="O92" s="7" t="s">
        <v>29</v>
      </c>
      <c r="P92" s="7" t="s">
        <v>29</v>
      </c>
      <c r="Q92" s="7" t="s">
        <v>29</v>
      </c>
      <c r="R92" s="7" t="s">
        <v>29</v>
      </c>
      <c r="S92" s="7" t="s">
        <v>29</v>
      </c>
    </row>
    <row r="93" spans="2:19">
      <c r="B93" s="7" t="s">
        <v>195</v>
      </c>
      <c r="C93" s="8" t="s">
        <v>195</v>
      </c>
      <c r="D93" s="6" t="str">
        <f>LRTRIM(CONCATENATE(IF(SUMPRODUCT(-- ISNUMBER(SEARCH({"Auto Number"}, $B93))) &gt; 0, $B93, IF(SUMPRODUCT(-- ISNUMBER(SEARCH({"Lookup","Master-Detail"}, $B93))) &gt; 0,$B93 &amp; "(" &amp; $E93 &amp; ")",IF(SUMPRODUCT(-- ISNUMBER(SEARCH({"Formula","Roll-Up Summary"}, $B93))) &gt; 0,$B93 &amp; " (" &amp; $E93 &amp; ")",IF(SUMPRODUCT(-- ISNUMBER(SEARCH({"Content","Currency","Number","Percent","Text","URL"}, $B93))) &gt; 0,$B93 &amp; "(" &amp; $C93 &amp; ")",$B93)))), "  ", TRIM(IF($S93 = "YES", "(External ID)", "") &amp; " " &amp; IF(SUMPRODUCT(-- ISNUMBER(SEARCH({"Unique","Unique Case Insensitive"}, $R93))) &gt; 0, "(" &amp; $R93 &amp; ")", ""))))</f>
        <v>na</v>
      </c>
      <c r="E93" s="7" t="s">
        <v>195</v>
      </c>
      <c r="F93" s="7" t="s">
        <v>195</v>
      </c>
      <c r="G93" s="7" t="s">
        <v>195</v>
      </c>
      <c r="H93" s="7" t="s">
        <v>195</v>
      </c>
      <c r="I93" s="7" t="s">
        <v>195</v>
      </c>
      <c r="J93" s="7" t="s">
        <v>195</v>
      </c>
      <c r="K93" s="7" t="s">
        <v>195</v>
      </c>
      <c r="L93" s="7" t="s">
        <v>195</v>
      </c>
      <c r="M93" s="7" t="s">
        <v>29</v>
      </c>
      <c r="N93" s="7" t="s">
        <v>29</v>
      </c>
      <c r="O93" s="7" t="s">
        <v>29</v>
      </c>
      <c r="P93" s="7" t="s">
        <v>29</v>
      </c>
      <c r="Q93" s="7" t="s">
        <v>29</v>
      </c>
      <c r="R93" s="7" t="s">
        <v>29</v>
      </c>
      <c r="S93" s="7" t="s">
        <v>29</v>
      </c>
    </row>
    <row r="94" spans="2:19">
      <c r="B94" s="7" t="s">
        <v>195</v>
      </c>
      <c r="C94" s="8" t="s">
        <v>195</v>
      </c>
      <c r="D94" s="6" t="str">
        <f>LRTRIM(CONCATENATE(IF(SUMPRODUCT(-- ISNUMBER(SEARCH({"Auto Number"}, $B94))) &gt; 0, $B94, IF(SUMPRODUCT(-- ISNUMBER(SEARCH({"Lookup","Master-Detail"}, $B94))) &gt; 0,$B94 &amp; "(" &amp; $E94 &amp; ")",IF(SUMPRODUCT(-- ISNUMBER(SEARCH({"Formula","Roll-Up Summary"}, $B94))) &gt; 0,$B94 &amp; " (" &amp; $E94 &amp; ")",IF(SUMPRODUCT(-- ISNUMBER(SEARCH({"Content","Currency","Number","Percent","Text","URL"}, $B94))) &gt; 0,$B94 &amp; "(" &amp; $C94 &amp; ")",$B94)))), "  ", TRIM(IF($S94 = "YES", "(External ID)", "") &amp; " " &amp; IF(SUMPRODUCT(-- ISNUMBER(SEARCH({"Unique","Unique Case Insensitive"}, $R94))) &gt; 0, "(" &amp; $R94 &amp; ")", ""))))</f>
        <v>na</v>
      </c>
      <c r="E94" s="7" t="s">
        <v>195</v>
      </c>
      <c r="F94" s="7" t="s">
        <v>195</v>
      </c>
      <c r="G94" s="7" t="s">
        <v>195</v>
      </c>
      <c r="H94" s="7" t="s">
        <v>195</v>
      </c>
      <c r="I94" s="7" t="s">
        <v>195</v>
      </c>
      <c r="J94" s="7" t="s">
        <v>195</v>
      </c>
      <c r="K94" s="7" t="s">
        <v>195</v>
      </c>
      <c r="L94" s="7" t="s">
        <v>195</v>
      </c>
      <c r="M94" s="7" t="s">
        <v>29</v>
      </c>
      <c r="N94" s="7" t="s">
        <v>29</v>
      </c>
      <c r="O94" s="7" t="s">
        <v>29</v>
      </c>
      <c r="P94" s="7" t="s">
        <v>29</v>
      </c>
      <c r="Q94" s="7" t="s">
        <v>29</v>
      </c>
      <c r="R94" s="7" t="s">
        <v>29</v>
      </c>
      <c r="S94" s="7" t="s">
        <v>29</v>
      </c>
    </row>
    <row r="95" spans="2:19">
      <c r="B95" s="7" t="s">
        <v>195</v>
      </c>
      <c r="C95" s="8" t="s">
        <v>195</v>
      </c>
      <c r="D95" s="6" t="str">
        <f>LRTRIM(CONCATENATE(IF(SUMPRODUCT(-- ISNUMBER(SEARCH({"Auto Number"}, $B95))) &gt; 0, $B95, IF(SUMPRODUCT(-- ISNUMBER(SEARCH({"Lookup","Master-Detail"}, $B95))) &gt; 0,$B95 &amp; "(" &amp; $E95 &amp; ")",IF(SUMPRODUCT(-- ISNUMBER(SEARCH({"Formula","Roll-Up Summary"}, $B95))) &gt; 0,$B95 &amp; " (" &amp; $E95 &amp; ")",IF(SUMPRODUCT(-- ISNUMBER(SEARCH({"Content","Currency","Number","Percent","Text","URL"}, $B95))) &gt; 0,$B95 &amp; "(" &amp; $C95 &amp; ")",$B95)))), "  ", TRIM(IF($S95 = "YES", "(External ID)", "") &amp; " " &amp; IF(SUMPRODUCT(-- ISNUMBER(SEARCH({"Unique","Unique Case Insensitive"}, $R95))) &gt; 0, "(" &amp; $R95 &amp; ")", ""))))</f>
        <v>na</v>
      </c>
      <c r="E95" s="7" t="s">
        <v>195</v>
      </c>
      <c r="F95" s="7" t="s">
        <v>195</v>
      </c>
      <c r="G95" s="7" t="s">
        <v>195</v>
      </c>
      <c r="H95" s="7" t="s">
        <v>195</v>
      </c>
      <c r="I95" s="7" t="s">
        <v>195</v>
      </c>
      <c r="J95" s="7" t="s">
        <v>195</v>
      </c>
      <c r="K95" s="7" t="s">
        <v>195</v>
      </c>
      <c r="L95" s="7" t="s">
        <v>195</v>
      </c>
      <c r="M95" s="7" t="s">
        <v>29</v>
      </c>
      <c r="N95" s="7" t="s">
        <v>29</v>
      </c>
      <c r="O95" s="7" t="s">
        <v>29</v>
      </c>
      <c r="P95" s="7" t="s">
        <v>29</v>
      </c>
      <c r="Q95" s="7" t="s">
        <v>29</v>
      </c>
      <c r="R95" s="7" t="s">
        <v>29</v>
      </c>
      <c r="S95" s="7" t="s">
        <v>29</v>
      </c>
    </row>
    <row r="96" spans="2:19">
      <c r="B96" s="7" t="s">
        <v>195</v>
      </c>
      <c r="C96" s="8" t="s">
        <v>195</v>
      </c>
      <c r="D96" s="6" t="str">
        <f>LRTRIM(CONCATENATE(IF(SUMPRODUCT(-- ISNUMBER(SEARCH({"Auto Number"}, $B96))) &gt; 0, $B96, IF(SUMPRODUCT(-- ISNUMBER(SEARCH({"Lookup","Master-Detail"}, $B96))) &gt; 0,$B96 &amp; "(" &amp; $E96 &amp; ")",IF(SUMPRODUCT(-- ISNUMBER(SEARCH({"Formula","Roll-Up Summary"}, $B96))) &gt; 0,$B96 &amp; " (" &amp; $E96 &amp; ")",IF(SUMPRODUCT(-- ISNUMBER(SEARCH({"Content","Currency","Number","Percent","Text","URL"}, $B96))) &gt; 0,$B96 &amp; "(" &amp; $C96 &amp; ")",$B96)))), "  ", TRIM(IF($S96 = "YES", "(External ID)", "") &amp; " " &amp; IF(SUMPRODUCT(-- ISNUMBER(SEARCH({"Unique","Unique Case Insensitive"}, $R96))) &gt; 0, "(" &amp; $R96 &amp; ")", ""))))</f>
        <v>na</v>
      </c>
      <c r="E96" s="7" t="s">
        <v>195</v>
      </c>
      <c r="F96" s="7" t="s">
        <v>195</v>
      </c>
      <c r="G96" s="7" t="s">
        <v>195</v>
      </c>
      <c r="H96" s="7" t="s">
        <v>195</v>
      </c>
      <c r="I96" s="7" t="s">
        <v>195</v>
      </c>
      <c r="J96" s="7" t="s">
        <v>195</v>
      </c>
      <c r="K96" s="7" t="s">
        <v>195</v>
      </c>
      <c r="L96" s="7" t="s">
        <v>195</v>
      </c>
      <c r="M96" s="7" t="s">
        <v>29</v>
      </c>
      <c r="N96" s="7" t="s">
        <v>29</v>
      </c>
      <c r="O96" s="7" t="s">
        <v>29</v>
      </c>
      <c r="P96" s="7" t="s">
        <v>29</v>
      </c>
      <c r="Q96" s="7" t="s">
        <v>29</v>
      </c>
      <c r="R96" s="7" t="s">
        <v>29</v>
      </c>
      <c r="S96" s="7" t="s">
        <v>29</v>
      </c>
    </row>
    <row r="97" spans="2:19">
      <c r="B97" s="7" t="s">
        <v>195</v>
      </c>
      <c r="C97" s="8" t="s">
        <v>195</v>
      </c>
      <c r="D97" s="6" t="str">
        <f>LRTRIM(CONCATENATE(IF(SUMPRODUCT(-- ISNUMBER(SEARCH({"Auto Number"}, $B97))) &gt; 0, $B97, IF(SUMPRODUCT(-- ISNUMBER(SEARCH({"Lookup","Master-Detail"}, $B97))) &gt; 0,$B97 &amp; "(" &amp; $E97 &amp; ")",IF(SUMPRODUCT(-- ISNUMBER(SEARCH({"Formula","Roll-Up Summary"}, $B97))) &gt; 0,$B97 &amp; " (" &amp; $E97 &amp; ")",IF(SUMPRODUCT(-- ISNUMBER(SEARCH({"Content","Currency","Number","Percent","Text","URL"}, $B97))) &gt; 0,$B97 &amp; "(" &amp; $C97 &amp; ")",$B97)))), "  ", TRIM(IF($S97 = "YES", "(External ID)", "") &amp; " " &amp; IF(SUMPRODUCT(-- ISNUMBER(SEARCH({"Unique","Unique Case Insensitive"}, $R97))) &gt; 0, "(" &amp; $R97 &amp; ")", ""))))</f>
        <v>na</v>
      </c>
      <c r="E97" s="7" t="s">
        <v>195</v>
      </c>
      <c r="F97" s="7" t="s">
        <v>195</v>
      </c>
      <c r="G97" s="7" t="s">
        <v>195</v>
      </c>
      <c r="H97" s="7" t="s">
        <v>195</v>
      </c>
      <c r="I97" s="7" t="s">
        <v>195</v>
      </c>
      <c r="J97" s="7" t="s">
        <v>195</v>
      </c>
      <c r="K97" s="7" t="s">
        <v>195</v>
      </c>
      <c r="L97" s="7" t="s">
        <v>195</v>
      </c>
      <c r="M97" s="7" t="s">
        <v>29</v>
      </c>
      <c r="N97" s="7" t="s">
        <v>29</v>
      </c>
      <c r="O97" s="7" t="s">
        <v>29</v>
      </c>
      <c r="P97" s="7" t="s">
        <v>29</v>
      </c>
      <c r="Q97" s="7" t="s">
        <v>29</v>
      </c>
      <c r="R97" s="7" t="s">
        <v>29</v>
      </c>
      <c r="S97" s="7" t="s">
        <v>29</v>
      </c>
    </row>
    <row r="98" spans="2:19">
      <c r="B98" s="7" t="s">
        <v>195</v>
      </c>
      <c r="C98" s="8" t="s">
        <v>195</v>
      </c>
      <c r="D98" s="6" t="str">
        <f>LRTRIM(CONCATENATE(IF(SUMPRODUCT(-- ISNUMBER(SEARCH({"Auto Number"}, $B98))) &gt; 0, $B98, IF(SUMPRODUCT(-- ISNUMBER(SEARCH({"Lookup","Master-Detail"}, $B98))) &gt; 0,$B98 &amp; "(" &amp; $E98 &amp; ")",IF(SUMPRODUCT(-- ISNUMBER(SEARCH({"Formula","Roll-Up Summary"}, $B98))) &gt; 0,$B98 &amp; " (" &amp; $E98 &amp; ")",IF(SUMPRODUCT(-- ISNUMBER(SEARCH({"Content","Currency","Number","Percent","Text","URL"}, $B98))) &gt; 0,$B98 &amp; "(" &amp; $C98 &amp; ")",$B98)))), "  ", TRIM(IF($S98 = "YES", "(External ID)", "") &amp; " " &amp; IF(SUMPRODUCT(-- ISNUMBER(SEARCH({"Unique","Unique Case Insensitive"}, $R98))) &gt; 0, "(" &amp; $R98 &amp; ")", ""))))</f>
        <v>na</v>
      </c>
      <c r="E98" s="7" t="s">
        <v>195</v>
      </c>
      <c r="F98" s="7" t="s">
        <v>195</v>
      </c>
      <c r="G98" s="7" t="s">
        <v>195</v>
      </c>
      <c r="H98" s="7" t="s">
        <v>195</v>
      </c>
      <c r="I98" s="7" t="s">
        <v>195</v>
      </c>
      <c r="J98" s="7" t="s">
        <v>195</v>
      </c>
      <c r="K98" s="7" t="s">
        <v>195</v>
      </c>
      <c r="L98" s="7" t="s">
        <v>195</v>
      </c>
      <c r="M98" s="7" t="s">
        <v>29</v>
      </c>
      <c r="N98" s="7" t="s">
        <v>29</v>
      </c>
      <c r="O98" s="7" t="s">
        <v>29</v>
      </c>
      <c r="P98" s="7" t="s">
        <v>29</v>
      </c>
      <c r="Q98" s="7" t="s">
        <v>29</v>
      </c>
      <c r="R98" s="7" t="s">
        <v>29</v>
      </c>
      <c r="S98" s="7" t="s">
        <v>29</v>
      </c>
    </row>
    <row r="99" spans="2:19">
      <c r="B99" s="7" t="s">
        <v>195</v>
      </c>
      <c r="C99" s="8" t="s">
        <v>195</v>
      </c>
      <c r="D99" s="6" t="str">
        <f>LRTRIM(CONCATENATE(IF(SUMPRODUCT(-- ISNUMBER(SEARCH({"Auto Number"}, $B99))) &gt; 0, $B99, IF(SUMPRODUCT(-- ISNUMBER(SEARCH({"Lookup","Master-Detail"}, $B99))) &gt; 0,$B99 &amp; "(" &amp; $E99 &amp; ")",IF(SUMPRODUCT(-- ISNUMBER(SEARCH({"Formula","Roll-Up Summary"}, $B99))) &gt; 0,$B99 &amp; " (" &amp; $E99 &amp; ")",IF(SUMPRODUCT(-- ISNUMBER(SEARCH({"Content","Currency","Number","Percent","Text","URL"}, $B99))) &gt; 0,$B99 &amp; "(" &amp; $C99 &amp; ")",$B99)))), "  ", TRIM(IF($S99 = "YES", "(External ID)", "") &amp; " " &amp; IF(SUMPRODUCT(-- ISNUMBER(SEARCH({"Unique","Unique Case Insensitive"}, $R99))) &gt; 0, "(" &amp; $R99 &amp; ")", ""))))</f>
        <v>na</v>
      </c>
      <c r="E99" s="7" t="s">
        <v>195</v>
      </c>
      <c r="F99" s="7" t="s">
        <v>195</v>
      </c>
      <c r="G99" s="7" t="s">
        <v>195</v>
      </c>
      <c r="H99" s="7" t="s">
        <v>195</v>
      </c>
      <c r="I99" s="7" t="s">
        <v>195</v>
      </c>
      <c r="J99" s="7" t="s">
        <v>195</v>
      </c>
      <c r="K99" s="7" t="s">
        <v>195</v>
      </c>
      <c r="L99" s="7" t="s">
        <v>195</v>
      </c>
      <c r="M99" s="7" t="s">
        <v>29</v>
      </c>
      <c r="N99" s="7" t="s">
        <v>29</v>
      </c>
      <c r="O99" s="7" t="s">
        <v>29</v>
      </c>
      <c r="P99" s="7" t="s">
        <v>29</v>
      </c>
      <c r="Q99" s="7" t="s">
        <v>29</v>
      </c>
      <c r="R99" s="7" t="s">
        <v>29</v>
      </c>
      <c r="S99" s="7" t="s">
        <v>29</v>
      </c>
    </row>
    <row r="100" spans="2:19">
      <c r="B100" s="7" t="s">
        <v>195</v>
      </c>
      <c r="C100" s="8" t="s">
        <v>195</v>
      </c>
      <c r="D100" s="6" t="str">
        <f>LRTRIM(CONCATENATE(IF(SUMPRODUCT(-- ISNUMBER(SEARCH({"Auto Number"}, $B100))) &gt; 0, $B100, IF(SUMPRODUCT(-- ISNUMBER(SEARCH({"Lookup","Master-Detail"}, $B100))) &gt; 0,$B100 &amp; "(" &amp; $E100 &amp; ")",IF(SUMPRODUCT(-- ISNUMBER(SEARCH({"Formula","Roll-Up Summary"}, $B100))) &gt; 0,$B100 &amp; " (" &amp; $E100 &amp; ")",IF(SUMPRODUCT(-- ISNUMBER(SEARCH({"Content","Currency","Number","Percent","Text","URL"}, $B100))) &gt; 0,$B100 &amp; "(" &amp; $C100 &amp; ")",$B100)))), "  ", TRIM(IF($S100 = "YES", "(External ID)", "") &amp; " " &amp; IF(SUMPRODUCT(-- ISNUMBER(SEARCH({"Unique","Unique Case Insensitive"}, $R100))) &gt; 0, "(" &amp; $R100 &amp; ")", ""))))</f>
        <v>na</v>
      </c>
      <c r="E100" s="7" t="s">
        <v>195</v>
      </c>
      <c r="F100" s="7" t="s">
        <v>195</v>
      </c>
      <c r="G100" s="7" t="s">
        <v>195</v>
      </c>
      <c r="H100" s="7" t="s">
        <v>195</v>
      </c>
      <c r="I100" s="7" t="s">
        <v>195</v>
      </c>
      <c r="J100" s="7" t="s">
        <v>195</v>
      </c>
      <c r="K100" s="7" t="s">
        <v>195</v>
      </c>
      <c r="L100" s="7" t="s">
        <v>195</v>
      </c>
      <c r="M100" s="7" t="s">
        <v>29</v>
      </c>
      <c r="N100" s="7" t="s">
        <v>29</v>
      </c>
      <c r="O100" s="7" t="s">
        <v>29</v>
      </c>
      <c r="P100" s="7" t="s">
        <v>29</v>
      </c>
      <c r="Q100" s="7" t="s">
        <v>29</v>
      </c>
      <c r="R100" s="7" t="s">
        <v>29</v>
      </c>
      <c r="S100" s="7" t="s">
        <v>29</v>
      </c>
    </row>
    <row r="101" spans="2:19">
      <c r="B101" s="7" t="s">
        <v>195</v>
      </c>
      <c r="C101" s="8" t="s">
        <v>195</v>
      </c>
      <c r="D101" s="6" t="str">
        <f>LRTRIM(CONCATENATE(IF(SUMPRODUCT(-- ISNUMBER(SEARCH({"Auto Number"}, $B101))) &gt; 0, $B101, IF(SUMPRODUCT(-- ISNUMBER(SEARCH({"Lookup","Master-Detail"}, $B101))) &gt; 0,$B101 &amp; "(" &amp; $E101 &amp; ")",IF(SUMPRODUCT(-- ISNUMBER(SEARCH({"Formula","Roll-Up Summary"}, $B101))) &gt; 0,$B101 &amp; " (" &amp; $E101 &amp; ")",IF(SUMPRODUCT(-- ISNUMBER(SEARCH({"Content","Currency","Number","Percent","Text","URL"}, $B101))) &gt; 0,$B101 &amp; "(" &amp; $C101 &amp; ")",$B101)))), "  ", TRIM(IF($S101 = "YES", "(External ID)", "") &amp; " " &amp; IF(SUMPRODUCT(-- ISNUMBER(SEARCH({"Unique","Unique Case Insensitive"}, $R101))) &gt; 0, "(" &amp; $R101 &amp; ")", ""))))</f>
        <v>na</v>
      </c>
      <c r="E101" s="7" t="s">
        <v>195</v>
      </c>
      <c r="F101" s="7" t="s">
        <v>195</v>
      </c>
      <c r="G101" s="7" t="s">
        <v>195</v>
      </c>
      <c r="H101" s="7" t="s">
        <v>195</v>
      </c>
      <c r="I101" s="7" t="s">
        <v>195</v>
      </c>
      <c r="J101" s="7" t="s">
        <v>195</v>
      </c>
      <c r="K101" s="7" t="s">
        <v>195</v>
      </c>
      <c r="L101" s="7" t="s">
        <v>195</v>
      </c>
      <c r="M101" s="7" t="s">
        <v>29</v>
      </c>
      <c r="N101" s="7" t="s">
        <v>29</v>
      </c>
      <c r="O101" s="7" t="s">
        <v>29</v>
      </c>
      <c r="P101" s="7" t="s">
        <v>29</v>
      </c>
      <c r="Q101" s="7" t="s">
        <v>29</v>
      </c>
      <c r="R101" s="7" t="s">
        <v>29</v>
      </c>
      <c r="S101" s="7" t="s">
        <v>29</v>
      </c>
    </row>
    <row r="102" spans="2:19">
      <c r="B102" s="7" t="s">
        <v>195</v>
      </c>
      <c r="C102" s="8" t="s">
        <v>195</v>
      </c>
      <c r="D102" s="6" t="str">
        <f>LRTRIM(CONCATENATE(IF(SUMPRODUCT(-- ISNUMBER(SEARCH({"Auto Number"}, $B102))) &gt; 0, $B102, IF(SUMPRODUCT(-- ISNUMBER(SEARCH({"Lookup","Master-Detail"}, $B102))) &gt; 0,$B102 &amp; "(" &amp; $E102 &amp; ")",IF(SUMPRODUCT(-- ISNUMBER(SEARCH({"Formula","Roll-Up Summary"}, $B102))) &gt; 0,$B102 &amp; " (" &amp; $E102 &amp; ")",IF(SUMPRODUCT(-- ISNUMBER(SEARCH({"Content","Currency","Number","Percent","Text","URL"}, $B102))) &gt; 0,$B102 &amp; "(" &amp; $C102 &amp; ")",$B102)))), "  ", TRIM(IF($S102 = "YES", "(External ID)", "") &amp; " " &amp; IF(SUMPRODUCT(-- ISNUMBER(SEARCH({"Unique","Unique Case Insensitive"}, $R102))) &gt; 0, "(" &amp; $R102 &amp; ")", ""))))</f>
        <v>na</v>
      </c>
      <c r="E102" s="7" t="s">
        <v>195</v>
      </c>
      <c r="F102" s="7" t="s">
        <v>195</v>
      </c>
      <c r="G102" s="7" t="s">
        <v>195</v>
      </c>
      <c r="H102" s="7" t="s">
        <v>195</v>
      </c>
      <c r="I102" s="7" t="s">
        <v>195</v>
      </c>
      <c r="J102" s="7" t="s">
        <v>195</v>
      </c>
      <c r="K102" s="7" t="s">
        <v>195</v>
      </c>
      <c r="L102" s="7" t="s">
        <v>195</v>
      </c>
      <c r="M102" s="7" t="s">
        <v>29</v>
      </c>
      <c r="N102" s="7" t="s">
        <v>29</v>
      </c>
      <c r="O102" s="7" t="s">
        <v>29</v>
      </c>
      <c r="P102" s="7" t="s">
        <v>29</v>
      </c>
      <c r="Q102" s="7" t="s">
        <v>29</v>
      </c>
      <c r="R102" s="7" t="s">
        <v>29</v>
      </c>
      <c r="S102" s="7" t="s">
        <v>29</v>
      </c>
    </row>
    <row r="103" spans="2:19">
      <c r="B103" s="7" t="s">
        <v>195</v>
      </c>
      <c r="C103" s="8" t="s">
        <v>195</v>
      </c>
      <c r="D103" s="6" t="str">
        <f>LRTRIM(CONCATENATE(IF(SUMPRODUCT(-- ISNUMBER(SEARCH({"Auto Number"}, $B103))) &gt; 0, $B103, IF(SUMPRODUCT(-- ISNUMBER(SEARCH({"Lookup","Master-Detail"}, $B103))) &gt; 0,$B103 &amp; "(" &amp; $E103 &amp; ")",IF(SUMPRODUCT(-- ISNUMBER(SEARCH({"Formula","Roll-Up Summary"}, $B103))) &gt; 0,$B103 &amp; " (" &amp; $E103 &amp; ")",IF(SUMPRODUCT(-- ISNUMBER(SEARCH({"Content","Currency","Number","Percent","Text","URL"}, $B103))) &gt; 0,$B103 &amp; "(" &amp; $C103 &amp; ")",$B103)))), "  ", TRIM(IF($S103 = "YES", "(External ID)", "") &amp; " " &amp; IF(SUMPRODUCT(-- ISNUMBER(SEARCH({"Unique","Unique Case Insensitive"}, $R103))) &gt; 0, "(" &amp; $R103 &amp; ")", ""))))</f>
        <v>na</v>
      </c>
      <c r="E103" s="7" t="s">
        <v>195</v>
      </c>
      <c r="F103" s="7" t="s">
        <v>195</v>
      </c>
      <c r="G103" s="7" t="s">
        <v>195</v>
      </c>
      <c r="H103" s="7" t="s">
        <v>195</v>
      </c>
      <c r="I103" s="7" t="s">
        <v>195</v>
      </c>
      <c r="J103" s="7" t="s">
        <v>195</v>
      </c>
      <c r="K103" s="7" t="s">
        <v>195</v>
      </c>
      <c r="L103" s="7" t="s">
        <v>195</v>
      </c>
      <c r="M103" s="7" t="s">
        <v>29</v>
      </c>
      <c r="N103" s="7" t="s">
        <v>29</v>
      </c>
      <c r="O103" s="7" t="s">
        <v>29</v>
      </c>
      <c r="P103" s="7" t="s">
        <v>29</v>
      </c>
      <c r="Q103" s="7" t="s">
        <v>29</v>
      </c>
      <c r="R103" s="7" t="s">
        <v>29</v>
      </c>
      <c r="S103" s="7" t="s">
        <v>29</v>
      </c>
    </row>
    <row r="104" spans="2:19">
      <c r="B104" s="7" t="s">
        <v>195</v>
      </c>
      <c r="C104" s="8" t="s">
        <v>195</v>
      </c>
      <c r="D104" s="6" t="str">
        <f>LRTRIM(CONCATENATE(IF(SUMPRODUCT(-- ISNUMBER(SEARCH({"Auto Number"}, $B104))) &gt; 0, $B104, IF(SUMPRODUCT(-- ISNUMBER(SEARCH({"Lookup","Master-Detail"}, $B104))) &gt; 0,$B104 &amp; "(" &amp; $E104 &amp; ")",IF(SUMPRODUCT(-- ISNUMBER(SEARCH({"Formula","Roll-Up Summary"}, $B104))) &gt; 0,$B104 &amp; " (" &amp; $E104 &amp; ")",IF(SUMPRODUCT(-- ISNUMBER(SEARCH({"Content","Currency","Number","Percent","Text","URL"}, $B104))) &gt; 0,$B104 &amp; "(" &amp; $C104 &amp; ")",$B104)))), "  ", TRIM(IF($S104 = "YES", "(External ID)", "") &amp; " " &amp; IF(SUMPRODUCT(-- ISNUMBER(SEARCH({"Unique","Unique Case Insensitive"}, $R104))) &gt; 0, "(" &amp; $R104 &amp; ")", ""))))</f>
        <v>na</v>
      </c>
      <c r="E104" s="7" t="s">
        <v>195</v>
      </c>
      <c r="F104" s="7" t="s">
        <v>195</v>
      </c>
      <c r="G104" s="7" t="s">
        <v>195</v>
      </c>
      <c r="H104" s="7" t="s">
        <v>195</v>
      </c>
      <c r="I104" s="7" t="s">
        <v>195</v>
      </c>
      <c r="J104" s="7" t="s">
        <v>195</v>
      </c>
      <c r="K104" s="7" t="s">
        <v>195</v>
      </c>
      <c r="L104" s="7" t="s">
        <v>195</v>
      </c>
      <c r="M104" s="7" t="s">
        <v>29</v>
      </c>
      <c r="N104" s="7" t="s">
        <v>29</v>
      </c>
      <c r="O104" s="7" t="s">
        <v>29</v>
      </c>
      <c r="P104" s="7" t="s">
        <v>29</v>
      </c>
      <c r="Q104" s="7" t="s">
        <v>29</v>
      </c>
      <c r="R104" s="7" t="s">
        <v>29</v>
      </c>
      <c r="S104" s="7" t="s">
        <v>29</v>
      </c>
    </row>
    <row r="105" spans="2:19">
      <c r="B105" s="7" t="s">
        <v>195</v>
      </c>
      <c r="C105" s="8" t="s">
        <v>195</v>
      </c>
      <c r="D105" s="6" t="str">
        <f>LRTRIM(CONCATENATE(IF(SUMPRODUCT(-- ISNUMBER(SEARCH({"Auto Number"}, $B105))) &gt; 0, $B105, IF(SUMPRODUCT(-- ISNUMBER(SEARCH({"Lookup","Master-Detail"}, $B105))) &gt; 0,$B105 &amp; "(" &amp; $E105 &amp; ")",IF(SUMPRODUCT(-- ISNUMBER(SEARCH({"Formula","Roll-Up Summary"}, $B105))) &gt; 0,$B105 &amp; " (" &amp; $E105 &amp; ")",IF(SUMPRODUCT(-- ISNUMBER(SEARCH({"Content","Currency","Number","Percent","Text","URL"}, $B105))) &gt; 0,$B105 &amp; "(" &amp; $C105 &amp; ")",$B105)))), "  ", TRIM(IF($S105 = "YES", "(External ID)", "") &amp; " " &amp; IF(SUMPRODUCT(-- ISNUMBER(SEARCH({"Unique","Unique Case Insensitive"}, $R105))) &gt; 0, "(" &amp; $R105 &amp; ")", ""))))</f>
        <v>na</v>
      </c>
      <c r="E105" s="7" t="s">
        <v>195</v>
      </c>
      <c r="F105" s="7" t="s">
        <v>195</v>
      </c>
      <c r="G105" s="7" t="s">
        <v>195</v>
      </c>
      <c r="H105" s="7" t="s">
        <v>195</v>
      </c>
      <c r="I105" s="7" t="s">
        <v>195</v>
      </c>
      <c r="J105" s="7" t="s">
        <v>195</v>
      </c>
      <c r="K105" s="7" t="s">
        <v>195</v>
      </c>
      <c r="L105" s="7" t="s">
        <v>195</v>
      </c>
      <c r="M105" s="7" t="s">
        <v>29</v>
      </c>
      <c r="N105" s="7" t="s">
        <v>29</v>
      </c>
      <c r="O105" s="7" t="s">
        <v>29</v>
      </c>
      <c r="P105" s="7" t="s">
        <v>29</v>
      </c>
      <c r="Q105" s="7" t="s">
        <v>29</v>
      </c>
      <c r="R105" s="7" t="s">
        <v>29</v>
      </c>
      <c r="S105" s="7" t="s">
        <v>29</v>
      </c>
    </row>
    <row r="106" spans="2:19">
      <c r="B106" s="7" t="s">
        <v>195</v>
      </c>
      <c r="C106" s="8" t="s">
        <v>195</v>
      </c>
      <c r="D106" s="6" t="str">
        <f>LRTRIM(CONCATENATE(IF(SUMPRODUCT(-- ISNUMBER(SEARCH({"Auto Number"}, $B106))) &gt; 0, $B106, IF(SUMPRODUCT(-- ISNUMBER(SEARCH({"Lookup","Master-Detail"}, $B106))) &gt; 0,$B106 &amp; "(" &amp; $E106 &amp; ")",IF(SUMPRODUCT(-- ISNUMBER(SEARCH({"Formula","Roll-Up Summary"}, $B106))) &gt; 0,$B106 &amp; " (" &amp; $E106 &amp; ")",IF(SUMPRODUCT(-- ISNUMBER(SEARCH({"Content","Currency","Number","Percent","Text","URL"}, $B106))) &gt; 0,$B106 &amp; "(" &amp; $C106 &amp; ")",$B106)))), "  ", TRIM(IF($S106 = "YES", "(External ID)", "") &amp; " " &amp; IF(SUMPRODUCT(-- ISNUMBER(SEARCH({"Unique","Unique Case Insensitive"}, $R106))) &gt; 0, "(" &amp; $R106 &amp; ")", ""))))</f>
        <v>na</v>
      </c>
      <c r="E106" s="7" t="s">
        <v>195</v>
      </c>
      <c r="F106" s="7" t="s">
        <v>195</v>
      </c>
      <c r="G106" s="7" t="s">
        <v>195</v>
      </c>
      <c r="H106" s="7" t="s">
        <v>195</v>
      </c>
      <c r="I106" s="7" t="s">
        <v>195</v>
      </c>
      <c r="J106" s="7" t="s">
        <v>195</v>
      </c>
      <c r="K106" s="7" t="s">
        <v>195</v>
      </c>
      <c r="L106" s="7" t="s">
        <v>195</v>
      </c>
      <c r="M106" s="7" t="s">
        <v>29</v>
      </c>
      <c r="N106" s="7" t="s">
        <v>29</v>
      </c>
      <c r="O106" s="7" t="s">
        <v>29</v>
      </c>
      <c r="P106" s="7" t="s">
        <v>29</v>
      </c>
      <c r="Q106" s="7" t="s">
        <v>29</v>
      </c>
      <c r="R106" s="7" t="s">
        <v>29</v>
      </c>
      <c r="S106" s="7" t="s">
        <v>29</v>
      </c>
    </row>
    <row r="107" spans="2:19">
      <c r="B107" s="7" t="s">
        <v>195</v>
      </c>
      <c r="C107" s="8" t="s">
        <v>195</v>
      </c>
      <c r="D107" s="6" t="str">
        <f>LRTRIM(CONCATENATE(IF(SUMPRODUCT(-- ISNUMBER(SEARCH({"Auto Number"}, $B107))) &gt; 0, $B107, IF(SUMPRODUCT(-- ISNUMBER(SEARCH({"Lookup","Master-Detail"}, $B107))) &gt; 0,$B107 &amp; "(" &amp; $E107 &amp; ")",IF(SUMPRODUCT(-- ISNUMBER(SEARCH({"Formula","Roll-Up Summary"}, $B107))) &gt; 0,$B107 &amp; " (" &amp; $E107 &amp; ")",IF(SUMPRODUCT(-- ISNUMBER(SEARCH({"Content","Currency","Number","Percent","Text","URL"}, $B107))) &gt; 0,$B107 &amp; "(" &amp; $C107 &amp; ")",$B107)))), "  ", TRIM(IF($S107 = "YES", "(External ID)", "") &amp; " " &amp; IF(SUMPRODUCT(-- ISNUMBER(SEARCH({"Unique","Unique Case Insensitive"}, $R107))) &gt; 0, "(" &amp; $R107 &amp; ")", ""))))</f>
        <v>na</v>
      </c>
      <c r="E107" s="7" t="s">
        <v>195</v>
      </c>
      <c r="F107" s="7" t="s">
        <v>195</v>
      </c>
      <c r="G107" s="7" t="s">
        <v>195</v>
      </c>
      <c r="H107" s="7" t="s">
        <v>195</v>
      </c>
      <c r="I107" s="7" t="s">
        <v>195</v>
      </c>
      <c r="J107" s="7" t="s">
        <v>195</v>
      </c>
      <c r="K107" s="7" t="s">
        <v>195</v>
      </c>
      <c r="L107" s="7" t="s">
        <v>195</v>
      </c>
      <c r="M107" s="7" t="s">
        <v>29</v>
      </c>
      <c r="N107" s="7" t="s">
        <v>29</v>
      </c>
      <c r="O107" s="7" t="s">
        <v>29</v>
      </c>
      <c r="P107" s="7" t="s">
        <v>29</v>
      </c>
      <c r="Q107" s="7" t="s">
        <v>29</v>
      </c>
      <c r="R107" s="7" t="s">
        <v>29</v>
      </c>
      <c r="S107" s="7" t="s">
        <v>29</v>
      </c>
    </row>
    <row r="108" spans="2:19">
      <c r="B108" s="7" t="s">
        <v>195</v>
      </c>
      <c r="C108" s="8" t="s">
        <v>195</v>
      </c>
      <c r="D108" s="6" t="str">
        <f>LRTRIM(CONCATENATE(IF(SUMPRODUCT(-- ISNUMBER(SEARCH({"Auto Number"}, $B108))) &gt; 0, $B108, IF(SUMPRODUCT(-- ISNUMBER(SEARCH({"Lookup","Master-Detail"}, $B108))) &gt; 0,$B108 &amp; "(" &amp; $E108 &amp; ")",IF(SUMPRODUCT(-- ISNUMBER(SEARCH({"Formula","Roll-Up Summary"}, $B108))) &gt; 0,$B108 &amp; " (" &amp; $E108 &amp; ")",IF(SUMPRODUCT(-- ISNUMBER(SEARCH({"Content","Currency","Number","Percent","Text","URL"}, $B108))) &gt; 0,$B108 &amp; "(" &amp; $C108 &amp; ")",$B108)))), "  ", TRIM(IF($S108 = "YES", "(External ID)", "") &amp; " " &amp; IF(SUMPRODUCT(-- ISNUMBER(SEARCH({"Unique","Unique Case Insensitive"}, $R108))) &gt; 0, "(" &amp; $R108 &amp; ")", ""))))</f>
        <v>na</v>
      </c>
      <c r="E108" s="7" t="s">
        <v>195</v>
      </c>
      <c r="F108" s="7" t="s">
        <v>195</v>
      </c>
      <c r="G108" s="7" t="s">
        <v>195</v>
      </c>
      <c r="H108" s="7" t="s">
        <v>195</v>
      </c>
      <c r="I108" s="7" t="s">
        <v>195</v>
      </c>
      <c r="J108" s="7" t="s">
        <v>195</v>
      </c>
      <c r="K108" s="7" t="s">
        <v>195</v>
      </c>
      <c r="L108" s="7" t="s">
        <v>195</v>
      </c>
      <c r="M108" s="7" t="s">
        <v>29</v>
      </c>
      <c r="N108" s="7" t="s">
        <v>29</v>
      </c>
      <c r="O108" s="7" t="s">
        <v>29</v>
      </c>
      <c r="P108" s="7" t="s">
        <v>29</v>
      </c>
      <c r="Q108" s="7" t="s">
        <v>29</v>
      </c>
      <c r="R108" s="7" t="s">
        <v>29</v>
      </c>
      <c r="S108" s="7" t="s">
        <v>29</v>
      </c>
    </row>
    <row r="109" spans="2:19">
      <c r="B109" s="7" t="s">
        <v>195</v>
      </c>
      <c r="C109" s="8" t="s">
        <v>195</v>
      </c>
      <c r="D109" s="6" t="str">
        <f>LRTRIM(CONCATENATE(IF(SUMPRODUCT(-- ISNUMBER(SEARCH({"Auto Number"}, $B109))) &gt; 0, $B109, IF(SUMPRODUCT(-- ISNUMBER(SEARCH({"Lookup","Master-Detail"}, $B109))) &gt; 0,$B109 &amp; "(" &amp; $E109 &amp; ")",IF(SUMPRODUCT(-- ISNUMBER(SEARCH({"Formula","Roll-Up Summary"}, $B109))) &gt; 0,$B109 &amp; " (" &amp; $E109 &amp; ")",IF(SUMPRODUCT(-- ISNUMBER(SEARCH({"Content","Currency","Number","Percent","Text","URL"}, $B109))) &gt; 0,$B109 &amp; "(" &amp; $C109 &amp; ")",$B109)))), "  ", TRIM(IF($S109 = "YES", "(External ID)", "") &amp; " " &amp; IF(SUMPRODUCT(-- ISNUMBER(SEARCH({"Unique","Unique Case Insensitive"}, $R109))) &gt; 0, "(" &amp; $R109 &amp; ")", ""))))</f>
        <v>na</v>
      </c>
      <c r="E109" s="7" t="s">
        <v>195</v>
      </c>
      <c r="F109" s="7" t="s">
        <v>195</v>
      </c>
      <c r="G109" s="7" t="s">
        <v>195</v>
      </c>
      <c r="H109" s="7" t="s">
        <v>195</v>
      </c>
      <c r="I109" s="7" t="s">
        <v>195</v>
      </c>
      <c r="J109" s="7" t="s">
        <v>195</v>
      </c>
      <c r="K109" s="7" t="s">
        <v>195</v>
      </c>
      <c r="L109" s="7" t="s">
        <v>195</v>
      </c>
      <c r="M109" s="7" t="s">
        <v>29</v>
      </c>
      <c r="N109" s="7" t="s">
        <v>29</v>
      </c>
      <c r="O109" s="7" t="s">
        <v>29</v>
      </c>
      <c r="P109" s="7" t="s">
        <v>29</v>
      </c>
      <c r="Q109" s="7" t="s">
        <v>29</v>
      </c>
      <c r="R109" s="7" t="s">
        <v>29</v>
      </c>
      <c r="S109" s="7" t="s">
        <v>29</v>
      </c>
    </row>
    <row r="110" spans="2:19">
      <c r="B110" s="7" t="s">
        <v>195</v>
      </c>
      <c r="C110" s="8" t="s">
        <v>195</v>
      </c>
      <c r="D110" s="6" t="str">
        <f>LRTRIM(CONCATENATE(IF(SUMPRODUCT(-- ISNUMBER(SEARCH({"Auto Number"}, $B110))) &gt; 0, $B110, IF(SUMPRODUCT(-- ISNUMBER(SEARCH({"Lookup","Master-Detail"}, $B110))) &gt; 0,$B110 &amp; "(" &amp; $E110 &amp; ")",IF(SUMPRODUCT(-- ISNUMBER(SEARCH({"Formula","Roll-Up Summary"}, $B110))) &gt; 0,$B110 &amp; " (" &amp; $E110 &amp; ")",IF(SUMPRODUCT(-- ISNUMBER(SEARCH({"Content","Currency","Number","Percent","Text","URL"}, $B110))) &gt; 0,$B110 &amp; "(" &amp; $C110 &amp; ")",$B110)))), "  ", TRIM(IF($S110 = "YES", "(External ID)", "") &amp; " " &amp; IF(SUMPRODUCT(-- ISNUMBER(SEARCH({"Unique","Unique Case Insensitive"}, $R110))) &gt; 0, "(" &amp; $R110 &amp; ")", ""))))</f>
        <v>na</v>
      </c>
      <c r="E110" s="7" t="s">
        <v>195</v>
      </c>
      <c r="F110" s="7" t="s">
        <v>195</v>
      </c>
      <c r="G110" s="7" t="s">
        <v>195</v>
      </c>
      <c r="H110" s="7" t="s">
        <v>195</v>
      </c>
      <c r="I110" s="7" t="s">
        <v>195</v>
      </c>
      <c r="J110" s="7" t="s">
        <v>195</v>
      </c>
      <c r="K110" s="7" t="s">
        <v>195</v>
      </c>
      <c r="L110" s="7" t="s">
        <v>195</v>
      </c>
      <c r="M110" s="7" t="s">
        <v>29</v>
      </c>
      <c r="N110" s="7" t="s">
        <v>29</v>
      </c>
      <c r="O110" s="7" t="s">
        <v>29</v>
      </c>
      <c r="P110" s="7" t="s">
        <v>29</v>
      </c>
      <c r="Q110" s="7" t="s">
        <v>29</v>
      </c>
      <c r="R110" s="7" t="s">
        <v>29</v>
      </c>
      <c r="S110" s="7" t="s">
        <v>29</v>
      </c>
    </row>
    <row r="111" spans="2:19">
      <c r="B111" s="7" t="s">
        <v>195</v>
      </c>
      <c r="C111" s="8" t="s">
        <v>195</v>
      </c>
      <c r="D111" s="6" t="str">
        <f>LRTRIM(CONCATENATE(IF(SUMPRODUCT(-- ISNUMBER(SEARCH({"Auto Number"}, $B111))) &gt; 0, $B111, IF(SUMPRODUCT(-- ISNUMBER(SEARCH({"Lookup","Master-Detail"}, $B111))) &gt; 0,$B111 &amp; "(" &amp; $E111 &amp; ")",IF(SUMPRODUCT(-- ISNUMBER(SEARCH({"Formula","Roll-Up Summary"}, $B111))) &gt; 0,$B111 &amp; " (" &amp; $E111 &amp; ")",IF(SUMPRODUCT(-- ISNUMBER(SEARCH({"Content","Currency","Number","Percent","Text","URL"}, $B111))) &gt; 0,$B111 &amp; "(" &amp; $C111 &amp; ")",$B111)))), "  ", TRIM(IF($S111 = "YES", "(External ID)", "") &amp; " " &amp; IF(SUMPRODUCT(-- ISNUMBER(SEARCH({"Unique","Unique Case Insensitive"}, $R111))) &gt; 0, "(" &amp; $R111 &amp; ")", ""))))</f>
        <v>na</v>
      </c>
      <c r="E111" s="7" t="s">
        <v>195</v>
      </c>
      <c r="F111" s="7" t="s">
        <v>195</v>
      </c>
      <c r="G111" s="7" t="s">
        <v>195</v>
      </c>
      <c r="H111" s="7" t="s">
        <v>195</v>
      </c>
      <c r="I111" s="7" t="s">
        <v>195</v>
      </c>
      <c r="J111" s="7" t="s">
        <v>195</v>
      </c>
      <c r="K111" s="7" t="s">
        <v>195</v>
      </c>
      <c r="L111" s="7" t="s">
        <v>195</v>
      </c>
      <c r="M111" s="7" t="s">
        <v>29</v>
      </c>
      <c r="N111" s="7" t="s">
        <v>29</v>
      </c>
      <c r="O111" s="7" t="s">
        <v>29</v>
      </c>
      <c r="P111" s="7" t="s">
        <v>29</v>
      </c>
      <c r="Q111" s="7" t="s">
        <v>29</v>
      </c>
      <c r="R111" s="7" t="s">
        <v>29</v>
      </c>
      <c r="S111" s="7" t="s">
        <v>29</v>
      </c>
    </row>
    <row r="112" spans="2:19">
      <c r="B112" s="7" t="s">
        <v>195</v>
      </c>
      <c r="C112" s="8" t="s">
        <v>195</v>
      </c>
      <c r="D112" s="6" t="str">
        <f>LRTRIM(CONCATENATE(IF(SUMPRODUCT(-- ISNUMBER(SEARCH({"Auto Number"}, $B112))) &gt; 0, $B112, IF(SUMPRODUCT(-- ISNUMBER(SEARCH({"Lookup","Master-Detail"}, $B112))) &gt; 0,$B112 &amp; "(" &amp; $E112 &amp; ")",IF(SUMPRODUCT(-- ISNUMBER(SEARCH({"Formula","Roll-Up Summary"}, $B112))) &gt; 0,$B112 &amp; " (" &amp; $E112 &amp; ")",IF(SUMPRODUCT(-- ISNUMBER(SEARCH({"Content","Currency","Number","Percent","Text","URL"}, $B112))) &gt; 0,$B112 &amp; "(" &amp; $C112 &amp; ")",$B112)))), "  ", TRIM(IF($S112 = "YES", "(External ID)", "") &amp; " " &amp; IF(SUMPRODUCT(-- ISNUMBER(SEARCH({"Unique","Unique Case Insensitive"}, $R112))) &gt; 0, "(" &amp; $R112 &amp; ")", ""))))</f>
        <v>na</v>
      </c>
      <c r="E112" s="7" t="s">
        <v>195</v>
      </c>
      <c r="F112" s="7" t="s">
        <v>195</v>
      </c>
      <c r="G112" s="7" t="s">
        <v>195</v>
      </c>
      <c r="H112" s="7" t="s">
        <v>195</v>
      </c>
      <c r="I112" s="7" t="s">
        <v>195</v>
      </c>
      <c r="J112" s="7" t="s">
        <v>195</v>
      </c>
      <c r="K112" s="7" t="s">
        <v>195</v>
      </c>
      <c r="L112" s="7" t="s">
        <v>195</v>
      </c>
      <c r="M112" s="7" t="s">
        <v>29</v>
      </c>
      <c r="N112" s="7" t="s">
        <v>29</v>
      </c>
      <c r="O112" s="7" t="s">
        <v>29</v>
      </c>
      <c r="P112" s="7" t="s">
        <v>29</v>
      </c>
      <c r="Q112" s="7" t="s">
        <v>29</v>
      </c>
      <c r="R112" s="7" t="s">
        <v>29</v>
      </c>
      <c r="S112" s="7" t="s">
        <v>29</v>
      </c>
    </row>
    <row r="113" spans="2:19">
      <c r="B113" s="7" t="s">
        <v>195</v>
      </c>
      <c r="C113" s="8" t="s">
        <v>195</v>
      </c>
      <c r="D113" s="6" t="str">
        <f>LRTRIM(CONCATENATE(IF(SUMPRODUCT(-- ISNUMBER(SEARCH({"Auto Number"}, $B113))) &gt; 0, $B113, IF(SUMPRODUCT(-- ISNUMBER(SEARCH({"Lookup","Master-Detail"}, $B113))) &gt; 0,$B113 &amp; "(" &amp; $E113 &amp; ")",IF(SUMPRODUCT(-- ISNUMBER(SEARCH({"Formula","Roll-Up Summary"}, $B113))) &gt; 0,$B113 &amp; " (" &amp; $E113 &amp; ")",IF(SUMPRODUCT(-- ISNUMBER(SEARCH({"Content","Currency","Number","Percent","Text","URL"}, $B113))) &gt; 0,$B113 &amp; "(" &amp; $C113 &amp; ")",$B113)))), "  ", TRIM(IF($S113 = "YES", "(External ID)", "") &amp; " " &amp; IF(SUMPRODUCT(-- ISNUMBER(SEARCH({"Unique","Unique Case Insensitive"}, $R113))) &gt; 0, "(" &amp; $R113 &amp; ")", ""))))</f>
        <v>na</v>
      </c>
      <c r="E113" s="7" t="s">
        <v>195</v>
      </c>
      <c r="F113" s="7" t="s">
        <v>195</v>
      </c>
      <c r="G113" s="7" t="s">
        <v>195</v>
      </c>
      <c r="H113" s="7" t="s">
        <v>195</v>
      </c>
      <c r="I113" s="7" t="s">
        <v>195</v>
      </c>
      <c r="J113" s="7" t="s">
        <v>195</v>
      </c>
      <c r="K113" s="7" t="s">
        <v>195</v>
      </c>
      <c r="L113" s="7" t="s">
        <v>195</v>
      </c>
      <c r="M113" s="7" t="s">
        <v>29</v>
      </c>
      <c r="N113" s="7" t="s">
        <v>29</v>
      </c>
      <c r="O113" s="7" t="s">
        <v>29</v>
      </c>
      <c r="P113" s="7" t="s">
        <v>29</v>
      </c>
      <c r="Q113" s="7" t="s">
        <v>29</v>
      </c>
      <c r="R113" s="7" t="s">
        <v>29</v>
      </c>
      <c r="S113" s="7" t="s">
        <v>29</v>
      </c>
    </row>
    <row r="114" spans="2:19">
      <c r="B114" s="7" t="s">
        <v>195</v>
      </c>
      <c r="C114" s="8" t="s">
        <v>195</v>
      </c>
      <c r="D114" s="6" t="str">
        <f>LRTRIM(CONCATENATE(IF(SUMPRODUCT(-- ISNUMBER(SEARCH({"Auto Number"}, $B114))) &gt; 0, $B114, IF(SUMPRODUCT(-- ISNUMBER(SEARCH({"Lookup","Master-Detail"}, $B114))) &gt; 0,$B114 &amp; "(" &amp; $E114 &amp; ")",IF(SUMPRODUCT(-- ISNUMBER(SEARCH({"Formula","Roll-Up Summary"}, $B114))) &gt; 0,$B114 &amp; " (" &amp; $E114 &amp; ")",IF(SUMPRODUCT(-- ISNUMBER(SEARCH({"Content","Currency","Number","Percent","Text","URL"}, $B114))) &gt; 0,$B114 &amp; "(" &amp; $C114 &amp; ")",$B114)))), "  ", TRIM(IF($S114 = "YES", "(External ID)", "") &amp; " " &amp; IF(SUMPRODUCT(-- ISNUMBER(SEARCH({"Unique","Unique Case Insensitive"}, $R114))) &gt; 0, "(" &amp; $R114 &amp; ")", ""))))</f>
        <v>na</v>
      </c>
      <c r="E114" s="7" t="s">
        <v>195</v>
      </c>
      <c r="F114" s="7" t="s">
        <v>195</v>
      </c>
      <c r="G114" s="7" t="s">
        <v>195</v>
      </c>
      <c r="H114" s="7" t="s">
        <v>195</v>
      </c>
      <c r="I114" s="7" t="s">
        <v>195</v>
      </c>
      <c r="J114" s="7" t="s">
        <v>195</v>
      </c>
      <c r="K114" s="7" t="s">
        <v>195</v>
      </c>
      <c r="L114" s="7" t="s">
        <v>195</v>
      </c>
      <c r="M114" s="7" t="s">
        <v>29</v>
      </c>
      <c r="N114" s="7" t="s">
        <v>29</v>
      </c>
      <c r="O114" s="7" t="s">
        <v>29</v>
      </c>
      <c r="P114" s="7" t="s">
        <v>29</v>
      </c>
      <c r="Q114" s="7" t="s">
        <v>29</v>
      </c>
      <c r="R114" s="7" t="s">
        <v>29</v>
      </c>
      <c r="S114" s="7" t="s">
        <v>29</v>
      </c>
    </row>
    <row r="115" spans="2:19">
      <c r="B115" s="7" t="s">
        <v>195</v>
      </c>
      <c r="C115" s="8" t="s">
        <v>195</v>
      </c>
      <c r="D115" s="6" t="str">
        <f>LRTRIM(CONCATENATE(IF(SUMPRODUCT(-- ISNUMBER(SEARCH({"Auto Number"}, $B115))) &gt; 0, $B115, IF(SUMPRODUCT(-- ISNUMBER(SEARCH({"Lookup","Master-Detail"}, $B115))) &gt; 0,$B115 &amp; "(" &amp; $E115 &amp; ")",IF(SUMPRODUCT(-- ISNUMBER(SEARCH({"Formula","Roll-Up Summary"}, $B115))) &gt; 0,$B115 &amp; " (" &amp; $E115 &amp; ")",IF(SUMPRODUCT(-- ISNUMBER(SEARCH({"Content","Currency","Number","Percent","Text","URL"}, $B115))) &gt; 0,$B115 &amp; "(" &amp; $C115 &amp; ")",$B115)))), "  ", TRIM(IF($S115 = "YES", "(External ID)", "") &amp; " " &amp; IF(SUMPRODUCT(-- ISNUMBER(SEARCH({"Unique","Unique Case Insensitive"}, $R115))) &gt; 0, "(" &amp; $R115 &amp; ")", ""))))</f>
        <v>na</v>
      </c>
      <c r="E115" s="7" t="s">
        <v>195</v>
      </c>
      <c r="F115" s="7" t="s">
        <v>195</v>
      </c>
      <c r="G115" s="7" t="s">
        <v>195</v>
      </c>
      <c r="H115" s="7" t="s">
        <v>195</v>
      </c>
      <c r="I115" s="7" t="s">
        <v>195</v>
      </c>
      <c r="J115" s="7" t="s">
        <v>195</v>
      </c>
      <c r="K115" s="7" t="s">
        <v>195</v>
      </c>
      <c r="L115" s="7" t="s">
        <v>195</v>
      </c>
      <c r="M115" s="7" t="s">
        <v>29</v>
      </c>
      <c r="N115" s="7" t="s">
        <v>29</v>
      </c>
      <c r="O115" s="7" t="s">
        <v>29</v>
      </c>
      <c r="P115" s="7" t="s">
        <v>29</v>
      </c>
      <c r="Q115" s="7" t="s">
        <v>29</v>
      </c>
      <c r="R115" s="7" t="s">
        <v>29</v>
      </c>
      <c r="S115" s="7" t="s">
        <v>29</v>
      </c>
    </row>
    <row r="116" spans="2:19">
      <c r="B116" s="7" t="s">
        <v>195</v>
      </c>
      <c r="C116" s="8" t="s">
        <v>195</v>
      </c>
      <c r="D116" s="6" t="str">
        <f>LRTRIM(CONCATENATE(IF(SUMPRODUCT(-- ISNUMBER(SEARCH({"Auto Number"}, $B116))) &gt; 0, $B116, IF(SUMPRODUCT(-- ISNUMBER(SEARCH({"Lookup","Master-Detail"}, $B116))) &gt; 0,$B116 &amp; "(" &amp; $E116 &amp; ")",IF(SUMPRODUCT(-- ISNUMBER(SEARCH({"Formula","Roll-Up Summary"}, $B116))) &gt; 0,$B116 &amp; " (" &amp; $E116 &amp; ")",IF(SUMPRODUCT(-- ISNUMBER(SEARCH({"Content","Currency","Number","Percent","Text","URL"}, $B116))) &gt; 0,$B116 &amp; "(" &amp; $C116 &amp; ")",$B116)))), "  ", TRIM(IF($S116 = "YES", "(External ID)", "") &amp; " " &amp; IF(SUMPRODUCT(-- ISNUMBER(SEARCH({"Unique","Unique Case Insensitive"}, $R116))) &gt; 0, "(" &amp; $R116 &amp; ")", ""))))</f>
        <v>na</v>
      </c>
      <c r="E116" s="7" t="s">
        <v>195</v>
      </c>
      <c r="F116" s="7" t="s">
        <v>195</v>
      </c>
      <c r="G116" s="7" t="s">
        <v>195</v>
      </c>
      <c r="H116" s="7" t="s">
        <v>195</v>
      </c>
      <c r="I116" s="7" t="s">
        <v>195</v>
      </c>
      <c r="J116" s="7" t="s">
        <v>195</v>
      </c>
      <c r="K116" s="7" t="s">
        <v>195</v>
      </c>
      <c r="L116" s="7" t="s">
        <v>195</v>
      </c>
      <c r="M116" s="7" t="s">
        <v>29</v>
      </c>
      <c r="N116" s="7" t="s">
        <v>29</v>
      </c>
      <c r="O116" s="7" t="s">
        <v>29</v>
      </c>
      <c r="P116" s="7" t="s">
        <v>29</v>
      </c>
      <c r="Q116" s="7" t="s">
        <v>29</v>
      </c>
      <c r="R116" s="7" t="s">
        <v>29</v>
      </c>
      <c r="S116" s="7" t="s">
        <v>29</v>
      </c>
    </row>
    <row r="117" spans="2:19">
      <c r="B117" s="7" t="s">
        <v>195</v>
      </c>
      <c r="C117" s="8" t="s">
        <v>195</v>
      </c>
      <c r="D117" s="6" t="str">
        <f>LRTRIM(CONCATENATE(IF(SUMPRODUCT(-- ISNUMBER(SEARCH({"Auto Number"}, $B117))) &gt; 0, $B117, IF(SUMPRODUCT(-- ISNUMBER(SEARCH({"Lookup","Master-Detail"}, $B117))) &gt; 0,$B117 &amp; "(" &amp; $E117 &amp; ")",IF(SUMPRODUCT(-- ISNUMBER(SEARCH({"Formula","Roll-Up Summary"}, $B117))) &gt; 0,$B117 &amp; " (" &amp; $E117 &amp; ")",IF(SUMPRODUCT(-- ISNUMBER(SEARCH({"Content","Currency","Number","Percent","Text","URL"}, $B117))) &gt; 0,$B117 &amp; "(" &amp; $C117 &amp; ")",$B117)))), "  ", TRIM(IF($S117 = "YES", "(External ID)", "") &amp; " " &amp; IF(SUMPRODUCT(-- ISNUMBER(SEARCH({"Unique","Unique Case Insensitive"}, $R117))) &gt; 0, "(" &amp; $R117 &amp; ")", ""))))</f>
        <v>na</v>
      </c>
      <c r="E117" s="7" t="s">
        <v>195</v>
      </c>
      <c r="F117" s="7" t="s">
        <v>195</v>
      </c>
      <c r="G117" s="7" t="s">
        <v>195</v>
      </c>
      <c r="H117" s="7" t="s">
        <v>195</v>
      </c>
      <c r="I117" s="7" t="s">
        <v>195</v>
      </c>
      <c r="J117" s="7" t="s">
        <v>195</v>
      </c>
      <c r="K117" s="7" t="s">
        <v>195</v>
      </c>
      <c r="L117" s="7" t="s">
        <v>195</v>
      </c>
      <c r="M117" s="7" t="s">
        <v>29</v>
      </c>
      <c r="N117" s="7" t="s">
        <v>29</v>
      </c>
      <c r="O117" s="7" t="s">
        <v>29</v>
      </c>
      <c r="P117" s="7" t="s">
        <v>29</v>
      </c>
      <c r="Q117" s="7" t="s">
        <v>29</v>
      </c>
      <c r="R117" s="7" t="s">
        <v>29</v>
      </c>
      <c r="S117" s="7" t="s">
        <v>29</v>
      </c>
    </row>
    <row r="118" spans="2:19">
      <c r="B118" s="7" t="s">
        <v>195</v>
      </c>
      <c r="C118" s="8" t="s">
        <v>195</v>
      </c>
      <c r="D118" s="6" t="str">
        <f>LRTRIM(CONCATENATE(IF(SUMPRODUCT(-- ISNUMBER(SEARCH({"Auto Number"}, $B118))) &gt; 0, $B118, IF(SUMPRODUCT(-- ISNUMBER(SEARCH({"Lookup","Master-Detail"}, $B118))) &gt; 0,$B118 &amp; "(" &amp; $E118 &amp; ")",IF(SUMPRODUCT(-- ISNUMBER(SEARCH({"Formula","Roll-Up Summary"}, $B118))) &gt; 0,$B118 &amp; " (" &amp; $E118 &amp; ")",IF(SUMPRODUCT(-- ISNUMBER(SEARCH({"Content","Currency","Number","Percent","Text","URL"}, $B118))) &gt; 0,$B118 &amp; "(" &amp; $C118 &amp; ")",$B118)))), "  ", TRIM(IF($S118 = "YES", "(External ID)", "") &amp; " " &amp; IF(SUMPRODUCT(-- ISNUMBER(SEARCH({"Unique","Unique Case Insensitive"}, $R118))) &gt; 0, "(" &amp; $R118 &amp; ")", ""))))</f>
        <v>na</v>
      </c>
      <c r="E118" s="7" t="s">
        <v>195</v>
      </c>
      <c r="F118" s="7" t="s">
        <v>195</v>
      </c>
      <c r="G118" s="7" t="s">
        <v>195</v>
      </c>
      <c r="H118" s="7" t="s">
        <v>195</v>
      </c>
      <c r="I118" s="7" t="s">
        <v>195</v>
      </c>
      <c r="J118" s="7" t="s">
        <v>195</v>
      </c>
      <c r="K118" s="7" t="s">
        <v>195</v>
      </c>
      <c r="L118" s="7" t="s">
        <v>195</v>
      </c>
      <c r="M118" s="7" t="s">
        <v>29</v>
      </c>
      <c r="N118" s="7" t="s">
        <v>29</v>
      </c>
      <c r="O118" s="7" t="s">
        <v>29</v>
      </c>
      <c r="P118" s="7" t="s">
        <v>29</v>
      </c>
      <c r="Q118" s="7" t="s">
        <v>29</v>
      </c>
      <c r="R118" s="7" t="s">
        <v>29</v>
      </c>
      <c r="S118" s="7" t="s">
        <v>29</v>
      </c>
    </row>
    <row r="119" spans="2:19">
      <c r="B119" s="7" t="s">
        <v>195</v>
      </c>
      <c r="C119" s="8" t="s">
        <v>195</v>
      </c>
      <c r="D119" s="6" t="str">
        <f>LRTRIM(CONCATENATE(IF(SUMPRODUCT(-- ISNUMBER(SEARCH({"Auto Number"}, $B119))) &gt; 0, $B119, IF(SUMPRODUCT(-- ISNUMBER(SEARCH({"Lookup","Master-Detail"}, $B119))) &gt; 0,$B119 &amp; "(" &amp; $E119 &amp; ")",IF(SUMPRODUCT(-- ISNUMBER(SEARCH({"Formula","Roll-Up Summary"}, $B119))) &gt; 0,$B119 &amp; " (" &amp; $E119 &amp; ")",IF(SUMPRODUCT(-- ISNUMBER(SEARCH({"Content","Currency","Number","Percent","Text","URL"}, $B119))) &gt; 0,$B119 &amp; "(" &amp; $C119 &amp; ")",$B119)))), "  ", TRIM(IF($S119 = "YES", "(External ID)", "") &amp; " " &amp; IF(SUMPRODUCT(-- ISNUMBER(SEARCH({"Unique","Unique Case Insensitive"}, $R119))) &gt; 0, "(" &amp; $R119 &amp; ")", ""))))</f>
        <v>na</v>
      </c>
      <c r="E119" s="7" t="s">
        <v>195</v>
      </c>
      <c r="F119" s="7" t="s">
        <v>195</v>
      </c>
      <c r="G119" s="7" t="s">
        <v>195</v>
      </c>
      <c r="H119" s="7" t="s">
        <v>195</v>
      </c>
      <c r="I119" s="7" t="s">
        <v>195</v>
      </c>
      <c r="J119" s="7" t="s">
        <v>195</v>
      </c>
      <c r="K119" s="7" t="s">
        <v>195</v>
      </c>
      <c r="L119" s="7" t="s">
        <v>195</v>
      </c>
      <c r="M119" s="7" t="s">
        <v>29</v>
      </c>
      <c r="N119" s="7" t="s">
        <v>29</v>
      </c>
      <c r="O119" s="7" t="s">
        <v>29</v>
      </c>
      <c r="P119" s="7" t="s">
        <v>29</v>
      </c>
      <c r="Q119" s="7" t="s">
        <v>29</v>
      </c>
      <c r="R119" s="7" t="s">
        <v>29</v>
      </c>
      <c r="S119" s="7" t="s">
        <v>29</v>
      </c>
    </row>
    <row r="120" spans="2:19">
      <c r="B120" s="7" t="s">
        <v>195</v>
      </c>
      <c r="C120" s="8" t="s">
        <v>195</v>
      </c>
      <c r="D120" s="6" t="str">
        <f>LRTRIM(CONCATENATE(IF(SUMPRODUCT(-- ISNUMBER(SEARCH({"Auto Number"}, $B120))) &gt; 0, $B120, IF(SUMPRODUCT(-- ISNUMBER(SEARCH({"Lookup","Master-Detail"}, $B120))) &gt; 0,$B120 &amp; "(" &amp; $E120 &amp; ")",IF(SUMPRODUCT(-- ISNUMBER(SEARCH({"Formula","Roll-Up Summary"}, $B120))) &gt; 0,$B120 &amp; " (" &amp; $E120 &amp; ")",IF(SUMPRODUCT(-- ISNUMBER(SEARCH({"Content","Currency","Number","Percent","Text","URL"}, $B120))) &gt; 0,$B120 &amp; "(" &amp; $C120 &amp; ")",$B120)))), "  ", TRIM(IF($S120 = "YES", "(External ID)", "") &amp; " " &amp; IF(SUMPRODUCT(-- ISNUMBER(SEARCH({"Unique","Unique Case Insensitive"}, $R120))) &gt; 0, "(" &amp; $R120 &amp; ")", ""))))</f>
        <v>na</v>
      </c>
      <c r="E120" s="7" t="s">
        <v>195</v>
      </c>
      <c r="F120" s="7" t="s">
        <v>195</v>
      </c>
      <c r="G120" s="7" t="s">
        <v>195</v>
      </c>
      <c r="H120" s="7" t="s">
        <v>195</v>
      </c>
      <c r="I120" s="7" t="s">
        <v>195</v>
      </c>
      <c r="J120" s="7" t="s">
        <v>195</v>
      </c>
      <c r="K120" s="7" t="s">
        <v>195</v>
      </c>
      <c r="L120" s="7" t="s">
        <v>195</v>
      </c>
      <c r="M120" s="7" t="s">
        <v>29</v>
      </c>
      <c r="N120" s="7" t="s">
        <v>29</v>
      </c>
      <c r="O120" s="7" t="s">
        <v>29</v>
      </c>
      <c r="P120" s="7" t="s">
        <v>29</v>
      </c>
      <c r="Q120" s="7" t="s">
        <v>29</v>
      </c>
      <c r="R120" s="7" t="s">
        <v>29</v>
      </c>
      <c r="S120" s="7" t="s">
        <v>29</v>
      </c>
    </row>
    <row r="121" spans="2:19">
      <c r="B121" s="7" t="s">
        <v>195</v>
      </c>
      <c r="C121" s="8" t="s">
        <v>195</v>
      </c>
      <c r="D121" s="6" t="str">
        <f>LRTRIM(CONCATENATE(IF(SUMPRODUCT(-- ISNUMBER(SEARCH({"Auto Number"}, $B121))) &gt; 0, $B121, IF(SUMPRODUCT(-- ISNUMBER(SEARCH({"Lookup","Master-Detail"}, $B121))) &gt; 0,$B121 &amp; "(" &amp; $E121 &amp; ")",IF(SUMPRODUCT(-- ISNUMBER(SEARCH({"Formula","Roll-Up Summary"}, $B121))) &gt; 0,$B121 &amp; " (" &amp; $E121 &amp; ")",IF(SUMPRODUCT(-- ISNUMBER(SEARCH({"Content","Currency","Number","Percent","Text","URL"}, $B121))) &gt; 0,$B121 &amp; "(" &amp; $C121 &amp; ")",$B121)))), "  ", TRIM(IF($S121 = "YES", "(External ID)", "") &amp; " " &amp; IF(SUMPRODUCT(-- ISNUMBER(SEARCH({"Unique","Unique Case Insensitive"}, $R121))) &gt; 0, "(" &amp; $R121 &amp; ")", ""))))</f>
        <v>na</v>
      </c>
      <c r="E121" s="7" t="s">
        <v>195</v>
      </c>
      <c r="F121" s="7" t="s">
        <v>195</v>
      </c>
      <c r="G121" s="7" t="s">
        <v>195</v>
      </c>
      <c r="H121" s="7" t="s">
        <v>195</v>
      </c>
      <c r="I121" s="7" t="s">
        <v>195</v>
      </c>
      <c r="J121" s="7" t="s">
        <v>195</v>
      </c>
      <c r="K121" s="7" t="s">
        <v>195</v>
      </c>
      <c r="L121" s="7" t="s">
        <v>195</v>
      </c>
      <c r="M121" s="7" t="s">
        <v>29</v>
      </c>
      <c r="N121" s="7" t="s">
        <v>29</v>
      </c>
      <c r="O121" s="7" t="s">
        <v>29</v>
      </c>
      <c r="P121" s="7" t="s">
        <v>29</v>
      </c>
      <c r="Q121" s="7" t="s">
        <v>29</v>
      </c>
      <c r="R121" s="7" t="s">
        <v>29</v>
      </c>
      <c r="S121" s="7" t="s">
        <v>29</v>
      </c>
    </row>
    <row r="122" spans="2:19">
      <c r="B122" s="7" t="s">
        <v>195</v>
      </c>
      <c r="C122" s="8" t="s">
        <v>195</v>
      </c>
      <c r="D122" s="6" t="str">
        <f>LRTRIM(CONCATENATE(IF(SUMPRODUCT(-- ISNUMBER(SEARCH({"Auto Number"}, $B122))) &gt; 0, $B122, IF(SUMPRODUCT(-- ISNUMBER(SEARCH({"Lookup","Master-Detail"}, $B122))) &gt; 0,$B122 &amp; "(" &amp; $E122 &amp; ")",IF(SUMPRODUCT(-- ISNUMBER(SEARCH({"Formula","Roll-Up Summary"}, $B122))) &gt; 0,$B122 &amp; " (" &amp; $E122 &amp; ")",IF(SUMPRODUCT(-- ISNUMBER(SEARCH({"Content","Currency","Number","Percent","Text","URL"}, $B122))) &gt; 0,$B122 &amp; "(" &amp; $C122 &amp; ")",$B122)))), "  ", TRIM(IF($S122 = "YES", "(External ID)", "") &amp; " " &amp; IF(SUMPRODUCT(-- ISNUMBER(SEARCH({"Unique","Unique Case Insensitive"}, $R122))) &gt; 0, "(" &amp; $R122 &amp; ")", ""))))</f>
        <v>na</v>
      </c>
      <c r="E122" s="7" t="s">
        <v>195</v>
      </c>
      <c r="F122" s="7" t="s">
        <v>195</v>
      </c>
      <c r="G122" s="7" t="s">
        <v>195</v>
      </c>
      <c r="H122" s="7" t="s">
        <v>195</v>
      </c>
      <c r="I122" s="7" t="s">
        <v>195</v>
      </c>
      <c r="J122" s="7" t="s">
        <v>195</v>
      </c>
      <c r="K122" s="7" t="s">
        <v>195</v>
      </c>
      <c r="L122" s="7" t="s">
        <v>195</v>
      </c>
      <c r="M122" s="7" t="s">
        <v>29</v>
      </c>
      <c r="N122" s="7" t="s">
        <v>29</v>
      </c>
      <c r="O122" s="7" t="s">
        <v>29</v>
      </c>
      <c r="P122" s="7" t="s">
        <v>29</v>
      </c>
      <c r="Q122" s="7" t="s">
        <v>29</v>
      </c>
      <c r="R122" s="7" t="s">
        <v>29</v>
      </c>
      <c r="S122" s="7" t="s">
        <v>29</v>
      </c>
    </row>
    <row r="123" spans="2:19">
      <c r="B123" s="7" t="s">
        <v>195</v>
      </c>
      <c r="C123" s="8" t="s">
        <v>195</v>
      </c>
      <c r="D123" s="6" t="str">
        <f>LRTRIM(CONCATENATE(IF(SUMPRODUCT(-- ISNUMBER(SEARCH({"Auto Number"}, $B123))) &gt; 0, $B123, IF(SUMPRODUCT(-- ISNUMBER(SEARCH({"Lookup","Master-Detail"}, $B123))) &gt; 0,$B123 &amp; "(" &amp; $E123 &amp; ")",IF(SUMPRODUCT(-- ISNUMBER(SEARCH({"Formula","Roll-Up Summary"}, $B123))) &gt; 0,$B123 &amp; " (" &amp; $E123 &amp; ")",IF(SUMPRODUCT(-- ISNUMBER(SEARCH({"Content","Currency","Number","Percent","Text","URL"}, $B123))) &gt; 0,$B123 &amp; "(" &amp; $C123 &amp; ")",$B123)))), "  ", TRIM(IF($S123 = "YES", "(External ID)", "") &amp; " " &amp; IF(SUMPRODUCT(-- ISNUMBER(SEARCH({"Unique","Unique Case Insensitive"}, $R123))) &gt; 0, "(" &amp; $R123 &amp; ")", ""))))</f>
        <v>na</v>
      </c>
      <c r="E123" s="7" t="s">
        <v>195</v>
      </c>
      <c r="F123" s="7" t="s">
        <v>195</v>
      </c>
      <c r="G123" s="7" t="s">
        <v>195</v>
      </c>
      <c r="H123" s="7" t="s">
        <v>195</v>
      </c>
      <c r="I123" s="7" t="s">
        <v>195</v>
      </c>
      <c r="J123" s="7" t="s">
        <v>195</v>
      </c>
      <c r="K123" s="7" t="s">
        <v>195</v>
      </c>
      <c r="L123" s="7" t="s">
        <v>195</v>
      </c>
      <c r="M123" s="7" t="s">
        <v>29</v>
      </c>
      <c r="N123" s="7" t="s">
        <v>29</v>
      </c>
      <c r="O123" s="7" t="s">
        <v>29</v>
      </c>
      <c r="P123" s="7" t="s">
        <v>29</v>
      </c>
      <c r="Q123" s="7" t="s">
        <v>29</v>
      </c>
      <c r="R123" s="7" t="s">
        <v>29</v>
      </c>
      <c r="S123" s="7" t="s">
        <v>29</v>
      </c>
    </row>
    <row r="124" spans="2:19">
      <c r="B124" s="7" t="s">
        <v>195</v>
      </c>
      <c r="C124" s="8" t="s">
        <v>195</v>
      </c>
      <c r="D124" s="6" t="str">
        <f>LRTRIM(CONCATENATE(IF(SUMPRODUCT(-- ISNUMBER(SEARCH({"Auto Number"}, $B124))) &gt; 0, $B124, IF(SUMPRODUCT(-- ISNUMBER(SEARCH({"Lookup","Master-Detail"}, $B124))) &gt; 0,$B124 &amp; "(" &amp; $E124 &amp; ")",IF(SUMPRODUCT(-- ISNUMBER(SEARCH({"Formula","Roll-Up Summary"}, $B124))) &gt; 0,$B124 &amp; " (" &amp; $E124 &amp; ")",IF(SUMPRODUCT(-- ISNUMBER(SEARCH({"Content","Currency","Number","Percent","Text","URL"}, $B124))) &gt; 0,$B124 &amp; "(" &amp; $C124 &amp; ")",$B124)))), "  ", TRIM(IF($S124 = "YES", "(External ID)", "") &amp; " " &amp; IF(SUMPRODUCT(-- ISNUMBER(SEARCH({"Unique","Unique Case Insensitive"}, $R124))) &gt; 0, "(" &amp; $R124 &amp; ")", ""))))</f>
        <v>na</v>
      </c>
      <c r="E124" s="7" t="s">
        <v>195</v>
      </c>
      <c r="F124" s="7" t="s">
        <v>195</v>
      </c>
      <c r="G124" s="7" t="s">
        <v>195</v>
      </c>
      <c r="H124" s="7" t="s">
        <v>195</v>
      </c>
      <c r="I124" s="7" t="s">
        <v>195</v>
      </c>
      <c r="J124" s="7" t="s">
        <v>195</v>
      </c>
      <c r="K124" s="7" t="s">
        <v>195</v>
      </c>
      <c r="L124" s="7" t="s">
        <v>195</v>
      </c>
      <c r="M124" s="7" t="s">
        <v>29</v>
      </c>
      <c r="N124" s="7" t="s">
        <v>29</v>
      </c>
      <c r="O124" s="7" t="s">
        <v>29</v>
      </c>
      <c r="P124" s="7" t="s">
        <v>29</v>
      </c>
      <c r="Q124" s="7" t="s">
        <v>29</v>
      </c>
      <c r="R124" s="7" t="s">
        <v>29</v>
      </c>
      <c r="S124" s="7" t="s">
        <v>29</v>
      </c>
    </row>
    <row r="125" spans="2:19">
      <c r="B125" s="7" t="s">
        <v>195</v>
      </c>
      <c r="C125" s="8" t="s">
        <v>195</v>
      </c>
      <c r="D125" s="6" t="str">
        <f>LRTRIM(CONCATENATE(IF(SUMPRODUCT(-- ISNUMBER(SEARCH({"Auto Number"}, $B125))) &gt; 0, $B125, IF(SUMPRODUCT(-- ISNUMBER(SEARCH({"Lookup","Master-Detail"}, $B125))) &gt; 0,$B125 &amp; "(" &amp; $E125 &amp; ")",IF(SUMPRODUCT(-- ISNUMBER(SEARCH({"Formula","Roll-Up Summary"}, $B125))) &gt; 0,$B125 &amp; " (" &amp; $E125 &amp; ")",IF(SUMPRODUCT(-- ISNUMBER(SEARCH({"Content","Currency","Number","Percent","Text","URL"}, $B125))) &gt; 0,$B125 &amp; "(" &amp; $C125 &amp; ")",$B125)))), "  ", TRIM(IF($S125 = "YES", "(External ID)", "") &amp; " " &amp; IF(SUMPRODUCT(-- ISNUMBER(SEARCH({"Unique","Unique Case Insensitive"}, $R125))) &gt; 0, "(" &amp; $R125 &amp; ")", ""))))</f>
        <v>na</v>
      </c>
      <c r="E125" s="7" t="s">
        <v>195</v>
      </c>
      <c r="F125" s="7" t="s">
        <v>195</v>
      </c>
      <c r="G125" s="7" t="s">
        <v>195</v>
      </c>
      <c r="H125" s="7" t="s">
        <v>195</v>
      </c>
      <c r="I125" s="7" t="s">
        <v>195</v>
      </c>
      <c r="J125" s="7" t="s">
        <v>195</v>
      </c>
      <c r="K125" s="7" t="s">
        <v>195</v>
      </c>
      <c r="L125" s="7" t="s">
        <v>195</v>
      </c>
      <c r="M125" s="7" t="s">
        <v>29</v>
      </c>
      <c r="N125" s="7" t="s">
        <v>29</v>
      </c>
      <c r="O125" s="7" t="s">
        <v>29</v>
      </c>
      <c r="P125" s="7" t="s">
        <v>29</v>
      </c>
      <c r="Q125" s="7" t="s">
        <v>29</v>
      </c>
      <c r="R125" s="7" t="s">
        <v>29</v>
      </c>
      <c r="S125" s="7" t="s">
        <v>29</v>
      </c>
    </row>
    <row r="126" spans="2:19">
      <c r="B126" s="7" t="s">
        <v>195</v>
      </c>
      <c r="C126" s="8" t="s">
        <v>195</v>
      </c>
      <c r="D126" s="6" t="str">
        <f>LRTRIM(CONCATENATE(IF(SUMPRODUCT(-- ISNUMBER(SEARCH({"Auto Number"}, $B126))) &gt; 0, $B126, IF(SUMPRODUCT(-- ISNUMBER(SEARCH({"Lookup","Master-Detail"}, $B126))) &gt; 0,$B126 &amp; "(" &amp; $E126 &amp; ")",IF(SUMPRODUCT(-- ISNUMBER(SEARCH({"Formula","Roll-Up Summary"}, $B126))) &gt; 0,$B126 &amp; " (" &amp; $E126 &amp; ")",IF(SUMPRODUCT(-- ISNUMBER(SEARCH({"Content","Currency","Number","Percent","Text","URL"}, $B126))) &gt; 0,$B126 &amp; "(" &amp; $C126 &amp; ")",$B126)))), "  ", TRIM(IF($S126 = "YES", "(External ID)", "") &amp; " " &amp; IF(SUMPRODUCT(-- ISNUMBER(SEARCH({"Unique","Unique Case Insensitive"}, $R126))) &gt; 0, "(" &amp; $R126 &amp; ")", ""))))</f>
        <v>na</v>
      </c>
      <c r="E126" s="7" t="s">
        <v>195</v>
      </c>
      <c r="F126" s="7" t="s">
        <v>195</v>
      </c>
      <c r="G126" s="7" t="s">
        <v>195</v>
      </c>
      <c r="H126" s="7" t="s">
        <v>195</v>
      </c>
      <c r="I126" s="7" t="s">
        <v>195</v>
      </c>
      <c r="J126" s="7" t="s">
        <v>195</v>
      </c>
      <c r="K126" s="7" t="s">
        <v>195</v>
      </c>
      <c r="L126" s="7" t="s">
        <v>195</v>
      </c>
      <c r="M126" s="7" t="s">
        <v>29</v>
      </c>
      <c r="N126" s="7" t="s">
        <v>29</v>
      </c>
      <c r="O126" s="7" t="s">
        <v>29</v>
      </c>
      <c r="P126" s="7" t="s">
        <v>29</v>
      </c>
      <c r="Q126" s="7" t="s">
        <v>29</v>
      </c>
      <c r="R126" s="7" t="s">
        <v>29</v>
      </c>
      <c r="S126" s="7" t="s">
        <v>29</v>
      </c>
    </row>
    <row r="127" spans="2:19">
      <c r="B127" s="7" t="s">
        <v>195</v>
      </c>
      <c r="C127" s="8" t="s">
        <v>195</v>
      </c>
      <c r="D127" s="6" t="str">
        <f>LRTRIM(CONCATENATE(IF(SUMPRODUCT(-- ISNUMBER(SEARCH({"Auto Number"}, $B127))) &gt; 0, $B127, IF(SUMPRODUCT(-- ISNUMBER(SEARCH({"Lookup","Master-Detail"}, $B127))) &gt; 0,$B127 &amp; "(" &amp; $E127 &amp; ")",IF(SUMPRODUCT(-- ISNUMBER(SEARCH({"Formula","Roll-Up Summary"}, $B127))) &gt; 0,$B127 &amp; " (" &amp; $E127 &amp; ")",IF(SUMPRODUCT(-- ISNUMBER(SEARCH({"Content","Currency","Number","Percent","Text","URL"}, $B127))) &gt; 0,$B127 &amp; "(" &amp; $C127 &amp; ")",$B127)))), "  ", TRIM(IF($S127 = "YES", "(External ID)", "") &amp; " " &amp; IF(SUMPRODUCT(-- ISNUMBER(SEARCH({"Unique","Unique Case Insensitive"}, $R127))) &gt; 0, "(" &amp; $R127 &amp; ")", ""))))</f>
        <v>na</v>
      </c>
      <c r="E127" s="7" t="s">
        <v>195</v>
      </c>
      <c r="F127" s="7" t="s">
        <v>195</v>
      </c>
      <c r="G127" s="7" t="s">
        <v>195</v>
      </c>
      <c r="H127" s="7" t="s">
        <v>195</v>
      </c>
      <c r="I127" s="7" t="s">
        <v>195</v>
      </c>
      <c r="J127" s="7" t="s">
        <v>195</v>
      </c>
      <c r="K127" s="7" t="s">
        <v>195</v>
      </c>
      <c r="L127" s="7" t="s">
        <v>195</v>
      </c>
      <c r="M127" s="7" t="s">
        <v>29</v>
      </c>
      <c r="N127" s="7" t="s">
        <v>29</v>
      </c>
      <c r="O127" s="7" t="s">
        <v>29</v>
      </c>
      <c r="P127" s="7" t="s">
        <v>29</v>
      </c>
      <c r="Q127" s="7" t="s">
        <v>29</v>
      </c>
      <c r="R127" s="7" t="s">
        <v>29</v>
      </c>
      <c r="S127" s="7" t="s">
        <v>29</v>
      </c>
    </row>
    <row r="128" spans="2:19">
      <c r="B128" s="7" t="s">
        <v>195</v>
      </c>
      <c r="C128" s="8" t="s">
        <v>195</v>
      </c>
      <c r="D128" s="6" t="str">
        <f>LRTRIM(CONCATENATE(IF(SUMPRODUCT(-- ISNUMBER(SEARCH({"Auto Number"}, $B128))) &gt; 0, $B128, IF(SUMPRODUCT(-- ISNUMBER(SEARCH({"Lookup","Master-Detail"}, $B128))) &gt; 0,$B128 &amp; "(" &amp; $E128 &amp; ")",IF(SUMPRODUCT(-- ISNUMBER(SEARCH({"Formula","Roll-Up Summary"}, $B128))) &gt; 0,$B128 &amp; " (" &amp; $E128 &amp; ")",IF(SUMPRODUCT(-- ISNUMBER(SEARCH({"Content","Currency","Number","Percent","Text","URL"}, $B128))) &gt; 0,$B128 &amp; "(" &amp; $C128 &amp; ")",$B128)))), "  ", TRIM(IF($S128 = "YES", "(External ID)", "") &amp; " " &amp; IF(SUMPRODUCT(-- ISNUMBER(SEARCH({"Unique","Unique Case Insensitive"}, $R128))) &gt; 0, "(" &amp; $R128 &amp; ")", ""))))</f>
        <v>na</v>
      </c>
      <c r="E128" s="7" t="s">
        <v>195</v>
      </c>
      <c r="F128" s="7" t="s">
        <v>195</v>
      </c>
      <c r="G128" s="7" t="s">
        <v>195</v>
      </c>
      <c r="H128" s="7" t="s">
        <v>195</v>
      </c>
      <c r="I128" s="7" t="s">
        <v>195</v>
      </c>
      <c r="J128" s="7" t="s">
        <v>195</v>
      </c>
      <c r="K128" s="7" t="s">
        <v>195</v>
      </c>
      <c r="L128" s="7" t="s">
        <v>195</v>
      </c>
      <c r="M128" s="7" t="s">
        <v>29</v>
      </c>
      <c r="N128" s="7" t="s">
        <v>29</v>
      </c>
      <c r="O128" s="7" t="s">
        <v>29</v>
      </c>
      <c r="P128" s="7" t="s">
        <v>29</v>
      </c>
      <c r="Q128" s="7" t="s">
        <v>29</v>
      </c>
      <c r="R128" s="7" t="s">
        <v>29</v>
      </c>
      <c r="S128" s="7" t="s">
        <v>29</v>
      </c>
    </row>
    <row r="129" spans="2:19">
      <c r="B129" s="7" t="s">
        <v>195</v>
      </c>
      <c r="C129" s="8" t="s">
        <v>195</v>
      </c>
      <c r="D129" s="6" t="str">
        <f>LRTRIM(CONCATENATE(IF(SUMPRODUCT(-- ISNUMBER(SEARCH({"Auto Number"}, $B129))) &gt; 0, $B129, IF(SUMPRODUCT(-- ISNUMBER(SEARCH({"Lookup","Master-Detail"}, $B129))) &gt; 0,$B129 &amp; "(" &amp; $E129 &amp; ")",IF(SUMPRODUCT(-- ISNUMBER(SEARCH({"Formula","Roll-Up Summary"}, $B129))) &gt; 0,$B129 &amp; " (" &amp; $E129 &amp; ")",IF(SUMPRODUCT(-- ISNUMBER(SEARCH({"Content","Currency","Number","Percent","Text","URL"}, $B129))) &gt; 0,$B129 &amp; "(" &amp; $C129 &amp; ")",$B129)))), "  ", TRIM(IF($S129 = "YES", "(External ID)", "") &amp; " " &amp; IF(SUMPRODUCT(-- ISNUMBER(SEARCH({"Unique","Unique Case Insensitive"}, $R129))) &gt; 0, "(" &amp; $R129 &amp; ")", ""))))</f>
        <v>na</v>
      </c>
      <c r="E129" s="7" t="s">
        <v>195</v>
      </c>
      <c r="F129" s="7" t="s">
        <v>195</v>
      </c>
      <c r="G129" s="7" t="s">
        <v>195</v>
      </c>
      <c r="H129" s="7" t="s">
        <v>195</v>
      </c>
      <c r="I129" s="7" t="s">
        <v>195</v>
      </c>
      <c r="J129" s="7" t="s">
        <v>195</v>
      </c>
      <c r="K129" s="7" t="s">
        <v>195</v>
      </c>
      <c r="L129" s="7" t="s">
        <v>195</v>
      </c>
      <c r="M129" s="7" t="s">
        <v>29</v>
      </c>
      <c r="N129" s="7" t="s">
        <v>29</v>
      </c>
      <c r="O129" s="7" t="s">
        <v>29</v>
      </c>
      <c r="P129" s="7" t="s">
        <v>29</v>
      </c>
      <c r="Q129" s="7" t="s">
        <v>29</v>
      </c>
      <c r="R129" s="7" t="s">
        <v>29</v>
      </c>
      <c r="S129" s="7" t="s">
        <v>29</v>
      </c>
    </row>
    <row r="130" spans="2:19">
      <c r="B130" s="7" t="s">
        <v>195</v>
      </c>
      <c r="C130" s="8" t="s">
        <v>195</v>
      </c>
      <c r="D130" s="6" t="str">
        <f>LRTRIM(CONCATENATE(IF(SUMPRODUCT(-- ISNUMBER(SEARCH({"Auto Number"}, $B130))) &gt; 0, $B130, IF(SUMPRODUCT(-- ISNUMBER(SEARCH({"Lookup","Master-Detail"}, $B130))) &gt; 0,$B130 &amp; "(" &amp; $E130 &amp; ")",IF(SUMPRODUCT(-- ISNUMBER(SEARCH({"Formula","Roll-Up Summary"}, $B130))) &gt; 0,$B130 &amp; " (" &amp; $E130 &amp; ")",IF(SUMPRODUCT(-- ISNUMBER(SEARCH({"Content","Currency","Number","Percent","Text","URL"}, $B130))) &gt; 0,$B130 &amp; "(" &amp; $C130 &amp; ")",$B130)))), "  ", TRIM(IF($S130 = "YES", "(External ID)", "") &amp; " " &amp; IF(SUMPRODUCT(-- ISNUMBER(SEARCH({"Unique","Unique Case Insensitive"}, $R130))) &gt; 0, "(" &amp; $R130 &amp; ")", ""))))</f>
        <v>na</v>
      </c>
      <c r="E130" s="7" t="s">
        <v>195</v>
      </c>
      <c r="F130" s="7" t="s">
        <v>195</v>
      </c>
      <c r="G130" s="7" t="s">
        <v>195</v>
      </c>
      <c r="H130" s="7" t="s">
        <v>195</v>
      </c>
      <c r="I130" s="7" t="s">
        <v>195</v>
      </c>
      <c r="J130" s="7" t="s">
        <v>195</v>
      </c>
      <c r="K130" s="7" t="s">
        <v>195</v>
      </c>
      <c r="L130" s="7" t="s">
        <v>195</v>
      </c>
      <c r="M130" s="7" t="s">
        <v>29</v>
      </c>
      <c r="N130" s="7" t="s">
        <v>29</v>
      </c>
      <c r="O130" s="7" t="s">
        <v>29</v>
      </c>
      <c r="P130" s="7" t="s">
        <v>29</v>
      </c>
      <c r="Q130" s="7" t="s">
        <v>29</v>
      </c>
      <c r="R130" s="7" t="s">
        <v>29</v>
      </c>
      <c r="S130" s="7" t="s">
        <v>29</v>
      </c>
    </row>
    <row r="131" spans="2:19">
      <c r="B131" s="7" t="s">
        <v>195</v>
      </c>
      <c r="C131" s="8" t="s">
        <v>195</v>
      </c>
      <c r="D131" s="6" t="str">
        <f>LRTRIM(CONCATENATE(IF(SUMPRODUCT(-- ISNUMBER(SEARCH({"Auto Number"}, $B131))) &gt; 0, $B131, IF(SUMPRODUCT(-- ISNUMBER(SEARCH({"Lookup","Master-Detail"}, $B131))) &gt; 0,$B131 &amp; "(" &amp; $E131 &amp; ")",IF(SUMPRODUCT(-- ISNUMBER(SEARCH({"Formula","Roll-Up Summary"}, $B131))) &gt; 0,$B131 &amp; " (" &amp; $E131 &amp; ")",IF(SUMPRODUCT(-- ISNUMBER(SEARCH({"Content","Currency","Number","Percent","Text","URL"}, $B131))) &gt; 0,$B131 &amp; "(" &amp; $C131 &amp; ")",$B131)))), "  ", TRIM(IF($S131 = "YES", "(External ID)", "") &amp; " " &amp; IF(SUMPRODUCT(-- ISNUMBER(SEARCH({"Unique","Unique Case Insensitive"}, $R131))) &gt; 0, "(" &amp; $R131 &amp; ")", ""))))</f>
        <v>na</v>
      </c>
      <c r="E131" s="7" t="s">
        <v>195</v>
      </c>
      <c r="F131" s="7" t="s">
        <v>195</v>
      </c>
      <c r="G131" s="7" t="s">
        <v>195</v>
      </c>
      <c r="H131" s="7" t="s">
        <v>195</v>
      </c>
      <c r="I131" s="7" t="s">
        <v>195</v>
      </c>
      <c r="J131" s="7" t="s">
        <v>195</v>
      </c>
      <c r="K131" s="7" t="s">
        <v>195</v>
      </c>
      <c r="L131" s="7" t="s">
        <v>195</v>
      </c>
      <c r="M131" s="7" t="s">
        <v>29</v>
      </c>
      <c r="N131" s="7" t="s">
        <v>29</v>
      </c>
      <c r="O131" s="7" t="s">
        <v>29</v>
      </c>
      <c r="P131" s="7" t="s">
        <v>29</v>
      </c>
      <c r="Q131" s="7" t="s">
        <v>29</v>
      </c>
      <c r="R131" s="7" t="s">
        <v>29</v>
      </c>
      <c r="S131" s="7" t="s">
        <v>29</v>
      </c>
    </row>
    <row r="132" spans="2:19">
      <c r="B132" s="7" t="s">
        <v>195</v>
      </c>
      <c r="C132" s="8" t="s">
        <v>195</v>
      </c>
      <c r="D132" s="6" t="str">
        <f>LRTRIM(CONCATENATE(IF(SUMPRODUCT(-- ISNUMBER(SEARCH({"Auto Number"}, $B132))) &gt; 0, $B132, IF(SUMPRODUCT(-- ISNUMBER(SEARCH({"Lookup","Master-Detail"}, $B132))) &gt; 0,$B132 &amp; "(" &amp; $E132 &amp; ")",IF(SUMPRODUCT(-- ISNUMBER(SEARCH({"Formula","Roll-Up Summary"}, $B132))) &gt; 0,$B132 &amp; " (" &amp; $E132 &amp; ")",IF(SUMPRODUCT(-- ISNUMBER(SEARCH({"Content","Currency","Number","Percent","Text","URL"}, $B132))) &gt; 0,$B132 &amp; "(" &amp; $C132 &amp; ")",$B132)))), "  ", TRIM(IF($S132 = "YES", "(External ID)", "") &amp; " " &amp; IF(SUMPRODUCT(-- ISNUMBER(SEARCH({"Unique","Unique Case Insensitive"}, $R132))) &gt; 0, "(" &amp; $R132 &amp; ")", ""))))</f>
        <v>na</v>
      </c>
      <c r="E132" s="7" t="s">
        <v>195</v>
      </c>
      <c r="F132" s="7" t="s">
        <v>195</v>
      </c>
      <c r="G132" s="7" t="s">
        <v>195</v>
      </c>
      <c r="H132" s="7" t="s">
        <v>195</v>
      </c>
      <c r="I132" s="7" t="s">
        <v>195</v>
      </c>
      <c r="J132" s="7" t="s">
        <v>195</v>
      </c>
      <c r="K132" s="7" t="s">
        <v>195</v>
      </c>
      <c r="L132" s="7" t="s">
        <v>195</v>
      </c>
      <c r="M132" s="7" t="s">
        <v>29</v>
      </c>
      <c r="N132" s="7" t="s">
        <v>29</v>
      </c>
      <c r="O132" s="7" t="s">
        <v>29</v>
      </c>
      <c r="P132" s="7" t="s">
        <v>29</v>
      </c>
      <c r="Q132" s="7" t="s">
        <v>29</v>
      </c>
      <c r="R132" s="7" t="s">
        <v>29</v>
      </c>
      <c r="S132" s="7" t="s">
        <v>29</v>
      </c>
    </row>
    <row r="133" spans="2:19">
      <c r="B133" s="7" t="s">
        <v>195</v>
      </c>
      <c r="C133" s="8" t="s">
        <v>195</v>
      </c>
      <c r="D133" s="6" t="str">
        <f>LRTRIM(CONCATENATE(IF(SUMPRODUCT(-- ISNUMBER(SEARCH({"Auto Number"}, $B133))) &gt; 0, $B133, IF(SUMPRODUCT(-- ISNUMBER(SEARCH({"Lookup","Master-Detail"}, $B133))) &gt; 0,$B133 &amp; "(" &amp; $E133 &amp; ")",IF(SUMPRODUCT(-- ISNUMBER(SEARCH({"Formula","Roll-Up Summary"}, $B133))) &gt; 0,$B133 &amp; " (" &amp; $E133 &amp; ")",IF(SUMPRODUCT(-- ISNUMBER(SEARCH({"Content","Currency","Number","Percent","Text","URL"}, $B133))) &gt; 0,$B133 &amp; "(" &amp; $C133 &amp; ")",$B133)))), "  ", TRIM(IF($S133 = "YES", "(External ID)", "") &amp; " " &amp; IF(SUMPRODUCT(-- ISNUMBER(SEARCH({"Unique","Unique Case Insensitive"}, $R133))) &gt; 0, "(" &amp; $R133 &amp; ")", ""))))</f>
        <v>na</v>
      </c>
      <c r="E133" s="7" t="s">
        <v>195</v>
      </c>
      <c r="F133" s="7" t="s">
        <v>195</v>
      </c>
      <c r="G133" s="7" t="s">
        <v>195</v>
      </c>
      <c r="H133" s="7" t="s">
        <v>195</v>
      </c>
      <c r="I133" s="7" t="s">
        <v>195</v>
      </c>
      <c r="J133" s="7" t="s">
        <v>195</v>
      </c>
      <c r="K133" s="7" t="s">
        <v>195</v>
      </c>
      <c r="L133" s="7" t="s">
        <v>195</v>
      </c>
      <c r="M133" s="7" t="s">
        <v>29</v>
      </c>
      <c r="N133" s="7" t="s">
        <v>29</v>
      </c>
      <c r="O133" s="7" t="s">
        <v>29</v>
      </c>
      <c r="P133" s="7" t="s">
        <v>29</v>
      </c>
      <c r="Q133" s="7" t="s">
        <v>29</v>
      </c>
      <c r="R133" s="7" t="s">
        <v>29</v>
      </c>
      <c r="S133" s="7" t="s">
        <v>29</v>
      </c>
    </row>
    <row r="134" spans="2:19">
      <c r="B134" s="7" t="s">
        <v>195</v>
      </c>
      <c r="C134" s="8" t="s">
        <v>195</v>
      </c>
      <c r="D134" s="6" t="str">
        <f>LRTRIM(CONCATENATE(IF(SUMPRODUCT(-- ISNUMBER(SEARCH({"Auto Number"}, $B134))) &gt; 0, $B134, IF(SUMPRODUCT(-- ISNUMBER(SEARCH({"Lookup","Master-Detail"}, $B134))) &gt; 0,$B134 &amp; "(" &amp; $E134 &amp; ")",IF(SUMPRODUCT(-- ISNUMBER(SEARCH({"Formula","Roll-Up Summary"}, $B134))) &gt; 0,$B134 &amp; " (" &amp; $E134 &amp; ")",IF(SUMPRODUCT(-- ISNUMBER(SEARCH({"Content","Currency","Number","Percent","Text","URL"}, $B134))) &gt; 0,$B134 &amp; "(" &amp; $C134 &amp; ")",$B134)))), "  ", TRIM(IF($S134 = "YES", "(External ID)", "") &amp; " " &amp; IF(SUMPRODUCT(-- ISNUMBER(SEARCH({"Unique","Unique Case Insensitive"}, $R134))) &gt; 0, "(" &amp; $R134 &amp; ")", ""))))</f>
        <v>na</v>
      </c>
      <c r="E134" s="7" t="s">
        <v>195</v>
      </c>
      <c r="F134" s="7" t="s">
        <v>195</v>
      </c>
      <c r="G134" s="7" t="s">
        <v>195</v>
      </c>
      <c r="H134" s="7" t="s">
        <v>195</v>
      </c>
      <c r="I134" s="7" t="s">
        <v>195</v>
      </c>
      <c r="J134" s="7" t="s">
        <v>195</v>
      </c>
      <c r="K134" s="7" t="s">
        <v>195</v>
      </c>
      <c r="L134" s="7" t="s">
        <v>195</v>
      </c>
      <c r="M134" s="7" t="s">
        <v>29</v>
      </c>
      <c r="N134" s="7" t="s">
        <v>29</v>
      </c>
      <c r="O134" s="7" t="s">
        <v>29</v>
      </c>
      <c r="P134" s="7" t="s">
        <v>29</v>
      </c>
      <c r="Q134" s="7" t="s">
        <v>29</v>
      </c>
      <c r="R134" s="7" t="s">
        <v>29</v>
      </c>
      <c r="S134" s="7" t="s">
        <v>29</v>
      </c>
    </row>
    <row r="135" spans="2:19">
      <c r="B135" s="7" t="s">
        <v>195</v>
      </c>
      <c r="C135" s="8" t="s">
        <v>195</v>
      </c>
      <c r="D135" s="6" t="str">
        <f>LRTRIM(CONCATENATE(IF(SUMPRODUCT(-- ISNUMBER(SEARCH({"Auto Number"}, $B135))) &gt; 0, $B135, IF(SUMPRODUCT(-- ISNUMBER(SEARCH({"Lookup","Master-Detail"}, $B135))) &gt; 0,$B135 &amp; "(" &amp; $E135 &amp; ")",IF(SUMPRODUCT(-- ISNUMBER(SEARCH({"Formula","Roll-Up Summary"}, $B135))) &gt; 0,$B135 &amp; " (" &amp; $E135 &amp; ")",IF(SUMPRODUCT(-- ISNUMBER(SEARCH({"Content","Currency","Number","Percent","Text","URL"}, $B135))) &gt; 0,$B135 &amp; "(" &amp; $C135 &amp; ")",$B135)))), "  ", TRIM(IF($S135 = "YES", "(External ID)", "") &amp; " " &amp; IF(SUMPRODUCT(-- ISNUMBER(SEARCH({"Unique","Unique Case Insensitive"}, $R135))) &gt; 0, "(" &amp; $R135 &amp; ")", ""))))</f>
        <v>na</v>
      </c>
      <c r="E135" s="7" t="s">
        <v>195</v>
      </c>
      <c r="F135" s="7" t="s">
        <v>195</v>
      </c>
      <c r="G135" s="7" t="s">
        <v>195</v>
      </c>
      <c r="H135" s="7" t="s">
        <v>195</v>
      </c>
      <c r="I135" s="7" t="s">
        <v>195</v>
      </c>
      <c r="J135" s="7" t="s">
        <v>195</v>
      </c>
      <c r="K135" s="7" t="s">
        <v>195</v>
      </c>
      <c r="L135" s="7" t="s">
        <v>195</v>
      </c>
      <c r="M135" s="7" t="s">
        <v>29</v>
      </c>
      <c r="N135" s="7" t="s">
        <v>29</v>
      </c>
      <c r="O135" s="7" t="s">
        <v>29</v>
      </c>
      <c r="P135" s="7" t="s">
        <v>29</v>
      </c>
      <c r="Q135" s="7" t="s">
        <v>29</v>
      </c>
      <c r="R135" s="7" t="s">
        <v>29</v>
      </c>
      <c r="S135" s="7" t="s">
        <v>29</v>
      </c>
    </row>
    <row r="136" spans="2:19">
      <c r="B136" s="7" t="s">
        <v>195</v>
      </c>
      <c r="C136" s="8" t="s">
        <v>195</v>
      </c>
      <c r="D136" s="6" t="str">
        <f>LRTRIM(CONCATENATE(IF(SUMPRODUCT(-- ISNUMBER(SEARCH({"Auto Number"}, $B136))) &gt; 0, $B136, IF(SUMPRODUCT(-- ISNUMBER(SEARCH({"Lookup","Master-Detail"}, $B136))) &gt; 0,$B136 &amp; "(" &amp; $E136 &amp; ")",IF(SUMPRODUCT(-- ISNUMBER(SEARCH({"Formula","Roll-Up Summary"}, $B136))) &gt; 0,$B136 &amp; " (" &amp; $E136 &amp; ")",IF(SUMPRODUCT(-- ISNUMBER(SEARCH({"Content","Currency","Number","Percent","Text","URL"}, $B136))) &gt; 0,$B136 &amp; "(" &amp; $C136 &amp; ")",$B136)))), "  ", TRIM(IF($S136 = "YES", "(External ID)", "") &amp; " " &amp; IF(SUMPRODUCT(-- ISNUMBER(SEARCH({"Unique","Unique Case Insensitive"}, $R136))) &gt; 0, "(" &amp; $R136 &amp; ")", ""))))</f>
        <v>na</v>
      </c>
      <c r="E136" s="7" t="s">
        <v>195</v>
      </c>
      <c r="F136" s="7" t="s">
        <v>195</v>
      </c>
      <c r="G136" s="7" t="s">
        <v>195</v>
      </c>
      <c r="H136" s="7" t="s">
        <v>195</v>
      </c>
      <c r="I136" s="7" t="s">
        <v>195</v>
      </c>
      <c r="J136" s="7" t="s">
        <v>195</v>
      </c>
      <c r="K136" s="7" t="s">
        <v>195</v>
      </c>
      <c r="L136" s="7" t="s">
        <v>195</v>
      </c>
      <c r="M136" s="7" t="s">
        <v>29</v>
      </c>
      <c r="N136" s="7" t="s">
        <v>29</v>
      </c>
      <c r="O136" s="7" t="s">
        <v>29</v>
      </c>
      <c r="P136" s="7" t="s">
        <v>29</v>
      </c>
      <c r="Q136" s="7" t="s">
        <v>29</v>
      </c>
      <c r="R136" s="7" t="s">
        <v>29</v>
      </c>
      <c r="S136" s="7" t="s">
        <v>29</v>
      </c>
    </row>
    <row r="137" spans="2:19">
      <c r="B137" s="7" t="s">
        <v>195</v>
      </c>
      <c r="C137" s="8" t="s">
        <v>195</v>
      </c>
      <c r="D137" s="6" t="str">
        <f>LRTRIM(CONCATENATE(IF(SUMPRODUCT(-- ISNUMBER(SEARCH({"Auto Number"}, $B137))) &gt; 0, $B137, IF(SUMPRODUCT(-- ISNUMBER(SEARCH({"Lookup","Master-Detail"}, $B137))) &gt; 0,$B137 &amp; "(" &amp; $E137 &amp; ")",IF(SUMPRODUCT(-- ISNUMBER(SEARCH({"Formula","Roll-Up Summary"}, $B137))) &gt; 0,$B137 &amp; " (" &amp; $E137 &amp; ")",IF(SUMPRODUCT(-- ISNUMBER(SEARCH({"Content","Currency","Number","Percent","Text","URL"}, $B137))) &gt; 0,$B137 &amp; "(" &amp; $C137 &amp; ")",$B137)))), "  ", TRIM(IF($S137 = "YES", "(External ID)", "") &amp; " " &amp; IF(SUMPRODUCT(-- ISNUMBER(SEARCH({"Unique","Unique Case Insensitive"}, $R137))) &gt; 0, "(" &amp; $R137 &amp; ")", ""))))</f>
        <v>na</v>
      </c>
      <c r="E137" s="7" t="s">
        <v>195</v>
      </c>
      <c r="F137" s="7" t="s">
        <v>195</v>
      </c>
      <c r="G137" s="7" t="s">
        <v>195</v>
      </c>
      <c r="H137" s="7" t="s">
        <v>195</v>
      </c>
      <c r="I137" s="7" t="s">
        <v>195</v>
      </c>
      <c r="J137" s="7" t="s">
        <v>195</v>
      </c>
      <c r="K137" s="7" t="s">
        <v>195</v>
      </c>
      <c r="L137" s="7" t="s">
        <v>195</v>
      </c>
      <c r="M137" s="7" t="s">
        <v>29</v>
      </c>
      <c r="N137" s="7" t="s">
        <v>29</v>
      </c>
      <c r="O137" s="7" t="s">
        <v>29</v>
      </c>
      <c r="P137" s="7" t="s">
        <v>29</v>
      </c>
      <c r="Q137" s="7" t="s">
        <v>29</v>
      </c>
      <c r="R137" s="7" t="s">
        <v>29</v>
      </c>
      <c r="S137" s="7" t="s">
        <v>29</v>
      </c>
    </row>
    <row r="138" spans="2:19">
      <c r="B138" s="7" t="s">
        <v>195</v>
      </c>
      <c r="C138" s="8" t="s">
        <v>195</v>
      </c>
      <c r="D138" s="6" t="str">
        <f>LRTRIM(CONCATENATE(IF(SUMPRODUCT(-- ISNUMBER(SEARCH({"Auto Number"}, $B138))) &gt; 0, $B138, IF(SUMPRODUCT(-- ISNUMBER(SEARCH({"Lookup","Master-Detail"}, $B138))) &gt; 0,$B138 &amp; "(" &amp; $E138 &amp; ")",IF(SUMPRODUCT(-- ISNUMBER(SEARCH({"Formula","Roll-Up Summary"}, $B138))) &gt; 0,$B138 &amp; " (" &amp; $E138 &amp; ")",IF(SUMPRODUCT(-- ISNUMBER(SEARCH({"Content","Currency","Number","Percent","Text","URL"}, $B138))) &gt; 0,$B138 &amp; "(" &amp; $C138 &amp; ")",$B138)))), "  ", TRIM(IF($S138 = "YES", "(External ID)", "") &amp; " " &amp; IF(SUMPRODUCT(-- ISNUMBER(SEARCH({"Unique","Unique Case Insensitive"}, $R138))) &gt; 0, "(" &amp; $R138 &amp; ")", ""))))</f>
        <v>na</v>
      </c>
      <c r="E138" s="7" t="s">
        <v>195</v>
      </c>
      <c r="F138" s="7" t="s">
        <v>195</v>
      </c>
      <c r="G138" s="7" t="s">
        <v>195</v>
      </c>
      <c r="H138" s="7" t="s">
        <v>195</v>
      </c>
      <c r="I138" s="7" t="s">
        <v>195</v>
      </c>
      <c r="J138" s="7" t="s">
        <v>195</v>
      </c>
      <c r="K138" s="7" t="s">
        <v>195</v>
      </c>
      <c r="L138" s="7" t="s">
        <v>195</v>
      </c>
      <c r="M138" s="7" t="s">
        <v>29</v>
      </c>
      <c r="N138" s="7" t="s">
        <v>29</v>
      </c>
      <c r="O138" s="7" t="s">
        <v>29</v>
      </c>
      <c r="P138" s="7" t="s">
        <v>29</v>
      </c>
      <c r="Q138" s="7" t="s">
        <v>29</v>
      </c>
      <c r="R138" s="7" t="s">
        <v>29</v>
      </c>
      <c r="S138" s="7" t="s">
        <v>29</v>
      </c>
    </row>
    <row r="139" spans="2:19">
      <c r="B139" s="7" t="s">
        <v>195</v>
      </c>
      <c r="C139" s="8" t="s">
        <v>195</v>
      </c>
      <c r="D139" s="6" t="str">
        <f>LRTRIM(CONCATENATE(IF(SUMPRODUCT(-- ISNUMBER(SEARCH({"Auto Number"}, $B139))) &gt; 0, $B139, IF(SUMPRODUCT(-- ISNUMBER(SEARCH({"Lookup","Master-Detail"}, $B139))) &gt; 0,$B139 &amp; "(" &amp; $E139 &amp; ")",IF(SUMPRODUCT(-- ISNUMBER(SEARCH({"Formula","Roll-Up Summary"}, $B139))) &gt; 0,$B139 &amp; " (" &amp; $E139 &amp; ")",IF(SUMPRODUCT(-- ISNUMBER(SEARCH({"Content","Currency","Number","Percent","Text","URL"}, $B139))) &gt; 0,$B139 &amp; "(" &amp; $C139 &amp; ")",$B139)))), "  ", TRIM(IF($S139 = "YES", "(External ID)", "") &amp; " " &amp; IF(SUMPRODUCT(-- ISNUMBER(SEARCH({"Unique","Unique Case Insensitive"}, $R139))) &gt; 0, "(" &amp; $R139 &amp; ")", ""))))</f>
        <v>na</v>
      </c>
      <c r="E139" s="7" t="s">
        <v>195</v>
      </c>
      <c r="F139" s="7" t="s">
        <v>195</v>
      </c>
      <c r="G139" s="7" t="s">
        <v>195</v>
      </c>
      <c r="H139" s="7" t="s">
        <v>195</v>
      </c>
      <c r="I139" s="7" t="s">
        <v>195</v>
      </c>
      <c r="J139" s="7" t="s">
        <v>195</v>
      </c>
      <c r="K139" s="7" t="s">
        <v>195</v>
      </c>
      <c r="L139" s="7" t="s">
        <v>195</v>
      </c>
      <c r="M139" s="7" t="s">
        <v>29</v>
      </c>
      <c r="N139" s="7" t="s">
        <v>29</v>
      </c>
      <c r="O139" s="7" t="s">
        <v>29</v>
      </c>
      <c r="P139" s="7" t="s">
        <v>29</v>
      </c>
      <c r="Q139" s="7" t="s">
        <v>29</v>
      </c>
      <c r="R139" s="7" t="s">
        <v>29</v>
      </c>
      <c r="S139" s="7" t="s">
        <v>29</v>
      </c>
    </row>
    <row r="140" spans="2:19">
      <c r="B140" s="7" t="s">
        <v>195</v>
      </c>
      <c r="C140" s="8" t="s">
        <v>195</v>
      </c>
      <c r="D140" s="6" t="str">
        <f>LRTRIM(CONCATENATE(IF(SUMPRODUCT(-- ISNUMBER(SEARCH({"Auto Number"}, $B140))) &gt; 0, $B140, IF(SUMPRODUCT(-- ISNUMBER(SEARCH({"Lookup","Master-Detail"}, $B140))) &gt; 0,$B140 &amp; "(" &amp; $E140 &amp; ")",IF(SUMPRODUCT(-- ISNUMBER(SEARCH({"Formula","Roll-Up Summary"}, $B140))) &gt; 0,$B140 &amp; " (" &amp; $E140 &amp; ")",IF(SUMPRODUCT(-- ISNUMBER(SEARCH({"Content","Currency","Number","Percent","Text","URL"}, $B140))) &gt; 0,$B140 &amp; "(" &amp; $C140 &amp; ")",$B140)))), "  ", TRIM(IF($S140 = "YES", "(External ID)", "") &amp; " " &amp; IF(SUMPRODUCT(-- ISNUMBER(SEARCH({"Unique","Unique Case Insensitive"}, $R140))) &gt; 0, "(" &amp; $R140 &amp; ")", ""))))</f>
        <v>na</v>
      </c>
      <c r="E140" s="7" t="s">
        <v>195</v>
      </c>
      <c r="F140" s="7" t="s">
        <v>195</v>
      </c>
      <c r="G140" s="7" t="s">
        <v>195</v>
      </c>
      <c r="H140" s="7" t="s">
        <v>195</v>
      </c>
      <c r="I140" s="7" t="s">
        <v>195</v>
      </c>
      <c r="J140" s="7" t="s">
        <v>195</v>
      </c>
      <c r="K140" s="7" t="s">
        <v>195</v>
      </c>
      <c r="L140" s="7" t="s">
        <v>195</v>
      </c>
      <c r="M140" s="7" t="s">
        <v>29</v>
      </c>
      <c r="N140" s="7" t="s">
        <v>29</v>
      </c>
      <c r="O140" s="7" t="s">
        <v>29</v>
      </c>
      <c r="P140" s="7" t="s">
        <v>29</v>
      </c>
      <c r="Q140" s="7" t="s">
        <v>29</v>
      </c>
      <c r="R140" s="7" t="s">
        <v>29</v>
      </c>
      <c r="S140" s="7" t="s">
        <v>29</v>
      </c>
    </row>
    <row r="141" spans="2:19">
      <c r="B141" s="7" t="s">
        <v>195</v>
      </c>
      <c r="C141" s="8" t="s">
        <v>195</v>
      </c>
      <c r="D141" s="6" t="str">
        <f>LRTRIM(CONCATENATE(IF(SUMPRODUCT(-- ISNUMBER(SEARCH({"Auto Number"}, $B141))) &gt; 0, $B141, IF(SUMPRODUCT(-- ISNUMBER(SEARCH({"Lookup","Master-Detail"}, $B141))) &gt; 0,$B141 &amp; "(" &amp; $E141 &amp; ")",IF(SUMPRODUCT(-- ISNUMBER(SEARCH({"Formula","Roll-Up Summary"}, $B141))) &gt; 0,$B141 &amp; " (" &amp; $E141 &amp; ")",IF(SUMPRODUCT(-- ISNUMBER(SEARCH({"Content","Currency","Number","Percent","Text","URL"}, $B141))) &gt; 0,$B141 &amp; "(" &amp; $C141 &amp; ")",$B141)))), "  ", TRIM(IF($S141 = "YES", "(External ID)", "") &amp; " " &amp; IF(SUMPRODUCT(-- ISNUMBER(SEARCH({"Unique","Unique Case Insensitive"}, $R141))) &gt; 0, "(" &amp; $R141 &amp; ")", ""))))</f>
        <v>na</v>
      </c>
      <c r="E141" s="7" t="s">
        <v>195</v>
      </c>
      <c r="F141" s="7" t="s">
        <v>195</v>
      </c>
      <c r="G141" s="7" t="s">
        <v>195</v>
      </c>
      <c r="H141" s="7" t="s">
        <v>195</v>
      </c>
      <c r="I141" s="7" t="s">
        <v>195</v>
      </c>
      <c r="J141" s="7" t="s">
        <v>195</v>
      </c>
      <c r="K141" s="7" t="s">
        <v>195</v>
      </c>
      <c r="L141" s="7" t="s">
        <v>195</v>
      </c>
      <c r="M141" s="7" t="s">
        <v>29</v>
      </c>
      <c r="N141" s="7" t="s">
        <v>29</v>
      </c>
      <c r="O141" s="7" t="s">
        <v>29</v>
      </c>
      <c r="P141" s="7" t="s">
        <v>29</v>
      </c>
      <c r="Q141" s="7" t="s">
        <v>29</v>
      </c>
      <c r="R141" s="7" t="s">
        <v>29</v>
      </c>
      <c r="S141" s="7" t="s">
        <v>29</v>
      </c>
    </row>
    <row r="142" spans="2:19">
      <c r="B142" s="7" t="s">
        <v>195</v>
      </c>
      <c r="C142" s="8" t="s">
        <v>195</v>
      </c>
      <c r="D142" s="6" t="str">
        <f>LRTRIM(CONCATENATE(IF(SUMPRODUCT(-- ISNUMBER(SEARCH({"Auto Number"}, $B142))) &gt; 0, $B142, IF(SUMPRODUCT(-- ISNUMBER(SEARCH({"Lookup","Master-Detail"}, $B142))) &gt; 0,$B142 &amp; "(" &amp; $E142 &amp; ")",IF(SUMPRODUCT(-- ISNUMBER(SEARCH({"Formula","Roll-Up Summary"}, $B142))) &gt; 0,$B142 &amp; " (" &amp; $E142 &amp; ")",IF(SUMPRODUCT(-- ISNUMBER(SEARCH({"Content","Currency","Number","Percent","Text","URL"}, $B142))) &gt; 0,$B142 &amp; "(" &amp; $C142 &amp; ")",$B142)))), "  ", TRIM(IF($S142 = "YES", "(External ID)", "") &amp; " " &amp; IF(SUMPRODUCT(-- ISNUMBER(SEARCH({"Unique","Unique Case Insensitive"}, $R142))) &gt; 0, "(" &amp; $R142 &amp; ")", ""))))</f>
        <v>na</v>
      </c>
      <c r="E142" s="7" t="s">
        <v>195</v>
      </c>
      <c r="F142" s="7" t="s">
        <v>195</v>
      </c>
      <c r="G142" s="7" t="s">
        <v>195</v>
      </c>
      <c r="H142" s="7" t="s">
        <v>195</v>
      </c>
      <c r="I142" s="7" t="s">
        <v>195</v>
      </c>
      <c r="J142" s="7" t="s">
        <v>195</v>
      </c>
      <c r="K142" s="7" t="s">
        <v>195</v>
      </c>
      <c r="L142" s="7" t="s">
        <v>195</v>
      </c>
      <c r="M142" s="7" t="s">
        <v>29</v>
      </c>
      <c r="N142" s="7" t="s">
        <v>29</v>
      </c>
      <c r="O142" s="7" t="s">
        <v>29</v>
      </c>
      <c r="P142" s="7" t="s">
        <v>29</v>
      </c>
      <c r="Q142" s="7" t="s">
        <v>29</v>
      </c>
      <c r="R142" s="7" t="s">
        <v>29</v>
      </c>
      <c r="S142" s="7" t="s">
        <v>29</v>
      </c>
    </row>
    <row r="143" spans="2:19">
      <c r="B143" s="7" t="s">
        <v>195</v>
      </c>
      <c r="C143" s="8" t="s">
        <v>195</v>
      </c>
      <c r="D143" s="6" t="str">
        <f>LRTRIM(CONCATENATE(IF(SUMPRODUCT(-- ISNUMBER(SEARCH({"Auto Number"}, $B143))) &gt; 0, $B143, IF(SUMPRODUCT(-- ISNUMBER(SEARCH({"Lookup","Master-Detail"}, $B143))) &gt; 0,$B143 &amp; "(" &amp; $E143 &amp; ")",IF(SUMPRODUCT(-- ISNUMBER(SEARCH({"Formula","Roll-Up Summary"}, $B143))) &gt; 0,$B143 &amp; " (" &amp; $E143 &amp; ")",IF(SUMPRODUCT(-- ISNUMBER(SEARCH({"Content","Currency","Number","Percent","Text","URL"}, $B143))) &gt; 0,$B143 &amp; "(" &amp; $C143 &amp; ")",$B143)))), "  ", TRIM(IF($S143 = "YES", "(External ID)", "") &amp; " " &amp; IF(SUMPRODUCT(-- ISNUMBER(SEARCH({"Unique","Unique Case Insensitive"}, $R143))) &gt; 0, "(" &amp; $R143 &amp; ")", ""))))</f>
        <v>na</v>
      </c>
      <c r="E143" s="7" t="s">
        <v>195</v>
      </c>
      <c r="F143" s="7" t="s">
        <v>195</v>
      </c>
      <c r="G143" s="7" t="s">
        <v>195</v>
      </c>
      <c r="H143" s="7" t="s">
        <v>195</v>
      </c>
      <c r="I143" s="7" t="s">
        <v>195</v>
      </c>
      <c r="J143" s="7" t="s">
        <v>195</v>
      </c>
      <c r="K143" s="7" t="s">
        <v>195</v>
      </c>
      <c r="L143" s="7" t="s">
        <v>195</v>
      </c>
      <c r="M143" s="7" t="s">
        <v>29</v>
      </c>
      <c r="N143" s="7" t="s">
        <v>29</v>
      </c>
      <c r="O143" s="7" t="s">
        <v>29</v>
      </c>
      <c r="P143" s="7" t="s">
        <v>29</v>
      </c>
      <c r="Q143" s="7" t="s">
        <v>29</v>
      </c>
      <c r="R143" s="7" t="s">
        <v>29</v>
      </c>
      <c r="S143" s="7" t="s">
        <v>29</v>
      </c>
    </row>
    <row r="144" spans="2:19">
      <c r="B144" s="7" t="s">
        <v>195</v>
      </c>
      <c r="C144" s="8" t="s">
        <v>195</v>
      </c>
      <c r="D144" s="6" t="str">
        <f>LRTRIM(CONCATENATE(IF(SUMPRODUCT(-- ISNUMBER(SEARCH({"Auto Number"}, $B144))) &gt; 0, $B144, IF(SUMPRODUCT(-- ISNUMBER(SEARCH({"Lookup","Master-Detail"}, $B144))) &gt; 0,$B144 &amp; "(" &amp; $E144 &amp; ")",IF(SUMPRODUCT(-- ISNUMBER(SEARCH({"Formula","Roll-Up Summary"}, $B144))) &gt; 0,$B144 &amp; " (" &amp; $E144 &amp; ")",IF(SUMPRODUCT(-- ISNUMBER(SEARCH({"Content","Currency","Number","Percent","Text","URL"}, $B144))) &gt; 0,$B144 &amp; "(" &amp; $C144 &amp; ")",$B144)))), "  ", TRIM(IF($S144 = "YES", "(External ID)", "") &amp; " " &amp; IF(SUMPRODUCT(-- ISNUMBER(SEARCH({"Unique","Unique Case Insensitive"}, $R144))) &gt; 0, "(" &amp; $R144 &amp; ")", ""))))</f>
        <v>na</v>
      </c>
      <c r="E144" s="7" t="s">
        <v>195</v>
      </c>
      <c r="F144" s="7" t="s">
        <v>195</v>
      </c>
      <c r="G144" s="7" t="s">
        <v>195</v>
      </c>
      <c r="H144" s="7" t="s">
        <v>195</v>
      </c>
      <c r="I144" s="7" t="s">
        <v>195</v>
      </c>
      <c r="J144" s="7" t="s">
        <v>195</v>
      </c>
      <c r="K144" s="7" t="s">
        <v>195</v>
      </c>
      <c r="L144" s="7" t="s">
        <v>195</v>
      </c>
      <c r="M144" s="7" t="s">
        <v>29</v>
      </c>
      <c r="N144" s="7" t="s">
        <v>29</v>
      </c>
      <c r="O144" s="7" t="s">
        <v>29</v>
      </c>
      <c r="P144" s="7" t="s">
        <v>29</v>
      </c>
      <c r="Q144" s="7" t="s">
        <v>29</v>
      </c>
      <c r="R144" s="7" t="s">
        <v>29</v>
      </c>
      <c r="S144" s="7" t="s">
        <v>29</v>
      </c>
    </row>
    <row r="145" spans="2:19">
      <c r="B145" s="7" t="s">
        <v>195</v>
      </c>
      <c r="C145" s="8" t="s">
        <v>195</v>
      </c>
      <c r="D145" s="6" t="str">
        <f>LRTRIM(CONCATENATE(IF(SUMPRODUCT(-- ISNUMBER(SEARCH({"Auto Number"}, $B145))) &gt; 0, $B145, IF(SUMPRODUCT(-- ISNUMBER(SEARCH({"Lookup","Master-Detail"}, $B145))) &gt; 0,$B145 &amp; "(" &amp; $E145 &amp; ")",IF(SUMPRODUCT(-- ISNUMBER(SEARCH({"Formula","Roll-Up Summary"}, $B145))) &gt; 0,$B145 &amp; " (" &amp; $E145 &amp; ")",IF(SUMPRODUCT(-- ISNUMBER(SEARCH({"Content","Currency","Number","Percent","Text","URL"}, $B145))) &gt; 0,$B145 &amp; "(" &amp; $C145 &amp; ")",$B145)))), "  ", TRIM(IF($S145 = "YES", "(External ID)", "") &amp; " " &amp; IF(SUMPRODUCT(-- ISNUMBER(SEARCH({"Unique","Unique Case Insensitive"}, $R145))) &gt; 0, "(" &amp; $R145 &amp; ")", ""))))</f>
        <v>na</v>
      </c>
      <c r="E145" s="7" t="s">
        <v>195</v>
      </c>
      <c r="F145" s="7" t="s">
        <v>195</v>
      </c>
      <c r="G145" s="7" t="s">
        <v>195</v>
      </c>
      <c r="H145" s="7" t="s">
        <v>195</v>
      </c>
      <c r="I145" s="7" t="s">
        <v>195</v>
      </c>
      <c r="J145" s="7" t="s">
        <v>195</v>
      </c>
      <c r="K145" s="7" t="s">
        <v>195</v>
      </c>
      <c r="L145" s="7" t="s">
        <v>195</v>
      </c>
      <c r="M145" s="7" t="s">
        <v>29</v>
      </c>
      <c r="N145" s="7" t="s">
        <v>29</v>
      </c>
      <c r="O145" s="7" t="s">
        <v>29</v>
      </c>
      <c r="P145" s="7" t="s">
        <v>29</v>
      </c>
      <c r="Q145" s="7" t="s">
        <v>29</v>
      </c>
      <c r="R145" s="7" t="s">
        <v>29</v>
      </c>
      <c r="S145" s="7" t="s">
        <v>29</v>
      </c>
    </row>
    <row r="146" spans="2:19">
      <c r="B146" s="7" t="s">
        <v>195</v>
      </c>
      <c r="C146" s="8" t="s">
        <v>195</v>
      </c>
      <c r="D146" s="6" t="str">
        <f>LRTRIM(CONCATENATE(IF(SUMPRODUCT(-- ISNUMBER(SEARCH({"Auto Number"}, $B146))) &gt; 0, $B146, IF(SUMPRODUCT(-- ISNUMBER(SEARCH({"Lookup","Master-Detail"}, $B146))) &gt; 0,$B146 &amp; "(" &amp; $E146 &amp; ")",IF(SUMPRODUCT(-- ISNUMBER(SEARCH({"Formula","Roll-Up Summary"}, $B146))) &gt; 0,$B146 &amp; " (" &amp; $E146 &amp; ")",IF(SUMPRODUCT(-- ISNUMBER(SEARCH({"Content","Currency","Number","Percent","Text","URL"}, $B146))) &gt; 0,$B146 &amp; "(" &amp; $C146 &amp; ")",$B146)))), "  ", TRIM(IF($S146 = "YES", "(External ID)", "") &amp; " " &amp; IF(SUMPRODUCT(-- ISNUMBER(SEARCH({"Unique","Unique Case Insensitive"}, $R146))) &gt; 0, "(" &amp; $R146 &amp; ")", ""))))</f>
        <v>na</v>
      </c>
      <c r="E146" s="7" t="s">
        <v>195</v>
      </c>
      <c r="F146" s="7" t="s">
        <v>195</v>
      </c>
      <c r="G146" s="7" t="s">
        <v>195</v>
      </c>
      <c r="H146" s="7" t="s">
        <v>195</v>
      </c>
      <c r="I146" s="7" t="s">
        <v>195</v>
      </c>
      <c r="J146" s="7" t="s">
        <v>195</v>
      </c>
      <c r="K146" s="7" t="s">
        <v>195</v>
      </c>
      <c r="L146" s="7" t="s">
        <v>195</v>
      </c>
      <c r="M146" s="7" t="s">
        <v>29</v>
      </c>
      <c r="N146" s="7" t="s">
        <v>29</v>
      </c>
      <c r="O146" s="7" t="s">
        <v>29</v>
      </c>
      <c r="P146" s="7" t="s">
        <v>29</v>
      </c>
      <c r="Q146" s="7" t="s">
        <v>29</v>
      </c>
      <c r="R146" s="7" t="s">
        <v>29</v>
      </c>
      <c r="S146" s="7" t="s">
        <v>29</v>
      </c>
    </row>
    <row r="147" spans="2:19">
      <c r="B147" s="7" t="s">
        <v>195</v>
      </c>
      <c r="C147" s="8" t="s">
        <v>195</v>
      </c>
      <c r="D147" s="6" t="str">
        <f>LRTRIM(CONCATENATE(IF(SUMPRODUCT(-- ISNUMBER(SEARCH({"Auto Number"}, $B147))) &gt; 0, $B147, IF(SUMPRODUCT(-- ISNUMBER(SEARCH({"Lookup","Master-Detail"}, $B147))) &gt; 0,$B147 &amp; "(" &amp; $E147 &amp; ")",IF(SUMPRODUCT(-- ISNUMBER(SEARCH({"Formula","Roll-Up Summary"}, $B147))) &gt; 0,$B147 &amp; " (" &amp; $E147 &amp; ")",IF(SUMPRODUCT(-- ISNUMBER(SEARCH({"Content","Currency","Number","Percent","Text","URL"}, $B147))) &gt; 0,$B147 &amp; "(" &amp; $C147 &amp; ")",$B147)))), "  ", TRIM(IF($S147 = "YES", "(External ID)", "") &amp; " " &amp; IF(SUMPRODUCT(-- ISNUMBER(SEARCH({"Unique","Unique Case Insensitive"}, $R147))) &gt; 0, "(" &amp; $R147 &amp; ")", ""))))</f>
        <v>na</v>
      </c>
      <c r="E147" s="7" t="s">
        <v>195</v>
      </c>
      <c r="F147" s="7" t="s">
        <v>195</v>
      </c>
      <c r="G147" s="7" t="s">
        <v>195</v>
      </c>
      <c r="H147" s="7" t="s">
        <v>195</v>
      </c>
      <c r="I147" s="7" t="s">
        <v>195</v>
      </c>
      <c r="J147" s="7" t="s">
        <v>195</v>
      </c>
      <c r="K147" s="7" t="s">
        <v>195</v>
      </c>
      <c r="L147" s="7" t="s">
        <v>195</v>
      </c>
      <c r="M147" s="7" t="s">
        <v>29</v>
      </c>
      <c r="N147" s="7" t="s">
        <v>29</v>
      </c>
      <c r="O147" s="7" t="s">
        <v>29</v>
      </c>
      <c r="P147" s="7" t="s">
        <v>29</v>
      </c>
      <c r="Q147" s="7" t="s">
        <v>29</v>
      </c>
      <c r="R147" s="7" t="s">
        <v>29</v>
      </c>
      <c r="S147" s="7" t="s">
        <v>29</v>
      </c>
    </row>
    <row r="148" spans="2:19">
      <c r="B148" s="7" t="s">
        <v>195</v>
      </c>
      <c r="C148" s="8" t="s">
        <v>195</v>
      </c>
      <c r="D148" s="6" t="str">
        <f>LRTRIM(CONCATENATE(IF(SUMPRODUCT(-- ISNUMBER(SEARCH({"Auto Number"}, $B148))) &gt; 0, $B148, IF(SUMPRODUCT(-- ISNUMBER(SEARCH({"Lookup","Master-Detail"}, $B148))) &gt; 0,$B148 &amp; "(" &amp; $E148 &amp; ")",IF(SUMPRODUCT(-- ISNUMBER(SEARCH({"Formula","Roll-Up Summary"}, $B148))) &gt; 0,$B148 &amp; " (" &amp; $E148 &amp; ")",IF(SUMPRODUCT(-- ISNUMBER(SEARCH({"Content","Currency","Number","Percent","Text","URL"}, $B148))) &gt; 0,$B148 &amp; "(" &amp; $C148 &amp; ")",$B148)))), "  ", TRIM(IF($S148 = "YES", "(External ID)", "") &amp; " " &amp; IF(SUMPRODUCT(-- ISNUMBER(SEARCH({"Unique","Unique Case Insensitive"}, $R148))) &gt; 0, "(" &amp; $R148 &amp; ")", ""))))</f>
        <v>na</v>
      </c>
      <c r="E148" s="7" t="s">
        <v>195</v>
      </c>
      <c r="F148" s="7" t="s">
        <v>195</v>
      </c>
      <c r="G148" s="7" t="s">
        <v>195</v>
      </c>
      <c r="H148" s="7" t="s">
        <v>195</v>
      </c>
      <c r="I148" s="7" t="s">
        <v>195</v>
      </c>
      <c r="J148" s="7" t="s">
        <v>195</v>
      </c>
      <c r="K148" s="7" t="s">
        <v>195</v>
      </c>
      <c r="L148" s="7" t="s">
        <v>195</v>
      </c>
      <c r="M148" s="7" t="s">
        <v>29</v>
      </c>
      <c r="N148" s="7" t="s">
        <v>29</v>
      </c>
      <c r="O148" s="7" t="s">
        <v>29</v>
      </c>
      <c r="P148" s="7" t="s">
        <v>29</v>
      </c>
      <c r="Q148" s="7" t="s">
        <v>29</v>
      </c>
      <c r="R148" s="7" t="s">
        <v>29</v>
      </c>
      <c r="S148" s="7" t="s">
        <v>29</v>
      </c>
    </row>
    <row r="149" spans="2:19">
      <c r="B149" s="7" t="s">
        <v>195</v>
      </c>
      <c r="C149" s="8" t="s">
        <v>195</v>
      </c>
      <c r="D149" s="6" t="str">
        <f>LRTRIM(CONCATENATE(IF(SUMPRODUCT(-- ISNUMBER(SEARCH({"Auto Number"}, $B149))) &gt; 0, $B149, IF(SUMPRODUCT(-- ISNUMBER(SEARCH({"Lookup","Master-Detail"}, $B149))) &gt; 0,$B149 &amp; "(" &amp; $E149 &amp; ")",IF(SUMPRODUCT(-- ISNUMBER(SEARCH({"Formula","Roll-Up Summary"}, $B149))) &gt; 0,$B149 &amp; " (" &amp; $E149 &amp; ")",IF(SUMPRODUCT(-- ISNUMBER(SEARCH({"Content","Currency","Number","Percent","Text","URL"}, $B149))) &gt; 0,$B149 &amp; "(" &amp; $C149 &amp; ")",$B149)))), "  ", TRIM(IF($S149 = "YES", "(External ID)", "") &amp; " " &amp; IF(SUMPRODUCT(-- ISNUMBER(SEARCH({"Unique","Unique Case Insensitive"}, $R149))) &gt; 0, "(" &amp; $R149 &amp; ")", ""))))</f>
        <v>na</v>
      </c>
      <c r="E149" s="7" t="s">
        <v>195</v>
      </c>
      <c r="F149" s="7" t="s">
        <v>195</v>
      </c>
      <c r="G149" s="7" t="s">
        <v>195</v>
      </c>
      <c r="H149" s="7" t="s">
        <v>195</v>
      </c>
      <c r="I149" s="7" t="s">
        <v>195</v>
      </c>
      <c r="J149" s="7" t="s">
        <v>195</v>
      </c>
      <c r="K149" s="7" t="s">
        <v>195</v>
      </c>
      <c r="L149" s="7" t="s">
        <v>195</v>
      </c>
      <c r="M149" s="7" t="s">
        <v>29</v>
      </c>
      <c r="N149" s="7" t="s">
        <v>29</v>
      </c>
      <c r="O149" s="7" t="s">
        <v>29</v>
      </c>
      <c r="P149" s="7" t="s">
        <v>29</v>
      </c>
      <c r="Q149" s="7" t="s">
        <v>29</v>
      </c>
      <c r="R149" s="7" t="s">
        <v>29</v>
      </c>
      <c r="S149" s="7" t="s">
        <v>29</v>
      </c>
    </row>
    <row r="150" spans="2:19">
      <c r="B150" s="7" t="s">
        <v>195</v>
      </c>
      <c r="C150" s="8" t="s">
        <v>195</v>
      </c>
      <c r="D150" s="6" t="str">
        <f>LRTRIM(CONCATENATE(IF(SUMPRODUCT(-- ISNUMBER(SEARCH({"Auto Number"}, $B150))) &gt; 0, $B150, IF(SUMPRODUCT(-- ISNUMBER(SEARCH({"Lookup","Master-Detail"}, $B150))) &gt; 0,$B150 &amp; "(" &amp; $E150 &amp; ")",IF(SUMPRODUCT(-- ISNUMBER(SEARCH({"Formula","Roll-Up Summary"}, $B150))) &gt; 0,$B150 &amp; " (" &amp; $E150 &amp; ")",IF(SUMPRODUCT(-- ISNUMBER(SEARCH({"Content","Currency","Number","Percent","Text","URL"}, $B150))) &gt; 0,$B150 &amp; "(" &amp; $C150 &amp; ")",$B150)))), "  ", TRIM(IF($S150 = "YES", "(External ID)", "") &amp; " " &amp; IF(SUMPRODUCT(-- ISNUMBER(SEARCH({"Unique","Unique Case Insensitive"}, $R150))) &gt; 0, "(" &amp; $R150 &amp; ")", ""))))</f>
        <v>na</v>
      </c>
      <c r="E150" s="7" t="s">
        <v>195</v>
      </c>
      <c r="F150" s="7" t="s">
        <v>195</v>
      </c>
      <c r="G150" s="7" t="s">
        <v>195</v>
      </c>
      <c r="H150" s="7" t="s">
        <v>195</v>
      </c>
      <c r="I150" s="7" t="s">
        <v>195</v>
      </c>
      <c r="J150" s="7" t="s">
        <v>195</v>
      </c>
      <c r="K150" s="7" t="s">
        <v>195</v>
      </c>
      <c r="L150" s="7" t="s">
        <v>195</v>
      </c>
      <c r="M150" s="7" t="s">
        <v>29</v>
      </c>
      <c r="N150" s="7" t="s">
        <v>29</v>
      </c>
      <c r="O150" s="7" t="s">
        <v>29</v>
      </c>
      <c r="P150" s="7" t="s">
        <v>29</v>
      </c>
      <c r="Q150" s="7" t="s">
        <v>29</v>
      </c>
      <c r="R150" s="7" t="s">
        <v>29</v>
      </c>
      <c r="S150" s="7" t="s">
        <v>29</v>
      </c>
    </row>
    <row r="151" spans="2:19">
      <c r="B151" s="7" t="s">
        <v>195</v>
      </c>
      <c r="C151" s="8" t="s">
        <v>195</v>
      </c>
      <c r="D151" s="6" t="str">
        <f>LRTRIM(CONCATENATE(IF(SUMPRODUCT(-- ISNUMBER(SEARCH({"Auto Number"}, $B151))) &gt; 0, $B151, IF(SUMPRODUCT(-- ISNUMBER(SEARCH({"Lookup","Master-Detail"}, $B151))) &gt; 0,$B151 &amp; "(" &amp; $E151 &amp; ")",IF(SUMPRODUCT(-- ISNUMBER(SEARCH({"Formula","Roll-Up Summary"}, $B151))) &gt; 0,$B151 &amp; " (" &amp; $E151 &amp; ")",IF(SUMPRODUCT(-- ISNUMBER(SEARCH({"Content","Currency","Number","Percent","Text","URL"}, $B151))) &gt; 0,$B151 &amp; "(" &amp; $C151 &amp; ")",$B151)))), "  ", TRIM(IF($S151 = "YES", "(External ID)", "") &amp; " " &amp; IF(SUMPRODUCT(-- ISNUMBER(SEARCH({"Unique","Unique Case Insensitive"}, $R151))) &gt; 0, "(" &amp; $R151 &amp; ")", ""))))</f>
        <v>na</v>
      </c>
      <c r="E151" s="7" t="s">
        <v>195</v>
      </c>
      <c r="F151" s="7" t="s">
        <v>195</v>
      </c>
      <c r="G151" s="7" t="s">
        <v>195</v>
      </c>
      <c r="H151" s="7" t="s">
        <v>195</v>
      </c>
      <c r="I151" s="7" t="s">
        <v>195</v>
      </c>
      <c r="J151" s="7" t="s">
        <v>195</v>
      </c>
      <c r="K151" s="7" t="s">
        <v>195</v>
      </c>
      <c r="L151" s="7" t="s">
        <v>195</v>
      </c>
      <c r="M151" s="7" t="s">
        <v>29</v>
      </c>
      <c r="N151" s="7" t="s">
        <v>29</v>
      </c>
      <c r="O151" s="7" t="s">
        <v>29</v>
      </c>
      <c r="P151" s="7" t="s">
        <v>29</v>
      </c>
      <c r="Q151" s="7" t="s">
        <v>29</v>
      </c>
      <c r="R151" s="7" t="s">
        <v>29</v>
      </c>
      <c r="S151" s="7" t="s">
        <v>29</v>
      </c>
    </row>
    <row r="152" spans="2:19">
      <c r="B152" s="7" t="s">
        <v>195</v>
      </c>
      <c r="C152" s="8" t="s">
        <v>195</v>
      </c>
      <c r="D152" s="6" t="str">
        <f>LRTRIM(CONCATENATE(IF(SUMPRODUCT(-- ISNUMBER(SEARCH({"Auto Number"}, $B152))) &gt; 0, $B152, IF(SUMPRODUCT(-- ISNUMBER(SEARCH({"Lookup","Master-Detail"}, $B152))) &gt; 0,$B152 &amp; "(" &amp; $E152 &amp; ")",IF(SUMPRODUCT(-- ISNUMBER(SEARCH({"Formula","Roll-Up Summary"}, $B152))) &gt; 0,$B152 &amp; " (" &amp; $E152 &amp; ")",IF(SUMPRODUCT(-- ISNUMBER(SEARCH({"Content","Currency","Number","Percent","Text","URL"}, $B152))) &gt; 0,$B152 &amp; "(" &amp; $C152 &amp; ")",$B152)))), "  ", TRIM(IF($S152 = "YES", "(External ID)", "") &amp; " " &amp; IF(SUMPRODUCT(-- ISNUMBER(SEARCH({"Unique","Unique Case Insensitive"}, $R152))) &gt; 0, "(" &amp; $R152 &amp; ")", ""))))</f>
        <v>na</v>
      </c>
      <c r="E152" s="7" t="s">
        <v>195</v>
      </c>
      <c r="F152" s="7" t="s">
        <v>195</v>
      </c>
      <c r="G152" s="7" t="s">
        <v>195</v>
      </c>
      <c r="H152" s="7" t="s">
        <v>195</v>
      </c>
      <c r="I152" s="7" t="s">
        <v>195</v>
      </c>
      <c r="J152" s="7" t="s">
        <v>195</v>
      </c>
      <c r="K152" s="7" t="s">
        <v>195</v>
      </c>
      <c r="L152" s="7" t="s">
        <v>195</v>
      </c>
      <c r="M152" s="7" t="s">
        <v>29</v>
      </c>
      <c r="N152" s="7" t="s">
        <v>29</v>
      </c>
      <c r="O152" s="7" t="s">
        <v>29</v>
      </c>
      <c r="P152" s="7" t="s">
        <v>29</v>
      </c>
      <c r="Q152" s="7" t="s">
        <v>29</v>
      </c>
      <c r="R152" s="7" t="s">
        <v>29</v>
      </c>
      <c r="S152" s="7" t="s">
        <v>29</v>
      </c>
    </row>
    <row r="153" spans="2:19">
      <c r="B153" s="7" t="s">
        <v>195</v>
      </c>
      <c r="C153" s="8" t="s">
        <v>195</v>
      </c>
      <c r="D153" s="6" t="str">
        <f>LRTRIM(CONCATENATE(IF(SUMPRODUCT(-- ISNUMBER(SEARCH({"Auto Number"}, $B153))) &gt; 0, $B153, IF(SUMPRODUCT(-- ISNUMBER(SEARCH({"Lookup","Master-Detail"}, $B153))) &gt; 0,$B153 &amp; "(" &amp; $E153 &amp; ")",IF(SUMPRODUCT(-- ISNUMBER(SEARCH({"Formula","Roll-Up Summary"}, $B153))) &gt; 0,$B153 &amp; " (" &amp; $E153 &amp; ")",IF(SUMPRODUCT(-- ISNUMBER(SEARCH({"Content","Currency","Number","Percent","Text","URL"}, $B153))) &gt; 0,$B153 &amp; "(" &amp; $C153 &amp; ")",$B153)))), "  ", TRIM(IF($S153 = "YES", "(External ID)", "") &amp; " " &amp; IF(SUMPRODUCT(-- ISNUMBER(SEARCH({"Unique","Unique Case Insensitive"}, $R153))) &gt; 0, "(" &amp; $R153 &amp; ")", ""))))</f>
        <v>na</v>
      </c>
      <c r="E153" s="7" t="s">
        <v>195</v>
      </c>
      <c r="F153" s="7" t="s">
        <v>195</v>
      </c>
      <c r="G153" s="7" t="s">
        <v>195</v>
      </c>
      <c r="H153" s="7" t="s">
        <v>195</v>
      </c>
      <c r="I153" s="7" t="s">
        <v>195</v>
      </c>
      <c r="J153" s="7" t="s">
        <v>195</v>
      </c>
      <c r="K153" s="7" t="s">
        <v>195</v>
      </c>
      <c r="L153" s="7" t="s">
        <v>195</v>
      </c>
      <c r="M153" s="7" t="s">
        <v>29</v>
      </c>
      <c r="N153" s="7" t="s">
        <v>29</v>
      </c>
      <c r="O153" s="7" t="s">
        <v>29</v>
      </c>
      <c r="P153" s="7" t="s">
        <v>29</v>
      </c>
      <c r="Q153" s="7" t="s">
        <v>29</v>
      </c>
      <c r="R153" s="7" t="s">
        <v>29</v>
      </c>
      <c r="S153" s="7" t="s">
        <v>29</v>
      </c>
    </row>
    <row r="154" spans="2:19">
      <c r="B154" s="7" t="s">
        <v>195</v>
      </c>
      <c r="C154" s="8" t="s">
        <v>195</v>
      </c>
      <c r="D154" s="6" t="str">
        <f>LRTRIM(CONCATENATE(IF(SUMPRODUCT(-- ISNUMBER(SEARCH({"Auto Number"}, $B154))) &gt; 0, $B154, IF(SUMPRODUCT(-- ISNUMBER(SEARCH({"Lookup","Master-Detail"}, $B154))) &gt; 0,$B154 &amp; "(" &amp; $E154 &amp; ")",IF(SUMPRODUCT(-- ISNUMBER(SEARCH({"Formula","Roll-Up Summary"}, $B154))) &gt; 0,$B154 &amp; " (" &amp; $E154 &amp; ")",IF(SUMPRODUCT(-- ISNUMBER(SEARCH({"Content","Currency","Number","Percent","Text","URL"}, $B154))) &gt; 0,$B154 &amp; "(" &amp; $C154 &amp; ")",$B154)))), "  ", TRIM(IF($S154 = "YES", "(External ID)", "") &amp; " " &amp; IF(SUMPRODUCT(-- ISNUMBER(SEARCH({"Unique","Unique Case Insensitive"}, $R154))) &gt; 0, "(" &amp; $R154 &amp; ")", ""))))</f>
        <v>na</v>
      </c>
      <c r="E154" s="7" t="s">
        <v>195</v>
      </c>
      <c r="F154" s="7" t="s">
        <v>195</v>
      </c>
      <c r="G154" s="7" t="s">
        <v>195</v>
      </c>
      <c r="H154" s="7" t="s">
        <v>195</v>
      </c>
      <c r="I154" s="7" t="s">
        <v>195</v>
      </c>
      <c r="J154" s="7" t="s">
        <v>195</v>
      </c>
      <c r="K154" s="7" t="s">
        <v>195</v>
      </c>
      <c r="L154" s="7" t="s">
        <v>195</v>
      </c>
      <c r="M154" s="7" t="s">
        <v>29</v>
      </c>
      <c r="N154" s="7" t="s">
        <v>29</v>
      </c>
      <c r="O154" s="7" t="s">
        <v>29</v>
      </c>
      <c r="P154" s="7" t="s">
        <v>29</v>
      </c>
      <c r="Q154" s="7" t="s">
        <v>29</v>
      </c>
      <c r="R154" s="7" t="s">
        <v>29</v>
      </c>
      <c r="S154" s="7" t="s">
        <v>29</v>
      </c>
    </row>
    <row r="155" spans="2:19">
      <c r="B155" s="7" t="s">
        <v>195</v>
      </c>
      <c r="C155" s="8" t="s">
        <v>195</v>
      </c>
      <c r="D155" s="6" t="str">
        <f>LRTRIM(CONCATENATE(IF(SUMPRODUCT(-- ISNUMBER(SEARCH({"Auto Number"}, $B155))) &gt; 0, $B155, IF(SUMPRODUCT(-- ISNUMBER(SEARCH({"Lookup","Master-Detail"}, $B155))) &gt; 0,$B155 &amp; "(" &amp; $E155 &amp; ")",IF(SUMPRODUCT(-- ISNUMBER(SEARCH({"Formula","Roll-Up Summary"}, $B155))) &gt; 0,$B155 &amp; " (" &amp; $E155 &amp; ")",IF(SUMPRODUCT(-- ISNUMBER(SEARCH({"Content","Currency","Number","Percent","Text","URL"}, $B155))) &gt; 0,$B155 &amp; "(" &amp; $C155 &amp; ")",$B155)))), "  ", TRIM(IF($S155 = "YES", "(External ID)", "") &amp; " " &amp; IF(SUMPRODUCT(-- ISNUMBER(SEARCH({"Unique","Unique Case Insensitive"}, $R155))) &gt; 0, "(" &amp; $R155 &amp; ")", ""))))</f>
        <v>na</v>
      </c>
      <c r="E155" s="7" t="s">
        <v>195</v>
      </c>
      <c r="F155" s="7" t="s">
        <v>195</v>
      </c>
      <c r="G155" s="7" t="s">
        <v>195</v>
      </c>
      <c r="H155" s="7" t="s">
        <v>195</v>
      </c>
      <c r="I155" s="7" t="s">
        <v>195</v>
      </c>
      <c r="J155" s="7" t="s">
        <v>195</v>
      </c>
      <c r="K155" s="7" t="s">
        <v>195</v>
      </c>
      <c r="L155" s="7" t="s">
        <v>195</v>
      </c>
      <c r="M155" s="7" t="s">
        <v>29</v>
      </c>
      <c r="N155" s="7" t="s">
        <v>29</v>
      </c>
      <c r="O155" s="7" t="s">
        <v>29</v>
      </c>
      <c r="P155" s="7" t="s">
        <v>29</v>
      </c>
      <c r="Q155" s="7" t="s">
        <v>29</v>
      </c>
      <c r="R155" s="7" t="s">
        <v>29</v>
      </c>
      <c r="S155" s="7" t="s">
        <v>29</v>
      </c>
    </row>
    <row r="156" spans="2:19">
      <c r="B156" s="7" t="s">
        <v>195</v>
      </c>
      <c r="C156" s="8" t="s">
        <v>195</v>
      </c>
      <c r="D156" s="6" t="str">
        <f>LRTRIM(CONCATENATE(IF(SUMPRODUCT(-- ISNUMBER(SEARCH({"Auto Number"}, $B156))) &gt; 0, $B156, IF(SUMPRODUCT(-- ISNUMBER(SEARCH({"Lookup","Master-Detail"}, $B156))) &gt; 0,$B156 &amp; "(" &amp; $E156 &amp; ")",IF(SUMPRODUCT(-- ISNUMBER(SEARCH({"Formula","Roll-Up Summary"}, $B156))) &gt; 0,$B156 &amp; " (" &amp; $E156 &amp; ")",IF(SUMPRODUCT(-- ISNUMBER(SEARCH({"Content","Currency","Number","Percent","Text","URL"}, $B156))) &gt; 0,$B156 &amp; "(" &amp; $C156 &amp; ")",$B156)))), "  ", TRIM(IF($S156 = "YES", "(External ID)", "") &amp; " " &amp; IF(SUMPRODUCT(-- ISNUMBER(SEARCH({"Unique","Unique Case Insensitive"}, $R156))) &gt; 0, "(" &amp; $R156 &amp; ")", ""))))</f>
        <v>na</v>
      </c>
      <c r="E156" s="7" t="s">
        <v>195</v>
      </c>
      <c r="F156" s="7" t="s">
        <v>195</v>
      </c>
      <c r="G156" s="7" t="s">
        <v>195</v>
      </c>
      <c r="H156" s="7" t="s">
        <v>195</v>
      </c>
      <c r="I156" s="7" t="s">
        <v>195</v>
      </c>
      <c r="J156" s="7" t="s">
        <v>195</v>
      </c>
      <c r="K156" s="7" t="s">
        <v>195</v>
      </c>
      <c r="L156" s="7" t="s">
        <v>195</v>
      </c>
      <c r="M156" s="7" t="s">
        <v>29</v>
      </c>
      <c r="N156" s="7" t="s">
        <v>29</v>
      </c>
      <c r="O156" s="7" t="s">
        <v>29</v>
      </c>
      <c r="P156" s="7" t="s">
        <v>29</v>
      </c>
      <c r="Q156" s="7" t="s">
        <v>29</v>
      </c>
      <c r="R156" s="7" t="s">
        <v>29</v>
      </c>
      <c r="S156" s="7" t="s">
        <v>29</v>
      </c>
    </row>
    <row r="157" spans="2:19">
      <c r="B157" s="7" t="s">
        <v>195</v>
      </c>
      <c r="C157" s="8" t="s">
        <v>195</v>
      </c>
      <c r="D157" s="6" t="str">
        <f>LRTRIM(CONCATENATE(IF(SUMPRODUCT(-- ISNUMBER(SEARCH({"Auto Number"}, $B157))) &gt; 0, $B157, IF(SUMPRODUCT(-- ISNUMBER(SEARCH({"Lookup","Master-Detail"}, $B157))) &gt; 0,$B157 &amp; "(" &amp; $E157 &amp; ")",IF(SUMPRODUCT(-- ISNUMBER(SEARCH({"Formula","Roll-Up Summary"}, $B157))) &gt; 0,$B157 &amp; " (" &amp; $E157 &amp; ")",IF(SUMPRODUCT(-- ISNUMBER(SEARCH({"Content","Currency","Number","Percent","Text","URL"}, $B157))) &gt; 0,$B157 &amp; "(" &amp; $C157 &amp; ")",$B157)))), "  ", TRIM(IF($S157 = "YES", "(External ID)", "") &amp; " " &amp; IF(SUMPRODUCT(-- ISNUMBER(SEARCH({"Unique","Unique Case Insensitive"}, $R157))) &gt; 0, "(" &amp; $R157 &amp; ")", ""))))</f>
        <v>na</v>
      </c>
      <c r="E157" s="7" t="s">
        <v>195</v>
      </c>
      <c r="F157" s="7" t="s">
        <v>195</v>
      </c>
      <c r="G157" s="7" t="s">
        <v>195</v>
      </c>
      <c r="H157" s="7" t="s">
        <v>195</v>
      </c>
      <c r="I157" s="7" t="s">
        <v>195</v>
      </c>
      <c r="J157" s="7" t="s">
        <v>195</v>
      </c>
      <c r="K157" s="7" t="s">
        <v>195</v>
      </c>
      <c r="L157" s="7" t="s">
        <v>195</v>
      </c>
      <c r="M157" s="7" t="s">
        <v>29</v>
      </c>
      <c r="N157" s="7" t="s">
        <v>29</v>
      </c>
      <c r="O157" s="7" t="s">
        <v>29</v>
      </c>
      <c r="P157" s="7" t="s">
        <v>29</v>
      </c>
      <c r="Q157" s="7" t="s">
        <v>29</v>
      </c>
      <c r="R157" s="7" t="s">
        <v>29</v>
      </c>
      <c r="S157" s="7" t="s">
        <v>29</v>
      </c>
    </row>
    <row r="158" spans="2:19">
      <c r="B158" s="7" t="s">
        <v>195</v>
      </c>
      <c r="C158" s="8" t="s">
        <v>195</v>
      </c>
      <c r="D158" s="6" t="str">
        <f>LRTRIM(CONCATENATE(IF(SUMPRODUCT(-- ISNUMBER(SEARCH({"Auto Number"}, $B158))) &gt; 0, $B158, IF(SUMPRODUCT(-- ISNUMBER(SEARCH({"Lookup","Master-Detail"}, $B158))) &gt; 0,$B158 &amp; "(" &amp; $E158 &amp; ")",IF(SUMPRODUCT(-- ISNUMBER(SEARCH({"Formula","Roll-Up Summary"}, $B158))) &gt; 0,$B158 &amp; " (" &amp; $E158 &amp; ")",IF(SUMPRODUCT(-- ISNUMBER(SEARCH({"Content","Currency","Number","Percent","Text","URL"}, $B158))) &gt; 0,$B158 &amp; "(" &amp; $C158 &amp; ")",$B158)))), "  ", TRIM(IF($S158 = "YES", "(External ID)", "") &amp; " " &amp; IF(SUMPRODUCT(-- ISNUMBER(SEARCH({"Unique","Unique Case Insensitive"}, $R158))) &gt; 0, "(" &amp; $R158 &amp; ")", ""))))</f>
        <v>na</v>
      </c>
      <c r="E158" s="7" t="s">
        <v>195</v>
      </c>
      <c r="F158" s="7" t="s">
        <v>195</v>
      </c>
      <c r="G158" s="7" t="s">
        <v>195</v>
      </c>
      <c r="H158" s="7" t="s">
        <v>195</v>
      </c>
      <c r="I158" s="7" t="s">
        <v>195</v>
      </c>
      <c r="J158" s="7" t="s">
        <v>195</v>
      </c>
      <c r="K158" s="7" t="s">
        <v>195</v>
      </c>
      <c r="L158" s="7" t="s">
        <v>195</v>
      </c>
      <c r="M158" s="7" t="s">
        <v>29</v>
      </c>
      <c r="N158" s="7" t="s">
        <v>29</v>
      </c>
      <c r="O158" s="7" t="s">
        <v>29</v>
      </c>
      <c r="P158" s="7" t="s">
        <v>29</v>
      </c>
      <c r="Q158" s="7" t="s">
        <v>29</v>
      </c>
      <c r="R158" s="7" t="s">
        <v>29</v>
      </c>
      <c r="S158" s="7" t="s">
        <v>29</v>
      </c>
    </row>
    <row r="159" spans="2:19">
      <c r="B159" s="7" t="s">
        <v>195</v>
      </c>
      <c r="C159" s="8" t="s">
        <v>195</v>
      </c>
      <c r="D159" s="6" t="str">
        <f>LRTRIM(CONCATENATE(IF(SUMPRODUCT(-- ISNUMBER(SEARCH({"Auto Number"}, $B159))) &gt; 0, $B159, IF(SUMPRODUCT(-- ISNUMBER(SEARCH({"Lookup","Master-Detail"}, $B159))) &gt; 0,$B159 &amp; "(" &amp; $E159 &amp; ")",IF(SUMPRODUCT(-- ISNUMBER(SEARCH({"Formula","Roll-Up Summary"}, $B159))) &gt; 0,$B159 &amp; " (" &amp; $E159 &amp; ")",IF(SUMPRODUCT(-- ISNUMBER(SEARCH({"Content","Currency","Number","Percent","Text","URL"}, $B159))) &gt; 0,$B159 &amp; "(" &amp; $C159 &amp; ")",$B159)))), "  ", TRIM(IF($S159 = "YES", "(External ID)", "") &amp; " " &amp; IF(SUMPRODUCT(-- ISNUMBER(SEARCH({"Unique","Unique Case Insensitive"}, $R159))) &gt; 0, "(" &amp; $R159 &amp; ")", ""))))</f>
        <v>na</v>
      </c>
      <c r="E159" s="7" t="s">
        <v>195</v>
      </c>
      <c r="F159" s="7" t="s">
        <v>195</v>
      </c>
      <c r="G159" s="7" t="s">
        <v>195</v>
      </c>
      <c r="H159" s="7" t="s">
        <v>195</v>
      </c>
      <c r="I159" s="7" t="s">
        <v>195</v>
      </c>
      <c r="J159" s="7" t="s">
        <v>195</v>
      </c>
      <c r="K159" s="7" t="s">
        <v>195</v>
      </c>
      <c r="L159" s="7" t="s">
        <v>195</v>
      </c>
      <c r="M159" s="7" t="s">
        <v>29</v>
      </c>
      <c r="N159" s="7" t="s">
        <v>29</v>
      </c>
      <c r="O159" s="7" t="s">
        <v>29</v>
      </c>
      <c r="P159" s="7" t="s">
        <v>29</v>
      </c>
      <c r="Q159" s="7" t="s">
        <v>29</v>
      </c>
      <c r="R159" s="7" t="s">
        <v>29</v>
      </c>
      <c r="S159" s="7" t="s">
        <v>29</v>
      </c>
    </row>
    <row r="160" spans="2:19">
      <c r="B160" s="7" t="s">
        <v>195</v>
      </c>
      <c r="C160" s="8" t="s">
        <v>195</v>
      </c>
      <c r="D160" s="6" t="str">
        <f>LRTRIM(CONCATENATE(IF(SUMPRODUCT(-- ISNUMBER(SEARCH({"Auto Number"}, $B160))) &gt; 0, $B160, IF(SUMPRODUCT(-- ISNUMBER(SEARCH({"Lookup","Master-Detail"}, $B160))) &gt; 0,$B160 &amp; "(" &amp; $E160 &amp; ")",IF(SUMPRODUCT(-- ISNUMBER(SEARCH({"Formula","Roll-Up Summary"}, $B160))) &gt; 0,$B160 &amp; " (" &amp; $E160 &amp; ")",IF(SUMPRODUCT(-- ISNUMBER(SEARCH({"Content","Currency","Number","Percent","Text","URL"}, $B160))) &gt; 0,$B160 &amp; "(" &amp; $C160 &amp; ")",$B160)))), "  ", TRIM(IF($S160 = "YES", "(External ID)", "") &amp; " " &amp; IF(SUMPRODUCT(-- ISNUMBER(SEARCH({"Unique","Unique Case Insensitive"}, $R160))) &gt; 0, "(" &amp; $R160 &amp; ")", ""))))</f>
        <v>na</v>
      </c>
      <c r="E160" s="7" t="s">
        <v>195</v>
      </c>
      <c r="F160" s="7" t="s">
        <v>195</v>
      </c>
      <c r="G160" s="7" t="s">
        <v>195</v>
      </c>
      <c r="H160" s="7" t="s">
        <v>195</v>
      </c>
      <c r="I160" s="7" t="s">
        <v>195</v>
      </c>
      <c r="J160" s="7" t="s">
        <v>195</v>
      </c>
      <c r="K160" s="7" t="s">
        <v>195</v>
      </c>
      <c r="L160" s="7" t="s">
        <v>195</v>
      </c>
      <c r="M160" s="7" t="s">
        <v>29</v>
      </c>
      <c r="N160" s="7" t="s">
        <v>29</v>
      </c>
      <c r="O160" s="7" t="s">
        <v>29</v>
      </c>
      <c r="P160" s="7" t="s">
        <v>29</v>
      </c>
      <c r="Q160" s="7" t="s">
        <v>29</v>
      </c>
      <c r="R160" s="7" t="s">
        <v>29</v>
      </c>
      <c r="S160" s="7" t="s">
        <v>29</v>
      </c>
    </row>
    <row r="161" spans="2:19">
      <c r="B161" s="7" t="s">
        <v>195</v>
      </c>
      <c r="C161" s="8" t="s">
        <v>195</v>
      </c>
      <c r="D161" s="6" t="str">
        <f>LRTRIM(CONCATENATE(IF(SUMPRODUCT(-- ISNUMBER(SEARCH({"Auto Number"}, $B161))) &gt; 0, $B161, IF(SUMPRODUCT(-- ISNUMBER(SEARCH({"Lookup","Master-Detail"}, $B161))) &gt; 0,$B161 &amp; "(" &amp; $E161 &amp; ")",IF(SUMPRODUCT(-- ISNUMBER(SEARCH({"Formula","Roll-Up Summary"}, $B161))) &gt; 0,$B161 &amp; " (" &amp; $E161 &amp; ")",IF(SUMPRODUCT(-- ISNUMBER(SEARCH({"Content","Currency","Number","Percent","Text","URL"}, $B161))) &gt; 0,$B161 &amp; "(" &amp; $C161 &amp; ")",$B161)))), "  ", TRIM(IF($S161 = "YES", "(External ID)", "") &amp; " " &amp; IF(SUMPRODUCT(-- ISNUMBER(SEARCH({"Unique","Unique Case Insensitive"}, $R161))) &gt; 0, "(" &amp; $R161 &amp; ")", ""))))</f>
        <v>na</v>
      </c>
      <c r="E161" s="7" t="s">
        <v>195</v>
      </c>
      <c r="F161" s="7" t="s">
        <v>195</v>
      </c>
      <c r="G161" s="7" t="s">
        <v>195</v>
      </c>
      <c r="H161" s="7" t="s">
        <v>195</v>
      </c>
      <c r="I161" s="7" t="s">
        <v>195</v>
      </c>
      <c r="J161" s="7" t="s">
        <v>195</v>
      </c>
      <c r="K161" s="7" t="s">
        <v>195</v>
      </c>
      <c r="L161" s="7" t="s">
        <v>195</v>
      </c>
      <c r="M161" s="7" t="s">
        <v>29</v>
      </c>
      <c r="N161" s="7" t="s">
        <v>29</v>
      </c>
      <c r="O161" s="7" t="s">
        <v>29</v>
      </c>
      <c r="P161" s="7" t="s">
        <v>29</v>
      </c>
      <c r="Q161" s="7" t="s">
        <v>29</v>
      </c>
      <c r="R161" s="7" t="s">
        <v>29</v>
      </c>
      <c r="S161" s="7" t="s">
        <v>29</v>
      </c>
    </row>
    <row r="162" spans="2:19">
      <c r="B162" s="7" t="s">
        <v>195</v>
      </c>
      <c r="C162" s="8" t="s">
        <v>195</v>
      </c>
      <c r="D162" s="6" t="str">
        <f>LRTRIM(CONCATENATE(IF(SUMPRODUCT(-- ISNUMBER(SEARCH({"Auto Number"}, $B162))) &gt; 0, $B162, IF(SUMPRODUCT(-- ISNUMBER(SEARCH({"Lookup","Master-Detail"}, $B162))) &gt; 0,$B162 &amp; "(" &amp; $E162 &amp; ")",IF(SUMPRODUCT(-- ISNUMBER(SEARCH({"Formula","Roll-Up Summary"}, $B162))) &gt; 0,$B162 &amp; " (" &amp; $E162 &amp; ")",IF(SUMPRODUCT(-- ISNUMBER(SEARCH({"Content","Currency","Number","Percent","Text","URL"}, $B162))) &gt; 0,$B162 &amp; "(" &amp; $C162 &amp; ")",$B162)))), "  ", TRIM(IF($S162 = "YES", "(External ID)", "") &amp; " " &amp; IF(SUMPRODUCT(-- ISNUMBER(SEARCH({"Unique","Unique Case Insensitive"}, $R162))) &gt; 0, "(" &amp; $R162 &amp; ")", ""))))</f>
        <v>na</v>
      </c>
      <c r="E162" s="7" t="s">
        <v>195</v>
      </c>
      <c r="F162" s="7" t="s">
        <v>195</v>
      </c>
      <c r="G162" s="7" t="s">
        <v>195</v>
      </c>
      <c r="H162" s="7" t="s">
        <v>195</v>
      </c>
      <c r="I162" s="7" t="s">
        <v>195</v>
      </c>
      <c r="J162" s="7" t="s">
        <v>195</v>
      </c>
      <c r="K162" s="7" t="s">
        <v>195</v>
      </c>
      <c r="L162" s="7" t="s">
        <v>195</v>
      </c>
      <c r="M162" s="7" t="s">
        <v>29</v>
      </c>
      <c r="N162" s="7" t="s">
        <v>29</v>
      </c>
      <c r="O162" s="7" t="s">
        <v>29</v>
      </c>
      <c r="P162" s="7" t="s">
        <v>29</v>
      </c>
      <c r="Q162" s="7" t="s">
        <v>29</v>
      </c>
      <c r="R162" s="7" t="s">
        <v>29</v>
      </c>
      <c r="S162" s="7" t="s">
        <v>29</v>
      </c>
    </row>
    <row r="163" spans="2:19">
      <c r="B163" s="7" t="s">
        <v>195</v>
      </c>
      <c r="C163" s="8" t="s">
        <v>195</v>
      </c>
      <c r="D163" s="6" t="str">
        <f>LRTRIM(CONCATENATE(IF(SUMPRODUCT(-- ISNUMBER(SEARCH({"Auto Number"}, $B163))) &gt; 0, $B163, IF(SUMPRODUCT(-- ISNUMBER(SEARCH({"Lookup","Master-Detail"}, $B163))) &gt; 0,$B163 &amp; "(" &amp; $E163 &amp; ")",IF(SUMPRODUCT(-- ISNUMBER(SEARCH({"Formula","Roll-Up Summary"}, $B163))) &gt; 0,$B163 &amp; " (" &amp; $E163 &amp; ")",IF(SUMPRODUCT(-- ISNUMBER(SEARCH({"Content","Currency","Number","Percent","Text","URL"}, $B163))) &gt; 0,$B163 &amp; "(" &amp; $C163 &amp; ")",$B163)))), "  ", TRIM(IF($S163 = "YES", "(External ID)", "") &amp; " " &amp; IF(SUMPRODUCT(-- ISNUMBER(SEARCH({"Unique","Unique Case Insensitive"}, $R163))) &gt; 0, "(" &amp; $R163 &amp; ")", ""))))</f>
        <v>na</v>
      </c>
      <c r="E163" s="7" t="s">
        <v>195</v>
      </c>
      <c r="F163" s="7" t="s">
        <v>195</v>
      </c>
      <c r="G163" s="7" t="s">
        <v>195</v>
      </c>
      <c r="H163" s="7" t="s">
        <v>195</v>
      </c>
      <c r="I163" s="7" t="s">
        <v>195</v>
      </c>
      <c r="J163" s="7" t="s">
        <v>195</v>
      </c>
      <c r="K163" s="7" t="s">
        <v>195</v>
      </c>
      <c r="L163" s="7" t="s">
        <v>195</v>
      </c>
      <c r="M163" s="7" t="s">
        <v>29</v>
      </c>
      <c r="N163" s="7" t="s">
        <v>29</v>
      </c>
      <c r="O163" s="7" t="s">
        <v>29</v>
      </c>
      <c r="P163" s="7" t="s">
        <v>29</v>
      </c>
      <c r="Q163" s="7" t="s">
        <v>29</v>
      </c>
      <c r="R163" s="7" t="s">
        <v>29</v>
      </c>
      <c r="S163" s="7" t="s">
        <v>29</v>
      </c>
    </row>
    <row r="164" spans="2:19">
      <c r="B164" s="7" t="s">
        <v>195</v>
      </c>
      <c r="C164" s="8" t="s">
        <v>195</v>
      </c>
      <c r="D164" s="6" t="str">
        <f>LRTRIM(CONCATENATE(IF(SUMPRODUCT(-- ISNUMBER(SEARCH({"Auto Number"}, $B164))) &gt; 0, $B164, IF(SUMPRODUCT(-- ISNUMBER(SEARCH({"Lookup","Master-Detail"}, $B164))) &gt; 0,$B164 &amp; "(" &amp; $E164 &amp; ")",IF(SUMPRODUCT(-- ISNUMBER(SEARCH({"Formula","Roll-Up Summary"}, $B164))) &gt; 0,$B164 &amp; " (" &amp; $E164 &amp; ")",IF(SUMPRODUCT(-- ISNUMBER(SEARCH({"Content","Currency","Number","Percent","Text","URL"}, $B164))) &gt; 0,$B164 &amp; "(" &amp; $C164 &amp; ")",$B164)))), "  ", TRIM(IF($S164 = "YES", "(External ID)", "") &amp; " " &amp; IF(SUMPRODUCT(-- ISNUMBER(SEARCH({"Unique","Unique Case Insensitive"}, $R164))) &gt; 0, "(" &amp; $R164 &amp; ")", ""))))</f>
        <v>na</v>
      </c>
      <c r="E164" s="7" t="s">
        <v>195</v>
      </c>
      <c r="F164" s="7" t="s">
        <v>195</v>
      </c>
      <c r="G164" s="7" t="s">
        <v>195</v>
      </c>
      <c r="H164" s="7" t="s">
        <v>195</v>
      </c>
      <c r="I164" s="7" t="s">
        <v>195</v>
      </c>
      <c r="J164" s="7" t="s">
        <v>195</v>
      </c>
      <c r="K164" s="7" t="s">
        <v>195</v>
      </c>
      <c r="L164" s="7" t="s">
        <v>195</v>
      </c>
      <c r="M164" s="7" t="s">
        <v>29</v>
      </c>
      <c r="N164" s="7" t="s">
        <v>29</v>
      </c>
      <c r="O164" s="7" t="s">
        <v>29</v>
      </c>
      <c r="P164" s="7" t="s">
        <v>29</v>
      </c>
      <c r="Q164" s="7" t="s">
        <v>29</v>
      </c>
      <c r="R164" s="7" t="s">
        <v>29</v>
      </c>
      <c r="S164" s="7" t="s">
        <v>29</v>
      </c>
    </row>
    <row r="165" spans="2:19">
      <c r="B165" s="7" t="s">
        <v>195</v>
      </c>
      <c r="C165" s="8" t="s">
        <v>195</v>
      </c>
      <c r="D165" s="6" t="str">
        <f>LRTRIM(CONCATENATE(IF(SUMPRODUCT(-- ISNUMBER(SEARCH({"Auto Number"}, $B165))) &gt; 0, $B165, IF(SUMPRODUCT(-- ISNUMBER(SEARCH({"Lookup","Master-Detail"}, $B165))) &gt; 0,$B165 &amp; "(" &amp; $E165 &amp; ")",IF(SUMPRODUCT(-- ISNUMBER(SEARCH({"Formula","Roll-Up Summary"}, $B165))) &gt; 0,$B165 &amp; " (" &amp; $E165 &amp; ")",IF(SUMPRODUCT(-- ISNUMBER(SEARCH({"Content","Currency","Number","Percent","Text","URL"}, $B165))) &gt; 0,$B165 &amp; "(" &amp; $C165 &amp; ")",$B165)))), "  ", TRIM(IF($S165 = "YES", "(External ID)", "") &amp; " " &amp; IF(SUMPRODUCT(-- ISNUMBER(SEARCH({"Unique","Unique Case Insensitive"}, $R165))) &gt; 0, "(" &amp; $R165 &amp; ")", ""))))</f>
        <v>na</v>
      </c>
      <c r="E165" s="7" t="s">
        <v>195</v>
      </c>
      <c r="F165" s="7" t="s">
        <v>195</v>
      </c>
      <c r="G165" s="7" t="s">
        <v>195</v>
      </c>
      <c r="H165" s="7" t="s">
        <v>195</v>
      </c>
      <c r="I165" s="7" t="s">
        <v>195</v>
      </c>
      <c r="J165" s="7" t="s">
        <v>195</v>
      </c>
      <c r="K165" s="7" t="s">
        <v>195</v>
      </c>
      <c r="L165" s="7" t="s">
        <v>195</v>
      </c>
      <c r="M165" s="7" t="s">
        <v>29</v>
      </c>
      <c r="N165" s="7" t="s">
        <v>29</v>
      </c>
      <c r="O165" s="7" t="s">
        <v>29</v>
      </c>
      <c r="P165" s="7" t="s">
        <v>29</v>
      </c>
      <c r="Q165" s="7" t="s">
        <v>29</v>
      </c>
      <c r="R165" s="7" t="s">
        <v>29</v>
      </c>
      <c r="S165" s="7" t="s">
        <v>29</v>
      </c>
    </row>
    <row r="166" spans="2:19">
      <c r="B166" s="7" t="s">
        <v>195</v>
      </c>
      <c r="C166" s="8" t="s">
        <v>195</v>
      </c>
      <c r="D166" s="6" t="str">
        <f>LRTRIM(CONCATENATE(IF(SUMPRODUCT(-- ISNUMBER(SEARCH({"Auto Number"}, $B166))) &gt; 0, $B166, IF(SUMPRODUCT(-- ISNUMBER(SEARCH({"Lookup","Master-Detail"}, $B166))) &gt; 0,$B166 &amp; "(" &amp; $E166 &amp; ")",IF(SUMPRODUCT(-- ISNUMBER(SEARCH({"Formula","Roll-Up Summary"}, $B166))) &gt; 0,$B166 &amp; " (" &amp; $E166 &amp; ")",IF(SUMPRODUCT(-- ISNUMBER(SEARCH({"Content","Currency","Number","Percent","Text","URL"}, $B166))) &gt; 0,$B166 &amp; "(" &amp; $C166 &amp; ")",$B166)))), "  ", TRIM(IF($S166 = "YES", "(External ID)", "") &amp; " " &amp; IF(SUMPRODUCT(-- ISNUMBER(SEARCH({"Unique","Unique Case Insensitive"}, $R166))) &gt; 0, "(" &amp; $R166 &amp; ")", ""))))</f>
        <v>na</v>
      </c>
      <c r="E166" s="7" t="s">
        <v>195</v>
      </c>
      <c r="F166" s="7" t="s">
        <v>195</v>
      </c>
      <c r="G166" s="7" t="s">
        <v>195</v>
      </c>
      <c r="H166" s="7" t="s">
        <v>195</v>
      </c>
      <c r="I166" s="7" t="s">
        <v>195</v>
      </c>
      <c r="J166" s="7" t="s">
        <v>195</v>
      </c>
      <c r="K166" s="7" t="s">
        <v>195</v>
      </c>
      <c r="L166" s="7" t="s">
        <v>195</v>
      </c>
      <c r="M166" s="7" t="s">
        <v>29</v>
      </c>
      <c r="N166" s="7" t="s">
        <v>29</v>
      </c>
      <c r="O166" s="7" t="s">
        <v>29</v>
      </c>
      <c r="P166" s="7" t="s">
        <v>29</v>
      </c>
      <c r="Q166" s="7" t="s">
        <v>29</v>
      </c>
      <c r="R166" s="7" t="s">
        <v>29</v>
      </c>
      <c r="S166" s="7" t="s">
        <v>29</v>
      </c>
    </row>
    <row r="167" spans="2:19">
      <c r="B167" s="7" t="s">
        <v>195</v>
      </c>
      <c r="C167" s="8" t="s">
        <v>195</v>
      </c>
      <c r="D167" s="6" t="str">
        <f>LRTRIM(CONCATENATE(IF(SUMPRODUCT(-- ISNUMBER(SEARCH({"Auto Number"}, $B167))) &gt; 0, $B167, IF(SUMPRODUCT(-- ISNUMBER(SEARCH({"Lookup","Master-Detail"}, $B167))) &gt; 0,$B167 &amp; "(" &amp; $E167 &amp; ")",IF(SUMPRODUCT(-- ISNUMBER(SEARCH({"Formula","Roll-Up Summary"}, $B167))) &gt; 0,$B167 &amp; " (" &amp; $E167 &amp; ")",IF(SUMPRODUCT(-- ISNUMBER(SEARCH({"Content","Currency","Number","Percent","Text","URL"}, $B167))) &gt; 0,$B167 &amp; "(" &amp; $C167 &amp; ")",$B167)))), "  ", TRIM(IF($S167 = "YES", "(External ID)", "") &amp; " " &amp; IF(SUMPRODUCT(-- ISNUMBER(SEARCH({"Unique","Unique Case Insensitive"}, $R167))) &gt; 0, "(" &amp; $R167 &amp; ")", ""))))</f>
        <v>na</v>
      </c>
      <c r="E167" s="7" t="s">
        <v>195</v>
      </c>
      <c r="F167" s="7" t="s">
        <v>195</v>
      </c>
      <c r="G167" s="7" t="s">
        <v>195</v>
      </c>
      <c r="H167" s="7" t="s">
        <v>195</v>
      </c>
      <c r="I167" s="7" t="s">
        <v>195</v>
      </c>
      <c r="J167" s="7" t="s">
        <v>195</v>
      </c>
      <c r="K167" s="7" t="s">
        <v>195</v>
      </c>
      <c r="L167" s="7" t="s">
        <v>195</v>
      </c>
      <c r="M167" s="7" t="s">
        <v>29</v>
      </c>
      <c r="N167" s="7" t="s">
        <v>29</v>
      </c>
      <c r="O167" s="7" t="s">
        <v>29</v>
      </c>
      <c r="P167" s="7" t="s">
        <v>29</v>
      </c>
      <c r="Q167" s="7" t="s">
        <v>29</v>
      </c>
      <c r="R167" s="7" t="s">
        <v>29</v>
      </c>
      <c r="S167" s="7" t="s">
        <v>29</v>
      </c>
    </row>
    <row r="168" spans="2:19">
      <c r="B168" s="7" t="s">
        <v>195</v>
      </c>
      <c r="C168" s="8" t="s">
        <v>195</v>
      </c>
      <c r="D168" s="6" t="str">
        <f>LRTRIM(CONCATENATE(IF(SUMPRODUCT(-- ISNUMBER(SEARCH({"Auto Number"}, $B168))) &gt; 0, $B168, IF(SUMPRODUCT(-- ISNUMBER(SEARCH({"Lookup","Master-Detail"}, $B168))) &gt; 0,$B168 &amp; "(" &amp; $E168 &amp; ")",IF(SUMPRODUCT(-- ISNUMBER(SEARCH({"Formula","Roll-Up Summary"}, $B168))) &gt; 0,$B168 &amp; " (" &amp; $E168 &amp; ")",IF(SUMPRODUCT(-- ISNUMBER(SEARCH({"Content","Currency","Number","Percent","Text","URL"}, $B168))) &gt; 0,$B168 &amp; "(" &amp; $C168 &amp; ")",$B168)))), "  ", TRIM(IF($S168 = "YES", "(External ID)", "") &amp; " " &amp; IF(SUMPRODUCT(-- ISNUMBER(SEARCH({"Unique","Unique Case Insensitive"}, $R168))) &gt; 0, "(" &amp; $R168 &amp; ")", ""))))</f>
        <v>na</v>
      </c>
      <c r="E168" s="7" t="s">
        <v>195</v>
      </c>
      <c r="F168" s="7" t="s">
        <v>195</v>
      </c>
      <c r="G168" s="7" t="s">
        <v>195</v>
      </c>
      <c r="H168" s="7" t="s">
        <v>195</v>
      </c>
      <c r="I168" s="7" t="s">
        <v>195</v>
      </c>
      <c r="J168" s="7" t="s">
        <v>195</v>
      </c>
      <c r="K168" s="7" t="s">
        <v>195</v>
      </c>
      <c r="L168" s="7" t="s">
        <v>195</v>
      </c>
      <c r="M168" s="7" t="s">
        <v>29</v>
      </c>
      <c r="N168" s="7" t="s">
        <v>29</v>
      </c>
      <c r="O168" s="7" t="s">
        <v>29</v>
      </c>
      <c r="P168" s="7" t="s">
        <v>29</v>
      </c>
      <c r="Q168" s="7" t="s">
        <v>29</v>
      </c>
      <c r="R168" s="7" t="s">
        <v>29</v>
      </c>
      <c r="S168" s="7" t="s">
        <v>29</v>
      </c>
    </row>
    <row r="169" spans="2:19">
      <c r="B169" s="7" t="s">
        <v>195</v>
      </c>
      <c r="C169" s="8" t="s">
        <v>195</v>
      </c>
      <c r="D169" s="6" t="str">
        <f>LRTRIM(CONCATENATE(IF(SUMPRODUCT(-- ISNUMBER(SEARCH({"Auto Number"}, $B169))) &gt; 0, $B169, IF(SUMPRODUCT(-- ISNUMBER(SEARCH({"Lookup","Master-Detail"}, $B169))) &gt; 0,$B169 &amp; "(" &amp; $E169 &amp; ")",IF(SUMPRODUCT(-- ISNUMBER(SEARCH({"Formula","Roll-Up Summary"}, $B169))) &gt; 0,$B169 &amp; " (" &amp; $E169 &amp; ")",IF(SUMPRODUCT(-- ISNUMBER(SEARCH({"Content","Currency","Number","Percent","Text","URL"}, $B169))) &gt; 0,$B169 &amp; "(" &amp; $C169 &amp; ")",$B169)))), "  ", TRIM(IF($S169 = "YES", "(External ID)", "") &amp; " " &amp; IF(SUMPRODUCT(-- ISNUMBER(SEARCH({"Unique","Unique Case Insensitive"}, $R169))) &gt; 0, "(" &amp; $R169 &amp; ")", ""))))</f>
        <v>na</v>
      </c>
      <c r="E169" s="7" t="s">
        <v>195</v>
      </c>
      <c r="F169" s="7" t="s">
        <v>195</v>
      </c>
      <c r="G169" s="7" t="s">
        <v>195</v>
      </c>
      <c r="H169" s="7" t="s">
        <v>195</v>
      </c>
      <c r="I169" s="7" t="s">
        <v>195</v>
      </c>
      <c r="J169" s="7" t="s">
        <v>195</v>
      </c>
      <c r="K169" s="7" t="s">
        <v>195</v>
      </c>
      <c r="L169" s="7" t="s">
        <v>195</v>
      </c>
      <c r="M169" s="7" t="s">
        <v>29</v>
      </c>
      <c r="N169" s="7" t="s">
        <v>29</v>
      </c>
      <c r="O169" s="7" t="s">
        <v>29</v>
      </c>
      <c r="P169" s="7" t="s">
        <v>29</v>
      </c>
      <c r="Q169" s="7" t="s">
        <v>29</v>
      </c>
      <c r="R169" s="7" t="s">
        <v>29</v>
      </c>
      <c r="S169" s="7" t="s">
        <v>29</v>
      </c>
    </row>
    <row r="170" spans="2:19">
      <c r="B170" s="7" t="s">
        <v>195</v>
      </c>
      <c r="C170" s="8" t="s">
        <v>195</v>
      </c>
      <c r="D170" s="6" t="str">
        <f>LRTRIM(CONCATENATE(IF(SUMPRODUCT(-- ISNUMBER(SEARCH({"Auto Number"}, $B170))) &gt; 0, $B170, IF(SUMPRODUCT(-- ISNUMBER(SEARCH({"Lookup","Master-Detail"}, $B170))) &gt; 0,$B170 &amp; "(" &amp; $E170 &amp; ")",IF(SUMPRODUCT(-- ISNUMBER(SEARCH({"Formula","Roll-Up Summary"}, $B170))) &gt; 0,$B170 &amp; " (" &amp; $E170 &amp; ")",IF(SUMPRODUCT(-- ISNUMBER(SEARCH({"Content","Currency","Number","Percent","Text","URL"}, $B170))) &gt; 0,$B170 &amp; "(" &amp; $C170 &amp; ")",$B170)))), "  ", TRIM(IF($S170 = "YES", "(External ID)", "") &amp; " " &amp; IF(SUMPRODUCT(-- ISNUMBER(SEARCH({"Unique","Unique Case Insensitive"}, $R170))) &gt; 0, "(" &amp; $R170 &amp; ")", ""))))</f>
        <v>na</v>
      </c>
      <c r="E170" s="7" t="s">
        <v>195</v>
      </c>
      <c r="F170" s="7" t="s">
        <v>195</v>
      </c>
      <c r="G170" s="7" t="s">
        <v>195</v>
      </c>
      <c r="H170" s="7" t="s">
        <v>195</v>
      </c>
      <c r="I170" s="7" t="s">
        <v>195</v>
      </c>
      <c r="J170" s="7" t="s">
        <v>195</v>
      </c>
      <c r="K170" s="7" t="s">
        <v>195</v>
      </c>
      <c r="L170" s="7" t="s">
        <v>195</v>
      </c>
      <c r="M170" s="7" t="s">
        <v>29</v>
      </c>
      <c r="N170" s="7" t="s">
        <v>29</v>
      </c>
      <c r="O170" s="7" t="s">
        <v>29</v>
      </c>
      <c r="P170" s="7" t="s">
        <v>29</v>
      </c>
      <c r="Q170" s="7" t="s">
        <v>29</v>
      </c>
      <c r="R170" s="7" t="s">
        <v>29</v>
      </c>
      <c r="S170" s="7" t="s">
        <v>29</v>
      </c>
    </row>
    <row r="171" spans="2:19">
      <c r="B171" s="7" t="s">
        <v>195</v>
      </c>
      <c r="C171" s="8" t="s">
        <v>195</v>
      </c>
      <c r="D171" s="6" t="str">
        <f>LRTRIM(CONCATENATE(IF(SUMPRODUCT(-- ISNUMBER(SEARCH({"Auto Number"}, $B171))) &gt; 0, $B171, IF(SUMPRODUCT(-- ISNUMBER(SEARCH({"Lookup","Master-Detail"}, $B171))) &gt; 0,$B171 &amp; "(" &amp; $E171 &amp; ")",IF(SUMPRODUCT(-- ISNUMBER(SEARCH({"Formula","Roll-Up Summary"}, $B171))) &gt; 0,$B171 &amp; " (" &amp; $E171 &amp; ")",IF(SUMPRODUCT(-- ISNUMBER(SEARCH({"Content","Currency","Number","Percent","Text","URL"}, $B171))) &gt; 0,$B171 &amp; "(" &amp; $C171 &amp; ")",$B171)))), "  ", TRIM(IF($S171 = "YES", "(External ID)", "") &amp; " " &amp; IF(SUMPRODUCT(-- ISNUMBER(SEARCH({"Unique","Unique Case Insensitive"}, $R171))) &gt; 0, "(" &amp; $R171 &amp; ")", ""))))</f>
        <v>na</v>
      </c>
      <c r="E171" s="7" t="s">
        <v>195</v>
      </c>
      <c r="F171" s="7" t="s">
        <v>195</v>
      </c>
      <c r="G171" s="7" t="s">
        <v>195</v>
      </c>
      <c r="H171" s="7" t="s">
        <v>195</v>
      </c>
      <c r="I171" s="7" t="s">
        <v>195</v>
      </c>
      <c r="J171" s="7" t="s">
        <v>195</v>
      </c>
      <c r="K171" s="7" t="s">
        <v>195</v>
      </c>
      <c r="L171" s="7" t="s">
        <v>195</v>
      </c>
      <c r="M171" s="7" t="s">
        <v>29</v>
      </c>
      <c r="N171" s="7" t="s">
        <v>29</v>
      </c>
      <c r="O171" s="7" t="s">
        <v>29</v>
      </c>
      <c r="P171" s="7" t="s">
        <v>29</v>
      </c>
      <c r="Q171" s="7" t="s">
        <v>29</v>
      </c>
      <c r="R171" s="7" t="s">
        <v>29</v>
      </c>
      <c r="S171" s="7" t="s">
        <v>29</v>
      </c>
    </row>
    <row r="172" spans="2:19">
      <c r="B172" s="7" t="s">
        <v>195</v>
      </c>
      <c r="C172" s="8" t="s">
        <v>195</v>
      </c>
      <c r="D172" s="6" t="str">
        <f>LRTRIM(CONCATENATE(IF(SUMPRODUCT(-- ISNUMBER(SEARCH({"Auto Number"}, $B172))) &gt; 0, $B172, IF(SUMPRODUCT(-- ISNUMBER(SEARCH({"Lookup","Master-Detail"}, $B172))) &gt; 0,$B172 &amp; "(" &amp; $E172 &amp; ")",IF(SUMPRODUCT(-- ISNUMBER(SEARCH({"Formula","Roll-Up Summary"}, $B172))) &gt; 0,$B172 &amp; " (" &amp; $E172 &amp; ")",IF(SUMPRODUCT(-- ISNUMBER(SEARCH({"Content","Currency","Number","Percent","Text","URL"}, $B172))) &gt; 0,$B172 &amp; "(" &amp; $C172 &amp; ")",$B172)))), "  ", TRIM(IF($S172 = "YES", "(External ID)", "") &amp; " " &amp; IF(SUMPRODUCT(-- ISNUMBER(SEARCH({"Unique","Unique Case Insensitive"}, $R172))) &gt; 0, "(" &amp; $R172 &amp; ")", ""))))</f>
        <v>na</v>
      </c>
      <c r="E172" s="7" t="s">
        <v>195</v>
      </c>
      <c r="F172" s="7" t="s">
        <v>195</v>
      </c>
      <c r="G172" s="7" t="s">
        <v>195</v>
      </c>
      <c r="H172" s="7" t="s">
        <v>195</v>
      </c>
      <c r="I172" s="7" t="s">
        <v>195</v>
      </c>
      <c r="J172" s="7" t="s">
        <v>195</v>
      </c>
      <c r="K172" s="7" t="s">
        <v>195</v>
      </c>
      <c r="L172" s="7" t="s">
        <v>195</v>
      </c>
      <c r="M172" s="7" t="s">
        <v>29</v>
      </c>
      <c r="N172" s="7" t="s">
        <v>29</v>
      </c>
      <c r="O172" s="7" t="s">
        <v>29</v>
      </c>
      <c r="P172" s="7" t="s">
        <v>29</v>
      </c>
      <c r="Q172" s="7" t="s">
        <v>29</v>
      </c>
      <c r="R172" s="7" t="s">
        <v>29</v>
      </c>
      <c r="S172" s="7" t="s">
        <v>29</v>
      </c>
    </row>
    <row r="173" spans="2:19">
      <c r="B173" s="7" t="s">
        <v>195</v>
      </c>
      <c r="C173" s="8" t="s">
        <v>195</v>
      </c>
      <c r="D173" s="6" t="str">
        <f>LRTRIM(CONCATENATE(IF(SUMPRODUCT(-- ISNUMBER(SEARCH({"Auto Number"}, $B173))) &gt; 0, $B173, IF(SUMPRODUCT(-- ISNUMBER(SEARCH({"Lookup","Master-Detail"}, $B173))) &gt; 0,$B173 &amp; "(" &amp; $E173 &amp; ")",IF(SUMPRODUCT(-- ISNUMBER(SEARCH({"Formula","Roll-Up Summary"}, $B173))) &gt; 0,$B173 &amp; " (" &amp; $E173 &amp; ")",IF(SUMPRODUCT(-- ISNUMBER(SEARCH({"Content","Currency","Number","Percent","Text","URL"}, $B173))) &gt; 0,$B173 &amp; "(" &amp; $C173 &amp; ")",$B173)))), "  ", TRIM(IF($S173 = "YES", "(External ID)", "") &amp; " " &amp; IF(SUMPRODUCT(-- ISNUMBER(SEARCH({"Unique","Unique Case Insensitive"}, $R173))) &gt; 0, "(" &amp; $R173 &amp; ")", ""))))</f>
        <v>na</v>
      </c>
      <c r="E173" s="7" t="s">
        <v>195</v>
      </c>
      <c r="F173" s="7" t="s">
        <v>195</v>
      </c>
      <c r="G173" s="7" t="s">
        <v>195</v>
      </c>
      <c r="H173" s="7" t="s">
        <v>195</v>
      </c>
      <c r="I173" s="7" t="s">
        <v>195</v>
      </c>
      <c r="J173" s="7" t="s">
        <v>195</v>
      </c>
      <c r="K173" s="7" t="s">
        <v>195</v>
      </c>
      <c r="L173" s="7" t="s">
        <v>195</v>
      </c>
      <c r="M173" s="7" t="s">
        <v>29</v>
      </c>
      <c r="N173" s="7" t="s">
        <v>29</v>
      </c>
      <c r="O173" s="7" t="s">
        <v>29</v>
      </c>
      <c r="P173" s="7" t="s">
        <v>29</v>
      </c>
      <c r="Q173" s="7" t="s">
        <v>29</v>
      </c>
      <c r="R173" s="7" t="s">
        <v>29</v>
      </c>
      <c r="S173" s="7" t="s">
        <v>29</v>
      </c>
    </row>
    <row r="174" spans="2:19">
      <c r="B174" s="7" t="s">
        <v>195</v>
      </c>
      <c r="C174" s="8" t="s">
        <v>195</v>
      </c>
      <c r="D174" s="6" t="str">
        <f>LRTRIM(CONCATENATE(IF(SUMPRODUCT(-- ISNUMBER(SEARCH({"Auto Number"}, $B174))) &gt; 0, $B174, IF(SUMPRODUCT(-- ISNUMBER(SEARCH({"Lookup","Master-Detail"}, $B174))) &gt; 0,$B174 &amp; "(" &amp; $E174 &amp; ")",IF(SUMPRODUCT(-- ISNUMBER(SEARCH({"Formula","Roll-Up Summary"}, $B174))) &gt; 0,$B174 &amp; " (" &amp; $E174 &amp; ")",IF(SUMPRODUCT(-- ISNUMBER(SEARCH({"Content","Currency","Number","Percent","Text","URL"}, $B174))) &gt; 0,$B174 &amp; "(" &amp; $C174 &amp; ")",$B174)))), "  ", TRIM(IF($S174 = "YES", "(External ID)", "") &amp; " " &amp; IF(SUMPRODUCT(-- ISNUMBER(SEARCH({"Unique","Unique Case Insensitive"}, $R174))) &gt; 0, "(" &amp; $R174 &amp; ")", ""))))</f>
        <v>na</v>
      </c>
      <c r="E174" s="7" t="s">
        <v>195</v>
      </c>
      <c r="F174" s="7" t="s">
        <v>195</v>
      </c>
      <c r="G174" s="7" t="s">
        <v>195</v>
      </c>
      <c r="H174" s="7" t="s">
        <v>195</v>
      </c>
      <c r="I174" s="7" t="s">
        <v>195</v>
      </c>
      <c r="J174" s="7" t="s">
        <v>195</v>
      </c>
      <c r="K174" s="7" t="s">
        <v>195</v>
      </c>
      <c r="L174" s="7" t="s">
        <v>195</v>
      </c>
      <c r="M174" s="7" t="s">
        <v>29</v>
      </c>
      <c r="N174" s="7" t="s">
        <v>29</v>
      </c>
      <c r="O174" s="7" t="s">
        <v>29</v>
      </c>
      <c r="P174" s="7" t="s">
        <v>29</v>
      </c>
      <c r="Q174" s="7" t="s">
        <v>29</v>
      </c>
      <c r="R174" s="7" t="s">
        <v>29</v>
      </c>
      <c r="S174" s="7" t="s">
        <v>29</v>
      </c>
    </row>
    <row r="175" spans="2:19">
      <c r="B175" s="7" t="s">
        <v>195</v>
      </c>
      <c r="C175" s="8" t="s">
        <v>195</v>
      </c>
      <c r="D175" s="6" t="str">
        <f>LRTRIM(CONCATENATE(IF(SUMPRODUCT(-- ISNUMBER(SEARCH({"Auto Number"}, $B175))) &gt; 0, $B175, IF(SUMPRODUCT(-- ISNUMBER(SEARCH({"Lookup","Master-Detail"}, $B175))) &gt; 0,$B175 &amp; "(" &amp; $E175 &amp; ")",IF(SUMPRODUCT(-- ISNUMBER(SEARCH({"Formula","Roll-Up Summary"}, $B175))) &gt; 0,$B175 &amp; " (" &amp; $E175 &amp; ")",IF(SUMPRODUCT(-- ISNUMBER(SEARCH({"Content","Currency","Number","Percent","Text","URL"}, $B175))) &gt; 0,$B175 &amp; "(" &amp; $C175 &amp; ")",$B175)))), "  ", TRIM(IF($S175 = "YES", "(External ID)", "") &amp; " " &amp; IF(SUMPRODUCT(-- ISNUMBER(SEARCH({"Unique","Unique Case Insensitive"}, $R175))) &gt; 0, "(" &amp; $R175 &amp; ")", ""))))</f>
        <v>na</v>
      </c>
      <c r="E175" s="7" t="s">
        <v>195</v>
      </c>
      <c r="F175" s="7" t="s">
        <v>195</v>
      </c>
      <c r="G175" s="7" t="s">
        <v>195</v>
      </c>
      <c r="H175" s="7" t="s">
        <v>195</v>
      </c>
      <c r="I175" s="7" t="s">
        <v>195</v>
      </c>
      <c r="J175" s="7" t="s">
        <v>195</v>
      </c>
      <c r="K175" s="7" t="s">
        <v>195</v>
      </c>
      <c r="L175" s="7" t="s">
        <v>195</v>
      </c>
      <c r="M175" s="7" t="s">
        <v>29</v>
      </c>
      <c r="N175" s="7" t="s">
        <v>29</v>
      </c>
      <c r="O175" s="7" t="s">
        <v>29</v>
      </c>
      <c r="P175" s="7" t="s">
        <v>29</v>
      </c>
      <c r="Q175" s="7" t="s">
        <v>29</v>
      </c>
      <c r="R175" s="7" t="s">
        <v>29</v>
      </c>
      <c r="S175" s="7" t="s">
        <v>29</v>
      </c>
    </row>
    <row r="176" spans="2:19">
      <c r="B176" s="7" t="s">
        <v>195</v>
      </c>
      <c r="C176" s="8" t="s">
        <v>195</v>
      </c>
      <c r="D176" s="6" t="str">
        <f>LRTRIM(CONCATENATE(IF(SUMPRODUCT(-- ISNUMBER(SEARCH({"Auto Number"}, $B176))) &gt; 0, $B176, IF(SUMPRODUCT(-- ISNUMBER(SEARCH({"Lookup","Master-Detail"}, $B176))) &gt; 0,$B176 &amp; "(" &amp; $E176 &amp; ")",IF(SUMPRODUCT(-- ISNUMBER(SEARCH({"Formula","Roll-Up Summary"}, $B176))) &gt; 0,$B176 &amp; " (" &amp; $E176 &amp; ")",IF(SUMPRODUCT(-- ISNUMBER(SEARCH({"Content","Currency","Number","Percent","Text","URL"}, $B176))) &gt; 0,$B176 &amp; "(" &amp; $C176 &amp; ")",$B176)))), "  ", TRIM(IF($S176 = "YES", "(External ID)", "") &amp; " " &amp; IF(SUMPRODUCT(-- ISNUMBER(SEARCH({"Unique","Unique Case Insensitive"}, $R176))) &gt; 0, "(" &amp; $R176 &amp; ")", ""))))</f>
        <v>na</v>
      </c>
      <c r="E176" s="7" t="s">
        <v>195</v>
      </c>
      <c r="F176" s="7" t="s">
        <v>195</v>
      </c>
      <c r="G176" s="7" t="s">
        <v>195</v>
      </c>
      <c r="H176" s="7" t="s">
        <v>195</v>
      </c>
      <c r="I176" s="7" t="s">
        <v>195</v>
      </c>
      <c r="J176" s="7" t="s">
        <v>195</v>
      </c>
      <c r="K176" s="7" t="s">
        <v>195</v>
      </c>
      <c r="L176" s="7" t="s">
        <v>195</v>
      </c>
      <c r="M176" s="7" t="s">
        <v>29</v>
      </c>
      <c r="N176" s="7" t="s">
        <v>29</v>
      </c>
      <c r="O176" s="7" t="s">
        <v>29</v>
      </c>
      <c r="P176" s="7" t="s">
        <v>29</v>
      </c>
      <c r="Q176" s="7" t="s">
        <v>29</v>
      </c>
      <c r="R176" s="7" t="s">
        <v>29</v>
      </c>
      <c r="S176" s="7" t="s">
        <v>29</v>
      </c>
    </row>
    <row r="177" spans="2:19">
      <c r="B177" s="7" t="s">
        <v>195</v>
      </c>
      <c r="C177" s="8" t="s">
        <v>195</v>
      </c>
      <c r="D177" s="6" t="str">
        <f>LRTRIM(CONCATENATE(IF(SUMPRODUCT(-- ISNUMBER(SEARCH({"Auto Number"}, $B177))) &gt; 0, $B177, IF(SUMPRODUCT(-- ISNUMBER(SEARCH({"Lookup","Master-Detail"}, $B177))) &gt; 0,$B177 &amp; "(" &amp; $E177 &amp; ")",IF(SUMPRODUCT(-- ISNUMBER(SEARCH({"Formula","Roll-Up Summary"}, $B177))) &gt; 0,$B177 &amp; " (" &amp; $E177 &amp; ")",IF(SUMPRODUCT(-- ISNUMBER(SEARCH({"Content","Currency","Number","Percent","Text","URL"}, $B177))) &gt; 0,$B177 &amp; "(" &amp; $C177 &amp; ")",$B177)))), "  ", TRIM(IF($S177 = "YES", "(External ID)", "") &amp; " " &amp; IF(SUMPRODUCT(-- ISNUMBER(SEARCH({"Unique","Unique Case Insensitive"}, $R177))) &gt; 0, "(" &amp; $R177 &amp; ")", ""))))</f>
        <v>na</v>
      </c>
      <c r="E177" s="7" t="s">
        <v>195</v>
      </c>
      <c r="F177" s="7" t="s">
        <v>195</v>
      </c>
      <c r="G177" s="7" t="s">
        <v>195</v>
      </c>
      <c r="H177" s="7" t="s">
        <v>195</v>
      </c>
      <c r="I177" s="7" t="s">
        <v>195</v>
      </c>
      <c r="J177" s="7" t="s">
        <v>195</v>
      </c>
      <c r="K177" s="7" t="s">
        <v>195</v>
      </c>
      <c r="L177" s="7" t="s">
        <v>195</v>
      </c>
      <c r="M177" s="7" t="s">
        <v>29</v>
      </c>
      <c r="N177" s="7" t="s">
        <v>29</v>
      </c>
      <c r="O177" s="7" t="s">
        <v>29</v>
      </c>
      <c r="P177" s="7" t="s">
        <v>29</v>
      </c>
      <c r="Q177" s="7" t="s">
        <v>29</v>
      </c>
      <c r="R177" s="7" t="s">
        <v>29</v>
      </c>
      <c r="S177" s="7" t="s">
        <v>29</v>
      </c>
    </row>
    <row r="178" spans="2:19">
      <c r="B178" s="7" t="s">
        <v>195</v>
      </c>
      <c r="C178" s="8" t="s">
        <v>195</v>
      </c>
      <c r="D178" s="6" t="str">
        <f>LRTRIM(CONCATENATE(IF(SUMPRODUCT(-- ISNUMBER(SEARCH({"Auto Number"}, $B178))) &gt; 0, $B178, IF(SUMPRODUCT(-- ISNUMBER(SEARCH({"Lookup","Master-Detail"}, $B178))) &gt; 0,$B178 &amp; "(" &amp; $E178 &amp; ")",IF(SUMPRODUCT(-- ISNUMBER(SEARCH({"Formula","Roll-Up Summary"}, $B178))) &gt; 0,$B178 &amp; " (" &amp; $E178 &amp; ")",IF(SUMPRODUCT(-- ISNUMBER(SEARCH({"Content","Currency","Number","Percent","Text","URL"}, $B178))) &gt; 0,$B178 &amp; "(" &amp; $C178 &amp; ")",$B178)))), "  ", TRIM(IF($S178 = "YES", "(External ID)", "") &amp; " " &amp; IF(SUMPRODUCT(-- ISNUMBER(SEARCH({"Unique","Unique Case Insensitive"}, $R178))) &gt; 0, "(" &amp; $R178 &amp; ")", ""))))</f>
        <v>na</v>
      </c>
      <c r="E178" s="7" t="s">
        <v>195</v>
      </c>
      <c r="F178" s="7" t="s">
        <v>195</v>
      </c>
      <c r="G178" s="7" t="s">
        <v>195</v>
      </c>
      <c r="H178" s="7" t="s">
        <v>195</v>
      </c>
      <c r="I178" s="7" t="s">
        <v>195</v>
      </c>
      <c r="J178" s="7" t="s">
        <v>195</v>
      </c>
      <c r="K178" s="7" t="s">
        <v>195</v>
      </c>
      <c r="L178" s="7" t="s">
        <v>195</v>
      </c>
      <c r="M178" s="7" t="s">
        <v>29</v>
      </c>
      <c r="N178" s="7" t="s">
        <v>29</v>
      </c>
      <c r="O178" s="7" t="s">
        <v>29</v>
      </c>
      <c r="P178" s="7" t="s">
        <v>29</v>
      </c>
      <c r="Q178" s="7" t="s">
        <v>29</v>
      </c>
      <c r="R178" s="7" t="s">
        <v>29</v>
      </c>
      <c r="S178" s="7" t="s">
        <v>29</v>
      </c>
    </row>
    <row r="179" spans="2:19">
      <c r="B179" s="7" t="s">
        <v>195</v>
      </c>
      <c r="C179" s="8" t="s">
        <v>195</v>
      </c>
      <c r="D179" s="6" t="str">
        <f>LRTRIM(CONCATENATE(IF(SUMPRODUCT(-- ISNUMBER(SEARCH({"Auto Number"}, $B179))) &gt; 0, $B179, IF(SUMPRODUCT(-- ISNUMBER(SEARCH({"Lookup","Master-Detail"}, $B179))) &gt; 0,$B179 &amp; "(" &amp; $E179 &amp; ")",IF(SUMPRODUCT(-- ISNUMBER(SEARCH({"Formula","Roll-Up Summary"}, $B179))) &gt; 0,$B179 &amp; " (" &amp; $E179 &amp; ")",IF(SUMPRODUCT(-- ISNUMBER(SEARCH({"Content","Currency","Number","Percent","Text","URL"}, $B179))) &gt; 0,$B179 &amp; "(" &amp; $C179 &amp; ")",$B179)))), "  ", TRIM(IF($S179 = "YES", "(External ID)", "") &amp; " " &amp; IF(SUMPRODUCT(-- ISNUMBER(SEARCH({"Unique","Unique Case Insensitive"}, $R179))) &gt; 0, "(" &amp; $R179 &amp; ")", ""))))</f>
        <v>na</v>
      </c>
      <c r="E179" s="7" t="s">
        <v>195</v>
      </c>
      <c r="F179" s="7" t="s">
        <v>195</v>
      </c>
      <c r="G179" s="7" t="s">
        <v>195</v>
      </c>
      <c r="H179" s="7" t="s">
        <v>195</v>
      </c>
      <c r="I179" s="7" t="s">
        <v>195</v>
      </c>
      <c r="J179" s="7" t="s">
        <v>195</v>
      </c>
      <c r="K179" s="7" t="s">
        <v>195</v>
      </c>
      <c r="L179" s="7" t="s">
        <v>195</v>
      </c>
      <c r="M179" s="7" t="s">
        <v>29</v>
      </c>
      <c r="N179" s="7" t="s">
        <v>29</v>
      </c>
      <c r="O179" s="7" t="s">
        <v>29</v>
      </c>
      <c r="P179" s="7" t="s">
        <v>29</v>
      </c>
      <c r="Q179" s="7" t="s">
        <v>29</v>
      </c>
      <c r="R179" s="7" t="s">
        <v>29</v>
      </c>
      <c r="S179" s="7" t="s">
        <v>29</v>
      </c>
    </row>
    <row r="180" spans="2:19">
      <c r="B180" s="7" t="s">
        <v>195</v>
      </c>
      <c r="C180" s="8" t="s">
        <v>195</v>
      </c>
      <c r="D180" s="6" t="str">
        <f>LRTRIM(CONCATENATE(IF(SUMPRODUCT(-- ISNUMBER(SEARCH({"Auto Number"}, $B180))) &gt; 0, $B180, IF(SUMPRODUCT(-- ISNUMBER(SEARCH({"Lookup","Master-Detail"}, $B180))) &gt; 0,$B180 &amp; "(" &amp; $E180 &amp; ")",IF(SUMPRODUCT(-- ISNUMBER(SEARCH({"Formula","Roll-Up Summary"}, $B180))) &gt; 0,$B180 &amp; " (" &amp; $E180 &amp; ")",IF(SUMPRODUCT(-- ISNUMBER(SEARCH({"Content","Currency","Number","Percent","Text","URL"}, $B180))) &gt; 0,$B180 &amp; "(" &amp; $C180 &amp; ")",$B180)))), "  ", TRIM(IF($S180 = "YES", "(External ID)", "") &amp; " " &amp; IF(SUMPRODUCT(-- ISNUMBER(SEARCH({"Unique","Unique Case Insensitive"}, $R180))) &gt; 0, "(" &amp; $R180 &amp; ")", ""))))</f>
        <v>na</v>
      </c>
      <c r="E180" s="7" t="s">
        <v>195</v>
      </c>
      <c r="F180" s="7" t="s">
        <v>195</v>
      </c>
      <c r="G180" s="7" t="s">
        <v>195</v>
      </c>
      <c r="H180" s="7" t="s">
        <v>195</v>
      </c>
      <c r="I180" s="7" t="s">
        <v>195</v>
      </c>
      <c r="J180" s="7" t="s">
        <v>195</v>
      </c>
      <c r="K180" s="7" t="s">
        <v>195</v>
      </c>
      <c r="L180" s="7" t="s">
        <v>195</v>
      </c>
      <c r="M180" s="7" t="s">
        <v>29</v>
      </c>
      <c r="N180" s="7" t="s">
        <v>29</v>
      </c>
      <c r="O180" s="7" t="s">
        <v>29</v>
      </c>
      <c r="P180" s="7" t="s">
        <v>29</v>
      </c>
      <c r="Q180" s="7" t="s">
        <v>29</v>
      </c>
      <c r="R180" s="7" t="s">
        <v>29</v>
      </c>
      <c r="S180" s="7" t="s">
        <v>29</v>
      </c>
    </row>
    <row r="181" spans="2:19">
      <c r="B181" s="7" t="s">
        <v>195</v>
      </c>
      <c r="C181" s="8" t="s">
        <v>195</v>
      </c>
      <c r="D181" s="6" t="str">
        <f>LRTRIM(CONCATENATE(IF(SUMPRODUCT(-- ISNUMBER(SEARCH({"Auto Number"}, $B181))) &gt; 0, $B181, IF(SUMPRODUCT(-- ISNUMBER(SEARCH({"Lookup","Master-Detail"}, $B181))) &gt; 0,$B181 &amp; "(" &amp; $E181 &amp; ")",IF(SUMPRODUCT(-- ISNUMBER(SEARCH({"Formula","Roll-Up Summary"}, $B181))) &gt; 0,$B181 &amp; " (" &amp; $E181 &amp; ")",IF(SUMPRODUCT(-- ISNUMBER(SEARCH({"Content","Currency","Number","Percent","Text","URL"}, $B181))) &gt; 0,$B181 &amp; "(" &amp; $C181 &amp; ")",$B181)))), "  ", TRIM(IF($S181 = "YES", "(External ID)", "") &amp; " " &amp; IF(SUMPRODUCT(-- ISNUMBER(SEARCH({"Unique","Unique Case Insensitive"}, $R181))) &gt; 0, "(" &amp; $R181 &amp; ")", ""))))</f>
        <v>na</v>
      </c>
      <c r="E181" s="7" t="s">
        <v>195</v>
      </c>
      <c r="F181" s="7" t="s">
        <v>195</v>
      </c>
      <c r="G181" s="7" t="s">
        <v>195</v>
      </c>
      <c r="H181" s="7" t="s">
        <v>195</v>
      </c>
      <c r="I181" s="7" t="s">
        <v>195</v>
      </c>
      <c r="J181" s="7" t="s">
        <v>195</v>
      </c>
      <c r="K181" s="7" t="s">
        <v>195</v>
      </c>
      <c r="L181" s="7" t="s">
        <v>195</v>
      </c>
      <c r="M181" s="7" t="s">
        <v>29</v>
      </c>
      <c r="N181" s="7" t="s">
        <v>29</v>
      </c>
      <c r="O181" s="7" t="s">
        <v>29</v>
      </c>
      <c r="P181" s="7" t="s">
        <v>29</v>
      </c>
      <c r="Q181" s="7" t="s">
        <v>29</v>
      </c>
      <c r="R181" s="7" t="s">
        <v>29</v>
      </c>
      <c r="S181" s="7" t="s">
        <v>29</v>
      </c>
    </row>
    <row r="182" spans="2:19">
      <c r="B182" s="7" t="s">
        <v>195</v>
      </c>
      <c r="C182" s="8" t="s">
        <v>195</v>
      </c>
      <c r="D182" s="6" t="str">
        <f>LRTRIM(CONCATENATE(IF(SUMPRODUCT(-- ISNUMBER(SEARCH({"Auto Number"}, $B182))) &gt; 0, $B182, IF(SUMPRODUCT(-- ISNUMBER(SEARCH({"Lookup","Master-Detail"}, $B182))) &gt; 0,$B182 &amp; "(" &amp; $E182 &amp; ")",IF(SUMPRODUCT(-- ISNUMBER(SEARCH({"Formula","Roll-Up Summary"}, $B182))) &gt; 0,$B182 &amp; " (" &amp; $E182 &amp; ")",IF(SUMPRODUCT(-- ISNUMBER(SEARCH({"Content","Currency","Number","Percent","Text","URL"}, $B182))) &gt; 0,$B182 &amp; "(" &amp; $C182 &amp; ")",$B182)))), "  ", TRIM(IF($S182 = "YES", "(External ID)", "") &amp; " " &amp; IF(SUMPRODUCT(-- ISNUMBER(SEARCH({"Unique","Unique Case Insensitive"}, $R182))) &gt; 0, "(" &amp; $R182 &amp; ")", ""))))</f>
        <v>na</v>
      </c>
      <c r="E182" s="7" t="s">
        <v>195</v>
      </c>
      <c r="F182" s="7" t="s">
        <v>195</v>
      </c>
      <c r="G182" s="7" t="s">
        <v>195</v>
      </c>
      <c r="H182" s="7" t="s">
        <v>195</v>
      </c>
      <c r="I182" s="7" t="s">
        <v>195</v>
      </c>
      <c r="J182" s="7" t="s">
        <v>195</v>
      </c>
      <c r="K182" s="7" t="s">
        <v>195</v>
      </c>
      <c r="L182" s="7" t="s">
        <v>195</v>
      </c>
      <c r="M182" s="7" t="s">
        <v>29</v>
      </c>
      <c r="N182" s="7" t="s">
        <v>29</v>
      </c>
      <c r="O182" s="7" t="s">
        <v>29</v>
      </c>
      <c r="P182" s="7" t="s">
        <v>29</v>
      </c>
      <c r="Q182" s="7" t="s">
        <v>29</v>
      </c>
      <c r="R182" s="7" t="s">
        <v>29</v>
      </c>
      <c r="S182" s="7" t="s">
        <v>29</v>
      </c>
    </row>
    <row r="183" spans="2:19">
      <c r="B183" s="7" t="s">
        <v>195</v>
      </c>
      <c r="C183" s="8" t="s">
        <v>195</v>
      </c>
      <c r="D183" s="6" t="str">
        <f>LRTRIM(CONCATENATE(IF(SUMPRODUCT(-- ISNUMBER(SEARCH({"Auto Number"}, $B183))) &gt; 0, $B183, IF(SUMPRODUCT(-- ISNUMBER(SEARCH({"Lookup","Master-Detail"}, $B183))) &gt; 0,$B183 &amp; "(" &amp; $E183 &amp; ")",IF(SUMPRODUCT(-- ISNUMBER(SEARCH({"Formula","Roll-Up Summary"}, $B183))) &gt; 0,$B183 &amp; " (" &amp; $E183 &amp; ")",IF(SUMPRODUCT(-- ISNUMBER(SEARCH({"Content","Currency","Number","Percent","Text","URL"}, $B183))) &gt; 0,$B183 &amp; "(" &amp; $C183 &amp; ")",$B183)))), "  ", TRIM(IF($S183 = "YES", "(External ID)", "") &amp; " " &amp; IF(SUMPRODUCT(-- ISNUMBER(SEARCH({"Unique","Unique Case Insensitive"}, $R183))) &gt; 0, "(" &amp; $R183 &amp; ")", ""))))</f>
        <v>na</v>
      </c>
      <c r="E183" s="7" t="s">
        <v>195</v>
      </c>
      <c r="F183" s="7" t="s">
        <v>195</v>
      </c>
      <c r="G183" s="7" t="s">
        <v>195</v>
      </c>
      <c r="H183" s="7" t="s">
        <v>195</v>
      </c>
      <c r="I183" s="7" t="s">
        <v>195</v>
      </c>
      <c r="J183" s="7" t="s">
        <v>195</v>
      </c>
      <c r="K183" s="7" t="s">
        <v>195</v>
      </c>
      <c r="L183" s="7" t="s">
        <v>195</v>
      </c>
      <c r="M183" s="7" t="s">
        <v>29</v>
      </c>
      <c r="N183" s="7" t="s">
        <v>29</v>
      </c>
      <c r="O183" s="7" t="s">
        <v>29</v>
      </c>
      <c r="P183" s="7" t="s">
        <v>29</v>
      </c>
      <c r="Q183" s="7" t="s">
        <v>29</v>
      </c>
      <c r="R183" s="7" t="s">
        <v>29</v>
      </c>
      <c r="S183" s="7" t="s">
        <v>29</v>
      </c>
    </row>
    <row r="184" spans="2:19">
      <c r="B184" s="7" t="s">
        <v>195</v>
      </c>
      <c r="C184" s="8" t="s">
        <v>195</v>
      </c>
      <c r="D184" s="6" t="str">
        <f>LRTRIM(CONCATENATE(IF(SUMPRODUCT(-- ISNUMBER(SEARCH({"Auto Number"}, $B184))) &gt; 0, $B184, IF(SUMPRODUCT(-- ISNUMBER(SEARCH({"Lookup","Master-Detail"}, $B184))) &gt; 0,$B184 &amp; "(" &amp; $E184 &amp; ")",IF(SUMPRODUCT(-- ISNUMBER(SEARCH({"Formula","Roll-Up Summary"}, $B184))) &gt; 0,$B184 &amp; " (" &amp; $E184 &amp; ")",IF(SUMPRODUCT(-- ISNUMBER(SEARCH({"Content","Currency","Number","Percent","Text","URL"}, $B184))) &gt; 0,$B184 &amp; "(" &amp; $C184 &amp; ")",$B184)))), "  ", TRIM(IF($S184 = "YES", "(External ID)", "") &amp; " " &amp; IF(SUMPRODUCT(-- ISNUMBER(SEARCH({"Unique","Unique Case Insensitive"}, $R184))) &gt; 0, "(" &amp; $R184 &amp; ")", ""))))</f>
        <v>na</v>
      </c>
      <c r="E184" s="7" t="s">
        <v>195</v>
      </c>
      <c r="F184" s="7" t="s">
        <v>195</v>
      </c>
      <c r="G184" s="7" t="s">
        <v>195</v>
      </c>
      <c r="H184" s="7" t="s">
        <v>195</v>
      </c>
      <c r="I184" s="7" t="s">
        <v>195</v>
      </c>
      <c r="J184" s="7" t="s">
        <v>195</v>
      </c>
      <c r="K184" s="7" t="s">
        <v>195</v>
      </c>
      <c r="L184" s="7" t="s">
        <v>195</v>
      </c>
      <c r="M184" s="7" t="s">
        <v>29</v>
      </c>
      <c r="N184" s="7" t="s">
        <v>29</v>
      </c>
      <c r="O184" s="7" t="s">
        <v>29</v>
      </c>
      <c r="P184" s="7" t="s">
        <v>29</v>
      </c>
      <c r="Q184" s="7" t="s">
        <v>29</v>
      </c>
      <c r="R184" s="7" t="s">
        <v>29</v>
      </c>
      <c r="S184" s="7" t="s">
        <v>29</v>
      </c>
    </row>
    <row r="185" spans="2:19">
      <c r="B185" s="7" t="s">
        <v>195</v>
      </c>
      <c r="C185" s="8" t="s">
        <v>195</v>
      </c>
      <c r="D185" s="6" t="str">
        <f>LRTRIM(CONCATENATE(IF(SUMPRODUCT(-- ISNUMBER(SEARCH({"Auto Number"}, $B185))) &gt; 0, $B185, IF(SUMPRODUCT(-- ISNUMBER(SEARCH({"Lookup","Master-Detail"}, $B185))) &gt; 0,$B185 &amp; "(" &amp; $E185 &amp; ")",IF(SUMPRODUCT(-- ISNUMBER(SEARCH({"Formula","Roll-Up Summary"}, $B185))) &gt; 0,$B185 &amp; " (" &amp; $E185 &amp; ")",IF(SUMPRODUCT(-- ISNUMBER(SEARCH({"Content","Currency","Number","Percent","Text","URL"}, $B185))) &gt; 0,$B185 &amp; "(" &amp; $C185 &amp; ")",$B185)))), "  ", TRIM(IF($S185 = "YES", "(External ID)", "") &amp; " " &amp; IF(SUMPRODUCT(-- ISNUMBER(SEARCH({"Unique","Unique Case Insensitive"}, $R185))) &gt; 0, "(" &amp; $R185 &amp; ")", ""))))</f>
        <v>na</v>
      </c>
      <c r="E185" s="7" t="s">
        <v>195</v>
      </c>
      <c r="F185" s="7" t="s">
        <v>195</v>
      </c>
      <c r="G185" s="7" t="s">
        <v>195</v>
      </c>
      <c r="H185" s="7" t="s">
        <v>195</v>
      </c>
      <c r="I185" s="7" t="s">
        <v>195</v>
      </c>
      <c r="J185" s="7" t="s">
        <v>195</v>
      </c>
      <c r="K185" s="7" t="s">
        <v>195</v>
      </c>
      <c r="L185" s="7" t="s">
        <v>195</v>
      </c>
      <c r="M185" s="7" t="s">
        <v>29</v>
      </c>
      <c r="N185" s="7" t="s">
        <v>29</v>
      </c>
      <c r="O185" s="7" t="s">
        <v>29</v>
      </c>
      <c r="P185" s="7" t="s">
        <v>29</v>
      </c>
      <c r="Q185" s="7" t="s">
        <v>29</v>
      </c>
      <c r="R185" s="7" t="s">
        <v>29</v>
      </c>
      <c r="S185" s="7" t="s">
        <v>29</v>
      </c>
    </row>
    <row r="186" spans="2:19">
      <c r="B186" s="7" t="s">
        <v>195</v>
      </c>
      <c r="C186" s="8" t="s">
        <v>195</v>
      </c>
      <c r="D186" s="6" t="str">
        <f>LRTRIM(CONCATENATE(IF(SUMPRODUCT(-- ISNUMBER(SEARCH({"Auto Number"}, $B186))) &gt; 0, $B186, IF(SUMPRODUCT(-- ISNUMBER(SEARCH({"Lookup","Master-Detail"}, $B186))) &gt; 0,$B186 &amp; "(" &amp; $E186 &amp; ")",IF(SUMPRODUCT(-- ISNUMBER(SEARCH({"Formula","Roll-Up Summary"}, $B186))) &gt; 0,$B186 &amp; " (" &amp; $E186 &amp; ")",IF(SUMPRODUCT(-- ISNUMBER(SEARCH({"Content","Currency","Number","Percent","Text","URL"}, $B186))) &gt; 0,$B186 &amp; "(" &amp; $C186 &amp; ")",$B186)))), "  ", TRIM(IF($S186 = "YES", "(External ID)", "") &amp; " " &amp; IF(SUMPRODUCT(-- ISNUMBER(SEARCH({"Unique","Unique Case Insensitive"}, $R186))) &gt; 0, "(" &amp; $R186 &amp; ")", ""))))</f>
        <v>na</v>
      </c>
      <c r="E186" s="7" t="s">
        <v>195</v>
      </c>
      <c r="F186" s="7" t="s">
        <v>195</v>
      </c>
      <c r="G186" s="7" t="s">
        <v>195</v>
      </c>
      <c r="H186" s="7" t="s">
        <v>195</v>
      </c>
      <c r="I186" s="7" t="s">
        <v>195</v>
      </c>
      <c r="J186" s="7" t="s">
        <v>195</v>
      </c>
      <c r="K186" s="7" t="s">
        <v>195</v>
      </c>
      <c r="L186" s="7" t="s">
        <v>195</v>
      </c>
      <c r="M186" s="7" t="s">
        <v>29</v>
      </c>
      <c r="N186" s="7" t="s">
        <v>29</v>
      </c>
      <c r="O186" s="7" t="s">
        <v>29</v>
      </c>
      <c r="P186" s="7" t="s">
        <v>29</v>
      </c>
      <c r="Q186" s="7" t="s">
        <v>29</v>
      </c>
      <c r="R186" s="7" t="s">
        <v>29</v>
      </c>
      <c r="S186" s="7" t="s">
        <v>29</v>
      </c>
    </row>
    <row r="187" spans="2:19">
      <c r="B187" s="7" t="s">
        <v>195</v>
      </c>
      <c r="C187" s="8" t="s">
        <v>195</v>
      </c>
      <c r="D187" s="6" t="str">
        <f>LRTRIM(CONCATENATE(IF(SUMPRODUCT(-- ISNUMBER(SEARCH({"Auto Number"}, $B187))) &gt; 0, $B187, IF(SUMPRODUCT(-- ISNUMBER(SEARCH({"Lookup","Master-Detail"}, $B187))) &gt; 0,$B187 &amp; "(" &amp; $E187 &amp; ")",IF(SUMPRODUCT(-- ISNUMBER(SEARCH({"Formula","Roll-Up Summary"}, $B187))) &gt; 0,$B187 &amp; " (" &amp; $E187 &amp; ")",IF(SUMPRODUCT(-- ISNUMBER(SEARCH({"Content","Currency","Number","Percent","Text","URL"}, $B187))) &gt; 0,$B187 &amp; "(" &amp; $C187 &amp; ")",$B187)))), "  ", TRIM(IF($S187 = "YES", "(External ID)", "") &amp; " " &amp; IF(SUMPRODUCT(-- ISNUMBER(SEARCH({"Unique","Unique Case Insensitive"}, $R187))) &gt; 0, "(" &amp; $R187 &amp; ")", ""))))</f>
        <v>na</v>
      </c>
      <c r="E187" s="7" t="s">
        <v>195</v>
      </c>
      <c r="F187" s="7" t="s">
        <v>195</v>
      </c>
      <c r="G187" s="7" t="s">
        <v>195</v>
      </c>
      <c r="H187" s="7" t="s">
        <v>195</v>
      </c>
      <c r="I187" s="7" t="s">
        <v>195</v>
      </c>
      <c r="J187" s="7" t="s">
        <v>195</v>
      </c>
      <c r="K187" s="7" t="s">
        <v>195</v>
      </c>
      <c r="L187" s="7" t="s">
        <v>195</v>
      </c>
      <c r="M187" s="7" t="s">
        <v>29</v>
      </c>
      <c r="N187" s="7" t="s">
        <v>29</v>
      </c>
      <c r="O187" s="7" t="s">
        <v>29</v>
      </c>
      <c r="P187" s="7" t="s">
        <v>29</v>
      </c>
      <c r="Q187" s="7" t="s">
        <v>29</v>
      </c>
      <c r="R187" s="7" t="s">
        <v>29</v>
      </c>
      <c r="S187" s="7" t="s">
        <v>29</v>
      </c>
    </row>
    <row r="188" spans="2:19">
      <c r="B188" s="7" t="s">
        <v>195</v>
      </c>
      <c r="C188" s="8" t="s">
        <v>195</v>
      </c>
      <c r="D188" s="6" t="str">
        <f>LRTRIM(CONCATENATE(IF(SUMPRODUCT(-- ISNUMBER(SEARCH({"Auto Number"}, $B188))) &gt; 0, $B188, IF(SUMPRODUCT(-- ISNUMBER(SEARCH({"Lookup","Master-Detail"}, $B188))) &gt; 0,$B188 &amp; "(" &amp; $E188 &amp; ")",IF(SUMPRODUCT(-- ISNUMBER(SEARCH({"Formula","Roll-Up Summary"}, $B188))) &gt; 0,$B188 &amp; " (" &amp; $E188 &amp; ")",IF(SUMPRODUCT(-- ISNUMBER(SEARCH({"Content","Currency","Number","Percent","Text","URL"}, $B188))) &gt; 0,$B188 &amp; "(" &amp; $C188 &amp; ")",$B188)))), "  ", TRIM(IF($S188 = "YES", "(External ID)", "") &amp; " " &amp; IF(SUMPRODUCT(-- ISNUMBER(SEARCH({"Unique","Unique Case Insensitive"}, $R188))) &gt; 0, "(" &amp; $R188 &amp; ")", ""))))</f>
        <v>na</v>
      </c>
      <c r="E188" s="7" t="s">
        <v>195</v>
      </c>
      <c r="F188" s="7" t="s">
        <v>195</v>
      </c>
      <c r="G188" s="7" t="s">
        <v>195</v>
      </c>
      <c r="H188" s="7" t="s">
        <v>195</v>
      </c>
      <c r="I188" s="7" t="s">
        <v>195</v>
      </c>
      <c r="J188" s="7" t="s">
        <v>195</v>
      </c>
      <c r="K188" s="7" t="s">
        <v>195</v>
      </c>
      <c r="L188" s="7" t="s">
        <v>195</v>
      </c>
      <c r="M188" s="7" t="s">
        <v>29</v>
      </c>
      <c r="N188" s="7" t="s">
        <v>29</v>
      </c>
      <c r="O188" s="7" t="s">
        <v>29</v>
      </c>
      <c r="P188" s="7" t="s">
        <v>29</v>
      </c>
      <c r="Q188" s="7" t="s">
        <v>29</v>
      </c>
      <c r="R188" s="7" t="s">
        <v>29</v>
      </c>
      <c r="S188" s="7" t="s">
        <v>29</v>
      </c>
    </row>
    <row r="189" spans="2:19">
      <c r="B189" s="7" t="s">
        <v>195</v>
      </c>
      <c r="C189" s="8" t="s">
        <v>195</v>
      </c>
      <c r="D189" s="6" t="str">
        <f>LRTRIM(CONCATENATE(IF(SUMPRODUCT(-- ISNUMBER(SEARCH({"Auto Number"}, $B189))) &gt; 0, $B189, IF(SUMPRODUCT(-- ISNUMBER(SEARCH({"Lookup","Master-Detail"}, $B189))) &gt; 0,$B189 &amp; "(" &amp; $E189 &amp; ")",IF(SUMPRODUCT(-- ISNUMBER(SEARCH({"Formula","Roll-Up Summary"}, $B189))) &gt; 0,$B189 &amp; " (" &amp; $E189 &amp; ")",IF(SUMPRODUCT(-- ISNUMBER(SEARCH({"Content","Currency","Number","Percent","Text","URL"}, $B189))) &gt; 0,$B189 &amp; "(" &amp; $C189 &amp; ")",$B189)))), "  ", TRIM(IF($S189 = "YES", "(External ID)", "") &amp; " " &amp; IF(SUMPRODUCT(-- ISNUMBER(SEARCH({"Unique","Unique Case Insensitive"}, $R189))) &gt; 0, "(" &amp; $R189 &amp; ")", ""))))</f>
        <v>na</v>
      </c>
      <c r="E189" s="7" t="s">
        <v>195</v>
      </c>
      <c r="F189" s="7" t="s">
        <v>195</v>
      </c>
      <c r="G189" s="7" t="s">
        <v>195</v>
      </c>
      <c r="H189" s="7" t="s">
        <v>195</v>
      </c>
      <c r="I189" s="7" t="s">
        <v>195</v>
      </c>
      <c r="J189" s="7" t="s">
        <v>195</v>
      </c>
      <c r="K189" s="7" t="s">
        <v>195</v>
      </c>
      <c r="L189" s="7" t="s">
        <v>195</v>
      </c>
      <c r="M189" s="7" t="s">
        <v>29</v>
      </c>
      <c r="N189" s="7" t="s">
        <v>29</v>
      </c>
      <c r="O189" s="7" t="s">
        <v>29</v>
      </c>
      <c r="P189" s="7" t="s">
        <v>29</v>
      </c>
      <c r="Q189" s="7" t="s">
        <v>29</v>
      </c>
      <c r="R189" s="7" t="s">
        <v>29</v>
      </c>
      <c r="S189" s="7" t="s">
        <v>29</v>
      </c>
    </row>
    <row r="190" spans="2:19">
      <c r="B190" s="7" t="s">
        <v>195</v>
      </c>
      <c r="C190" s="8" t="s">
        <v>195</v>
      </c>
      <c r="D190" s="6" t="str">
        <f>LRTRIM(CONCATENATE(IF(SUMPRODUCT(-- ISNUMBER(SEARCH({"Auto Number"}, $B190))) &gt; 0, $B190, IF(SUMPRODUCT(-- ISNUMBER(SEARCH({"Lookup","Master-Detail"}, $B190))) &gt; 0,$B190 &amp; "(" &amp; $E190 &amp; ")",IF(SUMPRODUCT(-- ISNUMBER(SEARCH({"Formula","Roll-Up Summary"}, $B190))) &gt; 0,$B190 &amp; " (" &amp; $E190 &amp; ")",IF(SUMPRODUCT(-- ISNUMBER(SEARCH({"Content","Currency","Number","Percent","Text","URL"}, $B190))) &gt; 0,$B190 &amp; "(" &amp; $C190 &amp; ")",$B190)))), "  ", TRIM(IF($S190 = "YES", "(External ID)", "") &amp; " " &amp; IF(SUMPRODUCT(-- ISNUMBER(SEARCH({"Unique","Unique Case Insensitive"}, $R190))) &gt; 0, "(" &amp; $R190 &amp; ")", ""))))</f>
        <v>na</v>
      </c>
      <c r="E190" s="7" t="s">
        <v>195</v>
      </c>
      <c r="F190" s="7" t="s">
        <v>195</v>
      </c>
      <c r="G190" s="7" t="s">
        <v>195</v>
      </c>
      <c r="H190" s="7" t="s">
        <v>195</v>
      </c>
      <c r="I190" s="7" t="s">
        <v>195</v>
      </c>
      <c r="J190" s="7" t="s">
        <v>195</v>
      </c>
      <c r="K190" s="7" t="s">
        <v>195</v>
      </c>
      <c r="L190" s="7" t="s">
        <v>195</v>
      </c>
      <c r="M190" s="7" t="s">
        <v>29</v>
      </c>
      <c r="N190" s="7" t="s">
        <v>29</v>
      </c>
      <c r="O190" s="7" t="s">
        <v>29</v>
      </c>
      <c r="P190" s="7" t="s">
        <v>29</v>
      </c>
      <c r="Q190" s="7" t="s">
        <v>29</v>
      </c>
      <c r="R190" s="7" t="s">
        <v>29</v>
      </c>
      <c r="S190" s="7" t="s">
        <v>29</v>
      </c>
    </row>
    <row r="191" spans="2:19">
      <c r="B191" s="7" t="s">
        <v>195</v>
      </c>
      <c r="C191" s="8" t="s">
        <v>195</v>
      </c>
      <c r="D191" s="6" t="str">
        <f>LRTRIM(CONCATENATE(IF(SUMPRODUCT(-- ISNUMBER(SEARCH({"Auto Number"}, $B191))) &gt; 0, $B191, IF(SUMPRODUCT(-- ISNUMBER(SEARCH({"Lookup","Master-Detail"}, $B191))) &gt; 0,$B191 &amp; "(" &amp; $E191 &amp; ")",IF(SUMPRODUCT(-- ISNUMBER(SEARCH({"Formula","Roll-Up Summary"}, $B191))) &gt; 0,$B191 &amp; " (" &amp; $E191 &amp; ")",IF(SUMPRODUCT(-- ISNUMBER(SEARCH({"Content","Currency","Number","Percent","Text","URL"}, $B191))) &gt; 0,$B191 &amp; "(" &amp; $C191 &amp; ")",$B191)))), "  ", TRIM(IF($S191 = "YES", "(External ID)", "") &amp; " " &amp; IF(SUMPRODUCT(-- ISNUMBER(SEARCH({"Unique","Unique Case Insensitive"}, $R191))) &gt; 0, "(" &amp; $R191 &amp; ")", ""))))</f>
        <v>na</v>
      </c>
      <c r="E191" s="7" t="s">
        <v>195</v>
      </c>
      <c r="F191" s="7" t="s">
        <v>195</v>
      </c>
      <c r="G191" s="7" t="s">
        <v>195</v>
      </c>
      <c r="H191" s="7" t="s">
        <v>195</v>
      </c>
      <c r="I191" s="7" t="s">
        <v>195</v>
      </c>
      <c r="J191" s="7" t="s">
        <v>195</v>
      </c>
      <c r="K191" s="7" t="s">
        <v>195</v>
      </c>
      <c r="L191" s="7" t="s">
        <v>195</v>
      </c>
      <c r="M191" s="7" t="s">
        <v>29</v>
      </c>
      <c r="N191" s="7" t="s">
        <v>29</v>
      </c>
      <c r="O191" s="7" t="s">
        <v>29</v>
      </c>
      <c r="P191" s="7" t="s">
        <v>29</v>
      </c>
      <c r="Q191" s="7" t="s">
        <v>29</v>
      </c>
      <c r="R191" s="7" t="s">
        <v>29</v>
      </c>
      <c r="S191" s="7" t="s">
        <v>29</v>
      </c>
    </row>
    <row r="192" spans="2:19">
      <c r="B192" s="7" t="s">
        <v>195</v>
      </c>
      <c r="C192" s="8" t="s">
        <v>195</v>
      </c>
      <c r="D192" s="6" t="str">
        <f>LRTRIM(CONCATENATE(IF(SUMPRODUCT(-- ISNUMBER(SEARCH({"Auto Number"}, $B192))) &gt; 0, $B192, IF(SUMPRODUCT(-- ISNUMBER(SEARCH({"Lookup","Master-Detail"}, $B192))) &gt; 0,$B192 &amp; "(" &amp; $E192 &amp; ")",IF(SUMPRODUCT(-- ISNUMBER(SEARCH({"Formula","Roll-Up Summary"}, $B192))) &gt; 0,$B192 &amp; " (" &amp; $E192 &amp; ")",IF(SUMPRODUCT(-- ISNUMBER(SEARCH({"Content","Currency","Number","Percent","Text","URL"}, $B192))) &gt; 0,$B192 &amp; "(" &amp; $C192 &amp; ")",$B192)))), "  ", TRIM(IF($S192 = "YES", "(External ID)", "") &amp; " " &amp; IF(SUMPRODUCT(-- ISNUMBER(SEARCH({"Unique","Unique Case Insensitive"}, $R192))) &gt; 0, "(" &amp; $R192 &amp; ")", ""))))</f>
        <v>na</v>
      </c>
      <c r="E192" s="7" t="s">
        <v>195</v>
      </c>
      <c r="F192" s="7" t="s">
        <v>195</v>
      </c>
      <c r="G192" s="7" t="s">
        <v>195</v>
      </c>
      <c r="H192" s="7" t="s">
        <v>195</v>
      </c>
      <c r="I192" s="7" t="s">
        <v>195</v>
      </c>
      <c r="J192" s="7" t="s">
        <v>195</v>
      </c>
      <c r="K192" s="7" t="s">
        <v>195</v>
      </c>
      <c r="L192" s="7" t="s">
        <v>195</v>
      </c>
      <c r="M192" s="7" t="s">
        <v>29</v>
      </c>
      <c r="N192" s="7" t="s">
        <v>29</v>
      </c>
      <c r="O192" s="7" t="s">
        <v>29</v>
      </c>
      <c r="P192" s="7" t="s">
        <v>29</v>
      </c>
      <c r="Q192" s="7" t="s">
        <v>29</v>
      </c>
      <c r="R192" s="7" t="s">
        <v>29</v>
      </c>
      <c r="S192" s="7" t="s">
        <v>29</v>
      </c>
    </row>
    <row r="193" spans="2:19">
      <c r="B193" s="7" t="s">
        <v>195</v>
      </c>
      <c r="C193" s="8" t="s">
        <v>195</v>
      </c>
      <c r="D193" s="6" t="str">
        <f>LRTRIM(CONCATENATE(IF(SUMPRODUCT(-- ISNUMBER(SEARCH({"Auto Number"}, $B193))) &gt; 0, $B193, IF(SUMPRODUCT(-- ISNUMBER(SEARCH({"Lookup","Master-Detail"}, $B193))) &gt; 0,$B193 &amp; "(" &amp; $E193 &amp; ")",IF(SUMPRODUCT(-- ISNUMBER(SEARCH({"Formula","Roll-Up Summary"}, $B193))) &gt; 0,$B193 &amp; " (" &amp; $E193 &amp; ")",IF(SUMPRODUCT(-- ISNUMBER(SEARCH({"Content","Currency","Number","Percent","Text","URL"}, $B193))) &gt; 0,$B193 &amp; "(" &amp; $C193 &amp; ")",$B193)))), "  ", TRIM(IF($S193 = "YES", "(External ID)", "") &amp; " " &amp; IF(SUMPRODUCT(-- ISNUMBER(SEARCH({"Unique","Unique Case Insensitive"}, $R193))) &gt; 0, "(" &amp; $R193 &amp; ")", ""))))</f>
        <v>na</v>
      </c>
      <c r="E193" s="7" t="s">
        <v>195</v>
      </c>
      <c r="F193" s="7" t="s">
        <v>195</v>
      </c>
      <c r="G193" s="7" t="s">
        <v>195</v>
      </c>
      <c r="H193" s="7" t="s">
        <v>195</v>
      </c>
      <c r="I193" s="7" t="s">
        <v>195</v>
      </c>
      <c r="J193" s="7" t="s">
        <v>195</v>
      </c>
      <c r="K193" s="7" t="s">
        <v>195</v>
      </c>
      <c r="L193" s="7" t="s">
        <v>195</v>
      </c>
      <c r="M193" s="7" t="s">
        <v>29</v>
      </c>
      <c r="N193" s="7" t="s">
        <v>29</v>
      </c>
      <c r="O193" s="7" t="s">
        <v>29</v>
      </c>
      <c r="P193" s="7" t="s">
        <v>29</v>
      </c>
      <c r="Q193" s="7" t="s">
        <v>29</v>
      </c>
      <c r="R193" s="7" t="s">
        <v>29</v>
      </c>
      <c r="S193" s="7" t="s">
        <v>29</v>
      </c>
    </row>
    <row r="194" spans="2:19">
      <c r="B194" s="7" t="s">
        <v>195</v>
      </c>
      <c r="C194" s="8" t="s">
        <v>195</v>
      </c>
      <c r="D194" s="6" t="str">
        <f>LRTRIM(CONCATENATE(IF(SUMPRODUCT(-- ISNUMBER(SEARCH({"Auto Number"}, $B194))) &gt; 0, $B194, IF(SUMPRODUCT(-- ISNUMBER(SEARCH({"Lookup","Master-Detail"}, $B194))) &gt; 0,$B194 &amp; "(" &amp; $E194 &amp; ")",IF(SUMPRODUCT(-- ISNUMBER(SEARCH({"Formula","Roll-Up Summary"}, $B194))) &gt; 0,$B194 &amp; " (" &amp; $E194 &amp; ")",IF(SUMPRODUCT(-- ISNUMBER(SEARCH({"Content","Currency","Number","Percent","Text","URL"}, $B194))) &gt; 0,$B194 &amp; "(" &amp; $C194 &amp; ")",$B194)))), "  ", TRIM(IF($S194 = "YES", "(External ID)", "") &amp; " " &amp; IF(SUMPRODUCT(-- ISNUMBER(SEARCH({"Unique","Unique Case Insensitive"}, $R194))) &gt; 0, "(" &amp; $R194 &amp; ")", ""))))</f>
        <v>na</v>
      </c>
      <c r="E194" s="7" t="s">
        <v>195</v>
      </c>
      <c r="F194" s="7" t="s">
        <v>195</v>
      </c>
      <c r="G194" s="7" t="s">
        <v>195</v>
      </c>
      <c r="H194" s="7" t="s">
        <v>195</v>
      </c>
      <c r="I194" s="7" t="s">
        <v>195</v>
      </c>
      <c r="J194" s="7" t="s">
        <v>195</v>
      </c>
      <c r="K194" s="7" t="s">
        <v>195</v>
      </c>
      <c r="L194" s="7" t="s">
        <v>195</v>
      </c>
      <c r="M194" s="7" t="s">
        <v>29</v>
      </c>
      <c r="N194" s="7" t="s">
        <v>29</v>
      </c>
      <c r="O194" s="7" t="s">
        <v>29</v>
      </c>
      <c r="P194" s="7" t="s">
        <v>29</v>
      </c>
      <c r="Q194" s="7" t="s">
        <v>29</v>
      </c>
      <c r="R194" s="7" t="s">
        <v>29</v>
      </c>
      <c r="S194" s="7" t="s">
        <v>29</v>
      </c>
    </row>
    <row r="195" spans="2:19">
      <c r="B195" s="7" t="s">
        <v>195</v>
      </c>
      <c r="C195" s="8" t="s">
        <v>195</v>
      </c>
      <c r="D195" s="6" t="str">
        <f>LRTRIM(CONCATENATE(IF(SUMPRODUCT(-- ISNUMBER(SEARCH({"Auto Number"}, $B195))) &gt; 0, $B195, IF(SUMPRODUCT(-- ISNUMBER(SEARCH({"Lookup","Master-Detail"}, $B195))) &gt; 0,$B195 &amp; "(" &amp; $E195 &amp; ")",IF(SUMPRODUCT(-- ISNUMBER(SEARCH({"Formula","Roll-Up Summary"}, $B195))) &gt; 0,$B195 &amp; " (" &amp; $E195 &amp; ")",IF(SUMPRODUCT(-- ISNUMBER(SEARCH({"Content","Currency","Number","Percent","Text","URL"}, $B195))) &gt; 0,$B195 &amp; "(" &amp; $C195 &amp; ")",$B195)))), "  ", TRIM(IF($S195 = "YES", "(External ID)", "") &amp; " " &amp; IF(SUMPRODUCT(-- ISNUMBER(SEARCH({"Unique","Unique Case Insensitive"}, $R195))) &gt; 0, "(" &amp; $R195 &amp; ")", ""))))</f>
        <v>na</v>
      </c>
      <c r="E195" s="7" t="s">
        <v>195</v>
      </c>
      <c r="F195" s="7" t="s">
        <v>195</v>
      </c>
      <c r="G195" s="7" t="s">
        <v>195</v>
      </c>
      <c r="H195" s="7" t="s">
        <v>195</v>
      </c>
      <c r="I195" s="7" t="s">
        <v>195</v>
      </c>
      <c r="J195" s="7" t="s">
        <v>195</v>
      </c>
      <c r="K195" s="7" t="s">
        <v>195</v>
      </c>
      <c r="L195" s="7" t="s">
        <v>195</v>
      </c>
      <c r="M195" s="7" t="s">
        <v>29</v>
      </c>
      <c r="N195" s="7" t="s">
        <v>29</v>
      </c>
      <c r="O195" s="7" t="s">
        <v>29</v>
      </c>
      <c r="P195" s="7" t="s">
        <v>29</v>
      </c>
      <c r="Q195" s="7" t="s">
        <v>29</v>
      </c>
      <c r="R195" s="7" t="s">
        <v>29</v>
      </c>
      <c r="S195" s="7" t="s">
        <v>29</v>
      </c>
    </row>
    <row r="196" spans="2:19">
      <c r="B196" s="7" t="s">
        <v>195</v>
      </c>
      <c r="C196" s="8" t="s">
        <v>195</v>
      </c>
      <c r="D196" s="6" t="str">
        <f>LRTRIM(CONCATENATE(IF(SUMPRODUCT(-- ISNUMBER(SEARCH({"Auto Number"}, $B196))) &gt; 0, $B196, IF(SUMPRODUCT(-- ISNUMBER(SEARCH({"Lookup","Master-Detail"}, $B196))) &gt; 0,$B196 &amp; "(" &amp; $E196 &amp; ")",IF(SUMPRODUCT(-- ISNUMBER(SEARCH({"Formula","Roll-Up Summary"}, $B196))) &gt; 0,$B196 &amp; " (" &amp; $E196 &amp; ")",IF(SUMPRODUCT(-- ISNUMBER(SEARCH({"Content","Currency","Number","Percent","Text","URL"}, $B196))) &gt; 0,$B196 &amp; "(" &amp; $C196 &amp; ")",$B196)))), "  ", TRIM(IF($S196 = "YES", "(External ID)", "") &amp; " " &amp; IF(SUMPRODUCT(-- ISNUMBER(SEARCH({"Unique","Unique Case Insensitive"}, $R196))) &gt; 0, "(" &amp; $R196 &amp; ")", ""))))</f>
        <v>na</v>
      </c>
      <c r="E196" s="7" t="s">
        <v>195</v>
      </c>
      <c r="F196" s="7" t="s">
        <v>195</v>
      </c>
      <c r="G196" s="7" t="s">
        <v>195</v>
      </c>
      <c r="H196" s="7" t="s">
        <v>195</v>
      </c>
      <c r="I196" s="7" t="s">
        <v>195</v>
      </c>
      <c r="J196" s="7" t="s">
        <v>195</v>
      </c>
      <c r="K196" s="7" t="s">
        <v>195</v>
      </c>
      <c r="L196" s="7" t="s">
        <v>195</v>
      </c>
      <c r="M196" s="7" t="s">
        <v>29</v>
      </c>
      <c r="N196" s="7" t="s">
        <v>29</v>
      </c>
      <c r="O196" s="7" t="s">
        <v>29</v>
      </c>
      <c r="P196" s="7" t="s">
        <v>29</v>
      </c>
      <c r="Q196" s="7" t="s">
        <v>29</v>
      </c>
      <c r="R196" s="7" t="s">
        <v>29</v>
      </c>
      <c r="S196" s="7" t="s">
        <v>29</v>
      </c>
    </row>
    <row r="197" spans="2:19">
      <c r="B197" s="7" t="s">
        <v>195</v>
      </c>
      <c r="C197" s="8" t="s">
        <v>195</v>
      </c>
      <c r="D197" s="6" t="str">
        <f>LRTRIM(CONCATENATE(IF(SUMPRODUCT(-- ISNUMBER(SEARCH({"Auto Number"}, $B197))) &gt; 0, $B197, IF(SUMPRODUCT(-- ISNUMBER(SEARCH({"Lookup","Master-Detail"}, $B197))) &gt; 0,$B197 &amp; "(" &amp; $E197 &amp; ")",IF(SUMPRODUCT(-- ISNUMBER(SEARCH({"Formula","Roll-Up Summary"}, $B197))) &gt; 0,$B197 &amp; " (" &amp; $E197 &amp; ")",IF(SUMPRODUCT(-- ISNUMBER(SEARCH({"Content","Currency","Number","Percent","Text","URL"}, $B197))) &gt; 0,$B197 &amp; "(" &amp; $C197 &amp; ")",$B197)))), "  ", TRIM(IF($S197 = "YES", "(External ID)", "") &amp; " " &amp; IF(SUMPRODUCT(-- ISNUMBER(SEARCH({"Unique","Unique Case Insensitive"}, $R197))) &gt; 0, "(" &amp; $R197 &amp; ")", ""))))</f>
        <v>na</v>
      </c>
      <c r="E197" s="7" t="s">
        <v>195</v>
      </c>
      <c r="F197" s="7" t="s">
        <v>195</v>
      </c>
      <c r="G197" s="7" t="s">
        <v>195</v>
      </c>
      <c r="H197" s="7" t="s">
        <v>195</v>
      </c>
      <c r="I197" s="7" t="s">
        <v>195</v>
      </c>
      <c r="J197" s="7" t="s">
        <v>195</v>
      </c>
      <c r="K197" s="7" t="s">
        <v>195</v>
      </c>
      <c r="L197" s="7" t="s">
        <v>195</v>
      </c>
      <c r="M197" s="7" t="s">
        <v>29</v>
      </c>
      <c r="N197" s="7" t="s">
        <v>29</v>
      </c>
      <c r="O197" s="7" t="s">
        <v>29</v>
      </c>
      <c r="P197" s="7" t="s">
        <v>29</v>
      </c>
      <c r="Q197" s="7" t="s">
        <v>29</v>
      </c>
      <c r="R197" s="7" t="s">
        <v>29</v>
      </c>
      <c r="S197" s="7" t="s">
        <v>29</v>
      </c>
    </row>
    <row r="198" spans="2:19">
      <c r="B198" s="7" t="s">
        <v>195</v>
      </c>
      <c r="C198" s="8" t="s">
        <v>195</v>
      </c>
      <c r="D198" s="6" t="str">
        <f>LRTRIM(CONCATENATE(IF(SUMPRODUCT(-- ISNUMBER(SEARCH({"Auto Number"}, $B198))) &gt; 0, $B198, IF(SUMPRODUCT(-- ISNUMBER(SEARCH({"Lookup","Master-Detail"}, $B198))) &gt; 0,$B198 &amp; "(" &amp; $E198 &amp; ")",IF(SUMPRODUCT(-- ISNUMBER(SEARCH({"Formula","Roll-Up Summary"}, $B198))) &gt; 0,$B198 &amp; " (" &amp; $E198 &amp; ")",IF(SUMPRODUCT(-- ISNUMBER(SEARCH({"Content","Currency","Number","Percent","Text","URL"}, $B198))) &gt; 0,$B198 &amp; "(" &amp; $C198 &amp; ")",$B198)))), "  ", TRIM(IF($S198 = "YES", "(External ID)", "") &amp; " " &amp; IF(SUMPRODUCT(-- ISNUMBER(SEARCH({"Unique","Unique Case Insensitive"}, $R198))) &gt; 0, "(" &amp; $R198 &amp; ")", ""))))</f>
        <v>na</v>
      </c>
      <c r="E198" s="7" t="s">
        <v>195</v>
      </c>
      <c r="F198" s="7" t="s">
        <v>195</v>
      </c>
      <c r="G198" s="7" t="s">
        <v>195</v>
      </c>
      <c r="H198" s="7" t="s">
        <v>195</v>
      </c>
      <c r="I198" s="7" t="s">
        <v>195</v>
      </c>
      <c r="J198" s="7" t="s">
        <v>195</v>
      </c>
      <c r="K198" s="7" t="s">
        <v>195</v>
      </c>
      <c r="L198" s="7" t="s">
        <v>195</v>
      </c>
      <c r="M198" s="7" t="s">
        <v>29</v>
      </c>
      <c r="N198" s="7" t="s">
        <v>29</v>
      </c>
      <c r="O198" s="7" t="s">
        <v>29</v>
      </c>
      <c r="P198" s="7" t="s">
        <v>29</v>
      </c>
      <c r="Q198" s="7" t="s">
        <v>29</v>
      </c>
      <c r="R198" s="7" t="s">
        <v>29</v>
      </c>
      <c r="S198" s="7" t="s">
        <v>29</v>
      </c>
    </row>
    <row r="199" spans="2:19">
      <c r="B199" s="7" t="s">
        <v>195</v>
      </c>
      <c r="C199" s="8" t="s">
        <v>195</v>
      </c>
      <c r="D199" s="6" t="str">
        <f>LRTRIM(CONCATENATE(IF(SUMPRODUCT(-- ISNUMBER(SEARCH({"Auto Number"}, $B199))) &gt; 0, $B199, IF(SUMPRODUCT(-- ISNUMBER(SEARCH({"Lookup","Master-Detail"}, $B199))) &gt; 0,$B199 &amp; "(" &amp; $E199 &amp; ")",IF(SUMPRODUCT(-- ISNUMBER(SEARCH({"Formula","Roll-Up Summary"}, $B199))) &gt; 0,$B199 &amp; " (" &amp; $E199 &amp; ")",IF(SUMPRODUCT(-- ISNUMBER(SEARCH({"Content","Currency","Number","Percent","Text","URL"}, $B199))) &gt; 0,$B199 &amp; "(" &amp; $C199 &amp; ")",$B199)))), "  ", TRIM(IF($S199 = "YES", "(External ID)", "") &amp; " " &amp; IF(SUMPRODUCT(-- ISNUMBER(SEARCH({"Unique","Unique Case Insensitive"}, $R199))) &gt; 0, "(" &amp; $R199 &amp; ")", ""))))</f>
        <v>na</v>
      </c>
      <c r="E199" s="7" t="s">
        <v>195</v>
      </c>
      <c r="F199" s="7" t="s">
        <v>195</v>
      </c>
      <c r="G199" s="7" t="s">
        <v>195</v>
      </c>
      <c r="H199" s="7" t="s">
        <v>195</v>
      </c>
      <c r="I199" s="7" t="s">
        <v>195</v>
      </c>
      <c r="J199" s="7" t="s">
        <v>195</v>
      </c>
      <c r="K199" s="7" t="s">
        <v>195</v>
      </c>
      <c r="L199" s="7" t="s">
        <v>195</v>
      </c>
      <c r="M199" s="7" t="s">
        <v>29</v>
      </c>
      <c r="N199" s="7" t="s">
        <v>29</v>
      </c>
      <c r="O199" s="7" t="s">
        <v>29</v>
      </c>
      <c r="P199" s="7" t="s">
        <v>29</v>
      </c>
      <c r="Q199" s="7" t="s">
        <v>29</v>
      </c>
      <c r="R199" s="7" t="s">
        <v>29</v>
      </c>
      <c r="S199" s="7" t="s">
        <v>29</v>
      </c>
    </row>
    <row r="200" spans="2:19">
      <c r="B200" s="7" t="s">
        <v>195</v>
      </c>
      <c r="C200" s="8" t="s">
        <v>195</v>
      </c>
      <c r="D200" s="6" t="str">
        <f>LRTRIM(CONCATENATE(IF(SUMPRODUCT(-- ISNUMBER(SEARCH({"Auto Number"}, $B200))) &gt; 0, $B200, IF(SUMPRODUCT(-- ISNUMBER(SEARCH({"Lookup","Master-Detail"}, $B200))) &gt; 0,$B200 &amp; "(" &amp; $E200 &amp; ")",IF(SUMPRODUCT(-- ISNUMBER(SEARCH({"Formula","Roll-Up Summary"}, $B200))) &gt; 0,$B200 &amp; " (" &amp; $E200 &amp; ")",IF(SUMPRODUCT(-- ISNUMBER(SEARCH({"Content","Currency","Number","Percent","Text","URL"}, $B200))) &gt; 0,$B200 &amp; "(" &amp; $C200 &amp; ")",$B200)))), "  ", TRIM(IF($S200 = "YES", "(External ID)", "") &amp; " " &amp; IF(SUMPRODUCT(-- ISNUMBER(SEARCH({"Unique","Unique Case Insensitive"}, $R200))) &gt; 0, "(" &amp; $R200 &amp; ")", ""))))</f>
        <v>na</v>
      </c>
      <c r="E200" s="7" t="s">
        <v>195</v>
      </c>
      <c r="F200" s="7" t="s">
        <v>195</v>
      </c>
      <c r="G200" s="7" t="s">
        <v>195</v>
      </c>
      <c r="H200" s="7" t="s">
        <v>195</v>
      </c>
      <c r="I200" s="7" t="s">
        <v>195</v>
      </c>
      <c r="J200" s="7" t="s">
        <v>195</v>
      </c>
      <c r="K200" s="7" t="s">
        <v>195</v>
      </c>
      <c r="L200" s="7" t="s">
        <v>195</v>
      </c>
      <c r="M200" s="7" t="s">
        <v>29</v>
      </c>
      <c r="N200" s="7" t="s">
        <v>29</v>
      </c>
      <c r="O200" s="7" t="s">
        <v>29</v>
      </c>
      <c r="P200" s="7" t="s">
        <v>29</v>
      </c>
      <c r="Q200" s="7" t="s">
        <v>29</v>
      </c>
      <c r="R200" s="7" t="s">
        <v>29</v>
      </c>
      <c r="S200" s="7" t="s">
        <v>29</v>
      </c>
    </row>
  </sheetData>
  <sheetProtection formatCells="0" formatColumns="0" formatRows="0" insertColumns="0" insertRows="0" insertHyperlinks="0" deleteColumns="0" deleteRows="0" sort="0" autoFilter="0" pivotTables="0"/>
  <conditionalFormatting sqref="D2:D38">
    <cfRule type="expression" dxfId="39" priority="3">
      <formula>NOT(_xlfn.ISFORMULA($D2))</formula>
    </cfRule>
  </conditionalFormatting>
  <conditionalFormatting sqref="D39">
    <cfRule type="expression" dxfId="38" priority="2">
      <formula>NOT(_xlfn.ISFORMULA($D39))</formula>
    </cfRule>
  </conditionalFormatting>
  <conditionalFormatting sqref="D40:D200">
    <cfRule type="expression" dxfId="37" priority="1">
      <formula>NOT(_xlfn.ISFORMULA($D40))</formula>
    </cfRule>
  </conditionalFormatting>
  <dataValidations count="1">
    <dataValidation allowBlank="1" showInputMessage="1" showErrorMessage="1" sqref="A2:A38"/>
  </dataValidations>
  <pageMargins left="0.7" right="0.7" top="0.75" bottom="0.75" header="0.3" footer="0.3"/>
  <extLst>
    <ext xmlns:x14="http://schemas.microsoft.com/office/spreadsheetml/2009/9/main" uri="{CCE6A557-97BC-4b89-ADB6-D9C93CAAB3DF}">
      <x14:dataValidations xmlns:xm="http://schemas.microsoft.com/office/excel/2006/main" count="15">
        <x14:dataValidation type="list" allowBlank="1" showInputMessage="1" showErrorMessage="1">
          <x14:formula1>
            <xm:f>OFFSET('Reference Fields'!$K$2,0,0,COUNTA('Reference Fields'!$K:$K)-1)</xm:f>
          </x14:formula1>
          <xm:sqref>R2:R200</xm:sqref>
        </x14:dataValidation>
        <x14:dataValidation type="list" allowBlank="1" showInputMessage="1" showErrorMessage="1">
          <x14:formula1>
            <xm:f>OFFSET('Reference Fields'!$J$2,0,0,COUNTA('Reference Fields'!$J:$J)-1)</xm:f>
          </x14:formula1>
          <xm:sqref>P2:P200</xm:sqref>
        </x14:dataValidation>
        <x14:dataValidation type="list" allowBlank="1" showInputMessage="1" showErrorMessage="1">
          <x14:formula1>
            <xm:f>OFFSET('Reference Fields'!$J$2,0,0,COUNTA('Reference Fields'!$J:$J)-1)</xm:f>
          </x14:formula1>
          <xm:sqref>M2:M200</xm:sqref>
        </x14:dataValidation>
        <x14:dataValidation type="list" allowBlank="1" showInputMessage="1" showErrorMessage="1">
          <x14:formula1>
            <xm:f>OFFSET('Reference Fields'!$J$2,0,0,COUNTA('Reference Fields'!$J:$J)-1)</xm:f>
          </x14:formula1>
          <xm:sqref>N2:N200</xm:sqref>
        </x14:dataValidation>
        <x14:dataValidation type="list" allowBlank="1" showInputMessage="1" showErrorMessage="1">
          <x14:formula1>
            <xm:f>OFFSET('Reference Fields'!$J$2,0,0,COUNTA('Reference Fields'!$J:$J)-1)</xm:f>
          </x14:formula1>
          <xm:sqref>O2:O200</xm:sqref>
        </x14:dataValidation>
        <x14:dataValidation type="list" allowBlank="1" showInputMessage="1" showErrorMessage="1">
          <x14:formula1>
            <xm:f>OFFSET('Reference Fields'!$J$2,0,0,COUNTA('Reference Fields'!$J:$J)-1)</xm:f>
          </x14:formula1>
          <xm:sqref>Q2:Q200</xm:sqref>
        </x14:dataValidation>
        <x14:dataValidation type="list" allowBlank="1" showInputMessage="1" showErrorMessage="1">
          <x14:formula1>
            <xm:f>OFFSET('Reference Fields'!$J$2,0,0,COUNTA('Reference Fields'!$J:$J)-1)</xm:f>
          </x14:formula1>
          <xm:sqref>S2:S200</xm:sqref>
        </x14:dataValidation>
        <x14:dataValidation type="list" allowBlank="1" showInputMessage="1" showErrorMessage="1">
          <x14:formula1>
            <xm:f>OFFSET('Reference Fields'!$B$2,0,0,COUNTA('Reference Fields'!$B:$B)-1)</xm:f>
          </x14:formula1>
          <xm:sqref>B2:B200</xm:sqref>
        </x14:dataValidation>
        <x14:dataValidation type="list" allowBlank="1" showInputMessage="1" showErrorMessage="1">
          <x14:formula1>
            <xm:f>OFFSET('Reference Fields'!$D$2,0,0,COUNTA('Reference Fields'!$D:$D)-1)</xm:f>
          </x14:formula1>
          <xm:sqref>F2:F200</xm:sqref>
        </x14:dataValidation>
        <x14:dataValidation type="list" allowBlank="1" showInputMessage="1" showErrorMessage="1">
          <x14:formula1>
            <xm:f>OFFSET('Reference Fields'!$E$2,0,0,COUNTA('Reference Fields'!$E:$E)-1)</xm:f>
          </x14:formula1>
          <xm:sqref>G2:G200</xm:sqref>
        </x14:dataValidation>
        <x14:dataValidation type="list" allowBlank="1" showInputMessage="1" showErrorMessage="1">
          <x14:formula1>
            <xm:f>OFFSET('Reference Fields'!$F$2,0,0,COUNTA('Reference Fields'!$F:$F)-1)</xm:f>
          </x14:formula1>
          <xm:sqref>H2:H200</xm:sqref>
        </x14:dataValidation>
        <x14:dataValidation type="list" allowBlank="1" showInputMessage="1" showErrorMessage="1">
          <x14:formula1>
            <xm:f>OFFSET('Reference Fields'!$F$2,0,0,COUNTA('Reference Fields'!$F:$F)-1)</xm:f>
          </x14:formula1>
          <xm:sqref>I2:I200</xm:sqref>
        </x14:dataValidation>
        <x14:dataValidation type="list" allowBlank="1" showInputMessage="1" showErrorMessage="1">
          <x14:formula1>
            <xm:f>OFFSET('Reference Fields'!$G$2,0,0,COUNTA('Reference Fields'!$G:$G)-1)</xm:f>
          </x14:formula1>
          <xm:sqref>J2:J200</xm:sqref>
        </x14:dataValidation>
        <x14:dataValidation type="list" allowBlank="1" showInputMessage="1" showErrorMessage="1">
          <x14:formula1>
            <xm:f>OFFSET('Reference Fields'!$H$2,0,0,COUNTA('Reference Fields'!$H:$H)-1)</xm:f>
          </x14:formula1>
          <xm:sqref>K2:K200</xm:sqref>
        </x14:dataValidation>
        <x14:dataValidation type="list" allowBlank="1" showInputMessage="1" showErrorMessage="1">
          <x14:formula1>
            <xm:f>OFFSET('Reference Fields'!$I$2,0,0,COUNTA('Reference Fields'!$I:$I)-1)</xm:f>
          </x14:formula1>
          <xm:sqref>L2:L200</xm:sqref>
        </x14:dataValidation>
      </x14:dataValidations>
    </ext>
  </extLst>
</worksheet>
</file>

<file path=xl/worksheets/sheet28.xml><?xml version="1.0" encoding="utf-8"?>
<worksheet xmlns="http://schemas.openxmlformats.org/spreadsheetml/2006/main" xmlns:r="http://schemas.openxmlformats.org/officeDocument/2006/relationships">
  <sheetPr codeName="Sheet19"/>
  <dimension ref="A1:S200"/>
  <sheetViews>
    <sheetView workbookViewId="0">
      <pane ySplit="1" topLeftCell="A2" activePane="bottomLeft" state="frozen"/>
      <selection pane="bottomLeft" activeCell="A2" sqref="A2"/>
    </sheetView>
  </sheetViews>
  <sheetFormatPr defaultRowHeight="14.5"/>
  <cols>
    <col min="1" max="1" width="23" bestFit="1" customWidth="1"/>
    <col min="2" max="2" width="13.54296875" customWidth="1"/>
    <col min="3" max="4" width="8.90625" customWidth="1"/>
    <col min="5" max="5" width="12.6328125" customWidth="1"/>
    <col min="6" max="6" width="15.6328125" bestFit="1" customWidth="1"/>
    <col min="7" max="8" width="15.453125" customWidth="1"/>
    <col min="9" max="9" width="22.6328125" customWidth="1"/>
    <col min="10" max="10" width="23.36328125" customWidth="1"/>
    <col min="11" max="11" width="17.54296875" customWidth="1"/>
    <col min="12" max="12" width="14.08984375" customWidth="1"/>
    <col min="13" max="13" width="10.453125" bestFit="1" customWidth="1"/>
    <col min="14" max="14" width="10.453125" customWidth="1"/>
    <col min="15" max="15" width="12.453125" bestFit="1" customWidth="1"/>
  </cols>
  <sheetData>
    <row r="1" spans="1:19" s="1" customFormat="1">
      <c r="A1" s="1" t="s">
        <v>2</v>
      </c>
      <c r="B1" s="1" t="s">
        <v>1198</v>
      </c>
      <c r="C1" s="1" t="s">
        <v>1199</v>
      </c>
      <c r="D1" s="1" t="s">
        <v>0</v>
      </c>
      <c r="E1" s="1" t="s">
        <v>1</v>
      </c>
      <c r="F1" s="1" t="s">
        <v>30</v>
      </c>
      <c r="G1" s="1" t="s">
        <v>31</v>
      </c>
      <c r="H1" s="1" t="s">
        <v>1262</v>
      </c>
      <c r="I1" s="1" t="s">
        <v>49</v>
      </c>
      <c r="J1" s="1" t="s">
        <v>48</v>
      </c>
      <c r="K1" s="1" t="s">
        <v>54</v>
      </c>
      <c r="L1" s="1" t="s">
        <v>55</v>
      </c>
      <c r="M1" s="1" t="s">
        <v>27</v>
      </c>
      <c r="N1" s="1" t="s">
        <v>175</v>
      </c>
      <c r="O1" s="1" t="s">
        <v>193</v>
      </c>
      <c r="P1" s="1" t="s">
        <v>1221</v>
      </c>
      <c r="Q1" s="1" t="s">
        <v>1264</v>
      </c>
      <c r="R1" s="1" t="s">
        <v>1263</v>
      </c>
      <c r="S1" s="1" t="s">
        <v>1265</v>
      </c>
    </row>
    <row r="2" spans="1:19">
      <c r="A2" s="7" t="s">
        <v>551</v>
      </c>
      <c r="B2" s="7" t="s">
        <v>1212</v>
      </c>
      <c r="C2" s="8">
        <v>18</v>
      </c>
      <c r="D2" s="6" t="str">
        <f>LRTRIM(CONCATENATE(IF(SUMPRODUCT(-- ISNUMBER(SEARCH({"Auto Number"}, $B2))) &gt; 0, $B2, IF(SUMPRODUCT(-- ISNUMBER(SEARCH({"Lookup","Master-Detail"}, $B2))) &gt; 0,$B2 &amp; "(" &amp; $E2 &amp; ")",IF(SUMPRODUCT(-- ISNUMBER(SEARCH({"Formula","Roll-Up Summary"}, $B2))) &gt; 0,$B2 &amp; " (" &amp; $E2 &amp; ")",IF(SUMPRODUCT(-- ISNUMBER(SEARCH({"Content","Currency","Number","Percent","Text","URL"}, $B2))) &gt; 0,$B2 &amp; "(" &amp; $C2 &amp; ")",$B2)))), "  ", TRIM(IF($S2 = "YES", "(External ID)", "") &amp; " " &amp; IF(SUMPRODUCT(-- ISNUMBER(SEARCH({"Unique","Unique Case Insensitive"}, $R2))) &gt; 0, "(" &amp; $R2 &amp; ")", ""))))</f>
        <v>Master-Detail(Account)</v>
      </c>
      <c r="E2" s="7" t="s">
        <v>5</v>
      </c>
      <c r="F2" s="7" t="s">
        <v>845</v>
      </c>
      <c r="G2" s="7" t="s">
        <v>848</v>
      </c>
      <c r="H2" s="7" t="s">
        <v>195</v>
      </c>
      <c r="I2" s="7" t="s">
        <v>195</v>
      </c>
      <c r="J2" s="7" t="s">
        <v>195</v>
      </c>
      <c r="K2" s="7" t="s">
        <v>195</v>
      </c>
      <c r="L2" s="7" t="s">
        <v>195</v>
      </c>
      <c r="M2" s="7" t="s">
        <v>28</v>
      </c>
      <c r="N2" s="7" t="s">
        <v>29</v>
      </c>
      <c r="O2" s="7" t="s">
        <v>29</v>
      </c>
      <c r="P2" s="7" t="s">
        <v>29</v>
      </c>
      <c r="Q2" s="7" t="s">
        <v>29</v>
      </c>
      <c r="R2" s="7" t="s">
        <v>29</v>
      </c>
      <c r="S2" s="7" t="s">
        <v>29</v>
      </c>
    </row>
    <row r="3" spans="1:19">
      <c r="A3" s="7" t="s">
        <v>9</v>
      </c>
      <c r="B3" s="7" t="s">
        <v>1218</v>
      </c>
      <c r="C3" s="8">
        <v>50</v>
      </c>
      <c r="D3" s="6" t="str">
        <f>LRTRIM(CONCATENATE(IF(SUMPRODUCT(-- ISNUMBER(SEARCH({"Auto Number"}, $B3))) &gt; 0, $B3, IF(SUMPRODUCT(-- ISNUMBER(SEARCH({"Lookup","Master-Detail"}, $B3))) &gt; 0,$B3 &amp; "(" &amp; $E3 &amp; ")",IF(SUMPRODUCT(-- ISNUMBER(SEARCH({"Formula","Roll-Up Summary"}, $B3))) &gt; 0,$B3 &amp; " (" &amp; $E3 &amp; ")",IF(SUMPRODUCT(-- ISNUMBER(SEARCH({"Content","Currency","Number","Percent","Text","URL"}, $B3))) &gt; 0,$B3 &amp; "(" &amp; $C3 &amp; ")",$B3)))), "  ", TRIM(IF($S3 = "YES", "(External ID)", "") &amp; " " &amp; IF(SUMPRODUCT(-- ISNUMBER(SEARCH({"Unique","Unique Case Insensitive"}, $R3))) &gt; 0, "(" &amp; $R3 &amp; ")", ""))))</f>
        <v>Text(50)</v>
      </c>
      <c r="E3" s="7" t="s">
        <v>195</v>
      </c>
      <c r="F3" s="7" t="s">
        <v>18</v>
      </c>
      <c r="G3" s="7" t="s">
        <v>195</v>
      </c>
      <c r="H3" s="7" t="s">
        <v>195</v>
      </c>
      <c r="I3" s="7" t="s">
        <v>195</v>
      </c>
      <c r="J3" s="7" t="s">
        <v>195</v>
      </c>
      <c r="K3" s="7" t="s">
        <v>195</v>
      </c>
      <c r="L3" s="7" t="s">
        <v>195</v>
      </c>
      <c r="M3" s="7" t="s">
        <v>29</v>
      </c>
      <c r="N3" s="7" t="s">
        <v>29</v>
      </c>
      <c r="O3" s="7" t="s">
        <v>29</v>
      </c>
      <c r="P3" s="7" t="s">
        <v>29</v>
      </c>
      <c r="Q3" s="7" t="s">
        <v>29</v>
      </c>
      <c r="R3" s="7" t="s">
        <v>29</v>
      </c>
      <c r="S3" s="7" t="s">
        <v>29</v>
      </c>
    </row>
    <row r="4" spans="1:19">
      <c r="A4" s="7" t="s">
        <v>842</v>
      </c>
      <c r="B4" s="7" t="s">
        <v>1215</v>
      </c>
      <c r="C4" s="8">
        <v>255</v>
      </c>
      <c r="D4" s="6" t="str">
        <f>LRTRIM(CONCATENATE(IF(SUMPRODUCT(-- ISNUMBER(SEARCH({"Auto Number"}, $B4))) &gt; 0, $B4, IF(SUMPRODUCT(-- ISNUMBER(SEARCH({"Lookup","Master-Detail"}, $B4))) &gt; 0,$B4 &amp; "(" &amp; $E4 &amp; ")",IF(SUMPRODUCT(-- ISNUMBER(SEARCH({"Formula","Roll-Up Summary"}, $B4))) &gt; 0,$B4 &amp; " (" &amp; $E4 &amp; ")",IF(SUMPRODUCT(-- ISNUMBER(SEARCH({"Content","Currency","Number","Percent","Text","URL"}, $B4))) &gt; 0,$B4 &amp; "(" &amp; $C4 &amp; ")",$B4)))), "  ", TRIM(IF($S4 = "YES", "(External ID)", "") &amp; " " &amp; IF(SUMPRODUCT(-- ISNUMBER(SEARCH({"Unique","Unique Case Insensitive"}, $R4))) &gt; 0, "(" &amp; $R4 &amp; ")", ""))))</f>
        <v>Picklist</v>
      </c>
      <c r="E4" s="7" t="s">
        <v>195</v>
      </c>
      <c r="F4" s="7" t="s">
        <v>846</v>
      </c>
      <c r="G4" s="7" t="s">
        <v>849</v>
      </c>
      <c r="H4" s="7" t="s">
        <v>195</v>
      </c>
      <c r="I4" s="7" t="s">
        <v>844</v>
      </c>
      <c r="J4" s="7" t="s">
        <v>195</v>
      </c>
      <c r="K4" s="7" t="s">
        <v>195</v>
      </c>
      <c r="L4" s="7" t="s">
        <v>195</v>
      </c>
      <c r="M4" s="7" t="s">
        <v>29</v>
      </c>
      <c r="N4" s="7" t="s">
        <v>29</v>
      </c>
      <c r="O4" s="7" t="s">
        <v>29</v>
      </c>
      <c r="P4" s="7" t="s">
        <v>29</v>
      </c>
      <c r="Q4" s="7" t="s">
        <v>29</v>
      </c>
      <c r="R4" s="7" t="s">
        <v>29</v>
      </c>
      <c r="S4" s="7" t="s">
        <v>29</v>
      </c>
    </row>
    <row r="5" spans="1:19">
      <c r="A5" s="7" t="s">
        <v>843</v>
      </c>
      <c r="B5" s="7" t="s">
        <v>1211</v>
      </c>
      <c r="C5" s="8">
        <v>18</v>
      </c>
      <c r="D5" s="6" t="str">
        <f>LRTRIM(CONCATENATE(IF(SUMPRODUCT(-- ISNUMBER(SEARCH({"Auto Number"}, $B5))) &gt; 0, $B5, IF(SUMPRODUCT(-- ISNUMBER(SEARCH({"Lookup","Master-Detail"}, $B5))) &gt; 0,$B5 &amp; "(" &amp; $E5 &amp; ")",IF(SUMPRODUCT(-- ISNUMBER(SEARCH({"Formula","Roll-Up Summary"}, $B5))) &gt; 0,$B5 &amp; " (" &amp; $E5 &amp; ")",IF(SUMPRODUCT(-- ISNUMBER(SEARCH({"Content","Currency","Number","Percent","Text","URL"}, $B5))) &gt; 0,$B5 &amp; "(" &amp; $C5 &amp; ")",$B5)))), "  ", TRIM(IF($S5 = "YES", "(External ID)", "") &amp; " " &amp; IF(SUMPRODUCT(-- ISNUMBER(SEARCH({"Unique","Unique Case Insensitive"}, $R5))) &gt; 0, "(" &amp; $R5 &amp; ")", ""))))</f>
        <v>Lookup(Policy)</v>
      </c>
      <c r="E5" s="7" t="s">
        <v>1609</v>
      </c>
      <c r="F5" s="7" t="s">
        <v>749</v>
      </c>
      <c r="G5" s="7" t="s">
        <v>850</v>
      </c>
      <c r="H5" s="7" t="s">
        <v>195</v>
      </c>
      <c r="I5" s="7" t="s">
        <v>195</v>
      </c>
      <c r="J5" s="7" t="s">
        <v>195</v>
      </c>
      <c r="K5" s="7" t="s">
        <v>195</v>
      </c>
      <c r="L5" s="7" t="s">
        <v>195</v>
      </c>
      <c r="M5" s="7" t="s">
        <v>29</v>
      </c>
      <c r="N5" s="7" t="s">
        <v>29</v>
      </c>
      <c r="O5" s="7" t="s">
        <v>29</v>
      </c>
      <c r="P5" s="7" t="s">
        <v>29</v>
      </c>
      <c r="Q5" s="7" t="s">
        <v>29</v>
      </c>
      <c r="R5" s="7" t="s">
        <v>29</v>
      </c>
      <c r="S5" s="7" t="s">
        <v>29</v>
      </c>
    </row>
    <row r="6" spans="1:19">
      <c r="A6" s="7" t="s">
        <v>11</v>
      </c>
      <c r="B6" s="7" t="s">
        <v>1218</v>
      </c>
      <c r="C6" s="8">
        <v>200</v>
      </c>
      <c r="D6" s="6" t="str">
        <f>LRTRIM(CONCATENATE(IF(SUMPRODUCT(-- ISNUMBER(SEARCH({"Auto Number"}, $B6))) &gt; 0, $B6, IF(SUMPRODUCT(-- ISNUMBER(SEARCH({"Lookup","Master-Detail"}, $B6))) &gt; 0,$B6 &amp; "(" &amp; $E6 &amp; ")",IF(SUMPRODUCT(-- ISNUMBER(SEARCH({"Formula","Roll-Up Summary"}, $B6))) &gt; 0,$B6 &amp; " (" &amp; $E6 &amp; ")",IF(SUMPRODUCT(-- ISNUMBER(SEARCH({"Content","Currency","Number","Percent","Text","URL"}, $B6))) &gt; 0,$B6 &amp; "(" &amp; $C6 &amp; ")",$B6)))), "  ", TRIM(IF($S6 = "YES", "(External ID)", "") &amp; " " &amp; IF(SUMPRODUCT(-- ISNUMBER(SEARCH({"Unique","Unique Case Insensitive"}, $R6))) &gt; 0, "(" &amp; $R6 &amp; ")", ""))))</f>
        <v>Text(200)</v>
      </c>
      <c r="E6" s="7" t="s">
        <v>195</v>
      </c>
      <c r="F6" s="7" t="s">
        <v>20</v>
      </c>
      <c r="G6" s="7" t="s">
        <v>195</v>
      </c>
      <c r="H6" s="7" t="s">
        <v>195</v>
      </c>
      <c r="I6" s="7" t="s">
        <v>195</v>
      </c>
      <c r="J6" s="7" t="s">
        <v>195</v>
      </c>
      <c r="K6" s="7" t="s">
        <v>195</v>
      </c>
      <c r="L6" s="7" t="s">
        <v>195</v>
      </c>
      <c r="M6" s="7" t="s">
        <v>29</v>
      </c>
      <c r="N6" s="7" t="s">
        <v>29</v>
      </c>
      <c r="O6" s="7" t="s">
        <v>29</v>
      </c>
      <c r="P6" s="7" t="s">
        <v>29</v>
      </c>
      <c r="Q6" s="7" t="s">
        <v>29</v>
      </c>
      <c r="R6" s="7" t="s">
        <v>29</v>
      </c>
      <c r="S6" s="7" t="s">
        <v>29</v>
      </c>
    </row>
    <row r="7" spans="1:19">
      <c r="A7" s="7" t="s">
        <v>1672</v>
      </c>
      <c r="B7" s="7" t="s">
        <v>1209</v>
      </c>
      <c r="C7" s="8" t="s">
        <v>195</v>
      </c>
      <c r="D7" s="6" t="str">
        <f>LRTRIM(CONCATENATE(IF(SUMPRODUCT(-- ISNUMBER(SEARCH({"Auto Number"}, $B7))) &gt; 0, $B7, IF(SUMPRODUCT(-- ISNUMBER(SEARCH({"Lookup","Master-Detail"}, $B7))) &gt; 0,$B7 &amp; "(" &amp; $E7 &amp; ")",IF(SUMPRODUCT(-- ISNUMBER(SEARCH({"Formula","Roll-Up Summary"}, $B7))) &gt; 0,$B7 &amp; " (" &amp; $E7 &amp; ")",IF(SUMPRODUCT(-- ISNUMBER(SEARCH({"Content","Currency","Number","Percent","Text","URL"}, $B7))) &gt; 0,$B7 &amp; "(" &amp; $C7 &amp; ")",$B7)))), "  ", TRIM(IF($S7 = "YES", "(External ID)", "") &amp; " " &amp; IF(SUMPRODUCT(-- ISNUMBER(SEARCH({"Unique","Unique Case Insensitive"}, $R7))) &gt; 0, "(" &amp; $R7 &amp; ")", ""))))</f>
        <v>Formula (Date)</v>
      </c>
      <c r="E7" s="7" t="s">
        <v>386</v>
      </c>
      <c r="F7" s="7" t="s">
        <v>1673</v>
      </c>
      <c r="G7" s="7" t="s">
        <v>195</v>
      </c>
      <c r="H7" s="7" t="s">
        <v>195</v>
      </c>
      <c r="I7" s="7" t="s">
        <v>195</v>
      </c>
      <c r="J7" s="7" t="s">
        <v>195</v>
      </c>
      <c r="K7" s="7" t="s">
        <v>195</v>
      </c>
      <c r="L7" s="7" t="s">
        <v>195</v>
      </c>
      <c r="M7" s="7" t="s">
        <v>29</v>
      </c>
      <c r="N7" s="7" t="s">
        <v>29</v>
      </c>
      <c r="O7" s="7" t="s">
        <v>29</v>
      </c>
      <c r="P7" s="7" t="s">
        <v>29</v>
      </c>
      <c r="Q7" s="7" t="s">
        <v>29</v>
      </c>
      <c r="R7" s="7" t="s">
        <v>29</v>
      </c>
      <c r="S7" s="7" t="s">
        <v>29</v>
      </c>
    </row>
    <row r="8" spans="1:19">
      <c r="A8" s="7" t="s">
        <v>13</v>
      </c>
      <c r="B8" s="7" t="s">
        <v>1218</v>
      </c>
      <c r="C8" s="8">
        <v>10</v>
      </c>
      <c r="D8" s="6" t="str">
        <f>LRTRIM(CONCATENATE(IF(SUMPRODUCT(-- ISNUMBER(SEARCH({"Auto Number"}, $B8))) &gt; 0, $B8, IF(SUMPRODUCT(-- ISNUMBER(SEARCH({"Lookup","Master-Detail"}, $B8))) &gt; 0,$B8 &amp; "(" &amp; $E8 &amp; ")",IF(SUMPRODUCT(-- ISNUMBER(SEARCH({"Formula","Roll-Up Summary"}, $B8))) &gt; 0,$B8 &amp; " (" &amp; $E8 &amp; ")",IF(SUMPRODUCT(-- ISNUMBER(SEARCH({"Content","Currency","Number","Percent","Text","URL"}, $B8))) &gt; 0,$B8 &amp; "(" &amp; $C8 &amp; ")",$B8)))), "  ", TRIM(IF($S8 = "YES", "(External ID)", "") &amp; " " &amp; IF(SUMPRODUCT(-- ISNUMBER(SEARCH({"Unique","Unique Case Insensitive"}, $R8))) &gt; 0, "(" &amp; $R8 &amp; ")", ""))))</f>
        <v>Text(10)</v>
      </c>
      <c r="E8" s="7" t="s">
        <v>195</v>
      </c>
      <c r="F8" s="7" t="s">
        <v>24</v>
      </c>
      <c r="G8" s="7" t="s">
        <v>160</v>
      </c>
      <c r="H8" s="7" t="s">
        <v>195</v>
      </c>
      <c r="I8" s="7" t="s">
        <v>195</v>
      </c>
      <c r="J8" s="7" t="s">
        <v>195</v>
      </c>
      <c r="K8" s="7" t="s">
        <v>195</v>
      </c>
      <c r="L8" s="7" t="s">
        <v>195</v>
      </c>
      <c r="M8" s="7" t="s">
        <v>29</v>
      </c>
      <c r="N8" s="7" t="s">
        <v>29</v>
      </c>
      <c r="O8" s="7" t="s">
        <v>29</v>
      </c>
      <c r="P8" s="7" t="s">
        <v>29</v>
      </c>
      <c r="Q8" s="7" t="s">
        <v>29</v>
      </c>
      <c r="R8" s="7" t="s">
        <v>29</v>
      </c>
      <c r="S8" s="7" t="s">
        <v>29</v>
      </c>
    </row>
    <row r="9" spans="1:19">
      <c r="A9" s="7" t="s">
        <v>14</v>
      </c>
      <c r="B9" s="7" t="s">
        <v>1204</v>
      </c>
      <c r="C9" s="8">
        <v>0</v>
      </c>
      <c r="D9" s="6" t="str">
        <f>LRTRIM(CONCATENATE(IF(SUMPRODUCT(-- ISNUMBER(SEARCH({"Auto Number"}, $B9))) &gt; 0, $B9, IF(SUMPRODUCT(-- ISNUMBER(SEARCH({"Lookup","Master-Detail"}, $B9))) &gt; 0,$B9 &amp; "(" &amp; $E9 &amp; ")",IF(SUMPRODUCT(-- ISNUMBER(SEARCH({"Formula","Roll-Up Summary"}, $B9))) &gt; 0,$B9 &amp; " (" &amp; $E9 &amp; ")",IF(SUMPRODUCT(-- ISNUMBER(SEARCH({"Content","Currency","Number","Percent","Text","URL"}, $B9))) &gt; 0,$B9 &amp; "(" &amp; $C9 &amp; ")",$B9)))), "  ", TRIM(IF($S9 = "YES", "(External ID)", "") &amp; " " &amp; IF(SUMPRODUCT(-- ISNUMBER(SEARCH({"Unique","Unique Case Insensitive"}, $R9))) &gt; 0, "(" &amp; $R9 &amp; ")", ""))))</f>
        <v>Checkbox</v>
      </c>
      <c r="E9" s="7" t="s">
        <v>195</v>
      </c>
      <c r="F9" s="7" t="s">
        <v>25</v>
      </c>
      <c r="G9" s="7" t="s">
        <v>195</v>
      </c>
      <c r="H9" s="7" t="s">
        <v>195</v>
      </c>
      <c r="I9" s="7" t="s">
        <v>195</v>
      </c>
      <c r="J9" s="7" t="s">
        <v>195</v>
      </c>
      <c r="K9" s="7" t="s">
        <v>195</v>
      </c>
      <c r="L9" s="7" t="s">
        <v>195</v>
      </c>
      <c r="M9" s="7" t="s">
        <v>28</v>
      </c>
      <c r="N9" s="7" t="s">
        <v>29</v>
      </c>
      <c r="O9" s="7" t="s">
        <v>29</v>
      </c>
      <c r="P9" s="7" t="s">
        <v>29</v>
      </c>
      <c r="Q9" s="7" t="s">
        <v>29</v>
      </c>
      <c r="R9" s="7" t="s">
        <v>29</v>
      </c>
      <c r="S9" s="7" t="s">
        <v>29</v>
      </c>
    </row>
    <row r="10" spans="1:19">
      <c r="A10" s="7" t="s">
        <v>2</v>
      </c>
      <c r="B10" s="7" t="s">
        <v>1218</v>
      </c>
      <c r="C10" s="8">
        <v>80</v>
      </c>
      <c r="D10" s="6" t="str">
        <f>LRTRIM(CONCATENATE(IF(SUMPRODUCT(-- ISNUMBER(SEARCH({"Auto Number"}, $B10))) &gt; 0, $B10, IF(SUMPRODUCT(-- ISNUMBER(SEARCH({"Lookup","Master-Detail"}, $B10))) &gt; 0,$B10 &amp; "(" &amp; $E10 &amp; ")",IF(SUMPRODUCT(-- ISNUMBER(SEARCH({"Formula","Roll-Up Summary"}, $B10))) &gt; 0,$B10 &amp; " (" &amp; $E10 &amp; ")",IF(SUMPRODUCT(-- ISNUMBER(SEARCH({"Content","Currency","Number","Percent","Text","URL"}, $B10))) &gt; 0,$B10 &amp; "(" &amp; $C10 &amp; ")",$B10)))), "  ", TRIM(IF($S10 = "YES", "(External ID)", "") &amp; " " &amp; IF(SUMPRODUCT(-- ISNUMBER(SEARCH({"Unique","Unique Case Insensitive"}, $R10))) &gt; 0, "(" &amp; $R10 &amp; ")", ""))))</f>
        <v>Text(80)</v>
      </c>
      <c r="E10" s="7" t="s">
        <v>195</v>
      </c>
      <c r="F10" s="7" t="s">
        <v>847</v>
      </c>
      <c r="G10" s="7" t="s">
        <v>195</v>
      </c>
      <c r="H10" s="7" t="s">
        <v>195</v>
      </c>
      <c r="I10" s="7" t="s">
        <v>195</v>
      </c>
      <c r="J10" s="7" t="s">
        <v>195</v>
      </c>
      <c r="K10" s="7" t="s">
        <v>195</v>
      </c>
      <c r="L10" s="7" t="s">
        <v>195</v>
      </c>
      <c r="M10" s="7" t="s">
        <v>29</v>
      </c>
      <c r="N10" s="7" t="s">
        <v>29</v>
      </c>
      <c r="O10" s="7" t="s">
        <v>29</v>
      </c>
      <c r="P10" s="7" t="s">
        <v>29</v>
      </c>
      <c r="Q10" s="7" t="s">
        <v>29</v>
      </c>
      <c r="R10" s="7" t="s">
        <v>29</v>
      </c>
      <c r="S10" s="7" t="s">
        <v>29</v>
      </c>
    </row>
    <row r="11" spans="1:19">
      <c r="A11" s="7" t="s">
        <v>15</v>
      </c>
      <c r="B11" s="7" t="s">
        <v>1218</v>
      </c>
      <c r="C11" s="8">
        <v>255</v>
      </c>
      <c r="D11" s="6" t="str">
        <f>LRTRIM(CONCATENATE(IF(SUMPRODUCT(-- ISNUMBER(SEARCH({"Auto Number"}, $B11))) &gt; 0, $B11, IF(SUMPRODUCT(-- ISNUMBER(SEARCH({"Lookup","Master-Detail"}, $B11))) &gt; 0,$B11 &amp; "(" &amp; $E11 &amp; ")",IF(SUMPRODUCT(-- ISNUMBER(SEARCH({"Formula","Roll-Up Summary"}, $B11))) &gt; 0,$B11 &amp; " (" &amp; $E11 &amp; ")",IF(SUMPRODUCT(-- ISNUMBER(SEARCH({"Content","Currency","Number","Percent","Text","URL"}, $B11))) &gt; 0,$B11 &amp; "(" &amp; $C11 &amp; ")",$B11)))), "  ", TRIM(IF($S11 = "YES", "(External ID)", "") &amp; " " &amp; IF(SUMPRODUCT(-- ISNUMBER(SEARCH({"Unique","Unique Case Insensitive"}, $R11))) &gt; 0, "(" &amp; $R11 &amp; ")", ""))))</f>
        <v>Text(255)  (External ID) (Unique Case Insensitive)</v>
      </c>
      <c r="E11" s="7" t="s">
        <v>195</v>
      </c>
      <c r="F11" s="7" t="s">
        <v>26</v>
      </c>
      <c r="G11" s="7" t="s">
        <v>851</v>
      </c>
      <c r="H11" s="7" t="s">
        <v>195</v>
      </c>
      <c r="I11" s="7" t="s">
        <v>195</v>
      </c>
      <c r="J11" s="7" t="s">
        <v>195</v>
      </c>
      <c r="K11" s="7" t="s">
        <v>195</v>
      </c>
      <c r="L11" s="7" t="s">
        <v>195</v>
      </c>
      <c r="M11" s="7" t="s">
        <v>29</v>
      </c>
      <c r="N11" s="7" t="s">
        <v>29</v>
      </c>
      <c r="O11" s="7" t="s">
        <v>29</v>
      </c>
      <c r="P11" s="7" t="s">
        <v>29</v>
      </c>
      <c r="Q11" s="7" t="s">
        <v>29</v>
      </c>
      <c r="R11" s="7" t="s">
        <v>1271</v>
      </c>
      <c r="S11" s="7" t="s">
        <v>28</v>
      </c>
    </row>
    <row r="12" spans="1:19">
      <c r="A12" s="7" t="s">
        <v>100</v>
      </c>
      <c r="B12" s="7" t="s">
        <v>1209</v>
      </c>
      <c r="C12" s="8">
        <v>1300</v>
      </c>
      <c r="D12" s="6" t="str">
        <f>LRTRIM(CONCATENATE(IF(SUMPRODUCT(-- ISNUMBER(SEARCH({"Auto Number"}, $B12))) &gt; 0, $B12, IF(SUMPRODUCT(-- ISNUMBER(SEARCH({"Lookup","Master-Detail"}, $B12))) &gt; 0,$B12 &amp; "(" &amp; $E12 &amp; ")",IF(SUMPRODUCT(-- ISNUMBER(SEARCH({"Formula","Roll-Up Summary"}, $B12))) &gt; 0,$B12 &amp; " (" &amp; $E12 &amp; ")",IF(SUMPRODUCT(-- ISNUMBER(SEARCH({"Content","Currency","Number","Percent","Text","URL"}, $B12))) &gt; 0,$B12 &amp; "(" &amp; $C12 &amp; ")",$B12)))), "  ", TRIM(IF($S12 = "YES", "(External ID)", "") &amp; " " &amp; IF(SUMPRODUCT(-- ISNUMBER(SEARCH({"Unique","Unique Case Insensitive"}, $R12))) &gt; 0, "(" &amp; $R12 &amp; ")", ""))))</f>
        <v>Formula (Text)</v>
      </c>
      <c r="E12" s="7" t="s">
        <v>1218</v>
      </c>
      <c r="F12" s="7" t="s">
        <v>150</v>
      </c>
      <c r="G12" s="7" t="s">
        <v>173</v>
      </c>
      <c r="H12" s="7" t="s">
        <v>195</v>
      </c>
      <c r="I12" s="7" t="s">
        <v>195</v>
      </c>
      <c r="J12" s="7" t="s">
        <v>195</v>
      </c>
      <c r="K12" s="7" t="s">
        <v>195</v>
      </c>
      <c r="L12" s="7" t="s">
        <v>195</v>
      </c>
      <c r="M12" s="7" t="s">
        <v>29</v>
      </c>
      <c r="N12" s="7" t="s">
        <v>29</v>
      </c>
      <c r="O12" s="7" t="s">
        <v>29</v>
      </c>
      <c r="P12" s="7" t="s">
        <v>29</v>
      </c>
      <c r="Q12" s="7" t="s">
        <v>29</v>
      </c>
      <c r="R12" s="7" t="s">
        <v>29</v>
      </c>
      <c r="S12" s="7" t="s">
        <v>29</v>
      </c>
    </row>
    <row r="13" spans="1:19">
      <c r="A13" s="7" t="s">
        <v>852</v>
      </c>
      <c r="B13" s="7" t="s">
        <v>195</v>
      </c>
      <c r="C13" s="8" t="s">
        <v>195</v>
      </c>
      <c r="D13" s="6" t="str">
        <f>LRTRIM(CONCATENATE(IF(SUMPRODUCT(-- ISNUMBER(SEARCH({"Auto Number"}, $B13))) &gt; 0, $B13, IF(SUMPRODUCT(-- ISNUMBER(SEARCH({"Lookup","Master-Detail"}, $B13))) &gt; 0,$B13 &amp; "(" &amp; $E13 &amp; ")",IF(SUMPRODUCT(-- ISNUMBER(SEARCH({"Formula","Roll-Up Summary"}, $B13))) &gt; 0,$B13 &amp; " (" &amp; $E13 &amp; ")",IF(SUMPRODUCT(-- ISNUMBER(SEARCH({"Content","Currency","Number","Percent","Text","URL"}, $B13))) &gt; 0,$B13 &amp; "(" &amp; $C13 &amp; ")",$B13)))), "  ", TRIM(IF($S13 = "YES", "(External ID)", "") &amp; " " &amp; IF(SUMPRODUCT(-- ISNUMBER(SEARCH({"Unique","Unique Case Insensitive"}, $R13))) &gt; 0, "(" &amp; $R13 &amp; ")", ""))))</f>
        <v>na</v>
      </c>
      <c r="E13" s="7" t="s">
        <v>195</v>
      </c>
      <c r="F13" s="7" t="s">
        <v>195</v>
      </c>
      <c r="G13" s="7" t="s">
        <v>195</v>
      </c>
      <c r="H13" s="7" t="s">
        <v>195</v>
      </c>
      <c r="I13" s="7" t="s">
        <v>195</v>
      </c>
      <c r="J13" s="7" t="s">
        <v>195</v>
      </c>
      <c r="K13" s="7" t="s">
        <v>195</v>
      </c>
      <c r="L13" s="7" t="s">
        <v>195</v>
      </c>
      <c r="M13" s="7" t="s">
        <v>29</v>
      </c>
      <c r="N13" s="7" t="s">
        <v>28</v>
      </c>
      <c r="O13" s="7" t="s">
        <v>29</v>
      </c>
      <c r="P13" s="7" t="s">
        <v>29</v>
      </c>
      <c r="Q13" s="7" t="s">
        <v>29</v>
      </c>
      <c r="R13" s="7" t="s">
        <v>29</v>
      </c>
      <c r="S13" s="7" t="s">
        <v>29</v>
      </c>
    </row>
    <row r="14" spans="1:19">
      <c r="A14" s="7" t="s">
        <v>453</v>
      </c>
      <c r="B14" s="7" t="s">
        <v>195</v>
      </c>
      <c r="C14" s="8" t="s">
        <v>195</v>
      </c>
      <c r="D14" s="6" t="str">
        <f>LRTRIM(CONCATENATE(IF(SUMPRODUCT(-- ISNUMBER(SEARCH({"Auto Number"}, $B14))) &gt; 0, $B14, IF(SUMPRODUCT(-- ISNUMBER(SEARCH({"Lookup","Master-Detail"}, $B14))) &gt; 0,$B14 &amp; "(" &amp; $E14 &amp; ")",IF(SUMPRODUCT(-- ISNUMBER(SEARCH({"Formula","Roll-Up Summary"}, $B14))) &gt; 0,$B14 &amp; " (" &amp; $E14 &amp; ")",IF(SUMPRODUCT(-- ISNUMBER(SEARCH({"Content","Currency","Number","Percent","Text","URL"}, $B14))) &gt; 0,$B14 &amp; "(" &amp; $C14 &amp; ")",$B14)))), "  ", TRIM(IF($S14 = "YES", "(External ID)", "") &amp; " " &amp; IF(SUMPRODUCT(-- ISNUMBER(SEARCH({"Unique","Unique Case Insensitive"}, $R14))) &gt; 0, "(" &amp; $R14 &amp; ")", ""))))</f>
        <v>na</v>
      </c>
      <c r="E14" s="7" t="s">
        <v>195</v>
      </c>
      <c r="F14" s="7" t="s">
        <v>195</v>
      </c>
      <c r="G14" s="7" t="s">
        <v>195</v>
      </c>
      <c r="H14" s="7" t="s">
        <v>195</v>
      </c>
      <c r="I14" s="7" t="s">
        <v>195</v>
      </c>
      <c r="J14" s="7" t="s">
        <v>195</v>
      </c>
      <c r="K14" s="7" t="s">
        <v>195</v>
      </c>
      <c r="L14" s="7" t="s">
        <v>195</v>
      </c>
      <c r="M14" s="7" t="s">
        <v>29</v>
      </c>
      <c r="N14" s="7" t="s">
        <v>28</v>
      </c>
      <c r="O14" s="7" t="s">
        <v>29</v>
      </c>
      <c r="P14" s="7" t="s">
        <v>29</v>
      </c>
      <c r="Q14" s="7" t="s">
        <v>29</v>
      </c>
      <c r="R14" s="7" t="s">
        <v>29</v>
      </c>
      <c r="S14" s="7" t="s">
        <v>29</v>
      </c>
    </row>
    <row r="15" spans="1:19">
      <c r="A15" s="7" t="s">
        <v>1387</v>
      </c>
      <c r="B15" s="7" t="s">
        <v>1209</v>
      </c>
      <c r="C15" s="8" t="s">
        <v>195</v>
      </c>
      <c r="D15" s="6" t="str">
        <f>LRTRIM(CONCATENATE(IF(SUMPRODUCT(-- ISNUMBER(SEARCH({"Auto Number"}, $B15))) &gt; 0, $B15, IF(SUMPRODUCT(-- ISNUMBER(SEARCH({"Lookup","Master-Detail"}, $B15))) &gt; 0,$B15 &amp; "(" &amp; $E15 &amp; ")",IF(SUMPRODUCT(-- ISNUMBER(SEARCH({"Formula","Roll-Up Summary"}, $B15))) &gt; 0,$B15 &amp; " (" &amp; $E15 &amp; ")",IF(SUMPRODUCT(-- ISNUMBER(SEARCH({"Content","Currency","Number","Percent","Text","URL"}, $B15))) &gt; 0,$B15 &amp; "(" &amp; $C15 &amp; ")",$B15)))), "  ", TRIM(IF($S15 = "YES", "(External ID)", "") &amp; " " &amp; IF(SUMPRODUCT(-- ISNUMBER(SEARCH({"Unique","Unique Case Insensitive"}, $R15))) &gt; 0, "(" &amp; $R15 &amp; ")", ""))))</f>
        <v>Formula (Text)</v>
      </c>
      <c r="E15" s="7" t="s">
        <v>1218</v>
      </c>
      <c r="F15" s="7" t="s">
        <v>1386</v>
      </c>
      <c r="G15" s="7" t="s">
        <v>195</v>
      </c>
      <c r="H15" s="7" t="s">
        <v>195</v>
      </c>
      <c r="I15" s="7" t="s">
        <v>195</v>
      </c>
      <c r="J15" s="7" t="s">
        <v>195</v>
      </c>
      <c r="K15" s="7" t="s">
        <v>195</v>
      </c>
      <c r="L15" s="7" t="s">
        <v>195</v>
      </c>
      <c r="M15" s="7" t="s">
        <v>29</v>
      </c>
      <c r="N15" s="7" t="s">
        <v>29</v>
      </c>
      <c r="O15" s="7" t="s">
        <v>29</v>
      </c>
      <c r="P15" s="7" t="s">
        <v>29</v>
      </c>
      <c r="Q15" s="7" t="s">
        <v>29</v>
      </c>
      <c r="R15" s="7" t="s">
        <v>29</v>
      </c>
      <c r="S15" s="7" t="s">
        <v>29</v>
      </c>
    </row>
    <row r="16" spans="1:19">
      <c r="A16" s="7" t="s">
        <v>853</v>
      </c>
      <c r="B16" s="7" t="s">
        <v>195</v>
      </c>
      <c r="C16" s="8" t="s">
        <v>195</v>
      </c>
      <c r="D16" s="6" t="str">
        <f>LRTRIM(CONCATENATE(IF(SUMPRODUCT(-- ISNUMBER(SEARCH({"Auto Number"}, $B16))) &gt; 0, $B16, IF(SUMPRODUCT(-- ISNUMBER(SEARCH({"Lookup","Master-Detail"}, $B16))) &gt; 0,$B16 &amp; "(" &amp; $E16 &amp; ")",IF(SUMPRODUCT(-- ISNUMBER(SEARCH({"Formula","Roll-Up Summary"}, $B16))) &gt; 0,$B16 &amp; " (" &amp; $E16 &amp; ")",IF(SUMPRODUCT(-- ISNUMBER(SEARCH({"Content","Currency","Number","Percent","Text","URL"}, $B16))) &gt; 0,$B16 &amp; "(" &amp; $C16 &amp; ")",$B16)))), "  ", TRIM(IF($S16 = "YES", "(External ID)", "") &amp; " " &amp; IF(SUMPRODUCT(-- ISNUMBER(SEARCH({"Unique","Unique Case Insensitive"}, $R16))) &gt; 0, "(" &amp; $R16 &amp; ")", ""))))</f>
        <v>na</v>
      </c>
      <c r="E16" s="7" t="s">
        <v>195</v>
      </c>
      <c r="F16" s="7" t="s">
        <v>195</v>
      </c>
      <c r="G16" s="7" t="s">
        <v>195</v>
      </c>
      <c r="H16" s="7" t="s">
        <v>195</v>
      </c>
      <c r="I16" s="7" t="s">
        <v>195</v>
      </c>
      <c r="J16" s="7" t="s">
        <v>195</v>
      </c>
      <c r="K16" s="7" t="s">
        <v>195</v>
      </c>
      <c r="L16" s="7" t="s">
        <v>195</v>
      </c>
      <c r="M16" s="7" t="s">
        <v>29</v>
      </c>
      <c r="N16" s="7" t="s">
        <v>28</v>
      </c>
      <c r="O16" s="7" t="s">
        <v>29</v>
      </c>
      <c r="P16" s="7" t="s">
        <v>29</v>
      </c>
      <c r="Q16" s="7" t="s">
        <v>29</v>
      </c>
      <c r="R16" s="7" t="s">
        <v>29</v>
      </c>
      <c r="S16" s="7" t="s">
        <v>29</v>
      </c>
    </row>
    <row r="17" spans="1:19">
      <c r="A17" s="7" t="s">
        <v>36</v>
      </c>
      <c r="B17" s="7" t="s">
        <v>195</v>
      </c>
      <c r="C17" s="8" t="s">
        <v>195</v>
      </c>
      <c r="D17" s="6" t="str">
        <f>LRTRIM(CONCATENATE(IF(SUMPRODUCT(-- ISNUMBER(SEARCH({"Auto Number"}, $B17))) &gt; 0, $B17, IF(SUMPRODUCT(-- ISNUMBER(SEARCH({"Lookup","Master-Detail"}, $B17))) &gt; 0,$B17 &amp; "(" &amp; $E17 &amp; ")",IF(SUMPRODUCT(-- ISNUMBER(SEARCH({"Formula","Roll-Up Summary"}, $B17))) &gt; 0,$B17 &amp; " (" &amp; $E17 &amp; ")",IF(SUMPRODUCT(-- ISNUMBER(SEARCH({"Content","Currency","Number","Percent","Text","URL"}, $B17))) &gt; 0,$B17 &amp; "(" &amp; $C17 &amp; ")",$B17)))), "  ", TRIM(IF($S17 = "YES", "(External ID)", "") &amp; " " &amp; IF(SUMPRODUCT(-- ISNUMBER(SEARCH({"Unique","Unique Case Insensitive"}, $R17))) &gt; 0, "(" &amp; $R17 &amp; ")", ""))))</f>
        <v>na</v>
      </c>
      <c r="E17" s="7" t="s">
        <v>195</v>
      </c>
      <c r="F17" s="7" t="s">
        <v>195</v>
      </c>
      <c r="G17" s="7" t="s">
        <v>195</v>
      </c>
      <c r="H17" s="7" t="s">
        <v>195</v>
      </c>
      <c r="I17" s="7" t="s">
        <v>195</v>
      </c>
      <c r="J17" s="7" t="s">
        <v>195</v>
      </c>
      <c r="K17" s="7" t="s">
        <v>195</v>
      </c>
      <c r="L17" s="7" t="s">
        <v>195</v>
      </c>
      <c r="M17" s="7" t="s">
        <v>28</v>
      </c>
      <c r="N17" s="7" t="s">
        <v>29</v>
      </c>
      <c r="O17" s="7" t="s">
        <v>29</v>
      </c>
      <c r="P17" s="7" t="s">
        <v>29</v>
      </c>
      <c r="Q17" s="7" t="s">
        <v>29</v>
      </c>
      <c r="R17" s="7" t="s">
        <v>29</v>
      </c>
      <c r="S17" s="7" t="s">
        <v>29</v>
      </c>
    </row>
    <row r="18" spans="1:19">
      <c r="A18" s="7" t="s">
        <v>35</v>
      </c>
      <c r="B18" s="7" t="s">
        <v>195</v>
      </c>
      <c r="C18" s="8" t="s">
        <v>195</v>
      </c>
      <c r="D18" s="6" t="str">
        <f>LRTRIM(CONCATENATE(IF(SUMPRODUCT(-- ISNUMBER(SEARCH({"Auto Number"}, $B18))) &gt; 0, $B18, IF(SUMPRODUCT(-- ISNUMBER(SEARCH({"Lookup","Master-Detail"}, $B18))) &gt; 0,$B18 &amp; "(" &amp; $E18 &amp; ")",IF(SUMPRODUCT(-- ISNUMBER(SEARCH({"Formula","Roll-Up Summary"}, $B18))) &gt; 0,$B18 &amp; " (" &amp; $E18 &amp; ")",IF(SUMPRODUCT(-- ISNUMBER(SEARCH({"Content","Currency","Number","Percent","Text","URL"}, $B18))) &gt; 0,$B18 &amp; "(" &amp; $C18 &amp; ")",$B18)))), "  ", TRIM(IF($S18 = "YES", "(External ID)", "") &amp; " " &amp; IF(SUMPRODUCT(-- ISNUMBER(SEARCH({"Unique","Unique Case Insensitive"}, $R18))) &gt; 0, "(" &amp; $R18 &amp; ")", ""))))</f>
        <v>na</v>
      </c>
      <c r="E18" s="7" t="s">
        <v>195</v>
      </c>
      <c r="F18" s="7" t="s">
        <v>195</v>
      </c>
      <c r="G18" s="7" t="s">
        <v>195</v>
      </c>
      <c r="H18" s="7" t="s">
        <v>195</v>
      </c>
      <c r="I18" s="7" t="s">
        <v>195</v>
      </c>
      <c r="J18" s="7" t="s">
        <v>195</v>
      </c>
      <c r="K18" s="7" t="s">
        <v>195</v>
      </c>
      <c r="L18" s="7" t="s">
        <v>195</v>
      </c>
      <c r="M18" s="7" t="s">
        <v>28</v>
      </c>
      <c r="N18" s="7" t="s">
        <v>29</v>
      </c>
      <c r="O18" s="7" t="s">
        <v>29</v>
      </c>
      <c r="P18" s="7" t="s">
        <v>29</v>
      </c>
      <c r="Q18" s="7" t="s">
        <v>29</v>
      </c>
      <c r="R18" s="7" t="s">
        <v>29</v>
      </c>
      <c r="S18" s="7" t="s">
        <v>29</v>
      </c>
    </row>
    <row r="19" spans="1:19">
      <c r="A19" s="7" t="s">
        <v>34</v>
      </c>
      <c r="B19" s="7" t="s">
        <v>195</v>
      </c>
      <c r="C19" s="8" t="s">
        <v>195</v>
      </c>
      <c r="D19" s="6" t="str">
        <f>LRTRIM(CONCATENATE(IF(SUMPRODUCT(-- ISNUMBER(SEARCH({"Auto Number"}, $B19))) &gt; 0, $B19, IF(SUMPRODUCT(-- ISNUMBER(SEARCH({"Lookup","Master-Detail"}, $B19))) &gt; 0,$B19 &amp; "(" &amp; $E19 &amp; ")",IF(SUMPRODUCT(-- ISNUMBER(SEARCH({"Formula","Roll-Up Summary"}, $B19))) &gt; 0,$B19 &amp; " (" &amp; $E19 &amp; ")",IF(SUMPRODUCT(-- ISNUMBER(SEARCH({"Content","Currency","Number","Percent","Text","URL"}, $B19))) &gt; 0,$B19 &amp; "(" &amp; $C19 &amp; ")",$B19)))), "  ", TRIM(IF($S19 = "YES", "(External ID)", "") &amp; " " &amp; IF(SUMPRODUCT(-- ISNUMBER(SEARCH({"Unique","Unique Case Insensitive"}, $R19))) &gt; 0, "(" &amp; $R19 &amp; ")", ""))))</f>
        <v>na</v>
      </c>
      <c r="E19" s="7" t="s">
        <v>195</v>
      </c>
      <c r="F19" s="7" t="s">
        <v>195</v>
      </c>
      <c r="G19" s="7" t="s">
        <v>195</v>
      </c>
      <c r="H19" s="7" t="s">
        <v>195</v>
      </c>
      <c r="I19" s="7" t="s">
        <v>195</v>
      </c>
      <c r="J19" s="7" t="s">
        <v>195</v>
      </c>
      <c r="K19" s="7" t="s">
        <v>195</v>
      </c>
      <c r="L19" s="7" t="s">
        <v>195</v>
      </c>
      <c r="M19" s="7" t="s">
        <v>28</v>
      </c>
      <c r="N19" s="7" t="s">
        <v>29</v>
      </c>
      <c r="O19" s="7" t="s">
        <v>29</v>
      </c>
      <c r="P19" s="7" t="s">
        <v>29</v>
      </c>
      <c r="Q19" s="7" t="s">
        <v>29</v>
      </c>
      <c r="R19" s="7" t="s">
        <v>29</v>
      </c>
      <c r="S19" s="7" t="s">
        <v>29</v>
      </c>
    </row>
    <row r="20" spans="1:19">
      <c r="A20" s="7" t="s">
        <v>38</v>
      </c>
      <c r="B20" s="7" t="s">
        <v>195</v>
      </c>
      <c r="C20" s="8" t="s">
        <v>195</v>
      </c>
      <c r="D20" s="6" t="str">
        <f>LRTRIM(CONCATENATE(IF(SUMPRODUCT(-- ISNUMBER(SEARCH({"Auto Number"}, $B20))) &gt; 0, $B20, IF(SUMPRODUCT(-- ISNUMBER(SEARCH({"Lookup","Master-Detail"}, $B20))) &gt; 0,$B20 &amp; "(" &amp; $E20 &amp; ")",IF(SUMPRODUCT(-- ISNUMBER(SEARCH({"Formula","Roll-Up Summary"}, $B20))) &gt; 0,$B20 &amp; " (" &amp; $E20 &amp; ")",IF(SUMPRODUCT(-- ISNUMBER(SEARCH({"Content","Currency","Number","Percent","Text","URL"}, $B20))) &gt; 0,$B20 &amp; "(" &amp; $C20 &amp; ")",$B20)))), "  ", TRIM(IF($S20 = "YES", "(External ID)", "") &amp; " " &amp; IF(SUMPRODUCT(-- ISNUMBER(SEARCH({"Unique","Unique Case Insensitive"}, $R20))) &gt; 0, "(" &amp; $R20 &amp; ")", ""))))</f>
        <v>na</v>
      </c>
      <c r="E20" s="7" t="s">
        <v>195</v>
      </c>
      <c r="F20" s="7" t="s">
        <v>195</v>
      </c>
      <c r="G20" s="7" t="s">
        <v>195</v>
      </c>
      <c r="H20" s="7" t="s">
        <v>195</v>
      </c>
      <c r="I20" s="7" t="s">
        <v>195</v>
      </c>
      <c r="J20" s="7" t="s">
        <v>195</v>
      </c>
      <c r="K20" s="7" t="s">
        <v>195</v>
      </c>
      <c r="L20" s="7" t="s">
        <v>195</v>
      </c>
      <c r="M20" s="7" t="s">
        <v>28</v>
      </c>
      <c r="N20" s="7" t="s">
        <v>29</v>
      </c>
      <c r="O20" s="7" t="s">
        <v>29</v>
      </c>
      <c r="P20" s="7" t="s">
        <v>29</v>
      </c>
      <c r="Q20" s="7" t="s">
        <v>29</v>
      </c>
      <c r="R20" s="7" t="s">
        <v>29</v>
      </c>
      <c r="S20" s="7" t="s">
        <v>29</v>
      </c>
    </row>
    <row r="21" spans="1:19">
      <c r="A21" s="7" t="s">
        <v>37</v>
      </c>
      <c r="B21" s="7" t="s">
        <v>195</v>
      </c>
      <c r="C21" s="8" t="s">
        <v>195</v>
      </c>
      <c r="D21" s="6" t="str">
        <f>LRTRIM(CONCATENATE(IF(SUMPRODUCT(-- ISNUMBER(SEARCH({"Auto Number"}, $B21))) &gt; 0, $B21, IF(SUMPRODUCT(-- ISNUMBER(SEARCH({"Lookup","Master-Detail"}, $B21))) &gt; 0,$B21 &amp; "(" &amp; $E21 &amp; ")",IF(SUMPRODUCT(-- ISNUMBER(SEARCH({"Formula","Roll-Up Summary"}, $B21))) &gt; 0,$B21 &amp; " (" &amp; $E21 &amp; ")",IF(SUMPRODUCT(-- ISNUMBER(SEARCH({"Content","Currency","Number","Percent","Text","URL"}, $B21))) &gt; 0,$B21 &amp; "(" &amp; $C21 &amp; ")",$B21)))), "  ", TRIM(IF($S21 = "YES", "(External ID)", "") &amp; " " &amp; IF(SUMPRODUCT(-- ISNUMBER(SEARCH({"Unique","Unique Case Insensitive"}, $R21))) &gt; 0, "(" &amp; $R21 &amp; ")", ""))))</f>
        <v>na</v>
      </c>
      <c r="E21" s="7" t="s">
        <v>195</v>
      </c>
      <c r="F21" s="7" t="s">
        <v>195</v>
      </c>
      <c r="G21" s="7" t="s">
        <v>195</v>
      </c>
      <c r="H21" s="7" t="s">
        <v>195</v>
      </c>
      <c r="I21" s="7" t="s">
        <v>195</v>
      </c>
      <c r="J21" s="7" t="s">
        <v>195</v>
      </c>
      <c r="K21" s="7" t="s">
        <v>195</v>
      </c>
      <c r="L21" s="7" t="s">
        <v>195</v>
      </c>
      <c r="M21" s="7" t="s">
        <v>28</v>
      </c>
      <c r="N21" s="7" t="s">
        <v>29</v>
      </c>
      <c r="O21" s="7" t="s">
        <v>29</v>
      </c>
      <c r="P21" s="7" t="s">
        <v>29</v>
      </c>
      <c r="Q21" s="7" t="s">
        <v>29</v>
      </c>
      <c r="R21" s="7" t="s">
        <v>29</v>
      </c>
      <c r="S21" s="7" t="s">
        <v>29</v>
      </c>
    </row>
    <row r="22" spans="1:19">
      <c r="A22" s="7" t="s">
        <v>39</v>
      </c>
      <c r="B22" s="7" t="s">
        <v>195</v>
      </c>
      <c r="C22" s="8" t="s">
        <v>195</v>
      </c>
      <c r="D22" s="6" t="str">
        <f>LRTRIM(CONCATENATE(IF(SUMPRODUCT(-- ISNUMBER(SEARCH({"Auto Number"}, $B22))) &gt; 0, $B22, IF(SUMPRODUCT(-- ISNUMBER(SEARCH({"Lookup","Master-Detail"}, $B22))) &gt; 0,$B22 &amp; "(" &amp; $E22 &amp; ")",IF(SUMPRODUCT(-- ISNUMBER(SEARCH({"Formula","Roll-Up Summary"}, $B22))) &gt; 0,$B22 &amp; " (" &amp; $E22 &amp; ")",IF(SUMPRODUCT(-- ISNUMBER(SEARCH({"Content","Currency","Number","Percent","Text","URL"}, $B22))) &gt; 0,$B22 &amp; "(" &amp; $C22 &amp; ")",$B22)))), "  ", TRIM(IF($S22 = "YES", "(External ID)", "") &amp; " " &amp; IF(SUMPRODUCT(-- ISNUMBER(SEARCH({"Unique","Unique Case Insensitive"}, $R22))) &gt; 0, "(" &amp; $R22 &amp; ")", ""))))</f>
        <v>na</v>
      </c>
      <c r="E22" s="7" t="s">
        <v>195</v>
      </c>
      <c r="F22" s="7" t="s">
        <v>195</v>
      </c>
      <c r="G22" s="7" t="s">
        <v>195</v>
      </c>
      <c r="H22" s="7" t="s">
        <v>195</v>
      </c>
      <c r="I22" s="7" t="s">
        <v>195</v>
      </c>
      <c r="J22" s="7" t="s">
        <v>195</v>
      </c>
      <c r="K22" s="7" t="s">
        <v>195</v>
      </c>
      <c r="L22" s="7" t="s">
        <v>195</v>
      </c>
      <c r="M22" s="7" t="s">
        <v>28</v>
      </c>
      <c r="N22" s="7" t="s">
        <v>29</v>
      </c>
      <c r="O22" s="7" t="s">
        <v>29</v>
      </c>
      <c r="P22" s="7" t="s">
        <v>29</v>
      </c>
      <c r="Q22" s="7" t="s">
        <v>29</v>
      </c>
      <c r="R22" s="7" t="s">
        <v>29</v>
      </c>
      <c r="S22" s="7" t="s">
        <v>29</v>
      </c>
    </row>
    <row r="23" spans="1:19">
      <c r="B23" s="7" t="s">
        <v>195</v>
      </c>
      <c r="C23" s="8" t="s">
        <v>195</v>
      </c>
      <c r="D23" s="6" t="str">
        <f>LRTRIM(CONCATENATE(IF(SUMPRODUCT(-- ISNUMBER(SEARCH({"Auto Number"}, $B23))) &gt; 0, $B23, IF(SUMPRODUCT(-- ISNUMBER(SEARCH({"Lookup","Master-Detail"}, $B23))) &gt; 0,$B23 &amp; "(" &amp; $E23 &amp; ")",IF(SUMPRODUCT(-- ISNUMBER(SEARCH({"Formula","Roll-Up Summary"}, $B23))) &gt; 0,$B23 &amp; " (" &amp; $E23 &amp; ")",IF(SUMPRODUCT(-- ISNUMBER(SEARCH({"Content","Currency","Number","Percent","Text","URL"}, $B23))) &gt; 0,$B23 &amp; "(" &amp; $C23 &amp; ")",$B23)))), "  ", TRIM(IF($S23 = "YES", "(External ID)", "") &amp; " " &amp; IF(SUMPRODUCT(-- ISNUMBER(SEARCH({"Unique","Unique Case Insensitive"}, $R23))) &gt; 0, "(" &amp; $R23 &amp; ")", ""))))</f>
        <v>na</v>
      </c>
      <c r="E23" s="7" t="s">
        <v>195</v>
      </c>
      <c r="F23" s="7" t="s">
        <v>195</v>
      </c>
      <c r="G23" s="7" t="s">
        <v>195</v>
      </c>
      <c r="H23" s="7" t="s">
        <v>195</v>
      </c>
      <c r="I23" s="7" t="s">
        <v>195</v>
      </c>
      <c r="J23" s="7" t="s">
        <v>195</v>
      </c>
      <c r="K23" s="7" t="s">
        <v>195</v>
      </c>
      <c r="L23" s="7" t="s">
        <v>195</v>
      </c>
      <c r="M23" s="7" t="s">
        <v>29</v>
      </c>
      <c r="N23" s="7" t="s">
        <v>29</v>
      </c>
      <c r="O23" s="7" t="s">
        <v>29</v>
      </c>
      <c r="P23" s="7" t="s">
        <v>29</v>
      </c>
      <c r="Q23" s="7" t="s">
        <v>29</v>
      </c>
      <c r="R23" s="7" t="s">
        <v>29</v>
      </c>
      <c r="S23" s="7" t="s">
        <v>29</v>
      </c>
    </row>
    <row r="24" spans="1:19">
      <c r="B24" s="7" t="s">
        <v>195</v>
      </c>
      <c r="C24" s="8" t="s">
        <v>195</v>
      </c>
      <c r="D24" s="6" t="str">
        <f>LRTRIM(CONCATENATE(IF(SUMPRODUCT(-- ISNUMBER(SEARCH({"Auto Number"}, $B24))) &gt; 0, $B24, IF(SUMPRODUCT(-- ISNUMBER(SEARCH({"Lookup","Master-Detail"}, $B24))) &gt; 0,$B24 &amp; "(" &amp; $E24 &amp; ")",IF(SUMPRODUCT(-- ISNUMBER(SEARCH({"Formula","Roll-Up Summary"}, $B24))) &gt; 0,$B24 &amp; " (" &amp; $E24 &amp; ")",IF(SUMPRODUCT(-- ISNUMBER(SEARCH({"Content","Currency","Number","Percent","Text","URL"}, $B24))) &gt; 0,$B24 &amp; "(" &amp; $C24 &amp; ")",$B24)))), "  ", TRIM(IF($S24 = "YES", "(External ID)", "") &amp; " " &amp; IF(SUMPRODUCT(-- ISNUMBER(SEARCH({"Unique","Unique Case Insensitive"}, $R24))) &gt; 0, "(" &amp; $R24 &amp; ")", ""))))</f>
        <v>na</v>
      </c>
      <c r="E24" s="7" t="s">
        <v>195</v>
      </c>
      <c r="F24" s="7" t="s">
        <v>195</v>
      </c>
      <c r="G24" s="7" t="s">
        <v>195</v>
      </c>
      <c r="H24" s="7" t="s">
        <v>195</v>
      </c>
      <c r="I24" s="7" t="s">
        <v>195</v>
      </c>
      <c r="J24" s="7" t="s">
        <v>195</v>
      </c>
      <c r="K24" s="7" t="s">
        <v>195</v>
      </c>
      <c r="L24" s="7" t="s">
        <v>195</v>
      </c>
      <c r="M24" s="7" t="s">
        <v>29</v>
      </c>
      <c r="N24" s="7" t="s">
        <v>29</v>
      </c>
      <c r="O24" s="7" t="s">
        <v>29</v>
      </c>
      <c r="P24" s="7" t="s">
        <v>29</v>
      </c>
      <c r="Q24" s="7" t="s">
        <v>29</v>
      </c>
      <c r="R24" s="7" t="s">
        <v>29</v>
      </c>
      <c r="S24" s="7" t="s">
        <v>29</v>
      </c>
    </row>
    <row r="25" spans="1:19">
      <c r="B25" s="7" t="s">
        <v>195</v>
      </c>
      <c r="C25" s="8" t="s">
        <v>195</v>
      </c>
      <c r="D25" s="6" t="str">
        <f>LRTRIM(CONCATENATE(IF(SUMPRODUCT(-- ISNUMBER(SEARCH({"Auto Number"}, $B25))) &gt; 0, $B25, IF(SUMPRODUCT(-- ISNUMBER(SEARCH({"Lookup","Master-Detail"}, $B25))) &gt; 0,$B25 &amp; "(" &amp; $E25 &amp; ")",IF(SUMPRODUCT(-- ISNUMBER(SEARCH({"Formula","Roll-Up Summary"}, $B25))) &gt; 0,$B25 &amp; " (" &amp; $E25 &amp; ")",IF(SUMPRODUCT(-- ISNUMBER(SEARCH({"Content","Currency","Number","Percent","Text","URL"}, $B25))) &gt; 0,$B25 &amp; "(" &amp; $C25 &amp; ")",$B25)))), "  ", TRIM(IF($S25 = "YES", "(External ID)", "") &amp; " " &amp; IF(SUMPRODUCT(-- ISNUMBER(SEARCH({"Unique","Unique Case Insensitive"}, $R25))) &gt; 0, "(" &amp; $R25 &amp; ")", ""))))</f>
        <v>na</v>
      </c>
      <c r="E25" s="7" t="s">
        <v>195</v>
      </c>
      <c r="F25" s="7" t="s">
        <v>195</v>
      </c>
      <c r="G25" s="7" t="s">
        <v>195</v>
      </c>
      <c r="H25" s="7" t="s">
        <v>195</v>
      </c>
      <c r="I25" s="7" t="s">
        <v>195</v>
      </c>
      <c r="J25" s="7" t="s">
        <v>195</v>
      </c>
      <c r="K25" s="7" t="s">
        <v>195</v>
      </c>
      <c r="L25" s="7" t="s">
        <v>195</v>
      </c>
      <c r="M25" s="7" t="s">
        <v>29</v>
      </c>
      <c r="N25" s="7" t="s">
        <v>29</v>
      </c>
      <c r="O25" s="7" t="s">
        <v>29</v>
      </c>
      <c r="P25" s="7" t="s">
        <v>29</v>
      </c>
      <c r="Q25" s="7" t="s">
        <v>29</v>
      </c>
      <c r="R25" s="7" t="s">
        <v>29</v>
      </c>
      <c r="S25" s="7" t="s">
        <v>29</v>
      </c>
    </row>
    <row r="26" spans="1:19">
      <c r="B26" s="7" t="s">
        <v>195</v>
      </c>
      <c r="C26" s="8" t="s">
        <v>195</v>
      </c>
      <c r="D26" s="6" t="str">
        <f>LRTRIM(CONCATENATE(IF(SUMPRODUCT(-- ISNUMBER(SEARCH({"Auto Number"}, $B26))) &gt; 0, $B26, IF(SUMPRODUCT(-- ISNUMBER(SEARCH({"Lookup","Master-Detail"}, $B26))) &gt; 0,$B26 &amp; "(" &amp; $E26 &amp; ")",IF(SUMPRODUCT(-- ISNUMBER(SEARCH({"Formula","Roll-Up Summary"}, $B26))) &gt; 0,$B26 &amp; " (" &amp; $E26 &amp; ")",IF(SUMPRODUCT(-- ISNUMBER(SEARCH({"Content","Currency","Number","Percent","Text","URL"}, $B26))) &gt; 0,$B26 &amp; "(" &amp; $C26 &amp; ")",$B26)))), "  ", TRIM(IF($S26 = "YES", "(External ID)", "") &amp; " " &amp; IF(SUMPRODUCT(-- ISNUMBER(SEARCH({"Unique","Unique Case Insensitive"}, $R26))) &gt; 0, "(" &amp; $R26 &amp; ")", ""))))</f>
        <v>na</v>
      </c>
      <c r="E26" s="7" t="s">
        <v>195</v>
      </c>
      <c r="F26" s="7" t="s">
        <v>195</v>
      </c>
      <c r="G26" s="7" t="s">
        <v>195</v>
      </c>
      <c r="H26" s="7" t="s">
        <v>195</v>
      </c>
      <c r="I26" s="7" t="s">
        <v>195</v>
      </c>
      <c r="J26" s="7" t="s">
        <v>195</v>
      </c>
      <c r="K26" s="7" t="s">
        <v>195</v>
      </c>
      <c r="L26" s="7" t="s">
        <v>195</v>
      </c>
      <c r="M26" s="7" t="s">
        <v>29</v>
      </c>
      <c r="N26" s="7" t="s">
        <v>29</v>
      </c>
      <c r="O26" s="7" t="s">
        <v>29</v>
      </c>
      <c r="P26" s="7" t="s">
        <v>29</v>
      </c>
      <c r="Q26" s="7" t="s">
        <v>29</v>
      </c>
      <c r="R26" s="7" t="s">
        <v>29</v>
      </c>
      <c r="S26" s="7" t="s">
        <v>29</v>
      </c>
    </row>
    <row r="27" spans="1:19">
      <c r="B27" s="7" t="s">
        <v>195</v>
      </c>
      <c r="C27" s="8" t="s">
        <v>195</v>
      </c>
      <c r="D27" s="6" t="str">
        <f>LRTRIM(CONCATENATE(IF(SUMPRODUCT(-- ISNUMBER(SEARCH({"Auto Number"}, $B27))) &gt; 0, $B27, IF(SUMPRODUCT(-- ISNUMBER(SEARCH({"Lookup","Master-Detail"}, $B27))) &gt; 0,$B27 &amp; "(" &amp; $E27 &amp; ")",IF(SUMPRODUCT(-- ISNUMBER(SEARCH({"Formula","Roll-Up Summary"}, $B27))) &gt; 0,$B27 &amp; " (" &amp; $E27 &amp; ")",IF(SUMPRODUCT(-- ISNUMBER(SEARCH({"Content","Currency","Number","Percent","Text","URL"}, $B27))) &gt; 0,$B27 &amp; "(" &amp; $C27 &amp; ")",$B27)))), "  ", TRIM(IF($S27 = "YES", "(External ID)", "") &amp; " " &amp; IF(SUMPRODUCT(-- ISNUMBER(SEARCH({"Unique","Unique Case Insensitive"}, $R27))) &gt; 0, "(" &amp; $R27 &amp; ")", ""))))</f>
        <v>na</v>
      </c>
      <c r="E27" s="7" t="s">
        <v>195</v>
      </c>
      <c r="F27" s="7" t="s">
        <v>195</v>
      </c>
      <c r="G27" s="7" t="s">
        <v>195</v>
      </c>
      <c r="H27" s="7" t="s">
        <v>195</v>
      </c>
      <c r="I27" s="7" t="s">
        <v>195</v>
      </c>
      <c r="J27" s="7" t="s">
        <v>195</v>
      </c>
      <c r="K27" s="7" t="s">
        <v>195</v>
      </c>
      <c r="L27" s="7" t="s">
        <v>195</v>
      </c>
      <c r="M27" s="7" t="s">
        <v>29</v>
      </c>
      <c r="N27" s="7" t="s">
        <v>29</v>
      </c>
      <c r="O27" s="7" t="s">
        <v>29</v>
      </c>
      <c r="P27" s="7" t="s">
        <v>29</v>
      </c>
      <c r="Q27" s="7" t="s">
        <v>29</v>
      </c>
      <c r="R27" s="7" t="s">
        <v>29</v>
      </c>
      <c r="S27" s="7" t="s">
        <v>29</v>
      </c>
    </row>
    <row r="28" spans="1:19">
      <c r="B28" s="7" t="s">
        <v>195</v>
      </c>
      <c r="C28" s="8" t="s">
        <v>195</v>
      </c>
      <c r="D28" s="6" t="str">
        <f>LRTRIM(CONCATENATE(IF(SUMPRODUCT(-- ISNUMBER(SEARCH({"Auto Number"}, $B28))) &gt; 0, $B28, IF(SUMPRODUCT(-- ISNUMBER(SEARCH({"Lookup","Master-Detail"}, $B28))) &gt; 0,$B28 &amp; "(" &amp; $E28 &amp; ")",IF(SUMPRODUCT(-- ISNUMBER(SEARCH({"Formula","Roll-Up Summary"}, $B28))) &gt; 0,$B28 &amp; " (" &amp; $E28 &amp; ")",IF(SUMPRODUCT(-- ISNUMBER(SEARCH({"Content","Currency","Number","Percent","Text","URL"}, $B28))) &gt; 0,$B28 &amp; "(" &amp; $C28 &amp; ")",$B28)))), "  ", TRIM(IF($S28 = "YES", "(External ID)", "") &amp; " " &amp; IF(SUMPRODUCT(-- ISNUMBER(SEARCH({"Unique","Unique Case Insensitive"}, $R28))) &gt; 0, "(" &amp; $R28 &amp; ")", ""))))</f>
        <v>na</v>
      </c>
      <c r="E28" s="7" t="s">
        <v>195</v>
      </c>
      <c r="F28" s="7" t="s">
        <v>195</v>
      </c>
      <c r="G28" s="7" t="s">
        <v>195</v>
      </c>
      <c r="H28" s="7" t="s">
        <v>195</v>
      </c>
      <c r="I28" s="7" t="s">
        <v>195</v>
      </c>
      <c r="J28" s="7" t="s">
        <v>195</v>
      </c>
      <c r="K28" s="7" t="s">
        <v>195</v>
      </c>
      <c r="L28" s="7" t="s">
        <v>195</v>
      </c>
      <c r="M28" s="7" t="s">
        <v>29</v>
      </c>
      <c r="N28" s="7" t="s">
        <v>29</v>
      </c>
      <c r="O28" s="7" t="s">
        <v>29</v>
      </c>
      <c r="P28" s="7" t="s">
        <v>29</v>
      </c>
      <c r="Q28" s="7" t="s">
        <v>29</v>
      </c>
      <c r="R28" s="7" t="s">
        <v>29</v>
      </c>
      <c r="S28" s="7" t="s">
        <v>29</v>
      </c>
    </row>
    <row r="29" spans="1:19">
      <c r="B29" s="7" t="s">
        <v>195</v>
      </c>
      <c r="C29" s="8" t="s">
        <v>195</v>
      </c>
      <c r="D29" s="6" t="str">
        <f>LRTRIM(CONCATENATE(IF(SUMPRODUCT(-- ISNUMBER(SEARCH({"Auto Number"}, $B29))) &gt; 0, $B29, IF(SUMPRODUCT(-- ISNUMBER(SEARCH({"Lookup","Master-Detail"}, $B29))) &gt; 0,$B29 &amp; "(" &amp; $E29 &amp; ")",IF(SUMPRODUCT(-- ISNUMBER(SEARCH({"Formula","Roll-Up Summary"}, $B29))) &gt; 0,$B29 &amp; " (" &amp; $E29 &amp; ")",IF(SUMPRODUCT(-- ISNUMBER(SEARCH({"Content","Currency","Number","Percent","Text","URL"}, $B29))) &gt; 0,$B29 &amp; "(" &amp; $C29 &amp; ")",$B29)))), "  ", TRIM(IF($S29 = "YES", "(External ID)", "") &amp; " " &amp; IF(SUMPRODUCT(-- ISNUMBER(SEARCH({"Unique","Unique Case Insensitive"}, $R29))) &gt; 0, "(" &amp; $R29 &amp; ")", ""))))</f>
        <v>na</v>
      </c>
      <c r="E29" s="7" t="s">
        <v>195</v>
      </c>
      <c r="F29" s="7" t="s">
        <v>195</v>
      </c>
      <c r="G29" s="7" t="s">
        <v>195</v>
      </c>
      <c r="H29" s="7" t="s">
        <v>195</v>
      </c>
      <c r="I29" s="7" t="s">
        <v>195</v>
      </c>
      <c r="J29" s="7" t="s">
        <v>195</v>
      </c>
      <c r="K29" s="7" t="s">
        <v>195</v>
      </c>
      <c r="L29" s="7" t="s">
        <v>195</v>
      </c>
      <c r="M29" s="7" t="s">
        <v>29</v>
      </c>
      <c r="N29" s="7" t="s">
        <v>29</v>
      </c>
      <c r="O29" s="7" t="s">
        <v>29</v>
      </c>
      <c r="P29" s="7" t="s">
        <v>29</v>
      </c>
      <c r="Q29" s="7" t="s">
        <v>29</v>
      </c>
      <c r="R29" s="7" t="s">
        <v>29</v>
      </c>
      <c r="S29" s="7" t="s">
        <v>29</v>
      </c>
    </row>
    <row r="30" spans="1:19">
      <c r="B30" s="7" t="s">
        <v>195</v>
      </c>
      <c r="C30" s="8" t="s">
        <v>195</v>
      </c>
      <c r="D30" s="6" t="str">
        <f>LRTRIM(CONCATENATE(IF(SUMPRODUCT(-- ISNUMBER(SEARCH({"Auto Number"}, $B30))) &gt; 0, $B30, IF(SUMPRODUCT(-- ISNUMBER(SEARCH({"Lookup","Master-Detail"}, $B30))) &gt; 0,$B30 &amp; "(" &amp; $E30 &amp; ")",IF(SUMPRODUCT(-- ISNUMBER(SEARCH({"Formula","Roll-Up Summary"}, $B30))) &gt; 0,$B30 &amp; " (" &amp; $E30 &amp; ")",IF(SUMPRODUCT(-- ISNUMBER(SEARCH({"Content","Currency","Number","Percent","Text","URL"}, $B30))) &gt; 0,$B30 &amp; "(" &amp; $C30 &amp; ")",$B30)))), "  ", TRIM(IF($S30 = "YES", "(External ID)", "") &amp; " " &amp; IF(SUMPRODUCT(-- ISNUMBER(SEARCH({"Unique","Unique Case Insensitive"}, $R30))) &gt; 0, "(" &amp; $R30 &amp; ")", ""))))</f>
        <v>na</v>
      </c>
      <c r="E30" s="7" t="s">
        <v>195</v>
      </c>
      <c r="F30" s="7" t="s">
        <v>195</v>
      </c>
      <c r="G30" s="7" t="s">
        <v>195</v>
      </c>
      <c r="H30" s="7" t="s">
        <v>195</v>
      </c>
      <c r="I30" s="7" t="s">
        <v>195</v>
      </c>
      <c r="J30" s="7" t="s">
        <v>195</v>
      </c>
      <c r="K30" s="7" t="s">
        <v>195</v>
      </c>
      <c r="L30" s="7" t="s">
        <v>195</v>
      </c>
      <c r="M30" s="7" t="s">
        <v>29</v>
      </c>
      <c r="N30" s="7" t="s">
        <v>29</v>
      </c>
      <c r="O30" s="7" t="s">
        <v>29</v>
      </c>
      <c r="P30" s="7" t="s">
        <v>29</v>
      </c>
      <c r="Q30" s="7" t="s">
        <v>29</v>
      </c>
      <c r="R30" s="7" t="s">
        <v>29</v>
      </c>
      <c r="S30" s="7" t="s">
        <v>29</v>
      </c>
    </row>
    <row r="31" spans="1:19">
      <c r="B31" s="7" t="s">
        <v>195</v>
      </c>
      <c r="C31" s="8" t="s">
        <v>195</v>
      </c>
      <c r="D31" s="6" t="str">
        <f>LRTRIM(CONCATENATE(IF(SUMPRODUCT(-- ISNUMBER(SEARCH({"Auto Number"}, $B31))) &gt; 0, $B31, IF(SUMPRODUCT(-- ISNUMBER(SEARCH({"Lookup","Master-Detail"}, $B31))) &gt; 0,$B31 &amp; "(" &amp; $E31 &amp; ")",IF(SUMPRODUCT(-- ISNUMBER(SEARCH({"Formula","Roll-Up Summary"}, $B31))) &gt; 0,$B31 &amp; " (" &amp; $E31 &amp; ")",IF(SUMPRODUCT(-- ISNUMBER(SEARCH({"Content","Currency","Number","Percent","Text","URL"}, $B31))) &gt; 0,$B31 &amp; "(" &amp; $C31 &amp; ")",$B31)))), "  ", TRIM(IF($S31 = "YES", "(External ID)", "") &amp; " " &amp; IF(SUMPRODUCT(-- ISNUMBER(SEARCH({"Unique","Unique Case Insensitive"}, $R31))) &gt; 0, "(" &amp; $R31 &amp; ")", ""))))</f>
        <v>na</v>
      </c>
      <c r="E31" s="7" t="s">
        <v>195</v>
      </c>
      <c r="F31" s="7" t="s">
        <v>195</v>
      </c>
      <c r="G31" s="7" t="s">
        <v>195</v>
      </c>
      <c r="H31" s="7" t="s">
        <v>195</v>
      </c>
      <c r="I31" s="7" t="s">
        <v>195</v>
      </c>
      <c r="J31" s="7" t="s">
        <v>195</v>
      </c>
      <c r="K31" s="7" t="s">
        <v>195</v>
      </c>
      <c r="L31" s="7" t="s">
        <v>195</v>
      </c>
      <c r="M31" s="7" t="s">
        <v>29</v>
      </c>
      <c r="N31" s="7" t="s">
        <v>29</v>
      </c>
      <c r="O31" s="7" t="s">
        <v>29</v>
      </c>
      <c r="P31" s="7" t="s">
        <v>29</v>
      </c>
      <c r="Q31" s="7" t="s">
        <v>29</v>
      </c>
      <c r="R31" s="7" t="s">
        <v>29</v>
      </c>
      <c r="S31" s="7" t="s">
        <v>29</v>
      </c>
    </row>
    <row r="32" spans="1:19">
      <c r="B32" s="7" t="s">
        <v>195</v>
      </c>
      <c r="C32" s="8" t="s">
        <v>195</v>
      </c>
      <c r="D32" s="6" t="str">
        <f>LRTRIM(CONCATENATE(IF(SUMPRODUCT(-- ISNUMBER(SEARCH({"Auto Number"}, $B32))) &gt; 0, $B32, IF(SUMPRODUCT(-- ISNUMBER(SEARCH({"Lookup","Master-Detail"}, $B32))) &gt; 0,$B32 &amp; "(" &amp; $E32 &amp; ")",IF(SUMPRODUCT(-- ISNUMBER(SEARCH({"Formula","Roll-Up Summary"}, $B32))) &gt; 0,$B32 &amp; " (" &amp; $E32 &amp; ")",IF(SUMPRODUCT(-- ISNUMBER(SEARCH({"Content","Currency","Number","Percent","Text","URL"}, $B32))) &gt; 0,$B32 &amp; "(" &amp; $C32 &amp; ")",$B32)))), "  ", TRIM(IF($S32 = "YES", "(External ID)", "") &amp; " " &amp; IF(SUMPRODUCT(-- ISNUMBER(SEARCH({"Unique","Unique Case Insensitive"}, $R32))) &gt; 0, "(" &amp; $R32 &amp; ")", ""))))</f>
        <v>na</v>
      </c>
      <c r="E32" s="7" t="s">
        <v>195</v>
      </c>
      <c r="F32" s="7" t="s">
        <v>195</v>
      </c>
      <c r="G32" s="7" t="s">
        <v>195</v>
      </c>
      <c r="H32" s="7" t="s">
        <v>195</v>
      </c>
      <c r="I32" s="7" t="s">
        <v>195</v>
      </c>
      <c r="J32" s="7" t="s">
        <v>195</v>
      </c>
      <c r="K32" s="7" t="s">
        <v>195</v>
      </c>
      <c r="L32" s="7" t="s">
        <v>195</v>
      </c>
      <c r="M32" s="7" t="s">
        <v>29</v>
      </c>
      <c r="N32" s="7" t="s">
        <v>29</v>
      </c>
      <c r="O32" s="7" t="s">
        <v>29</v>
      </c>
      <c r="P32" s="7" t="s">
        <v>29</v>
      </c>
      <c r="Q32" s="7" t="s">
        <v>29</v>
      </c>
      <c r="R32" s="7" t="s">
        <v>29</v>
      </c>
      <c r="S32" s="7" t="s">
        <v>29</v>
      </c>
    </row>
    <row r="33" spans="2:19">
      <c r="B33" s="7" t="s">
        <v>195</v>
      </c>
      <c r="C33" s="8" t="s">
        <v>195</v>
      </c>
      <c r="D33" s="6" t="str">
        <f>LRTRIM(CONCATENATE(IF(SUMPRODUCT(-- ISNUMBER(SEARCH({"Auto Number"}, $B33))) &gt; 0, $B33, IF(SUMPRODUCT(-- ISNUMBER(SEARCH({"Lookup","Master-Detail"}, $B33))) &gt; 0,$B33 &amp; "(" &amp; $E33 &amp; ")",IF(SUMPRODUCT(-- ISNUMBER(SEARCH({"Formula","Roll-Up Summary"}, $B33))) &gt; 0,$B33 &amp; " (" &amp; $E33 &amp; ")",IF(SUMPRODUCT(-- ISNUMBER(SEARCH({"Content","Currency","Number","Percent","Text","URL"}, $B33))) &gt; 0,$B33 &amp; "(" &amp; $C33 &amp; ")",$B33)))), "  ", TRIM(IF($S33 = "YES", "(External ID)", "") &amp; " " &amp; IF(SUMPRODUCT(-- ISNUMBER(SEARCH({"Unique","Unique Case Insensitive"}, $R33))) &gt; 0, "(" &amp; $R33 &amp; ")", ""))))</f>
        <v>na</v>
      </c>
      <c r="E33" s="7" t="s">
        <v>195</v>
      </c>
      <c r="F33" s="7" t="s">
        <v>195</v>
      </c>
      <c r="G33" s="7" t="s">
        <v>195</v>
      </c>
      <c r="H33" s="7" t="s">
        <v>195</v>
      </c>
      <c r="I33" s="7" t="s">
        <v>195</v>
      </c>
      <c r="J33" s="7" t="s">
        <v>195</v>
      </c>
      <c r="K33" s="7" t="s">
        <v>195</v>
      </c>
      <c r="L33" s="7" t="s">
        <v>195</v>
      </c>
      <c r="M33" s="7" t="s">
        <v>29</v>
      </c>
      <c r="N33" s="7" t="s">
        <v>29</v>
      </c>
      <c r="O33" s="7" t="s">
        <v>29</v>
      </c>
      <c r="P33" s="7" t="s">
        <v>29</v>
      </c>
      <c r="Q33" s="7" t="s">
        <v>29</v>
      </c>
      <c r="R33" s="7" t="s">
        <v>29</v>
      </c>
      <c r="S33" s="7" t="s">
        <v>29</v>
      </c>
    </row>
    <row r="34" spans="2:19">
      <c r="B34" s="7" t="s">
        <v>195</v>
      </c>
      <c r="C34" s="8" t="s">
        <v>195</v>
      </c>
      <c r="D34" s="6" t="str">
        <f>LRTRIM(CONCATENATE(IF(SUMPRODUCT(-- ISNUMBER(SEARCH({"Auto Number"}, $B34))) &gt; 0, $B34, IF(SUMPRODUCT(-- ISNUMBER(SEARCH({"Lookup","Master-Detail"}, $B34))) &gt; 0,$B34 &amp; "(" &amp; $E34 &amp; ")",IF(SUMPRODUCT(-- ISNUMBER(SEARCH({"Formula","Roll-Up Summary"}, $B34))) &gt; 0,$B34 &amp; " (" &amp; $E34 &amp; ")",IF(SUMPRODUCT(-- ISNUMBER(SEARCH({"Content","Currency","Number","Percent","Text","URL"}, $B34))) &gt; 0,$B34 &amp; "(" &amp; $C34 &amp; ")",$B34)))), "  ", TRIM(IF($S34 = "YES", "(External ID)", "") &amp; " " &amp; IF(SUMPRODUCT(-- ISNUMBER(SEARCH({"Unique","Unique Case Insensitive"}, $R34))) &gt; 0, "(" &amp; $R34 &amp; ")", ""))))</f>
        <v>na</v>
      </c>
      <c r="E34" s="7" t="s">
        <v>195</v>
      </c>
      <c r="F34" s="7" t="s">
        <v>195</v>
      </c>
      <c r="G34" s="7" t="s">
        <v>195</v>
      </c>
      <c r="H34" s="7" t="s">
        <v>195</v>
      </c>
      <c r="I34" s="7" t="s">
        <v>195</v>
      </c>
      <c r="J34" s="7" t="s">
        <v>195</v>
      </c>
      <c r="K34" s="7" t="s">
        <v>195</v>
      </c>
      <c r="L34" s="7" t="s">
        <v>195</v>
      </c>
      <c r="M34" s="7" t="s">
        <v>29</v>
      </c>
      <c r="N34" s="7" t="s">
        <v>29</v>
      </c>
      <c r="O34" s="7" t="s">
        <v>29</v>
      </c>
      <c r="P34" s="7" t="s">
        <v>29</v>
      </c>
      <c r="Q34" s="7" t="s">
        <v>29</v>
      </c>
      <c r="R34" s="7" t="s">
        <v>29</v>
      </c>
      <c r="S34" s="7" t="s">
        <v>29</v>
      </c>
    </row>
    <row r="35" spans="2:19">
      <c r="B35" s="7" t="s">
        <v>195</v>
      </c>
      <c r="C35" s="8" t="s">
        <v>195</v>
      </c>
      <c r="D35" s="6" t="str">
        <f>LRTRIM(CONCATENATE(IF(SUMPRODUCT(-- ISNUMBER(SEARCH({"Auto Number"}, $B35))) &gt; 0, $B35, IF(SUMPRODUCT(-- ISNUMBER(SEARCH({"Lookup","Master-Detail"}, $B35))) &gt; 0,$B35 &amp; "(" &amp; $E35 &amp; ")",IF(SUMPRODUCT(-- ISNUMBER(SEARCH({"Formula","Roll-Up Summary"}, $B35))) &gt; 0,$B35 &amp; " (" &amp; $E35 &amp; ")",IF(SUMPRODUCT(-- ISNUMBER(SEARCH({"Content","Currency","Number","Percent","Text","URL"}, $B35))) &gt; 0,$B35 &amp; "(" &amp; $C35 &amp; ")",$B35)))), "  ", TRIM(IF($S35 = "YES", "(External ID)", "") &amp; " " &amp; IF(SUMPRODUCT(-- ISNUMBER(SEARCH({"Unique","Unique Case Insensitive"}, $R35))) &gt; 0, "(" &amp; $R35 &amp; ")", ""))))</f>
        <v>na</v>
      </c>
      <c r="E35" s="7" t="s">
        <v>195</v>
      </c>
      <c r="F35" s="7" t="s">
        <v>195</v>
      </c>
      <c r="G35" s="7" t="s">
        <v>195</v>
      </c>
      <c r="H35" s="7" t="s">
        <v>195</v>
      </c>
      <c r="I35" s="7" t="s">
        <v>195</v>
      </c>
      <c r="J35" s="7" t="s">
        <v>195</v>
      </c>
      <c r="K35" s="7" t="s">
        <v>195</v>
      </c>
      <c r="L35" s="7" t="s">
        <v>195</v>
      </c>
      <c r="M35" s="7" t="s">
        <v>29</v>
      </c>
      <c r="N35" s="7" t="s">
        <v>29</v>
      </c>
      <c r="O35" s="7" t="s">
        <v>29</v>
      </c>
      <c r="P35" s="7" t="s">
        <v>29</v>
      </c>
      <c r="Q35" s="7" t="s">
        <v>29</v>
      </c>
      <c r="R35" s="7" t="s">
        <v>29</v>
      </c>
      <c r="S35" s="7" t="s">
        <v>29</v>
      </c>
    </row>
    <row r="36" spans="2:19">
      <c r="B36" s="7" t="s">
        <v>195</v>
      </c>
      <c r="C36" s="8" t="s">
        <v>195</v>
      </c>
      <c r="D36" s="6" t="str">
        <f>LRTRIM(CONCATENATE(IF(SUMPRODUCT(-- ISNUMBER(SEARCH({"Auto Number"}, $B36))) &gt; 0, $B36, IF(SUMPRODUCT(-- ISNUMBER(SEARCH({"Lookup","Master-Detail"}, $B36))) &gt; 0,$B36 &amp; "(" &amp; $E36 &amp; ")",IF(SUMPRODUCT(-- ISNUMBER(SEARCH({"Formula","Roll-Up Summary"}, $B36))) &gt; 0,$B36 &amp; " (" &amp; $E36 &amp; ")",IF(SUMPRODUCT(-- ISNUMBER(SEARCH({"Content","Currency","Number","Percent","Text","URL"}, $B36))) &gt; 0,$B36 &amp; "(" &amp; $C36 &amp; ")",$B36)))), "  ", TRIM(IF($S36 = "YES", "(External ID)", "") &amp; " " &amp; IF(SUMPRODUCT(-- ISNUMBER(SEARCH({"Unique","Unique Case Insensitive"}, $R36))) &gt; 0, "(" &amp; $R36 &amp; ")", ""))))</f>
        <v>na</v>
      </c>
      <c r="E36" s="7" t="s">
        <v>195</v>
      </c>
      <c r="F36" s="7" t="s">
        <v>195</v>
      </c>
      <c r="G36" s="7" t="s">
        <v>195</v>
      </c>
      <c r="H36" s="7" t="s">
        <v>195</v>
      </c>
      <c r="I36" s="7" t="s">
        <v>195</v>
      </c>
      <c r="J36" s="7" t="s">
        <v>195</v>
      </c>
      <c r="K36" s="7" t="s">
        <v>195</v>
      </c>
      <c r="L36" s="7" t="s">
        <v>195</v>
      </c>
      <c r="M36" s="7" t="s">
        <v>29</v>
      </c>
      <c r="N36" s="7" t="s">
        <v>29</v>
      </c>
      <c r="O36" s="7" t="s">
        <v>29</v>
      </c>
      <c r="P36" s="7" t="s">
        <v>29</v>
      </c>
      <c r="Q36" s="7" t="s">
        <v>29</v>
      </c>
      <c r="R36" s="7" t="s">
        <v>29</v>
      </c>
      <c r="S36" s="7" t="s">
        <v>29</v>
      </c>
    </row>
    <row r="37" spans="2:19">
      <c r="B37" s="7" t="s">
        <v>195</v>
      </c>
      <c r="C37" s="8" t="s">
        <v>195</v>
      </c>
      <c r="D37" s="6" t="str">
        <f>LRTRIM(CONCATENATE(IF(SUMPRODUCT(-- ISNUMBER(SEARCH({"Auto Number"}, $B37))) &gt; 0, $B37, IF(SUMPRODUCT(-- ISNUMBER(SEARCH({"Lookup","Master-Detail"}, $B37))) &gt; 0,$B37 &amp; "(" &amp; $E37 &amp; ")",IF(SUMPRODUCT(-- ISNUMBER(SEARCH({"Formula","Roll-Up Summary"}, $B37))) &gt; 0,$B37 &amp; " (" &amp; $E37 &amp; ")",IF(SUMPRODUCT(-- ISNUMBER(SEARCH({"Content","Currency","Number","Percent","Text","URL"}, $B37))) &gt; 0,$B37 &amp; "(" &amp; $C37 &amp; ")",$B37)))), "  ", TRIM(IF($S37 = "YES", "(External ID)", "") &amp; " " &amp; IF(SUMPRODUCT(-- ISNUMBER(SEARCH({"Unique","Unique Case Insensitive"}, $R37))) &gt; 0, "(" &amp; $R37 &amp; ")", ""))))</f>
        <v>na</v>
      </c>
      <c r="E37" s="7" t="s">
        <v>195</v>
      </c>
      <c r="F37" s="7" t="s">
        <v>195</v>
      </c>
      <c r="G37" s="7" t="s">
        <v>195</v>
      </c>
      <c r="H37" s="7" t="s">
        <v>195</v>
      </c>
      <c r="I37" s="7" t="s">
        <v>195</v>
      </c>
      <c r="J37" s="7" t="s">
        <v>195</v>
      </c>
      <c r="K37" s="7" t="s">
        <v>195</v>
      </c>
      <c r="L37" s="7" t="s">
        <v>195</v>
      </c>
      <c r="M37" s="7" t="s">
        <v>29</v>
      </c>
      <c r="N37" s="7" t="s">
        <v>29</v>
      </c>
      <c r="O37" s="7" t="s">
        <v>29</v>
      </c>
      <c r="P37" s="7" t="s">
        <v>29</v>
      </c>
      <c r="Q37" s="7" t="s">
        <v>29</v>
      </c>
      <c r="R37" s="7" t="s">
        <v>29</v>
      </c>
      <c r="S37" s="7" t="s">
        <v>29</v>
      </c>
    </row>
    <row r="38" spans="2:19">
      <c r="B38" s="7" t="s">
        <v>195</v>
      </c>
      <c r="C38" s="8" t="s">
        <v>195</v>
      </c>
      <c r="D38" s="6" t="str">
        <f>LRTRIM(CONCATENATE(IF(SUMPRODUCT(-- ISNUMBER(SEARCH({"Auto Number"}, $B38))) &gt; 0, $B38, IF(SUMPRODUCT(-- ISNUMBER(SEARCH({"Lookup","Master-Detail"}, $B38))) &gt; 0,$B38 &amp; "(" &amp; $E38 &amp; ")",IF(SUMPRODUCT(-- ISNUMBER(SEARCH({"Formula","Roll-Up Summary"}, $B38))) &gt; 0,$B38 &amp; " (" &amp; $E38 &amp; ")",IF(SUMPRODUCT(-- ISNUMBER(SEARCH({"Content","Currency","Number","Percent","Text","URL"}, $B38))) &gt; 0,$B38 &amp; "(" &amp; $C38 &amp; ")",$B38)))), "  ", TRIM(IF($S38 = "YES", "(External ID)", "") &amp; " " &amp; IF(SUMPRODUCT(-- ISNUMBER(SEARCH({"Unique","Unique Case Insensitive"}, $R38))) &gt; 0, "(" &amp; $R38 &amp; ")", ""))))</f>
        <v>na</v>
      </c>
      <c r="E38" s="7" t="s">
        <v>195</v>
      </c>
      <c r="F38" s="7" t="s">
        <v>195</v>
      </c>
      <c r="G38" s="7" t="s">
        <v>195</v>
      </c>
      <c r="H38" s="7" t="s">
        <v>195</v>
      </c>
      <c r="I38" s="7" t="s">
        <v>195</v>
      </c>
      <c r="J38" s="7" t="s">
        <v>195</v>
      </c>
      <c r="K38" s="7" t="s">
        <v>195</v>
      </c>
      <c r="L38" s="7" t="s">
        <v>195</v>
      </c>
      <c r="M38" s="7" t="s">
        <v>29</v>
      </c>
      <c r="N38" s="7" t="s">
        <v>29</v>
      </c>
      <c r="O38" s="7" t="s">
        <v>29</v>
      </c>
      <c r="P38" s="7" t="s">
        <v>29</v>
      </c>
      <c r="Q38" s="7" t="s">
        <v>29</v>
      </c>
      <c r="R38" s="7" t="s">
        <v>29</v>
      </c>
      <c r="S38" s="7" t="s">
        <v>29</v>
      </c>
    </row>
    <row r="39" spans="2:19">
      <c r="B39" s="7" t="s">
        <v>195</v>
      </c>
      <c r="C39" s="8" t="s">
        <v>195</v>
      </c>
      <c r="D39" s="6" t="str">
        <f>LRTRIM(CONCATENATE(IF(SUMPRODUCT(-- ISNUMBER(SEARCH({"Auto Number"}, $B39))) &gt; 0, $B39, IF(SUMPRODUCT(-- ISNUMBER(SEARCH({"Lookup","Master-Detail"}, $B39))) &gt; 0,$B39 &amp; "(" &amp; $E39 &amp; ")",IF(SUMPRODUCT(-- ISNUMBER(SEARCH({"Formula","Roll-Up Summary"}, $B39))) &gt; 0,$B39 &amp; " (" &amp; $E39 &amp; ")",IF(SUMPRODUCT(-- ISNUMBER(SEARCH({"Content","Currency","Number","Percent","Text","URL"}, $B39))) &gt; 0,$B39 &amp; "(" &amp; $C39 &amp; ")",$B39)))), "  ", TRIM(IF($S39 = "YES", "(External ID)", "") &amp; " " &amp; IF(SUMPRODUCT(-- ISNUMBER(SEARCH({"Unique","Unique Case Insensitive"}, $R39))) &gt; 0, "(" &amp; $R39 &amp; ")", ""))))</f>
        <v>na</v>
      </c>
      <c r="E39" s="7" t="s">
        <v>195</v>
      </c>
      <c r="F39" s="7" t="s">
        <v>195</v>
      </c>
      <c r="G39" s="7" t="s">
        <v>195</v>
      </c>
      <c r="H39" s="7" t="s">
        <v>195</v>
      </c>
      <c r="I39" s="7" t="s">
        <v>195</v>
      </c>
      <c r="J39" s="7" t="s">
        <v>195</v>
      </c>
      <c r="K39" s="7" t="s">
        <v>195</v>
      </c>
      <c r="L39" s="7" t="s">
        <v>195</v>
      </c>
      <c r="M39" s="7" t="s">
        <v>29</v>
      </c>
      <c r="N39" s="7" t="s">
        <v>29</v>
      </c>
      <c r="O39" s="7" t="s">
        <v>29</v>
      </c>
      <c r="P39" s="7" t="s">
        <v>29</v>
      </c>
      <c r="Q39" s="7" t="s">
        <v>29</v>
      </c>
      <c r="R39" s="7" t="s">
        <v>29</v>
      </c>
      <c r="S39" s="7" t="s">
        <v>29</v>
      </c>
    </row>
    <row r="40" spans="2:19">
      <c r="B40" s="7" t="s">
        <v>195</v>
      </c>
      <c r="C40" s="8" t="s">
        <v>195</v>
      </c>
      <c r="D40" s="6" t="str">
        <f>LRTRIM(CONCATENATE(IF(SUMPRODUCT(-- ISNUMBER(SEARCH({"Auto Number"}, $B40))) &gt; 0, $B40, IF(SUMPRODUCT(-- ISNUMBER(SEARCH({"Lookup","Master-Detail"}, $B40))) &gt; 0,$B40 &amp; "(" &amp; $E40 &amp; ")",IF(SUMPRODUCT(-- ISNUMBER(SEARCH({"Formula","Roll-Up Summary"}, $B40))) &gt; 0,$B40 &amp; " (" &amp; $E40 &amp; ")",IF(SUMPRODUCT(-- ISNUMBER(SEARCH({"Content","Currency","Number","Percent","Text","URL"}, $B40))) &gt; 0,$B40 &amp; "(" &amp; $C40 &amp; ")",$B40)))), "  ", TRIM(IF($S40 = "YES", "(External ID)", "") &amp; " " &amp; IF(SUMPRODUCT(-- ISNUMBER(SEARCH({"Unique","Unique Case Insensitive"}, $R40))) &gt; 0, "(" &amp; $R40 &amp; ")", ""))))</f>
        <v>na</v>
      </c>
      <c r="E40" s="7" t="s">
        <v>195</v>
      </c>
      <c r="F40" s="7" t="s">
        <v>195</v>
      </c>
      <c r="G40" s="7" t="s">
        <v>195</v>
      </c>
      <c r="H40" s="7" t="s">
        <v>195</v>
      </c>
      <c r="I40" s="7" t="s">
        <v>195</v>
      </c>
      <c r="J40" s="7" t="s">
        <v>195</v>
      </c>
      <c r="K40" s="7" t="s">
        <v>195</v>
      </c>
      <c r="L40" s="7" t="s">
        <v>195</v>
      </c>
      <c r="M40" s="7" t="s">
        <v>29</v>
      </c>
      <c r="N40" s="7" t="s">
        <v>29</v>
      </c>
      <c r="O40" s="7" t="s">
        <v>29</v>
      </c>
      <c r="P40" s="7" t="s">
        <v>29</v>
      </c>
      <c r="Q40" s="7" t="s">
        <v>29</v>
      </c>
      <c r="R40" s="7" t="s">
        <v>29</v>
      </c>
      <c r="S40" s="7" t="s">
        <v>29</v>
      </c>
    </row>
    <row r="41" spans="2:19">
      <c r="B41" s="7" t="s">
        <v>195</v>
      </c>
      <c r="C41" s="8" t="s">
        <v>195</v>
      </c>
      <c r="D41" s="6" t="str">
        <f>LRTRIM(CONCATENATE(IF(SUMPRODUCT(-- ISNUMBER(SEARCH({"Auto Number"}, $B41))) &gt; 0, $B41, IF(SUMPRODUCT(-- ISNUMBER(SEARCH({"Lookup","Master-Detail"}, $B41))) &gt; 0,$B41 &amp; "(" &amp; $E41 &amp; ")",IF(SUMPRODUCT(-- ISNUMBER(SEARCH({"Formula","Roll-Up Summary"}, $B41))) &gt; 0,$B41 &amp; " (" &amp; $E41 &amp; ")",IF(SUMPRODUCT(-- ISNUMBER(SEARCH({"Content","Currency","Number","Percent","Text","URL"}, $B41))) &gt; 0,$B41 &amp; "(" &amp; $C41 &amp; ")",$B41)))), "  ", TRIM(IF($S41 = "YES", "(External ID)", "") &amp; " " &amp; IF(SUMPRODUCT(-- ISNUMBER(SEARCH({"Unique","Unique Case Insensitive"}, $R41))) &gt; 0, "(" &amp; $R41 &amp; ")", ""))))</f>
        <v>na</v>
      </c>
      <c r="E41" s="7" t="s">
        <v>195</v>
      </c>
      <c r="F41" s="7" t="s">
        <v>195</v>
      </c>
      <c r="G41" s="7" t="s">
        <v>195</v>
      </c>
      <c r="H41" s="7" t="s">
        <v>195</v>
      </c>
      <c r="I41" s="7" t="s">
        <v>195</v>
      </c>
      <c r="J41" s="7" t="s">
        <v>195</v>
      </c>
      <c r="K41" s="7" t="s">
        <v>195</v>
      </c>
      <c r="L41" s="7" t="s">
        <v>195</v>
      </c>
      <c r="M41" s="7" t="s">
        <v>29</v>
      </c>
      <c r="N41" s="7" t="s">
        <v>29</v>
      </c>
      <c r="O41" s="7" t="s">
        <v>29</v>
      </c>
      <c r="P41" s="7" t="s">
        <v>29</v>
      </c>
      <c r="Q41" s="7" t="s">
        <v>29</v>
      </c>
      <c r="R41" s="7" t="s">
        <v>29</v>
      </c>
      <c r="S41" s="7" t="s">
        <v>29</v>
      </c>
    </row>
    <row r="42" spans="2:19">
      <c r="B42" s="7" t="s">
        <v>195</v>
      </c>
      <c r="C42" s="8" t="s">
        <v>195</v>
      </c>
      <c r="D42" s="6" t="str">
        <f>LRTRIM(CONCATENATE(IF(SUMPRODUCT(-- ISNUMBER(SEARCH({"Auto Number"}, $B42))) &gt; 0, $B42, IF(SUMPRODUCT(-- ISNUMBER(SEARCH({"Lookup","Master-Detail"}, $B42))) &gt; 0,$B42 &amp; "(" &amp; $E42 &amp; ")",IF(SUMPRODUCT(-- ISNUMBER(SEARCH({"Formula","Roll-Up Summary"}, $B42))) &gt; 0,$B42 &amp; " (" &amp; $E42 &amp; ")",IF(SUMPRODUCT(-- ISNUMBER(SEARCH({"Content","Currency","Number","Percent","Text","URL"}, $B42))) &gt; 0,$B42 &amp; "(" &amp; $C42 &amp; ")",$B42)))), "  ", TRIM(IF($S42 = "YES", "(External ID)", "") &amp; " " &amp; IF(SUMPRODUCT(-- ISNUMBER(SEARCH({"Unique","Unique Case Insensitive"}, $R42))) &gt; 0, "(" &amp; $R42 &amp; ")", ""))))</f>
        <v>na</v>
      </c>
      <c r="E42" s="7" t="s">
        <v>195</v>
      </c>
      <c r="F42" s="7" t="s">
        <v>195</v>
      </c>
      <c r="G42" s="7" t="s">
        <v>195</v>
      </c>
      <c r="H42" s="7" t="s">
        <v>195</v>
      </c>
      <c r="I42" s="7" t="s">
        <v>195</v>
      </c>
      <c r="J42" s="7" t="s">
        <v>195</v>
      </c>
      <c r="K42" s="7" t="s">
        <v>195</v>
      </c>
      <c r="L42" s="7" t="s">
        <v>195</v>
      </c>
      <c r="M42" s="7" t="s">
        <v>29</v>
      </c>
      <c r="N42" s="7" t="s">
        <v>29</v>
      </c>
      <c r="O42" s="7" t="s">
        <v>29</v>
      </c>
      <c r="P42" s="7" t="s">
        <v>29</v>
      </c>
      <c r="Q42" s="7" t="s">
        <v>29</v>
      </c>
      <c r="R42" s="7" t="s">
        <v>29</v>
      </c>
      <c r="S42" s="7" t="s">
        <v>29</v>
      </c>
    </row>
    <row r="43" spans="2:19">
      <c r="B43" s="7" t="s">
        <v>195</v>
      </c>
      <c r="C43" s="8" t="s">
        <v>195</v>
      </c>
      <c r="D43" s="6" t="str">
        <f>LRTRIM(CONCATENATE(IF(SUMPRODUCT(-- ISNUMBER(SEARCH({"Auto Number"}, $B43))) &gt; 0, $B43, IF(SUMPRODUCT(-- ISNUMBER(SEARCH({"Lookup","Master-Detail"}, $B43))) &gt; 0,$B43 &amp; "(" &amp; $E43 &amp; ")",IF(SUMPRODUCT(-- ISNUMBER(SEARCH({"Formula","Roll-Up Summary"}, $B43))) &gt; 0,$B43 &amp; " (" &amp; $E43 &amp; ")",IF(SUMPRODUCT(-- ISNUMBER(SEARCH({"Content","Currency","Number","Percent","Text","URL"}, $B43))) &gt; 0,$B43 &amp; "(" &amp; $C43 &amp; ")",$B43)))), "  ", TRIM(IF($S43 = "YES", "(External ID)", "") &amp; " " &amp; IF(SUMPRODUCT(-- ISNUMBER(SEARCH({"Unique","Unique Case Insensitive"}, $R43))) &gt; 0, "(" &amp; $R43 &amp; ")", ""))))</f>
        <v>na</v>
      </c>
      <c r="E43" s="7" t="s">
        <v>195</v>
      </c>
      <c r="F43" s="7" t="s">
        <v>195</v>
      </c>
      <c r="G43" s="7" t="s">
        <v>195</v>
      </c>
      <c r="H43" s="7" t="s">
        <v>195</v>
      </c>
      <c r="I43" s="7" t="s">
        <v>195</v>
      </c>
      <c r="J43" s="7" t="s">
        <v>195</v>
      </c>
      <c r="K43" s="7" t="s">
        <v>195</v>
      </c>
      <c r="L43" s="7" t="s">
        <v>195</v>
      </c>
      <c r="M43" s="7" t="s">
        <v>29</v>
      </c>
      <c r="N43" s="7" t="s">
        <v>29</v>
      </c>
      <c r="O43" s="7" t="s">
        <v>29</v>
      </c>
      <c r="P43" s="7" t="s">
        <v>29</v>
      </c>
      <c r="Q43" s="7" t="s">
        <v>29</v>
      </c>
      <c r="R43" s="7" t="s">
        <v>29</v>
      </c>
      <c r="S43" s="7" t="s">
        <v>29</v>
      </c>
    </row>
    <row r="44" spans="2:19">
      <c r="B44" s="7" t="s">
        <v>195</v>
      </c>
      <c r="C44" s="8" t="s">
        <v>195</v>
      </c>
      <c r="D44" s="6" t="str">
        <f>LRTRIM(CONCATENATE(IF(SUMPRODUCT(-- ISNUMBER(SEARCH({"Auto Number"}, $B44))) &gt; 0, $B44, IF(SUMPRODUCT(-- ISNUMBER(SEARCH({"Lookup","Master-Detail"}, $B44))) &gt; 0,$B44 &amp; "(" &amp; $E44 &amp; ")",IF(SUMPRODUCT(-- ISNUMBER(SEARCH({"Formula","Roll-Up Summary"}, $B44))) &gt; 0,$B44 &amp; " (" &amp; $E44 &amp; ")",IF(SUMPRODUCT(-- ISNUMBER(SEARCH({"Content","Currency","Number","Percent","Text","URL"}, $B44))) &gt; 0,$B44 &amp; "(" &amp; $C44 &amp; ")",$B44)))), "  ", TRIM(IF($S44 = "YES", "(External ID)", "") &amp; " " &amp; IF(SUMPRODUCT(-- ISNUMBER(SEARCH({"Unique","Unique Case Insensitive"}, $R44))) &gt; 0, "(" &amp; $R44 &amp; ")", ""))))</f>
        <v>na</v>
      </c>
      <c r="E44" s="7" t="s">
        <v>195</v>
      </c>
      <c r="F44" s="7" t="s">
        <v>195</v>
      </c>
      <c r="G44" s="7" t="s">
        <v>195</v>
      </c>
      <c r="H44" s="7" t="s">
        <v>195</v>
      </c>
      <c r="I44" s="7" t="s">
        <v>195</v>
      </c>
      <c r="J44" s="7" t="s">
        <v>195</v>
      </c>
      <c r="K44" s="7" t="s">
        <v>195</v>
      </c>
      <c r="L44" s="7" t="s">
        <v>195</v>
      </c>
      <c r="M44" s="7" t="s">
        <v>29</v>
      </c>
      <c r="N44" s="7" t="s">
        <v>29</v>
      </c>
      <c r="O44" s="7" t="s">
        <v>29</v>
      </c>
      <c r="P44" s="7" t="s">
        <v>29</v>
      </c>
      <c r="Q44" s="7" t="s">
        <v>29</v>
      </c>
      <c r="R44" s="7" t="s">
        <v>29</v>
      </c>
      <c r="S44" s="7" t="s">
        <v>29</v>
      </c>
    </row>
    <row r="45" spans="2:19">
      <c r="B45" s="7" t="s">
        <v>195</v>
      </c>
      <c r="C45" s="8" t="s">
        <v>195</v>
      </c>
      <c r="D45" s="6" t="str">
        <f>LRTRIM(CONCATENATE(IF(SUMPRODUCT(-- ISNUMBER(SEARCH({"Auto Number"}, $B45))) &gt; 0, $B45, IF(SUMPRODUCT(-- ISNUMBER(SEARCH({"Lookup","Master-Detail"}, $B45))) &gt; 0,$B45 &amp; "(" &amp; $E45 &amp; ")",IF(SUMPRODUCT(-- ISNUMBER(SEARCH({"Formula","Roll-Up Summary"}, $B45))) &gt; 0,$B45 &amp; " (" &amp; $E45 &amp; ")",IF(SUMPRODUCT(-- ISNUMBER(SEARCH({"Content","Currency","Number","Percent","Text","URL"}, $B45))) &gt; 0,$B45 &amp; "(" &amp; $C45 &amp; ")",$B45)))), "  ", TRIM(IF($S45 = "YES", "(External ID)", "") &amp; " " &amp; IF(SUMPRODUCT(-- ISNUMBER(SEARCH({"Unique","Unique Case Insensitive"}, $R45))) &gt; 0, "(" &amp; $R45 &amp; ")", ""))))</f>
        <v>na</v>
      </c>
      <c r="E45" s="7" t="s">
        <v>195</v>
      </c>
      <c r="F45" s="7" t="s">
        <v>195</v>
      </c>
      <c r="G45" s="7" t="s">
        <v>195</v>
      </c>
      <c r="H45" s="7" t="s">
        <v>195</v>
      </c>
      <c r="I45" s="7" t="s">
        <v>195</v>
      </c>
      <c r="J45" s="7" t="s">
        <v>195</v>
      </c>
      <c r="K45" s="7" t="s">
        <v>195</v>
      </c>
      <c r="L45" s="7" t="s">
        <v>195</v>
      </c>
      <c r="M45" s="7" t="s">
        <v>29</v>
      </c>
      <c r="N45" s="7" t="s">
        <v>29</v>
      </c>
      <c r="O45" s="7" t="s">
        <v>29</v>
      </c>
      <c r="P45" s="7" t="s">
        <v>29</v>
      </c>
      <c r="Q45" s="7" t="s">
        <v>29</v>
      </c>
      <c r="R45" s="7" t="s">
        <v>29</v>
      </c>
      <c r="S45" s="7" t="s">
        <v>29</v>
      </c>
    </row>
    <row r="46" spans="2:19">
      <c r="B46" s="7" t="s">
        <v>195</v>
      </c>
      <c r="C46" s="8" t="s">
        <v>195</v>
      </c>
      <c r="D46" s="6" t="str">
        <f>LRTRIM(CONCATENATE(IF(SUMPRODUCT(-- ISNUMBER(SEARCH({"Auto Number"}, $B46))) &gt; 0, $B46, IF(SUMPRODUCT(-- ISNUMBER(SEARCH({"Lookup","Master-Detail"}, $B46))) &gt; 0,$B46 &amp; "(" &amp; $E46 &amp; ")",IF(SUMPRODUCT(-- ISNUMBER(SEARCH({"Formula","Roll-Up Summary"}, $B46))) &gt; 0,$B46 &amp; " (" &amp; $E46 &amp; ")",IF(SUMPRODUCT(-- ISNUMBER(SEARCH({"Content","Currency","Number","Percent","Text","URL"}, $B46))) &gt; 0,$B46 &amp; "(" &amp; $C46 &amp; ")",$B46)))), "  ", TRIM(IF($S46 = "YES", "(External ID)", "") &amp; " " &amp; IF(SUMPRODUCT(-- ISNUMBER(SEARCH({"Unique","Unique Case Insensitive"}, $R46))) &gt; 0, "(" &amp; $R46 &amp; ")", ""))))</f>
        <v>na</v>
      </c>
      <c r="E46" s="7" t="s">
        <v>195</v>
      </c>
      <c r="F46" s="7" t="s">
        <v>195</v>
      </c>
      <c r="G46" s="7" t="s">
        <v>195</v>
      </c>
      <c r="H46" s="7" t="s">
        <v>195</v>
      </c>
      <c r="I46" s="7" t="s">
        <v>195</v>
      </c>
      <c r="J46" s="7" t="s">
        <v>195</v>
      </c>
      <c r="K46" s="7" t="s">
        <v>195</v>
      </c>
      <c r="L46" s="7" t="s">
        <v>195</v>
      </c>
      <c r="M46" s="7" t="s">
        <v>29</v>
      </c>
      <c r="N46" s="7" t="s">
        <v>29</v>
      </c>
      <c r="O46" s="7" t="s">
        <v>29</v>
      </c>
      <c r="P46" s="7" t="s">
        <v>29</v>
      </c>
      <c r="Q46" s="7" t="s">
        <v>29</v>
      </c>
      <c r="R46" s="7" t="s">
        <v>29</v>
      </c>
      <c r="S46" s="7" t="s">
        <v>29</v>
      </c>
    </row>
    <row r="47" spans="2:19">
      <c r="B47" s="7" t="s">
        <v>195</v>
      </c>
      <c r="C47" s="8" t="s">
        <v>195</v>
      </c>
      <c r="D47" s="6" t="str">
        <f>LRTRIM(CONCATENATE(IF(SUMPRODUCT(-- ISNUMBER(SEARCH({"Auto Number"}, $B47))) &gt; 0, $B47, IF(SUMPRODUCT(-- ISNUMBER(SEARCH({"Lookup","Master-Detail"}, $B47))) &gt; 0,$B47 &amp; "(" &amp; $E47 &amp; ")",IF(SUMPRODUCT(-- ISNUMBER(SEARCH({"Formula","Roll-Up Summary"}, $B47))) &gt; 0,$B47 &amp; " (" &amp; $E47 &amp; ")",IF(SUMPRODUCT(-- ISNUMBER(SEARCH({"Content","Currency","Number","Percent","Text","URL"}, $B47))) &gt; 0,$B47 &amp; "(" &amp; $C47 &amp; ")",$B47)))), "  ", TRIM(IF($S47 = "YES", "(External ID)", "") &amp; " " &amp; IF(SUMPRODUCT(-- ISNUMBER(SEARCH({"Unique","Unique Case Insensitive"}, $R47))) &gt; 0, "(" &amp; $R47 &amp; ")", ""))))</f>
        <v>na</v>
      </c>
      <c r="E47" s="7" t="s">
        <v>195</v>
      </c>
      <c r="F47" s="7" t="s">
        <v>195</v>
      </c>
      <c r="G47" s="7" t="s">
        <v>195</v>
      </c>
      <c r="H47" s="7" t="s">
        <v>195</v>
      </c>
      <c r="I47" s="7" t="s">
        <v>195</v>
      </c>
      <c r="J47" s="7" t="s">
        <v>195</v>
      </c>
      <c r="K47" s="7" t="s">
        <v>195</v>
      </c>
      <c r="L47" s="7" t="s">
        <v>195</v>
      </c>
      <c r="M47" s="7" t="s">
        <v>29</v>
      </c>
      <c r="N47" s="7" t="s">
        <v>29</v>
      </c>
      <c r="O47" s="7" t="s">
        <v>29</v>
      </c>
      <c r="P47" s="7" t="s">
        <v>29</v>
      </c>
      <c r="Q47" s="7" t="s">
        <v>29</v>
      </c>
      <c r="R47" s="7" t="s">
        <v>29</v>
      </c>
      <c r="S47" s="7" t="s">
        <v>29</v>
      </c>
    </row>
    <row r="48" spans="2:19">
      <c r="B48" s="7" t="s">
        <v>195</v>
      </c>
      <c r="C48" s="8" t="s">
        <v>195</v>
      </c>
      <c r="D48" s="6" t="str">
        <f>LRTRIM(CONCATENATE(IF(SUMPRODUCT(-- ISNUMBER(SEARCH({"Auto Number"}, $B48))) &gt; 0, $B48, IF(SUMPRODUCT(-- ISNUMBER(SEARCH({"Lookup","Master-Detail"}, $B48))) &gt; 0,$B48 &amp; "(" &amp; $E48 &amp; ")",IF(SUMPRODUCT(-- ISNUMBER(SEARCH({"Formula","Roll-Up Summary"}, $B48))) &gt; 0,$B48 &amp; " (" &amp; $E48 &amp; ")",IF(SUMPRODUCT(-- ISNUMBER(SEARCH({"Content","Currency","Number","Percent","Text","URL"}, $B48))) &gt; 0,$B48 &amp; "(" &amp; $C48 &amp; ")",$B48)))), "  ", TRIM(IF($S48 = "YES", "(External ID)", "") &amp; " " &amp; IF(SUMPRODUCT(-- ISNUMBER(SEARCH({"Unique","Unique Case Insensitive"}, $R48))) &gt; 0, "(" &amp; $R48 &amp; ")", ""))))</f>
        <v>na</v>
      </c>
      <c r="E48" s="7" t="s">
        <v>195</v>
      </c>
      <c r="F48" s="7" t="s">
        <v>195</v>
      </c>
      <c r="G48" s="7" t="s">
        <v>195</v>
      </c>
      <c r="H48" s="7" t="s">
        <v>195</v>
      </c>
      <c r="I48" s="7" t="s">
        <v>195</v>
      </c>
      <c r="J48" s="7" t="s">
        <v>195</v>
      </c>
      <c r="K48" s="7" t="s">
        <v>195</v>
      </c>
      <c r="L48" s="7" t="s">
        <v>195</v>
      </c>
      <c r="M48" s="7" t="s">
        <v>29</v>
      </c>
      <c r="N48" s="7" t="s">
        <v>29</v>
      </c>
      <c r="O48" s="7" t="s">
        <v>29</v>
      </c>
      <c r="P48" s="7" t="s">
        <v>29</v>
      </c>
      <c r="Q48" s="7" t="s">
        <v>29</v>
      </c>
      <c r="R48" s="7" t="s">
        <v>29</v>
      </c>
      <c r="S48" s="7" t="s">
        <v>29</v>
      </c>
    </row>
    <row r="49" spans="2:19">
      <c r="B49" s="7" t="s">
        <v>195</v>
      </c>
      <c r="C49" s="8" t="s">
        <v>195</v>
      </c>
      <c r="D49" s="6" t="str">
        <f>LRTRIM(CONCATENATE(IF(SUMPRODUCT(-- ISNUMBER(SEARCH({"Auto Number"}, $B49))) &gt; 0, $B49, IF(SUMPRODUCT(-- ISNUMBER(SEARCH({"Lookup","Master-Detail"}, $B49))) &gt; 0,$B49 &amp; "(" &amp; $E49 &amp; ")",IF(SUMPRODUCT(-- ISNUMBER(SEARCH({"Formula","Roll-Up Summary"}, $B49))) &gt; 0,$B49 &amp; " (" &amp; $E49 &amp; ")",IF(SUMPRODUCT(-- ISNUMBER(SEARCH({"Content","Currency","Number","Percent","Text","URL"}, $B49))) &gt; 0,$B49 &amp; "(" &amp; $C49 &amp; ")",$B49)))), "  ", TRIM(IF($S49 = "YES", "(External ID)", "") &amp; " " &amp; IF(SUMPRODUCT(-- ISNUMBER(SEARCH({"Unique","Unique Case Insensitive"}, $R49))) &gt; 0, "(" &amp; $R49 &amp; ")", ""))))</f>
        <v>na</v>
      </c>
      <c r="E49" s="7" t="s">
        <v>195</v>
      </c>
      <c r="F49" s="7" t="s">
        <v>195</v>
      </c>
      <c r="G49" s="7" t="s">
        <v>195</v>
      </c>
      <c r="H49" s="7" t="s">
        <v>195</v>
      </c>
      <c r="I49" s="7" t="s">
        <v>195</v>
      </c>
      <c r="J49" s="7" t="s">
        <v>195</v>
      </c>
      <c r="K49" s="7" t="s">
        <v>195</v>
      </c>
      <c r="L49" s="7" t="s">
        <v>195</v>
      </c>
      <c r="M49" s="7" t="s">
        <v>29</v>
      </c>
      <c r="N49" s="7" t="s">
        <v>29</v>
      </c>
      <c r="O49" s="7" t="s">
        <v>29</v>
      </c>
      <c r="P49" s="7" t="s">
        <v>29</v>
      </c>
      <c r="Q49" s="7" t="s">
        <v>29</v>
      </c>
      <c r="R49" s="7" t="s">
        <v>29</v>
      </c>
      <c r="S49" s="7" t="s">
        <v>29</v>
      </c>
    </row>
    <row r="50" spans="2:19">
      <c r="B50" s="7" t="s">
        <v>195</v>
      </c>
      <c r="C50" s="8" t="s">
        <v>195</v>
      </c>
      <c r="D50" s="6" t="str">
        <f>LRTRIM(CONCATENATE(IF(SUMPRODUCT(-- ISNUMBER(SEARCH({"Auto Number"}, $B50))) &gt; 0, $B50, IF(SUMPRODUCT(-- ISNUMBER(SEARCH({"Lookup","Master-Detail"}, $B50))) &gt; 0,$B50 &amp; "(" &amp; $E50 &amp; ")",IF(SUMPRODUCT(-- ISNUMBER(SEARCH({"Formula","Roll-Up Summary"}, $B50))) &gt; 0,$B50 &amp; " (" &amp; $E50 &amp; ")",IF(SUMPRODUCT(-- ISNUMBER(SEARCH({"Content","Currency","Number","Percent","Text","URL"}, $B50))) &gt; 0,$B50 &amp; "(" &amp; $C50 &amp; ")",$B50)))), "  ", TRIM(IF($S50 = "YES", "(External ID)", "") &amp; " " &amp; IF(SUMPRODUCT(-- ISNUMBER(SEARCH({"Unique","Unique Case Insensitive"}, $R50))) &gt; 0, "(" &amp; $R50 &amp; ")", ""))))</f>
        <v>na</v>
      </c>
      <c r="E50" s="7" t="s">
        <v>195</v>
      </c>
      <c r="F50" s="7" t="s">
        <v>195</v>
      </c>
      <c r="G50" s="7" t="s">
        <v>195</v>
      </c>
      <c r="H50" s="7" t="s">
        <v>195</v>
      </c>
      <c r="I50" s="7" t="s">
        <v>195</v>
      </c>
      <c r="J50" s="7" t="s">
        <v>195</v>
      </c>
      <c r="K50" s="7" t="s">
        <v>195</v>
      </c>
      <c r="L50" s="7" t="s">
        <v>195</v>
      </c>
      <c r="M50" s="7" t="s">
        <v>29</v>
      </c>
      <c r="N50" s="7" t="s">
        <v>29</v>
      </c>
      <c r="O50" s="7" t="s">
        <v>29</v>
      </c>
      <c r="P50" s="7" t="s">
        <v>29</v>
      </c>
      <c r="Q50" s="7" t="s">
        <v>29</v>
      </c>
      <c r="R50" s="7" t="s">
        <v>29</v>
      </c>
      <c r="S50" s="7" t="s">
        <v>29</v>
      </c>
    </row>
    <row r="51" spans="2:19">
      <c r="B51" s="7" t="s">
        <v>195</v>
      </c>
      <c r="C51" s="8" t="s">
        <v>195</v>
      </c>
      <c r="D51" s="6" t="str">
        <f>LRTRIM(CONCATENATE(IF(SUMPRODUCT(-- ISNUMBER(SEARCH({"Auto Number"}, $B51))) &gt; 0, $B51, IF(SUMPRODUCT(-- ISNUMBER(SEARCH({"Lookup","Master-Detail"}, $B51))) &gt; 0,$B51 &amp; "(" &amp; $E51 &amp; ")",IF(SUMPRODUCT(-- ISNUMBER(SEARCH({"Formula","Roll-Up Summary"}, $B51))) &gt; 0,$B51 &amp; " (" &amp; $E51 &amp; ")",IF(SUMPRODUCT(-- ISNUMBER(SEARCH({"Content","Currency","Number","Percent","Text","URL"}, $B51))) &gt; 0,$B51 &amp; "(" &amp; $C51 &amp; ")",$B51)))), "  ", TRIM(IF($S51 = "YES", "(External ID)", "") &amp; " " &amp; IF(SUMPRODUCT(-- ISNUMBER(SEARCH({"Unique","Unique Case Insensitive"}, $R51))) &gt; 0, "(" &amp; $R51 &amp; ")", ""))))</f>
        <v>na</v>
      </c>
      <c r="E51" s="7" t="s">
        <v>195</v>
      </c>
      <c r="F51" s="7" t="s">
        <v>195</v>
      </c>
      <c r="G51" s="7" t="s">
        <v>195</v>
      </c>
      <c r="H51" s="7" t="s">
        <v>195</v>
      </c>
      <c r="I51" s="7" t="s">
        <v>195</v>
      </c>
      <c r="J51" s="7" t="s">
        <v>195</v>
      </c>
      <c r="K51" s="7" t="s">
        <v>195</v>
      </c>
      <c r="L51" s="7" t="s">
        <v>195</v>
      </c>
      <c r="M51" s="7" t="s">
        <v>29</v>
      </c>
      <c r="N51" s="7" t="s">
        <v>29</v>
      </c>
      <c r="O51" s="7" t="s">
        <v>29</v>
      </c>
      <c r="P51" s="7" t="s">
        <v>29</v>
      </c>
      <c r="Q51" s="7" t="s">
        <v>29</v>
      </c>
      <c r="R51" s="7" t="s">
        <v>29</v>
      </c>
      <c r="S51" s="7" t="s">
        <v>29</v>
      </c>
    </row>
    <row r="52" spans="2:19">
      <c r="B52" s="7" t="s">
        <v>195</v>
      </c>
      <c r="C52" s="8" t="s">
        <v>195</v>
      </c>
      <c r="D52" s="6" t="str">
        <f>LRTRIM(CONCATENATE(IF(SUMPRODUCT(-- ISNUMBER(SEARCH({"Auto Number"}, $B52))) &gt; 0, $B52, IF(SUMPRODUCT(-- ISNUMBER(SEARCH({"Lookup","Master-Detail"}, $B52))) &gt; 0,$B52 &amp; "(" &amp; $E52 &amp; ")",IF(SUMPRODUCT(-- ISNUMBER(SEARCH({"Formula","Roll-Up Summary"}, $B52))) &gt; 0,$B52 &amp; " (" &amp; $E52 &amp; ")",IF(SUMPRODUCT(-- ISNUMBER(SEARCH({"Content","Currency","Number","Percent","Text","URL"}, $B52))) &gt; 0,$B52 &amp; "(" &amp; $C52 &amp; ")",$B52)))), "  ", TRIM(IF($S52 = "YES", "(External ID)", "") &amp; " " &amp; IF(SUMPRODUCT(-- ISNUMBER(SEARCH({"Unique","Unique Case Insensitive"}, $R52))) &gt; 0, "(" &amp; $R52 &amp; ")", ""))))</f>
        <v>na</v>
      </c>
      <c r="E52" s="7" t="s">
        <v>195</v>
      </c>
      <c r="F52" s="7" t="s">
        <v>195</v>
      </c>
      <c r="G52" s="7" t="s">
        <v>195</v>
      </c>
      <c r="H52" s="7" t="s">
        <v>195</v>
      </c>
      <c r="I52" s="7" t="s">
        <v>195</v>
      </c>
      <c r="J52" s="7" t="s">
        <v>195</v>
      </c>
      <c r="K52" s="7" t="s">
        <v>195</v>
      </c>
      <c r="L52" s="7" t="s">
        <v>195</v>
      </c>
      <c r="M52" s="7" t="s">
        <v>29</v>
      </c>
      <c r="N52" s="7" t="s">
        <v>29</v>
      </c>
      <c r="O52" s="7" t="s">
        <v>29</v>
      </c>
      <c r="P52" s="7" t="s">
        <v>29</v>
      </c>
      <c r="Q52" s="7" t="s">
        <v>29</v>
      </c>
      <c r="R52" s="7" t="s">
        <v>29</v>
      </c>
      <c r="S52" s="7" t="s">
        <v>29</v>
      </c>
    </row>
    <row r="53" spans="2:19">
      <c r="B53" s="7" t="s">
        <v>195</v>
      </c>
      <c r="C53" s="8" t="s">
        <v>195</v>
      </c>
      <c r="D53" s="6" t="str">
        <f>LRTRIM(CONCATENATE(IF(SUMPRODUCT(-- ISNUMBER(SEARCH({"Auto Number"}, $B53))) &gt; 0, $B53, IF(SUMPRODUCT(-- ISNUMBER(SEARCH({"Lookup","Master-Detail"}, $B53))) &gt; 0,$B53 &amp; "(" &amp; $E53 &amp; ")",IF(SUMPRODUCT(-- ISNUMBER(SEARCH({"Formula","Roll-Up Summary"}, $B53))) &gt; 0,$B53 &amp; " (" &amp; $E53 &amp; ")",IF(SUMPRODUCT(-- ISNUMBER(SEARCH({"Content","Currency","Number","Percent","Text","URL"}, $B53))) &gt; 0,$B53 &amp; "(" &amp; $C53 &amp; ")",$B53)))), "  ", TRIM(IF($S53 = "YES", "(External ID)", "") &amp; " " &amp; IF(SUMPRODUCT(-- ISNUMBER(SEARCH({"Unique","Unique Case Insensitive"}, $R53))) &gt; 0, "(" &amp; $R53 &amp; ")", ""))))</f>
        <v>na</v>
      </c>
      <c r="E53" s="7" t="s">
        <v>195</v>
      </c>
      <c r="F53" s="7" t="s">
        <v>195</v>
      </c>
      <c r="G53" s="7" t="s">
        <v>195</v>
      </c>
      <c r="H53" s="7" t="s">
        <v>195</v>
      </c>
      <c r="I53" s="7" t="s">
        <v>195</v>
      </c>
      <c r="J53" s="7" t="s">
        <v>195</v>
      </c>
      <c r="K53" s="7" t="s">
        <v>195</v>
      </c>
      <c r="L53" s="7" t="s">
        <v>195</v>
      </c>
      <c r="M53" s="7" t="s">
        <v>29</v>
      </c>
      <c r="N53" s="7" t="s">
        <v>29</v>
      </c>
      <c r="O53" s="7" t="s">
        <v>29</v>
      </c>
      <c r="P53" s="7" t="s">
        <v>29</v>
      </c>
      <c r="Q53" s="7" t="s">
        <v>29</v>
      </c>
      <c r="R53" s="7" t="s">
        <v>29</v>
      </c>
      <c r="S53" s="7" t="s">
        <v>29</v>
      </c>
    </row>
    <row r="54" spans="2:19">
      <c r="B54" s="7" t="s">
        <v>195</v>
      </c>
      <c r="C54" s="8" t="s">
        <v>195</v>
      </c>
      <c r="D54" s="6" t="str">
        <f>LRTRIM(CONCATENATE(IF(SUMPRODUCT(-- ISNUMBER(SEARCH({"Auto Number"}, $B54))) &gt; 0, $B54, IF(SUMPRODUCT(-- ISNUMBER(SEARCH({"Lookup","Master-Detail"}, $B54))) &gt; 0,$B54 &amp; "(" &amp; $E54 &amp; ")",IF(SUMPRODUCT(-- ISNUMBER(SEARCH({"Formula","Roll-Up Summary"}, $B54))) &gt; 0,$B54 &amp; " (" &amp; $E54 &amp; ")",IF(SUMPRODUCT(-- ISNUMBER(SEARCH({"Content","Currency","Number","Percent","Text","URL"}, $B54))) &gt; 0,$B54 &amp; "(" &amp; $C54 &amp; ")",$B54)))), "  ", TRIM(IF($S54 = "YES", "(External ID)", "") &amp; " " &amp; IF(SUMPRODUCT(-- ISNUMBER(SEARCH({"Unique","Unique Case Insensitive"}, $R54))) &gt; 0, "(" &amp; $R54 &amp; ")", ""))))</f>
        <v>na</v>
      </c>
      <c r="E54" s="7" t="s">
        <v>195</v>
      </c>
      <c r="F54" s="7" t="s">
        <v>195</v>
      </c>
      <c r="G54" s="7" t="s">
        <v>195</v>
      </c>
      <c r="H54" s="7" t="s">
        <v>195</v>
      </c>
      <c r="I54" s="7" t="s">
        <v>195</v>
      </c>
      <c r="J54" s="7" t="s">
        <v>195</v>
      </c>
      <c r="K54" s="7" t="s">
        <v>195</v>
      </c>
      <c r="L54" s="7" t="s">
        <v>195</v>
      </c>
      <c r="M54" s="7" t="s">
        <v>29</v>
      </c>
      <c r="N54" s="7" t="s">
        <v>29</v>
      </c>
      <c r="O54" s="7" t="s">
        <v>29</v>
      </c>
      <c r="P54" s="7" t="s">
        <v>29</v>
      </c>
      <c r="Q54" s="7" t="s">
        <v>29</v>
      </c>
      <c r="R54" s="7" t="s">
        <v>29</v>
      </c>
      <c r="S54" s="7" t="s">
        <v>29</v>
      </c>
    </row>
    <row r="55" spans="2:19">
      <c r="B55" s="7" t="s">
        <v>195</v>
      </c>
      <c r="C55" s="8" t="s">
        <v>195</v>
      </c>
      <c r="D55" s="6" t="str">
        <f>LRTRIM(CONCATENATE(IF(SUMPRODUCT(-- ISNUMBER(SEARCH({"Auto Number"}, $B55))) &gt; 0, $B55, IF(SUMPRODUCT(-- ISNUMBER(SEARCH({"Lookup","Master-Detail"}, $B55))) &gt; 0,$B55 &amp; "(" &amp; $E55 &amp; ")",IF(SUMPRODUCT(-- ISNUMBER(SEARCH({"Formula","Roll-Up Summary"}, $B55))) &gt; 0,$B55 &amp; " (" &amp; $E55 &amp; ")",IF(SUMPRODUCT(-- ISNUMBER(SEARCH({"Content","Currency","Number","Percent","Text","URL"}, $B55))) &gt; 0,$B55 &amp; "(" &amp; $C55 &amp; ")",$B55)))), "  ", TRIM(IF($S55 = "YES", "(External ID)", "") &amp; " " &amp; IF(SUMPRODUCT(-- ISNUMBER(SEARCH({"Unique","Unique Case Insensitive"}, $R55))) &gt; 0, "(" &amp; $R55 &amp; ")", ""))))</f>
        <v>na</v>
      </c>
      <c r="E55" s="7" t="s">
        <v>195</v>
      </c>
      <c r="F55" s="7" t="s">
        <v>195</v>
      </c>
      <c r="G55" s="7" t="s">
        <v>195</v>
      </c>
      <c r="H55" s="7" t="s">
        <v>195</v>
      </c>
      <c r="I55" s="7" t="s">
        <v>195</v>
      </c>
      <c r="J55" s="7" t="s">
        <v>195</v>
      </c>
      <c r="K55" s="7" t="s">
        <v>195</v>
      </c>
      <c r="L55" s="7" t="s">
        <v>195</v>
      </c>
      <c r="M55" s="7" t="s">
        <v>29</v>
      </c>
      <c r="N55" s="7" t="s">
        <v>29</v>
      </c>
      <c r="O55" s="7" t="s">
        <v>29</v>
      </c>
      <c r="P55" s="7" t="s">
        <v>29</v>
      </c>
      <c r="Q55" s="7" t="s">
        <v>29</v>
      </c>
      <c r="R55" s="7" t="s">
        <v>29</v>
      </c>
      <c r="S55" s="7" t="s">
        <v>29</v>
      </c>
    </row>
    <row r="56" spans="2:19">
      <c r="B56" s="7" t="s">
        <v>195</v>
      </c>
      <c r="C56" s="8" t="s">
        <v>195</v>
      </c>
      <c r="D56" s="6" t="str">
        <f>LRTRIM(CONCATENATE(IF(SUMPRODUCT(-- ISNUMBER(SEARCH({"Auto Number"}, $B56))) &gt; 0, $B56, IF(SUMPRODUCT(-- ISNUMBER(SEARCH({"Lookup","Master-Detail"}, $B56))) &gt; 0,$B56 &amp; "(" &amp; $E56 &amp; ")",IF(SUMPRODUCT(-- ISNUMBER(SEARCH({"Formula","Roll-Up Summary"}, $B56))) &gt; 0,$B56 &amp; " (" &amp; $E56 &amp; ")",IF(SUMPRODUCT(-- ISNUMBER(SEARCH({"Content","Currency","Number","Percent","Text","URL"}, $B56))) &gt; 0,$B56 &amp; "(" &amp; $C56 &amp; ")",$B56)))), "  ", TRIM(IF($S56 = "YES", "(External ID)", "") &amp; " " &amp; IF(SUMPRODUCT(-- ISNUMBER(SEARCH({"Unique","Unique Case Insensitive"}, $R56))) &gt; 0, "(" &amp; $R56 &amp; ")", ""))))</f>
        <v>na</v>
      </c>
      <c r="E56" s="7" t="s">
        <v>195</v>
      </c>
      <c r="F56" s="7" t="s">
        <v>195</v>
      </c>
      <c r="G56" s="7" t="s">
        <v>195</v>
      </c>
      <c r="H56" s="7" t="s">
        <v>195</v>
      </c>
      <c r="I56" s="7" t="s">
        <v>195</v>
      </c>
      <c r="J56" s="7" t="s">
        <v>195</v>
      </c>
      <c r="K56" s="7" t="s">
        <v>195</v>
      </c>
      <c r="L56" s="7" t="s">
        <v>195</v>
      </c>
      <c r="M56" s="7" t="s">
        <v>29</v>
      </c>
      <c r="N56" s="7" t="s">
        <v>29</v>
      </c>
      <c r="O56" s="7" t="s">
        <v>29</v>
      </c>
      <c r="P56" s="7" t="s">
        <v>29</v>
      </c>
      <c r="Q56" s="7" t="s">
        <v>29</v>
      </c>
      <c r="R56" s="7" t="s">
        <v>29</v>
      </c>
      <c r="S56" s="7" t="s">
        <v>29</v>
      </c>
    </row>
    <row r="57" spans="2:19">
      <c r="B57" s="7" t="s">
        <v>195</v>
      </c>
      <c r="C57" s="8" t="s">
        <v>195</v>
      </c>
      <c r="D57" s="6" t="str">
        <f>LRTRIM(CONCATENATE(IF(SUMPRODUCT(-- ISNUMBER(SEARCH({"Auto Number"}, $B57))) &gt; 0, $B57, IF(SUMPRODUCT(-- ISNUMBER(SEARCH({"Lookup","Master-Detail"}, $B57))) &gt; 0,$B57 &amp; "(" &amp; $E57 &amp; ")",IF(SUMPRODUCT(-- ISNUMBER(SEARCH({"Formula","Roll-Up Summary"}, $B57))) &gt; 0,$B57 &amp; " (" &amp; $E57 &amp; ")",IF(SUMPRODUCT(-- ISNUMBER(SEARCH({"Content","Currency","Number","Percent","Text","URL"}, $B57))) &gt; 0,$B57 &amp; "(" &amp; $C57 &amp; ")",$B57)))), "  ", TRIM(IF($S57 = "YES", "(External ID)", "") &amp; " " &amp; IF(SUMPRODUCT(-- ISNUMBER(SEARCH({"Unique","Unique Case Insensitive"}, $R57))) &gt; 0, "(" &amp; $R57 &amp; ")", ""))))</f>
        <v>na</v>
      </c>
      <c r="E57" s="7" t="s">
        <v>195</v>
      </c>
      <c r="F57" s="7" t="s">
        <v>195</v>
      </c>
      <c r="G57" s="7" t="s">
        <v>195</v>
      </c>
      <c r="H57" s="7" t="s">
        <v>195</v>
      </c>
      <c r="I57" s="7" t="s">
        <v>195</v>
      </c>
      <c r="J57" s="7" t="s">
        <v>195</v>
      </c>
      <c r="K57" s="7" t="s">
        <v>195</v>
      </c>
      <c r="L57" s="7" t="s">
        <v>195</v>
      </c>
      <c r="M57" s="7" t="s">
        <v>29</v>
      </c>
      <c r="N57" s="7" t="s">
        <v>29</v>
      </c>
      <c r="O57" s="7" t="s">
        <v>29</v>
      </c>
      <c r="P57" s="7" t="s">
        <v>29</v>
      </c>
      <c r="Q57" s="7" t="s">
        <v>29</v>
      </c>
      <c r="R57" s="7" t="s">
        <v>29</v>
      </c>
      <c r="S57" s="7" t="s">
        <v>29</v>
      </c>
    </row>
    <row r="58" spans="2:19">
      <c r="B58" s="7" t="s">
        <v>195</v>
      </c>
      <c r="C58" s="8" t="s">
        <v>195</v>
      </c>
      <c r="D58" s="6" t="str">
        <f>LRTRIM(CONCATENATE(IF(SUMPRODUCT(-- ISNUMBER(SEARCH({"Auto Number"}, $B58))) &gt; 0, $B58, IF(SUMPRODUCT(-- ISNUMBER(SEARCH({"Lookup","Master-Detail"}, $B58))) &gt; 0,$B58 &amp; "(" &amp; $E58 &amp; ")",IF(SUMPRODUCT(-- ISNUMBER(SEARCH({"Formula","Roll-Up Summary"}, $B58))) &gt; 0,$B58 &amp; " (" &amp; $E58 &amp; ")",IF(SUMPRODUCT(-- ISNUMBER(SEARCH({"Content","Currency","Number","Percent","Text","URL"}, $B58))) &gt; 0,$B58 &amp; "(" &amp; $C58 &amp; ")",$B58)))), "  ", TRIM(IF($S58 = "YES", "(External ID)", "") &amp; " " &amp; IF(SUMPRODUCT(-- ISNUMBER(SEARCH({"Unique","Unique Case Insensitive"}, $R58))) &gt; 0, "(" &amp; $R58 &amp; ")", ""))))</f>
        <v>na</v>
      </c>
      <c r="E58" s="7" t="s">
        <v>195</v>
      </c>
      <c r="F58" s="7" t="s">
        <v>195</v>
      </c>
      <c r="G58" s="7" t="s">
        <v>195</v>
      </c>
      <c r="H58" s="7" t="s">
        <v>195</v>
      </c>
      <c r="I58" s="7" t="s">
        <v>195</v>
      </c>
      <c r="J58" s="7" t="s">
        <v>195</v>
      </c>
      <c r="K58" s="7" t="s">
        <v>195</v>
      </c>
      <c r="L58" s="7" t="s">
        <v>195</v>
      </c>
      <c r="M58" s="7" t="s">
        <v>29</v>
      </c>
      <c r="N58" s="7" t="s">
        <v>29</v>
      </c>
      <c r="O58" s="7" t="s">
        <v>29</v>
      </c>
      <c r="P58" s="7" t="s">
        <v>29</v>
      </c>
      <c r="Q58" s="7" t="s">
        <v>29</v>
      </c>
      <c r="R58" s="7" t="s">
        <v>29</v>
      </c>
      <c r="S58" s="7" t="s">
        <v>29</v>
      </c>
    </row>
    <row r="59" spans="2:19">
      <c r="B59" s="7" t="s">
        <v>195</v>
      </c>
      <c r="C59" s="8" t="s">
        <v>195</v>
      </c>
      <c r="D59" s="6" t="str">
        <f>LRTRIM(CONCATENATE(IF(SUMPRODUCT(-- ISNUMBER(SEARCH({"Auto Number"}, $B59))) &gt; 0, $B59, IF(SUMPRODUCT(-- ISNUMBER(SEARCH({"Lookup","Master-Detail"}, $B59))) &gt; 0,$B59 &amp; "(" &amp; $E59 &amp; ")",IF(SUMPRODUCT(-- ISNUMBER(SEARCH({"Formula","Roll-Up Summary"}, $B59))) &gt; 0,$B59 &amp; " (" &amp; $E59 &amp; ")",IF(SUMPRODUCT(-- ISNUMBER(SEARCH({"Content","Currency","Number","Percent","Text","URL"}, $B59))) &gt; 0,$B59 &amp; "(" &amp; $C59 &amp; ")",$B59)))), "  ", TRIM(IF($S59 = "YES", "(External ID)", "") &amp; " " &amp; IF(SUMPRODUCT(-- ISNUMBER(SEARCH({"Unique","Unique Case Insensitive"}, $R59))) &gt; 0, "(" &amp; $R59 &amp; ")", ""))))</f>
        <v>na</v>
      </c>
      <c r="E59" s="7" t="s">
        <v>195</v>
      </c>
      <c r="F59" s="7" t="s">
        <v>195</v>
      </c>
      <c r="G59" s="7" t="s">
        <v>195</v>
      </c>
      <c r="H59" s="7" t="s">
        <v>195</v>
      </c>
      <c r="I59" s="7" t="s">
        <v>195</v>
      </c>
      <c r="J59" s="7" t="s">
        <v>195</v>
      </c>
      <c r="K59" s="7" t="s">
        <v>195</v>
      </c>
      <c r="L59" s="7" t="s">
        <v>195</v>
      </c>
      <c r="M59" s="7" t="s">
        <v>29</v>
      </c>
      <c r="N59" s="7" t="s">
        <v>29</v>
      </c>
      <c r="O59" s="7" t="s">
        <v>29</v>
      </c>
      <c r="P59" s="7" t="s">
        <v>29</v>
      </c>
      <c r="Q59" s="7" t="s">
        <v>29</v>
      </c>
      <c r="R59" s="7" t="s">
        <v>29</v>
      </c>
      <c r="S59" s="7" t="s">
        <v>29</v>
      </c>
    </row>
    <row r="60" spans="2:19">
      <c r="B60" s="7" t="s">
        <v>195</v>
      </c>
      <c r="C60" s="8" t="s">
        <v>195</v>
      </c>
      <c r="D60" s="6" t="str">
        <f>LRTRIM(CONCATENATE(IF(SUMPRODUCT(-- ISNUMBER(SEARCH({"Auto Number"}, $B60))) &gt; 0, $B60, IF(SUMPRODUCT(-- ISNUMBER(SEARCH({"Lookup","Master-Detail"}, $B60))) &gt; 0,$B60 &amp; "(" &amp; $E60 &amp; ")",IF(SUMPRODUCT(-- ISNUMBER(SEARCH({"Formula","Roll-Up Summary"}, $B60))) &gt; 0,$B60 &amp; " (" &amp; $E60 &amp; ")",IF(SUMPRODUCT(-- ISNUMBER(SEARCH({"Content","Currency","Number","Percent","Text","URL"}, $B60))) &gt; 0,$B60 &amp; "(" &amp; $C60 &amp; ")",$B60)))), "  ", TRIM(IF($S60 = "YES", "(External ID)", "") &amp; " " &amp; IF(SUMPRODUCT(-- ISNUMBER(SEARCH({"Unique","Unique Case Insensitive"}, $R60))) &gt; 0, "(" &amp; $R60 &amp; ")", ""))))</f>
        <v>na</v>
      </c>
      <c r="E60" s="7" t="s">
        <v>195</v>
      </c>
      <c r="F60" s="7" t="s">
        <v>195</v>
      </c>
      <c r="G60" s="7" t="s">
        <v>195</v>
      </c>
      <c r="H60" s="7" t="s">
        <v>195</v>
      </c>
      <c r="I60" s="7" t="s">
        <v>195</v>
      </c>
      <c r="J60" s="7" t="s">
        <v>195</v>
      </c>
      <c r="K60" s="7" t="s">
        <v>195</v>
      </c>
      <c r="L60" s="7" t="s">
        <v>195</v>
      </c>
      <c r="M60" s="7" t="s">
        <v>29</v>
      </c>
      <c r="N60" s="7" t="s">
        <v>29</v>
      </c>
      <c r="O60" s="7" t="s">
        <v>29</v>
      </c>
      <c r="P60" s="7" t="s">
        <v>29</v>
      </c>
      <c r="Q60" s="7" t="s">
        <v>29</v>
      </c>
      <c r="R60" s="7" t="s">
        <v>29</v>
      </c>
      <c r="S60" s="7" t="s">
        <v>29</v>
      </c>
    </row>
    <row r="61" spans="2:19">
      <c r="B61" s="7" t="s">
        <v>195</v>
      </c>
      <c r="C61" s="8" t="s">
        <v>195</v>
      </c>
      <c r="D61" s="6" t="str">
        <f>LRTRIM(CONCATENATE(IF(SUMPRODUCT(-- ISNUMBER(SEARCH({"Auto Number"}, $B61))) &gt; 0, $B61, IF(SUMPRODUCT(-- ISNUMBER(SEARCH({"Lookup","Master-Detail"}, $B61))) &gt; 0,$B61 &amp; "(" &amp; $E61 &amp; ")",IF(SUMPRODUCT(-- ISNUMBER(SEARCH({"Formula","Roll-Up Summary"}, $B61))) &gt; 0,$B61 &amp; " (" &amp; $E61 &amp; ")",IF(SUMPRODUCT(-- ISNUMBER(SEARCH({"Content","Currency","Number","Percent","Text","URL"}, $B61))) &gt; 0,$B61 &amp; "(" &amp; $C61 &amp; ")",$B61)))), "  ", TRIM(IF($S61 = "YES", "(External ID)", "") &amp; " " &amp; IF(SUMPRODUCT(-- ISNUMBER(SEARCH({"Unique","Unique Case Insensitive"}, $R61))) &gt; 0, "(" &amp; $R61 &amp; ")", ""))))</f>
        <v>na</v>
      </c>
      <c r="E61" s="7" t="s">
        <v>195</v>
      </c>
      <c r="F61" s="7" t="s">
        <v>195</v>
      </c>
      <c r="G61" s="7" t="s">
        <v>195</v>
      </c>
      <c r="H61" s="7" t="s">
        <v>195</v>
      </c>
      <c r="I61" s="7" t="s">
        <v>195</v>
      </c>
      <c r="J61" s="7" t="s">
        <v>195</v>
      </c>
      <c r="K61" s="7" t="s">
        <v>195</v>
      </c>
      <c r="L61" s="7" t="s">
        <v>195</v>
      </c>
      <c r="M61" s="7" t="s">
        <v>29</v>
      </c>
      <c r="N61" s="7" t="s">
        <v>29</v>
      </c>
      <c r="O61" s="7" t="s">
        <v>29</v>
      </c>
      <c r="P61" s="7" t="s">
        <v>29</v>
      </c>
      <c r="Q61" s="7" t="s">
        <v>29</v>
      </c>
      <c r="R61" s="7" t="s">
        <v>29</v>
      </c>
      <c r="S61" s="7" t="s">
        <v>29</v>
      </c>
    </row>
    <row r="62" spans="2:19">
      <c r="B62" s="7" t="s">
        <v>195</v>
      </c>
      <c r="C62" s="8" t="s">
        <v>195</v>
      </c>
      <c r="D62" s="6" t="str">
        <f>LRTRIM(CONCATENATE(IF(SUMPRODUCT(-- ISNUMBER(SEARCH({"Auto Number"}, $B62))) &gt; 0, $B62, IF(SUMPRODUCT(-- ISNUMBER(SEARCH({"Lookup","Master-Detail"}, $B62))) &gt; 0,$B62 &amp; "(" &amp; $E62 &amp; ")",IF(SUMPRODUCT(-- ISNUMBER(SEARCH({"Formula","Roll-Up Summary"}, $B62))) &gt; 0,$B62 &amp; " (" &amp; $E62 &amp; ")",IF(SUMPRODUCT(-- ISNUMBER(SEARCH({"Content","Currency","Number","Percent","Text","URL"}, $B62))) &gt; 0,$B62 &amp; "(" &amp; $C62 &amp; ")",$B62)))), "  ", TRIM(IF($S62 = "YES", "(External ID)", "") &amp; " " &amp; IF(SUMPRODUCT(-- ISNUMBER(SEARCH({"Unique","Unique Case Insensitive"}, $R62))) &gt; 0, "(" &amp; $R62 &amp; ")", ""))))</f>
        <v>na</v>
      </c>
      <c r="E62" s="7" t="s">
        <v>195</v>
      </c>
      <c r="F62" s="7" t="s">
        <v>195</v>
      </c>
      <c r="G62" s="7" t="s">
        <v>195</v>
      </c>
      <c r="H62" s="7" t="s">
        <v>195</v>
      </c>
      <c r="I62" s="7" t="s">
        <v>195</v>
      </c>
      <c r="J62" s="7" t="s">
        <v>195</v>
      </c>
      <c r="K62" s="7" t="s">
        <v>195</v>
      </c>
      <c r="L62" s="7" t="s">
        <v>195</v>
      </c>
      <c r="M62" s="7" t="s">
        <v>29</v>
      </c>
      <c r="N62" s="7" t="s">
        <v>29</v>
      </c>
      <c r="O62" s="7" t="s">
        <v>29</v>
      </c>
      <c r="P62" s="7" t="s">
        <v>29</v>
      </c>
      <c r="Q62" s="7" t="s">
        <v>29</v>
      </c>
      <c r="R62" s="7" t="s">
        <v>29</v>
      </c>
      <c r="S62" s="7" t="s">
        <v>29</v>
      </c>
    </row>
    <row r="63" spans="2:19">
      <c r="B63" s="7" t="s">
        <v>195</v>
      </c>
      <c r="C63" s="8" t="s">
        <v>195</v>
      </c>
      <c r="D63" s="6" t="str">
        <f>LRTRIM(CONCATENATE(IF(SUMPRODUCT(-- ISNUMBER(SEARCH({"Auto Number"}, $B63))) &gt; 0, $B63, IF(SUMPRODUCT(-- ISNUMBER(SEARCH({"Lookup","Master-Detail"}, $B63))) &gt; 0,$B63 &amp; "(" &amp; $E63 &amp; ")",IF(SUMPRODUCT(-- ISNUMBER(SEARCH({"Formula","Roll-Up Summary"}, $B63))) &gt; 0,$B63 &amp; " (" &amp; $E63 &amp; ")",IF(SUMPRODUCT(-- ISNUMBER(SEARCH({"Content","Currency","Number","Percent","Text","URL"}, $B63))) &gt; 0,$B63 &amp; "(" &amp; $C63 &amp; ")",$B63)))), "  ", TRIM(IF($S63 = "YES", "(External ID)", "") &amp; " " &amp; IF(SUMPRODUCT(-- ISNUMBER(SEARCH({"Unique","Unique Case Insensitive"}, $R63))) &gt; 0, "(" &amp; $R63 &amp; ")", ""))))</f>
        <v>na</v>
      </c>
      <c r="E63" s="7" t="s">
        <v>195</v>
      </c>
      <c r="F63" s="7" t="s">
        <v>195</v>
      </c>
      <c r="G63" s="7" t="s">
        <v>195</v>
      </c>
      <c r="H63" s="7" t="s">
        <v>195</v>
      </c>
      <c r="I63" s="7" t="s">
        <v>195</v>
      </c>
      <c r="J63" s="7" t="s">
        <v>195</v>
      </c>
      <c r="K63" s="7" t="s">
        <v>195</v>
      </c>
      <c r="L63" s="7" t="s">
        <v>195</v>
      </c>
      <c r="M63" s="7" t="s">
        <v>29</v>
      </c>
      <c r="N63" s="7" t="s">
        <v>29</v>
      </c>
      <c r="O63" s="7" t="s">
        <v>29</v>
      </c>
      <c r="P63" s="7" t="s">
        <v>29</v>
      </c>
      <c r="Q63" s="7" t="s">
        <v>29</v>
      </c>
      <c r="R63" s="7" t="s">
        <v>29</v>
      </c>
      <c r="S63" s="7" t="s">
        <v>29</v>
      </c>
    </row>
    <row r="64" spans="2:19">
      <c r="B64" s="7" t="s">
        <v>195</v>
      </c>
      <c r="C64" s="8" t="s">
        <v>195</v>
      </c>
      <c r="D64" s="6" t="str">
        <f>LRTRIM(CONCATENATE(IF(SUMPRODUCT(-- ISNUMBER(SEARCH({"Auto Number"}, $B64))) &gt; 0, $B64, IF(SUMPRODUCT(-- ISNUMBER(SEARCH({"Lookup","Master-Detail"}, $B64))) &gt; 0,$B64 &amp; "(" &amp; $E64 &amp; ")",IF(SUMPRODUCT(-- ISNUMBER(SEARCH({"Formula","Roll-Up Summary"}, $B64))) &gt; 0,$B64 &amp; " (" &amp; $E64 &amp; ")",IF(SUMPRODUCT(-- ISNUMBER(SEARCH({"Content","Currency","Number","Percent","Text","URL"}, $B64))) &gt; 0,$B64 &amp; "(" &amp; $C64 &amp; ")",$B64)))), "  ", TRIM(IF($S64 = "YES", "(External ID)", "") &amp; " " &amp; IF(SUMPRODUCT(-- ISNUMBER(SEARCH({"Unique","Unique Case Insensitive"}, $R64))) &gt; 0, "(" &amp; $R64 &amp; ")", ""))))</f>
        <v>na</v>
      </c>
      <c r="E64" s="7" t="s">
        <v>195</v>
      </c>
      <c r="F64" s="7" t="s">
        <v>195</v>
      </c>
      <c r="G64" s="7" t="s">
        <v>195</v>
      </c>
      <c r="H64" s="7" t="s">
        <v>195</v>
      </c>
      <c r="I64" s="7" t="s">
        <v>195</v>
      </c>
      <c r="J64" s="7" t="s">
        <v>195</v>
      </c>
      <c r="K64" s="7" t="s">
        <v>195</v>
      </c>
      <c r="L64" s="7" t="s">
        <v>195</v>
      </c>
      <c r="M64" s="7" t="s">
        <v>29</v>
      </c>
      <c r="N64" s="7" t="s">
        <v>29</v>
      </c>
      <c r="O64" s="7" t="s">
        <v>29</v>
      </c>
      <c r="P64" s="7" t="s">
        <v>29</v>
      </c>
      <c r="Q64" s="7" t="s">
        <v>29</v>
      </c>
      <c r="R64" s="7" t="s">
        <v>29</v>
      </c>
      <c r="S64" s="7" t="s">
        <v>29</v>
      </c>
    </row>
    <row r="65" spans="2:19">
      <c r="B65" s="7" t="s">
        <v>195</v>
      </c>
      <c r="C65" s="8" t="s">
        <v>195</v>
      </c>
      <c r="D65" s="6" t="str">
        <f>LRTRIM(CONCATENATE(IF(SUMPRODUCT(-- ISNUMBER(SEARCH({"Auto Number"}, $B65))) &gt; 0, $B65, IF(SUMPRODUCT(-- ISNUMBER(SEARCH({"Lookup","Master-Detail"}, $B65))) &gt; 0,$B65 &amp; "(" &amp; $E65 &amp; ")",IF(SUMPRODUCT(-- ISNUMBER(SEARCH({"Formula","Roll-Up Summary"}, $B65))) &gt; 0,$B65 &amp; " (" &amp; $E65 &amp; ")",IF(SUMPRODUCT(-- ISNUMBER(SEARCH({"Content","Currency","Number","Percent","Text","URL"}, $B65))) &gt; 0,$B65 &amp; "(" &amp; $C65 &amp; ")",$B65)))), "  ", TRIM(IF($S65 = "YES", "(External ID)", "") &amp; " " &amp; IF(SUMPRODUCT(-- ISNUMBER(SEARCH({"Unique","Unique Case Insensitive"}, $R65))) &gt; 0, "(" &amp; $R65 &amp; ")", ""))))</f>
        <v>na</v>
      </c>
      <c r="E65" s="7" t="s">
        <v>195</v>
      </c>
      <c r="F65" s="7" t="s">
        <v>195</v>
      </c>
      <c r="G65" s="7" t="s">
        <v>195</v>
      </c>
      <c r="H65" s="7" t="s">
        <v>195</v>
      </c>
      <c r="I65" s="7" t="s">
        <v>195</v>
      </c>
      <c r="J65" s="7" t="s">
        <v>195</v>
      </c>
      <c r="K65" s="7" t="s">
        <v>195</v>
      </c>
      <c r="L65" s="7" t="s">
        <v>195</v>
      </c>
      <c r="M65" s="7" t="s">
        <v>29</v>
      </c>
      <c r="N65" s="7" t="s">
        <v>29</v>
      </c>
      <c r="O65" s="7" t="s">
        <v>29</v>
      </c>
      <c r="P65" s="7" t="s">
        <v>29</v>
      </c>
      <c r="Q65" s="7" t="s">
        <v>29</v>
      </c>
      <c r="R65" s="7" t="s">
        <v>29</v>
      </c>
      <c r="S65" s="7" t="s">
        <v>29</v>
      </c>
    </row>
    <row r="66" spans="2:19">
      <c r="B66" s="7" t="s">
        <v>195</v>
      </c>
      <c r="C66" s="8" t="s">
        <v>195</v>
      </c>
      <c r="D66" s="6" t="str">
        <f>LRTRIM(CONCATENATE(IF(SUMPRODUCT(-- ISNUMBER(SEARCH({"Auto Number"}, $B66))) &gt; 0, $B66, IF(SUMPRODUCT(-- ISNUMBER(SEARCH({"Lookup","Master-Detail"}, $B66))) &gt; 0,$B66 &amp; "(" &amp; $E66 &amp; ")",IF(SUMPRODUCT(-- ISNUMBER(SEARCH({"Formula","Roll-Up Summary"}, $B66))) &gt; 0,$B66 &amp; " (" &amp; $E66 &amp; ")",IF(SUMPRODUCT(-- ISNUMBER(SEARCH({"Content","Currency","Number","Percent","Text","URL"}, $B66))) &gt; 0,$B66 &amp; "(" &amp; $C66 &amp; ")",$B66)))), "  ", TRIM(IF($S66 = "YES", "(External ID)", "") &amp; " " &amp; IF(SUMPRODUCT(-- ISNUMBER(SEARCH({"Unique","Unique Case Insensitive"}, $R66))) &gt; 0, "(" &amp; $R66 &amp; ")", ""))))</f>
        <v>na</v>
      </c>
      <c r="E66" s="7" t="s">
        <v>195</v>
      </c>
      <c r="F66" s="7" t="s">
        <v>195</v>
      </c>
      <c r="G66" s="7" t="s">
        <v>195</v>
      </c>
      <c r="H66" s="7" t="s">
        <v>195</v>
      </c>
      <c r="I66" s="7" t="s">
        <v>195</v>
      </c>
      <c r="J66" s="7" t="s">
        <v>195</v>
      </c>
      <c r="K66" s="7" t="s">
        <v>195</v>
      </c>
      <c r="L66" s="7" t="s">
        <v>195</v>
      </c>
      <c r="M66" s="7" t="s">
        <v>29</v>
      </c>
      <c r="N66" s="7" t="s">
        <v>29</v>
      </c>
      <c r="O66" s="7" t="s">
        <v>29</v>
      </c>
      <c r="P66" s="7" t="s">
        <v>29</v>
      </c>
      <c r="Q66" s="7" t="s">
        <v>29</v>
      </c>
      <c r="R66" s="7" t="s">
        <v>29</v>
      </c>
      <c r="S66" s="7" t="s">
        <v>29</v>
      </c>
    </row>
    <row r="67" spans="2:19">
      <c r="B67" s="7" t="s">
        <v>195</v>
      </c>
      <c r="C67" s="8" t="s">
        <v>195</v>
      </c>
      <c r="D67" s="6" t="str">
        <f>LRTRIM(CONCATENATE(IF(SUMPRODUCT(-- ISNUMBER(SEARCH({"Auto Number"}, $B67))) &gt; 0, $B67, IF(SUMPRODUCT(-- ISNUMBER(SEARCH({"Lookup","Master-Detail"}, $B67))) &gt; 0,$B67 &amp; "(" &amp; $E67 &amp; ")",IF(SUMPRODUCT(-- ISNUMBER(SEARCH({"Formula","Roll-Up Summary"}, $B67))) &gt; 0,$B67 &amp; " (" &amp; $E67 &amp; ")",IF(SUMPRODUCT(-- ISNUMBER(SEARCH({"Content","Currency","Number","Percent","Text","URL"}, $B67))) &gt; 0,$B67 &amp; "(" &amp; $C67 &amp; ")",$B67)))), "  ", TRIM(IF($S67 = "YES", "(External ID)", "") &amp; " " &amp; IF(SUMPRODUCT(-- ISNUMBER(SEARCH({"Unique","Unique Case Insensitive"}, $R67))) &gt; 0, "(" &amp; $R67 &amp; ")", ""))))</f>
        <v>na</v>
      </c>
      <c r="E67" s="7" t="s">
        <v>195</v>
      </c>
      <c r="F67" s="7" t="s">
        <v>195</v>
      </c>
      <c r="G67" s="7" t="s">
        <v>195</v>
      </c>
      <c r="H67" s="7" t="s">
        <v>195</v>
      </c>
      <c r="I67" s="7" t="s">
        <v>195</v>
      </c>
      <c r="J67" s="7" t="s">
        <v>195</v>
      </c>
      <c r="K67" s="7" t="s">
        <v>195</v>
      </c>
      <c r="L67" s="7" t="s">
        <v>195</v>
      </c>
      <c r="M67" s="7" t="s">
        <v>29</v>
      </c>
      <c r="N67" s="7" t="s">
        <v>29</v>
      </c>
      <c r="O67" s="7" t="s">
        <v>29</v>
      </c>
      <c r="P67" s="7" t="s">
        <v>29</v>
      </c>
      <c r="Q67" s="7" t="s">
        <v>29</v>
      </c>
      <c r="R67" s="7" t="s">
        <v>29</v>
      </c>
      <c r="S67" s="7" t="s">
        <v>29</v>
      </c>
    </row>
    <row r="68" spans="2:19">
      <c r="B68" s="7" t="s">
        <v>195</v>
      </c>
      <c r="C68" s="8" t="s">
        <v>195</v>
      </c>
      <c r="D68" s="6" t="str">
        <f>LRTRIM(CONCATENATE(IF(SUMPRODUCT(-- ISNUMBER(SEARCH({"Auto Number"}, $B68))) &gt; 0, $B68, IF(SUMPRODUCT(-- ISNUMBER(SEARCH({"Lookup","Master-Detail"}, $B68))) &gt; 0,$B68 &amp; "(" &amp; $E68 &amp; ")",IF(SUMPRODUCT(-- ISNUMBER(SEARCH({"Formula","Roll-Up Summary"}, $B68))) &gt; 0,$B68 &amp; " (" &amp; $E68 &amp; ")",IF(SUMPRODUCT(-- ISNUMBER(SEARCH({"Content","Currency","Number","Percent","Text","URL"}, $B68))) &gt; 0,$B68 &amp; "(" &amp; $C68 &amp; ")",$B68)))), "  ", TRIM(IF($S68 = "YES", "(External ID)", "") &amp; " " &amp; IF(SUMPRODUCT(-- ISNUMBER(SEARCH({"Unique","Unique Case Insensitive"}, $R68))) &gt; 0, "(" &amp; $R68 &amp; ")", ""))))</f>
        <v>na</v>
      </c>
      <c r="E68" s="7" t="s">
        <v>195</v>
      </c>
      <c r="F68" s="7" t="s">
        <v>195</v>
      </c>
      <c r="G68" s="7" t="s">
        <v>195</v>
      </c>
      <c r="H68" s="7" t="s">
        <v>195</v>
      </c>
      <c r="I68" s="7" t="s">
        <v>195</v>
      </c>
      <c r="J68" s="7" t="s">
        <v>195</v>
      </c>
      <c r="K68" s="7" t="s">
        <v>195</v>
      </c>
      <c r="L68" s="7" t="s">
        <v>195</v>
      </c>
      <c r="M68" s="7" t="s">
        <v>29</v>
      </c>
      <c r="N68" s="7" t="s">
        <v>29</v>
      </c>
      <c r="O68" s="7" t="s">
        <v>29</v>
      </c>
      <c r="P68" s="7" t="s">
        <v>29</v>
      </c>
      <c r="Q68" s="7" t="s">
        <v>29</v>
      </c>
      <c r="R68" s="7" t="s">
        <v>29</v>
      </c>
      <c r="S68" s="7" t="s">
        <v>29</v>
      </c>
    </row>
    <row r="69" spans="2:19">
      <c r="B69" s="7" t="s">
        <v>195</v>
      </c>
      <c r="C69" s="8" t="s">
        <v>195</v>
      </c>
      <c r="D69" s="6" t="str">
        <f>LRTRIM(CONCATENATE(IF(SUMPRODUCT(-- ISNUMBER(SEARCH({"Auto Number"}, $B69))) &gt; 0, $B69, IF(SUMPRODUCT(-- ISNUMBER(SEARCH({"Lookup","Master-Detail"}, $B69))) &gt; 0,$B69 &amp; "(" &amp; $E69 &amp; ")",IF(SUMPRODUCT(-- ISNUMBER(SEARCH({"Formula","Roll-Up Summary"}, $B69))) &gt; 0,$B69 &amp; " (" &amp; $E69 &amp; ")",IF(SUMPRODUCT(-- ISNUMBER(SEARCH({"Content","Currency","Number","Percent","Text","URL"}, $B69))) &gt; 0,$B69 &amp; "(" &amp; $C69 &amp; ")",$B69)))), "  ", TRIM(IF($S69 = "YES", "(External ID)", "") &amp; " " &amp; IF(SUMPRODUCT(-- ISNUMBER(SEARCH({"Unique","Unique Case Insensitive"}, $R69))) &gt; 0, "(" &amp; $R69 &amp; ")", ""))))</f>
        <v>na</v>
      </c>
      <c r="E69" s="7" t="s">
        <v>195</v>
      </c>
      <c r="F69" s="7" t="s">
        <v>195</v>
      </c>
      <c r="G69" s="7" t="s">
        <v>195</v>
      </c>
      <c r="H69" s="7" t="s">
        <v>195</v>
      </c>
      <c r="I69" s="7" t="s">
        <v>195</v>
      </c>
      <c r="J69" s="7" t="s">
        <v>195</v>
      </c>
      <c r="K69" s="7" t="s">
        <v>195</v>
      </c>
      <c r="L69" s="7" t="s">
        <v>195</v>
      </c>
      <c r="M69" s="7" t="s">
        <v>29</v>
      </c>
      <c r="N69" s="7" t="s">
        <v>29</v>
      </c>
      <c r="O69" s="7" t="s">
        <v>29</v>
      </c>
      <c r="P69" s="7" t="s">
        <v>29</v>
      </c>
      <c r="Q69" s="7" t="s">
        <v>29</v>
      </c>
      <c r="R69" s="7" t="s">
        <v>29</v>
      </c>
      <c r="S69" s="7" t="s">
        <v>29</v>
      </c>
    </row>
    <row r="70" spans="2:19">
      <c r="B70" s="7" t="s">
        <v>195</v>
      </c>
      <c r="C70" s="8" t="s">
        <v>195</v>
      </c>
      <c r="D70" s="6" t="str">
        <f>LRTRIM(CONCATENATE(IF(SUMPRODUCT(-- ISNUMBER(SEARCH({"Auto Number"}, $B70))) &gt; 0, $B70, IF(SUMPRODUCT(-- ISNUMBER(SEARCH({"Lookup","Master-Detail"}, $B70))) &gt; 0,$B70 &amp; "(" &amp; $E70 &amp; ")",IF(SUMPRODUCT(-- ISNUMBER(SEARCH({"Formula","Roll-Up Summary"}, $B70))) &gt; 0,$B70 &amp; " (" &amp; $E70 &amp; ")",IF(SUMPRODUCT(-- ISNUMBER(SEARCH({"Content","Currency","Number","Percent","Text","URL"}, $B70))) &gt; 0,$B70 &amp; "(" &amp; $C70 &amp; ")",$B70)))), "  ", TRIM(IF($S70 = "YES", "(External ID)", "") &amp; " " &amp; IF(SUMPRODUCT(-- ISNUMBER(SEARCH({"Unique","Unique Case Insensitive"}, $R70))) &gt; 0, "(" &amp; $R70 &amp; ")", ""))))</f>
        <v>na</v>
      </c>
      <c r="E70" s="7" t="s">
        <v>195</v>
      </c>
      <c r="F70" s="7" t="s">
        <v>195</v>
      </c>
      <c r="G70" s="7" t="s">
        <v>195</v>
      </c>
      <c r="H70" s="7" t="s">
        <v>195</v>
      </c>
      <c r="I70" s="7" t="s">
        <v>195</v>
      </c>
      <c r="J70" s="7" t="s">
        <v>195</v>
      </c>
      <c r="K70" s="7" t="s">
        <v>195</v>
      </c>
      <c r="L70" s="7" t="s">
        <v>195</v>
      </c>
      <c r="M70" s="7" t="s">
        <v>29</v>
      </c>
      <c r="N70" s="7" t="s">
        <v>29</v>
      </c>
      <c r="O70" s="7" t="s">
        <v>29</v>
      </c>
      <c r="P70" s="7" t="s">
        <v>29</v>
      </c>
      <c r="Q70" s="7" t="s">
        <v>29</v>
      </c>
      <c r="R70" s="7" t="s">
        <v>29</v>
      </c>
      <c r="S70" s="7" t="s">
        <v>29</v>
      </c>
    </row>
    <row r="71" spans="2:19">
      <c r="B71" s="7" t="s">
        <v>195</v>
      </c>
      <c r="C71" s="8" t="s">
        <v>195</v>
      </c>
      <c r="D71" s="6" t="str">
        <f>LRTRIM(CONCATENATE(IF(SUMPRODUCT(-- ISNUMBER(SEARCH({"Auto Number"}, $B71))) &gt; 0, $B71, IF(SUMPRODUCT(-- ISNUMBER(SEARCH({"Lookup","Master-Detail"}, $B71))) &gt; 0,$B71 &amp; "(" &amp; $E71 &amp; ")",IF(SUMPRODUCT(-- ISNUMBER(SEARCH({"Formula","Roll-Up Summary"}, $B71))) &gt; 0,$B71 &amp; " (" &amp; $E71 &amp; ")",IF(SUMPRODUCT(-- ISNUMBER(SEARCH({"Content","Currency","Number","Percent","Text","URL"}, $B71))) &gt; 0,$B71 &amp; "(" &amp; $C71 &amp; ")",$B71)))), "  ", TRIM(IF($S71 = "YES", "(External ID)", "") &amp; " " &amp; IF(SUMPRODUCT(-- ISNUMBER(SEARCH({"Unique","Unique Case Insensitive"}, $R71))) &gt; 0, "(" &amp; $R71 &amp; ")", ""))))</f>
        <v>na</v>
      </c>
      <c r="E71" s="7" t="s">
        <v>195</v>
      </c>
      <c r="F71" s="7" t="s">
        <v>195</v>
      </c>
      <c r="G71" s="7" t="s">
        <v>195</v>
      </c>
      <c r="H71" s="7" t="s">
        <v>195</v>
      </c>
      <c r="I71" s="7" t="s">
        <v>195</v>
      </c>
      <c r="J71" s="7" t="s">
        <v>195</v>
      </c>
      <c r="K71" s="7" t="s">
        <v>195</v>
      </c>
      <c r="L71" s="7" t="s">
        <v>195</v>
      </c>
      <c r="M71" s="7" t="s">
        <v>29</v>
      </c>
      <c r="N71" s="7" t="s">
        <v>29</v>
      </c>
      <c r="O71" s="7" t="s">
        <v>29</v>
      </c>
      <c r="P71" s="7" t="s">
        <v>29</v>
      </c>
      <c r="Q71" s="7" t="s">
        <v>29</v>
      </c>
      <c r="R71" s="7" t="s">
        <v>29</v>
      </c>
      <c r="S71" s="7" t="s">
        <v>29</v>
      </c>
    </row>
    <row r="72" spans="2:19">
      <c r="B72" s="7" t="s">
        <v>195</v>
      </c>
      <c r="C72" s="8" t="s">
        <v>195</v>
      </c>
      <c r="D72" s="6" t="str">
        <f>LRTRIM(CONCATENATE(IF(SUMPRODUCT(-- ISNUMBER(SEARCH({"Auto Number"}, $B72))) &gt; 0, $B72, IF(SUMPRODUCT(-- ISNUMBER(SEARCH({"Lookup","Master-Detail"}, $B72))) &gt; 0,$B72 &amp; "(" &amp; $E72 &amp; ")",IF(SUMPRODUCT(-- ISNUMBER(SEARCH({"Formula","Roll-Up Summary"}, $B72))) &gt; 0,$B72 &amp; " (" &amp; $E72 &amp; ")",IF(SUMPRODUCT(-- ISNUMBER(SEARCH({"Content","Currency","Number","Percent","Text","URL"}, $B72))) &gt; 0,$B72 &amp; "(" &amp; $C72 &amp; ")",$B72)))), "  ", TRIM(IF($S72 = "YES", "(External ID)", "") &amp; " " &amp; IF(SUMPRODUCT(-- ISNUMBER(SEARCH({"Unique","Unique Case Insensitive"}, $R72))) &gt; 0, "(" &amp; $R72 &amp; ")", ""))))</f>
        <v>na</v>
      </c>
      <c r="E72" s="7" t="s">
        <v>195</v>
      </c>
      <c r="F72" s="7" t="s">
        <v>195</v>
      </c>
      <c r="G72" s="7" t="s">
        <v>195</v>
      </c>
      <c r="H72" s="7" t="s">
        <v>195</v>
      </c>
      <c r="I72" s="7" t="s">
        <v>195</v>
      </c>
      <c r="J72" s="7" t="s">
        <v>195</v>
      </c>
      <c r="K72" s="7" t="s">
        <v>195</v>
      </c>
      <c r="L72" s="7" t="s">
        <v>195</v>
      </c>
      <c r="M72" s="7" t="s">
        <v>29</v>
      </c>
      <c r="N72" s="7" t="s">
        <v>29</v>
      </c>
      <c r="O72" s="7" t="s">
        <v>29</v>
      </c>
      <c r="P72" s="7" t="s">
        <v>29</v>
      </c>
      <c r="Q72" s="7" t="s">
        <v>29</v>
      </c>
      <c r="R72" s="7" t="s">
        <v>29</v>
      </c>
      <c r="S72" s="7" t="s">
        <v>29</v>
      </c>
    </row>
    <row r="73" spans="2:19">
      <c r="B73" s="7" t="s">
        <v>195</v>
      </c>
      <c r="C73" s="8" t="s">
        <v>195</v>
      </c>
      <c r="D73" s="6" t="str">
        <f>LRTRIM(CONCATENATE(IF(SUMPRODUCT(-- ISNUMBER(SEARCH({"Auto Number"}, $B73))) &gt; 0, $B73, IF(SUMPRODUCT(-- ISNUMBER(SEARCH({"Lookup","Master-Detail"}, $B73))) &gt; 0,$B73 &amp; "(" &amp; $E73 &amp; ")",IF(SUMPRODUCT(-- ISNUMBER(SEARCH({"Formula","Roll-Up Summary"}, $B73))) &gt; 0,$B73 &amp; " (" &amp; $E73 &amp; ")",IF(SUMPRODUCT(-- ISNUMBER(SEARCH({"Content","Currency","Number","Percent","Text","URL"}, $B73))) &gt; 0,$B73 &amp; "(" &amp; $C73 &amp; ")",$B73)))), "  ", TRIM(IF($S73 = "YES", "(External ID)", "") &amp; " " &amp; IF(SUMPRODUCT(-- ISNUMBER(SEARCH({"Unique","Unique Case Insensitive"}, $R73))) &gt; 0, "(" &amp; $R73 &amp; ")", ""))))</f>
        <v>na</v>
      </c>
      <c r="E73" s="7" t="s">
        <v>195</v>
      </c>
      <c r="F73" s="7" t="s">
        <v>195</v>
      </c>
      <c r="G73" s="7" t="s">
        <v>195</v>
      </c>
      <c r="H73" s="7" t="s">
        <v>195</v>
      </c>
      <c r="I73" s="7" t="s">
        <v>195</v>
      </c>
      <c r="J73" s="7" t="s">
        <v>195</v>
      </c>
      <c r="K73" s="7" t="s">
        <v>195</v>
      </c>
      <c r="L73" s="7" t="s">
        <v>195</v>
      </c>
      <c r="M73" s="7" t="s">
        <v>29</v>
      </c>
      <c r="N73" s="7" t="s">
        <v>29</v>
      </c>
      <c r="O73" s="7" t="s">
        <v>29</v>
      </c>
      <c r="P73" s="7" t="s">
        <v>29</v>
      </c>
      <c r="Q73" s="7" t="s">
        <v>29</v>
      </c>
      <c r="R73" s="7" t="s">
        <v>29</v>
      </c>
      <c r="S73" s="7" t="s">
        <v>29</v>
      </c>
    </row>
    <row r="74" spans="2:19">
      <c r="B74" s="7" t="s">
        <v>195</v>
      </c>
      <c r="C74" s="8" t="s">
        <v>195</v>
      </c>
      <c r="D74" s="6" t="str">
        <f>LRTRIM(CONCATENATE(IF(SUMPRODUCT(-- ISNUMBER(SEARCH({"Auto Number"}, $B74))) &gt; 0, $B74, IF(SUMPRODUCT(-- ISNUMBER(SEARCH({"Lookup","Master-Detail"}, $B74))) &gt; 0,$B74 &amp; "(" &amp; $E74 &amp; ")",IF(SUMPRODUCT(-- ISNUMBER(SEARCH({"Formula","Roll-Up Summary"}, $B74))) &gt; 0,$B74 &amp; " (" &amp; $E74 &amp; ")",IF(SUMPRODUCT(-- ISNUMBER(SEARCH({"Content","Currency","Number","Percent","Text","URL"}, $B74))) &gt; 0,$B74 &amp; "(" &amp; $C74 &amp; ")",$B74)))), "  ", TRIM(IF($S74 = "YES", "(External ID)", "") &amp; " " &amp; IF(SUMPRODUCT(-- ISNUMBER(SEARCH({"Unique","Unique Case Insensitive"}, $R74))) &gt; 0, "(" &amp; $R74 &amp; ")", ""))))</f>
        <v>na</v>
      </c>
      <c r="E74" s="7" t="s">
        <v>195</v>
      </c>
      <c r="F74" s="7" t="s">
        <v>195</v>
      </c>
      <c r="G74" s="7" t="s">
        <v>195</v>
      </c>
      <c r="H74" s="7" t="s">
        <v>195</v>
      </c>
      <c r="I74" s="7" t="s">
        <v>195</v>
      </c>
      <c r="J74" s="7" t="s">
        <v>195</v>
      </c>
      <c r="K74" s="7" t="s">
        <v>195</v>
      </c>
      <c r="L74" s="7" t="s">
        <v>195</v>
      </c>
      <c r="M74" s="7" t="s">
        <v>29</v>
      </c>
      <c r="N74" s="7" t="s">
        <v>29</v>
      </c>
      <c r="O74" s="7" t="s">
        <v>29</v>
      </c>
      <c r="P74" s="7" t="s">
        <v>29</v>
      </c>
      <c r="Q74" s="7" t="s">
        <v>29</v>
      </c>
      <c r="R74" s="7" t="s">
        <v>29</v>
      </c>
      <c r="S74" s="7" t="s">
        <v>29</v>
      </c>
    </row>
    <row r="75" spans="2:19">
      <c r="B75" s="7" t="s">
        <v>195</v>
      </c>
      <c r="C75" s="8" t="s">
        <v>195</v>
      </c>
      <c r="D75" s="6" t="str">
        <f>LRTRIM(CONCATENATE(IF(SUMPRODUCT(-- ISNUMBER(SEARCH({"Auto Number"}, $B75))) &gt; 0, $B75, IF(SUMPRODUCT(-- ISNUMBER(SEARCH({"Lookup","Master-Detail"}, $B75))) &gt; 0,$B75 &amp; "(" &amp; $E75 &amp; ")",IF(SUMPRODUCT(-- ISNUMBER(SEARCH({"Formula","Roll-Up Summary"}, $B75))) &gt; 0,$B75 &amp; " (" &amp; $E75 &amp; ")",IF(SUMPRODUCT(-- ISNUMBER(SEARCH({"Content","Currency","Number","Percent","Text","URL"}, $B75))) &gt; 0,$B75 &amp; "(" &amp; $C75 &amp; ")",$B75)))), "  ", TRIM(IF($S75 = "YES", "(External ID)", "") &amp; " " &amp; IF(SUMPRODUCT(-- ISNUMBER(SEARCH({"Unique","Unique Case Insensitive"}, $R75))) &gt; 0, "(" &amp; $R75 &amp; ")", ""))))</f>
        <v>na</v>
      </c>
      <c r="E75" s="7" t="s">
        <v>195</v>
      </c>
      <c r="F75" s="7" t="s">
        <v>195</v>
      </c>
      <c r="G75" s="7" t="s">
        <v>195</v>
      </c>
      <c r="H75" s="7" t="s">
        <v>195</v>
      </c>
      <c r="I75" s="7" t="s">
        <v>195</v>
      </c>
      <c r="J75" s="7" t="s">
        <v>195</v>
      </c>
      <c r="K75" s="7" t="s">
        <v>195</v>
      </c>
      <c r="L75" s="7" t="s">
        <v>195</v>
      </c>
      <c r="M75" s="7" t="s">
        <v>29</v>
      </c>
      <c r="N75" s="7" t="s">
        <v>29</v>
      </c>
      <c r="O75" s="7" t="s">
        <v>29</v>
      </c>
      <c r="P75" s="7" t="s">
        <v>29</v>
      </c>
      <c r="Q75" s="7" t="s">
        <v>29</v>
      </c>
      <c r="R75" s="7" t="s">
        <v>29</v>
      </c>
      <c r="S75" s="7" t="s">
        <v>29</v>
      </c>
    </row>
    <row r="76" spans="2:19">
      <c r="B76" s="7" t="s">
        <v>195</v>
      </c>
      <c r="C76" s="8" t="s">
        <v>195</v>
      </c>
      <c r="D76" s="6" t="str">
        <f>LRTRIM(CONCATENATE(IF(SUMPRODUCT(-- ISNUMBER(SEARCH({"Auto Number"}, $B76))) &gt; 0, $B76, IF(SUMPRODUCT(-- ISNUMBER(SEARCH({"Lookup","Master-Detail"}, $B76))) &gt; 0,$B76 &amp; "(" &amp; $E76 &amp; ")",IF(SUMPRODUCT(-- ISNUMBER(SEARCH({"Formula","Roll-Up Summary"}, $B76))) &gt; 0,$B76 &amp; " (" &amp; $E76 &amp; ")",IF(SUMPRODUCT(-- ISNUMBER(SEARCH({"Content","Currency","Number","Percent","Text","URL"}, $B76))) &gt; 0,$B76 &amp; "(" &amp; $C76 &amp; ")",$B76)))), "  ", TRIM(IF($S76 = "YES", "(External ID)", "") &amp; " " &amp; IF(SUMPRODUCT(-- ISNUMBER(SEARCH({"Unique","Unique Case Insensitive"}, $R76))) &gt; 0, "(" &amp; $R76 &amp; ")", ""))))</f>
        <v>na</v>
      </c>
      <c r="E76" s="7" t="s">
        <v>195</v>
      </c>
      <c r="F76" s="7" t="s">
        <v>195</v>
      </c>
      <c r="G76" s="7" t="s">
        <v>195</v>
      </c>
      <c r="H76" s="7" t="s">
        <v>195</v>
      </c>
      <c r="I76" s="7" t="s">
        <v>195</v>
      </c>
      <c r="J76" s="7" t="s">
        <v>195</v>
      </c>
      <c r="K76" s="7" t="s">
        <v>195</v>
      </c>
      <c r="L76" s="7" t="s">
        <v>195</v>
      </c>
      <c r="M76" s="7" t="s">
        <v>29</v>
      </c>
      <c r="N76" s="7" t="s">
        <v>29</v>
      </c>
      <c r="O76" s="7" t="s">
        <v>29</v>
      </c>
      <c r="P76" s="7" t="s">
        <v>29</v>
      </c>
      <c r="Q76" s="7" t="s">
        <v>29</v>
      </c>
      <c r="R76" s="7" t="s">
        <v>29</v>
      </c>
      <c r="S76" s="7" t="s">
        <v>29</v>
      </c>
    </row>
    <row r="77" spans="2:19">
      <c r="B77" s="7" t="s">
        <v>195</v>
      </c>
      <c r="C77" s="8" t="s">
        <v>195</v>
      </c>
      <c r="D77" s="6" t="str">
        <f>LRTRIM(CONCATENATE(IF(SUMPRODUCT(-- ISNUMBER(SEARCH({"Auto Number"}, $B77))) &gt; 0, $B77, IF(SUMPRODUCT(-- ISNUMBER(SEARCH({"Lookup","Master-Detail"}, $B77))) &gt; 0,$B77 &amp; "(" &amp; $E77 &amp; ")",IF(SUMPRODUCT(-- ISNUMBER(SEARCH({"Formula","Roll-Up Summary"}, $B77))) &gt; 0,$B77 &amp; " (" &amp; $E77 &amp; ")",IF(SUMPRODUCT(-- ISNUMBER(SEARCH({"Content","Currency","Number","Percent","Text","URL"}, $B77))) &gt; 0,$B77 &amp; "(" &amp; $C77 &amp; ")",$B77)))), "  ", TRIM(IF($S77 = "YES", "(External ID)", "") &amp; " " &amp; IF(SUMPRODUCT(-- ISNUMBER(SEARCH({"Unique","Unique Case Insensitive"}, $R77))) &gt; 0, "(" &amp; $R77 &amp; ")", ""))))</f>
        <v>na</v>
      </c>
      <c r="E77" s="7" t="s">
        <v>195</v>
      </c>
      <c r="F77" s="7" t="s">
        <v>195</v>
      </c>
      <c r="G77" s="7" t="s">
        <v>195</v>
      </c>
      <c r="H77" s="7" t="s">
        <v>195</v>
      </c>
      <c r="I77" s="7" t="s">
        <v>195</v>
      </c>
      <c r="J77" s="7" t="s">
        <v>195</v>
      </c>
      <c r="K77" s="7" t="s">
        <v>195</v>
      </c>
      <c r="L77" s="7" t="s">
        <v>195</v>
      </c>
      <c r="M77" s="7" t="s">
        <v>29</v>
      </c>
      <c r="N77" s="7" t="s">
        <v>29</v>
      </c>
      <c r="O77" s="7" t="s">
        <v>29</v>
      </c>
      <c r="P77" s="7" t="s">
        <v>29</v>
      </c>
      <c r="Q77" s="7" t="s">
        <v>29</v>
      </c>
      <c r="R77" s="7" t="s">
        <v>29</v>
      </c>
      <c r="S77" s="7" t="s">
        <v>29</v>
      </c>
    </row>
    <row r="78" spans="2:19">
      <c r="B78" s="7" t="s">
        <v>195</v>
      </c>
      <c r="C78" s="8" t="s">
        <v>195</v>
      </c>
      <c r="D78" s="6" t="str">
        <f>LRTRIM(CONCATENATE(IF(SUMPRODUCT(-- ISNUMBER(SEARCH({"Auto Number"}, $B78))) &gt; 0, $B78, IF(SUMPRODUCT(-- ISNUMBER(SEARCH({"Lookup","Master-Detail"}, $B78))) &gt; 0,$B78 &amp; "(" &amp; $E78 &amp; ")",IF(SUMPRODUCT(-- ISNUMBER(SEARCH({"Formula","Roll-Up Summary"}, $B78))) &gt; 0,$B78 &amp; " (" &amp; $E78 &amp; ")",IF(SUMPRODUCT(-- ISNUMBER(SEARCH({"Content","Currency","Number","Percent","Text","URL"}, $B78))) &gt; 0,$B78 &amp; "(" &amp; $C78 &amp; ")",$B78)))), "  ", TRIM(IF($S78 = "YES", "(External ID)", "") &amp; " " &amp; IF(SUMPRODUCT(-- ISNUMBER(SEARCH({"Unique","Unique Case Insensitive"}, $R78))) &gt; 0, "(" &amp; $R78 &amp; ")", ""))))</f>
        <v>na</v>
      </c>
      <c r="E78" s="7" t="s">
        <v>195</v>
      </c>
      <c r="F78" s="7" t="s">
        <v>195</v>
      </c>
      <c r="G78" s="7" t="s">
        <v>195</v>
      </c>
      <c r="H78" s="7" t="s">
        <v>195</v>
      </c>
      <c r="I78" s="7" t="s">
        <v>195</v>
      </c>
      <c r="J78" s="7" t="s">
        <v>195</v>
      </c>
      <c r="K78" s="7" t="s">
        <v>195</v>
      </c>
      <c r="L78" s="7" t="s">
        <v>195</v>
      </c>
      <c r="M78" s="7" t="s">
        <v>29</v>
      </c>
      <c r="N78" s="7" t="s">
        <v>29</v>
      </c>
      <c r="O78" s="7" t="s">
        <v>29</v>
      </c>
      <c r="P78" s="7" t="s">
        <v>29</v>
      </c>
      <c r="Q78" s="7" t="s">
        <v>29</v>
      </c>
      <c r="R78" s="7" t="s">
        <v>29</v>
      </c>
      <c r="S78" s="7" t="s">
        <v>29</v>
      </c>
    </row>
    <row r="79" spans="2:19">
      <c r="B79" s="7" t="s">
        <v>195</v>
      </c>
      <c r="C79" s="8" t="s">
        <v>195</v>
      </c>
      <c r="D79" s="6" t="str">
        <f>LRTRIM(CONCATENATE(IF(SUMPRODUCT(-- ISNUMBER(SEARCH({"Auto Number"}, $B79))) &gt; 0, $B79, IF(SUMPRODUCT(-- ISNUMBER(SEARCH({"Lookup","Master-Detail"}, $B79))) &gt; 0,$B79 &amp; "(" &amp; $E79 &amp; ")",IF(SUMPRODUCT(-- ISNUMBER(SEARCH({"Formula","Roll-Up Summary"}, $B79))) &gt; 0,$B79 &amp; " (" &amp; $E79 &amp; ")",IF(SUMPRODUCT(-- ISNUMBER(SEARCH({"Content","Currency","Number","Percent","Text","URL"}, $B79))) &gt; 0,$B79 &amp; "(" &amp; $C79 &amp; ")",$B79)))), "  ", TRIM(IF($S79 = "YES", "(External ID)", "") &amp; " " &amp; IF(SUMPRODUCT(-- ISNUMBER(SEARCH({"Unique","Unique Case Insensitive"}, $R79))) &gt; 0, "(" &amp; $R79 &amp; ")", ""))))</f>
        <v>na</v>
      </c>
      <c r="E79" s="7" t="s">
        <v>195</v>
      </c>
      <c r="F79" s="7" t="s">
        <v>195</v>
      </c>
      <c r="G79" s="7" t="s">
        <v>195</v>
      </c>
      <c r="H79" s="7" t="s">
        <v>195</v>
      </c>
      <c r="I79" s="7" t="s">
        <v>195</v>
      </c>
      <c r="J79" s="7" t="s">
        <v>195</v>
      </c>
      <c r="K79" s="7" t="s">
        <v>195</v>
      </c>
      <c r="L79" s="7" t="s">
        <v>195</v>
      </c>
      <c r="M79" s="7" t="s">
        <v>29</v>
      </c>
      <c r="N79" s="7" t="s">
        <v>29</v>
      </c>
      <c r="O79" s="7" t="s">
        <v>29</v>
      </c>
      <c r="P79" s="7" t="s">
        <v>29</v>
      </c>
      <c r="Q79" s="7" t="s">
        <v>29</v>
      </c>
      <c r="R79" s="7" t="s">
        <v>29</v>
      </c>
      <c r="S79" s="7" t="s">
        <v>29</v>
      </c>
    </row>
    <row r="80" spans="2:19">
      <c r="B80" s="7" t="s">
        <v>195</v>
      </c>
      <c r="C80" s="8" t="s">
        <v>195</v>
      </c>
      <c r="D80" s="6" t="str">
        <f>LRTRIM(CONCATENATE(IF(SUMPRODUCT(-- ISNUMBER(SEARCH({"Auto Number"}, $B80))) &gt; 0, $B80, IF(SUMPRODUCT(-- ISNUMBER(SEARCH({"Lookup","Master-Detail"}, $B80))) &gt; 0,$B80 &amp; "(" &amp; $E80 &amp; ")",IF(SUMPRODUCT(-- ISNUMBER(SEARCH({"Formula","Roll-Up Summary"}, $B80))) &gt; 0,$B80 &amp; " (" &amp; $E80 &amp; ")",IF(SUMPRODUCT(-- ISNUMBER(SEARCH({"Content","Currency","Number","Percent","Text","URL"}, $B80))) &gt; 0,$B80 &amp; "(" &amp; $C80 &amp; ")",$B80)))), "  ", TRIM(IF($S80 = "YES", "(External ID)", "") &amp; " " &amp; IF(SUMPRODUCT(-- ISNUMBER(SEARCH({"Unique","Unique Case Insensitive"}, $R80))) &gt; 0, "(" &amp; $R80 &amp; ")", ""))))</f>
        <v>na</v>
      </c>
      <c r="E80" s="7" t="s">
        <v>195</v>
      </c>
      <c r="F80" s="7" t="s">
        <v>195</v>
      </c>
      <c r="G80" s="7" t="s">
        <v>195</v>
      </c>
      <c r="H80" s="7" t="s">
        <v>195</v>
      </c>
      <c r="I80" s="7" t="s">
        <v>195</v>
      </c>
      <c r="J80" s="7" t="s">
        <v>195</v>
      </c>
      <c r="K80" s="7" t="s">
        <v>195</v>
      </c>
      <c r="L80" s="7" t="s">
        <v>195</v>
      </c>
      <c r="M80" s="7" t="s">
        <v>29</v>
      </c>
      <c r="N80" s="7" t="s">
        <v>29</v>
      </c>
      <c r="O80" s="7" t="s">
        <v>29</v>
      </c>
      <c r="P80" s="7" t="s">
        <v>29</v>
      </c>
      <c r="Q80" s="7" t="s">
        <v>29</v>
      </c>
      <c r="R80" s="7" t="s">
        <v>29</v>
      </c>
      <c r="S80" s="7" t="s">
        <v>29</v>
      </c>
    </row>
    <row r="81" spans="2:19">
      <c r="B81" s="7" t="s">
        <v>195</v>
      </c>
      <c r="C81" s="8" t="s">
        <v>195</v>
      </c>
      <c r="D81" s="6" t="str">
        <f>LRTRIM(CONCATENATE(IF(SUMPRODUCT(-- ISNUMBER(SEARCH({"Auto Number"}, $B81))) &gt; 0, $B81, IF(SUMPRODUCT(-- ISNUMBER(SEARCH({"Lookup","Master-Detail"}, $B81))) &gt; 0,$B81 &amp; "(" &amp; $E81 &amp; ")",IF(SUMPRODUCT(-- ISNUMBER(SEARCH({"Formula","Roll-Up Summary"}, $B81))) &gt; 0,$B81 &amp; " (" &amp; $E81 &amp; ")",IF(SUMPRODUCT(-- ISNUMBER(SEARCH({"Content","Currency","Number","Percent","Text","URL"}, $B81))) &gt; 0,$B81 &amp; "(" &amp; $C81 &amp; ")",$B81)))), "  ", TRIM(IF($S81 = "YES", "(External ID)", "") &amp; " " &amp; IF(SUMPRODUCT(-- ISNUMBER(SEARCH({"Unique","Unique Case Insensitive"}, $R81))) &gt; 0, "(" &amp; $R81 &amp; ")", ""))))</f>
        <v>na</v>
      </c>
      <c r="E81" s="7" t="s">
        <v>195</v>
      </c>
      <c r="F81" s="7" t="s">
        <v>195</v>
      </c>
      <c r="G81" s="7" t="s">
        <v>195</v>
      </c>
      <c r="H81" s="7" t="s">
        <v>195</v>
      </c>
      <c r="I81" s="7" t="s">
        <v>195</v>
      </c>
      <c r="J81" s="7" t="s">
        <v>195</v>
      </c>
      <c r="K81" s="7" t="s">
        <v>195</v>
      </c>
      <c r="L81" s="7" t="s">
        <v>195</v>
      </c>
      <c r="M81" s="7" t="s">
        <v>29</v>
      </c>
      <c r="N81" s="7" t="s">
        <v>29</v>
      </c>
      <c r="O81" s="7" t="s">
        <v>29</v>
      </c>
      <c r="P81" s="7" t="s">
        <v>29</v>
      </c>
      <c r="Q81" s="7" t="s">
        <v>29</v>
      </c>
      <c r="R81" s="7" t="s">
        <v>29</v>
      </c>
      <c r="S81" s="7" t="s">
        <v>29</v>
      </c>
    </row>
    <row r="82" spans="2:19">
      <c r="B82" s="7" t="s">
        <v>195</v>
      </c>
      <c r="C82" s="8" t="s">
        <v>195</v>
      </c>
      <c r="D82" s="6" t="str">
        <f>LRTRIM(CONCATENATE(IF(SUMPRODUCT(-- ISNUMBER(SEARCH({"Auto Number"}, $B82))) &gt; 0, $B82, IF(SUMPRODUCT(-- ISNUMBER(SEARCH({"Lookup","Master-Detail"}, $B82))) &gt; 0,$B82 &amp; "(" &amp; $E82 &amp; ")",IF(SUMPRODUCT(-- ISNUMBER(SEARCH({"Formula","Roll-Up Summary"}, $B82))) &gt; 0,$B82 &amp; " (" &amp; $E82 &amp; ")",IF(SUMPRODUCT(-- ISNUMBER(SEARCH({"Content","Currency","Number","Percent","Text","URL"}, $B82))) &gt; 0,$B82 &amp; "(" &amp; $C82 &amp; ")",$B82)))), "  ", TRIM(IF($S82 = "YES", "(External ID)", "") &amp; " " &amp; IF(SUMPRODUCT(-- ISNUMBER(SEARCH({"Unique","Unique Case Insensitive"}, $R82))) &gt; 0, "(" &amp; $R82 &amp; ")", ""))))</f>
        <v>na</v>
      </c>
      <c r="E82" s="7" t="s">
        <v>195</v>
      </c>
      <c r="F82" s="7" t="s">
        <v>195</v>
      </c>
      <c r="G82" s="7" t="s">
        <v>195</v>
      </c>
      <c r="H82" s="7" t="s">
        <v>195</v>
      </c>
      <c r="I82" s="7" t="s">
        <v>195</v>
      </c>
      <c r="J82" s="7" t="s">
        <v>195</v>
      </c>
      <c r="K82" s="7" t="s">
        <v>195</v>
      </c>
      <c r="L82" s="7" t="s">
        <v>195</v>
      </c>
      <c r="M82" s="7" t="s">
        <v>29</v>
      </c>
      <c r="N82" s="7" t="s">
        <v>29</v>
      </c>
      <c r="O82" s="7" t="s">
        <v>29</v>
      </c>
      <c r="P82" s="7" t="s">
        <v>29</v>
      </c>
      <c r="Q82" s="7" t="s">
        <v>29</v>
      </c>
      <c r="R82" s="7" t="s">
        <v>29</v>
      </c>
      <c r="S82" s="7" t="s">
        <v>29</v>
      </c>
    </row>
    <row r="83" spans="2:19">
      <c r="B83" s="7" t="s">
        <v>195</v>
      </c>
      <c r="C83" s="8" t="s">
        <v>195</v>
      </c>
      <c r="D83" s="6" t="str">
        <f>LRTRIM(CONCATENATE(IF(SUMPRODUCT(-- ISNUMBER(SEARCH({"Auto Number"}, $B83))) &gt; 0, $B83, IF(SUMPRODUCT(-- ISNUMBER(SEARCH({"Lookup","Master-Detail"}, $B83))) &gt; 0,$B83 &amp; "(" &amp; $E83 &amp; ")",IF(SUMPRODUCT(-- ISNUMBER(SEARCH({"Formula","Roll-Up Summary"}, $B83))) &gt; 0,$B83 &amp; " (" &amp; $E83 &amp; ")",IF(SUMPRODUCT(-- ISNUMBER(SEARCH({"Content","Currency","Number","Percent","Text","URL"}, $B83))) &gt; 0,$B83 &amp; "(" &amp; $C83 &amp; ")",$B83)))), "  ", TRIM(IF($S83 = "YES", "(External ID)", "") &amp; " " &amp; IF(SUMPRODUCT(-- ISNUMBER(SEARCH({"Unique","Unique Case Insensitive"}, $R83))) &gt; 0, "(" &amp; $R83 &amp; ")", ""))))</f>
        <v>na</v>
      </c>
      <c r="E83" s="7" t="s">
        <v>195</v>
      </c>
      <c r="F83" s="7" t="s">
        <v>195</v>
      </c>
      <c r="G83" s="7" t="s">
        <v>195</v>
      </c>
      <c r="H83" s="7" t="s">
        <v>195</v>
      </c>
      <c r="I83" s="7" t="s">
        <v>195</v>
      </c>
      <c r="J83" s="7" t="s">
        <v>195</v>
      </c>
      <c r="K83" s="7" t="s">
        <v>195</v>
      </c>
      <c r="L83" s="7" t="s">
        <v>195</v>
      </c>
      <c r="M83" s="7" t="s">
        <v>29</v>
      </c>
      <c r="N83" s="7" t="s">
        <v>29</v>
      </c>
      <c r="O83" s="7" t="s">
        <v>29</v>
      </c>
      <c r="P83" s="7" t="s">
        <v>29</v>
      </c>
      <c r="Q83" s="7" t="s">
        <v>29</v>
      </c>
      <c r="R83" s="7" t="s">
        <v>29</v>
      </c>
      <c r="S83" s="7" t="s">
        <v>29</v>
      </c>
    </row>
    <row r="84" spans="2:19">
      <c r="B84" s="7" t="s">
        <v>195</v>
      </c>
      <c r="C84" s="8" t="s">
        <v>195</v>
      </c>
      <c r="D84" s="6" t="str">
        <f>LRTRIM(CONCATENATE(IF(SUMPRODUCT(-- ISNUMBER(SEARCH({"Auto Number"}, $B84))) &gt; 0, $B84, IF(SUMPRODUCT(-- ISNUMBER(SEARCH({"Lookup","Master-Detail"}, $B84))) &gt; 0,$B84 &amp; "(" &amp; $E84 &amp; ")",IF(SUMPRODUCT(-- ISNUMBER(SEARCH({"Formula","Roll-Up Summary"}, $B84))) &gt; 0,$B84 &amp; " (" &amp; $E84 &amp; ")",IF(SUMPRODUCT(-- ISNUMBER(SEARCH({"Content","Currency","Number","Percent","Text","URL"}, $B84))) &gt; 0,$B84 &amp; "(" &amp; $C84 &amp; ")",$B84)))), "  ", TRIM(IF($S84 = "YES", "(External ID)", "") &amp; " " &amp; IF(SUMPRODUCT(-- ISNUMBER(SEARCH({"Unique","Unique Case Insensitive"}, $R84))) &gt; 0, "(" &amp; $R84 &amp; ")", ""))))</f>
        <v>na</v>
      </c>
      <c r="E84" s="7" t="s">
        <v>195</v>
      </c>
      <c r="F84" s="7" t="s">
        <v>195</v>
      </c>
      <c r="G84" s="7" t="s">
        <v>195</v>
      </c>
      <c r="H84" s="7" t="s">
        <v>195</v>
      </c>
      <c r="I84" s="7" t="s">
        <v>195</v>
      </c>
      <c r="J84" s="7" t="s">
        <v>195</v>
      </c>
      <c r="K84" s="7" t="s">
        <v>195</v>
      </c>
      <c r="L84" s="7" t="s">
        <v>195</v>
      </c>
      <c r="M84" s="7" t="s">
        <v>29</v>
      </c>
      <c r="N84" s="7" t="s">
        <v>29</v>
      </c>
      <c r="O84" s="7" t="s">
        <v>29</v>
      </c>
      <c r="P84" s="7" t="s">
        <v>29</v>
      </c>
      <c r="Q84" s="7" t="s">
        <v>29</v>
      </c>
      <c r="R84" s="7" t="s">
        <v>29</v>
      </c>
      <c r="S84" s="7" t="s">
        <v>29</v>
      </c>
    </row>
    <row r="85" spans="2:19">
      <c r="B85" s="7" t="s">
        <v>195</v>
      </c>
      <c r="C85" s="8" t="s">
        <v>195</v>
      </c>
      <c r="D85" s="6" t="str">
        <f>LRTRIM(CONCATENATE(IF(SUMPRODUCT(-- ISNUMBER(SEARCH({"Auto Number"}, $B85))) &gt; 0, $B85, IF(SUMPRODUCT(-- ISNUMBER(SEARCH({"Lookup","Master-Detail"}, $B85))) &gt; 0,$B85 &amp; "(" &amp; $E85 &amp; ")",IF(SUMPRODUCT(-- ISNUMBER(SEARCH({"Formula","Roll-Up Summary"}, $B85))) &gt; 0,$B85 &amp; " (" &amp; $E85 &amp; ")",IF(SUMPRODUCT(-- ISNUMBER(SEARCH({"Content","Currency","Number","Percent","Text","URL"}, $B85))) &gt; 0,$B85 &amp; "(" &amp; $C85 &amp; ")",$B85)))), "  ", TRIM(IF($S85 = "YES", "(External ID)", "") &amp; " " &amp; IF(SUMPRODUCT(-- ISNUMBER(SEARCH({"Unique","Unique Case Insensitive"}, $R85))) &gt; 0, "(" &amp; $R85 &amp; ")", ""))))</f>
        <v>na</v>
      </c>
      <c r="E85" s="7" t="s">
        <v>195</v>
      </c>
      <c r="F85" s="7" t="s">
        <v>195</v>
      </c>
      <c r="G85" s="7" t="s">
        <v>195</v>
      </c>
      <c r="H85" s="7" t="s">
        <v>195</v>
      </c>
      <c r="I85" s="7" t="s">
        <v>195</v>
      </c>
      <c r="J85" s="7" t="s">
        <v>195</v>
      </c>
      <c r="K85" s="7" t="s">
        <v>195</v>
      </c>
      <c r="L85" s="7" t="s">
        <v>195</v>
      </c>
      <c r="M85" s="7" t="s">
        <v>29</v>
      </c>
      <c r="N85" s="7" t="s">
        <v>29</v>
      </c>
      <c r="O85" s="7" t="s">
        <v>29</v>
      </c>
      <c r="P85" s="7" t="s">
        <v>29</v>
      </c>
      <c r="Q85" s="7" t="s">
        <v>29</v>
      </c>
      <c r="R85" s="7" t="s">
        <v>29</v>
      </c>
      <c r="S85" s="7" t="s">
        <v>29</v>
      </c>
    </row>
    <row r="86" spans="2:19">
      <c r="B86" s="7" t="s">
        <v>195</v>
      </c>
      <c r="C86" s="8" t="s">
        <v>195</v>
      </c>
      <c r="D86" s="6" t="str">
        <f>LRTRIM(CONCATENATE(IF(SUMPRODUCT(-- ISNUMBER(SEARCH({"Auto Number"}, $B86))) &gt; 0, $B86, IF(SUMPRODUCT(-- ISNUMBER(SEARCH({"Lookup","Master-Detail"}, $B86))) &gt; 0,$B86 &amp; "(" &amp; $E86 &amp; ")",IF(SUMPRODUCT(-- ISNUMBER(SEARCH({"Formula","Roll-Up Summary"}, $B86))) &gt; 0,$B86 &amp; " (" &amp; $E86 &amp; ")",IF(SUMPRODUCT(-- ISNUMBER(SEARCH({"Content","Currency","Number","Percent","Text","URL"}, $B86))) &gt; 0,$B86 &amp; "(" &amp; $C86 &amp; ")",$B86)))), "  ", TRIM(IF($S86 = "YES", "(External ID)", "") &amp; " " &amp; IF(SUMPRODUCT(-- ISNUMBER(SEARCH({"Unique","Unique Case Insensitive"}, $R86))) &gt; 0, "(" &amp; $R86 &amp; ")", ""))))</f>
        <v>na</v>
      </c>
      <c r="E86" s="7" t="s">
        <v>195</v>
      </c>
      <c r="F86" s="7" t="s">
        <v>195</v>
      </c>
      <c r="G86" s="7" t="s">
        <v>195</v>
      </c>
      <c r="H86" s="7" t="s">
        <v>195</v>
      </c>
      <c r="I86" s="7" t="s">
        <v>195</v>
      </c>
      <c r="J86" s="7" t="s">
        <v>195</v>
      </c>
      <c r="K86" s="7" t="s">
        <v>195</v>
      </c>
      <c r="L86" s="7" t="s">
        <v>195</v>
      </c>
      <c r="M86" s="7" t="s">
        <v>29</v>
      </c>
      <c r="N86" s="7" t="s">
        <v>29</v>
      </c>
      <c r="O86" s="7" t="s">
        <v>29</v>
      </c>
      <c r="P86" s="7" t="s">
        <v>29</v>
      </c>
      <c r="Q86" s="7" t="s">
        <v>29</v>
      </c>
      <c r="R86" s="7" t="s">
        <v>29</v>
      </c>
      <c r="S86" s="7" t="s">
        <v>29</v>
      </c>
    </row>
    <row r="87" spans="2:19">
      <c r="B87" s="7" t="s">
        <v>195</v>
      </c>
      <c r="C87" s="8" t="s">
        <v>195</v>
      </c>
      <c r="D87" s="6" t="str">
        <f>LRTRIM(CONCATENATE(IF(SUMPRODUCT(-- ISNUMBER(SEARCH({"Auto Number"}, $B87))) &gt; 0, $B87, IF(SUMPRODUCT(-- ISNUMBER(SEARCH({"Lookup","Master-Detail"}, $B87))) &gt; 0,$B87 &amp; "(" &amp; $E87 &amp; ")",IF(SUMPRODUCT(-- ISNUMBER(SEARCH({"Formula","Roll-Up Summary"}, $B87))) &gt; 0,$B87 &amp; " (" &amp; $E87 &amp; ")",IF(SUMPRODUCT(-- ISNUMBER(SEARCH({"Content","Currency","Number","Percent","Text","URL"}, $B87))) &gt; 0,$B87 &amp; "(" &amp; $C87 &amp; ")",$B87)))), "  ", TRIM(IF($S87 = "YES", "(External ID)", "") &amp; " " &amp; IF(SUMPRODUCT(-- ISNUMBER(SEARCH({"Unique","Unique Case Insensitive"}, $R87))) &gt; 0, "(" &amp; $R87 &amp; ")", ""))))</f>
        <v>na</v>
      </c>
      <c r="E87" s="7" t="s">
        <v>195</v>
      </c>
      <c r="F87" s="7" t="s">
        <v>195</v>
      </c>
      <c r="G87" s="7" t="s">
        <v>195</v>
      </c>
      <c r="H87" s="7" t="s">
        <v>195</v>
      </c>
      <c r="I87" s="7" t="s">
        <v>195</v>
      </c>
      <c r="J87" s="7" t="s">
        <v>195</v>
      </c>
      <c r="K87" s="7" t="s">
        <v>195</v>
      </c>
      <c r="L87" s="7" t="s">
        <v>195</v>
      </c>
      <c r="M87" s="7" t="s">
        <v>29</v>
      </c>
      <c r="N87" s="7" t="s">
        <v>29</v>
      </c>
      <c r="O87" s="7" t="s">
        <v>29</v>
      </c>
      <c r="P87" s="7" t="s">
        <v>29</v>
      </c>
      <c r="Q87" s="7" t="s">
        <v>29</v>
      </c>
      <c r="R87" s="7" t="s">
        <v>29</v>
      </c>
      <c r="S87" s="7" t="s">
        <v>29</v>
      </c>
    </row>
    <row r="88" spans="2:19">
      <c r="B88" s="7" t="s">
        <v>195</v>
      </c>
      <c r="C88" s="8" t="s">
        <v>195</v>
      </c>
      <c r="D88" s="6" t="str">
        <f>LRTRIM(CONCATENATE(IF(SUMPRODUCT(-- ISNUMBER(SEARCH({"Auto Number"}, $B88))) &gt; 0, $B88, IF(SUMPRODUCT(-- ISNUMBER(SEARCH({"Lookup","Master-Detail"}, $B88))) &gt; 0,$B88 &amp; "(" &amp; $E88 &amp; ")",IF(SUMPRODUCT(-- ISNUMBER(SEARCH({"Formula","Roll-Up Summary"}, $B88))) &gt; 0,$B88 &amp; " (" &amp; $E88 &amp; ")",IF(SUMPRODUCT(-- ISNUMBER(SEARCH({"Content","Currency","Number","Percent","Text","URL"}, $B88))) &gt; 0,$B88 &amp; "(" &amp; $C88 &amp; ")",$B88)))), "  ", TRIM(IF($S88 = "YES", "(External ID)", "") &amp; " " &amp; IF(SUMPRODUCT(-- ISNUMBER(SEARCH({"Unique","Unique Case Insensitive"}, $R88))) &gt; 0, "(" &amp; $R88 &amp; ")", ""))))</f>
        <v>na</v>
      </c>
      <c r="E88" s="7" t="s">
        <v>195</v>
      </c>
      <c r="F88" s="7" t="s">
        <v>195</v>
      </c>
      <c r="G88" s="7" t="s">
        <v>195</v>
      </c>
      <c r="H88" s="7" t="s">
        <v>195</v>
      </c>
      <c r="I88" s="7" t="s">
        <v>195</v>
      </c>
      <c r="J88" s="7" t="s">
        <v>195</v>
      </c>
      <c r="K88" s="7" t="s">
        <v>195</v>
      </c>
      <c r="L88" s="7" t="s">
        <v>195</v>
      </c>
      <c r="M88" s="7" t="s">
        <v>29</v>
      </c>
      <c r="N88" s="7" t="s">
        <v>29</v>
      </c>
      <c r="O88" s="7" t="s">
        <v>29</v>
      </c>
      <c r="P88" s="7" t="s">
        <v>29</v>
      </c>
      <c r="Q88" s="7" t="s">
        <v>29</v>
      </c>
      <c r="R88" s="7" t="s">
        <v>29</v>
      </c>
      <c r="S88" s="7" t="s">
        <v>29</v>
      </c>
    </row>
    <row r="89" spans="2:19">
      <c r="B89" s="7" t="s">
        <v>195</v>
      </c>
      <c r="C89" s="8" t="s">
        <v>195</v>
      </c>
      <c r="D89" s="6" t="str">
        <f>LRTRIM(CONCATENATE(IF(SUMPRODUCT(-- ISNUMBER(SEARCH({"Auto Number"}, $B89))) &gt; 0, $B89, IF(SUMPRODUCT(-- ISNUMBER(SEARCH({"Lookup","Master-Detail"}, $B89))) &gt; 0,$B89 &amp; "(" &amp; $E89 &amp; ")",IF(SUMPRODUCT(-- ISNUMBER(SEARCH({"Formula","Roll-Up Summary"}, $B89))) &gt; 0,$B89 &amp; " (" &amp; $E89 &amp; ")",IF(SUMPRODUCT(-- ISNUMBER(SEARCH({"Content","Currency","Number","Percent","Text","URL"}, $B89))) &gt; 0,$B89 &amp; "(" &amp; $C89 &amp; ")",$B89)))), "  ", TRIM(IF($S89 = "YES", "(External ID)", "") &amp; " " &amp; IF(SUMPRODUCT(-- ISNUMBER(SEARCH({"Unique","Unique Case Insensitive"}, $R89))) &gt; 0, "(" &amp; $R89 &amp; ")", ""))))</f>
        <v>na</v>
      </c>
      <c r="E89" s="7" t="s">
        <v>195</v>
      </c>
      <c r="F89" s="7" t="s">
        <v>195</v>
      </c>
      <c r="G89" s="7" t="s">
        <v>195</v>
      </c>
      <c r="H89" s="7" t="s">
        <v>195</v>
      </c>
      <c r="I89" s="7" t="s">
        <v>195</v>
      </c>
      <c r="J89" s="7" t="s">
        <v>195</v>
      </c>
      <c r="K89" s="7" t="s">
        <v>195</v>
      </c>
      <c r="L89" s="7" t="s">
        <v>195</v>
      </c>
      <c r="M89" s="7" t="s">
        <v>29</v>
      </c>
      <c r="N89" s="7" t="s">
        <v>29</v>
      </c>
      <c r="O89" s="7" t="s">
        <v>29</v>
      </c>
      <c r="P89" s="7" t="s">
        <v>29</v>
      </c>
      <c r="Q89" s="7" t="s">
        <v>29</v>
      </c>
      <c r="R89" s="7" t="s">
        <v>29</v>
      </c>
      <c r="S89" s="7" t="s">
        <v>29</v>
      </c>
    </row>
    <row r="90" spans="2:19">
      <c r="B90" s="7" t="s">
        <v>195</v>
      </c>
      <c r="C90" s="8" t="s">
        <v>195</v>
      </c>
      <c r="D90" s="6" t="str">
        <f>LRTRIM(CONCATENATE(IF(SUMPRODUCT(-- ISNUMBER(SEARCH({"Auto Number"}, $B90))) &gt; 0, $B90, IF(SUMPRODUCT(-- ISNUMBER(SEARCH({"Lookup","Master-Detail"}, $B90))) &gt; 0,$B90 &amp; "(" &amp; $E90 &amp; ")",IF(SUMPRODUCT(-- ISNUMBER(SEARCH({"Formula","Roll-Up Summary"}, $B90))) &gt; 0,$B90 &amp; " (" &amp; $E90 &amp; ")",IF(SUMPRODUCT(-- ISNUMBER(SEARCH({"Content","Currency","Number","Percent","Text","URL"}, $B90))) &gt; 0,$B90 &amp; "(" &amp; $C90 &amp; ")",$B90)))), "  ", TRIM(IF($S90 = "YES", "(External ID)", "") &amp; " " &amp; IF(SUMPRODUCT(-- ISNUMBER(SEARCH({"Unique","Unique Case Insensitive"}, $R90))) &gt; 0, "(" &amp; $R90 &amp; ")", ""))))</f>
        <v>na</v>
      </c>
      <c r="E90" s="7" t="s">
        <v>195</v>
      </c>
      <c r="F90" s="7" t="s">
        <v>195</v>
      </c>
      <c r="G90" s="7" t="s">
        <v>195</v>
      </c>
      <c r="H90" s="7" t="s">
        <v>195</v>
      </c>
      <c r="I90" s="7" t="s">
        <v>195</v>
      </c>
      <c r="J90" s="7" t="s">
        <v>195</v>
      </c>
      <c r="K90" s="7" t="s">
        <v>195</v>
      </c>
      <c r="L90" s="7" t="s">
        <v>195</v>
      </c>
      <c r="M90" s="7" t="s">
        <v>29</v>
      </c>
      <c r="N90" s="7" t="s">
        <v>29</v>
      </c>
      <c r="O90" s="7" t="s">
        <v>29</v>
      </c>
      <c r="P90" s="7" t="s">
        <v>29</v>
      </c>
      <c r="Q90" s="7" t="s">
        <v>29</v>
      </c>
      <c r="R90" s="7" t="s">
        <v>29</v>
      </c>
      <c r="S90" s="7" t="s">
        <v>29</v>
      </c>
    </row>
    <row r="91" spans="2:19">
      <c r="B91" s="7" t="s">
        <v>195</v>
      </c>
      <c r="C91" s="8" t="s">
        <v>195</v>
      </c>
      <c r="D91" s="6" t="str">
        <f>LRTRIM(CONCATENATE(IF(SUMPRODUCT(-- ISNUMBER(SEARCH({"Auto Number"}, $B91))) &gt; 0, $B91, IF(SUMPRODUCT(-- ISNUMBER(SEARCH({"Lookup","Master-Detail"}, $B91))) &gt; 0,$B91 &amp; "(" &amp; $E91 &amp; ")",IF(SUMPRODUCT(-- ISNUMBER(SEARCH({"Formula","Roll-Up Summary"}, $B91))) &gt; 0,$B91 &amp; " (" &amp; $E91 &amp; ")",IF(SUMPRODUCT(-- ISNUMBER(SEARCH({"Content","Currency","Number","Percent","Text","URL"}, $B91))) &gt; 0,$B91 &amp; "(" &amp; $C91 &amp; ")",$B91)))), "  ", TRIM(IF($S91 = "YES", "(External ID)", "") &amp; " " &amp; IF(SUMPRODUCT(-- ISNUMBER(SEARCH({"Unique","Unique Case Insensitive"}, $R91))) &gt; 0, "(" &amp; $R91 &amp; ")", ""))))</f>
        <v>na</v>
      </c>
      <c r="E91" s="7" t="s">
        <v>195</v>
      </c>
      <c r="F91" s="7" t="s">
        <v>195</v>
      </c>
      <c r="G91" s="7" t="s">
        <v>195</v>
      </c>
      <c r="H91" s="7" t="s">
        <v>195</v>
      </c>
      <c r="I91" s="7" t="s">
        <v>195</v>
      </c>
      <c r="J91" s="7" t="s">
        <v>195</v>
      </c>
      <c r="K91" s="7" t="s">
        <v>195</v>
      </c>
      <c r="L91" s="7" t="s">
        <v>195</v>
      </c>
      <c r="M91" s="7" t="s">
        <v>29</v>
      </c>
      <c r="N91" s="7" t="s">
        <v>29</v>
      </c>
      <c r="O91" s="7" t="s">
        <v>29</v>
      </c>
      <c r="P91" s="7" t="s">
        <v>29</v>
      </c>
      <c r="Q91" s="7" t="s">
        <v>29</v>
      </c>
      <c r="R91" s="7" t="s">
        <v>29</v>
      </c>
      <c r="S91" s="7" t="s">
        <v>29</v>
      </c>
    </row>
    <row r="92" spans="2:19">
      <c r="B92" s="7" t="s">
        <v>195</v>
      </c>
      <c r="C92" s="8" t="s">
        <v>195</v>
      </c>
      <c r="D92" s="6" t="str">
        <f>LRTRIM(CONCATENATE(IF(SUMPRODUCT(-- ISNUMBER(SEARCH({"Auto Number"}, $B92))) &gt; 0, $B92, IF(SUMPRODUCT(-- ISNUMBER(SEARCH({"Lookup","Master-Detail"}, $B92))) &gt; 0,$B92 &amp; "(" &amp; $E92 &amp; ")",IF(SUMPRODUCT(-- ISNUMBER(SEARCH({"Formula","Roll-Up Summary"}, $B92))) &gt; 0,$B92 &amp; " (" &amp; $E92 &amp; ")",IF(SUMPRODUCT(-- ISNUMBER(SEARCH({"Content","Currency","Number","Percent","Text","URL"}, $B92))) &gt; 0,$B92 &amp; "(" &amp; $C92 &amp; ")",$B92)))), "  ", TRIM(IF($S92 = "YES", "(External ID)", "") &amp; " " &amp; IF(SUMPRODUCT(-- ISNUMBER(SEARCH({"Unique","Unique Case Insensitive"}, $R92))) &gt; 0, "(" &amp; $R92 &amp; ")", ""))))</f>
        <v>na</v>
      </c>
      <c r="E92" s="7" t="s">
        <v>195</v>
      </c>
      <c r="F92" s="7" t="s">
        <v>195</v>
      </c>
      <c r="G92" s="7" t="s">
        <v>195</v>
      </c>
      <c r="H92" s="7" t="s">
        <v>195</v>
      </c>
      <c r="I92" s="7" t="s">
        <v>195</v>
      </c>
      <c r="J92" s="7" t="s">
        <v>195</v>
      </c>
      <c r="K92" s="7" t="s">
        <v>195</v>
      </c>
      <c r="L92" s="7" t="s">
        <v>195</v>
      </c>
      <c r="M92" s="7" t="s">
        <v>29</v>
      </c>
      <c r="N92" s="7" t="s">
        <v>29</v>
      </c>
      <c r="O92" s="7" t="s">
        <v>29</v>
      </c>
      <c r="P92" s="7" t="s">
        <v>29</v>
      </c>
      <c r="Q92" s="7" t="s">
        <v>29</v>
      </c>
      <c r="R92" s="7" t="s">
        <v>29</v>
      </c>
      <c r="S92" s="7" t="s">
        <v>29</v>
      </c>
    </row>
    <row r="93" spans="2:19">
      <c r="B93" s="7" t="s">
        <v>195</v>
      </c>
      <c r="C93" s="8" t="s">
        <v>195</v>
      </c>
      <c r="D93" s="6" t="str">
        <f>LRTRIM(CONCATENATE(IF(SUMPRODUCT(-- ISNUMBER(SEARCH({"Auto Number"}, $B93))) &gt; 0, $B93, IF(SUMPRODUCT(-- ISNUMBER(SEARCH({"Lookup","Master-Detail"}, $B93))) &gt; 0,$B93 &amp; "(" &amp; $E93 &amp; ")",IF(SUMPRODUCT(-- ISNUMBER(SEARCH({"Formula","Roll-Up Summary"}, $B93))) &gt; 0,$B93 &amp; " (" &amp; $E93 &amp; ")",IF(SUMPRODUCT(-- ISNUMBER(SEARCH({"Content","Currency","Number","Percent","Text","URL"}, $B93))) &gt; 0,$B93 &amp; "(" &amp; $C93 &amp; ")",$B93)))), "  ", TRIM(IF($S93 = "YES", "(External ID)", "") &amp; " " &amp; IF(SUMPRODUCT(-- ISNUMBER(SEARCH({"Unique","Unique Case Insensitive"}, $R93))) &gt; 0, "(" &amp; $R93 &amp; ")", ""))))</f>
        <v>na</v>
      </c>
      <c r="E93" s="7" t="s">
        <v>195</v>
      </c>
      <c r="F93" s="7" t="s">
        <v>195</v>
      </c>
      <c r="G93" s="7" t="s">
        <v>195</v>
      </c>
      <c r="H93" s="7" t="s">
        <v>195</v>
      </c>
      <c r="I93" s="7" t="s">
        <v>195</v>
      </c>
      <c r="J93" s="7" t="s">
        <v>195</v>
      </c>
      <c r="K93" s="7" t="s">
        <v>195</v>
      </c>
      <c r="L93" s="7" t="s">
        <v>195</v>
      </c>
      <c r="M93" s="7" t="s">
        <v>29</v>
      </c>
      <c r="N93" s="7" t="s">
        <v>29</v>
      </c>
      <c r="O93" s="7" t="s">
        <v>29</v>
      </c>
      <c r="P93" s="7" t="s">
        <v>29</v>
      </c>
      <c r="Q93" s="7" t="s">
        <v>29</v>
      </c>
      <c r="R93" s="7" t="s">
        <v>29</v>
      </c>
      <c r="S93" s="7" t="s">
        <v>29</v>
      </c>
    </row>
    <row r="94" spans="2:19">
      <c r="B94" s="7" t="s">
        <v>195</v>
      </c>
      <c r="C94" s="8" t="s">
        <v>195</v>
      </c>
      <c r="D94" s="6" t="str">
        <f>LRTRIM(CONCATENATE(IF(SUMPRODUCT(-- ISNUMBER(SEARCH({"Auto Number"}, $B94))) &gt; 0, $B94, IF(SUMPRODUCT(-- ISNUMBER(SEARCH({"Lookup","Master-Detail"}, $B94))) &gt; 0,$B94 &amp; "(" &amp; $E94 &amp; ")",IF(SUMPRODUCT(-- ISNUMBER(SEARCH({"Formula","Roll-Up Summary"}, $B94))) &gt; 0,$B94 &amp; " (" &amp; $E94 &amp; ")",IF(SUMPRODUCT(-- ISNUMBER(SEARCH({"Content","Currency","Number","Percent","Text","URL"}, $B94))) &gt; 0,$B94 &amp; "(" &amp; $C94 &amp; ")",$B94)))), "  ", TRIM(IF($S94 = "YES", "(External ID)", "") &amp; " " &amp; IF(SUMPRODUCT(-- ISNUMBER(SEARCH({"Unique","Unique Case Insensitive"}, $R94))) &gt; 0, "(" &amp; $R94 &amp; ")", ""))))</f>
        <v>na</v>
      </c>
      <c r="E94" s="7" t="s">
        <v>195</v>
      </c>
      <c r="F94" s="7" t="s">
        <v>195</v>
      </c>
      <c r="G94" s="7" t="s">
        <v>195</v>
      </c>
      <c r="H94" s="7" t="s">
        <v>195</v>
      </c>
      <c r="I94" s="7" t="s">
        <v>195</v>
      </c>
      <c r="J94" s="7" t="s">
        <v>195</v>
      </c>
      <c r="K94" s="7" t="s">
        <v>195</v>
      </c>
      <c r="L94" s="7" t="s">
        <v>195</v>
      </c>
      <c r="M94" s="7" t="s">
        <v>29</v>
      </c>
      <c r="N94" s="7" t="s">
        <v>29</v>
      </c>
      <c r="O94" s="7" t="s">
        <v>29</v>
      </c>
      <c r="P94" s="7" t="s">
        <v>29</v>
      </c>
      <c r="Q94" s="7" t="s">
        <v>29</v>
      </c>
      <c r="R94" s="7" t="s">
        <v>29</v>
      </c>
      <c r="S94" s="7" t="s">
        <v>29</v>
      </c>
    </row>
    <row r="95" spans="2:19">
      <c r="B95" s="7" t="s">
        <v>195</v>
      </c>
      <c r="C95" s="8" t="s">
        <v>195</v>
      </c>
      <c r="D95" s="6" t="str">
        <f>LRTRIM(CONCATENATE(IF(SUMPRODUCT(-- ISNUMBER(SEARCH({"Auto Number"}, $B95))) &gt; 0, $B95, IF(SUMPRODUCT(-- ISNUMBER(SEARCH({"Lookup","Master-Detail"}, $B95))) &gt; 0,$B95 &amp; "(" &amp; $E95 &amp; ")",IF(SUMPRODUCT(-- ISNUMBER(SEARCH({"Formula","Roll-Up Summary"}, $B95))) &gt; 0,$B95 &amp; " (" &amp; $E95 &amp; ")",IF(SUMPRODUCT(-- ISNUMBER(SEARCH({"Content","Currency","Number","Percent","Text","URL"}, $B95))) &gt; 0,$B95 &amp; "(" &amp; $C95 &amp; ")",$B95)))), "  ", TRIM(IF($S95 = "YES", "(External ID)", "") &amp; " " &amp; IF(SUMPRODUCT(-- ISNUMBER(SEARCH({"Unique","Unique Case Insensitive"}, $R95))) &gt; 0, "(" &amp; $R95 &amp; ")", ""))))</f>
        <v>na</v>
      </c>
      <c r="E95" s="7" t="s">
        <v>195</v>
      </c>
      <c r="F95" s="7" t="s">
        <v>195</v>
      </c>
      <c r="G95" s="7" t="s">
        <v>195</v>
      </c>
      <c r="H95" s="7" t="s">
        <v>195</v>
      </c>
      <c r="I95" s="7" t="s">
        <v>195</v>
      </c>
      <c r="J95" s="7" t="s">
        <v>195</v>
      </c>
      <c r="K95" s="7" t="s">
        <v>195</v>
      </c>
      <c r="L95" s="7" t="s">
        <v>195</v>
      </c>
      <c r="M95" s="7" t="s">
        <v>29</v>
      </c>
      <c r="N95" s="7" t="s">
        <v>29</v>
      </c>
      <c r="O95" s="7" t="s">
        <v>29</v>
      </c>
      <c r="P95" s="7" t="s">
        <v>29</v>
      </c>
      <c r="Q95" s="7" t="s">
        <v>29</v>
      </c>
      <c r="R95" s="7" t="s">
        <v>29</v>
      </c>
      <c r="S95" s="7" t="s">
        <v>29</v>
      </c>
    </row>
    <row r="96" spans="2:19">
      <c r="B96" s="7" t="s">
        <v>195</v>
      </c>
      <c r="C96" s="8" t="s">
        <v>195</v>
      </c>
      <c r="D96" s="6" t="str">
        <f>LRTRIM(CONCATENATE(IF(SUMPRODUCT(-- ISNUMBER(SEARCH({"Auto Number"}, $B96))) &gt; 0, $B96, IF(SUMPRODUCT(-- ISNUMBER(SEARCH({"Lookup","Master-Detail"}, $B96))) &gt; 0,$B96 &amp; "(" &amp; $E96 &amp; ")",IF(SUMPRODUCT(-- ISNUMBER(SEARCH({"Formula","Roll-Up Summary"}, $B96))) &gt; 0,$B96 &amp; " (" &amp; $E96 &amp; ")",IF(SUMPRODUCT(-- ISNUMBER(SEARCH({"Content","Currency","Number","Percent","Text","URL"}, $B96))) &gt; 0,$B96 &amp; "(" &amp; $C96 &amp; ")",$B96)))), "  ", TRIM(IF($S96 = "YES", "(External ID)", "") &amp; " " &amp; IF(SUMPRODUCT(-- ISNUMBER(SEARCH({"Unique","Unique Case Insensitive"}, $R96))) &gt; 0, "(" &amp; $R96 &amp; ")", ""))))</f>
        <v>na</v>
      </c>
      <c r="E96" s="7" t="s">
        <v>195</v>
      </c>
      <c r="F96" s="7" t="s">
        <v>195</v>
      </c>
      <c r="G96" s="7" t="s">
        <v>195</v>
      </c>
      <c r="H96" s="7" t="s">
        <v>195</v>
      </c>
      <c r="I96" s="7" t="s">
        <v>195</v>
      </c>
      <c r="J96" s="7" t="s">
        <v>195</v>
      </c>
      <c r="K96" s="7" t="s">
        <v>195</v>
      </c>
      <c r="L96" s="7" t="s">
        <v>195</v>
      </c>
      <c r="M96" s="7" t="s">
        <v>29</v>
      </c>
      <c r="N96" s="7" t="s">
        <v>29</v>
      </c>
      <c r="O96" s="7" t="s">
        <v>29</v>
      </c>
      <c r="P96" s="7" t="s">
        <v>29</v>
      </c>
      <c r="Q96" s="7" t="s">
        <v>29</v>
      </c>
      <c r="R96" s="7" t="s">
        <v>29</v>
      </c>
      <c r="S96" s="7" t="s">
        <v>29</v>
      </c>
    </row>
    <row r="97" spans="2:19">
      <c r="B97" s="7" t="s">
        <v>195</v>
      </c>
      <c r="C97" s="8" t="s">
        <v>195</v>
      </c>
      <c r="D97" s="6" t="str">
        <f>LRTRIM(CONCATENATE(IF(SUMPRODUCT(-- ISNUMBER(SEARCH({"Auto Number"}, $B97))) &gt; 0, $B97, IF(SUMPRODUCT(-- ISNUMBER(SEARCH({"Lookup","Master-Detail"}, $B97))) &gt; 0,$B97 &amp; "(" &amp; $E97 &amp; ")",IF(SUMPRODUCT(-- ISNUMBER(SEARCH({"Formula","Roll-Up Summary"}, $B97))) &gt; 0,$B97 &amp; " (" &amp; $E97 &amp; ")",IF(SUMPRODUCT(-- ISNUMBER(SEARCH({"Content","Currency","Number","Percent","Text","URL"}, $B97))) &gt; 0,$B97 &amp; "(" &amp; $C97 &amp; ")",$B97)))), "  ", TRIM(IF($S97 = "YES", "(External ID)", "") &amp; " " &amp; IF(SUMPRODUCT(-- ISNUMBER(SEARCH({"Unique","Unique Case Insensitive"}, $R97))) &gt; 0, "(" &amp; $R97 &amp; ")", ""))))</f>
        <v>na</v>
      </c>
      <c r="E97" s="7" t="s">
        <v>195</v>
      </c>
      <c r="F97" s="7" t="s">
        <v>195</v>
      </c>
      <c r="G97" s="7" t="s">
        <v>195</v>
      </c>
      <c r="H97" s="7" t="s">
        <v>195</v>
      </c>
      <c r="I97" s="7" t="s">
        <v>195</v>
      </c>
      <c r="J97" s="7" t="s">
        <v>195</v>
      </c>
      <c r="K97" s="7" t="s">
        <v>195</v>
      </c>
      <c r="L97" s="7" t="s">
        <v>195</v>
      </c>
      <c r="M97" s="7" t="s">
        <v>29</v>
      </c>
      <c r="N97" s="7" t="s">
        <v>29</v>
      </c>
      <c r="O97" s="7" t="s">
        <v>29</v>
      </c>
      <c r="P97" s="7" t="s">
        <v>29</v>
      </c>
      <c r="Q97" s="7" t="s">
        <v>29</v>
      </c>
      <c r="R97" s="7" t="s">
        <v>29</v>
      </c>
      <c r="S97" s="7" t="s">
        <v>29</v>
      </c>
    </row>
    <row r="98" spans="2:19">
      <c r="B98" s="7" t="s">
        <v>195</v>
      </c>
      <c r="C98" s="8" t="s">
        <v>195</v>
      </c>
      <c r="D98" s="6" t="str">
        <f>LRTRIM(CONCATENATE(IF(SUMPRODUCT(-- ISNUMBER(SEARCH({"Auto Number"}, $B98))) &gt; 0, $B98, IF(SUMPRODUCT(-- ISNUMBER(SEARCH({"Lookup","Master-Detail"}, $B98))) &gt; 0,$B98 &amp; "(" &amp; $E98 &amp; ")",IF(SUMPRODUCT(-- ISNUMBER(SEARCH({"Formula","Roll-Up Summary"}, $B98))) &gt; 0,$B98 &amp; " (" &amp; $E98 &amp; ")",IF(SUMPRODUCT(-- ISNUMBER(SEARCH({"Content","Currency","Number","Percent","Text","URL"}, $B98))) &gt; 0,$B98 &amp; "(" &amp; $C98 &amp; ")",$B98)))), "  ", TRIM(IF($S98 = "YES", "(External ID)", "") &amp; " " &amp; IF(SUMPRODUCT(-- ISNUMBER(SEARCH({"Unique","Unique Case Insensitive"}, $R98))) &gt; 0, "(" &amp; $R98 &amp; ")", ""))))</f>
        <v>na</v>
      </c>
      <c r="E98" s="7" t="s">
        <v>195</v>
      </c>
      <c r="F98" s="7" t="s">
        <v>195</v>
      </c>
      <c r="G98" s="7" t="s">
        <v>195</v>
      </c>
      <c r="H98" s="7" t="s">
        <v>195</v>
      </c>
      <c r="I98" s="7" t="s">
        <v>195</v>
      </c>
      <c r="J98" s="7" t="s">
        <v>195</v>
      </c>
      <c r="K98" s="7" t="s">
        <v>195</v>
      </c>
      <c r="L98" s="7" t="s">
        <v>195</v>
      </c>
      <c r="M98" s="7" t="s">
        <v>29</v>
      </c>
      <c r="N98" s="7" t="s">
        <v>29</v>
      </c>
      <c r="O98" s="7" t="s">
        <v>29</v>
      </c>
      <c r="P98" s="7" t="s">
        <v>29</v>
      </c>
      <c r="Q98" s="7" t="s">
        <v>29</v>
      </c>
      <c r="R98" s="7" t="s">
        <v>29</v>
      </c>
      <c r="S98" s="7" t="s">
        <v>29</v>
      </c>
    </row>
    <row r="99" spans="2:19">
      <c r="B99" s="7" t="s">
        <v>195</v>
      </c>
      <c r="C99" s="8" t="s">
        <v>195</v>
      </c>
      <c r="D99" s="6" t="str">
        <f>LRTRIM(CONCATENATE(IF(SUMPRODUCT(-- ISNUMBER(SEARCH({"Auto Number"}, $B99))) &gt; 0, $B99, IF(SUMPRODUCT(-- ISNUMBER(SEARCH({"Lookup","Master-Detail"}, $B99))) &gt; 0,$B99 &amp; "(" &amp; $E99 &amp; ")",IF(SUMPRODUCT(-- ISNUMBER(SEARCH({"Formula","Roll-Up Summary"}, $B99))) &gt; 0,$B99 &amp; " (" &amp; $E99 &amp; ")",IF(SUMPRODUCT(-- ISNUMBER(SEARCH({"Content","Currency","Number","Percent","Text","URL"}, $B99))) &gt; 0,$B99 &amp; "(" &amp; $C99 &amp; ")",$B99)))), "  ", TRIM(IF($S99 = "YES", "(External ID)", "") &amp; " " &amp; IF(SUMPRODUCT(-- ISNUMBER(SEARCH({"Unique","Unique Case Insensitive"}, $R99))) &gt; 0, "(" &amp; $R99 &amp; ")", ""))))</f>
        <v>na</v>
      </c>
      <c r="E99" s="7" t="s">
        <v>195</v>
      </c>
      <c r="F99" s="7" t="s">
        <v>195</v>
      </c>
      <c r="G99" s="7" t="s">
        <v>195</v>
      </c>
      <c r="H99" s="7" t="s">
        <v>195</v>
      </c>
      <c r="I99" s="7" t="s">
        <v>195</v>
      </c>
      <c r="J99" s="7" t="s">
        <v>195</v>
      </c>
      <c r="K99" s="7" t="s">
        <v>195</v>
      </c>
      <c r="L99" s="7" t="s">
        <v>195</v>
      </c>
      <c r="M99" s="7" t="s">
        <v>29</v>
      </c>
      <c r="N99" s="7" t="s">
        <v>29</v>
      </c>
      <c r="O99" s="7" t="s">
        <v>29</v>
      </c>
      <c r="P99" s="7" t="s">
        <v>29</v>
      </c>
      <c r="Q99" s="7" t="s">
        <v>29</v>
      </c>
      <c r="R99" s="7" t="s">
        <v>29</v>
      </c>
      <c r="S99" s="7" t="s">
        <v>29</v>
      </c>
    </row>
    <row r="100" spans="2:19">
      <c r="B100" s="7" t="s">
        <v>195</v>
      </c>
      <c r="C100" s="8" t="s">
        <v>195</v>
      </c>
      <c r="D100" s="6" t="str">
        <f>LRTRIM(CONCATENATE(IF(SUMPRODUCT(-- ISNUMBER(SEARCH({"Auto Number"}, $B100))) &gt; 0, $B100, IF(SUMPRODUCT(-- ISNUMBER(SEARCH({"Lookup","Master-Detail"}, $B100))) &gt; 0,$B100 &amp; "(" &amp; $E100 &amp; ")",IF(SUMPRODUCT(-- ISNUMBER(SEARCH({"Formula","Roll-Up Summary"}, $B100))) &gt; 0,$B100 &amp; " (" &amp; $E100 &amp; ")",IF(SUMPRODUCT(-- ISNUMBER(SEARCH({"Content","Currency","Number","Percent","Text","URL"}, $B100))) &gt; 0,$B100 &amp; "(" &amp; $C100 &amp; ")",$B100)))), "  ", TRIM(IF($S100 = "YES", "(External ID)", "") &amp; " " &amp; IF(SUMPRODUCT(-- ISNUMBER(SEARCH({"Unique","Unique Case Insensitive"}, $R100))) &gt; 0, "(" &amp; $R100 &amp; ")", ""))))</f>
        <v>na</v>
      </c>
      <c r="E100" s="7" t="s">
        <v>195</v>
      </c>
      <c r="F100" s="7" t="s">
        <v>195</v>
      </c>
      <c r="G100" s="7" t="s">
        <v>195</v>
      </c>
      <c r="H100" s="7" t="s">
        <v>195</v>
      </c>
      <c r="I100" s="7" t="s">
        <v>195</v>
      </c>
      <c r="J100" s="7" t="s">
        <v>195</v>
      </c>
      <c r="K100" s="7" t="s">
        <v>195</v>
      </c>
      <c r="L100" s="7" t="s">
        <v>195</v>
      </c>
      <c r="M100" s="7" t="s">
        <v>29</v>
      </c>
      <c r="N100" s="7" t="s">
        <v>29</v>
      </c>
      <c r="O100" s="7" t="s">
        <v>29</v>
      </c>
      <c r="P100" s="7" t="s">
        <v>29</v>
      </c>
      <c r="Q100" s="7" t="s">
        <v>29</v>
      </c>
      <c r="R100" s="7" t="s">
        <v>29</v>
      </c>
      <c r="S100" s="7" t="s">
        <v>29</v>
      </c>
    </row>
    <row r="101" spans="2:19">
      <c r="B101" s="7" t="s">
        <v>195</v>
      </c>
      <c r="C101" s="8" t="s">
        <v>195</v>
      </c>
      <c r="D101" s="6" t="str">
        <f>LRTRIM(CONCATENATE(IF(SUMPRODUCT(-- ISNUMBER(SEARCH({"Auto Number"}, $B101))) &gt; 0, $B101, IF(SUMPRODUCT(-- ISNUMBER(SEARCH({"Lookup","Master-Detail"}, $B101))) &gt; 0,$B101 &amp; "(" &amp; $E101 &amp; ")",IF(SUMPRODUCT(-- ISNUMBER(SEARCH({"Formula","Roll-Up Summary"}, $B101))) &gt; 0,$B101 &amp; " (" &amp; $E101 &amp; ")",IF(SUMPRODUCT(-- ISNUMBER(SEARCH({"Content","Currency","Number","Percent","Text","URL"}, $B101))) &gt; 0,$B101 &amp; "(" &amp; $C101 &amp; ")",$B101)))), "  ", TRIM(IF($S101 = "YES", "(External ID)", "") &amp; " " &amp; IF(SUMPRODUCT(-- ISNUMBER(SEARCH({"Unique","Unique Case Insensitive"}, $R101))) &gt; 0, "(" &amp; $R101 &amp; ")", ""))))</f>
        <v>na</v>
      </c>
      <c r="E101" s="7" t="s">
        <v>195</v>
      </c>
      <c r="F101" s="7" t="s">
        <v>195</v>
      </c>
      <c r="G101" s="7" t="s">
        <v>195</v>
      </c>
      <c r="H101" s="7" t="s">
        <v>195</v>
      </c>
      <c r="I101" s="7" t="s">
        <v>195</v>
      </c>
      <c r="J101" s="7" t="s">
        <v>195</v>
      </c>
      <c r="K101" s="7" t="s">
        <v>195</v>
      </c>
      <c r="L101" s="7" t="s">
        <v>195</v>
      </c>
      <c r="M101" s="7" t="s">
        <v>29</v>
      </c>
      <c r="N101" s="7" t="s">
        <v>29</v>
      </c>
      <c r="O101" s="7" t="s">
        <v>29</v>
      </c>
      <c r="P101" s="7" t="s">
        <v>29</v>
      </c>
      <c r="Q101" s="7" t="s">
        <v>29</v>
      </c>
      <c r="R101" s="7" t="s">
        <v>29</v>
      </c>
      <c r="S101" s="7" t="s">
        <v>29</v>
      </c>
    </row>
    <row r="102" spans="2:19">
      <c r="B102" s="7" t="s">
        <v>195</v>
      </c>
      <c r="C102" s="8" t="s">
        <v>195</v>
      </c>
      <c r="D102" s="6" t="str">
        <f>LRTRIM(CONCATENATE(IF(SUMPRODUCT(-- ISNUMBER(SEARCH({"Auto Number"}, $B102))) &gt; 0, $B102, IF(SUMPRODUCT(-- ISNUMBER(SEARCH({"Lookup","Master-Detail"}, $B102))) &gt; 0,$B102 &amp; "(" &amp; $E102 &amp; ")",IF(SUMPRODUCT(-- ISNUMBER(SEARCH({"Formula","Roll-Up Summary"}, $B102))) &gt; 0,$B102 &amp; " (" &amp; $E102 &amp; ")",IF(SUMPRODUCT(-- ISNUMBER(SEARCH({"Content","Currency","Number","Percent","Text","URL"}, $B102))) &gt; 0,$B102 &amp; "(" &amp; $C102 &amp; ")",$B102)))), "  ", TRIM(IF($S102 = "YES", "(External ID)", "") &amp; " " &amp; IF(SUMPRODUCT(-- ISNUMBER(SEARCH({"Unique","Unique Case Insensitive"}, $R102))) &gt; 0, "(" &amp; $R102 &amp; ")", ""))))</f>
        <v>na</v>
      </c>
      <c r="E102" s="7" t="s">
        <v>195</v>
      </c>
      <c r="F102" s="7" t="s">
        <v>195</v>
      </c>
      <c r="G102" s="7" t="s">
        <v>195</v>
      </c>
      <c r="H102" s="7" t="s">
        <v>195</v>
      </c>
      <c r="I102" s="7" t="s">
        <v>195</v>
      </c>
      <c r="J102" s="7" t="s">
        <v>195</v>
      </c>
      <c r="K102" s="7" t="s">
        <v>195</v>
      </c>
      <c r="L102" s="7" t="s">
        <v>195</v>
      </c>
      <c r="M102" s="7" t="s">
        <v>29</v>
      </c>
      <c r="N102" s="7" t="s">
        <v>29</v>
      </c>
      <c r="O102" s="7" t="s">
        <v>29</v>
      </c>
      <c r="P102" s="7" t="s">
        <v>29</v>
      </c>
      <c r="Q102" s="7" t="s">
        <v>29</v>
      </c>
      <c r="R102" s="7" t="s">
        <v>29</v>
      </c>
      <c r="S102" s="7" t="s">
        <v>29</v>
      </c>
    </row>
    <row r="103" spans="2:19">
      <c r="B103" s="7" t="s">
        <v>195</v>
      </c>
      <c r="C103" s="8" t="s">
        <v>195</v>
      </c>
      <c r="D103" s="6" t="str">
        <f>LRTRIM(CONCATENATE(IF(SUMPRODUCT(-- ISNUMBER(SEARCH({"Auto Number"}, $B103))) &gt; 0, $B103, IF(SUMPRODUCT(-- ISNUMBER(SEARCH({"Lookup","Master-Detail"}, $B103))) &gt; 0,$B103 &amp; "(" &amp; $E103 &amp; ")",IF(SUMPRODUCT(-- ISNUMBER(SEARCH({"Formula","Roll-Up Summary"}, $B103))) &gt; 0,$B103 &amp; " (" &amp; $E103 &amp; ")",IF(SUMPRODUCT(-- ISNUMBER(SEARCH({"Content","Currency","Number","Percent","Text","URL"}, $B103))) &gt; 0,$B103 &amp; "(" &amp; $C103 &amp; ")",$B103)))), "  ", TRIM(IF($S103 = "YES", "(External ID)", "") &amp; " " &amp; IF(SUMPRODUCT(-- ISNUMBER(SEARCH({"Unique","Unique Case Insensitive"}, $R103))) &gt; 0, "(" &amp; $R103 &amp; ")", ""))))</f>
        <v>na</v>
      </c>
      <c r="E103" s="7" t="s">
        <v>195</v>
      </c>
      <c r="F103" s="7" t="s">
        <v>195</v>
      </c>
      <c r="G103" s="7" t="s">
        <v>195</v>
      </c>
      <c r="H103" s="7" t="s">
        <v>195</v>
      </c>
      <c r="I103" s="7" t="s">
        <v>195</v>
      </c>
      <c r="J103" s="7" t="s">
        <v>195</v>
      </c>
      <c r="K103" s="7" t="s">
        <v>195</v>
      </c>
      <c r="L103" s="7" t="s">
        <v>195</v>
      </c>
      <c r="M103" s="7" t="s">
        <v>29</v>
      </c>
      <c r="N103" s="7" t="s">
        <v>29</v>
      </c>
      <c r="O103" s="7" t="s">
        <v>29</v>
      </c>
      <c r="P103" s="7" t="s">
        <v>29</v>
      </c>
      <c r="Q103" s="7" t="s">
        <v>29</v>
      </c>
      <c r="R103" s="7" t="s">
        <v>29</v>
      </c>
      <c r="S103" s="7" t="s">
        <v>29</v>
      </c>
    </row>
    <row r="104" spans="2:19">
      <c r="B104" s="7" t="s">
        <v>195</v>
      </c>
      <c r="C104" s="8" t="s">
        <v>195</v>
      </c>
      <c r="D104" s="6" t="str">
        <f>LRTRIM(CONCATENATE(IF(SUMPRODUCT(-- ISNUMBER(SEARCH({"Auto Number"}, $B104))) &gt; 0, $B104, IF(SUMPRODUCT(-- ISNUMBER(SEARCH({"Lookup","Master-Detail"}, $B104))) &gt; 0,$B104 &amp; "(" &amp; $E104 &amp; ")",IF(SUMPRODUCT(-- ISNUMBER(SEARCH({"Formula","Roll-Up Summary"}, $B104))) &gt; 0,$B104 &amp; " (" &amp; $E104 &amp; ")",IF(SUMPRODUCT(-- ISNUMBER(SEARCH({"Content","Currency","Number","Percent","Text","URL"}, $B104))) &gt; 0,$B104 &amp; "(" &amp; $C104 &amp; ")",$B104)))), "  ", TRIM(IF($S104 = "YES", "(External ID)", "") &amp; " " &amp; IF(SUMPRODUCT(-- ISNUMBER(SEARCH({"Unique","Unique Case Insensitive"}, $R104))) &gt; 0, "(" &amp; $R104 &amp; ")", ""))))</f>
        <v>na</v>
      </c>
      <c r="E104" s="7" t="s">
        <v>195</v>
      </c>
      <c r="F104" s="7" t="s">
        <v>195</v>
      </c>
      <c r="G104" s="7" t="s">
        <v>195</v>
      </c>
      <c r="H104" s="7" t="s">
        <v>195</v>
      </c>
      <c r="I104" s="7" t="s">
        <v>195</v>
      </c>
      <c r="J104" s="7" t="s">
        <v>195</v>
      </c>
      <c r="K104" s="7" t="s">
        <v>195</v>
      </c>
      <c r="L104" s="7" t="s">
        <v>195</v>
      </c>
      <c r="M104" s="7" t="s">
        <v>29</v>
      </c>
      <c r="N104" s="7" t="s">
        <v>29</v>
      </c>
      <c r="O104" s="7" t="s">
        <v>29</v>
      </c>
      <c r="P104" s="7" t="s">
        <v>29</v>
      </c>
      <c r="Q104" s="7" t="s">
        <v>29</v>
      </c>
      <c r="R104" s="7" t="s">
        <v>29</v>
      </c>
      <c r="S104" s="7" t="s">
        <v>29</v>
      </c>
    </row>
    <row r="105" spans="2:19">
      <c r="B105" s="7" t="s">
        <v>195</v>
      </c>
      <c r="C105" s="8" t="s">
        <v>195</v>
      </c>
      <c r="D105" s="6" t="str">
        <f>LRTRIM(CONCATENATE(IF(SUMPRODUCT(-- ISNUMBER(SEARCH({"Auto Number"}, $B105))) &gt; 0, $B105, IF(SUMPRODUCT(-- ISNUMBER(SEARCH({"Lookup","Master-Detail"}, $B105))) &gt; 0,$B105 &amp; "(" &amp; $E105 &amp; ")",IF(SUMPRODUCT(-- ISNUMBER(SEARCH({"Formula","Roll-Up Summary"}, $B105))) &gt; 0,$B105 &amp; " (" &amp; $E105 &amp; ")",IF(SUMPRODUCT(-- ISNUMBER(SEARCH({"Content","Currency","Number","Percent","Text","URL"}, $B105))) &gt; 0,$B105 &amp; "(" &amp; $C105 &amp; ")",$B105)))), "  ", TRIM(IF($S105 = "YES", "(External ID)", "") &amp; " " &amp; IF(SUMPRODUCT(-- ISNUMBER(SEARCH({"Unique","Unique Case Insensitive"}, $R105))) &gt; 0, "(" &amp; $R105 &amp; ")", ""))))</f>
        <v>na</v>
      </c>
      <c r="E105" s="7" t="s">
        <v>195</v>
      </c>
      <c r="F105" s="7" t="s">
        <v>195</v>
      </c>
      <c r="G105" s="7" t="s">
        <v>195</v>
      </c>
      <c r="H105" s="7" t="s">
        <v>195</v>
      </c>
      <c r="I105" s="7" t="s">
        <v>195</v>
      </c>
      <c r="J105" s="7" t="s">
        <v>195</v>
      </c>
      <c r="K105" s="7" t="s">
        <v>195</v>
      </c>
      <c r="L105" s="7" t="s">
        <v>195</v>
      </c>
      <c r="M105" s="7" t="s">
        <v>29</v>
      </c>
      <c r="N105" s="7" t="s">
        <v>29</v>
      </c>
      <c r="O105" s="7" t="s">
        <v>29</v>
      </c>
      <c r="P105" s="7" t="s">
        <v>29</v>
      </c>
      <c r="Q105" s="7" t="s">
        <v>29</v>
      </c>
      <c r="R105" s="7" t="s">
        <v>29</v>
      </c>
      <c r="S105" s="7" t="s">
        <v>29</v>
      </c>
    </row>
    <row r="106" spans="2:19">
      <c r="B106" s="7" t="s">
        <v>195</v>
      </c>
      <c r="C106" s="8" t="s">
        <v>195</v>
      </c>
      <c r="D106" s="6" t="str">
        <f>LRTRIM(CONCATENATE(IF(SUMPRODUCT(-- ISNUMBER(SEARCH({"Auto Number"}, $B106))) &gt; 0, $B106, IF(SUMPRODUCT(-- ISNUMBER(SEARCH({"Lookup","Master-Detail"}, $B106))) &gt; 0,$B106 &amp; "(" &amp; $E106 &amp; ")",IF(SUMPRODUCT(-- ISNUMBER(SEARCH({"Formula","Roll-Up Summary"}, $B106))) &gt; 0,$B106 &amp; " (" &amp; $E106 &amp; ")",IF(SUMPRODUCT(-- ISNUMBER(SEARCH({"Content","Currency","Number","Percent","Text","URL"}, $B106))) &gt; 0,$B106 &amp; "(" &amp; $C106 &amp; ")",$B106)))), "  ", TRIM(IF($S106 = "YES", "(External ID)", "") &amp; " " &amp; IF(SUMPRODUCT(-- ISNUMBER(SEARCH({"Unique","Unique Case Insensitive"}, $R106))) &gt; 0, "(" &amp; $R106 &amp; ")", ""))))</f>
        <v>na</v>
      </c>
      <c r="E106" s="7" t="s">
        <v>195</v>
      </c>
      <c r="F106" s="7" t="s">
        <v>195</v>
      </c>
      <c r="G106" s="7" t="s">
        <v>195</v>
      </c>
      <c r="H106" s="7" t="s">
        <v>195</v>
      </c>
      <c r="I106" s="7" t="s">
        <v>195</v>
      </c>
      <c r="J106" s="7" t="s">
        <v>195</v>
      </c>
      <c r="K106" s="7" t="s">
        <v>195</v>
      </c>
      <c r="L106" s="7" t="s">
        <v>195</v>
      </c>
      <c r="M106" s="7" t="s">
        <v>29</v>
      </c>
      <c r="N106" s="7" t="s">
        <v>29</v>
      </c>
      <c r="O106" s="7" t="s">
        <v>29</v>
      </c>
      <c r="P106" s="7" t="s">
        <v>29</v>
      </c>
      <c r="Q106" s="7" t="s">
        <v>29</v>
      </c>
      <c r="R106" s="7" t="s">
        <v>29</v>
      </c>
      <c r="S106" s="7" t="s">
        <v>29</v>
      </c>
    </row>
    <row r="107" spans="2:19">
      <c r="B107" s="7" t="s">
        <v>195</v>
      </c>
      <c r="C107" s="8" t="s">
        <v>195</v>
      </c>
      <c r="D107" s="6" t="str">
        <f>LRTRIM(CONCATENATE(IF(SUMPRODUCT(-- ISNUMBER(SEARCH({"Auto Number"}, $B107))) &gt; 0, $B107, IF(SUMPRODUCT(-- ISNUMBER(SEARCH({"Lookup","Master-Detail"}, $B107))) &gt; 0,$B107 &amp; "(" &amp; $E107 &amp; ")",IF(SUMPRODUCT(-- ISNUMBER(SEARCH({"Formula","Roll-Up Summary"}, $B107))) &gt; 0,$B107 &amp; " (" &amp; $E107 &amp; ")",IF(SUMPRODUCT(-- ISNUMBER(SEARCH({"Content","Currency","Number","Percent","Text","URL"}, $B107))) &gt; 0,$B107 &amp; "(" &amp; $C107 &amp; ")",$B107)))), "  ", TRIM(IF($S107 = "YES", "(External ID)", "") &amp; " " &amp; IF(SUMPRODUCT(-- ISNUMBER(SEARCH({"Unique","Unique Case Insensitive"}, $R107))) &gt; 0, "(" &amp; $R107 &amp; ")", ""))))</f>
        <v>na</v>
      </c>
      <c r="E107" s="7" t="s">
        <v>195</v>
      </c>
      <c r="F107" s="7" t="s">
        <v>195</v>
      </c>
      <c r="G107" s="7" t="s">
        <v>195</v>
      </c>
      <c r="H107" s="7" t="s">
        <v>195</v>
      </c>
      <c r="I107" s="7" t="s">
        <v>195</v>
      </c>
      <c r="J107" s="7" t="s">
        <v>195</v>
      </c>
      <c r="K107" s="7" t="s">
        <v>195</v>
      </c>
      <c r="L107" s="7" t="s">
        <v>195</v>
      </c>
      <c r="M107" s="7" t="s">
        <v>29</v>
      </c>
      <c r="N107" s="7" t="s">
        <v>29</v>
      </c>
      <c r="O107" s="7" t="s">
        <v>29</v>
      </c>
      <c r="P107" s="7" t="s">
        <v>29</v>
      </c>
      <c r="Q107" s="7" t="s">
        <v>29</v>
      </c>
      <c r="R107" s="7" t="s">
        <v>29</v>
      </c>
      <c r="S107" s="7" t="s">
        <v>29</v>
      </c>
    </row>
    <row r="108" spans="2:19">
      <c r="B108" s="7" t="s">
        <v>195</v>
      </c>
      <c r="C108" s="8" t="s">
        <v>195</v>
      </c>
      <c r="D108" s="6" t="str">
        <f>LRTRIM(CONCATENATE(IF(SUMPRODUCT(-- ISNUMBER(SEARCH({"Auto Number"}, $B108))) &gt; 0, $B108, IF(SUMPRODUCT(-- ISNUMBER(SEARCH({"Lookup","Master-Detail"}, $B108))) &gt; 0,$B108 &amp; "(" &amp; $E108 &amp; ")",IF(SUMPRODUCT(-- ISNUMBER(SEARCH({"Formula","Roll-Up Summary"}, $B108))) &gt; 0,$B108 &amp; " (" &amp; $E108 &amp; ")",IF(SUMPRODUCT(-- ISNUMBER(SEARCH({"Content","Currency","Number","Percent","Text","URL"}, $B108))) &gt; 0,$B108 &amp; "(" &amp; $C108 &amp; ")",$B108)))), "  ", TRIM(IF($S108 = "YES", "(External ID)", "") &amp; " " &amp; IF(SUMPRODUCT(-- ISNUMBER(SEARCH({"Unique","Unique Case Insensitive"}, $R108))) &gt; 0, "(" &amp; $R108 &amp; ")", ""))))</f>
        <v>na</v>
      </c>
      <c r="E108" s="7" t="s">
        <v>195</v>
      </c>
      <c r="F108" s="7" t="s">
        <v>195</v>
      </c>
      <c r="G108" s="7" t="s">
        <v>195</v>
      </c>
      <c r="H108" s="7" t="s">
        <v>195</v>
      </c>
      <c r="I108" s="7" t="s">
        <v>195</v>
      </c>
      <c r="J108" s="7" t="s">
        <v>195</v>
      </c>
      <c r="K108" s="7" t="s">
        <v>195</v>
      </c>
      <c r="L108" s="7" t="s">
        <v>195</v>
      </c>
      <c r="M108" s="7" t="s">
        <v>29</v>
      </c>
      <c r="N108" s="7" t="s">
        <v>29</v>
      </c>
      <c r="O108" s="7" t="s">
        <v>29</v>
      </c>
      <c r="P108" s="7" t="s">
        <v>29</v>
      </c>
      <c r="Q108" s="7" t="s">
        <v>29</v>
      </c>
      <c r="R108" s="7" t="s">
        <v>29</v>
      </c>
      <c r="S108" s="7" t="s">
        <v>29</v>
      </c>
    </row>
    <row r="109" spans="2:19">
      <c r="B109" s="7" t="s">
        <v>195</v>
      </c>
      <c r="C109" s="8" t="s">
        <v>195</v>
      </c>
      <c r="D109" s="6" t="str">
        <f>LRTRIM(CONCATENATE(IF(SUMPRODUCT(-- ISNUMBER(SEARCH({"Auto Number"}, $B109))) &gt; 0, $B109, IF(SUMPRODUCT(-- ISNUMBER(SEARCH({"Lookup","Master-Detail"}, $B109))) &gt; 0,$B109 &amp; "(" &amp; $E109 &amp; ")",IF(SUMPRODUCT(-- ISNUMBER(SEARCH({"Formula","Roll-Up Summary"}, $B109))) &gt; 0,$B109 &amp; " (" &amp; $E109 &amp; ")",IF(SUMPRODUCT(-- ISNUMBER(SEARCH({"Content","Currency","Number","Percent","Text","URL"}, $B109))) &gt; 0,$B109 &amp; "(" &amp; $C109 &amp; ")",$B109)))), "  ", TRIM(IF($S109 = "YES", "(External ID)", "") &amp; " " &amp; IF(SUMPRODUCT(-- ISNUMBER(SEARCH({"Unique","Unique Case Insensitive"}, $R109))) &gt; 0, "(" &amp; $R109 &amp; ")", ""))))</f>
        <v>na</v>
      </c>
      <c r="E109" s="7" t="s">
        <v>195</v>
      </c>
      <c r="F109" s="7" t="s">
        <v>195</v>
      </c>
      <c r="G109" s="7" t="s">
        <v>195</v>
      </c>
      <c r="H109" s="7" t="s">
        <v>195</v>
      </c>
      <c r="I109" s="7" t="s">
        <v>195</v>
      </c>
      <c r="J109" s="7" t="s">
        <v>195</v>
      </c>
      <c r="K109" s="7" t="s">
        <v>195</v>
      </c>
      <c r="L109" s="7" t="s">
        <v>195</v>
      </c>
      <c r="M109" s="7" t="s">
        <v>29</v>
      </c>
      <c r="N109" s="7" t="s">
        <v>29</v>
      </c>
      <c r="O109" s="7" t="s">
        <v>29</v>
      </c>
      <c r="P109" s="7" t="s">
        <v>29</v>
      </c>
      <c r="Q109" s="7" t="s">
        <v>29</v>
      </c>
      <c r="R109" s="7" t="s">
        <v>29</v>
      </c>
      <c r="S109" s="7" t="s">
        <v>29</v>
      </c>
    </row>
    <row r="110" spans="2:19">
      <c r="B110" s="7" t="s">
        <v>195</v>
      </c>
      <c r="C110" s="8" t="s">
        <v>195</v>
      </c>
      <c r="D110" s="6" t="str">
        <f>LRTRIM(CONCATENATE(IF(SUMPRODUCT(-- ISNUMBER(SEARCH({"Auto Number"}, $B110))) &gt; 0, $B110, IF(SUMPRODUCT(-- ISNUMBER(SEARCH({"Lookup","Master-Detail"}, $B110))) &gt; 0,$B110 &amp; "(" &amp; $E110 &amp; ")",IF(SUMPRODUCT(-- ISNUMBER(SEARCH({"Formula","Roll-Up Summary"}, $B110))) &gt; 0,$B110 &amp; " (" &amp; $E110 &amp; ")",IF(SUMPRODUCT(-- ISNUMBER(SEARCH({"Content","Currency","Number","Percent","Text","URL"}, $B110))) &gt; 0,$B110 &amp; "(" &amp; $C110 &amp; ")",$B110)))), "  ", TRIM(IF($S110 = "YES", "(External ID)", "") &amp; " " &amp; IF(SUMPRODUCT(-- ISNUMBER(SEARCH({"Unique","Unique Case Insensitive"}, $R110))) &gt; 0, "(" &amp; $R110 &amp; ")", ""))))</f>
        <v>na</v>
      </c>
      <c r="E110" s="7" t="s">
        <v>195</v>
      </c>
      <c r="F110" s="7" t="s">
        <v>195</v>
      </c>
      <c r="G110" s="7" t="s">
        <v>195</v>
      </c>
      <c r="H110" s="7" t="s">
        <v>195</v>
      </c>
      <c r="I110" s="7" t="s">
        <v>195</v>
      </c>
      <c r="J110" s="7" t="s">
        <v>195</v>
      </c>
      <c r="K110" s="7" t="s">
        <v>195</v>
      </c>
      <c r="L110" s="7" t="s">
        <v>195</v>
      </c>
      <c r="M110" s="7" t="s">
        <v>29</v>
      </c>
      <c r="N110" s="7" t="s">
        <v>29</v>
      </c>
      <c r="O110" s="7" t="s">
        <v>29</v>
      </c>
      <c r="P110" s="7" t="s">
        <v>29</v>
      </c>
      <c r="Q110" s="7" t="s">
        <v>29</v>
      </c>
      <c r="R110" s="7" t="s">
        <v>29</v>
      </c>
      <c r="S110" s="7" t="s">
        <v>29</v>
      </c>
    </row>
    <row r="111" spans="2:19">
      <c r="B111" s="7" t="s">
        <v>195</v>
      </c>
      <c r="C111" s="8" t="s">
        <v>195</v>
      </c>
      <c r="D111" s="6" t="str">
        <f>LRTRIM(CONCATENATE(IF(SUMPRODUCT(-- ISNUMBER(SEARCH({"Auto Number"}, $B111))) &gt; 0, $B111, IF(SUMPRODUCT(-- ISNUMBER(SEARCH({"Lookup","Master-Detail"}, $B111))) &gt; 0,$B111 &amp; "(" &amp; $E111 &amp; ")",IF(SUMPRODUCT(-- ISNUMBER(SEARCH({"Formula","Roll-Up Summary"}, $B111))) &gt; 0,$B111 &amp; " (" &amp; $E111 &amp; ")",IF(SUMPRODUCT(-- ISNUMBER(SEARCH({"Content","Currency","Number","Percent","Text","URL"}, $B111))) &gt; 0,$B111 &amp; "(" &amp; $C111 &amp; ")",$B111)))), "  ", TRIM(IF($S111 = "YES", "(External ID)", "") &amp; " " &amp; IF(SUMPRODUCT(-- ISNUMBER(SEARCH({"Unique","Unique Case Insensitive"}, $R111))) &gt; 0, "(" &amp; $R111 &amp; ")", ""))))</f>
        <v>na</v>
      </c>
      <c r="E111" s="7" t="s">
        <v>195</v>
      </c>
      <c r="F111" s="7" t="s">
        <v>195</v>
      </c>
      <c r="G111" s="7" t="s">
        <v>195</v>
      </c>
      <c r="H111" s="7" t="s">
        <v>195</v>
      </c>
      <c r="I111" s="7" t="s">
        <v>195</v>
      </c>
      <c r="J111" s="7" t="s">
        <v>195</v>
      </c>
      <c r="K111" s="7" t="s">
        <v>195</v>
      </c>
      <c r="L111" s="7" t="s">
        <v>195</v>
      </c>
      <c r="M111" s="7" t="s">
        <v>29</v>
      </c>
      <c r="N111" s="7" t="s">
        <v>29</v>
      </c>
      <c r="O111" s="7" t="s">
        <v>29</v>
      </c>
      <c r="P111" s="7" t="s">
        <v>29</v>
      </c>
      <c r="Q111" s="7" t="s">
        <v>29</v>
      </c>
      <c r="R111" s="7" t="s">
        <v>29</v>
      </c>
      <c r="S111" s="7" t="s">
        <v>29</v>
      </c>
    </row>
    <row r="112" spans="2:19">
      <c r="B112" s="7" t="s">
        <v>195</v>
      </c>
      <c r="C112" s="8" t="s">
        <v>195</v>
      </c>
      <c r="D112" s="6" t="str">
        <f>LRTRIM(CONCATENATE(IF(SUMPRODUCT(-- ISNUMBER(SEARCH({"Auto Number"}, $B112))) &gt; 0, $B112, IF(SUMPRODUCT(-- ISNUMBER(SEARCH({"Lookup","Master-Detail"}, $B112))) &gt; 0,$B112 &amp; "(" &amp; $E112 &amp; ")",IF(SUMPRODUCT(-- ISNUMBER(SEARCH({"Formula","Roll-Up Summary"}, $B112))) &gt; 0,$B112 &amp; " (" &amp; $E112 &amp; ")",IF(SUMPRODUCT(-- ISNUMBER(SEARCH({"Content","Currency","Number","Percent","Text","URL"}, $B112))) &gt; 0,$B112 &amp; "(" &amp; $C112 &amp; ")",$B112)))), "  ", TRIM(IF($S112 = "YES", "(External ID)", "") &amp; " " &amp; IF(SUMPRODUCT(-- ISNUMBER(SEARCH({"Unique","Unique Case Insensitive"}, $R112))) &gt; 0, "(" &amp; $R112 &amp; ")", ""))))</f>
        <v>na</v>
      </c>
      <c r="E112" s="7" t="s">
        <v>195</v>
      </c>
      <c r="F112" s="7" t="s">
        <v>195</v>
      </c>
      <c r="G112" s="7" t="s">
        <v>195</v>
      </c>
      <c r="H112" s="7" t="s">
        <v>195</v>
      </c>
      <c r="I112" s="7" t="s">
        <v>195</v>
      </c>
      <c r="J112" s="7" t="s">
        <v>195</v>
      </c>
      <c r="K112" s="7" t="s">
        <v>195</v>
      </c>
      <c r="L112" s="7" t="s">
        <v>195</v>
      </c>
      <c r="M112" s="7" t="s">
        <v>29</v>
      </c>
      <c r="N112" s="7" t="s">
        <v>29</v>
      </c>
      <c r="O112" s="7" t="s">
        <v>29</v>
      </c>
      <c r="P112" s="7" t="s">
        <v>29</v>
      </c>
      <c r="Q112" s="7" t="s">
        <v>29</v>
      </c>
      <c r="R112" s="7" t="s">
        <v>29</v>
      </c>
      <c r="S112" s="7" t="s">
        <v>29</v>
      </c>
    </row>
    <row r="113" spans="2:19">
      <c r="B113" s="7" t="s">
        <v>195</v>
      </c>
      <c r="C113" s="8" t="s">
        <v>195</v>
      </c>
      <c r="D113" s="6" t="str">
        <f>LRTRIM(CONCATENATE(IF(SUMPRODUCT(-- ISNUMBER(SEARCH({"Auto Number"}, $B113))) &gt; 0, $B113, IF(SUMPRODUCT(-- ISNUMBER(SEARCH({"Lookup","Master-Detail"}, $B113))) &gt; 0,$B113 &amp; "(" &amp; $E113 &amp; ")",IF(SUMPRODUCT(-- ISNUMBER(SEARCH({"Formula","Roll-Up Summary"}, $B113))) &gt; 0,$B113 &amp; " (" &amp; $E113 &amp; ")",IF(SUMPRODUCT(-- ISNUMBER(SEARCH({"Content","Currency","Number","Percent","Text","URL"}, $B113))) &gt; 0,$B113 &amp; "(" &amp; $C113 &amp; ")",$B113)))), "  ", TRIM(IF($S113 = "YES", "(External ID)", "") &amp; " " &amp; IF(SUMPRODUCT(-- ISNUMBER(SEARCH({"Unique","Unique Case Insensitive"}, $R113))) &gt; 0, "(" &amp; $R113 &amp; ")", ""))))</f>
        <v>na</v>
      </c>
      <c r="E113" s="7" t="s">
        <v>195</v>
      </c>
      <c r="F113" s="7" t="s">
        <v>195</v>
      </c>
      <c r="G113" s="7" t="s">
        <v>195</v>
      </c>
      <c r="H113" s="7" t="s">
        <v>195</v>
      </c>
      <c r="I113" s="7" t="s">
        <v>195</v>
      </c>
      <c r="J113" s="7" t="s">
        <v>195</v>
      </c>
      <c r="K113" s="7" t="s">
        <v>195</v>
      </c>
      <c r="L113" s="7" t="s">
        <v>195</v>
      </c>
      <c r="M113" s="7" t="s">
        <v>29</v>
      </c>
      <c r="N113" s="7" t="s">
        <v>29</v>
      </c>
      <c r="O113" s="7" t="s">
        <v>29</v>
      </c>
      <c r="P113" s="7" t="s">
        <v>29</v>
      </c>
      <c r="Q113" s="7" t="s">
        <v>29</v>
      </c>
      <c r="R113" s="7" t="s">
        <v>29</v>
      </c>
      <c r="S113" s="7" t="s">
        <v>29</v>
      </c>
    </row>
    <row r="114" spans="2:19">
      <c r="B114" s="7" t="s">
        <v>195</v>
      </c>
      <c r="C114" s="8" t="s">
        <v>195</v>
      </c>
      <c r="D114" s="6" t="str">
        <f>LRTRIM(CONCATENATE(IF(SUMPRODUCT(-- ISNUMBER(SEARCH({"Auto Number"}, $B114))) &gt; 0, $B114, IF(SUMPRODUCT(-- ISNUMBER(SEARCH({"Lookup","Master-Detail"}, $B114))) &gt; 0,$B114 &amp; "(" &amp; $E114 &amp; ")",IF(SUMPRODUCT(-- ISNUMBER(SEARCH({"Formula","Roll-Up Summary"}, $B114))) &gt; 0,$B114 &amp; " (" &amp; $E114 &amp; ")",IF(SUMPRODUCT(-- ISNUMBER(SEARCH({"Content","Currency","Number","Percent","Text","URL"}, $B114))) &gt; 0,$B114 &amp; "(" &amp; $C114 &amp; ")",$B114)))), "  ", TRIM(IF($S114 = "YES", "(External ID)", "") &amp; " " &amp; IF(SUMPRODUCT(-- ISNUMBER(SEARCH({"Unique","Unique Case Insensitive"}, $R114))) &gt; 0, "(" &amp; $R114 &amp; ")", ""))))</f>
        <v>na</v>
      </c>
      <c r="E114" s="7" t="s">
        <v>195</v>
      </c>
      <c r="F114" s="7" t="s">
        <v>195</v>
      </c>
      <c r="G114" s="7" t="s">
        <v>195</v>
      </c>
      <c r="H114" s="7" t="s">
        <v>195</v>
      </c>
      <c r="I114" s="7" t="s">
        <v>195</v>
      </c>
      <c r="J114" s="7" t="s">
        <v>195</v>
      </c>
      <c r="K114" s="7" t="s">
        <v>195</v>
      </c>
      <c r="L114" s="7" t="s">
        <v>195</v>
      </c>
      <c r="M114" s="7" t="s">
        <v>29</v>
      </c>
      <c r="N114" s="7" t="s">
        <v>29</v>
      </c>
      <c r="O114" s="7" t="s">
        <v>29</v>
      </c>
      <c r="P114" s="7" t="s">
        <v>29</v>
      </c>
      <c r="Q114" s="7" t="s">
        <v>29</v>
      </c>
      <c r="R114" s="7" t="s">
        <v>29</v>
      </c>
      <c r="S114" s="7" t="s">
        <v>29</v>
      </c>
    </row>
    <row r="115" spans="2:19">
      <c r="B115" s="7" t="s">
        <v>195</v>
      </c>
      <c r="C115" s="8" t="s">
        <v>195</v>
      </c>
      <c r="D115" s="6" t="str">
        <f>LRTRIM(CONCATENATE(IF(SUMPRODUCT(-- ISNUMBER(SEARCH({"Auto Number"}, $B115))) &gt; 0, $B115, IF(SUMPRODUCT(-- ISNUMBER(SEARCH({"Lookup","Master-Detail"}, $B115))) &gt; 0,$B115 &amp; "(" &amp; $E115 &amp; ")",IF(SUMPRODUCT(-- ISNUMBER(SEARCH({"Formula","Roll-Up Summary"}, $B115))) &gt; 0,$B115 &amp; " (" &amp; $E115 &amp; ")",IF(SUMPRODUCT(-- ISNUMBER(SEARCH({"Content","Currency","Number","Percent","Text","URL"}, $B115))) &gt; 0,$B115 &amp; "(" &amp; $C115 &amp; ")",$B115)))), "  ", TRIM(IF($S115 = "YES", "(External ID)", "") &amp; " " &amp; IF(SUMPRODUCT(-- ISNUMBER(SEARCH({"Unique","Unique Case Insensitive"}, $R115))) &gt; 0, "(" &amp; $R115 &amp; ")", ""))))</f>
        <v>na</v>
      </c>
      <c r="E115" s="7" t="s">
        <v>195</v>
      </c>
      <c r="F115" s="7" t="s">
        <v>195</v>
      </c>
      <c r="G115" s="7" t="s">
        <v>195</v>
      </c>
      <c r="H115" s="7" t="s">
        <v>195</v>
      </c>
      <c r="I115" s="7" t="s">
        <v>195</v>
      </c>
      <c r="J115" s="7" t="s">
        <v>195</v>
      </c>
      <c r="K115" s="7" t="s">
        <v>195</v>
      </c>
      <c r="L115" s="7" t="s">
        <v>195</v>
      </c>
      <c r="M115" s="7" t="s">
        <v>29</v>
      </c>
      <c r="N115" s="7" t="s">
        <v>29</v>
      </c>
      <c r="O115" s="7" t="s">
        <v>29</v>
      </c>
      <c r="P115" s="7" t="s">
        <v>29</v>
      </c>
      <c r="Q115" s="7" t="s">
        <v>29</v>
      </c>
      <c r="R115" s="7" t="s">
        <v>29</v>
      </c>
      <c r="S115" s="7" t="s">
        <v>29</v>
      </c>
    </row>
    <row r="116" spans="2:19">
      <c r="B116" s="7" t="s">
        <v>195</v>
      </c>
      <c r="C116" s="8" t="s">
        <v>195</v>
      </c>
      <c r="D116" s="6" t="str">
        <f>LRTRIM(CONCATENATE(IF(SUMPRODUCT(-- ISNUMBER(SEARCH({"Auto Number"}, $B116))) &gt; 0, $B116, IF(SUMPRODUCT(-- ISNUMBER(SEARCH({"Lookup","Master-Detail"}, $B116))) &gt; 0,$B116 &amp; "(" &amp; $E116 &amp; ")",IF(SUMPRODUCT(-- ISNUMBER(SEARCH({"Formula","Roll-Up Summary"}, $B116))) &gt; 0,$B116 &amp; " (" &amp; $E116 &amp; ")",IF(SUMPRODUCT(-- ISNUMBER(SEARCH({"Content","Currency","Number","Percent","Text","URL"}, $B116))) &gt; 0,$B116 &amp; "(" &amp; $C116 &amp; ")",$B116)))), "  ", TRIM(IF($S116 = "YES", "(External ID)", "") &amp; " " &amp; IF(SUMPRODUCT(-- ISNUMBER(SEARCH({"Unique","Unique Case Insensitive"}, $R116))) &gt; 0, "(" &amp; $R116 &amp; ")", ""))))</f>
        <v>na</v>
      </c>
      <c r="E116" s="7" t="s">
        <v>195</v>
      </c>
      <c r="F116" s="7" t="s">
        <v>195</v>
      </c>
      <c r="G116" s="7" t="s">
        <v>195</v>
      </c>
      <c r="H116" s="7" t="s">
        <v>195</v>
      </c>
      <c r="I116" s="7" t="s">
        <v>195</v>
      </c>
      <c r="J116" s="7" t="s">
        <v>195</v>
      </c>
      <c r="K116" s="7" t="s">
        <v>195</v>
      </c>
      <c r="L116" s="7" t="s">
        <v>195</v>
      </c>
      <c r="M116" s="7" t="s">
        <v>29</v>
      </c>
      <c r="N116" s="7" t="s">
        <v>29</v>
      </c>
      <c r="O116" s="7" t="s">
        <v>29</v>
      </c>
      <c r="P116" s="7" t="s">
        <v>29</v>
      </c>
      <c r="Q116" s="7" t="s">
        <v>29</v>
      </c>
      <c r="R116" s="7" t="s">
        <v>29</v>
      </c>
      <c r="S116" s="7" t="s">
        <v>29</v>
      </c>
    </row>
    <row r="117" spans="2:19">
      <c r="B117" s="7" t="s">
        <v>195</v>
      </c>
      <c r="C117" s="8" t="s">
        <v>195</v>
      </c>
      <c r="D117" s="6" t="str">
        <f>LRTRIM(CONCATENATE(IF(SUMPRODUCT(-- ISNUMBER(SEARCH({"Auto Number"}, $B117))) &gt; 0, $B117, IF(SUMPRODUCT(-- ISNUMBER(SEARCH({"Lookup","Master-Detail"}, $B117))) &gt; 0,$B117 &amp; "(" &amp; $E117 &amp; ")",IF(SUMPRODUCT(-- ISNUMBER(SEARCH({"Formula","Roll-Up Summary"}, $B117))) &gt; 0,$B117 &amp; " (" &amp; $E117 &amp; ")",IF(SUMPRODUCT(-- ISNUMBER(SEARCH({"Content","Currency","Number","Percent","Text","URL"}, $B117))) &gt; 0,$B117 &amp; "(" &amp; $C117 &amp; ")",$B117)))), "  ", TRIM(IF($S117 = "YES", "(External ID)", "") &amp; " " &amp; IF(SUMPRODUCT(-- ISNUMBER(SEARCH({"Unique","Unique Case Insensitive"}, $R117))) &gt; 0, "(" &amp; $R117 &amp; ")", ""))))</f>
        <v>na</v>
      </c>
      <c r="E117" s="7" t="s">
        <v>195</v>
      </c>
      <c r="F117" s="7" t="s">
        <v>195</v>
      </c>
      <c r="G117" s="7" t="s">
        <v>195</v>
      </c>
      <c r="H117" s="7" t="s">
        <v>195</v>
      </c>
      <c r="I117" s="7" t="s">
        <v>195</v>
      </c>
      <c r="J117" s="7" t="s">
        <v>195</v>
      </c>
      <c r="K117" s="7" t="s">
        <v>195</v>
      </c>
      <c r="L117" s="7" t="s">
        <v>195</v>
      </c>
      <c r="M117" s="7" t="s">
        <v>29</v>
      </c>
      <c r="N117" s="7" t="s">
        <v>29</v>
      </c>
      <c r="O117" s="7" t="s">
        <v>29</v>
      </c>
      <c r="P117" s="7" t="s">
        <v>29</v>
      </c>
      <c r="Q117" s="7" t="s">
        <v>29</v>
      </c>
      <c r="R117" s="7" t="s">
        <v>29</v>
      </c>
      <c r="S117" s="7" t="s">
        <v>29</v>
      </c>
    </row>
    <row r="118" spans="2:19">
      <c r="B118" s="7" t="s">
        <v>195</v>
      </c>
      <c r="C118" s="8" t="s">
        <v>195</v>
      </c>
      <c r="D118" s="6" t="str">
        <f>LRTRIM(CONCATENATE(IF(SUMPRODUCT(-- ISNUMBER(SEARCH({"Auto Number"}, $B118))) &gt; 0, $B118, IF(SUMPRODUCT(-- ISNUMBER(SEARCH({"Lookup","Master-Detail"}, $B118))) &gt; 0,$B118 &amp; "(" &amp; $E118 &amp; ")",IF(SUMPRODUCT(-- ISNUMBER(SEARCH({"Formula","Roll-Up Summary"}, $B118))) &gt; 0,$B118 &amp; " (" &amp; $E118 &amp; ")",IF(SUMPRODUCT(-- ISNUMBER(SEARCH({"Content","Currency","Number","Percent","Text","URL"}, $B118))) &gt; 0,$B118 &amp; "(" &amp; $C118 &amp; ")",$B118)))), "  ", TRIM(IF($S118 = "YES", "(External ID)", "") &amp; " " &amp; IF(SUMPRODUCT(-- ISNUMBER(SEARCH({"Unique","Unique Case Insensitive"}, $R118))) &gt; 0, "(" &amp; $R118 &amp; ")", ""))))</f>
        <v>na</v>
      </c>
      <c r="E118" s="7" t="s">
        <v>195</v>
      </c>
      <c r="F118" s="7" t="s">
        <v>195</v>
      </c>
      <c r="G118" s="7" t="s">
        <v>195</v>
      </c>
      <c r="H118" s="7" t="s">
        <v>195</v>
      </c>
      <c r="I118" s="7" t="s">
        <v>195</v>
      </c>
      <c r="J118" s="7" t="s">
        <v>195</v>
      </c>
      <c r="K118" s="7" t="s">
        <v>195</v>
      </c>
      <c r="L118" s="7" t="s">
        <v>195</v>
      </c>
      <c r="M118" s="7" t="s">
        <v>29</v>
      </c>
      <c r="N118" s="7" t="s">
        <v>29</v>
      </c>
      <c r="O118" s="7" t="s">
        <v>29</v>
      </c>
      <c r="P118" s="7" t="s">
        <v>29</v>
      </c>
      <c r="Q118" s="7" t="s">
        <v>29</v>
      </c>
      <c r="R118" s="7" t="s">
        <v>29</v>
      </c>
      <c r="S118" s="7" t="s">
        <v>29</v>
      </c>
    </row>
    <row r="119" spans="2:19">
      <c r="B119" s="7" t="s">
        <v>195</v>
      </c>
      <c r="C119" s="8" t="s">
        <v>195</v>
      </c>
      <c r="D119" s="6" t="str">
        <f>LRTRIM(CONCATENATE(IF(SUMPRODUCT(-- ISNUMBER(SEARCH({"Auto Number"}, $B119))) &gt; 0, $B119, IF(SUMPRODUCT(-- ISNUMBER(SEARCH({"Lookup","Master-Detail"}, $B119))) &gt; 0,$B119 &amp; "(" &amp; $E119 &amp; ")",IF(SUMPRODUCT(-- ISNUMBER(SEARCH({"Formula","Roll-Up Summary"}, $B119))) &gt; 0,$B119 &amp; " (" &amp; $E119 &amp; ")",IF(SUMPRODUCT(-- ISNUMBER(SEARCH({"Content","Currency","Number","Percent","Text","URL"}, $B119))) &gt; 0,$B119 &amp; "(" &amp; $C119 &amp; ")",$B119)))), "  ", TRIM(IF($S119 = "YES", "(External ID)", "") &amp; " " &amp; IF(SUMPRODUCT(-- ISNUMBER(SEARCH({"Unique","Unique Case Insensitive"}, $R119))) &gt; 0, "(" &amp; $R119 &amp; ")", ""))))</f>
        <v>na</v>
      </c>
      <c r="E119" s="7" t="s">
        <v>195</v>
      </c>
      <c r="F119" s="7" t="s">
        <v>195</v>
      </c>
      <c r="G119" s="7" t="s">
        <v>195</v>
      </c>
      <c r="H119" s="7" t="s">
        <v>195</v>
      </c>
      <c r="I119" s="7" t="s">
        <v>195</v>
      </c>
      <c r="J119" s="7" t="s">
        <v>195</v>
      </c>
      <c r="K119" s="7" t="s">
        <v>195</v>
      </c>
      <c r="L119" s="7" t="s">
        <v>195</v>
      </c>
      <c r="M119" s="7" t="s">
        <v>29</v>
      </c>
      <c r="N119" s="7" t="s">
        <v>29</v>
      </c>
      <c r="O119" s="7" t="s">
        <v>29</v>
      </c>
      <c r="P119" s="7" t="s">
        <v>29</v>
      </c>
      <c r="Q119" s="7" t="s">
        <v>29</v>
      </c>
      <c r="R119" s="7" t="s">
        <v>29</v>
      </c>
      <c r="S119" s="7" t="s">
        <v>29</v>
      </c>
    </row>
    <row r="120" spans="2:19">
      <c r="B120" s="7" t="s">
        <v>195</v>
      </c>
      <c r="C120" s="8" t="s">
        <v>195</v>
      </c>
      <c r="D120" s="6" t="str">
        <f>LRTRIM(CONCATENATE(IF(SUMPRODUCT(-- ISNUMBER(SEARCH({"Auto Number"}, $B120))) &gt; 0, $B120, IF(SUMPRODUCT(-- ISNUMBER(SEARCH({"Lookup","Master-Detail"}, $B120))) &gt; 0,$B120 &amp; "(" &amp; $E120 &amp; ")",IF(SUMPRODUCT(-- ISNUMBER(SEARCH({"Formula","Roll-Up Summary"}, $B120))) &gt; 0,$B120 &amp; " (" &amp; $E120 &amp; ")",IF(SUMPRODUCT(-- ISNUMBER(SEARCH({"Content","Currency","Number","Percent","Text","URL"}, $B120))) &gt; 0,$B120 &amp; "(" &amp; $C120 &amp; ")",$B120)))), "  ", TRIM(IF($S120 = "YES", "(External ID)", "") &amp; " " &amp; IF(SUMPRODUCT(-- ISNUMBER(SEARCH({"Unique","Unique Case Insensitive"}, $R120))) &gt; 0, "(" &amp; $R120 &amp; ")", ""))))</f>
        <v>na</v>
      </c>
      <c r="E120" s="7" t="s">
        <v>195</v>
      </c>
      <c r="F120" s="7" t="s">
        <v>195</v>
      </c>
      <c r="G120" s="7" t="s">
        <v>195</v>
      </c>
      <c r="H120" s="7" t="s">
        <v>195</v>
      </c>
      <c r="I120" s="7" t="s">
        <v>195</v>
      </c>
      <c r="J120" s="7" t="s">
        <v>195</v>
      </c>
      <c r="K120" s="7" t="s">
        <v>195</v>
      </c>
      <c r="L120" s="7" t="s">
        <v>195</v>
      </c>
      <c r="M120" s="7" t="s">
        <v>29</v>
      </c>
      <c r="N120" s="7" t="s">
        <v>29</v>
      </c>
      <c r="O120" s="7" t="s">
        <v>29</v>
      </c>
      <c r="P120" s="7" t="s">
        <v>29</v>
      </c>
      <c r="Q120" s="7" t="s">
        <v>29</v>
      </c>
      <c r="R120" s="7" t="s">
        <v>29</v>
      </c>
      <c r="S120" s="7" t="s">
        <v>29</v>
      </c>
    </row>
    <row r="121" spans="2:19">
      <c r="B121" s="7" t="s">
        <v>195</v>
      </c>
      <c r="C121" s="8" t="s">
        <v>195</v>
      </c>
      <c r="D121" s="6" t="str">
        <f>LRTRIM(CONCATENATE(IF(SUMPRODUCT(-- ISNUMBER(SEARCH({"Auto Number"}, $B121))) &gt; 0, $B121, IF(SUMPRODUCT(-- ISNUMBER(SEARCH({"Lookup","Master-Detail"}, $B121))) &gt; 0,$B121 &amp; "(" &amp; $E121 &amp; ")",IF(SUMPRODUCT(-- ISNUMBER(SEARCH({"Formula","Roll-Up Summary"}, $B121))) &gt; 0,$B121 &amp; " (" &amp; $E121 &amp; ")",IF(SUMPRODUCT(-- ISNUMBER(SEARCH({"Content","Currency","Number","Percent","Text","URL"}, $B121))) &gt; 0,$B121 &amp; "(" &amp; $C121 &amp; ")",$B121)))), "  ", TRIM(IF($S121 = "YES", "(External ID)", "") &amp; " " &amp; IF(SUMPRODUCT(-- ISNUMBER(SEARCH({"Unique","Unique Case Insensitive"}, $R121))) &gt; 0, "(" &amp; $R121 &amp; ")", ""))))</f>
        <v>na</v>
      </c>
      <c r="E121" s="7" t="s">
        <v>195</v>
      </c>
      <c r="F121" s="7" t="s">
        <v>195</v>
      </c>
      <c r="G121" s="7" t="s">
        <v>195</v>
      </c>
      <c r="H121" s="7" t="s">
        <v>195</v>
      </c>
      <c r="I121" s="7" t="s">
        <v>195</v>
      </c>
      <c r="J121" s="7" t="s">
        <v>195</v>
      </c>
      <c r="K121" s="7" t="s">
        <v>195</v>
      </c>
      <c r="L121" s="7" t="s">
        <v>195</v>
      </c>
      <c r="M121" s="7" t="s">
        <v>29</v>
      </c>
      <c r="N121" s="7" t="s">
        <v>29</v>
      </c>
      <c r="O121" s="7" t="s">
        <v>29</v>
      </c>
      <c r="P121" s="7" t="s">
        <v>29</v>
      </c>
      <c r="Q121" s="7" t="s">
        <v>29</v>
      </c>
      <c r="R121" s="7" t="s">
        <v>29</v>
      </c>
      <c r="S121" s="7" t="s">
        <v>29</v>
      </c>
    </row>
    <row r="122" spans="2:19">
      <c r="B122" s="7" t="s">
        <v>195</v>
      </c>
      <c r="C122" s="8" t="s">
        <v>195</v>
      </c>
      <c r="D122" s="6" t="str">
        <f>LRTRIM(CONCATENATE(IF(SUMPRODUCT(-- ISNUMBER(SEARCH({"Auto Number"}, $B122))) &gt; 0, $B122, IF(SUMPRODUCT(-- ISNUMBER(SEARCH({"Lookup","Master-Detail"}, $B122))) &gt; 0,$B122 &amp; "(" &amp; $E122 &amp; ")",IF(SUMPRODUCT(-- ISNUMBER(SEARCH({"Formula","Roll-Up Summary"}, $B122))) &gt; 0,$B122 &amp; " (" &amp; $E122 &amp; ")",IF(SUMPRODUCT(-- ISNUMBER(SEARCH({"Content","Currency","Number","Percent","Text","URL"}, $B122))) &gt; 0,$B122 &amp; "(" &amp; $C122 &amp; ")",$B122)))), "  ", TRIM(IF($S122 = "YES", "(External ID)", "") &amp; " " &amp; IF(SUMPRODUCT(-- ISNUMBER(SEARCH({"Unique","Unique Case Insensitive"}, $R122))) &gt; 0, "(" &amp; $R122 &amp; ")", ""))))</f>
        <v>na</v>
      </c>
      <c r="E122" s="7" t="s">
        <v>195</v>
      </c>
      <c r="F122" s="7" t="s">
        <v>195</v>
      </c>
      <c r="G122" s="7" t="s">
        <v>195</v>
      </c>
      <c r="H122" s="7" t="s">
        <v>195</v>
      </c>
      <c r="I122" s="7" t="s">
        <v>195</v>
      </c>
      <c r="J122" s="7" t="s">
        <v>195</v>
      </c>
      <c r="K122" s="7" t="s">
        <v>195</v>
      </c>
      <c r="L122" s="7" t="s">
        <v>195</v>
      </c>
      <c r="M122" s="7" t="s">
        <v>29</v>
      </c>
      <c r="N122" s="7" t="s">
        <v>29</v>
      </c>
      <c r="O122" s="7" t="s">
        <v>29</v>
      </c>
      <c r="P122" s="7" t="s">
        <v>29</v>
      </c>
      <c r="Q122" s="7" t="s">
        <v>29</v>
      </c>
      <c r="R122" s="7" t="s">
        <v>29</v>
      </c>
      <c r="S122" s="7" t="s">
        <v>29</v>
      </c>
    </row>
    <row r="123" spans="2:19">
      <c r="B123" s="7" t="s">
        <v>195</v>
      </c>
      <c r="C123" s="8" t="s">
        <v>195</v>
      </c>
      <c r="D123" s="6" t="str">
        <f>LRTRIM(CONCATENATE(IF(SUMPRODUCT(-- ISNUMBER(SEARCH({"Auto Number"}, $B123))) &gt; 0, $B123, IF(SUMPRODUCT(-- ISNUMBER(SEARCH({"Lookup","Master-Detail"}, $B123))) &gt; 0,$B123 &amp; "(" &amp; $E123 &amp; ")",IF(SUMPRODUCT(-- ISNUMBER(SEARCH({"Formula","Roll-Up Summary"}, $B123))) &gt; 0,$B123 &amp; " (" &amp; $E123 &amp; ")",IF(SUMPRODUCT(-- ISNUMBER(SEARCH({"Content","Currency","Number","Percent","Text","URL"}, $B123))) &gt; 0,$B123 &amp; "(" &amp; $C123 &amp; ")",$B123)))), "  ", TRIM(IF($S123 = "YES", "(External ID)", "") &amp; " " &amp; IF(SUMPRODUCT(-- ISNUMBER(SEARCH({"Unique","Unique Case Insensitive"}, $R123))) &gt; 0, "(" &amp; $R123 &amp; ")", ""))))</f>
        <v>na</v>
      </c>
      <c r="E123" s="7" t="s">
        <v>195</v>
      </c>
      <c r="F123" s="7" t="s">
        <v>195</v>
      </c>
      <c r="G123" s="7" t="s">
        <v>195</v>
      </c>
      <c r="H123" s="7" t="s">
        <v>195</v>
      </c>
      <c r="I123" s="7" t="s">
        <v>195</v>
      </c>
      <c r="J123" s="7" t="s">
        <v>195</v>
      </c>
      <c r="K123" s="7" t="s">
        <v>195</v>
      </c>
      <c r="L123" s="7" t="s">
        <v>195</v>
      </c>
      <c r="M123" s="7" t="s">
        <v>29</v>
      </c>
      <c r="N123" s="7" t="s">
        <v>29</v>
      </c>
      <c r="O123" s="7" t="s">
        <v>29</v>
      </c>
      <c r="P123" s="7" t="s">
        <v>29</v>
      </c>
      <c r="Q123" s="7" t="s">
        <v>29</v>
      </c>
      <c r="R123" s="7" t="s">
        <v>29</v>
      </c>
      <c r="S123" s="7" t="s">
        <v>29</v>
      </c>
    </row>
    <row r="124" spans="2:19">
      <c r="B124" s="7" t="s">
        <v>195</v>
      </c>
      <c r="C124" s="8" t="s">
        <v>195</v>
      </c>
      <c r="D124" s="6" t="str">
        <f>LRTRIM(CONCATENATE(IF(SUMPRODUCT(-- ISNUMBER(SEARCH({"Auto Number"}, $B124))) &gt; 0, $B124, IF(SUMPRODUCT(-- ISNUMBER(SEARCH({"Lookup","Master-Detail"}, $B124))) &gt; 0,$B124 &amp; "(" &amp; $E124 &amp; ")",IF(SUMPRODUCT(-- ISNUMBER(SEARCH({"Formula","Roll-Up Summary"}, $B124))) &gt; 0,$B124 &amp; " (" &amp; $E124 &amp; ")",IF(SUMPRODUCT(-- ISNUMBER(SEARCH({"Content","Currency","Number","Percent","Text","URL"}, $B124))) &gt; 0,$B124 &amp; "(" &amp; $C124 &amp; ")",$B124)))), "  ", TRIM(IF($S124 = "YES", "(External ID)", "") &amp; " " &amp; IF(SUMPRODUCT(-- ISNUMBER(SEARCH({"Unique","Unique Case Insensitive"}, $R124))) &gt; 0, "(" &amp; $R124 &amp; ")", ""))))</f>
        <v>na</v>
      </c>
      <c r="E124" s="7" t="s">
        <v>195</v>
      </c>
      <c r="F124" s="7" t="s">
        <v>195</v>
      </c>
      <c r="G124" s="7" t="s">
        <v>195</v>
      </c>
      <c r="H124" s="7" t="s">
        <v>195</v>
      </c>
      <c r="I124" s="7" t="s">
        <v>195</v>
      </c>
      <c r="J124" s="7" t="s">
        <v>195</v>
      </c>
      <c r="K124" s="7" t="s">
        <v>195</v>
      </c>
      <c r="L124" s="7" t="s">
        <v>195</v>
      </c>
      <c r="M124" s="7" t="s">
        <v>29</v>
      </c>
      <c r="N124" s="7" t="s">
        <v>29</v>
      </c>
      <c r="O124" s="7" t="s">
        <v>29</v>
      </c>
      <c r="P124" s="7" t="s">
        <v>29</v>
      </c>
      <c r="Q124" s="7" t="s">
        <v>29</v>
      </c>
      <c r="R124" s="7" t="s">
        <v>29</v>
      </c>
      <c r="S124" s="7" t="s">
        <v>29</v>
      </c>
    </row>
    <row r="125" spans="2:19">
      <c r="B125" s="7" t="s">
        <v>195</v>
      </c>
      <c r="C125" s="8" t="s">
        <v>195</v>
      </c>
      <c r="D125" s="6" t="str">
        <f>LRTRIM(CONCATENATE(IF(SUMPRODUCT(-- ISNUMBER(SEARCH({"Auto Number"}, $B125))) &gt; 0, $B125, IF(SUMPRODUCT(-- ISNUMBER(SEARCH({"Lookup","Master-Detail"}, $B125))) &gt; 0,$B125 &amp; "(" &amp; $E125 &amp; ")",IF(SUMPRODUCT(-- ISNUMBER(SEARCH({"Formula","Roll-Up Summary"}, $B125))) &gt; 0,$B125 &amp; " (" &amp; $E125 &amp; ")",IF(SUMPRODUCT(-- ISNUMBER(SEARCH({"Content","Currency","Number","Percent","Text","URL"}, $B125))) &gt; 0,$B125 &amp; "(" &amp; $C125 &amp; ")",$B125)))), "  ", TRIM(IF($S125 = "YES", "(External ID)", "") &amp; " " &amp; IF(SUMPRODUCT(-- ISNUMBER(SEARCH({"Unique","Unique Case Insensitive"}, $R125))) &gt; 0, "(" &amp; $R125 &amp; ")", ""))))</f>
        <v>na</v>
      </c>
      <c r="E125" s="7" t="s">
        <v>195</v>
      </c>
      <c r="F125" s="7" t="s">
        <v>195</v>
      </c>
      <c r="G125" s="7" t="s">
        <v>195</v>
      </c>
      <c r="H125" s="7" t="s">
        <v>195</v>
      </c>
      <c r="I125" s="7" t="s">
        <v>195</v>
      </c>
      <c r="J125" s="7" t="s">
        <v>195</v>
      </c>
      <c r="K125" s="7" t="s">
        <v>195</v>
      </c>
      <c r="L125" s="7" t="s">
        <v>195</v>
      </c>
      <c r="M125" s="7" t="s">
        <v>29</v>
      </c>
      <c r="N125" s="7" t="s">
        <v>29</v>
      </c>
      <c r="O125" s="7" t="s">
        <v>29</v>
      </c>
      <c r="P125" s="7" t="s">
        <v>29</v>
      </c>
      <c r="Q125" s="7" t="s">
        <v>29</v>
      </c>
      <c r="R125" s="7" t="s">
        <v>29</v>
      </c>
      <c r="S125" s="7" t="s">
        <v>29</v>
      </c>
    </row>
    <row r="126" spans="2:19">
      <c r="B126" s="7" t="s">
        <v>195</v>
      </c>
      <c r="C126" s="8" t="s">
        <v>195</v>
      </c>
      <c r="D126" s="6" t="str">
        <f>LRTRIM(CONCATENATE(IF(SUMPRODUCT(-- ISNUMBER(SEARCH({"Auto Number"}, $B126))) &gt; 0, $B126, IF(SUMPRODUCT(-- ISNUMBER(SEARCH({"Lookup","Master-Detail"}, $B126))) &gt; 0,$B126 &amp; "(" &amp; $E126 &amp; ")",IF(SUMPRODUCT(-- ISNUMBER(SEARCH({"Formula","Roll-Up Summary"}, $B126))) &gt; 0,$B126 &amp; " (" &amp; $E126 &amp; ")",IF(SUMPRODUCT(-- ISNUMBER(SEARCH({"Content","Currency","Number","Percent","Text","URL"}, $B126))) &gt; 0,$B126 &amp; "(" &amp; $C126 &amp; ")",$B126)))), "  ", TRIM(IF($S126 = "YES", "(External ID)", "") &amp; " " &amp; IF(SUMPRODUCT(-- ISNUMBER(SEARCH({"Unique","Unique Case Insensitive"}, $R126))) &gt; 0, "(" &amp; $R126 &amp; ")", ""))))</f>
        <v>na</v>
      </c>
      <c r="E126" s="7" t="s">
        <v>195</v>
      </c>
      <c r="F126" s="7" t="s">
        <v>195</v>
      </c>
      <c r="G126" s="7" t="s">
        <v>195</v>
      </c>
      <c r="H126" s="7" t="s">
        <v>195</v>
      </c>
      <c r="I126" s="7" t="s">
        <v>195</v>
      </c>
      <c r="J126" s="7" t="s">
        <v>195</v>
      </c>
      <c r="K126" s="7" t="s">
        <v>195</v>
      </c>
      <c r="L126" s="7" t="s">
        <v>195</v>
      </c>
      <c r="M126" s="7" t="s">
        <v>29</v>
      </c>
      <c r="N126" s="7" t="s">
        <v>29</v>
      </c>
      <c r="O126" s="7" t="s">
        <v>29</v>
      </c>
      <c r="P126" s="7" t="s">
        <v>29</v>
      </c>
      <c r="Q126" s="7" t="s">
        <v>29</v>
      </c>
      <c r="R126" s="7" t="s">
        <v>29</v>
      </c>
      <c r="S126" s="7" t="s">
        <v>29</v>
      </c>
    </row>
    <row r="127" spans="2:19">
      <c r="B127" s="7" t="s">
        <v>195</v>
      </c>
      <c r="C127" s="8" t="s">
        <v>195</v>
      </c>
      <c r="D127" s="6" t="str">
        <f>LRTRIM(CONCATENATE(IF(SUMPRODUCT(-- ISNUMBER(SEARCH({"Auto Number"}, $B127))) &gt; 0, $B127, IF(SUMPRODUCT(-- ISNUMBER(SEARCH({"Lookup","Master-Detail"}, $B127))) &gt; 0,$B127 &amp; "(" &amp; $E127 &amp; ")",IF(SUMPRODUCT(-- ISNUMBER(SEARCH({"Formula","Roll-Up Summary"}, $B127))) &gt; 0,$B127 &amp; " (" &amp; $E127 &amp; ")",IF(SUMPRODUCT(-- ISNUMBER(SEARCH({"Content","Currency","Number","Percent","Text","URL"}, $B127))) &gt; 0,$B127 &amp; "(" &amp; $C127 &amp; ")",$B127)))), "  ", TRIM(IF($S127 = "YES", "(External ID)", "") &amp; " " &amp; IF(SUMPRODUCT(-- ISNUMBER(SEARCH({"Unique","Unique Case Insensitive"}, $R127))) &gt; 0, "(" &amp; $R127 &amp; ")", ""))))</f>
        <v>na</v>
      </c>
      <c r="E127" s="7" t="s">
        <v>195</v>
      </c>
      <c r="F127" s="7" t="s">
        <v>195</v>
      </c>
      <c r="G127" s="7" t="s">
        <v>195</v>
      </c>
      <c r="H127" s="7" t="s">
        <v>195</v>
      </c>
      <c r="I127" s="7" t="s">
        <v>195</v>
      </c>
      <c r="J127" s="7" t="s">
        <v>195</v>
      </c>
      <c r="K127" s="7" t="s">
        <v>195</v>
      </c>
      <c r="L127" s="7" t="s">
        <v>195</v>
      </c>
      <c r="M127" s="7" t="s">
        <v>29</v>
      </c>
      <c r="N127" s="7" t="s">
        <v>29</v>
      </c>
      <c r="O127" s="7" t="s">
        <v>29</v>
      </c>
      <c r="P127" s="7" t="s">
        <v>29</v>
      </c>
      <c r="Q127" s="7" t="s">
        <v>29</v>
      </c>
      <c r="R127" s="7" t="s">
        <v>29</v>
      </c>
      <c r="S127" s="7" t="s">
        <v>29</v>
      </c>
    </row>
    <row r="128" spans="2:19">
      <c r="B128" s="7" t="s">
        <v>195</v>
      </c>
      <c r="C128" s="8" t="s">
        <v>195</v>
      </c>
      <c r="D128" s="6" t="str">
        <f>LRTRIM(CONCATENATE(IF(SUMPRODUCT(-- ISNUMBER(SEARCH({"Auto Number"}, $B128))) &gt; 0, $B128, IF(SUMPRODUCT(-- ISNUMBER(SEARCH({"Lookup","Master-Detail"}, $B128))) &gt; 0,$B128 &amp; "(" &amp; $E128 &amp; ")",IF(SUMPRODUCT(-- ISNUMBER(SEARCH({"Formula","Roll-Up Summary"}, $B128))) &gt; 0,$B128 &amp; " (" &amp; $E128 &amp; ")",IF(SUMPRODUCT(-- ISNUMBER(SEARCH({"Content","Currency","Number","Percent","Text","URL"}, $B128))) &gt; 0,$B128 &amp; "(" &amp; $C128 &amp; ")",$B128)))), "  ", TRIM(IF($S128 = "YES", "(External ID)", "") &amp; " " &amp; IF(SUMPRODUCT(-- ISNUMBER(SEARCH({"Unique","Unique Case Insensitive"}, $R128))) &gt; 0, "(" &amp; $R128 &amp; ")", ""))))</f>
        <v>na</v>
      </c>
      <c r="E128" s="7" t="s">
        <v>195</v>
      </c>
      <c r="F128" s="7" t="s">
        <v>195</v>
      </c>
      <c r="G128" s="7" t="s">
        <v>195</v>
      </c>
      <c r="H128" s="7" t="s">
        <v>195</v>
      </c>
      <c r="I128" s="7" t="s">
        <v>195</v>
      </c>
      <c r="J128" s="7" t="s">
        <v>195</v>
      </c>
      <c r="K128" s="7" t="s">
        <v>195</v>
      </c>
      <c r="L128" s="7" t="s">
        <v>195</v>
      </c>
      <c r="M128" s="7" t="s">
        <v>29</v>
      </c>
      <c r="N128" s="7" t="s">
        <v>29</v>
      </c>
      <c r="O128" s="7" t="s">
        <v>29</v>
      </c>
      <c r="P128" s="7" t="s">
        <v>29</v>
      </c>
      <c r="Q128" s="7" t="s">
        <v>29</v>
      </c>
      <c r="R128" s="7" t="s">
        <v>29</v>
      </c>
      <c r="S128" s="7" t="s">
        <v>29</v>
      </c>
    </row>
    <row r="129" spans="2:19">
      <c r="B129" s="7" t="s">
        <v>195</v>
      </c>
      <c r="C129" s="8" t="s">
        <v>195</v>
      </c>
      <c r="D129" s="6" t="str">
        <f>LRTRIM(CONCATENATE(IF(SUMPRODUCT(-- ISNUMBER(SEARCH({"Auto Number"}, $B129))) &gt; 0, $B129, IF(SUMPRODUCT(-- ISNUMBER(SEARCH({"Lookup","Master-Detail"}, $B129))) &gt; 0,$B129 &amp; "(" &amp; $E129 &amp; ")",IF(SUMPRODUCT(-- ISNUMBER(SEARCH({"Formula","Roll-Up Summary"}, $B129))) &gt; 0,$B129 &amp; " (" &amp; $E129 &amp; ")",IF(SUMPRODUCT(-- ISNUMBER(SEARCH({"Content","Currency","Number","Percent","Text","URL"}, $B129))) &gt; 0,$B129 &amp; "(" &amp; $C129 &amp; ")",$B129)))), "  ", TRIM(IF($S129 = "YES", "(External ID)", "") &amp; " " &amp; IF(SUMPRODUCT(-- ISNUMBER(SEARCH({"Unique","Unique Case Insensitive"}, $R129))) &gt; 0, "(" &amp; $R129 &amp; ")", ""))))</f>
        <v>na</v>
      </c>
      <c r="E129" s="7" t="s">
        <v>195</v>
      </c>
      <c r="F129" s="7" t="s">
        <v>195</v>
      </c>
      <c r="G129" s="7" t="s">
        <v>195</v>
      </c>
      <c r="H129" s="7" t="s">
        <v>195</v>
      </c>
      <c r="I129" s="7" t="s">
        <v>195</v>
      </c>
      <c r="J129" s="7" t="s">
        <v>195</v>
      </c>
      <c r="K129" s="7" t="s">
        <v>195</v>
      </c>
      <c r="L129" s="7" t="s">
        <v>195</v>
      </c>
      <c r="M129" s="7" t="s">
        <v>29</v>
      </c>
      <c r="N129" s="7" t="s">
        <v>29</v>
      </c>
      <c r="O129" s="7" t="s">
        <v>29</v>
      </c>
      <c r="P129" s="7" t="s">
        <v>29</v>
      </c>
      <c r="Q129" s="7" t="s">
        <v>29</v>
      </c>
      <c r="R129" s="7" t="s">
        <v>29</v>
      </c>
      <c r="S129" s="7" t="s">
        <v>29</v>
      </c>
    </row>
    <row r="130" spans="2:19">
      <c r="B130" s="7" t="s">
        <v>195</v>
      </c>
      <c r="C130" s="8" t="s">
        <v>195</v>
      </c>
      <c r="D130" s="6" t="str">
        <f>LRTRIM(CONCATENATE(IF(SUMPRODUCT(-- ISNUMBER(SEARCH({"Auto Number"}, $B130))) &gt; 0, $B130, IF(SUMPRODUCT(-- ISNUMBER(SEARCH({"Lookup","Master-Detail"}, $B130))) &gt; 0,$B130 &amp; "(" &amp; $E130 &amp; ")",IF(SUMPRODUCT(-- ISNUMBER(SEARCH({"Formula","Roll-Up Summary"}, $B130))) &gt; 0,$B130 &amp; " (" &amp; $E130 &amp; ")",IF(SUMPRODUCT(-- ISNUMBER(SEARCH({"Content","Currency","Number","Percent","Text","URL"}, $B130))) &gt; 0,$B130 &amp; "(" &amp; $C130 &amp; ")",$B130)))), "  ", TRIM(IF($S130 = "YES", "(External ID)", "") &amp; " " &amp; IF(SUMPRODUCT(-- ISNUMBER(SEARCH({"Unique","Unique Case Insensitive"}, $R130))) &gt; 0, "(" &amp; $R130 &amp; ")", ""))))</f>
        <v>na</v>
      </c>
      <c r="E130" s="7" t="s">
        <v>195</v>
      </c>
      <c r="F130" s="7" t="s">
        <v>195</v>
      </c>
      <c r="G130" s="7" t="s">
        <v>195</v>
      </c>
      <c r="H130" s="7" t="s">
        <v>195</v>
      </c>
      <c r="I130" s="7" t="s">
        <v>195</v>
      </c>
      <c r="J130" s="7" t="s">
        <v>195</v>
      </c>
      <c r="K130" s="7" t="s">
        <v>195</v>
      </c>
      <c r="L130" s="7" t="s">
        <v>195</v>
      </c>
      <c r="M130" s="7" t="s">
        <v>29</v>
      </c>
      <c r="N130" s="7" t="s">
        <v>29</v>
      </c>
      <c r="O130" s="7" t="s">
        <v>29</v>
      </c>
      <c r="P130" s="7" t="s">
        <v>29</v>
      </c>
      <c r="Q130" s="7" t="s">
        <v>29</v>
      </c>
      <c r="R130" s="7" t="s">
        <v>29</v>
      </c>
      <c r="S130" s="7" t="s">
        <v>29</v>
      </c>
    </row>
    <row r="131" spans="2:19">
      <c r="B131" s="7" t="s">
        <v>195</v>
      </c>
      <c r="C131" s="8" t="s">
        <v>195</v>
      </c>
      <c r="D131" s="6" t="str">
        <f>LRTRIM(CONCATENATE(IF(SUMPRODUCT(-- ISNUMBER(SEARCH({"Auto Number"}, $B131))) &gt; 0, $B131, IF(SUMPRODUCT(-- ISNUMBER(SEARCH({"Lookup","Master-Detail"}, $B131))) &gt; 0,$B131 &amp; "(" &amp; $E131 &amp; ")",IF(SUMPRODUCT(-- ISNUMBER(SEARCH({"Formula","Roll-Up Summary"}, $B131))) &gt; 0,$B131 &amp; " (" &amp; $E131 &amp; ")",IF(SUMPRODUCT(-- ISNUMBER(SEARCH({"Content","Currency","Number","Percent","Text","URL"}, $B131))) &gt; 0,$B131 &amp; "(" &amp; $C131 &amp; ")",$B131)))), "  ", TRIM(IF($S131 = "YES", "(External ID)", "") &amp; " " &amp; IF(SUMPRODUCT(-- ISNUMBER(SEARCH({"Unique","Unique Case Insensitive"}, $R131))) &gt; 0, "(" &amp; $R131 &amp; ")", ""))))</f>
        <v>na</v>
      </c>
      <c r="E131" s="7" t="s">
        <v>195</v>
      </c>
      <c r="F131" s="7" t="s">
        <v>195</v>
      </c>
      <c r="G131" s="7" t="s">
        <v>195</v>
      </c>
      <c r="H131" s="7" t="s">
        <v>195</v>
      </c>
      <c r="I131" s="7" t="s">
        <v>195</v>
      </c>
      <c r="J131" s="7" t="s">
        <v>195</v>
      </c>
      <c r="K131" s="7" t="s">
        <v>195</v>
      </c>
      <c r="L131" s="7" t="s">
        <v>195</v>
      </c>
      <c r="M131" s="7" t="s">
        <v>29</v>
      </c>
      <c r="N131" s="7" t="s">
        <v>29</v>
      </c>
      <c r="O131" s="7" t="s">
        <v>29</v>
      </c>
      <c r="P131" s="7" t="s">
        <v>29</v>
      </c>
      <c r="Q131" s="7" t="s">
        <v>29</v>
      </c>
      <c r="R131" s="7" t="s">
        <v>29</v>
      </c>
      <c r="S131" s="7" t="s">
        <v>29</v>
      </c>
    </row>
    <row r="132" spans="2:19">
      <c r="B132" s="7" t="s">
        <v>195</v>
      </c>
      <c r="C132" s="8" t="s">
        <v>195</v>
      </c>
      <c r="D132" s="6" t="str">
        <f>LRTRIM(CONCATENATE(IF(SUMPRODUCT(-- ISNUMBER(SEARCH({"Auto Number"}, $B132))) &gt; 0, $B132, IF(SUMPRODUCT(-- ISNUMBER(SEARCH({"Lookup","Master-Detail"}, $B132))) &gt; 0,$B132 &amp; "(" &amp; $E132 &amp; ")",IF(SUMPRODUCT(-- ISNUMBER(SEARCH({"Formula","Roll-Up Summary"}, $B132))) &gt; 0,$B132 &amp; " (" &amp; $E132 &amp; ")",IF(SUMPRODUCT(-- ISNUMBER(SEARCH({"Content","Currency","Number","Percent","Text","URL"}, $B132))) &gt; 0,$B132 &amp; "(" &amp; $C132 &amp; ")",$B132)))), "  ", TRIM(IF($S132 = "YES", "(External ID)", "") &amp; " " &amp; IF(SUMPRODUCT(-- ISNUMBER(SEARCH({"Unique","Unique Case Insensitive"}, $R132))) &gt; 0, "(" &amp; $R132 &amp; ")", ""))))</f>
        <v>na</v>
      </c>
      <c r="E132" s="7" t="s">
        <v>195</v>
      </c>
      <c r="F132" s="7" t="s">
        <v>195</v>
      </c>
      <c r="G132" s="7" t="s">
        <v>195</v>
      </c>
      <c r="H132" s="7" t="s">
        <v>195</v>
      </c>
      <c r="I132" s="7" t="s">
        <v>195</v>
      </c>
      <c r="J132" s="7" t="s">
        <v>195</v>
      </c>
      <c r="K132" s="7" t="s">
        <v>195</v>
      </c>
      <c r="L132" s="7" t="s">
        <v>195</v>
      </c>
      <c r="M132" s="7" t="s">
        <v>29</v>
      </c>
      <c r="N132" s="7" t="s">
        <v>29</v>
      </c>
      <c r="O132" s="7" t="s">
        <v>29</v>
      </c>
      <c r="P132" s="7" t="s">
        <v>29</v>
      </c>
      <c r="Q132" s="7" t="s">
        <v>29</v>
      </c>
      <c r="R132" s="7" t="s">
        <v>29</v>
      </c>
      <c r="S132" s="7" t="s">
        <v>29</v>
      </c>
    </row>
    <row r="133" spans="2:19">
      <c r="B133" s="7" t="s">
        <v>195</v>
      </c>
      <c r="C133" s="8" t="s">
        <v>195</v>
      </c>
      <c r="D133" s="6" t="str">
        <f>LRTRIM(CONCATENATE(IF(SUMPRODUCT(-- ISNUMBER(SEARCH({"Auto Number"}, $B133))) &gt; 0, $B133, IF(SUMPRODUCT(-- ISNUMBER(SEARCH({"Lookup","Master-Detail"}, $B133))) &gt; 0,$B133 &amp; "(" &amp; $E133 &amp; ")",IF(SUMPRODUCT(-- ISNUMBER(SEARCH({"Formula","Roll-Up Summary"}, $B133))) &gt; 0,$B133 &amp; " (" &amp; $E133 &amp; ")",IF(SUMPRODUCT(-- ISNUMBER(SEARCH({"Content","Currency","Number","Percent","Text","URL"}, $B133))) &gt; 0,$B133 &amp; "(" &amp; $C133 &amp; ")",$B133)))), "  ", TRIM(IF($S133 = "YES", "(External ID)", "") &amp; " " &amp; IF(SUMPRODUCT(-- ISNUMBER(SEARCH({"Unique","Unique Case Insensitive"}, $R133))) &gt; 0, "(" &amp; $R133 &amp; ")", ""))))</f>
        <v>na</v>
      </c>
      <c r="E133" s="7" t="s">
        <v>195</v>
      </c>
      <c r="F133" s="7" t="s">
        <v>195</v>
      </c>
      <c r="G133" s="7" t="s">
        <v>195</v>
      </c>
      <c r="H133" s="7" t="s">
        <v>195</v>
      </c>
      <c r="I133" s="7" t="s">
        <v>195</v>
      </c>
      <c r="J133" s="7" t="s">
        <v>195</v>
      </c>
      <c r="K133" s="7" t="s">
        <v>195</v>
      </c>
      <c r="L133" s="7" t="s">
        <v>195</v>
      </c>
      <c r="M133" s="7" t="s">
        <v>29</v>
      </c>
      <c r="N133" s="7" t="s">
        <v>29</v>
      </c>
      <c r="O133" s="7" t="s">
        <v>29</v>
      </c>
      <c r="P133" s="7" t="s">
        <v>29</v>
      </c>
      <c r="Q133" s="7" t="s">
        <v>29</v>
      </c>
      <c r="R133" s="7" t="s">
        <v>29</v>
      </c>
      <c r="S133" s="7" t="s">
        <v>29</v>
      </c>
    </row>
    <row r="134" spans="2:19">
      <c r="B134" s="7" t="s">
        <v>195</v>
      </c>
      <c r="C134" s="8" t="s">
        <v>195</v>
      </c>
      <c r="D134" s="6" t="str">
        <f>LRTRIM(CONCATENATE(IF(SUMPRODUCT(-- ISNUMBER(SEARCH({"Auto Number"}, $B134))) &gt; 0, $B134, IF(SUMPRODUCT(-- ISNUMBER(SEARCH({"Lookup","Master-Detail"}, $B134))) &gt; 0,$B134 &amp; "(" &amp; $E134 &amp; ")",IF(SUMPRODUCT(-- ISNUMBER(SEARCH({"Formula","Roll-Up Summary"}, $B134))) &gt; 0,$B134 &amp; " (" &amp; $E134 &amp; ")",IF(SUMPRODUCT(-- ISNUMBER(SEARCH({"Content","Currency","Number","Percent","Text","URL"}, $B134))) &gt; 0,$B134 &amp; "(" &amp; $C134 &amp; ")",$B134)))), "  ", TRIM(IF($S134 = "YES", "(External ID)", "") &amp; " " &amp; IF(SUMPRODUCT(-- ISNUMBER(SEARCH({"Unique","Unique Case Insensitive"}, $R134))) &gt; 0, "(" &amp; $R134 &amp; ")", ""))))</f>
        <v>na</v>
      </c>
      <c r="E134" s="7" t="s">
        <v>195</v>
      </c>
      <c r="F134" s="7" t="s">
        <v>195</v>
      </c>
      <c r="G134" s="7" t="s">
        <v>195</v>
      </c>
      <c r="H134" s="7" t="s">
        <v>195</v>
      </c>
      <c r="I134" s="7" t="s">
        <v>195</v>
      </c>
      <c r="J134" s="7" t="s">
        <v>195</v>
      </c>
      <c r="K134" s="7" t="s">
        <v>195</v>
      </c>
      <c r="L134" s="7" t="s">
        <v>195</v>
      </c>
      <c r="M134" s="7" t="s">
        <v>29</v>
      </c>
      <c r="N134" s="7" t="s">
        <v>29</v>
      </c>
      <c r="O134" s="7" t="s">
        <v>29</v>
      </c>
      <c r="P134" s="7" t="s">
        <v>29</v>
      </c>
      <c r="Q134" s="7" t="s">
        <v>29</v>
      </c>
      <c r="R134" s="7" t="s">
        <v>29</v>
      </c>
      <c r="S134" s="7" t="s">
        <v>29</v>
      </c>
    </row>
    <row r="135" spans="2:19">
      <c r="B135" s="7" t="s">
        <v>195</v>
      </c>
      <c r="C135" s="8" t="s">
        <v>195</v>
      </c>
      <c r="D135" s="6" t="str">
        <f>LRTRIM(CONCATENATE(IF(SUMPRODUCT(-- ISNUMBER(SEARCH({"Auto Number"}, $B135))) &gt; 0, $B135, IF(SUMPRODUCT(-- ISNUMBER(SEARCH({"Lookup","Master-Detail"}, $B135))) &gt; 0,$B135 &amp; "(" &amp; $E135 &amp; ")",IF(SUMPRODUCT(-- ISNUMBER(SEARCH({"Formula","Roll-Up Summary"}, $B135))) &gt; 0,$B135 &amp; " (" &amp; $E135 &amp; ")",IF(SUMPRODUCT(-- ISNUMBER(SEARCH({"Content","Currency","Number","Percent","Text","URL"}, $B135))) &gt; 0,$B135 &amp; "(" &amp; $C135 &amp; ")",$B135)))), "  ", TRIM(IF($S135 = "YES", "(External ID)", "") &amp; " " &amp; IF(SUMPRODUCT(-- ISNUMBER(SEARCH({"Unique","Unique Case Insensitive"}, $R135))) &gt; 0, "(" &amp; $R135 &amp; ")", ""))))</f>
        <v>na</v>
      </c>
      <c r="E135" s="7" t="s">
        <v>195</v>
      </c>
      <c r="F135" s="7" t="s">
        <v>195</v>
      </c>
      <c r="G135" s="7" t="s">
        <v>195</v>
      </c>
      <c r="H135" s="7" t="s">
        <v>195</v>
      </c>
      <c r="I135" s="7" t="s">
        <v>195</v>
      </c>
      <c r="J135" s="7" t="s">
        <v>195</v>
      </c>
      <c r="K135" s="7" t="s">
        <v>195</v>
      </c>
      <c r="L135" s="7" t="s">
        <v>195</v>
      </c>
      <c r="M135" s="7" t="s">
        <v>29</v>
      </c>
      <c r="N135" s="7" t="s">
        <v>29</v>
      </c>
      <c r="O135" s="7" t="s">
        <v>29</v>
      </c>
      <c r="P135" s="7" t="s">
        <v>29</v>
      </c>
      <c r="Q135" s="7" t="s">
        <v>29</v>
      </c>
      <c r="R135" s="7" t="s">
        <v>29</v>
      </c>
      <c r="S135" s="7" t="s">
        <v>29</v>
      </c>
    </row>
    <row r="136" spans="2:19">
      <c r="B136" s="7" t="s">
        <v>195</v>
      </c>
      <c r="C136" s="8" t="s">
        <v>195</v>
      </c>
      <c r="D136" s="6" t="str">
        <f>LRTRIM(CONCATENATE(IF(SUMPRODUCT(-- ISNUMBER(SEARCH({"Auto Number"}, $B136))) &gt; 0, $B136, IF(SUMPRODUCT(-- ISNUMBER(SEARCH({"Lookup","Master-Detail"}, $B136))) &gt; 0,$B136 &amp; "(" &amp; $E136 &amp; ")",IF(SUMPRODUCT(-- ISNUMBER(SEARCH({"Formula","Roll-Up Summary"}, $B136))) &gt; 0,$B136 &amp; " (" &amp; $E136 &amp; ")",IF(SUMPRODUCT(-- ISNUMBER(SEARCH({"Content","Currency","Number","Percent","Text","URL"}, $B136))) &gt; 0,$B136 &amp; "(" &amp; $C136 &amp; ")",$B136)))), "  ", TRIM(IF($S136 = "YES", "(External ID)", "") &amp; " " &amp; IF(SUMPRODUCT(-- ISNUMBER(SEARCH({"Unique","Unique Case Insensitive"}, $R136))) &gt; 0, "(" &amp; $R136 &amp; ")", ""))))</f>
        <v>na</v>
      </c>
      <c r="E136" s="7" t="s">
        <v>195</v>
      </c>
      <c r="F136" s="7" t="s">
        <v>195</v>
      </c>
      <c r="G136" s="7" t="s">
        <v>195</v>
      </c>
      <c r="H136" s="7" t="s">
        <v>195</v>
      </c>
      <c r="I136" s="7" t="s">
        <v>195</v>
      </c>
      <c r="J136" s="7" t="s">
        <v>195</v>
      </c>
      <c r="K136" s="7" t="s">
        <v>195</v>
      </c>
      <c r="L136" s="7" t="s">
        <v>195</v>
      </c>
      <c r="M136" s="7" t="s">
        <v>29</v>
      </c>
      <c r="N136" s="7" t="s">
        <v>29</v>
      </c>
      <c r="O136" s="7" t="s">
        <v>29</v>
      </c>
      <c r="P136" s="7" t="s">
        <v>29</v>
      </c>
      <c r="Q136" s="7" t="s">
        <v>29</v>
      </c>
      <c r="R136" s="7" t="s">
        <v>29</v>
      </c>
      <c r="S136" s="7" t="s">
        <v>29</v>
      </c>
    </row>
    <row r="137" spans="2:19">
      <c r="B137" s="7" t="s">
        <v>195</v>
      </c>
      <c r="C137" s="8" t="s">
        <v>195</v>
      </c>
      <c r="D137" s="6" t="str">
        <f>LRTRIM(CONCATENATE(IF(SUMPRODUCT(-- ISNUMBER(SEARCH({"Auto Number"}, $B137))) &gt; 0, $B137, IF(SUMPRODUCT(-- ISNUMBER(SEARCH({"Lookup","Master-Detail"}, $B137))) &gt; 0,$B137 &amp; "(" &amp; $E137 &amp; ")",IF(SUMPRODUCT(-- ISNUMBER(SEARCH({"Formula","Roll-Up Summary"}, $B137))) &gt; 0,$B137 &amp; " (" &amp; $E137 &amp; ")",IF(SUMPRODUCT(-- ISNUMBER(SEARCH({"Content","Currency","Number","Percent","Text","URL"}, $B137))) &gt; 0,$B137 &amp; "(" &amp; $C137 &amp; ")",$B137)))), "  ", TRIM(IF($S137 = "YES", "(External ID)", "") &amp; " " &amp; IF(SUMPRODUCT(-- ISNUMBER(SEARCH({"Unique","Unique Case Insensitive"}, $R137))) &gt; 0, "(" &amp; $R137 &amp; ")", ""))))</f>
        <v>na</v>
      </c>
      <c r="E137" s="7" t="s">
        <v>195</v>
      </c>
      <c r="F137" s="7" t="s">
        <v>195</v>
      </c>
      <c r="G137" s="7" t="s">
        <v>195</v>
      </c>
      <c r="H137" s="7" t="s">
        <v>195</v>
      </c>
      <c r="I137" s="7" t="s">
        <v>195</v>
      </c>
      <c r="J137" s="7" t="s">
        <v>195</v>
      </c>
      <c r="K137" s="7" t="s">
        <v>195</v>
      </c>
      <c r="L137" s="7" t="s">
        <v>195</v>
      </c>
      <c r="M137" s="7" t="s">
        <v>29</v>
      </c>
      <c r="N137" s="7" t="s">
        <v>29</v>
      </c>
      <c r="O137" s="7" t="s">
        <v>29</v>
      </c>
      <c r="P137" s="7" t="s">
        <v>29</v>
      </c>
      <c r="Q137" s="7" t="s">
        <v>29</v>
      </c>
      <c r="R137" s="7" t="s">
        <v>29</v>
      </c>
      <c r="S137" s="7" t="s">
        <v>29</v>
      </c>
    </row>
    <row r="138" spans="2:19">
      <c r="B138" s="7" t="s">
        <v>195</v>
      </c>
      <c r="C138" s="8" t="s">
        <v>195</v>
      </c>
      <c r="D138" s="6" t="str">
        <f>LRTRIM(CONCATENATE(IF(SUMPRODUCT(-- ISNUMBER(SEARCH({"Auto Number"}, $B138))) &gt; 0, $B138, IF(SUMPRODUCT(-- ISNUMBER(SEARCH({"Lookup","Master-Detail"}, $B138))) &gt; 0,$B138 &amp; "(" &amp; $E138 &amp; ")",IF(SUMPRODUCT(-- ISNUMBER(SEARCH({"Formula","Roll-Up Summary"}, $B138))) &gt; 0,$B138 &amp; " (" &amp; $E138 &amp; ")",IF(SUMPRODUCT(-- ISNUMBER(SEARCH({"Content","Currency","Number","Percent","Text","URL"}, $B138))) &gt; 0,$B138 &amp; "(" &amp; $C138 &amp; ")",$B138)))), "  ", TRIM(IF($S138 = "YES", "(External ID)", "") &amp; " " &amp; IF(SUMPRODUCT(-- ISNUMBER(SEARCH({"Unique","Unique Case Insensitive"}, $R138))) &gt; 0, "(" &amp; $R138 &amp; ")", ""))))</f>
        <v>na</v>
      </c>
      <c r="E138" s="7" t="s">
        <v>195</v>
      </c>
      <c r="F138" s="7" t="s">
        <v>195</v>
      </c>
      <c r="G138" s="7" t="s">
        <v>195</v>
      </c>
      <c r="H138" s="7" t="s">
        <v>195</v>
      </c>
      <c r="I138" s="7" t="s">
        <v>195</v>
      </c>
      <c r="J138" s="7" t="s">
        <v>195</v>
      </c>
      <c r="K138" s="7" t="s">
        <v>195</v>
      </c>
      <c r="L138" s="7" t="s">
        <v>195</v>
      </c>
      <c r="M138" s="7" t="s">
        <v>29</v>
      </c>
      <c r="N138" s="7" t="s">
        <v>29</v>
      </c>
      <c r="O138" s="7" t="s">
        <v>29</v>
      </c>
      <c r="P138" s="7" t="s">
        <v>29</v>
      </c>
      <c r="Q138" s="7" t="s">
        <v>29</v>
      </c>
      <c r="R138" s="7" t="s">
        <v>29</v>
      </c>
      <c r="S138" s="7" t="s">
        <v>29</v>
      </c>
    </row>
    <row r="139" spans="2:19">
      <c r="B139" s="7" t="s">
        <v>195</v>
      </c>
      <c r="C139" s="8" t="s">
        <v>195</v>
      </c>
      <c r="D139" s="6" t="str">
        <f>LRTRIM(CONCATENATE(IF(SUMPRODUCT(-- ISNUMBER(SEARCH({"Auto Number"}, $B139))) &gt; 0, $B139, IF(SUMPRODUCT(-- ISNUMBER(SEARCH({"Lookup","Master-Detail"}, $B139))) &gt; 0,$B139 &amp; "(" &amp; $E139 &amp; ")",IF(SUMPRODUCT(-- ISNUMBER(SEARCH({"Formula","Roll-Up Summary"}, $B139))) &gt; 0,$B139 &amp; " (" &amp; $E139 &amp; ")",IF(SUMPRODUCT(-- ISNUMBER(SEARCH({"Content","Currency","Number","Percent","Text","URL"}, $B139))) &gt; 0,$B139 &amp; "(" &amp; $C139 &amp; ")",$B139)))), "  ", TRIM(IF($S139 = "YES", "(External ID)", "") &amp; " " &amp; IF(SUMPRODUCT(-- ISNUMBER(SEARCH({"Unique","Unique Case Insensitive"}, $R139))) &gt; 0, "(" &amp; $R139 &amp; ")", ""))))</f>
        <v>na</v>
      </c>
      <c r="E139" s="7" t="s">
        <v>195</v>
      </c>
      <c r="F139" s="7" t="s">
        <v>195</v>
      </c>
      <c r="G139" s="7" t="s">
        <v>195</v>
      </c>
      <c r="H139" s="7" t="s">
        <v>195</v>
      </c>
      <c r="I139" s="7" t="s">
        <v>195</v>
      </c>
      <c r="J139" s="7" t="s">
        <v>195</v>
      </c>
      <c r="K139" s="7" t="s">
        <v>195</v>
      </c>
      <c r="L139" s="7" t="s">
        <v>195</v>
      </c>
      <c r="M139" s="7" t="s">
        <v>29</v>
      </c>
      <c r="N139" s="7" t="s">
        <v>29</v>
      </c>
      <c r="O139" s="7" t="s">
        <v>29</v>
      </c>
      <c r="P139" s="7" t="s">
        <v>29</v>
      </c>
      <c r="Q139" s="7" t="s">
        <v>29</v>
      </c>
      <c r="R139" s="7" t="s">
        <v>29</v>
      </c>
      <c r="S139" s="7" t="s">
        <v>29</v>
      </c>
    </row>
    <row r="140" spans="2:19">
      <c r="B140" s="7" t="s">
        <v>195</v>
      </c>
      <c r="C140" s="8" t="s">
        <v>195</v>
      </c>
      <c r="D140" s="6" t="str">
        <f>LRTRIM(CONCATENATE(IF(SUMPRODUCT(-- ISNUMBER(SEARCH({"Auto Number"}, $B140))) &gt; 0, $B140, IF(SUMPRODUCT(-- ISNUMBER(SEARCH({"Lookup","Master-Detail"}, $B140))) &gt; 0,$B140 &amp; "(" &amp; $E140 &amp; ")",IF(SUMPRODUCT(-- ISNUMBER(SEARCH({"Formula","Roll-Up Summary"}, $B140))) &gt; 0,$B140 &amp; " (" &amp; $E140 &amp; ")",IF(SUMPRODUCT(-- ISNUMBER(SEARCH({"Content","Currency","Number","Percent","Text","URL"}, $B140))) &gt; 0,$B140 &amp; "(" &amp; $C140 &amp; ")",$B140)))), "  ", TRIM(IF($S140 = "YES", "(External ID)", "") &amp; " " &amp; IF(SUMPRODUCT(-- ISNUMBER(SEARCH({"Unique","Unique Case Insensitive"}, $R140))) &gt; 0, "(" &amp; $R140 &amp; ")", ""))))</f>
        <v>na</v>
      </c>
      <c r="E140" s="7" t="s">
        <v>195</v>
      </c>
      <c r="F140" s="7" t="s">
        <v>195</v>
      </c>
      <c r="G140" s="7" t="s">
        <v>195</v>
      </c>
      <c r="H140" s="7" t="s">
        <v>195</v>
      </c>
      <c r="I140" s="7" t="s">
        <v>195</v>
      </c>
      <c r="J140" s="7" t="s">
        <v>195</v>
      </c>
      <c r="K140" s="7" t="s">
        <v>195</v>
      </c>
      <c r="L140" s="7" t="s">
        <v>195</v>
      </c>
      <c r="M140" s="7" t="s">
        <v>29</v>
      </c>
      <c r="N140" s="7" t="s">
        <v>29</v>
      </c>
      <c r="O140" s="7" t="s">
        <v>29</v>
      </c>
      <c r="P140" s="7" t="s">
        <v>29</v>
      </c>
      <c r="Q140" s="7" t="s">
        <v>29</v>
      </c>
      <c r="R140" s="7" t="s">
        <v>29</v>
      </c>
      <c r="S140" s="7" t="s">
        <v>29</v>
      </c>
    </row>
    <row r="141" spans="2:19">
      <c r="B141" s="7" t="s">
        <v>195</v>
      </c>
      <c r="C141" s="8" t="s">
        <v>195</v>
      </c>
      <c r="D141" s="6" t="str">
        <f>LRTRIM(CONCATENATE(IF(SUMPRODUCT(-- ISNUMBER(SEARCH({"Auto Number"}, $B141))) &gt; 0, $B141, IF(SUMPRODUCT(-- ISNUMBER(SEARCH({"Lookup","Master-Detail"}, $B141))) &gt; 0,$B141 &amp; "(" &amp; $E141 &amp; ")",IF(SUMPRODUCT(-- ISNUMBER(SEARCH({"Formula","Roll-Up Summary"}, $B141))) &gt; 0,$B141 &amp; " (" &amp; $E141 &amp; ")",IF(SUMPRODUCT(-- ISNUMBER(SEARCH({"Content","Currency","Number","Percent","Text","URL"}, $B141))) &gt; 0,$B141 &amp; "(" &amp; $C141 &amp; ")",$B141)))), "  ", TRIM(IF($S141 = "YES", "(External ID)", "") &amp; " " &amp; IF(SUMPRODUCT(-- ISNUMBER(SEARCH({"Unique","Unique Case Insensitive"}, $R141))) &gt; 0, "(" &amp; $R141 &amp; ")", ""))))</f>
        <v>na</v>
      </c>
      <c r="E141" s="7" t="s">
        <v>195</v>
      </c>
      <c r="F141" s="7" t="s">
        <v>195</v>
      </c>
      <c r="G141" s="7" t="s">
        <v>195</v>
      </c>
      <c r="H141" s="7" t="s">
        <v>195</v>
      </c>
      <c r="I141" s="7" t="s">
        <v>195</v>
      </c>
      <c r="J141" s="7" t="s">
        <v>195</v>
      </c>
      <c r="K141" s="7" t="s">
        <v>195</v>
      </c>
      <c r="L141" s="7" t="s">
        <v>195</v>
      </c>
      <c r="M141" s="7" t="s">
        <v>29</v>
      </c>
      <c r="N141" s="7" t="s">
        <v>29</v>
      </c>
      <c r="O141" s="7" t="s">
        <v>29</v>
      </c>
      <c r="P141" s="7" t="s">
        <v>29</v>
      </c>
      <c r="Q141" s="7" t="s">
        <v>29</v>
      </c>
      <c r="R141" s="7" t="s">
        <v>29</v>
      </c>
      <c r="S141" s="7" t="s">
        <v>29</v>
      </c>
    </row>
    <row r="142" spans="2:19">
      <c r="B142" s="7" t="s">
        <v>195</v>
      </c>
      <c r="C142" s="8" t="s">
        <v>195</v>
      </c>
      <c r="D142" s="6" t="str">
        <f>LRTRIM(CONCATENATE(IF(SUMPRODUCT(-- ISNUMBER(SEARCH({"Auto Number"}, $B142))) &gt; 0, $B142, IF(SUMPRODUCT(-- ISNUMBER(SEARCH({"Lookup","Master-Detail"}, $B142))) &gt; 0,$B142 &amp; "(" &amp; $E142 &amp; ")",IF(SUMPRODUCT(-- ISNUMBER(SEARCH({"Formula","Roll-Up Summary"}, $B142))) &gt; 0,$B142 &amp; " (" &amp; $E142 &amp; ")",IF(SUMPRODUCT(-- ISNUMBER(SEARCH({"Content","Currency","Number","Percent","Text","URL"}, $B142))) &gt; 0,$B142 &amp; "(" &amp; $C142 &amp; ")",$B142)))), "  ", TRIM(IF($S142 = "YES", "(External ID)", "") &amp; " " &amp; IF(SUMPRODUCT(-- ISNUMBER(SEARCH({"Unique","Unique Case Insensitive"}, $R142))) &gt; 0, "(" &amp; $R142 &amp; ")", ""))))</f>
        <v>na</v>
      </c>
      <c r="E142" s="7" t="s">
        <v>195</v>
      </c>
      <c r="F142" s="7" t="s">
        <v>195</v>
      </c>
      <c r="G142" s="7" t="s">
        <v>195</v>
      </c>
      <c r="H142" s="7" t="s">
        <v>195</v>
      </c>
      <c r="I142" s="7" t="s">
        <v>195</v>
      </c>
      <c r="J142" s="7" t="s">
        <v>195</v>
      </c>
      <c r="K142" s="7" t="s">
        <v>195</v>
      </c>
      <c r="L142" s="7" t="s">
        <v>195</v>
      </c>
      <c r="M142" s="7" t="s">
        <v>29</v>
      </c>
      <c r="N142" s="7" t="s">
        <v>29</v>
      </c>
      <c r="O142" s="7" t="s">
        <v>29</v>
      </c>
      <c r="P142" s="7" t="s">
        <v>29</v>
      </c>
      <c r="Q142" s="7" t="s">
        <v>29</v>
      </c>
      <c r="R142" s="7" t="s">
        <v>29</v>
      </c>
      <c r="S142" s="7" t="s">
        <v>29</v>
      </c>
    </row>
    <row r="143" spans="2:19">
      <c r="B143" s="7" t="s">
        <v>195</v>
      </c>
      <c r="C143" s="8" t="s">
        <v>195</v>
      </c>
      <c r="D143" s="6" t="str">
        <f>LRTRIM(CONCATENATE(IF(SUMPRODUCT(-- ISNUMBER(SEARCH({"Auto Number"}, $B143))) &gt; 0, $B143, IF(SUMPRODUCT(-- ISNUMBER(SEARCH({"Lookup","Master-Detail"}, $B143))) &gt; 0,$B143 &amp; "(" &amp; $E143 &amp; ")",IF(SUMPRODUCT(-- ISNUMBER(SEARCH({"Formula","Roll-Up Summary"}, $B143))) &gt; 0,$B143 &amp; " (" &amp; $E143 &amp; ")",IF(SUMPRODUCT(-- ISNUMBER(SEARCH({"Content","Currency","Number","Percent","Text","URL"}, $B143))) &gt; 0,$B143 &amp; "(" &amp; $C143 &amp; ")",$B143)))), "  ", TRIM(IF($S143 = "YES", "(External ID)", "") &amp; " " &amp; IF(SUMPRODUCT(-- ISNUMBER(SEARCH({"Unique","Unique Case Insensitive"}, $R143))) &gt; 0, "(" &amp; $R143 &amp; ")", ""))))</f>
        <v>na</v>
      </c>
      <c r="E143" s="7" t="s">
        <v>195</v>
      </c>
      <c r="F143" s="7" t="s">
        <v>195</v>
      </c>
      <c r="G143" s="7" t="s">
        <v>195</v>
      </c>
      <c r="H143" s="7" t="s">
        <v>195</v>
      </c>
      <c r="I143" s="7" t="s">
        <v>195</v>
      </c>
      <c r="J143" s="7" t="s">
        <v>195</v>
      </c>
      <c r="K143" s="7" t="s">
        <v>195</v>
      </c>
      <c r="L143" s="7" t="s">
        <v>195</v>
      </c>
      <c r="M143" s="7" t="s">
        <v>29</v>
      </c>
      <c r="N143" s="7" t="s">
        <v>29</v>
      </c>
      <c r="O143" s="7" t="s">
        <v>29</v>
      </c>
      <c r="P143" s="7" t="s">
        <v>29</v>
      </c>
      <c r="Q143" s="7" t="s">
        <v>29</v>
      </c>
      <c r="R143" s="7" t="s">
        <v>29</v>
      </c>
      <c r="S143" s="7" t="s">
        <v>29</v>
      </c>
    </row>
    <row r="144" spans="2:19">
      <c r="B144" s="7" t="s">
        <v>195</v>
      </c>
      <c r="C144" s="8" t="s">
        <v>195</v>
      </c>
      <c r="D144" s="6" t="str">
        <f>LRTRIM(CONCATENATE(IF(SUMPRODUCT(-- ISNUMBER(SEARCH({"Auto Number"}, $B144))) &gt; 0, $B144, IF(SUMPRODUCT(-- ISNUMBER(SEARCH({"Lookup","Master-Detail"}, $B144))) &gt; 0,$B144 &amp; "(" &amp; $E144 &amp; ")",IF(SUMPRODUCT(-- ISNUMBER(SEARCH({"Formula","Roll-Up Summary"}, $B144))) &gt; 0,$B144 &amp; " (" &amp; $E144 &amp; ")",IF(SUMPRODUCT(-- ISNUMBER(SEARCH({"Content","Currency","Number","Percent","Text","URL"}, $B144))) &gt; 0,$B144 &amp; "(" &amp; $C144 &amp; ")",$B144)))), "  ", TRIM(IF($S144 = "YES", "(External ID)", "") &amp; " " &amp; IF(SUMPRODUCT(-- ISNUMBER(SEARCH({"Unique","Unique Case Insensitive"}, $R144))) &gt; 0, "(" &amp; $R144 &amp; ")", ""))))</f>
        <v>na</v>
      </c>
      <c r="E144" s="7" t="s">
        <v>195</v>
      </c>
      <c r="F144" s="7" t="s">
        <v>195</v>
      </c>
      <c r="G144" s="7" t="s">
        <v>195</v>
      </c>
      <c r="H144" s="7" t="s">
        <v>195</v>
      </c>
      <c r="I144" s="7" t="s">
        <v>195</v>
      </c>
      <c r="J144" s="7" t="s">
        <v>195</v>
      </c>
      <c r="K144" s="7" t="s">
        <v>195</v>
      </c>
      <c r="L144" s="7" t="s">
        <v>195</v>
      </c>
      <c r="M144" s="7" t="s">
        <v>29</v>
      </c>
      <c r="N144" s="7" t="s">
        <v>29</v>
      </c>
      <c r="O144" s="7" t="s">
        <v>29</v>
      </c>
      <c r="P144" s="7" t="s">
        <v>29</v>
      </c>
      <c r="Q144" s="7" t="s">
        <v>29</v>
      </c>
      <c r="R144" s="7" t="s">
        <v>29</v>
      </c>
      <c r="S144" s="7" t="s">
        <v>29</v>
      </c>
    </row>
    <row r="145" spans="2:19">
      <c r="B145" s="7" t="s">
        <v>195</v>
      </c>
      <c r="C145" s="8" t="s">
        <v>195</v>
      </c>
      <c r="D145" s="6" t="str">
        <f>LRTRIM(CONCATENATE(IF(SUMPRODUCT(-- ISNUMBER(SEARCH({"Auto Number"}, $B145))) &gt; 0, $B145, IF(SUMPRODUCT(-- ISNUMBER(SEARCH({"Lookup","Master-Detail"}, $B145))) &gt; 0,$B145 &amp; "(" &amp; $E145 &amp; ")",IF(SUMPRODUCT(-- ISNUMBER(SEARCH({"Formula","Roll-Up Summary"}, $B145))) &gt; 0,$B145 &amp; " (" &amp; $E145 &amp; ")",IF(SUMPRODUCT(-- ISNUMBER(SEARCH({"Content","Currency","Number","Percent","Text","URL"}, $B145))) &gt; 0,$B145 &amp; "(" &amp; $C145 &amp; ")",$B145)))), "  ", TRIM(IF($S145 = "YES", "(External ID)", "") &amp; " " &amp; IF(SUMPRODUCT(-- ISNUMBER(SEARCH({"Unique","Unique Case Insensitive"}, $R145))) &gt; 0, "(" &amp; $R145 &amp; ")", ""))))</f>
        <v>na</v>
      </c>
      <c r="E145" s="7" t="s">
        <v>195</v>
      </c>
      <c r="F145" s="7" t="s">
        <v>195</v>
      </c>
      <c r="G145" s="7" t="s">
        <v>195</v>
      </c>
      <c r="H145" s="7" t="s">
        <v>195</v>
      </c>
      <c r="I145" s="7" t="s">
        <v>195</v>
      </c>
      <c r="J145" s="7" t="s">
        <v>195</v>
      </c>
      <c r="K145" s="7" t="s">
        <v>195</v>
      </c>
      <c r="L145" s="7" t="s">
        <v>195</v>
      </c>
      <c r="M145" s="7" t="s">
        <v>29</v>
      </c>
      <c r="N145" s="7" t="s">
        <v>29</v>
      </c>
      <c r="O145" s="7" t="s">
        <v>29</v>
      </c>
      <c r="P145" s="7" t="s">
        <v>29</v>
      </c>
      <c r="Q145" s="7" t="s">
        <v>29</v>
      </c>
      <c r="R145" s="7" t="s">
        <v>29</v>
      </c>
      <c r="S145" s="7" t="s">
        <v>29</v>
      </c>
    </row>
    <row r="146" spans="2:19">
      <c r="B146" s="7" t="s">
        <v>195</v>
      </c>
      <c r="C146" s="8" t="s">
        <v>195</v>
      </c>
      <c r="D146" s="6" t="str">
        <f>LRTRIM(CONCATENATE(IF(SUMPRODUCT(-- ISNUMBER(SEARCH({"Auto Number"}, $B146))) &gt; 0, $B146, IF(SUMPRODUCT(-- ISNUMBER(SEARCH({"Lookup","Master-Detail"}, $B146))) &gt; 0,$B146 &amp; "(" &amp; $E146 &amp; ")",IF(SUMPRODUCT(-- ISNUMBER(SEARCH({"Formula","Roll-Up Summary"}, $B146))) &gt; 0,$B146 &amp; " (" &amp; $E146 &amp; ")",IF(SUMPRODUCT(-- ISNUMBER(SEARCH({"Content","Currency","Number","Percent","Text","URL"}, $B146))) &gt; 0,$B146 &amp; "(" &amp; $C146 &amp; ")",$B146)))), "  ", TRIM(IF($S146 = "YES", "(External ID)", "") &amp; " " &amp; IF(SUMPRODUCT(-- ISNUMBER(SEARCH({"Unique","Unique Case Insensitive"}, $R146))) &gt; 0, "(" &amp; $R146 &amp; ")", ""))))</f>
        <v>na</v>
      </c>
      <c r="E146" s="7" t="s">
        <v>195</v>
      </c>
      <c r="F146" s="7" t="s">
        <v>195</v>
      </c>
      <c r="G146" s="7" t="s">
        <v>195</v>
      </c>
      <c r="H146" s="7" t="s">
        <v>195</v>
      </c>
      <c r="I146" s="7" t="s">
        <v>195</v>
      </c>
      <c r="J146" s="7" t="s">
        <v>195</v>
      </c>
      <c r="K146" s="7" t="s">
        <v>195</v>
      </c>
      <c r="L146" s="7" t="s">
        <v>195</v>
      </c>
      <c r="M146" s="7" t="s">
        <v>29</v>
      </c>
      <c r="N146" s="7" t="s">
        <v>29</v>
      </c>
      <c r="O146" s="7" t="s">
        <v>29</v>
      </c>
      <c r="P146" s="7" t="s">
        <v>29</v>
      </c>
      <c r="Q146" s="7" t="s">
        <v>29</v>
      </c>
      <c r="R146" s="7" t="s">
        <v>29</v>
      </c>
      <c r="S146" s="7" t="s">
        <v>29</v>
      </c>
    </row>
    <row r="147" spans="2:19">
      <c r="B147" s="7" t="s">
        <v>195</v>
      </c>
      <c r="C147" s="8" t="s">
        <v>195</v>
      </c>
      <c r="D147" s="6" t="str">
        <f>LRTRIM(CONCATENATE(IF(SUMPRODUCT(-- ISNUMBER(SEARCH({"Auto Number"}, $B147))) &gt; 0, $B147, IF(SUMPRODUCT(-- ISNUMBER(SEARCH({"Lookup","Master-Detail"}, $B147))) &gt; 0,$B147 &amp; "(" &amp; $E147 &amp; ")",IF(SUMPRODUCT(-- ISNUMBER(SEARCH({"Formula","Roll-Up Summary"}, $B147))) &gt; 0,$B147 &amp; " (" &amp; $E147 &amp; ")",IF(SUMPRODUCT(-- ISNUMBER(SEARCH({"Content","Currency","Number","Percent","Text","URL"}, $B147))) &gt; 0,$B147 &amp; "(" &amp; $C147 &amp; ")",$B147)))), "  ", TRIM(IF($S147 = "YES", "(External ID)", "") &amp; " " &amp; IF(SUMPRODUCT(-- ISNUMBER(SEARCH({"Unique","Unique Case Insensitive"}, $R147))) &gt; 0, "(" &amp; $R147 &amp; ")", ""))))</f>
        <v>na</v>
      </c>
      <c r="E147" s="7" t="s">
        <v>195</v>
      </c>
      <c r="F147" s="7" t="s">
        <v>195</v>
      </c>
      <c r="G147" s="7" t="s">
        <v>195</v>
      </c>
      <c r="H147" s="7" t="s">
        <v>195</v>
      </c>
      <c r="I147" s="7" t="s">
        <v>195</v>
      </c>
      <c r="J147" s="7" t="s">
        <v>195</v>
      </c>
      <c r="K147" s="7" t="s">
        <v>195</v>
      </c>
      <c r="L147" s="7" t="s">
        <v>195</v>
      </c>
      <c r="M147" s="7" t="s">
        <v>29</v>
      </c>
      <c r="N147" s="7" t="s">
        <v>29</v>
      </c>
      <c r="O147" s="7" t="s">
        <v>29</v>
      </c>
      <c r="P147" s="7" t="s">
        <v>29</v>
      </c>
      <c r="Q147" s="7" t="s">
        <v>29</v>
      </c>
      <c r="R147" s="7" t="s">
        <v>29</v>
      </c>
      <c r="S147" s="7" t="s">
        <v>29</v>
      </c>
    </row>
    <row r="148" spans="2:19">
      <c r="B148" s="7" t="s">
        <v>195</v>
      </c>
      <c r="C148" s="8" t="s">
        <v>195</v>
      </c>
      <c r="D148" s="6" t="str">
        <f>LRTRIM(CONCATENATE(IF(SUMPRODUCT(-- ISNUMBER(SEARCH({"Auto Number"}, $B148))) &gt; 0, $B148, IF(SUMPRODUCT(-- ISNUMBER(SEARCH({"Lookup","Master-Detail"}, $B148))) &gt; 0,$B148 &amp; "(" &amp; $E148 &amp; ")",IF(SUMPRODUCT(-- ISNUMBER(SEARCH({"Formula","Roll-Up Summary"}, $B148))) &gt; 0,$B148 &amp; " (" &amp; $E148 &amp; ")",IF(SUMPRODUCT(-- ISNUMBER(SEARCH({"Content","Currency","Number","Percent","Text","URL"}, $B148))) &gt; 0,$B148 &amp; "(" &amp; $C148 &amp; ")",$B148)))), "  ", TRIM(IF($S148 = "YES", "(External ID)", "") &amp; " " &amp; IF(SUMPRODUCT(-- ISNUMBER(SEARCH({"Unique","Unique Case Insensitive"}, $R148))) &gt; 0, "(" &amp; $R148 &amp; ")", ""))))</f>
        <v>na</v>
      </c>
      <c r="E148" s="7" t="s">
        <v>195</v>
      </c>
      <c r="F148" s="7" t="s">
        <v>195</v>
      </c>
      <c r="G148" s="7" t="s">
        <v>195</v>
      </c>
      <c r="H148" s="7" t="s">
        <v>195</v>
      </c>
      <c r="I148" s="7" t="s">
        <v>195</v>
      </c>
      <c r="J148" s="7" t="s">
        <v>195</v>
      </c>
      <c r="K148" s="7" t="s">
        <v>195</v>
      </c>
      <c r="L148" s="7" t="s">
        <v>195</v>
      </c>
      <c r="M148" s="7" t="s">
        <v>29</v>
      </c>
      <c r="N148" s="7" t="s">
        <v>29</v>
      </c>
      <c r="O148" s="7" t="s">
        <v>29</v>
      </c>
      <c r="P148" s="7" t="s">
        <v>29</v>
      </c>
      <c r="Q148" s="7" t="s">
        <v>29</v>
      </c>
      <c r="R148" s="7" t="s">
        <v>29</v>
      </c>
      <c r="S148" s="7" t="s">
        <v>29</v>
      </c>
    </row>
    <row r="149" spans="2:19">
      <c r="B149" s="7" t="s">
        <v>195</v>
      </c>
      <c r="C149" s="8" t="s">
        <v>195</v>
      </c>
      <c r="D149" s="6" t="str">
        <f>LRTRIM(CONCATENATE(IF(SUMPRODUCT(-- ISNUMBER(SEARCH({"Auto Number"}, $B149))) &gt; 0, $B149, IF(SUMPRODUCT(-- ISNUMBER(SEARCH({"Lookup","Master-Detail"}, $B149))) &gt; 0,$B149 &amp; "(" &amp; $E149 &amp; ")",IF(SUMPRODUCT(-- ISNUMBER(SEARCH({"Formula","Roll-Up Summary"}, $B149))) &gt; 0,$B149 &amp; " (" &amp; $E149 &amp; ")",IF(SUMPRODUCT(-- ISNUMBER(SEARCH({"Content","Currency","Number","Percent","Text","URL"}, $B149))) &gt; 0,$B149 &amp; "(" &amp; $C149 &amp; ")",$B149)))), "  ", TRIM(IF($S149 = "YES", "(External ID)", "") &amp; " " &amp; IF(SUMPRODUCT(-- ISNUMBER(SEARCH({"Unique","Unique Case Insensitive"}, $R149))) &gt; 0, "(" &amp; $R149 &amp; ")", ""))))</f>
        <v>na</v>
      </c>
      <c r="E149" s="7" t="s">
        <v>195</v>
      </c>
      <c r="F149" s="7" t="s">
        <v>195</v>
      </c>
      <c r="G149" s="7" t="s">
        <v>195</v>
      </c>
      <c r="H149" s="7" t="s">
        <v>195</v>
      </c>
      <c r="I149" s="7" t="s">
        <v>195</v>
      </c>
      <c r="J149" s="7" t="s">
        <v>195</v>
      </c>
      <c r="K149" s="7" t="s">
        <v>195</v>
      </c>
      <c r="L149" s="7" t="s">
        <v>195</v>
      </c>
      <c r="M149" s="7" t="s">
        <v>29</v>
      </c>
      <c r="N149" s="7" t="s">
        <v>29</v>
      </c>
      <c r="O149" s="7" t="s">
        <v>29</v>
      </c>
      <c r="P149" s="7" t="s">
        <v>29</v>
      </c>
      <c r="Q149" s="7" t="s">
        <v>29</v>
      </c>
      <c r="R149" s="7" t="s">
        <v>29</v>
      </c>
      <c r="S149" s="7" t="s">
        <v>29</v>
      </c>
    </row>
    <row r="150" spans="2:19">
      <c r="B150" s="7" t="s">
        <v>195</v>
      </c>
      <c r="C150" s="8" t="s">
        <v>195</v>
      </c>
      <c r="D150" s="6" t="str">
        <f>LRTRIM(CONCATENATE(IF(SUMPRODUCT(-- ISNUMBER(SEARCH({"Auto Number"}, $B150))) &gt; 0, $B150, IF(SUMPRODUCT(-- ISNUMBER(SEARCH({"Lookup","Master-Detail"}, $B150))) &gt; 0,$B150 &amp; "(" &amp; $E150 &amp; ")",IF(SUMPRODUCT(-- ISNUMBER(SEARCH({"Formula","Roll-Up Summary"}, $B150))) &gt; 0,$B150 &amp; " (" &amp; $E150 &amp; ")",IF(SUMPRODUCT(-- ISNUMBER(SEARCH({"Content","Currency","Number","Percent","Text","URL"}, $B150))) &gt; 0,$B150 &amp; "(" &amp; $C150 &amp; ")",$B150)))), "  ", TRIM(IF($S150 = "YES", "(External ID)", "") &amp; " " &amp; IF(SUMPRODUCT(-- ISNUMBER(SEARCH({"Unique","Unique Case Insensitive"}, $R150))) &gt; 0, "(" &amp; $R150 &amp; ")", ""))))</f>
        <v>na</v>
      </c>
      <c r="E150" s="7" t="s">
        <v>195</v>
      </c>
      <c r="F150" s="7" t="s">
        <v>195</v>
      </c>
      <c r="G150" s="7" t="s">
        <v>195</v>
      </c>
      <c r="H150" s="7" t="s">
        <v>195</v>
      </c>
      <c r="I150" s="7" t="s">
        <v>195</v>
      </c>
      <c r="J150" s="7" t="s">
        <v>195</v>
      </c>
      <c r="K150" s="7" t="s">
        <v>195</v>
      </c>
      <c r="L150" s="7" t="s">
        <v>195</v>
      </c>
      <c r="M150" s="7" t="s">
        <v>29</v>
      </c>
      <c r="N150" s="7" t="s">
        <v>29</v>
      </c>
      <c r="O150" s="7" t="s">
        <v>29</v>
      </c>
      <c r="P150" s="7" t="s">
        <v>29</v>
      </c>
      <c r="Q150" s="7" t="s">
        <v>29</v>
      </c>
      <c r="R150" s="7" t="s">
        <v>29</v>
      </c>
      <c r="S150" s="7" t="s">
        <v>29</v>
      </c>
    </row>
    <row r="151" spans="2:19">
      <c r="B151" s="7" t="s">
        <v>195</v>
      </c>
      <c r="C151" s="8" t="s">
        <v>195</v>
      </c>
      <c r="D151" s="6" t="str">
        <f>LRTRIM(CONCATENATE(IF(SUMPRODUCT(-- ISNUMBER(SEARCH({"Auto Number"}, $B151))) &gt; 0, $B151, IF(SUMPRODUCT(-- ISNUMBER(SEARCH({"Lookup","Master-Detail"}, $B151))) &gt; 0,$B151 &amp; "(" &amp; $E151 &amp; ")",IF(SUMPRODUCT(-- ISNUMBER(SEARCH({"Formula","Roll-Up Summary"}, $B151))) &gt; 0,$B151 &amp; " (" &amp; $E151 &amp; ")",IF(SUMPRODUCT(-- ISNUMBER(SEARCH({"Content","Currency","Number","Percent","Text","URL"}, $B151))) &gt; 0,$B151 &amp; "(" &amp; $C151 &amp; ")",$B151)))), "  ", TRIM(IF($S151 = "YES", "(External ID)", "") &amp; " " &amp; IF(SUMPRODUCT(-- ISNUMBER(SEARCH({"Unique","Unique Case Insensitive"}, $R151))) &gt; 0, "(" &amp; $R151 &amp; ")", ""))))</f>
        <v>na</v>
      </c>
      <c r="E151" s="7" t="s">
        <v>195</v>
      </c>
      <c r="F151" s="7" t="s">
        <v>195</v>
      </c>
      <c r="G151" s="7" t="s">
        <v>195</v>
      </c>
      <c r="H151" s="7" t="s">
        <v>195</v>
      </c>
      <c r="I151" s="7" t="s">
        <v>195</v>
      </c>
      <c r="J151" s="7" t="s">
        <v>195</v>
      </c>
      <c r="K151" s="7" t="s">
        <v>195</v>
      </c>
      <c r="L151" s="7" t="s">
        <v>195</v>
      </c>
      <c r="M151" s="7" t="s">
        <v>29</v>
      </c>
      <c r="N151" s="7" t="s">
        <v>29</v>
      </c>
      <c r="O151" s="7" t="s">
        <v>29</v>
      </c>
      <c r="P151" s="7" t="s">
        <v>29</v>
      </c>
      <c r="Q151" s="7" t="s">
        <v>29</v>
      </c>
      <c r="R151" s="7" t="s">
        <v>29</v>
      </c>
      <c r="S151" s="7" t="s">
        <v>29</v>
      </c>
    </row>
    <row r="152" spans="2:19">
      <c r="B152" s="7" t="s">
        <v>195</v>
      </c>
      <c r="C152" s="8" t="s">
        <v>195</v>
      </c>
      <c r="D152" s="6" t="str">
        <f>LRTRIM(CONCATENATE(IF(SUMPRODUCT(-- ISNUMBER(SEARCH({"Auto Number"}, $B152))) &gt; 0, $B152, IF(SUMPRODUCT(-- ISNUMBER(SEARCH({"Lookup","Master-Detail"}, $B152))) &gt; 0,$B152 &amp; "(" &amp; $E152 &amp; ")",IF(SUMPRODUCT(-- ISNUMBER(SEARCH({"Formula","Roll-Up Summary"}, $B152))) &gt; 0,$B152 &amp; " (" &amp; $E152 &amp; ")",IF(SUMPRODUCT(-- ISNUMBER(SEARCH({"Content","Currency","Number","Percent","Text","URL"}, $B152))) &gt; 0,$B152 &amp; "(" &amp; $C152 &amp; ")",$B152)))), "  ", TRIM(IF($S152 = "YES", "(External ID)", "") &amp; " " &amp; IF(SUMPRODUCT(-- ISNUMBER(SEARCH({"Unique","Unique Case Insensitive"}, $R152))) &gt; 0, "(" &amp; $R152 &amp; ")", ""))))</f>
        <v>na</v>
      </c>
      <c r="E152" s="7" t="s">
        <v>195</v>
      </c>
      <c r="F152" s="7" t="s">
        <v>195</v>
      </c>
      <c r="G152" s="7" t="s">
        <v>195</v>
      </c>
      <c r="H152" s="7" t="s">
        <v>195</v>
      </c>
      <c r="I152" s="7" t="s">
        <v>195</v>
      </c>
      <c r="J152" s="7" t="s">
        <v>195</v>
      </c>
      <c r="K152" s="7" t="s">
        <v>195</v>
      </c>
      <c r="L152" s="7" t="s">
        <v>195</v>
      </c>
      <c r="M152" s="7" t="s">
        <v>29</v>
      </c>
      <c r="N152" s="7" t="s">
        <v>29</v>
      </c>
      <c r="O152" s="7" t="s">
        <v>29</v>
      </c>
      <c r="P152" s="7" t="s">
        <v>29</v>
      </c>
      <c r="Q152" s="7" t="s">
        <v>29</v>
      </c>
      <c r="R152" s="7" t="s">
        <v>29</v>
      </c>
      <c r="S152" s="7" t="s">
        <v>29</v>
      </c>
    </row>
    <row r="153" spans="2:19">
      <c r="B153" s="7" t="s">
        <v>195</v>
      </c>
      <c r="C153" s="8" t="s">
        <v>195</v>
      </c>
      <c r="D153" s="6" t="str">
        <f>LRTRIM(CONCATENATE(IF(SUMPRODUCT(-- ISNUMBER(SEARCH({"Auto Number"}, $B153))) &gt; 0, $B153, IF(SUMPRODUCT(-- ISNUMBER(SEARCH({"Lookup","Master-Detail"}, $B153))) &gt; 0,$B153 &amp; "(" &amp; $E153 &amp; ")",IF(SUMPRODUCT(-- ISNUMBER(SEARCH({"Formula","Roll-Up Summary"}, $B153))) &gt; 0,$B153 &amp; " (" &amp; $E153 &amp; ")",IF(SUMPRODUCT(-- ISNUMBER(SEARCH({"Content","Currency","Number","Percent","Text","URL"}, $B153))) &gt; 0,$B153 &amp; "(" &amp; $C153 &amp; ")",$B153)))), "  ", TRIM(IF($S153 = "YES", "(External ID)", "") &amp; " " &amp; IF(SUMPRODUCT(-- ISNUMBER(SEARCH({"Unique","Unique Case Insensitive"}, $R153))) &gt; 0, "(" &amp; $R153 &amp; ")", ""))))</f>
        <v>na</v>
      </c>
      <c r="E153" s="7" t="s">
        <v>195</v>
      </c>
      <c r="F153" s="7" t="s">
        <v>195</v>
      </c>
      <c r="G153" s="7" t="s">
        <v>195</v>
      </c>
      <c r="H153" s="7" t="s">
        <v>195</v>
      </c>
      <c r="I153" s="7" t="s">
        <v>195</v>
      </c>
      <c r="J153" s="7" t="s">
        <v>195</v>
      </c>
      <c r="K153" s="7" t="s">
        <v>195</v>
      </c>
      <c r="L153" s="7" t="s">
        <v>195</v>
      </c>
      <c r="M153" s="7" t="s">
        <v>29</v>
      </c>
      <c r="N153" s="7" t="s">
        <v>29</v>
      </c>
      <c r="O153" s="7" t="s">
        <v>29</v>
      </c>
      <c r="P153" s="7" t="s">
        <v>29</v>
      </c>
      <c r="Q153" s="7" t="s">
        <v>29</v>
      </c>
      <c r="R153" s="7" t="s">
        <v>29</v>
      </c>
      <c r="S153" s="7" t="s">
        <v>29</v>
      </c>
    </row>
    <row r="154" spans="2:19">
      <c r="B154" s="7" t="s">
        <v>195</v>
      </c>
      <c r="C154" s="8" t="s">
        <v>195</v>
      </c>
      <c r="D154" s="6" t="str">
        <f>LRTRIM(CONCATENATE(IF(SUMPRODUCT(-- ISNUMBER(SEARCH({"Auto Number"}, $B154))) &gt; 0, $B154, IF(SUMPRODUCT(-- ISNUMBER(SEARCH({"Lookup","Master-Detail"}, $B154))) &gt; 0,$B154 &amp; "(" &amp; $E154 &amp; ")",IF(SUMPRODUCT(-- ISNUMBER(SEARCH({"Formula","Roll-Up Summary"}, $B154))) &gt; 0,$B154 &amp; " (" &amp; $E154 &amp; ")",IF(SUMPRODUCT(-- ISNUMBER(SEARCH({"Content","Currency","Number","Percent","Text","URL"}, $B154))) &gt; 0,$B154 &amp; "(" &amp; $C154 &amp; ")",$B154)))), "  ", TRIM(IF($S154 = "YES", "(External ID)", "") &amp; " " &amp; IF(SUMPRODUCT(-- ISNUMBER(SEARCH({"Unique","Unique Case Insensitive"}, $R154))) &gt; 0, "(" &amp; $R154 &amp; ")", ""))))</f>
        <v>na</v>
      </c>
      <c r="E154" s="7" t="s">
        <v>195</v>
      </c>
      <c r="F154" s="7" t="s">
        <v>195</v>
      </c>
      <c r="G154" s="7" t="s">
        <v>195</v>
      </c>
      <c r="H154" s="7" t="s">
        <v>195</v>
      </c>
      <c r="I154" s="7" t="s">
        <v>195</v>
      </c>
      <c r="J154" s="7" t="s">
        <v>195</v>
      </c>
      <c r="K154" s="7" t="s">
        <v>195</v>
      </c>
      <c r="L154" s="7" t="s">
        <v>195</v>
      </c>
      <c r="M154" s="7" t="s">
        <v>29</v>
      </c>
      <c r="N154" s="7" t="s">
        <v>29</v>
      </c>
      <c r="O154" s="7" t="s">
        <v>29</v>
      </c>
      <c r="P154" s="7" t="s">
        <v>29</v>
      </c>
      <c r="Q154" s="7" t="s">
        <v>29</v>
      </c>
      <c r="R154" s="7" t="s">
        <v>29</v>
      </c>
      <c r="S154" s="7" t="s">
        <v>29</v>
      </c>
    </row>
    <row r="155" spans="2:19">
      <c r="B155" s="7" t="s">
        <v>195</v>
      </c>
      <c r="C155" s="8" t="s">
        <v>195</v>
      </c>
      <c r="D155" s="6" t="str">
        <f>LRTRIM(CONCATENATE(IF(SUMPRODUCT(-- ISNUMBER(SEARCH({"Auto Number"}, $B155))) &gt; 0, $B155, IF(SUMPRODUCT(-- ISNUMBER(SEARCH({"Lookup","Master-Detail"}, $B155))) &gt; 0,$B155 &amp; "(" &amp; $E155 &amp; ")",IF(SUMPRODUCT(-- ISNUMBER(SEARCH({"Formula","Roll-Up Summary"}, $B155))) &gt; 0,$B155 &amp; " (" &amp; $E155 &amp; ")",IF(SUMPRODUCT(-- ISNUMBER(SEARCH({"Content","Currency","Number","Percent","Text","URL"}, $B155))) &gt; 0,$B155 &amp; "(" &amp; $C155 &amp; ")",$B155)))), "  ", TRIM(IF($S155 = "YES", "(External ID)", "") &amp; " " &amp; IF(SUMPRODUCT(-- ISNUMBER(SEARCH({"Unique","Unique Case Insensitive"}, $R155))) &gt; 0, "(" &amp; $R155 &amp; ")", ""))))</f>
        <v>na</v>
      </c>
      <c r="E155" s="7" t="s">
        <v>195</v>
      </c>
      <c r="F155" s="7" t="s">
        <v>195</v>
      </c>
      <c r="G155" s="7" t="s">
        <v>195</v>
      </c>
      <c r="H155" s="7" t="s">
        <v>195</v>
      </c>
      <c r="I155" s="7" t="s">
        <v>195</v>
      </c>
      <c r="J155" s="7" t="s">
        <v>195</v>
      </c>
      <c r="K155" s="7" t="s">
        <v>195</v>
      </c>
      <c r="L155" s="7" t="s">
        <v>195</v>
      </c>
      <c r="M155" s="7" t="s">
        <v>29</v>
      </c>
      <c r="N155" s="7" t="s">
        <v>29</v>
      </c>
      <c r="O155" s="7" t="s">
        <v>29</v>
      </c>
      <c r="P155" s="7" t="s">
        <v>29</v>
      </c>
      <c r="Q155" s="7" t="s">
        <v>29</v>
      </c>
      <c r="R155" s="7" t="s">
        <v>29</v>
      </c>
      <c r="S155" s="7" t="s">
        <v>29</v>
      </c>
    </row>
    <row r="156" spans="2:19">
      <c r="B156" s="7" t="s">
        <v>195</v>
      </c>
      <c r="C156" s="8" t="s">
        <v>195</v>
      </c>
      <c r="D156" s="6" t="str">
        <f>LRTRIM(CONCATENATE(IF(SUMPRODUCT(-- ISNUMBER(SEARCH({"Auto Number"}, $B156))) &gt; 0, $B156, IF(SUMPRODUCT(-- ISNUMBER(SEARCH({"Lookup","Master-Detail"}, $B156))) &gt; 0,$B156 &amp; "(" &amp; $E156 &amp; ")",IF(SUMPRODUCT(-- ISNUMBER(SEARCH({"Formula","Roll-Up Summary"}, $B156))) &gt; 0,$B156 &amp; " (" &amp; $E156 &amp; ")",IF(SUMPRODUCT(-- ISNUMBER(SEARCH({"Content","Currency","Number","Percent","Text","URL"}, $B156))) &gt; 0,$B156 &amp; "(" &amp; $C156 &amp; ")",$B156)))), "  ", TRIM(IF($S156 = "YES", "(External ID)", "") &amp; " " &amp; IF(SUMPRODUCT(-- ISNUMBER(SEARCH({"Unique","Unique Case Insensitive"}, $R156))) &gt; 0, "(" &amp; $R156 &amp; ")", ""))))</f>
        <v>na</v>
      </c>
      <c r="E156" s="7" t="s">
        <v>195</v>
      </c>
      <c r="F156" s="7" t="s">
        <v>195</v>
      </c>
      <c r="G156" s="7" t="s">
        <v>195</v>
      </c>
      <c r="H156" s="7" t="s">
        <v>195</v>
      </c>
      <c r="I156" s="7" t="s">
        <v>195</v>
      </c>
      <c r="J156" s="7" t="s">
        <v>195</v>
      </c>
      <c r="K156" s="7" t="s">
        <v>195</v>
      </c>
      <c r="L156" s="7" t="s">
        <v>195</v>
      </c>
      <c r="M156" s="7" t="s">
        <v>29</v>
      </c>
      <c r="N156" s="7" t="s">
        <v>29</v>
      </c>
      <c r="O156" s="7" t="s">
        <v>29</v>
      </c>
      <c r="P156" s="7" t="s">
        <v>29</v>
      </c>
      <c r="Q156" s="7" t="s">
        <v>29</v>
      </c>
      <c r="R156" s="7" t="s">
        <v>29</v>
      </c>
      <c r="S156" s="7" t="s">
        <v>29</v>
      </c>
    </row>
    <row r="157" spans="2:19">
      <c r="B157" s="7" t="s">
        <v>195</v>
      </c>
      <c r="C157" s="8" t="s">
        <v>195</v>
      </c>
      <c r="D157" s="6" t="str">
        <f>LRTRIM(CONCATENATE(IF(SUMPRODUCT(-- ISNUMBER(SEARCH({"Auto Number"}, $B157))) &gt; 0, $B157, IF(SUMPRODUCT(-- ISNUMBER(SEARCH({"Lookup","Master-Detail"}, $B157))) &gt; 0,$B157 &amp; "(" &amp; $E157 &amp; ")",IF(SUMPRODUCT(-- ISNUMBER(SEARCH({"Formula","Roll-Up Summary"}, $B157))) &gt; 0,$B157 &amp; " (" &amp; $E157 &amp; ")",IF(SUMPRODUCT(-- ISNUMBER(SEARCH({"Content","Currency","Number","Percent","Text","URL"}, $B157))) &gt; 0,$B157 &amp; "(" &amp; $C157 &amp; ")",$B157)))), "  ", TRIM(IF($S157 = "YES", "(External ID)", "") &amp; " " &amp; IF(SUMPRODUCT(-- ISNUMBER(SEARCH({"Unique","Unique Case Insensitive"}, $R157))) &gt; 0, "(" &amp; $R157 &amp; ")", ""))))</f>
        <v>na</v>
      </c>
      <c r="E157" s="7" t="s">
        <v>195</v>
      </c>
      <c r="F157" s="7" t="s">
        <v>195</v>
      </c>
      <c r="G157" s="7" t="s">
        <v>195</v>
      </c>
      <c r="H157" s="7" t="s">
        <v>195</v>
      </c>
      <c r="I157" s="7" t="s">
        <v>195</v>
      </c>
      <c r="J157" s="7" t="s">
        <v>195</v>
      </c>
      <c r="K157" s="7" t="s">
        <v>195</v>
      </c>
      <c r="L157" s="7" t="s">
        <v>195</v>
      </c>
      <c r="M157" s="7" t="s">
        <v>29</v>
      </c>
      <c r="N157" s="7" t="s">
        <v>29</v>
      </c>
      <c r="O157" s="7" t="s">
        <v>29</v>
      </c>
      <c r="P157" s="7" t="s">
        <v>29</v>
      </c>
      <c r="Q157" s="7" t="s">
        <v>29</v>
      </c>
      <c r="R157" s="7" t="s">
        <v>29</v>
      </c>
      <c r="S157" s="7" t="s">
        <v>29</v>
      </c>
    </row>
    <row r="158" spans="2:19">
      <c r="B158" s="7" t="s">
        <v>195</v>
      </c>
      <c r="C158" s="8" t="s">
        <v>195</v>
      </c>
      <c r="D158" s="6" t="str">
        <f>LRTRIM(CONCATENATE(IF(SUMPRODUCT(-- ISNUMBER(SEARCH({"Auto Number"}, $B158))) &gt; 0, $B158, IF(SUMPRODUCT(-- ISNUMBER(SEARCH({"Lookup","Master-Detail"}, $B158))) &gt; 0,$B158 &amp; "(" &amp; $E158 &amp; ")",IF(SUMPRODUCT(-- ISNUMBER(SEARCH({"Formula","Roll-Up Summary"}, $B158))) &gt; 0,$B158 &amp; " (" &amp; $E158 &amp; ")",IF(SUMPRODUCT(-- ISNUMBER(SEARCH({"Content","Currency","Number","Percent","Text","URL"}, $B158))) &gt; 0,$B158 &amp; "(" &amp; $C158 &amp; ")",$B158)))), "  ", TRIM(IF($S158 = "YES", "(External ID)", "") &amp; " " &amp; IF(SUMPRODUCT(-- ISNUMBER(SEARCH({"Unique","Unique Case Insensitive"}, $R158))) &gt; 0, "(" &amp; $R158 &amp; ")", ""))))</f>
        <v>na</v>
      </c>
      <c r="E158" s="7" t="s">
        <v>195</v>
      </c>
      <c r="F158" s="7" t="s">
        <v>195</v>
      </c>
      <c r="G158" s="7" t="s">
        <v>195</v>
      </c>
      <c r="H158" s="7" t="s">
        <v>195</v>
      </c>
      <c r="I158" s="7" t="s">
        <v>195</v>
      </c>
      <c r="J158" s="7" t="s">
        <v>195</v>
      </c>
      <c r="K158" s="7" t="s">
        <v>195</v>
      </c>
      <c r="L158" s="7" t="s">
        <v>195</v>
      </c>
      <c r="M158" s="7" t="s">
        <v>29</v>
      </c>
      <c r="N158" s="7" t="s">
        <v>29</v>
      </c>
      <c r="O158" s="7" t="s">
        <v>29</v>
      </c>
      <c r="P158" s="7" t="s">
        <v>29</v>
      </c>
      <c r="Q158" s="7" t="s">
        <v>29</v>
      </c>
      <c r="R158" s="7" t="s">
        <v>29</v>
      </c>
      <c r="S158" s="7" t="s">
        <v>29</v>
      </c>
    </row>
    <row r="159" spans="2:19">
      <c r="B159" s="7" t="s">
        <v>195</v>
      </c>
      <c r="C159" s="8" t="s">
        <v>195</v>
      </c>
      <c r="D159" s="6" t="str">
        <f>LRTRIM(CONCATENATE(IF(SUMPRODUCT(-- ISNUMBER(SEARCH({"Auto Number"}, $B159))) &gt; 0, $B159, IF(SUMPRODUCT(-- ISNUMBER(SEARCH({"Lookup","Master-Detail"}, $B159))) &gt; 0,$B159 &amp; "(" &amp; $E159 &amp; ")",IF(SUMPRODUCT(-- ISNUMBER(SEARCH({"Formula","Roll-Up Summary"}, $B159))) &gt; 0,$B159 &amp; " (" &amp; $E159 &amp; ")",IF(SUMPRODUCT(-- ISNUMBER(SEARCH({"Content","Currency","Number","Percent","Text","URL"}, $B159))) &gt; 0,$B159 &amp; "(" &amp; $C159 &amp; ")",$B159)))), "  ", TRIM(IF($S159 = "YES", "(External ID)", "") &amp; " " &amp; IF(SUMPRODUCT(-- ISNUMBER(SEARCH({"Unique","Unique Case Insensitive"}, $R159))) &gt; 0, "(" &amp; $R159 &amp; ")", ""))))</f>
        <v>na</v>
      </c>
      <c r="E159" s="7" t="s">
        <v>195</v>
      </c>
      <c r="F159" s="7" t="s">
        <v>195</v>
      </c>
      <c r="G159" s="7" t="s">
        <v>195</v>
      </c>
      <c r="H159" s="7" t="s">
        <v>195</v>
      </c>
      <c r="I159" s="7" t="s">
        <v>195</v>
      </c>
      <c r="J159" s="7" t="s">
        <v>195</v>
      </c>
      <c r="K159" s="7" t="s">
        <v>195</v>
      </c>
      <c r="L159" s="7" t="s">
        <v>195</v>
      </c>
      <c r="M159" s="7" t="s">
        <v>29</v>
      </c>
      <c r="N159" s="7" t="s">
        <v>29</v>
      </c>
      <c r="O159" s="7" t="s">
        <v>29</v>
      </c>
      <c r="P159" s="7" t="s">
        <v>29</v>
      </c>
      <c r="Q159" s="7" t="s">
        <v>29</v>
      </c>
      <c r="R159" s="7" t="s">
        <v>29</v>
      </c>
      <c r="S159" s="7" t="s">
        <v>29</v>
      </c>
    </row>
    <row r="160" spans="2:19">
      <c r="B160" s="7" t="s">
        <v>195</v>
      </c>
      <c r="C160" s="8" t="s">
        <v>195</v>
      </c>
      <c r="D160" s="6" t="str">
        <f>LRTRIM(CONCATENATE(IF(SUMPRODUCT(-- ISNUMBER(SEARCH({"Auto Number"}, $B160))) &gt; 0, $B160, IF(SUMPRODUCT(-- ISNUMBER(SEARCH({"Lookup","Master-Detail"}, $B160))) &gt; 0,$B160 &amp; "(" &amp; $E160 &amp; ")",IF(SUMPRODUCT(-- ISNUMBER(SEARCH({"Formula","Roll-Up Summary"}, $B160))) &gt; 0,$B160 &amp; " (" &amp; $E160 &amp; ")",IF(SUMPRODUCT(-- ISNUMBER(SEARCH({"Content","Currency","Number","Percent","Text","URL"}, $B160))) &gt; 0,$B160 &amp; "(" &amp; $C160 &amp; ")",$B160)))), "  ", TRIM(IF($S160 = "YES", "(External ID)", "") &amp; " " &amp; IF(SUMPRODUCT(-- ISNUMBER(SEARCH({"Unique","Unique Case Insensitive"}, $R160))) &gt; 0, "(" &amp; $R160 &amp; ")", ""))))</f>
        <v>na</v>
      </c>
      <c r="E160" s="7" t="s">
        <v>195</v>
      </c>
      <c r="F160" s="7" t="s">
        <v>195</v>
      </c>
      <c r="G160" s="7" t="s">
        <v>195</v>
      </c>
      <c r="H160" s="7" t="s">
        <v>195</v>
      </c>
      <c r="I160" s="7" t="s">
        <v>195</v>
      </c>
      <c r="J160" s="7" t="s">
        <v>195</v>
      </c>
      <c r="K160" s="7" t="s">
        <v>195</v>
      </c>
      <c r="L160" s="7" t="s">
        <v>195</v>
      </c>
      <c r="M160" s="7" t="s">
        <v>29</v>
      </c>
      <c r="N160" s="7" t="s">
        <v>29</v>
      </c>
      <c r="O160" s="7" t="s">
        <v>29</v>
      </c>
      <c r="P160" s="7" t="s">
        <v>29</v>
      </c>
      <c r="Q160" s="7" t="s">
        <v>29</v>
      </c>
      <c r="R160" s="7" t="s">
        <v>29</v>
      </c>
      <c r="S160" s="7" t="s">
        <v>29</v>
      </c>
    </row>
    <row r="161" spans="2:19">
      <c r="B161" s="7" t="s">
        <v>195</v>
      </c>
      <c r="C161" s="8" t="s">
        <v>195</v>
      </c>
      <c r="D161" s="6" t="str">
        <f>LRTRIM(CONCATENATE(IF(SUMPRODUCT(-- ISNUMBER(SEARCH({"Auto Number"}, $B161))) &gt; 0, $B161, IF(SUMPRODUCT(-- ISNUMBER(SEARCH({"Lookup","Master-Detail"}, $B161))) &gt; 0,$B161 &amp; "(" &amp; $E161 &amp; ")",IF(SUMPRODUCT(-- ISNUMBER(SEARCH({"Formula","Roll-Up Summary"}, $B161))) &gt; 0,$B161 &amp; " (" &amp; $E161 &amp; ")",IF(SUMPRODUCT(-- ISNUMBER(SEARCH({"Content","Currency","Number","Percent","Text","URL"}, $B161))) &gt; 0,$B161 &amp; "(" &amp; $C161 &amp; ")",$B161)))), "  ", TRIM(IF($S161 = "YES", "(External ID)", "") &amp; " " &amp; IF(SUMPRODUCT(-- ISNUMBER(SEARCH({"Unique","Unique Case Insensitive"}, $R161))) &gt; 0, "(" &amp; $R161 &amp; ")", ""))))</f>
        <v>na</v>
      </c>
      <c r="E161" s="7" t="s">
        <v>195</v>
      </c>
      <c r="F161" s="7" t="s">
        <v>195</v>
      </c>
      <c r="G161" s="7" t="s">
        <v>195</v>
      </c>
      <c r="H161" s="7" t="s">
        <v>195</v>
      </c>
      <c r="I161" s="7" t="s">
        <v>195</v>
      </c>
      <c r="J161" s="7" t="s">
        <v>195</v>
      </c>
      <c r="K161" s="7" t="s">
        <v>195</v>
      </c>
      <c r="L161" s="7" t="s">
        <v>195</v>
      </c>
      <c r="M161" s="7" t="s">
        <v>29</v>
      </c>
      <c r="N161" s="7" t="s">
        <v>29</v>
      </c>
      <c r="O161" s="7" t="s">
        <v>29</v>
      </c>
      <c r="P161" s="7" t="s">
        <v>29</v>
      </c>
      <c r="Q161" s="7" t="s">
        <v>29</v>
      </c>
      <c r="R161" s="7" t="s">
        <v>29</v>
      </c>
      <c r="S161" s="7" t="s">
        <v>29</v>
      </c>
    </row>
    <row r="162" spans="2:19">
      <c r="B162" s="7" t="s">
        <v>195</v>
      </c>
      <c r="C162" s="8" t="s">
        <v>195</v>
      </c>
      <c r="D162" s="6" t="str">
        <f>LRTRIM(CONCATENATE(IF(SUMPRODUCT(-- ISNUMBER(SEARCH({"Auto Number"}, $B162))) &gt; 0, $B162, IF(SUMPRODUCT(-- ISNUMBER(SEARCH({"Lookup","Master-Detail"}, $B162))) &gt; 0,$B162 &amp; "(" &amp; $E162 &amp; ")",IF(SUMPRODUCT(-- ISNUMBER(SEARCH({"Formula","Roll-Up Summary"}, $B162))) &gt; 0,$B162 &amp; " (" &amp; $E162 &amp; ")",IF(SUMPRODUCT(-- ISNUMBER(SEARCH({"Content","Currency","Number","Percent","Text","URL"}, $B162))) &gt; 0,$B162 &amp; "(" &amp; $C162 &amp; ")",$B162)))), "  ", TRIM(IF($S162 = "YES", "(External ID)", "") &amp; " " &amp; IF(SUMPRODUCT(-- ISNUMBER(SEARCH({"Unique","Unique Case Insensitive"}, $R162))) &gt; 0, "(" &amp; $R162 &amp; ")", ""))))</f>
        <v>na</v>
      </c>
      <c r="E162" s="7" t="s">
        <v>195</v>
      </c>
      <c r="F162" s="7" t="s">
        <v>195</v>
      </c>
      <c r="G162" s="7" t="s">
        <v>195</v>
      </c>
      <c r="H162" s="7" t="s">
        <v>195</v>
      </c>
      <c r="I162" s="7" t="s">
        <v>195</v>
      </c>
      <c r="J162" s="7" t="s">
        <v>195</v>
      </c>
      <c r="K162" s="7" t="s">
        <v>195</v>
      </c>
      <c r="L162" s="7" t="s">
        <v>195</v>
      </c>
      <c r="M162" s="7" t="s">
        <v>29</v>
      </c>
      <c r="N162" s="7" t="s">
        <v>29</v>
      </c>
      <c r="O162" s="7" t="s">
        <v>29</v>
      </c>
      <c r="P162" s="7" t="s">
        <v>29</v>
      </c>
      <c r="Q162" s="7" t="s">
        <v>29</v>
      </c>
      <c r="R162" s="7" t="s">
        <v>29</v>
      </c>
      <c r="S162" s="7" t="s">
        <v>29</v>
      </c>
    </row>
    <row r="163" spans="2:19">
      <c r="B163" s="7" t="s">
        <v>195</v>
      </c>
      <c r="C163" s="8" t="s">
        <v>195</v>
      </c>
      <c r="D163" s="6" t="str">
        <f>LRTRIM(CONCATENATE(IF(SUMPRODUCT(-- ISNUMBER(SEARCH({"Auto Number"}, $B163))) &gt; 0, $B163, IF(SUMPRODUCT(-- ISNUMBER(SEARCH({"Lookup","Master-Detail"}, $B163))) &gt; 0,$B163 &amp; "(" &amp; $E163 &amp; ")",IF(SUMPRODUCT(-- ISNUMBER(SEARCH({"Formula","Roll-Up Summary"}, $B163))) &gt; 0,$B163 &amp; " (" &amp; $E163 &amp; ")",IF(SUMPRODUCT(-- ISNUMBER(SEARCH({"Content","Currency","Number","Percent","Text","URL"}, $B163))) &gt; 0,$B163 &amp; "(" &amp; $C163 &amp; ")",$B163)))), "  ", TRIM(IF($S163 = "YES", "(External ID)", "") &amp; " " &amp; IF(SUMPRODUCT(-- ISNUMBER(SEARCH({"Unique","Unique Case Insensitive"}, $R163))) &gt; 0, "(" &amp; $R163 &amp; ")", ""))))</f>
        <v>na</v>
      </c>
      <c r="E163" s="7" t="s">
        <v>195</v>
      </c>
      <c r="F163" s="7" t="s">
        <v>195</v>
      </c>
      <c r="G163" s="7" t="s">
        <v>195</v>
      </c>
      <c r="H163" s="7" t="s">
        <v>195</v>
      </c>
      <c r="I163" s="7" t="s">
        <v>195</v>
      </c>
      <c r="J163" s="7" t="s">
        <v>195</v>
      </c>
      <c r="K163" s="7" t="s">
        <v>195</v>
      </c>
      <c r="L163" s="7" t="s">
        <v>195</v>
      </c>
      <c r="M163" s="7" t="s">
        <v>29</v>
      </c>
      <c r="N163" s="7" t="s">
        <v>29</v>
      </c>
      <c r="O163" s="7" t="s">
        <v>29</v>
      </c>
      <c r="P163" s="7" t="s">
        <v>29</v>
      </c>
      <c r="Q163" s="7" t="s">
        <v>29</v>
      </c>
      <c r="R163" s="7" t="s">
        <v>29</v>
      </c>
      <c r="S163" s="7" t="s">
        <v>29</v>
      </c>
    </row>
    <row r="164" spans="2:19">
      <c r="B164" s="7" t="s">
        <v>195</v>
      </c>
      <c r="C164" s="8" t="s">
        <v>195</v>
      </c>
      <c r="D164" s="6" t="str">
        <f>LRTRIM(CONCATENATE(IF(SUMPRODUCT(-- ISNUMBER(SEARCH({"Auto Number"}, $B164))) &gt; 0, $B164, IF(SUMPRODUCT(-- ISNUMBER(SEARCH({"Lookup","Master-Detail"}, $B164))) &gt; 0,$B164 &amp; "(" &amp; $E164 &amp; ")",IF(SUMPRODUCT(-- ISNUMBER(SEARCH({"Formula","Roll-Up Summary"}, $B164))) &gt; 0,$B164 &amp; " (" &amp; $E164 &amp; ")",IF(SUMPRODUCT(-- ISNUMBER(SEARCH({"Content","Currency","Number","Percent","Text","URL"}, $B164))) &gt; 0,$B164 &amp; "(" &amp; $C164 &amp; ")",$B164)))), "  ", TRIM(IF($S164 = "YES", "(External ID)", "") &amp; " " &amp; IF(SUMPRODUCT(-- ISNUMBER(SEARCH({"Unique","Unique Case Insensitive"}, $R164))) &gt; 0, "(" &amp; $R164 &amp; ")", ""))))</f>
        <v>na</v>
      </c>
      <c r="E164" s="7" t="s">
        <v>195</v>
      </c>
      <c r="F164" s="7" t="s">
        <v>195</v>
      </c>
      <c r="G164" s="7" t="s">
        <v>195</v>
      </c>
      <c r="H164" s="7" t="s">
        <v>195</v>
      </c>
      <c r="I164" s="7" t="s">
        <v>195</v>
      </c>
      <c r="J164" s="7" t="s">
        <v>195</v>
      </c>
      <c r="K164" s="7" t="s">
        <v>195</v>
      </c>
      <c r="L164" s="7" t="s">
        <v>195</v>
      </c>
      <c r="M164" s="7" t="s">
        <v>29</v>
      </c>
      <c r="N164" s="7" t="s">
        <v>29</v>
      </c>
      <c r="O164" s="7" t="s">
        <v>29</v>
      </c>
      <c r="P164" s="7" t="s">
        <v>29</v>
      </c>
      <c r="Q164" s="7" t="s">
        <v>29</v>
      </c>
      <c r="R164" s="7" t="s">
        <v>29</v>
      </c>
      <c r="S164" s="7" t="s">
        <v>29</v>
      </c>
    </row>
    <row r="165" spans="2:19">
      <c r="B165" s="7" t="s">
        <v>195</v>
      </c>
      <c r="C165" s="8" t="s">
        <v>195</v>
      </c>
      <c r="D165" s="6" t="str">
        <f>LRTRIM(CONCATENATE(IF(SUMPRODUCT(-- ISNUMBER(SEARCH({"Auto Number"}, $B165))) &gt; 0, $B165, IF(SUMPRODUCT(-- ISNUMBER(SEARCH({"Lookup","Master-Detail"}, $B165))) &gt; 0,$B165 &amp; "(" &amp; $E165 &amp; ")",IF(SUMPRODUCT(-- ISNUMBER(SEARCH({"Formula","Roll-Up Summary"}, $B165))) &gt; 0,$B165 &amp; " (" &amp; $E165 &amp; ")",IF(SUMPRODUCT(-- ISNUMBER(SEARCH({"Content","Currency","Number","Percent","Text","URL"}, $B165))) &gt; 0,$B165 &amp; "(" &amp; $C165 &amp; ")",$B165)))), "  ", TRIM(IF($S165 = "YES", "(External ID)", "") &amp; " " &amp; IF(SUMPRODUCT(-- ISNUMBER(SEARCH({"Unique","Unique Case Insensitive"}, $R165))) &gt; 0, "(" &amp; $R165 &amp; ")", ""))))</f>
        <v>na</v>
      </c>
      <c r="E165" s="7" t="s">
        <v>195</v>
      </c>
      <c r="F165" s="7" t="s">
        <v>195</v>
      </c>
      <c r="G165" s="7" t="s">
        <v>195</v>
      </c>
      <c r="H165" s="7" t="s">
        <v>195</v>
      </c>
      <c r="I165" s="7" t="s">
        <v>195</v>
      </c>
      <c r="J165" s="7" t="s">
        <v>195</v>
      </c>
      <c r="K165" s="7" t="s">
        <v>195</v>
      </c>
      <c r="L165" s="7" t="s">
        <v>195</v>
      </c>
      <c r="M165" s="7" t="s">
        <v>29</v>
      </c>
      <c r="N165" s="7" t="s">
        <v>29</v>
      </c>
      <c r="O165" s="7" t="s">
        <v>29</v>
      </c>
      <c r="P165" s="7" t="s">
        <v>29</v>
      </c>
      <c r="Q165" s="7" t="s">
        <v>29</v>
      </c>
      <c r="R165" s="7" t="s">
        <v>29</v>
      </c>
      <c r="S165" s="7" t="s">
        <v>29</v>
      </c>
    </row>
    <row r="166" spans="2:19">
      <c r="B166" s="7" t="s">
        <v>195</v>
      </c>
      <c r="C166" s="8" t="s">
        <v>195</v>
      </c>
      <c r="D166" s="6" t="str">
        <f>LRTRIM(CONCATENATE(IF(SUMPRODUCT(-- ISNUMBER(SEARCH({"Auto Number"}, $B166))) &gt; 0, $B166, IF(SUMPRODUCT(-- ISNUMBER(SEARCH({"Lookup","Master-Detail"}, $B166))) &gt; 0,$B166 &amp; "(" &amp; $E166 &amp; ")",IF(SUMPRODUCT(-- ISNUMBER(SEARCH({"Formula","Roll-Up Summary"}, $B166))) &gt; 0,$B166 &amp; " (" &amp; $E166 &amp; ")",IF(SUMPRODUCT(-- ISNUMBER(SEARCH({"Content","Currency","Number","Percent","Text","URL"}, $B166))) &gt; 0,$B166 &amp; "(" &amp; $C166 &amp; ")",$B166)))), "  ", TRIM(IF($S166 = "YES", "(External ID)", "") &amp; " " &amp; IF(SUMPRODUCT(-- ISNUMBER(SEARCH({"Unique","Unique Case Insensitive"}, $R166))) &gt; 0, "(" &amp; $R166 &amp; ")", ""))))</f>
        <v>na</v>
      </c>
      <c r="E166" s="7" t="s">
        <v>195</v>
      </c>
      <c r="F166" s="7" t="s">
        <v>195</v>
      </c>
      <c r="G166" s="7" t="s">
        <v>195</v>
      </c>
      <c r="H166" s="7" t="s">
        <v>195</v>
      </c>
      <c r="I166" s="7" t="s">
        <v>195</v>
      </c>
      <c r="J166" s="7" t="s">
        <v>195</v>
      </c>
      <c r="K166" s="7" t="s">
        <v>195</v>
      </c>
      <c r="L166" s="7" t="s">
        <v>195</v>
      </c>
      <c r="M166" s="7" t="s">
        <v>29</v>
      </c>
      <c r="N166" s="7" t="s">
        <v>29</v>
      </c>
      <c r="O166" s="7" t="s">
        <v>29</v>
      </c>
      <c r="P166" s="7" t="s">
        <v>29</v>
      </c>
      <c r="Q166" s="7" t="s">
        <v>29</v>
      </c>
      <c r="R166" s="7" t="s">
        <v>29</v>
      </c>
      <c r="S166" s="7" t="s">
        <v>29</v>
      </c>
    </row>
    <row r="167" spans="2:19">
      <c r="B167" s="7" t="s">
        <v>195</v>
      </c>
      <c r="C167" s="8" t="s">
        <v>195</v>
      </c>
      <c r="D167" s="6" t="str">
        <f>LRTRIM(CONCATENATE(IF(SUMPRODUCT(-- ISNUMBER(SEARCH({"Auto Number"}, $B167))) &gt; 0, $B167, IF(SUMPRODUCT(-- ISNUMBER(SEARCH({"Lookup","Master-Detail"}, $B167))) &gt; 0,$B167 &amp; "(" &amp; $E167 &amp; ")",IF(SUMPRODUCT(-- ISNUMBER(SEARCH({"Formula","Roll-Up Summary"}, $B167))) &gt; 0,$B167 &amp; " (" &amp; $E167 &amp; ")",IF(SUMPRODUCT(-- ISNUMBER(SEARCH({"Content","Currency","Number","Percent","Text","URL"}, $B167))) &gt; 0,$B167 &amp; "(" &amp; $C167 &amp; ")",$B167)))), "  ", TRIM(IF($S167 = "YES", "(External ID)", "") &amp; " " &amp; IF(SUMPRODUCT(-- ISNUMBER(SEARCH({"Unique","Unique Case Insensitive"}, $R167))) &gt; 0, "(" &amp; $R167 &amp; ")", ""))))</f>
        <v>na</v>
      </c>
      <c r="E167" s="7" t="s">
        <v>195</v>
      </c>
      <c r="F167" s="7" t="s">
        <v>195</v>
      </c>
      <c r="G167" s="7" t="s">
        <v>195</v>
      </c>
      <c r="H167" s="7" t="s">
        <v>195</v>
      </c>
      <c r="I167" s="7" t="s">
        <v>195</v>
      </c>
      <c r="J167" s="7" t="s">
        <v>195</v>
      </c>
      <c r="K167" s="7" t="s">
        <v>195</v>
      </c>
      <c r="L167" s="7" t="s">
        <v>195</v>
      </c>
      <c r="M167" s="7" t="s">
        <v>29</v>
      </c>
      <c r="N167" s="7" t="s">
        <v>29</v>
      </c>
      <c r="O167" s="7" t="s">
        <v>29</v>
      </c>
      <c r="P167" s="7" t="s">
        <v>29</v>
      </c>
      <c r="Q167" s="7" t="s">
        <v>29</v>
      </c>
      <c r="R167" s="7" t="s">
        <v>29</v>
      </c>
      <c r="S167" s="7" t="s">
        <v>29</v>
      </c>
    </row>
    <row r="168" spans="2:19">
      <c r="B168" s="7" t="s">
        <v>195</v>
      </c>
      <c r="C168" s="8" t="s">
        <v>195</v>
      </c>
      <c r="D168" s="6" t="str">
        <f>LRTRIM(CONCATENATE(IF(SUMPRODUCT(-- ISNUMBER(SEARCH({"Auto Number"}, $B168))) &gt; 0, $B168, IF(SUMPRODUCT(-- ISNUMBER(SEARCH({"Lookup","Master-Detail"}, $B168))) &gt; 0,$B168 &amp; "(" &amp; $E168 &amp; ")",IF(SUMPRODUCT(-- ISNUMBER(SEARCH({"Formula","Roll-Up Summary"}, $B168))) &gt; 0,$B168 &amp; " (" &amp; $E168 &amp; ")",IF(SUMPRODUCT(-- ISNUMBER(SEARCH({"Content","Currency","Number","Percent","Text","URL"}, $B168))) &gt; 0,$B168 &amp; "(" &amp; $C168 &amp; ")",$B168)))), "  ", TRIM(IF($S168 = "YES", "(External ID)", "") &amp; " " &amp; IF(SUMPRODUCT(-- ISNUMBER(SEARCH({"Unique","Unique Case Insensitive"}, $R168))) &gt; 0, "(" &amp; $R168 &amp; ")", ""))))</f>
        <v>na</v>
      </c>
      <c r="E168" s="7" t="s">
        <v>195</v>
      </c>
      <c r="F168" s="7" t="s">
        <v>195</v>
      </c>
      <c r="G168" s="7" t="s">
        <v>195</v>
      </c>
      <c r="H168" s="7" t="s">
        <v>195</v>
      </c>
      <c r="I168" s="7" t="s">
        <v>195</v>
      </c>
      <c r="J168" s="7" t="s">
        <v>195</v>
      </c>
      <c r="K168" s="7" t="s">
        <v>195</v>
      </c>
      <c r="L168" s="7" t="s">
        <v>195</v>
      </c>
      <c r="M168" s="7" t="s">
        <v>29</v>
      </c>
      <c r="N168" s="7" t="s">
        <v>29</v>
      </c>
      <c r="O168" s="7" t="s">
        <v>29</v>
      </c>
      <c r="P168" s="7" t="s">
        <v>29</v>
      </c>
      <c r="Q168" s="7" t="s">
        <v>29</v>
      </c>
      <c r="R168" s="7" t="s">
        <v>29</v>
      </c>
      <c r="S168" s="7" t="s">
        <v>29</v>
      </c>
    </row>
    <row r="169" spans="2:19">
      <c r="B169" s="7" t="s">
        <v>195</v>
      </c>
      <c r="C169" s="8" t="s">
        <v>195</v>
      </c>
      <c r="D169" s="6" t="str">
        <f>LRTRIM(CONCATENATE(IF(SUMPRODUCT(-- ISNUMBER(SEARCH({"Auto Number"}, $B169))) &gt; 0, $B169, IF(SUMPRODUCT(-- ISNUMBER(SEARCH({"Lookup","Master-Detail"}, $B169))) &gt; 0,$B169 &amp; "(" &amp; $E169 &amp; ")",IF(SUMPRODUCT(-- ISNUMBER(SEARCH({"Formula","Roll-Up Summary"}, $B169))) &gt; 0,$B169 &amp; " (" &amp; $E169 &amp; ")",IF(SUMPRODUCT(-- ISNUMBER(SEARCH({"Content","Currency","Number","Percent","Text","URL"}, $B169))) &gt; 0,$B169 &amp; "(" &amp; $C169 &amp; ")",$B169)))), "  ", TRIM(IF($S169 = "YES", "(External ID)", "") &amp; " " &amp; IF(SUMPRODUCT(-- ISNUMBER(SEARCH({"Unique","Unique Case Insensitive"}, $R169))) &gt; 0, "(" &amp; $R169 &amp; ")", ""))))</f>
        <v>na</v>
      </c>
      <c r="E169" s="7" t="s">
        <v>195</v>
      </c>
      <c r="F169" s="7" t="s">
        <v>195</v>
      </c>
      <c r="G169" s="7" t="s">
        <v>195</v>
      </c>
      <c r="H169" s="7" t="s">
        <v>195</v>
      </c>
      <c r="I169" s="7" t="s">
        <v>195</v>
      </c>
      <c r="J169" s="7" t="s">
        <v>195</v>
      </c>
      <c r="K169" s="7" t="s">
        <v>195</v>
      </c>
      <c r="L169" s="7" t="s">
        <v>195</v>
      </c>
      <c r="M169" s="7" t="s">
        <v>29</v>
      </c>
      <c r="N169" s="7" t="s">
        <v>29</v>
      </c>
      <c r="O169" s="7" t="s">
        <v>29</v>
      </c>
      <c r="P169" s="7" t="s">
        <v>29</v>
      </c>
      <c r="Q169" s="7" t="s">
        <v>29</v>
      </c>
      <c r="R169" s="7" t="s">
        <v>29</v>
      </c>
      <c r="S169" s="7" t="s">
        <v>29</v>
      </c>
    </row>
    <row r="170" spans="2:19">
      <c r="B170" s="7" t="s">
        <v>195</v>
      </c>
      <c r="C170" s="8" t="s">
        <v>195</v>
      </c>
      <c r="D170" s="6" t="str">
        <f>LRTRIM(CONCATENATE(IF(SUMPRODUCT(-- ISNUMBER(SEARCH({"Auto Number"}, $B170))) &gt; 0, $B170, IF(SUMPRODUCT(-- ISNUMBER(SEARCH({"Lookup","Master-Detail"}, $B170))) &gt; 0,$B170 &amp; "(" &amp; $E170 &amp; ")",IF(SUMPRODUCT(-- ISNUMBER(SEARCH({"Formula","Roll-Up Summary"}, $B170))) &gt; 0,$B170 &amp; " (" &amp; $E170 &amp; ")",IF(SUMPRODUCT(-- ISNUMBER(SEARCH({"Content","Currency","Number","Percent","Text","URL"}, $B170))) &gt; 0,$B170 &amp; "(" &amp; $C170 &amp; ")",$B170)))), "  ", TRIM(IF($S170 = "YES", "(External ID)", "") &amp; " " &amp; IF(SUMPRODUCT(-- ISNUMBER(SEARCH({"Unique","Unique Case Insensitive"}, $R170))) &gt; 0, "(" &amp; $R170 &amp; ")", ""))))</f>
        <v>na</v>
      </c>
      <c r="E170" s="7" t="s">
        <v>195</v>
      </c>
      <c r="F170" s="7" t="s">
        <v>195</v>
      </c>
      <c r="G170" s="7" t="s">
        <v>195</v>
      </c>
      <c r="H170" s="7" t="s">
        <v>195</v>
      </c>
      <c r="I170" s="7" t="s">
        <v>195</v>
      </c>
      <c r="J170" s="7" t="s">
        <v>195</v>
      </c>
      <c r="K170" s="7" t="s">
        <v>195</v>
      </c>
      <c r="L170" s="7" t="s">
        <v>195</v>
      </c>
      <c r="M170" s="7" t="s">
        <v>29</v>
      </c>
      <c r="N170" s="7" t="s">
        <v>29</v>
      </c>
      <c r="O170" s="7" t="s">
        <v>29</v>
      </c>
      <c r="P170" s="7" t="s">
        <v>29</v>
      </c>
      <c r="Q170" s="7" t="s">
        <v>29</v>
      </c>
      <c r="R170" s="7" t="s">
        <v>29</v>
      </c>
      <c r="S170" s="7" t="s">
        <v>29</v>
      </c>
    </row>
    <row r="171" spans="2:19">
      <c r="B171" s="7" t="s">
        <v>195</v>
      </c>
      <c r="C171" s="8" t="s">
        <v>195</v>
      </c>
      <c r="D171" s="6" t="str">
        <f>LRTRIM(CONCATENATE(IF(SUMPRODUCT(-- ISNUMBER(SEARCH({"Auto Number"}, $B171))) &gt; 0, $B171, IF(SUMPRODUCT(-- ISNUMBER(SEARCH({"Lookup","Master-Detail"}, $B171))) &gt; 0,$B171 &amp; "(" &amp; $E171 &amp; ")",IF(SUMPRODUCT(-- ISNUMBER(SEARCH({"Formula","Roll-Up Summary"}, $B171))) &gt; 0,$B171 &amp; " (" &amp; $E171 &amp; ")",IF(SUMPRODUCT(-- ISNUMBER(SEARCH({"Content","Currency","Number","Percent","Text","URL"}, $B171))) &gt; 0,$B171 &amp; "(" &amp; $C171 &amp; ")",$B171)))), "  ", TRIM(IF($S171 = "YES", "(External ID)", "") &amp; " " &amp; IF(SUMPRODUCT(-- ISNUMBER(SEARCH({"Unique","Unique Case Insensitive"}, $R171))) &gt; 0, "(" &amp; $R171 &amp; ")", ""))))</f>
        <v>na</v>
      </c>
      <c r="E171" s="7" t="s">
        <v>195</v>
      </c>
      <c r="F171" s="7" t="s">
        <v>195</v>
      </c>
      <c r="G171" s="7" t="s">
        <v>195</v>
      </c>
      <c r="H171" s="7" t="s">
        <v>195</v>
      </c>
      <c r="I171" s="7" t="s">
        <v>195</v>
      </c>
      <c r="J171" s="7" t="s">
        <v>195</v>
      </c>
      <c r="K171" s="7" t="s">
        <v>195</v>
      </c>
      <c r="L171" s="7" t="s">
        <v>195</v>
      </c>
      <c r="M171" s="7" t="s">
        <v>29</v>
      </c>
      <c r="N171" s="7" t="s">
        <v>29</v>
      </c>
      <c r="O171" s="7" t="s">
        <v>29</v>
      </c>
      <c r="P171" s="7" t="s">
        <v>29</v>
      </c>
      <c r="Q171" s="7" t="s">
        <v>29</v>
      </c>
      <c r="R171" s="7" t="s">
        <v>29</v>
      </c>
      <c r="S171" s="7" t="s">
        <v>29</v>
      </c>
    </row>
    <row r="172" spans="2:19">
      <c r="B172" s="7" t="s">
        <v>195</v>
      </c>
      <c r="C172" s="8" t="s">
        <v>195</v>
      </c>
      <c r="D172" s="6" t="str">
        <f>LRTRIM(CONCATENATE(IF(SUMPRODUCT(-- ISNUMBER(SEARCH({"Auto Number"}, $B172))) &gt; 0, $B172, IF(SUMPRODUCT(-- ISNUMBER(SEARCH({"Lookup","Master-Detail"}, $B172))) &gt; 0,$B172 &amp; "(" &amp; $E172 &amp; ")",IF(SUMPRODUCT(-- ISNUMBER(SEARCH({"Formula","Roll-Up Summary"}, $B172))) &gt; 0,$B172 &amp; " (" &amp; $E172 &amp; ")",IF(SUMPRODUCT(-- ISNUMBER(SEARCH({"Content","Currency","Number","Percent","Text","URL"}, $B172))) &gt; 0,$B172 &amp; "(" &amp; $C172 &amp; ")",$B172)))), "  ", TRIM(IF($S172 = "YES", "(External ID)", "") &amp; " " &amp; IF(SUMPRODUCT(-- ISNUMBER(SEARCH({"Unique","Unique Case Insensitive"}, $R172))) &gt; 0, "(" &amp; $R172 &amp; ")", ""))))</f>
        <v>na</v>
      </c>
      <c r="E172" s="7" t="s">
        <v>195</v>
      </c>
      <c r="F172" s="7" t="s">
        <v>195</v>
      </c>
      <c r="G172" s="7" t="s">
        <v>195</v>
      </c>
      <c r="H172" s="7" t="s">
        <v>195</v>
      </c>
      <c r="I172" s="7" t="s">
        <v>195</v>
      </c>
      <c r="J172" s="7" t="s">
        <v>195</v>
      </c>
      <c r="K172" s="7" t="s">
        <v>195</v>
      </c>
      <c r="L172" s="7" t="s">
        <v>195</v>
      </c>
      <c r="M172" s="7" t="s">
        <v>29</v>
      </c>
      <c r="N172" s="7" t="s">
        <v>29</v>
      </c>
      <c r="O172" s="7" t="s">
        <v>29</v>
      </c>
      <c r="P172" s="7" t="s">
        <v>29</v>
      </c>
      <c r="Q172" s="7" t="s">
        <v>29</v>
      </c>
      <c r="R172" s="7" t="s">
        <v>29</v>
      </c>
      <c r="S172" s="7" t="s">
        <v>29</v>
      </c>
    </row>
    <row r="173" spans="2:19">
      <c r="B173" s="7" t="s">
        <v>195</v>
      </c>
      <c r="C173" s="8" t="s">
        <v>195</v>
      </c>
      <c r="D173" s="6" t="str">
        <f>LRTRIM(CONCATENATE(IF(SUMPRODUCT(-- ISNUMBER(SEARCH({"Auto Number"}, $B173))) &gt; 0, $B173, IF(SUMPRODUCT(-- ISNUMBER(SEARCH({"Lookup","Master-Detail"}, $B173))) &gt; 0,$B173 &amp; "(" &amp; $E173 &amp; ")",IF(SUMPRODUCT(-- ISNUMBER(SEARCH({"Formula","Roll-Up Summary"}, $B173))) &gt; 0,$B173 &amp; " (" &amp; $E173 &amp; ")",IF(SUMPRODUCT(-- ISNUMBER(SEARCH({"Content","Currency","Number","Percent","Text","URL"}, $B173))) &gt; 0,$B173 &amp; "(" &amp; $C173 &amp; ")",$B173)))), "  ", TRIM(IF($S173 = "YES", "(External ID)", "") &amp; " " &amp; IF(SUMPRODUCT(-- ISNUMBER(SEARCH({"Unique","Unique Case Insensitive"}, $R173))) &gt; 0, "(" &amp; $R173 &amp; ")", ""))))</f>
        <v>na</v>
      </c>
      <c r="E173" s="7" t="s">
        <v>195</v>
      </c>
      <c r="F173" s="7" t="s">
        <v>195</v>
      </c>
      <c r="G173" s="7" t="s">
        <v>195</v>
      </c>
      <c r="H173" s="7" t="s">
        <v>195</v>
      </c>
      <c r="I173" s="7" t="s">
        <v>195</v>
      </c>
      <c r="J173" s="7" t="s">
        <v>195</v>
      </c>
      <c r="K173" s="7" t="s">
        <v>195</v>
      </c>
      <c r="L173" s="7" t="s">
        <v>195</v>
      </c>
      <c r="M173" s="7" t="s">
        <v>29</v>
      </c>
      <c r="N173" s="7" t="s">
        <v>29</v>
      </c>
      <c r="O173" s="7" t="s">
        <v>29</v>
      </c>
      <c r="P173" s="7" t="s">
        <v>29</v>
      </c>
      <c r="Q173" s="7" t="s">
        <v>29</v>
      </c>
      <c r="R173" s="7" t="s">
        <v>29</v>
      </c>
      <c r="S173" s="7" t="s">
        <v>29</v>
      </c>
    </row>
    <row r="174" spans="2:19">
      <c r="B174" s="7" t="s">
        <v>195</v>
      </c>
      <c r="C174" s="8" t="s">
        <v>195</v>
      </c>
      <c r="D174" s="6" t="str">
        <f>LRTRIM(CONCATENATE(IF(SUMPRODUCT(-- ISNUMBER(SEARCH({"Auto Number"}, $B174))) &gt; 0, $B174, IF(SUMPRODUCT(-- ISNUMBER(SEARCH({"Lookup","Master-Detail"}, $B174))) &gt; 0,$B174 &amp; "(" &amp; $E174 &amp; ")",IF(SUMPRODUCT(-- ISNUMBER(SEARCH({"Formula","Roll-Up Summary"}, $B174))) &gt; 0,$B174 &amp; " (" &amp; $E174 &amp; ")",IF(SUMPRODUCT(-- ISNUMBER(SEARCH({"Content","Currency","Number","Percent","Text","URL"}, $B174))) &gt; 0,$B174 &amp; "(" &amp; $C174 &amp; ")",$B174)))), "  ", TRIM(IF($S174 = "YES", "(External ID)", "") &amp; " " &amp; IF(SUMPRODUCT(-- ISNUMBER(SEARCH({"Unique","Unique Case Insensitive"}, $R174))) &gt; 0, "(" &amp; $R174 &amp; ")", ""))))</f>
        <v>na</v>
      </c>
      <c r="E174" s="7" t="s">
        <v>195</v>
      </c>
      <c r="F174" s="7" t="s">
        <v>195</v>
      </c>
      <c r="G174" s="7" t="s">
        <v>195</v>
      </c>
      <c r="H174" s="7" t="s">
        <v>195</v>
      </c>
      <c r="I174" s="7" t="s">
        <v>195</v>
      </c>
      <c r="J174" s="7" t="s">
        <v>195</v>
      </c>
      <c r="K174" s="7" t="s">
        <v>195</v>
      </c>
      <c r="L174" s="7" t="s">
        <v>195</v>
      </c>
      <c r="M174" s="7" t="s">
        <v>29</v>
      </c>
      <c r="N174" s="7" t="s">
        <v>29</v>
      </c>
      <c r="O174" s="7" t="s">
        <v>29</v>
      </c>
      <c r="P174" s="7" t="s">
        <v>29</v>
      </c>
      <c r="Q174" s="7" t="s">
        <v>29</v>
      </c>
      <c r="R174" s="7" t="s">
        <v>29</v>
      </c>
      <c r="S174" s="7" t="s">
        <v>29</v>
      </c>
    </row>
    <row r="175" spans="2:19">
      <c r="B175" s="7" t="s">
        <v>195</v>
      </c>
      <c r="C175" s="8" t="s">
        <v>195</v>
      </c>
      <c r="D175" s="6" t="str">
        <f>LRTRIM(CONCATENATE(IF(SUMPRODUCT(-- ISNUMBER(SEARCH({"Auto Number"}, $B175))) &gt; 0, $B175, IF(SUMPRODUCT(-- ISNUMBER(SEARCH({"Lookup","Master-Detail"}, $B175))) &gt; 0,$B175 &amp; "(" &amp; $E175 &amp; ")",IF(SUMPRODUCT(-- ISNUMBER(SEARCH({"Formula","Roll-Up Summary"}, $B175))) &gt; 0,$B175 &amp; " (" &amp; $E175 &amp; ")",IF(SUMPRODUCT(-- ISNUMBER(SEARCH({"Content","Currency","Number","Percent","Text","URL"}, $B175))) &gt; 0,$B175 &amp; "(" &amp; $C175 &amp; ")",$B175)))), "  ", TRIM(IF($S175 = "YES", "(External ID)", "") &amp; " " &amp; IF(SUMPRODUCT(-- ISNUMBER(SEARCH({"Unique","Unique Case Insensitive"}, $R175))) &gt; 0, "(" &amp; $R175 &amp; ")", ""))))</f>
        <v>na</v>
      </c>
      <c r="E175" s="7" t="s">
        <v>195</v>
      </c>
      <c r="F175" s="7" t="s">
        <v>195</v>
      </c>
      <c r="G175" s="7" t="s">
        <v>195</v>
      </c>
      <c r="H175" s="7" t="s">
        <v>195</v>
      </c>
      <c r="I175" s="7" t="s">
        <v>195</v>
      </c>
      <c r="J175" s="7" t="s">
        <v>195</v>
      </c>
      <c r="K175" s="7" t="s">
        <v>195</v>
      </c>
      <c r="L175" s="7" t="s">
        <v>195</v>
      </c>
      <c r="M175" s="7" t="s">
        <v>29</v>
      </c>
      <c r="N175" s="7" t="s">
        <v>29</v>
      </c>
      <c r="O175" s="7" t="s">
        <v>29</v>
      </c>
      <c r="P175" s="7" t="s">
        <v>29</v>
      </c>
      <c r="Q175" s="7" t="s">
        <v>29</v>
      </c>
      <c r="R175" s="7" t="s">
        <v>29</v>
      </c>
      <c r="S175" s="7" t="s">
        <v>29</v>
      </c>
    </row>
    <row r="176" spans="2:19">
      <c r="B176" s="7" t="s">
        <v>195</v>
      </c>
      <c r="C176" s="8" t="s">
        <v>195</v>
      </c>
      <c r="D176" s="6" t="str">
        <f>LRTRIM(CONCATENATE(IF(SUMPRODUCT(-- ISNUMBER(SEARCH({"Auto Number"}, $B176))) &gt; 0, $B176, IF(SUMPRODUCT(-- ISNUMBER(SEARCH({"Lookup","Master-Detail"}, $B176))) &gt; 0,$B176 &amp; "(" &amp; $E176 &amp; ")",IF(SUMPRODUCT(-- ISNUMBER(SEARCH({"Formula","Roll-Up Summary"}, $B176))) &gt; 0,$B176 &amp; " (" &amp; $E176 &amp; ")",IF(SUMPRODUCT(-- ISNUMBER(SEARCH({"Content","Currency","Number","Percent","Text","URL"}, $B176))) &gt; 0,$B176 &amp; "(" &amp; $C176 &amp; ")",$B176)))), "  ", TRIM(IF($S176 = "YES", "(External ID)", "") &amp; " " &amp; IF(SUMPRODUCT(-- ISNUMBER(SEARCH({"Unique","Unique Case Insensitive"}, $R176))) &gt; 0, "(" &amp; $R176 &amp; ")", ""))))</f>
        <v>na</v>
      </c>
      <c r="E176" s="7" t="s">
        <v>195</v>
      </c>
      <c r="F176" s="7" t="s">
        <v>195</v>
      </c>
      <c r="G176" s="7" t="s">
        <v>195</v>
      </c>
      <c r="H176" s="7" t="s">
        <v>195</v>
      </c>
      <c r="I176" s="7" t="s">
        <v>195</v>
      </c>
      <c r="J176" s="7" t="s">
        <v>195</v>
      </c>
      <c r="K176" s="7" t="s">
        <v>195</v>
      </c>
      <c r="L176" s="7" t="s">
        <v>195</v>
      </c>
      <c r="M176" s="7" t="s">
        <v>29</v>
      </c>
      <c r="N176" s="7" t="s">
        <v>29</v>
      </c>
      <c r="O176" s="7" t="s">
        <v>29</v>
      </c>
      <c r="P176" s="7" t="s">
        <v>29</v>
      </c>
      <c r="Q176" s="7" t="s">
        <v>29</v>
      </c>
      <c r="R176" s="7" t="s">
        <v>29</v>
      </c>
      <c r="S176" s="7" t="s">
        <v>29</v>
      </c>
    </row>
    <row r="177" spans="2:19">
      <c r="B177" s="7" t="s">
        <v>195</v>
      </c>
      <c r="C177" s="8" t="s">
        <v>195</v>
      </c>
      <c r="D177" s="6" t="str">
        <f>LRTRIM(CONCATENATE(IF(SUMPRODUCT(-- ISNUMBER(SEARCH({"Auto Number"}, $B177))) &gt; 0, $B177, IF(SUMPRODUCT(-- ISNUMBER(SEARCH({"Lookup","Master-Detail"}, $B177))) &gt; 0,$B177 &amp; "(" &amp; $E177 &amp; ")",IF(SUMPRODUCT(-- ISNUMBER(SEARCH({"Formula","Roll-Up Summary"}, $B177))) &gt; 0,$B177 &amp; " (" &amp; $E177 &amp; ")",IF(SUMPRODUCT(-- ISNUMBER(SEARCH({"Content","Currency","Number","Percent","Text","URL"}, $B177))) &gt; 0,$B177 &amp; "(" &amp; $C177 &amp; ")",$B177)))), "  ", TRIM(IF($S177 = "YES", "(External ID)", "") &amp; " " &amp; IF(SUMPRODUCT(-- ISNUMBER(SEARCH({"Unique","Unique Case Insensitive"}, $R177))) &gt; 0, "(" &amp; $R177 &amp; ")", ""))))</f>
        <v>na</v>
      </c>
      <c r="E177" s="7" t="s">
        <v>195</v>
      </c>
      <c r="F177" s="7" t="s">
        <v>195</v>
      </c>
      <c r="G177" s="7" t="s">
        <v>195</v>
      </c>
      <c r="H177" s="7" t="s">
        <v>195</v>
      </c>
      <c r="I177" s="7" t="s">
        <v>195</v>
      </c>
      <c r="J177" s="7" t="s">
        <v>195</v>
      </c>
      <c r="K177" s="7" t="s">
        <v>195</v>
      </c>
      <c r="L177" s="7" t="s">
        <v>195</v>
      </c>
      <c r="M177" s="7" t="s">
        <v>29</v>
      </c>
      <c r="N177" s="7" t="s">
        <v>29</v>
      </c>
      <c r="O177" s="7" t="s">
        <v>29</v>
      </c>
      <c r="P177" s="7" t="s">
        <v>29</v>
      </c>
      <c r="Q177" s="7" t="s">
        <v>29</v>
      </c>
      <c r="R177" s="7" t="s">
        <v>29</v>
      </c>
      <c r="S177" s="7" t="s">
        <v>29</v>
      </c>
    </row>
    <row r="178" spans="2:19">
      <c r="B178" s="7" t="s">
        <v>195</v>
      </c>
      <c r="C178" s="8" t="s">
        <v>195</v>
      </c>
      <c r="D178" s="6" t="str">
        <f>LRTRIM(CONCATENATE(IF(SUMPRODUCT(-- ISNUMBER(SEARCH({"Auto Number"}, $B178))) &gt; 0, $B178, IF(SUMPRODUCT(-- ISNUMBER(SEARCH({"Lookup","Master-Detail"}, $B178))) &gt; 0,$B178 &amp; "(" &amp; $E178 &amp; ")",IF(SUMPRODUCT(-- ISNUMBER(SEARCH({"Formula","Roll-Up Summary"}, $B178))) &gt; 0,$B178 &amp; " (" &amp; $E178 &amp; ")",IF(SUMPRODUCT(-- ISNUMBER(SEARCH({"Content","Currency","Number","Percent","Text","URL"}, $B178))) &gt; 0,$B178 &amp; "(" &amp; $C178 &amp; ")",$B178)))), "  ", TRIM(IF($S178 = "YES", "(External ID)", "") &amp; " " &amp; IF(SUMPRODUCT(-- ISNUMBER(SEARCH({"Unique","Unique Case Insensitive"}, $R178))) &gt; 0, "(" &amp; $R178 &amp; ")", ""))))</f>
        <v>na</v>
      </c>
      <c r="E178" s="7" t="s">
        <v>195</v>
      </c>
      <c r="F178" s="7" t="s">
        <v>195</v>
      </c>
      <c r="G178" s="7" t="s">
        <v>195</v>
      </c>
      <c r="H178" s="7" t="s">
        <v>195</v>
      </c>
      <c r="I178" s="7" t="s">
        <v>195</v>
      </c>
      <c r="J178" s="7" t="s">
        <v>195</v>
      </c>
      <c r="K178" s="7" t="s">
        <v>195</v>
      </c>
      <c r="L178" s="7" t="s">
        <v>195</v>
      </c>
      <c r="M178" s="7" t="s">
        <v>29</v>
      </c>
      <c r="N178" s="7" t="s">
        <v>29</v>
      </c>
      <c r="O178" s="7" t="s">
        <v>29</v>
      </c>
      <c r="P178" s="7" t="s">
        <v>29</v>
      </c>
      <c r="Q178" s="7" t="s">
        <v>29</v>
      </c>
      <c r="R178" s="7" t="s">
        <v>29</v>
      </c>
      <c r="S178" s="7" t="s">
        <v>29</v>
      </c>
    </row>
    <row r="179" spans="2:19">
      <c r="B179" s="7" t="s">
        <v>195</v>
      </c>
      <c r="C179" s="8" t="s">
        <v>195</v>
      </c>
      <c r="D179" s="6" t="str">
        <f>LRTRIM(CONCATENATE(IF(SUMPRODUCT(-- ISNUMBER(SEARCH({"Auto Number"}, $B179))) &gt; 0, $B179, IF(SUMPRODUCT(-- ISNUMBER(SEARCH({"Lookup","Master-Detail"}, $B179))) &gt; 0,$B179 &amp; "(" &amp; $E179 &amp; ")",IF(SUMPRODUCT(-- ISNUMBER(SEARCH({"Formula","Roll-Up Summary"}, $B179))) &gt; 0,$B179 &amp; " (" &amp; $E179 &amp; ")",IF(SUMPRODUCT(-- ISNUMBER(SEARCH({"Content","Currency","Number","Percent","Text","URL"}, $B179))) &gt; 0,$B179 &amp; "(" &amp; $C179 &amp; ")",$B179)))), "  ", TRIM(IF($S179 = "YES", "(External ID)", "") &amp; " " &amp; IF(SUMPRODUCT(-- ISNUMBER(SEARCH({"Unique","Unique Case Insensitive"}, $R179))) &gt; 0, "(" &amp; $R179 &amp; ")", ""))))</f>
        <v>na</v>
      </c>
      <c r="E179" s="7" t="s">
        <v>195</v>
      </c>
      <c r="F179" s="7" t="s">
        <v>195</v>
      </c>
      <c r="G179" s="7" t="s">
        <v>195</v>
      </c>
      <c r="H179" s="7" t="s">
        <v>195</v>
      </c>
      <c r="I179" s="7" t="s">
        <v>195</v>
      </c>
      <c r="J179" s="7" t="s">
        <v>195</v>
      </c>
      <c r="K179" s="7" t="s">
        <v>195</v>
      </c>
      <c r="L179" s="7" t="s">
        <v>195</v>
      </c>
      <c r="M179" s="7" t="s">
        <v>29</v>
      </c>
      <c r="N179" s="7" t="s">
        <v>29</v>
      </c>
      <c r="O179" s="7" t="s">
        <v>29</v>
      </c>
      <c r="P179" s="7" t="s">
        <v>29</v>
      </c>
      <c r="Q179" s="7" t="s">
        <v>29</v>
      </c>
      <c r="R179" s="7" t="s">
        <v>29</v>
      </c>
      <c r="S179" s="7" t="s">
        <v>29</v>
      </c>
    </row>
    <row r="180" spans="2:19">
      <c r="B180" s="7" t="s">
        <v>195</v>
      </c>
      <c r="C180" s="8" t="s">
        <v>195</v>
      </c>
      <c r="D180" s="6" t="str">
        <f>LRTRIM(CONCATENATE(IF(SUMPRODUCT(-- ISNUMBER(SEARCH({"Auto Number"}, $B180))) &gt; 0, $B180, IF(SUMPRODUCT(-- ISNUMBER(SEARCH({"Lookup","Master-Detail"}, $B180))) &gt; 0,$B180 &amp; "(" &amp; $E180 &amp; ")",IF(SUMPRODUCT(-- ISNUMBER(SEARCH({"Formula","Roll-Up Summary"}, $B180))) &gt; 0,$B180 &amp; " (" &amp; $E180 &amp; ")",IF(SUMPRODUCT(-- ISNUMBER(SEARCH({"Content","Currency","Number","Percent","Text","URL"}, $B180))) &gt; 0,$B180 &amp; "(" &amp; $C180 &amp; ")",$B180)))), "  ", TRIM(IF($S180 = "YES", "(External ID)", "") &amp; " " &amp; IF(SUMPRODUCT(-- ISNUMBER(SEARCH({"Unique","Unique Case Insensitive"}, $R180))) &gt; 0, "(" &amp; $R180 &amp; ")", ""))))</f>
        <v>na</v>
      </c>
      <c r="E180" s="7" t="s">
        <v>195</v>
      </c>
      <c r="F180" s="7" t="s">
        <v>195</v>
      </c>
      <c r="G180" s="7" t="s">
        <v>195</v>
      </c>
      <c r="H180" s="7" t="s">
        <v>195</v>
      </c>
      <c r="I180" s="7" t="s">
        <v>195</v>
      </c>
      <c r="J180" s="7" t="s">
        <v>195</v>
      </c>
      <c r="K180" s="7" t="s">
        <v>195</v>
      </c>
      <c r="L180" s="7" t="s">
        <v>195</v>
      </c>
      <c r="M180" s="7" t="s">
        <v>29</v>
      </c>
      <c r="N180" s="7" t="s">
        <v>29</v>
      </c>
      <c r="O180" s="7" t="s">
        <v>29</v>
      </c>
      <c r="P180" s="7" t="s">
        <v>29</v>
      </c>
      <c r="Q180" s="7" t="s">
        <v>29</v>
      </c>
      <c r="R180" s="7" t="s">
        <v>29</v>
      </c>
      <c r="S180" s="7" t="s">
        <v>29</v>
      </c>
    </row>
    <row r="181" spans="2:19">
      <c r="B181" s="7" t="s">
        <v>195</v>
      </c>
      <c r="C181" s="8" t="s">
        <v>195</v>
      </c>
      <c r="D181" s="6" t="str">
        <f>LRTRIM(CONCATENATE(IF(SUMPRODUCT(-- ISNUMBER(SEARCH({"Auto Number"}, $B181))) &gt; 0, $B181, IF(SUMPRODUCT(-- ISNUMBER(SEARCH({"Lookup","Master-Detail"}, $B181))) &gt; 0,$B181 &amp; "(" &amp; $E181 &amp; ")",IF(SUMPRODUCT(-- ISNUMBER(SEARCH({"Formula","Roll-Up Summary"}, $B181))) &gt; 0,$B181 &amp; " (" &amp; $E181 &amp; ")",IF(SUMPRODUCT(-- ISNUMBER(SEARCH({"Content","Currency","Number","Percent","Text","URL"}, $B181))) &gt; 0,$B181 &amp; "(" &amp; $C181 &amp; ")",$B181)))), "  ", TRIM(IF($S181 = "YES", "(External ID)", "") &amp; " " &amp; IF(SUMPRODUCT(-- ISNUMBER(SEARCH({"Unique","Unique Case Insensitive"}, $R181))) &gt; 0, "(" &amp; $R181 &amp; ")", ""))))</f>
        <v>na</v>
      </c>
      <c r="E181" s="7" t="s">
        <v>195</v>
      </c>
      <c r="F181" s="7" t="s">
        <v>195</v>
      </c>
      <c r="G181" s="7" t="s">
        <v>195</v>
      </c>
      <c r="H181" s="7" t="s">
        <v>195</v>
      </c>
      <c r="I181" s="7" t="s">
        <v>195</v>
      </c>
      <c r="J181" s="7" t="s">
        <v>195</v>
      </c>
      <c r="K181" s="7" t="s">
        <v>195</v>
      </c>
      <c r="L181" s="7" t="s">
        <v>195</v>
      </c>
      <c r="M181" s="7" t="s">
        <v>29</v>
      </c>
      <c r="N181" s="7" t="s">
        <v>29</v>
      </c>
      <c r="O181" s="7" t="s">
        <v>29</v>
      </c>
      <c r="P181" s="7" t="s">
        <v>29</v>
      </c>
      <c r="Q181" s="7" t="s">
        <v>29</v>
      </c>
      <c r="R181" s="7" t="s">
        <v>29</v>
      </c>
      <c r="S181" s="7" t="s">
        <v>29</v>
      </c>
    </row>
    <row r="182" spans="2:19">
      <c r="B182" s="7" t="s">
        <v>195</v>
      </c>
      <c r="C182" s="8" t="s">
        <v>195</v>
      </c>
      <c r="D182" s="6" t="str">
        <f>LRTRIM(CONCATENATE(IF(SUMPRODUCT(-- ISNUMBER(SEARCH({"Auto Number"}, $B182))) &gt; 0, $B182, IF(SUMPRODUCT(-- ISNUMBER(SEARCH({"Lookup","Master-Detail"}, $B182))) &gt; 0,$B182 &amp; "(" &amp; $E182 &amp; ")",IF(SUMPRODUCT(-- ISNUMBER(SEARCH({"Formula","Roll-Up Summary"}, $B182))) &gt; 0,$B182 &amp; " (" &amp; $E182 &amp; ")",IF(SUMPRODUCT(-- ISNUMBER(SEARCH({"Content","Currency","Number","Percent","Text","URL"}, $B182))) &gt; 0,$B182 &amp; "(" &amp; $C182 &amp; ")",$B182)))), "  ", TRIM(IF($S182 = "YES", "(External ID)", "") &amp; " " &amp; IF(SUMPRODUCT(-- ISNUMBER(SEARCH({"Unique","Unique Case Insensitive"}, $R182))) &gt; 0, "(" &amp; $R182 &amp; ")", ""))))</f>
        <v>na</v>
      </c>
      <c r="E182" s="7" t="s">
        <v>195</v>
      </c>
      <c r="F182" s="7" t="s">
        <v>195</v>
      </c>
      <c r="G182" s="7" t="s">
        <v>195</v>
      </c>
      <c r="H182" s="7" t="s">
        <v>195</v>
      </c>
      <c r="I182" s="7" t="s">
        <v>195</v>
      </c>
      <c r="J182" s="7" t="s">
        <v>195</v>
      </c>
      <c r="K182" s="7" t="s">
        <v>195</v>
      </c>
      <c r="L182" s="7" t="s">
        <v>195</v>
      </c>
      <c r="M182" s="7" t="s">
        <v>29</v>
      </c>
      <c r="N182" s="7" t="s">
        <v>29</v>
      </c>
      <c r="O182" s="7" t="s">
        <v>29</v>
      </c>
      <c r="P182" s="7" t="s">
        <v>29</v>
      </c>
      <c r="Q182" s="7" t="s">
        <v>29</v>
      </c>
      <c r="R182" s="7" t="s">
        <v>29</v>
      </c>
      <c r="S182" s="7" t="s">
        <v>29</v>
      </c>
    </row>
    <row r="183" spans="2:19">
      <c r="B183" s="7" t="s">
        <v>195</v>
      </c>
      <c r="C183" s="8" t="s">
        <v>195</v>
      </c>
      <c r="D183" s="6" t="str">
        <f>LRTRIM(CONCATENATE(IF(SUMPRODUCT(-- ISNUMBER(SEARCH({"Auto Number"}, $B183))) &gt; 0, $B183, IF(SUMPRODUCT(-- ISNUMBER(SEARCH({"Lookup","Master-Detail"}, $B183))) &gt; 0,$B183 &amp; "(" &amp; $E183 &amp; ")",IF(SUMPRODUCT(-- ISNUMBER(SEARCH({"Formula","Roll-Up Summary"}, $B183))) &gt; 0,$B183 &amp; " (" &amp; $E183 &amp; ")",IF(SUMPRODUCT(-- ISNUMBER(SEARCH({"Content","Currency","Number","Percent","Text","URL"}, $B183))) &gt; 0,$B183 &amp; "(" &amp; $C183 &amp; ")",$B183)))), "  ", TRIM(IF($S183 = "YES", "(External ID)", "") &amp; " " &amp; IF(SUMPRODUCT(-- ISNUMBER(SEARCH({"Unique","Unique Case Insensitive"}, $R183))) &gt; 0, "(" &amp; $R183 &amp; ")", ""))))</f>
        <v>na</v>
      </c>
      <c r="E183" s="7" t="s">
        <v>195</v>
      </c>
      <c r="F183" s="7" t="s">
        <v>195</v>
      </c>
      <c r="G183" s="7" t="s">
        <v>195</v>
      </c>
      <c r="H183" s="7" t="s">
        <v>195</v>
      </c>
      <c r="I183" s="7" t="s">
        <v>195</v>
      </c>
      <c r="J183" s="7" t="s">
        <v>195</v>
      </c>
      <c r="K183" s="7" t="s">
        <v>195</v>
      </c>
      <c r="L183" s="7" t="s">
        <v>195</v>
      </c>
      <c r="M183" s="7" t="s">
        <v>29</v>
      </c>
      <c r="N183" s="7" t="s">
        <v>29</v>
      </c>
      <c r="O183" s="7" t="s">
        <v>29</v>
      </c>
      <c r="P183" s="7" t="s">
        <v>29</v>
      </c>
      <c r="Q183" s="7" t="s">
        <v>29</v>
      </c>
      <c r="R183" s="7" t="s">
        <v>29</v>
      </c>
      <c r="S183" s="7" t="s">
        <v>29</v>
      </c>
    </row>
    <row r="184" spans="2:19">
      <c r="B184" s="7" t="s">
        <v>195</v>
      </c>
      <c r="C184" s="8" t="s">
        <v>195</v>
      </c>
      <c r="D184" s="6" t="str">
        <f>LRTRIM(CONCATENATE(IF(SUMPRODUCT(-- ISNUMBER(SEARCH({"Auto Number"}, $B184))) &gt; 0, $B184, IF(SUMPRODUCT(-- ISNUMBER(SEARCH({"Lookup","Master-Detail"}, $B184))) &gt; 0,$B184 &amp; "(" &amp; $E184 &amp; ")",IF(SUMPRODUCT(-- ISNUMBER(SEARCH({"Formula","Roll-Up Summary"}, $B184))) &gt; 0,$B184 &amp; " (" &amp; $E184 &amp; ")",IF(SUMPRODUCT(-- ISNUMBER(SEARCH({"Content","Currency","Number","Percent","Text","URL"}, $B184))) &gt; 0,$B184 &amp; "(" &amp; $C184 &amp; ")",$B184)))), "  ", TRIM(IF($S184 = "YES", "(External ID)", "") &amp; " " &amp; IF(SUMPRODUCT(-- ISNUMBER(SEARCH({"Unique","Unique Case Insensitive"}, $R184))) &gt; 0, "(" &amp; $R184 &amp; ")", ""))))</f>
        <v>na</v>
      </c>
      <c r="E184" s="7" t="s">
        <v>195</v>
      </c>
      <c r="F184" s="7" t="s">
        <v>195</v>
      </c>
      <c r="G184" s="7" t="s">
        <v>195</v>
      </c>
      <c r="H184" s="7" t="s">
        <v>195</v>
      </c>
      <c r="I184" s="7" t="s">
        <v>195</v>
      </c>
      <c r="J184" s="7" t="s">
        <v>195</v>
      </c>
      <c r="K184" s="7" t="s">
        <v>195</v>
      </c>
      <c r="L184" s="7" t="s">
        <v>195</v>
      </c>
      <c r="M184" s="7" t="s">
        <v>29</v>
      </c>
      <c r="N184" s="7" t="s">
        <v>29</v>
      </c>
      <c r="O184" s="7" t="s">
        <v>29</v>
      </c>
      <c r="P184" s="7" t="s">
        <v>29</v>
      </c>
      <c r="Q184" s="7" t="s">
        <v>29</v>
      </c>
      <c r="R184" s="7" t="s">
        <v>29</v>
      </c>
      <c r="S184" s="7" t="s">
        <v>29</v>
      </c>
    </row>
    <row r="185" spans="2:19">
      <c r="B185" s="7" t="s">
        <v>195</v>
      </c>
      <c r="C185" s="8" t="s">
        <v>195</v>
      </c>
      <c r="D185" s="6" t="str">
        <f>LRTRIM(CONCATENATE(IF(SUMPRODUCT(-- ISNUMBER(SEARCH({"Auto Number"}, $B185))) &gt; 0, $B185, IF(SUMPRODUCT(-- ISNUMBER(SEARCH({"Lookup","Master-Detail"}, $B185))) &gt; 0,$B185 &amp; "(" &amp; $E185 &amp; ")",IF(SUMPRODUCT(-- ISNUMBER(SEARCH({"Formula","Roll-Up Summary"}, $B185))) &gt; 0,$B185 &amp; " (" &amp; $E185 &amp; ")",IF(SUMPRODUCT(-- ISNUMBER(SEARCH({"Content","Currency","Number","Percent","Text","URL"}, $B185))) &gt; 0,$B185 &amp; "(" &amp; $C185 &amp; ")",$B185)))), "  ", TRIM(IF($S185 = "YES", "(External ID)", "") &amp; " " &amp; IF(SUMPRODUCT(-- ISNUMBER(SEARCH({"Unique","Unique Case Insensitive"}, $R185))) &gt; 0, "(" &amp; $R185 &amp; ")", ""))))</f>
        <v>na</v>
      </c>
      <c r="E185" s="7" t="s">
        <v>195</v>
      </c>
      <c r="F185" s="7" t="s">
        <v>195</v>
      </c>
      <c r="G185" s="7" t="s">
        <v>195</v>
      </c>
      <c r="H185" s="7" t="s">
        <v>195</v>
      </c>
      <c r="I185" s="7" t="s">
        <v>195</v>
      </c>
      <c r="J185" s="7" t="s">
        <v>195</v>
      </c>
      <c r="K185" s="7" t="s">
        <v>195</v>
      </c>
      <c r="L185" s="7" t="s">
        <v>195</v>
      </c>
      <c r="M185" s="7" t="s">
        <v>29</v>
      </c>
      <c r="N185" s="7" t="s">
        <v>29</v>
      </c>
      <c r="O185" s="7" t="s">
        <v>29</v>
      </c>
      <c r="P185" s="7" t="s">
        <v>29</v>
      </c>
      <c r="Q185" s="7" t="s">
        <v>29</v>
      </c>
      <c r="R185" s="7" t="s">
        <v>29</v>
      </c>
      <c r="S185" s="7" t="s">
        <v>29</v>
      </c>
    </row>
    <row r="186" spans="2:19">
      <c r="B186" s="7" t="s">
        <v>195</v>
      </c>
      <c r="C186" s="8" t="s">
        <v>195</v>
      </c>
      <c r="D186" s="6" t="str">
        <f>LRTRIM(CONCATENATE(IF(SUMPRODUCT(-- ISNUMBER(SEARCH({"Auto Number"}, $B186))) &gt; 0, $B186, IF(SUMPRODUCT(-- ISNUMBER(SEARCH({"Lookup","Master-Detail"}, $B186))) &gt; 0,$B186 &amp; "(" &amp; $E186 &amp; ")",IF(SUMPRODUCT(-- ISNUMBER(SEARCH({"Formula","Roll-Up Summary"}, $B186))) &gt; 0,$B186 &amp; " (" &amp; $E186 &amp; ")",IF(SUMPRODUCT(-- ISNUMBER(SEARCH({"Content","Currency","Number","Percent","Text","URL"}, $B186))) &gt; 0,$B186 &amp; "(" &amp; $C186 &amp; ")",$B186)))), "  ", TRIM(IF($S186 = "YES", "(External ID)", "") &amp; " " &amp; IF(SUMPRODUCT(-- ISNUMBER(SEARCH({"Unique","Unique Case Insensitive"}, $R186))) &gt; 0, "(" &amp; $R186 &amp; ")", ""))))</f>
        <v>na</v>
      </c>
      <c r="E186" s="7" t="s">
        <v>195</v>
      </c>
      <c r="F186" s="7" t="s">
        <v>195</v>
      </c>
      <c r="G186" s="7" t="s">
        <v>195</v>
      </c>
      <c r="H186" s="7" t="s">
        <v>195</v>
      </c>
      <c r="I186" s="7" t="s">
        <v>195</v>
      </c>
      <c r="J186" s="7" t="s">
        <v>195</v>
      </c>
      <c r="K186" s="7" t="s">
        <v>195</v>
      </c>
      <c r="L186" s="7" t="s">
        <v>195</v>
      </c>
      <c r="M186" s="7" t="s">
        <v>29</v>
      </c>
      <c r="N186" s="7" t="s">
        <v>29</v>
      </c>
      <c r="O186" s="7" t="s">
        <v>29</v>
      </c>
      <c r="P186" s="7" t="s">
        <v>29</v>
      </c>
      <c r="Q186" s="7" t="s">
        <v>29</v>
      </c>
      <c r="R186" s="7" t="s">
        <v>29</v>
      </c>
      <c r="S186" s="7" t="s">
        <v>29</v>
      </c>
    </row>
    <row r="187" spans="2:19">
      <c r="B187" s="7" t="s">
        <v>195</v>
      </c>
      <c r="C187" s="8" t="s">
        <v>195</v>
      </c>
      <c r="D187" s="6" t="str">
        <f>LRTRIM(CONCATENATE(IF(SUMPRODUCT(-- ISNUMBER(SEARCH({"Auto Number"}, $B187))) &gt; 0, $B187, IF(SUMPRODUCT(-- ISNUMBER(SEARCH({"Lookup","Master-Detail"}, $B187))) &gt; 0,$B187 &amp; "(" &amp; $E187 &amp; ")",IF(SUMPRODUCT(-- ISNUMBER(SEARCH({"Formula","Roll-Up Summary"}, $B187))) &gt; 0,$B187 &amp; " (" &amp; $E187 &amp; ")",IF(SUMPRODUCT(-- ISNUMBER(SEARCH({"Content","Currency","Number","Percent","Text","URL"}, $B187))) &gt; 0,$B187 &amp; "(" &amp; $C187 &amp; ")",$B187)))), "  ", TRIM(IF($S187 = "YES", "(External ID)", "") &amp; " " &amp; IF(SUMPRODUCT(-- ISNUMBER(SEARCH({"Unique","Unique Case Insensitive"}, $R187))) &gt; 0, "(" &amp; $R187 &amp; ")", ""))))</f>
        <v>na</v>
      </c>
      <c r="E187" s="7" t="s">
        <v>195</v>
      </c>
      <c r="F187" s="7" t="s">
        <v>195</v>
      </c>
      <c r="G187" s="7" t="s">
        <v>195</v>
      </c>
      <c r="H187" s="7" t="s">
        <v>195</v>
      </c>
      <c r="I187" s="7" t="s">
        <v>195</v>
      </c>
      <c r="J187" s="7" t="s">
        <v>195</v>
      </c>
      <c r="K187" s="7" t="s">
        <v>195</v>
      </c>
      <c r="L187" s="7" t="s">
        <v>195</v>
      </c>
      <c r="M187" s="7" t="s">
        <v>29</v>
      </c>
      <c r="N187" s="7" t="s">
        <v>29</v>
      </c>
      <c r="O187" s="7" t="s">
        <v>29</v>
      </c>
      <c r="P187" s="7" t="s">
        <v>29</v>
      </c>
      <c r="Q187" s="7" t="s">
        <v>29</v>
      </c>
      <c r="R187" s="7" t="s">
        <v>29</v>
      </c>
      <c r="S187" s="7" t="s">
        <v>29</v>
      </c>
    </row>
    <row r="188" spans="2:19">
      <c r="B188" s="7" t="s">
        <v>195</v>
      </c>
      <c r="C188" s="8" t="s">
        <v>195</v>
      </c>
      <c r="D188" s="6" t="str">
        <f>LRTRIM(CONCATENATE(IF(SUMPRODUCT(-- ISNUMBER(SEARCH({"Auto Number"}, $B188))) &gt; 0, $B188, IF(SUMPRODUCT(-- ISNUMBER(SEARCH({"Lookup","Master-Detail"}, $B188))) &gt; 0,$B188 &amp; "(" &amp; $E188 &amp; ")",IF(SUMPRODUCT(-- ISNUMBER(SEARCH({"Formula","Roll-Up Summary"}, $B188))) &gt; 0,$B188 &amp; " (" &amp; $E188 &amp; ")",IF(SUMPRODUCT(-- ISNUMBER(SEARCH({"Content","Currency","Number","Percent","Text","URL"}, $B188))) &gt; 0,$B188 &amp; "(" &amp; $C188 &amp; ")",$B188)))), "  ", TRIM(IF($S188 = "YES", "(External ID)", "") &amp; " " &amp; IF(SUMPRODUCT(-- ISNUMBER(SEARCH({"Unique","Unique Case Insensitive"}, $R188))) &gt; 0, "(" &amp; $R188 &amp; ")", ""))))</f>
        <v>na</v>
      </c>
      <c r="E188" s="7" t="s">
        <v>195</v>
      </c>
      <c r="F188" s="7" t="s">
        <v>195</v>
      </c>
      <c r="G188" s="7" t="s">
        <v>195</v>
      </c>
      <c r="H188" s="7" t="s">
        <v>195</v>
      </c>
      <c r="I188" s="7" t="s">
        <v>195</v>
      </c>
      <c r="J188" s="7" t="s">
        <v>195</v>
      </c>
      <c r="K188" s="7" t="s">
        <v>195</v>
      </c>
      <c r="L188" s="7" t="s">
        <v>195</v>
      </c>
      <c r="M188" s="7" t="s">
        <v>29</v>
      </c>
      <c r="N188" s="7" t="s">
        <v>29</v>
      </c>
      <c r="O188" s="7" t="s">
        <v>29</v>
      </c>
      <c r="P188" s="7" t="s">
        <v>29</v>
      </c>
      <c r="Q188" s="7" t="s">
        <v>29</v>
      </c>
      <c r="R188" s="7" t="s">
        <v>29</v>
      </c>
      <c r="S188" s="7" t="s">
        <v>29</v>
      </c>
    </row>
    <row r="189" spans="2:19">
      <c r="B189" s="7" t="s">
        <v>195</v>
      </c>
      <c r="C189" s="8" t="s">
        <v>195</v>
      </c>
      <c r="D189" s="6" t="str">
        <f>LRTRIM(CONCATENATE(IF(SUMPRODUCT(-- ISNUMBER(SEARCH({"Auto Number"}, $B189))) &gt; 0, $B189, IF(SUMPRODUCT(-- ISNUMBER(SEARCH({"Lookup","Master-Detail"}, $B189))) &gt; 0,$B189 &amp; "(" &amp; $E189 &amp; ")",IF(SUMPRODUCT(-- ISNUMBER(SEARCH({"Formula","Roll-Up Summary"}, $B189))) &gt; 0,$B189 &amp; " (" &amp; $E189 &amp; ")",IF(SUMPRODUCT(-- ISNUMBER(SEARCH({"Content","Currency","Number","Percent","Text","URL"}, $B189))) &gt; 0,$B189 &amp; "(" &amp; $C189 &amp; ")",$B189)))), "  ", TRIM(IF($S189 = "YES", "(External ID)", "") &amp; " " &amp; IF(SUMPRODUCT(-- ISNUMBER(SEARCH({"Unique","Unique Case Insensitive"}, $R189))) &gt; 0, "(" &amp; $R189 &amp; ")", ""))))</f>
        <v>na</v>
      </c>
      <c r="E189" s="7" t="s">
        <v>195</v>
      </c>
      <c r="F189" s="7" t="s">
        <v>195</v>
      </c>
      <c r="G189" s="7" t="s">
        <v>195</v>
      </c>
      <c r="H189" s="7" t="s">
        <v>195</v>
      </c>
      <c r="I189" s="7" t="s">
        <v>195</v>
      </c>
      <c r="J189" s="7" t="s">
        <v>195</v>
      </c>
      <c r="K189" s="7" t="s">
        <v>195</v>
      </c>
      <c r="L189" s="7" t="s">
        <v>195</v>
      </c>
      <c r="M189" s="7" t="s">
        <v>29</v>
      </c>
      <c r="N189" s="7" t="s">
        <v>29</v>
      </c>
      <c r="O189" s="7" t="s">
        <v>29</v>
      </c>
      <c r="P189" s="7" t="s">
        <v>29</v>
      </c>
      <c r="Q189" s="7" t="s">
        <v>29</v>
      </c>
      <c r="R189" s="7" t="s">
        <v>29</v>
      </c>
      <c r="S189" s="7" t="s">
        <v>29</v>
      </c>
    </row>
    <row r="190" spans="2:19">
      <c r="B190" s="7" t="s">
        <v>195</v>
      </c>
      <c r="C190" s="8" t="s">
        <v>195</v>
      </c>
      <c r="D190" s="6" t="str">
        <f>LRTRIM(CONCATENATE(IF(SUMPRODUCT(-- ISNUMBER(SEARCH({"Auto Number"}, $B190))) &gt; 0, $B190, IF(SUMPRODUCT(-- ISNUMBER(SEARCH({"Lookup","Master-Detail"}, $B190))) &gt; 0,$B190 &amp; "(" &amp; $E190 &amp; ")",IF(SUMPRODUCT(-- ISNUMBER(SEARCH({"Formula","Roll-Up Summary"}, $B190))) &gt; 0,$B190 &amp; " (" &amp; $E190 &amp; ")",IF(SUMPRODUCT(-- ISNUMBER(SEARCH({"Content","Currency","Number","Percent","Text","URL"}, $B190))) &gt; 0,$B190 &amp; "(" &amp; $C190 &amp; ")",$B190)))), "  ", TRIM(IF($S190 = "YES", "(External ID)", "") &amp; " " &amp; IF(SUMPRODUCT(-- ISNUMBER(SEARCH({"Unique","Unique Case Insensitive"}, $R190))) &gt; 0, "(" &amp; $R190 &amp; ")", ""))))</f>
        <v>na</v>
      </c>
      <c r="E190" s="7" t="s">
        <v>195</v>
      </c>
      <c r="F190" s="7" t="s">
        <v>195</v>
      </c>
      <c r="G190" s="7" t="s">
        <v>195</v>
      </c>
      <c r="H190" s="7" t="s">
        <v>195</v>
      </c>
      <c r="I190" s="7" t="s">
        <v>195</v>
      </c>
      <c r="J190" s="7" t="s">
        <v>195</v>
      </c>
      <c r="K190" s="7" t="s">
        <v>195</v>
      </c>
      <c r="L190" s="7" t="s">
        <v>195</v>
      </c>
      <c r="M190" s="7" t="s">
        <v>29</v>
      </c>
      <c r="N190" s="7" t="s">
        <v>29</v>
      </c>
      <c r="O190" s="7" t="s">
        <v>29</v>
      </c>
      <c r="P190" s="7" t="s">
        <v>29</v>
      </c>
      <c r="Q190" s="7" t="s">
        <v>29</v>
      </c>
      <c r="R190" s="7" t="s">
        <v>29</v>
      </c>
      <c r="S190" s="7" t="s">
        <v>29</v>
      </c>
    </row>
    <row r="191" spans="2:19">
      <c r="B191" s="7" t="s">
        <v>195</v>
      </c>
      <c r="C191" s="8" t="s">
        <v>195</v>
      </c>
      <c r="D191" s="6" t="str">
        <f>LRTRIM(CONCATENATE(IF(SUMPRODUCT(-- ISNUMBER(SEARCH({"Auto Number"}, $B191))) &gt; 0, $B191, IF(SUMPRODUCT(-- ISNUMBER(SEARCH({"Lookup","Master-Detail"}, $B191))) &gt; 0,$B191 &amp; "(" &amp; $E191 &amp; ")",IF(SUMPRODUCT(-- ISNUMBER(SEARCH({"Formula","Roll-Up Summary"}, $B191))) &gt; 0,$B191 &amp; " (" &amp; $E191 &amp; ")",IF(SUMPRODUCT(-- ISNUMBER(SEARCH({"Content","Currency","Number","Percent","Text","URL"}, $B191))) &gt; 0,$B191 &amp; "(" &amp; $C191 &amp; ")",$B191)))), "  ", TRIM(IF($S191 = "YES", "(External ID)", "") &amp; " " &amp; IF(SUMPRODUCT(-- ISNUMBER(SEARCH({"Unique","Unique Case Insensitive"}, $R191))) &gt; 0, "(" &amp; $R191 &amp; ")", ""))))</f>
        <v>na</v>
      </c>
      <c r="E191" s="7" t="s">
        <v>195</v>
      </c>
      <c r="F191" s="7" t="s">
        <v>195</v>
      </c>
      <c r="G191" s="7" t="s">
        <v>195</v>
      </c>
      <c r="H191" s="7" t="s">
        <v>195</v>
      </c>
      <c r="I191" s="7" t="s">
        <v>195</v>
      </c>
      <c r="J191" s="7" t="s">
        <v>195</v>
      </c>
      <c r="K191" s="7" t="s">
        <v>195</v>
      </c>
      <c r="L191" s="7" t="s">
        <v>195</v>
      </c>
      <c r="M191" s="7" t="s">
        <v>29</v>
      </c>
      <c r="N191" s="7" t="s">
        <v>29</v>
      </c>
      <c r="O191" s="7" t="s">
        <v>29</v>
      </c>
      <c r="P191" s="7" t="s">
        <v>29</v>
      </c>
      <c r="Q191" s="7" t="s">
        <v>29</v>
      </c>
      <c r="R191" s="7" t="s">
        <v>29</v>
      </c>
      <c r="S191" s="7" t="s">
        <v>29</v>
      </c>
    </row>
    <row r="192" spans="2:19">
      <c r="B192" s="7" t="s">
        <v>195</v>
      </c>
      <c r="C192" s="8" t="s">
        <v>195</v>
      </c>
      <c r="D192" s="6" t="str">
        <f>LRTRIM(CONCATENATE(IF(SUMPRODUCT(-- ISNUMBER(SEARCH({"Auto Number"}, $B192))) &gt; 0, $B192, IF(SUMPRODUCT(-- ISNUMBER(SEARCH({"Lookup","Master-Detail"}, $B192))) &gt; 0,$B192 &amp; "(" &amp; $E192 &amp; ")",IF(SUMPRODUCT(-- ISNUMBER(SEARCH({"Formula","Roll-Up Summary"}, $B192))) &gt; 0,$B192 &amp; " (" &amp; $E192 &amp; ")",IF(SUMPRODUCT(-- ISNUMBER(SEARCH({"Content","Currency","Number","Percent","Text","URL"}, $B192))) &gt; 0,$B192 &amp; "(" &amp; $C192 &amp; ")",$B192)))), "  ", TRIM(IF($S192 = "YES", "(External ID)", "") &amp; " " &amp; IF(SUMPRODUCT(-- ISNUMBER(SEARCH({"Unique","Unique Case Insensitive"}, $R192))) &gt; 0, "(" &amp; $R192 &amp; ")", ""))))</f>
        <v>na</v>
      </c>
      <c r="E192" s="7" t="s">
        <v>195</v>
      </c>
      <c r="F192" s="7" t="s">
        <v>195</v>
      </c>
      <c r="G192" s="7" t="s">
        <v>195</v>
      </c>
      <c r="H192" s="7" t="s">
        <v>195</v>
      </c>
      <c r="I192" s="7" t="s">
        <v>195</v>
      </c>
      <c r="J192" s="7" t="s">
        <v>195</v>
      </c>
      <c r="K192" s="7" t="s">
        <v>195</v>
      </c>
      <c r="L192" s="7" t="s">
        <v>195</v>
      </c>
      <c r="M192" s="7" t="s">
        <v>29</v>
      </c>
      <c r="N192" s="7" t="s">
        <v>29</v>
      </c>
      <c r="O192" s="7" t="s">
        <v>29</v>
      </c>
      <c r="P192" s="7" t="s">
        <v>29</v>
      </c>
      <c r="Q192" s="7" t="s">
        <v>29</v>
      </c>
      <c r="R192" s="7" t="s">
        <v>29</v>
      </c>
      <c r="S192" s="7" t="s">
        <v>29</v>
      </c>
    </row>
    <row r="193" spans="2:19">
      <c r="B193" s="7" t="s">
        <v>195</v>
      </c>
      <c r="C193" s="8" t="s">
        <v>195</v>
      </c>
      <c r="D193" s="6" t="str">
        <f>LRTRIM(CONCATENATE(IF(SUMPRODUCT(-- ISNUMBER(SEARCH({"Auto Number"}, $B193))) &gt; 0, $B193, IF(SUMPRODUCT(-- ISNUMBER(SEARCH({"Lookup","Master-Detail"}, $B193))) &gt; 0,$B193 &amp; "(" &amp; $E193 &amp; ")",IF(SUMPRODUCT(-- ISNUMBER(SEARCH({"Formula","Roll-Up Summary"}, $B193))) &gt; 0,$B193 &amp; " (" &amp; $E193 &amp; ")",IF(SUMPRODUCT(-- ISNUMBER(SEARCH({"Content","Currency","Number","Percent","Text","URL"}, $B193))) &gt; 0,$B193 &amp; "(" &amp; $C193 &amp; ")",$B193)))), "  ", TRIM(IF($S193 = "YES", "(External ID)", "") &amp; " " &amp; IF(SUMPRODUCT(-- ISNUMBER(SEARCH({"Unique","Unique Case Insensitive"}, $R193))) &gt; 0, "(" &amp; $R193 &amp; ")", ""))))</f>
        <v>na</v>
      </c>
      <c r="E193" s="7" t="s">
        <v>195</v>
      </c>
      <c r="F193" s="7" t="s">
        <v>195</v>
      </c>
      <c r="G193" s="7" t="s">
        <v>195</v>
      </c>
      <c r="H193" s="7" t="s">
        <v>195</v>
      </c>
      <c r="I193" s="7" t="s">
        <v>195</v>
      </c>
      <c r="J193" s="7" t="s">
        <v>195</v>
      </c>
      <c r="K193" s="7" t="s">
        <v>195</v>
      </c>
      <c r="L193" s="7" t="s">
        <v>195</v>
      </c>
      <c r="M193" s="7" t="s">
        <v>29</v>
      </c>
      <c r="N193" s="7" t="s">
        <v>29</v>
      </c>
      <c r="O193" s="7" t="s">
        <v>29</v>
      </c>
      <c r="P193" s="7" t="s">
        <v>29</v>
      </c>
      <c r="Q193" s="7" t="s">
        <v>29</v>
      </c>
      <c r="R193" s="7" t="s">
        <v>29</v>
      </c>
      <c r="S193" s="7" t="s">
        <v>29</v>
      </c>
    </row>
    <row r="194" spans="2:19">
      <c r="B194" s="7" t="s">
        <v>195</v>
      </c>
      <c r="C194" s="8" t="s">
        <v>195</v>
      </c>
      <c r="D194" s="6" t="str">
        <f>LRTRIM(CONCATENATE(IF(SUMPRODUCT(-- ISNUMBER(SEARCH({"Auto Number"}, $B194))) &gt; 0, $B194, IF(SUMPRODUCT(-- ISNUMBER(SEARCH({"Lookup","Master-Detail"}, $B194))) &gt; 0,$B194 &amp; "(" &amp; $E194 &amp; ")",IF(SUMPRODUCT(-- ISNUMBER(SEARCH({"Formula","Roll-Up Summary"}, $B194))) &gt; 0,$B194 &amp; " (" &amp; $E194 &amp; ")",IF(SUMPRODUCT(-- ISNUMBER(SEARCH({"Content","Currency","Number","Percent","Text","URL"}, $B194))) &gt; 0,$B194 &amp; "(" &amp; $C194 &amp; ")",$B194)))), "  ", TRIM(IF($S194 = "YES", "(External ID)", "") &amp; " " &amp; IF(SUMPRODUCT(-- ISNUMBER(SEARCH({"Unique","Unique Case Insensitive"}, $R194))) &gt; 0, "(" &amp; $R194 &amp; ")", ""))))</f>
        <v>na</v>
      </c>
      <c r="E194" s="7" t="s">
        <v>195</v>
      </c>
      <c r="F194" s="7" t="s">
        <v>195</v>
      </c>
      <c r="G194" s="7" t="s">
        <v>195</v>
      </c>
      <c r="H194" s="7" t="s">
        <v>195</v>
      </c>
      <c r="I194" s="7" t="s">
        <v>195</v>
      </c>
      <c r="J194" s="7" t="s">
        <v>195</v>
      </c>
      <c r="K194" s="7" t="s">
        <v>195</v>
      </c>
      <c r="L194" s="7" t="s">
        <v>195</v>
      </c>
      <c r="M194" s="7" t="s">
        <v>29</v>
      </c>
      <c r="N194" s="7" t="s">
        <v>29</v>
      </c>
      <c r="O194" s="7" t="s">
        <v>29</v>
      </c>
      <c r="P194" s="7" t="s">
        <v>29</v>
      </c>
      <c r="Q194" s="7" t="s">
        <v>29</v>
      </c>
      <c r="R194" s="7" t="s">
        <v>29</v>
      </c>
      <c r="S194" s="7" t="s">
        <v>29</v>
      </c>
    </row>
    <row r="195" spans="2:19">
      <c r="B195" s="7" t="s">
        <v>195</v>
      </c>
      <c r="C195" s="8" t="s">
        <v>195</v>
      </c>
      <c r="D195" s="6" t="str">
        <f>LRTRIM(CONCATENATE(IF(SUMPRODUCT(-- ISNUMBER(SEARCH({"Auto Number"}, $B195))) &gt; 0, $B195, IF(SUMPRODUCT(-- ISNUMBER(SEARCH({"Lookup","Master-Detail"}, $B195))) &gt; 0,$B195 &amp; "(" &amp; $E195 &amp; ")",IF(SUMPRODUCT(-- ISNUMBER(SEARCH({"Formula","Roll-Up Summary"}, $B195))) &gt; 0,$B195 &amp; " (" &amp; $E195 &amp; ")",IF(SUMPRODUCT(-- ISNUMBER(SEARCH({"Content","Currency","Number","Percent","Text","URL"}, $B195))) &gt; 0,$B195 &amp; "(" &amp; $C195 &amp; ")",$B195)))), "  ", TRIM(IF($S195 = "YES", "(External ID)", "") &amp; " " &amp; IF(SUMPRODUCT(-- ISNUMBER(SEARCH({"Unique","Unique Case Insensitive"}, $R195))) &gt; 0, "(" &amp; $R195 &amp; ")", ""))))</f>
        <v>na</v>
      </c>
      <c r="E195" s="7" t="s">
        <v>195</v>
      </c>
      <c r="F195" s="7" t="s">
        <v>195</v>
      </c>
      <c r="G195" s="7" t="s">
        <v>195</v>
      </c>
      <c r="H195" s="7" t="s">
        <v>195</v>
      </c>
      <c r="I195" s="7" t="s">
        <v>195</v>
      </c>
      <c r="J195" s="7" t="s">
        <v>195</v>
      </c>
      <c r="K195" s="7" t="s">
        <v>195</v>
      </c>
      <c r="L195" s="7" t="s">
        <v>195</v>
      </c>
      <c r="M195" s="7" t="s">
        <v>29</v>
      </c>
      <c r="N195" s="7" t="s">
        <v>29</v>
      </c>
      <c r="O195" s="7" t="s">
        <v>29</v>
      </c>
      <c r="P195" s="7" t="s">
        <v>29</v>
      </c>
      <c r="Q195" s="7" t="s">
        <v>29</v>
      </c>
      <c r="R195" s="7" t="s">
        <v>29</v>
      </c>
      <c r="S195" s="7" t="s">
        <v>29</v>
      </c>
    </row>
    <row r="196" spans="2:19">
      <c r="B196" s="7" t="s">
        <v>195</v>
      </c>
      <c r="C196" s="8" t="s">
        <v>195</v>
      </c>
      <c r="D196" s="6" t="str">
        <f>LRTRIM(CONCATENATE(IF(SUMPRODUCT(-- ISNUMBER(SEARCH({"Auto Number"}, $B196))) &gt; 0, $B196, IF(SUMPRODUCT(-- ISNUMBER(SEARCH({"Lookup","Master-Detail"}, $B196))) &gt; 0,$B196 &amp; "(" &amp; $E196 &amp; ")",IF(SUMPRODUCT(-- ISNUMBER(SEARCH({"Formula","Roll-Up Summary"}, $B196))) &gt; 0,$B196 &amp; " (" &amp; $E196 &amp; ")",IF(SUMPRODUCT(-- ISNUMBER(SEARCH({"Content","Currency","Number","Percent","Text","URL"}, $B196))) &gt; 0,$B196 &amp; "(" &amp; $C196 &amp; ")",$B196)))), "  ", TRIM(IF($S196 = "YES", "(External ID)", "") &amp; " " &amp; IF(SUMPRODUCT(-- ISNUMBER(SEARCH({"Unique","Unique Case Insensitive"}, $R196))) &gt; 0, "(" &amp; $R196 &amp; ")", ""))))</f>
        <v>na</v>
      </c>
      <c r="E196" s="7" t="s">
        <v>195</v>
      </c>
      <c r="F196" s="7" t="s">
        <v>195</v>
      </c>
      <c r="G196" s="7" t="s">
        <v>195</v>
      </c>
      <c r="H196" s="7" t="s">
        <v>195</v>
      </c>
      <c r="I196" s="7" t="s">
        <v>195</v>
      </c>
      <c r="J196" s="7" t="s">
        <v>195</v>
      </c>
      <c r="K196" s="7" t="s">
        <v>195</v>
      </c>
      <c r="L196" s="7" t="s">
        <v>195</v>
      </c>
      <c r="M196" s="7" t="s">
        <v>29</v>
      </c>
      <c r="N196" s="7" t="s">
        <v>29</v>
      </c>
      <c r="O196" s="7" t="s">
        <v>29</v>
      </c>
      <c r="P196" s="7" t="s">
        <v>29</v>
      </c>
      <c r="Q196" s="7" t="s">
        <v>29</v>
      </c>
      <c r="R196" s="7" t="s">
        <v>29</v>
      </c>
      <c r="S196" s="7" t="s">
        <v>29</v>
      </c>
    </row>
    <row r="197" spans="2:19">
      <c r="B197" s="7" t="s">
        <v>195</v>
      </c>
      <c r="C197" s="8" t="s">
        <v>195</v>
      </c>
      <c r="D197" s="6" t="str">
        <f>LRTRIM(CONCATENATE(IF(SUMPRODUCT(-- ISNUMBER(SEARCH({"Auto Number"}, $B197))) &gt; 0, $B197, IF(SUMPRODUCT(-- ISNUMBER(SEARCH({"Lookup","Master-Detail"}, $B197))) &gt; 0,$B197 &amp; "(" &amp; $E197 &amp; ")",IF(SUMPRODUCT(-- ISNUMBER(SEARCH({"Formula","Roll-Up Summary"}, $B197))) &gt; 0,$B197 &amp; " (" &amp; $E197 &amp; ")",IF(SUMPRODUCT(-- ISNUMBER(SEARCH({"Content","Currency","Number","Percent","Text","URL"}, $B197))) &gt; 0,$B197 &amp; "(" &amp; $C197 &amp; ")",$B197)))), "  ", TRIM(IF($S197 = "YES", "(External ID)", "") &amp; " " &amp; IF(SUMPRODUCT(-- ISNUMBER(SEARCH({"Unique","Unique Case Insensitive"}, $R197))) &gt; 0, "(" &amp; $R197 &amp; ")", ""))))</f>
        <v>na</v>
      </c>
      <c r="E197" s="7" t="s">
        <v>195</v>
      </c>
      <c r="F197" s="7" t="s">
        <v>195</v>
      </c>
      <c r="G197" s="7" t="s">
        <v>195</v>
      </c>
      <c r="H197" s="7" t="s">
        <v>195</v>
      </c>
      <c r="I197" s="7" t="s">
        <v>195</v>
      </c>
      <c r="J197" s="7" t="s">
        <v>195</v>
      </c>
      <c r="K197" s="7" t="s">
        <v>195</v>
      </c>
      <c r="L197" s="7" t="s">
        <v>195</v>
      </c>
      <c r="M197" s="7" t="s">
        <v>29</v>
      </c>
      <c r="N197" s="7" t="s">
        <v>29</v>
      </c>
      <c r="O197" s="7" t="s">
        <v>29</v>
      </c>
      <c r="P197" s="7" t="s">
        <v>29</v>
      </c>
      <c r="Q197" s="7" t="s">
        <v>29</v>
      </c>
      <c r="R197" s="7" t="s">
        <v>29</v>
      </c>
      <c r="S197" s="7" t="s">
        <v>29</v>
      </c>
    </row>
    <row r="198" spans="2:19">
      <c r="B198" s="7" t="s">
        <v>195</v>
      </c>
      <c r="C198" s="8" t="s">
        <v>195</v>
      </c>
      <c r="D198" s="6" t="str">
        <f>LRTRIM(CONCATENATE(IF(SUMPRODUCT(-- ISNUMBER(SEARCH({"Auto Number"}, $B198))) &gt; 0, $B198, IF(SUMPRODUCT(-- ISNUMBER(SEARCH({"Lookup","Master-Detail"}, $B198))) &gt; 0,$B198 &amp; "(" &amp; $E198 &amp; ")",IF(SUMPRODUCT(-- ISNUMBER(SEARCH({"Formula","Roll-Up Summary"}, $B198))) &gt; 0,$B198 &amp; " (" &amp; $E198 &amp; ")",IF(SUMPRODUCT(-- ISNUMBER(SEARCH({"Content","Currency","Number","Percent","Text","URL"}, $B198))) &gt; 0,$B198 &amp; "(" &amp; $C198 &amp; ")",$B198)))), "  ", TRIM(IF($S198 = "YES", "(External ID)", "") &amp; " " &amp; IF(SUMPRODUCT(-- ISNUMBER(SEARCH({"Unique","Unique Case Insensitive"}, $R198))) &gt; 0, "(" &amp; $R198 &amp; ")", ""))))</f>
        <v>na</v>
      </c>
      <c r="E198" s="7" t="s">
        <v>195</v>
      </c>
      <c r="F198" s="7" t="s">
        <v>195</v>
      </c>
      <c r="G198" s="7" t="s">
        <v>195</v>
      </c>
      <c r="H198" s="7" t="s">
        <v>195</v>
      </c>
      <c r="I198" s="7" t="s">
        <v>195</v>
      </c>
      <c r="J198" s="7" t="s">
        <v>195</v>
      </c>
      <c r="K198" s="7" t="s">
        <v>195</v>
      </c>
      <c r="L198" s="7" t="s">
        <v>195</v>
      </c>
      <c r="M198" s="7" t="s">
        <v>29</v>
      </c>
      <c r="N198" s="7" t="s">
        <v>29</v>
      </c>
      <c r="O198" s="7" t="s">
        <v>29</v>
      </c>
      <c r="P198" s="7" t="s">
        <v>29</v>
      </c>
      <c r="Q198" s="7" t="s">
        <v>29</v>
      </c>
      <c r="R198" s="7" t="s">
        <v>29</v>
      </c>
      <c r="S198" s="7" t="s">
        <v>29</v>
      </c>
    </row>
    <row r="199" spans="2:19">
      <c r="B199" s="7" t="s">
        <v>195</v>
      </c>
      <c r="C199" s="8" t="s">
        <v>195</v>
      </c>
      <c r="D199" s="6" t="str">
        <f>LRTRIM(CONCATENATE(IF(SUMPRODUCT(-- ISNUMBER(SEARCH({"Auto Number"}, $B199))) &gt; 0, $B199, IF(SUMPRODUCT(-- ISNUMBER(SEARCH({"Lookup","Master-Detail"}, $B199))) &gt; 0,$B199 &amp; "(" &amp; $E199 &amp; ")",IF(SUMPRODUCT(-- ISNUMBER(SEARCH({"Formula","Roll-Up Summary"}, $B199))) &gt; 0,$B199 &amp; " (" &amp; $E199 &amp; ")",IF(SUMPRODUCT(-- ISNUMBER(SEARCH({"Content","Currency","Number","Percent","Text","URL"}, $B199))) &gt; 0,$B199 &amp; "(" &amp; $C199 &amp; ")",$B199)))), "  ", TRIM(IF($S199 = "YES", "(External ID)", "") &amp; " " &amp; IF(SUMPRODUCT(-- ISNUMBER(SEARCH({"Unique","Unique Case Insensitive"}, $R199))) &gt; 0, "(" &amp; $R199 &amp; ")", ""))))</f>
        <v>na</v>
      </c>
      <c r="E199" s="7" t="s">
        <v>195</v>
      </c>
      <c r="F199" s="7" t="s">
        <v>195</v>
      </c>
      <c r="G199" s="7" t="s">
        <v>195</v>
      </c>
      <c r="H199" s="7" t="s">
        <v>195</v>
      </c>
      <c r="I199" s="7" t="s">
        <v>195</v>
      </c>
      <c r="J199" s="7" t="s">
        <v>195</v>
      </c>
      <c r="K199" s="7" t="s">
        <v>195</v>
      </c>
      <c r="L199" s="7" t="s">
        <v>195</v>
      </c>
      <c r="M199" s="7" t="s">
        <v>29</v>
      </c>
      <c r="N199" s="7" t="s">
        <v>29</v>
      </c>
      <c r="O199" s="7" t="s">
        <v>29</v>
      </c>
      <c r="P199" s="7" t="s">
        <v>29</v>
      </c>
      <c r="Q199" s="7" t="s">
        <v>29</v>
      </c>
      <c r="R199" s="7" t="s">
        <v>29</v>
      </c>
      <c r="S199" s="7" t="s">
        <v>29</v>
      </c>
    </row>
    <row r="200" spans="2:19">
      <c r="B200" s="7" t="s">
        <v>195</v>
      </c>
      <c r="C200" s="8" t="s">
        <v>195</v>
      </c>
      <c r="D200" s="6" t="str">
        <f>LRTRIM(CONCATENATE(IF(SUMPRODUCT(-- ISNUMBER(SEARCH({"Auto Number"}, $B200))) &gt; 0, $B200, IF(SUMPRODUCT(-- ISNUMBER(SEARCH({"Lookup","Master-Detail"}, $B200))) &gt; 0,$B200 &amp; "(" &amp; $E200 &amp; ")",IF(SUMPRODUCT(-- ISNUMBER(SEARCH({"Formula","Roll-Up Summary"}, $B200))) &gt; 0,$B200 &amp; " (" &amp; $E200 &amp; ")",IF(SUMPRODUCT(-- ISNUMBER(SEARCH({"Content","Currency","Number","Percent","Text","URL"}, $B200))) &gt; 0,$B200 &amp; "(" &amp; $C200 &amp; ")",$B200)))), "  ", TRIM(IF($S200 = "YES", "(External ID)", "") &amp; " " &amp; IF(SUMPRODUCT(-- ISNUMBER(SEARCH({"Unique","Unique Case Insensitive"}, $R200))) &gt; 0, "(" &amp; $R200 &amp; ")", ""))))</f>
        <v>na</v>
      </c>
      <c r="E200" s="7" t="s">
        <v>195</v>
      </c>
      <c r="F200" s="7" t="s">
        <v>195</v>
      </c>
      <c r="G200" s="7" t="s">
        <v>195</v>
      </c>
      <c r="H200" s="7" t="s">
        <v>195</v>
      </c>
      <c r="I200" s="7" t="s">
        <v>195</v>
      </c>
      <c r="J200" s="7" t="s">
        <v>195</v>
      </c>
      <c r="K200" s="7" t="s">
        <v>195</v>
      </c>
      <c r="L200" s="7" t="s">
        <v>195</v>
      </c>
      <c r="M200" s="7" t="s">
        <v>29</v>
      </c>
      <c r="N200" s="7" t="s">
        <v>29</v>
      </c>
      <c r="O200" s="7" t="s">
        <v>29</v>
      </c>
      <c r="P200" s="7" t="s">
        <v>29</v>
      </c>
      <c r="Q200" s="7" t="s">
        <v>29</v>
      </c>
      <c r="R200" s="7" t="s">
        <v>29</v>
      </c>
      <c r="S200" s="7" t="s">
        <v>29</v>
      </c>
    </row>
  </sheetData>
  <sheetProtection formatCells="0" formatColumns="0" formatRows="0" insertColumns="0" insertRows="0" insertHyperlinks="0" deleteColumns="0" deleteRows="0" sort="0" autoFilter="0" pivotTables="0"/>
  <conditionalFormatting sqref="D2:D22">
    <cfRule type="expression" dxfId="36" priority="3">
      <formula>NOT(_xlfn.ISFORMULA($D2))</formula>
    </cfRule>
  </conditionalFormatting>
  <conditionalFormatting sqref="D23">
    <cfRule type="expression" dxfId="35" priority="2">
      <formula>NOT(_xlfn.ISFORMULA($D23))</formula>
    </cfRule>
  </conditionalFormatting>
  <conditionalFormatting sqref="D24:D200">
    <cfRule type="expression" dxfId="34" priority="1">
      <formula>NOT(_xlfn.ISFORMULA($D24))</formula>
    </cfRule>
  </conditionalFormatting>
  <dataValidations count="1">
    <dataValidation allowBlank="1" showInputMessage="1" showErrorMessage="1" sqref="A2:A22"/>
  </dataValidations>
  <pageMargins left="0.7" right="0.7" top="0.75" bottom="0.75" header="0.3" footer="0.3"/>
  <extLst>
    <ext xmlns:x14="http://schemas.microsoft.com/office/spreadsheetml/2009/9/main" uri="{CCE6A557-97BC-4b89-ADB6-D9C93CAAB3DF}">
      <x14:dataValidations xmlns:xm="http://schemas.microsoft.com/office/excel/2006/main" count="15">
        <x14:dataValidation type="list" allowBlank="1" showInputMessage="1" showErrorMessage="1">
          <x14:formula1>
            <xm:f>OFFSET('Reference Fields'!$K$2,0,0,COUNTA('Reference Fields'!$K:$K)-1)</xm:f>
          </x14:formula1>
          <xm:sqref>R2:R200</xm:sqref>
        </x14:dataValidation>
        <x14:dataValidation type="list" allowBlank="1" showInputMessage="1" showErrorMessage="1">
          <x14:formula1>
            <xm:f>OFFSET('Reference Fields'!$J$2,0,0,COUNTA('Reference Fields'!$J:$J)-1)</xm:f>
          </x14:formula1>
          <xm:sqref>Q2:Q200</xm:sqref>
        </x14:dataValidation>
        <x14:dataValidation type="list" allowBlank="1" showInputMessage="1" showErrorMessage="1">
          <x14:formula1>
            <xm:f>OFFSET('Reference Fields'!$J$2,0,0,COUNTA('Reference Fields'!$J:$J)-1)</xm:f>
          </x14:formula1>
          <xm:sqref>M2:M200</xm:sqref>
        </x14:dataValidation>
        <x14:dataValidation type="list" allowBlank="1" showInputMessage="1" showErrorMessage="1">
          <x14:formula1>
            <xm:f>OFFSET('Reference Fields'!$J$2,0,0,COUNTA('Reference Fields'!$J:$J)-1)</xm:f>
          </x14:formula1>
          <xm:sqref>N2:N200</xm:sqref>
        </x14:dataValidation>
        <x14:dataValidation type="list" allowBlank="1" showInputMessage="1" showErrorMessage="1">
          <x14:formula1>
            <xm:f>OFFSET('Reference Fields'!$J$2,0,0,COUNTA('Reference Fields'!$J:$J)-1)</xm:f>
          </x14:formula1>
          <xm:sqref>O2:O200</xm:sqref>
        </x14:dataValidation>
        <x14:dataValidation type="list" allowBlank="1" showInputMessage="1" showErrorMessage="1">
          <x14:formula1>
            <xm:f>OFFSET('Reference Fields'!$J$2,0,0,COUNTA('Reference Fields'!$J:$J)-1)</xm:f>
          </x14:formula1>
          <xm:sqref>P2:P200</xm:sqref>
        </x14:dataValidation>
        <x14:dataValidation type="list" allowBlank="1" showInputMessage="1" showErrorMessage="1">
          <x14:formula1>
            <xm:f>OFFSET('Reference Fields'!$J$2,0,0,COUNTA('Reference Fields'!$J:$J)-1)</xm:f>
          </x14:formula1>
          <xm:sqref>S2:S200</xm:sqref>
        </x14:dataValidation>
        <x14:dataValidation type="list" allowBlank="1" showInputMessage="1" showErrorMessage="1">
          <x14:formula1>
            <xm:f>OFFSET('Reference Fields'!$B$2,0,0,COUNTA('Reference Fields'!$B:$B)-1)</xm:f>
          </x14:formula1>
          <xm:sqref>B2:B200</xm:sqref>
        </x14:dataValidation>
        <x14:dataValidation type="list" allowBlank="1" showInputMessage="1" showErrorMessage="1">
          <x14:formula1>
            <xm:f>OFFSET('Reference Fields'!$D$2,0,0,COUNTA('Reference Fields'!$D:$D)-1)</xm:f>
          </x14:formula1>
          <xm:sqref>F2:F200</xm:sqref>
        </x14:dataValidation>
        <x14:dataValidation type="list" allowBlank="1" showInputMessage="1" showErrorMessage="1">
          <x14:formula1>
            <xm:f>OFFSET('Reference Fields'!$E$2,0,0,COUNTA('Reference Fields'!$E:$E)-1)</xm:f>
          </x14:formula1>
          <xm:sqref>G2:G200</xm:sqref>
        </x14:dataValidation>
        <x14:dataValidation type="list" allowBlank="1" showInputMessage="1" showErrorMessage="1">
          <x14:formula1>
            <xm:f>OFFSET('Reference Fields'!$F$2,0,0,COUNTA('Reference Fields'!$F:$F)-1)</xm:f>
          </x14:formula1>
          <xm:sqref>H2:H200</xm:sqref>
        </x14:dataValidation>
        <x14:dataValidation type="list" allowBlank="1" showInputMessage="1" showErrorMessage="1">
          <x14:formula1>
            <xm:f>OFFSET('Reference Fields'!$F$2,0,0,COUNTA('Reference Fields'!$F:$F)-1)</xm:f>
          </x14:formula1>
          <xm:sqref>I2:I200</xm:sqref>
        </x14:dataValidation>
        <x14:dataValidation type="list" allowBlank="1" showInputMessage="1" showErrorMessage="1">
          <x14:formula1>
            <xm:f>OFFSET('Reference Fields'!$G$2,0,0,COUNTA('Reference Fields'!$G:$G)-1)</xm:f>
          </x14:formula1>
          <xm:sqref>J2:J200</xm:sqref>
        </x14:dataValidation>
        <x14:dataValidation type="list" allowBlank="1" showInputMessage="1" showErrorMessage="1">
          <x14:formula1>
            <xm:f>OFFSET('Reference Fields'!$H$2,0,0,COUNTA('Reference Fields'!$H:$H)-1)</xm:f>
          </x14:formula1>
          <xm:sqref>K2:K200</xm:sqref>
        </x14:dataValidation>
        <x14:dataValidation type="list" allowBlank="1" showInputMessage="1" showErrorMessage="1">
          <x14:formula1>
            <xm:f>OFFSET('Reference Fields'!$I$2,0,0,COUNTA('Reference Fields'!$I:$I)-1)</xm:f>
          </x14:formula1>
          <xm:sqref>L2:L200</xm:sqref>
        </x14:dataValidation>
      </x14:dataValidations>
    </ext>
  </extLst>
</worksheet>
</file>

<file path=xl/worksheets/sheet29.xml><?xml version="1.0" encoding="utf-8"?>
<worksheet xmlns="http://schemas.openxmlformats.org/spreadsheetml/2006/main" xmlns:r="http://schemas.openxmlformats.org/officeDocument/2006/relationships">
  <sheetPr codeName="Sheet20"/>
  <dimension ref="A1:S200"/>
  <sheetViews>
    <sheetView workbookViewId="0">
      <pane ySplit="1" topLeftCell="A2" activePane="bottomLeft" state="frozen"/>
      <selection pane="bottomLeft" activeCell="A2" sqref="A2"/>
    </sheetView>
  </sheetViews>
  <sheetFormatPr defaultRowHeight="14.5"/>
  <cols>
    <col min="1" max="1" width="23" bestFit="1" customWidth="1"/>
    <col min="2" max="2" width="13.54296875" customWidth="1"/>
    <col min="3" max="4" width="8.90625" customWidth="1"/>
    <col min="5" max="5" width="12.6328125" customWidth="1"/>
    <col min="6" max="6" width="15.6328125" bestFit="1" customWidth="1"/>
    <col min="7" max="8" width="15.453125" customWidth="1"/>
    <col min="9" max="9" width="22.6328125" customWidth="1"/>
    <col min="10" max="10" width="23.36328125" customWidth="1"/>
    <col min="11" max="11" width="17.54296875" customWidth="1"/>
    <col min="12" max="12" width="14.08984375" customWidth="1"/>
    <col min="13" max="13" width="10.453125" bestFit="1" customWidth="1"/>
    <col min="14" max="14" width="10.453125" customWidth="1"/>
    <col min="15" max="15" width="12.453125" bestFit="1" customWidth="1"/>
  </cols>
  <sheetData>
    <row r="1" spans="1:19" s="1" customFormat="1">
      <c r="A1" s="1" t="s">
        <v>2</v>
      </c>
      <c r="B1" s="1" t="s">
        <v>1198</v>
      </c>
      <c r="C1" s="1" t="s">
        <v>1199</v>
      </c>
      <c r="D1" s="1" t="s">
        <v>0</v>
      </c>
      <c r="E1" s="1" t="s">
        <v>1</v>
      </c>
      <c r="F1" s="1" t="s">
        <v>30</v>
      </c>
      <c r="G1" s="1" t="s">
        <v>31</v>
      </c>
      <c r="H1" s="1" t="s">
        <v>1262</v>
      </c>
      <c r="I1" s="1" t="s">
        <v>49</v>
      </c>
      <c r="J1" s="1" t="s">
        <v>48</v>
      </c>
      <c r="K1" s="1" t="s">
        <v>54</v>
      </c>
      <c r="L1" s="1" t="s">
        <v>55</v>
      </c>
      <c r="M1" s="1" t="s">
        <v>27</v>
      </c>
      <c r="N1" s="1" t="s">
        <v>175</v>
      </c>
      <c r="O1" s="1" t="s">
        <v>193</v>
      </c>
      <c r="P1" s="1" t="s">
        <v>1221</v>
      </c>
      <c r="Q1" s="1" t="s">
        <v>1264</v>
      </c>
      <c r="R1" s="1" t="s">
        <v>1263</v>
      </c>
      <c r="S1" s="1" t="s">
        <v>1265</v>
      </c>
    </row>
    <row r="2" spans="1:19">
      <c r="A2" s="7" t="s">
        <v>9</v>
      </c>
      <c r="B2" s="7" t="s">
        <v>1218</v>
      </c>
      <c r="C2" s="8">
        <v>50</v>
      </c>
      <c r="D2" s="6" t="str">
        <f>LRTRIM(CONCATENATE(IF(SUMPRODUCT(-- ISNUMBER(SEARCH({"Auto Number"}, $B2))) &gt; 0, $B2, IF(SUMPRODUCT(-- ISNUMBER(SEARCH({"Lookup","Master-Detail"}, $B2))) &gt; 0,$B2 &amp; "(" &amp; $E2 &amp; ")",IF(SUMPRODUCT(-- ISNUMBER(SEARCH({"Formula","Roll-Up Summary"}, $B2))) &gt; 0,$B2 &amp; " (" &amp; $E2 &amp; ")",IF(SUMPRODUCT(-- ISNUMBER(SEARCH({"Content","Currency","Number","Percent","Text","URL"}, $B2))) &gt; 0,$B2 &amp; "(" &amp; $C2 &amp; ")",$B2)))), "  ", TRIM(IF($S2 = "YES", "(External ID)", "") &amp; " " &amp; IF(SUMPRODUCT(-- ISNUMBER(SEARCH({"Unique","Unique Case Insensitive"}, $R2))) &gt; 0, "(" &amp; $R2 &amp; ")", ""))))</f>
        <v>Text(50)</v>
      </c>
      <c r="E2" s="7" t="s">
        <v>195</v>
      </c>
      <c r="F2" s="7" t="s">
        <v>554</v>
      </c>
      <c r="G2" s="7" t="s">
        <v>195</v>
      </c>
      <c r="H2" s="7" t="s">
        <v>195</v>
      </c>
      <c r="I2" s="7" t="s">
        <v>195</v>
      </c>
      <c r="J2" s="7" t="s">
        <v>195</v>
      </c>
      <c r="K2" s="7" t="s">
        <v>195</v>
      </c>
      <c r="L2" s="7" t="s">
        <v>195</v>
      </c>
      <c r="M2" s="7" t="s">
        <v>29</v>
      </c>
      <c r="N2" s="7" t="s">
        <v>29</v>
      </c>
      <c r="O2" s="7" t="s">
        <v>29</v>
      </c>
      <c r="P2" s="7" t="s">
        <v>29</v>
      </c>
      <c r="Q2" s="7" t="s">
        <v>29</v>
      </c>
      <c r="R2" s="7" t="s">
        <v>29</v>
      </c>
      <c r="S2" s="7" t="s">
        <v>29</v>
      </c>
    </row>
    <row r="3" spans="1:19">
      <c r="A3" s="7" t="s">
        <v>854</v>
      </c>
      <c r="B3" s="7" t="s">
        <v>1218</v>
      </c>
      <c r="C3" s="8">
        <v>255</v>
      </c>
      <c r="D3" s="6" t="str">
        <f>LRTRIM(CONCATENATE(IF(SUMPRODUCT(-- ISNUMBER(SEARCH({"Auto Number"}, $B3))) &gt; 0, $B3, IF(SUMPRODUCT(-- ISNUMBER(SEARCH({"Lookup","Master-Detail"}, $B3))) &gt; 0,$B3 &amp; "(" &amp; $E3 &amp; ")",IF(SUMPRODUCT(-- ISNUMBER(SEARCH({"Formula","Roll-Up Summary"}, $B3))) &gt; 0,$B3 &amp; " (" &amp; $E3 &amp; ")",IF(SUMPRODUCT(-- ISNUMBER(SEARCH({"Content","Currency","Number","Percent","Text","URL"}, $B3))) &gt; 0,$B3 &amp; "(" &amp; $C3 &amp; ")",$B3)))), "  ", TRIM(IF($S3 = "YES", "(External ID)", "") &amp; " " &amp; IF(SUMPRODUCT(-- ISNUMBER(SEARCH({"Unique","Unique Case Insensitive"}, $R3))) &gt; 0, "(" &amp; $R3 &amp; ")", ""))))</f>
        <v>Text(255)</v>
      </c>
      <c r="E3" s="7" t="s">
        <v>195</v>
      </c>
      <c r="F3" s="7" t="s">
        <v>854</v>
      </c>
      <c r="G3" s="7" t="s">
        <v>195</v>
      </c>
      <c r="H3" s="7" t="s">
        <v>195</v>
      </c>
      <c r="I3" s="7" t="s">
        <v>195</v>
      </c>
      <c r="J3" s="7" t="s">
        <v>195</v>
      </c>
      <c r="K3" s="7" t="s">
        <v>195</v>
      </c>
      <c r="L3" s="7" t="s">
        <v>195</v>
      </c>
      <c r="M3" s="7" t="s">
        <v>29</v>
      </c>
      <c r="N3" s="7" t="s">
        <v>29</v>
      </c>
      <c r="O3" s="7" t="s">
        <v>29</v>
      </c>
      <c r="P3" s="7" t="s">
        <v>29</v>
      </c>
      <c r="Q3" s="7" t="s">
        <v>29</v>
      </c>
      <c r="R3" s="7" t="s">
        <v>29</v>
      </c>
      <c r="S3" s="7" t="s">
        <v>29</v>
      </c>
    </row>
    <row r="4" spans="1:19">
      <c r="A4" s="7" t="s">
        <v>13</v>
      </c>
      <c r="B4" s="7" t="s">
        <v>1218</v>
      </c>
      <c r="C4" s="8">
        <v>10</v>
      </c>
      <c r="D4" s="6" t="str">
        <f>LRTRIM(CONCATENATE(IF(SUMPRODUCT(-- ISNUMBER(SEARCH({"Auto Number"}, $B4))) &gt; 0, $B4, IF(SUMPRODUCT(-- ISNUMBER(SEARCH({"Lookup","Master-Detail"}, $B4))) &gt; 0,$B4 &amp; "(" &amp; $E4 &amp; ")",IF(SUMPRODUCT(-- ISNUMBER(SEARCH({"Formula","Roll-Up Summary"}, $B4))) &gt; 0,$B4 &amp; " (" &amp; $E4 &amp; ")",IF(SUMPRODUCT(-- ISNUMBER(SEARCH({"Content","Currency","Number","Percent","Text","URL"}, $B4))) &gt; 0,$B4 &amp; "(" &amp; $C4 &amp; ")",$B4)))), "  ", TRIM(IF($S4 = "YES", "(External ID)", "") &amp; " " &amp; IF(SUMPRODUCT(-- ISNUMBER(SEARCH({"Unique","Unique Case Insensitive"}, $R4))) &gt; 0, "(" &amp; $R4 &amp; ")", ""))))</f>
        <v>Text(10)</v>
      </c>
      <c r="E4" s="7" t="s">
        <v>195</v>
      </c>
      <c r="F4" s="7" t="s">
        <v>24</v>
      </c>
      <c r="G4" s="7" t="s">
        <v>195</v>
      </c>
      <c r="H4" s="7" t="s">
        <v>195</v>
      </c>
      <c r="I4" s="7" t="s">
        <v>195</v>
      </c>
      <c r="J4" s="7" t="s">
        <v>195</v>
      </c>
      <c r="K4" s="7" t="s">
        <v>195</v>
      </c>
      <c r="L4" s="7" t="s">
        <v>195</v>
      </c>
      <c r="M4" s="7" t="s">
        <v>29</v>
      </c>
      <c r="N4" s="7" t="s">
        <v>29</v>
      </c>
      <c r="O4" s="7" t="s">
        <v>29</v>
      </c>
      <c r="P4" s="7" t="s">
        <v>29</v>
      </c>
      <c r="Q4" s="7" t="s">
        <v>29</v>
      </c>
      <c r="R4" s="7" t="s">
        <v>29</v>
      </c>
      <c r="S4" s="7" t="s">
        <v>29</v>
      </c>
    </row>
    <row r="5" spans="1:19">
      <c r="A5" s="7" t="s">
        <v>779</v>
      </c>
      <c r="B5" s="7" t="s">
        <v>1218</v>
      </c>
      <c r="C5" s="8">
        <v>255</v>
      </c>
      <c r="D5" s="6" t="str">
        <f>LRTRIM(CONCATENATE(IF(SUMPRODUCT(-- ISNUMBER(SEARCH({"Auto Number"}, $B5))) &gt; 0, $B5, IF(SUMPRODUCT(-- ISNUMBER(SEARCH({"Lookup","Master-Detail"}, $B5))) &gt; 0,$B5 &amp; "(" &amp; $E5 &amp; ")",IF(SUMPRODUCT(-- ISNUMBER(SEARCH({"Formula","Roll-Up Summary"}, $B5))) &gt; 0,$B5 &amp; " (" &amp; $E5 &amp; ")",IF(SUMPRODUCT(-- ISNUMBER(SEARCH({"Content","Currency","Number","Percent","Text","URL"}, $B5))) &gt; 0,$B5 &amp; "(" &amp; $C5 &amp; ")",$B5)))), "  ", TRIM(IF($S5 = "YES", "(External ID)", "") &amp; " " &amp; IF(SUMPRODUCT(-- ISNUMBER(SEARCH({"Unique","Unique Case Insensitive"}, $R5))) &gt; 0, "(" &amp; $R5 &amp; ")", ""))))</f>
        <v>Text(255)  (External ID)</v>
      </c>
      <c r="E5" s="7" t="s">
        <v>195</v>
      </c>
      <c r="F5" s="7" t="s">
        <v>806</v>
      </c>
      <c r="G5" s="7" t="s">
        <v>195</v>
      </c>
      <c r="H5" s="7" t="s">
        <v>195</v>
      </c>
      <c r="I5" s="7" t="s">
        <v>195</v>
      </c>
      <c r="J5" s="7" t="s">
        <v>195</v>
      </c>
      <c r="K5" s="7" t="s">
        <v>195</v>
      </c>
      <c r="L5" s="7" t="s">
        <v>195</v>
      </c>
      <c r="M5" s="7" t="s">
        <v>29</v>
      </c>
      <c r="N5" s="7" t="s">
        <v>29</v>
      </c>
      <c r="O5" s="7" t="s">
        <v>29</v>
      </c>
      <c r="P5" s="7" t="s">
        <v>29</v>
      </c>
      <c r="Q5" s="7" t="s">
        <v>29</v>
      </c>
      <c r="R5" s="7" t="s">
        <v>29</v>
      </c>
      <c r="S5" s="7" t="s">
        <v>28</v>
      </c>
    </row>
    <row r="6" spans="1:19">
      <c r="A6" s="7" t="s">
        <v>33</v>
      </c>
      <c r="B6" s="7" t="s">
        <v>1204</v>
      </c>
      <c r="C6" s="8">
        <v>0</v>
      </c>
      <c r="D6" s="6" t="str">
        <f>LRTRIM(CONCATENATE(IF(SUMPRODUCT(-- ISNUMBER(SEARCH({"Auto Number"}, $B6))) &gt; 0, $B6, IF(SUMPRODUCT(-- ISNUMBER(SEARCH({"Lookup","Master-Detail"}, $B6))) &gt; 0,$B6 &amp; "(" &amp; $E6 &amp; ")",IF(SUMPRODUCT(-- ISNUMBER(SEARCH({"Formula","Roll-Up Summary"}, $B6))) &gt; 0,$B6 &amp; " (" &amp; $E6 &amp; ")",IF(SUMPRODUCT(-- ISNUMBER(SEARCH({"Content","Currency","Number","Percent","Text","URL"}, $B6))) &gt; 0,$B6 &amp; "(" &amp; $C6 &amp; ")",$B6)))), "  ", TRIM(IF($S6 = "YES", "(External ID)", "") &amp; " " &amp; IF(SUMPRODUCT(-- ISNUMBER(SEARCH({"Unique","Unique Case Insensitive"}, $R6))) &gt; 0, "(" &amp; $R6 &amp; ")", ""))))</f>
        <v>Checkbox</v>
      </c>
      <c r="E6" s="7" t="s">
        <v>195</v>
      </c>
      <c r="F6" s="7" t="s">
        <v>858</v>
      </c>
      <c r="G6" s="7" t="s">
        <v>195</v>
      </c>
      <c r="H6" s="7" t="s">
        <v>195</v>
      </c>
      <c r="I6" s="7" t="s">
        <v>195</v>
      </c>
      <c r="J6" s="7" t="s">
        <v>195</v>
      </c>
      <c r="K6" s="7" t="s">
        <v>195</v>
      </c>
      <c r="L6" s="7" t="s">
        <v>195</v>
      </c>
      <c r="M6" s="7" t="s">
        <v>28</v>
      </c>
      <c r="N6" s="7" t="s">
        <v>29</v>
      </c>
      <c r="O6" s="7" t="s">
        <v>29</v>
      </c>
      <c r="P6" s="7" t="s">
        <v>29</v>
      </c>
      <c r="Q6" s="7" t="s">
        <v>29</v>
      </c>
      <c r="R6" s="7" t="s">
        <v>29</v>
      </c>
      <c r="S6" s="7" t="s">
        <v>29</v>
      </c>
    </row>
    <row r="7" spans="1:19">
      <c r="A7" s="7" t="s">
        <v>855</v>
      </c>
      <c r="B7" s="7" t="s">
        <v>1204</v>
      </c>
      <c r="C7" s="8">
        <v>0</v>
      </c>
      <c r="D7" s="6" t="str">
        <f>LRTRIM(CONCATENATE(IF(SUMPRODUCT(-- ISNUMBER(SEARCH({"Auto Number"}, $B7))) &gt; 0, $B7, IF(SUMPRODUCT(-- ISNUMBER(SEARCH({"Lookup","Master-Detail"}, $B7))) &gt; 0,$B7 &amp; "(" &amp; $E7 &amp; ")",IF(SUMPRODUCT(-- ISNUMBER(SEARCH({"Formula","Roll-Up Summary"}, $B7))) &gt; 0,$B7 &amp; " (" &amp; $E7 &amp; ")",IF(SUMPRODUCT(-- ISNUMBER(SEARCH({"Content","Currency","Number","Percent","Text","URL"}, $B7))) &gt; 0,$B7 &amp; "(" &amp; $C7 &amp; ")",$B7)))), "  ", TRIM(IF($S7 = "YES", "(External ID)", "") &amp; " " &amp; IF(SUMPRODUCT(-- ISNUMBER(SEARCH({"Unique","Unique Case Insensitive"}, $R7))) &gt; 0, "(" &amp; $R7 &amp; ")", ""))))</f>
        <v>Checkbox</v>
      </c>
      <c r="E7" s="7" t="s">
        <v>195</v>
      </c>
      <c r="F7" s="7" t="s">
        <v>859</v>
      </c>
      <c r="G7" s="7" t="s">
        <v>195</v>
      </c>
      <c r="H7" s="7" t="s">
        <v>195</v>
      </c>
      <c r="I7" s="7" t="s">
        <v>195</v>
      </c>
      <c r="J7" s="7" t="s">
        <v>195</v>
      </c>
      <c r="K7" s="7" t="s">
        <v>195</v>
      </c>
      <c r="L7" s="7" t="s">
        <v>195</v>
      </c>
      <c r="M7" s="7" t="s">
        <v>28</v>
      </c>
      <c r="N7" s="7" t="s">
        <v>29</v>
      </c>
      <c r="O7" s="7" t="s">
        <v>29</v>
      </c>
      <c r="P7" s="7" t="s">
        <v>29</v>
      </c>
      <c r="Q7" s="7" t="s">
        <v>29</v>
      </c>
      <c r="R7" s="7" t="s">
        <v>29</v>
      </c>
      <c r="S7" s="7" t="s">
        <v>29</v>
      </c>
    </row>
    <row r="8" spans="1:19">
      <c r="A8" s="7" t="s">
        <v>34</v>
      </c>
      <c r="B8" s="7" t="s">
        <v>1204</v>
      </c>
      <c r="C8" s="8">
        <v>0</v>
      </c>
      <c r="D8" s="6" t="str">
        <f>LRTRIM(CONCATENATE(IF(SUMPRODUCT(-- ISNUMBER(SEARCH({"Auto Number"}, $B8))) &gt; 0, $B8, IF(SUMPRODUCT(-- ISNUMBER(SEARCH({"Lookup","Master-Detail"}, $B8))) &gt; 0,$B8 &amp; "(" &amp; $E8 &amp; ")",IF(SUMPRODUCT(-- ISNUMBER(SEARCH({"Formula","Roll-Up Summary"}, $B8))) &gt; 0,$B8 &amp; " (" &amp; $E8 &amp; ")",IF(SUMPRODUCT(-- ISNUMBER(SEARCH({"Content","Currency","Number","Percent","Text","URL"}, $B8))) &gt; 0,$B8 &amp; "(" &amp; $C8 &amp; ")",$B8)))), "  ", TRIM(IF($S8 = "YES", "(External ID)", "") &amp; " " &amp; IF(SUMPRODUCT(-- ISNUMBER(SEARCH({"Unique","Unique Case Insensitive"}, $R8))) &gt; 0, "(" &amp; $R8 &amp; ")", ""))))</f>
        <v>Checkbox</v>
      </c>
      <c r="E8" s="7" t="s">
        <v>195</v>
      </c>
      <c r="F8" s="7" t="s">
        <v>821</v>
      </c>
      <c r="G8" s="7" t="s">
        <v>195</v>
      </c>
      <c r="H8" s="7" t="s">
        <v>195</v>
      </c>
      <c r="I8" s="7" t="s">
        <v>195</v>
      </c>
      <c r="J8" s="7" t="s">
        <v>195</v>
      </c>
      <c r="K8" s="7" t="s">
        <v>195</v>
      </c>
      <c r="L8" s="7" t="s">
        <v>195</v>
      </c>
      <c r="M8" s="7" t="s">
        <v>28</v>
      </c>
      <c r="N8" s="7" t="s">
        <v>29</v>
      </c>
      <c r="O8" s="7" t="s">
        <v>29</v>
      </c>
      <c r="P8" s="7" t="s">
        <v>29</v>
      </c>
      <c r="Q8" s="7" t="s">
        <v>29</v>
      </c>
      <c r="R8" s="7" t="s">
        <v>29</v>
      </c>
      <c r="S8" s="7" t="s">
        <v>29</v>
      </c>
    </row>
    <row r="9" spans="1:19">
      <c r="A9" s="7" t="s">
        <v>856</v>
      </c>
      <c r="B9" s="7" t="s">
        <v>1204</v>
      </c>
      <c r="C9" s="8">
        <v>0</v>
      </c>
      <c r="D9" s="6" t="str">
        <f>LRTRIM(CONCATENATE(IF(SUMPRODUCT(-- ISNUMBER(SEARCH({"Auto Number"}, $B9))) &gt; 0, $B9, IF(SUMPRODUCT(-- ISNUMBER(SEARCH({"Lookup","Master-Detail"}, $B9))) &gt; 0,$B9 &amp; "(" &amp; $E9 &amp; ")",IF(SUMPRODUCT(-- ISNUMBER(SEARCH({"Formula","Roll-Up Summary"}, $B9))) &gt; 0,$B9 &amp; " (" &amp; $E9 &amp; ")",IF(SUMPRODUCT(-- ISNUMBER(SEARCH({"Content","Currency","Number","Percent","Text","URL"}, $B9))) &gt; 0,$B9 &amp; "(" &amp; $C9 &amp; ")",$B9)))), "  ", TRIM(IF($S9 = "YES", "(External ID)", "") &amp; " " &amp; IF(SUMPRODUCT(-- ISNUMBER(SEARCH({"Unique","Unique Case Insensitive"}, $R9))) &gt; 0, "(" &amp; $R9 &amp; ")", ""))))</f>
        <v>Checkbox</v>
      </c>
      <c r="E9" s="7" t="s">
        <v>195</v>
      </c>
      <c r="F9" s="7" t="s">
        <v>860</v>
      </c>
      <c r="G9" s="7" t="s">
        <v>195</v>
      </c>
      <c r="H9" s="7" t="s">
        <v>195</v>
      </c>
      <c r="I9" s="7" t="s">
        <v>195</v>
      </c>
      <c r="J9" s="7" t="s">
        <v>195</v>
      </c>
      <c r="K9" s="7" t="s">
        <v>195</v>
      </c>
      <c r="L9" s="7" t="s">
        <v>195</v>
      </c>
      <c r="M9" s="7" t="s">
        <v>28</v>
      </c>
      <c r="N9" s="7" t="s">
        <v>29</v>
      </c>
      <c r="O9" s="7" t="s">
        <v>29</v>
      </c>
      <c r="P9" s="7" t="s">
        <v>29</v>
      </c>
      <c r="Q9" s="7" t="s">
        <v>29</v>
      </c>
      <c r="R9" s="7" t="s">
        <v>29</v>
      </c>
      <c r="S9" s="7" t="s">
        <v>29</v>
      </c>
    </row>
    <row r="10" spans="1:19">
      <c r="A10" s="7" t="s">
        <v>14</v>
      </c>
      <c r="B10" s="7" t="s">
        <v>1204</v>
      </c>
      <c r="C10" s="8">
        <v>0</v>
      </c>
      <c r="D10" s="6" t="str">
        <f>LRTRIM(CONCATENATE(IF(SUMPRODUCT(-- ISNUMBER(SEARCH({"Auto Number"}, $B10))) &gt; 0, $B10, IF(SUMPRODUCT(-- ISNUMBER(SEARCH({"Lookup","Master-Detail"}, $B10))) &gt; 0,$B10 &amp; "(" &amp; $E10 &amp; ")",IF(SUMPRODUCT(-- ISNUMBER(SEARCH({"Formula","Roll-Up Summary"}, $B10))) &gt; 0,$B10 &amp; " (" &amp; $E10 &amp; ")",IF(SUMPRODUCT(-- ISNUMBER(SEARCH({"Content","Currency","Number","Percent","Text","URL"}, $B10))) &gt; 0,$B10 &amp; "(" &amp; $C10 &amp; ")",$B10)))), "  ", TRIM(IF($S10 = "YES", "(External ID)", "") &amp; " " &amp; IF(SUMPRODUCT(-- ISNUMBER(SEARCH({"Unique","Unique Case Insensitive"}, $R10))) &gt; 0, "(" &amp; $R10 &amp; ")", ""))))</f>
        <v>Checkbox</v>
      </c>
      <c r="E10" s="7" t="s">
        <v>195</v>
      </c>
      <c r="F10" s="7" t="s">
        <v>25</v>
      </c>
      <c r="G10" s="7" t="s">
        <v>195</v>
      </c>
      <c r="H10" s="7" t="s">
        <v>195</v>
      </c>
      <c r="I10" s="7" t="s">
        <v>195</v>
      </c>
      <c r="J10" s="7" t="s">
        <v>195</v>
      </c>
      <c r="K10" s="7" t="s">
        <v>195</v>
      </c>
      <c r="L10" s="7" t="s">
        <v>195</v>
      </c>
      <c r="M10" s="7" t="s">
        <v>28</v>
      </c>
      <c r="N10" s="7" t="s">
        <v>29</v>
      </c>
      <c r="O10" s="7" t="s">
        <v>29</v>
      </c>
      <c r="P10" s="7" t="s">
        <v>29</v>
      </c>
      <c r="Q10" s="7" t="s">
        <v>29</v>
      </c>
      <c r="R10" s="7" t="s">
        <v>29</v>
      </c>
      <c r="S10" s="7" t="s">
        <v>29</v>
      </c>
    </row>
    <row r="11" spans="1:19">
      <c r="A11" s="7" t="s">
        <v>2</v>
      </c>
      <c r="B11" s="7" t="s">
        <v>1218</v>
      </c>
      <c r="C11" s="8">
        <v>255</v>
      </c>
      <c r="D11" s="6" t="str">
        <f>LRTRIM(CONCATENATE(IF(SUMPRODUCT(-- ISNUMBER(SEARCH({"Auto Number"}, $B11))) &gt; 0, $B11, IF(SUMPRODUCT(-- ISNUMBER(SEARCH({"Lookup","Master-Detail"}, $B11))) &gt; 0,$B11 &amp; "(" &amp; $E11 &amp; ")",IF(SUMPRODUCT(-- ISNUMBER(SEARCH({"Formula","Roll-Up Summary"}, $B11))) &gt; 0,$B11 &amp; " (" &amp; $E11 &amp; ")",IF(SUMPRODUCT(-- ISNUMBER(SEARCH({"Content","Currency","Number","Percent","Text","URL"}, $B11))) &gt; 0,$B11 &amp; "(" &amp; $C11 &amp; ")",$B11)))), "  ", TRIM(IF($S11 = "YES", "(External ID)", "") &amp; " " &amp; IF(SUMPRODUCT(-- ISNUMBER(SEARCH({"Unique","Unique Case Insensitive"}, $R11))) &gt; 0, "(" &amp; $R11 &amp; ")", ""))))</f>
        <v>Text(255)</v>
      </c>
      <c r="E11" s="7" t="s">
        <v>195</v>
      </c>
      <c r="F11" s="7" t="s">
        <v>861</v>
      </c>
      <c r="G11" s="7" t="s">
        <v>195</v>
      </c>
      <c r="H11" s="7" t="s">
        <v>195</v>
      </c>
      <c r="I11" s="7" t="s">
        <v>195</v>
      </c>
      <c r="J11" s="7" t="s">
        <v>195</v>
      </c>
      <c r="K11" s="7" t="s">
        <v>195</v>
      </c>
      <c r="L11" s="7" t="s">
        <v>195</v>
      </c>
      <c r="M11" s="7" t="s">
        <v>28</v>
      </c>
      <c r="N11" s="7" t="s">
        <v>29</v>
      </c>
      <c r="O11" s="7" t="s">
        <v>29</v>
      </c>
      <c r="P11" s="7" t="s">
        <v>29</v>
      </c>
      <c r="Q11" s="7" t="s">
        <v>29</v>
      </c>
      <c r="R11" s="7" t="s">
        <v>29</v>
      </c>
      <c r="S11" s="7" t="s">
        <v>29</v>
      </c>
    </row>
    <row r="12" spans="1:19">
      <c r="A12" s="7" t="s">
        <v>857</v>
      </c>
      <c r="B12" s="7" t="s">
        <v>1213</v>
      </c>
      <c r="C12" s="8" t="s">
        <v>1250</v>
      </c>
      <c r="D12" s="6" t="str">
        <f>LRTRIM(CONCATENATE(IF(SUMPRODUCT(-- ISNUMBER(SEARCH({"Auto Number"}, $B12))) &gt; 0, $B12, IF(SUMPRODUCT(-- ISNUMBER(SEARCH({"Lookup","Master-Detail"}, $B12))) &gt; 0,$B12 &amp; "(" &amp; $E12 &amp; ")",IF(SUMPRODUCT(-- ISNUMBER(SEARCH({"Formula","Roll-Up Summary"}, $B12))) &gt; 0,$B12 &amp; " (" &amp; $E12 &amp; ")",IF(SUMPRODUCT(-- ISNUMBER(SEARCH({"Content","Currency","Number","Percent","Text","URL"}, $B12))) &gt; 0,$B12 &amp; "(" &amp; $C12 &amp; ")",$B12)))), "  ", TRIM(IF($S12 = "YES", "(External ID)", "") &amp; " " &amp; IF(SUMPRODUCT(-- ISNUMBER(SEARCH({"Unique","Unique Case Insensitive"}, $R12))) &gt; 0, "(" &amp; $R12 &amp; ")", ""))))</f>
        <v>Number(18, 0)</v>
      </c>
      <c r="E12" s="7" t="s">
        <v>195</v>
      </c>
      <c r="F12" s="7" t="s">
        <v>862</v>
      </c>
      <c r="G12" s="7" t="s">
        <v>195</v>
      </c>
      <c r="H12" s="7" t="s">
        <v>195</v>
      </c>
      <c r="I12" s="7" t="s">
        <v>195</v>
      </c>
      <c r="J12" s="7" t="s">
        <v>195</v>
      </c>
      <c r="K12" s="7" t="s">
        <v>195</v>
      </c>
      <c r="L12" s="7" t="s">
        <v>195</v>
      </c>
      <c r="M12" s="7" t="s">
        <v>29</v>
      </c>
      <c r="N12" s="7" t="s">
        <v>29</v>
      </c>
      <c r="O12" s="7" t="s">
        <v>29</v>
      </c>
      <c r="P12" s="7" t="s">
        <v>29</v>
      </c>
      <c r="Q12" s="7" t="s">
        <v>29</v>
      </c>
      <c r="R12" s="7" t="s">
        <v>29</v>
      </c>
      <c r="S12" s="7" t="s">
        <v>29</v>
      </c>
    </row>
    <row r="13" spans="1:19">
      <c r="A13" s="7" t="s">
        <v>35</v>
      </c>
      <c r="B13" s="7" t="s">
        <v>195</v>
      </c>
      <c r="C13" s="8" t="s">
        <v>195</v>
      </c>
      <c r="D13" s="6" t="str">
        <f>LRTRIM(CONCATENATE(IF(SUMPRODUCT(-- ISNUMBER(SEARCH({"Auto Number"}, $B13))) &gt; 0, $B13, IF(SUMPRODUCT(-- ISNUMBER(SEARCH({"Lookup","Master-Detail"}, $B13))) &gt; 0,$B13 &amp; "(" &amp; $E13 &amp; ")",IF(SUMPRODUCT(-- ISNUMBER(SEARCH({"Formula","Roll-Up Summary"}, $B13))) &gt; 0,$B13 &amp; " (" &amp; $E13 &amp; ")",IF(SUMPRODUCT(-- ISNUMBER(SEARCH({"Content","Currency","Number","Percent","Text","URL"}, $B13))) &gt; 0,$B13 &amp; "(" &amp; $C13 &amp; ")",$B13)))), "  ", TRIM(IF($S13 = "YES", "(External ID)", "") &amp; " " &amp; IF(SUMPRODUCT(-- ISNUMBER(SEARCH({"Unique","Unique Case Insensitive"}, $R13))) &gt; 0, "(" &amp; $R13 &amp; ")", ""))))</f>
        <v>na</v>
      </c>
      <c r="E13" s="7" t="s">
        <v>195</v>
      </c>
      <c r="F13" s="7" t="s">
        <v>195</v>
      </c>
      <c r="G13" s="7" t="s">
        <v>195</v>
      </c>
      <c r="H13" s="7" t="s">
        <v>195</v>
      </c>
      <c r="I13" s="7" t="s">
        <v>195</v>
      </c>
      <c r="J13" s="7" t="s">
        <v>195</v>
      </c>
      <c r="K13" s="7" t="s">
        <v>195</v>
      </c>
      <c r="L13" s="7" t="s">
        <v>195</v>
      </c>
      <c r="M13" s="7" t="s">
        <v>28</v>
      </c>
      <c r="N13" s="7" t="s">
        <v>29</v>
      </c>
      <c r="O13" s="7" t="s">
        <v>29</v>
      </c>
      <c r="P13" s="7" t="s">
        <v>29</v>
      </c>
      <c r="Q13" s="7" t="s">
        <v>29</v>
      </c>
      <c r="R13" s="7" t="s">
        <v>29</v>
      </c>
      <c r="S13" s="7" t="s">
        <v>29</v>
      </c>
    </row>
    <row r="14" spans="1:19">
      <c r="A14" s="7" t="s">
        <v>36</v>
      </c>
      <c r="B14" s="7" t="s">
        <v>195</v>
      </c>
      <c r="C14" s="8" t="s">
        <v>195</v>
      </c>
      <c r="D14" s="6" t="str">
        <f>LRTRIM(CONCATENATE(IF(SUMPRODUCT(-- ISNUMBER(SEARCH({"Auto Number"}, $B14))) &gt; 0, $B14, IF(SUMPRODUCT(-- ISNUMBER(SEARCH({"Lookup","Master-Detail"}, $B14))) &gt; 0,$B14 &amp; "(" &amp; $E14 &amp; ")",IF(SUMPRODUCT(-- ISNUMBER(SEARCH({"Formula","Roll-Up Summary"}, $B14))) &gt; 0,$B14 &amp; " (" &amp; $E14 &amp; ")",IF(SUMPRODUCT(-- ISNUMBER(SEARCH({"Content","Currency","Number","Percent","Text","URL"}, $B14))) &gt; 0,$B14 &amp; "(" &amp; $C14 &amp; ")",$B14)))), "  ", TRIM(IF($S14 = "YES", "(External ID)", "") &amp; " " &amp; IF(SUMPRODUCT(-- ISNUMBER(SEARCH({"Unique","Unique Case Insensitive"}, $R14))) &gt; 0, "(" &amp; $R14 &amp; ")", ""))))</f>
        <v>na</v>
      </c>
      <c r="E14" s="7" t="s">
        <v>195</v>
      </c>
      <c r="F14" s="7" t="s">
        <v>195</v>
      </c>
      <c r="G14" s="7" t="s">
        <v>195</v>
      </c>
      <c r="H14" s="7" t="s">
        <v>195</v>
      </c>
      <c r="I14" s="7" t="s">
        <v>195</v>
      </c>
      <c r="J14" s="7" t="s">
        <v>195</v>
      </c>
      <c r="K14" s="7" t="s">
        <v>195</v>
      </c>
      <c r="L14" s="7" t="s">
        <v>195</v>
      </c>
      <c r="M14" s="7" t="s">
        <v>28</v>
      </c>
      <c r="N14" s="7" t="s">
        <v>29</v>
      </c>
      <c r="O14" s="7" t="s">
        <v>29</v>
      </c>
      <c r="P14" s="7" t="s">
        <v>29</v>
      </c>
      <c r="Q14" s="7" t="s">
        <v>29</v>
      </c>
      <c r="R14" s="7" t="s">
        <v>29</v>
      </c>
      <c r="S14" s="7" t="s">
        <v>29</v>
      </c>
    </row>
    <row r="15" spans="1:19">
      <c r="A15" s="7" t="s">
        <v>37</v>
      </c>
      <c r="B15" s="7" t="s">
        <v>195</v>
      </c>
      <c r="C15" s="8" t="s">
        <v>195</v>
      </c>
      <c r="D15" s="6" t="str">
        <f>LRTRIM(CONCATENATE(IF(SUMPRODUCT(-- ISNUMBER(SEARCH({"Auto Number"}, $B15))) &gt; 0, $B15, IF(SUMPRODUCT(-- ISNUMBER(SEARCH({"Lookup","Master-Detail"}, $B15))) &gt; 0,$B15 &amp; "(" &amp; $E15 &amp; ")",IF(SUMPRODUCT(-- ISNUMBER(SEARCH({"Formula","Roll-Up Summary"}, $B15))) &gt; 0,$B15 &amp; " (" &amp; $E15 &amp; ")",IF(SUMPRODUCT(-- ISNUMBER(SEARCH({"Content","Currency","Number","Percent","Text","URL"}, $B15))) &gt; 0,$B15 &amp; "(" &amp; $C15 &amp; ")",$B15)))), "  ", TRIM(IF($S15 = "YES", "(External ID)", "") &amp; " " &amp; IF(SUMPRODUCT(-- ISNUMBER(SEARCH({"Unique","Unique Case Insensitive"}, $R15))) &gt; 0, "(" &amp; $R15 &amp; ")", ""))))</f>
        <v>na</v>
      </c>
      <c r="E15" s="7" t="s">
        <v>195</v>
      </c>
      <c r="F15" s="7" t="s">
        <v>195</v>
      </c>
      <c r="G15" s="7" t="s">
        <v>195</v>
      </c>
      <c r="H15" s="7" t="s">
        <v>195</v>
      </c>
      <c r="I15" s="7" t="s">
        <v>195</v>
      </c>
      <c r="J15" s="7" t="s">
        <v>195</v>
      </c>
      <c r="K15" s="7" t="s">
        <v>195</v>
      </c>
      <c r="L15" s="7" t="s">
        <v>195</v>
      </c>
      <c r="M15" s="7" t="s">
        <v>28</v>
      </c>
      <c r="N15" s="7" t="s">
        <v>29</v>
      </c>
      <c r="O15" s="7" t="s">
        <v>29</v>
      </c>
      <c r="P15" s="7" t="s">
        <v>29</v>
      </c>
      <c r="Q15" s="7" t="s">
        <v>29</v>
      </c>
      <c r="R15" s="7" t="s">
        <v>29</v>
      </c>
      <c r="S15" s="7" t="s">
        <v>29</v>
      </c>
    </row>
    <row r="16" spans="1:19">
      <c r="A16" s="7" t="s">
        <v>38</v>
      </c>
      <c r="B16" s="7" t="s">
        <v>195</v>
      </c>
      <c r="C16" s="8" t="s">
        <v>195</v>
      </c>
      <c r="D16" s="6" t="str">
        <f>LRTRIM(CONCATENATE(IF(SUMPRODUCT(-- ISNUMBER(SEARCH({"Auto Number"}, $B16))) &gt; 0, $B16, IF(SUMPRODUCT(-- ISNUMBER(SEARCH({"Lookup","Master-Detail"}, $B16))) &gt; 0,$B16 &amp; "(" &amp; $E16 &amp; ")",IF(SUMPRODUCT(-- ISNUMBER(SEARCH({"Formula","Roll-Up Summary"}, $B16))) &gt; 0,$B16 &amp; " (" &amp; $E16 &amp; ")",IF(SUMPRODUCT(-- ISNUMBER(SEARCH({"Content","Currency","Number","Percent","Text","URL"}, $B16))) &gt; 0,$B16 &amp; "(" &amp; $C16 &amp; ")",$B16)))), "  ", TRIM(IF($S16 = "YES", "(External ID)", "") &amp; " " &amp; IF(SUMPRODUCT(-- ISNUMBER(SEARCH({"Unique","Unique Case Insensitive"}, $R16))) &gt; 0, "(" &amp; $R16 &amp; ")", ""))))</f>
        <v>na</v>
      </c>
      <c r="E16" s="7" t="s">
        <v>195</v>
      </c>
      <c r="F16" s="7" t="s">
        <v>195</v>
      </c>
      <c r="G16" s="7" t="s">
        <v>195</v>
      </c>
      <c r="H16" s="7" t="s">
        <v>195</v>
      </c>
      <c r="I16" s="7" t="s">
        <v>195</v>
      </c>
      <c r="J16" s="7" t="s">
        <v>195</v>
      </c>
      <c r="K16" s="7" t="s">
        <v>195</v>
      </c>
      <c r="L16" s="7" t="s">
        <v>195</v>
      </c>
      <c r="M16" s="7" t="s">
        <v>28</v>
      </c>
      <c r="N16" s="7" t="s">
        <v>29</v>
      </c>
      <c r="O16" s="7" t="s">
        <v>29</v>
      </c>
      <c r="P16" s="7" t="s">
        <v>29</v>
      </c>
      <c r="Q16" s="7" t="s">
        <v>29</v>
      </c>
      <c r="R16" s="7" t="s">
        <v>29</v>
      </c>
      <c r="S16" s="7" t="s">
        <v>29</v>
      </c>
    </row>
    <row r="17" spans="1:19">
      <c r="A17" s="7" t="s">
        <v>39</v>
      </c>
      <c r="B17" s="7" t="s">
        <v>195</v>
      </c>
      <c r="C17" s="8" t="s">
        <v>195</v>
      </c>
      <c r="D17" s="6" t="str">
        <f>LRTRIM(CONCATENATE(IF(SUMPRODUCT(-- ISNUMBER(SEARCH({"Auto Number"}, $B17))) &gt; 0, $B17, IF(SUMPRODUCT(-- ISNUMBER(SEARCH({"Lookup","Master-Detail"}, $B17))) &gt; 0,$B17 &amp; "(" &amp; $E17 &amp; ")",IF(SUMPRODUCT(-- ISNUMBER(SEARCH({"Formula","Roll-Up Summary"}, $B17))) &gt; 0,$B17 &amp; " (" &amp; $E17 &amp; ")",IF(SUMPRODUCT(-- ISNUMBER(SEARCH({"Content","Currency","Number","Percent","Text","URL"}, $B17))) &gt; 0,$B17 &amp; "(" &amp; $C17 &amp; ")",$B17)))), "  ", TRIM(IF($S17 = "YES", "(External ID)", "") &amp; " " &amp; IF(SUMPRODUCT(-- ISNUMBER(SEARCH({"Unique","Unique Case Insensitive"}, $R17))) &gt; 0, "(" &amp; $R17 &amp; ")", ""))))</f>
        <v>na</v>
      </c>
      <c r="E17" s="7" t="s">
        <v>195</v>
      </c>
      <c r="F17" s="7" t="s">
        <v>195</v>
      </c>
      <c r="G17" s="7" t="s">
        <v>195</v>
      </c>
      <c r="H17" s="7" t="s">
        <v>195</v>
      </c>
      <c r="I17" s="7" t="s">
        <v>195</v>
      </c>
      <c r="J17" s="7" t="s">
        <v>195</v>
      </c>
      <c r="K17" s="7" t="s">
        <v>195</v>
      </c>
      <c r="L17" s="7" t="s">
        <v>195</v>
      </c>
      <c r="M17" s="7" t="s">
        <v>28</v>
      </c>
      <c r="N17" s="7" t="s">
        <v>29</v>
      </c>
      <c r="O17" s="7" t="s">
        <v>29</v>
      </c>
      <c r="P17" s="7" t="s">
        <v>29</v>
      </c>
      <c r="Q17" s="7" t="s">
        <v>29</v>
      </c>
      <c r="R17" s="7" t="s">
        <v>29</v>
      </c>
      <c r="S17" s="7" t="s">
        <v>29</v>
      </c>
    </row>
    <row r="18" spans="1:19">
      <c r="B18" s="7" t="s">
        <v>195</v>
      </c>
      <c r="C18" s="8" t="s">
        <v>195</v>
      </c>
      <c r="D18" s="6" t="str">
        <f>LRTRIM(CONCATENATE(IF(SUMPRODUCT(-- ISNUMBER(SEARCH({"Auto Number"}, $B18))) &gt; 0, $B18, IF(SUMPRODUCT(-- ISNUMBER(SEARCH({"Lookup","Master-Detail"}, $B18))) &gt; 0,$B18 &amp; "(" &amp; $E18 &amp; ")",IF(SUMPRODUCT(-- ISNUMBER(SEARCH({"Formula","Roll-Up Summary"}, $B18))) &gt; 0,$B18 &amp; " (" &amp; $E18 &amp; ")",IF(SUMPRODUCT(-- ISNUMBER(SEARCH({"Content","Currency","Number","Percent","Text","URL"}, $B18))) &gt; 0,$B18 &amp; "(" &amp; $C18 &amp; ")",$B18)))), "  ", TRIM(IF($S18 = "YES", "(External ID)", "") &amp; " " &amp; IF(SUMPRODUCT(-- ISNUMBER(SEARCH({"Unique","Unique Case Insensitive"}, $R18))) &gt; 0, "(" &amp; $R18 &amp; ")", ""))))</f>
        <v>na</v>
      </c>
      <c r="E18" s="7" t="s">
        <v>195</v>
      </c>
      <c r="F18" s="7" t="s">
        <v>195</v>
      </c>
      <c r="G18" s="7" t="s">
        <v>195</v>
      </c>
      <c r="H18" s="7" t="s">
        <v>195</v>
      </c>
      <c r="I18" s="7" t="s">
        <v>195</v>
      </c>
      <c r="J18" s="7" t="s">
        <v>195</v>
      </c>
      <c r="K18" s="7" t="s">
        <v>195</v>
      </c>
      <c r="L18" s="7" t="s">
        <v>195</v>
      </c>
      <c r="M18" s="7" t="s">
        <v>29</v>
      </c>
      <c r="N18" s="7" t="s">
        <v>29</v>
      </c>
      <c r="O18" s="7" t="s">
        <v>29</v>
      </c>
      <c r="P18" s="7" t="s">
        <v>29</v>
      </c>
      <c r="Q18" s="7" t="s">
        <v>29</v>
      </c>
      <c r="R18" s="7" t="s">
        <v>29</v>
      </c>
      <c r="S18" s="7" t="s">
        <v>29</v>
      </c>
    </row>
    <row r="19" spans="1:19">
      <c r="B19" s="7" t="s">
        <v>195</v>
      </c>
      <c r="C19" s="8" t="s">
        <v>195</v>
      </c>
      <c r="D19" s="6" t="str">
        <f>LRTRIM(CONCATENATE(IF(SUMPRODUCT(-- ISNUMBER(SEARCH({"Auto Number"}, $B19))) &gt; 0, $B19, IF(SUMPRODUCT(-- ISNUMBER(SEARCH({"Lookup","Master-Detail"}, $B19))) &gt; 0,$B19 &amp; "(" &amp; $E19 &amp; ")",IF(SUMPRODUCT(-- ISNUMBER(SEARCH({"Formula","Roll-Up Summary"}, $B19))) &gt; 0,$B19 &amp; " (" &amp; $E19 &amp; ")",IF(SUMPRODUCT(-- ISNUMBER(SEARCH({"Content","Currency","Number","Percent","Text","URL"}, $B19))) &gt; 0,$B19 &amp; "(" &amp; $C19 &amp; ")",$B19)))), "  ", TRIM(IF($S19 = "YES", "(External ID)", "") &amp; " " &amp; IF(SUMPRODUCT(-- ISNUMBER(SEARCH({"Unique","Unique Case Insensitive"}, $R19))) &gt; 0, "(" &amp; $R19 &amp; ")", ""))))</f>
        <v>na</v>
      </c>
      <c r="E19" s="7" t="s">
        <v>195</v>
      </c>
      <c r="F19" s="7" t="s">
        <v>195</v>
      </c>
      <c r="G19" s="7" t="s">
        <v>195</v>
      </c>
      <c r="H19" s="7" t="s">
        <v>195</v>
      </c>
      <c r="I19" s="7" t="s">
        <v>195</v>
      </c>
      <c r="J19" s="7" t="s">
        <v>195</v>
      </c>
      <c r="K19" s="7" t="s">
        <v>195</v>
      </c>
      <c r="L19" s="7" t="s">
        <v>195</v>
      </c>
      <c r="M19" s="7" t="s">
        <v>29</v>
      </c>
      <c r="N19" s="7" t="s">
        <v>29</v>
      </c>
      <c r="O19" s="7" t="s">
        <v>29</v>
      </c>
      <c r="P19" s="7" t="s">
        <v>29</v>
      </c>
      <c r="Q19" s="7" t="s">
        <v>29</v>
      </c>
      <c r="R19" s="7" t="s">
        <v>29</v>
      </c>
      <c r="S19" s="7" t="s">
        <v>29</v>
      </c>
    </row>
    <row r="20" spans="1:19">
      <c r="B20" s="7" t="s">
        <v>195</v>
      </c>
      <c r="C20" s="8" t="s">
        <v>195</v>
      </c>
      <c r="D20" s="6" t="str">
        <f>LRTRIM(CONCATENATE(IF(SUMPRODUCT(-- ISNUMBER(SEARCH({"Auto Number"}, $B20))) &gt; 0, $B20, IF(SUMPRODUCT(-- ISNUMBER(SEARCH({"Lookup","Master-Detail"}, $B20))) &gt; 0,$B20 &amp; "(" &amp; $E20 &amp; ")",IF(SUMPRODUCT(-- ISNUMBER(SEARCH({"Formula","Roll-Up Summary"}, $B20))) &gt; 0,$B20 &amp; " (" &amp; $E20 &amp; ")",IF(SUMPRODUCT(-- ISNUMBER(SEARCH({"Content","Currency","Number","Percent","Text","URL"}, $B20))) &gt; 0,$B20 &amp; "(" &amp; $C20 &amp; ")",$B20)))), "  ", TRIM(IF($S20 = "YES", "(External ID)", "") &amp; " " &amp; IF(SUMPRODUCT(-- ISNUMBER(SEARCH({"Unique","Unique Case Insensitive"}, $R20))) &gt; 0, "(" &amp; $R20 &amp; ")", ""))))</f>
        <v>na</v>
      </c>
      <c r="E20" s="7" t="s">
        <v>195</v>
      </c>
      <c r="F20" s="7" t="s">
        <v>195</v>
      </c>
      <c r="G20" s="7" t="s">
        <v>195</v>
      </c>
      <c r="H20" s="7" t="s">
        <v>195</v>
      </c>
      <c r="I20" s="7" t="s">
        <v>195</v>
      </c>
      <c r="J20" s="7" t="s">
        <v>195</v>
      </c>
      <c r="K20" s="7" t="s">
        <v>195</v>
      </c>
      <c r="L20" s="7" t="s">
        <v>195</v>
      </c>
      <c r="M20" s="7" t="s">
        <v>29</v>
      </c>
      <c r="N20" s="7" t="s">
        <v>29</v>
      </c>
      <c r="O20" s="7" t="s">
        <v>29</v>
      </c>
      <c r="P20" s="7" t="s">
        <v>29</v>
      </c>
      <c r="Q20" s="7" t="s">
        <v>29</v>
      </c>
      <c r="R20" s="7" t="s">
        <v>29</v>
      </c>
      <c r="S20" s="7" t="s">
        <v>29</v>
      </c>
    </row>
    <row r="21" spans="1:19">
      <c r="B21" s="7" t="s">
        <v>195</v>
      </c>
      <c r="C21" s="8" t="s">
        <v>195</v>
      </c>
      <c r="D21" s="6" t="str">
        <f>LRTRIM(CONCATENATE(IF(SUMPRODUCT(-- ISNUMBER(SEARCH({"Auto Number"}, $B21))) &gt; 0, $B21, IF(SUMPRODUCT(-- ISNUMBER(SEARCH({"Lookup","Master-Detail"}, $B21))) &gt; 0,$B21 &amp; "(" &amp; $E21 &amp; ")",IF(SUMPRODUCT(-- ISNUMBER(SEARCH({"Formula","Roll-Up Summary"}, $B21))) &gt; 0,$B21 &amp; " (" &amp; $E21 &amp; ")",IF(SUMPRODUCT(-- ISNUMBER(SEARCH({"Content","Currency","Number","Percent","Text","URL"}, $B21))) &gt; 0,$B21 &amp; "(" &amp; $C21 &amp; ")",$B21)))), "  ", TRIM(IF($S21 = "YES", "(External ID)", "") &amp; " " &amp; IF(SUMPRODUCT(-- ISNUMBER(SEARCH({"Unique","Unique Case Insensitive"}, $R21))) &gt; 0, "(" &amp; $R21 &amp; ")", ""))))</f>
        <v>na</v>
      </c>
      <c r="E21" s="7" t="s">
        <v>195</v>
      </c>
      <c r="F21" s="7" t="s">
        <v>195</v>
      </c>
      <c r="G21" s="7" t="s">
        <v>195</v>
      </c>
      <c r="H21" s="7" t="s">
        <v>195</v>
      </c>
      <c r="I21" s="7" t="s">
        <v>195</v>
      </c>
      <c r="J21" s="7" t="s">
        <v>195</v>
      </c>
      <c r="K21" s="7" t="s">
        <v>195</v>
      </c>
      <c r="L21" s="7" t="s">
        <v>195</v>
      </c>
      <c r="M21" s="7" t="s">
        <v>29</v>
      </c>
      <c r="N21" s="7" t="s">
        <v>29</v>
      </c>
      <c r="O21" s="7" t="s">
        <v>29</v>
      </c>
      <c r="P21" s="7" t="s">
        <v>29</v>
      </c>
      <c r="Q21" s="7" t="s">
        <v>29</v>
      </c>
      <c r="R21" s="7" t="s">
        <v>29</v>
      </c>
      <c r="S21" s="7" t="s">
        <v>29</v>
      </c>
    </row>
    <row r="22" spans="1:19">
      <c r="B22" s="7" t="s">
        <v>195</v>
      </c>
      <c r="C22" s="8" t="s">
        <v>195</v>
      </c>
      <c r="D22" s="6" t="str">
        <f>LRTRIM(CONCATENATE(IF(SUMPRODUCT(-- ISNUMBER(SEARCH({"Auto Number"}, $B22))) &gt; 0, $B22, IF(SUMPRODUCT(-- ISNUMBER(SEARCH({"Lookup","Master-Detail"}, $B22))) &gt; 0,$B22 &amp; "(" &amp; $E22 &amp; ")",IF(SUMPRODUCT(-- ISNUMBER(SEARCH({"Formula","Roll-Up Summary"}, $B22))) &gt; 0,$B22 &amp; " (" &amp; $E22 &amp; ")",IF(SUMPRODUCT(-- ISNUMBER(SEARCH({"Content","Currency","Number","Percent","Text","URL"}, $B22))) &gt; 0,$B22 &amp; "(" &amp; $C22 &amp; ")",$B22)))), "  ", TRIM(IF($S22 = "YES", "(External ID)", "") &amp; " " &amp; IF(SUMPRODUCT(-- ISNUMBER(SEARCH({"Unique","Unique Case Insensitive"}, $R22))) &gt; 0, "(" &amp; $R22 &amp; ")", ""))))</f>
        <v>na</v>
      </c>
      <c r="E22" s="7" t="s">
        <v>195</v>
      </c>
      <c r="F22" s="7" t="s">
        <v>195</v>
      </c>
      <c r="G22" s="7" t="s">
        <v>195</v>
      </c>
      <c r="H22" s="7" t="s">
        <v>195</v>
      </c>
      <c r="I22" s="7" t="s">
        <v>195</v>
      </c>
      <c r="J22" s="7" t="s">
        <v>195</v>
      </c>
      <c r="K22" s="7" t="s">
        <v>195</v>
      </c>
      <c r="L22" s="7" t="s">
        <v>195</v>
      </c>
      <c r="M22" s="7" t="s">
        <v>29</v>
      </c>
      <c r="N22" s="7" t="s">
        <v>29</v>
      </c>
      <c r="O22" s="7" t="s">
        <v>29</v>
      </c>
      <c r="P22" s="7" t="s">
        <v>29</v>
      </c>
      <c r="Q22" s="7" t="s">
        <v>29</v>
      </c>
      <c r="R22" s="7" t="s">
        <v>29</v>
      </c>
      <c r="S22" s="7" t="s">
        <v>29</v>
      </c>
    </row>
    <row r="23" spans="1:19">
      <c r="B23" s="7" t="s">
        <v>195</v>
      </c>
      <c r="C23" s="8" t="s">
        <v>195</v>
      </c>
      <c r="D23" s="6" t="str">
        <f>LRTRIM(CONCATENATE(IF(SUMPRODUCT(-- ISNUMBER(SEARCH({"Auto Number"}, $B23))) &gt; 0, $B23, IF(SUMPRODUCT(-- ISNUMBER(SEARCH({"Lookup","Master-Detail"}, $B23))) &gt; 0,$B23 &amp; "(" &amp; $E23 &amp; ")",IF(SUMPRODUCT(-- ISNUMBER(SEARCH({"Formula","Roll-Up Summary"}, $B23))) &gt; 0,$B23 &amp; " (" &amp; $E23 &amp; ")",IF(SUMPRODUCT(-- ISNUMBER(SEARCH({"Content","Currency","Number","Percent","Text","URL"}, $B23))) &gt; 0,$B23 &amp; "(" &amp; $C23 &amp; ")",$B23)))), "  ", TRIM(IF($S23 = "YES", "(External ID)", "") &amp; " " &amp; IF(SUMPRODUCT(-- ISNUMBER(SEARCH({"Unique","Unique Case Insensitive"}, $R23))) &gt; 0, "(" &amp; $R23 &amp; ")", ""))))</f>
        <v>na</v>
      </c>
      <c r="E23" s="7" t="s">
        <v>195</v>
      </c>
      <c r="F23" s="7" t="s">
        <v>195</v>
      </c>
      <c r="G23" s="7" t="s">
        <v>195</v>
      </c>
      <c r="H23" s="7" t="s">
        <v>195</v>
      </c>
      <c r="I23" s="7" t="s">
        <v>195</v>
      </c>
      <c r="J23" s="7" t="s">
        <v>195</v>
      </c>
      <c r="K23" s="7" t="s">
        <v>195</v>
      </c>
      <c r="L23" s="7" t="s">
        <v>195</v>
      </c>
      <c r="M23" s="7" t="s">
        <v>29</v>
      </c>
      <c r="N23" s="7" t="s">
        <v>29</v>
      </c>
      <c r="O23" s="7" t="s">
        <v>29</v>
      </c>
      <c r="P23" s="7" t="s">
        <v>29</v>
      </c>
      <c r="Q23" s="7" t="s">
        <v>29</v>
      </c>
      <c r="R23" s="7" t="s">
        <v>29</v>
      </c>
      <c r="S23" s="7" t="s">
        <v>29</v>
      </c>
    </row>
    <row r="24" spans="1:19">
      <c r="B24" s="7" t="s">
        <v>195</v>
      </c>
      <c r="C24" s="8" t="s">
        <v>195</v>
      </c>
      <c r="D24" s="6" t="str">
        <f>LRTRIM(CONCATENATE(IF(SUMPRODUCT(-- ISNUMBER(SEARCH({"Auto Number"}, $B24))) &gt; 0, $B24, IF(SUMPRODUCT(-- ISNUMBER(SEARCH({"Lookup","Master-Detail"}, $B24))) &gt; 0,$B24 &amp; "(" &amp; $E24 &amp; ")",IF(SUMPRODUCT(-- ISNUMBER(SEARCH({"Formula","Roll-Up Summary"}, $B24))) &gt; 0,$B24 &amp; " (" &amp; $E24 &amp; ")",IF(SUMPRODUCT(-- ISNUMBER(SEARCH({"Content","Currency","Number","Percent","Text","URL"}, $B24))) &gt; 0,$B24 &amp; "(" &amp; $C24 &amp; ")",$B24)))), "  ", TRIM(IF($S24 = "YES", "(External ID)", "") &amp; " " &amp; IF(SUMPRODUCT(-- ISNUMBER(SEARCH({"Unique","Unique Case Insensitive"}, $R24))) &gt; 0, "(" &amp; $R24 &amp; ")", ""))))</f>
        <v>na</v>
      </c>
      <c r="E24" s="7" t="s">
        <v>195</v>
      </c>
      <c r="F24" s="7" t="s">
        <v>195</v>
      </c>
      <c r="G24" s="7" t="s">
        <v>195</v>
      </c>
      <c r="H24" s="7" t="s">
        <v>195</v>
      </c>
      <c r="I24" s="7" t="s">
        <v>195</v>
      </c>
      <c r="J24" s="7" t="s">
        <v>195</v>
      </c>
      <c r="K24" s="7" t="s">
        <v>195</v>
      </c>
      <c r="L24" s="7" t="s">
        <v>195</v>
      </c>
      <c r="M24" s="7" t="s">
        <v>29</v>
      </c>
      <c r="N24" s="7" t="s">
        <v>29</v>
      </c>
      <c r="O24" s="7" t="s">
        <v>29</v>
      </c>
      <c r="P24" s="7" t="s">
        <v>29</v>
      </c>
      <c r="Q24" s="7" t="s">
        <v>29</v>
      </c>
      <c r="R24" s="7" t="s">
        <v>29</v>
      </c>
      <c r="S24" s="7" t="s">
        <v>29</v>
      </c>
    </row>
    <row r="25" spans="1:19">
      <c r="B25" s="7" t="s">
        <v>195</v>
      </c>
      <c r="C25" s="8" t="s">
        <v>195</v>
      </c>
      <c r="D25" s="6" t="str">
        <f>LRTRIM(CONCATENATE(IF(SUMPRODUCT(-- ISNUMBER(SEARCH({"Auto Number"}, $B25))) &gt; 0, $B25, IF(SUMPRODUCT(-- ISNUMBER(SEARCH({"Lookup","Master-Detail"}, $B25))) &gt; 0,$B25 &amp; "(" &amp; $E25 &amp; ")",IF(SUMPRODUCT(-- ISNUMBER(SEARCH({"Formula","Roll-Up Summary"}, $B25))) &gt; 0,$B25 &amp; " (" &amp; $E25 &amp; ")",IF(SUMPRODUCT(-- ISNUMBER(SEARCH({"Content","Currency","Number","Percent","Text","URL"}, $B25))) &gt; 0,$B25 &amp; "(" &amp; $C25 &amp; ")",$B25)))), "  ", TRIM(IF($S25 = "YES", "(External ID)", "") &amp; " " &amp; IF(SUMPRODUCT(-- ISNUMBER(SEARCH({"Unique","Unique Case Insensitive"}, $R25))) &gt; 0, "(" &amp; $R25 &amp; ")", ""))))</f>
        <v>na</v>
      </c>
      <c r="E25" s="7" t="s">
        <v>195</v>
      </c>
      <c r="F25" s="7" t="s">
        <v>195</v>
      </c>
      <c r="G25" s="7" t="s">
        <v>195</v>
      </c>
      <c r="H25" s="7" t="s">
        <v>195</v>
      </c>
      <c r="I25" s="7" t="s">
        <v>195</v>
      </c>
      <c r="J25" s="7" t="s">
        <v>195</v>
      </c>
      <c r="K25" s="7" t="s">
        <v>195</v>
      </c>
      <c r="L25" s="7" t="s">
        <v>195</v>
      </c>
      <c r="M25" s="7" t="s">
        <v>29</v>
      </c>
      <c r="N25" s="7" t="s">
        <v>29</v>
      </c>
      <c r="O25" s="7" t="s">
        <v>29</v>
      </c>
      <c r="P25" s="7" t="s">
        <v>29</v>
      </c>
      <c r="Q25" s="7" t="s">
        <v>29</v>
      </c>
      <c r="R25" s="7" t="s">
        <v>29</v>
      </c>
      <c r="S25" s="7" t="s">
        <v>29</v>
      </c>
    </row>
    <row r="26" spans="1:19">
      <c r="B26" s="7" t="s">
        <v>195</v>
      </c>
      <c r="C26" s="8" t="s">
        <v>195</v>
      </c>
      <c r="D26" s="6" t="str">
        <f>LRTRIM(CONCATENATE(IF(SUMPRODUCT(-- ISNUMBER(SEARCH({"Auto Number"}, $B26))) &gt; 0, $B26, IF(SUMPRODUCT(-- ISNUMBER(SEARCH({"Lookup","Master-Detail"}, $B26))) &gt; 0,$B26 &amp; "(" &amp; $E26 &amp; ")",IF(SUMPRODUCT(-- ISNUMBER(SEARCH({"Formula","Roll-Up Summary"}, $B26))) &gt; 0,$B26 &amp; " (" &amp; $E26 &amp; ")",IF(SUMPRODUCT(-- ISNUMBER(SEARCH({"Content","Currency","Number","Percent","Text","URL"}, $B26))) &gt; 0,$B26 &amp; "(" &amp; $C26 &amp; ")",$B26)))), "  ", TRIM(IF($S26 = "YES", "(External ID)", "") &amp; " " &amp; IF(SUMPRODUCT(-- ISNUMBER(SEARCH({"Unique","Unique Case Insensitive"}, $R26))) &gt; 0, "(" &amp; $R26 &amp; ")", ""))))</f>
        <v>na</v>
      </c>
      <c r="E26" s="7" t="s">
        <v>195</v>
      </c>
      <c r="F26" s="7" t="s">
        <v>195</v>
      </c>
      <c r="G26" s="7" t="s">
        <v>195</v>
      </c>
      <c r="H26" s="7" t="s">
        <v>195</v>
      </c>
      <c r="I26" s="7" t="s">
        <v>195</v>
      </c>
      <c r="J26" s="7" t="s">
        <v>195</v>
      </c>
      <c r="K26" s="7" t="s">
        <v>195</v>
      </c>
      <c r="L26" s="7" t="s">
        <v>195</v>
      </c>
      <c r="M26" s="7" t="s">
        <v>29</v>
      </c>
      <c r="N26" s="7" t="s">
        <v>29</v>
      </c>
      <c r="O26" s="7" t="s">
        <v>29</v>
      </c>
      <c r="P26" s="7" t="s">
        <v>29</v>
      </c>
      <c r="Q26" s="7" t="s">
        <v>29</v>
      </c>
      <c r="R26" s="7" t="s">
        <v>29</v>
      </c>
      <c r="S26" s="7" t="s">
        <v>29</v>
      </c>
    </row>
    <row r="27" spans="1:19">
      <c r="B27" s="7" t="s">
        <v>195</v>
      </c>
      <c r="C27" s="8" t="s">
        <v>195</v>
      </c>
      <c r="D27" s="6" t="str">
        <f>LRTRIM(CONCATENATE(IF(SUMPRODUCT(-- ISNUMBER(SEARCH({"Auto Number"}, $B27))) &gt; 0, $B27, IF(SUMPRODUCT(-- ISNUMBER(SEARCH({"Lookup","Master-Detail"}, $B27))) &gt; 0,$B27 &amp; "(" &amp; $E27 &amp; ")",IF(SUMPRODUCT(-- ISNUMBER(SEARCH({"Formula","Roll-Up Summary"}, $B27))) &gt; 0,$B27 &amp; " (" &amp; $E27 &amp; ")",IF(SUMPRODUCT(-- ISNUMBER(SEARCH({"Content","Currency","Number","Percent","Text","URL"}, $B27))) &gt; 0,$B27 &amp; "(" &amp; $C27 &amp; ")",$B27)))), "  ", TRIM(IF($S27 = "YES", "(External ID)", "") &amp; " " &amp; IF(SUMPRODUCT(-- ISNUMBER(SEARCH({"Unique","Unique Case Insensitive"}, $R27))) &gt; 0, "(" &amp; $R27 &amp; ")", ""))))</f>
        <v>na</v>
      </c>
      <c r="E27" s="7" t="s">
        <v>195</v>
      </c>
      <c r="F27" s="7" t="s">
        <v>195</v>
      </c>
      <c r="G27" s="7" t="s">
        <v>195</v>
      </c>
      <c r="H27" s="7" t="s">
        <v>195</v>
      </c>
      <c r="I27" s="7" t="s">
        <v>195</v>
      </c>
      <c r="J27" s="7" t="s">
        <v>195</v>
      </c>
      <c r="K27" s="7" t="s">
        <v>195</v>
      </c>
      <c r="L27" s="7" t="s">
        <v>195</v>
      </c>
      <c r="M27" s="7" t="s">
        <v>29</v>
      </c>
      <c r="N27" s="7" t="s">
        <v>29</v>
      </c>
      <c r="O27" s="7" t="s">
        <v>29</v>
      </c>
      <c r="P27" s="7" t="s">
        <v>29</v>
      </c>
      <c r="Q27" s="7" t="s">
        <v>29</v>
      </c>
      <c r="R27" s="7" t="s">
        <v>29</v>
      </c>
      <c r="S27" s="7" t="s">
        <v>29</v>
      </c>
    </row>
    <row r="28" spans="1:19">
      <c r="B28" s="7" t="s">
        <v>195</v>
      </c>
      <c r="C28" s="8" t="s">
        <v>195</v>
      </c>
      <c r="D28" s="6" t="str">
        <f>LRTRIM(CONCATENATE(IF(SUMPRODUCT(-- ISNUMBER(SEARCH({"Auto Number"}, $B28))) &gt; 0, $B28, IF(SUMPRODUCT(-- ISNUMBER(SEARCH({"Lookup","Master-Detail"}, $B28))) &gt; 0,$B28 &amp; "(" &amp; $E28 &amp; ")",IF(SUMPRODUCT(-- ISNUMBER(SEARCH({"Formula","Roll-Up Summary"}, $B28))) &gt; 0,$B28 &amp; " (" &amp; $E28 &amp; ")",IF(SUMPRODUCT(-- ISNUMBER(SEARCH({"Content","Currency","Number","Percent","Text","URL"}, $B28))) &gt; 0,$B28 &amp; "(" &amp; $C28 &amp; ")",$B28)))), "  ", TRIM(IF($S28 = "YES", "(External ID)", "") &amp; " " &amp; IF(SUMPRODUCT(-- ISNUMBER(SEARCH({"Unique","Unique Case Insensitive"}, $R28))) &gt; 0, "(" &amp; $R28 &amp; ")", ""))))</f>
        <v>na</v>
      </c>
      <c r="E28" s="7" t="s">
        <v>195</v>
      </c>
      <c r="F28" s="7" t="s">
        <v>195</v>
      </c>
      <c r="G28" s="7" t="s">
        <v>195</v>
      </c>
      <c r="H28" s="7" t="s">
        <v>195</v>
      </c>
      <c r="I28" s="7" t="s">
        <v>195</v>
      </c>
      <c r="J28" s="7" t="s">
        <v>195</v>
      </c>
      <c r="K28" s="7" t="s">
        <v>195</v>
      </c>
      <c r="L28" s="7" t="s">
        <v>195</v>
      </c>
      <c r="M28" s="7" t="s">
        <v>29</v>
      </c>
      <c r="N28" s="7" t="s">
        <v>29</v>
      </c>
      <c r="O28" s="7" t="s">
        <v>29</v>
      </c>
      <c r="P28" s="7" t="s">
        <v>29</v>
      </c>
      <c r="Q28" s="7" t="s">
        <v>29</v>
      </c>
      <c r="R28" s="7" t="s">
        <v>29</v>
      </c>
      <c r="S28" s="7" t="s">
        <v>29</v>
      </c>
    </row>
    <row r="29" spans="1:19">
      <c r="B29" s="7" t="s">
        <v>195</v>
      </c>
      <c r="C29" s="8" t="s">
        <v>195</v>
      </c>
      <c r="D29" s="6" t="str">
        <f>LRTRIM(CONCATENATE(IF(SUMPRODUCT(-- ISNUMBER(SEARCH({"Auto Number"}, $B29))) &gt; 0, $B29, IF(SUMPRODUCT(-- ISNUMBER(SEARCH({"Lookup","Master-Detail"}, $B29))) &gt; 0,$B29 &amp; "(" &amp; $E29 &amp; ")",IF(SUMPRODUCT(-- ISNUMBER(SEARCH({"Formula","Roll-Up Summary"}, $B29))) &gt; 0,$B29 &amp; " (" &amp; $E29 &amp; ")",IF(SUMPRODUCT(-- ISNUMBER(SEARCH({"Content","Currency","Number","Percent","Text","URL"}, $B29))) &gt; 0,$B29 &amp; "(" &amp; $C29 &amp; ")",$B29)))), "  ", TRIM(IF($S29 = "YES", "(External ID)", "") &amp; " " &amp; IF(SUMPRODUCT(-- ISNUMBER(SEARCH({"Unique","Unique Case Insensitive"}, $R29))) &gt; 0, "(" &amp; $R29 &amp; ")", ""))))</f>
        <v>na</v>
      </c>
      <c r="E29" s="7" t="s">
        <v>195</v>
      </c>
      <c r="F29" s="7" t="s">
        <v>195</v>
      </c>
      <c r="G29" s="7" t="s">
        <v>195</v>
      </c>
      <c r="H29" s="7" t="s">
        <v>195</v>
      </c>
      <c r="I29" s="7" t="s">
        <v>195</v>
      </c>
      <c r="J29" s="7" t="s">
        <v>195</v>
      </c>
      <c r="K29" s="7" t="s">
        <v>195</v>
      </c>
      <c r="L29" s="7" t="s">
        <v>195</v>
      </c>
      <c r="M29" s="7" t="s">
        <v>29</v>
      </c>
      <c r="N29" s="7" t="s">
        <v>29</v>
      </c>
      <c r="O29" s="7" t="s">
        <v>29</v>
      </c>
      <c r="P29" s="7" t="s">
        <v>29</v>
      </c>
      <c r="Q29" s="7" t="s">
        <v>29</v>
      </c>
      <c r="R29" s="7" t="s">
        <v>29</v>
      </c>
      <c r="S29" s="7" t="s">
        <v>29</v>
      </c>
    </row>
    <row r="30" spans="1:19">
      <c r="B30" s="7" t="s">
        <v>195</v>
      </c>
      <c r="C30" s="8" t="s">
        <v>195</v>
      </c>
      <c r="D30" s="6" t="str">
        <f>LRTRIM(CONCATENATE(IF(SUMPRODUCT(-- ISNUMBER(SEARCH({"Auto Number"}, $B30))) &gt; 0, $B30, IF(SUMPRODUCT(-- ISNUMBER(SEARCH({"Lookup","Master-Detail"}, $B30))) &gt; 0,$B30 &amp; "(" &amp; $E30 &amp; ")",IF(SUMPRODUCT(-- ISNUMBER(SEARCH({"Formula","Roll-Up Summary"}, $B30))) &gt; 0,$B30 &amp; " (" &amp; $E30 &amp; ")",IF(SUMPRODUCT(-- ISNUMBER(SEARCH({"Content","Currency","Number","Percent","Text","URL"}, $B30))) &gt; 0,$B30 &amp; "(" &amp; $C30 &amp; ")",$B30)))), "  ", TRIM(IF($S30 = "YES", "(External ID)", "") &amp; " " &amp; IF(SUMPRODUCT(-- ISNUMBER(SEARCH({"Unique","Unique Case Insensitive"}, $R30))) &gt; 0, "(" &amp; $R30 &amp; ")", ""))))</f>
        <v>na</v>
      </c>
      <c r="E30" s="7" t="s">
        <v>195</v>
      </c>
      <c r="F30" s="7" t="s">
        <v>195</v>
      </c>
      <c r="G30" s="7" t="s">
        <v>195</v>
      </c>
      <c r="H30" s="7" t="s">
        <v>195</v>
      </c>
      <c r="I30" s="7" t="s">
        <v>195</v>
      </c>
      <c r="J30" s="7" t="s">
        <v>195</v>
      </c>
      <c r="K30" s="7" t="s">
        <v>195</v>
      </c>
      <c r="L30" s="7" t="s">
        <v>195</v>
      </c>
      <c r="M30" s="7" t="s">
        <v>29</v>
      </c>
      <c r="N30" s="7" t="s">
        <v>29</v>
      </c>
      <c r="O30" s="7" t="s">
        <v>29</v>
      </c>
      <c r="P30" s="7" t="s">
        <v>29</v>
      </c>
      <c r="Q30" s="7" t="s">
        <v>29</v>
      </c>
      <c r="R30" s="7" t="s">
        <v>29</v>
      </c>
      <c r="S30" s="7" t="s">
        <v>29</v>
      </c>
    </row>
    <row r="31" spans="1:19">
      <c r="B31" s="7" t="s">
        <v>195</v>
      </c>
      <c r="C31" s="8" t="s">
        <v>195</v>
      </c>
      <c r="D31" s="6" t="str">
        <f>LRTRIM(CONCATENATE(IF(SUMPRODUCT(-- ISNUMBER(SEARCH({"Auto Number"}, $B31))) &gt; 0, $B31, IF(SUMPRODUCT(-- ISNUMBER(SEARCH({"Lookup","Master-Detail"}, $B31))) &gt; 0,$B31 &amp; "(" &amp; $E31 &amp; ")",IF(SUMPRODUCT(-- ISNUMBER(SEARCH({"Formula","Roll-Up Summary"}, $B31))) &gt; 0,$B31 &amp; " (" &amp; $E31 &amp; ")",IF(SUMPRODUCT(-- ISNUMBER(SEARCH({"Content","Currency","Number","Percent","Text","URL"}, $B31))) &gt; 0,$B31 &amp; "(" &amp; $C31 &amp; ")",$B31)))), "  ", TRIM(IF($S31 = "YES", "(External ID)", "") &amp; " " &amp; IF(SUMPRODUCT(-- ISNUMBER(SEARCH({"Unique","Unique Case Insensitive"}, $R31))) &gt; 0, "(" &amp; $R31 &amp; ")", ""))))</f>
        <v>na</v>
      </c>
      <c r="E31" s="7" t="s">
        <v>195</v>
      </c>
      <c r="F31" s="7" t="s">
        <v>195</v>
      </c>
      <c r="G31" s="7" t="s">
        <v>195</v>
      </c>
      <c r="H31" s="7" t="s">
        <v>195</v>
      </c>
      <c r="I31" s="7" t="s">
        <v>195</v>
      </c>
      <c r="J31" s="7" t="s">
        <v>195</v>
      </c>
      <c r="K31" s="7" t="s">
        <v>195</v>
      </c>
      <c r="L31" s="7" t="s">
        <v>195</v>
      </c>
      <c r="M31" s="7" t="s">
        <v>29</v>
      </c>
      <c r="N31" s="7" t="s">
        <v>29</v>
      </c>
      <c r="O31" s="7" t="s">
        <v>29</v>
      </c>
      <c r="P31" s="7" t="s">
        <v>29</v>
      </c>
      <c r="Q31" s="7" t="s">
        <v>29</v>
      </c>
      <c r="R31" s="7" t="s">
        <v>29</v>
      </c>
      <c r="S31" s="7" t="s">
        <v>29</v>
      </c>
    </row>
    <row r="32" spans="1:19">
      <c r="B32" s="7" t="s">
        <v>195</v>
      </c>
      <c r="C32" s="8" t="s">
        <v>195</v>
      </c>
      <c r="D32" s="6" t="str">
        <f>LRTRIM(CONCATENATE(IF(SUMPRODUCT(-- ISNUMBER(SEARCH({"Auto Number"}, $B32))) &gt; 0, $B32, IF(SUMPRODUCT(-- ISNUMBER(SEARCH({"Lookup","Master-Detail"}, $B32))) &gt; 0,$B32 &amp; "(" &amp; $E32 &amp; ")",IF(SUMPRODUCT(-- ISNUMBER(SEARCH({"Formula","Roll-Up Summary"}, $B32))) &gt; 0,$B32 &amp; " (" &amp; $E32 &amp; ")",IF(SUMPRODUCT(-- ISNUMBER(SEARCH({"Content","Currency","Number","Percent","Text","URL"}, $B32))) &gt; 0,$B32 &amp; "(" &amp; $C32 &amp; ")",$B32)))), "  ", TRIM(IF($S32 = "YES", "(External ID)", "") &amp; " " &amp; IF(SUMPRODUCT(-- ISNUMBER(SEARCH({"Unique","Unique Case Insensitive"}, $R32))) &gt; 0, "(" &amp; $R32 &amp; ")", ""))))</f>
        <v>na</v>
      </c>
      <c r="E32" s="7" t="s">
        <v>195</v>
      </c>
      <c r="F32" s="7" t="s">
        <v>195</v>
      </c>
      <c r="G32" s="7" t="s">
        <v>195</v>
      </c>
      <c r="H32" s="7" t="s">
        <v>195</v>
      </c>
      <c r="I32" s="7" t="s">
        <v>195</v>
      </c>
      <c r="J32" s="7" t="s">
        <v>195</v>
      </c>
      <c r="K32" s="7" t="s">
        <v>195</v>
      </c>
      <c r="L32" s="7" t="s">
        <v>195</v>
      </c>
      <c r="M32" s="7" t="s">
        <v>29</v>
      </c>
      <c r="N32" s="7" t="s">
        <v>29</v>
      </c>
      <c r="O32" s="7" t="s">
        <v>29</v>
      </c>
      <c r="P32" s="7" t="s">
        <v>29</v>
      </c>
      <c r="Q32" s="7" t="s">
        <v>29</v>
      </c>
      <c r="R32" s="7" t="s">
        <v>29</v>
      </c>
      <c r="S32" s="7" t="s">
        <v>29</v>
      </c>
    </row>
    <row r="33" spans="2:19">
      <c r="B33" s="7" t="s">
        <v>195</v>
      </c>
      <c r="C33" s="8" t="s">
        <v>195</v>
      </c>
      <c r="D33" s="6" t="str">
        <f>LRTRIM(CONCATENATE(IF(SUMPRODUCT(-- ISNUMBER(SEARCH({"Auto Number"}, $B33))) &gt; 0, $B33, IF(SUMPRODUCT(-- ISNUMBER(SEARCH({"Lookup","Master-Detail"}, $B33))) &gt; 0,$B33 &amp; "(" &amp; $E33 &amp; ")",IF(SUMPRODUCT(-- ISNUMBER(SEARCH({"Formula","Roll-Up Summary"}, $B33))) &gt; 0,$B33 &amp; " (" &amp; $E33 &amp; ")",IF(SUMPRODUCT(-- ISNUMBER(SEARCH({"Content","Currency","Number","Percent","Text","URL"}, $B33))) &gt; 0,$B33 &amp; "(" &amp; $C33 &amp; ")",$B33)))), "  ", TRIM(IF($S33 = "YES", "(External ID)", "") &amp; " " &amp; IF(SUMPRODUCT(-- ISNUMBER(SEARCH({"Unique","Unique Case Insensitive"}, $R33))) &gt; 0, "(" &amp; $R33 &amp; ")", ""))))</f>
        <v>na</v>
      </c>
      <c r="E33" s="7" t="s">
        <v>195</v>
      </c>
      <c r="F33" s="7" t="s">
        <v>195</v>
      </c>
      <c r="G33" s="7" t="s">
        <v>195</v>
      </c>
      <c r="H33" s="7" t="s">
        <v>195</v>
      </c>
      <c r="I33" s="7" t="s">
        <v>195</v>
      </c>
      <c r="J33" s="7" t="s">
        <v>195</v>
      </c>
      <c r="K33" s="7" t="s">
        <v>195</v>
      </c>
      <c r="L33" s="7" t="s">
        <v>195</v>
      </c>
      <c r="M33" s="7" t="s">
        <v>29</v>
      </c>
      <c r="N33" s="7" t="s">
        <v>29</v>
      </c>
      <c r="O33" s="7" t="s">
        <v>29</v>
      </c>
      <c r="P33" s="7" t="s">
        <v>29</v>
      </c>
      <c r="Q33" s="7" t="s">
        <v>29</v>
      </c>
      <c r="R33" s="7" t="s">
        <v>29</v>
      </c>
      <c r="S33" s="7" t="s">
        <v>29</v>
      </c>
    </row>
    <row r="34" spans="2:19">
      <c r="B34" s="7" t="s">
        <v>195</v>
      </c>
      <c r="C34" s="8" t="s">
        <v>195</v>
      </c>
      <c r="D34" s="6" t="str">
        <f>LRTRIM(CONCATENATE(IF(SUMPRODUCT(-- ISNUMBER(SEARCH({"Auto Number"}, $B34))) &gt; 0, $B34, IF(SUMPRODUCT(-- ISNUMBER(SEARCH({"Lookup","Master-Detail"}, $B34))) &gt; 0,$B34 &amp; "(" &amp; $E34 &amp; ")",IF(SUMPRODUCT(-- ISNUMBER(SEARCH({"Formula","Roll-Up Summary"}, $B34))) &gt; 0,$B34 &amp; " (" &amp; $E34 &amp; ")",IF(SUMPRODUCT(-- ISNUMBER(SEARCH({"Content","Currency","Number","Percent","Text","URL"}, $B34))) &gt; 0,$B34 &amp; "(" &amp; $C34 &amp; ")",$B34)))), "  ", TRIM(IF($S34 = "YES", "(External ID)", "") &amp; " " &amp; IF(SUMPRODUCT(-- ISNUMBER(SEARCH({"Unique","Unique Case Insensitive"}, $R34))) &gt; 0, "(" &amp; $R34 &amp; ")", ""))))</f>
        <v>na</v>
      </c>
      <c r="E34" s="7" t="s">
        <v>195</v>
      </c>
      <c r="F34" s="7" t="s">
        <v>195</v>
      </c>
      <c r="G34" s="7" t="s">
        <v>195</v>
      </c>
      <c r="H34" s="7" t="s">
        <v>195</v>
      </c>
      <c r="I34" s="7" t="s">
        <v>195</v>
      </c>
      <c r="J34" s="7" t="s">
        <v>195</v>
      </c>
      <c r="K34" s="7" t="s">
        <v>195</v>
      </c>
      <c r="L34" s="7" t="s">
        <v>195</v>
      </c>
      <c r="M34" s="7" t="s">
        <v>29</v>
      </c>
      <c r="N34" s="7" t="s">
        <v>29</v>
      </c>
      <c r="O34" s="7" t="s">
        <v>29</v>
      </c>
      <c r="P34" s="7" t="s">
        <v>29</v>
      </c>
      <c r="Q34" s="7" t="s">
        <v>29</v>
      </c>
      <c r="R34" s="7" t="s">
        <v>29</v>
      </c>
      <c r="S34" s="7" t="s">
        <v>29</v>
      </c>
    </row>
    <row r="35" spans="2:19">
      <c r="B35" s="7" t="s">
        <v>195</v>
      </c>
      <c r="C35" s="8" t="s">
        <v>195</v>
      </c>
      <c r="D35" s="6" t="str">
        <f>LRTRIM(CONCATENATE(IF(SUMPRODUCT(-- ISNUMBER(SEARCH({"Auto Number"}, $B35))) &gt; 0, $B35, IF(SUMPRODUCT(-- ISNUMBER(SEARCH({"Lookup","Master-Detail"}, $B35))) &gt; 0,$B35 &amp; "(" &amp; $E35 &amp; ")",IF(SUMPRODUCT(-- ISNUMBER(SEARCH({"Formula","Roll-Up Summary"}, $B35))) &gt; 0,$B35 &amp; " (" &amp; $E35 &amp; ")",IF(SUMPRODUCT(-- ISNUMBER(SEARCH({"Content","Currency","Number","Percent","Text","URL"}, $B35))) &gt; 0,$B35 &amp; "(" &amp; $C35 &amp; ")",$B35)))), "  ", TRIM(IF($S35 = "YES", "(External ID)", "") &amp; " " &amp; IF(SUMPRODUCT(-- ISNUMBER(SEARCH({"Unique","Unique Case Insensitive"}, $R35))) &gt; 0, "(" &amp; $R35 &amp; ")", ""))))</f>
        <v>na</v>
      </c>
      <c r="E35" s="7" t="s">
        <v>195</v>
      </c>
      <c r="F35" s="7" t="s">
        <v>195</v>
      </c>
      <c r="G35" s="7" t="s">
        <v>195</v>
      </c>
      <c r="H35" s="7" t="s">
        <v>195</v>
      </c>
      <c r="I35" s="7" t="s">
        <v>195</v>
      </c>
      <c r="J35" s="7" t="s">
        <v>195</v>
      </c>
      <c r="K35" s="7" t="s">
        <v>195</v>
      </c>
      <c r="L35" s="7" t="s">
        <v>195</v>
      </c>
      <c r="M35" s="7" t="s">
        <v>29</v>
      </c>
      <c r="N35" s="7" t="s">
        <v>29</v>
      </c>
      <c r="O35" s="7" t="s">
        <v>29</v>
      </c>
      <c r="P35" s="7" t="s">
        <v>29</v>
      </c>
      <c r="Q35" s="7" t="s">
        <v>29</v>
      </c>
      <c r="R35" s="7" t="s">
        <v>29</v>
      </c>
      <c r="S35" s="7" t="s">
        <v>29</v>
      </c>
    </row>
    <row r="36" spans="2:19">
      <c r="B36" s="7" t="s">
        <v>195</v>
      </c>
      <c r="C36" s="8" t="s">
        <v>195</v>
      </c>
      <c r="D36" s="6" t="str">
        <f>LRTRIM(CONCATENATE(IF(SUMPRODUCT(-- ISNUMBER(SEARCH({"Auto Number"}, $B36))) &gt; 0, $B36, IF(SUMPRODUCT(-- ISNUMBER(SEARCH({"Lookup","Master-Detail"}, $B36))) &gt; 0,$B36 &amp; "(" &amp; $E36 &amp; ")",IF(SUMPRODUCT(-- ISNUMBER(SEARCH({"Formula","Roll-Up Summary"}, $B36))) &gt; 0,$B36 &amp; " (" &amp; $E36 &amp; ")",IF(SUMPRODUCT(-- ISNUMBER(SEARCH({"Content","Currency","Number","Percent","Text","URL"}, $B36))) &gt; 0,$B36 &amp; "(" &amp; $C36 &amp; ")",$B36)))), "  ", TRIM(IF($S36 = "YES", "(External ID)", "") &amp; " " &amp; IF(SUMPRODUCT(-- ISNUMBER(SEARCH({"Unique","Unique Case Insensitive"}, $R36))) &gt; 0, "(" &amp; $R36 &amp; ")", ""))))</f>
        <v>na</v>
      </c>
      <c r="E36" s="7" t="s">
        <v>195</v>
      </c>
      <c r="F36" s="7" t="s">
        <v>195</v>
      </c>
      <c r="G36" s="7" t="s">
        <v>195</v>
      </c>
      <c r="H36" s="7" t="s">
        <v>195</v>
      </c>
      <c r="I36" s="7" t="s">
        <v>195</v>
      </c>
      <c r="J36" s="7" t="s">
        <v>195</v>
      </c>
      <c r="K36" s="7" t="s">
        <v>195</v>
      </c>
      <c r="L36" s="7" t="s">
        <v>195</v>
      </c>
      <c r="M36" s="7" t="s">
        <v>29</v>
      </c>
      <c r="N36" s="7" t="s">
        <v>29</v>
      </c>
      <c r="O36" s="7" t="s">
        <v>29</v>
      </c>
      <c r="P36" s="7" t="s">
        <v>29</v>
      </c>
      <c r="Q36" s="7" t="s">
        <v>29</v>
      </c>
      <c r="R36" s="7" t="s">
        <v>29</v>
      </c>
      <c r="S36" s="7" t="s">
        <v>29</v>
      </c>
    </row>
    <row r="37" spans="2:19">
      <c r="B37" s="7" t="s">
        <v>195</v>
      </c>
      <c r="C37" s="8" t="s">
        <v>195</v>
      </c>
      <c r="D37" s="6" t="str">
        <f>LRTRIM(CONCATENATE(IF(SUMPRODUCT(-- ISNUMBER(SEARCH({"Auto Number"}, $B37))) &gt; 0, $B37, IF(SUMPRODUCT(-- ISNUMBER(SEARCH({"Lookup","Master-Detail"}, $B37))) &gt; 0,$B37 &amp; "(" &amp; $E37 &amp; ")",IF(SUMPRODUCT(-- ISNUMBER(SEARCH({"Formula","Roll-Up Summary"}, $B37))) &gt; 0,$B37 &amp; " (" &amp; $E37 &amp; ")",IF(SUMPRODUCT(-- ISNUMBER(SEARCH({"Content","Currency","Number","Percent","Text","URL"}, $B37))) &gt; 0,$B37 &amp; "(" &amp; $C37 &amp; ")",$B37)))), "  ", TRIM(IF($S37 = "YES", "(External ID)", "") &amp; " " &amp; IF(SUMPRODUCT(-- ISNUMBER(SEARCH({"Unique","Unique Case Insensitive"}, $R37))) &gt; 0, "(" &amp; $R37 &amp; ")", ""))))</f>
        <v>na</v>
      </c>
      <c r="E37" s="7" t="s">
        <v>195</v>
      </c>
      <c r="F37" s="7" t="s">
        <v>195</v>
      </c>
      <c r="G37" s="7" t="s">
        <v>195</v>
      </c>
      <c r="H37" s="7" t="s">
        <v>195</v>
      </c>
      <c r="I37" s="7" t="s">
        <v>195</v>
      </c>
      <c r="J37" s="7" t="s">
        <v>195</v>
      </c>
      <c r="K37" s="7" t="s">
        <v>195</v>
      </c>
      <c r="L37" s="7" t="s">
        <v>195</v>
      </c>
      <c r="M37" s="7" t="s">
        <v>29</v>
      </c>
      <c r="N37" s="7" t="s">
        <v>29</v>
      </c>
      <c r="O37" s="7" t="s">
        <v>29</v>
      </c>
      <c r="P37" s="7" t="s">
        <v>29</v>
      </c>
      <c r="Q37" s="7" t="s">
        <v>29</v>
      </c>
      <c r="R37" s="7" t="s">
        <v>29</v>
      </c>
      <c r="S37" s="7" t="s">
        <v>29</v>
      </c>
    </row>
    <row r="38" spans="2:19">
      <c r="B38" s="7" t="s">
        <v>195</v>
      </c>
      <c r="C38" s="8" t="s">
        <v>195</v>
      </c>
      <c r="D38" s="6" t="str">
        <f>LRTRIM(CONCATENATE(IF(SUMPRODUCT(-- ISNUMBER(SEARCH({"Auto Number"}, $B38))) &gt; 0, $B38, IF(SUMPRODUCT(-- ISNUMBER(SEARCH({"Lookup","Master-Detail"}, $B38))) &gt; 0,$B38 &amp; "(" &amp; $E38 &amp; ")",IF(SUMPRODUCT(-- ISNUMBER(SEARCH({"Formula","Roll-Up Summary"}, $B38))) &gt; 0,$B38 &amp; " (" &amp; $E38 &amp; ")",IF(SUMPRODUCT(-- ISNUMBER(SEARCH({"Content","Currency","Number","Percent","Text","URL"}, $B38))) &gt; 0,$B38 &amp; "(" &amp; $C38 &amp; ")",$B38)))), "  ", TRIM(IF($S38 = "YES", "(External ID)", "") &amp; " " &amp; IF(SUMPRODUCT(-- ISNUMBER(SEARCH({"Unique","Unique Case Insensitive"}, $R38))) &gt; 0, "(" &amp; $R38 &amp; ")", ""))))</f>
        <v>na</v>
      </c>
      <c r="E38" s="7" t="s">
        <v>195</v>
      </c>
      <c r="F38" s="7" t="s">
        <v>195</v>
      </c>
      <c r="G38" s="7" t="s">
        <v>195</v>
      </c>
      <c r="H38" s="7" t="s">
        <v>195</v>
      </c>
      <c r="I38" s="7" t="s">
        <v>195</v>
      </c>
      <c r="J38" s="7" t="s">
        <v>195</v>
      </c>
      <c r="K38" s="7" t="s">
        <v>195</v>
      </c>
      <c r="L38" s="7" t="s">
        <v>195</v>
      </c>
      <c r="M38" s="7" t="s">
        <v>29</v>
      </c>
      <c r="N38" s="7" t="s">
        <v>29</v>
      </c>
      <c r="O38" s="7" t="s">
        <v>29</v>
      </c>
      <c r="P38" s="7" t="s">
        <v>29</v>
      </c>
      <c r="Q38" s="7" t="s">
        <v>29</v>
      </c>
      <c r="R38" s="7" t="s">
        <v>29</v>
      </c>
      <c r="S38" s="7" t="s">
        <v>29</v>
      </c>
    </row>
    <row r="39" spans="2:19">
      <c r="B39" s="7" t="s">
        <v>195</v>
      </c>
      <c r="C39" s="8" t="s">
        <v>195</v>
      </c>
      <c r="D39" s="6" t="str">
        <f>LRTRIM(CONCATENATE(IF(SUMPRODUCT(-- ISNUMBER(SEARCH({"Auto Number"}, $B39))) &gt; 0, $B39, IF(SUMPRODUCT(-- ISNUMBER(SEARCH({"Lookup","Master-Detail"}, $B39))) &gt; 0,$B39 &amp; "(" &amp; $E39 &amp; ")",IF(SUMPRODUCT(-- ISNUMBER(SEARCH({"Formula","Roll-Up Summary"}, $B39))) &gt; 0,$B39 &amp; " (" &amp; $E39 &amp; ")",IF(SUMPRODUCT(-- ISNUMBER(SEARCH({"Content","Currency","Number","Percent","Text","URL"}, $B39))) &gt; 0,$B39 &amp; "(" &amp; $C39 &amp; ")",$B39)))), "  ", TRIM(IF($S39 = "YES", "(External ID)", "") &amp; " " &amp; IF(SUMPRODUCT(-- ISNUMBER(SEARCH({"Unique","Unique Case Insensitive"}, $R39))) &gt; 0, "(" &amp; $R39 &amp; ")", ""))))</f>
        <v>na</v>
      </c>
      <c r="E39" s="7" t="s">
        <v>195</v>
      </c>
      <c r="F39" s="7" t="s">
        <v>195</v>
      </c>
      <c r="G39" s="7" t="s">
        <v>195</v>
      </c>
      <c r="H39" s="7" t="s">
        <v>195</v>
      </c>
      <c r="I39" s="7" t="s">
        <v>195</v>
      </c>
      <c r="J39" s="7" t="s">
        <v>195</v>
      </c>
      <c r="K39" s="7" t="s">
        <v>195</v>
      </c>
      <c r="L39" s="7" t="s">
        <v>195</v>
      </c>
      <c r="M39" s="7" t="s">
        <v>29</v>
      </c>
      <c r="N39" s="7" t="s">
        <v>29</v>
      </c>
      <c r="O39" s="7" t="s">
        <v>29</v>
      </c>
      <c r="P39" s="7" t="s">
        <v>29</v>
      </c>
      <c r="Q39" s="7" t="s">
        <v>29</v>
      </c>
      <c r="R39" s="7" t="s">
        <v>29</v>
      </c>
      <c r="S39" s="7" t="s">
        <v>29</v>
      </c>
    </row>
    <row r="40" spans="2:19">
      <c r="B40" s="7" t="s">
        <v>195</v>
      </c>
      <c r="C40" s="8" t="s">
        <v>195</v>
      </c>
      <c r="D40" s="6" t="str">
        <f>LRTRIM(CONCATENATE(IF(SUMPRODUCT(-- ISNUMBER(SEARCH({"Auto Number"}, $B40))) &gt; 0, $B40, IF(SUMPRODUCT(-- ISNUMBER(SEARCH({"Lookup","Master-Detail"}, $B40))) &gt; 0,$B40 &amp; "(" &amp; $E40 &amp; ")",IF(SUMPRODUCT(-- ISNUMBER(SEARCH({"Formula","Roll-Up Summary"}, $B40))) &gt; 0,$B40 &amp; " (" &amp; $E40 &amp; ")",IF(SUMPRODUCT(-- ISNUMBER(SEARCH({"Content","Currency","Number","Percent","Text","URL"}, $B40))) &gt; 0,$B40 &amp; "(" &amp; $C40 &amp; ")",$B40)))), "  ", TRIM(IF($S40 = "YES", "(External ID)", "") &amp; " " &amp; IF(SUMPRODUCT(-- ISNUMBER(SEARCH({"Unique","Unique Case Insensitive"}, $R40))) &gt; 0, "(" &amp; $R40 &amp; ")", ""))))</f>
        <v>na</v>
      </c>
      <c r="E40" s="7" t="s">
        <v>195</v>
      </c>
      <c r="F40" s="7" t="s">
        <v>195</v>
      </c>
      <c r="G40" s="7" t="s">
        <v>195</v>
      </c>
      <c r="H40" s="7" t="s">
        <v>195</v>
      </c>
      <c r="I40" s="7" t="s">
        <v>195</v>
      </c>
      <c r="J40" s="7" t="s">
        <v>195</v>
      </c>
      <c r="K40" s="7" t="s">
        <v>195</v>
      </c>
      <c r="L40" s="7" t="s">
        <v>195</v>
      </c>
      <c r="M40" s="7" t="s">
        <v>29</v>
      </c>
      <c r="N40" s="7" t="s">
        <v>29</v>
      </c>
      <c r="O40" s="7" t="s">
        <v>29</v>
      </c>
      <c r="P40" s="7" t="s">
        <v>29</v>
      </c>
      <c r="Q40" s="7" t="s">
        <v>29</v>
      </c>
      <c r="R40" s="7" t="s">
        <v>29</v>
      </c>
      <c r="S40" s="7" t="s">
        <v>29</v>
      </c>
    </row>
    <row r="41" spans="2:19">
      <c r="B41" s="7" t="s">
        <v>195</v>
      </c>
      <c r="C41" s="8" t="s">
        <v>195</v>
      </c>
      <c r="D41" s="6" t="str">
        <f>LRTRIM(CONCATENATE(IF(SUMPRODUCT(-- ISNUMBER(SEARCH({"Auto Number"}, $B41))) &gt; 0, $B41, IF(SUMPRODUCT(-- ISNUMBER(SEARCH({"Lookup","Master-Detail"}, $B41))) &gt; 0,$B41 &amp; "(" &amp; $E41 &amp; ")",IF(SUMPRODUCT(-- ISNUMBER(SEARCH({"Formula","Roll-Up Summary"}, $B41))) &gt; 0,$B41 &amp; " (" &amp; $E41 &amp; ")",IF(SUMPRODUCT(-- ISNUMBER(SEARCH({"Content","Currency","Number","Percent","Text","URL"}, $B41))) &gt; 0,$B41 &amp; "(" &amp; $C41 &amp; ")",$B41)))), "  ", TRIM(IF($S41 = "YES", "(External ID)", "") &amp; " " &amp; IF(SUMPRODUCT(-- ISNUMBER(SEARCH({"Unique","Unique Case Insensitive"}, $R41))) &gt; 0, "(" &amp; $R41 &amp; ")", ""))))</f>
        <v>na</v>
      </c>
      <c r="E41" s="7" t="s">
        <v>195</v>
      </c>
      <c r="F41" s="7" t="s">
        <v>195</v>
      </c>
      <c r="G41" s="7" t="s">
        <v>195</v>
      </c>
      <c r="H41" s="7" t="s">
        <v>195</v>
      </c>
      <c r="I41" s="7" t="s">
        <v>195</v>
      </c>
      <c r="J41" s="7" t="s">
        <v>195</v>
      </c>
      <c r="K41" s="7" t="s">
        <v>195</v>
      </c>
      <c r="L41" s="7" t="s">
        <v>195</v>
      </c>
      <c r="M41" s="7" t="s">
        <v>29</v>
      </c>
      <c r="N41" s="7" t="s">
        <v>29</v>
      </c>
      <c r="O41" s="7" t="s">
        <v>29</v>
      </c>
      <c r="P41" s="7" t="s">
        <v>29</v>
      </c>
      <c r="Q41" s="7" t="s">
        <v>29</v>
      </c>
      <c r="R41" s="7" t="s">
        <v>29</v>
      </c>
      <c r="S41" s="7" t="s">
        <v>29</v>
      </c>
    </row>
    <row r="42" spans="2:19">
      <c r="B42" s="7" t="s">
        <v>195</v>
      </c>
      <c r="C42" s="8" t="s">
        <v>195</v>
      </c>
      <c r="D42" s="6" t="str">
        <f>LRTRIM(CONCATENATE(IF(SUMPRODUCT(-- ISNUMBER(SEARCH({"Auto Number"}, $B42))) &gt; 0, $B42, IF(SUMPRODUCT(-- ISNUMBER(SEARCH({"Lookup","Master-Detail"}, $B42))) &gt; 0,$B42 &amp; "(" &amp; $E42 &amp; ")",IF(SUMPRODUCT(-- ISNUMBER(SEARCH({"Formula","Roll-Up Summary"}, $B42))) &gt; 0,$B42 &amp; " (" &amp; $E42 &amp; ")",IF(SUMPRODUCT(-- ISNUMBER(SEARCH({"Content","Currency","Number","Percent","Text","URL"}, $B42))) &gt; 0,$B42 &amp; "(" &amp; $C42 &amp; ")",$B42)))), "  ", TRIM(IF($S42 = "YES", "(External ID)", "") &amp; " " &amp; IF(SUMPRODUCT(-- ISNUMBER(SEARCH({"Unique","Unique Case Insensitive"}, $R42))) &gt; 0, "(" &amp; $R42 &amp; ")", ""))))</f>
        <v>na</v>
      </c>
      <c r="E42" s="7" t="s">
        <v>195</v>
      </c>
      <c r="F42" s="7" t="s">
        <v>195</v>
      </c>
      <c r="G42" s="7" t="s">
        <v>195</v>
      </c>
      <c r="H42" s="7" t="s">
        <v>195</v>
      </c>
      <c r="I42" s="7" t="s">
        <v>195</v>
      </c>
      <c r="J42" s="7" t="s">
        <v>195</v>
      </c>
      <c r="K42" s="7" t="s">
        <v>195</v>
      </c>
      <c r="L42" s="7" t="s">
        <v>195</v>
      </c>
      <c r="M42" s="7" t="s">
        <v>29</v>
      </c>
      <c r="N42" s="7" t="s">
        <v>29</v>
      </c>
      <c r="O42" s="7" t="s">
        <v>29</v>
      </c>
      <c r="P42" s="7" t="s">
        <v>29</v>
      </c>
      <c r="Q42" s="7" t="s">
        <v>29</v>
      </c>
      <c r="R42" s="7" t="s">
        <v>29</v>
      </c>
      <c r="S42" s="7" t="s">
        <v>29</v>
      </c>
    </row>
    <row r="43" spans="2:19">
      <c r="B43" s="7" t="s">
        <v>195</v>
      </c>
      <c r="C43" s="8" t="s">
        <v>195</v>
      </c>
      <c r="D43" s="6" t="str">
        <f>LRTRIM(CONCATENATE(IF(SUMPRODUCT(-- ISNUMBER(SEARCH({"Auto Number"}, $B43))) &gt; 0, $B43, IF(SUMPRODUCT(-- ISNUMBER(SEARCH({"Lookup","Master-Detail"}, $B43))) &gt; 0,$B43 &amp; "(" &amp; $E43 &amp; ")",IF(SUMPRODUCT(-- ISNUMBER(SEARCH({"Formula","Roll-Up Summary"}, $B43))) &gt; 0,$B43 &amp; " (" &amp; $E43 &amp; ")",IF(SUMPRODUCT(-- ISNUMBER(SEARCH({"Content","Currency","Number","Percent","Text","URL"}, $B43))) &gt; 0,$B43 &amp; "(" &amp; $C43 &amp; ")",$B43)))), "  ", TRIM(IF($S43 = "YES", "(External ID)", "") &amp; " " &amp; IF(SUMPRODUCT(-- ISNUMBER(SEARCH({"Unique","Unique Case Insensitive"}, $R43))) &gt; 0, "(" &amp; $R43 &amp; ")", ""))))</f>
        <v>na</v>
      </c>
      <c r="E43" s="7" t="s">
        <v>195</v>
      </c>
      <c r="F43" s="7" t="s">
        <v>195</v>
      </c>
      <c r="G43" s="7" t="s">
        <v>195</v>
      </c>
      <c r="H43" s="7" t="s">
        <v>195</v>
      </c>
      <c r="I43" s="7" t="s">
        <v>195</v>
      </c>
      <c r="J43" s="7" t="s">
        <v>195</v>
      </c>
      <c r="K43" s="7" t="s">
        <v>195</v>
      </c>
      <c r="L43" s="7" t="s">
        <v>195</v>
      </c>
      <c r="M43" s="7" t="s">
        <v>29</v>
      </c>
      <c r="N43" s="7" t="s">
        <v>29</v>
      </c>
      <c r="O43" s="7" t="s">
        <v>29</v>
      </c>
      <c r="P43" s="7" t="s">
        <v>29</v>
      </c>
      <c r="Q43" s="7" t="s">
        <v>29</v>
      </c>
      <c r="R43" s="7" t="s">
        <v>29</v>
      </c>
      <c r="S43" s="7" t="s">
        <v>29</v>
      </c>
    </row>
    <row r="44" spans="2:19">
      <c r="B44" s="7" t="s">
        <v>195</v>
      </c>
      <c r="C44" s="8" t="s">
        <v>195</v>
      </c>
      <c r="D44" s="6" t="str">
        <f>LRTRIM(CONCATENATE(IF(SUMPRODUCT(-- ISNUMBER(SEARCH({"Auto Number"}, $B44))) &gt; 0, $B44, IF(SUMPRODUCT(-- ISNUMBER(SEARCH({"Lookup","Master-Detail"}, $B44))) &gt; 0,$B44 &amp; "(" &amp; $E44 &amp; ")",IF(SUMPRODUCT(-- ISNUMBER(SEARCH({"Formula","Roll-Up Summary"}, $B44))) &gt; 0,$B44 &amp; " (" &amp; $E44 &amp; ")",IF(SUMPRODUCT(-- ISNUMBER(SEARCH({"Content","Currency","Number","Percent","Text","URL"}, $B44))) &gt; 0,$B44 &amp; "(" &amp; $C44 &amp; ")",$B44)))), "  ", TRIM(IF($S44 = "YES", "(External ID)", "") &amp; " " &amp; IF(SUMPRODUCT(-- ISNUMBER(SEARCH({"Unique","Unique Case Insensitive"}, $R44))) &gt; 0, "(" &amp; $R44 &amp; ")", ""))))</f>
        <v>na</v>
      </c>
      <c r="E44" s="7" t="s">
        <v>195</v>
      </c>
      <c r="F44" s="7" t="s">
        <v>195</v>
      </c>
      <c r="G44" s="7" t="s">
        <v>195</v>
      </c>
      <c r="H44" s="7" t="s">
        <v>195</v>
      </c>
      <c r="I44" s="7" t="s">
        <v>195</v>
      </c>
      <c r="J44" s="7" t="s">
        <v>195</v>
      </c>
      <c r="K44" s="7" t="s">
        <v>195</v>
      </c>
      <c r="L44" s="7" t="s">
        <v>195</v>
      </c>
      <c r="M44" s="7" t="s">
        <v>29</v>
      </c>
      <c r="N44" s="7" t="s">
        <v>29</v>
      </c>
      <c r="O44" s="7" t="s">
        <v>29</v>
      </c>
      <c r="P44" s="7" t="s">
        <v>29</v>
      </c>
      <c r="Q44" s="7" t="s">
        <v>29</v>
      </c>
      <c r="R44" s="7" t="s">
        <v>29</v>
      </c>
      <c r="S44" s="7" t="s">
        <v>29</v>
      </c>
    </row>
    <row r="45" spans="2:19">
      <c r="B45" s="7" t="s">
        <v>195</v>
      </c>
      <c r="C45" s="8" t="s">
        <v>195</v>
      </c>
      <c r="D45" s="6" t="str">
        <f>LRTRIM(CONCATENATE(IF(SUMPRODUCT(-- ISNUMBER(SEARCH({"Auto Number"}, $B45))) &gt; 0, $B45, IF(SUMPRODUCT(-- ISNUMBER(SEARCH({"Lookup","Master-Detail"}, $B45))) &gt; 0,$B45 &amp; "(" &amp; $E45 &amp; ")",IF(SUMPRODUCT(-- ISNUMBER(SEARCH({"Formula","Roll-Up Summary"}, $B45))) &gt; 0,$B45 &amp; " (" &amp; $E45 &amp; ")",IF(SUMPRODUCT(-- ISNUMBER(SEARCH({"Content","Currency","Number","Percent","Text","URL"}, $B45))) &gt; 0,$B45 &amp; "(" &amp; $C45 &amp; ")",$B45)))), "  ", TRIM(IF($S45 = "YES", "(External ID)", "") &amp; " " &amp; IF(SUMPRODUCT(-- ISNUMBER(SEARCH({"Unique","Unique Case Insensitive"}, $R45))) &gt; 0, "(" &amp; $R45 &amp; ")", ""))))</f>
        <v>na</v>
      </c>
      <c r="E45" s="7" t="s">
        <v>195</v>
      </c>
      <c r="F45" s="7" t="s">
        <v>195</v>
      </c>
      <c r="G45" s="7" t="s">
        <v>195</v>
      </c>
      <c r="H45" s="7" t="s">
        <v>195</v>
      </c>
      <c r="I45" s="7" t="s">
        <v>195</v>
      </c>
      <c r="J45" s="7" t="s">
        <v>195</v>
      </c>
      <c r="K45" s="7" t="s">
        <v>195</v>
      </c>
      <c r="L45" s="7" t="s">
        <v>195</v>
      </c>
      <c r="M45" s="7" t="s">
        <v>29</v>
      </c>
      <c r="N45" s="7" t="s">
        <v>29</v>
      </c>
      <c r="O45" s="7" t="s">
        <v>29</v>
      </c>
      <c r="P45" s="7" t="s">
        <v>29</v>
      </c>
      <c r="Q45" s="7" t="s">
        <v>29</v>
      </c>
      <c r="R45" s="7" t="s">
        <v>29</v>
      </c>
      <c r="S45" s="7" t="s">
        <v>29</v>
      </c>
    </row>
    <row r="46" spans="2:19">
      <c r="B46" s="7" t="s">
        <v>195</v>
      </c>
      <c r="C46" s="8" t="s">
        <v>195</v>
      </c>
      <c r="D46" s="6" t="str">
        <f>LRTRIM(CONCATENATE(IF(SUMPRODUCT(-- ISNUMBER(SEARCH({"Auto Number"}, $B46))) &gt; 0, $B46, IF(SUMPRODUCT(-- ISNUMBER(SEARCH({"Lookup","Master-Detail"}, $B46))) &gt; 0,$B46 &amp; "(" &amp; $E46 &amp; ")",IF(SUMPRODUCT(-- ISNUMBER(SEARCH({"Formula","Roll-Up Summary"}, $B46))) &gt; 0,$B46 &amp; " (" &amp; $E46 &amp; ")",IF(SUMPRODUCT(-- ISNUMBER(SEARCH({"Content","Currency","Number","Percent","Text","URL"}, $B46))) &gt; 0,$B46 &amp; "(" &amp; $C46 &amp; ")",$B46)))), "  ", TRIM(IF($S46 = "YES", "(External ID)", "") &amp; " " &amp; IF(SUMPRODUCT(-- ISNUMBER(SEARCH({"Unique","Unique Case Insensitive"}, $R46))) &gt; 0, "(" &amp; $R46 &amp; ")", ""))))</f>
        <v>na</v>
      </c>
      <c r="E46" s="7" t="s">
        <v>195</v>
      </c>
      <c r="F46" s="7" t="s">
        <v>195</v>
      </c>
      <c r="G46" s="7" t="s">
        <v>195</v>
      </c>
      <c r="H46" s="7" t="s">
        <v>195</v>
      </c>
      <c r="I46" s="7" t="s">
        <v>195</v>
      </c>
      <c r="J46" s="7" t="s">
        <v>195</v>
      </c>
      <c r="K46" s="7" t="s">
        <v>195</v>
      </c>
      <c r="L46" s="7" t="s">
        <v>195</v>
      </c>
      <c r="M46" s="7" t="s">
        <v>29</v>
      </c>
      <c r="N46" s="7" t="s">
        <v>29</v>
      </c>
      <c r="O46" s="7" t="s">
        <v>29</v>
      </c>
      <c r="P46" s="7" t="s">
        <v>29</v>
      </c>
      <c r="Q46" s="7" t="s">
        <v>29</v>
      </c>
      <c r="R46" s="7" t="s">
        <v>29</v>
      </c>
      <c r="S46" s="7" t="s">
        <v>29</v>
      </c>
    </row>
    <row r="47" spans="2:19">
      <c r="B47" s="7" t="s">
        <v>195</v>
      </c>
      <c r="C47" s="8" t="s">
        <v>195</v>
      </c>
      <c r="D47" s="6" t="str">
        <f>LRTRIM(CONCATENATE(IF(SUMPRODUCT(-- ISNUMBER(SEARCH({"Auto Number"}, $B47))) &gt; 0, $B47, IF(SUMPRODUCT(-- ISNUMBER(SEARCH({"Lookup","Master-Detail"}, $B47))) &gt; 0,$B47 &amp; "(" &amp; $E47 &amp; ")",IF(SUMPRODUCT(-- ISNUMBER(SEARCH({"Formula","Roll-Up Summary"}, $B47))) &gt; 0,$B47 &amp; " (" &amp; $E47 &amp; ")",IF(SUMPRODUCT(-- ISNUMBER(SEARCH({"Content","Currency","Number","Percent","Text","URL"}, $B47))) &gt; 0,$B47 &amp; "(" &amp; $C47 &amp; ")",$B47)))), "  ", TRIM(IF($S47 = "YES", "(External ID)", "") &amp; " " &amp; IF(SUMPRODUCT(-- ISNUMBER(SEARCH({"Unique","Unique Case Insensitive"}, $R47))) &gt; 0, "(" &amp; $R47 &amp; ")", ""))))</f>
        <v>na</v>
      </c>
      <c r="E47" s="7" t="s">
        <v>195</v>
      </c>
      <c r="F47" s="7" t="s">
        <v>195</v>
      </c>
      <c r="G47" s="7" t="s">
        <v>195</v>
      </c>
      <c r="H47" s="7" t="s">
        <v>195</v>
      </c>
      <c r="I47" s="7" t="s">
        <v>195</v>
      </c>
      <c r="J47" s="7" t="s">
        <v>195</v>
      </c>
      <c r="K47" s="7" t="s">
        <v>195</v>
      </c>
      <c r="L47" s="7" t="s">
        <v>195</v>
      </c>
      <c r="M47" s="7" t="s">
        <v>29</v>
      </c>
      <c r="N47" s="7" t="s">
        <v>29</v>
      </c>
      <c r="O47" s="7" t="s">
        <v>29</v>
      </c>
      <c r="P47" s="7" t="s">
        <v>29</v>
      </c>
      <c r="Q47" s="7" t="s">
        <v>29</v>
      </c>
      <c r="R47" s="7" t="s">
        <v>29</v>
      </c>
      <c r="S47" s="7" t="s">
        <v>29</v>
      </c>
    </row>
    <row r="48" spans="2:19">
      <c r="B48" s="7" t="s">
        <v>195</v>
      </c>
      <c r="C48" s="8" t="s">
        <v>195</v>
      </c>
      <c r="D48" s="6" t="str">
        <f>LRTRIM(CONCATENATE(IF(SUMPRODUCT(-- ISNUMBER(SEARCH({"Auto Number"}, $B48))) &gt; 0, $B48, IF(SUMPRODUCT(-- ISNUMBER(SEARCH({"Lookup","Master-Detail"}, $B48))) &gt; 0,$B48 &amp; "(" &amp; $E48 &amp; ")",IF(SUMPRODUCT(-- ISNUMBER(SEARCH({"Formula","Roll-Up Summary"}, $B48))) &gt; 0,$B48 &amp; " (" &amp; $E48 &amp; ")",IF(SUMPRODUCT(-- ISNUMBER(SEARCH({"Content","Currency","Number","Percent","Text","URL"}, $B48))) &gt; 0,$B48 &amp; "(" &amp; $C48 &amp; ")",$B48)))), "  ", TRIM(IF($S48 = "YES", "(External ID)", "") &amp; " " &amp; IF(SUMPRODUCT(-- ISNUMBER(SEARCH({"Unique","Unique Case Insensitive"}, $R48))) &gt; 0, "(" &amp; $R48 &amp; ")", ""))))</f>
        <v>na</v>
      </c>
      <c r="E48" s="7" t="s">
        <v>195</v>
      </c>
      <c r="F48" s="7" t="s">
        <v>195</v>
      </c>
      <c r="G48" s="7" t="s">
        <v>195</v>
      </c>
      <c r="H48" s="7" t="s">
        <v>195</v>
      </c>
      <c r="I48" s="7" t="s">
        <v>195</v>
      </c>
      <c r="J48" s="7" t="s">
        <v>195</v>
      </c>
      <c r="K48" s="7" t="s">
        <v>195</v>
      </c>
      <c r="L48" s="7" t="s">
        <v>195</v>
      </c>
      <c r="M48" s="7" t="s">
        <v>29</v>
      </c>
      <c r="N48" s="7" t="s">
        <v>29</v>
      </c>
      <c r="O48" s="7" t="s">
        <v>29</v>
      </c>
      <c r="P48" s="7" t="s">
        <v>29</v>
      </c>
      <c r="Q48" s="7" t="s">
        <v>29</v>
      </c>
      <c r="R48" s="7" t="s">
        <v>29</v>
      </c>
      <c r="S48" s="7" t="s">
        <v>29</v>
      </c>
    </row>
    <row r="49" spans="2:19">
      <c r="B49" s="7" t="s">
        <v>195</v>
      </c>
      <c r="C49" s="8" t="s">
        <v>195</v>
      </c>
      <c r="D49" s="6" t="str">
        <f>LRTRIM(CONCATENATE(IF(SUMPRODUCT(-- ISNUMBER(SEARCH({"Auto Number"}, $B49))) &gt; 0, $B49, IF(SUMPRODUCT(-- ISNUMBER(SEARCH({"Lookup","Master-Detail"}, $B49))) &gt; 0,$B49 &amp; "(" &amp; $E49 &amp; ")",IF(SUMPRODUCT(-- ISNUMBER(SEARCH({"Formula","Roll-Up Summary"}, $B49))) &gt; 0,$B49 &amp; " (" &amp; $E49 &amp; ")",IF(SUMPRODUCT(-- ISNUMBER(SEARCH({"Content","Currency","Number","Percent","Text","URL"}, $B49))) &gt; 0,$B49 &amp; "(" &amp; $C49 &amp; ")",$B49)))), "  ", TRIM(IF($S49 = "YES", "(External ID)", "") &amp; " " &amp; IF(SUMPRODUCT(-- ISNUMBER(SEARCH({"Unique","Unique Case Insensitive"}, $R49))) &gt; 0, "(" &amp; $R49 &amp; ")", ""))))</f>
        <v>na</v>
      </c>
      <c r="E49" s="7" t="s">
        <v>195</v>
      </c>
      <c r="F49" s="7" t="s">
        <v>195</v>
      </c>
      <c r="G49" s="7" t="s">
        <v>195</v>
      </c>
      <c r="H49" s="7" t="s">
        <v>195</v>
      </c>
      <c r="I49" s="7" t="s">
        <v>195</v>
      </c>
      <c r="J49" s="7" t="s">
        <v>195</v>
      </c>
      <c r="K49" s="7" t="s">
        <v>195</v>
      </c>
      <c r="L49" s="7" t="s">
        <v>195</v>
      </c>
      <c r="M49" s="7" t="s">
        <v>29</v>
      </c>
      <c r="N49" s="7" t="s">
        <v>29</v>
      </c>
      <c r="O49" s="7" t="s">
        <v>29</v>
      </c>
      <c r="P49" s="7" t="s">
        <v>29</v>
      </c>
      <c r="Q49" s="7" t="s">
        <v>29</v>
      </c>
      <c r="R49" s="7" t="s">
        <v>29</v>
      </c>
      <c r="S49" s="7" t="s">
        <v>29</v>
      </c>
    </row>
    <row r="50" spans="2:19">
      <c r="B50" s="7" t="s">
        <v>195</v>
      </c>
      <c r="C50" s="8" t="s">
        <v>195</v>
      </c>
      <c r="D50" s="6" t="str">
        <f>LRTRIM(CONCATENATE(IF(SUMPRODUCT(-- ISNUMBER(SEARCH({"Auto Number"}, $B50))) &gt; 0, $B50, IF(SUMPRODUCT(-- ISNUMBER(SEARCH({"Lookup","Master-Detail"}, $B50))) &gt; 0,$B50 &amp; "(" &amp; $E50 &amp; ")",IF(SUMPRODUCT(-- ISNUMBER(SEARCH({"Formula","Roll-Up Summary"}, $B50))) &gt; 0,$B50 &amp; " (" &amp; $E50 &amp; ")",IF(SUMPRODUCT(-- ISNUMBER(SEARCH({"Content","Currency","Number","Percent","Text","URL"}, $B50))) &gt; 0,$B50 &amp; "(" &amp; $C50 &amp; ")",$B50)))), "  ", TRIM(IF($S50 = "YES", "(External ID)", "") &amp; " " &amp; IF(SUMPRODUCT(-- ISNUMBER(SEARCH({"Unique","Unique Case Insensitive"}, $R50))) &gt; 0, "(" &amp; $R50 &amp; ")", ""))))</f>
        <v>na</v>
      </c>
      <c r="E50" s="7" t="s">
        <v>195</v>
      </c>
      <c r="F50" s="7" t="s">
        <v>195</v>
      </c>
      <c r="G50" s="7" t="s">
        <v>195</v>
      </c>
      <c r="H50" s="7" t="s">
        <v>195</v>
      </c>
      <c r="I50" s="7" t="s">
        <v>195</v>
      </c>
      <c r="J50" s="7" t="s">
        <v>195</v>
      </c>
      <c r="K50" s="7" t="s">
        <v>195</v>
      </c>
      <c r="L50" s="7" t="s">
        <v>195</v>
      </c>
      <c r="M50" s="7" t="s">
        <v>29</v>
      </c>
      <c r="N50" s="7" t="s">
        <v>29</v>
      </c>
      <c r="O50" s="7" t="s">
        <v>29</v>
      </c>
      <c r="P50" s="7" t="s">
        <v>29</v>
      </c>
      <c r="Q50" s="7" t="s">
        <v>29</v>
      </c>
      <c r="R50" s="7" t="s">
        <v>29</v>
      </c>
      <c r="S50" s="7" t="s">
        <v>29</v>
      </c>
    </row>
    <row r="51" spans="2:19">
      <c r="B51" s="7" t="s">
        <v>195</v>
      </c>
      <c r="C51" s="8" t="s">
        <v>195</v>
      </c>
      <c r="D51" s="6" t="str">
        <f>LRTRIM(CONCATENATE(IF(SUMPRODUCT(-- ISNUMBER(SEARCH({"Auto Number"}, $B51))) &gt; 0, $B51, IF(SUMPRODUCT(-- ISNUMBER(SEARCH({"Lookup","Master-Detail"}, $B51))) &gt; 0,$B51 &amp; "(" &amp; $E51 &amp; ")",IF(SUMPRODUCT(-- ISNUMBER(SEARCH({"Formula","Roll-Up Summary"}, $B51))) &gt; 0,$B51 &amp; " (" &amp; $E51 &amp; ")",IF(SUMPRODUCT(-- ISNUMBER(SEARCH({"Content","Currency","Number","Percent","Text","URL"}, $B51))) &gt; 0,$B51 &amp; "(" &amp; $C51 &amp; ")",$B51)))), "  ", TRIM(IF($S51 = "YES", "(External ID)", "") &amp; " " &amp; IF(SUMPRODUCT(-- ISNUMBER(SEARCH({"Unique","Unique Case Insensitive"}, $R51))) &gt; 0, "(" &amp; $R51 &amp; ")", ""))))</f>
        <v>na</v>
      </c>
      <c r="E51" s="7" t="s">
        <v>195</v>
      </c>
      <c r="F51" s="7" t="s">
        <v>195</v>
      </c>
      <c r="G51" s="7" t="s">
        <v>195</v>
      </c>
      <c r="H51" s="7" t="s">
        <v>195</v>
      </c>
      <c r="I51" s="7" t="s">
        <v>195</v>
      </c>
      <c r="J51" s="7" t="s">
        <v>195</v>
      </c>
      <c r="K51" s="7" t="s">
        <v>195</v>
      </c>
      <c r="L51" s="7" t="s">
        <v>195</v>
      </c>
      <c r="M51" s="7" t="s">
        <v>29</v>
      </c>
      <c r="N51" s="7" t="s">
        <v>29</v>
      </c>
      <c r="O51" s="7" t="s">
        <v>29</v>
      </c>
      <c r="P51" s="7" t="s">
        <v>29</v>
      </c>
      <c r="Q51" s="7" t="s">
        <v>29</v>
      </c>
      <c r="R51" s="7" t="s">
        <v>29</v>
      </c>
      <c r="S51" s="7" t="s">
        <v>29</v>
      </c>
    </row>
    <row r="52" spans="2:19">
      <c r="B52" s="7" t="s">
        <v>195</v>
      </c>
      <c r="C52" s="8" t="s">
        <v>195</v>
      </c>
      <c r="D52" s="6" t="str">
        <f>LRTRIM(CONCATENATE(IF(SUMPRODUCT(-- ISNUMBER(SEARCH({"Auto Number"}, $B52))) &gt; 0, $B52, IF(SUMPRODUCT(-- ISNUMBER(SEARCH({"Lookup","Master-Detail"}, $B52))) &gt; 0,$B52 &amp; "(" &amp; $E52 &amp; ")",IF(SUMPRODUCT(-- ISNUMBER(SEARCH({"Formula","Roll-Up Summary"}, $B52))) &gt; 0,$B52 &amp; " (" &amp; $E52 &amp; ")",IF(SUMPRODUCT(-- ISNUMBER(SEARCH({"Content","Currency","Number","Percent","Text","URL"}, $B52))) &gt; 0,$B52 &amp; "(" &amp; $C52 &amp; ")",$B52)))), "  ", TRIM(IF($S52 = "YES", "(External ID)", "") &amp; " " &amp; IF(SUMPRODUCT(-- ISNUMBER(SEARCH({"Unique","Unique Case Insensitive"}, $R52))) &gt; 0, "(" &amp; $R52 &amp; ")", ""))))</f>
        <v>na</v>
      </c>
      <c r="E52" s="7" t="s">
        <v>195</v>
      </c>
      <c r="F52" s="7" t="s">
        <v>195</v>
      </c>
      <c r="G52" s="7" t="s">
        <v>195</v>
      </c>
      <c r="H52" s="7" t="s">
        <v>195</v>
      </c>
      <c r="I52" s="7" t="s">
        <v>195</v>
      </c>
      <c r="J52" s="7" t="s">
        <v>195</v>
      </c>
      <c r="K52" s="7" t="s">
        <v>195</v>
      </c>
      <c r="L52" s="7" t="s">
        <v>195</v>
      </c>
      <c r="M52" s="7" t="s">
        <v>29</v>
      </c>
      <c r="N52" s="7" t="s">
        <v>29</v>
      </c>
      <c r="O52" s="7" t="s">
        <v>29</v>
      </c>
      <c r="P52" s="7" t="s">
        <v>29</v>
      </c>
      <c r="Q52" s="7" t="s">
        <v>29</v>
      </c>
      <c r="R52" s="7" t="s">
        <v>29</v>
      </c>
      <c r="S52" s="7" t="s">
        <v>29</v>
      </c>
    </row>
    <row r="53" spans="2:19">
      <c r="B53" s="7" t="s">
        <v>195</v>
      </c>
      <c r="C53" s="8" t="s">
        <v>195</v>
      </c>
      <c r="D53" s="6" t="str">
        <f>LRTRIM(CONCATENATE(IF(SUMPRODUCT(-- ISNUMBER(SEARCH({"Auto Number"}, $B53))) &gt; 0, $B53, IF(SUMPRODUCT(-- ISNUMBER(SEARCH({"Lookup","Master-Detail"}, $B53))) &gt; 0,$B53 &amp; "(" &amp; $E53 &amp; ")",IF(SUMPRODUCT(-- ISNUMBER(SEARCH({"Formula","Roll-Up Summary"}, $B53))) &gt; 0,$B53 &amp; " (" &amp; $E53 &amp; ")",IF(SUMPRODUCT(-- ISNUMBER(SEARCH({"Content","Currency","Number","Percent","Text","URL"}, $B53))) &gt; 0,$B53 &amp; "(" &amp; $C53 &amp; ")",$B53)))), "  ", TRIM(IF($S53 = "YES", "(External ID)", "") &amp; " " &amp; IF(SUMPRODUCT(-- ISNUMBER(SEARCH({"Unique","Unique Case Insensitive"}, $R53))) &gt; 0, "(" &amp; $R53 &amp; ")", ""))))</f>
        <v>na</v>
      </c>
      <c r="E53" s="7" t="s">
        <v>195</v>
      </c>
      <c r="F53" s="7" t="s">
        <v>195</v>
      </c>
      <c r="G53" s="7" t="s">
        <v>195</v>
      </c>
      <c r="H53" s="7" t="s">
        <v>195</v>
      </c>
      <c r="I53" s="7" t="s">
        <v>195</v>
      </c>
      <c r="J53" s="7" t="s">
        <v>195</v>
      </c>
      <c r="K53" s="7" t="s">
        <v>195</v>
      </c>
      <c r="L53" s="7" t="s">
        <v>195</v>
      </c>
      <c r="M53" s="7" t="s">
        <v>29</v>
      </c>
      <c r="N53" s="7" t="s">
        <v>29</v>
      </c>
      <c r="O53" s="7" t="s">
        <v>29</v>
      </c>
      <c r="P53" s="7" t="s">
        <v>29</v>
      </c>
      <c r="Q53" s="7" t="s">
        <v>29</v>
      </c>
      <c r="R53" s="7" t="s">
        <v>29</v>
      </c>
      <c r="S53" s="7" t="s">
        <v>29</v>
      </c>
    </row>
    <row r="54" spans="2:19">
      <c r="B54" s="7" t="s">
        <v>195</v>
      </c>
      <c r="C54" s="8" t="s">
        <v>195</v>
      </c>
      <c r="D54" s="6" t="str">
        <f>LRTRIM(CONCATENATE(IF(SUMPRODUCT(-- ISNUMBER(SEARCH({"Auto Number"}, $B54))) &gt; 0, $B54, IF(SUMPRODUCT(-- ISNUMBER(SEARCH({"Lookup","Master-Detail"}, $B54))) &gt; 0,$B54 &amp; "(" &amp; $E54 &amp; ")",IF(SUMPRODUCT(-- ISNUMBER(SEARCH({"Formula","Roll-Up Summary"}, $B54))) &gt; 0,$B54 &amp; " (" &amp; $E54 &amp; ")",IF(SUMPRODUCT(-- ISNUMBER(SEARCH({"Content","Currency","Number","Percent","Text","URL"}, $B54))) &gt; 0,$B54 &amp; "(" &amp; $C54 &amp; ")",$B54)))), "  ", TRIM(IF($S54 = "YES", "(External ID)", "") &amp; " " &amp; IF(SUMPRODUCT(-- ISNUMBER(SEARCH({"Unique","Unique Case Insensitive"}, $R54))) &gt; 0, "(" &amp; $R54 &amp; ")", ""))))</f>
        <v>na</v>
      </c>
      <c r="E54" s="7" t="s">
        <v>195</v>
      </c>
      <c r="F54" s="7" t="s">
        <v>195</v>
      </c>
      <c r="G54" s="7" t="s">
        <v>195</v>
      </c>
      <c r="H54" s="7" t="s">
        <v>195</v>
      </c>
      <c r="I54" s="7" t="s">
        <v>195</v>
      </c>
      <c r="J54" s="7" t="s">
        <v>195</v>
      </c>
      <c r="K54" s="7" t="s">
        <v>195</v>
      </c>
      <c r="L54" s="7" t="s">
        <v>195</v>
      </c>
      <c r="M54" s="7" t="s">
        <v>29</v>
      </c>
      <c r="N54" s="7" t="s">
        <v>29</v>
      </c>
      <c r="O54" s="7" t="s">
        <v>29</v>
      </c>
      <c r="P54" s="7" t="s">
        <v>29</v>
      </c>
      <c r="Q54" s="7" t="s">
        <v>29</v>
      </c>
      <c r="R54" s="7" t="s">
        <v>29</v>
      </c>
      <c r="S54" s="7" t="s">
        <v>29</v>
      </c>
    </row>
    <row r="55" spans="2:19">
      <c r="B55" s="7" t="s">
        <v>195</v>
      </c>
      <c r="C55" s="8" t="s">
        <v>195</v>
      </c>
      <c r="D55" s="6" t="str">
        <f>LRTRIM(CONCATENATE(IF(SUMPRODUCT(-- ISNUMBER(SEARCH({"Auto Number"}, $B55))) &gt; 0, $B55, IF(SUMPRODUCT(-- ISNUMBER(SEARCH({"Lookup","Master-Detail"}, $B55))) &gt; 0,$B55 &amp; "(" &amp; $E55 &amp; ")",IF(SUMPRODUCT(-- ISNUMBER(SEARCH({"Formula","Roll-Up Summary"}, $B55))) &gt; 0,$B55 &amp; " (" &amp; $E55 &amp; ")",IF(SUMPRODUCT(-- ISNUMBER(SEARCH({"Content","Currency","Number","Percent","Text","URL"}, $B55))) &gt; 0,$B55 &amp; "(" &amp; $C55 &amp; ")",$B55)))), "  ", TRIM(IF($S55 = "YES", "(External ID)", "") &amp; " " &amp; IF(SUMPRODUCT(-- ISNUMBER(SEARCH({"Unique","Unique Case Insensitive"}, $R55))) &gt; 0, "(" &amp; $R55 &amp; ")", ""))))</f>
        <v>na</v>
      </c>
      <c r="E55" s="7" t="s">
        <v>195</v>
      </c>
      <c r="F55" s="7" t="s">
        <v>195</v>
      </c>
      <c r="G55" s="7" t="s">
        <v>195</v>
      </c>
      <c r="H55" s="7" t="s">
        <v>195</v>
      </c>
      <c r="I55" s="7" t="s">
        <v>195</v>
      </c>
      <c r="J55" s="7" t="s">
        <v>195</v>
      </c>
      <c r="K55" s="7" t="s">
        <v>195</v>
      </c>
      <c r="L55" s="7" t="s">
        <v>195</v>
      </c>
      <c r="M55" s="7" t="s">
        <v>29</v>
      </c>
      <c r="N55" s="7" t="s">
        <v>29</v>
      </c>
      <c r="O55" s="7" t="s">
        <v>29</v>
      </c>
      <c r="P55" s="7" t="s">
        <v>29</v>
      </c>
      <c r="Q55" s="7" t="s">
        <v>29</v>
      </c>
      <c r="R55" s="7" t="s">
        <v>29</v>
      </c>
      <c r="S55" s="7" t="s">
        <v>29</v>
      </c>
    </row>
    <row r="56" spans="2:19">
      <c r="B56" s="7" t="s">
        <v>195</v>
      </c>
      <c r="C56" s="8" t="s">
        <v>195</v>
      </c>
      <c r="D56" s="6" t="str">
        <f>LRTRIM(CONCATENATE(IF(SUMPRODUCT(-- ISNUMBER(SEARCH({"Auto Number"}, $B56))) &gt; 0, $B56, IF(SUMPRODUCT(-- ISNUMBER(SEARCH({"Lookup","Master-Detail"}, $B56))) &gt; 0,$B56 &amp; "(" &amp; $E56 &amp; ")",IF(SUMPRODUCT(-- ISNUMBER(SEARCH({"Formula","Roll-Up Summary"}, $B56))) &gt; 0,$B56 &amp; " (" &amp; $E56 &amp; ")",IF(SUMPRODUCT(-- ISNUMBER(SEARCH({"Content","Currency","Number","Percent","Text","URL"}, $B56))) &gt; 0,$B56 &amp; "(" &amp; $C56 &amp; ")",$B56)))), "  ", TRIM(IF($S56 = "YES", "(External ID)", "") &amp; " " &amp; IF(SUMPRODUCT(-- ISNUMBER(SEARCH({"Unique","Unique Case Insensitive"}, $R56))) &gt; 0, "(" &amp; $R56 &amp; ")", ""))))</f>
        <v>na</v>
      </c>
      <c r="E56" s="7" t="s">
        <v>195</v>
      </c>
      <c r="F56" s="7" t="s">
        <v>195</v>
      </c>
      <c r="G56" s="7" t="s">
        <v>195</v>
      </c>
      <c r="H56" s="7" t="s">
        <v>195</v>
      </c>
      <c r="I56" s="7" t="s">
        <v>195</v>
      </c>
      <c r="J56" s="7" t="s">
        <v>195</v>
      </c>
      <c r="K56" s="7" t="s">
        <v>195</v>
      </c>
      <c r="L56" s="7" t="s">
        <v>195</v>
      </c>
      <c r="M56" s="7" t="s">
        <v>29</v>
      </c>
      <c r="N56" s="7" t="s">
        <v>29</v>
      </c>
      <c r="O56" s="7" t="s">
        <v>29</v>
      </c>
      <c r="P56" s="7" t="s">
        <v>29</v>
      </c>
      <c r="Q56" s="7" t="s">
        <v>29</v>
      </c>
      <c r="R56" s="7" t="s">
        <v>29</v>
      </c>
      <c r="S56" s="7" t="s">
        <v>29</v>
      </c>
    </row>
    <row r="57" spans="2:19">
      <c r="B57" s="7" t="s">
        <v>195</v>
      </c>
      <c r="C57" s="8" t="s">
        <v>195</v>
      </c>
      <c r="D57" s="6" t="str">
        <f>LRTRIM(CONCATENATE(IF(SUMPRODUCT(-- ISNUMBER(SEARCH({"Auto Number"}, $B57))) &gt; 0, $B57, IF(SUMPRODUCT(-- ISNUMBER(SEARCH({"Lookup","Master-Detail"}, $B57))) &gt; 0,$B57 &amp; "(" &amp; $E57 &amp; ")",IF(SUMPRODUCT(-- ISNUMBER(SEARCH({"Formula","Roll-Up Summary"}, $B57))) &gt; 0,$B57 &amp; " (" &amp; $E57 &amp; ")",IF(SUMPRODUCT(-- ISNUMBER(SEARCH({"Content","Currency","Number","Percent","Text","URL"}, $B57))) &gt; 0,$B57 &amp; "(" &amp; $C57 &amp; ")",$B57)))), "  ", TRIM(IF($S57 = "YES", "(External ID)", "") &amp; " " &amp; IF(SUMPRODUCT(-- ISNUMBER(SEARCH({"Unique","Unique Case Insensitive"}, $R57))) &gt; 0, "(" &amp; $R57 &amp; ")", ""))))</f>
        <v>na</v>
      </c>
      <c r="E57" s="7" t="s">
        <v>195</v>
      </c>
      <c r="F57" s="7" t="s">
        <v>195</v>
      </c>
      <c r="G57" s="7" t="s">
        <v>195</v>
      </c>
      <c r="H57" s="7" t="s">
        <v>195</v>
      </c>
      <c r="I57" s="7" t="s">
        <v>195</v>
      </c>
      <c r="J57" s="7" t="s">
        <v>195</v>
      </c>
      <c r="K57" s="7" t="s">
        <v>195</v>
      </c>
      <c r="L57" s="7" t="s">
        <v>195</v>
      </c>
      <c r="M57" s="7" t="s">
        <v>29</v>
      </c>
      <c r="N57" s="7" t="s">
        <v>29</v>
      </c>
      <c r="O57" s="7" t="s">
        <v>29</v>
      </c>
      <c r="P57" s="7" t="s">
        <v>29</v>
      </c>
      <c r="Q57" s="7" t="s">
        <v>29</v>
      </c>
      <c r="R57" s="7" t="s">
        <v>29</v>
      </c>
      <c r="S57" s="7" t="s">
        <v>29</v>
      </c>
    </row>
    <row r="58" spans="2:19">
      <c r="B58" s="7" t="s">
        <v>195</v>
      </c>
      <c r="C58" s="8" t="s">
        <v>195</v>
      </c>
      <c r="D58" s="6" t="str">
        <f>LRTRIM(CONCATENATE(IF(SUMPRODUCT(-- ISNUMBER(SEARCH({"Auto Number"}, $B58))) &gt; 0, $B58, IF(SUMPRODUCT(-- ISNUMBER(SEARCH({"Lookup","Master-Detail"}, $B58))) &gt; 0,$B58 &amp; "(" &amp; $E58 &amp; ")",IF(SUMPRODUCT(-- ISNUMBER(SEARCH({"Formula","Roll-Up Summary"}, $B58))) &gt; 0,$B58 &amp; " (" &amp; $E58 &amp; ")",IF(SUMPRODUCT(-- ISNUMBER(SEARCH({"Content","Currency","Number","Percent","Text","URL"}, $B58))) &gt; 0,$B58 &amp; "(" &amp; $C58 &amp; ")",$B58)))), "  ", TRIM(IF($S58 = "YES", "(External ID)", "") &amp; " " &amp; IF(SUMPRODUCT(-- ISNUMBER(SEARCH({"Unique","Unique Case Insensitive"}, $R58))) &gt; 0, "(" &amp; $R58 &amp; ")", ""))))</f>
        <v>na</v>
      </c>
      <c r="E58" s="7" t="s">
        <v>195</v>
      </c>
      <c r="F58" s="7" t="s">
        <v>195</v>
      </c>
      <c r="G58" s="7" t="s">
        <v>195</v>
      </c>
      <c r="H58" s="7" t="s">
        <v>195</v>
      </c>
      <c r="I58" s="7" t="s">
        <v>195</v>
      </c>
      <c r="J58" s="7" t="s">
        <v>195</v>
      </c>
      <c r="K58" s="7" t="s">
        <v>195</v>
      </c>
      <c r="L58" s="7" t="s">
        <v>195</v>
      </c>
      <c r="M58" s="7" t="s">
        <v>29</v>
      </c>
      <c r="N58" s="7" t="s">
        <v>29</v>
      </c>
      <c r="O58" s="7" t="s">
        <v>29</v>
      </c>
      <c r="P58" s="7" t="s">
        <v>29</v>
      </c>
      <c r="Q58" s="7" t="s">
        <v>29</v>
      </c>
      <c r="R58" s="7" t="s">
        <v>29</v>
      </c>
      <c r="S58" s="7" t="s">
        <v>29</v>
      </c>
    </row>
    <row r="59" spans="2:19">
      <c r="B59" s="7" t="s">
        <v>195</v>
      </c>
      <c r="C59" s="8" t="s">
        <v>195</v>
      </c>
      <c r="D59" s="6" t="str">
        <f>LRTRIM(CONCATENATE(IF(SUMPRODUCT(-- ISNUMBER(SEARCH({"Auto Number"}, $B59))) &gt; 0, $B59, IF(SUMPRODUCT(-- ISNUMBER(SEARCH({"Lookup","Master-Detail"}, $B59))) &gt; 0,$B59 &amp; "(" &amp; $E59 &amp; ")",IF(SUMPRODUCT(-- ISNUMBER(SEARCH({"Formula","Roll-Up Summary"}, $B59))) &gt; 0,$B59 &amp; " (" &amp; $E59 &amp; ")",IF(SUMPRODUCT(-- ISNUMBER(SEARCH({"Content","Currency","Number","Percent","Text","URL"}, $B59))) &gt; 0,$B59 &amp; "(" &amp; $C59 &amp; ")",$B59)))), "  ", TRIM(IF($S59 = "YES", "(External ID)", "") &amp; " " &amp; IF(SUMPRODUCT(-- ISNUMBER(SEARCH({"Unique","Unique Case Insensitive"}, $R59))) &gt; 0, "(" &amp; $R59 &amp; ")", ""))))</f>
        <v>na</v>
      </c>
      <c r="E59" s="7" t="s">
        <v>195</v>
      </c>
      <c r="F59" s="7" t="s">
        <v>195</v>
      </c>
      <c r="G59" s="7" t="s">
        <v>195</v>
      </c>
      <c r="H59" s="7" t="s">
        <v>195</v>
      </c>
      <c r="I59" s="7" t="s">
        <v>195</v>
      </c>
      <c r="J59" s="7" t="s">
        <v>195</v>
      </c>
      <c r="K59" s="7" t="s">
        <v>195</v>
      </c>
      <c r="L59" s="7" t="s">
        <v>195</v>
      </c>
      <c r="M59" s="7" t="s">
        <v>29</v>
      </c>
      <c r="N59" s="7" t="s">
        <v>29</v>
      </c>
      <c r="O59" s="7" t="s">
        <v>29</v>
      </c>
      <c r="P59" s="7" t="s">
        <v>29</v>
      </c>
      <c r="Q59" s="7" t="s">
        <v>29</v>
      </c>
      <c r="R59" s="7" t="s">
        <v>29</v>
      </c>
      <c r="S59" s="7" t="s">
        <v>29</v>
      </c>
    </row>
    <row r="60" spans="2:19">
      <c r="B60" s="7" t="s">
        <v>195</v>
      </c>
      <c r="C60" s="8" t="s">
        <v>195</v>
      </c>
      <c r="D60" s="6" t="str">
        <f>LRTRIM(CONCATENATE(IF(SUMPRODUCT(-- ISNUMBER(SEARCH({"Auto Number"}, $B60))) &gt; 0, $B60, IF(SUMPRODUCT(-- ISNUMBER(SEARCH({"Lookup","Master-Detail"}, $B60))) &gt; 0,$B60 &amp; "(" &amp; $E60 &amp; ")",IF(SUMPRODUCT(-- ISNUMBER(SEARCH({"Formula","Roll-Up Summary"}, $B60))) &gt; 0,$B60 &amp; " (" &amp; $E60 &amp; ")",IF(SUMPRODUCT(-- ISNUMBER(SEARCH({"Content","Currency","Number","Percent","Text","URL"}, $B60))) &gt; 0,$B60 &amp; "(" &amp; $C60 &amp; ")",$B60)))), "  ", TRIM(IF($S60 = "YES", "(External ID)", "") &amp; " " &amp; IF(SUMPRODUCT(-- ISNUMBER(SEARCH({"Unique","Unique Case Insensitive"}, $R60))) &gt; 0, "(" &amp; $R60 &amp; ")", ""))))</f>
        <v>na</v>
      </c>
      <c r="E60" s="7" t="s">
        <v>195</v>
      </c>
      <c r="F60" s="7" t="s">
        <v>195</v>
      </c>
      <c r="G60" s="7" t="s">
        <v>195</v>
      </c>
      <c r="H60" s="7" t="s">
        <v>195</v>
      </c>
      <c r="I60" s="7" t="s">
        <v>195</v>
      </c>
      <c r="J60" s="7" t="s">
        <v>195</v>
      </c>
      <c r="K60" s="7" t="s">
        <v>195</v>
      </c>
      <c r="L60" s="7" t="s">
        <v>195</v>
      </c>
      <c r="M60" s="7" t="s">
        <v>29</v>
      </c>
      <c r="N60" s="7" t="s">
        <v>29</v>
      </c>
      <c r="O60" s="7" t="s">
        <v>29</v>
      </c>
      <c r="P60" s="7" t="s">
        <v>29</v>
      </c>
      <c r="Q60" s="7" t="s">
        <v>29</v>
      </c>
      <c r="R60" s="7" t="s">
        <v>29</v>
      </c>
      <c r="S60" s="7" t="s">
        <v>29</v>
      </c>
    </row>
    <row r="61" spans="2:19">
      <c r="B61" s="7" t="s">
        <v>195</v>
      </c>
      <c r="C61" s="8" t="s">
        <v>195</v>
      </c>
      <c r="D61" s="6" t="str">
        <f>LRTRIM(CONCATENATE(IF(SUMPRODUCT(-- ISNUMBER(SEARCH({"Auto Number"}, $B61))) &gt; 0, $B61, IF(SUMPRODUCT(-- ISNUMBER(SEARCH({"Lookup","Master-Detail"}, $B61))) &gt; 0,$B61 &amp; "(" &amp; $E61 &amp; ")",IF(SUMPRODUCT(-- ISNUMBER(SEARCH({"Formula","Roll-Up Summary"}, $B61))) &gt; 0,$B61 &amp; " (" &amp; $E61 &amp; ")",IF(SUMPRODUCT(-- ISNUMBER(SEARCH({"Content","Currency","Number","Percent","Text","URL"}, $B61))) &gt; 0,$B61 &amp; "(" &amp; $C61 &amp; ")",$B61)))), "  ", TRIM(IF($S61 = "YES", "(External ID)", "") &amp; " " &amp; IF(SUMPRODUCT(-- ISNUMBER(SEARCH({"Unique","Unique Case Insensitive"}, $R61))) &gt; 0, "(" &amp; $R61 &amp; ")", ""))))</f>
        <v>na</v>
      </c>
      <c r="E61" s="7" t="s">
        <v>195</v>
      </c>
      <c r="F61" s="7" t="s">
        <v>195</v>
      </c>
      <c r="G61" s="7" t="s">
        <v>195</v>
      </c>
      <c r="H61" s="7" t="s">
        <v>195</v>
      </c>
      <c r="I61" s="7" t="s">
        <v>195</v>
      </c>
      <c r="J61" s="7" t="s">
        <v>195</v>
      </c>
      <c r="K61" s="7" t="s">
        <v>195</v>
      </c>
      <c r="L61" s="7" t="s">
        <v>195</v>
      </c>
      <c r="M61" s="7" t="s">
        <v>29</v>
      </c>
      <c r="N61" s="7" t="s">
        <v>29</v>
      </c>
      <c r="O61" s="7" t="s">
        <v>29</v>
      </c>
      <c r="P61" s="7" t="s">
        <v>29</v>
      </c>
      <c r="Q61" s="7" t="s">
        <v>29</v>
      </c>
      <c r="R61" s="7" t="s">
        <v>29</v>
      </c>
      <c r="S61" s="7" t="s">
        <v>29</v>
      </c>
    </row>
    <row r="62" spans="2:19">
      <c r="B62" s="7" t="s">
        <v>195</v>
      </c>
      <c r="C62" s="8" t="s">
        <v>195</v>
      </c>
      <c r="D62" s="6" t="str">
        <f>LRTRIM(CONCATENATE(IF(SUMPRODUCT(-- ISNUMBER(SEARCH({"Auto Number"}, $B62))) &gt; 0, $B62, IF(SUMPRODUCT(-- ISNUMBER(SEARCH({"Lookup","Master-Detail"}, $B62))) &gt; 0,$B62 &amp; "(" &amp; $E62 &amp; ")",IF(SUMPRODUCT(-- ISNUMBER(SEARCH({"Formula","Roll-Up Summary"}, $B62))) &gt; 0,$B62 &amp; " (" &amp; $E62 &amp; ")",IF(SUMPRODUCT(-- ISNUMBER(SEARCH({"Content","Currency","Number","Percent","Text","URL"}, $B62))) &gt; 0,$B62 &amp; "(" &amp; $C62 &amp; ")",$B62)))), "  ", TRIM(IF($S62 = "YES", "(External ID)", "") &amp; " " &amp; IF(SUMPRODUCT(-- ISNUMBER(SEARCH({"Unique","Unique Case Insensitive"}, $R62))) &gt; 0, "(" &amp; $R62 &amp; ")", ""))))</f>
        <v>na</v>
      </c>
      <c r="E62" s="7" t="s">
        <v>195</v>
      </c>
      <c r="F62" s="7" t="s">
        <v>195</v>
      </c>
      <c r="G62" s="7" t="s">
        <v>195</v>
      </c>
      <c r="H62" s="7" t="s">
        <v>195</v>
      </c>
      <c r="I62" s="7" t="s">
        <v>195</v>
      </c>
      <c r="J62" s="7" t="s">
        <v>195</v>
      </c>
      <c r="K62" s="7" t="s">
        <v>195</v>
      </c>
      <c r="L62" s="7" t="s">
        <v>195</v>
      </c>
      <c r="M62" s="7" t="s">
        <v>29</v>
      </c>
      <c r="N62" s="7" t="s">
        <v>29</v>
      </c>
      <c r="O62" s="7" t="s">
        <v>29</v>
      </c>
      <c r="P62" s="7" t="s">
        <v>29</v>
      </c>
      <c r="Q62" s="7" t="s">
        <v>29</v>
      </c>
      <c r="R62" s="7" t="s">
        <v>29</v>
      </c>
      <c r="S62" s="7" t="s">
        <v>29</v>
      </c>
    </row>
    <row r="63" spans="2:19">
      <c r="B63" s="7" t="s">
        <v>195</v>
      </c>
      <c r="C63" s="8" t="s">
        <v>195</v>
      </c>
      <c r="D63" s="6" t="str">
        <f>LRTRIM(CONCATENATE(IF(SUMPRODUCT(-- ISNUMBER(SEARCH({"Auto Number"}, $B63))) &gt; 0, $B63, IF(SUMPRODUCT(-- ISNUMBER(SEARCH({"Lookup","Master-Detail"}, $B63))) &gt; 0,$B63 &amp; "(" &amp; $E63 &amp; ")",IF(SUMPRODUCT(-- ISNUMBER(SEARCH({"Formula","Roll-Up Summary"}, $B63))) &gt; 0,$B63 &amp; " (" &amp; $E63 &amp; ")",IF(SUMPRODUCT(-- ISNUMBER(SEARCH({"Content","Currency","Number","Percent","Text","URL"}, $B63))) &gt; 0,$B63 &amp; "(" &amp; $C63 &amp; ")",$B63)))), "  ", TRIM(IF($S63 = "YES", "(External ID)", "") &amp; " " &amp; IF(SUMPRODUCT(-- ISNUMBER(SEARCH({"Unique","Unique Case Insensitive"}, $R63))) &gt; 0, "(" &amp; $R63 &amp; ")", ""))))</f>
        <v>na</v>
      </c>
      <c r="E63" s="7" t="s">
        <v>195</v>
      </c>
      <c r="F63" s="7" t="s">
        <v>195</v>
      </c>
      <c r="G63" s="7" t="s">
        <v>195</v>
      </c>
      <c r="H63" s="7" t="s">
        <v>195</v>
      </c>
      <c r="I63" s="7" t="s">
        <v>195</v>
      </c>
      <c r="J63" s="7" t="s">
        <v>195</v>
      </c>
      <c r="K63" s="7" t="s">
        <v>195</v>
      </c>
      <c r="L63" s="7" t="s">
        <v>195</v>
      </c>
      <c r="M63" s="7" t="s">
        <v>29</v>
      </c>
      <c r="N63" s="7" t="s">
        <v>29</v>
      </c>
      <c r="O63" s="7" t="s">
        <v>29</v>
      </c>
      <c r="P63" s="7" t="s">
        <v>29</v>
      </c>
      <c r="Q63" s="7" t="s">
        <v>29</v>
      </c>
      <c r="R63" s="7" t="s">
        <v>29</v>
      </c>
      <c r="S63" s="7" t="s">
        <v>29</v>
      </c>
    </row>
    <row r="64" spans="2:19">
      <c r="B64" s="7" t="s">
        <v>195</v>
      </c>
      <c r="C64" s="8" t="s">
        <v>195</v>
      </c>
      <c r="D64" s="6" t="str">
        <f>LRTRIM(CONCATENATE(IF(SUMPRODUCT(-- ISNUMBER(SEARCH({"Auto Number"}, $B64))) &gt; 0, $B64, IF(SUMPRODUCT(-- ISNUMBER(SEARCH({"Lookup","Master-Detail"}, $B64))) &gt; 0,$B64 &amp; "(" &amp; $E64 &amp; ")",IF(SUMPRODUCT(-- ISNUMBER(SEARCH({"Formula","Roll-Up Summary"}, $B64))) &gt; 0,$B64 &amp; " (" &amp; $E64 &amp; ")",IF(SUMPRODUCT(-- ISNUMBER(SEARCH({"Content","Currency","Number","Percent","Text","URL"}, $B64))) &gt; 0,$B64 &amp; "(" &amp; $C64 &amp; ")",$B64)))), "  ", TRIM(IF($S64 = "YES", "(External ID)", "") &amp; " " &amp; IF(SUMPRODUCT(-- ISNUMBER(SEARCH({"Unique","Unique Case Insensitive"}, $R64))) &gt; 0, "(" &amp; $R64 &amp; ")", ""))))</f>
        <v>na</v>
      </c>
      <c r="E64" s="7" t="s">
        <v>195</v>
      </c>
      <c r="F64" s="7" t="s">
        <v>195</v>
      </c>
      <c r="G64" s="7" t="s">
        <v>195</v>
      </c>
      <c r="H64" s="7" t="s">
        <v>195</v>
      </c>
      <c r="I64" s="7" t="s">
        <v>195</v>
      </c>
      <c r="J64" s="7" t="s">
        <v>195</v>
      </c>
      <c r="K64" s="7" t="s">
        <v>195</v>
      </c>
      <c r="L64" s="7" t="s">
        <v>195</v>
      </c>
      <c r="M64" s="7" t="s">
        <v>29</v>
      </c>
      <c r="N64" s="7" t="s">
        <v>29</v>
      </c>
      <c r="O64" s="7" t="s">
        <v>29</v>
      </c>
      <c r="P64" s="7" t="s">
        <v>29</v>
      </c>
      <c r="Q64" s="7" t="s">
        <v>29</v>
      </c>
      <c r="R64" s="7" t="s">
        <v>29</v>
      </c>
      <c r="S64" s="7" t="s">
        <v>29</v>
      </c>
    </row>
    <row r="65" spans="2:19">
      <c r="B65" s="7" t="s">
        <v>195</v>
      </c>
      <c r="C65" s="8" t="s">
        <v>195</v>
      </c>
      <c r="D65" s="6" t="str">
        <f>LRTRIM(CONCATENATE(IF(SUMPRODUCT(-- ISNUMBER(SEARCH({"Auto Number"}, $B65))) &gt; 0, $B65, IF(SUMPRODUCT(-- ISNUMBER(SEARCH({"Lookup","Master-Detail"}, $B65))) &gt; 0,$B65 &amp; "(" &amp; $E65 &amp; ")",IF(SUMPRODUCT(-- ISNUMBER(SEARCH({"Formula","Roll-Up Summary"}, $B65))) &gt; 0,$B65 &amp; " (" &amp; $E65 &amp; ")",IF(SUMPRODUCT(-- ISNUMBER(SEARCH({"Content","Currency","Number","Percent","Text","URL"}, $B65))) &gt; 0,$B65 &amp; "(" &amp; $C65 &amp; ")",$B65)))), "  ", TRIM(IF($S65 = "YES", "(External ID)", "") &amp; " " &amp; IF(SUMPRODUCT(-- ISNUMBER(SEARCH({"Unique","Unique Case Insensitive"}, $R65))) &gt; 0, "(" &amp; $R65 &amp; ")", ""))))</f>
        <v>na</v>
      </c>
      <c r="E65" s="7" t="s">
        <v>195</v>
      </c>
      <c r="F65" s="7" t="s">
        <v>195</v>
      </c>
      <c r="G65" s="7" t="s">
        <v>195</v>
      </c>
      <c r="H65" s="7" t="s">
        <v>195</v>
      </c>
      <c r="I65" s="7" t="s">
        <v>195</v>
      </c>
      <c r="J65" s="7" t="s">
        <v>195</v>
      </c>
      <c r="K65" s="7" t="s">
        <v>195</v>
      </c>
      <c r="L65" s="7" t="s">
        <v>195</v>
      </c>
      <c r="M65" s="7" t="s">
        <v>29</v>
      </c>
      <c r="N65" s="7" t="s">
        <v>29</v>
      </c>
      <c r="O65" s="7" t="s">
        <v>29</v>
      </c>
      <c r="P65" s="7" t="s">
        <v>29</v>
      </c>
      <c r="Q65" s="7" t="s">
        <v>29</v>
      </c>
      <c r="R65" s="7" t="s">
        <v>29</v>
      </c>
      <c r="S65" s="7" t="s">
        <v>29</v>
      </c>
    </row>
    <row r="66" spans="2:19">
      <c r="B66" s="7" t="s">
        <v>195</v>
      </c>
      <c r="C66" s="8" t="s">
        <v>195</v>
      </c>
      <c r="D66" s="6" t="str">
        <f>LRTRIM(CONCATENATE(IF(SUMPRODUCT(-- ISNUMBER(SEARCH({"Auto Number"}, $B66))) &gt; 0, $B66, IF(SUMPRODUCT(-- ISNUMBER(SEARCH({"Lookup","Master-Detail"}, $B66))) &gt; 0,$B66 &amp; "(" &amp; $E66 &amp; ")",IF(SUMPRODUCT(-- ISNUMBER(SEARCH({"Formula","Roll-Up Summary"}, $B66))) &gt; 0,$B66 &amp; " (" &amp; $E66 &amp; ")",IF(SUMPRODUCT(-- ISNUMBER(SEARCH({"Content","Currency","Number","Percent","Text","URL"}, $B66))) &gt; 0,$B66 &amp; "(" &amp; $C66 &amp; ")",$B66)))), "  ", TRIM(IF($S66 = "YES", "(External ID)", "") &amp; " " &amp; IF(SUMPRODUCT(-- ISNUMBER(SEARCH({"Unique","Unique Case Insensitive"}, $R66))) &gt; 0, "(" &amp; $R66 &amp; ")", ""))))</f>
        <v>na</v>
      </c>
      <c r="E66" s="7" t="s">
        <v>195</v>
      </c>
      <c r="F66" s="7" t="s">
        <v>195</v>
      </c>
      <c r="G66" s="7" t="s">
        <v>195</v>
      </c>
      <c r="H66" s="7" t="s">
        <v>195</v>
      </c>
      <c r="I66" s="7" t="s">
        <v>195</v>
      </c>
      <c r="J66" s="7" t="s">
        <v>195</v>
      </c>
      <c r="K66" s="7" t="s">
        <v>195</v>
      </c>
      <c r="L66" s="7" t="s">
        <v>195</v>
      </c>
      <c r="M66" s="7" t="s">
        <v>29</v>
      </c>
      <c r="N66" s="7" t="s">
        <v>29</v>
      </c>
      <c r="O66" s="7" t="s">
        <v>29</v>
      </c>
      <c r="P66" s="7" t="s">
        <v>29</v>
      </c>
      <c r="Q66" s="7" t="s">
        <v>29</v>
      </c>
      <c r="R66" s="7" t="s">
        <v>29</v>
      </c>
      <c r="S66" s="7" t="s">
        <v>29</v>
      </c>
    </row>
    <row r="67" spans="2:19">
      <c r="B67" s="7" t="s">
        <v>195</v>
      </c>
      <c r="C67" s="8" t="s">
        <v>195</v>
      </c>
      <c r="D67" s="6" t="str">
        <f>LRTRIM(CONCATENATE(IF(SUMPRODUCT(-- ISNUMBER(SEARCH({"Auto Number"}, $B67))) &gt; 0, $B67, IF(SUMPRODUCT(-- ISNUMBER(SEARCH({"Lookup","Master-Detail"}, $B67))) &gt; 0,$B67 &amp; "(" &amp; $E67 &amp; ")",IF(SUMPRODUCT(-- ISNUMBER(SEARCH({"Formula","Roll-Up Summary"}, $B67))) &gt; 0,$B67 &amp; " (" &amp; $E67 &amp; ")",IF(SUMPRODUCT(-- ISNUMBER(SEARCH({"Content","Currency","Number","Percent","Text","URL"}, $B67))) &gt; 0,$B67 &amp; "(" &amp; $C67 &amp; ")",$B67)))), "  ", TRIM(IF($S67 = "YES", "(External ID)", "") &amp; " " &amp; IF(SUMPRODUCT(-- ISNUMBER(SEARCH({"Unique","Unique Case Insensitive"}, $R67))) &gt; 0, "(" &amp; $R67 &amp; ")", ""))))</f>
        <v>na</v>
      </c>
      <c r="E67" s="7" t="s">
        <v>195</v>
      </c>
      <c r="F67" s="7" t="s">
        <v>195</v>
      </c>
      <c r="G67" s="7" t="s">
        <v>195</v>
      </c>
      <c r="H67" s="7" t="s">
        <v>195</v>
      </c>
      <c r="I67" s="7" t="s">
        <v>195</v>
      </c>
      <c r="J67" s="7" t="s">
        <v>195</v>
      </c>
      <c r="K67" s="7" t="s">
        <v>195</v>
      </c>
      <c r="L67" s="7" t="s">
        <v>195</v>
      </c>
      <c r="M67" s="7" t="s">
        <v>29</v>
      </c>
      <c r="N67" s="7" t="s">
        <v>29</v>
      </c>
      <c r="O67" s="7" t="s">
        <v>29</v>
      </c>
      <c r="P67" s="7" t="s">
        <v>29</v>
      </c>
      <c r="Q67" s="7" t="s">
        <v>29</v>
      </c>
      <c r="R67" s="7" t="s">
        <v>29</v>
      </c>
      <c r="S67" s="7" t="s">
        <v>29</v>
      </c>
    </row>
    <row r="68" spans="2:19">
      <c r="B68" s="7" t="s">
        <v>195</v>
      </c>
      <c r="C68" s="8" t="s">
        <v>195</v>
      </c>
      <c r="D68" s="6" t="str">
        <f>LRTRIM(CONCATENATE(IF(SUMPRODUCT(-- ISNUMBER(SEARCH({"Auto Number"}, $B68))) &gt; 0, $B68, IF(SUMPRODUCT(-- ISNUMBER(SEARCH({"Lookup","Master-Detail"}, $B68))) &gt; 0,$B68 &amp; "(" &amp; $E68 &amp; ")",IF(SUMPRODUCT(-- ISNUMBER(SEARCH({"Formula","Roll-Up Summary"}, $B68))) &gt; 0,$B68 &amp; " (" &amp; $E68 &amp; ")",IF(SUMPRODUCT(-- ISNUMBER(SEARCH({"Content","Currency","Number","Percent","Text","URL"}, $B68))) &gt; 0,$B68 &amp; "(" &amp; $C68 &amp; ")",$B68)))), "  ", TRIM(IF($S68 = "YES", "(External ID)", "") &amp; " " &amp; IF(SUMPRODUCT(-- ISNUMBER(SEARCH({"Unique","Unique Case Insensitive"}, $R68))) &gt; 0, "(" &amp; $R68 &amp; ")", ""))))</f>
        <v>na</v>
      </c>
      <c r="E68" s="7" t="s">
        <v>195</v>
      </c>
      <c r="F68" s="7" t="s">
        <v>195</v>
      </c>
      <c r="G68" s="7" t="s">
        <v>195</v>
      </c>
      <c r="H68" s="7" t="s">
        <v>195</v>
      </c>
      <c r="I68" s="7" t="s">
        <v>195</v>
      </c>
      <c r="J68" s="7" t="s">
        <v>195</v>
      </c>
      <c r="K68" s="7" t="s">
        <v>195</v>
      </c>
      <c r="L68" s="7" t="s">
        <v>195</v>
      </c>
      <c r="M68" s="7" t="s">
        <v>29</v>
      </c>
      <c r="N68" s="7" t="s">
        <v>29</v>
      </c>
      <c r="O68" s="7" t="s">
        <v>29</v>
      </c>
      <c r="P68" s="7" t="s">
        <v>29</v>
      </c>
      <c r="Q68" s="7" t="s">
        <v>29</v>
      </c>
      <c r="R68" s="7" t="s">
        <v>29</v>
      </c>
      <c r="S68" s="7" t="s">
        <v>29</v>
      </c>
    </row>
    <row r="69" spans="2:19">
      <c r="B69" s="7" t="s">
        <v>195</v>
      </c>
      <c r="C69" s="8" t="s">
        <v>195</v>
      </c>
      <c r="D69" s="6" t="str">
        <f>LRTRIM(CONCATENATE(IF(SUMPRODUCT(-- ISNUMBER(SEARCH({"Auto Number"}, $B69))) &gt; 0, $B69, IF(SUMPRODUCT(-- ISNUMBER(SEARCH({"Lookup","Master-Detail"}, $B69))) &gt; 0,$B69 &amp; "(" &amp; $E69 &amp; ")",IF(SUMPRODUCT(-- ISNUMBER(SEARCH({"Formula","Roll-Up Summary"}, $B69))) &gt; 0,$B69 &amp; " (" &amp; $E69 &amp; ")",IF(SUMPRODUCT(-- ISNUMBER(SEARCH({"Content","Currency","Number","Percent","Text","URL"}, $B69))) &gt; 0,$B69 &amp; "(" &amp; $C69 &amp; ")",$B69)))), "  ", TRIM(IF($S69 = "YES", "(External ID)", "") &amp; " " &amp; IF(SUMPRODUCT(-- ISNUMBER(SEARCH({"Unique","Unique Case Insensitive"}, $R69))) &gt; 0, "(" &amp; $R69 &amp; ")", ""))))</f>
        <v>na</v>
      </c>
      <c r="E69" s="7" t="s">
        <v>195</v>
      </c>
      <c r="F69" s="7" t="s">
        <v>195</v>
      </c>
      <c r="G69" s="7" t="s">
        <v>195</v>
      </c>
      <c r="H69" s="7" t="s">
        <v>195</v>
      </c>
      <c r="I69" s="7" t="s">
        <v>195</v>
      </c>
      <c r="J69" s="7" t="s">
        <v>195</v>
      </c>
      <c r="K69" s="7" t="s">
        <v>195</v>
      </c>
      <c r="L69" s="7" t="s">
        <v>195</v>
      </c>
      <c r="M69" s="7" t="s">
        <v>29</v>
      </c>
      <c r="N69" s="7" t="s">
        <v>29</v>
      </c>
      <c r="O69" s="7" t="s">
        <v>29</v>
      </c>
      <c r="P69" s="7" t="s">
        <v>29</v>
      </c>
      <c r="Q69" s="7" t="s">
        <v>29</v>
      </c>
      <c r="R69" s="7" t="s">
        <v>29</v>
      </c>
      <c r="S69" s="7" t="s">
        <v>29</v>
      </c>
    </row>
    <row r="70" spans="2:19">
      <c r="B70" s="7" t="s">
        <v>195</v>
      </c>
      <c r="C70" s="8" t="s">
        <v>195</v>
      </c>
      <c r="D70" s="6" t="str">
        <f>LRTRIM(CONCATENATE(IF(SUMPRODUCT(-- ISNUMBER(SEARCH({"Auto Number"}, $B70))) &gt; 0, $B70, IF(SUMPRODUCT(-- ISNUMBER(SEARCH({"Lookup","Master-Detail"}, $B70))) &gt; 0,$B70 &amp; "(" &amp; $E70 &amp; ")",IF(SUMPRODUCT(-- ISNUMBER(SEARCH({"Formula","Roll-Up Summary"}, $B70))) &gt; 0,$B70 &amp; " (" &amp; $E70 &amp; ")",IF(SUMPRODUCT(-- ISNUMBER(SEARCH({"Content","Currency","Number","Percent","Text","URL"}, $B70))) &gt; 0,$B70 &amp; "(" &amp; $C70 &amp; ")",$B70)))), "  ", TRIM(IF($S70 = "YES", "(External ID)", "") &amp; " " &amp; IF(SUMPRODUCT(-- ISNUMBER(SEARCH({"Unique","Unique Case Insensitive"}, $R70))) &gt; 0, "(" &amp; $R70 &amp; ")", ""))))</f>
        <v>na</v>
      </c>
      <c r="E70" s="7" t="s">
        <v>195</v>
      </c>
      <c r="F70" s="7" t="s">
        <v>195</v>
      </c>
      <c r="G70" s="7" t="s">
        <v>195</v>
      </c>
      <c r="H70" s="7" t="s">
        <v>195</v>
      </c>
      <c r="I70" s="7" t="s">
        <v>195</v>
      </c>
      <c r="J70" s="7" t="s">
        <v>195</v>
      </c>
      <c r="K70" s="7" t="s">
        <v>195</v>
      </c>
      <c r="L70" s="7" t="s">
        <v>195</v>
      </c>
      <c r="M70" s="7" t="s">
        <v>29</v>
      </c>
      <c r="N70" s="7" t="s">
        <v>29</v>
      </c>
      <c r="O70" s="7" t="s">
        <v>29</v>
      </c>
      <c r="P70" s="7" t="s">
        <v>29</v>
      </c>
      <c r="Q70" s="7" t="s">
        <v>29</v>
      </c>
      <c r="R70" s="7" t="s">
        <v>29</v>
      </c>
      <c r="S70" s="7" t="s">
        <v>29</v>
      </c>
    </row>
    <row r="71" spans="2:19">
      <c r="B71" s="7" t="s">
        <v>195</v>
      </c>
      <c r="C71" s="8" t="s">
        <v>195</v>
      </c>
      <c r="D71" s="6" t="str">
        <f>LRTRIM(CONCATENATE(IF(SUMPRODUCT(-- ISNUMBER(SEARCH({"Auto Number"}, $B71))) &gt; 0, $B71, IF(SUMPRODUCT(-- ISNUMBER(SEARCH({"Lookup","Master-Detail"}, $B71))) &gt; 0,$B71 &amp; "(" &amp; $E71 &amp; ")",IF(SUMPRODUCT(-- ISNUMBER(SEARCH({"Formula","Roll-Up Summary"}, $B71))) &gt; 0,$B71 &amp; " (" &amp; $E71 &amp; ")",IF(SUMPRODUCT(-- ISNUMBER(SEARCH({"Content","Currency","Number","Percent","Text","URL"}, $B71))) &gt; 0,$B71 &amp; "(" &amp; $C71 &amp; ")",$B71)))), "  ", TRIM(IF($S71 = "YES", "(External ID)", "") &amp; " " &amp; IF(SUMPRODUCT(-- ISNUMBER(SEARCH({"Unique","Unique Case Insensitive"}, $R71))) &gt; 0, "(" &amp; $R71 &amp; ")", ""))))</f>
        <v>na</v>
      </c>
      <c r="E71" s="7" t="s">
        <v>195</v>
      </c>
      <c r="F71" s="7" t="s">
        <v>195</v>
      </c>
      <c r="G71" s="7" t="s">
        <v>195</v>
      </c>
      <c r="H71" s="7" t="s">
        <v>195</v>
      </c>
      <c r="I71" s="7" t="s">
        <v>195</v>
      </c>
      <c r="J71" s="7" t="s">
        <v>195</v>
      </c>
      <c r="K71" s="7" t="s">
        <v>195</v>
      </c>
      <c r="L71" s="7" t="s">
        <v>195</v>
      </c>
      <c r="M71" s="7" t="s">
        <v>29</v>
      </c>
      <c r="N71" s="7" t="s">
        <v>29</v>
      </c>
      <c r="O71" s="7" t="s">
        <v>29</v>
      </c>
      <c r="P71" s="7" t="s">
        <v>29</v>
      </c>
      <c r="Q71" s="7" t="s">
        <v>29</v>
      </c>
      <c r="R71" s="7" t="s">
        <v>29</v>
      </c>
      <c r="S71" s="7" t="s">
        <v>29</v>
      </c>
    </row>
    <row r="72" spans="2:19">
      <c r="B72" s="7" t="s">
        <v>195</v>
      </c>
      <c r="C72" s="8" t="s">
        <v>195</v>
      </c>
      <c r="D72" s="6" t="str">
        <f>LRTRIM(CONCATENATE(IF(SUMPRODUCT(-- ISNUMBER(SEARCH({"Auto Number"}, $B72))) &gt; 0, $B72, IF(SUMPRODUCT(-- ISNUMBER(SEARCH({"Lookup","Master-Detail"}, $B72))) &gt; 0,$B72 &amp; "(" &amp; $E72 &amp; ")",IF(SUMPRODUCT(-- ISNUMBER(SEARCH({"Formula","Roll-Up Summary"}, $B72))) &gt; 0,$B72 &amp; " (" &amp; $E72 &amp; ")",IF(SUMPRODUCT(-- ISNUMBER(SEARCH({"Content","Currency","Number","Percent","Text","URL"}, $B72))) &gt; 0,$B72 &amp; "(" &amp; $C72 &amp; ")",$B72)))), "  ", TRIM(IF($S72 = "YES", "(External ID)", "") &amp; " " &amp; IF(SUMPRODUCT(-- ISNUMBER(SEARCH({"Unique","Unique Case Insensitive"}, $R72))) &gt; 0, "(" &amp; $R72 &amp; ")", ""))))</f>
        <v>na</v>
      </c>
      <c r="E72" s="7" t="s">
        <v>195</v>
      </c>
      <c r="F72" s="7" t="s">
        <v>195</v>
      </c>
      <c r="G72" s="7" t="s">
        <v>195</v>
      </c>
      <c r="H72" s="7" t="s">
        <v>195</v>
      </c>
      <c r="I72" s="7" t="s">
        <v>195</v>
      </c>
      <c r="J72" s="7" t="s">
        <v>195</v>
      </c>
      <c r="K72" s="7" t="s">
        <v>195</v>
      </c>
      <c r="L72" s="7" t="s">
        <v>195</v>
      </c>
      <c r="M72" s="7" t="s">
        <v>29</v>
      </c>
      <c r="N72" s="7" t="s">
        <v>29</v>
      </c>
      <c r="O72" s="7" t="s">
        <v>29</v>
      </c>
      <c r="P72" s="7" t="s">
        <v>29</v>
      </c>
      <c r="Q72" s="7" t="s">
        <v>29</v>
      </c>
      <c r="R72" s="7" t="s">
        <v>29</v>
      </c>
      <c r="S72" s="7" t="s">
        <v>29</v>
      </c>
    </row>
    <row r="73" spans="2:19">
      <c r="B73" s="7" t="s">
        <v>195</v>
      </c>
      <c r="C73" s="8" t="s">
        <v>195</v>
      </c>
      <c r="D73" s="6" t="str">
        <f>LRTRIM(CONCATENATE(IF(SUMPRODUCT(-- ISNUMBER(SEARCH({"Auto Number"}, $B73))) &gt; 0, $B73, IF(SUMPRODUCT(-- ISNUMBER(SEARCH({"Lookup","Master-Detail"}, $B73))) &gt; 0,$B73 &amp; "(" &amp; $E73 &amp; ")",IF(SUMPRODUCT(-- ISNUMBER(SEARCH({"Formula","Roll-Up Summary"}, $B73))) &gt; 0,$B73 &amp; " (" &amp; $E73 &amp; ")",IF(SUMPRODUCT(-- ISNUMBER(SEARCH({"Content","Currency","Number","Percent","Text","URL"}, $B73))) &gt; 0,$B73 &amp; "(" &amp; $C73 &amp; ")",$B73)))), "  ", TRIM(IF($S73 = "YES", "(External ID)", "") &amp; " " &amp; IF(SUMPRODUCT(-- ISNUMBER(SEARCH({"Unique","Unique Case Insensitive"}, $R73))) &gt; 0, "(" &amp; $R73 &amp; ")", ""))))</f>
        <v>na</v>
      </c>
      <c r="E73" s="7" t="s">
        <v>195</v>
      </c>
      <c r="F73" s="7" t="s">
        <v>195</v>
      </c>
      <c r="G73" s="7" t="s">
        <v>195</v>
      </c>
      <c r="H73" s="7" t="s">
        <v>195</v>
      </c>
      <c r="I73" s="7" t="s">
        <v>195</v>
      </c>
      <c r="J73" s="7" t="s">
        <v>195</v>
      </c>
      <c r="K73" s="7" t="s">
        <v>195</v>
      </c>
      <c r="L73" s="7" t="s">
        <v>195</v>
      </c>
      <c r="M73" s="7" t="s">
        <v>29</v>
      </c>
      <c r="N73" s="7" t="s">
        <v>29</v>
      </c>
      <c r="O73" s="7" t="s">
        <v>29</v>
      </c>
      <c r="P73" s="7" t="s">
        <v>29</v>
      </c>
      <c r="Q73" s="7" t="s">
        <v>29</v>
      </c>
      <c r="R73" s="7" t="s">
        <v>29</v>
      </c>
      <c r="S73" s="7" t="s">
        <v>29</v>
      </c>
    </row>
    <row r="74" spans="2:19">
      <c r="B74" s="7" t="s">
        <v>195</v>
      </c>
      <c r="C74" s="8" t="s">
        <v>195</v>
      </c>
      <c r="D74" s="6" t="str">
        <f>LRTRIM(CONCATENATE(IF(SUMPRODUCT(-- ISNUMBER(SEARCH({"Auto Number"}, $B74))) &gt; 0, $B74, IF(SUMPRODUCT(-- ISNUMBER(SEARCH({"Lookup","Master-Detail"}, $B74))) &gt; 0,$B74 &amp; "(" &amp; $E74 &amp; ")",IF(SUMPRODUCT(-- ISNUMBER(SEARCH({"Formula","Roll-Up Summary"}, $B74))) &gt; 0,$B74 &amp; " (" &amp; $E74 &amp; ")",IF(SUMPRODUCT(-- ISNUMBER(SEARCH({"Content","Currency","Number","Percent","Text","URL"}, $B74))) &gt; 0,$B74 &amp; "(" &amp; $C74 &amp; ")",$B74)))), "  ", TRIM(IF($S74 = "YES", "(External ID)", "") &amp; " " &amp; IF(SUMPRODUCT(-- ISNUMBER(SEARCH({"Unique","Unique Case Insensitive"}, $R74))) &gt; 0, "(" &amp; $R74 &amp; ")", ""))))</f>
        <v>na</v>
      </c>
      <c r="E74" s="7" t="s">
        <v>195</v>
      </c>
      <c r="F74" s="7" t="s">
        <v>195</v>
      </c>
      <c r="G74" s="7" t="s">
        <v>195</v>
      </c>
      <c r="H74" s="7" t="s">
        <v>195</v>
      </c>
      <c r="I74" s="7" t="s">
        <v>195</v>
      </c>
      <c r="J74" s="7" t="s">
        <v>195</v>
      </c>
      <c r="K74" s="7" t="s">
        <v>195</v>
      </c>
      <c r="L74" s="7" t="s">
        <v>195</v>
      </c>
      <c r="M74" s="7" t="s">
        <v>29</v>
      </c>
      <c r="N74" s="7" t="s">
        <v>29</v>
      </c>
      <c r="O74" s="7" t="s">
        <v>29</v>
      </c>
      <c r="P74" s="7" t="s">
        <v>29</v>
      </c>
      <c r="Q74" s="7" t="s">
        <v>29</v>
      </c>
      <c r="R74" s="7" t="s">
        <v>29</v>
      </c>
      <c r="S74" s="7" t="s">
        <v>29</v>
      </c>
    </row>
    <row r="75" spans="2:19">
      <c r="B75" s="7" t="s">
        <v>195</v>
      </c>
      <c r="C75" s="8" t="s">
        <v>195</v>
      </c>
      <c r="D75" s="6" t="str">
        <f>LRTRIM(CONCATENATE(IF(SUMPRODUCT(-- ISNUMBER(SEARCH({"Auto Number"}, $B75))) &gt; 0, $B75, IF(SUMPRODUCT(-- ISNUMBER(SEARCH({"Lookup","Master-Detail"}, $B75))) &gt; 0,$B75 &amp; "(" &amp; $E75 &amp; ")",IF(SUMPRODUCT(-- ISNUMBER(SEARCH({"Formula","Roll-Up Summary"}, $B75))) &gt; 0,$B75 &amp; " (" &amp; $E75 &amp; ")",IF(SUMPRODUCT(-- ISNUMBER(SEARCH({"Content","Currency","Number","Percent","Text","URL"}, $B75))) &gt; 0,$B75 &amp; "(" &amp; $C75 &amp; ")",$B75)))), "  ", TRIM(IF($S75 = "YES", "(External ID)", "") &amp; " " &amp; IF(SUMPRODUCT(-- ISNUMBER(SEARCH({"Unique","Unique Case Insensitive"}, $R75))) &gt; 0, "(" &amp; $R75 &amp; ")", ""))))</f>
        <v>na</v>
      </c>
      <c r="E75" s="7" t="s">
        <v>195</v>
      </c>
      <c r="F75" s="7" t="s">
        <v>195</v>
      </c>
      <c r="G75" s="7" t="s">
        <v>195</v>
      </c>
      <c r="H75" s="7" t="s">
        <v>195</v>
      </c>
      <c r="I75" s="7" t="s">
        <v>195</v>
      </c>
      <c r="J75" s="7" t="s">
        <v>195</v>
      </c>
      <c r="K75" s="7" t="s">
        <v>195</v>
      </c>
      <c r="L75" s="7" t="s">
        <v>195</v>
      </c>
      <c r="M75" s="7" t="s">
        <v>29</v>
      </c>
      <c r="N75" s="7" t="s">
        <v>29</v>
      </c>
      <c r="O75" s="7" t="s">
        <v>29</v>
      </c>
      <c r="P75" s="7" t="s">
        <v>29</v>
      </c>
      <c r="Q75" s="7" t="s">
        <v>29</v>
      </c>
      <c r="R75" s="7" t="s">
        <v>29</v>
      </c>
      <c r="S75" s="7" t="s">
        <v>29</v>
      </c>
    </row>
    <row r="76" spans="2:19">
      <c r="B76" s="7" t="s">
        <v>195</v>
      </c>
      <c r="C76" s="8" t="s">
        <v>195</v>
      </c>
      <c r="D76" s="6" t="str">
        <f>LRTRIM(CONCATENATE(IF(SUMPRODUCT(-- ISNUMBER(SEARCH({"Auto Number"}, $B76))) &gt; 0, $B76, IF(SUMPRODUCT(-- ISNUMBER(SEARCH({"Lookup","Master-Detail"}, $B76))) &gt; 0,$B76 &amp; "(" &amp; $E76 &amp; ")",IF(SUMPRODUCT(-- ISNUMBER(SEARCH({"Formula","Roll-Up Summary"}, $B76))) &gt; 0,$B76 &amp; " (" &amp; $E76 &amp; ")",IF(SUMPRODUCT(-- ISNUMBER(SEARCH({"Content","Currency","Number","Percent","Text","URL"}, $B76))) &gt; 0,$B76 &amp; "(" &amp; $C76 &amp; ")",$B76)))), "  ", TRIM(IF($S76 = "YES", "(External ID)", "") &amp; " " &amp; IF(SUMPRODUCT(-- ISNUMBER(SEARCH({"Unique","Unique Case Insensitive"}, $R76))) &gt; 0, "(" &amp; $R76 &amp; ")", ""))))</f>
        <v>na</v>
      </c>
      <c r="E76" s="7" t="s">
        <v>195</v>
      </c>
      <c r="F76" s="7" t="s">
        <v>195</v>
      </c>
      <c r="G76" s="7" t="s">
        <v>195</v>
      </c>
      <c r="H76" s="7" t="s">
        <v>195</v>
      </c>
      <c r="I76" s="7" t="s">
        <v>195</v>
      </c>
      <c r="J76" s="7" t="s">
        <v>195</v>
      </c>
      <c r="K76" s="7" t="s">
        <v>195</v>
      </c>
      <c r="L76" s="7" t="s">
        <v>195</v>
      </c>
      <c r="M76" s="7" t="s">
        <v>29</v>
      </c>
      <c r="N76" s="7" t="s">
        <v>29</v>
      </c>
      <c r="O76" s="7" t="s">
        <v>29</v>
      </c>
      <c r="P76" s="7" t="s">
        <v>29</v>
      </c>
      <c r="Q76" s="7" t="s">
        <v>29</v>
      </c>
      <c r="R76" s="7" t="s">
        <v>29</v>
      </c>
      <c r="S76" s="7" t="s">
        <v>29</v>
      </c>
    </row>
    <row r="77" spans="2:19">
      <c r="B77" s="7" t="s">
        <v>195</v>
      </c>
      <c r="C77" s="8" t="s">
        <v>195</v>
      </c>
      <c r="D77" s="6" t="str">
        <f>LRTRIM(CONCATENATE(IF(SUMPRODUCT(-- ISNUMBER(SEARCH({"Auto Number"}, $B77))) &gt; 0, $B77, IF(SUMPRODUCT(-- ISNUMBER(SEARCH({"Lookup","Master-Detail"}, $B77))) &gt; 0,$B77 &amp; "(" &amp; $E77 &amp; ")",IF(SUMPRODUCT(-- ISNUMBER(SEARCH({"Formula","Roll-Up Summary"}, $B77))) &gt; 0,$B77 &amp; " (" &amp; $E77 &amp; ")",IF(SUMPRODUCT(-- ISNUMBER(SEARCH({"Content","Currency","Number","Percent","Text","URL"}, $B77))) &gt; 0,$B77 &amp; "(" &amp; $C77 &amp; ")",$B77)))), "  ", TRIM(IF($S77 = "YES", "(External ID)", "") &amp; " " &amp; IF(SUMPRODUCT(-- ISNUMBER(SEARCH({"Unique","Unique Case Insensitive"}, $R77))) &gt; 0, "(" &amp; $R77 &amp; ")", ""))))</f>
        <v>na</v>
      </c>
      <c r="E77" s="7" t="s">
        <v>195</v>
      </c>
      <c r="F77" s="7" t="s">
        <v>195</v>
      </c>
      <c r="G77" s="7" t="s">
        <v>195</v>
      </c>
      <c r="H77" s="7" t="s">
        <v>195</v>
      </c>
      <c r="I77" s="7" t="s">
        <v>195</v>
      </c>
      <c r="J77" s="7" t="s">
        <v>195</v>
      </c>
      <c r="K77" s="7" t="s">
        <v>195</v>
      </c>
      <c r="L77" s="7" t="s">
        <v>195</v>
      </c>
      <c r="M77" s="7" t="s">
        <v>29</v>
      </c>
      <c r="N77" s="7" t="s">
        <v>29</v>
      </c>
      <c r="O77" s="7" t="s">
        <v>29</v>
      </c>
      <c r="P77" s="7" t="s">
        <v>29</v>
      </c>
      <c r="Q77" s="7" t="s">
        <v>29</v>
      </c>
      <c r="R77" s="7" t="s">
        <v>29</v>
      </c>
      <c r="S77" s="7" t="s">
        <v>29</v>
      </c>
    </row>
    <row r="78" spans="2:19">
      <c r="B78" s="7" t="s">
        <v>195</v>
      </c>
      <c r="C78" s="8" t="s">
        <v>195</v>
      </c>
      <c r="D78" s="6" t="str">
        <f>LRTRIM(CONCATENATE(IF(SUMPRODUCT(-- ISNUMBER(SEARCH({"Auto Number"}, $B78))) &gt; 0, $B78, IF(SUMPRODUCT(-- ISNUMBER(SEARCH({"Lookup","Master-Detail"}, $B78))) &gt; 0,$B78 &amp; "(" &amp; $E78 &amp; ")",IF(SUMPRODUCT(-- ISNUMBER(SEARCH({"Formula","Roll-Up Summary"}, $B78))) &gt; 0,$B78 &amp; " (" &amp; $E78 &amp; ")",IF(SUMPRODUCT(-- ISNUMBER(SEARCH({"Content","Currency","Number","Percent","Text","URL"}, $B78))) &gt; 0,$B78 &amp; "(" &amp; $C78 &amp; ")",$B78)))), "  ", TRIM(IF($S78 = "YES", "(External ID)", "") &amp; " " &amp; IF(SUMPRODUCT(-- ISNUMBER(SEARCH({"Unique","Unique Case Insensitive"}, $R78))) &gt; 0, "(" &amp; $R78 &amp; ")", ""))))</f>
        <v>na</v>
      </c>
      <c r="E78" s="7" t="s">
        <v>195</v>
      </c>
      <c r="F78" s="7" t="s">
        <v>195</v>
      </c>
      <c r="G78" s="7" t="s">
        <v>195</v>
      </c>
      <c r="H78" s="7" t="s">
        <v>195</v>
      </c>
      <c r="I78" s="7" t="s">
        <v>195</v>
      </c>
      <c r="J78" s="7" t="s">
        <v>195</v>
      </c>
      <c r="K78" s="7" t="s">
        <v>195</v>
      </c>
      <c r="L78" s="7" t="s">
        <v>195</v>
      </c>
      <c r="M78" s="7" t="s">
        <v>29</v>
      </c>
      <c r="N78" s="7" t="s">
        <v>29</v>
      </c>
      <c r="O78" s="7" t="s">
        <v>29</v>
      </c>
      <c r="P78" s="7" t="s">
        <v>29</v>
      </c>
      <c r="Q78" s="7" t="s">
        <v>29</v>
      </c>
      <c r="R78" s="7" t="s">
        <v>29</v>
      </c>
      <c r="S78" s="7" t="s">
        <v>29</v>
      </c>
    </row>
    <row r="79" spans="2:19">
      <c r="B79" s="7" t="s">
        <v>195</v>
      </c>
      <c r="C79" s="8" t="s">
        <v>195</v>
      </c>
      <c r="D79" s="6" t="str">
        <f>LRTRIM(CONCATENATE(IF(SUMPRODUCT(-- ISNUMBER(SEARCH({"Auto Number"}, $B79))) &gt; 0, $B79, IF(SUMPRODUCT(-- ISNUMBER(SEARCH({"Lookup","Master-Detail"}, $B79))) &gt; 0,$B79 &amp; "(" &amp; $E79 &amp; ")",IF(SUMPRODUCT(-- ISNUMBER(SEARCH({"Formula","Roll-Up Summary"}, $B79))) &gt; 0,$B79 &amp; " (" &amp; $E79 &amp; ")",IF(SUMPRODUCT(-- ISNUMBER(SEARCH({"Content","Currency","Number","Percent","Text","URL"}, $B79))) &gt; 0,$B79 &amp; "(" &amp; $C79 &amp; ")",$B79)))), "  ", TRIM(IF($S79 = "YES", "(External ID)", "") &amp; " " &amp; IF(SUMPRODUCT(-- ISNUMBER(SEARCH({"Unique","Unique Case Insensitive"}, $R79))) &gt; 0, "(" &amp; $R79 &amp; ")", ""))))</f>
        <v>na</v>
      </c>
      <c r="E79" s="7" t="s">
        <v>195</v>
      </c>
      <c r="F79" s="7" t="s">
        <v>195</v>
      </c>
      <c r="G79" s="7" t="s">
        <v>195</v>
      </c>
      <c r="H79" s="7" t="s">
        <v>195</v>
      </c>
      <c r="I79" s="7" t="s">
        <v>195</v>
      </c>
      <c r="J79" s="7" t="s">
        <v>195</v>
      </c>
      <c r="K79" s="7" t="s">
        <v>195</v>
      </c>
      <c r="L79" s="7" t="s">
        <v>195</v>
      </c>
      <c r="M79" s="7" t="s">
        <v>29</v>
      </c>
      <c r="N79" s="7" t="s">
        <v>29</v>
      </c>
      <c r="O79" s="7" t="s">
        <v>29</v>
      </c>
      <c r="P79" s="7" t="s">
        <v>29</v>
      </c>
      <c r="Q79" s="7" t="s">
        <v>29</v>
      </c>
      <c r="R79" s="7" t="s">
        <v>29</v>
      </c>
      <c r="S79" s="7" t="s">
        <v>29</v>
      </c>
    </row>
    <row r="80" spans="2:19">
      <c r="B80" s="7" t="s">
        <v>195</v>
      </c>
      <c r="C80" s="8" t="s">
        <v>195</v>
      </c>
      <c r="D80" s="6" t="str">
        <f>LRTRIM(CONCATENATE(IF(SUMPRODUCT(-- ISNUMBER(SEARCH({"Auto Number"}, $B80))) &gt; 0, $B80, IF(SUMPRODUCT(-- ISNUMBER(SEARCH({"Lookup","Master-Detail"}, $B80))) &gt; 0,$B80 &amp; "(" &amp; $E80 &amp; ")",IF(SUMPRODUCT(-- ISNUMBER(SEARCH({"Formula","Roll-Up Summary"}, $B80))) &gt; 0,$B80 &amp; " (" &amp; $E80 &amp; ")",IF(SUMPRODUCT(-- ISNUMBER(SEARCH({"Content","Currency","Number","Percent","Text","URL"}, $B80))) &gt; 0,$B80 &amp; "(" &amp; $C80 &amp; ")",$B80)))), "  ", TRIM(IF($S80 = "YES", "(External ID)", "") &amp; " " &amp; IF(SUMPRODUCT(-- ISNUMBER(SEARCH({"Unique","Unique Case Insensitive"}, $R80))) &gt; 0, "(" &amp; $R80 &amp; ")", ""))))</f>
        <v>na</v>
      </c>
      <c r="E80" s="7" t="s">
        <v>195</v>
      </c>
      <c r="F80" s="7" t="s">
        <v>195</v>
      </c>
      <c r="G80" s="7" t="s">
        <v>195</v>
      </c>
      <c r="H80" s="7" t="s">
        <v>195</v>
      </c>
      <c r="I80" s="7" t="s">
        <v>195</v>
      </c>
      <c r="J80" s="7" t="s">
        <v>195</v>
      </c>
      <c r="K80" s="7" t="s">
        <v>195</v>
      </c>
      <c r="L80" s="7" t="s">
        <v>195</v>
      </c>
      <c r="M80" s="7" t="s">
        <v>29</v>
      </c>
      <c r="N80" s="7" t="s">
        <v>29</v>
      </c>
      <c r="O80" s="7" t="s">
        <v>29</v>
      </c>
      <c r="P80" s="7" t="s">
        <v>29</v>
      </c>
      <c r="Q80" s="7" t="s">
        <v>29</v>
      </c>
      <c r="R80" s="7" t="s">
        <v>29</v>
      </c>
      <c r="S80" s="7" t="s">
        <v>29</v>
      </c>
    </row>
    <row r="81" spans="2:19">
      <c r="B81" s="7" t="s">
        <v>195</v>
      </c>
      <c r="C81" s="8" t="s">
        <v>195</v>
      </c>
      <c r="D81" s="6" t="str">
        <f>LRTRIM(CONCATENATE(IF(SUMPRODUCT(-- ISNUMBER(SEARCH({"Auto Number"}, $B81))) &gt; 0, $B81, IF(SUMPRODUCT(-- ISNUMBER(SEARCH({"Lookup","Master-Detail"}, $B81))) &gt; 0,$B81 &amp; "(" &amp; $E81 &amp; ")",IF(SUMPRODUCT(-- ISNUMBER(SEARCH({"Formula","Roll-Up Summary"}, $B81))) &gt; 0,$B81 &amp; " (" &amp; $E81 &amp; ")",IF(SUMPRODUCT(-- ISNUMBER(SEARCH({"Content","Currency","Number","Percent","Text","URL"}, $B81))) &gt; 0,$B81 &amp; "(" &amp; $C81 &amp; ")",$B81)))), "  ", TRIM(IF($S81 = "YES", "(External ID)", "") &amp; " " &amp; IF(SUMPRODUCT(-- ISNUMBER(SEARCH({"Unique","Unique Case Insensitive"}, $R81))) &gt; 0, "(" &amp; $R81 &amp; ")", ""))))</f>
        <v>na</v>
      </c>
      <c r="E81" s="7" t="s">
        <v>195</v>
      </c>
      <c r="F81" s="7" t="s">
        <v>195</v>
      </c>
      <c r="G81" s="7" t="s">
        <v>195</v>
      </c>
      <c r="H81" s="7" t="s">
        <v>195</v>
      </c>
      <c r="I81" s="7" t="s">
        <v>195</v>
      </c>
      <c r="J81" s="7" t="s">
        <v>195</v>
      </c>
      <c r="K81" s="7" t="s">
        <v>195</v>
      </c>
      <c r="L81" s="7" t="s">
        <v>195</v>
      </c>
      <c r="M81" s="7" t="s">
        <v>29</v>
      </c>
      <c r="N81" s="7" t="s">
        <v>29</v>
      </c>
      <c r="O81" s="7" t="s">
        <v>29</v>
      </c>
      <c r="P81" s="7" t="s">
        <v>29</v>
      </c>
      <c r="Q81" s="7" t="s">
        <v>29</v>
      </c>
      <c r="R81" s="7" t="s">
        <v>29</v>
      </c>
      <c r="S81" s="7" t="s">
        <v>29</v>
      </c>
    </row>
    <row r="82" spans="2:19">
      <c r="B82" s="7" t="s">
        <v>195</v>
      </c>
      <c r="C82" s="8" t="s">
        <v>195</v>
      </c>
      <c r="D82" s="6" t="str">
        <f>LRTRIM(CONCATENATE(IF(SUMPRODUCT(-- ISNUMBER(SEARCH({"Auto Number"}, $B82))) &gt; 0, $B82, IF(SUMPRODUCT(-- ISNUMBER(SEARCH({"Lookup","Master-Detail"}, $B82))) &gt; 0,$B82 &amp; "(" &amp; $E82 &amp; ")",IF(SUMPRODUCT(-- ISNUMBER(SEARCH({"Formula","Roll-Up Summary"}, $B82))) &gt; 0,$B82 &amp; " (" &amp; $E82 &amp; ")",IF(SUMPRODUCT(-- ISNUMBER(SEARCH({"Content","Currency","Number","Percent","Text","URL"}, $B82))) &gt; 0,$B82 &amp; "(" &amp; $C82 &amp; ")",$B82)))), "  ", TRIM(IF($S82 = "YES", "(External ID)", "") &amp; " " &amp; IF(SUMPRODUCT(-- ISNUMBER(SEARCH({"Unique","Unique Case Insensitive"}, $R82))) &gt; 0, "(" &amp; $R82 &amp; ")", ""))))</f>
        <v>na</v>
      </c>
      <c r="E82" s="7" t="s">
        <v>195</v>
      </c>
      <c r="F82" s="7" t="s">
        <v>195</v>
      </c>
      <c r="G82" s="7" t="s">
        <v>195</v>
      </c>
      <c r="H82" s="7" t="s">
        <v>195</v>
      </c>
      <c r="I82" s="7" t="s">
        <v>195</v>
      </c>
      <c r="J82" s="7" t="s">
        <v>195</v>
      </c>
      <c r="K82" s="7" t="s">
        <v>195</v>
      </c>
      <c r="L82" s="7" t="s">
        <v>195</v>
      </c>
      <c r="M82" s="7" t="s">
        <v>29</v>
      </c>
      <c r="N82" s="7" t="s">
        <v>29</v>
      </c>
      <c r="O82" s="7" t="s">
        <v>29</v>
      </c>
      <c r="P82" s="7" t="s">
        <v>29</v>
      </c>
      <c r="Q82" s="7" t="s">
        <v>29</v>
      </c>
      <c r="R82" s="7" t="s">
        <v>29</v>
      </c>
      <c r="S82" s="7" t="s">
        <v>29</v>
      </c>
    </row>
    <row r="83" spans="2:19">
      <c r="B83" s="7" t="s">
        <v>195</v>
      </c>
      <c r="C83" s="8" t="s">
        <v>195</v>
      </c>
      <c r="D83" s="6" t="str">
        <f>LRTRIM(CONCATENATE(IF(SUMPRODUCT(-- ISNUMBER(SEARCH({"Auto Number"}, $B83))) &gt; 0, $B83, IF(SUMPRODUCT(-- ISNUMBER(SEARCH({"Lookup","Master-Detail"}, $B83))) &gt; 0,$B83 &amp; "(" &amp; $E83 &amp; ")",IF(SUMPRODUCT(-- ISNUMBER(SEARCH({"Formula","Roll-Up Summary"}, $B83))) &gt; 0,$B83 &amp; " (" &amp; $E83 &amp; ")",IF(SUMPRODUCT(-- ISNUMBER(SEARCH({"Content","Currency","Number","Percent","Text","URL"}, $B83))) &gt; 0,$B83 &amp; "(" &amp; $C83 &amp; ")",$B83)))), "  ", TRIM(IF($S83 = "YES", "(External ID)", "") &amp; " " &amp; IF(SUMPRODUCT(-- ISNUMBER(SEARCH({"Unique","Unique Case Insensitive"}, $R83))) &gt; 0, "(" &amp; $R83 &amp; ")", ""))))</f>
        <v>na</v>
      </c>
      <c r="E83" s="7" t="s">
        <v>195</v>
      </c>
      <c r="F83" s="7" t="s">
        <v>195</v>
      </c>
      <c r="G83" s="7" t="s">
        <v>195</v>
      </c>
      <c r="H83" s="7" t="s">
        <v>195</v>
      </c>
      <c r="I83" s="7" t="s">
        <v>195</v>
      </c>
      <c r="J83" s="7" t="s">
        <v>195</v>
      </c>
      <c r="K83" s="7" t="s">
        <v>195</v>
      </c>
      <c r="L83" s="7" t="s">
        <v>195</v>
      </c>
      <c r="M83" s="7" t="s">
        <v>29</v>
      </c>
      <c r="N83" s="7" t="s">
        <v>29</v>
      </c>
      <c r="O83" s="7" t="s">
        <v>29</v>
      </c>
      <c r="P83" s="7" t="s">
        <v>29</v>
      </c>
      <c r="Q83" s="7" t="s">
        <v>29</v>
      </c>
      <c r="R83" s="7" t="s">
        <v>29</v>
      </c>
      <c r="S83" s="7" t="s">
        <v>29</v>
      </c>
    </row>
    <row r="84" spans="2:19">
      <c r="B84" s="7" t="s">
        <v>195</v>
      </c>
      <c r="C84" s="8" t="s">
        <v>195</v>
      </c>
      <c r="D84" s="6" t="str">
        <f>LRTRIM(CONCATENATE(IF(SUMPRODUCT(-- ISNUMBER(SEARCH({"Auto Number"}, $B84))) &gt; 0, $B84, IF(SUMPRODUCT(-- ISNUMBER(SEARCH({"Lookup","Master-Detail"}, $B84))) &gt; 0,$B84 &amp; "(" &amp; $E84 &amp; ")",IF(SUMPRODUCT(-- ISNUMBER(SEARCH({"Formula","Roll-Up Summary"}, $B84))) &gt; 0,$B84 &amp; " (" &amp; $E84 &amp; ")",IF(SUMPRODUCT(-- ISNUMBER(SEARCH({"Content","Currency","Number","Percent","Text","URL"}, $B84))) &gt; 0,$B84 &amp; "(" &amp; $C84 &amp; ")",$B84)))), "  ", TRIM(IF($S84 = "YES", "(External ID)", "") &amp; " " &amp; IF(SUMPRODUCT(-- ISNUMBER(SEARCH({"Unique","Unique Case Insensitive"}, $R84))) &gt; 0, "(" &amp; $R84 &amp; ")", ""))))</f>
        <v>na</v>
      </c>
      <c r="E84" s="7" t="s">
        <v>195</v>
      </c>
      <c r="F84" s="7" t="s">
        <v>195</v>
      </c>
      <c r="G84" s="7" t="s">
        <v>195</v>
      </c>
      <c r="H84" s="7" t="s">
        <v>195</v>
      </c>
      <c r="I84" s="7" t="s">
        <v>195</v>
      </c>
      <c r="J84" s="7" t="s">
        <v>195</v>
      </c>
      <c r="K84" s="7" t="s">
        <v>195</v>
      </c>
      <c r="L84" s="7" t="s">
        <v>195</v>
      </c>
      <c r="M84" s="7" t="s">
        <v>29</v>
      </c>
      <c r="N84" s="7" t="s">
        <v>29</v>
      </c>
      <c r="O84" s="7" t="s">
        <v>29</v>
      </c>
      <c r="P84" s="7" t="s">
        <v>29</v>
      </c>
      <c r="Q84" s="7" t="s">
        <v>29</v>
      </c>
      <c r="R84" s="7" t="s">
        <v>29</v>
      </c>
      <c r="S84" s="7" t="s">
        <v>29</v>
      </c>
    </row>
    <row r="85" spans="2:19">
      <c r="B85" s="7" t="s">
        <v>195</v>
      </c>
      <c r="C85" s="8" t="s">
        <v>195</v>
      </c>
      <c r="D85" s="6" t="str">
        <f>LRTRIM(CONCATENATE(IF(SUMPRODUCT(-- ISNUMBER(SEARCH({"Auto Number"}, $B85))) &gt; 0, $B85, IF(SUMPRODUCT(-- ISNUMBER(SEARCH({"Lookup","Master-Detail"}, $B85))) &gt; 0,$B85 &amp; "(" &amp; $E85 &amp; ")",IF(SUMPRODUCT(-- ISNUMBER(SEARCH({"Formula","Roll-Up Summary"}, $B85))) &gt; 0,$B85 &amp; " (" &amp; $E85 &amp; ")",IF(SUMPRODUCT(-- ISNUMBER(SEARCH({"Content","Currency","Number","Percent","Text","URL"}, $B85))) &gt; 0,$B85 &amp; "(" &amp; $C85 &amp; ")",$B85)))), "  ", TRIM(IF($S85 = "YES", "(External ID)", "") &amp; " " &amp; IF(SUMPRODUCT(-- ISNUMBER(SEARCH({"Unique","Unique Case Insensitive"}, $R85))) &gt; 0, "(" &amp; $R85 &amp; ")", ""))))</f>
        <v>na</v>
      </c>
      <c r="E85" s="7" t="s">
        <v>195</v>
      </c>
      <c r="F85" s="7" t="s">
        <v>195</v>
      </c>
      <c r="G85" s="7" t="s">
        <v>195</v>
      </c>
      <c r="H85" s="7" t="s">
        <v>195</v>
      </c>
      <c r="I85" s="7" t="s">
        <v>195</v>
      </c>
      <c r="J85" s="7" t="s">
        <v>195</v>
      </c>
      <c r="K85" s="7" t="s">
        <v>195</v>
      </c>
      <c r="L85" s="7" t="s">
        <v>195</v>
      </c>
      <c r="M85" s="7" t="s">
        <v>29</v>
      </c>
      <c r="N85" s="7" t="s">
        <v>29</v>
      </c>
      <c r="O85" s="7" t="s">
        <v>29</v>
      </c>
      <c r="P85" s="7" t="s">
        <v>29</v>
      </c>
      <c r="Q85" s="7" t="s">
        <v>29</v>
      </c>
      <c r="R85" s="7" t="s">
        <v>29</v>
      </c>
      <c r="S85" s="7" t="s">
        <v>29</v>
      </c>
    </row>
    <row r="86" spans="2:19">
      <c r="B86" s="7" t="s">
        <v>195</v>
      </c>
      <c r="C86" s="8" t="s">
        <v>195</v>
      </c>
      <c r="D86" s="6" t="str">
        <f>LRTRIM(CONCATENATE(IF(SUMPRODUCT(-- ISNUMBER(SEARCH({"Auto Number"}, $B86))) &gt; 0, $B86, IF(SUMPRODUCT(-- ISNUMBER(SEARCH({"Lookup","Master-Detail"}, $B86))) &gt; 0,$B86 &amp; "(" &amp; $E86 &amp; ")",IF(SUMPRODUCT(-- ISNUMBER(SEARCH({"Formula","Roll-Up Summary"}, $B86))) &gt; 0,$B86 &amp; " (" &amp; $E86 &amp; ")",IF(SUMPRODUCT(-- ISNUMBER(SEARCH({"Content","Currency","Number","Percent","Text","URL"}, $B86))) &gt; 0,$B86 &amp; "(" &amp; $C86 &amp; ")",$B86)))), "  ", TRIM(IF($S86 = "YES", "(External ID)", "") &amp; " " &amp; IF(SUMPRODUCT(-- ISNUMBER(SEARCH({"Unique","Unique Case Insensitive"}, $R86))) &gt; 0, "(" &amp; $R86 &amp; ")", ""))))</f>
        <v>na</v>
      </c>
      <c r="E86" s="7" t="s">
        <v>195</v>
      </c>
      <c r="F86" s="7" t="s">
        <v>195</v>
      </c>
      <c r="G86" s="7" t="s">
        <v>195</v>
      </c>
      <c r="H86" s="7" t="s">
        <v>195</v>
      </c>
      <c r="I86" s="7" t="s">
        <v>195</v>
      </c>
      <c r="J86" s="7" t="s">
        <v>195</v>
      </c>
      <c r="K86" s="7" t="s">
        <v>195</v>
      </c>
      <c r="L86" s="7" t="s">
        <v>195</v>
      </c>
      <c r="M86" s="7" t="s">
        <v>29</v>
      </c>
      <c r="N86" s="7" t="s">
        <v>29</v>
      </c>
      <c r="O86" s="7" t="s">
        <v>29</v>
      </c>
      <c r="P86" s="7" t="s">
        <v>29</v>
      </c>
      <c r="Q86" s="7" t="s">
        <v>29</v>
      </c>
      <c r="R86" s="7" t="s">
        <v>29</v>
      </c>
      <c r="S86" s="7" t="s">
        <v>29</v>
      </c>
    </row>
    <row r="87" spans="2:19">
      <c r="B87" s="7" t="s">
        <v>195</v>
      </c>
      <c r="C87" s="8" t="s">
        <v>195</v>
      </c>
      <c r="D87" s="6" t="str">
        <f>LRTRIM(CONCATENATE(IF(SUMPRODUCT(-- ISNUMBER(SEARCH({"Auto Number"}, $B87))) &gt; 0, $B87, IF(SUMPRODUCT(-- ISNUMBER(SEARCH({"Lookup","Master-Detail"}, $B87))) &gt; 0,$B87 &amp; "(" &amp; $E87 &amp; ")",IF(SUMPRODUCT(-- ISNUMBER(SEARCH({"Formula","Roll-Up Summary"}, $B87))) &gt; 0,$B87 &amp; " (" &amp; $E87 &amp; ")",IF(SUMPRODUCT(-- ISNUMBER(SEARCH({"Content","Currency","Number","Percent","Text","URL"}, $B87))) &gt; 0,$B87 &amp; "(" &amp; $C87 &amp; ")",$B87)))), "  ", TRIM(IF($S87 = "YES", "(External ID)", "") &amp; " " &amp; IF(SUMPRODUCT(-- ISNUMBER(SEARCH({"Unique","Unique Case Insensitive"}, $R87))) &gt; 0, "(" &amp; $R87 &amp; ")", ""))))</f>
        <v>na</v>
      </c>
      <c r="E87" s="7" t="s">
        <v>195</v>
      </c>
      <c r="F87" s="7" t="s">
        <v>195</v>
      </c>
      <c r="G87" s="7" t="s">
        <v>195</v>
      </c>
      <c r="H87" s="7" t="s">
        <v>195</v>
      </c>
      <c r="I87" s="7" t="s">
        <v>195</v>
      </c>
      <c r="J87" s="7" t="s">
        <v>195</v>
      </c>
      <c r="K87" s="7" t="s">
        <v>195</v>
      </c>
      <c r="L87" s="7" t="s">
        <v>195</v>
      </c>
      <c r="M87" s="7" t="s">
        <v>29</v>
      </c>
      <c r="N87" s="7" t="s">
        <v>29</v>
      </c>
      <c r="O87" s="7" t="s">
        <v>29</v>
      </c>
      <c r="P87" s="7" t="s">
        <v>29</v>
      </c>
      <c r="Q87" s="7" t="s">
        <v>29</v>
      </c>
      <c r="R87" s="7" t="s">
        <v>29</v>
      </c>
      <c r="S87" s="7" t="s">
        <v>29</v>
      </c>
    </row>
    <row r="88" spans="2:19">
      <c r="B88" s="7" t="s">
        <v>195</v>
      </c>
      <c r="C88" s="8" t="s">
        <v>195</v>
      </c>
      <c r="D88" s="6" t="str">
        <f>LRTRIM(CONCATENATE(IF(SUMPRODUCT(-- ISNUMBER(SEARCH({"Auto Number"}, $B88))) &gt; 0, $B88, IF(SUMPRODUCT(-- ISNUMBER(SEARCH({"Lookup","Master-Detail"}, $B88))) &gt; 0,$B88 &amp; "(" &amp; $E88 &amp; ")",IF(SUMPRODUCT(-- ISNUMBER(SEARCH({"Formula","Roll-Up Summary"}, $B88))) &gt; 0,$B88 &amp; " (" &amp; $E88 &amp; ")",IF(SUMPRODUCT(-- ISNUMBER(SEARCH({"Content","Currency","Number","Percent","Text","URL"}, $B88))) &gt; 0,$B88 &amp; "(" &amp; $C88 &amp; ")",$B88)))), "  ", TRIM(IF($S88 = "YES", "(External ID)", "") &amp; " " &amp; IF(SUMPRODUCT(-- ISNUMBER(SEARCH({"Unique","Unique Case Insensitive"}, $R88))) &gt; 0, "(" &amp; $R88 &amp; ")", ""))))</f>
        <v>na</v>
      </c>
      <c r="E88" s="7" t="s">
        <v>195</v>
      </c>
      <c r="F88" s="7" t="s">
        <v>195</v>
      </c>
      <c r="G88" s="7" t="s">
        <v>195</v>
      </c>
      <c r="H88" s="7" t="s">
        <v>195</v>
      </c>
      <c r="I88" s="7" t="s">
        <v>195</v>
      </c>
      <c r="J88" s="7" t="s">
        <v>195</v>
      </c>
      <c r="K88" s="7" t="s">
        <v>195</v>
      </c>
      <c r="L88" s="7" t="s">
        <v>195</v>
      </c>
      <c r="M88" s="7" t="s">
        <v>29</v>
      </c>
      <c r="N88" s="7" t="s">
        <v>29</v>
      </c>
      <c r="O88" s="7" t="s">
        <v>29</v>
      </c>
      <c r="P88" s="7" t="s">
        <v>29</v>
      </c>
      <c r="Q88" s="7" t="s">
        <v>29</v>
      </c>
      <c r="R88" s="7" t="s">
        <v>29</v>
      </c>
      <c r="S88" s="7" t="s">
        <v>29</v>
      </c>
    </row>
    <row r="89" spans="2:19">
      <c r="B89" s="7" t="s">
        <v>195</v>
      </c>
      <c r="C89" s="8" t="s">
        <v>195</v>
      </c>
      <c r="D89" s="6" t="str">
        <f>LRTRIM(CONCATENATE(IF(SUMPRODUCT(-- ISNUMBER(SEARCH({"Auto Number"}, $B89))) &gt; 0, $B89, IF(SUMPRODUCT(-- ISNUMBER(SEARCH({"Lookup","Master-Detail"}, $B89))) &gt; 0,$B89 &amp; "(" &amp; $E89 &amp; ")",IF(SUMPRODUCT(-- ISNUMBER(SEARCH({"Formula","Roll-Up Summary"}, $B89))) &gt; 0,$B89 &amp; " (" &amp; $E89 &amp; ")",IF(SUMPRODUCT(-- ISNUMBER(SEARCH({"Content","Currency","Number","Percent","Text","URL"}, $B89))) &gt; 0,$B89 &amp; "(" &amp; $C89 &amp; ")",$B89)))), "  ", TRIM(IF($S89 = "YES", "(External ID)", "") &amp; " " &amp; IF(SUMPRODUCT(-- ISNUMBER(SEARCH({"Unique","Unique Case Insensitive"}, $R89))) &gt; 0, "(" &amp; $R89 &amp; ")", ""))))</f>
        <v>na</v>
      </c>
      <c r="E89" s="7" t="s">
        <v>195</v>
      </c>
      <c r="F89" s="7" t="s">
        <v>195</v>
      </c>
      <c r="G89" s="7" t="s">
        <v>195</v>
      </c>
      <c r="H89" s="7" t="s">
        <v>195</v>
      </c>
      <c r="I89" s="7" t="s">
        <v>195</v>
      </c>
      <c r="J89" s="7" t="s">
        <v>195</v>
      </c>
      <c r="K89" s="7" t="s">
        <v>195</v>
      </c>
      <c r="L89" s="7" t="s">
        <v>195</v>
      </c>
      <c r="M89" s="7" t="s">
        <v>29</v>
      </c>
      <c r="N89" s="7" t="s">
        <v>29</v>
      </c>
      <c r="O89" s="7" t="s">
        <v>29</v>
      </c>
      <c r="P89" s="7" t="s">
        <v>29</v>
      </c>
      <c r="Q89" s="7" t="s">
        <v>29</v>
      </c>
      <c r="R89" s="7" t="s">
        <v>29</v>
      </c>
      <c r="S89" s="7" t="s">
        <v>29</v>
      </c>
    </row>
    <row r="90" spans="2:19">
      <c r="B90" s="7" t="s">
        <v>195</v>
      </c>
      <c r="C90" s="8" t="s">
        <v>195</v>
      </c>
      <c r="D90" s="6" t="str">
        <f>LRTRIM(CONCATENATE(IF(SUMPRODUCT(-- ISNUMBER(SEARCH({"Auto Number"}, $B90))) &gt; 0, $B90, IF(SUMPRODUCT(-- ISNUMBER(SEARCH({"Lookup","Master-Detail"}, $B90))) &gt; 0,$B90 &amp; "(" &amp; $E90 &amp; ")",IF(SUMPRODUCT(-- ISNUMBER(SEARCH({"Formula","Roll-Up Summary"}, $B90))) &gt; 0,$B90 &amp; " (" &amp; $E90 &amp; ")",IF(SUMPRODUCT(-- ISNUMBER(SEARCH({"Content","Currency","Number","Percent","Text","URL"}, $B90))) &gt; 0,$B90 &amp; "(" &amp; $C90 &amp; ")",$B90)))), "  ", TRIM(IF($S90 = "YES", "(External ID)", "") &amp; " " &amp; IF(SUMPRODUCT(-- ISNUMBER(SEARCH({"Unique","Unique Case Insensitive"}, $R90))) &gt; 0, "(" &amp; $R90 &amp; ")", ""))))</f>
        <v>na</v>
      </c>
      <c r="E90" s="7" t="s">
        <v>195</v>
      </c>
      <c r="F90" s="7" t="s">
        <v>195</v>
      </c>
      <c r="G90" s="7" t="s">
        <v>195</v>
      </c>
      <c r="H90" s="7" t="s">
        <v>195</v>
      </c>
      <c r="I90" s="7" t="s">
        <v>195</v>
      </c>
      <c r="J90" s="7" t="s">
        <v>195</v>
      </c>
      <c r="K90" s="7" t="s">
        <v>195</v>
      </c>
      <c r="L90" s="7" t="s">
        <v>195</v>
      </c>
      <c r="M90" s="7" t="s">
        <v>29</v>
      </c>
      <c r="N90" s="7" t="s">
        <v>29</v>
      </c>
      <c r="O90" s="7" t="s">
        <v>29</v>
      </c>
      <c r="P90" s="7" t="s">
        <v>29</v>
      </c>
      <c r="Q90" s="7" t="s">
        <v>29</v>
      </c>
      <c r="R90" s="7" t="s">
        <v>29</v>
      </c>
      <c r="S90" s="7" t="s">
        <v>29</v>
      </c>
    </row>
    <row r="91" spans="2:19">
      <c r="B91" s="7" t="s">
        <v>195</v>
      </c>
      <c r="C91" s="8" t="s">
        <v>195</v>
      </c>
      <c r="D91" s="6" t="str">
        <f>LRTRIM(CONCATENATE(IF(SUMPRODUCT(-- ISNUMBER(SEARCH({"Auto Number"}, $B91))) &gt; 0, $B91, IF(SUMPRODUCT(-- ISNUMBER(SEARCH({"Lookup","Master-Detail"}, $B91))) &gt; 0,$B91 &amp; "(" &amp; $E91 &amp; ")",IF(SUMPRODUCT(-- ISNUMBER(SEARCH({"Formula","Roll-Up Summary"}, $B91))) &gt; 0,$B91 &amp; " (" &amp; $E91 &amp; ")",IF(SUMPRODUCT(-- ISNUMBER(SEARCH({"Content","Currency","Number","Percent","Text","URL"}, $B91))) &gt; 0,$B91 &amp; "(" &amp; $C91 &amp; ")",$B91)))), "  ", TRIM(IF($S91 = "YES", "(External ID)", "") &amp; " " &amp; IF(SUMPRODUCT(-- ISNUMBER(SEARCH({"Unique","Unique Case Insensitive"}, $R91))) &gt; 0, "(" &amp; $R91 &amp; ")", ""))))</f>
        <v>na</v>
      </c>
      <c r="E91" s="7" t="s">
        <v>195</v>
      </c>
      <c r="F91" s="7" t="s">
        <v>195</v>
      </c>
      <c r="G91" s="7" t="s">
        <v>195</v>
      </c>
      <c r="H91" s="7" t="s">
        <v>195</v>
      </c>
      <c r="I91" s="7" t="s">
        <v>195</v>
      </c>
      <c r="J91" s="7" t="s">
        <v>195</v>
      </c>
      <c r="K91" s="7" t="s">
        <v>195</v>
      </c>
      <c r="L91" s="7" t="s">
        <v>195</v>
      </c>
      <c r="M91" s="7" t="s">
        <v>29</v>
      </c>
      <c r="N91" s="7" t="s">
        <v>29</v>
      </c>
      <c r="O91" s="7" t="s">
        <v>29</v>
      </c>
      <c r="P91" s="7" t="s">
        <v>29</v>
      </c>
      <c r="Q91" s="7" t="s">
        <v>29</v>
      </c>
      <c r="R91" s="7" t="s">
        <v>29</v>
      </c>
      <c r="S91" s="7" t="s">
        <v>29</v>
      </c>
    </row>
    <row r="92" spans="2:19">
      <c r="B92" s="7" t="s">
        <v>195</v>
      </c>
      <c r="C92" s="8" t="s">
        <v>195</v>
      </c>
      <c r="D92" s="6" t="str">
        <f>LRTRIM(CONCATENATE(IF(SUMPRODUCT(-- ISNUMBER(SEARCH({"Auto Number"}, $B92))) &gt; 0, $B92, IF(SUMPRODUCT(-- ISNUMBER(SEARCH({"Lookup","Master-Detail"}, $B92))) &gt; 0,$B92 &amp; "(" &amp; $E92 &amp; ")",IF(SUMPRODUCT(-- ISNUMBER(SEARCH({"Formula","Roll-Up Summary"}, $B92))) &gt; 0,$B92 &amp; " (" &amp; $E92 &amp; ")",IF(SUMPRODUCT(-- ISNUMBER(SEARCH({"Content","Currency","Number","Percent","Text","URL"}, $B92))) &gt; 0,$B92 &amp; "(" &amp; $C92 &amp; ")",$B92)))), "  ", TRIM(IF($S92 = "YES", "(External ID)", "") &amp; " " &amp; IF(SUMPRODUCT(-- ISNUMBER(SEARCH({"Unique","Unique Case Insensitive"}, $R92))) &gt; 0, "(" &amp; $R92 &amp; ")", ""))))</f>
        <v>na</v>
      </c>
      <c r="E92" s="7" t="s">
        <v>195</v>
      </c>
      <c r="F92" s="7" t="s">
        <v>195</v>
      </c>
      <c r="G92" s="7" t="s">
        <v>195</v>
      </c>
      <c r="H92" s="7" t="s">
        <v>195</v>
      </c>
      <c r="I92" s="7" t="s">
        <v>195</v>
      </c>
      <c r="J92" s="7" t="s">
        <v>195</v>
      </c>
      <c r="K92" s="7" t="s">
        <v>195</v>
      </c>
      <c r="L92" s="7" t="s">
        <v>195</v>
      </c>
      <c r="M92" s="7" t="s">
        <v>29</v>
      </c>
      <c r="N92" s="7" t="s">
        <v>29</v>
      </c>
      <c r="O92" s="7" t="s">
        <v>29</v>
      </c>
      <c r="P92" s="7" t="s">
        <v>29</v>
      </c>
      <c r="Q92" s="7" t="s">
        <v>29</v>
      </c>
      <c r="R92" s="7" t="s">
        <v>29</v>
      </c>
      <c r="S92" s="7" t="s">
        <v>29</v>
      </c>
    </row>
    <row r="93" spans="2:19">
      <c r="B93" s="7" t="s">
        <v>195</v>
      </c>
      <c r="C93" s="8" t="s">
        <v>195</v>
      </c>
      <c r="D93" s="6" t="str">
        <f>LRTRIM(CONCATENATE(IF(SUMPRODUCT(-- ISNUMBER(SEARCH({"Auto Number"}, $B93))) &gt; 0, $B93, IF(SUMPRODUCT(-- ISNUMBER(SEARCH({"Lookup","Master-Detail"}, $B93))) &gt; 0,$B93 &amp; "(" &amp; $E93 &amp; ")",IF(SUMPRODUCT(-- ISNUMBER(SEARCH({"Formula","Roll-Up Summary"}, $B93))) &gt; 0,$B93 &amp; " (" &amp; $E93 &amp; ")",IF(SUMPRODUCT(-- ISNUMBER(SEARCH({"Content","Currency","Number","Percent","Text","URL"}, $B93))) &gt; 0,$B93 &amp; "(" &amp; $C93 &amp; ")",$B93)))), "  ", TRIM(IF($S93 = "YES", "(External ID)", "") &amp; " " &amp; IF(SUMPRODUCT(-- ISNUMBER(SEARCH({"Unique","Unique Case Insensitive"}, $R93))) &gt; 0, "(" &amp; $R93 &amp; ")", ""))))</f>
        <v>na</v>
      </c>
      <c r="E93" s="7" t="s">
        <v>195</v>
      </c>
      <c r="F93" s="7" t="s">
        <v>195</v>
      </c>
      <c r="G93" s="7" t="s">
        <v>195</v>
      </c>
      <c r="H93" s="7" t="s">
        <v>195</v>
      </c>
      <c r="I93" s="7" t="s">
        <v>195</v>
      </c>
      <c r="J93" s="7" t="s">
        <v>195</v>
      </c>
      <c r="K93" s="7" t="s">
        <v>195</v>
      </c>
      <c r="L93" s="7" t="s">
        <v>195</v>
      </c>
      <c r="M93" s="7" t="s">
        <v>29</v>
      </c>
      <c r="N93" s="7" t="s">
        <v>29</v>
      </c>
      <c r="O93" s="7" t="s">
        <v>29</v>
      </c>
      <c r="P93" s="7" t="s">
        <v>29</v>
      </c>
      <c r="Q93" s="7" t="s">
        <v>29</v>
      </c>
      <c r="R93" s="7" t="s">
        <v>29</v>
      </c>
      <c r="S93" s="7" t="s">
        <v>29</v>
      </c>
    </row>
    <row r="94" spans="2:19">
      <c r="B94" s="7" t="s">
        <v>195</v>
      </c>
      <c r="C94" s="8" t="s">
        <v>195</v>
      </c>
      <c r="D94" s="6" t="str">
        <f>LRTRIM(CONCATENATE(IF(SUMPRODUCT(-- ISNUMBER(SEARCH({"Auto Number"}, $B94))) &gt; 0, $B94, IF(SUMPRODUCT(-- ISNUMBER(SEARCH({"Lookup","Master-Detail"}, $B94))) &gt; 0,$B94 &amp; "(" &amp; $E94 &amp; ")",IF(SUMPRODUCT(-- ISNUMBER(SEARCH({"Formula","Roll-Up Summary"}, $B94))) &gt; 0,$B94 &amp; " (" &amp; $E94 &amp; ")",IF(SUMPRODUCT(-- ISNUMBER(SEARCH({"Content","Currency","Number","Percent","Text","URL"}, $B94))) &gt; 0,$B94 &amp; "(" &amp; $C94 &amp; ")",$B94)))), "  ", TRIM(IF($S94 = "YES", "(External ID)", "") &amp; " " &amp; IF(SUMPRODUCT(-- ISNUMBER(SEARCH({"Unique","Unique Case Insensitive"}, $R94))) &gt; 0, "(" &amp; $R94 &amp; ")", ""))))</f>
        <v>na</v>
      </c>
      <c r="E94" s="7" t="s">
        <v>195</v>
      </c>
      <c r="F94" s="7" t="s">
        <v>195</v>
      </c>
      <c r="G94" s="7" t="s">
        <v>195</v>
      </c>
      <c r="H94" s="7" t="s">
        <v>195</v>
      </c>
      <c r="I94" s="7" t="s">
        <v>195</v>
      </c>
      <c r="J94" s="7" t="s">
        <v>195</v>
      </c>
      <c r="K94" s="7" t="s">
        <v>195</v>
      </c>
      <c r="L94" s="7" t="s">
        <v>195</v>
      </c>
      <c r="M94" s="7" t="s">
        <v>29</v>
      </c>
      <c r="N94" s="7" t="s">
        <v>29</v>
      </c>
      <c r="O94" s="7" t="s">
        <v>29</v>
      </c>
      <c r="P94" s="7" t="s">
        <v>29</v>
      </c>
      <c r="Q94" s="7" t="s">
        <v>29</v>
      </c>
      <c r="R94" s="7" t="s">
        <v>29</v>
      </c>
      <c r="S94" s="7" t="s">
        <v>29</v>
      </c>
    </row>
    <row r="95" spans="2:19">
      <c r="B95" s="7" t="s">
        <v>195</v>
      </c>
      <c r="C95" s="8" t="s">
        <v>195</v>
      </c>
      <c r="D95" s="6" t="str">
        <f>LRTRIM(CONCATENATE(IF(SUMPRODUCT(-- ISNUMBER(SEARCH({"Auto Number"}, $B95))) &gt; 0, $B95, IF(SUMPRODUCT(-- ISNUMBER(SEARCH({"Lookup","Master-Detail"}, $B95))) &gt; 0,$B95 &amp; "(" &amp; $E95 &amp; ")",IF(SUMPRODUCT(-- ISNUMBER(SEARCH({"Formula","Roll-Up Summary"}, $B95))) &gt; 0,$B95 &amp; " (" &amp; $E95 &amp; ")",IF(SUMPRODUCT(-- ISNUMBER(SEARCH({"Content","Currency","Number","Percent","Text","URL"}, $B95))) &gt; 0,$B95 &amp; "(" &amp; $C95 &amp; ")",$B95)))), "  ", TRIM(IF($S95 = "YES", "(External ID)", "") &amp; " " &amp; IF(SUMPRODUCT(-- ISNUMBER(SEARCH({"Unique","Unique Case Insensitive"}, $R95))) &gt; 0, "(" &amp; $R95 &amp; ")", ""))))</f>
        <v>na</v>
      </c>
      <c r="E95" s="7" t="s">
        <v>195</v>
      </c>
      <c r="F95" s="7" t="s">
        <v>195</v>
      </c>
      <c r="G95" s="7" t="s">
        <v>195</v>
      </c>
      <c r="H95" s="7" t="s">
        <v>195</v>
      </c>
      <c r="I95" s="7" t="s">
        <v>195</v>
      </c>
      <c r="J95" s="7" t="s">
        <v>195</v>
      </c>
      <c r="K95" s="7" t="s">
        <v>195</v>
      </c>
      <c r="L95" s="7" t="s">
        <v>195</v>
      </c>
      <c r="M95" s="7" t="s">
        <v>29</v>
      </c>
      <c r="N95" s="7" t="s">
        <v>29</v>
      </c>
      <c r="O95" s="7" t="s">
        <v>29</v>
      </c>
      <c r="P95" s="7" t="s">
        <v>29</v>
      </c>
      <c r="Q95" s="7" t="s">
        <v>29</v>
      </c>
      <c r="R95" s="7" t="s">
        <v>29</v>
      </c>
      <c r="S95" s="7" t="s">
        <v>29</v>
      </c>
    </row>
    <row r="96" spans="2:19">
      <c r="B96" s="7" t="s">
        <v>195</v>
      </c>
      <c r="C96" s="8" t="s">
        <v>195</v>
      </c>
      <c r="D96" s="6" t="str">
        <f>LRTRIM(CONCATENATE(IF(SUMPRODUCT(-- ISNUMBER(SEARCH({"Auto Number"}, $B96))) &gt; 0, $B96, IF(SUMPRODUCT(-- ISNUMBER(SEARCH({"Lookup","Master-Detail"}, $B96))) &gt; 0,$B96 &amp; "(" &amp; $E96 &amp; ")",IF(SUMPRODUCT(-- ISNUMBER(SEARCH({"Formula","Roll-Up Summary"}, $B96))) &gt; 0,$B96 &amp; " (" &amp; $E96 &amp; ")",IF(SUMPRODUCT(-- ISNUMBER(SEARCH({"Content","Currency","Number","Percent","Text","URL"}, $B96))) &gt; 0,$B96 &amp; "(" &amp; $C96 &amp; ")",$B96)))), "  ", TRIM(IF($S96 = "YES", "(External ID)", "") &amp; " " &amp; IF(SUMPRODUCT(-- ISNUMBER(SEARCH({"Unique","Unique Case Insensitive"}, $R96))) &gt; 0, "(" &amp; $R96 &amp; ")", ""))))</f>
        <v>na</v>
      </c>
      <c r="E96" s="7" t="s">
        <v>195</v>
      </c>
      <c r="F96" s="7" t="s">
        <v>195</v>
      </c>
      <c r="G96" s="7" t="s">
        <v>195</v>
      </c>
      <c r="H96" s="7" t="s">
        <v>195</v>
      </c>
      <c r="I96" s="7" t="s">
        <v>195</v>
      </c>
      <c r="J96" s="7" t="s">
        <v>195</v>
      </c>
      <c r="K96" s="7" t="s">
        <v>195</v>
      </c>
      <c r="L96" s="7" t="s">
        <v>195</v>
      </c>
      <c r="M96" s="7" t="s">
        <v>29</v>
      </c>
      <c r="N96" s="7" t="s">
        <v>29</v>
      </c>
      <c r="O96" s="7" t="s">
        <v>29</v>
      </c>
      <c r="P96" s="7" t="s">
        <v>29</v>
      </c>
      <c r="Q96" s="7" t="s">
        <v>29</v>
      </c>
      <c r="R96" s="7" t="s">
        <v>29</v>
      </c>
      <c r="S96" s="7" t="s">
        <v>29</v>
      </c>
    </row>
    <row r="97" spans="2:19">
      <c r="B97" s="7" t="s">
        <v>195</v>
      </c>
      <c r="C97" s="8" t="s">
        <v>195</v>
      </c>
      <c r="D97" s="6" t="str">
        <f>LRTRIM(CONCATENATE(IF(SUMPRODUCT(-- ISNUMBER(SEARCH({"Auto Number"}, $B97))) &gt; 0, $B97, IF(SUMPRODUCT(-- ISNUMBER(SEARCH({"Lookup","Master-Detail"}, $B97))) &gt; 0,$B97 &amp; "(" &amp; $E97 &amp; ")",IF(SUMPRODUCT(-- ISNUMBER(SEARCH({"Formula","Roll-Up Summary"}, $B97))) &gt; 0,$B97 &amp; " (" &amp; $E97 &amp; ")",IF(SUMPRODUCT(-- ISNUMBER(SEARCH({"Content","Currency","Number","Percent","Text","URL"}, $B97))) &gt; 0,$B97 &amp; "(" &amp; $C97 &amp; ")",$B97)))), "  ", TRIM(IF($S97 = "YES", "(External ID)", "") &amp; " " &amp; IF(SUMPRODUCT(-- ISNUMBER(SEARCH({"Unique","Unique Case Insensitive"}, $R97))) &gt; 0, "(" &amp; $R97 &amp; ")", ""))))</f>
        <v>na</v>
      </c>
      <c r="E97" s="7" t="s">
        <v>195</v>
      </c>
      <c r="F97" s="7" t="s">
        <v>195</v>
      </c>
      <c r="G97" s="7" t="s">
        <v>195</v>
      </c>
      <c r="H97" s="7" t="s">
        <v>195</v>
      </c>
      <c r="I97" s="7" t="s">
        <v>195</v>
      </c>
      <c r="J97" s="7" t="s">
        <v>195</v>
      </c>
      <c r="K97" s="7" t="s">
        <v>195</v>
      </c>
      <c r="L97" s="7" t="s">
        <v>195</v>
      </c>
      <c r="M97" s="7" t="s">
        <v>29</v>
      </c>
      <c r="N97" s="7" t="s">
        <v>29</v>
      </c>
      <c r="O97" s="7" t="s">
        <v>29</v>
      </c>
      <c r="P97" s="7" t="s">
        <v>29</v>
      </c>
      <c r="Q97" s="7" t="s">
        <v>29</v>
      </c>
      <c r="R97" s="7" t="s">
        <v>29</v>
      </c>
      <c r="S97" s="7" t="s">
        <v>29</v>
      </c>
    </row>
    <row r="98" spans="2:19">
      <c r="B98" s="7" t="s">
        <v>195</v>
      </c>
      <c r="C98" s="8" t="s">
        <v>195</v>
      </c>
      <c r="D98" s="6" t="str">
        <f>LRTRIM(CONCATENATE(IF(SUMPRODUCT(-- ISNUMBER(SEARCH({"Auto Number"}, $B98))) &gt; 0, $B98, IF(SUMPRODUCT(-- ISNUMBER(SEARCH({"Lookup","Master-Detail"}, $B98))) &gt; 0,$B98 &amp; "(" &amp; $E98 &amp; ")",IF(SUMPRODUCT(-- ISNUMBER(SEARCH({"Formula","Roll-Up Summary"}, $B98))) &gt; 0,$B98 &amp; " (" &amp; $E98 &amp; ")",IF(SUMPRODUCT(-- ISNUMBER(SEARCH({"Content","Currency","Number","Percent","Text","URL"}, $B98))) &gt; 0,$B98 &amp; "(" &amp; $C98 &amp; ")",$B98)))), "  ", TRIM(IF($S98 = "YES", "(External ID)", "") &amp; " " &amp; IF(SUMPRODUCT(-- ISNUMBER(SEARCH({"Unique","Unique Case Insensitive"}, $R98))) &gt; 0, "(" &amp; $R98 &amp; ")", ""))))</f>
        <v>na</v>
      </c>
      <c r="E98" s="7" t="s">
        <v>195</v>
      </c>
      <c r="F98" s="7" t="s">
        <v>195</v>
      </c>
      <c r="G98" s="7" t="s">
        <v>195</v>
      </c>
      <c r="H98" s="7" t="s">
        <v>195</v>
      </c>
      <c r="I98" s="7" t="s">
        <v>195</v>
      </c>
      <c r="J98" s="7" t="s">
        <v>195</v>
      </c>
      <c r="K98" s="7" t="s">
        <v>195</v>
      </c>
      <c r="L98" s="7" t="s">
        <v>195</v>
      </c>
      <c r="M98" s="7" t="s">
        <v>29</v>
      </c>
      <c r="N98" s="7" t="s">
        <v>29</v>
      </c>
      <c r="O98" s="7" t="s">
        <v>29</v>
      </c>
      <c r="P98" s="7" t="s">
        <v>29</v>
      </c>
      <c r="Q98" s="7" t="s">
        <v>29</v>
      </c>
      <c r="R98" s="7" t="s">
        <v>29</v>
      </c>
      <c r="S98" s="7" t="s">
        <v>29</v>
      </c>
    </row>
    <row r="99" spans="2:19">
      <c r="B99" s="7" t="s">
        <v>195</v>
      </c>
      <c r="C99" s="8" t="s">
        <v>195</v>
      </c>
      <c r="D99" s="6" t="str">
        <f>LRTRIM(CONCATENATE(IF(SUMPRODUCT(-- ISNUMBER(SEARCH({"Auto Number"}, $B99))) &gt; 0, $B99, IF(SUMPRODUCT(-- ISNUMBER(SEARCH({"Lookup","Master-Detail"}, $B99))) &gt; 0,$B99 &amp; "(" &amp; $E99 &amp; ")",IF(SUMPRODUCT(-- ISNUMBER(SEARCH({"Formula","Roll-Up Summary"}, $B99))) &gt; 0,$B99 &amp; " (" &amp; $E99 &amp; ")",IF(SUMPRODUCT(-- ISNUMBER(SEARCH({"Content","Currency","Number","Percent","Text","URL"}, $B99))) &gt; 0,$B99 &amp; "(" &amp; $C99 &amp; ")",$B99)))), "  ", TRIM(IF($S99 = "YES", "(External ID)", "") &amp; " " &amp; IF(SUMPRODUCT(-- ISNUMBER(SEARCH({"Unique","Unique Case Insensitive"}, $R99))) &gt; 0, "(" &amp; $R99 &amp; ")", ""))))</f>
        <v>na</v>
      </c>
      <c r="E99" s="7" t="s">
        <v>195</v>
      </c>
      <c r="F99" s="7" t="s">
        <v>195</v>
      </c>
      <c r="G99" s="7" t="s">
        <v>195</v>
      </c>
      <c r="H99" s="7" t="s">
        <v>195</v>
      </c>
      <c r="I99" s="7" t="s">
        <v>195</v>
      </c>
      <c r="J99" s="7" t="s">
        <v>195</v>
      </c>
      <c r="K99" s="7" t="s">
        <v>195</v>
      </c>
      <c r="L99" s="7" t="s">
        <v>195</v>
      </c>
      <c r="M99" s="7" t="s">
        <v>29</v>
      </c>
      <c r="N99" s="7" t="s">
        <v>29</v>
      </c>
      <c r="O99" s="7" t="s">
        <v>29</v>
      </c>
      <c r="P99" s="7" t="s">
        <v>29</v>
      </c>
      <c r="Q99" s="7" t="s">
        <v>29</v>
      </c>
      <c r="R99" s="7" t="s">
        <v>29</v>
      </c>
      <c r="S99" s="7" t="s">
        <v>29</v>
      </c>
    </row>
    <row r="100" spans="2:19">
      <c r="B100" s="7" t="s">
        <v>195</v>
      </c>
      <c r="C100" s="8" t="s">
        <v>195</v>
      </c>
      <c r="D100" s="6" t="str">
        <f>LRTRIM(CONCATENATE(IF(SUMPRODUCT(-- ISNUMBER(SEARCH({"Auto Number"}, $B100))) &gt; 0, $B100, IF(SUMPRODUCT(-- ISNUMBER(SEARCH({"Lookup","Master-Detail"}, $B100))) &gt; 0,$B100 &amp; "(" &amp; $E100 &amp; ")",IF(SUMPRODUCT(-- ISNUMBER(SEARCH({"Formula","Roll-Up Summary"}, $B100))) &gt; 0,$B100 &amp; " (" &amp; $E100 &amp; ")",IF(SUMPRODUCT(-- ISNUMBER(SEARCH({"Content","Currency","Number","Percent","Text","URL"}, $B100))) &gt; 0,$B100 &amp; "(" &amp; $C100 &amp; ")",$B100)))), "  ", TRIM(IF($S100 = "YES", "(External ID)", "") &amp; " " &amp; IF(SUMPRODUCT(-- ISNUMBER(SEARCH({"Unique","Unique Case Insensitive"}, $R100))) &gt; 0, "(" &amp; $R100 &amp; ")", ""))))</f>
        <v>na</v>
      </c>
      <c r="E100" s="7" t="s">
        <v>195</v>
      </c>
      <c r="F100" s="7" t="s">
        <v>195</v>
      </c>
      <c r="G100" s="7" t="s">
        <v>195</v>
      </c>
      <c r="H100" s="7" t="s">
        <v>195</v>
      </c>
      <c r="I100" s="7" t="s">
        <v>195</v>
      </c>
      <c r="J100" s="7" t="s">
        <v>195</v>
      </c>
      <c r="K100" s="7" t="s">
        <v>195</v>
      </c>
      <c r="L100" s="7" t="s">
        <v>195</v>
      </c>
      <c r="M100" s="7" t="s">
        <v>29</v>
      </c>
      <c r="N100" s="7" t="s">
        <v>29</v>
      </c>
      <c r="O100" s="7" t="s">
        <v>29</v>
      </c>
      <c r="P100" s="7" t="s">
        <v>29</v>
      </c>
      <c r="Q100" s="7" t="s">
        <v>29</v>
      </c>
      <c r="R100" s="7" t="s">
        <v>29</v>
      </c>
      <c r="S100" s="7" t="s">
        <v>29</v>
      </c>
    </row>
    <row r="101" spans="2:19">
      <c r="B101" s="7" t="s">
        <v>195</v>
      </c>
      <c r="C101" s="8" t="s">
        <v>195</v>
      </c>
      <c r="D101" s="6" t="str">
        <f>LRTRIM(CONCATENATE(IF(SUMPRODUCT(-- ISNUMBER(SEARCH({"Auto Number"}, $B101))) &gt; 0, $B101, IF(SUMPRODUCT(-- ISNUMBER(SEARCH({"Lookup","Master-Detail"}, $B101))) &gt; 0,$B101 &amp; "(" &amp; $E101 &amp; ")",IF(SUMPRODUCT(-- ISNUMBER(SEARCH({"Formula","Roll-Up Summary"}, $B101))) &gt; 0,$B101 &amp; " (" &amp; $E101 &amp; ")",IF(SUMPRODUCT(-- ISNUMBER(SEARCH({"Content","Currency","Number","Percent","Text","URL"}, $B101))) &gt; 0,$B101 &amp; "(" &amp; $C101 &amp; ")",$B101)))), "  ", TRIM(IF($S101 = "YES", "(External ID)", "") &amp; " " &amp; IF(SUMPRODUCT(-- ISNUMBER(SEARCH({"Unique","Unique Case Insensitive"}, $R101))) &gt; 0, "(" &amp; $R101 &amp; ")", ""))))</f>
        <v>na</v>
      </c>
      <c r="E101" s="7" t="s">
        <v>195</v>
      </c>
      <c r="F101" s="7" t="s">
        <v>195</v>
      </c>
      <c r="G101" s="7" t="s">
        <v>195</v>
      </c>
      <c r="H101" s="7" t="s">
        <v>195</v>
      </c>
      <c r="I101" s="7" t="s">
        <v>195</v>
      </c>
      <c r="J101" s="7" t="s">
        <v>195</v>
      </c>
      <c r="K101" s="7" t="s">
        <v>195</v>
      </c>
      <c r="L101" s="7" t="s">
        <v>195</v>
      </c>
      <c r="M101" s="7" t="s">
        <v>29</v>
      </c>
      <c r="N101" s="7" t="s">
        <v>29</v>
      </c>
      <c r="O101" s="7" t="s">
        <v>29</v>
      </c>
      <c r="P101" s="7" t="s">
        <v>29</v>
      </c>
      <c r="Q101" s="7" t="s">
        <v>29</v>
      </c>
      <c r="R101" s="7" t="s">
        <v>29</v>
      </c>
      <c r="S101" s="7" t="s">
        <v>29</v>
      </c>
    </row>
    <row r="102" spans="2:19">
      <c r="B102" s="7" t="s">
        <v>195</v>
      </c>
      <c r="C102" s="8" t="s">
        <v>195</v>
      </c>
      <c r="D102" s="6" t="str">
        <f>LRTRIM(CONCATENATE(IF(SUMPRODUCT(-- ISNUMBER(SEARCH({"Auto Number"}, $B102))) &gt; 0, $B102, IF(SUMPRODUCT(-- ISNUMBER(SEARCH({"Lookup","Master-Detail"}, $B102))) &gt; 0,$B102 &amp; "(" &amp; $E102 &amp; ")",IF(SUMPRODUCT(-- ISNUMBER(SEARCH({"Formula","Roll-Up Summary"}, $B102))) &gt; 0,$B102 &amp; " (" &amp; $E102 &amp; ")",IF(SUMPRODUCT(-- ISNUMBER(SEARCH({"Content","Currency","Number","Percent","Text","URL"}, $B102))) &gt; 0,$B102 &amp; "(" &amp; $C102 &amp; ")",$B102)))), "  ", TRIM(IF($S102 = "YES", "(External ID)", "") &amp; " " &amp; IF(SUMPRODUCT(-- ISNUMBER(SEARCH({"Unique","Unique Case Insensitive"}, $R102))) &gt; 0, "(" &amp; $R102 &amp; ")", ""))))</f>
        <v>na</v>
      </c>
      <c r="E102" s="7" t="s">
        <v>195</v>
      </c>
      <c r="F102" s="7" t="s">
        <v>195</v>
      </c>
      <c r="G102" s="7" t="s">
        <v>195</v>
      </c>
      <c r="H102" s="7" t="s">
        <v>195</v>
      </c>
      <c r="I102" s="7" t="s">
        <v>195</v>
      </c>
      <c r="J102" s="7" t="s">
        <v>195</v>
      </c>
      <c r="K102" s="7" t="s">
        <v>195</v>
      </c>
      <c r="L102" s="7" t="s">
        <v>195</v>
      </c>
      <c r="M102" s="7" t="s">
        <v>29</v>
      </c>
      <c r="N102" s="7" t="s">
        <v>29</v>
      </c>
      <c r="O102" s="7" t="s">
        <v>29</v>
      </c>
      <c r="P102" s="7" t="s">
        <v>29</v>
      </c>
      <c r="Q102" s="7" t="s">
        <v>29</v>
      </c>
      <c r="R102" s="7" t="s">
        <v>29</v>
      </c>
      <c r="S102" s="7" t="s">
        <v>29</v>
      </c>
    </row>
    <row r="103" spans="2:19">
      <c r="B103" s="7" t="s">
        <v>195</v>
      </c>
      <c r="C103" s="8" t="s">
        <v>195</v>
      </c>
      <c r="D103" s="6" t="str">
        <f>LRTRIM(CONCATENATE(IF(SUMPRODUCT(-- ISNUMBER(SEARCH({"Auto Number"}, $B103))) &gt; 0, $B103, IF(SUMPRODUCT(-- ISNUMBER(SEARCH({"Lookup","Master-Detail"}, $B103))) &gt; 0,$B103 &amp; "(" &amp; $E103 &amp; ")",IF(SUMPRODUCT(-- ISNUMBER(SEARCH({"Formula","Roll-Up Summary"}, $B103))) &gt; 0,$B103 &amp; " (" &amp; $E103 &amp; ")",IF(SUMPRODUCT(-- ISNUMBER(SEARCH({"Content","Currency","Number","Percent","Text","URL"}, $B103))) &gt; 0,$B103 &amp; "(" &amp; $C103 &amp; ")",$B103)))), "  ", TRIM(IF($S103 = "YES", "(External ID)", "") &amp; " " &amp; IF(SUMPRODUCT(-- ISNUMBER(SEARCH({"Unique","Unique Case Insensitive"}, $R103))) &gt; 0, "(" &amp; $R103 &amp; ")", ""))))</f>
        <v>na</v>
      </c>
      <c r="E103" s="7" t="s">
        <v>195</v>
      </c>
      <c r="F103" s="7" t="s">
        <v>195</v>
      </c>
      <c r="G103" s="7" t="s">
        <v>195</v>
      </c>
      <c r="H103" s="7" t="s">
        <v>195</v>
      </c>
      <c r="I103" s="7" t="s">
        <v>195</v>
      </c>
      <c r="J103" s="7" t="s">
        <v>195</v>
      </c>
      <c r="K103" s="7" t="s">
        <v>195</v>
      </c>
      <c r="L103" s="7" t="s">
        <v>195</v>
      </c>
      <c r="M103" s="7" t="s">
        <v>29</v>
      </c>
      <c r="N103" s="7" t="s">
        <v>29</v>
      </c>
      <c r="O103" s="7" t="s">
        <v>29</v>
      </c>
      <c r="P103" s="7" t="s">
        <v>29</v>
      </c>
      <c r="Q103" s="7" t="s">
        <v>29</v>
      </c>
      <c r="R103" s="7" t="s">
        <v>29</v>
      </c>
      <c r="S103" s="7" t="s">
        <v>29</v>
      </c>
    </row>
    <row r="104" spans="2:19">
      <c r="B104" s="7" t="s">
        <v>195</v>
      </c>
      <c r="C104" s="8" t="s">
        <v>195</v>
      </c>
      <c r="D104" s="6" t="str">
        <f>LRTRIM(CONCATENATE(IF(SUMPRODUCT(-- ISNUMBER(SEARCH({"Auto Number"}, $B104))) &gt; 0, $B104, IF(SUMPRODUCT(-- ISNUMBER(SEARCH({"Lookup","Master-Detail"}, $B104))) &gt; 0,$B104 &amp; "(" &amp; $E104 &amp; ")",IF(SUMPRODUCT(-- ISNUMBER(SEARCH({"Formula","Roll-Up Summary"}, $B104))) &gt; 0,$B104 &amp; " (" &amp; $E104 &amp; ")",IF(SUMPRODUCT(-- ISNUMBER(SEARCH({"Content","Currency","Number","Percent","Text","URL"}, $B104))) &gt; 0,$B104 &amp; "(" &amp; $C104 &amp; ")",$B104)))), "  ", TRIM(IF($S104 = "YES", "(External ID)", "") &amp; " " &amp; IF(SUMPRODUCT(-- ISNUMBER(SEARCH({"Unique","Unique Case Insensitive"}, $R104))) &gt; 0, "(" &amp; $R104 &amp; ")", ""))))</f>
        <v>na</v>
      </c>
      <c r="E104" s="7" t="s">
        <v>195</v>
      </c>
      <c r="F104" s="7" t="s">
        <v>195</v>
      </c>
      <c r="G104" s="7" t="s">
        <v>195</v>
      </c>
      <c r="H104" s="7" t="s">
        <v>195</v>
      </c>
      <c r="I104" s="7" t="s">
        <v>195</v>
      </c>
      <c r="J104" s="7" t="s">
        <v>195</v>
      </c>
      <c r="K104" s="7" t="s">
        <v>195</v>
      </c>
      <c r="L104" s="7" t="s">
        <v>195</v>
      </c>
      <c r="M104" s="7" t="s">
        <v>29</v>
      </c>
      <c r="N104" s="7" t="s">
        <v>29</v>
      </c>
      <c r="O104" s="7" t="s">
        <v>29</v>
      </c>
      <c r="P104" s="7" t="s">
        <v>29</v>
      </c>
      <c r="Q104" s="7" t="s">
        <v>29</v>
      </c>
      <c r="R104" s="7" t="s">
        <v>29</v>
      </c>
      <c r="S104" s="7" t="s">
        <v>29</v>
      </c>
    </row>
    <row r="105" spans="2:19">
      <c r="B105" s="7" t="s">
        <v>195</v>
      </c>
      <c r="C105" s="8" t="s">
        <v>195</v>
      </c>
      <c r="D105" s="6" t="str">
        <f>LRTRIM(CONCATENATE(IF(SUMPRODUCT(-- ISNUMBER(SEARCH({"Auto Number"}, $B105))) &gt; 0, $B105, IF(SUMPRODUCT(-- ISNUMBER(SEARCH({"Lookup","Master-Detail"}, $B105))) &gt; 0,$B105 &amp; "(" &amp; $E105 &amp; ")",IF(SUMPRODUCT(-- ISNUMBER(SEARCH({"Formula","Roll-Up Summary"}, $B105))) &gt; 0,$B105 &amp; " (" &amp; $E105 &amp; ")",IF(SUMPRODUCT(-- ISNUMBER(SEARCH({"Content","Currency","Number","Percent","Text","URL"}, $B105))) &gt; 0,$B105 &amp; "(" &amp; $C105 &amp; ")",$B105)))), "  ", TRIM(IF($S105 = "YES", "(External ID)", "") &amp; " " &amp; IF(SUMPRODUCT(-- ISNUMBER(SEARCH({"Unique","Unique Case Insensitive"}, $R105))) &gt; 0, "(" &amp; $R105 &amp; ")", ""))))</f>
        <v>na</v>
      </c>
      <c r="E105" s="7" t="s">
        <v>195</v>
      </c>
      <c r="F105" s="7" t="s">
        <v>195</v>
      </c>
      <c r="G105" s="7" t="s">
        <v>195</v>
      </c>
      <c r="H105" s="7" t="s">
        <v>195</v>
      </c>
      <c r="I105" s="7" t="s">
        <v>195</v>
      </c>
      <c r="J105" s="7" t="s">
        <v>195</v>
      </c>
      <c r="K105" s="7" t="s">
        <v>195</v>
      </c>
      <c r="L105" s="7" t="s">
        <v>195</v>
      </c>
      <c r="M105" s="7" t="s">
        <v>29</v>
      </c>
      <c r="N105" s="7" t="s">
        <v>29</v>
      </c>
      <c r="O105" s="7" t="s">
        <v>29</v>
      </c>
      <c r="P105" s="7" t="s">
        <v>29</v>
      </c>
      <c r="Q105" s="7" t="s">
        <v>29</v>
      </c>
      <c r="R105" s="7" t="s">
        <v>29</v>
      </c>
      <c r="S105" s="7" t="s">
        <v>29</v>
      </c>
    </row>
    <row r="106" spans="2:19">
      <c r="B106" s="7" t="s">
        <v>195</v>
      </c>
      <c r="C106" s="8" t="s">
        <v>195</v>
      </c>
      <c r="D106" s="6" t="str">
        <f>LRTRIM(CONCATENATE(IF(SUMPRODUCT(-- ISNUMBER(SEARCH({"Auto Number"}, $B106))) &gt; 0, $B106, IF(SUMPRODUCT(-- ISNUMBER(SEARCH({"Lookup","Master-Detail"}, $B106))) &gt; 0,$B106 &amp; "(" &amp; $E106 &amp; ")",IF(SUMPRODUCT(-- ISNUMBER(SEARCH({"Formula","Roll-Up Summary"}, $B106))) &gt; 0,$B106 &amp; " (" &amp; $E106 &amp; ")",IF(SUMPRODUCT(-- ISNUMBER(SEARCH({"Content","Currency","Number","Percent","Text","URL"}, $B106))) &gt; 0,$B106 &amp; "(" &amp; $C106 &amp; ")",$B106)))), "  ", TRIM(IF($S106 = "YES", "(External ID)", "") &amp; " " &amp; IF(SUMPRODUCT(-- ISNUMBER(SEARCH({"Unique","Unique Case Insensitive"}, $R106))) &gt; 0, "(" &amp; $R106 &amp; ")", ""))))</f>
        <v>na</v>
      </c>
      <c r="E106" s="7" t="s">
        <v>195</v>
      </c>
      <c r="F106" s="7" t="s">
        <v>195</v>
      </c>
      <c r="G106" s="7" t="s">
        <v>195</v>
      </c>
      <c r="H106" s="7" t="s">
        <v>195</v>
      </c>
      <c r="I106" s="7" t="s">
        <v>195</v>
      </c>
      <c r="J106" s="7" t="s">
        <v>195</v>
      </c>
      <c r="K106" s="7" t="s">
        <v>195</v>
      </c>
      <c r="L106" s="7" t="s">
        <v>195</v>
      </c>
      <c r="M106" s="7" t="s">
        <v>29</v>
      </c>
      <c r="N106" s="7" t="s">
        <v>29</v>
      </c>
      <c r="O106" s="7" t="s">
        <v>29</v>
      </c>
      <c r="P106" s="7" t="s">
        <v>29</v>
      </c>
      <c r="Q106" s="7" t="s">
        <v>29</v>
      </c>
      <c r="R106" s="7" t="s">
        <v>29</v>
      </c>
      <c r="S106" s="7" t="s">
        <v>29</v>
      </c>
    </row>
    <row r="107" spans="2:19">
      <c r="B107" s="7" t="s">
        <v>195</v>
      </c>
      <c r="C107" s="8" t="s">
        <v>195</v>
      </c>
      <c r="D107" s="6" t="str">
        <f>LRTRIM(CONCATENATE(IF(SUMPRODUCT(-- ISNUMBER(SEARCH({"Auto Number"}, $B107))) &gt; 0, $B107, IF(SUMPRODUCT(-- ISNUMBER(SEARCH({"Lookup","Master-Detail"}, $B107))) &gt; 0,$B107 &amp; "(" &amp; $E107 &amp; ")",IF(SUMPRODUCT(-- ISNUMBER(SEARCH({"Formula","Roll-Up Summary"}, $B107))) &gt; 0,$B107 &amp; " (" &amp; $E107 &amp; ")",IF(SUMPRODUCT(-- ISNUMBER(SEARCH({"Content","Currency","Number","Percent","Text","URL"}, $B107))) &gt; 0,$B107 &amp; "(" &amp; $C107 &amp; ")",$B107)))), "  ", TRIM(IF($S107 = "YES", "(External ID)", "") &amp; " " &amp; IF(SUMPRODUCT(-- ISNUMBER(SEARCH({"Unique","Unique Case Insensitive"}, $R107))) &gt; 0, "(" &amp; $R107 &amp; ")", ""))))</f>
        <v>na</v>
      </c>
      <c r="E107" s="7" t="s">
        <v>195</v>
      </c>
      <c r="F107" s="7" t="s">
        <v>195</v>
      </c>
      <c r="G107" s="7" t="s">
        <v>195</v>
      </c>
      <c r="H107" s="7" t="s">
        <v>195</v>
      </c>
      <c r="I107" s="7" t="s">
        <v>195</v>
      </c>
      <c r="J107" s="7" t="s">
        <v>195</v>
      </c>
      <c r="K107" s="7" t="s">
        <v>195</v>
      </c>
      <c r="L107" s="7" t="s">
        <v>195</v>
      </c>
      <c r="M107" s="7" t="s">
        <v>29</v>
      </c>
      <c r="N107" s="7" t="s">
        <v>29</v>
      </c>
      <c r="O107" s="7" t="s">
        <v>29</v>
      </c>
      <c r="P107" s="7" t="s">
        <v>29</v>
      </c>
      <c r="Q107" s="7" t="s">
        <v>29</v>
      </c>
      <c r="R107" s="7" t="s">
        <v>29</v>
      </c>
      <c r="S107" s="7" t="s">
        <v>29</v>
      </c>
    </row>
    <row r="108" spans="2:19">
      <c r="B108" s="7" t="s">
        <v>195</v>
      </c>
      <c r="C108" s="8" t="s">
        <v>195</v>
      </c>
      <c r="D108" s="6" t="str">
        <f>LRTRIM(CONCATENATE(IF(SUMPRODUCT(-- ISNUMBER(SEARCH({"Auto Number"}, $B108))) &gt; 0, $B108, IF(SUMPRODUCT(-- ISNUMBER(SEARCH({"Lookup","Master-Detail"}, $B108))) &gt; 0,$B108 &amp; "(" &amp; $E108 &amp; ")",IF(SUMPRODUCT(-- ISNUMBER(SEARCH({"Formula","Roll-Up Summary"}, $B108))) &gt; 0,$B108 &amp; " (" &amp; $E108 &amp; ")",IF(SUMPRODUCT(-- ISNUMBER(SEARCH({"Content","Currency","Number","Percent","Text","URL"}, $B108))) &gt; 0,$B108 &amp; "(" &amp; $C108 &amp; ")",$B108)))), "  ", TRIM(IF($S108 = "YES", "(External ID)", "") &amp; " " &amp; IF(SUMPRODUCT(-- ISNUMBER(SEARCH({"Unique","Unique Case Insensitive"}, $R108))) &gt; 0, "(" &amp; $R108 &amp; ")", ""))))</f>
        <v>na</v>
      </c>
      <c r="E108" s="7" t="s">
        <v>195</v>
      </c>
      <c r="F108" s="7" t="s">
        <v>195</v>
      </c>
      <c r="G108" s="7" t="s">
        <v>195</v>
      </c>
      <c r="H108" s="7" t="s">
        <v>195</v>
      </c>
      <c r="I108" s="7" t="s">
        <v>195</v>
      </c>
      <c r="J108" s="7" t="s">
        <v>195</v>
      </c>
      <c r="K108" s="7" t="s">
        <v>195</v>
      </c>
      <c r="L108" s="7" t="s">
        <v>195</v>
      </c>
      <c r="M108" s="7" t="s">
        <v>29</v>
      </c>
      <c r="N108" s="7" t="s">
        <v>29</v>
      </c>
      <c r="O108" s="7" t="s">
        <v>29</v>
      </c>
      <c r="P108" s="7" t="s">
        <v>29</v>
      </c>
      <c r="Q108" s="7" t="s">
        <v>29</v>
      </c>
      <c r="R108" s="7" t="s">
        <v>29</v>
      </c>
      <c r="S108" s="7" t="s">
        <v>29</v>
      </c>
    </row>
    <row r="109" spans="2:19">
      <c r="B109" s="7" t="s">
        <v>195</v>
      </c>
      <c r="C109" s="8" t="s">
        <v>195</v>
      </c>
      <c r="D109" s="6" t="str">
        <f>LRTRIM(CONCATENATE(IF(SUMPRODUCT(-- ISNUMBER(SEARCH({"Auto Number"}, $B109))) &gt; 0, $B109, IF(SUMPRODUCT(-- ISNUMBER(SEARCH({"Lookup","Master-Detail"}, $B109))) &gt; 0,$B109 &amp; "(" &amp; $E109 &amp; ")",IF(SUMPRODUCT(-- ISNUMBER(SEARCH({"Formula","Roll-Up Summary"}, $B109))) &gt; 0,$B109 &amp; " (" &amp; $E109 &amp; ")",IF(SUMPRODUCT(-- ISNUMBER(SEARCH({"Content","Currency","Number","Percent","Text","URL"}, $B109))) &gt; 0,$B109 &amp; "(" &amp; $C109 &amp; ")",$B109)))), "  ", TRIM(IF($S109 = "YES", "(External ID)", "") &amp; " " &amp; IF(SUMPRODUCT(-- ISNUMBER(SEARCH({"Unique","Unique Case Insensitive"}, $R109))) &gt; 0, "(" &amp; $R109 &amp; ")", ""))))</f>
        <v>na</v>
      </c>
      <c r="E109" s="7" t="s">
        <v>195</v>
      </c>
      <c r="F109" s="7" t="s">
        <v>195</v>
      </c>
      <c r="G109" s="7" t="s">
        <v>195</v>
      </c>
      <c r="H109" s="7" t="s">
        <v>195</v>
      </c>
      <c r="I109" s="7" t="s">
        <v>195</v>
      </c>
      <c r="J109" s="7" t="s">
        <v>195</v>
      </c>
      <c r="K109" s="7" t="s">
        <v>195</v>
      </c>
      <c r="L109" s="7" t="s">
        <v>195</v>
      </c>
      <c r="M109" s="7" t="s">
        <v>29</v>
      </c>
      <c r="N109" s="7" t="s">
        <v>29</v>
      </c>
      <c r="O109" s="7" t="s">
        <v>29</v>
      </c>
      <c r="P109" s="7" t="s">
        <v>29</v>
      </c>
      <c r="Q109" s="7" t="s">
        <v>29</v>
      </c>
      <c r="R109" s="7" t="s">
        <v>29</v>
      </c>
      <c r="S109" s="7" t="s">
        <v>29</v>
      </c>
    </row>
    <row r="110" spans="2:19">
      <c r="B110" s="7" t="s">
        <v>195</v>
      </c>
      <c r="C110" s="8" t="s">
        <v>195</v>
      </c>
      <c r="D110" s="6" t="str">
        <f>LRTRIM(CONCATENATE(IF(SUMPRODUCT(-- ISNUMBER(SEARCH({"Auto Number"}, $B110))) &gt; 0, $B110, IF(SUMPRODUCT(-- ISNUMBER(SEARCH({"Lookup","Master-Detail"}, $B110))) &gt; 0,$B110 &amp; "(" &amp; $E110 &amp; ")",IF(SUMPRODUCT(-- ISNUMBER(SEARCH({"Formula","Roll-Up Summary"}, $B110))) &gt; 0,$B110 &amp; " (" &amp; $E110 &amp; ")",IF(SUMPRODUCT(-- ISNUMBER(SEARCH({"Content","Currency","Number","Percent","Text","URL"}, $B110))) &gt; 0,$B110 &amp; "(" &amp; $C110 &amp; ")",$B110)))), "  ", TRIM(IF($S110 = "YES", "(External ID)", "") &amp; " " &amp; IF(SUMPRODUCT(-- ISNUMBER(SEARCH({"Unique","Unique Case Insensitive"}, $R110))) &gt; 0, "(" &amp; $R110 &amp; ")", ""))))</f>
        <v>na</v>
      </c>
      <c r="E110" s="7" t="s">
        <v>195</v>
      </c>
      <c r="F110" s="7" t="s">
        <v>195</v>
      </c>
      <c r="G110" s="7" t="s">
        <v>195</v>
      </c>
      <c r="H110" s="7" t="s">
        <v>195</v>
      </c>
      <c r="I110" s="7" t="s">
        <v>195</v>
      </c>
      <c r="J110" s="7" t="s">
        <v>195</v>
      </c>
      <c r="K110" s="7" t="s">
        <v>195</v>
      </c>
      <c r="L110" s="7" t="s">
        <v>195</v>
      </c>
      <c r="M110" s="7" t="s">
        <v>29</v>
      </c>
      <c r="N110" s="7" t="s">
        <v>29</v>
      </c>
      <c r="O110" s="7" t="s">
        <v>29</v>
      </c>
      <c r="P110" s="7" t="s">
        <v>29</v>
      </c>
      <c r="Q110" s="7" t="s">
        <v>29</v>
      </c>
      <c r="R110" s="7" t="s">
        <v>29</v>
      </c>
      <c r="S110" s="7" t="s">
        <v>29</v>
      </c>
    </row>
    <row r="111" spans="2:19">
      <c r="B111" s="7" t="s">
        <v>195</v>
      </c>
      <c r="C111" s="8" t="s">
        <v>195</v>
      </c>
      <c r="D111" s="6" t="str">
        <f>LRTRIM(CONCATENATE(IF(SUMPRODUCT(-- ISNUMBER(SEARCH({"Auto Number"}, $B111))) &gt; 0, $B111, IF(SUMPRODUCT(-- ISNUMBER(SEARCH({"Lookup","Master-Detail"}, $B111))) &gt; 0,$B111 &amp; "(" &amp; $E111 &amp; ")",IF(SUMPRODUCT(-- ISNUMBER(SEARCH({"Formula","Roll-Up Summary"}, $B111))) &gt; 0,$B111 &amp; " (" &amp; $E111 &amp; ")",IF(SUMPRODUCT(-- ISNUMBER(SEARCH({"Content","Currency","Number","Percent","Text","URL"}, $B111))) &gt; 0,$B111 &amp; "(" &amp; $C111 &amp; ")",$B111)))), "  ", TRIM(IF($S111 = "YES", "(External ID)", "") &amp; " " &amp; IF(SUMPRODUCT(-- ISNUMBER(SEARCH({"Unique","Unique Case Insensitive"}, $R111))) &gt; 0, "(" &amp; $R111 &amp; ")", ""))))</f>
        <v>na</v>
      </c>
      <c r="E111" s="7" t="s">
        <v>195</v>
      </c>
      <c r="F111" s="7" t="s">
        <v>195</v>
      </c>
      <c r="G111" s="7" t="s">
        <v>195</v>
      </c>
      <c r="H111" s="7" t="s">
        <v>195</v>
      </c>
      <c r="I111" s="7" t="s">
        <v>195</v>
      </c>
      <c r="J111" s="7" t="s">
        <v>195</v>
      </c>
      <c r="K111" s="7" t="s">
        <v>195</v>
      </c>
      <c r="L111" s="7" t="s">
        <v>195</v>
      </c>
      <c r="M111" s="7" t="s">
        <v>29</v>
      </c>
      <c r="N111" s="7" t="s">
        <v>29</v>
      </c>
      <c r="O111" s="7" t="s">
        <v>29</v>
      </c>
      <c r="P111" s="7" t="s">
        <v>29</v>
      </c>
      <c r="Q111" s="7" t="s">
        <v>29</v>
      </c>
      <c r="R111" s="7" t="s">
        <v>29</v>
      </c>
      <c r="S111" s="7" t="s">
        <v>29</v>
      </c>
    </row>
    <row r="112" spans="2:19">
      <c r="B112" s="7" t="s">
        <v>195</v>
      </c>
      <c r="C112" s="8" t="s">
        <v>195</v>
      </c>
      <c r="D112" s="6" t="str">
        <f>LRTRIM(CONCATENATE(IF(SUMPRODUCT(-- ISNUMBER(SEARCH({"Auto Number"}, $B112))) &gt; 0, $B112, IF(SUMPRODUCT(-- ISNUMBER(SEARCH({"Lookup","Master-Detail"}, $B112))) &gt; 0,$B112 &amp; "(" &amp; $E112 &amp; ")",IF(SUMPRODUCT(-- ISNUMBER(SEARCH({"Formula","Roll-Up Summary"}, $B112))) &gt; 0,$B112 &amp; " (" &amp; $E112 &amp; ")",IF(SUMPRODUCT(-- ISNUMBER(SEARCH({"Content","Currency","Number","Percent","Text","URL"}, $B112))) &gt; 0,$B112 &amp; "(" &amp; $C112 &amp; ")",$B112)))), "  ", TRIM(IF($S112 = "YES", "(External ID)", "") &amp; " " &amp; IF(SUMPRODUCT(-- ISNUMBER(SEARCH({"Unique","Unique Case Insensitive"}, $R112))) &gt; 0, "(" &amp; $R112 &amp; ")", ""))))</f>
        <v>na</v>
      </c>
      <c r="E112" s="7" t="s">
        <v>195</v>
      </c>
      <c r="F112" s="7" t="s">
        <v>195</v>
      </c>
      <c r="G112" s="7" t="s">
        <v>195</v>
      </c>
      <c r="H112" s="7" t="s">
        <v>195</v>
      </c>
      <c r="I112" s="7" t="s">
        <v>195</v>
      </c>
      <c r="J112" s="7" t="s">
        <v>195</v>
      </c>
      <c r="K112" s="7" t="s">
        <v>195</v>
      </c>
      <c r="L112" s="7" t="s">
        <v>195</v>
      </c>
      <c r="M112" s="7" t="s">
        <v>29</v>
      </c>
      <c r="N112" s="7" t="s">
        <v>29</v>
      </c>
      <c r="O112" s="7" t="s">
        <v>29</v>
      </c>
      <c r="P112" s="7" t="s">
        <v>29</v>
      </c>
      <c r="Q112" s="7" t="s">
        <v>29</v>
      </c>
      <c r="R112" s="7" t="s">
        <v>29</v>
      </c>
      <c r="S112" s="7" t="s">
        <v>29</v>
      </c>
    </row>
    <row r="113" spans="2:19">
      <c r="B113" s="7" t="s">
        <v>195</v>
      </c>
      <c r="C113" s="8" t="s">
        <v>195</v>
      </c>
      <c r="D113" s="6" t="str">
        <f>LRTRIM(CONCATENATE(IF(SUMPRODUCT(-- ISNUMBER(SEARCH({"Auto Number"}, $B113))) &gt; 0, $B113, IF(SUMPRODUCT(-- ISNUMBER(SEARCH({"Lookup","Master-Detail"}, $B113))) &gt; 0,$B113 &amp; "(" &amp; $E113 &amp; ")",IF(SUMPRODUCT(-- ISNUMBER(SEARCH({"Formula","Roll-Up Summary"}, $B113))) &gt; 0,$B113 &amp; " (" &amp; $E113 &amp; ")",IF(SUMPRODUCT(-- ISNUMBER(SEARCH({"Content","Currency","Number","Percent","Text","URL"}, $B113))) &gt; 0,$B113 &amp; "(" &amp; $C113 &amp; ")",$B113)))), "  ", TRIM(IF($S113 = "YES", "(External ID)", "") &amp; " " &amp; IF(SUMPRODUCT(-- ISNUMBER(SEARCH({"Unique","Unique Case Insensitive"}, $R113))) &gt; 0, "(" &amp; $R113 &amp; ")", ""))))</f>
        <v>na</v>
      </c>
      <c r="E113" s="7" t="s">
        <v>195</v>
      </c>
      <c r="F113" s="7" t="s">
        <v>195</v>
      </c>
      <c r="G113" s="7" t="s">
        <v>195</v>
      </c>
      <c r="H113" s="7" t="s">
        <v>195</v>
      </c>
      <c r="I113" s="7" t="s">
        <v>195</v>
      </c>
      <c r="J113" s="7" t="s">
        <v>195</v>
      </c>
      <c r="K113" s="7" t="s">
        <v>195</v>
      </c>
      <c r="L113" s="7" t="s">
        <v>195</v>
      </c>
      <c r="M113" s="7" t="s">
        <v>29</v>
      </c>
      <c r="N113" s="7" t="s">
        <v>29</v>
      </c>
      <c r="O113" s="7" t="s">
        <v>29</v>
      </c>
      <c r="P113" s="7" t="s">
        <v>29</v>
      </c>
      <c r="Q113" s="7" t="s">
        <v>29</v>
      </c>
      <c r="R113" s="7" t="s">
        <v>29</v>
      </c>
      <c r="S113" s="7" t="s">
        <v>29</v>
      </c>
    </row>
    <row r="114" spans="2:19">
      <c r="B114" s="7" t="s">
        <v>195</v>
      </c>
      <c r="C114" s="8" t="s">
        <v>195</v>
      </c>
      <c r="D114" s="6" t="str">
        <f>LRTRIM(CONCATENATE(IF(SUMPRODUCT(-- ISNUMBER(SEARCH({"Auto Number"}, $B114))) &gt; 0, $B114, IF(SUMPRODUCT(-- ISNUMBER(SEARCH({"Lookup","Master-Detail"}, $B114))) &gt; 0,$B114 &amp; "(" &amp; $E114 &amp; ")",IF(SUMPRODUCT(-- ISNUMBER(SEARCH({"Formula","Roll-Up Summary"}, $B114))) &gt; 0,$B114 &amp; " (" &amp; $E114 &amp; ")",IF(SUMPRODUCT(-- ISNUMBER(SEARCH({"Content","Currency","Number","Percent","Text","URL"}, $B114))) &gt; 0,$B114 &amp; "(" &amp; $C114 &amp; ")",$B114)))), "  ", TRIM(IF($S114 = "YES", "(External ID)", "") &amp; " " &amp; IF(SUMPRODUCT(-- ISNUMBER(SEARCH({"Unique","Unique Case Insensitive"}, $R114))) &gt; 0, "(" &amp; $R114 &amp; ")", ""))))</f>
        <v>na</v>
      </c>
      <c r="E114" s="7" t="s">
        <v>195</v>
      </c>
      <c r="F114" s="7" t="s">
        <v>195</v>
      </c>
      <c r="G114" s="7" t="s">
        <v>195</v>
      </c>
      <c r="H114" s="7" t="s">
        <v>195</v>
      </c>
      <c r="I114" s="7" t="s">
        <v>195</v>
      </c>
      <c r="J114" s="7" t="s">
        <v>195</v>
      </c>
      <c r="K114" s="7" t="s">
        <v>195</v>
      </c>
      <c r="L114" s="7" t="s">
        <v>195</v>
      </c>
      <c r="M114" s="7" t="s">
        <v>29</v>
      </c>
      <c r="N114" s="7" t="s">
        <v>29</v>
      </c>
      <c r="O114" s="7" t="s">
        <v>29</v>
      </c>
      <c r="P114" s="7" t="s">
        <v>29</v>
      </c>
      <c r="Q114" s="7" t="s">
        <v>29</v>
      </c>
      <c r="R114" s="7" t="s">
        <v>29</v>
      </c>
      <c r="S114" s="7" t="s">
        <v>29</v>
      </c>
    </row>
    <row r="115" spans="2:19">
      <c r="B115" s="7" t="s">
        <v>195</v>
      </c>
      <c r="C115" s="8" t="s">
        <v>195</v>
      </c>
      <c r="D115" s="6" t="str">
        <f>LRTRIM(CONCATENATE(IF(SUMPRODUCT(-- ISNUMBER(SEARCH({"Auto Number"}, $B115))) &gt; 0, $B115, IF(SUMPRODUCT(-- ISNUMBER(SEARCH({"Lookup","Master-Detail"}, $B115))) &gt; 0,$B115 &amp; "(" &amp; $E115 &amp; ")",IF(SUMPRODUCT(-- ISNUMBER(SEARCH({"Formula","Roll-Up Summary"}, $B115))) &gt; 0,$B115 &amp; " (" &amp; $E115 &amp; ")",IF(SUMPRODUCT(-- ISNUMBER(SEARCH({"Content","Currency","Number","Percent","Text","URL"}, $B115))) &gt; 0,$B115 &amp; "(" &amp; $C115 &amp; ")",$B115)))), "  ", TRIM(IF($S115 = "YES", "(External ID)", "") &amp; " " &amp; IF(SUMPRODUCT(-- ISNUMBER(SEARCH({"Unique","Unique Case Insensitive"}, $R115))) &gt; 0, "(" &amp; $R115 &amp; ")", ""))))</f>
        <v>na</v>
      </c>
      <c r="E115" s="7" t="s">
        <v>195</v>
      </c>
      <c r="F115" s="7" t="s">
        <v>195</v>
      </c>
      <c r="G115" s="7" t="s">
        <v>195</v>
      </c>
      <c r="H115" s="7" t="s">
        <v>195</v>
      </c>
      <c r="I115" s="7" t="s">
        <v>195</v>
      </c>
      <c r="J115" s="7" t="s">
        <v>195</v>
      </c>
      <c r="K115" s="7" t="s">
        <v>195</v>
      </c>
      <c r="L115" s="7" t="s">
        <v>195</v>
      </c>
      <c r="M115" s="7" t="s">
        <v>29</v>
      </c>
      <c r="N115" s="7" t="s">
        <v>29</v>
      </c>
      <c r="O115" s="7" t="s">
        <v>29</v>
      </c>
      <c r="P115" s="7" t="s">
        <v>29</v>
      </c>
      <c r="Q115" s="7" t="s">
        <v>29</v>
      </c>
      <c r="R115" s="7" t="s">
        <v>29</v>
      </c>
      <c r="S115" s="7" t="s">
        <v>29</v>
      </c>
    </row>
    <row r="116" spans="2:19">
      <c r="B116" s="7" t="s">
        <v>195</v>
      </c>
      <c r="C116" s="8" t="s">
        <v>195</v>
      </c>
      <c r="D116" s="6" t="str">
        <f>LRTRIM(CONCATENATE(IF(SUMPRODUCT(-- ISNUMBER(SEARCH({"Auto Number"}, $B116))) &gt; 0, $B116, IF(SUMPRODUCT(-- ISNUMBER(SEARCH({"Lookup","Master-Detail"}, $B116))) &gt; 0,$B116 &amp; "(" &amp; $E116 &amp; ")",IF(SUMPRODUCT(-- ISNUMBER(SEARCH({"Formula","Roll-Up Summary"}, $B116))) &gt; 0,$B116 &amp; " (" &amp; $E116 &amp; ")",IF(SUMPRODUCT(-- ISNUMBER(SEARCH({"Content","Currency","Number","Percent","Text","URL"}, $B116))) &gt; 0,$B116 &amp; "(" &amp; $C116 &amp; ")",$B116)))), "  ", TRIM(IF($S116 = "YES", "(External ID)", "") &amp; " " &amp; IF(SUMPRODUCT(-- ISNUMBER(SEARCH({"Unique","Unique Case Insensitive"}, $R116))) &gt; 0, "(" &amp; $R116 &amp; ")", ""))))</f>
        <v>na</v>
      </c>
      <c r="E116" s="7" t="s">
        <v>195</v>
      </c>
      <c r="F116" s="7" t="s">
        <v>195</v>
      </c>
      <c r="G116" s="7" t="s">
        <v>195</v>
      </c>
      <c r="H116" s="7" t="s">
        <v>195</v>
      </c>
      <c r="I116" s="7" t="s">
        <v>195</v>
      </c>
      <c r="J116" s="7" t="s">
        <v>195</v>
      </c>
      <c r="K116" s="7" t="s">
        <v>195</v>
      </c>
      <c r="L116" s="7" t="s">
        <v>195</v>
      </c>
      <c r="M116" s="7" t="s">
        <v>29</v>
      </c>
      <c r="N116" s="7" t="s">
        <v>29</v>
      </c>
      <c r="O116" s="7" t="s">
        <v>29</v>
      </c>
      <c r="P116" s="7" t="s">
        <v>29</v>
      </c>
      <c r="Q116" s="7" t="s">
        <v>29</v>
      </c>
      <c r="R116" s="7" t="s">
        <v>29</v>
      </c>
      <c r="S116" s="7" t="s">
        <v>29</v>
      </c>
    </row>
    <row r="117" spans="2:19">
      <c r="B117" s="7" t="s">
        <v>195</v>
      </c>
      <c r="C117" s="8" t="s">
        <v>195</v>
      </c>
      <c r="D117" s="6" t="str">
        <f>LRTRIM(CONCATENATE(IF(SUMPRODUCT(-- ISNUMBER(SEARCH({"Auto Number"}, $B117))) &gt; 0, $B117, IF(SUMPRODUCT(-- ISNUMBER(SEARCH({"Lookup","Master-Detail"}, $B117))) &gt; 0,$B117 &amp; "(" &amp; $E117 &amp; ")",IF(SUMPRODUCT(-- ISNUMBER(SEARCH({"Formula","Roll-Up Summary"}, $B117))) &gt; 0,$B117 &amp; " (" &amp; $E117 &amp; ")",IF(SUMPRODUCT(-- ISNUMBER(SEARCH({"Content","Currency","Number","Percent","Text","URL"}, $B117))) &gt; 0,$B117 &amp; "(" &amp; $C117 &amp; ")",$B117)))), "  ", TRIM(IF($S117 = "YES", "(External ID)", "") &amp; " " &amp; IF(SUMPRODUCT(-- ISNUMBER(SEARCH({"Unique","Unique Case Insensitive"}, $R117))) &gt; 0, "(" &amp; $R117 &amp; ")", ""))))</f>
        <v>na</v>
      </c>
      <c r="E117" s="7" t="s">
        <v>195</v>
      </c>
      <c r="F117" s="7" t="s">
        <v>195</v>
      </c>
      <c r="G117" s="7" t="s">
        <v>195</v>
      </c>
      <c r="H117" s="7" t="s">
        <v>195</v>
      </c>
      <c r="I117" s="7" t="s">
        <v>195</v>
      </c>
      <c r="J117" s="7" t="s">
        <v>195</v>
      </c>
      <c r="K117" s="7" t="s">
        <v>195</v>
      </c>
      <c r="L117" s="7" t="s">
        <v>195</v>
      </c>
      <c r="M117" s="7" t="s">
        <v>29</v>
      </c>
      <c r="N117" s="7" t="s">
        <v>29</v>
      </c>
      <c r="O117" s="7" t="s">
        <v>29</v>
      </c>
      <c r="P117" s="7" t="s">
        <v>29</v>
      </c>
      <c r="Q117" s="7" t="s">
        <v>29</v>
      </c>
      <c r="R117" s="7" t="s">
        <v>29</v>
      </c>
      <c r="S117" s="7" t="s">
        <v>29</v>
      </c>
    </row>
    <row r="118" spans="2:19">
      <c r="B118" s="7" t="s">
        <v>195</v>
      </c>
      <c r="C118" s="8" t="s">
        <v>195</v>
      </c>
      <c r="D118" s="6" t="str">
        <f>LRTRIM(CONCATENATE(IF(SUMPRODUCT(-- ISNUMBER(SEARCH({"Auto Number"}, $B118))) &gt; 0, $B118, IF(SUMPRODUCT(-- ISNUMBER(SEARCH({"Lookup","Master-Detail"}, $B118))) &gt; 0,$B118 &amp; "(" &amp; $E118 &amp; ")",IF(SUMPRODUCT(-- ISNUMBER(SEARCH({"Formula","Roll-Up Summary"}, $B118))) &gt; 0,$B118 &amp; " (" &amp; $E118 &amp; ")",IF(SUMPRODUCT(-- ISNUMBER(SEARCH({"Content","Currency","Number","Percent","Text","URL"}, $B118))) &gt; 0,$B118 &amp; "(" &amp; $C118 &amp; ")",$B118)))), "  ", TRIM(IF($S118 = "YES", "(External ID)", "") &amp; " " &amp; IF(SUMPRODUCT(-- ISNUMBER(SEARCH({"Unique","Unique Case Insensitive"}, $R118))) &gt; 0, "(" &amp; $R118 &amp; ")", ""))))</f>
        <v>na</v>
      </c>
      <c r="E118" s="7" t="s">
        <v>195</v>
      </c>
      <c r="F118" s="7" t="s">
        <v>195</v>
      </c>
      <c r="G118" s="7" t="s">
        <v>195</v>
      </c>
      <c r="H118" s="7" t="s">
        <v>195</v>
      </c>
      <c r="I118" s="7" t="s">
        <v>195</v>
      </c>
      <c r="J118" s="7" t="s">
        <v>195</v>
      </c>
      <c r="K118" s="7" t="s">
        <v>195</v>
      </c>
      <c r="L118" s="7" t="s">
        <v>195</v>
      </c>
      <c r="M118" s="7" t="s">
        <v>29</v>
      </c>
      <c r="N118" s="7" t="s">
        <v>29</v>
      </c>
      <c r="O118" s="7" t="s">
        <v>29</v>
      </c>
      <c r="P118" s="7" t="s">
        <v>29</v>
      </c>
      <c r="Q118" s="7" t="s">
        <v>29</v>
      </c>
      <c r="R118" s="7" t="s">
        <v>29</v>
      </c>
      <c r="S118" s="7" t="s">
        <v>29</v>
      </c>
    </row>
    <row r="119" spans="2:19">
      <c r="B119" s="7" t="s">
        <v>195</v>
      </c>
      <c r="C119" s="8" t="s">
        <v>195</v>
      </c>
      <c r="D119" s="6" t="str">
        <f>LRTRIM(CONCATENATE(IF(SUMPRODUCT(-- ISNUMBER(SEARCH({"Auto Number"}, $B119))) &gt; 0, $B119, IF(SUMPRODUCT(-- ISNUMBER(SEARCH({"Lookup","Master-Detail"}, $B119))) &gt; 0,$B119 &amp; "(" &amp; $E119 &amp; ")",IF(SUMPRODUCT(-- ISNUMBER(SEARCH({"Formula","Roll-Up Summary"}, $B119))) &gt; 0,$B119 &amp; " (" &amp; $E119 &amp; ")",IF(SUMPRODUCT(-- ISNUMBER(SEARCH({"Content","Currency","Number","Percent","Text","URL"}, $B119))) &gt; 0,$B119 &amp; "(" &amp; $C119 &amp; ")",$B119)))), "  ", TRIM(IF($S119 = "YES", "(External ID)", "") &amp; " " &amp; IF(SUMPRODUCT(-- ISNUMBER(SEARCH({"Unique","Unique Case Insensitive"}, $R119))) &gt; 0, "(" &amp; $R119 &amp; ")", ""))))</f>
        <v>na</v>
      </c>
      <c r="E119" s="7" t="s">
        <v>195</v>
      </c>
      <c r="F119" s="7" t="s">
        <v>195</v>
      </c>
      <c r="G119" s="7" t="s">
        <v>195</v>
      </c>
      <c r="H119" s="7" t="s">
        <v>195</v>
      </c>
      <c r="I119" s="7" t="s">
        <v>195</v>
      </c>
      <c r="J119" s="7" t="s">
        <v>195</v>
      </c>
      <c r="K119" s="7" t="s">
        <v>195</v>
      </c>
      <c r="L119" s="7" t="s">
        <v>195</v>
      </c>
      <c r="M119" s="7" t="s">
        <v>29</v>
      </c>
      <c r="N119" s="7" t="s">
        <v>29</v>
      </c>
      <c r="O119" s="7" t="s">
        <v>29</v>
      </c>
      <c r="P119" s="7" t="s">
        <v>29</v>
      </c>
      <c r="Q119" s="7" t="s">
        <v>29</v>
      </c>
      <c r="R119" s="7" t="s">
        <v>29</v>
      </c>
      <c r="S119" s="7" t="s">
        <v>29</v>
      </c>
    </row>
    <row r="120" spans="2:19">
      <c r="B120" s="7" t="s">
        <v>195</v>
      </c>
      <c r="C120" s="8" t="s">
        <v>195</v>
      </c>
      <c r="D120" s="6" t="str">
        <f>LRTRIM(CONCATENATE(IF(SUMPRODUCT(-- ISNUMBER(SEARCH({"Auto Number"}, $B120))) &gt; 0, $B120, IF(SUMPRODUCT(-- ISNUMBER(SEARCH({"Lookup","Master-Detail"}, $B120))) &gt; 0,$B120 &amp; "(" &amp; $E120 &amp; ")",IF(SUMPRODUCT(-- ISNUMBER(SEARCH({"Formula","Roll-Up Summary"}, $B120))) &gt; 0,$B120 &amp; " (" &amp; $E120 &amp; ")",IF(SUMPRODUCT(-- ISNUMBER(SEARCH({"Content","Currency","Number","Percent","Text","URL"}, $B120))) &gt; 0,$B120 &amp; "(" &amp; $C120 &amp; ")",$B120)))), "  ", TRIM(IF($S120 = "YES", "(External ID)", "") &amp; " " &amp; IF(SUMPRODUCT(-- ISNUMBER(SEARCH({"Unique","Unique Case Insensitive"}, $R120))) &gt; 0, "(" &amp; $R120 &amp; ")", ""))))</f>
        <v>na</v>
      </c>
      <c r="E120" s="7" t="s">
        <v>195</v>
      </c>
      <c r="F120" s="7" t="s">
        <v>195</v>
      </c>
      <c r="G120" s="7" t="s">
        <v>195</v>
      </c>
      <c r="H120" s="7" t="s">
        <v>195</v>
      </c>
      <c r="I120" s="7" t="s">
        <v>195</v>
      </c>
      <c r="J120" s="7" t="s">
        <v>195</v>
      </c>
      <c r="K120" s="7" t="s">
        <v>195</v>
      </c>
      <c r="L120" s="7" t="s">
        <v>195</v>
      </c>
      <c r="M120" s="7" t="s">
        <v>29</v>
      </c>
      <c r="N120" s="7" t="s">
        <v>29</v>
      </c>
      <c r="O120" s="7" t="s">
        <v>29</v>
      </c>
      <c r="P120" s="7" t="s">
        <v>29</v>
      </c>
      <c r="Q120" s="7" t="s">
        <v>29</v>
      </c>
      <c r="R120" s="7" t="s">
        <v>29</v>
      </c>
      <c r="S120" s="7" t="s">
        <v>29</v>
      </c>
    </row>
    <row r="121" spans="2:19">
      <c r="B121" s="7" t="s">
        <v>195</v>
      </c>
      <c r="C121" s="8" t="s">
        <v>195</v>
      </c>
      <c r="D121" s="6" t="str">
        <f>LRTRIM(CONCATENATE(IF(SUMPRODUCT(-- ISNUMBER(SEARCH({"Auto Number"}, $B121))) &gt; 0, $B121, IF(SUMPRODUCT(-- ISNUMBER(SEARCH({"Lookup","Master-Detail"}, $B121))) &gt; 0,$B121 &amp; "(" &amp; $E121 &amp; ")",IF(SUMPRODUCT(-- ISNUMBER(SEARCH({"Formula","Roll-Up Summary"}, $B121))) &gt; 0,$B121 &amp; " (" &amp; $E121 &amp; ")",IF(SUMPRODUCT(-- ISNUMBER(SEARCH({"Content","Currency","Number","Percent","Text","URL"}, $B121))) &gt; 0,$B121 &amp; "(" &amp; $C121 &amp; ")",$B121)))), "  ", TRIM(IF($S121 = "YES", "(External ID)", "") &amp; " " &amp; IF(SUMPRODUCT(-- ISNUMBER(SEARCH({"Unique","Unique Case Insensitive"}, $R121))) &gt; 0, "(" &amp; $R121 &amp; ")", ""))))</f>
        <v>na</v>
      </c>
      <c r="E121" s="7" t="s">
        <v>195</v>
      </c>
      <c r="F121" s="7" t="s">
        <v>195</v>
      </c>
      <c r="G121" s="7" t="s">
        <v>195</v>
      </c>
      <c r="H121" s="7" t="s">
        <v>195</v>
      </c>
      <c r="I121" s="7" t="s">
        <v>195</v>
      </c>
      <c r="J121" s="7" t="s">
        <v>195</v>
      </c>
      <c r="K121" s="7" t="s">
        <v>195</v>
      </c>
      <c r="L121" s="7" t="s">
        <v>195</v>
      </c>
      <c r="M121" s="7" t="s">
        <v>29</v>
      </c>
      <c r="N121" s="7" t="s">
        <v>29</v>
      </c>
      <c r="O121" s="7" t="s">
        <v>29</v>
      </c>
      <c r="P121" s="7" t="s">
        <v>29</v>
      </c>
      <c r="Q121" s="7" t="s">
        <v>29</v>
      </c>
      <c r="R121" s="7" t="s">
        <v>29</v>
      </c>
      <c r="S121" s="7" t="s">
        <v>29</v>
      </c>
    </row>
    <row r="122" spans="2:19">
      <c r="B122" s="7" t="s">
        <v>195</v>
      </c>
      <c r="C122" s="8" t="s">
        <v>195</v>
      </c>
      <c r="D122" s="6" t="str">
        <f>LRTRIM(CONCATENATE(IF(SUMPRODUCT(-- ISNUMBER(SEARCH({"Auto Number"}, $B122))) &gt; 0, $B122, IF(SUMPRODUCT(-- ISNUMBER(SEARCH({"Lookup","Master-Detail"}, $B122))) &gt; 0,$B122 &amp; "(" &amp; $E122 &amp; ")",IF(SUMPRODUCT(-- ISNUMBER(SEARCH({"Formula","Roll-Up Summary"}, $B122))) &gt; 0,$B122 &amp; " (" &amp; $E122 &amp; ")",IF(SUMPRODUCT(-- ISNUMBER(SEARCH({"Content","Currency","Number","Percent","Text","URL"}, $B122))) &gt; 0,$B122 &amp; "(" &amp; $C122 &amp; ")",$B122)))), "  ", TRIM(IF($S122 = "YES", "(External ID)", "") &amp; " " &amp; IF(SUMPRODUCT(-- ISNUMBER(SEARCH({"Unique","Unique Case Insensitive"}, $R122))) &gt; 0, "(" &amp; $R122 &amp; ")", ""))))</f>
        <v>na</v>
      </c>
      <c r="E122" s="7" t="s">
        <v>195</v>
      </c>
      <c r="F122" s="7" t="s">
        <v>195</v>
      </c>
      <c r="G122" s="7" t="s">
        <v>195</v>
      </c>
      <c r="H122" s="7" t="s">
        <v>195</v>
      </c>
      <c r="I122" s="7" t="s">
        <v>195</v>
      </c>
      <c r="J122" s="7" t="s">
        <v>195</v>
      </c>
      <c r="K122" s="7" t="s">
        <v>195</v>
      </c>
      <c r="L122" s="7" t="s">
        <v>195</v>
      </c>
      <c r="M122" s="7" t="s">
        <v>29</v>
      </c>
      <c r="N122" s="7" t="s">
        <v>29</v>
      </c>
      <c r="O122" s="7" t="s">
        <v>29</v>
      </c>
      <c r="P122" s="7" t="s">
        <v>29</v>
      </c>
      <c r="Q122" s="7" t="s">
        <v>29</v>
      </c>
      <c r="R122" s="7" t="s">
        <v>29</v>
      </c>
      <c r="S122" s="7" t="s">
        <v>29</v>
      </c>
    </row>
    <row r="123" spans="2:19">
      <c r="B123" s="7" t="s">
        <v>195</v>
      </c>
      <c r="C123" s="8" t="s">
        <v>195</v>
      </c>
      <c r="D123" s="6" t="str">
        <f>LRTRIM(CONCATENATE(IF(SUMPRODUCT(-- ISNUMBER(SEARCH({"Auto Number"}, $B123))) &gt; 0, $B123, IF(SUMPRODUCT(-- ISNUMBER(SEARCH({"Lookup","Master-Detail"}, $B123))) &gt; 0,$B123 &amp; "(" &amp; $E123 &amp; ")",IF(SUMPRODUCT(-- ISNUMBER(SEARCH({"Formula","Roll-Up Summary"}, $B123))) &gt; 0,$B123 &amp; " (" &amp; $E123 &amp; ")",IF(SUMPRODUCT(-- ISNUMBER(SEARCH({"Content","Currency","Number","Percent","Text","URL"}, $B123))) &gt; 0,$B123 &amp; "(" &amp; $C123 &amp; ")",$B123)))), "  ", TRIM(IF($S123 = "YES", "(External ID)", "") &amp; " " &amp; IF(SUMPRODUCT(-- ISNUMBER(SEARCH({"Unique","Unique Case Insensitive"}, $R123))) &gt; 0, "(" &amp; $R123 &amp; ")", ""))))</f>
        <v>na</v>
      </c>
      <c r="E123" s="7" t="s">
        <v>195</v>
      </c>
      <c r="F123" s="7" t="s">
        <v>195</v>
      </c>
      <c r="G123" s="7" t="s">
        <v>195</v>
      </c>
      <c r="H123" s="7" t="s">
        <v>195</v>
      </c>
      <c r="I123" s="7" t="s">
        <v>195</v>
      </c>
      <c r="J123" s="7" t="s">
        <v>195</v>
      </c>
      <c r="K123" s="7" t="s">
        <v>195</v>
      </c>
      <c r="L123" s="7" t="s">
        <v>195</v>
      </c>
      <c r="M123" s="7" t="s">
        <v>29</v>
      </c>
      <c r="N123" s="7" t="s">
        <v>29</v>
      </c>
      <c r="O123" s="7" t="s">
        <v>29</v>
      </c>
      <c r="P123" s="7" t="s">
        <v>29</v>
      </c>
      <c r="Q123" s="7" t="s">
        <v>29</v>
      </c>
      <c r="R123" s="7" t="s">
        <v>29</v>
      </c>
      <c r="S123" s="7" t="s">
        <v>29</v>
      </c>
    </row>
    <row r="124" spans="2:19">
      <c r="B124" s="7" t="s">
        <v>195</v>
      </c>
      <c r="C124" s="8" t="s">
        <v>195</v>
      </c>
      <c r="D124" s="6" t="str">
        <f>LRTRIM(CONCATENATE(IF(SUMPRODUCT(-- ISNUMBER(SEARCH({"Auto Number"}, $B124))) &gt; 0, $B124, IF(SUMPRODUCT(-- ISNUMBER(SEARCH({"Lookup","Master-Detail"}, $B124))) &gt; 0,$B124 &amp; "(" &amp; $E124 &amp; ")",IF(SUMPRODUCT(-- ISNUMBER(SEARCH({"Formula","Roll-Up Summary"}, $B124))) &gt; 0,$B124 &amp; " (" &amp; $E124 &amp; ")",IF(SUMPRODUCT(-- ISNUMBER(SEARCH({"Content","Currency","Number","Percent","Text","URL"}, $B124))) &gt; 0,$B124 &amp; "(" &amp; $C124 &amp; ")",$B124)))), "  ", TRIM(IF($S124 = "YES", "(External ID)", "") &amp; " " &amp; IF(SUMPRODUCT(-- ISNUMBER(SEARCH({"Unique","Unique Case Insensitive"}, $R124))) &gt; 0, "(" &amp; $R124 &amp; ")", ""))))</f>
        <v>na</v>
      </c>
      <c r="E124" s="7" t="s">
        <v>195</v>
      </c>
      <c r="F124" s="7" t="s">
        <v>195</v>
      </c>
      <c r="G124" s="7" t="s">
        <v>195</v>
      </c>
      <c r="H124" s="7" t="s">
        <v>195</v>
      </c>
      <c r="I124" s="7" t="s">
        <v>195</v>
      </c>
      <c r="J124" s="7" t="s">
        <v>195</v>
      </c>
      <c r="K124" s="7" t="s">
        <v>195</v>
      </c>
      <c r="L124" s="7" t="s">
        <v>195</v>
      </c>
      <c r="M124" s="7" t="s">
        <v>29</v>
      </c>
      <c r="N124" s="7" t="s">
        <v>29</v>
      </c>
      <c r="O124" s="7" t="s">
        <v>29</v>
      </c>
      <c r="P124" s="7" t="s">
        <v>29</v>
      </c>
      <c r="Q124" s="7" t="s">
        <v>29</v>
      </c>
      <c r="R124" s="7" t="s">
        <v>29</v>
      </c>
      <c r="S124" s="7" t="s">
        <v>29</v>
      </c>
    </row>
    <row r="125" spans="2:19">
      <c r="B125" s="7" t="s">
        <v>195</v>
      </c>
      <c r="C125" s="8" t="s">
        <v>195</v>
      </c>
      <c r="D125" s="6" t="str">
        <f>LRTRIM(CONCATENATE(IF(SUMPRODUCT(-- ISNUMBER(SEARCH({"Auto Number"}, $B125))) &gt; 0, $B125, IF(SUMPRODUCT(-- ISNUMBER(SEARCH({"Lookup","Master-Detail"}, $B125))) &gt; 0,$B125 &amp; "(" &amp; $E125 &amp; ")",IF(SUMPRODUCT(-- ISNUMBER(SEARCH({"Formula","Roll-Up Summary"}, $B125))) &gt; 0,$B125 &amp; " (" &amp; $E125 &amp; ")",IF(SUMPRODUCT(-- ISNUMBER(SEARCH({"Content","Currency","Number","Percent","Text","URL"}, $B125))) &gt; 0,$B125 &amp; "(" &amp; $C125 &amp; ")",$B125)))), "  ", TRIM(IF($S125 = "YES", "(External ID)", "") &amp; " " &amp; IF(SUMPRODUCT(-- ISNUMBER(SEARCH({"Unique","Unique Case Insensitive"}, $R125))) &gt; 0, "(" &amp; $R125 &amp; ")", ""))))</f>
        <v>na</v>
      </c>
      <c r="E125" s="7" t="s">
        <v>195</v>
      </c>
      <c r="F125" s="7" t="s">
        <v>195</v>
      </c>
      <c r="G125" s="7" t="s">
        <v>195</v>
      </c>
      <c r="H125" s="7" t="s">
        <v>195</v>
      </c>
      <c r="I125" s="7" t="s">
        <v>195</v>
      </c>
      <c r="J125" s="7" t="s">
        <v>195</v>
      </c>
      <c r="K125" s="7" t="s">
        <v>195</v>
      </c>
      <c r="L125" s="7" t="s">
        <v>195</v>
      </c>
      <c r="M125" s="7" t="s">
        <v>29</v>
      </c>
      <c r="N125" s="7" t="s">
        <v>29</v>
      </c>
      <c r="O125" s="7" t="s">
        <v>29</v>
      </c>
      <c r="P125" s="7" t="s">
        <v>29</v>
      </c>
      <c r="Q125" s="7" t="s">
        <v>29</v>
      </c>
      <c r="R125" s="7" t="s">
        <v>29</v>
      </c>
      <c r="S125" s="7" t="s">
        <v>29</v>
      </c>
    </row>
    <row r="126" spans="2:19">
      <c r="B126" s="7" t="s">
        <v>195</v>
      </c>
      <c r="C126" s="8" t="s">
        <v>195</v>
      </c>
      <c r="D126" s="6" t="str">
        <f>LRTRIM(CONCATENATE(IF(SUMPRODUCT(-- ISNUMBER(SEARCH({"Auto Number"}, $B126))) &gt; 0, $B126, IF(SUMPRODUCT(-- ISNUMBER(SEARCH({"Lookup","Master-Detail"}, $B126))) &gt; 0,$B126 &amp; "(" &amp; $E126 &amp; ")",IF(SUMPRODUCT(-- ISNUMBER(SEARCH({"Formula","Roll-Up Summary"}, $B126))) &gt; 0,$B126 &amp; " (" &amp; $E126 &amp; ")",IF(SUMPRODUCT(-- ISNUMBER(SEARCH({"Content","Currency","Number","Percent","Text","URL"}, $B126))) &gt; 0,$B126 &amp; "(" &amp; $C126 &amp; ")",$B126)))), "  ", TRIM(IF($S126 = "YES", "(External ID)", "") &amp; " " &amp; IF(SUMPRODUCT(-- ISNUMBER(SEARCH({"Unique","Unique Case Insensitive"}, $R126))) &gt; 0, "(" &amp; $R126 &amp; ")", ""))))</f>
        <v>na</v>
      </c>
      <c r="E126" s="7" t="s">
        <v>195</v>
      </c>
      <c r="F126" s="7" t="s">
        <v>195</v>
      </c>
      <c r="G126" s="7" t="s">
        <v>195</v>
      </c>
      <c r="H126" s="7" t="s">
        <v>195</v>
      </c>
      <c r="I126" s="7" t="s">
        <v>195</v>
      </c>
      <c r="J126" s="7" t="s">
        <v>195</v>
      </c>
      <c r="K126" s="7" t="s">
        <v>195</v>
      </c>
      <c r="L126" s="7" t="s">
        <v>195</v>
      </c>
      <c r="M126" s="7" t="s">
        <v>29</v>
      </c>
      <c r="N126" s="7" t="s">
        <v>29</v>
      </c>
      <c r="O126" s="7" t="s">
        <v>29</v>
      </c>
      <c r="P126" s="7" t="s">
        <v>29</v>
      </c>
      <c r="Q126" s="7" t="s">
        <v>29</v>
      </c>
      <c r="R126" s="7" t="s">
        <v>29</v>
      </c>
      <c r="S126" s="7" t="s">
        <v>29</v>
      </c>
    </row>
    <row r="127" spans="2:19">
      <c r="B127" s="7" t="s">
        <v>195</v>
      </c>
      <c r="C127" s="8" t="s">
        <v>195</v>
      </c>
      <c r="D127" s="6" t="str">
        <f>LRTRIM(CONCATENATE(IF(SUMPRODUCT(-- ISNUMBER(SEARCH({"Auto Number"}, $B127))) &gt; 0, $B127, IF(SUMPRODUCT(-- ISNUMBER(SEARCH({"Lookup","Master-Detail"}, $B127))) &gt; 0,$B127 &amp; "(" &amp; $E127 &amp; ")",IF(SUMPRODUCT(-- ISNUMBER(SEARCH({"Formula","Roll-Up Summary"}, $B127))) &gt; 0,$B127 &amp; " (" &amp; $E127 &amp; ")",IF(SUMPRODUCT(-- ISNUMBER(SEARCH({"Content","Currency","Number","Percent","Text","URL"}, $B127))) &gt; 0,$B127 &amp; "(" &amp; $C127 &amp; ")",$B127)))), "  ", TRIM(IF($S127 = "YES", "(External ID)", "") &amp; " " &amp; IF(SUMPRODUCT(-- ISNUMBER(SEARCH({"Unique","Unique Case Insensitive"}, $R127))) &gt; 0, "(" &amp; $R127 &amp; ")", ""))))</f>
        <v>na</v>
      </c>
      <c r="E127" s="7" t="s">
        <v>195</v>
      </c>
      <c r="F127" s="7" t="s">
        <v>195</v>
      </c>
      <c r="G127" s="7" t="s">
        <v>195</v>
      </c>
      <c r="H127" s="7" t="s">
        <v>195</v>
      </c>
      <c r="I127" s="7" t="s">
        <v>195</v>
      </c>
      <c r="J127" s="7" t="s">
        <v>195</v>
      </c>
      <c r="K127" s="7" t="s">
        <v>195</v>
      </c>
      <c r="L127" s="7" t="s">
        <v>195</v>
      </c>
      <c r="M127" s="7" t="s">
        <v>29</v>
      </c>
      <c r="N127" s="7" t="s">
        <v>29</v>
      </c>
      <c r="O127" s="7" t="s">
        <v>29</v>
      </c>
      <c r="P127" s="7" t="s">
        <v>29</v>
      </c>
      <c r="Q127" s="7" t="s">
        <v>29</v>
      </c>
      <c r="R127" s="7" t="s">
        <v>29</v>
      </c>
      <c r="S127" s="7" t="s">
        <v>29</v>
      </c>
    </row>
    <row r="128" spans="2:19">
      <c r="B128" s="7" t="s">
        <v>195</v>
      </c>
      <c r="C128" s="8" t="s">
        <v>195</v>
      </c>
      <c r="D128" s="6" t="str">
        <f>LRTRIM(CONCATENATE(IF(SUMPRODUCT(-- ISNUMBER(SEARCH({"Auto Number"}, $B128))) &gt; 0, $B128, IF(SUMPRODUCT(-- ISNUMBER(SEARCH({"Lookup","Master-Detail"}, $B128))) &gt; 0,$B128 &amp; "(" &amp; $E128 &amp; ")",IF(SUMPRODUCT(-- ISNUMBER(SEARCH({"Formula","Roll-Up Summary"}, $B128))) &gt; 0,$B128 &amp; " (" &amp; $E128 &amp; ")",IF(SUMPRODUCT(-- ISNUMBER(SEARCH({"Content","Currency","Number","Percent","Text","URL"}, $B128))) &gt; 0,$B128 &amp; "(" &amp; $C128 &amp; ")",$B128)))), "  ", TRIM(IF($S128 = "YES", "(External ID)", "") &amp; " " &amp; IF(SUMPRODUCT(-- ISNUMBER(SEARCH({"Unique","Unique Case Insensitive"}, $R128))) &gt; 0, "(" &amp; $R128 &amp; ")", ""))))</f>
        <v>na</v>
      </c>
      <c r="E128" s="7" t="s">
        <v>195</v>
      </c>
      <c r="F128" s="7" t="s">
        <v>195</v>
      </c>
      <c r="G128" s="7" t="s">
        <v>195</v>
      </c>
      <c r="H128" s="7" t="s">
        <v>195</v>
      </c>
      <c r="I128" s="7" t="s">
        <v>195</v>
      </c>
      <c r="J128" s="7" t="s">
        <v>195</v>
      </c>
      <c r="K128" s="7" t="s">
        <v>195</v>
      </c>
      <c r="L128" s="7" t="s">
        <v>195</v>
      </c>
      <c r="M128" s="7" t="s">
        <v>29</v>
      </c>
      <c r="N128" s="7" t="s">
        <v>29</v>
      </c>
      <c r="O128" s="7" t="s">
        <v>29</v>
      </c>
      <c r="P128" s="7" t="s">
        <v>29</v>
      </c>
      <c r="Q128" s="7" t="s">
        <v>29</v>
      </c>
      <c r="R128" s="7" t="s">
        <v>29</v>
      </c>
      <c r="S128" s="7" t="s">
        <v>29</v>
      </c>
    </row>
    <row r="129" spans="2:19">
      <c r="B129" s="7" t="s">
        <v>195</v>
      </c>
      <c r="C129" s="8" t="s">
        <v>195</v>
      </c>
      <c r="D129" s="6" t="str">
        <f>LRTRIM(CONCATENATE(IF(SUMPRODUCT(-- ISNUMBER(SEARCH({"Auto Number"}, $B129))) &gt; 0, $B129, IF(SUMPRODUCT(-- ISNUMBER(SEARCH({"Lookup","Master-Detail"}, $B129))) &gt; 0,$B129 &amp; "(" &amp; $E129 &amp; ")",IF(SUMPRODUCT(-- ISNUMBER(SEARCH({"Formula","Roll-Up Summary"}, $B129))) &gt; 0,$B129 &amp; " (" &amp; $E129 &amp; ")",IF(SUMPRODUCT(-- ISNUMBER(SEARCH({"Content","Currency","Number","Percent","Text","URL"}, $B129))) &gt; 0,$B129 &amp; "(" &amp; $C129 &amp; ")",$B129)))), "  ", TRIM(IF($S129 = "YES", "(External ID)", "") &amp; " " &amp; IF(SUMPRODUCT(-- ISNUMBER(SEARCH({"Unique","Unique Case Insensitive"}, $R129))) &gt; 0, "(" &amp; $R129 &amp; ")", ""))))</f>
        <v>na</v>
      </c>
      <c r="E129" s="7" t="s">
        <v>195</v>
      </c>
      <c r="F129" s="7" t="s">
        <v>195</v>
      </c>
      <c r="G129" s="7" t="s">
        <v>195</v>
      </c>
      <c r="H129" s="7" t="s">
        <v>195</v>
      </c>
      <c r="I129" s="7" t="s">
        <v>195</v>
      </c>
      <c r="J129" s="7" t="s">
        <v>195</v>
      </c>
      <c r="K129" s="7" t="s">
        <v>195</v>
      </c>
      <c r="L129" s="7" t="s">
        <v>195</v>
      </c>
      <c r="M129" s="7" t="s">
        <v>29</v>
      </c>
      <c r="N129" s="7" t="s">
        <v>29</v>
      </c>
      <c r="O129" s="7" t="s">
        <v>29</v>
      </c>
      <c r="P129" s="7" t="s">
        <v>29</v>
      </c>
      <c r="Q129" s="7" t="s">
        <v>29</v>
      </c>
      <c r="R129" s="7" t="s">
        <v>29</v>
      </c>
      <c r="S129" s="7" t="s">
        <v>29</v>
      </c>
    </row>
    <row r="130" spans="2:19">
      <c r="B130" s="7" t="s">
        <v>195</v>
      </c>
      <c r="C130" s="8" t="s">
        <v>195</v>
      </c>
      <c r="D130" s="6" t="str">
        <f>LRTRIM(CONCATENATE(IF(SUMPRODUCT(-- ISNUMBER(SEARCH({"Auto Number"}, $B130))) &gt; 0, $B130, IF(SUMPRODUCT(-- ISNUMBER(SEARCH({"Lookup","Master-Detail"}, $B130))) &gt; 0,$B130 &amp; "(" &amp; $E130 &amp; ")",IF(SUMPRODUCT(-- ISNUMBER(SEARCH({"Formula","Roll-Up Summary"}, $B130))) &gt; 0,$B130 &amp; " (" &amp; $E130 &amp; ")",IF(SUMPRODUCT(-- ISNUMBER(SEARCH({"Content","Currency","Number","Percent","Text","URL"}, $B130))) &gt; 0,$B130 &amp; "(" &amp; $C130 &amp; ")",$B130)))), "  ", TRIM(IF($S130 = "YES", "(External ID)", "") &amp; " " &amp; IF(SUMPRODUCT(-- ISNUMBER(SEARCH({"Unique","Unique Case Insensitive"}, $R130))) &gt; 0, "(" &amp; $R130 &amp; ")", ""))))</f>
        <v>na</v>
      </c>
      <c r="E130" s="7" t="s">
        <v>195</v>
      </c>
      <c r="F130" s="7" t="s">
        <v>195</v>
      </c>
      <c r="G130" s="7" t="s">
        <v>195</v>
      </c>
      <c r="H130" s="7" t="s">
        <v>195</v>
      </c>
      <c r="I130" s="7" t="s">
        <v>195</v>
      </c>
      <c r="J130" s="7" t="s">
        <v>195</v>
      </c>
      <c r="K130" s="7" t="s">
        <v>195</v>
      </c>
      <c r="L130" s="7" t="s">
        <v>195</v>
      </c>
      <c r="M130" s="7" t="s">
        <v>29</v>
      </c>
      <c r="N130" s="7" t="s">
        <v>29</v>
      </c>
      <c r="O130" s="7" t="s">
        <v>29</v>
      </c>
      <c r="P130" s="7" t="s">
        <v>29</v>
      </c>
      <c r="Q130" s="7" t="s">
        <v>29</v>
      </c>
      <c r="R130" s="7" t="s">
        <v>29</v>
      </c>
      <c r="S130" s="7" t="s">
        <v>29</v>
      </c>
    </row>
    <row r="131" spans="2:19">
      <c r="B131" s="7" t="s">
        <v>195</v>
      </c>
      <c r="C131" s="8" t="s">
        <v>195</v>
      </c>
      <c r="D131" s="6" t="str">
        <f>LRTRIM(CONCATENATE(IF(SUMPRODUCT(-- ISNUMBER(SEARCH({"Auto Number"}, $B131))) &gt; 0, $B131, IF(SUMPRODUCT(-- ISNUMBER(SEARCH({"Lookup","Master-Detail"}, $B131))) &gt; 0,$B131 &amp; "(" &amp; $E131 &amp; ")",IF(SUMPRODUCT(-- ISNUMBER(SEARCH({"Formula","Roll-Up Summary"}, $B131))) &gt; 0,$B131 &amp; " (" &amp; $E131 &amp; ")",IF(SUMPRODUCT(-- ISNUMBER(SEARCH({"Content","Currency","Number","Percent","Text","URL"}, $B131))) &gt; 0,$B131 &amp; "(" &amp; $C131 &amp; ")",$B131)))), "  ", TRIM(IF($S131 = "YES", "(External ID)", "") &amp; " " &amp; IF(SUMPRODUCT(-- ISNUMBER(SEARCH({"Unique","Unique Case Insensitive"}, $R131))) &gt; 0, "(" &amp; $R131 &amp; ")", ""))))</f>
        <v>na</v>
      </c>
      <c r="E131" s="7" t="s">
        <v>195</v>
      </c>
      <c r="F131" s="7" t="s">
        <v>195</v>
      </c>
      <c r="G131" s="7" t="s">
        <v>195</v>
      </c>
      <c r="H131" s="7" t="s">
        <v>195</v>
      </c>
      <c r="I131" s="7" t="s">
        <v>195</v>
      </c>
      <c r="J131" s="7" t="s">
        <v>195</v>
      </c>
      <c r="K131" s="7" t="s">
        <v>195</v>
      </c>
      <c r="L131" s="7" t="s">
        <v>195</v>
      </c>
      <c r="M131" s="7" t="s">
        <v>29</v>
      </c>
      <c r="N131" s="7" t="s">
        <v>29</v>
      </c>
      <c r="O131" s="7" t="s">
        <v>29</v>
      </c>
      <c r="P131" s="7" t="s">
        <v>29</v>
      </c>
      <c r="Q131" s="7" t="s">
        <v>29</v>
      </c>
      <c r="R131" s="7" t="s">
        <v>29</v>
      </c>
      <c r="S131" s="7" t="s">
        <v>29</v>
      </c>
    </row>
    <row r="132" spans="2:19">
      <c r="B132" s="7" t="s">
        <v>195</v>
      </c>
      <c r="C132" s="8" t="s">
        <v>195</v>
      </c>
      <c r="D132" s="6" t="str">
        <f>LRTRIM(CONCATENATE(IF(SUMPRODUCT(-- ISNUMBER(SEARCH({"Auto Number"}, $B132))) &gt; 0, $B132, IF(SUMPRODUCT(-- ISNUMBER(SEARCH({"Lookup","Master-Detail"}, $B132))) &gt; 0,$B132 &amp; "(" &amp; $E132 &amp; ")",IF(SUMPRODUCT(-- ISNUMBER(SEARCH({"Formula","Roll-Up Summary"}, $B132))) &gt; 0,$B132 &amp; " (" &amp; $E132 &amp; ")",IF(SUMPRODUCT(-- ISNUMBER(SEARCH({"Content","Currency","Number","Percent","Text","URL"}, $B132))) &gt; 0,$B132 &amp; "(" &amp; $C132 &amp; ")",$B132)))), "  ", TRIM(IF($S132 = "YES", "(External ID)", "") &amp; " " &amp; IF(SUMPRODUCT(-- ISNUMBER(SEARCH({"Unique","Unique Case Insensitive"}, $R132))) &gt; 0, "(" &amp; $R132 &amp; ")", ""))))</f>
        <v>na</v>
      </c>
      <c r="E132" s="7" t="s">
        <v>195</v>
      </c>
      <c r="F132" s="7" t="s">
        <v>195</v>
      </c>
      <c r="G132" s="7" t="s">
        <v>195</v>
      </c>
      <c r="H132" s="7" t="s">
        <v>195</v>
      </c>
      <c r="I132" s="7" t="s">
        <v>195</v>
      </c>
      <c r="J132" s="7" t="s">
        <v>195</v>
      </c>
      <c r="K132" s="7" t="s">
        <v>195</v>
      </c>
      <c r="L132" s="7" t="s">
        <v>195</v>
      </c>
      <c r="M132" s="7" t="s">
        <v>29</v>
      </c>
      <c r="N132" s="7" t="s">
        <v>29</v>
      </c>
      <c r="O132" s="7" t="s">
        <v>29</v>
      </c>
      <c r="P132" s="7" t="s">
        <v>29</v>
      </c>
      <c r="Q132" s="7" t="s">
        <v>29</v>
      </c>
      <c r="R132" s="7" t="s">
        <v>29</v>
      </c>
      <c r="S132" s="7" t="s">
        <v>29</v>
      </c>
    </row>
    <row r="133" spans="2:19">
      <c r="B133" s="7" t="s">
        <v>195</v>
      </c>
      <c r="C133" s="8" t="s">
        <v>195</v>
      </c>
      <c r="D133" s="6" t="str">
        <f>LRTRIM(CONCATENATE(IF(SUMPRODUCT(-- ISNUMBER(SEARCH({"Auto Number"}, $B133))) &gt; 0, $B133, IF(SUMPRODUCT(-- ISNUMBER(SEARCH({"Lookup","Master-Detail"}, $B133))) &gt; 0,$B133 &amp; "(" &amp; $E133 &amp; ")",IF(SUMPRODUCT(-- ISNUMBER(SEARCH({"Formula","Roll-Up Summary"}, $B133))) &gt; 0,$B133 &amp; " (" &amp; $E133 &amp; ")",IF(SUMPRODUCT(-- ISNUMBER(SEARCH({"Content","Currency","Number","Percent","Text","URL"}, $B133))) &gt; 0,$B133 &amp; "(" &amp; $C133 &amp; ")",$B133)))), "  ", TRIM(IF($S133 = "YES", "(External ID)", "") &amp; " " &amp; IF(SUMPRODUCT(-- ISNUMBER(SEARCH({"Unique","Unique Case Insensitive"}, $R133))) &gt; 0, "(" &amp; $R133 &amp; ")", ""))))</f>
        <v>na</v>
      </c>
      <c r="E133" s="7" t="s">
        <v>195</v>
      </c>
      <c r="F133" s="7" t="s">
        <v>195</v>
      </c>
      <c r="G133" s="7" t="s">
        <v>195</v>
      </c>
      <c r="H133" s="7" t="s">
        <v>195</v>
      </c>
      <c r="I133" s="7" t="s">
        <v>195</v>
      </c>
      <c r="J133" s="7" t="s">
        <v>195</v>
      </c>
      <c r="K133" s="7" t="s">
        <v>195</v>
      </c>
      <c r="L133" s="7" t="s">
        <v>195</v>
      </c>
      <c r="M133" s="7" t="s">
        <v>29</v>
      </c>
      <c r="N133" s="7" t="s">
        <v>29</v>
      </c>
      <c r="O133" s="7" t="s">
        <v>29</v>
      </c>
      <c r="P133" s="7" t="s">
        <v>29</v>
      </c>
      <c r="Q133" s="7" t="s">
        <v>29</v>
      </c>
      <c r="R133" s="7" t="s">
        <v>29</v>
      </c>
      <c r="S133" s="7" t="s">
        <v>29</v>
      </c>
    </row>
    <row r="134" spans="2:19">
      <c r="B134" s="7" t="s">
        <v>195</v>
      </c>
      <c r="C134" s="8" t="s">
        <v>195</v>
      </c>
      <c r="D134" s="6" t="str">
        <f>LRTRIM(CONCATENATE(IF(SUMPRODUCT(-- ISNUMBER(SEARCH({"Auto Number"}, $B134))) &gt; 0, $B134, IF(SUMPRODUCT(-- ISNUMBER(SEARCH({"Lookup","Master-Detail"}, $B134))) &gt; 0,$B134 &amp; "(" &amp; $E134 &amp; ")",IF(SUMPRODUCT(-- ISNUMBER(SEARCH({"Formula","Roll-Up Summary"}, $B134))) &gt; 0,$B134 &amp; " (" &amp; $E134 &amp; ")",IF(SUMPRODUCT(-- ISNUMBER(SEARCH({"Content","Currency","Number","Percent","Text","URL"}, $B134))) &gt; 0,$B134 &amp; "(" &amp; $C134 &amp; ")",$B134)))), "  ", TRIM(IF($S134 = "YES", "(External ID)", "") &amp; " " &amp; IF(SUMPRODUCT(-- ISNUMBER(SEARCH({"Unique","Unique Case Insensitive"}, $R134))) &gt; 0, "(" &amp; $R134 &amp; ")", ""))))</f>
        <v>na</v>
      </c>
      <c r="E134" s="7" t="s">
        <v>195</v>
      </c>
      <c r="F134" s="7" t="s">
        <v>195</v>
      </c>
      <c r="G134" s="7" t="s">
        <v>195</v>
      </c>
      <c r="H134" s="7" t="s">
        <v>195</v>
      </c>
      <c r="I134" s="7" t="s">
        <v>195</v>
      </c>
      <c r="J134" s="7" t="s">
        <v>195</v>
      </c>
      <c r="K134" s="7" t="s">
        <v>195</v>
      </c>
      <c r="L134" s="7" t="s">
        <v>195</v>
      </c>
      <c r="M134" s="7" t="s">
        <v>29</v>
      </c>
      <c r="N134" s="7" t="s">
        <v>29</v>
      </c>
      <c r="O134" s="7" t="s">
        <v>29</v>
      </c>
      <c r="P134" s="7" t="s">
        <v>29</v>
      </c>
      <c r="Q134" s="7" t="s">
        <v>29</v>
      </c>
      <c r="R134" s="7" t="s">
        <v>29</v>
      </c>
      <c r="S134" s="7" t="s">
        <v>29</v>
      </c>
    </row>
    <row r="135" spans="2:19">
      <c r="B135" s="7" t="s">
        <v>195</v>
      </c>
      <c r="C135" s="8" t="s">
        <v>195</v>
      </c>
      <c r="D135" s="6" t="str">
        <f>LRTRIM(CONCATENATE(IF(SUMPRODUCT(-- ISNUMBER(SEARCH({"Auto Number"}, $B135))) &gt; 0, $B135, IF(SUMPRODUCT(-- ISNUMBER(SEARCH({"Lookup","Master-Detail"}, $B135))) &gt; 0,$B135 &amp; "(" &amp; $E135 &amp; ")",IF(SUMPRODUCT(-- ISNUMBER(SEARCH({"Formula","Roll-Up Summary"}, $B135))) &gt; 0,$B135 &amp; " (" &amp; $E135 &amp; ")",IF(SUMPRODUCT(-- ISNUMBER(SEARCH({"Content","Currency","Number","Percent","Text","URL"}, $B135))) &gt; 0,$B135 &amp; "(" &amp; $C135 &amp; ")",$B135)))), "  ", TRIM(IF($S135 = "YES", "(External ID)", "") &amp; " " &amp; IF(SUMPRODUCT(-- ISNUMBER(SEARCH({"Unique","Unique Case Insensitive"}, $R135))) &gt; 0, "(" &amp; $R135 &amp; ")", ""))))</f>
        <v>na</v>
      </c>
      <c r="E135" s="7" t="s">
        <v>195</v>
      </c>
      <c r="F135" s="7" t="s">
        <v>195</v>
      </c>
      <c r="G135" s="7" t="s">
        <v>195</v>
      </c>
      <c r="H135" s="7" t="s">
        <v>195</v>
      </c>
      <c r="I135" s="7" t="s">
        <v>195</v>
      </c>
      <c r="J135" s="7" t="s">
        <v>195</v>
      </c>
      <c r="K135" s="7" t="s">
        <v>195</v>
      </c>
      <c r="L135" s="7" t="s">
        <v>195</v>
      </c>
      <c r="M135" s="7" t="s">
        <v>29</v>
      </c>
      <c r="N135" s="7" t="s">
        <v>29</v>
      </c>
      <c r="O135" s="7" t="s">
        <v>29</v>
      </c>
      <c r="P135" s="7" t="s">
        <v>29</v>
      </c>
      <c r="Q135" s="7" t="s">
        <v>29</v>
      </c>
      <c r="R135" s="7" t="s">
        <v>29</v>
      </c>
      <c r="S135" s="7" t="s">
        <v>29</v>
      </c>
    </row>
    <row r="136" spans="2:19">
      <c r="B136" s="7" t="s">
        <v>195</v>
      </c>
      <c r="C136" s="8" t="s">
        <v>195</v>
      </c>
      <c r="D136" s="6" t="str">
        <f>LRTRIM(CONCATENATE(IF(SUMPRODUCT(-- ISNUMBER(SEARCH({"Auto Number"}, $B136))) &gt; 0, $B136, IF(SUMPRODUCT(-- ISNUMBER(SEARCH({"Lookup","Master-Detail"}, $B136))) &gt; 0,$B136 &amp; "(" &amp; $E136 &amp; ")",IF(SUMPRODUCT(-- ISNUMBER(SEARCH({"Formula","Roll-Up Summary"}, $B136))) &gt; 0,$B136 &amp; " (" &amp; $E136 &amp; ")",IF(SUMPRODUCT(-- ISNUMBER(SEARCH({"Content","Currency","Number","Percent","Text","URL"}, $B136))) &gt; 0,$B136 &amp; "(" &amp; $C136 &amp; ")",$B136)))), "  ", TRIM(IF($S136 = "YES", "(External ID)", "") &amp; " " &amp; IF(SUMPRODUCT(-- ISNUMBER(SEARCH({"Unique","Unique Case Insensitive"}, $R136))) &gt; 0, "(" &amp; $R136 &amp; ")", ""))))</f>
        <v>na</v>
      </c>
      <c r="E136" s="7" t="s">
        <v>195</v>
      </c>
      <c r="F136" s="7" t="s">
        <v>195</v>
      </c>
      <c r="G136" s="7" t="s">
        <v>195</v>
      </c>
      <c r="H136" s="7" t="s">
        <v>195</v>
      </c>
      <c r="I136" s="7" t="s">
        <v>195</v>
      </c>
      <c r="J136" s="7" t="s">
        <v>195</v>
      </c>
      <c r="K136" s="7" t="s">
        <v>195</v>
      </c>
      <c r="L136" s="7" t="s">
        <v>195</v>
      </c>
      <c r="M136" s="7" t="s">
        <v>29</v>
      </c>
      <c r="N136" s="7" t="s">
        <v>29</v>
      </c>
      <c r="O136" s="7" t="s">
        <v>29</v>
      </c>
      <c r="P136" s="7" t="s">
        <v>29</v>
      </c>
      <c r="Q136" s="7" t="s">
        <v>29</v>
      </c>
      <c r="R136" s="7" t="s">
        <v>29</v>
      </c>
      <c r="S136" s="7" t="s">
        <v>29</v>
      </c>
    </row>
    <row r="137" spans="2:19">
      <c r="B137" s="7" t="s">
        <v>195</v>
      </c>
      <c r="C137" s="8" t="s">
        <v>195</v>
      </c>
      <c r="D137" s="6" t="str">
        <f>LRTRIM(CONCATENATE(IF(SUMPRODUCT(-- ISNUMBER(SEARCH({"Auto Number"}, $B137))) &gt; 0, $B137, IF(SUMPRODUCT(-- ISNUMBER(SEARCH({"Lookup","Master-Detail"}, $B137))) &gt; 0,$B137 &amp; "(" &amp; $E137 &amp; ")",IF(SUMPRODUCT(-- ISNUMBER(SEARCH({"Formula","Roll-Up Summary"}, $B137))) &gt; 0,$B137 &amp; " (" &amp; $E137 &amp; ")",IF(SUMPRODUCT(-- ISNUMBER(SEARCH({"Content","Currency","Number","Percent","Text","URL"}, $B137))) &gt; 0,$B137 &amp; "(" &amp; $C137 &amp; ")",$B137)))), "  ", TRIM(IF($S137 = "YES", "(External ID)", "") &amp; " " &amp; IF(SUMPRODUCT(-- ISNUMBER(SEARCH({"Unique","Unique Case Insensitive"}, $R137))) &gt; 0, "(" &amp; $R137 &amp; ")", ""))))</f>
        <v>na</v>
      </c>
      <c r="E137" s="7" t="s">
        <v>195</v>
      </c>
      <c r="F137" s="7" t="s">
        <v>195</v>
      </c>
      <c r="G137" s="7" t="s">
        <v>195</v>
      </c>
      <c r="H137" s="7" t="s">
        <v>195</v>
      </c>
      <c r="I137" s="7" t="s">
        <v>195</v>
      </c>
      <c r="J137" s="7" t="s">
        <v>195</v>
      </c>
      <c r="K137" s="7" t="s">
        <v>195</v>
      </c>
      <c r="L137" s="7" t="s">
        <v>195</v>
      </c>
      <c r="M137" s="7" t="s">
        <v>29</v>
      </c>
      <c r="N137" s="7" t="s">
        <v>29</v>
      </c>
      <c r="O137" s="7" t="s">
        <v>29</v>
      </c>
      <c r="P137" s="7" t="s">
        <v>29</v>
      </c>
      <c r="Q137" s="7" t="s">
        <v>29</v>
      </c>
      <c r="R137" s="7" t="s">
        <v>29</v>
      </c>
      <c r="S137" s="7" t="s">
        <v>29</v>
      </c>
    </row>
    <row r="138" spans="2:19">
      <c r="B138" s="7" t="s">
        <v>195</v>
      </c>
      <c r="C138" s="8" t="s">
        <v>195</v>
      </c>
      <c r="D138" s="6" t="str">
        <f>LRTRIM(CONCATENATE(IF(SUMPRODUCT(-- ISNUMBER(SEARCH({"Auto Number"}, $B138))) &gt; 0, $B138, IF(SUMPRODUCT(-- ISNUMBER(SEARCH({"Lookup","Master-Detail"}, $B138))) &gt; 0,$B138 &amp; "(" &amp; $E138 &amp; ")",IF(SUMPRODUCT(-- ISNUMBER(SEARCH({"Formula","Roll-Up Summary"}, $B138))) &gt; 0,$B138 &amp; " (" &amp; $E138 &amp; ")",IF(SUMPRODUCT(-- ISNUMBER(SEARCH({"Content","Currency","Number","Percent","Text","URL"}, $B138))) &gt; 0,$B138 &amp; "(" &amp; $C138 &amp; ")",$B138)))), "  ", TRIM(IF($S138 = "YES", "(External ID)", "") &amp; " " &amp; IF(SUMPRODUCT(-- ISNUMBER(SEARCH({"Unique","Unique Case Insensitive"}, $R138))) &gt; 0, "(" &amp; $R138 &amp; ")", ""))))</f>
        <v>na</v>
      </c>
      <c r="E138" s="7" t="s">
        <v>195</v>
      </c>
      <c r="F138" s="7" t="s">
        <v>195</v>
      </c>
      <c r="G138" s="7" t="s">
        <v>195</v>
      </c>
      <c r="H138" s="7" t="s">
        <v>195</v>
      </c>
      <c r="I138" s="7" t="s">
        <v>195</v>
      </c>
      <c r="J138" s="7" t="s">
        <v>195</v>
      </c>
      <c r="K138" s="7" t="s">
        <v>195</v>
      </c>
      <c r="L138" s="7" t="s">
        <v>195</v>
      </c>
      <c r="M138" s="7" t="s">
        <v>29</v>
      </c>
      <c r="N138" s="7" t="s">
        <v>29</v>
      </c>
      <c r="O138" s="7" t="s">
        <v>29</v>
      </c>
      <c r="P138" s="7" t="s">
        <v>29</v>
      </c>
      <c r="Q138" s="7" t="s">
        <v>29</v>
      </c>
      <c r="R138" s="7" t="s">
        <v>29</v>
      </c>
      <c r="S138" s="7" t="s">
        <v>29</v>
      </c>
    </row>
    <row r="139" spans="2:19">
      <c r="B139" s="7" t="s">
        <v>195</v>
      </c>
      <c r="C139" s="8" t="s">
        <v>195</v>
      </c>
      <c r="D139" s="6" t="str">
        <f>LRTRIM(CONCATENATE(IF(SUMPRODUCT(-- ISNUMBER(SEARCH({"Auto Number"}, $B139))) &gt; 0, $B139, IF(SUMPRODUCT(-- ISNUMBER(SEARCH({"Lookup","Master-Detail"}, $B139))) &gt; 0,$B139 &amp; "(" &amp; $E139 &amp; ")",IF(SUMPRODUCT(-- ISNUMBER(SEARCH({"Formula","Roll-Up Summary"}, $B139))) &gt; 0,$B139 &amp; " (" &amp; $E139 &amp; ")",IF(SUMPRODUCT(-- ISNUMBER(SEARCH({"Content","Currency","Number","Percent","Text","URL"}, $B139))) &gt; 0,$B139 &amp; "(" &amp; $C139 &amp; ")",$B139)))), "  ", TRIM(IF($S139 = "YES", "(External ID)", "") &amp; " " &amp; IF(SUMPRODUCT(-- ISNUMBER(SEARCH({"Unique","Unique Case Insensitive"}, $R139))) &gt; 0, "(" &amp; $R139 &amp; ")", ""))))</f>
        <v>na</v>
      </c>
      <c r="E139" s="7" t="s">
        <v>195</v>
      </c>
      <c r="F139" s="7" t="s">
        <v>195</v>
      </c>
      <c r="G139" s="7" t="s">
        <v>195</v>
      </c>
      <c r="H139" s="7" t="s">
        <v>195</v>
      </c>
      <c r="I139" s="7" t="s">
        <v>195</v>
      </c>
      <c r="J139" s="7" t="s">
        <v>195</v>
      </c>
      <c r="K139" s="7" t="s">
        <v>195</v>
      </c>
      <c r="L139" s="7" t="s">
        <v>195</v>
      </c>
      <c r="M139" s="7" t="s">
        <v>29</v>
      </c>
      <c r="N139" s="7" t="s">
        <v>29</v>
      </c>
      <c r="O139" s="7" t="s">
        <v>29</v>
      </c>
      <c r="P139" s="7" t="s">
        <v>29</v>
      </c>
      <c r="Q139" s="7" t="s">
        <v>29</v>
      </c>
      <c r="R139" s="7" t="s">
        <v>29</v>
      </c>
      <c r="S139" s="7" t="s">
        <v>29</v>
      </c>
    </row>
    <row r="140" spans="2:19">
      <c r="B140" s="7" t="s">
        <v>195</v>
      </c>
      <c r="C140" s="8" t="s">
        <v>195</v>
      </c>
      <c r="D140" s="6" t="str">
        <f>LRTRIM(CONCATENATE(IF(SUMPRODUCT(-- ISNUMBER(SEARCH({"Auto Number"}, $B140))) &gt; 0, $B140, IF(SUMPRODUCT(-- ISNUMBER(SEARCH({"Lookup","Master-Detail"}, $B140))) &gt; 0,$B140 &amp; "(" &amp; $E140 &amp; ")",IF(SUMPRODUCT(-- ISNUMBER(SEARCH({"Formula","Roll-Up Summary"}, $B140))) &gt; 0,$B140 &amp; " (" &amp; $E140 &amp; ")",IF(SUMPRODUCT(-- ISNUMBER(SEARCH({"Content","Currency","Number","Percent","Text","URL"}, $B140))) &gt; 0,$B140 &amp; "(" &amp; $C140 &amp; ")",$B140)))), "  ", TRIM(IF($S140 = "YES", "(External ID)", "") &amp; " " &amp; IF(SUMPRODUCT(-- ISNUMBER(SEARCH({"Unique","Unique Case Insensitive"}, $R140))) &gt; 0, "(" &amp; $R140 &amp; ")", ""))))</f>
        <v>na</v>
      </c>
      <c r="E140" s="7" t="s">
        <v>195</v>
      </c>
      <c r="F140" s="7" t="s">
        <v>195</v>
      </c>
      <c r="G140" s="7" t="s">
        <v>195</v>
      </c>
      <c r="H140" s="7" t="s">
        <v>195</v>
      </c>
      <c r="I140" s="7" t="s">
        <v>195</v>
      </c>
      <c r="J140" s="7" t="s">
        <v>195</v>
      </c>
      <c r="K140" s="7" t="s">
        <v>195</v>
      </c>
      <c r="L140" s="7" t="s">
        <v>195</v>
      </c>
      <c r="M140" s="7" t="s">
        <v>29</v>
      </c>
      <c r="N140" s="7" t="s">
        <v>29</v>
      </c>
      <c r="O140" s="7" t="s">
        <v>29</v>
      </c>
      <c r="P140" s="7" t="s">
        <v>29</v>
      </c>
      <c r="Q140" s="7" t="s">
        <v>29</v>
      </c>
      <c r="R140" s="7" t="s">
        <v>29</v>
      </c>
      <c r="S140" s="7" t="s">
        <v>29</v>
      </c>
    </row>
    <row r="141" spans="2:19">
      <c r="B141" s="7" t="s">
        <v>195</v>
      </c>
      <c r="C141" s="8" t="s">
        <v>195</v>
      </c>
      <c r="D141" s="6" t="str">
        <f>LRTRIM(CONCATENATE(IF(SUMPRODUCT(-- ISNUMBER(SEARCH({"Auto Number"}, $B141))) &gt; 0, $B141, IF(SUMPRODUCT(-- ISNUMBER(SEARCH({"Lookup","Master-Detail"}, $B141))) &gt; 0,$B141 &amp; "(" &amp; $E141 &amp; ")",IF(SUMPRODUCT(-- ISNUMBER(SEARCH({"Formula","Roll-Up Summary"}, $B141))) &gt; 0,$B141 &amp; " (" &amp; $E141 &amp; ")",IF(SUMPRODUCT(-- ISNUMBER(SEARCH({"Content","Currency","Number","Percent","Text","URL"}, $B141))) &gt; 0,$B141 &amp; "(" &amp; $C141 &amp; ")",$B141)))), "  ", TRIM(IF($S141 = "YES", "(External ID)", "") &amp; " " &amp; IF(SUMPRODUCT(-- ISNUMBER(SEARCH({"Unique","Unique Case Insensitive"}, $R141))) &gt; 0, "(" &amp; $R141 &amp; ")", ""))))</f>
        <v>na</v>
      </c>
      <c r="E141" s="7" t="s">
        <v>195</v>
      </c>
      <c r="F141" s="7" t="s">
        <v>195</v>
      </c>
      <c r="G141" s="7" t="s">
        <v>195</v>
      </c>
      <c r="H141" s="7" t="s">
        <v>195</v>
      </c>
      <c r="I141" s="7" t="s">
        <v>195</v>
      </c>
      <c r="J141" s="7" t="s">
        <v>195</v>
      </c>
      <c r="K141" s="7" t="s">
        <v>195</v>
      </c>
      <c r="L141" s="7" t="s">
        <v>195</v>
      </c>
      <c r="M141" s="7" t="s">
        <v>29</v>
      </c>
      <c r="N141" s="7" t="s">
        <v>29</v>
      </c>
      <c r="O141" s="7" t="s">
        <v>29</v>
      </c>
      <c r="P141" s="7" t="s">
        <v>29</v>
      </c>
      <c r="Q141" s="7" t="s">
        <v>29</v>
      </c>
      <c r="R141" s="7" t="s">
        <v>29</v>
      </c>
      <c r="S141" s="7" t="s">
        <v>29</v>
      </c>
    </row>
    <row r="142" spans="2:19">
      <c r="B142" s="7" t="s">
        <v>195</v>
      </c>
      <c r="C142" s="8" t="s">
        <v>195</v>
      </c>
      <c r="D142" s="6" t="str">
        <f>LRTRIM(CONCATENATE(IF(SUMPRODUCT(-- ISNUMBER(SEARCH({"Auto Number"}, $B142))) &gt; 0, $B142, IF(SUMPRODUCT(-- ISNUMBER(SEARCH({"Lookup","Master-Detail"}, $B142))) &gt; 0,$B142 &amp; "(" &amp; $E142 &amp; ")",IF(SUMPRODUCT(-- ISNUMBER(SEARCH({"Formula","Roll-Up Summary"}, $B142))) &gt; 0,$B142 &amp; " (" &amp; $E142 &amp; ")",IF(SUMPRODUCT(-- ISNUMBER(SEARCH({"Content","Currency","Number","Percent","Text","URL"}, $B142))) &gt; 0,$B142 &amp; "(" &amp; $C142 &amp; ")",$B142)))), "  ", TRIM(IF($S142 = "YES", "(External ID)", "") &amp; " " &amp; IF(SUMPRODUCT(-- ISNUMBER(SEARCH({"Unique","Unique Case Insensitive"}, $R142))) &gt; 0, "(" &amp; $R142 &amp; ")", ""))))</f>
        <v>na</v>
      </c>
      <c r="E142" s="7" t="s">
        <v>195</v>
      </c>
      <c r="F142" s="7" t="s">
        <v>195</v>
      </c>
      <c r="G142" s="7" t="s">
        <v>195</v>
      </c>
      <c r="H142" s="7" t="s">
        <v>195</v>
      </c>
      <c r="I142" s="7" t="s">
        <v>195</v>
      </c>
      <c r="J142" s="7" t="s">
        <v>195</v>
      </c>
      <c r="K142" s="7" t="s">
        <v>195</v>
      </c>
      <c r="L142" s="7" t="s">
        <v>195</v>
      </c>
      <c r="M142" s="7" t="s">
        <v>29</v>
      </c>
      <c r="N142" s="7" t="s">
        <v>29</v>
      </c>
      <c r="O142" s="7" t="s">
        <v>29</v>
      </c>
      <c r="P142" s="7" t="s">
        <v>29</v>
      </c>
      <c r="Q142" s="7" t="s">
        <v>29</v>
      </c>
      <c r="R142" s="7" t="s">
        <v>29</v>
      </c>
      <c r="S142" s="7" t="s">
        <v>29</v>
      </c>
    </row>
    <row r="143" spans="2:19">
      <c r="B143" s="7" t="s">
        <v>195</v>
      </c>
      <c r="C143" s="8" t="s">
        <v>195</v>
      </c>
      <c r="D143" s="6" t="str">
        <f>LRTRIM(CONCATENATE(IF(SUMPRODUCT(-- ISNUMBER(SEARCH({"Auto Number"}, $B143))) &gt; 0, $B143, IF(SUMPRODUCT(-- ISNUMBER(SEARCH({"Lookup","Master-Detail"}, $B143))) &gt; 0,$B143 &amp; "(" &amp; $E143 &amp; ")",IF(SUMPRODUCT(-- ISNUMBER(SEARCH({"Formula","Roll-Up Summary"}, $B143))) &gt; 0,$B143 &amp; " (" &amp; $E143 &amp; ")",IF(SUMPRODUCT(-- ISNUMBER(SEARCH({"Content","Currency","Number","Percent","Text","URL"}, $B143))) &gt; 0,$B143 &amp; "(" &amp; $C143 &amp; ")",$B143)))), "  ", TRIM(IF($S143 = "YES", "(External ID)", "") &amp; " " &amp; IF(SUMPRODUCT(-- ISNUMBER(SEARCH({"Unique","Unique Case Insensitive"}, $R143))) &gt; 0, "(" &amp; $R143 &amp; ")", ""))))</f>
        <v>na</v>
      </c>
      <c r="E143" s="7" t="s">
        <v>195</v>
      </c>
      <c r="F143" s="7" t="s">
        <v>195</v>
      </c>
      <c r="G143" s="7" t="s">
        <v>195</v>
      </c>
      <c r="H143" s="7" t="s">
        <v>195</v>
      </c>
      <c r="I143" s="7" t="s">
        <v>195</v>
      </c>
      <c r="J143" s="7" t="s">
        <v>195</v>
      </c>
      <c r="K143" s="7" t="s">
        <v>195</v>
      </c>
      <c r="L143" s="7" t="s">
        <v>195</v>
      </c>
      <c r="M143" s="7" t="s">
        <v>29</v>
      </c>
      <c r="N143" s="7" t="s">
        <v>29</v>
      </c>
      <c r="O143" s="7" t="s">
        <v>29</v>
      </c>
      <c r="P143" s="7" t="s">
        <v>29</v>
      </c>
      <c r="Q143" s="7" t="s">
        <v>29</v>
      </c>
      <c r="R143" s="7" t="s">
        <v>29</v>
      </c>
      <c r="S143" s="7" t="s">
        <v>29</v>
      </c>
    </row>
    <row r="144" spans="2:19">
      <c r="B144" s="7" t="s">
        <v>195</v>
      </c>
      <c r="C144" s="8" t="s">
        <v>195</v>
      </c>
      <c r="D144" s="6" t="str">
        <f>LRTRIM(CONCATENATE(IF(SUMPRODUCT(-- ISNUMBER(SEARCH({"Auto Number"}, $B144))) &gt; 0, $B144, IF(SUMPRODUCT(-- ISNUMBER(SEARCH({"Lookup","Master-Detail"}, $B144))) &gt; 0,$B144 &amp; "(" &amp; $E144 &amp; ")",IF(SUMPRODUCT(-- ISNUMBER(SEARCH({"Formula","Roll-Up Summary"}, $B144))) &gt; 0,$B144 &amp; " (" &amp; $E144 &amp; ")",IF(SUMPRODUCT(-- ISNUMBER(SEARCH({"Content","Currency","Number","Percent","Text","URL"}, $B144))) &gt; 0,$B144 &amp; "(" &amp; $C144 &amp; ")",$B144)))), "  ", TRIM(IF($S144 = "YES", "(External ID)", "") &amp; " " &amp; IF(SUMPRODUCT(-- ISNUMBER(SEARCH({"Unique","Unique Case Insensitive"}, $R144))) &gt; 0, "(" &amp; $R144 &amp; ")", ""))))</f>
        <v>na</v>
      </c>
      <c r="E144" s="7" t="s">
        <v>195</v>
      </c>
      <c r="F144" s="7" t="s">
        <v>195</v>
      </c>
      <c r="G144" s="7" t="s">
        <v>195</v>
      </c>
      <c r="H144" s="7" t="s">
        <v>195</v>
      </c>
      <c r="I144" s="7" t="s">
        <v>195</v>
      </c>
      <c r="J144" s="7" t="s">
        <v>195</v>
      </c>
      <c r="K144" s="7" t="s">
        <v>195</v>
      </c>
      <c r="L144" s="7" t="s">
        <v>195</v>
      </c>
      <c r="M144" s="7" t="s">
        <v>29</v>
      </c>
      <c r="N144" s="7" t="s">
        <v>29</v>
      </c>
      <c r="O144" s="7" t="s">
        <v>29</v>
      </c>
      <c r="P144" s="7" t="s">
        <v>29</v>
      </c>
      <c r="Q144" s="7" t="s">
        <v>29</v>
      </c>
      <c r="R144" s="7" t="s">
        <v>29</v>
      </c>
      <c r="S144" s="7" t="s">
        <v>29</v>
      </c>
    </row>
    <row r="145" spans="2:19">
      <c r="B145" s="7" t="s">
        <v>195</v>
      </c>
      <c r="C145" s="8" t="s">
        <v>195</v>
      </c>
      <c r="D145" s="6" t="str">
        <f>LRTRIM(CONCATENATE(IF(SUMPRODUCT(-- ISNUMBER(SEARCH({"Auto Number"}, $B145))) &gt; 0, $B145, IF(SUMPRODUCT(-- ISNUMBER(SEARCH({"Lookup","Master-Detail"}, $B145))) &gt; 0,$B145 &amp; "(" &amp; $E145 &amp; ")",IF(SUMPRODUCT(-- ISNUMBER(SEARCH({"Formula","Roll-Up Summary"}, $B145))) &gt; 0,$B145 &amp; " (" &amp; $E145 &amp; ")",IF(SUMPRODUCT(-- ISNUMBER(SEARCH({"Content","Currency","Number","Percent","Text","URL"}, $B145))) &gt; 0,$B145 &amp; "(" &amp; $C145 &amp; ")",$B145)))), "  ", TRIM(IF($S145 = "YES", "(External ID)", "") &amp; " " &amp; IF(SUMPRODUCT(-- ISNUMBER(SEARCH({"Unique","Unique Case Insensitive"}, $R145))) &gt; 0, "(" &amp; $R145 &amp; ")", ""))))</f>
        <v>na</v>
      </c>
      <c r="E145" s="7" t="s">
        <v>195</v>
      </c>
      <c r="F145" s="7" t="s">
        <v>195</v>
      </c>
      <c r="G145" s="7" t="s">
        <v>195</v>
      </c>
      <c r="H145" s="7" t="s">
        <v>195</v>
      </c>
      <c r="I145" s="7" t="s">
        <v>195</v>
      </c>
      <c r="J145" s="7" t="s">
        <v>195</v>
      </c>
      <c r="K145" s="7" t="s">
        <v>195</v>
      </c>
      <c r="L145" s="7" t="s">
        <v>195</v>
      </c>
      <c r="M145" s="7" t="s">
        <v>29</v>
      </c>
      <c r="N145" s="7" t="s">
        <v>29</v>
      </c>
      <c r="O145" s="7" t="s">
        <v>29</v>
      </c>
      <c r="P145" s="7" t="s">
        <v>29</v>
      </c>
      <c r="Q145" s="7" t="s">
        <v>29</v>
      </c>
      <c r="R145" s="7" t="s">
        <v>29</v>
      </c>
      <c r="S145" s="7" t="s">
        <v>29</v>
      </c>
    </row>
    <row r="146" spans="2:19">
      <c r="B146" s="7" t="s">
        <v>195</v>
      </c>
      <c r="C146" s="8" t="s">
        <v>195</v>
      </c>
      <c r="D146" s="6" t="str">
        <f>LRTRIM(CONCATENATE(IF(SUMPRODUCT(-- ISNUMBER(SEARCH({"Auto Number"}, $B146))) &gt; 0, $B146, IF(SUMPRODUCT(-- ISNUMBER(SEARCH({"Lookup","Master-Detail"}, $B146))) &gt; 0,$B146 &amp; "(" &amp; $E146 &amp; ")",IF(SUMPRODUCT(-- ISNUMBER(SEARCH({"Formula","Roll-Up Summary"}, $B146))) &gt; 0,$B146 &amp; " (" &amp; $E146 &amp; ")",IF(SUMPRODUCT(-- ISNUMBER(SEARCH({"Content","Currency","Number","Percent","Text","URL"}, $B146))) &gt; 0,$B146 &amp; "(" &amp; $C146 &amp; ")",$B146)))), "  ", TRIM(IF($S146 = "YES", "(External ID)", "") &amp; " " &amp; IF(SUMPRODUCT(-- ISNUMBER(SEARCH({"Unique","Unique Case Insensitive"}, $R146))) &gt; 0, "(" &amp; $R146 &amp; ")", ""))))</f>
        <v>na</v>
      </c>
      <c r="E146" s="7" t="s">
        <v>195</v>
      </c>
      <c r="F146" s="7" t="s">
        <v>195</v>
      </c>
      <c r="G146" s="7" t="s">
        <v>195</v>
      </c>
      <c r="H146" s="7" t="s">
        <v>195</v>
      </c>
      <c r="I146" s="7" t="s">
        <v>195</v>
      </c>
      <c r="J146" s="7" t="s">
        <v>195</v>
      </c>
      <c r="K146" s="7" t="s">
        <v>195</v>
      </c>
      <c r="L146" s="7" t="s">
        <v>195</v>
      </c>
      <c r="M146" s="7" t="s">
        <v>29</v>
      </c>
      <c r="N146" s="7" t="s">
        <v>29</v>
      </c>
      <c r="O146" s="7" t="s">
        <v>29</v>
      </c>
      <c r="P146" s="7" t="s">
        <v>29</v>
      </c>
      <c r="Q146" s="7" t="s">
        <v>29</v>
      </c>
      <c r="R146" s="7" t="s">
        <v>29</v>
      </c>
      <c r="S146" s="7" t="s">
        <v>29</v>
      </c>
    </row>
    <row r="147" spans="2:19">
      <c r="B147" s="7" t="s">
        <v>195</v>
      </c>
      <c r="C147" s="8" t="s">
        <v>195</v>
      </c>
      <c r="D147" s="6" t="str">
        <f>LRTRIM(CONCATENATE(IF(SUMPRODUCT(-- ISNUMBER(SEARCH({"Auto Number"}, $B147))) &gt; 0, $B147, IF(SUMPRODUCT(-- ISNUMBER(SEARCH({"Lookup","Master-Detail"}, $B147))) &gt; 0,$B147 &amp; "(" &amp; $E147 &amp; ")",IF(SUMPRODUCT(-- ISNUMBER(SEARCH({"Formula","Roll-Up Summary"}, $B147))) &gt; 0,$B147 &amp; " (" &amp; $E147 &amp; ")",IF(SUMPRODUCT(-- ISNUMBER(SEARCH({"Content","Currency","Number","Percent","Text","URL"}, $B147))) &gt; 0,$B147 &amp; "(" &amp; $C147 &amp; ")",$B147)))), "  ", TRIM(IF($S147 = "YES", "(External ID)", "") &amp; " " &amp; IF(SUMPRODUCT(-- ISNUMBER(SEARCH({"Unique","Unique Case Insensitive"}, $R147))) &gt; 0, "(" &amp; $R147 &amp; ")", ""))))</f>
        <v>na</v>
      </c>
      <c r="E147" s="7" t="s">
        <v>195</v>
      </c>
      <c r="F147" s="7" t="s">
        <v>195</v>
      </c>
      <c r="G147" s="7" t="s">
        <v>195</v>
      </c>
      <c r="H147" s="7" t="s">
        <v>195</v>
      </c>
      <c r="I147" s="7" t="s">
        <v>195</v>
      </c>
      <c r="J147" s="7" t="s">
        <v>195</v>
      </c>
      <c r="K147" s="7" t="s">
        <v>195</v>
      </c>
      <c r="L147" s="7" t="s">
        <v>195</v>
      </c>
      <c r="M147" s="7" t="s">
        <v>29</v>
      </c>
      <c r="N147" s="7" t="s">
        <v>29</v>
      </c>
      <c r="O147" s="7" t="s">
        <v>29</v>
      </c>
      <c r="P147" s="7" t="s">
        <v>29</v>
      </c>
      <c r="Q147" s="7" t="s">
        <v>29</v>
      </c>
      <c r="R147" s="7" t="s">
        <v>29</v>
      </c>
      <c r="S147" s="7" t="s">
        <v>29</v>
      </c>
    </row>
    <row r="148" spans="2:19">
      <c r="B148" s="7" t="s">
        <v>195</v>
      </c>
      <c r="C148" s="8" t="s">
        <v>195</v>
      </c>
      <c r="D148" s="6" t="str">
        <f>LRTRIM(CONCATENATE(IF(SUMPRODUCT(-- ISNUMBER(SEARCH({"Auto Number"}, $B148))) &gt; 0, $B148, IF(SUMPRODUCT(-- ISNUMBER(SEARCH({"Lookup","Master-Detail"}, $B148))) &gt; 0,$B148 &amp; "(" &amp; $E148 &amp; ")",IF(SUMPRODUCT(-- ISNUMBER(SEARCH({"Formula","Roll-Up Summary"}, $B148))) &gt; 0,$B148 &amp; " (" &amp; $E148 &amp; ")",IF(SUMPRODUCT(-- ISNUMBER(SEARCH({"Content","Currency","Number","Percent","Text","URL"}, $B148))) &gt; 0,$B148 &amp; "(" &amp; $C148 &amp; ")",$B148)))), "  ", TRIM(IF($S148 = "YES", "(External ID)", "") &amp; " " &amp; IF(SUMPRODUCT(-- ISNUMBER(SEARCH({"Unique","Unique Case Insensitive"}, $R148))) &gt; 0, "(" &amp; $R148 &amp; ")", ""))))</f>
        <v>na</v>
      </c>
      <c r="E148" s="7" t="s">
        <v>195</v>
      </c>
      <c r="F148" s="7" t="s">
        <v>195</v>
      </c>
      <c r="G148" s="7" t="s">
        <v>195</v>
      </c>
      <c r="H148" s="7" t="s">
        <v>195</v>
      </c>
      <c r="I148" s="7" t="s">
        <v>195</v>
      </c>
      <c r="J148" s="7" t="s">
        <v>195</v>
      </c>
      <c r="K148" s="7" t="s">
        <v>195</v>
      </c>
      <c r="L148" s="7" t="s">
        <v>195</v>
      </c>
      <c r="M148" s="7" t="s">
        <v>29</v>
      </c>
      <c r="N148" s="7" t="s">
        <v>29</v>
      </c>
      <c r="O148" s="7" t="s">
        <v>29</v>
      </c>
      <c r="P148" s="7" t="s">
        <v>29</v>
      </c>
      <c r="Q148" s="7" t="s">
        <v>29</v>
      </c>
      <c r="R148" s="7" t="s">
        <v>29</v>
      </c>
      <c r="S148" s="7" t="s">
        <v>29</v>
      </c>
    </row>
    <row r="149" spans="2:19">
      <c r="B149" s="7" t="s">
        <v>195</v>
      </c>
      <c r="C149" s="8" t="s">
        <v>195</v>
      </c>
      <c r="D149" s="6" t="str">
        <f>LRTRIM(CONCATENATE(IF(SUMPRODUCT(-- ISNUMBER(SEARCH({"Auto Number"}, $B149))) &gt; 0, $B149, IF(SUMPRODUCT(-- ISNUMBER(SEARCH({"Lookup","Master-Detail"}, $B149))) &gt; 0,$B149 &amp; "(" &amp; $E149 &amp; ")",IF(SUMPRODUCT(-- ISNUMBER(SEARCH({"Formula","Roll-Up Summary"}, $B149))) &gt; 0,$B149 &amp; " (" &amp; $E149 &amp; ")",IF(SUMPRODUCT(-- ISNUMBER(SEARCH({"Content","Currency","Number","Percent","Text","URL"}, $B149))) &gt; 0,$B149 &amp; "(" &amp; $C149 &amp; ")",$B149)))), "  ", TRIM(IF($S149 = "YES", "(External ID)", "") &amp; " " &amp; IF(SUMPRODUCT(-- ISNUMBER(SEARCH({"Unique","Unique Case Insensitive"}, $R149))) &gt; 0, "(" &amp; $R149 &amp; ")", ""))))</f>
        <v>na</v>
      </c>
      <c r="E149" s="7" t="s">
        <v>195</v>
      </c>
      <c r="F149" s="7" t="s">
        <v>195</v>
      </c>
      <c r="G149" s="7" t="s">
        <v>195</v>
      </c>
      <c r="H149" s="7" t="s">
        <v>195</v>
      </c>
      <c r="I149" s="7" t="s">
        <v>195</v>
      </c>
      <c r="J149" s="7" t="s">
        <v>195</v>
      </c>
      <c r="K149" s="7" t="s">
        <v>195</v>
      </c>
      <c r="L149" s="7" t="s">
        <v>195</v>
      </c>
      <c r="M149" s="7" t="s">
        <v>29</v>
      </c>
      <c r="N149" s="7" t="s">
        <v>29</v>
      </c>
      <c r="O149" s="7" t="s">
        <v>29</v>
      </c>
      <c r="P149" s="7" t="s">
        <v>29</v>
      </c>
      <c r="Q149" s="7" t="s">
        <v>29</v>
      </c>
      <c r="R149" s="7" t="s">
        <v>29</v>
      </c>
      <c r="S149" s="7" t="s">
        <v>29</v>
      </c>
    </row>
    <row r="150" spans="2:19">
      <c r="B150" s="7" t="s">
        <v>195</v>
      </c>
      <c r="C150" s="8" t="s">
        <v>195</v>
      </c>
      <c r="D150" s="6" t="str">
        <f>LRTRIM(CONCATENATE(IF(SUMPRODUCT(-- ISNUMBER(SEARCH({"Auto Number"}, $B150))) &gt; 0, $B150, IF(SUMPRODUCT(-- ISNUMBER(SEARCH({"Lookup","Master-Detail"}, $B150))) &gt; 0,$B150 &amp; "(" &amp; $E150 &amp; ")",IF(SUMPRODUCT(-- ISNUMBER(SEARCH({"Formula","Roll-Up Summary"}, $B150))) &gt; 0,$B150 &amp; " (" &amp; $E150 &amp; ")",IF(SUMPRODUCT(-- ISNUMBER(SEARCH({"Content","Currency","Number","Percent","Text","URL"}, $B150))) &gt; 0,$B150 &amp; "(" &amp; $C150 &amp; ")",$B150)))), "  ", TRIM(IF($S150 = "YES", "(External ID)", "") &amp; " " &amp; IF(SUMPRODUCT(-- ISNUMBER(SEARCH({"Unique","Unique Case Insensitive"}, $R150))) &gt; 0, "(" &amp; $R150 &amp; ")", ""))))</f>
        <v>na</v>
      </c>
      <c r="E150" s="7" t="s">
        <v>195</v>
      </c>
      <c r="F150" s="7" t="s">
        <v>195</v>
      </c>
      <c r="G150" s="7" t="s">
        <v>195</v>
      </c>
      <c r="H150" s="7" t="s">
        <v>195</v>
      </c>
      <c r="I150" s="7" t="s">
        <v>195</v>
      </c>
      <c r="J150" s="7" t="s">
        <v>195</v>
      </c>
      <c r="K150" s="7" t="s">
        <v>195</v>
      </c>
      <c r="L150" s="7" t="s">
        <v>195</v>
      </c>
      <c r="M150" s="7" t="s">
        <v>29</v>
      </c>
      <c r="N150" s="7" t="s">
        <v>29</v>
      </c>
      <c r="O150" s="7" t="s">
        <v>29</v>
      </c>
      <c r="P150" s="7" t="s">
        <v>29</v>
      </c>
      <c r="Q150" s="7" t="s">
        <v>29</v>
      </c>
      <c r="R150" s="7" t="s">
        <v>29</v>
      </c>
      <c r="S150" s="7" t="s">
        <v>29</v>
      </c>
    </row>
    <row r="151" spans="2:19">
      <c r="B151" s="7" t="s">
        <v>195</v>
      </c>
      <c r="C151" s="8" t="s">
        <v>195</v>
      </c>
      <c r="D151" s="6" t="str">
        <f>LRTRIM(CONCATENATE(IF(SUMPRODUCT(-- ISNUMBER(SEARCH({"Auto Number"}, $B151))) &gt; 0, $B151, IF(SUMPRODUCT(-- ISNUMBER(SEARCH({"Lookup","Master-Detail"}, $B151))) &gt; 0,$B151 &amp; "(" &amp; $E151 &amp; ")",IF(SUMPRODUCT(-- ISNUMBER(SEARCH({"Formula","Roll-Up Summary"}, $B151))) &gt; 0,$B151 &amp; " (" &amp; $E151 &amp; ")",IF(SUMPRODUCT(-- ISNUMBER(SEARCH({"Content","Currency","Number","Percent","Text","URL"}, $B151))) &gt; 0,$B151 &amp; "(" &amp; $C151 &amp; ")",$B151)))), "  ", TRIM(IF($S151 = "YES", "(External ID)", "") &amp; " " &amp; IF(SUMPRODUCT(-- ISNUMBER(SEARCH({"Unique","Unique Case Insensitive"}, $R151))) &gt; 0, "(" &amp; $R151 &amp; ")", ""))))</f>
        <v>na</v>
      </c>
      <c r="E151" s="7" t="s">
        <v>195</v>
      </c>
      <c r="F151" s="7" t="s">
        <v>195</v>
      </c>
      <c r="G151" s="7" t="s">
        <v>195</v>
      </c>
      <c r="H151" s="7" t="s">
        <v>195</v>
      </c>
      <c r="I151" s="7" t="s">
        <v>195</v>
      </c>
      <c r="J151" s="7" t="s">
        <v>195</v>
      </c>
      <c r="K151" s="7" t="s">
        <v>195</v>
      </c>
      <c r="L151" s="7" t="s">
        <v>195</v>
      </c>
      <c r="M151" s="7" t="s">
        <v>29</v>
      </c>
      <c r="N151" s="7" t="s">
        <v>29</v>
      </c>
      <c r="O151" s="7" t="s">
        <v>29</v>
      </c>
      <c r="P151" s="7" t="s">
        <v>29</v>
      </c>
      <c r="Q151" s="7" t="s">
        <v>29</v>
      </c>
      <c r="R151" s="7" t="s">
        <v>29</v>
      </c>
      <c r="S151" s="7" t="s">
        <v>29</v>
      </c>
    </row>
    <row r="152" spans="2:19">
      <c r="B152" s="7" t="s">
        <v>195</v>
      </c>
      <c r="C152" s="8" t="s">
        <v>195</v>
      </c>
      <c r="D152" s="6" t="str">
        <f>LRTRIM(CONCATENATE(IF(SUMPRODUCT(-- ISNUMBER(SEARCH({"Auto Number"}, $B152))) &gt; 0, $B152, IF(SUMPRODUCT(-- ISNUMBER(SEARCH({"Lookup","Master-Detail"}, $B152))) &gt; 0,$B152 &amp; "(" &amp; $E152 &amp; ")",IF(SUMPRODUCT(-- ISNUMBER(SEARCH({"Formula","Roll-Up Summary"}, $B152))) &gt; 0,$B152 &amp; " (" &amp; $E152 &amp; ")",IF(SUMPRODUCT(-- ISNUMBER(SEARCH({"Content","Currency","Number","Percent","Text","URL"}, $B152))) &gt; 0,$B152 &amp; "(" &amp; $C152 &amp; ")",$B152)))), "  ", TRIM(IF($S152 = "YES", "(External ID)", "") &amp; " " &amp; IF(SUMPRODUCT(-- ISNUMBER(SEARCH({"Unique","Unique Case Insensitive"}, $R152))) &gt; 0, "(" &amp; $R152 &amp; ")", ""))))</f>
        <v>na</v>
      </c>
      <c r="E152" s="7" t="s">
        <v>195</v>
      </c>
      <c r="F152" s="7" t="s">
        <v>195</v>
      </c>
      <c r="G152" s="7" t="s">
        <v>195</v>
      </c>
      <c r="H152" s="7" t="s">
        <v>195</v>
      </c>
      <c r="I152" s="7" t="s">
        <v>195</v>
      </c>
      <c r="J152" s="7" t="s">
        <v>195</v>
      </c>
      <c r="K152" s="7" t="s">
        <v>195</v>
      </c>
      <c r="L152" s="7" t="s">
        <v>195</v>
      </c>
      <c r="M152" s="7" t="s">
        <v>29</v>
      </c>
      <c r="N152" s="7" t="s">
        <v>29</v>
      </c>
      <c r="O152" s="7" t="s">
        <v>29</v>
      </c>
      <c r="P152" s="7" t="s">
        <v>29</v>
      </c>
      <c r="Q152" s="7" t="s">
        <v>29</v>
      </c>
      <c r="R152" s="7" t="s">
        <v>29</v>
      </c>
      <c r="S152" s="7" t="s">
        <v>29</v>
      </c>
    </row>
    <row r="153" spans="2:19">
      <c r="B153" s="7" t="s">
        <v>195</v>
      </c>
      <c r="C153" s="8" t="s">
        <v>195</v>
      </c>
      <c r="D153" s="6" t="str">
        <f>LRTRIM(CONCATENATE(IF(SUMPRODUCT(-- ISNUMBER(SEARCH({"Auto Number"}, $B153))) &gt; 0, $B153, IF(SUMPRODUCT(-- ISNUMBER(SEARCH({"Lookup","Master-Detail"}, $B153))) &gt; 0,$B153 &amp; "(" &amp; $E153 &amp; ")",IF(SUMPRODUCT(-- ISNUMBER(SEARCH({"Formula","Roll-Up Summary"}, $B153))) &gt; 0,$B153 &amp; " (" &amp; $E153 &amp; ")",IF(SUMPRODUCT(-- ISNUMBER(SEARCH({"Content","Currency","Number","Percent","Text","URL"}, $B153))) &gt; 0,$B153 &amp; "(" &amp; $C153 &amp; ")",$B153)))), "  ", TRIM(IF($S153 = "YES", "(External ID)", "") &amp; " " &amp; IF(SUMPRODUCT(-- ISNUMBER(SEARCH({"Unique","Unique Case Insensitive"}, $R153))) &gt; 0, "(" &amp; $R153 &amp; ")", ""))))</f>
        <v>na</v>
      </c>
      <c r="E153" s="7" t="s">
        <v>195</v>
      </c>
      <c r="F153" s="7" t="s">
        <v>195</v>
      </c>
      <c r="G153" s="7" t="s">
        <v>195</v>
      </c>
      <c r="H153" s="7" t="s">
        <v>195</v>
      </c>
      <c r="I153" s="7" t="s">
        <v>195</v>
      </c>
      <c r="J153" s="7" t="s">
        <v>195</v>
      </c>
      <c r="K153" s="7" t="s">
        <v>195</v>
      </c>
      <c r="L153" s="7" t="s">
        <v>195</v>
      </c>
      <c r="M153" s="7" t="s">
        <v>29</v>
      </c>
      <c r="N153" s="7" t="s">
        <v>29</v>
      </c>
      <c r="O153" s="7" t="s">
        <v>29</v>
      </c>
      <c r="P153" s="7" t="s">
        <v>29</v>
      </c>
      <c r="Q153" s="7" t="s">
        <v>29</v>
      </c>
      <c r="R153" s="7" t="s">
        <v>29</v>
      </c>
      <c r="S153" s="7" t="s">
        <v>29</v>
      </c>
    </row>
    <row r="154" spans="2:19">
      <c r="B154" s="7" t="s">
        <v>195</v>
      </c>
      <c r="C154" s="8" t="s">
        <v>195</v>
      </c>
      <c r="D154" s="6" t="str">
        <f>LRTRIM(CONCATENATE(IF(SUMPRODUCT(-- ISNUMBER(SEARCH({"Auto Number"}, $B154))) &gt; 0, $B154, IF(SUMPRODUCT(-- ISNUMBER(SEARCH({"Lookup","Master-Detail"}, $B154))) &gt; 0,$B154 &amp; "(" &amp; $E154 &amp; ")",IF(SUMPRODUCT(-- ISNUMBER(SEARCH({"Formula","Roll-Up Summary"}, $B154))) &gt; 0,$B154 &amp; " (" &amp; $E154 &amp; ")",IF(SUMPRODUCT(-- ISNUMBER(SEARCH({"Content","Currency","Number","Percent","Text","URL"}, $B154))) &gt; 0,$B154 &amp; "(" &amp; $C154 &amp; ")",$B154)))), "  ", TRIM(IF($S154 = "YES", "(External ID)", "") &amp; " " &amp; IF(SUMPRODUCT(-- ISNUMBER(SEARCH({"Unique","Unique Case Insensitive"}, $R154))) &gt; 0, "(" &amp; $R154 &amp; ")", ""))))</f>
        <v>na</v>
      </c>
      <c r="E154" s="7" t="s">
        <v>195</v>
      </c>
      <c r="F154" s="7" t="s">
        <v>195</v>
      </c>
      <c r="G154" s="7" t="s">
        <v>195</v>
      </c>
      <c r="H154" s="7" t="s">
        <v>195</v>
      </c>
      <c r="I154" s="7" t="s">
        <v>195</v>
      </c>
      <c r="J154" s="7" t="s">
        <v>195</v>
      </c>
      <c r="K154" s="7" t="s">
        <v>195</v>
      </c>
      <c r="L154" s="7" t="s">
        <v>195</v>
      </c>
      <c r="M154" s="7" t="s">
        <v>29</v>
      </c>
      <c r="N154" s="7" t="s">
        <v>29</v>
      </c>
      <c r="O154" s="7" t="s">
        <v>29</v>
      </c>
      <c r="P154" s="7" t="s">
        <v>29</v>
      </c>
      <c r="Q154" s="7" t="s">
        <v>29</v>
      </c>
      <c r="R154" s="7" t="s">
        <v>29</v>
      </c>
      <c r="S154" s="7" t="s">
        <v>29</v>
      </c>
    </row>
    <row r="155" spans="2:19">
      <c r="B155" s="7" t="s">
        <v>195</v>
      </c>
      <c r="C155" s="8" t="s">
        <v>195</v>
      </c>
      <c r="D155" s="6" t="str">
        <f>LRTRIM(CONCATENATE(IF(SUMPRODUCT(-- ISNUMBER(SEARCH({"Auto Number"}, $B155))) &gt; 0, $B155, IF(SUMPRODUCT(-- ISNUMBER(SEARCH({"Lookup","Master-Detail"}, $B155))) &gt; 0,$B155 &amp; "(" &amp; $E155 &amp; ")",IF(SUMPRODUCT(-- ISNUMBER(SEARCH({"Formula","Roll-Up Summary"}, $B155))) &gt; 0,$B155 &amp; " (" &amp; $E155 &amp; ")",IF(SUMPRODUCT(-- ISNUMBER(SEARCH({"Content","Currency","Number","Percent","Text","URL"}, $B155))) &gt; 0,$B155 &amp; "(" &amp; $C155 &amp; ")",$B155)))), "  ", TRIM(IF($S155 = "YES", "(External ID)", "") &amp; " " &amp; IF(SUMPRODUCT(-- ISNUMBER(SEARCH({"Unique","Unique Case Insensitive"}, $R155))) &gt; 0, "(" &amp; $R155 &amp; ")", ""))))</f>
        <v>na</v>
      </c>
      <c r="E155" s="7" t="s">
        <v>195</v>
      </c>
      <c r="F155" s="7" t="s">
        <v>195</v>
      </c>
      <c r="G155" s="7" t="s">
        <v>195</v>
      </c>
      <c r="H155" s="7" t="s">
        <v>195</v>
      </c>
      <c r="I155" s="7" t="s">
        <v>195</v>
      </c>
      <c r="J155" s="7" t="s">
        <v>195</v>
      </c>
      <c r="K155" s="7" t="s">
        <v>195</v>
      </c>
      <c r="L155" s="7" t="s">
        <v>195</v>
      </c>
      <c r="M155" s="7" t="s">
        <v>29</v>
      </c>
      <c r="N155" s="7" t="s">
        <v>29</v>
      </c>
      <c r="O155" s="7" t="s">
        <v>29</v>
      </c>
      <c r="P155" s="7" t="s">
        <v>29</v>
      </c>
      <c r="Q155" s="7" t="s">
        <v>29</v>
      </c>
      <c r="R155" s="7" t="s">
        <v>29</v>
      </c>
      <c r="S155" s="7" t="s">
        <v>29</v>
      </c>
    </row>
    <row r="156" spans="2:19">
      <c r="B156" s="7" t="s">
        <v>195</v>
      </c>
      <c r="C156" s="8" t="s">
        <v>195</v>
      </c>
      <c r="D156" s="6" t="str">
        <f>LRTRIM(CONCATENATE(IF(SUMPRODUCT(-- ISNUMBER(SEARCH({"Auto Number"}, $B156))) &gt; 0, $B156, IF(SUMPRODUCT(-- ISNUMBER(SEARCH({"Lookup","Master-Detail"}, $B156))) &gt; 0,$B156 &amp; "(" &amp; $E156 &amp; ")",IF(SUMPRODUCT(-- ISNUMBER(SEARCH({"Formula","Roll-Up Summary"}, $B156))) &gt; 0,$B156 &amp; " (" &amp; $E156 &amp; ")",IF(SUMPRODUCT(-- ISNUMBER(SEARCH({"Content","Currency","Number","Percent","Text","URL"}, $B156))) &gt; 0,$B156 &amp; "(" &amp; $C156 &amp; ")",$B156)))), "  ", TRIM(IF($S156 = "YES", "(External ID)", "") &amp; " " &amp; IF(SUMPRODUCT(-- ISNUMBER(SEARCH({"Unique","Unique Case Insensitive"}, $R156))) &gt; 0, "(" &amp; $R156 &amp; ")", ""))))</f>
        <v>na</v>
      </c>
      <c r="E156" s="7" t="s">
        <v>195</v>
      </c>
      <c r="F156" s="7" t="s">
        <v>195</v>
      </c>
      <c r="G156" s="7" t="s">
        <v>195</v>
      </c>
      <c r="H156" s="7" t="s">
        <v>195</v>
      </c>
      <c r="I156" s="7" t="s">
        <v>195</v>
      </c>
      <c r="J156" s="7" t="s">
        <v>195</v>
      </c>
      <c r="K156" s="7" t="s">
        <v>195</v>
      </c>
      <c r="L156" s="7" t="s">
        <v>195</v>
      </c>
      <c r="M156" s="7" t="s">
        <v>29</v>
      </c>
      <c r="N156" s="7" t="s">
        <v>29</v>
      </c>
      <c r="O156" s="7" t="s">
        <v>29</v>
      </c>
      <c r="P156" s="7" t="s">
        <v>29</v>
      </c>
      <c r="Q156" s="7" t="s">
        <v>29</v>
      </c>
      <c r="R156" s="7" t="s">
        <v>29</v>
      </c>
      <c r="S156" s="7" t="s">
        <v>29</v>
      </c>
    </row>
    <row r="157" spans="2:19">
      <c r="B157" s="7" t="s">
        <v>195</v>
      </c>
      <c r="C157" s="8" t="s">
        <v>195</v>
      </c>
      <c r="D157" s="6" t="str">
        <f>LRTRIM(CONCATENATE(IF(SUMPRODUCT(-- ISNUMBER(SEARCH({"Auto Number"}, $B157))) &gt; 0, $B157, IF(SUMPRODUCT(-- ISNUMBER(SEARCH({"Lookup","Master-Detail"}, $B157))) &gt; 0,$B157 &amp; "(" &amp; $E157 &amp; ")",IF(SUMPRODUCT(-- ISNUMBER(SEARCH({"Formula","Roll-Up Summary"}, $B157))) &gt; 0,$B157 &amp; " (" &amp; $E157 &amp; ")",IF(SUMPRODUCT(-- ISNUMBER(SEARCH({"Content","Currency","Number","Percent","Text","URL"}, $B157))) &gt; 0,$B157 &amp; "(" &amp; $C157 &amp; ")",$B157)))), "  ", TRIM(IF($S157 = "YES", "(External ID)", "") &amp; " " &amp; IF(SUMPRODUCT(-- ISNUMBER(SEARCH({"Unique","Unique Case Insensitive"}, $R157))) &gt; 0, "(" &amp; $R157 &amp; ")", ""))))</f>
        <v>na</v>
      </c>
      <c r="E157" s="7" t="s">
        <v>195</v>
      </c>
      <c r="F157" s="7" t="s">
        <v>195</v>
      </c>
      <c r="G157" s="7" t="s">
        <v>195</v>
      </c>
      <c r="H157" s="7" t="s">
        <v>195</v>
      </c>
      <c r="I157" s="7" t="s">
        <v>195</v>
      </c>
      <c r="J157" s="7" t="s">
        <v>195</v>
      </c>
      <c r="K157" s="7" t="s">
        <v>195</v>
      </c>
      <c r="L157" s="7" t="s">
        <v>195</v>
      </c>
      <c r="M157" s="7" t="s">
        <v>29</v>
      </c>
      <c r="N157" s="7" t="s">
        <v>29</v>
      </c>
      <c r="O157" s="7" t="s">
        <v>29</v>
      </c>
      <c r="P157" s="7" t="s">
        <v>29</v>
      </c>
      <c r="Q157" s="7" t="s">
        <v>29</v>
      </c>
      <c r="R157" s="7" t="s">
        <v>29</v>
      </c>
      <c r="S157" s="7" t="s">
        <v>29</v>
      </c>
    </row>
    <row r="158" spans="2:19">
      <c r="B158" s="7" t="s">
        <v>195</v>
      </c>
      <c r="C158" s="8" t="s">
        <v>195</v>
      </c>
      <c r="D158" s="6" t="str">
        <f>LRTRIM(CONCATENATE(IF(SUMPRODUCT(-- ISNUMBER(SEARCH({"Auto Number"}, $B158))) &gt; 0, $B158, IF(SUMPRODUCT(-- ISNUMBER(SEARCH({"Lookup","Master-Detail"}, $B158))) &gt; 0,$B158 &amp; "(" &amp; $E158 &amp; ")",IF(SUMPRODUCT(-- ISNUMBER(SEARCH({"Formula","Roll-Up Summary"}, $B158))) &gt; 0,$B158 &amp; " (" &amp; $E158 &amp; ")",IF(SUMPRODUCT(-- ISNUMBER(SEARCH({"Content","Currency","Number","Percent","Text","URL"}, $B158))) &gt; 0,$B158 &amp; "(" &amp; $C158 &amp; ")",$B158)))), "  ", TRIM(IF($S158 = "YES", "(External ID)", "") &amp; " " &amp; IF(SUMPRODUCT(-- ISNUMBER(SEARCH({"Unique","Unique Case Insensitive"}, $R158))) &gt; 0, "(" &amp; $R158 &amp; ")", ""))))</f>
        <v>na</v>
      </c>
      <c r="E158" s="7" t="s">
        <v>195</v>
      </c>
      <c r="F158" s="7" t="s">
        <v>195</v>
      </c>
      <c r="G158" s="7" t="s">
        <v>195</v>
      </c>
      <c r="H158" s="7" t="s">
        <v>195</v>
      </c>
      <c r="I158" s="7" t="s">
        <v>195</v>
      </c>
      <c r="J158" s="7" t="s">
        <v>195</v>
      </c>
      <c r="K158" s="7" t="s">
        <v>195</v>
      </c>
      <c r="L158" s="7" t="s">
        <v>195</v>
      </c>
      <c r="M158" s="7" t="s">
        <v>29</v>
      </c>
      <c r="N158" s="7" t="s">
        <v>29</v>
      </c>
      <c r="O158" s="7" t="s">
        <v>29</v>
      </c>
      <c r="P158" s="7" t="s">
        <v>29</v>
      </c>
      <c r="Q158" s="7" t="s">
        <v>29</v>
      </c>
      <c r="R158" s="7" t="s">
        <v>29</v>
      </c>
      <c r="S158" s="7" t="s">
        <v>29</v>
      </c>
    </row>
    <row r="159" spans="2:19">
      <c r="B159" s="7" t="s">
        <v>195</v>
      </c>
      <c r="C159" s="8" t="s">
        <v>195</v>
      </c>
      <c r="D159" s="6" t="str">
        <f>LRTRIM(CONCATENATE(IF(SUMPRODUCT(-- ISNUMBER(SEARCH({"Auto Number"}, $B159))) &gt; 0, $B159, IF(SUMPRODUCT(-- ISNUMBER(SEARCH({"Lookup","Master-Detail"}, $B159))) &gt; 0,$B159 &amp; "(" &amp; $E159 &amp; ")",IF(SUMPRODUCT(-- ISNUMBER(SEARCH({"Formula","Roll-Up Summary"}, $B159))) &gt; 0,$B159 &amp; " (" &amp; $E159 &amp; ")",IF(SUMPRODUCT(-- ISNUMBER(SEARCH({"Content","Currency","Number","Percent","Text","URL"}, $B159))) &gt; 0,$B159 &amp; "(" &amp; $C159 &amp; ")",$B159)))), "  ", TRIM(IF($S159 = "YES", "(External ID)", "") &amp; " " &amp; IF(SUMPRODUCT(-- ISNUMBER(SEARCH({"Unique","Unique Case Insensitive"}, $R159))) &gt; 0, "(" &amp; $R159 &amp; ")", ""))))</f>
        <v>na</v>
      </c>
      <c r="E159" s="7" t="s">
        <v>195</v>
      </c>
      <c r="F159" s="7" t="s">
        <v>195</v>
      </c>
      <c r="G159" s="7" t="s">
        <v>195</v>
      </c>
      <c r="H159" s="7" t="s">
        <v>195</v>
      </c>
      <c r="I159" s="7" t="s">
        <v>195</v>
      </c>
      <c r="J159" s="7" t="s">
        <v>195</v>
      </c>
      <c r="K159" s="7" t="s">
        <v>195</v>
      </c>
      <c r="L159" s="7" t="s">
        <v>195</v>
      </c>
      <c r="M159" s="7" t="s">
        <v>29</v>
      </c>
      <c r="N159" s="7" t="s">
        <v>29</v>
      </c>
      <c r="O159" s="7" t="s">
        <v>29</v>
      </c>
      <c r="P159" s="7" t="s">
        <v>29</v>
      </c>
      <c r="Q159" s="7" t="s">
        <v>29</v>
      </c>
      <c r="R159" s="7" t="s">
        <v>29</v>
      </c>
      <c r="S159" s="7" t="s">
        <v>29</v>
      </c>
    </row>
    <row r="160" spans="2:19">
      <c r="B160" s="7" t="s">
        <v>195</v>
      </c>
      <c r="C160" s="8" t="s">
        <v>195</v>
      </c>
      <c r="D160" s="6" t="str">
        <f>LRTRIM(CONCATENATE(IF(SUMPRODUCT(-- ISNUMBER(SEARCH({"Auto Number"}, $B160))) &gt; 0, $B160, IF(SUMPRODUCT(-- ISNUMBER(SEARCH({"Lookup","Master-Detail"}, $B160))) &gt; 0,$B160 &amp; "(" &amp; $E160 &amp; ")",IF(SUMPRODUCT(-- ISNUMBER(SEARCH({"Formula","Roll-Up Summary"}, $B160))) &gt; 0,$B160 &amp; " (" &amp; $E160 &amp; ")",IF(SUMPRODUCT(-- ISNUMBER(SEARCH({"Content","Currency","Number","Percent","Text","URL"}, $B160))) &gt; 0,$B160 &amp; "(" &amp; $C160 &amp; ")",$B160)))), "  ", TRIM(IF($S160 = "YES", "(External ID)", "") &amp; " " &amp; IF(SUMPRODUCT(-- ISNUMBER(SEARCH({"Unique","Unique Case Insensitive"}, $R160))) &gt; 0, "(" &amp; $R160 &amp; ")", ""))))</f>
        <v>na</v>
      </c>
      <c r="E160" s="7" t="s">
        <v>195</v>
      </c>
      <c r="F160" s="7" t="s">
        <v>195</v>
      </c>
      <c r="G160" s="7" t="s">
        <v>195</v>
      </c>
      <c r="H160" s="7" t="s">
        <v>195</v>
      </c>
      <c r="I160" s="7" t="s">
        <v>195</v>
      </c>
      <c r="J160" s="7" t="s">
        <v>195</v>
      </c>
      <c r="K160" s="7" t="s">
        <v>195</v>
      </c>
      <c r="L160" s="7" t="s">
        <v>195</v>
      </c>
      <c r="M160" s="7" t="s">
        <v>29</v>
      </c>
      <c r="N160" s="7" t="s">
        <v>29</v>
      </c>
      <c r="O160" s="7" t="s">
        <v>29</v>
      </c>
      <c r="P160" s="7" t="s">
        <v>29</v>
      </c>
      <c r="Q160" s="7" t="s">
        <v>29</v>
      </c>
      <c r="R160" s="7" t="s">
        <v>29</v>
      </c>
      <c r="S160" s="7" t="s">
        <v>29</v>
      </c>
    </row>
    <row r="161" spans="2:19">
      <c r="B161" s="7" t="s">
        <v>195</v>
      </c>
      <c r="C161" s="8" t="s">
        <v>195</v>
      </c>
      <c r="D161" s="6" t="str">
        <f>LRTRIM(CONCATENATE(IF(SUMPRODUCT(-- ISNUMBER(SEARCH({"Auto Number"}, $B161))) &gt; 0, $B161, IF(SUMPRODUCT(-- ISNUMBER(SEARCH({"Lookup","Master-Detail"}, $B161))) &gt; 0,$B161 &amp; "(" &amp; $E161 &amp; ")",IF(SUMPRODUCT(-- ISNUMBER(SEARCH({"Formula","Roll-Up Summary"}, $B161))) &gt; 0,$B161 &amp; " (" &amp; $E161 &amp; ")",IF(SUMPRODUCT(-- ISNUMBER(SEARCH({"Content","Currency","Number","Percent","Text","URL"}, $B161))) &gt; 0,$B161 &amp; "(" &amp; $C161 &amp; ")",$B161)))), "  ", TRIM(IF($S161 = "YES", "(External ID)", "") &amp; " " &amp; IF(SUMPRODUCT(-- ISNUMBER(SEARCH({"Unique","Unique Case Insensitive"}, $R161))) &gt; 0, "(" &amp; $R161 &amp; ")", ""))))</f>
        <v>na</v>
      </c>
      <c r="E161" s="7" t="s">
        <v>195</v>
      </c>
      <c r="F161" s="7" t="s">
        <v>195</v>
      </c>
      <c r="G161" s="7" t="s">
        <v>195</v>
      </c>
      <c r="H161" s="7" t="s">
        <v>195</v>
      </c>
      <c r="I161" s="7" t="s">
        <v>195</v>
      </c>
      <c r="J161" s="7" t="s">
        <v>195</v>
      </c>
      <c r="K161" s="7" t="s">
        <v>195</v>
      </c>
      <c r="L161" s="7" t="s">
        <v>195</v>
      </c>
      <c r="M161" s="7" t="s">
        <v>29</v>
      </c>
      <c r="N161" s="7" t="s">
        <v>29</v>
      </c>
      <c r="O161" s="7" t="s">
        <v>29</v>
      </c>
      <c r="P161" s="7" t="s">
        <v>29</v>
      </c>
      <c r="Q161" s="7" t="s">
        <v>29</v>
      </c>
      <c r="R161" s="7" t="s">
        <v>29</v>
      </c>
      <c r="S161" s="7" t="s">
        <v>29</v>
      </c>
    </row>
    <row r="162" spans="2:19">
      <c r="B162" s="7" t="s">
        <v>195</v>
      </c>
      <c r="C162" s="8" t="s">
        <v>195</v>
      </c>
      <c r="D162" s="6" t="str">
        <f>LRTRIM(CONCATENATE(IF(SUMPRODUCT(-- ISNUMBER(SEARCH({"Auto Number"}, $B162))) &gt; 0, $B162, IF(SUMPRODUCT(-- ISNUMBER(SEARCH({"Lookup","Master-Detail"}, $B162))) &gt; 0,$B162 &amp; "(" &amp; $E162 &amp; ")",IF(SUMPRODUCT(-- ISNUMBER(SEARCH({"Formula","Roll-Up Summary"}, $B162))) &gt; 0,$B162 &amp; " (" &amp; $E162 &amp; ")",IF(SUMPRODUCT(-- ISNUMBER(SEARCH({"Content","Currency","Number","Percent","Text","URL"}, $B162))) &gt; 0,$B162 &amp; "(" &amp; $C162 &amp; ")",$B162)))), "  ", TRIM(IF($S162 = "YES", "(External ID)", "") &amp; " " &amp; IF(SUMPRODUCT(-- ISNUMBER(SEARCH({"Unique","Unique Case Insensitive"}, $R162))) &gt; 0, "(" &amp; $R162 &amp; ")", ""))))</f>
        <v>na</v>
      </c>
      <c r="E162" s="7" t="s">
        <v>195</v>
      </c>
      <c r="F162" s="7" t="s">
        <v>195</v>
      </c>
      <c r="G162" s="7" t="s">
        <v>195</v>
      </c>
      <c r="H162" s="7" t="s">
        <v>195</v>
      </c>
      <c r="I162" s="7" t="s">
        <v>195</v>
      </c>
      <c r="J162" s="7" t="s">
        <v>195</v>
      </c>
      <c r="K162" s="7" t="s">
        <v>195</v>
      </c>
      <c r="L162" s="7" t="s">
        <v>195</v>
      </c>
      <c r="M162" s="7" t="s">
        <v>29</v>
      </c>
      <c r="N162" s="7" t="s">
        <v>29</v>
      </c>
      <c r="O162" s="7" t="s">
        <v>29</v>
      </c>
      <c r="P162" s="7" t="s">
        <v>29</v>
      </c>
      <c r="Q162" s="7" t="s">
        <v>29</v>
      </c>
      <c r="R162" s="7" t="s">
        <v>29</v>
      </c>
      <c r="S162" s="7" t="s">
        <v>29</v>
      </c>
    </row>
    <row r="163" spans="2:19">
      <c r="B163" s="7" t="s">
        <v>195</v>
      </c>
      <c r="C163" s="8" t="s">
        <v>195</v>
      </c>
      <c r="D163" s="6" t="str">
        <f>LRTRIM(CONCATENATE(IF(SUMPRODUCT(-- ISNUMBER(SEARCH({"Auto Number"}, $B163))) &gt; 0, $B163, IF(SUMPRODUCT(-- ISNUMBER(SEARCH({"Lookup","Master-Detail"}, $B163))) &gt; 0,$B163 &amp; "(" &amp; $E163 &amp; ")",IF(SUMPRODUCT(-- ISNUMBER(SEARCH({"Formula","Roll-Up Summary"}, $B163))) &gt; 0,$B163 &amp; " (" &amp; $E163 &amp; ")",IF(SUMPRODUCT(-- ISNUMBER(SEARCH({"Content","Currency","Number","Percent","Text","URL"}, $B163))) &gt; 0,$B163 &amp; "(" &amp; $C163 &amp; ")",$B163)))), "  ", TRIM(IF($S163 = "YES", "(External ID)", "") &amp; " " &amp; IF(SUMPRODUCT(-- ISNUMBER(SEARCH({"Unique","Unique Case Insensitive"}, $R163))) &gt; 0, "(" &amp; $R163 &amp; ")", ""))))</f>
        <v>na</v>
      </c>
      <c r="E163" s="7" t="s">
        <v>195</v>
      </c>
      <c r="F163" s="7" t="s">
        <v>195</v>
      </c>
      <c r="G163" s="7" t="s">
        <v>195</v>
      </c>
      <c r="H163" s="7" t="s">
        <v>195</v>
      </c>
      <c r="I163" s="7" t="s">
        <v>195</v>
      </c>
      <c r="J163" s="7" t="s">
        <v>195</v>
      </c>
      <c r="K163" s="7" t="s">
        <v>195</v>
      </c>
      <c r="L163" s="7" t="s">
        <v>195</v>
      </c>
      <c r="M163" s="7" t="s">
        <v>29</v>
      </c>
      <c r="N163" s="7" t="s">
        <v>29</v>
      </c>
      <c r="O163" s="7" t="s">
        <v>29</v>
      </c>
      <c r="P163" s="7" t="s">
        <v>29</v>
      </c>
      <c r="Q163" s="7" t="s">
        <v>29</v>
      </c>
      <c r="R163" s="7" t="s">
        <v>29</v>
      </c>
      <c r="S163" s="7" t="s">
        <v>29</v>
      </c>
    </row>
    <row r="164" spans="2:19">
      <c r="B164" s="7" t="s">
        <v>195</v>
      </c>
      <c r="C164" s="8" t="s">
        <v>195</v>
      </c>
      <c r="D164" s="6" t="str">
        <f>LRTRIM(CONCATENATE(IF(SUMPRODUCT(-- ISNUMBER(SEARCH({"Auto Number"}, $B164))) &gt; 0, $B164, IF(SUMPRODUCT(-- ISNUMBER(SEARCH({"Lookup","Master-Detail"}, $B164))) &gt; 0,$B164 &amp; "(" &amp; $E164 &amp; ")",IF(SUMPRODUCT(-- ISNUMBER(SEARCH({"Formula","Roll-Up Summary"}, $B164))) &gt; 0,$B164 &amp; " (" &amp; $E164 &amp; ")",IF(SUMPRODUCT(-- ISNUMBER(SEARCH({"Content","Currency","Number","Percent","Text","URL"}, $B164))) &gt; 0,$B164 &amp; "(" &amp; $C164 &amp; ")",$B164)))), "  ", TRIM(IF($S164 = "YES", "(External ID)", "") &amp; " " &amp; IF(SUMPRODUCT(-- ISNUMBER(SEARCH({"Unique","Unique Case Insensitive"}, $R164))) &gt; 0, "(" &amp; $R164 &amp; ")", ""))))</f>
        <v>na</v>
      </c>
      <c r="E164" s="7" t="s">
        <v>195</v>
      </c>
      <c r="F164" s="7" t="s">
        <v>195</v>
      </c>
      <c r="G164" s="7" t="s">
        <v>195</v>
      </c>
      <c r="H164" s="7" t="s">
        <v>195</v>
      </c>
      <c r="I164" s="7" t="s">
        <v>195</v>
      </c>
      <c r="J164" s="7" t="s">
        <v>195</v>
      </c>
      <c r="K164" s="7" t="s">
        <v>195</v>
      </c>
      <c r="L164" s="7" t="s">
        <v>195</v>
      </c>
      <c r="M164" s="7" t="s">
        <v>29</v>
      </c>
      <c r="N164" s="7" t="s">
        <v>29</v>
      </c>
      <c r="O164" s="7" t="s">
        <v>29</v>
      </c>
      <c r="P164" s="7" t="s">
        <v>29</v>
      </c>
      <c r="Q164" s="7" t="s">
        <v>29</v>
      </c>
      <c r="R164" s="7" t="s">
        <v>29</v>
      </c>
      <c r="S164" s="7" t="s">
        <v>29</v>
      </c>
    </row>
    <row r="165" spans="2:19">
      <c r="B165" s="7" t="s">
        <v>195</v>
      </c>
      <c r="C165" s="8" t="s">
        <v>195</v>
      </c>
      <c r="D165" s="6" t="str">
        <f>LRTRIM(CONCATENATE(IF(SUMPRODUCT(-- ISNUMBER(SEARCH({"Auto Number"}, $B165))) &gt; 0, $B165, IF(SUMPRODUCT(-- ISNUMBER(SEARCH({"Lookup","Master-Detail"}, $B165))) &gt; 0,$B165 &amp; "(" &amp; $E165 &amp; ")",IF(SUMPRODUCT(-- ISNUMBER(SEARCH({"Formula","Roll-Up Summary"}, $B165))) &gt; 0,$B165 &amp; " (" &amp; $E165 &amp; ")",IF(SUMPRODUCT(-- ISNUMBER(SEARCH({"Content","Currency","Number","Percent","Text","URL"}, $B165))) &gt; 0,$B165 &amp; "(" &amp; $C165 &amp; ")",$B165)))), "  ", TRIM(IF($S165 = "YES", "(External ID)", "") &amp; " " &amp; IF(SUMPRODUCT(-- ISNUMBER(SEARCH({"Unique","Unique Case Insensitive"}, $R165))) &gt; 0, "(" &amp; $R165 &amp; ")", ""))))</f>
        <v>na</v>
      </c>
      <c r="E165" s="7" t="s">
        <v>195</v>
      </c>
      <c r="F165" s="7" t="s">
        <v>195</v>
      </c>
      <c r="G165" s="7" t="s">
        <v>195</v>
      </c>
      <c r="H165" s="7" t="s">
        <v>195</v>
      </c>
      <c r="I165" s="7" t="s">
        <v>195</v>
      </c>
      <c r="J165" s="7" t="s">
        <v>195</v>
      </c>
      <c r="K165" s="7" t="s">
        <v>195</v>
      </c>
      <c r="L165" s="7" t="s">
        <v>195</v>
      </c>
      <c r="M165" s="7" t="s">
        <v>29</v>
      </c>
      <c r="N165" s="7" t="s">
        <v>29</v>
      </c>
      <c r="O165" s="7" t="s">
        <v>29</v>
      </c>
      <c r="P165" s="7" t="s">
        <v>29</v>
      </c>
      <c r="Q165" s="7" t="s">
        <v>29</v>
      </c>
      <c r="R165" s="7" t="s">
        <v>29</v>
      </c>
      <c r="S165" s="7" t="s">
        <v>29</v>
      </c>
    </row>
    <row r="166" spans="2:19">
      <c r="B166" s="7" t="s">
        <v>195</v>
      </c>
      <c r="C166" s="8" t="s">
        <v>195</v>
      </c>
      <c r="D166" s="6" t="str">
        <f>LRTRIM(CONCATENATE(IF(SUMPRODUCT(-- ISNUMBER(SEARCH({"Auto Number"}, $B166))) &gt; 0, $B166, IF(SUMPRODUCT(-- ISNUMBER(SEARCH({"Lookup","Master-Detail"}, $B166))) &gt; 0,$B166 &amp; "(" &amp; $E166 &amp; ")",IF(SUMPRODUCT(-- ISNUMBER(SEARCH({"Formula","Roll-Up Summary"}, $B166))) &gt; 0,$B166 &amp; " (" &amp; $E166 &amp; ")",IF(SUMPRODUCT(-- ISNUMBER(SEARCH({"Content","Currency","Number","Percent","Text","URL"}, $B166))) &gt; 0,$B166 &amp; "(" &amp; $C166 &amp; ")",$B166)))), "  ", TRIM(IF($S166 = "YES", "(External ID)", "") &amp; " " &amp; IF(SUMPRODUCT(-- ISNUMBER(SEARCH({"Unique","Unique Case Insensitive"}, $R166))) &gt; 0, "(" &amp; $R166 &amp; ")", ""))))</f>
        <v>na</v>
      </c>
      <c r="E166" s="7" t="s">
        <v>195</v>
      </c>
      <c r="F166" s="7" t="s">
        <v>195</v>
      </c>
      <c r="G166" s="7" t="s">
        <v>195</v>
      </c>
      <c r="H166" s="7" t="s">
        <v>195</v>
      </c>
      <c r="I166" s="7" t="s">
        <v>195</v>
      </c>
      <c r="J166" s="7" t="s">
        <v>195</v>
      </c>
      <c r="K166" s="7" t="s">
        <v>195</v>
      </c>
      <c r="L166" s="7" t="s">
        <v>195</v>
      </c>
      <c r="M166" s="7" t="s">
        <v>29</v>
      </c>
      <c r="N166" s="7" t="s">
        <v>29</v>
      </c>
      <c r="O166" s="7" t="s">
        <v>29</v>
      </c>
      <c r="P166" s="7" t="s">
        <v>29</v>
      </c>
      <c r="Q166" s="7" t="s">
        <v>29</v>
      </c>
      <c r="R166" s="7" t="s">
        <v>29</v>
      </c>
      <c r="S166" s="7" t="s">
        <v>29</v>
      </c>
    </row>
    <row r="167" spans="2:19">
      <c r="B167" s="7" t="s">
        <v>195</v>
      </c>
      <c r="C167" s="8" t="s">
        <v>195</v>
      </c>
      <c r="D167" s="6" t="str">
        <f>LRTRIM(CONCATENATE(IF(SUMPRODUCT(-- ISNUMBER(SEARCH({"Auto Number"}, $B167))) &gt; 0, $B167, IF(SUMPRODUCT(-- ISNUMBER(SEARCH({"Lookup","Master-Detail"}, $B167))) &gt; 0,$B167 &amp; "(" &amp; $E167 &amp; ")",IF(SUMPRODUCT(-- ISNUMBER(SEARCH({"Formula","Roll-Up Summary"}, $B167))) &gt; 0,$B167 &amp; " (" &amp; $E167 &amp; ")",IF(SUMPRODUCT(-- ISNUMBER(SEARCH({"Content","Currency","Number","Percent","Text","URL"}, $B167))) &gt; 0,$B167 &amp; "(" &amp; $C167 &amp; ")",$B167)))), "  ", TRIM(IF($S167 = "YES", "(External ID)", "") &amp; " " &amp; IF(SUMPRODUCT(-- ISNUMBER(SEARCH({"Unique","Unique Case Insensitive"}, $R167))) &gt; 0, "(" &amp; $R167 &amp; ")", ""))))</f>
        <v>na</v>
      </c>
      <c r="E167" s="7" t="s">
        <v>195</v>
      </c>
      <c r="F167" s="7" t="s">
        <v>195</v>
      </c>
      <c r="G167" s="7" t="s">
        <v>195</v>
      </c>
      <c r="H167" s="7" t="s">
        <v>195</v>
      </c>
      <c r="I167" s="7" t="s">
        <v>195</v>
      </c>
      <c r="J167" s="7" t="s">
        <v>195</v>
      </c>
      <c r="K167" s="7" t="s">
        <v>195</v>
      </c>
      <c r="L167" s="7" t="s">
        <v>195</v>
      </c>
      <c r="M167" s="7" t="s">
        <v>29</v>
      </c>
      <c r="N167" s="7" t="s">
        <v>29</v>
      </c>
      <c r="O167" s="7" t="s">
        <v>29</v>
      </c>
      <c r="P167" s="7" t="s">
        <v>29</v>
      </c>
      <c r="Q167" s="7" t="s">
        <v>29</v>
      </c>
      <c r="R167" s="7" t="s">
        <v>29</v>
      </c>
      <c r="S167" s="7" t="s">
        <v>29</v>
      </c>
    </row>
    <row r="168" spans="2:19">
      <c r="B168" s="7" t="s">
        <v>195</v>
      </c>
      <c r="C168" s="8" t="s">
        <v>195</v>
      </c>
      <c r="D168" s="6" t="str">
        <f>LRTRIM(CONCATENATE(IF(SUMPRODUCT(-- ISNUMBER(SEARCH({"Auto Number"}, $B168))) &gt; 0, $B168, IF(SUMPRODUCT(-- ISNUMBER(SEARCH({"Lookup","Master-Detail"}, $B168))) &gt; 0,$B168 &amp; "(" &amp; $E168 &amp; ")",IF(SUMPRODUCT(-- ISNUMBER(SEARCH({"Formula","Roll-Up Summary"}, $B168))) &gt; 0,$B168 &amp; " (" &amp; $E168 &amp; ")",IF(SUMPRODUCT(-- ISNUMBER(SEARCH({"Content","Currency","Number","Percent","Text","URL"}, $B168))) &gt; 0,$B168 &amp; "(" &amp; $C168 &amp; ")",$B168)))), "  ", TRIM(IF($S168 = "YES", "(External ID)", "") &amp; " " &amp; IF(SUMPRODUCT(-- ISNUMBER(SEARCH({"Unique","Unique Case Insensitive"}, $R168))) &gt; 0, "(" &amp; $R168 &amp; ")", ""))))</f>
        <v>na</v>
      </c>
      <c r="E168" s="7" t="s">
        <v>195</v>
      </c>
      <c r="F168" s="7" t="s">
        <v>195</v>
      </c>
      <c r="G168" s="7" t="s">
        <v>195</v>
      </c>
      <c r="H168" s="7" t="s">
        <v>195</v>
      </c>
      <c r="I168" s="7" t="s">
        <v>195</v>
      </c>
      <c r="J168" s="7" t="s">
        <v>195</v>
      </c>
      <c r="K168" s="7" t="s">
        <v>195</v>
      </c>
      <c r="L168" s="7" t="s">
        <v>195</v>
      </c>
      <c r="M168" s="7" t="s">
        <v>29</v>
      </c>
      <c r="N168" s="7" t="s">
        <v>29</v>
      </c>
      <c r="O168" s="7" t="s">
        <v>29</v>
      </c>
      <c r="P168" s="7" t="s">
        <v>29</v>
      </c>
      <c r="Q168" s="7" t="s">
        <v>29</v>
      </c>
      <c r="R168" s="7" t="s">
        <v>29</v>
      </c>
      <c r="S168" s="7" t="s">
        <v>29</v>
      </c>
    </row>
    <row r="169" spans="2:19">
      <c r="B169" s="7" t="s">
        <v>195</v>
      </c>
      <c r="C169" s="8" t="s">
        <v>195</v>
      </c>
      <c r="D169" s="6" t="str">
        <f>LRTRIM(CONCATENATE(IF(SUMPRODUCT(-- ISNUMBER(SEARCH({"Auto Number"}, $B169))) &gt; 0, $B169, IF(SUMPRODUCT(-- ISNUMBER(SEARCH({"Lookup","Master-Detail"}, $B169))) &gt; 0,$B169 &amp; "(" &amp; $E169 &amp; ")",IF(SUMPRODUCT(-- ISNUMBER(SEARCH({"Formula","Roll-Up Summary"}, $B169))) &gt; 0,$B169 &amp; " (" &amp; $E169 &amp; ")",IF(SUMPRODUCT(-- ISNUMBER(SEARCH({"Content","Currency","Number","Percent","Text","URL"}, $B169))) &gt; 0,$B169 &amp; "(" &amp; $C169 &amp; ")",$B169)))), "  ", TRIM(IF($S169 = "YES", "(External ID)", "") &amp; " " &amp; IF(SUMPRODUCT(-- ISNUMBER(SEARCH({"Unique","Unique Case Insensitive"}, $R169))) &gt; 0, "(" &amp; $R169 &amp; ")", ""))))</f>
        <v>na</v>
      </c>
      <c r="E169" s="7" t="s">
        <v>195</v>
      </c>
      <c r="F169" s="7" t="s">
        <v>195</v>
      </c>
      <c r="G169" s="7" t="s">
        <v>195</v>
      </c>
      <c r="H169" s="7" t="s">
        <v>195</v>
      </c>
      <c r="I169" s="7" t="s">
        <v>195</v>
      </c>
      <c r="J169" s="7" t="s">
        <v>195</v>
      </c>
      <c r="K169" s="7" t="s">
        <v>195</v>
      </c>
      <c r="L169" s="7" t="s">
        <v>195</v>
      </c>
      <c r="M169" s="7" t="s">
        <v>29</v>
      </c>
      <c r="N169" s="7" t="s">
        <v>29</v>
      </c>
      <c r="O169" s="7" t="s">
        <v>29</v>
      </c>
      <c r="P169" s="7" t="s">
        <v>29</v>
      </c>
      <c r="Q169" s="7" t="s">
        <v>29</v>
      </c>
      <c r="R169" s="7" t="s">
        <v>29</v>
      </c>
      <c r="S169" s="7" t="s">
        <v>29</v>
      </c>
    </row>
    <row r="170" spans="2:19">
      <c r="B170" s="7" t="s">
        <v>195</v>
      </c>
      <c r="C170" s="8" t="s">
        <v>195</v>
      </c>
      <c r="D170" s="6" t="str">
        <f>LRTRIM(CONCATENATE(IF(SUMPRODUCT(-- ISNUMBER(SEARCH({"Auto Number"}, $B170))) &gt; 0, $B170, IF(SUMPRODUCT(-- ISNUMBER(SEARCH({"Lookup","Master-Detail"}, $B170))) &gt; 0,$B170 &amp; "(" &amp; $E170 &amp; ")",IF(SUMPRODUCT(-- ISNUMBER(SEARCH({"Formula","Roll-Up Summary"}, $B170))) &gt; 0,$B170 &amp; " (" &amp; $E170 &amp; ")",IF(SUMPRODUCT(-- ISNUMBER(SEARCH({"Content","Currency","Number","Percent","Text","URL"}, $B170))) &gt; 0,$B170 &amp; "(" &amp; $C170 &amp; ")",$B170)))), "  ", TRIM(IF($S170 = "YES", "(External ID)", "") &amp; " " &amp; IF(SUMPRODUCT(-- ISNUMBER(SEARCH({"Unique","Unique Case Insensitive"}, $R170))) &gt; 0, "(" &amp; $R170 &amp; ")", ""))))</f>
        <v>na</v>
      </c>
      <c r="E170" s="7" t="s">
        <v>195</v>
      </c>
      <c r="F170" s="7" t="s">
        <v>195</v>
      </c>
      <c r="G170" s="7" t="s">
        <v>195</v>
      </c>
      <c r="H170" s="7" t="s">
        <v>195</v>
      </c>
      <c r="I170" s="7" t="s">
        <v>195</v>
      </c>
      <c r="J170" s="7" t="s">
        <v>195</v>
      </c>
      <c r="K170" s="7" t="s">
        <v>195</v>
      </c>
      <c r="L170" s="7" t="s">
        <v>195</v>
      </c>
      <c r="M170" s="7" t="s">
        <v>29</v>
      </c>
      <c r="N170" s="7" t="s">
        <v>29</v>
      </c>
      <c r="O170" s="7" t="s">
        <v>29</v>
      </c>
      <c r="P170" s="7" t="s">
        <v>29</v>
      </c>
      <c r="Q170" s="7" t="s">
        <v>29</v>
      </c>
      <c r="R170" s="7" t="s">
        <v>29</v>
      </c>
      <c r="S170" s="7" t="s">
        <v>29</v>
      </c>
    </row>
    <row r="171" spans="2:19">
      <c r="B171" s="7" t="s">
        <v>195</v>
      </c>
      <c r="C171" s="8" t="s">
        <v>195</v>
      </c>
      <c r="D171" s="6" t="str">
        <f>LRTRIM(CONCATENATE(IF(SUMPRODUCT(-- ISNUMBER(SEARCH({"Auto Number"}, $B171))) &gt; 0, $B171, IF(SUMPRODUCT(-- ISNUMBER(SEARCH({"Lookup","Master-Detail"}, $B171))) &gt; 0,$B171 &amp; "(" &amp; $E171 &amp; ")",IF(SUMPRODUCT(-- ISNUMBER(SEARCH({"Formula","Roll-Up Summary"}, $B171))) &gt; 0,$B171 &amp; " (" &amp; $E171 &amp; ")",IF(SUMPRODUCT(-- ISNUMBER(SEARCH({"Content","Currency","Number","Percent","Text","URL"}, $B171))) &gt; 0,$B171 &amp; "(" &amp; $C171 &amp; ")",$B171)))), "  ", TRIM(IF($S171 = "YES", "(External ID)", "") &amp; " " &amp; IF(SUMPRODUCT(-- ISNUMBER(SEARCH({"Unique","Unique Case Insensitive"}, $R171))) &gt; 0, "(" &amp; $R171 &amp; ")", ""))))</f>
        <v>na</v>
      </c>
      <c r="E171" s="7" t="s">
        <v>195</v>
      </c>
      <c r="F171" s="7" t="s">
        <v>195</v>
      </c>
      <c r="G171" s="7" t="s">
        <v>195</v>
      </c>
      <c r="H171" s="7" t="s">
        <v>195</v>
      </c>
      <c r="I171" s="7" t="s">
        <v>195</v>
      </c>
      <c r="J171" s="7" t="s">
        <v>195</v>
      </c>
      <c r="K171" s="7" t="s">
        <v>195</v>
      </c>
      <c r="L171" s="7" t="s">
        <v>195</v>
      </c>
      <c r="M171" s="7" t="s">
        <v>29</v>
      </c>
      <c r="N171" s="7" t="s">
        <v>29</v>
      </c>
      <c r="O171" s="7" t="s">
        <v>29</v>
      </c>
      <c r="P171" s="7" t="s">
        <v>29</v>
      </c>
      <c r="Q171" s="7" t="s">
        <v>29</v>
      </c>
      <c r="R171" s="7" t="s">
        <v>29</v>
      </c>
      <c r="S171" s="7" t="s">
        <v>29</v>
      </c>
    </row>
    <row r="172" spans="2:19">
      <c r="B172" s="7" t="s">
        <v>195</v>
      </c>
      <c r="C172" s="8" t="s">
        <v>195</v>
      </c>
      <c r="D172" s="6" t="str">
        <f>LRTRIM(CONCATENATE(IF(SUMPRODUCT(-- ISNUMBER(SEARCH({"Auto Number"}, $B172))) &gt; 0, $B172, IF(SUMPRODUCT(-- ISNUMBER(SEARCH({"Lookup","Master-Detail"}, $B172))) &gt; 0,$B172 &amp; "(" &amp; $E172 &amp; ")",IF(SUMPRODUCT(-- ISNUMBER(SEARCH({"Formula","Roll-Up Summary"}, $B172))) &gt; 0,$B172 &amp; " (" &amp; $E172 &amp; ")",IF(SUMPRODUCT(-- ISNUMBER(SEARCH({"Content","Currency","Number","Percent","Text","URL"}, $B172))) &gt; 0,$B172 &amp; "(" &amp; $C172 &amp; ")",$B172)))), "  ", TRIM(IF($S172 = "YES", "(External ID)", "") &amp; " " &amp; IF(SUMPRODUCT(-- ISNUMBER(SEARCH({"Unique","Unique Case Insensitive"}, $R172))) &gt; 0, "(" &amp; $R172 &amp; ")", ""))))</f>
        <v>na</v>
      </c>
      <c r="E172" s="7" t="s">
        <v>195</v>
      </c>
      <c r="F172" s="7" t="s">
        <v>195</v>
      </c>
      <c r="G172" s="7" t="s">
        <v>195</v>
      </c>
      <c r="H172" s="7" t="s">
        <v>195</v>
      </c>
      <c r="I172" s="7" t="s">
        <v>195</v>
      </c>
      <c r="J172" s="7" t="s">
        <v>195</v>
      </c>
      <c r="K172" s="7" t="s">
        <v>195</v>
      </c>
      <c r="L172" s="7" t="s">
        <v>195</v>
      </c>
      <c r="M172" s="7" t="s">
        <v>29</v>
      </c>
      <c r="N172" s="7" t="s">
        <v>29</v>
      </c>
      <c r="O172" s="7" t="s">
        <v>29</v>
      </c>
      <c r="P172" s="7" t="s">
        <v>29</v>
      </c>
      <c r="Q172" s="7" t="s">
        <v>29</v>
      </c>
      <c r="R172" s="7" t="s">
        <v>29</v>
      </c>
      <c r="S172" s="7" t="s">
        <v>29</v>
      </c>
    </row>
    <row r="173" spans="2:19">
      <c r="B173" s="7" t="s">
        <v>195</v>
      </c>
      <c r="C173" s="8" t="s">
        <v>195</v>
      </c>
      <c r="D173" s="6" t="str">
        <f>LRTRIM(CONCATENATE(IF(SUMPRODUCT(-- ISNUMBER(SEARCH({"Auto Number"}, $B173))) &gt; 0, $B173, IF(SUMPRODUCT(-- ISNUMBER(SEARCH({"Lookup","Master-Detail"}, $B173))) &gt; 0,$B173 &amp; "(" &amp; $E173 &amp; ")",IF(SUMPRODUCT(-- ISNUMBER(SEARCH({"Formula","Roll-Up Summary"}, $B173))) &gt; 0,$B173 &amp; " (" &amp; $E173 &amp; ")",IF(SUMPRODUCT(-- ISNUMBER(SEARCH({"Content","Currency","Number","Percent","Text","URL"}, $B173))) &gt; 0,$B173 &amp; "(" &amp; $C173 &amp; ")",$B173)))), "  ", TRIM(IF($S173 = "YES", "(External ID)", "") &amp; " " &amp; IF(SUMPRODUCT(-- ISNUMBER(SEARCH({"Unique","Unique Case Insensitive"}, $R173))) &gt; 0, "(" &amp; $R173 &amp; ")", ""))))</f>
        <v>na</v>
      </c>
      <c r="E173" s="7" t="s">
        <v>195</v>
      </c>
      <c r="F173" s="7" t="s">
        <v>195</v>
      </c>
      <c r="G173" s="7" t="s">
        <v>195</v>
      </c>
      <c r="H173" s="7" t="s">
        <v>195</v>
      </c>
      <c r="I173" s="7" t="s">
        <v>195</v>
      </c>
      <c r="J173" s="7" t="s">
        <v>195</v>
      </c>
      <c r="K173" s="7" t="s">
        <v>195</v>
      </c>
      <c r="L173" s="7" t="s">
        <v>195</v>
      </c>
      <c r="M173" s="7" t="s">
        <v>29</v>
      </c>
      <c r="N173" s="7" t="s">
        <v>29</v>
      </c>
      <c r="O173" s="7" t="s">
        <v>29</v>
      </c>
      <c r="P173" s="7" t="s">
        <v>29</v>
      </c>
      <c r="Q173" s="7" t="s">
        <v>29</v>
      </c>
      <c r="R173" s="7" t="s">
        <v>29</v>
      </c>
      <c r="S173" s="7" t="s">
        <v>29</v>
      </c>
    </row>
    <row r="174" spans="2:19">
      <c r="B174" s="7" t="s">
        <v>195</v>
      </c>
      <c r="C174" s="8" t="s">
        <v>195</v>
      </c>
      <c r="D174" s="6" t="str">
        <f>LRTRIM(CONCATENATE(IF(SUMPRODUCT(-- ISNUMBER(SEARCH({"Auto Number"}, $B174))) &gt; 0, $B174, IF(SUMPRODUCT(-- ISNUMBER(SEARCH({"Lookup","Master-Detail"}, $B174))) &gt; 0,$B174 &amp; "(" &amp; $E174 &amp; ")",IF(SUMPRODUCT(-- ISNUMBER(SEARCH({"Formula","Roll-Up Summary"}, $B174))) &gt; 0,$B174 &amp; " (" &amp; $E174 &amp; ")",IF(SUMPRODUCT(-- ISNUMBER(SEARCH({"Content","Currency","Number","Percent","Text","URL"}, $B174))) &gt; 0,$B174 &amp; "(" &amp; $C174 &amp; ")",$B174)))), "  ", TRIM(IF($S174 = "YES", "(External ID)", "") &amp; " " &amp; IF(SUMPRODUCT(-- ISNUMBER(SEARCH({"Unique","Unique Case Insensitive"}, $R174))) &gt; 0, "(" &amp; $R174 &amp; ")", ""))))</f>
        <v>na</v>
      </c>
      <c r="E174" s="7" t="s">
        <v>195</v>
      </c>
      <c r="F174" s="7" t="s">
        <v>195</v>
      </c>
      <c r="G174" s="7" t="s">
        <v>195</v>
      </c>
      <c r="H174" s="7" t="s">
        <v>195</v>
      </c>
      <c r="I174" s="7" t="s">
        <v>195</v>
      </c>
      <c r="J174" s="7" t="s">
        <v>195</v>
      </c>
      <c r="K174" s="7" t="s">
        <v>195</v>
      </c>
      <c r="L174" s="7" t="s">
        <v>195</v>
      </c>
      <c r="M174" s="7" t="s">
        <v>29</v>
      </c>
      <c r="N174" s="7" t="s">
        <v>29</v>
      </c>
      <c r="O174" s="7" t="s">
        <v>29</v>
      </c>
      <c r="P174" s="7" t="s">
        <v>29</v>
      </c>
      <c r="Q174" s="7" t="s">
        <v>29</v>
      </c>
      <c r="R174" s="7" t="s">
        <v>29</v>
      </c>
      <c r="S174" s="7" t="s">
        <v>29</v>
      </c>
    </row>
    <row r="175" spans="2:19">
      <c r="B175" s="7" t="s">
        <v>195</v>
      </c>
      <c r="C175" s="8" t="s">
        <v>195</v>
      </c>
      <c r="D175" s="6" t="str">
        <f>LRTRIM(CONCATENATE(IF(SUMPRODUCT(-- ISNUMBER(SEARCH({"Auto Number"}, $B175))) &gt; 0, $B175, IF(SUMPRODUCT(-- ISNUMBER(SEARCH({"Lookup","Master-Detail"}, $B175))) &gt; 0,$B175 &amp; "(" &amp; $E175 &amp; ")",IF(SUMPRODUCT(-- ISNUMBER(SEARCH({"Formula","Roll-Up Summary"}, $B175))) &gt; 0,$B175 &amp; " (" &amp; $E175 &amp; ")",IF(SUMPRODUCT(-- ISNUMBER(SEARCH({"Content","Currency","Number","Percent","Text","URL"}, $B175))) &gt; 0,$B175 &amp; "(" &amp; $C175 &amp; ")",$B175)))), "  ", TRIM(IF($S175 = "YES", "(External ID)", "") &amp; " " &amp; IF(SUMPRODUCT(-- ISNUMBER(SEARCH({"Unique","Unique Case Insensitive"}, $R175))) &gt; 0, "(" &amp; $R175 &amp; ")", ""))))</f>
        <v>na</v>
      </c>
      <c r="E175" s="7" t="s">
        <v>195</v>
      </c>
      <c r="F175" s="7" t="s">
        <v>195</v>
      </c>
      <c r="G175" s="7" t="s">
        <v>195</v>
      </c>
      <c r="H175" s="7" t="s">
        <v>195</v>
      </c>
      <c r="I175" s="7" t="s">
        <v>195</v>
      </c>
      <c r="J175" s="7" t="s">
        <v>195</v>
      </c>
      <c r="K175" s="7" t="s">
        <v>195</v>
      </c>
      <c r="L175" s="7" t="s">
        <v>195</v>
      </c>
      <c r="M175" s="7" t="s">
        <v>29</v>
      </c>
      <c r="N175" s="7" t="s">
        <v>29</v>
      </c>
      <c r="O175" s="7" t="s">
        <v>29</v>
      </c>
      <c r="P175" s="7" t="s">
        <v>29</v>
      </c>
      <c r="Q175" s="7" t="s">
        <v>29</v>
      </c>
      <c r="R175" s="7" t="s">
        <v>29</v>
      </c>
      <c r="S175" s="7" t="s">
        <v>29</v>
      </c>
    </row>
    <row r="176" spans="2:19">
      <c r="B176" s="7" t="s">
        <v>195</v>
      </c>
      <c r="C176" s="8" t="s">
        <v>195</v>
      </c>
      <c r="D176" s="6" t="str">
        <f>LRTRIM(CONCATENATE(IF(SUMPRODUCT(-- ISNUMBER(SEARCH({"Auto Number"}, $B176))) &gt; 0, $B176, IF(SUMPRODUCT(-- ISNUMBER(SEARCH({"Lookup","Master-Detail"}, $B176))) &gt; 0,$B176 &amp; "(" &amp; $E176 &amp; ")",IF(SUMPRODUCT(-- ISNUMBER(SEARCH({"Formula","Roll-Up Summary"}, $B176))) &gt; 0,$B176 &amp; " (" &amp; $E176 &amp; ")",IF(SUMPRODUCT(-- ISNUMBER(SEARCH({"Content","Currency","Number","Percent","Text","URL"}, $B176))) &gt; 0,$B176 &amp; "(" &amp; $C176 &amp; ")",$B176)))), "  ", TRIM(IF($S176 = "YES", "(External ID)", "") &amp; " " &amp; IF(SUMPRODUCT(-- ISNUMBER(SEARCH({"Unique","Unique Case Insensitive"}, $R176))) &gt; 0, "(" &amp; $R176 &amp; ")", ""))))</f>
        <v>na</v>
      </c>
      <c r="E176" s="7" t="s">
        <v>195</v>
      </c>
      <c r="F176" s="7" t="s">
        <v>195</v>
      </c>
      <c r="G176" s="7" t="s">
        <v>195</v>
      </c>
      <c r="H176" s="7" t="s">
        <v>195</v>
      </c>
      <c r="I176" s="7" t="s">
        <v>195</v>
      </c>
      <c r="J176" s="7" t="s">
        <v>195</v>
      </c>
      <c r="K176" s="7" t="s">
        <v>195</v>
      </c>
      <c r="L176" s="7" t="s">
        <v>195</v>
      </c>
      <c r="M176" s="7" t="s">
        <v>29</v>
      </c>
      <c r="N176" s="7" t="s">
        <v>29</v>
      </c>
      <c r="O176" s="7" t="s">
        <v>29</v>
      </c>
      <c r="P176" s="7" t="s">
        <v>29</v>
      </c>
      <c r="Q176" s="7" t="s">
        <v>29</v>
      </c>
      <c r="R176" s="7" t="s">
        <v>29</v>
      </c>
      <c r="S176" s="7" t="s">
        <v>29</v>
      </c>
    </row>
    <row r="177" spans="2:19">
      <c r="B177" s="7" t="s">
        <v>195</v>
      </c>
      <c r="C177" s="8" t="s">
        <v>195</v>
      </c>
      <c r="D177" s="6" t="str">
        <f>LRTRIM(CONCATENATE(IF(SUMPRODUCT(-- ISNUMBER(SEARCH({"Auto Number"}, $B177))) &gt; 0, $B177, IF(SUMPRODUCT(-- ISNUMBER(SEARCH({"Lookup","Master-Detail"}, $B177))) &gt; 0,$B177 &amp; "(" &amp; $E177 &amp; ")",IF(SUMPRODUCT(-- ISNUMBER(SEARCH({"Formula","Roll-Up Summary"}, $B177))) &gt; 0,$B177 &amp; " (" &amp; $E177 &amp; ")",IF(SUMPRODUCT(-- ISNUMBER(SEARCH({"Content","Currency","Number","Percent","Text","URL"}, $B177))) &gt; 0,$B177 &amp; "(" &amp; $C177 &amp; ")",$B177)))), "  ", TRIM(IF($S177 = "YES", "(External ID)", "") &amp; " " &amp; IF(SUMPRODUCT(-- ISNUMBER(SEARCH({"Unique","Unique Case Insensitive"}, $R177))) &gt; 0, "(" &amp; $R177 &amp; ")", ""))))</f>
        <v>na</v>
      </c>
      <c r="E177" s="7" t="s">
        <v>195</v>
      </c>
      <c r="F177" s="7" t="s">
        <v>195</v>
      </c>
      <c r="G177" s="7" t="s">
        <v>195</v>
      </c>
      <c r="H177" s="7" t="s">
        <v>195</v>
      </c>
      <c r="I177" s="7" t="s">
        <v>195</v>
      </c>
      <c r="J177" s="7" t="s">
        <v>195</v>
      </c>
      <c r="K177" s="7" t="s">
        <v>195</v>
      </c>
      <c r="L177" s="7" t="s">
        <v>195</v>
      </c>
      <c r="M177" s="7" t="s">
        <v>29</v>
      </c>
      <c r="N177" s="7" t="s">
        <v>29</v>
      </c>
      <c r="O177" s="7" t="s">
        <v>29</v>
      </c>
      <c r="P177" s="7" t="s">
        <v>29</v>
      </c>
      <c r="Q177" s="7" t="s">
        <v>29</v>
      </c>
      <c r="R177" s="7" t="s">
        <v>29</v>
      </c>
      <c r="S177" s="7" t="s">
        <v>29</v>
      </c>
    </row>
    <row r="178" spans="2:19">
      <c r="B178" s="7" t="s">
        <v>195</v>
      </c>
      <c r="C178" s="8" t="s">
        <v>195</v>
      </c>
      <c r="D178" s="6" t="str">
        <f>LRTRIM(CONCATENATE(IF(SUMPRODUCT(-- ISNUMBER(SEARCH({"Auto Number"}, $B178))) &gt; 0, $B178, IF(SUMPRODUCT(-- ISNUMBER(SEARCH({"Lookup","Master-Detail"}, $B178))) &gt; 0,$B178 &amp; "(" &amp; $E178 &amp; ")",IF(SUMPRODUCT(-- ISNUMBER(SEARCH({"Formula","Roll-Up Summary"}, $B178))) &gt; 0,$B178 &amp; " (" &amp; $E178 &amp; ")",IF(SUMPRODUCT(-- ISNUMBER(SEARCH({"Content","Currency","Number","Percent","Text","URL"}, $B178))) &gt; 0,$B178 &amp; "(" &amp; $C178 &amp; ")",$B178)))), "  ", TRIM(IF($S178 = "YES", "(External ID)", "") &amp; " " &amp; IF(SUMPRODUCT(-- ISNUMBER(SEARCH({"Unique","Unique Case Insensitive"}, $R178))) &gt; 0, "(" &amp; $R178 &amp; ")", ""))))</f>
        <v>na</v>
      </c>
      <c r="E178" s="7" t="s">
        <v>195</v>
      </c>
      <c r="F178" s="7" t="s">
        <v>195</v>
      </c>
      <c r="G178" s="7" t="s">
        <v>195</v>
      </c>
      <c r="H178" s="7" t="s">
        <v>195</v>
      </c>
      <c r="I178" s="7" t="s">
        <v>195</v>
      </c>
      <c r="J178" s="7" t="s">
        <v>195</v>
      </c>
      <c r="K178" s="7" t="s">
        <v>195</v>
      </c>
      <c r="L178" s="7" t="s">
        <v>195</v>
      </c>
      <c r="M178" s="7" t="s">
        <v>29</v>
      </c>
      <c r="N178" s="7" t="s">
        <v>29</v>
      </c>
      <c r="O178" s="7" t="s">
        <v>29</v>
      </c>
      <c r="P178" s="7" t="s">
        <v>29</v>
      </c>
      <c r="Q178" s="7" t="s">
        <v>29</v>
      </c>
      <c r="R178" s="7" t="s">
        <v>29</v>
      </c>
      <c r="S178" s="7" t="s">
        <v>29</v>
      </c>
    </row>
    <row r="179" spans="2:19">
      <c r="B179" s="7" t="s">
        <v>195</v>
      </c>
      <c r="C179" s="8" t="s">
        <v>195</v>
      </c>
      <c r="D179" s="6" t="str">
        <f>LRTRIM(CONCATENATE(IF(SUMPRODUCT(-- ISNUMBER(SEARCH({"Auto Number"}, $B179))) &gt; 0, $B179, IF(SUMPRODUCT(-- ISNUMBER(SEARCH({"Lookup","Master-Detail"}, $B179))) &gt; 0,$B179 &amp; "(" &amp; $E179 &amp; ")",IF(SUMPRODUCT(-- ISNUMBER(SEARCH({"Formula","Roll-Up Summary"}, $B179))) &gt; 0,$B179 &amp; " (" &amp; $E179 &amp; ")",IF(SUMPRODUCT(-- ISNUMBER(SEARCH({"Content","Currency","Number","Percent","Text","URL"}, $B179))) &gt; 0,$B179 &amp; "(" &amp; $C179 &amp; ")",$B179)))), "  ", TRIM(IF($S179 = "YES", "(External ID)", "") &amp; " " &amp; IF(SUMPRODUCT(-- ISNUMBER(SEARCH({"Unique","Unique Case Insensitive"}, $R179))) &gt; 0, "(" &amp; $R179 &amp; ")", ""))))</f>
        <v>na</v>
      </c>
      <c r="E179" s="7" t="s">
        <v>195</v>
      </c>
      <c r="F179" s="7" t="s">
        <v>195</v>
      </c>
      <c r="G179" s="7" t="s">
        <v>195</v>
      </c>
      <c r="H179" s="7" t="s">
        <v>195</v>
      </c>
      <c r="I179" s="7" t="s">
        <v>195</v>
      </c>
      <c r="J179" s="7" t="s">
        <v>195</v>
      </c>
      <c r="K179" s="7" t="s">
        <v>195</v>
      </c>
      <c r="L179" s="7" t="s">
        <v>195</v>
      </c>
      <c r="M179" s="7" t="s">
        <v>29</v>
      </c>
      <c r="N179" s="7" t="s">
        <v>29</v>
      </c>
      <c r="O179" s="7" t="s">
        <v>29</v>
      </c>
      <c r="P179" s="7" t="s">
        <v>29</v>
      </c>
      <c r="Q179" s="7" t="s">
        <v>29</v>
      </c>
      <c r="R179" s="7" t="s">
        <v>29</v>
      </c>
      <c r="S179" s="7" t="s">
        <v>29</v>
      </c>
    </row>
    <row r="180" spans="2:19">
      <c r="B180" s="7" t="s">
        <v>195</v>
      </c>
      <c r="C180" s="8" t="s">
        <v>195</v>
      </c>
      <c r="D180" s="6" t="str">
        <f>LRTRIM(CONCATENATE(IF(SUMPRODUCT(-- ISNUMBER(SEARCH({"Auto Number"}, $B180))) &gt; 0, $B180, IF(SUMPRODUCT(-- ISNUMBER(SEARCH({"Lookup","Master-Detail"}, $B180))) &gt; 0,$B180 &amp; "(" &amp; $E180 &amp; ")",IF(SUMPRODUCT(-- ISNUMBER(SEARCH({"Formula","Roll-Up Summary"}, $B180))) &gt; 0,$B180 &amp; " (" &amp; $E180 &amp; ")",IF(SUMPRODUCT(-- ISNUMBER(SEARCH({"Content","Currency","Number","Percent","Text","URL"}, $B180))) &gt; 0,$B180 &amp; "(" &amp; $C180 &amp; ")",$B180)))), "  ", TRIM(IF($S180 = "YES", "(External ID)", "") &amp; " " &amp; IF(SUMPRODUCT(-- ISNUMBER(SEARCH({"Unique","Unique Case Insensitive"}, $R180))) &gt; 0, "(" &amp; $R180 &amp; ")", ""))))</f>
        <v>na</v>
      </c>
      <c r="E180" s="7" t="s">
        <v>195</v>
      </c>
      <c r="F180" s="7" t="s">
        <v>195</v>
      </c>
      <c r="G180" s="7" t="s">
        <v>195</v>
      </c>
      <c r="H180" s="7" t="s">
        <v>195</v>
      </c>
      <c r="I180" s="7" t="s">
        <v>195</v>
      </c>
      <c r="J180" s="7" t="s">
        <v>195</v>
      </c>
      <c r="K180" s="7" t="s">
        <v>195</v>
      </c>
      <c r="L180" s="7" t="s">
        <v>195</v>
      </c>
      <c r="M180" s="7" t="s">
        <v>29</v>
      </c>
      <c r="N180" s="7" t="s">
        <v>29</v>
      </c>
      <c r="O180" s="7" t="s">
        <v>29</v>
      </c>
      <c r="P180" s="7" t="s">
        <v>29</v>
      </c>
      <c r="Q180" s="7" t="s">
        <v>29</v>
      </c>
      <c r="R180" s="7" t="s">
        <v>29</v>
      </c>
      <c r="S180" s="7" t="s">
        <v>29</v>
      </c>
    </row>
    <row r="181" spans="2:19">
      <c r="B181" s="7" t="s">
        <v>195</v>
      </c>
      <c r="C181" s="8" t="s">
        <v>195</v>
      </c>
      <c r="D181" s="6" t="str">
        <f>LRTRIM(CONCATENATE(IF(SUMPRODUCT(-- ISNUMBER(SEARCH({"Auto Number"}, $B181))) &gt; 0, $B181, IF(SUMPRODUCT(-- ISNUMBER(SEARCH({"Lookup","Master-Detail"}, $B181))) &gt; 0,$B181 &amp; "(" &amp; $E181 &amp; ")",IF(SUMPRODUCT(-- ISNUMBER(SEARCH({"Formula","Roll-Up Summary"}, $B181))) &gt; 0,$B181 &amp; " (" &amp; $E181 &amp; ")",IF(SUMPRODUCT(-- ISNUMBER(SEARCH({"Content","Currency","Number","Percent","Text","URL"}, $B181))) &gt; 0,$B181 &amp; "(" &amp; $C181 &amp; ")",$B181)))), "  ", TRIM(IF($S181 = "YES", "(External ID)", "") &amp; " " &amp; IF(SUMPRODUCT(-- ISNUMBER(SEARCH({"Unique","Unique Case Insensitive"}, $R181))) &gt; 0, "(" &amp; $R181 &amp; ")", ""))))</f>
        <v>na</v>
      </c>
      <c r="E181" s="7" t="s">
        <v>195</v>
      </c>
      <c r="F181" s="7" t="s">
        <v>195</v>
      </c>
      <c r="G181" s="7" t="s">
        <v>195</v>
      </c>
      <c r="H181" s="7" t="s">
        <v>195</v>
      </c>
      <c r="I181" s="7" t="s">
        <v>195</v>
      </c>
      <c r="J181" s="7" t="s">
        <v>195</v>
      </c>
      <c r="K181" s="7" t="s">
        <v>195</v>
      </c>
      <c r="L181" s="7" t="s">
        <v>195</v>
      </c>
      <c r="M181" s="7" t="s">
        <v>29</v>
      </c>
      <c r="N181" s="7" t="s">
        <v>29</v>
      </c>
      <c r="O181" s="7" t="s">
        <v>29</v>
      </c>
      <c r="P181" s="7" t="s">
        <v>29</v>
      </c>
      <c r="Q181" s="7" t="s">
        <v>29</v>
      </c>
      <c r="R181" s="7" t="s">
        <v>29</v>
      </c>
      <c r="S181" s="7" t="s">
        <v>29</v>
      </c>
    </row>
    <row r="182" spans="2:19">
      <c r="B182" s="7" t="s">
        <v>195</v>
      </c>
      <c r="C182" s="8" t="s">
        <v>195</v>
      </c>
      <c r="D182" s="6" t="str">
        <f>LRTRIM(CONCATENATE(IF(SUMPRODUCT(-- ISNUMBER(SEARCH({"Auto Number"}, $B182))) &gt; 0, $B182, IF(SUMPRODUCT(-- ISNUMBER(SEARCH({"Lookup","Master-Detail"}, $B182))) &gt; 0,$B182 &amp; "(" &amp; $E182 &amp; ")",IF(SUMPRODUCT(-- ISNUMBER(SEARCH({"Formula","Roll-Up Summary"}, $B182))) &gt; 0,$B182 &amp; " (" &amp; $E182 &amp; ")",IF(SUMPRODUCT(-- ISNUMBER(SEARCH({"Content","Currency","Number","Percent","Text","URL"}, $B182))) &gt; 0,$B182 &amp; "(" &amp; $C182 &amp; ")",$B182)))), "  ", TRIM(IF($S182 = "YES", "(External ID)", "") &amp; " " &amp; IF(SUMPRODUCT(-- ISNUMBER(SEARCH({"Unique","Unique Case Insensitive"}, $R182))) &gt; 0, "(" &amp; $R182 &amp; ")", ""))))</f>
        <v>na</v>
      </c>
      <c r="E182" s="7" t="s">
        <v>195</v>
      </c>
      <c r="F182" s="7" t="s">
        <v>195</v>
      </c>
      <c r="G182" s="7" t="s">
        <v>195</v>
      </c>
      <c r="H182" s="7" t="s">
        <v>195</v>
      </c>
      <c r="I182" s="7" t="s">
        <v>195</v>
      </c>
      <c r="J182" s="7" t="s">
        <v>195</v>
      </c>
      <c r="K182" s="7" t="s">
        <v>195</v>
      </c>
      <c r="L182" s="7" t="s">
        <v>195</v>
      </c>
      <c r="M182" s="7" t="s">
        <v>29</v>
      </c>
      <c r="N182" s="7" t="s">
        <v>29</v>
      </c>
      <c r="O182" s="7" t="s">
        <v>29</v>
      </c>
      <c r="P182" s="7" t="s">
        <v>29</v>
      </c>
      <c r="Q182" s="7" t="s">
        <v>29</v>
      </c>
      <c r="R182" s="7" t="s">
        <v>29</v>
      </c>
      <c r="S182" s="7" t="s">
        <v>29</v>
      </c>
    </row>
    <row r="183" spans="2:19">
      <c r="B183" s="7" t="s">
        <v>195</v>
      </c>
      <c r="C183" s="8" t="s">
        <v>195</v>
      </c>
      <c r="D183" s="6" t="str">
        <f>LRTRIM(CONCATENATE(IF(SUMPRODUCT(-- ISNUMBER(SEARCH({"Auto Number"}, $B183))) &gt; 0, $B183, IF(SUMPRODUCT(-- ISNUMBER(SEARCH({"Lookup","Master-Detail"}, $B183))) &gt; 0,$B183 &amp; "(" &amp; $E183 &amp; ")",IF(SUMPRODUCT(-- ISNUMBER(SEARCH({"Formula","Roll-Up Summary"}, $B183))) &gt; 0,$B183 &amp; " (" &amp; $E183 &amp; ")",IF(SUMPRODUCT(-- ISNUMBER(SEARCH({"Content","Currency","Number","Percent","Text","URL"}, $B183))) &gt; 0,$B183 &amp; "(" &amp; $C183 &amp; ")",$B183)))), "  ", TRIM(IF($S183 = "YES", "(External ID)", "") &amp; " " &amp; IF(SUMPRODUCT(-- ISNUMBER(SEARCH({"Unique","Unique Case Insensitive"}, $R183))) &gt; 0, "(" &amp; $R183 &amp; ")", ""))))</f>
        <v>na</v>
      </c>
      <c r="E183" s="7" t="s">
        <v>195</v>
      </c>
      <c r="F183" s="7" t="s">
        <v>195</v>
      </c>
      <c r="G183" s="7" t="s">
        <v>195</v>
      </c>
      <c r="H183" s="7" t="s">
        <v>195</v>
      </c>
      <c r="I183" s="7" t="s">
        <v>195</v>
      </c>
      <c r="J183" s="7" t="s">
        <v>195</v>
      </c>
      <c r="K183" s="7" t="s">
        <v>195</v>
      </c>
      <c r="L183" s="7" t="s">
        <v>195</v>
      </c>
      <c r="M183" s="7" t="s">
        <v>29</v>
      </c>
      <c r="N183" s="7" t="s">
        <v>29</v>
      </c>
      <c r="O183" s="7" t="s">
        <v>29</v>
      </c>
      <c r="P183" s="7" t="s">
        <v>29</v>
      </c>
      <c r="Q183" s="7" t="s">
        <v>29</v>
      </c>
      <c r="R183" s="7" t="s">
        <v>29</v>
      </c>
      <c r="S183" s="7" t="s">
        <v>29</v>
      </c>
    </row>
    <row r="184" spans="2:19">
      <c r="B184" s="7" t="s">
        <v>195</v>
      </c>
      <c r="C184" s="8" t="s">
        <v>195</v>
      </c>
      <c r="D184" s="6" t="str">
        <f>LRTRIM(CONCATENATE(IF(SUMPRODUCT(-- ISNUMBER(SEARCH({"Auto Number"}, $B184))) &gt; 0, $B184, IF(SUMPRODUCT(-- ISNUMBER(SEARCH({"Lookup","Master-Detail"}, $B184))) &gt; 0,$B184 &amp; "(" &amp; $E184 &amp; ")",IF(SUMPRODUCT(-- ISNUMBER(SEARCH({"Formula","Roll-Up Summary"}, $B184))) &gt; 0,$B184 &amp; " (" &amp; $E184 &amp; ")",IF(SUMPRODUCT(-- ISNUMBER(SEARCH({"Content","Currency","Number","Percent","Text","URL"}, $B184))) &gt; 0,$B184 &amp; "(" &amp; $C184 &amp; ")",$B184)))), "  ", TRIM(IF($S184 = "YES", "(External ID)", "") &amp; " " &amp; IF(SUMPRODUCT(-- ISNUMBER(SEARCH({"Unique","Unique Case Insensitive"}, $R184))) &gt; 0, "(" &amp; $R184 &amp; ")", ""))))</f>
        <v>na</v>
      </c>
      <c r="E184" s="7" t="s">
        <v>195</v>
      </c>
      <c r="F184" s="7" t="s">
        <v>195</v>
      </c>
      <c r="G184" s="7" t="s">
        <v>195</v>
      </c>
      <c r="H184" s="7" t="s">
        <v>195</v>
      </c>
      <c r="I184" s="7" t="s">
        <v>195</v>
      </c>
      <c r="J184" s="7" t="s">
        <v>195</v>
      </c>
      <c r="K184" s="7" t="s">
        <v>195</v>
      </c>
      <c r="L184" s="7" t="s">
        <v>195</v>
      </c>
      <c r="M184" s="7" t="s">
        <v>29</v>
      </c>
      <c r="N184" s="7" t="s">
        <v>29</v>
      </c>
      <c r="O184" s="7" t="s">
        <v>29</v>
      </c>
      <c r="P184" s="7" t="s">
        <v>29</v>
      </c>
      <c r="Q184" s="7" t="s">
        <v>29</v>
      </c>
      <c r="R184" s="7" t="s">
        <v>29</v>
      </c>
      <c r="S184" s="7" t="s">
        <v>29</v>
      </c>
    </row>
    <row r="185" spans="2:19">
      <c r="B185" s="7" t="s">
        <v>195</v>
      </c>
      <c r="C185" s="8" t="s">
        <v>195</v>
      </c>
      <c r="D185" s="6" t="str">
        <f>LRTRIM(CONCATENATE(IF(SUMPRODUCT(-- ISNUMBER(SEARCH({"Auto Number"}, $B185))) &gt; 0, $B185, IF(SUMPRODUCT(-- ISNUMBER(SEARCH({"Lookup","Master-Detail"}, $B185))) &gt; 0,$B185 &amp; "(" &amp; $E185 &amp; ")",IF(SUMPRODUCT(-- ISNUMBER(SEARCH({"Formula","Roll-Up Summary"}, $B185))) &gt; 0,$B185 &amp; " (" &amp; $E185 &amp; ")",IF(SUMPRODUCT(-- ISNUMBER(SEARCH({"Content","Currency","Number","Percent","Text","URL"}, $B185))) &gt; 0,$B185 &amp; "(" &amp; $C185 &amp; ")",$B185)))), "  ", TRIM(IF($S185 = "YES", "(External ID)", "") &amp; " " &amp; IF(SUMPRODUCT(-- ISNUMBER(SEARCH({"Unique","Unique Case Insensitive"}, $R185))) &gt; 0, "(" &amp; $R185 &amp; ")", ""))))</f>
        <v>na</v>
      </c>
      <c r="E185" s="7" t="s">
        <v>195</v>
      </c>
      <c r="F185" s="7" t="s">
        <v>195</v>
      </c>
      <c r="G185" s="7" t="s">
        <v>195</v>
      </c>
      <c r="H185" s="7" t="s">
        <v>195</v>
      </c>
      <c r="I185" s="7" t="s">
        <v>195</v>
      </c>
      <c r="J185" s="7" t="s">
        <v>195</v>
      </c>
      <c r="K185" s="7" t="s">
        <v>195</v>
      </c>
      <c r="L185" s="7" t="s">
        <v>195</v>
      </c>
      <c r="M185" s="7" t="s">
        <v>29</v>
      </c>
      <c r="N185" s="7" t="s">
        <v>29</v>
      </c>
      <c r="O185" s="7" t="s">
        <v>29</v>
      </c>
      <c r="P185" s="7" t="s">
        <v>29</v>
      </c>
      <c r="Q185" s="7" t="s">
        <v>29</v>
      </c>
      <c r="R185" s="7" t="s">
        <v>29</v>
      </c>
      <c r="S185" s="7" t="s">
        <v>29</v>
      </c>
    </row>
    <row r="186" spans="2:19">
      <c r="B186" s="7" t="s">
        <v>195</v>
      </c>
      <c r="C186" s="8" t="s">
        <v>195</v>
      </c>
      <c r="D186" s="6" t="str">
        <f>LRTRIM(CONCATENATE(IF(SUMPRODUCT(-- ISNUMBER(SEARCH({"Auto Number"}, $B186))) &gt; 0, $B186, IF(SUMPRODUCT(-- ISNUMBER(SEARCH({"Lookup","Master-Detail"}, $B186))) &gt; 0,$B186 &amp; "(" &amp; $E186 &amp; ")",IF(SUMPRODUCT(-- ISNUMBER(SEARCH({"Formula","Roll-Up Summary"}, $B186))) &gt; 0,$B186 &amp; " (" &amp; $E186 &amp; ")",IF(SUMPRODUCT(-- ISNUMBER(SEARCH({"Content","Currency","Number","Percent","Text","URL"}, $B186))) &gt; 0,$B186 &amp; "(" &amp; $C186 &amp; ")",$B186)))), "  ", TRIM(IF($S186 = "YES", "(External ID)", "") &amp; " " &amp; IF(SUMPRODUCT(-- ISNUMBER(SEARCH({"Unique","Unique Case Insensitive"}, $R186))) &gt; 0, "(" &amp; $R186 &amp; ")", ""))))</f>
        <v>na</v>
      </c>
      <c r="E186" s="7" t="s">
        <v>195</v>
      </c>
      <c r="F186" s="7" t="s">
        <v>195</v>
      </c>
      <c r="G186" s="7" t="s">
        <v>195</v>
      </c>
      <c r="H186" s="7" t="s">
        <v>195</v>
      </c>
      <c r="I186" s="7" t="s">
        <v>195</v>
      </c>
      <c r="J186" s="7" t="s">
        <v>195</v>
      </c>
      <c r="K186" s="7" t="s">
        <v>195</v>
      </c>
      <c r="L186" s="7" t="s">
        <v>195</v>
      </c>
      <c r="M186" s="7" t="s">
        <v>29</v>
      </c>
      <c r="N186" s="7" t="s">
        <v>29</v>
      </c>
      <c r="O186" s="7" t="s">
        <v>29</v>
      </c>
      <c r="P186" s="7" t="s">
        <v>29</v>
      </c>
      <c r="Q186" s="7" t="s">
        <v>29</v>
      </c>
      <c r="R186" s="7" t="s">
        <v>29</v>
      </c>
      <c r="S186" s="7" t="s">
        <v>29</v>
      </c>
    </row>
    <row r="187" spans="2:19">
      <c r="B187" s="7" t="s">
        <v>195</v>
      </c>
      <c r="C187" s="8" t="s">
        <v>195</v>
      </c>
      <c r="D187" s="6" t="str">
        <f>LRTRIM(CONCATENATE(IF(SUMPRODUCT(-- ISNUMBER(SEARCH({"Auto Number"}, $B187))) &gt; 0, $B187, IF(SUMPRODUCT(-- ISNUMBER(SEARCH({"Lookup","Master-Detail"}, $B187))) &gt; 0,$B187 &amp; "(" &amp; $E187 &amp; ")",IF(SUMPRODUCT(-- ISNUMBER(SEARCH({"Formula","Roll-Up Summary"}, $B187))) &gt; 0,$B187 &amp; " (" &amp; $E187 &amp; ")",IF(SUMPRODUCT(-- ISNUMBER(SEARCH({"Content","Currency","Number","Percent","Text","URL"}, $B187))) &gt; 0,$B187 &amp; "(" &amp; $C187 &amp; ")",$B187)))), "  ", TRIM(IF($S187 = "YES", "(External ID)", "") &amp; " " &amp; IF(SUMPRODUCT(-- ISNUMBER(SEARCH({"Unique","Unique Case Insensitive"}, $R187))) &gt; 0, "(" &amp; $R187 &amp; ")", ""))))</f>
        <v>na</v>
      </c>
      <c r="E187" s="7" t="s">
        <v>195</v>
      </c>
      <c r="F187" s="7" t="s">
        <v>195</v>
      </c>
      <c r="G187" s="7" t="s">
        <v>195</v>
      </c>
      <c r="H187" s="7" t="s">
        <v>195</v>
      </c>
      <c r="I187" s="7" t="s">
        <v>195</v>
      </c>
      <c r="J187" s="7" t="s">
        <v>195</v>
      </c>
      <c r="K187" s="7" t="s">
        <v>195</v>
      </c>
      <c r="L187" s="7" t="s">
        <v>195</v>
      </c>
      <c r="M187" s="7" t="s">
        <v>29</v>
      </c>
      <c r="N187" s="7" t="s">
        <v>29</v>
      </c>
      <c r="O187" s="7" t="s">
        <v>29</v>
      </c>
      <c r="P187" s="7" t="s">
        <v>29</v>
      </c>
      <c r="Q187" s="7" t="s">
        <v>29</v>
      </c>
      <c r="R187" s="7" t="s">
        <v>29</v>
      </c>
      <c r="S187" s="7" t="s">
        <v>29</v>
      </c>
    </row>
    <row r="188" spans="2:19">
      <c r="B188" s="7" t="s">
        <v>195</v>
      </c>
      <c r="C188" s="8" t="s">
        <v>195</v>
      </c>
      <c r="D188" s="6" t="str">
        <f>LRTRIM(CONCATENATE(IF(SUMPRODUCT(-- ISNUMBER(SEARCH({"Auto Number"}, $B188))) &gt; 0, $B188, IF(SUMPRODUCT(-- ISNUMBER(SEARCH({"Lookup","Master-Detail"}, $B188))) &gt; 0,$B188 &amp; "(" &amp; $E188 &amp; ")",IF(SUMPRODUCT(-- ISNUMBER(SEARCH({"Formula","Roll-Up Summary"}, $B188))) &gt; 0,$B188 &amp; " (" &amp; $E188 &amp; ")",IF(SUMPRODUCT(-- ISNUMBER(SEARCH({"Content","Currency","Number","Percent","Text","URL"}, $B188))) &gt; 0,$B188 &amp; "(" &amp; $C188 &amp; ")",$B188)))), "  ", TRIM(IF($S188 = "YES", "(External ID)", "") &amp; " " &amp; IF(SUMPRODUCT(-- ISNUMBER(SEARCH({"Unique","Unique Case Insensitive"}, $R188))) &gt; 0, "(" &amp; $R188 &amp; ")", ""))))</f>
        <v>na</v>
      </c>
      <c r="E188" s="7" t="s">
        <v>195</v>
      </c>
      <c r="F188" s="7" t="s">
        <v>195</v>
      </c>
      <c r="G188" s="7" t="s">
        <v>195</v>
      </c>
      <c r="H188" s="7" t="s">
        <v>195</v>
      </c>
      <c r="I188" s="7" t="s">
        <v>195</v>
      </c>
      <c r="J188" s="7" t="s">
        <v>195</v>
      </c>
      <c r="K188" s="7" t="s">
        <v>195</v>
      </c>
      <c r="L188" s="7" t="s">
        <v>195</v>
      </c>
      <c r="M188" s="7" t="s">
        <v>29</v>
      </c>
      <c r="N188" s="7" t="s">
        <v>29</v>
      </c>
      <c r="O188" s="7" t="s">
        <v>29</v>
      </c>
      <c r="P188" s="7" t="s">
        <v>29</v>
      </c>
      <c r="Q188" s="7" t="s">
        <v>29</v>
      </c>
      <c r="R188" s="7" t="s">
        <v>29</v>
      </c>
      <c r="S188" s="7" t="s">
        <v>29</v>
      </c>
    </row>
    <row r="189" spans="2:19">
      <c r="B189" s="7" t="s">
        <v>195</v>
      </c>
      <c r="C189" s="8" t="s">
        <v>195</v>
      </c>
      <c r="D189" s="6" t="str">
        <f>LRTRIM(CONCATENATE(IF(SUMPRODUCT(-- ISNUMBER(SEARCH({"Auto Number"}, $B189))) &gt; 0, $B189, IF(SUMPRODUCT(-- ISNUMBER(SEARCH({"Lookup","Master-Detail"}, $B189))) &gt; 0,$B189 &amp; "(" &amp; $E189 &amp; ")",IF(SUMPRODUCT(-- ISNUMBER(SEARCH({"Formula","Roll-Up Summary"}, $B189))) &gt; 0,$B189 &amp; " (" &amp; $E189 &amp; ")",IF(SUMPRODUCT(-- ISNUMBER(SEARCH({"Content","Currency","Number","Percent","Text","URL"}, $B189))) &gt; 0,$B189 &amp; "(" &amp; $C189 &amp; ")",$B189)))), "  ", TRIM(IF($S189 = "YES", "(External ID)", "") &amp; " " &amp; IF(SUMPRODUCT(-- ISNUMBER(SEARCH({"Unique","Unique Case Insensitive"}, $R189))) &gt; 0, "(" &amp; $R189 &amp; ")", ""))))</f>
        <v>na</v>
      </c>
      <c r="E189" s="7" t="s">
        <v>195</v>
      </c>
      <c r="F189" s="7" t="s">
        <v>195</v>
      </c>
      <c r="G189" s="7" t="s">
        <v>195</v>
      </c>
      <c r="H189" s="7" t="s">
        <v>195</v>
      </c>
      <c r="I189" s="7" t="s">
        <v>195</v>
      </c>
      <c r="J189" s="7" t="s">
        <v>195</v>
      </c>
      <c r="K189" s="7" t="s">
        <v>195</v>
      </c>
      <c r="L189" s="7" t="s">
        <v>195</v>
      </c>
      <c r="M189" s="7" t="s">
        <v>29</v>
      </c>
      <c r="N189" s="7" t="s">
        <v>29</v>
      </c>
      <c r="O189" s="7" t="s">
        <v>29</v>
      </c>
      <c r="P189" s="7" t="s">
        <v>29</v>
      </c>
      <c r="Q189" s="7" t="s">
        <v>29</v>
      </c>
      <c r="R189" s="7" t="s">
        <v>29</v>
      </c>
      <c r="S189" s="7" t="s">
        <v>29</v>
      </c>
    </row>
    <row r="190" spans="2:19">
      <c r="B190" s="7" t="s">
        <v>195</v>
      </c>
      <c r="C190" s="8" t="s">
        <v>195</v>
      </c>
      <c r="D190" s="6" t="str">
        <f>LRTRIM(CONCATENATE(IF(SUMPRODUCT(-- ISNUMBER(SEARCH({"Auto Number"}, $B190))) &gt; 0, $B190, IF(SUMPRODUCT(-- ISNUMBER(SEARCH({"Lookup","Master-Detail"}, $B190))) &gt; 0,$B190 &amp; "(" &amp; $E190 &amp; ")",IF(SUMPRODUCT(-- ISNUMBER(SEARCH({"Formula","Roll-Up Summary"}, $B190))) &gt; 0,$B190 &amp; " (" &amp; $E190 &amp; ")",IF(SUMPRODUCT(-- ISNUMBER(SEARCH({"Content","Currency","Number","Percent","Text","URL"}, $B190))) &gt; 0,$B190 &amp; "(" &amp; $C190 &amp; ")",$B190)))), "  ", TRIM(IF($S190 = "YES", "(External ID)", "") &amp; " " &amp; IF(SUMPRODUCT(-- ISNUMBER(SEARCH({"Unique","Unique Case Insensitive"}, $R190))) &gt; 0, "(" &amp; $R190 &amp; ")", ""))))</f>
        <v>na</v>
      </c>
      <c r="E190" s="7" t="s">
        <v>195</v>
      </c>
      <c r="F190" s="7" t="s">
        <v>195</v>
      </c>
      <c r="G190" s="7" t="s">
        <v>195</v>
      </c>
      <c r="H190" s="7" t="s">
        <v>195</v>
      </c>
      <c r="I190" s="7" t="s">
        <v>195</v>
      </c>
      <c r="J190" s="7" t="s">
        <v>195</v>
      </c>
      <c r="K190" s="7" t="s">
        <v>195</v>
      </c>
      <c r="L190" s="7" t="s">
        <v>195</v>
      </c>
      <c r="M190" s="7" t="s">
        <v>29</v>
      </c>
      <c r="N190" s="7" t="s">
        <v>29</v>
      </c>
      <c r="O190" s="7" t="s">
        <v>29</v>
      </c>
      <c r="P190" s="7" t="s">
        <v>29</v>
      </c>
      <c r="Q190" s="7" t="s">
        <v>29</v>
      </c>
      <c r="R190" s="7" t="s">
        <v>29</v>
      </c>
      <c r="S190" s="7" t="s">
        <v>29</v>
      </c>
    </row>
    <row r="191" spans="2:19">
      <c r="B191" s="7" t="s">
        <v>195</v>
      </c>
      <c r="C191" s="8" t="s">
        <v>195</v>
      </c>
      <c r="D191" s="6" t="str">
        <f>LRTRIM(CONCATENATE(IF(SUMPRODUCT(-- ISNUMBER(SEARCH({"Auto Number"}, $B191))) &gt; 0, $B191, IF(SUMPRODUCT(-- ISNUMBER(SEARCH({"Lookup","Master-Detail"}, $B191))) &gt; 0,$B191 &amp; "(" &amp; $E191 &amp; ")",IF(SUMPRODUCT(-- ISNUMBER(SEARCH({"Formula","Roll-Up Summary"}, $B191))) &gt; 0,$B191 &amp; " (" &amp; $E191 &amp; ")",IF(SUMPRODUCT(-- ISNUMBER(SEARCH({"Content","Currency","Number","Percent","Text","URL"}, $B191))) &gt; 0,$B191 &amp; "(" &amp; $C191 &amp; ")",$B191)))), "  ", TRIM(IF($S191 = "YES", "(External ID)", "") &amp; " " &amp; IF(SUMPRODUCT(-- ISNUMBER(SEARCH({"Unique","Unique Case Insensitive"}, $R191))) &gt; 0, "(" &amp; $R191 &amp; ")", ""))))</f>
        <v>na</v>
      </c>
      <c r="E191" s="7" t="s">
        <v>195</v>
      </c>
      <c r="F191" s="7" t="s">
        <v>195</v>
      </c>
      <c r="G191" s="7" t="s">
        <v>195</v>
      </c>
      <c r="H191" s="7" t="s">
        <v>195</v>
      </c>
      <c r="I191" s="7" t="s">
        <v>195</v>
      </c>
      <c r="J191" s="7" t="s">
        <v>195</v>
      </c>
      <c r="K191" s="7" t="s">
        <v>195</v>
      </c>
      <c r="L191" s="7" t="s">
        <v>195</v>
      </c>
      <c r="M191" s="7" t="s">
        <v>29</v>
      </c>
      <c r="N191" s="7" t="s">
        <v>29</v>
      </c>
      <c r="O191" s="7" t="s">
        <v>29</v>
      </c>
      <c r="P191" s="7" t="s">
        <v>29</v>
      </c>
      <c r="Q191" s="7" t="s">
        <v>29</v>
      </c>
      <c r="R191" s="7" t="s">
        <v>29</v>
      </c>
      <c r="S191" s="7" t="s">
        <v>29</v>
      </c>
    </row>
    <row r="192" spans="2:19">
      <c r="B192" s="7" t="s">
        <v>195</v>
      </c>
      <c r="C192" s="8" t="s">
        <v>195</v>
      </c>
      <c r="D192" s="6" t="str">
        <f>LRTRIM(CONCATENATE(IF(SUMPRODUCT(-- ISNUMBER(SEARCH({"Auto Number"}, $B192))) &gt; 0, $B192, IF(SUMPRODUCT(-- ISNUMBER(SEARCH({"Lookup","Master-Detail"}, $B192))) &gt; 0,$B192 &amp; "(" &amp; $E192 &amp; ")",IF(SUMPRODUCT(-- ISNUMBER(SEARCH({"Formula","Roll-Up Summary"}, $B192))) &gt; 0,$B192 &amp; " (" &amp; $E192 &amp; ")",IF(SUMPRODUCT(-- ISNUMBER(SEARCH({"Content","Currency","Number","Percent","Text","URL"}, $B192))) &gt; 0,$B192 &amp; "(" &amp; $C192 &amp; ")",$B192)))), "  ", TRIM(IF($S192 = "YES", "(External ID)", "") &amp; " " &amp; IF(SUMPRODUCT(-- ISNUMBER(SEARCH({"Unique","Unique Case Insensitive"}, $R192))) &gt; 0, "(" &amp; $R192 &amp; ")", ""))))</f>
        <v>na</v>
      </c>
      <c r="E192" s="7" t="s">
        <v>195</v>
      </c>
      <c r="F192" s="7" t="s">
        <v>195</v>
      </c>
      <c r="G192" s="7" t="s">
        <v>195</v>
      </c>
      <c r="H192" s="7" t="s">
        <v>195</v>
      </c>
      <c r="I192" s="7" t="s">
        <v>195</v>
      </c>
      <c r="J192" s="7" t="s">
        <v>195</v>
      </c>
      <c r="K192" s="7" t="s">
        <v>195</v>
      </c>
      <c r="L192" s="7" t="s">
        <v>195</v>
      </c>
      <c r="M192" s="7" t="s">
        <v>29</v>
      </c>
      <c r="N192" s="7" t="s">
        <v>29</v>
      </c>
      <c r="O192" s="7" t="s">
        <v>29</v>
      </c>
      <c r="P192" s="7" t="s">
        <v>29</v>
      </c>
      <c r="Q192" s="7" t="s">
        <v>29</v>
      </c>
      <c r="R192" s="7" t="s">
        <v>29</v>
      </c>
      <c r="S192" s="7" t="s">
        <v>29</v>
      </c>
    </row>
    <row r="193" spans="2:19">
      <c r="B193" s="7" t="s">
        <v>195</v>
      </c>
      <c r="C193" s="8" t="s">
        <v>195</v>
      </c>
      <c r="D193" s="6" t="str">
        <f>LRTRIM(CONCATENATE(IF(SUMPRODUCT(-- ISNUMBER(SEARCH({"Auto Number"}, $B193))) &gt; 0, $B193, IF(SUMPRODUCT(-- ISNUMBER(SEARCH({"Lookup","Master-Detail"}, $B193))) &gt; 0,$B193 &amp; "(" &amp; $E193 &amp; ")",IF(SUMPRODUCT(-- ISNUMBER(SEARCH({"Formula","Roll-Up Summary"}, $B193))) &gt; 0,$B193 &amp; " (" &amp; $E193 &amp; ")",IF(SUMPRODUCT(-- ISNUMBER(SEARCH({"Content","Currency","Number","Percent","Text","URL"}, $B193))) &gt; 0,$B193 &amp; "(" &amp; $C193 &amp; ")",$B193)))), "  ", TRIM(IF($S193 = "YES", "(External ID)", "") &amp; " " &amp; IF(SUMPRODUCT(-- ISNUMBER(SEARCH({"Unique","Unique Case Insensitive"}, $R193))) &gt; 0, "(" &amp; $R193 &amp; ")", ""))))</f>
        <v>na</v>
      </c>
      <c r="E193" s="7" t="s">
        <v>195</v>
      </c>
      <c r="F193" s="7" t="s">
        <v>195</v>
      </c>
      <c r="G193" s="7" t="s">
        <v>195</v>
      </c>
      <c r="H193" s="7" t="s">
        <v>195</v>
      </c>
      <c r="I193" s="7" t="s">
        <v>195</v>
      </c>
      <c r="J193" s="7" t="s">
        <v>195</v>
      </c>
      <c r="K193" s="7" t="s">
        <v>195</v>
      </c>
      <c r="L193" s="7" t="s">
        <v>195</v>
      </c>
      <c r="M193" s="7" t="s">
        <v>29</v>
      </c>
      <c r="N193" s="7" t="s">
        <v>29</v>
      </c>
      <c r="O193" s="7" t="s">
        <v>29</v>
      </c>
      <c r="P193" s="7" t="s">
        <v>29</v>
      </c>
      <c r="Q193" s="7" t="s">
        <v>29</v>
      </c>
      <c r="R193" s="7" t="s">
        <v>29</v>
      </c>
      <c r="S193" s="7" t="s">
        <v>29</v>
      </c>
    </row>
    <row r="194" spans="2:19">
      <c r="B194" s="7" t="s">
        <v>195</v>
      </c>
      <c r="C194" s="8" t="s">
        <v>195</v>
      </c>
      <c r="D194" s="6" t="str">
        <f>LRTRIM(CONCATENATE(IF(SUMPRODUCT(-- ISNUMBER(SEARCH({"Auto Number"}, $B194))) &gt; 0, $B194, IF(SUMPRODUCT(-- ISNUMBER(SEARCH({"Lookup","Master-Detail"}, $B194))) &gt; 0,$B194 &amp; "(" &amp; $E194 &amp; ")",IF(SUMPRODUCT(-- ISNUMBER(SEARCH({"Formula","Roll-Up Summary"}, $B194))) &gt; 0,$B194 &amp; " (" &amp; $E194 &amp; ")",IF(SUMPRODUCT(-- ISNUMBER(SEARCH({"Content","Currency","Number","Percent","Text","URL"}, $B194))) &gt; 0,$B194 &amp; "(" &amp; $C194 &amp; ")",$B194)))), "  ", TRIM(IF($S194 = "YES", "(External ID)", "") &amp; " " &amp; IF(SUMPRODUCT(-- ISNUMBER(SEARCH({"Unique","Unique Case Insensitive"}, $R194))) &gt; 0, "(" &amp; $R194 &amp; ")", ""))))</f>
        <v>na</v>
      </c>
      <c r="E194" s="7" t="s">
        <v>195</v>
      </c>
      <c r="F194" s="7" t="s">
        <v>195</v>
      </c>
      <c r="G194" s="7" t="s">
        <v>195</v>
      </c>
      <c r="H194" s="7" t="s">
        <v>195</v>
      </c>
      <c r="I194" s="7" t="s">
        <v>195</v>
      </c>
      <c r="J194" s="7" t="s">
        <v>195</v>
      </c>
      <c r="K194" s="7" t="s">
        <v>195</v>
      </c>
      <c r="L194" s="7" t="s">
        <v>195</v>
      </c>
      <c r="M194" s="7" t="s">
        <v>29</v>
      </c>
      <c r="N194" s="7" t="s">
        <v>29</v>
      </c>
      <c r="O194" s="7" t="s">
        <v>29</v>
      </c>
      <c r="P194" s="7" t="s">
        <v>29</v>
      </c>
      <c r="Q194" s="7" t="s">
        <v>29</v>
      </c>
      <c r="R194" s="7" t="s">
        <v>29</v>
      </c>
      <c r="S194" s="7" t="s">
        <v>29</v>
      </c>
    </row>
    <row r="195" spans="2:19">
      <c r="B195" s="7" t="s">
        <v>195</v>
      </c>
      <c r="C195" s="8" t="s">
        <v>195</v>
      </c>
      <c r="D195" s="6" t="str">
        <f>LRTRIM(CONCATENATE(IF(SUMPRODUCT(-- ISNUMBER(SEARCH({"Auto Number"}, $B195))) &gt; 0, $B195, IF(SUMPRODUCT(-- ISNUMBER(SEARCH({"Lookup","Master-Detail"}, $B195))) &gt; 0,$B195 &amp; "(" &amp; $E195 &amp; ")",IF(SUMPRODUCT(-- ISNUMBER(SEARCH({"Formula","Roll-Up Summary"}, $B195))) &gt; 0,$B195 &amp; " (" &amp; $E195 &amp; ")",IF(SUMPRODUCT(-- ISNUMBER(SEARCH({"Content","Currency","Number","Percent","Text","URL"}, $B195))) &gt; 0,$B195 &amp; "(" &amp; $C195 &amp; ")",$B195)))), "  ", TRIM(IF($S195 = "YES", "(External ID)", "") &amp; " " &amp; IF(SUMPRODUCT(-- ISNUMBER(SEARCH({"Unique","Unique Case Insensitive"}, $R195))) &gt; 0, "(" &amp; $R195 &amp; ")", ""))))</f>
        <v>na</v>
      </c>
      <c r="E195" s="7" t="s">
        <v>195</v>
      </c>
      <c r="F195" s="7" t="s">
        <v>195</v>
      </c>
      <c r="G195" s="7" t="s">
        <v>195</v>
      </c>
      <c r="H195" s="7" t="s">
        <v>195</v>
      </c>
      <c r="I195" s="7" t="s">
        <v>195</v>
      </c>
      <c r="J195" s="7" t="s">
        <v>195</v>
      </c>
      <c r="K195" s="7" t="s">
        <v>195</v>
      </c>
      <c r="L195" s="7" t="s">
        <v>195</v>
      </c>
      <c r="M195" s="7" t="s">
        <v>29</v>
      </c>
      <c r="N195" s="7" t="s">
        <v>29</v>
      </c>
      <c r="O195" s="7" t="s">
        <v>29</v>
      </c>
      <c r="P195" s="7" t="s">
        <v>29</v>
      </c>
      <c r="Q195" s="7" t="s">
        <v>29</v>
      </c>
      <c r="R195" s="7" t="s">
        <v>29</v>
      </c>
      <c r="S195" s="7" t="s">
        <v>29</v>
      </c>
    </row>
    <row r="196" spans="2:19">
      <c r="B196" s="7" t="s">
        <v>195</v>
      </c>
      <c r="C196" s="8" t="s">
        <v>195</v>
      </c>
      <c r="D196" s="6" t="str">
        <f>LRTRIM(CONCATENATE(IF(SUMPRODUCT(-- ISNUMBER(SEARCH({"Auto Number"}, $B196))) &gt; 0, $B196, IF(SUMPRODUCT(-- ISNUMBER(SEARCH({"Lookup","Master-Detail"}, $B196))) &gt; 0,$B196 &amp; "(" &amp; $E196 &amp; ")",IF(SUMPRODUCT(-- ISNUMBER(SEARCH({"Formula","Roll-Up Summary"}, $B196))) &gt; 0,$B196 &amp; " (" &amp; $E196 &amp; ")",IF(SUMPRODUCT(-- ISNUMBER(SEARCH({"Content","Currency","Number","Percent","Text","URL"}, $B196))) &gt; 0,$B196 &amp; "(" &amp; $C196 &amp; ")",$B196)))), "  ", TRIM(IF($S196 = "YES", "(External ID)", "") &amp; " " &amp; IF(SUMPRODUCT(-- ISNUMBER(SEARCH({"Unique","Unique Case Insensitive"}, $R196))) &gt; 0, "(" &amp; $R196 &amp; ")", ""))))</f>
        <v>na</v>
      </c>
      <c r="E196" s="7" t="s">
        <v>195</v>
      </c>
      <c r="F196" s="7" t="s">
        <v>195</v>
      </c>
      <c r="G196" s="7" t="s">
        <v>195</v>
      </c>
      <c r="H196" s="7" t="s">
        <v>195</v>
      </c>
      <c r="I196" s="7" t="s">
        <v>195</v>
      </c>
      <c r="J196" s="7" t="s">
        <v>195</v>
      </c>
      <c r="K196" s="7" t="s">
        <v>195</v>
      </c>
      <c r="L196" s="7" t="s">
        <v>195</v>
      </c>
      <c r="M196" s="7" t="s">
        <v>29</v>
      </c>
      <c r="N196" s="7" t="s">
        <v>29</v>
      </c>
      <c r="O196" s="7" t="s">
        <v>29</v>
      </c>
      <c r="P196" s="7" t="s">
        <v>29</v>
      </c>
      <c r="Q196" s="7" t="s">
        <v>29</v>
      </c>
      <c r="R196" s="7" t="s">
        <v>29</v>
      </c>
      <c r="S196" s="7" t="s">
        <v>29</v>
      </c>
    </row>
    <row r="197" spans="2:19">
      <c r="B197" s="7" t="s">
        <v>195</v>
      </c>
      <c r="C197" s="8" t="s">
        <v>195</v>
      </c>
      <c r="D197" s="6" t="str">
        <f>LRTRIM(CONCATENATE(IF(SUMPRODUCT(-- ISNUMBER(SEARCH({"Auto Number"}, $B197))) &gt; 0, $B197, IF(SUMPRODUCT(-- ISNUMBER(SEARCH({"Lookup","Master-Detail"}, $B197))) &gt; 0,$B197 &amp; "(" &amp; $E197 &amp; ")",IF(SUMPRODUCT(-- ISNUMBER(SEARCH({"Formula","Roll-Up Summary"}, $B197))) &gt; 0,$B197 &amp; " (" &amp; $E197 &amp; ")",IF(SUMPRODUCT(-- ISNUMBER(SEARCH({"Content","Currency","Number","Percent","Text","URL"}, $B197))) &gt; 0,$B197 &amp; "(" &amp; $C197 &amp; ")",$B197)))), "  ", TRIM(IF($S197 = "YES", "(External ID)", "") &amp; " " &amp; IF(SUMPRODUCT(-- ISNUMBER(SEARCH({"Unique","Unique Case Insensitive"}, $R197))) &gt; 0, "(" &amp; $R197 &amp; ")", ""))))</f>
        <v>na</v>
      </c>
      <c r="E197" s="7" t="s">
        <v>195</v>
      </c>
      <c r="F197" s="7" t="s">
        <v>195</v>
      </c>
      <c r="G197" s="7" t="s">
        <v>195</v>
      </c>
      <c r="H197" s="7" t="s">
        <v>195</v>
      </c>
      <c r="I197" s="7" t="s">
        <v>195</v>
      </c>
      <c r="J197" s="7" t="s">
        <v>195</v>
      </c>
      <c r="K197" s="7" t="s">
        <v>195</v>
      </c>
      <c r="L197" s="7" t="s">
        <v>195</v>
      </c>
      <c r="M197" s="7" t="s">
        <v>29</v>
      </c>
      <c r="N197" s="7" t="s">
        <v>29</v>
      </c>
      <c r="O197" s="7" t="s">
        <v>29</v>
      </c>
      <c r="P197" s="7" t="s">
        <v>29</v>
      </c>
      <c r="Q197" s="7" t="s">
        <v>29</v>
      </c>
      <c r="R197" s="7" t="s">
        <v>29</v>
      </c>
      <c r="S197" s="7" t="s">
        <v>29</v>
      </c>
    </row>
    <row r="198" spans="2:19">
      <c r="B198" s="7" t="s">
        <v>195</v>
      </c>
      <c r="C198" s="8" t="s">
        <v>195</v>
      </c>
      <c r="D198" s="6" t="str">
        <f>LRTRIM(CONCATENATE(IF(SUMPRODUCT(-- ISNUMBER(SEARCH({"Auto Number"}, $B198))) &gt; 0, $B198, IF(SUMPRODUCT(-- ISNUMBER(SEARCH({"Lookup","Master-Detail"}, $B198))) &gt; 0,$B198 &amp; "(" &amp; $E198 &amp; ")",IF(SUMPRODUCT(-- ISNUMBER(SEARCH({"Formula","Roll-Up Summary"}, $B198))) &gt; 0,$B198 &amp; " (" &amp; $E198 &amp; ")",IF(SUMPRODUCT(-- ISNUMBER(SEARCH({"Content","Currency","Number","Percent","Text","URL"}, $B198))) &gt; 0,$B198 &amp; "(" &amp; $C198 &amp; ")",$B198)))), "  ", TRIM(IF($S198 = "YES", "(External ID)", "") &amp; " " &amp; IF(SUMPRODUCT(-- ISNUMBER(SEARCH({"Unique","Unique Case Insensitive"}, $R198))) &gt; 0, "(" &amp; $R198 &amp; ")", ""))))</f>
        <v>na</v>
      </c>
      <c r="E198" s="7" t="s">
        <v>195</v>
      </c>
      <c r="F198" s="7" t="s">
        <v>195</v>
      </c>
      <c r="G198" s="7" t="s">
        <v>195</v>
      </c>
      <c r="H198" s="7" t="s">
        <v>195</v>
      </c>
      <c r="I198" s="7" t="s">
        <v>195</v>
      </c>
      <c r="J198" s="7" t="s">
        <v>195</v>
      </c>
      <c r="K198" s="7" t="s">
        <v>195</v>
      </c>
      <c r="L198" s="7" t="s">
        <v>195</v>
      </c>
      <c r="M198" s="7" t="s">
        <v>29</v>
      </c>
      <c r="N198" s="7" t="s">
        <v>29</v>
      </c>
      <c r="O198" s="7" t="s">
        <v>29</v>
      </c>
      <c r="P198" s="7" t="s">
        <v>29</v>
      </c>
      <c r="Q198" s="7" t="s">
        <v>29</v>
      </c>
      <c r="R198" s="7" t="s">
        <v>29</v>
      </c>
      <c r="S198" s="7" t="s">
        <v>29</v>
      </c>
    </row>
    <row r="199" spans="2:19">
      <c r="B199" s="7" t="s">
        <v>195</v>
      </c>
      <c r="C199" s="8" t="s">
        <v>195</v>
      </c>
      <c r="D199" s="6" t="str">
        <f>LRTRIM(CONCATENATE(IF(SUMPRODUCT(-- ISNUMBER(SEARCH({"Auto Number"}, $B199))) &gt; 0, $B199, IF(SUMPRODUCT(-- ISNUMBER(SEARCH({"Lookup","Master-Detail"}, $B199))) &gt; 0,$B199 &amp; "(" &amp; $E199 &amp; ")",IF(SUMPRODUCT(-- ISNUMBER(SEARCH({"Formula","Roll-Up Summary"}, $B199))) &gt; 0,$B199 &amp; " (" &amp; $E199 &amp; ")",IF(SUMPRODUCT(-- ISNUMBER(SEARCH({"Content","Currency","Number","Percent","Text","URL"}, $B199))) &gt; 0,$B199 &amp; "(" &amp; $C199 &amp; ")",$B199)))), "  ", TRIM(IF($S199 = "YES", "(External ID)", "") &amp; " " &amp; IF(SUMPRODUCT(-- ISNUMBER(SEARCH({"Unique","Unique Case Insensitive"}, $R199))) &gt; 0, "(" &amp; $R199 &amp; ")", ""))))</f>
        <v>na</v>
      </c>
      <c r="E199" s="7" t="s">
        <v>195</v>
      </c>
      <c r="F199" s="7" t="s">
        <v>195</v>
      </c>
      <c r="G199" s="7" t="s">
        <v>195</v>
      </c>
      <c r="H199" s="7" t="s">
        <v>195</v>
      </c>
      <c r="I199" s="7" t="s">
        <v>195</v>
      </c>
      <c r="J199" s="7" t="s">
        <v>195</v>
      </c>
      <c r="K199" s="7" t="s">
        <v>195</v>
      </c>
      <c r="L199" s="7" t="s">
        <v>195</v>
      </c>
      <c r="M199" s="7" t="s">
        <v>29</v>
      </c>
      <c r="N199" s="7" t="s">
        <v>29</v>
      </c>
      <c r="O199" s="7" t="s">
        <v>29</v>
      </c>
      <c r="P199" s="7" t="s">
        <v>29</v>
      </c>
      <c r="Q199" s="7" t="s">
        <v>29</v>
      </c>
      <c r="R199" s="7" t="s">
        <v>29</v>
      </c>
      <c r="S199" s="7" t="s">
        <v>29</v>
      </c>
    </row>
    <row r="200" spans="2:19">
      <c r="B200" s="7" t="s">
        <v>195</v>
      </c>
      <c r="C200" s="8" t="s">
        <v>195</v>
      </c>
      <c r="D200" s="6" t="str">
        <f>LRTRIM(CONCATENATE(IF(SUMPRODUCT(-- ISNUMBER(SEARCH({"Auto Number"}, $B200))) &gt; 0, $B200, IF(SUMPRODUCT(-- ISNUMBER(SEARCH({"Lookup","Master-Detail"}, $B200))) &gt; 0,$B200 &amp; "(" &amp; $E200 &amp; ")",IF(SUMPRODUCT(-- ISNUMBER(SEARCH({"Formula","Roll-Up Summary"}, $B200))) &gt; 0,$B200 &amp; " (" &amp; $E200 &amp; ")",IF(SUMPRODUCT(-- ISNUMBER(SEARCH({"Content","Currency","Number","Percent","Text","URL"}, $B200))) &gt; 0,$B200 &amp; "(" &amp; $C200 &amp; ")",$B200)))), "  ", TRIM(IF($S200 = "YES", "(External ID)", "") &amp; " " &amp; IF(SUMPRODUCT(-- ISNUMBER(SEARCH({"Unique","Unique Case Insensitive"}, $R200))) &gt; 0, "(" &amp; $R200 &amp; ")", ""))))</f>
        <v>na</v>
      </c>
      <c r="E200" s="7" t="s">
        <v>195</v>
      </c>
      <c r="F200" s="7" t="s">
        <v>195</v>
      </c>
      <c r="G200" s="7" t="s">
        <v>195</v>
      </c>
      <c r="H200" s="7" t="s">
        <v>195</v>
      </c>
      <c r="I200" s="7" t="s">
        <v>195</v>
      </c>
      <c r="J200" s="7" t="s">
        <v>195</v>
      </c>
      <c r="K200" s="7" t="s">
        <v>195</v>
      </c>
      <c r="L200" s="7" t="s">
        <v>195</v>
      </c>
      <c r="M200" s="7" t="s">
        <v>29</v>
      </c>
      <c r="N200" s="7" t="s">
        <v>29</v>
      </c>
      <c r="O200" s="7" t="s">
        <v>29</v>
      </c>
      <c r="P200" s="7" t="s">
        <v>29</v>
      </c>
      <c r="Q200" s="7" t="s">
        <v>29</v>
      </c>
      <c r="R200" s="7" t="s">
        <v>29</v>
      </c>
      <c r="S200" s="7" t="s">
        <v>29</v>
      </c>
    </row>
  </sheetData>
  <sheetProtection formatCells="0" formatColumns="0" formatRows="0" insertColumns="0" insertRows="0" insertHyperlinks="0" deleteColumns="0" deleteRows="0" sort="0" autoFilter="0" pivotTables="0"/>
  <conditionalFormatting sqref="D2:D17">
    <cfRule type="expression" dxfId="33" priority="3">
      <formula>NOT(_xlfn.ISFORMULA($D2))</formula>
    </cfRule>
  </conditionalFormatting>
  <conditionalFormatting sqref="D18">
    <cfRule type="expression" dxfId="32" priority="2">
      <formula>NOT(_xlfn.ISFORMULA($D18))</formula>
    </cfRule>
  </conditionalFormatting>
  <conditionalFormatting sqref="D19:D200">
    <cfRule type="expression" dxfId="31" priority="1">
      <formula>NOT(_xlfn.ISFORMULA($D19))</formula>
    </cfRule>
  </conditionalFormatting>
  <dataValidations count="1">
    <dataValidation allowBlank="1" showInputMessage="1" showErrorMessage="1" sqref="A2:A17"/>
  </dataValidations>
  <pageMargins left="0.7" right="0.7" top="0.75" bottom="0.75" header="0.3" footer="0.3"/>
  <extLst>
    <ext xmlns:x14="http://schemas.microsoft.com/office/spreadsheetml/2009/9/main" uri="{CCE6A557-97BC-4b89-ADB6-D9C93CAAB3DF}">
      <x14:dataValidations xmlns:xm="http://schemas.microsoft.com/office/excel/2006/main" count="15">
        <x14:dataValidation type="list" allowBlank="1" showInputMessage="1" showErrorMessage="1">
          <x14:formula1>
            <xm:f>OFFSET('Reference Fields'!$K$2,0,0,COUNTA('Reference Fields'!$K:$K)-1)</xm:f>
          </x14:formula1>
          <xm:sqref>R2:R200</xm:sqref>
        </x14:dataValidation>
        <x14:dataValidation type="list" allowBlank="1" showInputMessage="1" showErrorMessage="1">
          <x14:formula1>
            <xm:f>OFFSET('Reference Fields'!$J$2,0,0,COUNTA('Reference Fields'!$J:$J)-1)</xm:f>
          </x14:formula1>
          <xm:sqref>Q2:Q200</xm:sqref>
        </x14:dataValidation>
        <x14:dataValidation type="list" allowBlank="1" showInputMessage="1" showErrorMessage="1">
          <x14:formula1>
            <xm:f>OFFSET('Reference Fields'!$J$2,0,0,COUNTA('Reference Fields'!$J:$J)-1)</xm:f>
          </x14:formula1>
          <xm:sqref>M2:M200</xm:sqref>
        </x14:dataValidation>
        <x14:dataValidation type="list" allowBlank="1" showInputMessage="1" showErrorMessage="1">
          <x14:formula1>
            <xm:f>OFFSET('Reference Fields'!$J$2,0,0,COUNTA('Reference Fields'!$J:$J)-1)</xm:f>
          </x14:formula1>
          <xm:sqref>N2:N200</xm:sqref>
        </x14:dataValidation>
        <x14:dataValidation type="list" allowBlank="1" showInputMessage="1" showErrorMessage="1">
          <x14:formula1>
            <xm:f>OFFSET('Reference Fields'!$J$2,0,0,COUNTA('Reference Fields'!$J:$J)-1)</xm:f>
          </x14:formula1>
          <xm:sqref>O2:O200</xm:sqref>
        </x14:dataValidation>
        <x14:dataValidation type="list" allowBlank="1" showInputMessage="1" showErrorMessage="1">
          <x14:formula1>
            <xm:f>OFFSET('Reference Fields'!$J$2,0,0,COUNTA('Reference Fields'!$J:$J)-1)</xm:f>
          </x14:formula1>
          <xm:sqref>P2:P200</xm:sqref>
        </x14:dataValidation>
        <x14:dataValidation type="list" allowBlank="1" showInputMessage="1" showErrorMessage="1">
          <x14:formula1>
            <xm:f>OFFSET('Reference Fields'!$J$2,0,0,COUNTA('Reference Fields'!$J:$J)-1)</xm:f>
          </x14:formula1>
          <xm:sqref>S2:S200</xm:sqref>
        </x14:dataValidation>
        <x14:dataValidation type="list" allowBlank="1" showInputMessage="1" showErrorMessage="1">
          <x14:formula1>
            <xm:f>OFFSET('Reference Fields'!$B$2,0,0,COUNTA('Reference Fields'!$B:$B)-1)</xm:f>
          </x14:formula1>
          <xm:sqref>B2:B200</xm:sqref>
        </x14:dataValidation>
        <x14:dataValidation type="list" allowBlank="1" showInputMessage="1" showErrorMessage="1">
          <x14:formula1>
            <xm:f>OFFSET('Reference Fields'!$D$2,0,0,COUNTA('Reference Fields'!$D:$D)-1)</xm:f>
          </x14:formula1>
          <xm:sqref>F2:F200</xm:sqref>
        </x14:dataValidation>
        <x14:dataValidation type="list" allowBlank="1" showInputMessage="1" showErrorMessage="1">
          <x14:formula1>
            <xm:f>OFFSET('Reference Fields'!$E$2,0,0,COUNTA('Reference Fields'!$E:$E)-1)</xm:f>
          </x14:formula1>
          <xm:sqref>G2:G200</xm:sqref>
        </x14:dataValidation>
        <x14:dataValidation type="list" allowBlank="1" showInputMessage="1" showErrorMessage="1">
          <x14:formula1>
            <xm:f>OFFSET('Reference Fields'!$F$2,0,0,COUNTA('Reference Fields'!$F:$F)-1)</xm:f>
          </x14:formula1>
          <xm:sqref>H2:H200</xm:sqref>
        </x14:dataValidation>
        <x14:dataValidation type="list" allowBlank="1" showInputMessage="1" showErrorMessage="1">
          <x14:formula1>
            <xm:f>OFFSET('Reference Fields'!$F$2,0,0,COUNTA('Reference Fields'!$F:$F)-1)</xm:f>
          </x14:formula1>
          <xm:sqref>I2:I200</xm:sqref>
        </x14:dataValidation>
        <x14:dataValidation type="list" allowBlank="1" showInputMessage="1" showErrorMessage="1">
          <x14:formula1>
            <xm:f>OFFSET('Reference Fields'!$G$2,0,0,COUNTA('Reference Fields'!$G:$G)-1)</xm:f>
          </x14:formula1>
          <xm:sqref>J2:J200</xm:sqref>
        </x14:dataValidation>
        <x14:dataValidation type="list" allowBlank="1" showInputMessage="1" showErrorMessage="1">
          <x14:formula1>
            <xm:f>OFFSET('Reference Fields'!$H$2,0,0,COUNTA('Reference Fields'!$H:$H)-1)</xm:f>
          </x14:formula1>
          <xm:sqref>K2:K200</xm:sqref>
        </x14:dataValidation>
        <x14:dataValidation type="list" allowBlank="1" showInputMessage="1" showErrorMessage="1">
          <x14:formula1>
            <xm:f>OFFSET('Reference Fields'!$I$2,0,0,COUNTA('Reference Fields'!$I:$I)-1)</xm:f>
          </x14:formula1>
          <xm:sqref>L2:L200</xm:sqref>
        </x14:dataValidation>
      </x14:dataValidations>
    </ext>
  </extLst>
</worksheet>
</file>

<file path=xl/worksheets/sheet30.xml><?xml version="1.0" encoding="utf-8"?>
<worksheet xmlns="http://schemas.openxmlformats.org/spreadsheetml/2006/main" xmlns:r="http://schemas.openxmlformats.org/officeDocument/2006/relationships">
  <sheetPr codeName="Sheet21"/>
  <dimension ref="A1:S200"/>
  <sheetViews>
    <sheetView workbookViewId="0">
      <pane ySplit="1" topLeftCell="A2" activePane="bottomLeft" state="frozen"/>
      <selection pane="bottomLeft" activeCell="A2" sqref="A2"/>
    </sheetView>
  </sheetViews>
  <sheetFormatPr defaultRowHeight="14.5"/>
  <cols>
    <col min="1" max="1" width="23" bestFit="1" customWidth="1"/>
    <col min="2" max="2" width="13.54296875" customWidth="1"/>
    <col min="3" max="4" width="8.90625" customWidth="1"/>
    <col min="5" max="5" width="12.6328125" customWidth="1"/>
    <col min="6" max="6" width="15.6328125" bestFit="1" customWidth="1"/>
    <col min="7" max="8" width="15.453125" customWidth="1"/>
    <col min="9" max="9" width="22.6328125" customWidth="1"/>
    <col min="10" max="10" width="23.36328125" customWidth="1"/>
    <col min="11" max="11" width="17.54296875" customWidth="1"/>
    <col min="12" max="12" width="14.08984375" customWidth="1"/>
    <col min="13" max="13" width="10.453125" bestFit="1" customWidth="1"/>
    <col min="14" max="14" width="10.453125" customWidth="1"/>
    <col min="15" max="15" width="12.453125" bestFit="1" customWidth="1"/>
  </cols>
  <sheetData>
    <row r="1" spans="1:19" s="1" customFormat="1">
      <c r="A1" s="1" t="s">
        <v>2</v>
      </c>
      <c r="B1" s="1" t="s">
        <v>1198</v>
      </c>
      <c r="C1" s="1" t="s">
        <v>1199</v>
      </c>
      <c r="D1" s="1" t="s">
        <v>0</v>
      </c>
      <c r="E1" s="1" t="s">
        <v>1</v>
      </c>
      <c r="F1" s="1" t="s">
        <v>30</v>
      </c>
      <c r="G1" s="1" t="s">
        <v>31</v>
      </c>
      <c r="H1" s="1" t="s">
        <v>1262</v>
      </c>
      <c r="I1" s="1" t="s">
        <v>49</v>
      </c>
      <c r="J1" s="1" t="s">
        <v>48</v>
      </c>
      <c r="K1" s="1" t="s">
        <v>54</v>
      </c>
      <c r="L1" s="1" t="s">
        <v>55</v>
      </c>
      <c r="M1" s="1" t="s">
        <v>27</v>
      </c>
      <c r="N1" s="1" t="s">
        <v>175</v>
      </c>
      <c r="O1" s="1" t="s">
        <v>193</v>
      </c>
      <c r="P1" s="1" t="s">
        <v>1221</v>
      </c>
      <c r="Q1" s="1" t="s">
        <v>1264</v>
      </c>
      <c r="R1" s="1" t="s">
        <v>1263</v>
      </c>
      <c r="S1" s="1" t="s">
        <v>1265</v>
      </c>
    </row>
    <row r="2" spans="1:19">
      <c r="A2" s="7" t="s">
        <v>9</v>
      </c>
      <c r="B2" s="7" t="s">
        <v>1218</v>
      </c>
      <c r="C2" s="8">
        <v>50</v>
      </c>
      <c r="D2" s="6" t="str">
        <f>LRTRIM(CONCATENATE(IF(SUMPRODUCT(-- ISNUMBER(SEARCH({"Auto Number"}, $B2))) &gt; 0, $B2, IF(SUMPRODUCT(-- ISNUMBER(SEARCH({"Lookup","Master-Detail"}, $B2))) &gt; 0,$B2 &amp; "(" &amp; $E2 &amp; ")",IF(SUMPRODUCT(-- ISNUMBER(SEARCH({"Formula","Roll-Up Summary"}, $B2))) &gt; 0,$B2 &amp; " (" &amp; $E2 &amp; ")",IF(SUMPRODUCT(-- ISNUMBER(SEARCH({"Content","Currency","Number","Percent","Text","URL"}, $B2))) &gt; 0,$B2 &amp; "(" &amp; $C2 &amp; ")",$B2)))), "  ", TRIM(IF($S2 = "YES", "(External ID)", "") &amp; " " &amp; IF(SUMPRODUCT(-- ISNUMBER(SEARCH({"Unique","Unique Case Insensitive"}, $R2))) &gt; 0, "(" &amp; $R2 &amp; ")", ""))))</f>
        <v>Text(50)</v>
      </c>
      <c r="E2" s="7" t="s">
        <v>195</v>
      </c>
      <c r="F2" s="7" t="s">
        <v>554</v>
      </c>
      <c r="G2" s="7" t="s">
        <v>195</v>
      </c>
      <c r="H2" s="7" t="s">
        <v>195</v>
      </c>
      <c r="I2" s="7" t="s">
        <v>195</v>
      </c>
      <c r="J2" s="7" t="s">
        <v>195</v>
      </c>
      <c r="K2" s="7" t="s">
        <v>195</v>
      </c>
      <c r="L2" s="7" t="s">
        <v>195</v>
      </c>
      <c r="M2" s="7" t="s">
        <v>29</v>
      </c>
      <c r="N2" s="7" t="s">
        <v>29</v>
      </c>
      <c r="O2" s="7" t="s">
        <v>29</v>
      </c>
      <c r="P2" s="7" t="s">
        <v>29</v>
      </c>
      <c r="Q2" s="7" t="s">
        <v>29</v>
      </c>
      <c r="R2" s="7" t="s">
        <v>29</v>
      </c>
      <c r="S2" s="7" t="s">
        <v>29</v>
      </c>
    </row>
    <row r="3" spans="1:19">
      <c r="A3" s="7" t="s">
        <v>11</v>
      </c>
      <c r="B3" s="7" t="s">
        <v>1218</v>
      </c>
      <c r="C3" s="8">
        <v>200</v>
      </c>
      <c r="D3" s="6" t="str">
        <f>LRTRIM(CONCATENATE(IF(SUMPRODUCT(-- ISNUMBER(SEARCH({"Auto Number"}, $B3))) &gt; 0, $B3, IF(SUMPRODUCT(-- ISNUMBER(SEARCH({"Lookup","Master-Detail"}, $B3))) &gt; 0,$B3 &amp; "(" &amp; $E3 &amp; ")",IF(SUMPRODUCT(-- ISNUMBER(SEARCH({"Formula","Roll-Up Summary"}, $B3))) &gt; 0,$B3 &amp; " (" &amp; $E3 &amp; ")",IF(SUMPRODUCT(-- ISNUMBER(SEARCH({"Content","Currency","Number","Percent","Text","URL"}, $B3))) &gt; 0,$B3 &amp; "(" &amp; $C3 &amp; ")",$B3)))), "  ", TRIM(IF($S3 = "YES", "(External ID)", "") &amp; " " &amp; IF(SUMPRODUCT(-- ISNUMBER(SEARCH({"Unique","Unique Case Insensitive"}, $R3))) &gt; 0, "(" &amp; $R3 &amp; ")", ""))))</f>
        <v>Text(200)</v>
      </c>
      <c r="E3" s="7" t="s">
        <v>195</v>
      </c>
      <c r="F3" s="7" t="s">
        <v>555</v>
      </c>
      <c r="G3" s="7" t="s">
        <v>195</v>
      </c>
      <c r="H3" s="7" t="s">
        <v>195</v>
      </c>
      <c r="I3" s="7" t="s">
        <v>195</v>
      </c>
      <c r="J3" s="7" t="s">
        <v>195</v>
      </c>
      <c r="K3" s="7" t="s">
        <v>195</v>
      </c>
      <c r="L3" s="7" t="s">
        <v>195</v>
      </c>
      <c r="M3" s="7" t="s">
        <v>29</v>
      </c>
      <c r="N3" s="7" t="s">
        <v>29</v>
      </c>
      <c r="O3" s="7" t="s">
        <v>29</v>
      </c>
      <c r="P3" s="7" t="s">
        <v>29</v>
      </c>
      <c r="Q3" s="7" t="s">
        <v>29</v>
      </c>
      <c r="R3" s="7" t="s">
        <v>29</v>
      </c>
      <c r="S3" s="7" t="s">
        <v>29</v>
      </c>
    </row>
    <row r="4" spans="1:19">
      <c r="A4" s="7" t="s">
        <v>13</v>
      </c>
      <c r="B4" s="7" t="s">
        <v>1218</v>
      </c>
      <c r="C4" s="8">
        <v>10</v>
      </c>
      <c r="D4" s="6" t="str">
        <f>LRTRIM(CONCATENATE(IF(SUMPRODUCT(-- ISNUMBER(SEARCH({"Auto Number"}, $B4))) &gt; 0, $B4, IF(SUMPRODUCT(-- ISNUMBER(SEARCH({"Lookup","Master-Detail"}, $B4))) &gt; 0,$B4 &amp; "(" &amp; $E4 &amp; ")",IF(SUMPRODUCT(-- ISNUMBER(SEARCH({"Formula","Roll-Up Summary"}, $B4))) &gt; 0,$B4 &amp; " (" &amp; $E4 &amp; ")",IF(SUMPRODUCT(-- ISNUMBER(SEARCH({"Content","Currency","Number","Percent","Text","URL"}, $B4))) &gt; 0,$B4 &amp; "(" &amp; $C4 &amp; ")",$B4)))), "  ", TRIM(IF($S4 = "YES", "(External ID)", "") &amp; " " &amp; IF(SUMPRODUCT(-- ISNUMBER(SEARCH({"Unique","Unique Case Insensitive"}, $R4))) &gt; 0, "(" &amp; $R4 &amp; ")", ""))))</f>
        <v>Text(10)</v>
      </c>
      <c r="E4" s="7" t="s">
        <v>195</v>
      </c>
      <c r="F4" s="7" t="s">
        <v>160</v>
      </c>
      <c r="G4" s="7" t="s">
        <v>195</v>
      </c>
      <c r="H4" s="7" t="s">
        <v>195</v>
      </c>
      <c r="I4" s="7" t="s">
        <v>195</v>
      </c>
      <c r="J4" s="7" t="s">
        <v>195</v>
      </c>
      <c r="K4" s="7" t="s">
        <v>195</v>
      </c>
      <c r="L4" s="7" t="s">
        <v>195</v>
      </c>
      <c r="M4" s="7" t="s">
        <v>29</v>
      </c>
      <c r="N4" s="7" t="s">
        <v>29</v>
      </c>
      <c r="O4" s="7" t="s">
        <v>29</v>
      </c>
      <c r="P4" s="7" t="s">
        <v>29</v>
      </c>
      <c r="Q4" s="7" t="s">
        <v>29</v>
      </c>
      <c r="R4" s="7" t="s">
        <v>29</v>
      </c>
      <c r="S4" s="7" t="s">
        <v>29</v>
      </c>
    </row>
    <row r="5" spans="1:19">
      <c r="A5" s="7" t="s">
        <v>779</v>
      </c>
      <c r="B5" s="7" t="s">
        <v>1218</v>
      </c>
      <c r="C5" s="8">
        <v>255</v>
      </c>
      <c r="D5" s="6" t="str">
        <f>LRTRIM(CONCATENATE(IF(SUMPRODUCT(-- ISNUMBER(SEARCH({"Auto Number"}, $B5))) &gt; 0, $B5, IF(SUMPRODUCT(-- ISNUMBER(SEARCH({"Lookup","Master-Detail"}, $B5))) &gt; 0,$B5 &amp; "(" &amp; $E5 &amp; ")",IF(SUMPRODUCT(-- ISNUMBER(SEARCH({"Formula","Roll-Up Summary"}, $B5))) &gt; 0,$B5 &amp; " (" &amp; $E5 &amp; ")",IF(SUMPRODUCT(-- ISNUMBER(SEARCH({"Content","Currency","Number","Percent","Text","URL"}, $B5))) &gt; 0,$B5 &amp; "(" &amp; $C5 &amp; ")",$B5)))), "  ", TRIM(IF($S5 = "YES", "(External ID)", "") &amp; " " &amp; IF(SUMPRODUCT(-- ISNUMBER(SEARCH({"Unique","Unique Case Insensitive"}, $R5))) &gt; 0, "(" &amp; $R5 &amp; ")", ""))))</f>
        <v>Text(255)  (External ID)</v>
      </c>
      <c r="E5" s="7" t="s">
        <v>195</v>
      </c>
      <c r="F5" s="7" t="s">
        <v>806</v>
      </c>
      <c r="G5" s="7" t="s">
        <v>195</v>
      </c>
      <c r="H5" s="7" t="s">
        <v>195</v>
      </c>
      <c r="I5" s="7" t="s">
        <v>195</v>
      </c>
      <c r="J5" s="7" t="s">
        <v>195</v>
      </c>
      <c r="K5" s="7" t="s">
        <v>195</v>
      </c>
      <c r="L5" s="7" t="s">
        <v>195</v>
      </c>
      <c r="M5" s="7" t="s">
        <v>29</v>
      </c>
      <c r="N5" s="7" t="s">
        <v>29</v>
      </c>
      <c r="O5" s="7" t="s">
        <v>29</v>
      </c>
      <c r="P5" s="7" t="s">
        <v>29</v>
      </c>
      <c r="Q5" s="7" t="s">
        <v>29</v>
      </c>
      <c r="R5" s="7" t="s">
        <v>29</v>
      </c>
      <c r="S5" s="7" t="s">
        <v>28</v>
      </c>
    </row>
    <row r="6" spans="1:19">
      <c r="A6" s="7" t="s">
        <v>33</v>
      </c>
      <c r="B6" s="7" t="s">
        <v>1204</v>
      </c>
      <c r="C6" s="8">
        <v>0</v>
      </c>
      <c r="D6" s="6" t="str">
        <f>LRTRIM(CONCATENATE(IF(SUMPRODUCT(-- ISNUMBER(SEARCH({"Auto Number"}, $B6))) &gt; 0, $B6, IF(SUMPRODUCT(-- ISNUMBER(SEARCH({"Lookup","Master-Detail"}, $B6))) &gt; 0,$B6 &amp; "(" &amp; $E6 &amp; ")",IF(SUMPRODUCT(-- ISNUMBER(SEARCH({"Formula","Roll-Up Summary"}, $B6))) &gt; 0,$B6 &amp; " (" &amp; $E6 &amp; ")",IF(SUMPRODUCT(-- ISNUMBER(SEARCH({"Content","Currency","Number","Percent","Text","URL"}, $B6))) &gt; 0,$B6 &amp; "(" &amp; $C6 &amp; ")",$B6)))), "  ", TRIM(IF($S6 = "YES", "(External ID)", "") &amp; " " &amp; IF(SUMPRODUCT(-- ISNUMBER(SEARCH({"Unique","Unique Case Insensitive"}, $R6))) &gt; 0, "(" &amp; $R6 &amp; ")", ""))))</f>
        <v>Checkbox</v>
      </c>
      <c r="E6" s="7" t="s">
        <v>195</v>
      </c>
      <c r="F6" s="7" t="s">
        <v>858</v>
      </c>
      <c r="G6" s="7" t="s">
        <v>195</v>
      </c>
      <c r="H6" s="7" t="s">
        <v>195</v>
      </c>
      <c r="I6" s="7" t="s">
        <v>195</v>
      </c>
      <c r="J6" s="7" t="s">
        <v>195</v>
      </c>
      <c r="K6" s="7" t="s">
        <v>195</v>
      </c>
      <c r="L6" s="7" t="s">
        <v>195</v>
      </c>
      <c r="M6" s="7" t="s">
        <v>28</v>
      </c>
      <c r="N6" s="7" t="s">
        <v>29</v>
      </c>
      <c r="O6" s="7" t="s">
        <v>29</v>
      </c>
      <c r="P6" s="7" t="s">
        <v>29</v>
      </c>
      <c r="Q6" s="7" t="s">
        <v>29</v>
      </c>
      <c r="R6" s="7" t="s">
        <v>29</v>
      </c>
      <c r="S6" s="7" t="s">
        <v>29</v>
      </c>
    </row>
    <row r="7" spans="1:19">
      <c r="A7" s="7" t="s">
        <v>14</v>
      </c>
      <c r="B7" s="7" t="s">
        <v>1204</v>
      </c>
      <c r="C7" s="8">
        <v>0</v>
      </c>
      <c r="D7" s="6" t="str">
        <f>LRTRIM(CONCATENATE(IF(SUMPRODUCT(-- ISNUMBER(SEARCH({"Auto Number"}, $B7))) &gt; 0, $B7, IF(SUMPRODUCT(-- ISNUMBER(SEARCH({"Lookup","Master-Detail"}, $B7))) &gt; 0,$B7 &amp; "(" &amp; $E7 &amp; ")",IF(SUMPRODUCT(-- ISNUMBER(SEARCH({"Formula","Roll-Up Summary"}, $B7))) &gt; 0,$B7 &amp; " (" &amp; $E7 &amp; ")",IF(SUMPRODUCT(-- ISNUMBER(SEARCH({"Content","Currency","Number","Percent","Text","URL"}, $B7))) &gt; 0,$B7 &amp; "(" &amp; $C7 &amp; ")",$B7)))), "  ", TRIM(IF($S7 = "YES", "(External ID)", "") &amp; " " &amp; IF(SUMPRODUCT(-- ISNUMBER(SEARCH({"Unique","Unique Case Insensitive"}, $R7))) &gt; 0, "(" &amp; $R7 &amp; ")", ""))))</f>
        <v>Checkbox</v>
      </c>
      <c r="E7" s="7" t="s">
        <v>195</v>
      </c>
      <c r="F7" s="7" t="s">
        <v>25</v>
      </c>
      <c r="G7" s="7" t="s">
        <v>195</v>
      </c>
      <c r="H7" s="7" t="s">
        <v>195</v>
      </c>
      <c r="I7" s="7" t="s">
        <v>195</v>
      </c>
      <c r="J7" s="7" t="s">
        <v>195</v>
      </c>
      <c r="K7" s="7" t="s">
        <v>195</v>
      </c>
      <c r="L7" s="7" t="s">
        <v>195</v>
      </c>
      <c r="M7" s="7" t="s">
        <v>28</v>
      </c>
      <c r="N7" s="7" t="s">
        <v>29</v>
      </c>
      <c r="O7" s="7" t="s">
        <v>29</v>
      </c>
      <c r="P7" s="7" t="s">
        <v>29</v>
      </c>
      <c r="Q7" s="7" t="s">
        <v>29</v>
      </c>
      <c r="R7" s="7" t="s">
        <v>29</v>
      </c>
      <c r="S7" s="7" t="s">
        <v>29</v>
      </c>
    </row>
    <row r="8" spans="1:19">
      <c r="A8" s="7" t="s">
        <v>2</v>
      </c>
      <c r="B8" s="7" t="s">
        <v>1218</v>
      </c>
      <c r="C8" s="8">
        <v>255</v>
      </c>
      <c r="D8" s="6" t="str">
        <f>LRTRIM(CONCATENATE(IF(SUMPRODUCT(-- ISNUMBER(SEARCH({"Auto Number"}, $B8))) &gt; 0, $B8, IF(SUMPRODUCT(-- ISNUMBER(SEARCH({"Lookup","Master-Detail"}, $B8))) &gt; 0,$B8 &amp; "(" &amp; $E8 &amp; ")",IF(SUMPRODUCT(-- ISNUMBER(SEARCH({"Formula","Roll-Up Summary"}, $B8))) &gt; 0,$B8 &amp; " (" &amp; $E8 &amp; ")",IF(SUMPRODUCT(-- ISNUMBER(SEARCH({"Content","Currency","Number","Percent","Text","URL"}, $B8))) &gt; 0,$B8 &amp; "(" &amp; $C8 &amp; ")",$B8)))), "  ", TRIM(IF($S8 = "YES", "(External ID)", "") &amp; " " &amp; IF(SUMPRODUCT(-- ISNUMBER(SEARCH({"Unique","Unique Case Insensitive"}, $R8))) &gt; 0, "(" &amp; $R8 &amp; ")", ""))))</f>
        <v>Text(255)</v>
      </c>
      <c r="E8" s="7" t="s">
        <v>195</v>
      </c>
      <c r="F8" s="7" t="s">
        <v>864</v>
      </c>
      <c r="G8" s="7" t="s">
        <v>195</v>
      </c>
      <c r="H8" s="7" t="s">
        <v>195</v>
      </c>
      <c r="I8" s="7" t="s">
        <v>195</v>
      </c>
      <c r="J8" s="7" t="s">
        <v>195</v>
      </c>
      <c r="K8" s="7" t="s">
        <v>195</v>
      </c>
      <c r="L8" s="7" t="s">
        <v>195</v>
      </c>
      <c r="M8" s="7" t="s">
        <v>29</v>
      </c>
      <c r="N8" s="7" t="s">
        <v>29</v>
      </c>
      <c r="O8" s="7" t="s">
        <v>29</v>
      </c>
      <c r="P8" s="7" t="s">
        <v>29</v>
      </c>
      <c r="Q8" s="7" t="s">
        <v>29</v>
      </c>
      <c r="R8" s="7" t="s">
        <v>29</v>
      </c>
      <c r="S8" s="7" t="s">
        <v>29</v>
      </c>
    </row>
    <row r="9" spans="1:19">
      <c r="A9" s="7" t="s">
        <v>863</v>
      </c>
      <c r="B9" s="7" t="s">
        <v>195</v>
      </c>
      <c r="C9" s="8">
        <v>18</v>
      </c>
      <c r="D9" s="6" t="str">
        <f>LRTRIM(CONCATENATE(IF(SUMPRODUCT(-- ISNUMBER(SEARCH({"Auto Number"}, $B9))) &gt; 0, $B9, IF(SUMPRODUCT(-- ISNUMBER(SEARCH({"Lookup","Master-Detail"}, $B9))) &gt; 0,$B9 &amp; "(" &amp; $E9 &amp; ")",IF(SUMPRODUCT(-- ISNUMBER(SEARCH({"Formula","Roll-Up Summary"}, $B9))) &gt; 0,$B9 &amp; " (" &amp; $E9 &amp; ")",IF(SUMPRODUCT(-- ISNUMBER(SEARCH({"Content","Currency","Number","Percent","Text","URL"}, $B9))) &gt; 0,$B9 &amp; "(" &amp; $C9 &amp; ")",$B9)))), "  ", TRIM(IF($S9 = "YES", "(External ID)", "") &amp; " " &amp; IF(SUMPRODUCT(-- ISNUMBER(SEARCH({"Unique","Unique Case Insensitive"}, $R9))) &gt; 0, "(" &amp; $R9 &amp; ")", ""))))</f>
        <v>na</v>
      </c>
      <c r="E9" s="7" t="s">
        <v>1383</v>
      </c>
      <c r="F9" s="7" t="s">
        <v>1383</v>
      </c>
      <c r="G9" s="7" t="s">
        <v>195</v>
      </c>
      <c r="H9" s="7" t="s">
        <v>195</v>
      </c>
      <c r="I9" s="7" t="s">
        <v>195</v>
      </c>
      <c r="J9" s="7" t="s">
        <v>195</v>
      </c>
      <c r="K9" s="7" t="s">
        <v>195</v>
      </c>
      <c r="L9" s="7" t="s">
        <v>195</v>
      </c>
      <c r="M9" s="7" t="s">
        <v>28</v>
      </c>
      <c r="N9" s="7" t="s">
        <v>29</v>
      </c>
      <c r="O9" s="7" t="s">
        <v>29</v>
      </c>
      <c r="P9" s="7" t="s">
        <v>29</v>
      </c>
      <c r="Q9" s="7" t="s">
        <v>29</v>
      </c>
      <c r="R9" s="7" t="s">
        <v>29</v>
      </c>
      <c r="S9" s="7" t="s">
        <v>29</v>
      </c>
    </row>
    <row r="10" spans="1:19">
      <c r="A10" s="7" t="s">
        <v>705</v>
      </c>
      <c r="B10" s="7" t="s">
        <v>1211</v>
      </c>
      <c r="C10" s="8">
        <v>18</v>
      </c>
      <c r="D10" s="6" t="str">
        <f>LRTRIM(CONCATENATE(IF(SUMPRODUCT(-- ISNUMBER(SEARCH({"Auto Number"}, $B10))) &gt; 0, $B10, IF(SUMPRODUCT(-- ISNUMBER(SEARCH({"Lookup","Master-Detail"}, $B10))) &gt; 0,$B10 &amp; "(" &amp; $E10 &amp; ")",IF(SUMPRODUCT(-- ISNUMBER(SEARCH({"Formula","Roll-Up Summary"}, $B10))) &gt; 0,$B10 &amp; " (" &amp; $E10 &amp; ")",IF(SUMPRODUCT(-- ISNUMBER(SEARCH({"Content","Currency","Number","Percent","Text","URL"}, $B10))) &gt; 0,$B10 &amp; "(" &amp; $C10 &amp; ")",$B10)))), "  ", TRIM(IF($S10 = "YES", "(External ID)", "") &amp; " " &amp; IF(SUMPRODUCT(-- ISNUMBER(SEARCH({"Unique","Unique Case Insensitive"}, $R10))) &gt; 0, "(" &amp; $R10 &amp; ")", ""))))</f>
        <v>Lookup(Product)</v>
      </c>
      <c r="E10" s="7" t="s">
        <v>506</v>
      </c>
      <c r="F10" s="7" t="s">
        <v>506</v>
      </c>
      <c r="G10" s="7" t="s">
        <v>195</v>
      </c>
      <c r="H10" s="7" t="s">
        <v>195</v>
      </c>
      <c r="I10" s="7" t="s">
        <v>195</v>
      </c>
      <c r="J10" s="7" t="s">
        <v>195</v>
      </c>
      <c r="K10" s="7" t="s">
        <v>195</v>
      </c>
      <c r="L10" s="7" t="s">
        <v>195</v>
      </c>
      <c r="M10" s="7" t="s">
        <v>28</v>
      </c>
      <c r="N10" s="7" t="s">
        <v>29</v>
      </c>
      <c r="O10" s="7" t="s">
        <v>29</v>
      </c>
      <c r="P10" s="7" t="s">
        <v>29</v>
      </c>
      <c r="Q10" s="7" t="s">
        <v>29</v>
      </c>
      <c r="R10" s="7" t="s">
        <v>29</v>
      </c>
      <c r="S10" s="7" t="s">
        <v>29</v>
      </c>
    </row>
    <row r="11" spans="1:19">
      <c r="A11" s="7" t="s">
        <v>706</v>
      </c>
      <c r="B11" s="7" t="s">
        <v>1218</v>
      </c>
      <c r="C11" s="8">
        <v>255</v>
      </c>
      <c r="D11" s="6" t="str">
        <f>LRTRIM(CONCATENATE(IF(SUMPRODUCT(-- ISNUMBER(SEARCH({"Auto Number"}, $B11))) &gt; 0, $B11, IF(SUMPRODUCT(-- ISNUMBER(SEARCH({"Lookup","Master-Detail"}, $B11))) &gt; 0,$B11 &amp; "(" &amp; $E11 &amp; ")",IF(SUMPRODUCT(-- ISNUMBER(SEARCH({"Formula","Roll-Up Summary"}, $B11))) &gt; 0,$B11 &amp; " (" &amp; $E11 &amp; ")",IF(SUMPRODUCT(-- ISNUMBER(SEARCH({"Content","Currency","Number","Percent","Text","URL"}, $B11))) &gt; 0,$B11 &amp; "(" &amp; $C11 &amp; ")",$B11)))), "  ", TRIM(IF($S11 = "YES", "(External ID)", "") &amp; " " &amp; IF(SUMPRODUCT(-- ISNUMBER(SEARCH({"Unique","Unique Case Insensitive"}, $R11))) &gt; 0, "(" &amp; $R11 &amp; ")", ""))))</f>
        <v>Text(255)</v>
      </c>
      <c r="E11" s="7" t="s">
        <v>195</v>
      </c>
      <c r="F11" s="7" t="s">
        <v>753</v>
      </c>
      <c r="G11" s="7" t="s">
        <v>195</v>
      </c>
      <c r="H11" s="7" t="s">
        <v>195</v>
      </c>
      <c r="I11" s="7" t="s">
        <v>195</v>
      </c>
      <c r="J11" s="7" t="s">
        <v>195</v>
      </c>
      <c r="K11" s="7" t="s">
        <v>195</v>
      </c>
      <c r="L11" s="7" t="s">
        <v>195</v>
      </c>
      <c r="M11" s="7" t="s">
        <v>29</v>
      </c>
      <c r="N11" s="7" t="s">
        <v>29</v>
      </c>
      <c r="O11" s="7" t="s">
        <v>29</v>
      </c>
      <c r="P11" s="7" t="s">
        <v>29</v>
      </c>
      <c r="Q11" s="7" t="s">
        <v>29</v>
      </c>
      <c r="R11" s="7" t="s">
        <v>29</v>
      </c>
      <c r="S11" s="7" t="s">
        <v>29</v>
      </c>
    </row>
    <row r="12" spans="1:19">
      <c r="A12" s="7" t="s">
        <v>713</v>
      </c>
      <c r="B12" s="7" t="s">
        <v>195</v>
      </c>
      <c r="C12" s="8" t="s">
        <v>195</v>
      </c>
      <c r="D12" s="6" t="str">
        <f>LRTRIM(CONCATENATE(IF(SUMPRODUCT(-- ISNUMBER(SEARCH({"Auto Number"}, $B12))) &gt; 0, $B12, IF(SUMPRODUCT(-- ISNUMBER(SEARCH({"Lookup","Master-Detail"}, $B12))) &gt; 0,$B12 &amp; "(" &amp; $E12 &amp; ")",IF(SUMPRODUCT(-- ISNUMBER(SEARCH({"Formula","Roll-Up Summary"}, $B12))) &gt; 0,$B12 &amp; " (" &amp; $E12 &amp; ")",IF(SUMPRODUCT(-- ISNUMBER(SEARCH({"Content","Currency","Number","Percent","Text","URL"}, $B12))) &gt; 0,$B12 &amp; "(" &amp; $C12 &amp; ")",$B12)))), "  ", TRIM(IF($S12 = "YES", "(External ID)", "") &amp; " " &amp; IF(SUMPRODUCT(-- ISNUMBER(SEARCH({"Unique","Unique Case Insensitive"}, $R12))) &gt; 0, "(" &amp; $R12 &amp; ")", ""))))</f>
        <v>na</v>
      </c>
      <c r="E12" s="7" t="s">
        <v>195</v>
      </c>
      <c r="F12" s="7" t="s">
        <v>195</v>
      </c>
      <c r="G12" s="7" t="s">
        <v>195</v>
      </c>
      <c r="H12" s="7" t="s">
        <v>195</v>
      </c>
      <c r="I12" s="7" t="s">
        <v>195</v>
      </c>
      <c r="J12" s="7" t="s">
        <v>195</v>
      </c>
      <c r="K12" s="7" t="s">
        <v>195</v>
      </c>
      <c r="L12" s="7" t="s">
        <v>195</v>
      </c>
      <c r="M12" s="7" t="s">
        <v>28</v>
      </c>
      <c r="N12" s="7" t="s">
        <v>29</v>
      </c>
      <c r="O12" s="7" t="s">
        <v>29</v>
      </c>
      <c r="P12" s="7" t="s">
        <v>29</v>
      </c>
      <c r="Q12" s="7" t="s">
        <v>29</v>
      </c>
      <c r="R12" s="7" t="s">
        <v>29</v>
      </c>
      <c r="S12" s="7" t="s">
        <v>29</v>
      </c>
    </row>
    <row r="13" spans="1:19">
      <c r="A13" s="7" t="s">
        <v>865</v>
      </c>
      <c r="B13" s="7" t="s">
        <v>195</v>
      </c>
      <c r="C13" s="8" t="s">
        <v>195</v>
      </c>
      <c r="D13" s="6" t="str">
        <f>LRTRIM(CONCATENATE(IF(SUMPRODUCT(-- ISNUMBER(SEARCH({"Auto Number"}, $B13))) &gt; 0, $B13, IF(SUMPRODUCT(-- ISNUMBER(SEARCH({"Lookup","Master-Detail"}, $B13))) &gt; 0,$B13 &amp; "(" &amp; $E13 &amp; ")",IF(SUMPRODUCT(-- ISNUMBER(SEARCH({"Formula","Roll-Up Summary"}, $B13))) &gt; 0,$B13 &amp; " (" &amp; $E13 &amp; ")",IF(SUMPRODUCT(-- ISNUMBER(SEARCH({"Content","Currency","Number","Percent","Text","URL"}, $B13))) &gt; 0,$B13 &amp; "(" &amp; $C13 &amp; ")",$B13)))), "  ", TRIM(IF($S13 = "YES", "(External ID)", "") &amp; " " &amp; IF(SUMPRODUCT(-- ISNUMBER(SEARCH({"Unique","Unique Case Insensitive"}, $R13))) &gt; 0, "(" &amp; $R13 &amp; ")", ""))))</f>
        <v>na</v>
      </c>
      <c r="E13" s="7" t="s">
        <v>195</v>
      </c>
      <c r="F13" s="7" t="s">
        <v>195</v>
      </c>
      <c r="G13" s="7" t="s">
        <v>195</v>
      </c>
      <c r="H13" s="7" t="s">
        <v>195</v>
      </c>
      <c r="I13" s="7" t="s">
        <v>195</v>
      </c>
      <c r="J13" s="7" t="s">
        <v>195</v>
      </c>
      <c r="K13" s="7" t="s">
        <v>195</v>
      </c>
      <c r="L13" s="7" t="s">
        <v>195</v>
      </c>
      <c r="M13" s="7" t="s">
        <v>28</v>
      </c>
      <c r="N13" s="7" t="s">
        <v>29</v>
      </c>
      <c r="O13" s="7" t="s">
        <v>29</v>
      </c>
      <c r="P13" s="7" t="s">
        <v>29</v>
      </c>
      <c r="Q13" s="7" t="s">
        <v>29</v>
      </c>
      <c r="R13" s="7" t="s">
        <v>29</v>
      </c>
      <c r="S13" s="7" t="s">
        <v>29</v>
      </c>
    </row>
    <row r="14" spans="1:19">
      <c r="A14" s="7" t="s">
        <v>35</v>
      </c>
      <c r="B14" s="7" t="s">
        <v>195</v>
      </c>
      <c r="C14" s="8" t="s">
        <v>195</v>
      </c>
      <c r="D14" s="6" t="str">
        <f>LRTRIM(CONCATENATE(IF(SUMPRODUCT(-- ISNUMBER(SEARCH({"Auto Number"}, $B14))) &gt; 0, $B14, IF(SUMPRODUCT(-- ISNUMBER(SEARCH({"Lookup","Master-Detail"}, $B14))) &gt; 0,$B14 &amp; "(" &amp; $E14 &amp; ")",IF(SUMPRODUCT(-- ISNUMBER(SEARCH({"Formula","Roll-Up Summary"}, $B14))) &gt; 0,$B14 &amp; " (" &amp; $E14 &amp; ")",IF(SUMPRODUCT(-- ISNUMBER(SEARCH({"Content","Currency","Number","Percent","Text","URL"}, $B14))) &gt; 0,$B14 &amp; "(" &amp; $C14 &amp; ")",$B14)))), "  ", TRIM(IF($S14 = "YES", "(External ID)", "") &amp; " " &amp; IF(SUMPRODUCT(-- ISNUMBER(SEARCH({"Unique","Unique Case Insensitive"}, $R14))) &gt; 0, "(" &amp; $R14 &amp; ")", ""))))</f>
        <v>na</v>
      </c>
      <c r="E14" s="7" t="s">
        <v>195</v>
      </c>
      <c r="F14" s="7" t="s">
        <v>195</v>
      </c>
      <c r="G14" s="7" t="s">
        <v>195</v>
      </c>
      <c r="H14" s="7" t="s">
        <v>195</v>
      </c>
      <c r="I14" s="7" t="s">
        <v>195</v>
      </c>
      <c r="J14" s="7" t="s">
        <v>195</v>
      </c>
      <c r="K14" s="7" t="s">
        <v>195</v>
      </c>
      <c r="L14" s="7" t="s">
        <v>195</v>
      </c>
      <c r="M14" s="7" t="s">
        <v>28</v>
      </c>
      <c r="N14" s="7" t="s">
        <v>29</v>
      </c>
      <c r="O14" s="7" t="s">
        <v>29</v>
      </c>
      <c r="P14" s="7" t="s">
        <v>29</v>
      </c>
      <c r="Q14" s="7" t="s">
        <v>29</v>
      </c>
      <c r="R14" s="7" t="s">
        <v>29</v>
      </c>
      <c r="S14" s="7" t="s">
        <v>29</v>
      </c>
    </row>
    <row r="15" spans="1:19">
      <c r="A15" s="7" t="s">
        <v>36</v>
      </c>
      <c r="B15" s="7" t="s">
        <v>195</v>
      </c>
      <c r="C15" s="8" t="s">
        <v>195</v>
      </c>
      <c r="D15" s="6" t="str">
        <f>LRTRIM(CONCATENATE(IF(SUMPRODUCT(-- ISNUMBER(SEARCH({"Auto Number"}, $B15))) &gt; 0, $B15, IF(SUMPRODUCT(-- ISNUMBER(SEARCH({"Lookup","Master-Detail"}, $B15))) &gt; 0,$B15 &amp; "(" &amp; $E15 &amp; ")",IF(SUMPRODUCT(-- ISNUMBER(SEARCH({"Formula","Roll-Up Summary"}, $B15))) &gt; 0,$B15 &amp; " (" &amp; $E15 &amp; ")",IF(SUMPRODUCT(-- ISNUMBER(SEARCH({"Content","Currency","Number","Percent","Text","URL"}, $B15))) &gt; 0,$B15 &amp; "(" &amp; $C15 &amp; ")",$B15)))), "  ", TRIM(IF($S15 = "YES", "(External ID)", "") &amp; " " &amp; IF(SUMPRODUCT(-- ISNUMBER(SEARCH({"Unique","Unique Case Insensitive"}, $R15))) &gt; 0, "(" &amp; $R15 &amp; ")", ""))))</f>
        <v>na</v>
      </c>
      <c r="E15" s="7" t="s">
        <v>195</v>
      </c>
      <c r="F15" s="7" t="s">
        <v>195</v>
      </c>
      <c r="G15" s="7" t="s">
        <v>195</v>
      </c>
      <c r="H15" s="7" t="s">
        <v>195</v>
      </c>
      <c r="I15" s="7" t="s">
        <v>195</v>
      </c>
      <c r="J15" s="7" t="s">
        <v>195</v>
      </c>
      <c r="K15" s="7" t="s">
        <v>195</v>
      </c>
      <c r="L15" s="7" t="s">
        <v>195</v>
      </c>
      <c r="M15" s="7" t="s">
        <v>28</v>
      </c>
      <c r="N15" s="7" t="s">
        <v>29</v>
      </c>
      <c r="O15" s="7" t="s">
        <v>29</v>
      </c>
      <c r="P15" s="7" t="s">
        <v>29</v>
      </c>
      <c r="Q15" s="7" t="s">
        <v>29</v>
      </c>
      <c r="R15" s="7" t="s">
        <v>29</v>
      </c>
      <c r="S15" s="7" t="s">
        <v>29</v>
      </c>
    </row>
    <row r="16" spans="1:19">
      <c r="A16" s="7" t="s">
        <v>37</v>
      </c>
      <c r="B16" s="7" t="s">
        <v>195</v>
      </c>
      <c r="C16" s="8" t="s">
        <v>195</v>
      </c>
      <c r="D16" s="6" t="str">
        <f>LRTRIM(CONCATENATE(IF(SUMPRODUCT(-- ISNUMBER(SEARCH({"Auto Number"}, $B16))) &gt; 0, $B16, IF(SUMPRODUCT(-- ISNUMBER(SEARCH({"Lookup","Master-Detail"}, $B16))) &gt; 0,$B16 &amp; "(" &amp; $E16 &amp; ")",IF(SUMPRODUCT(-- ISNUMBER(SEARCH({"Formula","Roll-Up Summary"}, $B16))) &gt; 0,$B16 &amp; " (" &amp; $E16 &amp; ")",IF(SUMPRODUCT(-- ISNUMBER(SEARCH({"Content","Currency","Number","Percent","Text","URL"}, $B16))) &gt; 0,$B16 &amp; "(" &amp; $C16 &amp; ")",$B16)))), "  ", TRIM(IF($S16 = "YES", "(External ID)", "") &amp; " " &amp; IF(SUMPRODUCT(-- ISNUMBER(SEARCH({"Unique","Unique Case Insensitive"}, $R16))) &gt; 0, "(" &amp; $R16 &amp; ")", ""))))</f>
        <v>na</v>
      </c>
      <c r="E16" s="7" t="s">
        <v>195</v>
      </c>
      <c r="F16" s="7" t="s">
        <v>195</v>
      </c>
      <c r="G16" s="7" t="s">
        <v>195</v>
      </c>
      <c r="H16" s="7" t="s">
        <v>195</v>
      </c>
      <c r="I16" s="7" t="s">
        <v>195</v>
      </c>
      <c r="J16" s="7" t="s">
        <v>195</v>
      </c>
      <c r="K16" s="7" t="s">
        <v>195</v>
      </c>
      <c r="L16" s="7" t="s">
        <v>195</v>
      </c>
      <c r="M16" s="7" t="s">
        <v>28</v>
      </c>
      <c r="N16" s="7" t="s">
        <v>29</v>
      </c>
      <c r="O16" s="7" t="s">
        <v>29</v>
      </c>
      <c r="P16" s="7" t="s">
        <v>29</v>
      </c>
      <c r="Q16" s="7" t="s">
        <v>29</v>
      </c>
      <c r="R16" s="7" t="s">
        <v>29</v>
      </c>
      <c r="S16" s="7" t="s">
        <v>29</v>
      </c>
    </row>
    <row r="17" spans="1:19">
      <c r="A17" s="7" t="s">
        <v>38</v>
      </c>
      <c r="B17" s="7" t="s">
        <v>195</v>
      </c>
      <c r="C17" s="8" t="s">
        <v>195</v>
      </c>
      <c r="D17" s="6" t="str">
        <f>LRTRIM(CONCATENATE(IF(SUMPRODUCT(-- ISNUMBER(SEARCH({"Auto Number"}, $B17))) &gt; 0, $B17, IF(SUMPRODUCT(-- ISNUMBER(SEARCH({"Lookup","Master-Detail"}, $B17))) &gt; 0,$B17 &amp; "(" &amp; $E17 &amp; ")",IF(SUMPRODUCT(-- ISNUMBER(SEARCH({"Formula","Roll-Up Summary"}, $B17))) &gt; 0,$B17 &amp; " (" &amp; $E17 &amp; ")",IF(SUMPRODUCT(-- ISNUMBER(SEARCH({"Content","Currency","Number","Percent","Text","URL"}, $B17))) &gt; 0,$B17 &amp; "(" &amp; $C17 &amp; ")",$B17)))), "  ", TRIM(IF($S17 = "YES", "(External ID)", "") &amp; " " &amp; IF(SUMPRODUCT(-- ISNUMBER(SEARCH({"Unique","Unique Case Insensitive"}, $R17))) &gt; 0, "(" &amp; $R17 &amp; ")", ""))))</f>
        <v>na</v>
      </c>
      <c r="E17" s="7" t="s">
        <v>195</v>
      </c>
      <c r="F17" s="7" t="s">
        <v>195</v>
      </c>
      <c r="G17" s="7" t="s">
        <v>195</v>
      </c>
      <c r="H17" s="7" t="s">
        <v>195</v>
      </c>
      <c r="I17" s="7" t="s">
        <v>195</v>
      </c>
      <c r="J17" s="7" t="s">
        <v>195</v>
      </c>
      <c r="K17" s="7" t="s">
        <v>195</v>
      </c>
      <c r="L17" s="7" t="s">
        <v>195</v>
      </c>
      <c r="M17" s="7" t="s">
        <v>28</v>
      </c>
      <c r="N17" s="7" t="s">
        <v>29</v>
      </c>
      <c r="O17" s="7" t="s">
        <v>29</v>
      </c>
      <c r="P17" s="7" t="s">
        <v>29</v>
      </c>
      <c r="Q17" s="7" t="s">
        <v>29</v>
      </c>
      <c r="R17" s="7" t="s">
        <v>29</v>
      </c>
      <c r="S17" s="7" t="s">
        <v>29</v>
      </c>
    </row>
    <row r="18" spans="1:19">
      <c r="A18" s="7" t="s">
        <v>39</v>
      </c>
      <c r="B18" s="7" t="s">
        <v>195</v>
      </c>
      <c r="C18" s="8" t="s">
        <v>195</v>
      </c>
      <c r="D18" s="6" t="str">
        <f>LRTRIM(CONCATENATE(IF(SUMPRODUCT(-- ISNUMBER(SEARCH({"Auto Number"}, $B18))) &gt; 0, $B18, IF(SUMPRODUCT(-- ISNUMBER(SEARCH({"Lookup","Master-Detail"}, $B18))) &gt; 0,$B18 &amp; "(" &amp; $E18 &amp; ")",IF(SUMPRODUCT(-- ISNUMBER(SEARCH({"Formula","Roll-Up Summary"}, $B18))) &gt; 0,$B18 &amp; " (" &amp; $E18 &amp; ")",IF(SUMPRODUCT(-- ISNUMBER(SEARCH({"Content","Currency","Number","Percent","Text","URL"}, $B18))) &gt; 0,$B18 &amp; "(" &amp; $C18 &amp; ")",$B18)))), "  ", TRIM(IF($S18 = "YES", "(External ID)", "") &amp; " " &amp; IF(SUMPRODUCT(-- ISNUMBER(SEARCH({"Unique","Unique Case Insensitive"}, $R18))) &gt; 0, "(" &amp; $R18 &amp; ")", ""))))</f>
        <v>na</v>
      </c>
      <c r="E18" s="7" t="s">
        <v>195</v>
      </c>
      <c r="F18" s="7" t="s">
        <v>195</v>
      </c>
      <c r="G18" s="7" t="s">
        <v>195</v>
      </c>
      <c r="H18" s="7" t="s">
        <v>195</v>
      </c>
      <c r="I18" s="7" t="s">
        <v>195</v>
      </c>
      <c r="J18" s="7" t="s">
        <v>195</v>
      </c>
      <c r="K18" s="7" t="s">
        <v>195</v>
      </c>
      <c r="L18" s="7" t="s">
        <v>195</v>
      </c>
      <c r="M18" s="7" t="s">
        <v>28</v>
      </c>
      <c r="N18" s="7" t="s">
        <v>29</v>
      </c>
      <c r="O18" s="7" t="s">
        <v>29</v>
      </c>
      <c r="P18" s="7" t="s">
        <v>29</v>
      </c>
      <c r="Q18" s="7" t="s">
        <v>29</v>
      </c>
      <c r="R18" s="7" t="s">
        <v>29</v>
      </c>
      <c r="S18" s="7" t="s">
        <v>29</v>
      </c>
    </row>
    <row r="19" spans="1:19">
      <c r="A19" s="7" t="s">
        <v>34</v>
      </c>
      <c r="B19" s="7" t="s">
        <v>195</v>
      </c>
      <c r="C19" s="8" t="s">
        <v>195</v>
      </c>
      <c r="D19" s="6" t="str">
        <f>LRTRIM(CONCATENATE(IF(SUMPRODUCT(-- ISNUMBER(SEARCH({"Auto Number"}, $B19))) &gt; 0, $B19, IF(SUMPRODUCT(-- ISNUMBER(SEARCH({"Lookup","Master-Detail"}, $B19))) &gt; 0,$B19 &amp; "(" &amp; $E19 &amp; ")",IF(SUMPRODUCT(-- ISNUMBER(SEARCH({"Formula","Roll-Up Summary"}, $B19))) &gt; 0,$B19 &amp; " (" &amp; $E19 &amp; ")",IF(SUMPRODUCT(-- ISNUMBER(SEARCH({"Content","Currency","Number","Percent","Text","URL"}, $B19))) &gt; 0,$B19 &amp; "(" &amp; $C19 &amp; ")",$B19)))), "  ", TRIM(IF($S19 = "YES", "(External ID)", "") &amp; " " &amp; IF(SUMPRODUCT(-- ISNUMBER(SEARCH({"Unique","Unique Case Insensitive"}, $R19))) &gt; 0, "(" &amp; $R19 &amp; ")", ""))))</f>
        <v>na</v>
      </c>
      <c r="E19" s="7" t="s">
        <v>195</v>
      </c>
      <c r="F19" s="7" t="s">
        <v>195</v>
      </c>
      <c r="G19" s="7" t="s">
        <v>195</v>
      </c>
      <c r="H19" s="7" t="s">
        <v>195</v>
      </c>
      <c r="I19" s="7" t="s">
        <v>195</v>
      </c>
      <c r="J19" s="7" t="s">
        <v>195</v>
      </c>
      <c r="K19" s="7" t="s">
        <v>195</v>
      </c>
      <c r="L19" s="7" t="s">
        <v>195</v>
      </c>
      <c r="M19" s="7" t="s">
        <v>28</v>
      </c>
      <c r="N19" s="7" t="s">
        <v>29</v>
      </c>
      <c r="O19" s="7" t="s">
        <v>29</v>
      </c>
      <c r="P19" s="7" t="s">
        <v>29</v>
      </c>
      <c r="Q19" s="7" t="s">
        <v>29</v>
      </c>
      <c r="R19" s="7" t="s">
        <v>29</v>
      </c>
      <c r="S19" s="7" t="s">
        <v>29</v>
      </c>
    </row>
    <row r="20" spans="1:19">
      <c r="A20" s="7" t="s">
        <v>855</v>
      </c>
      <c r="B20" s="7" t="s">
        <v>195</v>
      </c>
      <c r="C20" s="8" t="s">
        <v>195</v>
      </c>
      <c r="D20" s="6" t="str">
        <f>LRTRIM(CONCATENATE(IF(SUMPRODUCT(-- ISNUMBER(SEARCH({"Auto Number"}, $B20))) &gt; 0, $B20, IF(SUMPRODUCT(-- ISNUMBER(SEARCH({"Lookup","Master-Detail"}, $B20))) &gt; 0,$B20 &amp; "(" &amp; $E20 &amp; ")",IF(SUMPRODUCT(-- ISNUMBER(SEARCH({"Formula","Roll-Up Summary"}, $B20))) &gt; 0,$B20 &amp; " (" &amp; $E20 &amp; ")",IF(SUMPRODUCT(-- ISNUMBER(SEARCH({"Content","Currency","Number","Percent","Text","URL"}, $B20))) &gt; 0,$B20 &amp; "(" &amp; $C20 &amp; ")",$B20)))), "  ", TRIM(IF($S20 = "YES", "(External ID)", "") &amp; " " &amp; IF(SUMPRODUCT(-- ISNUMBER(SEARCH({"Unique","Unique Case Insensitive"}, $R20))) &gt; 0, "(" &amp; $R20 &amp; ")", ""))))</f>
        <v>na</v>
      </c>
      <c r="E20" s="7" t="s">
        <v>195</v>
      </c>
      <c r="F20" s="7" t="s">
        <v>195</v>
      </c>
      <c r="G20" s="7" t="s">
        <v>195</v>
      </c>
      <c r="H20" s="7" t="s">
        <v>195</v>
      </c>
      <c r="I20" s="7" t="s">
        <v>195</v>
      </c>
      <c r="J20" s="7" t="s">
        <v>195</v>
      </c>
      <c r="K20" s="7" t="s">
        <v>195</v>
      </c>
      <c r="L20" s="7" t="s">
        <v>195</v>
      </c>
      <c r="M20" s="7" t="s">
        <v>28</v>
      </c>
      <c r="N20" s="7" t="s">
        <v>29</v>
      </c>
      <c r="O20" s="7" t="s">
        <v>29</v>
      </c>
      <c r="P20" s="7" t="s">
        <v>29</v>
      </c>
      <c r="Q20" s="7" t="s">
        <v>29</v>
      </c>
      <c r="R20" s="7" t="s">
        <v>29</v>
      </c>
      <c r="S20" s="7" t="s">
        <v>29</v>
      </c>
    </row>
    <row r="21" spans="1:19">
      <c r="B21" s="7" t="s">
        <v>195</v>
      </c>
      <c r="C21" s="8" t="s">
        <v>195</v>
      </c>
      <c r="D21" s="6" t="str">
        <f>LRTRIM(CONCATENATE(IF(SUMPRODUCT(-- ISNUMBER(SEARCH({"Auto Number"}, $B21))) &gt; 0, $B21, IF(SUMPRODUCT(-- ISNUMBER(SEARCH({"Lookup","Master-Detail"}, $B21))) &gt; 0,$B21 &amp; "(" &amp; $E21 &amp; ")",IF(SUMPRODUCT(-- ISNUMBER(SEARCH({"Formula","Roll-Up Summary"}, $B21))) &gt; 0,$B21 &amp; " (" &amp; $E21 &amp; ")",IF(SUMPRODUCT(-- ISNUMBER(SEARCH({"Content","Currency","Number","Percent","Text","URL"}, $B21))) &gt; 0,$B21 &amp; "(" &amp; $C21 &amp; ")",$B21)))), "  ", TRIM(IF($S21 = "YES", "(External ID)", "") &amp; " " &amp; IF(SUMPRODUCT(-- ISNUMBER(SEARCH({"Unique","Unique Case Insensitive"}, $R21))) &gt; 0, "(" &amp; $R21 &amp; ")", ""))))</f>
        <v>na</v>
      </c>
      <c r="E21" s="7" t="s">
        <v>195</v>
      </c>
      <c r="F21" s="7" t="s">
        <v>195</v>
      </c>
      <c r="G21" s="7" t="s">
        <v>195</v>
      </c>
      <c r="H21" s="7" t="s">
        <v>195</v>
      </c>
      <c r="I21" s="7" t="s">
        <v>195</v>
      </c>
      <c r="J21" s="7" t="s">
        <v>195</v>
      </c>
      <c r="K21" s="7" t="s">
        <v>195</v>
      </c>
      <c r="L21" s="7" t="s">
        <v>195</v>
      </c>
      <c r="M21" s="7" t="s">
        <v>29</v>
      </c>
      <c r="N21" s="7" t="s">
        <v>29</v>
      </c>
      <c r="O21" s="7" t="s">
        <v>29</v>
      </c>
      <c r="P21" s="7" t="s">
        <v>29</v>
      </c>
      <c r="Q21" s="7" t="s">
        <v>29</v>
      </c>
      <c r="R21" s="7" t="s">
        <v>29</v>
      </c>
      <c r="S21" s="7" t="s">
        <v>29</v>
      </c>
    </row>
    <row r="22" spans="1:19">
      <c r="B22" s="7" t="s">
        <v>195</v>
      </c>
      <c r="C22" s="8" t="s">
        <v>195</v>
      </c>
      <c r="D22" s="6" t="str">
        <f>LRTRIM(CONCATENATE(IF(SUMPRODUCT(-- ISNUMBER(SEARCH({"Auto Number"}, $B22))) &gt; 0, $B22, IF(SUMPRODUCT(-- ISNUMBER(SEARCH({"Lookup","Master-Detail"}, $B22))) &gt; 0,$B22 &amp; "(" &amp; $E22 &amp; ")",IF(SUMPRODUCT(-- ISNUMBER(SEARCH({"Formula","Roll-Up Summary"}, $B22))) &gt; 0,$B22 &amp; " (" &amp; $E22 &amp; ")",IF(SUMPRODUCT(-- ISNUMBER(SEARCH({"Content","Currency","Number","Percent","Text","URL"}, $B22))) &gt; 0,$B22 &amp; "(" &amp; $C22 &amp; ")",$B22)))), "  ", TRIM(IF($S22 = "YES", "(External ID)", "") &amp; " " &amp; IF(SUMPRODUCT(-- ISNUMBER(SEARCH({"Unique","Unique Case Insensitive"}, $R22))) &gt; 0, "(" &amp; $R22 &amp; ")", ""))))</f>
        <v>na</v>
      </c>
      <c r="E22" s="7" t="s">
        <v>195</v>
      </c>
      <c r="F22" s="7" t="s">
        <v>195</v>
      </c>
      <c r="G22" s="7" t="s">
        <v>195</v>
      </c>
      <c r="H22" s="7" t="s">
        <v>195</v>
      </c>
      <c r="I22" s="7" t="s">
        <v>195</v>
      </c>
      <c r="J22" s="7" t="s">
        <v>195</v>
      </c>
      <c r="K22" s="7" t="s">
        <v>195</v>
      </c>
      <c r="L22" s="7" t="s">
        <v>195</v>
      </c>
      <c r="M22" s="7" t="s">
        <v>29</v>
      </c>
      <c r="N22" s="7" t="s">
        <v>29</v>
      </c>
      <c r="O22" s="7" t="s">
        <v>29</v>
      </c>
      <c r="P22" s="7" t="s">
        <v>29</v>
      </c>
      <c r="Q22" s="7" t="s">
        <v>29</v>
      </c>
      <c r="R22" s="7" t="s">
        <v>29</v>
      </c>
      <c r="S22" s="7" t="s">
        <v>29</v>
      </c>
    </row>
    <row r="23" spans="1:19">
      <c r="B23" s="7" t="s">
        <v>195</v>
      </c>
      <c r="C23" s="8" t="s">
        <v>195</v>
      </c>
      <c r="D23" s="6" t="str">
        <f>LRTRIM(CONCATENATE(IF(SUMPRODUCT(-- ISNUMBER(SEARCH({"Auto Number"}, $B23))) &gt; 0, $B23, IF(SUMPRODUCT(-- ISNUMBER(SEARCH({"Lookup","Master-Detail"}, $B23))) &gt; 0,$B23 &amp; "(" &amp; $E23 &amp; ")",IF(SUMPRODUCT(-- ISNUMBER(SEARCH({"Formula","Roll-Up Summary"}, $B23))) &gt; 0,$B23 &amp; " (" &amp; $E23 &amp; ")",IF(SUMPRODUCT(-- ISNUMBER(SEARCH({"Content","Currency","Number","Percent","Text","URL"}, $B23))) &gt; 0,$B23 &amp; "(" &amp; $C23 &amp; ")",$B23)))), "  ", TRIM(IF($S23 = "YES", "(External ID)", "") &amp; " " &amp; IF(SUMPRODUCT(-- ISNUMBER(SEARCH({"Unique","Unique Case Insensitive"}, $R23))) &gt; 0, "(" &amp; $R23 &amp; ")", ""))))</f>
        <v>na</v>
      </c>
      <c r="E23" s="7" t="s">
        <v>195</v>
      </c>
      <c r="F23" s="7" t="s">
        <v>195</v>
      </c>
      <c r="G23" s="7" t="s">
        <v>195</v>
      </c>
      <c r="H23" s="7" t="s">
        <v>195</v>
      </c>
      <c r="I23" s="7" t="s">
        <v>195</v>
      </c>
      <c r="J23" s="7" t="s">
        <v>195</v>
      </c>
      <c r="K23" s="7" t="s">
        <v>195</v>
      </c>
      <c r="L23" s="7" t="s">
        <v>195</v>
      </c>
      <c r="M23" s="7" t="s">
        <v>29</v>
      </c>
      <c r="N23" s="7" t="s">
        <v>29</v>
      </c>
      <c r="O23" s="7" t="s">
        <v>29</v>
      </c>
      <c r="P23" s="7" t="s">
        <v>29</v>
      </c>
      <c r="Q23" s="7" t="s">
        <v>29</v>
      </c>
      <c r="R23" s="7" t="s">
        <v>29</v>
      </c>
      <c r="S23" s="7" t="s">
        <v>29</v>
      </c>
    </row>
    <row r="24" spans="1:19">
      <c r="B24" s="7" t="s">
        <v>195</v>
      </c>
      <c r="C24" s="8" t="s">
        <v>195</v>
      </c>
      <c r="D24" s="6" t="str">
        <f>LRTRIM(CONCATENATE(IF(SUMPRODUCT(-- ISNUMBER(SEARCH({"Auto Number"}, $B24))) &gt; 0, $B24, IF(SUMPRODUCT(-- ISNUMBER(SEARCH({"Lookup","Master-Detail"}, $B24))) &gt; 0,$B24 &amp; "(" &amp; $E24 &amp; ")",IF(SUMPRODUCT(-- ISNUMBER(SEARCH({"Formula","Roll-Up Summary"}, $B24))) &gt; 0,$B24 &amp; " (" &amp; $E24 &amp; ")",IF(SUMPRODUCT(-- ISNUMBER(SEARCH({"Content","Currency","Number","Percent","Text","URL"}, $B24))) &gt; 0,$B24 &amp; "(" &amp; $C24 &amp; ")",$B24)))), "  ", TRIM(IF($S24 = "YES", "(External ID)", "") &amp; " " &amp; IF(SUMPRODUCT(-- ISNUMBER(SEARCH({"Unique","Unique Case Insensitive"}, $R24))) &gt; 0, "(" &amp; $R24 &amp; ")", ""))))</f>
        <v>na</v>
      </c>
      <c r="E24" s="7" t="s">
        <v>195</v>
      </c>
      <c r="F24" s="7" t="s">
        <v>195</v>
      </c>
      <c r="G24" s="7" t="s">
        <v>195</v>
      </c>
      <c r="H24" s="7" t="s">
        <v>195</v>
      </c>
      <c r="I24" s="7" t="s">
        <v>195</v>
      </c>
      <c r="J24" s="7" t="s">
        <v>195</v>
      </c>
      <c r="K24" s="7" t="s">
        <v>195</v>
      </c>
      <c r="L24" s="7" t="s">
        <v>195</v>
      </c>
      <c r="M24" s="7" t="s">
        <v>29</v>
      </c>
      <c r="N24" s="7" t="s">
        <v>29</v>
      </c>
      <c r="O24" s="7" t="s">
        <v>29</v>
      </c>
      <c r="P24" s="7" t="s">
        <v>29</v>
      </c>
      <c r="Q24" s="7" t="s">
        <v>29</v>
      </c>
      <c r="R24" s="7" t="s">
        <v>29</v>
      </c>
      <c r="S24" s="7" t="s">
        <v>29</v>
      </c>
    </row>
    <row r="25" spans="1:19">
      <c r="B25" s="7" t="s">
        <v>195</v>
      </c>
      <c r="C25" s="8" t="s">
        <v>195</v>
      </c>
      <c r="D25" s="6" t="str">
        <f>LRTRIM(CONCATENATE(IF(SUMPRODUCT(-- ISNUMBER(SEARCH({"Auto Number"}, $B25))) &gt; 0, $B25, IF(SUMPRODUCT(-- ISNUMBER(SEARCH({"Lookup","Master-Detail"}, $B25))) &gt; 0,$B25 &amp; "(" &amp; $E25 &amp; ")",IF(SUMPRODUCT(-- ISNUMBER(SEARCH({"Formula","Roll-Up Summary"}, $B25))) &gt; 0,$B25 &amp; " (" &amp; $E25 &amp; ")",IF(SUMPRODUCT(-- ISNUMBER(SEARCH({"Content","Currency","Number","Percent","Text","URL"}, $B25))) &gt; 0,$B25 &amp; "(" &amp; $C25 &amp; ")",$B25)))), "  ", TRIM(IF($S25 = "YES", "(External ID)", "") &amp; " " &amp; IF(SUMPRODUCT(-- ISNUMBER(SEARCH({"Unique","Unique Case Insensitive"}, $R25))) &gt; 0, "(" &amp; $R25 &amp; ")", ""))))</f>
        <v>na</v>
      </c>
      <c r="E25" s="7" t="s">
        <v>195</v>
      </c>
      <c r="F25" s="7" t="s">
        <v>195</v>
      </c>
      <c r="G25" s="7" t="s">
        <v>195</v>
      </c>
      <c r="H25" s="7" t="s">
        <v>195</v>
      </c>
      <c r="I25" s="7" t="s">
        <v>195</v>
      </c>
      <c r="J25" s="7" t="s">
        <v>195</v>
      </c>
      <c r="K25" s="7" t="s">
        <v>195</v>
      </c>
      <c r="L25" s="7" t="s">
        <v>195</v>
      </c>
      <c r="M25" s="7" t="s">
        <v>29</v>
      </c>
      <c r="N25" s="7" t="s">
        <v>29</v>
      </c>
      <c r="O25" s="7" t="s">
        <v>29</v>
      </c>
      <c r="P25" s="7" t="s">
        <v>29</v>
      </c>
      <c r="Q25" s="7" t="s">
        <v>29</v>
      </c>
      <c r="R25" s="7" t="s">
        <v>29</v>
      </c>
      <c r="S25" s="7" t="s">
        <v>29</v>
      </c>
    </row>
    <row r="26" spans="1:19">
      <c r="B26" s="7" t="s">
        <v>195</v>
      </c>
      <c r="C26" s="8" t="s">
        <v>195</v>
      </c>
      <c r="D26" s="6" t="str">
        <f>LRTRIM(CONCATENATE(IF(SUMPRODUCT(-- ISNUMBER(SEARCH({"Auto Number"}, $B26))) &gt; 0, $B26, IF(SUMPRODUCT(-- ISNUMBER(SEARCH({"Lookup","Master-Detail"}, $B26))) &gt; 0,$B26 &amp; "(" &amp; $E26 &amp; ")",IF(SUMPRODUCT(-- ISNUMBER(SEARCH({"Formula","Roll-Up Summary"}, $B26))) &gt; 0,$B26 &amp; " (" &amp; $E26 &amp; ")",IF(SUMPRODUCT(-- ISNUMBER(SEARCH({"Content","Currency","Number","Percent","Text","URL"}, $B26))) &gt; 0,$B26 &amp; "(" &amp; $C26 &amp; ")",$B26)))), "  ", TRIM(IF($S26 = "YES", "(External ID)", "") &amp; " " &amp; IF(SUMPRODUCT(-- ISNUMBER(SEARCH({"Unique","Unique Case Insensitive"}, $R26))) &gt; 0, "(" &amp; $R26 &amp; ")", ""))))</f>
        <v>na</v>
      </c>
      <c r="E26" s="7" t="s">
        <v>195</v>
      </c>
      <c r="F26" s="7" t="s">
        <v>195</v>
      </c>
      <c r="G26" s="7" t="s">
        <v>195</v>
      </c>
      <c r="H26" s="7" t="s">
        <v>195</v>
      </c>
      <c r="I26" s="7" t="s">
        <v>195</v>
      </c>
      <c r="J26" s="7" t="s">
        <v>195</v>
      </c>
      <c r="K26" s="7" t="s">
        <v>195</v>
      </c>
      <c r="L26" s="7" t="s">
        <v>195</v>
      </c>
      <c r="M26" s="7" t="s">
        <v>29</v>
      </c>
      <c r="N26" s="7" t="s">
        <v>29</v>
      </c>
      <c r="O26" s="7" t="s">
        <v>29</v>
      </c>
      <c r="P26" s="7" t="s">
        <v>29</v>
      </c>
      <c r="Q26" s="7" t="s">
        <v>29</v>
      </c>
      <c r="R26" s="7" t="s">
        <v>29</v>
      </c>
      <c r="S26" s="7" t="s">
        <v>29</v>
      </c>
    </row>
    <row r="27" spans="1:19">
      <c r="B27" s="7" t="s">
        <v>195</v>
      </c>
      <c r="C27" s="8" t="s">
        <v>195</v>
      </c>
      <c r="D27" s="6" t="str">
        <f>LRTRIM(CONCATENATE(IF(SUMPRODUCT(-- ISNUMBER(SEARCH({"Auto Number"}, $B27))) &gt; 0, $B27, IF(SUMPRODUCT(-- ISNUMBER(SEARCH({"Lookup","Master-Detail"}, $B27))) &gt; 0,$B27 &amp; "(" &amp; $E27 &amp; ")",IF(SUMPRODUCT(-- ISNUMBER(SEARCH({"Formula","Roll-Up Summary"}, $B27))) &gt; 0,$B27 &amp; " (" &amp; $E27 &amp; ")",IF(SUMPRODUCT(-- ISNUMBER(SEARCH({"Content","Currency","Number","Percent","Text","URL"}, $B27))) &gt; 0,$B27 &amp; "(" &amp; $C27 &amp; ")",$B27)))), "  ", TRIM(IF($S27 = "YES", "(External ID)", "") &amp; " " &amp; IF(SUMPRODUCT(-- ISNUMBER(SEARCH({"Unique","Unique Case Insensitive"}, $R27))) &gt; 0, "(" &amp; $R27 &amp; ")", ""))))</f>
        <v>na</v>
      </c>
      <c r="E27" s="7" t="s">
        <v>195</v>
      </c>
      <c r="F27" s="7" t="s">
        <v>195</v>
      </c>
      <c r="G27" s="7" t="s">
        <v>195</v>
      </c>
      <c r="H27" s="7" t="s">
        <v>195</v>
      </c>
      <c r="I27" s="7" t="s">
        <v>195</v>
      </c>
      <c r="J27" s="7" t="s">
        <v>195</v>
      </c>
      <c r="K27" s="7" t="s">
        <v>195</v>
      </c>
      <c r="L27" s="7" t="s">
        <v>195</v>
      </c>
      <c r="M27" s="7" t="s">
        <v>29</v>
      </c>
      <c r="N27" s="7" t="s">
        <v>29</v>
      </c>
      <c r="O27" s="7" t="s">
        <v>29</v>
      </c>
      <c r="P27" s="7" t="s">
        <v>29</v>
      </c>
      <c r="Q27" s="7" t="s">
        <v>29</v>
      </c>
      <c r="R27" s="7" t="s">
        <v>29</v>
      </c>
      <c r="S27" s="7" t="s">
        <v>29</v>
      </c>
    </row>
    <row r="28" spans="1:19">
      <c r="B28" s="7" t="s">
        <v>195</v>
      </c>
      <c r="C28" s="8" t="s">
        <v>195</v>
      </c>
      <c r="D28" s="6" t="str">
        <f>LRTRIM(CONCATENATE(IF(SUMPRODUCT(-- ISNUMBER(SEARCH({"Auto Number"}, $B28))) &gt; 0, $B28, IF(SUMPRODUCT(-- ISNUMBER(SEARCH({"Lookup","Master-Detail"}, $B28))) &gt; 0,$B28 &amp; "(" &amp; $E28 &amp; ")",IF(SUMPRODUCT(-- ISNUMBER(SEARCH({"Formula","Roll-Up Summary"}, $B28))) &gt; 0,$B28 &amp; " (" &amp; $E28 &amp; ")",IF(SUMPRODUCT(-- ISNUMBER(SEARCH({"Content","Currency","Number","Percent","Text","URL"}, $B28))) &gt; 0,$B28 &amp; "(" &amp; $C28 &amp; ")",$B28)))), "  ", TRIM(IF($S28 = "YES", "(External ID)", "") &amp; " " &amp; IF(SUMPRODUCT(-- ISNUMBER(SEARCH({"Unique","Unique Case Insensitive"}, $R28))) &gt; 0, "(" &amp; $R28 &amp; ")", ""))))</f>
        <v>na</v>
      </c>
      <c r="E28" s="7" t="s">
        <v>195</v>
      </c>
      <c r="F28" s="7" t="s">
        <v>195</v>
      </c>
      <c r="G28" s="7" t="s">
        <v>195</v>
      </c>
      <c r="H28" s="7" t="s">
        <v>195</v>
      </c>
      <c r="I28" s="7" t="s">
        <v>195</v>
      </c>
      <c r="J28" s="7" t="s">
        <v>195</v>
      </c>
      <c r="K28" s="7" t="s">
        <v>195</v>
      </c>
      <c r="L28" s="7" t="s">
        <v>195</v>
      </c>
      <c r="M28" s="7" t="s">
        <v>29</v>
      </c>
      <c r="N28" s="7" t="s">
        <v>29</v>
      </c>
      <c r="O28" s="7" t="s">
        <v>29</v>
      </c>
      <c r="P28" s="7" t="s">
        <v>29</v>
      </c>
      <c r="Q28" s="7" t="s">
        <v>29</v>
      </c>
      <c r="R28" s="7" t="s">
        <v>29</v>
      </c>
      <c r="S28" s="7" t="s">
        <v>29</v>
      </c>
    </row>
    <row r="29" spans="1:19">
      <c r="B29" s="7" t="s">
        <v>195</v>
      </c>
      <c r="C29" s="8" t="s">
        <v>195</v>
      </c>
      <c r="D29" s="6" t="str">
        <f>LRTRIM(CONCATENATE(IF(SUMPRODUCT(-- ISNUMBER(SEARCH({"Auto Number"}, $B29))) &gt; 0, $B29, IF(SUMPRODUCT(-- ISNUMBER(SEARCH({"Lookup","Master-Detail"}, $B29))) &gt; 0,$B29 &amp; "(" &amp; $E29 &amp; ")",IF(SUMPRODUCT(-- ISNUMBER(SEARCH({"Formula","Roll-Up Summary"}, $B29))) &gt; 0,$B29 &amp; " (" &amp; $E29 &amp; ")",IF(SUMPRODUCT(-- ISNUMBER(SEARCH({"Content","Currency","Number","Percent","Text","URL"}, $B29))) &gt; 0,$B29 &amp; "(" &amp; $C29 &amp; ")",$B29)))), "  ", TRIM(IF($S29 = "YES", "(External ID)", "") &amp; " " &amp; IF(SUMPRODUCT(-- ISNUMBER(SEARCH({"Unique","Unique Case Insensitive"}, $R29))) &gt; 0, "(" &amp; $R29 &amp; ")", ""))))</f>
        <v>na</v>
      </c>
      <c r="E29" s="7" t="s">
        <v>195</v>
      </c>
      <c r="F29" s="7" t="s">
        <v>195</v>
      </c>
      <c r="G29" s="7" t="s">
        <v>195</v>
      </c>
      <c r="H29" s="7" t="s">
        <v>195</v>
      </c>
      <c r="I29" s="7" t="s">
        <v>195</v>
      </c>
      <c r="J29" s="7" t="s">
        <v>195</v>
      </c>
      <c r="K29" s="7" t="s">
        <v>195</v>
      </c>
      <c r="L29" s="7" t="s">
        <v>195</v>
      </c>
      <c r="M29" s="7" t="s">
        <v>29</v>
      </c>
      <c r="N29" s="7" t="s">
        <v>29</v>
      </c>
      <c r="O29" s="7" t="s">
        <v>29</v>
      </c>
      <c r="P29" s="7" t="s">
        <v>29</v>
      </c>
      <c r="Q29" s="7" t="s">
        <v>29</v>
      </c>
      <c r="R29" s="7" t="s">
        <v>29</v>
      </c>
      <c r="S29" s="7" t="s">
        <v>29</v>
      </c>
    </row>
    <row r="30" spans="1:19">
      <c r="B30" s="7" t="s">
        <v>195</v>
      </c>
      <c r="C30" s="8" t="s">
        <v>195</v>
      </c>
      <c r="D30" s="6" t="str">
        <f>LRTRIM(CONCATENATE(IF(SUMPRODUCT(-- ISNUMBER(SEARCH({"Auto Number"}, $B30))) &gt; 0, $B30, IF(SUMPRODUCT(-- ISNUMBER(SEARCH({"Lookup","Master-Detail"}, $B30))) &gt; 0,$B30 &amp; "(" &amp; $E30 &amp; ")",IF(SUMPRODUCT(-- ISNUMBER(SEARCH({"Formula","Roll-Up Summary"}, $B30))) &gt; 0,$B30 &amp; " (" &amp; $E30 &amp; ")",IF(SUMPRODUCT(-- ISNUMBER(SEARCH({"Content","Currency","Number","Percent","Text","URL"}, $B30))) &gt; 0,$B30 &amp; "(" &amp; $C30 &amp; ")",$B30)))), "  ", TRIM(IF($S30 = "YES", "(External ID)", "") &amp; " " &amp; IF(SUMPRODUCT(-- ISNUMBER(SEARCH({"Unique","Unique Case Insensitive"}, $R30))) &gt; 0, "(" &amp; $R30 &amp; ")", ""))))</f>
        <v>na</v>
      </c>
      <c r="E30" s="7" t="s">
        <v>195</v>
      </c>
      <c r="F30" s="7" t="s">
        <v>195</v>
      </c>
      <c r="G30" s="7" t="s">
        <v>195</v>
      </c>
      <c r="H30" s="7" t="s">
        <v>195</v>
      </c>
      <c r="I30" s="7" t="s">
        <v>195</v>
      </c>
      <c r="J30" s="7" t="s">
        <v>195</v>
      </c>
      <c r="K30" s="7" t="s">
        <v>195</v>
      </c>
      <c r="L30" s="7" t="s">
        <v>195</v>
      </c>
      <c r="M30" s="7" t="s">
        <v>29</v>
      </c>
      <c r="N30" s="7" t="s">
        <v>29</v>
      </c>
      <c r="O30" s="7" t="s">
        <v>29</v>
      </c>
      <c r="P30" s="7" t="s">
        <v>29</v>
      </c>
      <c r="Q30" s="7" t="s">
        <v>29</v>
      </c>
      <c r="R30" s="7" t="s">
        <v>29</v>
      </c>
      <c r="S30" s="7" t="s">
        <v>29</v>
      </c>
    </row>
    <row r="31" spans="1:19">
      <c r="B31" s="7" t="s">
        <v>195</v>
      </c>
      <c r="C31" s="8" t="s">
        <v>195</v>
      </c>
      <c r="D31" s="6" t="str">
        <f>LRTRIM(CONCATENATE(IF(SUMPRODUCT(-- ISNUMBER(SEARCH({"Auto Number"}, $B31))) &gt; 0, $B31, IF(SUMPRODUCT(-- ISNUMBER(SEARCH({"Lookup","Master-Detail"}, $B31))) &gt; 0,$B31 &amp; "(" &amp; $E31 &amp; ")",IF(SUMPRODUCT(-- ISNUMBER(SEARCH({"Formula","Roll-Up Summary"}, $B31))) &gt; 0,$B31 &amp; " (" &amp; $E31 &amp; ")",IF(SUMPRODUCT(-- ISNUMBER(SEARCH({"Content","Currency","Number","Percent","Text","URL"}, $B31))) &gt; 0,$B31 &amp; "(" &amp; $C31 &amp; ")",$B31)))), "  ", TRIM(IF($S31 = "YES", "(External ID)", "") &amp; " " &amp; IF(SUMPRODUCT(-- ISNUMBER(SEARCH({"Unique","Unique Case Insensitive"}, $R31))) &gt; 0, "(" &amp; $R31 &amp; ")", ""))))</f>
        <v>na</v>
      </c>
      <c r="E31" s="7" t="s">
        <v>195</v>
      </c>
      <c r="F31" s="7" t="s">
        <v>195</v>
      </c>
      <c r="G31" s="7" t="s">
        <v>195</v>
      </c>
      <c r="H31" s="7" t="s">
        <v>195</v>
      </c>
      <c r="I31" s="7" t="s">
        <v>195</v>
      </c>
      <c r="J31" s="7" t="s">
        <v>195</v>
      </c>
      <c r="K31" s="7" t="s">
        <v>195</v>
      </c>
      <c r="L31" s="7" t="s">
        <v>195</v>
      </c>
      <c r="M31" s="7" t="s">
        <v>29</v>
      </c>
      <c r="N31" s="7" t="s">
        <v>29</v>
      </c>
      <c r="O31" s="7" t="s">
        <v>29</v>
      </c>
      <c r="P31" s="7" t="s">
        <v>29</v>
      </c>
      <c r="Q31" s="7" t="s">
        <v>29</v>
      </c>
      <c r="R31" s="7" t="s">
        <v>29</v>
      </c>
      <c r="S31" s="7" t="s">
        <v>29</v>
      </c>
    </row>
    <row r="32" spans="1:19">
      <c r="B32" s="7" t="s">
        <v>195</v>
      </c>
      <c r="C32" s="8" t="s">
        <v>195</v>
      </c>
      <c r="D32" s="6" t="str">
        <f>LRTRIM(CONCATENATE(IF(SUMPRODUCT(-- ISNUMBER(SEARCH({"Auto Number"}, $B32))) &gt; 0, $B32, IF(SUMPRODUCT(-- ISNUMBER(SEARCH({"Lookup","Master-Detail"}, $B32))) &gt; 0,$B32 &amp; "(" &amp; $E32 &amp; ")",IF(SUMPRODUCT(-- ISNUMBER(SEARCH({"Formula","Roll-Up Summary"}, $B32))) &gt; 0,$B32 &amp; " (" &amp; $E32 &amp; ")",IF(SUMPRODUCT(-- ISNUMBER(SEARCH({"Content","Currency","Number","Percent","Text","URL"}, $B32))) &gt; 0,$B32 &amp; "(" &amp; $C32 &amp; ")",$B32)))), "  ", TRIM(IF($S32 = "YES", "(External ID)", "") &amp; " " &amp; IF(SUMPRODUCT(-- ISNUMBER(SEARCH({"Unique","Unique Case Insensitive"}, $R32))) &gt; 0, "(" &amp; $R32 &amp; ")", ""))))</f>
        <v>na</v>
      </c>
      <c r="E32" s="7" t="s">
        <v>195</v>
      </c>
      <c r="F32" s="7" t="s">
        <v>195</v>
      </c>
      <c r="G32" s="7" t="s">
        <v>195</v>
      </c>
      <c r="H32" s="7" t="s">
        <v>195</v>
      </c>
      <c r="I32" s="7" t="s">
        <v>195</v>
      </c>
      <c r="J32" s="7" t="s">
        <v>195</v>
      </c>
      <c r="K32" s="7" t="s">
        <v>195</v>
      </c>
      <c r="L32" s="7" t="s">
        <v>195</v>
      </c>
      <c r="M32" s="7" t="s">
        <v>29</v>
      </c>
      <c r="N32" s="7" t="s">
        <v>29</v>
      </c>
      <c r="O32" s="7" t="s">
        <v>29</v>
      </c>
      <c r="P32" s="7" t="s">
        <v>29</v>
      </c>
      <c r="Q32" s="7" t="s">
        <v>29</v>
      </c>
      <c r="R32" s="7" t="s">
        <v>29</v>
      </c>
      <c r="S32" s="7" t="s">
        <v>29</v>
      </c>
    </row>
    <row r="33" spans="2:19">
      <c r="B33" s="7" t="s">
        <v>195</v>
      </c>
      <c r="C33" s="8" t="s">
        <v>195</v>
      </c>
      <c r="D33" s="6" t="str">
        <f>LRTRIM(CONCATENATE(IF(SUMPRODUCT(-- ISNUMBER(SEARCH({"Auto Number"}, $B33))) &gt; 0, $B33, IF(SUMPRODUCT(-- ISNUMBER(SEARCH({"Lookup","Master-Detail"}, $B33))) &gt; 0,$B33 &amp; "(" &amp; $E33 &amp; ")",IF(SUMPRODUCT(-- ISNUMBER(SEARCH({"Formula","Roll-Up Summary"}, $B33))) &gt; 0,$B33 &amp; " (" &amp; $E33 &amp; ")",IF(SUMPRODUCT(-- ISNUMBER(SEARCH({"Content","Currency","Number","Percent","Text","URL"}, $B33))) &gt; 0,$B33 &amp; "(" &amp; $C33 &amp; ")",$B33)))), "  ", TRIM(IF($S33 = "YES", "(External ID)", "") &amp; " " &amp; IF(SUMPRODUCT(-- ISNUMBER(SEARCH({"Unique","Unique Case Insensitive"}, $R33))) &gt; 0, "(" &amp; $R33 &amp; ")", ""))))</f>
        <v>na</v>
      </c>
      <c r="E33" s="7" t="s">
        <v>195</v>
      </c>
      <c r="F33" s="7" t="s">
        <v>195</v>
      </c>
      <c r="G33" s="7" t="s">
        <v>195</v>
      </c>
      <c r="H33" s="7" t="s">
        <v>195</v>
      </c>
      <c r="I33" s="7" t="s">
        <v>195</v>
      </c>
      <c r="J33" s="7" t="s">
        <v>195</v>
      </c>
      <c r="K33" s="7" t="s">
        <v>195</v>
      </c>
      <c r="L33" s="7" t="s">
        <v>195</v>
      </c>
      <c r="M33" s="7" t="s">
        <v>29</v>
      </c>
      <c r="N33" s="7" t="s">
        <v>29</v>
      </c>
      <c r="O33" s="7" t="s">
        <v>29</v>
      </c>
      <c r="P33" s="7" t="s">
        <v>29</v>
      </c>
      <c r="Q33" s="7" t="s">
        <v>29</v>
      </c>
      <c r="R33" s="7" t="s">
        <v>29</v>
      </c>
      <c r="S33" s="7" t="s">
        <v>29</v>
      </c>
    </row>
    <row r="34" spans="2:19">
      <c r="B34" s="7" t="s">
        <v>195</v>
      </c>
      <c r="C34" s="8" t="s">
        <v>195</v>
      </c>
      <c r="D34" s="6" t="str">
        <f>LRTRIM(CONCATENATE(IF(SUMPRODUCT(-- ISNUMBER(SEARCH({"Auto Number"}, $B34))) &gt; 0, $B34, IF(SUMPRODUCT(-- ISNUMBER(SEARCH({"Lookup","Master-Detail"}, $B34))) &gt; 0,$B34 &amp; "(" &amp; $E34 &amp; ")",IF(SUMPRODUCT(-- ISNUMBER(SEARCH({"Formula","Roll-Up Summary"}, $B34))) &gt; 0,$B34 &amp; " (" &amp; $E34 &amp; ")",IF(SUMPRODUCT(-- ISNUMBER(SEARCH({"Content","Currency","Number","Percent","Text","URL"}, $B34))) &gt; 0,$B34 &amp; "(" &amp; $C34 &amp; ")",$B34)))), "  ", TRIM(IF($S34 = "YES", "(External ID)", "") &amp; " " &amp; IF(SUMPRODUCT(-- ISNUMBER(SEARCH({"Unique","Unique Case Insensitive"}, $R34))) &gt; 0, "(" &amp; $R34 &amp; ")", ""))))</f>
        <v>na</v>
      </c>
      <c r="E34" s="7" t="s">
        <v>195</v>
      </c>
      <c r="F34" s="7" t="s">
        <v>195</v>
      </c>
      <c r="G34" s="7" t="s">
        <v>195</v>
      </c>
      <c r="H34" s="7" t="s">
        <v>195</v>
      </c>
      <c r="I34" s="7" t="s">
        <v>195</v>
      </c>
      <c r="J34" s="7" t="s">
        <v>195</v>
      </c>
      <c r="K34" s="7" t="s">
        <v>195</v>
      </c>
      <c r="L34" s="7" t="s">
        <v>195</v>
      </c>
      <c r="M34" s="7" t="s">
        <v>29</v>
      </c>
      <c r="N34" s="7" t="s">
        <v>29</v>
      </c>
      <c r="O34" s="7" t="s">
        <v>29</v>
      </c>
      <c r="P34" s="7" t="s">
        <v>29</v>
      </c>
      <c r="Q34" s="7" t="s">
        <v>29</v>
      </c>
      <c r="R34" s="7" t="s">
        <v>29</v>
      </c>
      <c r="S34" s="7" t="s">
        <v>29</v>
      </c>
    </row>
    <row r="35" spans="2:19">
      <c r="B35" s="7" t="s">
        <v>195</v>
      </c>
      <c r="C35" s="8" t="s">
        <v>195</v>
      </c>
      <c r="D35" s="6" t="str">
        <f>LRTRIM(CONCATENATE(IF(SUMPRODUCT(-- ISNUMBER(SEARCH({"Auto Number"}, $B35))) &gt; 0, $B35, IF(SUMPRODUCT(-- ISNUMBER(SEARCH({"Lookup","Master-Detail"}, $B35))) &gt; 0,$B35 &amp; "(" &amp; $E35 &amp; ")",IF(SUMPRODUCT(-- ISNUMBER(SEARCH({"Formula","Roll-Up Summary"}, $B35))) &gt; 0,$B35 &amp; " (" &amp; $E35 &amp; ")",IF(SUMPRODUCT(-- ISNUMBER(SEARCH({"Content","Currency","Number","Percent","Text","URL"}, $B35))) &gt; 0,$B35 &amp; "(" &amp; $C35 &amp; ")",$B35)))), "  ", TRIM(IF($S35 = "YES", "(External ID)", "") &amp; " " &amp; IF(SUMPRODUCT(-- ISNUMBER(SEARCH({"Unique","Unique Case Insensitive"}, $R35))) &gt; 0, "(" &amp; $R35 &amp; ")", ""))))</f>
        <v>na</v>
      </c>
      <c r="E35" s="7" t="s">
        <v>195</v>
      </c>
      <c r="F35" s="7" t="s">
        <v>195</v>
      </c>
      <c r="G35" s="7" t="s">
        <v>195</v>
      </c>
      <c r="H35" s="7" t="s">
        <v>195</v>
      </c>
      <c r="I35" s="7" t="s">
        <v>195</v>
      </c>
      <c r="J35" s="7" t="s">
        <v>195</v>
      </c>
      <c r="K35" s="7" t="s">
        <v>195</v>
      </c>
      <c r="L35" s="7" t="s">
        <v>195</v>
      </c>
      <c r="M35" s="7" t="s">
        <v>29</v>
      </c>
      <c r="N35" s="7" t="s">
        <v>29</v>
      </c>
      <c r="O35" s="7" t="s">
        <v>29</v>
      </c>
      <c r="P35" s="7" t="s">
        <v>29</v>
      </c>
      <c r="Q35" s="7" t="s">
        <v>29</v>
      </c>
      <c r="R35" s="7" t="s">
        <v>29</v>
      </c>
      <c r="S35" s="7" t="s">
        <v>29</v>
      </c>
    </row>
    <row r="36" spans="2:19">
      <c r="B36" s="7" t="s">
        <v>195</v>
      </c>
      <c r="C36" s="8" t="s">
        <v>195</v>
      </c>
      <c r="D36" s="6" t="str">
        <f>LRTRIM(CONCATENATE(IF(SUMPRODUCT(-- ISNUMBER(SEARCH({"Auto Number"}, $B36))) &gt; 0, $B36, IF(SUMPRODUCT(-- ISNUMBER(SEARCH({"Lookup","Master-Detail"}, $B36))) &gt; 0,$B36 &amp; "(" &amp; $E36 &amp; ")",IF(SUMPRODUCT(-- ISNUMBER(SEARCH({"Formula","Roll-Up Summary"}, $B36))) &gt; 0,$B36 &amp; " (" &amp; $E36 &amp; ")",IF(SUMPRODUCT(-- ISNUMBER(SEARCH({"Content","Currency","Number","Percent","Text","URL"}, $B36))) &gt; 0,$B36 &amp; "(" &amp; $C36 &amp; ")",$B36)))), "  ", TRIM(IF($S36 = "YES", "(External ID)", "") &amp; " " &amp; IF(SUMPRODUCT(-- ISNUMBER(SEARCH({"Unique","Unique Case Insensitive"}, $R36))) &gt; 0, "(" &amp; $R36 &amp; ")", ""))))</f>
        <v>na</v>
      </c>
      <c r="E36" s="7" t="s">
        <v>195</v>
      </c>
      <c r="F36" s="7" t="s">
        <v>195</v>
      </c>
      <c r="G36" s="7" t="s">
        <v>195</v>
      </c>
      <c r="H36" s="7" t="s">
        <v>195</v>
      </c>
      <c r="I36" s="7" t="s">
        <v>195</v>
      </c>
      <c r="J36" s="7" t="s">
        <v>195</v>
      </c>
      <c r="K36" s="7" t="s">
        <v>195</v>
      </c>
      <c r="L36" s="7" t="s">
        <v>195</v>
      </c>
      <c r="M36" s="7" t="s">
        <v>29</v>
      </c>
      <c r="N36" s="7" t="s">
        <v>29</v>
      </c>
      <c r="O36" s="7" t="s">
        <v>29</v>
      </c>
      <c r="P36" s="7" t="s">
        <v>29</v>
      </c>
      <c r="Q36" s="7" t="s">
        <v>29</v>
      </c>
      <c r="R36" s="7" t="s">
        <v>29</v>
      </c>
      <c r="S36" s="7" t="s">
        <v>29</v>
      </c>
    </row>
    <row r="37" spans="2:19">
      <c r="B37" s="7" t="s">
        <v>195</v>
      </c>
      <c r="C37" s="8" t="s">
        <v>195</v>
      </c>
      <c r="D37" s="6" t="str">
        <f>LRTRIM(CONCATENATE(IF(SUMPRODUCT(-- ISNUMBER(SEARCH({"Auto Number"}, $B37))) &gt; 0, $B37, IF(SUMPRODUCT(-- ISNUMBER(SEARCH({"Lookup","Master-Detail"}, $B37))) &gt; 0,$B37 &amp; "(" &amp; $E37 &amp; ")",IF(SUMPRODUCT(-- ISNUMBER(SEARCH({"Formula","Roll-Up Summary"}, $B37))) &gt; 0,$B37 &amp; " (" &amp; $E37 &amp; ")",IF(SUMPRODUCT(-- ISNUMBER(SEARCH({"Content","Currency","Number","Percent","Text","URL"}, $B37))) &gt; 0,$B37 &amp; "(" &amp; $C37 &amp; ")",$B37)))), "  ", TRIM(IF($S37 = "YES", "(External ID)", "") &amp; " " &amp; IF(SUMPRODUCT(-- ISNUMBER(SEARCH({"Unique","Unique Case Insensitive"}, $R37))) &gt; 0, "(" &amp; $R37 &amp; ")", ""))))</f>
        <v>na</v>
      </c>
      <c r="E37" s="7" t="s">
        <v>195</v>
      </c>
      <c r="F37" s="7" t="s">
        <v>195</v>
      </c>
      <c r="G37" s="7" t="s">
        <v>195</v>
      </c>
      <c r="H37" s="7" t="s">
        <v>195</v>
      </c>
      <c r="I37" s="7" t="s">
        <v>195</v>
      </c>
      <c r="J37" s="7" t="s">
        <v>195</v>
      </c>
      <c r="K37" s="7" t="s">
        <v>195</v>
      </c>
      <c r="L37" s="7" t="s">
        <v>195</v>
      </c>
      <c r="M37" s="7" t="s">
        <v>29</v>
      </c>
      <c r="N37" s="7" t="s">
        <v>29</v>
      </c>
      <c r="O37" s="7" t="s">
        <v>29</v>
      </c>
      <c r="P37" s="7" t="s">
        <v>29</v>
      </c>
      <c r="Q37" s="7" t="s">
        <v>29</v>
      </c>
      <c r="R37" s="7" t="s">
        <v>29</v>
      </c>
      <c r="S37" s="7" t="s">
        <v>29</v>
      </c>
    </row>
    <row r="38" spans="2:19">
      <c r="B38" s="7" t="s">
        <v>195</v>
      </c>
      <c r="C38" s="8" t="s">
        <v>195</v>
      </c>
      <c r="D38" s="6" t="str">
        <f>LRTRIM(CONCATENATE(IF(SUMPRODUCT(-- ISNUMBER(SEARCH({"Auto Number"}, $B38))) &gt; 0, $B38, IF(SUMPRODUCT(-- ISNUMBER(SEARCH({"Lookup","Master-Detail"}, $B38))) &gt; 0,$B38 &amp; "(" &amp; $E38 &amp; ")",IF(SUMPRODUCT(-- ISNUMBER(SEARCH({"Formula","Roll-Up Summary"}, $B38))) &gt; 0,$B38 &amp; " (" &amp; $E38 &amp; ")",IF(SUMPRODUCT(-- ISNUMBER(SEARCH({"Content","Currency","Number","Percent","Text","URL"}, $B38))) &gt; 0,$B38 &amp; "(" &amp; $C38 &amp; ")",$B38)))), "  ", TRIM(IF($S38 = "YES", "(External ID)", "") &amp; " " &amp; IF(SUMPRODUCT(-- ISNUMBER(SEARCH({"Unique","Unique Case Insensitive"}, $R38))) &gt; 0, "(" &amp; $R38 &amp; ")", ""))))</f>
        <v>na</v>
      </c>
      <c r="E38" s="7" t="s">
        <v>195</v>
      </c>
      <c r="F38" s="7" t="s">
        <v>195</v>
      </c>
      <c r="G38" s="7" t="s">
        <v>195</v>
      </c>
      <c r="H38" s="7" t="s">
        <v>195</v>
      </c>
      <c r="I38" s="7" t="s">
        <v>195</v>
      </c>
      <c r="J38" s="7" t="s">
        <v>195</v>
      </c>
      <c r="K38" s="7" t="s">
        <v>195</v>
      </c>
      <c r="L38" s="7" t="s">
        <v>195</v>
      </c>
      <c r="M38" s="7" t="s">
        <v>29</v>
      </c>
      <c r="N38" s="7" t="s">
        <v>29</v>
      </c>
      <c r="O38" s="7" t="s">
        <v>29</v>
      </c>
      <c r="P38" s="7" t="s">
        <v>29</v>
      </c>
      <c r="Q38" s="7" t="s">
        <v>29</v>
      </c>
      <c r="R38" s="7" t="s">
        <v>29</v>
      </c>
      <c r="S38" s="7" t="s">
        <v>29</v>
      </c>
    </row>
    <row r="39" spans="2:19">
      <c r="B39" s="7" t="s">
        <v>195</v>
      </c>
      <c r="C39" s="8" t="s">
        <v>195</v>
      </c>
      <c r="D39" s="6" t="str">
        <f>LRTRIM(CONCATENATE(IF(SUMPRODUCT(-- ISNUMBER(SEARCH({"Auto Number"}, $B39))) &gt; 0, $B39, IF(SUMPRODUCT(-- ISNUMBER(SEARCH({"Lookup","Master-Detail"}, $B39))) &gt; 0,$B39 &amp; "(" &amp; $E39 &amp; ")",IF(SUMPRODUCT(-- ISNUMBER(SEARCH({"Formula","Roll-Up Summary"}, $B39))) &gt; 0,$B39 &amp; " (" &amp; $E39 &amp; ")",IF(SUMPRODUCT(-- ISNUMBER(SEARCH({"Content","Currency","Number","Percent","Text","URL"}, $B39))) &gt; 0,$B39 &amp; "(" &amp; $C39 &amp; ")",$B39)))), "  ", TRIM(IF($S39 = "YES", "(External ID)", "") &amp; " " &amp; IF(SUMPRODUCT(-- ISNUMBER(SEARCH({"Unique","Unique Case Insensitive"}, $R39))) &gt; 0, "(" &amp; $R39 &amp; ")", ""))))</f>
        <v>na</v>
      </c>
      <c r="E39" s="7" t="s">
        <v>195</v>
      </c>
      <c r="F39" s="7" t="s">
        <v>195</v>
      </c>
      <c r="G39" s="7" t="s">
        <v>195</v>
      </c>
      <c r="H39" s="7" t="s">
        <v>195</v>
      </c>
      <c r="I39" s="7" t="s">
        <v>195</v>
      </c>
      <c r="J39" s="7" t="s">
        <v>195</v>
      </c>
      <c r="K39" s="7" t="s">
        <v>195</v>
      </c>
      <c r="L39" s="7" t="s">
        <v>195</v>
      </c>
      <c r="M39" s="7" t="s">
        <v>29</v>
      </c>
      <c r="N39" s="7" t="s">
        <v>29</v>
      </c>
      <c r="O39" s="7" t="s">
        <v>29</v>
      </c>
      <c r="P39" s="7" t="s">
        <v>29</v>
      </c>
      <c r="Q39" s="7" t="s">
        <v>29</v>
      </c>
      <c r="R39" s="7" t="s">
        <v>29</v>
      </c>
      <c r="S39" s="7" t="s">
        <v>29</v>
      </c>
    </row>
    <row r="40" spans="2:19">
      <c r="B40" s="7" t="s">
        <v>195</v>
      </c>
      <c r="C40" s="8" t="s">
        <v>195</v>
      </c>
      <c r="D40" s="6" t="str">
        <f>LRTRIM(CONCATENATE(IF(SUMPRODUCT(-- ISNUMBER(SEARCH({"Auto Number"}, $B40))) &gt; 0, $B40, IF(SUMPRODUCT(-- ISNUMBER(SEARCH({"Lookup","Master-Detail"}, $B40))) &gt; 0,$B40 &amp; "(" &amp; $E40 &amp; ")",IF(SUMPRODUCT(-- ISNUMBER(SEARCH({"Formula","Roll-Up Summary"}, $B40))) &gt; 0,$B40 &amp; " (" &amp; $E40 &amp; ")",IF(SUMPRODUCT(-- ISNUMBER(SEARCH({"Content","Currency","Number","Percent","Text","URL"}, $B40))) &gt; 0,$B40 &amp; "(" &amp; $C40 &amp; ")",$B40)))), "  ", TRIM(IF($S40 = "YES", "(External ID)", "") &amp; " " &amp; IF(SUMPRODUCT(-- ISNUMBER(SEARCH({"Unique","Unique Case Insensitive"}, $R40))) &gt; 0, "(" &amp; $R40 &amp; ")", ""))))</f>
        <v>na</v>
      </c>
      <c r="E40" s="7" t="s">
        <v>195</v>
      </c>
      <c r="F40" s="7" t="s">
        <v>195</v>
      </c>
      <c r="G40" s="7" t="s">
        <v>195</v>
      </c>
      <c r="H40" s="7" t="s">
        <v>195</v>
      </c>
      <c r="I40" s="7" t="s">
        <v>195</v>
      </c>
      <c r="J40" s="7" t="s">
        <v>195</v>
      </c>
      <c r="K40" s="7" t="s">
        <v>195</v>
      </c>
      <c r="L40" s="7" t="s">
        <v>195</v>
      </c>
      <c r="M40" s="7" t="s">
        <v>29</v>
      </c>
      <c r="N40" s="7" t="s">
        <v>29</v>
      </c>
      <c r="O40" s="7" t="s">
        <v>29</v>
      </c>
      <c r="P40" s="7" t="s">
        <v>29</v>
      </c>
      <c r="Q40" s="7" t="s">
        <v>29</v>
      </c>
      <c r="R40" s="7" t="s">
        <v>29</v>
      </c>
      <c r="S40" s="7" t="s">
        <v>29</v>
      </c>
    </row>
    <row r="41" spans="2:19">
      <c r="B41" s="7" t="s">
        <v>195</v>
      </c>
      <c r="C41" s="8" t="s">
        <v>195</v>
      </c>
      <c r="D41" s="6" t="str">
        <f>LRTRIM(CONCATENATE(IF(SUMPRODUCT(-- ISNUMBER(SEARCH({"Auto Number"}, $B41))) &gt; 0, $B41, IF(SUMPRODUCT(-- ISNUMBER(SEARCH({"Lookup","Master-Detail"}, $B41))) &gt; 0,$B41 &amp; "(" &amp; $E41 &amp; ")",IF(SUMPRODUCT(-- ISNUMBER(SEARCH({"Formula","Roll-Up Summary"}, $B41))) &gt; 0,$B41 &amp; " (" &amp; $E41 &amp; ")",IF(SUMPRODUCT(-- ISNUMBER(SEARCH({"Content","Currency","Number","Percent","Text","URL"}, $B41))) &gt; 0,$B41 &amp; "(" &amp; $C41 &amp; ")",$B41)))), "  ", TRIM(IF($S41 = "YES", "(External ID)", "") &amp; " " &amp; IF(SUMPRODUCT(-- ISNUMBER(SEARCH({"Unique","Unique Case Insensitive"}, $R41))) &gt; 0, "(" &amp; $R41 &amp; ")", ""))))</f>
        <v>na</v>
      </c>
      <c r="E41" s="7" t="s">
        <v>195</v>
      </c>
      <c r="F41" s="7" t="s">
        <v>195</v>
      </c>
      <c r="G41" s="7" t="s">
        <v>195</v>
      </c>
      <c r="H41" s="7" t="s">
        <v>195</v>
      </c>
      <c r="I41" s="7" t="s">
        <v>195</v>
      </c>
      <c r="J41" s="7" t="s">
        <v>195</v>
      </c>
      <c r="K41" s="7" t="s">
        <v>195</v>
      </c>
      <c r="L41" s="7" t="s">
        <v>195</v>
      </c>
      <c r="M41" s="7" t="s">
        <v>29</v>
      </c>
      <c r="N41" s="7" t="s">
        <v>29</v>
      </c>
      <c r="O41" s="7" t="s">
        <v>29</v>
      </c>
      <c r="P41" s="7" t="s">
        <v>29</v>
      </c>
      <c r="Q41" s="7" t="s">
        <v>29</v>
      </c>
      <c r="R41" s="7" t="s">
        <v>29</v>
      </c>
      <c r="S41" s="7" t="s">
        <v>29</v>
      </c>
    </row>
    <row r="42" spans="2:19">
      <c r="B42" s="7" t="s">
        <v>195</v>
      </c>
      <c r="C42" s="8" t="s">
        <v>195</v>
      </c>
      <c r="D42" s="6" t="str">
        <f>LRTRIM(CONCATENATE(IF(SUMPRODUCT(-- ISNUMBER(SEARCH({"Auto Number"}, $B42))) &gt; 0, $B42, IF(SUMPRODUCT(-- ISNUMBER(SEARCH({"Lookup","Master-Detail"}, $B42))) &gt; 0,$B42 &amp; "(" &amp; $E42 &amp; ")",IF(SUMPRODUCT(-- ISNUMBER(SEARCH({"Formula","Roll-Up Summary"}, $B42))) &gt; 0,$B42 &amp; " (" &amp; $E42 &amp; ")",IF(SUMPRODUCT(-- ISNUMBER(SEARCH({"Content","Currency","Number","Percent","Text","URL"}, $B42))) &gt; 0,$B42 &amp; "(" &amp; $C42 &amp; ")",$B42)))), "  ", TRIM(IF($S42 = "YES", "(External ID)", "") &amp; " " &amp; IF(SUMPRODUCT(-- ISNUMBER(SEARCH({"Unique","Unique Case Insensitive"}, $R42))) &gt; 0, "(" &amp; $R42 &amp; ")", ""))))</f>
        <v>na</v>
      </c>
      <c r="E42" s="7" t="s">
        <v>195</v>
      </c>
      <c r="F42" s="7" t="s">
        <v>195</v>
      </c>
      <c r="G42" s="7" t="s">
        <v>195</v>
      </c>
      <c r="H42" s="7" t="s">
        <v>195</v>
      </c>
      <c r="I42" s="7" t="s">
        <v>195</v>
      </c>
      <c r="J42" s="7" t="s">
        <v>195</v>
      </c>
      <c r="K42" s="7" t="s">
        <v>195</v>
      </c>
      <c r="L42" s="7" t="s">
        <v>195</v>
      </c>
      <c r="M42" s="7" t="s">
        <v>29</v>
      </c>
      <c r="N42" s="7" t="s">
        <v>29</v>
      </c>
      <c r="O42" s="7" t="s">
        <v>29</v>
      </c>
      <c r="P42" s="7" t="s">
        <v>29</v>
      </c>
      <c r="Q42" s="7" t="s">
        <v>29</v>
      </c>
      <c r="R42" s="7" t="s">
        <v>29</v>
      </c>
      <c r="S42" s="7" t="s">
        <v>29</v>
      </c>
    </row>
    <row r="43" spans="2:19">
      <c r="B43" s="7" t="s">
        <v>195</v>
      </c>
      <c r="C43" s="8" t="s">
        <v>195</v>
      </c>
      <c r="D43" s="6" t="str">
        <f>LRTRIM(CONCATENATE(IF(SUMPRODUCT(-- ISNUMBER(SEARCH({"Auto Number"}, $B43))) &gt; 0, $B43, IF(SUMPRODUCT(-- ISNUMBER(SEARCH({"Lookup","Master-Detail"}, $B43))) &gt; 0,$B43 &amp; "(" &amp; $E43 &amp; ")",IF(SUMPRODUCT(-- ISNUMBER(SEARCH({"Formula","Roll-Up Summary"}, $B43))) &gt; 0,$B43 &amp; " (" &amp; $E43 &amp; ")",IF(SUMPRODUCT(-- ISNUMBER(SEARCH({"Content","Currency","Number","Percent","Text","URL"}, $B43))) &gt; 0,$B43 &amp; "(" &amp; $C43 &amp; ")",$B43)))), "  ", TRIM(IF($S43 = "YES", "(External ID)", "") &amp; " " &amp; IF(SUMPRODUCT(-- ISNUMBER(SEARCH({"Unique","Unique Case Insensitive"}, $R43))) &gt; 0, "(" &amp; $R43 &amp; ")", ""))))</f>
        <v>na</v>
      </c>
      <c r="E43" s="7" t="s">
        <v>195</v>
      </c>
      <c r="F43" s="7" t="s">
        <v>195</v>
      </c>
      <c r="G43" s="7" t="s">
        <v>195</v>
      </c>
      <c r="H43" s="7" t="s">
        <v>195</v>
      </c>
      <c r="I43" s="7" t="s">
        <v>195</v>
      </c>
      <c r="J43" s="7" t="s">
        <v>195</v>
      </c>
      <c r="K43" s="7" t="s">
        <v>195</v>
      </c>
      <c r="L43" s="7" t="s">
        <v>195</v>
      </c>
      <c r="M43" s="7" t="s">
        <v>29</v>
      </c>
      <c r="N43" s="7" t="s">
        <v>29</v>
      </c>
      <c r="O43" s="7" t="s">
        <v>29</v>
      </c>
      <c r="P43" s="7" t="s">
        <v>29</v>
      </c>
      <c r="Q43" s="7" t="s">
        <v>29</v>
      </c>
      <c r="R43" s="7" t="s">
        <v>29</v>
      </c>
      <c r="S43" s="7" t="s">
        <v>29</v>
      </c>
    </row>
    <row r="44" spans="2:19">
      <c r="B44" s="7" t="s">
        <v>195</v>
      </c>
      <c r="C44" s="8" t="s">
        <v>195</v>
      </c>
      <c r="D44" s="6" t="str">
        <f>LRTRIM(CONCATENATE(IF(SUMPRODUCT(-- ISNUMBER(SEARCH({"Auto Number"}, $B44))) &gt; 0, $B44, IF(SUMPRODUCT(-- ISNUMBER(SEARCH({"Lookup","Master-Detail"}, $B44))) &gt; 0,$B44 &amp; "(" &amp; $E44 &amp; ")",IF(SUMPRODUCT(-- ISNUMBER(SEARCH({"Formula","Roll-Up Summary"}, $B44))) &gt; 0,$B44 &amp; " (" &amp; $E44 &amp; ")",IF(SUMPRODUCT(-- ISNUMBER(SEARCH({"Content","Currency","Number","Percent","Text","URL"}, $B44))) &gt; 0,$B44 &amp; "(" &amp; $C44 &amp; ")",$B44)))), "  ", TRIM(IF($S44 = "YES", "(External ID)", "") &amp; " " &amp; IF(SUMPRODUCT(-- ISNUMBER(SEARCH({"Unique","Unique Case Insensitive"}, $R44))) &gt; 0, "(" &amp; $R44 &amp; ")", ""))))</f>
        <v>na</v>
      </c>
      <c r="E44" s="7" t="s">
        <v>195</v>
      </c>
      <c r="F44" s="7" t="s">
        <v>195</v>
      </c>
      <c r="G44" s="7" t="s">
        <v>195</v>
      </c>
      <c r="H44" s="7" t="s">
        <v>195</v>
      </c>
      <c r="I44" s="7" t="s">
        <v>195</v>
      </c>
      <c r="J44" s="7" t="s">
        <v>195</v>
      </c>
      <c r="K44" s="7" t="s">
        <v>195</v>
      </c>
      <c r="L44" s="7" t="s">
        <v>195</v>
      </c>
      <c r="M44" s="7" t="s">
        <v>29</v>
      </c>
      <c r="N44" s="7" t="s">
        <v>29</v>
      </c>
      <c r="O44" s="7" t="s">
        <v>29</v>
      </c>
      <c r="P44" s="7" t="s">
        <v>29</v>
      </c>
      <c r="Q44" s="7" t="s">
        <v>29</v>
      </c>
      <c r="R44" s="7" t="s">
        <v>29</v>
      </c>
      <c r="S44" s="7" t="s">
        <v>29</v>
      </c>
    </row>
    <row r="45" spans="2:19">
      <c r="B45" s="7" t="s">
        <v>195</v>
      </c>
      <c r="C45" s="8" t="s">
        <v>195</v>
      </c>
      <c r="D45" s="6" t="str">
        <f>LRTRIM(CONCATENATE(IF(SUMPRODUCT(-- ISNUMBER(SEARCH({"Auto Number"}, $B45))) &gt; 0, $B45, IF(SUMPRODUCT(-- ISNUMBER(SEARCH({"Lookup","Master-Detail"}, $B45))) &gt; 0,$B45 &amp; "(" &amp; $E45 &amp; ")",IF(SUMPRODUCT(-- ISNUMBER(SEARCH({"Formula","Roll-Up Summary"}, $B45))) &gt; 0,$B45 &amp; " (" &amp; $E45 &amp; ")",IF(SUMPRODUCT(-- ISNUMBER(SEARCH({"Content","Currency","Number","Percent","Text","URL"}, $B45))) &gt; 0,$B45 &amp; "(" &amp; $C45 &amp; ")",$B45)))), "  ", TRIM(IF($S45 = "YES", "(External ID)", "") &amp; " " &amp; IF(SUMPRODUCT(-- ISNUMBER(SEARCH({"Unique","Unique Case Insensitive"}, $R45))) &gt; 0, "(" &amp; $R45 &amp; ")", ""))))</f>
        <v>na</v>
      </c>
      <c r="E45" s="7" t="s">
        <v>195</v>
      </c>
      <c r="F45" s="7" t="s">
        <v>195</v>
      </c>
      <c r="G45" s="7" t="s">
        <v>195</v>
      </c>
      <c r="H45" s="7" t="s">
        <v>195</v>
      </c>
      <c r="I45" s="7" t="s">
        <v>195</v>
      </c>
      <c r="J45" s="7" t="s">
        <v>195</v>
      </c>
      <c r="K45" s="7" t="s">
        <v>195</v>
      </c>
      <c r="L45" s="7" t="s">
        <v>195</v>
      </c>
      <c r="M45" s="7" t="s">
        <v>29</v>
      </c>
      <c r="N45" s="7" t="s">
        <v>29</v>
      </c>
      <c r="O45" s="7" t="s">
        <v>29</v>
      </c>
      <c r="P45" s="7" t="s">
        <v>29</v>
      </c>
      <c r="Q45" s="7" t="s">
        <v>29</v>
      </c>
      <c r="R45" s="7" t="s">
        <v>29</v>
      </c>
      <c r="S45" s="7" t="s">
        <v>29</v>
      </c>
    </row>
    <row r="46" spans="2:19">
      <c r="B46" s="7" t="s">
        <v>195</v>
      </c>
      <c r="C46" s="8" t="s">
        <v>195</v>
      </c>
      <c r="D46" s="6" t="str">
        <f>LRTRIM(CONCATENATE(IF(SUMPRODUCT(-- ISNUMBER(SEARCH({"Auto Number"}, $B46))) &gt; 0, $B46, IF(SUMPRODUCT(-- ISNUMBER(SEARCH({"Lookup","Master-Detail"}, $B46))) &gt; 0,$B46 &amp; "(" &amp; $E46 &amp; ")",IF(SUMPRODUCT(-- ISNUMBER(SEARCH({"Formula","Roll-Up Summary"}, $B46))) &gt; 0,$B46 &amp; " (" &amp; $E46 &amp; ")",IF(SUMPRODUCT(-- ISNUMBER(SEARCH({"Content","Currency","Number","Percent","Text","URL"}, $B46))) &gt; 0,$B46 &amp; "(" &amp; $C46 &amp; ")",$B46)))), "  ", TRIM(IF($S46 = "YES", "(External ID)", "") &amp; " " &amp; IF(SUMPRODUCT(-- ISNUMBER(SEARCH({"Unique","Unique Case Insensitive"}, $R46))) &gt; 0, "(" &amp; $R46 &amp; ")", ""))))</f>
        <v>na</v>
      </c>
      <c r="E46" s="7" t="s">
        <v>195</v>
      </c>
      <c r="F46" s="7" t="s">
        <v>195</v>
      </c>
      <c r="G46" s="7" t="s">
        <v>195</v>
      </c>
      <c r="H46" s="7" t="s">
        <v>195</v>
      </c>
      <c r="I46" s="7" t="s">
        <v>195</v>
      </c>
      <c r="J46" s="7" t="s">
        <v>195</v>
      </c>
      <c r="K46" s="7" t="s">
        <v>195</v>
      </c>
      <c r="L46" s="7" t="s">
        <v>195</v>
      </c>
      <c r="M46" s="7" t="s">
        <v>29</v>
      </c>
      <c r="N46" s="7" t="s">
        <v>29</v>
      </c>
      <c r="O46" s="7" t="s">
        <v>29</v>
      </c>
      <c r="P46" s="7" t="s">
        <v>29</v>
      </c>
      <c r="Q46" s="7" t="s">
        <v>29</v>
      </c>
      <c r="R46" s="7" t="s">
        <v>29</v>
      </c>
      <c r="S46" s="7" t="s">
        <v>29</v>
      </c>
    </row>
    <row r="47" spans="2:19">
      <c r="B47" s="7" t="s">
        <v>195</v>
      </c>
      <c r="C47" s="8" t="s">
        <v>195</v>
      </c>
      <c r="D47" s="6" t="str">
        <f>LRTRIM(CONCATENATE(IF(SUMPRODUCT(-- ISNUMBER(SEARCH({"Auto Number"}, $B47))) &gt; 0, $B47, IF(SUMPRODUCT(-- ISNUMBER(SEARCH({"Lookup","Master-Detail"}, $B47))) &gt; 0,$B47 &amp; "(" &amp; $E47 &amp; ")",IF(SUMPRODUCT(-- ISNUMBER(SEARCH({"Formula","Roll-Up Summary"}, $B47))) &gt; 0,$B47 &amp; " (" &amp; $E47 &amp; ")",IF(SUMPRODUCT(-- ISNUMBER(SEARCH({"Content","Currency","Number","Percent","Text","URL"}, $B47))) &gt; 0,$B47 &amp; "(" &amp; $C47 &amp; ")",$B47)))), "  ", TRIM(IF($S47 = "YES", "(External ID)", "") &amp; " " &amp; IF(SUMPRODUCT(-- ISNUMBER(SEARCH({"Unique","Unique Case Insensitive"}, $R47))) &gt; 0, "(" &amp; $R47 &amp; ")", ""))))</f>
        <v>na</v>
      </c>
      <c r="E47" s="7" t="s">
        <v>195</v>
      </c>
      <c r="F47" s="7" t="s">
        <v>195</v>
      </c>
      <c r="G47" s="7" t="s">
        <v>195</v>
      </c>
      <c r="H47" s="7" t="s">
        <v>195</v>
      </c>
      <c r="I47" s="7" t="s">
        <v>195</v>
      </c>
      <c r="J47" s="7" t="s">
        <v>195</v>
      </c>
      <c r="K47" s="7" t="s">
        <v>195</v>
      </c>
      <c r="L47" s="7" t="s">
        <v>195</v>
      </c>
      <c r="M47" s="7" t="s">
        <v>29</v>
      </c>
      <c r="N47" s="7" t="s">
        <v>29</v>
      </c>
      <c r="O47" s="7" t="s">
        <v>29</v>
      </c>
      <c r="P47" s="7" t="s">
        <v>29</v>
      </c>
      <c r="Q47" s="7" t="s">
        <v>29</v>
      </c>
      <c r="R47" s="7" t="s">
        <v>29</v>
      </c>
      <c r="S47" s="7" t="s">
        <v>29</v>
      </c>
    </row>
    <row r="48" spans="2:19">
      <c r="B48" s="7" t="s">
        <v>195</v>
      </c>
      <c r="C48" s="8" t="s">
        <v>195</v>
      </c>
      <c r="D48" s="6" t="str">
        <f>LRTRIM(CONCATENATE(IF(SUMPRODUCT(-- ISNUMBER(SEARCH({"Auto Number"}, $B48))) &gt; 0, $B48, IF(SUMPRODUCT(-- ISNUMBER(SEARCH({"Lookup","Master-Detail"}, $B48))) &gt; 0,$B48 &amp; "(" &amp; $E48 &amp; ")",IF(SUMPRODUCT(-- ISNUMBER(SEARCH({"Formula","Roll-Up Summary"}, $B48))) &gt; 0,$B48 &amp; " (" &amp; $E48 &amp; ")",IF(SUMPRODUCT(-- ISNUMBER(SEARCH({"Content","Currency","Number","Percent","Text","URL"}, $B48))) &gt; 0,$B48 &amp; "(" &amp; $C48 &amp; ")",$B48)))), "  ", TRIM(IF($S48 = "YES", "(External ID)", "") &amp; " " &amp; IF(SUMPRODUCT(-- ISNUMBER(SEARCH({"Unique","Unique Case Insensitive"}, $R48))) &gt; 0, "(" &amp; $R48 &amp; ")", ""))))</f>
        <v>na</v>
      </c>
      <c r="E48" s="7" t="s">
        <v>195</v>
      </c>
      <c r="F48" s="7" t="s">
        <v>195</v>
      </c>
      <c r="G48" s="7" t="s">
        <v>195</v>
      </c>
      <c r="H48" s="7" t="s">
        <v>195</v>
      </c>
      <c r="I48" s="7" t="s">
        <v>195</v>
      </c>
      <c r="J48" s="7" t="s">
        <v>195</v>
      </c>
      <c r="K48" s="7" t="s">
        <v>195</v>
      </c>
      <c r="L48" s="7" t="s">
        <v>195</v>
      </c>
      <c r="M48" s="7" t="s">
        <v>29</v>
      </c>
      <c r="N48" s="7" t="s">
        <v>29</v>
      </c>
      <c r="O48" s="7" t="s">
        <v>29</v>
      </c>
      <c r="P48" s="7" t="s">
        <v>29</v>
      </c>
      <c r="Q48" s="7" t="s">
        <v>29</v>
      </c>
      <c r="R48" s="7" t="s">
        <v>29</v>
      </c>
      <c r="S48" s="7" t="s">
        <v>29</v>
      </c>
    </row>
    <row r="49" spans="2:19">
      <c r="B49" s="7" t="s">
        <v>195</v>
      </c>
      <c r="C49" s="8" t="s">
        <v>195</v>
      </c>
      <c r="D49" s="6" t="str">
        <f>LRTRIM(CONCATENATE(IF(SUMPRODUCT(-- ISNUMBER(SEARCH({"Auto Number"}, $B49))) &gt; 0, $B49, IF(SUMPRODUCT(-- ISNUMBER(SEARCH({"Lookup","Master-Detail"}, $B49))) &gt; 0,$B49 &amp; "(" &amp; $E49 &amp; ")",IF(SUMPRODUCT(-- ISNUMBER(SEARCH({"Formula","Roll-Up Summary"}, $B49))) &gt; 0,$B49 &amp; " (" &amp; $E49 &amp; ")",IF(SUMPRODUCT(-- ISNUMBER(SEARCH({"Content","Currency","Number","Percent","Text","URL"}, $B49))) &gt; 0,$B49 &amp; "(" &amp; $C49 &amp; ")",$B49)))), "  ", TRIM(IF($S49 = "YES", "(External ID)", "") &amp; " " &amp; IF(SUMPRODUCT(-- ISNUMBER(SEARCH({"Unique","Unique Case Insensitive"}, $R49))) &gt; 0, "(" &amp; $R49 &amp; ")", ""))))</f>
        <v>na</v>
      </c>
      <c r="E49" s="7" t="s">
        <v>195</v>
      </c>
      <c r="F49" s="7" t="s">
        <v>195</v>
      </c>
      <c r="G49" s="7" t="s">
        <v>195</v>
      </c>
      <c r="H49" s="7" t="s">
        <v>195</v>
      </c>
      <c r="I49" s="7" t="s">
        <v>195</v>
      </c>
      <c r="J49" s="7" t="s">
        <v>195</v>
      </c>
      <c r="K49" s="7" t="s">
        <v>195</v>
      </c>
      <c r="L49" s="7" t="s">
        <v>195</v>
      </c>
      <c r="M49" s="7" t="s">
        <v>29</v>
      </c>
      <c r="N49" s="7" t="s">
        <v>29</v>
      </c>
      <c r="O49" s="7" t="s">
        <v>29</v>
      </c>
      <c r="P49" s="7" t="s">
        <v>29</v>
      </c>
      <c r="Q49" s="7" t="s">
        <v>29</v>
      </c>
      <c r="R49" s="7" t="s">
        <v>29</v>
      </c>
      <c r="S49" s="7" t="s">
        <v>29</v>
      </c>
    </row>
    <row r="50" spans="2:19">
      <c r="B50" s="7" t="s">
        <v>195</v>
      </c>
      <c r="C50" s="8" t="s">
        <v>195</v>
      </c>
      <c r="D50" s="6" t="str">
        <f>LRTRIM(CONCATENATE(IF(SUMPRODUCT(-- ISNUMBER(SEARCH({"Auto Number"}, $B50))) &gt; 0, $B50, IF(SUMPRODUCT(-- ISNUMBER(SEARCH({"Lookup","Master-Detail"}, $B50))) &gt; 0,$B50 &amp; "(" &amp; $E50 &amp; ")",IF(SUMPRODUCT(-- ISNUMBER(SEARCH({"Formula","Roll-Up Summary"}, $B50))) &gt; 0,$B50 &amp; " (" &amp; $E50 &amp; ")",IF(SUMPRODUCT(-- ISNUMBER(SEARCH({"Content","Currency","Number","Percent","Text","URL"}, $B50))) &gt; 0,$B50 &amp; "(" &amp; $C50 &amp; ")",$B50)))), "  ", TRIM(IF($S50 = "YES", "(External ID)", "") &amp; " " &amp; IF(SUMPRODUCT(-- ISNUMBER(SEARCH({"Unique","Unique Case Insensitive"}, $R50))) &gt; 0, "(" &amp; $R50 &amp; ")", ""))))</f>
        <v>na</v>
      </c>
      <c r="E50" s="7" t="s">
        <v>195</v>
      </c>
      <c r="F50" s="7" t="s">
        <v>195</v>
      </c>
      <c r="G50" s="7" t="s">
        <v>195</v>
      </c>
      <c r="H50" s="7" t="s">
        <v>195</v>
      </c>
      <c r="I50" s="7" t="s">
        <v>195</v>
      </c>
      <c r="J50" s="7" t="s">
        <v>195</v>
      </c>
      <c r="K50" s="7" t="s">
        <v>195</v>
      </c>
      <c r="L50" s="7" t="s">
        <v>195</v>
      </c>
      <c r="M50" s="7" t="s">
        <v>29</v>
      </c>
      <c r="N50" s="7" t="s">
        <v>29</v>
      </c>
      <c r="O50" s="7" t="s">
        <v>29</v>
      </c>
      <c r="P50" s="7" t="s">
        <v>29</v>
      </c>
      <c r="Q50" s="7" t="s">
        <v>29</v>
      </c>
      <c r="R50" s="7" t="s">
        <v>29</v>
      </c>
      <c r="S50" s="7" t="s">
        <v>29</v>
      </c>
    </row>
    <row r="51" spans="2:19">
      <c r="B51" s="7" t="s">
        <v>195</v>
      </c>
      <c r="C51" s="8" t="s">
        <v>195</v>
      </c>
      <c r="D51" s="6" t="str">
        <f>LRTRIM(CONCATENATE(IF(SUMPRODUCT(-- ISNUMBER(SEARCH({"Auto Number"}, $B51))) &gt; 0, $B51, IF(SUMPRODUCT(-- ISNUMBER(SEARCH({"Lookup","Master-Detail"}, $B51))) &gt; 0,$B51 &amp; "(" &amp; $E51 &amp; ")",IF(SUMPRODUCT(-- ISNUMBER(SEARCH({"Formula","Roll-Up Summary"}, $B51))) &gt; 0,$B51 &amp; " (" &amp; $E51 &amp; ")",IF(SUMPRODUCT(-- ISNUMBER(SEARCH({"Content","Currency","Number","Percent","Text","URL"}, $B51))) &gt; 0,$B51 &amp; "(" &amp; $C51 &amp; ")",$B51)))), "  ", TRIM(IF($S51 = "YES", "(External ID)", "") &amp; " " &amp; IF(SUMPRODUCT(-- ISNUMBER(SEARCH({"Unique","Unique Case Insensitive"}, $R51))) &gt; 0, "(" &amp; $R51 &amp; ")", ""))))</f>
        <v>na</v>
      </c>
      <c r="E51" s="7" t="s">
        <v>195</v>
      </c>
      <c r="F51" s="7" t="s">
        <v>195</v>
      </c>
      <c r="G51" s="7" t="s">
        <v>195</v>
      </c>
      <c r="H51" s="7" t="s">
        <v>195</v>
      </c>
      <c r="I51" s="7" t="s">
        <v>195</v>
      </c>
      <c r="J51" s="7" t="s">
        <v>195</v>
      </c>
      <c r="K51" s="7" t="s">
        <v>195</v>
      </c>
      <c r="L51" s="7" t="s">
        <v>195</v>
      </c>
      <c r="M51" s="7" t="s">
        <v>29</v>
      </c>
      <c r="N51" s="7" t="s">
        <v>29</v>
      </c>
      <c r="O51" s="7" t="s">
        <v>29</v>
      </c>
      <c r="P51" s="7" t="s">
        <v>29</v>
      </c>
      <c r="Q51" s="7" t="s">
        <v>29</v>
      </c>
      <c r="R51" s="7" t="s">
        <v>29</v>
      </c>
      <c r="S51" s="7" t="s">
        <v>29</v>
      </c>
    </row>
    <row r="52" spans="2:19">
      <c r="B52" s="7" t="s">
        <v>195</v>
      </c>
      <c r="C52" s="8" t="s">
        <v>195</v>
      </c>
      <c r="D52" s="6" t="str">
        <f>LRTRIM(CONCATENATE(IF(SUMPRODUCT(-- ISNUMBER(SEARCH({"Auto Number"}, $B52))) &gt; 0, $B52, IF(SUMPRODUCT(-- ISNUMBER(SEARCH({"Lookup","Master-Detail"}, $B52))) &gt; 0,$B52 &amp; "(" &amp; $E52 &amp; ")",IF(SUMPRODUCT(-- ISNUMBER(SEARCH({"Formula","Roll-Up Summary"}, $B52))) &gt; 0,$B52 &amp; " (" &amp; $E52 &amp; ")",IF(SUMPRODUCT(-- ISNUMBER(SEARCH({"Content","Currency","Number","Percent","Text","URL"}, $B52))) &gt; 0,$B52 &amp; "(" &amp; $C52 &amp; ")",$B52)))), "  ", TRIM(IF($S52 = "YES", "(External ID)", "") &amp; " " &amp; IF(SUMPRODUCT(-- ISNUMBER(SEARCH({"Unique","Unique Case Insensitive"}, $R52))) &gt; 0, "(" &amp; $R52 &amp; ")", ""))))</f>
        <v>na</v>
      </c>
      <c r="E52" s="7" t="s">
        <v>195</v>
      </c>
      <c r="F52" s="7" t="s">
        <v>195</v>
      </c>
      <c r="G52" s="7" t="s">
        <v>195</v>
      </c>
      <c r="H52" s="7" t="s">
        <v>195</v>
      </c>
      <c r="I52" s="7" t="s">
        <v>195</v>
      </c>
      <c r="J52" s="7" t="s">
        <v>195</v>
      </c>
      <c r="K52" s="7" t="s">
        <v>195</v>
      </c>
      <c r="L52" s="7" t="s">
        <v>195</v>
      </c>
      <c r="M52" s="7" t="s">
        <v>29</v>
      </c>
      <c r="N52" s="7" t="s">
        <v>29</v>
      </c>
      <c r="O52" s="7" t="s">
        <v>29</v>
      </c>
      <c r="P52" s="7" t="s">
        <v>29</v>
      </c>
      <c r="Q52" s="7" t="s">
        <v>29</v>
      </c>
      <c r="R52" s="7" t="s">
        <v>29</v>
      </c>
      <c r="S52" s="7" t="s">
        <v>29</v>
      </c>
    </row>
    <row r="53" spans="2:19">
      <c r="B53" s="7" t="s">
        <v>195</v>
      </c>
      <c r="C53" s="8" t="s">
        <v>195</v>
      </c>
      <c r="D53" s="6" t="str">
        <f>LRTRIM(CONCATENATE(IF(SUMPRODUCT(-- ISNUMBER(SEARCH({"Auto Number"}, $B53))) &gt; 0, $B53, IF(SUMPRODUCT(-- ISNUMBER(SEARCH({"Lookup","Master-Detail"}, $B53))) &gt; 0,$B53 &amp; "(" &amp; $E53 &amp; ")",IF(SUMPRODUCT(-- ISNUMBER(SEARCH({"Formula","Roll-Up Summary"}, $B53))) &gt; 0,$B53 &amp; " (" &amp; $E53 &amp; ")",IF(SUMPRODUCT(-- ISNUMBER(SEARCH({"Content","Currency","Number","Percent","Text","URL"}, $B53))) &gt; 0,$B53 &amp; "(" &amp; $C53 &amp; ")",$B53)))), "  ", TRIM(IF($S53 = "YES", "(External ID)", "") &amp; " " &amp; IF(SUMPRODUCT(-- ISNUMBER(SEARCH({"Unique","Unique Case Insensitive"}, $R53))) &gt; 0, "(" &amp; $R53 &amp; ")", ""))))</f>
        <v>na</v>
      </c>
      <c r="E53" s="7" t="s">
        <v>195</v>
      </c>
      <c r="F53" s="7" t="s">
        <v>195</v>
      </c>
      <c r="G53" s="7" t="s">
        <v>195</v>
      </c>
      <c r="H53" s="7" t="s">
        <v>195</v>
      </c>
      <c r="I53" s="7" t="s">
        <v>195</v>
      </c>
      <c r="J53" s="7" t="s">
        <v>195</v>
      </c>
      <c r="K53" s="7" t="s">
        <v>195</v>
      </c>
      <c r="L53" s="7" t="s">
        <v>195</v>
      </c>
      <c r="M53" s="7" t="s">
        <v>29</v>
      </c>
      <c r="N53" s="7" t="s">
        <v>29</v>
      </c>
      <c r="O53" s="7" t="s">
        <v>29</v>
      </c>
      <c r="P53" s="7" t="s">
        <v>29</v>
      </c>
      <c r="Q53" s="7" t="s">
        <v>29</v>
      </c>
      <c r="R53" s="7" t="s">
        <v>29</v>
      </c>
      <c r="S53" s="7" t="s">
        <v>29</v>
      </c>
    </row>
    <row r="54" spans="2:19">
      <c r="B54" s="7" t="s">
        <v>195</v>
      </c>
      <c r="C54" s="8" t="s">
        <v>195</v>
      </c>
      <c r="D54" s="6" t="str">
        <f>LRTRIM(CONCATENATE(IF(SUMPRODUCT(-- ISNUMBER(SEARCH({"Auto Number"}, $B54))) &gt; 0, $B54, IF(SUMPRODUCT(-- ISNUMBER(SEARCH({"Lookup","Master-Detail"}, $B54))) &gt; 0,$B54 &amp; "(" &amp; $E54 &amp; ")",IF(SUMPRODUCT(-- ISNUMBER(SEARCH({"Formula","Roll-Up Summary"}, $B54))) &gt; 0,$B54 &amp; " (" &amp; $E54 &amp; ")",IF(SUMPRODUCT(-- ISNUMBER(SEARCH({"Content","Currency","Number","Percent","Text","URL"}, $B54))) &gt; 0,$B54 &amp; "(" &amp; $C54 &amp; ")",$B54)))), "  ", TRIM(IF($S54 = "YES", "(External ID)", "") &amp; " " &amp; IF(SUMPRODUCT(-- ISNUMBER(SEARCH({"Unique","Unique Case Insensitive"}, $R54))) &gt; 0, "(" &amp; $R54 &amp; ")", ""))))</f>
        <v>na</v>
      </c>
      <c r="E54" s="7" t="s">
        <v>195</v>
      </c>
      <c r="F54" s="7" t="s">
        <v>195</v>
      </c>
      <c r="G54" s="7" t="s">
        <v>195</v>
      </c>
      <c r="H54" s="7" t="s">
        <v>195</v>
      </c>
      <c r="I54" s="7" t="s">
        <v>195</v>
      </c>
      <c r="J54" s="7" t="s">
        <v>195</v>
      </c>
      <c r="K54" s="7" t="s">
        <v>195</v>
      </c>
      <c r="L54" s="7" t="s">
        <v>195</v>
      </c>
      <c r="M54" s="7" t="s">
        <v>29</v>
      </c>
      <c r="N54" s="7" t="s">
        <v>29</v>
      </c>
      <c r="O54" s="7" t="s">
        <v>29</v>
      </c>
      <c r="P54" s="7" t="s">
        <v>29</v>
      </c>
      <c r="Q54" s="7" t="s">
        <v>29</v>
      </c>
      <c r="R54" s="7" t="s">
        <v>29</v>
      </c>
      <c r="S54" s="7" t="s">
        <v>29</v>
      </c>
    </row>
    <row r="55" spans="2:19">
      <c r="B55" s="7" t="s">
        <v>195</v>
      </c>
      <c r="C55" s="8" t="s">
        <v>195</v>
      </c>
      <c r="D55" s="6" t="str">
        <f>LRTRIM(CONCATENATE(IF(SUMPRODUCT(-- ISNUMBER(SEARCH({"Auto Number"}, $B55))) &gt; 0, $B55, IF(SUMPRODUCT(-- ISNUMBER(SEARCH({"Lookup","Master-Detail"}, $B55))) &gt; 0,$B55 &amp; "(" &amp; $E55 &amp; ")",IF(SUMPRODUCT(-- ISNUMBER(SEARCH({"Formula","Roll-Up Summary"}, $B55))) &gt; 0,$B55 &amp; " (" &amp; $E55 &amp; ")",IF(SUMPRODUCT(-- ISNUMBER(SEARCH({"Content","Currency","Number","Percent","Text","URL"}, $B55))) &gt; 0,$B55 &amp; "(" &amp; $C55 &amp; ")",$B55)))), "  ", TRIM(IF($S55 = "YES", "(External ID)", "") &amp; " " &amp; IF(SUMPRODUCT(-- ISNUMBER(SEARCH({"Unique","Unique Case Insensitive"}, $R55))) &gt; 0, "(" &amp; $R55 &amp; ")", ""))))</f>
        <v>na</v>
      </c>
      <c r="E55" s="7" t="s">
        <v>195</v>
      </c>
      <c r="F55" s="7" t="s">
        <v>195</v>
      </c>
      <c r="G55" s="7" t="s">
        <v>195</v>
      </c>
      <c r="H55" s="7" t="s">
        <v>195</v>
      </c>
      <c r="I55" s="7" t="s">
        <v>195</v>
      </c>
      <c r="J55" s="7" t="s">
        <v>195</v>
      </c>
      <c r="K55" s="7" t="s">
        <v>195</v>
      </c>
      <c r="L55" s="7" t="s">
        <v>195</v>
      </c>
      <c r="M55" s="7" t="s">
        <v>29</v>
      </c>
      <c r="N55" s="7" t="s">
        <v>29</v>
      </c>
      <c r="O55" s="7" t="s">
        <v>29</v>
      </c>
      <c r="P55" s="7" t="s">
        <v>29</v>
      </c>
      <c r="Q55" s="7" t="s">
        <v>29</v>
      </c>
      <c r="R55" s="7" t="s">
        <v>29</v>
      </c>
      <c r="S55" s="7" t="s">
        <v>29</v>
      </c>
    </row>
    <row r="56" spans="2:19">
      <c r="B56" s="7" t="s">
        <v>195</v>
      </c>
      <c r="C56" s="8" t="s">
        <v>195</v>
      </c>
      <c r="D56" s="6" t="str">
        <f>LRTRIM(CONCATENATE(IF(SUMPRODUCT(-- ISNUMBER(SEARCH({"Auto Number"}, $B56))) &gt; 0, $B56, IF(SUMPRODUCT(-- ISNUMBER(SEARCH({"Lookup","Master-Detail"}, $B56))) &gt; 0,$B56 &amp; "(" &amp; $E56 &amp; ")",IF(SUMPRODUCT(-- ISNUMBER(SEARCH({"Formula","Roll-Up Summary"}, $B56))) &gt; 0,$B56 &amp; " (" &amp; $E56 &amp; ")",IF(SUMPRODUCT(-- ISNUMBER(SEARCH({"Content","Currency","Number","Percent","Text","URL"}, $B56))) &gt; 0,$B56 &amp; "(" &amp; $C56 &amp; ")",$B56)))), "  ", TRIM(IF($S56 = "YES", "(External ID)", "") &amp; " " &amp; IF(SUMPRODUCT(-- ISNUMBER(SEARCH({"Unique","Unique Case Insensitive"}, $R56))) &gt; 0, "(" &amp; $R56 &amp; ")", ""))))</f>
        <v>na</v>
      </c>
      <c r="E56" s="7" t="s">
        <v>195</v>
      </c>
      <c r="F56" s="7" t="s">
        <v>195</v>
      </c>
      <c r="G56" s="7" t="s">
        <v>195</v>
      </c>
      <c r="H56" s="7" t="s">
        <v>195</v>
      </c>
      <c r="I56" s="7" t="s">
        <v>195</v>
      </c>
      <c r="J56" s="7" t="s">
        <v>195</v>
      </c>
      <c r="K56" s="7" t="s">
        <v>195</v>
      </c>
      <c r="L56" s="7" t="s">
        <v>195</v>
      </c>
      <c r="M56" s="7" t="s">
        <v>29</v>
      </c>
      <c r="N56" s="7" t="s">
        <v>29</v>
      </c>
      <c r="O56" s="7" t="s">
        <v>29</v>
      </c>
      <c r="P56" s="7" t="s">
        <v>29</v>
      </c>
      <c r="Q56" s="7" t="s">
        <v>29</v>
      </c>
      <c r="R56" s="7" t="s">
        <v>29</v>
      </c>
      <c r="S56" s="7" t="s">
        <v>29</v>
      </c>
    </row>
    <row r="57" spans="2:19">
      <c r="B57" s="7" t="s">
        <v>195</v>
      </c>
      <c r="C57" s="8" t="s">
        <v>195</v>
      </c>
      <c r="D57" s="6" t="str">
        <f>LRTRIM(CONCATENATE(IF(SUMPRODUCT(-- ISNUMBER(SEARCH({"Auto Number"}, $B57))) &gt; 0, $B57, IF(SUMPRODUCT(-- ISNUMBER(SEARCH({"Lookup","Master-Detail"}, $B57))) &gt; 0,$B57 &amp; "(" &amp; $E57 &amp; ")",IF(SUMPRODUCT(-- ISNUMBER(SEARCH({"Formula","Roll-Up Summary"}, $B57))) &gt; 0,$B57 &amp; " (" &amp; $E57 &amp; ")",IF(SUMPRODUCT(-- ISNUMBER(SEARCH({"Content","Currency","Number","Percent","Text","URL"}, $B57))) &gt; 0,$B57 &amp; "(" &amp; $C57 &amp; ")",$B57)))), "  ", TRIM(IF($S57 = "YES", "(External ID)", "") &amp; " " &amp; IF(SUMPRODUCT(-- ISNUMBER(SEARCH({"Unique","Unique Case Insensitive"}, $R57))) &gt; 0, "(" &amp; $R57 &amp; ")", ""))))</f>
        <v>na</v>
      </c>
      <c r="E57" s="7" t="s">
        <v>195</v>
      </c>
      <c r="F57" s="7" t="s">
        <v>195</v>
      </c>
      <c r="G57" s="7" t="s">
        <v>195</v>
      </c>
      <c r="H57" s="7" t="s">
        <v>195</v>
      </c>
      <c r="I57" s="7" t="s">
        <v>195</v>
      </c>
      <c r="J57" s="7" t="s">
        <v>195</v>
      </c>
      <c r="K57" s="7" t="s">
        <v>195</v>
      </c>
      <c r="L57" s="7" t="s">
        <v>195</v>
      </c>
      <c r="M57" s="7" t="s">
        <v>29</v>
      </c>
      <c r="N57" s="7" t="s">
        <v>29</v>
      </c>
      <c r="O57" s="7" t="s">
        <v>29</v>
      </c>
      <c r="P57" s="7" t="s">
        <v>29</v>
      </c>
      <c r="Q57" s="7" t="s">
        <v>29</v>
      </c>
      <c r="R57" s="7" t="s">
        <v>29</v>
      </c>
      <c r="S57" s="7" t="s">
        <v>29</v>
      </c>
    </row>
    <row r="58" spans="2:19">
      <c r="B58" s="7" t="s">
        <v>195</v>
      </c>
      <c r="C58" s="8" t="s">
        <v>195</v>
      </c>
      <c r="D58" s="6" t="str">
        <f>LRTRIM(CONCATENATE(IF(SUMPRODUCT(-- ISNUMBER(SEARCH({"Auto Number"}, $B58))) &gt; 0, $B58, IF(SUMPRODUCT(-- ISNUMBER(SEARCH({"Lookup","Master-Detail"}, $B58))) &gt; 0,$B58 &amp; "(" &amp; $E58 &amp; ")",IF(SUMPRODUCT(-- ISNUMBER(SEARCH({"Formula","Roll-Up Summary"}, $B58))) &gt; 0,$B58 &amp; " (" &amp; $E58 &amp; ")",IF(SUMPRODUCT(-- ISNUMBER(SEARCH({"Content","Currency","Number","Percent","Text","URL"}, $B58))) &gt; 0,$B58 &amp; "(" &amp; $C58 &amp; ")",$B58)))), "  ", TRIM(IF($S58 = "YES", "(External ID)", "") &amp; " " &amp; IF(SUMPRODUCT(-- ISNUMBER(SEARCH({"Unique","Unique Case Insensitive"}, $R58))) &gt; 0, "(" &amp; $R58 &amp; ")", ""))))</f>
        <v>na</v>
      </c>
      <c r="E58" s="7" t="s">
        <v>195</v>
      </c>
      <c r="F58" s="7" t="s">
        <v>195</v>
      </c>
      <c r="G58" s="7" t="s">
        <v>195</v>
      </c>
      <c r="H58" s="7" t="s">
        <v>195</v>
      </c>
      <c r="I58" s="7" t="s">
        <v>195</v>
      </c>
      <c r="J58" s="7" t="s">
        <v>195</v>
      </c>
      <c r="K58" s="7" t="s">
        <v>195</v>
      </c>
      <c r="L58" s="7" t="s">
        <v>195</v>
      </c>
      <c r="M58" s="7" t="s">
        <v>29</v>
      </c>
      <c r="N58" s="7" t="s">
        <v>29</v>
      </c>
      <c r="O58" s="7" t="s">
        <v>29</v>
      </c>
      <c r="P58" s="7" t="s">
        <v>29</v>
      </c>
      <c r="Q58" s="7" t="s">
        <v>29</v>
      </c>
      <c r="R58" s="7" t="s">
        <v>29</v>
      </c>
      <c r="S58" s="7" t="s">
        <v>29</v>
      </c>
    </row>
    <row r="59" spans="2:19">
      <c r="B59" s="7" t="s">
        <v>195</v>
      </c>
      <c r="C59" s="8" t="s">
        <v>195</v>
      </c>
      <c r="D59" s="6" t="str">
        <f>LRTRIM(CONCATENATE(IF(SUMPRODUCT(-- ISNUMBER(SEARCH({"Auto Number"}, $B59))) &gt; 0, $B59, IF(SUMPRODUCT(-- ISNUMBER(SEARCH({"Lookup","Master-Detail"}, $B59))) &gt; 0,$B59 &amp; "(" &amp; $E59 &amp; ")",IF(SUMPRODUCT(-- ISNUMBER(SEARCH({"Formula","Roll-Up Summary"}, $B59))) &gt; 0,$B59 &amp; " (" &amp; $E59 &amp; ")",IF(SUMPRODUCT(-- ISNUMBER(SEARCH({"Content","Currency","Number","Percent","Text","URL"}, $B59))) &gt; 0,$B59 &amp; "(" &amp; $C59 &amp; ")",$B59)))), "  ", TRIM(IF($S59 = "YES", "(External ID)", "") &amp; " " &amp; IF(SUMPRODUCT(-- ISNUMBER(SEARCH({"Unique","Unique Case Insensitive"}, $R59))) &gt; 0, "(" &amp; $R59 &amp; ")", ""))))</f>
        <v>na</v>
      </c>
      <c r="E59" s="7" t="s">
        <v>195</v>
      </c>
      <c r="F59" s="7" t="s">
        <v>195</v>
      </c>
      <c r="G59" s="7" t="s">
        <v>195</v>
      </c>
      <c r="H59" s="7" t="s">
        <v>195</v>
      </c>
      <c r="I59" s="7" t="s">
        <v>195</v>
      </c>
      <c r="J59" s="7" t="s">
        <v>195</v>
      </c>
      <c r="K59" s="7" t="s">
        <v>195</v>
      </c>
      <c r="L59" s="7" t="s">
        <v>195</v>
      </c>
      <c r="M59" s="7" t="s">
        <v>29</v>
      </c>
      <c r="N59" s="7" t="s">
        <v>29</v>
      </c>
      <c r="O59" s="7" t="s">
        <v>29</v>
      </c>
      <c r="P59" s="7" t="s">
        <v>29</v>
      </c>
      <c r="Q59" s="7" t="s">
        <v>29</v>
      </c>
      <c r="R59" s="7" t="s">
        <v>29</v>
      </c>
      <c r="S59" s="7" t="s">
        <v>29</v>
      </c>
    </row>
    <row r="60" spans="2:19">
      <c r="B60" s="7" t="s">
        <v>195</v>
      </c>
      <c r="C60" s="8" t="s">
        <v>195</v>
      </c>
      <c r="D60" s="6" t="str">
        <f>LRTRIM(CONCATENATE(IF(SUMPRODUCT(-- ISNUMBER(SEARCH({"Auto Number"}, $B60))) &gt; 0, $B60, IF(SUMPRODUCT(-- ISNUMBER(SEARCH({"Lookup","Master-Detail"}, $B60))) &gt; 0,$B60 &amp; "(" &amp; $E60 &amp; ")",IF(SUMPRODUCT(-- ISNUMBER(SEARCH({"Formula","Roll-Up Summary"}, $B60))) &gt; 0,$B60 &amp; " (" &amp; $E60 &amp; ")",IF(SUMPRODUCT(-- ISNUMBER(SEARCH({"Content","Currency","Number","Percent","Text","URL"}, $B60))) &gt; 0,$B60 &amp; "(" &amp; $C60 &amp; ")",$B60)))), "  ", TRIM(IF($S60 = "YES", "(External ID)", "") &amp; " " &amp; IF(SUMPRODUCT(-- ISNUMBER(SEARCH({"Unique","Unique Case Insensitive"}, $R60))) &gt; 0, "(" &amp; $R60 &amp; ")", ""))))</f>
        <v>na</v>
      </c>
      <c r="E60" s="7" t="s">
        <v>195</v>
      </c>
      <c r="F60" s="7" t="s">
        <v>195</v>
      </c>
      <c r="G60" s="7" t="s">
        <v>195</v>
      </c>
      <c r="H60" s="7" t="s">
        <v>195</v>
      </c>
      <c r="I60" s="7" t="s">
        <v>195</v>
      </c>
      <c r="J60" s="7" t="s">
        <v>195</v>
      </c>
      <c r="K60" s="7" t="s">
        <v>195</v>
      </c>
      <c r="L60" s="7" t="s">
        <v>195</v>
      </c>
      <c r="M60" s="7" t="s">
        <v>29</v>
      </c>
      <c r="N60" s="7" t="s">
        <v>29</v>
      </c>
      <c r="O60" s="7" t="s">
        <v>29</v>
      </c>
      <c r="P60" s="7" t="s">
        <v>29</v>
      </c>
      <c r="Q60" s="7" t="s">
        <v>29</v>
      </c>
      <c r="R60" s="7" t="s">
        <v>29</v>
      </c>
      <c r="S60" s="7" t="s">
        <v>29</v>
      </c>
    </row>
    <row r="61" spans="2:19">
      <c r="B61" s="7" t="s">
        <v>195</v>
      </c>
      <c r="C61" s="8" t="s">
        <v>195</v>
      </c>
      <c r="D61" s="6" t="str">
        <f>LRTRIM(CONCATENATE(IF(SUMPRODUCT(-- ISNUMBER(SEARCH({"Auto Number"}, $B61))) &gt; 0, $B61, IF(SUMPRODUCT(-- ISNUMBER(SEARCH({"Lookup","Master-Detail"}, $B61))) &gt; 0,$B61 &amp; "(" &amp; $E61 &amp; ")",IF(SUMPRODUCT(-- ISNUMBER(SEARCH({"Formula","Roll-Up Summary"}, $B61))) &gt; 0,$B61 &amp; " (" &amp; $E61 &amp; ")",IF(SUMPRODUCT(-- ISNUMBER(SEARCH({"Content","Currency","Number","Percent","Text","URL"}, $B61))) &gt; 0,$B61 &amp; "(" &amp; $C61 &amp; ")",$B61)))), "  ", TRIM(IF($S61 = "YES", "(External ID)", "") &amp; " " &amp; IF(SUMPRODUCT(-- ISNUMBER(SEARCH({"Unique","Unique Case Insensitive"}, $R61))) &gt; 0, "(" &amp; $R61 &amp; ")", ""))))</f>
        <v>na</v>
      </c>
      <c r="E61" s="7" t="s">
        <v>195</v>
      </c>
      <c r="F61" s="7" t="s">
        <v>195</v>
      </c>
      <c r="G61" s="7" t="s">
        <v>195</v>
      </c>
      <c r="H61" s="7" t="s">
        <v>195</v>
      </c>
      <c r="I61" s="7" t="s">
        <v>195</v>
      </c>
      <c r="J61" s="7" t="s">
        <v>195</v>
      </c>
      <c r="K61" s="7" t="s">
        <v>195</v>
      </c>
      <c r="L61" s="7" t="s">
        <v>195</v>
      </c>
      <c r="M61" s="7" t="s">
        <v>29</v>
      </c>
      <c r="N61" s="7" t="s">
        <v>29</v>
      </c>
      <c r="O61" s="7" t="s">
        <v>29</v>
      </c>
      <c r="P61" s="7" t="s">
        <v>29</v>
      </c>
      <c r="Q61" s="7" t="s">
        <v>29</v>
      </c>
      <c r="R61" s="7" t="s">
        <v>29</v>
      </c>
      <c r="S61" s="7" t="s">
        <v>29</v>
      </c>
    </row>
    <row r="62" spans="2:19">
      <c r="B62" s="7" t="s">
        <v>195</v>
      </c>
      <c r="C62" s="8" t="s">
        <v>195</v>
      </c>
      <c r="D62" s="6" t="str">
        <f>LRTRIM(CONCATENATE(IF(SUMPRODUCT(-- ISNUMBER(SEARCH({"Auto Number"}, $B62))) &gt; 0, $B62, IF(SUMPRODUCT(-- ISNUMBER(SEARCH({"Lookup","Master-Detail"}, $B62))) &gt; 0,$B62 &amp; "(" &amp; $E62 &amp; ")",IF(SUMPRODUCT(-- ISNUMBER(SEARCH({"Formula","Roll-Up Summary"}, $B62))) &gt; 0,$B62 &amp; " (" &amp; $E62 &amp; ")",IF(SUMPRODUCT(-- ISNUMBER(SEARCH({"Content","Currency","Number","Percent","Text","URL"}, $B62))) &gt; 0,$B62 &amp; "(" &amp; $C62 &amp; ")",$B62)))), "  ", TRIM(IF($S62 = "YES", "(External ID)", "") &amp; " " &amp; IF(SUMPRODUCT(-- ISNUMBER(SEARCH({"Unique","Unique Case Insensitive"}, $R62))) &gt; 0, "(" &amp; $R62 &amp; ")", ""))))</f>
        <v>na</v>
      </c>
      <c r="E62" s="7" t="s">
        <v>195</v>
      </c>
      <c r="F62" s="7" t="s">
        <v>195</v>
      </c>
      <c r="G62" s="7" t="s">
        <v>195</v>
      </c>
      <c r="H62" s="7" t="s">
        <v>195</v>
      </c>
      <c r="I62" s="7" t="s">
        <v>195</v>
      </c>
      <c r="J62" s="7" t="s">
        <v>195</v>
      </c>
      <c r="K62" s="7" t="s">
        <v>195</v>
      </c>
      <c r="L62" s="7" t="s">
        <v>195</v>
      </c>
      <c r="M62" s="7" t="s">
        <v>29</v>
      </c>
      <c r="N62" s="7" t="s">
        <v>29</v>
      </c>
      <c r="O62" s="7" t="s">
        <v>29</v>
      </c>
      <c r="P62" s="7" t="s">
        <v>29</v>
      </c>
      <c r="Q62" s="7" t="s">
        <v>29</v>
      </c>
      <c r="R62" s="7" t="s">
        <v>29</v>
      </c>
      <c r="S62" s="7" t="s">
        <v>29</v>
      </c>
    </row>
    <row r="63" spans="2:19">
      <c r="B63" s="7" t="s">
        <v>195</v>
      </c>
      <c r="C63" s="8" t="s">
        <v>195</v>
      </c>
      <c r="D63" s="6" t="str">
        <f>LRTRIM(CONCATENATE(IF(SUMPRODUCT(-- ISNUMBER(SEARCH({"Auto Number"}, $B63))) &gt; 0, $B63, IF(SUMPRODUCT(-- ISNUMBER(SEARCH({"Lookup","Master-Detail"}, $B63))) &gt; 0,$B63 &amp; "(" &amp; $E63 &amp; ")",IF(SUMPRODUCT(-- ISNUMBER(SEARCH({"Formula","Roll-Up Summary"}, $B63))) &gt; 0,$B63 &amp; " (" &amp; $E63 &amp; ")",IF(SUMPRODUCT(-- ISNUMBER(SEARCH({"Content","Currency","Number","Percent","Text","URL"}, $B63))) &gt; 0,$B63 &amp; "(" &amp; $C63 &amp; ")",$B63)))), "  ", TRIM(IF($S63 = "YES", "(External ID)", "") &amp; " " &amp; IF(SUMPRODUCT(-- ISNUMBER(SEARCH({"Unique","Unique Case Insensitive"}, $R63))) &gt; 0, "(" &amp; $R63 &amp; ")", ""))))</f>
        <v>na</v>
      </c>
      <c r="E63" s="7" t="s">
        <v>195</v>
      </c>
      <c r="F63" s="7" t="s">
        <v>195</v>
      </c>
      <c r="G63" s="7" t="s">
        <v>195</v>
      </c>
      <c r="H63" s="7" t="s">
        <v>195</v>
      </c>
      <c r="I63" s="7" t="s">
        <v>195</v>
      </c>
      <c r="J63" s="7" t="s">
        <v>195</v>
      </c>
      <c r="K63" s="7" t="s">
        <v>195</v>
      </c>
      <c r="L63" s="7" t="s">
        <v>195</v>
      </c>
      <c r="M63" s="7" t="s">
        <v>29</v>
      </c>
      <c r="N63" s="7" t="s">
        <v>29</v>
      </c>
      <c r="O63" s="7" t="s">
        <v>29</v>
      </c>
      <c r="P63" s="7" t="s">
        <v>29</v>
      </c>
      <c r="Q63" s="7" t="s">
        <v>29</v>
      </c>
      <c r="R63" s="7" t="s">
        <v>29</v>
      </c>
      <c r="S63" s="7" t="s">
        <v>29</v>
      </c>
    </row>
    <row r="64" spans="2:19">
      <c r="B64" s="7" t="s">
        <v>195</v>
      </c>
      <c r="C64" s="8" t="s">
        <v>195</v>
      </c>
      <c r="D64" s="6" t="str">
        <f>LRTRIM(CONCATENATE(IF(SUMPRODUCT(-- ISNUMBER(SEARCH({"Auto Number"}, $B64))) &gt; 0, $B64, IF(SUMPRODUCT(-- ISNUMBER(SEARCH({"Lookup","Master-Detail"}, $B64))) &gt; 0,$B64 &amp; "(" &amp; $E64 &amp; ")",IF(SUMPRODUCT(-- ISNUMBER(SEARCH({"Formula","Roll-Up Summary"}, $B64))) &gt; 0,$B64 &amp; " (" &amp; $E64 &amp; ")",IF(SUMPRODUCT(-- ISNUMBER(SEARCH({"Content","Currency","Number","Percent","Text","URL"}, $B64))) &gt; 0,$B64 &amp; "(" &amp; $C64 &amp; ")",$B64)))), "  ", TRIM(IF($S64 = "YES", "(External ID)", "") &amp; " " &amp; IF(SUMPRODUCT(-- ISNUMBER(SEARCH({"Unique","Unique Case Insensitive"}, $R64))) &gt; 0, "(" &amp; $R64 &amp; ")", ""))))</f>
        <v>na</v>
      </c>
      <c r="E64" s="7" t="s">
        <v>195</v>
      </c>
      <c r="F64" s="7" t="s">
        <v>195</v>
      </c>
      <c r="G64" s="7" t="s">
        <v>195</v>
      </c>
      <c r="H64" s="7" t="s">
        <v>195</v>
      </c>
      <c r="I64" s="7" t="s">
        <v>195</v>
      </c>
      <c r="J64" s="7" t="s">
        <v>195</v>
      </c>
      <c r="K64" s="7" t="s">
        <v>195</v>
      </c>
      <c r="L64" s="7" t="s">
        <v>195</v>
      </c>
      <c r="M64" s="7" t="s">
        <v>29</v>
      </c>
      <c r="N64" s="7" t="s">
        <v>29</v>
      </c>
      <c r="O64" s="7" t="s">
        <v>29</v>
      </c>
      <c r="P64" s="7" t="s">
        <v>29</v>
      </c>
      <c r="Q64" s="7" t="s">
        <v>29</v>
      </c>
      <c r="R64" s="7" t="s">
        <v>29</v>
      </c>
      <c r="S64" s="7" t="s">
        <v>29</v>
      </c>
    </row>
    <row r="65" spans="2:19">
      <c r="B65" s="7" t="s">
        <v>195</v>
      </c>
      <c r="C65" s="8" t="s">
        <v>195</v>
      </c>
      <c r="D65" s="6" t="str">
        <f>LRTRIM(CONCATENATE(IF(SUMPRODUCT(-- ISNUMBER(SEARCH({"Auto Number"}, $B65))) &gt; 0, $B65, IF(SUMPRODUCT(-- ISNUMBER(SEARCH({"Lookup","Master-Detail"}, $B65))) &gt; 0,$B65 &amp; "(" &amp; $E65 &amp; ")",IF(SUMPRODUCT(-- ISNUMBER(SEARCH({"Formula","Roll-Up Summary"}, $B65))) &gt; 0,$B65 &amp; " (" &amp; $E65 &amp; ")",IF(SUMPRODUCT(-- ISNUMBER(SEARCH({"Content","Currency","Number","Percent","Text","URL"}, $B65))) &gt; 0,$B65 &amp; "(" &amp; $C65 &amp; ")",$B65)))), "  ", TRIM(IF($S65 = "YES", "(External ID)", "") &amp; " " &amp; IF(SUMPRODUCT(-- ISNUMBER(SEARCH({"Unique","Unique Case Insensitive"}, $R65))) &gt; 0, "(" &amp; $R65 &amp; ")", ""))))</f>
        <v>na</v>
      </c>
      <c r="E65" s="7" t="s">
        <v>195</v>
      </c>
      <c r="F65" s="7" t="s">
        <v>195</v>
      </c>
      <c r="G65" s="7" t="s">
        <v>195</v>
      </c>
      <c r="H65" s="7" t="s">
        <v>195</v>
      </c>
      <c r="I65" s="7" t="s">
        <v>195</v>
      </c>
      <c r="J65" s="7" t="s">
        <v>195</v>
      </c>
      <c r="K65" s="7" t="s">
        <v>195</v>
      </c>
      <c r="L65" s="7" t="s">
        <v>195</v>
      </c>
      <c r="M65" s="7" t="s">
        <v>29</v>
      </c>
      <c r="N65" s="7" t="s">
        <v>29</v>
      </c>
      <c r="O65" s="7" t="s">
        <v>29</v>
      </c>
      <c r="P65" s="7" t="s">
        <v>29</v>
      </c>
      <c r="Q65" s="7" t="s">
        <v>29</v>
      </c>
      <c r="R65" s="7" t="s">
        <v>29</v>
      </c>
      <c r="S65" s="7" t="s">
        <v>29</v>
      </c>
    </row>
    <row r="66" spans="2:19">
      <c r="B66" s="7" t="s">
        <v>195</v>
      </c>
      <c r="C66" s="8" t="s">
        <v>195</v>
      </c>
      <c r="D66" s="6" t="str">
        <f>LRTRIM(CONCATENATE(IF(SUMPRODUCT(-- ISNUMBER(SEARCH({"Auto Number"}, $B66))) &gt; 0, $B66, IF(SUMPRODUCT(-- ISNUMBER(SEARCH({"Lookup","Master-Detail"}, $B66))) &gt; 0,$B66 &amp; "(" &amp; $E66 &amp; ")",IF(SUMPRODUCT(-- ISNUMBER(SEARCH({"Formula","Roll-Up Summary"}, $B66))) &gt; 0,$B66 &amp; " (" &amp; $E66 &amp; ")",IF(SUMPRODUCT(-- ISNUMBER(SEARCH({"Content","Currency","Number","Percent","Text","URL"}, $B66))) &gt; 0,$B66 &amp; "(" &amp; $C66 &amp; ")",$B66)))), "  ", TRIM(IF($S66 = "YES", "(External ID)", "") &amp; " " &amp; IF(SUMPRODUCT(-- ISNUMBER(SEARCH({"Unique","Unique Case Insensitive"}, $R66))) &gt; 0, "(" &amp; $R66 &amp; ")", ""))))</f>
        <v>na</v>
      </c>
      <c r="E66" s="7" t="s">
        <v>195</v>
      </c>
      <c r="F66" s="7" t="s">
        <v>195</v>
      </c>
      <c r="G66" s="7" t="s">
        <v>195</v>
      </c>
      <c r="H66" s="7" t="s">
        <v>195</v>
      </c>
      <c r="I66" s="7" t="s">
        <v>195</v>
      </c>
      <c r="J66" s="7" t="s">
        <v>195</v>
      </c>
      <c r="K66" s="7" t="s">
        <v>195</v>
      </c>
      <c r="L66" s="7" t="s">
        <v>195</v>
      </c>
      <c r="M66" s="7" t="s">
        <v>29</v>
      </c>
      <c r="N66" s="7" t="s">
        <v>29</v>
      </c>
      <c r="O66" s="7" t="s">
        <v>29</v>
      </c>
      <c r="P66" s="7" t="s">
        <v>29</v>
      </c>
      <c r="Q66" s="7" t="s">
        <v>29</v>
      </c>
      <c r="R66" s="7" t="s">
        <v>29</v>
      </c>
      <c r="S66" s="7" t="s">
        <v>29</v>
      </c>
    </row>
    <row r="67" spans="2:19">
      <c r="B67" s="7" t="s">
        <v>195</v>
      </c>
      <c r="C67" s="8" t="s">
        <v>195</v>
      </c>
      <c r="D67" s="6" t="str">
        <f>LRTRIM(CONCATENATE(IF(SUMPRODUCT(-- ISNUMBER(SEARCH({"Auto Number"}, $B67))) &gt; 0, $B67, IF(SUMPRODUCT(-- ISNUMBER(SEARCH({"Lookup","Master-Detail"}, $B67))) &gt; 0,$B67 &amp; "(" &amp; $E67 &amp; ")",IF(SUMPRODUCT(-- ISNUMBER(SEARCH({"Formula","Roll-Up Summary"}, $B67))) &gt; 0,$B67 &amp; " (" &amp; $E67 &amp; ")",IF(SUMPRODUCT(-- ISNUMBER(SEARCH({"Content","Currency","Number","Percent","Text","URL"}, $B67))) &gt; 0,$B67 &amp; "(" &amp; $C67 &amp; ")",$B67)))), "  ", TRIM(IF($S67 = "YES", "(External ID)", "") &amp; " " &amp; IF(SUMPRODUCT(-- ISNUMBER(SEARCH({"Unique","Unique Case Insensitive"}, $R67))) &gt; 0, "(" &amp; $R67 &amp; ")", ""))))</f>
        <v>na</v>
      </c>
      <c r="E67" s="7" t="s">
        <v>195</v>
      </c>
      <c r="F67" s="7" t="s">
        <v>195</v>
      </c>
      <c r="G67" s="7" t="s">
        <v>195</v>
      </c>
      <c r="H67" s="7" t="s">
        <v>195</v>
      </c>
      <c r="I67" s="7" t="s">
        <v>195</v>
      </c>
      <c r="J67" s="7" t="s">
        <v>195</v>
      </c>
      <c r="K67" s="7" t="s">
        <v>195</v>
      </c>
      <c r="L67" s="7" t="s">
        <v>195</v>
      </c>
      <c r="M67" s="7" t="s">
        <v>29</v>
      </c>
      <c r="N67" s="7" t="s">
        <v>29</v>
      </c>
      <c r="O67" s="7" t="s">
        <v>29</v>
      </c>
      <c r="P67" s="7" t="s">
        <v>29</v>
      </c>
      <c r="Q67" s="7" t="s">
        <v>29</v>
      </c>
      <c r="R67" s="7" t="s">
        <v>29</v>
      </c>
      <c r="S67" s="7" t="s">
        <v>29</v>
      </c>
    </row>
    <row r="68" spans="2:19">
      <c r="B68" s="7" t="s">
        <v>195</v>
      </c>
      <c r="C68" s="8" t="s">
        <v>195</v>
      </c>
      <c r="D68" s="6" t="str">
        <f>LRTRIM(CONCATENATE(IF(SUMPRODUCT(-- ISNUMBER(SEARCH({"Auto Number"}, $B68))) &gt; 0, $B68, IF(SUMPRODUCT(-- ISNUMBER(SEARCH({"Lookup","Master-Detail"}, $B68))) &gt; 0,$B68 &amp; "(" &amp; $E68 &amp; ")",IF(SUMPRODUCT(-- ISNUMBER(SEARCH({"Formula","Roll-Up Summary"}, $B68))) &gt; 0,$B68 &amp; " (" &amp; $E68 &amp; ")",IF(SUMPRODUCT(-- ISNUMBER(SEARCH({"Content","Currency","Number","Percent","Text","URL"}, $B68))) &gt; 0,$B68 &amp; "(" &amp; $C68 &amp; ")",$B68)))), "  ", TRIM(IF($S68 = "YES", "(External ID)", "") &amp; " " &amp; IF(SUMPRODUCT(-- ISNUMBER(SEARCH({"Unique","Unique Case Insensitive"}, $R68))) &gt; 0, "(" &amp; $R68 &amp; ")", ""))))</f>
        <v>na</v>
      </c>
      <c r="E68" s="7" t="s">
        <v>195</v>
      </c>
      <c r="F68" s="7" t="s">
        <v>195</v>
      </c>
      <c r="G68" s="7" t="s">
        <v>195</v>
      </c>
      <c r="H68" s="7" t="s">
        <v>195</v>
      </c>
      <c r="I68" s="7" t="s">
        <v>195</v>
      </c>
      <c r="J68" s="7" t="s">
        <v>195</v>
      </c>
      <c r="K68" s="7" t="s">
        <v>195</v>
      </c>
      <c r="L68" s="7" t="s">
        <v>195</v>
      </c>
      <c r="M68" s="7" t="s">
        <v>29</v>
      </c>
      <c r="N68" s="7" t="s">
        <v>29</v>
      </c>
      <c r="O68" s="7" t="s">
        <v>29</v>
      </c>
      <c r="P68" s="7" t="s">
        <v>29</v>
      </c>
      <c r="Q68" s="7" t="s">
        <v>29</v>
      </c>
      <c r="R68" s="7" t="s">
        <v>29</v>
      </c>
      <c r="S68" s="7" t="s">
        <v>29</v>
      </c>
    </row>
    <row r="69" spans="2:19">
      <c r="B69" s="7" t="s">
        <v>195</v>
      </c>
      <c r="C69" s="8" t="s">
        <v>195</v>
      </c>
      <c r="D69" s="6" t="str">
        <f>LRTRIM(CONCATENATE(IF(SUMPRODUCT(-- ISNUMBER(SEARCH({"Auto Number"}, $B69))) &gt; 0, $B69, IF(SUMPRODUCT(-- ISNUMBER(SEARCH({"Lookup","Master-Detail"}, $B69))) &gt; 0,$B69 &amp; "(" &amp; $E69 &amp; ")",IF(SUMPRODUCT(-- ISNUMBER(SEARCH({"Formula","Roll-Up Summary"}, $B69))) &gt; 0,$B69 &amp; " (" &amp; $E69 &amp; ")",IF(SUMPRODUCT(-- ISNUMBER(SEARCH({"Content","Currency","Number","Percent","Text","URL"}, $B69))) &gt; 0,$B69 &amp; "(" &amp; $C69 &amp; ")",$B69)))), "  ", TRIM(IF($S69 = "YES", "(External ID)", "") &amp; " " &amp; IF(SUMPRODUCT(-- ISNUMBER(SEARCH({"Unique","Unique Case Insensitive"}, $R69))) &gt; 0, "(" &amp; $R69 &amp; ")", ""))))</f>
        <v>na</v>
      </c>
      <c r="E69" s="7" t="s">
        <v>195</v>
      </c>
      <c r="F69" s="7" t="s">
        <v>195</v>
      </c>
      <c r="G69" s="7" t="s">
        <v>195</v>
      </c>
      <c r="H69" s="7" t="s">
        <v>195</v>
      </c>
      <c r="I69" s="7" t="s">
        <v>195</v>
      </c>
      <c r="J69" s="7" t="s">
        <v>195</v>
      </c>
      <c r="K69" s="7" t="s">
        <v>195</v>
      </c>
      <c r="L69" s="7" t="s">
        <v>195</v>
      </c>
      <c r="M69" s="7" t="s">
        <v>29</v>
      </c>
      <c r="N69" s="7" t="s">
        <v>29</v>
      </c>
      <c r="O69" s="7" t="s">
        <v>29</v>
      </c>
      <c r="P69" s="7" t="s">
        <v>29</v>
      </c>
      <c r="Q69" s="7" t="s">
        <v>29</v>
      </c>
      <c r="R69" s="7" t="s">
        <v>29</v>
      </c>
      <c r="S69" s="7" t="s">
        <v>29</v>
      </c>
    </row>
    <row r="70" spans="2:19">
      <c r="B70" s="7" t="s">
        <v>195</v>
      </c>
      <c r="C70" s="8" t="s">
        <v>195</v>
      </c>
      <c r="D70" s="6" t="str">
        <f>LRTRIM(CONCATENATE(IF(SUMPRODUCT(-- ISNUMBER(SEARCH({"Auto Number"}, $B70))) &gt; 0, $B70, IF(SUMPRODUCT(-- ISNUMBER(SEARCH({"Lookup","Master-Detail"}, $B70))) &gt; 0,$B70 &amp; "(" &amp; $E70 &amp; ")",IF(SUMPRODUCT(-- ISNUMBER(SEARCH({"Formula","Roll-Up Summary"}, $B70))) &gt; 0,$B70 &amp; " (" &amp; $E70 &amp; ")",IF(SUMPRODUCT(-- ISNUMBER(SEARCH({"Content","Currency","Number","Percent","Text","URL"}, $B70))) &gt; 0,$B70 &amp; "(" &amp; $C70 &amp; ")",$B70)))), "  ", TRIM(IF($S70 = "YES", "(External ID)", "") &amp; " " &amp; IF(SUMPRODUCT(-- ISNUMBER(SEARCH({"Unique","Unique Case Insensitive"}, $R70))) &gt; 0, "(" &amp; $R70 &amp; ")", ""))))</f>
        <v>na</v>
      </c>
      <c r="E70" s="7" t="s">
        <v>195</v>
      </c>
      <c r="F70" s="7" t="s">
        <v>195</v>
      </c>
      <c r="G70" s="7" t="s">
        <v>195</v>
      </c>
      <c r="H70" s="7" t="s">
        <v>195</v>
      </c>
      <c r="I70" s="7" t="s">
        <v>195</v>
      </c>
      <c r="J70" s="7" t="s">
        <v>195</v>
      </c>
      <c r="K70" s="7" t="s">
        <v>195</v>
      </c>
      <c r="L70" s="7" t="s">
        <v>195</v>
      </c>
      <c r="M70" s="7" t="s">
        <v>29</v>
      </c>
      <c r="N70" s="7" t="s">
        <v>29</v>
      </c>
      <c r="O70" s="7" t="s">
        <v>29</v>
      </c>
      <c r="P70" s="7" t="s">
        <v>29</v>
      </c>
      <c r="Q70" s="7" t="s">
        <v>29</v>
      </c>
      <c r="R70" s="7" t="s">
        <v>29</v>
      </c>
      <c r="S70" s="7" t="s">
        <v>29</v>
      </c>
    </row>
    <row r="71" spans="2:19">
      <c r="B71" s="7" t="s">
        <v>195</v>
      </c>
      <c r="C71" s="8" t="s">
        <v>195</v>
      </c>
      <c r="D71" s="6" t="str">
        <f>LRTRIM(CONCATENATE(IF(SUMPRODUCT(-- ISNUMBER(SEARCH({"Auto Number"}, $B71))) &gt; 0, $B71, IF(SUMPRODUCT(-- ISNUMBER(SEARCH({"Lookup","Master-Detail"}, $B71))) &gt; 0,$B71 &amp; "(" &amp; $E71 &amp; ")",IF(SUMPRODUCT(-- ISNUMBER(SEARCH({"Formula","Roll-Up Summary"}, $B71))) &gt; 0,$B71 &amp; " (" &amp; $E71 &amp; ")",IF(SUMPRODUCT(-- ISNUMBER(SEARCH({"Content","Currency","Number","Percent","Text","URL"}, $B71))) &gt; 0,$B71 &amp; "(" &amp; $C71 &amp; ")",$B71)))), "  ", TRIM(IF($S71 = "YES", "(External ID)", "") &amp; " " &amp; IF(SUMPRODUCT(-- ISNUMBER(SEARCH({"Unique","Unique Case Insensitive"}, $R71))) &gt; 0, "(" &amp; $R71 &amp; ")", ""))))</f>
        <v>na</v>
      </c>
      <c r="E71" s="7" t="s">
        <v>195</v>
      </c>
      <c r="F71" s="7" t="s">
        <v>195</v>
      </c>
      <c r="G71" s="7" t="s">
        <v>195</v>
      </c>
      <c r="H71" s="7" t="s">
        <v>195</v>
      </c>
      <c r="I71" s="7" t="s">
        <v>195</v>
      </c>
      <c r="J71" s="7" t="s">
        <v>195</v>
      </c>
      <c r="K71" s="7" t="s">
        <v>195</v>
      </c>
      <c r="L71" s="7" t="s">
        <v>195</v>
      </c>
      <c r="M71" s="7" t="s">
        <v>29</v>
      </c>
      <c r="N71" s="7" t="s">
        <v>29</v>
      </c>
      <c r="O71" s="7" t="s">
        <v>29</v>
      </c>
      <c r="P71" s="7" t="s">
        <v>29</v>
      </c>
      <c r="Q71" s="7" t="s">
        <v>29</v>
      </c>
      <c r="R71" s="7" t="s">
        <v>29</v>
      </c>
      <c r="S71" s="7" t="s">
        <v>29</v>
      </c>
    </row>
    <row r="72" spans="2:19">
      <c r="B72" s="7" t="s">
        <v>195</v>
      </c>
      <c r="C72" s="8" t="s">
        <v>195</v>
      </c>
      <c r="D72" s="6" t="str">
        <f>LRTRIM(CONCATENATE(IF(SUMPRODUCT(-- ISNUMBER(SEARCH({"Auto Number"}, $B72))) &gt; 0, $B72, IF(SUMPRODUCT(-- ISNUMBER(SEARCH({"Lookup","Master-Detail"}, $B72))) &gt; 0,$B72 &amp; "(" &amp; $E72 &amp; ")",IF(SUMPRODUCT(-- ISNUMBER(SEARCH({"Formula","Roll-Up Summary"}, $B72))) &gt; 0,$B72 &amp; " (" &amp; $E72 &amp; ")",IF(SUMPRODUCT(-- ISNUMBER(SEARCH({"Content","Currency","Number","Percent","Text","URL"}, $B72))) &gt; 0,$B72 &amp; "(" &amp; $C72 &amp; ")",$B72)))), "  ", TRIM(IF($S72 = "YES", "(External ID)", "") &amp; " " &amp; IF(SUMPRODUCT(-- ISNUMBER(SEARCH({"Unique","Unique Case Insensitive"}, $R72))) &gt; 0, "(" &amp; $R72 &amp; ")", ""))))</f>
        <v>na</v>
      </c>
      <c r="E72" s="7" t="s">
        <v>195</v>
      </c>
      <c r="F72" s="7" t="s">
        <v>195</v>
      </c>
      <c r="G72" s="7" t="s">
        <v>195</v>
      </c>
      <c r="H72" s="7" t="s">
        <v>195</v>
      </c>
      <c r="I72" s="7" t="s">
        <v>195</v>
      </c>
      <c r="J72" s="7" t="s">
        <v>195</v>
      </c>
      <c r="K72" s="7" t="s">
        <v>195</v>
      </c>
      <c r="L72" s="7" t="s">
        <v>195</v>
      </c>
      <c r="M72" s="7" t="s">
        <v>29</v>
      </c>
      <c r="N72" s="7" t="s">
        <v>29</v>
      </c>
      <c r="O72" s="7" t="s">
        <v>29</v>
      </c>
      <c r="P72" s="7" t="s">
        <v>29</v>
      </c>
      <c r="Q72" s="7" t="s">
        <v>29</v>
      </c>
      <c r="R72" s="7" t="s">
        <v>29</v>
      </c>
      <c r="S72" s="7" t="s">
        <v>29</v>
      </c>
    </row>
    <row r="73" spans="2:19">
      <c r="B73" s="7" t="s">
        <v>195</v>
      </c>
      <c r="C73" s="8" t="s">
        <v>195</v>
      </c>
      <c r="D73" s="6" t="str">
        <f>LRTRIM(CONCATENATE(IF(SUMPRODUCT(-- ISNUMBER(SEARCH({"Auto Number"}, $B73))) &gt; 0, $B73, IF(SUMPRODUCT(-- ISNUMBER(SEARCH({"Lookup","Master-Detail"}, $B73))) &gt; 0,$B73 &amp; "(" &amp; $E73 &amp; ")",IF(SUMPRODUCT(-- ISNUMBER(SEARCH({"Formula","Roll-Up Summary"}, $B73))) &gt; 0,$B73 &amp; " (" &amp; $E73 &amp; ")",IF(SUMPRODUCT(-- ISNUMBER(SEARCH({"Content","Currency","Number","Percent","Text","URL"}, $B73))) &gt; 0,$B73 &amp; "(" &amp; $C73 &amp; ")",$B73)))), "  ", TRIM(IF($S73 = "YES", "(External ID)", "") &amp; " " &amp; IF(SUMPRODUCT(-- ISNUMBER(SEARCH({"Unique","Unique Case Insensitive"}, $R73))) &gt; 0, "(" &amp; $R73 &amp; ")", ""))))</f>
        <v>na</v>
      </c>
      <c r="E73" s="7" t="s">
        <v>195</v>
      </c>
      <c r="F73" s="7" t="s">
        <v>195</v>
      </c>
      <c r="G73" s="7" t="s">
        <v>195</v>
      </c>
      <c r="H73" s="7" t="s">
        <v>195</v>
      </c>
      <c r="I73" s="7" t="s">
        <v>195</v>
      </c>
      <c r="J73" s="7" t="s">
        <v>195</v>
      </c>
      <c r="K73" s="7" t="s">
        <v>195</v>
      </c>
      <c r="L73" s="7" t="s">
        <v>195</v>
      </c>
      <c r="M73" s="7" t="s">
        <v>29</v>
      </c>
      <c r="N73" s="7" t="s">
        <v>29</v>
      </c>
      <c r="O73" s="7" t="s">
        <v>29</v>
      </c>
      <c r="P73" s="7" t="s">
        <v>29</v>
      </c>
      <c r="Q73" s="7" t="s">
        <v>29</v>
      </c>
      <c r="R73" s="7" t="s">
        <v>29</v>
      </c>
      <c r="S73" s="7" t="s">
        <v>29</v>
      </c>
    </row>
    <row r="74" spans="2:19">
      <c r="B74" s="7" t="s">
        <v>195</v>
      </c>
      <c r="C74" s="8" t="s">
        <v>195</v>
      </c>
      <c r="D74" s="6" t="str">
        <f>LRTRIM(CONCATENATE(IF(SUMPRODUCT(-- ISNUMBER(SEARCH({"Auto Number"}, $B74))) &gt; 0, $B74, IF(SUMPRODUCT(-- ISNUMBER(SEARCH({"Lookup","Master-Detail"}, $B74))) &gt; 0,$B74 &amp; "(" &amp; $E74 &amp; ")",IF(SUMPRODUCT(-- ISNUMBER(SEARCH({"Formula","Roll-Up Summary"}, $B74))) &gt; 0,$B74 &amp; " (" &amp; $E74 &amp; ")",IF(SUMPRODUCT(-- ISNUMBER(SEARCH({"Content","Currency","Number","Percent","Text","URL"}, $B74))) &gt; 0,$B74 &amp; "(" &amp; $C74 &amp; ")",$B74)))), "  ", TRIM(IF($S74 = "YES", "(External ID)", "") &amp; " " &amp; IF(SUMPRODUCT(-- ISNUMBER(SEARCH({"Unique","Unique Case Insensitive"}, $R74))) &gt; 0, "(" &amp; $R74 &amp; ")", ""))))</f>
        <v>na</v>
      </c>
      <c r="E74" s="7" t="s">
        <v>195</v>
      </c>
      <c r="F74" s="7" t="s">
        <v>195</v>
      </c>
      <c r="G74" s="7" t="s">
        <v>195</v>
      </c>
      <c r="H74" s="7" t="s">
        <v>195</v>
      </c>
      <c r="I74" s="7" t="s">
        <v>195</v>
      </c>
      <c r="J74" s="7" t="s">
        <v>195</v>
      </c>
      <c r="K74" s="7" t="s">
        <v>195</v>
      </c>
      <c r="L74" s="7" t="s">
        <v>195</v>
      </c>
      <c r="M74" s="7" t="s">
        <v>29</v>
      </c>
      <c r="N74" s="7" t="s">
        <v>29</v>
      </c>
      <c r="O74" s="7" t="s">
        <v>29</v>
      </c>
      <c r="P74" s="7" t="s">
        <v>29</v>
      </c>
      <c r="Q74" s="7" t="s">
        <v>29</v>
      </c>
      <c r="R74" s="7" t="s">
        <v>29</v>
      </c>
      <c r="S74" s="7" t="s">
        <v>29</v>
      </c>
    </row>
    <row r="75" spans="2:19">
      <c r="B75" s="7" t="s">
        <v>195</v>
      </c>
      <c r="C75" s="8" t="s">
        <v>195</v>
      </c>
      <c r="D75" s="6" t="str">
        <f>LRTRIM(CONCATENATE(IF(SUMPRODUCT(-- ISNUMBER(SEARCH({"Auto Number"}, $B75))) &gt; 0, $B75, IF(SUMPRODUCT(-- ISNUMBER(SEARCH({"Lookup","Master-Detail"}, $B75))) &gt; 0,$B75 &amp; "(" &amp; $E75 &amp; ")",IF(SUMPRODUCT(-- ISNUMBER(SEARCH({"Formula","Roll-Up Summary"}, $B75))) &gt; 0,$B75 &amp; " (" &amp; $E75 &amp; ")",IF(SUMPRODUCT(-- ISNUMBER(SEARCH({"Content","Currency","Number","Percent","Text","URL"}, $B75))) &gt; 0,$B75 &amp; "(" &amp; $C75 &amp; ")",$B75)))), "  ", TRIM(IF($S75 = "YES", "(External ID)", "") &amp; " " &amp; IF(SUMPRODUCT(-- ISNUMBER(SEARCH({"Unique","Unique Case Insensitive"}, $R75))) &gt; 0, "(" &amp; $R75 &amp; ")", ""))))</f>
        <v>na</v>
      </c>
      <c r="E75" s="7" t="s">
        <v>195</v>
      </c>
      <c r="F75" s="7" t="s">
        <v>195</v>
      </c>
      <c r="G75" s="7" t="s">
        <v>195</v>
      </c>
      <c r="H75" s="7" t="s">
        <v>195</v>
      </c>
      <c r="I75" s="7" t="s">
        <v>195</v>
      </c>
      <c r="J75" s="7" t="s">
        <v>195</v>
      </c>
      <c r="K75" s="7" t="s">
        <v>195</v>
      </c>
      <c r="L75" s="7" t="s">
        <v>195</v>
      </c>
      <c r="M75" s="7" t="s">
        <v>29</v>
      </c>
      <c r="N75" s="7" t="s">
        <v>29</v>
      </c>
      <c r="O75" s="7" t="s">
        <v>29</v>
      </c>
      <c r="P75" s="7" t="s">
        <v>29</v>
      </c>
      <c r="Q75" s="7" t="s">
        <v>29</v>
      </c>
      <c r="R75" s="7" t="s">
        <v>29</v>
      </c>
      <c r="S75" s="7" t="s">
        <v>29</v>
      </c>
    </row>
    <row r="76" spans="2:19">
      <c r="B76" s="7" t="s">
        <v>195</v>
      </c>
      <c r="C76" s="8" t="s">
        <v>195</v>
      </c>
      <c r="D76" s="6" t="str">
        <f>LRTRIM(CONCATENATE(IF(SUMPRODUCT(-- ISNUMBER(SEARCH({"Auto Number"}, $B76))) &gt; 0, $B76, IF(SUMPRODUCT(-- ISNUMBER(SEARCH({"Lookup","Master-Detail"}, $B76))) &gt; 0,$B76 &amp; "(" &amp; $E76 &amp; ")",IF(SUMPRODUCT(-- ISNUMBER(SEARCH({"Formula","Roll-Up Summary"}, $B76))) &gt; 0,$B76 &amp; " (" &amp; $E76 &amp; ")",IF(SUMPRODUCT(-- ISNUMBER(SEARCH({"Content","Currency","Number","Percent","Text","URL"}, $B76))) &gt; 0,$B76 &amp; "(" &amp; $C76 &amp; ")",$B76)))), "  ", TRIM(IF($S76 = "YES", "(External ID)", "") &amp; " " &amp; IF(SUMPRODUCT(-- ISNUMBER(SEARCH({"Unique","Unique Case Insensitive"}, $R76))) &gt; 0, "(" &amp; $R76 &amp; ")", ""))))</f>
        <v>na</v>
      </c>
      <c r="E76" s="7" t="s">
        <v>195</v>
      </c>
      <c r="F76" s="7" t="s">
        <v>195</v>
      </c>
      <c r="G76" s="7" t="s">
        <v>195</v>
      </c>
      <c r="H76" s="7" t="s">
        <v>195</v>
      </c>
      <c r="I76" s="7" t="s">
        <v>195</v>
      </c>
      <c r="J76" s="7" t="s">
        <v>195</v>
      </c>
      <c r="K76" s="7" t="s">
        <v>195</v>
      </c>
      <c r="L76" s="7" t="s">
        <v>195</v>
      </c>
      <c r="M76" s="7" t="s">
        <v>29</v>
      </c>
      <c r="N76" s="7" t="s">
        <v>29</v>
      </c>
      <c r="O76" s="7" t="s">
        <v>29</v>
      </c>
      <c r="P76" s="7" t="s">
        <v>29</v>
      </c>
      <c r="Q76" s="7" t="s">
        <v>29</v>
      </c>
      <c r="R76" s="7" t="s">
        <v>29</v>
      </c>
      <c r="S76" s="7" t="s">
        <v>29</v>
      </c>
    </row>
    <row r="77" spans="2:19">
      <c r="B77" s="7" t="s">
        <v>195</v>
      </c>
      <c r="C77" s="8" t="s">
        <v>195</v>
      </c>
      <c r="D77" s="6" t="str">
        <f>LRTRIM(CONCATENATE(IF(SUMPRODUCT(-- ISNUMBER(SEARCH({"Auto Number"}, $B77))) &gt; 0, $B77, IF(SUMPRODUCT(-- ISNUMBER(SEARCH({"Lookup","Master-Detail"}, $B77))) &gt; 0,$B77 &amp; "(" &amp; $E77 &amp; ")",IF(SUMPRODUCT(-- ISNUMBER(SEARCH({"Formula","Roll-Up Summary"}, $B77))) &gt; 0,$B77 &amp; " (" &amp; $E77 &amp; ")",IF(SUMPRODUCT(-- ISNUMBER(SEARCH({"Content","Currency","Number","Percent","Text","URL"}, $B77))) &gt; 0,$B77 &amp; "(" &amp; $C77 &amp; ")",$B77)))), "  ", TRIM(IF($S77 = "YES", "(External ID)", "") &amp; " " &amp; IF(SUMPRODUCT(-- ISNUMBER(SEARCH({"Unique","Unique Case Insensitive"}, $R77))) &gt; 0, "(" &amp; $R77 &amp; ")", ""))))</f>
        <v>na</v>
      </c>
      <c r="E77" s="7" t="s">
        <v>195</v>
      </c>
      <c r="F77" s="7" t="s">
        <v>195</v>
      </c>
      <c r="G77" s="7" t="s">
        <v>195</v>
      </c>
      <c r="H77" s="7" t="s">
        <v>195</v>
      </c>
      <c r="I77" s="7" t="s">
        <v>195</v>
      </c>
      <c r="J77" s="7" t="s">
        <v>195</v>
      </c>
      <c r="K77" s="7" t="s">
        <v>195</v>
      </c>
      <c r="L77" s="7" t="s">
        <v>195</v>
      </c>
      <c r="M77" s="7" t="s">
        <v>29</v>
      </c>
      <c r="N77" s="7" t="s">
        <v>29</v>
      </c>
      <c r="O77" s="7" t="s">
        <v>29</v>
      </c>
      <c r="P77" s="7" t="s">
        <v>29</v>
      </c>
      <c r="Q77" s="7" t="s">
        <v>29</v>
      </c>
      <c r="R77" s="7" t="s">
        <v>29</v>
      </c>
      <c r="S77" s="7" t="s">
        <v>29</v>
      </c>
    </row>
    <row r="78" spans="2:19">
      <c r="B78" s="7" t="s">
        <v>195</v>
      </c>
      <c r="C78" s="8" t="s">
        <v>195</v>
      </c>
      <c r="D78" s="6" t="str">
        <f>LRTRIM(CONCATENATE(IF(SUMPRODUCT(-- ISNUMBER(SEARCH({"Auto Number"}, $B78))) &gt; 0, $B78, IF(SUMPRODUCT(-- ISNUMBER(SEARCH({"Lookup","Master-Detail"}, $B78))) &gt; 0,$B78 &amp; "(" &amp; $E78 &amp; ")",IF(SUMPRODUCT(-- ISNUMBER(SEARCH({"Formula","Roll-Up Summary"}, $B78))) &gt; 0,$B78 &amp; " (" &amp; $E78 &amp; ")",IF(SUMPRODUCT(-- ISNUMBER(SEARCH({"Content","Currency","Number","Percent","Text","URL"}, $B78))) &gt; 0,$B78 &amp; "(" &amp; $C78 &amp; ")",$B78)))), "  ", TRIM(IF($S78 = "YES", "(External ID)", "") &amp; " " &amp; IF(SUMPRODUCT(-- ISNUMBER(SEARCH({"Unique","Unique Case Insensitive"}, $R78))) &gt; 0, "(" &amp; $R78 &amp; ")", ""))))</f>
        <v>na</v>
      </c>
      <c r="E78" s="7" t="s">
        <v>195</v>
      </c>
      <c r="F78" s="7" t="s">
        <v>195</v>
      </c>
      <c r="G78" s="7" t="s">
        <v>195</v>
      </c>
      <c r="H78" s="7" t="s">
        <v>195</v>
      </c>
      <c r="I78" s="7" t="s">
        <v>195</v>
      </c>
      <c r="J78" s="7" t="s">
        <v>195</v>
      </c>
      <c r="K78" s="7" t="s">
        <v>195</v>
      </c>
      <c r="L78" s="7" t="s">
        <v>195</v>
      </c>
      <c r="M78" s="7" t="s">
        <v>29</v>
      </c>
      <c r="N78" s="7" t="s">
        <v>29</v>
      </c>
      <c r="O78" s="7" t="s">
        <v>29</v>
      </c>
      <c r="P78" s="7" t="s">
        <v>29</v>
      </c>
      <c r="Q78" s="7" t="s">
        <v>29</v>
      </c>
      <c r="R78" s="7" t="s">
        <v>29</v>
      </c>
      <c r="S78" s="7" t="s">
        <v>29</v>
      </c>
    </row>
    <row r="79" spans="2:19">
      <c r="B79" s="7" t="s">
        <v>195</v>
      </c>
      <c r="C79" s="8" t="s">
        <v>195</v>
      </c>
      <c r="D79" s="6" t="str">
        <f>LRTRIM(CONCATENATE(IF(SUMPRODUCT(-- ISNUMBER(SEARCH({"Auto Number"}, $B79))) &gt; 0, $B79, IF(SUMPRODUCT(-- ISNUMBER(SEARCH({"Lookup","Master-Detail"}, $B79))) &gt; 0,$B79 &amp; "(" &amp; $E79 &amp; ")",IF(SUMPRODUCT(-- ISNUMBER(SEARCH({"Formula","Roll-Up Summary"}, $B79))) &gt; 0,$B79 &amp; " (" &amp; $E79 &amp; ")",IF(SUMPRODUCT(-- ISNUMBER(SEARCH({"Content","Currency","Number","Percent","Text","URL"}, $B79))) &gt; 0,$B79 &amp; "(" &amp; $C79 &amp; ")",$B79)))), "  ", TRIM(IF($S79 = "YES", "(External ID)", "") &amp; " " &amp; IF(SUMPRODUCT(-- ISNUMBER(SEARCH({"Unique","Unique Case Insensitive"}, $R79))) &gt; 0, "(" &amp; $R79 &amp; ")", ""))))</f>
        <v>na</v>
      </c>
      <c r="E79" s="7" t="s">
        <v>195</v>
      </c>
      <c r="F79" s="7" t="s">
        <v>195</v>
      </c>
      <c r="G79" s="7" t="s">
        <v>195</v>
      </c>
      <c r="H79" s="7" t="s">
        <v>195</v>
      </c>
      <c r="I79" s="7" t="s">
        <v>195</v>
      </c>
      <c r="J79" s="7" t="s">
        <v>195</v>
      </c>
      <c r="K79" s="7" t="s">
        <v>195</v>
      </c>
      <c r="L79" s="7" t="s">
        <v>195</v>
      </c>
      <c r="M79" s="7" t="s">
        <v>29</v>
      </c>
      <c r="N79" s="7" t="s">
        <v>29</v>
      </c>
      <c r="O79" s="7" t="s">
        <v>29</v>
      </c>
      <c r="P79" s="7" t="s">
        <v>29</v>
      </c>
      <c r="Q79" s="7" t="s">
        <v>29</v>
      </c>
      <c r="R79" s="7" t="s">
        <v>29</v>
      </c>
      <c r="S79" s="7" t="s">
        <v>29</v>
      </c>
    </row>
    <row r="80" spans="2:19">
      <c r="B80" s="7" t="s">
        <v>195</v>
      </c>
      <c r="C80" s="8" t="s">
        <v>195</v>
      </c>
      <c r="D80" s="6" t="str">
        <f>LRTRIM(CONCATENATE(IF(SUMPRODUCT(-- ISNUMBER(SEARCH({"Auto Number"}, $B80))) &gt; 0, $B80, IF(SUMPRODUCT(-- ISNUMBER(SEARCH({"Lookup","Master-Detail"}, $B80))) &gt; 0,$B80 &amp; "(" &amp; $E80 &amp; ")",IF(SUMPRODUCT(-- ISNUMBER(SEARCH({"Formula","Roll-Up Summary"}, $B80))) &gt; 0,$B80 &amp; " (" &amp; $E80 &amp; ")",IF(SUMPRODUCT(-- ISNUMBER(SEARCH({"Content","Currency","Number","Percent","Text","URL"}, $B80))) &gt; 0,$B80 &amp; "(" &amp; $C80 &amp; ")",$B80)))), "  ", TRIM(IF($S80 = "YES", "(External ID)", "") &amp; " " &amp; IF(SUMPRODUCT(-- ISNUMBER(SEARCH({"Unique","Unique Case Insensitive"}, $R80))) &gt; 0, "(" &amp; $R80 &amp; ")", ""))))</f>
        <v>na</v>
      </c>
      <c r="E80" s="7" t="s">
        <v>195</v>
      </c>
      <c r="F80" s="7" t="s">
        <v>195</v>
      </c>
      <c r="G80" s="7" t="s">
        <v>195</v>
      </c>
      <c r="H80" s="7" t="s">
        <v>195</v>
      </c>
      <c r="I80" s="7" t="s">
        <v>195</v>
      </c>
      <c r="J80" s="7" t="s">
        <v>195</v>
      </c>
      <c r="K80" s="7" t="s">
        <v>195</v>
      </c>
      <c r="L80" s="7" t="s">
        <v>195</v>
      </c>
      <c r="M80" s="7" t="s">
        <v>29</v>
      </c>
      <c r="N80" s="7" t="s">
        <v>29</v>
      </c>
      <c r="O80" s="7" t="s">
        <v>29</v>
      </c>
      <c r="P80" s="7" t="s">
        <v>29</v>
      </c>
      <c r="Q80" s="7" t="s">
        <v>29</v>
      </c>
      <c r="R80" s="7" t="s">
        <v>29</v>
      </c>
      <c r="S80" s="7" t="s">
        <v>29</v>
      </c>
    </row>
    <row r="81" spans="2:19">
      <c r="B81" s="7" t="s">
        <v>195</v>
      </c>
      <c r="C81" s="8" t="s">
        <v>195</v>
      </c>
      <c r="D81" s="6" t="str">
        <f>LRTRIM(CONCATENATE(IF(SUMPRODUCT(-- ISNUMBER(SEARCH({"Auto Number"}, $B81))) &gt; 0, $B81, IF(SUMPRODUCT(-- ISNUMBER(SEARCH({"Lookup","Master-Detail"}, $B81))) &gt; 0,$B81 &amp; "(" &amp; $E81 &amp; ")",IF(SUMPRODUCT(-- ISNUMBER(SEARCH({"Formula","Roll-Up Summary"}, $B81))) &gt; 0,$B81 &amp; " (" &amp; $E81 &amp; ")",IF(SUMPRODUCT(-- ISNUMBER(SEARCH({"Content","Currency","Number","Percent","Text","URL"}, $B81))) &gt; 0,$B81 &amp; "(" &amp; $C81 &amp; ")",$B81)))), "  ", TRIM(IF($S81 = "YES", "(External ID)", "") &amp; " " &amp; IF(SUMPRODUCT(-- ISNUMBER(SEARCH({"Unique","Unique Case Insensitive"}, $R81))) &gt; 0, "(" &amp; $R81 &amp; ")", ""))))</f>
        <v>na</v>
      </c>
      <c r="E81" s="7" t="s">
        <v>195</v>
      </c>
      <c r="F81" s="7" t="s">
        <v>195</v>
      </c>
      <c r="G81" s="7" t="s">
        <v>195</v>
      </c>
      <c r="H81" s="7" t="s">
        <v>195</v>
      </c>
      <c r="I81" s="7" t="s">
        <v>195</v>
      </c>
      <c r="J81" s="7" t="s">
        <v>195</v>
      </c>
      <c r="K81" s="7" t="s">
        <v>195</v>
      </c>
      <c r="L81" s="7" t="s">
        <v>195</v>
      </c>
      <c r="M81" s="7" t="s">
        <v>29</v>
      </c>
      <c r="N81" s="7" t="s">
        <v>29</v>
      </c>
      <c r="O81" s="7" t="s">
        <v>29</v>
      </c>
      <c r="P81" s="7" t="s">
        <v>29</v>
      </c>
      <c r="Q81" s="7" t="s">
        <v>29</v>
      </c>
      <c r="R81" s="7" t="s">
        <v>29</v>
      </c>
      <c r="S81" s="7" t="s">
        <v>29</v>
      </c>
    </row>
    <row r="82" spans="2:19">
      <c r="B82" s="7" t="s">
        <v>195</v>
      </c>
      <c r="C82" s="8" t="s">
        <v>195</v>
      </c>
      <c r="D82" s="6" t="str">
        <f>LRTRIM(CONCATENATE(IF(SUMPRODUCT(-- ISNUMBER(SEARCH({"Auto Number"}, $B82))) &gt; 0, $B82, IF(SUMPRODUCT(-- ISNUMBER(SEARCH({"Lookup","Master-Detail"}, $B82))) &gt; 0,$B82 &amp; "(" &amp; $E82 &amp; ")",IF(SUMPRODUCT(-- ISNUMBER(SEARCH({"Formula","Roll-Up Summary"}, $B82))) &gt; 0,$B82 &amp; " (" &amp; $E82 &amp; ")",IF(SUMPRODUCT(-- ISNUMBER(SEARCH({"Content","Currency","Number","Percent","Text","URL"}, $B82))) &gt; 0,$B82 &amp; "(" &amp; $C82 &amp; ")",$B82)))), "  ", TRIM(IF($S82 = "YES", "(External ID)", "") &amp; " " &amp; IF(SUMPRODUCT(-- ISNUMBER(SEARCH({"Unique","Unique Case Insensitive"}, $R82))) &gt; 0, "(" &amp; $R82 &amp; ")", ""))))</f>
        <v>na</v>
      </c>
      <c r="E82" s="7" t="s">
        <v>195</v>
      </c>
      <c r="F82" s="7" t="s">
        <v>195</v>
      </c>
      <c r="G82" s="7" t="s">
        <v>195</v>
      </c>
      <c r="H82" s="7" t="s">
        <v>195</v>
      </c>
      <c r="I82" s="7" t="s">
        <v>195</v>
      </c>
      <c r="J82" s="7" t="s">
        <v>195</v>
      </c>
      <c r="K82" s="7" t="s">
        <v>195</v>
      </c>
      <c r="L82" s="7" t="s">
        <v>195</v>
      </c>
      <c r="M82" s="7" t="s">
        <v>29</v>
      </c>
      <c r="N82" s="7" t="s">
        <v>29</v>
      </c>
      <c r="O82" s="7" t="s">
        <v>29</v>
      </c>
      <c r="P82" s="7" t="s">
        <v>29</v>
      </c>
      <c r="Q82" s="7" t="s">
        <v>29</v>
      </c>
      <c r="R82" s="7" t="s">
        <v>29</v>
      </c>
      <c r="S82" s="7" t="s">
        <v>29</v>
      </c>
    </row>
    <row r="83" spans="2:19">
      <c r="B83" s="7" t="s">
        <v>195</v>
      </c>
      <c r="C83" s="8" t="s">
        <v>195</v>
      </c>
      <c r="D83" s="6" t="str">
        <f>LRTRIM(CONCATENATE(IF(SUMPRODUCT(-- ISNUMBER(SEARCH({"Auto Number"}, $B83))) &gt; 0, $B83, IF(SUMPRODUCT(-- ISNUMBER(SEARCH({"Lookup","Master-Detail"}, $B83))) &gt; 0,$B83 &amp; "(" &amp; $E83 &amp; ")",IF(SUMPRODUCT(-- ISNUMBER(SEARCH({"Formula","Roll-Up Summary"}, $B83))) &gt; 0,$B83 &amp; " (" &amp; $E83 &amp; ")",IF(SUMPRODUCT(-- ISNUMBER(SEARCH({"Content","Currency","Number","Percent","Text","URL"}, $B83))) &gt; 0,$B83 &amp; "(" &amp; $C83 &amp; ")",$B83)))), "  ", TRIM(IF($S83 = "YES", "(External ID)", "") &amp; " " &amp; IF(SUMPRODUCT(-- ISNUMBER(SEARCH({"Unique","Unique Case Insensitive"}, $R83))) &gt; 0, "(" &amp; $R83 &amp; ")", ""))))</f>
        <v>na</v>
      </c>
      <c r="E83" s="7" t="s">
        <v>195</v>
      </c>
      <c r="F83" s="7" t="s">
        <v>195</v>
      </c>
      <c r="G83" s="7" t="s">
        <v>195</v>
      </c>
      <c r="H83" s="7" t="s">
        <v>195</v>
      </c>
      <c r="I83" s="7" t="s">
        <v>195</v>
      </c>
      <c r="J83" s="7" t="s">
        <v>195</v>
      </c>
      <c r="K83" s="7" t="s">
        <v>195</v>
      </c>
      <c r="L83" s="7" t="s">
        <v>195</v>
      </c>
      <c r="M83" s="7" t="s">
        <v>29</v>
      </c>
      <c r="N83" s="7" t="s">
        <v>29</v>
      </c>
      <c r="O83" s="7" t="s">
        <v>29</v>
      </c>
      <c r="P83" s="7" t="s">
        <v>29</v>
      </c>
      <c r="Q83" s="7" t="s">
        <v>29</v>
      </c>
      <c r="R83" s="7" t="s">
        <v>29</v>
      </c>
      <c r="S83" s="7" t="s">
        <v>29</v>
      </c>
    </row>
    <row r="84" spans="2:19">
      <c r="B84" s="7" t="s">
        <v>195</v>
      </c>
      <c r="C84" s="8" t="s">
        <v>195</v>
      </c>
      <c r="D84" s="6" t="str">
        <f>LRTRIM(CONCATENATE(IF(SUMPRODUCT(-- ISNUMBER(SEARCH({"Auto Number"}, $B84))) &gt; 0, $B84, IF(SUMPRODUCT(-- ISNUMBER(SEARCH({"Lookup","Master-Detail"}, $B84))) &gt; 0,$B84 &amp; "(" &amp; $E84 &amp; ")",IF(SUMPRODUCT(-- ISNUMBER(SEARCH({"Formula","Roll-Up Summary"}, $B84))) &gt; 0,$B84 &amp; " (" &amp; $E84 &amp; ")",IF(SUMPRODUCT(-- ISNUMBER(SEARCH({"Content","Currency","Number","Percent","Text","URL"}, $B84))) &gt; 0,$B84 &amp; "(" &amp; $C84 &amp; ")",$B84)))), "  ", TRIM(IF($S84 = "YES", "(External ID)", "") &amp; " " &amp; IF(SUMPRODUCT(-- ISNUMBER(SEARCH({"Unique","Unique Case Insensitive"}, $R84))) &gt; 0, "(" &amp; $R84 &amp; ")", ""))))</f>
        <v>na</v>
      </c>
      <c r="E84" s="7" t="s">
        <v>195</v>
      </c>
      <c r="F84" s="7" t="s">
        <v>195</v>
      </c>
      <c r="G84" s="7" t="s">
        <v>195</v>
      </c>
      <c r="H84" s="7" t="s">
        <v>195</v>
      </c>
      <c r="I84" s="7" t="s">
        <v>195</v>
      </c>
      <c r="J84" s="7" t="s">
        <v>195</v>
      </c>
      <c r="K84" s="7" t="s">
        <v>195</v>
      </c>
      <c r="L84" s="7" t="s">
        <v>195</v>
      </c>
      <c r="M84" s="7" t="s">
        <v>29</v>
      </c>
      <c r="N84" s="7" t="s">
        <v>29</v>
      </c>
      <c r="O84" s="7" t="s">
        <v>29</v>
      </c>
      <c r="P84" s="7" t="s">
        <v>29</v>
      </c>
      <c r="Q84" s="7" t="s">
        <v>29</v>
      </c>
      <c r="R84" s="7" t="s">
        <v>29</v>
      </c>
      <c r="S84" s="7" t="s">
        <v>29</v>
      </c>
    </row>
    <row r="85" spans="2:19">
      <c r="B85" s="7" t="s">
        <v>195</v>
      </c>
      <c r="C85" s="8" t="s">
        <v>195</v>
      </c>
      <c r="D85" s="6" t="str">
        <f>LRTRIM(CONCATENATE(IF(SUMPRODUCT(-- ISNUMBER(SEARCH({"Auto Number"}, $B85))) &gt; 0, $B85, IF(SUMPRODUCT(-- ISNUMBER(SEARCH({"Lookup","Master-Detail"}, $B85))) &gt; 0,$B85 &amp; "(" &amp; $E85 &amp; ")",IF(SUMPRODUCT(-- ISNUMBER(SEARCH({"Formula","Roll-Up Summary"}, $B85))) &gt; 0,$B85 &amp; " (" &amp; $E85 &amp; ")",IF(SUMPRODUCT(-- ISNUMBER(SEARCH({"Content","Currency","Number","Percent","Text","URL"}, $B85))) &gt; 0,$B85 &amp; "(" &amp; $C85 &amp; ")",$B85)))), "  ", TRIM(IF($S85 = "YES", "(External ID)", "") &amp; " " &amp; IF(SUMPRODUCT(-- ISNUMBER(SEARCH({"Unique","Unique Case Insensitive"}, $R85))) &gt; 0, "(" &amp; $R85 &amp; ")", ""))))</f>
        <v>na</v>
      </c>
      <c r="E85" s="7" t="s">
        <v>195</v>
      </c>
      <c r="F85" s="7" t="s">
        <v>195</v>
      </c>
      <c r="G85" s="7" t="s">
        <v>195</v>
      </c>
      <c r="H85" s="7" t="s">
        <v>195</v>
      </c>
      <c r="I85" s="7" t="s">
        <v>195</v>
      </c>
      <c r="J85" s="7" t="s">
        <v>195</v>
      </c>
      <c r="K85" s="7" t="s">
        <v>195</v>
      </c>
      <c r="L85" s="7" t="s">
        <v>195</v>
      </c>
      <c r="M85" s="7" t="s">
        <v>29</v>
      </c>
      <c r="N85" s="7" t="s">
        <v>29</v>
      </c>
      <c r="O85" s="7" t="s">
        <v>29</v>
      </c>
      <c r="P85" s="7" t="s">
        <v>29</v>
      </c>
      <c r="Q85" s="7" t="s">
        <v>29</v>
      </c>
      <c r="R85" s="7" t="s">
        <v>29</v>
      </c>
      <c r="S85" s="7" t="s">
        <v>29</v>
      </c>
    </row>
    <row r="86" spans="2:19">
      <c r="B86" s="7" t="s">
        <v>195</v>
      </c>
      <c r="C86" s="8" t="s">
        <v>195</v>
      </c>
      <c r="D86" s="6" t="str">
        <f>LRTRIM(CONCATENATE(IF(SUMPRODUCT(-- ISNUMBER(SEARCH({"Auto Number"}, $B86))) &gt; 0, $B86, IF(SUMPRODUCT(-- ISNUMBER(SEARCH({"Lookup","Master-Detail"}, $B86))) &gt; 0,$B86 &amp; "(" &amp; $E86 &amp; ")",IF(SUMPRODUCT(-- ISNUMBER(SEARCH({"Formula","Roll-Up Summary"}, $B86))) &gt; 0,$B86 &amp; " (" &amp; $E86 &amp; ")",IF(SUMPRODUCT(-- ISNUMBER(SEARCH({"Content","Currency","Number","Percent","Text","URL"}, $B86))) &gt; 0,$B86 &amp; "(" &amp; $C86 &amp; ")",$B86)))), "  ", TRIM(IF($S86 = "YES", "(External ID)", "") &amp; " " &amp; IF(SUMPRODUCT(-- ISNUMBER(SEARCH({"Unique","Unique Case Insensitive"}, $R86))) &gt; 0, "(" &amp; $R86 &amp; ")", ""))))</f>
        <v>na</v>
      </c>
      <c r="E86" s="7" t="s">
        <v>195</v>
      </c>
      <c r="F86" s="7" t="s">
        <v>195</v>
      </c>
      <c r="G86" s="7" t="s">
        <v>195</v>
      </c>
      <c r="H86" s="7" t="s">
        <v>195</v>
      </c>
      <c r="I86" s="7" t="s">
        <v>195</v>
      </c>
      <c r="J86" s="7" t="s">
        <v>195</v>
      </c>
      <c r="K86" s="7" t="s">
        <v>195</v>
      </c>
      <c r="L86" s="7" t="s">
        <v>195</v>
      </c>
      <c r="M86" s="7" t="s">
        <v>29</v>
      </c>
      <c r="N86" s="7" t="s">
        <v>29</v>
      </c>
      <c r="O86" s="7" t="s">
        <v>29</v>
      </c>
      <c r="P86" s="7" t="s">
        <v>29</v>
      </c>
      <c r="Q86" s="7" t="s">
        <v>29</v>
      </c>
      <c r="R86" s="7" t="s">
        <v>29</v>
      </c>
      <c r="S86" s="7" t="s">
        <v>29</v>
      </c>
    </row>
    <row r="87" spans="2:19">
      <c r="B87" s="7" t="s">
        <v>195</v>
      </c>
      <c r="C87" s="8" t="s">
        <v>195</v>
      </c>
      <c r="D87" s="6" t="str">
        <f>LRTRIM(CONCATENATE(IF(SUMPRODUCT(-- ISNUMBER(SEARCH({"Auto Number"}, $B87))) &gt; 0, $B87, IF(SUMPRODUCT(-- ISNUMBER(SEARCH({"Lookup","Master-Detail"}, $B87))) &gt; 0,$B87 &amp; "(" &amp; $E87 &amp; ")",IF(SUMPRODUCT(-- ISNUMBER(SEARCH({"Formula","Roll-Up Summary"}, $B87))) &gt; 0,$B87 &amp; " (" &amp; $E87 &amp; ")",IF(SUMPRODUCT(-- ISNUMBER(SEARCH({"Content","Currency","Number","Percent","Text","URL"}, $B87))) &gt; 0,$B87 &amp; "(" &amp; $C87 &amp; ")",$B87)))), "  ", TRIM(IF($S87 = "YES", "(External ID)", "") &amp; " " &amp; IF(SUMPRODUCT(-- ISNUMBER(SEARCH({"Unique","Unique Case Insensitive"}, $R87))) &gt; 0, "(" &amp; $R87 &amp; ")", ""))))</f>
        <v>na</v>
      </c>
      <c r="E87" s="7" t="s">
        <v>195</v>
      </c>
      <c r="F87" s="7" t="s">
        <v>195</v>
      </c>
      <c r="G87" s="7" t="s">
        <v>195</v>
      </c>
      <c r="H87" s="7" t="s">
        <v>195</v>
      </c>
      <c r="I87" s="7" t="s">
        <v>195</v>
      </c>
      <c r="J87" s="7" t="s">
        <v>195</v>
      </c>
      <c r="K87" s="7" t="s">
        <v>195</v>
      </c>
      <c r="L87" s="7" t="s">
        <v>195</v>
      </c>
      <c r="M87" s="7" t="s">
        <v>29</v>
      </c>
      <c r="N87" s="7" t="s">
        <v>29</v>
      </c>
      <c r="O87" s="7" t="s">
        <v>29</v>
      </c>
      <c r="P87" s="7" t="s">
        <v>29</v>
      </c>
      <c r="Q87" s="7" t="s">
        <v>29</v>
      </c>
      <c r="R87" s="7" t="s">
        <v>29</v>
      </c>
      <c r="S87" s="7" t="s">
        <v>29</v>
      </c>
    </row>
    <row r="88" spans="2:19">
      <c r="B88" s="7" t="s">
        <v>195</v>
      </c>
      <c r="C88" s="8" t="s">
        <v>195</v>
      </c>
      <c r="D88" s="6" t="str">
        <f>LRTRIM(CONCATENATE(IF(SUMPRODUCT(-- ISNUMBER(SEARCH({"Auto Number"}, $B88))) &gt; 0, $B88, IF(SUMPRODUCT(-- ISNUMBER(SEARCH({"Lookup","Master-Detail"}, $B88))) &gt; 0,$B88 &amp; "(" &amp; $E88 &amp; ")",IF(SUMPRODUCT(-- ISNUMBER(SEARCH({"Formula","Roll-Up Summary"}, $B88))) &gt; 0,$B88 &amp; " (" &amp; $E88 &amp; ")",IF(SUMPRODUCT(-- ISNUMBER(SEARCH({"Content","Currency","Number","Percent","Text","URL"}, $B88))) &gt; 0,$B88 &amp; "(" &amp; $C88 &amp; ")",$B88)))), "  ", TRIM(IF($S88 = "YES", "(External ID)", "") &amp; " " &amp; IF(SUMPRODUCT(-- ISNUMBER(SEARCH({"Unique","Unique Case Insensitive"}, $R88))) &gt; 0, "(" &amp; $R88 &amp; ")", ""))))</f>
        <v>na</v>
      </c>
      <c r="E88" s="7" t="s">
        <v>195</v>
      </c>
      <c r="F88" s="7" t="s">
        <v>195</v>
      </c>
      <c r="G88" s="7" t="s">
        <v>195</v>
      </c>
      <c r="H88" s="7" t="s">
        <v>195</v>
      </c>
      <c r="I88" s="7" t="s">
        <v>195</v>
      </c>
      <c r="J88" s="7" t="s">
        <v>195</v>
      </c>
      <c r="K88" s="7" t="s">
        <v>195</v>
      </c>
      <c r="L88" s="7" t="s">
        <v>195</v>
      </c>
      <c r="M88" s="7" t="s">
        <v>29</v>
      </c>
      <c r="N88" s="7" t="s">
        <v>29</v>
      </c>
      <c r="O88" s="7" t="s">
        <v>29</v>
      </c>
      <c r="P88" s="7" t="s">
        <v>29</v>
      </c>
      <c r="Q88" s="7" t="s">
        <v>29</v>
      </c>
      <c r="R88" s="7" t="s">
        <v>29</v>
      </c>
      <c r="S88" s="7" t="s">
        <v>29</v>
      </c>
    </row>
    <row r="89" spans="2:19">
      <c r="B89" s="7" t="s">
        <v>195</v>
      </c>
      <c r="C89" s="8" t="s">
        <v>195</v>
      </c>
      <c r="D89" s="6" t="str">
        <f>LRTRIM(CONCATENATE(IF(SUMPRODUCT(-- ISNUMBER(SEARCH({"Auto Number"}, $B89))) &gt; 0, $B89, IF(SUMPRODUCT(-- ISNUMBER(SEARCH({"Lookup","Master-Detail"}, $B89))) &gt; 0,$B89 &amp; "(" &amp; $E89 &amp; ")",IF(SUMPRODUCT(-- ISNUMBER(SEARCH({"Formula","Roll-Up Summary"}, $B89))) &gt; 0,$B89 &amp; " (" &amp; $E89 &amp; ")",IF(SUMPRODUCT(-- ISNUMBER(SEARCH({"Content","Currency","Number","Percent","Text","URL"}, $B89))) &gt; 0,$B89 &amp; "(" &amp; $C89 &amp; ")",$B89)))), "  ", TRIM(IF($S89 = "YES", "(External ID)", "") &amp; " " &amp; IF(SUMPRODUCT(-- ISNUMBER(SEARCH({"Unique","Unique Case Insensitive"}, $R89))) &gt; 0, "(" &amp; $R89 &amp; ")", ""))))</f>
        <v>na</v>
      </c>
      <c r="E89" s="7" t="s">
        <v>195</v>
      </c>
      <c r="F89" s="7" t="s">
        <v>195</v>
      </c>
      <c r="G89" s="7" t="s">
        <v>195</v>
      </c>
      <c r="H89" s="7" t="s">
        <v>195</v>
      </c>
      <c r="I89" s="7" t="s">
        <v>195</v>
      </c>
      <c r="J89" s="7" t="s">
        <v>195</v>
      </c>
      <c r="K89" s="7" t="s">
        <v>195</v>
      </c>
      <c r="L89" s="7" t="s">
        <v>195</v>
      </c>
      <c r="M89" s="7" t="s">
        <v>29</v>
      </c>
      <c r="N89" s="7" t="s">
        <v>29</v>
      </c>
      <c r="O89" s="7" t="s">
        <v>29</v>
      </c>
      <c r="P89" s="7" t="s">
        <v>29</v>
      </c>
      <c r="Q89" s="7" t="s">
        <v>29</v>
      </c>
      <c r="R89" s="7" t="s">
        <v>29</v>
      </c>
      <c r="S89" s="7" t="s">
        <v>29</v>
      </c>
    </row>
    <row r="90" spans="2:19">
      <c r="B90" s="7" t="s">
        <v>195</v>
      </c>
      <c r="C90" s="8" t="s">
        <v>195</v>
      </c>
      <c r="D90" s="6" t="str">
        <f>LRTRIM(CONCATENATE(IF(SUMPRODUCT(-- ISNUMBER(SEARCH({"Auto Number"}, $B90))) &gt; 0, $B90, IF(SUMPRODUCT(-- ISNUMBER(SEARCH({"Lookup","Master-Detail"}, $B90))) &gt; 0,$B90 &amp; "(" &amp; $E90 &amp; ")",IF(SUMPRODUCT(-- ISNUMBER(SEARCH({"Formula","Roll-Up Summary"}, $B90))) &gt; 0,$B90 &amp; " (" &amp; $E90 &amp; ")",IF(SUMPRODUCT(-- ISNUMBER(SEARCH({"Content","Currency","Number","Percent","Text","URL"}, $B90))) &gt; 0,$B90 &amp; "(" &amp; $C90 &amp; ")",$B90)))), "  ", TRIM(IF($S90 = "YES", "(External ID)", "") &amp; " " &amp; IF(SUMPRODUCT(-- ISNUMBER(SEARCH({"Unique","Unique Case Insensitive"}, $R90))) &gt; 0, "(" &amp; $R90 &amp; ")", ""))))</f>
        <v>na</v>
      </c>
      <c r="E90" s="7" t="s">
        <v>195</v>
      </c>
      <c r="F90" s="7" t="s">
        <v>195</v>
      </c>
      <c r="G90" s="7" t="s">
        <v>195</v>
      </c>
      <c r="H90" s="7" t="s">
        <v>195</v>
      </c>
      <c r="I90" s="7" t="s">
        <v>195</v>
      </c>
      <c r="J90" s="7" t="s">
        <v>195</v>
      </c>
      <c r="K90" s="7" t="s">
        <v>195</v>
      </c>
      <c r="L90" s="7" t="s">
        <v>195</v>
      </c>
      <c r="M90" s="7" t="s">
        <v>29</v>
      </c>
      <c r="N90" s="7" t="s">
        <v>29</v>
      </c>
      <c r="O90" s="7" t="s">
        <v>29</v>
      </c>
      <c r="P90" s="7" t="s">
        <v>29</v>
      </c>
      <c r="Q90" s="7" t="s">
        <v>29</v>
      </c>
      <c r="R90" s="7" t="s">
        <v>29</v>
      </c>
      <c r="S90" s="7" t="s">
        <v>29</v>
      </c>
    </row>
    <row r="91" spans="2:19">
      <c r="B91" s="7" t="s">
        <v>195</v>
      </c>
      <c r="C91" s="8" t="s">
        <v>195</v>
      </c>
      <c r="D91" s="6" t="str">
        <f>LRTRIM(CONCATENATE(IF(SUMPRODUCT(-- ISNUMBER(SEARCH({"Auto Number"}, $B91))) &gt; 0, $B91, IF(SUMPRODUCT(-- ISNUMBER(SEARCH({"Lookup","Master-Detail"}, $B91))) &gt; 0,$B91 &amp; "(" &amp; $E91 &amp; ")",IF(SUMPRODUCT(-- ISNUMBER(SEARCH({"Formula","Roll-Up Summary"}, $B91))) &gt; 0,$B91 &amp; " (" &amp; $E91 &amp; ")",IF(SUMPRODUCT(-- ISNUMBER(SEARCH({"Content","Currency","Number","Percent","Text","URL"}, $B91))) &gt; 0,$B91 &amp; "(" &amp; $C91 &amp; ")",$B91)))), "  ", TRIM(IF($S91 = "YES", "(External ID)", "") &amp; " " &amp; IF(SUMPRODUCT(-- ISNUMBER(SEARCH({"Unique","Unique Case Insensitive"}, $R91))) &gt; 0, "(" &amp; $R91 &amp; ")", ""))))</f>
        <v>na</v>
      </c>
      <c r="E91" s="7" t="s">
        <v>195</v>
      </c>
      <c r="F91" s="7" t="s">
        <v>195</v>
      </c>
      <c r="G91" s="7" t="s">
        <v>195</v>
      </c>
      <c r="H91" s="7" t="s">
        <v>195</v>
      </c>
      <c r="I91" s="7" t="s">
        <v>195</v>
      </c>
      <c r="J91" s="7" t="s">
        <v>195</v>
      </c>
      <c r="K91" s="7" t="s">
        <v>195</v>
      </c>
      <c r="L91" s="7" t="s">
        <v>195</v>
      </c>
      <c r="M91" s="7" t="s">
        <v>29</v>
      </c>
      <c r="N91" s="7" t="s">
        <v>29</v>
      </c>
      <c r="O91" s="7" t="s">
        <v>29</v>
      </c>
      <c r="P91" s="7" t="s">
        <v>29</v>
      </c>
      <c r="Q91" s="7" t="s">
        <v>29</v>
      </c>
      <c r="R91" s="7" t="s">
        <v>29</v>
      </c>
      <c r="S91" s="7" t="s">
        <v>29</v>
      </c>
    </row>
    <row r="92" spans="2:19">
      <c r="B92" s="7" t="s">
        <v>195</v>
      </c>
      <c r="C92" s="8" t="s">
        <v>195</v>
      </c>
      <c r="D92" s="6" t="str">
        <f>LRTRIM(CONCATENATE(IF(SUMPRODUCT(-- ISNUMBER(SEARCH({"Auto Number"}, $B92))) &gt; 0, $B92, IF(SUMPRODUCT(-- ISNUMBER(SEARCH({"Lookup","Master-Detail"}, $B92))) &gt; 0,$B92 &amp; "(" &amp; $E92 &amp; ")",IF(SUMPRODUCT(-- ISNUMBER(SEARCH({"Formula","Roll-Up Summary"}, $B92))) &gt; 0,$B92 &amp; " (" &amp; $E92 &amp; ")",IF(SUMPRODUCT(-- ISNUMBER(SEARCH({"Content","Currency","Number","Percent","Text","URL"}, $B92))) &gt; 0,$B92 &amp; "(" &amp; $C92 &amp; ")",$B92)))), "  ", TRIM(IF($S92 = "YES", "(External ID)", "") &amp; " " &amp; IF(SUMPRODUCT(-- ISNUMBER(SEARCH({"Unique","Unique Case Insensitive"}, $R92))) &gt; 0, "(" &amp; $R92 &amp; ")", ""))))</f>
        <v>na</v>
      </c>
      <c r="E92" s="7" t="s">
        <v>195</v>
      </c>
      <c r="F92" s="7" t="s">
        <v>195</v>
      </c>
      <c r="G92" s="7" t="s">
        <v>195</v>
      </c>
      <c r="H92" s="7" t="s">
        <v>195</v>
      </c>
      <c r="I92" s="7" t="s">
        <v>195</v>
      </c>
      <c r="J92" s="7" t="s">
        <v>195</v>
      </c>
      <c r="K92" s="7" t="s">
        <v>195</v>
      </c>
      <c r="L92" s="7" t="s">
        <v>195</v>
      </c>
      <c r="M92" s="7" t="s">
        <v>29</v>
      </c>
      <c r="N92" s="7" t="s">
        <v>29</v>
      </c>
      <c r="O92" s="7" t="s">
        <v>29</v>
      </c>
      <c r="P92" s="7" t="s">
        <v>29</v>
      </c>
      <c r="Q92" s="7" t="s">
        <v>29</v>
      </c>
      <c r="R92" s="7" t="s">
        <v>29</v>
      </c>
      <c r="S92" s="7" t="s">
        <v>29</v>
      </c>
    </row>
    <row r="93" spans="2:19">
      <c r="B93" s="7" t="s">
        <v>195</v>
      </c>
      <c r="C93" s="8" t="s">
        <v>195</v>
      </c>
      <c r="D93" s="6" t="str">
        <f>LRTRIM(CONCATENATE(IF(SUMPRODUCT(-- ISNUMBER(SEARCH({"Auto Number"}, $B93))) &gt; 0, $B93, IF(SUMPRODUCT(-- ISNUMBER(SEARCH({"Lookup","Master-Detail"}, $B93))) &gt; 0,$B93 &amp; "(" &amp; $E93 &amp; ")",IF(SUMPRODUCT(-- ISNUMBER(SEARCH({"Formula","Roll-Up Summary"}, $B93))) &gt; 0,$B93 &amp; " (" &amp; $E93 &amp; ")",IF(SUMPRODUCT(-- ISNUMBER(SEARCH({"Content","Currency","Number","Percent","Text","URL"}, $B93))) &gt; 0,$B93 &amp; "(" &amp; $C93 &amp; ")",$B93)))), "  ", TRIM(IF($S93 = "YES", "(External ID)", "") &amp; " " &amp; IF(SUMPRODUCT(-- ISNUMBER(SEARCH({"Unique","Unique Case Insensitive"}, $R93))) &gt; 0, "(" &amp; $R93 &amp; ")", ""))))</f>
        <v>na</v>
      </c>
      <c r="E93" s="7" t="s">
        <v>195</v>
      </c>
      <c r="F93" s="7" t="s">
        <v>195</v>
      </c>
      <c r="G93" s="7" t="s">
        <v>195</v>
      </c>
      <c r="H93" s="7" t="s">
        <v>195</v>
      </c>
      <c r="I93" s="7" t="s">
        <v>195</v>
      </c>
      <c r="J93" s="7" t="s">
        <v>195</v>
      </c>
      <c r="K93" s="7" t="s">
        <v>195</v>
      </c>
      <c r="L93" s="7" t="s">
        <v>195</v>
      </c>
      <c r="M93" s="7" t="s">
        <v>29</v>
      </c>
      <c r="N93" s="7" t="s">
        <v>29</v>
      </c>
      <c r="O93" s="7" t="s">
        <v>29</v>
      </c>
      <c r="P93" s="7" t="s">
        <v>29</v>
      </c>
      <c r="Q93" s="7" t="s">
        <v>29</v>
      </c>
      <c r="R93" s="7" t="s">
        <v>29</v>
      </c>
      <c r="S93" s="7" t="s">
        <v>29</v>
      </c>
    </row>
    <row r="94" spans="2:19">
      <c r="B94" s="7" t="s">
        <v>195</v>
      </c>
      <c r="C94" s="8" t="s">
        <v>195</v>
      </c>
      <c r="D94" s="6" t="str">
        <f>LRTRIM(CONCATENATE(IF(SUMPRODUCT(-- ISNUMBER(SEARCH({"Auto Number"}, $B94))) &gt; 0, $B94, IF(SUMPRODUCT(-- ISNUMBER(SEARCH({"Lookup","Master-Detail"}, $B94))) &gt; 0,$B94 &amp; "(" &amp; $E94 &amp; ")",IF(SUMPRODUCT(-- ISNUMBER(SEARCH({"Formula","Roll-Up Summary"}, $B94))) &gt; 0,$B94 &amp; " (" &amp; $E94 &amp; ")",IF(SUMPRODUCT(-- ISNUMBER(SEARCH({"Content","Currency","Number","Percent","Text","URL"}, $B94))) &gt; 0,$B94 &amp; "(" &amp; $C94 &amp; ")",$B94)))), "  ", TRIM(IF($S94 = "YES", "(External ID)", "") &amp; " " &amp; IF(SUMPRODUCT(-- ISNUMBER(SEARCH({"Unique","Unique Case Insensitive"}, $R94))) &gt; 0, "(" &amp; $R94 &amp; ")", ""))))</f>
        <v>na</v>
      </c>
      <c r="E94" s="7" t="s">
        <v>195</v>
      </c>
      <c r="F94" s="7" t="s">
        <v>195</v>
      </c>
      <c r="G94" s="7" t="s">
        <v>195</v>
      </c>
      <c r="H94" s="7" t="s">
        <v>195</v>
      </c>
      <c r="I94" s="7" t="s">
        <v>195</v>
      </c>
      <c r="J94" s="7" t="s">
        <v>195</v>
      </c>
      <c r="K94" s="7" t="s">
        <v>195</v>
      </c>
      <c r="L94" s="7" t="s">
        <v>195</v>
      </c>
      <c r="M94" s="7" t="s">
        <v>29</v>
      </c>
      <c r="N94" s="7" t="s">
        <v>29</v>
      </c>
      <c r="O94" s="7" t="s">
        <v>29</v>
      </c>
      <c r="P94" s="7" t="s">
        <v>29</v>
      </c>
      <c r="Q94" s="7" t="s">
        <v>29</v>
      </c>
      <c r="R94" s="7" t="s">
        <v>29</v>
      </c>
      <c r="S94" s="7" t="s">
        <v>29</v>
      </c>
    </row>
    <row r="95" spans="2:19">
      <c r="B95" s="7" t="s">
        <v>195</v>
      </c>
      <c r="C95" s="8" t="s">
        <v>195</v>
      </c>
      <c r="D95" s="6" t="str">
        <f>LRTRIM(CONCATENATE(IF(SUMPRODUCT(-- ISNUMBER(SEARCH({"Auto Number"}, $B95))) &gt; 0, $B95, IF(SUMPRODUCT(-- ISNUMBER(SEARCH({"Lookup","Master-Detail"}, $B95))) &gt; 0,$B95 &amp; "(" &amp; $E95 &amp; ")",IF(SUMPRODUCT(-- ISNUMBER(SEARCH({"Formula","Roll-Up Summary"}, $B95))) &gt; 0,$B95 &amp; " (" &amp; $E95 &amp; ")",IF(SUMPRODUCT(-- ISNUMBER(SEARCH({"Content","Currency","Number","Percent","Text","URL"}, $B95))) &gt; 0,$B95 &amp; "(" &amp; $C95 &amp; ")",$B95)))), "  ", TRIM(IF($S95 = "YES", "(External ID)", "") &amp; " " &amp; IF(SUMPRODUCT(-- ISNUMBER(SEARCH({"Unique","Unique Case Insensitive"}, $R95))) &gt; 0, "(" &amp; $R95 &amp; ")", ""))))</f>
        <v>na</v>
      </c>
      <c r="E95" s="7" t="s">
        <v>195</v>
      </c>
      <c r="F95" s="7" t="s">
        <v>195</v>
      </c>
      <c r="G95" s="7" t="s">
        <v>195</v>
      </c>
      <c r="H95" s="7" t="s">
        <v>195</v>
      </c>
      <c r="I95" s="7" t="s">
        <v>195</v>
      </c>
      <c r="J95" s="7" t="s">
        <v>195</v>
      </c>
      <c r="K95" s="7" t="s">
        <v>195</v>
      </c>
      <c r="L95" s="7" t="s">
        <v>195</v>
      </c>
      <c r="M95" s="7" t="s">
        <v>29</v>
      </c>
      <c r="N95" s="7" t="s">
        <v>29</v>
      </c>
      <c r="O95" s="7" t="s">
        <v>29</v>
      </c>
      <c r="P95" s="7" t="s">
        <v>29</v>
      </c>
      <c r="Q95" s="7" t="s">
        <v>29</v>
      </c>
      <c r="R95" s="7" t="s">
        <v>29</v>
      </c>
      <c r="S95" s="7" t="s">
        <v>29</v>
      </c>
    </row>
    <row r="96" spans="2:19">
      <c r="B96" s="7" t="s">
        <v>195</v>
      </c>
      <c r="C96" s="8" t="s">
        <v>195</v>
      </c>
      <c r="D96" s="6" t="str">
        <f>LRTRIM(CONCATENATE(IF(SUMPRODUCT(-- ISNUMBER(SEARCH({"Auto Number"}, $B96))) &gt; 0, $B96, IF(SUMPRODUCT(-- ISNUMBER(SEARCH({"Lookup","Master-Detail"}, $B96))) &gt; 0,$B96 &amp; "(" &amp; $E96 &amp; ")",IF(SUMPRODUCT(-- ISNUMBER(SEARCH({"Formula","Roll-Up Summary"}, $B96))) &gt; 0,$B96 &amp; " (" &amp; $E96 &amp; ")",IF(SUMPRODUCT(-- ISNUMBER(SEARCH({"Content","Currency","Number","Percent","Text","URL"}, $B96))) &gt; 0,$B96 &amp; "(" &amp; $C96 &amp; ")",$B96)))), "  ", TRIM(IF($S96 = "YES", "(External ID)", "") &amp; " " &amp; IF(SUMPRODUCT(-- ISNUMBER(SEARCH({"Unique","Unique Case Insensitive"}, $R96))) &gt; 0, "(" &amp; $R96 &amp; ")", ""))))</f>
        <v>na</v>
      </c>
      <c r="E96" s="7" t="s">
        <v>195</v>
      </c>
      <c r="F96" s="7" t="s">
        <v>195</v>
      </c>
      <c r="G96" s="7" t="s">
        <v>195</v>
      </c>
      <c r="H96" s="7" t="s">
        <v>195</v>
      </c>
      <c r="I96" s="7" t="s">
        <v>195</v>
      </c>
      <c r="J96" s="7" t="s">
        <v>195</v>
      </c>
      <c r="K96" s="7" t="s">
        <v>195</v>
      </c>
      <c r="L96" s="7" t="s">
        <v>195</v>
      </c>
      <c r="M96" s="7" t="s">
        <v>29</v>
      </c>
      <c r="N96" s="7" t="s">
        <v>29</v>
      </c>
      <c r="O96" s="7" t="s">
        <v>29</v>
      </c>
      <c r="P96" s="7" t="s">
        <v>29</v>
      </c>
      <c r="Q96" s="7" t="s">
        <v>29</v>
      </c>
      <c r="R96" s="7" t="s">
        <v>29</v>
      </c>
      <c r="S96" s="7" t="s">
        <v>29</v>
      </c>
    </row>
    <row r="97" spans="2:19">
      <c r="B97" s="7" t="s">
        <v>195</v>
      </c>
      <c r="C97" s="8" t="s">
        <v>195</v>
      </c>
      <c r="D97" s="6" t="str">
        <f>LRTRIM(CONCATENATE(IF(SUMPRODUCT(-- ISNUMBER(SEARCH({"Auto Number"}, $B97))) &gt; 0, $B97, IF(SUMPRODUCT(-- ISNUMBER(SEARCH({"Lookup","Master-Detail"}, $B97))) &gt; 0,$B97 &amp; "(" &amp; $E97 &amp; ")",IF(SUMPRODUCT(-- ISNUMBER(SEARCH({"Formula","Roll-Up Summary"}, $B97))) &gt; 0,$B97 &amp; " (" &amp; $E97 &amp; ")",IF(SUMPRODUCT(-- ISNUMBER(SEARCH({"Content","Currency","Number","Percent","Text","URL"}, $B97))) &gt; 0,$B97 &amp; "(" &amp; $C97 &amp; ")",$B97)))), "  ", TRIM(IF($S97 = "YES", "(External ID)", "") &amp; " " &amp; IF(SUMPRODUCT(-- ISNUMBER(SEARCH({"Unique","Unique Case Insensitive"}, $R97))) &gt; 0, "(" &amp; $R97 &amp; ")", ""))))</f>
        <v>na</v>
      </c>
      <c r="E97" s="7" t="s">
        <v>195</v>
      </c>
      <c r="F97" s="7" t="s">
        <v>195</v>
      </c>
      <c r="G97" s="7" t="s">
        <v>195</v>
      </c>
      <c r="H97" s="7" t="s">
        <v>195</v>
      </c>
      <c r="I97" s="7" t="s">
        <v>195</v>
      </c>
      <c r="J97" s="7" t="s">
        <v>195</v>
      </c>
      <c r="K97" s="7" t="s">
        <v>195</v>
      </c>
      <c r="L97" s="7" t="s">
        <v>195</v>
      </c>
      <c r="M97" s="7" t="s">
        <v>29</v>
      </c>
      <c r="N97" s="7" t="s">
        <v>29</v>
      </c>
      <c r="O97" s="7" t="s">
        <v>29</v>
      </c>
      <c r="P97" s="7" t="s">
        <v>29</v>
      </c>
      <c r="Q97" s="7" t="s">
        <v>29</v>
      </c>
      <c r="R97" s="7" t="s">
        <v>29</v>
      </c>
      <c r="S97" s="7" t="s">
        <v>29</v>
      </c>
    </row>
    <row r="98" spans="2:19">
      <c r="B98" s="7" t="s">
        <v>195</v>
      </c>
      <c r="C98" s="8" t="s">
        <v>195</v>
      </c>
      <c r="D98" s="6" t="str">
        <f>LRTRIM(CONCATENATE(IF(SUMPRODUCT(-- ISNUMBER(SEARCH({"Auto Number"}, $B98))) &gt; 0, $B98, IF(SUMPRODUCT(-- ISNUMBER(SEARCH({"Lookup","Master-Detail"}, $B98))) &gt; 0,$B98 &amp; "(" &amp; $E98 &amp; ")",IF(SUMPRODUCT(-- ISNUMBER(SEARCH({"Formula","Roll-Up Summary"}, $B98))) &gt; 0,$B98 &amp; " (" &amp; $E98 &amp; ")",IF(SUMPRODUCT(-- ISNUMBER(SEARCH({"Content","Currency","Number","Percent","Text","URL"}, $B98))) &gt; 0,$B98 &amp; "(" &amp; $C98 &amp; ")",$B98)))), "  ", TRIM(IF($S98 = "YES", "(External ID)", "") &amp; " " &amp; IF(SUMPRODUCT(-- ISNUMBER(SEARCH({"Unique","Unique Case Insensitive"}, $R98))) &gt; 0, "(" &amp; $R98 &amp; ")", ""))))</f>
        <v>na</v>
      </c>
      <c r="E98" s="7" t="s">
        <v>195</v>
      </c>
      <c r="F98" s="7" t="s">
        <v>195</v>
      </c>
      <c r="G98" s="7" t="s">
        <v>195</v>
      </c>
      <c r="H98" s="7" t="s">
        <v>195</v>
      </c>
      <c r="I98" s="7" t="s">
        <v>195</v>
      </c>
      <c r="J98" s="7" t="s">
        <v>195</v>
      </c>
      <c r="K98" s="7" t="s">
        <v>195</v>
      </c>
      <c r="L98" s="7" t="s">
        <v>195</v>
      </c>
      <c r="M98" s="7" t="s">
        <v>29</v>
      </c>
      <c r="N98" s="7" t="s">
        <v>29</v>
      </c>
      <c r="O98" s="7" t="s">
        <v>29</v>
      </c>
      <c r="P98" s="7" t="s">
        <v>29</v>
      </c>
      <c r="Q98" s="7" t="s">
        <v>29</v>
      </c>
      <c r="R98" s="7" t="s">
        <v>29</v>
      </c>
      <c r="S98" s="7" t="s">
        <v>29</v>
      </c>
    </row>
    <row r="99" spans="2:19">
      <c r="B99" s="7" t="s">
        <v>195</v>
      </c>
      <c r="C99" s="8" t="s">
        <v>195</v>
      </c>
      <c r="D99" s="6" t="str">
        <f>LRTRIM(CONCATENATE(IF(SUMPRODUCT(-- ISNUMBER(SEARCH({"Auto Number"}, $B99))) &gt; 0, $B99, IF(SUMPRODUCT(-- ISNUMBER(SEARCH({"Lookup","Master-Detail"}, $B99))) &gt; 0,$B99 &amp; "(" &amp; $E99 &amp; ")",IF(SUMPRODUCT(-- ISNUMBER(SEARCH({"Formula","Roll-Up Summary"}, $B99))) &gt; 0,$B99 &amp; " (" &amp; $E99 &amp; ")",IF(SUMPRODUCT(-- ISNUMBER(SEARCH({"Content","Currency","Number","Percent","Text","URL"}, $B99))) &gt; 0,$B99 &amp; "(" &amp; $C99 &amp; ")",$B99)))), "  ", TRIM(IF($S99 = "YES", "(External ID)", "") &amp; " " &amp; IF(SUMPRODUCT(-- ISNUMBER(SEARCH({"Unique","Unique Case Insensitive"}, $R99))) &gt; 0, "(" &amp; $R99 &amp; ")", ""))))</f>
        <v>na</v>
      </c>
      <c r="E99" s="7" t="s">
        <v>195</v>
      </c>
      <c r="F99" s="7" t="s">
        <v>195</v>
      </c>
      <c r="G99" s="7" t="s">
        <v>195</v>
      </c>
      <c r="H99" s="7" t="s">
        <v>195</v>
      </c>
      <c r="I99" s="7" t="s">
        <v>195</v>
      </c>
      <c r="J99" s="7" t="s">
        <v>195</v>
      </c>
      <c r="K99" s="7" t="s">
        <v>195</v>
      </c>
      <c r="L99" s="7" t="s">
        <v>195</v>
      </c>
      <c r="M99" s="7" t="s">
        <v>29</v>
      </c>
      <c r="N99" s="7" t="s">
        <v>29</v>
      </c>
      <c r="O99" s="7" t="s">
        <v>29</v>
      </c>
      <c r="P99" s="7" t="s">
        <v>29</v>
      </c>
      <c r="Q99" s="7" t="s">
        <v>29</v>
      </c>
      <c r="R99" s="7" t="s">
        <v>29</v>
      </c>
      <c r="S99" s="7" t="s">
        <v>29</v>
      </c>
    </row>
    <row r="100" spans="2:19">
      <c r="B100" s="7" t="s">
        <v>195</v>
      </c>
      <c r="C100" s="8" t="s">
        <v>195</v>
      </c>
      <c r="D100" s="6" t="str">
        <f>LRTRIM(CONCATENATE(IF(SUMPRODUCT(-- ISNUMBER(SEARCH({"Auto Number"}, $B100))) &gt; 0, $B100, IF(SUMPRODUCT(-- ISNUMBER(SEARCH({"Lookup","Master-Detail"}, $B100))) &gt; 0,$B100 &amp; "(" &amp; $E100 &amp; ")",IF(SUMPRODUCT(-- ISNUMBER(SEARCH({"Formula","Roll-Up Summary"}, $B100))) &gt; 0,$B100 &amp; " (" &amp; $E100 &amp; ")",IF(SUMPRODUCT(-- ISNUMBER(SEARCH({"Content","Currency","Number","Percent","Text","URL"}, $B100))) &gt; 0,$B100 &amp; "(" &amp; $C100 &amp; ")",$B100)))), "  ", TRIM(IF($S100 = "YES", "(External ID)", "") &amp; " " &amp; IF(SUMPRODUCT(-- ISNUMBER(SEARCH({"Unique","Unique Case Insensitive"}, $R100))) &gt; 0, "(" &amp; $R100 &amp; ")", ""))))</f>
        <v>na</v>
      </c>
      <c r="E100" s="7" t="s">
        <v>195</v>
      </c>
      <c r="F100" s="7" t="s">
        <v>195</v>
      </c>
      <c r="G100" s="7" t="s">
        <v>195</v>
      </c>
      <c r="H100" s="7" t="s">
        <v>195</v>
      </c>
      <c r="I100" s="7" t="s">
        <v>195</v>
      </c>
      <c r="J100" s="7" t="s">
        <v>195</v>
      </c>
      <c r="K100" s="7" t="s">
        <v>195</v>
      </c>
      <c r="L100" s="7" t="s">
        <v>195</v>
      </c>
      <c r="M100" s="7" t="s">
        <v>29</v>
      </c>
      <c r="N100" s="7" t="s">
        <v>29</v>
      </c>
      <c r="O100" s="7" t="s">
        <v>29</v>
      </c>
      <c r="P100" s="7" t="s">
        <v>29</v>
      </c>
      <c r="Q100" s="7" t="s">
        <v>29</v>
      </c>
      <c r="R100" s="7" t="s">
        <v>29</v>
      </c>
      <c r="S100" s="7" t="s">
        <v>29</v>
      </c>
    </row>
    <row r="101" spans="2:19">
      <c r="B101" s="7" t="s">
        <v>195</v>
      </c>
      <c r="C101" s="8" t="s">
        <v>195</v>
      </c>
      <c r="D101" s="6" t="str">
        <f>LRTRIM(CONCATENATE(IF(SUMPRODUCT(-- ISNUMBER(SEARCH({"Auto Number"}, $B101))) &gt; 0, $B101, IF(SUMPRODUCT(-- ISNUMBER(SEARCH({"Lookup","Master-Detail"}, $B101))) &gt; 0,$B101 &amp; "(" &amp; $E101 &amp; ")",IF(SUMPRODUCT(-- ISNUMBER(SEARCH({"Formula","Roll-Up Summary"}, $B101))) &gt; 0,$B101 &amp; " (" &amp; $E101 &amp; ")",IF(SUMPRODUCT(-- ISNUMBER(SEARCH({"Content","Currency","Number","Percent","Text","URL"}, $B101))) &gt; 0,$B101 &amp; "(" &amp; $C101 &amp; ")",$B101)))), "  ", TRIM(IF($S101 = "YES", "(External ID)", "") &amp; " " &amp; IF(SUMPRODUCT(-- ISNUMBER(SEARCH({"Unique","Unique Case Insensitive"}, $R101))) &gt; 0, "(" &amp; $R101 &amp; ")", ""))))</f>
        <v>na</v>
      </c>
      <c r="E101" s="7" t="s">
        <v>195</v>
      </c>
      <c r="F101" s="7" t="s">
        <v>195</v>
      </c>
      <c r="G101" s="7" t="s">
        <v>195</v>
      </c>
      <c r="H101" s="7" t="s">
        <v>195</v>
      </c>
      <c r="I101" s="7" t="s">
        <v>195</v>
      </c>
      <c r="J101" s="7" t="s">
        <v>195</v>
      </c>
      <c r="K101" s="7" t="s">
        <v>195</v>
      </c>
      <c r="L101" s="7" t="s">
        <v>195</v>
      </c>
      <c r="M101" s="7" t="s">
        <v>29</v>
      </c>
      <c r="N101" s="7" t="s">
        <v>29</v>
      </c>
      <c r="O101" s="7" t="s">
        <v>29</v>
      </c>
      <c r="P101" s="7" t="s">
        <v>29</v>
      </c>
      <c r="Q101" s="7" t="s">
        <v>29</v>
      </c>
      <c r="R101" s="7" t="s">
        <v>29</v>
      </c>
      <c r="S101" s="7" t="s">
        <v>29</v>
      </c>
    </row>
    <row r="102" spans="2:19">
      <c r="B102" s="7" t="s">
        <v>195</v>
      </c>
      <c r="C102" s="8" t="s">
        <v>195</v>
      </c>
      <c r="D102" s="6" t="str">
        <f>LRTRIM(CONCATENATE(IF(SUMPRODUCT(-- ISNUMBER(SEARCH({"Auto Number"}, $B102))) &gt; 0, $B102, IF(SUMPRODUCT(-- ISNUMBER(SEARCH({"Lookup","Master-Detail"}, $B102))) &gt; 0,$B102 &amp; "(" &amp; $E102 &amp; ")",IF(SUMPRODUCT(-- ISNUMBER(SEARCH({"Formula","Roll-Up Summary"}, $B102))) &gt; 0,$B102 &amp; " (" &amp; $E102 &amp; ")",IF(SUMPRODUCT(-- ISNUMBER(SEARCH({"Content","Currency","Number","Percent","Text","URL"}, $B102))) &gt; 0,$B102 &amp; "(" &amp; $C102 &amp; ")",$B102)))), "  ", TRIM(IF($S102 = "YES", "(External ID)", "") &amp; " " &amp; IF(SUMPRODUCT(-- ISNUMBER(SEARCH({"Unique","Unique Case Insensitive"}, $R102))) &gt; 0, "(" &amp; $R102 &amp; ")", ""))))</f>
        <v>na</v>
      </c>
      <c r="E102" s="7" t="s">
        <v>195</v>
      </c>
      <c r="F102" s="7" t="s">
        <v>195</v>
      </c>
      <c r="G102" s="7" t="s">
        <v>195</v>
      </c>
      <c r="H102" s="7" t="s">
        <v>195</v>
      </c>
      <c r="I102" s="7" t="s">
        <v>195</v>
      </c>
      <c r="J102" s="7" t="s">
        <v>195</v>
      </c>
      <c r="K102" s="7" t="s">
        <v>195</v>
      </c>
      <c r="L102" s="7" t="s">
        <v>195</v>
      </c>
      <c r="M102" s="7" t="s">
        <v>29</v>
      </c>
      <c r="N102" s="7" t="s">
        <v>29</v>
      </c>
      <c r="O102" s="7" t="s">
        <v>29</v>
      </c>
      <c r="P102" s="7" t="s">
        <v>29</v>
      </c>
      <c r="Q102" s="7" t="s">
        <v>29</v>
      </c>
      <c r="R102" s="7" t="s">
        <v>29</v>
      </c>
      <c r="S102" s="7" t="s">
        <v>29</v>
      </c>
    </row>
    <row r="103" spans="2:19">
      <c r="B103" s="7" t="s">
        <v>195</v>
      </c>
      <c r="C103" s="8" t="s">
        <v>195</v>
      </c>
      <c r="D103" s="6" t="str">
        <f>LRTRIM(CONCATENATE(IF(SUMPRODUCT(-- ISNUMBER(SEARCH({"Auto Number"}, $B103))) &gt; 0, $B103, IF(SUMPRODUCT(-- ISNUMBER(SEARCH({"Lookup","Master-Detail"}, $B103))) &gt; 0,$B103 &amp; "(" &amp; $E103 &amp; ")",IF(SUMPRODUCT(-- ISNUMBER(SEARCH({"Formula","Roll-Up Summary"}, $B103))) &gt; 0,$B103 &amp; " (" &amp; $E103 &amp; ")",IF(SUMPRODUCT(-- ISNUMBER(SEARCH({"Content","Currency","Number","Percent","Text","URL"}, $B103))) &gt; 0,$B103 &amp; "(" &amp; $C103 &amp; ")",$B103)))), "  ", TRIM(IF($S103 = "YES", "(External ID)", "") &amp; " " &amp; IF(SUMPRODUCT(-- ISNUMBER(SEARCH({"Unique","Unique Case Insensitive"}, $R103))) &gt; 0, "(" &amp; $R103 &amp; ")", ""))))</f>
        <v>na</v>
      </c>
      <c r="E103" s="7" t="s">
        <v>195</v>
      </c>
      <c r="F103" s="7" t="s">
        <v>195</v>
      </c>
      <c r="G103" s="7" t="s">
        <v>195</v>
      </c>
      <c r="H103" s="7" t="s">
        <v>195</v>
      </c>
      <c r="I103" s="7" t="s">
        <v>195</v>
      </c>
      <c r="J103" s="7" t="s">
        <v>195</v>
      </c>
      <c r="K103" s="7" t="s">
        <v>195</v>
      </c>
      <c r="L103" s="7" t="s">
        <v>195</v>
      </c>
      <c r="M103" s="7" t="s">
        <v>29</v>
      </c>
      <c r="N103" s="7" t="s">
        <v>29</v>
      </c>
      <c r="O103" s="7" t="s">
        <v>29</v>
      </c>
      <c r="P103" s="7" t="s">
        <v>29</v>
      </c>
      <c r="Q103" s="7" t="s">
        <v>29</v>
      </c>
      <c r="R103" s="7" t="s">
        <v>29</v>
      </c>
      <c r="S103" s="7" t="s">
        <v>29</v>
      </c>
    </row>
    <row r="104" spans="2:19">
      <c r="B104" s="7" t="s">
        <v>195</v>
      </c>
      <c r="C104" s="8" t="s">
        <v>195</v>
      </c>
      <c r="D104" s="6" t="str">
        <f>LRTRIM(CONCATENATE(IF(SUMPRODUCT(-- ISNUMBER(SEARCH({"Auto Number"}, $B104))) &gt; 0, $B104, IF(SUMPRODUCT(-- ISNUMBER(SEARCH({"Lookup","Master-Detail"}, $B104))) &gt; 0,$B104 &amp; "(" &amp; $E104 &amp; ")",IF(SUMPRODUCT(-- ISNUMBER(SEARCH({"Formula","Roll-Up Summary"}, $B104))) &gt; 0,$B104 &amp; " (" &amp; $E104 &amp; ")",IF(SUMPRODUCT(-- ISNUMBER(SEARCH({"Content","Currency","Number","Percent","Text","URL"}, $B104))) &gt; 0,$B104 &amp; "(" &amp; $C104 &amp; ")",$B104)))), "  ", TRIM(IF($S104 = "YES", "(External ID)", "") &amp; " " &amp; IF(SUMPRODUCT(-- ISNUMBER(SEARCH({"Unique","Unique Case Insensitive"}, $R104))) &gt; 0, "(" &amp; $R104 &amp; ")", ""))))</f>
        <v>na</v>
      </c>
      <c r="E104" s="7" t="s">
        <v>195</v>
      </c>
      <c r="F104" s="7" t="s">
        <v>195</v>
      </c>
      <c r="G104" s="7" t="s">
        <v>195</v>
      </c>
      <c r="H104" s="7" t="s">
        <v>195</v>
      </c>
      <c r="I104" s="7" t="s">
        <v>195</v>
      </c>
      <c r="J104" s="7" t="s">
        <v>195</v>
      </c>
      <c r="K104" s="7" t="s">
        <v>195</v>
      </c>
      <c r="L104" s="7" t="s">
        <v>195</v>
      </c>
      <c r="M104" s="7" t="s">
        <v>29</v>
      </c>
      <c r="N104" s="7" t="s">
        <v>29</v>
      </c>
      <c r="O104" s="7" t="s">
        <v>29</v>
      </c>
      <c r="P104" s="7" t="s">
        <v>29</v>
      </c>
      <c r="Q104" s="7" t="s">
        <v>29</v>
      </c>
      <c r="R104" s="7" t="s">
        <v>29</v>
      </c>
      <c r="S104" s="7" t="s">
        <v>29</v>
      </c>
    </row>
    <row r="105" spans="2:19">
      <c r="B105" s="7" t="s">
        <v>195</v>
      </c>
      <c r="C105" s="8" t="s">
        <v>195</v>
      </c>
      <c r="D105" s="6" t="str">
        <f>LRTRIM(CONCATENATE(IF(SUMPRODUCT(-- ISNUMBER(SEARCH({"Auto Number"}, $B105))) &gt; 0, $B105, IF(SUMPRODUCT(-- ISNUMBER(SEARCH({"Lookup","Master-Detail"}, $B105))) &gt; 0,$B105 &amp; "(" &amp; $E105 &amp; ")",IF(SUMPRODUCT(-- ISNUMBER(SEARCH({"Formula","Roll-Up Summary"}, $B105))) &gt; 0,$B105 &amp; " (" &amp; $E105 &amp; ")",IF(SUMPRODUCT(-- ISNUMBER(SEARCH({"Content","Currency","Number","Percent","Text","URL"}, $B105))) &gt; 0,$B105 &amp; "(" &amp; $C105 &amp; ")",$B105)))), "  ", TRIM(IF($S105 = "YES", "(External ID)", "") &amp; " " &amp; IF(SUMPRODUCT(-- ISNUMBER(SEARCH({"Unique","Unique Case Insensitive"}, $R105))) &gt; 0, "(" &amp; $R105 &amp; ")", ""))))</f>
        <v>na</v>
      </c>
      <c r="E105" s="7" t="s">
        <v>195</v>
      </c>
      <c r="F105" s="7" t="s">
        <v>195</v>
      </c>
      <c r="G105" s="7" t="s">
        <v>195</v>
      </c>
      <c r="H105" s="7" t="s">
        <v>195</v>
      </c>
      <c r="I105" s="7" t="s">
        <v>195</v>
      </c>
      <c r="J105" s="7" t="s">
        <v>195</v>
      </c>
      <c r="K105" s="7" t="s">
        <v>195</v>
      </c>
      <c r="L105" s="7" t="s">
        <v>195</v>
      </c>
      <c r="M105" s="7" t="s">
        <v>29</v>
      </c>
      <c r="N105" s="7" t="s">
        <v>29</v>
      </c>
      <c r="O105" s="7" t="s">
        <v>29</v>
      </c>
      <c r="P105" s="7" t="s">
        <v>29</v>
      </c>
      <c r="Q105" s="7" t="s">
        <v>29</v>
      </c>
      <c r="R105" s="7" t="s">
        <v>29</v>
      </c>
      <c r="S105" s="7" t="s">
        <v>29</v>
      </c>
    </row>
    <row r="106" spans="2:19">
      <c r="B106" s="7" t="s">
        <v>195</v>
      </c>
      <c r="C106" s="8" t="s">
        <v>195</v>
      </c>
      <c r="D106" s="6" t="str">
        <f>LRTRIM(CONCATENATE(IF(SUMPRODUCT(-- ISNUMBER(SEARCH({"Auto Number"}, $B106))) &gt; 0, $B106, IF(SUMPRODUCT(-- ISNUMBER(SEARCH({"Lookup","Master-Detail"}, $B106))) &gt; 0,$B106 &amp; "(" &amp; $E106 &amp; ")",IF(SUMPRODUCT(-- ISNUMBER(SEARCH({"Formula","Roll-Up Summary"}, $B106))) &gt; 0,$B106 &amp; " (" &amp; $E106 &amp; ")",IF(SUMPRODUCT(-- ISNUMBER(SEARCH({"Content","Currency","Number","Percent","Text","URL"}, $B106))) &gt; 0,$B106 &amp; "(" &amp; $C106 &amp; ")",$B106)))), "  ", TRIM(IF($S106 = "YES", "(External ID)", "") &amp; " " &amp; IF(SUMPRODUCT(-- ISNUMBER(SEARCH({"Unique","Unique Case Insensitive"}, $R106))) &gt; 0, "(" &amp; $R106 &amp; ")", ""))))</f>
        <v>na</v>
      </c>
      <c r="E106" s="7" t="s">
        <v>195</v>
      </c>
      <c r="F106" s="7" t="s">
        <v>195</v>
      </c>
      <c r="G106" s="7" t="s">
        <v>195</v>
      </c>
      <c r="H106" s="7" t="s">
        <v>195</v>
      </c>
      <c r="I106" s="7" t="s">
        <v>195</v>
      </c>
      <c r="J106" s="7" t="s">
        <v>195</v>
      </c>
      <c r="K106" s="7" t="s">
        <v>195</v>
      </c>
      <c r="L106" s="7" t="s">
        <v>195</v>
      </c>
      <c r="M106" s="7" t="s">
        <v>29</v>
      </c>
      <c r="N106" s="7" t="s">
        <v>29</v>
      </c>
      <c r="O106" s="7" t="s">
        <v>29</v>
      </c>
      <c r="P106" s="7" t="s">
        <v>29</v>
      </c>
      <c r="Q106" s="7" t="s">
        <v>29</v>
      </c>
      <c r="R106" s="7" t="s">
        <v>29</v>
      </c>
      <c r="S106" s="7" t="s">
        <v>29</v>
      </c>
    </row>
    <row r="107" spans="2:19">
      <c r="B107" s="7" t="s">
        <v>195</v>
      </c>
      <c r="C107" s="8" t="s">
        <v>195</v>
      </c>
      <c r="D107" s="6" t="str">
        <f>LRTRIM(CONCATENATE(IF(SUMPRODUCT(-- ISNUMBER(SEARCH({"Auto Number"}, $B107))) &gt; 0, $B107, IF(SUMPRODUCT(-- ISNUMBER(SEARCH({"Lookup","Master-Detail"}, $B107))) &gt; 0,$B107 &amp; "(" &amp; $E107 &amp; ")",IF(SUMPRODUCT(-- ISNUMBER(SEARCH({"Formula","Roll-Up Summary"}, $B107))) &gt; 0,$B107 &amp; " (" &amp; $E107 &amp; ")",IF(SUMPRODUCT(-- ISNUMBER(SEARCH({"Content","Currency","Number","Percent","Text","URL"}, $B107))) &gt; 0,$B107 &amp; "(" &amp; $C107 &amp; ")",$B107)))), "  ", TRIM(IF($S107 = "YES", "(External ID)", "") &amp; " " &amp; IF(SUMPRODUCT(-- ISNUMBER(SEARCH({"Unique","Unique Case Insensitive"}, $R107))) &gt; 0, "(" &amp; $R107 &amp; ")", ""))))</f>
        <v>na</v>
      </c>
      <c r="E107" s="7" t="s">
        <v>195</v>
      </c>
      <c r="F107" s="7" t="s">
        <v>195</v>
      </c>
      <c r="G107" s="7" t="s">
        <v>195</v>
      </c>
      <c r="H107" s="7" t="s">
        <v>195</v>
      </c>
      <c r="I107" s="7" t="s">
        <v>195</v>
      </c>
      <c r="J107" s="7" t="s">
        <v>195</v>
      </c>
      <c r="K107" s="7" t="s">
        <v>195</v>
      </c>
      <c r="L107" s="7" t="s">
        <v>195</v>
      </c>
      <c r="M107" s="7" t="s">
        <v>29</v>
      </c>
      <c r="N107" s="7" t="s">
        <v>29</v>
      </c>
      <c r="O107" s="7" t="s">
        <v>29</v>
      </c>
      <c r="P107" s="7" t="s">
        <v>29</v>
      </c>
      <c r="Q107" s="7" t="s">
        <v>29</v>
      </c>
      <c r="R107" s="7" t="s">
        <v>29</v>
      </c>
      <c r="S107" s="7" t="s">
        <v>29</v>
      </c>
    </row>
    <row r="108" spans="2:19">
      <c r="B108" s="7" t="s">
        <v>195</v>
      </c>
      <c r="C108" s="8" t="s">
        <v>195</v>
      </c>
      <c r="D108" s="6" t="str">
        <f>LRTRIM(CONCATENATE(IF(SUMPRODUCT(-- ISNUMBER(SEARCH({"Auto Number"}, $B108))) &gt; 0, $B108, IF(SUMPRODUCT(-- ISNUMBER(SEARCH({"Lookup","Master-Detail"}, $B108))) &gt; 0,$B108 &amp; "(" &amp; $E108 &amp; ")",IF(SUMPRODUCT(-- ISNUMBER(SEARCH({"Formula","Roll-Up Summary"}, $B108))) &gt; 0,$B108 &amp; " (" &amp; $E108 &amp; ")",IF(SUMPRODUCT(-- ISNUMBER(SEARCH({"Content","Currency","Number","Percent","Text","URL"}, $B108))) &gt; 0,$B108 &amp; "(" &amp; $C108 &amp; ")",$B108)))), "  ", TRIM(IF($S108 = "YES", "(External ID)", "") &amp; " " &amp; IF(SUMPRODUCT(-- ISNUMBER(SEARCH({"Unique","Unique Case Insensitive"}, $R108))) &gt; 0, "(" &amp; $R108 &amp; ")", ""))))</f>
        <v>na</v>
      </c>
      <c r="E108" s="7" t="s">
        <v>195</v>
      </c>
      <c r="F108" s="7" t="s">
        <v>195</v>
      </c>
      <c r="G108" s="7" t="s">
        <v>195</v>
      </c>
      <c r="H108" s="7" t="s">
        <v>195</v>
      </c>
      <c r="I108" s="7" t="s">
        <v>195</v>
      </c>
      <c r="J108" s="7" t="s">
        <v>195</v>
      </c>
      <c r="K108" s="7" t="s">
        <v>195</v>
      </c>
      <c r="L108" s="7" t="s">
        <v>195</v>
      </c>
      <c r="M108" s="7" t="s">
        <v>29</v>
      </c>
      <c r="N108" s="7" t="s">
        <v>29</v>
      </c>
      <c r="O108" s="7" t="s">
        <v>29</v>
      </c>
      <c r="P108" s="7" t="s">
        <v>29</v>
      </c>
      <c r="Q108" s="7" t="s">
        <v>29</v>
      </c>
      <c r="R108" s="7" t="s">
        <v>29</v>
      </c>
      <c r="S108" s="7" t="s">
        <v>29</v>
      </c>
    </row>
    <row r="109" spans="2:19">
      <c r="B109" s="7" t="s">
        <v>195</v>
      </c>
      <c r="C109" s="8" t="s">
        <v>195</v>
      </c>
      <c r="D109" s="6" t="str">
        <f>LRTRIM(CONCATENATE(IF(SUMPRODUCT(-- ISNUMBER(SEARCH({"Auto Number"}, $B109))) &gt; 0, $B109, IF(SUMPRODUCT(-- ISNUMBER(SEARCH({"Lookup","Master-Detail"}, $B109))) &gt; 0,$B109 &amp; "(" &amp; $E109 &amp; ")",IF(SUMPRODUCT(-- ISNUMBER(SEARCH({"Formula","Roll-Up Summary"}, $B109))) &gt; 0,$B109 &amp; " (" &amp; $E109 &amp; ")",IF(SUMPRODUCT(-- ISNUMBER(SEARCH({"Content","Currency","Number","Percent","Text","URL"}, $B109))) &gt; 0,$B109 &amp; "(" &amp; $C109 &amp; ")",$B109)))), "  ", TRIM(IF($S109 = "YES", "(External ID)", "") &amp; " " &amp; IF(SUMPRODUCT(-- ISNUMBER(SEARCH({"Unique","Unique Case Insensitive"}, $R109))) &gt; 0, "(" &amp; $R109 &amp; ")", ""))))</f>
        <v>na</v>
      </c>
      <c r="E109" s="7" t="s">
        <v>195</v>
      </c>
      <c r="F109" s="7" t="s">
        <v>195</v>
      </c>
      <c r="G109" s="7" t="s">
        <v>195</v>
      </c>
      <c r="H109" s="7" t="s">
        <v>195</v>
      </c>
      <c r="I109" s="7" t="s">
        <v>195</v>
      </c>
      <c r="J109" s="7" t="s">
        <v>195</v>
      </c>
      <c r="K109" s="7" t="s">
        <v>195</v>
      </c>
      <c r="L109" s="7" t="s">
        <v>195</v>
      </c>
      <c r="M109" s="7" t="s">
        <v>29</v>
      </c>
      <c r="N109" s="7" t="s">
        <v>29</v>
      </c>
      <c r="O109" s="7" t="s">
        <v>29</v>
      </c>
      <c r="P109" s="7" t="s">
        <v>29</v>
      </c>
      <c r="Q109" s="7" t="s">
        <v>29</v>
      </c>
      <c r="R109" s="7" t="s">
        <v>29</v>
      </c>
      <c r="S109" s="7" t="s">
        <v>29</v>
      </c>
    </row>
    <row r="110" spans="2:19">
      <c r="B110" s="7" t="s">
        <v>195</v>
      </c>
      <c r="C110" s="8" t="s">
        <v>195</v>
      </c>
      <c r="D110" s="6" t="str">
        <f>LRTRIM(CONCATENATE(IF(SUMPRODUCT(-- ISNUMBER(SEARCH({"Auto Number"}, $B110))) &gt; 0, $B110, IF(SUMPRODUCT(-- ISNUMBER(SEARCH({"Lookup","Master-Detail"}, $B110))) &gt; 0,$B110 &amp; "(" &amp; $E110 &amp; ")",IF(SUMPRODUCT(-- ISNUMBER(SEARCH({"Formula","Roll-Up Summary"}, $B110))) &gt; 0,$B110 &amp; " (" &amp; $E110 &amp; ")",IF(SUMPRODUCT(-- ISNUMBER(SEARCH({"Content","Currency","Number","Percent","Text","URL"}, $B110))) &gt; 0,$B110 &amp; "(" &amp; $C110 &amp; ")",$B110)))), "  ", TRIM(IF($S110 = "YES", "(External ID)", "") &amp; " " &amp; IF(SUMPRODUCT(-- ISNUMBER(SEARCH({"Unique","Unique Case Insensitive"}, $R110))) &gt; 0, "(" &amp; $R110 &amp; ")", ""))))</f>
        <v>na</v>
      </c>
      <c r="E110" s="7" t="s">
        <v>195</v>
      </c>
      <c r="F110" s="7" t="s">
        <v>195</v>
      </c>
      <c r="G110" s="7" t="s">
        <v>195</v>
      </c>
      <c r="H110" s="7" t="s">
        <v>195</v>
      </c>
      <c r="I110" s="7" t="s">
        <v>195</v>
      </c>
      <c r="J110" s="7" t="s">
        <v>195</v>
      </c>
      <c r="K110" s="7" t="s">
        <v>195</v>
      </c>
      <c r="L110" s="7" t="s">
        <v>195</v>
      </c>
      <c r="M110" s="7" t="s">
        <v>29</v>
      </c>
      <c r="N110" s="7" t="s">
        <v>29</v>
      </c>
      <c r="O110" s="7" t="s">
        <v>29</v>
      </c>
      <c r="P110" s="7" t="s">
        <v>29</v>
      </c>
      <c r="Q110" s="7" t="s">
        <v>29</v>
      </c>
      <c r="R110" s="7" t="s">
        <v>29</v>
      </c>
      <c r="S110" s="7" t="s">
        <v>29</v>
      </c>
    </row>
    <row r="111" spans="2:19">
      <c r="B111" s="7" t="s">
        <v>195</v>
      </c>
      <c r="C111" s="8" t="s">
        <v>195</v>
      </c>
      <c r="D111" s="6" t="str">
        <f>LRTRIM(CONCATENATE(IF(SUMPRODUCT(-- ISNUMBER(SEARCH({"Auto Number"}, $B111))) &gt; 0, $B111, IF(SUMPRODUCT(-- ISNUMBER(SEARCH({"Lookup","Master-Detail"}, $B111))) &gt; 0,$B111 &amp; "(" &amp; $E111 &amp; ")",IF(SUMPRODUCT(-- ISNUMBER(SEARCH({"Formula","Roll-Up Summary"}, $B111))) &gt; 0,$B111 &amp; " (" &amp; $E111 &amp; ")",IF(SUMPRODUCT(-- ISNUMBER(SEARCH({"Content","Currency","Number","Percent","Text","URL"}, $B111))) &gt; 0,$B111 &amp; "(" &amp; $C111 &amp; ")",$B111)))), "  ", TRIM(IF($S111 = "YES", "(External ID)", "") &amp; " " &amp; IF(SUMPRODUCT(-- ISNUMBER(SEARCH({"Unique","Unique Case Insensitive"}, $R111))) &gt; 0, "(" &amp; $R111 &amp; ")", ""))))</f>
        <v>na</v>
      </c>
      <c r="E111" s="7" t="s">
        <v>195</v>
      </c>
      <c r="F111" s="7" t="s">
        <v>195</v>
      </c>
      <c r="G111" s="7" t="s">
        <v>195</v>
      </c>
      <c r="H111" s="7" t="s">
        <v>195</v>
      </c>
      <c r="I111" s="7" t="s">
        <v>195</v>
      </c>
      <c r="J111" s="7" t="s">
        <v>195</v>
      </c>
      <c r="K111" s="7" t="s">
        <v>195</v>
      </c>
      <c r="L111" s="7" t="s">
        <v>195</v>
      </c>
      <c r="M111" s="7" t="s">
        <v>29</v>
      </c>
      <c r="N111" s="7" t="s">
        <v>29</v>
      </c>
      <c r="O111" s="7" t="s">
        <v>29</v>
      </c>
      <c r="P111" s="7" t="s">
        <v>29</v>
      </c>
      <c r="Q111" s="7" t="s">
        <v>29</v>
      </c>
      <c r="R111" s="7" t="s">
        <v>29</v>
      </c>
      <c r="S111" s="7" t="s">
        <v>29</v>
      </c>
    </row>
    <row r="112" spans="2:19">
      <c r="B112" s="7" t="s">
        <v>195</v>
      </c>
      <c r="C112" s="8" t="s">
        <v>195</v>
      </c>
      <c r="D112" s="6" t="str">
        <f>LRTRIM(CONCATENATE(IF(SUMPRODUCT(-- ISNUMBER(SEARCH({"Auto Number"}, $B112))) &gt; 0, $B112, IF(SUMPRODUCT(-- ISNUMBER(SEARCH({"Lookup","Master-Detail"}, $B112))) &gt; 0,$B112 &amp; "(" &amp; $E112 &amp; ")",IF(SUMPRODUCT(-- ISNUMBER(SEARCH({"Formula","Roll-Up Summary"}, $B112))) &gt; 0,$B112 &amp; " (" &amp; $E112 &amp; ")",IF(SUMPRODUCT(-- ISNUMBER(SEARCH({"Content","Currency","Number","Percent","Text","URL"}, $B112))) &gt; 0,$B112 &amp; "(" &amp; $C112 &amp; ")",$B112)))), "  ", TRIM(IF($S112 = "YES", "(External ID)", "") &amp; " " &amp; IF(SUMPRODUCT(-- ISNUMBER(SEARCH({"Unique","Unique Case Insensitive"}, $R112))) &gt; 0, "(" &amp; $R112 &amp; ")", ""))))</f>
        <v>na</v>
      </c>
      <c r="E112" s="7" t="s">
        <v>195</v>
      </c>
      <c r="F112" s="7" t="s">
        <v>195</v>
      </c>
      <c r="G112" s="7" t="s">
        <v>195</v>
      </c>
      <c r="H112" s="7" t="s">
        <v>195</v>
      </c>
      <c r="I112" s="7" t="s">
        <v>195</v>
      </c>
      <c r="J112" s="7" t="s">
        <v>195</v>
      </c>
      <c r="K112" s="7" t="s">
        <v>195</v>
      </c>
      <c r="L112" s="7" t="s">
        <v>195</v>
      </c>
      <c r="M112" s="7" t="s">
        <v>29</v>
      </c>
      <c r="N112" s="7" t="s">
        <v>29</v>
      </c>
      <c r="O112" s="7" t="s">
        <v>29</v>
      </c>
      <c r="P112" s="7" t="s">
        <v>29</v>
      </c>
      <c r="Q112" s="7" t="s">
        <v>29</v>
      </c>
      <c r="R112" s="7" t="s">
        <v>29</v>
      </c>
      <c r="S112" s="7" t="s">
        <v>29</v>
      </c>
    </row>
    <row r="113" spans="2:19">
      <c r="B113" s="7" t="s">
        <v>195</v>
      </c>
      <c r="C113" s="8" t="s">
        <v>195</v>
      </c>
      <c r="D113" s="6" t="str">
        <f>LRTRIM(CONCATENATE(IF(SUMPRODUCT(-- ISNUMBER(SEARCH({"Auto Number"}, $B113))) &gt; 0, $B113, IF(SUMPRODUCT(-- ISNUMBER(SEARCH({"Lookup","Master-Detail"}, $B113))) &gt; 0,$B113 &amp; "(" &amp; $E113 &amp; ")",IF(SUMPRODUCT(-- ISNUMBER(SEARCH({"Formula","Roll-Up Summary"}, $B113))) &gt; 0,$B113 &amp; " (" &amp; $E113 &amp; ")",IF(SUMPRODUCT(-- ISNUMBER(SEARCH({"Content","Currency","Number","Percent","Text","URL"}, $B113))) &gt; 0,$B113 &amp; "(" &amp; $C113 &amp; ")",$B113)))), "  ", TRIM(IF($S113 = "YES", "(External ID)", "") &amp; " " &amp; IF(SUMPRODUCT(-- ISNUMBER(SEARCH({"Unique","Unique Case Insensitive"}, $R113))) &gt; 0, "(" &amp; $R113 &amp; ")", ""))))</f>
        <v>na</v>
      </c>
      <c r="E113" s="7" t="s">
        <v>195</v>
      </c>
      <c r="F113" s="7" t="s">
        <v>195</v>
      </c>
      <c r="G113" s="7" t="s">
        <v>195</v>
      </c>
      <c r="H113" s="7" t="s">
        <v>195</v>
      </c>
      <c r="I113" s="7" t="s">
        <v>195</v>
      </c>
      <c r="J113" s="7" t="s">
        <v>195</v>
      </c>
      <c r="K113" s="7" t="s">
        <v>195</v>
      </c>
      <c r="L113" s="7" t="s">
        <v>195</v>
      </c>
      <c r="M113" s="7" t="s">
        <v>29</v>
      </c>
      <c r="N113" s="7" t="s">
        <v>29</v>
      </c>
      <c r="O113" s="7" t="s">
        <v>29</v>
      </c>
      <c r="P113" s="7" t="s">
        <v>29</v>
      </c>
      <c r="Q113" s="7" t="s">
        <v>29</v>
      </c>
      <c r="R113" s="7" t="s">
        <v>29</v>
      </c>
      <c r="S113" s="7" t="s">
        <v>29</v>
      </c>
    </row>
    <row r="114" spans="2:19">
      <c r="B114" s="7" t="s">
        <v>195</v>
      </c>
      <c r="C114" s="8" t="s">
        <v>195</v>
      </c>
      <c r="D114" s="6" t="str">
        <f>LRTRIM(CONCATENATE(IF(SUMPRODUCT(-- ISNUMBER(SEARCH({"Auto Number"}, $B114))) &gt; 0, $B114, IF(SUMPRODUCT(-- ISNUMBER(SEARCH({"Lookup","Master-Detail"}, $B114))) &gt; 0,$B114 &amp; "(" &amp; $E114 &amp; ")",IF(SUMPRODUCT(-- ISNUMBER(SEARCH({"Formula","Roll-Up Summary"}, $B114))) &gt; 0,$B114 &amp; " (" &amp; $E114 &amp; ")",IF(SUMPRODUCT(-- ISNUMBER(SEARCH({"Content","Currency","Number","Percent","Text","URL"}, $B114))) &gt; 0,$B114 &amp; "(" &amp; $C114 &amp; ")",$B114)))), "  ", TRIM(IF($S114 = "YES", "(External ID)", "") &amp; " " &amp; IF(SUMPRODUCT(-- ISNUMBER(SEARCH({"Unique","Unique Case Insensitive"}, $R114))) &gt; 0, "(" &amp; $R114 &amp; ")", ""))))</f>
        <v>na</v>
      </c>
      <c r="E114" s="7" t="s">
        <v>195</v>
      </c>
      <c r="F114" s="7" t="s">
        <v>195</v>
      </c>
      <c r="G114" s="7" t="s">
        <v>195</v>
      </c>
      <c r="H114" s="7" t="s">
        <v>195</v>
      </c>
      <c r="I114" s="7" t="s">
        <v>195</v>
      </c>
      <c r="J114" s="7" t="s">
        <v>195</v>
      </c>
      <c r="K114" s="7" t="s">
        <v>195</v>
      </c>
      <c r="L114" s="7" t="s">
        <v>195</v>
      </c>
      <c r="M114" s="7" t="s">
        <v>29</v>
      </c>
      <c r="N114" s="7" t="s">
        <v>29</v>
      </c>
      <c r="O114" s="7" t="s">
        <v>29</v>
      </c>
      <c r="P114" s="7" t="s">
        <v>29</v>
      </c>
      <c r="Q114" s="7" t="s">
        <v>29</v>
      </c>
      <c r="R114" s="7" t="s">
        <v>29</v>
      </c>
      <c r="S114" s="7" t="s">
        <v>29</v>
      </c>
    </row>
    <row r="115" spans="2:19">
      <c r="B115" s="7" t="s">
        <v>195</v>
      </c>
      <c r="C115" s="8" t="s">
        <v>195</v>
      </c>
      <c r="D115" s="6" t="str">
        <f>LRTRIM(CONCATENATE(IF(SUMPRODUCT(-- ISNUMBER(SEARCH({"Auto Number"}, $B115))) &gt; 0, $B115, IF(SUMPRODUCT(-- ISNUMBER(SEARCH({"Lookup","Master-Detail"}, $B115))) &gt; 0,$B115 &amp; "(" &amp; $E115 &amp; ")",IF(SUMPRODUCT(-- ISNUMBER(SEARCH({"Formula","Roll-Up Summary"}, $B115))) &gt; 0,$B115 &amp; " (" &amp; $E115 &amp; ")",IF(SUMPRODUCT(-- ISNUMBER(SEARCH({"Content","Currency","Number","Percent","Text","URL"}, $B115))) &gt; 0,$B115 &amp; "(" &amp; $C115 &amp; ")",$B115)))), "  ", TRIM(IF($S115 = "YES", "(External ID)", "") &amp; " " &amp; IF(SUMPRODUCT(-- ISNUMBER(SEARCH({"Unique","Unique Case Insensitive"}, $R115))) &gt; 0, "(" &amp; $R115 &amp; ")", ""))))</f>
        <v>na</v>
      </c>
      <c r="E115" s="7" t="s">
        <v>195</v>
      </c>
      <c r="F115" s="7" t="s">
        <v>195</v>
      </c>
      <c r="G115" s="7" t="s">
        <v>195</v>
      </c>
      <c r="H115" s="7" t="s">
        <v>195</v>
      </c>
      <c r="I115" s="7" t="s">
        <v>195</v>
      </c>
      <c r="J115" s="7" t="s">
        <v>195</v>
      </c>
      <c r="K115" s="7" t="s">
        <v>195</v>
      </c>
      <c r="L115" s="7" t="s">
        <v>195</v>
      </c>
      <c r="M115" s="7" t="s">
        <v>29</v>
      </c>
      <c r="N115" s="7" t="s">
        <v>29</v>
      </c>
      <c r="O115" s="7" t="s">
        <v>29</v>
      </c>
      <c r="P115" s="7" t="s">
        <v>29</v>
      </c>
      <c r="Q115" s="7" t="s">
        <v>29</v>
      </c>
      <c r="R115" s="7" t="s">
        <v>29</v>
      </c>
      <c r="S115" s="7" t="s">
        <v>29</v>
      </c>
    </row>
    <row r="116" spans="2:19">
      <c r="B116" s="7" t="s">
        <v>195</v>
      </c>
      <c r="C116" s="8" t="s">
        <v>195</v>
      </c>
      <c r="D116" s="6" t="str">
        <f>LRTRIM(CONCATENATE(IF(SUMPRODUCT(-- ISNUMBER(SEARCH({"Auto Number"}, $B116))) &gt; 0, $B116, IF(SUMPRODUCT(-- ISNUMBER(SEARCH({"Lookup","Master-Detail"}, $B116))) &gt; 0,$B116 &amp; "(" &amp; $E116 &amp; ")",IF(SUMPRODUCT(-- ISNUMBER(SEARCH({"Formula","Roll-Up Summary"}, $B116))) &gt; 0,$B116 &amp; " (" &amp; $E116 &amp; ")",IF(SUMPRODUCT(-- ISNUMBER(SEARCH({"Content","Currency","Number","Percent","Text","URL"}, $B116))) &gt; 0,$B116 &amp; "(" &amp; $C116 &amp; ")",$B116)))), "  ", TRIM(IF($S116 = "YES", "(External ID)", "") &amp; " " &amp; IF(SUMPRODUCT(-- ISNUMBER(SEARCH({"Unique","Unique Case Insensitive"}, $R116))) &gt; 0, "(" &amp; $R116 &amp; ")", ""))))</f>
        <v>na</v>
      </c>
      <c r="E116" s="7" t="s">
        <v>195</v>
      </c>
      <c r="F116" s="7" t="s">
        <v>195</v>
      </c>
      <c r="G116" s="7" t="s">
        <v>195</v>
      </c>
      <c r="H116" s="7" t="s">
        <v>195</v>
      </c>
      <c r="I116" s="7" t="s">
        <v>195</v>
      </c>
      <c r="J116" s="7" t="s">
        <v>195</v>
      </c>
      <c r="K116" s="7" t="s">
        <v>195</v>
      </c>
      <c r="L116" s="7" t="s">
        <v>195</v>
      </c>
      <c r="M116" s="7" t="s">
        <v>29</v>
      </c>
      <c r="N116" s="7" t="s">
        <v>29</v>
      </c>
      <c r="O116" s="7" t="s">
        <v>29</v>
      </c>
      <c r="P116" s="7" t="s">
        <v>29</v>
      </c>
      <c r="Q116" s="7" t="s">
        <v>29</v>
      </c>
      <c r="R116" s="7" t="s">
        <v>29</v>
      </c>
      <c r="S116" s="7" t="s">
        <v>29</v>
      </c>
    </row>
    <row r="117" spans="2:19">
      <c r="B117" s="7" t="s">
        <v>195</v>
      </c>
      <c r="C117" s="8" t="s">
        <v>195</v>
      </c>
      <c r="D117" s="6" t="str">
        <f>LRTRIM(CONCATENATE(IF(SUMPRODUCT(-- ISNUMBER(SEARCH({"Auto Number"}, $B117))) &gt; 0, $B117, IF(SUMPRODUCT(-- ISNUMBER(SEARCH({"Lookup","Master-Detail"}, $B117))) &gt; 0,$B117 &amp; "(" &amp; $E117 &amp; ")",IF(SUMPRODUCT(-- ISNUMBER(SEARCH({"Formula","Roll-Up Summary"}, $B117))) &gt; 0,$B117 &amp; " (" &amp; $E117 &amp; ")",IF(SUMPRODUCT(-- ISNUMBER(SEARCH({"Content","Currency","Number","Percent","Text","URL"}, $B117))) &gt; 0,$B117 &amp; "(" &amp; $C117 &amp; ")",$B117)))), "  ", TRIM(IF($S117 = "YES", "(External ID)", "") &amp; " " &amp; IF(SUMPRODUCT(-- ISNUMBER(SEARCH({"Unique","Unique Case Insensitive"}, $R117))) &gt; 0, "(" &amp; $R117 &amp; ")", ""))))</f>
        <v>na</v>
      </c>
      <c r="E117" s="7" t="s">
        <v>195</v>
      </c>
      <c r="F117" s="7" t="s">
        <v>195</v>
      </c>
      <c r="G117" s="7" t="s">
        <v>195</v>
      </c>
      <c r="H117" s="7" t="s">
        <v>195</v>
      </c>
      <c r="I117" s="7" t="s">
        <v>195</v>
      </c>
      <c r="J117" s="7" t="s">
        <v>195</v>
      </c>
      <c r="K117" s="7" t="s">
        <v>195</v>
      </c>
      <c r="L117" s="7" t="s">
        <v>195</v>
      </c>
      <c r="M117" s="7" t="s">
        <v>29</v>
      </c>
      <c r="N117" s="7" t="s">
        <v>29</v>
      </c>
      <c r="O117" s="7" t="s">
        <v>29</v>
      </c>
      <c r="P117" s="7" t="s">
        <v>29</v>
      </c>
      <c r="Q117" s="7" t="s">
        <v>29</v>
      </c>
      <c r="R117" s="7" t="s">
        <v>29</v>
      </c>
      <c r="S117" s="7" t="s">
        <v>29</v>
      </c>
    </row>
    <row r="118" spans="2:19">
      <c r="B118" s="7" t="s">
        <v>195</v>
      </c>
      <c r="C118" s="8" t="s">
        <v>195</v>
      </c>
      <c r="D118" s="6" t="str">
        <f>LRTRIM(CONCATENATE(IF(SUMPRODUCT(-- ISNUMBER(SEARCH({"Auto Number"}, $B118))) &gt; 0, $B118, IF(SUMPRODUCT(-- ISNUMBER(SEARCH({"Lookup","Master-Detail"}, $B118))) &gt; 0,$B118 &amp; "(" &amp; $E118 &amp; ")",IF(SUMPRODUCT(-- ISNUMBER(SEARCH({"Formula","Roll-Up Summary"}, $B118))) &gt; 0,$B118 &amp; " (" &amp; $E118 &amp; ")",IF(SUMPRODUCT(-- ISNUMBER(SEARCH({"Content","Currency","Number","Percent","Text","URL"}, $B118))) &gt; 0,$B118 &amp; "(" &amp; $C118 &amp; ")",$B118)))), "  ", TRIM(IF($S118 = "YES", "(External ID)", "") &amp; " " &amp; IF(SUMPRODUCT(-- ISNUMBER(SEARCH({"Unique","Unique Case Insensitive"}, $R118))) &gt; 0, "(" &amp; $R118 &amp; ")", ""))))</f>
        <v>na</v>
      </c>
      <c r="E118" s="7" t="s">
        <v>195</v>
      </c>
      <c r="F118" s="7" t="s">
        <v>195</v>
      </c>
      <c r="G118" s="7" t="s">
        <v>195</v>
      </c>
      <c r="H118" s="7" t="s">
        <v>195</v>
      </c>
      <c r="I118" s="7" t="s">
        <v>195</v>
      </c>
      <c r="J118" s="7" t="s">
        <v>195</v>
      </c>
      <c r="K118" s="7" t="s">
        <v>195</v>
      </c>
      <c r="L118" s="7" t="s">
        <v>195</v>
      </c>
      <c r="M118" s="7" t="s">
        <v>29</v>
      </c>
      <c r="N118" s="7" t="s">
        <v>29</v>
      </c>
      <c r="O118" s="7" t="s">
        <v>29</v>
      </c>
      <c r="P118" s="7" t="s">
        <v>29</v>
      </c>
      <c r="Q118" s="7" t="s">
        <v>29</v>
      </c>
      <c r="R118" s="7" t="s">
        <v>29</v>
      </c>
      <c r="S118" s="7" t="s">
        <v>29</v>
      </c>
    </row>
    <row r="119" spans="2:19">
      <c r="B119" s="7" t="s">
        <v>195</v>
      </c>
      <c r="C119" s="8" t="s">
        <v>195</v>
      </c>
      <c r="D119" s="6" t="str">
        <f>LRTRIM(CONCATENATE(IF(SUMPRODUCT(-- ISNUMBER(SEARCH({"Auto Number"}, $B119))) &gt; 0, $B119, IF(SUMPRODUCT(-- ISNUMBER(SEARCH({"Lookup","Master-Detail"}, $B119))) &gt; 0,$B119 &amp; "(" &amp; $E119 &amp; ")",IF(SUMPRODUCT(-- ISNUMBER(SEARCH({"Formula","Roll-Up Summary"}, $B119))) &gt; 0,$B119 &amp; " (" &amp; $E119 &amp; ")",IF(SUMPRODUCT(-- ISNUMBER(SEARCH({"Content","Currency","Number","Percent","Text","URL"}, $B119))) &gt; 0,$B119 &amp; "(" &amp; $C119 &amp; ")",$B119)))), "  ", TRIM(IF($S119 = "YES", "(External ID)", "") &amp; " " &amp; IF(SUMPRODUCT(-- ISNUMBER(SEARCH({"Unique","Unique Case Insensitive"}, $R119))) &gt; 0, "(" &amp; $R119 &amp; ")", ""))))</f>
        <v>na</v>
      </c>
      <c r="E119" s="7" t="s">
        <v>195</v>
      </c>
      <c r="F119" s="7" t="s">
        <v>195</v>
      </c>
      <c r="G119" s="7" t="s">
        <v>195</v>
      </c>
      <c r="H119" s="7" t="s">
        <v>195</v>
      </c>
      <c r="I119" s="7" t="s">
        <v>195</v>
      </c>
      <c r="J119" s="7" t="s">
        <v>195</v>
      </c>
      <c r="K119" s="7" t="s">
        <v>195</v>
      </c>
      <c r="L119" s="7" t="s">
        <v>195</v>
      </c>
      <c r="M119" s="7" t="s">
        <v>29</v>
      </c>
      <c r="N119" s="7" t="s">
        <v>29</v>
      </c>
      <c r="O119" s="7" t="s">
        <v>29</v>
      </c>
      <c r="P119" s="7" t="s">
        <v>29</v>
      </c>
      <c r="Q119" s="7" t="s">
        <v>29</v>
      </c>
      <c r="R119" s="7" t="s">
        <v>29</v>
      </c>
      <c r="S119" s="7" t="s">
        <v>29</v>
      </c>
    </row>
    <row r="120" spans="2:19">
      <c r="B120" s="7" t="s">
        <v>195</v>
      </c>
      <c r="C120" s="8" t="s">
        <v>195</v>
      </c>
      <c r="D120" s="6" t="str">
        <f>LRTRIM(CONCATENATE(IF(SUMPRODUCT(-- ISNUMBER(SEARCH({"Auto Number"}, $B120))) &gt; 0, $B120, IF(SUMPRODUCT(-- ISNUMBER(SEARCH({"Lookup","Master-Detail"}, $B120))) &gt; 0,$B120 &amp; "(" &amp; $E120 &amp; ")",IF(SUMPRODUCT(-- ISNUMBER(SEARCH({"Formula","Roll-Up Summary"}, $B120))) &gt; 0,$B120 &amp; " (" &amp; $E120 &amp; ")",IF(SUMPRODUCT(-- ISNUMBER(SEARCH({"Content","Currency","Number","Percent","Text","URL"}, $B120))) &gt; 0,$B120 &amp; "(" &amp; $C120 &amp; ")",$B120)))), "  ", TRIM(IF($S120 = "YES", "(External ID)", "") &amp; " " &amp; IF(SUMPRODUCT(-- ISNUMBER(SEARCH({"Unique","Unique Case Insensitive"}, $R120))) &gt; 0, "(" &amp; $R120 &amp; ")", ""))))</f>
        <v>na</v>
      </c>
      <c r="E120" s="7" t="s">
        <v>195</v>
      </c>
      <c r="F120" s="7" t="s">
        <v>195</v>
      </c>
      <c r="G120" s="7" t="s">
        <v>195</v>
      </c>
      <c r="H120" s="7" t="s">
        <v>195</v>
      </c>
      <c r="I120" s="7" t="s">
        <v>195</v>
      </c>
      <c r="J120" s="7" t="s">
        <v>195</v>
      </c>
      <c r="K120" s="7" t="s">
        <v>195</v>
      </c>
      <c r="L120" s="7" t="s">
        <v>195</v>
      </c>
      <c r="M120" s="7" t="s">
        <v>29</v>
      </c>
      <c r="N120" s="7" t="s">
        <v>29</v>
      </c>
      <c r="O120" s="7" t="s">
        <v>29</v>
      </c>
      <c r="P120" s="7" t="s">
        <v>29</v>
      </c>
      <c r="Q120" s="7" t="s">
        <v>29</v>
      </c>
      <c r="R120" s="7" t="s">
        <v>29</v>
      </c>
      <c r="S120" s="7" t="s">
        <v>29</v>
      </c>
    </row>
    <row r="121" spans="2:19">
      <c r="B121" s="7" t="s">
        <v>195</v>
      </c>
      <c r="C121" s="8" t="s">
        <v>195</v>
      </c>
      <c r="D121" s="6" t="str">
        <f>LRTRIM(CONCATENATE(IF(SUMPRODUCT(-- ISNUMBER(SEARCH({"Auto Number"}, $B121))) &gt; 0, $B121, IF(SUMPRODUCT(-- ISNUMBER(SEARCH({"Lookup","Master-Detail"}, $B121))) &gt; 0,$B121 &amp; "(" &amp; $E121 &amp; ")",IF(SUMPRODUCT(-- ISNUMBER(SEARCH({"Formula","Roll-Up Summary"}, $B121))) &gt; 0,$B121 &amp; " (" &amp; $E121 &amp; ")",IF(SUMPRODUCT(-- ISNUMBER(SEARCH({"Content","Currency","Number","Percent","Text","URL"}, $B121))) &gt; 0,$B121 &amp; "(" &amp; $C121 &amp; ")",$B121)))), "  ", TRIM(IF($S121 = "YES", "(External ID)", "") &amp; " " &amp; IF(SUMPRODUCT(-- ISNUMBER(SEARCH({"Unique","Unique Case Insensitive"}, $R121))) &gt; 0, "(" &amp; $R121 &amp; ")", ""))))</f>
        <v>na</v>
      </c>
      <c r="E121" s="7" t="s">
        <v>195</v>
      </c>
      <c r="F121" s="7" t="s">
        <v>195</v>
      </c>
      <c r="G121" s="7" t="s">
        <v>195</v>
      </c>
      <c r="H121" s="7" t="s">
        <v>195</v>
      </c>
      <c r="I121" s="7" t="s">
        <v>195</v>
      </c>
      <c r="J121" s="7" t="s">
        <v>195</v>
      </c>
      <c r="K121" s="7" t="s">
        <v>195</v>
      </c>
      <c r="L121" s="7" t="s">
        <v>195</v>
      </c>
      <c r="M121" s="7" t="s">
        <v>29</v>
      </c>
      <c r="N121" s="7" t="s">
        <v>29</v>
      </c>
      <c r="O121" s="7" t="s">
        <v>29</v>
      </c>
      <c r="P121" s="7" t="s">
        <v>29</v>
      </c>
      <c r="Q121" s="7" t="s">
        <v>29</v>
      </c>
      <c r="R121" s="7" t="s">
        <v>29</v>
      </c>
      <c r="S121" s="7" t="s">
        <v>29</v>
      </c>
    </row>
    <row r="122" spans="2:19">
      <c r="B122" s="7" t="s">
        <v>195</v>
      </c>
      <c r="C122" s="8" t="s">
        <v>195</v>
      </c>
      <c r="D122" s="6" t="str">
        <f>LRTRIM(CONCATENATE(IF(SUMPRODUCT(-- ISNUMBER(SEARCH({"Auto Number"}, $B122))) &gt; 0, $B122, IF(SUMPRODUCT(-- ISNUMBER(SEARCH({"Lookup","Master-Detail"}, $B122))) &gt; 0,$B122 &amp; "(" &amp; $E122 &amp; ")",IF(SUMPRODUCT(-- ISNUMBER(SEARCH({"Formula","Roll-Up Summary"}, $B122))) &gt; 0,$B122 &amp; " (" &amp; $E122 &amp; ")",IF(SUMPRODUCT(-- ISNUMBER(SEARCH({"Content","Currency","Number","Percent","Text","URL"}, $B122))) &gt; 0,$B122 &amp; "(" &amp; $C122 &amp; ")",$B122)))), "  ", TRIM(IF($S122 = "YES", "(External ID)", "") &amp; " " &amp; IF(SUMPRODUCT(-- ISNUMBER(SEARCH({"Unique","Unique Case Insensitive"}, $R122))) &gt; 0, "(" &amp; $R122 &amp; ")", ""))))</f>
        <v>na</v>
      </c>
      <c r="E122" s="7" t="s">
        <v>195</v>
      </c>
      <c r="F122" s="7" t="s">
        <v>195</v>
      </c>
      <c r="G122" s="7" t="s">
        <v>195</v>
      </c>
      <c r="H122" s="7" t="s">
        <v>195</v>
      </c>
      <c r="I122" s="7" t="s">
        <v>195</v>
      </c>
      <c r="J122" s="7" t="s">
        <v>195</v>
      </c>
      <c r="K122" s="7" t="s">
        <v>195</v>
      </c>
      <c r="L122" s="7" t="s">
        <v>195</v>
      </c>
      <c r="M122" s="7" t="s">
        <v>29</v>
      </c>
      <c r="N122" s="7" t="s">
        <v>29</v>
      </c>
      <c r="O122" s="7" t="s">
        <v>29</v>
      </c>
      <c r="P122" s="7" t="s">
        <v>29</v>
      </c>
      <c r="Q122" s="7" t="s">
        <v>29</v>
      </c>
      <c r="R122" s="7" t="s">
        <v>29</v>
      </c>
      <c r="S122" s="7" t="s">
        <v>29</v>
      </c>
    </row>
    <row r="123" spans="2:19">
      <c r="B123" s="7" t="s">
        <v>195</v>
      </c>
      <c r="C123" s="8" t="s">
        <v>195</v>
      </c>
      <c r="D123" s="6" t="str">
        <f>LRTRIM(CONCATENATE(IF(SUMPRODUCT(-- ISNUMBER(SEARCH({"Auto Number"}, $B123))) &gt; 0, $B123, IF(SUMPRODUCT(-- ISNUMBER(SEARCH({"Lookup","Master-Detail"}, $B123))) &gt; 0,$B123 &amp; "(" &amp; $E123 &amp; ")",IF(SUMPRODUCT(-- ISNUMBER(SEARCH({"Formula","Roll-Up Summary"}, $B123))) &gt; 0,$B123 &amp; " (" &amp; $E123 &amp; ")",IF(SUMPRODUCT(-- ISNUMBER(SEARCH({"Content","Currency","Number","Percent","Text","URL"}, $B123))) &gt; 0,$B123 &amp; "(" &amp; $C123 &amp; ")",$B123)))), "  ", TRIM(IF($S123 = "YES", "(External ID)", "") &amp; " " &amp; IF(SUMPRODUCT(-- ISNUMBER(SEARCH({"Unique","Unique Case Insensitive"}, $R123))) &gt; 0, "(" &amp; $R123 &amp; ")", ""))))</f>
        <v>na</v>
      </c>
      <c r="E123" s="7" t="s">
        <v>195</v>
      </c>
      <c r="F123" s="7" t="s">
        <v>195</v>
      </c>
      <c r="G123" s="7" t="s">
        <v>195</v>
      </c>
      <c r="H123" s="7" t="s">
        <v>195</v>
      </c>
      <c r="I123" s="7" t="s">
        <v>195</v>
      </c>
      <c r="J123" s="7" t="s">
        <v>195</v>
      </c>
      <c r="K123" s="7" t="s">
        <v>195</v>
      </c>
      <c r="L123" s="7" t="s">
        <v>195</v>
      </c>
      <c r="M123" s="7" t="s">
        <v>29</v>
      </c>
      <c r="N123" s="7" t="s">
        <v>29</v>
      </c>
      <c r="O123" s="7" t="s">
        <v>29</v>
      </c>
      <c r="P123" s="7" t="s">
        <v>29</v>
      </c>
      <c r="Q123" s="7" t="s">
        <v>29</v>
      </c>
      <c r="R123" s="7" t="s">
        <v>29</v>
      </c>
      <c r="S123" s="7" t="s">
        <v>29</v>
      </c>
    </row>
    <row r="124" spans="2:19">
      <c r="B124" s="7" t="s">
        <v>195</v>
      </c>
      <c r="C124" s="8" t="s">
        <v>195</v>
      </c>
      <c r="D124" s="6" t="str">
        <f>LRTRIM(CONCATENATE(IF(SUMPRODUCT(-- ISNUMBER(SEARCH({"Auto Number"}, $B124))) &gt; 0, $B124, IF(SUMPRODUCT(-- ISNUMBER(SEARCH({"Lookup","Master-Detail"}, $B124))) &gt; 0,$B124 &amp; "(" &amp; $E124 &amp; ")",IF(SUMPRODUCT(-- ISNUMBER(SEARCH({"Formula","Roll-Up Summary"}, $B124))) &gt; 0,$B124 &amp; " (" &amp; $E124 &amp; ")",IF(SUMPRODUCT(-- ISNUMBER(SEARCH({"Content","Currency","Number","Percent","Text","URL"}, $B124))) &gt; 0,$B124 &amp; "(" &amp; $C124 &amp; ")",$B124)))), "  ", TRIM(IF($S124 = "YES", "(External ID)", "") &amp; " " &amp; IF(SUMPRODUCT(-- ISNUMBER(SEARCH({"Unique","Unique Case Insensitive"}, $R124))) &gt; 0, "(" &amp; $R124 &amp; ")", ""))))</f>
        <v>na</v>
      </c>
      <c r="E124" s="7" t="s">
        <v>195</v>
      </c>
      <c r="F124" s="7" t="s">
        <v>195</v>
      </c>
      <c r="G124" s="7" t="s">
        <v>195</v>
      </c>
      <c r="H124" s="7" t="s">
        <v>195</v>
      </c>
      <c r="I124" s="7" t="s">
        <v>195</v>
      </c>
      <c r="J124" s="7" t="s">
        <v>195</v>
      </c>
      <c r="K124" s="7" t="s">
        <v>195</v>
      </c>
      <c r="L124" s="7" t="s">
        <v>195</v>
      </c>
      <c r="M124" s="7" t="s">
        <v>29</v>
      </c>
      <c r="N124" s="7" t="s">
        <v>29</v>
      </c>
      <c r="O124" s="7" t="s">
        <v>29</v>
      </c>
      <c r="P124" s="7" t="s">
        <v>29</v>
      </c>
      <c r="Q124" s="7" t="s">
        <v>29</v>
      </c>
      <c r="R124" s="7" t="s">
        <v>29</v>
      </c>
      <c r="S124" s="7" t="s">
        <v>29</v>
      </c>
    </row>
    <row r="125" spans="2:19">
      <c r="B125" s="7" t="s">
        <v>195</v>
      </c>
      <c r="C125" s="8" t="s">
        <v>195</v>
      </c>
      <c r="D125" s="6" t="str">
        <f>LRTRIM(CONCATENATE(IF(SUMPRODUCT(-- ISNUMBER(SEARCH({"Auto Number"}, $B125))) &gt; 0, $B125, IF(SUMPRODUCT(-- ISNUMBER(SEARCH({"Lookup","Master-Detail"}, $B125))) &gt; 0,$B125 &amp; "(" &amp; $E125 &amp; ")",IF(SUMPRODUCT(-- ISNUMBER(SEARCH({"Formula","Roll-Up Summary"}, $B125))) &gt; 0,$B125 &amp; " (" &amp; $E125 &amp; ")",IF(SUMPRODUCT(-- ISNUMBER(SEARCH({"Content","Currency","Number","Percent","Text","URL"}, $B125))) &gt; 0,$B125 &amp; "(" &amp; $C125 &amp; ")",$B125)))), "  ", TRIM(IF($S125 = "YES", "(External ID)", "") &amp; " " &amp; IF(SUMPRODUCT(-- ISNUMBER(SEARCH({"Unique","Unique Case Insensitive"}, $R125))) &gt; 0, "(" &amp; $R125 &amp; ")", ""))))</f>
        <v>na</v>
      </c>
      <c r="E125" s="7" t="s">
        <v>195</v>
      </c>
      <c r="F125" s="7" t="s">
        <v>195</v>
      </c>
      <c r="G125" s="7" t="s">
        <v>195</v>
      </c>
      <c r="H125" s="7" t="s">
        <v>195</v>
      </c>
      <c r="I125" s="7" t="s">
        <v>195</v>
      </c>
      <c r="J125" s="7" t="s">
        <v>195</v>
      </c>
      <c r="K125" s="7" t="s">
        <v>195</v>
      </c>
      <c r="L125" s="7" t="s">
        <v>195</v>
      </c>
      <c r="M125" s="7" t="s">
        <v>29</v>
      </c>
      <c r="N125" s="7" t="s">
        <v>29</v>
      </c>
      <c r="O125" s="7" t="s">
        <v>29</v>
      </c>
      <c r="P125" s="7" t="s">
        <v>29</v>
      </c>
      <c r="Q125" s="7" t="s">
        <v>29</v>
      </c>
      <c r="R125" s="7" t="s">
        <v>29</v>
      </c>
      <c r="S125" s="7" t="s">
        <v>29</v>
      </c>
    </row>
    <row r="126" spans="2:19">
      <c r="B126" s="7" t="s">
        <v>195</v>
      </c>
      <c r="C126" s="8" t="s">
        <v>195</v>
      </c>
      <c r="D126" s="6" t="str">
        <f>LRTRIM(CONCATENATE(IF(SUMPRODUCT(-- ISNUMBER(SEARCH({"Auto Number"}, $B126))) &gt; 0, $B126, IF(SUMPRODUCT(-- ISNUMBER(SEARCH({"Lookup","Master-Detail"}, $B126))) &gt; 0,$B126 &amp; "(" &amp; $E126 &amp; ")",IF(SUMPRODUCT(-- ISNUMBER(SEARCH({"Formula","Roll-Up Summary"}, $B126))) &gt; 0,$B126 &amp; " (" &amp; $E126 &amp; ")",IF(SUMPRODUCT(-- ISNUMBER(SEARCH({"Content","Currency","Number","Percent","Text","URL"}, $B126))) &gt; 0,$B126 &amp; "(" &amp; $C126 &amp; ")",$B126)))), "  ", TRIM(IF($S126 = "YES", "(External ID)", "") &amp; " " &amp; IF(SUMPRODUCT(-- ISNUMBER(SEARCH({"Unique","Unique Case Insensitive"}, $R126))) &gt; 0, "(" &amp; $R126 &amp; ")", ""))))</f>
        <v>na</v>
      </c>
      <c r="E126" s="7" t="s">
        <v>195</v>
      </c>
      <c r="F126" s="7" t="s">
        <v>195</v>
      </c>
      <c r="G126" s="7" t="s">
        <v>195</v>
      </c>
      <c r="H126" s="7" t="s">
        <v>195</v>
      </c>
      <c r="I126" s="7" t="s">
        <v>195</v>
      </c>
      <c r="J126" s="7" t="s">
        <v>195</v>
      </c>
      <c r="K126" s="7" t="s">
        <v>195</v>
      </c>
      <c r="L126" s="7" t="s">
        <v>195</v>
      </c>
      <c r="M126" s="7" t="s">
        <v>29</v>
      </c>
      <c r="N126" s="7" t="s">
        <v>29</v>
      </c>
      <c r="O126" s="7" t="s">
        <v>29</v>
      </c>
      <c r="P126" s="7" t="s">
        <v>29</v>
      </c>
      <c r="Q126" s="7" t="s">
        <v>29</v>
      </c>
      <c r="R126" s="7" t="s">
        <v>29</v>
      </c>
      <c r="S126" s="7" t="s">
        <v>29</v>
      </c>
    </row>
    <row r="127" spans="2:19">
      <c r="B127" s="7" t="s">
        <v>195</v>
      </c>
      <c r="C127" s="8" t="s">
        <v>195</v>
      </c>
      <c r="D127" s="6" t="str">
        <f>LRTRIM(CONCATENATE(IF(SUMPRODUCT(-- ISNUMBER(SEARCH({"Auto Number"}, $B127))) &gt; 0, $B127, IF(SUMPRODUCT(-- ISNUMBER(SEARCH({"Lookup","Master-Detail"}, $B127))) &gt; 0,$B127 &amp; "(" &amp; $E127 &amp; ")",IF(SUMPRODUCT(-- ISNUMBER(SEARCH({"Formula","Roll-Up Summary"}, $B127))) &gt; 0,$B127 &amp; " (" &amp; $E127 &amp; ")",IF(SUMPRODUCT(-- ISNUMBER(SEARCH({"Content","Currency","Number","Percent","Text","URL"}, $B127))) &gt; 0,$B127 &amp; "(" &amp; $C127 &amp; ")",$B127)))), "  ", TRIM(IF($S127 = "YES", "(External ID)", "") &amp; " " &amp; IF(SUMPRODUCT(-- ISNUMBER(SEARCH({"Unique","Unique Case Insensitive"}, $R127))) &gt; 0, "(" &amp; $R127 &amp; ")", ""))))</f>
        <v>na</v>
      </c>
      <c r="E127" s="7" t="s">
        <v>195</v>
      </c>
      <c r="F127" s="7" t="s">
        <v>195</v>
      </c>
      <c r="G127" s="7" t="s">
        <v>195</v>
      </c>
      <c r="H127" s="7" t="s">
        <v>195</v>
      </c>
      <c r="I127" s="7" t="s">
        <v>195</v>
      </c>
      <c r="J127" s="7" t="s">
        <v>195</v>
      </c>
      <c r="K127" s="7" t="s">
        <v>195</v>
      </c>
      <c r="L127" s="7" t="s">
        <v>195</v>
      </c>
      <c r="M127" s="7" t="s">
        <v>29</v>
      </c>
      <c r="N127" s="7" t="s">
        <v>29</v>
      </c>
      <c r="O127" s="7" t="s">
        <v>29</v>
      </c>
      <c r="P127" s="7" t="s">
        <v>29</v>
      </c>
      <c r="Q127" s="7" t="s">
        <v>29</v>
      </c>
      <c r="R127" s="7" t="s">
        <v>29</v>
      </c>
      <c r="S127" s="7" t="s">
        <v>29</v>
      </c>
    </row>
    <row r="128" spans="2:19">
      <c r="B128" s="7" t="s">
        <v>195</v>
      </c>
      <c r="C128" s="8" t="s">
        <v>195</v>
      </c>
      <c r="D128" s="6" t="str">
        <f>LRTRIM(CONCATENATE(IF(SUMPRODUCT(-- ISNUMBER(SEARCH({"Auto Number"}, $B128))) &gt; 0, $B128, IF(SUMPRODUCT(-- ISNUMBER(SEARCH({"Lookup","Master-Detail"}, $B128))) &gt; 0,$B128 &amp; "(" &amp; $E128 &amp; ")",IF(SUMPRODUCT(-- ISNUMBER(SEARCH({"Formula","Roll-Up Summary"}, $B128))) &gt; 0,$B128 &amp; " (" &amp; $E128 &amp; ")",IF(SUMPRODUCT(-- ISNUMBER(SEARCH({"Content","Currency","Number","Percent","Text","URL"}, $B128))) &gt; 0,$B128 &amp; "(" &amp; $C128 &amp; ")",$B128)))), "  ", TRIM(IF($S128 = "YES", "(External ID)", "") &amp; " " &amp; IF(SUMPRODUCT(-- ISNUMBER(SEARCH({"Unique","Unique Case Insensitive"}, $R128))) &gt; 0, "(" &amp; $R128 &amp; ")", ""))))</f>
        <v>na</v>
      </c>
      <c r="E128" s="7" t="s">
        <v>195</v>
      </c>
      <c r="F128" s="7" t="s">
        <v>195</v>
      </c>
      <c r="G128" s="7" t="s">
        <v>195</v>
      </c>
      <c r="H128" s="7" t="s">
        <v>195</v>
      </c>
      <c r="I128" s="7" t="s">
        <v>195</v>
      </c>
      <c r="J128" s="7" t="s">
        <v>195</v>
      </c>
      <c r="K128" s="7" t="s">
        <v>195</v>
      </c>
      <c r="L128" s="7" t="s">
        <v>195</v>
      </c>
      <c r="M128" s="7" t="s">
        <v>29</v>
      </c>
      <c r="N128" s="7" t="s">
        <v>29</v>
      </c>
      <c r="O128" s="7" t="s">
        <v>29</v>
      </c>
      <c r="P128" s="7" t="s">
        <v>29</v>
      </c>
      <c r="Q128" s="7" t="s">
        <v>29</v>
      </c>
      <c r="R128" s="7" t="s">
        <v>29</v>
      </c>
      <c r="S128" s="7" t="s">
        <v>29</v>
      </c>
    </row>
    <row r="129" spans="2:19">
      <c r="B129" s="7" t="s">
        <v>195</v>
      </c>
      <c r="C129" s="8" t="s">
        <v>195</v>
      </c>
      <c r="D129" s="6" t="str">
        <f>LRTRIM(CONCATENATE(IF(SUMPRODUCT(-- ISNUMBER(SEARCH({"Auto Number"}, $B129))) &gt; 0, $B129, IF(SUMPRODUCT(-- ISNUMBER(SEARCH({"Lookup","Master-Detail"}, $B129))) &gt; 0,$B129 &amp; "(" &amp; $E129 &amp; ")",IF(SUMPRODUCT(-- ISNUMBER(SEARCH({"Formula","Roll-Up Summary"}, $B129))) &gt; 0,$B129 &amp; " (" &amp; $E129 &amp; ")",IF(SUMPRODUCT(-- ISNUMBER(SEARCH({"Content","Currency","Number","Percent","Text","URL"}, $B129))) &gt; 0,$B129 &amp; "(" &amp; $C129 &amp; ")",$B129)))), "  ", TRIM(IF($S129 = "YES", "(External ID)", "") &amp; " " &amp; IF(SUMPRODUCT(-- ISNUMBER(SEARCH({"Unique","Unique Case Insensitive"}, $R129))) &gt; 0, "(" &amp; $R129 &amp; ")", ""))))</f>
        <v>na</v>
      </c>
      <c r="E129" s="7" t="s">
        <v>195</v>
      </c>
      <c r="F129" s="7" t="s">
        <v>195</v>
      </c>
      <c r="G129" s="7" t="s">
        <v>195</v>
      </c>
      <c r="H129" s="7" t="s">
        <v>195</v>
      </c>
      <c r="I129" s="7" t="s">
        <v>195</v>
      </c>
      <c r="J129" s="7" t="s">
        <v>195</v>
      </c>
      <c r="K129" s="7" t="s">
        <v>195</v>
      </c>
      <c r="L129" s="7" t="s">
        <v>195</v>
      </c>
      <c r="M129" s="7" t="s">
        <v>29</v>
      </c>
      <c r="N129" s="7" t="s">
        <v>29</v>
      </c>
      <c r="O129" s="7" t="s">
        <v>29</v>
      </c>
      <c r="P129" s="7" t="s">
        <v>29</v>
      </c>
      <c r="Q129" s="7" t="s">
        <v>29</v>
      </c>
      <c r="R129" s="7" t="s">
        <v>29</v>
      </c>
      <c r="S129" s="7" t="s">
        <v>29</v>
      </c>
    </row>
    <row r="130" spans="2:19">
      <c r="B130" s="7" t="s">
        <v>195</v>
      </c>
      <c r="C130" s="8" t="s">
        <v>195</v>
      </c>
      <c r="D130" s="6" t="str">
        <f>LRTRIM(CONCATENATE(IF(SUMPRODUCT(-- ISNUMBER(SEARCH({"Auto Number"}, $B130))) &gt; 0, $B130, IF(SUMPRODUCT(-- ISNUMBER(SEARCH({"Lookup","Master-Detail"}, $B130))) &gt; 0,$B130 &amp; "(" &amp; $E130 &amp; ")",IF(SUMPRODUCT(-- ISNUMBER(SEARCH({"Formula","Roll-Up Summary"}, $B130))) &gt; 0,$B130 &amp; " (" &amp; $E130 &amp; ")",IF(SUMPRODUCT(-- ISNUMBER(SEARCH({"Content","Currency","Number","Percent","Text","URL"}, $B130))) &gt; 0,$B130 &amp; "(" &amp; $C130 &amp; ")",$B130)))), "  ", TRIM(IF($S130 = "YES", "(External ID)", "") &amp; " " &amp; IF(SUMPRODUCT(-- ISNUMBER(SEARCH({"Unique","Unique Case Insensitive"}, $R130))) &gt; 0, "(" &amp; $R130 &amp; ")", ""))))</f>
        <v>na</v>
      </c>
      <c r="E130" s="7" t="s">
        <v>195</v>
      </c>
      <c r="F130" s="7" t="s">
        <v>195</v>
      </c>
      <c r="G130" s="7" t="s">
        <v>195</v>
      </c>
      <c r="H130" s="7" t="s">
        <v>195</v>
      </c>
      <c r="I130" s="7" t="s">
        <v>195</v>
      </c>
      <c r="J130" s="7" t="s">
        <v>195</v>
      </c>
      <c r="K130" s="7" t="s">
        <v>195</v>
      </c>
      <c r="L130" s="7" t="s">
        <v>195</v>
      </c>
      <c r="M130" s="7" t="s">
        <v>29</v>
      </c>
      <c r="N130" s="7" t="s">
        <v>29</v>
      </c>
      <c r="O130" s="7" t="s">
        <v>29</v>
      </c>
      <c r="P130" s="7" t="s">
        <v>29</v>
      </c>
      <c r="Q130" s="7" t="s">
        <v>29</v>
      </c>
      <c r="R130" s="7" t="s">
        <v>29</v>
      </c>
      <c r="S130" s="7" t="s">
        <v>29</v>
      </c>
    </row>
    <row r="131" spans="2:19">
      <c r="B131" s="7" t="s">
        <v>195</v>
      </c>
      <c r="C131" s="8" t="s">
        <v>195</v>
      </c>
      <c r="D131" s="6" t="str">
        <f>LRTRIM(CONCATENATE(IF(SUMPRODUCT(-- ISNUMBER(SEARCH({"Auto Number"}, $B131))) &gt; 0, $B131, IF(SUMPRODUCT(-- ISNUMBER(SEARCH({"Lookup","Master-Detail"}, $B131))) &gt; 0,$B131 &amp; "(" &amp; $E131 &amp; ")",IF(SUMPRODUCT(-- ISNUMBER(SEARCH({"Formula","Roll-Up Summary"}, $B131))) &gt; 0,$B131 &amp; " (" &amp; $E131 &amp; ")",IF(SUMPRODUCT(-- ISNUMBER(SEARCH({"Content","Currency","Number","Percent","Text","URL"}, $B131))) &gt; 0,$B131 &amp; "(" &amp; $C131 &amp; ")",$B131)))), "  ", TRIM(IF($S131 = "YES", "(External ID)", "") &amp; " " &amp; IF(SUMPRODUCT(-- ISNUMBER(SEARCH({"Unique","Unique Case Insensitive"}, $R131))) &gt; 0, "(" &amp; $R131 &amp; ")", ""))))</f>
        <v>na</v>
      </c>
      <c r="E131" s="7" t="s">
        <v>195</v>
      </c>
      <c r="F131" s="7" t="s">
        <v>195</v>
      </c>
      <c r="G131" s="7" t="s">
        <v>195</v>
      </c>
      <c r="H131" s="7" t="s">
        <v>195</v>
      </c>
      <c r="I131" s="7" t="s">
        <v>195</v>
      </c>
      <c r="J131" s="7" t="s">
        <v>195</v>
      </c>
      <c r="K131" s="7" t="s">
        <v>195</v>
      </c>
      <c r="L131" s="7" t="s">
        <v>195</v>
      </c>
      <c r="M131" s="7" t="s">
        <v>29</v>
      </c>
      <c r="N131" s="7" t="s">
        <v>29</v>
      </c>
      <c r="O131" s="7" t="s">
        <v>29</v>
      </c>
      <c r="P131" s="7" t="s">
        <v>29</v>
      </c>
      <c r="Q131" s="7" t="s">
        <v>29</v>
      </c>
      <c r="R131" s="7" t="s">
        <v>29</v>
      </c>
      <c r="S131" s="7" t="s">
        <v>29</v>
      </c>
    </row>
    <row r="132" spans="2:19">
      <c r="B132" s="7" t="s">
        <v>195</v>
      </c>
      <c r="C132" s="8" t="s">
        <v>195</v>
      </c>
      <c r="D132" s="6" t="str">
        <f>LRTRIM(CONCATENATE(IF(SUMPRODUCT(-- ISNUMBER(SEARCH({"Auto Number"}, $B132))) &gt; 0, $B132, IF(SUMPRODUCT(-- ISNUMBER(SEARCH({"Lookup","Master-Detail"}, $B132))) &gt; 0,$B132 &amp; "(" &amp; $E132 &amp; ")",IF(SUMPRODUCT(-- ISNUMBER(SEARCH({"Formula","Roll-Up Summary"}, $B132))) &gt; 0,$B132 &amp; " (" &amp; $E132 &amp; ")",IF(SUMPRODUCT(-- ISNUMBER(SEARCH({"Content","Currency","Number","Percent","Text","URL"}, $B132))) &gt; 0,$B132 &amp; "(" &amp; $C132 &amp; ")",$B132)))), "  ", TRIM(IF($S132 = "YES", "(External ID)", "") &amp; " " &amp; IF(SUMPRODUCT(-- ISNUMBER(SEARCH({"Unique","Unique Case Insensitive"}, $R132))) &gt; 0, "(" &amp; $R132 &amp; ")", ""))))</f>
        <v>na</v>
      </c>
      <c r="E132" s="7" t="s">
        <v>195</v>
      </c>
      <c r="F132" s="7" t="s">
        <v>195</v>
      </c>
      <c r="G132" s="7" t="s">
        <v>195</v>
      </c>
      <c r="H132" s="7" t="s">
        <v>195</v>
      </c>
      <c r="I132" s="7" t="s">
        <v>195</v>
      </c>
      <c r="J132" s="7" t="s">
        <v>195</v>
      </c>
      <c r="K132" s="7" t="s">
        <v>195</v>
      </c>
      <c r="L132" s="7" t="s">
        <v>195</v>
      </c>
      <c r="M132" s="7" t="s">
        <v>29</v>
      </c>
      <c r="N132" s="7" t="s">
        <v>29</v>
      </c>
      <c r="O132" s="7" t="s">
        <v>29</v>
      </c>
      <c r="P132" s="7" t="s">
        <v>29</v>
      </c>
      <c r="Q132" s="7" t="s">
        <v>29</v>
      </c>
      <c r="R132" s="7" t="s">
        <v>29</v>
      </c>
      <c r="S132" s="7" t="s">
        <v>29</v>
      </c>
    </row>
    <row r="133" spans="2:19">
      <c r="B133" s="7" t="s">
        <v>195</v>
      </c>
      <c r="C133" s="8" t="s">
        <v>195</v>
      </c>
      <c r="D133" s="6" t="str">
        <f>LRTRIM(CONCATENATE(IF(SUMPRODUCT(-- ISNUMBER(SEARCH({"Auto Number"}, $B133))) &gt; 0, $B133, IF(SUMPRODUCT(-- ISNUMBER(SEARCH({"Lookup","Master-Detail"}, $B133))) &gt; 0,$B133 &amp; "(" &amp; $E133 &amp; ")",IF(SUMPRODUCT(-- ISNUMBER(SEARCH({"Formula","Roll-Up Summary"}, $B133))) &gt; 0,$B133 &amp; " (" &amp; $E133 &amp; ")",IF(SUMPRODUCT(-- ISNUMBER(SEARCH({"Content","Currency","Number","Percent","Text","URL"}, $B133))) &gt; 0,$B133 &amp; "(" &amp; $C133 &amp; ")",$B133)))), "  ", TRIM(IF($S133 = "YES", "(External ID)", "") &amp; " " &amp; IF(SUMPRODUCT(-- ISNUMBER(SEARCH({"Unique","Unique Case Insensitive"}, $R133))) &gt; 0, "(" &amp; $R133 &amp; ")", ""))))</f>
        <v>na</v>
      </c>
      <c r="E133" s="7" t="s">
        <v>195</v>
      </c>
      <c r="F133" s="7" t="s">
        <v>195</v>
      </c>
      <c r="G133" s="7" t="s">
        <v>195</v>
      </c>
      <c r="H133" s="7" t="s">
        <v>195</v>
      </c>
      <c r="I133" s="7" t="s">
        <v>195</v>
      </c>
      <c r="J133" s="7" t="s">
        <v>195</v>
      </c>
      <c r="K133" s="7" t="s">
        <v>195</v>
      </c>
      <c r="L133" s="7" t="s">
        <v>195</v>
      </c>
      <c r="M133" s="7" t="s">
        <v>29</v>
      </c>
      <c r="N133" s="7" t="s">
        <v>29</v>
      </c>
      <c r="O133" s="7" t="s">
        <v>29</v>
      </c>
      <c r="P133" s="7" t="s">
        <v>29</v>
      </c>
      <c r="Q133" s="7" t="s">
        <v>29</v>
      </c>
      <c r="R133" s="7" t="s">
        <v>29</v>
      </c>
      <c r="S133" s="7" t="s">
        <v>29</v>
      </c>
    </row>
    <row r="134" spans="2:19">
      <c r="B134" s="7" t="s">
        <v>195</v>
      </c>
      <c r="C134" s="8" t="s">
        <v>195</v>
      </c>
      <c r="D134" s="6" t="str">
        <f>LRTRIM(CONCATENATE(IF(SUMPRODUCT(-- ISNUMBER(SEARCH({"Auto Number"}, $B134))) &gt; 0, $B134, IF(SUMPRODUCT(-- ISNUMBER(SEARCH({"Lookup","Master-Detail"}, $B134))) &gt; 0,$B134 &amp; "(" &amp; $E134 &amp; ")",IF(SUMPRODUCT(-- ISNUMBER(SEARCH({"Formula","Roll-Up Summary"}, $B134))) &gt; 0,$B134 &amp; " (" &amp; $E134 &amp; ")",IF(SUMPRODUCT(-- ISNUMBER(SEARCH({"Content","Currency","Number","Percent","Text","URL"}, $B134))) &gt; 0,$B134 &amp; "(" &amp; $C134 &amp; ")",$B134)))), "  ", TRIM(IF($S134 = "YES", "(External ID)", "") &amp; " " &amp; IF(SUMPRODUCT(-- ISNUMBER(SEARCH({"Unique","Unique Case Insensitive"}, $R134))) &gt; 0, "(" &amp; $R134 &amp; ")", ""))))</f>
        <v>na</v>
      </c>
      <c r="E134" s="7" t="s">
        <v>195</v>
      </c>
      <c r="F134" s="7" t="s">
        <v>195</v>
      </c>
      <c r="G134" s="7" t="s">
        <v>195</v>
      </c>
      <c r="H134" s="7" t="s">
        <v>195</v>
      </c>
      <c r="I134" s="7" t="s">
        <v>195</v>
      </c>
      <c r="J134" s="7" t="s">
        <v>195</v>
      </c>
      <c r="K134" s="7" t="s">
        <v>195</v>
      </c>
      <c r="L134" s="7" t="s">
        <v>195</v>
      </c>
      <c r="M134" s="7" t="s">
        <v>29</v>
      </c>
      <c r="N134" s="7" t="s">
        <v>29</v>
      </c>
      <c r="O134" s="7" t="s">
        <v>29</v>
      </c>
      <c r="P134" s="7" t="s">
        <v>29</v>
      </c>
      <c r="Q134" s="7" t="s">
        <v>29</v>
      </c>
      <c r="R134" s="7" t="s">
        <v>29</v>
      </c>
      <c r="S134" s="7" t="s">
        <v>29</v>
      </c>
    </row>
    <row r="135" spans="2:19">
      <c r="B135" s="7" t="s">
        <v>195</v>
      </c>
      <c r="C135" s="8" t="s">
        <v>195</v>
      </c>
      <c r="D135" s="6" t="str">
        <f>LRTRIM(CONCATENATE(IF(SUMPRODUCT(-- ISNUMBER(SEARCH({"Auto Number"}, $B135))) &gt; 0, $B135, IF(SUMPRODUCT(-- ISNUMBER(SEARCH({"Lookup","Master-Detail"}, $B135))) &gt; 0,$B135 &amp; "(" &amp; $E135 &amp; ")",IF(SUMPRODUCT(-- ISNUMBER(SEARCH({"Formula","Roll-Up Summary"}, $B135))) &gt; 0,$B135 &amp; " (" &amp; $E135 &amp; ")",IF(SUMPRODUCT(-- ISNUMBER(SEARCH({"Content","Currency","Number","Percent","Text","URL"}, $B135))) &gt; 0,$B135 &amp; "(" &amp; $C135 &amp; ")",$B135)))), "  ", TRIM(IF($S135 = "YES", "(External ID)", "") &amp; " " &amp; IF(SUMPRODUCT(-- ISNUMBER(SEARCH({"Unique","Unique Case Insensitive"}, $R135))) &gt; 0, "(" &amp; $R135 &amp; ")", ""))))</f>
        <v>na</v>
      </c>
      <c r="E135" s="7" t="s">
        <v>195</v>
      </c>
      <c r="F135" s="7" t="s">
        <v>195</v>
      </c>
      <c r="G135" s="7" t="s">
        <v>195</v>
      </c>
      <c r="H135" s="7" t="s">
        <v>195</v>
      </c>
      <c r="I135" s="7" t="s">
        <v>195</v>
      </c>
      <c r="J135" s="7" t="s">
        <v>195</v>
      </c>
      <c r="K135" s="7" t="s">
        <v>195</v>
      </c>
      <c r="L135" s="7" t="s">
        <v>195</v>
      </c>
      <c r="M135" s="7" t="s">
        <v>29</v>
      </c>
      <c r="N135" s="7" t="s">
        <v>29</v>
      </c>
      <c r="O135" s="7" t="s">
        <v>29</v>
      </c>
      <c r="P135" s="7" t="s">
        <v>29</v>
      </c>
      <c r="Q135" s="7" t="s">
        <v>29</v>
      </c>
      <c r="R135" s="7" t="s">
        <v>29</v>
      </c>
      <c r="S135" s="7" t="s">
        <v>29</v>
      </c>
    </row>
    <row r="136" spans="2:19">
      <c r="B136" s="7" t="s">
        <v>195</v>
      </c>
      <c r="C136" s="8" t="s">
        <v>195</v>
      </c>
      <c r="D136" s="6" t="str">
        <f>LRTRIM(CONCATENATE(IF(SUMPRODUCT(-- ISNUMBER(SEARCH({"Auto Number"}, $B136))) &gt; 0, $B136, IF(SUMPRODUCT(-- ISNUMBER(SEARCH({"Lookup","Master-Detail"}, $B136))) &gt; 0,$B136 &amp; "(" &amp; $E136 &amp; ")",IF(SUMPRODUCT(-- ISNUMBER(SEARCH({"Formula","Roll-Up Summary"}, $B136))) &gt; 0,$B136 &amp; " (" &amp; $E136 &amp; ")",IF(SUMPRODUCT(-- ISNUMBER(SEARCH({"Content","Currency","Number","Percent","Text","URL"}, $B136))) &gt; 0,$B136 &amp; "(" &amp; $C136 &amp; ")",$B136)))), "  ", TRIM(IF($S136 = "YES", "(External ID)", "") &amp; " " &amp; IF(SUMPRODUCT(-- ISNUMBER(SEARCH({"Unique","Unique Case Insensitive"}, $R136))) &gt; 0, "(" &amp; $R136 &amp; ")", ""))))</f>
        <v>na</v>
      </c>
      <c r="E136" s="7" t="s">
        <v>195</v>
      </c>
      <c r="F136" s="7" t="s">
        <v>195</v>
      </c>
      <c r="G136" s="7" t="s">
        <v>195</v>
      </c>
      <c r="H136" s="7" t="s">
        <v>195</v>
      </c>
      <c r="I136" s="7" t="s">
        <v>195</v>
      </c>
      <c r="J136" s="7" t="s">
        <v>195</v>
      </c>
      <c r="K136" s="7" t="s">
        <v>195</v>
      </c>
      <c r="L136" s="7" t="s">
        <v>195</v>
      </c>
      <c r="M136" s="7" t="s">
        <v>29</v>
      </c>
      <c r="N136" s="7" t="s">
        <v>29</v>
      </c>
      <c r="O136" s="7" t="s">
        <v>29</v>
      </c>
      <c r="P136" s="7" t="s">
        <v>29</v>
      </c>
      <c r="Q136" s="7" t="s">
        <v>29</v>
      </c>
      <c r="R136" s="7" t="s">
        <v>29</v>
      </c>
      <c r="S136" s="7" t="s">
        <v>29</v>
      </c>
    </row>
    <row r="137" spans="2:19">
      <c r="B137" s="7" t="s">
        <v>195</v>
      </c>
      <c r="C137" s="8" t="s">
        <v>195</v>
      </c>
      <c r="D137" s="6" t="str">
        <f>LRTRIM(CONCATENATE(IF(SUMPRODUCT(-- ISNUMBER(SEARCH({"Auto Number"}, $B137))) &gt; 0, $B137, IF(SUMPRODUCT(-- ISNUMBER(SEARCH({"Lookup","Master-Detail"}, $B137))) &gt; 0,$B137 &amp; "(" &amp; $E137 &amp; ")",IF(SUMPRODUCT(-- ISNUMBER(SEARCH({"Formula","Roll-Up Summary"}, $B137))) &gt; 0,$B137 &amp; " (" &amp; $E137 &amp; ")",IF(SUMPRODUCT(-- ISNUMBER(SEARCH({"Content","Currency","Number","Percent","Text","URL"}, $B137))) &gt; 0,$B137 &amp; "(" &amp; $C137 &amp; ")",$B137)))), "  ", TRIM(IF($S137 = "YES", "(External ID)", "") &amp; " " &amp; IF(SUMPRODUCT(-- ISNUMBER(SEARCH({"Unique","Unique Case Insensitive"}, $R137))) &gt; 0, "(" &amp; $R137 &amp; ")", ""))))</f>
        <v>na</v>
      </c>
      <c r="E137" s="7" t="s">
        <v>195</v>
      </c>
      <c r="F137" s="7" t="s">
        <v>195</v>
      </c>
      <c r="G137" s="7" t="s">
        <v>195</v>
      </c>
      <c r="H137" s="7" t="s">
        <v>195</v>
      </c>
      <c r="I137" s="7" t="s">
        <v>195</v>
      </c>
      <c r="J137" s="7" t="s">
        <v>195</v>
      </c>
      <c r="K137" s="7" t="s">
        <v>195</v>
      </c>
      <c r="L137" s="7" t="s">
        <v>195</v>
      </c>
      <c r="M137" s="7" t="s">
        <v>29</v>
      </c>
      <c r="N137" s="7" t="s">
        <v>29</v>
      </c>
      <c r="O137" s="7" t="s">
        <v>29</v>
      </c>
      <c r="P137" s="7" t="s">
        <v>29</v>
      </c>
      <c r="Q137" s="7" t="s">
        <v>29</v>
      </c>
      <c r="R137" s="7" t="s">
        <v>29</v>
      </c>
      <c r="S137" s="7" t="s">
        <v>29</v>
      </c>
    </row>
    <row r="138" spans="2:19">
      <c r="B138" s="7" t="s">
        <v>195</v>
      </c>
      <c r="C138" s="8" t="s">
        <v>195</v>
      </c>
      <c r="D138" s="6" t="str">
        <f>LRTRIM(CONCATENATE(IF(SUMPRODUCT(-- ISNUMBER(SEARCH({"Auto Number"}, $B138))) &gt; 0, $B138, IF(SUMPRODUCT(-- ISNUMBER(SEARCH({"Lookup","Master-Detail"}, $B138))) &gt; 0,$B138 &amp; "(" &amp; $E138 &amp; ")",IF(SUMPRODUCT(-- ISNUMBER(SEARCH({"Formula","Roll-Up Summary"}, $B138))) &gt; 0,$B138 &amp; " (" &amp; $E138 &amp; ")",IF(SUMPRODUCT(-- ISNUMBER(SEARCH({"Content","Currency","Number","Percent","Text","URL"}, $B138))) &gt; 0,$B138 &amp; "(" &amp; $C138 &amp; ")",$B138)))), "  ", TRIM(IF($S138 = "YES", "(External ID)", "") &amp; " " &amp; IF(SUMPRODUCT(-- ISNUMBER(SEARCH({"Unique","Unique Case Insensitive"}, $R138))) &gt; 0, "(" &amp; $R138 &amp; ")", ""))))</f>
        <v>na</v>
      </c>
      <c r="E138" s="7" t="s">
        <v>195</v>
      </c>
      <c r="F138" s="7" t="s">
        <v>195</v>
      </c>
      <c r="G138" s="7" t="s">
        <v>195</v>
      </c>
      <c r="H138" s="7" t="s">
        <v>195</v>
      </c>
      <c r="I138" s="7" t="s">
        <v>195</v>
      </c>
      <c r="J138" s="7" t="s">
        <v>195</v>
      </c>
      <c r="K138" s="7" t="s">
        <v>195</v>
      </c>
      <c r="L138" s="7" t="s">
        <v>195</v>
      </c>
      <c r="M138" s="7" t="s">
        <v>29</v>
      </c>
      <c r="N138" s="7" t="s">
        <v>29</v>
      </c>
      <c r="O138" s="7" t="s">
        <v>29</v>
      </c>
      <c r="P138" s="7" t="s">
        <v>29</v>
      </c>
      <c r="Q138" s="7" t="s">
        <v>29</v>
      </c>
      <c r="R138" s="7" t="s">
        <v>29</v>
      </c>
      <c r="S138" s="7" t="s">
        <v>29</v>
      </c>
    </row>
    <row r="139" spans="2:19">
      <c r="B139" s="7" t="s">
        <v>195</v>
      </c>
      <c r="C139" s="8" t="s">
        <v>195</v>
      </c>
      <c r="D139" s="6" t="str">
        <f>LRTRIM(CONCATENATE(IF(SUMPRODUCT(-- ISNUMBER(SEARCH({"Auto Number"}, $B139))) &gt; 0, $B139, IF(SUMPRODUCT(-- ISNUMBER(SEARCH({"Lookup","Master-Detail"}, $B139))) &gt; 0,$B139 &amp; "(" &amp; $E139 &amp; ")",IF(SUMPRODUCT(-- ISNUMBER(SEARCH({"Formula","Roll-Up Summary"}, $B139))) &gt; 0,$B139 &amp; " (" &amp; $E139 &amp; ")",IF(SUMPRODUCT(-- ISNUMBER(SEARCH({"Content","Currency","Number","Percent","Text","URL"}, $B139))) &gt; 0,$B139 &amp; "(" &amp; $C139 &amp; ")",$B139)))), "  ", TRIM(IF($S139 = "YES", "(External ID)", "") &amp; " " &amp; IF(SUMPRODUCT(-- ISNUMBER(SEARCH({"Unique","Unique Case Insensitive"}, $R139))) &gt; 0, "(" &amp; $R139 &amp; ")", ""))))</f>
        <v>na</v>
      </c>
      <c r="E139" s="7" t="s">
        <v>195</v>
      </c>
      <c r="F139" s="7" t="s">
        <v>195</v>
      </c>
      <c r="G139" s="7" t="s">
        <v>195</v>
      </c>
      <c r="H139" s="7" t="s">
        <v>195</v>
      </c>
      <c r="I139" s="7" t="s">
        <v>195</v>
      </c>
      <c r="J139" s="7" t="s">
        <v>195</v>
      </c>
      <c r="K139" s="7" t="s">
        <v>195</v>
      </c>
      <c r="L139" s="7" t="s">
        <v>195</v>
      </c>
      <c r="M139" s="7" t="s">
        <v>29</v>
      </c>
      <c r="N139" s="7" t="s">
        <v>29</v>
      </c>
      <c r="O139" s="7" t="s">
        <v>29</v>
      </c>
      <c r="P139" s="7" t="s">
        <v>29</v>
      </c>
      <c r="Q139" s="7" t="s">
        <v>29</v>
      </c>
      <c r="R139" s="7" t="s">
        <v>29</v>
      </c>
      <c r="S139" s="7" t="s">
        <v>29</v>
      </c>
    </row>
    <row r="140" spans="2:19">
      <c r="B140" s="7" t="s">
        <v>195</v>
      </c>
      <c r="C140" s="8" t="s">
        <v>195</v>
      </c>
      <c r="D140" s="6" t="str">
        <f>LRTRIM(CONCATENATE(IF(SUMPRODUCT(-- ISNUMBER(SEARCH({"Auto Number"}, $B140))) &gt; 0, $B140, IF(SUMPRODUCT(-- ISNUMBER(SEARCH({"Lookup","Master-Detail"}, $B140))) &gt; 0,$B140 &amp; "(" &amp; $E140 &amp; ")",IF(SUMPRODUCT(-- ISNUMBER(SEARCH({"Formula","Roll-Up Summary"}, $B140))) &gt; 0,$B140 &amp; " (" &amp; $E140 &amp; ")",IF(SUMPRODUCT(-- ISNUMBER(SEARCH({"Content","Currency","Number","Percent","Text","URL"}, $B140))) &gt; 0,$B140 &amp; "(" &amp; $C140 &amp; ")",$B140)))), "  ", TRIM(IF($S140 = "YES", "(External ID)", "") &amp; " " &amp; IF(SUMPRODUCT(-- ISNUMBER(SEARCH({"Unique","Unique Case Insensitive"}, $R140))) &gt; 0, "(" &amp; $R140 &amp; ")", ""))))</f>
        <v>na</v>
      </c>
      <c r="E140" s="7" t="s">
        <v>195</v>
      </c>
      <c r="F140" s="7" t="s">
        <v>195</v>
      </c>
      <c r="G140" s="7" t="s">
        <v>195</v>
      </c>
      <c r="H140" s="7" t="s">
        <v>195</v>
      </c>
      <c r="I140" s="7" t="s">
        <v>195</v>
      </c>
      <c r="J140" s="7" t="s">
        <v>195</v>
      </c>
      <c r="K140" s="7" t="s">
        <v>195</v>
      </c>
      <c r="L140" s="7" t="s">
        <v>195</v>
      </c>
      <c r="M140" s="7" t="s">
        <v>29</v>
      </c>
      <c r="N140" s="7" t="s">
        <v>29</v>
      </c>
      <c r="O140" s="7" t="s">
        <v>29</v>
      </c>
      <c r="P140" s="7" t="s">
        <v>29</v>
      </c>
      <c r="Q140" s="7" t="s">
        <v>29</v>
      </c>
      <c r="R140" s="7" t="s">
        <v>29</v>
      </c>
      <c r="S140" s="7" t="s">
        <v>29</v>
      </c>
    </row>
    <row r="141" spans="2:19">
      <c r="B141" s="7" t="s">
        <v>195</v>
      </c>
      <c r="C141" s="8" t="s">
        <v>195</v>
      </c>
      <c r="D141" s="6" t="str">
        <f>LRTRIM(CONCATENATE(IF(SUMPRODUCT(-- ISNUMBER(SEARCH({"Auto Number"}, $B141))) &gt; 0, $B141, IF(SUMPRODUCT(-- ISNUMBER(SEARCH({"Lookup","Master-Detail"}, $B141))) &gt; 0,$B141 &amp; "(" &amp; $E141 &amp; ")",IF(SUMPRODUCT(-- ISNUMBER(SEARCH({"Formula","Roll-Up Summary"}, $B141))) &gt; 0,$B141 &amp; " (" &amp; $E141 &amp; ")",IF(SUMPRODUCT(-- ISNUMBER(SEARCH({"Content","Currency","Number","Percent","Text","URL"}, $B141))) &gt; 0,$B141 &amp; "(" &amp; $C141 &amp; ")",$B141)))), "  ", TRIM(IF($S141 = "YES", "(External ID)", "") &amp; " " &amp; IF(SUMPRODUCT(-- ISNUMBER(SEARCH({"Unique","Unique Case Insensitive"}, $R141))) &gt; 0, "(" &amp; $R141 &amp; ")", ""))))</f>
        <v>na</v>
      </c>
      <c r="E141" s="7" t="s">
        <v>195</v>
      </c>
      <c r="F141" s="7" t="s">
        <v>195</v>
      </c>
      <c r="G141" s="7" t="s">
        <v>195</v>
      </c>
      <c r="H141" s="7" t="s">
        <v>195</v>
      </c>
      <c r="I141" s="7" t="s">
        <v>195</v>
      </c>
      <c r="J141" s="7" t="s">
        <v>195</v>
      </c>
      <c r="K141" s="7" t="s">
        <v>195</v>
      </c>
      <c r="L141" s="7" t="s">
        <v>195</v>
      </c>
      <c r="M141" s="7" t="s">
        <v>29</v>
      </c>
      <c r="N141" s="7" t="s">
        <v>29</v>
      </c>
      <c r="O141" s="7" t="s">
        <v>29</v>
      </c>
      <c r="P141" s="7" t="s">
        <v>29</v>
      </c>
      <c r="Q141" s="7" t="s">
        <v>29</v>
      </c>
      <c r="R141" s="7" t="s">
        <v>29</v>
      </c>
      <c r="S141" s="7" t="s">
        <v>29</v>
      </c>
    </row>
    <row r="142" spans="2:19">
      <c r="B142" s="7" t="s">
        <v>195</v>
      </c>
      <c r="C142" s="8" t="s">
        <v>195</v>
      </c>
      <c r="D142" s="6" t="str">
        <f>LRTRIM(CONCATENATE(IF(SUMPRODUCT(-- ISNUMBER(SEARCH({"Auto Number"}, $B142))) &gt; 0, $B142, IF(SUMPRODUCT(-- ISNUMBER(SEARCH({"Lookup","Master-Detail"}, $B142))) &gt; 0,$B142 &amp; "(" &amp; $E142 &amp; ")",IF(SUMPRODUCT(-- ISNUMBER(SEARCH({"Formula","Roll-Up Summary"}, $B142))) &gt; 0,$B142 &amp; " (" &amp; $E142 &amp; ")",IF(SUMPRODUCT(-- ISNUMBER(SEARCH({"Content","Currency","Number","Percent","Text","URL"}, $B142))) &gt; 0,$B142 &amp; "(" &amp; $C142 &amp; ")",$B142)))), "  ", TRIM(IF($S142 = "YES", "(External ID)", "") &amp; " " &amp; IF(SUMPRODUCT(-- ISNUMBER(SEARCH({"Unique","Unique Case Insensitive"}, $R142))) &gt; 0, "(" &amp; $R142 &amp; ")", ""))))</f>
        <v>na</v>
      </c>
      <c r="E142" s="7" t="s">
        <v>195</v>
      </c>
      <c r="F142" s="7" t="s">
        <v>195</v>
      </c>
      <c r="G142" s="7" t="s">
        <v>195</v>
      </c>
      <c r="H142" s="7" t="s">
        <v>195</v>
      </c>
      <c r="I142" s="7" t="s">
        <v>195</v>
      </c>
      <c r="J142" s="7" t="s">
        <v>195</v>
      </c>
      <c r="K142" s="7" t="s">
        <v>195</v>
      </c>
      <c r="L142" s="7" t="s">
        <v>195</v>
      </c>
      <c r="M142" s="7" t="s">
        <v>29</v>
      </c>
      <c r="N142" s="7" t="s">
        <v>29</v>
      </c>
      <c r="O142" s="7" t="s">
        <v>29</v>
      </c>
      <c r="P142" s="7" t="s">
        <v>29</v>
      </c>
      <c r="Q142" s="7" t="s">
        <v>29</v>
      </c>
      <c r="R142" s="7" t="s">
        <v>29</v>
      </c>
      <c r="S142" s="7" t="s">
        <v>29</v>
      </c>
    </row>
    <row r="143" spans="2:19">
      <c r="B143" s="7" t="s">
        <v>195</v>
      </c>
      <c r="C143" s="8" t="s">
        <v>195</v>
      </c>
      <c r="D143" s="6" t="str">
        <f>LRTRIM(CONCATENATE(IF(SUMPRODUCT(-- ISNUMBER(SEARCH({"Auto Number"}, $B143))) &gt; 0, $B143, IF(SUMPRODUCT(-- ISNUMBER(SEARCH({"Lookup","Master-Detail"}, $B143))) &gt; 0,$B143 &amp; "(" &amp; $E143 &amp; ")",IF(SUMPRODUCT(-- ISNUMBER(SEARCH({"Formula","Roll-Up Summary"}, $B143))) &gt; 0,$B143 &amp; " (" &amp; $E143 &amp; ")",IF(SUMPRODUCT(-- ISNUMBER(SEARCH({"Content","Currency","Number","Percent","Text","URL"}, $B143))) &gt; 0,$B143 &amp; "(" &amp; $C143 &amp; ")",$B143)))), "  ", TRIM(IF($S143 = "YES", "(External ID)", "") &amp; " " &amp; IF(SUMPRODUCT(-- ISNUMBER(SEARCH({"Unique","Unique Case Insensitive"}, $R143))) &gt; 0, "(" &amp; $R143 &amp; ")", ""))))</f>
        <v>na</v>
      </c>
      <c r="E143" s="7" t="s">
        <v>195</v>
      </c>
      <c r="F143" s="7" t="s">
        <v>195</v>
      </c>
      <c r="G143" s="7" t="s">
        <v>195</v>
      </c>
      <c r="H143" s="7" t="s">
        <v>195</v>
      </c>
      <c r="I143" s="7" t="s">
        <v>195</v>
      </c>
      <c r="J143" s="7" t="s">
        <v>195</v>
      </c>
      <c r="K143" s="7" t="s">
        <v>195</v>
      </c>
      <c r="L143" s="7" t="s">
        <v>195</v>
      </c>
      <c r="M143" s="7" t="s">
        <v>29</v>
      </c>
      <c r="N143" s="7" t="s">
        <v>29</v>
      </c>
      <c r="O143" s="7" t="s">
        <v>29</v>
      </c>
      <c r="P143" s="7" t="s">
        <v>29</v>
      </c>
      <c r="Q143" s="7" t="s">
        <v>29</v>
      </c>
      <c r="R143" s="7" t="s">
        <v>29</v>
      </c>
      <c r="S143" s="7" t="s">
        <v>29</v>
      </c>
    </row>
    <row r="144" spans="2:19">
      <c r="B144" s="7" t="s">
        <v>195</v>
      </c>
      <c r="C144" s="8" t="s">
        <v>195</v>
      </c>
      <c r="D144" s="6" t="str">
        <f>LRTRIM(CONCATENATE(IF(SUMPRODUCT(-- ISNUMBER(SEARCH({"Auto Number"}, $B144))) &gt; 0, $B144, IF(SUMPRODUCT(-- ISNUMBER(SEARCH({"Lookup","Master-Detail"}, $B144))) &gt; 0,$B144 &amp; "(" &amp; $E144 &amp; ")",IF(SUMPRODUCT(-- ISNUMBER(SEARCH({"Formula","Roll-Up Summary"}, $B144))) &gt; 0,$B144 &amp; " (" &amp; $E144 &amp; ")",IF(SUMPRODUCT(-- ISNUMBER(SEARCH({"Content","Currency","Number","Percent","Text","URL"}, $B144))) &gt; 0,$B144 &amp; "(" &amp; $C144 &amp; ")",$B144)))), "  ", TRIM(IF($S144 = "YES", "(External ID)", "") &amp; " " &amp; IF(SUMPRODUCT(-- ISNUMBER(SEARCH({"Unique","Unique Case Insensitive"}, $R144))) &gt; 0, "(" &amp; $R144 &amp; ")", ""))))</f>
        <v>na</v>
      </c>
      <c r="E144" s="7" t="s">
        <v>195</v>
      </c>
      <c r="F144" s="7" t="s">
        <v>195</v>
      </c>
      <c r="G144" s="7" t="s">
        <v>195</v>
      </c>
      <c r="H144" s="7" t="s">
        <v>195</v>
      </c>
      <c r="I144" s="7" t="s">
        <v>195</v>
      </c>
      <c r="J144" s="7" t="s">
        <v>195</v>
      </c>
      <c r="K144" s="7" t="s">
        <v>195</v>
      </c>
      <c r="L144" s="7" t="s">
        <v>195</v>
      </c>
      <c r="M144" s="7" t="s">
        <v>29</v>
      </c>
      <c r="N144" s="7" t="s">
        <v>29</v>
      </c>
      <c r="O144" s="7" t="s">
        <v>29</v>
      </c>
      <c r="P144" s="7" t="s">
        <v>29</v>
      </c>
      <c r="Q144" s="7" t="s">
        <v>29</v>
      </c>
      <c r="R144" s="7" t="s">
        <v>29</v>
      </c>
      <c r="S144" s="7" t="s">
        <v>29</v>
      </c>
    </row>
    <row r="145" spans="2:19">
      <c r="B145" s="7" t="s">
        <v>195</v>
      </c>
      <c r="C145" s="8" t="s">
        <v>195</v>
      </c>
      <c r="D145" s="6" t="str">
        <f>LRTRIM(CONCATENATE(IF(SUMPRODUCT(-- ISNUMBER(SEARCH({"Auto Number"}, $B145))) &gt; 0, $B145, IF(SUMPRODUCT(-- ISNUMBER(SEARCH({"Lookup","Master-Detail"}, $B145))) &gt; 0,$B145 &amp; "(" &amp; $E145 &amp; ")",IF(SUMPRODUCT(-- ISNUMBER(SEARCH({"Formula","Roll-Up Summary"}, $B145))) &gt; 0,$B145 &amp; " (" &amp; $E145 &amp; ")",IF(SUMPRODUCT(-- ISNUMBER(SEARCH({"Content","Currency","Number","Percent","Text","URL"}, $B145))) &gt; 0,$B145 &amp; "(" &amp; $C145 &amp; ")",$B145)))), "  ", TRIM(IF($S145 = "YES", "(External ID)", "") &amp; " " &amp; IF(SUMPRODUCT(-- ISNUMBER(SEARCH({"Unique","Unique Case Insensitive"}, $R145))) &gt; 0, "(" &amp; $R145 &amp; ")", ""))))</f>
        <v>na</v>
      </c>
      <c r="E145" s="7" t="s">
        <v>195</v>
      </c>
      <c r="F145" s="7" t="s">
        <v>195</v>
      </c>
      <c r="G145" s="7" t="s">
        <v>195</v>
      </c>
      <c r="H145" s="7" t="s">
        <v>195</v>
      </c>
      <c r="I145" s="7" t="s">
        <v>195</v>
      </c>
      <c r="J145" s="7" t="s">
        <v>195</v>
      </c>
      <c r="K145" s="7" t="s">
        <v>195</v>
      </c>
      <c r="L145" s="7" t="s">
        <v>195</v>
      </c>
      <c r="M145" s="7" t="s">
        <v>29</v>
      </c>
      <c r="N145" s="7" t="s">
        <v>29</v>
      </c>
      <c r="O145" s="7" t="s">
        <v>29</v>
      </c>
      <c r="P145" s="7" t="s">
        <v>29</v>
      </c>
      <c r="Q145" s="7" t="s">
        <v>29</v>
      </c>
      <c r="R145" s="7" t="s">
        <v>29</v>
      </c>
      <c r="S145" s="7" t="s">
        <v>29</v>
      </c>
    </row>
    <row r="146" spans="2:19">
      <c r="B146" s="7" t="s">
        <v>195</v>
      </c>
      <c r="C146" s="8" t="s">
        <v>195</v>
      </c>
      <c r="D146" s="6" t="str">
        <f>LRTRIM(CONCATENATE(IF(SUMPRODUCT(-- ISNUMBER(SEARCH({"Auto Number"}, $B146))) &gt; 0, $B146, IF(SUMPRODUCT(-- ISNUMBER(SEARCH({"Lookup","Master-Detail"}, $B146))) &gt; 0,$B146 &amp; "(" &amp; $E146 &amp; ")",IF(SUMPRODUCT(-- ISNUMBER(SEARCH({"Formula","Roll-Up Summary"}, $B146))) &gt; 0,$B146 &amp; " (" &amp; $E146 &amp; ")",IF(SUMPRODUCT(-- ISNUMBER(SEARCH({"Content","Currency","Number","Percent","Text","URL"}, $B146))) &gt; 0,$B146 &amp; "(" &amp; $C146 &amp; ")",$B146)))), "  ", TRIM(IF($S146 = "YES", "(External ID)", "") &amp; " " &amp; IF(SUMPRODUCT(-- ISNUMBER(SEARCH({"Unique","Unique Case Insensitive"}, $R146))) &gt; 0, "(" &amp; $R146 &amp; ")", ""))))</f>
        <v>na</v>
      </c>
      <c r="E146" s="7" t="s">
        <v>195</v>
      </c>
      <c r="F146" s="7" t="s">
        <v>195</v>
      </c>
      <c r="G146" s="7" t="s">
        <v>195</v>
      </c>
      <c r="H146" s="7" t="s">
        <v>195</v>
      </c>
      <c r="I146" s="7" t="s">
        <v>195</v>
      </c>
      <c r="J146" s="7" t="s">
        <v>195</v>
      </c>
      <c r="K146" s="7" t="s">
        <v>195</v>
      </c>
      <c r="L146" s="7" t="s">
        <v>195</v>
      </c>
      <c r="M146" s="7" t="s">
        <v>29</v>
      </c>
      <c r="N146" s="7" t="s">
        <v>29</v>
      </c>
      <c r="O146" s="7" t="s">
        <v>29</v>
      </c>
      <c r="P146" s="7" t="s">
        <v>29</v>
      </c>
      <c r="Q146" s="7" t="s">
        <v>29</v>
      </c>
      <c r="R146" s="7" t="s">
        <v>29</v>
      </c>
      <c r="S146" s="7" t="s">
        <v>29</v>
      </c>
    </row>
    <row r="147" spans="2:19">
      <c r="B147" s="7" t="s">
        <v>195</v>
      </c>
      <c r="C147" s="8" t="s">
        <v>195</v>
      </c>
      <c r="D147" s="6" t="str">
        <f>LRTRIM(CONCATENATE(IF(SUMPRODUCT(-- ISNUMBER(SEARCH({"Auto Number"}, $B147))) &gt; 0, $B147, IF(SUMPRODUCT(-- ISNUMBER(SEARCH({"Lookup","Master-Detail"}, $B147))) &gt; 0,$B147 &amp; "(" &amp; $E147 &amp; ")",IF(SUMPRODUCT(-- ISNUMBER(SEARCH({"Formula","Roll-Up Summary"}, $B147))) &gt; 0,$B147 &amp; " (" &amp; $E147 &amp; ")",IF(SUMPRODUCT(-- ISNUMBER(SEARCH({"Content","Currency","Number","Percent","Text","URL"}, $B147))) &gt; 0,$B147 &amp; "(" &amp; $C147 &amp; ")",$B147)))), "  ", TRIM(IF($S147 = "YES", "(External ID)", "") &amp; " " &amp; IF(SUMPRODUCT(-- ISNUMBER(SEARCH({"Unique","Unique Case Insensitive"}, $R147))) &gt; 0, "(" &amp; $R147 &amp; ")", ""))))</f>
        <v>na</v>
      </c>
      <c r="E147" s="7" t="s">
        <v>195</v>
      </c>
      <c r="F147" s="7" t="s">
        <v>195</v>
      </c>
      <c r="G147" s="7" t="s">
        <v>195</v>
      </c>
      <c r="H147" s="7" t="s">
        <v>195</v>
      </c>
      <c r="I147" s="7" t="s">
        <v>195</v>
      </c>
      <c r="J147" s="7" t="s">
        <v>195</v>
      </c>
      <c r="K147" s="7" t="s">
        <v>195</v>
      </c>
      <c r="L147" s="7" t="s">
        <v>195</v>
      </c>
      <c r="M147" s="7" t="s">
        <v>29</v>
      </c>
      <c r="N147" s="7" t="s">
        <v>29</v>
      </c>
      <c r="O147" s="7" t="s">
        <v>29</v>
      </c>
      <c r="P147" s="7" t="s">
        <v>29</v>
      </c>
      <c r="Q147" s="7" t="s">
        <v>29</v>
      </c>
      <c r="R147" s="7" t="s">
        <v>29</v>
      </c>
      <c r="S147" s="7" t="s">
        <v>29</v>
      </c>
    </row>
    <row r="148" spans="2:19">
      <c r="B148" s="7" t="s">
        <v>195</v>
      </c>
      <c r="C148" s="8" t="s">
        <v>195</v>
      </c>
      <c r="D148" s="6" t="str">
        <f>LRTRIM(CONCATENATE(IF(SUMPRODUCT(-- ISNUMBER(SEARCH({"Auto Number"}, $B148))) &gt; 0, $B148, IF(SUMPRODUCT(-- ISNUMBER(SEARCH({"Lookup","Master-Detail"}, $B148))) &gt; 0,$B148 &amp; "(" &amp; $E148 &amp; ")",IF(SUMPRODUCT(-- ISNUMBER(SEARCH({"Formula","Roll-Up Summary"}, $B148))) &gt; 0,$B148 &amp; " (" &amp; $E148 &amp; ")",IF(SUMPRODUCT(-- ISNUMBER(SEARCH({"Content","Currency","Number","Percent","Text","URL"}, $B148))) &gt; 0,$B148 &amp; "(" &amp; $C148 &amp; ")",$B148)))), "  ", TRIM(IF($S148 = "YES", "(External ID)", "") &amp; " " &amp; IF(SUMPRODUCT(-- ISNUMBER(SEARCH({"Unique","Unique Case Insensitive"}, $R148))) &gt; 0, "(" &amp; $R148 &amp; ")", ""))))</f>
        <v>na</v>
      </c>
      <c r="E148" s="7" t="s">
        <v>195</v>
      </c>
      <c r="F148" s="7" t="s">
        <v>195</v>
      </c>
      <c r="G148" s="7" t="s">
        <v>195</v>
      </c>
      <c r="H148" s="7" t="s">
        <v>195</v>
      </c>
      <c r="I148" s="7" t="s">
        <v>195</v>
      </c>
      <c r="J148" s="7" t="s">
        <v>195</v>
      </c>
      <c r="K148" s="7" t="s">
        <v>195</v>
      </c>
      <c r="L148" s="7" t="s">
        <v>195</v>
      </c>
      <c r="M148" s="7" t="s">
        <v>29</v>
      </c>
      <c r="N148" s="7" t="s">
        <v>29</v>
      </c>
      <c r="O148" s="7" t="s">
        <v>29</v>
      </c>
      <c r="P148" s="7" t="s">
        <v>29</v>
      </c>
      <c r="Q148" s="7" t="s">
        <v>29</v>
      </c>
      <c r="R148" s="7" t="s">
        <v>29</v>
      </c>
      <c r="S148" s="7" t="s">
        <v>29</v>
      </c>
    </row>
    <row r="149" spans="2:19">
      <c r="B149" s="7" t="s">
        <v>195</v>
      </c>
      <c r="C149" s="8" t="s">
        <v>195</v>
      </c>
      <c r="D149" s="6" t="str">
        <f>LRTRIM(CONCATENATE(IF(SUMPRODUCT(-- ISNUMBER(SEARCH({"Auto Number"}, $B149))) &gt; 0, $B149, IF(SUMPRODUCT(-- ISNUMBER(SEARCH({"Lookup","Master-Detail"}, $B149))) &gt; 0,$B149 &amp; "(" &amp; $E149 &amp; ")",IF(SUMPRODUCT(-- ISNUMBER(SEARCH({"Formula","Roll-Up Summary"}, $B149))) &gt; 0,$B149 &amp; " (" &amp; $E149 &amp; ")",IF(SUMPRODUCT(-- ISNUMBER(SEARCH({"Content","Currency","Number","Percent","Text","URL"}, $B149))) &gt; 0,$B149 &amp; "(" &amp; $C149 &amp; ")",$B149)))), "  ", TRIM(IF($S149 = "YES", "(External ID)", "") &amp; " " &amp; IF(SUMPRODUCT(-- ISNUMBER(SEARCH({"Unique","Unique Case Insensitive"}, $R149))) &gt; 0, "(" &amp; $R149 &amp; ")", ""))))</f>
        <v>na</v>
      </c>
      <c r="E149" s="7" t="s">
        <v>195</v>
      </c>
      <c r="F149" s="7" t="s">
        <v>195</v>
      </c>
      <c r="G149" s="7" t="s">
        <v>195</v>
      </c>
      <c r="H149" s="7" t="s">
        <v>195</v>
      </c>
      <c r="I149" s="7" t="s">
        <v>195</v>
      </c>
      <c r="J149" s="7" t="s">
        <v>195</v>
      </c>
      <c r="K149" s="7" t="s">
        <v>195</v>
      </c>
      <c r="L149" s="7" t="s">
        <v>195</v>
      </c>
      <c r="M149" s="7" t="s">
        <v>29</v>
      </c>
      <c r="N149" s="7" t="s">
        <v>29</v>
      </c>
      <c r="O149" s="7" t="s">
        <v>29</v>
      </c>
      <c r="P149" s="7" t="s">
        <v>29</v>
      </c>
      <c r="Q149" s="7" t="s">
        <v>29</v>
      </c>
      <c r="R149" s="7" t="s">
        <v>29</v>
      </c>
      <c r="S149" s="7" t="s">
        <v>29</v>
      </c>
    </row>
    <row r="150" spans="2:19">
      <c r="B150" s="7" t="s">
        <v>195</v>
      </c>
      <c r="C150" s="8" t="s">
        <v>195</v>
      </c>
      <c r="D150" s="6" t="str">
        <f>LRTRIM(CONCATENATE(IF(SUMPRODUCT(-- ISNUMBER(SEARCH({"Auto Number"}, $B150))) &gt; 0, $B150, IF(SUMPRODUCT(-- ISNUMBER(SEARCH({"Lookup","Master-Detail"}, $B150))) &gt; 0,$B150 &amp; "(" &amp; $E150 &amp; ")",IF(SUMPRODUCT(-- ISNUMBER(SEARCH({"Formula","Roll-Up Summary"}, $B150))) &gt; 0,$B150 &amp; " (" &amp; $E150 &amp; ")",IF(SUMPRODUCT(-- ISNUMBER(SEARCH({"Content","Currency","Number","Percent","Text","URL"}, $B150))) &gt; 0,$B150 &amp; "(" &amp; $C150 &amp; ")",$B150)))), "  ", TRIM(IF($S150 = "YES", "(External ID)", "") &amp; " " &amp; IF(SUMPRODUCT(-- ISNUMBER(SEARCH({"Unique","Unique Case Insensitive"}, $R150))) &gt; 0, "(" &amp; $R150 &amp; ")", ""))))</f>
        <v>na</v>
      </c>
      <c r="E150" s="7" t="s">
        <v>195</v>
      </c>
      <c r="F150" s="7" t="s">
        <v>195</v>
      </c>
      <c r="G150" s="7" t="s">
        <v>195</v>
      </c>
      <c r="H150" s="7" t="s">
        <v>195</v>
      </c>
      <c r="I150" s="7" t="s">
        <v>195</v>
      </c>
      <c r="J150" s="7" t="s">
        <v>195</v>
      </c>
      <c r="K150" s="7" t="s">
        <v>195</v>
      </c>
      <c r="L150" s="7" t="s">
        <v>195</v>
      </c>
      <c r="M150" s="7" t="s">
        <v>29</v>
      </c>
      <c r="N150" s="7" t="s">
        <v>29</v>
      </c>
      <c r="O150" s="7" t="s">
        <v>29</v>
      </c>
      <c r="P150" s="7" t="s">
        <v>29</v>
      </c>
      <c r="Q150" s="7" t="s">
        <v>29</v>
      </c>
      <c r="R150" s="7" t="s">
        <v>29</v>
      </c>
      <c r="S150" s="7" t="s">
        <v>29</v>
      </c>
    </row>
    <row r="151" spans="2:19">
      <c r="B151" s="7" t="s">
        <v>195</v>
      </c>
      <c r="C151" s="8" t="s">
        <v>195</v>
      </c>
      <c r="D151" s="6" t="str">
        <f>LRTRIM(CONCATENATE(IF(SUMPRODUCT(-- ISNUMBER(SEARCH({"Auto Number"}, $B151))) &gt; 0, $B151, IF(SUMPRODUCT(-- ISNUMBER(SEARCH({"Lookup","Master-Detail"}, $B151))) &gt; 0,$B151 &amp; "(" &amp; $E151 &amp; ")",IF(SUMPRODUCT(-- ISNUMBER(SEARCH({"Formula","Roll-Up Summary"}, $B151))) &gt; 0,$B151 &amp; " (" &amp; $E151 &amp; ")",IF(SUMPRODUCT(-- ISNUMBER(SEARCH({"Content","Currency","Number","Percent","Text","URL"}, $B151))) &gt; 0,$B151 &amp; "(" &amp; $C151 &amp; ")",$B151)))), "  ", TRIM(IF($S151 = "YES", "(External ID)", "") &amp; " " &amp; IF(SUMPRODUCT(-- ISNUMBER(SEARCH({"Unique","Unique Case Insensitive"}, $R151))) &gt; 0, "(" &amp; $R151 &amp; ")", ""))))</f>
        <v>na</v>
      </c>
      <c r="E151" s="7" t="s">
        <v>195</v>
      </c>
      <c r="F151" s="7" t="s">
        <v>195</v>
      </c>
      <c r="G151" s="7" t="s">
        <v>195</v>
      </c>
      <c r="H151" s="7" t="s">
        <v>195</v>
      </c>
      <c r="I151" s="7" t="s">
        <v>195</v>
      </c>
      <c r="J151" s="7" t="s">
        <v>195</v>
      </c>
      <c r="K151" s="7" t="s">
        <v>195</v>
      </c>
      <c r="L151" s="7" t="s">
        <v>195</v>
      </c>
      <c r="M151" s="7" t="s">
        <v>29</v>
      </c>
      <c r="N151" s="7" t="s">
        <v>29</v>
      </c>
      <c r="O151" s="7" t="s">
        <v>29</v>
      </c>
      <c r="P151" s="7" t="s">
        <v>29</v>
      </c>
      <c r="Q151" s="7" t="s">
        <v>29</v>
      </c>
      <c r="R151" s="7" t="s">
        <v>29</v>
      </c>
      <c r="S151" s="7" t="s">
        <v>29</v>
      </c>
    </row>
    <row r="152" spans="2:19">
      <c r="B152" s="7" t="s">
        <v>195</v>
      </c>
      <c r="C152" s="8" t="s">
        <v>195</v>
      </c>
      <c r="D152" s="6" t="str">
        <f>LRTRIM(CONCATENATE(IF(SUMPRODUCT(-- ISNUMBER(SEARCH({"Auto Number"}, $B152))) &gt; 0, $B152, IF(SUMPRODUCT(-- ISNUMBER(SEARCH({"Lookup","Master-Detail"}, $B152))) &gt; 0,$B152 &amp; "(" &amp; $E152 &amp; ")",IF(SUMPRODUCT(-- ISNUMBER(SEARCH({"Formula","Roll-Up Summary"}, $B152))) &gt; 0,$B152 &amp; " (" &amp; $E152 &amp; ")",IF(SUMPRODUCT(-- ISNUMBER(SEARCH({"Content","Currency","Number","Percent","Text","URL"}, $B152))) &gt; 0,$B152 &amp; "(" &amp; $C152 &amp; ")",$B152)))), "  ", TRIM(IF($S152 = "YES", "(External ID)", "") &amp; " " &amp; IF(SUMPRODUCT(-- ISNUMBER(SEARCH({"Unique","Unique Case Insensitive"}, $R152))) &gt; 0, "(" &amp; $R152 &amp; ")", ""))))</f>
        <v>na</v>
      </c>
      <c r="E152" s="7" t="s">
        <v>195</v>
      </c>
      <c r="F152" s="7" t="s">
        <v>195</v>
      </c>
      <c r="G152" s="7" t="s">
        <v>195</v>
      </c>
      <c r="H152" s="7" t="s">
        <v>195</v>
      </c>
      <c r="I152" s="7" t="s">
        <v>195</v>
      </c>
      <c r="J152" s="7" t="s">
        <v>195</v>
      </c>
      <c r="K152" s="7" t="s">
        <v>195</v>
      </c>
      <c r="L152" s="7" t="s">
        <v>195</v>
      </c>
      <c r="M152" s="7" t="s">
        <v>29</v>
      </c>
      <c r="N152" s="7" t="s">
        <v>29</v>
      </c>
      <c r="O152" s="7" t="s">
        <v>29</v>
      </c>
      <c r="P152" s="7" t="s">
        <v>29</v>
      </c>
      <c r="Q152" s="7" t="s">
        <v>29</v>
      </c>
      <c r="R152" s="7" t="s">
        <v>29</v>
      </c>
      <c r="S152" s="7" t="s">
        <v>29</v>
      </c>
    </row>
    <row r="153" spans="2:19">
      <c r="B153" s="7" t="s">
        <v>195</v>
      </c>
      <c r="C153" s="8" t="s">
        <v>195</v>
      </c>
      <c r="D153" s="6" t="str">
        <f>LRTRIM(CONCATENATE(IF(SUMPRODUCT(-- ISNUMBER(SEARCH({"Auto Number"}, $B153))) &gt; 0, $B153, IF(SUMPRODUCT(-- ISNUMBER(SEARCH({"Lookup","Master-Detail"}, $B153))) &gt; 0,$B153 &amp; "(" &amp; $E153 &amp; ")",IF(SUMPRODUCT(-- ISNUMBER(SEARCH({"Formula","Roll-Up Summary"}, $B153))) &gt; 0,$B153 &amp; " (" &amp; $E153 &amp; ")",IF(SUMPRODUCT(-- ISNUMBER(SEARCH({"Content","Currency","Number","Percent","Text","URL"}, $B153))) &gt; 0,$B153 &amp; "(" &amp; $C153 &amp; ")",$B153)))), "  ", TRIM(IF($S153 = "YES", "(External ID)", "") &amp; " " &amp; IF(SUMPRODUCT(-- ISNUMBER(SEARCH({"Unique","Unique Case Insensitive"}, $R153))) &gt; 0, "(" &amp; $R153 &amp; ")", ""))))</f>
        <v>na</v>
      </c>
      <c r="E153" s="7" t="s">
        <v>195</v>
      </c>
      <c r="F153" s="7" t="s">
        <v>195</v>
      </c>
      <c r="G153" s="7" t="s">
        <v>195</v>
      </c>
      <c r="H153" s="7" t="s">
        <v>195</v>
      </c>
      <c r="I153" s="7" t="s">
        <v>195</v>
      </c>
      <c r="J153" s="7" t="s">
        <v>195</v>
      </c>
      <c r="K153" s="7" t="s">
        <v>195</v>
      </c>
      <c r="L153" s="7" t="s">
        <v>195</v>
      </c>
      <c r="M153" s="7" t="s">
        <v>29</v>
      </c>
      <c r="N153" s="7" t="s">
        <v>29</v>
      </c>
      <c r="O153" s="7" t="s">
        <v>29</v>
      </c>
      <c r="P153" s="7" t="s">
        <v>29</v>
      </c>
      <c r="Q153" s="7" t="s">
        <v>29</v>
      </c>
      <c r="R153" s="7" t="s">
        <v>29</v>
      </c>
      <c r="S153" s="7" t="s">
        <v>29</v>
      </c>
    </row>
    <row r="154" spans="2:19">
      <c r="B154" s="7" t="s">
        <v>195</v>
      </c>
      <c r="C154" s="8" t="s">
        <v>195</v>
      </c>
      <c r="D154" s="6" t="str">
        <f>LRTRIM(CONCATENATE(IF(SUMPRODUCT(-- ISNUMBER(SEARCH({"Auto Number"}, $B154))) &gt; 0, $B154, IF(SUMPRODUCT(-- ISNUMBER(SEARCH({"Lookup","Master-Detail"}, $B154))) &gt; 0,$B154 &amp; "(" &amp; $E154 &amp; ")",IF(SUMPRODUCT(-- ISNUMBER(SEARCH({"Formula","Roll-Up Summary"}, $B154))) &gt; 0,$B154 &amp; " (" &amp; $E154 &amp; ")",IF(SUMPRODUCT(-- ISNUMBER(SEARCH({"Content","Currency","Number","Percent","Text","URL"}, $B154))) &gt; 0,$B154 &amp; "(" &amp; $C154 &amp; ")",$B154)))), "  ", TRIM(IF($S154 = "YES", "(External ID)", "") &amp; " " &amp; IF(SUMPRODUCT(-- ISNUMBER(SEARCH({"Unique","Unique Case Insensitive"}, $R154))) &gt; 0, "(" &amp; $R154 &amp; ")", ""))))</f>
        <v>na</v>
      </c>
      <c r="E154" s="7" t="s">
        <v>195</v>
      </c>
      <c r="F154" s="7" t="s">
        <v>195</v>
      </c>
      <c r="G154" s="7" t="s">
        <v>195</v>
      </c>
      <c r="H154" s="7" t="s">
        <v>195</v>
      </c>
      <c r="I154" s="7" t="s">
        <v>195</v>
      </c>
      <c r="J154" s="7" t="s">
        <v>195</v>
      </c>
      <c r="K154" s="7" t="s">
        <v>195</v>
      </c>
      <c r="L154" s="7" t="s">
        <v>195</v>
      </c>
      <c r="M154" s="7" t="s">
        <v>29</v>
      </c>
      <c r="N154" s="7" t="s">
        <v>29</v>
      </c>
      <c r="O154" s="7" t="s">
        <v>29</v>
      </c>
      <c r="P154" s="7" t="s">
        <v>29</v>
      </c>
      <c r="Q154" s="7" t="s">
        <v>29</v>
      </c>
      <c r="R154" s="7" t="s">
        <v>29</v>
      </c>
      <c r="S154" s="7" t="s">
        <v>29</v>
      </c>
    </row>
    <row r="155" spans="2:19">
      <c r="B155" s="7" t="s">
        <v>195</v>
      </c>
      <c r="C155" s="8" t="s">
        <v>195</v>
      </c>
      <c r="D155" s="6" t="str">
        <f>LRTRIM(CONCATENATE(IF(SUMPRODUCT(-- ISNUMBER(SEARCH({"Auto Number"}, $B155))) &gt; 0, $B155, IF(SUMPRODUCT(-- ISNUMBER(SEARCH({"Lookup","Master-Detail"}, $B155))) &gt; 0,$B155 &amp; "(" &amp; $E155 &amp; ")",IF(SUMPRODUCT(-- ISNUMBER(SEARCH({"Formula","Roll-Up Summary"}, $B155))) &gt; 0,$B155 &amp; " (" &amp; $E155 &amp; ")",IF(SUMPRODUCT(-- ISNUMBER(SEARCH({"Content","Currency","Number","Percent","Text","URL"}, $B155))) &gt; 0,$B155 &amp; "(" &amp; $C155 &amp; ")",$B155)))), "  ", TRIM(IF($S155 = "YES", "(External ID)", "") &amp; " " &amp; IF(SUMPRODUCT(-- ISNUMBER(SEARCH({"Unique","Unique Case Insensitive"}, $R155))) &gt; 0, "(" &amp; $R155 &amp; ")", ""))))</f>
        <v>na</v>
      </c>
      <c r="E155" s="7" t="s">
        <v>195</v>
      </c>
      <c r="F155" s="7" t="s">
        <v>195</v>
      </c>
      <c r="G155" s="7" t="s">
        <v>195</v>
      </c>
      <c r="H155" s="7" t="s">
        <v>195</v>
      </c>
      <c r="I155" s="7" t="s">
        <v>195</v>
      </c>
      <c r="J155" s="7" t="s">
        <v>195</v>
      </c>
      <c r="K155" s="7" t="s">
        <v>195</v>
      </c>
      <c r="L155" s="7" t="s">
        <v>195</v>
      </c>
      <c r="M155" s="7" t="s">
        <v>29</v>
      </c>
      <c r="N155" s="7" t="s">
        <v>29</v>
      </c>
      <c r="O155" s="7" t="s">
        <v>29</v>
      </c>
      <c r="P155" s="7" t="s">
        <v>29</v>
      </c>
      <c r="Q155" s="7" t="s">
        <v>29</v>
      </c>
      <c r="R155" s="7" t="s">
        <v>29</v>
      </c>
      <c r="S155" s="7" t="s">
        <v>29</v>
      </c>
    </row>
    <row r="156" spans="2:19">
      <c r="B156" s="7" t="s">
        <v>195</v>
      </c>
      <c r="C156" s="8" t="s">
        <v>195</v>
      </c>
      <c r="D156" s="6" t="str">
        <f>LRTRIM(CONCATENATE(IF(SUMPRODUCT(-- ISNUMBER(SEARCH({"Auto Number"}, $B156))) &gt; 0, $B156, IF(SUMPRODUCT(-- ISNUMBER(SEARCH({"Lookup","Master-Detail"}, $B156))) &gt; 0,$B156 &amp; "(" &amp; $E156 &amp; ")",IF(SUMPRODUCT(-- ISNUMBER(SEARCH({"Formula","Roll-Up Summary"}, $B156))) &gt; 0,$B156 &amp; " (" &amp; $E156 &amp; ")",IF(SUMPRODUCT(-- ISNUMBER(SEARCH({"Content","Currency","Number","Percent","Text","URL"}, $B156))) &gt; 0,$B156 &amp; "(" &amp; $C156 &amp; ")",$B156)))), "  ", TRIM(IF($S156 = "YES", "(External ID)", "") &amp; " " &amp; IF(SUMPRODUCT(-- ISNUMBER(SEARCH({"Unique","Unique Case Insensitive"}, $R156))) &gt; 0, "(" &amp; $R156 &amp; ")", ""))))</f>
        <v>na</v>
      </c>
      <c r="E156" s="7" t="s">
        <v>195</v>
      </c>
      <c r="F156" s="7" t="s">
        <v>195</v>
      </c>
      <c r="G156" s="7" t="s">
        <v>195</v>
      </c>
      <c r="H156" s="7" t="s">
        <v>195</v>
      </c>
      <c r="I156" s="7" t="s">
        <v>195</v>
      </c>
      <c r="J156" s="7" t="s">
        <v>195</v>
      </c>
      <c r="K156" s="7" t="s">
        <v>195</v>
      </c>
      <c r="L156" s="7" t="s">
        <v>195</v>
      </c>
      <c r="M156" s="7" t="s">
        <v>29</v>
      </c>
      <c r="N156" s="7" t="s">
        <v>29</v>
      </c>
      <c r="O156" s="7" t="s">
        <v>29</v>
      </c>
      <c r="P156" s="7" t="s">
        <v>29</v>
      </c>
      <c r="Q156" s="7" t="s">
        <v>29</v>
      </c>
      <c r="R156" s="7" t="s">
        <v>29</v>
      </c>
      <c r="S156" s="7" t="s">
        <v>29</v>
      </c>
    </row>
    <row r="157" spans="2:19">
      <c r="B157" s="7" t="s">
        <v>195</v>
      </c>
      <c r="C157" s="8" t="s">
        <v>195</v>
      </c>
      <c r="D157" s="6" t="str">
        <f>LRTRIM(CONCATENATE(IF(SUMPRODUCT(-- ISNUMBER(SEARCH({"Auto Number"}, $B157))) &gt; 0, $B157, IF(SUMPRODUCT(-- ISNUMBER(SEARCH({"Lookup","Master-Detail"}, $B157))) &gt; 0,$B157 &amp; "(" &amp; $E157 &amp; ")",IF(SUMPRODUCT(-- ISNUMBER(SEARCH({"Formula","Roll-Up Summary"}, $B157))) &gt; 0,$B157 &amp; " (" &amp; $E157 &amp; ")",IF(SUMPRODUCT(-- ISNUMBER(SEARCH({"Content","Currency","Number","Percent","Text","URL"}, $B157))) &gt; 0,$B157 &amp; "(" &amp; $C157 &amp; ")",$B157)))), "  ", TRIM(IF($S157 = "YES", "(External ID)", "") &amp; " " &amp; IF(SUMPRODUCT(-- ISNUMBER(SEARCH({"Unique","Unique Case Insensitive"}, $R157))) &gt; 0, "(" &amp; $R157 &amp; ")", ""))))</f>
        <v>na</v>
      </c>
      <c r="E157" s="7" t="s">
        <v>195</v>
      </c>
      <c r="F157" s="7" t="s">
        <v>195</v>
      </c>
      <c r="G157" s="7" t="s">
        <v>195</v>
      </c>
      <c r="H157" s="7" t="s">
        <v>195</v>
      </c>
      <c r="I157" s="7" t="s">
        <v>195</v>
      </c>
      <c r="J157" s="7" t="s">
        <v>195</v>
      </c>
      <c r="K157" s="7" t="s">
        <v>195</v>
      </c>
      <c r="L157" s="7" t="s">
        <v>195</v>
      </c>
      <c r="M157" s="7" t="s">
        <v>29</v>
      </c>
      <c r="N157" s="7" t="s">
        <v>29</v>
      </c>
      <c r="O157" s="7" t="s">
        <v>29</v>
      </c>
      <c r="P157" s="7" t="s">
        <v>29</v>
      </c>
      <c r="Q157" s="7" t="s">
        <v>29</v>
      </c>
      <c r="R157" s="7" t="s">
        <v>29</v>
      </c>
      <c r="S157" s="7" t="s">
        <v>29</v>
      </c>
    </row>
    <row r="158" spans="2:19">
      <c r="B158" s="7" t="s">
        <v>195</v>
      </c>
      <c r="C158" s="8" t="s">
        <v>195</v>
      </c>
      <c r="D158" s="6" t="str">
        <f>LRTRIM(CONCATENATE(IF(SUMPRODUCT(-- ISNUMBER(SEARCH({"Auto Number"}, $B158))) &gt; 0, $B158, IF(SUMPRODUCT(-- ISNUMBER(SEARCH({"Lookup","Master-Detail"}, $B158))) &gt; 0,$B158 &amp; "(" &amp; $E158 &amp; ")",IF(SUMPRODUCT(-- ISNUMBER(SEARCH({"Formula","Roll-Up Summary"}, $B158))) &gt; 0,$B158 &amp; " (" &amp; $E158 &amp; ")",IF(SUMPRODUCT(-- ISNUMBER(SEARCH({"Content","Currency","Number","Percent","Text","URL"}, $B158))) &gt; 0,$B158 &amp; "(" &amp; $C158 &amp; ")",$B158)))), "  ", TRIM(IF($S158 = "YES", "(External ID)", "") &amp; " " &amp; IF(SUMPRODUCT(-- ISNUMBER(SEARCH({"Unique","Unique Case Insensitive"}, $R158))) &gt; 0, "(" &amp; $R158 &amp; ")", ""))))</f>
        <v>na</v>
      </c>
      <c r="E158" s="7" t="s">
        <v>195</v>
      </c>
      <c r="F158" s="7" t="s">
        <v>195</v>
      </c>
      <c r="G158" s="7" t="s">
        <v>195</v>
      </c>
      <c r="H158" s="7" t="s">
        <v>195</v>
      </c>
      <c r="I158" s="7" t="s">
        <v>195</v>
      </c>
      <c r="J158" s="7" t="s">
        <v>195</v>
      </c>
      <c r="K158" s="7" t="s">
        <v>195</v>
      </c>
      <c r="L158" s="7" t="s">
        <v>195</v>
      </c>
      <c r="M158" s="7" t="s">
        <v>29</v>
      </c>
      <c r="N158" s="7" t="s">
        <v>29</v>
      </c>
      <c r="O158" s="7" t="s">
        <v>29</v>
      </c>
      <c r="P158" s="7" t="s">
        <v>29</v>
      </c>
      <c r="Q158" s="7" t="s">
        <v>29</v>
      </c>
      <c r="R158" s="7" t="s">
        <v>29</v>
      </c>
      <c r="S158" s="7" t="s">
        <v>29</v>
      </c>
    </row>
    <row r="159" spans="2:19">
      <c r="B159" s="7" t="s">
        <v>195</v>
      </c>
      <c r="C159" s="8" t="s">
        <v>195</v>
      </c>
      <c r="D159" s="6" t="str">
        <f>LRTRIM(CONCATENATE(IF(SUMPRODUCT(-- ISNUMBER(SEARCH({"Auto Number"}, $B159))) &gt; 0, $B159, IF(SUMPRODUCT(-- ISNUMBER(SEARCH({"Lookup","Master-Detail"}, $B159))) &gt; 0,$B159 &amp; "(" &amp; $E159 &amp; ")",IF(SUMPRODUCT(-- ISNUMBER(SEARCH({"Formula","Roll-Up Summary"}, $B159))) &gt; 0,$B159 &amp; " (" &amp; $E159 &amp; ")",IF(SUMPRODUCT(-- ISNUMBER(SEARCH({"Content","Currency","Number","Percent","Text","URL"}, $B159))) &gt; 0,$B159 &amp; "(" &amp; $C159 &amp; ")",$B159)))), "  ", TRIM(IF($S159 = "YES", "(External ID)", "") &amp; " " &amp; IF(SUMPRODUCT(-- ISNUMBER(SEARCH({"Unique","Unique Case Insensitive"}, $R159))) &gt; 0, "(" &amp; $R159 &amp; ")", ""))))</f>
        <v>na</v>
      </c>
      <c r="E159" s="7" t="s">
        <v>195</v>
      </c>
      <c r="F159" s="7" t="s">
        <v>195</v>
      </c>
      <c r="G159" s="7" t="s">
        <v>195</v>
      </c>
      <c r="H159" s="7" t="s">
        <v>195</v>
      </c>
      <c r="I159" s="7" t="s">
        <v>195</v>
      </c>
      <c r="J159" s="7" t="s">
        <v>195</v>
      </c>
      <c r="K159" s="7" t="s">
        <v>195</v>
      </c>
      <c r="L159" s="7" t="s">
        <v>195</v>
      </c>
      <c r="M159" s="7" t="s">
        <v>29</v>
      </c>
      <c r="N159" s="7" t="s">
        <v>29</v>
      </c>
      <c r="O159" s="7" t="s">
        <v>29</v>
      </c>
      <c r="P159" s="7" t="s">
        <v>29</v>
      </c>
      <c r="Q159" s="7" t="s">
        <v>29</v>
      </c>
      <c r="R159" s="7" t="s">
        <v>29</v>
      </c>
      <c r="S159" s="7" t="s">
        <v>29</v>
      </c>
    </row>
    <row r="160" spans="2:19">
      <c r="B160" s="7" t="s">
        <v>195</v>
      </c>
      <c r="C160" s="8" t="s">
        <v>195</v>
      </c>
      <c r="D160" s="6" t="str">
        <f>LRTRIM(CONCATENATE(IF(SUMPRODUCT(-- ISNUMBER(SEARCH({"Auto Number"}, $B160))) &gt; 0, $B160, IF(SUMPRODUCT(-- ISNUMBER(SEARCH({"Lookup","Master-Detail"}, $B160))) &gt; 0,$B160 &amp; "(" &amp; $E160 &amp; ")",IF(SUMPRODUCT(-- ISNUMBER(SEARCH({"Formula","Roll-Up Summary"}, $B160))) &gt; 0,$B160 &amp; " (" &amp; $E160 &amp; ")",IF(SUMPRODUCT(-- ISNUMBER(SEARCH({"Content","Currency","Number","Percent","Text","URL"}, $B160))) &gt; 0,$B160 &amp; "(" &amp; $C160 &amp; ")",$B160)))), "  ", TRIM(IF($S160 = "YES", "(External ID)", "") &amp; " " &amp; IF(SUMPRODUCT(-- ISNUMBER(SEARCH({"Unique","Unique Case Insensitive"}, $R160))) &gt; 0, "(" &amp; $R160 &amp; ")", ""))))</f>
        <v>na</v>
      </c>
      <c r="E160" s="7" t="s">
        <v>195</v>
      </c>
      <c r="F160" s="7" t="s">
        <v>195</v>
      </c>
      <c r="G160" s="7" t="s">
        <v>195</v>
      </c>
      <c r="H160" s="7" t="s">
        <v>195</v>
      </c>
      <c r="I160" s="7" t="s">
        <v>195</v>
      </c>
      <c r="J160" s="7" t="s">
        <v>195</v>
      </c>
      <c r="K160" s="7" t="s">
        <v>195</v>
      </c>
      <c r="L160" s="7" t="s">
        <v>195</v>
      </c>
      <c r="M160" s="7" t="s">
        <v>29</v>
      </c>
      <c r="N160" s="7" t="s">
        <v>29</v>
      </c>
      <c r="O160" s="7" t="s">
        <v>29</v>
      </c>
      <c r="P160" s="7" t="s">
        <v>29</v>
      </c>
      <c r="Q160" s="7" t="s">
        <v>29</v>
      </c>
      <c r="R160" s="7" t="s">
        <v>29</v>
      </c>
      <c r="S160" s="7" t="s">
        <v>29</v>
      </c>
    </row>
    <row r="161" spans="2:19">
      <c r="B161" s="7" t="s">
        <v>195</v>
      </c>
      <c r="C161" s="8" t="s">
        <v>195</v>
      </c>
      <c r="D161" s="6" t="str">
        <f>LRTRIM(CONCATENATE(IF(SUMPRODUCT(-- ISNUMBER(SEARCH({"Auto Number"}, $B161))) &gt; 0, $B161, IF(SUMPRODUCT(-- ISNUMBER(SEARCH({"Lookup","Master-Detail"}, $B161))) &gt; 0,$B161 &amp; "(" &amp; $E161 &amp; ")",IF(SUMPRODUCT(-- ISNUMBER(SEARCH({"Formula","Roll-Up Summary"}, $B161))) &gt; 0,$B161 &amp; " (" &amp; $E161 &amp; ")",IF(SUMPRODUCT(-- ISNUMBER(SEARCH({"Content","Currency","Number","Percent","Text","URL"}, $B161))) &gt; 0,$B161 &amp; "(" &amp; $C161 &amp; ")",$B161)))), "  ", TRIM(IF($S161 = "YES", "(External ID)", "") &amp; " " &amp; IF(SUMPRODUCT(-- ISNUMBER(SEARCH({"Unique","Unique Case Insensitive"}, $R161))) &gt; 0, "(" &amp; $R161 &amp; ")", ""))))</f>
        <v>na</v>
      </c>
      <c r="E161" s="7" t="s">
        <v>195</v>
      </c>
      <c r="F161" s="7" t="s">
        <v>195</v>
      </c>
      <c r="G161" s="7" t="s">
        <v>195</v>
      </c>
      <c r="H161" s="7" t="s">
        <v>195</v>
      </c>
      <c r="I161" s="7" t="s">
        <v>195</v>
      </c>
      <c r="J161" s="7" t="s">
        <v>195</v>
      </c>
      <c r="K161" s="7" t="s">
        <v>195</v>
      </c>
      <c r="L161" s="7" t="s">
        <v>195</v>
      </c>
      <c r="M161" s="7" t="s">
        <v>29</v>
      </c>
      <c r="N161" s="7" t="s">
        <v>29</v>
      </c>
      <c r="O161" s="7" t="s">
        <v>29</v>
      </c>
      <c r="P161" s="7" t="s">
        <v>29</v>
      </c>
      <c r="Q161" s="7" t="s">
        <v>29</v>
      </c>
      <c r="R161" s="7" t="s">
        <v>29</v>
      </c>
      <c r="S161" s="7" t="s">
        <v>29</v>
      </c>
    </row>
    <row r="162" spans="2:19">
      <c r="B162" s="7" t="s">
        <v>195</v>
      </c>
      <c r="C162" s="8" t="s">
        <v>195</v>
      </c>
      <c r="D162" s="6" t="str">
        <f>LRTRIM(CONCATENATE(IF(SUMPRODUCT(-- ISNUMBER(SEARCH({"Auto Number"}, $B162))) &gt; 0, $B162, IF(SUMPRODUCT(-- ISNUMBER(SEARCH({"Lookup","Master-Detail"}, $B162))) &gt; 0,$B162 &amp; "(" &amp; $E162 &amp; ")",IF(SUMPRODUCT(-- ISNUMBER(SEARCH({"Formula","Roll-Up Summary"}, $B162))) &gt; 0,$B162 &amp; " (" &amp; $E162 &amp; ")",IF(SUMPRODUCT(-- ISNUMBER(SEARCH({"Content","Currency","Number","Percent","Text","URL"}, $B162))) &gt; 0,$B162 &amp; "(" &amp; $C162 &amp; ")",$B162)))), "  ", TRIM(IF($S162 = "YES", "(External ID)", "") &amp; " " &amp; IF(SUMPRODUCT(-- ISNUMBER(SEARCH({"Unique","Unique Case Insensitive"}, $R162))) &gt; 0, "(" &amp; $R162 &amp; ")", ""))))</f>
        <v>na</v>
      </c>
      <c r="E162" s="7" t="s">
        <v>195</v>
      </c>
      <c r="F162" s="7" t="s">
        <v>195</v>
      </c>
      <c r="G162" s="7" t="s">
        <v>195</v>
      </c>
      <c r="H162" s="7" t="s">
        <v>195</v>
      </c>
      <c r="I162" s="7" t="s">
        <v>195</v>
      </c>
      <c r="J162" s="7" t="s">
        <v>195</v>
      </c>
      <c r="K162" s="7" t="s">
        <v>195</v>
      </c>
      <c r="L162" s="7" t="s">
        <v>195</v>
      </c>
      <c r="M162" s="7" t="s">
        <v>29</v>
      </c>
      <c r="N162" s="7" t="s">
        <v>29</v>
      </c>
      <c r="O162" s="7" t="s">
        <v>29</v>
      </c>
      <c r="P162" s="7" t="s">
        <v>29</v>
      </c>
      <c r="Q162" s="7" t="s">
        <v>29</v>
      </c>
      <c r="R162" s="7" t="s">
        <v>29</v>
      </c>
      <c r="S162" s="7" t="s">
        <v>29</v>
      </c>
    </row>
    <row r="163" spans="2:19">
      <c r="B163" s="7" t="s">
        <v>195</v>
      </c>
      <c r="C163" s="8" t="s">
        <v>195</v>
      </c>
      <c r="D163" s="6" t="str">
        <f>LRTRIM(CONCATENATE(IF(SUMPRODUCT(-- ISNUMBER(SEARCH({"Auto Number"}, $B163))) &gt; 0, $B163, IF(SUMPRODUCT(-- ISNUMBER(SEARCH({"Lookup","Master-Detail"}, $B163))) &gt; 0,$B163 &amp; "(" &amp; $E163 &amp; ")",IF(SUMPRODUCT(-- ISNUMBER(SEARCH({"Formula","Roll-Up Summary"}, $B163))) &gt; 0,$B163 &amp; " (" &amp; $E163 &amp; ")",IF(SUMPRODUCT(-- ISNUMBER(SEARCH({"Content","Currency","Number","Percent","Text","URL"}, $B163))) &gt; 0,$B163 &amp; "(" &amp; $C163 &amp; ")",$B163)))), "  ", TRIM(IF($S163 = "YES", "(External ID)", "") &amp; " " &amp; IF(SUMPRODUCT(-- ISNUMBER(SEARCH({"Unique","Unique Case Insensitive"}, $R163))) &gt; 0, "(" &amp; $R163 &amp; ")", ""))))</f>
        <v>na</v>
      </c>
      <c r="E163" s="7" t="s">
        <v>195</v>
      </c>
      <c r="F163" s="7" t="s">
        <v>195</v>
      </c>
      <c r="G163" s="7" t="s">
        <v>195</v>
      </c>
      <c r="H163" s="7" t="s">
        <v>195</v>
      </c>
      <c r="I163" s="7" t="s">
        <v>195</v>
      </c>
      <c r="J163" s="7" t="s">
        <v>195</v>
      </c>
      <c r="K163" s="7" t="s">
        <v>195</v>
      </c>
      <c r="L163" s="7" t="s">
        <v>195</v>
      </c>
      <c r="M163" s="7" t="s">
        <v>29</v>
      </c>
      <c r="N163" s="7" t="s">
        <v>29</v>
      </c>
      <c r="O163" s="7" t="s">
        <v>29</v>
      </c>
      <c r="P163" s="7" t="s">
        <v>29</v>
      </c>
      <c r="Q163" s="7" t="s">
        <v>29</v>
      </c>
      <c r="R163" s="7" t="s">
        <v>29</v>
      </c>
      <c r="S163" s="7" t="s">
        <v>29</v>
      </c>
    </row>
    <row r="164" spans="2:19">
      <c r="B164" s="7" t="s">
        <v>195</v>
      </c>
      <c r="C164" s="8" t="s">
        <v>195</v>
      </c>
      <c r="D164" s="6" t="str">
        <f>LRTRIM(CONCATENATE(IF(SUMPRODUCT(-- ISNUMBER(SEARCH({"Auto Number"}, $B164))) &gt; 0, $B164, IF(SUMPRODUCT(-- ISNUMBER(SEARCH({"Lookup","Master-Detail"}, $B164))) &gt; 0,$B164 &amp; "(" &amp; $E164 &amp; ")",IF(SUMPRODUCT(-- ISNUMBER(SEARCH({"Formula","Roll-Up Summary"}, $B164))) &gt; 0,$B164 &amp; " (" &amp; $E164 &amp; ")",IF(SUMPRODUCT(-- ISNUMBER(SEARCH({"Content","Currency","Number","Percent","Text","URL"}, $B164))) &gt; 0,$B164 &amp; "(" &amp; $C164 &amp; ")",$B164)))), "  ", TRIM(IF($S164 = "YES", "(External ID)", "") &amp; " " &amp; IF(SUMPRODUCT(-- ISNUMBER(SEARCH({"Unique","Unique Case Insensitive"}, $R164))) &gt; 0, "(" &amp; $R164 &amp; ")", ""))))</f>
        <v>na</v>
      </c>
      <c r="E164" s="7" t="s">
        <v>195</v>
      </c>
      <c r="F164" s="7" t="s">
        <v>195</v>
      </c>
      <c r="G164" s="7" t="s">
        <v>195</v>
      </c>
      <c r="H164" s="7" t="s">
        <v>195</v>
      </c>
      <c r="I164" s="7" t="s">
        <v>195</v>
      </c>
      <c r="J164" s="7" t="s">
        <v>195</v>
      </c>
      <c r="K164" s="7" t="s">
        <v>195</v>
      </c>
      <c r="L164" s="7" t="s">
        <v>195</v>
      </c>
      <c r="M164" s="7" t="s">
        <v>29</v>
      </c>
      <c r="N164" s="7" t="s">
        <v>29</v>
      </c>
      <c r="O164" s="7" t="s">
        <v>29</v>
      </c>
      <c r="P164" s="7" t="s">
        <v>29</v>
      </c>
      <c r="Q164" s="7" t="s">
        <v>29</v>
      </c>
      <c r="R164" s="7" t="s">
        <v>29</v>
      </c>
      <c r="S164" s="7" t="s">
        <v>29</v>
      </c>
    </row>
    <row r="165" spans="2:19">
      <c r="B165" s="7" t="s">
        <v>195</v>
      </c>
      <c r="C165" s="8" t="s">
        <v>195</v>
      </c>
      <c r="D165" s="6" t="str">
        <f>LRTRIM(CONCATENATE(IF(SUMPRODUCT(-- ISNUMBER(SEARCH({"Auto Number"}, $B165))) &gt; 0, $B165, IF(SUMPRODUCT(-- ISNUMBER(SEARCH({"Lookup","Master-Detail"}, $B165))) &gt; 0,$B165 &amp; "(" &amp; $E165 &amp; ")",IF(SUMPRODUCT(-- ISNUMBER(SEARCH({"Formula","Roll-Up Summary"}, $B165))) &gt; 0,$B165 &amp; " (" &amp; $E165 &amp; ")",IF(SUMPRODUCT(-- ISNUMBER(SEARCH({"Content","Currency","Number","Percent","Text","URL"}, $B165))) &gt; 0,$B165 &amp; "(" &amp; $C165 &amp; ")",$B165)))), "  ", TRIM(IF($S165 = "YES", "(External ID)", "") &amp; " " &amp; IF(SUMPRODUCT(-- ISNUMBER(SEARCH({"Unique","Unique Case Insensitive"}, $R165))) &gt; 0, "(" &amp; $R165 &amp; ")", ""))))</f>
        <v>na</v>
      </c>
      <c r="E165" s="7" t="s">
        <v>195</v>
      </c>
      <c r="F165" s="7" t="s">
        <v>195</v>
      </c>
      <c r="G165" s="7" t="s">
        <v>195</v>
      </c>
      <c r="H165" s="7" t="s">
        <v>195</v>
      </c>
      <c r="I165" s="7" t="s">
        <v>195</v>
      </c>
      <c r="J165" s="7" t="s">
        <v>195</v>
      </c>
      <c r="K165" s="7" t="s">
        <v>195</v>
      </c>
      <c r="L165" s="7" t="s">
        <v>195</v>
      </c>
      <c r="M165" s="7" t="s">
        <v>29</v>
      </c>
      <c r="N165" s="7" t="s">
        <v>29</v>
      </c>
      <c r="O165" s="7" t="s">
        <v>29</v>
      </c>
      <c r="P165" s="7" t="s">
        <v>29</v>
      </c>
      <c r="Q165" s="7" t="s">
        <v>29</v>
      </c>
      <c r="R165" s="7" t="s">
        <v>29</v>
      </c>
      <c r="S165" s="7" t="s">
        <v>29</v>
      </c>
    </row>
    <row r="166" spans="2:19">
      <c r="B166" s="7" t="s">
        <v>195</v>
      </c>
      <c r="C166" s="8" t="s">
        <v>195</v>
      </c>
      <c r="D166" s="6" t="str">
        <f>LRTRIM(CONCATENATE(IF(SUMPRODUCT(-- ISNUMBER(SEARCH({"Auto Number"}, $B166))) &gt; 0, $B166, IF(SUMPRODUCT(-- ISNUMBER(SEARCH({"Lookup","Master-Detail"}, $B166))) &gt; 0,$B166 &amp; "(" &amp; $E166 &amp; ")",IF(SUMPRODUCT(-- ISNUMBER(SEARCH({"Formula","Roll-Up Summary"}, $B166))) &gt; 0,$B166 &amp; " (" &amp; $E166 &amp; ")",IF(SUMPRODUCT(-- ISNUMBER(SEARCH({"Content","Currency","Number","Percent","Text","URL"}, $B166))) &gt; 0,$B166 &amp; "(" &amp; $C166 &amp; ")",$B166)))), "  ", TRIM(IF($S166 = "YES", "(External ID)", "") &amp; " " &amp; IF(SUMPRODUCT(-- ISNUMBER(SEARCH({"Unique","Unique Case Insensitive"}, $R166))) &gt; 0, "(" &amp; $R166 &amp; ")", ""))))</f>
        <v>na</v>
      </c>
      <c r="E166" s="7" t="s">
        <v>195</v>
      </c>
      <c r="F166" s="7" t="s">
        <v>195</v>
      </c>
      <c r="G166" s="7" t="s">
        <v>195</v>
      </c>
      <c r="H166" s="7" t="s">
        <v>195</v>
      </c>
      <c r="I166" s="7" t="s">
        <v>195</v>
      </c>
      <c r="J166" s="7" t="s">
        <v>195</v>
      </c>
      <c r="K166" s="7" t="s">
        <v>195</v>
      </c>
      <c r="L166" s="7" t="s">
        <v>195</v>
      </c>
      <c r="M166" s="7" t="s">
        <v>29</v>
      </c>
      <c r="N166" s="7" t="s">
        <v>29</v>
      </c>
      <c r="O166" s="7" t="s">
        <v>29</v>
      </c>
      <c r="P166" s="7" t="s">
        <v>29</v>
      </c>
      <c r="Q166" s="7" t="s">
        <v>29</v>
      </c>
      <c r="R166" s="7" t="s">
        <v>29</v>
      </c>
      <c r="S166" s="7" t="s">
        <v>29</v>
      </c>
    </row>
    <row r="167" spans="2:19">
      <c r="B167" s="7" t="s">
        <v>195</v>
      </c>
      <c r="C167" s="8" t="s">
        <v>195</v>
      </c>
      <c r="D167" s="6" t="str">
        <f>LRTRIM(CONCATENATE(IF(SUMPRODUCT(-- ISNUMBER(SEARCH({"Auto Number"}, $B167))) &gt; 0, $B167, IF(SUMPRODUCT(-- ISNUMBER(SEARCH({"Lookup","Master-Detail"}, $B167))) &gt; 0,$B167 &amp; "(" &amp; $E167 &amp; ")",IF(SUMPRODUCT(-- ISNUMBER(SEARCH({"Formula","Roll-Up Summary"}, $B167))) &gt; 0,$B167 &amp; " (" &amp; $E167 &amp; ")",IF(SUMPRODUCT(-- ISNUMBER(SEARCH({"Content","Currency","Number","Percent","Text","URL"}, $B167))) &gt; 0,$B167 &amp; "(" &amp; $C167 &amp; ")",$B167)))), "  ", TRIM(IF($S167 = "YES", "(External ID)", "") &amp; " " &amp; IF(SUMPRODUCT(-- ISNUMBER(SEARCH({"Unique","Unique Case Insensitive"}, $R167))) &gt; 0, "(" &amp; $R167 &amp; ")", ""))))</f>
        <v>na</v>
      </c>
      <c r="E167" s="7" t="s">
        <v>195</v>
      </c>
      <c r="F167" s="7" t="s">
        <v>195</v>
      </c>
      <c r="G167" s="7" t="s">
        <v>195</v>
      </c>
      <c r="H167" s="7" t="s">
        <v>195</v>
      </c>
      <c r="I167" s="7" t="s">
        <v>195</v>
      </c>
      <c r="J167" s="7" t="s">
        <v>195</v>
      </c>
      <c r="K167" s="7" t="s">
        <v>195</v>
      </c>
      <c r="L167" s="7" t="s">
        <v>195</v>
      </c>
      <c r="M167" s="7" t="s">
        <v>29</v>
      </c>
      <c r="N167" s="7" t="s">
        <v>29</v>
      </c>
      <c r="O167" s="7" t="s">
        <v>29</v>
      </c>
      <c r="P167" s="7" t="s">
        <v>29</v>
      </c>
      <c r="Q167" s="7" t="s">
        <v>29</v>
      </c>
      <c r="R167" s="7" t="s">
        <v>29</v>
      </c>
      <c r="S167" s="7" t="s">
        <v>29</v>
      </c>
    </row>
    <row r="168" spans="2:19">
      <c r="B168" s="7" t="s">
        <v>195</v>
      </c>
      <c r="C168" s="8" t="s">
        <v>195</v>
      </c>
      <c r="D168" s="6" t="str">
        <f>LRTRIM(CONCATENATE(IF(SUMPRODUCT(-- ISNUMBER(SEARCH({"Auto Number"}, $B168))) &gt; 0, $B168, IF(SUMPRODUCT(-- ISNUMBER(SEARCH({"Lookup","Master-Detail"}, $B168))) &gt; 0,$B168 &amp; "(" &amp; $E168 &amp; ")",IF(SUMPRODUCT(-- ISNUMBER(SEARCH({"Formula","Roll-Up Summary"}, $B168))) &gt; 0,$B168 &amp; " (" &amp; $E168 &amp; ")",IF(SUMPRODUCT(-- ISNUMBER(SEARCH({"Content","Currency","Number","Percent","Text","URL"}, $B168))) &gt; 0,$B168 &amp; "(" &amp; $C168 &amp; ")",$B168)))), "  ", TRIM(IF($S168 = "YES", "(External ID)", "") &amp; " " &amp; IF(SUMPRODUCT(-- ISNUMBER(SEARCH({"Unique","Unique Case Insensitive"}, $R168))) &gt; 0, "(" &amp; $R168 &amp; ")", ""))))</f>
        <v>na</v>
      </c>
      <c r="E168" s="7" t="s">
        <v>195</v>
      </c>
      <c r="F168" s="7" t="s">
        <v>195</v>
      </c>
      <c r="G168" s="7" t="s">
        <v>195</v>
      </c>
      <c r="H168" s="7" t="s">
        <v>195</v>
      </c>
      <c r="I168" s="7" t="s">
        <v>195</v>
      </c>
      <c r="J168" s="7" t="s">
        <v>195</v>
      </c>
      <c r="K168" s="7" t="s">
        <v>195</v>
      </c>
      <c r="L168" s="7" t="s">
        <v>195</v>
      </c>
      <c r="M168" s="7" t="s">
        <v>29</v>
      </c>
      <c r="N168" s="7" t="s">
        <v>29</v>
      </c>
      <c r="O168" s="7" t="s">
        <v>29</v>
      </c>
      <c r="P168" s="7" t="s">
        <v>29</v>
      </c>
      <c r="Q168" s="7" t="s">
        <v>29</v>
      </c>
      <c r="R168" s="7" t="s">
        <v>29</v>
      </c>
      <c r="S168" s="7" t="s">
        <v>29</v>
      </c>
    </row>
    <row r="169" spans="2:19">
      <c r="B169" s="7" t="s">
        <v>195</v>
      </c>
      <c r="C169" s="8" t="s">
        <v>195</v>
      </c>
      <c r="D169" s="6" t="str">
        <f>LRTRIM(CONCATENATE(IF(SUMPRODUCT(-- ISNUMBER(SEARCH({"Auto Number"}, $B169))) &gt; 0, $B169, IF(SUMPRODUCT(-- ISNUMBER(SEARCH({"Lookup","Master-Detail"}, $B169))) &gt; 0,$B169 &amp; "(" &amp; $E169 &amp; ")",IF(SUMPRODUCT(-- ISNUMBER(SEARCH({"Formula","Roll-Up Summary"}, $B169))) &gt; 0,$B169 &amp; " (" &amp; $E169 &amp; ")",IF(SUMPRODUCT(-- ISNUMBER(SEARCH({"Content","Currency","Number","Percent","Text","URL"}, $B169))) &gt; 0,$B169 &amp; "(" &amp; $C169 &amp; ")",$B169)))), "  ", TRIM(IF($S169 = "YES", "(External ID)", "") &amp; " " &amp; IF(SUMPRODUCT(-- ISNUMBER(SEARCH({"Unique","Unique Case Insensitive"}, $R169))) &gt; 0, "(" &amp; $R169 &amp; ")", ""))))</f>
        <v>na</v>
      </c>
      <c r="E169" s="7" t="s">
        <v>195</v>
      </c>
      <c r="F169" s="7" t="s">
        <v>195</v>
      </c>
      <c r="G169" s="7" t="s">
        <v>195</v>
      </c>
      <c r="H169" s="7" t="s">
        <v>195</v>
      </c>
      <c r="I169" s="7" t="s">
        <v>195</v>
      </c>
      <c r="J169" s="7" t="s">
        <v>195</v>
      </c>
      <c r="K169" s="7" t="s">
        <v>195</v>
      </c>
      <c r="L169" s="7" t="s">
        <v>195</v>
      </c>
      <c r="M169" s="7" t="s">
        <v>29</v>
      </c>
      <c r="N169" s="7" t="s">
        <v>29</v>
      </c>
      <c r="O169" s="7" t="s">
        <v>29</v>
      </c>
      <c r="P169" s="7" t="s">
        <v>29</v>
      </c>
      <c r="Q169" s="7" t="s">
        <v>29</v>
      </c>
      <c r="R169" s="7" t="s">
        <v>29</v>
      </c>
      <c r="S169" s="7" t="s">
        <v>29</v>
      </c>
    </row>
    <row r="170" spans="2:19">
      <c r="B170" s="7" t="s">
        <v>195</v>
      </c>
      <c r="C170" s="8" t="s">
        <v>195</v>
      </c>
      <c r="D170" s="6" t="str">
        <f>LRTRIM(CONCATENATE(IF(SUMPRODUCT(-- ISNUMBER(SEARCH({"Auto Number"}, $B170))) &gt; 0, $B170, IF(SUMPRODUCT(-- ISNUMBER(SEARCH({"Lookup","Master-Detail"}, $B170))) &gt; 0,$B170 &amp; "(" &amp; $E170 &amp; ")",IF(SUMPRODUCT(-- ISNUMBER(SEARCH({"Formula","Roll-Up Summary"}, $B170))) &gt; 0,$B170 &amp; " (" &amp; $E170 &amp; ")",IF(SUMPRODUCT(-- ISNUMBER(SEARCH({"Content","Currency","Number","Percent","Text","URL"}, $B170))) &gt; 0,$B170 &amp; "(" &amp; $C170 &amp; ")",$B170)))), "  ", TRIM(IF($S170 = "YES", "(External ID)", "") &amp; " " &amp; IF(SUMPRODUCT(-- ISNUMBER(SEARCH({"Unique","Unique Case Insensitive"}, $R170))) &gt; 0, "(" &amp; $R170 &amp; ")", ""))))</f>
        <v>na</v>
      </c>
      <c r="E170" s="7" t="s">
        <v>195</v>
      </c>
      <c r="F170" s="7" t="s">
        <v>195</v>
      </c>
      <c r="G170" s="7" t="s">
        <v>195</v>
      </c>
      <c r="H170" s="7" t="s">
        <v>195</v>
      </c>
      <c r="I170" s="7" t="s">
        <v>195</v>
      </c>
      <c r="J170" s="7" t="s">
        <v>195</v>
      </c>
      <c r="K170" s="7" t="s">
        <v>195</v>
      </c>
      <c r="L170" s="7" t="s">
        <v>195</v>
      </c>
      <c r="M170" s="7" t="s">
        <v>29</v>
      </c>
      <c r="N170" s="7" t="s">
        <v>29</v>
      </c>
      <c r="O170" s="7" t="s">
        <v>29</v>
      </c>
      <c r="P170" s="7" t="s">
        <v>29</v>
      </c>
      <c r="Q170" s="7" t="s">
        <v>29</v>
      </c>
      <c r="R170" s="7" t="s">
        <v>29</v>
      </c>
      <c r="S170" s="7" t="s">
        <v>29</v>
      </c>
    </row>
    <row r="171" spans="2:19">
      <c r="B171" s="7" t="s">
        <v>195</v>
      </c>
      <c r="C171" s="8" t="s">
        <v>195</v>
      </c>
      <c r="D171" s="6" t="str">
        <f>LRTRIM(CONCATENATE(IF(SUMPRODUCT(-- ISNUMBER(SEARCH({"Auto Number"}, $B171))) &gt; 0, $B171, IF(SUMPRODUCT(-- ISNUMBER(SEARCH({"Lookup","Master-Detail"}, $B171))) &gt; 0,$B171 &amp; "(" &amp; $E171 &amp; ")",IF(SUMPRODUCT(-- ISNUMBER(SEARCH({"Formula","Roll-Up Summary"}, $B171))) &gt; 0,$B171 &amp; " (" &amp; $E171 &amp; ")",IF(SUMPRODUCT(-- ISNUMBER(SEARCH({"Content","Currency","Number","Percent","Text","URL"}, $B171))) &gt; 0,$B171 &amp; "(" &amp; $C171 &amp; ")",$B171)))), "  ", TRIM(IF($S171 = "YES", "(External ID)", "") &amp; " " &amp; IF(SUMPRODUCT(-- ISNUMBER(SEARCH({"Unique","Unique Case Insensitive"}, $R171))) &gt; 0, "(" &amp; $R171 &amp; ")", ""))))</f>
        <v>na</v>
      </c>
      <c r="E171" s="7" t="s">
        <v>195</v>
      </c>
      <c r="F171" s="7" t="s">
        <v>195</v>
      </c>
      <c r="G171" s="7" t="s">
        <v>195</v>
      </c>
      <c r="H171" s="7" t="s">
        <v>195</v>
      </c>
      <c r="I171" s="7" t="s">
        <v>195</v>
      </c>
      <c r="J171" s="7" t="s">
        <v>195</v>
      </c>
      <c r="K171" s="7" t="s">
        <v>195</v>
      </c>
      <c r="L171" s="7" t="s">
        <v>195</v>
      </c>
      <c r="M171" s="7" t="s">
        <v>29</v>
      </c>
      <c r="N171" s="7" t="s">
        <v>29</v>
      </c>
      <c r="O171" s="7" t="s">
        <v>29</v>
      </c>
      <c r="P171" s="7" t="s">
        <v>29</v>
      </c>
      <c r="Q171" s="7" t="s">
        <v>29</v>
      </c>
      <c r="R171" s="7" t="s">
        <v>29</v>
      </c>
      <c r="S171" s="7" t="s">
        <v>29</v>
      </c>
    </row>
    <row r="172" spans="2:19">
      <c r="B172" s="7" t="s">
        <v>195</v>
      </c>
      <c r="C172" s="8" t="s">
        <v>195</v>
      </c>
      <c r="D172" s="6" t="str">
        <f>LRTRIM(CONCATENATE(IF(SUMPRODUCT(-- ISNUMBER(SEARCH({"Auto Number"}, $B172))) &gt; 0, $B172, IF(SUMPRODUCT(-- ISNUMBER(SEARCH({"Lookup","Master-Detail"}, $B172))) &gt; 0,$B172 &amp; "(" &amp; $E172 &amp; ")",IF(SUMPRODUCT(-- ISNUMBER(SEARCH({"Formula","Roll-Up Summary"}, $B172))) &gt; 0,$B172 &amp; " (" &amp; $E172 &amp; ")",IF(SUMPRODUCT(-- ISNUMBER(SEARCH({"Content","Currency","Number","Percent","Text","URL"}, $B172))) &gt; 0,$B172 &amp; "(" &amp; $C172 &amp; ")",$B172)))), "  ", TRIM(IF($S172 = "YES", "(External ID)", "") &amp; " " &amp; IF(SUMPRODUCT(-- ISNUMBER(SEARCH({"Unique","Unique Case Insensitive"}, $R172))) &gt; 0, "(" &amp; $R172 &amp; ")", ""))))</f>
        <v>na</v>
      </c>
      <c r="E172" s="7" t="s">
        <v>195</v>
      </c>
      <c r="F172" s="7" t="s">
        <v>195</v>
      </c>
      <c r="G172" s="7" t="s">
        <v>195</v>
      </c>
      <c r="H172" s="7" t="s">
        <v>195</v>
      </c>
      <c r="I172" s="7" t="s">
        <v>195</v>
      </c>
      <c r="J172" s="7" t="s">
        <v>195</v>
      </c>
      <c r="K172" s="7" t="s">
        <v>195</v>
      </c>
      <c r="L172" s="7" t="s">
        <v>195</v>
      </c>
      <c r="M172" s="7" t="s">
        <v>29</v>
      </c>
      <c r="N172" s="7" t="s">
        <v>29</v>
      </c>
      <c r="O172" s="7" t="s">
        <v>29</v>
      </c>
      <c r="P172" s="7" t="s">
        <v>29</v>
      </c>
      <c r="Q172" s="7" t="s">
        <v>29</v>
      </c>
      <c r="R172" s="7" t="s">
        <v>29</v>
      </c>
      <c r="S172" s="7" t="s">
        <v>29</v>
      </c>
    </row>
    <row r="173" spans="2:19">
      <c r="B173" s="7" t="s">
        <v>195</v>
      </c>
      <c r="C173" s="8" t="s">
        <v>195</v>
      </c>
      <c r="D173" s="6" t="str">
        <f>LRTRIM(CONCATENATE(IF(SUMPRODUCT(-- ISNUMBER(SEARCH({"Auto Number"}, $B173))) &gt; 0, $B173, IF(SUMPRODUCT(-- ISNUMBER(SEARCH({"Lookup","Master-Detail"}, $B173))) &gt; 0,$B173 &amp; "(" &amp; $E173 &amp; ")",IF(SUMPRODUCT(-- ISNUMBER(SEARCH({"Formula","Roll-Up Summary"}, $B173))) &gt; 0,$B173 &amp; " (" &amp; $E173 &amp; ")",IF(SUMPRODUCT(-- ISNUMBER(SEARCH({"Content","Currency","Number","Percent","Text","URL"}, $B173))) &gt; 0,$B173 &amp; "(" &amp; $C173 &amp; ")",$B173)))), "  ", TRIM(IF($S173 = "YES", "(External ID)", "") &amp; " " &amp; IF(SUMPRODUCT(-- ISNUMBER(SEARCH({"Unique","Unique Case Insensitive"}, $R173))) &gt; 0, "(" &amp; $R173 &amp; ")", ""))))</f>
        <v>na</v>
      </c>
      <c r="E173" s="7" t="s">
        <v>195</v>
      </c>
      <c r="F173" s="7" t="s">
        <v>195</v>
      </c>
      <c r="G173" s="7" t="s">
        <v>195</v>
      </c>
      <c r="H173" s="7" t="s">
        <v>195</v>
      </c>
      <c r="I173" s="7" t="s">
        <v>195</v>
      </c>
      <c r="J173" s="7" t="s">
        <v>195</v>
      </c>
      <c r="K173" s="7" t="s">
        <v>195</v>
      </c>
      <c r="L173" s="7" t="s">
        <v>195</v>
      </c>
      <c r="M173" s="7" t="s">
        <v>29</v>
      </c>
      <c r="N173" s="7" t="s">
        <v>29</v>
      </c>
      <c r="O173" s="7" t="s">
        <v>29</v>
      </c>
      <c r="P173" s="7" t="s">
        <v>29</v>
      </c>
      <c r="Q173" s="7" t="s">
        <v>29</v>
      </c>
      <c r="R173" s="7" t="s">
        <v>29</v>
      </c>
      <c r="S173" s="7" t="s">
        <v>29</v>
      </c>
    </row>
    <row r="174" spans="2:19">
      <c r="B174" s="7" t="s">
        <v>195</v>
      </c>
      <c r="C174" s="8" t="s">
        <v>195</v>
      </c>
      <c r="D174" s="6" t="str">
        <f>LRTRIM(CONCATENATE(IF(SUMPRODUCT(-- ISNUMBER(SEARCH({"Auto Number"}, $B174))) &gt; 0, $B174, IF(SUMPRODUCT(-- ISNUMBER(SEARCH({"Lookup","Master-Detail"}, $B174))) &gt; 0,$B174 &amp; "(" &amp; $E174 &amp; ")",IF(SUMPRODUCT(-- ISNUMBER(SEARCH({"Formula","Roll-Up Summary"}, $B174))) &gt; 0,$B174 &amp; " (" &amp; $E174 &amp; ")",IF(SUMPRODUCT(-- ISNUMBER(SEARCH({"Content","Currency","Number","Percent","Text","URL"}, $B174))) &gt; 0,$B174 &amp; "(" &amp; $C174 &amp; ")",$B174)))), "  ", TRIM(IF($S174 = "YES", "(External ID)", "") &amp; " " &amp; IF(SUMPRODUCT(-- ISNUMBER(SEARCH({"Unique","Unique Case Insensitive"}, $R174))) &gt; 0, "(" &amp; $R174 &amp; ")", ""))))</f>
        <v>na</v>
      </c>
      <c r="E174" s="7" t="s">
        <v>195</v>
      </c>
      <c r="F174" s="7" t="s">
        <v>195</v>
      </c>
      <c r="G174" s="7" t="s">
        <v>195</v>
      </c>
      <c r="H174" s="7" t="s">
        <v>195</v>
      </c>
      <c r="I174" s="7" t="s">
        <v>195</v>
      </c>
      <c r="J174" s="7" t="s">
        <v>195</v>
      </c>
      <c r="K174" s="7" t="s">
        <v>195</v>
      </c>
      <c r="L174" s="7" t="s">
        <v>195</v>
      </c>
      <c r="M174" s="7" t="s">
        <v>29</v>
      </c>
      <c r="N174" s="7" t="s">
        <v>29</v>
      </c>
      <c r="O174" s="7" t="s">
        <v>29</v>
      </c>
      <c r="P174" s="7" t="s">
        <v>29</v>
      </c>
      <c r="Q174" s="7" t="s">
        <v>29</v>
      </c>
      <c r="R174" s="7" t="s">
        <v>29</v>
      </c>
      <c r="S174" s="7" t="s">
        <v>29</v>
      </c>
    </row>
    <row r="175" spans="2:19">
      <c r="B175" s="7" t="s">
        <v>195</v>
      </c>
      <c r="C175" s="8" t="s">
        <v>195</v>
      </c>
      <c r="D175" s="6" t="str">
        <f>LRTRIM(CONCATENATE(IF(SUMPRODUCT(-- ISNUMBER(SEARCH({"Auto Number"}, $B175))) &gt; 0, $B175, IF(SUMPRODUCT(-- ISNUMBER(SEARCH({"Lookup","Master-Detail"}, $B175))) &gt; 0,$B175 &amp; "(" &amp; $E175 &amp; ")",IF(SUMPRODUCT(-- ISNUMBER(SEARCH({"Formula","Roll-Up Summary"}, $B175))) &gt; 0,$B175 &amp; " (" &amp; $E175 &amp; ")",IF(SUMPRODUCT(-- ISNUMBER(SEARCH({"Content","Currency","Number","Percent","Text","URL"}, $B175))) &gt; 0,$B175 &amp; "(" &amp; $C175 &amp; ")",$B175)))), "  ", TRIM(IF($S175 = "YES", "(External ID)", "") &amp; " " &amp; IF(SUMPRODUCT(-- ISNUMBER(SEARCH({"Unique","Unique Case Insensitive"}, $R175))) &gt; 0, "(" &amp; $R175 &amp; ")", ""))))</f>
        <v>na</v>
      </c>
      <c r="E175" s="7" t="s">
        <v>195</v>
      </c>
      <c r="F175" s="7" t="s">
        <v>195</v>
      </c>
      <c r="G175" s="7" t="s">
        <v>195</v>
      </c>
      <c r="H175" s="7" t="s">
        <v>195</v>
      </c>
      <c r="I175" s="7" t="s">
        <v>195</v>
      </c>
      <c r="J175" s="7" t="s">
        <v>195</v>
      </c>
      <c r="K175" s="7" t="s">
        <v>195</v>
      </c>
      <c r="L175" s="7" t="s">
        <v>195</v>
      </c>
      <c r="M175" s="7" t="s">
        <v>29</v>
      </c>
      <c r="N175" s="7" t="s">
        <v>29</v>
      </c>
      <c r="O175" s="7" t="s">
        <v>29</v>
      </c>
      <c r="P175" s="7" t="s">
        <v>29</v>
      </c>
      <c r="Q175" s="7" t="s">
        <v>29</v>
      </c>
      <c r="R175" s="7" t="s">
        <v>29</v>
      </c>
      <c r="S175" s="7" t="s">
        <v>29</v>
      </c>
    </row>
    <row r="176" spans="2:19">
      <c r="B176" s="7" t="s">
        <v>195</v>
      </c>
      <c r="C176" s="8" t="s">
        <v>195</v>
      </c>
      <c r="D176" s="6" t="str">
        <f>LRTRIM(CONCATENATE(IF(SUMPRODUCT(-- ISNUMBER(SEARCH({"Auto Number"}, $B176))) &gt; 0, $B176, IF(SUMPRODUCT(-- ISNUMBER(SEARCH({"Lookup","Master-Detail"}, $B176))) &gt; 0,$B176 &amp; "(" &amp; $E176 &amp; ")",IF(SUMPRODUCT(-- ISNUMBER(SEARCH({"Formula","Roll-Up Summary"}, $B176))) &gt; 0,$B176 &amp; " (" &amp; $E176 &amp; ")",IF(SUMPRODUCT(-- ISNUMBER(SEARCH({"Content","Currency","Number","Percent","Text","URL"}, $B176))) &gt; 0,$B176 &amp; "(" &amp; $C176 &amp; ")",$B176)))), "  ", TRIM(IF($S176 = "YES", "(External ID)", "") &amp; " " &amp; IF(SUMPRODUCT(-- ISNUMBER(SEARCH({"Unique","Unique Case Insensitive"}, $R176))) &gt; 0, "(" &amp; $R176 &amp; ")", ""))))</f>
        <v>na</v>
      </c>
      <c r="E176" s="7" t="s">
        <v>195</v>
      </c>
      <c r="F176" s="7" t="s">
        <v>195</v>
      </c>
      <c r="G176" s="7" t="s">
        <v>195</v>
      </c>
      <c r="H176" s="7" t="s">
        <v>195</v>
      </c>
      <c r="I176" s="7" t="s">
        <v>195</v>
      </c>
      <c r="J176" s="7" t="s">
        <v>195</v>
      </c>
      <c r="K176" s="7" t="s">
        <v>195</v>
      </c>
      <c r="L176" s="7" t="s">
        <v>195</v>
      </c>
      <c r="M176" s="7" t="s">
        <v>29</v>
      </c>
      <c r="N176" s="7" t="s">
        <v>29</v>
      </c>
      <c r="O176" s="7" t="s">
        <v>29</v>
      </c>
      <c r="P176" s="7" t="s">
        <v>29</v>
      </c>
      <c r="Q176" s="7" t="s">
        <v>29</v>
      </c>
      <c r="R176" s="7" t="s">
        <v>29</v>
      </c>
      <c r="S176" s="7" t="s">
        <v>29</v>
      </c>
    </row>
    <row r="177" spans="2:19">
      <c r="B177" s="7" t="s">
        <v>195</v>
      </c>
      <c r="C177" s="8" t="s">
        <v>195</v>
      </c>
      <c r="D177" s="6" t="str">
        <f>LRTRIM(CONCATENATE(IF(SUMPRODUCT(-- ISNUMBER(SEARCH({"Auto Number"}, $B177))) &gt; 0, $B177, IF(SUMPRODUCT(-- ISNUMBER(SEARCH({"Lookup","Master-Detail"}, $B177))) &gt; 0,$B177 &amp; "(" &amp; $E177 &amp; ")",IF(SUMPRODUCT(-- ISNUMBER(SEARCH({"Formula","Roll-Up Summary"}, $B177))) &gt; 0,$B177 &amp; " (" &amp; $E177 &amp; ")",IF(SUMPRODUCT(-- ISNUMBER(SEARCH({"Content","Currency","Number","Percent","Text","URL"}, $B177))) &gt; 0,$B177 &amp; "(" &amp; $C177 &amp; ")",$B177)))), "  ", TRIM(IF($S177 = "YES", "(External ID)", "") &amp; " " &amp; IF(SUMPRODUCT(-- ISNUMBER(SEARCH({"Unique","Unique Case Insensitive"}, $R177))) &gt; 0, "(" &amp; $R177 &amp; ")", ""))))</f>
        <v>na</v>
      </c>
      <c r="E177" s="7" t="s">
        <v>195</v>
      </c>
      <c r="F177" s="7" t="s">
        <v>195</v>
      </c>
      <c r="G177" s="7" t="s">
        <v>195</v>
      </c>
      <c r="H177" s="7" t="s">
        <v>195</v>
      </c>
      <c r="I177" s="7" t="s">
        <v>195</v>
      </c>
      <c r="J177" s="7" t="s">
        <v>195</v>
      </c>
      <c r="K177" s="7" t="s">
        <v>195</v>
      </c>
      <c r="L177" s="7" t="s">
        <v>195</v>
      </c>
      <c r="M177" s="7" t="s">
        <v>29</v>
      </c>
      <c r="N177" s="7" t="s">
        <v>29</v>
      </c>
      <c r="O177" s="7" t="s">
        <v>29</v>
      </c>
      <c r="P177" s="7" t="s">
        <v>29</v>
      </c>
      <c r="Q177" s="7" t="s">
        <v>29</v>
      </c>
      <c r="R177" s="7" t="s">
        <v>29</v>
      </c>
      <c r="S177" s="7" t="s">
        <v>29</v>
      </c>
    </row>
    <row r="178" spans="2:19">
      <c r="B178" s="7" t="s">
        <v>195</v>
      </c>
      <c r="C178" s="8" t="s">
        <v>195</v>
      </c>
      <c r="D178" s="6" t="str">
        <f>LRTRIM(CONCATENATE(IF(SUMPRODUCT(-- ISNUMBER(SEARCH({"Auto Number"}, $B178))) &gt; 0, $B178, IF(SUMPRODUCT(-- ISNUMBER(SEARCH({"Lookup","Master-Detail"}, $B178))) &gt; 0,$B178 &amp; "(" &amp; $E178 &amp; ")",IF(SUMPRODUCT(-- ISNUMBER(SEARCH({"Formula","Roll-Up Summary"}, $B178))) &gt; 0,$B178 &amp; " (" &amp; $E178 &amp; ")",IF(SUMPRODUCT(-- ISNUMBER(SEARCH({"Content","Currency","Number","Percent","Text","URL"}, $B178))) &gt; 0,$B178 &amp; "(" &amp; $C178 &amp; ")",$B178)))), "  ", TRIM(IF($S178 = "YES", "(External ID)", "") &amp; " " &amp; IF(SUMPRODUCT(-- ISNUMBER(SEARCH({"Unique","Unique Case Insensitive"}, $R178))) &gt; 0, "(" &amp; $R178 &amp; ")", ""))))</f>
        <v>na</v>
      </c>
      <c r="E178" s="7" t="s">
        <v>195</v>
      </c>
      <c r="F178" s="7" t="s">
        <v>195</v>
      </c>
      <c r="G178" s="7" t="s">
        <v>195</v>
      </c>
      <c r="H178" s="7" t="s">
        <v>195</v>
      </c>
      <c r="I178" s="7" t="s">
        <v>195</v>
      </c>
      <c r="J178" s="7" t="s">
        <v>195</v>
      </c>
      <c r="K178" s="7" t="s">
        <v>195</v>
      </c>
      <c r="L178" s="7" t="s">
        <v>195</v>
      </c>
      <c r="M178" s="7" t="s">
        <v>29</v>
      </c>
      <c r="N178" s="7" t="s">
        <v>29</v>
      </c>
      <c r="O178" s="7" t="s">
        <v>29</v>
      </c>
      <c r="P178" s="7" t="s">
        <v>29</v>
      </c>
      <c r="Q178" s="7" t="s">
        <v>29</v>
      </c>
      <c r="R178" s="7" t="s">
        <v>29</v>
      </c>
      <c r="S178" s="7" t="s">
        <v>29</v>
      </c>
    </row>
    <row r="179" spans="2:19">
      <c r="B179" s="7" t="s">
        <v>195</v>
      </c>
      <c r="C179" s="8" t="s">
        <v>195</v>
      </c>
      <c r="D179" s="6" t="str">
        <f>LRTRIM(CONCATENATE(IF(SUMPRODUCT(-- ISNUMBER(SEARCH({"Auto Number"}, $B179))) &gt; 0, $B179, IF(SUMPRODUCT(-- ISNUMBER(SEARCH({"Lookup","Master-Detail"}, $B179))) &gt; 0,$B179 &amp; "(" &amp; $E179 &amp; ")",IF(SUMPRODUCT(-- ISNUMBER(SEARCH({"Formula","Roll-Up Summary"}, $B179))) &gt; 0,$B179 &amp; " (" &amp; $E179 &amp; ")",IF(SUMPRODUCT(-- ISNUMBER(SEARCH({"Content","Currency","Number","Percent","Text","URL"}, $B179))) &gt; 0,$B179 &amp; "(" &amp; $C179 &amp; ")",$B179)))), "  ", TRIM(IF($S179 = "YES", "(External ID)", "") &amp; " " &amp; IF(SUMPRODUCT(-- ISNUMBER(SEARCH({"Unique","Unique Case Insensitive"}, $R179))) &gt; 0, "(" &amp; $R179 &amp; ")", ""))))</f>
        <v>na</v>
      </c>
      <c r="E179" s="7" t="s">
        <v>195</v>
      </c>
      <c r="F179" s="7" t="s">
        <v>195</v>
      </c>
      <c r="G179" s="7" t="s">
        <v>195</v>
      </c>
      <c r="H179" s="7" t="s">
        <v>195</v>
      </c>
      <c r="I179" s="7" t="s">
        <v>195</v>
      </c>
      <c r="J179" s="7" t="s">
        <v>195</v>
      </c>
      <c r="K179" s="7" t="s">
        <v>195</v>
      </c>
      <c r="L179" s="7" t="s">
        <v>195</v>
      </c>
      <c r="M179" s="7" t="s">
        <v>29</v>
      </c>
      <c r="N179" s="7" t="s">
        <v>29</v>
      </c>
      <c r="O179" s="7" t="s">
        <v>29</v>
      </c>
      <c r="P179" s="7" t="s">
        <v>29</v>
      </c>
      <c r="Q179" s="7" t="s">
        <v>29</v>
      </c>
      <c r="R179" s="7" t="s">
        <v>29</v>
      </c>
      <c r="S179" s="7" t="s">
        <v>29</v>
      </c>
    </row>
    <row r="180" spans="2:19">
      <c r="B180" s="7" t="s">
        <v>195</v>
      </c>
      <c r="C180" s="8" t="s">
        <v>195</v>
      </c>
      <c r="D180" s="6" t="str">
        <f>LRTRIM(CONCATENATE(IF(SUMPRODUCT(-- ISNUMBER(SEARCH({"Auto Number"}, $B180))) &gt; 0, $B180, IF(SUMPRODUCT(-- ISNUMBER(SEARCH({"Lookup","Master-Detail"}, $B180))) &gt; 0,$B180 &amp; "(" &amp; $E180 &amp; ")",IF(SUMPRODUCT(-- ISNUMBER(SEARCH({"Formula","Roll-Up Summary"}, $B180))) &gt; 0,$B180 &amp; " (" &amp; $E180 &amp; ")",IF(SUMPRODUCT(-- ISNUMBER(SEARCH({"Content","Currency","Number","Percent","Text","URL"}, $B180))) &gt; 0,$B180 &amp; "(" &amp; $C180 &amp; ")",$B180)))), "  ", TRIM(IF($S180 = "YES", "(External ID)", "") &amp; " " &amp; IF(SUMPRODUCT(-- ISNUMBER(SEARCH({"Unique","Unique Case Insensitive"}, $R180))) &gt; 0, "(" &amp; $R180 &amp; ")", ""))))</f>
        <v>na</v>
      </c>
      <c r="E180" s="7" t="s">
        <v>195</v>
      </c>
      <c r="F180" s="7" t="s">
        <v>195</v>
      </c>
      <c r="G180" s="7" t="s">
        <v>195</v>
      </c>
      <c r="H180" s="7" t="s">
        <v>195</v>
      </c>
      <c r="I180" s="7" t="s">
        <v>195</v>
      </c>
      <c r="J180" s="7" t="s">
        <v>195</v>
      </c>
      <c r="K180" s="7" t="s">
        <v>195</v>
      </c>
      <c r="L180" s="7" t="s">
        <v>195</v>
      </c>
      <c r="M180" s="7" t="s">
        <v>29</v>
      </c>
      <c r="N180" s="7" t="s">
        <v>29</v>
      </c>
      <c r="O180" s="7" t="s">
        <v>29</v>
      </c>
      <c r="P180" s="7" t="s">
        <v>29</v>
      </c>
      <c r="Q180" s="7" t="s">
        <v>29</v>
      </c>
      <c r="R180" s="7" t="s">
        <v>29</v>
      </c>
      <c r="S180" s="7" t="s">
        <v>29</v>
      </c>
    </row>
    <row r="181" spans="2:19">
      <c r="B181" s="7" t="s">
        <v>195</v>
      </c>
      <c r="C181" s="8" t="s">
        <v>195</v>
      </c>
      <c r="D181" s="6" t="str">
        <f>LRTRIM(CONCATENATE(IF(SUMPRODUCT(-- ISNUMBER(SEARCH({"Auto Number"}, $B181))) &gt; 0, $B181, IF(SUMPRODUCT(-- ISNUMBER(SEARCH({"Lookup","Master-Detail"}, $B181))) &gt; 0,$B181 &amp; "(" &amp; $E181 &amp; ")",IF(SUMPRODUCT(-- ISNUMBER(SEARCH({"Formula","Roll-Up Summary"}, $B181))) &gt; 0,$B181 &amp; " (" &amp; $E181 &amp; ")",IF(SUMPRODUCT(-- ISNUMBER(SEARCH({"Content","Currency","Number","Percent","Text","URL"}, $B181))) &gt; 0,$B181 &amp; "(" &amp; $C181 &amp; ")",$B181)))), "  ", TRIM(IF($S181 = "YES", "(External ID)", "") &amp; " " &amp; IF(SUMPRODUCT(-- ISNUMBER(SEARCH({"Unique","Unique Case Insensitive"}, $R181))) &gt; 0, "(" &amp; $R181 &amp; ")", ""))))</f>
        <v>na</v>
      </c>
      <c r="E181" s="7" t="s">
        <v>195</v>
      </c>
      <c r="F181" s="7" t="s">
        <v>195</v>
      </c>
      <c r="G181" s="7" t="s">
        <v>195</v>
      </c>
      <c r="H181" s="7" t="s">
        <v>195</v>
      </c>
      <c r="I181" s="7" t="s">
        <v>195</v>
      </c>
      <c r="J181" s="7" t="s">
        <v>195</v>
      </c>
      <c r="K181" s="7" t="s">
        <v>195</v>
      </c>
      <c r="L181" s="7" t="s">
        <v>195</v>
      </c>
      <c r="M181" s="7" t="s">
        <v>29</v>
      </c>
      <c r="N181" s="7" t="s">
        <v>29</v>
      </c>
      <c r="O181" s="7" t="s">
        <v>29</v>
      </c>
      <c r="P181" s="7" t="s">
        <v>29</v>
      </c>
      <c r="Q181" s="7" t="s">
        <v>29</v>
      </c>
      <c r="R181" s="7" t="s">
        <v>29</v>
      </c>
      <c r="S181" s="7" t="s">
        <v>29</v>
      </c>
    </row>
    <row r="182" spans="2:19">
      <c r="B182" s="7" t="s">
        <v>195</v>
      </c>
      <c r="C182" s="8" t="s">
        <v>195</v>
      </c>
      <c r="D182" s="6" t="str">
        <f>LRTRIM(CONCATENATE(IF(SUMPRODUCT(-- ISNUMBER(SEARCH({"Auto Number"}, $B182))) &gt; 0, $B182, IF(SUMPRODUCT(-- ISNUMBER(SEARCH({"Lookup","Master-Detail"}, $B182))) &gt; 0,$B182 &amp; "(" &amp; $E182 &amp; ")",IF(SUMPRODUCT(-- ISNUMBER(SEARCH({"Formula","Roll-Up Summary"}, $B182))) &gt; 0,$B182 &amp; " (" &amp; $E182 &amp; ")",IF(SUMPRODUCT(-- ISNUMBER(SEARCH({"Content","Currency","Number","Percent","Text","URL"}, $B182))) &gt; 0,$B182 &amp; "(" &amp; $C182 &amp; ")",$B182)))), "  ", TRIM(IF($S182 = "YES", "(External ID)", "") &amp; " " &amp; IF(SUMPRODUCT(-- ISNUMBER(SEARCH({"Unique","Unique Case Insensitive"}, $R182))) &gt; 0, "(" &amp; $R182 &amp; ")", ""))))</f>
        <v>na</v>
      </c>
      <c r="E182" s="7" t="s">
        <v>195</v>
      </c>
      <c r="F182" s="7" t="s">
        <v>195</v>
      </c>
      <c r="G182" s="7" t="s">
        <v>195</v>
      </c>
      <c r="H182" s="7" t="s">
        <v>195</v>
      </c>
      <c r="I182" s="7" t="s">
        <v>195</v>
      </c>
      <c r="J182" s="7" t="s">
        <v>195</v>
      </c>
      <c r="K182" s="7" t="s">
        <v>195</v>
      </c>
      <c r="L182" s="7" t="s">
        <v>195</v>
      </c>
      <c r="M182" s="7" t="s">
        <v>29</v>
      </c>
      <c r="N182" s="7" t="s">
        <v>29</v>
      </c>
      <c r="O182" s="7" t="s">
        <v>29</v>
      </c>
      <c r="P182" s="7" t="s">
        <v>29</v>
      </c>
      <c r="Q182" s="7" t="s">
        <v>29</v>
      </c>
      <c r="R182" s="7" t="s">
        <v>29</v>
      </c>
      <c r="S182" s="7" t="s">
        <v>29</v>
      </c>
    </row>
    <row r="183" spans="2:19">
      <c r="B183" s="7" t="s">
        <v>195</v>
      </c>
      <c r="C183" s="8" t="s">
        <v>195</v>
      </c>
      <c r="D183" s="6" t="str">
        <f>LRTRIM(CONCATENATE(IF(SUMPRODUCT(-- ISNUMBER(SEARCH({"Auto Number"}, $B183))) &gt; 0, $B183, IF(SUMPRODUCT(-- ISNUMBER(SEARCH({"Lookup","Master-Detail"}, $B183))) &gt; 0,$B183 &amp; "(" &amp; $E183 &amp; ")",IF(SUMPRODUCT(-- ISNUMBER(SEARCH({"Formula","Roll-Up Summary"}, $B183))) &gt; 0,$B183 &amp; " (" &amp; $E183 &amp; ")",IF(SUMPRODUCT(-- ISNUMBER(SEARCH({"Content","Currency","Number","Percent","Text","URL"}, $B183))) &gt; 0,$B183 &amp; "(" &amp; $C183 &amp; ")",$B183)))), "  ", TRIM(IF($S183 = "YES", "(External ID)", "") &amp; " " &amp; IF(SUMPRODUCT(-- ISNUMBER(SEARCH({"Unique","Unique Case Insensitive"}, $R183))) &gt; 0, "(" &amp; $R183 &amp; ")", ""))))</f>
        <v>na</v>
      </c>
      <c r="E183" s="7" t="s">
        <v>195</v>
      </c>
      <c r="F183" s="7" t="s">
        <v>195</v>
      </c>
      <c r="G183" s="7" t="s">
        <v>195</v>
      </c>
      <c r="H183" s="7" t="s">
        <v>195</v>
      </c>
      <c r="I183" s="7" t="s">
        <v>195</v>
      </c>
      <c r="J183" s="7" t="s">
        <v>195</v>
      </c>
      <c r="K183" s="7" t="s">
        <v>195</v>
      </c>
      <c r="L183" s="7" t="s">
        <v>195</v>
      </c>
      <c r="M183" s="7" t="s">
        <v>29</v>
      </c>
      <c r="N183" s="7" t="s">
        <v>29</v>
      </c>
      <c r="O183" s="7" t="s">
        <v>29</v>
      </c>
      <c r="P183" s="7" t="s">
        <v>29</v>
      </c>
      <c r="Q183" s="7" t="s">
        <v>29</v>
      </c>
      <c r="R183" s="7" t="s">
        <v>29</v>
      </c>
      <c r="S183" s="7" t="s">
        <v>29</v>
      </c>
    </row>
    <row r="184" spans="2:19">
      <c r="B184" s="7" t="s">
        <v>195</v>
      </c>
      <c r="C184" s="8" t="s">
        <v>195</v>
      </c>
      <c r="D184" s="6" t="str">
        <f>LRTRIM(CONCATENATE(IF(SUMPRODUCT(-- ISNUMBER(SEARCH({"Auto Number"}, $B184))) &gt; 0, $B184, IF(SUMPRODUCT(-- ISNUMBER(SEARCH({"Lookup","Master-Detail"}, $B184))) &gt; 0,$B184 &amp; "(" &amp; $E184 &amp; ")",IF(SUMPRODUCT(-- ISNUMBER(SEARCH({"Formula","Roll-Up Summary"}, $B184))) &gt; 0,$B184 &amp; " (" &amp; $E184 &amp; ")",IF(SUMPRODUCT(-- ISNUMBER(SEARCH({"Content","Currency","Number","Percent","Text","URL"}, $B184))) &gt; 0,$B184 &amp; "(" &amp; $C184 &amp; ")",$B184)))), "  ", TRIM(IF($S184 = "YES", "(External ID)", "") &amp; " " &amp; IF(SUMPRODUCT(-- ISNUMBER(SEARCH({"Unique","Unique Case Insensitive"}, $R184))) &gt; 0, "(" &amp; $R184 &amp; ")", ""))))</f>
        <v>na</v>
      </c>
      <c r="E184" s="7" t="s">
        <v>195</v>
      </c>
      <c r="F184" s="7" t="s">
        <v>195</v>
      </c>
      <c r="G184" s="7" t="s">
        <v>195</v>
      </c>
      <c r="H184" s="7" t="s">
        <v>195</v>
      </c>
      <c r="I184" s="7" t="s">
        <v>195</v>
      </c>
      <c r="J184" s="7" t="s">
        <v>195</v>
      </c>
      <c r="K184" s="7" t="s">
        <v>195</v>
      </c>
      <c r="L184" s="7" t="s">
        <v>195</v>
      </c>
      <c r="M184" s="7" t="s">
        <v>29</v>
      </c>
      <c r="N184" s="7" t="s">
        <v>29</v>
      </c>
      <c r="O184" s="7" t="s">
        <v>29</v>
      </c>
      <c r="P184" s="7" t="s">
        <v>29</v>
      </c>
      <c r="Q184" s="7" t="s">
        <v>29</v>
      </c>
      <c r="R184" s="7" t="s">
        <v>29</v>
      </c>
      <c r="S184" s="7" t="s">
        <v>29</v>
      </c>
    </row>
    <row r="185" spans="2:19">
      <c r="B185" s="7" t="s">
        <v>195</v>
      </c>
      <c r="C185" s="8" t="s">
        <v>195</v>
      </c>
      <c r="D185" s="6" t="str">
        <f>LRTRIM(CONCATENATE(IF(SUMPRODUCT(-- ISNUMBER(SEARCH({"Auto Number"}, $B185))) &gt; 0, $B185, IF(SUMPRODUCT(-- ISNUMBER(SEARCH({"Lookup","Master-Detail"}, $B185))) &gt; 0,$B185 &amp; "(" &amp; $E185 &amp; ")",IF(SUMPRODUCT(-- ISNUMBER(SEARCH({"Formula","Roll-Up Summary"}, $B185))) &gt; 0,$B185 &amp; " (" &amp; $E185 &amp; ")",IF(SUMPRODUCT(-- ISNUMBER(SEARCH({"Content","Currency","Number","Percent","Text","URL"}, $B185))) &gt; 0,$B185 &amp; "(" &amp; $C185 &amp; ")",$B185)))), "  ", TRIM(IF($S185 = "YES", "(External ID)", "") &amp; " " &amp; IF(SUMPRODUCT(-- ISNUMBER(SEARCH({"Unique","Unique Case Insensitive"}, $R185))) &gt; 0, "(" &amp; $R185 &amp; ")", ""))))</f>
        <v>na</v>
      </c>
      <c r="E185" s="7" t="s">
        <v>195</v>
      </c>
      <c r="F185" s="7" t="s">
        <v>195</v>
      </c>
      <c r="G185" s="7" t="s">
        <v>195</v>
      </c>
      <c r="H185" s="7" t="s">
        <v>195</v>
      </c>
      <c r="I185" s="7" t="s">
        <v>195</v>
      </c>
      <c r="J185" s="7" t="s">
        <v>195</v>
      </c>
      <c r="K185" s="7" t="s">
        <v>195</v>
      </c>
      <c r="L185" s="7" t="s">
        <v>195</v>
      </c>
      <c r="M185" s="7" t="s">
        <v>29</v>
      </c>
      <c r="N185" s="7" t="s">
        <v>29</v>
      </c>
      <c r="O185" s="7" t="s">
        <v>29</v>
      </c>
      <c r="P185" s="7" t="s">
        <v>29</v>
      </c>
      <c r="Q185" s="7" t="s">
        <v>29</v>
      </c>
      <c r="R185" s="7" t="s">
        <v>29</v>
      </c>
      <c r="S185" s="7" t="s">
        <v>29</v>
      </c>
    </row>
    <row r="186" spans="2:19">
      <c r="B186" s="7" t="s">
        <v>195</v>
      </c>
      <c r="C186" s="8" t="s">
        <v>195</v>
      </c>
      <c r="D186" s="6" t="str">
        <f>LRTRIM(CONCATENATE(IF(SUMPRODUCT(-- ISNUMBER(SEARCH({"Auto Number"}, $B186))) &gt; 0, $B186, IF(SUMPRODUCT(-- ISNUMBER(SEARCH({"Lookup","Master-Detail"}, $B186))) &gt; 0,$B186 &amp; "(" &amp; $E186 &amp; ")",IF(SUMPRODUCT(-- ISNUMBER(SEARCH({"Formula","Roll-Up Summary"}, $B186))) &gt; 0,$B186 &amp; " (" &amp; $E186 &amp; ")",IF(SUMPRODUCT(-- ISNUMBER(SEARCH({"Content","Currency","Number","Percent","Text","URL"}, $B186))) &gt; 0,$B186 &amp; "(" &amp; $C186 &amp; ")",$B186)))), "  ", TRIM(IF($S186 = "YES", "(External ID)", "") &amp; " " &amp; IF(SUMPRODUCT(-- ISNUMBER(SEARCH({"Unique","Unique Case Insensitive"}, $R186))) &gt; 0, "(" &amp; $R186 &amp; ")", ""))))</f>
        <v>na</v>
      </c>
      <c r="E186" s="7" t="s">
        <v>195</v>
      </c>
      <c r="F186" s="7" t="s">
        <v>195</v>
      </c>
      <c r="G186" s="7" t="s">
        <v>195</v>
      </c>
      <c r="H186" s="7" t="s">
        <v>195</v>
      </c>
      <c r="I186" s="7" t="s">
        <v>195</v>
      </c>
      <c r="J186" s="7" t="s">
        <v>195</v>
      </c>
      <c r="K186" s="7" t="s">
        <v>195</v>
      </c>
      <c r="L186" s="7" t="s">
        <v>195</v>
      </c>
      <c r="M186" s="7" t="s">
        <v>29</v>
      </c>
      <c r="N186" s="7" t="s">
        <v>29</v>
      </c>
      <c r="O186" s="7" t="s">
        <v>29</v>
      </c>
      <c r="P186" s="7" t="s">
        <v>29</v>
      </c>
      <c r="Q186" s="7" t="s">
        <v>29</v>
      </c>
      <c r="R186" s="7" t="s">
        <v>29</v>
      </c>
      <c r="S186" s="7" t="s">
        <v>29</v>
      </c>
    </row>
    <row r="187" spans="2:19">
      <c r="B187" s="7" t="s">
        <v>195</v>
      </c>
      <c r="C187" s="8" t="s">
        <v>195</v>
      </c>
      <c r="D187" s="6" t="str">
        <f>LRTRIM(CONCATENATE(IF(SUMPRODUCT(-- ISNUMBER(SEARCH({"Auto Number"}, $B187))) &gt; 0, $B187, IF(SUMPRODUCT(-- ISNUMBER(SEARCH({"Lookup","Master-Detail"}, $B187))) &gt; 0,$B187 &amp; "(" &amp; $E187 &amp; ")",IF(SUMPRODUCT(-- ISNUMBER(SEARCH({"Formula","Roll-Up Summary"}, $B187))) &gt; 0,$B187 &amp; " (" &amp; $E187 &amp; ")",IF(SUMPRODUCT(-- ISNUMBER(SEARCH({"Content","Currency","Number","Percent","Text","URL"}, $B187))) &gt; 0,$B187 &amp; "(" &amp; $C187 &amp; ")",$B187)))), "  ", TRIM(IF($S187 = "YES", "(External ID)", "") &amp; " " &amp; IF(SUMPRODUCT(-- ISNUMBER(SEARCH({"Unique","Unique Case Insensitive"}, $R187))) &gt; 0, "(" &amp; $R187 &amp; ")", ""))))</f>
        <v>na</v>
      </c>
      <c r="E187" s="7" t="s">
        <v>195</v>
      </c>
      <c r="F187" s="7" t="s">
        <v>195</v>
      </c>
      <c r="G187" s="7" t="s">
        <v>195</v>
      </c>
      <c r="H187" s="7" t="s">
        <v>195</v>
      </c>
      <c r="I187" s="7" t="s">
        <v>195</v>
      </c>
      <c r="J187" s="7" t="s">
        <v>195</v>
      </c>
      <c r="K187" s="7" t="s">
        <v>195</v>
      </c>
      <c r="L187" s="7" t="s">
        <v>195</v>
      </c>
      <c r="M187" s="7" t="s">
        <v>29</v>
      </c>
      <c r="N187" s="7" t="s">
        <v>29</v>
      </c>
      <c r="O187" s="7" t="s">
        <v>29</v>
      </c>
      <c r="P187" s="7" t="s">
        <v>29</v>
      </c>
      <c r="Q187" s="7" t="s">
        <v>29</v>
      </c>
      <c r="R187" s="7" t="s">
        <v>29</v>
      </c>
      <c r="S187" s="7" t="s">
        <v>29</v>
      </c>
    </row>
    <row r="188" spans="2:19">
      <c r="B188" s="7" t="s">
        <v>195</v>
      </c>
      <c r="C188" s="8" t="s">
        <v>195</v>
      </c>
      <c r="D188" s="6" t="str">
        <f>LRTRIM(CONCATENATE(IF(SUMPRODUCT(-- ISNUMBER(SEARCH({"Auto Number"}, $B188))) &gt; 0, $B188, IF(SUMPRODUCT(-- ISNUMBER(SEARCH({"Lookup","Master-Detail"}, $B188))) &gt; 0,$B188 &amp; "(" &amp; $E188 &amp; ")",IF(SUMPRODUCT(-- ISNUMBER(SEARCH({"Formula","Roll-Up Summary"}, $B188))) &gt; 0,$B188 &amp; " (" &amp; $E188 &amp; ")",IF(SUMPRODUCT(-- ISNUMBER(SEARCH({"Content","Currency","Number","Percent","Text","URL"}, $B188))) &gt; 0,$B188 &amp; "(" &amp; $C188 &amp; ")",$B188)))), "  ", TRIM(IF($S188 = "YES", "(External ID)", "") &amp; " " &amp; IF(SUMPRODUCT(-- ISNUMBER(SEARCH({"Unique","Unique Case Insensitive"}, $R188))) &gt; 0, "(" &amp; $R188 &amp; ")", ""))))</f>
        <v>na</v>
      </c>
      <c r="E188" s="7" t="s">
        <v>195</v>
      </c>
      <c r="F188" s="7" t="s">
        <v>195</v>
      </c>
      <c r="G188" s="7" t="s">
        <v>195</v>
      </c>
      <c r="H188" s="7" t="s">
        <v>195</v>
      </c>
      <c r="I188" s="7" t="s">
        <v>195</v>
      </c>
      <c r="J188" s="7" t="s">
        <v>195</v>
      </c>
      <c r="K188" s="7" t="s">
        <v>195</v>
      </c>
      <c r="L188" s="7" t="s">
        <v>195</v>
      </c>
      <c r="M188" s="7" t="s">
        <v>29</v>
      </c>
      <c r="N188" s="7" t="s">
        <v>29</v>
      </c>
      <c r="O188" s="7" t="s">
        <v>29</v>
      </c>
      <c r="P188" s="7" t="s">
        <v>29</v>
      </c>
      <c r="Q188" s="7" t="s">
        <v>29</v>
      </c>
      <c r="R188" s="7" t="s">
        <v>29</v>
      </c>
      <c r="S188" s="7" t="s">
        <v>29</v>
      </c>
    </row>
    <row r="189" spans="2:19">
      <c r="B189" s="7" t="s">
        <v>195</v>
      </c>
      <c r="C189" s="8" t="s">
        <v>195</v>
      </c>
      <c r="D189" s="6" t="str">
        <f>LRTRIM(CONCATENATE(IF(SUMPRODUCT(-- ISNUMBER(SEARCH({"Auto Number"}, $B189))) &gt; 0, $B189, IF(SUMPRODUCT(-- ISNUMBER(SEARCH({"Lookup","Master-Detail"}, $B189))) &gt; 0,$B189 &amp; "(" &amp; $E189 &amp; ")",IF(SUMPRODUCT(-- ISNUMBER(SEARCH({"Formula","Roll-Up Summary"}, $B189))) &gt; 0,$B189 &amp; " (" &amp; $E189 &amp; ")",IF(SUMPRODUCT(-- ISNUMBER(SEARCH({"Content","Currency","Number","Percent","Text","URL"}, $B189))) &gt; 0,$B189 &amp; "(" &amp; $C189 &amp; ")",$B189)))), "  ", TRIM(IF($S189 = "YES", "(External ID)", "") &amp; " " &amp; IF(SUMPRODUCT(-- ISNUMBER(SEARCH({"Unique","Unique Case Insensitive"}, $R189))) &gt; 0, "(" &amp; $R189 &amp; ")", ""))))</f>
        <v>na</v>
      </c>
      <c r="E189" s="7" t="s">
        <v>195</v>
      </c>
      <c r="F189" s="7" t="s">
        <v>195</v>
      </c>
      <c r="G189" s="7" t="s">
        <v>195</v>
      </c>
      <c r="H189" s="7" t="s">
        <v>195</v>
      </c>
      <c r="I189" s="7" t="s">
        <v>195</v>
      </c>
      <c r="J189" s="7" t="s">
        <v>195</v>
      </c>
      <c r="K189" s="7" t="s">
        <v>195</v>
      </c>
      <c r="L189" s="7" t="s">
        <v>195</v>
      </c>
      <c r="M189" s="7" t="s">
        <v>29</v>
      </c>
      <c r="N189" s="7" t="s">
        <v>29</v>
      </c>
      <c r="O189" s="7" t="s">
        <v>29</v>
      </c>
      <c r="P189" s="7" t="s">
        <v>29</v>
      </c>
      <c r="Q189" s="7" t="s">
        <v>29</v>
      </c>
      <c r="R189" s="7" t="s">
        <v>29</v>
      </c>
      <c r="S189" s="7" t="s">
        <v>29</v>
      </c>
    </row>
    <row r="190" spans="2:19">
      <c r="B190" s="7" t="s">
        <v>195</v>
      </c>
      <c r="C190" s="8" t="s">
        <v>195</v>
      </c>
      <c r="D190" s="6" t="str">
        <f>LRTRIM(CONCATENATE(IF(SUMPRODUCT(-- ISNUMBER(SEARCH({"Auto Number"}, $B190))) &gt; 0, $B190, IF(SUMPRODUCT(-- ISNUMBER(SEARCH({"Lookup","Master-Detail"}, $B190))) &gt; 0,$B190 &amp; "(" &amp; $E190 &amp; ")",IF(SUMPRODUCT(-- ISNUMBER(SEARCH({"Formula","Roll-Up Summary"}, $B190))) &gt; 0,$B190 &amp; " (" &amp; $E190 &amp; ")",IF(SUMPRODUCT(-- ISNUMBER(SEARCH({"Content","Currency","Number","Percent","Text","URL"}, $B190))) &gt; 0,$B190 &amp; "(" &amp; $C190 &amp; ")",$B190)))), "  ", TRIM(IF($S190 = "YES", "(External ID)", "") &amp; " " &amp; IF(SUMPRODUCT(-- ISNUMBER(SEARCH({"Unique","Unique Case Insensitive"}, $R190))) &gt; 0, "(" &amp; $R190 &amp; ")", ""))))</f>
        <v>na</v>
      </c>
      <c r="E190" s="7" t="s">
        <v>195</v>
      </c>
      <c r="F190" s="7" t="s">
        <v>195</v>
      </c>
      <c r="G190" s="7" t="s">
        <v>195</v>
      </c>
      <c r="H190" s="7" t="s">
        <v>195</v>
      </c>
      <c r="I190" s="7" t="s">
        <v>195</v>
      </c>
      <c r="J190" s="7" t="s">
        <v>195</v>
      </c>
      <c r="K190" s="7" t="s">
        <v>195</v>
      </c>
      <c r="L190" s="7" t="s">
        <v>195</v>
      </c>
      <c r="M190" s="7" t="s">
        <v>29</v>
      </c>
      <c r="N190" s="7" t="s">
        <v>29</v>
      </c>
      <c r="O190" s="7" t="s">
        <v>29</v>
      </c>
      <c r="P190" s="7" t="s">
        <v>29</v>
      </c>
      <c r="Q190" s="7" t="s">
        <v>29</v>
      </c>
      <c r="R190" s="7" t="s">
        <v>29</v>
      </c>
      <c r="S190" s="7" t="s">
        <v>29</v>
      </c>
    </row>
    <row r="191" spans="2:19">
      <c r="B191" s="7" t="s">
        <v>195</v>
      </c>
      <c r="C191" s="8" t="s">
        <v>195</v>
      </c>
      <c r="D191" s="6" t="str">
        <f>LRTRIM(CONCATENATE(IF(SUMPRODUCT(-- ISNUMBER(SEARCH({"Auto Number"}, $B191))) &gt; 0, $B191, IF(SUMPRODUCT(-- ISNUMBER(SEARCH({"Lookup","Master-Detail"}, $B191))) &gt; 0,$B191 &amp; "(" &amp; $E191 &amp; ")",IF(SUMPRODUCT(-- ISNUMBER(SEARCH({"Formula","Roll-Up Summary"}, $B191))) &gt; 0,$B191 &amp; " (" &amp; $E191 &amp; ")",IF(SUMPRODUCT(-- ISNUMBER(SEARCH({"Content","Currency","Number","Percent","Text","URL"}, $B191))) &gt; 0,$B191 &amp; "(" &amp; $C191 &amp; ")",$B191)))), "  ", TRIM(IF($S191 = "YES", "(External ID)", "") &amp; " " &amp; IF(SUMPRODUCT(-- ISNUMBER(SEARCH({"Unique","Unique Case Insensitive"}, $R191))) &gt; 0, "(" &amp; $R191 &amp; ")", ""))))</f>
        <v>na</v>
      </c>
      <c r="E191" s="7" t="s">
        <v>195</v>
      </c>
      <c r="F191" s="7" t="s">
        <v>195</v>
      </c>
      <c r="G191" s="7" t="s">
        <v>195</v>
      </c>
      <c r="H191" s="7" t="s">
        <v>195</v>
      </c>
      <c r="I191" s="7" t="s">
        <v>195</v>
      </c>
      <c r="J191" s="7" t="s">
        <v>195</v>
      </c>
      <c r="K191" s="7" t="s">
        <v>195</v>
      </c>
      <c r="L191" s="7" t="s">
        <v>195</v>
      </c>
      <c r="M191" s="7" t="s">
        <v>29</v>
      </c>
      <c r="N191" s="7" t="s">
        <v>29</v>
      </c>
      <c r="O191" s="7" t="s">
        <v>29</v>
      </c>
      <c r="P191" s="7" t="s">
        <v>29</v>
      </c>
      <c r="Q191" s="7" t="s">
        <v>29</v>
      </c>
      <c r="R191" s="7" t="s">
        <v>29</v>
      </c>
      <c r="S191" s="7" t="s">
        <v>29</v>
      </c>
    </row>
    <row r="192" spans="2:19">
      <c r="B192" s="7" t="s">
        <v>195</v>
      </c>
      <c r="C192" s="8" t="s">
        <v>195</v>
      </c>
      <c r="D192" s="6" t="str">
        <f>LRTRIM(CONCATENATE(IF(SUMPRODUCT(-- ISNUMBER(SEARCH({"Auto Number"}, $B192))) &gt; 0, $B192, IF(SUMPRODUCT(-- ISNUMBER(SEARCH({"Lookup","Master-Detail"}, $B192))) &gt; 0,$B192 &amp; "(" &amp; $E192 &amp; ")",IF(SUMPRODUCT(-- ISNUMBER(SEARCH({"Formula","Roll-Up Summary"}, $B192))) &gt; 0,$B192 &amp; " (" &amp; $E192 &amp; ")",IF(SUMPRODUCT(-- ISNUMBER(SEARCH({"Content","Currency","Number","Percent","Text","URL"}, $B192))) &gt; 0,$B192 &amp; "(" &amp; $C192 &amp; ")",$B192)))), "  ", TRIM(IF($S192 = "YES", "(External ID)", "") &amp; " " &amp; IF(SUMPRODUCT(-- ISNUMBER(SEARCH({"Unique","Unique Case Insensitive"}, $R192))) &gt; 0, "(" &amp; $R192 &amp; ")", ""))))</f>
        <v>na</v>
      </c>
      <c r="E192" s="7" t="s">
        <v>195</v>
      </c>
      <c r="F192" s="7" t="s">
        <v>195</v>
      </c>
      <c r="G192" s="7" t="s">
        <v>195</v>
      </c>
      <c r="H192" s="7" t="s">
        <v>195</v>
      </c>
      <c r="I192" s="7" t="s">
        <v>195</v>
      </c>
      <c r="J192" s="7" t="s">
        <v>195</v>
      </c>
      <c r="K192" s="7" t="s">
        <v>195</v>
      </c>
      <c r="L192" s="7" t="s">
        <v>195</v>
      </c>
      <c r="M192" s="7" t="s">
        <v>29</v>
      </c>
      <c r="N192" s="7" t="s">
        <v>29</v>
      </c>
      <c r="O192" s="7" t="s">
        <v>29</v>
      </c>
      <c r="P192" s="7" t="s">
        <v>29</v>
      </c>
      <c r="Q192" s="7" t="s">
        <v>29</v>
      </c>
      <c r="R192" s="7" t="s">
        <v>29</v>
      </c>
      <c r="S192" s="7" t="s">
        <v>29</v>
      </c>
    </row>
    <row r="193" spans="2:19">
      <c r="B193" s="7" t="s">
        <v>195</v>
      </c>
      <c r="C193" s="8" t="s">
        <v>195</v>
      </c>
      <c r="D193" s="6" t="str">
        <f>LRTRIM(CONCATENATE(IF(SUMPRODUCT(-- ISNUMBER(SEARCH({"Auto Number"}, $B193))) &gt; 0, $B193, IF(SUMPRODUCT(-- ISNUMBER(SEARCH({"Lookup","Master-Detail"}, $B193))) &gt; 0,$B193 &amp; "(" &amp; $E193 &amp; ")",IF(SUMPRODUCT(-- ISNUMBER(SEARCH({"Formula","Roll-Up Summary"}, $B193))) &gt; 0,$B193 &amp; " (" &amp; $E193 &amp; ")",IF(SUMPRODUCT(-- ISNUMBER(SEARCH({"Content","Currency","Number","Percent","Text","URL"}, $B193))) &gt; 0,$B193 &amp; "(" &amp; $C193 &amp; ")",$B193)))), "  ", TRIM(IF($S193 = "YES", "(External ID)", "") &amp; " " &amp; IF(SUMPRODUCT(-- ISNUMBER(SEARCH({"Unique","Unique Case Insensitive"}, $R193))) &gt; 0, "(" &amp; $R193 &amp; ")", ""))))</f>
        <v>na</v>
      </c>
      <c r="E193" s="7" t="s">
        <v>195</v>
      </c>
      <c r="F193" s="7" t="s">
        <v>195</v>
      </c>
      <c r="G193" s="7" t="s">
        <v>195</v>
      </c>
      <c r="H193" s="7" t="s">
        <v>195</v>
      </c>
      <c r="I193" s="7" t="s">
        <v>195</v>
      </c>
      <c r="J193" s="7" t="s">
        <v>195</v>
      </c>
      <c r="K193" s="7" t="s">
        <v>195</v>
      </c>
      <c r="L193" s="7" t="s">
        <v>195</v>
      </c>
      <c r="M193" s="7" t="s">
        <v>29</v>
      </c>
      <c r="N193" s="7" t="s">
        <v>29</v>
      </c>
      <c r="O193" s="7" t="s">
        <v>29</v>
      </c>
      <c r="P193" s="7" t="s">
        <v>29</v>
      </c>
      <c r="Q193" s="7" t="s">
        <v>29</v>
      </c>
      <c r="R193" s="7" t="s">
        <v>29</v>
      </c>
      <c r="S193" s="7" t="s">
        <v>29</v>
      </c>
    </row>
    <row r="194" spans="2:19">
      <c r="B194" s="7" t="s">
        <v>195</v>
      </c>
      <c r="C194" s="8" t="s">
        <v>195</v>
      </c>
      <c r="D194" s="6" t="str">
        <f>LRTRIM(CONCATENATE(IF(SUMPRODUCT(-- ISNUMBER(SEARCH({"Auto Number"}, $B194))) &gt; 0, $B194, IF(SUMPRODUCT(-- ISNUMBER(SEARCH({"Lookup","Master-Detail"}, $B194))) &gt; 0,$B194 &amp; "(" &amp; $E194 &amp; ")",IF(SUMPRODUCT(-- ISNUMBER(SEARCH({"Formula","Roll-Up Summary"}, $B194))) &gt; 0,$B194 &amp; " (" &amp; $E194 &amp; ")",IF(SUMPRODUCT(-- ISNUMBER(SEARCH({"Content","Currency","Number","Percent","Text","URL"}, $B194))) &gt; 0,$B194 &amp; "(" &amp; $C194 &amp; ")",$B194)))), "  ", TRIM(IF($S194 = "YES", "(External ID)", "") &amp; " " &amp; IF(SUMPRODUCT(-- ISNUMBER(SEARCH({"Unique","Unique Case Insensitive"}, $R194))) &gt; 0, "(" &amp; $R194 &amp; ")", ""))))</f>
        <v>na</v>
      </c>
      <c r="E194" s="7" t="s">
        <v>195</v>
      </c>
      <c r="F194" s="7" t="s">
        <v>195</v>
      </c>
      <c r="G194" s="7" t="s">
        <v>195</v>
      </c>
      <c r="H194" s="7" t="s">
        <v>195</v>
      </c>
      <c r="I194" s="7" t="s">
        <v>195</v>
      </c>
      <c r="J194" s="7" t="s">
        <v>195</v>
      </c>
      <c r="K194" s="7" t="s">
        <v>195</v>
      </c>
      <c r="L194" s="7" t="s">
        <v>195</v>
      </c>
      <c r="M194" s="7" t="s">
        <v>29</v>
      </c>
      <c r="N194" s="7" t="s">
        <v>29</v>
      </c>
      <c r="O194" s="7" t="s">
        <v>29</v>
      </c>
      <c r="P194" s="7" t="s">
        <v>29</v>
      </c>
      <c r="Q194" s="7" t="s">
        <v>29</v>
      </c>
      <c r="R194" s="7" t="s">
        <v>29</v>
      </c>
      <c r="S194" s="7" t="s">
        <v>29</v>
      </c>
    </row>
    <row r="195" spans="2:19">
      <c r="B195" s="7" t="s">
        <v>195</v>
      </c>
      <c r="C195" s="8" t="s">
        <v>195</v>
      </c>
      <c r="D195" s="6" t="str">
        <f>LRTRIM(CONCATENATE(IF(SUMPRODUCT(-- ISNUMBER(SEARCH({"Auto Number"}, $B195))) &gt; 0, $B195, IF(SUMPRODUCT(-- ISNUMBER(SEARCH({"Lookup","Master-Detail"}, $B195))) &gt; 0,$B195 &amp; "(" &amp; $E195 &amp; ")",IF(SUMPRODUCT(-- ISNUMBER(SEARCH({"Formula","Roll-Up Summary"}, $B195))) &gt; 0,$B195 &amp; " (" &amp; $E195 &amp; ")",IF(SUMPRODUCT(-- ISNUMBER(SEARCH({"Content","Currency","Number","Percent","Text","URL"}, $B195))) &gt; 0,$B195 &amp; "(" &amp; $C195 &amp; ")",$B195)))), "  ", TRIM(IF($S195 = "YES", "(External ID)", "") &amp; " " &amp; IF(SUMPRODUCT(-- ISNUMBER(SEARCH({"Unique","Unique Case Insensitive"}, $R195))) &gt; 0, "(" &amp; $R195 &amp; ")", ""))))</f>
        <v>na</v>
      </c>
      <c r="E195" s="7" t="s">
        <v>195</v>
      </c>
      <c r="F195" s="7" t="s">
        <v>195</v>
      </c>
      <c r="G195" s="7" t="s">
        <v>195</v>
      </c>
      <c r="H195" s="7" t="s">
        <v>195</v>
      </c>
      <c r="I195" s="7" t="s">
        <v>195</v>
      </c>
      <c r="J195" s="7" t="s">
        <v>195</v>
      </c>
      <c r="K195" s="7" t="s">
        <v>195</v>
      </c>
      <c r="L195" s="7" t="s">
        <v>195</v>
      </c>
      <c r="M195" s="7" t="s">
        <v>29</v>
      </c>
      <c r="N195" s="7" t="s">
        <v>29</v>
      </c>
      <c r="O195" s="7" t="s">
        <v>29</v>
      </c>
      <c r="P195" s="7" t="s">
        <v>29</v>
      </c>
      <c r="Q195" s="7" t="s">
        <v>29</v>
      </c>
      <c r="R195" s="7" t="s">
        <v>29</v>
      </c>
      <c r="S195" s="7" t="s">
        <v>29</v>
      </c>
    </row>
    <row r="196" spans="2:19">
      <c r="B196" s="7" t="s">
        <v>195</v>
      </c>
      <c r="C196" s="8" t="s">
        <v>195</v>
      </c>
      <c r="D196" s="6" t="str">
        <f>LRTRIM(CONCATENATE(IF(SUMPRODUCT(-- ISNUMBER(SEARCH({"Auto Number"}, $B196))) &gt; 0, $B196, IF(SUMPRODUCT(-- ISNUMBER(SEARCH({"Lookup","Master-Detail"}, $B196))) &gt; 0,$B196 &amp; "(" &amp; $E196 &amp; ")",IF(SUMPRODUCT(-- ISNUMBER(SEARCH({"Formula","Roll-Up Summary"}, $B196))) &gt; 0,$B196 &amp; " (" &amp; $E196 &amp; ")",IF(SUMPRODUCT(-- ISNUMBER(SEARCH({"Content","Currency","Number","Percent","Text","URL"}, $B196))) &gt; 0,$B196 &amp; "(" &amp; $C196 &amp; ")",$B196)))), "  ", TRIM(IF($S196 = "YES", "(External ID)", "") &amp; " " &amp; IF(SUMPRODUCT(-- ISNUMBER(SEARCH({"Unique","Unique Case Insensitive"}, $R196))) &gt; 0, "(" &amp; $R196 &amp; ")", ""))))</f>
        <v>na</v>
      </c>
      <c r="E196" s="7" t="s">
        <v>195</v>
      </c>
      <c r="F196" s="7" t="s">
        <v>195</v>
      </c>
      <c r="G196" s="7" t="s">
        <v>195</v>
      </c>
      <c r="H196" s="7" t="s">
        <v>195</v>
      </c>
      <c r="I196" s="7" t="s">
        <v>195</v>
      </c>
      <c r="J196" s="7" t="s">
        <v>195</v>
      </c>
      <c r="K196" s="7" t="s">
        <v>195</v>
      </c>
      <c r="L196" s="7" t="s">
        <v>195</v>
      </c>
      <c r="M196" s="7" t="s">
        <v>29</v>
      </c>
      <c r="N196" s="7" t="s">
        <v>29</v>
      </c>
      <c r="O196" s="7" t="s">
        <v>29</v>
      </c>
      <c r="P196" s="7" t="s">
        <v>29</v>
      </c>
      <c r="Q196" s="7" t="s">
        <v>29</v>
      </c>
      <c r="R196" s="7" t="s">
        <v>29</v>
      </c>
      <c r="S196" s="7" t="s">
        <v>29</v>
      </c>
    </row>
    <row r="197" spans="2:19">
      <c r="B197" s="7" t="s">
        <v>195</v>
      </c>
      <c r="C197" s="8" t="s">
        <v>195</v>
      </c>
      <c r="D197" s="6" t="str">
        <f>LRTRIM(CONCATENATE(IF(SUMPRODUCT(-- ISNUMBER(SEARCH({"Auto Number"}, $B197))) &gt; 0, $B197, IF(SUMPRODUCT(-- ISNUMBER(SEARCH({"Lookup","Master-Detail"}, $B197))) &gt; 0,$B197 &amp; "(" &amp; $E197 &amp; ")",IF(SUMPRODUCT(-- ISNUMBER(SEARCH({"Formula","Roll-Up Summary"}, $B197))) &gt; 0,$B197 &amp; " (" &amp; $E197 &amp; ")",IF(SUMPRODUCT(-- ISNUMBER(SEARCH({"Content","Currency","Number","Percent","Text","URL"}, $B197))) &gt; 0,$B197 &amp; "(" &amp; $C197 &amp; ")",$B197)))), "  ", TRIM(IF($S197 = "YES", "(External ID)", "") &amp; " " &amp; IF(SUMPRODUCT(-- ISNUMBER(SEARCH({"Unique","Unique Case Insensitive"}, $R197))) &gt; 0, "(" &amp; $R197 &amp; ")", ""))))</f>
        <v>na</v>
      </c>
      <c r="E197" s="7" t="s">
        <v>195</v>
      </c>
      <c r="F197" s="7" t="s">
        <v>195</v>
      </c>
      <c r="G197" s="7" t="s">
        <v>195</v>
      </c>
      <c r="H197" s="7" t="s">
        <v>195</v>
      </c>
      <c r="I197" s="7" t="s">
        <v>195</v>
      </c>
      <c r="J197" s="7" t="s">
        <v>195</v>
      </c>
      <c r="K197" s="7" t="s">
        <v>195</v>
      </c>
      <c r="L197" s="7" t="s">
        <v>195</v>
      </c>
      <c r="M197" s="7" t="s">
        <v>29</v>
      </c>
      <c r="N197" s="7" t="s">
        <v>29</v>
      </c>
      <c r="O197" s="7" t="s">
        <v>29</v>
      </c>
      <c r="P197" s="7" t="s">
        <v>29</v>
      </c>
      <c r="Q197" s="7" t="s">
        <v>29</v>
      </c>
      <c r="R197" s="7" t="s">
        <v>29</v>
      </c>
      <c r="S197" s="7" t="s">
        <v>29</v>
      </c>
    </row>
    <row r="198" spans="2:19">
      <c r="B198" s="7" t="s">
        <v>195</v>
      </c>
      <c r="C198" s="8" t="s">
        <v>195</v>
      </c>
      <c r="D198" s="6" t="str">
        <f>LRTRIM(CONCATENATE(IF(SUMPRODUCT(-- ISNUMBER(SEARCH({"Auto Number"}, $B198))) &gt; 0, $B198, IF(SUMPRODUCT(-- ISNUMBER(SEARCH({"Lookup","Master-Detail"}, $B198))) &gt; 0,$B198 &amp; "(" &amp; $E198 &amp; ")",IF(SUMPRODUCT(-- ISNUMBER(SEARCH({"Formula","Roll-Up Summary"}, $B198))) &gt; 0,$B198 &amp; " (" &amp; $E198 &amp; ")",IF(SUMPRODUCT(-- ISNUMBER(SEARCH({"Content","Currency","Number","Percent","Text","URL"}, $B198))) &gt; 0,$B198 &amp; "(" &amp; $C198 &amp; ")",$B198)))), "  ", TRIM(IF($S198 = "YES", "(External ID)", "") &amp; " " &amp; IF(SUMPRODUCT(-- ISNUMBER(SEARCH({"Unique","Unique Case Insensitive"}, $R198))) &gt; 0, "(" &amp; $R198 &amp; ")", ""))))</f>
        <v>na</v>
      </c>
      <c r="E198" s="7" t="s">
        <v>195</v>
      </c>
      <c r="F198" s="7" t="s">
        <v>195</v>
      </c>
      <c r="G198" s="7" t="s">
        <v>195</v>
      </c>
      <c r="H198" s="7" t="s">
        <v>195</v>
      </c>
      <c r="I198" s="7" t="s">
        <v>195</v>
      </c>
      <c r="J198" s="7" t="s">
        <v>195</v>
      </c>
      <c r="K198" s="7" t="s">
        <v>195</v>
      </c>
      <c r="L198" s="7" t="s">
        <v>195</v>
      </c>
      <c r="M198" s="7" t="s">
        <v>29</v>
      </c>
      <c r="N198" s="7" t="s">
        <v>29</v>
      </c>
      <c r="O198" s="7" t="s">
        <v>29</v>
      </c>
      <c r="P198" s="7" t="s">
        <v>29</v>
      </c>
      <c r="Q198" s="7" t="s">
        <v>29</v>
      </c>
      <c r="R198" s="7" t="s">
        <v>29</v>
      </c>
      <c r="S198" s="7" t="s">
        <v>29</v>
      </c>
    </row>
    <row r="199" spans="2:19">
      <c r="B199" s="7" t="s">
        <v>195</v>
      </c>
      <c r="C199" s="8" t="s">
        <v>195</v>
      </c>
      <c r="D199" s="6" t="str">
        <f>LRTRIM(CONCATENATE(IF(SUMPRODUCT(-- ISNUMBER(SEARCH({"Auto Number"}, $B199))) &gt; 0, $B199, IF(SUMPRODUCT(-- ISNUMBER(SEARCH({"Lookup","Master-Detail"}, $B199))) &gt; 0,$B199 &amp; "(" &amp; $E199 &amp; ")",IF(SUMPRODUCT(-- ISNUMBER(SEARCH({"Formula","Roll-Up Summary"}, $B199))) &gt; 0,$B199 &amp; " (" &amp; $E199 &amp; ")",IF(SUMPRODUCT(-- ISNUMBER(SEARCH({"Content","Currency","Number","Percent","Text","URL"}, $B199))) &gt; 0,$B199 &amp; "(" &amp; $C199 &amp; ")",$B199)))), "  ", TRIM(IF($S199 = "YES", "(External ID)", "") &amp; " " &amp; IF(SUMPRODUCT(-- ISNUMBER(SEARCH({"Unique","Unique Case Insensitive"}, $R199))) &gt; 0, "(" &amp; $R199 &amp; ")", ""))))</f>
        <v>na</v>
      </c>
      <c r="E199" s="7" t="s">
        <v>195</v>
      </c>
      <c r="F199" s="7" t="s">
        <v>195</v>
      </c>
      <c r="G199" s="7" t="s">
        <v>195</v>
      </c>
      <c r="H199" s="7" t="s">
        <v>195</v>
      </c>
      <c r="I199" s="7" t="s">
        <v>195</v>
      </c>
      <c r="J199" s="7" t="s">
        <v>195</v>
      </c>
      <c r="K199" s="7" t="s">
        <v>195</v>
      </c>
      <c r="L199" s="7" t="s">
        <v>195</v>
      </c>
      <c r="M199" s="7" t="s">
        <v>29</v>
      </c>
      <c r="N199" s="7" t="s">
        <v>29</v>
      </c>
      <c r="O199" s="7" t="s">
        <v>29</v>
      </c>
      <c r="P199" s="7" t="s">
        <v>29</v>
      </c>
      <c r="Q199" s="7" t="s">
        <v>29</v>
      </c>
      <c r="R199" s="7" t="s">
        <v>29</v>
      </c>
      <c r="S199" s="7" t="s">
        <v>29</v>
      </c>
    </row>
    <row r="200" spans="2:19">
      <c r="B200" s="7" t="s">
        <v>195</v>
      </c>
      <c r="C200" s="8" t="s">
        <v>195</v>
      </c>
      <c r="D200" s="6" t="str">
        <f>LRTRIM(CONCATENATE(IF(SUMPRODUCT(-- ISNUMBER(SEARCH({"Auto Number"}, $B200))) &gt; 0, $B200, IF(SUMPRODUCT(-- ISNUMBER(SEARCH({"Lookup","Master-Detail"}, $B200))) &gt; 0,$B200 &amp; "(" &amp; $E200 &amp; ")",IF(SUMPRODUCT(-- ISNUMBER(SEARCH({"Formula","Roll-Up Summary"}, $B200))) &gt; 0,$B200 &amp; " (" &amp; $E200 &amp; ")",IF(SUMPRODUCT(-- ISNUMBER(SEARCH({"Content","Currency","Number","Percent","Text","URL"}, $B200))) &gt; 0,$B200 &amp; "(" &amp; $C200 &amp; ")",$B200)))), "  ", TRIM(IF($S200 = "YES", "(External ID)", "") &amp; " " &amp; IF(SUMPRODUCT(-- ISNUMBER(SEARCH({"Unique","Unique Case Insensitive"}, $R200))) &gt; 0, "(" &amp; $R200 &amp; ")", ""))))</f>
        <v>na</v>
      </c>
      <c r="E200" s="7" t="s">
        <v>195</v>
      </c>
      <c r="F200" s="7" t="s">
        <v>195</v>
      </c>
      <c r="G200" s="7" t="s">
        <v>195</v>
      </c>
      <c r="H200" s="7" t="s">
        <v>195</v>
      </c>
      <c r="I200" s="7" t="s">
        <v>195</v>
      </c>
      <c r="J200" s="7" t="s">
        <v>195</v>
      </c>
      <c r="K200" s="7" t="s">
        <v>195</v>
      </c>
      <c r="L200" s="7" t="s">
        <v>195</v>
      </c>
      <c r="M200" s="7" t="s">
        <v>29</v>
      </c>
      <c r="N200" s="7" t="s">
        <v>29</v>
      </c>
      <c r="O200" s="7" t="s">
        <v>29</v>
      </c>
      <c r="P200" s="7" t="s">
        <v>29</v>
      </c>
      <c r="Q200" s="7" t="s">
        <v>29</v>
      </c>
      <c r="R200" s="7" t="s">
        <v>29</v>
      </c>
      <c r="S200" s="7" t="s">
        <v>29</v>
      </c>
    </row>
  </sheetData>
  <sheetProtection formatCells="0" formatColumns="0" formatRows="0" insertColumns="0" insertRows="0" insertHyperlinks="0" deleteColumns="0" deleteRows="0" sort="0" autoFilter="0" pivotTables="0"/>
  <conditionalFormatting sqref="D2:D20">
    <cfRule type="expression" dxfId="30" priority="3">
      <formula>NOT(_xlfn.ISFORMULA($D2))</formula>
    </cfRule>
  </conditionalFormatting>
  <conditionalFormatting sqref="D21">
    <cfRule type="expression" dxfId="29" priority="2">
      <formula>NOT(_xlfn.ISFORMULA($D21))</formula>
    </cfRule>
  </conditionalFormatting>
  <conditionalFormatting sqref="D22:D200">
    <cfRule type="expression" dxfId="28" priority="1">
      <formula>NOT(_xlfn.ISFORMULA($D22))</formula>
    </cfRule>
  </conditionalFormatting>
  <dataValidations count="1">
    <dataValidation allowBlank="1" showInputMessage="1" showErrorMessage="1" sqref="A2:A20"/>
  </dataValidations>
  <pageMargins left="0.7" right="0.7" top="0.75" bottom="0.75" header="0.3" footer="0.3"/>
  <extLst>
    <ext xmlns:x14="http://schemas.microsoft.com/office/spreadsheetml/2009/9/main" uri="{CCE6A557-97BC-4b89-ADB6-D9C93CAAB3DF}">
      <x14:dataValidations xmlns:xm="http://schemas.microsoft.com/office/excel/2006/main" count="15">
        <x14:dataValidation type="list" allowBlank="1" showInputMessage="1" showErrorMessage="1">
          <x14:formula1>
            <xm:f>OFFSET('Reference Fields'!$K$2,0,0,COUNTA('Reference Fields'!$K:$K)-1)</xm:f>
          </x14:formula1>
          <xm:sqref>R2:R200</xm:sqref>
        </x14:dataValidation>
        <x14:dataValidation type="list" allowBlank="1" showInputMessage="1" showErrorMessage="1">
          <x14:formula1>
            <xm:f>OFFSET('Reference Fields'!$J$2,0,0,COUNTA('Reference Fields'!$J:$J)-1)</xm:f>
          </x14:formula1>
          <xm:sqref>Q2:Q200</xm:sqref>
        </x14:dataValidation>
        <x14:dataValidation type="list" allowBlank="1" showInputMessage="1" showErrorMessage="1">
          <x14:formula1>
            <xm:f>OFFSET('Reference Fields'!$J$2,0,0,COUNTA('Reference Fields'!$J:$J)-1)</xm:f>
          </x14:formula1>
          <xm:sqref>M2:M200</xm:sqref>
        </x14:dataValidation>
        <x14:dataValidation type="list" allowBlank="1" showInputMessage="1" showErrorMessage="1">
          <x14:formula1>
            <xm:f>OFFSET('Reference Fields'!$J$2,0,0,COUNTA('Reference Fields'!$J:$J)-1)</xm:f>
          </x14:formula1>
          <xm:sqref>N2:N200</xm:sqref>
        </x14:dataValidation>
        <x14:dataValidation type="list" allowBlank="1" showInputMessage="1" showErrorMessage="1">
          <x14:formula1>
            <xm:f>OFFSET('Reference Fields'!$J$2,0,0,COUNTA('Reference Fields'!$J:$J)-1)</xm:f>
          </x14:formula1>
          <xm:sqref>O2:O200</xm:sqref>
        </x14:dataValidation>
        <x14:dataValidation type="list" allowBlank="1" showInputMessage="1" showErrorMessage="1">
          <x14:formula1>
            <xm:f>OFFSET('Reference Fields'!$J$2,0,0,COUNTA('Reference Fields'!$J:$J)-1)</xm:f>
          </x14:formula1>
          <xm:sqref>P2:P200</xm:sqref>
        </x14:dataValidation>
        <x14:dataValidation type="list" allowBlank="1" showInputMessage="1" showErrorMessage="1">
          <x14:formula1>
            <xm:f>OFFSET('Reference Fields'!$J$2,0,0,COUNTA('Reference Fields'!$J:$J)-1)</xm:f>
          </x14:formula1>
          <xm:sqref>S2:S200</xm:sqref>
        </x14:dataValidation>
        <x14:dataValidation type="list" allowBlank="1" showInputMessage="1" showErrorMessage="1">
          <x14:formula1>
            <xm:f>OFFSET('Reference Fields'!$B$2,0,0,COUNTA('Reference Fields'!$B:$B)-1)</xm:f>
          </x14:formula1>
          <xm:sqref>B2:B200</xm:sqref>
        </x14:dataValidation>
        <x14:dataValidation type="list" allowBlank="1" showInputMessage="1" showErrorMessage="1">
          <x14:formula1>
            <xm:f>OFFSET('Reference Fields'!$D$2,0,0,COUNTA('Reference Fields'!$D:$D)-1)</xm:f>
          </x14:formula1>
          <xm:sqref>F2:F200</xm:sqref>
        </x14:dataValidation>
        <x14:dataValidation type="list" allowBlank="1" showInputMessage="1" showErrorMessage="1">
          <x14:formula1>
            <xm:f>OFFSET('Reference Fields'!$E$2,0,0,COUNTA('Reference Fields'!$E:$E)-1)</xm:f>
          </x14:formula1>
          <xm:sqref>G2:G200</xm:sqref>
        </x14:dataValidation>
        <x14:dataValidation type="list" allowBlank="1" showInputMessage="1" showErrorMessage="1">
          <x14:formula1>
            <xm:f>OFFSET('Reference Fields'!$F$2,0,0,COUNTA('Reference Fields'!$F:$F)-1)</xm:f>
          </x14:formula1>
          <xm:sqref>H2:H200</xm:sqref>
        </x14:dataValidation>
        <x14:dataValidation type="list" allowBlank="1" showInputMessage="1" showErrorMessage="1">
          <x14:formula1>
            <xm:f>OFFSET('Reference Fields'!$F$2,0,0,COUNTA('Reference Fields'!$F:$F)-1)</xm:f>
          </x14:formula1>
          <xm:sqref>I2:I200</xm:sqref>
        </x14:dataValidation>
        <x14:dataValidation type="list" allowBlank="1" showInputMessage="1" showErrorMessage="1">
          <x14:formula1>
            <xm:f>OFFSET('Reference Fields'!$G$2,0,0,COUNTA('Reference Fields'!$G:$G)-1)</xm:f>
          </x14:formula1>
          <xm:sqref>J2:J200</xm:sqref>
        </x14:dataValidation>
        <x14:dataValidation type="list" allowBlank="1" showInputMessage="1" showErrorMessage="1">
          <x14:formula1>
            <xm:f>OFFSET('Reference Fields'!$H$2,0,0,COUNTA('Reference Fields'!$H:$H)-1)</xm:f>
          </x14:formula1>
          <xm:sqref>K2:K200</xm:sqref>
        </x14:dataValidation>
        <x14:dataValidation type="list" allowBlank="1" showInputMessage="1" showErrorMessage="1">
          <x14:formula1>
            <xm:f>OFFSET('Reference Fields'!$I$2,0,0,COUNTA('Reference Fields'!$I:$I)-1)</xm:f>
          </x14:formula1>
          <xm:sqref>L2:L200</xm:sqref>
        </x14:dataValidation>
      </x14:dataValidations>
    </ext>
  </extLst>
</worksheet>
</file>

<file path=xl/worksheets/sheet31.xml><?xml version="1.0" encoding="utf-8"?>
<worksheet xmlns="http://schemas.openxmlformats.org/spreadsheetml/2006/main" xmlns:r="http://schemas.openxmlformats.org/officeDocument/2006/relationships">
  <sheetPr codeName="Sheet22"/>
  <dimension ref="A1:S200"/>
  <sheetViews>
    <sheetView workbookViewId="0">
      <pane ySplit="1" topLeftCell="A2" activePane="bottomLeft" state="frozen"/>
      <selection pane="bottomLeft" activeCell="A2" sqref="A2"/>
    </sheetView>
  </sheetViews>
  <sheetFormatPr defaultRowHeight="14.5"/>
  <cols>
    <col min="1" max="1" width="23" bestFit="1" customWidth="1"/>
    <col min="2" max="2" width="13.54296875" customWidth="1"/>
    <col min="3" max="4" width="8.90625" customWidth="1"/>
    <col min="5" max="5" width="12.6328125" customWidth="1"/>
    <col min="6" max="6" width="15.6328125" bestFit="1" customWidth="1"/>
    <col min="7" max="8" width="15.453125" customWidth="1"/>
    <col min="9" max="9" width="22.6328125" customWidth="1"/>
    <col min="10" max="10" width="23.36328125" customWidth="1"/>
    <col min="11" max="11" width="17.54296875" customWidth="1"/>
    <col min="12" max="12" width="14.08984375" customWidth="1"/>
    <col min="13" max="13" width="10.453125" bestFit="1" customWidth="1"/>
    <col min="14" max="14" width="10.453125" customWidth="1"/>
    <col min="15" max="15" width="12.453125" bestFit="1" customWidth="1"/>
  </cols>
  <sheetData>
    <row r="1" spans="1:19" s="1" customFormat="1">
      <c r="A1" s="1" t="s">
        <v>2</v>
      </c>
      <c r="B1" s="1" t="s">
        <v>1198</v>
      </c>
      <c r="C1" s="1" t="s">
        <v>1199</v>
      </c>
      <c r="D1" s="1" t="s">
        <v>0</v>
      </c>
      <c r="E1" s="1" t="s">
        <v>1</v>
      </c>
      <c r="F1" s="1" t="s">
        <v>30</v>
      </c>
      <c r="G1" s="1" t="s">
        <v>31</v>
      </c>
      <c r="H1" s="1" t="s">
        <v>1262</v>
      </c>
      <c r="I1" s="1" t="s">
        <v>49</v>
      </c>
      <c r="J1" s="1" t="s">
        <v>48</v>
      </c>
      <c r="K1" s="1" t="s">
        <v>54</v>
      </c>
      <c r="L1" s="1" t="s">
        <v>55</v>
      </c>
      <c r="M1" s="1" t="s">
        <v>27</v>
      </c>
      <c r="N1" s="1" t="s">
        <v>175</v>
      </c>
      <c r="O1" s="1" t="s">
        <v>193</v>
      </c>
      <c r="P1" s="1" t="s">
        <v>1221</v>
      </c>
      <c r="Q1" s="1" t="s">
        <v>1264</v>
      </c>
      <c r="R1" s="1" t="s">
        <v>1263</v>
      </c>
      <c r="S1" s="1" t="s">
        <v>1265</v>
      </c>
    </row>
    <row r="2" spans="1:19">
      <c r="A2" s="7" t="s">
        <v>9</v>
      </c>
      <c r="B2" s="7" t="s">
        <v>1218</v>
      </c>
      <c r="C2" s="8">
        <v>50</v>
      </c>
      <c r="D2" s="6" t="str">
        <f>LRTRIM(CONCATENATE(IF(SUMPRODUCT(-- ISNUMBER(SEARCH({"Auto Number"}, $B2))) &gt; 0, $B2, IF(SUMPRODUCT(-- ISNUMBER(SEARCH({"Lookup","Master-Detail"}, $B2))) &gt; 0,$B2 &amp; "(" &amp; $E2 &amp; ")",IF(SUMPRODUCT(-- ISNUMBER(SEARCH({"Formula","Roll-Up Summary"}, $B2))) &gt; 0,$B2 &amp; " (" &amp; $E2 &amp; ")",IF(SUMPRODUCT(-- ISNUMBER(SEARCH({"Content","Currency","Number","Percent","Text","URL"}, $B2))) &gt; 0,$B2 &amp; "(" &amp; $C2 &amp; ")",$B2)))), "  ", TRIM(IF($S2 = "YES", "(External ID)", "") &amp; " " &amp; IF(SUMPRODUCT(-- ISNUMBER(SEARCH({"Unique","Unique Case Insensitive"}, $R2))) &gt; 0, "(" &amp; $R2 &amp; ")", ""))))</f>
        <v>Text(50)</v>
      </c>
      <c r="E2" s="7" t="s">
        <v>195</v>
      </c>
      <c r="F2" s="7" t="s">
        <v>18</v>
      </c>
      <c r="G2" s="7" t="s">
        <v>195</v>
      </c>
      <c r="H2" s="7" t="s">
        <v>195</v>
      </c>
      <c r="I2" s="7" t="s">
        <v>195</v>
      </c>
      <c r="J2" s="7" t="s">
        <v>195</v>
      </c>
      <c r="K2" s="7" t="s">
        <v>195</v>
      </c>
      <c r="L2" s="7" t="s">
        <v>195</v>
      </c>
      <c r="M2" s="7" t="s">
        <v>29</v>
      </c>
      <c r="N2" s="7" t="s">
        <v>29</v>
      </c>
      <c r="O2" s="7" t="s">
        <v>29</v>
      </c>
      <c r="P2" s="7" t="s">
        <v>29</v>
      </c>
      <c r="Q2" s="7" t="s">
        <v>29</v>
      </c>
      <c r="R2" s="7" t="s">
        <v>29</v>
      </c>
      <c r="S2" s="7" t="s">
        <v>29</v>
      </c>
    </row>
    <row r="3" spans="1:19">
      <c r="A3" s="7" t="s">
        <v>679</v>
      </c>
      <c r="B3" s="7" t="s">
        <v>1215</v>
      </c>
      <c r="C3" s="8">
        <v>255</v>
      </c>
      <c r="D3" s="6" t="str">
        <f>LRTRIM(CONCATENATE(IF(SUMPRODUCT(-- ISNUMBER(SEARCH({"Auto Number"}, $B3))) &gt; 0, $B3, IF(SUMPRODUCT(-- ISNUMBER(SEARCH({"Lookup","Master-Detail"}, $B3))) &gt; 0,$B3 &amp; "(" &amp; $E3 &amp; ")",IF(SUMPRODUCT(-- ISNUMBER(SEARCH({"Formula","Roll-Up Summary"}, $B3))) &gt; 0,$B3 &amp; " (" &amp; $E3 &amp; ")",IF(SUMPRODUCT(-- ISNUMBER(SEARCH({"Content","Currency","Number","Percent","Text","URL"}, $B3))) &gt; 0,$B3 &amp; "(" &amp; $C3 &amp; ")",$B3)))), "  ", TRIM(IF($S3 = "YES", "(External ID)", "") &amp; " " &amp; IF(SUMPRODUCT(-- ISNUMBER(SEARCH({"Unique","Unique Case Insensitive"}, $R3))) &gt; 0, "(" &amp; $R3 &amp; ")", ""))))</f>
        <v>Picklist</v>
      </c>
      <c r="E3" s="7" t="s">
        <v>195</v>
      </c>
      <c r="F3" s="7" t="s">
        <v>726</v>
      </c>
      <c r="G3" s="7" t="s">
        <v>872</v>
      </c>
      <c r="H3" s="7" t="s">
        <v>195</v>
      </c>
      <c r="I3" s="7" t="s">
        <v>868</v>
      </c>
      <c r="J3" s="7" t="s">
        <v>877</v>
      </c>
      <c r="K3" s="7" t="s">
        <v>195</v>
      </c>
      <c r="L3" s="7" t="s">
        <v>195</v>
      </c>
      <c r="M3" s="7" t="s">
        <v>29</v>
      </c>
      <c r="N3" s="7" t="s">
        <v>29</v>
      </c>
      <c r="O3" s="7" t="s">
        <v>29</v>
      </c>
      <c r="P3" s="7" t="s">
        <v>29</v>
      </c>
      <c r="Q3" s="7" t="s">
        <v>29</v>
      </c>
      <c r="R3" s="7" t="s">
        <v>29</v>
      </c>
      <c r="S3" s="7" t="s">
        <v>29</v>
      </c>
    </row>
    <row r="4" spans="1:19">
      <c r="A4" s="7" t="s">
        <v>11</v>
      </c>
      <c r="B4" s="7" t="s">
        <v>1218</v>
      </c>
      <c r="C4" s="8">
        <v>200</v>
      </c>
      <c r="D4" s="6" t="str">
        <f>LRTRIM(CONCATENATE(IF(SUMPRODUCT(-- ISNUMBER(SEARCH({"Auto Number"}, $B4))) &gt; 0, $B4, IF(SUMPRODUCT(-- ISNUMBER(SEARCH({"Lookup","Master-Detail"}, $B4))) &gt; 0,$B4 &amp; "(" &amp; $E4 &amp; ")",IF(SUMPRODUCT(-- ISNUMBER(SEARCH({"Formula","Roll-Up Summary"}, $B4))) &gt; 0,$B4 &amp; " (" &amp; $E4 &amp; ")",IF(SUMPRODUCT(-- ISNUMBER(SEARCH({"Content","Currency","Number","Percent","Text","URL"}, $B4))) &gt; 0,$B4 &amp; "(" &amp; $C4 &amp; ")",$B4)))), "  ", TRIM(IF($S4 = "YES", "(External ID)", "") &amp; " " &amp; IF(SUMPRODUCT(-- ISNUMBER(SEARCH({"Unique","Unique Case Insensitive"}, $R4))) &gt; 0, "(" &amp; $R4 &amp; ")", ""))))</f>
        <v>Text(200)</v>
      </c>
      <c r="E4" s="7" t="s">
        <v>195</v>
      </c>
      <c r="F4" s="7" t="s">
        <v>20</v>
      </c>
      <c r="G4" s="7" t="s">
        <v>195</v>
      </c>
      <c r="H4" s="7" t="s">
        <v>195</v>
      </c>
      <c r="I4" s="7" t="s">
        <v>195</v>
      </c>
      <c r="J4" s="7" t="s">
        <v>195</v>
      </c>
      <c r="K4" s="7" t="s">
        <v>195</v>
      </c>
      <c r="L4" s="7" t="s">
        <v>195</v>
      </c>
      <c r="M4" s="7" t="s">
        <v>29</v>
      </c>
      <c r="N4" s="7" t="s">
        <v>29</v>
      </c>
      <c r="O4" s="7" t="s">
        <v>29</v>
      </c>
      <c r="P4" s="7" t="s">
        <v>29</v>
      </c>
      <c r="Q4" s="7" t="s">
        <v>29</v>
      </c>
      <c r="R4" s="7" t="s">
        <v>29</v>
      </c>
      <c r="S4" s="7" t="s">
        <v>29</v>
      </c>
    </row>
    <row r="5" spans="1:19">
      <c r="A5" s="7" t="s">
        <v>13</v>
      </c>
      <c r="B5" s="7" t="s">
        <v>1218</v>
      </c>
      <c r="C5" s="8">
        <v>10</v>
      </c>
      <c r="D5" s="6" t="str">
        <f>LRTRIM(CONCATENATE(IF(SUMPRODUCT(-- ISNUMBER(SEARCH({"Auto Number"}, $B5))) &gt; 0, $B5, IF(SUMPRODUCT(-- ISNUMBER(SEARCH({"Lookup","Master-Detail"}, $B5))) &gt; 0,$B5 &amp; "(" &amp; $E5 &amp; ")",IF(SUMPRODUCT(-- ISNUMBER(SEARCH({"Formula","Roll-Up Summary"}, $B5))) &gt; 0,$B5 &amp; " (" &amp; $E5 &amp; ")",IF(SUMPRODUCT(-- ISNUMBER(SEARCH({"Content","Currency","Number","Percent","Text","URL"}, $B5))) &gt; 0,$B5 &amp; "(" &amp; $C5 &amp; ")",$B5)))), "  ", TRIM(IF($S5 = "YES", "(External ID)", "") &amp; " " &amp; IF(SUMPRODUCT(-- ISNUMBER(SEARCH({"Unique","Unique Case Insensitive"}, $R5))) &gt; 0, "(" &amp; $R5 &amp; ")", ""))))</f>
        <v>Text(10)</v>
      </c>
      <c r="E5" s="7" t="s">
        <v>195</v>
      </c>
      <c r="F5" s="7" t="s">
        <v>24</v>
      </c>
      <c r="G5" s="7" t="s">
        <v>195</v>
      </c>
      <c r="H5" s="7" t="s">
        <v>195</v>
      </c>
      <c r="I5" s="7" t="s">
        <v>195</v>
      </c>
      <c r="J5" s="7" t="s">
        <v>195</v>
      </c>
      <c r="K5" s="7" t="s">
        <v>195</v>
      </c>
      <c r="L5" s="7" t="s">
        <v>195</v>
      </c>
      <c r="M5" s="7" t="s">
        <v>29</v>
      </c>
      <c r="N5" s="7" t="s">
        <v>29</v>
      </c>
      <c r="O5" s="7" t="s">
        <v>29</v>
      </c>
      <c r="P5" s="7" t="s">
        <v>29</v>
      </c>
      <c r="Q5" s="7" t="s">
        <v>29</v>
      </c>
      <c r="R5" s="7" t="s">
        <v>29</v>
      </c>
      <c r="S5" s="7" t="s">
        <v>29</v>
      </c>
    </row>
    <row r="6" spans="1:19">
      <c r="A6" s="7" t="s">
        <v>866</v>
      </c>
      <c r="B6" s="7" t="s">
        <v>1215</v>
      </c>
      <c r="C6" s="8">
        <v>255</v>
      </c>
      <c r="D6" s="6" t="str">
        <f>LRTRIM(CONCATENATE(IF(SUMPRODUCT(-- ISNUMBER(SEARCH({"Auto Number"}, $B6))) &gt; 0, $B6, IF(SUMPRODUCT(-- ISNUMBER(SEARCH({"Lookup","Master-Detail"}, $B6))) &gt; 0,$B6 &amp; "(" &amp; $E6 &amp; ")",IF(SUMPRODUCT(-- ISNUMBER(SEARCH({"Formula","Roll-Up Summary"}, $B6))) &gt; 0,$B6 &amp; " (" &amp; $E6 &amp; ")",IF(SUMPRODUCT(-- ISNUMBER(SEARCH({"Content","Currency","Number","Percent","Text","URL"}, $B6))) &gt; 0,$B6 &amp; "(" &amp; $C6 &amp; ")",$B6)))), "  ", TRIM(IF($S6 = "YES", "(External ID)", "") &amp; " " &amp; IF(SUMPRODUCT(-- ISNUMBER(SEARCH({"Unique","Unique Case Insensitive"}, $R6))) &gt; 0, "(" &amp; $R6 &amp; ")", ""))))</f>
        <v>Picklist</v>
      </c>
      <c r="E6" s="7" t="s">
        <v>195</v>
      </c>
      <c r="F6" s="7" t="s">
        <v>871</v>
      </c>
      <c r="G6" s="7" t="s">
        <v>195</v>
      </c>
      <c r="H6" s="7" t="s">
        <v>195</v>
      </c>
      <c r="I6" s="7" t="s">
        <v>869</v>
      </c>
      <c r="J6" s="7" t="s">
        <v>195</v>
      </c>
      <c r="K6" s="7" t="s">
        <v>195</v>
      </c>
      <c r="L6" s="7" t="s">
        <v>195</v>
      </c>
      <c r="M6" s="7" t="s">
        <v>29</v>
      </c>
      <c r="N6" s="7" t="s">
        <v>29</v>
      </c>
      <c r="O6" s="7" t="s">
        <v>29</v>
      </c>
      <c r="P6" s="7" t="s">
        <v>29</v>
      </c>
      <c r="Q6" s="7" t="s">
        <v>29</v>
      </c>
      <c r="R6" s="7" t="s">
        <v>29</v>
      </c>
      <c r="S6" s="7" t="s">
        <v>29</v>
      </c>
    </row>
    <row r="7" spans="1:19">
      <c r="A7" s="7" t="s">
        <v>33</v>
      </c>
      <c r="B7" s="7" t="s">
        <v>1204</v>
      </c>
      <c r="C7" s="8">
        <v>0</v>
      </c>
      <c r="D7" s="6" t="str">
        <f>LRTRIM(CONCATENATE(IF(SUMPRODUCT(-- ISNUMBER(SEARCH({"Auto Number"}, $B7))) &gt; 0, $B7, IF(SUMPRODUCT(-- ISNUMBER(SEARCH({"Lookup","Master-Detail"}, $B7))) &gt; 0,$B7 &amp; "(" &amp; $E7 &amp; ")",IF(SUMPRODUCT(-- ISNUMBER(SEARCH({"Formula","Roll-Up Summary"}, $B7))) &gt; 0,$B7 &amp; " (" &amp; $E7 &amp; ")",IF(SUMPRODUCT(-- ISNUMBER(SEARCH({"Content","Currency","Number","Percent","Text","URL"}, $B7))) &gt; 0,$B7 &amp; "(" &amp; $C7 &amp; ")",$B7)))), "  ", TRIM(IF($S7 = "YES", "(External ID)", "") &amp; " " &amp; IF(SUMPRODUCT(-- ISNUMBER(SEARCH({"Unique","Unique Case Insensitive"}, $R7))) &gt; 0, "(" &amp; $R7 &amp; ")", ""))))</f>
        <v>Checkbox</v>
      </c>
      <c r="E7" s="7" t="s">
        <v>195</v>
      </c>
      <c r="F7" s="7" t="s">
        <v>858</v>
      </c>
      <c r="G7" s="7" t="s">
        <v>195</v>
      </c>
      <c r="H7" s="7" t="s">
        <v>195</v>
      </c>
      <c r="I7" s="7" t="s">
        <v>195</v>
      </c>
      <c r="J7" s="7" t="s">
        <v>195</v>
      </c>
      <c r="K7" s="7" t="s">
        <v>195</v>
      </c>
      <c r="L7" s="7" t="s">
        <v>195</v>
      </c>
      <c r="M7" s="7" t="s">
        <v>28</v>
      </c>
      <c r="N7" s="7" t="s">
        <v>29</v>
      </c>
      <c r="O7" s="7" t="s">
        <v>29</v>
      </c>
      <c r="P7" s="7" t="s">
        <v>29</v>
      </c>
      <c r="Q7" s="7" t="s">
        <v>29</v>
      </c>
      <c r="R7" s="7" t="s">
        <v>29</v>
      </c>
      <c r="S7" s="7" t="s">
        <v>29</v>
      </c>
    </row>
    <row r="8" spans="1:19">
      <c r="A8" s="7" t="s">
        <v>14</v>
      </c>
      <c r="B8" s="7" t="s">
        <v>1204</v>
      </c>
      <c r="C8" s="8">
        <v>0</v>
      </c>
      <c r="D8" s="6" t="str">
        <f>LRTRIM(CONCATENATE(IF(SUMPRODUCT(-- ISNUMBER(SEARCH({"Auto Number"}, $B8))) &gt; 0, $B8, IF(SUMPRODUCT(-- ISNUMBER(SEARCH({"Lookup","Master-Detail"}, $B8))) &gt; 0,$B8 &amp; "(" &amp; $E8 &amp; ")",IF(SUMPRODUCT(-- ISNUMBER(SEARCH({"Formula","Roll-Up Summary"}, $B8))) &gt; 0,$B8 &amp; " (" &amp; $E8 &amp; ")",IF(SUMPRODUCT(-- ISNUMBER(SEARCH({"Content","Currency","Number","Percent","Text","URL"}, $B8))) &gt; 0,$B8 &amp; "(" &amp; $C8 &amp; ")",$B8)))), "  ", TRIM(IF($S8 = "YES", "(External ID)", "") &amp; " " &amp; IF(SUMPRODUCT(-- ISNUMBER(SEARCH({"Unique","Unique Case Insensitive"}, $R8))) &gt; 0, "(" &amp; $R8 &amp; ")", ""))))</f>
        <v>Checkbox</v>
      </c>
      <c r="E8" s="7" t="s">
        <v>195</v>
      </c>
      <c r="F8" s="7" t="s">
        <v>25</v>
      </c>
      <c r="G8" s="7" t="s">
        <v>195</v>
      </c>
      <c r="H8" s="7" t="s">
        <v>195</v>
      </c>
      <c r="I8" s="7" t="s">
        <v>195</v>
      </c>
      <c r="J8" s="7" t="s">
        <v>195</v>
      </c>
      <c r="K8" s="7" t="s">
        <v>195</v>
      </c>
      <c r="L8" s="7" t="s">
        <v>195</v>
      </c>
      <c r="M8" s="7" t="s">
        <v>28</v>
      </c>
      <c r="N8" s="7" t="s">
        <v>29</v>
      </c>
      <c r="O8" s="7" t="s">
        <v>29</v>
      </c>
      <c r="P8" s="7" t="s">
        <v>29</v>
      </c>
      <c r="Q8" s="7" t="s">
        <v>29</v>
      </c>
      <c r="R8" s="7" t="s">
        <v>29</v>
      </c>
      <c r="S8" s="7" t="s">
        <v>29</v>
      </c>
    </row>
    <row r="9" spans="1:19">
      <c r="A9" s="7" t="s">
        <v>2</v>
      </c>
      <c r="B9" s="7" t="s">
        <v>1218</v>
      </c>
      <c r="C9" s="8">
        <v>255</v>
      </c>
      <c r="D9" s="6" t="str">
        <f>LRTRIM(CONCATENATE(IF(SUMPRODUCT(-- ISNUMBER(SEARCH({"Auto Number"}, $B9))) &gt; 0, $B9, IF(SUMPRODUCT(-- ISNUMBER(SEARCH({"Lookup","Master-Detail"}, $B9))) &gt; 0,$B9 &amp; "(" &amp; $E9 &amp; ")",IF(SUMPRODUCT(-- ISNUMBER(SEARCH({"Formula","Roll-Up Summary"}, $B9))) &gt; 0,$B9 &amp; " (" &amp; $E9 &amp; ")",IF(SUMPRODUCT(-- ISNUMBER(SEARCH({"Content","Currency","Number","Percent","Text","URL"}, $B9))) &gt; 0,$B9 &amp; "(" &amp; $C9 &amp; ")",$B9)))), "  ", TRIM(IF($S9 = "YES", "(External ID)", "") &amp; " " &amp; IF(SUMPRODUCT(-- ISNUMBER(SEARCH({"Unique","Unique Case Insensitive"}, $R9))) &gt; 0, "(" &amp; $R9 &amp; ")", ""))))</f>
        <v>Text(255)</v>
      </c>
      <c r="E9" s="7" t="s">
        <v>195</v>
      </c>
      <c r="F9" s="7" t="s">
        <v>864</v>
      </c>
      <c r="G9" s="7" t="s">
        <v>195</v>
      </c>
      <c r="H9" s="7" t="s">
        <v>195</v>
      </c>
      <c r="I9" s="7" t="s">
        <v>195</v>
      </c>
      <c r="J9" s="7" t="s">
        <v>195</v>
      </c>
      <c r="K9" s="7" t="s">
        <v>195</v>
      </c>
      <c r="L9" s="7" t="s">
        <v>195</v>
      </c>
      <c r="M9" s="7" t="s">
        <v>28</v>
      </c>
      <c r="N9" s="7" t="s">
        <v>29</v>
      </c>
      <c r="O9" s="7" t="s">
        <v>29</v>
      </c>
      <c r="P9" s="7" t="s">
        <v>29</v>
      </c>
      <c r="Q9" s="7" t="s">
        <v>29</v>
      </c>
      <c r="R9" s="7" t="s">
        <v>29</v>
      </c>
      <c r="S9" s="7" t="s">
        <v>29</v>
      </c>
    </row>
    <row r="10" spans="1:19">
      <c r="A10" s="7" t="s">
        <v>706</v>
      </c>
      <c r="B10" s="7" t="s">
        <v>1218</v>
      </c>
      <c r="C10" s="8">
        <v>255</v>
      </c>
      <c r="D10" s="6" t="str">
        <f>LRTRIM(CONCATENATE(IF(SUMPRODUCT(-- ISNUMBER(SEARCH({"Auto Number"}, $B10))) &gt; 0, $B10, IF(SUMPRODUCT(-- ISNUMBER(SEARCH({"Lookup","Master-Detail"}, $B10))) &gt; 0,$B10 &amp; "(" &amp; $E10 &amp; ")",IF(SUMPRODUCT(-- ISNUMBER(SEARCH({"Formula","Roll-Up Summary"}, $B10))) &gt; 0,$B10 &amp; " (" &amp; $E10 &amp; ")",IF(SUMPRODUCT(-- ISNUMBER(SEARCH({"Content","Currency","Number","Percent","Text","URL"}, $B10))) &gt; 0,$B10 &amp; "(" &amp; $C10 &amp; ")",$B10)))), "  ", TRIM(IF($S10 = "YES", "(External ID)", "") &amp; " " &amp; IF(SUMPRODUCT(-- ISNUMBER(SEARCH({"Unique","Unique Case Insensitive"}, $R10))) &gt; 0, "(" &amp; $R10 &amp; ")", ""))))</f>
        <v>Text(255)</v>
      </c>
      <c r="E10" s="7" t="s">
        <v>195</v>
      </c>
      <c r="F10" s="7" t="s">
        <v>753</v>
      </c>
      <c r="G10" s="7" t="s">
        <v>195</v>
      </c>
      <c r="H10" s="7" t="s">
        <v>195</v>
      </c>
      <c r="I10" s="7" t="s">
        <v>195</v>
      </c>
      <c r="J10" s="7" t="s">
        <v>195</v>
      </c>
      <c r="K10" s="7" t="s">
        <v>195</v>
      </c>
      <c r="L10" s="7" t="s">
        <v>195</v>
      </c>
      <c r="M10" s="7" t="s">
        <v>29</v>
      </c>
      <c r="N10" s="7" t="s">
        <v>29</v>
      </c>
      <c r="O10" s="7" t="s">
        <v>29</v>
      </c>
      <c r="P10" s="7" t="s">
        <v>29</v>
      </c>
      <c r="Q10" s="7" t="s">
        <v>29</v>
      </c>
      <c r="R10" s="7" t="s">
        <v>29</v>
      </c>
      <c r="S10" s="7" t="s">
        <v>29</v>
      </c>
    </row>
    <row r="11" spans="1:19">
      <c r="A11" s="7" t="s">
        <v>460</v>
      </c>
      <c r="B11" s="7" t="s">
        <v>1215</v>
      </c>
      <c r="C11" s="8">
        <v>255</v>
      </c>
      <c r="D11" s="6" t="str">
        <f>LRTRIM(CONCATENATE(IF(SUMPRODUCT(-- ISNUMBER(SEARCH({"Auto Number"}, $B11))) &gt; 0, $B11, IF(SUMPRODUCT(-- ISNUMBER(SEARCH({"Lookup","Master-Detail"}, $B11))) &gt; 0,$B11 &amp; "(" &amp; $E11 &amp; ")",IF(SUMPRODUCT(-- ISNUMBER(SEARCH({"Formula","Roll-Up Summary"}, $B11))) &gt; 0,$B11 &amp; " (" &amp; $E11 &amp; ")",IF(SUMPRODUCT(-- ISNUMBER(SEARCH({"Content","Currency","Number","Percent","Text","URL"}, $B11))) &gt; 0,$B11 &amp; "(" &amp; $C11 &amp; ")",$B11)))), "  ", TRIM(IF($S11 = "YES", "(External ID)", "") &amp; " " &amp; IF(SUMPRODUCT(-- ISNUMBER(SEARCH({"Unique","Unique Case Insensitive"}, $R11))) &gt; 0, "(" &amp; $R11 &amp; ")", ""))))</f>
        <v>Picklist</v>
      </c>
      <c r="E11" s="7" t="s">
        <v>195</v>
      </c>
      <c r="F11" s="7" t="s">
        <v>505</v>
      </c>
      <c r="G11" s="7" t="s">
        <v>539</v>
      </c>
      <c r="H11" s="7" t="s">
        <v>195</v>
      </c>
      <c r="I11" s="7" t="s">
        <v>870</v>
      </c>
      <c r="J11" s="7" t="s">
        <v>195</v>
      </c>
      <c r="K11" s="7" t="s">
        <v>195</v>
      </c>
      <c r="L11" s="7" t="s">
        <v>195</v>
      </c>
      <c r="M11" s="7" t="s">
        <v>29</v>
      </c>
      <c r="N11" s="7" t="s">
        <v>29</v>
      </c>
      <c r="O11" s="7" t="s">
        <v>29</v>
      </c>
      <c r="P11" s="7" t="s">
        <v>29</v>
      </c>
      <c r="Q11" s="7" t="s">
        <v>29</v>
      </c>
      <c r="R11" s="7" t="s">
        <v>29</v>
      </c>
      <c r="S11" s="7" t="s">
        <v>29</v>
      </c>
    </row>
    <row r="12" spans="1:19">
      <c r="A12" s="7" t="s">
        <v>867</v>
      </c>
      <c r="B12" s="7" t="s">
        <v>1213</v>
      </c>
      <c r="C12" s="8" t="s">
        <v>1250</v>
      </c>
      <c r="D12" s="6" t="str">
        <f>LRTRIM(CONCATENATE(IF(SUMPRODUCT(-- ISNUMBER(SEARCH({"Auto Number"}, $B12))) &gt; 0, $B12, IF(SUMPRODUCT(-- ISNUMBER(SEARCH({"Lookup","Master-Detail"}, $B12))) &gt; 0,$B12 &amp; "(" &amp; $E12 &amp; ")",IF(SUMPRODUCT(-- ISNUMBER(SEARCH({"Formula","Roll-Up Summary"}, $B12))) &gt; 0,$B12 &amp; " (" &amp; $E12 &amp; ")",IF(SUMPRODUCT(-- ISNUMBER(SEARCH({"Content","Currency","Number","Percent","Text","URL"}, $B12))) &gt; 0,$B12 &amp; "(" &amp; $C12 &amp; ")",$B12)))), "  ", TRIM(IF($S12 = "YES", "(External ID)", "") &amp; " " &amp; IF(SUMPRODUCT(-- ISNUMBER(SEARCH({"Unique","Unique Case Insensitive"}, $R12))) &gt; 0, "(" &amp; $R12 &amp; ")", ""))))</f>
        <v>Number(18, 0)  (External ID) (Unique)</v>
      </c>
      <c r="E12" s="7" t="s">
        <v>195</v>
      </c>
      <c r="F12" s="7" t="s">
        <v>752</v>
      </c>
      <c r="G12" s="7" t="s">
        <v>876</v>
      </c>
      <c r="H12" s="7" t="s">
        <v>195</v>
      </c>
      <c r="I12" s="7" t="s">
        <v>195</v>
      </c>
      <c r="J12" s="7" t="s">
        <v>195</v>
      </c>
      <c r="K12" s="7" t="s">
        <v>195</v>
      </c>
      <c r="L12" s="7" t="s">
        <v>195</v>
      </c>
      <c r="M12" s="7" t="s">
        <v>29</v>
      </c>
      <c r="N12" s="7" t="s">
        <v>29</v>
      </c>
      <c r="O12" s="7" t="s">
        <v>29</v>
      </c>
      <c r="P12" s="7" t="s">
        <v>29</v>
      </c>
      <c r="Q12" s="7" t="s">
        <v>29</v>
      </c>
      <c r="R12" s="7" t="s">
        <v>1270</v>
      </c>
      <c r="S12" s="7" t="s">
        <v>28</v>
      </c>
    </row>
    <row r="13" spans="1:19">
      <c r="A13" s="7" t="s">
        <v>878</v>
      </c>
      <c r="B13" s="7" t="s">
        <v>195</v>
      </c>
      <c r="C13" s="8" t="s">
        <v>195</v>
      </c>
      <c r="D13" s="6" t="str">
        <f>LRTRIM(CONCATENATE(IF(SUMPRODUCT(-- ISNUMBER(SEARCH({"Auto Number"}, $B13))) &gt; 0, $B13, IF(SUMPRODUCT(-- ISNUMBER(SEARCH({"Lookup","Master-Detail"}, $B13))) &gt; 0,$B13 &amp; "(" &amp; $E13 &amp; ")",IF(SUMPRODUCT(-- ISNUMBER(SEARCH({"Formula","Roll-Up Summary"}, $B13))) &gt; 0,$B13 &amp; " (" &amp; $E13 &amp; ")",IF(SUMPRODUCT(-- ISNUMBER(SEARCH({"Content","Currency","Number","Percent","Text","URL"}, $B13))) &gt; 0,$B13 &amp; "(" &amp; $C13 &amp; ")",$B13)))), "  ", TRIM(IF($S13 = "YES", "(External ID)", "") &amp; " " &amp; IF(SUMPRODUCT(-- ISNUMBER(SEARCH({"Unique","Unique Case Insensitive"}, $R13))) &gt; 0, "(" &amp; $R13 &amp; ")", ""))))</f>
        <v>na</v>
      </c>
      <c r="E13" s="7" t="s">
        <v>195</v>
      </c>
      <c r="F13" s="7" t="s">
        <v>195</v>
      </c>
      <c r="G13" s="7" t="s">
        <v>195</v>
      </c>
      <c r="H13" s="7" t="s">
        <v>195</v>
      </c>
      <c r="I13" s="7" t="s">
        <v>195</v>
      </c>
      <c r="J13" s="7" t="s">
        <v>195</v>
      </c>
      <c r="K13" s="7" t="s">
        <v>195</v>
      </c>
      <c r="L13" s="7" t="s">
        <v>195</v>
      </c>
      <c r="M13" s="7" t="s">
        <v>29</v>
      </c>
      <c r="N13" s="7" t="s">
        <v>28</v>
      </c>
      <c r="O13" s="7" t="s">
        <v>29</v>
      </c>
      <c r="P13" s="7" t="s">
        <v>29</v>
      </c>
      <c r="Q13" s="7" t="s">
        <v>29</v>
      </c>
      <c r="R13" s="7" t="s">
        <v>29</v>
      </c>
      <c r="S13" s="7" t="s">
        <v>29</v>
      </c>
    </row>
    <row r="14" spans="1:19">
      <c r="A14" s="7" t="s">
        <v>879</v>
      </c>
      <c r="B14" s="7" t="s">
        <v>195</v>
      </c>
      <c r="C14" s="8" t="s">
        <v>195</v>
      </c>
      <c r="D14" s="6" t="str">
        <f>LRTRIM(CONCATENATE(IF(SUMPRODUCT(-- ISNUMBER(SEARCH({"Auto Number"}, $B14))) &gt; 0, $B14, IF(SUMPRODUCT(-- ISNUMBER(SEARCH({"Lookup","Master-Detail"}, $B14))) &gt; 0,$B14 &amp; "(" &amp; $E14 &amp; ")",IF(SUMPRODUCT(-- ISNUMBER(SEARCH({"Formula","Roll-Up Summary"}, $B14))) &gt; 0,$B14 &amp; " (" &amp; $E14 &amp; ")",IF(SUMPRODUCT(-- ISNUMBER(SEARCH({"Content","Currency","Number","Percent","Text","URL"}, $B14))) &gt; 0,$B14 &amp; "(" &amp; $C14 &amp; ")",$B14)))), "  ", TRIM(IF($S14 = "YES", "(External ID)", "") &amp; " " &amp; IF(SUMPRODUCT(-- ISNUMBER(SEARCH({"Unique","Unique Case Insensitive"}, $R14))) &gt; 0, "(" &amp; $R14 &amp; ")", ""))))</f>
        <v>na</v>
      </c>
      <c r="E14" s="7" t="s">
        <v>195</v>
      </c>
      <c r="F14" s="7" t="s">
        <v>195</v>
      </c>
      <c r="G14" s="7" t="s">
        <v>195</v>
      </c>
      <c r="H14" s="7" t="s">
        <v>195</v>
      </c>
      <c r="I14" s="7" t="s">
        <v>195</v>
      </c>
      <c r="J14" s="7" t="s">
        <v>195</v>
      </c>
      <c r="K14" s="7" t="s">
        <v>195</v>
      </c>
      <c r="L14" s="7" t="s">
        <v>195</v>
      </c>
      <c r="M14" s="7" t="s">
        <v>29</v>
      </c>
      <c r="N14" s="7" t="s">
        <v>28</v>
      </c>
      <c r="O14" s="7" t="s">
        <v>29</v>
      </c>
      <c r="P14" s="7" t="s">
        <v>29</v>
      </c>
      <c r="Q14" s="7" t="s">
        <v>29</v>
      </c>
      <c r="R14" s="7" t="s">
        <v>29</v>
      </c>
      <c r="S14" s="7" t="s">
        <v>29</v>
      </c>
    </row>
    <row r="15" spans="1:19">
      <c r="A15" s="7" t="s">
        <v>704</v>
      </c>
      <c r="B15" s="7" t="s">
        <v>195</v>
      </c>
      <c r="C15" s="8" t="s">
        <v>195</v>
      </c>
      <c r="D15" s="6" t="str">
        <f>LRTRIM(CONCATENATE(IF(SUMPRODUCT(-- ISNUMBER(SEARCH({"Auto Number"}, $B15))) &gt; 0, $B15, IF(SUMPRODUCT(-- ISNUMBER(SEARCH({"Lookup","Master-Detail"}, $B15))) &gt; 0,$B15 &amp; "(" &amp; $E15 &amp; ")",IF(SUMPRODUCT(-- ISNUMBER(SEARCH({"Formula","Roll-Up Summary"}, $B15))) &gt; 0,$B15 &amp; " (" &amp; $E15 &amp; ")",IF(SUMPRODUCT(-- ISNUMBER(SEARCH({"Content","Currency","Number","Percent","Text","URL"}, $B15))) &gt; 0,$B15 &amp; "(" &amp; $C15 &amp; ")",$B15)))), "  ", TRIM(IF($S15 = "YES", "(External ID)", "") &amp; " " &amp; IF(SUMPRODUCT(-- ISNUMBER(SEARCH({"Unique","Unique Case Insensitive"}, $R15))) &gt; 0, "(" &amp; $R15 &amp; ")", ""))))</f>
        <v>na</v>
      </c>
      <c r="E15" s="7" t="s">
        <v>195</v>
      </c>
      <c r="F15" s="7" t="s">
        <v>195</v>
      </c>
      <c r="G15" s="7" t="s">
        <v>195</v>
      </c>
      <c r="H15" s="7" t="s">
        <v>195</v>
      </c>
      <c r="I15" s="7" t="s">
        <v>195</v>
      </c>
      <c r="J15" s="7" t="s">
        <v>195</v>
      </c>
      <c r="K15" s="7" t="s">
        <v>195</v>
      </c>
      <c r="L15" s="7" t="s">
        <v>195</v>
      </c>
      <c r="M15" s="7" t="s">
        <v>29</v>
      </c>
      <c r="N15" s="7" t="s">
        <v>28</v>
      </c>
      <c r="O15" s="7" t="s">
        <v>29</v>
      </c>
      <c r="P15" s="7" t="s">
        <v>29</v>
      </c>
      <c r="Q15" s="7" t="s">
        <v>29</v>
      </c>
      <c r="R15" s="7" t="s">
        <v>29</v>
      </c>
      <c r="S15" s="7" t="s">
        <v>29</v>
      </c>
    </row>
    <row r="16" spans="1:19">
      <c r="A16" s="7" t="s">
        <v>458</v>
      </c>
      <c r="B16" s="7" t="s">
        <v>195</v>
      </c>
      <c r="C16" s="8" t="s">
        <v>195</v>
      </c>
      <c r="D16" s="6" t="str">
        <f>LRTRIM(CONCATENATE(IF(SUMPRODUCT(-- ISNUMBER(SEARCH({"Auto Number"}, $B16))) &gt; 0, $B16, IF(SUMPRODUCT(-- ISNUMBER(SEARCH({"Lookup","Master-Detail"}, $B16))) &gt; 0,$B16 &amp; "(" &amp; $E16 &amp; ")",IF(SUMPRODUCT(-- ISNUMBER(SEARCH({"Formula","Roll-Up Summary"}, $B16))) &gt; 0,$B16 &amp; " (" &amp; $E16 &amp; ")",IF(SUMPRODUCT(-- ISNUMBER(SEARCH({"Content","Currency","Number","Percent","Text","URL"}, $B16))) &gt; 0,$B16 &amp; "(" &amp; $C16 &amp; ")",$B16)))), "  ", TRIM(IF($S16 = "YES", "(External ID)", "") &amp; " " &amp; IF(SUMPRODUCT(-- ISNUMBER(SEARCH({"Unique","Unique Case Insensitive"}, $R16))) &gt; 0, "(" &amp; $R16 &amp; ")", ""))))</f>
        <v>na</v>
      </c>
      <c r="E16" s="7" t="s">
        <v>195</v>
      </c>
      <c r="F16" s="7" t="s">
        <v>195</v>
      </c>
      <c r="G16" s="7" t="s">
        <v>195</v>
      </c>
      <c r="H16" s="7" t="s">
        <v>195</v>
      </c>
      <c r="I16" s="7" t="s">
        <v>195</v>
      </c>
      <c r="J16" s="7" t="s">
        <v>195</v>
      </c>
      <c r="K16" s="7" t="s">
        <v>195</v>
      </c>
      <c r="L16" s="7" t="s">
        <v>195</v>
      </c>
      <c r="M16" s="7" t="s">
        <v>29</v>
      </c>
      <c r="N16" s="7" t="s">
        <v>28</v>
      </c>
      <c r="O16" s="7" t="s">
        <v>29</v>
      </c>
      <c r="P16" s="7" t="s">
        <v>29</v>
      </c>
      <c r="Q16" s="7" t="s">
        <v>29</v>
      </c>
      <c r="R16" s="7" t="s">
        <v>29</v>
      </c>
      <c r="S16" s="7" t="s">
        <v>29</v>
      </c>
    </row>
    <row r="17" spans="1:19">
      <c r="A17" s="7" t="s">
        <v>35</v>
      </c>
      <c r="B17" s="7" t="s">
        <v>195</v>
      </c>
      <c r="C17" s="8" t="s">
        <v>195</v>
      </c>
      <c r="D17" s="6" t="str">
        <f>LRTRIM(CONCATENATE(IF(SUMPRODUCT(-- ISNUMBER(SEARCH({"Auto Number"}, $B17))) &gt; 0, $B17, IF(SUMPRODUCT(-- ISNUMBER(SEARCH({"Lookup","Master-Detail"}, $B17))) &gt; 0,$B17 &amp; "(" &amp; $E17 &amp; ")",IF(SUMPRODUCT(-- ISNUMBER(SEARCH({"Formula","Roll-Up Summary"}, $B17))) &gt; 0,$B17 &amp; " (" &amp; $E17 &amp; ")",IF(SUMPRODUCT(-- ISNUMBER(SEARCH({"Content","Currency","Number","Percent","Text","URL"}, $B17))) &gt; 0,$B17 &amp; "(" &amp; $C17 &amp; ")",$B17)))), "  ", TRIM(IF($S17 = "YES", "(External ID)", "") &amp; " " &amp; IF(SUMPRODUCT(-- ISNUMBER(SEARCH({"Unique","Unique Case Insensitive"}, $R17))) &gt; 0, "(" &amp; $R17 &amp; ")", ""))))</f>
        <v>na</v>
      </c>
      <c r="E17" s="7" t="s">
        <v>195</v>
      </c>
      <c r="F17" s="7" t="s">
        <v>195</v>
      </c>
      <c r="G17" s="7" t="s">
        <v>195</v>
      </c>
      <c r="H17" s="7" t="s">
        <v>195</v>
      </c>
      <c r="I17" s="7" t="s">
        <v>195</v>
      </c>
      <c r="J17" s="7" t="s">
        <v>195</v>
      </c>
      <c r="K17" s="7" t="s">
        <v>195</v>
      </c>
      <c r="L17" s="7" t="s">
        <v>195</v>
      </c>
      <c r="M17" s="7" t="s">
        <v>28</v>
      </c>
      <c r="N17" s="7" t="s">
        <v>29</v>
      </c>
      <c r="O17" s="7" t="s">
        <v>29</v>
      </c>
      <c r="P17" s="7" t="s">
        <v>29</v>
      </c>
      <c r="Q17" s="7" t="s">
        <v>29</v>
      </c>
      <c r="R17" s="7" t="s">
        <v>29</v>
      </c>
      <c r="S17" s="7" t="s">
        <v>29</v>
      </c>
    </row>
    <row r="18" spans="1:19">
      <c r="A18" s="7" t="s">
        <v>36</v>
      </c>
      <c r="B18" s="7" t="s">
        <v>195</v>
      </c>
      <c r="C18" s="8" t="s">
        <v>195</v>
      </c>
      <c r="D18" s="6" t="str">
        <f>LRTRIM(CONCATENATE(IF(SUMPRODUCT(-- ISNUMBER(SEARCH({"Auto Number"}, $B18))) &gt; 0, $B18, IF(SUMPRODUCT(-- ISNUMBER(SEARCH({"Lookup","Master-Detail"}, $B18))) &gt; 0,$B18 &amp; "(" &amp; $E18 &amp; ")",IF(SUMPRODUCT(-- ISNUMBER(SEARCH({"Formula","Roll-Up Summary"}, $B18))) &gt; 0,$B18 &amp; " (" &amp; $E18 &amp; ")",IF(SUMPRODUCT(-- ISNUMBER(SEARCH({"Content","Currency","Number","Percent","Text","URL"}, $B18))) &gt; 0,$B18 &amp; "(" &amp; $C18 &amp; ")",$B18)))), "  ", TRIM(IF($S18 = "YES", "(External ID)", "") &amp; " " &amp; IF(SUMPRODUCT(-- ISNUMBER(SEARCH({"Unique","Unique Case Insensitive"}, $R18))) &gt; 0, "(" &amp; $R18 &amp; ")", ""))))</f>
        <v>na</v>
      </c>
      <c r="E18" s="7" t="s">
        <v>195</v>
      </c>
      <c r="F18" s="7" t="s">
        <v>195</v>
      </c>
      <c r="G18" s="7" t="s">
        <v>195</v>
      </c>
      <c r="H18" s="7" t="s">
        <v>195</v>
      </c>
      <c r="I18" s="7" t="s">
        <v>195</v>
      </c>
      <c r="J18" s="7" t="s">
        <v>195</v>
      </c>
      <c r="K18" s="7" t="s">
        <v>195</v>
      </c>
      <c r="L18" s="7" t="s">
        <v>195</v>
      </c>
      <c r="M18" s="7" t="s">
        <v>28</v>
      </c>
      <c r="N18" s="7" t="s">
        <v>29</v>
      </c>
      <c r="O18" s="7" t="s">
        <v>29</v>
      </c>
      <c r="P18" s="7" t="s">
        <v>29</v>
      </c>
      <c r="Q18" s="7" t="s">
        <v>29</v>
      </c>
      <c r="R18" s="7" t="s">
        <v>29</v>
      </c>
      <c r="S18" s="7" t="s">
        <v>29</v>
      </c>
    </row>
    <row r="19" spans="1:19">
      <c r="A19" s="7" t="s">
        <v>37</v>
      </c>
      <c r="B19" s="7" t="s">
        <v>195</v>
      </c>
      <c r="C19" s="8" t="s">
        <v>195</v>
      </c>
      <c r="D19" s="6" t="str">
        <f>LRTRIM(CONCATENATE(IF(SUMPRODUCT(-- ISNUMBER(SEARCH({"Auto Number"}, $B19))) &gt; 0, $B19, IF(SUMPRODUCT(-- ISNUMBER(SEARCH({"Lookup","Master-Detail"}, $B19))) &gt; 0,$B19 &amp; "(" &amp; $E19 &amp; ")",IF(SUMPRODUCT(-- ISNUMBER(SEARCH({"Formula","Roll-Up Summary"}, $B19))) &gt; 0,$B19 &amp; " (" &amp; $E19 &amp; ")",IF(SUMPRODUCT(-- ISNUMBER(SEARCH({"Content","Currency","Number","Percent","Text","URL"}, $B19))) &gt; 0,$B19 &amp; "(" &amp; $C19 &amp; ")",$B19)))), "  ", TRIM(IF($S19 = "YES", "(External ID)", "") &amp; " " &amp; IF(SUMPRODUCT(-- ISNUMBER(SEARCH({"Unique","Unique Case Insensitive"}, $R19))) &gt; 0, "(" &amp; $R19 &amp; ")", ""))))</f>
        <v>na</v>
      </c>
      <c r="E19" s="7" t="s">
        <v>195</v>
      </c>
      <c r="F19" s="7" t="s">
        <v>195</v>
      </c>
      <c r="G19" s="7" t="s">
        <v>195</v>
      </c>
      <c r="H19" s="7" t="s">
        <v>195</v>
      </c>
      <c r="I19" s="7" t="s">
        <v>195</v>
      </c>
      <c r="J19" s="7" t="s">
        <v>195</v>
      </c>
      <c r="K19" s="7" t="s">
        <v>195</v>
      </c>
      <c r="L19" s="7" t="s">
        <v>195</v>
      </c>
      <c r="M19" s="7" t="s">
        <v>28</v>
      </c>
      <c r="N19" s="7" t="s">
        <v>29</v>
      </c>
      <c r="O19" s="7" t="s">
        <v>29</v>
      </c>
      <c r="P19" s="7" t="s">
        <v>29</v>
      </c>
      <c r="Q19" s="7" t="s">
        <v>29</v>
      </c>
      <c r="R19" s="7" t="s">
        <v>29</v>
      </c>
      <c r="S19" s="7" t="s">
        <v>29</v>
      </c>
    </row>
    <row r="20" spans="1:19">
      <c r="A20" s="7" t="s">
        <v>38</v>
      </c>
      <c r="B20" s="7" t="s">
        <v>195</v>
      </c>
      <c r="C20" s="8" t="s">
        <v>195</v>
      </c>
      <c r="D20" s="6" t="str">
        <f>LRTRIM(CONCATENATE(IF(SUMPRODUCT(-- ISNUMBER(SEARCH({"Auto Number"}, $B20))) &gt; 0, $B20, IF(SUMPRODUCT(-- ISNUMBER(SEARCH({"Lookup","Master-Detail"}, $B20))) &gt; 0,$B20 &amp; "(" &amp; $E20 &amp; ")",IF(SUMPRODUCT(-- ISNUMBER(SEARCH({"Formula","Roll-Up Summary"}, $B20))) &gt; 0,$B20 &amp; " (" &amp; $E20 &amp; ")",IF(SUMPRODUCT(-- ISNUMBER(SEARCH({"Content","Currency","Number","Percent","Text","URL"}, $B20))) &gt; 0,$B20 &amp; "(" &amp; $C20 &amp; ")",$B20)))), "  ", TRIM(IF($S20 = "YES", "(External ID)", "") &amp; " " &amp; IF(SUMPRODUCT(-- ISNUMBER(SEARCH({"Unique","Unique Case Insensitive"}, $R20))) &gt; 0, "(" &amp; $R20 &amp; ")", ""))))</f>
        <v>na</v>
      </c>
      <c r="E20" s="7" t="s">
        <v>195</v>
      </c>
      <c r="F20" s="7" t="s">
        <v>195</v>
      </c>
      <c r="G20" s="7" t="s">
        <v>195</v>
      </c>
      <c r="H20" s="7" t="s">
        <v>195</v>
      </c>
      <c r="I20" s="7" t="s">
        <v>195</v>
      </c>
      <c r="J20" s="7" t="s">
        <v>195</v>
      </c>
      <c r="K20" s="7" t="s">
        <v>195</v>
      </c>
      <c r="L20" s="7" t="s">
        <v>195</v>
      </c>
      <c r="M20" s="7" t="s">
        <v>28</v>
      </c>
      <c r="N20" s="7" t="s">
        <v>29</v>
      </c>
      <c r="O20" s="7" t="s">
        <v>29</v>
      </c>
      <c r="P20" s="7" t="s">
        <v>29</v>
      </c>
      <c r="Q20" s="7" t="s">
        <v>29</v>
      </c>
      <c r="R20" s="7" t="s">
        <v>29</v>
      </c>
      <c r="S20" s="7" t="s">
        <v>29</v>
      </c>
    </row>
    <row r="21" spans="1:19">
      <c r="A21" s="7" t="s">
        <v>39</v>
      </c>
      <c r="B21" s="7" t="s">
        <v>195</v>
      </c>
      <c r="C21" s="8" t="s">
        <v>195</v>
      </c>
      <c r="D21" s="6" t="str">
        <f>LRTRIM(CONCATENATE(IF(SUMPRODUCT(-- ISNUMBER(SEARCH({"Auto Number"}, $B21))) &gt; 0, $B21, IF(SUMPRODUCT(-- ISNUMBER(SEARCH({"Lookup","Master-Detail"}, $B21))) &gt; 0,$B21 &amp; "(" &amp; $E21 &amp; ")",IF(SUMPRODUCT(-- ISNUMBER(SEARCH({"Formula","Roll-Up Summary"}, $B21))) &gt; 0,$B21 &amp; " (" &amp; $E21 &amp; ")",IF(SUMPRODUCT(-- ISNUMBER(SEARCH({"Content","Currency","Number","Percent","Text","URL"}, $B21))) &gt; 0,$B21 &amp; "(" &amp; $C21 &amp; ")",$B21)))), "  ", TRIM(IF($S21 = "YES", "(External ID)", "") &amp; " " &amp; IF(SUMPRODUCT(-- ISNUMBER(SEARCH({"Unique","Unique Case Insensitive"}, $R21))) &gt; 0, "(" &amp; $R21 &amp; ")", ""))))</f>
        <v>na</v>
      </c>
      <c r="E21" s="7" t="s">
        <v>195</v>
      </c>
      <c r="F21" s="7" t="s">
        <v>195</v>
      </c>
      <c r="G21" s="7" t="s">
        <v>195</v>
      </c>
      <c r="H21" s="7" t="s">
        <v>195</v>
      </c>
      <c r="I21" s="7" t="s">
        <v>195</v>
      </c>
      <c r="J21" s="7" t="s">
        <v>195</v>
      </c>
      <c r="K21" s="7" t="s">
        <v>195</v>
      </c>
      <c r="L21" s="7" t="s">
        <v>195</v>
      </c>
      <c r="M21" s="7" t="s">
        <v>28</v>
      </c>
      <c r="N21" s="7" t="s">
        <v>29</v>
      </c>
      <c r="O21" s="7" t="s">
        <v>29</v>
      </c>
      <c r="P21" s="7" t="s">
        <v>29</v>
      </c>
      <c r="Q21" s="7" t="s">
        <v>29</v>
      </c>
      <c r="R21" s="7" t="s">
        <v>29</v>
      </c>
      <c r="S21" s="7" t="s">
        <v>29</v>
      </c>
    </row>
    <row r="22" spans="1:19">
      <c r="A22" s="7" t="s">
        <v>34</v>
      </c>
      <c r="B22" s="7" t="s">
        <v>195</v>
      </c>
      <c r="C22" s="8" t="s">
        <v>195</v>
      </c>
      <c r="D22" s="6" t="str">
        <f>LRTRIM(CONCATENATE(IF(SUMPRODUCT(-- ISNUMBER(SEARCH({"Auto Number"}, $B22))) &gt; 0, $B22, IF(SUMPRODUCT(-- ISNUMBER(SEARCH({"Lookup","Master-Detail"}, $B22))) &gt; 0,$B22 &amp; "(" &amp; $E22 &amp; ")",IF(SUMPRODUCT(-- ISNUMBER(SEARCH({"Formula","Roll-Up Summary"}, $B22))) &gt; 0,$B22 &amp; " (" &amp; $E22 &amp; ")",IF(SUMPRODUCT(-- ISNUMBER(SEARCH({"Content","Currency","Number","Percent","Text","URL"}, $B22))) &gt; 0,$B22 &amp; "(" &amp; $C22 &amp; ")",$B22)))), "  ", TRIM(IF($S22 = "YES", "(External ID)", "") &amp; " " &amp; IF(SUMPRODUCT(-- ISNUMBER(SEARCH({"Unique","Unique Case Insensitive"}, $R22))) &gt; 0, "(" &amp; $R22 &amp; ")", ""))))</f>
        <v>na</v>
      </c>
      <c r="E22" s="7" t="s">
        <v>195</v>
      </c>
      <c r="F22" s="7" t="s">
        <v>195</v>
      </c>
      <c r="G22" s="7" t="s">
        <v>195</v>
      </c>
      <c r="H22" s="7" t="s">
        <v>195</v>
      </c>
      <c r="I22" s="7" t="s">
        <v>195</v>
      </c>
      <c r="J22" s="7" t="s">
        <v>195</v>
      </c>
      <c r="K22" s="7" t="s">
        <v>195</v>
      </c>
      <c r="L22" s="7" t="s">
        <v>195</v>
      </c>
      <c r="M22" s="7" t="s">
        <v>28</v>
      </c>
      <c r="N22" s="7" t="s">
        <v>29</v>
      </c>
      <c r="O22" s="7" t="s">
        <v>29</v>
      </c>
      <c r="P22" s="7" t="s">
        <v>29</v>
      </c>
      <c r="Q22" s="7" t="s">
        <v>29</v>
      </c>
      <c r="R22" s="7" t="s">
        <v>29</v>
      </c>
      <c r="S22" s="7" t="s">
        <v>29</v>
      </c>
    </row>
    <row r="23" spans="1:19">
      <c r="A23" s="7" t="s">
        <v>855</v>
      </c>
      <c r="B23" s="7" t="s">
        <v>195</v>
      </c>
      <c r="C23" s="8" t="s">
        <v>195</v>
      </c>
      <c r="D23" s="6" t="str">
        <f>LRTRIM(CONCATENATE(IF(SUMPRODUCT(-- ISNUMBER(SEARCH({"Auto Number"}, $B23))) &gt; 0, $B23, IF(SUMPRODUCT(-- ISNUMBER(SEARCH({"Lookup","Master-Detail"}, $B23))) &gt; 0,$B23 &amp; "(" &amp; $E23 &amp; ")",IF(SUMPRODUCT(-- ISNUMBER(SEARCH({"Formula","Roll-Up Summary"}, $B23))) &gt; 0,$B23 &amp; " (" &amp; $E23 &amp; ")",IF(SUMPRODUCT(-- ISNUMBER(SEARCH({"Content","Currency","Number","Percent","Text","URL"}, $B23))) &gt; 0,$B23 &amp; "(" &amp; $C23 &amp; ")",$B23)))), "  ", TRIM(IF($S23 = "YES", "(External ID)", "") &amp; " " &amp; IF(SUMPRODUCT(-- ISNUMBER(SEARCH({"Unique","Unique Case Insensitive"}, $R23))) &gt; 0, "(" &amp; $R23 &amp; ")", ""))))</f>
        <v>na</v>
      </c>
      <c r="E23" s="7" t="s">
        <v>195</v>
      </c>
      <c r="F23" s="7" t="s">
        <v>195</v>
      </c>
      <c r="G23" s="7" t="s">
        <v>195</v>
      </c>
      <c r="H23" s="7" t="s">
        <v>195</v>
      </c>
      <c r="I23" s="7" t="s">
        <v>195</v>
      </c>
      <c r="J23" s="7" t="s">
        <v>195</v>
      </c>
      <c r="K23" s="7" t="s">
        <v>195</v>
      </c>
      <c r="L23" s="7" t="s">
        <v>195</v>
      </c>
      <c r="M23" s="7" t="s">
        <v>28</v>
      </c>
      <c r="N23" s="7" t="s">
        <v>29</v>
      </c>
      <c r="O23" s="7" t="s">
        <v>29</v>
      </c>
      <c r="P23" s="7" t="s">
        <v>29</v>
      </c>
      <c r="Q23" s="7" t="s">
        <v>29</v>
      </c>
      <c r="R23" s="7" t="s">
        <v>29</v>
      </c>
      <c r="S23" s="7" t="s">
        <v>29</v>
      </c>
    </row>
    <row r="24" spans="1:19">
      <c r="B24" s="7" t="s">
        <v>195</v>
      </c>
      <c r="C24" s="8" t="s">
        <v>195</v>
      </c>
      <c r="D24" s="6" t="str">
        <f>LRTRIM(CONCATENATE(IF(SUMPRODUCT(-- ISNUMBER(SEARCH({"Auto Number"}, $B24))) &gt; 0, $B24, IF(SUMPRODUCT(-- ISNUMBER(SEARCH({"Lookup","Master-Detail"}, $B24))) &gt; 0,$B24 &amp; "(" &amp; $E24 &amp; ")",IF(SUMPRODUCT(-- ISNUMBER(SEARCH({"Formula","Roll-Up Summary"}, $B24))) &gt; 0,$B24 &amp; " (" &amp; $E24 &amp; ")",IF(SUMPRODUCT(-- ISNUMBER(SEARCH({"Content","Currency","Number","Percent","Text","URL"}, $B24))) &gt; 0,$B24 &amp; "(" &amp; $C24 &amp; ")",$B24)))), "  ", TRIM(IF($S24 = "YES", "(External ID)", "") &amp; " " &amp; IF(SUMPRODUCT(-- ISNUMBER(SEARCH({"Unique","Unique Case Insensitive"}, $R24))) &gt; 0, "(" &amp; $R24 &amp; ")", ""))))</f>
        <v>na</v>
      </c>
      <c r="E24" s="7" t="s">
        <v>195</v>
      </c>
      <c r="F24" s="7" t="s">
        <v>195</v>
      </c>
      <c r="G24" s="7" t="s">
        <v>195</v>
      </c>
      <c r="H24" s="7" t="s">
        <v>195</v>
      </c>
      <c r="I24" s="7" t="s">
        <v>195</v>
      </c>
      <c r="J24" s="7" t="s">
        <v>195</v>
      </c>
      <c r="K24" s="7" t="s">
        <v>195</v>
      </c>
      <c r="L24" s="7" t="s">
        <v>195</v>
      </c>
      <c r="M24" s="7" t="s">
        <v>29</v>
      </c>
      <c r="N24" s="7" t="s">
        <v>29</v>
      </c>
      <c r="O24" s="7" t="s">
        <v>29</v>
      </c>
      <c r="P24" s="7" t="s">
        <v>29</v>
      </c>
      <c r="Q24" s="7" t="s">
        <v>29</v>
      </c>
      <c r="R24" s="7" t="s">
        <v>29</v>
      </c>
      <c r="S24" s="7" t="s">
        <v>29</v>
      </c>
    </row>
    <row r="25" spans="1:19">
      <c r="B25" s="7" t="s">
        <v>195</v>
      </c>
      <c r="C25" s="8" t="s">
        <v>195</v>
      </c>
      <c r="D25" s="6" t="str">
        <f>LRTRIM(CONCATENATE(IF(SUMPRODUCT(-- ISNUMBER(SEARCH({"Auto Number"}, $B25))) &gt; 0, $B25, IF(SUMPRODUCT(-- ISNUMBER(SEARCH({"Lookup","Master-Detail"}, $B25))) &gt; 0,$B25 &amp; "(" &amp; $E25 &amp; ")",IF(SUMPRODUCT(-- ISNUMBER(SEARCH({"Formula","Roll-Up Summary"}, $B25))) &gt; 0,$B25 &amp; " (" &amp; $E25 &amp; ")",IF(SUMPRODUCT(-- ISNUMBER(SEARCH({"Content","Currency","Number","Percent","Text","URL"}, $B25))) &gt; 0,$B25 &amp; "(" &amp; $C25 &amp; ")",$B25)))), "  ", TRIM(IF($S25 = "YES", "(External ID)", "") &amp; " " &amp; IF(SUMPRODUCT(-- ISNUMBER(SEARCH({"Unique","Unique Case Insensitive"}, $R25))) &gt; 0, "(" &amp; $R25 &amp; ")", ""))))</f>
        <v>na</v>
      </c>
      <c r="E25" s="7" t="s">
        <v>195</v>
      </c>
      <c r="F25" s="7" t="s">
        <v>195</v>
      </c>
      <c r="G25" s="7" t="s">
        <v>195</v>
      </c>
      <c r="H25" s="7" t="s">
        <v>195</v>
      </c>
      <c r="I25" s="7" t="s">
        <v>195</v>
      </c>
      <c r="J25" s="7" t="s">
        <v>195</v>
      </c>
      <c r="K25" s="7" t="s">
        <v>195</v>
      </c>
      <c r="L25" s="7" t="s">
        <v>195</v>
      </c>
      <c r="M25" s="7" t="s">
        <v>29</v>
      </c>
      <c r="N25" s="7" t="s">
        <v>29</v>
      </c>
      <c r="O25" s="7" t="s">
        <v>29</v>
      </c>
      <c r="P25" s="7" t="s">
        <v>29</v>
      </c>
      <c r="Q25" s="7" t="s">
        <v>29</v>
      </c>
      <c r="R25" s="7" t="s">
        <v>29</v>
      </c>
      <c r="S25" s="7" t="s">
        <v>29</v>
      </c>
    </row>
    <row r="26" spans="1:19">
      <c r="B26" s="7" t="s">
        <v>195</v>
      </c>
      <c r="C26" s="8" t="s">
        <v>195</v>
      </c>
      <c r="D26" s="6" t="str">
        <f>LRTRIM(CONCATENATE(IF(SUMPRODUCT(-- ISNUMBER(SEARCH({"Auto Number"}, $B26))) &gt; 0, $B26, IF(SUMPRODUCT(-- ISNUMBER(SEARCH({"Lookup","Master-Detail"}, $B26))) &gt; 0,$B26 &amp; "(" &amp; $E26 &amp; ")",IF(SUMPRODUCT(-- ISNUMBER(SEARCH({"Formula","Roll-Up Summary"}, $B26))) &gt; 0,$B26 &amp; " (" &amp; $E26 &amp; ")",IF(SUMPRODUCT(-- ISNUMBER(SEARCH({"Content","Currency","Number","Percent","Text","URL"}, $B26))) &gt; 0,$B26 &amp; "(" &amp; $C26 &amp; ")",$B26)))), "  ", TRIM(IF($S26 = "YES", "(External ID)", "") &amp; " " &amp; IF(SUMPRODUCT(-- ISNUMBER(SEARCH({"Unique","Unique Case Insensitive"}, $R26))) &gt; 0, "(" &amp; $R26 &amp; ")", ""))))</f>
        <v>na</v>
      </c>
      <c r="E26" s="7" t="s">
        <v>195</v>
      </c>
      <c r="F26" s="7" t="s">
        <v>195</v>
      </c>
      <c r="G26" s="7" t="s">
        <v>195</v>
      </c>
      <c r="H26" s="7" t="s">
        <v>195</v>
      </c>
      <c r="I26" s="7" t="s">
        <v>195</v>
      </c>
      <c r="J26" s="7" t="s">
        <v>195</v>
      </c>
      <c r="K26" s="7" t="s">
        <v>195</v>
      </c>
      <c r="L26" s="7" t="s">
        <v>195</v>
      </c>
      <c r="M26" s="7" t="s">
        <v>29</v>
      </c>
      <c r="N26" s="7" t="s">
        <v>29</v>
      </c>
      <c r="O26" s="7" t="s">
        <v>29</v>
      </c>
      <c r="P26" s="7" t="s">
        <v>29</v>
      </c>
      <c r="Q26" s="7" t="s">
        <v>29</v>
      </c>
      <c r="R26" s="7" t="s">
        <v>29</v>
      </c>
      <c r="S26" s="7" t="s">
        <v>29</v>
      </c>
    </row>
    <row r="27" spans="1:19">
      <c r="B27" s="7" t="s">
        <v>195</v>
      </c>
      <c r="C27" s="8" t="s">
        <v>195</v>
      </c>
      <c r="D27" s="6" t="str">
        <f>LRTRIM(CONCATENATE(IF(SUMPRODUCT(-- ISNUMBER(SEARCH({"Auto Number"}, $B27))) &gt; 0, $B27, IF(SUMPRODUCT(-- ISNUMBER(SEARCH({"Lookup","Master-Detail"}, $B27))) &gt; 0,$B27 &amp; "(" &amp; $E27 &amp; ")",IF(SUMPRODUCT(-- ISNUMBER(SEARCH({"Formula","Roll-Up Summary"}, $B27))) &gt; 0,$B27 &amp; " (" &amp; $E27 &amp; ")",IF(SUMPRODUCT(-- ISNUMBER(SEARCH({"Content","Currency","Number","Percent","Text","URL"}, $B27))) &gt; 0,$B27 &amp; "(" &amp; $C27 &amp; ")",$B27)))), "  ", TRIM(IF($S27 = "YES", "(External ID)", "") &amp; " " &amp; IF(SUMPRODUCT(-- ISNUMBER(SEARCH({"Unique","Unique Case Insensitive"}, $R27))) &gt; 0, "(" &amp; $R27 &amp; ")", ""))))</f>
        <v>na</v>
      </c>
      <c r="E27" s="7" t="s">
        <v>195</v>
      </c>
      <c r="F27" s="7" t="s">
        <v>195</v>
      </c>
      <c r="G27" s="7" t="s">
        <v>195</v>
      </c>
      <c r="H27" s="7" t="s">
        <v>195</v>
      </c>
      <c r="I27" s="7" t="s">
        <v>195</v>
      </c>
      <c r="J27" s="7" t="s">
        <v>195</v>
      </c>
      <c r="K27" s="7" t="s">
        <v>195</v>
      </c>
      <c r="L27" s="7" t="s">
        <v>195</v>
      </c>
      <c r="M27" s="7" t="s">
        <v>29</v>
      </c>
      <c r="N27" s="7" t="s">
        <v>29</v>
      </c>
      <c r="O27" s="7" t="s">
        <v>29</v>
      </c>
      <c r="P27" s="7" t="s">
        <v>29</v>
      </c>
      <c r="Q27" s="7" t="s">
        <v>29</v>
      </c>
      <c r="R27" s="7" t="s">
        <v>29</v>
      </c>
      <c r="S27" s="7" t="s">
        <v>29</v>
      </c>
    </row>
    <row r="28" spans="1:19">
      <c r="B28" s="7" t="s">
        <v>195</v>
      </c>
      <c r="C28" s="8" t="s">
        <v>195</v>
      </c>
      <c r="D28" s="6" t="str">
        <f>LRTRIM(CONCATENATE(IF(SUMPRODUCT(-- ISNUMBER(SEARCH({"Auto Number"}, $B28))) &gt; 0, $B28, IF(SUMPRODUCT(-- ISNUMBER(SEARCH({"Lookup","Master-Detail"}, $B28))) &gt; 0,$B28 &amp; "(" &amp; $E28 &amp; ")",IF(SUMPRODUCT(-- ISNUMBER(SEARCH({"Formula","Roll-Up Summary"}, $B28))) &gt; 0,$B28 &amp; " (" &amp; $E28 &amp; ")",IF(SUMPRODUCT(-- ISNUMBER(SEARCH({"Content","Currency","Number","Percent","Text","URL"}, $B28))) &gt; 0,$B28 &amp; "(" &amp; $C28 &amp; ")",$B28)))), "  ", TRIM(IF($S28 = "YES", "(External ID)", "") &amp; " " &amp; IF(SUMPRODUCT(-- ISNUMBER(SEARCH({"Unique","Unique Case Insensitive"}, $R28))) &gt; 0, "(" &amp; $R28 &amp; ")", ""))))</f>
        <v>na</v>
      </c>
      <c r="E28" s="7" t="s">
        <v>195</v>
      </c>
      <c r="F28" s="7" t="s">
        <v>195</v>
      </c>
      <c r="G28" s="7" t="s">
        <v>195</v>
      </c>
      <c r="H28" s="7" t="s">
        <v>195</v>
      </c>
      <c r="I28" s="7" t="s">
        <v>195</v>
      </c>
      <c r="J28" s="7" t="s">
        <v>195</v>
      </c>
      <c r="K28" s="7" t="s">
        <v>195</v>
      </c>
      <c r="L28" s="7" t="s">
        <v>195</v>
      </c>
      <c r="M28" s="7" t="s">
        <v>29</v>
      </c>
      <c r="N28" s="7" t="s">
        <v>29</v>
      </c>
      <c r="O28" s="7" t="s">
        <v>29</v>
      </c>
      <c r="P28" s="7" t="s">
        <v>29</v>
      </c>
      <c r="Q28" s="7" t="s">
        <v>29</v>
      </c>
      <c r="R28" s="7" t="s">
        <v>29</v>
      </c>
      <c r="S28" s="7" t="s">
        <v>29</v>
      </c>
    </row>
    <row r="29" spans="1:19">
      <c r="B29" s="7" t="s">
        <v>195</v>
      </c>
      <c r="C29" s="8" t="s">
        <v>195</v>
      </c>
      <c r="D29" s="6" t="str">
        <f>LRTRIM(CONCATENATE(IF(SUMPRODUCT(-- ISNUMBER(SEARCH({"Auto Number"}, $B29))) &gt; 0, $B29, IF(SUMPRODUCT(-- ISNUMBER(SEARCH({"Lookup","Master-Detail"}, $B29))) &gt; 0,$B29 &amp; "(" &amp; $E29 &amp; ")",IF(SUMPRODUCT(-- ISNUMBER(SEARCH({"Formula","Roll-Up Summary"}, $B29))) &gt; 0,$B29 &amp; " (" &amp; $E29 &amp; ")",IF(SUMPRODUCT(-- ISNUMBER(SEARCH({"Content","Currency","Number","Percent","Text","URL"}, $B29))) &gt; 0,$B29 &amp; "(" &amp; $C29 &amp; ")",$B29)))), "  ", TRIM(IF($S29 = "YES", "(External ID)", "") &amp; " " &amp; IF(SUMPRODUCT(-- ISNUMBER(SEARCH({"Unique","Unique Case Insensitive"}, $R29))) &gt; 0, "(" &amp; $R29 &amp; ")", ""))))</f>
        <v>na</v>
      </c>
      <c r="E29" s="7" t="s">
        <v>195</v>
      </c>
      <c r="F29" s="7" t="s">
        <v>195</v>
      </c>
      <c r="G29" s="7" t="s">
        <v>195</v>
      </c>
      <c r="H29" s="7" t="s">
        <v>195</v>
      </c>
      <c r="I29" s="7" t="s">
        <v>195</v>
      </c>
      <c r="J29" s="7" t="s">
        <v>195</v>
      </c>
      <c r="K29" s="7" t="s">
        <v>195</v>
      </c>
      <c r="L29" s="7" t="s">
        <v>195</v>
      </c>
      <c r="M29" s="7" t="s">
        <v>29</v>
      </c>
      <c r="N29" s="7" t="s">
        <v>29</v>
      </c>
      <c r="O29" s="7" t="s">
        <v>29</v>
      </c>
      <c r="P29" s="7" t="s">
        <v>29</v>
      </c>
      <c r="Q29" s="7" t="s">
        <v>29</v>
      </c>
      <c r="R29" s="7" t="s">
        <v>29</v>
      </c>
      <c r="S29" s="7" t="s">
        <v>29</v>
      </c>
    </row>
    <row r="30" spans="1:19">
      <c r="B30" s="7" t="s">
        <v>195</v>
      </c>
      <c r="C30" s="8" t="s">
        <v>195</v>
      </c>
      <c r="D30" s="6" t="str">
        <f>LRTRIM(CONCATENATE(IF(SUMPRODUCT(-- ISNUMBER(SEARCH({"Auto Number"}, $B30))) &gt; 0, $B30, IF(SUMPRODUCT(-- ISNUMBER(SEARCH({"Lookup","Master-Detail"}, $B30))) &gt; 0,$B30 &amp; "(" &amp; $E30 &amp; ")",IF(SUMPRODUCT(-- ISNUMBER(SEARCH({"Formula","Roll-Up Summary"}, $B30))) &gt; 0,$B30 &amp; " (" &amp; $E30 &amp; ")",IF(SUMPRODUCT(-- ISNUMBER(SEARCH({"Content","Currency","Number","Percent","Text","URL"}, $B30))) &gt; 0,$B30 &amp; "(" &amp; $C30 &amp; ")",$B30)))), "  ", TRIM(IF($S30 = "YES", "(External ID)", "") &amp; " " &amp; IF(SUMPRODUCT(-- ISNUMBER(SEARCH({"Unique","Unique Case Insensitive"}, $R30))) &gt; 0, "(" &amp; $R30 &amp; ")", ""))))</f>
        <v>na</v>
      </c>
      <c r="E30" s="7" t="s">
        <v>195</v>
      </c>
      <c r="F30" s="7" t="s">
        <v>195</v>
      </c>
      <c r="G30" s="7" t="s">
        <v>195</v>
      </c>
      <c r="H30" s="7" t="s">
        <v>195</v>
      </c>
      <c r="I30" s="7" t="s">
        <v>195</v>
      </c>
      <c r="J30" s="7" t="s">
        <v>195</v>
      </c>
      <c r="K30" s="7" t="s">
        <v>195</v>
      </c>
      <c r="L30" s="7" t="s">
        <v>195</v>
      </c>
      <c r="M30" s="7" t="s">
        <v>29</v>
      </c>
      <c r="N30" s="7" t="s">
        <v>29</v>
      </c>
      <c r="O30" s="7" t="s">
        <v>29</v>
      </c>
      <c r="P30" s="7" t="s">
        <v>29</v>
      </c>
      <c r="Q30" s="7" t="s">
        <v>29</v>
      </c>
      <c r="R30" s="7" t="s">
        <v>29</v>
      </c>
      <c r="S30" s="7" t="s">
        <v>29</v>
      </c>
    </row>
    <row r="31" spans="1:19">
      <c r="B31" s="7" t="s">
        <v>195</v>
      </c>
      <c r="C31" s="8" t="s">
        <v>195</v>
      </c>
      <c r="D31" s="6" t="str">
        <f>LRTRIM(CONCATENATE(IF(SUMPRODUCT(-- ISNUMBER(SEARCH({"Auto Number"}, $B31))) &gt; 0, $B31, IF(SUMPRODUCT(-- ISNUMBER(SEARCH({"Lookup","Master-Detail"}, $B31))) &gt; 0,$B31 &amp; "(" &amp; $E31 &amp; ")",IF(SUMPRODUCT(-- ISNUMBER(SEARCH({"Formula","Roll-Up Summary"}, $B31))) &gt; 0,$B31 &amp; " (" &amp; $E31 &amp; ")",IF(SUMPRODUCT(-- ISNUMBER(SEARCH({"Content","Currency","Number","Percent","Text","URL"}, $B31))) &gt; 0,$B31 &amp; "(" &amp; $C31 &amp; ")",$B31)))), "  ", TRIM(IF($S31 = "YES", "(External ID)", "") &amp; " " &amp; IF(SUMPRODUCT(-- ISNUMBER(SEARCH({"Unique","Unique Case Insensitive"}, $R31))) &gt; 0, "(" &amp; $R31 &amp; ")", ""))))</f>
        <v>na</v>
      </c>
      <c r="E31" s="7" t="s">
        <v>195</v>
      </c>
      <c r="F31" s="7" t="s">
        <v>195</v>
      </c>
      <c r="G31" s="7" t="s">
        <v>195</v>
      </c>
      <c r="H31" s="7" t="s">
        <v>195</v>
      </c>
      <c r="I31" s="7" t="s">
        <v>195</v>
      </c>
      <c r="J31" s="7" t="s">
        <v>195</v>
      </c>
      <c r="K31" s="7" t="s">
        <v>195</v>
      </c>
      <c r="L31" s="7" t="s">
        <v>195</v>
      </c>
      <c r="M31" s="7" t="s">
        <v>29</v>
      </c>
      <c r="N31" s="7" t="s">
        <v>29</v>
      </c>
      <c r="O31" s="7" t="s">
        <v>29</v>
      </c>
      <c r="P31" s="7" t="s">
        <v>29</v>
      </c>
      <c r="Q31" s="7" t="s">
        <v>29</v>
      </c>
      <c r="R31" s="7" t="s">
        <v>29</v>
      </c>
      <c r="S31" s="7" t="s">
        <v>29</v>
      </c>
    </row>
    <row r="32" spans="1:19">
      <c r="B32" s="7" t="s">
        <v>195</v>
      </c>
      <c r="C32" s="8" t="s">
        <v>195</v>
      </c>
      <c r="D32" s="6" t="str">
        <f>LRTRIM(CONCATENATE(IF(SUMPRODUCT(-- ISNUMBER(SEARCH({"Auto Number"}, $B32))) &gt; 0, $B32, IF(SUMPRODUCT(-- ISNUMBER(SEARCH({"Lookup","Master-Detail"}, $B32))) &gt; 0,$B32 &amp; "(" &amp; $E32 &amp; ")",IF(SUMPRODUCT(-- ISNUMBER(SEARCH({"Formula","Roll-Up Summary"}, $B32))) &gt; 0,$B32 &amp; " (" &amp; $E32 &amp; ")",IF(SUMPRODUCT(-- ISNUMBER(SEARCH({"Content","Currency","Number","Percent","Text","URL"}, $B32))) &gt; 0,$B32 &amp; "(" &amp; $C32 &amp; ")",$B32)))), "  ", TRIM(IF($S32 = "YES", "(External ID)", "") &amp; " " &amp; IF(SUMPRODUCT(-- ISNUMBER(SEARCH({"Unique","Unique Case Insensitive"}, $R32))) &gt; 0, "(" &amp; $R32 &amp; ")", ""))))</f>
        <v>na</v>
      </c>
      <c r="E32" s="7" t="s">
        <v>195</v>
      </c>
      <c r="F32" s="7" t="s">
        <v>195</v>
      </c>
      <c r="G32" s="7" t="s">
        <v>195</v>
      </c>
      <c r="H32" s="7" t="s">
        <v>195</v>
      </c>
      <c r="I32" s="7" t="s">
        <v>195</v>
      </c>
      <c r="J32" s="7" t="s">
        <v>195</v>
      </c>
      <c r="K32" s="7" t="s">
        <v>195</v>
      </c>
      <c r="L32" s="7" t="s">
        <v>195</v>
      </c>
      <c r="M32" s="7" t="s">
        <v>29</v>
      </c>
      <c r="N32" s="7" t="s">
        <v>29</v>
      </c>
      <c r="O32" s="7" t="s">
        <v>29</v>
      </c>
      <c r="P32" s="7" t="s">
        <v>29</v>
      </c>
      <c r="Q32" s="7" t="s">
        <v>29</v>
      </c>
      <c r="R32" s="7" t="s">
        <v>29</v>
      </c>
      <c r="S32" s="7" t="s">
        <v>29</v>
      </c>
    </row>
    <row r="33" spans="2:19">
      <c r="B33" s="7" t="s">
        <v>195</v>
      </c>
      <c r="C33" s="8" t="s">
        <v>195</v>
      </c>
      <c r="D33" s="6" t="str">
        <f>LRTRIM(CONCATENATE(IF(SUMPRODUCT(-- ISNUMBER(SEARCH({"Auto Number"}, $B33))) &gt; 0, $B33, IF(SUMPRODUCT(-- ISNUMBER(SEARCH({"Lookup","Master-Detail"}, $B33))) &gt; 0,$B33 &amp; "(" &amp; $E33 &amp; ")",IF(SUMPRODUCT(-- ISNUMBER(SEARCH({"Formula","Roll-Up Summary"}, $B33))) &gt; 0,$B33 &amp; " (" &amp; $E33 &amp; ")",IF(SUMPRODUCT(-- ISNUMBER(SEARCH({"Content","Currency","Number","Percent","Text","URL"}, $B33))) &gt; 0,$B33 &amp; "(" &amp; $C33 &amp; ")",$B33)))), "  ", TRIM(IF($S33 = "YES", "(External ID)", "") &amp; " " &amp; IF(SUMPRODUCT(-- ISNUMBER(SEARCH({"Unique","Unique Case Insensitive"}, $R33))) &gt; 0, "(" &amp; $R33 &amp; ")", ""))))</f>
        <v>na</v>
      </c>
      <c r="E33" s="7" t="s">
        <v>195</v>
      </c>
      <c r="F33" s="7" t="s">
        <v>195</v>
      </c>
      <c r="G33" s="7" t="s">
        <v>195</v>
      </c>
      <c r="H33" s="7" t="s">
        <v>195</v>
      </c>
      <c r="I33" s="7" t="s">
        <v>195</v>
      </c>
      <c r="J33" s="7" t="s">
        <v>195</v>
      </c>
      <c r="K33" s="7" t="s">
        <v>195</v>
      </c>
      <c r="L33" s="7" t="s">
        <v>195</v>
      </c>
      <c r="M33" s="7" t="s">
        <v>29</v>
      </c>
      <c r="N33" s="7" t="s">
        <v>29</v>
      </c>
      <c r="O33" s="7" t="s">
        <v>29</v>
      </c>
      <c r="P33" s="7" t="s">
        <v>29</v>
      </c>
      <c r="Q33" s="7" t="s">
        <v>29</v>
      </c>
      <c r="R33" s="7" t="s">
        <v>29</v>
      </c>
      <c r="S33" s="7" t="s">
        <v>29</v>
      </c>
    </row>
    <row r="34" spans="2:19">
      <c r="B34" s="7" t="s">
        <v>195</v>
      </c>
      <c r="C34" s="8" t="s">
        <v>195</v>
      </c>
      <c r="D34" s="6" t="str">
        <f>LRTRIM(CONCATENATE(IF(SUMPRODUCT(-- ISNUMBER(SEARCH({"Auto Number"}, $B34))) &gt; 0, $B34, IF(SUMPRODUCT(-- ISNUMBER(SEARCH({"Lookup","Master-Detail"}, $B34))) &gt; 0,$B34 &amp; "(" &amp; $E34 &amp; ")",IF(SUMPRODUCT(-- ISNUMBER(SEARCH({"Formula","Roll-Up Summary"}, $B34))) &gt; 0,$B34 &amp; " (" &amp; $E34 &amp; ")",IF(SUMPRODUCT(-- ISNUMBER(SEARCH({"Content","Currency","Number","Percent","Text","URL"}, $B34))) &gt; 0,$B34 &amp; "(" &amp; $C34 &amp; ")",$B34)))), "  ", TRIM(IF($S34 = "YES", "(External ID)", "") &amp; " " &amp; IF(SUMPRODUCT(-- ISNUMBER(SEARCH({"Unique","Unique Case Insensitive"}, $R34))) &gt; 0, "(" &amp; $R34 &amp; ")", ""))))</f>
        <v>na</v>
      </c>
      <c r="E34" s="7" t="s">
        <v>195</v>
      </c>
      <c r="F34" s="7" t="s">
        <v>195</v>
      </c>
      <c r="G34" s="7" t="s">
        <v>195</v>
      </c>
      <c r="H34" s="7" t="s">
        <v>195</v>
      </c>
      <c r="I34" s="7" t="s">
        <v>195</v>
      </c>
      <c r="J34" s="7" t="s">
        <v>195</v>
      </c>
      <c r="K34" s="7" t="s">
        <v>195</v>
      </c>
      <c r="L34" s="7" t="s">
        <v>195</v>
      </c>
      <c r="M34" s="7" t="s">
        <v>29</v>
      </c>
      <c r="N34" s="7" t="s">
        <v>29</v>
      </c>
      <c r="O34" s="7" t="s">
        <v>29</v>
      </c>
      <c r="P34" s="7" t="s">
        <v>29</v>
      </c>
      <c r="Q34" s="7" t="s">
        <v>29</v>
      </c>
      <c r="R34" s="7" t="s">
        <v>29</v>
      </c>
      <c r="S34" s="7" t="s">
        <v>29</v>
      </c>
    </row>
    <row r="35" spans="2:19">
      <c r="B35" s="7" t="s">
        <v>195</v>
      </c>
      <c r="C35" s="8" t="s">
        <v>195</v>
      </c>
      <c r="D35" s="6" t="str">
        <f>LRTRIM(CONCATENATE(IF(SUMPRODUCT(-- ISNUMBER(SEARCH({"Auto Number"}, $B35))) &gt; 0, $B35, IF(SUMPRODUCT(-- ISNUMBER(SEARCH({"Lookup","Master-Detail"}, $B35))) &gt; 0,$B35 &amp; "(" &amp; $E35 &amp; ")",IF(SUMPRODUCT(-- ISNUMBER(SEARCH({"Formula","Roll-Up Summary"}, $B35))) &gt; 0,$B35 &amp; " (" &amp; $E35 &amp; ")",IF(SUMPRODUCT(-- ISNUMBER(SEARCH({"Content","Currency","Number","Percent","Text","URL"}, $B35))) &gt; 0,$B35 &amp; "(" &amp; $C35 &amp; ")",$B35)))), "  ", TRIM(IF($S35 = "YES", "(External ID)", "") &amp; " " &amp; IF(SUMPRODUCT(-- ISNUMBER(SEARCH({"Unique","Unique Case Insensitive"}, $R35))) &gt; 0, "(" &amp; $R35 &amp; ")", ""))))</f>
        <v>na</v>
      </c>
      <c r="E35" s="7" t="s">
        <v>195</v>
      </c>
      <c r="F35" s="7" t="s">
        <v>195</v>
      </c>
      <c r="G35" s="7" t="s">
        <v>195</v>
      </c>
      <c r="H35" s="7" t="s">
        <v>195</v>
      </c>
      <c r="I35" s="7" t="s">
        <v>195</v>
      </c>
      <c r="J35" s="7" t="s">
        <v>195</v>
      </c>
      <c r="K35" s="7" t="s">
        <v>195</v>
      </c>
      <c r="L35" s="7" t="s">
        <v>195</v>
      </c>
      <c r="M35" s="7" t="s">
        <v>29</v>
      </c>
      <c r="N35" s="7" t="s">
        <v>29</v>
      </c>
      <c r="O35" s="7" t="s">
        <v>29</v>
      </c>
      <c r="P35" s="7" t="s">
        <v>29</v>
      </c>
      <c r="Q35" s="7" t="s">
        <v>29</v>
      </c>
      <c r="R35" s="7" t="s">
        <v>29</v>
      </c>
      <c r="S35" s="7" t="s">
        <v>29</v>
      </c>
    </row>
    <row r="36" spans="2:19">
      <c r="B36" s="7" t="s">
        <v>195</v>
      </c>
      <c r="C36" s="8" t="s">
        <v>195</v>
      </c>
      <c r="D36" s="6" t="str">
        <f>LRTRIM(CONCATENATE(IF(SUMPRODUCT(-- ISNUMBER(SEARCH({"Auto Number"}, $B36))) &gt; 0, $B36, IF(SUMPRODUCT(-- ISNUMBER(SEARCH({"Lookup","Master-Detail"}, $B36))) &gt; 0,$B36 &amp; "(" &amp; $E36 &amp; ")",IF(SUMPRODUCT(-- ISNUMBER(SEARCH({"Formula","Roll-Up Summary"}, $B36))) &gt; 0,$B36 &amp; " (" &amp; $E36 &amp; ")",IF(SUMPRODUCT(-- ISNUMBER(SEARCH({"Content","Currency","Number","Percent","Text","URL"}, $B36))) &gt; 0,$B36 &amp; "(" &amp; $C36 &amp; ")",$B36)))), "  ", TRIM(IF($S36 = "YES", "(External ID)", "") &amp; " " &amp; IF(SUMPRODUCT(-- ISNUMBER(SEARCH({"Unique","Unique Case Insensitive"}, $R36))) &gt; 0, "(" &amp; $R36 &amp; ")", ""))))</f>
        <v>na</v>
      </c>
      <c r="E36" s="7" t="s">
        <v>195</v>
      </c>
      <c r="F36" s="7" t="s">
        <v>195</v>
      </c>
      <c r="G36" s="7" t="s">
        <v>195</v>
      </c>
      <c r="H36" s="7" t="s">
        <v>195</v>
      </c>
      <c r="I36" s="7" t="s">
        <v>195</v>
      </c>
      <c r="J36" s="7" t="s">
        <v>195</v>
      </c>
      <c r="K36" s="7" t="s">
        <v>195</v>
      </c>
      <c r="L36" s="7" t="s">
        <v>195</v>
      </c>
      <c r="M36" s="7" t="s">
        <v>29</v>
      </c>
      <c r="N36" s="7" t="s">
        <v>29</v>
      </c>
      <c r="O36" s="7" t="s">
        <v>29</v>
      </c>
      <c r="P36" s="7" t="s">
        <v>29</v>
      </c>
      <c r="Q36" s="7" t="s">
        <v>29</v>
      </c>
      <c r="R36" s="7" t="s">
        <v>29</v>
      </c>
      <c r="S36" s="7" t="s">
        <v>29</v>
      </c>
    </row>
    <row r="37" spans="2:19">
      <c r="B37" s="7" t="s">
        <v>195</v>
      </c>
      <c r="C37" s="8" t="s">
        <v>195</v>
      </c>
      <c r="D37" s="6" t="str">
        <f>LRTRIM(CONCATENATE(IF(SUMPRODUCT(-- ISNUMBER(SEARCH({"Auto Number"}, $B37))) &gt; 0, $B37, IF(SUMPRODUCT(-- ISNUMBER(SEARCH({"Lookup","Master-Detail"}, $B37))) &gt; 0,$B37 &amp; "(" &amp; $E37 &amp; ")",IF(SUMPRODUCT(-- ISNUMBER(SEARCH({"Formula","Roll-Up Summary"}, $B37))) &gt; 0,$B37 &amp; " (" &amp; $E37 &amp; ")",IF(SUMPRODUCT(-- ISNUMBER(SEARCH({"Content","Currency","Number","Percent","Text","URL"}, $B37))) &gt; 0,$B37 &amp; "(" &amp; $C37 &amp; ")",$B37)))), "  ", TRIM(IF($S37 = "YES", "(External ID)", "") &amp; " " &amp; IF(SUMPRODUCT(-- ISNUMBER(SEARCH({"Unique","Unique Case Insensitive"}, $R37))) &gt; 0, "(" &amp; $R37 &amp; ")", ""))))</f>
        <v>na</v>
      </c>
      <c r="E37" s="7" t="s">
        <v>195</v>
      </c>
      <c r="F37" s="7" t="s">
        <v>195</v>
      </c>
      <c r="G37" s="7" t="s">
        <v>195</v>
      </c>
      <c r="H37" s="7" t="s">
        <v>195</v>
      </c>
      <c r="I37" s="7" t="s">
        <v>195</v>
      </c>
      <c r="J37" s="7" t="s">
        <v>195</v>
      </c>
      <c r="K37" s="7" t="s">
        <v>195</v>
      </c>
      <c r="L37" s="7" t="s">
        <v>195</v>
      </c>
      <c r="M37" s="7" t="s">
        <v>29</v>
      </c>
      <c r="N37" s="7" t="s">
        <v>29</v>
      </c>
      <c r="O37" s="7" t="s">
        <v>29</v>
      </c>
      <c r="P37" s="7" t="s">
        <v>29</v>
      </c>
      <c r="Q37" s="7" t="s">
        <v>29</v>
      </c>
      <c r="R37" s="7" t="s">
        <v>29</v>
      </c>
      <c r="S37" s="7" t="s">
        <v>29</v>
      </c>
    </row>
    <row r="38" spans="2:19">
      <c r="B38" s="7" t="s">
        <v>195</v>
      </c>
      <c r="C38" s="8" t="s">
        <v>195</v>
      </c>
      <c r="D38" s="6" t="str">
        <f>LRTRIM(CONCATENATE(IF(SUMPRODUCT(-- ISNUMBER(SEARCH({"Auto Number"}, $B38))) &gt; 0, $B38, IF(SUMPRODUCT(-- ISNUMBER(SEARCH({"Lookup","Master-Detail"}, $B38))) &gt; 0,$B38 &amp; "(" &amp; $E38 &amp; ")",IF(SUMPRODUCT(-- ISNUMBER(SEARCH({"Formula","Roll-Up Summary"}, $B38))) &gt; 0,$B38 &amp; " (" &amp; $E38 &amp; ")",IF(SUMPRODUCT(-- ISNUMBER(SEARCH({"Content","Currency","Number","Percent","Text","URL"}, $B38))) &gt; 0,$B38 &amp; "(" &amp; $C38 &amp; ")",$B38)))), "  ", TRIM(IF($S38 = "YES", "(External ID)", "") &amp; " " &amp; IF(SUMPRODUCT(-- ISNUMBER(SEARCH({"Unique","Unique Case Insensitive"}, $R38))) &gt; 0, "(" &amp; $R38 &amp; ")", ""))))</f>
        <v>na</v>
      </c>
      <c r="E38" s="7" t="s">
        <v>195</v>
      </c>
      <c r="F38" s="7" t="s">
        <v>195</v>
      </c>
      <c r="G38" s="7" t="s">
        <v>195</v>
      </c>
      <c r="H38" s="7" t="s">
        <v>195</v>
      </c>
      <c r="I38" s="7" t="s">
        <v>195</v>
      </c>
      <c r="J38" s="7" t="s">
        <v>195</v>
      </c>
      <c r="K38" s="7" t="s">
        <v>195</v>
      </c>
      <c r="L38" s="7" t="s">
        <v>195</v>
      </c>
      <c r="M38" s="7" t="s">
        <v>29</v>
      </c>
      <c r="N38" s="7" t="s">
        <v>29</v>
      </c>
      <c r="O38" s="7" t="s">
        <v>29</v>
      </c>
      <c r="P38" s="7" t="s">
        <v>29</v>
      </c>
      <c r="Q38" s="7" t="s">
        <v>29</v>
      </c>
      <c r="R38" s="7" t="s">
        <v>29</v>
      </c>
      <c r="S38" s="7" t="s">
        <v>29</v>
      </c>
    </row>
    <row r="39" spans="2:19">
      <c r="B39" s="7" t="s">
        <v>195</v>
      </c>
      <c r="C39" s="8" t="s">
        <v>195</v>
      </c>
      <c r="D39" s="6" t="str">
        <f>LRTRIM(CONCATENATE(IF(SUMPRODUCT(-- ISNUMBER(SEARCH({"Auto Number"}, $B39))) &gt; 0, $B39, IF(SUMPRODUCT(-- ISNUMBER(SEARCH({"Lookup","Master-Detail"}, $B39))) &gt; 0,$B39 &amp; "(" &amp; $E39 &amp; ")",IF(SUMPRODUCT(-- ISNUMBER(SEARCH({"Formula","Roll-Up Summary"}, $B39))) &gt; 0,$B39 &amp; " (" &amp; $E39 &amp; ")",IF(SUMPRODUCT(-- ISNUMBER(SEARCH({"Content","Currency","Number","Percent","Text","URL"}, $B39))) &gt; 0,$B39 &amp; "(" &amp; $C39 &amp; ")",$B39)))), "  ", TRIM(IF($S39 = "YES", "(External ID)", "") &amp; " " &amp; IF(SUMPRODUCT(-- ISNUMBER(SEARCH({"Unique","Unique Case Insensitive"}, $R39))) &gt; 0, "(" &amp; $R39 &amp; ")", ""))))</f>
        <v>na</v>
      </c>
      <c r="E39" s="7" t="s">
        <v>195</v>
      </c>
      <c r="F39" s="7" t="s">
        <v>195</v>
      </c>
      <c r="G39" s="7" t="s">
        <v>195</v>
      </c>
      <c r="H39" s="7" t="s">
        <v>195</v>
      </c>
      <c r="I39" s="7" t="s">
        <v>195</v>
      </c>
      <c r="J39" s="7" t="s">
        <v>195</v>
      </c>
      <c r="K39" s="7" t="s">
        <v>195</v>
      </c>
      <c r="L39" s="7" t="s">
        <v>195</v>
      </c>
      <c r="M39" s="7" t="s">
        <v>29</v>
      </c>
      <c r="N39" s="7" t="s">
        <v>29</v>
      </c>
      <c r="O39" s="7" t="s">
        <v>29</v>
      </c>
      <c r="P39" s="7" t="s">
        <v>29</v>
      </c>
      <c r="Q39" s="7" t="s">
        <v>29</v>
      </c>
      <c r="R39" s="7" t="s">
        <v>29</v>
      </c>
      <c r="S39" s="7" t="s">
        <v>29</v>
      </c>
    </row>
    <row r="40" spans="2:19">
      <c r="B40" s="7" t="s">
        <v>195</v>
      </c>
      <c r="C40" s="8" t="s">
        <v>195</v>
      </c>
      <c r="D40" s="6" t="str">
        <f>LRTRIM(CONCATENATE(IF(SUMPRODUCT(-- ISNUMBER(SEARCH({"Auto Number"}, $B40))) &gt; 0, $B40, IF(SUMPRODUCT(-- ISNUMBER(SEARCH({"Lookup","Master-Detail"}, $B40))) &gt; 0,$B40 &amp; "(" &amp; $E40 &amp; ")",IF(SUMPRODUCT(-- ISNUMBER(SEARCH({"Formula","Roll-Up Summary"}, $B40))) &gt; 0,$B40 &amp; " (" &amp; $E40 &amp; ")",IF(SUMPRODUCT(-- ISNUMBER(SEARCH({"Content","Currency","Number","Percent","Text","URL"}, $B40))) &gt; 0,$B40 &amp; "(" &amp; $C40 &amp; ")",$B40)))), "  ", TRIM(IF($S40 = "YES", "(External ID)", "") &amp; " " &amp; IF(SUMPRODUCT(-- ISNUMBER(SEARCH({"Unique","Unique Case Insensitive"}, $R40))) &gt; 0, "(" &amp; $R40 &amp; ")", ""))))</f>
        <v>na</v>
      </c>
      <c r="E40" s="7" t="s">
        <v>195</v>
      </c>
      <c r="F40" s="7" t="s">
        <v>195</v>
      </c>
      <c r="G40" s="7" t="s">
        <v>195</v>
      </c>
      <c r="H40" s="7" t="s">
        <v>195</v>
      </c>
      <c r="I40" s="7" t="s">
        <v>195</v>
      </c>
      <c r="J40" s="7" t="s">
        <v>195</v>
      </c>
      <c r="K40" s="7" t="s">
        <v>195</v>
      </c>
      <c r="L40" s="7" t="s">
        <v>195</v>
      </c>
      <c r="M40" s="7" t="s">
        <v>29</v>
      </c>
      <c r="N40" s="7" t="s">
        <v>29</v>
      </c>
      <c r="O40" s="7" t="s">
        <v>29</v>
      </c>
      <c r="P40" s="7" t="s">
        <v>29</v>
      </c>
      <c r="Q40" s="7" t="s">
        <v>29</v>
      </c>
      <c r="R40" s="7" t="s">
        <v>29</v>
      </c>
      <c r="S40" s="7" t="s">
        <v>29</v>
      </c>
    </row>
    <row r="41" spans="2:19">
      <c r="B41" s="7" t="s">
        <v>195</v>
      </c>
      <c r="C41" s="8" t="s">
        <v>195</v>
      </c>
      <c r="D41" s="6" t="str">
        <f>LRTRIM(CONCATENATE(IF(SUMPRODUCT(-- ISNUMBER(SEARCH({"Auto Number"}, $B41))) &gt; 0, $B41, IF(SUMPRODUCT(-- ISNUMBER(SEARCH({"Lookup","Master-Detail"}, $B41))) &gt; 0,$B41 &amp; "(" &amp; $E41 &amp; ")",IF(SUMPRODUCT(-- ISNUMBER(SEARCH({"Formula","Roll-Up Summary"}, $B41))) &gt; 0,$B41 &amp; " (" &amp; $E41 &amp; ")",IF(SUMPRODUCT(-- ISNUMBER(SEARCH({"Content","Currency","Number","Percent","Text","URL"}, $B41))) &gt; 0,$B41 &amp; "(" &amp; $C41 &amp; ")",$B41)))), "  ", TRIM(IF($S41 = "YES", "(External ID)", "") &amp; " " &amp; IF(SUMPRODUCT(-- ISNUMBER(SEARCH({"Unique","Unique Case Insensitive"}, $R41))) &gt; 0, "(" &amp; $R41 &amp; ")", ""))))</f>
        <v>na</v>
      </c>
      <c r="E41" s="7" t="s">
        <v>195</v>
      </c>
      <c r="F41" s="7" t="s">
        <v>195</v>
      </c>
      <c r="G41" s="7" t="s">
        <v>195</v>
      </c>
      <c r="H41" s="7" t="s">
        <v>195</v>
      </c>
      <c r="I41" s="7" t="s">
        <v>195</v>
      </c>
      <c r="J41" s="7" t="s">
        <v>195</v>
      </c>
      <c r="K41" s="7" t="s">
        <v>195</v>
      </c>
      <c r="L41" s="7" t="s">
        <v>195</v>
      </c>
      <c r="M41" s="7" t="s">
        <v>29</v>
      </c>
      <c r="N41" s="7" t="s">
        <v>29</v>
      </c>
      <c r="O41" s="7" t="s">
        <v>29</v>
      </c>
      <c r="P41" s="7" t="s">
        <v>29</v>
      </c>
      <c r="Q41" s="7" t="s">
        <v>29</v>
      </c>
      <c r="R41" s="7" t="s">
        <v>29</v>
      </c>
      <c r="S41" s="7" t="s">
        <v>29</v>
      </c>
    </row>
    <row r="42" spans="2:19">
      <c r="B42" s="7" t="s">
        <v>195</v>
      </c>
      <c r="C42" s="8" t="s">
        <v>195</v>
      </c>
      <c r="D42" s="6" t="str">
        <f>LRTRIM(CONCATENATE(IF(SUMPRODUCT(-- ISNUMBER(SEARCH({"Auto Number"}, $B42))) &gt; 0, $B42, IF(SUMPRODUCT(-- ISNUMBER(SEARCH({"Lookup","Master-Detail"}, $B42))) &gt; 0,$B42 &amp; "(" &amp; $E42 &amp; ")",IF(SUMPRODUCT(-- ISNUMBER(SEARCH({"Formula","Roll-Up Summary"}, $B42))) &gt; 0,$B42 &amp; " (" &amp; $E42 &amp; ")",IF(SUMPRODUCT(-- ISNUMBER(SEARCH({"Content","Currency","Number","Percent","Text","URL"}, $B42))) &gt; 0,$B42 &amp; "(" &amp; $C42 &amp; ")",$B42)))), "  ", TRIM(IF($S42 = "YES", "(External ID)", "") &amp; " " &amp; IF(SUMPRODUCT(-- ISNUMBER(SEARCH({"Unique","Unique Case Insensitive"}, $R42))) &gt; 0, "(" &amp; $R42 &amp; ")", ""))))</f>
        <v>na</v>
      </c>
      <c r="E42" s="7" t="s">
        <v>195</v>
      </c>
      <c r="F42" s="7" t="s">
        <v>195</v>
      </c>
      <c r="G42" s="7" t="s">
        <v>195</v>
      </c>
      <c r="H42" s="7" t="s">
        <v>195</v>
      </c>
      <c r="I42" s="7" t="s">
        <v>195</v>
      </c>
      <c r="J42" s="7" t="s">
        <v>195</v>
      </c>
      <c r="K42" s="7" t="s">
        <v>195</v>
      </c>
      <c r="L42" s="7" t="s">
        <v>195</v>
      </c>
      <c r="M42" s="7" t="s">
        <v>29</v>
      </c>
      <c r="N42" s="7" t="s">
        <v>29</v>
      </c>
      <c r="O42" s="7" t="s">
        <v>29</v>
      </c>
      <c r="P42" s="7" t="s">
        <v>29</v>
      </c>
      <c r="Q42" s="7" t="s">
        <v>29</v>
      </c>
      <c r="R42" s="7" t="s">
        <v>29</v>
      </c>
      <c r="S42" s="7" t="s">
        <v>29</v>
      </c>
    </row>
    <row r="43" spans="2:19">
      <c r="B43" s="7" t="s">
        <v>195</v>
      </c>
      <c r="C43" s="8" t="s">
        <v>195</v>
      </c>
      <c r="D43" s="6" t="str">
        <f>LRTRIM(CONCATENATE(IF(SUMPRODUCT(-- ISNUMBER(SEARCH({"Auto Number"}, $B43))) &gt; 0, $B43, IF(SUMPRODUCT(-- ISNUMBER(SEARCH({"Lookup","Master-Detail"}, $B43))) &gt; 0,$B43 &amp; "(" &amp; $E43 &amp; ")",IF(SUMPRODUCT(-- ISNUMBER(SEARCH({"Formula","Roll-Up Summary"}, $B43))) &gt; 0,$B43 &amp; " (" &amp; $E43 &amp; ")",IF(SUMPRODUCT(-- ISNUMBER(SEARCH({"Content","Currency","Number","Percent","Text","URL"}, $B43))) &gt; 0,$B43 &amp; "(" &amp; $C43 &amp; ")",$B43)))), "  ", TRIM(IF($S43 = "YES", "(External ID)", "") &amp; " " &amp; IF(SUMPRODUCT(-- ISNUMBER(SEARCH({"Unique","Unique Case Insensitive"}, $R43))) &gt; 0, "(" &amp; $R43 &amp; ")", ""))))</f>
        <v>na</v>
      </c>
      <c r="E43" s="7" t="s">
        <v>195</v>
      </c>
      <c r="F43" s="7" t="s">
        <v>195</v>
      </c>
      <c r="G43" s="7" t="s">
        <v>195</v>
      </c>
      <c r="H43" s="7" t="s">
        <v>195</v>
      </c>
      <c r="I43" s="7" t="s">
        <v>195</v>
      </c>
      <c r="J43" s="7" t="s">
        <v>195</v>
      </c>
      <c r="K43" s="7" t="s">
        <v>195</v>
      </c>
      <c r="L43" s="7" t="s">
        <v>195</v>
      </c>
      <c r="M43" s="7" t="s">
        <v>29</v>
      </c>
      <c r="N43" s="7" t="s">
        <v>29</v>
      </c>
      <c r="O43" s="7" t="s">
        <v>29</v>
      </c>
      <c r="P43" s="7" t="s">
        <v>29</v>
      </c>
      <c r="Q43" s="7" t="s">
        <v>29</v>
      </c>
      <c r="R43" s="7" t="s">
        <v>29</v>
      </c>
      <c r="S43" s="7" t="s">
        <v>29</v>
      </c>
    </row>
    <row r="44" spans="2:19">
      <c r="B44" s="7" t="s">
        <v>195</v>
      </c>
      <c r="C44" s="8" t="s">
        <v>195</v>
      </c>
      <c r="D44" s="6" t="str">
        <f>LRTRIM(CONCATENATE(IF(SUMPRODUCT(-- ISNUMBER(SEARCH({"Auto Number"}, $B44))) &gt; 0, $B44, IF(SUMPRODUCT(-- ISNUMBER(SEARCH({"Lookup","Master-Detail"}, $B44))) &gt; 0,$B44 &amp; "(" &amp; $E44 &amp; ")",IF(SUMPRODUCT(-- ISNUMBER(SEARCH({"Formula","Roll-Up Summary"}, $B44))) &gt; 0,$B44 &amp; " (" &amp; $E44 &amp; ")",IF(SUMPRODUCT(-- ISNUMBER(SEARCH({"Content","Currency","Number","Percent","Text","URL"}, $B44))) &gt; 0,$B44 &amp; "(" &amp; $C44 &amp; ")",$B44)))), "  ", TRIM(IF($S44 = "YES", "(External ID)", "") &amp; " " &amp; IF(SUMPRODUCT(-- ISNUMBER(SEARCH({"Unique","Unique Case Insensitive"}, $R44))) &gt; 0, "(" &amp; $R44 &amp; ")", ""))))</f>
        <v>na</v>
      </c>
      <c r="E44" s="7" t="s">
        <v>195</v>
      </c>
      <c r="F44" s="7" t="s">
        <v>195</v>
      </c>
      <c r="G44" s="7" t="s">
        <v>195</v>
      </c>
      <c r="H44" s="7" t="s">
        <v>195</v>
      </c>
      <c r="I44" s="7" t="s">
        <v>195</v>
      </c>
      <c r="J44" s="7" t="s">
        <v>195</v>
      </c>
      <c r="K44" s="7" t="s">
        <v>195</v>
      </c>
      <c r="L44" s="7" t="s">
        <v>195</v>
      </c>
      <c r="M44" s="7" t="s">
        <v>29</v>
      </c>
      <c r="N44" s="7" t="s">
        <v>29</v>
      </c>
      <c r="O44" s="7" t="s">
        <v>29</v>
      </c>
      <c r="P44" s="7" t="s">
        <v>29</v>
      </c>
      <c r="Q44" s="7" t="s">
        <v>29</v>
      </c>
      <c r="R44" s="7" t="s">
        <v>29</v>
      </c>
      <c r="S44" s="7" t="s">
        <v>29</v>
      </c>
    </row>
    <row r="45" spans="2:19">
      <c r="B45" s="7" t="s">
        <v>195</v>
      </c>
      <c r="C45" s="8" t="s">
        <v>195</v>
      </c>
      <c r="D45" s="6" t="str">
        <f>LRTRIM(CONCATENATE(IF(SUMPRODUCT(-- ISNUMBER(SEARCH({"Auto Number"}, $B45))) &gt; 0, $B45, IF(SUMPRODUCT(-- ISNUMBER(SEARCH({"Lookup","Master-Detail"}, $B45))) &gt; 0,$B45 &amp; "(" &amp; $E45 &amp; ")",IF(SUMPRODUCT(-- ISNUMBER(SEARCH({"Formula","Roll-Up Summary"}, $B45))) &gt; 0,$B45 &amp; " (" &amp; $E45 &amp; ")",IF(SUMPRODUCT(-- ISNUMBER(SEARCH({"Content","Currency","Number","Percent","Text","URL"}, $B45))) &gt; 0,$B45 &amp; "(" &amp; $C45 &amp; ")",$B45)))), "  ", TRIM(IF($S45 = "YES", "(External ID)", "") &amp; " " &amp; IF(SUMPRODUCT(-- ISNUMBER(SEARCH({"Unique","Unique Case Insensitive"}, $R45))) &gt; 0, "(" &amp; $R45 &amp; ")", ""))))</f>
        <v>na</v>
      </c>
      <c r="E45" s="7" t="s">
        <v>195</v>
      </c>
      <c r="F45" s="7" t="s">
        <v>195</v>
      </c>
      <c r="G45" s="7" t="s">
        <v>195</v>
      </c>
      <c r="H45" s="7" t="s">
        <v>195</v>
      </c>
      <c r="I45" s="7" t="s">
        <v>195</v>
      </c>
      <c r="J45" s="7" t="s">
        <v>195</v>
      </c>
      <c r="K45" s="7" t="s">
        <v>195</v>
      </c>
      <c r="L45" s="7" t="s">
        <v>195</v>
      </c>
      <c r="M45" s="7" t="s">
        <v>29</v>
      </c>
      <c r="N45" s="7" t="s">
        <v>29</v>
      </c>
      <c r="O45" s="7" t="s">
        <v>29</v>
      </c>
      <c r="P45" s="7" t="s">
        <v>29</v>
      </c>
      <c r="Q45" s="7" t="s">
        <v>29</v>
      </c>
      <c r="R45" s="7" t="s">
        <v>29</v>
      </c>
      <c r="S45" s="7" t="s">
        <v>29</v>
      </c>
    </row>
    <row r="46" spans="2:19">
      <c r="B46" s="7" t="s">
        <v>195</v>
      </c>
      <c r="C46" s="8" t="s">
        <v>195</v>
      </c>
      <c r="D46" s="6" t="str">
        <f>LRTRIM(CONCATENATE(IF(SUMPRODUCT(-- ISNUMBER(SEARCH({"Auto Number"}, $B46))) &gt; 0, $B46, IF(SUMPRODUCT(-- ISNUMBER(SEARCH({"Lookup","Master-Detail"}, $B46))) &gt; 0,$B46 &amp; "(" &amp; $E46 &amp; ")",IF(SUMPRODUCT(-- ISNUMBER(SEARCH({"Formula","Roll-Up Summary"}, $B46))) &gt; 0,$B46 &amp; " (" &amp; $E46 &amp; ")",IF(SUMPRODUCT(-- ISNUMBER(SEARCH({"Content","Currency","Number","Percent","Text","URL"}, $B46))) &gt; 0,$B46 &amp; "(" &amp; $C46 &amp; ")",$B46)))), "  ", TRIM(IF($S46 = "YES", "(External ID)", "") &amp; " " &amp; IF(SUMPRODUCT(-- ISNUMBER(SEARCH({"Unique","Unique Case Insensitive"}, $R46))) &gt; 0, "(" &amp; $R46 &amp; ")", ""))))</f>
        <v>na</v>
      </c>
      <c r="E46" s="7" t="s">
        <v>195</v>
      </c>
      <c r="F46" s="7" t="s">
        <v>195</v>
      </c>
      <c r="G46" s="7" t="s">
        <v>195</v>
      </c>
      <c r="H46" s="7" t="s">
        <v>195</v>
      </c>
      <c r="I46" s="7" t="s">
        <v>195</v>
      </c>
      <c r="J46" s="7" t="s">
        <v>195</v>
      </c>
      <c r="K46" s="7" t="s">
        <v>195</v>
      </c>
      <c r="L46" s="7" t="s">
        <v>195</v>
      </c>
      <c r="M46" s="7" t="s">
        <v>29</v>
      </c>
      <c r="N46" s="7" t="s">
        <v>29</v>
      </c>
      <c r="O46" s="7" t="s">
        <v>29</v>
      </c>
      <c r="P46" s="7" t="s">
        <v>29</v>
      </c>
      <c r="Q46" s="7" t="s">
        <v>29</v>
      </c>
      <c r="R46" s="7" t="s">
        <v>29</v>
      </c>
      <c r="S46" s="7" t="s">
        <v>29</v>
      </c>
    </row>
    <row r="47" spans="2:19">
      <c r="B47" s="7" t="s">
        <v>195</v>
      </c>
      <c r="C47" s="8" t="s">
        <v>195</v>
      </c>
      <c r="D47" s="6" t="str">
        <f>LRTRIM(CONCATENATE(IF(SUMPRODUCT(-- ISNUMBER(SEARCH({"Auto Number"}, $B47))) &gt; 0, $B47, IF(SUMPRODUCT(-- ISNUMBER(SEARCH({"Lookup","Master-Detail"}, $B47))) &gt; 0,$B47 &amp; "(" &amp; $E47 &amp; ")",IF(SUMPRODUCT(-- ISNUMBER(SEARCH({"Formula","Roll-Up Summary"}, $B47))) &gt; 0,$B47 &amp; " (" &amp; $E47 &amp; ")",IF(SUMPRODUCT(-- ISNUMBER(SEARCH({"Content","Currency","Number","Percent","Text","URL"}, $B47))) &gt; 0,$B47 &amp; "(" &amp; $C47 &amp; ")",$B47)))), "  ", TRIM(IF($S47 = "YES", "(External ID)", "") &amp; " " &amp; IF(SUMPRODUCT(-- ISNUMBER(SEARCH({"Unique","Unique Case Insensitive"}, $R47))) &gt; 0, "(" &amp; $R47 &amp; ")", ""))))</f>
        <v>na</v>
      </c>
      <c r="E47" s="7" t="s">
        <v>195</v>
      </c>
      <c r="F47" s="7" t="s">
        <v>195</v>
      </c>
      <c r="G47" s="7" t="s">
        <v>195</v>
      </c>
      <c r="H47" s="7" t="s">
        <v>195</v>
      </c>
      <c r="I47" s="7" t="s">
        <v>195</v>
      </c>
      <c r="J47" s="7" t="s">
        <v>195</v>
      </c>
      <c r="K47" s="7" t="s">
        <v>195</v>
      </c>
      <c r="L47" s="7" t="s">
        <v>195</v>
      </c>
      <c r="M47" s="7" t="s">
        <v>29</v>
      </c>
      <c r="N47" s="7" t="s">
        <v>29</v>
      </c>
      <c r="O47" s="7" t="s">
        <v>29</v>
      </c>
      <c r="P47" s="7" t="s">
        <v>29</v>
      </c>
      <c r="Q47" s="7" t="s">
        <v>29</v>
      </c>
      <c r="R47" s="7" t="s">
        <v>29</v>
      </c>
      <c r="S47" s="7" t="s">
        <v>29</v>
      </c>
    </row>
    <row r="48" spans="2:19">
      <c r="B48" s="7" t="s">
        <v>195</v>
      </c>
      <c r="C48" s="8" t="s">
        <v>195</v>
      </c>
      <c r="D48" s="6" t="str">
        <f>LRTRIM(CONCATENATE(IF(SUMPRODUCT(-- ISNUMBER(SEARCH({"Auto Number"}, $B48))) &gt; 0, $B48, IF(SUMPRODUCT(-- ISNUMBER(SEARCH({"Lookup","Master-Detail"}, $B48))) &gt; 0,$B48 &amp; "(" &amp; $E48 &amp; ")",IF(SUMPRODUCT(-- ISNUMBER(SEARCH({"Formula","Roll-Up Summary"}, $B48))) &gt; 0,$B48 &amp; " (" &amp; $E48 &amp; ")",IF(SUMPRODUCT(-- ISNUMBER(SEARCH({"Content","Currency","Number","Percent","Text","URL"}, $B48))) &gt; 0,$B48 &amp; "(" &amp; $C48 &amp; ")",$B48)))), "  ", TRIM(IF($S48 = "YES", "(External ID)", "") &amp; " " &amp; IF(SUMPRODUCT(-- ISNUMBER(SEARCH({"Unique","Unique Case Insensitive"}, $R48))) &gt; 0, "(" &amp; $R48 &amp; ")", ""))))</f>
        <v>na</v>
      </c>
      <c r="E48" s="7" t="s">
        <v>195</v>
      </c>
      <c r="F48" s="7" t="s">
        <v>195</v>
      </c>
      <c r="G48" s="7" t="s">
        <v>195</v>
      </c>
      <c r="H48" s="7" t="s">
        <v>195</v>
      </c>
      <c r="I48" s="7" t="s">
        <v>195</v>
      </c>
      <c r="J48" s="7" t="s">
        <v>195</v>
      </c>
      <c r="K48" s="7" t="s">
        <v>195</v>
      </c>
      <c r="L48" s="7" t="s">
        <v>195</v>
      </c>
      <c r="M48" s="7" t="s">
        <v>29</v>
      </c>
      <c r="N48" s="7" t="s">
        <v>29</v>
      </c>
      <c r="O48" s="7" t="s">
        <v>29</v>
      </c>
      <c r="P48" s="7" t="s">
        <v>29</v>
      </c>
      <c r="Q48" s="7" t="s">
        <v>29</v>
      </c>
      <c r="R48" s="7" t="s">
        <v>29</v>
      </c>
      <c r="S48" s="7" t="s">
        <v>29</v>
      </c>
    </row>
    <row r="49" spans="2:19">
      <c r="B49" s="7" t="s">
        <v>195</v>
      </c>
      <c r="C49" s="8" t="s">
        <v>195</v>
      </c>
      <c r="D49" s="6" t="str">
        <f>LRTRIM(CONCATENATE(IF(SUMPRODUCT(-- ISNUMBER(SEARCH({"Auto Number"}, $B49))) &gt; 0, $B49, IF(SUMPRODUCT(-- ISNUMBER(SEARCH({"Lookup","Master-Detail"}, $B49))) &gt; 0,$B49 &amp; "(" &amp; $E49 &amp; ")",IF(SUMPRODUCT(-- ISNUMBER(SEARCH({"Formula","Roll-Up Summary"}, $B49))) &gt; 0,$B49 &amp; " (" &amp; $E49 &amp; ")",IF(SUMPRODUCT(-- ISNUMBER(SEARCH({"Content","Currency","Number","Percent","Text","URL"}, $B49))) &gt; 0,$B49 &amp; "(" &amp; $C49 &amp; ")",$B49)))), "  ", TRIM(IF($S49 = "YES", "(External ID)", "") &amp; " " &amp; IF(SUMPRODUCT(-- ISNUMBER(SEARCH({"Unique","Unique Case Insensitive"}, $R49))) &gt; 0, "(" &amp; $R49 &amp; ")", ""))))</f>
        <v>na</v>
      </c>
      <c r="E49" s="7" t="s">
        <v>195</v>
      </c>
      <c r="F49" s="7" t="s">
        <v>195</v>
      </c>
      <c r="G49" s="7" t="s">
        <v>195</v>
      </c>
      <c r="H49" s="7" t="s">
        <v>195</v>
      </c>
      <c r="I49" s="7" t="s">
        <v>195</v>
      </c>
      <c r="J49" s="7" t="s">
        <v>195</v>
      </c>
      <c r="K49" s="7" t="s">
        <v>195</v>
      </c>
      <c r="L49" s="7" t="s">
        <v>195</v>
      </c>
      <c r="M49" s="7" t="s">
        <v>29</v>
      </c>
      <c r="N49" s="7" t="s">
        <v>29</v>
      </c>
      <c r="O49" s="7" t="s">
        <v>29</v>
      </c>
      <c r="P49" s="7" t="s">
        <v>29</v>
      </c>
      <c r="Q49" s="7" t="s">
        <v>29</v>
      </c>
      <c r="R49" s="7" t="s">
        <v>29</v>
      </c>
      <c r="S49" s="7" t="s">
        <v>29</v>
      </c>
    </row>
    <row r="50" spans="2:19">
      <c r="B50" s="7" t="s">
        <v>195</v>
      </c>
      <c r="C50" s="8" t="s">
        <v>195</v>
      </c>
      <c r="D50" s="6" t="str">
        <f>LRTRIM(CONCATENATE(IF(SUMPRODUCT(-- ISNUMBER(SEARCH({"Auto Number"}, $B50))) &gt; 0, $B50, IF(SUMPRODUCT(-- ISNUMBER(SEARCH({"Lookup","Master-Detail"}, $B50))) &gt; 0,$B50 &amp; "(" &amp; $E50 &amp; ")",IF(SUMPRODUCT(-- ISNUMBER(SEARCH({"Formula","Roll-Up Summary"}, $B50))) &gt; 0,$B50 &amp; " (" &amp; $E50 &amp; ")",IF(SUMPRODUCT(-- ISNUMBER(SEARCH({"Content","Currency","Number","Percent","Text","URL"}, $B50))) &gt; 0,$B50 &amp; "(" &amp; $C50 &amp; ")",$B50)))), "  ", TRIM(IF($S50 = "YES", "(External ID)", "") &amp; " " &amp; IF(SUMPRODUCT(-- ISNUMBER(SEARCH({"Unique","Unique Case Insensitive"}, $R50))) &gt; 0, "(" &amp; $R50 &amp; ")", ""))))</f>
        <v>na</v>
      </c>
      <c r="E50" s="7" t="s">
        <v>195</v>
      </c>
      <c r="F50" s="7" t="s">
        <v>195</v>
      </c>
      <c r="G50" s="7" t="s">
        <v>195</v>
      </c>
      <c r="H50" s="7" t="s">
        <v>195</v>
      </c>
      <c r="I50" s="7" t="s">
        <v>195</v>
      </c>
      <c r="J50" s="7" t="s">
        <v>195</v>
      </c>
      <c r="K50" s="7" t="s">
        <v>195</v>
      </c>
      <c r="L50" s="7" t="s">
        <v>195</v>
      </c>
      <c r="M50" s="7" t="s">
        <v>29</v>
      </c>
      <c r="N50" s="7" t="s">
        <v>29</v>
      </c>
      <c r="O50" s="7" t="s">
        <v>29</v>
      </c>
      <c r="P50" s="7" t="s">
        <v>29</v>
      </c>
      <c r="Q50" s="7" t="s">
        <v>29</v>
      </c>
      <c r="R50" s="7" t="s">
        <v>29</v>
      </c>
      <c r="S50" s="7" t="s">
        <v>29</v>
      </c>
    </row>
    <row r="51" spans="2:19">
      <c r="B51" s="7" t="s">
        <v>195</v>
      </c>
      <c r="C51" s="8" t="s">
        <v>195</v>
      </c>
      <c r="D51" s="6" t="str">
        <f>LRTRIM(CONCATENATE(IF(SUMPRODUCT(-- ISNUMBER(SEARCH({"Auto Number"}, $B51))) &gt; 0, $B51, IF(SUMPRODUCT(-- ISNUMBER(SEARCH({"Lookup","Master-Detail"}, $B51))) &gt; 0,$B51 &amp; "(" &amp; $E51 &amp; ")",IF(SUMPRODUCT(-- ISNUMBER(SEARCH({"Formula","Roll-Up Summary"}, $B51))) &gt; 0,$B51 &amp; " (" &amp; $E51 &amp; ")",IF(SUMPRODUCT(-- ISNUMBER(SEARCH({"Content","Currency","Number","Percent","Text","URL"}, $B51))) &gt; 0,$B51 &amp; "(" &amp; $C51 &amp; ")",$B51)))), "  ", TRIM(IF($S51 = "YES", "(External ID)", "") &amp; " " &amp; IF(SUMPRODUCT(-- ISNUMBER(SEARCH({"Unique","Unique Case Insensitive"}, $R51))) &gt; 0, "(" &amp; $R51 &amp; ")", ""))))</f>
        <v>na</v>
      </c>
      <c r="E51" s="7" t="s">
        <v>195</v>
      </c>
      <c r="F51" s="7" t="s">
        <v>195</v>
      </c>
      <c r="G51" s="7" t="s">
        <v>195</v>
      </c>
      <c r="H51" s="7" t="s">
        <v>195</v>
      </c>
      <c r="I51" s="7" t="s">
        <v>195</v>
      </c>
      <c r="J51" s="7" t="s">
        <v>195</v>
      </c>
      <c r="K51" s="7" t="s">
        <v>195</v>
      </c>
      <c r="L51" s="7" t="s">
        <v>195</v>
      </c>
      <c r="M51" s="7" t="s">
        <v>29</v>
      </c>
      <c r="N51" s="7" t="s">
        <v>29</v>
      </c>
      <c r="O51" s="7" t="s">
        <v>29</v>
      </c>
      <c r="P51" s="7" t="s">
        <v>29</v>
      </c>
      <c r="Q51" s="7" t="s">
        <v>29</v>
      </c>
      <c r="R51" s="7" t="s">
        <v>29</v>
      </c>
      <c r="S51" s="7" t="s">
        <v>29</v>
      </c>
    </row>
    <row r="52" spans="2:19">
      <c r="B52" s="7" t="s">
        <v>195</v>
      </c>
      <c r="C52" s="8" t="s">
        <v>195</v>
      </c>
      <c r="D52" s="6" t="str">
        <f>LRTRIM(CONCATENATE(IF(SUMPRODUCT(-- ISNUMBER(SEARCH({"Auto Number"}, $B52))) &gt; 0, $B52, IF(SUMPRODUCT(-- ISNUMBER(SEARCH({"Lookup","Master-Detail"}, $B52))) &gt; 0,$B52 &amp; "(" &amp; $E52 &amp; ")",IF(SUMPRODUCT(-- ISNUMBER(SEARCH({"Formula","Roll-Up Summary"}, $B52))) &gt; 0,$B52 &amp; " (" &amp; $E52 &amp; ")",IF(SUMPRODUCT(-- ISNUMBER(SEARCH({"Content","Currency","Number","Percent","Text","URL"}, $B52))) &gt; 0,$B52 &amp; "(" &amp; $C52 &amp; ")",$B52)))), "  ", TRIM(IF($S52 = "YES", "(External ID)", "") &amp; " " &amp; IF(SUMPRODUCT(-- ISNUMBER(SEARCH({"Unique","Unique Case Insensitive"}, $R52))) &gt; 0, "(" &amp; $R52 &amp; ")", ""))))</f>
        <v>na</v>
      </c>
      <c r="E52" s="7" t="s">
        <v>195</v>
      </c>
      <c r="F52" s="7" t="s">
        <v>195</v>
      </c>
      <c r="G52" s="7" t="s">
        <v>195</v>
      </c>
      <c r="H52" s="7" t="s">
        <v>195</v>
      </c>
      <c r="I52" s="7" t="s">
        <v>195</v>
      </c>
      <c r="J52" s="7" t="s">
        <v>195</v>
      </c>
      <c r="K52" s="7" t="s">
        <v>195</v>
      </c>
      <c r="L52" s="7" t="s">
        <v>195</v>
      </c>
      <c r="M52" s="7" t="s">
        <v>29</v>
      </c>
      <c r="N52" s="7" t="s">
        <v>29</v>
      </c>
      <c r="O52" s="7" t="s">
        <v>29</v>
      </c>
      <c r="P52" s="7" t="s">
        <v>29</v>
      </c>
      <c r="Q52" s="7" t="s">
        <v>29</v>
      </c>
      <c r="R52" s="7" t="s">
        <v>29</v>
      </c>
      <c r="S52" s="7" t="s">
        <v>29</v>
      </c>
    </row>
    <row r="53" spans="2:19">
      <c r="B53" s="7" t="s">
        <v>195</v>
      </c>
      <c r="C53" s="8" t="s">
        <v>195</v>
      </c>
      <c r="D53" s="6" t="str">
        <f>LRTRIM(CONCATENATE(IF(SUMPRODUCT(-- ISNUMBER(SEARCH({"Auto Number"}, $B53))) &gt; 0, $B53, IF(SUMPRODUCT(-- ISNUMBER(SEARCH({"Lookup","Master-Detail"}, $B53))) &gt; 0,$B53 &amp; "(" &amp; $E53 &amp; ")",IF(SUMPRODUCT(-- ISNUMBER(SEARCH({"Formula","Roll-Up Summary"}, $B53))) &gt; 0,$B53 &amp; " (" &amp; $E53 &amp; ")",IF(SUMPRODUCT(-- ISNUMBER(SEARCH({"Content","Currency","Number","Percent","Text","URL"}, $B53))) &gt; 0,$B53 &amp; "(" &amp; $C53 &amp; ")",$B53)))), "  ", TRIM(IF($S53 = "YES", "(External ID)", "") &amp; " " &amp; IF(SUMPRODUCT(-- ISNUMBER(SEARCH({"Unique","Unique Case Insensitive"}, $R53))) &gt; 0, "(" &amp; $R53 &amp; ")", ""))))</f>
        <v>na</v>
      </c>
      <c r="E53" s="7" t="s">
        <v>195</v>
      </c>
      <c r="F53" s="7" t="s">
        <v>195</v>
      </c>
      <c r="G53" s="7" t="s">
        <v>195</v>
      </c>
      <c r="H53" s="7" t="s">
        <v>195</v>
      </c>
      <c r="I53" s="7" t="s">
        <v>195</v>
      </c>
      <c r="J53" s="7" t="s">
        <v>195</v>
      </c>
      <c r="K53" s="7" t="s">
        <v>195</v>
      </c>
      <c r="L53" s="7" t="s">
        <v>195</v>
      </c>
      <c r="M53" s="7" t="s">
        <v>29</v>
      </c>
      <c r="N53" s="7" t="s">
        <v>29</v>
      </c>
      <c r="O53" s="7" t="s">
        <v>29</v>
      </c>
      <c r="P53" s="7" t="s">
        <v>29</v>
      </c>
      <c r="Q53" s="7" t="s">
        <v>29</v>
      </c>
      <c r="R53" s="7" t="s">
        <v>29</v>
      </c>
      <c r="S53" s="7" t="s">
        <v>29</v>
      </c>
    </row>
    <row r="54" spans="2:19">
      <c r="B54" s="7" t="s">
        <v>195</v>
      </c>
      <c r="C54" s="8" t="s">
        <v>195</v>
      </c>
      <c r="D54" s="6" t="str">
        <f>LRTRIM(CONCATENATE(IF(SUMPRODUCT(-- ISNUMBER(SEARCH({"Auto Number"}, $B54))) &gt; 0, $B54, IF(SUMPRODUCT(-- ISNUMBER(SEARCH({"Lookup","Master-Detail"}, $B54))) &gt; 0,$B54 &amp; "(" &amp; $E54 &amp; ")",IF(SUMPRODUCT(-- ISNUMBER(SEARCH({"Formula","Roll-Up Summary"}, $B54))) &gt; 0,$B54 &amp; " (" &amp; $E54 &amp; ")",IF(SUMPRODUCT(-- ISNUMBER(SEARCH({"Content","Currency","Number","Percent","Text","URL"}, $B54))) &gt; 0,$B54 &amp; "(" &amp; $C54 &amp; ")",$B54)))), "  ", TRIM(IF($S54 = "YES", "(External ID)", "") &amp; " " &amp; IF(SUMPRODUCT(-- ISNUMBER(SEARCH({"Unique","Unique Case Insensitive"}, $R54))) &gt; 0, "(" &amp; $R54 &amp; ")", ""))))</f>
        <v>na</v>
      </c>
      <c r="E54" s="7" t="s">
        <v>195</v>
      </c>
      <c r="F54" s="7" t="s">
        <v>195</v>
      </c>
      <c r="G54" s="7" t="s">
        <v>195</v>
      </c>
      <c r="H54" s="7" t="s">
        <v>195</v>
      </c>
      <c r="I54" s="7" t="s">
        <v>195</v>
      </c>
      <c r="J54" s="7" t="s">
        <v>195</v>
      </c>
      <c r="K54" s="7" t="s">
        <v>195</v>
      </c>
      <c r="L54" s="7" t="s">
        <v>195</v>
      </c>
      <c r="M54" s="7" t="s">
        <v>29</v>
      </c>
      <c r="N54" s="7" t="s">
        <v>29</v>
      </c>
      <c r="O54" s="7" t="s">
        <v>29</v>
      </c>
      <c r="P54" s="7" t="s">
        <v>29</v>
      </c>
      <c r="Q54" s="7" t="s">
        <v>29</v>
      </c>
      <c r="R54" s="7" t="s">
        <v>29</v>
      </c>
      <c r="S54" s="7" t="s">
        <v>29</v>
      </c>
    </row>
    <row r="55" spans="2:19">
      <c r="B55" s="7" t="s">
        <v>195</v>
      </c>
      <c r="C55" s="8" t="s">
        <v>195</v>
      </c>
      <c r="D55" s="6" t="str">
        <f>LRTRIM(CONCATENATE(IF(SUMPRODUCT(-- ISNUMBER(SEARCH({"Auto Number"}, $B55))) &gt; 0, $B55, IF(SUMPRODUCT(-- ISNUMBER(SEARCH({"Lookup","Master-Detail"}, $B55))) &gt; 0,$B55 &amp; "(" &amp; $E55 &amp; ")",IF(SUMPRODUCT(-- ISNUMBER(SEARCH({"Formula","Roll-Up Summary"}, $B55))) &gt; 0,$B55 &amp; " (" &amp; $E55 &amp; ")",IF(SUMPRODUCT(-- ISNUMBER(SEARCH({"Content","Currency","Number","Percent","Text","URL"}, $B55))) &gt; 0,$B55 &amp; "(" &amp; $C55 &amp; ")",$B55)))), "  ", TRIM(IF($S55 = "YES", "(External ID)", "") &amp; " " &amp; IF(SUMPRODUCT(-- ISNUMBER(SEARCH({"Unique","Unique Case Insensitive"}, $R55))) &gt; 0, "(" &amp; $R55 &amp; ")", ""))))</f>
        <v>na</v>
      </c>
      <c r="E55" s="7" t="s">
        <v>195</v>
      </c>
      <c r="F55" s="7" t="s">
        <v>195</v>
      </c>
      <c r="G55" s="7" t="s">
        <v>195</v>
      </c>
      <c r="H55" s="7" t="s">
        <v>195</v>
      </c>
      <c r="I55" s="7" t="s">
        <v>195</v>
      </c>
      <c r="J55" s="7" t="s">
        <v>195</v>
      </c>
      <c r="K55" s="7" t="s">
        <v>195</v>
      </c>
      <c r="L55" s="7" t="s">
        <v>195</v>
      </c>
      <c r="M55" s="7" t="s">
        <v>29</v>
      </c>
      <c r="N55" s="7" t="s">
        <v>29</v>
      </c>
      <c r="O55" s="7" t="s">
        <v>29</v>
      </c>
      <c r="P55" s="7" t="s">
        <v>29</v>
      </c>
      <c r="Q55" s="7" t="s">
        <v>29</v>
      </c>
      <c r="R55" s="7" t="s">
        <v>29</v>
      </c>
      <c r="S55" s="7" t="s">
        <v>29</v>
      </c>
    </row>
    <row r="56" spans="2:19">
      <c r="B56" s="7" t="s">
        <v>195</v>
      </c>
      <c r="C56" s="8" t="s">
        <v>195</v>
      </c>
      <c r="D56" s="6" t="str">
        <f>LRTRIM(CONCATENATE(IF(SUMPRODUCT(-- ISNUMBER(SEARCH({"Auto Number"}, $B56))) &gt; 0, $B56, IF(SUMPRODUCT(-- ISNUMBER(SEARCH({"Lookup","Master-Detail"}, $B56))) &gt; 0,$B56 &amp; "(" &amp; $E56 &amp; ")",IF(SUMPRODUCT(-- ISNUMBER(SEARCH({"Formula","Roll-Up Summary"}, $B56))) &gt; 0,$B56 &amp; " (" &amp; $E56 &amp; ")",IF(SUMPRODUCT(-- ISNUMBER(SEARCH({"Content","Currency","Number","Percent","Text","URL"}, $B56))) &gt; 0,$B56 &amp; "(" &amp; $C56 &amp; ")",$B56)))), "  ", TRIM(IF($S56 = "YES", "(External ID)", "") &amp; " " &amp; IF(SUMPRODUCT(-- ISNUMBER(SEARCH({"Unique","Unique Case Insensitive"}, $R56))) &gt; 0, "(" &amp; $R56 &amp; ")", ""))))</f>
        <v>na</v>
      </c>
      <c r="E56" s="7" t="s">
        <v>195</v>
      </c>
      <c r="F56" s="7" t="s">
        <v>195</v>
      </c>
      <c r="G56" s="7" t="s">
        <v>195</v>
      </c>
      <c r="H56" s="7" t="s">
        <v>195</v>
      </c>
      <c r="I56" s="7" t="s">
        <v>195</v>
      </c>
      <c r="J56" s="7" t="s">
        <v>195</v>
      </c>
      <c r="K56" s="7" t="s">
        <v>195</v>
      </c>
      <c r="L56" s="7" t="s">
        <v>195</v>
      </c>
      <c r="M56" s="7" t="s">
        <v>29</v>
      </c>
      <c r="N56" s="7" t="s">
        <v>29</v>
      </c>
      <c r="O56" s="7" t="s">
        <v>29</v>
      </c>
      <c r="P56" s="7" t="s">
        <v>29</v>
      </c>
      <c r="Q56" s="7" t="s">
        <v>29</v>
      </c>
      <c r="R56" s="7" t="s">
        <v>29</v>
      </c>
      <c r="S56" s="7" t="s">
        <v>29</v>
      </c>
    </row>
    <row r="57" spans="2:19">
      <c r="B57" s="7" t="s">
        <v>195</v>
      </c>
      <c r="C57" s="8" t="s">
        <v>195</v>
      </c>
      <c r="D57" s="6" t="str">
        <f>LRTRIM(CONCATENATE(IF(SUMPRODUCT(-- ISNUMBER(SEARCH({"Auto Number"}, $B57))) &gt; 0, $B57, IF(SUMPRODUCT(-- ISNUMBER(SEARCH({"Lookup","Master-Detail"}, $B57))) &gt; 0,$B57 &amp; "(" &amp; $E57 &amp; ")",IF(SUMPRODUCT(-- ISNUMBER(SEARCH({"Formula","Roll-Up Summary"}, $B57))) &gt; 0,$B57 &amp; " (" &amp; $E57 &amp; ")",IF(SUMPRODUCT(-- ISNUMBER(SEARCH({"Content","Currency","Number","Percent","Text","URL"}, $B57))) &gt; 0,$B57 &amp; "(" &amp; $C57 &amp; ")",$B57)))), "  ", TRIM(IF($S57 = "YES", "(External ID)", "") &amp; " " &amp; IF(SUMPRODUCT(-- ISNUMBER(SEARCH({"Unique","Unique Case Insensitive"}, $R57))) &gt; 0, "(" &amp; $R57 &amp; ")", ""))))</f>
        <v>na</v>
      </c>
      <c r="E57" s="7" t="s">
        <v>195</v>
      </c>
      <c r="F57" s="7" t="s">
        <v>195</v>
      </c>
      <c r="G57" s="7" t="s">
        <v>195</v>
      </c>
      <c r="H57" s="7" t="s">
        <v>195</v>
      </c>
      <c r="I57" s="7" t="s">
        <v>195</v>
      </c>
      <c r="J57" s="7" t="s">
        <v>195</v>
      </c>
      <c r="K57" s="7" t="s">
        <v>195</v>
      </c>
      <c r="L57" s="7" t="s">
        <v>195</v>
      </c>
      <c r="M57" s="7" t="s">
        <v>29</v>
      </c>
      <c r="N57" s="7" t="s">
        <v>29</v>
      </c>
      <c r="O57" s="7" t="s">
        <v>29</v>
      </c>
      <c r="P57" s="7" t="s">
        <v>29</v>
      </c>
      <c r="Q57" s="7" t="s">
        <v>29</v>
      </c>
      <c r="R57" s="7" t="s">
        <v>29</v>
      </c>
      <c r="S57" s="7" t="s">
        <v>29</v>
      </c>
    </row>
    <row r="58" spans="2:19">
      <c r="B58" s="7" t="s">
        <v>195</v>
      </c>
      <c r="C58" s="8" t="s">
        <v>195</v>
      </c>
      <c r="D58" s="6" t="str">
        <f>LRTRIM(CONCATENATE(IF(SUMPRODUCT(-- ISNUMBER(SEARCH({"Auto Number"}, $B58))) &gt; 0, $B58, IF(SUMPRODUCT(-- ISNUMBER(SEARCH({"Lookup","Master-Detail"}, $B58))) &gt; 0,$B58 &amp; "(" &amp; $E58 &amp; ")",IF(SUMPRODUCT(-- ISNUMBER(SEARCH({"Formula","Roll-Up Summary"}, $B58))) &gt; 0,$B58 &amp; " (" &amp; $E58 &amp; ")",IF(SUMPRODUCT(-- ISNUMBER(SEARCH({"Content","Currency","Number","Percent","Text","URL"}, $B58))) &gt; 0,$B58 &amp; "(" &amp; $C58 &amp; ")",$B58)))), "  ", TRIM(IF($S58 = "YES", "(External ID)", "") &amp; " " &amp; IF(SUMPRODUCT(-- ISNUMBER(SEARCH({"Unique","Unique Case Insensitive"}, $R58))) &gt; 0, "(" &amp; $R58 &amp; ")", ""))))</f>
        <v>na</v>
      </c>
      <c r="E58" s="7" t="s">
        <v>195</v>
      </c>
      <c r="F58" s="7" t="s">
        <v>195</v>
      </c>
      <c r="G58" s="7" t="s">
        <v>195</v>
      </c>
      <c r="H58" s="7" t="s">
        <v>195</v>
      </c>
      <c r="I58" s="7" t="s">
        <v>195</v>
      </c>
      <c r="J58" s="7" t="s">
        <v>195</v>
      </c>
      <c r="K58" s="7" t="s">
        <v>195</v>
      </c>
      <c r="L58" s="7" t="s">
        <v>195</v>
      </c>
      <c r="M58" s="7" t="s">
        <v>29</v>
      </c>
      <c r="N58" s="7" t="s">
        <v>29</v>
      </c>
      <c r="O58" s="7" t="s">
        <v>29</v>
      </c>
      <c r="P58" s="7" t="s">
        <v>29</v>
      </c>
      <c r="Q58" s="7" t="s">
        <v>29</v>
      </c>
      <c r="R58" s="7" t="s">
        <v>29</v>
      </c>
      <c r="S58" s="7" t="s">
        <v>29</v>
      </c>
    </row>
    <row r="59" spans="2:19">
      <c r="B59" s="7" t="s">
        <v>195</v>
      </c>
      <c r="C59" s="8" t="s">
        <v>195</v>
      </c>
      <c r="D59" s="6" t="str">
        <f>LRTRIM(CONCATENATE(IF(SUMPRODUCT(-- ISNUMBER(SEARCH({"Auto Number"}, $B59))) &gt; 0, $B59, IF(SUMPRODUCT(-- ISNUMBER(SEARCH({"Lookup","Master-Detail"}, $B59))) &gt; 0,$B59 &amp; "(" &amp; $E59 &amp; ")",IF(SUMPRODUCT(-- ISNUMBER(SEARCH({"Formula","Roll-Up Summary"}, $B59))) &gt; 0,$B59 &amp; " (" &amp; $E59 &amp; ")",IF(SUMPRODUCT(-- ISNUMBER(SEARCH({"Content","Currency","Number","Percent","Text","URL"}, $B59))) &gt; 0,$B59 &amp; "(" &amp; $C59 &amp; ")",$B59)))), "  ", TRIM(IF($S59 = "YES", "(External ID)", "") &amp; " " &amp; IF(SUMPRODUCT(-- ISNUMBER(SEARCH({"Unique","Unique Case Insensitive"}, $R59))) &gt; 0, "(" &amp; $R59 &amp; ")", ""))))</f>
        <v>na</v>
      </c>
      <c r="E59" s="7" t="s">
        <v>195</v>
      </c>
      <c r="F59" s="7" t="s">
        <v>195</v>
      </c>
      <c r="G59" s="7" t="s">
        <v>195</v>
      </c>
      <c r="H59" s="7" t="s">
        <v>195</v>
      </c>
      <c r="I59" s="7" t="s">
        <v>195</v>
      </c>
      <c r="J59" s="7" t="s">
        <v>195</v>
      </c>
      <c r="K59" s="7" t="s">
        <v>195</v>
      </c>
      <c r="L59" s="7" t="s">
        <v>195</v>
      </c>
      <c r="M59" s="7" t="s">
        <v>29</v>
      </c>
      <c r="N59" s="7" t="s">
        <v>29</v>
      </c>
      <c r="O59" s="7" t="s">
        <v>29</v>
      </c>
      <c r="P59" s="7" t="s">
        <v>29</v>
      </c>
      <c r="Q59" s="7" t="s">
        <v>29</v>
      </c>
      <c r="R59" s="7" t="s">
        <v>29</v>
      </c>
      <c r="S59" s="7" t="s">
        <v>29</v>
      </c>
    </row>
    <row r="60" spans="2:19">
      <c r="B60" s="7" t="s">
        <v>195</v>
      </c>
      <c r="C60" s="8" t="s">
        <v>195</v>
      </c>
      <c r="D60" s="6" t="str">
        <f>LRTRIM(CONCATENATE(IF(SUMPRODUCT(-- ISNUMBER(SEARCH({"Auto Number"}, $B60))) &gt; 0, $B60, IF(SUMPRODUCT(-- ISNUMBER(SEARCH({"Lookup","Master-Detail"}, $B60))) &gt; 0,$B60 &amp; "(" &amp; $E60 &amp; ")",IF(SUMPRODUCT(-- ISNUMBER(SEARCH({"Formula","Roll-Up Summary"}, $B60))) &gt; 0,$B60 &amp; " (" &amp; $E60 &amp; ")",IF(SUMPRODUCT(-- ISNUMBER(SEARCH({"Content","Currency","Number","Percent","Text","URL"}, $B60))) &gt; 0,$B60 &amp; "(" &amp; $C60 &amp; ")",$B60)))), "  ", TRIM(IF($S60 = "YES", "(External ID)", "") &amp; " " &amp; IF(SUMPRODUCT(-- ISNUMBER(SEARCH({"Unique","Unique Case Insensitive"}, $R60))) &gt; 0, "(" &amp; $R60 &amp; ")", ""))))</f>
        <v>na</v>
      </c>
      <c r="E60" s="7" t="s">
        <v>195</v>
      </c>
      <c r="F60" s="7" t="s">
        <v>195</v>
      </c>
      <c r="G60" s="7" t="s">
        <v>195</v>
      </c>
      <c r="H60" s="7" t="s">
        <v>195</v>
      </c>
      <c r="I60" s="7" t="s">
        <v>195</v>
      </c>
      <c r="J60" s="7" t="s">
        <v>195</v>
      </c>
      <c r="K60" s="7" t="s">
        <v>195</v>
      </c>
      <c r="L60" s="7" t="s">
        <v>195</v>
      </c>
      <c r="M60" s="7" t="s">
        <v>29</v>
      </c>
      <c r="N60" s="7" t="s">
        <v>29</v>
      </c>
      <c r="O60" s="7" t="s">
        <v>29</v>
      </c>
      <c r="P60" s="7" t="s">
        <v>29</v>
      </c>
      <c r="Q60" s="7" t="s">
        <v>29</v>
      </c>
      <c r="R60" s="7" t="s">
        <v>29</v>
      </c>
      <c r="S60" s="7" t="s">
        <v>29</v>
      </c>
    </row>
    <row r="61" spans="2:19">
      <c r="B61" s="7" t="s">
        <v>195</v>
      </c>
      <c r="C61" s="8" t="s">
        <v>195</v>
      </c>
      <c r="D61" s="6" t="str">
        <f>LRTRIM(CONCATENATE(IF(SUMPRODUCT(-- ISNUMBER(SEARCH({"Auto Number"}, $B61))) &gt; 0, $B61, IF(SUMPRODUCT(-- ISNUMBER(SEARCH({"Lookup","Master-Detail"}, $B61))) &gt; 0,$B61 &amp; "(" &amp; $E61 &amp; ")",IF(SUMPRODUCT(-- ISNUMBER(SEARCH({"Formula","Roll-Up Summary"}, $B61))) &gt; 0,$B61 &amp; " (" &amp; $E61 &amp; ")",IF(SUMPRODUCT(-- ISNUMBER(SEARCH({"Content","Currency","Number","Percent","Text","URL"}, $B61))) &gt; 0,$B61 &amp; "(" &amp; $C61 &amp; ")",$B61)))), "  ", TRIM(IF($S61 = "YES", "(External ID)", "") &amp; " " &amp; IF(SUMPRODUCT(-- ISNUMBER(SEARCH({"Unique","Unique Case Insensitive"}, $R61))) &gt; 0, "(" &amp; $R61 &amp; ")", ""))))</f>
        <v>na</v>
      </c>
      <c r="E61" s="7" t="s">
        <v>195</v>
      </c>
      <c r="F61" s="7" t="s">
        <v>195</v>
      </c>
      <c r="G61" s="7" t="s">
        <v>195</v>
      </c>
      <c r="H61" s="7" t="s">
        <v>195</v>
      </c>
      <c r="I61" s="7" t="s">
        <v>195</v>
      </c>
      <c r="J61" s="7" t="s">
        <v>195</v>
      </c>
      <c r="K61" s="7" t="s">
        <v>195</v>
      </c>
      <c r="L61" s="7" t="s">
        <v>195</v>
      </c>
      <c r="M61" s="7" t="s">
        <v>29</v>
      </c>
      <c r="N61" s="7" t="s">
        <v>29</v>
      </c>
      <c r="O61" s="7" t="s">
        <v>29</v>
      </c>
      <c r="P61" s="7" t="s">
        <v>29</v>
      </c>
      <c r="Q61" s="7" t="s">
        <v>29</v>
      </c>
      <c r="R61" s="7" t="s">
        <v>29</v>
      </c>
      <c r="S61" s="7" t="s">
        <v>29</v>
      </c>
    </row>
    <row r="62" spans="2:19">
      <c r="B62" s="7" t="s">
        <v>195</v>
      </c>
      <c r="C62" s="8" t="s">
        <v>195</v>
      </c>
      <c r="D62" s="6" t="str">
        <f>LRTRIM(CONCATENATE(IF(SUMPRODUCT(-- ISNUMBER(SEARCH({"Auto Number"}, $B62))) &gt; 0, $B62, IF(SUMPRODUCT(-- ISNUMBER(SEARCH({"Lookup","Master-Detail"}, $B62))) &gt; 0,$B62 &amp; "(" &amp; $E62 &amp; ")",IF(SUMPRODUCT(-- ISNUMBER(SEARCH({"Formula","Roll-Up Summary"}, $B62))) &gt; 0,$B62 &amp; " (" &amp; $E62 &amp; ")",IF(SUMPRODUCT(-- ISNUMBER(SEARCH({"Content","Currency","Number","Percent","Text","URL"}, $B62))) &gt; 0,$B62 &amp; "(" &amp; $C62 &amp; ")",$B62)))), "  ", TRIM(IF($S62 = "YES", "(External ID)", "") &amp; " " &amp; IF(SUMPRODUCT(-- ISNUMBER(SEARCH({"Unique","Unique Case Insensitive"}, $R62))) &gt; 0, "(" &amp; $R62 &amp; ")", ""))))</f>
        <v>na</v>
      </c>
      <c r="E62" s="7" t="s">
        <v>195</v>
      </c>
      <c r="F62" s="7" t="s">
        <v>195</v>
      </c>
      <c r="G62" s="7" t="s">
        <v>195</v>
      </c>
      <c r="H62" s="7" t="s">
        <v>195</v>
      </c>
      <c r="I62" s="7" t="s">
        <v>195</v>
      </c>
      <c r="J62" s="7" t="s">
        <v>195</v>
      </c>
      <c r="K62" s="7" t="s">
        <v>195</v>
      </c>
      <c r="L62" s="7" t="s">
        <v>195</v>
      </c>
      <c r="M62" s="7" t="s">
        <v>29</v>
      </c>
      <c r="N62" s="7" t="s">
        <v>29</v>
      </c>
      <c r="O62" s="7" t="s">
        <v>29</v>
      </c>
      <c r="P62" s="7" t="s">
        <v>29</v>
      </c>
      <c r="Q62" s="7" t="s">
        <v>29</v>
      </c>
      <c r="R62" s="7" t="s">
        <v>29</v>
      </c>
      <c r="S62" s="7" t="s">
        <v>29</v>
      </c>
    </row>
    <row r="63" spans="2:19">
      <c r="B63" s="7" t="s">
        <v>195</v>
      </c>
      <c r="C63" s="8" t="s">
        <v>195</v>
      </c>
      <c r="D63" s="6" t="str">
        <f>LRTRIM(CONCATENATE(IF(SUMPRODUCT(-- ISNUMBER(SEARCH({"Auto Number"}, $B63))) &gt; 0, $B63, IF(SUMPRODUCT(-- ISNUMBER(SEARCH({"Lookup","Master-Detail"}, $B63))) &gt; 0,$B63 &amp; "(" &amp; $E63 &amp; ")",IF(SUMPRODUCT(-- ISNUMBER(SEARCH({"Formula","Roll-Up Summary"}, $B63))) &gt; 0,$B63 &amp; " (" &amp; $E63 &amp; ")",IF(SUMPRODUCT(-- ISNUMBER(SEARCH({"Content","Currency","Number","Percent","Text","URL"}, $B63))) &gt; 0,$B63 &amp; "(" &amp; $C63 &amp; ")",$B63)))), "  ", TRIM(IF($S63 = "YES", "(External ID)", "") &amp; " " &amp; IF(SUMPRODUCT(-- ISNUMBER(SEARCH({"Unique","Unique Case Insensitive"}, $R63))) &gt; 0, "(" &amp; $R63 &amp; ")", ""))))</f>
        <v>na</v>
      </c>
      <c r="E63" s="7" t="s">
        <v>195</v>
      </c>
      <c r="F63" s="7" t="s">
        <v>195</v>
      </c>
      <c r="G63" s="7" t="s">
        <v>195</v>
      </c>
      <c r="H63" s="7" t="s">
        <v>195</v>
      </c>
      <c r="I63" s="7" t="s">
        <v>195</v>
      </c>
      <c r="J63" s="7" t="s">
        <v>195</v>
      </c>
      <c r="K63" s="7" t="s">
        <v>195</v>
      </c>
      <c r="L63" s="7" t="s">
        <v>195</v>
      </c>
      <c r="M63" s="7" t="s">
        <v>29</v>
      </c>
      <c r="N63" s="7" t="s">
        <v>29</v>
      </c>
      <c r="O63" s="7" t="s">
        <v>29</v>
      </c>
      <c r="P63" s="7" t="s">
        <v>29</v>
      </c>
      <c r="Q63" s="7" t="s">
        <v>29</v>
      </c>
      <c r="R63" s="7" t="s">
        <v>29</v>
      </c>
      <c r="S63" s="7" t="s">
        <v>29</v>
      </c>
    </row>
    <row r="64" spans="2:19">
      <c r="B64" s="7" t="s">
        <v>195</v>
      </c>
      <c r="C64" s="8" t="s">
        <v>195</v>
      </c>
      <c r="D64" s="6" t="str">
        <f>LRTRIM(CONCATENATE(IF(SUMPRODUCT(-- ISNUMBER(SEARCH({"Auto Number"}, $B64))) &gt; 0, $B64, IF(SUMPRODUCT(-- ISNUMBER(SEARCH({"Lookup","Master-Detail"}, $B64))) &gt; 0,$B64 &amp; "(" &amp; $E64 &amp; ")",IF(SUMPRODUCT(-- ISNUMBER(SEARCH({"Formula","Roll-Up Summary"}, $B64))) &gt; 0,$B64 &amp; " (" &amp; $E64 &amp; ")",IF(SUMPRODUCT(-- ISNUMBER(SEARCH({"Content","Currency","Number","Percent","Text","URL"}, $B64))) &gt; 0,$B64 &amp; "(" &amp; $C64 &amp; ")",$B64)))), "  ", TRIM(IF($S64 = "YES", "(External ID)", "") &amp; " " &amp; IF(SUMPRODUCT(-- ISNUMBER(SEARCH({"Unique","Unique Case Insensitive"}, $R64))) &gt; 0, "(" &amp; $R64 &amp; ")", ""))))</f>
        <v>na</v>
      </c>
      <c r="E64" s="7" t="s">
        <v>195</v>
      </c>
      <c r="F64" s="7" t="s">
        <v>195</v>
      </c>
      <c r="G64" s="7" t="s">
        <v>195</v>
      </c>
      <c r="H64" s="7" t="s">
        <v>195</v>
      </c>
      <c r="I64" s="7" t="s">
        <v>195</v>
      </c>
      <c r="J64" s="7" t="s">
        <v>195</v>
      </c>
      <c r="K64" s="7" t="s">
        <v>195</v>
      </c>
      <c r="L64" s="7" t="s">
        <v>195</v>
      </c>
      <c r="M64" s="7" t="s">
        <v>29</v>
      </c>
      <c r="N64" s="7" t="s">
        <v>29</v>
      </c>
      <c r="O64" s="7" t="s">
        <v>29</v>
      </c>
      <c r="P64" s="7" t="s">
        <v>29</v>
      </c>
      <c r="Q64" s="7" t="s">
        <v>29</v>
      </c>
      <c r="R64" s="7" t="s">
        <v>29</v>
      </c>
      <c r="S64" s="7" t="s">
        <v>29</v>
      </c>
    </row>
    <row r="65" spans="2:19">
      <c r="B65" s="7" t="s">
        <v>195</v>
      </c>
      <c r="C65" s="8" t="s">
        <v>195</v>
      </c>
      <c r="D65" s="6" t="str">
        <f>LRTRIM(CONCATENATE(IF(SUMPRODUCT(-- ISNUMBER(SEARCH({"Auto Number"}, $B65))) &gt; 0, $B65, IF(SUMPRODUCT(-- ISNUMBER(SEARCH({"Lookup","Master-Detail"}, $B65))) &gt; 0,$B65 &amp; "(" &amp; $E65 &amp; ")",IF(SUMPRODUCT(-- ISNUMBER(SEARCH({"Formula","Roll-Up Summary"}, $B65))) &gt; 0,$B65 &amp; " (" &amp; $E65 &amp; ")",IF(SUMPRODUCT(-- ISNUMBER(SEARCH({"Content","Currency","Number","Percent","Text","URL"}, $B65))) &gt; 0,$B65 &amp; "(" &amp; $C65 &amp; ")",$B65)))), "  ", TRIM(IF($S65 = "YES", "(External ID)", "") &amp; " " &amp; IF(SUMPRODUCT(-- ISNUMBER(SEARCH({"Unique","Unique Case Insensitive"}, $R65))) &gt; 0, "(" &amp; $R65 &amp; ")", ""))))</f>
        <v>na</v>
      </c>
      <c r="E65" s="7" t="s">
        <v>195</v>
      </c>
      <c r="F65" s="7" t="s">
        <v>195</v>
      </c>
      <c r="G65" s="7" t="s">
        <v>195</v>
      </c>
      <c r="H65" s="7" t="s">
        <v>195</v>
      </c>
      <c r="I65" s="7" t="s">
        <v>195</v>
      </c>
      <c r="J65" s="7" t="s">
        <v>195</v>
      </c>
      <c r="K65" s="7" t="s">
        <v>195</v>
      </c>
      <c r="L65" s="7" t="s">
        <v>195</v>
      </c>
      <c r="M65" s="7" t="s">
        <v>29</v>
      </c>
      <c r="N65" s="7" t="s">
        <v>29</v>
      </c>
      <c r="O65" s="7" t="s">
        <v>29</v>
      </c>
      <c r="P65" s="7" t="s">
        <v>29</v>
      </c>
      <c r="Q65" s="7" t="s">
        <v>29</v>
      </c>
      <c r="R65" s="7" t="s">
        <v>29</v>
      </c>
      <c r="S65" s="7" t="s">
        <v>29</v>
      </c>
    </row>
    <row r="66" spans="2:19">
      <c r="B66" s="7" t="s">
        <v>195</v>
      </c>
      <c r="C66" s="8" t="s">
        <v>195</v>
      </c>
      <c r="D66" s="6" t="str">
        <f>LRTRIM(CONCATENATE(IF(SUMPRODUCT(-- ISNUMBER(SEARCH({"Auto Number"}, $B66))) &gt; 0, $B66, IF(SUMPRODUCT(-- ISNUMBER(SEARCH({"Lookup","Master-Detail"}, $B66))) &gt; 0,$B66 &amp; "(" &amp; $E66 &amp; ")",IF(SUMPRODUCT(-- ISNUMBER(SEARCH({"Formula","Roll-Up Summary"}, $B66))) &gt; 0,$B66 &amp; " (" &amp; $E66 &amp; ")",IF(SUMPRODUCT(-- ISNUMBER(SEARCH({"Content","Currency","Number","Percent","Text","URL"}, $B66))) &gt; 0,$B66 &amp; "(" &amp; $C66 &amp; ")",$B66)))), "  ", TRIM(IF($S66 = "YES", "(External ID)", "") &amp; " " &amp; IF(SUMPRODUCT(-- ISNUMBER(SEARCH({"Unique","Unique Case Insensitive"}, $R66))) &gt; 0, "(" &amp; $R66 &amp; ")", ""))))</f>
        <v>na</v>
      </c>
      <c r="E66" s="7" t="s">
        <v>195</v>
      </c>
      <c r="F66" s="7" t="s">
        <v>195</v>
      </c>
      <c r="G66" s="7" t="s">
        <v>195</v>
      </c>
      <c r="H66" s="7" t="s">
        <v>195</v>
      </c>
      <c r="I66" s="7" t="s">
        <v>195</v>
      </c>
      <c r="J66" s="7" t="s">
        <v>195</v>
      </c>
      <c r="K66" s="7" t="s">
        <v>195</v>
      </c>
      <c r="L66" s="7" t="s">
        <v>195</v>
      </c>
      <c r="M66" s="7" t="s">
        <v>29</v>
      </c>
      <c r="N66" s="7" t="s">
        <v>29</v>
      </c>
      <c r="O66" s="7" t="s">
        <v>29</v>
      </c>
      <c r="P66" s="7" t="s">
        <v>29</v>
      </c>
      <c r="Q66" s="7" t="s">
        <v>29</v>
      </c>
      <c r="R66" s="7" t="s">
        <v>29</v>
      </c>
      <c r="S66" s="7" t="s">
        <v>29</v>
      </c>
    </row>
    <row r="67" spans="2:19">
      <c r="B67" s="7" t="s">
        <v>195</v>
      </c>
      <c r="C67" s="8" t="s">
        <v>195</v>
      </c>
      <c r="D67" s="6" t="str">
        <f>LRTRIM(CONCATENATE(IF(SUMPRODUCT(-- ISNUMBER(SEARCH({"Auto Number"}, $B67))) &gt; 0, $B67, IF(SUMPRODUCT(-- ISNUMBER(SEARCH({"Lookup","Master-Detail"}, $B67))) &gt; 0,$B67 &amp; "(" &amp; $E67 &amp; ")",IF(SUMPRODUCT(-- ISNUMBER(SEARCH({"Formula","Roll-Up Summary"}, $B67))) &gt; 0,$B67 &amp; " (" &amp; $E67 &amp; ")",IF(SUMPRODUCT(-- ISNUMBER(SEARCH({"Content","Currency","Number","Percent","Text","URL"}, $B67))) &gt; 0,$B67 &amp; "(" &amp; $C67 &amp; ")",$B67)))), "  ", TRIM(IF($S67 = "YES", "(External ID)", "") &amp; " " &amp; IF(SUMPRODUCT(-- ISNUMBER(SEARCH({"Unique","Unique Case Insensitive"}, $R67))) &gt; 0, "(" &amp; $R67 &amp; ")", ""))))</f>
        <v>na</v>
      </c>
      <c r="E67" s="7" t="s">
        <v>195</v>
      </c>
      <c r="F67" s="7" t="s">
        <v>195</v>
      </c>
      <c r="G67" s="7" t="s">
        <v>195</v>
      </c>
      <c r="H67" s="7" t="s">
        <v>195</v>
      </c>
      <c r="I67" s="7" t="s">
        <v>195</v>
      </c>
      <c r="J67" s="7" t="s">
        <v>195</v>
      </c>
      <c r="K67" s="7" t="s">
        <v>195</v>
      </c>
      <c r="L67" s="7" t="s">
        <v>195</v>
      </c>
      <c r="M67" s="7" t="s">
        <v>29</v>
      </c>
      <c r="N67" s="7" t="s">
        <v>29</v>
      </c>
      <c r="O67" s="7" t="s">
        <v>29</v>
      </c>
      <c r="P67" s="7" t="s">
        <v>29</v>
      </c>
      <c r="Q67" s="7" t="s">
        <v>29</v>
      </c>
      <c r="R67" s="7" t="s">
        <v>29</v>
      </c>
      <c r="S67" s="7" t="s">
        <v>29</v>
      </c>
    </row>
    <row r="68" spans="2:19">
      <c r="B68" s="7" t="s">
        <v>195</v>
      </c>
      <c r="C68" s="8" t="s">
        <v>195</v>
      </c>
      <c r="D68" s="6" t="str">
        <f>LRTRIM(CONCATENATE(IF(SUMPRODUCT(-- ISNUMBER(SEARCH({"Auto Number"}, $B68))) &gt; 0, $B68, IF(SUMPRODUCT(-- ISNUMBER(SEARCH({"Lookup","Master-Detail"}, $B68))) &gt; 0,$B68 &amp; "(" &amp; $E68 &amp; ")",IF(SUMPRODUCT(-- ISNUMBER(SEARCH({"Formula","Roll-Up Summary"}, $B68))) &gt; 0,$B68 &amp; " (" &amp; $E68 &amp; ")",IF(SUMPRODUCT(-- ISNUMBER(SEARCH({"Content","Currency","Number","Percent","Text","URL"}, $B68))) &gt; 0,$B68 &amp; "(" &amp; $C68 &amp; ")",$B68)))), "  ", TRIM(IF($S68 = "YES", "(External ID)", "") &amp; " " &amp; IF(SUMPRODUCT(-- ISNUMBER(SEARCH({"Unique","Unique Case Insensitive"}, $R68))) &gt; 0, "(" &amp; $R68 &amp; ")", ""))))</f>
        <v>na</v>
      </c>
      <c r="E68" s="7" t="s">
        <v>195</v>
      </c>
      <c r="F68" s="7" t="s">
        <v>195</v>
      </c>
      <c r="G68" s="7" t="s">
        <v>195</v>
      </c>
      <c r="H68" s="7" t="s">
        <v>195</v>
      </c>
      <c r="I68" s="7" t="s">
        <v>195</v>
      </c>
      <c r="J68" s="7" t="s">
        <v>195</v>
      </c>
      <c r="K68" s="7" t="s">
        <v>195</v>
      </c>
      <c r="L68" s="7" t="s">
        <v>195</v>
      </c>
      <c r="M68" s="7" t="s">
        <v>29</v>
      </c>
      <c r="N68" s="7" t="s">
        <v>29</v>
      </c>
      <c r="O68" s="7" t="s">
        <v>29</v>
      </c>
      <c r="P68" s="7" t="s">
        <v>29</v>
      </c>
      <c r="Q68" s="7" t="s">
        <v>29</v>
      </c>
      <c r="R68" s="7" t="s">
        <v>29</v>
      </c>
      <c r="S68" s="7" t="s">
        <v>29</v>
      </c>
    </row>
    <row r="69" spans="2:19">
      <c r="B69" s="7" t="s">
        <v>195</v>
      </c>
      <c r="C69" s="8" t="s">
        <v>195</v>
      </c>
      <c r="D69" s="6" t="str">
        <f>LRTRIM(CONCATENATE(IF(SUMPRODUCT(-- ISNUMBER(SEARCH({"Auto Number"}, $B69))) &gt; 0, $B69, IF(SUMPRODUCT(-- ISNUMBER(SEARCH({"Lookup","Master-Detail"}, $B69))) &gt; 0,$B69 &amp; "(" &amp; $E69 &amp; ")",IF(SUMPRODUCT(-- ISNUMBER(SEARCH({"Formula","Roll-Up Summary"}, $B69))) &gt; 0,$B69 &amp; " (" &amp; $E69 &amp; ")",IF(SUMPRODUCT(-- ISNUMBER(SEARCH({"Content","Currency","Number","Percent","Text","URL"}, $B69))) &gt; 0,$B69 &amp; "(" &amp; $C69 &amp; ")",$B69)))), "  ", TRIM(IF($S69 = "YES", "(External ID)", "") &amp; " " &amp; IF(SUMPRODUCT(-- ISNUMBER(SEARCH({"Unique","Unique Case Insensitive"}, $R69))) &gt; 0, "(" &amp; $R69 &amp; ")", ""))))</f>
        <v>na</v>
      </c>
      <c r="E69" s="7" t="s">
        <v>195</v>
      </c>
      <c r="F69" s="7" t="s">
        <v>195</v>
      </c>
      <c r="G69" s="7" t="s">
        <v>195</v>
      </c>
      <c r="H69" s="7" t="s">
        <v>195</v>
      </c>
      <c r="I69" s="7" t="s">
        <v>195</v>
      </c>
      <c r="J69" s="7" t="s">
        <v>195</v>
      </c>
      <c r="K69" s="7" t="s">
        <v>195</v>
      </c>
      <c r="L69" s="7" t="s">
        <v>195</v>
      </c>
      <c r="M69" s="7" t="s">
        <v>29</v>
      </c>
      <c r="N69" s="7" t="s">
        <v>29</v>
      </c>
      <c r="O69" s="7" t="s">
        <v>29</v>
      </c>
      <c r="P69" s="7" t="s">
        <v>29</v>
      </c>
      <c r="Q69" s="7" t="s">
        <v>29</v>
      </c>
      <c r="R69" s="7" t="s">
        <v>29</v>
      </c>
      <c r="S69" s="7" t="s">
        <v>29</v>
      </c>
    </row>
    <row r="70" spans="2:19">
      <c r="B70" s="7" t="s">
        <v>195</v>
      </c>
      <c r="C70" s="8" t="s">
        <v>195</v>
      </c>
      <c r="D70" s="6" t="str">
        <f>LRTRIM(CONCATENATE(IF(SUMPRODUCT(-- ISNUMBER(SEARCH({"Auto Number"}, $B70))) &gt; 0, $B70, IF(SUMPRODUCT(-- ISNUMBER(SEARCH({"Lookup","Master-Detail"}, $B70))) &gt; 0,$B70 &amp; "(" &amp; $E70 &amp; ")",IF(SUMPRODUCT(-- ISNUMBER(SEARCH({"Formula","Roll-Up Summary"}, $B70))) &gt; 0,$B70 &amp; " (" &amp; $E70 &amp; ")",IF(SUMPRODUCT(-- ISNUMBER(SEARCH({"Content","Currency","Number","Percent","Text","URL"}, $B70))) &gt; 0,$B70 &amp; "(" &amp; $C70 &amp; ")",$B70)))), "  ", TRIM(IF($S70 = "YES", "(External ID)", "") &amp; " " &amp; IF(SUMPRODUCT(-- ISNUMBER(SEARCH({"Unique","Unique Case Insensitive"}, $R70))) &gt; 0, "(" &amp; $R70 &amp; ")", ""))))</f>
        <v>na</v>
      </c>
      <c r="E70" s="7" t="s">
        <v>195</v>
      </c>
      <c r="F70" s="7" t="s">
        <v>195</v>
      </c>
      <c r="G70" s="7" t="s">
        <v>195</v>
      </c>
      <c r="H70" s="7" t="s">
        <v>195</v>
      </c>
      <c r="I70" s="7" t="s">
        <v>195</v>
      </c>
      <c r="J70" s="7" t="s">
        <v>195</v>
      </c>
      <c r="K70" s="7" t="s">
        <v>195</v>
      </c>
      <c r="L70" s="7" t="s">
        <v>195</v>
      </c>
      <c r="M70" s="7" t="s">
        <v>29</v>
      </c>
      <c r="N70" s="7" t="s">
        <v>29</v>
      </c>
      <c r="O70" s="7" t="s">
        <v>29</v>
      </c>
      <c r="P70" s="7" t="s">
        <v>29</v>
      </c>
      <c r="Q70" s="7" t="s">
        <v>29</v>
      </c>
      <c r="R70" s="7" t="s">
        <v>29</v>
      </c>
      <c r="S70" s="7" t="s">
        <v>29</v>
      </c>
    </row>
    <row r="71" spans="2:19">
      <c r="B71" s="7" t="s">
        <v>195</v>
      </c>
      <c r="C71" s="8" t="s">
        <v>195</v>
      </c>
      <c r="D71" s="6" t="str">
        <f>LRTRIM(CONCATENATE(IF(SUMPRODUCT(-- ISNUMBER(SEARCH({"Auto Number"}, $B71))) &gt; 0, $B71, IF(SUMPRODUCT(-- ISNUMBER(SEARCH({"Lookup","Master-Detail"}, $B71))) &gt; 0,$B71 &amp; "(" &amp; $E71 &amp; ")",IF(SUMPRODUCT(-- ISNUMBER(SEARCH({"Formula","Roll-Up Summary"}, $B71))) &gt; 0,$B71 &amp; " (" &amp; $E71 &amp; ")",IF(SUMPRODUCT(-- ISNUMBER(SEARCH({"Content","Currency","Number","Percent","Text","URL"}, $B71))) &gt; 0,$B71 &amp; "(" &amp; $C71 &amp; ")",$B71)))), "  ", TRIM(IF($S71 = "YES", "(External ID)", "") &amp; " " &amp; IF(SUMPRODUCT(-- ISNUMBER(SEARCH({"Unique","Unique Case Insensitive"}, $R71))) &gt; 0, "(" &amp; $R71 &amp; ")", ""))))</f>
        <v>na</v>
      </c>
      <c r="E71" s="7" t="s">
        <v>195</v>
      </c>
      <c r="F71" s="7" t="s">
        <v>195</v>
      </c>
      <c r="G71" s="7" t="s">
        <v>195</v>
      </c>
      <c r="H71" s="7" t="s">
        <v>195</v>
      </c>
      <c r="I71" s="7" t="s">
        <v>195</v>
      </c>
      <c r="J71" s="7" t="s">
        <v>195</v>
      </c>
      <c r="K71" s="7" t="s">
        <v>195</v>
      </c>
      <c r="L71" s="7" t="s">
        <v>195</v>
      </c>
      <c r="M71" s="7" t="s">
        <v>29</v>
      </c>
      <c r="N71" s="7" t="s">
        <v>29</v>
      </c>
      <c r="O71" s="7" t="s">
        <v>29</v>
      </c>
      <c r="P71" s="7" t="s">
        <v>29</v>
      </c>
      <c r="Q71" s="7" t="s">
        <v>29</v>
      </c>
      <c r="R71" s="7" t="s">
        <v>29</v>
      </c>
      <c r="S71" s="7" t="s">
        <v>29</v>
      </c>
    </row>
    <row r="72" spans="2:19">
      <c r="B72" s="7" t="s">
        <v>195</v>
      </c>
      <c r="C72" s="8" t="s">
        <v>195</v>
      </c>
      <c r="D72" s="6" t="str">
        <f>LRTRIM(CONCATENATE(IF(SUMPRODUCT(-- ISNUMBER(SEARCH({"Auto Number"}, $B72))) &gt; 0, $B72, IF(SUMPRODUCT(-- ISNUMBER(SEARCH({"Lookup","Master-Detail"}, $B72))) &gt; 0,$B72 &amp; "(" &amp; $E72 &amp; ")",IF(SUMPRODUCT(-- ISNUMBER(SEARCH({"Formula","Roll-Up Summary"}, $B72))) &gt; 0,$B72 &amp; " (" &amp; $E72 &amp; ")",IF(SUMPRODUCT(-- ISNUMBER(SEARCH({"Content","Currency","Number","Percent","Text","URL"}, $B72))) &gt; 0,$B72 &amp; "(" &amp; $C72 &amp; ")",$B72)))), "  ", TRIM(IF($S72 = "YES", "(External ID)", "") &amp; " " &amp; IF(SUMPRODUCT(-- ISNUMBER(SEARCH({"Unique","Unique Case Insensitive"}, $R72))) &gt; 0, "(" &amp; $R72 &amp; ")", ""))))</f>
        <v>na</v>
      </c>
      <c r="E72" s="7" t="s">
        <v>195</v>
      </c>
      <c r="F72" s="7" t="s">
        <v>195</v>
      </c>
      <c r="G72" s="7" t="s">
        <v>195</v>
      </c>
      <c r="H72" s="7" t="s">
        <v>195</v>
      </c>
      <c r="I72" s="7" t="s">
        <v>195</v>
      </c>
      <c r="J72" s="7" t="s">
        <v>195</v>
      </c>
      <c r="K72" s="7" t="s">
        <v>195</v>
      </c>
      <c r="L72" s="7" t="s">
        <v>195</v>
      </c>
      <c r="M72" s="7" t="s">
        <v>29</v>
      </c>
      <c r="N72" s="7" t="s">
        <v>29</v>
      </c>
      <c r="O72" s="7" t="s">
        <v>29</v>
      </c>
      <c r="P72" s="7" t="s">
        <v>29</v>
      </c>
      <c r="Q72" s="7" t="s">
        <v>29</v>
      </c>
      <c r="R72" s="7" t="s">
        <v>29</v>
      </c>
      <c r="S72" s="7" t="s">
        <v>29</v>
      </c>
    </row>
    <row r="73" spans="2:19">
      <c r="B73" s="7" t="s">
        <v>195</v>
      </c>
      <c r="C73" s="8" t="s">
        <v>195</v>
      </c>
      <c r="D73" s="6" t="str">
        <f>LRTRIM(CONCATENATE(IF(SUMPRODUCT(-- ISNUMBER(SEARCH({"Auto Number"}, $B73))) &gt; 0, $B73, IF(SUMPRODUCT(-- ISNUMBER(SEARCH({"Lookup","Master-Detail"}, $B73))) &gt; 0,$B73 &amp; "(" &amp; $E73 &amp; ")",IF(SUMPRODUCT(-- ISNUMBER(SEARCH({"Formula","Roll-Up Summary"}, $B73))) &gt; 0,$B73 &amp; " (" &amp; $E73 &amp; ")",IF(SUMPRODUCT(-- ISNUMBER(SEARCH({"Content","Currency","Number","Percent","Text","URL"}, $B73))) &gt; 0,$B73 &amp; "(" &amp; $C73 &amp; ")",$B73)))), "  ", TRIM(IF($S73 = "YES", "(External ID)", "") &amp; " " &amp; IF(SUMPRODUCT(-- ISNUMBER(SEARCH({"Unique","Unique Case Insensitive"}, $R73))) &gt; 0, "(" &amp; $R73 &amp; ")", ""))))</f>
        <v>na</v>
      </c>
      <c r="E73" s="7" t="s">
        <v>195</v>
      </c>
      <c r="F73" s="7" t="s">
        <v>195</v>
      </c>
      <c r="G73" s="7" t="s">
        <v>195</v>
      </c>
      <c r="H73" s="7" t="s">
        <v>195</v>
      </c>
      <c r="I73" s="7" t="s">
        <v>195</v>
      </c>
      <c r="J73" s="7" t="s">
        <v>195</v>
      </c>
      <c r="K73" s="7" t="s">
        <v>195</v>
      </c>
      <c r="L73" s="7" t="s">
        <v>195</v>
      </c>
      <c r="M73" s="7" t="s">
        <v>29</v>
      </c>
      <c r="N73" s="7" t="s">
        <v>29</v>
      </c>
      <c r="O73" s="7" t="s">
        <v>29</v>
      </c>
      <c r="P73" s="7" t="s">
        <v>29</v>
      </c>
      <c r="Q73" s="7" t="s">
        <v>29</v>
      </c>
      <c r="R73" s="7" t="s">
        <v>29</v>
      </c>
      <c r="S73" s="7" t="s">
        <v>29</v>
      </c>
    </row>
    <row r="74" spans="2:19">
      <c r="B74" s="7" t="s">
        <v>195</v>
      </c>
      <c r="C74" s="8" t="s">
        <v>195</v>
      </c>
      <c r="D74" s="6" t="str">
        <f>LRTRIM(CONCATENATE(IF(SUMPRODUCT(-- ISNUMBER(SEARCH({"Auto Number"}, $B74))) &gt; 0, $B74, IF(SUMPRODUCT(-- ISNUMBER(SEARCH({"Lookup","Master-Detail"}, $B74))) &gt; 0,$B74 &amp; "(" &amp; $E74 &amp; ")",IF(SUMPRODUCT(-- ISNUMBER(SEARCH({"Formula","Roll-Up Summary"}, $B74))) &gt; 0,$B74 &amp; " (" &amp; $E74 &amp; ")",IF(SUMPRODUCT(-- ISNUMBER(SEARCH({"Content","Currency","Number","Percent","Text","URL"}, $B74))) &gt; 0,$B74 &amp; "(" &amp; $C74 &amp; ")",$B74)))), "  ", TRIM(IF($S74 = "YES", "(External ID)", "") &amp; " " &amp; IF(SUMPRODUCT(-- ISNUMBER(SEARCH({"Unique","Unique Case Insensitive"}, $R74))) &gt; 0, "(" &amp; $R74 &amp; ")", ""))))</f>
        <v>na</v>
      </c>
      <c r="E74" s="7" t="s">
        <v>195</v>
      </c>
      <c r="F74" s="7" t="s">
        <v>195</v>
      </c>
      <c r="G74" s="7" t="s">
        <v>195</v>
      </c>
      <c r="H74" s="7" t="s">
        <v>195</v>
      </c>
      <c r="I74" s="7" t="s">
        <v>195</v>
      </c>
      <c r="J74" s="7" t="s">
        <v>195</v>
      </c>
      <c r="K74" s="7" t="s">
        <v>195</v>
      </c>
      <c r="L74" s="7" t="s">
        <v>195</v>
      </c>
      <c r="M74" s="7" t="s">
        <v>29</v>
      </c>
      <c r="N74" s="7" t="s">
        <v>29</v>
      </c>
      <c r="O74" s="7" t="s">
        <v>29</v>
      </c>
      <c r="P74" s="7" t="s">
        <v>29</v>
      </c>
      <c r="Q74" s="7" t="s">
        <v>29</v>
      </c>
      <c r="R74" s="7" t="s">
        <v>29</v>
      </c>
      <c r="S74" s="7" t="s">
        <v>29</v>
      </c>
    </row>
    <row r="75" spans="2:19">
      <c r="B75" s="7" t="s">
        <v>195</v>
      </c>
      <c r="C75" s="8" t="s">
        <v>195</v>
      </c>
      <c r="D75" s="6" t="str">
        <f>LRTRIM(CONCATENATE(IF(SUMPRODUCT(-- ISNUMBER(SEARCH({"Auto Number"}, $B75))) &gt; 0, $B75, IF(SUMPRODUCT(-- ISNUMBER(SEARCH({"Lookup","Master-Detail"}, $B75))) &gt; 0,$B75 &amp; "(" &amp; $E75 &amp; ")",IF(SUMPRODUCT(-- ISNUMBER(SEARCH({"Formula","Roll-Up Summary"}, $B75))) &gt; 0,$B75 &amp; " (" &amp; $E75 &amp; ")",IF(SUMPRODUCT(-- ISNUMBER(SEARCH({"Content","Currency","Number","Percent","Text","URL"}, $B75))) &gt; 0,$B75 &amp; "(" &amp; $C75 &amp; ")",$B75)))), "  ", TRIM(IF($S75 = "YES", "(External ID)", "") &amp; " " &amp; IF(SUMPRODUCT(-- ISNUMBER(SEARCH({"Unique","Unique Case Insensitive"}, $R75))) &gt; 0, "(" &amp; $R75 &amp; ")", ""))))</f>
        <v>na</v>
      </c>
      <c r="E75" s="7" t="s">
        <v>195</v>
      </c>
      <c r="F75" s="7" t="s">
        <v>195</v>
      </c>
      <c r="G75" s="7" t="s">
        <v>195</v>
      </c>
      <c r="H75" s="7" t="s">
        <v>195</v>
      </c>
      <c r="I75" s="7" t="s">
        <v>195</v>
      </c>
      <c r="J75" s="7" t="s">
        <v>195</v>
      </c>
      <c r="K75" s="7" t="s">
        <v>195</v>
      </c>
      <c r="L75" s="7" t="s">
        <v>195</v>
      </c>
      <c r="M75" s="7" t="s">
        <v>29</v>
      </c>
      <c r="N75" s="7" t="s">
        <v>29</v>
      </c>
      <c r="O75" s="7" t="s">
        <v>29</v>
      </c>
      <c r="P75" s="7" t="s">
        <v>29</v>
      </c>
      <c r="Q75" s="7" t="s">
        <v>29</v>
      </c>
      <c r="R75" s="7" t="s">
        <v>29</v>
      </c>
      <c r="S75" s="7" t="s">
        <v>29</v>
      </c>
    </row>
    <row r="76" spans="2:19">
      <c r="B76" s="7" t="s">
        <v>195</v>
      </c>
      <c r="C76" s="8" t="s">
        <v>195</v>
      </c>
      <c r="D76" s="6" t="str">
        <f>LRTRIM(CONCATENATE(IF(SUMPRODUCT(-- ISNUMBER(SEARCH({"Auto Number"}, $B76))) &gt; 0, $B76, IF(SUMPRODUCT(-- ISNUMBER(SEARCH({"Lookup","Master-Detail"}, $B76))) &gt; 0,$B76 &amp; "(" &amp; $E76 &amp; ")",IF(SUMPRODUCT(-- ISNUMBER(SEARCH({"Formula","Roll-Up Summary"}, $B76))) &gt; 0,$B76 &amp; " (" &amp; $E76 &amp; ")",IF(SUMPRODUCT(-- ISNUMBER(SEARCH({"Content","Currency","Number","Percent","Text","URL"}, $B76))) &gt; 0,$B76 &amp; "(" &amp; $C76 &amp; ")",$B76)))), "  ", TRIM(IF($S76 = "YES", "(External ID)", "") &amp; " " &amp; IF(SUMPRODUCT(-- ISNUMBER(SEARCH({"Unique","Unique Case Insensitive"}, $R76))) &gt; 0, "(" &amp; $R76 &amp; ")", ""))))</f>
        <v>na</v>
      </c>
      <c r="E76" s="7" t="s">
        <v>195</v>
      </c>
      <c r="F76" s="7" t="s">
        <v>195</v>
      </c>
      <c r="G76" s="7" t="s">
        <v>195</v>
      </c>
      <c r="H76" s="7" t="s">
        <v>195</v>
      </c>
      <c r="I76" s="7" t="s">
        <v>195</v>
      </c>
      <c r="J76" s="7" t="s">
        <v>195</v>
      </c>
      <c r="K76" s="7" t="s">
        <v>195</v>
      </c>
      <c r="L76" s="7" t="s">
        <v>195</v>
      </c>
      <c r="M76" s="7" t="s">
        <v>29</v>
      </c>
      <c r="N76" s="7" t="s">
        <v>29</v>
      </c>
      <c r="O76" s="7" t="s">
        <v>29</v>
      </c>
      <c r="P76" s="7" t="s">
        <v>29</v>
      </c>
      <c r="Q76" s="7" t="s">
        <v>29</v>
      </c>
      <c r="R76" s="7" t="s">
        <v>29</v>
      </c>
      <c r="S76" s="7" t="s">
        <v>29</v>
      </c>
    </row>
    <row r="77" spans="2:19">
      <c r="B77" s="7" t="s">
        <v>195</v>
      </c>
      <c r="C77" s="8" t="s">
        <v>195</v>
      </c>
      <c r="D77" s="6" t="str">
        <f>LRTRIM(CONCATENATE(IF(SUMPRODUCT(-- ISNUMBER(SEARCH({"Auto Number"}, $B77))) &gt; 0, $B77, IF(SUMPRODUCT(-- ISNUMBER(SEARCH({"Lookup","Master-Detail"}, $B77))) &gt; 0,$B77 &amp; "(" &amp; $E77 &amp; ")",IF(SUMPRODUCT(-- ISNUMBER(SEARCH({"Formula","Roll-Up Summary"}, $B77))) &gt; 0,$B77 &amp; " (" &amp; $E77 &amp; ")",IF(SUMPRODUCT(-- ISNUMBER(SEARCH({"Content","Currency","Number","Percent","Text","URL"}, $B77))) &gt; 0,$B77 &amp; "(" &amp; $C77 &amp; ")",$B77)))), "  ", TRIM(IF($S77 = "YES", "(External ID)", "") &amp; " " &amp; IF(SUMPRODUCT(-- ISNUMBER(SEARCH({"Unique","Unique Case Insensitive"}, $R77))) &gt; 0, "(" &amp; $R77 &amp; ")", ""))))</f>
        <v>na</v>
      </c>
      <c r="E77" s="7" t="s">
        <v>195</v>
      </c>
      <c r="F77" s="7" t="s">
        <v>195</v>
      </c>
      <c r="G77" s="7" t="s">
        <v>195</v>
      </c>
      <c r="H77" s="7" t="s">
        <v>195</v>
      </c>
      <c r="I77" s="7" t="s">
        <v>195</v>
      </c>
      <c r="J77" s="7" t="s">
        <v>195</v>
      </c>
      <c r="K77" s="7" t="s">
        <v>195</v>
      </c>
      <c r="L77" s="7" t="s">
        <v>195</v>
      </c>
      <c r="M77" s="7" t="s">
        <v>29</v>
      </c>
      <c r="N77" s="7" t="s">
        <v>29</v>
      </c>
      <c r="O77" s="7" t="s">
        <v>29</v>
      </c>
      <c r="P77" s="7" t="s">
        <v>29</v>
      </c>
      <c r="Q77" s="7" t="s">
        <v>29</v>
      </c>
      <c r="R77" s="7" t="s">
        <v>29</v>
      </c>
      <c r="S77" s="7" t="s">
        <v>29</v>
      </c>
    </row>
    <row r="78" spans="2:19">
      <c r="B78" s="7" t="s">
        <v>195</v>
      </c>
      <c r="C78" s="8" t="s">
        <v>195</v>
      </c>
      <c r="D78" s="6" t="str">
        <f>LRTRIM(CONCATENATE(IF(SUMPRODUCT(-- ISNUMBER(SEARCH({"Auto Number"}, $B78))) &gt; 0, $B78, IF(SUMPRODUCT(-- ISNUMBER(SEARCH({"Lookup","Master-Detail"}, $B78))) &gt; 0,$B78 &amp; "(" &amp; $E78 &amp; ")",IF(SUMPRODUCT(-- ISNUMBER(SEARCH({"Formula","Roll-Up Summary"}, $B78))) &gt; 0,$B78 &amp; " (" &amp; $E78 &amp; ")",IF(SUMPRODUCT(-- ISNUMBER(SEARCH({"Content","Currency","Number","Percent","Text","URL"}, $B78))) &gt; 0,$B78 &amp; "(" &amp; $C78 &amp; ")",$B78)))), "  ", TRIM(IF($S78 = "YES", "(External ID)", "") &amp; " " &amp; IF(SUMPRODUCT(-- ISNUMBER(SEARCH({"Unique","Unique Case Insensitive"}, $R78))) &gt; 0, "(" &amp; $R78 &amp; ")", ""))))</f>
        <v>na</v>
      </c>
      <c r="E78" s="7" t="s">
        <v>195</v>
      </c>
      <c r="F78" s="7" t="s">
        <v>195</v>
      </c>
      <c r="G78" s="7" t="s">
        <v>195</v>
      </c>
      <c r="H78" s="7" t="s">
        <v>195</v>
      </c>
      <c r="I78" s="7" t="s">
        <v>195</v>
      </c>
      <c r="J78" s="7" t="s">
        <v>195</v>
      </c>
      <c r="K78" s="7" t="s">
        <v>195</v>
      </c>
      <c r="L78" s="7" t="s">
        <v>195</v>
      </c>
      <c r="M78" s="7" t="s">
        <v>29</v>
      </c>
      <c r="N78" s="7" t="s">
        <v>29</v>
      </c>
      <c r="O78" s="7" t="s">
        <v>29</v>
      </c>
      <c r="P78" s="7" t="s">
        <v>29</v>
      </c>
      <c r="Q78" s="7" t="s">
        <v>29</v>
      </c>
      <c r="R78" s="7" t="s">
        <v>29</v>
      </c>
      <c r="S78" s="7" t="s">
        <v>29</v>
      </c>
    </row>
    <row r="79" spans="2:19">
      <c r="B79" s="7" t="s">
        <v>195</v>
      </c>
      <c r="C79" s="8" t="s">
        <v>195</v>
      </c>
      <c r="D79" s="6" t="str">
        <f>LRTRIM(CONCATENATE(IF(SUMPRODUCT(-- ISNUMBER(SEARCH({"Auto Number"}, $B79))) &gt; 0, $B79, IF(SUMPRODUCT(-- ISNUMBER(SEARCH({"Lookup","Master-Detail"}, $B79))) &gt; 0,$B79 &amp; "(" &amp; $E79 &amp; ")",IF(SUMPRODUCT(-- ISNUMBER(SEARCH({"Formula","Roll-Up Summary"}, $B79))) &gt; 0,$B79 &amp; " (" &amp; $E79 &amp; ")",IF(SUMPRODUCT(-- ISNUMBER(SEARCH({"Content","Currency","Number","Percent","Text","URL"}, $B79))) &gt; 0,$B79 &amp; "(" &amp; $C79 &amp; ")",$B79)))), "  ", TRIM(IF($S79 = "YES", "(External ID)", "") &amp; " " &amp; IF(SUMPRODUCT(-- ISNUMBER(SEARCH({"Unique","Unique Case Insensitive"}, $R79))) &gt; 0, "(" &amp; $R79 &amp; ")", ""))))</f>
        <v>na</v>
      </c>
      <c r="E79" s="7" t="s">
        <v>195</v>
      </c>
      <c r="F79" s="7" t="s">
        <v>195</v>
      </c>
      <c r="G79" s="7" t="s">
        <v>195</v>
      </c>
      <c r="H79" s="7" t="s">
        <v>195</v>
      </c>
      <c r="I79" s="7" t="s">
        <v>195</v>
      </c>
      <c r="J79" s="7" t="s">
        <v>195</v>
      </c>
      <c r="K79" s="7" t="s">
        <v>195</v>
      </c>
      <c r="L79" s="7" t="s">
        <v>195</v>
      </c>
      <c r="M79" s="7" t="s">
        <v>29</v>
      </c>
      <c r="N79" s="7" t="s">
        <v>29</v>
      </c>
      <c r="O79" s="7" t="s">
        <v>29</v>
      </c>
      <c r="P79" s="7" t="s">
        <v>29</v>
      </c>
      <c r="Q79" s="7" t="s">
        <v>29</v>
      </c>
      <c r="R79" s="7" t="s">
        <v>29</v>
      </c>
      <c r="S79" s="7" t="s">
        <v>29</v>
      </c>
    </row>
    <row r="80" spans="2:19">
      <c r="B80" s="7" t="s">
        <v>195</v>
      </c>
      <c r="C80" s="8" t="s">
        <v>195</v>
      </c>
      <c r="D80" s="6" t="str">
        <f>LRTRIM(CONCATENATE(IF(SUMPRODUCT(-- ISNUMBER(SEARCH({"Auto Number"}, $B80))) &gt; 0, $B80, IF(SUMPRODUCT(-- ISNUMBER(SEARCH({"Lookup","Master-Detail"}, $B80))) &gt; 0,$B80 &amp; "(" &amp; $E80 &amp; ")",IF(SUMPRODUCT(-- ISNUMBER(SEARCH({"Formula","Roll-Up Summary"}, $B80))) &gt; 0,$B80 &amp; " (" &amp; $E80 &amp; ")",IF(SUMPRODUCT(-- ISNUMBER(SEARCH({"Content","Currency","Number","Percent","Text","URL"}, $B80))) &gt; 0,$B80 &amp; "(" &amp; $C80 &amp; ")",$B80)))), "  ", TRIM(IF($S80 = "YES", "(External ID)", "") &amp; " " &amp; IF(SUMPRODUCT(-- ISNUMBER(SEARCH({"Unique","Unique Case Insensitive"}, $R80))) &gt; 0, "(" &amp; $R80 &amp; ")", ""))))</f>
        <v>na</v>
      </c>
      <c r="E80" s="7" t="s">
        <v>195</v>
      </c>
      <c r="F80" s="7" t="s">
        <v>195</v>
      </c>
      <c r="G80" s="7" t="s">
        <v>195</v>
      </c>
      <c r="H80" s="7" t="s">
        <v>195</v>
      </c>
      <c r="I80" s="7" t="s">
        <v>195</v>
      </c>
      <c r="J80" s="7" t="s">
        <v>195</v>
      </c>
      <c r="K80" s="7" t="s">
        <v>195</v>
      </c>
      <c r="L80" s="7" t="s">
        <v>195</v>
      </c>
      <c r="M80" s="7" t="s">
        <v>29</v>
      </c>
      <c r="N80" s="7" t="s">
        <v>29</v>
      </c>
      <c r="O80" s="7" t="s">
        <v>29</v>
      </c>
      <c r="P80" s="7" t="s">
        <v>29</v>
      </c>
      <c r="Q80" s="7" t="s">
        <v>29</v>
      </c>
      <c r="R80" s="7" t="s">
        <v>29</v>
      </c>
      <c r="S80" s="7" t="s">
        <v>29</v>
      </c>
    </row>
    <row r="81" spans="2:19">
      <c r="B81" s="7" t="s">
        <v>195</v>
      </c>
      <c r="C81" s="8" t="s">
        <v>195</v>
      </c>
      <c r="D81" s="6" t="str">
        <f>LRTRIM(CONCATENATE(IF(SUMPRODUCT(-- ISNUMBER(SEARCH({"Auto Number"}, $B81))) &gt; 0, $B81, IF(SUMPRODUCT(-- ISNUMBER(SEARCH({"Lookup","Master-Detail"}, $B81))) &gt; 0,$B81 &amp; "(" &amp; $E81 &amp; ")",IF(SUMPRODUCT(-- ISNUMBER(SEARCH({"Formula","Roll-Up Summary"}, $B81))) &gt; 0,$B81 &amp; " (" &amp; $E81 &amp; ")",IF(SUMPRODUCT(-- ISNUMBER(SEARCH({"Content","Currency","Number","Percent","Text","URL"}, $B81))) &gt; 0,$B81 &amp; "(" &amp; $C81 &amp; ")",$B81)))), "  ", TRIM(IF($S81 = "YES", "(External ID)", "") &amp; " " &amp; IF(SUMPRODUCT(-- ISNUMBER(SEARCH({"Unique","Unique Case Insensitive"}, $R81))) &gt; 0, "(" &amp; $R81 &amp; ")", ""))))</f>
        <v>na</v>
      </c>
      <c r="E81" s="7" t="s">
        <v>195</v>
      </c>
      <c r="F81" s="7" t="s">
        <v>195</v>
      </c>
      <c r="G81" s="7" t="s">
        <v>195</v>
      </c>
      <c r="H81" s="7" t="s">
        <v>195</v>
      </c>
      <c r="I81" s="7" t="s">
        <v>195</v>
      </c>
      <c r="J81" s="7" t="s">
        <v>195</v>
      </c>
      <c r="K81" s="7" t="s">
        <v>195</v>
      </c>
      <c r="L81" s="7" t="s">
        <v>195</v>
      </c>
      <c r="M81" s="7" t="s">
        <v>29</v>
      </c>
      <c r="N81" s="7" t="s">
        <v>29</v>
      </c>
      <c r="O81" s="7" t="s">
        <v>29</v>
      </c>
      <c r="P81" s="7" t="s">
        <v>29</v>
      </c>
      <c r="Q81" s="7" t="s">
        <v>29</v>
      </c>
      <c r="R81" s="7" t="s">
        <v>29</v>
      </c>
      <c r="S81" s="7" t="s">
        <v>29</v>
      </c>
    </row>
    <row r="82" spans="2:19">
      <c r="B82" s="7" t="s">
        <v>195</v>
      </c>
      <c r="C82" s="8" t="s">
        <v>195</v>
      </c>
      <c r="D82" s="6" t="str">
        <f>LRTRIM(CONCATENATE(IF(SUMPRODUCT(-- ISNUMBER(SEARCH({"Auto Number"}, $B82))) &gt; 0, $B82, IF(SUMPRODUCT(-- ISNUMBER(SEARCH({"Lookup","Master-Detail"}, $B82))) &gt; 0,$B82 &amp; "(" &amp; $E82 &amp; ")",IF(SUMPRODUCT(-- ISNUMBER(SEARCH({"Formula","Roll-Up Summary"}, $B82))) &gt; 0,$B82 &amp; " (" &amp; $E82 &amp; ")",IF(SUMPRODUCT(-- ISNUMBER(SEARCH({"Content","Currency","Number","Percent","Text","URL"}, $B82))) &gt; 0,$B82 &amp; "(" &amp; $C82 &amp; ")",$B82)))), "  ", TRIM(IF($S82 = "YES", "(External ID)", "") &amp; " " &amp; IF(SUMPRODUCT(-- ISNUMBER(SEARCH({"Unique","Unique Case Insensitive"}, $R82))) &gt; 0, "(" &amp; $R82 &amp; ")", ""))))</f>
        <v>na</v>
      </c>
      <c r="E82" s="7" t="s">
        <v>195</v>
      </c>
      <c r="F82" s="7" t="s">
        <v>195</v>
      </c>
      <c r="G82" s="7" t="s">
        <v>195</v>
      </c>
      <c r="H82" s="7" t="s">
        <v>195</v>
      </c>
      <c r="I82" s="7" t="s">
        <v>195</v>
      </c>
      <c r="J82" s="7" t="s">
        <v>195</v>
      </c>
      <c r="K82" s="7" t="s">
        <v>195</v>
      </c>
      <c r="L82" s="7" t="s">
        <v>195</v>
      </c>
      <c r="M82" s="7" t="s">
        <v>29</v>
      </c>
      <c r="N82" s="7" t="s">
        <v>29</v>
      </c>
      <c r="O82" s="7" t="s">
        <v>29</v>
      </c>
      <c r="P82" s="7" t="s">
        <v>29</v>
      </c>
      <c r="Q82" s="7" t="s">
        <v>29</v>
      </c>
      <c r="R82" s="7" t="s">
        <v>29</v>
      </c>
      <c r="S82" s="7" t="s">
        <v>29</v>
      </c>
    </row>
    <row r="83" spans="2:19">
      <c r="B83" s="7" t="s">
        <v>195</v>
      </c>
      <c r="C83" s="8" t="s">
        <v>195</v>
      </c>
      <c r="D83" s="6" t="str">
        <f>LRTRIM(CONCATENATE(IF(SUMPRODUCT(-- ISNUMBER(SEARCH({"Auto Number"}, $B83))) &gt; 0, $B83, IF(SUMPRODUCT(-- ISNUMBER(SEARCH({"Lookup","Master-Detail"}, $B83))) &gt; 0,$B83 &amp; "(" &amp; $E83 &amp; ")",IF(SUMPRODUCT(-- ISNUMBER(SEARCH({"Formula","Roll-Up Summary"}, $B83))) &gt; 0,$B83 &amp; " (" &amp; $E83 &amp; ")",IF(SUMPRODUCT(-- ISNUMBER(SEARCH({"Content","Currency","Number","Percent","Text","URL"}, $B83))) &gt; 0,$B83 &amp; "(" &amp; $C83 &amp; ")",$B83)))), "  ", TRIM(IF($S83 = "YES", "(External ID)", "") &amp; " " &amp; IF(SUMPRODUCT(-- ISNUMBER(SEARCH({"Unique","Unique Case Insensitive"}, $R83))) &gt; 0, "(" &amp; $R83 &amp; ")", ""))))</f>
        <v>na</v>
      </c>
      <c r="E83" s="7" t="s">
        <v>195</v>
      </c>
      <c r="F83" s="7" t="s">
        <v>195</v>
      </c>
      <c r="G83" s="7" t="s">
        <v>195</v>
      </c>
      <c r="H83" s="7" t="s">
        <v>195</v>
      </c>
      <c r="I83" s="7" t="s">
        <v>195</v>
      </c>
      <c r="J83" s="7" t="s">
        <v>195</v>
      </c>
      <c r="K83" s="7" t="s">
        <v>195</v>
      </c>
      <c r="L83" s="7" t="s">
        <v>195</v>
      </c>
      <c r="M83" s="7" t="s">
        <v>29</v>
      </c>
      <c r="N83" s="7" t="s">
        <v>29</v>
      </c>
      <c r="O83" s="7" t="s">
        <v>29</v>
      </c>
      <c r="P83" s="7" t="s">
        <v>29</v>
      </c>
      <c r="Q83" s="7" t="s">
        <v>29</v>
      </c>
      <c r="R83" s="7" t="s">
        <v>29</v>
      </c>
      <c r="S83" s="7" t="s">
        <v>29</v>
      </c>
    </row>
    <row r="84" spans="2:19">
      <c r="B84" s="7" t="s">
        <v>195</v>
      </c>
      <c r="C84" s="8" t="s">
        <v>195</v>
      </c>
      <c r="D84" s="6" t="str">
        <f>LRTRIM(CONCATENATE(IF(SUMPRODUCT(-- ISNUMBER(SEARCH({"Auto Number"}, $B84))) &gt; 0, $B84, IF(SUMPRODUCT(-- ISNUMBER(SEARCH({"Lookup","Master-Detail"}, $B84))) &gt; 0,$B84 &amp; "(" &amp; $E84 &amp; ")",IF(SUMPRODUCT(-- ISNUMBER(SEARCH({"Formula","Roll-Up Summary"}, $B84))) &gt; 0,$B84 &amp; " (" &amp; $E84 &amp; ")",IF(SUMPRODUCT(-- ISNUMBER(SEARCH({"Content","Currency","Number","Percent","Text","URL"}, $B84))) &gt; 0,$B84 &amp; "(" &amp; $C84 &amp; ")",$B84)))), "  ", TRIM(IF($S84 = "YES", "(External ID)", "") &amp; " " &amp; IF(SUMPRODUCT(-- ISNUMBER(SEARCH({"Unique","Unique Case Insensitive"}, $R84))) &gt; 0, "(" &amp; $R84 &amp; ")", ""))))</f>
        <v>na</v>
      </c>
      <c r="E84" s="7" t="s">
        <v>195</v>
      </c>
      <c r="F84" s="7" t="s">
        <v>195</v>
      </c>
      <c r="G84" s="7" t="s">
        <v>195</v>
      </c>
      <c r="H84" s="7" t="s">
        <v>195</v>
      </c>
      <c r="I84" s="7" t="s">
        <v>195</v>
      </c>
      <c r="J84" s="7" t="s">
        <v>195</v>
      </c>
      <c r="K84" s="7" t="s">
        <v>195</v>
      </c>
      <c r="L84" s="7" t="s">
        <v>195</v>
      </c>
      <c r="M84" s="7" t="s">
        <v>29</v>
      </c>
      <c r="N84" s="7" t="s">
        <v>29</v>
      </c>
      <c r="O84" s="7" t="s">
        <v>29</v>
      </c>
      <c r="P84" s="7" t="s">
        <v>29</v>
      </c>
      <c r="Q84" s="7" t="s">
        <v>29</v>
      </c>
      <c r="R84" s="7" t="s">
        <v>29</v>
      </c>
      <c r="S84" s="7" t="s">
        <v>29</v>
      </c>
    </row>
    <row r="85" spans="2:19">
      <c r="B85" s="7" t="s">
        <v>195</v>
      </c>
      <c r="C85" s="8" t="s">
        <v>195</v>
      </c>
      <c r="D85" s="6" t="str">
        <f>LRTRIM(CONCATENATE(IF(SUMPRODUCT(-- ISNUMBER(SEARCH({"Auto Number"}, $B85))) &gt; 0, $B85, IF(SUMPRODUCT(-- ISNUMBER(SEARCH({"Lookup","Master-Detail"}, $B85))) &gt; 0,$B85 &amp; "(" &amp; $E85 &amp; ")",IF(SUMPRODUCT(-- ISNUMBER(SEARCH({"Formula","Roll-Up Summary"}, $B85))) &gt; 0,$B85 &amp; " (" &amp; $E85 &amp; ")",IF(SUMPRODUCT(-- ISNUMBER(SEARCH({"Content","Currency","Number","Percent","Text","URL"}, $B85))) &gt; 0,$B85 &amp; "(" &amp; $C85 &amp; ")",$B85)))), "  ", TRIM(IF($S85 = "YES", "(External ID)", "") &amp; " " &amp; IF(SUMPRODUCT(-- ISNUMBER(SEARCH({"Unique","Unique Case Insensitive"}, $R85))) &gt; 0, "(" &amp; $R85 &amp; ")", ""))))</f>
        <v>na</v>
      </c>
      <c r="E85" s="7" t="s">
        <v>195</v>
      </c>
      <c r="F85" s="7" t="s">
        <v>195</v>
      </c>
      <c r="G85" s="7" t="s">
        <v>195</v>
      </c>
      <c r="H85" s="7" t="s">
        <v>195</v>
      </c>
      <c r="I85" s="7" t="s">
        <v>195</v>
      </c>
      <c r="J85" s="7" t="s">
        <v>195</v>
      </c>
      <c r="K85" s="7" t="s">
        <v>195</v>
      </c>
      <c r="L85" s="7" t="s">
        <v>195</v>
      </c>
      <c r="M85" s="7" t="s">
        <v>29</v>
      </c>
      <c r="N85" s="7" t="s">
        <v>29</v>
      </c>
      <c r="O85" s="7" t="s">
        <v>29</v>
      </c>
      <c r="P85" s="7" t="s">
        <v>29</v>
      </c>
      <c r="Q85" s="7" t="s">
        <v>29</v>
      </c>
      <c r="R85" s="7" t="s">
        <v>29</v>
      </c>
      <c r="S85" s="7" t="s">
        <v>29</v>
      </c>
    </row>
    <row r="86" spans="2:19">
      <c r="B86" s="7" t="s">
        <v>195</v>
      </c>
      <c r="C86" s="8" t="s">
        <v>195</v>
      </c>
      <c r="D86" s="6" t="str">
        <f>LRTRIM(CONCATENATE(IF(SUMPRODUCT(-- ISNUMBER(SEARCH({"Auto Number"}, $B86))) &gt; 0, $B86, IF(SUMPRODUCT(-- ISNUMBER(SEARCH({"Lookup","Master-Detail"}, $B86))) &gt; 0,$B86 &amp; "(" &amp; $E86 &amp; ")",IF(SUMPRODUCT(-- ISNUMBER(SEARCH({"Formula","Roll-Up Summary"}, $B86))) &gt; 0,$B86 &amp; " (" &amp; $E86 &amp; ")",IF(SUMPRODUCT(-- ISNUMBER(SEARCH({"Content","Currency","Number","Percent","Text","URL"}, $B86))) &gt; 0,$B86 &amp; "(" &amp; $C86 &amp; ")",$B86)))), "  ", TRIM(IF($S86 = "YES", "(External ID)", "") &amp; " " &amp; IF(SUMPRODUCT(-- ISNUMBER(SEARCH({"Unique","Unique Case Insensitive"}, $R86))) &gt; 0, "(" &amp; $R86 &amp; ")", ""))))</f>
        <v>na</v>
      </c>
      <c r="E86" s="7" t="s">
        <v>195</v>
      </c>
      <c r="F86" s="7" t="s">
        <v>195</v>
      </c>
      <c r="G86" s="7" t="s">
        <v>195</v>
      </c>
      <c r="H86" s="7" t="s">
        <v>195</v>
      </c>
      <c r="I86" s="7" t="s">
        <v>195</v>
      </c>
      <c r="J86" s="7" t="s">
        <v>195</v>
      </c>
      <c r="K86" s="7" t="s">
        <v>195</v>
      </c>
      <c r="L86" s="7" t="s">
        <v>195</v>
      </c>
      <c r="M86" s="7" t="s">
        <v>29</v>
      </c>
      <c r="N86" s="7" t="s">
        <v>29</v>
      </c>
      <c r="O86" s="7" t="s">
        <v>29</v>
      </c>
      <c r="P86" s="7" t="s">
        <v>29</v>
      </c>
      <c r="Q86" s="7" t="s">
        <v>29</v>
      </c>
      <c r="R86" s="7" t="s">
        <v>29</v>
      </c>
      <c r="S86" s="7" t="s">
        <v>29</v>
      </c>
    </row>
    <row r="87" spans="2:19">
      <c r="B87" s="7" t="s">
        <v>195</v>
      </c>
      <c r="C87" s="8" t="s">
        <v>195</v>
      </c>
      <c r="D87" s="6" t="str">
        <f>LRTRIM(CONCATENATE(IF(SUMPRODUCT(-- ISNUMBER(SEARCH({"Auto Number"}, $B87))) &gt; 0, $B87, IF(SUMPRODUCT(-- ISNUMBER(SEARCH({"Lookup","Master-Detail"}, $B87))) &gt; 0,$B87 &amp; "(" &amp; $E87 &amp; ")",IF(SUMPRODUCT(-- ISNUMBER(SEARCH({"Formula","Roll-Up Summary"}, $B87))) &gt; 0,$B87 &amp; " (" &amp; $E87 &amp; ")",IF(SUMPRODUCT(-- ISNUMBER(SEARCH({"Content","Currency","Number","Percent","Text","URL"}, $B87))) &gt; 0,$B87 &amp; "(" &amp; $C87 &amp; ")",$B87)))), "  ", TRIM(IF($S87 = "YES", "(External ID)", "") &amp; " " &amp; IF(SUMPRODUCT(-- ISNUMBER(SEARCH({"Unique","Unique Case Insensitive"}, $R87))) &gt; 0, "(" &amp; $R87 &amp; ")", ""))))</f>
        <v>na</v>
      </c>
      <c r="E87" s="7" t="s">
        <v>195</v>
      </c>
      <c r="F87" s="7" t="s">
        <v>195</v>
      </c>
      <c r="G87" s="7" t="s">
        <v>195</v>
      </c>
      <c r="H87" s="7" t="s">
        <v>195</v>
      </c>
      <c r="I87" s="7" t="s">
        <v>195</v>
      </c>
      <c r="J87" s="7" t="s">
        <v>195</v>
      </c>
      <c r="K87" s="7" t="s">
        <v>195</v>
      </c>
      <c r="L87" s="7" t="s">
        <v>195</v>
      </c>
      <c r="M87" s="7" t="s">
        <v>29</v>
      </c>
      <c r="N87" s="7" t="s">
        <v>29</v>
      </c>
      <c r="O87" s="7" t="s">
        <v>29</v>
      </c>
      <c r="P87" s="7" t="s">
        <v>29</v>
      </c>
      <c r="Q87" s="7" t="s">
        <v>29</v>
      </c>
      <c r="R87" s="7" t="s">
        <v>29</v>
      </c>
      <c r="S87" s="7" t="s">
        <v>29</v>
      </c>
    </row>
    <row r="88" spans="2:19">
      <c r="B88" s="7" t="s">
        <v>195</v>
      </c>
      <c r="C88" s="8" t="s">
        <v>195</v>
      </c>
      <c r="D88" s="6" t="str">
        <f>LRTRIM(CONCATENATE(IF(SUMPRODUCT(-- ISNUMBER(SEARCH({"Auto Number"}, $B88))) &gt; 0, $B88, IF(SUMPRODUCT(-- ISNUMBER(SEARCH({"Lookup","Master-Detail"}, $B88))) &gt; 0,$B88 &amp; "(" &amp; $E88 &amp; ")",IF(SUMPRODUCT(-- ISNUMBER(SEARCH({"Formula","Roll-Up Summary"}, $B88))) &gt; 0,$B88 &amp; " (" &amp; $E88 &amp; ")",IF(SUMPRODUCT(-- ISNUMBER(SEARCH({"Content","Currency","Number","Percent","Text","URL"}, $B88))) &gt; 0,$B88 &amp; "(" &amp; $C88 &amp; ")",$B88)))), "  ", TRIM(IF($S88 = "YES", "(External ID)", "") &amp; " " &amp; IF(SUMPRODUCT(-- ISNUMBER(SEARCH({"Unique","Unique Case Insensitive"}, $R88))) &gt; 0, "(" &amp; $R88 &amp; ")", ""))))</f>
        <v>na</v>
      </c>
      <c r="E88" s="7" t="s">
        <v>195</v>
      </c>
      <c r="F88" s="7" t="s">
        <v>195</v>
      </c>
      <c r="G88" s="7" t="s">
        <v>195</v>
      </c>
      <c r="H88" s="7" t="s">
        <v>195</v>
      </c>
      <c r="I88" s="7" t="s">
        <v>195</v>
      </c>
      <c r="J88" s="7" t="s">
        <v>195</v>
      </c>
      <c r="K88" s="7" t="s">
        <v>195</v>
      </c>
      <c r="L88" s="7" t="s">
        <v>195</v>
      </c>
      <c r="M88" s="7" t="s">
        <v>29</v>
      </c>
      <c r="N88" s="7" t="s">
        <v>29</v>
      </c>
      <c r="O88" s="7" t="s">
        <v>29</v>
      </c>
      <c r="P88" s="7" t="s">
        <v>29</v>
      </c>
      <c r="Q88" s="7" t="s">
        <v>29</v>
      </c>
      <c r="R88" s="7" t="s">
        <v>29</v>
      </c>
      <c r="S88" s="7" t="s">
        <v>29</v>
      </c>
    </row>
    <row r="89" spans="2:19">
      <c r="B89" s="7" t="s">
        <v>195</v>
      </c>
      <c r="C89" s="8" t="s">
        <v>195</v>
      </c>
      <c r="D89" s="6" t="str">
        <f>LRTRIM(CONCATENATE(IF(SUMPRODUCT(-- ISNUMBER(SEARCH({"Auto Number"}, $B89))) &gt; 0, $B89, IF(SUMPRODUCT(-- ISNUMBER(SEARCH({"Lookup","Master-Detail"}, $B89))) &gt; 0,$B89 &amp; "(" &amp; $E89 &amp; ")",IF(SUMPRODUCT(-- ISNUMBER(SEARCH({"Formula","Roll-Up Summary"}, $B89))) &gt; 0,$B89 &amp; " (" &amp; $E89 &amp; ")",IF(SUMPRODUCT(-- ISNUMBER(SEARCH({"Content","Currency","Number","Percent","Text","URL"}, $B89))) &gt; 0,$B89 &amp; "(" &amp; $C89 &amp; ")",$B89)))), "  ", TRIM(IF($S89 = "YES", "(External ID)", "") &amp; " " &amp; IF(SUMPRODUCT(-- ISNUMBER(SEARCH({"Unique","Unique Case Insensitive"}, $R89))) &gt; 0, "(" &amp; $R89 &amp; ")", ""))))</f>
        <v>na</v>
      </c>
      <c r="E89" s="7" t="s">
        <v>195</v>
      </c>
      <c r="F89" s="7" t="s">
        <v>195</v>
      </c>
      <c r="G89" s="7" t="s">
        <v>195</v>
      </c>
      <c r="H89" s="7" t="s">
        <v>195</v>
      </c>
      <c r="I89" s="7" t="s">
        <v>195</v>
      </c>
      <c r="J89" s="7" t="s">
        <v>195</v>
      </c>
      <c r="K89" s="7" t="s">
        <v>195</v>
      </c>
      <c r="L89" s="7" t="s">
        <v>195</v>
      </c>
      <c r="M89" s="7" t="s">
        <v>29</v>
      </c>
      <c r="N89" s="7" t="s">
        <v>29</v>
      </c>
      <c r="O89" s="7" t="s">
        <v>29</v>
      </c>
      <c r="P89" s="7" t="s">
        <v>29</v>
      </c>
      <c r="Q89" s="7" t="s">
        <v>29</v>
      </c>
      <c r="R89" s="7" t="s">
        <v>29</v>
      </c>
      <c r="S89" s="7" t="s">
        <v>29</v>
      </c>
    </row>
    <row r="90" spans="2:19">
      <c r="B90" s="7" t="s">
        <v>195</v>
      </c>
      <c r="C90" s="8" t="s">
        <v>195</v>
      </c>
      <c r="D90" s="6" t="str">
        <f>LRTRIM(CONCATENATE(IF(SUMPRODUCT(-- ISNUMBER(SEARCH({"Auto Number"}, $B90))) &gt; 0, $B90, IF(SUMPRODUCT(-- ISNUMBER(SEARCH({"Lookup","Master-Detail"}, $B90))) &gt; 0,$B90 &amp; "(" &amp; $E90 &amp; ")",IF(SUMPRODUCT(-- ISNUMBER(SEARCH({"Formula","Roll-Up Summary"}, $B90))) &gt; 0,$B90 &amp; " (" &amp; $E90 &amp; ")",IF(SUMPRODUCT(-- ISNUMBER(SEARCH({"Content","Currency","Number","Percent","Text","URL"}, $B90))) &gt; 0,$B90 &amp; "(" &amp; $C90 &amp; ")",$B90)))), "  ", TRIM(IF($S90 = "YES", "(External ID)", "") &amp; " " &amp; IF(SUMPRODUCT(-- ISNUMBER(SEARCH({"Unique","Unique Case Insensitive"}, $R90))) &gt; 0, "(" &amp; $R90 &amp; ")", ""))))</f>
        <v>na</v>
      </c>
      <c r="E90" s="7" t="s">
        <v>195</v>
      </c>
      <c r="F90" s="7" t="s">
        <v>195</v>
      </c>
      <c r="G90" s="7" t="s">
        <v>195</v>
      </c>
      <c r="H90" s="7" t="s">
        <v>195</v>
      </c>
      <c r="I90" s="7" t="s">
        <v>195</v>
      </c>
      <c r="J90" s="7" t="s">
        <v>195</v>
      </c>
      <c r="K90" s="7" t="s">
        <v>195</v>
      </c>
      <c r="L90" s="7" t="s">
        <v>195</v>
      </c>
      <c r="M90" s="7" t="s">
        <v>29</v>
      </c>
      <c r="N90" s="7" t="s">
        <v>29</v>
      </c>
      <c r="O90" s="7" t="s">
        <v>29</v>
      </c>
      <c r="P90" s="7" t="s">
        <v>29</v>
      </c>
      <c r="Q90" s="7" t="s">
        <v>29</v>
      </c>
      <c r="R90" s="7" t="s">
        <v>29</v>
      </c>
      <c r="S90" s="7" t="s">
        <v>29</v>
      </c>
    </row>
    <row r="91" spans="2:19">
      <c r="B91" s="7" t="s">
        <v>195</v>
      </c>
      <c r="C91" s="8" t="s">
        <v>195</v>
      </c>
      <c r="D91" s="6" t="str">
        <f>LRTRIM(CONCATENATE(IF(SUMPRODUCT(-- ISNUMBER(SEARCH({"Auto Number"}, $B91))) &gt; 0, $B91, IF(SUMPRODUCT(-- ISNUMBER(SEARCH({"Lookup","Master-Detail"}, $B91))) &gt; 0,$B91 &amp; "(" &amp; $E91 &amp; ")",IF(SUMPRODUCT(-- ISNUMBER(SEARCH({"Formula","Roll-Up Summary"}, $B91))) &gt; 0,$B91 &amp; " (" &amp; $E91 &amp; ")",IF(SUMPRODUCT(-- ISNUMBER(SEARCH({"Content","Currency","Number","Percent","Text","URL"}, $B91))) &gt; 0,$B91 &amp; "(" &amp; $C91 &amp; ")",$B91)))), "  ", TRIM(IF($S91 = "YES", "(External ID)", "") &amp; " " &amp; IF(SUMPRODUCT(-- ISNUMBER(SEARCH({"Unique","Unique Case Insensitive"}, $R91))) &gt; 0, "(" &amp; $R91 &amp; ")", ""))))</f>
        <v>na</v>
      </c>
      <c r="E91" s="7" t="s">
        <v>195</v>
      </c>
      <c r="F91" s="7" t="s">
        <v>195</v>
      </c>
      <c r="G91" s="7" t="s">
        <v>195</v>
      </c>
      <c r="H91" s="7" t="s">
        <v>195</v>
      </c>
      <c r="I91" s="7" t="s">
        <v>195</v>
      </c>
      <c r="J91" s="7" t="s">
        <v>195</v>
      </c>
      <c r="K91" s="7" t="s">
        <v>195</v>
      </c>
      <c r="L91" s="7" t="s">
        <v>195</v>
      </c>
      <c r="M91" s="7" t="s">
        <v>29</v>
      </c>
      <c r="N91" s="7" t="s">
        <v>29</v>
      </c>
      <c r="O91" s="7" t="s">
        <v>29</v>
      </c>
      <c r="P91" s="7" t="s">
        <v>29</v>
      </c>
      <c r="Q91" s="7" t="s">
        <v>29</v>
      </c>
      <c r="R91" s="7" t="s">
        <v>29</v>
      </c>
      <c r="S91" s="7" t="s">
        <v>29</v>
      </c>
    </row>
    <row r="92" spans="2:19">
      <c r="B92" s="7" t="s">
        <v>195</v>
      </c>
      <c r="C92" s="8" t="s">
        <v>195</v>
      </c>
      <c r="D92" s="6" t="str">
        <f>LRTRIM(CONCATENATE(IF(SUMPRODUCT(-- ISNUMBER(SEARCH({"Auto Number"}, $B92))) &gt; 0, $B92, IF(SUMPRODUCT(-- ISNUMBER(SEARCH({"Lookup","Master-Detail"}, $B92))) &gt; 0,$B92 &amp; "(" &amp; $E92 &amp; ")",IF(SUMPRODUCT(-- ISNUMBER(SEARCH({"Formula","Roll-Up Summary"}, $B92))) &gt; 0,$B92 &amp; " (" &amp; $E92 &amp; ")",IF(SUMPRODUCT(-- ISNUMBER(SEARCH({"Content","Currency","Number","Percent","Text","URL"}, $B92))) &gt; 0,$B92 &amp; "(" &amp; $C92 &amp; ")",$B92)))), "  ", TRIM(IF($S92 = "YES", "(External ID)", "") &amp; " " &amp; IF(SUMPRODUCT(-- ISNUMBER(SEARCH({"Unique","Unique Case Insensitive"}, $R92))) &gt; 0, "(" &amp; $R92 &amp; ")", ""))))</f>
        <v>na</v>
      </c>
      <c r="E92" s="7" t="s">
        <v>195</v>
      </c>
      <c r="F92" s="7" t="s">
        <v>195</v>
      </c>
      <c r="G92" s="7" t="s">
        <v>195</v>
      </c>
      <c r="H92" s="7" t="s">
        <v>195</v>
      </c>
      <c r="I92" s="7" t="s">
        <v>195</v>
      </c>
      <c r="J92" s="7" t="s">
        <v>195</v>
      </c>
      <c r="K92" s="7" t="s">
        <v>195</v>
      </c>
      <c r="L92" s="7" t="s">
        <v>195</v>
      </c>
      <c r="M92" s="7" t="s">
        <v>29</v>
      </c>
      <c r="N92" s="7" t="s">
        <v>29</v>
      </c>
      <c r="O92" s="7" t="s">
        <v>29</v>
      </c>
      <c r="P92" s="7" t="s">
        <v>29</v>
      </c>
      <c r="Q92" s="7" t="s">
        <v>29</v>
      </c>
      <c r="R92" s="7" t="s">
        <v>29</v>
      </c>
      <c r="S92" s="7" t="s">
        <v>29</v>
      </c>
    </row>
    <row r="93" spans="2:19">
      <c r="B93" s="7" t="s">
        <v>195</v>
      </c>
      <c r="C93" s="8" t="s">
        <v>195</v>
      </c>
      <c r="D93" s="6" t="str">
        <f>LRTRIM(CONCATENATE(IF(SUMPRODUCT(-- ISNUMBER(SEARCH({"Auto Number"}, $B93))) &gt; 0, $B93, IF(SUMPRODUCT(-- ISNUMBER(SEARCH({"Lookup","Master-Detail"}, $B93))) &gt; 0,$B93 &amp; "(" &amp; $E93 &amp; ")",IF(SUMPRODUCT(-- ISNUMBER(SEARCH({"Formula","Roll-Up Summary"}, $B93))) &gt; 0,$B93 &amp; " (" &amp; $E93 &amp; ")",IF(SUMPRODUCT(-- ISNUMBER(SEARCH({"Content","Currency","Number","Percent","Text","URL"}, $B93))) &gt; 0,$B93 &amp; "(" &amp; $C93 &amp; ")",$B93)))), "  ", TRIM(IF($S93 = "YES", "(External ID)", "") &amp; " " &amp; IF(SUMPRODUCT(-- ISNUMBER(SEARCH({"Unique","Unique Case Insensitive"}, $R93))) &gt; 0, "(" &amp; $R93 &amp; ")", ""))))</f>
        <v>na</v>
      </c>
      <c r="E93" s="7" t="s">
        <v>195</v>
      </c>
      <c r="F93" s="7" t="s">
        <v>195</v>
      </c>
      <c r="G93" s="7" t="s">
        <v>195</v>
      </c>
      <c r="H93" s="7" t="s">
        <v>195</v>
      </c>
      <c r="I93" s="7" t="s">
        <v>195</v>
      </c>
      <c r="J93" s="7" t="s">
        <v>195</v>
      </c>
      <c r="K93" s="7" t="s">
        <v>195</v>
      </c>
      <c r="L93" s="7" t="s">
        <v>195</v>
      </c>
      <c r="M93" s="7" t="s">
        <v>29</v>
      </c>
      <c r="N93" s="7" t="s">
        <v>29</v>
      </c>
      <c r="O93" s="7" t="s">
        <v>29</v>
      </c>
      <c r="P93" s="7" t="s">
        <v>29</v>
      </c>
      <c r="Q93" s="7" t="s">
        <v>29</v>
      </c>
      <c r="R93" s="7" t="s">
        <v>29</v>
      </c>
      <c r="S93" s="7" t="s">
        <v>29</v>
      </c>
    </row>
    <row r="94" spans="2:19">
      <c r="B94" s="7" t="s">
        <v>195</v>
      </c>
      <c r="C94" s="8" t="s">
        <v>195</v>
      </c>
      <c r="D94" s="6" t="str">
        <f>LRTRIM(CONCATENATE(IF(SUMPRODUCT(-- ISNUMBER(SEARCH({"Auto Number"}, $B94))) &gt; 0, $B94, IF(SUMPRODUCT(-- ISNUMBER(SEARCH({"Lookup","Master-Detail"}, $B94))) &gt; 0,$B94 &amp; "(" &amp; $E94 &amp; ")",IF(SUMPRODUCT(-- ISNUMBER(SEARCH({"Formula","Roll-Up Summary"}, $B94))) &gt; 0,$B94 &amp; " (" &amp; $E94 &amp; ")",IF(SUMPRODUCT(-- ISNUMBER(SEARCH({"Content","Currency","Number","Percent","Text","URL"}, $B94))) &gt; 0,$B94 &amp; "(" &amp; $C94 &amp; ")",$B94)))), "  ", TRIM(IF($S94 = "YES", "(External ID)", "") &amp; " " &amp; IF(SUMPRODUCT(-- ISNUMBER(SEARCH({"Unique","Unique Case Insensitive"}, $R94))) &gt; 0, "(" &amp; $R94 &amp; ")", ""))))</f>
        <v>na</v>
      </c>
      <c r="E94" s="7" t="s">
        <v>195</v>
      </c>
      <c r="F94" s="7" t="s">
        <v>195</v>
      </c>
      <c r="G94" s="7" t="s">
        <v>195</v>
      </c>
      <c r="H94" s="7" t="s">
        <v>195</v>
      </c>
      <c r="I94" s="7" t="s">
        <v>195</v>
      </c>
      <c r="J94" s="7" t="s">
        <v>195</v>
      </c>
      <c r="K94" s="7" t="s">
        <v>195</v>
      </c>
      <c r="L94" s="7" t="s">
        <v>195</v>
      </c>
      <c r="M94" s="7" t="s">
        <v>29</v>
      </c>
      <c r="N94" s="7" t="s">
        <v>29</v>
      </c>
      <c r="O94" s="7" t="s">
        <v>29</v>
      </c>
      <c r="P94" s="7" t="s">
        <v>29</v>
      </c>
      <c r="Q94" s="7" t="s">
        <v>29</v>
      </c>
      <c r="R94" s="7" t="s">
        <v>29</v>
      </c>
      <c r="S94" s="7" t="s">
        <v>29</v>
      </c>
    </row>
    <row r="95" spans="2:19">
      <c r="B95" s="7" t="s">
        <v>195</v>
      </c>
      <c r="C95" s="8" t="s">
        <v>195</v>
      </c>
      <c r="D95" s="6" t="str">
        <f>LRTRIM(CONCATENATE(IF(SUMPRODUCT(-- ISNUMBER(SEARCH({"Auto Number"}, $B95))) &gt; 0, $B95, IF(SUMPRODUCT(-- ISNUMBER(SEARCH({"Lookup","Master-Detail"}, $B95))) &gt; 0,$B95 &amp; "(" &amp; $E95 &amp; ")",IF(SUMPRODUCT(-- ISNUMBER(SEARCH({"Formula","Roll-Up Summary"}, $B95))) &gt; 0,$B95 &amp; " (" &amp; $E95 &amp; ")",IF(SUMPRODUCT(-- ISNUMBER(SEARCH({"Content","Currency","Number","Percent","Text","URL"}, $B95))) &gt; 0,$B95 &amp; "(" &amp; $C95 &amp; ")",$B95)))), "  ", TRIM(IF($S95 = "YES", "(External ID)", "") &amp; " " &amp; IF(SUMPRODUCT(-- ISNUMBER(SEARCH({"Unique","Unique Case Insensitive"}, $R95))) &gt; 0, "(" &amp; $R95 &amp; ")", ""))))</f>
        <v>na</v>
      </c>
      <c r="E95" s="7" t="s">
        <v>195</v>
      </c>
      <c r="F95" s="7" t="s">
        <v>195</v>
      </c>
      <c r="G95" s="7" t="s">
        <v>195</v>
      </c>
      <c r="H95" s="7" t="s">
        <v>195</v>
      </c>
      <c r="I95" s="7" t="s">
        <v>195</v>
      </c>
      <c r="J95" s="7" t="s">
        <v>195</v>
      </c>
      <c r="K95" s="7" t="s">
        <v>195</v>
      </c>
      <c r="L95" s="7" t="s">
        <v>195</v>
      </c>
      <c r="M95" s="7" t="s">
        <v>29</v>
      </c>
      <c r="N95" s="7" t="s">
        <v>29</v>
      </c>
      <c r="O95" s="7" t="s">
        <v>29</v>
      </c>
      <c r="P95" s="7" t="s">
        <v>29</v>
      </c>
      <c r="Q95" s="7" t="s">
        <v>29</v>
      </c>
      <c r="R95" s="7" t="s">
        <v>29</v>
      </c>
      <c r="S95" s="7" t="s">
        <v>29</v>
      </c>
    </row>
    <row r="96" spans="2:19">
      <c r="B96" s="7" t="s">
        <v>195</v>
      </c>
      <c r="C96" s="8" t="s">
        <v>195</v>
      </c>
      <c r="D96" s="6" t="str">
        <f>LRTRIM(CONCATENATE(IF(SUMPRODUCT(-- ISNUMBER(SEARCH({"Auto Number"}, $B96))) &gt; 0, $B96, IF(SUMPRODUCT(-- ISNUMBER(SEARCH({"Lookup","Master-Detail"}, $B96))) &gt; 0,$B96 &amp; "(" &amp; $E96 &amp; ")",IF(SUMPRODUCT(-- ISNUMBER(SEARCH({"Formula","Roll-Up Summary"}, $B96))) &gt; 0,$B96 &amp; " (" &amp; $E96 &amp; ")",IF(SUMPRODUCT(-- ISNUMBER(SEARCH({"Content","Currency","Number","Percent","Text","URL"}, $B96))) &gt; 0,$B96 &amp; "(" &amp; $C96 &amp; ")",$B96)))), "  ", TRIM(IF($S96 = "YES", "(External ID)", "") &amp; " " &amp; IF(SUMPRODUCT(-- ISNUMBER(SEARCH({"Unique","Unique Case Insensitive"}, $R96))) &gt; 0, "(" &amp; $R96 &amp; ")", ""))))</f>
        <v>na</v>
      </c>
      <c r="E96" s="7" t="s">
        <v>195</v>
      </c>
      <c r="F96" s="7" t="s">
        <v>195</v>
      </c>
      <c r="G96" s="7" t="s">
        <v>195</v>
      </c>
      <c r="H96" s="7" t="s">
        <v>195</v>
      </c>
      <c r="I96" s="7" t="s">
        <v>195</v>
      </c>
      <c r="J96" s="7" t="s">
        <v>195</v>
      </c>
      <c r="K96" s="7" t="s">
        <v>195</v>
      </c>
      <c r="L96" s="7" t="s">
        <v>195</v>
      </c>
      <c r="M96" s="7" t="s">
        <v>29</v>
      </c>
      <c r="N96" s="7" t="s">
        <v>29</v>
      </c>
      <c r="O96" s="7" t="s">
        <v>29</v>
      </c>
      <c r="P96" s="7" t="s">
        <v>29</v>
      </c>
      <c r="Q96" s="7" t="s">
        <v>29</v>
      </c>
      <c r="R96" s="7" t="s">
        <v>29</v>
      </c>
      <c r="S96" s="7" t="s">
        <v>29</v>
      </c>
    </row>
    <row r="97" spans="2:19">
      <c r="B97" s="7" t="s">
        <v>195</v>
      </c>
      <c r="C97" s="8" t="s">
        <v>195</v>
      </c>
      <c r="D97" s="6" t="str">
        <f>LRTRIM(CONCATENATE(IF(SUMPRODUCT(-- ISNUMBER(SEARCH({"Auto Number"}, $B97))) &gt; 0, $B97, IF(SUMPRODUCT(-- ISNUMBER(SEARCH({"Lookup","Master-Detail"}, $B97))) &gt; 0,$B97 &amp; "(" &amp; $E97 &amp; ")",IF(SUMPRODUCT(-- ISNUMBER(SEARCH({"Formula","Roll-Up Summary"}, $B97))) &gt; 0,$B97 &amp; " (" &amp; $E97 &amp; ")",IF(SUMPRODUCT(-- ISNUMBER(SEARCH({"Content","Currency","Number","Percent","Text","URL"}, $B97))) &gt; 0,$B97 &amp; "(" &amp; $C97 &amp; ")",$B97)))), "  ", TRIM(IF($S97 = "YES", "(External ID)", "") &amp; " " &amp; IF(SUMPRODUCT(-- ISNUMBER(SEARCH({"Unique","Unique Case Insensitive"}, $R97))) &gt; 0, "(" &amp; $R97 &amp; ")", ""))))</f>
        <v>na</v>
      </c>
      <c r="E97" s="7" t="s">
        <v>195</v>
      </c>
      <c r="F97" s="7" t="s">
        <v>195</v>
      </c>
      <c r="G97" s="7" t="s">
        <v>195</v>
      </c>
      <c r="H97" s="7" t="s">
        <v>195</v>
      </c>
      <c r="I97" s="7" t="s">
        <v>195</v>
      </c>
      <c r="J97" s="7" t="s">
        <v>195</v>
      </c>
      <c r="K97" s="7" t="s">
        <v>195</v>
      </c>
      <c r="L97" s="7" t="s">
        <v>195</v>
      </c>
      <c r="M97" s="7" t="s">
        <v>29</v>
      </c>
      <c r="N97" s="7" t="s">
        <v>29</v>
      </c>
      <c r="O97" s="7" t="s">
        <v>29</v>
      </c>
      <c r="P97" s="7" t="s">
        <v>29</v>
      </c>
      <c r="Q97" s="7" t="s">
        <v>29</v>
      </c>
      <c r="R97" s="7" t="s">
        <v>29</v>
      </c>
      <c r="S97" s="7" t="s">
        <v>29</v>
      </c>
    </row>
    <row r="98" spans="2:19">
      <c r="B98" s="7" t="s">
        <v>195</v>
      </c>
      <c r="C98" s="8" t="s">
        <v>195</v>
      </c>
      <c r="D98" s="6" t="str">
        <f>LRTRIM(CONCATENATE(IF(SUMPRODUCT(-- ISNUMBER(SEARCH({"Auto Number"}, $B98))) &gt; 0, $B98, IF(SUMPRODUCT(-- ISNUMBER(SEARCH({"Lookup","Master-Detail"}, $B98))) &gt; 0,$B98 &amp; "(" &amp; $E98 &amp; ")",IF(SUMPRODUCT(-- ISNUMBER(SEARCH({"Formula","Roll-Up Summary"}, $B98))) &gt; 0,$B98 &amp; " (" &amp; $E98 &amp; ")",IF(SUMPRODUCT(-- ISNUMBER(SEARCH({"Content","Currency","Number","Percent","Text","URL"}, $B98))) &gt; 0,$B98 &amp; "(" &amp; $C98 &amp; ")",$B98)))), "  ", TRIM(IF($S98 = "YES", "(External ID)", "") &amp; " " &amp; IF(SUMPRODUCT(-- ISNUMBER(SEARCH({"Unique","Unique Case Insensitive"}, $R98))) &gt; 0, "(" &amp; $R98 &amp; ")", ""))))</f>
        <v>na</v>
      </c>
      <c r="E98" s="7" t="s">
        <v>195</v>
      </c>
      <c r="F98" s="7" t="s">
        <v>195</v>
      </c>
      <c r="G98" s="7" t="s">
        <v>195</v>
      </c>
      <c r="H98" s="7" t="s">
        <v>195</v>
      </c>
      <c r="I98" s="7" t="s">
        <v>195</v>
      </c>
      <c r="J98" s="7" t="s">
        <v>195</v>
      </c>
      <c r="K98" s="7" t="s">
        <v>195</v>
      </c>
      <c r="L98" s="7" t="s">
        <v>195</v>
      </c>
      <c r="M98" s="7" t="s">
        <v>29</v>
      </c>
      <c r="N98" s="7" t="s">
        <v>29</v>
      </c>
      <c r="O98" s="7" t="s">
        <v>29</v>
      </c>
      <c r="P98" s="7" t="s">
        <v>29</v>
      </c>
      <c r="Q98" s="7" t="s">
        <v>29</v>
      </c>
      <c r="R98" s="7" t="s">
        <v>29</v>
      </c>
      <c r="S98" s="7" t="s">
        <v>29</v>
      </c>
    </row>
    <row r="99" spans="2:19">
      <c r="B99" s="7" t="s">
        <v>195</v>
      </c>
      <c r="C99" s="8" t="s">
        <v>195</v>
      </c>
      <c r="D99" s="6" t="str">
        <f>LRTRIM(CONCATENATE(IF(SUMPRODUCT(-- ISNUMBER(SEARCH({"Auto Number"}, $B99))) &gt; 0, $B99, IF(SUMPRODUCT(-- ISNUMBER(SEARCH({"Lookup","Master-Detail"}, $B99))) &gt; 0,$B99 &amp; "(" &amp; $E99 &amp; ")",IF(SUMPRODUCT(-- ISNUMBER(SEARCH({"Formula","Roll-Up Summary"}, $B99))) &gt; 0,$B99 &amp; " (" &amp; $E99 &amp; ")",IF(SUMPRODUCT(-- ISNUMBER(SEARCH({"Content","Currency","Number","Percent","Text","URL"}, $B99))) &gt; 0,$B99 &amp; "(" &amp; $C99 &amp; ")",$B99)))), "  ", TRIM(IF($S99 = "YES", "(External ID)", "") &amp; " " &amp; IF(SUMPRODUCT(-- ISNUMBER(SEARCH({"Unique","Unique Case Insensitive"}, $R99))) &gt; 0, "(" &amp; $R99 &amp; ")", ""))))</f>
        <v>na</v>
      </c>
      <c r="E99" s="7" t="s">
        <v>195</v>
      </c>
      <c r="F99" s="7" t="s">
        <v>195</v>
      </c>
      <c r="G99" s="7" t="s">
        <v>195</v>
      </c>
      <c r="H99" s="7" t="s">
        <v>195</v>
      </c>
      <c r="I99" s="7" t="s">
        <v>195</v>
      </c>
      <c r="J99" s="7" t="s">
        <v>195</v>
      </c>
      <c r="K99" s="7" t="s">
        <v>195</v>
      </c>
      <c r="L99" s="7" t="s">
        <v>195</v>
      </c>
      <c r="M99" s="7" t="s">
        <v>29</v>
      </c>
      <c r="N99" s="7" t="s">
        <v>29</v>
      </c>
      <c r="O99" s="7" t="s">
        <v>29</v>
      </c>
      <c r="P99" s="7" t="s">
        <v>29</v>
      </c>
      <c r="Q99" s="7" t="s">
        <v>29</v>
      </c>
      <c r="R99" s="7" t="s">
        <v>29</v>
      </c>
      <c r="S99" s="7" t="s">
        <v>29</v>
      </c>
    </row>
    <row r="100" spans="2:19">
      <c r="B100" s="7" t="s">
        <v>195</v>
      </c>
      <c r="C100" s="8" t="s">
        <v>195</v>
      </c>
      <c r="D100" s="6" t="str">
        <f>LRTRIM(CONCATENATE(IF(SUMPRODUCT(-- ISNUMBER(SEARCH({"Auto Number"}, $B100))) &gt; 0, $B100, IF(SUMPRODUCT(-- ISNUMBER(SEARCH({"Lookup","Master-Detail"}, $B100))) &gt; 0,$B100 &amp; "(" &amp; $E100 &amp; ")",IF(SUMPRODUCT(-- ISNUMBER(SEARCH({"Formula","Roll-Up Summary"}, $B100))) &gt; 0,$B100 &amp; " (" &amp; $E100 &amp; ")",IF(SUMPRODUCT(-- ISNUMBER(SEARCH({"Content","Currency","Number","Percent","Text","URL"}, $B100))) &gt; 0,$B100 &amp; "(" &amp; $C100 &amp; ")",$B100)))), "  ", TRIM(IF($S100 = "YES", "(External ID)", "") &amp; " " &amp; IF(SUMPRODUCT(-- ISNUMBER(SEARCH({"Unique","Unique Case Insensitive"}, $R100))) &gt; 0, "(" &amp; $R100 &amp; ")", ""))))</f>
        <v>na</v>
      </c>
      <c r="E100" s="7" t="s">
        <v>195</v>
      </c>
      <c r="F100" s="7" t="s">
        <v>195</v>
      </c>
      <c r="G100" s="7" t="s">
        <v>195</v>
      </c>
      <c r="H100" s="7" t="s">
        <v>195</v>
      </c>
      <c r="I100" s="7" t="s">
        <v>195</v>
      </c>
      <c r="J100" s="7" t="s">
        <v>195</v>
      </c>
      <c r="K100" s="7" t="s">
        <v>195</v>
      </c>
      <c r="L100" s="7" t="s">
        <v>195</v>
      </c>
      <c r="M100" s="7" t="s">
        <v>29</v>
      </c>
      <c r="N100" s="7" t="s">
        <v>29</v>
      </c>
      <c r="O100" s="7" t="s">
        <v>29</v>
      </c>
      <c r="P100" s="7" t="s">
        <v>29</v>
      </c>
      <c r="Q100" s="7" t="s">
        <v>29</v>
      </c>
      <c r="R100" s="7" t="s">
        <v>29</v>
      </c>
      <c r="S100" s="7" t="s">
        <v>29</v>
      </c>
    </row>
    <row r="101" spans="2:19">
      <c r="B101" s="7" t="s">
        <v>195</v>
      </c>
      <c r="C101" s="8" t="s">
        <v>195</v>
      </c>
      <c r="D101" s="6" t="str">
        <f>LRTRIM(CONCATENATE(IF(SUMPRODUCT(-- ISNUMBER(SEARCH({"Auto Number"}, $B101))) &gt; 0, $B101, IF(SUMPRODUCT(-- ISNUMBER(SEARCH({"Lookup","Master-Detail"}, $B101))) &gt; 0,$B101 &amp; "(" &amp; $E101 &amp; ")",IF(SUMPRODUCT(-- ISNUMBER(SEARCH({"Formula","Roll-Up Summary"}, $B101))) &gt; 0,$B101 &amp; " (" &amp; $E101 &amp; ")",IF(SUMPRODUCT(-- ISNUMBER(SEARCH({"Content","Currency","Number","Percent","Text","URL"}, $B101))) &gt; 0,$B101 &amp; "(" &amp; $C101 &amp; ")",$B101)))), "  ", TRIM(IF($S101 = "YES", "(External ID)", "") &amp; " " &amp; IF(SUMPRODUCT(-- ISNUMBER(SEARCH({"Unique","Unique Case Insensitive"}, $R101))) &gt; 0, "(" &amp; $R101 &amp; ")", ""))))</f>
        <v>na</v>
      </c>
      <c r="E101" s="7" t="s">
        <v>195</v>
      </c>
      <c r="F101" s="7" t="s">
        <v>195</v>
      </c>
      <c r="G101" s="7" t="s">
        <v>195</v>
      </c>
      <c r="H101" s="7" t="s">
        <v>195</v>
      </c>
      <c r="I101" s="7" t="s">
        <v>195</v>
      </c>
      <c r="J101" s="7" t="s">
        <v>195</v>
      </c>
      <c r="K101" s="7" t="s">
        <v>195</v>
      </c>
      <c r="L101" s="7" t="s">
        <v>195</v>
      </c>
      <c r="M101" s="7" t="s">
        <v>29</v>
      </c>
      <c r="N101" s="7" t="s">
        <v>29</v>
      </c>
      <c r="O101" s="7" t="s">
        <v>29</v>
      </c>
      <c r="P101" s="7" t="s">
        <v>29</v>
      </c>
      <c r="Q101" s="7" t="s">
        <v>29</v>
      </c>
      <c r="R101" s="7" t="s">
        <v>29</v>
      </c>
      <c r="S101" s="7" t="s">
        <v>29</v>
      </c>
    </row>
    <row r="102" spans="2:19">
      <c r="B102" s="7" t="s">
        <v>195</v>
      </c>
      <c r="C102" s="8" t="s">
        <v>195</v>
      </c>
      <c r="D102" s="6" t="str">
        <f>LRTRIM(CONCATENATE(IF(SUMPRODUCT(-- ISNUMBER(SEARCH({"Auto Number"}, $B102))) &gt; 0, $B102, IF(SUMPRODUCT(-- ISNUMBER(SEARCH({"Lookup","Master-Detail"}, $B102))) &gt; 0,$B102 &amp; "(" &amp; $E102 &amp; ")",IF(SUMPRODUCT(-- ISNUMBER(SEARCH({"Formula","Roll-Up Summary"}, $B102))) &gt; 0,$B102 &amp; " (" &amp; $E102 &amp; ")",IF(SUMPRODUCT(-- ISNUMBER(SEARCH({"Content","Currency","Number","Percent","Text","URL"}, $B102))) &gt; 0,$B102 &amp; "(" &amp; $C102 &amp; ")",$B102)))), "  ", TRIM(IF($S102 = "YES", "(External ID)", "") &amp; " " &amp; IF(SUMPRODUCT(-- ISNUMBER(SEARCH({"Unique","Unique Case Insensitive"}, $R102))) &gt; 0, "(" &amp; $R102 &amp; ")", ""))))</f>
        <v>na</v>
      </c>
      <c r="E102" s="7" t="s">
        <v>195</v>
      </c>
      <c r="F102" s="7" t="s">
        <v>195</v>
      </c>
      <c r="G102" s="7" t="s">
        <v>195</v>
      </c>
      <c r="H102" s="7" t="s">
        <v>195</v>
      </c>
      <c r="I102" s="7" t="s">
        <v>195</v>
      </c>
      <c r="J102" s="7" t="s">
        <v>195</v>
      </c>
      <c r="K102" s="7" t="s">
        <v>195</v>
      </c>
      <c r="L102" s="7" t="s">
        <v>195</v>
      </c>
      <c r="M102" s="7" t="s">
        <v>29</v>
      </c>
      <c r="N102" s="7" t="s">
        <v>29</v>
      </c>
      <c r="O102" s="7" t="s">
        <v>29</v>
      </c>
      <c r="P102" s="7" t="s">
        <v>29</v>
      </c>
      <c r="Q102" s="7" t="s">
        <v>29</v>
      </c>
      <c r="R102" s="7" t="s">
        <v>29</v>
      </c>
      <c r="S102" s="7" t="s">
        <v>29</v>
      </c>
    </row>
    <row r="103" spans="2:19">
      <c r="B103" s="7" t="s">
        <v>195</v>
      </c>
      <c r="C103" s="8" t="s">
        <v>195</v>
      </c>
      <c r="D103" s="6" t="str">
        <f>LRTRIM(CONCATENATE(IF(SUMPRODUCT(-- ISNUMBER(SEARCH({"Auto Number"}, $B103))) &gt; 0, $B103, IF(SUMPRODUCT(-- ISNUMBER(SEARCH({"Lookup","Master-Detail"}, $B103))) &gt; 0,$B103 &amp; "(" &amp; $E103 &amp; ")",IF(SUMPRODUCT(-- ISNUMBER(SEARCH({"Formula","Roll-Up Summary"}, $B103))) &gt; 0,$B103 &amp; " (" &amp; $E103 &amp; ")",IF(SUMPRODUCT(-- ISNUMBER(SEARCH({"Content","Currency","Number","Percent","Text","URL"}, $B103))) &gt; 0,$B103 &amp; "(" &amp; $C103 &amp; ")",$B103)))), "  ", TRIM(IF($S103 = "YES", "(External ID)", "") &amp; " " &amp; IF(SUMPRODUCT(-- ISNUMBER(SEARCH({"Unique","Unique Case Insensitive"}, $R103))) &gt; 0, "(" &amp; $R103 &amp; ")", ""))))</f>
        <v>na</v>
      </c>
      <c r="E103" s="7" t="s">
        <v>195</v>
      </c>
      <c r="F103" s="7" t="s">
        <v>195</v>
      </c>
      <c r="G103" s="7" t="s">
        <v>195</v>
      </c>
      <c r="H103" s="7" t="s">
        <v>195</v>
      </c>
      <c r="I103" s="7" t="s">
        <v>195</v>
      </c>
      <c r="J103" s="7" t="s">
        <v>195</v>
      </c>
      <c r="K103" s="7" t="s">
        <v>195</v>
      </c>
      <c r="L103" s="7" t="s">
        <v>195</v>
      </c>
      <c r="M103" s="7" t="s">
        <v>29</v>
      </c>
      <c r="N103" s="7" t="s">
        <v>29</v>
      </c>
      <c r="O103" s="7" t="s">
        <v>29</v>
      </c>
      <c r="P103" s="7" t="s">
        <v>29</v>
      </c>
      <c r="Q103" s="7" t="s">
        <v>29</v>
      </c>
      <c r="R103" s="7" t="s">
        <v>29</v>
      </c>
      <c r="S103" s="7" t="s">
        <v>29</v>
      </c>
    </row>
    <row r="104" spans="2:19">
      <c r="B104" s="7" t="s">
        <v>195</v>
      </c>
      <c r="C104" s="8" t="s">
        <v>195</v>
      </c>
      <c r="D104" s="6" t="str">
        <f>LRTRIM(CONCATENATE(IF(SUMPRODUCT(-- ISNUMBER(SEARCH({"Auto Number"}, $B104))) &gt; 0, $B104, IF(SUMPRODUCT(-- ISNUMBER(SEARCH({"Lookup","Master-Detail"}, $B104))) &gt; 0,$B104 &amp; "(" &amp; $E104 &amp; ")",IF(SUMPRODUCT(-- ISNUMBER(SEARCH({"Formula","Roll-Up Summary"}, $B104))) &gt; 0,$B104 &amp; " (" &amp; $E104 &amp; ")",IF(SUMPRODUCT(-- ISNUMBER(SEARCH({"Content","Currency","Number","Percent","Text","URL"}, $B104))) &gt; 0,$B104 &amp; "(" &amp; $C104 &amp; ")",$B104)))), "  ", TRIM(IF($S104 = "YES", "(External ID)", "") &amp; " " &amp; IF(SUMPRODUCT(-- ISNUMBER(SEARCH({"Unique","Unique Case Insensitive"}, $R104))) &gt; 0, "(" &amp; $R104 &amp; ")", ""))))</f>
        <v>na</v>
      </c>
      <c r="E104" s="7" t="s">
        <v>195</v>
      </c>
      <c r="F104" s="7" t="s">
        <v>195</v>
      </c>
      <c r="G104" s="7" t="s">
        <v>195</v>
      </c>
      <c r="H104" s="7" t="s">
        <v>195</v>
      </c>
      <c r="I104" s="7" t="s">
        <v>195</v>
      </c>
      <c r="J104" s="7" t="s">
        <v>195</v>
      </c>
      <c r="K104" s="7" t="s">
        <v>195</v>
      </c>
      <c r="L104" s="7" t="s">
        <v>195</v>
      </c>
      <c r="M104" s="7" t="s">
        <v>29</v>
      </c>
      <c r="N104" s="7" t="s">
        <v>29</v>
      </c>
      <c r="O104" s="7" t="s">
        <v>29</v>
      </c>
      <c r="P104" s="7" t="s">
        <v>29</v>
      </c>
      <c r="Q104" s="7" t="s">
        <v>29</v>
      </c>
      <c r="R104" s="7" t="s">
        <v>29</v>
      </c>
      <c r="S104" s="7" t="s">
        <v>29</v>
      </c>
    </row>
    <row r="105" spans="2:19">
      <c r="B105" s="7" t="s">
        <v>195</v>
      </c>
      <c r="C105" s="8" t="s">
        <v>195</v>
      </c>
      <c r="D105" s="6" t="str">
        <f>LRTRIM(CONCATENATE(IF(SUMPRODUCT(-- ISNUMBER(SEARCH({"Auto Number"}, $B105))) &gt; 0, $B105, IF(SUMPRODUCT(-- ISNUMBER(SEARCH({"Lookup","Master-Detail"}, $B105))) &gt; 0,$B105 &amp; "(" &amp; $E105 &amp; ")",IF(SUMPRODUCT(-- ISNUMBER(SEARCH({"Formula","Roll-Up Summary"}, $B105))) &gt; 0,$B105 &amp; " (" &amp; $E105 &amp; ")",IF(SUMPRODUCT(-- ISNUMBER(SEARCH({"Content","Currency","Number","Percent","Text","URL"}, $B105))) &gt; 0,$B105 &amp; "(" &amp; $C105 &amp; ")",$B105)))), "  ", TRIM(IF($S105 = "YES", "(External ID)", "") &amp; " " &amp; IF(SUMPRODUCT(-- ISNUMBER(SEARCH({"Unique","Unique Case Insensitive"}, $R105))) &gt; 0, "(" &amp; $R105 &amp; ")", ""))))</f>
        <v>na</v>
      </c>
      <c r="E105" s="7" t="s">
        <v>195</v>
      </c>
      <c r="F105" s="7" t="s">
        <v>195</v>
      </c>
      <c r="G105" s="7" t="s">
        <v>195</v>
      </c>
      <c r="H105" s="7" t="s">
        <v>195</v>
      </c>
      <c r="I105" s="7" t="s">
        <v>195</v>
      </c>
      <c r="J105" s="7" t="s">
        <v>195</v>
      </c>
      <c r="K105" s="7" t="s">
        <v>195</v>
      </c>
      <c r="L105" s="7" t="s">
        <v>195</v>
      </c>
      <c r="M105" s="7" t="s">
        <v>29</v>
      </c>
      <c r="N105" s="7" t="s">
        <v>29</v>
      </c>
      <c r="O105" s="7" t="s">
        <v>29</v>
      </c>
      <c r="P105" s="7" t="s">
        <v>29</v>
      </c>
      <c r="Q105" s="7" t="s">
        <v>29</v>
      </c>
      <c r="R105" s="7" t="s">
        <v>29</v>
      </c>
      <c r="S105" s="7" t="s">
        <v>29</v>
      </c>
    </row>
    <row r="106" spans="2:19">
      <c r="B106" s="7" t="s">
        <v>195</v>
      </c>
      <c r="C106" s="8" t="s">
        <v>195</v>
      </c>
      <c r="D106" s="6" t="str">
        <f>LRTRIM(CONCATENATE(IF(SUMPRODUCT(-- ISNUMBER(SEARCH({"Auto Number"}, $B106))) &gt; 0, $B106, IF(SUMPRODUCT(-- ISNUMBER(SEARCH({"Lookup","Master-Detail"}, $B106))) &gt; 0,$B106 &amp; "(" &amp; $E106 &amp; ")",IF(SUMPRODUCT(-- ISNUMBER(SEARCH({"Formula","Roll-Up Summary"}, $B106))) &gt; 0,$B106 &amp; " (" &amp; $E106 &amp; ")",IF(SUMPRODUCT(-- ISNUMBER(SEARCH({"Content","Currency","Number","Percent","Text","URL"}, $B106))) &gt; 0,$B106 &amp; "(" &amp; $C106 &amp; ")",$B106)))), "  ", TRIM(IF($S106 = "YES", "(External ID)", "") &amp; " " &amp; IF(SUMPRODUCT(-- ISNUMBER(SEARCH({"Unique","Unique Case Insensitive"}, $R106))) &gt; 0, "(" &amp; $R106 &amp; ")", ""))))</f>
        <v>na</v>
      </c>
      <c r="E106" s="7" t="s">
        <v>195</v>
      </c>
      <c r="F106" s="7" t="s">
        <v>195</v>
      </c>
      <c r="G106" s="7" t="s">
        <v>195</v>
      </c>
      <c r="H106" s="7" t="s">
        <v>195</v>
      </c>
      <c r="I106" s="7" t="s">
        <v>195</v>
      </c>
      <c r="J106" s="7" t="s">
        <v>195</v>
      </c>
      <c r="K106" s="7" t="s">
        <v>195</v>
      </c>
      <c r="L106" s="7" t="s">
        <v>195</v>
      </c>
      <c r="M106" s="7" t="s">
        <v>29</v>
      </c>
      <c r="N106" s="7" t="s">
        <v>29</v>
      </c>
      <c r="O106" s="7" t="s">
        <v>29</v>
      </c>
      <c r="P106" s="7" t="s">
        <v>29</v>
      </c>
      <c r="Q106" s="7" t="s">
        <v>29</v>
      </c>
      <c r="R106" s="7" t="s">
        <v>29</v>
      </c>
      <c r="S106" s="7" t="s">
        <v>29</v>
      </c>
    </row>
    <row r="107" spans="2:19">
      <c r="B107" s="7" t="s">
        <v>195</v>
      </c>
      <c r="C107" s="8" t="s">
        <v>195</v>
      </c>
      <c r="D107" s="6" t="str">
        <f>LRTRIM(CONCATENATE(IF(SUMPRODUCT(-- ISNUMBER(SEARCH({"Auto Number"}, $B107))) &gt; 0, $B107, IF(SUMPRODUCT(-- ISNUMBER(SEARCH({"Lookup","Master-Detail"}, $B107))) &gt; 0,$B107 &amp; "(" &amp; $E107 &amp; ")",IF(SUMPRODUCT(-- ISNUMBER(SEARCH({"Formula","Roll-Up Summary"}, $B107))) &gt; 0,$B107 &amp; " (" &amp; $E107 &amp; ")",IF(SUMPRODUCT(-- ISNUMBER(SEARCH({"Content","Currency","Number","Percent","Text","URL"}, $B107))) &gt; 0,$B107 &amp; "(" &amp; $C107 &amp; ")",$B107)))), "  ", TRIM(IF($S107 = "YES", "(External ID)", "") &amp; " " &amp; IF(SUMPRODUCT(-- ISNUMBER(SEARCH({"Unique","Unique Case Insensitive"}, $R107))) &gt; 0, "(" &amp; $R107 &amp; ")", ""))))</f>
        <v>na</v>
      </c>
      <c r="E107" s="7" t="s">
        <v>195</v>
      </c>
      <c r="F107" s="7" t="s">
        <v>195</v>
      </c>
      <c r="G107" s="7" t="s">
        <v>195</v>
      </c>
      <c r="H107" s="7" t="s">
        <v>195</v>
      </c>
      <c r="I107" s="7" t="s">
        <v>195</v>
      </c>
      <c r="J107" s="7" t="s">
        <v>195</v>
      </c>
      <c r="K107" s="7" t="s">
        <v>195</v>
      </c>
      <c r="L107" s="7" t="s">
        <v>195</v>
      </c>
      <c r="M107" s="7" t="s">
        <v>29</v>
      </c>
      <c r="N107" s="7" t="s">
        <v>29</v>
      </c>
      <c r="O107" s="7" t="s">
        <v>29</v>
      </c>
      <c r="P107" s="7" t="s">
        <v>29</v>
      </c>
      <c r="Q107" s="7" t="s">
        <v>29</v>
      </c>
      <c r="R107" s="7" t="s">
        <v>29</v>
      </c>
      <c r="S107" s="7" t="s">
        <v>29</v>
      </c>
    </row>
    <row r="108" spans="2:19">
      <c r="B108" s="7" t="s">
        <v>195</v>
      </c>
      <c r="C108" s="8" t="s">
        <v>195</v>
      </c>
      <c r="D108" s="6" t="str">
        <f>LRTRIM(CONCATENATE(IF(SUMPRODUCT(-- ISNUMBER(SEARCH({"Auto Number"}, $B108))) &gt; 0, $B108, IF(SUMPRODUCT(-- ISNUMBER(SEARCH({"Lookup","Master-Detail"}, $B108))) &gt; 0,$B108 &amp; "(" &amp; $E108 &amp; ")",IF(SUMPRODUCT(-- ISNUMBER(SEARCH({"Formula","Roll-Up Summary"}, $B108))) &gt; 0,$B108 &amp; " (" &amp; $E108 &amp; ")",IF(SUMPRODUCT(-- ISNUMBER(SEARCH({"Content","Currency","Number","Percent","Text","URL"}, $B108))) &gt; 0,$B108 &amp; "(" &amp; $C108 &amp; ")",$B108)))), "  ", TRIM(IF($S108 = "YES", "(External ID)", "") &amp; " " &amp; IF(SUMPRODUCT(-- ISNUMBER(SEARCH({"Unique","Unique Case Insensitive"}, $R108))) &gt; 0, "(" &amp; $R108 &amp; ")", ""))))</f>
        <v>na</v>
      </c>
      <c r="E108" s="7" t="s">
        <v>195</v>
      </c>
      <c r="F108" s="7" t="s">
        <v>195</v>
      </c>
      <c r="G108" s="7" t="s">
        <v>195</v>
      </c>
      <c r="H108" s="7" t="s">
        <v>195</v>
      </c>
      <c r="I108" s="7" t="s">
        <v>195</v>
      </c>
      <c r="J108" s="7" t="s">
        <v>195</v>
      </c>
      <c r="K108" s="7" t="s">
        <v>195</v>
      </c>
      <c r="L108" s="7" t="s">
        <v>195</v>
      </c>
      <c r="M108" s="7" t="s">
        <v>29</v>
      </c>
      <c r="N108" s="7" t="s">
        <v>29</v>
      </c>
      <c r="O108" s="7" t="s">
        <v>29</v>
      </c>
      <c r="P108" s="7" t="s">
        <v>29</v>
      </c>
      <c r="Q108" s="7" t="s">
        <v>29</v>
      </c>
      <c r="R108" s="7" t="s">
        <v>29</v>
      </c>
      <c r="S108" s="7" t="s">
        <v>29</v>
      </c>
    </row>
    <row r="109" spans="2:19">
      <c r="B109" s="7" t="s">
        <v>195</v>
      </c>
      <c r="C109" s="8" t="s">
        <v>195</v>
      </c>
      <c r="D109" s="6" t="str">
        <f>LRTRIM(CONCATENATE(IF(SUMPRODUCT(-- ISNUMBER(SEARCH({"Auto Number"}, $B109))) &gt; 0, $B109, IF(SUMPRODUCT(-- ISNUMBER(SEARCH({"Lookup","Master-Detail"}, $B109))) &gt; 0,$B109 &amp; "(" &amp; $E109 &amp; ")",IF(SUMPRODUCT(-- ISNUMBER(SEARCH({"Formula","Roll-Up Summary"}, $B109))) &gt; 0,$B109 &amp; " (" &amp; $E109 &amp; ")",IF(SUMPRODUCT(-- ISNUMBER(SEARCH({"Content","Currency","Number","Percent","Text","URL"}, $B109))) &gt; 0,$B109 &amp; "(" &amp; $C109 &amp; ")",$B109)))), "  ", TRIM(IF($S109 = "YES", "(External ID)", "") &amp; " " &amp; IF(SUMPRODUCT(-- ISNUMBER(SEARCH({"Unique","Unique Case Insensitive"}, $R109))) &gt; 0, "(" &amp; $R109 &amp; ")", ""))))</f>
        <v>na</v>
      </c>
      <c r="E109" s="7" t="s">
        <v>195</v>
      </c>
      <c r="F109" s="7" t="s">
        <v>195</v>
      </c>
      <c r="G109" s="7" t="s">
        <v>195</v>
      </c>
      <c r="H109" s="7" t="s">
        <v>195</v>
      </c>
      <c r="I109" s="7" t="s">
        <v>195</v>
      </c>
      <c r="J109" s="7" t="s">
        <v>195</v>
      </c>
      <c r="K109" s="7" t="s">
        <v>195</v>
      </c>
      <c r="L109" s="7" t="s">
        <v>195</v>
      </c>
      <c r="M109" s="7" t="s">
        <v>29</v>
      </c>
      <c r="N109" s="7" t="s">
        <v>29</v>
      </c>
      <c r="O109" s="7" t="s">
        <v>29</v>
      </c>
      <c r="P109" s="7" t="s">
        <v>29</v>
      </c>
      <c r="Q109" s="7" t="s">
        <v>29</v>
      </c>
      <c r="R109" s="7" t="s">
        <v>29</v>
      </c>
      <c r="S109" s="7" t="s">
        <v>29</v>
      </c>
    </row>
    <row r="110" spans="2:19">
      <c r="B110" s="7" t="s">
        <v>195</v>
      </c>
      <c r="C110" s="8" t="s">
        <v>195</v>
      </c>
      <c r="D110" s="6" t="str">
        <f>LRTRIM(CONCATENATE(IF(SUMPRODUCT(-- ISNUMBER(SEARCH({"Auto Number"}, $B110))) &gt; 0, $B110, IF(SUMPRODUCT(-- ISNUMBER(SEARCH({"Lookup","Master-Detail"}, $B110))) &gt; 0,$B110 &amp; "(" &amp; $E110 &amp; ")",IF(SUMPRODUCT(-- ISNUMBER(SEARCH({"Formula","Roll-Up Summary"}, $B110))) &gt; 0,$B110 &amp; " (" &amp; $E110 &amp; ")",IF(SUMPRODUCT(-- ISNUMBER(SEARCH({"Content","Currency","Number","Percent","Text","URL"}, $B110))) &gt; 0,$B110 &amp; "(" &amp; $C110 &amp; ")",$B110)))), "  ", TRIM(IF($S110 = "YES", "(External ID)", "") &amp; " " &amp; IF(SUMPRODUCT(-- ISNUMBER(SEARCH({"Unique","Unique Case Insensitive"}, $R110))) &gt; 0, "(" &amp; $R110 &amp; ")", ""))))</f>
        <v>na</v>
      </c>
      <c r="E110" s="7" t="s">
        <v>195</v>
      </c>
      <c r="F110" s="7" t="s">
        <v>195</v>
      </c>
      <c r="G110" s="7" t="s">
        <v>195</v>
      </c>
      <c r="H110" s="7" t="s">
        <v>195</v>
      </c>
      <c r="I110" s="7" t="s">
        <v>195</v>
      </c>
      <c r="J110" s="7" t="s">
        <v>195</v>
      </c>
      <c r="K110" s="7" t="s">
        <v>195</v>
      </c>
      <c r="L110" s="7" t="s">
        <v>195</v>
      </c>
      <c r="M110" s="7" t="s">
        <v>29</v>
      </c>
      <c r="N110" s="7" t="s">
        <v>29</v>
      </c>
      <c r="O110" s="7" t="s">
        <v>29</v>
      </c>
      <c r="P110" s="7" t="s">
        <v>29</v>
      </c>
      <c r="Q110" s="7" t="s">
        <v>29</v>
      </c>
      <c r="R110" s="7" t="s">
        <v>29</v>
      </c>
      <c r="S110" s="7" t="s">
        <v>29</v>
      </c>
    </row>
    <row r="111" spans="2:19">
      <c r="B111" s="7" t="s">
        <v>195</v>
      </c>
      <c r="C111" s="8" t="s">
        <v>195</v>
      </c>
      <c r="D111" s="6" t="str">
        <f>LRTRIM(CONCATENATE(IF(SUMPRODUCT(-- ISNUMBER(SEARCH({"Auto Number"}, $B111))) &gt; 0, $B111, IF(SUMPRODUCT(-- ISNUMBER(SEARCH({"Lookup","Master-Detail"}, $B111))) &gt; 0,$B111 &amp; "(" &amp; $E111 &amp; ")",IF(SUMPRODUCT(-- ISNUMBER(SEARCH({"Formula","Roll-Up Summary"}, $B111))) &gt; 0,$B111 &amp; " (" &amp; $E111 &amp; ")",IF(SUMPRODUCT(-- ISNUMBER(SEARCH({"Content","Currency","Number","Percent","Text","URL"}, $B111))) &gt; 0,$B111 &amp; "(" &amp; $C111 &amp; ")",$B111)))), "  ", TRIM(IF($S111 = "YES", "(External ID)", "") &amp; " " &amp; IF(SUMPRODUCT(-- ISNUMBER(SEARCH({"Unique","Unique Case Insensitive"}, $R111))) &gt; 0, "(" &amp; $R111 &amp; ")", ""))))</f>
        <v>na</v>
      </c>
      <c r="E111" s="7" t="s">
        <v>195</v>
      </c>
      <c r="F111" s="7" t="s">
        <v>195</v>
      </c>
      <c r="G111" s="7" t="s">
        <v>195</v>
      </c>
      <c r="H111" s="7" t="s">
        <v>195</v>
      </c>
      <c r="I111" s="7" t="s">
        <v>195</v>
      </c>
      <c r="J111" s="7" t="s">
        <v>195</v>
      </c>
      <c r="K111" s="7" t="s">
        <v>195</v>
      </c>
      <c r="L111" s="7" t="s">
        <v>195</v>
      </c>
      <c r="M111" s="7" t="s">
        <v>29</v>
      </c>
      <c r="N111" s="7" t="s">
        <v>29</v>
      </c>
      <c r="O111" s="7" t="s">
        <v>29</v>
      </c>
      <c r="P111" s="7" t="s">
        <v>29</v>
      </c>
      <c r="Q111" s="7" t="s">
        <v>29</v>
      </c>
      <c r="R111" s="7" t="s">
        <v>29</v>
      </c>
      <c r="S111" s="7" t="s">
        <v>29</v>
      </c>
    </row>
    <row r="112" spans="2:19">
      <c r="B112" s="7" t="s">
        <v>195</v>
      </c>
      <c r="C112" s="8" t="s">
        <v>195</v>
      </c>
      <c r="D112" s="6" t="str">
        <f>LRTRIM(CONCATENATE(IF(SUMPRODUCT(-- ISNUMBER(SEARCH({"Auto Number"}, $B112))) &gt; 0, $B112, IF(SUMPRODUCT(-- ISNUMBER(SEARCH({"Lookup","Master-Detail"}, $B112))) &gt; 0,$B112 &amp; "(" &amp; $E112 &amp; ")",IF(SUMPRODUCT(-- ISNUMBER(SEARCH({"Formula","Roll-Up Summary"}, $B112))) &gt; 0,$B112 &amp; " (" &amp; $E112 &amp; ")",IF(SUMPRODUCT(-- ISNUMBER(SEARCH({"Content","Currency","Number","Percent","Text","URL"}, $B112))) &gt; 0,$B112 &amp; "(" &amp; $C112 &amp; ")",$B112)))), "  ", TRIM(IF($S112 = "YES", "(External ID)", "") &amp; " " &amp; IF(SUMPRODUCT(-- ISNUMBER(SEARCH({"Unique","Unique Case Insensitive"}, $R112))) &gt; 0, "(" &amp; $R112 &amp; ")", ""))))</f>
        <v>na</v>
      </c>
      <c r="E112" s="7" t="s">
        <v>195</v>
      </c>
      <c r="F112" s="7" t="s">
        <v>195</v>
      </c>
      <c r="G112" s="7" t="s">
        <v>195</v>
      </c>
      <c r="H112" s="7" t="s">
        <v>195</v>
      </c>
      <c r="I112" s="7" t="s">
        <v>195</v>
      </c>
      <c r="J112" s="7" t="s">
        <v>195</v>
      </c>
      <c r="K112" s="7" t="s">
        <v>195</v>
      </c>
      <c r="L112" s="7" t="s">
        <v>195</v>
      </c>
      <c r="M112" s="7" t="s">
        <v>29</v>
      </c>
      <c r="N112" s="7" t="s">
        <v>29</v>
      </c>
      <c r="O112" s="7" t="s">
        <v>29</v>
      </c>
      <c r="P112" s="7" t="s">
        <v>29</v>
      </c>
      <c r="Q112" s="7" t="s">
        <v>29</v>
      </c>
      <c r="R112" s="7" t="s">
        <v>29</v>
      </c>
      <c r="S112" s="7" t="s">
        <v>29</v>
      </c>
    </row>
    <row r="113" spans="2:19">
      <c r="B113" s="7" t="s">
        <v>195</v>
      </c>
      <c r="C113" s="8" t="s">
        <v>195</v>
      </c>
      <c r="D113" s="6" t="str">
        <f>LRTRIM(CONCATENATE(IF(SUMPRODUCT(-- ISNUMBER(SEARCH({"Auto Number"}, $B113))) &gt; 0, $B113, IF(SUMPRODUCT(-- ISNUMBER(SEARCH({"Lookup","Master-Detail"}, $B113))) &gt; 0,$B113 &amp; "(" &amp; $E113 &amp; ")",IF(SUMPRODUCT(-- ISNUMBER(SEARCH({"Formula","Roll-Up Summary"}, $B113))) &gt; 0,$B113 &amp; " (" &amp; $E113 &amp; ")",IF(SUMPRODUCT(-- ISNUMBER(SEARCH({"Content","Currency","Number","Percent","Text","URL"}, $B113))) &gt; 0,$B113 &amp; "(" &amp; $C113 &amp; ")",$B113)))), "  ", TRIM(IF($S113 = "YES", "(External ID)", "") &amp; " " &amp; IF(SUMPRODUCT(-- ISNUMBER(SEARCH({"Unique","Unique Case Insensitive"}, $R113))) &gt; 0, "(" &amp; $R113 &amp; ")", ""))))</f>
        <v>na</v>
      </c>
      <c r="E113" s="7" t="s">
        <v>195</v>
      </c>
      <c r="F113" s="7" t="s">
        <v>195</v>
      </c>
      <c r="G113" s="7" t="s">
        <v>195</v>
      </c>
      <c r="H113" s="7" t="s">
        <v>195</v>
      </c>
      <c r="I113" s="7" t="s">
        <v>195</v>
      </c>
      <c r="J113" s="7" t="s">
        <v>195</v>
      </c>
      <c r="K113" s="7" t="s">
        <v>195</v>
      </c>
      <c r="L113" s="7" t="s">
        <v>195</v>
      </c>
      <c r="M113" s="7" t="s">
        <v>29</v>
      </c>
      <c r="N113" s="7" t="s">
        <v>29</v>
      </c>
      <c r="O113" s="7" t="s">
        <v>29</v>
      </c>
      <c r="P113" s="7" t="s">
        <v>29</v>
      </c>
      <c r="Q113" s="7" t="s">
        <v>29</v>
      </c>
      <c r="R113" s="7" t="s">
        <v>29</v>
      </c>
      <c r="S113" s="7" t="s">
        <v>29</v>
      </c>
    </row>
    <row r="114" spans="2:19">
      <c r="B114" s="7" t="s">
        <v>195</v>
      </c>
      <c r="C114" s="8" t="s">
        <v>195</v>
      </c>
      <c r="D114" s="6" t="str">
        <f>LRTRIM(CONCATENATE(IF(SUMPRODUCT(-- ISNUMBER(SEARCH({"Auto Number"}, $B114))) &gt; 0, $B114, IF(SUMPRODUCT(-- ISNUMBER(SEARCH({"Lookup","Master-Detail"}, $B114))) &gt; 0,$B114 &amp; "(" &amp; $E114 &amp; ")",IF(SUMPRODUCT(-- ISNUMBER(SEARCH({"Formula","Roll-Up Summary"}, $B114))) &gt; 0,$B114 &amp; " (" &amp; $E114 &amp; ")",IF(SUMPRODUCT(-- ISNUMBER(SEARCH({"Content","Currency","Number","Percent","Text","URL"}, $B114))) &gt; 0,$B114 &amp; "(" &amp; $C114 &amp; ")",$B114)))), "  ", TRIM(IF($S114 = "YES", "(External ID)", "") &amp; " " &amp; IF(SUMPRODUCT(-- ISNUMBER(SEARCH({"Unique","Unique Case Insensitive"}, $R114))) &gt; 0, "(" &amp; $R114 &amp; ")", ""))))</f>
        <v>na</v>
      </c>
      <c r="E114" s="7" t="s">
        <v>195</v>
      </c>
      <c r="F114" s="7" t="s">
        <v>195</v>
      </c>
      <c r="G114" s="7" t="s">
        <v>195</v>
      </c>
      <c r="H114" s="7" t="s">
        <v>195</v>
      </c>
      <c r="I114" s="7" t="s">
        <v>195</v>
      </c>
      <c r="J114" s="7" t="s">
        <v>195</v>
      </c>
      <c r="K114" s="7" t="s">
        <v>195</v>
      </c>
      <c r="L114" s="7" t="s">
        <v>195</v>
      </c>
      <c r="M114" s="7" t="s">
        <v>29</v>
      </c>
      <c r="N114" s="7" t="s">
        <v>29</v>
      </c>
      <c r="O114" s="7" t="s">
        <v>29</v>
      </c>
      <c r="P114" s="7" t="s">
        <v>29</v>
      </c>
      <c r="Q114" s="7" t="s">
        <v>29</v>
      </c>
      <c r="R114" s="7" t="s">
        <v>29</v>
      </c>
      <c r="S114" s="7" t="s">
        <v>29</v>
      </c>
    </row>
    <row r="115" spans="2:19">
      <c r="B115" s="7" t="s">
        <v>195</v>
      </c>
      <c r="C115" s="8" t="s">
        <v>195</v>
      </c>
      <c r="D115" s="6" t="str">
        <f>LRTRIM(CONCATENATE(IF(SUMPRODUCT(-- ISNUMBER(SEARCH({"Auto Number"}, $B115))) &gt; 0, $B115, IF(SUMPRODUCT(-- ISNUMBER(SEARCH({"Lookup","Master-Detail"}, $B115))) &gt; 0,$B115 &amp; "(" &amp; $E115 &amp; ")",IF(SUMPRODUCT(-- ISNUMBER(SEARCH({"Formula","Roll-Up Summary"}, $B115))) &gt; 0,$B115 &amp; " (" &amp; $E115 &amp; ")",IF(SUMPRODUCT(-- ISNUMBER(SEARCH({"Content","Currency","Number","Percent","Text","URL"}, $B115))) &gt; 0,$B115 &amp; "(" &amp; $C115 &amp; ")",$B115)))), "  ", TRIM(IF($S115 = "YES", "(External ID)", "") &amp; " " &amp; IF(SUMPRODUCT(-- ISNUMBER(SEARCH({"Unique","Unique Case Insensitive"}, $R115))) &gt; 0, "(" &amp; $R115 &amp; ")", ""))))</f>
        <v>na</v>
      </c>
      <c r="E115" s="7" t="s">
        <v>195</v>
      </c>
      <c r="F115" s="7" t="s">
        <v>195</v>
      </c>
      <c r="G115" s="7" t="s">
        <v>195</v>
      </c>
      <c r="H115" s="7" t="s">
        <v>195</v>
      </c>
      <c r="I115" s="7" t="s">
        <v>195</v>
      </c>
      <c r="J115" s="7" t="s">
        <v>195</v>
      </c>
      <c r="K115" s="7" t="s">
        <v>195</v>
      </c>
      <c r="L115" s="7" t="s">
        <v>195</v>
      </c>
      <c r="M115" s="7" t="s">
        <v>29</v>
      </c>
      <c r="N115" s="7" t="s">
        <v>29</v>
      </c>
      <c r="O115" s="7" t="s">
        <v>29</v>
      </c>
      <c r="P115" s="7" t="s">
        <v>29</v>
      </c>
      <c r="Q115" s="7" t="s">
        <v>29</v>
      </c>
      <c r="R115" s="7" t="s">
        <v>29</v>
      </c>
      <c r="S115" s="7" t="s">
        <v>29</v>
      </c>
    </row>
    <row r="116" spans="2:19">
      <c r="B116" s="7" t="s">
        <v>195</v>
      </c>
      <c r="C116" s="8" t="s">
        <v>195</v>
      </c>
      <c r="D116" s="6" t="str">
        <f>LRTRIM(CONCATENATE(IF(SUMPRODUCT(-- ISNUMBER(SEARCH({"Auto Number"}, $B116))) &gt; 0, $B116, IF(SUMPRODUCT(-- ISNUMBER(SEARCH({"Lookup","Master-Detail"}, $B116))) &gt; 0,$B116 &amp; "(" &amp; $E116 &amp; ")",IF(SUMPRODUCT(-- ISNUMBER(SEARCH({"Formula","Roll-Up Summary"}, $B116))) &gt; 0,$B116 &amp; " (" &amp; $E116 &amp; ")",IF(SUMPRODUCT(-- ISNUMBER(SEARCH({"Content","Currency","Number","Percent","Text","URL"}, $B116))) &gt; 0,$B116 &amp; "(" &amp; $C116 &amp; ")",$B116)))), "  ", TRIM(IF($S116 = "YES", "(External ID)", "") &amp; " " &amp; IF(SUMPRODUCT(-- ISNUMBER(SEARCH({"Unique","Unique Case Insensitive"}, $R116))) &gt; 0, "(" &amp; $R116 &amp; ")", ""))))</f>
        <v>na</v>
      </c>
      <c r="E116" s="7" t="s">
        <v>195</v>
      </c>
      <c r="F116" s="7" t="s">
        <v>195</v>
      </c>
      <c r="G116" s="7" t="s">
        <v>195</v>
      </c>
      <c r="H116" s="7" t="s">
        <v>195</v>
      </c>
      <c r="I116" s="7" t="s">
        <v>195</v>
      </c>
      <c r="J116" s="7" t="s">
        <v>195</v>
      </c>
      <c r="K116" s="7" t="s">
        <v>195</v>
      </c>
      <c r="L116" s="7" t="s">
        <v>195</v>
      </c>
      <c r="M116" s="7" t="s">
        <v>29</v>
      </c>
      <c r="N116" s="7" t="s">
        <v>29</v>
      </c>
      <c r="O116" s="7" t="s">
        <v>29</v>
      </c>
      <c r="P116" s="7" t="s">
        <v>29</v>
      </c>
      <c r="Q116" s="7" t="s">
        <v>29</v>
      </c>
      <c r="R116" s="7" t="s">
        <v>29</v>
      </c>
      <c r="S116" s="7" t="s">
        <v>29</v>
      </c>
    </row>
    <row r="117" spans="2:19">
      <c r="B117" s="7" t="s">
        <v>195</v>
      </c>
      <c r="C117" s="8" t="s">
        <v>195</v>
      </c>
      <c r="D117" s="6" t="str">
        <f>LRTRIM(CONCATENATE(IF(SUMPRODUCT(-- ISNUMBER(SEARCH({"Auto Number"}, $B117))) &gt; 0, $B117, IF(SUMPRODUCT(-- ISNUMBER(SEARCH({"Lookup","Master-Detail"}, $B117))) &gt; 0,$B117 &amp; "(" &amp; $E117 &amp; ")",IF(SUMPRODUCT(-- ISNUMBER(SEARCH({"Formula","Roll-Up Summary"}, $B117))) &gt; 0,$B117 &amp; " (" &amp; $E117 &amp; ")",IF(SUMPRODUCT(-- ISNUMBER(SEARCH({"Content","Currency","Number","Percent","Text","URL"}, $B117))) &gt; 0,$B117 &amp; "(" &amp; $C117 &amp; ")",$B117)))), "  ", TRIM(IF($S117 = "YES", "(External ID)", "") &amp; " " &amp; IF(SUMPRODUCT(-- ISNUMBER(SEARCH({"Unique","Unique Case Insensitive"}, $R117))) &gt; 0, "(" &amp; $R117 &amp; ")", ""))))</f>
        <v>na</v>
      </c>
      <c r="E117" s="7" t="s">
        <v>195</v>
      </c>
      <c r="F117" s="7" t="s">
        <v>195</v>
      </c>
      <c r="G117" s="7" t="s">
        <v>195</v>
      </c>
      <c r="H117" s="7" t="s">
        <v>195</v>
      </c>
      <c r="I117" s="7" t="s">
        <v>195</v>
      </c>
      <c r="J117" s="7" t="s">
        <v>195</v>
      </c>
      <c r="K117" s="7" t="s">
        <v>195</v>
      </c>
      <c r="L117" s="7" t="s">
        <v>195</v>
      </c>
      <c r="M117" s="7" t="s">
        <v>29</v>
      </c>
      <c r="N117" s="7" t="s">
        <v>29</v>
      </c>
      <c r="O117" s="7" t="s">
        <v>29</v>
      </c>
      <c r="P117" s="7" t="s">
        <v>29</v>
      </c>
      <c r="Q117" s="7" t="s">
        <v>29</v>
      </c>
      <c r="R117" s="7" t="s">
        <v>29</v>
      </c>
      <c r="S117" s="7" t="s">
        <v>29</v>
      </c>
    </row>
    <row r="118" spans="2:19">
      <c r="B118" s="7" t="s">
        <v>195</v>
      </c>
      <c r="C118" s="8" t="s">
        <v>195</v>
      </c>
      <c r="D118" s="6" t="str">
        <f>LRTRIM(CONCATENATE(IF(SUMPRODUCT(-- ISNUMBER(SEARCH({"Auto Number"}, $B118))) &gt; 0, $B118, IF(SUMPRODUCT(-- ISNUMBER(SEARCH({"Lookup","Master-Detail"}, $B118))) &gt; 0,$B118 &amp; "(" &amp; $E118 &amp; ")",IF(SUMPRODUCT(-- ISNUMBER(SEARCH({"Formula","Roll-Up Summary"}, $B118))) &gt; 0,$B118 &amp; " (" &amp; $E118 &amp; ")",IF(SUMPRODUCT(-- ISNUMBER(SEARCH({"Content","Currency","Number","Percent","Text","URL"}, $B118))) &gt; 0,$B118 &amp; "(" &amp; $C118 &amp; ")",$B118)))), "  ", TRIM(IF($S118 = "YES", "(External ID)", "") &amp; " " &amp; IF(SUMPRODUCT(-- ISNUMBER(SEARCH({"Unique","Unique Case Insensitive"}, $R118))) &gt; 0, "(" &amp; $R118 &amp; ")", ""))))</f>
        <v>na</v>
      </c>
      <c r="E118" s="7" t="s">
        <v>195</v>
      </c>
      <c r="F118" s="7" t="s">
        <v>195</v>
      </c>
      <c r="G118" s="7" t="s">
        <v>195</v>
      </c>
      <c r="H118" s="7" t="s">
        <v>195</v>
      </c>
      <c r="I118" s="7" t="s">
        <v>195</v>
      </c>
      <c r="J118" s="7" t="s">
        <v>195</v>
      </c>
      <c r="K118" s="7" t="s">
        <v>195</v>
      </c>
      <c r="L118" s="7" t="s">
        <v>195</v>
      </c>
      <c r="M118" s="7" t="s">
        <v>29</v>
      </c>
      <c r="N118" s="7" t="s">
        <v>29</v>
      </c>
      <c r="O118" s="7" t="s">
        <v>29</v>
      </c>
      <c r="P118" s="7" t="s">
        <v>29</v>
      </c>
      <c r="Q118" s="7" t="s">
        <v>29</v>
      </c>
      <c r="R118" s="7" t="s">
        <v>29</v>
      </c>
      <c r="S118" s="7" t="s">
        <v>29</v>
      </c>
    </row>
    <row r="119" spans="2:19">
      <c r="B119" s="7" t="s">
        <v>195</v>
      </c>
      <c r="C119" s="8" t="s">
        <v>195</v>
      </c>
      <c r="D119" s="6" t="str">
        <f>LRTRIM(CONCATENATE(IF(SUMPRODUCT(-- ISNUMBER(SEARCH({"Auto Number"}, $B119))) &gt; 0, $B119, IF(SUMPRODUCT(-- ISNUMBER(SEARCH({"Lookup","Master-Detail"}, $B119))) &gt; 0,$B119 &amp; "(" &amp; $E119 &amp; ")",IF(SUMPRODUCT(-- ISNUMBER(SEARCH({"Formula","Roll-Up Summary"}, $B119))) &gt; 0,$B119 &amp; " (" &amp; $E119 &amp; ")",IF(SUMPRODUCT(-- ISNUMBER(SEARCH({"Content","Currency","Number","Percent","Text","URL"}, $B119))) &gt; 0,$B119 &amp; "(" &amp; $C119 &amp; ")",$B119)))), "  ", TRIM(IF($S119 = "YES", "(External ID)", "") &amp; " " &amp; IF(SUMPRODUCT(-- ISNUMBER(SEARCH({"Unique","Unique Case Insensitive"}, $R119))) &gt; 0, "(" &amp; $R119 &amp; ")", ""))))</f>
        <v>na</v>
      </c>
      <c r="E119" s="7" t="s">
        <v>195</v>
      </c>
      <c r="F119" s="7" t="s">
        <v>195</v>
      </c>
      <c r="G119" s="7" t="s">
        <v>195</v>
      </c>
      <c r="H119" s="7" t="s">
        <v>195</v>
      </c>
      <c r="I119" s="7" t="s">
        <v>195</v>
      </c>
      <c r="J119" s="7" t="s">
        <v>195</v>
      </c>
      <c r="K119" s="7" t="s">
        <v>195</v>
      </c>
      <c r="L119" s="7" t="s">
        <v>195</v>
      </c>
      <c r="M119" s="7" t="s">
        <v>29</v>
      </c>
      <c r="N119" s="7" t="s">
        <v>29</v>
      </c>
      <c r="O119" s="7" t="s">
        <v>29</v>
      </c>
      <c r="P119" s="7" t="s">
        <v>29</v>
      </c>
      <c r="Q119" s="7" t="s">
        <v>29</v>
      </c>
      <c r="R119" s="7" t="s">
        <v>29</v>
      </c>
      <c r="S119" s="7" t="s">
        <v>29</v>
      </c>
    </row>
    <row r="120" spans="2:19">
      <c r="B120" s="7" t="s">
        <v>195</v>
      </c>
      <c r="C120" s="8" t="s">
        <v>195</v>
      </c>
      <c r="D120" s="6" t="str">
        <f>LRTRIM(CONCATENATE(IF(SUMPRODUCT(-- ISNUMBER(SEARCH({"Auto Number"}, $B120))) &gt; 0, $B120, IF(SUMPRODUCT(-- ISNUMBER(SEARCH({"Lookup","Master-Detail"}, $B120))) &gt; 0,$B120 &amp; "(" &amp; $E120 &amp; ")",IF(SUMPRODUCT(-- ISNUMBER(SEARCH({"Formula","Roll-Up Summary"}, $B120))) &gt; 0,$B120 &amp; " (" &amp; $E120 &amp; ")",IF(SUMPRODUCT(-- ISNUMBER(SEARCH({"Content","Currency","Number","Percent","Text","URL"}, $B120))) &gt; 0,$B120 &amp; "(" &amp; $C120 &amp; ")",$B120)))), "  ", TRIM(IF($S120 = "YES", "(External ID)", "") &amp; " " &amp; IF(SUMPRODUCT(-- ISNUMBER(SEARCH({"Unique","Unique Case Insensitive"}, $R120))) &gt; 0, "(" &amp; $R120 &amp; ")", ""))))</f>
        <v>na</v>
      </c>
      <c r="E120" s="7" t="s">
        <v>195</v>
      </c>
      <c r="F120" s="7" t="s">
        <v>195</v>
      </c>
      <c r="G120" s="7" t="s">
        <v>195</v>
      </c>
      <c r="H120" s="7" t="s">
        <v>195</v>
      </c>
      <c r="I120" s="7" t="s">
        <v>195</v>
      </c>
      <c r="J120" s="7" t="s">
        <v>195</v>
      </c>
      <c r="K120" s="7" t="s">
        <v>195</v>
      </c>
      <c r="L120" s="7" t="s">
        <v>195</v>
      </c>
      <c r="M120" s="7" t="s">
        <v>29</v>
      </c>
      <c r="N120" s="7" t="s">
        <v>29</v>
      </c>
      <c r="O120" s="7" t="s">
        <v>29</v>
      </c>
      <c r="P120" s="7" t="s">
        <v>29</v>
      </c>
      <c r="Q120" s="7" t="s">
        <v>29</v>
      </c>
      <c r="R120" s="7" t="s">
        <v>29</v>
      </c>
      <c r="S120" s="7" t="s">
        <v>29</v>
      </c>
    </row>
    <row r="121" spans="2:19">
      <c r="B121" s="7" t="s">
        <v>195</v>
      </c>
      <c r="C121" s="8" t="s">
        <v>195</v>
      </c>
      <c r="D121" s="6" t="str">
        <f>LRTRIM(CONCATENATE(IF(SUMPRODUCT(-- ISNUMBER(SEARCH({"Auto Number"}, $B121))) &gt; 0, $B121, IF(SUMPRODUCT(-- ISNUMBER(SEARCH({"Lookup","Master-Detail"}, $B121))) &gt; 0,$B121 &amp; "(" &amp; $E121 &amp; ")",IF(SUMPRODUCT(-- ISNUMBER(SEARCH({"Formula","Roll-Up Summary"}, $B121))) &gt; 0,$B121 &amp; " (" &amp; $E121 &amp; ")",IF(SUMPRODUCT(-- ISNUMBER(SEARCH({"Content","Currency","Number","Percent","Text","URL"}, $B121))) &gt; 0,$B121 &amp; "(" &amp; $C121 &amp; ")",$B121)))), "  ", TRIM(IF($S121 = "YES", "(External ID)", "") &amp; " " &amp; IF(SUMPRODUCT(-- ISNUMBER(SEARCH({"Unique","Unique Case Insensitive"}, $R121))) &gt; 0, "(" &amp; $R121 &amp; ")", ""))))</f>
        <v>na</v>
      </c>
      <c r="E121" s="7" t="s">
        <v>195</v>
      </c>
      <c r="F121" s="7" t="s">
        <v>195</v>
      </c>
      <c r="G121" s="7" t="s">
        <v>195</v>
      </c>
      <c r="H121" s="7" t="s">
        <v>195</v>
      </c>
      <c r="I121" s="7" t="s">
        <v>195</v>
      </c>
      <c r="J121" s="7" t="s">
        <v>195</v>
      </c>
      <c r="K121" s="7" t="s">
        <v>195</v>
      </c>
      <c r="L121" s="7" t="s">
        <v>195</v>
      </c>
      <c r="M121" s="7" t="s">
        <v>29</v>
      </c>
      <c r="N121" s="7" t="s">
        <v>29</v>
      </c>
      <c r="O121" s="7" t="s">
        <v>29</v>
      </c>
      <c r="P121" s="7" t="s">
        <v>29</v>
      </c>
      <c r="Q121" s="7" t="s">
        <v>29</v>
      </c>
      <c r="R121" s="7" t="s">
        <v>29</v>
      </c>
      <c r="S121" s="7" t="s">
        <v>29</v>
      </c>
    </row>
    <row r="122" spans="2:19">
      <c r="B122" s="7" t="s">
        <v>195</v>
      </c>
      <c r="C122" s="8" t="s">
        <v>195</v>
      </c>
      <c r="D122" s="6" t="str">
        <f>LRTRIM(CONCATENATE(IF(SUMPRODUCT(-- ISNUMBER(SEARCH({"Auto Number"}, $B122))) &gt; 0, $B122, IF(SUMPRODUCT(-- ISNUMBER(SEARCH({"Lookup","Master-Detail"}, $B122))) &gt; 0,$B122 &amp; "(" &amp; $E122 &amp; ")",IF(SUMPRODUCT(-- ISNUMBER(SEARCH({"Formula","Roll-Up Summary"}, $B122))) &gt; 0,$B122 &amp; " (" &amp; $E122 &amp; ")",IF(SUMPRODUCT(-- ISNUMBER(SEARCH({"Content","Currency","Number","Percent","Text","URL"}, $B122))) &gt; 0,$B122 &amp; "(" &amp; $C122 &amp; ")",$B122)))), "  ", TRIM(IF($S122 = "YES", "(External ID)", "") &amp; " " &amp; IF(SUMPRODUCT(-- ISNUMBER(SEARCH({"Unique","Unique Case Insensitive"}, $R122))) &gt; 0, "(" &amp; $R122 &amp; ")", ""))))</f>
        <v>na</v>
      </c>
      <c r="E122" s="7" t="s">
        <v>195</v>
      </c>
      <c r="F122" s="7" t="s">
        <v>195</v>
      </c>
      <c r="G122" s="7" t="s">
        <v>195</v>
      </c>
      <c r="H122" s="7" t="s">
        <v>195</v>
      </c>
      <c r="I122" s="7" t="s">
        <v>195</v>
      </c>
      <c r="J122" s="7" t="s">
        <v>195</v>
      </c>
      <c r="K122" s="7" t="s">
        <v>195</v>
      </c>
      <c r="L122" s="7" t="s">
        <v>195</v>
      </c>
      <c r="M122" s="7" t="s">
        <v>29</v>
      </c>
      <c r="N122" s="7" t="s">
        <v>29</v>
      </c>
      <c r="O122" s="7" t="s">
        <v>29</v>
      </c>
      <c r="P122" s="7" t="s">
        <v>29</v>
      </c>
      <c r="Q122" s="7" t="s">
        <v>29</v>
      </c>
      <c r="R122" s="7" t="s">
        <v>29</v>
      </c>
      <c r="S122" s="7" t="s">
        <v>29</v>
      </c>
    </row>
    <row r="123" spans="2:19">
      <c r="B123" s="7" t="s">
        <v>195</v>
      </c>
      <c r="C123" s="8" t="s">
        <v>195</v>
      </c>
      <c r="D123" s="6" t="str">
        <f>LRTRIM(CONCATENATE(IF(SUMPRODUCT(-- ISNUMBER(SEARCH({"Auto Number"}, $B123))) &gt; 0, $B123, IF(SUMPRODUCT(-- ISNUMBER(SEARCH({"Lookup","Master-Detail"}, $B123))) &gt; 0,$B123 &amp; "(" &amp; $E123 &amp; ")",IF(SUMPRODUCT(-- ISNUMBER(SEARCH({"Formula","Roll-Up Summary"}, $B123))) &gt; 0,$B123 &amp; " (" &amp; $E123 &amp; ")",IF(SUMPRODUCT(-- ISNUMBER(SEARCH({"Content","Currency","Number","Percent","Text","URL"}, $B123))) &gt; 0,$B123 &amp; "(" &amp; $C123 &amp; ")",$B123)))), "  ", TRIM(IF($S123 = "YES", "(External ID)", "") &amp; " " &amp; IF(SUMPRODUCT(-- ISNUMBER(SEARCH({"Unique","Unique Case Insensitive"}, $R123))) &gt; 0, "(" &amp; $R123 &amp; ")", ""))))</f>
        <v>na</v>
      </c>
      <c r="E123" s="7" t="s">
        <v>195</v>
      </c>
      <c r="F123" s="7" t="s">
        <v>195</v>
      </c>
      <c r="G123" s="7" t="s">
        <v>195</v>
      </c>
      <c r="H123" s="7" t="s">
        <v>195</v>
      </c>
      <c r="I123" s="7" t="s">
        <v>195</v>
      </c>
      <c r="J123" s="7" t="s">
        <v>195</v>
      </c>
      <c r="K123" s="7" t="s">
        <v>195</v>
      </c>
      <c r="L123" s="7" t="s">
        <v>195</v>
      </c>
      <c r="M123" s="7" t="s">
        <v>29</v>
      </c>
      <c r="N123" s="7" t="s">
        <v>29</v>
      </c>
      <c r="O123" s="7" t="s">
        <v>29</v>
      </c>
      <c r="P123" s="7" t="s">
        <v>29</v>
      </c>
      <c r="Q123" s="7" t="s">
        <v>29</v>
      </c>
      <c r="R123" s="7" t="s">
        <v>29</v>
      </c>
      <c r="S123" s="7" t="s">
        <v>29</v>
      </c>
    </row>
    <row r="124" spans="2:19">
      <c r="B124" s="7" t="s">
        <v>195</v>
      </c>
      <c r="C124" s="8" t="s">
        <v>195</v>
      </c>
      <c r="D124" s="6" t="str">
        <f>LRTRIM(CONCATENATE(IF(SUMPRODUCT(-- ISNUMBER(SEARCH({"Auto Number"}, $B124))) &gt; 0, $B124, IF(SUMPRODUCT(-- ISNUMBER(SEARCH({"Lookup","Master-Detail"}, $B124))) &gt; 0,$B124 &amp; "(" &amp; $E124 &amp; ")",IF(SUMPRODUCT(-- ISNUMBER(SEARCH({"Formula","Roll-Up Summary"}, $B124))) &gt; 0,$B124 &amp; " (" &amp; $E124 &amp; ")",IF(SUMPRODUCT(-- ISNUMBER(SEARCH({"Content","Currency","Number","Percent","Text","URL"}, $B124))) &gt; 0,$B124 &amp; "(" &amp; $C124 &amp; ")",$B124)))), "  ", TRIM(IF($S124 = "YES", "(External ID)", "") &amp; " " &amp; IF(SUMPRODUCT(-- ISNUMBER(SEARCH({"Unique","Unique Case Insensitive"}, $R124))) &gt; 0, "(" &amp; $R124 &amp; ")", ""))))</f>
        <v>na</v>
      </c>
      <c r="E124" s="7" t="s">
        <v>195</v>
      </c>
      <c r="F124" s="7" t="s">
        <v>195</v>
      </c>
      <c r="G124" s="7" t="s">
        <v>195</v>
      </c>
      <c r="H124" s="7" t="s">
        <v>195</v>
      </c>
      <c r="I124" s="7" t="s">
        <v>195</v>
      </c>
      <c r="J124" s="7" t="s">
        <v>195</v>
      </c>
      <c r="K124" s="7" t="s">
        <v>195</v>
      </c>
      <c r="L124" s="7" t="s">
        <v>195</v>
      </c>
      <c r="M124" s="7" t="s">
        <v>29</v>
      </c>
      <c r="N124" s="7" t="s">
        <v>29</v>
      </c>
      <c r="O124" s="7" t="s">
        <v>29</v>
      </c>
      <c r="P124" s="7" t="s">
        <v>29</v>
      </c>
      <c r="Q124" s="7" t="s">
        <v>29</v>
      </c>
      <c r="R124" s="7" t="s">
        <v>29</v>
      </c>
      <c r="S124" s="7" t="s">
        <v>29</v>
      </c>
    </row>
    <row r="125" spans="2:19">
      <c r="B125" s="7" t="s">
        <v>195</v>
      </c>
      <c r="C125" s="8" t="s">
        <v>195</v>
      </c>
      <c r="D125" s="6" t="str">
        <f>LRTRIM(CONCATENATE(IF(SUMPRODUCT(-- ISNUMBER(SEARCH({"Auto Number"}, $B125))) &gt; 0, $B125, IF(SUMPRODUCT(-- ISNUMBER(SEARCH({"Lookup","Master-Detail"}, $B125))) &gt; 0,$B125 &amp; "(" &amp; $E125 &amp; ")",IF(SUMPRODUCT(-- ISNUMBER(SEARCH({"Formula","Roll-Up Summary"}, $B125))) &gt; 0,$B125 &amp; " (" &amp; $E125 &amp; ")",IF(SUMPRODUCT(-- ISNUMBER(SEARCH({"Content","Currency","Number","Percent","Text","URL"}, $B125))) &gt; 0,$B125 &amp; "(" &amp; $C125 &amp; ")",$B125)))), "  ", TRIM(IF($S125 = "YES", "(External ID)", "") &amp; " " &amp; IF(SUMPRODUCT(-- ISNUMBER(SEARCH({"Unique","Unique Case Insensitive"}, $R125))) &gt; 0, "(" &amp; $R125 &amp; ")", ""))))</f>
        <v>na</v>
      </c>
      <c r="E125" s="7" t="s">
        <v>195</v>
      </c>
      <c r="F125" s="7" t="s">
        <v>195</v>
      </c>
      <c r="G125" s="7" t="s">
        <v>195</v>
      </c>
      <c r="H125" s="7" t="s">
        <v>195</v>
      </c>
      <c r="I125" s="7" t="s">
        <v>195</v>
      </c>
      <c r="J125" s="7" t="s">
        <v>195</v>
      </c>
      <c r="K125" s="7" t="s">
        <v>195</v>
      </c>
      <c r="L125" s="7" t="s">
        <v>195</v>
      </c>
      <c r="M125" s="7" t="s">
        <v>29</v>
      </c>
      <c r="N125" s="7" t="s">
        <v>29</v>
      </c>
      <c r="O125" s="7" t="s">
        <v>29</v>
      </c>
      <c r="P125" s="7" t="s">
        <v>29</v>
      </c>
      <c r="Q125" s="7" t="s">
        <v>29</v>
      </c>
      <c r="R125" s="7" t="s">
        <v>29</v>
      </c>
      <c r="S125" s="7" t="s">
        <v>29</v>
      </c>
    </row>
    <row r="126" spans="2:19">
      <c r="B126" s="7" t="s">
        <v>195</v>
      </c>
      <c r="C126" s="8" t="s">
        <v>195</v>
      </c>
      <c r="D126" s="6" t="str">
        <f>LRTRIM(CONCATENATE(IF(SUMPRODUCT(-- ISNUMBER(SEARCH({"Auto Number"}, $B126))) &gt; 0, $B126, IF(SUMPRODUCT(-- ISNUMBER(SEARCH({"Lookup","Master-Detail"}, $B126))) &gt; 0,$B126 &amp; "(" &amp; $E126 &amp; ")",IF(SUMPRODUCT(-- ISNUMBER(SEARCH({"Formula","Roll-Up Summary"}, $B126))) &gt; 0,$B126 &amp; " (" &amp; $E126 &amp; ")",IF(SUMPRODUCT(-- ISNUMBER(SEARCH({"Content","Currency","Number","Percent","Text","URL"}, $B126))) &gt; 0,$B126 &amp; "(" &amp; $C126 &amp; ")",$B126)))), "  ", TRIM(IF($S126 = "YES", "(External ID)", "") &amp; " " &amp; IF(SUMPRODUCT(-- ISNUMBER(SEARCH({"Unique","Unique Case Insensitive"}, $R126))) &gt; 0, "(" &amp; $R126 &amp; ")", ""))))</f>
        <v>na</v>
      </c>
      <c r="E126" s="7" t="s">
        <v>195</v>
      </c>
      <c r="F126" s="7" t="s">
        <v>195</v>
      </c>
      <c r="G126" s="7" t="s">
        <v>195</v>
      </c>
      <c r="H126" s="7" t="s">
        <v>195</v>
      </c>
      <c r="I126" s="7" t="s">
        <v>195</v>
      </c>
      <c r="J126" s="7" t="s">
        <v>195</v>
      </c>
      <c r="K126" s="7" t="s">
        <v>195</v>
      </c>
      <c r="L126" s="7" t="s">
        <v>195</v>
      </c>
      <c r="M126" s="7" t="s">
        <v>29</v>
      </c>
      <c r="N126" s="7" t="s">
        <v>29</v>
      </c>
      <c r="O126" s="7" t="s">
        <v>29</v>
      </c>
      <c r="P126" s="7" t="s">
        <v>29</v>
      </c>
      <c r="Q126" s="7" t="s">
        <v>29</v>
      </c>
      <c r="R126" s="7" t="s">
        <v>29</v>
      </c>
      <c r="S126" s="7" t="s">
        <v>29</v>
      </c>
    </row>
    <row r="127" spans="2:19">
      <c r="B127" s="7" t="s">
        <v>195</v>
      </c>
      <c r="C127" s="8" t="s">
        <v>195</v>
      </c>
      <c r="D127" s="6" t="str">
        <f>LRTRIM(CONCATENATE(IF(SUMPRODUCT(-- ISNUMBER(SEARCH({"Auto Number"}, $B127))) &gt; 0, $B127, IF(SUMPRODUCT(-- ISNUMBER(SEARCH({"Lookup","Master-Detail"}, $B127))) &gt; 0,$B127 &amp; "(" &amp; $E127 &amp; ")",IF(SUMPRODUCT(-- ISNUMBER(SEARCH({"Formula","Roll-Up Summary"}, $B127))) &gt; 0,$B127 &amp; " (" &amp; $E127 &amp; ")",IF(SUMPRODUCT(-- ISNUMBER(SEARCH({"Content","Currency","Number","Percent","Text","URL"}, $B127))) &gt; 0,$B127 &amp; "(" &amp; $C127 &amp; ")",$B127)))), "  ", TRIM(IF($S127 = "YES", "(External ID)", "") &amp; " " &amp; IF(SUMPRODUCT(-- ISNUMBER(SEARCH({"Unique","Unique Case Insensitive"}, $R127))) &gt; 0, "(" &amp; $R127 &amp; ")", ""))))</f>
        <v>na</v>
      </c>
      <c r="E127" s="7" t="s">
        <v>195</v>
      </c>
      <c r="F127" s="7" t="s">
        <v>195</v>
      </c>
      <c r="G127" s="7" t="s">
        <v>195</v>
      </c>
      <c r="H127" s="7" t="s">
        <v>195</v>
      </c>
      <c r="I127" s="7" t="s">
        <v>195</v>
      </c>
      <c r="J127" s="7" t="s">
        <v>195</v>
      </c>
      <c r="K127" s="7" t="s">
        <v>195</v>
      </c>
      <c r="L127" s="7" t="s">
        <v>195</v>
      </c>
      <c r="M127" s="7" t="s">
        <v>29</v>
      </c>
      <c r="N127" s="7" t="s">
        <v>29</v>
      </c>
      <c r="O127" s="7" t="s">
        <v>29</v>
      </c>
      <c r="P127" s="7" t="s">
        <v>29</v>
      </c>
      <c r="Q127" s="7" t="s">
        <v>29</v>
      </c>
      <c r="R127" s="7" t="s">
        <v>29</v>
      </c>
      <c r="S127" s="7" t="s">
        <v>29</v>
      </c>
    </row>
    <row r="128" spans="2:19">
      <c r="B128" s="7" t="s">
        <v>195</v>
      </c>
      <c r="C128" s="8" t="s">
        <v>195</v>
      </c>
      <c r="D128" s="6" t="str">
        <f>LRTRIM(CONCATENATE(IF(SUMPRODUCT(-- ISNUMBER(SEARCH({"Auto Number"}, $B128))) &gt; 0, $B128, IF(SUMPRODUCT(-- ISNUMBER(SEARCH({"Lookup","Master-Detail"}, $B128))) &gt; 0,$B128 &amp; "(" &amp; $E128 &amp; ")",IF(SUMPRODUCT(-- ISNUMBER(SEARCH({"Formula","Roll-Up Summary"}, $B128))) &gt; 0,$B128 &amp; " (" &amp; $E128 &amp; ")",IF(SUMPRODUCT(-- ISNUMBER(SEARCH({"Content","Currency","Number","Percent","Text","URL"}, $B128))) &gt; 0,$B128 &amp; "(" &amp; $C128 &amp; ")",$B128)))), "  ", TRIM(IF($S128 = "YES", "(External ID)", "") &amp; " " &amp; IF(SUMPRODUCT(-- ISNUMBER(SEARCH({"Unique","Unique Case Insensitive"}, $R128))) &gt; 0, "(" &amp; $R128 &amp; ")", ""))))</f>
        <v>na</v>
      </c>
      <c r="E128" s="7" t="s">
        <v>195</v>
      </c>
      <c r="F128" s="7" t="s">
        <v>195</v>
      </c>
      <c r="G128" s="7" t="s">
        <v>195</v>
      </c>
      <c r="H128" s="7" t="s">
        <v>195</v>
      </c>
      <c r="I128" s="7" t="s">
        <v>195</v>
      </c>
      <c r="J128" s="7" t="s">
        <v>195</v>
      </c>
      <c r="K128" s="7" t="s">
        <v>195</v>
      </c>
      <c r="L128" s="7" t="s">
        <v>195</v>
      </c>
      <c r="M128" s="7" t="s">
        <v>29</v>
      </c>
      <c r="N128" s="7" t="s">
        <v>29</v>
      </c>
      <c r="O128" s="7" t="s">
        <v>29</v>
      </c>
      <c r="P128" s="7" t="s">
        <v>29</v>
      </c>
      <c r="Q128" s="7" t="s">
        <v>29</v>
      </c>
      <c r="R128" s="7" t="s">
        <v>29</v>
      </c>
      <c r="S128" s="7" t="s">
        <v>29</v>
      </c>
    </row>
    <row r="129" spans="2:19">
      <c r="B129" s="7" t="s">
        <v>195</v>
      </c>
      <c r="C129" s="8" t="s">
        <v>195</v>
      </c>
      <c r="D129" s="6" t="str">
        <f>LRTRIM(CONCATENATE(IF(SUMPRODUCT(-- ISNUMBER(SEARCH({"Auto Number"}, $B129))) &gt; 0, $B129, IF(SUMPRODUCT(-- ISNUMBER(SEARCH({"Lookup","Master-Detail"}, $B129))) &gt; 0,$B129 &amp; "(" &amp; $E129 &amp; ")",IF(SUMPRODUCT(-- ISNUMBER(SEARCH({"Formula","Roll-Up Summary"}, $B129))) &gt; 0,$B129 &amp; " (" &amp; $E129 &amp; ")",IF(SUMPRODUCT(-- ISNUMBER(SEARCH({"Content","Currency","Number","Percent","Text","URL"}, $B129))) &gt; 0,$B129 &amp; "(" &amp; $C129 &amp; ")",$B129)))), "  ", TRIM(IF($S129 = "YES", "(External ID)", "") &amp; " " &amp; IF(SUMPRODUCT(-- ISNUMBER(SEARCH({"Unique","Unique Case Insensitive"}, $R129))) &gt; 0, "(" &amp; $R129 &amp; ")", ""))))</f>
        <v>na</v>
      </c>
      <c r="E129" s="7" t="s">
        <v>195</v>
      </c>
      <c r="F129" s="7" t="s">
        <v>195</v>
      </c>
      <c r="G129" s="7" t="s">
        <v>195</v>
      </c>
      <c r="H129" s="7" t="s">
        <v>195</v>
      </c>
      <c r="I129" s="7" t="s">
        <v>195</v>
      </c>
      <c r="J129" s="7" t="s">
        <v>195</v>
      </c>
      <c r="K129" s="7" t="s">
        <v>195</v>
      </c>
      <c r="L129" s="7" t="s">
        <v>195</v>
      </c>
      <c r="M129" s="7" t="s">
        <v>29</v>
      </c>
      <c r="N129" s="7" t="s">
        <v>29</v>
      </c>
      <c r="O129" s="7" t="s">
        <v>29</v>
      </c>
      <c r="P129" s="7" t="s">
        <v>29</v>
      </c>
      <c r="Q129" s="7" t="s">
        <v>29</v>
      </c>
      <c r="R129" s="7" t="s">
        <v>29</v>
      </c>
      <c r="S129" s="7" t="s">
        <v>29</v>
      </c>
    </row>
    <row r="130" spans="2:19">
      <c r="B130" s="7" t="s">
        <v>195</v>
      </c>
      <c r="C130" s="8" t="s">
        <v>195</v>
      </c>
      <c r="D130" s="6" t="str">
        <f>LRTRIM(CONCATENATE(IF(SUMPRODUCT(-- ISNUMBER(SEARCH({"Auto Number"}, $B130))) &gt; 0, $B130, IF(SUMPRODUCT(-- ISNUMBER(SEARCH({"Lookup","Master-Detail"}, $B130))) &gt; 0,$B130 &amp; "(" &amp; $E130 &amp; ")",IF(SUMPRODUCT(-- ISNUMBER(SEARCH({"Formula","Roll-Up Summary"}, $B130))) &gt; 0,$B130 &amp; " (" &amp; $E130 &amp; ")",IF(SUMPRODUCT(-- ISNUMBER(SEARCH({"Content","Currency","Number","Percent","Text","URL"}, $B130))) &gt; 0,$B130 &amp; "(" &amp; $C130 &amp; ")",$B130)))), "  ", TRIM(IF($S130 = "YES", "(External ID)", "") &amp; " " &amp; IF(SUMPRODUCT(-- ISNUMBER(SEARCH({"Unique","Unique Case Insensitive"}, $R130))) &gt; 0, "(" &amp; $R130 &amp; ")", ""))))</f>
        <v>na</v>
      </c>
      <c r="E130" s="7" t="s">
        <v>195</v>
      </c>
      <c r="F130" s="7" t="s">
        <v>195</v>
      </c>
      <c r="G130" s="7" t="s">
        <v>195</v>
      </c>
      <c r="H130" s="7" t="s">
        <v>195</v>
      </c>
      <c r="I130" s="7" t="s">
        <v>195</v>
      </c>
      <c r="J130" s="7" t="s">
        <v>195</v>
      </c>
      <c r="K130" s="7" t="s">
        <v>195</v>
      </c>
      <c r="L130" s="7" t="s">
        <v>195</v>
      </c>
      <c r="M130" s="7" t="s">
        <v>29</v>
      </c>
      <c r="N130" s="7" t="s">
        <v>29</v>
      </c>
      <c r="O130" s="7" t="s">
        <v>29</v>
      </c>
      <c r="P130" s="7" t="s">
        <v>29</v>
      </c>
      <c r="Q130" s="7" t="s">
        <v>29</v>
      </c>
      <c r="R130" s="7" t="s">
        <v>29</v>
      </c>
      <c r="S130" s="7" t="s">
        <v>29</v>
      </c>
    </row>
    <row r="131" spans="2:19">
      <c r="B131" s="7" t="s">
        <v>195</v>
      </c>
      <c r="C131" s="8" t="s">
        <v>195</v>
      </c>
      <c r="D131" s="6" t="str">
        <f>LRTRIM(CONCATENATE(IF(SUMPRODUCT(-- ISNUMBER(SEARCH({"Auto Number"}, $B131))) &gt; 0, $B131, IF(SUMPRODUCT(-- ISNUMBER(SEARCH({"Lookup","Master-Detail"}, $B131))) &gt; 0,$B131 &amp; "(" &amp; $E131 &amp; ")",IF(SUMPRODUCT(-- ISNUMBER(SEARCH({"Formula","Roll-Up Summary"}, $B131))) &gt; 0,$B131 &amp; " (" &amp; $E131 &amp; ")",IF(SUMPRODUCT(-- ISNUMBER(SEARCH({"Content","Currency","Number","Percent","Text","URL"}, $B131))) &gt; 0,$B131 &amp; "(" &amp; $C131 &amp; ")",$B131)))), "  ", TRIM(IF($S131 = "YES", "(External ID)", "") &amp; " " &amp; IF(SUMPRODUCT(-- ISNUMBER(SEARCH({"Unique","Unique Case Insensitive"}, $R131))) &gt; 0, "(" &amp; $R131 &amp; ")", ""))))</f>
        <v>na</v>
      </c>
      <c r="E131" s="7" t="s">
        <v>195</v>
      </c>
      <c r="F131" s="7" t="s">
        <v>195</v>
      </c>
      <c r="G131" s="7" t="s">
        <v>195</v>
      </c>
      <c r="H131" s="7" t="s">
        <v>195</v>
      </c>
      <c r="I131" s="7" t="s">
        <v>195</v>
      </c>
      <c r="J131" s="7" t="s">
        <v>195</v>
      </c>
      <c r="K131" s="7" t="s">
        <v>195</v>
      </c>
      <c r="L131" s="7" t="s">
        <v>195</v>
      </c>
      <c r="M131" s="7" t="s">
        <v>29</v>
      </c>
      <c r="N131" s="7" t="s">
        <v>29</v>
      </c>
      <c r="O131" s="7" t="s">
        <v>29</v>
      </c>
      <c r="P131" s="7" t="s">
        <v>29</v>
      </c>
      <c r="Q131" s="7" t="s">
        <v>29</v>
      </c>
      <c r="R131" s="7" t="s">
        <v>29</v>
      </c>
      <c r="S131" s="7" t="s">
        <v>29</v>
      </c>
    </row>
    <row r="132" spans="2:19">
      <c r="B132" s="7" t="s">
        <v>195</v>
      </c>
      <c r="C132" s="8" t="s">
        <v>195</v>
      </c>
      <c r="D132" s="6" t="str">
        <f>LRTRIM(CONCATENATE(IF(SUMPRODUCT(-- ISNUMBER(SEARCH({"Auto Number"}, $B132))) &gt; 0, $B132, IF(SUMPRODUCT(-- ISNUMBER(SEARCH({"Lookup","Master-Detail"}, $B132))) &gt; 0,$B132 &amp; "(" &amp; $E132 &amp; ")",IF(SUMPRODUCT(-- ISNUMBER(SEARCH({"Formula","Roll-Up Summary"}, $B132))) &gt; 0,$B132 &amp; " (" &amp; $E132 &amp; ")",IF(SUMPRODUCT(-- ISNUMBER(SEARCH({"Content","Currency","Number","Percent","Text","URL"}, $B132))) &gt; 0,$B132 &amp; "(" &amp; $C132 &amp; ")",$B132)))), "  ", TRIM(IF($S132 = "YES", "(External ID)", "") &amp; " " &amp; IF(SUMPRODUCT(-- ISNUMBER(SEARCH({"Unique","Unique Case Insensitive"}, $R132))) &gt; 0, "(" &amp; $R132 &amp; ")", ""))))</f>
        <v>na</v>
      </c>
      <c r="E132" s="7" t="s">
        <v>195</v>
      </c>
      <c r="F132" s="7" t="s">
        <v>195</v>
      </c>
      <c r="G132" s="7" t="s">
        <v>195</v>
      </c>
      <c r="H132" s="7" t="s">
        <v>195</v>
      </c>
      <c r="I132" s="7" t="s">
        <v>195</v>
      </c>
      <c r="J132" s="7" t="s">
        <v>195</v>
      </c>
      <c r="K132" s="7" t="s">
        <v>195</v>
      </c>
      <c r="L132" s="7" t="s">
        <v>195</v>
      </c>
      <c r="M132" s="7" t="s">
        <v>29</v>
      </c>
      <c r="N132" s="7" t="s">
        <v>29</v>
      </c>
      <c r="O132" s="7" t="s">
        <v>29</v>
      </c>
      <c r="P132" s="7" t="s">
        <v>29</v>
      </c>
      <c r="Q132" s="7" t="s">
        <v>29</v>
      </c>
      <c r="R132" s="7" t="s">
        <v>29</v>
      </c>
      <c r="S132" s="7" t="s">
        <v>29</v>
      </c>
    </row>
    <row r="133" spans="2:19">
      <c r="B133" s="7" t="s">
        <v>195</v>
      </c>
      <c r="C133" s="8" t="s">
        <v>195</v>
      </c>
      <c r="D133" s="6" t="str">
        <f>LRTRIM(CONCATENATE(IF(SUMPRODUCT(-- ISNUMBER(SEARCH({"Auto Number"}, $B133))) &gt; 0, $B133, IF(SUMPRODUCT(-- ISNUMBER(SEARCH({"Lookup","Master-Detail"}, $B133))) &gt; 0,$B133 &amp; "(" &amp; $E133 &amp; ")",IF(SUMPRODUCT(-- ISNUMBER(SEARCH({"Formula","Roll-Up Summary"}, $B133))) &gt; 0,$B133 &amp; " (" &amp; $E133 &amp; ")",IF(SUMPRODUCT(-- ISNUMBER(SEARCH({"Content","Currency","Number","Percent","Text","URL"}, $B133))) &gt; 0,$B133 &amp; "(" &amp; $C133 &amp; ")",$B133)))), "  ", TRIM(IF($S133 = "YES", "(External ID)", "") &amp; " " &amp; IF(SUMPRODUCT(-- ISNUMBER(SEARCH({"Unique","Unique Case Insensitive"}, $R133))) &gt; 0, "(" &amp; $R133 &amp; ")", ""))))</f>
        <v>na</v>
      </c>
      <c r="E133" s="7" t="s">
        <v>195</v>
      </c>
      <c r="F133" s="7" t="s">
        <v>195</v>
      </c>
      <c r="G133" s="7" t="s">
        <v>195</v>
      </c>
      <c r="H133" s="7" t="s">
        <v>195</v>
      </c>
      <c r="I133" s="7" t="s">
        <v>195</v>
      </c>
      <c r="J133" s="7" t="s">
        <v>195</v>
      </c>
      <c r="K133" s="7" t="s">
        <v>195</v>
      </c>
      <c r="L133" s="7" t="s">
        <v>195</v>
      </c>
      <c r="M133" s="7" t="s">
        <v>29</v>
      </c>
      <c r="N133" s="7" t="s">
        <v>29</v>
      </c>
      <c r="O133" s="7" t="s">
        <v>29</v>
      </c>
      <c r="P133" s="7" t="s">
        <v>29</v>
      </c>
      <c r="Q133" s="7" t="s">
        <v>29</v>
      </c>
      <c r="R133" s="7" t="s">
        <v>29</v>
      </c>
      <c r="S133" s="7" t="s">
        <v>29</v>
      </c>
    </row>
    <row r="134" spans="2:19">
      <c r="B134" s="7" t="s">
        <v>195</v>
      </c>
      <c r="C134" s="8" t="s">
        <v>195</v>
      </c>
      <c r="D134" s="6" t="str">
        <f>LRTRIM(CONCATENATE(IF(SUMPRODUCT(-- ISNUMBER(SEARCH({"Auto Number"}, $B134))) &gt; 0, $B134, IF(SUMPRODUCT(-- ISNUMBER(SEARCH({"Lookup","Master-Detail"}, $B134))) &gt; 0,$B134 &amp; "(" &amp; $E134 &amp; ")",IF(SUMPRODUCT(-- ISNUMBER(SEARCH({"Formula","Roll-Up Summary"}, $B134))) &gt; 0,$B134 &amp; " (" &amp; $E134 &amp; ")",IF(SUMPRODUCT(-- ISNUMBER(SEARCH({"Content","Currency","Number","Percent","Text","URL"}, $B134))) &gt; 0,$B134 &amp; "(" &amp; $C134 &amp; ")",$B134)))), "  ", TRIM(IF($S134 = "YES", "(External ID)", "") &amp; " " &amp; IF(SUMPRODUCT(-- ISNUMBER(SEARCH({"Unique","Unique Case Insensitive"}, $R134))) &gt; 0, "(" &amp; $R134 &amp; ")", ""))))</f>
        <v>na</v>
      </c>
      <c r="E134" s="7" t="s">
        <v>195</v>
      </c>
      <c r="F134" s="7" t="s">
        <v>195</v>
      </c>
      <c r="G134" s="7" t="s">
        <v>195</v>
      </c>
      <c r="H134" s="7" t="s">
        <v>195</v>
      </c>
      <c r="I134" s="7" t="s">
        <v>195</v>
      </c>
      <c r="J134" s="7" t="s">
        <v>195</v>
      </c>
      <c r="K134" s="7" t="s">
        <v>195</v>
      </c>
      <c r="L134" s="7" t="s">
        <v>195</v>
      </c>
      <c r="M134" s="7" t="s">
        <v>29</v>
      </c>
      <c r="N134" s="7" t="s">
        <v>29</v>
      </c>
      <c r="O134" s="7" t="s">
        <v>29</v>
      </c>
      <c r="P134" s="7" t="s">
        <v>29</v>
      </c>
      <c r="Q134" s="7" t="s">
        <v>29</v>
      </c>
      <c r="R134" s="7" t="s">
        <v>29</v>
      </c>
      <c r="S134" s="7" t="s">
        <v>29</v>
      </c>
    </row>
    <row r="135" spans="2:19">
      <c r="B135" s="7" t="s">
        <v>195</v>
      </c>
      <c r="C135" s="8" t="s">
        <v>195</v>
      </c>
      <c r="D135" s="6" t="str">
        <f>LRTRIM(CONCATENATE(IF(SUMPRODUCT(-- ISNUMBER(SEARCH({"Auto Number"}, $B135))) &gt; 0, $B135, IF(SUMPRODUCT(-- ISNUMBER(SEARCH({"Lookup","Master-Detail"}, $B135))) &gt; 0,$B135 &amp; "(" &amp; $E135 &amp; ")",IF(SUMPRODUCT(-- ISNUMBER(SEARCH({"Formula","Roll-Up Summary"}, $B135))) &gt; 0,$B135 &amp; " (" &amp; $E135 &amp; ")",IF(SUMPRODUCT(-- ISNUMBER(SEARCH({"Content","Currency","Number","Percent","Text","URL"}, $B135))) &gt; 0,$B135 &amp; "(" &amp; $C135 &amp; ")",$B135)))), "  ", TRIM(IF($S135 = "YES", "(External ID)", "") &amp; " " &amp; IF(SUMPRODUCT(-- ISNUMBER(SEARCH({"Unique","Unique Case Insensitive"}, $R135))) &gt; 0, "(" &amp; $R135 &amp; ")", ""))))</f>
        <v>na</v>
      </c>
      <c r="E135" s="7" t="s">
        <v>195</v>
      </c>
      <c r="F135" s="7" t="s">
        <v>195</v>
      </c>
      <c r="G135" s="7" t="s">
        <v>195</v>
      </c>
      <c r="H135" s="7" t="s">
        <v>195</v>
      </c>
      <c r="I135" s="7" t="s">
        <v>195</v>
      </c>
      <c r="J135" s="7" t="s">
        <v>195</v>
      </c>
      <c r="K135" s="7" t="s">
        <v>195</v>
      </c>
      <c r="L135" s="7" t="s">
        <v>195</v>
      </c>
      <c r="M135" s="7" t="s">
        <v>29</v>
      </c>
      <c r="N135" s="7" t="s">
        <v>29</v>
      </c>
      <c r="O135" s="7" t="s">
        <v>29</v>
      </c>
      <c r="P135" s="7" t="s">
        <v>29</v>
      </c>
      <c r="Q135" s="7" t="s">
        <v>29</v>
      </c>
      <c r="R135" s="7" t="s">
        <v>29</v>
      </c>
      <c r="S135" s="7" t="s">
        <v>29</v>
      </c>
    </row>
    <row r="136" spans="2:19">
      <c r="B136" s="7" t="s">
        <v>195</v>
      </c>
      <c r="C136" s="8" t="s">
        <v>195</v>
      </c>
      <c r="D136" s="6" t="str">
        <f>LRTRIM(CONCATENATE(IF(SUMPRODUCT(-- ISNUMBER(SEARCH({"Auto Number"}, $B136))) &gt; 0, $B136, IF(SUMPRODUCT(-- ISNUMBER(SEARCH({"Lookup","Master-Detail"}, $B136))) &gt; 0,$B136 &amp; "(" &amp; $E136 &amp; ")",IF(SUMPRODUCT(-- ISNUMBER(SEARCH({"Formula","Roll-Up Summary"}, $B136))) &gt; 0,$B136 &amp; " (" &amp; $E136 &amp; ")",IF(SUMPRODUCT(-- ISNUMBER(SEARCH({"Content","Currency","Number","Percent","Text","URL"}, $B136))) &gt; 0,$B136 &amp; "(" &amp; $C136 &amp; ")",$B136)))), "  ", TRIM(IF($S136 = "YES", "(External ID)", "") &amp; " " &amp; IF(SUMPRODUCT(-- ISNUMBER(SEARCH({"Unique","Unique Case Insensitive"}, $R136))) &gt; 0, "(" &amp; $R136 &amp; ")", ""))))</f>
        <v>na</v>
      </c>
      <c r="E136" s="7" t="s">
        <v>195</v>
      </c>
      <c r="F136" s="7" t="s">
        <v>195</v>
      </c>
      <c r="G136" s="7" t="s">
        <v>195</v>
      </c>
      <c r="H136" s="7" t="s">
        <v>195</v>
      </c>
      <c r="I136" s="7" t="s">
        <v>195</v>
      </c>
      <c r="J136" s="7" t="s">
        <v>195</v>
      </c>
      <c r="K136" s="7" t="s">
        <v>195</v>
      </c>
      <c r="L136" s="7" t="s">
        <v>195</v>
      </c>
      <c r="M136" s="7" t="s">
        <v>29</v>
      </c>
      <c r="N136" s="7" t="s">
        <v>29</v>
      </c>
      <c r="O136" s="7" t="s">
        <v>29</v>
      </c>
      <c r="P136" s="7" t="s">
        <v>29</v>
      </c>
      <c r="Q136" s="7" t="s">
        <v>29</v>
      </c>
      <c r="R136" s="7" t="s">
        <v>29</v>
      </c>
      <c r="S136" s="7" t="s">
        <v>29</v>
      </c>
    </row>
    <row r="137" spans="2:19">
      <c r="B137" s="7" t="s">
        <v>195</v>
      </c>
      <c r="C137" s="8" t="s">
        <v>195</v>
      </c>
      <c r="D137" s="6" t="str">
        <f>LRTRIM(CONCATENATE(IF(SUMPRODUCT(-- ISNUMBER(SEARCH({"Auto Number"}, $B137))) &gt; 0, $B137, IF(SUMPRODUCT(-- ISNUMBER(SEARCH({"Lookup","Master-Detail"}, $B137))) &gt; 0,$B137 &amp; "(" &amp; $E137 &amp; ")",IF(SUMPRODUCT(-- ISNUMBER(SEARCH({"Formula","Roll-Up Summary"}, $B137))) &gt; 0,$B137 &amp; " (" &amp; $E137 &amp; ")",IF(SUMPRODUCT(-- ISNUMBER(SEARCH({"Content","Currency","Number","Percent","Text","URL"}, $B137))) &gt; 0,$B137 &amp; "(" &amp; $C137 &amp; ")",$B137)))), "  ", TRIM(IF($S137 = "YES", "(External ID)", "") &amp; " " &amp; IF(SUMPRODUCT(-- ISNUMBER(SEARCH({"Unique","Unique Case Insensitive"}, $R137))) &gt; 0, "(" &amp; $R137 &amp; ")", ""))))</f>
        <v>na</v>
      </c>
      <c r="E137" s="7" t="s">
        <v>195</v>
      </c>
      <c r="F137" s="7" t="s">
        <v>195</v>
      </c>
      <c r="G137" s="7" t="s">
        <v>195</v>
      </c>
      <c r="H137" s="7" t="s">
        <v>195</v>
      </c>
      <c r="I137" s="7" t="s">
        <v>195</v>
      </c>
      <c r="J137" s="7" t="s">
        <v>195</v>
      </c>
      <c r="K137" s="7" t="s">
        <v>195</v>
      </c>
      <c r="L137" s="7" t="s">
        <v>195</v>
      </c>
      <c r="M137" s="7" t="s">
        <v>29</v>
      </c>
      <c r="N137" s="7" t="s">
        <v>29</v>
      </c>
      <c r="O137" s="7" t="s">
        <v>29</v>
      </c>
      <c r="P137" s="7" t="s">
        <v>29</v>
      </c>
      <c r="Q137" s="7" t="s">
        <v>29</v>
      </c>
      <c r="R137" s="7" t="s">
        <v>29</v>
      </c>
      <c r="S137" s="7" t="s">
        <v>29</v>
      </c>
    </row>
    <row r="138" spans="2:19">
      <c r="B138" s="7" t="s">
        <v>195</v>
      </c>
      <c r="C138" s="8" t="s">
        <v>195</v>
      </c>
      <c r="D138" s="6" t="str">
        <f>LRTRIM(CONCATENATE(IF(SUMPRODUCT(-- ISNUMBER(SEARCH({"Auto Number"}, $B138))) &gt; 0, $B138, IF(SUMPRODUCT(-- ISNUMBER(SEARCH({"Lookup","Master-Detail"}, $B138))) &gt; 0,$B138 &amp; "(" &amp; $E138 &amp; ")",IF(SUMPRODUCT(-- ISNUMBER(SEARCH({"Formula","Roll-Up Summary"}, $B138))) &gt; 0,$B138 &amp; " (" &amp; $E138 &amp; ")",IF(SUMPRODUCT(-- ISNUMBER(SEARCH({"Content","Currency","Number","Percent","Text","URL"}, $B138))) &gt; 0,$B138 &amp; "(" &amp; $C138 &amp; ")",$B138)))), "  ", TRIM(IF($S138 = "YES", "(External ID)", "") &amp; " " &amp; IF(SUMPRODUCT(-- ISNUMBER(SEARCH({"Unique","Unique Case Insensitive"}, $R138))) &gt; 0, "(" &amp; $R138 &amp; ")", ""))))</f>
        <v>na</v>
      </c>
      <c r="E138" s="7" t="s">
        <v>195</v>
      </c>
      <c r="F138" s="7" t="s">
        <v>195</v>
      </c>
      <c r="G138" s="7" t="s">
        <v>195</v>
      </c>
      <c r="H138" s="7" t="s">
        <v>195</v>
      </c>
      <c r="I138" s="7" t="s">
        <v>195</v>
      </c>
      <c r="J138" s="7" t="s">
        <v>195</v>
      </c>
      <c r="K138" s="7" t="s">
        <v>195</v>
      </c>
      <c r="L138" s="7" t="s">
        <v>195</v>
      </c>
      <c r="M138" s="7" t="s">
        <v>29</v>
      </c>
      <c r="N138" s="7" t="s">
        <v>29</v>
      </c>
      <c r="O138" s="7" t="s">
        <v>29</v>
      </c>
      <c r="P138" s="7" t="s">
        <v>29</v>
      </c>
      <c r="Q138" s="7" t="s">
        <v>29</v>
      </c>
      <c r="R138" s="7" t="s">
        <v>29</v>
      </c>
      <c r="S138" s="7" t="s">
        <v>29</v>
      </c>
    </row>
    <row r="139" spans="2:19">
      <c r="B139" s="7" t="s">
        <v>195</v>
      </c>
      <c r="C139" s="8" t="s">
        <v>195</v>
      </c>
      <c r="D139" s="6" t="str">
        <f>LRTRIM(CONCATENATE(IF(SUMPRODUCT(-- ISNUMBER(SEARCH({"Auto Number"}, $B139))) &gt; 0, $B139, IF(SUMPRODUCT(-- ISNUMBER(SEARCH({"Lookup","Master-Detail"}, $B139))) &gt; 0,$B139 &amp; "(" &amp; $E139 &amp; ")",IF(SUMPRODUCT(-- ISNUMBER(SEARCH({"Formula","Roll-Up Summary"}, $B139))) &gt; 0,$B139 &amp; " (" &amp; $E139 &amp; ")",IF(SUMPRODUCT(-- ISNUMBER(SEARCH({"Content","Currency","Number","Percent","Text","URL"}, $B139))) &gt; 0,$B139 &amp; "(" &amp; $C139 &amp; ")",$B139)))), "  ", TRIM(IF($S139 = "YES", "(External ID)", "") &amp; " " &amp; IF(SUMPRODUCT(-- ISNUMBER(SEARCH({"Unique","Unique Case Insensitive"}, $R139))) &gt; 0, "(" &amp; $R139 &amp; ")", ""))))</f>
        <v>na</v>
      </c>
      <c r="E139" s="7" t="s">
        <v>195</v>
      </c>
      <c r="F139" s="7" t="s">
        <v>195</v>
      </c>
      <c r="G139" s="7" t="s">
        <v>195</v>
      </c>
      <c r="H139" s="7" t="s">
        <v>195</v>
      </c>
      <c r="I139" s="7" t="s">
        <v>195</v>
      </c>
      <c r="J139" s="7" t="s">
        <v>195</v>
      </c>
      <c r="K139" s="7" t="s">
        <v>195</v>
      </c>
      <c r="L139" s="7" t="s">
        <v>195</v>
      </c>
      <c r="M139" s="7" t="s">
        <v>29</v>
      </c>
      <c r="N139" s="7" t="s">
        <v>29</v>
      </c>
      <c r="O139" s="7" t="s">
        <v>29</v>
      </c>
      <c r="P139" s="7" t="s">
        <v>29</v>
      </c>
      <c r="Q139" s="7" t="s">
        <v>29</v>
      </c>
      <c r="R139" s="7" t="s">
        <v>29</v>
      </c>
      <c r="S139" s="7" t="s">
        <v>29</v>
      </c>
    </row>
    <row r="140" spans="2:19">
      <c r="B140" s="7" t="s">
        <v>195</v>
      </c>
      <c r="C140" s="8" t="s">
        <v>195</v>
      </c>
      <c r="D140" s="6" t="str">
        <f>LRTRIM(CONCATENATE(IF(SUMPRODUCT(-- ISNUMBER(SEARCH({"Auto Number"}, $B140))) &gt; 0, $B140, IF(SUMPRODUCT(-- ISNUMBER(SEARCH({"Lookup","Master-Detail"}, $B140))) &gt; 0,$B140 &amp; "(" &amp; $E140 &amp; ")",IF(SUMPRODUCT(-- ISNUMBER(SEARCH({"Formula","Roll-Up Summary"}, $B140))) &gt; 0,$B140 &amp; " (" &amp; $E140 &amp; ")",IF(SUMPRODUCT(-- ISNUMBER(SEARCH({"Content","Currency","Number","Percent","Text","URL"}, $B140))) &gt; 0,$B140 &amp; "(" &amp; $C140 &amp; ")",$B140)))), "  ", TRIM(IF($S140 = "YES", "(External ID)", "") &amp; " " &amp; IF(SUMPRODUCT(-- ISNUMBER(SEARCH({"Unique","Unique Case Insensitive"}, $R140))) &gt; 0, "(" &amp; $R140 &amp; ")", ""))))</f>
        <v>na</v>
      </c>
      <c r="E140" s="7" t="s">
        <v>195</v>
      </c>
      <c r="F140" s="7" t="s">
        <v>195</v>
      </c>
      <c r="G140" s="7" t="s">
        <v>195</v>
      </c>
      <c r="H140" s="7" t="s">
        <v>195</v>
      </c>
      <c r="I140" s="7" t="s">
        <v>195</v>
      </c>
      <c r="J140" s="7" t="s">
        <v>195</v>
      </c>
      <c r="K140" s="7" t="s">
        <v>195</v>
      </c>
      <c r="L140" s="7" t="s">
        <v>195</v>
      </c>
      <c r="M140" s="7" t="s">
        <v>29</v>
      </c>
      <c r="N140" s="7" t="s">
        <v>29</v>
      </c>
      <c r="O140" s="7" t="s">
        <v>29</v>
      </c>
      <c r="P140" s="7" t="s">
        <v>29</v>
      </c>
      <c r="Q140" s="7" t="s">
        <v>29</v>
      </c>
      <c r="R140" s="7" t="s">
        <v>29</v>
      </c>
      <c r="S140" s="7" t="s">
        <v>29</v>
      </c>
    </row>
    <row r="141" spans="2:19">
      <c r="B141" s="7" t="s">
        <v>195</v>
      </c>
      <c r="C141" s="8" t="s">
        <v>195</v>
      </c>
      <c r="D141" s="6" t="str">
        <f>LRTRIM(CONCATENATE(IF(SUMPRODUCT(-- ISNUMBER(SEARCH({"Auto Number"}, $B141))) &gt; 0, $B141, IF(SUMPRODUCT(-- ISNUMBER(SEARCH({"Lookup","Master-Detail"}, $B141))) &gt; 0,$B141 &amp; "(" &amp; $E141 &amp; ")",IF(SUMPRODUCT(-- ISNUMBER(SEARCH({"Formula","Roll-Up Summary"}, $B141))) &gt; 0,$B141 &amp; " (" &amp; $E141 &amp; ")",IF(SUMPRODUCT(-- ISNUMBER(SEARCH({"Content","Currency","Number","Percent","Text","URL"}, $B141))) &gt; 0,$B141 &amp; "(" &amp; $C141 &amp; ")",$B141)))), "  ", TRIM(IF($S141 = "YES", "(External ID)", "") &amp; " " &amp; IF(SUMPRODUCT(-- ISNUMBER(SEARCH({"Unique","Unique Case Insensitive"}, $R141))) &gt; 0, "(" &amp; $R141 &amp; ")", ""))))</f>
        <v>na</v>
      </c>
      <c r="E141" s="7" t="s">
        <v>195</v>
      </c>
      <c r="F141" s="7" t="s">
        <v>195</v>
      </c>
      <c r="G141" s="7" t="s">
        <v>195</v>
      </c>
      <c r="H141" s="7" t="s">
        <v>195</v>
      </c>
      <c r="I141" s="7" t="s">
        <v>195</v>
      </c>
      <c r="J141" s="7" t="s">
        <v>195</v>
      </c>
      <c r="K141" s="7" t="s">
        <v>195</v>
      </c>
      <c r="L141" s="7" t="s">
        <v>195</v>
      </c>
      <c r="M141" s="7" t="s">
        <v>29</v>
      </c>
      <c r="N141" s="7" t="s">
        <v>29</v>
      </c>
      <c r="O141" s="7" t="s">
        <v>29</v>
      </c>
      <c r="P141" s="7" t="s">
        <v>29</v>
      </c>
      <c r="Q141" s="7" t="s">
        <v>29</v>
      </c>
      <c r="R141" s="7" t="s">
        <v>29</v>
      </c>
      <c r="S141" s="7" t="s">
        <v>29</v>
      </c>
    </row>
    <row r="142" spans="2:19">
      <c r="B142" s="7" t="s">
        <v>195</v>
      </c>
      <c r="C142" s="8" t="s">
        <v>195</v>
      </c>
      <c r="D142" s="6" t="str">
        <f>LRTRIM(CONCATENATE(IF(SUMPRODUCT(-- ISNUMBER(SEARCH({"Auto Number"}, $B142))) &gt; 0, $B142, IF(SUMPRODUCT(-- ISNUMBER(SEARCH({"Lookup","Master-Detail"}, $B142))) &gt; 0,$B142 &amp; "(" &amp; $E142 &amp; ")",IF(SUMPRODUCT(-- ISNUMBER(SEARCH({"Formula","Roll-Up Summary"}, $B142))) &gt; 0,$B142 &amp; " (" &amp; $E142 &amp; ")",IF(SUMPRODUCT(-- ISNUMBER(SEARCH({"Content","Currency","Number","Percent","Text","URL"}, $B142))) &gt; 0,$B142 &amp; "(" &amp; $C142 &amp; ")",$B142)))), "  ", TRIM(IF($S142 = "YES", "(External ID)", "") &amp; " " &amp; IF(SUMPRODUCT(-- ISNUMBER(SEARCH({"Unique","Unique Case Insensitive"}, $R142))) &gt; 0, "(" &amp; $R142 &amp; ")", ""))))</f>
        <v>na</v>
      </c>
      <c r="E142" s="7" t="s">
        <v>195</v>
      </c>
      <c r="F142" s="7" t="s">
        <v>195</v>
      </c>
      <c r="G142" s="7" t="s">
        <v>195</v>
      </c>
      <c r="H142" s="7" t="s">
        <v>195</v>
      </c>
      <c r="I142" s="7" t="s">
        <v>195</v>
      </c>
      <c r="J142" s="7" t="s">
        <v>195</v>
      </c>
      <c r="K142" s="7" t="s">
        <v>195</v>
      </c>
      <c r="L142" s="7" t="s">
        <v>195</v>
      </c>
      <c r="M142" s="7" t="s">
        <v>29</v>
      </c>
      <c r="N142" s="7" t="s">
        <v>29</v>
      </c>
      <c r="O142" s="7" t="s">
        <v>29</v>
      </c>
      <c r="P142" s="7" t="s">
        <v>29</v>
      </c>
      <c r="Q142" s="7" t="s">
        <v>29</v>
      </c>
      <c r="R142" s="7" t="s">
        <v>29</v>
      </c>
      <c r="S142" s="7" t="s">
        <v>29</v>
      </c>
    </row>
    <row r="143" spans="2:19">
      <c r="B143" s="7" t="s">
        <v>195</v>
      </c>
      <c r="C143" s="8" t="s">
        <v>195</v>
      </c>
      <c r="D143" s="6" t="str">
        <f>LRTRIM(CONCATENATE(IF(SUMPRODUCT(-- ISNUMBER(SEARCH({"Auto Number"}, $B143))) &gt; 0, $B143, IF(SUMPRODUCT(-- ISNUMBER(SEARCH({"Lookup","Master-Detail"}, $B143))) &gt; 0,$B143 &amp; "(" &amp; $E143 &amp; ")",IF(SUMPRODUCT(-- ISNUMBER(SEARCH({"Formula","Roll-Up Summary"}, $B143))) &gt; 0,$B143 &amp; " (" &amp; $E143 &amp; ")",IF(SUMPRODUCT(-- ISNUMBER(SEARCH({"Content","Currency","Number","Percent","Text","URL"}, $B143))) &gt; 0,$B143 &amp; "(" &amp; $C143 &amp; ")",$B143)))), "  ", TRIM(IF($S143 = "YES", "(External ID)", "") &amp; " " &amp; IF(SUMPRODUCT(-- ISNUMBER(SEARCH({"Unique","Unique Case Insensitive"}, $R143))) &gt; 0, "(" &amp; $R143 &amp; ")", ""))))</f>
        <v>na</v>
      </c>
      <c r="E143" s="7" t="s">
        <v>195</v>
      </c>
      <c r="F143" s="7" t="s">
        <v>195</v>
      </c>
      <c r="G143" s="7" t="s">
        <v>195</v>
      </c>
      <c r="H143" s="7" t="s">
        <v>195</v>
      </c>
      <c r="I143" s="7" t="s">
        <v>195</v>
      </c>
      <c r="J143" s="7" t="s">
        <v>195</v>
      </c>
      <c r="K143" s="7" t="s">
        <v>195</v>
      </c>
      <c r="L143" s="7" t="s">
        <v>195</v>
      </c>
      <c r="M143" s="7" t="s">
        <v>29</v>
      </c>
      <c r="N143" s="7" t="s">
        <v>29</v>
      </c>
      <c r="O143" s="7" t="s">
        <v>29</v>
      </c>
      <c r="P143" s="7" t="s">
        <v>29</v>
      </c>
      <c r="Q143" s="7" t="s">
        <v>29</v>
      </c>
      <c r="R143" s="7" t="s">
        <v>29</v>
      </c>
      <c r="S143" s="7" t="s">
        <v>29</v>
      </c>
    </row>
    <row r="144" spans="2:19">
      <c r="B144" s="7" t="s">
        <v>195</v>
      </c>
      <c r="C144" s="8" t="s">
        <v>195</v>
      </c>
      <c r="D144" s="6" t="str">
        <f>LRTRIM(CONCATENATE(IF(SUMPRODUCT(-- ISNUMBER(SEARCH({"Auto Number"}, $B144))) &gt; 0, $B144, IF(SUMPRODUCT(-- ISNUMBER(SEARCH({"Lookup","Master-Detail"}, $B144))) &gt; 0,$B144 &amp; "(" &amp; $E144 &amp; ")",IF(SUMPRODUCT(-- ISNUMBER(SEARCH({"Formula","Roll-Up Summary"}, $B144))) &gt; 0,$B144 &amp; " (" &amp; $E144 &amp; ")",IF(SUMPRODUCT(-- ISNUMBER(SEARCH({"Content","Currency","Number","Percent","Text","URL"}, $B144))) &gt; 0,$B144 &amp; "(" &amp; $C144 &amp; ")",$B144)))), "  ", TRIM(IF($S144 = "YES", "(External ID)", "") &amp; " " &amp; IF(SUMPRODUCT(-- ISNUMBER(SEARCH({"Unique","Unique Case Insensitive"}, $R144))) &gt; 0, "(" &amp; $R144 &amp; ")", ""))))</f>
        <v>na</v>
      </c>
      <c r="E144" s="7" t="s">
        <v>195</v>
      </c>
      <c r="F144" s="7" t="s">
        <v>195</v>
      </c>
      <c r="G144" s="7" t="s">
        <v>195</v>
      </c>
      <c r="H144" s="7" t="s">
        <v>195</v>
      </c>
      <c r="I144" s="7" t="s">
        <v>195</v>
      </c>
      <c r="J144" s="7" t="s">
        <v>195</v>
      </c>
      <c r="K144" s="7" t="s">
        <v>195</v>
      </c>
      <c r="L144" s="7" t="s">
        <v>195</v>
      </c>
      <c r="M144" s="7" t="s">
        <v>29</v>
      </c>
      <c r="N144" s="7" t="s">
        <v>29</v>
      </c>
      <c r="O144" s="7" t="s">
        <v>29</v>
      </c>
      <c r="P144" s="7" t="s">
        <v>29</v>
      </c>
      <c r="Q144" s="7" t="s">
        <v>29</v>
      </c>
      <c r="R144" s="7" t="s">
        <v>29</v>
      </c>
      <c r="S144" s="7" t="s">
        <v>29</v>
      </c>
    </row>
    <row r="145" spans="2:19">
      <c r="B145" s="7" t="s">
        <v>195</v>
      </c>
      <c r="C145" s="8" t="s">
        <v>195</v>
      </c>
      <c r="D145" s="6" t="str">
        <f>LRTRIM(CONCATENATE(IF(SUMPRODUCT(-- ISNUMBER(SEARCH({"Auto Number"}, $B145))) &gt; 0, $B145, IF(SUMPRODUCT(-- ISNUMBER(SEARCH({"Lookup","Master-Detail"}, $B145))) &gt; 0,$B145 &amp; "(" &amp; $E145 &amp; ")",IF(SUMPRODUCT(-- ISNUMBER(SEARCH({"Formula","Roll-Up Summary"}, $B145))) &gt; 0,$B145 &amp; " (" &amp; $E145 &amp; ")",IF(SUMPRODUCT(-- ISNUMBER(SEARCH({"Content","Currency","Number","Percent","Text","URL"}, $B145))) &gt; 0,$B145 &amp; "(" &amp; $C145 &amp; ")",$B145)))), "  ", TRIM(IF($S145 = "YES", "(External ID)", "") &amp; " " &amp; IF(SUMPRODUCT(-- ISNUMBER(SEARCH({"Unique","Unique Case Insensitive"}, $R145))) &gt; 0, "(" &amp; $R145 &amp; ")", ""))))</f>
        <v>na</v>
      </c>
      <c r="E145" s="7" t="s">
        <v>195</v>
      </c>
      <c r="F145" s="7" t="s">
        <v>195</v>
      </c>
      <c r="G145" s="7" t="s">
        <v>195</v>
      </c>
      <c r="H145" s="7" t="s">
        <v>195</v>
      </c>
      <c r="I145" s="7" t="s">
        <v>195</v>
      </c>
      <c r="J145" s="7" t="s">
        <v>195</v>
      </c>
      <c r="K145" s="7" t="s">
        <v>195</v>
      </c>
      <c r="L145" s="7" t="s">
        <v>195</v>
      </c>
      <c r="M145" s="7" t="s">
        <v>29</v>
      </c>
      <c r="N145" s="7" t="s">
        <v>29</v>
      </c>
      <c r="O145" s="7" t="s">
        <v>29</v>
      </c>
      <c r="P145" s="7" t="s">
        <v>29</v>
      </c>
      <c r="Q145" s="7" t="s">
        <v>29</v>
      </c>
      <c r="R145" s="7" t="s">
        <v>29</v>
      </c>
      <c r="S145" s="7" t="s">
        <v>29</v>
      </c>
    </row>
    <row r="146" spans="2:19">
      <c r="B146" s="7" t="s">
        <v>195</v>
      </c>
      <c r="C146" s="8" t="s">
        <v>195</v>
      </c>
      <c r="D146" s="6" t="str">
        <f>LRTRIM(CONCATENATE(IF(SUMPRODUCT(-- ISNUMBER(SEARCH({"Auto Number"}, $B146))) &gt; 0, $B146, IF(SUMPRODUCT(-- ISNUMBER(SEARCH({"Lookup","Master-Detail"}, $B146))) &gt; 0,$B146 &amp; "(" &amp; $E146 &amp; ")",IF(SUMPRODUCT(-- ISNUMBER(SEARCH({"Formula","Roll-Up Summary"}, $B146))) &gt; 0,$B146 &amp; " (" &amp; $E146 &amp; ")",IF(SUMPRODUCT(-- ISNUMBER(SEARCH({"Content","Currency","Number","Percent","Text","URL"}, $B146))) &gt; 0,$B146 &amp; "(" &amp; $C146 &amp; ")",$B146)))), "  ", TRIM(IF($S146 = "YES", "(External ID)", "") &amp; " " &amp; IF(SUMPRODUCT(-- ISNUMBER(SEARCH({"Unique","Unique Case Insensitive"}, $R146))) &gt; 0, "(" &amp; $R146 &amp; ")", ""))))</f>
        <v>na</v>
      </c>
      <c r="E146" s="7" t="s">
        <v>195</v>
      </c>
      <c r="F146" s="7" t="s">
        <v>195</v>
      </c>
      <c r="G146" s="7" t="s">
        <v>195</v>
      </c>
      <c r="H146" s="7" t="s">
        <v>195</v>
      </c>
      <c r="I146" s="7" t="s">
        <v>195</v>
      </c>
      <c r="J146" s="7" t="s">
        <v>195</v>
      </c>
      <c r="K146" s="7" t="s">
        <v>195</v>
      </c>
      <c r="L146" s="7" t="s">
        <v>195</v>
      </c>
      <c r="M146" s="7" t="s">
        <v>29</v>
      </c>
      <c r="N146" s="7" t="s">
        <v>29</v>
      </c>
      <c r="O146" s="7" t="s">
        <v>29</v>
      </c>
      <c r="P146" s="7" t="s">
        <v>29</v>
      </c>
      <c r="Q146" s="7" t="s">
        <v>29</v>
      </c>
      <c r="R146" s="7" t="s">
        <v>29</v>
      </c>
      <c r="S146" s="7" t="s">
        <v>29</v>
      </c>
    </row>
    <row r="147" spans="2:19">
      <c r="B147" s="7" t="s">
        <v>195</v>
      </c>
      <c r="C147" s="8" t="s">
        <v>195</v>
      </c>
      <c r="D147" s="6" t="str">
        <f>LRTRIM(CONCATENATE(IF(SUMPRODUCT(-- ISNUMBER(SEARCH({"Auto Number"}, $B147))) &gt; 0, $B147, IF(SUMPRODUCT(-- ISNUMBER(SEARCH({"Lookup","Master-Detail"}, $B147))) &gt; 0,$B147 &amp; "(" &amp; $E147 &amp; ")",IF(SUMPRODUCT(-- ISNUMBER(SEARCH({"Formula","Roll-Up Summary"}, $B147))) &gt; 0,$B147 &amp; " (" &amp; $E147 &amp; ")",IF(SUMPRODUCT(-- ISNUMBER(SEARCH({"Content","Currency","Number","Percent","Text","URL"}, $B147))) &gt; 0,$B147 &amp; "(" &amp; $C147 &amp; ")",$B147)))), "  ", TRIM(IF($S147 = "YES", "(External ID)", "") &amp; " " &amp; IF(SUMPRODUCT(-- ISNUMBER(SEARCH({"Unique","Unique Case Insensitive"}, $R147))) &gt; 0, "(" &amp; $R147 &amp; ")", ""))))</f>
        <v>na</v>
      </c>
      <c r="E147" s="7" t="s">
        <v>195</v>
      </c>
      <c r="F147" s="7" t="s">
        <v>195</v>
      </c>
      <c r="G147" s="7" t="s">
        <v>195</v>
      </c>
      <c r="H147" s="7" t="s">
        <v>195</v>
      </c>
      <c r="I147" s="7" t="s">
        <v>195</v>
      </c>
      <c r="J147" s="7" t="s">
        <v>195</v>
      </c>
      <c r="K147" s="7" t="s">
        <v>195</v>
      </c>
      <c r="L147" s="7" t="s">
        <v>195</v>
      </c>
      <c r="M147" s="7" t="s">
        <v>29</v>
      </c>
      <c r="N147" s="7" t="s">
        <v>29</v>
      </c>
      <c r="O147" s="7" t="s">
        <v>29</v>
      </c>
      <c r="P147" s="7" t="s">
        <v>29</v>
      </c>
      <c r="Q147" s="7" t="s">
        <v>29</v>
      </c>
      <c r="R147" s="7" t="s">
        <v>29</v>
      </c>
      <c r="S147" s="7" t="s">
        <v>29</v>
      </c>
    </row>
    <row r="148" spans="2:19">
      <c r="B148" s="7" t="s">
        <v>195</v>
      </c>
      <c r="C148" s="8" t="s">
        <v>195</v>
      </c>
      <c r="D148" s="6" t="str">
        <f>LRTRIM(CONCATENATE(IF(SUMPRODUCT(-- ISNUMBER(SEARCH({"Auto Number"}, $B148))) &gt; 0, $B148, IF(SUMPRODUCT(-- ISNUMBER(SEARCH({"Lookup","Master-Detail"}, $B148))) &gt; 0,$B148 &amp; "(" &amp; $E148 &amp; ")",IF(SUMPRODUCT(-- ISNUMBER(SEARCH({"Formula","Roll-Up Summary"}, $B148))) &gt; 0,$B148 &amp; " (" &amp; $E148 &amp; ")",IF(SUMPRODUCT(-- ISNUMBER(SEARCH({"Content","Currency","Number","Percent","Text","URL"}, $B148))) &gt; 0,$B148 &amp; "(" &amp; $C148 &amp; ")",$B148)))), "  ", TRIM(IF($S148 = "YES", "(External ID)", "") &amp; " " &amp; IF(SUMPRODUCT(-- ISNUMBER(SEARCH({"Unique","Unique Case Insensitive"}, $R148))) &gt; 0, "(" &amp; $R148 &amp; ")", ""))))</f>
        <v>na</v>
      </c>
      <c r="E148" s="7" t="s">
        <v>195</v>
      </c>
      <c r="F148" s="7" t="s">
        <v>195</v>
      </c>
      <c r="G148" s="7" t="s">
        <v>195</v>
      </c>
      <c r="H148" s="7" t="s">
        <v>195</v>
      </c>
      <c r="I148" s="7" t="s">
        <v>195</v>
      </c>
      <c r="J148" s="7" t="s">
        <v>195</v>
      </c>
      <c r="K148" s="7" t="s">
        <v>195</v>
      </c>
      <c r="L148" s="7" t="s">
        <v>195</v>
      </c>
      <c r="M148" s="7" t="s">
        <v>29</v>
      </c>
      <c r="N148" s="7" t="s">
        <v>29</v>
      </c>
      <c r="O148" s="7" t="s">
        <v>29</v>
      </c>
      <c r="P148" s="7" t="s">
        <v>29</v>
      </c>
      <c r="Q148" s="7" t="s">
        <v>29</v>
      </c>
      <c r="R148" s="7" t="s">
        <v>29</v>
      </c>
      <c r="S148" s="7" t="s">
        <v>29</v>
      </c>
    </row>
    <row r="149" spans="2:19">
      <c r="B149" s="7" t="s">
        <v>195</v>
      </c>
      <c r="C149" s="8" t="s">
        <v>195</v>
      </c>
      <c r="D149" s="6" t="str">
        <f>LRTRIM(CONCATENATE(IF(SUMPRODUCT(-- ISNUMBER(SEARCH({"Auto Number"}, $B149))) &gt; 0, $B149, IF(SUMPRODUCT(-- ISNUMBER(SEARCH({"Lookup","Master-Detail"}, $B149))) &gt; 0,$B149 &amp; "(" &amp; $E149 &amp; ")",IF(SUMPRODUCT(-- ISNUMBER(SEARCH({"Formula","Roll-Up Summary"}, $B149))) &gt; 0,$B149 &amp; " (" &amp; $E149 &amp; ")",IF(SUMPRODUCT(-- ISNUMBER(SEARCH({"Content","Currency","Number","Percent","Text","URL"}, $B149))) &gt; 0,$B149 &amp; "(" &amp; $C149 &amp; ")",$B149)))), "  ", TRIM(IF($S149 = "YES", "(External ID)", "") &amp; " " &amp; IF(SUMPRODUCT(-- ISNUMBER(SEARCH({"Unique","Unique Case Insensitive"}, $R149))) &gt; 0, "(" &amp; $R149 &amp; ")", ""))))</f>
        <v>na</v>
      </c>
      <c r="E149" s="7" t="s">
        <v>195</v>
      </c>
      <c r="F149" s="7" t="s">
        <v>195</v>
      </c>
      <c r="G149" s="7" t="s">
        <v>195</v>
      </c>
      <c r="H149" s="7" t="s">
        <v>195</v>
      </c>
      <c r="I149" s="7" t="s">
        <v>195</v>
      </c>
      <c r="J149" s="7" t="s">
        <v>195</v>
      </c>
      <c r="K149" s="7" t="s">
        <v>195</v>
      </c>
      <c r="L149" s="7" t="s">
        <v>195</v>
      </c>
      <c r="M149" s="7" t="s">
        <v>29</v>
      </c>
      <c r="N149" s="7" t="s">
        <v>29</v>
      </c>
      <c r="O149" s="7" t="s">
        <v>29</v>
      </c>
      <c r="P149" s="7" t="s">
        <v>29</v>
      </c>
      <c r="Q149" s="7" t="s">
        <v>29</v>
      </c>
      <c r="R149" s="7" t="s">
        <v>29</v>
      </c>
      <c r="S149" s="7" t="s">
        <v>29</v>
      </c>
    </row>
    <row r="150" spans="2:19">
      <c r="B150" s="7" t="s">
        <v>195</v>
      </c>
      <c r="C150" s="8" t="s">
        <v>195</v>
      </c>
      <c r="D150" s="6" t="str">
        <f>LRTRIM(CONCATENATE(IF(SUMPRODUCT(-- ISNUMBER(SEARCH({"Auto Number"}, $B150))) &gt; 0, $B150, IF(SUMPRODUCT(-- ISNUMBER(SEARCH({"Lookup","Master-Detail"}, $B150))) &gt; 0,$B150 &amp; "(" &amp; $E150 &amp; ")",IF(SUMPRODUCT(-- ISNUMBER(SEARCH({"Formula","Roll-Up Summary"}, $B150))) &gt; 0,$B150 &amp; " (" &amp; $E150 &amp; ")",IF(SUMPRODUCT(-- ISNUMBER(SEARCH({"Content","Currency","Number","Percent","Text","URL"}, $B150))) &gt; 0,$B150 &amp; "(" &amp; $C150 &amp; ")",$B150)))), "  ", TRIM(IF($S150 = "YES", "(External ID)", "") &amp; " " &amp; IF(SUMPRODUCT(-- ISNUMBER(SEARCH({"Unique","Unique Case Insensitive"}, $R150))) &gt; 0, "(" &amp; $R150 &amp; ")", ""))))</f>
        <v>na</v>
      </c>
      <c r="E150" s="7" t="s">
        <v>195</v>
      </c>
      <c r="F150" s="7" t="s">
        <v>195</v>
      </c>
      <c r="G150" s="7" t="s">
        <v>195</v>
      </c>
      <c r="H150" s="7" t="s">
        <v>195</v>
      </c>
      <c r="I150" s="7" t="s">
        <v>195</v>
      </c>
      <c r="J150" s="7" t="s">
        <v>195</v>
      </c>
      <c r="K150" s="7" t="s">
        <v>195</v>
      </c>
      <c r="L150" s="7" t="s">
        <v>195</v>
      </c>
      <c r="M150" s="7" t="s">
        <v>29</v>
      </c>
      <c r="N150" s="7" t="s">
        <v>29</v>
      </c>
      <c r="O150" s="7" t="s">
        <v>29</v>
      </c>
      <c r="P150" s="7" t="s">
        <v>29</v>
      </c>
      <c r="Q150" s="7" t="s">
        <v>29</v>
      </c>
      <c r="R150" s="7" t="s">
        <v>29</v>
      </c>
      <c r="S150" s="7" t="s">
        <v>29</v>
      </c>
    </row>
    <row r="151" spans="2:19">
      <c r="B151" s="7" t="s">
        <v>195</v>
      </c>
      <c r="C151" s="8" t="s">
        <v>195</v>
      </c>
      <c r="D151" s="6" t="str">
        <f>LRTRIM(CONCATENATE(IF(SUMPRODUCT(-- ISNUMBER(SEARCH({"Auto Number"}, $B151))) &gt; 0, $B151, IF(SUMPRODUCT(-- ISNUMBER(SEARCH({"Lookup","Master-Detail"}, $B151))) &gt; 0,$B151 &amp; "(" &amp; $E151 &amp; ")",IF(SUMPRODUCT(-- ISNUMBER(SEARCH({"Formula","Roll-Up Summary"}, $B151))) &gt; 0,$B151 &amp; " (" &amp; $E151 &amp; ")",IF(SUMPRODUCT(-- ISNUMBER(SEARCH({"Content","Currency","Number","Percent","Text","URL"}, $B151))) &gt; 0,$B151 &amp; "(" &amp; $C151 &amp; ")",$B151)))), "  ", TRIM(IF($S151 = "YES", "(External ID)", "") &amp; " " &amp; IF(SUMPRODUCT(-- ISNUMBER(SEARCH({"Unique","Unique Case Insensitive"}, $R151))) &gt; 0, "(" &amp; $R151 &amp; ")", ""))))</f>
        <v>na</v>
      </c>
      <c r="E151" s="7" t="s">
        <v>195</v>
      </c>
      <c r="F151" s="7" t="s">
        <v>195</v>
      </c>
      <c r="G151" s="7" t="s">
        <v>195</v>
      </c>
      <c r="H151" s="7" t="s">
        <v>195</v>
      </c>
      <c r="I151" s="7" t="s">
        <v>195</v>
      </c>
      <c r="J151" s="7" t="s">
        <v>195</v>
      </c>
      <c r="K151" s="7" t="s">
        <v>195</v>
      </c>
      <c r="L151" s="7" t="s">
        <v>195</v>
      </c>
      <c r="M151" s="7" t="s">
        <v>29</v>
      </c>
      <c r="N151" s="7" t="s">
        <v>29</v>
      </c>
      <c r="O151" s="7" t="s">
        <v>29</v>
      </c>
      <c r="P151" s="7" t="s">
        <v>29</v>
      </c>
      <c r="Q151" s="7" t="s">
        <v>29</v>
      </c>
      <c r="R151" s="7" t="s">
        <v>29</v>
      </c>
      <c r="S151" s="7" t="s">
        <v>29</v>
      </c>
    </row>
    <row r="152" spans="2:19">
      <c r="B152" s="7" t="s">
        <v>195</v>
      </c>
      <c r="C152" s="8" t="s">
        <v>195</v>
      </c>
      <c r="D152" s="6" t="str">
        <f>LRTRIM(CONCATENATE(IF(SUMPRODUCT(-- ISNUMBER(SEARCH({"Auto Number"}, $B152))) &gt; 0, $B152, IF(SUMPRODUCT(-- ISNUMBER(SEARCH({"Lookup","Master-Detail"}, $B152))) &gt; 0,$B152 &amp; "(" &amp; $E152 &amp; ")",IF(SUMPRODUCT(-- ISNUMBER(SEARCH({"Formula","Roll-Up Summary"}, $B152))) &gt; 0,$B152 &amp; " (" &amp; $E152 &amp; ")",IF(SUMPRODUCT(-- ISNUMBER(SEARCH({"Content","Currency","Number","Percent","Text","URL"}, $B152))) &gt; 0,$B152 &amp; "(" &amp; $C152 &amp; ")",$B152)))), "  ", TRIM(IF($S152 = "YES", "(External ID)", "") &amp; " " &amp; IF(SUMPRODUCT(-- ISNUMBER(SEARCH({"Unique","Unique Case Insensitive"}, $R152))) &gt; 0, "(" &amp; $R152 &amp; ")", ""))))</f>
        <v>na</v>
      </c>
      <c r="E152" s="7" t="s">
        <v>195</v>
      </c>
      <c r="F152" s="7" t="s">
        <v>195</v>
      </c>
      <c r="G152" s="7" t="s">
        <v>195</v>
      </c>
      <c r="H152" s="7" t="s">
        <v>195</v>
      </c>
      <c r="I152" s="7" t="s">
        <v>195</v>
      </c>
      <c r="J152" s="7" t="s">
        <v>195</v>
      </c>
      <c r="K152" s="7" t="s">
        <v>195</v>
      </c>
      <c r="L152" s="7" t="s">
        <v>195</v>
      </c>
      <c r="M152" s="7" t="s">
        <v>29</v>
      </c>
      <c r="N152" s="7" t="s">
        <v>29</v>
      </c>
      <c r="O152" s="7" t="s">
        <v>29</v>
      </c>
      <c r="P152" s="7" t="s">
        <v>29</v>
      </c>
      <c r="Q152" s="7" t="s">
        <v>29</v>
      </c>
      <c r="R152" s="7" t="s">
        <v>29</v>
      </c>
      <c r="S152" s="7" t="s">
        <v>29</v>
      </c>
    </row>
    <row r="153" spans="2:19">
      <c r="B153" s="7" t="s">
        <v>195</v>
      </c>
      <c r="C153" s="8" t="s">
        <v>195</v>
      </c>
      <c r="D153" s="6" t="str">
        <f>LRTRIM(CONCATENATE(IF(SUMPRODUCT(-- ISNUMBER(SEARCH({"Auto Number"}, $B153))) &gt; 0, $B153, IF(SUMPRODUCT(-- ISNUMBER(SEARCH({"Lookup","Master-Detail"}, $B153))) &gt; 0,$B153 &amp; "(" &amp; $E153 &amp; ")",IF(SUMPRODUCT(-- ISNUMBER(SEARCH({"Formula","Roll-Up Summary"}, $B153))) &gt; 0,$B153 &amp; " (" &amp; $E153 &amp; ")",IF(SUMPRODUCT(-- ISNUMBER(SEARCH({"Content","Currency","Number","Percent","Text","URL"}, $B153))) &gt; 0,$B153 &amp; "(" &amp; $C153 &amp; ")",$B153)))), "  ", TRIM(IF($S153 = "YES", "(External ID)", "") &amp; " " &amp; IF(SUMPRODUCT(-- ISNUMBER(SEARCH({"Unique","Unique Case Insensitive"}, $R153))) &gt; 0, "(" &amp; $R153 &amp; ")", ""))))</f>
        <v>na</v>
      </c>
      <c r="E153" s="7" t="s">
        <v>195</v>
      </c>
      <c r="F153" s="7" t="s">
        <v>195</v>
      </c>
      <c r="G153" s="7" t="s">
        <v>195</v>
      </c>
      <c r="H153" s="7" t="s">
        <v>195</v>
      </c>
      <c r="I153" s="7" t="s">
        <v>195</v>
      </c>
      <c r="J153" s="7" t="s">
        <v>195</v>
      </c>
      <c r="K153" s="7" t="s">
        <v>195</v>
      </c>
      <c r="L153" s="7" t="s">
        <v>195</v>
      </c>
      <c r="M153" s="7" t="s">
        <v>29</v>
      </c>
      <c r="N153" s="7" t="s">
        <v>29</v>
      </c>
      <c r="O153" s="7" t="s">
        <v>29</v>
      </c>
      <c r="P153" s="7" t="s">
        <v>29</v>
      </c>
      <c r="Q153" s="7" t="s">
        <v>29</v>
      </c>
      <c r="R153" s="7" t="s">
        <v>29</v>
      </c>
      <c r="S153" s="7" t="s">
        <v>29</v>
      </c>
    </row>
    <row r="154" spans="2:19">
      <c r="B154" s="7" t="s">
        <v>195</v>
      </c>
      <c r="C154" s="8" t="s">
        <v>195</v>
      </c>
      <c r="D154" s="6" t="str">
        <f>LRTRIM(CONCATENATE(IF(SUMPRODUCT(-- ISNUMBER(SEARCH({"Auto Number"}, $B154))) &gt; 0, $B154, IF(SUMPRODUCT(-- ISNUMBER(SEARCH({"Lookup","Master-Detail"}, $B154))) &gt; 0,$B154 &amp; "(" &amp; $E154 &amp; ")",IF(SUMPRODUCT(-- ISNUMBER(SEARCH({"Formula","Roll-Up Summary"}, $B154))) &gt; 0,$B154 &amp; " (" &amp; $E154 &amp; ")",IF(SUMPRODUCT(-- ISNUMBER(SEARCH({"Content","Currency","Number","Percent","Text","URL"}, $B154))) &gt; 0,$B154 &amp; "(" &amp; $C154 &amp; ")",$B154)))), "  ", TRIM(IF($S154 = "YES", "(External ID)", "") &amp; " " &amp; IF(SUMPRODUCT(-- ISNUMBER(SEARCH({"Unique","Unique Case Insensitive"}, $R154))) &gt; 0, "(" &amp; $R154 &amp; ")", ""))))</f>
        <v>na</v>
      </c>
      <c r="E154" s="7" t="s">
        <v>195</v>
      </c>
      <c r="F154" s="7" t="s">
        <v>195</v>
      </c>
      <c r="G154" s="7" t="s">
        <v>195</v>
      </c>
      <c r="H154" s="7" t="s">
        <v>195</v>
      </c>
      <c r="I154" s="7" t="s">
        <v>195</v>
      </c>
      <c r="J154" s="7" t="s">
        <v>195</v>
      </c>
      <c r="K154" s="7" t="s">
        <v>195</v>
      </c>
      <c r="L154" s="7" t="s">
        <v>195</v>
      </c>
      <c r="M154" s="7" t="s">
        <v>29</v>
      </c>
      <c r="N154" s="7" t="s">
        <v>29</v>
      </c>
      <c r="O154" s="7" t="s">
        <v>29</v>
      </c>
      <c r="P154" s="7" t="s">
        <v>29</v>
      </c>
      <c r="Q154" s="7" t="s">
        <v>29</v>
      </c>
      <c r="R154" s="7" t="s">
        <v>29</v>
      </c>
      <c r="S154" s="7" t="s">
        <v>29</v>
      </c>
    </row>
    <row r="155" spans="2:19">
      <c r="B155" s="7" t="s">
        <v>195</v>
      </c>
      <c r="C155" s="8" t="s">
        <v>195</v>
      </c>
      <c r="D155" s="6" t="str">
        <f>LRTRIM(CONCATENATE(IF(SUMPRODUCT(-- ISNUMBER(SEARCH({"Auto Number"}, $B155))) &gt; 0, $B155, IF(SUMPRODUCT(-- ISNUMBER(SEARCH({"Lookup","Master-Detail"}, $B155))) &gt; 0,$B155 &amp; "(" &amp; $E155 &amp; ")",IF(SUMPRODUCT(-- ISNUMBER(SEARCH({"Formula","Roll-Up Summary"}, $B155))) &gt; 0,$B155 &amp; " (" &amp; $E155 &amp; ")",IF(SUMPRODUCT(-- ISNUMBER(SEARCH({"Content","Currency","Number","Percent","Text","URL"}, $B155))) &gt; 0,$B155 &amp; "(" &amp; $C155 &amp; ")",$B155)))), "  ", TRIM(IF($S155 = "YES", "(External ID)", "") &amp; " " &amp; IF(SUMPRODUCT(-- ISNUMBER(SEARCH({"Unique","Unique Case Insensitive"}, $R155))) &gt; 0, "(" &amp; $R155 &amp; ")", ""))))</f>
        <v>na</v>
      </c>
      <c r="E155" s="7" t="s">
        <v>195</v>
      </c>
      <c r="F155" s="7" t="s">
        <v>195</v>
      </c>
      <c r="G155" s="7" t="s">
        <v>195</v>
      </c>
      <c r="H155" s="7" t="s">
        <v>195</v>
      </c>
      <c r="I155" s="7" t="s">
        <v>195</v>
      </c>
      <c r="J155" s="7" t="s">
        <v>195</v>
      </c>
      <c r="K155" s="7" t="s">
        <v>195</v>
      </c>
      <c r="L155" s="7" t="s">
        <v>195</v>
      </c>
      <c r="M155" s="7" t="s">
        <v>29</v>
      </c>
      <c r="N155" s="7" t="s">
        <v>29</v>
      </c>
      <c r="O155" s="7" t="s">
        <v>29</v>
      </c>
      <c r="P155" s="7" t="s">
        <v>29</v>
      </c>
      <c r="Q155" s="7" t="s">
        <v>29</v>
      </c>
      <c r="R155" s="7" t="s">
        <v>29</v>
      </c>
      <c r="S155" s="7" t="s">
        <v>29</v>
      </c>
    </row>
    <row r="156" spans="2:19">
      <c r="B156" s="7" t="s">
        <v>195</v>
      </c>
      <c r="C156" s="8" t="s">
        <v>195</v>
      </c>
      <c r="D156" s="6" t="str">
        <f>LRTRIM(CONCATENATE(IF(SUMPRODUCT(-- ISNUMBER(SEARCH({"Auto Number"}, $B156))) &gt; 0, $B156, IF(SUMPRODUCT(-- ISNUMBER(SEARCH({"Lookup","Master-Detail"}, $B156))) &gt; 0,$B156 &amp; "(" &amp; $E156 &amp; ")",IF(SUMPRODUCT(-- ISNUMBER(SEARCH({"Formula","Roll-Up Summary"}, $B156))) &gt; 0,$B156 &amp; " (" &amp; $E156 &amp; ")",IF(SUMPRODUCT(-- ISNUMBER(SEARCH({"Content","Currency","Number","Percent","Text","URL"}, $B156))) &gt; 0,$B156 &amp; "(" &amp; $C156 &amp; ")",$B156)))), "  ", TRIM(IF($S156 = "YES", "(External ID)", "") &amp; " " &amp; IF(SUMPRODUCT(-- ISNUMBER(SEARCH({"Unique","Unique Case Insensitive"}, $R156))) &gt; 0, "(" &amp; $R156 &amp; ")", ""))))</f>
        <v>na</v>
      </c>
      <c r="E156" s="7" t="s">
        <v>195</v>
      </c>
      <c r="F156" s="7" t="s">
        <v>195</v>
      </c>
      <c r="G156" s="7" t="s">
        <v>195</v>
      </c>
      <c r="H156" s="7" t="s">
        <v>195</v>
      </c>
      <c r="I156" s="7" t="s">
        <v>195</v>
      </c>
      <c r="J156" s="7" t="s">
        <v>195</v>
      </c>
      <c r="K156" s="7" t="s">
        <v>195</v>
      </c>
      <c r="L156" s="7" t="s">
        <v>195</v>
      </c>
      <c r="M156" s="7" t="s">
        <v>29</v>
      </c>
      <c r="N156" s="7" t="s">
        <v>29</v>
      </c>
      <c r="O156" s="7" t="s">
        <v>29</v>
      </c>
      <c r="P156" s="7" t="s">
        <v>29</v>
      </c>
      <c r="Q156" s="7" t="s">
        <v>29</v>
      </c>
      <c r="R156" s="7" t="s">
        <v>29</v>
      </c>
      <c r="S156" s="7" t="s">
        <v>29</v>
      </c>
    </row>
    <row r="157" spans="2:19">
      <c r="B157" s="7" t="s">
        <v>195</v>
      </c>
      <c r="C157" s="8" t="s">
        <v>195</v>
      </c>
      <c r="D157" s="6" t="str">
        <f>LRTRIM(CONCATENATE(IF(SUMPRODUCT(-- ISNUMBER(SEARCH({"Auto Number"}, $B157))) &gt; 0, $B157, IF(SUMPRODUCT(-- ISNUMBER(SEARCH({"Lookup","Master-Detail"}, $B157))) &gt; 0,$B157 &amp; "(" &amp; $E157 &amp; ")",IF(SUMPRODUCT(-- ISNUMBER(SEARCH({"Formula","Roll-Up Summary"}, $B157))) &gt; 0,$B157 &amp; " (" &amp; $E157 &amp; ")",IF(SUMPRODUCT(-- ISNUMBER(SEARCH({"Content","Currency","Number","Percent","Text","URL"}, $B157))) &gt; 0,$B157 &amp; "(" &amp; $C157 &amp; ")",$B157)))), "  ", TRIM(IF($S157 = "YES", "(External ID)", "") &amp; " " &amp; IF(SUMPRODUCT(-- ISNUMBER(SEARCH({"Unique","Unique Case Insensitive"}, $R157))) &gt; 0, "(" &amp; $R157 &amp; ")", ""))))</f>
        <v>na</v>
      </c>
      <c r="E157" s="7" t="s">
        <v>195</v>
      </c>
      <c r="F157" s="7" t="s">
        <v>195</v>
      </c>
      <c r="G157" s="7" t="s">
        <v>195</v>
      </c>
      <c r="H157" s="7" t="s">
        <v>195</v>
      </c>
      <c r="I157" s="7" t="s">
        <v>195</v>
      </c>
      <c r="J157" s="7" t="s">
        <v>195</v>
      </c>
      <c r="K157" s="7" t="s">
        <v>195</v>
      </c>
      <c r="L157" s="7" t="s">
        <v>195</v>
      </c>
      <c r="M157" s="7" t="s">
        <v>29</v>
      </c>
      <c r="N157" s="7" t="s">
        <v>29</v>
      </c>
      <c r="O157" s="7" t="s">
        <v>29</v>
      </c>
      <c r="P157" s="7" t="s">
        <v>29</v>
      </c>
      <c r="Q157" s="7" t="s">
        <v>29</v>
      </c>
      <c r="R157" s="7" t="s">
        <v>29</v>
      </c>
      <c r="S157" s="7" t="s">
        <v>29</v>
      </c>
    </row>
    <row r="158" spans="2:19">
      <c r="B158" s="7" t="s">
        <v>195</v>
      </c>
      <c r="C158" s="8" t="s">
        <v>195</v>
      </c>
      <c r="D158" s="6" t="str">
        <f>LRTRIM(CONCATENATE(IF(SUMPRODUCT(-- ISNUMBER(SEARCH({"Auto Number"}, $B158))) &gt; 0, $B158, IF(SUMPRODUCT(-- ISNUMBER(SEARCH({"Lookup","Master-Detail"}, $B158))) &gt; 0,$B158 &amp; "(" &amp; $E158 &amp; ")",IF(SUMPRODUCT(-- ISNUMBER(SEARCH({"Formula","Roll-Up Summary"}, $B158))) &gt; 0,$B158 &amp; " (" &amp; $E158 &amp; ")",IF(SUMPRODUCT(-- ISNUMBER(SEARCH({"Content","Currency","Number","Percent","Text","URL"}, $B158))) &gt; 0,$B158 &amp; "(" &amp; $C158 &amp; ")",$B158)))), "  ", TRIM(IF($S158 = "YES", "(External ID)", "") &amp; " " &amp; IF(SUMPRODUCT(-- ISNUMBER(SEARCH({"Unique","Unique Case Insensitive"}, $R158))) &gt; 0, "(" &amp; $R158 &amp; ")", ""))))</f>
        <v>na</v>
      </c>
      <c r="E158" s="7" t="s">
        <v>195</v>
      </c>
      <c r="F158" s="7" t="s">
        <v>195</v>
      </c>
      <c r="G158" s="7" t="s">
        <v>195</v>
      </c>
      <c r="H158" s="7" t="s">
        <v>195</v>
      </c>
      <c r="I158" s="7" t="s">
        <v>195</v>
      </c>
      <c r="J158" s="7" t="s">
        <v>195</v>
      </c>
      <c r="K158" s="7" t="s">
        <v>195</v>
      </c>
      <c r="L158" s="7" t="s">
        <v>195</v>
      </c>
      <c r="M158" s="7" t="s">
        <v>29</v>
      </c>
      <c r="N158" s="7" t="s">
        <v>29</v>
      </c>
      <c r="O158" s="7" t="s">
        <v>29</v>
      </c>
      <c r="P158" s="7" t="s">
        <v>29</v>
      </c>
      <c r="Q158" s="7" t="s">
        <v>29</v>
      </c>
      <c r="R158" s="7" t="s">
        <v>29</v>
      </c>
      <c r="S158" s="7" t="s">
        <v>29</v>
      </c>
    </row>
    <row r="159" spans="2:19">
      <c r="B159" s="7" t="s">
        <v>195</v>
      </c>
      <c r="C159" s="8" t="s">
        <v>195</v>
      </c>
      <c r="D159" s="6" t="str">
        <f>LRTRIM(CONCATENATE(IF(SUMPRODUCT(-- ISNUMBER(SEARCH({"Auto Number"}, $B159))) &gt; 0, $B159, IF(SUMPRODUCT(-- ISNUMBER(SEARCH({"Lookup","Master-Detail"}, $B159))) &gt; 0,$B159 &amp; "(" &amp; $E159 &amp; ")",IF(SUMPRODUCT(-- ISNUMBER(SEARCH({"Formula","Roll-Up Summary"}, $B159))) &gt; 0,$B159 &amp; " (" &amp; $E159 &amp; ")",IF(SUMPRODUCT(-- ISNUMBER(SEARCH({"Content","Currency","Number","Percent","Text","URL"}, $B159))) &gt; 0,$B159 &amp; "(" &amp; $C159 &amp; ")",$B159)))), "  ", TRIM(IF($S159 = "YES", "(External ID)", "") &amp; " " &amp; IF(SUMPRODUCT(-- ISNUMBER(SEARCH({"Unique","Unique Case Insensitive"}, $R159))) &gt; 0, "(" &amp; $R159 &amp; ")", ""))))</f>
        <v>na</v>
      </c>
      <c r="E159" s="7" t="s">
        <v>195</v>
      </c>
      <c r="F159" s="7" t="s">
        <v>195</v>
      </c>
      <c r="G159" s="7" t="s">
        <v>195</v>
      </c>
      <c r="H159" s="7" t="s">
        <v>195</v>
      </c>
      <c r="I159" s="7" t="s">
        <v>195</v>
      </c>
      <c r="J159" s="7" t="s">
        <v>195</v>
      </c>
      <c r="K159" s="7" t="s">
        <v>195</v>
      </c>
      <c r="L159" s="7" t="s">
        <v>195</v>
      </c>
      <c r="M159" s="7" t="s">
        <v>29</v>
      </c>
      <c r="N159" s="7" t="s">
        <v>29</v>
      </c>
      <c r="O159" s="7" t="s">
        <v>29</v>
      </c>
      <c r="P159" s="7" t="s">
        <v>29</v>
      </c>
      <c r="Q159" s="7" t="s">
        <v>29</v>
      </c>
      <c r="R159" s="7" t="s">
        <v>29</v>
      </c>
      <c r="S159" s="7" t="s">
        <v>29</v>
      </c>
    </row>
    <row r="160" spans="2:19">
      <c r="B160" s="7" t="s">
        <v>195</v>
      </c>
      <c r="C160" s="8" t="s">
        <v>195</v>
      </c>
      <c r="D160" s="6" t="str">
        <f>LRTRIM(CONCATENATE(IF(SUMPRODUCT(-- ISNUMBER(SEARCH({"Auto Number"}, $B160))) &gt; 0, $B160, IF(SUMPRODUCT(-- ISNUMBER(SEARCH({"Lookup","Master-Detail"}, $B160))) &gt; 0,$B160 &amp; "(" &amp; $E160 &amp; ")",IF(SUMPRODUCT(-- ISNUMBER(SEARCH({"Formula","Roll-Up Summary"}, $B160))) &gt; 0,$B160 &amp; " (" &amp; $E160 &amp; ")",IF(SUMPRODUCT(-- ISNUMBER(SEARCH({"Content","Currency","Number","Percent","Text","URL"}, $B160))) &gt; 0,$B160 &amp; "(" &amp; $C160 &amp; ")",$B160)))), "  ", TRIM(IF($S160 = "YES", "(External ID)", "") &amp; " " &amp; IF(SUMPRODUCT(-- ISNUMBER(SEARCH({"Unique","Unique Case Insensitive"}, $R160))) &gt; 0, "(" &amp; $R160 &amp; ")", ""))))</f>
        <v>na</v>
      </c>
      <c r="E160" s="7" t="s">
        <v>195</v>
      </c>
      <c r="F160" s="7" t="s">
        <v>195</v>
      </c>
      <c r="G160" s="7" t="s">
        <v>195</v>
      </c>
      <c r="H160" s="7" t="s">
        <v>195</v>
      </c>
      <c r="I160" s="7" t="s">
        <v>195</v>
      </c>
      <c r="J160" s="7" t="s">
        <v>195</v>
      </c>
      <c r="K160" s="7" t="s">
        <v>195</v>
      </c>
      <c r="L160" s="7" t="s">
        <v>195</v>
      </c>
      <c r="M160" s="7" t="s">
        <v>29</v>
      </c>
      <c r="N160" s="7" t="s">
        <v>29</v>
      </c>
      <c r="O160" s="7" t="s">
        <v>29</v>
      </c>
      <c r="P160" s="7" t="s">
        <v>29</v>
      </c>
      <c r="Q160" s="7" t="s">
        <v>29</v>
      </c>
      <c r="R160" s="7" t="s">
        <v>29</v>
      </c>
      <c r="S160" s="7" t="s">
        <v>29</v>
      </c>
    </row>
    <row r="161" spans="2:19">
      <c r="B161" s="7" t="s">
        <v>195</v>
      </c>
      <c r="C161" s="8" t="s">
        <v>195</v>
      </c>
      <c r="D161" s="6" t="str">
        <f>LRTRIM(CONCATENATE(IF(SUMPRODUCT(-- ISNUMBER(SEARCH({"Auto Number"}, $B161))) &gt; 0, $B161, IF(SUMPRODUCT(-- ISNUMBER(SEARCH({"Lookup","Master-Detail"}, $B161))) &gt; 0,$B161 &amp; "(" &amp; $E161 &amp; ")",IF(SUMPRODUCT(-- ISNUMBER(SEARCH({"Formula","Roll-Up Summary"}, $B161))) &gt; 0,$B161 &amp; " (" &amp; $E161 &amp; ")",IF(SUMPRODUCT(-- ISNUMBER(SEARCH({"Content","Currency","Number","Percent","Text","URL"}, $B161))) &gt; 0,$B161 &amp; "(" &amp; $C161 &amp; ")",$B161)))), "  ", TRIM(IF($S161 = "YES", "(External ID)", "") &amp; " " &amp; IF(SUMPRODUCT(-- ISNUMBER(SEARCH({"Unique","Unique Case Insensitive"}, $R161))) &gt; 0, "(" &amp; $R161 &amp; ")", ""))))</f>
        <v>na</v>
      </c>
      <c r="E161" s="7" t="s">
        <v>195</v>
      </c>
      <c r="F161" s="7" t="s">
        <v>195</v>
      </c>
      <c r="G161" s="7" t="s">
        <v>195</v>
      </c>
      <c r="H161" s="7" t="s">
        <v>195</v>
      </c>
      <c r="I161" s="7" t="s">
        <v>195</v>
      </c>
      <c r="J161" s="7" t="s">
        <v>195</v>
      </c>
      <c r="K161" s="7" t="s">
        <v>195</v>
      </c>
      <c r="L161" s="7" t="s">
        <v>195</v>
      </c>
      <c r="M161" s="7" t="s">
        <v>29</v>
      </c>
      <c r="N161" s="7" t="s">
        <v>29</v>
      </c>
      <c r="O161" s="7" t="s">
        <v>29</v>
      </c>
      <c r="P161" s="7" t="s">
        <v>29</v>
      </c>
      <c r="Q161" s="7" t="s">
        <v>29</v>
      </c>
      <c r="R161" s="7" t="s">
        <v>29</v>
      </c>
      <c r="S161" s="7" t="s">
        <v>29</v>
      </c>
    </row>
    <row r="162" spans="2:19">
      <c r="B162" s="7" t="s">
        <v>195</v>
      </c>
      <c r="C162" s="8" t="s">
        <v>195</v>
      </c>
      <c r="D162" s="6" t="str">
        <f>LRTRIM(CONCATENATE(IF(SUMPRODUCT(-- ISNUMBER(SEARCH({"Auto Number"}, $B162))) &gt; 0, $B162, IF(SUMPRODUCT(-- ISNUMBER(SEARCH({"Lookup","Master-Detail"}, $B162))) &gt; 0,$B162 &amp; "(" &amp; $E162 &amp; ")",IF(SUMPRODUCT(-- ISNUMBER(SEARCH({"Formula","Roll-Up Summary"}, $B162))) &gt; 0,$B162 &amp; " (" &amp; $E162 &amp; ")",IF(SUMPRODUCT(-- ISNUMBER(SEARCH({"Content","Currency","Number","Percent","Text","URL"}, $B162))) &gt; 0,$B162 &amp; "(" &amp; $C162 &amp; ")",$B162)))), "  ", TRIM(IF($S162 = "YES", "(External ID)", "") &amp; " " &amp; IF(SUMPRODUCT(-- ISNUMBER(SEARCH({"Unique","Unique Case Insensitive"}, $R162))) &gt; 0, "(" &amp; $R162 &amp; ")", ""))))</f>
        <v>na</v>
      </c>
      <c r="E162" s="7" t="s">
        <v>195</v>
      </c>
      <c r="F162" s="7" t="s">
        <v>195</v>
      </c>
      <c r="G162" s="7" t="s">
        <v>195</v>
      </c>
      <c r="H162" s="7" t="s">
        <v>195</v>
      </c>
      <c r="I162" s="7" t="s">
        <v>195</v>
      </c>
      <c r="J162" s="7" t="s">
        <v>195</v>
      </c>
      <c r="K162" s="7" t="s">
        <v>195</v>
      </c>
      <c r="L162" s="7" t="s">
        <v>195</v>
      </c>
      <c r="M162" s="7" t="s">
        <v>29</v>
      </c>
      <c r="N162" s="7" t="s">
        <v>29</v>
      </c>
      <c r="O162" s="7" t="s">
        <v>29</v>
      </c>
      <c r="P162" s="7" t="s">
        <v>29</v>
      </c>
      <c r="Q162" s="7" t="s">
        <v>29</v>
      </c>
      <c r="R162" s="7" t="s">
        <v>29</v>
      </c>
      <c r="S162" s="7" t="s">
        <v>29</v>
      </c>
    </row>
    <row r="163" spans="2:19">
      <c r="B163" s="7" t="s">
        <v>195</v>
      </c>
      <c r="C163" s="8" t="s">
        <v>195</v>
      </c>
      <c r="D163" s="6" t="str">
        <f>LRTRIM(CONCATENATE(IF(SUMPRODUCT(-- ISNUMBER(SEARCH({"Auto Number"}, $B163))) &gt; 0, $B163, IF(SUMPRODUCT(-- ISNUMBER(SEARCH({"Lookup","Master-Detail"}, $B163))) &gt; 0,$B163 &amp; "(" &amp; $E163 &amp; ")",IF(SUMPRODUCT(-- ISNUMBER(SEARCH({"Formula","Roll-Up Summary"}, $B163))) &gt; 0,$B163 &amp; " (" &amp; $E163 &amp; ")",IF(SUMPRODUCT(-- ISNUMBER(SEARCH({"Content","Currency","Number","Percent","Text","URL"}, $B163))) &gt; 0,$B163 &amp; "(" &amp; $C163 &amp; ")",$B163)))), "  ", TRIM(IF($S163 = "YES", "(External ID)", "") &amp; " " &amp; IF(SUMPRODUCT(-- ISNUMBER(SEARCH({"Unique","Unique Case Insensitive"}, $R163))) &gt; 0, "(" &amp; $R163 &amp; ")", ""))))</f>
        <v>na</v>
      </c>
      <c r="E163" s="7" t="s">
        <v>195</v>
      </c>
      <c r="F163" s="7" t="s">
        <v>195</v>
      </c>
      <c r="G163" s="7" t="s">
        <v>195</v>
      </c>
      <c r="H163" s="7" t="s">
        <v>195</v>
      </c>
      <c r="I163" s="7" t="s">
        <v>195</v>
      </c>
      <c r="J163" s="7" t="s">
        <v>195</v>
      </c>
      <c r="K163" s="7" t="s">
        <v>195</v>
      </c>
      <c r="L163" s="7" t="s">
        <v>195</v>
      </c>
      <c r="M163" s="7" t="s">
        <v>29</v>
      </c>
      <c r="N163" s="7" t="s">
        <v>29</v>
      </c>
      <c r="O163" s="7" t="s">
        <v>29</v>
      </c>
      <c r="P163" s="7" t="s">
        <v>29</v>
      </c>
      <c r="Q163" s="7" t="s">
        <v>29</v>
      </c>
      <c r="R163" s="7" t="s">
        <v>29</v>
      </c>
      <c r="S163" s="7" t="s">
        <v>29</v>
      </c>
    </row>
    <row r="164" spans="2:19">
      <c r="B164" s="7" t="s">
        <v>195</v>
      </c>
      <c r="C164" s="8" t="s">
        <v>195</v>
      </c>
      <c r="D164" s="6" t="str">
        <f>LRTRIM(CONCATENATE(IF(SUMPRODUCT(-- ISNUMBER(SEARCH({"Auto Number"}, $B164))) &gt; 0, $B164, IF(SUMPRODUCT(-- ISNUMBER(SEARCH({"Lookup","Master-Detail"}, $B164))) &gt; 0,$B164 &amp; "(" &amp; $E164 &amp; ")",IF(SUMPRODUCT(-- ISNUMBER(SEARCH({"Formula","Roll-Up Summary"}, $B164))) &gt; 0,$B164 &amp; " (" &amp; $E164 &amp; ")",IF(SUMPRODUCT(-- ISNUMBER(SEARCH({"Content","Currency","Number","Percent","Text","URL"}, $B164))) &gt; 0,$B164 &amp; "(" &amp; $C164 &amp; ")",$B164)))), "  ", TRIM(IF($S164 = "YES", "(External ID)", "") &amp; " " &amp; IF(SUMPRODUCT(-- ISNUMBER(SEARCH({"Unique","Unique Case Insensitive"}, $R164))) &gt; 0, "(" &amp; $R164 &amp; ")", ""))))</f>
        <v>na</v>
      </c>
      <c r="E164" s="7" t="s">
        <v>195</v>
      </c>
      <c r="F164" s="7" t="s">
        <v>195</v>
      </c>
      <c r="G164" s="7" t="s">
        <v>195</v>
      </c>
      <c r="H164" s="7" t="s">
        <v>195</v>
      </c>
      <c r="I164" s="7" t="s">
        <v>195</v>
      </c>
      <c r="J164" s="7" t="s">
        <v>195</v>
      </c>
      <c r="K164" s="7" t="s">
        <v>195</v>
      </c>
      <c r="L164" s="7" t="s">
        <v>195</v>
      </c>
      <c r="M164" s="7" t="s">
        <v>29</v>
      </c>
      <c r="N164" s="7" t="s">
        <v>29</v>
      </c>
      <c r="O164" s="7" t="s">
        <v>29</v>
      </c>
      <c r="P164" s="7" t="s">
        <v>29</v>
      </c>
      <c r="Q164" s="7" t="s">
        <v>29</v>
      </c>
      <c r="R164" s="7" t="s">
        <v>29</v>
      </c>
      <c r="S164" s="7" t="s">
        <v>29</v>
      </c>
    </row>
    <row r="165" spans="2:19">
      <c r="B165" s="7" t="s">
        <v>195</v>
      </c>
      <c r="C165" s="8" t="s">
        <v>195</v>
      </c>
      <c r="D165" s="6" t="str">
        <f>LRTRIM(CONCATENATE(IF(SUMPRODUCT(-- ISNUMBER(SEARCH({"Auto Number"}, $B165))) &gt; 0, $B165, IF(SUMPRODUCT(-- ISNUMBER(SEARCH({"Lookup","Master-Detail"}, $B165))) &gt; 0,$B165 &amp; "(" &amp; $E165 &amp; ")",IF(SUMPRODUCT(-- ISNUMBER(SEARCH({"Formula","Roll-Up Summary"}, $B165))) &gt; 0,$B165 &amp; " (" &amp; $E165 &amp; ")",IF(SUMPRODUCT(-- ISNUMBER(SEARCH({"Content","Currency","Number","Percent","Text","URL"}, $B165))) &gt; 0,$B165 &amp; "(" &amp; $C165 &amp; ")",$B165)))), "  ", TRIM(IF($S165 = "YES", "(External ID)", "") &amp; " " &amp; IF(SUMPRODUCT(-- ISNUMBER(SEARCH({"Unique","Unique Case Insensitive"}, $R165))) &gt; 0, "(" &amp; $R165 &amp; ")", ""))))</f>
        <v>na</v>
      </c>
      <c r="E165" s="7" t="s">
        <v>195</v>
      </c>
      <c r="F165" s="7" t="s">
        <v>195</v>
      </c>
      <c r="G165" s="7" t="s">
        <v>195</v>
      </c>
      <c r="H165" s="7" t="s">
        <v>195</v>
      </c>
      <c r="I165" s="7" t="s">
        <v>195</v>
      </c>
      <c r="J165" s="7" t="s">
        <v>195</v>
      </c>
      <c r="K165" s="7" t="s">
        <v>195</v>
      </c>
      <c r="L165" s="7" t="s">
        <v>195</v>
      </c>
      <c r="M165" s="7" t="s">
        <v>29</v>
      </c>
      <c r="N165" s="7" t="s">
        <v>29</v>
      </c>
      <c r="O165" s="7" t="s">
        <v>29</v>
      </c>
      <c r="P165" s="7" t="s">
        <v>29</v>
      </c>
      <c r="Q165" s="7" t="s">
        <v>29</v>
      </c>
      <c r="R165" s="7" t="s">
        <v>29</v>
      </c>
      <c r="S165" s="7" t="s">
        <v>29</v>
      </c>
    </row>
    <row r="166" spans="2:19">
      <c r="B166" s="7" t="s">
        <v>195</v>
      </c>
      <c r="C166" s="8" t="s">
        <v>195</v>
      </c>
      <c r="D166" s="6" t="str">
        <f>LRTRIM(CONCATENATE(IF(SUMPRODUCT(-- ISNUMBER(SEARCH({"Auto Number"}, $B166))) &gt; 0, $B166, IF(SUMPRODUCT(-- ISNUMBER(SEARCH({"Lookup","Master-Detail"}, $B166))) &gt; 0,$B166 &amp; "(" &amp; $E166 &amp; ")",IF(SUMPRODUCT(-- ISNUMBER(SEARCH({"Formula","Roll-Up Summary"}, $B166))) &gt; 0,$B166 &amp; " (" &amp; $E166 &amp; ")",IF(SUMPRODUCT(-- ISNUMBER(SEARCH({"Content","Currency","Number","Percent","Text","URL"}, $B166))) &gt; 0,$B166 &amp; "(" &amp; $C166 &amp; ")",$B166)))), "  ", TRIM(IF($S166 = "YES", "(External ID)", "") &amp; " " &amp; IF(SUMPRODUCT(-- ISNUMBER(SEARCH({"Unique","Unique Case Insensitive"}, $R166))) &gt; 0, "(" &amp; $R166 &amp; ")", ""))))</f>
        <v>na</v>
      </c>
      <c r="E166" s="7" t="s">
        <v>195</v>
      </c>
      <c r="F166" s="7" t="s">
        <v>195</v>
      </c>
      <c r="G166" s="7" t="s">
        <v>195</v>
      </c>
      <c r="H166" s="7" t="s">
        <v>195</v>
      </c>
      <c r="I166" s="7" t="s">
        <v>195</v>
      </c>
      <c r="J166" s="7" t="s">
        <v>195</v>
      </c>
      <c r="K166" s="7" t="s">
        <v>195</v>
      </c>
      <c r="L166" s="7" t="s">
        <v>195</v>
      </c>
      <c r="M166" s="7" t="s">
        <v>29</v>
      </c>
      <c r="N166" s="7" t="s">
        <v>29</v>
      </c>
      <c r="O166" s="7" t="s">
        <v>29</v>
      </c>
      <c r="P166" s="7" t="s">
        <v>29</v>
      </c>
      <c r="Q166" s="7" t="s">
        <v>29</v>
      </c>
      <c r="R166" s="7" t="s">
        <v>29</v>
      </c>
      <c r="S166" s="7" t="s">
        <v>29</v>
      </c>
    </row>
    <row r="167" spans="2:19">
      <c r="B167" s="7" t="s">
        <v>195</v>
      </c>
      <c r="C167" s="8" t="s">
        <v>195</v>
      </c>
      <c r="D167" s="6" t="str">
        <f>LRTRIM(CONCATENATE(IF(SUMPRODUCT(-- ISNUMBER(SEARCH({"Auto Number"}, $B167))) &gt; 0, $B167, IF(SUMPRODUCT(-- ISNUMBER(SEARCH({"Lookup","Master-Detail"}, $B167))) &gt; 0,$B167 &amp; "(" &amp; $E167 &amp; ")",IF(SUMPRODUCT(-- ISNUMBER(SEARCH({"Formula","Roll-Up Summary"}, $B167))) &gt; 0,$B167 &amp; " (" &amp; $E167 &amp; ")",IF(SUMPRODUCT(-- ISNUMBER(SEARCH({"Content","Currency","Number","Percent","Text","URL"}, $B167))) &gt; 0,$B167 &amp; "(" &amp; $C167 &amp; ")",$B167)))), "  ", TRIM(IF($S167 = "YES", "(External ID)", "") &amp; " " &amp; IF(SUMPRODUCT(-- ISNUMBER(SEARCH({"Unique","Unique Case Insensitive"}, $R167))) &gt; 0, "(" &amp; $R167 &amp; ")", ""))))</f>
        <v>na</v>
      </c>
      <c r="E167" s="7" t="s">
        <v>195</v>
      </c>
      <c r="F167" s="7" t="s">
        <v>195</v>
      </c>
      <c r="G167" s="7" t="s">
        <v>195</v>
      </c>
      <c r="H167" s="7" t="s">
        <v>195</v>
      </c>
      <c r="I167" s="7" t="s">
        <v>195</v>
      </c>
      <c r="J167" s="7" t="s">
        <v>195</v>
      </c>
      <c r="K167" s="7" t="s">
        <v>195</v>
      </c>
      <c r="L167" s="7" t="s">
        <v>195</v>
      </c>
      <c r="M167" s="7" t="s">
        <v>29</v>
      </c>
      <c r="N167" s="7" t="s">
        <v>29</v>
      </c>
      <c r="O167" s="7" t="s">
        <v>29</v>
      </c>
      <c r="P167" s="7" t="s">
        <v>29</v>
      </c>
      <c r="Q167" s="7" t="s">
        <v>29</v>
      </c>
      <c r="R167" s="7" t="s">
        <v>29</v>
      </c>
      <c r="S167" s="7" t="s">
        <v>29</v>
      </c>
    </row>
    <row r="168" spans="2:19">
      <c r="B168" s="7" t="s">
        <v>195</v>
      </c>
      <c r="C168" s="8" t="s">
        <v>195</v>
      </c>
      <c r="D168" s="6" t="str">
        <f>LRTRIM(CONCATENATE(IF(SUMPRODUCT(-- ISNUMBER(SEARCH({"Auto Number"}, $B168))) &gt; 0, $B168, IF(SUMPRODUCT(-- ISNUMBER(SEARCH({"Lookup","Master-Detail"}, $B168))) &gt; 0,$B168 &amp; "(" &amp; $E168 &amp; ")",IF(SUMPRODUCT(-- ISNUMBER(SEARCH({"Formula","Roll-Up Summary"}, $B168))) &gt; 0,$B168 &amp; " (" &amp; $E168 &amp; ")",IF(SUMPRODUCT(-- ISNUMBER(SEARCH({"Content","Currency","Number","Percent","Text","URL"}, $B168))) &gt; 0,$B168 &amp; "(" &amp; $C168 &amp; ")",$B168)))), "  ", TRIM(IF($S168 = "YES", "(External ID)", "") &amp; " " &amp; IF(SUMPRODUCT(-- ISNUMBER(SEARCH({"Unique","Unique Case Insensitive"}, $R168))) &gt; 0, "(" &amp; $R168 &amp; ")", ""))))</f>
        <v>na</v>
      </c>
      <c r="E168" s="7" t="s">
        <v>195</v>
      </c>
      <c r="F168" s="7" t="s">
        <v>195</v>
      </c>
      <c r="G168" s="7" t="s">
        <v>195</v>
      </c>
      <c r="H168" s="7" t="s">
        <v>195</v>
      </c>
      <c r="I168" s="7" t="s">
        <v>195</v>
      </c>
      <c r="J168" s="7" t="s">
        <v>195</v>
      </c>
      <c r="K168" s="7" t="s">
        <v>195</v>
      </c>
      <c r="L168" s="7" t="s">
        <v>195</v>
      </c>
      <c r="M168" s="7" t="s">
        <v>29</v>
      </c>
      <c r="N168" s="7" t="s">
        <v>29</v>
      </c>
      <c r="O168" s="7" t="s">
        <v>29</v>
      </c>
      <c r="P168" s="7" t="s">
        <v>29</v>
      </c>
      <c r="Q168" s="7" t="s">
        <v>29</v>
      </c>
      <c r="R168" s="7" t="s">
        <v>29</v>
      </c>
      <c r="S168" s="7" t="s">
        <v>29</v>
      </c>
    </row>
    <row r="169" spans="2:19">
      <c r="B169" s="7" t="s">
        <v>195</v>
      </c>
      <c r="C169" s="8" t="s">
        <v>195</v>
      </c>
      <c r="D169" s="6" t="str">
        <f>LRTRIM(CONCATENATE(IF(SUMPRODUCT(-- ISNUMBER(SEARCH({"Auto Number"}, $B169))) &gt; 0, $B169, IF(SUMPRODUCT(-- ISNUMBER(SEARCH({"Lookup","Master-Detail"}, $B169))) &gt; 0,$B169 &amp; "(" &amp; $E169 &amp; ")",IF(SUMPRODUCT(-- ISNUMBER(SEARCH({"Formula","Roll-Up Summary"}, $B169))) &gt; 0,$B169 &amp; " (" &amp; $E169 &amp; ")",IF(SUMPRODUCT(-- ISNUMBER(SEARCH({"Content","Currency","Number","Percent","Text","URL"}, $B169))) &gt; 0,$B169 &amp; "(" &amp; $C169 &amp; ")",$B169)))), "  ", TRIM(IF($S169 = "YES", "(External ID)", "") &amp; " " &amp; IF(SUMPRODUCT(-- ISNUMBER(SEARCH({"Unique","Unique Case Insensitive"}, $R169))) &gt; 0, "(" &amp; $R169 &amp; ")", ""))))</f>
        <v>na</v>
      </c>
      <c r="E169" s="7" t="s">
        <v>195</v>
      </c>
      <c r="F169" s="7" t="s">
        <v>195</v>
      </c>
      <c r="G169" s="7" t="s">
        <v>195</v>
      </c>
      <c r="H169" s="7" t="s">
        <v>195</v>
      </c>
      <c r="I169" s="7" t="s">
        <v>195</v>
      </c>
      <c r="J169" s="7" t="s">
        <v>195</v>
      </c>
      <c r="K169" s="7" t="s">
        <v>195</v>
      </c>
      <c r="L169" s="7" t="s">
        <v>195</v>
      </c>
      <c r="M169" s="7" t="s">
        <v>29</v>
      </c>
      <c r="N169" s="7" t="s">
        <v>29</v>
      </c>
      <c r="O169" s="7" t="s">
        <v>29</v>
      </c>
      <c r="P169" s="7" t="s">
        <v>29</v>
      </c>
      <c r="Q169" s="7" t="s">
        <v>29</v>
      </c>
      <c r="R169" s="7" t="s">
        <v>29</v>
      </c>
      <c r="S169" s="7" t="s">
        <v>29</v>
      </c>
    </row>
    <row r="170" spans="2:19">
      <c r="B170" s="7" t="s">
        <v>195</v>
      </c>
      <c r="C170" s="8" t="s">
        <v>195</v>
      </c>
      <c r="D170" s="6" t="str">
        <f>LRTRIM(CONCATENATE(IF(SUMPRODUCT(-- ISNUMBER(SEARCH({"Auto Number"}, $B170))) &gt; 0, $B170, IF(SUMPRODUCT(-- ISNUMBER(SEARCH({"Lookup","Master-Detail"}, $B170))) &gt; 0,$B170 &amp; "(" &amp; $E170 &amp; ")",IF(SUMPRODUCT(-- ISNUMBER(SEARCH({"Formula","Roll-Up Summary"}, $B170))) &gt; 0,$B170 &amp; " (" &amp; $E170 &amp; ")",IF(SUMPRODUCT(-- ISNUMBER(SEARCH({"Content","Currency","Number","Percent","Text","URL"}, $B170))) &gt; 0,$B170 &amp; "(" &amp; $C170 &amp; ")",$B170)))), "  ", TRIM(IF($S170 = "YES", "(External ID)", "") &amp; " " &amp; IF(SUMPRODUCT(-- ISNUMBER(SEARCH({"Unique","Unique Case Insensitive"}, $R170))) &gt; 0, "(" &amp; $R170 &amp; ")", ""))))</f>
        <v>na</v>
      </c>
      <c r="E170" s="7" t="s">
        <v>195</v>
      </c>
      <c r="F170" s="7" t="s">
        <v>195</v>
      </c>
      <c r="G170" s="7" t="s">
        <v>195</v>
      </c>
      <c r="H170" s="7" t="s">
        <v>195</v>
      </c>
      <c r="I170" s="7" t="s">
        <v>195</v>
      </c>
      <c r="J170" s="7" t="s">
        <v>195</v>
      </c>
      <c r="K170" s="7" t="s">
        <v>195</v>
      </c>
      <c r="L170" s="7" t="s">
        <v>195</v>
      </c>
      <c r="M170" s="7" t="s">
        <v>29</v>
      </c>
      <c r="N170" s="7" t="s">
        <v>29</v>
      </c>
      <c r="O170" s="7" t="s">
        <v>29</v>
      </c>
      <c r="P170" s="7" t="s">
        <v>29</v>
      </c>
      <c r="Q170" s="7" t="s">
        <v>29</v>
      </c>
      <c r="R170" s="7" t="s">
        <v>29</v>
      </c>
      <c r="S170" s="7" t="s">
        <v>29</v>
      </c>
    </row>
    <row r="171" spans="2:19">
      <c r="B171" s="7" t="s">
        <v>195</v>
      </c>
      <c r="C171" s="8" t="s">
        <v>195</v>
      </c>
      <c r="D171" s="6" t="str">
        <f>LRTRIM(CONCATENATE(IF(SUMPRODUCT(-- ISNUMBER(SEARCH({"Auto Number"}, $B171))) &gt; 0, $B171, IF(SUMPRODUCT(-- ISNUMBER(SEARCH({"Lookup","Master-Detail"}, $B171))) &gt; 0,$B171 &amp; "(" &amp; $E171 &amp; ")",IF(SUMPRODUCT(-- ISNUMBER(SEARCH({"Formula","Roll-Up Summary"}, $B171))) &gt; 0,$B171 &amp; " (" &amp; $E171 &amp; ")",IF(SUMPRODUCT(-- ISNUMBER(SEARCH({"Content","Currency","Number","Percent","Text","URL"}, $B171))) &gt; 0,$B171 &amp; "(" &amp; $C171 &amp; ")",$B171)))), "  ", TRIM(IF($S171 = "YES", "(External ID)", "") &amp; " " &amp; IF(SUMPRODUCT(-- ISNUMBER(SEARCH({"Unique","Unique Case Insensitive"}, $R171))) &gt; 0, "(" &amp; $R171 &amp; ")", ""))))</f>
        <v>na</v>
      </c>
      <c r="E171" s="7" t="s">
        <v>195</v>
      </c>
      <c r="F171" s="7" t="s">
        <v>195</v>
      </c>
      <c r="G171" s="7" t="s">
        <v>195</v>
      </c>
      <c r="H171" s="7" t="s">
        <v>195</v>
      </c>
      <c r="I171" s="7" t="s">
        <v>195</v>
      </c>
      <c r="J171" s="7" t="s">
        <v>195</v>
      </c>
      <c r="K171" s="7" t="s">
        <v>195</v>
      </c>
      <c r="L171" s="7" t="s">
        <v>195</v>
      </c>
      <c r="M171" s="7" t="s">
        <v>29</v>
      </c>
      <c r="N171" s="7" t="s">
        <v>29</v>
      </c>
      <c r="O171" s="7" t="s">
        <v>29</v>
      </c>
      <c r="P171" s="7" t="s">
        <v>29</v>
      </c>
      <c r="Q171" s="7" t="s">
        <v>29</v>
      </c>
      <c r="R171" s="7" t="s">
        <v>29</v>
      </c>
      <c r="S171" s="7" t="s">
        <v>29</v>
      </c>
    </row>
    <row r="172" spans="2:19">
      <c r="B172" s="7" t="s">
        <v>195</v>
      </c>
      <c r="C172" s="8" t="s">
        <v>195</v>
      </c>
      <c r="D172" s="6" t="str">
        <f>LRTRIM(CONCATENATE(IF(SUMPRODUCT(-- ISNUMBER(SEARCH({"Auto Number"}, $B172))) &gt; 0, $B172, IF(SUMPRODUCT(-- ISNUMBER(SEARCH({"Lookup","Master-Detail"}, $B172))) &gt; 0,$B172 &amp; "(" &amp; $E172 &amp; ")",IF(SUMPRODUCT(-- ISNUMBER(SEARCH({"Formula","Roll-Up Summary"}, $B172))) &gt; 0,$B172 &amp; " (" &amp; $E172 &amp; ")",IF(SUMPRODUCT(-- ISNUMBER(SEARCH({"Content","Currency","Number","Percent","Text","URL"}, $B172))) &gt; 0,$B172 &amp; "(" &amp; $C172 &amp; ")",$B172)))), "  ", TRIM(IF($S172 = "YES", "(External ID)", "") &amp; " " &amp; IF(SUMPRODUCT(-- ISNUMBER(SEARCH({"Unique","Unique Case Insensitive"}, $R172))) &gt; 0, "(" &amp; $R172 &amp; ")", ""))))</f>
        <v>na</v>
      </c>
      <c r="E172" s="7" t="s">
        <v>195</v>
      </c>
      <c r="F172" s="7" t="s">
        <v>195</v>
      </c>
      <c r="G172" s="7" t="s">
        <v>195</v>
      </c>
      <c r="H172" s="7" t="s">
        <v>195</v>
      </c>
      <c r="I172" s="7" t="s">
        <v>195</v>
      </c>
      <c r="J172" s="7" t="s">
        <v>195</v>
      </c>
      <c r="K172" s="7" t="s">
        <v>195</v>
      </c>
      <c r="L172" s="7" t="s">
        <v>195</v>
      </c>
      <c r="M172" s="7" t="s">
        <v>29</v>
      </c>
      <c r="N172" s="7" t="s">
        <v>29</v>
      </c>
      <c r="O172" s="7" t="s">
        <v>29</v>
      </c>
      <c r="P172" s="7" t="s">
        <v>29</v>
      </c>
      <c r="Q172" s="7" t="s">
        <v>29</v>
      </c>
      <c r="R172" s="7" t="s">
        <v>29</v>
      </c>
      <c r="S172" s="7" t="s">
        <v>29</v>
      </c>
    </row>
    <row r="173" spans="2:19">
      <c r="B173" s="7" t="s">
        <v>195</v>
      </c>
      <c r="C173" s="8" t="s">
        <v>195</v>
      </c>
      <c r="D173" s="6" t="str">
        <f>LRTRIM(CONCATENATE(IF(SUMPRODUCT(-- ISNUMBER(SEARCH({"Auto Number"}, $B173))) &gt; 0, $B173, IF(SUMPRODUCT(-- ISNUMBER(SEARCH({"Lookup","Master-Detail"}, $B173))) &gt; 0,$B173 &amp; "(" &amp; $E173 &amp; ")",IF(SUMPRODUCT(-- ISNUMBER(SEARCH({"Formula","Roll-Up Summary"}, $B173))) &gt; 0,$B173 &amp; " (" &amp; $E173 &amp; ")",IF(SUMPRODUCT(-- ISNUMBER(SEARCH({"Content","Currency","Number","Percent","Text","URL"}, $B173))) &gt; 0,$B173 &amp; "(" &amp; $C173 &amp; ")",$B173)))), "  ", TRIM(IF($S173 = "YES", "(External ID)", "") &amp; " " &amp; IF(SUMPRODUCT(-- ISNUMBER(SEARCH({"Unique","Unique Case Insensitive"}, $R173))) &gt; 0, "(" &amp; $R173 &amp; ")", ""))))</f>
        <v>na</v>
      </c>
      <c r="E173" s="7" t="s">
        <v>195</v>
      </c>
      <c r="F173" s="7" t="s">
        <v>195</v>
      </c>
      <c r="G173" s="7" t="s">
        <v>195</v>
      </c>
      <c r="H173" s="7" t="s">
        <v>195</v>
      </c>
      <c r="I173" s="7" t="s">
        <v>195</v>
      </c>
      <c r="J173" s="7" t="s">
        <v>195</v>
      </c>
      <c r="K173" s="7" t="s">
        <v>195</v>
      </c>
      <c r="L173" s="7" t="s">
        <v>195</v>
      </c>
      <c r="M173" s="7" t="s">
        <v>29</v>
      </c>
      <c r="N173" s="7" t="s">
        <v>29</v>
      </c>
      <c r="O173" s="7" t="s">
        <v>29</v>
      </c>
      <c r="P173" s="7" t="s">
        <v>29</v>
      </c>
      <c r="Q173" s="7" t="s">
        <v>29</v>
      </c>
      <c r="R173" s="7" t="s">
        <v>29</v>
      </c>
      <c r="S173" s="7" t="s">
        <v>29</v>
      </c>
    </row>
    <row r="174" spans="2:19">
      <c r="B174" s="7" t="s">
        <v>195</v>
      </c>
      <c r="C174" s="8" t="s">
        <v>195</v>
      </c>
      <c r="D174" s="6" t="str">
        <f>LRTRIM(CONCATENATE(IF(SUMPRODUCT(-- ISNUMBER(SEARCH({"Auto Number"}, $B174))) &gt; 0, $B174, IF(SUMPRODUCT(-- ISNUMBER(SEARCH({"Lookup","Master-Detail"}, $B174))) &gt; 0,$B174 &amp; "(" &amp; $E174 &amp; ")",IF(SUMPRODUCT(-- ISNUMBER(SEARCH({"Formula","Roll-Up Summary"}, $B174))) &gt; 0,$B174 &amp; " (" &amp; $E174 &amp; ")",IF(SUMPRODUCT(-- ISNUMBER(SEARCH({"Content","Currency","Number","Percent","Text","URL"}, $B174))) &gt; 0,$B174 &amp; "(" &amp; $C174 &amp; ")",$B174)))), "  ", TRIM(IF($S174 = "YES", "(External ID)", "") &amp; " " &amp; IF(SUMPRODUCT(-- ISNUMBER(SEARCH({"Unique","Unique Case Insensitive"}, $R174))) &gt; 0, "(" &amp; $R174 &amp; ")", ""))))</f>
        <v>na</v>
      </c>
      <c r="E174" s="7" t="s">
        <v>195</v>
      </c>
      <c r="F174" s="7" t="s">
        <v>195</v>
      </c>
      <c r="G174" s="7" t="s">
        <v>195</v>
      </c>
      <c r="H174" s="7" t="s">
        <v>195</v>
      </c>
      <c r="I174" s="7" t="s">
        <v>195</v>
      </c>
      <c r="J174" s="7" t="s">
        <v>195</v>
      </c>
      <c r="K174" s="7" t="s">
        <v>195</v>
      </c>
      <c r="L174" s="7" t="s">
        <v>195</v>
      </c>
      <c r="M174" s="7" t="s">
        <v>29</v>
      </c>
      <c r="N174" s="7" t="s">
        <v>29</v>
      </c>
      <c r="O174" s="7" t="s">
        <v>29</v>
      </c>
      <c r="P174" s="7" t="s">
        <v>29</v>
      </c>
      <c r="Q174" s="7" t="s">
        <v>29</v>
      </c>
      <c r="R174" s="7" t="s">
        <v>29</v>
      </c>
      <c r="S174" s="7" t="s">
        <v>29</v>
      </c>
    </row>
    <row r="175" spans="2:19">
      <c r="B175" s="7" t="s">
        <v>195</v>
      </c>
      <c r="C175" s="8" t="s">
        <v>195</v>
      </c>
      <c r="D175" s="6" t="str">
        <f>LRTRIM(CONCATENATE(IF(SUMPRODUCT(-- ISNUMBER(SEARCH({"Auto Number"}, $B175))) &gt; 0, $B175, IF(SUMPRODUCT(-- ISNUMBER(SEARCH({"Lookup","Master-Detail"}, $B175))) &gt; 0,$B175 &amp; "(" &amp; $E175 &amp; ")",IF(SUMPRODUCT(-- ISNUMBER(SEARCH({"Formula","Roll-Up Summary"}, $B175))) &gt; 0,$B175 &amp; " (" &amp; $E175 &amp; ")",IF(SUMPRODUCT(-- ISNUMBER(SEARCH({"Content","Currency","Number","Percent","Text","URL"}, $B175))) &gt; 0,$B175 &amp; "(" &amp; $C175 &amp; ")",$B175)))), "  ", TRIM(IF($S175 = "YES", "(External ID)", "") &amp; " " &amp; IF(SUMPRODUCT(-- ISNUMBER(SEARCH({"Unique","Unique Case Insensitive"}, $R175))) &gt; 0, "(" &amp; $R175 &amp; ")", ""))))</f>
        <v>na</v>
      </c>
      <c r="E175" s="7" t="s">
        <v>195</v>
      </c>
      <c r="F175" s="7" t="s">
        <v>195</v>
      </c>
      <c r="G175" s="7" t="s">
        <v>195</v>
      </c>
      <c r="H175" s="7" t="s">
        <v>195</v>
      </c>
      <c r="I175" s="7" t="s">
        <v>195</v>
      </c>
      <c r="J175" s="7" t="s">
        <v>195</v>
      </c>
      <c r="K175" s="7" t="s">
        <v>195</v>
      </c>
      <c r="L175" s="7" t="s">
        <v>195</v>
      </c>
      <c r="M175" s="7" t="s">
        <v>29</v>
      </c>
      <c r="N175" s="7" t="s">
        <v>29</v>
      </c>
      <c r="O175" s="7" t="s">
        <v>29</v>
      </c>
      <c r="P175" s="7" t="s">
        <v>29</v>
      </c>
      <c r="Q175" s="7" t="s">
        <v>29</v>
      </c>
      <c r="R175" s="7" t="s">
        <v>29</v>
      </c>
      <c r="S175" s="7" t="s">
        <v>29</v>
      </c>
    </row>
    <row r="176" spans="2:19">
      <c r="B176" s="7" t="s">
        <v>195</v>
      </c>
      <c r="C176" s="8" t="s">
        <v>195</v>
      </c>
      <c r="D176" s="6" t="str">
        <f>LRTRIM(CONCATENATE(IF(SUMPRODUCT(-- ISNUMBER(SEARCH({"Auto Number"}, $B176))) &gt; 0, $B176, IF(SUMPRODUCT(-- ISNUMBER(SEARCH({"Lookup","Master-Detail"}, $B176))) &gt; 0,$B176 &amp; "(" &amp; $E176 &amp; ")",IF(SUMPRODUCT(-- ISNUMBER(SEARCH({"Formula","Roll-Up Summary"}, $B176))) &gt; 0,$B176 &amp; " (" &amp; $E176 &amp; ")",IF(SUMPRODUCT(-- ISNUMBER(SEARCH({"Content","Currency","Number","Percent","Text","URL"}, $B176))) &gt; 0,$B176 &amp; "(" &amp; $C176 &amp; ")",$B176)))), "  ", TRIM(IF($S176 = "YES", "(External ID)", "") &amp; " " &amp; IF(SUMPRODUCT(-- ISNUMBER(SEARCH({"Unique","Unique Case Insensitive"}, $R176))) &gt; 0, "(" &amp; $R176 &amp; ")", ""))))</f>
        <v>na</v>
      </c>
      <c r="E176" s="7" t="s">
        <v>195</v>
      </c>
      <c r="F176" s="7" t="s">
        <v>195</v>
      </c>
      <c r="G176" s="7" t="s">
        <v>195</v>
      </c>
      <c r="H176" s="7" t="s">
        <v>195</v>
      </c>
      <c r="I176" s="7" t="s">
        <v>195</v>
      </c>
      <c r="J176" s="7" t="s">
        <v>195</v>
      </c>
      <c r="K176" s="7" t="s">
        <v>195</v>
      </c>
      <c r="L176" s="7" t="s">
        <v>195</v>
      </c>
      <c r="M176" s="7" t="s">
        <v>29</v>
      </c>
      <c r="N176" s="7" t="s">
        <v>29</v>
      </c>
      <c r="O176" s="7" t="s">
        <v>29</v>
      </c>
      <c r="P176" s="7" t="s">
        <v>29</v>
      </c>
      <c r="Q176" s="7" t="s">
        <v>29</v>
      </c>
      <c r="R176" s="7" t="s">
        <v>29</v>
      </c>
      <c r="S176" s="7" t="s">
        <v>29</v>
      </c>
    </row>
    <row r="177" spans="2:19">
      <c r="B177" s="7" t="s">
        <v>195</v>
      </c>
      <c r="C177" s="8" t="s">
        <v>195</v>
      </c>
      <c r="D177" s="6" t="str">
        <f>LRTRIM(CONCATENATE(IF(SUMPRODUCT(-- ISNUMBER(SEARCH({"Auto Number"}, $B177))) &gt; 0, $B177, IF(SUMPRODUCT(-- ISNUMBER(SEARCH({"Lookup","Master-Detail"}, $B177))) &gt; 0,$B177 &amp; "(" &amp; $E177 &amp; ")",IF(SUMPRODUCT(-- ISNUMBER(SEARCH({"Formula","Roll-Up Summary"}, $B177))) &gt; 0,$B177 &amp; " (" &amp; $E177 &amp; ")",IF(SUMPRODUCT(-- ISNUMBER(SEARCH({"Content","Currency","Number","Percent","Text","URL"}, $B177))) &gt; 0,$B177 &amp; "(" &amp; $C177 &amp; ")",$B177)))), "  ", TRIM(IF($S177 = "YES", "(External ID)", "") &amp; " " &amp; IF(SUMPRODUCT(-- ISNUMBER(SEARCH({"Unique","Unique Case Insensitive"}, $R177))) &gt; 0, "(" &amp; $R177 &amp; ")", ""))))</f>
        <v>na</v>
      </c>
      <c r="E177" s="7" t="s">
        <v>195</v>
      </c>
      <c r="F177" s="7" t="s">
        <v>195</v>
      </c>
      <c r="G177" s="7" t="s">
        <v>195</v>
      </c>
      <c r="H177" s="7" t="s">
        <v>195</v>
      </c>
      <c r="I177" s="7" t="s">
        <v>195</v>
      </c>
      <c r="J177" s="7" t="s">
        <v>195</v>
      </c>
      <c r="K177" s="7" t="s">
        <v>195</v>
      </c>
      <c r="L177" s="7" t="s">
        <v>195</v>
      </c>
      <c r="M177" s="7" t="s">
        <v>29</v>
      </c>
      <c r="N177" s="7" t="s">
        <v>29</v>
      </c>
      <c r="O177" s="7" t="s">
        <v>29</v>
      </c>
      <c r="P177" s="7" t="s">
        <v>29</v>
      </c>
      <c r="Q177" s="7" t="s">
        <v>29</v>
      </c>
      <c r="R177" s="7" t="s">
        <v>29</v>
      </c>
      <c r="S177" s="7" t="s">
        <v>29</v>
      </c>
    </row>
    <row r="178" spans="2:19">
      <c r="B178" s="7" t="s">
        <v>195</v>
      </c>
      <c r="C178" s="8" t="s">
        <v>195</v>
      </c>
      <c r="D178" s="6" t="str">
        <f>LRTRIM(CONCATENATE(IF(SUMPRODUCT(-- ISNUMBER(SEARCH({"Auto Number"}, $B178))) &gt; 0, $B178, IF(SUMPRODUCT(-- ISNUMBER(SEARCH({"Lookup","Master-Detail"}, $B178))) &gt; 0,$B178 &amp; "(" &amp; $E178 &amp; ")",IF(SUMPRODUCT(-- ISNUMBER(SEARCH({"Formula","Roll-Up Summary"}, $B178))) &gt; 0,$B178 &amp; " (" &amp; $E178 &amp; ")",IF(SUMPRODUCT(-- ISNUMBER(SEARCH({"Content","Currency","Number","Percent","Text","URL"}, $B178))) &gt; 0,$B178 &amp; "(" &amp; $C178 &amp; ")",$B178)))), "  ", TRIM(IF($S178 = "YES", "(External ID)", "") &amp; " " &amp; IF(SUMPRODUCT(-- ISNUMBER(SEARCH({"Unique","Unique Case Insensitive"}, $R178))) &gt; 0, "(" &amp; $R178 &amp; ")", ""))))</f>
        <v>na</v>
      </c>
      <c r="E178" s="7" t="s">
        <v>195</v>
      </c>
      <c r="F178" s="7" t="s">
        <v>195</v>
      </c>
      <c r="G178" s="7" t="s">
        <v>195</v>
      </c>
      <c r="H178" s="7" t="s">
        <v>195</v>
      </c>
      <c r="I178" s="7" t="s">
        <v>195</v>
      </c>
      <c r="J178" s="7" t="s">
        <v>195</v>
      </c>
      <c r="K178" s="7" t="s">
        <v>195</v>
      </c>
      <c r="L178" s="7" t="s">
        <v>195</v>
      </c>
      <c r="M178" s="7" t="s">
        <v>29</v>
      </c>
      <c r="N178" s="7" t="s">
        <v>29</v>
      </c>
      <c r="O178" s="7" t="s">
        <v>29</v>
      </c>
      <c r="P178" s="7" t="s">
        <v>29</v>
      </c>
      <c r="Q178" s="7" t="s">
        <v>29</v>
      </c>
      <c r="R178" s="7" t="s">
        <v>29</v>
      </c>
      <c r="S178" s="7" t="s">
        <v>29</v>
      </c>
    </row>
    <row r="179" spans="2:19">
      <c r="B179" s="7" t="s">
        <v>195</v>
      </c>
      <c r="C179" s="8" t="s">
        <v>195</v>
      </c>
      <c r="D179" s="6" t="str">
        <f>LRTRIM(CONCATENATE(IF(SUMPRODUCT(-- ISNUMBER(SEARCH({"Auto Number"}, $B179))) &gt; 0, $B179, IF(SUMPRODUCT(-- ISNUMBER(SEARCH({"Lookup","Master-Detail"}, $B179))) &gt; 0,$B179 &amp; "(" &amp; $E179 &amp; ")",IF(SUMPRODUCT(-- ISNUMBER(SEARCH({"Formula","Roll-Up Summary"}, $B179))) &gt; 0,$B179 &amp; " (" &amp; $E179 &amp; ")",IF(SUMPRODUCT(-- ISNUMBER(SEARCH({"Content","Currency","Number","Percent","Text","URL"}, $B179))) &gt; 0,$B179 &amp; "(" &amp; $C179 &amp; ")",$B179)))), "  ", TRIM(IF($S179 = "YES", "(External ID)", "") &amp; " " &amp; IF(SUMPRODUCT(-- ISNUMBER(SEARCH({"Unique","Unique Case Insensitive"}, $R179))) &gt; 0, "(" &amp; $R179 &amp; ")", ""))))</f>
        <v>na</v>
      </c>
      <c r="E179" s="7" t="s">
        <v>195</v>
      </c>
      <c r="F179" s="7" t="s">
        <v>195</v>
      </c>
      <c r="G179" s="7" t="s">
        <v>195</v>
      </c>
      <c r="H179" s="7" t="s">
        <v>195</v>
      </c>
      <c r="I179" s="7" t="s">
        <v>195</v>
      </c>
      <c r="J179" s="7" t="s">
        <v>195</v>
      </c>
      <c r="K179" s="7" t="s">
        <v>195</v>
      </c>
      <c r="L179" s="7" t="s">
        <v>195</v>
      </c>
      <c r="M179" s="7" t="s">
        <v>29</v>
      </c>
      <c r="N179" s="7" t="s">
        <v>29</v>
      </c>
      <c r="O179" s="7" t="s">
        <v>29</v>
      </c>
      <c r="P179" s="7" t="s">
        <v>29</v>
      </c>
      <c r="Q179" s="7" t="s">
        <v>29</v>
      </c>
      <c r="R179" s="7" t="s">
        <v>29</v>
      </c>
      <c r="S179" s="7" t="s">
        <v>29</v>
      </c>
    </row>
    <row r="180" spans="2:19">
      <c r="B180" s="7" t="s">
        <v>195</v>
      </c>
      <c r="C180" s="8" t="s">
        <v>195</v>
      </c>
      <c r="D180" s="6" t="str">
        <f>LRTRIM(CONCATENATE(IF(SUMPRODUCT(-- ISNUMBER(SEARCH({"Auto Number"}, $B180))) &gt; 0, $B180, IF(SUMPRODUCT(-- ISNUMBER(SEARCH({"Lookup","Master-Detail"}, $B180))) &gt; 0,$B180 &amp; "(" &amp; $E180 &amp; ")",IF(SUMPRODUCT(-- ISNUMBER(SEARCH({"Formula","Roll-Up Summary"}, $B180))) &gt; 0,$B180 &amp; " (" &amp; $E180 &amp; ")",IF(SUMPRODUCT(-- ISNUMBER(SEARCH({"Content","Currency","Number","Percent","Text","URL"}, $B180))) &gt; 0,$B180 &amp; "(" &amp; $C180 &amp; ")",$B180)))), "  ", TRIM(IF($S180 = "YES", "(External ID)", "") &amp; " " &amp; IF(SUMPRODUCT(-- ISNUMBER(SEARCH({"Unique","Unique Case Insensitive"}, $R180))) &gt; 0, "(" &amp; $R180 &amp; ")", ""))))</f>
        <v>na</v>
      </c>
      <c r="E180" s="7" t="s">
        <v>195</v>
      </c>
      <c r="F180" s="7" t="s">
        <v>195</v>
      </c>
      <c r="G180" s="7" t="s">
        <v>195</v>
      </c>
      <c r="H180" s="7" t="s">
        <v>195</v>
      </c>
      <c r="I180" s="7" t="s">
        <v>195</v>
      </c>
      <c r="J180" s="7" t="s">
        <v>195</v>
      </c>
      <c r="K180" s="7" t="s">
        <v>195</v>
      </c>
      <c r="L180" s="7" t="s">
        <v>195</v>
      </c>
      <c r="M180" s="7" t="s">
        <v>29</v>
      </c>
      <c r="N180" s="7" t="s">
        <v>29</v>
      </c>
      <c r="O180" s="7" t="s">
        <v>29</v>
      </c>
      <c r="P180" s="7" t="s">
        <v>29</v>
      </c>
      <c r="Q180" s="7" t="s">
        <v>29</v>
      </c>
      <c r="R180" s="7" t="s">
        <v>29</v>
      </c>
      <c r="S180" s="7" t="s">
        <v>29</v>
      </c>
    </row>
    <row r="181" spans="2:19">
      <c r="B181" s="7" t="s">
        <v>195</v>
      </c>
      <c r="C181" s="8" t="s">
        <v>195</v>
      </c>
      <c r="D181" s="6" t="str">
        <f>LRTRIM(CONCATENATE(IF(SUMPRODUCT(-- ISNUMBER(SEARCH({"Auto Number"}, $B181))) &gt; 0, $B181, IF(SUMPRODUCT(-- ISNUMBER(SEARCH({"Lookup","Master-Detail"}, $B181))) &gt; 0,$B181 &amp; "(" &amp; $E181 &amp; ")",IF(SUMPRODUCT(-- ISNUMBER(SEARCH({"Formula","Roll-Up Summary"}, $B181))) &gt; 0,$B181 &amp; " (" &amp; $E181 &amp; ")",IF(SUMPRODUCT(-- ISNUMBER(SEARCH({"Content","Currency","Number","Percent","Text","URL"}, $B181))) &gt; 0,$B181 &amp; "(" &amp; $C181 &amp; ")",$B181)))), "  ", TRIM(IF($S181 = "YES", "(External ID)", "") &amp; " " &amp; IF(SUMPRODUCT(-- ISNUMBER(SEARCH({"Unique","Unique Case Insensitive"}, $R181))) &gt; 0, "(" &amp; $R181 &amp; ")", ""))))</f>
        <v>na</v>
      </c>
      <c r="E181" s="7" t="s">
        <v>195</v>
      </c>
      <c r="F181" s="7" t="s">
        <v>195</v>
      </c>
      <c r="G181" s="7" t="s">
        <v>195</v>
      </c>
      <c r="H181" s="7" t="s">
        <v>195</v>
      </c>
      <c r="I181" s="7" t="s">
        <v>195</v>
      </c>
      <c r="J181" s="7" t="s">
        <v>195</v>
      </c>
      <c r="K181" s="7" t="s">
        <v>195</v>
      </c>
      <c r="L181" s="7" t="s">
        <v>195</v>
      </c>
      <c r="M181" s="7" t="s">
        <v>29</v>
      </c>
      <c r="N181" s="7" t="s">
        <v>29</v>
      </c>
      <c r="O181" s="7" t="s">
        <v>29</v>
      </c>
      <c r="P181" s="7" t="s">
        <v>29</v>
      </c>
      <c r="Q181" s="7" t="s">
        <v>29</v>
      </c>
      <c r="R181" s="7" t="s">
        <v>29</v>
      </c>
      <c r="S181" s="7" t="s">
        <v>29</v>
      </c>
    </row>
    <row r="182" spans="2:19">
      <c r="B182" s="7" t="s">
        <v>195</v>
      </c>
      <c r="C182" s="8" t="s">
        <v>195</v>
      </c>
      <c r="D182" s="6" t="str">
        <f>LRTRIM(CONCATENATE(IF(SUMPRODUCT(-- ISNUMBER(SEARCH({"Auto Number"}, $B182))) &gt; 0, $B182, IF(SUMPRODUCT(-- ISNUMBER(SEARCH({"Lookup","Master-Detail"}, $B182))) &gt; 0,$B182 &amp; "(" &amp; $E182 &amp; ")",IF(SUMPRODUCT(-- ISNUMBER(SEARCH({"Formula","Roll-Up Summary"}, $B182))) &gt; 0,$B182 &amp; " (" &amp; $E182 &amp; ")",IF(SUMPRODUCT(-- ISNUMBER(SEARCH({"Content","Currency","Number","Percent","Text","URL"}, $B182))) &gt; 0,$B182 &amp; "(" &amp; $C182 &amp; ")",$B182)))), "  ", TRIM(IF($S182 = "YES", "(External ID)", "") &amp; " " &amp; IF(SUMPRODUCT(-- ISNUMBER(SEARCH({"Unique","Unique Case Insensitive"}, $R182))) &gt; 0, "(" &amp; $R182 &amp; ")", ""))))</f>
        <v>na</v>
      </c>
      <c r="E182" s="7" t="s">
        <v>195</v>
      </c>
      <c r="F182" s="7" t="s">
        <v>195</v>
      </c>
      <c r="G182" s="7" t="s">
        <v>195</v>
      </c>
      <c r="H182" s="7" t="s">
        <v>195</v>
      </c>
      <c r="I182" s="7" t="s">
        <v>195</v>
      </c>
      <c r="J182" s="7" t="s">
        <v>195</v>
      </c>
      <c r="K182" s="7" t="s">
        <v>195</v>
      </c>
      <c r="L182" s="7" t="s">
        <v>195</v>
      </c>
      <c r="M182" s="7" t="s">
        <v>29</v>
      </c>
      <c r="N182" s="7" t="s">
        <v>29</v>
      </c>
      <c r="O182" s="7" t="s">
        <v>29</v>
      </c>
      <c r="P182" s="7" t="s">
        <v>29</v>
      </c>
      <c r="Q182" s="7" t="s">
        <v>29</v>
      </c>
      <c r="R182" s="7" t="s">
        <v>29</v>
      </c>
      <c r="S182" s="7" t="s">
        <v>29</v>
      </c>
    </row>
    <row r="183" spans="2:19">
      <c r="B183" s="7" t="s">
        <v>195</v>
      </c>
      <c r="C183" s="8" t="s">
        <v>195</v>
      </c>
      <c r="D183" s="6" t="str">
        <f>LRTRIM(CONCATENATE(IF(SUMPRODUCT(-- ISNUMBER(SEARCH({"Auto Number"}, $B183))) &gt; 0, $B183, IF(SUMPRODUCT(-- ISNUMBER(SEARCH({"Lookup","Master-Detail"}, $B183))) &gt; 0,$B183 &amp; "(" &amp; $E183 &amp; ")",IF(SUMPRODUCT(-- ISNUMBER(SEARCH({"Formula","Roll-Up Summary"}, $B183))) &gt; 0,$B183 &amp; " (" &amp; $E183 &amp; ")",IF(SUMPRODUCT(-- ISNUMBER(SEARCH({"Content","Currency","Number","Percent","Text","URL"}, $B183))) &gt; 0,$B183 &amp; "(" &amp; $C183 &amp; ")",$B183)))), "  ", TRIM(IF($S183 = "YES", "(External ID)", "") &amp; " " &amp; IF(SUMPRODUCT(-- ISNUMBER(SEARCH({"Unique","Unique Case Insensitive"}, $R183))) &gt; 0, "(" &amp; $R183 &amp; ")", ""))))</f>
        <v>na</v>
      </c>
      <c r="E183" s="7" t="s">
        <v>195</v>
      </c>
      <c r="F183" s="7" t="s">
        <v>195</v>
      </c>
      <c r="G183" s="7" t="s">
        <v>195</v>
      </c>
      <c r="H183" s="7" t="s">
        <v>195</v>
      </c>
      <c r="I183" s="7" t="s">
        <v>195</v>
      </c>
      <c r="J183" s="7" t="s">
        <v>195</v>
      </c>
      <c r="K183" s="7" t="s">
        <v>195</v>
      </c>
      <c r="L183" s="7" t="s">
        <v>195</v>
      </c>
      <c r="M183" s="7" t="s">
        <v>29</v>
      </c>
      <c r="N183" s="7" t="s">
        <v>29</v>
      </c>
      <c r="O183" s="7" t="s">
        <v>29</v>
      </c>
      <c r="P183" s="7" t="s">
        <v>29</v>
      </c>
      <c r="Q183" s="7" t="s">
        <v>29</v>
      </c>
      <c r="R183" s="7" t="s">
        <v>29</v>
      </c>
      <c r="S183" s="7" t="s">
        <v>29</v>
      </c>
    </row>
    <row r="184" spans="2:19">
      <c r="B184" s="7" t="s">
        <v>195</v>
      </c>
      <c r="C184" s="8" t="s">
        <v>195</v>
      </c>
      <c r="D184" s="6" t="str">
        <f>LRTRIM(CONCATENATE(IF(SUMPRODUCT(-- ISNUMBER(SEARCH({"Auto Number"}, $B184))) &gt; 0, $B184, IF(SUMPRODUCT(-- ISNUMBER(SEARCH({"Lookup","Master-Detail"}, $B184))) &gt; 0,$B184 &amp; "(" &amp; $E184 &amp; ")",IF(SUMPRODUCT(-- ISNUMBER(SEARCH({"Formula","Roll-Up Summary"}, $B184))) &gt; 0,$B184 &amp; " (" &amp; $E184 &amp; ")",IF(SUMPRODUCT(-- ISNUMBER(SEARCH({"Content","Currency","Number","Percent","Text","URL"}, $B184))) &gt; 0,$B184 &amp; "(" &amp; $C184 &amp; ")",$B184)))), "  ", TRIM(IF($S184 = "YES", "(External ID)", "") &amp; " " &amp; IF(SUMPRODUCT(-- ISNUMBER(SEARCH({"Unique","Unique Case Insensitive"}, $R184))) &gt; 0, "(" &amp; $R184 &amp; ")", ""))))</f>
        <v>na</v>
      </c>
      <c r="E184" s="7" t="s">
        <v>195</v>
      </c>
      <c r="F184" s="7" t="s">
        <v>195</v>
      </c>
      <c r="G184" s="7" t="s">
        <v>195</v>
      </c>
      <c r="H184" s="7" t="s">
        <v>195</v>
      </c>
      <c r="I184" s="7" t="s">
        <v>195</v>
      </c>
      <c r="J184" s="7" t="s">
        <v>195</v>
      </c>
      <c r="K184" s="7" t="s">
        <v>195</v>
      </c>
      <c r="L184" s="7" t="s">
        <v>195</v>
      </c>
      <c r="M184" s="7" t="s">
        <v>29</v>
      </c>
      <c r="N184" s="7" t="s">
        <v>29</v>
      </c>
      <c r="O184" s="7" t="s">
        <v>29</v>
      </c>
      <c r="P184" s="7" t="s">
        <v>29</v>
      </c>
      <c r="Q184" s="7" t="s">
        <v>29</v>
      </c>
      <c r="R184" s="7" t="s">
        <v>29</v>
      </c>
      <c r="S184" s="7" t="s">
        <v>29</v>
      </c>
    </row>
    <row r="185" spans="2:19">
      <c r="B185" s="7" t="s">
        <v>195</v>
      </c>
      <c r="C185" s="8" t="s">
        <v>195</v>
      </c>
      <c r="D185" s="6" t="str">
        <f>LRTRIM(CONCATENATE(IF(SUMPRODUCT(-- ISNUMBER(SEARCH({"Auto Number"}, $B185))) &gt; 0, $B185, IF(SUMPRODUCT(-- ISNUMBER(SEARCH({"Lookup","Master-Detail"}, $B185))) &gt; 0,$B185 &amp; "(" &amp; $E185 &amp; ")",IF(SUMPRODUCT(-- ISNUMBER(SEARCH({"Formula","Roll-Up Summary"}, $B185))) &gt; 0,$B185 &amp; " (" &amp; $E185 &amp; ")",IF(SUMPRODUCT(-- ISNUMBER(SEARCH({"Content","Currency","Number","Percent","Text","URL"}, $B185))) &gt; 0,$B185 &amp; "(" &amp; $C185 &amp; ")",$B185)))), "  ", TRIM(IF($S185 = "YES", "(External ID)", "") &amp; " " &amp; IF(SUMPRODUCT(-- ISNUMBER(SEARCH({"Unique","Unique Case Insensitive"}, $R185))) &gt; 0, "(" &amp; $R185 &amp; ")", ""))))</f>
        <v>na</v>
      </c>
      <c r="E185" s="7" t="s">
        <v>195</v>
      </c>
      <c r="F185" s="7" t="s">
        <v>195</v>
      </c>
      <c r="G185" s="7" t="s">
        <v>195</v>
      </c>
      <c r="H185" s="7" t="s">
        <v>195</v>
      </c>
      <c r="I185" s="7" t="s">
        <v>195</v>
      </c>
      <c r="J185" s="7" t="s">
        <v>195</v>
      </c>
      <c r="K185" s="7" t="s">
        <v>195</v>
      </c>
      <c r="L185" s="7" t="s">
        <v>195</v>
      </c>
      <c r="M185" s="7" t="s">
        <v>29</v>
      </c>
      <c r="N185" s="7" t="s">
        <v>29</v>
      </c>
      <c r="O185" s="7" t="s">
        <v>29</v>
      </c>
      <c r="P185" s="7" t="s">
        <v>29</v>
      </c>
      <c r="Q185" s="7" t="s">
        <v>29</v>
      </c>
      <c r="R185" s="7" t="s">
        <v>29</v>
      </c>
      <c r="S185" s="7" t="s">
        <v>29</v>
      </c>
    </row>
    <row r="186" spans="2:19">
      <c r="B186" s="7" t="s">
        <v>195</v>
      </c>
      <c r="C186" s="8" t="s">
        <v>195</v>
      </c>
      <c r="D186" s="6" t="str">
        <f>LRTRIM(CONCATENATE(IF(SUMPRODUCT(-- ISNUMBER(SEARCH({"Auto Number"}, $B186))) &gt; 0, $B186, IF(SUMPRODUCT(-- ISNUMBER(SEARCH({"Lookup","Master-Detail"}, $B186))) &gt; 0,$B186 &amp; "(" &amp; $E186 &amp; ")",IF(SUMPRODUCT(-- ISNUMBER(SEARCH({"Formula","Roll-Up Summary"}, $B186))) &gt; 0,$B186 &amp; " (" &amp; $E186 &amp; ")",IF(SUMPRODUCT(-- ISNUMBER(SEARCH({"Content","Currency","Number","Percent","Text","URL"}, $B186))) &gt; 0,$B186 &amp; "(" &amp; $C186 &amp; ")",$B186)))), "  ", TRIM(IF($S186 = "YES", "(External ID)", "") &amp; " " &amp; IF(SUMPRODUCT(-- ISNUMBER(SEARCH({"Unique","Unique Case Insensitive"}, $R186))) &gt; 0, "(" &amp; $R186 &amp; ")", ""))))</f>
        <v>na</v>
      </c>
      <c r="E186" s="7" t="s">
        <v>195</v>
      </c>
      <c r="F186" s="7" t="s">
        <v>195</v>
      </c>
      <c r="G186" s="7" t="s">
        <v>195</v>
      </c>
      <c r="H186" s="7" t="s">
        <v>195</v>
      </c>
      <c r="I186" s="7" t="s">
        <v>195</v>
      </c>
      <c r="J186" s="7" t="s">
        <v>195</v>
      </c>
      <c r="K186" s="7" t="s">
        <v>195</v>
      </c>
      <c r="L186" s="7" t="s">
        <v>195</v>
      </c>
      <c r="M186" s="7" t="s">
        <v>29</v>
      </c>
      <c r="N186" s="7" t="s">
        <v>29</v>
      </c>
      <c r="O186" s="7" t="s">
        <v>29</v>
      </c>
      <c r="P186" s="7" t="s">
        <v>29</v>
      </c>
      <c r="Q186" s="7" t="s">
        <v>29</v>
      </c>
      <c r="R186" s="7" t="s">
        <v>29</v>
      </c>
      <c r="S186" s="7" t="s">
        <v>29</v>
      </c>
    </row>
    <row r="187" spans="2:19">
      <c r="B187" s="7" t="s">
        <v>195</v>
      </c>
      <c r="C187" s="8" t="s">
        <v>195</v>
      </c>
      <c r="D187" s="6" t="str">
        <f>LRTRIM(CONCATENATE(IF(SUMPRODUCT(-- ISNUMBER(SEARCH({"Auto Number"}, $B187))) &gt; 0, $B187, IF(SUMPRODUCT(-- ISNUMBER(SEARCH({"Lookup","Master-Detail"}, $B187))) &gt; 0,$B187 &amp; "(" &amp; $E187 &amp; ")",IF(SUMPRODUCT(-- ISNUMBER(SEARCH({"Formula","Roll-Up Summary"}, $B187))) &gt; 0,$B187 &amp; " (" &amp; $E187 &amp; ")",IF(SUMPRODUCT(-- ISNUMBER(SEARCH({"Content","Currency","Number","Percent","Text","URL"}, $B187))) &gt; 0,$B187 &amp; "(" &amp; $C187 &amp; ")",$B187)))), "  ", TRIM(IF($S187 = "YES", "(External ID)", "") &amp; " " &amp; IF(SUMPRODUCT(-- ISNUMBER(SEARCH({"Unique","Unique Case Insensitive"}, $R187))) &gt; 0, "(" &amp; $R187 &amp; ")", ""))))</f>
        <v>na</v>
      </c>
      <c r="E187" s="7" t="s">
        <v>195</v>
      </c>
      <c r="F187" s="7" t="s">
        <v>195</v>
      </c>
      <c r="G187" s="7" t="s">
        <v>195</v>
      </c>
      <c r="H187" s="7" t="s">
        <v>195</v>
      </c>
      <c r="I187" s="7" t="s">
        <v>195</v>
      </c>
      <c r="J187" s="7" t="s">
        <v>195</v>
      </c>
      <c r="K187" s="7" t="s">
        <v>195</v>
      </c>
      <c r="L187" s="7" t="s">
        <v>195</v>
      </c>
      <c r="M187" s="7" t="s">
        <v>29</v>
      </c>
      <c r="N187" s="7" t="s">
        <v>29</v>
      </c>
      <c r="O187" s="7" t="s">
        <v>29</v>
      </c>
      <c r="P187" s="7" t="s">
        <v>29</v>
      </c>
      <c r="Q187" s="7" t="s">
        <v>29</v>
      </c>
      <c r="R187" s="7" t="s">
        <v>29</v>
      </c>
      <c r="S187" s="7" t="s">
        <v>29</v>
      </c>
    </row>
    <row r="188" spans="2:19">
      <c r="B188" s="7" t="s">
        <v>195</v>
      </c>
      <c r="C188" s="8" t="s">
        <v>195</v>
      </c>
      <c r="D188" s="6" t="str">
        <f>LRTRIM(CONCATENATE(IF(SUMPRODUCT(-- ISNUMBER(SEARCH({"Auto Number"}, $B188))) &gt; 0, $B188, IF(SUMPRODUCT(-- ISNUMBER(SEARCH({"Lookup","Master-Detail"}, $B188))) &gt; 0,$B188 &amp; "(" &amp; $E188 &amp; ")",IF(SUMPRODUCT(-- ISNUMBER(SEARCH({"Formula","Roll-Up Summary"}, $B188))) &gt; 0,$B188 &amp; " (" &amp; $E188 &amp; ")",IF(SUMPRODUCT(-- ISNUMBER(SEARCH({"Content","Currency","Number","Percent","Text","URL"}, $B188))) &gt; 0,$B188 &amp; "(" &amp; $C188 &amp; ")",$B188)))), "  ", TRIM(IF($S188 = "YES", "(External ID)", "") &amp; " " &amp; IF(SUMPRODUCT(-- ISNUMBER(SEARCH({"Unique","Unique Case Insensitive"}, $R188))) &gt; 0, "(" &amp; $R188 &amp; ")", ""))))</f>
        <v>na</v>
      </c>
      <c r="E188" s="7" t="s">
        <v>195</v>
      </c>
      <c r="F188" s="7" t="s">
        <v>195</v>
      </c>
      <c r="G188" s="7" t="s">
        <v>195</v>
      </c>
      <c r="H188" s="7" t="s">
        <v>195</v>
      </c>
      <c r="I188" s="7" t="s">
        <v>195</v>
      </c>
      <c r="J188" s="7" t="s">
        <v>195</v>
      </c>
      <c r="K188" s="7" t="s">
        <v>195</v>
      </c>
      <c r="L188" s="7" t="s">
        <v>195</v>
      </c>
      <c r="M188" s="7" t="s">
        <v>29</v>
      </c>
      <c r="N188" s="7" t="s">
        <v>29</v>
      </c>
      <c r="O188" s="7" t="s">
        <v>29</v>
      </c>
      <c r="P188" s="7" t="s">
        <v>29</v>
      </c>
      <c r="Q188" s="7" t="s">
        <v>29</v>
      </c>
      <c r="R188" s="7" t="s">
        <v>29</v>
      </c>
      <c r="S188" s="7" t="s">
        <v>29</v>
      </c>
    </row>
    <row r="189" spans="2:19">
      <c r="B189" s="7" t="s">
        <v>195</v>
      </c>
      <c r="C189" s="8" t="s">
        <v>195</v>
      </c>
      <c r="D189" s="6" t="str">
        <f>LRTRIM(CONCATENATE(IF(SUMPRODUCT(-- ISNUMBER(SEARCH({"Auto Number"}, $B189))) &gt; 0, $B189, IF(SUMPRODUCT(-- ISNUMBER(SEARCH({"Lookup","Master-Detail"}, $B189))) &gt; 0,$B189 &amp; "(" &amp; $E189 &amp; ")",IF(SUMPRODUCT(-- ISNUMBER(SEARCH({"Formula","Roll-Up Summary"}, $B189))) &gt; 0,$B189 &amp; " (" &amp; $E189 &amp; ")",IF(SUMPRODUCT(-- ISNUMBER(SEARCH({"Content","Currency","Number","Percent","Text","URL"}, $B189))) &gt; 0,$B189 &amp; "(" &amp; $C189 &amp; ")",$B189)))), "  ", TRIM(IF($S189 = "YES", "(External ID)", "") &amp; " " &amp; IF(SUMPRODUCT(-- ISNUMBER(SEARCH({"Unique","Unique Case Insensitive"}, $R189))) &gt; 0, "(" &amp; $R189 &amp; ")", ""))))</f>
        <v>na</v>
      </c>
      <c r="E189" s="7" t="s">
        <v>195</v>
      </c>
      <c r="F189" s="7" t="s">
        <v>195</v>
      </c>
      <c r="G189" s="7" t="s">
        <v>195</v>
      </c>
      <c r="H189" s="7" t="s">
        <v>195</v>
      </c>
      <c r="I189" s="7" t="s">
        <v>195</v>
      </c>
      <c r="J189" s="7" t="s">
        <v>195</v>
      </c>
      <c r="K189" s="7" t="s">
        <v>195</v>
      </c>
      <c r="L189" s="7" t="s">
        <v>195</v>
      </c>
      <c r="M189" s="7" t="s">
        <v>29</v>
      </c>
      <c r="N189" s="7" t="s">
        <v>29</v>
      </c>
      <c r="O189" s="7" t="s">
        <v>29</v>
      </c>
      <c r="P189" s="7" t="s">
        <v>29</v>
      </c>
      <c r="Q189" s="7" t="s">
        <v>29</v>
      </c>
      <c r="R189" s="7" t="s">
        <v>29</v>
      </c>
      <c r="S189" s="7" t="s">
        <v>29</v>
      </c>
    </row>
    <row r="190" spans="2:19">
      <c r="B190" s="7" t="s">
        <v>195</v>
      </c>
      <c r="C190" s="8" t="s">
        <v>195</v>
      </c>
      <c r="D190" s="6" t="str">
        <f>LRTRIM(CONCATENATE(IF(SUMPRODUCT(-- ISNUMBER(SEARCH({"Auto Number"}, $B190))) &gt; 0, $B190, IF(SUMPRODUCT(-- ISNUMBER(SEARCH({"Lookup","Master-Detail"}, $B190))) &gt; 0,$B190 &amp; "(" &amp; $E190 &amp; ")",IF(SUMPRODUCT(-- ISNUMBER(SEARCH({"Formula","Roll-Up Summary"}, $B190))) &gt; 0,$B190 &amp; " (" &amp; $E190 &amp; ")",IF(SUMPRODUCT(-- ISNUMBER(SEARCH({"Content","Currency","Number","Percent","Text","URL"}, $B190))) &gt; 0,$B190 &amp; "(" &amp; $C190 &amp; ")",$B190)))), "  ", TRIM(IF($S190 = "YES", "(External ID)", "") &amp; " " &amp; IF(SUMPRODUCT(-- ISNUMBER(SEARCH({"Unique","Unique Case Insensitive"}, $R190))) &gt; 0, "(" &amp; $R190 &amp; ")", ""))))</f>
        <v>na</v>
      </c>
      <c r="E190" s="7" t="s">
        <v>195</v>
      </c>
      <c r="F190" s="7" t="s">
        <v>195</v>
      </c>
      <c r="G190" s="7" t="s">
        <v>195</v>
      </c>
      <c r="H190" s="7" t="s">
        <v>195</v>
      </c>
      <c r="I190" s="7" t="s">
        <v>195</v>
      </c>
      <c r="J190" s="7" t="s">
        <v>195</v>
      </c>
      <c r="K190" s="7" t="s">
        <v>195</v>
      </c>
      <c r="L190" s="7" t="s">
        <v>195</v>
      </c>
      <c r="M190" s="7" t="s">
        <v>29</v>
      </c>
      <c r="N190" s="7" t="s">
        <v>29</v>
      </c>
      <c r="O190" s="7" t="s">
        <v>29</v>
      </c>
      <c r="P190" s="7" t="s">
        <v>29</v>
      </c>
      <c r="Q190" s="7" t="s">
        <v>29</v>
      </c>
      <c r="R190" s="7" t="s">
        <v>29</v>
      </c>
      <c r="S190" s="7" t="s">
        <v>29</v>
      </c>
    </row>
    <row r="191" spans="2:19">
      <c r="B191" s="7" t="s">
        <v>195</v>
      </c>
      <c r="C191" s="8" t="s">
        <v>195</v>
      </c>
      <c r="D191" s="6" t="str">
        <f>LRTRIM(CONCATENATE(IF(SUMPRODUCT(-- ISNUMBER(SEARCH({"Auto Number"}, $B191))) &gt; 0, $B191, IF(SUMPRODUCT(-- ISNUMBER(SEARCH({"Lookup","Master-Detail"}, $B191))) &gt; 0,$B191 &amp; "(" &amp; $E191 &amp; ")",IF(SUMPRODUCT(-- ISNUMBER(SEARCH({"Formula","Roll-Up Summary"}, $B191))) &gt; 0,$B191 &amp; " (" &amp; $E191 &amp; ")",IF(SUMPRODUCT(-- ISNUMBER(SEARCH({"Content","Currency","Number","Percent","Text","URL"}, $B191))) &gt; 0,$B191 &amp; "(" &amp; $C191 &amp; ")",$B191)))), "  ", TRIM(IF($S191 = "YES", "(External ID)", "") &amp; " " &amp; IF(SUMPRODUCT(-- ISNUMBER(SEARCH({"Unique","Unique Case Insensitive"}, $R191))) &gt; 0, "(" &amp; $R191 &amp; ")", ""))))</f>
        <v>na</v>
      </c>
      <c r="E191" s="7" t="s">
        <v>195</v>
      </c>
      <c r="F191" s="7" t="s">
        <v>195</v>
      </c>
      <c r="G191" s="7" t="s">
        <v>195</v>
      </c>
      <c r="H191" s="7" t="s">
        <v>195</v>
      </c>
      <c r="I191" s="7" t="s">
        <v>195</v>
      </c>
      <c r="J191" s="7" t="s">
        <v>195</v>
      </c>
      <c r="K191" s="7" t="s">
        <v>195</v>
      </c>
      <c r="L191" s="7" t="s">
        <v>195</v>
      </c>
      <c r="M191" s="7" t="s">
        <v>29</v>
      </c>
      <c r="N191" s="7" t="s">
        <v>29</v>
      </c>
      <c r="O191" s="7" t="s">
        <v>29</v>
      </c>
      <c r="P191" s="7" t="s">
        <v>29</v>
      </c>
      <c r="Q191" s="7" t="s">
        <v>29</v>
      </c>
      <c r="R191" s="7" t="s">
        <v>29</v>
      </c>
      <c r="S191" s="7" t="s">
        <v>29</v>
      </c>
    </row>
    <row r="192" spans="2:19">
      <c r="B192" s="7" t="s">
        <v>195</v>
      </c>
      <c r="C192" s="8" t="s">
        <v>195</v>
      </c>
      <c r="D192" s="6" t="str">
        <f>LRTRIM(CONCATENATE(IF(SUMPRODUCT(-- ISNUMBER(SEARCH({"Auto Number"}, $B192))) &gt; 0, $B192, IF(SUMPRODUCT(-- ISNUMBER(SEARCH({"Lookup","Master-Detail"}, $B192))) &gt; 0,$B192 &amp; "(" &amp; $E192 &amp; ")",IF(SUMPRODUCT(-- ISNUMBER(SEARCH({"Formula","Roll-Up Summary"}, $B192))) &gt; 0,$B192 &amp; " (" &amp; $E192 &amp; ")",IF(SUMPRODUCT(-- ISNUMBER(SEARCH({"Content","Currency","Number","Percent","Text","URL"}, $B192))) &gt; 0,$B192 &amp; "(" &amp; $C192 &amp; ")",$B192)))), "  ", TRIM(IF($S192 = "YES", "(External ID)", "") &amp; " " &amp; IF(SUMPRODUCT(-- ISNUMBER(SEARCH({"Unique","Unique Case Insensitive"}, $R192))) &gt; 0, "(" &amp; $R192 &amp; ")", ""))))</f>
        <v>na</v>
      </c>
      <c r="E192" s="7" t="s">
        <v>195</v>
      </c>
      <c r="F192" s="7" t="s">
        <v>195</v>
      </c>
      <c r="G192" s="7" t="s">
        <v>195</v>
      </c>
      <c r="H192" s="7" t="s">
        <v>195</v>
      </c>
      <c r="I192" s="7" t="s">
        <v>195</v>
      </c>
      <c r="J192" s="7" t="s">
        <v>195</v>
      </c>
      <c r="K192" s="7" t="s">
        <v>195</v>
      </c>
      <c r="L192" s="7" t="s">
        <v>195</v>
      </c>
      <c r="M192" s="7" t="s">
        <v>29</v>
      </c>
      <c r="N192" s="7" t="s">
        <v>29</v>
      </c>
      <c r="O192" s="7" t="s">
        <v>29</v>
      </c>
      <c r="P192" s="7" t="s">
        <v>29</v>
      </c>
      <c r="Q192" s="7" t="s">
        <v>29</v>
      </c>
      <c r="R192" s="7" t="s">
        <v>29</v>
      </c>
      <c r="S192" s="7" t="s">
        <v>29</v>
      </c>
    </row>
    <row r="193" spans="2:19">
      <c r="B193" s="7" t="s">
        <v>195</v>
      </c>
      <c r="C193" s="8" t="s">
        <v>195</v>
      </c>
      <c r="D193" s="6" t="str">
        <f>LRTRIM(CONCATENATE(IF(SUMPRODUCT(-- ISNUMBER(SEARCH({"Auto Number"}, $B193))) &gt; 0, $B193, IF(SUMPRODUCT(-- ISNUMBER(SEARCH({"Lookup","Master-Detail"}, $B193))) &gt; 0,$B193 &amp; "(" &amp; $E193 &amp; ")",IF(SUMPRODUCT(-- ISNUMBER(SEARCH({"Formula","Roll-Up Summary"}, $B193))) &gt; 0,$B193 &amp; " (" &amp; $E193 &amp; ")",IF(SUMPRODUCT(-- ISNUMBER(SEARCH({"Content","Currency","Number","Percent","Text","URL"}, $B193))) &gt; 0,$B193 &amp; "(" &amp; $C193 &amp; ")",$B193)))), "  ", TRIM(IF($S193 = "YES", "(External ID)", "") &amp; " " &amp; IF(SUMPRODUCT(-- ISNUMBER(SEARCH({"Unique","Unique Case Insensitive"}, $R193))) &gt; 0, "(" &amp; $R193 &amp; ")", ""))))</f>
        <v>na</v>
      </c>
      <c r="E193" s="7" t="s">
        <v>195</v>
      </c>
      <c r="F193" s="7" t="s">
        <v>195</v>
      </c>
      <c r="G193" s="7" t="s">
        <v>195</v>
      </c>
      <c r="H193" s="7" t="s">
        <v>195</v>
      </c>
      <c r="I193" s="7" t="s">
        <v>195</v>
      </c>
      <c r="J193" s="7" t="s">
        <v>195</v>
      </c>
      <c r="K193" s="7" t="s">
        <v>195</v>
      </c>
      <c r="L193" s="7" t="s">
        <v>195</v>
      </c>
      <c r="M193" s="7" t="s">
        <v>29</v>
      </c>
      <c r="N193" s="7" t="s">
        <v>29</v>
      </c>
      <c r="O193" s="7" t="s">
        <v>29</v>
      </c>
      <c r="P193" s="7" t="s">
        <v>29</v>
      </c>
      <c r="Q193" s="7" t="s">
        <v>29</v>
      </c>
      <c r="R193" s="7" t="s">
        <v>29</v>
      </c>
      <c r="S193" s="7" t="s">
        <v>29</v>
      </c>
    </row>
    <row r="194" spans="2:19">
      <c r="B194" s="7" t="s">
        <v>195</v>
      </c>
      <c r="C194" s="8" t="s">
        <v>195</v>
      </c>
      <c r="D194" s="6" t="str">
        <f>LRTRIM(CONCATENATE(IF(SUMPRODUCT(-- ISNUMBER(SEARCH({"Auto Number"}, $B194))) &gt; 0, $B194, IF(SUMPRODUCT(-- ISNUMBER(SEARCH({"Lookup","Master-Detail"}, $B194))) &gt; 0,$B194 &amp; "(" &amp; $E194 &amp; ")",IF(SUMPRODUCT(-- ISNUMBER(SEARCH({"Formula","Roll-Up Summary"}, $B194))) &gt; 0,$B194 &amp; " (" &amp; $E194 &amp; ")",IF(SUMPRODUCT(-- ISNUMBER(SEARCH({"Content","Currency","Number","Percent","Text","URL"}, $B194))) &gt; 0,$B194 &amp; "(" &amp; $C194 &amp; ")",$B194)))), "  ", TRIM(IF($S194 = "YES", "(External ID)", "") &amp; " " &amp; IF(SUMPRODUCT(-- ISNUMBER(SEARCH({"Unique","Unique Case Insensitive"}, $R194))) &gt; 0, "(" &amp; $R194 &amp; ")", ""))))</f>
        <v>na</v>
      </c>
      <c r="E194" s="7" t="s">
        <v>195</v>
      </c>
      <c r="F194" s="7" t="s">
        <v>195</v>
      </c>
      <c r="G194" s="7" t="s">
        <v>195</v>
      </c>
      <c r="H194" s="7" t="s">
        <v>195</v>
      </c>
      <c r="I194" s="7" t="s">
        <v>195</v>
      </c>
      <c r="J194" s="7" t="s">
        <v>195</v>
      </c>
      <c r="K194" s="7" t="s">
        <v>195</v>
      </c>
      <c r="L194" s="7" t="s">
        <v>195</v>
      </c>
      <c r="M194" s="7" t="s">
        <v>29</v>
      </c>
      <c r="N194" s="7" t="s">
        <v>29</v>
      </c>
      <c r="O194" s="7" t="s">
        <v>29</v>
      </c>
      <c r="P194" s="7" t="s">
        <v>29</v>
      </c>
      <c r="Q194" s="7" t="s">
        <v>29</v>
      </c>
      <c r="R194" s="7" t="s">
        <v>29</v>
      </c>
      <c r="S194" s="7" t="s">
        <v>29</v>
      </c>
    </row>
    <row r="195" spans="2:19">
      <c r="B195" s="7" t="s">
        <v>195</v>
      </c>
      <c r="C195" s="8" t="s">
        <v>195</v>
      </c>
      <c r="D195" s="6" t="str">
        <f>LRTRIM(CONCATENATE(IF(SUMPRODUCT(-- ISNUMBER(SEARCH({"Auto Number"}, $B195))) &gt; 0, $B195, IF(SUMPRODUCT(-- ISNUMBER(SEARCH({"Lookup","Master-Detail"}, $B195))) &gt; 0,$B195 &amp; "(" &amp; $E195 &amp; ")",IF(SUMPRODUCT(-- ISNUMBER(SEARCH({"Formula","Roll-Up Summary"}, $B195))) &gt; 0,$B195 &amp; " (" &amp; $E195 &amp; ")",IF(SUMPRODUCT(-- ISNUMBER(SEARCH({"Content","Currency","Number","Percent","Text","URL"}, $B195))) &gt; 0,$B195 &amp; "(" &amp; $C195 &amp; ")",$B195)))), "  ", TRIM(IF($S195 = "YES", "(External ID)", "") &amp; " " &amp; IF(SUMPRODUCT(-- ISNUMBER(SEARCH({"Unique","Unique Case Insensitive"}, $R195))) &gt; 0, "(" &amp; $R195 &amp; ")", ""))))</f>
        <v>na</v>
      </c>
      <c r="E195" s="7" t="s">
        <v>195</v>
      </c>
      <c r="F195" s="7" t="s">
        <v>195</v>
      </c>
      <c r="G195" s="7" t="s">
        <v>195</v>
      </c>
      <c r="H195" s="7" t="s">
        <v>195</v>
      </c>
      <c r="I195" s="7" t="s">
        <v>195</v>
      </c>
      <c r="J195" s="7" t="s">
        <v>195</v>
      </c>
      <c r="K195" s="7" t="s">
        <v>195</v>
      </c>
      <c r="L195" s="7" t="s">
        <v>195</v>
      </c>
      <c r="M195" s="7" t="s">
        <v>29</v>
      </c>
      <c r="N195" s="7" t="s">
        <v>29</v>
      </c>
      <c r="O195" s="7" t="s">
        <v>29</v>
      </c>
      <c r="P195" s="7" t="s">
        <v>29</v>
      </c>
      <c r="Q195" s="7" t="s">
        <v>29</v>
      </c>
      <c r="R195" s="7" t="s">
        <v>29</v>
      </c>
      <c r="S195" s="7" t="s">
        <v>29</v>
      </c>
    </row>
    <row r="196" spans="2:19">
      <c r="B196" s="7" t="s">
        <v>195</v>
      </c>
      <c r="C196" s="8" t="s">
        <v>195</v>
      </c>
      <c r="D196" s="6" t="str">
        <f>LRTRIM(CONCATENATE(IF(SUMPRODUCT(-- ISNUMBER(SEARCH({"Auto Number"}, $B196))) &gt; 0, $B196, IF(SUMPRODUCT(-- ISNUMBER(SEARCH({"Lookup","Master-Detail"}, $B196))) &gt; 0,$B196 &amp; "(" &amp; $E196 &amp; ")",IF(SUMPRODUCT(-- ISNUMBER(SEARCH({"Formula","Roll-Up Summary"}, $B196))) &gt; 0,$B196 &amp; " (" &amp; $E196 &amp; ")",IF(SUMPRODUCT(-- ISNUMBER(SEARCH({"Content","Currency","Number","Percent","Text","URL"}, $B196))) &gt; 0,$B196 &amp; "(" &amp; $C196 &amp; ")",$B196)))), "  ", TRIM(IF($S196 = "YES", "(External ID)", "") &amp; " " &amp; IF(SUMPRODUCT(-- ISNUMBER(SEARCH({"Unique","Unique Case Insensitive"}, $R196))) &gt; 0, "(" &amp; $R196 &amp; ")", ""))))</f>
        <v>na</v>
      </c>
      <c r="E196" s="7" t="s">
        <v>195</v>
      </c>
      <c r="F196" s="7" t="s">
        <v>195</v>
      </c>
      <c r="G196" s="7" t="s">
        <v>195</v>
      </c>
      <c r="H196" s="7" t="s">
        <v>195</v>
      </c>
      <c r="I196" s="7" t="s">
        <v>195</v>
      </c>
      <c r="J196" s="7" t="s">
        <v>195</v>
      </c>
      <c r="K196" s="7" t="s">
        <v>195</v>
      </c>
      <c r="L196" s="7" t="s">
        <v>195</v>
      </c>
      <c r="M196" s="7" t="s">
        <v>29</v>
      </c>
      <c r="N196" s="7" t="s">
        <v>29</v>
      </c>
      <c r="O196" s="7" t="s">
        <v>29</v>
      </c>
      <c r="P196" s="7" t="s">
        <v>29</v>
      </c>
      <c r="Q196" s="7" t="s">
        <v>29</v>
      </c>
      <c r="R196" s="7" t="s">
        <v>29</v>
      </c>
      <c r="S196" s="7" t="s">
        <v>29</v>
      </c>
    </row>
    <row r="197" spans="2:19">
      <c r="B197" s="7" t="s">
        <v>195</v>
      </c>
      <c r="C197" s="8" t="s">
        <v>195</v>
      </c>
      <c r="D197" s="6" t="str">
        <f>LRTRIM(CONCATENATE(IF(SUMPRODUCT(-- ISNUMBER(SEARCH({"Auto Number"}, $B197))) &gt; 0, $B197, IF(SUMPRODUCT(-- ISNUMBER(SEARCH({"Lookup","Master-Detail"}, $B197))) &gt; 0,$B197 &amp; "(" &amp; $E197 &amp; ")",IF(SUMPRODUCT(-- ISNUMBER(SEARCH({"Formula","Roll-Up Summary"}, $B197))) &gt; 0,$B197 &amp; " (" &amp; $E197 &amp; ")",IF(SUMPRODUCT(-- ISNUMBER(SEARCH({"Content","Currency","Number","Percent","Text","URL"}, $B197))) &gt; 0,$B197 &amp; "(" &amp; $C197 &amp; ")",$B197)))), "  ", TRIM(IF($S197 = "YES", "(External ID)", "") &amp; " " &amp; IF(SUMPRODUCT(-- ISNUMBER(SEARCH({"Unique","Unique Case Insensitive"}, $R197))) &gt; 0, "(" &amp; $R197 &amp; ")", ""))))</f>
        <v>na</v>
      </c>
      <c r="E197" s="7" t="s">
        <v>195</v>
      </c>
      <c r="F197" s="7" t="s">
        <v>195</v>
      </c>
      <c r="G197" s="7" t="s">
        <v>195</v>
      </c>
      <c r="H197" s="7" t="s">
        <v>195</v>
      </c>
      <c r="I197" s="7" t="s">
        <v>195</v>
      </c>
      <c r="J197" s="7" t="s">
        <v>195</v>
      </c>
      <c r="K197" s="7" t="s">
        <v>195</v>
      </c>
      <c r="L197" s="7" t="s">
        <v>195</v>
      </c>
      <c r="M197" s="7" t="s">
        <v>29</v>
      </c>
      <c r="N197" s="7" t="s">
        <v>29</v>
      </c>
      <c r="O197" s="7" t="s">
        <v>29</v>
      </c>
      <c r="P197" s="7" t="s">
        <v>29</v>
      </c>
      <c r="Q197" s="7" t="s">
        <v>29</v>
      </c>
      <c r="R197" s="7" t="s">
        <v>29</v>
      </c>
      <c r="S197" s="7" t="s">
        <v>29</v>
      </c>
    </row>
    <row r="198" spans="2:19">
      <c r="B198" s="7" t="s">
        <v>195</v>
      </c>
      <c r="C198" s="8" t="s">
        <v>195</v>
      </c>
      <c r="D198" s="6" t="str">
        <f>LRTRIM(CONCATENATE(IF(SUMPRODUCT(-- ISNUMBER(SEARCH({"Auto Number"}, $B198))) &gt; 0, $B198, IF(SUMPRODUCT(-- ISNUMBER(SEARCH({"Lookup","Master-Detail"}, $B198))) &gt; 0,$B198 &amp; "(" &amp; $E198 &amp; ")",IF(SUMPRODUCT(-- ISNUMBER(SEARCH({"Formula","Roll-Up Summary"}, $B198))) &gt; 0,$B198 &amp; " (" &amp; $E198 &amp; ")",IF(SUMPRODUCT(-- ISNUMBER(SEARCH({"Content","Currency","Number","Percent","Text","URL"}, $B198))) &gt; 0,$B198 &amp; "(" &amp; $C198 &amp; ")",$B198)))), "  ", TRIM(IF($S198 = "YES", "(External ID)", "") &amp; " " &amp; IF(SUMPRODUCT(-- ISNUMBER(SEARCH({"Unique","Unique Case Insensitive"}, $R198))) &gt; 0, "(" &amp; $R198 &amp; ")", ""))))</f>
        <v>na</v>
      </c>
      <c r="E198" s="7" t="s">
        <v>195</v>
      </c>
      <c r="F198" s="7" t="s">
        <v>195</v>
      </c>
      <c r="G198" s="7" t="s">
        <v>195</v>
      </c>
      <c r="H198" s="7" t="s">
        <v>195</v>
      </c>
      <c r="I198" s="7" t="s">
        <v>195</v>
      </c>
      <c r="J198" s="7" t="s">
        <v>195</v>
      </c>
      <c r="K198" s="7" t="s">
        <v>195</v>
      </c>
      <c r="L198" s="7" t="s">
        <v>195</v>
      </c>
      <c r="M198" s="7" t="s">
        <v>29</v>
      </c>
      <c r="N198" s="7" t="s">
        <v>29</v>
      </c>
      <c r="O198" s="7" t="s">
        <v>29</v>
      </c>
      <c r="P198" s="7" t="s">
        <v>29</v>
      </c>
      <c r="Q198" s="7" t="s">
        <v>29</v>
      </c>
      <c r="R198" s="7" t="s">
        <v>29</v>
      </c>
      <c r="S198" s="7" t="s">
        <v>29</v>
      </c>
    </row>
    <row r="199" spans="2:19">
      <c r="B199" s="7" t="s">
        <v>195</v>
      </c>
      <c r="C199" s="8" t="s">
        <v>195</v>
      </c>
      <c r="D199" s="6" t="str">
        <f>LRTRIM(CONCATENATE(IF(SUMPRODUCT(-- ISNUMBER(SEARCH({"Auto Number"}, $B199))) &gt; 0, $B199, IF(SUMPRODUCT(-- ISNUMBER(SEARCH({"Lookup","Master-Detail"}, $B199))) &gt; 0,$B199 &amp; "(" &amp; $E199 &amp; ")",IF(SUMPRODUCT(-- ISNUMBER(SEARCH({"Formula","Roll-Up Summary"}, $B199))) &gt; 0,$B199 &amp; " (" &amp; $E199 &amp; ")",IF(SUMPRODUCT(-- ISNUMBER(SEARCH({"Content","Currency","Number","Percent","Text","URL"}, $B199))) &gt; 0,$B199 &amp; "(" &amp; $C199 &amp; ")",$B199)))), "  ", TRIM(IF($S199 = "YES", "(External ID)", "") &amp; " " &amp; IF(SUMPRODUCT(-- ISNUMBER(SEARCH({"Unique","Unique Case Insensitive"}, $R199))) &gt; 0, "(" &amp; $R199 &amp; ")", ""))))</f>
        <v>na</v>
      </c>
      <c r="E199" s="7" t="s">
        <v>195</v>
      </c>
      <c r="F199" s="7" t="s">
        <v>195</v>
      </c>
      <c r="G199" s="7" t="s">
        <v>195</v>
      </c>
      <c r="H199" s="7" t="s">
        <v>195</v>
      </c>
      <c r="I199" s="7" t="s">
        <v>195</v>
      </c>
      <c r="J199" s="7" t="s">
        <v>195</v>
      </c>
      <c r="K199" s="7" t="s">
        <v>195</v>
      </c>
      <c r="L199" s="7" t="s">
        <v>195</v>
      </c>
      <c r="M199" s="7" t="s">
        <v>29</v>
      </c>
      <c r="N199" s="7" t="s">
        <v>29</v>
      </c>
      <c r="O199" s="7" t="s">
        <v>29</v>
      </c>
      <c r="P199" s="7" t="s">
        <v>29</v>
      </c>
      <c r="Q199" s="7" t="s">
        <v>29</v>
      </c>
      <c r="R199" s="7" t="s">
        <v>29</v>
      </c>
      <c r="S199" s="7" t="s">
        <v>29</v>
      </c>
    </row>
    <row r="200" spans="2:19">
      <c r="B200" s="7" t="s">
        <v>195</v>
      </c>
      <c r="C200" s="8" t="s">
        <v>195</v>
      </c>
      <c r="D200" s="6" t="str">
        <f>LRTRIM(CONCATENATE(IF(SUMPRODUCT(-- ISNUMBER(SEARCH({"Auto Number"}, $B200))) &gt; 0, $B200, IF(SUMPRODUCT(-- ISNUMBER(SEARCH({"Lookup","Master-Detail"}, $B200))) &gt; 0,$B200 &amp; "(" &amp; $E200 &amp; ")",IF(SUMPRODUCT(-- ISNUMBER(SEARCH({"Formula","Roll-Up Summary"}, $B200))) &gt; 0,$B200 &amp; " (" &amp; $E200 &amp; ")",IF(SUMPRODUCT(-- ISNUMBER(SEARCH({"Content","Currency","Number","Percent","Text","URL"}, $B200))) &gt; 0,$B200 &amp; "(" &amp; $C200 &amp; ")",$B200)))), "  ", TRIM(IF($S200 = "YES", "(External ID)", "") &amp; " " &amp; IF(SUMPRODUCT(-- ISNUMBER(SEARCH({"Unique","Unique Case Insensitive"}, $R200))) &gt; 0, "(" &amp; $R200 &amp; ")", ""))))</f>
        <v>na</v>
      </c>
      <c r="E200" s="7" t="s">
        <v>195</v>
      </c>
      <c r="F200" s="7" t="s">
        <v>195</v>
      </c>
      <c r="G200" s="7" t="s">
        <v>195</v>
      </c>
      <c r="H200" s="7" t="s">
        <v>195</v>
      </c>
      <c r="I200" s="7" t="s">
        <v>195</v>
      </c>
      <c r="J200" s="7" t="s">
        <v>195</v>
      </c>
      <c r="K200" s="7" t="s">
        <v>195</v>
      </c>
      <c r="L200" s="7" t="s">
        <v>195</v>
      </c>
      <c r="M200" s="7" t="s">
        <v>29</v>
      </c>
      <c r="N200" s="7" t="s">
        <v>29</v>
      </c>
      <c r="O200" s="7" t="s">
        <v>29</v>
      </c>
      <c r="P200" s="7" t="s">
        <v>29</v>
      </c>
      <c r="Q200" s="7" t="s">
        <v>29</v>
      </c>
      <c r="R200" s="7" t="s">
        <v>29</v>
      </c>
      <c r="S200" s="7" t="s">
        <v>29</v>
      </c>
    </row>
  </sheetData>
  <sheetProtection formatCells="0" formatColumns="0" formatRows="0" insertColumns="0" insertRows="0" insertHyperlinks="0" deleteColumns="0" deleteRows="0" sort="0" autoFilter="0" pivotTables="0"/>
  <conditionalFormatting sqref="D2:D23">
    <cfRule type="expression" dxfId="27" priority="3">
      <formula>NOT(_xlfn.ISFORMULA($D2))</formula>
    </cfRule>
  </conditionalFormatting>
  <conditionalFormatting sqref="D24">
    <cfRule type="expression" dxfId="26" priority="2">
      <formula>NOT(_xlfn.ISFORMULA($D24))</formula>
    </cfRule>
  </conditionalFormatting>
  <conditionalFormatting sqref="D25:D200">
    <cfRule type="expression" dxfId="25" priority="1">
      <formula>NOT(_xlfn.ISFORMULA($D25))</formula>
    </cfRule>
  </conditionalFormatting>
  <dataValidations count="1">
    <dataValidation allowBlank="1" showInputMessage="1" showErrorMessage="1" sqref="A2:A23"/>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5">
        <x14:dataValidation type="list" allowBlank="1" showInputMessage="1" showErrorMessage="1">
          <x14:formula1>
            <xm:f>OFFSET('Reference Fields'!$K$2,0,0,COUNTA('Reference Fields'!$K:$K)-1)</xm:f>
          </x14:formula1>
          <xm:sqref>R2:R200</xm:sqref>
        </x14:dataValidation>
        <x14:dataValidation type="list" allowBlank="1" showInputMessage="1" showErrorMessage="1">
          <x14:formula1>
            <xm:f>OFFSET('Reference Fields'!$J$2,0,0,COUNTA('Reference Fields'!$J:$J)-1)</xm:f>
          </x14:formula1>
          <xm:sqref>Q2:Q200</xm:sqref>
        </x14:dataValidation>
        <x14:dataValidation type="list" allowBlank="1" showInputMessage="1" showErrorMessage="1">
          <x14:formula1>
            <xm:f>OFFSET('Reference Fields'!$J$2,0,0,COUNTA('Reference Fields'!$J:$J)-1)</xm:f>
          </x14:formula1>
          <xm:sqref>M2:M200</xm:sqref>
        </x14:dataValidation>
        <x14:dataValidation type="list" allowBlank="1" showInputMessage="1" showErrorMessage="1">
          <x14:formula1>
            <xm:f>OFFSET('Reference Fields'!$J$2,0,0,COUNTA('Reference Fields'!$J:$J)-1)</xm:f>
          </x14:formula1>
          <xm:sqref>N2:N200</xm:sqref>
        </x14:dataValidation>
        <x14:dataValidation type="list" allowBlank="1" showInputMessage="1" showErrorMessage="1">
          <x14:formula1>
            <xm:f>OFFSET('Reference Fields'!$J$2,0,0,COUNTA('Reference Fields'!$J:$J)-1)</xm:f>
          </x14:formula1>
          <xm:sqref>O2:O200</xm:sqref>
        </x14:dataValidation>
        <x14:dataValidation type="list" allowBlank="1" showInputMessage="1" showErrorMessage="1">
          <x14:formula1>
            <xm:f>OFFSET('Reference Fields'!$J$2,0,0,COUNTA('Reference Fields'!$J:$J)-1)</xm:f>
          </x14:formula1>
          <xm:sqref>P2:P200</xm:sqref>
        </x14:dataValidation>
        <x14:dataValidation type="list" allowBlank="1" showInputMessage="1" showErrorMessage="1">
          <x14:formula1>
            <xm:f>OFFSET('Reference Fields'!$J$2,0,0,COUNTA('Reference Fields'!$J:$J)-1)</xm:f>
          </x14:formula1>
          <xm:sqref>S2:S200</xm:sqref>
        </x14:dataValidation>
        <x14:dataValidation type="list" allowBlank="1" showInputMessage="1" showErrorMessage="1">
          <x14:formula1>
            <xm:f>OFFSET('Reference Fields'!$B$2,0,0,COUNTA('Reference Fields'!$B:$B)-1)</xm:f>
          </x14:formula1>
          <xm:sqref>B2:B200</xm:sqref>
        </x14:dataValidation>
        <x14:dataValidation type="list" allowBlank="1" showInputMessage="1" showErrorMessage="1">
          <x14:formula1>
            <xm:f>OFFSET('Reference Fields'!$D$2,0,0,COUNTA('Reference Fields'!$D:$D)-1)</xm:f>
          </x14:formula1>
          <xm:sqref>F2:F200</xm:sqref>
        </x14:dataValidation>
        <x14:dataValidation type="list" allowBlank="1" showInputMessage="1" showErrorMessage="1">
          <x14:formula1>
            <xm:f>OFFSET('Reference Fields'!$E$2,0,0,COUNTA('Reference Fields'!$E:$E)-1)</xm:f>
          </x14:formula1>
          <xm:sqref>G2:G200</xm:sqref>
        </x14:dataValidation>
        <x14:dataValidation type="list" allowBlank="1" showInputMessage="1" showErrorMessage="1">
          <x14:formula1>
            <xm:f>OFFSET('Reference Fields'!$F$2,0,0,COUNTA('Reference Fields'!$F:$F)-1)</xm:f>
          </x14:formula1>
          <xm:sqref>H2:H200</xm:sqref>
        </x14:dataValidation>
        <x14:dataValidation type="list" allowBlank="1" showInputMessage="1" showErrorMessage="1">
          <x14:formula1>
            <xm:f>OFFSET('Reference Fields'!$F$2,0,0,COUNTA('Reference Fields'!$F:$F)-1)</xm:f>
          </x14:formula1>
          <xm:sqref>I2:I200</xm:sqref>
        </x14:dataValidation>
        <x14:dataValidation type="list" allowBlank="1" showInputMessage="1" showErrorMessage="1">
          <x14:formula1>
            <xm:f>OFFSET('Reference Fields'!$G$2,0,0,COUNTA('Reference Fields'!$G:$G)-1)</xm:f>
          </x14:formula1>
          <xm:sqref>J2:J200</xm:sqref>
        </x14:dataValidation>
        <x14:dataValidation type="list" allowBlank="1" showInputMessage="1" showErrorMessage="1">
          <x14:formula1>
            <xm:f>OFFSET('Reference Fields'!$H$2,0,0,COUNTA('Reference Fields'!$H:$H)-1)</xm:f>
          </x14:formula1>
          <xm:sqref>K2:K200</xm:sqref>
        </x14:dataValidation>
        <x14:dataValidation type="list" allowBlank="1" showInputMessage="1" showErrorMessage="1">
          <x14:formula1>
            <xm:f>OFFSET('Reference Fields'!$I$2,0,0,COUNTA('Reference Fields'!$I:$I)-1)</xm:f>
          </x14:formula1>
          <xm:sqref>L2:L200</xm:sqref>
        </x14:dataValidation>
      </x14:dataValidations>
    </ext>
  </extLst>
</worksheet>
</file>

<file path=xl/worksheets/sheet32.xml><?xml version="1.0" encoding="utf-8"?>
<worksheet xmlns="http://schemas.openxmlformats.org/spreadsheetml/2006/main" xmlns:r="http://schemas.openxmlformats.org/officeDocument/2006/relationships">
  <sheetPr codeName="Sheet23"/>
  <dimension ref="A1:S200"/>
  <sheetViews>
    <sheetView workbookViewId="0">
      <pane ySplit="1" topLeftCell="A2" activePane="bottomLeft" state="frozen"/>
      <selection pane="bottomLeft" activeCell="A2" sqref="A2"/>
    </sheetView>
  </sheetViews>
  <sheetFormatPr defaultRowHeight="14.5"/>
  <cols>
    <col min="1" max="1" width="23" bestFit="1" customWidth="1"/>
    <col min="2" max="2" width="13.54296875" customWidth="1"/>
    <col min="3" max="4" width="8.90625" customWidth="1"/>
    <col min="5" max="5" width="12.6328125" customWidth="1"/>
    <col min="6" max="6" width="15.6328125" bestFit="1" customWidth="1"/>
    <col min="7" max="8" width="15.453125" customWidth="1"/>
    <col min="9" max="9" width="22.6328125" customWidth="1"/>
    <col min="10" max="10" width="23.36328125" customWidth="1"/>
    <col min="11" max="11" width="17.54296875" customWidth="1"/>
    <col min="12" max="12" width="14.08984375" customWidth="1"/>
    <col min="13" max="13" width="10.453125" bestFit="1" customWidth="1"/>
    <col min="14" max="14" width="10.453125" customWidth="1"/>
    <col min="15" max="15" width="12.453125" bestFit="1" customWidth="1"/>
  </cols>
  <sheetData>
    <row r="1" spans="1:19" s="1" customFormat="1">
      <c r="A1" s="1" t="s">
        <v>2</v>
      </c>
      <c r="B1" s="1" t="s">
        <v>1198</v>
      </c>
      <c r="C1" s="1" t="s">
        <v>1199</v>
      </c>
      <c r="D1" s="1" t="s">
        <v>0</v>
      </c>
      <c r="E1" s="1" t="s">
        <v>1</v>
      </c>
      <c r="F1" s="1" t="s">
        <v>30</v>
      </c>
      <c r="G1" s="1" t="s">
        <v>31</v>
      </c>
      <c r="H1" s="1" t="s">
        <v>1262</v>
      </c>
      <c r="I1" s="1" t="s">
        <v>49</v>
      </c>
      <c r="J1" s="1" t="s">
        <v>48</v>
      </c>
      <c r="K1" s="1" t="s">
        <v>54</v>
      </c>
      <c r="L1" s="1" t="s">
        <v>55</v>
      </c>
      <c r="M1" s="1" t="s">
        <v>27</v>
      </c>
      <c r="N1" s="1" t="s">
        <v>175</v>
      </c>
      <c r="O1" s="1" t="s">
        <v>193</v>
      </c>
      <c r="P1" s="1" t="s">
        <v>1221</v>
      </c>
      <c r="Q1" s="1" t="s">
        <v>1264</v>
      </c>
      <c r="R1" s="1" t="s">
        <v>1263</v>
      </c>
      <c r="S1" s="1" t="s">
        <v>1265</v>
      </c>
    </row>
    <row r="2" spans="1:19">
      <c r="A2" s="7" t="s">
        <v>952</v>
      </c>
      <c r="B2" s="7" t="s">
        <v>386</v>
      </c>
      <c r="C2" s="8">
        <v>0</v>
      </c>
      <c r="D2" s="6" t="str">
        <f>LRTRIM(CONCATENATE(IF(SUMPRODUCT(-- ISNUMBER(SEARCH({"Auto Number"}, $B2))) &gt; 0, $B2, IF(SUMPRODUCT(-- ISNUMBER(SEARCH({"Lookup","Master-Detail"}, $B2))) &gt; 0,$B2 &amp; "(" &amp; $E2 &amp; ")",IF(SUMPRODUCT(-- ISNUMBER(SEARCH({"Formula","Roll-Up Summary"}, $B2))) &gt; 0,$B2 &amp; " (" &amp; $E2 &amp; ")",IF(SUMPRODUCT(-- ISNUMBER(SEARCH({"Content","Currency","Number","Percent","Text","URL"}, $B2))) &gt; 0,$B2 &amp; "(" &amp; $C2 &amp; ")",$B2)))), "  ", TRIM(IF($S2 = "YES", "(External ID)", "") &amp; " " &amp; IF(SUMPRODUCT(-- ISNUMBER(SEARCH({"Unique","Unique Case Insensitive"}, $R2))) &gt; 0, "(" &amp; $R2 &amp; ")", ""))))</f>
        <v>Date</v>
      </c>
      <c r="E2" s="7" t="s">
        <v>195</v>
      </c>
      <c r="F2" s="7" t="s">
        <v>962</v>
      </c>
      <c r="G2" s="7" t="s">
        <v>971</v>
      </c>
      <c r="H2" s="7" t="s">
        <v>195</v>
      </c>
      <c r="I2" s="7" t="s">
        <v>195</v>
      </c>
      <c r="J2" s="7" t="s">
        <v>195</v>
      </c>
      <c r="K2" s="7" t="s">
        <v>195</v>
      </c>
      <c r="L2" s="7" t="s">
        <v>195</v>
      </c>
      <c r="M2" s="7" t="s">
        <v>29</v>
      </c>
      <c r="N2" s="7" t="s">
        <v>29</v>
      </c>
      <c r="O2" s="7" t="s">
        <v>29</v>
      </c>
      <c r="P2" s="7" t="s">
        <v>29</v>
      </c>
      <c r="Q2" s="7" t="s">
        <v>29</v>
      </c>
      <c r="R2" s="7" t="s">
        <v>29</v>
      </c>
      <c r="S2" s="7" t="s">
        <v>29</v>
      </c>
    </row>
    <row r="3" spans="1:19">
      <c r="A3" s="7" t="s">
        <v>953</v>
      </c>
      <c r="B3" s="7" t="s">
        <v>386</v>
      </c>
      <c r="C3" s="8">
        <v>0</v>
      </c>
      <c r="D3" s="6" t="str">
        <f>LRTRIM(CONCATENATE(IF(SUMPRODUCT(-- ISNUMBER(SEARCH({"Auto Number"}, $B3))) &gt; 0, $B3, IF(SUMPRODUCT(-- ISNUMBER(SEARCH({"Lookup","Master-Detail"}, $B3))) &gt; 0,$B3 &amp; "(" &amp; $E3 &amp; ")",IF(SUMPRODUCT(-- ISNUMBER(SEARCH({"Formula","Roll-Up Summary"}, $B3))) &gt; 0,$B3 &amp; " (" &amp; $E3 &amp; ")",IF(SUMPRODUCT(-- ISNUMBER(SEARCH({"Content","Currency","Number","Percent","Text","URL"}, $B3))) &gt; 0,$B3 &amp; "(" &amp; $C3 &amp; ")",$B3)))), "  ", TRIM(IF($S3 = "YES", "(External ID)", "") &amp; " " &amp; IF(SUMPRODUCT(-- ISNUMBER(SEARCH({"Unique","Unique Case Insensitive"}, $R3))) &gt; 0, "(" &amp; $R3 &amp; ")", ""))))</f>
        <v>Date</v>
      </c>
      <c r="E3" s="7" t="s">
        <v>195</v>
      </c>
      <c r="F3" s="7" t="s">
        <v>963</v>
      </c>
      <c r="G3" s="7" t="s">
        <v>972</v>
      </c>
      <c r="H3" s="7" t="s">
        <v>195</v>
      </c>
      <c r="I3" s="7" t="s">
        <v>195</v>
      </c>
      <c r="J3" s="7" t="s">
        <v>195</v>
      </c>
      <c r="K3" s="7" t="s">
        <v>195</v>
      </c>
      <c r="L3" s="7" t="s">
        <v>195</v>
      </c>
      <c r="M3" s="7" t="s">
        <v>29</v>
      </c>
      <c r="N3" s="7" t="s">
        <v>29</v>
      </c>
      <c r="O3" s="7" t="s">
        <v>29</v>
      </c>
      <c r="P3" s="7" t="s">
        <v>29</v>
      </c>
      <c r="Q3" s="7" t="s">
        <v>29</v>
      </c>
      <c r="R3" s="7" t="s">
        <v>29</v>
      </c>
      <c r="S3" s="7" t="s">
        <v>29</v>
      </c>
    </row>
    <row r="4" spans="1:19">
      <c r="A4" s="7" t="s">
        <v>9</v>
      </c>
      <c r="B4" s="7" t="s">
        <v>1218</v>
      </c>
      <c r="C4" s="8">
        <v>50</v>
      </c>
      <c r="D4" s="6" t="str">
        <f>LRTRIM(CONCATENATE(IF(SUMPRODUCT(-- ISNUMBER(SEARCH({"Auto Number"}, $B4))) &gt; 0, $B4, IF(SUMPRODUCT(-- ISNUMBER(SEARCH({"Lookup","Master-Detail"}, $B4))) &gt; 0,$B4 &amp; "(" &amp; $E4 &amp; ")",IF(SUMPRODUCT(-- ISNUMBER(SEARCH({"Formula","Roll-Up Summary"}, $B4))) &gt; 0,$B4 &amp; " (" &amp; $E4 &amp; ")",IF(SUMPRODUCT(-- ISNUMBER(SEARCH({"Content","Currency","Number","Percent","Text","URL"}, $B4))) &gt; 0,$B4 &amp; "(" &amp; $C4 &amp; ")",$B4)))), "  ", TRIM(IF($S4 = "YES", "(External ID)", "") &amp; " " &amp; IF(SUMPRODUCT(-- ISNUMBER(SEARCH({"Unique","Unique Case Insensitive"}, $R4))) &gt; 0, "(" &amp; $R4 &amp; ")", ""))))</f>
        <v>Text(50)</v>
      </c>
      <c r="E4" s="7" t="s">
        <v>195</v>
      </c>
      <c r="F4" s="7" t="s">
        <v>18</v>
      </c>
      <c r="G4" s="7" t="s">
        <v>195</v>
      </c>
      <c r="H4" s="7" t="s">
        <v>195</v>
      </c>
      <c r="I4" s="7" t="s">
        <v>195</v>
      </c>
      <c r="J4" s="7" t="s">
        <v>195</v>
      </c>
      <c r="K4" s="7" t="s">
        <v>195</v>
      </c>
      <c r="L4" s="7" t="s">
        <v>195</v>
      </c>
      <c r="M4" s="7" t="s">
        <v>29</v>
      </c>
      <c r="N4" s="7" t="s">
        <v>29</v>
      </c>
      <c r="O4" s="7" t="s">
        <v>29</v>
      </c>
      <c r="P4" s="7" t="s">
        <v>29</v>
      </c>
      <c r="Q4" s="7" t="s">
        <v>29</v>
      </c>
      <c r="R4" s="7" t="s">
        <v>29</v>
      </c>
      <c r="S4" s="7" t="s">
        <v>29</v>
      </c>
    </row>
    <row r="5" spans="1:19">
      <c r="A5" s="7" t="s">
        <v>11</v>
      </c>
      <c r="B5" s="7" t="s">
        <v>1218</v>
      </c>
      <c r="C5" s="8">
        <v>200</v>
      </c>
      <c r="D5" s="6" t="str">
        <f>LRTRIM(CONCATENATE(IF(SUMPRODUCT(-- ISNUMBER(SEARCH({"Auto Number"}, $B5))) &gt; 0, $B5, IF(SUMPRODUCT(-- ISNUMBER(SEARCH({"Lookup","Master-Detail"}, $B5))) &gt; 0,$B5 &amp; "(" &amp; $E5 &amp; ")",IF(SUMPRODUCT(-- ISNUMBER(SEARCH({"Formula","Roll-Up Summary"}, $B5))) &gt; 0,$B5 &amp; " (" &amp; $E5 &amp; ")",IF(SUMPRODUCT(-- ISNUMBER(SEARCH({"Content","Currency","Number","Percent","Text","URL"}, $B5))) &gt; 0,$B5 &amp; "(" &amp; $C5 &amp; ")",$B5)))), "  ", TRIM(IF($S5 = "YES", "(External ID)", "") &amp; " " &amp; IF(SUMPRODUCT(-- ISNUMBER(SEARCH({"Unique","Unique Case Insensitive"}, $R5))) &gt; 0, "(" &amp; $R5 &amp; ")", ""))))</f>
        <v>Text(200)</v>
      </c>
      <c r="E5" s="7" t="s">
        <v>195</v>
      </c>
      <c r="F5" s="7" t="s">
        <v>20</v>
      </c>
      <c r="G5" s="7" t="s">
        <v>195</v>
      </c>
      <c r="H5" s="7" t="s">
        <v>195</v>
      </c>
      <c r="I5" s="7" t="s">
        <v>195</v>
      </c>
      <c r="J5" s="7" t="s">
        <v>195</v>
      </c>
      <c r="K5" s="7" t="s">
        <v>195</v>
      </c>
      <c r="L5" s="7" t="s">
        <v>195</v>
      </c>
      <c r="M5" s="7" t="s">
        <v>29</v>
      </c>
      <c r="N5" s="7" t="s">
        <v>29</v>
      </c>
      <c r="O5" s="7" t="s">
        <v>29</v>
      </c>
      <c r="P5" s="7" t="s">
        <v>29</v>
      </c>
      <c r="Q5" s="7" t="s">
        <v>29</v>
      </c>
      <c r="R5" s="7" t="s">
        <v>29</v>
      </c>
      <c r="S5" s="7" t="s">
        <v>29</v>
      </c>
    </row>
    <row r="6" spans="1:19">
      <c r="A6" s="7" t="s">
        <v>883</v>
      </c>
      <c r="B6" s="7" t="s">
        <v>1218</v>
      </c>
      <c r="C6" s="8">
        <v>255</v>
      </c>
      <c r="D6" s="6" t="str">
        <f>LRTRIM(CONCATENATE(IF(SUMPRODUCT(-- ISNUMBER(SEARCH({"Auto Number"}, $B6))) &gt; 0, $B6, IF(SUMPRODUCT(-- ISNUMBER(SEARCH({"Lookup","Master-Detail"}, $B6))) &gt; 0,$B6 &amp; "(" &amp; $E6 &amp; ")",IF(SUMPRODUCT(-- ISNUMBER(SEARCH({"Formula","Roll-Up Summary"}, $B6))) &gt; 0,$B6 &amp; " (" &amp; $E6 &amp; ")",IF(SUMPRODUCT(-- ISNUMBER(SEARCH({"Content","Currency","Number","Percent","Text","URL"}, $B6))) &gt; 0,$B6 &amp; "(" &amp; $C6 &amp; ")",$B6)))), "  ", TRIM(IF($S6 = "YES", "(External ID)", "") &amp; " " &amp; IF(SUMPRODUCT(-- ISNUMBER(SEARCH({"Unique","Unique Case Insensitive"}, $R6))) &gt; 0, "(" &amp; $R6 &amp; ")", ""))))</f>
        <v>Text(255)</v>
      </c>
      <c r="E6" s="7" t="s">
        <v>195</v>
      </c>
      <c r="F6" s="7" t="s">
        <v>854</v>
      </c>
      <c r="G6" s="7" t="s">
        <v>931</v>
      </c>
      <c r="H6" s="7" t="s">
        <v>195</v>
      </c>
      <c r="I6" s="7" t="s">
        <v>195</v>
      </c>
      <c r="J6" s="7" t="s">
        <v>195</v>
      </c>
      <c r="K6" s="7" t="s">
        <v>195</v>
      </c>
      <c r="L6" s="7" t="s">
        <v>195</v>
      </c>
      <c r="M6" s="7" t="s">
        <v>29</v>
      </c>
      <c r="N6" s="7" t="s">
        <v>29</v>
      </c>
      <c r="O6" s="7" t="s">
        <v>29</v>
      </c>
      <c r="P6" s="7" t="s">
        <v>29</v>
      </c>
      <c r="Q6" s="7" t="s">
        <v>29</v>
      </c>
      <c r="R6" s="7" t="s">
        <v>29</v>
      </c>
      <c r="S6" s="7" t="s">
        <v>29</v>
      </c>
    </row>
    <row r="7" spans="1:19">
      <c r="A7" s="7" t="s">
        <v>13</v>
      </c>
      <c r="B7" s="7" t="s">
        <v>1218</v>
      </c>
      <c r="C7" s="8">
        <v>10</v>
      </c>
      <c r="D7" s="6" t="str">
        <f>LRTRIM(CONCATENATE(IF(SUMPRODUCT(-- ISNUMBER(SEARCH({"Auto Number"}, $B7))) &gt; 0, $B7, IF(SUMPRODUCT(-- ISNUMBER(SEARCH({"Lookup","Master-Detail"}, $B7))) &gt; 0,$B7 &amp; "(" &amp; $E7 &amp; ")",IF(SUMPRODUCT(-- ISNUMBER(SEARCH({"Formula","Roll-Up Summary"}, $B7))) &gt; 0,$B7 &amp; " (" &amp; $E7 &amp; ")",IF(SUMPRODUCT(-- ISNUMBER(SEARCH({"Content","Currency","Number","Percent","Text","URL"}, $B7))) &gt; 0,$B7 &amp; "(" &amp; $C7 &amp; ")",$B7)))), "  ", TRIM(IF($S7 = "YES", "(External ID)", "") &amp; " " &amp; IF(SUMPRODUCT(-- ISNUMBER(SEARCH({"Unique","Unique Case Insensitive"}, $R7))) &gt; 0, "(" &amp; $R7 &amp; ")", ""))))</f>
        <v>Text(10)</v>
      </c>
      <c r="E7" s="7" t="s">
        <v>195</v>
      </c>
      <c r="F7" s="7" t="s">
        <v>24</v>
      </c>
      <c r="G7" s="7" t="s">
        <v>195</v>
      </c>
      <c r="H7" s="7" t="s">
        <v>195</v>
      </c>
      <c r="I7" s="7" t="s">
        <v>195</v>
      </c>
      <c r="J7" s="7" t="s">
        <v>195</v>
      </c>
      <c r="K7" s="7" t="s">
        <v>195</v>
      </c>
      <c r="L7" s="7" t="s">
        <v>195</v>
      </c>
      <c r="M7" s="7" t="s">
        <v>29</v>
      </c>
      <c r="N7" s="7" t="s">
        <v>29</v>
      </c>
      <c r="O7" s="7" t="s">
        <v>29</v>
      </c>
      <c r="P7" s="7" t="s">
        <v>29</v>
      </c>
      <c r="Q7" s="7" t="s">
        <v>29</v>
      </c>
      <c r="R7" s="7" t="s">
        <v>29</v>
      </c>
      <c r="S7" s="7" t="s">
        <v>29</v>
      </c>
    </row>
    <row r="8" spans="1:19">
      <c r="A8" s="7" t="s">
        <v>954</v>
      </c>
      <c r="B8" s="7" t="s">
        <v>1204</v>
      </c>
      <c r="C8" s="8">
        <v>0</v>
      </c>
      <c r="D8" s="6" t="str">
        <f>LRTRIM(CONCATENATE(IF(SUMPRODUCT(-- ISNUMBER(SEARCH({"Auto Number"}, $B8))) &gt; 0, $B8, IF(SUMPRODUCT(-- ISNUMBER(SEARCH({"Lookup","Master-Detail"}, $B8))) &gt; 0,$B8 &amp; "(" &amp; $E8 &amp; ")",IF(SUMPRODUCT(-- ISNUMBER(SEARCH({"Formula","Roll-Up Summary"}, $B8))) &gt; 0,$B8 &amp; " (" &amp; $E8 &amp; ")",IF(SUMPRODUCT(-- ISNUMBER(SEARCH({"Content","Currency","Number","Percent","Text","URL"}, $B8))) &gt; 0,$B8 &amp; "(" &amp; $C8 &amp; ")",$B8)))), "  ", TRIM(IF($S8 = "YES", "(External ID)", "") &amp; " " &amp; IF(SUMPRODUCT(-- ISNUMBER(SEARCH({"Unique","Unique Case Insensitive"}, $R8))) &gt; 0, "(" &amp; $R8 &amp; ")", ""))))</f>
        <v>Checkbox</v>
      </c>
      <c r="E8" s="7" t="s">
        <v>195</v>
      </c>
      <c r="F8" s="7" t="s">
        <v>858</v>
      </c>
      <c r="G8" s="7" t="s">
        <v>873</v>
      </c>
      <c r="H8" s="7" t="s">
        <v>195</v>
      </c>
      <c r="I8" s="7" t="s">
        <v>195</v>
      </c>
      <c r="J8" s="7" t="s">
        <v>195</v>
      </c>
      <c r="K8" s="7" t="s">
        <v>195</v>
      </c>
      <c r="L8" s="7" t="s">
        <v>195</v>
      </c>
      <c r="M8" s="7" t="s">
        <v>28</v>
      </c>
      <c r="N8" s="7" t="s">
        <v>29</v>
      </c>
      <c r="O8" s="7" t="s">
        <v>29</v>
      </c>
      <c r="P8" s="7" t="s">
        <v>29</v>
      </c>
      <c r="Q8" s="7" t="s">
        <v>29</v>
      </c>
      <c r="R8" s="7" t="s">
        <v>29</v>
      </c>
      <c r="S8" s="7" t="s">
        <v>29</v>
      </c>
    </row>
    <row r="9" spans="1:19">
      <c r="A9" s="7" t="s">
        <v>14</v>
      </c>
      <c r="B9" s="7" t="s">
        <v>1204</v>
      </c>
      <c r="C9" s="8">
        <v>0</v>
      </c>
      <c r="D9" s="6" t="str">
        <f>LRTRIM(CONCATENATE(IF(SUMPRODUCT(-- ISNUMBER(SEARCH({"Auto Number"}, $B9))) &gt; 0, $B9, IF(SUMPRODUCT(-- ISNUMBER(SEARCH({"Lookup","Master-Detail"}, $B9))) &gt; 0,$B9 &amp; "(" &amp; $E9 &amp; ")",IF(SUMPRODUCT(-- ISNUMBER(SEARCH({"Formula","Roll-Up Summary"}, $B9))) &gt; 0,$B9 &amp; " (" &amp; $E9 &amp; ")",IF(SUMPRODUCT(-- ISNUMBER(SEARCH({"Content","Currency","Number","Percent","Text","URL"}, $B9))) &gt; 0,$B9 &amp; "(" &amp; $C9 &amp; ")",$B9)))), "  ", TRIM(IF($S9 = "YES", "(External ID)", "") &amp; " " &amp; IF(SUMPRODUCT(-- ISNUMBER(SEARCH({"Unique","Unique Case Insensitive"}, $R9))) &gt; 0, "(" &amp; $R9 &amp; ")", ""))))</f>
        <v>Checkbox</v>
      </c>
      <c r="E9" s="7" t="s">
        <v>195</v>
      </c>
      <c r="F9" s="7" t="s">
        <v>25</v>
      </c>
      <c r="G9" s="7" t="s">
        <v>195</v>
      </c>
      <c r="H9" s="7" t="s">
        <v>195</v>
      </c>
      <c r="I9" s="7" t="s">
        <v>195</v>
      </c>
      <c r="J9" s="7" t="s">
        <v>195</v>
      </c>
      <c r="K9" s="7" t="s">
        <v>195</v>
      </c>
      <c r="L9" s="7" t="s">
        <v>195</v>
      </c>
      <c r="M9" s="7" t="s">
        <v>28</v>
      </c>
      <c r="N9" s="7" t="s">
        <v>29</v>
      </c>
      <c r="O9" s="7" t="s">
        <v>29</v>
      </c>
      <c r="P9" s="7" t="s">
        <v>29</v>
      </c>
      <c r="Q9" s="7" t="s">
        <v>29</v>
      </c>
      <c r="R9" s="7" t="s">
        <v>29</v>
      </c>
      <c r="S9" s="7" t="s">
        <v>29</v>
      </c>
    </row>
    <row r="10" spans="1:19">
      <c r="A10" s="7" t="s">
        <v>2</v>
      </c>
      <c r="B10" s="7" t="s">
        <v>1218</v>
      </c>
      <c r="C10" s="8">
        <v>80</v>
      </c>
      <c r="D10" s="6" t="str">
        <f>LRTRIM(CONCATENATE(IF(SUMPRODUCT(-- ISNUMBER(SEARCH({"Auto Number"}, $B10))) &gt; 0, $B10, IF(SUMPRODUCT(-- ISNUMBER(SEARCH({"Lookup","Master-Detail"}, $B10))) &gt; 0,$B10 &amp; "(" &amp; $E10 &amp; ")",IF(SUMPRODUCT(-- ISNUMBER(SEARCH({"Formula","Roll-Up Summary"}, $B10))) &gt; 0,$B10 &amp; " (" &amp; $E10 &amp; ")",IF(SUMPRODUCT(-- ISNUMBER(SEARCH({"Content","Currency","Number","Percent","Text","URL"}, $B10))) &gt; 0,$B10 &amp; "(" &amp; $C10 &amp; ")",$B10)))), "  ", TRIM(IF($S10 = "YES", "(External ID)", "") &amp; " " &amp; IF(SUMPRODUCT(-- ISNUMBER(SEARCH({"Unique","Unique Case Insensitive"}, $R10))) &gt; 0, "(" &amp; $R10 &amp; ")", ""))))</f>
        <v>Text(80)</v>
      </c>
      <c r="E10" s="7" t="s">
        <v>195</v>
      </c>
      <c r="F10" s="7" t="s">
        <v>964</v>
      </c>
      <c r="G10" s="7" t="s">
        <v>195</v>
      </c>
      <c r="H10" s="7" t="s">
        <v>195</v>
      </c>
      <c r="I10" s="7" t="s">
        <v>195</v>
      </c>
      <c r="J10" s="7" t="s">
        <v>195</v>
      </c>
      <c r="K10" s="7" t="s">
        <v>195</v>
      </c>
      <c r="L10" s="7" t="s">
        <v>195</v>
      </c>
      <c r="M10" s="7" t="s">
        <v>29</v>
      </c>
      <c r="N10" s="7" t="s">
        <v>29</v>
      </c>
      <c r="O10" s="7" t="s">
        <v>29</v>
      </c>
      <c r="P10" s="7" t="s">
        <v>29</v>
      </c>
      <c r="Q10" s="7" t="s">
        <v>29</v>
      </c>
      <c r="R10" s="7" t="s">
        <v>29</v>
      </c>
      <c r="S10" s="7" t="s">
        <v>29</v>
      </c>
    </row>
    <row r="11" spans="1:19">
      <c r="A11" s="7" t="s">
        <v>955</v>
      </c>
      <c r="B11" s="7" t="s">
        <v>1211</v>
      </c>
      <c r="C11" s="8">
        <v>18</v>
      </c>
      <c r="D11" s="6" t="str">
        <f>LRTRIM(CONCATENATE(IF(SUMPRODUCT(-- ISNUMBER(SEARCH({"Auto Number"}, $B11))) &gt; 0, $B11, IF(SUMPRODUCT(-- ISNUMBER(SEARCH({"Lookup","Master-Detail"}, $B11))) &gt; 0,$B11 &amp; "(" &amp; $E11 &amp; ")",IF(SUMPRODUCT(-- ISNUMBER(SEARCH({"Formula","Roll-Up Summary"}, $B11))) &gt; 0,$B11 &amp; " (" &amp; $E11 &amp; ")",IF(SUMPRODUCT(-- ISNUMBER(SEARCH({"Content","Currency","Number","Percent","Text","URL"}, $B11))) &gt; 0,$B11 &amp; "(" &amp; $C11 &amp; ")",$B11)))), "  ", TRIM(IF($S11 = "YES", "(External ID)", "") &amp; " " &amp; IF(SUMPRODUCT(-- ISNUMBER(SEARCH({"Unique","Unique Case Insensitive"}, $R11))) &gt; 0, "(" &amp; $R11 &amp; ")", ""))))</f>
        <v>Lookup(User)</v>
      </c>
      <c r="E11" s="7" t="s">
        <v>7</v>
      </c>
      <c r="F11" s="7" t="s">
        <v>965</v>
      </c>
      <c r="G11" s="7" t="s">
        <v>973</v>
      </c>
      <c r="H11" s="7" t="s">
        <v>195</v>
      </c>
      <c r="I11" s="7" t="s">
        <v>195</v>
      </c>
      <c r="J11" s="7" t="s">
        <v>195</v>
      </c>
      <c r="K11" s="7" t="s">
        <v>195</v>
      </c>
      <c r="L11" s="7" t="s">
        <v>195</v>
      </c>
      <c r="M11" s="7" t="s">
        <v>29</v>
      </c>
      <c r="N11" s="7" t="s">
        <v>29</v>
      </c>
      <c r="O11" s="7" t="s">
        <v>29</v>
      </c>
      <c r="P11" s="7" t="s">
        <v>29</v>
      </c>
      <c r="Q11" s="7" t="s">
        <v>29</v>
      </c>
      <c r="R11" s="7" t="s">
        <v>29</v>
      </c>
      <c r="S11" s="7" t="s">
        <v>29</v>
      </c>
    </row>
    <row r="12" spans="1:19">
      <c r="A12" s="7" t="s">
        <v>956</v>
      </c>
      <c r="B12" s="7" t="s">
        <v>1218</v>
      </c>
      <c r="C12" s="8">
        <v>10</v>
      </c>
      <c r="D12" s="6" t="str">
        <f>LRTRIM(CONCATENATE(IF(SUMPRODUCT(-- ISNUMBER(SEARCH({"Auto Number"}, $B12))) &gt; 0, $B12, IF(SUMPRODUCT(-- ISNUMBER(SEARCH({"Lookup","Master-Detail"}, $B12))) &gt; 0,$B12 &amp; "(" &amp; $E12 &amp; ")",IF(SUMPRODUCT(-- ISNUMBER(SEARCH({"Formula","Roll-Up Summary"}, $B12))) &gt; 0,$B12 &amp; " (" &amp; $E12 &amp; ")",IF(SUMPRODUCT(-- ISNUMBER(SEARCH({"Content","Currency","Number","Percent","Text","URL"}, $B12))) &gt; 0,$B12 &amp; "(" &amp; $C12 &amp; ")",$B12)))), "  ", TRIM(IF($S12 = "YES", "(External ID)", "") &amp; " " &amp; IF(SUMPRODUCT(-- ISNUMBER(SEARCH({"Unique","Unique Case Insensitive"}, $R12))) &gt; 0, "(" &amp; $R12 &amp; ")", ""))))</f>
        <v>Text(10)</v>
      </c>
      <c r="E12" s="7" t="s">
        <v>195</v>
      </c>
      <c r="F12" s="7" t="s">
        <v>966</v>
      </c>
      <c r="G12" s="7" t="s">
        <v>974</v>
      </c>
      <c r="H12" s="7" t="s">
        <v>195</v>
      </c>
      <c r="I12" s="7" t="s">
        <v>195</v>
      </c>
      <c r="J12" s="7" t="s">
        <v>195</v>
      </c>
      <c r="K12" s="7" t="s">
        <v>195</v>
      </c>
      <c r="L12" s="7" t="s">
        <v>195</v>
      </c>
      <c r="M12" s="7" t="s">
        <v>29</v>
      </c>
      <c r="N12" s="7" t="s">
        <v>29</v>
      </c>
      <c r="O12" s="7" t="s">
        <v>29</v>
      </c>
      <c r="P12" s="7" t="s">
        <v>29</v>
      </c>
      <c r="Q12" s="7" t="s">
        <v>29</v>
      </c>
      <c r="R12" s="7" t="s">
        <v>29</v>
      </c>
      <c r="S12" s="7" t="s">
        <v>29</v>
      </c>
    </row>
    <row r="13" spans="1:19">
      <c r="A13" s="7" t="s">
        <v>957</v>
      </c>
      <c r="B13" s="7" t="s">
        <v>1213</v>
      </c>
      <c r="C13" s="8" t="s">
        <v>1250</v>
      </c>
      <c r="D13" s="6" t="str">
        <f>LRTRIM(CONCATENATE(IF(SUMPRODUCT(-- ISNUMBER(SEARCH({"Auto Number"}, $B13))) &gt; 0, $B13, IF(SUMPRODUCT(-- ISNUMBER(SEARCH({"Lookup","Master-Detail"}, $B13))) &gt; 0,$B13 &amp; "(" &amp; $E13 &amp; ")",IF(SUMPRODUCT(-- ISNUMBER(SEARCH({"Formula","Roll-Up Summary"}, $B13))) &gt; 0,$B13 &amp; " (" &amp; $E13 &amp; ")",IF(SUMPRODUCT(-- ISNUMBER(SEARCH({"Content","Currency","Number","Percent","Text","URL"}, $B13))) &gt; 0,$B13 &amp; "(" &amp; $C13 &amp; ")",$B13)))), "  ", TRIM(IF($S13 = "YES", "(External ID)", "") &amp; " " &amp; IF(SUMPRODUCT(-- ISNUMBER(SEARCH({"Unique","Unique Case Insensitive"}, $R13))) &gt; 0, "(" &amp; $R13 &amp; ")", ""))))</f>
        <v>Number(18, 0)  (External ID) (Unique)</v>
      </c>
      <c r="E13" s="7" t="s">
        <v>195</v>
      </c>
      <c r="F13" s="7" t="s">
        <v>967</v>
      </c>
      <c r="G13" s="7" t="s">
        <v>195</v>
      </c>
      <c r="H13" s="7" t="s">
        <v>195</v>
      </c>
      <c r="I13" s="7" t="s">
        <v>195</v>
      </c>
      <c r="J13" s="7" t="s">
        <v>195</v>
      </c>
      <c r="K13" s="7" t="s">
        <v>195</v>
      </c>
      <c r="L13" s="7" t="s">
        <v>195</v>
      </c>
      <c r="M13" s="7" t="s">
        <v>29</v>
      </c>
      <c r="N13" s="7" t="s">
        <v>29</v>
      </c>
      <c r="O13" s="7" t="s">
        <v>29</v>
      </c>
      <c r="P13" s="7" t="s">
        <v>29</v>
      </c>
      <c r="Q13" s="7" t="s">
        <v>29</v>
      </c>
      <c r="R13" s="7" t="s">
        <v>1270</v>
      </c>
      <c r="S13" s="7" t="s">
        <v>28</v>
      </c>
    </row>
    <row r="14" spans="1:19">
      <c r="A14" s="7" t="s">
        <v>958</v>
      </c>
      <c r="B14" s="7" t="s">
        <v>1218</v>
      </c>
      <c r="C14" s="8">
        <v>255</v>
      </c>
      <c r="D14" s="6" t="str">
        <f>LRTRIM(CONCATENATE(IF(SUMPRODUCT(-- ISNUMBER(SEARCH({"Auto Number"}, $B14))) &gt; 0, $B14, IF(SUMPRODUCT(-- ISNUMBER(SEARCH({"Lookup","Master-Detail"}, $B14))) &gt; 0,$B14 &amp; "(" &amp; $E14 &amp; ")",IF(SUMPRODUCT(-- ISNUMBER(SEARCH({"Formula","Roll-Up Summary"}, $B14))) &gt; 0,$B14 &amp; " (" &amp; $E14 &amp; ")",IF(SUMPRODUCT(-- ISNUMBER(SEARCH({"Content","Currency","Number","Percent","Text","URL"}, $B14))) &gt; 0,$B14 &amp; "(" &amp; $C14 &amp; ")",$B14)))), "  ", TRIM(IF($S14 = "YES", "(External ID)", "") &amp; " " &amp; IF(SUMPRODUCT(-- ISNUMBER(SEARCH({"Unique","Unique Case Insensitive"}, $R14))) &gt; 0, "(" &amp; $R14 &amp; ")", ""))))</f>
        <v>Text(255)</v>
      </c>
      <c r="E14" s="7" t="s">
        <v>195</v>
      </c>
      <c r="F14" s="7" t="s">
        <v>968</v>
      </c>
      <c r="G14" s="7" t="s">
        <v>975</v>
      </c>
      <c r="H14" s="7" t="s">
        <v>195</v>
      </c>
      <c r="I14" s="7" t="s">
        <v>195</v>
      </c>
      <c r="J14" s="7" t="s">
        <v>195</v>
      </c>
      <c r="K14" s="7" t="s">
        <v>195</v>
      </c>
      <c r="L14" s="7" t="s">
        <v>195</v>
      </c>
      <c r="M14" s="7" t="s">
        <v>29</v>
      </c>
      <c r="N14" s="7" t="s">
        <v>29</v>
      </c>
      <c r="O14" s="7" t="s">
        <v>29</v>
      </c>
      <c r="P14" s="7" t="s">
        <v>29</v>
      </c>
      <c r="Q14" s="7" t="s">
        <v>29</v>
      </c>
      <c r="R14" s="7" t="s">
        <v>29</v>
      </c>
      <c r="S14" s="7" t="s">
        <v>29</v>
      </c>
    </row>
    <row r="15" spans="1:19">
      <c r="A15" s="7" t="s">
        <v>959</v>
      </c>
      <c r="B15" s="7" t="s">
        <v>1211</v>
      </c>
      <c r="C15" s="8">
        <v>18</v>
      </c>
      <c r="D15" s="6" t="str">
        <f>LRTRIM(CONCATENATE(IF(SUMPRODUCT(-- ISNUMBER(SEARCH({"Auto Number"}, $B15))) &gt; 0, $B15, IF(SUMPRODUCT(-- ISNUMBER(SEARCH({"Lookup","Master-Detail"}, $B15))) &gt; 0,$B15 &amp; "(" &amp; $E15 &amp; ")",IF(SUMPRODUCT(-- ISNUMBER(SEARCH({"Formula","Roll-Up Summary"}, $B15))) &gt; 0,$B15 &amp; " (" &amp; $E15 &amp; ")",IF(SUMPRODUCT(-- ISNUMBER(SEARCH({"Content","Currency","Number","Percent","Text","URL"}, $B15))) &gt; 0,$B15 &amp; "(" &amp; $C15 &amp; ")",$B15)))), "  ", TRIM(IF($S15 = "YES", "(External ID)", "") &amp; " " &amp; IF(SUMPRODUCT(-- ISNUMBER(SEARCH({"Unique","Unique Case Insensitive"}, $R15))) &gt; 0, "(" &amp; $R15 &amp; ")", ""))))</f>
        <v>Lookup(User)</v>
      </c>
      <c r="E15" s="7" t="s">
        <v>7</v>
      </c>
      <c r="F15" s="7" t="s">
        <v>969</v>
      </c>
      <c r="G15" s="7" t="s">
        <v>976</v>
      </c>
      <c r="H15" s="7" t="s">
        <v>195</v>
      </c>
      <c r="I15" s="7" t="s">
        <v>195</v>
      </c>
      <c r="J15" s="7" t="s">
        <v>195</v>
      </c>
      <c r="K15" s="7" t="s">
        <v>195</v>
      </c>
      <c r="L15" s="7" t="s">
        <v>195</v>
      </c>
      <c r="M15" s="7" t="s">
        <v>29</v>
      </c>
      <c r="N15" s="7" t="s">
        <v>29</v>
      </c>
      <c r="O15" s="7" t="s">
        <v>29</v>
      </c>
      <c r="P15" s="7" t="s">
        <v>29</v>
      </c>
      <c r="Q15" s="7" t="s">
        <v>29</v>
      </c>
      <c r="R15" s="7" t="s">
        <v>29</v>
      </c>
      <c r="S15" s="7" t="s">
        <v>29</v>
      </c>
    </row>
    <row r="16" spans="1:19">
      <c r="A16" s="7" t="s">
        <v>960</v>
      </c>
      <c r="B16" s="7" t="s">
        <v>1215</v>
      </c>
      <c r="C16" s="8">
        <v>255</v>
      </c>
      <c r="D16" s="6" t="str">
        <f>LRTRIM(CONCATENATE(IF(SUMPRODUCT(-- ISNUMBER(SEARCH({"Auto Number"}, $B16))) &gt; 0, $B16, IF(SUMPRODUCT(-- ISNUMBER(SEARCH({"Lookup","Master-Detail"}, $B16))) &gt; 0,$B16 &amp; "(" &amp; $E16 &amp; ")",IF(SUMPRODUCT(-- ISNUMBER(SEARCH({"Formula","Roll-Up Summary"}, $B16))) &gt; 0,$B16 &amp; " (" &amp; $E16 &amp; ")",IF(SUMPRODUCT(-- ISNUMBER(SEARCH({"Content","Currency","Number","Percent","Text","URL"}, $B16))) &gt; 0,$B16 &amp; "(" &amp; $C16 &amp; ")",$B16)))), "  ", TRIM(IF($S16 = "YES", "(External ID)", "") &amp; " " &amp; IF(SUMPRODUCT(-- ISNUMBER(SEARCH({"Unique","Unique Case Insensitive"}, $R16))) &gt; 0, "(" &amp; $R16 &amp; ")", ""))))</f>
        <v>Picklist</v>
      </c>
      <c r="E16" s="7" t="s">
        <v>195</v>
      </c>
      <c r="F16" s="7" t="s">
        <v>970</v>
      </c>
      <c r="G16" s="7" t="s">
        <v>977</v>
      </c>
      <c r="H16" s="7" t="s">
        <v>195</v>
      </c>
      <c r="I16" s="7" t="s">
        <v>961</v>
      </c>
      <c r="J16" s="7" t="s">
        <v>195</v>
      </c>
      <c r="K16" s="7" t="s">
        <v>195</v>
      </c>
      <c r="L16" s="7" t="s">
        <v>195</v>
      </c>
      <c r="M16" s="7" t="s">
        <v>29</v>
      </c>
      <c r="N16" s="7" t="s">
        <v>29</v>
      </c>
      <c r="O16" s="7" t="s">
        <v>29</v>
      </c>
      <c r="P16" s="7" t="s">
        <v>29</v>
      </c>
      <c r="Q16" s="7" t="s">
        <v>29</v>
      </c>
      <c r="R16" s="7" t="s">
        <v>29</v>
      </c>
      <c r="S16" s="7" t="s">
        <v>29</v>
      </c>
    </row>
    <row r="17" spans="1:19">
      <c r="A17" s="7" t="s">
        <v>36</v>
      </c>
      <c r="B17" s="7" t="s">
        <v>195</v>
      </c>
      <c r="C17" s="8" t="s">
        <v>195</v>
      </c>
      <c r="D17" s="6" t="str">
        <f>LRTRIM(CONCATENATE(IF(SUMPRODUCT(-- ISNUMBER(SEARCH({"Auto Number"}, $B17))) &gt; 0, $B17, IF(SUMPRODUCT(-- ISNUMBER(SEARCH({"Lookup","Master-Detail"}, $B17))) &gt; 0,$B17 &amp; "(" &amp; $E17 &amp; ")",IF(SUMPRODUCT(-- ISNUMBER(SEARCH({"Formula","Roll-Up Summary"}, $B17))) &gt; 0,$B17 &amp; " (" &amp; $E17 &amp; ")",IF(SUMPRODUCT(-- ISNUMBER(SEARCH({"Content","Currency","Number","Percent","Text","URL"}, $B17))) &gt; 0,$B17 &amp; "(" &amp; $C17 &amp; ")",$B17)))), "  ", TRIM(IF($S17 = "YES", "(External ID)", "") &amp; " " &amp; IF(SUMPRODUCT(-- ISNUMBER(SEARCH({"Unique","Unique Case Insensitive"}, $R17))) &gt; 0, "(" &amp; $R17 &amp; ")", ""))))</f>
        <v>na</v>
      </c>
      <c r="E17" s="7" t="s">
        <v>195</v>
      </c>
      <c r="F17" s="7" t="s">
        <v>195</v>
      </c>
      <c r="G17" s="7" t="s">
        <v>195</v>
      </c>
      <c r="H17" s="7" t="s">
        <v>195</v>
      </c>
      <c r="I17" s="7" t="s">
        <v>195</v>
      </c>
      <c r="J17" s="7" t="s">
        <v>195</v>
      </c>
      <c r="K17" s="7" t="s">
        <v>195</v>
      </c>
      <c r="L17" s="7" t="s">
        <v>195</v>
      </c>
      <c r="M17" s="7" t="s">
        <v>28</v>
      </c>
      <c r="N17" s="7" t="s">
        <v>29</v>
      </c>
      <c r="O17" s="7" t="s">
        <v>29</v>
      </c>
      <c r="P17" s="7" t="s">
        <v>29</v>
      </c>
      <c r="Q17" s="7" t="s">
        <v>29</v>
      </c>
      <c r="R17" s="7" t="s">
        <v>29</v>
      </c>
      <c r="S17" s="7" t="s">
        <v>29</v>
      </c>
    </row>
    <row r="18" spans="1:19">
      <c r="A18" s="7" t="s">
        <v>35</v>
      </c>
      <c r="B18" s="7" t="s">
        <v>195</v>
      </c>
      <c r="C18" s="8" t="s">
        <v>195</v>
      </c>
      <c r="D18" s="6" t="str">
        <f>LRTRIM(CONCATENATE(IF(SUMPRODUCT(-- ISNUMBER(SEARCH({"Auto Number"}, $B18))) &gt; 0, $B18, IF(SUMPRODUCT(-- ISNUMBER(SEARCH({"Lookup","Master-Detail"}, $B18))) &gt; 0,$B18 &amp; "(" &amp; $E18 &amp; ")",IF(SUMPRODUCT(-- ISNUMBER(SEARCH({"Formula","Roll-Up Summary"}, $B18))) &gt; 0,$B18 &amp; " (" &amp; $E18 &amp; ")",IF(SUMPRODUCT(-- ISNUMBER(SEARCH({"Content","Currency","Number","Percent","Text","URL"}, $B18))) &gt; 0,$B18 &amp; "(" &amp; $C18 &amp; ")",$B18)))), "  ", TRIM(IF($S18 = "YES", "(External ID)", "") &amp; " " &amp; IF(SUMPRODUCT(-- ISNUMBER(SEARCH({"Unique","Unique Case Insensitive"}, $R18))) &gt; 0, "(" &amp; $R18 &amp; ")", ""))))</f>
        <v>na</v>
      </c>
      <c r="E18" s="7" t="s">
        <v>195</v>
      </c>
      <c r="F18" s="7" t="s">
        <v>195</v>
      </c>
      <c r="G18" s="7" t="s">
        <v>195</v>
      </c>
      <c r="H18" s="7" t="s">
        <v>195</v>
      </c>
      <c r="I18" s="7" t="s">
        <v>195</v>
      </c>
      <c r="J18" s="7" t="s">
        <v>195</v>
      </c>
      <c r="K18" s="7" t="s">
        <v>195</v>
      </c>
      <c r="L18" s="7" t="s">
        <v>195</v>
      </c>
      <c r="M18" s="7" t="s">
        <v>28</v>
      </c>
      <c r="N18" s="7" t="s">
        <v>29</v>
      </c>
      <c r="O18" s="7" t="s">
        <v>29</v>
      </c>
      <c r="P18" s="7" t="s">
        <v>29</v>
      </c>
      <c r="Q18" s="7" t="s">
        <v>29</v>
      </c>
      <c r="R18" s="7" t="s">
        <v>29</v>
      </c>
      <c r="S18" s="7" t="s">
        <v>29</v>
      </c>
    </row>
    <row r="19" spans="1:19">
      <c r="A19" s="7" t="s">
        <v>34</v>
      </c>
      <c r="B19" s="7" t="s">
        <v>195</v>
      </c>
      <c r="C19" s="8" t="s">
        <v>195</v>
      </c>
      <c r="D19" s="6" t="str">
        <f>LRTRIM(CONCATENATE(IF(SUMPRODUCT(-- ISNUMBER(SEARCH({"Auto Number"}, $B19))) &gt; 0, $B19, IF(SUMPRODUCT(-- ISNUMBER(SEARCH({"Lookup","Master-Detail"}, $B19))) &gt; 0,$B19 &amp; "(" &amp; $E19 &amp; ")",IF(SUMPRODUCT(-- ISNUMBER(SEARCH({"Formula","Roll-Up Summary"}, $B19))) &gt; 0,$B19 &amp; " (" &amp; $E19 &amp; ")",IF(SUMPRODUCT(-- ISNUMBER(SEARCH({"Content","Currency","Number","Percent","Text","URL"}, $B19))) &gt; 0,$B19 &amp; "(" &amp; $C19 &amp; ")",$B19)))), "  ", TRIM(IF($S19 = "YES", "(External ID)", "") &amp; " " &amp; IF(SUMPRODUCT(-- ISNUMBER(SEARCH({"Unique","Unique Case Insensitive"}, $R19))) &gt; 0, "(" &amp; $R19 &amp; ")", ""))))</f>
        <v>na</v>
      </c>
      <c r="E19" s="7" t="s">
        <v>195</v>
      </c>
      <c r="F19" s="7" t="s">
        <v>195</v>
      </c>
      <c r="G19" s="7" t="s">
        <v>195</v>
      </c>
      <c r="H19" s="7" t="s">
        <v>195</v>
      </c>
      <c r="I19" s="7" t="s">
        <v>195</v>
      </c>
      <c r="J19" s="7" t="s">
        <v>195</v>
      </c>
      <c r="K19" s="7" t="s">
        <v>195</v>
      </c>
      <c r="L19" s="7" t="s">
        <v>195</v>
      </c>
      <c r="M19" s="7" t="s">
        <v>28</v>
      </c>
      <c r="N19" s="7" t="s">
        <v>29</v>
      </c>
      <c r="O19" s="7" t="s">
        <v>29</v>
      </c>
      <c r="P19" s="7" t="s">
        <v>29</v>
      </c>
      <c r="Q19" s="7" t="s">
        <v>29</v>
      </c>
      <c r="R19" s="7" t="s">
        <v>29</v>
      </c>
      <c r="S19" s="7" t="s">
        <v>29</v>
      </c>
    </row>
    <row r="20" spans="1:19">
      <c r="A20" s="7" t="s">
        <v>38</v>
      </c>
      <c r="B20" s="7" t="s">
        <v>195</v>
      </c>
      <c r="C20" s="8" t="s">
        <v>195</v>
      </c>
      <c r="D20" s="6" t="str">
        <f>LRTRIM(CONCATENATE(IF(SUMPRODUCT(-- ISNUMBER(SEARCH({"Auto Number"}, $B20))) &gt; 0, $B20, IF(SUMPRODUCT(-- ISNUMBER(SEARCH({"Lookup","Master-Detail"}, $B20))) &gt; 0,$B20 &amp; "(" &amp; $E20 &amp; ")",IF(SUMPRODUCT(-- ISNUMBER(SEARCH({"Formula","Roll-Up Summary"}, $B20))) &gt; 0,$B20 &amp; " (" &amp; $E20 &amp; ")",IF(SUMPRODUCT(-- ISNUMBER(SEARCH({"Content","Currency","Number","Percent","Text","URL"}, $B20))) &gt; 0,$B20 &amp; "(" &amp; $C20 &amp; ")",$B20)))), "  ", TRIM(IF($S20 = "YES", "(External ID)", "") &amp; " " &amp; IF(SUMPRODUCT(-- ISNUMBER(SEARCH({"Unique","Unique Case Insensitive"}, $R20))) &gt; 0, "(" &amp; $R20 &amp; ")", ""))))</f>
        <v>na</v>
      </c>
      <c r="E20" s="7" t="s">
        <v>195</v>
      </c>
      <c r="F20" s="7" t="s">
        <v>195</v>
      </c>
      <c r="G20" s="7" t="s">
        <v>195</v>
      </c>
      <c r="H20" s="7" t="s">
        <v>195</v>
      </c>
      <c r="I20" s="7" t="s">
        <v>195</v>
      </c>
      <c r="J20" s="7" t="s">
        <v>195</v>
      </c>
      <c r="K20" s="7" t="s">
        <v>195</v>
      </c>
      <c r="L20" s="7" t="s">
        <v>195</v>
      </c>
      <c r="M20" s="7" t="s">
        <v>28</v>
      </c>
      <c r="N20" s="7" t="s">
        <v>29</v>
      </c>
      <c r="O20" s="7" t="s">
        <v>29</v>
      </c>
      <c r="P20" s="7" t="s">
        <v>29</v>
      </c>
      <c r="Q20" s="7" t="s">
        <v>29</v>
      </c>
      <c r="R20" s="7" t="s">
        <v>29</v>
      </c>
      <c r="S20" s="7" t="s">
        <v>29</v>
      </c>
    </row>
    <row r="21" spans="1:19">
      <c r="A21" s="7" t="s">
        <v>37</v>
      </c>
      <c r="B21" s="7" t="s">
        <v>195</v>
      </c>
      <c r="C21" s="8" t="s">
        <v>195</v>
      </c>
      <c r="D21" s="6" t="str">
        <f>LRTRIM(CONCATENATE(IF(SUMPRODUCT(-- ISNUMBER(SEARCH({"Auto Number"}, $B21))) &gt; 0, $B21, IF(SUMPRODUCT(-- ISNUMBER(SEARCH({"Lookup","Master-Detail"}, $B21))) &gt; 0,$B21 &amp; "(" &amp; $E21 &amp; ")",IF(SUMPRODUCT(-- ISNUMBER(SEARCH({"Formula","Roll-Up Summary"}, $B21))) &gt; 0,$B21 &amp; " (" &amp; $E21 &amp; ")",IF(SUMPRODUCT(-- ISNUMBER(SEARCH({"Content","Currency","Number","Percent","Text","URL"}, $B21))) &gt; 0,$B21 &amp; "(" &amp; $C21 &amp; ")",$B21)))), "  ", TRIM(IF($S21 = "YES", "(External ID)", "") &amp; " " &amp; IF(SUMPRODUCT(-- ISNUMBER(SEARCH({"Unique","Unique Case Insensitive"}, $R21))) &gt; 0, "(" &amp; $R21 &amp; ")", ""))))</f>
        <v>na</v>
      </c>
      <c r="E21" s="7" t="s">
        <v>195</v>
      </c>
      <c r="F21" s="7" t="s">
        <v>195</v>
      </c>
      <c r="G21" s="7" t="s">
        <v>195</v>
      </c>
      <c r="H21" s="7" t="s">
        <v>195</v>
      </c>
      <c r="I21" s="7" t="s">
        <v>195</v>
      </c>
      <c r="J21" s="7" t="s">
        <v>195</v>
      </c>
      <c r="K21" s="7" t="s">
        <v>195</v>
      </c>
      <c r="L21" s="7" t="s">
        <v>195</v>
      </c>
      <c r="M21" s="7" t="s">
        <v>28</v>
      </c>
      <c r="N21" s="7" t="s">
        <v>29</v>
      </c>
      <c r="O21" s="7" t="s">
        <v>29</v>
      </c>
      <c r="P21" s="7" t="s">
        <v>29</v>
      </c>
      <c r="Q21" s="7" t="s">
        <v>29</v>
      </c>
      <c r="R21" s="7" t="s">
        <v>29</v>
      </c>
      <c r="S21" s="7" t="s">
        <v>29</v>
      </c>
    </row>
    <row r="22" spans="1:19">
      <c r="A22" s="7" t="s">
        <v>87</v>
      </c>
      <c r="B22" s="7" t="s">
        <v>195</v>
      </c>
      <c r="C22" s="8" t="s">
        <v>195</v>
      </c>
      <c r="D22" s="6" t="str">
        <f>LRTRIM(CONCATENATE(IF(SUMPRODUCT(-- ISNUMBER(SEARCH({"Auto Number"}, $B22))) &gt; 0, $B22, IF(SUMPRODUCT(-- ISNUMBER(SEARCH({"Lookup","Master-Detail"}, $B22))) &gt; 0,$B22 &amp; "(" &amp; $E22 &amp; ")",IF(SUMPRODUCT(-- ISNUMBER(SEARCH({"Formula","Roll-Up Summary"}, $B22))) &gt; 0,$B22 &amp; " (" &amp; $E22 &amp; ")",IF(SUMPRODUCT(-- ISNUMBER(SEARCH({"Content","Currency","Number","Percent","Text","URL"}, $B22))) &gt; 0,$B22 &amp; "(" &amp; $C22 &amp; ")",$B22)))), "  ", TRIM(IF($S22 = "YES", "(External ID)", "") &amp; " " &amp; IF(SUMPRODUCT(-- ISNUMBER(SEARCH({"Unique","Unique Case Insensitive"}, $R22))) &gt; 0, "(" &amp; $R22 &amp; ")", ""))))</f>
        <v>na</v>
      </c>
      <c r="E22" s="7" t="s">
        <v>195</v>
      </c>
      <c r="F22" s="7" t="s">
        <v>195</v>
      </c>
      <c r="G22" s="7" t="s">
        <v>195</v>
      </c>
      <c r="H22" s="7" t="s">
        <v>195</v>
      </c>
      <c r="I22" s="7" t="s">
        <v>195</v>
      </c>
      <c r="J22" s="7" t="s">
        <v>195</v>
      </c>
      <c r="K22" s="7" t="s">
        <v>195</v>
      </c>
      <c r="L22" s="7" t="s">
        <v>195</v>
      </c>
      <c r="M22" s="7" t="s">
        <v>28</v>
      </c>
      <c r="N22" s="7" t="s">
        <v>29</v>
      </c>
      <c r="O22" s="7" t="s">
        <v>29</v>
      </c>
      <c r="P22" s="7" t="s">
        <v>29</v>
      </c>
      <c r="Q22" s="7" t="s">
        <v>29</v>
      </c>
      <c r="R22" s="7" t="s">
        <v>29</v>
      </c>
      <c r="S22" s="7" t="s">
        <v>29</v>
      </c>
    </row>
    <row r="23" spans="1:19">
      <c r="A23" s="7" t="s">
        <v>39</v>
      </c>
      <c r="B23" s="7" t="s">
        <v>195</v>
      </c>
      <c r="C23" s="8" t="s">
        <v>195</v>
      </c>
      <c r="D23" s="6" t="str">
        <f>LRTRIM(CONCATENATE(IF(SUMPRODUCT(-- ISNUMBER(SEARCH({"Auto Number"}, $B23))) &gt; 0, $B23, IF(SUMPRODUCT(-- ISNUMBER(SEARCH({"Lookup","Master-Detail"}, $B23))) &gt; 0,$B23 &amp; "(" &amp; $E23 &amp; ")",IF(SUMPRODUCT(-- ISNUMBER(SEARCH({"Formula","Roll-Up Summary"}, $B23))) &gt; 0,$B23 &amp; " (" &amp; $E23 &amp; ")",IF(SUMPRODUCT(-- ISNUMBER(SEARCH({"Content","Currency","Number","Percent","Text","URL"}, $B23))) &gt; 0,$B23 &amp; "(" &amp; $C23 &amp; ")",$B23)))), "  ", TRIM(IF($S23 = "YES", "(External ID)", "") &amp; " " &amp; IF(SUMPRODUCT(-- ISNUMBER(SEARCH({"Unique","Unique Case Insensitive"}, $R23))) &gt; 0, "(" &amp; $R23 &amp; ")", ""))))</f>
        <v>na</v>
      </c>
      <c r="E23" s="7" t="s">
        <v>195</v>
      </c>
      <c r="F23" s="7" t="s">
        <v>195</v>
      </c>
      <c r="G23" s="7" t="s">
        <v>195</v>
      </c>
      <c r="H23" s="7" t="s">
        <v>195</v>
      </c>
      <c r="I23" s="7" t="s">
        <v>195</v>
      </c>
      <c r="J23" s="7" t="s">
        <v>195</v>
      </c>
      <c r="K23" s="7" t="s">
        <v>195</v>
      </c>
      <c r="L23" s="7" t="s">
        <v>195</v>
      </c>
      <c r="M23" s="7" t="s">
        <v>28</v>
      </c>
      <c r="N23" s="7" t="s">
        <v>29</v>
      </c>
      <c r="O23" s="7" t="s">
        <v>29</v>
      </c>
      <c r="P23" s="7" t="s">
        <v>29</v>
      </c>
      <c r="Q23" s="7" t="s">
        <v>29</v>
      </c>
      <c r="R23" s="7" t="s">
        <v>29</v>
      </c>
      <c r="S23" s="7" t="s">
        <v>29</v>
      </c>
    </row>
    <row r="24" spans="1:19">
      <c r="B24" s="7" t="s">
        <v>195</v>
      </c>
      <c r="C24" s="8" t="s">
        <v>195</v>
      </c>
      <c r="D24" s="6" t="str">
        <f>LRTRIM(CONCATENATE(IF(SUMPRODUCT(-- ISNUMBER(SEARCH({"Auto Number"}, $B24))) &gt; 0, $B24, IF(SUMPRODUCT(-- ISNUMBER(SEARCH({"Lookup","Master-Detail"}, $B24))) &gt; 0,$B24 &amp; "(" &amp; $E24 &amp; ")",IF(SUMPRODUCT(-- ISNUMBER(SEARCH({"Formula","Roll-Up Summary"}, $B24))) &gt; 0,$B24 &amp; " (" &amp; $E24 &amp; ")",IF(SUMPRODUCT(-- ISNUMBER(SEARCH({"Content","Currency","Number","Percent","Text","URL"}, $B24))) &gt; 0,$B24 &amp; "(" &amp; $C24 &amp; ")",$B24)))), "  ", TRIM(IF($S24 = "YES", "(External ID)", "") &amp; " " &amp; IF(SUMPRODUCT(-- ISNUMBER(SEARCH({"Unique","Unique Case Insensitive"}, $R24))) &gt; 0, "(" &amp; $R24 &amp; ")", ""))))</f>
        <v>na</v>
      </c>
      <c r="E24" s="7" t="s">
        <v>195</v>
      </c>
      <c r="F24" s="7" t="s">
        <v>195</v>
      </c>
      <c r="G24" s="7" t="s">
        <v>195</v>
      </c>
      <c r="H24" s="7" t="s">
        <v>195</v>
      </c>
      <c r="I24" s="7" t="s">
        <v>195</v>
      </c>
      <c r="J24" s="7" t="s">
        <v>195</v>
      </c>
      <c r="K24" s="7" t="s">
        <v>195</v>
      </c>
      <c r="L24" s="7" t="s">
        <v>195</v>
      </c>
      <c r="M24" s="7" t="s">
        <v>29</v>
      </c>
      <c r="N24" s="7" t="s">
        <v>29</v>
      </c>
      <c r="O24" s="7" t="s">
        <v>29</v>
      </c>
      <c r="P24" s="7" t="s">
        <v>29</v>
      </c>
      <c r="Q24" s="7" t="s">
        <v>29</v>
      </c>
      <c r="R24" s="7" t="s">
        <v>29</v>
      </c>
      <c r="S24" s="7" t="s">
        <v>29</v>
      </c>
    </row>
    <row r="25" spans="1:19">
      <c r="B25" s="7" t="s">
        <v>195</v>
      </c>
      <c r="C25" s="8" t="s">
        <v>195</v>
      </c>
      <c r="D25" s="6" t="str">
        <f>LRTRIM(CONCATENATE(IF(SUMPRODUCT(-- ISNUMBER(SEARCH({"Auto Number"}, $B25))) &gt; 0, $B25, IF(SUMPRODUCT(-- ISNUMBER(SEARCH({"Lookup","Master-Detail"}, $B25))) &gt; 0,$B25 &amp; "(" &amp; $E25 &amp; ")",IF(SUMPRODUCT(-- ISNUMBER(SEARCH({"Formula","Roll-Up Summary"}, $B25))) &gt; 0,$B25 &amp; " (" &amp; $E25 &amp; ")",IF(SUMPRODUCT(-- ISNUMBER(SEARCH({"Content","Currency","Number","Percent","Text","URL"}, $B25))) &gt; 0,$B25 &amp; "(" &amp; $C25 &amp; ")",$B25)))), "  ", TRIM(IF($S25 = "YES", "(External ID)", "") &amp; " " &amp; IF(SUMPRODUCT(-- ISNUMBER(SEARCH({"Unique","Unique Case Insensitive"}, $R25))) &gt; 0, "(" &amp; $R25 &amp; ")", ""))))</f>
        <v>na</v>
      </c>
      <c r="E25" s="7" t="s">
        <v>195</v>
      </c>
      <c r="F25" s="7" t="s">
        <v>195</v>
      </c>
      <c r="G25" s="7" t="s">
        <v>195</v>
      </c>
      <c r="H25" s="7" t="s">
        <v>195</v>
      </c>
      <c r="I25" s="7" t="s">
        <v>195</v>
      </c>
      <c r="J25" s="7" t="s">
        <v>195</v>
      </c>
      <c r="K25" s="7" t="s">
        <v>195</v>
      </c>
      <c r="L25" s="7" t="s">
        <v>195</v>
      </c>
      <c r="M25" s="7" t="s">
        <v>29</v>
      </c>
      <c r="N25" s="7" t="s">
        <v>29</v>
      </c>
      <c r="O25" s="7" t="s">
        <v>29</v>
      </c>
      <c r="P25" s="7" t="s">
        <v>29</v>
      </c>
      <c r="Q25" s="7" t="s">
        <v>29</v>
      </c>
      <c r="R25" s="7" t="s">
        <v>29</v>
      </c>
      <c r="S25" s="7" t="s">
        <v>29</v>
      </c>
    </row>
    <row r="26" spans="1:19">
      <c r="B26" s="7" t="s">
        <v>195</v>
      </c>
      <c r="C26" s="8" t="s">
        <v>195</v>
      </c>
      <c r="D26" s="6" t="str">
        <f>LRTRIM(CONCATENATE(IF(SUMPRODUCT(-- ISNUMBER(SEARCH({"Auto Number"}, $B26))) &gt; 0, $B26, IF(SUMPRODUCT(-- ISNUMBER(SEARCH({"Lookup","Master-Detail"}, $B26))) &gt; 0,$B26 &amp; "(" &amp; $E26 &amp; ")",IF(SUMPRODUCT(-- ISNUMBER(SEARCH({"Formula","Roll-Up Summary"}, $B26))) &gt; 0,$B26 &amp; " (" &amp; $E26 &amp; ")",IF(SUMPRODUCT(-- ISNUMBER(SEARCH({"Content","Currency","Number","Percent","Text","URL"}, $B26))) &gt; 0,$B26 &amp; "(" &amp; $C26 &amp; ")",$B26)))), "  ", TRIM(IF($S26 = "YES", "(External ID)", "") &amp; " " &amp; IF(SUMPRODUCT(-- ISNUMBER(SEARCH({"Unique","Unique Case Insensitive"}, $R26))) &gt; 0, "(" &amp; $R26 &amp; ")", ""))))</f>
        <v>na</v>
      </c>
      <c r="E26" s="7" t="s">
        <v>195</v>
      </c>
      <c r="F26" s="7" t="s">
        <v>195</v>
      </c>
      <c r="G26" s="7" t="s">
        <v>195</v>
      </c>
      <c r="H26" s="7" t="s">
        <v>195</v>
      </c>
      <c r="I26" s="7" t="s">
        <v>195</v>
      </c>
      <c r="J26" s="7" t="s">
        <v>195</v>
      </c>
      <c r="K26" s="7" t="s">
        <v>195</v>
      </c>
      <c r="L26" s="7" t="s">
        <v>195</v>
      </c>
      <c r="M26" s="7" t="s">
        <v>29</v>
      </c>
      <c r="N26" s="7" t="s">
        <v>29</v>
      </c>
      <c r="O26" s="7" t="s">
        <v>29</v>
      </c>
      <c r="P26" s="7" t="s">
        <v>29</v>
      </c>
      <c r="Q26" s="7" t="s">
        <v>29</v>
      </c>
      <c r="R26" s="7" t="s">
        <v>29</v>
      </c>
      <c r="S26" s="7" t="s">
        <v>29</v>
      </c>
    </row>
    <row r="27" spans="1:19">
      <c r="B27" s="7" t="s">
        <v>195</v>
      </c>
      <c r="C27" s="8" t="s">
        <v>195</v>
      </c>
      <c r="D27" s="6" t="str">
        <f>LRTRIM(CONCATENATE(IF(SUMPRODUCT(-- ISNUMBER(SEARCH({"Auto Number"}, $B27))) &gt; 0, $B27, IF(SUMPRODUCT(-- ISNUMBER(SEARCH({"Lookup","Master-Detail"}, $B27))) &gt; 0,$B27 &amp; "(" &amp; $E27 &amp; ")",IF(SUMPRODUCT(-- ISNUMBER(SEARCH({"Formula","Roll-Up Summary"}, $B27))) &gt; 0,$B27 &amp; " (" &amp; $E27 &amp; ")",IF(SUMPRODUCT(-- ISNUMBER(SEARCH({"Content","Currency","Number","Percent","Text","URL"}, $B27))) &gt; 0,$B27 &amp; "(" &amp; $C27 &amp; ")",$B27)))), "  ", TRIM(IF($S27 = "YES", "(External ID)", "") &amp; " " &amp; IF(SUMPRODUCT(-- ISNUMBER(SEARCH({"Unique","Unique Case Insensitive"}, $R27))) &gt; 0, "(" &amp; $R27 &amp; ")", ""))))</f>
        <v>na</v>
      </c>
      <c r="E27" s="7" t="s">
        <v>195</v>
      </c>
      <c r="F27" s="7" t="s">
        <v>195</v>
      </c>
      <c r="G27" s="7" t="s">
        <v>195</v>
      </c>
      <c r="H27" s="7" t="s">
        <v>195</v>
      </c>
      <c r="I27" s="7" t="s">
        <v>195</v>
      </c>
      <c r="J27" s="7" t="s">
        <v>195</v>
      </c>
      <c r="K27" s="7" t="s">
        <v>195</v>
      </c>
      <c r="L27" s="7" t="s">
        <v>195</v>
      </c>
      <c r="M27" s="7" t="s">
        <v>29</v>
      </c>
      <c r="N27" s="7" t="s">
        <v>29</v>
      </c>
      <c r="O27" s="7" t="s">
        <v>29</v>
      </c>
      <c r="P27" s="7" t="s">
        <v>29</v>
      </c>
      <c r="Q27" s="7" t="s">
        <v>29</v>
      </c>
      <c r="R27" s="7" t="s">
        <v>29</v>
      </c>
      <c r="S27" s="7" t="s">
        <v>29</v>
      </c>
    </row>
    <row r="28" spans="1:19">
      <c r="B28" s="7" t="s">
        <v>195</v>
      </c>
      <c r="C28" s="8" t="s">
        <v>195</v>
      </c>
      <c r="D28" s="6" t="str">
        <f>LRTRIM(CONCATENATE(IF(SUMPRODUCT(-- ISNUMBER(SEARCH({"Auto Number"}, $B28))) &gt; 0, $B28, IF(SUMPRODUCT(-- ISNUMBER(SEARCH({"Lookup","Master-Detail"}, $B28))) &gt; 0,$B28 &amp; "(" &amp; $E28 &amp; ")",IF(SUMPRODUCT(-- ISNUMBER(SEARCH({"Formula","Roll-Up Summary"}, $B28))) &gt; 0,$B28 &amp; " (" &amp; $E28 &amp; ")",IF(SUMPRODUCT(-- ISNUMBER(SEARCH({"Content","Currency","Number","Percent","Text","URL"}, $B28))) &gt; 0,$B28 &amp; "(" &amp; $C28 &amp; ")",$B28)))), "  ", TRIM(IF($S28 = "YES", "(External ID)", "") &amp; " " &amp; IF(SUMPRODUCT(-- ISNUMBER(SEARCH({"Unique","Unique Case Insensitive"}, $R28))) &gt; 0, "(" &amp; $R28 &amp; ")", ""))))</f>
        <v>na</v>
      </c>
      <c r="E28" s="7" t="s">
        <v>195</v>
      </c>
      <c r="F28" s="7" t="s">
        <v>195</v>
      </c>
      <c r="G28" s="7" t="s">
        <v>195</v>
      </c>
      <c r="H28" s="7" t="s">
        <v>195</v>
      </c>
      <c r="I28" s="7" t="s">
        <v>195</v>
      </c>
      <c r="J28" s="7" t="s">
        <v>195</v>
      </c>
      <c r="K28" s="7" t="s">
        <v>195</v>
      </c>
      <c r="L28" s="7" t="s">
        <v>195</v>
      </c>
      <c r="M28" s="7" t="s">
        <v>29</v>
      </c>
      <c r="N28" s="7" t="s">
        <v>29</v>
      </c>
      <c r="O28" s="7" t="s">
        <v>29</v>
      </c>
      <c r="P28" s="7" t="s">
        <v>29</v>
      </c>
      <c r="Q28" s="7" t="s">
        <v>29</v>
      </c>
      <c r="R28" s="7" t="s">
        <v>29</v>
      </c>
      <c r="S28" s="7" t="s">
        <v>29</v>
      </c>
    </row>
    <row r="29" spans="1:19">
      <c r="B29" s="7" t="s">
        <v>195</v>
      </c>
      <c r="C29" s="8" t="s">
        <v>195</v>
      </c>
      <c r="D29" s="6" t="str">
        <f>LRTRIM(CONCATENATE(IF(SUMPRODUCT(-- ISNUMBER(SEARCH({"Auto Number"}, $B29))) &gt; 0, $B29, IF(SUMPRODUCT(-- ISNUMBER(SEARCH({"Lookup","Master-Detail"}, $B29))) &gt; 0,$B29 &amp; "(" &amp; $E29 &amp; ")",IF(SUMPRODUCT(-- ISNUMBER(SEARCH({"Formula","Roll-Up Summary"}, $B29))) &gt; 0,$B29 &amp; " (" &amp; $E29 &amp; ")",IF(SUMPRODUCT(-- ISNUMBER(SEARCH({"Content","Currency","Number","Percent","Text","URL"}, $B29))) &gt; 0,$B29 &amp; "(" &amp; $C29 &amp; ")",$B29)))), "  ", TRIM(IF($S29 = "YES", "(External ID)", "") &amp; " " &amp; IF(SUMPRODUCT(-- ISNUMBER(SEARCH({"Unique","Unique Case Insensitive"}, $R29))) &gt; 0, "(" &amp; $R29 &amp; ")", ""))))</f>
        <v>na</v>
      </c>
      <c r="E29" s="7" t="s">
        <v>195</v>
      </c>
      <c r="F29" s="7" t="s">
        <v>195</v>
      </c>
      <c r="G29" s="7" t="s">
        <v>195</v>
      </c>
      <c r="H29" s="7" t="s">
        <v>195</v>
      </c>
      <c r="I29" s="7" t="s">
        <v>195</v>
      </c>
      <c r="J29" s="7" t="s">
        <v>195</v>
      </c>
      <c r="K29" s="7" t="s">
        <v>195</v>
      </c>
      <c r="L29" s="7" t="s">
        <v>195</v>
      </c>
      <c r="M29" s="7" t="s">
        <v>29</v>
      </c>
      <c r="N29" s="7" t="s">
        <v>29</v>
      </c>
      <c r="O29" s="7" t="s">
        <v>29</v>
      </c>
      <c r="P29" s="7" t="s">
        <v>29</v>
      </c>
      <c r="Q29" s="7" t="s">
        <v>29</v>
      </c>
      <c r="R29" s="7" t="s">
        <v>29</v>
      </c>
      <c r="S29" s="7" t="s">
        <v>29</v>
      </c>
    </row>
    <row r="30" spans="1:19">
      <c r="B30" s="7" t="s">
        <v>195</v>
      </c>
      <c r="C30" s="8" t="s">
        <v>195</v>
      </c>
      <c r="D30" s="6" t="str">
        <f>LRTRIM(CONCATENATE(IF(SUMPRODUCT(-- ISNUMBER(SEARCH({"Auto Number"}, $B30))) &gt; 0, $B30, IF(SUMPRODUCT(-- ISNUMBER(SEARCH({"Lookup","Master-Detail"}, $B30))) &gt; 0,$B30 &amp; "(" &amp; $E30 &amp; ")",IF(SUMPRODUCT(-- ISNUMBER(SEARCH({"Formula","Roll-Up Summary"}, $B30))) &gt; 0,$B30 &amp; " (" &amp; $E30 &amp; ")",IF(SUMPRODUCT(-- ISNUMBER(SEARCH({"Content","Currency","Number","Percent","Text","URL"}, $B30))) &gt; 0,$B30 &amp; "(" &amp; $C30 &amp; ")",$B30)))), "  ", TRIM(IF($S30 = "YES", "(External ID)", "") &amp; " " &amp; IF(SUMPRODUCT(-- ISNUMBER(SEARCH({"Unique","Unique Case Insensitive"}, $R30))) &gt; 0, "(" &amp; $R30 &amp; ")", ""))))</f>
        <v>na</v>
      </c>
      <c r="E30" s="7" t="s">
        <v>195</v>
      </c>
      <c r="F30" s="7" t="s">
        <v>195</v>
      </c>
      <c r="G30" s="7" t="s">
        <v>195</v>
      </c>
      <c r="H30" s="7" t="s">
        <v>195</v>
      </c>
      <c r="I30" s="7" t="s">
        <v>195</v>
      </c>
      <c r="J30" s="7" t="s">
        <v>195</v>
      </c>
      <c r="K30" s="7" t="s">
        <v>195</v>
      </c>
      <c r="L30" s="7" t="s">
        <v>195</v>
      </c>
      <c r="M30" s="7" t="s">
        <v>29</v>
      </c>
      <c r="N30" s="7" t="s">
        <v>29</v>
      </c>
      <c r="O30" s="7" t="s">
        <v>29</v>
      </c>
      <c r="P30" s="7" t="s">
        <v>29</v>
      </c>
      <c r="Q30" s="7" t="s">
        <v>29</v>
      </c>
      <c r="R30" s="7" t="s">
        <v>29</v>
      </c>
      <c r="S30" s="7" t="s">
        <v>29</v>
      </c>
    </row>
    <row r="31" spans="1:19">
      <c r="B31" s="7" t="s">
        <v>195</v>
      </c>
      <c r="C31" s="8" t="s">
        <v>195</v>
      </c>
      <c r="D31" s="6" t="str">
        <f>LRTRIM(CONCATENATE(IF(SUMPRODUCT(-- ISNUMBER(SEARCH({"Auto Number"}, $B31))) &gt; 0, $B31, IF(SUMPRODUCT(-- ISNUMBER(SEARCH({"Lookup","Master-Detail"}, $B31))) &gt; 0,$B31 &amp; "(" &amp; $E31 &amp; ")",IF(SUMPRODUCT(-- ISNUMBER(SEARCH({"Formula","Roll-Up Summary"}, $B31))) &gt; 0,$B31 &amp; " (" &amp; $E31 &amp; ")",IF(SUMPRODUCT(-- ISNUMBER(SEARCH({"Content","Currency","Number","Percent","Text","URL"}, $B31))) &gt; 0,$B31 &amp; "(" &amp; $C31 &amp; ")",$B31)))), "  ", TRIM(IF($S31 = "YES", "(External ID)", "") &amp; " " &amp; IF(SUMPRODUCT(-- ISNUMBER(SEARCH({"Unique","Unique Case Insensitive"}, $R31))) &gt; 0, "(" &amp; $R31 &amp; ")", ""))))</f>
        <v>na</v>
      </c>
      <c r="E31" s="7" t="s">
        <v>195</v>
      </c>
      <c r="F31" s="7" t="s">
        <v>195</v>
      </c>
      <c r="G31" s="7" t="s">
        <v>195</v>
      </c>
      <c r="H31" s="7" t="s">
        <v>195</v>
      </c>
      <c r="I31" s="7" t="s">
        <v>195</v>
      </c>
      <c r="J31" s="7" t="s">
        <v>195</v>
      </c>
      <c r="K31" s="7" t="s">
        <v>195</v>
      </c>
      <c r="L31" s="7" t="s">
        <v>195</v>
      </c>
      <c r="M31" s="7" t="s">
        <v>29</v>
      </c>
      <c r="N31" s="7" t="s">
        <v>29</v>
      </c>
      <c r="O31" s="7" t="s">
        <v>29</v>
      </c>
      <c r="P31" s="7" t="s">
        <v>29</v>
      </c>
      <c r="Q31" s="7" t="s">
        <v>29</v>
      </c>
      <c r="R31" s="7" t="s">
        <v>29</v>
      </c>
      <c r="S31" s="7" t="s">
        <v>29</v>
      </c>
    </row>
    <row r="32" spans="1:19">
      <c r="B32" s="7" t="s">
        <v>195</v>
      </c>
      <c r="C32" s="8" t="s">
        <v>195</v>
      </c>
      <c r="D32" s="6" t="str">
        <f>LRTRIM(CONCATENATE(IF(SUMPRODUCT(-- ISNUMBER(SEARCH({"Auto Number"}, $B32))) &gt; 0, $B32, IF(SUMPRODUCT(-- ISNUMBER(SEARCH({"Lookup","Master-Detail"}, $B32))) &gt; 0,$B32 &amp; "(" &amp; $E32 &amp; ")",IF(SUMPRODUCT(-- ISNUMBER(SEARCH({"Formula","Roll-Up Summary"}, $B32))) &gt; 0,$B32 &amp; " (" &amp; $E32 &amp; ")",IF(SUMPRODUCT(-- ISNUMBER(SEARCH({"Content","Currency","Number","Percent","Text","URL"}, $B32))) &gt; 0,$B32 &amp; "(" &amp; $C32 &amp; ")",$B32)))), "  ", TRIM(IF($S32 = "YES", "(External ID)", "") &amp; " " &amp; IF(SUMPRODUCT(-- ISNUMBER(SEARCH({"Unique","Unique Case Insensitive"}, $R32))) &gt; 0, "(" &amp; $R32 &amp; ")", ""))))</f>
        <v>na</v>
      </c>
      <c r="E32" s="7" t="s">
        <v>195</v>
      </c>
      <c r="F32" s="7" t="s">
        <v>195</v>
      </c>
      <c r="G32" s="7" t="s">
        <v>195</v>
      </c>
      <c r="H32" s="7" t="s">
        <v>195</v>
      </c>
      <c r="I32" s="7" t="s">
        <v>195</v>
      </c>
      <c r="J32" s="7" t="s">
        <v>195</v>
      </c>
      <c r="K32" s="7" t="s">
        <v>195</v>
      </c>
      <c r="L32" s="7" t="s">
        <v>195</v>
      </c>
      <c r="M32" s="7" t="s">
        <v>29</v>
      </c>
      <c r="N32" s="7" t="s">
        <v>29</v>
      </c>
      <c r="O32" s="7" t="s">
        <v>29</v>
      </c>
      <c r="P32" s="7" t="s">
        <v>29</v>
      </c>
      <c r="Q32" s="7" t="s">
        <v>29</v>
      </c>
      <c r="R32" s="7" t="s">
        <v>29</v>
      </c>
      <c r="S32" s="7" t="s">
        <v>29</v>
      </c>
    </row>
    <row r="33" spans="2:19">
      <c r="B33" s="7" t="s">
        <v>195</v>
      </c>
      <c r="C33" s="8" t="s">
        <v>195</v>
      </c>
      <c r="D33" s="6" t="str">
        <f>LRTRIM(CONCATENATE(IF(SUMPRODUCT(-- ISNUMBER(SEARCH({"Auto Number"}, $B33))) &gt; 0, $B33, IF(SUMPRODUCT(-- ISNUMBER(SEARCH({"Lookup","Master-Detail"}, $B33))) &gt; 0,$B33 &amp; "(" &amp; $E33 &amp; ")",IF(SUMPRODUCT(-- ISNUMBER(SEARCH({"Formula","Roll-Up Summary"}, $B33))) &gt; 0,$B33 &amp; " (" &amp; $E33 &amp; ")",IF(SUMPRODUCT(-- ISNUMBER(SEARCH({"Content","Currency","Number","Percent","Text","URL"}, $B33))) &gt; 0,$B33 &amp; "(" &amp; $C33 &amp; ")",$B33)))), "  ", TRIM(IF($S33 = "YES", "(External ID)", "") &amp; " " &amp; IF(SUMPRODUCT(-- ISNUMBER(SEARCH({"Unique","Unique Case Insensitive"}, $R33))) &gt; 0, "(" &amp; $R33 &amp; ")", ""))))</f>
        <v>na</v>
      </c>
      <c r="E33" s="7" t="s">
        <v>195</v>
      </c>
      <c r="F33" s="7" t="s">
        <v>195</v>
      </c>
      <c r="G33" s="7" t="s">
        <v>195</v>
      </c>
      <c r="H33" s="7" t="s">
        <v>195</v>
      </c>
      <c r="I33" s="7" t="s">
        <v>195</v>
      </c>
      <c r="J33" s="7" t="s">
        <v>195</v>
      </c>
      <c r="K33" s="7" t="s">
        <v>195</v>
      </c>
      <c r="L33" s="7" t="s">
        <v>195</v>
      </c>
      <c r="M33" s="7" t="s">
        <v>29</v>
      </c>
      <c r="N33" s="7" t="s">
        <v>29</v>
      </c>
      <c r="O33" s="7" t="s">
        <v>29</v>
      </c>
      <c r="P33" s="7" t="s">
        <v>29</v>
      </c>
      <c r="Q33" s="7" t="s">
        <v>29</v>
      </c>
      <c r="R33" s="7" t="s">
        <v>29</v>
      </c>
      <c r="S33" s="7" t="s">
        <v>29</v>
      </c>
    </row>
    <row r="34" spans="2:19">
      <c r="B34" s="7" t="s">
        <v>195</v>
      </c>
      <c r="C34" s="8" t="s">
        <v>195</v>
      </c>
      <c r="D34" s="6" t="str">
        <f>LRTRIM(CONCATENATE(IF(SUMPRODUCT(-- ISNUMBER(SEARCH({"Auto Number"}, $B34))) &gt; 0, $B34, IF(SUMPRODUCT(-- ISNUMBER(SEARCH({"Lookup","Master-Detail"}, $B34))) &gt; 0,$B34 &amp; "(" &amp; $E34 &amp; ")",IF(SUMPRODUCT(-- ISNUMBER(SEARCH({"Formula","Roll-Up Summary"}, $B34))) &gt; 0,$B34 &amp; " (" &amp; $E34 &amp; ")",IF(SUMPRODUCT(-- ISNUMBER(SEARCH({"Content","Currency","Number","Percent","Text","URL"}, $B34))) &gt; 0,$B34 &amp; "(" &amp; $C34 &amp; ")",$B34)))), "  ", TRIM(IF($S34 = "YES", "(External ID)", "") &amp; " " &amp; IF(SUMPRODUCT(-- ISNUMBER(SEARCH({"Unique","Unique Case Insensitive"}, $R34))) &gt; 0, "(" &amp; $R34 &amp; ")", ""))))</f>
        <v>na</v>
      </c>
      <c r="E34" s="7" t="s">
        <v>195</v>
      </c>
      <c r="F34" s="7" t="s">
        <v>195</v>
      </c>
      <c r="G34" s="7" t="s">
        <v>195</v>
      </c>
      <c r="H34" s="7" t="s">
        <v>195</v>
      </c>
      <c r="I34" s="7" t="s">
        <v>195</v>
      </c>
      <c r="J34" s="7" t="s">
        <v>195</v>
      </c>
      <c r="K34" s="7" t="s">
        <v>195</v>
      </c>
      <c r="L34" s="7" t="s">
        <v>195</v>
      </c>
      <c r="M34" s="7" t="s">
        <v>29</v>
      </c>
      <c r="N34" s="7" t="s">
        <v>29</v>
      </c>
      <c r="O34" s="7" t="s">
        <v>29</v>
      </c>
      <c r="P34" s="7" t="s">
        <v>29</v>
      </c>
      <c r="Q34" s="7" t="s">
        <v>29</v>
      </c>
      <c r="R34" s="7" t="s">
        <v>29</v>
      </c>
      <c r="S34" s="7" t="s">
        <v>29</v>
      </c>
    </row>
    <row r="35" spans="2:19">
      <c r="B35" s="7" t="s">
        <v>195</v>
      </c>
      <c r="C35" s="8" t="s">
        <v>195</v>
      </c>
      <c r="D35" s="6" t="str">
        <f>LRTRIM(CONCATENATE(IF(SUMPRODUCT(-- ISNUMBER(SEARCH({"Auto Number"}, $B35))) &gt; 0, $B35, IF(SUMPRODUCT(-- ISNUMBER(SEARCH({"Lookup","Master-Detail"}, $B35))) &gt; 0,$B35 &amp; "(" &amp; $E35 &amp; ")",IF(SUMPRODUCT(-- ISNUMBER(SEARCH({"Formula","Roll-Up Summary"}, $B35))) &gt; 0,$B35 &amp; " (" &amp; $E35 &amp; ")",IF(SUMPRODUCT(-- ISNUMBER(SEARCH({"Content","Currency","Number","Percent","Text","URL"}, $B35))) &gt; 0,$B35 &amp; "(" &amp; $C35 &amp; ")",$B35)))), "  ", TRIM(IF($S35 = "YES", "(External ID)", "") &amp; " " &amp; IF(SUMPRODUCT(-- ISNUMBER(SEARCH({"Unique","Unique Case Insensitive"}, $R35))) &gt; 0, "(" &amp; $R35 &amp; ")", ""))))</f>
        <v>na</v>
      </c>
      <c r="E35" s="7" t="s">
        <v>195</v>
      </c>
      <c r="F35" s="7" t="s">
        <v>195</v>
      </c>
      <c r="G35" s="7" t="s">
        <v>195</v>
      </c>
      <c r="H35" s="7" t="s">
        <v>195</v>
      </c>
      <c r="I35" s="7" t="s">
        <v>195</v>
      </c>
      <c r="J35" s="7" t="s">
        <v>195</v>
      </c>
      <c r="K35" s="7" t="s">
        <v>195</v>
      </c>
      <c r="L35" s="7" t="s">
        <v>195</v>
      </c>
      <c r="M35" s="7" t="s">
        <v>29</v>
      </c>
      <c r="N35" s="7" t="s">
        <v>29</v>
      </c>
      <c r="O35" s="7" t="s">
        <v>29</v>
      </c>
      <c r="P35" s="7" t="s">
        <v>29</v>
      </c>
      <c r="Q35" s="7" t="s">
        <v>29</v>
      </c>
      <c r="R35" s="7" t="s">
        <v>29</v>
      </c>
      <c r="S35" s="7" t="s">
        <v>29</v>
      </c>
    </row>
    <row r="36" spans="2:19">
      <c r="B36" s="7" t="s">
        <v>195</v>
      </c>
      <c r="C36" s="8" t="s">
        <v>195</v>
      </c>
      <c r="D36" s="6" t="str">
        <f>LRTRIM(CONCATENATE(IF(SUMPRODUCT(-- ISNUMBER(SEARCH({"Auto Number"}, $B36))) &gt; 0, $B36, IF(SUMPRODUCT(-- ISNUMBER(SEARCH({"Lookup","Master-Detail"}, $B36))) &gt; 0,$B36 &amp; "(" &amp; $E36 &amp; ")",IF(SUMPRODUCT(-- ISNUMBER(SEARCH({"Formula","Roll-Up Summary"}, $B36))) &gt; 0,$B36 &amp; " (" &amp; $E36 &amp; ")",IF(SUMPRODUCT(-- ISNUMBER(SEARCH({"Content","Currency","Number","Percent","Text","URL"}, $B36))) &gt; 0,$B36 &amp; "(" &amp; $C36 &amp; ")",$B36)))), "  ", TRIM(IF($S36 = "YES", "(External ID)", "") &amp; " " &amp; IF(SUMPRODUCT(-- ISNUMBER(SEARCH({"Unique","Unique Case Insensitive"}, $R36))) &gt; 0, "(" &amp; $R36 &amp; ")", ""))))</f>
        <v>na</v>
      </c>
      <c r="E36" s="7" t="s">
        <v>195</v>
      </c>
      <c r="F36" s="7" t="s">
        <v>195</v>
      </c>
      <c r="G36" s="7" t="s">
        <v>195</v>
      </c>
      <c r="H36" s="7" t="s">
        <v>195</v>
      </c>
      <c r="I36" s="7" t="s">
        <v>195</v>
      </c>
      <c r="J36" s="7" t="s">
        <v>195</v>
      </c>
      <c r="K36" s="7" t="s">
        <v>195</v>
      </c>
      <c r="L36" s="7" t="s">
        <v>195</v>
      </c>
      <c r="M36" s="7" t="s">
        <v>29</v>
      </c>
      <c r="N36" s="7" t="s">
        <v>29</v>
      </c>
      <c r="O36" s="7" t="s">
        <v>29</v>
      </c>
      <c r="P36" s="7" t="s">
        <v>29</v>
      </c>
      <c r="Q36" s="7" t="s">
        <v>29</v>
      </c>
      <c r="R36" s="7" t="s">
        <v>29</v>
      </c>
      <c r="S36" s="7" t="s">
        <v>29</v>
      </c>
    </row>
    <row r="37" spans="2:19">
      <c r="B37" s="7" t="s">
        <v>195</v>
      </c>
      <c r="C37" s="8" t="s">
        <v>195</v>
      </c>
      <c r="D37" s="6" t="str">
        <f>LRTRIM(CONCATENATE(IF(SUMPRODUCT(-- ISNUMBER(SEARCH({"Auto Number"}, $B37))) &gt; 0, $B37, IF(SUMPRODUCT(-- ISNUMBER(SEARCH({"Lookup","Master-Detail"}, $B37))) &gt; 0,$B37 &amp; "(" &amp; $E37 &amp; ")",IF(SUMPRODUCT(-- ISNUMBER(SEARCH({"Formula","Roll-Up Summary"}, $B37))) &gt; 0,$B37 &amp; " (" &amp; $E37 &amp; ")",IF(SUMPRODUCT(-- ISNUMBER(SEARCH({"Content","Currency","Number","Percent","Text","URL"}, $B37))) &gt; 0,$B37 &amp; "(" &amp; $C37 &amp; ")",$B37)))), "  ", TRIM(IF($S37 = "YES", "(External ID)", "") &amp; " " &amp; IF(SUMPRODUCT(-- ISNUMBER(SEARCH({"Unique","Unique Case Insensitive"}, $R37))) &gt; 0, "(" &amp; $R37 &amp; ")", ""))))</f>
        <v>na</v>
      </c>
      <c r="E37" s="7" t="s">
        <v>195</v>
      </c>
      <c r="F37" s="7" t="s">
        <v>195</v>
      </c>
      <c r="G37" s="7" t="s">
        <v>195</v>
      </c>
      <c r="H37" s="7" t="s">
        <v>195</v>
      </c>
      <c r="I37" s="7" t="s">
        <v>195</v>
      </c>
      <c r="J37" s="7" t="s">
        <v>195</v>
      </c>
      <c r="K37" s="7" t="s">
        <v>195</v>
      </c>
      <c r="L37" s="7" t="s">
        <v>195</v>
      </c>
      <c r="M37" s="7" t="s">
        <v>29</v>
      </c>
      <c r="N37" s="7" t="s">
        <v>29</v>
      </c>
      <c r="O37" s="7" t="s">
        <v>29</v>
      </c>
      <c r="P37" s="7" t="s">
        <v>29</v>
      </c>
      <c r="Q37" s="7" t="s">
        <v>29</v>
      </c>
      <c r="R37" s="7" t="s">
        <v>29</v>
      </c>
      <c r="S37" s="7" t="s">
        <v>29</v>
      </c>
    </row>
    <row r="38" spans="2:19">
      <c r="B38" s="7" t="s">
        <v>195</v>
      </c>
      <c r="C38" s="8" t="s">
        <v>195</v>
      </c>
      <c r="D38" s="6" t="str">
        <f>LRTRIM(CONCATENATE(IF(SUMPRODUCT(-- ISNUMBER(SEARCH({"Auto Number"}, $B38))) &gt; 0, $B38, IF(SUMPRODUCT(-- ISNUMBER(SEARCH({"Lookup","Master-Detail"}, $B38))) &gt; 0,$B38 &amp; "(" &amp; $E38 &amp; ")",IF(SUMPRODUCT(-- ISNUMBER(SEARCH({"Formula","Roll-Up Summary"}, $B38))) &gt; 0,$B38 &amp; " (" &amp; $E38 &amp; ")",IF(SUMPRODUCT(-- ISNUMBER(SEARCH({"Content","Currency","Number","Percent","Text","URL"}, $B38))) &gt; 0,$B38 &amp; "(" &amp; $C38 &amp; ")",$B38)))), "  ", TRIM(IF($S38 = "YES", "(External ID)", "") &amp; " " &amp; IF(SUMPRODUCT(-- ISNUMBER(SEARCH({"Unique","Unique Case Insensitive"}, $R38))) &gt; 0, "(" &amp; $R38 &amp; ")", ""))))</f>
        <v>na</v>
      </c>
      <c r="E38" s="7" t="s">
        <v>195</v>
      </c>
      <c r="F38" s="7" t="s">
        <v>195</v>
      </c>
      <c r="G38" s="7" t="s">
        <v>195</v>
      </c>
      <c r="H38" s="7" t="s">
        <v>195</v>
      </c>
      <c r="I38" s="7" t="s">
        <v>195</v>
      </c>
      <c r="J38" s="7" t="s">
        <v>195</v>
      </c>
      <c r="K38" s="7" t="s">
        <v>195</v>
      </c>
      <c r="L38" s="7" t="s">
        <v>195</v>
      </c>
      <c r="M38" s="7" t="s">
        <v>29</v>
      </c>
      <c r="N38" s="7" t="s">
        <v>29</v>
      </c>
      <c r="O38" s="7" t="s">
        <v>29</v>
      </c>
      <c r="P38" s="7" t="s">
        <v>29</v>
      </c>
      <c r="Q38" s="7" t="s">
        <v>29</v>
      </c>
      <c r="R38" s="7" t="s">
        <v>29</v>
      </c>
      <c r="S38" s="7" t="s">
        <v>29</v>
      </c>
    </row>
    <row r="39" spans="2:19">
      <c r="B39" s="7" t="s">
        <v>195</v>
      </c>
      <c r="C39" s="8" t="s">
        <v>195</v>
      </c>
      <c r="D39" s="6" t="str">
        <f>LRTRIM(CONCATENATE(IF(SUMPRODUCT(-- ISNUMBER(SEARCH({"Auto Number"}, $B39))) &gt; 0, $B39, IF(SUMPRODUCT(-- ISNUMBER(SEARCH({"Lookup","Master-Detail"}, $B39))) &gt; 0,$B39 &amp; "(" &amp; $E39 &amp; ")",IF(SUMPRODUCT(-- ISNUMBER(SEARCH({"Formula","Roll-Up Summary"}, $B39))) &gt; 0,$B39 &amp; " (" &amp; $E39 &amp; ")",IF(SUMPRODUCT(-- ISNUMBER(SEARCH({"Content","Currency","Number","Percent","Text","URL"}, $B39))) &gt; 0,$B39 &amp; "(" &amp; $C39 &amp; ")",$B39)))), "  ", TRIM(IF($S39 = "YES", "(External ID)", "") &amp; " " &amp; IF(SUMPRODUCT(-- ISNUMBER(SEARCH({"Unique","Unique Case Insensitive"}, $R39))) &gt; 0, "(" &amp; $R39 &amp; ")", ""))))</f>
        <v>na</v>
      </c>
      <c r="E39" s="7" t="s">
        <v>195</v>
      </c>
      <c r="F39" s="7" t="s">
        <v>195</v>
      </c>
      <c r="G39" s="7" t="s">
        <v>195</v>
      </c>
      <c r="H39" s="7" t="s">
        <v>195</v>
      </c>
      <c r="I39" s="7" t="s">
        <v>195</v>
      </c>
      <c r="J39" s="7" t="s">
        <v>195</v>
      </c>
      <c r="K39" s="7" t="s">
        <v>195</v>
      </c>
      <c r="L39" s="7" t="s">
        <v>195</v>
      </c>
      <c r="M39" s="7" t="s">
        <v>29</v>
      </c>
      <c r="N39" s="7" t="s">
        <v>29</v>
      </c>
      <c r="O39" s="7" t="s">
        <v>29</v>
      </c>
      <c r="P39" s="7" t="s">
        <v>29</v>
      </c>
      <c r="Q39" s="7" t="s">
        <v>29</v>
      </c>
      <c r="R39" s="7" t="s">
        <v>29</v>
      </c>
      <c r="S39" s="7" t="s">
        <v>29</v>
      </c>
    </row>
    <row r="40" spans="2:19">
      <c r="B40" s="7" t="s">
        <v>195</v>
      </c>
      <c r="C40" s="8" t="s">
        <v>195</v>
      </c>
      <c r="D40" s="6" t="str">
        <f>LRTRIM(CONCATENATE(IF(SUMPRODUCT(-- ISNUMBER(SEARCH({"Auto Number"}, $B40))) &gt; 0, $B40, IF(SUMPRODUCT(-- ISNUMBER(SEARCH({"Lookup","Master-Detail"}, $B40))) &gt; 0,$B40 &amp; "(" &amp; $E40 &amp; ")",IF(SUMPRODUCT(-- ISNUMBER(SEARCH({"Formula","Roll-Up Summary"}, $B40))) &gt; 0,$B40 &amp; " (" &amp; $E40 &amp; ")",IF(SUMPRODUCT(-- ISNUMBER(SEARCH({"Content","Currency","Number","Percent","Text","URL"}, $B40))) &gt; 0,$B40 &amp; "(" &amp; $C40 &amp; ")",$B40)))), "  ", TRIM(IF($S40 = "YES", "(External ID)", "") &amp; " " &amp; IF(SUMPRODUCT(-- ISNUMBER(SEARCH({"Unique","Unique Case Insensitive"}, $R40))) &gt; 0, "(" &amp; $R40 &amp; ")", ""))))</f>
        <v>na</v>
      </c>
      <c r="E40" s="7" t="s">
        <v>195</v>
      </c>
      <c r="F40" s="7" t="s">
        <v>195</v>
      </c>
      <c r="G40" s="7" t="s">
        <v>195</v>
      </c>
      <c r="H40" s="7" t="s">
        <v>195</v>
      </c>
      <c r="I40" s="7" t="s">
        <v>195</v>
      </c>
      <c r="J40" s="7" t="s">
        <v>195</v>
      </c>
      <c r="K40" s="7" t="s">
        <v>195</v>
      </c>
      <c r="L40" s="7" t="s">
        <v>195</v>
      </c>
      <c r="M40" s="7" t="s">
        <v>29</v>
      </c>
      <c r="N40" s="7" t="s">
        <v>29</v>
      </c>
      <c r="O40" s="7" t="s">
        <v>29</v>
      </c>
      <c r="P40" s="7" t="s">
        <v>29</v>
      </c>
      <c r="Q40" s="7" t="s">
        <v>29</v>
      </c>
      <c r="R40" s="7" t="s">
        <v>29</v>
      </c>
      <c r="S40" s="7" t="s">
        <v>29</v>
      </c>
    </row>
    <row r="41" spans="2:19">
      <c r="B41" s="7" t="s">
        <v>195</v>
      </c>
      <c r="C41" s="8" t="s">
        <v>195</v>
      </c>
      <c r="D41" s="6" t="str">
        <f>LRTRIM(CONCATENATE(IF(SUMPRODUCT(-- ISNUMBER(SEARCH({"Auto Number"}, $B41))) &gt; 0, $B41, IF(SUMPRODUCT(-- ISNUMBER(SEARCH({"Lookup","Master-Detail"}, $B41))) &gt; 0,$B41 &amp; "(" &amp; $E41 &amp; ")",IF(SUMPRODUCT(-- ISNUMBER(SEARCH({"Formula","Roll-Up Summary"}, $B41))) &gt; 0,$B41 &amp; " (" &amp; $E41 &amp; ")",IF(SUMPRODUCT(-- ISNUMBER(SEARCH({"Content","Currency","Number","Percent","Text","URL"}, $B41))) &gt; 0,$B41 &amp; "(" &amp; $C41 &amp; ")",$B41)))), "  ", TRIM(IF($S41 = "YES", "(External ID)", "") &amp; " " &amp; IF(SUMPRODUCT(-- ISNUMBER(SEARCH({"Unique","Unique Case Insensitive"}, $R41))) &gt; 0, "(" &amp; $R41 &amp; ")", ""))))</f>
        <v>na</v>
      </c>
      <c r="E41" s="7" t="s">
        <v>195</v>
      </c>
      <c r="F41" s="7" t="s">
        <v>195</v>
      </c>
      <c r="G41" s="7" t="s">
        <v>195</v>
      </c>
      <c r="H41" s="7" t="s">
        <v>195</v>
      </c>
      <c r="I41" s="7" t="s">
        <v>195</v>
      </c>
      <c r="J41" s="7" t="s">
        <v>195</v>
      </c>
      <c r="K41" s="7" t="s">
        <v>195</v>
      </c>
      <c r="L41" s="7" t="s">
        <v>195</v>
      </c>
      <c r="M41" s="7" t="s">
        <v>29</v>
      </c>
      <c r="N41" s="7" t="s">
        <v>29</v>
      </c>
      <c r="O41" s="7" t="s">
        <v>29</v>
      </c>
      <c r="P41" s="7" t="s">
        <v>29</v>
      </c>
      <c r="Q41" s="7" t="s">
        <v>29</v>
      </c>
      <c r="R41" s="7" t="s">
        <v>29</v>
      </c>
      <c r="S41" s="7" t="s">
        <v>29</v>
      </c>
    </row>
    <row r="42" spans="2:19">
      <c r="B42" s="7" t="s">
        <v>195</v>
      </c>
      <c r="C42" s="8" t="s">
        <v>195</v>
      </c>
      <c r="D42" s="6" t="str">
        <f>LRTRIM(CONCATENATE(IF(SUMPRODUCT(-- ISNUMBER(SEARCH({"Auto Number"}, $B42))) &gt; 0, $B42, IF(SUMPRODUCT(-- ISNUMBER(SEARCH({"Lookup","Master-Detail"}, $B42))) &gt; 0,$B42 &amp; "(" &amp; $E42 &amp; ")",IF(SUMPRODUCT(-- ISNUMBER(SEARCH({"Formula","Roll-Up Summary"}, $B42))) &gt; 0,$B42 &amp; " (" &amp; $E42 &amp; ")",IF(SUMPRODUCT(-- ISNUMBER(SEARCH({"Content","Currency","Number","Percent","Text","URL"}, $B42))) &gt; 0,$B42 &amp; "(" &amp; $C42 &amp; ")",$B42)))), "  ", TRIM(IF($S42 = "YES", "(External ID)", "") &amp; " " &amp; IF(SUMPRODUCT(-- ISNUMBER(SEARCH({"Unique","Unique Case Insensitive"}, $R42))) &gt; 0, "(" &amp; $R42 &amp; ")", ""))))</f>
        <v>na</v>
      </c>
      <c r="E42" s="7" t="s">
        <v>195</v>
      </c>
      <c r="F42" s="7" t="s">
        <v>195</v>
      </c>
      <c r="G42" s="7" t="s">
        <v>195</v>
      </c>
      <c r="H42" s="7" t="s">
        <v>195</v>
      </c>
      <c r="I42" s="7" t="s">
        <v>195</v>
      </c>
      <c r="J42" s="7" t="s">
        <v>195</v>
      </c>
      <c r="K42" s="7" t="s">
        <v>195</v>
      </c>
      <c r="L42" s="7" t="s">
        <v>195</v>
      </c>
      <c r="M42" s="7" t="s">
        <v>29</v>
      </c>
      <c r="N42" s="7" t="s">
        <v>29</v>
      </c>
      <c r="O42" s="7" t="s">
        <v>29</v>
      </c>
      <c r="P42" s="7" t="s">
        <v>29</v>
      </c>
      <c r="Q42" s="7" t="s">
        <v>29</v>
      </c>
      <c r="R42" s="7" t="s">
        <v>29</v>
      </c>
      <c r="S42" s="7" t="s">
        <v>29</v>
      </c>
    </row>
    <row r="43" spans="2:19">
      <c r="B43" s="7" t="s">
        <v>195</v>
      </c>
      <c r="C43" s="8" t="s">
        <v>195</v>
      </c>
      <c r="D43" s="6" t="str">
        <f>LRTRIM(CONCATENATE(IF(SUMPRODUCT(-- ISNUMBER(SEARCH({"Auto Number"}, $B43))) &gt; 0, $B43, IF(SUMPRODUCT(-- ISNUMBER(SEARCH({"Lookup","Master-Detail"}, $B43))) &gt; 0,$B43 &amp; "(" &amp; $E43 &amp; ")",IF(SUMPRODUCT(-- ISNUMBER(SEARCH({"Formula","Roll-Up Summary"}, $B43))) &gt; 0,$B43 &amp; " (" &amp; $E43 &amp; ")",IF(SUMPRODUCT(-- ISNUMBER(SEARCH({"Content","Currency","Number","Percent","Text","URL"}, $B43))) &gt; 0,$B43 &amp; "(" &amp; $C43 &amp; ")",$B43)))), "  ", TRIM(IF($S43 = "YES", "(External ID)", "") &amp; " " &amp; IF(SUMPRODUCT(-- ISNUMBER(SEARCH({"Unique","Unique Case Insensitive"}, $R43))) &gt; 0, "(" &amp; $R43 &amp; ")", ""))))</f>
        <v>na</v>
      </c>
      <c r="E43" s="7" t="s">
        <v>195</v>
      </c>
      <c r="F43" s="7" t="s">
        <v>195</v>
      </c>
      <c r="G43" s="7" t="s">
        <v>195</v>
      </c>
      <c r="H43" s="7" t="s">
        <v>195</v>
      </c>
      <c r="I43" s="7" t="s">
        <v>195</v>
      </c>
      <c r="J43" s="7" t="s">
        <v>195</v>
      </c>
      <c r="K43" s="7" t="s">
        <v>195</v>
      </c>
      <c r="L43" s="7" t="s">
        <v>195</v>
      </c>
      <c r="M43" s="7" t="s">
        <v>29</v>
      </c>
      <c r="N43" s="7" t="s">
        <v>29</v>
      </c>
      <c r="O43" s="7" t="s">
        <v>29</v>
      </c>
      <c r="P43" s="7" t="s">
        <v>29</v>
      </c>
      <c r="Q43" s="7" t="s">
        <v>29</v>
      </c>
      <c r="R43" s="7" t="s">
        <v>29</v>
      </c>
      <c r="S43" s="7" t="s">
        <v>29</v>
      </c>
    </row>
    <row r="44" spans="2:19">
      <c r="B44" s="7" t="s">
        <v>195</v>
      </c>
      <c r="C44" s="8" t="s">
        <v>195</v>
      </c>
      <c r="D44" s="6" t="str">
        <f>LRTRIM(CONCATENATE(IF(SUMPRODUCT(-- ISNUMBER(SEARCH({"Auto Number"}, $B44))) &gt; 0, $B44, IF(SUMPRODUCT(-- ISNUMBER(SEARCH({"Lookup","Master-Detail"}, $B44))) &gt; 0,$B44 &amp; "(" &amp; $E44 &amp; ")",IF(SUMPRODUCT(-- ISNUMBER(SEARCH({"Formula","Roll-Up Summary"}, $B44))) &gt; 0,$B44 &amp; " (" &amp; $E44 &amp; ")",IF(SUMPRODUCT(-- ISNUMBER(SEARCH({"Content","Currency","Number","Percent","Text","URL"}, $B44))) &gt; 0,$B44 &amp; "(" &amp; $C44 &amp; ")",$B44)))), "  ", TRIM(IF($S44 = "YES", "(External ID)", "") &amp; " " &amp; IF(SUMPRODUCT(-- ISNUMBER(SEARCH({"Unique","Unique Case Insensitive"}, $R44))) &gt; 0, "(" &amp; $R44 &amp; ")", ""))))</f>
        <v>na</v>
      </c>
      <c r="E44" s="7" t="s">
        <v>195</v>
      </c>
      <c r="F44" s="7" t="s">
        <v>195</v>
      </c>
      <c r="G44" s="7" t="s">
        <v>195</v>
      </c>
      <c r="H44" s="7" t="s">
        <v>195</v>
      </c>
      <c r="I44" s="7" t="s">
        <v>195</v>
      </c>
      <c r="J44" s="7" t="s">
        <v>195</v>
      </c>
      <c r="K44" s="7" t="s">
        <v>195</v>
      </c>
      <c r="L44" s="7" t="s">
        <v>195</v>
      </c>
      <c r="M44" s="7" t="s">
        <v>29</v>
      </c>
      <c r="N44" s="7" t="s">
        <v>29</v>
      </c>
      <c r="O44" s="7" t="s">
        <v>29</v>
      </c>
      <c r="P44" s="7" t="s">
        <v>29</v>
      </c>
      <c r="Q44" s="7" t="s">
        <v>29</v>
      </c>
      <c r="R44" s="7" t="s">
        <v>29</v>
      </c>
      <c r="S44" s="7" t="s">
        <v>29</v>
      </c>
    </row>
    <row r="45" spans="2:19">
      <c r="B45" s="7" t="s">
        <v>195</v>
      </c>
      <c r="C45" s="8" t="s">
        <v>195</v>
      </c>
      <c r="D45" s="6" t="str">
        <f>LRTRIM(CONCATENATE(IF(SUMPRODUCT(-- ISNUMBER(SEARCH({"Auto Number"}, $B45))) &gt; 0, $B45, IF(SUMPRODUCT(-- ISNUMBER(SEARCH({"Lookup","Master-Detail"}, $B45))) &gt; 0,$B45 &amp; "(" &amp; $E45 &amp; ")",IF(SUMPRODUCT(-- ISNUMBER(SEARCH({"Formula","Roll-Up Summary"}, $B45))) &gt; 0,$B45 &amp; " (" &amp; $E45 &amp; ")",IF(SUMPRODUCT(-- ISNUMBER(SEARCH({"Content","Currency","Number","Percent","Text","URL"}, $B45))) &gt; 0,$B45 &amp; "(" &amp; $C45 &amp; ")",$B45)))), "  ", TRIM(IF($S45 = "YES", "(External ID)", "") &amp; " " &amp; IF(SUMPRODUCT(-- ISNUMBER(SEARCH({"Unique","Unique Case Insensitive"}, $R45))) &gt; 0, "(" &amp; $R45 &amp; ")", ""))))</f>
        <v>na</v>
      </c>
      <c r="E45" s="7" t="s">
        <v>195</v>
      </c>
      <c r="F45" s="7" t="s">
        <v>195</v>
      </c>
      <c r="G45" s="7" t="s">
        <v>195</v>
      </c>
      <c r="H45" s="7" t="s">
        <v>195</v>
      </c>
      <c r="I45" s="7" t="s">
        <v>195</v>
      </c>
      <c r="J45" s="7" t="s">
        <v>195</v>
      </c>
      <c r="K45" s="7" t="s">
        <v>195</v>
      </c>
      <c r="L45" s="7" t="s">
        <v>195</v>
      </c>
      <c r="M45" s="7" t="s">
        <v>29</v>
      </c>
      <c r="N45" s="7" t="s">
        <v>29</v>
      </c>
      <c r="O45" s="7" t="s">
        <v>29</v>
      </c>
      <c r="P45" s="7" t="s">
        <v>29</v>
      </c>
      <c r="Q45" s="7" t="s">
        <v>29</v>
      </c>
      <c r="R45" s="7" t="s">
        <v>29</v>
      </c>
      <c r="S45" s="7" t="s">
        <v>29</v>
      </c>
    </row>
    <row r="46" spans="2:19">
      <c r="B46" s="7" t="s">
        <v>195</v>
      </c>
      <c r="C46" s="8" t="s">
        <v>195</v>
      </c>
      <c r="D46" s="6" t="str">
        <f>LRTRIM(CONCATENATE(IF(SUMPRODUCT(-- ISNUMBER(SEARCH({"Auto Number"}, $B46))) &gt; 0, $B46, IF(SUMPRODUCT(-- ISNUMBER(SEARCH({"Lookup","Master-Detail"}, $B46))) &gt; 0,$B46 &amp; "(" &amp; $E46 &amp; ")",IF(SUMPRODUCT(-- ISNUMBER(SEARCH({"Formula","Roll-Up Summary"}, $B46))) &gt; 0,$B46 &amp; " (" &amp; $E46 &amp; ")",IF(SUMPRODUCT(-- ISNUMBER(SEARCH({"Content","Currency","Number","Percent","Text","URL"}, $B46))) &gt; 0,$B46 &amp; "(" &amp; $C46 &amp; ")",$B46)))), "  ", TRIM(IF($S46 = "YES", "(External ID)", "") &amp; " " &amp; IF(SUMPRODUCT(-- ISNUMBER(SEARCH({"Unique","Unique Case Insensitive"}, $R46))) &gt; 0, "(" &amp; $R46 &amp; ")", ""))))</f>
        <v>na</v>
      </c>
      <c r="E46" s="7" t="s">
        <v>195</v>
      </c>
      <c r="F46" s="7" t="s">
        <v>195</v>
      </c>
      <c r="G46" s="7" t="s">
        <v>195</v>
      </c>
      <c r="H46" s="7" t="s">
        <v>195</v>
      </c>
      <c r="I46" s="7" t="s">
        <v>195</v>
      </c>
      <c r="J46" s="7" t="s">
        <v>195</v>
      </c>
      <c r="K46" s="7" t="s">
        <v>195</v>
      </c>
      <c r="L46" s="7" t="s">
        <v>195</v>
      </c>
      <c r="M46" s="7" t="s">
        <v>29</v>
      </c>
      <c r="N46" s="7" t="s">
        <v>29</v>
      </c>
      <c r="O46" s="7" t="s">
        <v>29</v>
      </c>
      <c r="P46" s="7" t="s">
        <v>29</v>
      </c>
      <c r="Q46" s="7" t="s">
        <v>29</v>
      </c>
      <c r="R46" s="7" t="s">
        <v>29</v>
      </c>
      <c r="S46" s="7" t="s">
        <v>29</v>
      </c>
    </row>
    <row r="47" spans="2:19">
      <c r="B47" s="7" t="s">
        <v>195</v>
      </c>
      <c r="C47" s="8" t="s">
        <v>195</v>
      </c>
      <c r="D47" s="6" t="str">
        <f>LRTRIM(CONCATENATE(IF(SUMPRODUCT(-- ISNUMBER(SEARCH({"Auto Number"}, $B47))) &gt; 0, $B47, IF(SUMPRODUCT(-- ISNUMBER(SEARCH({"Lookup","Master-Detail"}, $B47))) &gt; 0,$B47 &amp; "(" &amp; $E47 &amp; ")",IF(SUMPRODUCT(-- ISNUMBER(SEARCH({"Formula","Roll-Up Summary"}, $B47))) &gt; 0,$B47 &amp; " (" &amp; $E47 &amp; ")",IF(SUMPRODUCT(-- ISNUMBER(SEARCH({"Content","Currency","Number","Percent","Text","URL"}, $B47))) &gt; 0,$B47 &amp; "(" &amp; $C47 &amp; ")",$B47)))), "  ", TRIM(IF($S47 = "YES", "(External ID)", "") &amp; " " &amp; IF(SUMPRODUCT(-- ISNUMBER(SEARCH({"Unique","Unique Case Insensitive"}, $R47))) &gt; 0, "(" &amp; $R47 &amp; ")", ""))))</f>
        <v>na</v>
      </c>
      <c r="E47" s="7" t="s">
        <v>195</v>
      </c>
      <c r="F47" s="7" t="s">
        <v>195</v>
      </c>
      <c r="G47" s="7" t="s">
        <v>195</v>
      </c>
      <c r="H47" s="7" t="s">
        <v>195</v>
      </c>
      <c r="I47" s="7" t="s">
        <v>195</v>
      </c>
      <c r="J47" s="7" t="s">
        <v>195</v>
      </c>
      <c r="K47" s="7" t="s">
        <v>195</v>
      </c>
      <c r="L47" s="7" t="s">
        <v>195</v>
      </c>
      <c r="M47" s="7" t="s">
        <v>29</v>
      </c>
      <c r="N47" s="7" t="s">
        <v>29</v>
      </c>
      <c r="O47" s="7" t="s">
        <v>29</v>
      </c>
      <c r="P47" s="7" t="s">
        <v>29</v>
      </c>
      <c r="Q47" s="7" t="s">
        <v>29</v>
      </c>
      <c r="R47" s="7" t="s">
        <v>29</v>
      </c>
      <c r="S47" s="7" t="s">
        <v>29</v>
      </c>
    </row>
    <row r="48" spans="2:19">
      <c r="B48" s="7" t="s">
        <v>195</v>
      </c>
      <c r="C48" s="8" t="s">
        <v>195</v>
      </c>
      <c r="D48" s="6" t="str">
        <f>LRTRIM(CONCATENATE(IF(SUMPRODUCT(-- ISNUMBER(SEARCH({"Auto Number"}, $B48))) &gt; 0, $B48, IF(SUMPRODUCT(-- ISNUMBER(SEARCH({"Lookup","Master-Detail"}, $B48))) &gt; 0,$B48 &amp; "(" &amp; $E48 &amp; ")",IF(SUMPRODUCT(-- ISNUMBER(SEARCH({"Formula","Roll-Up Summary"}, $B48))) &gt; 0,$B48 &amp; " (" &amp; $E48 &amp; ")",IF(SUMPRODUCT(-- ISNUMBER(SEARCH({"Content","Currency","Number","Percent","Text","URL"}, $B48))) &gt; 0,$B48 &amp; "(" &amp; $C48 &amp; ")",$B48)))), "  ", TRIM(IF($S48 = "YES", "(External ID)", "") &amp; " " &amp; IF(SUMPRODUCT(-- ISNUMBER(SEARCH({"Unique","Unique Case Insensitive"}, $R48))) &gt; 0, "(" &amp; $R48 &amp; ")", ""))))</f>
        <v>na</v>
      </c>
      <c r="E48" s="7" t="s">
        <v>195</v>
      </c>
      <c r="F48" s="7" t="s">
        <v>195</v>
      </c>
      <c r="G48" s="7" t="s">
        <v>195</v>
      </c>
      <c r="H48" s="7" t="s">
        <v>195</v>
      </c>
      <c r="I48" s="7" t="s">
        <v>195</v>
      </c>
      <c r="J48" s="7" t="s">
        <v>195</v>
      </c>
      <c r="K48" s="7" t="s">
        <v>195</v>
      </c>
      <c r="L48" s="7" t="s">
        <v>195</v>
      </c>
      <c r="M48" s="7" t="s">
        <v>29</v>
      </c>
      <c r="N48" s="7" t="s">
        <v>29</v>
      </c>
      <c r="O48" s="7" t="s">
        <v>29</v>
      </c>
      <c r="P48" s="7" t="s">
        <v>29</v>
      </c>
      <c r="Q48" s="7" t="s">
        <v>29</v>
      </c>
      <c r="R48" s="7" t="s">
        <v>29</v>
      </c>
      <c r="S48" s="7" t="s">
        <v>29</v>
      </c>
    </row>
    <row r="49" spans="2:19">
      <c r="B49" s="7" t="s">
        <v>195</v>
      </c>
      <c r="C49" s="8" t="s">
        <v>195</v>
      </c>
      <c r="D49" s="6" t="str">
        <f>LRTRIM(CONCATENATE(IF(SUMPRODUCT(-- ISNUMBER(SEARCH({"Auto Number"}, $B49))) &gt; 0, $B49, IF(SUMPRODUCT(-- ISNUMBER(SEARCH({"Lookup","Master-Detail"}, $B49))) &gt; 0,$B49 &amp; "(" &amp; $E49 &amp; ")",IF(SUMPRODUCT(-- ISNUMBER(SEARCH({"Formula","Roll-Up Summary"}, $B49))) &gt; 0,$B49 &amp; " (" &amp; $E49 &amp; ")",IF(SUMPRODUCT(-- ISNUMBER(SEARCH({"Content","Currency","Number","Percent","Text","URL"}, $B49))) &gt; 0,$B49 &amp; "(" &amp; $C49 &amp; ")",$B49)))), "  ", TRIM(IF($S49 = "YES", "(External ID)", "") &amp; " " &amp; IF(SUMPRODUCT(-- ISNUMBER(SEARCH({"Unique","Unique Case Insensitive"}, $R49))) &gt; 0, "(" &amp; $R49 &amp; ")", ""))))</f>
        <v>na</v>
      </c>
      <c r="E49" s="7" t="s">
        <v>195</v>
      </c>
      <c r="F49" s="7" t="s">
        <v>195</v>
      </c>
      <c r="G49" s="7" t="s">
        <v>195</v>
      </c>
      <c r="H49" s="7" t="s">
        <v>195</v>
      </c>
      <c r="I49" s="7" t="s">
        <v>195</v>
      </c>
      <c r="J49" s="7" t="s">
        <v>195</v>
      </c>
      <c r="K49" s="7" t="s">
        <v>195</v>
      </c>
      <c r="L49" s="7" t="s">
        <v>195</v>
      </c>
      <c r="M49" s="7" t="s">
        <v>29</v>
      </c>
      <c r="N49" s="7" t="s">
        <v>29</v>
      </c>
      <c r="O49" s="7" t="s">
        <v>29</v>
      </c>
      <c r="P49" s="7" t="s">
        <v>29</v>
      </c>
      <c r="Q49" s="7" t="s">
        <v>29</v>
      </c>
      <c r="R49" s="7" t="s">
        <v>29</v>
      </c>
      <c r="S49" s="7" t="s">
        <v>29</v>
      </c>
    </row>
    <row r="50" spans="2:19">
      <c r="B50" s="7" t="s">
        <v>195</v>
      </c>
      <c r="C50" s="8" t="s">
        <v>195</v>
      </c>
      <c r="D50" s="6" t="str">
        <f>LRTRIM(CONCATENATE(IF(SUMPRODUCT(-- ISNUMBER(SEARCH({"Auto Number"}, $B50))) &gt; 0, $B50, IF(SUMPRODUCT(-- ISNUMBER(SEARCH({"Lookup","Master-Detail"}, $B50))) &gt; 0,$B50 &amp; "(" &amp; $E50 &amp; ")",IF(SUMPRODUCT(-- ISNUMBER(SEARCH({"Formula","Roll-Up Summary"}, $B50))) &gt; 0,$B50 &amp; " (" &amp; $E50 &amp; ")",IF(SUMPRODUCT(-- ISNUMBER(SEARCH({"Content","Currency","Number","Percent","Text","URL"}, $B50))) &gt; 0,$B50 &amp; "(" &amp; $C50 &amp; ")",$B50)))), "  ", TRIM(IF($S50 = "YES", "(External ID)", "") &amp; " " &amp; IF(SUMPRODUCT(-- ISNUMBER(SEARCH({"Unique","Unique Case Insensitive"}, $R50))) &gt; 0, "(" &amp; $R50 &amp; ")", ""))))</f>
        <v>na</v>
      </c>
      <c r="E50" s="7" t="s">
        <v>195</v>
      </c>
      <c r="F50" s="7" t="s">
        <v>195</v>
      </c>
      <c r="G50" s="7" t="s">
        <v>195</v>
      </c>
      <c r="H50" s="7" t="s">
        <v>195</v>
      </c>
      <c r="I50" s="7" t="s">
        <v>195</v>
      </c>
      <c r="J50" s="7" t="s">
        <v>195</v>
      </c>
      <c r="K50" s="7" t="s">
        <v>195</v>
      </c>
      <c r="L50" s="7" t="s">
        <v>195</v>
      </c>
      <c r="M50" s="7" t="s">
        <v>29</v>
      </c>
      <c r="N50" s="7" t="s">
        <v>29</v>
      </c>
      <c r="O50" s="7" t="s">
        <v>29</v>
      </c>
      <c r="P50" s="7" t="s">
        <v>29</v>
      </c>
      <c r="Q50" s="7" t="s">
        <v>29</v>
      </c>
      <c r="R50" s="7" t="s">
        <v>29</v>
      </c>
      <c r="S50" s="7" t="s">
        <v>29</v>
      </c>
    </row>
    <row r="51" spans="2:19">
      <c r="B51" s="7" t="s">
        <v>195</v>
      </c>
      <c r="C51" s="8" t="s">
        <v>195</v>
      </c>
      <c r="D51" s="6" t="str">
        <f>LRTRIM(CONCATENATE(IF(SUMPRODUCT(-- ISNUMBER(SEARCH({"Auto Number"}, $B51))) &gt; 0, $B51, IF(SUMPRODUCT(-- ISNUMBER(SEARCH({"Lookup","Master-Detail"}, $B51))) &gt; 0,$B51 &amp; "(" &amp; $E51 &amp; ")",IF(SUMPRODUCT(-- ISNUMBER(SEARCH({"Formula","Roll-Up Summary"}, $B51))) &gt; 0,$B51 &amp; " (" &amp; $E51 &amp; ")",IF(SUMPRODUCT(-- ISNUMBER(SEARCH({"Content","Currency","Number","Percent","Text","URL"}, $B51))) &gt; 0,$B51 &amp; "(" &amp; $C51 &amp; ")",$B51)))), "  ", TRIM(IF($S51 = "YES", "(External ID)", "") &amp; " " &amp; IF(SUMPRODUCT(-- ISNUMBER(SEARCH({"Unique","Unique Case Insensitive"}, $R51))) &gt; 0, "(" &amp; $R51 &amp; ")", ""))))</f>
        <v>na</v>
      </c>
      <c r="E51" s="7" t="s">
        <v>195</v>
      </c>
      <c r="F51" s="7" t="s">
        <v>195</v>
      </c>
      <c r="G51" s="7" t="s">
        <v>195</v>
      </c>
      <c r="H51" s="7" t="s">
        <v>195</v>
      </c>
      <c r="I51" s="7" t="s">
        <v>195</v>
      </c>
      <c r="J51" s="7" t="s">
        <v>195</v>
      </c>
      <c r="K51" s="7" t="s">
        <v>195</v>
      </c>
      <c r="L51" s="7" t="s">
        <v>195</v>
      </c>
      <c r="M51" s="7" t="s">
        <v>29</v>
      </c>
      <c r="N51" s="7" t="s">
        <v>29</v>
      </c>
      <c r="O51" s="7" t="s">
        <v>29</v>
      </c>
      <c r="P51" s="7" t="s">
        <v>29</v>
      </c>
      <c r="Q51" s="7" t="s">
        <v>29</v>
      </c>
      <c r="R51" s="7" t="s">
        <v>29</v>
      </c>
      <c r="S51" s="7" t="s">
        <v>29</v>
      </c>
    </row>
    <row r="52" spans="2:19">
      <c r="B52" s="7" t="s">
        <v>195</v>
      </c>
      <c r="C52" s="8" t="s">
        <v>195</v>
      </c>
      <c r="D52" s="6" t="str">
        <f>LRTRIM(CONCATENATE(IF(SUMPRODUCT(-- ISNUMBER(SEARCH({"Auto Number"}, $B52))) &gt; 0, $B52, IF(SUMPRODUCT(-- ISNUMBER(SEARCH({"Lookup","Master-Detail"}, $B52))) &gt; 0,$B52 &amp; "(" &amp; $E52 &amp; ")",IF(SUMPRODUCT(-- ISNUMBER(SEARCH({"Formula","Roll-Up Summary"}, $B52))) &gt; 0,$B52 &amp; " (" &amp; $E52 &amp; ")",IF(SUMPRODUCT(-- ISNUMBER(SEARCH({"Content","Currency","Number","Percent","Text","URL"}, $B52))) &gt; 0,$B52 &amp; "(" &amp; $C52 &amp; ")",$B52)))), "  ", TRIM(IF($S52 = "YES", "(External ID)", "") &amp; " " &amp; IF(SUMPRODUCT(-- ISNUMBER(SEARCH({"Unique","Unique Case Insensitive"}, $R52))) &gt; 0, "(" &amp; $R52 &amp; ")", ""))))</f>
        <v>na</v>
      </c>
      <c r="E52" s="7" t="s">
        <v>195</v>
      </c>
      <c r="F52" s="7" t="s">
        <v>195</v>
      </c>
      <c r="G52" s="7" t="s">
        <v>195</v>
      </c>
      <c r="H52" s="7" t="s">
        <v>195</v>
      </c>
      <c r="I52" s="7" t="s">
        <v>195</v>
      </c>
      <c r="J52" s="7" t="s">
        <v>195</v>
      </c>
      <c r="K52" s="7" t="s">
        <v>195</v>
      </c>
      <c r="L52" s="7" t="s">
        <v>195</v>
      </c>
      <c r="M52" s="7" t="s">
        <v>29</v>
      </c>
      <c r="N52" s="7" t="s">
        <v>29</v>
      </c>
      <c r="O52" s="7" t="s">
        <v>29</v>
      </c>
      <c r="P52" s="7" t="s">
        <v>29</v>
      </c>
      <c r="Q52" s="7" t="s">
        <v>29</v>
      </c>
      <c r="R52" s="7" t="s">
        <v>29</v>
      </c>
      <c r="S52" s="7" t="s">
        <v>29</v>
      </c>
    </row>
    <row r="53" spans="2:19">
      <c r="B53" s="7" t="s">
        <v>195</v>
      </c>
      <c r="C53" s="8" t="s">
        <v>195</v>
      </c>
      <c r="D53" s="6" t="str">
        <f>LRTRIM(CONCATENATE(IF(SUMPRODUCT(-- ISNUMBER(SEARCH({"Auto Number"}, $B53))) &gt; 0, $B53, IF(SUMPRODUCT(-- ISNUMBER(SEARCH({"Lookup","Master-Detail"}, $B53))) &gt; 0,$B53 &amp; "(" &amp; $E53 &amp; ")",IF(SUMPRODUCT(-- ISNUMBER(SEARCH({"Formula","Roll-Up Summary"}, $B53))) &gt; 0,$B53 &amp; " (" &amp; $E53 &amp; ")",IF(SUMPRODUCT(-- ISNUMBER(SEARCH({"Content","Currency","Number","Percent","Text","URL"}, $B53))) &gt; 0,$B53 &amp; "(" &amp; $C53 &amp; ")",$B53)))), "  ", TRIM(IF($S53 = "YES", "(External ID)", "") &amp; " " &amp; IF(SUMPRODUCT(-- ISNUMBER(SEARCH({"Unique","Unique Case Insensitive"}, $R53))) &gt; 0, "(" &amp; $R53 &amp; ")", ""))))</f>
        <v>na</v>
      </c>
      <c r="E53" s="7" t="s">
        <v>195</v>
      </c>
      <c r="F53" s="7" t="s">
        <v>195</v>
      </c>
      <c r="G53" s="7" t="s">
        <v>195</v>
      </c>
      <c r="H53" s="7" t="s">
        <v>195</v>
      </c>
      <c r="I53" s="7" t="s">
        <v>195</v>
      </c>
      <c r="J53" s="7" t="s">
        <v>195</v>
      </c>
      <c r="K53" s="7" t="s">
        <v>195</v>
      </c>
      <c r="L53" s="7" t="s">
        <v>195</v>
      </c>
      <c r="M53" s="7" t="s">
        <v>29</v>
      </c>
      <c r="N53" s="7" t="s">
        <v>29</v>
      </c>
      <c r="O53" s="7" t="s">
        <v>29</v>
      </c>
      <c r="P53" s="7" t="s">
        <v>29</v>
      </c>
      <c r="Q53" s="7" t="s">
        <v>29</v>
      </c>
      <c r="R53" s="7" t="s">
        <v>29</v>
      </c>
      <c r="S53" s="7" t="s">
        <v>29</v>
      </c>
    </row>
    <row r="54" spans="2:19">
      <c r="B54" s="7" t="s">
        <v>195</v>
      </c>
      <c r="C54" s="8" t="s">
        <v>195</v>
      </c>
      <c r="D54" s="6" t="str">
        <f>LRTRIM(CONCATENATE(IF(SUMPRODUCT(-- ISNUMBER(SEARCH({"Auto Number"}, $B54))) &gt; 0, $B54, IF(SUMPRODUCT(-- ISNUMBER(SEARCH({"Lookup","Master-Detail"}, $B54))) &gt; 0,$B54 &amp; "(" &amp; $E54 &amp; ")",IF(SUMPRODUCT(-- ISNUMBER(SEARCH({"Formula","Roll-Up Summary"}, $B54))) &gt; 0,$B54 &amp; " (" &amp; $E54 &amp; ")",IF(SUMPRODUCT(-- ISNUMBER(SEARCH({"Content","Currency","Number","Percent","Text","URL"}, $B54))) &gt; 0,$B54 &amp; "(" &amp; $C54 &amp; ")",$B54)))), "  ", TRIM(IF($S54 = "YES", "(External ID)", "") &amp; " " &amp; IF(SUMPRODUCT(-- ISNUMBER(SEARCH({"Unique","Unique Case Insensitive"}, $R54))) &gt; 0, "(" &amp; $R54 &amp; ")", ""))))</f>
        <v>na</v>
      </c>
      <c r="E54" s="7" t="s">
        <v>195</v>
      </c>
      <c r="F54" s="7" t="s">
        <v>195</v>
      </c>
      <c r="G54" s="7" t="s">
        <v>195</v>
      </c>
      <c r="H54" s="7" t="s">
        <v>195</v>
      </c>
      <c r="I54" s="7" t="s">
        <v>195</v>
      </c>
      <c r="J54" s="7" t="s">
        <v>195</v>
      </c>
      <c r="K54" s="7" t="s">
        <v>195</v>
      </c>
      <c r="L54" s="7" t="s">
        <v>195</v>
      </c>
      <c r="M54" s="7" t="s">
        <v>29</v>
      </c>
      <c r="N54" s="7" t="s">
        <v>29</v>
      </c>
      <c r="O54" s="7" t="s">
        <v>29</v>
      </c>
      <c r="P54" s="7" t="s">
        <v>29</v>
      </c>
      <c r="Q54" s="7" t="s">
        <v>29</v>
      </c>
      <c r="R54" s="7" t="s">
        <v>29</v>
      </c>
      <c r="S54" s="7" t="s">
        <v>29</v>
      </c>
    </row>
    <row r="55" spans="2:19">
      <c r="B55" s="7" t="s">
        <v>195</v>
      </c>
      <c r="C55" s="8" t="s">
        <v>195</v>
      </c>
      <c r="D55" s="6" t="str">
        <f>LRTRIM(CONCATENATE(IF(SUMPRODUCT(-- ISNUMBER(SEARCH({"Auto Number"}, $B55))) &gt; 0, $B55, IF(SUMPRODUCT(-- ISNUMBER(SEARCH({"Lookup","Master-Detail"}, $B55))) &gt; 0,$B55 &amp; "(" &amp; $E55 &amp; ")",IF(SUMPRODUCT(-- ISNUMBER(SEARCH({"Formula","Roll-Up Summary"}, $B55))) &gt; 0,$B55 &amp; " (" &amp; $E55 &amp; ")",IF(SUMPRODUCT(-- ISNUMBER(SEARCH({"Content","Currency","Number","Percent","Text","URL"}, $B55))) &gt; 0,$B55 &amp; "(" &amp; $C55 &amp; ")",$B55)))), "  ", TRIM(IF($S55 = "YES", "(External ID)", "") &amp; " " &amp; IF(SUMPRODUCT(-- ISNUMBER(SEARCH({"Unique","Unique Case Insensitive"}, $R55))) &gt; 0, "(" &amp; $R55 &amp; ")", ""))))</f>
        <v>na</v>
      </c>
      <c r="E55" s="7" t="s">
        <v>195</v>
      </c>
      <c r="F55" s="7" t="s">
        <v>195</v>
      </c>
      <c r="G55" s="7" t="s">
        <v>195</v>
      </c>
      <c r="H55" s="7" t="s">
        <v>195</v>
      </c>
      <c r="I55" s="7" t="s">
        <v>195</v>
      </c>
      <c r="J55" s="7" t="s">
        <v>195</v>
      </c>
      <c r="K55" s="7" t="s">
        <v>195</v>
      </c>
      <c r="L55" s="7" t="s">
        <v>195</v>
      </c>
      <c r="M55" s="7" t="s">
        <v>29</v>
      </c>
      <c r="N55" s="7" t="s">
        <v>29</v>
      </c>
      <c r="O55" s="7" t="s">
        <v>29</v>
      </c>
      <c r="P55" s="7" t="s">
        <v>29</v>
      </c>
      <c r="Q55" s="7" t="s">
        <v>29</v>
      </c>
      <c r="R55" s="7" t="s">
        <v>29</v>
      </c>
      <c r="S55" s="7" t="s">
        <v>29</v>
      </c>
    </row>
    <row r="56" spans="2:19">
      <c r="B56" s="7" t="s">
        <v>195</v>
      </c>
      <c r="C56" s="8" t="s">
        <v>195</v>
      </c>
      <c r="D56" s="6" t="str">
        <f>LRTRIM(CONCATENATE(IF(SUMPRODUCT(-- ISNUMBER(SEARCH({"Auto Number"}, $B56))) &gt; 0, $B56, IF(SUMPRODUCT(-- ISNUMBER(SEARCH({"Lookup","Master-Detail"}, $B56))) &gt; 0,$B56 &amp; "(" &amp; $E56 &amp; ")",IF(SUMPRODUCT(-- ISNUMBER(SEARCH({"Formula","Roll-Up Summary"}, $B56))) &gt; 0,$B56 &amp; " (" &amp; $E56 &amp; ")",IF(SUMPRODUCT(-- ISNUMBER(SEARCH({"Content","Currency","Number","Percent","Text","URL"}, $B56))) &gt; 0,$B56 &amp; "(" &amp; $C56 &amp; ")",$B56)))), "  ", TRIM(IF($S56 = "YES", "(External ID)", "") &amp; " " &amp; IF(SUMPRODUCT(-- ISNUMBER(SEARCH({"Unique","Unique Case Insensitive"}, $R56))) &gt; 0, "(" &amp; $R56 &amp; ")", ""))))</f>
        <v>na</v>
      </c>
      <c r="E56" s="7" t="s">
        <v>195</v>
      </c>
      <c r="F56" s="7" t="s">
        <v>195</v>
      </c>
      <c r="G56" s="7" t="s">
        <v>195</v>
      </c>
      <c r="H56" s="7" t="s">
        <v>195</v>
      </c>
      <c r="I56" s="7" t="s">
        <v>195</v>
      </c>
      <c r="J56" s="7" t="s">
        <v>195</v>
      </c>
      <c r="K56" s="7" t="s">
        <v>195</v>
      </c>
      <c r="L56" s="7" t="s">
        <v>195</v>
      </c>
      <c r="M56" s="7" t="s">
        <v>29</v>
      </c>
      <c r="N56" s="7" t="s">
        <v>29</v>
      </c>
      <c r="O56" s="7" t="s">
        <v>29</v>
      </c>
      <c r="P56" s="7" t="s">
        <v>29</v>
      </c>
      <c r="Q56" s="7" t="s">
        <v>29</v>
      </c>
      <c r="R56" s="7" t="s">
        <v>29</v>
      </c>
      <c r="S56" s="7" t="s">
        <v>29</v>
      </c>
    </row>
    <row r="57" spans="2:19">
      <c r="B57" s="7" t="s">
        <v>195</v>
      </c>
      <c r="C57" s="8" t="s">
        <v>195</v>
      </c>
      <c r="D57" s="6" t="str">
        <f>LRTRIM(CONCATENATE(IF(SUMPRODUCT(-- ISNUMBER(SEARCH({"Auto Number"}, $B57))) &gt; 0, $B57, IF(SUMPRODUCT(-- ISNUMBER(SEARCH({"Lookup","Master-Detail"}, $B57))) &gt; 0,$B57 &amp; "(" &amp; $E57 &amp; ")",IF(SUMPRODUCT(-- ISNUMBER(SEARCH({"Formula","Roll-Up Summary"}, $B57))) &gt; 0,$B57 &amp; " (" &amp; $E57 &amp; ")",IF(SUMPRODUCT(-- ISNUMBER(SEARCH({"Content","Currency","Number","Percent","Text","URL"}, $B57))) &gt; 0,$B57 &amp; "(" &amp; $C57 &amp; ")",$B57)))), "  ", TRIM(IF($S57 = "YES", "(External ID)", "") &amp; " " &amp; IF(SUMPRODUCT(-- ISNUMBER(SEARCH({"Unique","Unique Case Insensitive"}, $R57))) &gt; 0, "(" &amp; $R57 &amp; ")", ""))))</f>
        <v>na</v>
      </c>
      <c r="E57" s="7" t="s">
        <v>195</v>
      </c>
      <c r="F57" s="7" t="s">
        <v>195</v>
      </c>
      <c r="G57" s="7" t="s">
        <v>195</v>
      </c>
      <c r="H57" s="7" t="s">
        <v>195</v>
      </c>
      <c r="I57" s="7" t="s">
        <v>195</v>
      </c>
      <c r="J57" s="7" t="s">
        <v>195</v>
      </c>
      <c r="K57" s="7" t="s">
        <v>195</v>
      </c>
      <c r="L57" s="7" t="s">
        <v>195</v>
      </c>
      <c r="M57" s="7" t="s">
        <v>29</v>
      </c>
      <c r="N57" s="7" t="s">
        <v>29</v>
      </c>
      <c r="O57" s="7" t="s">
        <v>29</v>
      </c>
      <c r="P57" s="7" t="s">
        <v>29</v>
      </c>
      <c r="Q57" s="7" t="s">
        <v>29</v>
      </c>
      <c r="R57" s="7" t="s">
        <v>29</v>
      </c>
      <c r="S57" s="7" t="s">
        <v>29</v>
      </c>
    </row>
    <row r="58" spans="2:19">
      <c r="B58" s="7" t="s">
        <v>195</v>
      </c>
      <c r="C58" s="8" t="s">
        <v>195</v>
      </c>
      <c r="D58" s="6" t="str">
        <f>LRTRIM(CONCATENATE(IF(SUMPRODUCT(-- ISNUMBER(SEARCH({"Auto Number"}, $B58))) &gt; 0, $B58, IF(SUMPRODUCT(-- ISNUMBER(SEARCH({"Lookup","Master-Detail"}, $B58))) &gt; 0,$B58 &amp; "(" &amp; $E58 &amp; ")",IF(SUMPRODUCT(-- ISNUMBER(SEARCH({"Formula","Roll-Up Summary"}, $B58))) &gt; 0,$B58 &amp; " (" &amp; $E58 &amp; ")",IF(SUMPRODUCT(-- ISNUMBER(SEARCH({"Content","Currency","Number","Percent","Text","URL"}, $B58))) &gt; 0,$B58 &amp; "(" &amp; $C58 &amp; ")",$B58)))), "  ", TRIM(IF($S58 = "YES", "(External ID)", "") &amp; " " &amp; IF(SUMPRODUCT(-- ISNUMBER(SEARCH({"Unique","Unique Case Insensitive"}, $R58))) &gt; 0, "(" &amp; $R58 &amp; ")", ""))))</f>
        <v>na</v>
      </c>
      <c r="E58" s="7" t="s">
        <v>195</v>
      </c>
      <c r="F58" s="7" t="s">
        <v>195</v>
      </c>
      <c r="G58" s="7" t="s">
        <v>195</v>
      </c>
      <c r="H58" s="7" t="s">
        <v>195</v>
      </c>
      <c r="I58" s="7" t="s">
        <v>195</v>
      </c>
      <c r="J58" s="7" t="s">
        <v>195</v>
      </c>
      <c r="K58" s="7" t="s">
        <v>195</v>
      </c>
      <c r="L58" s="7" t="s">
        <v>195</v>
      </c>
      <c r="M58" s="7" t="s">
        <v>29</v>
      </c>
      <c r="N58" s="7" t="s">
        <v>29</v>
      </c>
      <c r="O58" s="7" t="s">
        <v>29</v>
      </c>
      <c r="P58" s="7" t="s">
        <v>29</v>
      </c>
      <c r="Q58" s="7" t="s">
        <v>29</v>
      </c>
      <c r="R58" s="7" t="s">
        <v>29</v>
      </c>
      <c r="S58" s="7" t="s">
        <v>29</v>
      </c>
    </row>
    <row r="59" spans="2:19">
      <c r="B59" s="7" t="s">
        <v>195</v>
      </c>
      <c r="C59" s="8" t="s">
        <v>195</v>
      </c>
      <c r="D59" s="6" t="str">
        <f>LRTRIM(CONCATENATE(IF(SUMPRODUCT(-- ISNUMBER(SEARCH({"Auto Number"}, $B59))) &gt; 0, $B59, IF(SUMPRODUCT(-- ISNUMBER(SEARCH({"Lookup","Master-Detail"}, $B59))) &gt; 0,$B59 &amp; "(" &amp; $E59 &amp; ")",IF(SUMPRODUCT(-- ISNUMBER(SEARCH({"Formula","Roll-Up Summary"}, $B59))) &gt; 0,$B59 &amp; " (" &amp; $E59 &amp; ")",IF(SUMPRODUCT(-- ISNUMBER(SEARCH({"Content","Currency","Number","Percent","Text","URL"}, $B59))) &gt; 0,$B59 &amp; "(" &amp; $C59 &amp; ")",$B59)))), "  ", TRIM(IF($S59 = "YES", "(External ID)", "") &amp; " " &amp; IF(SUMPRODUCT(-- ISNUMBER(SEARCH({"Unique","Unique Case Insensitive"}, $R59))) &gt; 0, "(" &amp; $R59 &amp; ")", ""))))</f>
        <v>na</v>
      </c>
      <c r="E59" s="7" t="s">
        <v>195</v>
      </c>
      <c r="F59" s="7" t="s">
        <v>195</v>
      </c>
      <c r="G59" s="7" t="s">
        <v>195</v>
      </c>
      <c r="H59" s="7" t="s">
        <v>195</v>
      </c>
      <c r="I59" s="7" t="s">
        <v>195</v>
      </c>
      <c r="J59" s="7" t="s">
        <v>195</v>
      </c>
      <c r="K59" s="7" t="s">
        <v>195</v>
      </c>
      <c r="L59" s="7" t="s">
        <v>195</v>
      </c>
      <c r="M59" s="7" t="s">
        <v>29</v>
      </c>
      <c r="N59" s="7" t="s">
        <v>29</v>
      </c>
      <c r="O59" s="7" t="s">
        <v>29</v>
      </c>
      <c r="P59" s="7" t="s">
        <v>29</v>
      </c>
      <c r="Q59" s="7" t="s">
        <v>29</v>
      </c>
      <c r="R59" s="7" t="s">
        <v>29</v>
      </c>
      <c r="S59" s="7" t="s">
        <v>29</v>
      </c>
    </row>
    <row r="60" spans="2:19">
      <c r="B60" s="7" t="s">
        <v>195</v>
      </c>
      <c r="C60" s="8" t="s">
        <v>195</v>
      </c>
      <c r="D60" s="6" t="str">
        <f>LRTRIM(CONCATENATE(IF(SUMPRODUCT(-- ISNUMBER(SEARCH({"Auto Number"}, $B60))) &gt; 0, $B60, IF(SUMPRODUCT(-- ISNUMBER(SEARCH({"Lookup","Master-Detail"}, $B60))) &gt; 0,$B60 &amp; "(" &amp; $E60 &amp; ")",IF(SUMPRODUCT(-- ISNUMBER(SEARCH({"Formula","Roll-Up Summary"}, $B60))) &gt; 0,$B60 &amp; " (" &amp; $E60 &amp; ")",IF(SUMPRODUCT(-- ISNUMBER(SEARCH({"Content","Currency","Number","Percent","Text","URL"}, $B60))) &gt; 0,$B60 &amp; "(" &amp; $C60 &amp; ")",$B60)))), "  ", TRIM(IF($S60 = "YES", "(External ID)", "") &amp; " " &amp; IF(SUMPRODUCT(-- ISNUMBER(SEARCH({"Unique","Unique Case Insensitive"}, $R60))) &gt; 0, "(" &amp; $R60 &amp; ")", ""))))</f>
        <v>na</v>
      </c>
      <c r="E60" s="7" t="s">
        <v>195</v>
      </c>
      <c r="F60" s="7" t="s">
        <v>195</v>
      </c>
      <c r="G60" s="7" t="s">
        <v>195</v>
      </c>
      <c r="H60" s="7" t="s">
        <v>195</v>
      </c>
      <c r="I60" s="7" t="s">
        <v>195</v>
      </c>
      <c r="J60" s="7" t="s">
        <v>195</v>
      </c>
      <c r="K60" s="7" t="s">
        <v>195</v>
      </c>
      <c r="L60" s="7" t="s">
        <v>195</v>
      </c>
      <c r="M60" s="7" t="s">
        <v>29</v>
      </c>
      <c r="N60" s="7" t="s">
        <v>29</v>
      </c>
      <c r="O60" s="7" t="s">
        <v>29</v>
      </c>
      <c r="P60" s="7" t="s">
        <v>29</v>
      </c>
      <c r="Q60" s="7" t="s">
        <v>29</v>
      </c>
      <c r="R60" s="7" t="s">
        <v>29</v>
      </c>
      <c r="S60" s="7" t="s">
        <v>29</v>
      </c>
    </row>
    <row r="61" spans="2:19">
      <c r="B61" s="7" t="s">
        <v>195</v>
      </c>
      <c r="C61" s="8" t="s">
        <v>195</v>
      </c>
      <c r="D61" s="6" t="str">
        <f>LRTRIM(CONCATENATE(IF(SUMPRODUCT(-- ISNUMBER(SEARCH({"Auto Number"}, $B61))) &gt; 0, $B61, IF(SUMPRODUCT(-- ISNUMBER(SEARCH({"Lookup","Master-Detail"}, $B61))) &gt; 0,$B61 &amp; "(" &amp; $E61 &amp; ")",IF(SUMPRODUCT(-- ISNUMBER(SEARCH({"Formula","Roll-Up Summary"}, $B61))) &gt; 0,$B61 &amp; " (" &amp; $E61 &amp; ")",IF(SUMPRODUCT(-- ISNUMBER(SEARCH({"Content","Currency","Number","Percent","Text","URL"}, $B61))) &gt; 0,$B61 &amp; "(" &amp; $C61 &amp; ")",$B61)))), "  ", TRIM(IF($S61 = "YES", "(External ID)", "") &amp; " " &amp; IF(SUMPRODUCT(-- ISNUMBER(SEARCH({"Unique","Unique Case Insensitive"}, $R61))) &gt; 0, "(" &amp; $R61 &amp; ")", ""))))</f>
        <v>na</v>
      </c>
      <c r="E61" s="7" t="s">
        <v>195</v>
      </c>
      <c r="F61" s="7" t="s">
        <v>195</v>
      </c>
      <c r="G61" s="7" t="s">
        <v>195</v>
      </c>
      <c r="H61" s="7" t="s">
        <v>195</v>
      </c>
      <c r="I61" s="7" t="s">
        <v>195</v>
      </c>
      <c r="J61" s="7" t="s">
        <v>195</v>
      </c>
      <c r="K61" s="7" t="s">
        <v>195</v>
      </c>
      <c r="L61" s="7" t="s">
        <v>195</v>
      </c>
      <c r="M61" s="7" t="s">
        <v>29</v>
      </c>
      <c r="N61" s="7" t="s">
        <v>29</v>
      </c>
      <c r="O61" s="7" t="s">
        <v>29</v>
      </c>
      <c r="P61" s="7" t="s">
        <v>29</v>
      </c>
      <c r="Q61" s="7" t="s">
        <v>29</v>
      </c>
      <c r="R61" s="7" t="s">
        <v>29</v>
      </c>
      <c r="S61" s="7" t="s">
        <v>29</v>
      </c>
    </row>
    <row r="62" spans="2:19">
      <c r="B62" s="7" t="s">
        <v>195</v>
      </c>
      <c r="C62" s="8" t="s">
        <v>195</v>
      </c>
      <c r="D62" s="6" t="str">
        <f>LRTRIM(CONCATENATE(IF(SUMPRODUCT(-- ISNUMBER(SEARCH({"Auto Number"}, $B62))) &gt; 0, $B62, IF(SUMPRODUCT(-- ISNUMBER(SEARCH({"Lookup","Master-Detail"}, $B62))) &gt; 0,$B62 &amp; "(" &amp; $E62 &amp; ")",IF(SUMPRODUCT(-- ISNUMBER(SEARCH({"Formula","Roll-Up Summary"}, $B62))) &gt; 0,$B62 &amp; " (" &amp; $E62 &amp; ")",IF(SUMPRODUCT(-- ISNUMBER(SEARCH({"Content","Currency","Number","Percent","Text","URL"}, $B62))) &gt; 0,$B62 &amp; "(" &amp; $C62 &amp; ")",$B62)))), "  ", TRIM(IF($S62 = "YES", "(External ID)", "") &amp; " " &amp; IF(SUMPRODUCT(-- ISNUMBER(SEARCH({"Unique","Unique Case Insensitive"}, $R62))) &gt; 0, "(" &amp; $R62 &amp; ")", ""))))</f>
        <v>na</v>
      </c>
      <c r="E62" s="7" t="s">
        <v>195</v>
      </c>
      <c r="F62" s="7" t="s">
        <v>195</v>
      </c>
      <c r="G62" s="7" t="s">
        <v>195</v>
      </c>
      <c r="H62" s="7" t="s">
        <v>195</v>
      </c>
      <c r="I62" s="7" t="s">
        <v>195</v>
      </c>
      <c r="J62" s="7" t="s">
        <v>195</v>
      </c>
      <c r="K62" s="7" t="s">
        <v>195</v>
      </c>
      <c r="L62" s="7" t="s">
        <v>195</v>
      </c>
      <c r="M62" s="7" t="s">
        <v>29</v>
      </c>
      <c r="N62" s="7" t="s">
        <v>29</v>
      </c>
      <c r="O62" s="7" t="s">
        <v>29</v>
      </c>
      <c r="P62" s="7" t="s">
        <v>29</v>
      </c>
      <c r="Q62" s="7" t="s">
        <v>29</v>
      </c>
      <c r="R62" s="7" t="s">
        <v>29</v>
      </c>
      <c r="S62" s="7" t="s">
        <v>29</v>
      </c>
    </row>
    <row r="63" spans="2:19">
      <c r="B63" s="7" t="s">
        <v>195</v>
      </c>
      <c r="C63" s="8" t="s">
        <v>195</v>
      </c>
      <c r="D63" s="6" t="str">
        <f>LRTRIM(CONCATENATE(IF(SUMPRODUCT(-- ISNUMBER(SEARCH({"Auto Number"}, $B63))) &gt; 0, $B63, IF(SUMPRODUCT(-- ISNUMBER(SEARCH({"Lookup","Master-Detail"}, $B63))) &gt; 0,$B63 &amp; "(" &amp; $E63 &amp; ")",IF(SUMPRODUCT(-- ISNUMBER(SEARCH({"Formula","Roll-Up Summary"}, $B63))) &gt; 0,$B63 &amp; " (" &amp; $E63 &amp; ")",IF(SUMPRODUCT(-- ISNUMBER(SEARCH({"Content","Currency","Number","Percent","Text","URL"}, $B63))) &gt; 0,$B63 &amp; "(" &amp; $C63 &amp; ")",$B63)))), "  ", TRIM(IF($S63 = "YES", "(External ID)", "") &amp; " " &amp; IF(SUMPRODUCT(-- ISNUMBER(SEARCH({"Unique","Unique Case Insensitive"}, $R63))) &gt; 0, "(" &amp; $R63 &amp; ")", ""))))</f>
        <v>na</v>
      </c>
      <c r="E63" s="7" t="s">
        <v>195</v>
      </c>
      <c r="F63" s="7" t="s">
        <v>195</v>
      </c>
      <c r="G63" s="7" t="s">
        <v>195</v>
      </c>
      <c r="H63" s="7" t="s">
        <v>195</v>
      </c>
      <c r="I63" s="7" t="s">
        <v>195</v>
      </c>
      <c r="J63" s="7" t="s">
        <v>195</v>
      </c>
      <c r="K63" s="7" t="s">
        <v>195</v>
      </c>
      <c r="L63" s="7" t="s">
        <v>195</v>
      </c>
      <c r="M63" s="7" t="s">
        <v>29</v>
      </c>
      <c r="N63" s="7" t="s">
        <v>29</v>
      </c>
      <c r="O63" s="7" t="s">
        <v>29</v>
      </c>
      <c r="P63" s="7" t="s">
        <v>29</v>
      </c>
      <c r="Q63" s="7" t="s">
        <v>29</v>
      </c>
      <c r="R63" s="7" t="s">
        <v>29</v>
      </c>
      <c r="S63" s="7" t="s">
        <v>29</v>
      </c>
    </row>
    <row r="64" spans="2:19">
      <c r="B64" s="7" t="s">
        <v>195</v>
      </c>
      <c r="C64" s="8" t="s">
        <v>195</v>
      </c>
      <c r="D64" s="6" t="str">
        <f>LRTRIM(CONCATENATE(IF(SUMPRODUCT(-- ISNUMBER(SEARCH({"Auto Number"}, $B64))) &gt; 0, $B64, IF(SUMPRODUCT(-- ISNUMBER(SEARCH({"Lookup","Master-Detail"}, $B64))) &gt; 0,$B64 &amp; "(" &amp; $E64 &amp; ")",IF(SUMPRODUCT(-- ISNUMBER(SEARCH({"Formula","Roll-Up Summary"}, $B64))) &gt; 0,$B64 &amp; " (" &amp; $E64 &amp; ")",IF(SUMPRODUCT(-- ISNUMBER(SEARCH({"Content","Currency","Number","Percent","Text","URL"}, $B64))) &gt; 0,$B64 &amp; "(" &amp; $C64 &amp; ")",$B64)))), "  ", TRIM(IF($S64 = "YES", "(External ID)", "") &amp; " " &amp; IF(SUMPRODUCT(-- ISNUMBER(SEARCH({"Unique","Unique Case Insensitive"}, $R64))) &gt; 0, "(" &amp; $R64 &amp; ")", ""))))</f>
        <v>na</v>
      </c>
      <c r="E64" s="7" t="s">
        <v>195</v>
      </c>
      <c r="F64" s="7" t="s">
        <v>195</v>
      </c>
      <c r="G64" s="7" t="s">
        <v>195</v>
      </c>
      <c r="H64" s="7" t="s">
        <v>195</v>
      </c>
      <c r="I64" s="7" t="s">
        <v>195</v>
      </c>
      <c r="J64" s="7" t="s">
        <v>195</v>
      </c>
      <c r="K64" s="7" t="s">
        <v>195</v>
      </c>
      <c r="L64" s="7" t="s">
        <v>195</v>
      </c>
      <c r="M64" s="7" t="s">
        <v>29</v>
      </c>
      <c r="N64" s="7" t="s">
        <v>29</v>
      </c>
      <c r="O64" s="7" t="s">
        <v>29</v>
      </c>
      <c r="P64" s="7" t="s">
        <v>29</v>
      </c>
      <c r="Q64" s="7" t="s">
        <v>29</v>
      </c>
      <c r="R64" s="7" t="s">
        <v>29</v>
      </c>
      <c r="S64" s="7" t="s">
        <v>29</v>
      </c>
    </row>
    <row r="65" spans="2:19">
      <c r="B65" s="7" t="s">
        <v>195</v>
      </c>
      <c r="C65" s="8" t="s">
        <v>195</v>
      </c>
      <c r="D65" s="6" t="str">
        <f>LRTRIM(CONCATENATE(IF(SUMPRODUCT(-- ISNUMBER(SEARCH({"Auto Number"}, $B65))) &gt; 0, $B65, IF(SUMPRODUCT(-- ISNUMBER(SEARCH({"Lookup","Master-Detail"}, $B65))) &gt; 0,$B65 &amp; "(" &amp; $E65 &amp; ")",IF(SUMPRODUCT(-- ISNUMBER(SEARCH({"Formula","Roll-Up Summary"}, $B65))) &gt; 0,$B65 &amp; " (" &amp; $E65 &amp; ")",IF(SUMPRODUCT(-- ISNUMBER(SEARCH({"Content","Currency","Number","Percent","Text","URL"}, $B65))) &gt; 0,$B65 &amp; "(" &amp; $C65 &amp; ")",$B65)))), "  ", TRIM(IF($S65 = "YES", "(External ID)", "") &amp; " " &amp; IF(SUMPRODUCT(-- ISNUMBER(SEARCH({"Unique","Unique Case Insensitive"}, $R65))) &gt; 0, "(" &amp; $R65 &amp; ")", ""))))</f>
        <v>na</v>
      </c>
      <c r="E65" s="7" t="s">
        <v>195</v>
      </c>
      <c r="F65" s="7" t="s">
        <v>195</v>
      </c>
      <c r="G65" s="7" t="s">
        <v>195</v>
      </c>
      <c r="H65" s="7" t="s">
        <v>195</v>
      </c>
      <c r="I65" s="7" t="s">
        <v>195</v>
      </c>
      <c r="J65" s="7" t="s">
        <v>195</v>
      </c>
      <c r="K65" s="7" t="s">
        <v>195</v>
      </c>
      <c r="L65" s="7" t="s">
        <v>195</v>
      </c>
      <c r="M65" s="7" t="s">
        <v>29</v>
      </c>
      <c r="N65" s="7" t="s">
        <v>29</v>
      </c>
      <c r="O65" s="7" t="s">
        <v>29</v>
      </c>
      <c r="P65" s="7" t="s">
        <v>29</v>
      </c>
      <c r="Q65" s="7" t="s">
        <v>29</v>
      </c>
      <c r="R65" s="7" t="s">
        <v>29</v>
      </c>
      <c r="S65" s="7" t="s">
        <v>29</v>
      </c>
    </row>
    <row r="66" spans="2:19">
      <c r="B66" s="7" t="s">
        <v>195</v>
      </c>
      <c r="C66" s="8" t="s">
        <v>195</v>
      </c>
      <c r="D66" s="6" t="str">
        <f>LRTRIM(CONCATENATE(IF(SUMPRODUCT(-- ISNUMBER(SEARCH({"Auto Number"}, $B66))) &gt; 0, $B66, IF(SUMPRODUCT(-- ISNUMBER(SEARCH({"Lookup","Master-Detail"}, $B66))) &gt; 0,$B66 &amp; "(" &amp; $E66 &amp; ")",IF(SUMPRODUCT(-- ISNUMBER(SEARCH({"Formula","Roll-Up Summary"}, $B66))) &gt; 0,$B66 &amp; " (" &amp; $E66 &amp; ")",IF(SUMPRODUCT(-- ISNUMBER(SEARCH({"Content","Currency","Number","Percent","Text","URL"}, $B66))) &gt; 0,$B66 &amp; "(" &amp; $C66 &amp; ")",$B66)))), "  ", TRIM(IF($S66 = "YES", "(External ID)", "") &amp; " " &amp; IF(SUMPRODUCT(-- ISNUMBER(SEARCH({"Unique","Unique Case Insensitive"}, $R66))) &gt; 0, "(" &amp; $R66 &amp; ")", ""))))</f>
        <v>na</v>
      </c>
      <c r="E66" s="7" t="s">
        <v>195</v>
      </c>
      <c r="F66" s="7" t="s">
        <v>195</v>
      </c>
      <c r="G66" s="7" t="s">
        <v>195</v>
      </c>
      <c r="H66" s="7" t="s">
        <v>195</v>
      </c>
      <c r="I66" s="7" t="s">
        <v>195</v>
      </c>
      <c r="J66" s="7" t="s">
        <v>195</v>
      </c>
      <c r="K66" s="7" t="s">
        <v>195</v>
      </c>
      <c r="L66" s="7" t="s">
        <v>195</v>
      </c>
      <c r="M66" s="7" t="s">
        <v>29</v>
      </c>
      <c r="N66" s="7" t="s">
        <v>29</v>
      </c>
      <c r="O66" s="7" t="s">
        <v>29</v>
      </c>
      <c r="P66" s="7" t="s">
        <v>29</v>
      </c>
      <c r="Q66" s="7" t="s">
        <v>29</v>
      </c>
      <c r="R66" s="7" t="s">
        <v>29</v>
      </c>
      <c r="S66" s="7" t="s">
        <v>29</v>
      </c>
    </row>
    <row r="67" spans="2:19">
      <c r="B67" s="7" t="s">
        <v>195</v>
      </c>
      <c r="C67" s="8" t="s">
        <v>195</v>
      </c>
      <c r="D67" s="6" t="str">
        <f>LRTRIM(CONCATENATE(IF(SUMPRODUCT(-- ISNUMBER(SEARCH({"Auto Number"}, $B67))) &gt; 0, $B67, IF(SUMPRODUCT(-- ISNUMBER(SEARCH({"Lookup","Master-Detail"}, $B67))) &gt; 0,$B67 &amp; "(" &amp; $E67 &amp; ")",IF(SUMPRODUCT(-- ISNUMBER(SEARCH({"Formula","Roll-Up Summary"}, $B67))) &gt; 0,$B67 &amp; " (" &amp; $E67 &amp; ")",IF(SUMPRODUCT(-- ISNUMBER(SEARCH({"Content","Currency","Number","Percent","Text","URL"}, $B67))) &gt; 0,$B67 &amp; "(" &amp; $C67 &amp; ")",$B67)))), "  ", TRIM(IF($S67 = "YES", "(External ID)", "") &amp; " " &amp; IF(SUMPRODUCT(-- ISNUMBER(SEARCH({"Unique","Unique Case Insensitive"}, $R67))) &gt; 0, "(" &amp; $R67 &amp; ")", ""))))</f>
        <v>na</v>
      </c>
      <c r="E67" s="7" t="s">
        <v>195</v>
      </c>
      <c r="F67" s="7" t="s">
        <v>195</v>
      </c>
      <c r="G67" s="7" t="s">
        <v>195</v>
      </c>
      <c r="H67" s="7" t="s">
        <v>195</v>
      </c>
      <c r="I67" s="7" t="s">
        <v>195</v>
      </c>
      <c r="J67" s="7" t="s">
        <v>195</v>
      </c>
      <c r="K67" s="7" t="s">
        <v>195</v>
      </c>
      <c r="L67" s="7" t="s">
        <v>195</v>
      </c>
      <c r="M67" s="7" t="s">
        <v>29</v>
      </c>
      <c r="N67" s="7" t="s">
        <v>29</v>
      </c>
      <c r="O67" s="7" t="s">
        <v>29</v>
      </c>
      <c r="P67" s="7" t="s">
        <v>29</v>
      </c>
      <c r="Q67" s="7" t="s">
        <v>29</v>
      </c>
      <c r="R67" s="7" t="s">
        <v>29</v>
      </c>
      <c r="S67" s="7" t="s">
        <v>29</v>
      </c>
    </row>
    <row r="68" spans="2:19">
      <c r="B68" s="7" t="s">
        <v>195</v>
      </c>
      <c r="C68" s="8" t="s">
        <v>195</v>
      </c>
      <c r="D68" s="6" t="str">
        <f>LRTRIM(CONCATENATE(IF(SUMPRODUCT(-- ISNUMBER(SEARCH({"Auto Number"}, $B68))) &gt; 0, $B68, IF(SUMPRODUCT(-- ISNUMBER(SEARCH({"Lookup","Master-Detail"}, $B68))) &gt; 0,$B68 &amp; "(" &amp; $E68 &amp; ")",IF(SUMPRODUCT(-- ISNUMBER(SEARCH({"Formula","Roll-Up Summary"}, $B68))) &gt; 0,$B68 &amp; " (" &amp; $E68 &amp; ")",IF(SUMPRODUCT(-- ISNUMBER(SEARCH({"Content","Currency","Number","Percent","Text","URL"}, $B68))) &gt; 0,$B68 &amp; "(" &amp; $C68 &amp; ")",$B68)))), "  ", TRIM(IF($S68 = "YES", "(External ID)", "") &amp; " " &amp; IF(SUMPRODUCT(-- ISNUMBER(SEARCH({"Unique","Unique Case Insensitive"}, $R68))) &gt; 0, "(" &amp; $R68 &amp; ")", ""))))</f>
        <v>na</v>
      </c>
      <c r="E68" s="7" t="s">
        <v>195</v>
      </c>
      <c r="F68" s="7" t="s">
        <v>195</v>
      </c>
      <c r="G68" s="7" t="s">
        <v>195</v>
      </c>
      <c r="H68" s="7" t="s">
        <v>195</v>
      </c>
      <c r="I68" s="7" t="s">
        <v>195</v>
      </c>
      <c r="J68" s="7" t="s">
        <v>195</v>
      </c>
      <c r="K68" s="7" t="s">
        <v>195</v>
      </c>
      <c r="L68" s="7" t="s">
        <v>195</v>
      </c>
      <c r="M68" s="7" t="s">
        <v>29</v>
      </c>
      <c r="N68" s="7" t="s">
        <v>29</v>
      </c>
      <c r="O68" s="7" t="s">
        <v>29</v>
      </c>
      <c r="P68" s="7" t="s">
        <v>29</v>
      </c>
      <c r="Q68" s="7" t="s">
        <v>29</v>
      </c>
      <c r="R68" s="7" t="s">
        <v>29</v>
      </c>
      <c r="S68" s="7" t="s">
        <v>29</v>
      </c>
    </row>
    <row r="69" spans="2:19">
      <c r="B69" s="7" t="s">
        <v>195</v>
      </c>
      <c r="C69" s="8" t="s">
        <v>195</v>
      </c>
      <c r="D69" s="6" t="str">
        <f>LRTRIM(CONCATENATE(IF(SUMPRODUCT(-- ISNUMBER(SEARCH({"Auto Number"}, $B69))) &gt; 0, $B69, IF(SUMPRODUCT(-- ISNUMBER(SEARCH({"Lookup","Master-Detail"}, $B69))) &gt; 0,$B69 &amp; "(" &amp; $E69 &amp; ")",IF(SUMPRODUCT(-- ISNUMBER(SEARCH({"Formula","Roll-Up Summary"}, $B69))) &gt; 0,$B69 &amp; " (" &amp; $E69 &amp; ")",IF(SUMPRODUCT(-- ISNUMBER(SEARCH({"Content","Currency","Number","Percent","Text","URL"}, $B69))) &gt; 0,$B69 &amp; "(" &amp; $C69 &amp; ")",$B69)))), "  ", TRIM(IF($S69 = "YES", "(External ID)", "") &amp; " " &amp; IF(SUMPRODUCT(-- ISNUMBER(SEARCH({"Unique","Unique Case Insensitive"}, $R69))) &gt; 0, "(" &amp; $R69 &amp; ")", ""))))</f>
        <v>na</v>
      </c>
      <c r="E69" s="7" t="s">
        <v>195</v>
      </c>
      <c r="F69" s="7" t="s">
        <v>195</v>
      </c>
      <c r="G69" s="7" t="s">
        <v>195</v>
      </c>
      <c r="H69" s="7" t="s">
        <v>195</v>
      </c>
      <c r="I69" s="7" t="s">
        <v>195</v>
      </c>
      <c r="J69" s="7" t="s">
        <v>195</v>
      </c>
      <c r="K69" s="7" t="s">
        <v>195</v>
      </c>
      <c r="L69" s="7" t="s">
        <v>195</v>
      </c>
      <c r="M69" s="7" t="s">
        <v>29</v>
      </c>
      <c r="N69" s="7" t="s">
        <v>29</v>
      </c>
      <c r="O69" s="7" t="s">
        <v>29</v>
      </c>
      <c r="P69" s="7" t="s">
        <v>29</v>
      </c>
      <c r="Q69" s="7" t="s">
        <v>29</v>
      </c>
      <c r="R69" s="7" t="s">
        <v>29</v>
      </c>
      <c r="S69" s="7" t="s">
        <v>29</v>
      </c>
    </row>
    <row r="70" spans="2:19">
      <c r="B70" s="7" t="s">
        <v>195</v>
      </c>
      <c r="C70" s="8" t="s">
        <v>195</v>
      </c>
      <c r="D70" s="6" t="str">
        <f>LRTRIM(CONCATENATE(IF(SUMPRODUCT(-- ISNUMBER(SEARCH({"Auto Number"}, $B70))) &gt; 0, $B70, IF(SUMPRODUCT(-- ISNUMBER(SEARCH({"Lookup","Master-Detail"}, $B70))) &gt; 0,$B70 &amp; "(" &amp; $E70 &amp; ")",IF(SUMPRODUCT(-- ISNUMBER(SEARCH({"Formula","Roll-Up Summary"}, $B70))) &gt; 0,$B70 &amp; " (" &amp; $E70 &amp; ")",IF(SUMPRODUCT(-- ISNUMBER(SEARCH({"Content","Currency","Number","Percent","Text","URL"}, $B70))) &gt; 0,$B70 &amp; "(" &amp; $C70 &amp; ")",$B70)))), "  ", TRIM(IF($S70 = "YES", "(External ID)", "") &amp; " " &amp; IF(SUMPRODUCT(-- ISNUMBER(SEARCH({"Unique","Unique Case Insensitive"}, $R70))) &gt; 0, "(" &amp; $R70 &amp; ")", ""))))</f>
        <v>na</v>
      </c>
      <c r="E70" s="7" t="s">
        <v>195</v>
      </c>
      <c r="F70" s="7" t="s">
        <v>195</v>
      </c>
      <c r="G70" s="7" t="s">
        <v>195</v>
      </c>
      <c r="H70" s="7" t="s">
        <v>195</v>
      </c>
      <c r="I70" s="7" t="s">
        <v>195</v>
      </c>
      <c r="J70" s="7" t="s">
        <v>195</v>
      </c>
      <c r="K70" s="7" t="s">
        <v>195</v>
      </c>
      <c r="L70" s="7" t="s">
        <v>195</v>
      </c>
      <c r="M70" s="7" t="s">
        <v>29</v>
      </c>
      <c r="N70" s="7" t="s">
        <v>29</v>
      </c>
      <c r="O70" s="7" t="s">
        <v>29</v>
      </c>
      <c r="P70" s="7" t="s">
        <v>29</v>
      </c>
      <c r="Q70" s="7" t="s">
        <v>29</v>
      </c>
      <c r="R70" s="7" t="s">
        <v>29</v>
      </c>
      <c r="S70" s="7" t="s">
        <v>29</v>
      </c>
    </row>
    <row r="71" spans="2:19">
      <c r="B71" s="7" t="s">
        <v>195</v>
      </c>
      <c r="C71" s="8" t="s">
        <v>195</v>
      </c>
      <c r="D71" s="6" t="str">
        <f>LRTRIM(CONCATENATE(IF(SUMPRODUCT(-- ISNUMBER(SEARCH({"Auto Number"}, $B71))) &gt; 0, $B71, IF(SUMPRODUCT(-- ISNUMBER(SEARCH({"Lookup","Master-Detail"}, $B71))) &gt; 0,$B71 &amp; "(" &amp; $E71 &amp; ")",IF(SUMPRODUCT(-- ISNUMBER(SEARCH({"Formula","Roll-Up Summary"}, $B71))) &gt; 0,$B71 &amp; " (" &amp; $E71 &amp; ")",IF(SUMPRODUCT(-- ISNUMBER(SEARCH({"Content","Currency","Number","Percent","Text","URL"}, $B71))) &gt; 0,$B71 &amp; "(" &amp; $C71 &amp; ")",$B71)))), "  ", TRIM(IF($S71 = "YES", "(External ID)", "") &amp; " " &amp; IF(SUMPRODUCT(-- ISNUMBER(SEARCH({"Unique","Unique Case Insensitive"}, $R71))) &gt; 0, "(" &amp; $R71 &amp; ")", ""))))</f>
        <v>na</v>
      </c>
      <c r="E71" s="7" t="s">
        <v>195</v>
      </c>
      <c r="F71" s="7" t="s">
        <v>195</v>
      </c>
      <c r="G71" s="7" t="s">
        <v>195</v>
      </c>
      <c r="H71" s="7" t="s">
        <v>195</v>
      </c>
      <c r="I71" s="7" t="s">
        <v>195</v>
      </c>
      <c r="J71" s="7" t="s">
        <v>195</v>
      </c>
      <c r="K71" s="7" t="s">
        <v>195</v>
      </c>
      <c r="L71" s="7" t="s">
        <v>195</v>
      </c>
      <c r="M71" s="7" t="s">
        <v>29</v>
      </c>
      <c r="N71" s="7" t="s">
        <v>29</v>
      </c>
      <c r="O71" s="7" t="s">
        <v>29</v>
      </c>
      <c r="P71" s="7" t="s">
        <v>29</v>
      </c>
      <c r="Q71" s="7" t="s">
        <v>29</v>
      </c>
      <c r="R71" s="7" t="s">
        <v>29</v>
      </c>
      <c r="S71" s="7" t="s">
        <v>29</v>
      </c>
    </row>
    <row r="72" spans="2:19">
      <c r="B72" s="7" t="s">
        <v>195</v>
      </c>
      <c r="C72" s="8" t="s">
        <v>195</v>
      </c>
      <c r="D72" s="6" t="str">
        <f>LRTRIM(CONCATENATE(IF(SUMPRODUCT(-- ISNUMBER(SEARCH({"Auto Number"}, $B72))) &gt; 0, $B72, IF(SUMPRODUCT(-- ISNUMBER(SEARCH({"Lookup","Master-Detail"}, $B72))) &gt; 0,$B72 &amp; "(" &amp; $E72 &amp; ")",IF(SUMPRODUCT(-- ISNUMBER(SEARCH({"Formula","Roll-Up Summary"}, $B72))) &gt; 0,$B72 &amp; " (" &amp; $E72 &amp; ")",IF(SUMPRODUCT(-- ISNUMBER(SEARCH({"Content","Currency","Number","Percent","Text","URL"}, $B72))) &gt; 0,$B72 &amp; "(" &amp; $C72 &amp; ")",$B72)))), "  ", TRIM(IF($S72 = "YES", "(External ID)", "") &amp; " " &amp; IF(SUMPRODUCT(-- ISNUMBER(SEARCH({"Unique","Unique Case Insensitive"}, $R72))) &gt; 0, "(" &amp; $R72 &amp; ")", ""))))</f>
        <v>na</v>
      </c>
      <c r="E72" s="7" t="s">
        <v>195</v>
      </c>
      <c r="F72" s="7" t="s">
        <v>195</v>
      </c>
      <c r="G72" s="7" t="s">
        <v>195</v>
      </c>
      <c r="H72" s="7" t="s">
        <v>195</v>
      </c>
      <c r="I72" s="7" t="s">
        <v>195</v>
      </c>
      <c r="J72" s="7" t="s">
        <v>195</v>
      </c>
      <c r="K72" s="7" t="s">
        <v>195</v>
      </c>
      <c r="L72" s="7" t="s">
        <v>195</v>
      </c>
      <c r="M72" s="7" t="s">
        <v>29</v>
      </c>
      <c r="N72" s="7" t="s">
        <v>29</v>
      </c>
      <c r="O72" s="7" t="s">
        <v>29</v>
      </c>
      <c r="P72" s="7" t="s">
        <v>29</v>
      </c>
      <c r="Q72" s="7" t="s">
        <v>29</v>
      </c>
      <c r="R72" s="7" t="s">
        <v>29</v>
      </c>
      <c r="S72" s="7" t="s">
        <v>29</v>
      </c>
    </row>
    <row r="73" spans="2:19">
      <c r="B73" s="7" t="s">
        <v>195</v>
      </c>
      <c r="C73" s="8" t="s">
        <v>195</v>
      </c>
      <c r="D73" s="6" t="str">
        <f>LRTRIM(CONCATENATE(IF(SUMPRODUCT(-- ISNUMBER(SEARCH({"Auto Number"}, $B73))) &gt; 0, $B73, IF(SUMPRODUCT(-- ISNUMBER(SEARCH({"Lookup","Master-Detail"}, $B73))) &gt; 0,$B73 &amp; "(" &amp; $E73 &amp; ")",IF(SUMPRODUCT(-- ISNUMBER(SEARCH({"Formula","Roll-Up Summary"}, $B73))) &gt; 0,$B73 &amp; " (" &amp; $E73 &amp; ")",IF(SUMPRODUCT(-- ISNUMBER(SEARCH({"Content","Currency","Number","Percent","Text","URL"}, $B73))) &gt; 0,$B73 &amp; "(" &amp; $C73 &amp; ")",$B73)))), "  ", TRIM(IF($S73 = "YES", "(External ID)", "") &amp; " " &amp; IF(SUMPRODUCT(-- ISNUMBER(SEARCH({"Unique","Unique Case Insensitive"}, $R73))) &gt; 0, "(" &amp; $R73 &amp; ")", ""))))</f>
        <v>na</v>
      </c>
      <c r="E73" s="7" t="s">
        <v>195</v>
      </c>
      <c r="F73" s="7" t="s">
        <v>195</v>
      </c>
      <c r="G73" s="7" t="s">
        <v>195</v>
      </c>
      <c r="H73" s="7" t="s">
        <v>195</v>
      </c>
      <c r="I73" s="7" t="s">
        <v>195</v>
      </c>
      <c r="J73" s="7" t="s">
        <v>195</v>
      </c>
      <c r="K73" s="7" t="s">
        <v>195</v>
      </c>
      <c r="L73" s="7" t="s">
        <v>195</v>
      </c>
      <c r="M73" s="7" t="s">
        <v>29</v>
      </c>
      <c r="N73" s="7" t="s">
        <v>29</v>
      </c>
      <c r="O73" s="7" t="s">
        <v>29</v>
      </c>
      <c r="P73" s="7" t="s">
        <v>29</v>
      </c>
      <c r="Q73" s="7" t="s">
        <v>29</v>
      </c>
      <c r="R73" s="7" t="s">
        <v>29</v>
      </c>
      <c r="S73" s="7" t="s">
        <v>29</v>
      </c>
    </row>
    <row r="74" spans="2:19">
      <c r="B74" s="7" t="s">
        <v>195</v>
      </c>
      <c r="C74" s="8" t="s">
        <v>195</v>
      </c>
      <c r="D74" s="6" t="str">
        <f>LRTRIM(CONCATENATE(IF(SUMPRODUCT(-- ISNUMBER(SEARCH({"Auto Number"}, $B74))) &gt; 0, $B74, IF(SUMPRODUCT(-- ISNUMBER(SEARCH({"Lookup","Master-Detail"}, $B74))) &gt; 0,$B74 &amp; "(" &amp; $E74 &amp; ")",IF(SUMPRODUCT(-- ISNUMBER(SEARCH({"Formula","Roll-Up Summary"}, $B74))) &gt; 0,$B74 &amp; " (" &amp; $E74 &amp; ")",IF(SUMPRODUCT(-- ISNUMBER(SEARCH({"Content","Currency","Number","Percent","Text","URL"}, $B74))) &gt; 0,$B74 &amp; "(" &amp; $C74 &amp; ")",$B74)))), "  ", TRIM(IF($S74 = "YES", "(External ID)", "") &amp; " " &amp; IF(SUMPRODUCT(-- ISNUMBER(SEARCH({"Unique","Unique Case Insensitive"}, $R74))) &gt; 0, "(" &amp; $R74 &amp; ")", ""))))</f>
        <v>na</v>
      </c>
      <c r="E74" s="7" t="s">
        <v>195</v>
      </c>
      <c r="F74" s="7" t="s">
        <v>195</v>
      </c>
      <c r="G74" s="7" t="s">
        <v>195</v>
      </c>
      <c r="H74" s="7" t="s">
        <v>195</v>
      </c>
      <c r="I74" s="7" t="s">
        <v>195</v>
      </c>
      <c r="J74" s="7" t="s">
        <v>195</v>
      </c>
      <c r="K74" s="7" t="s">
        <v>195</v>
      </c>
      <c r="L74" s="7" t="s">
        <v>195</v>
      </c>
      <c r="M74" s="7" t="s">
        <v>29</v>
      </c>
      <c r="N74" s="7" t="s">
        <v>29</v>
      </c>
      <c r="O74" s="7" t="s">
        <v>29</v>
      </c>
      <c r="P74" s="7" t="s">
        <v>29</v>
      </c>
      <c r="Q74" s="7" t="s">
        <v>29</v>
      </c>
      <c r="R74" s="7" t="s">
        <v>29</v>
      </c>
      <c r="S74" s="7" t="s">
        <v>29</v>
      </c>
    </row>
    <row r="75" spans="2:19">
      <c r="B75" s="7" t="s">
        <v>195</v>
      </c>
      <c r="C75" s="8" t="s">
        <v>195</v>
      </c>
      <c r="D75" s="6" t="str">
        <f>LRTRIM(CONCATENATE(IF(SUMPRODUCT(-- ISNUMBER(SEARCH({"Auto Number"}, $B75))) &gt; 0, $B75, IF(SUMPRODUCT(-- ISNUMBER(SEARCH({"Lookup","Master-Detail"}, $B75))) &gt; 0,$B75 &amp; "(" &amp; $E75 &amp; ")",IF(SUMPRODUCT(-- ISNUMBER(SEARCH({"Formula","Roll-Up Summary"}, $B75))) &gt; 0,$B75 &amp; " (" &amp; $E75 &amp; ")",IF(SUMPRODUCT(-- ISNUMBER(SEARCH({"Content","Currency","Number","Percent","Text","URL"}, $B75))) &gt; 0,$B75 &amp; "(" &amp; $C75 &amp; ")",$B75)))), "  ", TRIM(IF($S75 = "YES", "(External ID)", "") &amp; " " &amp; IF(SUMPRODUCT(-- ISNUMBER(SEARCH({"Unique","Unique Case Insensitive"}, $R75))) &gt; 0, "(" &amp; $R75 &amp; ")", ""))))</f>
        <v>na</v>
      </c>
      <c r="E75" s="7" t="s">
        <v>195</v>
      </c>
      <c r="F75" s="7" t="s">
        <v>195</v>
      </c>
      <c r="G75" s="7" t="s">
        <v>195</v>
      </c>
      <c r="H75" s="7" t="s">
        <v>195</v>
      </c>
      <c r="I75" s="7" t="s">
        <v>195</v>
      </c>
      <c r="J75" s="7" t="s">
        <v>195</v>
      </c>
      <c r="K75" s="7" t="s">
        <v>195</v>
      </c>
      <c r="L75" s="7" t="s">
        <v>195</v>
      </c>
      <c r="M75" s="7" t="s">
        <v>29</v>
      </c>
      <c r="N75" s="7" t="s">
        <v>29</v>
      </c>
      <c r="O75" s="7" t="s">
        <v>29</v>
      </c>
      <c r="P75" s="7" t="s">
        <v>29</v>
      </c>
      <c r="Q75" s="7" t="s">
        <v>29</v>
      </c>
      <c r="R75" s="7" t="s">
        <v>29</v>
      </c>
      <c r="S75" s="7" t="s">
        <v>29</v>
      </c>
    </row>
    <row r="76" spans="2:19">
      <c r="B76" s="7" t="s">
        <v>195</v>
      </c>
      <c r="C76" s="8" t="s">
        <v>195</v>
      </c>
      <c r="D76" s="6" t="str">
        <f>LRTRIM(CONCATENATE(IF(SUMPRODUCT(-- ISNUMBER(SEARCH({"Auto Number"}, $B76))) &gt; 0, $B76, IF(SUMPRODUCT(-- ISNUMBER(SEARCH({"Lookup","Master-Detail"}, $B76))) &gt; 0,$B76 &amp; "(" &amp; $E76 &amp; ")",IF(SUMPRODUCT(-- ISNUMBER(SEARCH({"Formula","Roll-Up Summary"}, $B76))) &gt; 0,$B76 &amp; " (" &amp; $E76 &amp; ")",IF(SUMPRODUCT(-- ISNUMBER(SEARCH({"Content","Currency","Number","Percent","Text","URL"}, $B76))) &gt; 0,$B76 &amp; "(" &amp; $C76 &amp; ")",$B76)))), "  ", TRIM(IF($S76 = "YES", "(External ID)", "") &amp; " " &amp; IF(SUMPRODUCT(-- ISNUMBER(SEARCH({"Unique","Unique Case Insensitive"}, $R76))) &gt; 0, "(" &amp; $R76 &amp; ")", ""))))</f>
        <v>na</v>
      </c>
      <c r="E76" s="7" t="s">
        <v>195</v>
      </c>
      <c r="F76" s="7" t="s">
        <v>195</v>
      </c>
      <c r="G76" s="7" t="s">
        <v>195</v>
      </c>
      <c r="H76" s="7" t="s">
        <v>195</v>
      </c>
      <c r="I76" s="7" t="s">
        <v>195</v>
      </c>
      <c r="J76" s="7" t="s">
        <v>195</v>
      </c>
      <c r="K76" s="7" t="s">
        <v>195</v>
      </c>
      <c r="L76" s="7" t="s">
        <v>195</v>
      </c>
      <c r="M76" s="7" t="s">
        <v>29</v>
      </c>
      <c r="N76" s="7" t="s">
        <v>29</v>
      </c>
      <c r="O76" s="7" t="s">
        <v>29</v>
      </c>
      <c r="P76" s="7" t="s">
        <v>29</v>
      </c>
      <c r="Q76" s="7" t="s">
        <v>29</v>
      </c>
      <c r="R76" s="7" t="s">
        <v>29</v>
      </c>
      <c r="S76" s="7" t="s">
        <v>29</v>
      </c>
    </row>
    <row r="77" spans="2:19">
      <c r="B77" s="7" t="s">
        <v>195</v>
      </c>
      <c r="C77" s="8" t="s">
        <v>195</v>
      </c>
      <c r="D77" s="6" t="str">
        <f>LRTRIM(CONCATENATE(IF(SUMPRODUCT(-- ISNUMBER(SEARCH({"Auto Number"}, $B77))) &gt; 0, $B77, IF(SUMPRODUCT(-- ISNUMBER(SEARCH({"Lookup","Master-Detail"}, $B77))) &gt; 0,$B77 &amp; "(" &amp; $E77 &amp; ")",IF(SUMPRODUCT(-- ISNUMBER(SEARCH({"Formula","Roll-Up Summary"}, $B77))) &gt; 0,$B77 &amp; " (" &amp; $E77 &amp; ")",IF(SUMPRODUCT(-- ISNUMBER(SEARCH({"Content","Currency","Number","Percent","Text","URL"}, $B77))) &gt; 0,$B77 &amp; "(" &amp; $C77 &amp; ")",$B77)))), "  ", TRIM(IF($S77 = "YES", "(External ID)", "") &amp; " " &amp; IF(SUMPRODUCT(-- ISNUMBER(SEARCH({"Unique","Unique Case Insensitive"}, $R77))) &gt; 0, "(" &amp; $R77 &amp; ")", ""))))</f>
        <v>na</v>
      </c>
      <c r="E77" s="7" t="s">
        <v>195</v>
      </c>
      <c r="F77" s="7" t="s">
        <v>195</v>
      </c>
      <c r="G77" s="7" t="s">
        <v>195</v>
      </c>
      <c r="H77" s="7" t="s">
        <v>195</v>
      </c>
      <c r="I77" s="7" t="s">
        <v>195</v>
      </c>
      <c r="J77" s="7" t="s">
        <v>195</v>
      </c>
      <c r="K77" s="7" t="s">
        <v>195</v>
      </c>
      <c r="L77" s="7" t="s">
        <v>195</v>
      </c>
      <c r="M77" s="7" t="s">
        <v>29</v>
      </c>
      <c r="N77" s="7" t="s">
        <v>29</v>
      </c>
      <c r="O77" s="7" t="s">
        <v>29</v>
      </c>
      <c r="P77" s="7" t="s">
        <v>29</v>
      </c>
      <c r="Q77" s="7" t="s">
        <v>29</v>
      </c>
      <c r="R77" s="7" t="s">
        <v>29</v>
      </c>
      <c r="S77" s="7" t="s">
        <v>29</v>
      </c>
    </row>
    <row r="78" spans="2:19">
      <c r="B78" s="7" t="s">
        <v>195</v>
      </c>
      <c r="C78" s="8" t="s">
        <v>195</v>
      </c>
      <c r="D78" s="6" t="str">
        <f>LRTRIM(CONCATENATE(IF(SUMPRODUCT(-- ISNUMBER(SEARCH({"Auto Number"}, $B78))) &gt; 0, $B78, IF(SUMPRODUCT(-- ISNUMBER(SEARCH({"Lookup","Master-Detail"}, $B78))) &gt; 0,$B78 &amp; "(" &amp; $E78 &amp; ")",IF(SUMPRODUCT(-- ISNUMBER(SEARCH({"Formula","Roll-Up Summary"}, $B78))) &gt; 0,$B78 &amp; " (" &amp; $E78 &amp; ")",IF(SUMPRODUCT(-- ISNUMBER(SEARCH({"Content","Currency","Number","Percent","Text","URL"}, $B78))) &gt; 0,$B78 &amp; "(" &amp; $C78 &amp; ")",$B78)))), "  ", TRIM(IF($S78 = "YES", "(External ID)", "") &amp; " " &amp; IF(SUMPRODUCT(-- ISNUMBER(SEARCH({"Unique","Unique Case Insensitive"}, $R78))) &gt; 0, "(" &amp; $R78 &amp; ")", ""))))</f>
        <v>na</v>
      </c>
      <c r="E78" s="7" t="s">
        <v>195</v>
      </c>
      <c r="F78" s="7" t="s">
        <v>195</v>
      </c>
      <c r="G78" s="7" t="s">
        <v>195</v>
      </c>
      <c r="H78" s="7" t="s">
        <v>195</v>
      </c>
      <c r="I78" s="7" t="s">
        <v>195</v>
      </c>
      <c r="J78" s="7" t="s">
        <v>195</v>
      </c>
      <c r="K78" s="7" t="s">
        <v>195</v>
      </c>
      <c r="L78" s="7" t="s">
        <v>195</v>
      </c>
      <c r="M78" s="7" t="s">
        <v>29</v>
      </c>
      <c r="N78" s="7" t="s">
        <v>29</v>
      </c>
      <c r="O78" s="7" t="s">
        <v>29</v>
      </c>
      <c r="P78" s="7" t="s">
        <v>29</v>
      </c>
      <c r="Q78" s="7" t="s">
        <v>29</v>
      </c>
      <c r="R78" s="7" t="s">
        <v>29</v>
      </c>
      <c r="S78" s="7" t="s">
        <v>29</v>
      </c>
    </row>
    <row r="79" spans="2:19">
      <c r="B79" s="7" t="s">
        <v>195</v>
      </c>
      <c r="C79" s="8" t="s">
        <v>195</v>
      </c>
      <c r="D79" s="6" t="str">
        <f>LRTRIM(CONCATENATE(IF(SUMPRODUCT(-- ISNUMBER(SEARCH({"Auto Number"}, $B79))) &gt; 0, $B79, IF(SUMPRODUCT(-- ISNUMBER(SEARCH({"Lookup","Master-Detail"}, $B79))) &gt; 0,$B79 &amp; "(" &amp; $E79 &amp; ")",IF(SUMPRODUCT(-- ISNUMBER(SEARCH({"Formula","Roll-Up Summary"}, $B79))) &gt; 0,$B79 &amp; " (" &amp; $E79 &amp; ")",IF(SUMPRODUCT(-- ISNUMBER(SEARCH({"Content","Currency","Number","Percent","Text","URL"}, $B79))) &gt; 0,$B79 &amp; "(" &amp; $C79 &amp; ")",$B79)))), "  ", TRIM(IF($S79 = "YES", "(External ID)", "") &amp; " " &amp; IF(SUMPRODUCT(-- ISNUMBER(SEARCH({"Unique","Unique Case Insensitive"}, $R79))) &gt; 0, "(" &amp; $R79 &amp; ")", ""))))</f>
        <v>na</v>
      </c>
      <c r="E79" s="7" t="s">
        <v>195</v>
      </c>
      <c r="F79" s="7" t="s">
        <v>195</v>
      </c>
      <c r="G79" s="7" t="s">
        <v>195</v>
      </c>
      <c r="H79" s="7" t="s">
        <v>195</v>
      </c>
      <c r="I79" s="7" t="s">
        <v>195</v>
      </c>
      <c r="J79" s="7" t="s">
        <v>195</v>
      </c>
      <c r="K79" s="7" t="s">
        <v>195</v>
      </c>
      <c r="L79" s="7" t="s">
        <v>195</v>
      </c>
      <c r="M79" s="7" t="s">
        <v>29</v>
      </c>
      <c r="N79" s="7" t="s">
        <v>29</v>
      </c>
      <c r="O79" s="7" t="s">
        <v>29</v>
      </c>
      <c r="P79" s="7" t="s">
        <v>29</v>
      </c>
      <c r="Q79" s="7" t="s">
        <v>29</v>
      </c>
      <c r="R79" s="7" t="s">
        <v>29</v>
      </c>
      <c r="S79" s="7" t="s">
        <v>29</v>
      </c>
    </row>
    <row r="80" spans="2:19">
      <c r="B80" s="7" t="s">
        <v>195</v>
      </c>
      <c r="C80" s="8" t="s">
        <v>195</v>
      </c>
      <c r="D80" s="6" t="str">
        <f>LRTRIM(CONCATENATE(IF(SUMPRODUCT(-- ISNUMBER(SEARCH({"Auto Number"}, $B80))) &gt; 0, $B80, IF(SUMPRODUCT(-- ISNUMBER(SEARCH({"Lookup","Master-Detail"}, $B80))) &gt; 0,$B80 &amp; "(" &amp; $E80 &amp; ")",IF(SUMPRODUCT(-- ISNUMBER(SEARCH({"Formula","Roll-Up Summary"}, $B80))) &gt; 0,$B80 &amp; " (" &amp; $E80 &amp; ")",IF(SUMPRODUCT(-- ISNUMBER(SEARCH({"Content","Currency","Number","Percent","Text","URL"}, $B80))) &gt; 0,$B80 &amp; "(" &amp; $C80 &amp; ")",$B80)))), "  ", TRIM(IF($S80 = "YES", "(External ID)", "") &amp; " " &amp; IF(SUMPRODUCT(-- ISNUMBER(SEARCH({"Unique","Unique Case Insensitive"}, $R80))) &gt; 0, "(" &amp; $R80 &amp; ")", ""))))</f>
        <v>na</v>
      </c>
      <c r="E80" s="7" t="s">
        <v>195</v>
      </c>
      <c r="F80" s="7" t="s">
        <v>195</v>
      </c>
      <c r="G80" s="7" t="s">
        <v>195</v>
      </c>
      <c r="H80" s="7" t="s">
        <v>195</v>
      </c>
      <c r="I80" s="7" t="s">
        <v>195</v>
      </c>
      <c r="J80" s="7" t="s">
        <v>195</v>
      </c>
      <c r="K80" s="7" t="s">
        <v>195</v>
      </c>
      <c r="L80" s="7" t="s">
        <v>195</v>
      </c>
      <c r="M80" s="7" t="s">
        <v>29</v>
      </c>
      <c r="N80" s="7" t="s">
        <v>29</v>
      </c>
      <c r="O80" s="7" t="s">
        <v>29</v>
      </c>
      <c r="P80" s="7" t="s">
        <v>29</v>
      </c>
      <c r="Q80" s="7" t="s">
        <v>29</v>
      </c>
      <c r="R80" s="7" t="s">
        <v>29</v>
      </c>
      <c r="S80" s="7" t="s">
        <v>29</v>
      </c>
    </row>
    <row r="81" spans="2:19">
      <c r="B81" s="7" t="s">
        <v>195</v>
      </c>
      <c r="C81" s="8" t="s">
        <v>195</v>
      </c>
      <c r="D81" s="6" t="str">
        <f>LRTRIM(CONCATENATE(IF(SUMPRODUCT(-- ISNUMBER(SEARCH({"Auto Number"}, $B81))) &gt; 0, $B81, IF(SUMPRODUCT(-- ISNUMBER(SEARCH({"Lookup","Master-Detail"}, $B81))) &gt; 0,$B81 &amp; "(" &amp; $E81 &amp; ")",IF(SUMPRODUCT(-- ISNUMBER(SEARCH({"Formula","Roll-Up Summary"}, $B81))) &gt; 0,$B81 &amp; " (" &amp; $E81 &amp; ")",IF(SUMPRODUCT(-- ISNUMBER(SEARCH({"Content","Currency","Number","Percent","Text","URL"}, $B81))) &gt; 0,$B81 &amp; "(" &amp; $C81 &amp; ")",$B81)))), "  ", TRIM(IF($S81 = "YES", "(External ID)", "") &amp; " " &amp; IF(SUMPRODUCT(-- ISNUMBER(SEARCH({"Unique","Unique Case Insensitive"}, $R81))) &gt; 0, "(" &amp; $R81 &amp; ")", ""))))</f>
        <v>na</v>
      </c>
      <c r="E81" s="7" t="s">
        <v>195</v>
      </c>
      <c r="F81" s="7" t="s">
        <v>195</v>
      </c>
      <c r="G81" s="7" t="s">
        <v>195</v>
      </c>
      <c r="H81" s="7" t="s">
        <v>195</v>
      </c>
      <c r="I81" s="7" t="s">
        <v>195</v>
      </c>
      <c r="J81" s="7" t="s">
        <v>195</v>
      </c>
      <c r="K81" s="7" t="s">
        <v>195</v>
      </c>
      <c r="L81" s="7" t="s">
        <v>195</v>
      </c>
      <c r="M81" s="7" t="s">
        <v>29</v>
      </c>
      <c r="N81" s="7" t="s">
        <v>29</v>
      </c>
      <c r="O81" s="7" t="s">
        <v>29</v>
      </c>
      <c r="P81" s="7" t="s">
        <v>29</v>
      </c>
      <c r="Q81" s="7" t="s">
        <v>29</v>
      </c>
      <c r="R81" s="7" t="s">
        <v>29</v>
      </c>
      <c r="S81" s="7" t="s">
        <v>29</v>
      </c>
    </row>
    <row r="82" spans="2:19">
      <c r="B82" s="7" t="s">
        <v>195</v>
      </c>
      <c r="C82" s="8" t="s">
        <v>195</v>
      </c>
      <c r="D82" s="6" t="str">
        <f>LRTRIM(CONCATENATE(IF(SUMPRODUCT(-- ISNUMBER(SEARCH({"Auto Number"}, $B82))) &gt; 0, $B82, IF(SUMPRODUCT(-- ISNUMBER(SEARCH({"Lookup","Master-Detail"}, $B82))) &gt; 0,$B82 &amp; "(" &amp; $E82 &amp; ")",IF(SUMPRODUCT(-- ISNUMBER(SEARCH({"Formula","Roll-Up Summary"}, $B82))) &gt; 0,$B82 &amp; " (" &amp; $E82 &amp; ")",IF(SUMPRODUCT(-- ISNUMBER(SEARCH({"Content","Currency","Number","Percent","Text","URL"}, $B82))) &gt; 0,$B82 &amp; "(" &amp; $C82 &amp; ")",$B82)))), "  ", TRIM(IF($S82 = "YES", "(External ID)", "") &amp; " " &amp; IF(SUMPRODUCT(-- ISNUMBER(SEARCH({"Unique","Unique Case Insensitive"}, $R82))) &gt; 0, "(" &amp; $R82 &amp; ")", ""))))</f>
        <v>na</v>
      </c>
      <c r="E82" s="7" t="s">
        <v>195</v>
      </c>
      <c r="F82" s="7" t="s">
        <v>195</v>
      </c>
      <c r="G82" s="7" t="s">
        <v>195</v>
      </c>
      <c r="H82" s="7" t="s">
        <v>195</v>
      </c>
      <c r="I82" s="7" t="s">
        <v>195</v>
      </c>
      <c r="J82" s="7" t="s">
        <v>195</v>
      </c>
      <c r="K82" s="7" t="s">
        <v>195</v>
      </c>
      <c r="L82" s="7" t="s">
        <v>195</v>
      </c>
      <c r="M82" s="7" t="s">
        <v>29</v>
      </c>
      <c r="N82" s="7" t="s">
        <v>29</v>
      </c>
      <c r="O82" s="7" t="s">
        <v>29</v>
      </c>
      <c r="P82" s="7" t="s">
        <v>29</v>
      </c>
      <c r="Q82" s="7" t="s">
        <v>29</v>
      </c>
      <c r="R82" s="7" t="s">
        <v>29</v>
      </c>
      <c r="S82" s="7" t="s">
        <v>29</v>
      </c>
    </row>
    <row r="83" spans="2:19">
      <c r="B83" s="7" t="s">
        <v>195</v>
      </c>
      <c r="C83" s="8" t="s">
        <v>195</v>
      </c>
      <c r="D83" s="6" t="str">
        <f>LRTRIM(CONCATENATE(IF(SUMPRODUCT(-- ISNUMBER(SEARCH({"Auto Number"}, $B83))) &gt; 0, $B83, IF(SUMPRODUCT(-- ISNUMBER(SEARCH({"Lookup","Master-Detail"}, $B83))) &gt; 0,$B83 &amp; "(" &amp; $E83 &amp; ")",IF(SUMPRODUCT(-- ISNUMBER(SEARCH({"Formula","Roll-Up Summary"}, $B83))) &gt; 0,$B83 &amp; " (" &amp; $E83 &amp; ")",IF(SUMPRODUCT(-- ISNUMBER(SEARCH({"Content","Currency","Number","Percent","Text","URL"}, $B83))) &gt; 0,$B83 &amp; "(" &amp; $C83 &amp; ")",$B83)))), "  ", TRIM(IF($S83 = "YES", "(External ID)", "") &amp; " " &amp; IF(SUMPRODUCT(-- ISNUMBER(SEARCH({"Unique","Unique Case Insensitive"}, $R83))) &gt; 0, "(" &amp; $R83 &amp; ")", ""))))</f>
        <v>na</v>
      </c>
      <c r="E83" s="7" t="s">
        <v>195</v>
      </c>
      <c r="F83" s="7" t="s">
        <v>195</v>
      </c>
      <c r="G83" s="7" t="s">
        <v>195</v>
      </c>
      <c r="H83" s="7" t="s">
        <v>195</v>
      </c>
      <c r="I83" s="7" t="s">
        <v>195</v>
      </c>
      <c r="J83" s="7" t="s">
        <v>195</v>
      </c>
      <c r="K83" s="7" t="s">
        <v>195</v>
      </c>
      <c r="L83" s="7" t="s">
        <v>195</v>
      </c>
      <c r="M83" s="7" t="s">
        <v>29</v>
      </c>
      <c r="N83" s="7" t="s">
        <v>29</v>
      </c>
      <c r="O83" s="7" t="s">
        <v>29</v>
      </c>
      <c r="P83" s="7" t="s">
        <v>29</v>
      </c>
      <c r="Q83" s="7" t="s">
        <v>29</v>
      </c>
      <c r="R83" s="7" t="s">
        <v>29</v>
      </c>
      <c r="S83" s="7" t="s">
        <v>29</v>
      </c>
    </row>
    <row r="84" spans="2:19">
      <c r="B84" s="7" t="s">
        <v>195</v>
      </c>
      <c r="C84" s="8" t="s">
        <v>195</v>
      </c>
      <c r="D84" s="6" t="str">
        <f>LRTRIM(CONCATENATE(IF(SUMPRODUCT(-- ISNUMBER(SEARCH({"Auto Number"}, $B84))) &gt; 0, $B84, IF(SUMPRODUCT(-- ISNUMBER(SEARCH({"Lookup","Master-Detail"}, $B84))) &gt; 0,$B84 &amp; "(" &amp; $E84 &amp; ")",IF(SUMPRODUCT(-- ISNUMBER(SEARCH({"Formula","Roll-Up Summary"}, $B84))) &gt; 0,$B84 &amp; " (" &amp; $E84 &amp; ")",IF(SUMPRODUCT(-- ISNUMBER(SEARCH({"Content","Currency","Number","Percent","Text","URL"}, $B84))) &gt; 0,$B84 &amp; "(" &amp; $C84 &amp; ")",$B84)))), "  ", TRIM(IF($S84 = "YES", "(External ID)", "") &amp; " " &amp; IF(SUMPRODUCT(-- ISNUMBER(SEARCH({"Unique","Unique Case Insensitive"}, $R84))) &gt; 0, "(" &amp; $R84 &amp; ")", ""))))</f>
        <v>na</v>
      </c>
      <c r="E84" s="7" t="s">
        <v>195</v>
      </c>
      <c r="F84" s="7" t="s">
        <v>195</v>
      </c>
      <c r="G84" s="7" t="s">
        <v>195</v>
      </c>
      <c r="H84" s="7" t="s">
        <v>195</v>
      </c>
      <c r="I84" s="7" t="s">
        <v>195</v>
      </c>
      <c r="J84" s="7" t="s">
        <v>195</v>
      </c>
      <c r="K84" s="7" t="s">
        <v>195</v>
      </c>
      <c r="L84" s="7" t="s">
        <v>195</v>
      </c>
      <c r="M84" s="7" t="s">
        <v>29</v>
      </c>
      <c r="N84" s="7" t="s">
        <v>29</v>
      </c>
      <c r="O84" s="7" t="s">
        <v>29</v>
      </c>
      <c r="P84" s="7" t="s">
        <v>29</v>
      </c>
      <c r="Q84" s="7" t="s">
        <v>29</v>
      </c>
      <c r="R84" s="7" t="s">
        <v>29</v>
      </c>
      <c r="S84" s="7" t="s">
        <v>29</v>
      </c>
    </row>
    <row r="85" spans="2:19">
      <c r="B85" s="7" t="s">
        <v>195</v>
      </c>
      <c r="C85" s="8" t="s">
        <v>195</v>
      </c>
      <c r="D85" s="6" t="str">
        <f>LRTRIM(CONCATENATE(IF(SUMPRODUCT(-- ISNUMBER(SEARCH({"Auto Number"}, $B85))) &gt; 0, $B85, IF(SUMPRODUCT(-- ISNUMBER(SEARCH({"Lookup","Master-Detail"}, $B85))) &gt; 0,$B85 &amp; "(" &amp; $E85 &amp; ")",IF(SUMPRODUCT(-- ISNUMBER(SEARCH({"Formula","Roll-Up Summary"}, $B85))) &gt; 0,$B85 &amp; " (" &amp; $E85 &amp; ")",IF(SUMPRODUCT(-- ISNUMBER(SEARCH({"Content","Currency","Number","Percent","Text","URL"}, $B85))) &gt; 0,$B85 &amp; "(" &amp; $C85 &amp; ")",$B85)))), "  ", TRIM(IF($S85 = "YES", "(External ID)", "") &amp; " " &amp; IF(SUMPRODUCT(-- ISNUMBER(SEARCH({"Unique","Unique Case Insensitive"}, $R85))) &gt; 0, "(" &amp; $R85 &amp; ")", ""))))</f>
        <v>na</v>
      </c>
      <c r="E85" s="7" t="s">
        <v>195</v>
      </c>
      <c r="F85" s="7" t="s">
        <v>195</v>
      </c>
      <c r="G85" s="7" t="s">
        <v>195</v>
      </c>
      <c r="H85" s="7" t="s">
        <v>195</v>
      </c>
      <c r="I85" s="7" t="s">
        <v>195</v>
      </c>
      <c r="J85" s="7" t="s">
        <v>195</v>
      </c>
      <c r="K85" s="7" t="s">
        <v>195</v>
      </c>
      <c r="L85" s="7" t="s">
        <v>195</v>
      </c>
      <c r="M85" s="7" t="s">
        <v>29</v>
      </c>
      <c r="N85" s="7" t="s">
        <v>29</v>
      </c>
      <c r="O85" s="7" t="s">
        <v>29</v>
      </c>
      <c r="P85" s="7" t="s">
        <v>29</v>
      </c>
      <c r="Q85" s="7" t="s">
        <v>29</v>
      </c>
      <c r="R85" s="7" t="s">
        <v>29</v>
      </c>
      <c r="S85" s="7" t="s">
        <v>29</v>
      </c>
    </row>
    <row r="86" spans="2:19">
      <c r="B86" s="7" t="s">
        <v>195</v>
      </c>
      <c r="C86" s="8" t="s">
        <v>195</v>
      </c>
      <c r="D86" s="6" t="str">
        <f>LRTRIM(CONCATENATE(IF(SUMPRODUCT(-- ISNUMBER(SEARCH({"Auto Number"}, $B86))) &gt; 0, $B86, IF(SUMPRODUCT(-- ISNUMBER(SEARCH({"Lookup","Master-Detail"}, $B86))) &gt; 0,$B86 &amp; "(" &amp; $E86 &amp; ")",IF(SUMPRODUCT(-- ISNUMBER(SEARCH({"Formula","Roll-Up Summary"}, $B86))) &gt; 0,$B86 &amp; " (" &amp; $E86 &amp; ")",IF(SUMPRODUCT(-- ISNUMBER(SEARCH({"Content","Currency","Number","Percent","Text","URL"}, $B86))) &gt; 0,$B86 &amp; "(" &amp; $C86 &amp; ")",$B86)))), "  ", TRIM(IF($S86 = "YES", "(External ID)", "") &amp; " " &amp; IF(SUMPRODUCT(-- ISNUMBER(SEARCH({"Unique","Unique Case Insensitive"}, $R86))) &gt; 0, "(" &amp; $R86 &amp; ")", ""))))</f>
        <v>na</v>
      </c>
      <c r="E86" s="7" t="s">
        <v>195</v>
      </c>
      <c r="F86" s="7" t="s">
        <v>195</v>
      </c>
      <c r="G86" s="7" t="s">
        <v>195</v>
      </c>
      <c r="H86" s="7" t="s">
        <v>195</v>
      </c>
      <c r="I86" s="7" t="s">
        <v>195</v>
      </c>
      <c r="J86" s="7" t="s">
        <v>195</v>
      </c>
      <c r="K86" s="7" t="s">
        <v>195</v>
      </c>
      <c r="L86" s="7" t="s">
        <v>195</v>
      </c>
      <c r="M86" s="7" t="s">
        <v>29</v>
      </c>
      <c r="N86" s="7" t="s">
        <v>29</v>
      </c>
      <c r="O86" s="7" t="s">
        <v>29</v>
      </c>
      <c r="P86" s="7" t="s">
        <v>29</v>
      </c>
      <c r="Q86" s="7" t="s">
        <v>29</v>
      </c>
      <c r="R86" s="7" t="s">
        <v>29</v>
      </c>
      <c r="S86" s="7" t="s">
        <v>29</v>
      </c>
    </row>
    <row r="87" spans="2:19">
      <c r="B87" s="7" t="s">
        <v>195</v>
      </c>
      <c r="C87" s="8" t="s">
        <v>195</v>
      </c>
      <c r="D87" s="6" t="str">
        <f>LRTRIM(CONCATENATE(IF(SUMPRODUCT(-- ISNUMBER(SEARCH({"Auto Number"}, $B87))) &gt; 0, $B87, IF(SUMPRODUCT(-- ISNUMBER(SEARCH({"Lookup","Master-Detail"}, $B87))) &gt; 0,$B87 &amp; "(" &amp; $E87 &amp; ")",IF(SUMPRODUCT(-- ISNUMBER(SEARCH({"Formula","Roll-Up Summary"}, $B87))) &gt; 0,$B87 &amp; " (" &amp; $E87 &amp; ")",IF(SUMPRODUCT(-- ISNUMBER(SEARCH({"Content","Currency","Number","Percent","Text","URL"}, $B87))) &gt; 0,$B87 &amp; "(" &amp; $C87 &amp; ")",$B87)))), "  ", TRIM(IF($S87 = "YES", "(External ID)", "") &amp; " " &amp; IF(SUMPRODUCT(-- ISNUMBER(SEARCH({"Unique","Unique Case Insensitive"}, $R87))) &gt; 0, "(" &amp; $R87 &amp; ")", ""))))</f>
        <v>na</v>
      </c>
      <c r="E87" s="7" t="s">
        <v>195</v>
      </c>
      <c r="F87" s="7" t="s">
        <v>195</v>
      </c>
      <c r="G87" s="7" t="s">
        <v>195</v>
      </c>
      <c r="H87" s="7" t="s">
        <v>195</v>
      </c>
      <c r="I87" s="7" t="s">
        <v>195</v>
      </c>
      <c r="J87" s="7" t="s">
        <v>195</v>
      </c>
      <c r="K87" s="7" t="s">
        <v>195</v>
      </c>
      <c r="L87" s="7" t="s">
        <v>195</v>
      </c>
      <c r="M87" s="7" t="s">
        <v>29</v>
      </c>
      <c r="N87" s="7" t="s">
        <v>29</v>
      </c>
      <c r="O87" s="7" t="s">
        <v>29</v>
      </c>
      <c r="P87" s="7" t="s">
        <v>29</v>
      </c>
      <c r="Q87" s="7" t="s">
        <v>29</v>
      </c>
      <c r="R87" s="7" t="s">
        <v>29</v>
      </c>
      <c r="S87" s="7" t="s">
        <v>29</v>
      </c>
    </row>
    <row r="88" spans="2:19">
      <c r="B88" s="7" t="s">
        <v>195</v>
      </c>
      <c r="C88" s="8" t="s">
        <v>195</v>
      </c>
      <c r="D88" s="6" t="str">
        <f>LRTRIM(CONCATENATE(IF(SUMPRODUCT(-- ISNUMBER(SEARCH({"Auto Number"}, $B88))) &gt; 0, $B88, IF(SUMPRODUCT(-- ISNUMBER(SEARCH({"Lookup","Master-Detail"}, $B88))) &gt; 0,$B88 &amp; "(" &amp; $E88 &amp; ")",IF(SUMPRODUCT(-- ISNUMBER(SEARCH({"Formula","Roll-Up Summary"}, $B88))) &gt; 0,$B88 &amp; " (" &amp; $E88 &amp; ")",IF(SUMPRODUCT(-- ISNUMBER(SEARCH({"Content","Currency","Number","Percent","Text","URL"}, $B88))) &gt; 0,$B88 &amp; "(" &amp; $C88 &amp; ")",$B88)))), "  ", TRIM(IF($S88 = "YES", "(External ID)", "") &amp; " " &amp; IF(SUMPRODUCT(-- ISNUMBER(SEARCH({"Unique","Unique Case Insensitive"}, $R88))) &gt; 0, "(" &amp; $R88 &amp; ")", ""))))</f>
        <v>na</v>
      </c>
      <c r="E88" s="7" t="s">
        <v>195</v>
      </c>
      <c r="F88" s="7" t="s">
        <v>195</v>
      </c>
      <c r="G88" s="7" t="s">
        <v>195</v>
      </c>
      <c r="H88" s="7" t="s">
        <v>195</v>
      </c>
      <c r="I88" s="7" t="s">
        <v>195</v>
      </c>
      <c r="J88" s="7" t="s">
        <v>195</v>
      </c>
      <c r="K88" s="7" t="s">
        <v>195</v>
      </c>
      <c r="L88" s="7" t="s">
        <v>195</v>
      </c>
      <c r="M88" s="7" t="s">
        <v>29</v>
      </c>
      <c r="N88" s="7" t="s">
        <v>29</v>
      </c>
      <c r="O88" s="7" t="s">
        <v>29</v>
      </c>
      <c r="P88" s="7" t="s">
        <v>29</v>
      </c>
      <c r="Q88" s="7" t="s">
        <v>29</v>
      </c>
      <c r="R88" s="7" t="s">
        <v>29</v>
      </c>
      <c r="S88" s="7" t="s">
        <v>29</v>
      </c>
    </row>
    <row r="89" spans="2:19">
      <c r="B89" s="7" t="s">
        <v>195</v>
      </c>
      <c r="C89" s="8" t="s">
        <v>195</v>
      </c>
      <c r="D89" s="6" t="str">
        <f>LRTRIM(CONCATENATE(IF(SUMPRODUCT(-- ISNUMBER(SEARCH({"Auto Number"}, $B89))) &gt; 0, $B89, IF(SUMPRODUCT(-- ISNUMBER(SEARCH({"Lookup","Master-Detail"}, $B89))) &gt; 0,$B89 &amp; "(" &amp; $E89 &amp; ")",IF(SUMPRODUCT(-- ISNUMBER(SEARCH({"Formula","Roll-Up Summary"}, $B89))) &gt; 0,$B89 &amp; " (" &amp; $E89 &amp; ")",IF(SUMPRODUCT(-- ISNUMBER(SEARCH({"Content","Currency","Number","Percent","Text","URL"}, $B89))) &gt; 0,$B89 &amp; "(" &amp; $C89 &amp; ")",$B89)))), "  ", TRIM(IF($S89 = "YES", "(External ID)", "") &amp; " " &amp; IF(SUMPRODUCT(-- ISNUMBER(SEARCH({"Unique","Unique Case Insensitive"}, $R89))) &gt; 0, "(" &amp; $R89 &amp; ")", ""))))</f>
        <v>na</v>
      </c>
      <c r="E89" s="7" t="s">
        <v>195</v>
      </c>
      <c r="F89" s="7" t="s">
        <v>195</v>
      </c>
      <c r="G89" s="7" t="s">
        <v>195</v>
      </c>
      <c r="H89" s="7" t="s">
        <v>195</v>
      </c>
      <c r="I89" s="7" t="s">
        <v>195</v>
      </c>
      <c r="J89" s="7" t="s">
        <v>195</v>
      </c>
      <c r="K89" s="7" t="s">
        <v>195</v>
      </c>
      <c r="L89" s="7" t="s">
        <v>195</v>
      </c>
      <c r="M89" s="7" t="s">
        <v>29</v>
      </c>
      <c r="N89" s="7" t="s">
        <v>29</v>
      </c>
      <c r="O89" s="7" t="s">
        <v>29</v>
      </c>
      <c r="P89" s="7" t="s">
        <v>29</v>
      </c>
      <c r="Q89" s="7" t="s">
        <v>29</v>
      </c>
      <c r="R89" s="7" t="s">
        <v>29</v>
      </c>
      <c r="S89" s="7" t="s">
        <v>29</v>
      </c>
    </row>
    <row r="90" spans="2:19">
      <c r="B90" s="7" t="s">
        <v>195</v>
      </c>
      <c r="C90" s="8" t="s">
        <v>195</v>
      </c>
      <c r="D90" s="6" t="str">
        <f>LRTRIM(CONCATENATE(IF(SUMPRODUCT(-- ISNUMBER(SEARCH({"Auto Number"}, $B90))) &gt; 0, $B90, IF(SUMPRODUCT(-- ISNUMBER(SEARCH({"Lookup","Master-Detail"}, $B90))) &gt; 0,$B90 &amp; "(" &amp; $E90 &amp; ")",IF(SUMPRODUCT(-- ISNUMBER(SEARCH({"Formula","Roll-Up Summary"}, $B90))) &gt; 0,$B90 &amp; " (" &amp; $E90 &amp; ")",IF(SUMPRODUCT(-- ISNUMBER(SEARCH({"Content","Currency","Number","Percent","Text","URL"}, $B90))) &gt; 0,$B90 &amp; "(" &amp; $C90 &amp; ")",$B90)))), "  ", TRIM(IF($S90 = "YES", "(External ID)", "") &amp; " " &amp; IF(SUMPRODUCT(-- ISNUMBER(SEARCH({"Unique","Unique Case Insensitive"}, $R90))) &gt; 0, "(" &amp; $R90 &amp; ")", ""))))</f>
        <v>na</v>
      </c>
      <c r="E90" s="7" t="s">
        <v>195</v>
      </c>
      <c r="F90" s="7" t="s">
        <v>195</v>
      </c>
      <c r="G90" s="7" t="s">
        <v>195</v>
      </c>
      <c r="H90" s="7" t="s">
        <v>195</v>
      </c>
      <c r="I90" s="7" t="s">
        <v>195</v>
      </c>
      <c r="J90" s="7" t="s">
        <v>195</v>
      </c>
      <c r="K90" s="7" t="s">
        <v>195</v>
      </c>
      <c r="L90" s="7" t="s">
        <v>195</v>
      </c>
      <c r="M90" s="7" t="s">
        <v>29</v>
      </c>
      <c r="N90" s="7" t="s">
        <v>29</v>
      </c>
      <c r="O90" s="7" t="s">
        <v>29</v>
      </c>
      <c r="P90" s="7" t="s">
        <v>29</v>
      </c>
      <c r="Q90" s="7" t="s">
        <v>29</v>
      </c>
      <c r="R90" s="7" t="s">
        <v>29</v>
      </c>
      <c r="S90" s="7" t="s">
        <v>29</v>
      </c>
    </row>
    <row r="91" spans="2:19">
      <c r="B91" s="7" t="s">
        <v>195</v>
      </c>
      <c r="C91" s="8" t="s">
        <v>195</v>
      </c>
      <c r="D91" s="6" t="str">
        <f>LRTRIM(CONCATENATE(IF(SUMPRODUCT(-- ISNUMBER(SEARCH({"Auto Number"}, $B91))) &gt; 0, $B91, IF(SUMPRODUCT(-- ISNUMBER(SEARCH({"Lookup","Master-Detail"}, $B91))) &gt; 0,$B91 &amp; "(" &amp; $E91 &amp; ")",IF(SUMPRODUCT(-- ISNUMBER(SEARCH({"Formula","Roll-Up Summary"}, $B91))) &gt; 0,$B91 &amp; " (" &amp; $E91 &amp; ")",IF(SUMPRODUCT(-- ISNUMBER(SEARCH({"Content","Currency","Number","Percent","Text","URL"}, $B91))) &gt; 0,$B91 &amp; "(" &amp; $C91 &amp; ")",$B91)))), "  ", TRIM(IF($S91 = "YES", "(External ID)", "") &amp; " " &amp; IF(SUMPRODUCT(-- ISNUMBER(SEARCH({"Unique","Unique Case Insensitive"}, $R91))) &gt; 0, "(" &amp; $R91 &amp; ")", ""))))</f>
        <v>na</v>
      </c>
      <c r="E91" s="7" t="s">
        <v>195</v>
      </c>
      <c r="F91" s="7" t="s">
        <v>195</v>
      </c>
      <c r="G91" s="7" t="s">
        <v>195</v>
      </c>
      <c r="H91" s="7" t="s">
        <v>195</v>
      </c>
      <c r="I91" s="7" t="s">
        <v>195</v>
      </c>
      <c r="J91" s="7" t="s">
        <v>195</v>
      </c>
      <c r="K91" s="7" t="s">
        <v>195</v>
      </c>
      <c r="L91" s="7" t="s">
        <v>195</v>
      </c>
      <c r="M91" s="7" t="s">
        <v>29</v>
      </c>
      <c r="N91" s="7" t="s">
        <v>29</v>
      </c>
      <c r="O91" s="7" t="s">
        <v>29</v>
      </c>
      <c r="P91" s="7" t="s">
        <v>29</v>
      </c>
      <c r="Q91" s="7" t="s">
        <v>29</v>
      </c>
      <c r="R91" s="7" t="s">
        <v>29</v>
      </c>
      <c r="S91" s="7" t="s">
        <v>29</v>
      </c>
    </row>
    <row r="92" spans="2:19">
      <c r="B92" s="7" t="s">
        <v>195</v>
      </c>
      <c r="C92" s="8" t="s">
        <v>195</v>
      </c>
      <c r="D92" s="6" t="str">
        <f>LRTRIM(CONCATENATE(IF(SUMPRODUCT(-- ISNUMBER(SEARCH({"Auto Number"}, $B92))) &gt; 0, $B92, IF(SUMPRODUCT(-- ISNUMBER(SEARCH({"Lookup","Master-Detail"}, $B92))) &gt; 0,$B92 &amp; "(" &amp; $E92 &amp; ")",IF(SUMPRODUCT(-- ISNUMBER(SEARCH({"Formula","Roll-Up Summary"}, $B92))) &gt; 0,$B92 &amp; " (" &amp; $E92 &amp; ")",IF(SUMPRODUCT(-- ISNUMBER(SEARCH({"Content","Currency","Number","Percent","Text","URL"}, $B92))) &gt; 0,$B92 &amp; "(" &amp; $C92 &amp; ")",$B92)))), "  ", TRIM(IF($S92 = "YES", "(External ID)", "") &amp; " " &amp; IF(SUMPRODUCT(-- ISNUMBER(SEARCH({"Unique","Unique Case Insensitive"}, $R92))) &gt; 0, "(" &amp; $R92 &amp; ")", ""))))</f>
        <v>na</v>
      </c>
      <c r="E92" s="7" t="s">
        <v>195</v>
      </c>
      <c r="F92" s="7" t="s">
        <v>195</v>
      </c>
      <c r="G92" s="7" t="s">
        <v>195</v>
      </c>
      <c r="H92" s="7" t="s">
        <v>195</v>
      </c>
      <c r="I92" s="7" t="s">
        <v>195</v>
      </c>
      <c r="J92" s="7" t="s">
        <v>195</v>
      </c>
      <c r="K92" s="7" t="s">
        <v>195</v>
      </c>
      <c r="L92" s="7" t="s">
        <v>195</v>
      </c>
      <c r="M92" s="7" t="s">
        <v>29</v>
      </c>
      <c r="N92" s="7" t="s">
        <v>29</v>
      </c>
      <c r="O92" s="7" t="s">
        <v>29</v>
      </c>
      <c r="P92" s="7" t="s">
        <v>29</v>
      </c>
      <c r="Q92" s="7" t="s">
        <v>29</v>
      </c>
      <c r="R92" s="7" t="s">
        <v>29</v>
      </c>
      <c r="S92" s="7" t="s">
        <v>29</v>
      </c>
    </row>
    <row r="93" spans="2:19">
      <c r="B93" s="7" t="s">
        <v>195</v>
      </c>
      <c r="C93" s="8" t="s">
        <v>195</v>
      </c>
      <c r="D93" s="6" t="str">
        <f>LRTRIM(CONCATENATE(IF(SUMPRODUCT(-- ISNUMBER(SEARCH({"Auto Number"}, $B93))) &gt; 0, $B93, IF(SUMPRODUCT(-- ISNUMBER(SEARCH({"Lookup","Master-Detail"}, $B93))) &gt; 0,$B93 &amp; "(" &amp; $E93 &amp; ")",IF(SUMPRODUCT(-- ISNUMBER(SEARCH({"Formula","Roll-Up Summary"}, $B93))) &gt; 0,$B93 &amp; " (" &amp; $E93 &amp; ")",IF(SUMPRODUCT(-- ISNUMBER(SEARCH({"Content","Currency","Number","Percent","Text","URL"}, $B93))) &gt; 0,$B93 &amp; "(" &amp; $C93 &amp; ")",$B93)))), "  ", TRIM(IF($S93 = "YES", "(External ID)", "") &amp; " " &amp; IF(SUMPRODUCT(-- ISNUMBER(SEARCH({"Unique","Unique Case Insensitive"}, $R93))) &gt; 0, "(" &amp; $R93 &amp; ")", ""))))</f>
        <v>na</v>
      </c>
      <c r="E93" s="7" t="s">
        <v>195</v>
      </c>
      <c r="F93" s="7" t="s">
        <v>195</v>
      </c>
      <c r="G93" s="7" t="s">
        <v>195</v>
      </c>
      <c r="H93" s="7" t="s">
        <v>195</v>
      </c>
      <c r="I93" s="7" t="s">
        <v>195</v>
      </c>
      <c r="J93" s="7" t="s">
        <v>195</v>
      </c>
      <c r="K93" s="7" t="s">
        <v>195</v>
      </c>
      <c r="L93" s="7" t="s">
        <v>195</v>
      </c>
      <c r="M93" s="7" t="s">
        <v>29</v>
      </c>
      <c r="N93" s="7" t="s">
        <v>29</v>
      </c>
      <c r="O93" s="7" t="s">
        <v>29</v>
      </c>
      <c r="P93" s="7" t="s">
        <v>29</v>
      </c>
      <c r="Q93" s="7" t="s">
        <v>29</v>
      </c>
      <c r="R93" s="7" t="s">
        <v>29</v>
      </c>
      <c r="S93" s="7" t="s">
        <v>29</v>
      </c>
    </row>
    <row r="94" spans="2:19">
      <c r="B94" s="7" t="s">
        <v>195</v>
      </c>
      <c r="C94" s="8" t="s">
        <v>195</v>
      </c>
      <c r="D94" s="6" t="str">
        <f>LRTRIM(CONCATENATE(IF(SUMPRODUCT(-- ISNUMBER(SEARCH({"Auto Number"}, $B94))) &gt; 0, $B94, IF(SUMPRODUCT(-- ISNUMBER(SEARCH({"Lookup","Master-Detail"}, $B94))) &gt; 0,$B94 &amp; "(" &amp; $E94 &amp; ")",IF(SUMPRODUCT(-- ISNUMBER(SEARCH({"Formula","Roll-Up Summary"}, $B94))) &gt; 0,$B94 &amp; " (" &amp; $E94 &amp; ")",IF(SUMPRODUCT(-- ISNUMBER(SEARCH({"Content","Currency","Number","Percent","Text","URL"}, $B94))) &gt; 0,$B94 &amp; "(" &amp; $C94 &amp; ")",$B94)))), "  ", TRIM(IF($S94 = "YES", "(External ID)", "") &amp; " " &amp; IF(SUMPRODUCT(-- ISNUMBER(SEARCH({"Unique","Unique Case Insensitive"}, $R94))) &gt; 0, "(" &amp; $R94 &amp; ")", ""))))</f>
        <v>na</v>
      </c>
      <c r="E94" s="7" t="s">
        <v>195</v>
      </c>
      <c r="F94" s="7" t="s">
        <v>195</v>
      </c>
      <c r="G94" s="7" t="s">
        <v>195</v>
      </c>
      <c r="H94" s="7" t="s">
        <v>195</v>
      </c>
      <c r="I94" s="7" t="s">
        <v>195</v>
      </c>
      <c r="J94" s="7" t="s">
        <v>195</v>
      </c>
      <c r="K94" s="7" t="s">
        <v>195</v>
      </c>
      <c r="L94" s="7" t="s">
        <v>195</v>
      </c>
      <c r="M94" s="7" t="s">
        <v>29</v>
      </c>
      <c r="N94" s="7" t="s">
        <v>29</v>
      </c>
      <c r="O94" s="7" t="s">
        <v>29</v>
      </c>
      <c r="P94" s="7" t="s">
        <v>29</v>
      </c>
      <c r="Q94" s="7" t="s">
        <v>29</v>
      </c>
      <c r="R94" s="7" t="s">
        <v>29</v>
      </c>
      <c r="S94" s="7" t="s">
        <v>29</v>
      </c>
    </row>
    <row r="95" spans="2:19">
      <c r="B95" s="7" t="s">
        <v>195</v>
      </c>
      <c r="C95" s="8" t="s">
        <v>195</v>
      </c>
      <c r="D95" s="6" t="str">
        <f>LRTRIM(CONCATENATE(IF(SUMPRODUCT(-- ISNUMBER(SEARCH({"Auto Number"}, $B95))) &gt; 0, $B95, IF(SUMPRODUCT(-- ISNUMBER(SEARCH({"Lookup","Master-Detail"}, $B95))) &gt; 0,$B95 &amp; "(" &amp; $E95 &amp; ")",IF(SUMPRODUCT(-- ISNUMBER(SEARCH({"Formula","Roll-Up Summary"}, $B95))) &gt; 0,$B95 &amp; " (" &amp; $E95 &amp; ")",IF(SUMPRODUCT(-- ISNUMBER(SEARCH({"Content","Currency","Number","Percent","Text","URL"}, $B95))) &gt; 0,$B95 &amp; "(" &amp; $C95 &amp; ")",$B95)))), "  ", TRIM(IF($S95 = "YES", "(External ID)", "") &amp; " " &amp; IF(SUMPRODUCT(-- ISNUMBER(SEARCH({"Unique","Unique Case Insensitive"}, $R95))) &gt; 0, "(" &amp; $R95 &amp; ")", ""))))</f>
        <v>na</v>
      </c>
      <c r="E95" s="7" t="s">
        <v>195</v>
      </c>
      <c r="F95" s="7" t="s">
        <v>195</v>
      </c>
      <c r="G95" s="7" t="s">
        <v>195</v>
      </c>
      <c r="H95" s="7" t="s">
        <v>195</v>
      </c>
      <c r="I95" s="7" t="s">
        <v>195</v>
      </c>
      <c r="J95" s="7" t="s">
        <v>195</v>
      </c>
      <c r="K95" s="7" t="s">
        <v>195</v>
      </c>
      <c r="L95" s="7" t="s">
        <v>195</v>
      </c>
      <c r="M95" s="7" t="s">
        <v>29</v>
      </c>
      <c r="N95" s="7" t="s">
        <v>29</v>
      </c>
      <c r="O95" s="7" t="s">
        <v>29</v>
      </c>
      <c r="P95" s="7" t="s">
        <v>29</v>
      </c>
      <c r="Q95" s="7" t="s">
        <v>29</v>
      </c>
      <c r="R95" s="7" t="s">
        <v>29</v>
      </c>
      <c r="S95" s="7" t="s">
        <v>29</v>
      </c>
    </row>
    <row r="96" spans="2:19">
      <c r="B96" s="7" t="s">
        <v>195</v>
      </c>
      <c r="C96" s="8" t="s">
        <v>195</v>
      </c>
      <c r="D96" s="6" t="str">
        <f>LRTRIM(CONCATENATE(IF(SUMPRODUCT(-- ISNUMBER(SEARCH({"Auto Number"}, $B96))) &gt; 0, $B96, IF(SUMPRODUCT(-- ISNUMBER(SEARCH({"Lookup","Master-Detail"}, $B96))) &gt; 0,$B96 &amp; "(" &amp; $E96 &amp; ")",IF(SUMPRODUCT(-- ISNUMBER(SEARCH({"Formula","Roll-Up Summary"}, $B96))) &gt; 0,$B96 &amp; " (" &amp; $E96 &amp; ")",IF(SUMPRODUCT(-- ISNUMBER(SEARCH({"Content","Currency","Number","Percent","Text","URL"}, $B96))) &gt; 0,$B96 &amp; "(" &amp; $C96 &amp; ")",$B96)))), "  ", TRIM(IF($S96 = "YES", "(External ID)", "") &amp; " " &amp; IF(SUMPRODUCT(-- ISNUMBER(SEARCH({"Unique","Unique Case Insensitive"}, $R96))) &gt; 0, "(" &amp; $R96 &amp; ")", ""))))</f>
        <v>na</v>
      </c>
      <c r="E96" s="7" t="s">
        <v>195</v>
      </c>
      <c r="F96" s="7" t="s">
        <v>195</v>
      </c>
      <c r="G96" s="7" t="s">
        <v>195</v>
      </c>
      <c r="H96" s="7" t="s">
        <v>195</v>
      </c>
      <c r="I96" s="7" t="s">
        <v>195</v>
      </c>
      <c r="J96" s="7" t="s">
        <v>195</v>
      </c>
      <c r="K96" s="7" t="s">
        <v>195</v>
      </c>
      <c r="L96" s="7" t="s">
        <v>195</v>
      </c>
      <c r="M96" s="7" t="s">
        <v>29</v>
      </c>
      <c r="N96" s="7" t="s">
        <v>29</v>
      </c>
      <c r="O96" s="7" t="s">
        <v>29</v>
      </c>
      <c r="P96" s="7" t="s">
        <v>29</v>
      </c>
      <c r="Q96" s="7" t="s">
        <v>29</v>
      </c>
      <c r="R96" s="7" t="s">
        <v>29</v>
      </c>
      <c r="S96" s="7" t="s">
        <v>29</v>
      </c>
    </row>
    <row r="97" spans="2:19">
      <c r="B97" s="7" t="s">
        <v>195</v>
      </c>
      <c r="C97" s="8" t="s">
        <v>195</v>
      </c>
      <c r="D97" s="6" t="str">
        <f>LRTRIM(CONCATENATE(IF(SUMPRODUCT(-- ISNUMBER(SEARCH({"Auto Number"}, $B97))) &gt; 0, $B97, IF(SUMPRODUCT(-- ISNUMBER(SEARCH({"Lookup","Master-Detail"}, $B97))) &gt; 0,$B97 &amp; "(" &amp; $E97 &amp; ")",IF(SUMPRODUCT(-- ISNUMBER(SEARCH({"Formula","Roll-Up Summary"}, $B97))) &gt; 0,$B97 &amp; " (" &amp; $E97 &amp; ")",IF(SUMPRODUCT(-- ISNUMBER(SEARCH({"Content","Currency","Number","Percent","Text","URL"}, $B97))) &gt; 0,$B97 &amp; "(" &amp; $C97 &amp; ")",$B97)))), "  ", TRIM(IF($S97 = "YES", "(External ID)", "") &amp; " " &amp; IF(SUMPRODUCT(-- ISNUMBER(SEARCH({"Unique","Unique Case Insensitive"}, $R97))) &gt; 0, "(" &amp; $R97 &amp; ")", ""))))</f>
        <v>na</v>
      </c>
      <c r="E97" s="7" t="s">
        <v>195</v>
      </c>
      <c r="F97" s="7" t="s">
        <v>195</v>
      </c>
      <c r="G97" s="7" t="s">
        <v>195</v>
      </c>
      <c r="H97" s="7" t="s">
        <v>195</v>
      </c>
      <c r="I97" s="7" t="s">
        <v>195</v>
      </c>
      <c r="J97" s="7" t="s">
        <v>195</v>
      </c>
      <c r="K97" s="7" t="s">
        <v>195</v>
      </c>
      <c r="L97" s="7" t="s">
        <v>195</v>
      </c>
      <c r="M97" s="7" t="s">
        <v>29</v>
      </c>
      <c r="N97" s="7" t="s">
        <v>29</v>
      </c>
      <c r="O97" s="7" t="s">
        <v>29</v>
      </c>
      <c r="P97" s="7" t="s">
        <v>29</v>
      </c>
      <c r="Q97" s="7" t="s">
        <v>29</v>
      </c>
      <c r="R97" s="7" t="s">
        <v>29</v>
      </c>
      <c r="S97" s="7" t="s">
        <v>29</v>
      </c>
    </row>
    <row r="98" spans="2:19">
      <c r="B98" s="7" t="s">
        <v>195</v>
      </c>
      <c r="C98" s="8" t="s">
        <v>195</v>
      </c>
      <c r="D98" s="6" t="str">
        <f>LRTRIM(CONCATENATE(IF(SUMPRODUCT(-- ISNUMBER(SEARCH({"Auto Number"}, $B98))) &gt; 0, $B98, IF(SUMPRODUCT(-- ISNUMBER(SEARCH({"Lookup","Master-Detail"}, $B98))) &gt; 0,$B98 &amp; "(" &amp; $E98 &amp; ")",IF(SUMPRODUCT(-- ISNUMBER(SEARCH({"Formula","Roll-Up Summary"}, $B98))) &gt; 0,$B98 &amp; " (" &amp; $E98 &amp; ")",IF(SUMPRODUCT(-- ISNUMBER(SEARCH({"Content","Currency","Number","Percent","Text","URL"}, $B98))) &gt; 0,$B98 &amp; "(" &amp; $C98 &amp; ")",$B98)))), "  ", TRIM(IF($S98 = "YES", "(External ID)", "") &amp; " " &amp; IF(SUMPRODUCT(-- ISNUMBER(SEARCH({"Unique","Unique Case Insensitive"}, $R98))) &gt; 0, "(" &amp; $R98 &amp; ")", ""))))</f>
        <v>na</v>
      </c>
      <c r="E98" s="7" t="s">
        <v>195</v>
      </c>
      <c r="F98" s="7" t="s">
        <v>195</v>
      </c>
      <c r="G98" s="7" t="s">
        <v>195</v>
      </c>
      <c r="H98" s="7" t="s">
        <v>195</v>
      </c>
      <c r="I98" s="7" t="s">
        <v>195</v>
      </c>
      <c r="J98" s="7" t="s">
        <v>195</v>
      </c>
      <c r="K98" s="7" t="s">
        <v>195</v>
      </c>
      <c r="L98" s="7" t="s">
        <v>195</v>
      </c>
      <c r="M98" s="7" t="s">
        <v>29</v>
      </c>
      <c r="N98" s="7" t="s">
        <v>29</v>
      </c>
      <c r="O98" s="7" t="s">
        <v>29</v>
      </c>
      <c r="P98" s="7" t="s">
        <v>29</v>
      </c>
      <c r="Q98" s="7" t="s">
        <v>29</v>
      </c>
      <c r="R98" s="7" t="s">
        <v>29</v>
      </c>
      <c r="S98" s="7" t="s">
        <v>29</v>
      </c>
    </row>
    <row r="99" spans="2:19">
      <c r="B99" s="7" t="s">
        <v>195</v>
      </c>
      <c r="C99" s="8" t="s">
        <v>195</v>
      </c>
      <c r="D99" s="6" t="str">
        <f>LRTRIM(CONCATENATE(IF(SUMPRODUCT(-- ISNUMBER(SEARCH({"Auto Number"}, $B99))) &gt; 0, $B99, IF(SUMPRODUCT(-- ISNUMBER(SEARCH({"Lookup","Master-Detail"}, $B99))) &gt; 0,$B99 &amp; "(" &amp; $E99 &amp; ")",IF(SUMPRODUCT(-- ISNUMBER(SEARCH({"Formula","Roll-Up Summary"}, $B99))) &gt; 0,$B99 &amp; " (" &amp; $E99 &amp; ")",IF(SUMPRODUCT(-- ISNUMBER(SEARCH({"Content","Currency","Number","Percent","Text","URL"}, $B99))) &gt; 0,$B99 &amp; "(" &amp; $C99 &amp; ")",$B99)))), "  ", TRIM(IF($S99 = "YES", "(External ID)", "") &amp; " " &amp; IF(SUMPRODUCT(-- ISNUMBER(SEARCH({"Unique","Unique Case Insensitive"}, $R99))) &gt; 0, "(" &amp; $R99 &amp; ")", ""))))</f>
        <v>na</v>
      </c>
      <c r="E99" s="7" t="s">
        <v>195</v>
      </c>
      <c r="F99" s="7" t="s">
        <v>195</v>
      </c>
      <c r="G99" s="7" t="s">
        <v>195</v>
      </c>
      <c r="H99" s="7" t="s">
        <v>195</v>
      </c>
      <c r="I99" s="7" t="s">
        <v>195</v>
      </c>
      <c r="J99" s="7" t="s">
        <v>195</v>
      </c>
      <c r="K99" s="7" t="s">
        <v>195</v>
      </c>
      <c r="L99" s="7" t="s">
        <v>195</v>
      </c>
      <c r="M99" s="7" t="s">
        <v>29</v>
      </c>
      <c r="N99" s="7" t="s">
        <v>29</v>
      </c>
      <c r="O99" s="7" t="s">
        <v>29</v>
      </c>
      <c r="P99" s="7" t="s">
        <v>29</v>
      </c>
      <c r="Q99" s="7" t="s">
        <v>29</v>
      </c>
      <c r="R99" s="7" t="s">
        <v>29</v>
      </c>
      <c r="S99" s="7" t="s">
        <v>29</v>
      </c>
    </row>
    <row r="100" spans="2:19">
      <c r="B100" s="7" t="s">
        <v>195</v>
      </c>
      <c r="C100" s="8" t="s">
        <v>195</v>
      </c>
      <c r="D100" s="6" t="str">
        <f>LRTRIM(CONCATENATE(IF(SUMPRODUCT(-- ISNUMBER(SEARCH({"Auto Number"}, $B100))) &gt; 0, $B100, IF(SUMPRODUCT(-- ISNUMBER(SEARCH({"Lookup","Master-Detail"}, $B100))) &gt; 0,$B100 &amp; "(" &amp; $E100 &amp; ")",IF(SUMPRODUCT(-- ISNUMBER(SEARCH({"Formula","Roll-Up Summary"}, $B100))) &gt; 0,$B100 &amp; " (" &amp; $E100 &amp; ")",IF(SUMPRODUCT(-- ISNUMBER(SEARCH({"Content","Currency","Number","Percent","Text","URL"}, $B100))) &gt; 0,$B100 &amp; "(" &amp; $C100 &amp; ")",$B100)))), "  ", TRIM(IF($S100 = "YES", "(External ID)", "") &amp; " " &amp; IF(SUMPRODUCT(-- ISNUMBER(SEARCH({"Unique","Unique Case Insensitive"}, $R100))) &gt; 0, "(" &amp; $R100 &amp; ")", ""))))</f>
        <v>na</v>
      </c>
      <c r="E100" s="7" t="s">
        <v>195</v>
      </c>
      <c r="F100" s="7" t="s">
        <v>195</v>
      </c>
      <c r="G100" s="7" t="s">
        <v>195</v>
      </c>
      <c r="H100" s="7" t="s">
        <v>195</v>
      </c>
      <c r="I100" s="7" t="s">
        <v>195</v>
      </c>
      <c r="J100" s="7" t="s">
        <v>195</v>
      </c>
      <c r="K100" s="7" t="s">
        <v>195</v>
      </c>
      <c r="L100" s="7" t="s">
        <v>195</v>
      </c>
      <c r="M100" s="7" t="s">
        <v>29</v>
      </c>
      <c r="N100" s="7" t="s">
        <v>29</v>
      </c>
      <c r="O100" s="7" t="s">
        <v>29</v>
      </c>
      <c r="P100" s="7" t="s">
        <v>29</v>
      </c>
      <c r="Q100" s="7" t="s">
        <v>29</v>
      </c>
      <c r="R100" s="7" t="s">
        <v>29</v>
      </c>
      <c r="S100" s="7" t="s">
        <v>29</v>
      </c>
    </row>
    <row r="101" spans="2:19">
      <c r="B101" s="7" t="s">
        <v>195</v>
      </c>
      <c r="C101" s="8" t="s">
        <v>195</v>
      </c>
      <c r="D101" s="6" t="str">
        <f>LRTRIM(CONCATENATE(IF(SUMPRODUCT(-- ISNUMBER(SEARCH({"Auto Number"}, $B101))) &gt; 0, $B101, IF(SUMPRODUCT(-- ISNUMBER(SEARCH({"Lookup","Master-Detail"}, $B101))) &gt; 0,$B101 &amp; "(" &amp; $E101 &amp; ")",IF(SUMPRODUCT(-- ISNUMBER(SEARCH({"Formula","Roll-Up Summary"}, $B101))) &gt; 0,$B101 &amp; " (" &amp; $E101 &amp; ")",IF(SUMPRODUCT(-- ISNUMBER(SEARCH({"Content","Currency","Number","Percent","Text","URL"}, $B101))) &gt; 0,$B101 &amp; "(" &amp; $C101 &amp; ")",$B101)))), "  ", TRIM(IF($S101 = "YES", "(External ID)", "") &amp; " " &amp; IF(SUMPRODUCT(-- ISNUMBER(SEARCH({"Unique","Unique Case Insensitive"}, $R101))) &gt; 0, "(" &amp; $R101 &amp; ")", ""))))</f>
        <v>na</v>
      </c>
      <c r="E101" s="7" t="s">
        <v>195</v>
      </c>
      <c r="F101" s="7" t="s">
        <v>195</v>
      </c>
      <c r="G101" s="7" t="s">
        <v>195</v>
      </c>
      <c r="H101" s="7" t="s">
        <v>195</v>
      </c>
      <c r="I101" s="7" t="s">
        <v>195</v>
      </c>
      <c r="J101" s="7" t="s">
        <v>195</v>
      </c>
      <c r="K101" s="7" t="s">
        <v>195</v>
      </c>
      <c r="L101" s="7" t="s">
        <v>195</v>
      </c>
      <c r="M101" s="7" t="s">
        <v>29</v>
      </c>
      <c r="N101" s="7" t="s">
        <v>29</v>
      </c>
      <c r="O101" s="7" t="s">
        <v>29</v>
      </c>
      <c r="P101" s="7" t="s">
        <v>29</v>
      </c>
      <c r="Q101" s="7" t="s">
        <v>29</v>
      </c>
      <c r="R101" s="7" t="s">
        <v>29</v>
      </c>
      <c r="S101" s="7" t="s">
        <v>29</v>
      </c>
    </row>
    <row r="102" spans="2:19">
      <c r="B102" s="7" t="s">
        <v>195</v>
      </c>
      <c r="C102" s="8" t="s">
        <v>195</v>
      </c>
      <c r="D102" s="6" t="str">
        <f>LRTRIM(CONCATENATE(IF(SUMPRODUCT(-- ISNUMBER(SEARCH({"Auto Number"}, $B102))) &gt; 0, $B102, IF(SUMPRODUCT(-- ISNUMBER(SEARCH({"Lookup","Master-Detail"}, $B102))) &gt; 0,$B102 &amp; "(" &amp; $E102 &amp; ")",IF(SUMPRODUCT(-- ISNUMBER(SEARCH({"Formula","Roll-Up Summary"}, $B102))) &gt; 0,$B102 &amp; " (" &amp; $E102 &amp; ")",IF(SUMPRODUCT(-- ISNUMBER(SEARCH({"Content","Currency","Number","Percent","Text","URL"}, $B102))) &gt; 0,$B102 &amp; "(" &amp; $C102 &amp; ")",$B102)))), "  ", TRIM(IF($S102 = "YES", "(External ID)", "") &amp; " " &amp; IF(SUMPRODUCT(-- ISNUMBER(SEARCH({"Unique","Unique Case Insensitive"}, $R102))) &gt; 0, "(" &amp; $R102 &amp; ")", ""))))</f>
        <v>na</v>
      </c>
      <c r="E102" s="7" t="s">
        <v>195</v>
      </c>
      <c r="F102" s="7" t="s">
        <v>195</v>
      </c>
      <c r="G102" s="7" t="s">
        <v>195</v>
      </c>
      <c r="H102" s="7" t="s">
        <v>195</v>
      </c>
      <c r="I102" s="7" t="s">
        <v>195</v>
      </c>
      <c r="J102" s="7" t="s">
        <v>195</v>
      </c>
      <c r="K102" s="7" t="s">
        <v>195</v>
      </c>
      <c r="L102" s="7" t="s">
        <v>195</v>
      </c>
      <c r="M102" s="7" t="s">
        <v>29</v>
      </c>
      <c r="N102" s="7" t="s">
        <v>29</v>
      </c>
      <c r="O102" s="7" t="s">
        <v>29</v>
      </c>
      <c r="P102" s="7" t="s">
        <v>29</v>
      </c>
      <c r="Q102" s="7" t="s">
        <v>29</v>
      </c>
      <c r="R102" s="7" t="s">
        <v>29</v>
      </c>
      <c r="S102" s="7" t="s">
        <v>29</v>
      </c>
    </row>
    <row r="103" spans="2:19">
      <c r="B103" s="7" t="s">
        <v>195</v>
      </c>
      <c r="C103" s="8" t="s">
        <v>195</v>
      </c>
      <c r="D103" s="6" t="str">
        <f>LRTRIM(CONCATENATE(IF(SUMPRODUCT(-- ISNUMBER(SEARCH({"Auto Number"}, $B103))) &gt; 0, $B103, IF(SUMPRODUCT(-- ISNUMBER(SEARCH({"Lookup","Master-Detail"}, $B103))) &gt; 0,$B103 &amp; "(" &amp; $E103 &amp; ")",IF(SUMPRODUCT(-- ISNUMBER(SEARCH({"Formula","Roll-Up Summary"}, $B103))) &gt; 0,$B103 &amp; " (" &amp; $E103 &amp; ")",IF(SUMPRODUCT(-- ISNUMBER(SEARCH({"Content","Currency","Number","Percent","Text","URL"}, $B103))) &gt; 0,$B103 &amp; "(" &amp; $C103 &amp; ")",$B103)))), "  ", TRIM(IF($S103 = "YES", "(External ID)", "") &amp; " " &amp; IF(SUMPRODUCT(-- ISNUMBER(SEARCH({"Unique","Unique Case Insensitive"}, $R103))) &gt; 0, "(" &amp; $R103 &amp; ")", ""))))</f>
        <v>na</v>
      </c>
      <c r="E103" s="7" t="s">
        <v>195</v>
      </c>
      <c r="F103" s="7" t="s">
        <v>195</v>
      </c>
      <c r="G103" s="7" t="s">
        <v>195</v>
      </c>
      <c r="H103" s="7" t="s">
        <v>195</v>
      </c>
      <c r="I103" s="7" t="s">
        <v>195</v>
      </c>
      <c r="J103" s="7" t="s">
        <v>195</v>
      </c>
      <c r="K103" s="7" t="s">
        <v>195</v>
      </c>
      <c r="L103" s="7" t="s">
        <v>195</v>
      </c>
      <c r="M103" s="7" t="s">
        <v>29</v>
      </c>
      <c r="N103" s="7" t="s">
        <v>29</v>
      </c>
      <c r="O103" s="7" t="s">
        <v>29</v>
      </c>
      <c r="P103" s="7" t="s">
        <v>29</v>
      </c>
      <c r="Q103" s="7" t="s">
        <v>29</v>
      </c>
      <c r="R103" s="7" t="s">
        <v>29</v>
      </c>
      <c r="S103" s="7" t="s">
        <v>29</v>
      </c>
    </row>
    <row r="104" spans="2:19">
      <c r="B104" s="7" t="s">
        <v>195</v>
      </c>
      <c r="C104" s="8" t="s">
        <v>195</v>
      </c>
      <c r="D104" s="6" t="str">
        <f>LRTRIM(CONCATENATE(IF(SUMPRODUCT(-- ISNUMBER(SEARCH({"Auto Number"}, $B104))) &gt; 0, $B104, IF(SUMPRODUCT(-- ISNUMBER(SEARCH({"Lookup","Master-Detail"}, $B104))) &gt; 0,$B104 &amp; "(" &amp; $E104 &amp; ")",IF(SUMPRODUCT(-- ISNUMBER(SEARCH({"Formula","Roll-Up Summary"}, $B104))) &gt; 0,$B104 &amp; " (" &amp; $E104 &amp; ")",IF(SUMPRODUCT(-- ISNUMBER(SEARCH({"Content","Currency","Number","Percent","Text","URL"}, $B104))) &gt; 0,$B104 &amp; "(" &amp; $C104 &amp; ")",$B104)))), "  ", TRIM(IF($S104 = "YES", "(External ID)", "") &amp; " " &amp; IF(SUMPRODUCT(-- ISNUMBER(SEARCH({"Unique","Unique Case Insensitive"}, $R104))) &gt; 0, "(" &amp; $R104 &amp; ")", ""))))</f>
        <v>na</v>
      </c>
      <c r="E104" s="7" t="s">
        <v>195</v>
      </c>
      <c r="F104" s="7" t="s">
        <v>195</v>
      </c>
      <c r="G104" s="7" t="s">
        <v>195</v>
      </c>
      <c r="H104" s="7" t="s">
        <v>195</v>
      </c>
      <c r="I104" s="7" t="s">
        <v>195</v>
      </c>
      <c r="J104" s="7" t="s">
        <v>195</v>
      </c>
      <c r="K104" s="7" t="s">
        <v>195</v>
      </c>
      <c r="L104" s="7" t="s">
        <v>195</v>
      </c>
      <c r="M104" s="7" t="s">
        <v>29</v>
      </c>
      <c r="N104" s="7" t="s">
        <v>29</v>
      </c>
      <c r="O104" s="7" t="s">
        <v>29</v>
      </c>
      <c r="P104" s="7" t="s">
        <v>29</v>
      </c>
      <c r="Q104" s="7" t="s">
        <v>29</v>
      </c>
      <c r="R104" s="7" t="s">
        <v>29</v>
      </c>
      <c r="S104" s="7" t="s">
        <v>29</v>
      </c>
    </row>
    <row r="105" spans="2:19">
      <c r="B105" s="7" t="s">
        <v>195</v>
      </c>
      <c r="C105" s="8" t="s">
        <v>195</v>
      </c>
      <c r="D105" s="6" t="str">
        <f>LRTRIM(CONCATENATE(IF(SUMPRODUCT(-- ISNUMBER(SEARCH({"Auto Number"}, $B105))) &gt; 0, $B105, IF(SUMPRODUCT(-- ISNUMBER(SEARCH({"Lookup","Master-Detail"}, $B105))) &gt; 0,$B105 &amp; "(" &amp; $E105 &amp; ")",IF(SUMPRODUCT(-- ISNUMBER(SEARCH({"Formula","Roll-Up Summary"}, $B105))) &gt; 0,$B105 &amp; " (" &amp; $E105 &amp; ")",IF(SUMPRODUCT(-- ISNUMBER(SEARCH({"Content","Currency","Number","Percent","Text","URL"}, $B105))) &gt; 0,$B105 &amp; "(" &amp; $C105 &amp; ")",$B105)))), "  ", TRIM(IF($S105 = "YES", "(External ID)", "") &amp; " " &amp; IF(SUMPRODUCT(-- ISNUMBER(SEARCH({"Unique","Unique Case Insensitive"}, $R105))) &gt; 0, "(" &amp; $R105 &amp; ")", ""))))</f>
        <v>na</v>
      </c>
      <c r="E105" s="7" t="s">
        <v>195</v>
      </c>
      <c r="F105" s="7" t="s">
        <v>195</v>
      </c>
      <c r="G105" s="7" t="s">
        <v>195</v>
      </c>
      <c r="H105" s="7" t="s">
        <v>195</v>
      </c>
      <c r="I105" s="7" t="s">
        <v>195</v>
      </c>
      <c r="J105" s="7" t="s">
        <v>195</v>
      </c>
      <c r="K105" s="7" t="s">
        <v>195</v>
      </c>
      <c r="L105" s="7" t="s">
        <v>195</v>
      </c>
      <c r="M105" s="7" t="s">
        <v>29</v>
      </c>
      <c r="N105" s="7" t="s">
        <v>29</v>
      </c>
      <c r="O105" s="7" t="s">
        <v>29</v>
      </c>
      <c r="P105" s="7" t="s">
        <v>29</v>
      </c>
      <c r="Q105" s="7" t="s">
        <v>29</v>
      </c>
      <c r="R105" s="7" t="s">
        <v>29</v>
      </c>
      <c r="S105" s="7" t="s">
        <v>29</v>
      </c>
    </row>
    <row r="106" spans="2:19">
      <c r="B106" s="7" t="s">
        <v>195</v>
      </c>
      <c r="C106" s="8" t="s">
        <v>195</v>
      </c>
      <c r="D106" s="6" t="str">
        <f>LRTRIM(CONCATENATE(IF(SUMPRODUCT(-- ISNUMBER(SEARCH({"Auto Number"}, $B106))) &gt; 0, $B106, IF(SUMPRODUCT(-- ISNUMBER(SEARCH({"Lookup","Master-Detail"}, $B106))) &gt; 0,$B106 &amp; "(" &amp; $E106 &amp; ")",IF(SUMPRODUCT(-- ISNUMBER(SEARCH({"Formula","Roll-Up Summary"}, $B106))) &gt; 0,$B106 &amp; " (" &amp; $E106 &amp; ")",IF(SUMPRODUCT(-- ISNUMBER(SEARCH({"Content","Currency","Number","Percent","Text","URL"}, $B106))) &gt; 0,$B106 &amp; "(" &amp; $C106 &amp; ")",$B106)))), "  ", TRIM(IF($S106 = "YES", "(External ID)", "") &amp; " " &amp; IF(SUMPRODUCT(-- ISNUMBER(SEARCH({"Unique","Unique Case Insensitive"}, $R106))) &gt; 0, "(" &amp; $R106 &amp; ")", ""))))</f>
        <v>na</v>
      </c>
      <c r="E106" s="7" t="s">
        <v>195</v>
      </c>
      <c r="F106" s="7" t="s">
        <v>195</v>
      </c>
      <c r="G106" s="7" t="s">
        <v>195</v>
      </c>
      <c r="H106" s="7" t="s">
        <v>195</v>
      </c>
      <c r="I106" s="7" t="s">
        <v>195</v>
      </c>
      <c r="J106" s="7" t="s">
        <v>195</v>
      </c>
      <c r="K106" s="7" t="s">
        <v>195</v>
      </c>
      <c r="L106" s="7" t="s">
        <v>195</v>
      </c>
      <c r="M106" s="7" t="s">
        <v>29</v>
      </c>
      <c r="N106" s="7" t="s">
        <v>29</v>
      </c>
      <c r="O106" s="7" t="s">
        <v>29</v>
      </c>
      <c r="P106" s="7" t="s">
        <v>29</v>
      </c>
      <c r="Q106" s="7" t="s">
        <v>29</v>
      </c>
      <c r="R106" s="7" t="s">
        <v>29</v>
      </c>
      <c r="S106" s="7" t="s">
        <v>29</v>
      </c>
    </row>
    <row r="107" spans="2:19">
      <c r="B107" s="7" t="s">
        <v>195</v>
      </c>
      <c r="C107" s="8" t="s">
        <v>195</v>
      </c>
      <c r="D107" s="6" t="str">
        <f>LRTRIM(CONCATENATE(IF(SUMPRODUCT(-- ISNUMBER(SEARCH({"Auto Number"}, $B107))) &gt; 0, $B107, IF(SUMPRODUCT(-- ISNUMBER(SEARCH({"Lookup","Master-Detail"}, $B107))) &gt; 0,$B107 &amp; "(" &amp; $E107 &amp; ")",IF(SUMPRODUCT(-- ISNUMBER(SEARCH({"Formula","Roll-Up Summary"}, $B107))) &gt; 0,$B107 &amp; " (" &amp; $E107 &amp; ")",IF(SUMPRODUCT(-- ISNUMBER(SEARCH({"Content","Currency","Number","Percent","Text","URL"}, $B107))) &gt; 0,$B107 &amp; "(" &amp; $C107 &amp; ")",$B107)))), "  ", TRIM(IF($S107 = "YES", "(External ID)", "") &amp; " " &amp; IF(SUMPRODUCT(-- ISNUMBER(SEARCH({"Unique","Unique Case Insensitive"}, $R107))) &gt; 0, "(" &amp; $R107 &amp; ")", ""))))</f>
        <v>na</v>
      </c>
      <c r="E107" s="7" t="s">
        <v>195</v>
      </c>
      <c r="F107" s="7" t="s">
        <v>195</v>
      </c>
      <c r="G107" s="7" t="s">
        <v>195</v>
      </c>
      <c r="H107" s="7" t="s">
        <v>195</v>
      </c>
      <c r="I107" s="7" t="s">
        <v>195</v>
      </c>
      <c r="J107" s="7" t="s">
        <v>195</v>
      </c>
      <c r="K107" s="7" t="s">
        <v>195</v>
      </c>
      <c r="L107" s="7" t="s">
        <v>195</v>
      </c>
      <c r="M107" s="7" t="s">
        <v>29</v>
      </c>
      <c r="N107" s="7" t="s">
        <v>29</v>
      </c>
      <c r="O107" s="7" t="s">
        <v>29</v>
      </c>
      <c r="P107" s="7" t="s">
        <v>29</v>
      </c>
      <c r="Q107" s="7" t="s">
        <v>29</v>
      </c>
      <c r="R107" s="7" t="s">
        <v>29</v>
      </c>
      <c r="S107" s="7" t="s">
        <v>29</v>
      </c>
    </row>
    <row r="108" spans="2:19">
      <c r="B108" s="7" t="s">
        <v>195</v>
      </c>
      <c r="C108" s="8" t="s">
        <v>195</v>
      </c>
      <c r="D108" s="6" t="str">
        <f>LRTRIM(CONCATENATE(IF(SUMPRODUCT(-- ISNUMBER(SEARCH({"Auto Number"}, $B108))) &gt; 0, $B108, IF(SUMPRODUCT(-- ISNUMBER(SEARCH({"Lookup","Master-Detail"}, $B108))) &gt; 0,$B108 &amp; "(" &amp; $E108 &amp; ")",IF(SUMPRODUCT(-- ISNUMBER(SEARCH({"Formula","Roll-Up Summary"}, $B108))) &gt; 0,$B108 &amp; " (" &amp; $E108 &amp; ")",IF(SUMPRODUCT(-- ISNUMBER(SEARCH({"Content","Currency","Number","Percent","Text","URL"}, $B108))) &gt; 0,$B108 &amp; "(" &amp; $C108 &amp; ")",$B108)))), "  ", TRIM(IF($S108 = "YES", "(External ID)", "") &amp; " " &amp; IF(SUMPRODUCT(-- ISNUMBER(SEARCH({"Unique","Unique Case Insensitive"}, $R108))) &gt; 0, "(" &amp; $R108 &amp; ")", ""))))</f>
        <v>na</v>
      </c>
      <c r="E108" s="7" t="s">
        <v>195</v>
      </c>
      <c r="F108" s="7" t="s">
        <v>195</v>
      </c>
      <c r="G108" s="7" t="s">
        <v>195</v>
      </c>
      <c r="H108" s="7" t="s">
        <v>195</v>
      </c>
      <c r="I108" s="7" t="s">
        <v>195</v>
      </c>
      <c r="J108" s="7" t="s">
        <v>195</v>
      </c>
      <c r="K108" s="7" t="s">
        <v>195</v>
      </c>
      <c r="L108" s="7" t="s">
        <v>195</v>
      </c>
      <c r="M108" s="7" t="s">
        <v>29</v>
      </c>
      <c r="N108" s="7" t="s">
        <v>29</v>
      </c>
      <c r="O108" s="7" t="s">
        <v>29</v>
      </c>
      <c r="P108" s="7" t="s">
        <v>29</v>
      </c>
      <c r="Q108" s="7" t="s">
        <v>29</v>
      </c>
      <c r="R108" s="7" t="s">
        <v>29</v>
      </c>
      <c r="S108" s="7" t="s">
        <v>29</v>
      </c>
    </row>
    <row r="109" spans="2:19">
      <c r="B109" s="7" t="s">
        <v>195</v>
      </c>
      <c r="C109" s="8" t="s">
        <v>195</v>
      </c>
      <c r="D109" s="6" t="str">
        <f>LRTRIM(CONCATENATE(IF(SUMPRODUCT(-- ISNUMBER(SEARCH({"Auto Number"}, $B109))) &gt; 0, $B109, IF(SUMPRODUCT(-- ISNUMBER(SEARCH({"Lookup","Master-Detail"}, $B109))) &gt; 0,$B109 &amp; "(" &amp; $E109 &amp; ")",IF(SUMPRODUCT(-- ISNUMBER(SEARCH({"Formula","Roll-Up Summary"}, $B109))) &gt; 0,$B109 &amp; " (" &amp; $E109 &amp; ")",IF(SUMPRODUCT(-- ISNUMBER(SEARCH({"Content","Currency","Number","Percent","Text","URL"}, $B109))) &gt; 0,$B109 &amp; "(" &amp; $C109 &amp; ")",$B109)))), "  ", TRIM(IF($S109 = "YES", "(External ID)", "") &amp; " " &amp; IF(SUMPRODUCT(-- ISNUMBER(SEARCH({"Unique","Unique Case Insensitive"}, $R109))) &gt; 0, "(" &amp; $R109 &amp; ")", ""))))</f>
        <v>na</v>
      </c>
      <c r="E109" s="7" t="s">
        <v>195</v>
      </c>
      <c r="F109" s="7" t="s">
        <v>195</v>
      </c>
      <c r="G109" s="7" t="s">
        <v>195</v>
      </c>
      <c r="H109" s="7" t="s">
        <v>195</v>
      </c>
      <c r="I109" s="7" t="s">
        <v>195</v>
      </c>
      <c r="J109" s="7" t="s">
        <v>195</v>
      </c>
      <c r="K109" s="7" t="s">
        <v>195</v>
      </c>
      <c r="L109" s="7" t="s">
        <v>195</v>
      </c>
      <c r="M109" s="7" t="s">
        <v>29</v>
      </c>
      <c r="N109" s="7" t="s">
        <v>29</v>
      </c>
      <c r="O109" s="7" t="s">
        <v>29</v>
      </c>
      <c r="P109" s="7" t="s">
        <v>29</v>
      </c>
      <c r="Q109" s="7" t="s">
        <v>29</v>
      </c>
      <c r="R109" s="7" t="s">
        <v>29</v>
      </c>
      <c r="S109" s="7" t="s">
        <v>29</v>
      </c>
    </row>
    <row r="110" spans="2:19">
      <c r="B110" s="7" t="s">
        <v>195</v>
      </c>
      <c r="C110" s="8" t="s">
        <v>195</v>
      </c>
      <c r="D110" s="6" t="str">
        <f>LRTRIM(CONCATENATE(IF(SUMPRODUCT(-- ISNUMBER(SEARCH({"Auto Number"}, $B110))) &gt; 0, $B110, IF(SUMPRODUCT(-- ISNUMBER(SEARCH({"Lookup","Master-Detail"}, $B110))) &gt; 0,$B110 &amp; "(" &amp; $E110 &amp; ")",IF(SUMPRODUCT(-- ISNUMBER(SEARCH({"Formula","Roll-Up Summary"}, $B110))) &gt; 0,$B110 &amp; " (" &amp; $E110 &amp; ")",IF(SUMPRODUCT(-- ISNUMBER(SEARCH({"Content","Currency","Number","Percent","Text","URL"}, $B110))) &gt; 0,$B110 &amp; "(" &amp; $C110 &amp; ")",$B110)))), "  ", TRIM(IF($S110 = "YES", "(External ID)", "") &amp; " " &amp; IF(SUMPRODUCT(-- ISNUMBER(SEARCH({"Unique","Unique Case Insensitive"}, $R110))) &gt; 0, "(" &amp; $R110 &amp; ")", ""))))</f>
        <v>na</v>
      </c>
      <c r="E110" s="7" t="s">
        <v>195</v>
      </c>
      <c r="F110" s="7" t="s">
        <v>195</v>
      </c>
      <c r="G110" s="7" t="s">
        <v>195</v>
      </c>
      <c r="H110" s="7" t="s">
        <v>195</v>
      </c>
      <c r="I110" s="7" t="s">
        <v>195</v>
      </c>
      <c r="J110" s="7" t="s">
        <v>195</v>
      </c>
      <c r="K110" s="7" t="s">
        <v>195</v>
      </c>
      <c r="L110" s="7" t="s">
        <v>195</v>
      </c>
      <c r="M110" s="7" t="s">
        <v>29</v>
      </c>
      <c r="N110" s="7" t="s">
        <v>29</v>
      </c>
      <c r="O110" s="7" t="s">
        <v>29</v>
      </c>
      <c r="P110" s="7" t="s">
        <v>29</v>
      </c>
      <c r="Q110" s="7" t="s">
        <v>29</v>
      </c>
      <c r="R110" s="7" t="s">
        <v>29</v>
      </c>
      <c r="S110" s="7" t="s">
        <v>29</v>
      </c>
    </row>
    <row r="111" spans="2:19">
      <c r="B111" s="7" t="s">
        <v>195</v>
      </c>
      <c r="C111" s="8" t="s">
        <v>195</v>
      </c>
      <c r="D111" s="6" t="str">
        <f>LRTRIM(CONCATENATE(IF(SUMPRODUCT(-- ISNUMBER(SEARCH({"Auto Number"}, $B111))) &gt; 0, $B111, IF(SUMPRODUCT(-- ISNUMBER(SEARCH({"Lookup","Master-Detail"}, $B111))) &gt; 0,$B111 &amp; "(" &amp; $E111 &amp; ")",IF(SUMPRODUCT(-- ISNUMBER(SEARCH({"Formula","Roll-Up Summary"}, $B111))) &gt; 0,$B111 &amp; " (" &amp; $E111 &amp; ")",IF(SUMPRODUCT(-- ISNUMBER(SEARCH({"Content","Currency","Number","Percent","Text","URL"}, $B111))) &gt; 0,$B111 &amp; "(" &amp; $C111 &amp; ")",$B111)))), "  ", TRIM(IF($S111 = "YES", "(External ID)", "") &amp; " " &amp; IF(SUMPRODUCT(-- ISNUMBER(SEARCH({"Unique","Unique Case Insensitive"}, $R111))) &gt; 0, "(" &amp; $R111 &amp; ")", ""))))</f>
        <v>na</v>
      </c>
      <c r="E111" s="7" t="s">
        <v>195</v>
      </c>
      <c r="F111" s="7" t="s">
        <v>195</v>
      </c>
      <c r="G111" s="7" t="s">
        <v>195</v>
      </c>
      <c r="H111" s="7" t="s">
        <v>195</v>
      </c>
      <c r="I111" s="7" t="s">
        <v>195</v>
      </c>
      <c r="J111" s="7" t="s">
        <v>195</v>
      </c>
      <c r="K111" s="7" t="s">
        <v>195</v>
      </c>
      <c r="L111" s="7" t="s">
        <v>195</v>
      </c>
      <c r="M111" s="7" t="s">
        <v>29</v>
      </c>
      <c r="N111" s="7" t="s">
        <v>29</v>
      </c>
      <c r="O111" s="7" t="s">
        <v>29</v>
      </c>
      <c r="P111" s="7" t="s">
        <v>29</v>
      </c>
      <c r="Q111" s="7" t="s">
        <v>29</v>
      </c>
      <c r="R111" s="7" t="s">
        <v>29</v>
      </c>
      <c r="S111" s="7" t="s">
        <v>29</v>
      </c>
    </row>
    <row r="112" spans="2:19">
      <c r="B112" s="7" t="s">
        <v>195</v>
      </c>
      <c r="C112" s="8" t="s">
        <v>195</v>
      </c>
      <c r="D112" s="6" t="str">
        <f>LRTRIM(CONCATENATE(IF(SUMPRODUCT(-- ISNUMBER(SEARCH({"Auto Number"}, $B112))) &gt; 0, $B112, IF(SUMPRODUCT(-- ISNUMBER(SEARCH({"Lookup","Master-Detail"}, $B112))) &gt; 0,$B112 &amp; "(" &amp; $E112 &amp; ")",IF(SUMPRODUCT(-- ISNUMBER(SEARCH({"Formula","Roll-Up Summary"}, $B112))) &gt; 0,$B112 &amp; " (" &amp; $E112 &amp; ")",IF(SUMPRODUCT(-- ISNUMBER(SEARCH({"Content","Currency","Number","Percent","Text","URL"}, $B112))) &gt; 0,$B112 &amp; "(" &amp; $C112 &amp; ")",$B112)))), "  ", TRIM(IF($S112 = "YES", "(External ID)", "") &amp; " " &amp; IF(SUMPRODUCT(-- ISNUMBER(SEARCH({"Unique","Unique Case Insensitive"}, $R112))) &gt; 0, "(" &amp; $R112 &amp; ")", ""))))</f>
        <v>na</v>
      </c>
      <c r="E112" s="7" t="s">
        <v>195</v>
      </c>
      <c r="F112" s="7" t="s">
        <v>195</v>
      </c>
      <c r="G112" s="7" t="s">
        <v>195</v>
      </c>
      <c r="H112" s="7" t="s">
        <v>195</v>
      </c>
      <c r="I112" s="7" t="s">
        <v>195</v>
      </c>
      <c r="J112" s="7" t="s">
        <v>195</v>
      </c>
      <c r="K112" s="7" t="s">
        <v>195</v>
      </c>
      <c r="L112" s="7" t="s">
        <v>195</v>
      </c>
      <c r="M112" s="7" t="s">
        <v>29</v>
      </c>
      <c r="N112" s="7" t="s">
        <v>29</v>
      </c>
      <c r="O112" s="7" t="s">
        <v>29</v>
      </c>
      <c r="P112" s="7" t="s">
        <v>29</v>
      </c>
      <c r="Q112" s="7" t="s">
        <v>29</v>
      </c>
      <c r="R112" s="7" t="s">
        <v>29</v>
      </c>
      <c r="S112" s="7" t="s">
        <v>29</v>
      </c>
    </row>
    <row r="113" spans="2:19">
      <c r="B113" s="7" t="s">
        <v>195</v>
      </c>
      <c r="C113" s="8" t="s">
        <v>195</v>
      </c>
      <c r="D113" s="6" t="str">
        <f>LRTRIM(CONCATENATE(IF(SUMPRODUCT(-- ISNUMBER(SEARCH({"Auto Number"}, $B113))) &gt; 0, $B113, IF(SUMPRODUCT(-- ISNUMBER(SEARCH({"Lookup","Master-Detail"}, $B113))) &gt; 0,$B113 &amp; "(" &amp; $E113 &amp; ")",IF(SUMPRODUCT(-- ISNUMBER(SEARCH({"Formula","Roll-Up Summary"}, $B113))) &gt; 0,$B113 &amp; " (" &amp; $E113 &amp; ")",IF(SUMPRODUCT(-- ISNUMBER(SEARCH({"Content","Currency","Number","Percent","Text","URL"}, $B113))) &gt; 0,$B113 &amp; "(" &amp; $C113 &amp; ")",$B113)))), "  ", TRIM(IF($S113 = "YES", "(External ID)", "") &amp; " " &amp; IF(SUMPRODUCT(-- ISNUMBER(SEARCH({"Unique","Unique Case Insensitive"}, $R113))) &gt; 0, "(" &amp; $R113 &amp; ")", ""))))</f>
        <v>na</v>
      </c>
      <c r="E113" s="7" t="s">
        <v>195</v>
      </c>
      <c r="F113" s="7" t="s">
        <v>195</v>
      </c>
      <c r="G113" s="7" t="s">
        <v>195</v>
      </c>
      <c r="H113" s="7" t="s">
        <v>195</v>
      </c>
      <c r="I113" s="7" t="s">
        <v>195</v>
      </c>
      <c r="J113" s="7" t="s">
        <v>195</v>
      </c>
      <c r="K113" s="7" t="s">
        <v>195</v>
      </c>
      <c r="L113" s="7" t="s">
        <v>195</v>
      </c>
      <c r="M113" s="7" t="s">
        <v>29</v>
      </c>
      <c r="N113" s="7" t="s">
        <v>29</v>
      </c>
      <c r="O113" s="7" t="s">
        <v>29</v>
      </c>
      <c r="P113" s="7" t="s">
        <v>29</v>
      </c>
      <c r="Q113" s="7" t="s">
        <v>29</v>
      </c>
      <c r="R113" s="7" t="s">
        <v>29</v>
      </c>
      <c r="S113" s="7" t="s">
        <v>29</v>
      </c>
    </row>
    <row r="114" spans="2:19">
      <c r="B114" s="7" t="s">
        <v>195</v>
      </c>
      <c r="C114" s="8" t="s">
        <v>195</v>
      </c>
      <c r="D114" s="6" t="str">
        <f>LRTRIM(CONCATENATE(IF(SUMPRODUCT(-- ISNUMBER(SEARCH({"Auto Number"}, $B114))) &gt; 0, $B114, IF(SUMPRODUCT(-- ISNUMBER(SEARCH({"Lookup","Master-Detail"}, $B114))) &gt; 0,$B114 &amp; "(" &amp; $E114 &amp; ")",IF(SUMPRODUCT(-- ISNUMBER(SEARCH({"Formula","Roll-Up Summary"}, $B114))) &gt; 0,$B114 &amp; " (" &amp; $E114 &amp; ")",IF(SUMPRODUCT(-- ISNUMBER(SEARCH({"Content","Currency","Number","Percent","Text","URL"}, $B114))) &gt; 0,$B114 &amp; "(" &amp; $C114 &amp; ")",$B114)))), "  ", TRIM(IF($S114 = "YES", "(External ID)", "") &amp; " " &amp; IF(SUMPRODUCT(-- ISNUMBER(SEARCH({"Unique","Unique Case Insensitive"}, $R114))) &gt; 0, "(" &amp; $R114 &amp; ")", ""))))</f>
        <v>na</v>
      </c>
      <c r="E114" s="7" t="s">
        <v>195</v>
      </c>
      <c r="F114" s="7" t="s">
        <v>195</v>
      </c>
      <c r="G114" s="7" t="s">
        <v>195</v>
      </c>
      <c r="H114" s="7" t="s">
        <v>195</v>
      </c>
      <c r="I114" s="7" t="s">
        <v>195</v>
      </c>
      <c r="J114" s="7" t="s">
        <v>195</v>
      </c>
      <c r="K114" s="7" t="s">
        <v>195</v>
      </c>
      <c r="L114" s="7" t="s">
        <v>195</v>
      </c>
      <c r="M114" s="7" t="s">
        <v>29</v>
      </c>
      <c r="N114" s="7" t="s">
        <v>29</v>
      </c>
      <c r="O114" s="7" t="s">
        <v>29</v>
      </c>
      <c r="P114" s="7" t="s">
        <v>29</v>
      </c>
      <c r="Q114" s="7" t="s">
        <v>29</v>
      </c>
      <c r="R114" s="7" t="s">
        <v>29</v>
      </c>
      <c r="S114" s="7" t="s">
        <v>29</v>
      </c>
    </row>
    <row r="115" spans="2:19">
      <c r="B115" s="7" t="s">
        <v>195</v>
      </c>
      <c r="C115" s="8" t="s">
        <v>195</v>
      </c>
      <c r="D115" s="6" t="str">
        <f>LRTRIM(CONCATENATE(IF(SUMPRODUCT(-- ISNUMBER(SEARCH({"Auto Number"}, $B115))) &gt; 0, $B115, IF(SUMPRODUCT(-- ISNUMBER(SEARCH({"Lookup","Master-Detail"}, $B115))) &gt; 0,$B115 &amp; "(" &amp; $E115 &amp; ")",IF(SUMPRODUCT(-- ISNUMBER(SEARCH({"Formula","Roll-Up Summary"}, $B115))) &gt; 0,$B115 &amp; " (" &amp; $E115 &amp; ")",IF(SUMPRODUCT(-- ISNUMBER(SEARCH({"Content","Currency","Number","Percent","Text","URL"}, $B115))) &gt; 0,$B115 &amp; "(" &amp; $C115 &amp; ")",$B115)))), "  ", TRIM(IF($S115 = "YES", "(External ID)", "") &amp; " " &amp; IF(SUMPRODUCT(-- ISNUMBER(SEARCH({"Unique","Unique Case Insensitive"}, $R115))) &gt; 0, "(" &amp; $R115 &amp; ")", ""))))</f>
        <v>na</v>
      </c>
      <c r="E115" s="7" t="s">
        <v>195</v>
      </c>
      <c r="F115" s="7" t="s">
        <v>195</v>
      </c>
      <c r="G115" s="7" t="s">
        <v>195</v>
      </c>
      <c r="H115" s="7" t="s">
        <v>195</v>
      </c>
      <c r="I115" s="7" t="s">
        <v>195</v>
      </c>
      <c r="J115" s="7" t="s">
        <v>195</v>
      </c>
      <c r="K115" s="7" t="s">
        <v>195</v>
      </c>
      <c r="L115" s="7" t="s">
        <v>195</v>
      </c>
      <c r="M115" s="7" t="s">
        <v>29</v>
      </c>
      <c r="N115" s="7" t="s">
        <v>29</v>
      </c>
      <c r="O115" s="7" t="s">
        <v>29</v>
      </c>
      <c r="P115" s="7" t="s">
        <v>29</v>
      </c>
      <c r="Q115" s="7" t="s">
        <v>29</v>
      </c>
      <c r="R115" s="7" t="s">
        <v>29</v>
      </c>
      <c r="S115" s="7" t="s">
        <v>29</v>
      </c>
    </row>
    <row r="116" spans="2:19">
      <c r="B116" s="7" t="s">
        <v>195</v>
      </c>
      <c r="C116" s="8" t="s">
        <v>195</v>
      </c>
      <c r="D116" s="6" t="str">
        <f>LRTRIM(CONCATENATE(IF(SUMPRODUCT(-- ISNUMBER(SEARCH({"Auto Number"}, $B116))) &gt; 0, $B116, IF(SUMPRODUCT(-- ISNUMBER(SEARCH({"Lookup","Master-Detail"}, $B116))) &gt; 0,$B116 &amp; "(" &amp; $E116 &amp; ")",IF(SUMPRODUCT(-- ISNUMBER(SEARCH({"Formula","Roll-Up Summary"}, $B116))) &gt; 0,$B116 &amp; " (" &amp; $E116 &amp; ")",IF(SUMPRODUCT(-- ISNUMBER(SEARCH({"Content","Currency","Number","Percent","Text","URL"}, $B116))) &gt; 0,$B116 &amp; "(" &amp; $C116 &amp; ")",$B116)))), "  ", TRIM(IF($S116 = "YES", "(External ID)", "") &amp; " " &amp; IF(SUMPRODUCT(-- ISNUMBER(SEARCH({"Unique","Unique Case Insensitive"}, $R116))) &gt; 0, "(" &amp; $R116 &amp; ")", ""))))</f>
        <v>na</v>
      </c>
      <c r="E116" s="7" t="s">
        <v>195</v>
      </c>
      <c r="F116" s="7" t="s">
        <v>195</v>
      </c>
      <c r="G116" s="7" t="s">
        <v>195</v>
      </c>
      <c r="H116" s="7" t="s">
        <v>195</v>
      </c>
      <c r="I116" s="7" t="s">
        <v>195</v>
      </c>
      <c r="J116" s="7" t="s">
        <v>195</v>
      </c>
      <c r="K116" s="7" t="s">
        <v>195</v>
      </c>
      <c r="L116" s="7" t="s">
        <v>195</v>
      </c>
      <c r="M116" s="7" t="s">
        <v>29</v>
      </c>
      <c r="N116" s="7" t="s">
        <v>29</v>
      </c>
      <c r="O116" s="7" t="s">
        <v>29</v>
      </c>
      <c r="P116" s="7" t="s">
        <v>29</v>
      </c>
      <c r="Q116" s="7" t="s">
        <v>29</v>
      </c>
      <c r="R116" s="7" t="s">
        <v>29</v>
      </c>
      <c r="S116" s="7" t="s">
        <v>29</v>
      </c>
    </row>
    <row r="117" spans="2:19">
      <c r="B117" s="7" t="s">
        <v>195</v>
      </c>
      <c r="C117" s="8" t="s">
        <v>195</v>
      </c>
      <c r="D117" s="6" t="str">
        <f>LRTRIM(CONCATENATE(IF(SUMPRODUCT(-- ISNUMBER(SEARCH({"Auto Number"}, $B117))) &gt; 0, $B117, IF(SUMPRODUCT(-- ISNUMBER(SEARCH({"Lookup","Master-Detail"}, $B117))) &gt; 0,$B117 &amp; "(" &amp; $E117 &amp; ")",IF(SUMPRODUCT(-- ISNUMBER(SEARCH({"Formula","Roll-Up Summary"}, $B117))) &gt; 0,$B117 &amp; " (" &amp; $E117 &amp; ")",IF(SUMPRODUCT(-- ISNUMBER(SEARCH({"Content","Currency","Number","Percent","Text","URL"}, $B117))) &gt; 0,$B117 &amp; "(" &amp; $C117 &amp; ")",$B117)))), "  ", TRIM(IF($S117 = "YES", "(External ID)", "") &amp; " " &amp; IF(SUMPRODUCT(-- ISNUMBER(SEARCH({"Unique","Unique Case Insensitive"}, $R117))) &gt; 0, "(" &amp; $R117 &amp; ")", ""))))</f>
        <v>na</v>
      </c>
      <c r="E117" s="7" t="s">
        <v>195</v>
      </c>
      <c r="F117" s="7" t="s">
        <v>195</v>
      </c>
      <c r="G117" s="7" t="s">
        <v>195</v>
      </c>
      <c r="H117" s="7" t="s">
        <v>195</v>
      </c>
      <c r="I117" s="7" t="s">
        <v>195</v>
      </c>
      <c r="J117" s="7" t="s">
        <v>195</v>
      </c>
      <c r="K117" s="7" t="s">
        <v>195</v>
      </c>
      <c r="L117" s="7" t="s">
        <v>195</v>
      </c>
      <c r="M117" s="7" t="s">
        <v>29</v>
      </c>
      <c r="N117" s="7" t="s">
        <v>29</v>
      </c>
      <c r="O117" s="7" t="s">
        <v>29</v>
      </c>
      <c r="P117" s="7" t="s">
        <v>29</v>
      </c>
      <c r="Q117" s="7" t="s">
        <v>29</v>
      </c>
      <c r="R117" s="7" t="s">
        <v>29</v>
      </c>
      <c r="S117" s="7" t="s">
        <v>29</v>
      </c>
    </row>
    <row r="118" spans="2:19">
      <c r="B118" s="7" t="s">
        <v>195</v>
      </c>
      <c r="C118" s="8" t="s">
        <v>195</v>
      </c>
      <c r="D118" s="6" t="str">
        <f>LRTRIM(CONCATENATE(IF(SUMPRODUCT(-- ISNUMBER(SEARCH({"Auto Number"}, $B118))) &gt; 0, $B118, IF(SUMPRODUCT(-- ISNUMBER(SEARCH({"Lookup","Master-Detail"}, $B118))) &gt; 0,$B118 &amp; "(" &amp; $E118 &amp; ")",IF(SUMPRODUCT(-- ISNUMBER(SEARCH({"Formula","Roll-Up Summary"}, $B118))) &gt; 0,$B118 &amp; " (" &amp; $E118 &amp; ")",IF(SUMPRODUCT(-- ISNUMBER(SEARCH({"Content","Currency","Number","Percent","Text","URL"}, $B118))) &gt; 0,$B118 &amp; "(" &amp; $C118 &amp; ")",$B118)))), "  ", TRIM(IF($S118 = "YES", "(External ID)", "") &amp; " " &amp; IF(SUMPRODUCT(-- ISNUMBER(SEARCH({"Unique","Unique Case Insensitive"}, $R118))) &gt; 0, "(" &amp; $R118 &amp; ")", ""))))</f>
        <v>na</v>
      </c>
      <c r="E118" s="7" t="s">
        <v>195</v>
      </c>
      <c r="F118" s="7" t="s">
        <v>195</v>
      </c>
      <c r="G118" s="7" t="s">
        <v>195</v>
      </c>
      <c r="H118" s="7" t="s">
        <v>195</v>
      </c>
      <c r="I118" s="7" t="s">
        <v>195</v>
      </c>
      <c r="J118" s="7" t="s">
        <v>195</v>
      </c>
      <c r="K118" s="7" t="s">
        <v>195</v>
      </c>
      <c r="L118" s="7" t="s">
        <v>195</v>
      </c>
      <c r="M118" s="7" t="s">
        <v>29</v>
      </c>
      <c r="N118" s="7" t="s">
        <v>29</v>
      </c>
      <c r="O118" s="7" t="s">
        <v>29</v>
      </c>
      <c r="P118" s="7" t="s">
        <v>29</v>
      </c>
      <c r="Q118" s="7" t="s">
        <v>29</v>
      </c>
      <c r="R118" s="7" t="s">
        <v>29</v>
      </c>
      <c r="S118" s="7" t="s">
        <v>29</v>
      </c>
    </row>
    <row r="119" spans="2:19">
      <c r="B119" s="7" t="s">
        <v>195</v>
      </c>
      <c r="C119" s="8" t="s">
        <v>195</v>
      </c>
      <c r="D119" s="6" t="str">
        <f>LRTRIM(CONCATENATE(IF(SUMPRODUCT(-- ISNUMBER(SEARCH({"Auto Number"}, $B119))) &gt; 0, $B119, IF(SUMPRODUCT(-- ISNUMBER(SEARCH({"Lookup","Master-Detail"}, $B119))) &gt; 0,$B119 &amp; "(" &amp; $E119 &amp; ")",IF(SUMPRODUCT(-- ISNUMBER(SEARCH({"Formula","Roll-Up Summary"}, $B119))) &gt; 0,$B119 &amp; " (" &amp; $E119 &amp; ")",IF(SUMPRODUCT(-- ISNUMBER(SEARCH({"Content","Currency","Number","Percent","Text","URL"}, $B119))) &gt; 0,$B119 &amp; "(" &amp; $C119 &amp; ")",$B119)))), "  ", TRIM(IF($S119 = "YES", "(External ID)", "") &amp; " " &amp; IF(SUMPRODUCT(-- ISNUMBER(SEARCH({"Unique","Unique Case Insensitive"}, $R119))) &gt; 0, "(" &amp; $R119 &amp; ")", ""))))</f>
        <v>na</v>
      </c>
      <c r="E119" s="7" t="s">
        <v>195</v>
      </c>
      <c r="F119" s="7" t="s">
        <v>195</v>
      </c>
      <c r="G119" s="7" t="s">
        <v>195</v>
      </c>
      <c r="H119" s="7" t="s">
        <v>195</v>
      </c>
      <c r="I119" s="7" t="s">
        <v>195</v>
      </c>
      <c r="J119" s="7" t="s">
        <v>195</v>
      </c>
      <c r="K119" s="7" t="s">
        <v>195</v>
      </c>
      <c r="L119" s="7" t="s">
        <v>195</v>
      </c>
      <c r="M119" s="7" t="s">
        <v>29</v>
      </c>
      <c r="N119" s="7" t="s">
        <v>29</v>
      </c>
      <c r="O119" s="7" t="s">
        <v>29</v>
      </c>
      <c r="P119" s="7" t="s">
        <v>29</v>
      </c>
      <c r="Q119" s="7" t="s">
        <v>29</v>
      </c>
      <c r="R119" s="7" t="s">
        <v>29</v>
      </c>
      <c r="S119" s="7" t="s">
        <v>29</v>
      </c>
    </row>
    <row r="120" spans="2:19">
      <c r="B120" s="7" t="s">
        <v>195</v>
      </c>
      <c r="C120" s="8" t="s">
        <v>195</v>
      </c>
      <c r="D120" s="6" t="str">
        <f>LRTRIM(CONCATENATE(IF(SUMPRODUCT(-- ISNUMBER(SEARCH({"Auto Number"}, $B120))) &gt; 0, $B120, IF(SUMPRODUCT(-- ISNUMBER(SEARCH({"Lookup","Master-Detail"}, $B120))) &gt; 0,$B120 &amp; "(" &amp; $E120 &amp; ")",IF(SUMPRODUCT(-- ISNUMBER(SEARCH({"Formula","Roll-Up Summary"}, $B120))) &gt; 0,$B120 &amp; " (" &amp; $E120 &amp; ")",IF(SUMPRODUCT(-- ISNUMBER(SEARCH({"Content","Currency","Number","Percent","Text","URL"}, $B120))) &gt; 0,$B120 &amp; "(" &amp; $C120 &amp; ")",$B120)))), "  ", TRIM(IF($S120 = "YES", "(External ID)", "") &amp; " " &amp; IF(SUMPRODUCT(-- ISNUMBER(SEARCH({"Unique","Unique Case Insensitive"}, $R120))) &gt; 0, "(" &amp; $R120 &amp; ")", ""))))</f>
        <v>na</v>
      </c>
      <c r="E120" s="7" t="s">
        <v>195</v>
      </c>
      <c r="F120" s="7" t="s">
        <v>195</v>
      </c>
      <c r="G120" s="7" t="s">
        <v>195</v>
      </c>
      <c r="H120" s="7" t="s">
        <v>195</v>
      </c>
      <c r="I120" s="7" t="s">
        <v>195</v>
      </c>
      <c r="J120" s="7" t="s">
        <v>195</v>
      </c>
      <c r="K120" s="7" t="s">
        <v>195</v>
      </c>
      <c r="L120" s="7" t="s">
        <v>195</v>
      </c>
      <c r="M120" s="7" t="s">
        <v>29</v>
      </c>
      <c r="N120" s="7" t="s">
        <v>29</v>
      </c>
      <c r="O120" s="7" t="s">
        <v>29</v>
      </c>
      <c r="P120" s="7" t="s">
        <v>29</v>
      </c>
      <c r="Q120" s="7" t="s">
        <v>29</v>
      </c>
      <c r="R120" s="7" t="s">
        <v>29</v>
      </c>
      <c r="S120" s="7" t="s">
        <v>29</v>
      </c>
    </row>
    <row r="121" spans="2:19">
      <c r="B121" s="7" t="s">
        <v>195</v>
      </c>
      <c r="C121" s="8" t="s">
        <v>195</v>
      </c>
      <c r="D121" s="6" t="str">
        <f>LRTRIM(CONCATENATE(IF(SUMPRODUCT(-- ISNUMBER(SEARCH({"Auto Number"}, $B121))) &gt; 0, $B121, IF(SUMPRODUCT(-- ISNUMBER(SEARCH({"Lookup","Master-Detail"}, $B121))) &gt; 0,$B121 &amp; "(" &amp; $E121 &amp; ")",IF(SUMPRODUCT(-- ISNUMBER(SEARCH({"Formula","Roll-Up Summary"}, $B121))) &gt; 0,$B121 &amp; " (" &amp; $E121 &amp; ")",IF(SUMPRODUCT(-- ISNUMBER(SEARCH({"Content","Currency","Number","Percent","Text","URL"}, $B121))) &gt; 0,$B121 &amp; "(" &amp; $C121 &amp; ")",$B121)))), "  ", TRIM(IF($S121 = "YES", "(External ID)", "") &amp; " " &amp; IF(SUMPRODUCT(-- ISNUMBER(SEARCH({"Unique","Unique Case Insensitive"}, $R121))) &gt; 0, "(" &amp; $R121 &amp; ")", ""))))</f>
        <v>na</v>
      </c>
      <c r="E121" s="7" t="s">
        <v>195</v>
      </c>
      <c r="F121" s="7" t="s">
        <v>195</v>
      </c>
      <c r="G121" s="7" t="s">
        <v>195</v>
      </c>
      <c r="H121" s="7" t="s">
        <v>195</v>
      </c>
      <c r="I121" s="7" t="s">
        <v>195</v>
      </c>
      <c r="J121" s="7" t="s">
        <v>195</v>
      </c>
      <c r="K121" s="7" t="s">
        <v>195</v>
      </c>
      <c r="L121" s="7" t="s">
        <v>195</v>
      </c>
      <c r="M121" s="7" t="s">
        <v>29</v>
      </c>
      <c r="N121" s="7" t="s">
        <v>29</v>
      </c>
      <c r="O121" s="7" t="s">
        <v>29</v>
      </c>
      <c r="P121" s="7" t="s">
        <v>29</v>
      </c>
      <c r="Q121" s="7" t="s">
        <v>29</v>
      </c>
      <c r="R121" s="7" t="s">
        <v>29</v>
      </c>
      <c r="S121" s="7" t="s">
        <v>29</v>
      </c>
    </row>
    <row r="122" spans="2:19">
      <c r="B122" s="7" t="s">
        <v>195</v>
      </c>
      <c r="C122" s="8" t="s">
        <v>195</v>
      </c>
      <c r="D122" s="6" t="str">
        <f>LRTRIM(CONCATENATE(IF(SUMPRODUCT(-- ISNUMBER(SEARCH({"Auto Number"}, $B122))) &gt; 0, $B122, IF(SUMPRODUCT(-- ISNUMBER(SEARCH({"Lookup","Master-Detail"}, $B122))) &gt; 0,$B122 &amp; "(" &amp; $E122 &amp; ")",IF(SUMPRODUCT(-- ISNUMBER(SEARCH({"Formula","Roll-Up Summary"}, $B122))) &gt; 0,$B122 &amp; " (" &amp; $E122 &amp; ")",IF(SUMPRODUCT(-- ISNUMBER(SEARCH({"Content","Currency","Number","Percent","Text","URL"}, $B122))) &gt; 0,$B122 &amp; "(" &amp; $C122 &amp; ")",$B122)))), "  ", TRIM(IF($S122 = "YES", "(External ID)", "") &amp; " " &amp; IF(SUMPRODUCT(-- ISNUMBER(SEARCH({"Unique","Unique Case Insensitive"}, $R122))) &gt; 0, "(" &amp; $R122 &amp; ")", ""))))</f>
        <v>na</v>
      </c>
      <c r="E122" s="7" t="s">
        <v>195</v>
      </c>
      <c r="F122" s="7" t="s">
        <v>195</v>
      </c>
      <c r="G122" s="7" t="s">
        <v>195</v>
      </c>
      <c r="H122" s="7" t="s">
        <v>195</v>
      </c>
      <c r="I122" s="7" t="s">
        <v>195</v>
      </c>
      <c r="J122" s="7" t="s">
        <v>195</v>
      </c>
      <c r="K122" s="7" t="s">
        <v>195</v>
      </c>
      <c r="L122" s="7" t="s">
        <v>195</v>
      </c>
      <c r="M122" s="7" t="s">
        <v>29</v>
      </c>
      <c r="N122" s="7" t="s">
        <v>29</v>
      </c>
      <c r="O122" s="7" t="s">
        <v>29</v>
      </c>
      <c r="P122" s="7" t="s">
        <v>29</v>
      </c>
      <c r="Q122" s="7" t="s">
        <v>29</v>
      </c>
      <c r="R122" s="7" t="s">
        <v>29</v>
      </c>
      <c r="S122" s="7" t="s">
        <v>29</v>
      </c>
    </row>
    <row r="123" spans="2:19">
      <c r="B123" s="7" t="s">
        <v>195</v>
      </c>
      <c r="C123" s="8" t="s">
        <v>195</v>
      </c>
      <c r="D123" s="6" t="str">
        <f>LRTRIM(CONCATENATE(IF(SUMPRODUCT(-- ISNUMBER(SEARCH({"Auto Number"}, $B123))) &gt; 0, $B123, IF(SUMPRODUCT(-- ISNUMBER(SEARCH({"Lookup","Master-Detail"}, $B123))) &gt; 0,$B123 &amp; "(" &amp; $E123 &amp; ")",IF(SUMPRODUCT(-- ISNUMBER(SEARCH({"Formula","Roll-Up Summary"}, $B123))) &gt; 0,$B123 &amp; " (" &amp; $E123 &amp; ")",IF(SUMPRODUCT(-- ISNUMBER(SEARCH({"Content","Currency","Number","Percent","Text","URL"}, $B123))) &gt; 0,$B123 &amp; "(" &amp; $C123 &amp; ")",$B123)))), "  ", TRIM(IF($S123 = "YES", "(External ID)", "") &amp; " " &amp; IF(SUMPRODUCT(-- ISNUMBER(SEARCH({"Unique","Unique Case Insensitive"}, $R123))) &gt; 0, "(" &amp; $R123 &amp; ")", ""))))</f>
        <v>na</v>
      </c>
      <c r="E123" s="7" t="s">
        <v>195</v>
      </c>
      <c r="F123" s="7" t="s">
        <v>195</v>
      </c>
      <c r="G123" s="7" t="s">
        <v>195</v>
      </c>
      <c r="H123" s="7" t="s">
        <v>195</v>
      </c>
      <c r="I123" s="7" t="s">
        <v>195</v>
      </c>
      <c r="J123" s="7" t="s">
        <v>195</v>
      </c>
      <c r="K123" s="7" t="s">
        <v>195</v>
      </c>
      <c r="L123" s="7" t="s">
        <v>195</v>
      </c>
      <c r="M123" s="7" t="s">
        <v>29</v>
      </c>
      <c r="N123" s="7" t="s">
        <v>29</v>
      </c>
      <c r="O123" s="7" t="s">
        <v>29</v>
      </c>
      <c r="P123" s="7" t="s">
        <v>29</v>
      </c>
      <c r="Q123" s="7" t="s">
        <v>29</v>
      </c>
      <c r="R123" s="7" t="s">
        <v>29</v>
      </c>
      <c r="S123" s="7" t="s">
        <v>29</v>
      </c>
    </row>
    <row r="124" spans="2:19">
      <c r="B124" s="7" t="s">
        <v>195</v>
      </c>
      <c r="C124" s="8" t="s">
        <v>195</v>
      </c>
      <c r="D124" s="6" t="str">
        <f>LRTRIM(CONCATENATE(IF(SUMPRODUCT(-- ISNUMBER(SEARCH({"Auto Number"}, $B124))) &gt; 0, $B124, IF(SUMPRODUCT(-- ISNUMBER(SEARCH({"Lookup","Master-Detail"}, $B124))) &gt; 0,$B124 &amp; "(" &amp; $E124 &amp; ")",IF(SUMPRODUCT(-- ISNUMBER(SEARCH({"Formula","Roll-Up Summary"}, $B124))) &gt; 0,$B124 &amp; " (" &amp; $E124 &amp; ")",IF(SUMPRODUCT(-- ISNUMBER(SEARCH({"Content","Currency","Number","Percent","Text","URL"}, $B124))) &gt; 0,$B124 &amp; "(" &amp; $C124 &amp; ")",$B124)))), "  ", TRIM(IF($S124 = "YES", "(External ID)", "") &amp; " " &amp; IF(SUMPRODUCT(-- ISNUMBER(SEARCH({"Unique","Unique Case Insensitive"}, $R124))) &gt; 0, "(" &amp; $R124 &amp; ")", ""))))</f>
        <v>na</v>
      </c>
      <c r="E124" s="7" t="s">
        <v>195</v>
      </c>
      <c r="F124" s="7" t="s">
        <v>195</v>
      </c>
      <c r="G124" s="7" t="s">
        <v>195</v>
      </c>
      <c r="H124" s="7" t="s">
        <v>195</v>
      </c>
      <c r="I124" s="7" t="s">
        <v>195</v>
      </c>
      <c r="J124" s="7" t="s">
        <v>195</v>
      </c>
      <c r="K124" s="7" t="s">
        <v>195</v>
      </c>
      <c r="L124" s="7" t="s">
        <v>195</v>
      </c>
      <c r="M124" s="7" t="s">
        <v>29</v>
      </c>
      <c r="N124" s="7" t="s">
        <v>29</v>
      </c>
      <c r="O124" s="7" t="s">
        <v>29</v>
      </c>
      <c r="P124" s="7" t="s">
        <v>29</v>
      </c>
      <c r="Q124" s="7" t="s">
        <v>29</v>
      </c>
      <c r="R124" s="7" t="s">
        <v>29</v>
      </c>
      <c r="S124" s="7" t="s">
        <v>29</v>
      </c>
    </row>
    <row r="125" spans="2:19">
      <c r="B125" s="7" t="s">
        <v>195</v>
      </c>
      <c r="C125" s="8" t="s">
        <v>195</v>
      </c>
      <c r="D125" s="6" t="str">
        <f>LRTRIM(CONCATENATE(IF(SUMPRODUCT(-- ISNUMBER(SEARCH({"Auto Number"}, $B125))) &gt; 0, $B125, IF(SUMPRODUCT(-- ISNUMBER(SEARCH({"Lookup","Master-Detail"}, $B125))) &gt; 0,$B125 &amp; "(" &amp; $E125 &amp; ")",IF(SUMPRODUCT(-- ISNUMBER(SEARCH({"Formula","Roll-Up Summary"}, $B125))) &gt; 0,$B125 &amp; " (" &amp; $E125 &amp; ")",IF(SUMPRODUCT(-- ISNUMBER(SEARCH({"Content","Currency","Number","Percent","Text","URL"}, $B125))) &gt; 0,$B125 &amp; "(" &amp; $C125 &amp; ")",$B125)))), "  ", TRIM(IF($S125 = "YES", "(External ID)", "") &amp; " " &amp; IF(SUMPRODUCT(-- ISNUMBER(SEARCH({"Unique","Unique Case Insensitive"}, $R125))) &gt; 0, "(" &amp; $R125 &amp; ")", ""))))</f>
        <v>na</v>
      </c>
      <c r="E125" s="7" t="s">
        <v>195</v>
      </c>
      <c r="F125" s="7" t="s">
        <v>195</v>
      </c>
      <c r="G125" s="7" t="s">
        <v>195</v>
      </c>
      <c r="H125" s="7" t="s">
        <v>195</v>
      </c>
      <c r="I125" s="7" t="s">
        <v>195</v>
      </c>
      <c r="J125" s="7" t="s">
        <v>195</v>
      </c>
      <c r="K125" s="7" t="s">
        <v>195</v>
      </c>
      <c r="L125" s="7" t="s">
        <v>195</v>
      </c>
      <c r="M125" s="7" t="s">
        <v>29</v>
      </c>
      <c r="N125" s="7" t="s">
        <v>29</v>
      </c>
      <c r="O125" s="7" t="s">
        <v>29</v>
      </c>
      <c r="P125" s="7" t="s">
        <v>29</v>
      </c>
      <c r="Q125" s="7" t="s">
        <v>29</v>
      </c>
      <c r="R125" s="7" t="s">
        <v>29</v>
      </c>
      <c r="S125" s="7" t="s">
        <v>29</v>
      </c>
    </row>
    <row r="126" spans="2:19">
      <c r="B126" s="7" t="s">
        <v>195</v>
      </c>
      <c r="C126" s="8" t="s">
        <v>195</v>
      </c>
      <c r="D126" s="6" t="str">
        <f>LRTRIM(CONCATENATE(IF(SUMPRODUCT(-- ISNUMBER(SEARCH({"Auto Number"}, $B126))) &gt; 0, $B126, IF(SUMPRODUCT(-- ISNUMBER(SEARCH({"Lookup","Master-Detail"}, $B126))) &gt; 0,$B126 &amp; "(" &amp; $E126 &amp; ")",IF(SUMPRODUCT(-- ISNUMBER(SEARCH({"Formula","Roll-Up Summary"}, $B126))) &gt; 0,$B126 &amp; " (" &amp; $E126 &amp; ")",IF(SUMPRODUCT(-- ISNUMBER(SEARCH({"Content","Currency","Number","Percent","Text","URL"}, $B126))) &gt; 0,$B126 &amp; "(" &amp; $C126 &amp; ")",$B126)))), "  ", TRIM(IF($S126 = "YES", "(External ID)", "") &amp; " " &amp; IF(SUMPRODUCT(-- ISNUMBER(SEARCH({"Unique","Unique Case Insensitive"}, $R126))) &gt; 0, "(" &amp; $R126 &amp; ")", ""))))</f>
        <v>na</v>
      </c>
      <c r="E126" s="7" t="s">
        <v>195</v>
      </c>
      <c r="F126" s="7" t="s">
        <v>195</v>
      </c>
      <c r="G126" s="7" t="s">
        <v>195</v>
      </c>
      <c r="H126" s="7" t="s">
        <v>195</v>
      </c>
      <c r="I126" s="7" t="s">
        <v>195</v>
      </c>
      <c r="J126" s="7" t="s">
        <v>195</v>
      </c>
      <c r="K126" s="7" t="s">
        <v>195</v>
      </c>
      <c r="L126" s="7" t="s">
        <v>195</v>
      </c>
      <c r="M126" s="7" t="s">
        <v>29</v>
      </c>
      <c r="N126" s="7" t="s">
        <v>29</v>
      </c>
      <c r="O126" s="7" t="s">
        <v>29</v>
      </c>
      <c r="P126" s="7" t="s">
        <v>29</v>
      </c>
      <c r="Q126" s="7" t="s">
        <v>29</v>
      </c>
      <c r="R126" s="7" t="s">
        <v>29</v>
      </c>
      <c r="S126" s="7" t="s">
        <v>29</v>
      </c>
    </row>
    <row r="127" spans="2:19">
      <c r="B127" s="7" t="s">
        <v>195</v>
      </c>
      <c r="C127" s="8" t="s">
        <v>195</v>
      </c>
      <c r="D127" s="6" t="str">
        <f>LRTRIM(CONCATENATE(IF(SUMPRODUCT(-- ISNUMBER(SEARCH({"Auto Number"}, $B127))) &gt; 0, $B127, IF(SUMPRODUCT(-- ISNUMBER(SEARCH({"Lookup","Master-Detail"}, $B127))) &gt; 0,$B127 &amp; "(" &amp; $E127 &amp; ")",IF(SUMPRODUCT(-- ISNUMBER(SEARCH({"Formula","Roll-Up Summary"}, $B127))) &gt; 0,$B127 &amp; " (" &amp; $E127 &amp; ")",IF(SUMPRODUCT(-- ISNUMBER(SEARCH({"Content","Currency","Number","Percent","Text","URL"}, $B127))) &gt; 0,$B127 &amp; "(" &amp; $C127 &amp; ")",$B127)))), "  ", TRIM(IF($S127 = "YES", "(External ID)", "") &amp; " " &amp; IF(SUMPRODUCT(-- ISNUMBER(SEARCH({"Unique","Unique Case Insensitive"}, $R127))) &gt; 0, "(" &amp; $R127 &amp; ")", ""))))</f>
        <v>na</v>
      </c>
      <c r="E127" s="7" t="s">
        <v>195</v>
      </c>
      <c r="F127" s="7" t="s">
        <v>195</v>
      </c>
      <c r="G127" s="7" t="s">
        <v>195</v>
      </c>
      <c r="H127" s="7" t="s">
        <v>195</v>
      </c>
      <c r="I127" s="7" t="s">
        <v>195</v>
      </c>
      <c r="J127" s="7" t="s">
        <v>195</v>
      </c>
      <c r="K127" s="7" t="s">
        <v>195</v>
      </c>
      <c r="L127" s="7" t="s">
        <v>195</v>
      </c>
      <c r="M127" s="7" t="s">
        <v>29</v>
      </c>
      <c r="N127" s="7" t="s">
        <v>29</v>
      </c>
      <c r="O127" s="7" t="s">
        <v>29</v>
      </c>
      <c r="P127" s="7" t="s">
        <v>29</v>
      </c>
      <c r="Q127" s="7" t="s">
        <v>29</v>
      </c>
      <c r="R127" s="7" t="s">
        <v>29</v>
      </c>
      <c r="S127" s="7" t="s">
        <v>29</v>
      </c>
    </row>
    <row r="128" spans="2:19">
      <c r="B128" s="7" t="s">
        <v>195</v>
      </c>
      <c r="C128" s="8" t="s">
        <v>195</v>
      </c>
      <c r="D128" s="6" t="str">
        <f>LRTRIM(CONCATENATE(IF(SUMPRODUCT(-- ISNUMBER(SEARCH({"Auto Number"}, $B128))) &gt; 0, $B128, IF(SUMPRODUCT(-- ISNUMBER(SEARCH({"Lookup","Master-Detail"}, $B128))) &gt; 0,$B128 &amp; "(" &amp; $E128 &amp; ")",IF(SUMPRODUCT(-- ISNUMBER(SEARCH({"Formula","Roll-Up Summary"}, $B128))) &gt; 0,$B128 &amp; " (" &amp; $E128 &amp; ")",IF(SUMPRODUCT(-- ISNUMBER(SEARCH({"Content","Currency","Number","Percent","Text","URL"}, $B128))) &gt; 0,$B128 &amp; "(" &amp; $C128 &amp; ")",$B128)))), "  ", TRIM(IF($S128 = "YES", "(External ID)", "") &amp; " " &amp; IF(SUMPRODUCT(-- ISNUMBER(SEARCH({"Unique","Unique Case Insensitive"}, $R128))) &gt; 0, "(" &amp; $R128 &amp; ")", ""))))</f>
        <v>na</v>
      </c>
      <c r="E128" s="7" t="s">
        <v>195</v>
      </c>
      <c r="F128" s="7" t="s">
        <v>195</v>
      </c>
      <c r="G128" s="7" t="s">
        <v>195</v>
      </c>
      <c r="H128" s="7" t="s">
        <v>195</v>
      </c>
      <c r="I128" s="7" t="s">
        <v>195</v>
      </c>
      <c r="J128" s="7" t="s">
        <v>195</v>
      </c>
      <c r="K128" s="7" t="s">
        <v>195</v>
      </c>
      <c r="L128" s="7" t="s">
        <v>195</v>
      </c>
      <c r="M128" s="7" t="s">
        <v>29</v>
      </c>
      <c r="N128" s="7" t="s">
        <v>29</v>
      </c>
      <c r="O128" s="7" t="s">
        <v>29</v>
      </c>
      <c r="P128" s="7" t="s">
        <v>29</v>
      </c>
      <c r="Q128" s="7" t="s">
        <v>29</v>
      </c>
      <c r="R128" s="7" t="s">
        <v>29</v>
      </c>
      <c r="S128" s="7" t="s">
        <v>29</v>
      </c>
    </row>
    <row r="129" spans="2:19">
      <c r="B129" s="7" t="s">
        <v>195</v>
      </c>
      <c r="C129" s="8" t="s">
        <v>195</v>
      </c>
      <c r="D129" s="6" t="str">
        <f>LRTRIM(CONCATENATE(IF(SUMPRODUCT(-- ISNUMBER(SEARCH({"Auto Number"}, $B129))) &gt; 0, $B129, IF(SUMPRODUCT(-- ISNUMBER(SEARCH({"Lookup","Master-Detail"}, $B129))) &gt; 0,$B129 &amp; "(" &amp; $E129 &amp; ")",IF(SUMPRODUCT(-- ISNUMBER(SEARCH({"Formula","Roll-Up Summary"}, $B129))) &gt; 0,$B129 &amp; " (" &amp; $E129 &amp; ")",IF(SUMPRODUCT(-- ISNUMBER(SEARCH({"Content","Currency","Number","Percent","Text","URL"}, $B129))) &gt; 0,$B129 &amp; "(" &amp; $C129 &amp; ")",$B129)))), "  ", TRIM(IF($S129 = "YES", "(External ID)", "") &amp; " " &amp; IF(SUMPRODUCT(-- ISNUMBER(SEARCH({"Unique","Unique Case Insensitive"}, $R129))) &gt; 0, "(" &amp; $R129 &amp; ")", ""))))</f>
        <v>na</v>
      </c>
      <c r="E129" s="7" t="s">
        <v>195</v>
      </c>
      <c r="F129" s="7" t="s">
        <v>195</v>
      </c>
      <c r="G129" s="7" t="s">
        <v>195</v>
      </c>
      <c r="H129" s="7" t="s">
        <v>195</v>
      </c>
      <c r="I129" s="7" t="s">
        <v>195</v>
      </c>
      <c r="J129" s="7" t="s">
        <v>195</v>
      </c>
      <c r="K129" s="7" t="s">
        <v>195</v>
      </c>
      <c r="L129" s="7" t="s">
        <v>195</v>
      </c>
      <c r="M129" s="7" t="s">
        <v>29</v>
      </c>
      <c r="N129" s="7" t="s">
        <v>29</v>
      </c>
      <c r="O129" s="7" t="s">
        <v>29</v>
      </c>
      <c r="P129" s="7" t="s">
        <v>29</v>
      </c>
      <c r="Q129" s="7" t="s">
        <v>29</v>
      </c>
      <c r="R129" s="7" t="s">
        <v>29</v>
      </c>
      <c r="S129" s="7" t="s">
        <v>29</v>
      </c>
    </row>
    <row r="130" spans="2:19">
      <c r="B130" s="7" t="s">
        <v>195</v>
      </c>
      <c r="C130" s="8" t="s">
        <v>195</v>
      </c>
      <c r="D130" s="6" t="str">
        <f>LRTRIM(CONCATENATE(IF(SUMPRODUCT(-- ISNUMBER(SEARCH({"Auto Number"}, $B130))) &gt; 0, $B130, IF(SUMPRODUCT(-- ISNUMBER(SEARCH({"Lookup","Master-Detail"}, $B130))) &gt; 0,$B130 &amp; "(" &amp; $E130 &amp; ")",IF(SUMPRODUCT(-- ISNUMBER(SEARCH({"Formula","Roll-Up Summary"}, $B130))) &gt; 0,$B130 &amp; " (" &amp; $E130 &amp; ")",IF(SUMPRODUCT(-- ISNUMBER(SEARCH({"Content","Currency","Number","Percent","Text","URL"}, $B130))) &gt; 0,$B130 &amp; "(" &amp; $C130 &amp; ")",$B130)))), "  ", TRIM(IF($S130 = "YES", "(External ID)", "") &amp; " " &amp; IF(SUMPRODUCT(-- ISNUMBER(SEARCH({"Unique","Unique Case Insensitive"}, $R130))) &gt; 0, "(" &amp; $R130 &amp; ")", ""))))</f>
        <v>na</v>
      </c>
      <c r="E130" s="7" t="s">
        <v>195</v>
      </c>
      <c r="F130" s="7" t="s">
        <v>195</v>
      </c>
      <c r="G130" s="7" t="s">
        <v>195</v>
      </c>
      <c r="H130" s="7" t="s">
        <v>195</v>
      </c>
      <c r="I130" s="7" t="s">
        <v>195</v>
      </c>
      <c r="J130" s="7" t="s">
        <v>195</v>
      </c>
      <c r="K130" s="7" t="s">
        <v>195</v>
      </c>
      <c r="L130" s="7" t="s">
        <v>195</v>
      </c>
      <c r="M130" s="7" t="s">
        <v>29</v>
      </c>
      <c r="N130" s="7" t="s">
        <v>29</v>
      </c>
      <c r="O130" s="7" t="s">
        <v>29</v>
      </c>
      <c r="P130" s="7" t="s">
        <v>29</v>
      </c>
      <c r="Q130" s="7" t="s">
        <v>29</v>
      </c>
      <c r="R130" s="7" t="s">
        <v>29</v>
      </c>
      <c r="S130" s="7" t="s">
        <v>29</v>
      </c>
    </row>
    <row r="131" spans="2:19">
      <c r="B131" s="7" t="s">
        <v>195</v>
      </c>
      <c r="C131" s="8" t="s">
        <v>195</v>
      </c>
      <c r="D131" s="6" t="str">
        <f>LRTRIM(CONCATENATE(IF(SUMPRODUCT(-- ISNUMBER(SEARCH({"Auto Number"}, $B131))) &gt; 0, $B131, IF(SUMPRODUCT(-- ISNUMBER(SEARCH({"Lookup","Master-Detail"}, $B131))) &gt; 0,$B131 &amp; "(" &amp; $E131 &amp; ")",IF(SUMPRODUCT(-- ISNUMBER(SEARCH({"Formula","Roll-Up Summary"}, $B131))) &gt; 0,$B131 &amp; " (" &amp; $E131 &amp; ")",IF(SUMPRODUCT(-- ISNUMBER(SEARCH({"Content","Currency","Number","Percent","Text","URL"}, $B131))) &gt; 0,$B131 &amp; "(" &amp; $C131 &amp; ")",$B131)))), "  ", TRIM(IF($S131 = "YES", "(External ID)", "") &amp; " " &amp; IF(SUMPRODUCT(-- ISNUMBER(SEARCH({"Unique","Unique Case Insensitive"}, $R131))) &gt; 0, "(" &amp; $R131 &amp; ")", ""))))</f>
        <v>na</v>
      </c>
      <c r="E131" s="7" t="s">
        <v>195</v>
      </c>
      <c r="F131" s="7" t="s">
        <v>195</v>
      </c>
      <c r="G131" s="7" t="s">
        <v>195</v>
      </c>
      <c r="H131" s="7" t="s">
        <v>195</v>
      </c>
      <c r="I131" s="7" t="s">
        <v>195</v>
      </c>
      <c r="J131" s="7" t="s">
        <v>195</v>
      </c>
      <c r="K131" s="7" t="s">
        <v>195</v>
      </c>
      <c r="L131" s="7" t="s">
        <v>195</v>
      </c>
      <c r="M131" s="7" t="s">
        <v>29</v>
      </c>
      <c r="N131" s="7" t="s">
        <v>29</v>
      </c>
      <c r="O131" s="7" t="s">
        <v>29</v>
      </c>
      <c r="P131" s="7" t="s">
        <v>29</v>
      </c>
      <c r="Q131" s="7" t="s">
        <v>29</v>
      </c>
      <c r="R131" s="7" t="s">
        <v>29</v>
      </c>
      <c r="S131" s="7" t="s">
        <v>29</v>
      </c>
    </row>
    <row r="132" spans="2:19">
      <c r="B132" s="7" t="s">
        <v>195</v>
      </c>
      <c r="C132" s="8" t="s">
        <v>195</v>
      </c>
      <c r="D132" s="6" t="str">
        <f>LRTRIM(CONCATENATE(IF(SUMPRODUCT(-- ISNUMBER(SEARCH({"Auto Number"}, $B132))) &gt; 0, $B132, IF(SUMPRODUCT(-- ISNUMBER(SEARCH({"Lookup","Master-Detail"}, $B132))) &gt; 0,$B132 &amp; "(" &amp; $E132 &amp; ")",IF(SUMPRODUCT(-- ISNUMBER(SEARCH({"Formula","Roll-Up Summary"}, $B132))) &gt; 0,$B132 &amp; " (" &amp; $E132 &amp; ")",IF(SUMPRODUCT(-- ISNUMBER(SEARCH({"Content","Currency","Number","Percent","Text","URL"}, $B132))) &gt; 0,$B132 &amp; "(" &amp; $C132 &amp; ")",$B132)))), "  ", TRIM(IF($S132 = "YES", "(External ID)", "") &amp; " " &amp; IF(SUMPRODUCT(-- ISNUMBER(SEARCH({"Unique","Unique Case Insensitive"}, $R132))) &gt; 0, "(" &amp; $R132 &amp; ")", ""))))</f>
        <v>na</v>
      </c>
      <c r="E132" s="7" t="s">
        <v>195</v>
      </c>
      <c r="F132" s="7" t="s">
        <v>195</v>
      </c>
      <c r="G132" s="7" t="s">
        <v>195</v>
      </c>
      <c r="H132" s="7" t="s">
        <v>195</v>
      </c>
      <c r="I132" s="7" t="s">
        <v>195</v>
      </c>
      <c r="J132" s="7" t="s">
        <v>195</v>
      </c>
      <c r="K132" s="7" t="s">
        <v>195</v>
      </c>
      <c r="L132" s="7" t="s">
        <v>195</v>
      </c>
      <c r="M132" s="7" t="s">
        <v>29</v>
      </c>
      <c r="N132" s="7" t="s">
        <v>29</v>
      </c>
      <c r="O132" s="7" t="s">
        <v>29</v>
      </c>
      <c r="P132" s="7" t="s">
        <v>29</v>
      </c>
      <c r="Q132" s="7" t="s">
        <v>29</v>
      </c>
      <c r="R132" s="7" t="s">
        <v>29</v>
      </c>
      <c r="S132" s="7" t="s">
        <v>29</v>
      </c>
    </row>
    <row r="133" spans="2:19">
      <c r="B133" s="7" t="s">
        <v>195</v>
      </c>
      <c r="C133" s="8" t="s">
        <v>195</v>
      </c>
      <c r="D133" s="6" t="str">
        <f>LRTRIM(CONCATENATE(IF(SUMPRODUCT(-- ISNUMBER(SEARCH({"Auto Number"}, $B133))) &gt; 0, $B133, IF(SUMPRODUCT(-- ISNUMBER(SEARCH({"Lookup","Master-Detail"}, $B133))) &gt; 0,$B133 &amp; "(" &amp; $E133 &amp; ")",IF(SUMPRODUCT(-- ISNUMBER(SEARCH({"Formula","Roll-Up Summary"}, $B133))) &gt; 0,$B133 &amp; " (" &amp; $E133 &amp; ")",IF(SUMPRODUCT(-- ISNUMBER(SEARCH({"Content","Currency","Number","Percent","Text","URL"}, $B133))) &gt; 0,$B133 &amp; "(" &amp; $C133 &amp; ")",$B133)))), "  ", TRIM(IF($S133 = "YES", "(External ID)", "") &amp; " " &amp; IF(SUMPRODUCT(-- ISNUMBER(SEARCH({"Unique","Unique Case Insensitive"}, $R133))) &gt; 0, "(" &amp; $R133 &amp; ")", ""))))</f>
        <v>na</v>
      </c>
      <c r="E133" s="7" t="s">
        <v>195</v>
      </c>
      <c r="F133" s="7" t="s">
        <v>195</v>
      </c>
      <c r="G133" s="7" t="s">
        <v>195</v>
      </c>
      <c r="H133" s="7" t="s">
        <v>195</v>
      </c>
      <c r="I133" s="7" t="s">
        <v>195</v>
      </c>
      <c r="J133" s="7" t="s">
        <v>195</v>
      </c>
      <c r="K133" s="7" t="s">
        <v>195</v>
      </c>
      <c r="L133" s="7" t="s">
        <v>195</v>
      </c>
      <c r="M133" s="7" t="s">
        <v>29</v>
      </c>
      <c r="N133" s="7" t="s">
        <v>29</v>
      </c>
      <c r="O133" s="7" t="s">
        <v>29</v>
      </c>
      <c r="P133" s="7" t="s">
        <v>29</v>
      </c>
      <c r="Q133" s="7" t="s">
        <v>29</v>
      </c>
      <c r="R133" s="7" t="s">
        <v>29</v>
      </c>
      <c r="S133" s="7" t="s">
        <v>29</v>
      </c>
    </row>
    <row r="134" spans="2:19">
      <c r="B134" s="7" t="s">
        <v>195</v>
      </c>
      <c r="C134" s="8" t="s">
        <v>195</v>
      </c>
      <c r="D134" s="6" t="str">
        <f>LRTRIM(CONCATENATE(IF(SUMPRODUCT(-- ISNUMBER(SEARCH({"Auto Number"}, $B134))) &gt; 0, $B134, IF(SUMPRODUCT(-- ISNUMBER(SEARCH({"Lookup","Master-Detail"}, $B134))) &gt; 0,$B134 &amp; "(" &amp; $E134 &amp; ")",IF(SUMPRODUCT(-- ISNUMBER(SEARCH({"Formula","Roll-Up Summary"}, $B134))) &gt; 0,$B134 &amp; " (" &amp; $E134 &amp; ")",IF(SUMPRODUCT(-- ISNUMBER(SEARCH({"Content","Currency","Number","Percent","Text","URL"}, $B134))) &gt; 0,$B134 &amp; "(" &amp; $C134 &amp; ")",$B134)))), "  ", TRIM(IF($S134 = "YES", "(External ID)", "") &amp; " " &amp; IF(SUMPRODUCT(-- ISNUMBER(SEARCH({"Unique","Unique Case Insensitive"}, $R134))) &gt; 0, "(" &amp; $R134 &amp; ")", ""))))</f>
        <v>na</v>
      </c>
      <c r="E134" s="7" t="s">
        <v>195</v>
      </c>
      <c r="F134" s="7" t="s">
        <v>195</v>
      </c>
      <c r="G134" s="7" t="s">
        <v>195</v>
      </c>
      <c r="H134" s="7" t="s">
        <v>195</v>
      </c>
      <c r="I134" s="7" t="s">
        <v>195</v>
      </c>
      <c r="J134" s="7" t="s">
        <v>195</v>
      </c>
      <c r="K134" s="7" t="s">
        <v>195</v>
      </c>
      <c r="L134" s="7" t="s">
        <v>195</v>
      </c>
      <c r="M134" s="7" t="s">
        <v>29</v>
      </c>
      <c r="N134" s="7" t="s">
        <v>29</v>
      </c>
      <c r="O134" s="7" t="s">
        <v>29</v>
      </c>
      <c r="P134" s="7" t="s">
        <v>29</v>
      </c>
      <c r="Q134" s="7" t="s">
        <v>29</v>
      </c>
      <c r="R134" s="7" t="s">
        <v>29</v>
      </c>
      <c r="S134" s="7" t="s">
        <v>29</v>
      </c>
    </row>
    <row r="135" spans="2:19">
      <c r="B135" s="7" t="s">
        <v>195</v>
      </c>
      <c r="C135" s="8" t="s">
        <v>195</v>
      </c>
      <c r="D135" s="6" t="str">
        <f>LRTRIM(CONCATENATE(IF(SUMPRODUCT(-- ISNUMBER(SEARCH({"Auto Number"}, $B135))) &gt; 0, $B135, IF(SUMPRODUCT(-- ISNUMBER(SEARCH({"Lookup","Master-Detail"}, $B135))) &gt; 0,$B135 &amp; "(" &amp; $E135 &amp; ")",IF(SUMPRODUCT(-- ISNUMBER(SEARCH({"Formula","Roll-Up Summary"}, $B135))) &gt; 0,$B135 &amp; " (" &amp; $E135 &amp; ")",IF(SUMPRODUCT(-- ISNUMBER(SEARCH({"Content","Currency","Number","Percent","Text","URL"}, $B135))) &gt; 0,$B135 &amp; "(" &amp; $C135 &amp; ")",$B135)))), "  ", TRIM(IF($S135 = "YES", "(External ID)", "") &amp; " " &amp; IF(SUMPRODUCT(-- ISNUMBER(SEARCH({"Unique","Unique Case Insensitive"}, $R135))) &gt; 0, "(" &amp; $R135 &amp; ")", ""))))</f>
        <v>na</v>
      </c>
      <c r="E135" s="7" t="s">
        <v>195</v>
      </c>
      <c r="F135" s="7" t="s">
        <v>195</v>
      </c>
      <c r="G135" s="7" t="s">
        <v>195</v>
      </c>
      <c r="H135" s="7" t="s">
        <v>195</v>
      </c>
      <c r="I135" s="7" t="s">
        <v>195</v>
      </c>
      <c r="J135" s="7" t="s">
        <v>195</v>
      </c>
      <c r="K135" s="7" t="s">
        <v>195</v>
      </c>
      <c r="L135" s="7" t="s">
        <v>195</v>
      </c>
      <c r="M135" s="7" t="s">
        <v>29</v>
      </c>
      <c r="N135" s="7" t="s">
        <v>29</v>
      </c>
      <c r="O135" s="7" t="s">
        <v>29</v>
      </c>
      <c r="P135" s="7" t="s">
        <v>29</v>
      </c>
      <c r="Q135" s="7" t="s">
        <v>29</v>
      </c>
      <c r="R135" s="7" t="s">
        <v>29</v>
      </c>
      <c r="S135" s="7" t="s">
        <v>29</v>
      </c>
    </row>
    <row r="136" spans="2:19">
      <c r="B136" s="7" t="s">
        <v>195</v>
      </c>
      <c r="C136" s="8" t="s">
        <v>195</v>
      </c>
      <c r="D136" s="6" t="str">
        <f>LRTRIM(CONCATENATE(IF(SUMPRODUCT(-- ISNUMBER(SEARCH({"Auto Number"}, $B136))) &gt; 0, $B136, IF(SUMPRODUCT(-- ISNUMBER(SEARCH({"Lookup","Master-Detail"}, $B136))) &gt; 0,$B136 &amp; "(" &amp; $E136 &amp; ")",IF(SUMPRODUCT(-- ISNUMBER(SEARCH({"Formula","Roll-Up Summary"}, $B136))) &gt; 0,$B136 &amp; " (" &amp; $E136 &amp; ")",IF(SUMPRODUCT(-- ISNUMBER(SEARCH({"Content","Currency","Number","Percent","Text","URL"}, $B136))) &gt; 0,$B136 &amp; "(" &amp; $C136 &amp; ")",$B136)))), "  ", TRIM(IF($S136 = "YES", "(External ID)", "") &amp; " " &amp; IF(SUMPRODUCT(-- ISNUMBER(SEARCH({"Unique","Unique Case Insensitive"}, $R136))) &gt; 0, "(" &amp; $R136 &amp; ")", ""))))</f>
        <v>na</v>
      </c>
      <c r="E136" s="7" t="s">
        <v>195</v>
      </c>
      <c r="F136" s="7" t="s">
        <v>195</v>
      </c>
      <c r="G136" s="7" t="s">
        <v>195</v>
      </c>
      <c r="H136" s="7" t="s">
        <v>195</v>
      </c>
      <c r="I136" s="7" t="s">
        <v>195</v>
      </c>
      <c r="J136" s="7" t="s">
        <v>195</v>
      </c>
      <c r="K136" s="7" t="s">
        <v>195</v>
      </c>
      <c r="L136" s="7" t="s">
        <v>195</v>
      </c>
      <c r="M136" s="7" t="s">
        <v>29</v>
      </c>
      <c r="N136" s="7" t="s">
        <v>29</v>
      </c>
      <c r="O136" s="7" t="s">
        <v>29</v>
      </c>
      <c r="P136" s="7" t="s">
        <v>29</v>
      </c>
      <c r="Q136" s="7" t="s">
        <v>29</v>
      </c>
      <c r="R136" s="7" t="s">
        <v>29</v>
      </c>
      <c r="S136" s="7" t="s">
        <v>29</v>
      </c>
    </row>
    <row r="137" spans="2:19">
      <c r="B137" s="7" t="s">
        <v>195</v>
      </c>
      <c r="C137" s="8" t="s">
        <v>195</v>
      </c>
      <c r="D137" s="6" t="str">
        <f>LRTRIM(CONCATENATE(IF(SUMPRODUCT(-- ISNUMBER(SEARCH({"Auto Number"}, $B137))) &gt; 0, $B137, IF(SUMPRODUCT(-- ISNUMBER(SEARCH({"Lookup","Master-Detail"}, $B137))) &gt; 0,$B137 &amp; "(" &amp; $E137 &amp; ")",IF(SUMPRODUCT(-- ISNUMBER(SEARCH({"Formula","Roll-Up Summary"}, $B137))) &gt; 0,$B137 &amp; " (" &amp; $E137 &amp; ")",IF(SUMPRODUCT(-- ISNUMBER(SEARCH({"Content","Currency","Number","Percent","Text","URL"}, $B137))) &gt; 0,$B137 &amp; "(" &amp; $C137 &amp; ")",$B137)))), "  ", TRIM(IF($S137 = "YES", "(External ID)", "") &amp; " " &amp; IF(SUMPRODUCT(-- ISNUMBER(SEARCH({"Unique","Unique Case Insensitive"}, $R137))) &gt; 0, "(" &amp; $R137 &amp; ")", ""))))</f>
        <v>na</v>
      </c>
      <c r="E137" s="7" t="s">
        <v>195</v>
      </c>
      <c r="F137" s="7" t="s">
        <v>195</v>
      </c>
      <c r="G137" s="7" t="s">
        <v>195</v>
      </c>
      <c r="H137" s="7" t="s">
        <v>195</v>
      </c>
      <c r="I137" s="7" t="s">
        <v>195</v>
      </c>
      <c r="J137" s="7" t="s">
        <v>195</v>
      </c>
      <c r="K137" s="7" t="s">
        <v>195</v>
      </c>
      <c r="L137" s="7" t="s">
        <v>195</v>
      </c>
      <c r="M137" s="7" t="s">
        <v>29</v>
      </c>
      <c r="N137" s="7" t="s">
        <v>29</v>
      </c>
      <c r="O137" s="7" t="s">
        <v>29</v>
      </c>
      <c r="P137" s="7" t="s">
        <v>29</v>
      </c>
      <c r="Q137" s="7" t="s">
        <v>29</v>
      </c>
      <c r="R137" s="7" t="s">
        <v>29</v>
      </c>
      <c r="S137" s="7" t="s">
        <v>29</v>
      </c>
    </row>
    <row r="138" spans="2:19">
      <c r="B138" s="7" t="s">
        <v>195</v>
      </c>
      <c r="C138" s="8" t="s">
        <v>195</v>
      </c>
      <c r="D138" s="6" t="str">
        <f>LRTRIM(CONCATENATE(IF(SUMPRODUCT(-- ISNUMBER(SEARCH({"Auto Number"}, $B138))) &gt; 0, $B138, IF(SUMPRODUCT(-- ISNUMBER(SEARCH({"Lookup","Master-Detail"}, $B138))) &gt; 0,$B138 &amp; "(" &amp; $E138 &amp; ")",IF(SUMPRODUCT(-- ISNUMBER(SEARCH({"Formula","Roll-Up Summary"}, $B138))) &gt; 0,$B138 &amp; " (" &amp; $E138 &amp; ")",IF(SUMPRODUCT(-- ISNUMBER(SEARCH({"Content","Currency","Number","Percent","Text","URL"}, $B138))) &gt; 0,$B138 &amp; "(" &amp; $C138 &amp; ")",$B138)))), "  ", TRIM(IF($S138 = "YES", "(External ID)", "") &amp; " " &amp; IF(SUMPRODUCT(-- ISNUMBER(SEARCH({"Unique","Unique Case Insensitive"}, $R138))) &gt; 0, "(" &amp; $R138 &amp; ")", ""))))</f>
        <v>na</v>
      </c>
      <c r="E138" s="7" t="s">
        <v>195</v>
      </c>
      <c r="F138" s="7" t="s">
        <v>195</v>
      </c>
      <c r="G138" s="7" t="s">
        <v>195</v>
      </c>
      <c r="H138" s="7" t="s">
        <v>195</v>
      </c>
      <c r="I138" s="7" t="s">
        <v>195</v>
      </c>
      <c r="J138" s="7" t="s">
        <v>195</v>
      </c>
      <c r="K138" s="7" t="s">
        <v>195</v>
      </c>
      <c r="L138" s="7" t="s">
        <v>195</v>
      </c>
      <c r="M138" s="7" t="s">
        <v>29</v>
      </c>
      <c r="N138" s="7" t="s">
        <v>29</v>
      </c>
      <c r="O138" s="7" t="s">
        <v>29</v>
      </c>
      <c r="P138" s="7" t="s">
        <v>29</v>
      </c>
      <c r="Q138" s="7" t="s">
        <v>29</v>
      </c>
      <c r="R138" s="7" t="s">
        <v>29</v>
      </c>
      <c r="S138" s="7" t="s">
        <v>29</v>
      </c>
    </row>
    <row r="139" spans="2:19">
      <c r="B139" s="7" t="s">
        <v>195</v>
      </c>
      <c r="C139" s="8" t="s">
        <v>195</v>
      </c>
      <c r="D139" s="6" t="str">
        <f>LRTRIM(CONCATENATE(IF(SUMPRODUCT(-- ISNUMBER(SEARCH({"Auto Number"}, $B139))) &gt; 0, $B139, IF(SUMPRODUCT(-- ISNUMBER(SEARCH({"Lookup","Master-Detail"}, $B139))) &gt; 0,$B139 &amp; "(" &amp; $E139 &amp; ")",IF(SUMPRODUCT(-- ISNUMBER(SEARCH({"Formula","Roll-Up Summary"}, $B139))) &gt; 0,$B139 &amp; " (" &amp; $E139 &amp; ")",IF(SUMPRODUCT(-- ISNUMBER(SEARCH({"Content","Currency","Number","Percent","Text","URL"}, $B139))) &gt; 0,$B139 &amp; "(" &amp; $C139 &amp; ")",$B139)))), "  ", TRIM(IF($S139 = "YES", "(External ID)", "") &amp; " " &amp; IF(SUMPRODUCT(-- ISNUMBER(SEARCH({"Unique","Unique Case Insensitive"}, $R139))) &gt; 0, "(" &amp; $R139 &amp; ")", ""))))</f>
        <v>na</v>
      </c>
      <c r="E139" s="7" t="s">
        <v>195</v>
      </c>
      <c r="F139" s="7" t="s">
        <v>195</v>
      </c>
      <c r="G139" s="7" t="s">
        <v>195</v>
      </c>
      <c r="H139" s="7" t="s">
        <v>195</v>
      </c>
      <c r="I139" s="7" t="s">
        <v>195</v>
      </c>
      <c r="J139" s="7" t="s">
        <v>195</v>
      </c>
      <c r="K139" s="7" t="s">
        <v>195</v>
      </c>
      <c r="L139" s="7" t="s">
        <v>195</v>
      </c>
      <c r="M139" s="7" t="s">
        <v>29</v>
      </c>
      <c r="N139" s="7" t="s">
        <v>29</v>
      </c>
      <c r="O139" s="7" t="s">
        <v>29</v>
      </c>
      <c r="P139" s="7" t="s">
        <v>29</v>
      </c>
      <c r="Q139" s="7" t="s">
        <v>29</v>
      </c>
      <c r="R139" s="7" t="s">
        <v>29</v>
      </c>
      <c r="S139" s="7" t="s">
        <v>29</v>
      </c>
    </row>
    <row r="140" spans="2:19">
      <c r="B140" s="7" t="s">
        <v>195</v>
      </c>
      <c r="C140" s="8" t="s">
        <v>195</v>
      </c>
      <c r="D140" s="6" t="str">
        <f>LRTRIM(CONCATENATE(IF(SUMPRODUCT(-- ISNUMBER(SEARCH({"Auto Number"}, $B140))) &gt; 0, $B140, IF(SUMPRODUCT(-- ISNUMBER(SEARCH({"Lookup","Master-Detail"}, $B140))) &gt; 0,$B140 &amp; "(" &amp; $E140 &amp; ")",IF(SUMPRODUCT(-- ISNUMBER(SEARCH({"Formula","Roll-Up Summary"}, $B140))) &gt; 0,$B140 &amp; " (" &amp; $E140 &amp; ")",IF(SUMPRODUCT(-- ISNUMBER(SEARCH({"Content","Currency","Number","Percent","Text","URL"}, $B140))) &gt; 0,$B140 &amp; "(" &amp; $C140 &amp; ")",$B140)))), "  ", TRIM(IF($S140 = "YES", "(External ID)", "") &amp; " " &amp; IF(SUMPRODUCT(-- ISNUMBER(SEARCH({"Unique","Unique Case Insensitive"}, $R140))) &gt; 0, "(" &amp; $R140 &amp; ")", ""))))</f>
        <v>na</v>
      </c>
      <c r="E140" s="7" t="s">
        <v>195</v>
      </c>
      <c r="F140" s="7" t="s">
        <v>195</v>
      </c>
      <c r="G140" s="7" t="s">
        <v>195</v>
      </c>
      <c r="H140" s="7" t="s">
        <v>195</v>
      </c>
      <c r="I140" s="7" t="s">
        <v>195</v>
      </c>
      <c r="J140" s="7" t="s">
        <v>195</v>
      </c>
      <c r="K140" s="7" t="s">
        <v>195</v>
      </c>
      <c r="L140" s="7" t="s">
        <v>195</v>
      </c>
      <c r="M140" s="7" t="s">
        <v>29</v>
      </c>
      <c r="N140" s="7" t="s">
        <v>29</v>
      </c>
      <c r="O140" s="7" t="s">
        <v>29</v>
      </c>
      <c r="P140" s="7" t="s">
        <v>29</v>
      </c>
      <c r="Q140" s="7" t="s">
        <v>29</v>
      </c>
      <c r="R140" s="7" t="s">
        <v>29</v>
      </c>
      <c r="S140" s="7" t="s">
        <v>29</v>
      </c>
    </row>
    <row r="141" spans="2:19">
      <c r="B141" s="7" t="s">
        <v>195</v>
      </c>
      <c r="C141" s="8" t="s">
        <v>195</v>
      </c>
      <c r="D141" s="6" t="str">
        <f>LRTRIM(CONCATENATE(IF(SUMPRODUCT(-- ISNUMBER(SEARCH({"Auto Number"}, $B141))) &gt; 0, $B141, IF(SUMPRODUCT(-- ISNUMBER(SEARCH({"Lookup","Master-Detail"}, $B141))) &gt; 0,$B141 &amp; "(" &amp; $E141 &amp; ")",IF(SUMPRODUCT(-- ISNUMBER(SEARCH({"Formula","Roll-Up Summary"}, $B141))) &gt; 0,$B141 &amp; " (" &amp; $E141 &amp; ")",IF(SUMPRODUCT(-- ISNUMBER(SEARCH({"Content","Currency","Number","Percent","Text","URL"}, $B141))) &gt; 0,$B141 &amp; "(" &amp; $C141 &amp; ")",$B141)))), "  ", TRIM(IF($S141 = "YES", "(External ID)", "") &amp; " " &amp; IF(SUMPRODUCT(-- ISNUMBER(SEARCH({"Unique","Unique Case Insensitive"}, $R141))) &gt; 0, "(" &amp; $R141 &amp; ")", ""))))</f>
        <v>na</v>
      </c>
      <c r="E141" s="7" t="s">
        <v>195</v>
      </c>
      <c r="F141" s="7" t="s">
        <v>195</v>
      </c>
      <c r="G141" s="7" t="s">
        <v>195</v>
      </c>
      <c r="H141" s="7" t="s">
        <v>195</v>
      </c>
      <c r="I141" s="7" t="s">
        <v>195</v>
      </c>
      <c r="J141" s="7" t="s">
        <v>195</v>
      </c>
      <c r="K141" s="7" t="s">
        <v>195</v>
      </c>
      <c r="L141" s="7" t="s">
        <v>195</v>
      </c>
      <c r="M141" s="7" t="s">
        <v>29</v>
      </c>
      <c r="N141" s="7" t="s">
        <v>29</v>
      </c>
      <c r="O141" s="7" t="s">
        <v>29</v>
      </c>
      <c r="P141" s="7" t="s">
        <v>29</v>
      </c>
      <c r="Q141" s="7" t="s">
        <v>29</v>
      </c>
      <c r="R141" s="7" t="s">
        <v>29</v>
      </c>
      <c r="S141" s="7" t="s">
        <v>29</v>
      </c>
    </row>
    <row r="142" spans="2:19">
      <c r="B142" s="7" t="s">
        <v>195</v>
      </c>
      <c r="C142" s="8" t="s">
        <v>195</v>
      </c>
      <c r="D142" s="6" t="str">
        <f>LRTRIM(CONCATENATE(IF(SUMPRODUCT(-- ISNUMBER(SEARCH({"Auto Number"}, $B142))) &gt; 0, $B142, IF(SUMPRODUCT(-- ISNUMBER(SEARCH({"Lookup","Master-Detail"}, $B142))) &gt; 0,$B142 &amp; "(" &amp; $E142 &amp; ")",IF(SUMPRODUCT(-- ISNUMBER(SEARCH({"Formula","Roll-Up Summary"}, $B142))) &gt; 0,$B142 &amp; " (" &amp; $E142 &amp; ")",IF(SUMPRODUCT(-- ISNUMBER(SEARCH({"Content","Currency","Number","Percent","Text","URL"}, $B142))) &gt; 0,$B142 &amp; "(" &amp; $C142 &amp; ")",$B142)))), "  ", TRIM(IF($S142 = "YES", "(External ID)", "") &amp; " " &amp; IF(SUMPRODUCT(-- ISNUMBER(SEARCH({"Unique","Unique Case Insensitive"}, $R142))) &gt; 0, "(" &amp; $R142 &amp; ")", ""))))</f>
        <v>na</v>
      </c>
      <c r="E142" s="7" t="s">
        <v>195</v>
      </c>
      <c r="F142" s="7" t="s">
        <v>195</v>
      </c>
      <c r="G142" s="7" t="s">
        <v>195</v>
      </c>
      <c r="H142" s="7" t="s">
        <v>195</v>
      </c>
      <c r="I142" s="7" t="s">
        <v>195</v>
      </c>
      <c r="J142" s="7" t="s">
        <v>195</v>
      </c>
      <c r="K142" s="7" t="s">
        <v>195</v>
      </c>
      <c r="L142" s="7" t="s">
        <v>195</v>
      </c>
      <c r="M142" s="7" t="s">
        <v>29</v>
      </c>
      <c r="N142" s="7" t="s">
        <v>29</v>
      </c>
      <c r="O142" s="7" t="s">
        <v>29</v>
      </c>
      <c r="P142" s="7" t="s">
        <v>29</v>
      </c>
      <c r="Q142" s="7" t="s">
        <v>29</v>
      </c>
      <c r="R142" s="7" t="s">
        <v>29</v>
      </c>
      <c r="S142" s="7" t="s">
        <v>29</v>
      </c>
    </row>
    <row r="143" spans="2:19">
      <c r="B143" s="7" t="s">
        <v>195</v>
      </c>
      <c r="C143" s="8" t="s">
        <v>195</v>
      </c>
      <c r="D143" s="6" t="str">
        <f>LRTRIM(CONCATENATE(IF(SUMPRODUCT(-- ISNUMBER(SEARCH({"Auto Number"}, $B143))) &gt; 0, $B143, IF(SUMPRODUCT(-- ISNUMBER(SEARCH({"Lookup","Master-Detail"}, $B143))) &gt; 0,$B143 &amp; "(" &amp; $E143 &amp; ")",IF(SUMPRODUCT(-- ISNUMBER(SEARCH({"Formula","Roll-Up Summary"}, $B143))) &gt; 0,$B143 &amp; " (" &amp; $E143 &amp; ")",IF(SUMPRODUCT(-- ISNUMBER(SEARCH({"Content","Currency","Number","Percent","Text","URL"}, $B143))) &gt; 0,$B143 &amp; "(" &amp; $C143 &amp; ")",$B143)))), "  ", TRIM(IF($S143 = "YES", "(External ID)", "") &amp; " " &amp; IF(SUMPRODUCT(-- ISNUMBER(SEARCH({"Unique","Unique Case Insensitive"}, $R143))) &gt; 0, "(" &amp; $R143 &amp; ")", ""))))</f>
        <v>na</v>
      </c>
      <c r="E143" s="7" t="s">
        <v>195</v>
      </c>
      <c r="F143" s="7" t="s">
        <v>195</v>
      </c>
      <c r="G143" s="7" t="s">
        <v>195</v>
      </c>
      <c r="H143" s="7" t="s">
        <v>195</v>
      </c>
      <c r="I143" s="7" t="s">
        <v>195</v>
      </c>
      <c r="J143" s="7" t="s">
        <v>195</v>
      </c>
      <c r="K143" s="7" t="s">
        <v>195</v>
      </c>
      <c r="L143" s="7" t="s">
        <v>195</v>
      </c>
      <c r="M143" s="7" t="s">
        <v>29</v>
      </c>
      <c r="N143" s="7" t="s">
        <v>29</v>
      </c>
      <c r="O143" s="7" t="s">
        <v>29</v>
      </c>
      <c r="P143" s="7" t="s">
        <v>29</v>
      </c>
      <c r="Q143" s="7" t="s">
        <v>29</v>
      </c>
      <c r="R143" s="7" t="s">
        <v>29</v>
      </c>
      <c r="S143" s="7" t="s">
        <v>29</v>
      </c>
    </row>
    <row r="144" spans="2:19">
      <c r="B144" s="7" t="s">
        <v>195</v>
      </c>
      <c r="C144" s="8" t="s">
        <v>195</v>
      </c>
      <c r="D144" s="6" t="str">
        <f>LRTRIM(CONCATENATE(IF(SUMPRODUCT(-- ISNUMBER(SEARCH({"Auto Number"}, $B144))) &gt; 0, $B144, IF(SUMPRODUCT(-- ISNUMBER(SEARCH({"Lookup","Master-Detail"}, $B144))) &gt; 0,$B144 &amp; "(" &amp; $E144 &amp; ")",IF(SUMPRODUCT(-- ISNUMBER(SEARCH({"Formula","Roll-Up Summary"}, $B144))) &gt; 0,$B144 &amp; " (" &amp; $E144 &amp; ")",IF(SUMPRODUCT(-- ISNUMBER(SEARCH({"Content","Currency","Number","Percent","Text","URL"}, $B144))) &gt; 0,$B144 &amp; "(" &amp; $C144 &amp; ")",$B144)))), "  ", TRIM(IF($S144 = "YES", "(External ID)", "") &amp; " " &amp; IF(SUMPRODUCT(-- ISNUMBER(SEARCH({"Unique","Unique Case Insensitive"}, $R144))) &gt; 0, "(" &amp; $R144 &amp; ")", ""))))</f>
        <v>na</v>
      </c>
      <c r="E144" s="7" t="s">
        <v>195</v>
      </c>
      <c r="F144" s="7" t="s">
        <v>195</v>
      </c>
      <c r="G144" s="7" t="s">
        <v>195</v>
      </c>
      <c r="H144" s="7" t="s">
        <v>195</v>
      </c>
      <c r="I144" s="7" t="s">
        <v>195</v>
      </c>
      <c r="J144" s="7" t="s">
        <v>195</v>
      </c>
      <c r="K144" s="7" t="s">
        <v>195</v>
      </c>
      <c r="L144" s="7" t="s">
        <v>195</v>
      </c>
      <c r="M144" s="7" t="s">
        <v>29</v>
      </c>
      <c r="N144" s="7" t="s">
        <v>29</v>
      </c>
      <c r="O144" s="7" t="s">
        <v>29</v>
      </c>
      <c r="P144" s="7" t="s">
        <v>29</v>
      </c>
      <c r="Q144" s="7" t="s">
        <v>29</v>
      </c>
      <c r="R144" s="7" t="s">
        <v>29</v>
      </c>
      <c r="S144" s="7" t="s">
        <v>29</v>
      </c>
    </row>
    <row r="145" spans="2:19">
      <c r="B145" s="7" t="s">
        <v>195</v>
      </c>
      <c r="C145" s="8" t="s">
        <v>195</v>
      </c>
      <c r="D145" s="6" t="str">
        <f>LRTRIM(CONCATENATE(IF(SUMPRODUCT(-- ISNUMBER(SEARCH({"Auto Number"}, $B145))) &gt; 0, $B145, IF(SUMPRODUCT(-- ISNUMBER(SEARCH({"Lookup","Master-Detail"}, $B145))) &gt; 0,$B145 &amp; "(" &amp; $E145 &amp; ")",IF(SUMPRODUCT(-- ISNUMBER(SEARCH({"Formula","Roll-Up Summary"}, $B145))) &gt; 0,$B145 &amp; " (" &amp; $E145 &amp; ")",IF(SUMPRODUCT(-- ISNUMBER(SEARCH({"Content","Currency","Number","Percent","Text","URL"}, $B145))) &gt; 0,$B145 &amp; "(" &amp; $C145 &amp; ")",$B145)))), "  ", TRIM(IF($S145 = "YES", "(External ID)", "") &amp; " " &amp; IF(SUMPRODUCT(-- ISNUMBER(SEARCH({"Unique","Unique Case Insensitive"}, $R145))) &gt; 0, "(" &amp; $R145 &amp; ")", ""))))</f>
        <v>na</v>
      </c>
      <c r="E145" s="7" t="s">
        <v>195</v>
      </c>
      <c r="F145" s="7" t="s">
        <v>195</v>
      </c>
      <c r="G145" s="7" t="s">
        <v>195</v>
      </c>
      <c r="H145" s="7" t="s">
        <v>195</v>
      </c>
      <c r="I145" s="7" t="s">
        <v>195</v>
      </c>
      <c r="J145" s="7" t="s">
        <v>195</v>
      </c>
      <c r="K145" s="7" t="s">
        <v>195</v>
      </c>
      <c r="L145" s="7" t="s">
        <v>195</v>
      </c>
      <c r="M145" s="7" t="s">
        <v>29</v>
      </c>
      <c r="N145" s="7" t="s">
        <v>29</v>
      </c>
      <c r="O145" s="7" t="s">
        <v>29</v>
      </c>
      <c r="P145" s="7" t="s">
        <v>29</v>
      </c>
      <c r="Q145" s="7" t="s">
        <v>29</v>
      </c>
      <c r="R145" s="7" t="s">
        <v>29</v>
      </c>
      <c r="S145" s="7" t="s">
        <v>29</v>
      </c>
    </row>
    <row r="146" spans="2:19">
      <c r="B146" s="7" t="s">
        <v>195</v>
      </c>
      <c r="C146" s="8" t="s">
        <v>195</v>
      </c>
      <c r="D146" s="6" t="str">
        <f>LRTRIM(CONCATENATE(IF(SUMPRODUCT(-- ISNUMBER(SEARCH({"Auto Number"}, $B146))) &gt; 0, $B146, IF(SUMPRODUCT(-- ISNUMBER(SEARCH({"Lookup","Master-Detail"}, $B146))) &gt; 0,$B146 &amp; "(" &amp; $E146 &amp; ")",IF(SUMPRODUCT(-- ISNUMBER(SEARCH({"Formula","Roll-Up Summary"}, $B146))) &gt; 0,$B146 &amp; " (" &amp; $E146 &amp; ")",IF(SUMPRODUCT(-- ISNUMBER(SEARCH({"Content","Currency","Number","Percent","Text","URL"}, $B146))) &gt; 0,$B146 &amp; "(" &amp; $C146 &amp; ")",$B146)))), "  ", TRIM(IF($S146 = "YES", "(External ID)", "") &amp; " " &amp; IF(SUMPRODUCT(-- ISNUMBER(SEARCH({"Unique","Unique Case Insensitive"}, $R146))) &gt; 0, "(" &amp; $R146 &amp; ")", ""))))</f>
        <v>na</v>
      </c>
      <c r="E146" s="7" t="s">
        <v>195</v>
      </c>
      <c r="F146" s="7" t="s">
        <v>195</v>
      </c>
      <c r="G146" s="7" t="s">
        <v>195</v>
      </c>
      <c r="H146" s="7" t="s">
        <v>195</v>
      </c>
      <c r="I146" s="7" t="s">
        <v>195</v>
      </c>
      <c r="J146" s="7" t="s">
        <v>195</v>
      </c>
      <c r="K146" s="7" t="s">
        <v>195</v>
      </c>
      <c r="L146" s="7" t="s">
        <v>195</v>
      </c>
      <c r="M146" s="7" t="s">
        <v>29</v>
      </c>
      <c r="N146" s="7" t="s">
        <v>29</v>
      </c>
      <c r="O146" s="7" t="s">
        <v>29</v>
      </c>
      <c r="P146" s="7" t="s">
        <v>29</v>
      </c>
      <c r="Q146" s="7" t="s">
        <v>29</v>
      </c>
      <c r="R146" s="7" t="s">
        <v>29</v>
      </c>
      <c r="S146" s="7" t="s">
        <v>29</v>
      </c>
    </row>
    <row r="147" spans="2:19">
      <c r="B147" s="7" t="s">
        <v>195</v>
      </c>
      <c r="C147" s="8" t="s">
        <v>195</v>
      </c>
      <c r="D147" s="6" t="str">
        <f>LRTRIM(CONCATENATE(IF(SUMPRODUCT(-- ISNUMBER(SEARCH({"Auto Number"}, $B147))) &gt; 0, $B147, IF(SUMPRODUCT(-- ISNUMBER(SEARCH({"Lookup","Master-Detail"}, $B147))) &gt; 0,$B147 &amp; "(" &amp; $E147 &amp; ")",IF(SUMPRODUCT(-- ISNUMBER(SEARCH({"Formula","Roll-Up Summary"}, $B147))) &gt; 0,$B147 &amp; " (" &amp; $E147 &amp; ")",IF(SUMPRODUCT(-- ISNUMBER(SEARCH({"Content","Currency","Number","Percent","Text","URL"}, $B147))) &gt; 0,$B147 &amp; "(" &amp; $C147 &amp; ")",$B147)))), "  ", TRIM(IF($S147 = "YES", "(External ID)", "") &amp; " " &amp; IF(SUMPRODUCT(-- ISNUMBER(SEARCH({"Unique","Unique Case Insensitive"}, $R147))) &gt; 0, "(" &amp; $R147 &amp; ")", ""))))</f>
        <v>na</v>
      </c>
      <c r="E147" s="7" t="s">
        <v>195</v>
      </c>
      <c r="F147" s="7" t="s">
        <v>195</v>
      </c>
      <c r="G147" s="7" t="s">
        <v>195</v>
      </c>
      <c r="H147" s="7" t="s">
        <v>195</v>
      </c>
      <c r="I147" s="7" t="s">
        <v>195</v>
      </c>
      <c r="J147" s="7" t="s">
        <v>195</v>
      </c>
      <c r="K147" s="7" t="s">
        <v>195</v>
      </c>
      <c r="L147" s="7" t="s">
        <v>195</v>
      </c>
      <c r="M147" s="7" t="s">
        <v>29</v>
      </c>
      <c r="N147" s="7" t="s">
        <v>29</v>
      </c>
      <c r="O147" s="7" t="s">
        <v>29</v>
      </c>
      <c r="P147" s="7" t="s">
        <v>29</v>
      </c>
      <c r="Q147" s="7" t="s">
        <v>29</v>
      </c>
      <c r="R147" s="7" t="s">
        <v>29</v>
      </c>
      <c r="S147" s="7" t="s">
        <v>29</v>
      </c>
    </row>
    <row r="148" spans="2:19">
      <c r="B148" s="7" t="s">
        <v>195</v>
      </c>
      <c r="C148" s="8" t="s">
        <v>195</v>
      </c>
      <c r="D148" s="6" t="str">
        <f>LRTRIM(CONCATENATE(IF(SUMPRODUCT(-- ISNUMBER(SEARCH({"Auto Number"}, $B148))) &gt; 0, $B148, IF(SUMPRODUCT(-- ISNUMBER(SEARCH({"Lookup","Master-Detail"}, $B148))) &gt; 0,$B148 &amp; "(" &amp; $E148 &amp; ")",IF(SUMPRODUCT(-- ISNUMBER(SEARCH({"Formula","Roll-Up Summary"}, $B148))) &gt; 0,$B148 &amp; " (" &amp; $E148 &amp; ")",IF(SUMPRODUCT(-- ISNUMBER(SEARCH({"Content","Currency","Number","Percent","Text","URL"}, $B148))) &gt; 0,$B148 &amp; "(" &amp; $C148 &amp; ")",$B148)))), "  ", TRIM(IF($S148 = "YES", "(External ID)", "") &amp; " " &amp; IF(SUMPRODUCT(-- ISNUMBER(SEARCH({"Unique","Unique Case Insensitive"}, $R148))) &gt; 0, "(" &amp; $R148 &amp; ")", ""))))</f>
        <v>na</v>
      </c>
      <c r="E148" s="7" t="s">
        <v>195</v>
      </c>
      <c r="F148" s="7" t="s">
        <v>195</v>
      </c>
      <c r="G148" s="7" t="s">
        <v>195</v>
      </c>
      <c r="H148" s="7" t="s">
        <v>195</v>
      </c>
      <c r="I148" s="7" t="s">
        <v>195</v>
      </c>
      <c r="J148" s="7" t="s">
        <v>195</v>
      </c>
      <c r="K148" s="7" t="s">
        <v>195</v>
      </c>
      <c r="L148" s="7" t="s">
        <v>195</v>
      </c>
      <c r="M148" s="7" t="s">
        <v>29</v>
      </c>
      <c r="N148" s="7" t="s">
        <v>29</v>
      </c>
      <c r="O148" s="7" t="s">
        <v>29</v>
      </c>
      <c r="P148" s="7" t="s">
        <v>29</v>
      </c>
      <c r="Q148" s="7" t="s">
        <v>29</v>
      </c>
      <c r="R148" s="7" t="s">
        <v>29</v>
      </c>
      <c r="S148" s="7" t="s">
        <v>29</v>
      </c>
    </row>
    <row r="149" spans="2:19">
      <c r="B149" s="7" t="s">
        <v>195</v>
      </c>
      <c r="C149" s="8" t="s">
        <v>195</v>
      </c>
      <c r="D149" s="6" t="str">
        <f>LRTRIM(CONCATENATE(IF(SUMPRODUCT(-- ISNUMBER(SEARCH({"Auto Number"}, $B149))) &gt; 0, $B149, IF(SUMPRODUCT(-- ISNUMBER(SEARCH({"Lookup","Master-Detail"}, $B149))) &gt; 0,$B149 &amp; "(" &amp; $E149 &amp; ")",IF(SUMPRODUCT(-- ISNUMBER(SEARCH({"Formula","Roll-Up Summary"}, $B149))) &gt; 0,$B149 &amp; " (" &amp; $E149 &amp; ")",IF(SUMPRODUCT(-- ISNUMBER(SEARCH({"Content","Currency","Number","Percent","Text","URL"}, $B149))) &gt; 0,$B149 &amp; "(" &amp; $C149 &amp; ")",$B149)))), "  ", TRIM(IF($S149 = "YES", "(External ID)", "") &amp; " " &amp; IF(SUMPRODUCT(-- ISNUMBER(SEARCH({"Unique","Unique Case Insensitive"}, $R149))) &gt; 0, "(" &amp; $R149 &amp; ")", ""))))</f>
        <v>na</v>
      </c>
      <c r="E149" s="7" t="s">
        <v>195</v>
      </c>
      <c r="F149" s="7" t="s">
        <v>195</v>
      </c>
      <c r="G149" s="7" t="s">
        <v>195</v>
      </c>
      <c r="H149" s="7" t="s">
        <v>195</v>
      </c>
      <c r="I149" s="7" t="s">
        <v>195</v>
      </c>
      <c r="J149" s="7" t="s">
        <v>195</v>
      </c>
      <c r="K149" s="7" t="s">
        <v>195</v>
      </c>
      <c r="L149" s="7" t="s">
        <v>195</v>
      </c>
      <c r="M149" s="7" t="s">
        <v>29</v>
      </c>
      <c r="N149" s="7" t="s">
        <v>29</v>
      </c>
      <c r="O149" s="7" t="s">
        <v>29</v>
      </c>
      <c r="P149" s="7" t="s">
        <v>29</v>
      </c>
      <c r="Q149" s="7" t="s">
        <v>29</v>
      </c>
      <c r="R149" s="7" t="s">
        <v>29</v>
      </c>
      <c r="S149" s="7" t="s">
        <v>29</v>
      </c>
    </row>
    <row r="150" spans="2:19">
      <c r="B150" s="7" t="s">
        <v>195</v>
      </c>
      <c r="C150" s="8" t="s">
        <v>195</v>
      </c>
      <c r="D150" s="6" t="str">
        <f>LRTRIM(CONCATENATE(IF(SUMPRODUCT(-- ISNUMBER(SEARCH({"Auto Number"}, $B150))) &gt; 0, $B150, IF(SUMPRODUCT(-- ISNUMBER(SEARCH({"Lookup","Master-Detail"}, $B150))) &gt; 0,$B150 &amp; "(" &amp; $E150 &amp; ")",IF(SUMPRODUCT(-- ISNUMBER(SEARCH({"Formula","Roll-Up Summary"}, $B150))) &gt; 0,$B150 &amp; " (" &amp; $E150 &amp; ")",IF(SUMPRODUCT(-- ISNUMBER(SEARCH({"Content","Currency","Number","Percent","Text","URL"}, $B150))) &gt; 0,$B150 &amp; "(" &amp; $C150 &amp; ")",$B150)))), "  ", TRIM(IF($S150 = "YES", "(External ID)", "") &amp; " " &amp; IF(SUMPRODUCT(-- ISNUMBER(SEARCH({"Unique","Unique Case Insensitive"}, $R150))) &gt; 0, "(" &amp; $R150 &amp; ")", ""))))</f>
        <v>na</v>
      </c>
      <c r="E150" s="7" t="s">
        <v>195</v>
      </c>
      <c r="F150" s="7" t="s">
        <v>195</v>
      </c>
      <c r="G150" s="7" t="s">
        <v>195</v>
      </c>
      <c r="H150" s="7" t="s">
        <v>195</v>
      </c>
      <c r="I150" s="7" t="s">
        <v>195</v>
      </c>
      <c r="J150" s="7" t="s">
        <v>195</v>
      </c>
      <c r="K150" s="7" t="s">
        <v>195</v>
      </c>
      <c r="L150" s="7" t="s">
        <v>195</v>
      </c>
      <c r="M150" s="7" t="s">
        <v>29</v>
      </c>
      <c r="N150" s="7" t="s">
        <v>29</v>
      </c>
      <c r="O150" s="7" t="s">
        <v>29</v>
      </c>
      <c r="P150" s="7" t="s">
        <v>29</v>
      </c>
      <c r="Q150" s="7" t="s">
        <v>29</v>
      </c>
      <c r="R150" s="7" t="s">
        <v>29</v>
      </c>
      <c r="S150" s="7" t="s">
        <v>29</v>
      </c>
    </row>
    <row r="151" spans="2:19">
      <c r="B151" s="7" t="s">
        <v>195</v>
      </c>
      <c r="C151" s="8" t="s">
        <v>195</v>
      </c>
      <c r="D151" s="6" t="str">
        <f>LRTRIM(CONCATENATE(IF(SUMPRODUCT(-- ISNUMBER(SEARCH({"Auto Number"}, $B151))) &gt; 0, $B151, IF(SUMPRODUCT(-- ISNUMBER(SEARCH({"Lookup","Master-Detail"}, $B151))) &gt; 0,$B151 &amp; "(" &amp; $E151 &amp; ")",IF(SUMPRODUCT(-- ISNUMBER(SEARCH({"Formula","Roll-Up Summary"}, $B151))) &gt; 0,$B151 &amp; " (" &amp; $E151 &amp; ")",IF(SUMPRODUCT(-- ISNUMBER(SEARCH({"Content","Currency","Number","Percent","Text","URL"}, $B151))) &gt; 0,$B151 &amp; "(" &amp; $C151 &amp; ")",$B151)))), "  ", TRIM(IF($S151 = "YES", "(External ID)", "") &amp; " " &amp; IF(SUMPRODUCT(-- ISNUMBER(SEARCH({"Unique","Unique Case Insensitive"}, $R151))) &gt; 0, "(" &amp; $R151 &amp; ")", ""))))</f>
        <v>na</v>
      </c>
      <c r="E151" s="7" t="s">
        <v>195</v>
      </c>
      <c r="F151" s="7" t="s">
        <v>195</v>
      </c>
      <c r="G151" s="7" t="s">
        <v>195</v>
      </c>
      <c r="H151" s="7" t="s">
        <v>195</v>
      </c>
      <c r="I151" s="7" t="s">
        <v>195</v>
      </c>
      <c r="J151" s="7" t="s">
        <v>195</v>
      </c>
      <c r="K151" s="7" t="s">
        <v>195</v>
      </c>
      <c r="L151" s="7" t="s">
        <v>195</v>
      </c>
      <c r="M151" s="7" t="s">
        <v>29</v>
      </c>
      <c r="N151" s="7" t="s">
        <v>29</v>
      </c>
      <c r="O151" s="7" t="s">
        <v>29</v>
      </c>
      <c r="P151" s="7" t="s">
        <v>29</v>
      </c>
      <c r="Q151" s="7" t="s">
        <v>29</v>
      </c>
      <c r="R151" s="7" t="s">
        <v>29</v>
      </c>
      <c r="S151" s="7" t="s">
        <v>29</v>
      </c>
    </row>
    <row r="152" spans="2:19">
      <c r="B152" s="7" t="s">
        <v>195</v>
      </c>
      <c r="C152" s="8" t="s">
        <v>195</v>
      </c>
      <c r="D152" s="6" t="str">
        <f>LRTRIM(CONCATENATE(IF(SUMPRODUCT(-- ISNUMBER(SEARCH({"Auto Number"}, $B152))) &gt; 0, $B152, IF(SUMPRODUCT(-- ISNUMBER(SEARCH({"Lookup","Master-Detail"}, $B152))) &gt; 0,$B152 &amp; "(" &amp; $E152 &amp; ")",IF(SUMPRODUCT(-- ISNUMBER(SEARCH({"Formula","Roll-Up Summary"}, $B152))) &gt; 0,$B152 &amp; " (" &amp; $E152 &amp; ")",IF(SUMPRODUCT(-- ISNUMBER(SEARCH({"Content","Currency","Number","Percent","Text","URL"}, $B152))) &gt; 0,$B152 &amp; "(" &amp; $C152 &amp; ")",$B152)))), "  ", TRIM(IF($S152 = "YES", "(External ID)", "") &amp; " " &amp; IF(SUMPRODUCT(-- ISNUMBER(SEARCH({"Unique","Unique Case Insensitive"}, $R152))) &gt; 0, "(" &amp; $R152 &amp; ")", ""))))</f>
        <v>na</v>
      </c>
      <c r="E152" s="7" t="s">
        <v>195</v>
      </c>
      <c r="F152" s="7" t="s">
        <v>195</v>
      </c>
      <c r="G152" s="7" t="s">
        <v>195</v>
      </c>
      <c r="H152" s="7" t="s">
        <v>195</v>
      </c>
      <c r="I152" s="7" t="s">
        <v>195</v>
      </c>
      <c r="J152" s="7" t="s">
        <v>195</v>
      </c>
      <c r="K152" s="7" t="s">
        <v>195</v>
      </c>
      <c r="L152" s="7" t="s">
        <v>195</v>
      </c>
      <c r="M152" s="7" t="s">
        <v>29</v>
      </c>
      <c r="N152" s="7" t="s">
        <v>29</v>
      </c>
      <c r="O152" s="7" t="s">
        <v>29</v>
      </c>
      <c r="P152" s="7" t="s">
        <v>29</v>
      </c>
      <c r="Q152" s="7" t="s">
        <v>29</v>
      </c>
      <c r="R152" s="7" t="s">
        <v>29</v>
      </c>
      <c r="S152" s="7" t="s">
        <v>29</v>
      </c>
    </row>
    <row r="153" spans="2:19">
      <c r="B153" s="7" t="s">
        <v>195</v>
      </c>
      <c r="C153" s="8" t="s">
        <v>195</v>
      </c>
      <c r="D153" s="6" t="str">
        <f>LRTRIM(CONCATENATE(IF(SUMPRODUCT(-- ISNUMBER(SEARCH({"Auto Number"}, $B153))) &gt; 0, $B153, IF(SUMPRODUCT(-- ISNUMBER(SEARCH({"Lookup","Master-Detail"}, $B153))) &gt; 0,$B153 &amp; "(" &amp; $E153 &amp; ")",IF(SUMPRODUCT(-- ISNUMBER(SEARCH({"Formula","Roll-Up Summary"}, $B153))) &gt; 0,$B153 &amp; " (" &amp; $E153 &amp; ")",IF(SUMPRODUCT(-- ISNUMBER(SEARCH({"Content","Currency","Number","Percent","Text","URL"}, $B153))) &gt; 0,$B153 &amp; "(" &amp; $C153 &amp; ")",$B153)))), "  ", TRIM(IF($S153 = "YES", "(External ID)", "") &amp; " " &amp; IF(SUMPRODUCT(-- ISNUMBER(SEARCH({"Unique","Unique Case Insensitive"}, $R153))) &gt; 0, "(" &amp; $R153 &amp; ")", ""))))</f>
        <v>na</v>
      </c>
      <c r="E153" s="7" t="s">
        <v>195</v>
      </c>
      <c r="F153" s="7" t="s">
        <v>195</v>
      </c>
      <c r="G153" s="7" t="s">
        <v>195</v>
      </c>
      <c r="H153" s="7" t="s">
        <v>195</v>
      </c>
      <c r="I153" s="7" t="s">
        <v>195</v>
      </c>
      <c r="J153" s="7" t="s">
        <v>195</v>
      </c>
      <c r="K153" s="7" t="s">
        <v>195</v>
      </c>
      <c r="L153" s="7" t="s">
        <v>195</v>
      </c>
      <c r="M153" s="7" t="s">
        <v>29</v>
      </c>
      <c r="N153" s="7" t="s">
        <v>29</v>
      </c>
      <c r="O153" s="7" t="s">
        <v>29</v>
      </c>
      <c r="P153" s="7" t="s">
        <v>29</v>
      </c>
      <c r="Q153" s="7" t="s">
        <v>29</v>
      </c>
      <c r="R153" s="7" t="s">
        <v>29</v>
      </c>
      <c r="S153" s="7" t="s">
        <v>29</v>
      </c>
    </row>
    <row r="154" spans="2:19">
      <c r="B154" s="7" t="s">
        <v>195</v>
      </c>
      <c r="C154" s="8" t="s">
        <v>195</v>
      </c>
      <c r="D154" s="6" t="str">
        <f>LRTRIM(CONCATENATE(IF(SUMPRODUCT(-- ISNUMBER(SEARCH({"Auto Number"}, $B154))) &gt; 0, $B154, IF(SUMPRODUCT(-- ISNUMBER(SEARCH({"Lookup","Master-Detail"}, $B154))) &gt; 0,$B154 &amp; "(" &amp; $E154 &amp; ")",IF(SUMPRODUCT(-- ISNUMBER(SEARCH({"Formula","Roll-Up Summary"}, $B154))) &gt; 0,$B154 &amp; " (" &amp; $E154 &amp; ")",IF(SUMPRODUCT(-- ISNUMBER(SEARCH({"Content","Currency","Number","Percent","Text","URL"}, $B154))) &gt; 0,$B154 &amp; "(" &amp; $C154 &amp; ")",$B154)))), "  ", TRIM(IF($S154 = "YES", "(External ID)", "") &amp; " " &amp; IF(SUMPRODUCT(-- ISNUMBER(SEARCH({"Unique","Unique Case Insensitive"}, $R154))) &gt; 0, "(" &amp; $R154 &amp; ")", ""))))</f>
        <v>na</v>
      </c>
      <c r="E154" s="7" t="s">
        <v>195</v>
      </c>
      <c r="F154" s="7" t="s">
        <v>195</v>
      </c>
      <c r="G154" s="7" t="s">
        <v>195</v>
      </c>
      <c r="H154" s="7" t="s">
        <v>195</v>
      </c>
      <c r="I154" s="7" t="s">
        <v>195</v>
      </c>
      <c r="J154" s="7" t="s">
        <v>195</v>
      </c>
      <c r="K154" s="7" t="s">
        <v>195</v>
      </c>
      <c r="L154" s="7" t="s">
        <v>195</v>
      </c>
      <c r="M154" s="7" t="s">
        <v>29</v>
      </c>
      <c r="N154" s="7" t="s">
        <v>29</v>
      </c>
      <c r="O154" s="7" t="s">
        <v>29</v>
      </c>
      <c r="P154" s="7" t="s">
        <v>29</v>
      </c>
      <c r="Q154" s="7" t="s">
        <v>29</v>
      </c>
      <c r="R154" s="7" t="s">
        <v>29</v>
      </c>
      <c r="S154" s="7" t="s">
        <v>29</v>
      </c>
    </row>
    <row r="155" spans="2:19">
      <c r="B155" s="7" t="s">
        <v>195</v>
      </c>
      <c r="C155" s="8" t="s">
        <v>195</v>
      </c>
      <c r="D155" s="6" t="str">
        <f>LRTRIM(CONCATENATE(IF(SUMPRODUCT(-- ISNUMBER(SEARCH({"Auto Number"}, $B155))) &gt; 0, $B155, IF(SUMPRODUCT(-- ISNUMBER(SEARCH({"Lookup","Master-Detail"}, $B155))) &gt; 0,$B155 &amp; "(" &amp; $E155 &amp; ")",IF(SUMPRODUCT(-- ISNUMBER(SEARCH({"Formula","Roll-Up Summary"}, $B155))) &gt; 0,$B155 &amp; " (" &amp; $E155 &amp; ")",IF(SUMPRODUCT(-- ISNUMBER(SEARCH({"Content","Currency","Number","Percent","Text","URL"}, $B155))) &gt; 0,$B155 &amp; "(" &amp; $C155 &amp; ")",$B155)))), "  ", TRIM(IF($S155 = "YES", "(External ID)", "") &amp; " " &amp; IF(SUMPRODUCT(-- ISNUMBER(SEARCH({"Unique","Unique Case Insensitive"}, $R155))) &gt; 0, "(" &amp; $R155 &amp; ")", ""))))</f>
        <v>na</v>
      </c>
      <c r="E155" s="7" t="s">
        <v>195</v>
      </c>
      <c r="F155" s="7" t="s">
        <v>195</v>
      </c>
      <c r="G155" s="7" t="s">
        <v>195</v>
      </c>
      <c r="H155" s="7" t="s">
        <v>195</v>
      </c>
      <c r="I155" s="7" t="s">
        <v>195</v>
      </c>
      <c r="J155" s="7" t="s">
        <v>195</v>
      </c>
      <c r="K155" s="7" t="s">
        <v>195</v>
      </c>
      <c r="L155" s="7" t="s">
        <v>195</v>
      </c>
      <c r="M155" s="7" t="s">
        <v>29</v>
      </c>
      <c r="N155" s="7" t="s">
        <v>29</v>
      </c>
      <c r="O155" s="7" t="s">
        <v>29</v>
      </c>
      <c r="P155" s="7" t="s">
        <v>29</v>
      </c>
      <c r="Q155" s="7" t="s">
        <v>29</v>
      </c>
      <c r="R155" s="7" t="s">
        <v>29</v>
      </c>
      <c r="S155" s="7" t="s">
        <v>29</v>
      </c>
    </row>
    <row r="156" spans="2:19">
      <c r="B156" s="7" t="s">
        <v>195</v>
      </c>
      <c r="C156" s="8" t="s">
        <v>195</v>
      </c>
      <c r="D156" s="6" t="str">
        <f>LRTRIM(CONCATENATE(IF(SUMPRODUCT(-- ISNUMBER(SEARCH({"Auto Number"}, $B156))) &gt; 0, $B156, IF(SUMPRODUCT(-- ISNUMBER(SEARCH({"Lookup","Master-Detail"}, $B156))) &gt; 0,$B156 &amp; "(" &amp; $E156 &amp; ")",IF(SUMPRODUCT(-- ISNUMBER(SEARCH({"Formula","Roll-Up Summary"}, $B156))) &gt; 0,$B156 &amp; " (" &amp; $E156 &amp; ")",IF(SUMPRODUCT(-- ISNUMBER(SEARCH({"Content","Currency","Number","Percent","Text","URL"}, $B156))) &gt; 0,$B156 &amp; "(" &amp; $C156 &amp; ")",$B156)))), "  ", TRIM(IF($S156 = "YES", "(External ID)", "") &amp; " " &amp; IF(SUMPRODUCT(-- ISNUMBER(SEARCH({"Unique","Unique Case Insensitive"}, $R156))) &gt; 0, "(" &amp; $R156 &amp; ")", ""))))</f>
        <v>na</v>
      </c>
      <c r="E156" s="7" t="s">
        <v>195</v>
      </c>
      <c r="F156" s="7" t="s">
        <v>195</v>
      </c>
      <c r="G156" s="7" t="s">
        <v>195</v>
      </c>
      <c r="H156" s="7" t="s">
        <v>195</v>
      </c>
      <c r="I156" s="7" t="s">
        <v>195</v>
      </c>
      <c r="J156" s="7" t="s">
        <v>195</v>
      </c>
      <c r="K156" s="7" t="s">
        <v>195</v>
      </c>
      <c r="L156" s="7" t="s">
        <v>195</v>
      </c>
      <c r="M156" s="7" t="s">
        <v>29</v>
      </c>
      <c r="N156" s="7" t="s">
        <v>29</v>
      </c>
      <c r="O156" s="7" t="s">
        <v>29</v>
      </c>
      <c r="P156" s="7" t="s">
        <v>29</v>
      </c>
      <c r="Q156" s="7" t="s">
        <v>29</v>
      </c>
      <c r="R156" s="7" t="s">
        <v>29</v>
      </c>
      <c r="S156" s="7" t="s">
        <v>29</v>
      </c>
    </row>
    <row r="157" spans="2:19">
      <c r="B157" s="7" t="s">
        <v>195</v>
      </c>
      <c r="C157" s="8" t="s">
        <v>195</v>
      </c>
      <c r="D157" s="6" t="str">
        <f>LRTRIM(CONCATENATE(IF(SUMPRODUCT(-- ISNUMBER(SEARCH({"Auto Number"}, $B157))) &gt; 0, $B157, IF(SUMPRODUCT(-- ISNUMBER(SEARCH({"Lookup","Master-Detail"}, $B157))) &gt; 0,$B157 &amp; "(" &amp; $E157 &amp; ")",IF(SUMPRODUCT(-- ISNUMBER(SEARCH({"Formula","Roll-Up Summary"}, $B157))) &gt; 0,$B157 &amp; " (" &amp; $E157 &amp; ")",IF(SUMPRODUCT(-- ISNUMBER(SEARCH({"Content","Currency","Number","Percent","Text","URL"}, $B157))) &gt; 0,$B157 &amp; "(" &amp; $C157 &amp; ")",$B157)))), "  ", TRIM(IF($S157 = "YES", "(External ID)", "") &amp; " " &amp; IF(SUMPRODUCT(-- ISNUMBER(SEARCH({"Unique","Unique Case Insensitive"}, $R157))) &gt; 0, "(" &amp; $R157 &amp; ")", ""))))</f>
        <v>na</v>
      </c>
      <c r="E157" s="7" t="s">
        <v>195</v>
      </c>
      <c r="F157" s="7" t="s">
        <v>195</v>
      </c>
      <c r="G157" s="7" t="s">
        <v>195</v>
      </c>
      <c r="H157" s="7" t="s">
        <v>195</v>
      </c>
      <c r="I157" s="7" t="s">
        <v>195</v>
      </c>
      <c r="J157" s="7" t="s">
        <v>195</v>
      </c>
      <c r="K157" s="7" t="s">
        <v>195</v>
      </c>
      <c r="L157" s="7" t="s">
        <v>195</v>
      </c>
      <c r="M157" s="7" t="s">
        <v>29</v>
      </c>
      <c r="N157" s="7" t="s">
        <v>29</v>
      </c>
      <c r="O157" s="7" t="s">
        <v>29</v>
      </c>
      <c r="P157" s="7" t="s">
        <v>29</v>
      </c>
      <c r="Q157" s="7" t="s">
        <v>29</v>
      </c>
      <c r="R157" s="7" t="s">
        <v>29</v>
      </c>
      <c r="S157" s="7" t="s">
        <v>29</v>
      </c>
    </row>
    <row r="158" spans="2:19">
      <c r="B158" s="7" t="s">
        <v>195</v>
      </c>
      <c r="C158" s="8" t="s">
        <v>195</v>
      </c>
      <c r="D158" s="6" t="str">
        <f>LRTRIM(CONCATENATE(IF(SUMPRODUCT(-- ISNUMBER(SEARCH({"Auto Number"}, $B158))) &gt; 0, $B158, IF(SUMPRODUCT(-- ISNUMBER(SEARCH({"Lookup","Master-Detail"}, $B158))) &gt; 0,$B158 &amp; "(" &amp; $E158 &amp; ")",IF(SUMPRODUCT(-- ISNUMBER(SEARCH({"Formula","Roll-Up Summary"}, $B158))) &gt; 0,$B158 &amp; " (" &amp; $E158 &amp; ")",IF(SUMPRODUCT(-- ISNUMBER(SEARCH({"Content","Currency","Number","Percent","Text","URL"}, $B158))) &gt; 0,$B158 &amp; "(" &amp; $C158 &amp; ")",$B158)))), "  ", TRIM(IF($S158 = "YES", "(External ID)", "") &amp; " " &amp; IF(SUMPRODUCT(-- ISNUMBER(SEARCH({"Unique","Unique Case Insensitive"}, $R158))) &gt; 0, "(" &amp; $R158 &amp; ")", ""))))</f>
        <v>na</v>
      </c>
      <c r="E158" s="7" t="s">
        <v>195</v>
      </c>
      <c r="F158" s="7" t="s">
        <v>195</v>
      </c>
      <c r="G158" s="7" t="s">
        <v>195</v>
      </c>
      <c r="H158" s="7" t="s">
        <v>195</v>
      </c>
      <c r="I158" s="7" t="s">
        <v>195</v>
      </c>
      <c r="J158" s="7" t="s">
        <v>195</v>
      </c>
      <c r="K158" s="7" t="s">
        <v>195</v>
      </c>
      <c r="L158" s="7" t="s">
        <v>195</v>
      </c>
      <c r="M158" s="7" t="s">
        <v>29</v>
      </c>
      <c r="N158" s="7" t="s">
        <v>29</v>
      </c>
      <c r="O158" s="7" t="s">
        <v>29</v>
      </c>
      <c r="P158" s="7" t="s">
        <v>29</v>
      </c>
      <c r="Q158" s="7" t="s">
        <v>29</v>
      </c>
      <c r="R158" s="7" t="s">
        <v>29</v>
      </c>
      <c r="S158" s="7" t="s">
        <v>29</v>
      </c>
    </row>
    <row r="159" spans="2:19">
      <c r="B159" s="7" t="s">
        <v>195</v>
      </c>
      <c r="C159" s="8" t="s">
        <v>195</v>
      </c>
      <c r="D159" s="6" t="str">
        <f>LRTRIM(CONCATENATE(IF(SUMPRODUCT(-- ISNUMBER(SEARCH({"Auto Number"}, $B159))) &gt; 0, $B159, IF(SUMPRODUCT(-- ISNUMBER(SEARCH({"Lookup","Master-Detail"}, $B159))) &gt; 0,$B159 &amp; "(" &amp; $E159 &amp; ")",IF(SUMPRODUCT(-- ISNUMBER(SEARCH({"Formula","Roll-Up Summary"}, $B159))) &gt; 0,$B159 &amp; " (" &amp; $E159 &amp; ")",IF(SUMPRODUCT(-- ISNUMBER(SEARCH({"Content","Currency","Number","Percent","Text","URL"}, $B159))) &gt; 0,$B159 &amp; "(" &amp; $C159 &amp; ")",$B159)))), "  ", TRIM(IF($S159 = "YES", "(External ID)", "") &amp; " " &amp; IF(SUMPRODUCT(-- ISNUMBER(SEARCH({"Unique","Unique Case Insensitive"}, $R159))) &gt; 0, "(" &amp; $R159 &amp; ")", ""))))</f>
        <v>na</v>
      </c>
      <c r="E159" s="7" t="s">
        <v>195</v>
      </c>
      <c r="F159" s="7" t="s">
        <v>195</v>
      </c>
      <c r="G159" s="7" t="s">
        <v>195</v>
      </c>
      <c r="H159" s="7" t="s">
        <v>195</v>
      </c>
      <c r="I159" s="7" t="s">
        <v>195</v>
      </c>
      <c r="J159" s="7" t="s">
        <v>195</v>
      </c>
      <c r="K159" s="7" t="s">
        <v>195</v>
      </c>
      <c r="L159" s="7" t="s">
        <v>195</v>
      </c>
      <c r="M159" s="7" t="s">
        <v>29</v>
      </c>
      <c r="N159" s="7" t="s">
        <v>29</v>
      </c>
      <c r="O159" s="7" t="s">
        <v>29</v>
      </c>
      <c r="P159" s="7" t="s">
        <v>29</v>
      </c>
      <c r="Q159" s="7" t="s">
        <v>29</v>
      </c>
      <c r="R159" s="7" t="s">
        <v>29</v>
      </c>
      <c r="S159" s="7" t="s">
        <v>29</v>
      </c>
    </row>
    <row r="160" spans="2:19">
      <c r="B160" s="7" t="s">
        <v>195</v>
      </c>
      <c r="C160" s="8" t="s">
        <v>195</v>
      </c>
      <c r="D160" s="6" t="str">
        <f>LRTRIM(CONCATENATE(IF(SUMPRODUCT(-- ISNUMBER(SEARCH({"Auto Number"}, $B160))) &gt; 0, $B160, IF(SUMPRODUCT(-- ISNUMBER(SEARCH({"Lookup","Master-Detail"}, $B160))) &gt; 0,$B160 &amp; "(" &amp; $E160 &amp; ")",IF(SUMPRODUCT(-- ISNUMBER(SEARCH({"Formula","Roll-Up Summary"}, $B160))) &gt; 0,$B160 &amp; " (" &amp; $E160 &amp; ")",IF(SUMPRODUCT(-- ISNUMBER(SEARCH({"Content","Currency","Number","Percent","Text","URL"}, $B160))) &gt; 0,$B160 &amp; "(" &amp; $C160 &amp; ")",$B160)))), "  ", TRIM(IF($S160 = "YES", "(External ID)", "") &amp; " " &amp; IF(SUMPRODUCT(-- ISNUMBER(SEARCH({"Unique","Unique Case Insensitive"}, $R160))) &gt; 0, "(" &amp; $R160 &amp; ")", ""))))</f>
        <v>na</v>
      </c>
      <c r="E160" s="7" t="s">
        <v>195</v>
      </c>
      <c r="F160" s="7" t="s">
        <v>195</v>
      </c>
      <c r="G160" s="7" t="s">
        <v>195</v>
      </c>
      <c r="H160" s="7" t="s">
        <v>195</v>
      </c>
      <c r="I160" s="7" t="s">
        <v>195</v>
      </c>
      <c r="J160" s="7" t="s">
        <v>195</v>
      </c>
      <c r="K160" s="7" t="s">
        <v>195</v>
      </c>
      <c r="L160" s="7" t="s">
        <v>195</v>
      </c>
      <c r="M160" s="7" t="s">
        <v>29</v>
      </c>
      <c r="N160" s="7" t="s">
        <v>29</v>
      </c>
      <c r="O160" s="7" t="s">
        <v>29</v>
      </c>
      <c r="P160" s="7" t="s">
        <v>29</v>
      </c>
      <c r="Q160" s="7" t="s">
        <v>29</v>
      </c>
      <c r="R160" s="7" t="s">
        <v>29</v>
      </c>
      <c r="S160" s="7" t="s">
        <v>29</v>
      </c>
    </row>
    <row r="161" spans="2:19">
      <c r="B161" s="7" t="s">
        <v>195</v>
      </c>
      <c r="C161" s="8" t="s">
        <v>195</v>
      </c>
      <c r="D161" s="6" t="str">
        <f>LRTRIM(CONCATENATE(IF(SUMPRODUCT(-- ISNUMBER(SEARCH({"Auto Number"}, $B161))) &gt; 0, $B161, IF(SUMPRODUCT(-- ISNUMBER(SEARCH({"Lookup","Master-Detail"}, $B161))) &gt; 0,$B161 &amp; "(" &amp; $E161 &amp; ")",IF(SUMPRODUCT(-- ISNUMBER(SEARCH({"Formula","Roll-Up Summary"}, $B161))) &gt; 0,$B161 &amp; " (" &amp; $E161 &amp; ")",IF(SUMPRODUCT(-- ISNUMBER(SEARCH({"Content","Currency","Number","Percent","Text","URL"}, $B161))) &gt; 0,$B161 &amp; "(" &amp; $C161 &amp; ")",$B161)))), "  ", TRIM(IF($S161 = "YES", "(External ID)", "") &amp; " " &amp; IF(SUMPRODUCT(-- ISNUMBER(SEARCH({"Unique","Unique Case Insensitive"}, $R161))) &gt; 0, "(" &amp; $R161 &amp; ")", ""))))</f>
        <v>na</v>
      </c>
      <c r="E161" s="7" t="s">
        <v>195</v>
      </c>
      <c r="F161" s="7" t="s">
        <v>195</v>
      </c>
      <c r="G161" s="7" t="s">
        <v>195</v>
      </c>
      <c r="H161" s="7" t="s">
        <v>195</v>
      </c>
      <c r="I161" s="7" t="s">
        <v>195</v>
      </c>
      <c r="J161" s="7" t="s">
        <v>195</v>
      </c>
      <c r="K161" s="7" t="s">
        <v>195</v>
      </c>
      <c r="L161" s="7" t="s">
        <v>195</v>
      </c>
      <c r="M161" s="7" t="s">
        <v>29</v>
      </c>
      <c r="N161" s="7" t="s">
        <v>29</v>
      </c>
      <c r="O161" s="7" t="s">
        <v>29</v>
      </c>
      <c r="P161" s="7" t="s">
        <v>29</v>
      </c>
      <c r="Q161" s="7" t="s">
        <v>29</v>
      </c>
      <c r="R161" s="7" t="s">
        <v>29</v>
      </c>
      <c r="S161" s="7" t="s">
        <v>29</v>
      </c>
    </row>
    <row r="162" spans="2:19">
      <c r="B162" s="7" t="s">
        <v>195</v>
      </c>
      <c r="C162" s="8" t="s">
        <v>195</v>
      </c>
      <c r="D162" s="6" t="str">
        <f>LRTRIM(CONCATENATE(IF(SUMPRODUCT(-- ISNUMBER(SEARCH({"Auto Number"}, $B162))) &gt; 0, $B162, IF(SUMPRODUCT(-- ISNUMBER(SEARCH({"Lookup","Master-Detail"}, $B162))) &gt; 0,$B162 &amp; "(" &amp; $E162 &amp; ")",IF(SUMPRODUCT(-- ISNUMBER(SEARCH({"Formula","Roll-Up Summary"}, $B162))) &gt; 0,$B162 &amp; " (" &amp; $E162 &amp; ")",IF(SUMPRODUCT(-- ISNUMBER(SEARCH({"Content","Currency","Number","Percent","Text","URL"}, $B162))) &gt; 0,$B162 &amp; "(" &amp; $C162 &amp; ")",$B162)))), "  ", TRIM(IF($S162 = "YES", "(External ID)", "") &amp; " " &amp; IF(SUMPRODUCT(-- ISNUMBER(SEARCH({"Unique","Unique Case Insensitive"}, $R162))) &gt; 0, "(" &amp; $R162 &amp; ")", ""))))</f>
        <v>na</v>
      </c>
      <c r="E162" s="7" t="s">
        <v>195</v>
      </c>
      <c r="F162" s="7" t="s">
        <v>195</v>
      </c>
      <c r="G162" s="7" t="s">
        <v>195</v>
      </c>
      <c r="H162" s="7" t="s">
        <v>195</v>
      </c>
      <c r="I162" s="7" t="s">
        <v>195</v>
      </c>
      <c r="J162" s="7" t="s">
        <v>195</v>
      </c>
      <c r="K162" s="7" t="s">
        <v>195</v>
      </c>
      <c r="L162" s="7" t="s">
        <v>195</v>
      </c>
      <c r="M162" s="7" t="s">
        <v>29</v>
      </c>
      <c r="N162" s="7" t="s">
        <v>29</v>
      </c>
      <c r="O162" s="7" t="s">
        <v>29</v>
      </c>
      <c r="P162" s="7" t="s">
        <v>29</v>
      </c>
      <c r="Q162" s="7" t="s">
        <v>29</v>
      </c>
      <c r="R162" s="7" t="s">
        <v>29</v>
      </c>
      <c r="S162" s="7" t="s">
        <v>29</v>
      </c>
    </row>
    <row r="163" spans="2:19">
      <c r="B163" s="7" t="s">
        <v>195</v>
      </c>
      <c r="C163" s="8" t="s">
        <v>195</v>
      </c>
      <c r="D163" s="6" t="str">
        <f>LRTRIM(CONCATENATE(IF(SUMPRODUCT(-- ISNUMBER(SEARCH({"Auto Number"}, $B163))) &gt; 0, $B163, IF(SUMPRODUCT(-- ISNUMBER(SEARCH({"Lookup","Master-Detail"}, $B163))) &gt; 0,$B163 &amp; "(" &amp; $E163 &amp; ")",IF(SUMPRODUCT(-- ISNUMBER(SEARCH({"Formula","Roll-Up Summary"}, $B163))) &gt; 0,$B163 &amp; " (" &amp; $E163 &amp; ")",IF(SUMPRODUCT(-- ISNUMBER(SEARCH({"Content","Currency","Number","Percent","Text","URL"}, $B163))) &gt; 0,$B163 &amp; "(" &amp; $C163 &amp; ")",$B163)))), "  ", TRIM(IF($S163 = "YES", "(External ID)", "") &amp; " " &amp; IF(SUMPRODUCT(-- ISNUMBER(SEARCH({"Unique","Unique Case Insensitive"}, $R163))) &gt; 0, "(" &amp; $R163 &amp; ")", ""))))</f>
        <v>na</v>
      </c>
      <c r="E163" s="7" t="s">
        <v>195</v>
      </c>
      <c r="F163" s="7" t="s">
        <v>195</v>
      </c>
      <c r="G163" s="7" t="s">
        <v>195</v>
      </c>
      <c r="H163" s="7" t="s">
        <v>195</v>
      </c>
      <c r="I163" s="7" t="s">
        <v>195</v>
      </c>
      <c r="J163" s="7" t="s">
        <v>195</v>
      </c>
      <c r="K163" s="7" t="s">
        <v>195</v>
      </c>
      <c r="L163" s="7" t="s">
        <v>195</v>
      </c>
      <c r="M163" s="7" t="s">
        <v>29</v>
      </c>
      <c r="N163" s="7" t="s">
        <v>29</v>
      </c>
      <c r="O163" s="7" t="s">
        <v>29</v>
      </c>
      <c r="P163" s="7" t="s">
        <v>29</v>
      </c>
      <c r="Q163" s="7" t="s">
        <v>29</v>
      </c>
      <c r="R163" s="7" t="s">
        <v>29</v>
      </c>
      <c r="S163" s="7" t="s">
        <v>29</v>
      </c>
    </row>
    <row r="164" spans="2:19">
      <c r="B164" s="7" t="s">
        <v>195</v>
      </c>
      <c r="C164" s="8" t="s">
        <v>195</v>
      </c>
      <c r="D164" s="6" t="str">
        <f>LRTRIM(CONCATENATE(IF(SUMPRODUCT(-- ISNUMBER(SEARCH({"Auto Number"}, $B164))) &gt; 0, $B164, IF(SUMPRODUCT(-- ISNUMBER(SEARCH({"Lookup","Master-Detail"}, $B164))) &gt; 0,$B164 &amp; "(" &amp; $E164 &amp; ")",IF(SUMPRODUCT(-- ISNUMBER(SEARCH({"Formula","Roll-Up Summary"}, $B164))) &gt; 0,$B164 &amp; " (" &amp; $E164 &amp; ")",IF(SUMPRODUCT(-- ISNUMBER(SEARCH({"Content","Currency","Number","Percent","Text","URL"}, $B164))) &gt; 0,$B164 &amp; "(" &amp; $C164 &amp; ")",$B164)))), "  ", TRIM(IF($S164 = "YES", "(External ID)", "") &amp; " " &amp; IF(SUMPRODUCT(-- ISNUMBER(SEARCH({"Unique","Unique Case Insensitive"}, $R164))) &gt; 0, "(" &amp; $R164 &amp; ")", ""))))</f>
        <v>na</v>
      </c>
      <c r="E164" s="7" t="s">
        <v>195</v>
      </c>
      <c r="F164" s="7" t="s">
        <v>195</v>
      </c>
      <c r="G164" s="7" t="s">
        <v>195</v>
      </c>
      <c r="H164" s="7" t="s">
        <v>195</v>
      </c>
      <c r="I164" s="7" t="s">
        <v>195</v>
      </c>
      <c r="J164" s="7" t="s">
        <v>195</v>
      </c>
      <c r="K164" s="7" t="s">
        <v>195</v>
      </c>
      <c r="L164" s="7" t="s">
        <v>195</v>
      </c>
      <c r="M164" s="7" t="s">
        <v>29</v>
      </c>
      <c r="N164" s="7" t="s">
        <v>29</v>
      </c>
      <c r="O164" s="7" t="s">
        <v>29</v>
      </c>
      <c r="P164" s="7" t="s">
        <v>29</v>
      </c>
      <c r="Q164" s="7" t="s">
        <v>29</v>
      </c>
      <c r="R164" s="7" t="s">
        <v>29</v>
      </c>
      <c r="S164" s="7" t="s">
        <v>29</v>
      </c>
    </row>
    <row r="165" spans="2:19">
      <c r="B165" s="7" t="s">
        <v>195</v>
      </c>
      <c r="C165" s="8" t="s">
        <v>195</v>
      </c>
      <c r="D165" s="6" t="str">
        <f>LRTRIM(CONCATENATE(IF(SUMPRODUCT(-- ISNUMBER(SEARCH({"Auto Number"}, $B165))) &gt; 0, $B165, IF(SUMPRODUCT(-- ISNUMBER(SEARCH({"Lookup","Master-Detail"}, $B165))) &gt; 0,$B165 &amp; "(" &amp; $E165 &amp; ")",IF(SUMPRODUCT(-- ISNUMBER(SEARCH({"Formula","Roll-Up Summary"}, $B165))) &gt; 0,$B165 &amp; " (" &amp; $E165 &amp; ")",IF(SUMPRODUCT(-- ISNUMBER(SEARCH({"Content","Currency","Number","Percent","Text","URL"}, $B165))) &gt; 0,$B165 &amp; "(" &amp; $C165 &amp; ")",$B165)))), "  ", TRIM(IF($S165 = "YES", "(External ID)", "") &amp; " " &amp; IF(SUMPRODUCT(-- ISNUMBER(SEARCH({"Unique","Unique Case Insensitive"}, $R165))) &gt; 0, "(" &amp; $R165 &amp; ")", ""))))</f>
        <v>na</v>
      </c>
      <c r="E165" s="7" t="s">
        <v>195</v>
      </c>
      <c r="F165" s="7" t="s">
        <v>195</v>
      </c>
      <c r="G165" s="7" t="s">
        <v>195</v>
      </c>
      <c r="H165" s="7" t="s">
        <v>195</v>
      </c>
      <c r="I165" s="7" t="s">
        <v>195</v>
      </c>
      <c r="J165" s="7" t="s">
        <v>195</v>
      </c>
      <c r="K165" s="7" t="s">
        <v>195</v>
      </c>
      <c r="L165" s="7" t="s">
        <v>195</v>
      </c>
      <c r="M165" s="7" t="s">
        <v>29</v>
      </c>
      <c r="N165" s="7" t="s">
        <v>29</v>
      </c>
      <c r="O165" s="7" t="s">
        <v>29</v>
      </c>
      <c r="P165" s="7" t="s">
        <v>29</v>
      </c>
      <c r="Q165" s="7" t="s">
        <v>29</v>
      </c>
      <c r="R165" s="7" t="s">
        <v>29</v>
      </c>
      <c r="S165" s="7" t="s">
        <v>29</v>
      </c>
    </row>
    <row r="166" spans="2:19">
      <c r="B166" s="7" t="s">
        <v>195</v>
      </c>
      <c r="C166" s="8" t="s">
        <v>195</v>
      </c>
      <c r="D166" s="6" t="str">
        <f>LRTRIM(CONCATENATE(IF(SUMPRODUCT(-- ISNUMBER(SEARCH({"Auto Number"}, $B166))) &gt; 0, $B166, IF(SUMPRODUCT(-- ISNUMBER(SEARCH({"Lookup","Master-Detail"}, $B166))) &gt; 0,$B166 &amp; "(" &amp; $E166 &amp; ")",IF(SUMPRODUCT(-- ISNUMBER(SEARCH({"Formula","Roll-Up Summary"}, $B166))) &gt; 0,$B166 &amp; " (" &amp; $E166 &amp; ")",IF(SUMPRODUCT(-- ISNUMBER(SEARCH({"Content","Currency","Number","Percent","Text","URL"}, $B166))) &gt; 0,$B166 &amp; "(" &amp; $C166 &amp; ")",$B166)))), "  ", TRIM(IF($S166 = "YES", "(External ID)", "") &amp; " " &amp; IF(SUMPRODUCT(-- ISNUMBER(SEARCH({"Unique","Unique Case Insensitive"}, $R166))) &gt; 0, "(" &amp; $R166 &amp; ")", ""))))</f>
        <v>na</v>
      </c>
      <c r="E166" s="7" t="s">
        <v>195</v>
      </c>
      <c r="F166" s="7" t="s">
        <v>195</v>
      </c>
      <c r="G166" s="7" t="s">
        <v>195</v>
      </c>
      <c r="H166" s="7" t="s">
        <v>195</v>
      </c>
      <c r="I166" s="7" t="s">
        <v>195</v>
      </c>
      <c r="J166" s="7" t="s">
        <v>195</v>
      </c>
      <c r="K166" s="7" t="s">
        <v>195</v>
      </c>
      <c r="L166" s="7" t="s">
        <v>195</v>
      </c>
      <c r="M166" s="7" t="s">
        <v>29</v>
      </c>
      <c r="N166" s="7" t="s">
        <v>29</v>
      </c>
      <c r="O166" s="7" t="s">
        <v>29</v>
      </c>
      <c r="P166" s="7" t="s">
        <v>29</v>
      </c>
      <c r="Q166" s="7" t="s">
        <v>29</v>
      </c>
      <c r="R166" s="7" t="s">
        <v>29</v>
      </c>
      <c r="S166" s="7" t="s">
        <v>29</v>
      </c>
    </row>
    <row r="167" spans="2:19">
      <c r="B167" s="7" t="s">
        <v>195</v>
      </c>
      <c r="C167" s="8" t="s">
        <v>195</v>
      </c>
      <c r="D167" s="6" t="str">
        <f>LRTRIM(CONCATENATE(IF(SUMPRODUCT(-- ISNUMBER(SEARCH({"Auto Number"}, $B167))) &gt; 0, $B167, IF(SUMPRODUCT(-- ISNUMBER(SEARCH({"Lookup","Master-Detail"}, $B167))) &gt; 0,$B167 &amp; "(" &amp; $E167 &amp; ")",IF(SUMPRODUCT(-- ISNUMBER(SEARCH({"Formula","Roll-Up Summary"}, $B167))) &gt; 0,$B167 &amp; " (" &amp; $E167 &amp; ")",IF(SUMPRODUCT(-- ISNUMBER(SEARCH({"Content","Currency","Number","Percent","Text","URL"}, $B167))) &gt; 0,$B167 &amp; "(" &amp; $C167 &amp; ")",$B167)))), "  ", TRIM(IF($S167 = "YES", "(External ID)", "") &amp; " " &amp; IF(SUMPRODUCT(-- ISNUMBER(SEARCH({"Unique","Unique Case Insensitive"}, $R167))) &gt; 0, "(" &amp; $R167 &amp; ")", ""))))</f>
        <v>na</v>
      </c>
      <c r="E167" s="7" t="s">
        <v>195</v>
      </c>
      <c r="F167" s="7" t="s">
        <v>195</v>
      </c>
      <c r="G167" s="7" t="s">
        <v>195</v>
      </c>
      <c r="H167" s="7" t="s">
        <v>195</v>
      </c>
      <c r="I167" s="7" t="s">
        <v>195</v>
      </c>
      <c r="J167" s="7" t="s">
        <v>195</v>
      </c>
      <c r="K167" s="7" t="s">
        <v>195</v>
      </c>
      <c r="L167" s="7" t="s">
        <v>195</v>
      </c>
      <c r="M167" s="7" t="s">
        <v>29</v>
      </c>
      <c r="N167" s="7" t="s">
        <v>29</v>
      </c>
      <c r="O167" s="7" t="s">
        <v>29</v>
      </c>
      <c r="P167" s="7" t="s">
        <v>29</v>
      </c>
      <c r="Q167" s="7" t="s">
        <v>29</v>
      </c>
      <c r="R167" s="7" t="s">
        <v>29</v>
      </c>
      <c r="S167" s="7" t="s">
        <v>29</v>
      </c>
    </row>
    <row r="168" spans="2:19">
      <c r="B168" s="7" t="s">
        <v>195</v>
      </c>
      <c r="C168" s="8" t="s">
        <v>195</v>
      </c>
      <c r="D168" s="6" t="str">
        <f>LRTRIM(CONCATENATE(IF(SUMPRODUCT(-- ISNUMBER(SEARCH({"Auto Number"}, $B168))) &gt; 0, $B168, IF(SUMPRODUCT(-- ISNUMBER(SEARCH({"Lookup","Master-Detail"}, $B168))) &gt; 0,$B168 &amp; "(" &amp; $E168 &amp; ")",IF(SUMPRODUCT(-- ISNUMBER(SEARCH({"Formula","Roll-Up Summary"}, $B168))) &gt; 0,$B168 &amp; " (" &amp; $E168 &amp; ")",IF(SUMPRODUCT(-- ISNUMBER(SEARCH({"Content","Currency","Number","Percent","Text","URL"}, $B168))) &gt; 0,$B168 &amp; "(" &amp; $C168 &amp; ")",$B168)))), "  ", TRIM(IF($S168 = "YES", "(External ID)", "") &amp; " " &amp; IF(SUMPRODUCT(-- ISNUMBER(SEARCH({"Unique","Unique Case Insensitive"}, $R168))) &gt; 0, "(" &amp; $R168 &amp; ")", ""))))</f>
        <v>na</v>
      </c>
      <c r="E168" s="7" t="s">
        <v>195</v>
      </c>
      <c r="F168" s="7" t="s">
        <v>195</v>
      </c>
      <c r="G168" s="7" t="s">
        <v>195</v>
      </c>
      <c r="H168" s="7" t="s">
        <v>195</v>
      </c>
      <c r="I168" s="7" t="s">
        <v>195</v>
      </c>
      <c r="J168" s="7" t="s">
        <v>195</v>
      </c>
      <c r="K168" s="7" t="s">
        <v>195</v>
      </c>
      <c r="L168" s="7" t="s">
        <v>195</v>
      </c>
      <c r="M168" s="7" t="s">
        <v>29</v>
      </c>
      <c r="N168" s="7" t="s">
        <v>29</v>
      </c>
      <c r="O168" s="7" t="s">
        <v>29</v>
      </c>
      <c r="P168" s="7" t="s">
        <v>29</v>
      </c>
      <c r="Q168" s="7" t="s">
        <v>29</v>
      </c>
      <c r="R168" s="7" t="s">
        <v>29</v>
      </c>
      <c r="S168" s="7" t="s">
        <v>29</v>
      </c>
    </row>
    <row r="169" spans="2:19">
      <c r="B169" s="7" t="s">
        <v>195</v>
      </c>
      <c r="C169" s="8" t="s">
        <v>195</v>
      </c>
      <c r="D169" s="6" t="str">
        <f>LRTRIM(CONCATENATE(IF(SUMPRODUCT(-- ISNUMBER(SEARCH({"Auto Number"}, $B169))) &gt; 0, $B169, IF(SUMPRODUCT(-- ISNUMBER(SEARCH({"Lookup","Master-Detail"}, $B169))) &gt; 0,$B169 &amp; "(" &amp; $E169 &amp; ")",IF(SUMPRODUCT(-- ISNUMBER(SEARCH({"Formula","Roll-Up Summary"}, $B169))) &gt; 0,$B169 &amp; " (" &amp; $E169 &amp; ")",IF(SUMPRODUCT(-- ISNUMBER(SEARCH({"Content","Currency","Number","Percent","Text","URL"}, $B169))) &gt; 0,$B169 &amp; "(" &amp; $C169 &amp; ")",$B169)))), "  ", TRIM(IF($S169 = "YES", "(External ID)", "") &amp; " " &amp; IF(SUMPRODUCT(-- ISNUMBER(SEARCH({"Unique","Unique Case Insensitive"}, $R169))) &gt; 0, "(" &amp; $R169 &amp; ")", ""))))</f>
        <v>na</v>
      </c>
      <c r="E169" s="7" t="s">
        <v>195</v>
      </c>
      <c r="F169" s="7" t="s">
        <v>195</v>
      </c>
      <c r="G169" s="7" t="s">
        <v>195</v>
      </c>
      <c r="H169" s="7" t="s">
        <v>195</v>
      </c>
      <c r="I169" s="7" t="s">
        <v>195</v>
      </c>
      <c r="J169" s="7" t="s">
        <v>195</v>
      </c>
      <c r="K169" s="7" t="s">
        <v>195</v>
      </c>
      <c r="L169" s="7" t="s">
        <v>195</v>
      </c>
      <c r="M169" s="7" t="s">
        <v>29</v>
      </c>
      <c r="N169" s="7" t="s">
        <v>29</v>
      </c>
      <c r="O169" s="7" t="s">
        <v>29</v>
      </c>
      <c r="P169" s="7" t="s">
        <v>29</v>
      </c>
      <c r="Q169" s="7" t="s">
        <v>29</v>
      </c>
      <c r="R169" s="7" t="s">
        <v>29</v>
      </c>
      <c r="S169" s="7" t="s">
        <v>29</v>
      </c>
    </row>
    <row r="170" spans="2:19">
      <c r="B170" s="7" t="s">
        <v>195</v>
      </c>
      <c r="C170" s="8" t="s">
        <v>195</v>
      </c>
      <c r="D170" s="6" t="str">
        <f>LRTRIM(CONCATENATE(IF(SUMPRODUCT(-- ISNUMBER(SEARCH({"Auto Number"}, $B170))) &gt; 0, $B170, IF(SUMPRODUCT(-- ISNUMBER(SEARCH({"Lookup","Master-Detail"}, $B170))) &gt; 0,$B170 &amp; "(" &amp; $E170 &amp; ")",IF(SUMPRODUCT(-- ISNUMBER(SEARCH({"Formula","Roll-Up Summary"}, $B170))) &gt; 0,$B170 &amp; " (" &amp; $E170 &amp; ")",IF(SUMPRODUCT(-- ISNUMBER(SEARCH({"Content","Currency","Number","Percent","Text","URL"}, $B170))) &gt; 0,$B170 &amp; "(" &amp; $C170 &amp; ")",$B170)))), "  ", TRIM(IF($S170 = "YES", "(External ID)", "") &amp; " " &amp; IF(SUMPRODUCT(-- ISNUMBER(SEARCH({"Unique","Unique Case Insensitive"}, $R170))) &gt; 0, "(" &amp; $R170 &amp; ")", ""))))</f>
        <v>na</v>
      </c>
      <c r="E170" s="7" t="s">
        <v>195</v>
      </c>
      <c r="F170" s="7" t="s">
        <v>195</v>
      </c>
      <c r="G170" s="7" t="s">
        <v>195</v>
      </c>
      <c r="H170" s="7" t="s">
        <v>195</v>
      </c>
      <c r="I170" s="7" t="s">
        <v>195</v>
      </c>
      <c r="J170" s="7" t="s">
        <v>195</v>
      </c>
      <c r="K170" s="7" t="s">
        <v>195</v>
      </c>
      <c r="L170" s="7" t="s">
        <v>195</v>
      </c>
      <c r="M170" s="7" t="s">
        <v>29</v>
      </c>
      <c r="N170" s="7" t="s">
        <v>29</v>
      </c>
      <c r="O170" s="7" t="s">
        <v>29</v>
      </c>
      <c r="P170" s="7" t="s">
        <v>29</v>
      </c>
      <c r="Q170" s="7" t="s">
        <v>29</v>
      </c>
      <c r="R170" s="7" t="s">
        <v>29</v>
      </c>
      <c r="S170" s="7" t="s">
        <v>29</v>
      </c>
    </row>
    <row r="171" spans="2:19">
      <c r="B171" s="7" t="s">
        <v>195</v>
      </c>
      <c r="C171" s="8" t="s">
        <v>195</v>
      </c>
      <c r="D171" s="6" t="str">
        <f>LRTRIM(CONCATENATE(IF(SUMPRODUCT(-- ISNUMBER(SEARCH({"Auto Number"}, $B171))) &gt; 0, $B171, IF(SUMPRODUCT(-- ISNUMBER(SEARCH({"Lookup","Master-Detail"}, $B171))) &gt; 0,$B171 &amp; "(" &amp; $E171 &amp; ")",IF(SUMPRODUCT(-- ISNUMBER(SEARCH({"Formula","Roll-Up Summary"}, $B171))) &gt; 0,$B171 &amp; " (" &amp; $E171 &amp; ")",IF(SUMPRODUCT(-- ISNUMBER(SEARCH({"Content","Currency","Number","Percent","Text","URL"}, $B171))) &gt; 0,$B171 &amp; "(" &amp; $C171 &amp; ")",$B171)))), "  ", TRIM(IF($S171 = "YES", "(External ID)", "") &amp; " " &amp; IF(SUMPRODUCT(-- ISNUMBER(SEARCH({"Unique","Unique Case Insensitive"}, $R171))) &gt; 0, "(" &amp; $R171 &amp; ")", ""))))</f>
        <v>na</v>
      </c>
      <c r="E171" s="7" t="s">
        <v>195</v>
      </c>
      <c r="F171" s="7" t="s">
        <v>195</v>
      </c>
      <c r="G171" s="7" t="s">
        <v>195</v>
      </c>
      <c r="H171" s="7" t="s">
        <v>195</v>
      </c>
      <c r="I171" s="7" t="s">
        <v>195</v>
      </c>
      <c r="J171" s="7" t="s">
        <v>195</v>
      </c>
      <c r="K171" s="7" t="s">
        <v>195</v>
      </c>
      <c r="L171" s="7" t="s">
        <v>195</v>
      </c>
      <c r="M171" s="7" t="s">
        <v>29</v>
      </c>
      <c r="N171" s="7" t="s">
        <v>29</v>
      </c>
      <c r="O171" s="7" t="s">
        <v>29</v>
      </c>
      <c r="P171" s="7" t="s">
        <v>29</v>
      </c>
      <c r="Q171" s="7" t="s">
        <v>29</v>
      </c>
      <c r="R171" s="7" t="s">
        <v>29</v>
      </c>
      <c r="S171" s="7" t="s">
        <v>29</v>
      </c>
    </row>
    <row r="172" spans="2:19">
      <c r="B172" s="7" t="s">
        <v>195</v>
      </c>
      <c r="C172" s="8" t="s">
        <v>195</v>
      </c>
      <c r="D172" s="6" t="str">
        <f>LRTRIM(CONCATENATE(IF(SUMPRODUCT(-- ISNUMBER(SEARCH({"Auto Number"}, $B172))) &gt; 0, $B172, IF(SUMPRODUCT(-- ISNUMBER(SEARCH({"Lookup","Master-Detail"}, $B172))) &gt; 0,$B172 &amp; "(" &amp; $E172 &amp; ")",IF(SUMPRODUCT(-- ISNUMBER(SEARCH({"Formula","Roll-Up Summary"}, $B172))) &gt; 0,$B172 &amp; " (" &amp; $E172 &amp; ")",IF(SUMPRODUCT(-- ISNUMBER(SEARCH({"Content","Currency","Number","Percent","Text","URL"}, $B172))) &gt; 0,$B172 &amp; "(" &amp; $C172 &amp; ")",$B172)))), "  ", TRIM(IF($S172 = "YES", "(External ID)", "") &amp; " " &amp; IF(SUMPRODUCT(-- ISNUMBER(SEARCH({"Unique","Unique Case Insensitive"}, $R172))) &gt; 0, "(" &amp; $R172 &amp; ")", ""))))</f>
        <v>na</v>
      </c>
      <c r="E172" s="7" t="s">
        <v>195</v>
      </c>
      <c r="F172" s="7" t="s">
        <v>195</v>
      </c>
      <c r="G172" s="7" t="s">
        <v>195</v>
      </c>
      <c r="H172" s="7" t="s">
        <v>195</v>
      </c>
      <c r="I172" s="7" t="s">
        <v>195</v>
      </c>
      <c r="J172" s="7" t="s">
        <v>195</v>
      </c>
      <c r="K172" s="7" t="s">
        <v>195</v>
      </c>
      <c r="L172" s="7" t="s">
        <v>195</v>
      </c>
      <c r="M172" s="7" t="s">
        <v>29</v>
      </c>
      <c r="N172" s="7" t="s">
        <v>29</v>
      </c>
      <c r="O172" s="7" t="s">
        <v>29</v>
      </c>
      <c r="P172" s="7" t="s">
        <v>29</v>
      </c>
      <c r="Q172" s="7" t="s">
        <v>29</v>
      </c>
      <c r="R172" s="7" t="s">
        <v>29</v>
      </c>
      <c r="S172" s="7" t="s">
        <v>29</v>
      </c>
    </row>
    <row r="173" spans="2:19">
      <c r="B173" s="7" t="s">
        <v>195</v>
      </c>
      <c r="C173" s="8" t="s">
        <v>195</v>
      </c>
      <c r="D173" s="6" t="str">
        <f>LRTRIM(CONCATENATE(IF(SUMPRODUCT(-- ISNUMBER(SEARCH({"Auto Number"}, $B173))) &gt; 0, $B173, IF(SUMPRODUCT(-- ISNUMBER(SEARCH({"Lookup","Master-Detail"}, $B173))) &gt; 0,$B173 &amp; "(" &amp; $E173 &amp; ")",IF(SUMPRODUCT(-- ISNUMBER(SEARCH({"Formula","Roll-Up Summary"}, $B173))) &gt; 0,$B173 &amp; " (" &amp; $E173 &amp; ")",IF(SUMPRODUCT(-- ISNUMBER(SEARCH({"Content","Currency","Number","Percent","Text","URL"}, $B173))) &gt; 0,$B173 &amp; "(" &amp; $C173 &amp; ")",$B173)))), "  ", TRIM(IF($S173 = "YES", "(External ID)", "") &amp; " " &amp; IF(SUMPRODUCT(-- ISNUMBER(SEARCH({"Unique","Unique Case Insensitive"}, $R173))) &gt; 0, "(" &amp; $R173 &amp; ")", ""))))</f>
        <v>na</v>
      </c>
      <c r="E173" s="7" t="s">
        <v>195</v>
      </c>
      <c r="F173" s="7" t="s">
        <v>195</v>
      </c>
      <c r="G173" s="7" t="s">
        <v>195</v>
      </c>
      <c r="H173" s="7" t="s">
        <v>195</v>
      </c>
      <c r="I173" s="7" t="s">
        <v>195</v>
      </c>
      <c r="J173" s="7" t="s">
        <v>195</v>
      </c>
      <c r="K173" s="7" t="s">
        <v>195</v>
      </c>
      <c r="L173" s="7" t="s">
        <v>195</v>
      </c>
      <c r="M173" s="7" t="s">
        <v>29</v>
      </c>
      <c r="N173" s="7" t="s">
        <v>29</v>
      </c>
      <c r="O173" s="7" t="s">
        <v>29</v>
      </c>
      <c r="P173" s="7" t="s">
        <v>29</v>
      </c>
      <c r="Q173" s="7" t="s">
        <v>29</v>
      </c>
      <c r="R173" s="7" t="s">
        <v>29</v>
      </c>
      <c r="S173" s="7" t="s">
        <v>29</v>
      </c>
    </row>
    <row r="174" spans="2:19">
      <c r="B174" s="7" t="s">
        <v>195</v>
      </c>
      <c r="C174" s="8" t="s">
        <v>195</v>
      </c>
      <c r="D174" s="6" t="str">
        <f>LRTRIM(CONCATENATE(IF(SUMPRODUCT(-- ISNUMBER(SEARCH({"Auto Number"}, $B174))) &gt; 0, $B174, IF(SUMPRODUCT(-- ISNUMBER(SEARCH({"Lookup","Master-Detail"}, $B174))) &gt; 0,$B174 &amp; "(" &amp; $E174 &amp; ")",IF(SUMPRODUCT(-- ISNUMBER(SEARCH({"Formula","Roll-Up Summary"}, $B174))) &gt; 0,$B174 &amp; " (" &amp; $E174 &amp; ")",IF(SUMPRODUCT(-- ISNUMBER(SEARCH({"Content","Currency","Number","Percent","Text","URL"}, $B174))) &gt; 0,$B174 &amp; "(" &amp; $C174 &amp; ")",$B174)))), "  ", TRIM(IF($S174 = "YES", "(External ID)", "") &amp; " " &amp; IF(SUMPRODUCT(-- ISNUMBER(SEARCH({"Unique","Unique Case Insensitive"}, $R174))) &gt; 0, "(" &amp; $R174 &amp; ")", ""))))</f>
        <v>na</v>
      </c>
      <c r="E174" s="7" t="s">
        <v>195</v>
      </c>
      <c r="F174" s="7" t="s">
        <v>195</v>
      </c>
      <c r="G174" s="7" t="s">
        <v>195</v>
      </c>
      <c r="H174" s="7" t="s">
        <v>195</v>
      </c>
      <c r="I174" s="7" t="s">
        <v>195</v>
      </c>
      <c r="J174" s="7" t="s">
        <v>195</v>
      </c>
      <c r="K174" s="7" t="s">
        <v>195</v>
      </c>
      <c r="L174" s="7" t="s">
        <v>195</v>
      </c>
      <c r="M174" s="7" t="s">
        <v>29</v>
      </c>
      <c r="N174" s="7" t="s">
        <v>29</v>
      </c>
      <c r="O174" s="7" t="s">
        <v>29</v>
      </c>
      <c r="P174" s="7" t="s">
        <v>29</v>
      </c>
      <c r="Q174" s="7" t="s">
        <v>29</v>
      </c>
      <c r="R174" s="7" t="s">
        <v>29</v>
      </c>
      <c r="S174" s="7" t="s">
        <v>29</v>
      </c>
    </row>
    <row r="175" spans="2:19">
      <c r="B175" s="7" t="s">
        <v>195</v>
      </c>
      <c r="C175" s="8" t="s">
        <v>195</v>
      </c>
      <c r="D175" s="6" t="str">
        <f>LRTRIM(CONCATENATE(IF(SUMPRODUCT(-- ISNUMBER(SEARCH({"Auto Number"}, $B175))) &gt; 0, $B175, IF(SUMPRODUCT(-- ISNUMBER(SEARCH({"Lookup","Master-Detail"}, $B175))) &gt; 0,$B175 &amp; "(" &amp; $E175 &amp; ")",IF(SUMPRODUCT(-- ISNUMBER(SEARCH({"Formula","Roll-Up Summary"}, $B175))) &gt; 0,$B175 &amp; " (" &amp; $E175 &amp; ")",IF(SUMPRODUCT(-- ISNUMBER(SEARCH({"Content","Currency","Number","Percent","Text","URL"}, $B175))) &gt; 0,$B175 &amp; "(" &amp; $C175 &amp; ")",$B175)))), "  ", TRIM(IF($S175 = "YES", "(External ID)", "") &amp; " " &amp; IF(SUMPRODUCT(-- ISNUMBER(SEARCH({"Unique","Unique Case Insensitive"}, $R175))) &gt; 0, "(" &amp; $R175 &amp; ")", ""))))</f>
        <v>na</v>
      </c>
      <c r="E175" s="7" t="s">
        <v>195</v>
      </c>
      <c r="F175" s="7" t="s">
        <v>195</v>
      </c>
      <c r="G175" s="7" t="s">
        <v>195</v>
      </c>
      <c r="H175" s="7" t="s">
        <v>195</v>
      </c>
      <c r="I175" s="7" t="s">
        <v>195</v>
      </c>
      <c r="J175" s="7" t="s">
        <v>195</v>
      </c>
      <c r="K175" s="7" t="s">
        <v>195</v>
      </c>
      <c r="L175" s="7" t="s">
        <v>195</v>
      </c>
      <c r="M175" s="7" t="s">
        <v>29</v>
      </c>
      <c r="N175" s="7" t="s">
        <v>29</v>
      </c>
      <c r="O175" s="7" t="s">
        <v>29</v>
      </c>
      <c r="P175" s="7" t="s">
        <v>29</v>
      </c>
      <c r="Q175" s="7" t="s">
        <v>29</v>
      </c>
      <c r="R175" s="7" t="s">
        <v>29</v>
      </c>
      <c r="S175" s="7" t="s">
        <v>29</v>
      </c>
    </row>
    <row r="176" spans="2:19">
      <c r="B176" s="7" t="s">
        <v>195</v>
      </c>
      <c r="C176" s="8" t="s">
        <v>195</v>
      </c>
      <c r="D176" s="6" t="str">
        <f>LRTRIM(CONCATENATE(IF(SUMPRODUCT(-- ISNUMBER(SEARCH({"Auto Number"}, $B176))) &gt; 0, $B176, IF(SUMPRODUCT(-- ISNUMBER(SEARCH({"Lookup","Master-Detail"}, $B176))) &gt; 0,$B176 &amp; "(" &amp; $E176 &amp; ")",IF(SUMPRODUCT(-- ISNUMBER(SEARCH({"Formula","Roll-Up Summary"}, $B176))) &gt; 0,$B176 &amp; " (" &amp; $E176 &amp; ")",IF(SUMPRODUCT(-- ISNUMBER(SEARCH({"Content","Currency","Number","Percent","Text","URL"}, $B176))) &gt; 0,$B176 &amp; "(" &amp; $C176 &amp; ")",$B176)))), "  ", TRIM(IF($S176 = "YES", "(External ID)", "") &amp; " " &amp; IF(SUMPRODUCT(-- ISNUMBER(SEARCH({"Unique","Unique Case Insensitive"}, $R176))) &gt; 0, "(" &amp; $R176 &amp; ")", ""))))</f>
        <v>na</v>
      </c>
      <c r="E176" s="7" t="s">
        <v>195</v>
      </c>
      <c r="F176" s="7" t="s">
        <v>195</v>
      </c>
      <c r="G176" s="7" t="s">
        <v>195</v>
      </c>
      <c r="H176" s="7" t="s">
        <v>195</v>
      </c>
      <c r="I176" s="7" t="s">
        <v>195</v>
      </c>
      <c r="J176" s="7" t="s">
        <v>195</v>
      </c>
      <c r="K176" s="7" t="s">
        <v>195</v>
      </c>
      <c r="L176" s="7" t="s">
        <v>195</v>
      </c>
      <c r="M176" s="7" t="s">
        <v>29</v>
      </c>
      <c r="N176" s="7" t="s">
        <v>29</v>
      </c>
      <c r="O176" s="7" t="s">
        <v>29</v>
      </c>
      <c r="P176" s="7" t="s">
        <v>29</v>
      </c>
      <c r="Q176" s="7" t="s">
        <v>29</v>
      </c>
      <c r="R176" s="7" t="s">
        <v>29</v>
      </c>
      <c r="S176" s="7" t="s">
        <v>29</v>
      </c>
    </row>
    <row r="177" spans="2:19">
      <c r="B177" s="7" t="s">
        <v>195</v>
      </c>
      <c r="C177" s="8" t="s">
        <v>195</v>
      </c>
      <c r="D177" s="6" t="str">
        <f>LRTRIM(CONCATENATE(IF(SUMPRODUCT(-- ISNUMBER(SEARCH({"Auto Number"}, $B177))) &gt; 0, $B177, IF(SUMPRODUCT(-- ISNUMBER(SEARCH({"Lookup","Master-Detail"}, $B177))) &gt; 0,$B177 &amp; "(" &amp; $E177 &amp; ")",IF(SUMPRODUCT(-- ISNUMBER(SEARCH({"Formula","Roll-Up Summary"}, $B177))) &gt; 0,$B177 &amp; " (" &amp; $E177 &amp; ")",IF(SUMPRODUCT(-- ISNUMBER(SEARCH({"Content","Currency","Number","Percent","Text","URL"}, $B177))) &gt; 0,$B177 &amp; "(" &amp; $C177 &amp; ")",$B177)))), "  ", TRIM(IF($S177 = "YES", "(External ID)", "") &amp; " " &amp; IF(SUMPRODUCT(-- ISNUMBER(SEARCH({"Unique","Unique Case Insensitive"}, $R177))) &gt; 0, "(" &amp; $R177 &amp; ")", ""))))</f>
        <v>na</v>
      </c>
      <c r="E177" s="7" t="s">
        <v>195</v>
      </c>
      <c r="F177" s="7" t="s">
        <v>195</v>
      </c>
      <c r="G177" s="7" t="s">
        <v>195</v>
      </c>
      <c r="H177" s="7" t="s">
        <v>195</v>
      </c>
      <c r="I177" s="7" t="s">
        <v>195</v>
      </c>
      <c r="J177" s="7" t="s">
        <v>195</v>
      </c>
      <c r="K177" s="7" t="s">
        <v>195</v>
      </c>
      <c r="L177" s="7" t="s">
        <v>195</v>
      </c>
      <c r="M177" s="7" t="s">
        <v>29</v>
      </c>
      <c r="N177" s="7" t="s">
        <v>29</v>
      </c>
      <c r="O177" s="7" t="s">
        <v>29</v>
      </c>
      <c r="P177" s="7" t="s">
        <v>29</v>
      </c>
      <c r="Q177" s="7" t="s">
        <v>29</v>
      </c>
      <c r="R177" s="7" t="s">
        <v>29</v>
      </c>
      <c r="S177" s="7" t="s">
        <v>29</v>
      </c>
    </row>
    <row r="178" spans="2:19">
      <c r="B178" s="7" t="s">
        <v>195</v>
      </c>
      <c r="C178" s="8" t="s">
        <v>195</v>
      </c>
      <c r="D178" s="6" t="str">
        <f>LRTRIM(CONCATENATE(IF(SUMPRODUCT(-- ISNUMBER(SEARCH({"Auto Number"}, $B178))) &gt; 0, $B178, IF(SUMPRODUCT(-- ISNUMBER(SEARCH({"Lookup","Master-Detail"}, $B178))) &gt; 0,$B178 &amp; "(" &amp; $E178 &amp; ")",IF(SUMPRODUCT(-- ISNUMBER(SEARCH({"Formula","Roll-Up Summary"}, $B178))) &gt; 0,$B178 &amp; " (" &amp; $E178 &amp; ")",IF(SUMPRODUCT(-- ISNUMBER(SEARCH({"Content","Currency","Number","Percent","Text","URL"}, $B178))) &gt; 0,$B178 &amp; "(" &amp; $C178 &amp; ")",$B178)))), "  ", TRIM(IF($S178 = "YES", "(External ID)", "") &amp; " " &amp; IF(SUMPRODUCT(-- ISNUMBER(SEARCH({"Unique","Unique Case Insensitive"}, $R178))) &gt; 0, "(" &amp; $R178 &amp; ")", ""))))</f>
        <v>na</v>
      </c>
      <c r="E178" s="7" t="s">
        <v>195</v>
      </c>
      <c r="F178" s="7" t="s">
        <v>195</v>
      </c>
      <c r="G178" s="7" t="s">
        <v>195</v>
      </c>
      <c r="H178" s="7" t="s">
        <v>195</v>
      </c>
      <c r="I178" s="7" t="s">
        <v>195</v>
      </c>
      <c r="J178" s="7" t="s">
        <v>195</v>
      </c>
      <c r="K178" s="7" t="s">
        <v>195</v>
      </c>
      <c r="L178" s="7" t="s">
        <v>195</v>
      </c>
      <c r="M178" s="7" t="s">
        <v>29</v>
      </c>
      <c r="N178" s="7" t="s">
        <v>29</v>
      </c>
      <c r="O178" s="7" t="s">
        <v>29</v>
      </c>
      <c r="P178" s="7" t="s">
        <v>29</v>
      </c>
      <c r="Q178" s="7" t="s">
        <v>29</v>
      </c>
      <c r="R178" s="7" t="s">
        <v>29</v>
      </c>
      <c r="S178" s="7" t="s">
        <v>29</v>
      </c>
    </row>
    <row r="179" spans="2:19">
      <c r="B179" s="7" t="s">
        <v>195</v>
      </c>
      <c r="C179" s="8" t="s">
        <v>195</v>
      </c>
      <c r="D179" s="6" t="str">
        <f>LRTRIM(CONCATENATE(IF(SUMPRODUCT(-- ISNUMBER(SEARCH({"Auto Number"}, $B179))) &gt; 0, $B179, IF(SUMPRODUCT(-- ISNUMBER(SEARCH({"Lookup","Master-Detail"}, $B179))) &gt; 0,$B179 &amp; "(" &amp; $E179 &amp; ")",IF(SUMPRODUCT(-- ISNUMBER(SEARCH({"Formula","Roll-Up Summary"}, $B179))) &gt; 0,$B179 &amp; " (" &amp; $E179 &amp; ")",IF(SUMPRODUCT(-- ISNUMBER(SEARCH({"Content","Currency","Number","Percent","Text","URL"}, $B179))) &gt; 0,$B179 &amp; "(" &amp; $C179 &amp; ")",$B179)))), "  ", TRIM(IF($S179 = "YES", "(External ID)", "") &amp; " " &amp; IF(SUMPRODUCT(-- ISNUMBER(SEARCH({"Unique","Unique Case Insensitive"}, $R179))) &gt; 0, "(" &amp; $R179 &amp; ")", ""))))</f>
        <v>na</v>
      </c>
      <c r="E179" s="7" t="s">
        <v>195</v>
      </c>
      <c r="F179" s="7" t="s">
        <v>195</v>
      </c>
      <c r="G179" s="7" t="s">
        <v>195</v>
      </c>
      <c r="H179" s="7" t="s">
        <v>195</v>
      </c>
      <c r="I179" s="7" t="s">
        <v>195</v>
      </c>
      <c r="J179" s="7" t="s">
        <v>195</v>
      </c>
      <c r="K179" s="7" t="s">
        <v>195</v>
      </c>
      <c r="L179" s="7" t="s">
        <v>195</v>
      </c>
      <c r="M179" s="7" t="s">
        <v>29</v>
      </c>
      <c r="N179" s="7" t="s">
        <v>29</v>
      </c>
      <c r="O179" s="7" t="s">
        <v>29</v>
      </c>
      <c r="P179" s="7" t="s">
        <v>29</v>
      </c>
      <c r="Q179" s="7" t="s">
        <v>29</v>
      </c>
      <c r="R179" s="7" t="s">
        <v>29</v>
      </c>
      <c r="S179" s="7" t="s">
        <v>29</v>
      </c>
    </row>
    <row r="180" spans="2:19">
      <c r="B180" s="7" t="s">
        <v>195</v>
      </c>
      <c r="C180" s="8" t="s">
        <v>195</v>
      </c>
      <c r="D180" s="6" t="str">
        <f>LRTRIM(CONCATENATE(IF(SUMPRODUCT(-- ISNUMBER(SEARCH({"Auto Number"}, $B180))) &gt; 0, $B180, IF(SUMPRODUCT(-- ISNUMBER(SEARCH({"Lookup","Master-Detail"}, $B180))) &gt; 0,$B180 &amp; "(" &amp; $E180 &amp; ")",IF(SUMPRODUCT(-- ISNUMBER(SEARCH({"Formula","Roll-Up Summary"}, $B180))) &gt; 0,$B180 &amp; " (" &amp; $E180 &amp; ")",IF(SUMPRODUCT(-- ISNUMBER(SEARCH({"Content","Currency","Number","Percent","Text","URL"}, $B180))) &gt; 0,$B180 &amp; "(" &amp; $C180 &amp; ")",$B180)))), "  ", TRIM(IF($S180 = "YES", "(External ID)", "") &amp; " " &amp; IF(SUMPRODUCT(-- ISNUMBER(SEARCH({"Unique","Unique Case Insensitive"}, $R180))) &gt; 0, "(" &amp; $R180 &amp; ")", ""))))</f>
        <v>na</v>
      </c>
      <c r="E180" s="7" t="s">
        <v>195</v>
      </c>
      <c r="F180" s="7" t="s">
        <v>195</v>
      </c>
      <c r="G180" s="7" t="s">
        <v>195</v>
      </c>
      <c r="H180" s="7" t="s">
        <v>195</v>
      </c>
      <c r="I180" s="7" t="s">
        <v>195</v>
      </c>
      <c r="J180" s="7" t="s">
        <v>195</v>
      </c>
      <c r="K180" s="7" t="s">
        <v>195</v>
      </c>
      <c r="L180" s="7" t="s">
        <v>195</v>
      </c>
      <c r="M180" s="7" t="s">
        <v>29</v>
      </c>
      <c r="N180" s="7" t="s">
        <v>29</v>
      </c>
      <c r="O180" s="7" t="s">
        <v>29</v>
      </c>
      <c r="P180" s="7" t="s">
        <v>29</v>
      </c>
      <c r="Q180" s="7" t="s">
        <v>29</v>
      </c>
      <c r="R180" s="7" t="s">
        <v>29</v>
      </c>
      <c r="S180" s="7" t="s">
        <v>29</v>
      </c>
    </row>
    <row r="181" spans="2:19">
      <c r="B181" s="7" t="s">
        <v>195</v>
      </c>
      <c r="C181" s="8" t="s">
        <v>195</v>
      </c>
      <c r="D181" s="6" t="str">
        <f>LRTRIM(CONCATENATE(IF(SUMPRODUCT(-- ISNUMBER(SEARCH({"Auto Number"}, $B181))) &gt; 0, $B181, IF(SUMPRODUCT(-- ISNUMBER(SEARCH({"Lookup","Master-Detail"}, $B181))) &gt; 0,$B181 &amp; "(" &amp; $E181 &amp; ")",IF(SUMPRODUCT(-- ISNUMBER(SEARCH({"Formula","Roll-Up Summary"}, $B181))) &gt; 0,$B181 &amp; " (" &amp; $E181 &amp; ")",IF(SUMPRODUCT(-- ISNUMBER(SEARCH({"Content","Currency","Number","Percent","Text","URL"}, $B181))) &gt; 0,$B181 &amp; "(" &amp; $C181 &amp; ")",$B181)))), "  ", TRIM(IF($S181 = "YES", "(External ID)", "") &amp; " " &amp; IF(SUMPRODUCT(-- ISNUMBER(SEARCH({"Unique","Unique Case Insensitive"}, $R181))) &gt; 0, "(" &amp; $R181 &amp; ")", ""))))</f>
        <v>na</v>
      </c>
      <c r="E181" s="7" t="s">
        <v>195</v>
      </c>
      <c r="F181" s="7" t="s">
        <v>195</v>
      </c>
      <c r="G181" s="7" t="s">
        <v>195</v>
      </c>
      <c r="H181" s="7" t="s">
        <v>195</v>
      </c>
      <c r="I181" s="7" t="s">
        <v>195</v>
      </c>
      <c r="J181" s="7" t="s">
        <v>195</v>
      </c>
      <c r="K181" s="7" t="s">
        <v>195</v>
      </c>
      <c r="L181" s="7" t="s">
        <v>195</v>
      </c>
      <c r="M181" s="7" t="s">
        <v>29</v>
      </c>
      <c r="N181" s="7" t="s">
        <v>29</v>
      </c>
      <c r="O181" s="7" t="s">
        <v>29</v>
      </c>
      <c r="P181" s="7" t="s">
        <v>29</v>
      </c>
      <c r="Q181" s="7" t="s">
        <v>29</v>
      </c>
      <c r="R181" s="7" t="s">
        <v>29</v>
      </c>
      <c r="S181" s="7" t="s">
        <v>29</v>
      </c>
    </row>
    <row r="182" spans="2:19">
      <c r="B182" s="7" t="s">
        <v>195</v>
      </c>
      <c r="C182" s="8" t="s">
        <v>195</v>
      </c>
      <c r="D182" s="6" t="str">
        <f>LRTRIM(CONCATENATE(IF(SUMPRODUCT(-- ISNUMBER(SEARCH({"Auto Number"}, $B182))) &gt; 0, $B182, IF(SUMPRODUCT(-- ISNUMBER(SEARCH({"Lookup","Master-Detail"}, $B182))) &gt; 0,$B182 &amp; "(" &amp; $E182 &amp; ")",IF(SUMPRODUCT(-- ISNUMBER(SEARCH({"Formula","Roll-Up Summary"}, $B182))) &gt; 0,$B182 &amp; " (" &amp; $E182 &amp; ")",IF(SUMPRODUCT(-- ISNUMBER(SEARCH({"Content","Currency","Number","Percent","Text","URL"}, $B182))) &gt; 0,$B182 &amp; "(" &amp; $C182 &amp; ")",$B182)))), "  ", TRIM(IF($S182 = "YES", "(External ID)", "") &amp; " " &amp; IF(SUMPRODUCT(-- ISNUMBER(SEARCH({"Unique","Unique Case Insensitive"}, $R182))) &gt; 0, "(" &amp; $R182 &amp; ")", ""))))</f>
        <v>na</v>
      </c>
      <c r="E182" s="7" t="s">
        <v>195</v>
      </c>
      <c r="F182" s="7" t="s">
        <v>195</v>
      </c>
      <c r="G182" s="7" t="s">
        <v>195</v>
      </c>
      <c r="H182" s="7" t="s">
        <v>195</v>
      </c>
      <c r="I182" s="7" t="s">
        <v>195</v>
      </c>
      <c r="J182" s="7" t="s">
        <v>195</v>
      </c>
      <c r="K182" s="7" t="s">
        <v>195</v>
      </c>
      <c r="L182" s="7" t="s">
        <v>195</v>
      </c>
      <c r="M182" s="7" t="s">
        <v>29</v>
      </c>
      <c r="N182" s="7" t="s">
        <v>29</v>
      </c>
      <c r="O182" s="7" t="s">
        <v>29</v>
      </c>
      <c r="P182" s="7" t="s">
        <v>29</v>
      </c>
      <c r="Q182" s="7" t="s">
        <v>29</v>
      </c>
      <c r="R182" s="7" t="s">
        <v>29</v>
      </c>
      <c r="S182" s="7" t="s">
        <v>29</v>
      </c>
    </row>
    <row r="183" spans="2:19">
      <c r="B183" s="7" t="s">
        <v>195</v>
      </c>
      <c r="C183" s="8" t="s">
        <v>195</v>
      </c>
      <c r="D183" s="6" t="str">
        <f>LRTRIM(CONCATENATE(IF(SUMPRODUCT(-- ISNUMBER(SEARCH({"Auto Number"}, $B183))) &gt; 0, $B183, IF(SUMPRODUCT(-- ISNUMBER(SEARCH({"Lookup","Master-Detail"}, $B183))) &gt; 0,$B183 &amp; "(" &amp; $E183 &amp; ")",IF(SUMPRODUCT(-- ISNUMBER(SEARCH({"Formula","Roll-Up Summary"}, $B183))) &gt; 0,$B183 &amp; " (" &amp; $E183 &amp; ")",IF(SUMPRODUCT(-- ISNUMBER(SEARCH({"Content","Currency","Number","Percent","Text","URL"}, $B183))) &gt; 0,$B183 &amp; "(" &amp; $C183 &amp; ")",$B183)))), "  ", TRIM(IF($S183 = "YES", "(External ID)", "") &amp; " " &amp; IF(SUMPRODUCT(-- ISNUMBER(SEARCH({"Unique","Unique Case Insensitive"}, $R183))) &gt; 0, "(" &amp; $R183 &amp; ")", ""))))</f>
        <v>na</v>
      </c>
      <c r="E183" s="7" t="s">
        <v>195</v>
      </c>
      <c r="F183" s="7" t="s">
        <v>195</v>
      </c>
      <c r="G183" s="7" t="s">
        <v>195</v>
      </c>
      <c r="H183" s="7" t="s">
        <v>195</v>
      </c>
      <c r="I183" s="7" t="s">
        <v>195</v>
      </c>
      <c r="J183" s="7" t="s">
        <v>195</v>
      </c>
      <c r="K183" s="7" t="s">
        <v>195</v>
      </c>
      <c r="L183" s="7" t="s">
        <v>195</v>
      </c>
      <c r="M183" s="7" t="s">
        <v>29</v>
      </c>
      <c r="N183" s="7" t="s">
        <v>29</v>
      </c>
      <c r="O183" s="7" t="s">
        <v>29</v>
      </c>
      <c r="P183" s="7" t="s">
        <v>29</v>
      </c>
      <c r="Q183" s="7" t="s">
        <v>29</v>
      </c>
      <c r="R183" s="7" t="s">
        <v>29</v>
      </c>
      <c r="S183" s="7" t="s">
        <v>29</v>
      </c>
    </row>
    <row r="184" spans="2:19">
      <c r="B184" s="7" t="s">
        <v>195</v>
      </c>
      <c r="C184" s="8" t="s">
        <v>195</v>
      </c>
      <c r="D184" s="6" t="str">
        <f>LRTRIM(CONCATENATE(IF(SUMPRODUCT(-- ISNUMBER(SEARCH({"Auto Number"}, $B184))) &gt; 0, $B184, IF(SUMPRODUCT(-- ISNUMBER(SEARCH({"Lookup","Master-Detail"}, $B184))) &gt; 0,$B184 &amp; "(" &amp; $E184 &amp; ")",IF(SUMPRODUCT(-- ISNUMBER(SEARCH({"Formula","Roll-Up Summary"}, $B184))) &gt; 0,$B184 &amp; " (" &amp; $E184 &amp; ")",IF(SUMPRODUCT(-- ISNUMBER(SEARCH({"Content","Currency","Number","Percent","Text","URL"}, $B184))) &gt; 0,$B184 &amp; "(" &amp; $C184 &amp; ")",$B184)))), "  ", TRIM(IF($S184 = "YES", "(External ID)", "") &amp; " " &amp; IF(SUMPRODUCT(-- ISNUMBER(SEARCH({"Unique","Unique Case Insensitive"}, $R184))) &gt; 0, "(" &amp; $R184 &amp; ")", ""))))</f>
        <v>na</v>
      </c>
      <c r="E184" s="7" t="s">
        <v>195</v>
      </c>
      <c r="F184" s="7" t="s">
        <v>195</v>
      </c>
      <c r="G184" s="7" t="s">
        <v>195</v>
      </c>
      <c r="H184" s="7" t="s">
        <v>195</v>
      </c>
      <c r="I184" s="7" t="s">
        <v>195</v>
      </c>
      <c r="J184" s="7" t="s">
        <v>195</v>
      </c>
      <c r="K184" s="7" t="s">
        <v>195</v>
      </c>
      <c r="L184" s="7" t="s">
        <v>195</v>
      </c>
      <c r="M184" s="7" t="s">
        <v>29</v>
      </c>
      <c r="N184" s="7" t="s">
        <v>29</v>
      </c>
      <c r="O184" s="7" t="s">
        <v>29</v>
      </c>
      <c r="P184" s="7" t="s">
        <v>29</v>
      </c>
      <c r="Q184" s="7" t="s">
        <v>29</v>
      </c>
      <c r="R184" s="7" t="s">
        <v>29</v>
      </c>
      <c r="S184" s="7" t="s">
        <v>29</v>
      </c>
    </row>
    <row r="185" spans="2:19">
      <c r="B185" s="7" t="s">
        <v>195</v>
      </c>
      <c r="C185" s="8" t="s">
        <v>195</v>
      </c>
      <c r="D185" s="6" t="str">
        <f>LRTRIM(CONCATENATE(IF(SUMPRODUCT(-- ISNUMBER(SEARCH({"Auto Number"}, $B185))) &gt; 0, $B185, IF(SUMPRODUCT(-- ISNUMBER(SEARCH({"Lookup","Master-Detail"}, $B185))) &gt; 0,$B185 &amp; "(" &amp; $E185 &amp; ")",IF(SUMPRODUCT(-- ISNUMBER(SEARCH({"Formula","Roll-Up Summary"}, $B185))) &gt; 0,$B185 &amp; " (" &amp; $E185 &amp; ")",IF(SUMPRODUCT(-- ISNUMBER(SEARCH({"Content","Currency","Number","Percent","Text","URL"}, $B185))) &gt; 0,$B185 &amp; "(" &amp; $C185 &amp; ")",$B185)))), "  ", TRIM(IF($S185 = "YES", "(External ID)", "") &amp; " " &amp; IF(SUMPRODUCT(-- ISNUMBER(SEARCH({"Unique","Unique Case Insensitive"}, $R185))) &gt; 0, "(" &amp; $R185 &amp; ")", ""))))</f>
        <v>na</v>
      </c>
      <c r="E185" s="7" t="s">
        <v>195</v>
      </c>
      <c r="F185" s="7" t="s">
        <v>195</v>
      </c>
      <c r="G185" s="7" t="s">
        <v>195</v>
      </c>
      <c r="H185" s="7" t="s">
        <v>195</v>
      </c>
      <c r="I185" s="7" t="s">
        <v>195</v>
      </c>
      <c r="J185" s="7" t="s">
        <v>195</v>
      </c>
      <c r="K185" s="7" t="s">
        <v>195</v>
      </c>
      <c r="L185" s="7" t="s">
        <v>195</v>
      </c>
      <c r="M185" s="7" t="s">
        <v>29</v>
      </c>
      <c r="N185" s="7" t="s">
        <v>29</v>
      </c>
      <c r="O185" s="7" t="s">
        <v>29</v>
      </c>
      <c r="P185" s="7" t="s">
        <v>29</v>
      </c>
      <c r="Q185" s="7" t="s">
        <v>29</v>
      </c>
      <c r="R185" s="7" t="s">
        <v>29</v>
      </c>
      <c r="S185" s="7" t="s">
        <v>29</v>
      </c>
    </row>
    <row r="186" spans="2:19">
      <c r="B186" s="7" t="s">
        <v>195</v>
      </c>
      <c r="C186" s="8" t="s">
        <v>195</v>
      </c>
      <c r="D186" s="6" t="str">
        <f>LRTRIM(CONCATENATE(IF(SUMPRODUCT(-- ISNUMBER(SEARCH({"Auto Number"}, $B186))) &gt; 0, $B186, IF(SUMPRODUCT(-- ISNUMBER(SEARCH({"Lookup","Master-Detail"}, $B186))) &gt; 0,$B186 &amp; "(" &amp; $E186 &amp; ")",IF(SUMPRODUCT(-- ISNUMBER(SEARCH({"Formula","Roll-Up Summary"}, $B186))) &gt; 0,$B186 &amp; " (" &amp; $E186 &amp; ")",IF(SUMPRODUCT(-- ISNUMBER(SEARCH({"Content","Currency","Number","Percent","Text","URL"}, $B186))) &gt; 0,$B186 &amp; "(" &amp; $C186 &amp; ")",$B186)))), "  ", TRIM(IF($S186 = "YES", "(External ID)", "") &amp; " " &amp; IF(SUMPRODUCT(-- ISNUMBER(SEARCH({"Unique","Unique Case Insensitive"}, $R186))) &gt; 0, "(" &amp; $R186 &amp; ")", ""))))</f>
        <v>na</v>
      </c>
      <c r="E186" s="7" t="s">
        <v>195</v>
      </c>
      <c r="F186" s="7" t="s">
        <v>195</v>
      </c>
      <c r="G186" s="7" t="s">
        <v>195</v>
      </c>
      <c r="H186" s="7" t="s">
        <v>195</v>
      </c>
      <c r="I186" s="7" t="s">
        <v>195</v>
      </c>
      <c r="J186" s="7" t="s">
        <v>195</v>
      </c>
      <c r="K186" s="7" t="s">
        <v>195</v>
      </c>
      <c r="L186" s="7" t="s">
        <v>195</v>
      </c>
      <c r="M186" s="7" t="s">
        <v>29</v>
      </c>
      <c r="N186" s="7" t="s">
        <v>29</v>
      </c>
      <c r="O186" s="7" t="s">
        <v>29</v>
      </c>
      <c r="P186" s="7" t="s">
        <v>29</v>
      </c>
      <c r="Q186" s="7" t="s">
        <v>29</v>
      </c>
      <c r="R186" s="7" t="s">
        <v>29</v>
      </c>
      <c r="S186" s="7" t="s">
        <v>29</v>
      </c>
    </row>
    <row r="187" spans="2:19">
      <c r="B187" s="7" t="s">
        <v>195</v>
      </c>
      <c r="C187" s="8" t="s">
        <v>195</v>
      </c>
      <c r="D187" s="6" t="str">
        <f>LRTRIM(CONCATENATE(IF(SUMPRODUCT(-- ISNUMBER(SEARCH({"Auto Number"}, $B187))) &gt; 0, $B187, IF(SUMPRODUCT(-- ISNUMBER(SEARCH({"Lookup","Master-Detail"}, $B187))) &gt; 0,$B187 &amp; "(" &amp; $E187 &amp; ")",IF(SUMPRODUCT(-- ISNUMBER(SEARCH({"Formula","Roll-Up Summary"}, $B187))) &gt; 0,$B187 &amp; " (" &amp; $E187 &amp; ")",IF(SUMPRODUCT(-- ISNUMBER(SEARCH({"Content","Currency","Number","Percent","Text","URL"}, $B187))) &gt; 0,$B187 &amp; "(" &amp; $C187 &amp; ")",$B187)))), "  ", TRIM(IF($S187 = "YES", "(External ID)", "") &amp; " " &amp; IF(SUMPRODUCT(-- ISNUMBER(SEARCH({"Unique","Unique Case Insensitive"}, $R187))) &gt; 0, "(" &amp; $R187 &amp; ")", ""))))</f>
        <v>na</v>
      </c>
      <c r="E187" s="7" t="s">
        <v>195</v>
      </c>
      <c r="F187" s="7" t="s">
        <v>195</v>
      </c>
      <c r="G187" s="7" t="s">
        <v>195</v>
      </c>
      <c r="H187" s="7" t="s">
        <v>195</v>
      </c>
      <c r="I187" s="7" t="s">
        <v>195</v>
      </c>
      <c r="J187" s="7" t="s">
        <v>195</v>
      </c>
      <c r="K187" s="7" t="s">
        <v>195</v>
      </c>
      <c r="L187" s="7" t="s">
        <v>195</v>
      </c>
      <c r="M187" s="7" t="s">
        <v>29</v>
      </c>
      <c r="N187" s="7" t="s">
        <v>29</v>
      </c>
      <c r="O187" s="7" t="s">
        <v>29</v>
      </c>
      <c r="P187" s="7" t="s">
        <v>29</v>
      </c>
      <c r="Q187" s="7" t="s">
        <v>29</v>
      </c>
      <c r="R187" s="7" t="s">
        <v>29</v>
      </c>
      <c r="S187" s="7" t="s">
        <v>29</v>
      </c>
    </row>
    <row r="188" spans="2:19">
      <c r="B188" s="7" t="s">
        <v>195</v>
      </c>
      <c r="C188" s="8" t="s">
        <v>195</v>
      </c>
      <c r="D188" s="6" t="str">
        <f>LRTRIM(CONCATENATE(IF(SUMPRODUCT(-- ISNUMBER(SEARCH({"Auto Number"}, $B188))) &gt; 0, $B188, IF(SUMPRODUCT(-- ISNUMBER(SEARCH({"Lookup","Master-Detail"}, $B188))) &gt; 0,$B188 &amp; "(" &amp; $E188 &amp; ")",IF(SUMPRODUCT(-- ISNUMBER(SEARCH({"Formula","Roll-Up Summary"}, $B188))) &gt; 0,$B188 &amp; " (" &amp; $E188 &amp; ")",IF(SUMPRODUCT(-- ISNUMBER(SEARCH({"Content","Currency","Number","Percent","Text","URL"}, $B188))) &gt; 0,$B188 &amp; "(" &amp; $C188 &amp; ")",$B188)))), "  ", TRIM(IF($S188 = "YES", "(External ID)", "") &amp; " " &amp; IF(SUMPRODUCT(-- ISNUMBER(SEARCH({"Unique","Unique Case Insensitive"}, $R188))) &gt; 0, "(" &amp; $R188 &amp; ")", ""))))</f>
        <v>na</v>
      </c>
      <c r="E188" s="7" t="s">
        <v>195</v>
      </c>
      <c r="F188" s="7" t="s">
        <v>195</v>
      </c>
      <c r="G188" s="7" t="s">
        <v>195</v>
      </c>
      <c r="H188" s="7" t="s">
        <v>195</v>
      </c>
      <c r="I188" s="7" t="s">
        <v>195</v>
      </c>
      <c r="J188" s="7" t="s">
        <v>195</v>
      </c>
      <c r="K188" s="7" t="s">
        <v>195</v>
      </c>
      <c r="L188" s="7" t="s">
        <v>195</v>
      </c>
      <c r="M188" s="7" t="s">
        <v>29</v>
      </c>
      <c r="N188" s="7" t="s">
        <v>29</v>
      </c>
      <c r="O188" s="7" t="s">
        <v>29</v>
      </c>
      <c r="P188" s="7" t="s">
        <v>29</v>
      </c>
      <c r="Q188" s="7" t="s">
        <v>29</v>
      </c>
      <c r="R188" s="7" t="s">
        <v>29</v>
      </c>
      <c r="S188" s="7" t="s">
        <v>29</v>
      </c>
    </row>
    <row r="189" spans="2:19">
      <c r="B189" s="7" t="s">
        <v>195</v>
      </c>
      <c r="C189" s="8" t="s">
        <v>195</v>
      </c>
      <c r="D189" s="6" t="str">
        <f>LRTRIM(CONCATENATE(IF(SUMPRODUCT(-- ISNUMBER(SEARCH({"Auto Number"}, $B189))) &gt; 0, $B189, IF(SUMPRODUCT(-- ISNUMBER(SEARCH({"Lookup","Master-Detail"}, $B189))) &gt; 0,$B189 &amp; "(" &amp; $E189 &amp; ")",IF(SUMPRODUCT(-- ISNUMBER(SEARCH({"Formula","Roll-Up Summary"}, $B189))) &gt; 0,$B189 &amp; " (" &amp; $E189 &amp; ")",IF(SUMPRODUCT(-- ISNUMBER(SEARCH({"Content","Currency","Number","Percent","Text","URL"}, $B189))) &gt; 0,$B189 &amp; "(" &amp; $C189 &amp; ")",$B189)))), "  ", TRIM(IF($S189 = "YES", "(External ID)", "") &amp; " " &amp; IF(SUMPRODUCT(-- ISNUMBER(SEARCH({"Unique","Unique Case Insensitive"}, $R189))) &gt; 0, "(" &amp; $R189 &amp; ")", ""))))</f>
        <v>na</v>
      </c>
      <c r="E189" s="7" t="s">
        <v>195</v>
      </c>
      <c r="F189" s="7" t="s">
        <v>195</v>
      </c>
      <c r="G189" s="7" t="s">
        <v>195</v>
      </c>
      <c r="H189" s="7" t="s">
        <v>195</v>
      </c>
      <c r="I189" s="7" t="s">
        <v>195</v>
      </c>
      <c r="J189" s="7" t="s">
        <v>195</v>
      </c>
      <c r="K189" s="7" t="s">
        <v>195</v>
      </c>
      <c r="L189" s="7" t="s">
        <v>195</v>
      </c>
      <c r="M189" s="7" t="s">
        <v>29</v>
      </c>
      <c r="N189" s="7" t="s">
        <v>29</v>
      </c>
      <c r="O189" s="7" t="s">
        <v>29</v>
      </c>
      <c r="P189" s="7" t="s">
        <v>29</v>
      </c>
      <c r="Q189" s="7" t="s">
        <v>29</v>
      </c>
      <c r="R189" s="7" t="s">
        <v>29</v>
      </c>
      <c r="S189" s="7" t="s">
        <v>29</v>
      </c>
    </row>
    <row r="190" spans="2:19">
      <c r="B190" s="7" t="s">
        <v>195</v>
      </c>
      <c r="C190" s="8" t="s">
        <v>195</v>
      </c>
      <c r="D190" s="6" t="str">
        <f>LRTRIM(CONCATENATE(IF(SUMPRODUCT(-- ISNUMBER(SEARCH({"Auto Number"}, $B190))) &gt; 0, $B190, IF(SUMPRODUCT(-- ISNUMBER(SEARCH({"Lookup","Master-Detail"}, $B190))) &gt; 0,$B190 &amp; "(" &amp; $E190 &amp; ")",IF(SUMPRODUCT(-- ISNUMBER(SEARCH({"Formula","Roll-Up Summary"}, $B190))) &gt; 0,$B190 &amp; " (" &amp; $E190 &amp; ")",IF(SUMPRODUCT(-- ISNUMBER(SEARCH({"Content","Currency","Number","Percent","Text","URL"}, $B190))) &gt; 0,$B190 &amp; "(" &amp; $C190 &amp; ")",$B190)))), "  ", TRIM(IF($S190 = "YES", "(External ID)", "") &amp; " " &amp; IF(SUMPRODUCT(-- ISNUMBER(SEARCH({"Unique","Unique Case Insensitive"}, $R190))) &gt; 0, "(" &amp; $R190 &amp; ")", ""))))</f>
        <v>na</v>
      </c>
      <c r="E190" s="7" t="s">
        <v>195</v>
      </c>
      <c r="F190" s="7" t="s">
        <v>195</v>
      </c>
      <c r="G190" s="7" t="s">
        <v>195</v>
      </c>
      <c r="H190" s="7" t="s">
        <v>195</v>
      </c>
      <c r="I190" s="7" t="s">
        <v>195</v>
      </c>
      <c r="J190" s="7" t="s">
        <v>195</v>
      </c>
      <c r="K190" s="7" t="s">
        <v>195</v>
      </c>
      <c r="L190" s="7" t="s">
        <v>195</v>
      </c>
      <c r="M190" s="7" t="s">
        <v>29</v>
      </c>
      <c r="N190" s="7" t="s">
        <v>29</v>
      </c>
      <c r="O190" s="7" t="s">
        <v>29</v>
      </c>
      <c r="P190" s="7" t="s">
        <v>29</v>
      </c>
      <c r="Q190" s="7" t="s">
        <v>29</v>
      </c>
      <c r="R190" s="7" t="s">
        <v>29</v>
      </c>
      <c r="S190" s="7" t="s">
        <v>29</v>
      </c>
    </row>
    <row r="191" spans="2:19">
      <c r="B191" s="7" t="s">
        <v>195</v>
      </c>
      <c r="C191" s="8" t="s">
        <v>195</v>
      </c>
      <c r="D191" s="6" t="str">
        <f>LRTRIM(CONCATENATE(IF(SUMPRODUCT(-- ISNUMBER(SEARCH({"Auto Number"}, $B191))) &gt; 0, $B191, IF(SUMPRODUCT(-- ISNUMBER(SEARCH({"Lookup","Master-Detail"}, $B191))) &gt; 0,$B191 &amp; "(" &amp; $E191 &amp; ")",IF(SUMPRODUCT(-- ISNUMBER(SEARCH({"Formula","Roll-Up Summary"}, $B191))) &gt; 0,$B191 &amp; " (" &amp; $E191 &amp; ")",IF(SUMPRODUCT(-- ISNUMBER(SEARCH({"Content","Currency","Number","Percent","Text","URL"}, $B191))) &gt; 0,$B191 &amp; "(" &amp; $C191 &amp; ")",$B191)))), "  ", TRIM(IF($S191 = "YES", "(External ID)", "") &amp; " " &amp; IF(SUMPRODUCT(-- ISNUMBER(SEARCH({"Unique","Unique Case Insensitive"}, $R191))) &gt; 0, "(" &amp; $R191 &amp; ")", ""))))</f>
        <v>na</v>
      </c>
      <c r="E191" s="7" t="s">
        <v>195</v>
      </c>
      <c r="F191" s="7" t="s">
        <v>195</v>
      </c>
      <c r="G191" s="7" t="s">
        <v>195</v>
      </c>
      <c r="H191" s="7" t="s">
        <v>195</v>
      </c>
      <c r="I191" s="7" t="s">
        <v>195</v>
      </c>
      <c r="J191" s="7" t="s">
        <v>195</v>
      </c>
      <c r="K191" s="7" t="s">
        <v>195</v>
      </c>
      <c r="L191" s="7" t="s">
        <v>195</v>
      </c>
      <c r="M191" s="7" t="s">
        <v>29</v>
      </c>
      <c r="N191" s="7" t="s">
        <v>29</v>
      </c>
      <c r="O191" s="7" t="s">
        <v>29</v>
      </c>
      <c r="P191" s="7" t="s">
        <v>29</v>
      </c>
      <c r="Q191" s="7" t="s">
        <v>29</v>
      </c>
      <c r="R191" s="7" t="s">
        <v>29</v>
      </c>
      <c r="S191" s="7" t="s">
        <v>29</v>
      </c>
    </row>
    <row r="192" spans="2:19">
      <c r="B192" s="7" t="s">
        <v>195</v>
      </c>
      <c r="C192" s="8" t="s">
        <v>195</v>
      </c>
      <c r="D192" s="6" t="str">
        <f>LRTRIM(CONCATENATE(IF(SUMPRODUCT(-- ISNUMBER(SEARCH({"Auto Number"}, $B192))) &gt; 0, $B192, IF(SUMPRODUCT(-- ISNUMBER(SEARCH({"Lookup","Master-Detail"}, $B192))) &gt; 0,$B192 &amp; "(" &amp; $E192 &amp; ")",IF(SUMPRODUCT(-- ISNUMBER(SEARCH({"Formula","Roll-Up Summary"}, $B192))) &gt; 0,$B192 &amp; " (" &amp; $E192 &amp; ")",IF(SUMPRODUCT(-- ISNUMBER(SEARCH({"Content","Currency","Number","Percent","Text","URL"}, $B192))) &gt; 0,$B192 &amp; "(" &amp; $C192 &amp; ")",$B192)))), "  ", TRIM(IF($S192 = "YES", "(External ID)", "") &amp; " " &amp; IF(SUMPRODUCT(-- ISNUMBER(SEARCH({"Unique","Unique Case Insensitive"}, $R192))) &gt; 0, "(" &amp; $R192 &amp; ")", ""))))</f>
        <v>na</v>
      </c>
      <c r="E192" s="7" t="s">
        <v>195</v>
      </c>
      <c r="F192" s="7" t="s">
        <v>195</v>
      </c>
      <c r="G192" s="7" t="s">
        <v>195</v>
      </c>
      <c r="H192" s="7" t="s">
        <v>195</v>
      </c>
      <c r="I192" s="7" t="s">
        <v>195</v>
      </c>
      <c r="J192" s="7" t="s">
        <v>195</v>
      </c>
      <c r="K192" s="7" t="s">
        <v>195</v>
      </c>
      <c r="L192" s="7" t="s">
        <v>195</v>
      </c>
      <c r="M192" s="7" t="s">
        <v>29</v>
      </c>
      <c r="N192" s="7" t="s">
        <v>29</v>
      </c>
      <c r="O192" s="7" t="s">
        <v>29</v>
      </c>
      <c r="P192" s="7" t="s">
        <v>29</v>
      </c>
      <c r="Q192" s="7" t="s">
        <v>29</v>
      </c>
      <c r="R192" s="7" t="s">
        <v>29</v>
      </c>
      <c r="S192" s="7" t="s">
        <v>29</v>
      </c>
    </row>
    <row r="193" spans="2:19">
      <c r="B193" s="7" t="s">
        <v>195</v>
      </c>
      <c r="C193" s="8" t="s">
        <v>195</v>
      </c>
      <c r="D193" s="6" t="str">
        <f>LRTRIM(CONCATENATE(IF(SUMPRODUCT(-- ISNUMBER(SEARCH({"Auto Number"}, $B193))) &gt; 0, $B193, IF(SUMPRODUCT(-- ISNUMBER(SEARCH({"Lookup","Master-Detail"}, $B193))) &gt; 0,$B193 &amp; "(" &amp; $E193 &amp; ")",IF(SUMPRODUCT(-- ISNUMBER(SEARCH({"Formula","Roll-Up Summary"}, $B193))) &gt; 0,$B193 &amp; " (" &amp; $E193 &amp; ")",IF(SUMPRODUCT(-- ISNUMBER(SEARCH({"Content","Currency","Number","Percent","Text","URL"}, $B193))) &gt; 0,$B193 &amp; "(" &amp; $C193 &amp; ")",$B193)))), "  ", TRIM(IF($S193 = "YES", "(External ID)", "") &amp; " " &amp; IF(SUMPRODUCT(-- ISNUMBER(SEARCH({"Unique","Unique Case Insensitive"}, $R193))) &gt; 0, "(" &amp; $R193 &amp; ")", ""))))</f>
        <v>na</v>
      </c>
      <c r="E193" s="7" t="s">
        <v>195</v>
      </c>
      <c r="F193" s="7" t="s">
        <v>195</v>
      </c>
      <c r="G193" s="7" t="s">
        <v>195</v>
      </c>
      <c r="H193" s="7" t="s">
        <v>195</v>
      </c>
      <c r="I193" s="7" t="s">
        <v>195</v>
      </c>
      <c r="J193" s="7" t="s">
        <v>195</v>
      </c>
      <c r="K193" s="7" t="s">
        <v>195</v>
      </c>
      <c r="L193" s="7" t="s">
        <v>195</v>
      </c>
      <c r="M193" s="7" t="s">
        <v>29</v>
      </c>
      <c r="N193" s="7" t="s">
        <v>29</v>
      </c>
      <c r="O193" s="7" t="s">
        <v>29</v>
      </c>
      <c r="P193" s="7" t="s">
        <v>29</v>
      </c>
      <c r="Q193" s="7" t="s">
        <v>29</v>
      </c>
      <c r="R193" s="7" t="s">
        <v>29</v>
      </c>
      <c r="S193" s="7" t="s">
        <v>29</v>
      </c>
    </row>
    <row r="194" spans="2:19">
      <c r="B194" s="7" t="s">
        <v>195</v>
      </c>
      <c r="C194" s="8" t="s">
        <v>195</v>
      </c>
      <c r="D194" s="6" t="str">
        <f>LRTRIM(CONCATENATE(IF(SUMPRODUCT(-- ISNUMBER(SEARCH({"Auto Number"}, $B194))) &gt; 0, $B194, IF(SUMPRODUCT(-- ISNUMBER(SEARCH({"Lookup","Master-Detail"}, $B194))) &gt; 0,$B194 &amp; "(" &amp; $E194 &amp; ")",IF(SUMPRODUCT(-- ISNUMBER(SEARCH({"Formula","Roll-Up Summary"}, $B194))) &gt; 0,$B194 &amp; " (" &amp; $E194 &amp; ")",IF(SUMPRODUCT(-- ISNUMBER(SEARCH({"Content","Currency","Number","Percent","Text","URL"}, $B194))) &gt; 0,$B194 &amp; "(" &amp; $C194 &amp; ")",$B194)))), "  ", TRIM(IF($S194 = "YES", "(External ID)", "") &amp; " " &amp; IF(SUMPRODUCT(-- ISNUMBER(SEARCH({"Unique","Unique Case Insensitive"}, $R194))) &gt; 0, "(" &amp; $R194 &amp; ")", ""))))</f>
        <v>na</v>
      </c>
      <c r="E194" s="7" t="s">
        <v>195</v>
      </c>
      <c r="F194" s="7" t="s">
        <v>195</v>
      </c>
      <c r="G194" s="7" t="s">
        <v>195</v>
      </c>
      <c r="H194" s="7" t="s">
        <v>195</v>
      </c>
      <c r="I194" s="7" t="s">
        <v>195</v>
      </c>
      <c r="J194" s="7" t="s">
        <v>195</v>
      </c>
      <c r="K194" s="7" t="s">
        <v>195</v>
      </c>
      <c r="L194" s="7" t="s">
        <v>195</v>
      </c>
      <c r="M194" s="7" t="s">
        <v>29</v>
      </c>
      <c r="N194" s="7" t="s">
        <v>29</v>
      </c>
      <c r="O194" s="7" t="s">
        <v>29</v>
      </c>
      <c r="P194" s="7" t="s">
        <v>29</v>
      </c>
      <c r="Q194" s="7" t="s">
        <v>29</v>
      </c>
      <c r="R194" s="7" t="s">
        <v>29</v>
      </c>
      <c r="S194" s="7" t="s">
        <v>29</v>
      </c>
    </row>
    <row r="195" spans="2:19">
      <c r="B195" s="7" t="s">
        <v>195</v>
      </c>
      <c r="C195" s="8" t="s">
        <v>195</v>
      </c>
      <c r="D195" s="6" t="str">
        <f>LRTRIM(CONCATENATE(IF(SUMPRODUCT(-- ISNUMBER(SEARCH({"Auto Number"}, $B195))) &gt; 0, $B195, IF(SUMPRODUCT(-- ISNUMBER(SEARCH({"Lookup","Master-Detail"}, $B195))) &gt; 0,$B195 &amp; "(" &amp; $E195 &amp; ")",IF(SUMPRODUCT(-- ISNUMBER(SEARCH({"Formula","Roll-Up Summary"}, $B195))) &gt; 0,$B195 &amp; " (" &amp; $E195 &amp; ")",IF(SUMPRODUCT(-- ISNUMBER(SEARCH({"Content","Currency","Number","Percent","Text","URL"}, $B195))) &gt; 0,$B195 &amp; "(" &amp; $C195 &amp; ")",$B195)))), "  ", TRIM(IF($S195 = "YES", "(External ID)", "") &amp; " " &amp; IF(SUMPRODUCT(-- ISNUMBER(SEARCH({"Unique","Unique Case Insensitive"}, $R195))) &gt; 0, "(" &amp; $R195 &amp; ")", ""))))</f>
        <v>na</v>
      </c>
      <c r="E195" s="7" t="s">
        <v>195</v>
      </c>
      <c r="F195" s="7" t="s">
        <v>195</v>
      </c>
      <c r="G195" s="7" t="s">
        <v>195</v>
      </c>
      <c r="H195" s="7" t="s">
        <v>195</v>
      </c>
      <c r="I195" s="7" t="s">
        <v>195</v>
      </c>
      <c r="J195" s="7" t="s">
        <v>195</v>
      </c>
      <c r="K195" s="7" t="s">
        <v>195</v>
      </c>
      <c r="L195" s="7" t="s">
        <v>195</v>
      </c>
      <c r="M195" s="7" t="s">
        <v>29</v>
      </c>
      <c r="N195" s="7" t="s">
        <v>29</v>
      </c>
      <c r="O195" s="7" t="s">
        <v>29</v>
      </c>
      <c r="P195" s="7" t="s">
        <v>29</v>
      </c>
      <c r="Q195" s="7" t="s">
        <v>29</v>
      </c>
      <c r="R195" s="7" t="s">
        <v>29</v>
      </c>
      <c r="S195" s="7" t="s">
        <v>29</v>
      </c>
    </row>
    <row r="196" spans="2:19">
      <c r="B196" s="7" t="s">
        <v>195</v>
      </c>
      <c r="C196" s="8" t="s">
        <v>195</v>
      </c>
      <c r="D196" s="6" t="str">
        <f>LRTRIM(CONCATENATE(IF(SUMPRODUCT(-- ISNUMBER(SEARCH({"Auto Number"}, $B196))) &gt; 0, $B196, IF(SUMPRODUCT(-- ISNUMBER(SEARCH({"Lookup","Master-Detail"}, $B196))) &gt; 0,$B196 &amp; "(" &amp; $E196 &amp; ")",IF(SUMPRODUCT(-- ISNUMBER(SEARCH({"Formula","Roll-Up Summary"}, $B196))) &gt; 0,$B196 &amp; " (" &amp; $E196 &amp; ")",IF(SUMPRODUCT(-- ISNUMBER(SEARCH({"Content","Currency","Number","Percent","Text","URL"}, $B196))) &gt; 0,$B196 &amp; "(" &amp; $C196 &amp; ")",$B196)))), "  ", TRIM(IF($S196 = "YES", "(External ID)", "") &amp; " " &amp; IF(SUMPRODUCT(-- ISNUMBER(SEARCH({"Unique","Unique Case Insensitive"}, $R196))) &gt; 0, "(" &amp; $R196 &amp; ")", ""))))</f>
        <v>na</v>
      </c>
      <c r="E196" s="7" t="s">
        <v>195</v>
      </c>
      <c r="F196" s="7" t="s">
        <v>195</v>
      </c>
      <c r="G196" s="7" t="s">
        <v>195</v>
      </c>
      <c r="H196" s="7" t="s">
        <v>195</v>
      </c>
      <c r="I196" s="7" t="s">
        <v>195</v>
      </c>
      <c r="J196" s="7" t="s">
        <v>195</v>
      </c>
      <c r="K196" s="7" t="s">
        <v>195</v>
      </c>
      <c r="L196" s="7" t="s">
        <v>195</v>
      </c>
      <c r="M196" s="7" t="s">
        <v>29</v>
      </c>
      <c r="N196" s="7" t="s">
        <v>29</v>
      </c>
      <c r="O196" s="7" t="s">
        <v>29</v>
      </c>
      <c r="P196" s="7" t="s">
        <v>29</v>
      </c>
      <c r="Q196" s="7" t="s">
        <v>29</v>
      </c>
      <c r="R196" s="7" t="s">
        <v>29</v>
      </c>
      <c r="S196" s="7" t="s">
        <v>29</v>
      </c>
    </row>
    <row r="197" spans="2:19">
      <c r="B197" s="7" t="s">
        <v>195</v>
      </c>
      <c r="C197" s="8" t="s">
        <v>195</v>
      </c>
      <c r="D197" s="6" t="str">
        <f>LRTRIM(CONCATENATE(IF(SUMPRODUCT(-- ISNUMBER(SEARCH({"Auto Number"}, $B197))) &gt; 0, $B197, IF(SUMPRODUCT(-- ISNUMBER(SEARCH({"Lookup","Master-Detail"}, $B197))) &gt; 0,$B197 &amp; "(" &amp; $E197 &amp; ")",IF(SUMPRODUCT(-- ISNUMBER(SEARCH({"Formula","Roll-Up Summary"}, $B197))) &gt; 0,$B197 &amp; " (" &amp; $E197 &amp; ")",IF(SUMPRODUCT(-- ISNUMBER(SEARCH({"Content","Currency","Number","Percent","Text","URL"}, $B197))) &gt; 0,$B197 &amp; "(" &amp; $C197 &amp; ")",$B197)))), "  ", TRIM(IF($S197 = "YES", "(External ID)", "") &amp; " " &amp; IF(SUMPRODUCT(-- ISNUMBER(SEARCH({"Unique","Unique Case Insensitive"}, $R197))) &gt; 0, "(" &amp; $R197 &amp; ")", ""))))</f>
        <v>na</v>
      </c>
      <c r="E197" s="7" t="s">
        <v>195</v>
      </c>
      <c r="F197" s="7" t="s">
        <v>195</v>
      </c>
      <c r="G197" s="7" t="s">
        <v>195</v>
      </c>
      <c r="H197" s="7" t="s">
        <v>195</v>
      </c>
      <c r="I197" s="7" t="s">
        <v>195</v>
      </c>
      <c r="J197" s="7" t="s">
        <v>195</v>
      </c>
      <c r="K197" s="7" t="s">
        <v>195</v>
      </c>
      <c r="L197" s="7" t="s">
        <v>195</v>
      </c>
      <c r="M197" s="7" t="s">
        <v>29</v>
      </c>
      <c r="N197" s="7" t="s">
        <v>29</v>
      </c>
      <c r="O197" s="7" t="s">
        <v>29</v>
      </c>
      <c r="P197" s="7" t="s">
        <v>29</v>
      </c>
      <c r="Q197" s="7" t="s">
        <v>29</v>
      </c>
      <c r="R197" s="7" t="s">
        <v>29</v>
      </c>
      <c r="S197" s="7" t="s">
        <v>29</v>
      </c>
    </row>
    <row r="198" spans="2:19">
      <c r="B198" s="7" t="s">
        <v>195</v>
      </c>
      <c r="C198" s="8" t="s">
        <v>195</v>
      </c>
      <c r="D198" s="6" t="str">
        <f>LRTRIM(CONCATENATE(IF(SUMPRODUCT(-- ISNUMBER(SEARCH({"Auto Number"}, $B198))) &gt; 0, $B198, IF(SUMPRODUCT(-- ISNUMBER(SEARCH({"Lookup","Master-Detail"}, $B198))) &gt; 0,$B198 &amp; "(" &amp; $E198 &amp; ")",IF(SUMPRODUCT(-- ISNUMBER(SEARCH({"Formula","Roll-Up Summary"}, $B198))) &gt; 0,$B198 &amp; " (" &amp; $E198 &amp; ")",IF(SUMPRODUCT(-- ISNUMBER(SEARCH({"Content","Currency","Number","Percent","Text","URL"}, $B198))) &gt; 0,$B198 &amp; "(" &amp; $C198 &amp; ")",$B198)))), "  ", TRIM(IF($S198 = "YES", "(External ID)", "") &amp; " " &amp; IF(SUMPRODUCT(-- ISNUMBER(SEARCH({"Unique","Unique Case Insensitive"}, $R198))) &gt; 0, "(" &amp; $R198 &amp; ")", ""))))</f>
        <v>na</v>
      </c>
      <c r="E198" s="7" t="s">
        <v>195</v>
      </c>
      <c r="F198" s="7" t="s">
        <v>195</v>
      </c>
      <c r="G198" s="7" t="s">
        <v>195</v>
      </c>
      <c r="H198" s="7" t="s">
        <v>195</v>
      </c>
      <c r="I198" s="7" t="s">
        <v>195</v>
      </c>
      <c r="J198" s="7" t="s">
        <v>195</v>
      </c>
      <c r="K198" s="7" t="s">
        <v>195</v>
      </c>
      <c r="L198" s="7" t="s">
        <v>195</v>
      </c>
      <c r="M198" s="7" t="s">
        <v>29</v>
      </c>
      <c r="N198" s="7" t="s">
        <v>29</v>
      </c>
      <c r="O198" s="7" t="s">
        <v>29</v>
      </c>
      <c r="P198" s="7" t="s">
        <v>29</v>
      </c>
      <c r="Q198" s="7" t="s">
        <v>29</v>
      </c>
      <c r="R198" s="7" t="s">
        <v>29</v>
      </c>
      <c r="S198" s="7" t="s">
        <v>29</v>
      </c>
    </row>
    <row r="199" spans="2:19">
      <c r="B199" s="7" t="s">
        <v>195</v>
      </c>
      <c r="C199" s="8" t="s">
        <v>195</v>
      </c>
      <c r="D199" s="6" t="str">
        <f>LRTRIM(CONCATENATE(IF(SUMPRODUCT(-- ISNUMBER(SEARCH({"Auto Number"}, $B199))) &gt; 0, $B199, IF(SUMPRODUCT(-- ISNUMBER(SEARCH({"Lookup","Master-Detail"}, $B199))) &gt; 0,$B199 &amp; "(" &amp; $E199 &amp; ")",IF(SUMPRODUCT(-- ISNUMBER(SEARCH({"Formula","Roll-Up Summary"}, $B199))) &gt; 0,$B199 &amp; " (" &amp; $E199 &amp; ")",IF(SUMPRODUCT(-- ISNUMBER(SEARCH({"Content","Currency","Number","Percent","Text","URL"}, $B199))) &gt; 0,$B199 &amp; "(" &amp; $C199 &amp; ")",$B199)))), "  ", TRIM(IF($S199 = "YES", "(External ID)", "") &amp; " " &amp; IF(SUMPRODUCT(-- ISNUMBER(SEARCH({"Unique","Unique Case Insensitive"}, $R199))) &gt; 0, "(" &amp; $R199 &amp; ")", ""))))</f>
        <v>na</v>
      </c>
      <c r="E199" s="7" t="s">
        <v>195</v>
      </c>
      <c r="F199" s="7" t="s">
        <v>195</v>
      </c>
      <c r="G199" s="7" t="s">
        <v>195</v>
      </c>
      <c r="H199" s="7" t="s">
        <v>195</v>
      </c>
      <c r="I199" s="7" t="s">
        <v>195</v>
      </c>
      <c r="J199" s="7" t="s">
        <v>195</v>
      </c>
      <c r="K199" s="7" t="s">
        <v>195</v>
      </c>
      <c r="L199" s="7" t="s">
        <v>195</v>
      </c>
      <c r="M199" s="7" t="s">
        <v>29</v>
      </c>
      <c r="N199" s="7" t="s">
        <v>29</v>
      </c>
      <c r="O199" s="7" t="s">
        <v>29</v>
      </c>
      <c r="P199" s="7" t="s">
        <v>29</v>
      </c>
      <c r="Q199" s="7" t="s">
        <v>29</v>
      </c>
      <c r="R199" s="7" t="s">
        <v>29</v>
      </c>
      <c r="S199" s="7" t="s">
        <v>29</v>
      </c>
    </row>
    <row r="200" spans="2:19">
      <c r="B200" s="7" t="s">
        <v>195</v>
      </c>
      <c r="C200" s="8" t="s">
        <v>195</v>
      </c>
      <c r="D200" s="6" t="str">
        <f>LRTRIM(CONCATENATE(IF(SUMPRODUCT(-- ISNUMBER(SEARCH({"Auto Number"}, $B200))) &gt; 0, $B200, IF(SUMPRODUCT(-- ISNUMBER(SEARCH({"Lookup","Master-Detail"}, $B200))) &gt; 0,$B200 &amp; "(" &amp; $E200 &amp; ")",IF(SUMPRODUCT(-- ISNUMBER(SEARCH({"Formula","Roll-Up Summary"}, $B200))) &gt; 0,$B200 &amp; " (" &amp; $E200 &amp; ")",IF(SUMPRODUCT(-- ISNUMBER(SEARCH({"Content","Currency","Number","Percent","Text","URL"}, $B200))) &gt; 0,$B200 &amp; "(" &amp; $C200 &amp; ")",$B200)))), "  ", TRIM(IF($S200 = "YES", "(External ID)", "") &amp; " " &amp; IF(SUMPRODUCT(-- ISNUMBER(SEARCH({"Unique","Unique Case Insensitive"}, $R200))) &gt; 0, "(" &amp; $R200 &amp; ")", ""))))</f>
        <v>na</v>
      </c>
      <c r="E200" s="7" t="s">
        <v>195</v>
      </c>
      <c r="F200" s="7" t="s">
        <v>195</v>
      </c>
      <c r="G200" s="7" t="s">
        <v>195</v>
      </c>
      <c r="H200" s="7" t="s">
        <v>195</v>
      </c>
      <c r="I200" s="7" t="s">
        <v>195</v>
      </c>
      <c r="J200" s="7" t="s">
        <v>195</v>
      </c>
      <c r="K200" s="7" t="s">
        <v>195</v>
      </c>
      <c r="L200" s="7" t="s">
        <v>195</v>
      </c>
      <c r="M200" s="7" t="s">
        <v>29</v>
      </c>
      <c r="N200" s="7" t="s">
        <v>29</v>
      </c>
      <c r="O200" s="7" t="s">
        <v>29</v>
      </c>
      <c r="P200" s="7" t="s">
        <v>29</v>
      </c>
      <c r="Q200" s="7" t="s">
        <v>29</v>
      </c>
      <c r="R200" s="7" t="s">
        <v>29</v>
      </c>
      <c r="S200" s="7" t="s">
        <v>29</v>
      </c>
    </row>
  </sheetData>
  <sheetProtection formatCells="0" formatColumns="0" formatRows="0" insertColumns="0" insertRows="0" insertHyperlinks="0" deleteColumns="0" deleteRows="0" sort="0" autoFilter="0" pivotTables="0"/>
  <conditionalFormatting sqref="D2:D23">
    <cfRule type="expression" dxfId="24" priority="3">
      <formula>NOT(_xlfn.ISFORMULA($D2))</formula>
    </cfRule>
  </conditionalFormatting>
  <conditionalFormatting sqref="D24">
    <cfRule type="expression" dxfId="23" priority="2">
      <formula>NOT(_xlfn.ISFORMULA($D24))</formula>
    </cfRule>
  </conditionalFormatting>
  <conditionalFormatting sqref="D25:D200">
    <cfRule type="expression" dxfId="22" priority="1">
      <formula>NOT(_xlfn.ISFORMULA($D25))</formula>
    </cfRule>
  </conditionalFormatting>
  <dataValidations count="1">
    <dataValidation allowBlank="1" showInputMessage="1" showErrorMessage="1" sqref="A2:A23"/>
  </dataValidations>
  <pageMargins left="0.7" right="0.7" top="0.75" bottom="0.75" header="0.3" footer="0.3"/>
  <extLst>
    <ext xmlns:x14="http://schemas.microsoft.com/office/spreadsheetml/2009/9/main" uri="{CCE6A557-97BC-4b89-ADB6-D9C93CAAB3DF}">
      <x14:dataValidations xmlns:xm="http://schemas.microsoft.com/office/excel/2006/main" count="15">
        <x14:dataValidation type="list" allowBlank="1" showInputMessage="1" showErrorMessage="1">
          <x14:formula1>
            <xm:f>OFFSET('Reference Fields'!$K$2,0,0,COUNTA('Reference Fields'!$K:$K)-1)</xm:f>
          </x14:formula1>
          <xm:sqref>R2:R200</xm:sqref>
        </x14:dataValidation>
        <x14:dataValidation type="list" allowBlank="1" showInputMessage="1" showErrorMessage="1">
          <x14:formula1>
            <xm:f>OFFSET('Reference Fields'!$J$2,0,0,COUNTA('Reference Fields'!$J:$J)-1)</xm:f>
          </x14:formula1>
          <xm:sqref>Q2:Q200</xm:sqref>
        </x14:dataValidation>
        <x14:dataValidation type="list" allowBlank="1" showInputMessage="1" showErrorMessage="1">
          <x14:formula1>
            <xm:f>OFFSET('Reference Fields'!$J$2,0,0,COUNTA('Reference Fields'!$J:$J)-1)</xm:f>
          </x14:formula1>
          <xm:sqref>M2:M200</xm:sqref>
        </x14:dataValidation>
        <x14:dataValidation type="list" allowBlank="1" showInputMessage="1" showErrorMessage="1">
          <x14:formula1>
            <xm:f>OFFSET('Reference Fields'!$J$2,0,0,COUNTA('Reference Fields'!$J:$J)-1)</xm:f>
          </x14:formula1>
          <xm:sqref>N2:N200</xm:sqref>
        </x14:dataValidation>
        <x14:dataValidation type="list" allowBlank="1" showInputMessage="1" showErrorMessage="1">
          <x14:formula1>
            <xm:f>OFFSET('Reference Fields'!$J$2,0,0,COUNTA('Reference Fields'!$J:$J)-1)</xm:f>
          </x14:formula1>
          <xm:sqref>O2:O200</xm:sqref>
        </x14:dataValidation>
        <x14:dataValidation type="list" allowBlank="1" showInputMessage="1" showErrorMessage="1">
          <x14:formula1>
            <xm:f>OFFSET('Reference Fields'!$J$2,0,0,COUNTA('Reference Fields'!$J:$J)-1)</xm:f>
          </x14:formula1>
          <xm:sqref>P2:P200</xm:sqref>
        </x14:dataValidation>
        <x14:dataValidation type="list" allowBlank="1" showInputMessage="1" showErrorMessage="1">
          <x14:formula1>
            <xm:f>OFFSET('Reference Fields'!$J$2,0,0,COUNTA('Reference Fields'!$J:$J)-1)</xm:f>
          </x14:formula1>
          <xm:sqref>S2:S200</xm:sqref>
        </x14:dataValidation>
        <x14:dataValidation type="list" allowBlank="1" showInputMessage="1" showErrorMessage="1">
          <x14:formula1>
            <xm:f>OFFSET('Reference Fields'!$B$2,0,0,COUNTA('Reference Fields'!$B:$B)-1)</xm:f>
          </x14:formula1>
          <xm:sqref>B2:B200</xm:sqref>
        </x14:dataValidation>
        <x14:dataValidation type="list" allowBlank="1" showInputMessage="1" showErrorMessage="1">
          <x14:formula1>
            <xm:f>OFFSET('Reference Fields'!$D$2,0,0,COUNTA('Reference Fields'!$D:$D)-1)</xm:f>
          </x14:formula1>
          <xm:sqref>F2:F200</xm:sqref>
        </x14:dataValidation>
        <x14:dataValidation type="list" allowBlank="1" showInputMessage="1" showErrorMessage="1">
          <x14:formula1>
            <xm:f>OFFSET('Reference Fields'!$E$2,0,0,COUNTA('Reference Fields'!$E:$E)-1)</xm:f>
          </x14:formula1>
          <xm:sqref>G2:G200</xm:sqref>
        </x14:dataValidation>
        <x14:dataValidation type="list" allowBlank="1" showInputMessage="1" showErrorMessage="1">
          <x14:formula1>
            <xm:f>OFFSET('Reference Fields'!$F$2,0,0,COUNTA('Reference Fields'!$F:$F)-1)</xm:f>
          </x14:formula1>
          <xm:sqref>H2:H200</xm:sqref>
        </x14:dataValidation>
        <x14:dataValidation type="list" allowBlank="1" showInputMessage="1" showErrorMessage="1">
          <x14:formula1>
            <xm:f>OFFSET('Reference Fields'!$F$2,0,0,COUNTA('Reference Fields'!$F:$F)-1)</xm:f>
          </x14:formula1>
          <xm:sqref>I2:I200</xm:sqref>
        </x14:dataValidation>
        <x14:dataValidation type="list" allowBlank="1" showInputMessage="1" showErrorMessage="1">
          <x14:formula1>
            <xm:f>OFFSET('Reference Fields'!$G$2,0,0,COUNTA('Reference Fields'!$G:$G)-1)</xm:f>
          </x14:formula1>
          <xm:sqref>J2:J200</xm:sqref>
        </x14:dataValidation>
        <x14:dataValidation type="list" allowBlank="1" showInputMessage="1" showErrorMessage="1">
          <x14:formula1>
            <xm:f>OFFSET('Reference Fields'!$H$2,0,0,COUNTA('Reference Fields'!$H:$H)-1)</xm:f>
          </x14:formula1>
          <xm:sqref>K2:K200</xm:sqref>
        </x14:dataValidation>
        <x14:dataValidation type="list" allowBlank="1" showInputMessage="1" showErrorMessage="1">
          <x14:formula1>
            <xm:f>OFFSET('Reference Fields'!$I$2,0,0,COUNTA('Reference Fields'!$I:$I)-1)</xm:f>
          </x14:formula1>
          <xm:sqref>L2:L200</xm:sqref>
        </x14:dataValidation>
      </x14:dataValidations>
    </ext>
  </extLst>
</worksheet>
</file>

<file path=xl/worksheets/sheet33.xml><?xml version="1.0" encoding="utf-8"?>
<worksheet xmlns="http://schemas.openxmlformats.org/spreadsheetml/2006/main" xmlns:r="http://schemas.openxmlformats.org/officeDocument/2006/relationships">
  <sheetPr codeName="Sheet36"/>
  <dimension ref="A1:S200"/>
  <sheetViews>
    <sheetView workbookViewId="0">
      <selection activeCell="A2" sqref="A2"/>
    </sheetView>
  </sheetViews>
  <sheetFormatPr defaultRowHeight="14.5"/>
  <cols>
    <col min="1" max="1" width="23.08984375" customWidth="1"/>
  </cols>
  <sheetData>
    <row r="1" spans="1:19">
      <c r="A1" s="1" t="s">
        <v>2</v>
      </c>
      <c r="B1" s="1" t="s">
        <v>1198</v>
      </c>
      <c r="C1" s="1" t="s">
        <v>1199</v>
      </c>
      <c r="D1" s="1" t="s">
        <v>0</v>
      </c>
      <c r="E1" s="1" t="s">
        <v>1</v>
      </c>
      <c r="F1" s="1" t="s">
        <v>30</v>
      </c>
      <c r="G1" s="1" t="s">
        <v>31</v>
      </c>
      <c r="H1" s="1" t="s">
        <v>1262</v>
      </c>
      <c r="I1" s="1" t="s">
        <v>49</v>
      </c>
      <c r="J1" s="1" t="s">
        <v>48</v>
      </c>
      <c r="K1" s="1" t="s">
        <v>54</v>
      </c>
      <c r="L1" s="1" t="s">
        <v>55</v>
      </c>
      <c r="M1" s="1" t="s">
        <v>27</v>
      </c>
      <c r="N1" s="1" t="s">
        <v>175</v>
      </c>
      <c r="O1" s="1" t="s">
        <v>193</v>
      </c>
      <c r="P1" s="1" t="s">
        <v>1221</v>
      </c>
      <c r="Q1" s="1" t="s">
        <v>1264</v>
      </c>
      <c r="R1" s="1" t="s">
        <v>1263</v>
      </c>
      <c r="S1" s="1" t="s">
        <v>1265</v>
      </c>
    </row>
    <row r="2" spans="1:19">
      <c r="A2" s="7" t="s">
        <v>9</v>
      </c>
      <c r="B2" s="7" t="s">
        <v>1218</v>
      </c>
      <c r="C2" s="8">
        <v>50</v>
      </c>
      <c r="D2" s="6" t="str">
        <f>LRTRIM(CONCATENATE(IF(SUMPRODUCT(-- ISNUMBER(SEARCH({"Auto Number"}, $B2))) &gt; 0, $B2, IF(SUMPRODUCT(-- ISNUMBER(SEARCH({"Lookup","Master-Detail"}, $B2))) &gt; 0,$B2 &amp; "(" &amp; $E2 &amp; ")",IF(SUMPRODUCT(-- ISNUMBER(SEARCH({"Formula","Roll-Up Summary"}, $B2))) &gt; 0,$B2 &amp; " (" &amp; $E2 &amp; ")",IF(SUMPRODUCT(-- ISNUMBER(SEARCH({"Content","Currency","Number","Percent","Text","URL"}, $B2))) &gt; 0,$B2 &amp; "(" &amp; $C2 &amp; ")",$B2)))), "  ", TRIM(IF($S2 = "YES", "(External ID)", "") &amp; " " &amp; IF(SUMPRODUCT(-- ISNUMBER(SEARCH({"Unique","Unique Case Insensitive"}, $R2))) &gt; 0, "(" &amp; $R2 &amp; ")", ""))))</f>
        <v>Text(50)</v>
      </c>
      <c r="E2" s="7" t="s">
        <v>195</v>
      </c>
      <c r="F2" s="7" t="s">
        <v>554</v>
      </c>
      <c r="G2" s="7" t="s">
        <v>195</v>
      </c>
      <c r="H2" s="7" t="s">
        <v>195</v>
      </c>
      <c r="I2" s="7" t="s">
        <v>195</v>
      </c>
      <c r="J2" s="7" t="s">
        <v>195</v>
      </c>
      <c r="K2" s="7" t="s">
        <v>195</v>
      </c>
      <c r="L2" s="7" t="s">
        <v>195</v>
      </c>
      <c r="M2" s="7" t="s">
        <v>29</v>
      </c>
      <c r="N2" s="7" t="s">
        <v>29</v>
      </c>
      <c r="O2" s="7" t="s">
        <v>29</v>
      </c>
      <c r="P2" s="7" t="s">
        <v>29</v>
      </c>
      <c r="Q2" s="7" t="s">
        <v>29</v>
      </c>
      <c r="R2" s="7" t="s">
        <v>29</v>
      </c>
      <c r="S2" s="7" t="s">
        <v>29</v>
      </c>
    </row>
    <row r="3" spans="1:19">
      <c r="A3" s="7" t="s">
        <v>11</v>
      </c>
      <c r="B3" s="7" t="s">
        <v>1218</v>
      </c>
      <c r="C3" s="8">
        <v>200</v>
      </c>
      <c r="D3" s="6" t="str">
        <f>LRTRIM(CONCATENATE(IF(SUMPRODUCT(-- ISNUMBER(SEARCH({"Auto Number"}, $B3))) &gt; 0, $B3, IF(SUMPRODUCT(-- ISNUMBER(SEARCH({"Lookup","Master-Detail"}, $B3))) &gt; 0,$B3 &amp; "(" &amp; $E3 &amp; ")",IF(SUMPRODUCT(-- ISNUMBER(SEARCH({"Formula","Roll-Up Summary"}, $B3))) &gt; 0,$B3 &amp; " (" &amp; $E3 &amp; ")",IF(SUMPRODUCT(-- ISNUMBER(SEARCH({"Content","Currency","Number","Percent","Text","URL"}, $B3))) &gt; 0,$B3 &amp; "(" &amp; $C3 &amp; ")",$B3)))), "  ", TRIM(IF($S3 = "YES", "(External ID)", "") &amp; " " &amp; IF(SUMPRODUCT(-- ISNUMBER(SEARCH({"Unique","Unique Case Insensitive"}, $R3))) &gt; 0, "(" &amp; $R3 &amp; ")", ""))))</f>
        <v>Text(200)</v>
      </c>
      <c r="E3" s="7" t="s">
        <v>195</v>
      </c>
      <c r="F3" s="7" t="s">
        <v>555</v>
      </c>
      <c r="G3" s="7" t="s">
        <v>195</v>
      </c>
      <c r="H3" s="7" t="s">
        <v>195</v>
      </c>
      <c r="I3" s="7" t="s">
        <v>195</v>
      </c>
      <c r="J3" s="7" t="s">
        <v>195</v>
      </c>
      <c r="K3" s="7" t="s">
        <v>195</v>
      </c>
      <c r="L3" s="7" t="s">
        <v>195</v>
      </c>
      <c r="M3" s="7" t="s">
        <v>29</v>
      </c>
      <c r="N3" s="7" t="s">
        <v>29</v>
      </c>
      <c r="O3" s="7" t="s">
        <v>29</v>
      </c>
      <c r="P3" s="7" t="s">
        <v>29</v>
      </c>
      <c r="Q3" s="7" t="s">
        <v>29</v>
      </c>
      <c r="R3" s="7" t="s">
        <v>29</v>
      </c>
      <c r="S3" s="7" t="s">
        <v>29</v>
      </c>
    </row>
    <row r="4" spans="1:19">
      <c r="A4" s="7" t="s">
        <v>13</v>
      </c>
      <c r="B4" s="7" t="s">
        <v>1218</v>
      </c>
      <c r="C4" s="8">
        <v>10</v>
      </c>
      <c r="D4" s="6" t="str">
        <f>LRTRIM(CONCATENATE(IF(SUMPRODUCT(-- ISNUMBER(SEARCH({"Auto Number"}, $B4))) &gt; 0, $B4, IF(SUMPRODUCT(-- ISNUMBER(SEARCH({"Lookup","Master-Detail"}, $B4))) &gt; 0,$B4 &amp; "(" &amp; $E4 &amp; ")",IF(SUMPRODUCT(-- ISNUMBER(SEARCH({"Formula","Roll-Up Summary"}, $B4))) &gt; 0,$B4 &amp; " (" &amp; $E4 &amp; ")",IF(SUMPRODUCT(-- ISNUMBER(SEARCH({"Content","Currency","Number","Percent","Text","URL"}, $B4))) &gt; 0,$B4 &amp; "(" &amp; $C4 &amp; ")",$B4)))), "  ", TRIM(IF($S4 = "YES", "(External ID)", "") &amp; " " &amp; IF(SUMPRODUCT(-- ISNUMBER(SEARCH({"Unique","Unique Case Insensitive"}, $R4))) &gt; 0, "(" &amp; $R4 &amp; ")", ""))))</f>
        <v>Text(10)</v>
      </c>
      <c r="E4" s="7" t="s">
        <v>195</v>
      </c>
      <c r="F4" s="7" t="s">
        <v>160</v>
      </c>
      <c r="G4" s="7" t="s">
        <v>160</v>
      </c>
      <c r="H4" s="7" t="s">
        <v>195</v>
      </c>
      <c r="I4" s="7" t="s">
        <v>195</v>
      </c>
      <c r="J4" s="7" t="s">
        <v>195</v>
      </c>
      <c r="K4" s="7" t="s">
        <v>195</v>
      </c>
      <c r="L4" s="7" t="s">
        <v>195</v>
      </c>
      <c r="M4" s="7" t="s">
        <v>29</v>
      </c>
      <c r="N4" s="7" t="s">
        <v>29</v>
      </c>
      <c r="O4" s="7" t="s">
        <v>29</v>
      </c>
      <c r="P4" s="7" t="s">
        <v>29</v>
      </c>
      <c r="Q4" s="7" t="s">
        <v>29</v>
      </c>
      <c r="R4" s="7" t="s">
        <v>29</v>
      </c>
      <c r="S4" s="7" t="s">
        <v>29</v>
      </c>
    </row>
    <row r="5" spans="1:19">
      <c r="A5" s="7" t="s">
        <v>14</v>
      </c>
      <c r="B5" s="7" t="s">
        <v>1204</v>
      </c>
      <c r="C5" s="8">
        <v>0</v>
      </c>
      <c r="D5" s="6" t="str">
        <f>LRTRIM(CONCATENATE(IF(SUMPRODUCT(-- ISNUMBER(SEARCH({"Auto Number"}, $B5))) &gt; 0, $B5, IF(SUMPRODUCT(-- ISNUMBER(SEARCH({"Lookup","Master-Detail"}, $B5))) &gt; 0,$B5 &amp; "(" &amp; $E5 &amp; ")",IF(SUMPRODUCT(-- ISNUMBER(SEARCH({"Formula","Roll-Up Summary"}, $B5))) &gt; 0,$B5 &amp; " (" &amp; $E5 &amp; ")",IF(SUMPRODUCT(-- ISNUMBER(SEARCH({"Content","Currency","Number","Percent","Text","URL"}, $B5))) &gt; 0,$B5 &amp; "(" &amp; $C5 &amp; ")",$B5)))), "  ", TRIM(IF($S5 = "YES", "(External ID)", "") &amp; " " &amp; IF(SUMPRODUCT(-- ISNUMBER(SEARCH({"Unique","Unique Case Insensitive"}, $R5))) &gt; 0, "(" &amp; $R5 &amp; ")", ""))))</f>
        <v>Checkbox</v>
      </c>
      <c r="E5" s="7" t="s">
        <v>195</v>
      </c>
      <c r="F5" s="7" t="s">
        <v>25</v>
      </c>
      <c r="G5" s="7" t="s">
        <v>195</v>
      </c>
      <c r="H5" s="7" t="s">
        <v>195</v>
      </c>
      <c r="I5" s="7" t="s">
        <v>195</v>
      </c>
      <c r="J5" s="7" t="s">
        <v>195</v>
      </c>
      <c r="K5" s="7" t="s">
        <v>195</v>
      </c>
      <c r="L5" s="7" t="s">
        <v>195</v>
      </c>
      <c r="M5" s="7" t="s">
        <v>28</v>
      </c>
      <c r="N5" s="7" t="s">
        <v>29</v>
      </c>
      <c r="O5" s="7" t="s">
        <v>29</v>
      </c>
      <c r="P5" s="7" t="s">
        <v>29</v>
      </c>
      <c r="Q5" s="7" t="s">
        <v>29</v>
      </c>
      <c r="R5" s="7" t="s">
        <v>29</v>
      </c>
      <c r="S5" s="7" t="s">
        <v>29</v>
      </c>
    </row>
    <row r="6" spans="1:19">
      <c r="A6" s="7" t="s">
        <v>1700</v>
      </c>
      <c r="B6" s="7" t="s">
        <v>1213</v>
      </c>
      <c r="C6" s="8" t="s">
        <v>1381</v>
      </c>
      <c r="D6" s="6" t="str">
        <f>LRTRIM(CONCATENATE(IF(SUMPRODUCT(-- ISNUMBER(SEARCH({"Auto Number"}, $B6))) &gt; 0, $B6, IF(SUMPRODUCT(-- ISNUMBER(SEARCH({"Lookup","Master-Detail"}, $B6))) &gt; 0,$B6 &amp; "(" &amp; $E6 &amp; ")",IF(SUMPRODUCT(-- ISNUMBER(SEARCH({"Formula","Roll-Up Summary"}, $B6))) &gt; 0,$B6 &amp; " (" &amp; $E6 &amp; ")",IF(SUMPRODUCT(-- ISNUMBER(SEARCH({"Content","Currency","Number","Percent","Text","URL"}, $B6))) &gt; 0,$B6 &amp; "(" &amp; $C6 &amp; ")",$B6)))), "  ", TRIM(IF($S6 = "YES", "(External ID)", "") &amp; " " &amp; IF(SUMPRODUCT(-- ISNUMBER(SEARCH({"Unique","Unique Case Insensitive"}, $R6))) &gt; 0, "(" &amp; $R6 &amp; ")", ""))))</f>
        <v>Number(4, 0)</v>
      </c>
      <c r="E6" s="7" t="s">
        <v>195</v>
      </c>
      <c r="F6" s="7" t="s">
        <v>1723</v>
      </c>
      <c r="G6" s="7" t="s">
        <v>1721</v>
      </c>
      <c r="H6" s="7" t="s">
        <v>195</v>
      </c>
      <c r="I6" s="7" t="s">
        <v>195</v>
      </c>
      <c r="J6" s="7" t="s">
        <v>195</v>
      </c>
      <c r="K6" s="7" t="s">
        <v>195</v>
      </c>
      <c r="L6" s="7" t="s">
        <v>195</v>
      </c>
      <c r="M6" s="7" t="s">
        <v>29</v>
      </c>
      <c r="N6" s="7" t="s">
        <v>29</v>
      </c>
      <c r="O6" s="7" t="s">
        <v>29</v>
      </c>
      <c r="P6" s="7" t="s">
        <v>29</v>
      </c>
      <c r="Q6" s="7" t="s">
        <v>29</v>
      </c>
      <c r="R6" s="7" t="s">
        <v>29</v>
      </c>
      <c r="S6" s="7" t="s">
        <v>29</v>
      </c>
    </row>
    <row r="7" spans="1:19">
      <c r="A7" s="7" t="s">
        <v>1701</v>
      </c>
      <c r="B7" s="7" t="s">
        <v>1213</v>
      </c>
      <c r="C7" s="8" t="s">
        <v>1251</v>
      </c>
      <c r="D7" s="6" t="str">
        <f>LRTRIM(CONCATENATE(IF(SUMPRODUCT(-- ISNUMBER(SEARCH({"Auto Number"}, $B7))) &gt; 0, $B7, IF(SUMPRODUCT(-- ISNUMBER(SEARCH({"Lookup","Master-Detail"}, $B7))) &gt; 0,$B7 &amp; "(" &amp; $E7 &amp; ")",IF(SUMPRODUCT(-- ISNUMBER(SEARCH({"Formula","Roll-Up Summary"}, $B7))) &gt; 0,$B7 &amp; " (" &amp; $E7 &amp; ")",IF(SUMPRODUCT(-- ISNUMBER(SEARCH({"Content","Currency","Number","Percent","Text","URL"}, $B7))) &gt; 0,$B7 &amp; "(" &amp; $C7 &amp; ")",$B7)))), "  ", TRIM(IF($S7 = "YES", "(External ID)", "") &amp; " " &amp; IF(SUMPRODUCT(-- ISNUMBER(SEARCH({"Unique","Unique Case Insensitive"}, $R7))) &gt; 0, "(" &amp; $R7 &amp; ")", ""))))</f>
        <v>Number(2, 0)</v>
      </c>
      <c r="E7" s="7" t="s">
        <v>195</v>
      </c>
      <c r="F7" s="7" t="s">
        <v>1724</v>
      </c>
      <c r="G7" s="7" t="s">
        <v>1722</v>
      </c>
      <c r="H7" s="7" t="s">
        <v>195</v>
      </c>
      <c r="I7" s="7" t="s">
        <v>195</v>
      </c>
      <c r="J7" s="7" t="s">
        <v>195</v>
      </c>
      <c r="K7" s="7" t="s">
        <v>195</v>
      </c>
      <c r="L7" s="7" t="s">
        <v>195</v>
      </c>
      <c r="M7" s="7" t="s">
        <v>29</v>
      </c>
      <c r="N7" s="7" t="s">
        <v>29</v>
      </c>
      <c r="O7" s="7" t="s">
        <v>29</v>
      </c>
      <c r="P7" s="7" t="s">
        <v>29</v>
      </c>
      <c r="Q7" s="7" t="s">
        <v>29</v>
      </c>
      <c r="R7" s="7" t="s">
        <v>29</v>
      </c>
      <c r="S7" s="7" t="s">
        <v>29</v>
      </c>
    </row>
    <row r="8" spans="1:19">
      <c r="A8" s="7" t="s">
        <v>957</v>
      </c>
      <c r="B8" s="7" t="s">
        <v>1213</v>
      </c>
      <c r="C8" s="8" t="s">
        <v>1382</v>
      </c>
      <c r="D8" s="6" t="str">
        <f>LRTRIM(CONCATENATE(IF(SUMPRODUCT(-- ISNUMBER(SEARCH({"Auto Number"}, $B8))) &gt; 0, $B8, IF(SUMPRODUCT(-- ISNUMBER(SEARCH({"Lookup","Master-Detail"}, $B8))) &gt; 0,$B8 &amp; "(" &amp; $E8 &amp; ")",IF(SUMPRODUCT(-- ISNUMBER(SEARCH({"Formula","Roll-Up Summary"}, $B8))) &gt; 0,$B8 &amp; " (" &amp; $E8 &amp; ")",IF(SUMPRODUCT(-- ISNUMBER(SEARCH({"Content","Currency","Number","Percent","Text","URL"}, $B8))) &gt; 0,$B8 &amp; "(" &amp; $C8 &amp; ")",$B8)))), "  ", TRIM(IF($S8 = "YES", "(External ID)", "") &amp; " " &amp; IF(SUMPRODUCT(-- ISNUMBER(SEARCH({"Unique","Unique Case Insensitive"}, $R8))) &gt; 0, "(" &amp; $R8 &amp; ")", ""))))</f>
        <v>Number(3, 0)</v>
      </c>
      <c r="E8" s="7" t="s">
        <v>195</v>
      </c>
      <c r="F8" s="7" t="s">
        <v>967</v>
      </c>
      <c r="G8" s="7" t="s">
        <v>195</v>
      </c>
      <c r="H8" s="7" t="s">
        <v>195</v>
      </c>
      <c r="I8" s="7" t="s">
        <v>195</v>
      </c>
      <c r="J8" s="7" t="s">
        <v>195</v>
      </c>
      <c r="K8" s="7" t="s">
        <v>195</v>
      </c>
      <c r="L8" s="7" t="s">
        <v>195</v>
      </c>
      <c r="M8" s="7" t="s">
        <v>29</v>
      </c>
      <c r="N8" s="7" t="s">
        <v>29</v>
      </c>
      <c r="O8" s="7" t="s">
        <v>29</v>
      </c>
      <c r="P8" s="7" t="s">
        <v>29</v>
      </c>
      <c r="Q8" s="7" t="s">
        <v>29</v>
      </c>
      <c r="R8" s="7" t="s">
        <v>29</v>
      </c>
      <c r="S8" s="7" t="s">
        <v>29</v>
      </c>
    </row>
    <row r="9" spans="1:19">
      <c r="A9" s="7" t="s">
        <v>1702</v>
      </c>
      <c r="B9" s="7" t="s">
        <v>1218</v>
      </c>
      <c r="C9" s="8">
        <v>25</v>
      </c>
      <c r="D9" s="6" t="str">
        <f>LRTRIM(CONCATENATE(IF(SUMPRODUCT(-- ISNUMBER(SEARCH({"Auto Number"}, $B9))) &gt; 0, $B9, IF(SUMPRODUCT(-- ISNUMBER(SEARCH({"Lookup","Master-Detail"}, $B9))) &gt; 0,$B9 &amp; "(" &amp; $E9 &amp; ")",IF(SUMPRODUCT(-- ISNUMBER(SEARCH({"Formula","Roll-Up Summary"}, $B9))) &gt; 0,$B9 &amp; " (" &amp; $E9 &amp; ")",IF(SUMPRODUCT(-- ISNUMBER(SEARCH({"Content","Currency","Number","Percent","Text","URL"}, $B9))) &gt; 0,$B9 &amp; "(" &amp; $C9 &amp; ")",$B9)))), "  ", TRIM(IF($S9 = "YES", "(External ID)", "") &amp; " " &amp; IF(SUMPRODUCT(-- ISNUMBER(SEARCH({"Unique","Unique Case Insensitive"}, $R9))) &gt; 0, "(" &amp; $R9 &amp; ")", ""))))</f>
        <v>Text(25)</v>
      </c>
      <c r="E9" s="7" t="s">
        <v>195</v>
      </c>
      <c r="F9" s="7" t="s">
        <v>964</v>
      </c>
      <c r="G9" s="7" t="s">
        <v>195</v>
      </c>
      <c r="H9" s="7" t="s">
        <v>195</v>
      </c>
      <c r="I9" s="7" t="s">
        <v>195</v>
      </c>
      <c r="J9" s="7" t="s">
        <v>195</v>
      </c>
      <c r="K9" s="7" t="s">
        <v>195</v>
      </c>
      <c r="L9" s="7" t="s">
        <v>195</v>
      </c>
      <c r="M9" s="7" t="s">
        <v>29</v>
      </c>
      <c r="N9" s="7" t="s">
        <v>29</v>
      </c>
      <c r="O9" s="7" t="s">
        <v>29</v>
      </c>
      <c r="P9" s="7" t="s">
        <v>29</v>
      </c>
      <c r="Q9" s="7" t="s">
        <v>29</v>
      </c>
      <c r="R9" s="7" t="s">
        <v>29</v>
      </c>
      <c r="S9" s="7" t="s">
        <v>29</v>
      </c>
    </row>
    <row r="10" spans="1:19">
      <c r="A10" s="7" t="s">
        <v>1734</v>
      </c>
      <c r="B10" s="7" t="s">
        <v>386</v>
      </c>
      <c r="C10" s="8" t="s">
        <v>195</v>
      </c>
      <c r="D10" s="6" t="str">
        <f>LRTRIM(CONCATENATE(IF(SUMPRODUCT(-- ISNUMBER(SEARCH({"Auto Number"}, $B10))) &gt; 0, $B10, IF(SUMPRODUCT(-- ISNUMBER(SEARCH({"Lookup","Master-Detail"}, $B10))) &gt; 0,$B10 &amp; "(" &amp; $E10 &amp; ")",IF(SUMPRODUCT(-- ISNUMBER(SEARCH({"Formula","Roll-Up Summary"}, $B10))) &gt; 0,$B10 &amp; " (" &amp; $E10 &amp; ")",IF(SUMPRODUCT(-- ISNUMBER(SEARCH({"Content","Currency","Number","Percent","Text","URL"}, $B10))) &gt; 0,$B10 &amp; "(" &amp; $C10 &amp; ")",$B10)))), "  ", TRIM(IF($S10 = "YES", "(External ID)", "") &amp; " " &amp; IF(SUMPRODUCT(-- ISNUMBER(SEARCH({"Unique","Unique Case Insensitive"}, $R10))) &gt; 0, "(" &amp; $R10 &amp; ")", ""))))</f>
        <v>Date</v>
      </c>
      <c r="E10" s="7" t="s">
        <v>195</v>
      </c>
      <c r="F10" s="7" t="s">
        <v>1736</v>
      </c>
      <c r="G10" s="7" t="s">
        <v>1164</v>
      </c>
      <c r="H10" s="7" t="s">
        <v>195</v>
      </c>
      <c r="I10" s="7" t="s">
        <v>195</v>
      </c>
      <c r="J10" s="7" t="s">
        <v>195</v>
      </c>
      <c r="K10" s="7" t="s">
        <v>195</v>
      </c>
      <c r="L10" s="7" t="s">
        <v>195</v>
      </c>
      <c r="M10" s="7" t="s">
        <v>29</v>
      </c>
      <c r="N10" s="7" t="s">
        <v>29</v>
      </c>
      <c r="O10" s="7" t="s">
        <v>29</v>
      </c>
      <c r="P10" s="7" t="s">
        <v>29</v>
      </c>
      <c r="Q10" s="7" t="s">
        <v>29</v>
      </c>
      <c r="R10" s="7" t="s">
        <v>29</v>
      </c>
      <c r="S10" s="7" t="s">
        <v>29</v>
      </c>
    </row>
    <row r="11" spans="1:19">
      <c r="A11" s="7" t="s">
        <v>1735</v>
      </c>
      <c r="B11" s="7" t="s">
        <v>1218</v>
      </c>
      <c r="C11" s="8">
        <v>120</v>
      </c>
      <c r="D11" s="6" t="str">
        <f>LRTRIM(CONCATENATE(IF(SUMPRODUCT(-- ISNUMBER(SEARCH({"Auto Number"}, $B11))) &gt; 0, $B11, IF(SUMPRODUCT(-- ISNUMBER(SEARCH({"Lookup","Master-Detail"}, $B11))) &gt; 0,$B11 &amp; "(" &amp; $E11 &amp; ")",IF(SUMPRODUCT(-- ISNUMBER(SEARCH({"Formula","Roll-Up Summary"}, $B11))) &gt; 0,$B11 &amp; " (" &amp; $E11 &amp; ")",IF(SUMPRODUCT(-- ISNUMBER(SEARCH({"Content","Currency","Number","Percent","Text","URL"}, $B11))) &gt; 0,$B11 &amp; "(" &amp; $C11 &amp; ")",$B11)))), "  ", TRIM(IF($S11 = "YES", "(External ID)", "") &amp; " " &amp; IF(SUMPRODUCT(-- ISNUMBER(SEARCH({"Unique","Unique Case Insensitive"}, $R11))) &gt; 0, "(" &amp; $R11 &amp; ")", ""))))</f>
        <v>Text(120)  (External ID)</v>
      </c>
      <c r="E11" s="7" t="s">
        <v>195</v>
      </c>
      <c r="F11" s="7" t="s">
        <v>1737</v>
      </c>
      <c r="G11" s="7" t="s">
        <v>195</v>
      </c>
      <c r="H11" s="7" t="s">
        <v>195</v>
      </c>
      <c r="I11" s="7" t="s">
        <v>195</v>
      </c>
      <c r="J11" s="7" t="s">
        <v>195</v>
      </c>
      <c r="K11" s="7" t="s">
        <v>195</v>
      </c>
      <c r="L11" s="7" t="s">
        <v>195</v>
      </c>
      <c r="M11" s="7" t="s">
        <v>29</v>
      </c>
      <c r="N11" s="7" t="s">
        <v>29</v>
      </c>
      <c r="O11" s="7" t="s">
        <v>29</v>
      </c>
      <c r="P11" s="7" t="s">
        <v>29</v>
      </c>
      <c r="Q11" s="7" t="s">
        <v>29</v>
      </c>
      <c r="R11" s="7" t="s">
        <v>29</v>
      </c>
      <c r="S11" s="7" t="s">
        <v>28</v>
      </c>
    </row>
    <row r="12" spans="1:19">
      <c r="A12" s="7" t="s">
        <v>1703</v>
      </c>
      <c r="B12" s="7" t="s">
        <v>1218</v>
      </c>
      <c r="C12" s="8">
        <v>10</v>
      </c>
      <c r="D12" s="6" t="str">
        <f>LRTRIM(CONCATENATE(IF(SUMPRODUCT(-- ISNUMBER(SEARCH({"Auto Number"}, $B12))) &gt; 0, $B12, IF(SUMPRODUCT(-- ISNUMBER(SEARCH({"Lookup","Master-Detail"}, $B12))) &gt; 0,$B12 &amp; "(" &amp; $E12 &amp; ")",IF(SUMPRODUCT(-- ISNUMBER(SEARCH({"Formula","Roll-Up Summary"}, $B12))) &gt; 0,$B12 &amp; " (" &amp; $E12 &amp; ")",IF(SUMPRODUCT(-- ISNUMBER(SEARCH({"Content","Currency","Number","Percent","Text","URL"}, $B12))) &gt; 0,$B12 &amp; "(" &amp; $C12 &amp; ")",$B12)))), "  ", TRIM(IF($S12 = "YES", "(External ID)", "") &amp; " " &amp; IF(SUMPRODUCT(-- ISNUMBER(SEARCH({"Unique","Unique Case Insensitive"}, $R12))) &gt; 0, "(" &amp; $R12 &amp; ")", ""))))</f>
        <v>Text(10)</v>
      </c>
      <c r="E12" s="7" t="s">
        <v>195</v>
      </c>
      <c r="F12" s="7" t="s">
        <v>1725</v>
      </c>
      <c r="G12" s="7" t="s">
        <v>195</v>
      </c>
      <c r="H12" s="7" t="s">
        <v>195</v>
      </c>
      <c r="I12" s="7" t="s">
        <v>195</v>
      </c>
      <c r="J12" s="7" t="s">
        <v>195</v>
      </c>
      <c r="K12" s="7" t="s">
        <v>195</v>
      </c>
      <c r="L12" s="7" t="s">
        <v>195</v>
      </c>
      <c r="M12" s="7" t="s">
        <v>29</v>
      </c>
      <c r="N12" s="7" t="s">
        <v>29</v>
      </c>
      <c r="O12" s="7" t="s">
        <v>29</v>
      </c>
      <c r="P12" s="7" t="s">
        <v>29</v>
      </c>
      <c r="Q12" s="7" t="s">
        <v>29</v>
      </c>
      <c r="R12" s="7" t="s">
        <v>29</v>
      </c>
      <c r="S12" s="7" t="s">
        <v>29</v>
      </c>
    </row>
    <row r="13" spans="1:19">
      <c r="A13" s="7" t="s">
        <v>666</v>
      </c>
      <c r="B13" s="7" t="s">
        <v>1206</v>
      </c>
      <c r="C13" s="8" t="s">
        <v>1726</v>
      </c>
      <c r="D13" s="6" t="str">
        <f>LRTRIM(CONCATENATE(IF(SUMPRODUCT(-- ISNUMBER(SEARCH({"Auto Number"}, $B13))) &gt; 0, $B13, IF(SUMPRODUCT(-- ISNUMBER(SEARCH({"Lookup","Master-Detail"}, $B13))) &gt; 0,$B13 &amp; "(" &amp; $E13 &amp; ")",IF(SUMPRODUCT(-- ISNUMBER(SEARCH({"Formula","Roll-Up Summary"}, $B13))) &gt; 0,$B13 &amp; " (" &amp; $E13 &amp; ")",IF(SUMPRODUCT(-- ISNUMBER(SEARCH({"Content","Currency","Number","Percent","Text","URL"}, $B13))) &gt; 0,$B13 &amp; "(" &amp; $C13 &amp; ")",$B13)))), "  ", TRIM(IF($S13 = "YES", "(External ID)", "") &amp; " " &amp; IF(SUMPRODUCT(-- ISNUMBER(SEARCH({"Unique","Unique Case Insensitive"}, $R13))) &gt; 0, "(" &amp; $R13 &amp; ")", ""))))</f>
        <v>Currency(9, 0)</v>
      </c>
      <c r="E13" s="7" t="s">
        <v>195</v>
      </c>
      <c r="F13" s="7" t="s">
        <v>715</v>
      </c>
      <c r="G13" s="7" t="s">
        <v>195</v>
      </c>
      <c r="H13" s="7" t="s">
        <v>195</v>
      </c>
      <c r="I13" s="7" t="s">
        <v>195</v>
      </c>
      <c r="J13" s="7" t="s">
        <v>195</v>
      </c>
      <c r="K13" s="7" t="s">
        <v>195</v>
      </c>
      <c r="L13" s="7" t="s">
        <v>195</v>
      </c>
      <c r="M13" s="7" t="s">
        <v>29</v>
      </c>
      <c r="N13" s="7" t="s">
        <v>29</v>
      </c>
      <c r="O13" s="7" t="s">
        <v>29</v>
      </c>
      <c r="P13" s="7" t="s">
        <v>29</v>
      </c>
      <c r="Q13" s="7" t="s">
        <v>29</v>
      </c>
      <c r="R13" s="7" t="s">
        <v>29</v>
      </c>
      <c r="S13" s="7" t="s">
        <v>29</v>
      </c>
    </row>
    <row r="14" spans="1:19">
      <c r="A14" s="7" t="s">
        <v>1704</v>
      </c>
      <c r="B14" s="7" t="s">
        <v>1206</v>
      </c>
      <c r="C14" s="8" t="s">
        <v>1726</v>
      </c>
      <c r="D14" s="6" t="str">
        <f>LRTRIM(CONCATENATE(IF(SUMPRODUCT(-- ISNUMBER(SEARCH({"Auto Number"}, $B14))) &gt; 0, $B14, IF(SUMPRODUCT(-- ISNUMBER(SEARCH({"Lookup","Master-Detail"}, $B14))) &gt; 0,$B14 &amp; "(" &amp; $E14 &amp; ")",IF(SUMPRODUCT(-- ISNUMBER(SEARCH({"Formula","Roll-Up Summary"}, $B14))) &gt; 0,$B14 &amp; " (" &amp; $E14 &amp; ")",IF(SUMPRODUCT(-- ISNUMBER(SEARCH({"Content","Currency","Number","Percent","Text","URL"}, $B14))) &gt; 0,$B14 &amp; "(" &amp; $C14 &amp; ")",$B14)))), "  ", TRIM(IF($S14 = "YES", "(External ID)", "") &amp; " " &amp; IF(SUMPRODUCT(-- ISNUMBER(SEARCH({"Unique","Unique Case Insensitive"}, $R14))) &gt; 0, "(" &amp; $R14 &amp; ")", ""))))</f>
        <v>Currency(9, 0)</v>
      </c>
      <c r="E14" s="7" t="s">
        <v>195</v>
      </c>
      <c r="F14" s="7" t="s">
        <v>1712</v>
      </c>
      <c r="G14" s="7" t="s">
        <v>195</v>
      </c>
      <c r="H14" s="7" t="s">
        <v>195</v>
      </c>
      <c r="I14" s="7" t="s">
        <v>195</v>
      </c>
      <c r="J14" s="7" t="s">
        <v>195</v>
      </c>
      <c r="K14" s="7" t="s">
        <v>195</v>
      </c>
      <c r="L14" s="7" t="s">
        <v>195</v>
      </c>
      <c r="M14" s="7" t="s">
        <v>29</v>
      </c>
      <c r="N14" s="7" t="s">
        <v>29</v>
      </c>
      <c r="O14" s="7" t="s">
        <v>29</v>
      </c>
      <c r="P14" s="7" t="s">
        <v>29</v>
      </c>
      <c r="Q14" s="7" t="s">
        <v>29</v>
      </c>
      <c r="R14" s="7" t="s">
        <v>29</v>
      </c>
      <c r="S14" s="7" t="s">
        <v>29</v>
      </c>
    </row>
    <row r="15" spans="1:19">
      <c r="A15" s="7" t="s">
        <v>1705</v>
      </c>
      <c r="B15" s="7" t="s">
        <v>1206</v>
      </c>
      <c r="C15" s="8" t="s">
        <v>1726</v>
      </c>
      <c r="D15" s="6" t="str">
        <f>LRTRIM(CONCATENATE(IF(SUMPRODUCT(-- ISNUMBER(SEARCH({"Auto Number"}, $B15))) &gt; 0, $B15, IF(SUMPRODUCT(-- ISNUMBER(SEARCH({"Lookup","Master-Detail"}, $B15))) &gt; 0,$B15 &amp; "(" &amp; $E15 &amp; ")",IF(SUMPRODUCT(-- ISNUMBER(SEARCH({"Formula","Roll-Up Summary"}, $B15))) &gt; 0,$B15 &amp; " (" &amp; $E15 &amp; ")",IF(SUMPRODUCT(-- ISNUMBER(SEARCH({"Content","Currency","Number","Percent","Text","URL"}, $B15))) &gt; 0,$B15 &amp; "(" &amp; $C15 &amp; ")",$B15)))), "  ", TRIM(IF($S15 = "YES", "(External ID)", "") &amp; " " &amp; IF(SUMPRODUCT(-- ISNUMBER(SEARCH({"Unique","Unique Case Insensitive"}, $R15))) &gt; 0, "(" &amp; $R15 &amp; ")", ""))))</f>
        <v>Currency(9, 0)</v>
      </c>
      <c r="E15" s="7" t="s">
        <v>195</v>
      </c>
      <c r="F15" s="7" t="s">
        <v>1713</v>
      </c>
      <c r="G15" s="7" t="s">
        <v>1720</v>
      </c>
      <c r="H15" s="7" t="s">
        <v>195</v>
      </c>
      <c r="I15" s="7" t="s">
        <v>195</v>
      </c>
      <c r="J15" s="7" t="s">
        <v>195</v>
      </c>
      <c r="K15" s="7" t="s">
        <v>195</v>
      </c>
      <c r="L15" s="7" t="s">
        <v>195</v>
      </c>
      <c r="M15" s="7" t="s">
        <v>29</v>
      </c>
      <c r="N15" s="7" t="s">
        <v>29</v>
      </c>
      <c r="O15" s="7" t="s">
        <v>29</v>
      </c>
      <c r="P15" s="7" t="s">
        <v>29</v>
      </c>
      <c r="Q15" s="7" t="s">
        <v>29</v>
      </c>
      <c r="R15" s="7" t="s">
        <v>29</v>
      </c>
      <c r="S15" s="7" t="s">
        <v>29</v>
      </c>
    </row>
    <row r="16" spans="1:19">
      <c r="A16" s="7" t="s">
        <v>1081</v>
      </c>
      <c r="B16" s="7" t="s">
        <v>1213</v>
      </c>
      <c r="C16" s="8" t="s">
        <v>1250</v>
      </c>
      <c r="D16" s="6" t="str">
        <f>LRTRIM(CONCATENATE(IF(SUMPRODUCT(-- ISNUMBER(SEARCH({"Auto Number"}, $B16))) &gt; 0, $B16, IF(SUMPRODUCT(-- ISNUMBER(SEARCH({"Lookup","Master-Detail"}, $B16))) &gt; 0,$B16 &amp; "(" &amp; $E16 &amp; ")",IF(SUMPRODUCT(-- ISNUMBER(SEARCH({"Formula","Roll-Up Summary"}, $B16))) &gt; 0,$B16 &amp; " (" &amp; $E16 &amp; ")",IF(SUMPRODUCT(-- ISNUMBER(SEARCH({"Content","Currency","Number","Percent","Text","URL"}, $B16))) &gt; 0,$B16 &amp; "(" &amp; $C16 &amp; ")",$B16)))), "  ", TRIM(IF($S16 = "YES", "(External ID)", "") &amp; " " &amp; IF(SUMPRODUCT(-- ISNUMBER(SEARCH({"Unique","Unique Case Insensitive"}, $R16))) &gt; 0, "(" &amp; $R16 &amp; ")", ""))))</f>
        <v>Number(18, 0)</v>
      </c>
      <c r="E16" s="7" t="s">
        <v>195</v>
      </c>
      <c r="F16" s="7" t="s">
        <v>1130</v>
      </c>
      <c r="G16" s="7" t="s">
        <v>1175</v>
      </c>
      <c r="H16" s="7" t="s">
        <v>195</v>
      </c>
      <c r="I16" s="7" t="s">
        <v>195</v>
      </c>
      <c r="J16" s="7" t="s">
        <v>195</v>
      </c>
      <c r="K16" s="7" t="s">
        <v>195</v>
      </c>
      <c r="L16" s="7" t="s">
        <v>195</v>
      </c>
      <c r="M16" s="7" t="s">
        <v>29</v>
      </c>
      <c r="N16" s="7" t="s">
        <v>29</v>
      </c>
      <c r="O16" s="7" t="s">
        <v>29</v>
      </c>
      <c r="P16" s="7" t="s">
        <v>29</v>
      </c>
      <c r="Q16" s="7" t="s">
        <v>29</v>
      </c>
      <c r="R16" s="7" t="s">
        <v>29</v>
      </c>
      <c r="S16" s="7" t="s">
        <v>29</v>
      </c>
    </row>
    <row r="17" spans="1:19">
      <c r="A17" s="7" t="s">
        <v>1707</v>
      </c>
      <c r="B17" s="7" t="s">
        <v>1206</v>
      </c>
      <c r="C17" s="8" t="s">
        <v>1726</v>
      </c>
      <c r="D17" s="6" t="str">
        <f>LRTRIM(CONCATENATE(IF(SUMPRODUCT(-- ISNUMBER(SEARCH({"Auto Number"}, $B17))) &gt; 0, $B17, IF(SUMPRODUCT(-- ISNUMBER(SEARCH({"Lookup","Master-Detail"}, $B17))) &gt; 0,$B17 &amp; "(" &amp; $E17 &amp; ")",IF(SUMPRODUCT(-- ISNUMBER(SEARCH({"Formula","Roll-Up Summary"}, $B17))) &gt; 0,$B17 &amp; " (" &amp; $E17 &amp; ")",IF(SUMPRODUCT(-- ISNUMBER(SEARCH({"Content","Currency","Number","Percent","Text","URL"}, $B17))) &gt; 0,$B17 &amp; "(" &amp; $C17 &amp; ")",$B17)))), "  ", TRIM(IF($S17 = "YES", "(External ID)", "") &amp; " " &amp; IF(SUMPRODUCT(-- ISNUMBER(SEARCH({"Unique","Unique Case Insensitive"}, $R17))) &gt; 0, "(" &amp; $R17 &amp; ")", ""))))</f>
        <v>Currency(9, 0)</v>
      </c>
      <c r="E17" s="7" t="s">
        <v>195</v>
      </c>
      <c r="F17" s="7" t="s">
        <v>1714</v>
      </c>
      <c r="G17" s="7" t="s">
        <v>195</v>
      </c>
      <c r="H17" s="7" t="s">
        <v>195</v>
      </c>
      <c r="I17" s="7" t="s">
        <v>195</v>
      </c>
      <c r="J17" s="7" t="s">
        <v>195</v>
      </c>
      <c r="K17" s="7" t="s">
        <v>195</v>
      </c>
      <c r="L17" s="7" t="s">
        <v>195</v>
      </c>
      <c r="M17" s="7" t="s">
        <v>29</v>
      </c>
      <c r="N17" s="7" t="s">
        <v>29</v>
      </c>
      <c r="O17" s="7" t="s">
        <v>29</v>
      </c>
      <c r="P17" s="7" t="s">
        <v>29</v>
      </c>
      <c r="Q17" s="7" t="s">
        <v>29</v>
      </c>
      <c r="R17" s="7" t="s">
        <v>29</v>
      </c>
      <c r="S17" s="7" t="s">
        <v>29</v>
      </c>
    </row>
    <row r="18" spans="1:19">
      <c r="A18" s="7" t="s">
        <v>1706</v>
      </c>
      <c r="B18" s="7" t="s">
        <v>1206</v>
      </c>
      <c r="C18" s="8" t="s">
        <v>1726</v>
      </c>
      <c r="D18" s="6" t="str">
        <f>LRTRIM(CONCATENATE(IF(SUMPRODUCT(-- ISNUMBER(SEARCH({"Auto Number"}, $B18))) &gt; 0, $B18, IF(SUMPRODUCT(-- ISNUMBER(SEARCH({"Lookup","Master-Detail"}, $B18))) &gt; 0,$B18 &amp; "(" &amp; $E18 &amp; ")",IF(SUMPRODUCT(-- ISNUMBER(SEARCH({"Formula","Roll-Up Summary"}, $B18))) &gt; 0,$B18 &amp; " (" &amp; $E18 &amp; ")",IF(SUMPRODUCT(-- ISNUMBER(SEARCH({"Content","Currency","Number","Percent","Text","URL"}, $B18))) &gt; 0,$B18 &amp; "(" &amp; $C18 &amp; ")",$B18)))), "  ", TRIM(IF($S18 = "YES", "(External ID)", "") &amp; " " &amp; IF(SUMPRODUCT(-- ISNUMBER(SEARCH({"Unique","Unique Case Insensitive"}, $R18))) &gt; 0, "(" &amp; $R18 &amp; ")", ""))))</f>
        <v>Currency(9, 0)</v>
      </c>
      <c r="E18" s="7" t="s">
        <v>195</v>
      </c>
      <c r="F18" s="7" t="s">
        <v>1715</v>
      </c>
      <c r="G18" s="7" t="s">
        <v>195</v>
      </c>
      <c r="H18" s="7" t="s">
        <v>195</v>
      </c>
      <c r="I18" s="7" t="s">
        <v>195</v>
      </c>
      <c r="J18" s="7" t="s">
        <v>195</v>
      </c>
      <c r="K18" s="7" t="s">
        <v>195</v>
      </c>
      <c r="L18" s="7" t="s">
        <v>195</v>
      </c>
      <c r="M18" s="7" t="s">
        <v>29</v>
      </c>
      <c r="N18" s="7" t="s">
        <v>29</v>
      </c>
      <c r="O18" s="7" t="s">
        <v>29</v>
      </c>
      <c r="P18" s="7" t="s">
        <v>29</v>
      </c>
      <c r="Q18" s="7" t="s">
        <v>29</v>
      </c>
      <c r="R18" s="7" t="s">
        <v>29</v>
      </c>
      <c r="S18" s="7" t="s">
        <v>29</v>
      </c>
    </row>
    <row r="19" spans="1:19">
      <c r="A19" s="7" t="s">
        <v>1708</v>
      </c>
      <c r="B19" s="7" t="s">
        <v>1206</v>
      </c>
      <c r="C19" s="8" t="s">
        <v>1726</v>
      </c>
      <c r="D19" s="6" t="str">
        <f>LRTRIM(CONCATENATE(IF(SUMPRODUCT(-- ISNUMBER(SEARCH({"Auto Number"}, $B19))) &gt; 0, $B19, IF(SUMPRODUCT(-- ISNUMBER(SEARCH({"Lookup","Master-Detail"}, $B19))) &gt; 0,$B19 &amp; "(" &amp; $E19 &amp; ")",IF(SUMPRODUCT(-- ISNUMBER(SEARCH({"Formula","Roll-Up Summary"}, $B19))) &gt; 0,$B19 &amp; " (" &amp; $E19 &amp; ")",IF(SUMPRODUCT(-- ISNUMBER(SEARCH({"Content","Currency","Number","Percent","Text","URL"}, $B19))) &gt; 0,$B19 &amp; "(" &amp; $C19 &amp; ")",$B19)))), "  ", TRIM(IF($S19 = "YES", "(External ID)", "") &amp; " " &amp; IF(SUMPRODUCT(-- ISNUMBER(SEARCH({"Unique","Unique Case Insensitive"}, $R19))) &gt; 0, "(" &amp; $R19 &amp; ")", ""))))</f>
        <v>Currency(9, 0)</v>
      </c>
      <c r="E19" s="7" t="s">
        <v>195</v>
      </c>
      <c r="F19" s="7" t="s">
        <v>1716</v>
      </c>
      <c r="G19" s="7" t="s">
        <v>195</v>
      </c>
      <c r="H19" s="7" t="s">
        <v>195</v>
      </c>
      <c r="I19" s="7" t="s">
        <v>195</v>
      </c>
      <c r="J19" s="7" t="s">
        <v>195</v>
      </c>
      <c r="K19" s="7" t="s">
        <v>195</v>
      </c>
      <c r="L19" s="7" t="s">
        <v>195</v>
      </c>
      <c r="M19" s="7" t="s">
        <v>29</v>
      </c>
      <c r="N19" s="7" t="s">
        <v>29</v>
      </c>
      <c r="O19" s="7" t="s">
        <v>29</v>
      </c>
      <c r="P19" s="7" t="s">
        <v>29</v>
      </c>
      <c r="Q19" s="7" t="s">
        <v>29</v>
      </c>
      <c r="R19" s="7" t="s">
        <v>29</v>
      </c>
      <c r="S19" s="7" t="s">
        <v>29</v>
      </c>
    </row>
    <row r="20" spans="1:19">
      <c r="A20" s="7" t="s">
        <v>1709</v>
      </c>
      <c r="B20" s="7" t="s">
        <v>1206</v>
      </c>
      <c r="C20" s="8" t="s">
        <v>1726</v>
      </c>
      <c r="D20" s="6" t="str">
        <f>LRTRIM(CONCATENATE(IF(SUMPRODUCT(-- ISNUMBER(SEARCH({"Auto Number"}, $B20))) &gt; 0, $B20, IF(SUMPRODUCT(-- ISNUMBER(SEARCH({"Lookup","Master-Detail"}, $B20))) &gt; 0,$B20 &amp; "(" &amp; $E20 &amp; ")",IF(SUMPRODUCT(-- ISNUMBER(SEARCH({"Formula","Roll-Up Summary"}, $B20))) &gt; 0,$B20 &amp; " (" &amp; $E20 &amp; ")",IF(SUMPRODUCT(-- ISNUMBER(SEARCH({"Content","Currency","Number","Percent","Text","URL"}, $B20))) &gt; 0,$B20 &amp; "(" &amp; $C20 &amp; ")",$B20)))), "  ", TRIM(IF($S20 = "YES", "(External ID)", "") &amp; " " &amp; IF(SUMPRODUCT(-- ISNUMBER(SEARCH({"Unique","Unique Case Insensitive"}, $R20))) &gt; 0, "(" &amp; $R20 &amp; ")", ""))))</f>
        <v>Currency(9, 0)</v>
      </c>
      <c r="E20" s="7" t="s">
        <v>195</v>
      </c>
      <c r="F20" s="7" t="s">
        <v>1719</v>
      </c>
      <c r="G20" s="7" t="s">
        <v>195</v>
      </c>
      <c r="H20" s="7" t="s">
        <v>195</v>
      </c>
      <c r="I20" s="7" t="s">
        <v>195</v>
      </c>
      <c r="J20" s="7" t="s">
        <v>195</v>
      </c>
      <c r="K20" s="7" t="s">
        <v>195</v>
      </c>
      <c r="L20" s="7" t="s">
        <v>195</v>
      </c>
      <c r="M20" s="7" t="s">
        <v>29</v>
      </c>
      <c r="N20" s="7" t="s">
        <v>29</v>
      </c>
      <c r="O20" s="7" t="s">
        <v>29</v>
      </c>
      <c r="P20" s="7" t="s">
        <v>29</v>
      </c>
      <c r="Q20" s="7" t="s">
        <v>29</v>
      </c>
      <c r="R20" s="7" t="s">
        <v>29</v>
      </c>
      <c r="S20" s="7" t="s">
        <v>29</v>
      </c>
    </row>
    <row r="21" spans="1:19">
      <c r="A21" s="7" t="s">
        <v>1710</v>
      </c>
      <c r="B21" s="7" t="s">
        <v>1206</v>
      </c>
      <c r="C21" s="8" t="s">
        <v>1726</v>
      </c>
      <c r="D21" s="6" t="str">
        <f>LRTRIM(CONCATENATE(IF(SUMPRODUCT(-- ISNUMBER(SEARCH({"Auto Number"}, $B21))) &gt; 0, $B21, IF(SUMPRODUCT(-- ISNUMBER(SEARCH({"Lookup","Master-Detail"}, $B21))) &gt; 0,$B21 &amp; "(" &amp; $E21 &amp; ")",IF(SUMPRODUCT(-- ISNUMBER(SEARCH({"Formula","Roll-Up Summary"}, $B21))) &gt; 0,$B21 &amp; " (" &amp; $E21 &amp; ")",IF(SUMPRODUCT(-- ISNUMBER(SEARCH({"Content","Currency","Number","Percent","Text","URL"}, $B21))) &gt; 0,$B21 &amp; "(" &amp; $C21 &amp; ")",$B21)))), "  ", TRIM(IF($S21 = "YES", "(External ID)", "") &amp; " " &amp; IF(SUMPRODUCT(-- ISNUMBER(SEARCH({"Unique","Unique Case Insensitive"}, $R21))) &gt; 0, "(" &amp; $R21 &amp; ")", ""))))</f>
        <v>Currency(9, 0)</v>
      </c>
      <c r="E21" s="7" t="s">
        <v>195</v>
      </c>
      <c r="F21" s="7" t="s">
        <v>1718</v>
      </c>
      <c r="G21" s="7" t="s">
        <v>195</v>
      </c>
      <c r="H21" s="7" t="s">
        <v>195</v>
      </c>
      <c r="I21" s="7" t="s">
        <v>195</v>
      </c>
      <c r="J21" s="7" t="s">
        <v>195</v>
      </c>
      <c r="K21" s="7" t="s">
        <v>195</v>
      </c>
      <c r="L21" s="7" t="s">
        <v>195</v>
      </c>
      <c r="M21" s="7" t="s">
        <v>29</v>
      </c>
      <c r="N21" s="7" t="s">
        <v>29</v>
      </c>
      <c r="O21" s="7" t="s">
        <v>29</v>
      </c>
      <c r="P21" s="7" t="s">
        <v>29</v>
      </c>
      <c r="Q21" s="7" t="s">
        <v>29</v>
      </c>
      <c r="R21" s="7" t="s">
        <v>29</v>
      </c>
      <c r="S21" s="7" t="s">
        <v>29</v>
      </c>
    </row>
    <row r="22" spans="1:19">
      <c r="A22" s="7" t="s">
        <v>1711</v>
      </c>
      <c r="B22" s="7" t="s">
        <v>1206</v>
      </c>
      <c r="C22" s="8" t="s">
        <v>1726</v>
      </c>
      <c r="D22" s="6" t="str">
        <f>LRTRIM(CONCATENATE(IF(SUMPRODUCT(-- ISNUMBER(SEARCH({"Auto Number"}, $B22))) &gt; 0, $B22, IF(SUMPRODUCT(-- ISNUMBER(SEARCH({"Lookup","Master-Detail"}, $B22))) &gt; 0,$B22 &amp; "(" &amp; $E22 &amp; ")",IF(SUMPRODUCT(-- ISNUMBER(SEARCH({"Formula","Roll-Up Summary"}, $B22))) &gt; 0,$B22 &amp; " (" &amp; $E22 &amp; ")",IF(SUMPRODUCT(-- ISNUMBER(SEARCH({"Content","Currency","Number","Percent","Text","URL"}, $B22))) &gt; 0,$B22 &amp; "(" &amp; $C22 &amp; ")",$B22)))), "  ", TRIM(IF($S22 = "YES", "(External ID)", "") &amp; " " &amp; IF(SUMPRODUCT(-- ISNUMBER(SEARCH({"Unique","Unique Case Insensitive"}, $R22))) &gt; 0, "(" &amp; $R22 &amp; ")", ""))))</f>
        <v>Currency(9, 0)</v>
      </c>
      <c r="E22" s="7" t="s">
        <v>195</v>
      </c>
      <c r="F22" s="7" t="s">
        <v>1717</v>
      </c>
      <c r="G22" s="7" t="s">
        <v>195</v>
      </c>
      <c r="H22" s="7" t="s">
        <v>195</v>
      </c>
      <c r="I22" s="7" t="s">
        <v>195</v>
      </c>
      <c r="J22" s="7" t="s">
        <v>195</v>
      </c>
      <c r="K22" s="7" t="s">
        <v>195</v>
      </c>
      <c r="L22" s="7" t="s">
        <v>195</v>
      </c>
      <c r="M22" s="7" t="s">
        <v>29</v>
      </c>
      <c r="N22" s="7" t="s">
        <v>29</v>
      </c>
      <c r="O22" s="7" t="s">
        <v>29</v>
      </c>
      <c r="P22" s="7" t="s">
        <v>29</v>
      </c>
      <c r="Q22" s="7" t="s">
        <v>29</v>
      </c>
      <c r="R22" s="7" t="s">
        <v>29</v>
      </c>
      <c r="S22" s="7" t="s">
        <v>29</v>
      </c>
    </row>
    <row r="23" spans="1:19">
      <c r="B23" s="7" t="s">
        <v>195</v>
      </c>
      <c r="C23" s="8" t="s">
        <v>195</v>
      </c>
      <c r="D23" s="6" t="str">
        <f>LRTRIM(CONCATENATE(IF(SUMPRODUCT(-- ISNUMBER(SEARCH({"Auto Number"}, $B23))) &gt; 0, $B23, IF(SUMPRODUCT(-- ISNUMBER(SEARCH({"Lookup","Master-Detail"}, $B23))) &gt; 0,$B23 &amp; "(" &amp; $E23 &amp; ")",IF(SUMPRODUCT(-- ISNUMBER(SEARCH({"Formula","Roll-Up Summary"}, $B23))) &gt; 0,$B23 &amp; " (" &amp; $E23 &amp; ")",IF(SUMPRODUCT(-- ISNUMBER(SEARCH({"Content","Currency","Number","Percent","Text","URL"}, $B23))) &gt; 0,$B23 &amp; "(" &amp; $C23 &amp; ")",$B23)))), "  ", TRIM(IF($S23 = "YES", "(External ID)", "") &amp; " " &amp; IF(SUMPRODUCT(-- ISNUMBER(SEARCH({"Unique","Unique Case Insensitive"}, $R23))) &gt; 0, "(" &amp; $R23 &amp; ")", ""))))</f>
        <v>na</v>
      </c>
      <c r="E23" s="7" t="s">
        <v>195</v>
      </c>
      <c r="F23" s="7" t="s">
        <v>195</v>
      </c>
      <c r="G23" s="7" t="s">
        <v>195</v>
      </c>
      <c r="H23" s="7" t="s">
        <v>195</v>
      </c>
      <c r="I23" s="7" t="s">
        <v>195</v>
      </c>
      <c r="J23" s="7" t="s">
        <v>195</v>
      </c>
      <c r="K23" s="7" t="s">
        <v>195</v>
      </c>
      <c r="L23" s="7" t="s">
        <v>195</v>
      </c>
      <c r="M23" s="7" t="s">
        <v>29</v>
      </c>
      <c r="N23" s="7" t="s">
        <v>29</v>
      </c>
      <c r="O23" s="7" t="s">
        <v>29</v>
      </c>
      <c r="P23" s="7" t="s">
        <v>29</v>
      </c>
      <c r="Q23" s="7" t="s">
        <v>29</v>
      </c>
      <c r="R23" s="7" t="s">
        <v>29</v>
      </c>
      <c r="S23" s="7" t="s">
        <v>29</v>
      </c>
    </row>
    <row r="24" spans="1:19">
      <c r="B24" s="7" t="s">
        <v>195</v>
      </c>
      <c r="C24" s="8" t="s">
        <v>195</v>
      </c>
      <c r="D24" s="6" t="str">
        <f>LRTRIM(CONCATENATE(IF(SUMPRODUCT(-- ISNUMBER(SEARCH({"Auto Number"}, $B24))) &gt; 0, $B24, IF(SUMPRODUCT(-- ISNUMBER(SEARCH({"Lookup","Master-Detail"}, $B24))) &gt; 0,$B24 &amp; "(" &amp; $E24 &amp; ")",IF(SUMPRODUCT(-- ISNUMBER(SEARCH({"Formula","Roll-Up Summary"}, $B24))) &gt; 0,$B24 &amp; " (" &amp; $E24 &amp; ")",IF(SUMPRODUCT(-- ISNUMBER(SEARCH({"Content","Currency","Number","Percent","Text","URL"}, $B24))) &gt; 0,$B24 &amp; "(" &amp; $C24 &amp; ")",$B24)))), "  ", TRIM(IF($S24 = "YES", "(External ID)", "") &amp; " " &amp; IF(SUMPRODUCT(-- ISNUMBER(SEARCH({"Unique","Unique Case Insensitive"}, $R24))) &gt; 0, "(" &amp; $R24 &amp; ")", ""))))</f>
        <v>na</v>
      </c>
      <c r="E24" s="7" t="s">
        <v>195</v>
      </c>
      <c r="F24" s="7" t="s">
        <v>195</v>
      </c>
      <c r="G24" s="7" t="s">
        <v>195</v>
      </c>
      <c r="H24" s="7" t="s">
        <v>195</v>
      </c>
      <c r="I24" s="7" t="s">
        <v>195</v>
      </c>
      <c r="J24" s="7" t="s">
        <v>195</v>
      </c>
      <c r="K24" s="7" t="s">
        <v>195</v>
      </c>
      <c r="L24" s="7" t="s">
        <v>195</v>
      </c>
      <c r="M24" s="7" t="s">
        <v>29</v>
      </c>
      <c r="N24" s="7" t="s">
        <v>29</v>
      </c>
      <c r="O24" s="7" t="s">
        <v>29</v>
      </c>
      <c r="P24" s="7" t="s">
        <v>29</v>
      </c>
      <c r="Q24" s="7" t="s">
        <v>29</v>
      </c>
      <c r="R24" s="7" t="s">
        <v>29</v>
      </c>
      <c r="S24" s="7" t="s">
        <v>29</v>
      </c>
    </row>
    <row r="25" spans="1:19">
      <c r="B25" s="7" t="s">
        <v>195</v>
      </c>
      <c r="C25" s="8" t="s">
        <v>195</v>
      </c>
      <c r="D25" s="6" t="str">
        <f>LRTRIM(CONCATENATE(IF(SUMPRODUCT(-- ISNUMBER(SEARCH({"Auto Number"}, $B25))) &gt; 0, $B25, IF(SUMPRODUCT(-- ISNUMBER(SEARCH({"Lookup","Master-Detail"}, $B25))) &gt; 0,$B25 &amp; "(" &amp; $E25 &amp; ")",IF(SUMPRODUCT(-- ISNUMBER(SEARCH({"Formula","Roll-Up Summary"}, $B25))) &gt; 0,$B25 &amp; " (" &amp; $E25 &amp; ")",IF(SUMPRODUCT(-- ISNUMBER(SEARCH({"Content","Currency","Number","Percent","Text","URL"}, $B25))) &gt; 0,$B25 &amp; "(" &amp; $C25 &amp; ")",$B25)))), "  ", TRIM(IF($S25 = "YES", "(External ID)", "") &amp; " " &amp; IF(SUMPRODUCT(-- ISNUMBER(SEARCH({"Unique","Unique Case Insensitive"}, $R25))) &gt; 0, "(" &amp; $R25 &amp; ")", ""))))</f>
        <v>na</v>
      </c>
      <c r="E25" s="7" t="s">
        <v>195</v>
      </c>
      <c r="F25" s="7" t="s">
        <v>195</v>
      </c>
      <c r="G25" s="7" t="s">
        <v>195</v>
      </c>
      <c r="H25" s="7" t="s">
        <v>195</v>
      </c>
      <c r="I25" s="7" t="s">
        <v>195</v>
      </c>
      <c r="J25" s="7" t="s">
        <v>195</v>
      </c>
      <c r="K25" s="7" t="s">
        <v>195</v>
      </c>
      <c r="L25" s="7" t="s">
        <v>195</v>
      </c>
      <c r="M25" s="7" t="s">
        <v>29</v>
      </c>
      <c r="N25" s="7" t="s">
        <v>29</v>
      </c>
      <c r="O25" s="7" t="s">
        <v>29</v>
      </c>
      <c r="P25" s="7" t="s">
        <v>29</v>
      </c>
      <c r="Q25" s="7" t="s">
        <v>29</v>
      </c>
      <c r="R25" s="7" t="s">
        <v>29</v>
      </c>
      <c r="S25" s="7" t="s">
        <v>29</v>
      </c>
    </row>
    <row r="26" spans="1:19">
      <c r="B26" s="7" t="s">
        <v>195</v>
      </c>
      <c r="C26" s="8" t="s">
        <v>195</v>
      </c>
      <c r="D26" s="6" t="str">
        <f>LRTRIM(CONCATENATE(IF(SUMPRODUCT(-- ISNUMBER(SEARCH({"Auto Number"}, $B26))) &gt; 0, $B26, IF(SUMPRODUCT(-- ISNUMBER(SEARCH({"Lookup","Master-Detail"}, $B26))) &gt; 0,$B26 &amp; "(" &amp; $E26 &amp; ")",IF(SUMPRODUCT(-- ISNUMBER(SEARCH({"Formula","Roll-Up Summary"}, $B26))) &gt; 0,$B26 &amp; " (" &amp; $E26 &amp; ")",IF(SUMPRODUCT(-- ISNUMBER(SEARCH({"Content","Currency","Number","Percent","Text","URL"}, $B26))) &gt; 0,$B26 &amp; "(" &amp; $C26 &amp; ")",$B26)))), "  ", TRIM(IF($S26 = "YES", "(External ID)", "") &amp; " " &amp; IF(SUMPRODUCT(-- ISNUMBER(SEARCH({"Unique","Unique Case Insensitive"}, $R26))) &gt; 0, "(" &amp; $R26 &amp; ")", ""))))</f>
        <v>na</v>
      </c>
      <c r="E26" s="7" t="s">
        <v>195</v>
      </c>
      <c r="F26" s="7" t="s">
        <v>195</v>
      </c>
      <c r="G26" s="7" t="s">
        <v>195</v>
      </c>
      <c r="H26" s="7" t="s">
        <v>195</v>
      </c>
      <c r="I26" s="7" t="s">
        <v>195</v>
      </c>
      <c r="J26" s="7" t="s">
        <v>195</v>
      </c>
      <c r="K26" s="7" t="s">
        <v>195</v>
      </c>
      <c r="L26" s="7" t="s">
        <v>195</v>
      </c>
      <c r="M26" s="7" t="s">
        <v>29</v>
      </c>
      <c r="N26" s="7" t="s">
        <v>29</v>
      </c>
      <c r="O26" s="7" t="s">
        <v>29</v>
      </c>
      <c r="P26" s="7" t="s">
        <v>29</v>
      </c>
      <c r="Q26" s="7" t="s">
        <v>29</v>
      </c>
      <c r="R26" s="7" t="s">
        <v>29</v>
      </c>
      <c r="S26" s="7" t="s">
        <v>29</v>
      </c>
    </row>
    <row r="27" spans="1:19">
      <c r="B27" s="7" t="s">
        <v>195</v>
      </c>
      <c r="C27" s="8" t="s">
        <v>195</v>
      </c>
      <c r="D27" s="6" t="str">
        <f>LRTRIM(CONCATENATE(IF(SUMPRODUCT(-- ISNUMBER(SEARCH({"Auto Number"}, $B27))) &gt; 0, $B27, IF(SUMPRODUCT(-- ISNUMBER(SEARCH({"Lookup","Master-Detail"}, $B27))) &gt; 0,$B27 &amp; "(" &amp; $E27 &amp; ")",IF(SUMPRODUCT(-- ISNUMBER(SEARCH({"Formula","Roll-Up Summary"}, $B27))) &gt; 0,$B27 &amp; " (" &amp; $E27 &amp; ")",IF(SUMPRODUCT(-- ISNUMBER(SEARCH({"Content","Currency","Number","Percent","Text","URL"}, $B27))) &gt; 0,$B27 &amp; "(" &amp; $C27 &amp; ")",$B27)))), "  ", TRIM(IF($S27 = "YES", "(External ID)", "") &amp; " " &amp; IF(SUMPRODUCT(-- ISNUMBER(SEARCH({"Unique","Unique Case Insensitive"}, $R27))) &gt; 0, "(" &amp; $R27 &amp; ")", ""))))</f>
        <v>na</v>
      </c>
      <c r="E27" s="7" t="s">
        <v>195</v>
      </c>
      <c r="F27" s="7" t="s">
        <v>195</v>
      </c>
      <c r="G27" s="7" t="s">
        <v>195</v>
      </c>
      <c r="H27" s="7" t="s">
        <v>195</v>
      </c>
      <c r="I27" s="7" t="s">
        <v>195</v>
      </c>
      <c r="J27" s="7" t="s">
        <v>195</v>
      </c>
      <c r="K27" s="7" t="s">
        <v>195</v>
      </c>
      <c r="L27" s="7" t="s">
        <v>195</v>
      </c>
      <c r="M27" s="7" t="s">
        <v>29</v>
      </c>
      <c r="N27" s="7" t="s">
        <v>29</v>
      </c>
      <c r="O27" s="7" t="s">
        <v>29</v>
      </c>
      <c r="P27" s="7" t="s">
        <v>29</v>
      </c>
      <c r="Q27" s="7" t="s">
        <v>29</v>
      </c>
      <c r="R27" s="7" t="s">
        <v>29</v>
      </c>
      <c r="S27" s="7" t="s">
        <v>29</v>
      </c>
    </row>
    <row r="28" spans="1:19">
      <c r="B28" s="7" t="s">
        <v>195</v>
      </c>
      <c r="C28" s="8" t="s">
        <v>195</v>
      </c>
      <c r="D28" s="6" t="str">
        <f>LRTRIM(CONCATENATE(IF(SUMPRODUCT(-- ISNUMBER(SEARCH({"Auto Number"}, $B28))) &gt; 0, $B28, IF(SUMPRODUCT(-- ISNUMBER(SEARCH({"Lookup","Master-Detail"}, $B28))) &gt; 0,$B28 &amp; "(" &amp; $E28 &amp; ")",IF(SUMPRODUCT(-- ISNUMBER(SEARCH({"Formula","Roll-Up Summary"}, $B28))) &gt; 0,$B28 &amp; " (" &amp; $E28 &amp; ")",IF(SUMPRODUCT(-- ISNUMBER(SEARCH({"Content","Currency","Number","Percent","Text","URL"}, $B28))) &gt; 0,$B28 &amp; "(" &amp; $C28 &amp; ")",$B28)))), "  ", TRIM(IF($S28 = "YES", "(External ID)", "") &amp; " " &amp; IF(SUMPRODUCT(-- ISNUMBER(SEARCH({"Unique","Unique Case Insensitive"}, $R28))) &gt; 0, "(" &amp; $R28 &amp; ")", ""))))</f>
        <v>na</v>
      </c>
      <c r="E28" s="7" t="s">
        <v>195</v>
      </c>
      <c r="F28" s="7" t="s">
        <v>195</v>
      </c>
      <c r="G28" s="7" t="s">
        <v>195</v>
      </c>
      <c r="H28" s="7" t="s">
        <v>195</v>
      </c>
      <c r="I28" s="7" t="s">
        <v>195</v>
      </c>
      <c r="J28" s="7" t="s">
        <v>195</v>
      </c>
      <c r="K28" s="7" t="s">
        <v>195</v>
      </c>
      <c r="L28" s="7" t="s">
        <v>195</v>
      </c>
      <c r="M28" s="7" t="s">
        <v>29</v>
      </c>
      <c r="N28" s="7" t="s">
        <v>29</v>
      </c>
      <c r="O28" s="7" t="s">
        <v>29</v>
      </c>
      <c r="P28" s="7" t="s">
        <v>29</v>
      </c>
      <c r="Q28" s="7" t="s">
        <v>29</v>
      </c>
      <c r="R28" s="7" t="s">
        <v>29</v>
      </c>
      <c r="S28" s="7" t="s">
        <v>29</v>
      </c>
    </row>
    <row r="29" spans="1:19">
      <c r="B29" s="7" t="s">
        <v>195</v>
      </c>
      <c r="C29" s="8" t="s">
        <v>195</v>
      </c>
      <c r="D29" s="6" t="str">
        <f>LRTRIM(CONCATENATE(IF(SUMPRODUCT(-- ISNUMBER(SEARCH({"Auto Number"}, $B29))) &gt; 0, $B29, IF(SUMPRODUCT(-- ISNUMBER(SEARCH({"Lookup","Master-Detail"}, $B29))) &gt; 0,$B29 &amp; "(" &amp; $E29 &amp; ")",IF(SUMPRODUCT(-- ISNUMBER(SEARCH({"Formula","Roll-Up Summary"}, $B29))) &gt; 0,$B29 &amp; " (" &amp; $E29 &amp; ")",IF(SUMPRODUCT(-- ISNUMBER(SEARCH({"Content","Currency","Number","Percent","Text","URL"}, $B29))) &gt; 0,$B29 &amp; "(" &amp; $C29 &amp; ")",$B29)))), "  ", TRIM(IF($S29 = "YES", "(External ID)", "") &amp; " " &amp; IF(SUMPRODUCT(-- ISNUMBER(SEARCH({"Unique","Unique Case Insensitive"}, $R29))) &gt; 0, "(" &amp; $R29 &amp; ")", ""))))</f>
        <v>na</v>
      </c>
      <c r="E29" s="7" t="s">
        <v>195</v>
      </c>
      <c r="F29" s="7" t="s">
        <v>195</v>
      </c>
      <c r="G29" s="7" t="s">
        <v>195</v>
      </c>
      <c r="H29" s="7" t="s">
        <v>195</v>
      </c>
      <c r="I29" s="7" t="s">
        <v>195</v>
      </c>
      <c r="J29" s="7" t="s">
        <v>195</v>
      </c>
      <c r="K29" s="7" t="s">
        <v>195</v>
      </c>
      <c r="L29" s="7" t="s">
        <v>195</v>
      </c>
      <c r="M29" s="7" t="s">
        <v>29</v>
      </c>
      <c r="N29" s="7" t="s">
        <v>29</v>
      </c>
      <c r="O29" s="7" t="s">
        <v>29</v>
      </c>
      <c r="P29" s="7" t="s">
        <v>29</v>
      </c>
      <c r="Q29" s="7" t="s">
        <v>29</v>
      </c>
      <c r="R29" s="7" t="s">
        <v>29</v>
      </c>
      <c r="S29" s="7" t="s">
        <v>29</v>
      </c>
    </row>
    <row r="30" spans="1:19">
      <c r="B30" s="7" t="s">
        <v>195</v>
      </c>
      <c r="C30" s="8" t="s">
        <v>195</v>
      </c>
      <c r="D30" s="6" t="str">
        <f>LRTRIM(CONCATENATE(IF(SUMPRODUCT(-- ISNUMBER(SEARCH({"Auto Number"}, $B30))) &gt; 0, $B30, IF(SUMPRODUCT(-- ISNUMBER(SEARCH({"Lookup","Master-Detail"}, $B30))) &gt; 0,$B30 &amp; "(" &amp; $E30 &amp; ")",IF(SUMPRODUCT(-- ISNUMBER(SEARCH({"Formula","Roll-Up Summary"}, $B30))) &gt; 0,$B30 &amp; " (" &amp; $E30 &amp; ")",IF(SUMPRODUCT(-- ISNUMBER(SEARCH({"Content","Currency","Number","Percent","Text","URL"}, $B30))) &gt; 0,$B30 &amp; "(" &amp; $C30 &amp; ")",$B30)))), "  ", TRIM(IF($S30 = "YES", "(External ID)", "") &amp; " " &amp; IF(SUMPRODUCT(-- ISNUMBER(SEARCH({"Unique","Unique Case Insensitive"}, $R30))) &gt; 0, "(" &amp; $R30 &amp; ")", ""))))</f>
        <v>na</v>
      </c>
      <c r="E30" s="7" t="s">
        <v>195</v>
      </c>
      <c r="F30" s="7" t="s">
        <v>195</v>
      </c>
      <c r="G30" s="7" t="s">
        <v>195</v>
      </c>
      <c r="H30" s="7" t="s">
        <v>195</v>
      </c>
      <c r="I30" s="7" t="s">
        <v>195</v>
      </c>
      <c r="J30" s="7" t="s">
        <v>195</v>
      </c>
      <c r="K30" s="7" t="s">
        <v>195</v>
      </c>
      <c r="L30" s="7" t="s">
        <v>195</v>
      </c>
      <c r="M30" s="7" t="s">
        <v>29</v>
      </c>
      <c r="N30" s="7" t="s">
        <v>29</v>
      </c>
      <c r="O30" s="7" t="s">
        <v>29</v>
      </c>
      <c r="P30" s="7" t="s">
        <v>29</v>
      </c>
      <c r="Q30" s="7" t="s">
        <v>29</v>
      </c>
      <c r="R30" s="7" t="s">
        <v>29</v>
      </c>
      <c r="S30" s="7" t="s">
        <v>29</v>
      </c>
    </row>
    <row r="31" spans="1:19">
      <c r="B31" s="7" t="s">
        <v>195</v>
      </c>
      <c r="C31" s="8" t="s">
        <v>195</v>
      </c>
      <c r="D31" s="6" t="str">
        <f>LRTRIM(CONCATENATE(IF(SUMPRODUCT(-- ISNUMBER(SEARCH({"Auto Number"}, $B31))) &gt; 0, $B31, IF(SUMPRODUCT(-- ISNUMBER(SEARCH({"Lookup","Master-Detail"}, $B31))) &gt; 0,$B31 &amp; "(" &amp; $E31 &amp; ")",IF(SUMPRODUCT(-- ISNUMBER(SEARCH({"Formula","Roll-Up Summary"}, $B31))) &gt; 0,$B31 &amp; " (" &amp; $E31 &amp; ")",IF(SUMPRODUCT(-- ISNUMBER(SEARCH({"Content","Currency","Number","Percent","Text","URL"}, $B31))) &gt; 0,$B31 &amp; "(" &amp; $C31 &amp; ")",$B31)))), "  ", TRIM(IF($S31 = "YES", "(External ID)", "") &amp; " " &amp; IF(SUMPRODUCT(-- ISNUMBER(SEARCH({"Unique","Unique Case Insensitive"}, $R31))) &gt; 0, "(" &amp; $R31 &amp; ")", ""))))</f>
        <v>na</v>
      </c>
      <c r="E31" s="7" t="s">
        <v>195</v>
      </c>
      <c r="F31" s="7" t="s">
        <v>195</v>
      </c>
      <c r="G31" s="7" t="s">
        <v>195</v>
      </c>
      <c r="H31" s="7" t="s">
        <v>195</v>
      </c>
      <c r="I31" s="7" t="s">
        <v>195</v>
      </c>
      <c r="J31" s="7" t="s">
        <v>195</v>
      </c>
      <c r="K31" s="7" t="s">
        <v>195</v>
      </c>
      <c r="L31" s="7" t="s">
        <v>195</v>
      </c>
      <c r="M31" s="7" t="s">
        <v>29</v>
      </c>
      <c r="N31" s="7" t="s">
        <v>29</v>
      </c>
      <c r="O31" s="7" t="s">
        <v>29</v>
      </c>
      <c r="P31" s="7" t="s">
        <v>29</v>
      </c>
      <c r="Q31" s="7" t="s">
        <v>29</v>
      </c>
      <c r="R31" s="7" t="s">
        <v>29</v>
      </c>
      <c r="S31" s="7" t="s">
        <v>29</v>
      </c>
    </row>
    <row r="32" spans="1:19">
      <c r="B32" s="7" t="s">
        <v>195</v>
      </c>
      <c r="C32" s="8" t="s">
        <v>195</v>
      </c>
      <c r="D32" s="6" t="str">
        <f>LRTRIM(CONCATENATE(IF(SUMPRODUCT(-- ISNUMBER(SEARCH({"Auto Number"}, $B32))) &gt; 0, $B32, IF(SUMPRODUCT(-- ISNUMBER(SEARCH({"Lookup","Master-Detail"}, $B32))) &gt; 0,$B32 &amp; "(" &amp; $E32 &amp; ")",IF(SUMPRODUCT(-- ISNUMBER(SEARCH({"Formula","Roll-Up Summary"}, $B32))) &gt; 0,$B32 &amp; " (" &amp; $E32 &amp; ")",IF(SUMPRODUCT(-- ISNUMBER(SEARCH({"Content","Currency","Number","Percent","Text","URL"}, $B32))) &gt; 0,$B32 &amp; "(" &amp; $C32 &amp; ")",$B32)))), "  ", TRIM(IF($S32 = "YES", "(External ID)", "") &amp; " " &amp; IF(SUMPRODUCT(-- ISNUMBER(SEARCH({"Unique","Unique Case Insensitive"}, $R32))) &gt; 0, "(" &amp; $R32 &amp; ")", ""))))</f>
        <v>na</v>
      </c>
      <c r="E32" s="7" t="s">
        <v>195</v>
      </c>
      <c r="F32" s="7" t="s">
        <v>195</v>
      </c>
      <c r="G32" s="7" t="s">
        <v>195</v>
      </c>
      <c r="H32" s="7" t="s">
        <v>195</v>
      </c>
      <c r="I32" s="7" t="s">
        <v>195</v>
      </c>
      <c r="J32" s="7" t="s">
        <v>195</v>
      </c>
      <c r="K32" s="7" t="s">
        <v>195</v>
      </c>
      <c r="L32" s="7" t="s">
        <v>195</v>
      </c>
      <c r="M32" s="7" t="s">
        <v>29</v>
      </c>
      <c r="N32" s="7" t="s">
        <v>29</v>
      </c>
      <c r="O32" s="7" t="s">
        <v>29</v>
      </c>
      <c r="P32" s="7" t="s">
        <v>29</v>
      </c>
      <c r="Q32" s="7" t="s">
        <v>29</v>
      </c>
      <c r="R32" s="7" t="s">
        <v>29</v>
      </c>
      <c r="S32" s="7" t="s">
        <v>29</v>
      </c>
    </row>
    <row r="33" spans="2:19">
      <c r="B33" s="7" t="s">
        <v>195</v>
      </c>
      <c r="C33" s="8" t="s">
        <v>195</v>
      </c>
      <c r="D33" s="6" t="str">
        <f>LRTRIM(CONCATENATE(IF(SUMPRODUCT(-- ISNUMBER(SEARCH({"Auto Number"}, $B33))) &gt; 0, $B33, IF(SUMPRODUCT(-- ISNUMBER(SEARCH({"Lookup","Master-Detail"}, $B33))) &gt; 0,$B33 &amp; "(" &amp; $E33 &amp; ")",IF(SUMPRODUCT(-- ISNUMBER(SEARCH({"Formula","Roll-Up Summary"}, $B33))) &gt; 0,$B33 &amp; " (" &amp; $E33 &amp; ")",IF(SUMPRODUCT(-- ISNUMBER(SEARCH({"Content","Currency","Number","Percent","Text","URL"}, $B33))) &gt; 0,$B33 &amp; "(" &amp; $C33 &amp; ")",$B33)))), "  ", TRIM(IF($S33 = "YES", "(External ID)", "") &amp; " " &amp; IF(SUMPRODUCT(-- ISNUMBER(SEARCH({"Unique","Unique Case Insensitive"}, $R33))) &gt; 0, "(" &amp; $R33 &amp; ")", ""))))</f>
        <v>na</v>
      </c>
      <c r="E33" s="7" t="s">
        <v>195</v>
      </c>
      <c r="F33" s="7" t="s">
        <v>195</v>
      </c>
      <c r="G33" s="7" t="s">
        <v>195</v>
      </c>
      <c r="H33" s="7" t="s">
        <v>195</v>
      </c>
      <c r="I33" s="7" t="s">
        <v>195</v>
      </c>
      <c r="J33" s="7" t="s">
        <v>195</v>
      </c>
      <c r="K33" s="7" t="s">
        <v>195</v>
      </c>
      <c r="L33" s="7" t="s">
        <v>195</v>
      </c>
      <c r="M33" s="7" t="s">
        <v>29</v>
      </c>
      <c r="N33" s="7" t="s">
        <v>29</v>
      </c>
      <c r="O33" s="7" t="s">
        <v>29</v>
      </c>
      <c r="P33" s="7" t="s">
        <v>29</v>
      </c>
      <c r="Q33" s="7" t="s">
        <v>29</v>
      </c>
      <c r="R33" s="7" t="s">
        <v>29</v>
      </c>
      <c r="S33" s="7" t="s">
        <v>29</v>
      </c>
    </row>
    <row r="34" spans="2:19">
      <c r="B34" s="7" t="s">
        <v>195</v>
      </c>
      <c r="C34" s="8" t="s">
        <v>195</v>
      </c>
      <c r="D34" s="6" t="str">
        <f>LRTRIM(CONCATENATE(IF(SUMPRODUCT(-- ISNUMBER(SEARCH({"Auto Number"}, $B34))) &gt; 0, $B34, IF(SUMPRODUCT(-- ISNUMBER(SEARCH({"Lookup","Master-Detail"}, $B34))) &gt; 0,$B34 &amp; "(" &amp; $E34 &amp; ")",IF(SUMPRODUCT(-- ISNUMBER(SEARCH({"Formula","Roll-Up Summary"}, $B34))) &gt; 0,$B34 &amp; " (" &amp; $E34 &amp; ")",IF(SUMPRODUCT(-- ISNUMBER(SEARCH({"Content","Currency","Number","Percent","Text","URL"}, $B34))) &gt; 0,$B34 &amp; "(" &amp; $C34 &amp; ")",$B34)))), "  ", TRIM(IF($S34 = "YES", "(External ID)", "") &amp; " " &amp; IF(SUMPRODUCT(-- ISNUMBER(SEARCH({"Unique","Unique Case Insensitive"}, $R34))) &gt; 0, "(" &amp; $R34 &amp; ")", ""))))</f>
        <v>na</v>
      </c>
      <c r="E34" s="7" t="s">
        <v>195</v>
      </c>
      <c r="F34" s="7" t="s">
        <v>195</v>
      </c>
      <c r="G34" s="7" t="s">
        <v>195</v>
      </c>
      <c r="H34" s="7" t="s">
        <v>195</v>
      </c>
      <c r="I34" s="7" t="s">
        <v>195</v>
      </c>
      <c r="J34" s="7" t="s">
        <v>195</v>
      </c>
      <c r="K34" s="7" t="s">
        <v>195</v>
      </c>
      <c r="L34" s="7" t="s">
        <v>195</v>
      </c>
      <c r="M34" s="7" t="s">
        <v>29</v>
      </c>
      <c r="N34" s="7" t="s">
        <v>29</v>
      </c>
      <c r="O34" s="7" t="s">
        <v>29</v>
      </c>
      <c r="P34" s="7" t="s">
        <v>29</v>
      </c>
      <c r="Q34" s="7" t="s">
        <v>29</v>
      </c>
      <c r="R34" s="7" t="s">
        <v>29</v>
      </c>
      <c r="S34" s="7" t="s">
        <v>29</v>
      </c>
    </row>
    <row r="35" spans="2:19">
      <c r="B35" s="7" t="s">
        <v>195</v>
      </c>
      <c r="C35" s="8" t="s">
        <v>195</v>
      </c>
      <c r="D35" s="6" t="str">
        <f>LRTRIM(CONCATENATE(IF(SUMPRODUCT(-- ISNUMBER(SEARCH({"Auto Number"}, $B35))) &gt; 0, $B35, IF(SUMPRODUCT(-- ISNUMBER(SEARCH({"Lookup","Master-Detail"}, $B35))) &gt; 0,$B35 &amp; "(" &amp; $E35 &amp; ")",IF(SUMPRODUCT(-- ISNUMBER(SEARCH({"Formula","Roll-Up Summary"}, $B35))) &gt; 0,$B35 &amp; " (" &amp; $E35 &amp; ")",IF(SUMPRODUCT(-- ISNUMBER(SEARCH({"Content","Currency","Number","Percent","Text","URL"}, $B35))) &gt; 0,$B35 &amp; "(" &amp; $C35 &amp; ")",$B35)))), "  ", TRIM(IF($S35 = "YES", "(External ID)", "") &amp; " " &amp; IF(SUMPRODUCT(-- ISNUMBER(SEARCH({"Unique","Unique Case Insensitive"}, $R35))) &gt; 0, "(" &amp; $R35 &amp; ")", ""))))</f>
        <v>na</v>
      </c>
      <c r="E35" s="7" t="s">
        <v>195</v>
      </c>
      <c r="F35" s="7" t="s">
        <v>195</v>
      </c>
      <c r="G35" s="7" t="s">
        <v>195</v>
      </c>
      <c r="H35" s="7" t="s">
        <v>195</v>
      </c>
      <c r="I35" s="7" t="s">
        <v>195</v>
      </c>
      <c r="J35" s="7" t="s">
        <v>195</v>
      </c>
      <c r="K35" s="7" t="s">
        <v>195</v>
      </c>
      <c r="L35" s="7" t="s">
        <v>195</v>
      </c>
      <c r="M35" s="7" t="s">
        <v>29</v>
      </c>
      <c r="N35" s="7" t="s">
        <v>29</v>
      </c>
      <c r="O35" s="7" t="s">
        <v>29</v>
      </c>
      <c r="P35" s="7" t="s">
        <v>29</v>
      </c>
      <c r="Q35" s="7" t="s">
        <v>29</v>
      </c>
      <c r="R35" s="7" t="s">
        <v>29</v>
      </c>
      <c r="S35" s="7" t="s">
        <v>29</v>
      </c>
    </row>
    <row r="36" spans="2:19">
      <c r="B36" s="7" t="s">
        <v>195</v>
      </c>
      <c r="C36" s="8" t="s">
        <v>195</v>
      </c>
      <c r="D36" s="6" t="str">
        <f>LRTRIM(CONCATENATE(IF(SUMPRODUCT(-- ISNUMBER(SEARCH({"Auto Number"}, $B36))) &gt; 0, $B36, IF(SUMPRODUCT(-- ISNUMBER(SEARCH({"Lookup","Master-Detail"}, $B36))) &gt; 0,$B36 &amp; "(" &amp; $E36 &amp; ")",IF(SUMPRODUCT(-- ISNUMBER(SEARCH({"Formula","Roll-Up Summary"}, $B36))) &gt; 0,$B36 &amp; " (" &amp; $E36 &amp; ")",IF(SUMPRODUCT(-- ISNUMBER(SEARCH({"Content","Currency","Number","Percent","Text","URL"}, $B36))) &gt; 0,$B36 &amp; "(" &amp; $C36 &amp; ")",$B36)))), "  ", TRIM(IF($S36 = "YES", "(External ID)", "") &amp; " " &amp; IF(SUMPRODUCT(-- ISNUMBER(SEARCH({"Unique","Unique Case Insensitive"}, $R36))) &gt; 0, "(" &amp; $R36 &amp; ")", ""))))</f>
        <v>na</v>
      </c>
      <c r="E36" s="7" t="s">
        <v>195</v>
      </c>
      <c r="F36" s="7" t="s">
        <v>195</v>
      </c>
      <c r="G36" s="7" t="s">
        <v>195</v>
      </c>
      <c r="H36" s="7" t="s">
        <v>195</v>
      </c>
      <c r="I36" s="7" t="s">
        <v>195</v>
      </c>
      <c r="J36" s="7" t="s">
        <v>195</v>
      </c>
      <c r="K36" s="7" t="s">
        <v>195</v>
      </c>
      <c r="L36" s="7" t="s">
        <v>195</v>
      </c>
      <c r="M36" s="7" t="s">
        <v>29</v>
      </c>
      <c r="N36" s="7" t="s">
        <v>29</v>
      </c>
      <c r="O36" s="7" t="s">
        <v>29</v>
      </c>
      <c r="P36" s="7" t="s">
        <v>29</v>
      </c>
      <c r="Q36" s="7" t="s">
        <v>29</v>
      </c>
      <c r="R36" s="7" t="s">
        <v>29</v>
      </c>
      <c r="S36" s="7" t="s">
        <v>29</v>
      </c>
    </row>
    <row r="37" spans="2:19">
      <c r="B37" s="7" t="s">
        <v>195</v>
      </c>
      <c r="C37" s="8" t="s">
        <v>195</v>
      </c>
      <c r="D37" s="6" t="str">
        <f>LRTRIM(CONCATENATE(IF(SUMPRODUCT(-- ISNUMBER(SEARCH({"Auto Number"}, $B37))) &gt; 0, $B37, IF(SUMPRODUCT(-- ISNUMBER(SEARCH({"Lookup","Master-Detail"}, $B37))) &gt; 0,$B37 &amp; "(" &amp; $E37 &amp; ")",IF(SUMPRODUCT(-- ISNUMBER(SEARCH({"Formula","Roll-Up Summary"}, $B37))) &gt; 0,$B37 &amp; " (" &amp; $E37 &amp; ")",IF(SUMPRODUCT(-- ISNUMBER(SEARCH({"Content","Currency","Number","Percent","Text","URL"}, $B37))) &gt; 0,$B37 &amp; "(" &amp; $C37 &amp; ")",$B37)))), "  ", TRIM(IF($S37 = "YES", "(External ID)", "") &amp; " " &amp; IF(SUMPRODUCT(-- ISNUMBER(SEARCH({"Unique","Unique Case Insensitive"}, $R37))) &gt; 0, "(" &amp; $R37 &amp; ")", ""))))</f>
        <v>na</v>
      </c>
      <c r="E37" s="7" t="s">
        <v>195</v>
      </c>
      <c r="F37" s="7" t="s">
        <v>195</v>
      </c>
      <c r="G37" s="7" t="s">
        <v>195</v>
      </c>
      <c r="H37" s="7" t="s">
        <v>195</v>
      </c>
      <c r="I37" s="7" t="s">
        <v>195</v>
      </c>
      <c r="J37" s="7" t="s">
        <v>195</v>
      </c>
      <c r="K37" s="7" t="s">
        <v>195</v>
      </c>
      <c r="L37" s="7" t="s">
        <v>195</v>
      </c>
      <c r="M37" s="7" t="s">
        <v>29</v>
      </c>
      <c r="N37" s="7" t="s">
        <v>29</v>
      </c>
      <c r="O37" s="7" t="s">
        <v>29</v>
      </c>
      <c r="P37" s="7" t="s">
        <v>29</v>
      </c>
      <c r="Q37" s="7" t="s">
        <v>29</v>
      </c>
      <c r="R37" s="7" t="s">
        <v>29</v>
      </c>
      <c r="S37" s="7" t="s">
        <v>29</v>
      </c>
    </row>
    <row r="38" spans="2:19">
      <c r="B38" s="7" t="s">
        <v>195</v>
      </c>
      <c r="C38" s="8" t="s">
        <v>195</v>
      </c>
      <c r="D38" s="6" t="str">
        <f>LRTRIM(CONCATENATE(IF(SUMPRODUCT(-- ISNUMBER(SEARCH({"Auto Number"}, $B38))) &gt; 0, $B38, IF(SUMPRODUCT(-- ISNUMBER(SEARCH({"Lookup","Master-Detail"}, $B38))) &gt; 0,$B38 &amp; "(" &amp; $E38 &amp; ")",IF(SUMPRODUCT(-- ISNUMBER(SEARCH({"Formula","Roll-Up Summary"}, $B38))) &gt; 0,$B38 &amp; " (" &amp; $E38 &amp; ")",IF(SUMPRODUCT(-- ISNUMBER(SEARCH({"Content","Currency","Number","Percent","Text","URL"}, $B38))) &gt; 0,$B38 &amp; "(" &amp; $C38 &amp; ")",$B38)))), "  ", TRIM(IF($S38 = "YES", "(External ID)", "") &amp; " " &amp; IF(SUMPRODUCT(-- ISNUMBER(SEARCH({"Unique","Unique Case Insensitive"}, $R38))) &gt; 0, "(" &amp; $R38 &amp; ")", ""))))</f>
        <v>na</v>
      </c>
      <c r="E38" s="7" t="s">
        <v>195</v>
      </c>
      <c r="F38" s="7" t="s">
        <v>195</v>
      </c>
      <c r="G38" s="7" t="s">
        <v>195</v>
      </c>
      <c r="H38" s="7" t="s">
        <v>195</v>
      </c>
      <c r="I38" s="7" t="s">
        <v>195</v>
      </c>
      <c r="J38" s="7" t="s">
        <v>195</v>
      </c>
      <c r="K38" s="7" t="s">
        <v>195</v>
      </c>
      <c r="L38" s="7" t="s">
        <v>195</v>
      </c>
      <c r="M38" s="7" t="s">
        <v>29</v>
      </c>
      <c r="N38" s="7" t="s">
        <v>29</v>
      </c>
      <c r="O38" s="7" t="s">
        <v>29</v>
      </c>
      <c r="P38" s="7" t="s">
        <v>29</v>
      </c>
      <c r="Q38" s="7" t="s">
        <v>29</v>
      </c>
      <c r="R38" s="7" t="s">
        <v>29</v>
      </c>
      <c r="S38" s="7" t="s">
        <v>29</v>
      </c>
    </row>
    <row r="39" spans="2:19">
      <c r="B39" s="7" t="s">
        <v>195</v>
      </c>
      <c r="C39" s="8" t="s">
        <v>195</v>
      </c>
      <c r="D39" s="6" t="str">
        <f>LRTRIM(CONCATENATE(IF(SUMPRODUCT(-- ISNUMBER(SEARCH({"Auto Number"}, $B39))) &gt; 0, $B39, IF(SUMPRODUCT(-- ISNUMBER(SEARCH({"Lookup","Master-Detail"}, $B39))) &gt; 0,$B39 &amp; "(" &amp; $E39 &amp; ")",IF(SUMPRODUCT(-- ISNUMBER(SEARCH({"Formula","Roll-Up Summary"}, $B39))) &gt; 0,$B39 &amp; " (" &amp; $E39 &amp; ")",IF(SUMPRODUCT(-- ISNUMBER(SEARCH({"Content","Currency","Number","Percent","Text","URL"}, $B39))) &gt; 0,$B39 &amp; "(" &amp; $C39 &amp; ")",$B39)))), "  ", TRIM(IF($S39 = "YES", "(External ID)", "") &amp; " " &amp; IF(SUMPRODUCT(-- ISNUMBER(SEARCH({"Unique","Unique Case Insensitive"}, $R39))) &gt; 0, "(" &amp; $R39 &amp; ")", ""))))</f>
        <v>na</v>
      </c>
      <c r="E39" s="7" t="s">
        <v>195</v>
      </c>
      <c r="F39" s="7" t="s">
        <v>195</v>
      </c>
      <c r="G39" s="7" t="s">
        <v>195</v>
      </c>
      <c r="H39" s="7" t="s">
        <v>195</v>
      </c>
      <c r="I39" s="7" t="s">
        <v>195</v>
      </c>
      <c r="J39" s="7" t="s">
        <v>195</v>
      </c>
      <c r="K39" s="7" t="s">
        <v>195</v>
      </c>
      <c r="L39" s="7" t="s">
        <v>195</v>
      </c>
      <c r="M39" s="7" t="s">
        <v>29</v>
      </c>
      <c r="N39" s="7" t="s">
        <v>29</v>
      </c>
      <c r="O39" s="7" t="s">
        <v>29</v>
      </c>
      <c r="P39" s="7" t="s">
        <v>29</v>
      </c>
      <c r="Q39" s="7" t="s">
        <v>29</v>
      </c>
      <c r="R39" s="7" t="s">
        <v>29</v>
      </c>
      <c r="S39" s="7" t="s">
        <v>29</v>
      </c>
    </row>
    <row r="40" spans="2:19">
      <c r="B40" s="7" t="s">
        <v>195</v>
      </c>
      <c r="C40" s="8" t="s">
        <v>195</v>
      </c>
      <c r="D40" s="6" t="str">
        <f>LRTRIM(CONCATENATE(IF(SUMPRODUCT(-- ISNUMBER(SEARCH({"Auto Number"}, $B40))) &gt; 0, $B40, IF(SUMPRODUCT(-- ISNUMBER(SEARCH({"Lookup","Master-Detail"}, $B40))) &gt; 0,$B40 &amp; "(" &amp; $E40 &amp; ")",IF(SUMPRODUCT(-- ISNUMBER(SEARCH({"Formula","Roll-Up Summary"}, $B40))) &gt; 0,$B40 &amp; " (" &amp; $E40 &amp; ")",IF(SUMPRODUCT(-- ISNUMBER(SEARCH({"Content","Currency","Number","Percent","Text","URL"}, $B40))) &gt; 0,$B40 &amp; "(" &amp; $C40 &amp; ")",$B40)))), "  ", TRIM(IF($S40 = "YES", "(External ID)", "") &amp; " " &amp; IF(SUMPRODUCT(-- ISNUMBER(SEARCH({"Unique","Unique Case Insensitive"}, $R40))) &gt; 0, "(" &amp; $R40 &amp; ")", ""))))</f>
        <v>na</v>
      </c>
      <c r="E40" s="7" t="s">
        <v>195</v>
      </c>
      <c r="F40" s="7" t="s">
        <v>195</v>
      </c>
      <c r="G40" s="7" t="s">
        <v>195</v>
      </c>
      <c r="H40" s="7" t="s">
        <v>195</v>
      </c>
      <c r="I40" s="7" t="s">
        <v>195</v>
      </c>
      <c r="J40" s="7" t="s">
        <v>195</v>
      </c>
      <c r="K40" s="7" t="s">
        <v>195</v>
      </c>
      <c r="L40" s="7" t="s">
        <v>195</v>
      </c>
      <c r="M40" s="7" t="s">
        <v>29</v>
      </c>
      <c r="N40" s="7" t="s">
        <v>29</v>
      </c>
      <c r="O40" s="7" t="s">
        <v>29</v>
      </c>
      <c r="P40" s="7" t="s">
        <v>29</v>
      </c>
      <c r="Q40" s="7" t="s">
        <v>29</v>
      </c>
      <c r="R40" s="7" t="s">
        <v>29</v>
      </c>
      <c r="S40" s="7" t="s">
        <v>29</v>
      </c>
    </row>
    <row r="41" spans="2:19">
      <c r="B41" s="7" t="s">
        <v>195</v>
      </c>
      <c r="C41" s="8" t="s">
        <v>195</v>
      </c>
      <c r="D41" s="6" t="str">
        <f>LRTRIM(CONCATENATE(IF(SUMPRODUCT(-- ISNUMBER(SEARCH({"Auto Number"}, $B41))) &gt; 0, $B41, IF(SUMPRODUCT(-- ISNUMBER(SEARCH({"Lookup","Master-Detail"}, $B41))) &gt; 0,$B41 &amp; "(" &amp; $E41 &amp; ")",IF(SUMPRODUCT(-- ISNUMBER(SEARCH({"Formula","Roll-Up Summary"}, $B41))) &gt; 0,$B41 &amp; " (" &amp; $E41 &amp; ")",IF(SUMPRODUCT(-- ISNUMBER(SEARCH({"Content","Currency","Number","Percent","Text","URL"}, $B41))) &gt; 0,$B41 &amp; "(" &amp; $C41 &amp; ")",$B41)))), "  ", TRIM(IF($S41 = "YES", "(External ID)", "") &amp; " " &amp; IF(SUMPRODUCT(-- ISNUMBER(SEARCH({"Unique","Unique Case Insensitive"}, $R41))) &gt; 0, "(" &amp; $R41 &amp; ")", ""))))</f>
        <v>na</v>
      </c>
      <c r="E41" s="7" t="s">
        <v>195</v>
      </c>
      <c r="F41" s="7" t="s">
        <v>195</v>
      </c>
      <c r="G41" s="7" t="s">
        <v>195</v>
      </c>
      <c r="H41" s="7" t="s">
        <v>195</v>
      </c>
      <c r="I41" s="7" t="s">
        <v>195</v>
      </c>
      <c r="J41" s="7" t="s">
        <v>195</v>
      </c>
      <c r="K41" s="7" t="s">
        <v>195</v>
      </c>
      <c r="L41" s="7" t="s">
        <v>195</v>
      </c>
      <c r="M41" s="7" t="s">
        <v>29</v>
      </c>
      <c r="N41" s="7" t="s">
        <v>29</v>
      </c>
      <c r="O41" s="7" t="s">
        <v>29</v>
      </c>
      <c r="P41" s="7" t="s">
        <v>29</v>
      </c>
      <c r="Q41" s="7" t="s">
        <v>29</v>
      </c>
      <c r="R41" s="7" t="s">
        <v>29</v>
      </c>
      <c r="S41" s="7" t="s">
        <v>29</v>
      </c>
    </row>
    <row r="42" spans="2:19">
      <c r="B42" s="7" t="s">
        <v>195</v>
      </c>
      <c r="C42" s="8" t="s">
        <v>195</v>
      </c>
      <c r="D42" s="6" t="str">
        <f>LRTRIM(CONCATENATE(IF(SUMPRODUCT(-- ISNUMBER(SEARCH({"Auto Number"}, $B42))) &gt; 0, $B42, IF(SUMPRODUCT(-- ISNUMBER(SEARCH({"Lookup","Master-Detail"}, $B42))) &gt; 0,$B42 &amp; "(" &amp; $E42 &amp; ")",IF(SUMPRODUCT(-- ISNUMBER(SEARCH({"Formula","Roll-Up Summary"}, $B42))) &gt; 0,$B42 &amp; " (" &amp; $E42 &amp; ")",IF(SUMPRODUCT(-- ISNUMBER(SEARCH({"Content","Currency","Number","Percent","Text","URL"}, $B42))) &gt; 0,$B42 &amp; "(" &amp; $C42 &amp; ")",$B42)))), "  ", TRIM(IF($S42 = "YES", "(External ID)", "") &amp; " " &amp; IF(SUMPRODUCT(-- ISNUMBER(SEARCH({"Unique","Unique Case Insensitive"}, $R42))) &gt; 0, "(" &amp; $R42 &amp; ")", ""))))</f>
        <v>na</v>
      </c>
      <c r="E42" s="7" t="s">
        <v>195</v>
      </c>
      <c r="F42" s="7" t="s">
        <v>195</v>
      </c>
      <c r="G42" s="7" t="s">
        <v>195</v>
      </c>
      <c r="H42" s="7" t="s">
        <v>195</v>
      </c>
      <c r="I42" s="7" t="s">
        <v>195</v>
      </c>
      <c r="J42" s="7" t="s">
        <v>195</v>
      </c>
      <c r="K42" s="7" t="s">
        <v>195</v>
      </c>
      <c r="L42" s="7" t="s">
        <v>195</v>
      </c>
      <c r="M42" s="7" t="s">
        <v>29</v>
      </c>
      <c r="N42" s="7" t="s">
        <v>29</v>
      </c>
      <c r="O42" s="7" t="s">
        <v>29</v>
      </c>
      <c r="P42" s="7" t="s">
        <v>29</v>
      </c>
      <c r="Q42" s="7" t="s">
        <v>29</v>
      </c>
      <c r="R42" s="7" t="s">
        <v>29</v>
      </c>
      <c r="S42" s="7" t="s">
        <v>29</v>
      </c>
    </row>
    <row r="43" spans="2:19">
      <c r="B43" s="7" t="s">
        <v>195</v>
      </c>
      <c r="C43" s="8" t="s">
        <v>195</v>
      </c>
      <c r="D43" s="6" t="str">
        <f>LRTRIM(CONCATENATE(IF(SUMPRODUCT(-- ISNUMBER(SEARCH({"Auto Number"}, $B43))) &gt; 0, $B43, IF(SUMPRODUCT(-- ISNUMBER(SEARCH({"Lookup","Master-Detail"}, $B43))) &gt; 0,$B43 &amp; "(" &amp; $E43 &amp; ")",IF(SUMPRODUCT(-- ISNUMBER(SEARCH({"Formula","Roll-Up Summary"}, $B43))) &gt; 0,$B43 &amp; " (" &amp; $E43 &amp; ")",IF(SUMPRODUCT(-- ISNUMBER(SEARCH({"Content","Currency","Number","Percent","Text","URL"}, $B43))) &gt; 0,$B43 &amp; "(" &amp; $C43 &amp; ")",$B43)))), "  ", TRIM(IF($S43 = "YES", "(External ID)", "") &amp; " " &amp; IF(SUMPRODUCT(-- ISNUMBER(SEARCH({"Unique","Unique Case Insensitive"}, $R43))) &gt; 0, "(" &amp; $R43 &amp; ")", ""))))</f>
        <v>na</v>
      </c>
      <c r="E43" s="7" t="s">
        <v>195</v>
      </c>
      <c r="F43" s="7" t="s">
        <v>195</v>
      </c>
      <c r="G43" s="7" t="s">
        <v>195</v>
      </c>
      <c r="H43" s="7" t="s">
        <v>195</v>
      </c>
      <c r="I43" s="7" t="s">
        <v>195</v>
      </c>
      <c r="J43" s="7" t="s">
        <v>195</v>
      </c>
      <c r="K43" s="7" t="s">
        <v>195</v>
      </c>
      <c r="L43" s="7" t="s">
        <v>195</v>
      </c>
      <c r="M43" s="7" t="s">
        <v>29</v>
      </c>
      <c r="N43" s="7" t="s">
        <v>29</v>
      </c>
      <c r="O43" s="7" t="s">
        <v>29</v>
      </c>
      <c r="P43" s="7" t="s">
        <v>29</v>
      </c>
      <c r="Q43" s="7" t="s">
        <v>29</v>
      </c>
      <c r="R43" s="7" t="s">
        <v>29</v>
      </c>
      <c r="S43" s="7" t="s">
        <v>29</v>
      </c>
    </row>
    <row r="44" spans="2:19">
      <c r="B44" s="7" t="s">
        <v>195</v>
      </c>
      <c r="C44" s="8" t="s">
        <v>195</v>
      </c>
      <c r="D44" s="6" t="str">
        <f>LRTRIM(CONCATENATE(IF(SUMPRODUCT(-- ISNUMBER(SEARCH({"Auto Number"}, $B44))) &gt; 0, $B44, IF(SUMPRODUCT(-- ISNUMBER(SEARCH({"Lookup","Master-Detail"}, $B44))) &gt; 0,$B44 &amp; "(" &amp; $E44 &amp; ")",IF(SUMPRODUCT(-- ISNUMBER(SEARCH({"Formula","Roll-Up Summary"}, $B44))) &gt; 0,$B44 &amp; " (" &amp; $E44 &amp; ")",IF(SUMPRODUCT(-- ISNUMBER(SEARCH({"Content","Currency","Number","Percent","Text","URL"}, $B44))) &gt; 0,$B44 &amp; "(" &amp; $C44 &amp; ")",$B44)))), "  ", TRIM(IF($S44 = "YES", "(External ID)", "") &amp; " " &amp; IF(SUMPRODUCT(-- ISNUMBER(SEARCH({"Unique","Unique Case Insensitive"}, $R44))) &gt; 0, "(" &amp; $R44 &amp; ")", ""))))</f>
        <v>na</v>
      </c>
      <c r="E44" s="7" t="s">
        <v>195</v>
      </c>
      <c r="F44" s="7" t="s">
        <v>195</v>
      </c>
      <c r="G44" s="7" t="s">
        <v>195</v>
      </c>
      <c r="H44" s="7" t="s">
        <v>195</v>
      </c>
      <c r="I44" s="7" t="s">
        <v>195</v>
      </c>
      <c r="J44" s="7" t="s">
        <v>195</v>
      </c>
      <c r="K44" s="7" t="s">
        <v>195</v>
      </c>
      <c r="L44" s="7" t="s">
        <v>195</v>
      </c>
      <c r="M44" s="7" t="s">
        <v>29</v>
      </c>
      <c r="N44" s="7" t="s">
        <v>29</v>
      </c>
      <c r="O44" s="7" t="s">
        <v>29</v>
      </c>
      <c r="P44" s="7" t="s">
        <v>29</v>
      </c>
      <c r="Q44" s="7" t="s">
        <v>29</v>
      </c>
      <c r="R44" s="7" t="s">
        <v>29</v>
      </c>
      <c r="S44" s="7" t="s">
        <v>29</v>
      </c>
    </row>
    <row r="45" spans="2:19">
      <c r="B45" s="7" t="s">
        <v>195</v>
      </c>
      <c r="C45" s="8" t="s">
        <v>195</v>
      </c>
      <c r="D45" s="6" t="str">
        <f>LRTRIM(CONCATENATE(IF(SUMPRODUCT(-- ISNUMBER(SEARCH({"Auto Number"}, $B45))) &gt; 0, $B45, IF(SUMPRODUCT(-- ISNUMBER(SEARCH({"Lookup","Master-Detail"}, $B45))) &gt; 0,$B45 &amp; "(" &amp; $E45 &amp; ")",IF(SUMPRODUCT(-- ISNUMBER(SEARCH({"Formula","Roll-Up Summary"}, $B45))) &gt; 0,$B45 &amp; " (" &amp; $E45 &amp; ")",IF(SUMPRODUCT(-- ISNUMBER(SEARCH({"Content","Currency","Number","Percent","Text","URL"}, $B45))) &gt; 0,$B45 &amp; "(" &amp; $C45 &amp; ")",$B45)))), "  ", TRIM(IF($S45 = "YES", "(External ID)", "") &amp; " " &amp; IF(SUMPRODUCT(-- ISNUMBER(SEARCH({"Unique","Unique Case Insensitive"}, $R45))) &gt; 0, "(" &amp; $R45 &amp; ")", ""))))</f>
        <v>na</v>
      </c>
      <c r="E45" s="7" t="s">
        <v>195</v>
      </c>
      <c r="F45" s="7" t="s">
        <v>195</v>
      </c>
      <c r="G45" s="7" t="s">
        <v>195</v>
      </c>
      <c r="H45" s="7" t="s">
        <v>195</v>
      </c>
      <c r="I45" s="7" t="s">
        <v>195</v>
      </c>
      <c r="J45" s="7" t="s">
        <v>195</v>
      </c>
      <c r="K45" s="7" t="s">
        <v>195</v>
      </c>
      <c r="L45" s="7" t="s">
        <v>195</v>
      </c>
      <c r="M45" s="7" t="s">
        <v>29</v>
      </c>
      <c r="N45" s="7" t="s">
        <v>29</v>
      </c>
      <c r="O45" s="7" t="s">
        <v>29</v>
      </c>
      <c r="P45" s="7" t="s">
        <v>29</v>
      </c>
      <c r="Q45" s="7" t="s">
        <v>29</v>
      </c>
      <c r="R45" s="7" t="s">
        <v>29</v>
      </c>
      <c r="S45" s="7" t="s">
        <v>29</v>
      </c>
    </row>
    <row r="46" spans="2:19">
      <c r="B46" s="7" t="s">
        <v>195</v>
      </c>
      <c r="C46" s="8" t="s">
        <v>195</v>
      </c>
      <c r="D46" s="6" t="str">
        <f>LRTRIM(CONCATENATE(IF(SUMPRODUCT(-- ISNUMBER(SEARCH({"Auto Number"}, $B46))) &gt; 0, $B46, IF(SUMPRODUCT(-- ISNUMBER(SEARCH({"Lookup","Master-Detail"}, $B46))) &gt; 0,$B46 &amp; "(" &amp; $E46 &amp; ")",IF(SUMPRODUCT(-- ISNUMBER(SEARCH({"Formula","Roll-Up Summary"}, $B46))) &gt; 0,$B46 &amp; " (" &amp; $E46 &amp; ")",IF(SUMPRODUCT(-- ISNUMBER(SEARCH({"Content","Currency","Number","Percent","Text","URL"}, $B46))) &gt; 0,$B46 &amp; "(" &amp; $C46 &amp; ")",$B46)))), "  ", TRIM(IF($S46 = "YES", "(External ID)", "") &amp; " " &amp; IF(SUMPRODUCT(-- ISNUMBER(SEARCH({"Unique","Unique Case Insensitive"}, $R46))) &gt; 0, "(" &amp; $R46 &amp; ")", ""))))</f>
        <v>na</v>
      </c>
      <c r="E46" s="7" t="s">
        <v>195</v>
      </c>
      <c r="F46" s="7" t="s">
        <v>195</v>
      </c>
      <c r="G46" s="7" t="s">
        <v>195</v>
      </c>
      <c r="H46" s="7" t="s">
        <v>195</v>
      </c>
      <c r="I46" s="7" t="s">
        <v>195</v>
      </c>
      <c r="J46" s="7" t="s">
        <v>195</v>
      </c>
      <c r="K46" s="7" t="s">
        <v>195</v>
      </c>
      <c r="L46" s="7" t="s">
        <v>195</v>
      </c>
      <c r="M46" s="7" t="s">
        <v>29</v>
      </c>
      <c r="N46" s="7" t="s">
        <v>29</v>
      </c>
      <c r="O46" s="7" t="s">
        <v>29</v>
      </c>
      <c r="P46" s="7" t="s">
        <v>29</v>
      </c>
      <c r="Q46" s="7" t="s">
        <v>29</v>
      </c>
      <c r="R46" s="7" t="s">
        <v>29</v>
      </c>
      <c r="S46" s="7" t="s">
        <v>29</v>
      </c>
    </row>
    <row r="47" spans="2:19">
      <c r="B47" s="7" t="s">
        <v>195</v>
      </c>
      <c r="C47" s="8" t="s">
        <v>195</v>
      </c>
      <c r="D47" s="6" t="str">
        <f>LRTRIM(CONCATENATE(IF(SUMPRODUCT(-- ISNUMBER(SEARCH({"Auto Number"}, $B47))) &gt; 0, $B47, IF(SUMPRODUCT(-- ISNUMBER(SEARCH({"Lookup","Master-Detail"}, $B47))) &gt; 0,$B47 &amp; "(" &amp; $E47 &amp; ")",IF(SUMPRODUCT(-- ISNUMBER(SEARCH({"Formula","Roll-Up Summary"}, $B47))) &gt; 0,$B47 &amp; " (" &amp; $E47 &amp; ")",IF(SUMPRODUCT(-- ISNUMBER(SEARCH({"Content","Currency","Number","Percent","Text","URL"}, $B47))) &gt; 0,$B47 &amp; "(" &amp; $C47 &amp; ")",$B47)))), "  ", TRIM(IF($S47 = "YES", "(External ID)", "") &amp; " " &amp; IF(SUMPRODUCT(-- ISNUMBER(SEARCH({"Unique","Unique Case Insensitive"}, $R47))) &gt; 0, "(" &amp; $R47 &amp; ")", ""))))</f>
        <v>na</v>
      </c>
      <c r="E47" s="7" t="s">
        <v>195</v>
      </c>
      <c r="F47" s="7" t="s">
        <v>195</v>
      </c>
      <c r="G47" s="7" t="s">
        <v>195</v>
      </c>
      <c r="H47" s="7" t="s">
        <v>195</v>
      </c>
      <c r="I47" s="7" t="s">
        <v>195</v>
      </c>
      <c r="J47" s="7" t="s">
        <v>195</v>
      </c>
      <c r="K47" s="7" t="s">
        <v>195</v>
      </c>
      <c r="L47" s="7" t="s">
        <v>195</v>
      </c>
      <c r="M47" s="7" t="s">
        <v>29</v>
      </c>
      <c r="N47" s="7" t="s">
        <v>29</v>
      </c>
      <c r="O47" s="7" t="s">
        <v>29</v>
      </c>
      <c r="P47" s="7" t="s">
        <v>29</v>
      </c>
      <c r="Q47" s="7" t="s">
        <v>29</v>
      </c>
      <c r="R47" s="7" t="s">
        <v>29</v>
      </c>
      <c r="S47" s="7" t="s">
        <v>29</v>
      </c>
    </row>
    <row r="48" spans="2:19">
      <c r="B48" s="7" t="s">
        <v>195</v>
      </c>
      <c r="C48" s="8" t="s">
        <v>195</v>
      </c>
      <c r="D48" s="6" t="str">
        <f>LRTRIM(CONCATENATE(IF(SUMPRODUCT(-- ISNUMBER(SEARCH({"Auto Number"}, $B48))) &gt; 0, $B48, IF(SUMPRODUCT(-- ISNUMBER(SEARCH({"Lookup","Master-Detail"}, $B48))) &gt; 0,$B48 &amp; "(" &amp; $E48 &amp; ")",IF(SUMPRODUCT(-- ISNUMBER(SEARCH({"Formula","Roll-Up Summary"}, $B48))) &gt; 0,$B48 &amp; " (" &amp; $E48 &amp; ")",IF(SUMPRODUCT(-- ISNUMBER(SEARCH({"Content","Currency","Number","Percent","Text","URL"}, $B48))) &gt; 0,$B48 &amp; "(" &amp; $C48 &amp; ")",$B48)))), "  ", TRIM(IF($S48 = "YES", "(External ID)", "") &amp; " " &amp; IF(SUMPRODUCT(-- ISNUMBER(SEARCH({"Unique","Unique Case Insensitive"}, $R48))) &gt; 0, "(" &amp; $R48 &amp; ")", ""))))</f>
        <v>na</v>
      </c>
      <c r="E48" s="7" t="s">
        <v>195</v>
      </c>
      <c r="F48" s="7" t="s">
        <v>195</v>
      </c>
      <c r="G48" s="7" t="s">
        <v>195</v>
      </c>
      <c r="H48" s="7" t="s">
        <v>195</v>
      </c>
      <c r="I48" s="7" t="s">
        <v>195</v>
      </c>
      <c r="J48" s="7" t="s">
        <v>195</v>
      </c>
      <c r="K48" s="7" t="s">
        <v>195</v>
      </c>
      <c r="L48" s="7" t="s">
        <v>195</v>
      </c>
      <c r="M48" s="7" t="s">
        <v>29</v>
      </c>
      <c r="N48" s="7" t="s">
        <v>29</v>
      </c>
      <c r="O48" s="7" t="s">
        <v>29</v>
      </c>
      <c r="P48" s="7" t="s">
        <v>29</v>
      </c>
      <c r="Q48" s="7" t="s">
        <v>29</v>
      </c>
      <c r="R48" s="7" t="s">
        <v>29</v>
      </c>
      <c r="S48" s="7" t="s">
        <v>29</v>
      </c>
    </row>
    <row r="49" spans="2:19">
      <c r="B49" s="7" t="s">
        <v>195</v>
      </c>
      <c r="C49" s="8" t="s">
        <v>195</v>
      </c>
      <c r="D49" s="6" t="str">
        <f>LRTRIM(CONCATENATE(IF(SUMPRODUCT(-- ISNUMBER(SEARCH({"Auto Number"}, $B49))) &gt; 0, $B49, IF(SUMPRODUCT(-- ISNUMBER(SEARCH({"Lookup","Master-Detail"}, $B49))) &gt; 0,$B49 &amp; "(" &amp; $E49 &amp; ")",IF(SUMPRODUCT(-- ISNUMBER(SEARCH({"Formula","Roll-Up Summary"}, $B49))) &gt; 0,$B49 &amp; " (" &amp; $E49 &amp; ")",IF(SUMPRODUCT(-- ISNUMBER(SEARCH({"Content","Currency","Number","Percent","Text","URL"}, $B49))) &gt; 0,$B49 &amp; "(" &amp; $C49 &amp; ")",$B49)))), "  ", TRIM(IF($S49 = "YES", "(External ID)", "") &amp; " " &amp; IF(SUMPRODUCT(-- ISNUMBER(SEARCH({"Unique","Unique Case Insensitive"}, $R49))) &gt; 0, "(" &amp; $R49 &amp; ")", ""))))</f>
        <v>na</v>
      </c>
      <c r="E49" s="7" t="s">
        <v>195</v>
      </c>
      <c r="F49" s="7" t="s">
        <v>195</v>
      </c>
      <c r="G49" s="7" t="s">
        <v>195</v>
      </c>
      <c r="H49" s="7" t="s">
        <v>195</v>
      </c>
      <c r="I49" s="7" t="s">
        <v>195</v>
      </c>
      <c r="J49" s="7" t="s">
        <v>195</v>
      </c>
      <c r="K49" s="7" t="s">
        <v>195</v>
      </c>
      <c r="L49" s="7" t="s">
        <v>195</v>
      </c>
      <c r="M49" s="7" t="s">
        <v>29</v>
      </c>
      <c r="N49" s="7" t="s">
        <v>29</v>
      </c>
      <c r="O49" s="7" t="s">
        <v>29</v>
      </c>
      <c r="P49" s="7" t="s">
        <v>29</v>
      </c>
      <c r="Q49" s="7" t="s">
        <v>29</v>
      </c>
      <c r="R49" s="7" t="s">
        <v>29</v>
      </c>
      <c r="S49" s="7" t="s">
        <v>29</v>
      </c>
    </row>
    <row r="50" spans="2:19">
      <c r="B50" s="7" t="s">
        <v>195</v>
      </c>
      <c r="C50" s="8" t="s">
        <v>195</v>
      </c>
      <c r="D50" s="6" t="str">
        <f>LRTRIM(CONCATENATE(IF(SUMPRODUCT(-- ISNUMBER(SEARCH({"Auto Number"}, $B50))) &gt; 0, $B50, IF(SUMPRODUCT(-- ISNUMBER(SEARCH({"Lookup","Master-Detail"}, $B50))) &gt; 0,$B50 &amp; "(" &amp; $E50 &amp; ")",IF(SUMPRODUCT(-- ISNUMBER(SEARCH({"Formula","Roll-Up Summary"}, $B50))) &gt; 0,$B50 &amp; " (" &amp; $E50 &amp; ")",IF(SUMPRODUCT(-- ISNUMBER(SEARCH({"Content","Currency","Number","Percent","Text","URL"}, $B50))) &gt; 0,$B50 &amp; "(" &amp; $C50 &amp; ")",$B50)))), "  ", TRIM(IF($S50 = "YES", "(External ID)", "") &amp; " " &amp; IF(SUMPRODUCT(-- ISNUMBER(SEARCH({"Unique","Unique Case Insensitive"}, $R50))) &gt; 0, "(" &amp; $R50 &amp; ")", ""))))</f>
        <v>na</v>
      </c>
      <c r="E50" s="7" t="s">
        <v>195</v>
      </c>
      <c r="F50" s="7" t="s">
        <v>195</v>
      </c>
      <c r="G50" s="7" t="s">
        <v>195</v>
      </c>
      <c r="H50" s="7" t="s">
        <v>195</v>
      </c>
      <c r="I50" s="7" t="s">
        <v>195</v>
      </c>
      <c r="J50" s="7" t="s">
        <v>195</v>
      </c>
      <c r="K50" s="7" t="s">
        <v>195</v>
      </c>
      <c r="L50" s="7" t="s">
        <v>195</v>
      </c>
      <c r="M50" s="7" t="s">
        <v>29</v>
      </c>
      <c r="N50" s="7" t="s">
        <v>29</v>
      </c>
      <c r="O50" s="7" t="s">
        <v>29</v>
      </c>
      <c r="P50" s="7" t="s">
        <v>29</v>
      </c>
      <c r="Q50" s="7" t="s">
        <v>29</v>
      </c>
      <c r="R50" s="7" t="s">
        <v>29</v>
      </c>
      <c r="S50" s="7" t="s">
        <v>29</v>
      </c>
    </row>
    <row r="51" spans="2:19">
      <c r="B51" s="7" t="s">
        <v>195</v>
      </c>
      <c r="C51" s="8" t="s">
        <v>195</v>
      </c>
      <c r="D51" s="6" t="str">
        <f>LRTRIM(CONCATENATE(IF(SUMPRODUCT(-- ISNUMBER(SEARCH({"Auto Number"}, $B51))) &gt; 0, $B51, IF(SUMPRODUCT(-- ISNUMBER(SEARCH({"Lookup","Master-Detail"}, $B51))) &gt; 0,$B51 &amp; "(" &amp; $E51 &amp; ")",IF(SUMPRODUCT(-- ISNUMBER(SEARCH({"Formula","Roll-Up Summary"}, $B51))) &gt; 0,$B51 &amp; " (" &amp; $E51 &amp; ")",IF(SUMPRODUCT(-- ISNUMBER(SEARCH({"Content","Currency","Number","Percent","Text","URL"}, $B51))) &gt; 0,$B51 &amp; "(" &amp; $C51 &amp; ")",$B51)))), "  ", TRIM(IF($S51 = "YES", "(External ID)", "") &amp; " " &amp; IF(SUMPRODUCT(-- ISNUMBER(SEARCH({"Unique","Unique Case Insensitive"}, $R51))) &gt; 0, "(" &amp; $R51 &amp; ")", ""))))</f>
        <v>na</v>
      </c>
      <c r="E51" s="7" t="s">
        <v>195</v>
      </c>
      <c r="F51" s="7" t="s">
        <v>195</v>
      </c>
      <c r="G51" s="7" t="s">
        <v>195</v>
      </c>
      <c r="H51" s="7" t="s">
        <v>195</v>
      </c>
      <c r="I51" s="7" t="s">
        <v>195</v>
      </c>
      <c r="J51" s="7" t="s">
        <v>195</v>
      </c>
      <c r="K51" s="7" t="s">
        <v>195</v>
      </c>
      <c r="L51" s="7" t="s">
        <v>195</v>
      </c>
      <c r="M51" s="7" t="s">
        <v>29</v>
      </c>
      <c r="N51" s="7" t="s">
        <v>29</v>
      </c>
      <c r="O51" s="7" t="s">
        <v>29</v>
      </c>
      <c r="P51" s="7" t="s">
        <v>29</v>
      </c>
      <c r="Q51" s="7" t="s">
        <v>29</v>
      </c>
      <c r="R51" s="7" t="s">
        <v>29</v>
      </c>
      <c r="S51" s="7" t="s">
        <v>29</v>
      </c>
    </row>
    <row r="52" spans="2:19">
      <c r="B52" s="7" t="s">
        <v>195</v>
      </c>
      <c r="C52" s="8" t="s">
        <v>195</v>
      </c>
      <c r="D52" s="6" t="str">
        <f>LRTRIM(CONCATENATE(IF(SUMPRODUCT(-- ISNUMBER(SEARCH({"Auto Number"}, $B52))) &gt; 0, $B52, IF(SUMPRODUCT(-- ISNUMBER(SEARCH({"Lookup","Master-Detail"}, $B52))) &gt; 0,$B52 &amp; "(" &amp; $E52 &amp; ")",IF(SUMPRODUCT(-- ISNUMBER(SEARCH({"Formula","Roll-Up Summary"}, $B52))) &gt; 0,$B52 &amp; " (" &amp; $E52 &amp; ")",IF(SUMPRODUCT(-- ISNUMBER(SEARCH({"Content","Currency","Number","Percent","Text","URL"}, $B52))) &gt; 0,$B52 &amp; "(" &amp; $C52 &amp; ")",$B52)))), "  ", TRIM(IF($S52 = "YES", "(External ID)", "") &amp; " " &amp; IF(SUMPRODUCT(-- ISNUMBER(SEARCH({"Unique","Unique Case Insensitive"}, $R52))) &gt; 0, "(" &amp; $R52 &amp; ")", ""))))</f>
        <v>na</v>
      </c>
      <c r="E52" s="7" t="s">
        <v>195</v>
      </c>
      <c r="F52" s="7" t="s">
        <v>195</v>
      </c>
      <c r="G52" s="7" t="s">
        <v>195</v>
      </c>
      <c r="H52" s="7" t="s">
        <v>195</v>
      </c>
      <c r="I52" s="7" t="s">
        <v>195</v>
      </c>
      <c r="J52" s="7" t="s">
        <v>195</v>
      </c>
      <c r="K52" s="7" t="s">
        <v>195</v>
      </c>
      <c r="L52" s="7" t="s">
        <v>195</v>
      </c>
      <c r="M52" s="7" t="s">
        <v>29</v>
      </c>
      <c r="N52" s="7" t="s">
        <v>29</v>
      </c>
      <c r="O52" s="7" t="s">
        <v>29</v>
      </c>
      <c r="P52" s="7" t="s">
        <v>29</v>
      </c>
      <c r="Q52" s="7" t="s">
        <v>29</v>
      </c>
      <c r="R52" s="7" t="s">
        <v>29</v>
      </c>
      <c r="S52" s="7" t="s">
        <v>29</v>
      </c>
    </row>
    <row r="53" spans="2:19">
      <c r="B53" s="7" t="s">
        <v>195</v>
      </c>
      <c r="C53" s="8" t="s">
        <v>195</v>
      </c>
      <c r="D53" s="6" t="str">
        <f>LRTRIM(CONCATENATE(IF(SUMPRODUCT(-- ISNUMBER(SEARCH({"Auto Number"}, $B53))) &gt; 0, $B53, IF(SUMPRODUCT(-- ISNUMBER(SEARCH({"Lookup","Master-Detail"}, $B53))) &gt; 0,$B53 &amp; "(" &amp; $E53 &amp; ")",IF(SUMPRODUCT(-- ISNUMBER(SEARCH({"Formula","Roll-Up Summary"}, $B53))) &gt; 0,$B53 &amp; " (" &amp; $E53 &amp; ")",IF(SUMPRODUCT(-- ISNUMBER(SEARCH({"Content","Currency","Number","Percent","Text","URL"}, $B53))) &gt; 0,$B53 &amp; "(" &amp; $C53 &amp; ")",$B53)))), "  ", TRIM(IF($S53 = "YES", "(External ID)", "") &amp; " " &amp; IF(SUMPRODUCT(-- ISNUMBER(SEARCH({"Unique","Unique Case Insensitive"}, $R53))) &gt; 0, "(" &amp; $R53 &amp; ")", ""))))</f>
        <v>na</v>
      </c>
      <c r="E53" s="7" t="s">
        <v>195</v>
      </c>
      <c r="F53" s="7" t="s">
        <v>195</v>
      </c>
      <c r="G53" s="7" t="s">
        <v>195</v>
      </c>
      <c r="H53" s="7" t="s">
        <v>195</v>
      </c>
      <c r="I53" s="7" t="s">
        <v>195</v>
      </c>
      <c r="J53" s="7" t="s">
        <v>195</v>
      </c>
      <c r="K53" s="7" t="s">
        <v>195</v>
      </c>
      <c r="L53" s="7" t="s">
        <v>195</v>
      </c>
      <c r="M53" s="7" t="s">
        <v>29</v>
      </c>
      <c r="N53" s="7" t="s">
        <v>29</v>
      </c>
      <c r="O53" s="7" t="s">
        <v>29</v>
      </c>
      <c r="P53" s="7" t="s">
        <v>29</v>
      </c>
      <c r="Q53" s="7" t="s">
        <v>29</v>
      </c>
      <c r="R53" s="7" t="s">
        <v>29</v>
      </c>
      <c r="S53" s="7" t="s">
        <v>29</v>
      </c>
    </row>
    <row r="54" spans="2:19">
      <c r="B54" s="7" t="s">
        <v>195</v>
      </c>
      <c r="C54" s="8" t="s">
        <v>195</v>
      </c>
      <c r="D54" s="6" t="str">
        <f>LRTRIM(CONCATENATE(IF(SUMPRODUCT(-- ISNUMBER(SEARCH({"Auto Number"}, $B54))) &gt; 0, $B54, IF(SUMPRODUCT(-- ISNUMBER(SEARCH({"Lookup","Master-Detail"}, $B54))) &gt; 0,$B54 &amp; "(" &amp; $E54 &amp; ")",IF(SUMPRODUCT(-- ISNUMBER(SEARCH({"Formula","Roll-Up Summary"}, $B54))) &gt; 0,$B54 &amp; " (" &amp; $E54 &amp; ")",IF(SUMPRODUCT(-- ISNUMBER(SEARCH({"Content","Currency","Number","Percent","Text","URL"}, $B54))) &gt; 0,$B54 &amp; "(" &amp; $C54 &amp; ")",$B54)))), "  ", TRIM(IF($S54 = "YES", "(External ID)", "") &amp; " " &amp; IF(SUMPRODUCT(-- ISNUMBER(SEARCH({"Unique","Unique Case Insensitive"}, $R54))) &gt; 0, "(" &amp; $R54 &amp; ")", ""))))</f>
        <v>na</v>
      </c>
      <c r="E54" s="7" t="s">
        <v>195</v>
      </c>
      <c r="F54" s="7" t="s">
        <v>195</v>
      </c>
      <c r="G54" s="7" t="s">
        <v>195</v>
      </c>
      <c r="H54" s="7" t="s">
        <v>195</v>
      </c>
      <c r="I54" s="7" t="s">
        <v>195</v>
      </c>
      <c r="J54" s="7" t="s">
        <v>195</v>
      </c>
      <c r="K54" s="7" t="s">
        <v>195</v>
      </c>
      <c r="L54" s="7" t="s">
        <v>195</v>
      </c>
      <c r="M54" s="7" t="s">
        <v>29</v>
      </c>
      <c r="N54" s="7" t="s">
        <v>29</v>
      </c>
      <c r="O54" s="7" t="s">
        <v>29</v>
      </c>
      <c r="P54" s="7" t="s">
        <v>29</v>
      </c>
      <c r="Q54" s="7" t="s">
        <v>29</v>
      </c>
      <c r="R54" s="7" t="s">
        <v>29</v>
      </c>
      <c r="S54" s="7" t="s">
        <v>29</v>
      </c>
    </row>
    <row r="55" spans="2:19">
      <c r="B55" s="7" t="s">
        <v>195</v>
      </c>
      <c r="C55" s="8" t="s">
        <v>195</v>
      </c>
      <c r="D55" s="6" t="str">
        <f>LRTRIM(CONCATENATE(IF(SUMPRODUCT(-- ISNUMBER(SEARCH({"Auto Number"}, $B55))) &gt; 0, $B55, IF(SUMPRODUCT(-- ISNUMBER(SEARCH({"Lookup","Master-Detail"}, $B55))) &gt; 0,$B55 &amp; "(" &amp; $E55 &amp; ")",IF(SUMPRODUCT(-- ISNUMBER(SEARCH({"Formula","Roll-Up Summary"}, $B55))) &gt; 0,$B55 &amp; " (" &amp; $E55 &amp; ")",IF(SUMPRODUCT(-- ISNUMBER(SEARCH({"Content","Currency","Number","Percent","Text","URL"}, $B55))) &gt; 0,$B55 &amp; "(" &amp; $C55 &amp; ")",$B55)))), "  ", TRIM(IF($S55 = "YES", "(External ID)", "") &amp; " " &amp; IF(SUMPRODUCT(-- ISNUMBER(SEARCH({"Unique","Unique Case Insensitive"}, $R55))) &gt; 0, "(" &amp; $R55 &amp; ")", ""))))</f>
        <v>na</v>
      </c>
      <c r="E55" s="7" t="s">
        <v>195</v>
      </c>
      <c r="F55" s="7" t="s">
        <v>195</v>
      </c>
      <c r="G55" s="7" t="s">
        <v>195</v>
      </c>
      <c r="H55" s="7" t="s">
        <v>195</v>
      </c>
      <c r="I55" s="7" t="s">
        <v>195</v>
      </c>
      <c r="J55" s="7" t="s">
        <v>195</v>
      </c>
      <c r="K55" s="7" t="s">
        <v>195</v>
      </c>
      <c r="L55" s="7" t="s">
        <v>195</v>
      </c>
      <c r="M55" s="7" t="s">
        <v>29</v>
      </c>
      <c r="N55" s="7" t="s">
        <v>29</v>
      </c>
      <c r="O55" s="7" t="s">
        <v>29</v>
      </c>
      <c r="P55" s="7" t="s">
        <v>29</v>
      </c>
      <c r="Q55" s="7" t="s">
        <v>29</v>
      </c>
      <c r="R55" s="7" t="s">
        <v>29</v>
      </c>
      <c r="S55" s="7" t="s">
        <v>29</v>
      </c>
    </row>
    <row r="56" spans="2:19">
      <c r="B56" s="7" t="s">
        <v>195</v>
      </c>
      <c r="C56" s="8" t="s">
        <v>195</v>
      </c>
      <c r="D56" s="6" t="str">
        <f>LRTRIM(CONCATENATE(IF(SUMPRODUCT(-- ISNUMBER(SEARCH({"Auto Number"}, $B56))) &gt; 0, $B56, IF(SUMPRODUCT(-- ISNUMBER(SEARCH({"Lookup","Master-Detail"}, $B56))) &gt; 0,$B56 &amp; "(" &amp; $E56 &amp; ")",IF(SUMPRODUCT(-- ISNUMBER(SEARCH({"Formula","Roll-Up Summary"}, $B56))) &gt; 0,$B56 &amp; " (" &amp; $E56 &amp; ")",IF(SUMPRODUCT(-- ISNUMBER(SEARCH({"Content","Currency","Number","Percent","Text","URL"}, $B56))) &gt; 0,$B56 &amp; "(" &amp; $C56 &amp; ")",$B56)))), "  ", TRIM(IF($S56 = "YES", "(External ID)", "") &amp; " " &amp; IF(SUMPRODUCT(-- ISNUMBER(SEARCH({"Unique","Unique Case Insensitive"}, $R56))) &gt; 0, "(" &amp; $R56 &amp; ")", ""))))</f>
        <v>na</v>
      </c>
      <c r="E56" s="7" t="s">
        <v>195</v>
      </c>
      <c r="F56" s="7" t="s">
        <v>195</v>
      </c>
      <c r="G56" s="7" t="s">
        <v>195</v>
      </c>
      <c r="H56" s="7" t="s">
        <v>195</v>
      </c>
      <c r="I56" s="7" t="s">
        <v>195</v>
      </c>
      <c r="J56" s="7" t="s">
        <v>195</v>
      </c>
      <c r="K56" s="7" t="s">
        <v>195</v>
      </c>
      <c r="L56" s="7" t="s">
        <v>195</v>
      </c>
      <c r="M56" s="7" t="s">
        <v>29</v>
      </c>
      <c r="N56" s="7" t="s">
        <v>29</v>
      </c>
      <c r="O56" s="7" t="s">
        <v>29</v>
      </c>
      <c r="P56" s="7" t="s">
        <v>29</v>
      </c>
      <c r="Q56" s="7" t="s">
        <v>29</v>
      </c>
      <c r="R56" s="7" t="s">
        <v>29</v>
      </c>
      <c r="S56" s="7" t="s">
        <v>29</v>
      </c>
    </row>
    <row r="57" spans="2:19">
      <c r="B57" s="7" t="s">
        <v>195</v>
      </c>
      <c r="C57" s="8" t="s">
        <v>195</v>
      </c>
      <c r="D57" s="6" t="str">
        <f>LRTRIM(CONCATENATE(IF(SUMPRODUCT(-- ISNUMBER(SEARCH({"Auto Number"}, $B57))) &gt; 0, $B57, IF(SUMPRODUCT(-- ISNUMBER(SEARCH({"Lookup","Master-Detail"}, $B57))) &gt; 0,$B57 &amp; "(" &amp; $E57 &amp; ")",IF(SUMPRODUCT(-- ISNUMBER(SEARCH({"Formula","Roll-Up Summary"}, $B57))) &gt; 0,$B57 &amp; " (" &amp; $E57 &amp; ")",IF(SUMPRODUCT(-- ISNUMBER(SEARCH({"Content","Currency","Number","Percent","Text","URL"}, $B57))) &gt; 0,$B57 &amp; "(" &amp; $C57 &amp; ")",$B57)))), "  ", TRIM(IF($S57 = "YES", "(External ID)", "") &amp; " " &amp; IF(SUMPRODUCT(-- ISNUMBER(SEARCH({"Unique","Unique Case Insensitive"}, $R57))) &gt; 0, "(" &amp; $R57 &amp; ")", ""))))</f>
        <v>na</v>
      </c>
      <c r="E57" s="7" t="s">
        <v>195</v>
      </c>
      <c r="F57" s="7" t="s">
        <v>195</v>
      </c>
      <c r="G57" s="7" t="s">
        <v>195</v>
      </c>
      <c r="H57" s="7" t="s">
        <v>195</v>
      </c>
      <c r="I57" s="7" t="s">
        <v>195</v>
      </c>
      <c r="J57" s="7" t="s">
        <v>195</v>
      </c>
      <c r="K57" s="7" t="s">
        <v>195</v>
      </c>
      <c r="L57" s="7" t="s">
        <v>195</v>
      </c>
      <c r="M57" s="7" t="s">
        <v>29</v>
      </c>
      <c r="N57" s="7" t="s">
        <v>29</v>
      </c>
      <c r="O57" s="7" t="s">
        <v>29</v>
      </c>
      <c r="P57" s="7" t="s">
        <v>29</v>
      </c>
      <c r="Q57" s="7" t="s">
        <v>29</v>
      </c>
      <c r="R57" s="7" t="s">
        <v>29</v>
      </c>
      <c r="S57" s="7" t="s">
        <v>29</v>
      </c>
    </row>
    <row r="58" spans="2:19">
      <c r="B58" s="7" t="s">
        <v>195</v>
      </c>
      <c r="C58" s="8" t="s">
        <v>195</v>
      </c>
      <c r="D58" s="6" t="str">
        <f>LRTRIM(CONCATENATE(IF(SUMPRODUCT(-- ISNUMBER(SEARCH({"Auto Number"}, $B58))) &gt; 0, $B58, IF(SUMPRODUCT(-- ISNUMBER(SEARCH({"Lookup","Master-Detail"}, $B58))) &gt; 0,$B58 &amp; "(" &amp; $E58 &amp; ")",IF(SUMPRODUCT(-- ISNUMBER(SEARCH({"Formula","Roll-Up Summary"}, $B58))) &gt; 0,$B58 &amp; " (" &amp; $E58 &amp; ")",IF(SUMPRODUCT(-- ISNUMBER(SEARCH({"Content","Currency","Number","Percent","Text","URL"}, $B58))) &gt; 0,$B58 &amp; "(" &amp; $C58 &amp; ")",$B58)))), "  ", TRIM(IF($S58 = "YES", "(External ID)", "") &amp; " " &amp; IF(SUMPRODUCT(-- ISNUMBER(SEARCH({"Unique","Unique Case Insensitive"}, $R58))) &gt; 0, "(" &amp; $R58 &amp; ")", ""))))</f>
        <v>na</v>
      </c>
      <c r="E58" s="7" t="s">
        <v>195</v>
      </c>
      <c r="F58" s="7" t="s">
        <v>195</v>
      </c>
      <c r="G58" s="7" t="s">
        <v>195</v>
      </c>
      <c r="H58" s="7" t="s">
        <v>195</v>
      </c>
      <c r="I58" s="7" t="s">
        <v>195</v>
      </c>
      <c r="J58" s="7" t="s">
        <v>195</v>
      </c>
      <c r="K58" s="7" t="s">
        <v>195</v>
      </c>
      <c r="L58" s="7" t="s">
        <v>195</v>
      </c>
      <c r="M58" s="7" t="s">
        <v>29</v>
      </c>
      <c r="N58" s="7" t="s">
        <v>29</v>
      </c>
      <c r="O58" s="7" t="s">
        <v>29</v>
      </c>
      <c r="P58" s="7" t="s">
        <v>29</v>
      </c>
      <c r="Q58" s="7" t="s">
        <v>29</v>
      </c>
      <c r="R58" s="7" t="s">
        <v>29</v>
      </c>
      <c r="S58" s="7" t="s">
        <v>29</v>
      </c>
    </row>
    <row r="59" spans="2:19">
      <c r="B59" s="7" t="s">
        <v>195</v>
      </c>
      <c r="C59" s="8" t="s">
        <v>195</v>
      </c>
      <c r="D59" s="6" t="str">
        <f>LRTRIM(CONCATENATE(IF(SUMPRODUCT(-- ISNUMBER(SEARCH({"Auto Number"}, $B59))) &gt; 0, $B59, IF(SUMPRODUCT(-- ISNUMBER(SEARCH({"Lookup","Master-Detail"}, $B59))) &gt; 0,$B59 &amp; "(" &amp; $E59 &amp; ")",IF(SUMPRODUCT(-- ISNUMBER(SEARCH({"Formula","Roll-Up Summary"}, $B59))) &gt; 0,$B59 &amp; " (" &amp; $E59 &amp; ")",IF(SUMPRODUCT(-- ISNUMBER(SEARCH({"Content","Currency","Number","Percent","Text","URL"}, $B59))) &gt; 0,$B59 &amp; "(" &amp; $C59 &amp; ")",$B59)))), "  ", TRIM(IF($S59 = "YES", "(External ID)", "") &amp; " " &amp; IF(SUMPRODUCT(-- ISNUMBER(SEARCH({"Unique","Unique Case Insensitive"}, $R59))) &gt; 0, "(" &amp; $R59 &amp; ")", ""))))</f>
        <v>na</v>
      </c>
      <c r="E59" s="7" t="s">
        <v>195</v>
      </c>
      <c r="F59" s="7" t="s">
        <v>195</v>
      </c>
      <c r="G59" s="7" t="s">
        <v>195</v>
      </c>
      <c r="H59" s="7" t="s">
        <v>195</v>
      </c>
      <c r="I59" s="7" t="s">
        <v>195</v>
      </c>
      <c r="J59" s="7" t="s">
        <v>195</v>
      </c>
      <c r="K59" s="7" t="s">
        <v>195</v>
      </c>
      <c r="L59" s="7" t="s">
        <v>195</v>
      </c>
      <c r="M59" s="7" t="s">
        <v>29</v>
      </c>
      <c r="N59" s="7" t="s">
        <v>29</v>
      </c>
      <c r="O59" s="7" t="s">
        <v>29</v>
      </c>
      <c r="P59" s="7" t="s">
        <v>29</v>
      </c>
      <c r="Q59" s="7" t="s">
        <v>29</v>
      </c>
      <c r="R59" s="7" t="s">
        <v>29</v>
      </c>
      <c r="S59" s="7" t="s">
        <v>29</v>
      </c>
    </row>
    <row r="60" spans="2:19">
      <c r="B60" s="7" t="s">
        <v>195</v>
      </c>
      <c r="C60" s="8" t="s">
        <v>195</v>
      </c>
      <c r="D60" s="6" t="str">
        <f>LRTRIM(CONCATENATE(IF(SUMPRODUCT(-- ISNUMBER(SEARCH({"Auto Number"}, $B60))) &gt; 0, $B60, IF(SUMPRODUCT(-- ISNUMBER(SEARCH({"Lookup","Master-Detail"}, $B60))) &gt; 0,$B60 &amp; "(" &amp; $E60 &amp; ")",IF(SUMPRODUCT(-- ISNUMBER(SEARCH({"Formula","Roll-Up Summary"}, $B60))) &gt; 0,$B60 &amp; " (" &amp; $E60 &amp; ")",IF(SUMPRODUCT(-- ISNUMBER(SEARCH({"Content","Currency","Number","Percent","Text","URL"}, $B60))) &gt; 0,$B60 &amp; "(" &amp; $C60 &amp; ")",$B60)))), "  ", TRIM(IF($S60 = "YES", "(External ID)", "") &amp; " " &amp; IF(SUMPRODUCT(-- ISNUMBER(SEARCH({"Unique","Unique Case Insensitive"}, $R60))) &gt; 0, "(" &amp; $R60 &amp; ")", ""))))</f>
        <v>na</v>
      </c>
      <c r="E60" s="7" t="s">
        <v>195</v>
      </c>
      <c r="F60" s="7" t="s">
        <v>195</v>
      </c>
      <c r="G60" s="7" t="s">
        <v>195</v>
      </c>
      <c r="H60" s="7" t="s">
        <v>195</v>
      </c>
      <c r="I60" s="7" t="s">
        <v>195</v>
      </c>
      <c r="J60" s="7" t="s">
        <v>195</v>
      </c>
      <c r="K60" s="7" t="s">
        <v>195</v>
      </c>
      <c r="L60" s="7" t="s">
        <v>195</v>
      </c>
      <c r="M60" s="7" t="s">
        <v>29</v>
      </c>
      <c r="N60" s="7" t="s">
        <v>29</v>
      </c>
      <c r="O60" s="7" t="s">
        <v>29</v>
      </c>
      <c r="P60" s="7" t="s">
        <v>29</v>
      </c>
      <c r="Q60" s="7" t="s">
        <v>29</v>
      </c>
      <c r="R60" s="7" t="s">
        <v>29</v>
      </c>
      <c r="S60" s="7" t="s">
        <v>29</v>
      </c>
    </row>
    <row r="61" spans="2:19">
      <c r="B61" s="7" t="s">
        <v>195</v>
      </c>
      <c r="C61" s="8" t="s">
        <v>195</v>
      </c>
      <c r="D61" s="6" t="str">
        <f>LRTRIM(CONCATENATE(IF(SUMPRODUCT(-- ISNUMBER(SEARCH({"Auto Number"}, $B61))) &gt; 0, $B61, IF(SUMPRODUCT(-- ISNUMBER(SEARCH({"Lookup","Master-Detail"}, $B61))) &gt; 0,$B61 &amp; "(" &amp; $E61 &amp; ")",IF(SUMPRODUCT(-- ISNUMBER(SEARCH({"Formula","Roll-Up Summary"}, $B61))) &gt; 0,$B61 &amp; " (" &amp; $E61 &amp; ")",IF(SUMPRODUCT(-- ISNUMBER(SEARCH({"Content","Currency","Number","Percent","Text","URL"}, $B61))) &gt; 0,$B61 &amp; "(" &amp; $C61 &amp; ")",$B61)))), "  ", TRIM(IF($S61 = "YES", "(External ID)", "") &amp; " " &amp; IF(SUMPRODUCT(-- ISNUMBER(SEARCH({"Unique","Unique Case Insensitive"}, $R61))) &gt; 0, "(" &amp; $R61 &amp; ")", ""))))</f>
        <v>na</v>
      </c>
      <c r="E61" s="7" t="s">
        <v>195</v>
      </c>
      <c r="F61" s="7" t="s">
        <v>195</v>
      </c>
      <c r="G61" s="7" t="s">
        <v>195</v>
      </c>
      <c r="H61" s="7" t="s">
        <v>195</v>
      </c>
      <c r="I61" s="7" t="s">
        <v>195</v>
      </c>
      <c r="J61" s="7" t="s">
        <v>195</v>
      </c>
      <c r="K61" s="7" t="s">
        <v>195</v>
      </c>
      <c r="L61" s="7" t="s">
        <v>195</v>
      </c>
      <c r="M61" s="7" t="s">
        <v>29</v>
      </c>
      <c r="N61" s="7" t="s">
        <v>29</v>
      </c>
      <c r="O61" s="7" t="s">
        <v>29</v>
      </c>
      <c r="P61" s="7" t="s">
        <v>29</v>
      </c>
      <c r="Q61" s="7" t="s">
        <v>29</v>
      </c>
      <c r="R61" s="7" t="s">
        <v>29</v>
      </c>
      <c r="S61" s="7" t="s">
        <v>29</v>
      </c>
    </row>
    <row r="62" spans="2:19">
      <c r="B62" s="7" t="s">
        <v>195</v>
      </c>
      <c r="C62" s="8" t="s">
        <v>195</v>
      </c>
      <c r="D62" s="6" t="str">
        <f>LRTRIM(CONCATENATE(IF(SUMPRODUCT(-- ISNUMBER(SEARCH({"Auto Number"}, $B62))) &gt; 0, $B62, IF(SUMPRODUCT(-- ISNUMBER(SEARCH({"Lookup","Master-Detail"}, $B62))) &gt; 0,$B62 &amp; "(" &amp; $E62 &amp; ")",IF(SUMPRODUCT(-- ISNUMBER(SEARCH({"Formula","Roll-Up Summary"}, $B62))) &gt; 0,$B62 &amp; " (" &amp; $E62 &amp; ")",IF(SUMPRODUCT(-- ISNUMBER(SEARCH({"Content","Currency","Number","Percent","Text","URL"}, $B62))) &gt; 0,$B62 &amp; "(" &amp; $C62 &amp; ")",$B62)))), "  ", TRIM(IF($S62 = "YES", "(External ID)", "") &amp; " " &amp; IF(SUMPRODUCT(-- ISNUMBER(SEARCH({"Unique","Unique Case Insensitive"}, $R62))) &gt; 0, "(" &amp; $R62 &amp; ")", ""))))</f>
        <v>na</v>
      </c>
      <c r="E62" s="7" t="s">
        <v>195</v>
      </c>
      <c r="F62" s="7" t="s">
        <v>195</v>
      </c>
      <c r="G62" s="7" t="s">
        <v>195</v>
      </c>
      <c r="H62" s="7" t="s">
        <v>195</v>
      </c>
      <c r="I62" s="7" t="s">
        <v>195</v>
      </c>
      <c r="J62" s="7" t="s">
        <v>195</v>
      </c>
      <c r="K62" s="7" t="s">
        <v>195</v>
      </c>
      <c r="L62" s="7" t="s">
        <v>195</v>
      </c>
      <c r="M62" s="7" t="s">
        <v>29</v>
      </c>
      <c r="N62" s="7" t="s">
        <v>29</v>
      </c>
      <c r="O62" s="7" t="s">
        <v>29</v>
      </c>
      <c r="P62" s="7" t="s">
        <v>29</v>
      </c>
      <c r="Q62" s="7" t="s">
        <v>29</v>
      </c>
      <c r="R62" s="7" t="s">
        <v>29</v>
      </c>
      <c r="S62" s="7" t="s">
        <v>29</v>
      </c>
    </row>
    <row r="63" spans="2:19">
      <c r="B63" s="7" t="s">
        <v>195</v>
      </c>
      <c r="C63" s="8" t="s">
        <v>195</v>
      </c>
      <c r="D63" s="6" t="str">
        <f>LRTRIM(CONCATENATE(IF(SUMPRODUCT(-- ISNUMBER(SEARCH({"Auto Number"}, $B63))) &gt; 0, $B63, IF(SUMPRODUCT(-- ISNUMBER(SEARCH({"Lookup","Master-Detail"}, $B63))) &gt; 0,$B63 &amp; "(" &amp; $E63 &amp; ")",IF(SUMPRODUCT(-- ISNUMBER(SEARCH({"Formula","Roll-Up Summary"}, $B63))) &gt; 0,$B63 &amp; " (" &amp; $E63 &amp; ")",IF(SUMPRODUCT(-- ISNUMBER(SEARCH({"Content","Currency","Number","Percent","Text","URL"}, $B63))) &gt; 0,$B63 &amp; "(" &amp; $C63 &amp; ")",$B63)))), "  ", TRIM(IF($S63 = "YES", "(External ID)", "") &amp; " " &amp; IF(SUMPRODUCT(-- ISNUMBER(SEARCH({"Unique","Unique Case Insensitive"}, $R63))) &gt; 0, "(" &amp; $R63 &amp; ")", ""))))</f>
        <v>na</v>
      </c>
      <c r="E63" s="7" t="s">
        <v>195</v>
      </c>
      <c r="F63" s="7" t="s">
        <v>195</v>
      </c>
      <c r="G63" s="7" t="s">
        <v>195</v>
      </c>
      <c r="H63" s="7" t="s">
        <v>195</v>
      </c>
      <c r="I63" s="7" t="s">
        <v>195</v>
      </c>
      <c r="J63" s="7" t="s">
        <v>195</v>
      </c>
      <c r="K63" s="7" t="s">
        <v>195</v>
      </c>
      <c r="L63" s="7" t="s">
        <v>195</v>
      </c>
      <c r="M63" s="7" t="s">
        <v>29</v>
      </c>
      <c r="N63" s="7" t="s">
        <v>29</v>
      </c>
      <c r="O63" s="7" t="s">
        <v>29</v>
      </c>
      <c r="P63" s="7" t="s">
        <v>29</v>
      </c>
      <c r="Q63" s="7" t="s">
        <v>29</v>
      </c>
      <c r="R63" s="7" t="s">
        <v>29</v>
      </c>
      <c r="S63" s="7" t="s">
        <v>29</v>
      </c>
    </row>
    <row r="64" spans="2:19">
      <c r="B64" s="7" t="s">
        <v>195</v>
      </c>
      <c r="C64" s="8" t="s">
        <v>195</v>
      </c>
      <c r="D64" s="6" t="str">
        <f>LRTRIM(CONCATENATE(IF(SUMPRODUCT(-- ISNUMBER(SEARCH({"Auto Number"}, $B64))) &gt; 0, $B64, IF(SUMPRODUCT(-- ISNUMBER(SEARCH({"Lookup","Master-Detail"}, $B64))) &gt; 0,$B64 &amp; "(" &amp; $E64 &amp; ")",IF(SUMPRODUCT(-- ISNUMBER(SEARCH({"Formula","Roll-Up Summary"}, $B64))) &gt; 0,$B64 &amp; " (" &amp; $E64 &amp; ")",IF(SUMPRODUCT(-- ISNUMBER(SEARCH({"Content","Currency","Number","Percent","Text","URL"}, $B64))) &gt; 0,$B64 &amp; "(" &amp; $C64 &amp; ")",$B64)))), "  ", TRIM(IF($S64 = "YES", "(External ID)", "") &amp; " " &amp; IF(SUMPRODUCT(-- ISNUMBER(SEARCH({"Unique","Unique Case Insensitive"}, $R64))) &gt; 0, "(" &amp; $R64 &amp; ")", ""))))</f>
        <v>na</v>
      </c>
      <c r="E64" s="7" t="s">
        <v>195</v>
      </c>
      <c r="F64" s="7" t="s">
        <v>195</v>
      </c>
      <c r="G64" s="7" t="s">
        <v>195</v>
      </c>
      <c r="H64" s="7" t="s">
        <v>195</v>
      </c>
      <c r="I64" s="7" t="s">
        <v>195</v>
      </c>
      <c r="J64" s="7" t="s">
        <v>195</v>
      </c>
      <c r="K64" s="7" t="s">
        <v>195</v>
      </c>
      <c r="L64" s="7" t="s">
        <v>195</v>
      </c>
      <c r="M64" s="7" t="s">
        <v>29</v>
      </c>
      <c r="N64" s="7" t="s">
        <v>29</v>
      </c>
      <c r="O64" s="7" t="s">
        <v>29</v>
      </c>
      <c r="P64" s="7" t="s">
        <v>29</v>
      </c>
      <c r="Q64" s="7" t="s">
        <v>29</v>
      </c>
      <c r="R64" s="7" t="s">
        <v>29</v>
      </c>
      <c r="S64" s="7" t="s">
        <v>29</v>
      </c>
    </row>
    <row r="65" spans="2:19">
      <c r="B65" s="7" t="s">
        <v>195</v>
      </c>
      <c r="C65" s="8" t="s">
        <v>195</v>
      </c>
      <c r="D65" s="6" t="str">
        <f>LRTRIM(CONCATENATE(IF(SUMPRODUCT(-- ISNUMBER(SEARCH({"Auto Number"}, $B65))) &gt; 0, $B65, IF(SUMPRODUCT(-- ISNUMBER(SEARCH({"Lookup","Master-Detail"}, $B65))) &gt; 0,$B65 &amp; "(" &amp; $E65 &amp; ")",IF(SUMPRODUCT(-- ISNUMBER(SEARCH({"Formula","Roll-Up Summary"}, $B65))) &gt; 0,$B65 &amp; " (" &amp; $E65 &amp; ")",IF(SUMPRODUCT(-- ISNUMBER(SEARCH({"Content","Currency","Number","Percent","Text","URL"}, $B65))) &gt; 0,$B65 &amp; "(" &amp; $C65 &amp; ")",$B65)))), "  ", TRIM(IF($S65 = "YES", "(External ID)", "") &amp; " " &amp; IF(SUMPRODUCT(-- ISNUMBER(SEARCH({"Unique","Unique Case Insensitive"}, $R65))) &gt; 0, "(" &amp; $R65 &amp; ")", ""))))</f>
        <v>na</v>
      </c>
      <c r="E65" s="7" t="s">
        <v>195</v>
      </c>
      <c r="F65" s="7" t="s">
        <v>195</v>
      </c>
      <c r="G65" s="7" t="s">
        <v>195</v>
      </c>
      <c r="H65" s="7" t="s">
        <v>195</v>
      </c>
      <c r="I65" s="7" t="s">
        <v>195</v>
      </c>
      <c r="J65" s="7" t="s">
        <v>195</v>
      </c>
      <c r="K65" s="7" t="s">
        <v>195</v>
      </c>
      <c r="L65" s="7" t="s">
        <v>195</v>
      </c>
      <c r="M65" s="7" t="s">
        <v>29</v>
      </c>
      <c r="N65" s="7" t="s">
        <v>29</v>
      </c>
      <c r="O65" s="7" t="s">
        <v>29</v>
      </c>
      <c r="P65" s="7" t="s">
        <v>29</v>
      </c>
      <c r="Q65" s="7" t="s">
        <v>29</v>
      </c>
      <c r="R65" s="7" t="s">
        <v>29</v>
      </c>
      <c r="S65" s="7" t="s">
        <v>29</v>
      </c>
    </row>
    <row r="66" spans="2:19">
      <c r="B66" s="7" t="s">
        <v>195</v>
      </c>
      <c r="C66" s="8" t="s">
        <v>195</v>
      </c>
      <c r="D66" s="6" t="str">
        <f>LRTRIM(CONCATENATE(IF(SUMPRODUCT(-- ISNUMBER(SEARCH({"Auto Number"}, $B66))) &gt; 0, $B66, IF(SUMPRODUCT(-- ISNUMBER(SEARCH({"Lookup","Master-Detail"}, $B66))) &gt; 0,$B66 &amp; "(" &amp; $E66 &amp; ")",IF(SUMPRODUCT(-- ISNUMBER(SEARCH({"Formula","Roll-Up Summary"}, $B66))) &gt; 0,$B66 &amp; " (" &amp; $E66 &amp; ")",IF(SUMPRODUCT(-- ISNUMBER(SEARCH({"Content","Currency","Number","Percent","Text","URL"}, $B66))) &gt; 0,$B66 &amp; "(" &amp; $C66 &amp; ")",$B66)))), "  ", TRIM(IF($S66 = "YES", "(External ID)", "") &amp; " " &amp; IF(SUMPRODUCT(-- ISNUMBER(SEARCH({"Unique","Unique Case Insensitive"}, $R66))) &gt; 0, "(" &amp; $R66 &amp; ")", ""))))</f>
        <v>na</v>
      </c>
      <c r="E66" s="7" t="s">
        <v>195</v>
      </c>
      <c r="F66" s="7" t="s">
        <v>195</v>
      </c>
      <c r="G66" s="7" t="s">
        <v>195</v>
      </c>
      <c r="H66" s="7" t="s">
        <v>195</v>
      </c>
      <c r="I66" s="7" t="s">
        <v>195</v>
      </c>
      <c r="J66" s="7" t="s">
        <v>195</v>
      </c>
      <c r="K66" s="7" t="s">
        <v>195</v>
      </c>
      <c r="L66" s="7" t="s">
        <v>195</v>
      </c>
      <c r="M66" s="7" t="s">
        <v>29</v>
      </c>
      <c r="N66" s="7" t="s">
        <v>29</v>
      </c>
      <c r="O66" s="7" t="s">
        <v>29</v>
      </c>
      <c r="P66" s="7" t="s">
        <v>29</v>
      </c>
      <c r="Q66" s="7" t="s">
        <v>29</v>
      </c>
      <c r="R66" s="7" t="s">
        <v>29</v>
      </c>
      <c r="S66" s="7" t="s">
        <v>29</v>
      </c>
    </row>
    <row r="67" spans="2:19">
      <c r="B67" s="7" t="s">
        <v>195</v>
      </c>
      <c r="C67" s="8" t="s">
        <v>195</v>
      </c>
      <c r="D67" s="6" t="str">
        <f>LRTRIM(CONCATENATE(IF(SUMPRODUCT(-- ISNUMBER(SEARCH({"Auto Number"}, $B67))) &gt; 0, $B67, IF(SUMPRODUCT(-- ISNUMBER(SEARCH({"Lookup","Master-Detail"}, $B67))) &gt; 0,$B67 &amp; "(" &amp; $E67 &amp; ")",IF(SUMPRODUCT(-- ISNUMBER(SEARCH({"Formula","Roll-Up Summary"}, $B67))) &gt; 0,$B67 &amp; " (" &amp; $E67 &amp; ")",IF(SUMPRODUCT(-- ISNUMBER(SEARCH({"Content","Currency","Number","Percent","Text","URL"}, $B67))) &gt; 0,$B67 &amp; "(" &amp; $C67 &amp; ")",$B67)))), "  ", TRIM(IF($S67 = "YES", "(External ID)", "") &amp; " " &amp; IF(SUMPRODUCT(-- ISNUMBER(SEARCH({"Unique","Unique Case Insensitive"}, $R67))) &gt; 0, "(" &amp; $R67 &amp; ")", ""))))</f>
        <v>na</v>
      </c>
      <c r="E67" s="7" t="s">
        <v>195</v>
      </c>
      <c r="F67" s="7" t="s">
        <v>195</v>
      </c>
      <c r="G67" s="7" t="s">
        <v>195</v>
      </c>
      <c r="H67" s="7" t="s">
        <v>195</v>
      </c>
      <c r="I67" s="7" t="s">
        <v>195</v>
      </c>
      <c r="J67" s="7" t="s">
        <v>195</v>
      </c>
      <c r="K67" s="7" t="s">
        <v>195</v>
      </c>
      <c r="L67" s="7" t="s">
        <v>195</v>
      </c>
      <c r="M67" s="7" t="s">
        <v>29</v>
      </c>
      <c r="N67" s="7" t="s">
        <v>29</v>
      </c>
      <c r="O67" s="7" t="s">
        <v>29</v>
      </c>
      <c r="P67" s="7" t="s">
        <v>29</v>
      </c>
      <c r="Q67" s="7" t="s">
        <v>29</v>
      </c>
      <c r="R67" s="7" t="s">
        <v>29</v>
      </c>
      <c r="S67" s="7" t="s">
        <v>29</v>
      </c>
    </row>
    <row r="68" spans="2:19">
      <c r="B68" s="7" t="s">
        <v>195</v>
      </c>
      <c r="C68" s="8" t="s">
        <v>195</v>
      </c>
      <c r="D68" s="6" t="str">
        <f>LRTRIM(CONCATENATE(IF(SUMPRODUCT(-- ISNUMBER(SEARCH({"Auto Number"}, $B68))) &gt; 0, $B68, IF(SUMPRODUCT(-- ISNUMBER(SEARCH({"Lookup","Master-Detail"}, $B68))) &gt; 0,$B68 &amp; "(" &amp; $E68 &amp; ")",IF(SUMPRODUCT(-- ISNUMBER(SEARCH({"Formula","Roll-Up Summary"}, $B68))) &gt; 0,$B68 &amp; " (" &amp; $E68 &amp; ")",IF(SUMPRODUCT(-- ISNUMBER(SEARCH({"Content","Currency","Number","Percent","Text","URL"}, $B68))) &gt; 0,$B68 &amp; "(" &amp; $C68 &amp; ")",$B68)))), "  ", TRIM(IF($S68 = "YES", "(External ID)", "") &amp; " " &amp; IF(SUMPRODUCT(-- ISNUMBER(SEARCH({"Unique","Unique Case Insensitive"}, $R68))) &gt; 0, "(" &amp; $R68 &amp; ")", ""))))</f>
        <v>na</v>
      </c>
      <c r="E68" s="7" t="s">
        <v>195</v>
      </c>
      <c r="F68" s="7" t="s">
        <v>195</v>
      </c>
      <c r="G68" s="7" t="s">
        <v>195</v>
      </c>
      <c r="H68" s="7" t="s">
        <v>195</v>
      </c>
      <c r="I68" s="7" t="s">
        <v>195</v>
      </c>
      <c r="J68" s="7" t="s">
        <v>195</v>
      </c>
      <c r="K68" s="7" t="s">
        <v>195</v>
      </c>
      <c r="L68" s="7" t="s">
        <v>195</v>
      </c>
      <c r="M68" s="7" t="s">
        <v>29</v>
      </c>
      <c r="N68" s="7" t="s">
        <v>29</v>
      </c>
      <c r="O68" s="7" t="s">
        <v>29</v>
      </c>
      <c r="P68" s="7" t="s">
        <v>29</v>
      </c>
      <c r="Q68" s="7" t="s">
        <v>29</v>
      </c>
      <c r="R68" s="7" t="s">
        <v>29</v>
      </c>
      <c r="S68" s="7" t="s">
        <v>29</v>
      </c>
    </row>
    <row r="69" spans="2:19">
      <c r="B69" s="7" t="s">
        <v>195</v>
      </c>
      <c r="C69" s="8" t="s">
        <v>195</v>
      </c>
      <c r="D69" s="6" t="str">
        <f>LRTRIM(CONCATENATE(IF(SUMPRODUCT(-- ISNUMBER(SEARCH({"Auto Number"}, $B69))) &gt; 0, $B69, IF(SUMPRODUCT(-- ISNUMBER(SEARCH({"Lookup","Master-Detail"}, $B69))) &gt; 0,$B69 &amp; "(" &amp; $E69 &amp; ")",IF(SUMPRODUCT(-- ISNUMBER(SEARCH({"Formula","Roll-Up Summary"}, $B69))) &gt; 0,$B69 &amp; " (" &amp; $E69 &amp; ")",IF(SUMPRODUCT(-- ISNUMBER(SEARCH({"Content","Currency","Number","Percent","Text","URL"}, $B69))) &gt; 0,$B69 &amp; "(" &amp; $C69 &amp; ")",$B69)))), "  ", TRIM(IF($S69 = "YES", "(External ID)", "") &amp; " " &amp; IF(SUMPRODUCT(-- ISNUMBER(SEARCH({"Unique","Unique Case Insensitive"}, $R69))) &gt; 0, "(" &amp; $R69 &amp; ")", ""))))</f>
        <v>na</v>
      </c>
      <c r="E69" s="7" t="s">
        <v>195</v>
      </c>
      <c r="F69" s="7" t="s">
        <v>195</v>
      </c>
      <c r="G69" s="7" t="s">
        <v>195</v>
      </c>
      <c r="H69" s="7" t="s">
        <v>195</v>
      </c>
      <c r="I69" s="7" t="s">
        <v>195</v>
      </c>
      <c r="J69" s="7" t="s">
        <v>195</v>
      </c>
      <c r="K69" s="7" t="s">
        <v>195</v>
      </c>
      <c r="L69" s="7" t="s">
        <v>195</v>
      </c>
      <c r="M69" s="7" t="s">
        <v>29</v>
      </c>
      <c r="N69" s="7" t="s">
        <v>29</v>
      </c>
      <c r="O69" s="7" t="s">
        <v>29</v>
      </c>
      <c r="P69" s="7" t="s">
        <v>29</v>
      </c>
      <c r="Q69" s="7" t="s">
        <v>29</v>
      </c>
      <c r="R69" s="7" t="s">
        <v>29</v>
      </c>
      <c r="S69" s="7" t="s">
        <v>29</v>
      </c>
    </row>
    <row r="70" spans="2:19">
      <c r="B70" s="7" t="s">
        <v>195</v>
      </c>
      <c r="C70" s="8" t="s">
        <v>195</v>
      </c>
      <c r="D70" s="6" t="str">
        <f>LRTRIM(CONCATENATE(IF(SUMPRODUCT(-- ISNUMBER(SEARCH({"Auto Number"}, $B70))) &gt; 0, $B70, IF(SUMPRODUCT(-- ISNUMBER(SEARCH({"Lookup","Master-Detail"}, $B70))) &gt; 0,$B70 &amp; "(" &amp; $E70 &amp; ")",IF(SUMPRODUCT(-- ISNUMBER(SEARCH({"Formula","Roll-Up Summary"}, $B70))) &gt; 0,$B70 &amp; " (" &amp; $E70 &amp; ")",IF(SUMPRODUCT(-- ISNUMBER(SEARCH({"Content","Currency","Number","Percent","Text","URL"}, $B70))) &gt; 0,$B70 &amp; "(" &amp; $C70 &amp; ")",$B70)))), "  ", TRIM(IF($S70 = "YES", "(External ID)", "") &amp; " " &amp; IF(SUMPRODUCT(-- ISNUMBER(SEARCH({"Unique","Unique Case Insensitive"}, $R70))) &gt; 0, "(" &amp; $R70 &amp; ")", ""))))</f>
        <v>na</v>
      </c>
      <c r="E70" s="7" t="s">
        <v>195</v>
      </c>
      <c r="F70" s="7" t="s">
        <v>195</v>
      </c>
      <c r="G70" s="7" t="s">
        <v>195</v>
      </c>
      <c r="H70" s="7" t="s">
        <v>195</v>
      </c>
      <c r="I70" s="7" t="s">
        <v>195</v>
      </c>
      <c r="J70" s="7" t="s">
        <v>195</v>
      </c>
      <c r="K70" s="7" t="s">
        <v>195</v>
      </c>
      <c r="L70" s="7" t="s">
        <v>195</v>
      </c>
      <c r="M70" s="7" t="s">
        <v>29</v>
      </c>
      <c r="N70" s="7" t="s">
        <v>29</v>
      </c>
      <c r="O70" s="7" t="s">
        <v>29</v>
      </c>
      <c r="P70" s="7" t="s">
        <v>29</v>
      </c>
      <c r="Q70" s="7" t="s">
        <v>29</v>
      </c>
      <c r="R70" s="7" t="s">
        <v>29</v>
      </c>
      <c r="S70" s="7" t="s">
        <v>29</v>
      </c>
    </row>
    <row r="71" spans="2:19">
      <c r="B71" s="7" t="s">
        <v>195</v>
      </c>
      <c r="C71" s="8" t="s">
        <v>195</v>
      </c>
      <c r="D71" s="6" t="str">
        <f>LRTRIM(CONCATENATE(IF(SUMPRODUCT(-- ISNUMBER(SEARCH({"Auto Number"}, $B71))) &gt; 0, $B71, IF(SUMPRODUCT(-- ISNUMBER(SEARCH({"Lookup","Master-Detail"}, $B71))) &gt; 0,$B71 &amp; "(" &amp; $E71 &amp; ")",IF(SUMPRODUCT(-- ISNUMBER(SEARCH({"Formula","Roll-Up Summary"}, $B71))) &gt; 0,$B71 &amp; " (" &amp; $E71 &amp; ")",IF(SUMPRODUCT(-- ISNUMBER(SEARCH({"Content","Currency","Number","Percent","Text","URL"}, $B71))) &gt; 0,$B71 &amp; "(" &amp; $C71 &amp; ")",$B71)))), "  ", TRIM(IF($S71 = "YES", "(External ID)", "") &amp; " " &amp; IF(SUMPRODUCT(-- ISNUMBER(SEARCH({"Unique","Unique Case Insensitive"}, $R71))) &gt; 0, "(" &amp; $R71 &amp; ")", ""))))</f>
        <v>na</v>
      </c>
      <c r="E71" s="7" t="s">
        <v>195</v>
      </c>
      <c r="F71" s="7" t="s">
        <v>195</v>
      </c>
      <c r="G71" s="7" t="s">
        <v>195</v>
      </c>
      <c r="H71" s="7" t="s">
        <v>195</v>
      </c>
      <c r="I71" s="7" t="s">
        <v>195</v>
      </c>
      <c r="J71" s="7" t="s">
        <v>195</v>
      </c>
      <c r="K71" s="7" t="s">
        <v>195</v>
      </c>
      <c r="L71" s="7" t="s">
        <v>195</v>
      </c>
      <c r="M71" s="7" t="s">
        <v>29</v>
      </c>
      <c r="N71" s="7" t="s">
        <v>29</v>
      </c>
      <c r="O71" s="7" t="s">
        <v>29</v>
      </c>
      <c r="P71" s="7" t="s">
        <v>29</v>
      </c>
      <c r="Q71" s="7" t="s">
        <v>29</v>
      </c>
      <c r="R71" s="7" t="s">
        <v>29</v>
      </c>
      <c r="S71" s="7" t="s">
        <v>29</v>
      </c>
    </row>
    <row r="72" spans="2:19">
      <c r="B72" s="7" t="s">
        <v>195</v>
      </c>
      <c r="C72" s="8" t="s">
        <v>195</v>
      </c>
      <c r="D72" s="6" t="str">
        <f>LRTRIM(CONCATENATE(IF(SUMPRODUCT(-- ISNUMBER(SEARCH({"Auto Number"}, $B72))) &gt; 0, $B72, IF(SUMPRODUCT(-- ISNUMBER(SEARCH({"Lookup","Master-Detail"}, $B72))) &gt; 0,$B72 &amp; "(" &amp; $E72 &amp; ")",IF(SUMPRODUCT(-- ISNUMBER(SEARCH({"Formula","Roll-Up Summary"}, $B72))) &gt; 0,$B72 &amp; " (" &amp; $E72 &amp; ")",IF(SUMPRODUCT(-- ISNUMBER(SEARCH({"Content","Currency","Number","Percent","Text","URL"}, $B72))) &gt; 0,$B72 &amp; "(" &amp; $C72 &amp; ")",$B72)))), "  ", TRIM(IF($S72 = "YES", "(External ID)", "") &amp; " " &amp; IF(SUMPRODUCT(-- ISNUMBER(SEARCH({"Unique","Unique Case Insensitive"}, $R72))) &gt; 0, "(" &amp; $R72 &amp; ")", ""))))</f>
        <v>na</v>
      </c>
      <c r="E72" s="7" t="s">
        <v>195</v>
      </c>
      <c r="F72" s="7" t="s">
        <v>195</v>
      </c>
      <c r="G72" s="7" t="s">
        <v>195</v>
      </c>
      <c r="H72" s="7" t="s">
        <v>195</v>
      </c>
      <c r="I72" s="7" t="s">
        <v>195</v>
      </c>
      <c r="J72" s="7" t="s">
        <v>195</v>
      </c>
      <c r="K72" s="7" t="s">
        <v>195</v>
      </c>
      <c r="L72" s="7" t="s">
        <v>195</v>
      </c>
      <c r="M72" s="7" t="s">
        <v>29</v>
      </c>
      <c r="N72" s="7" t="s">
        <v>29</v>
      </c>
      <c r="O72" s="7" t="s">
        <v>29</v>
      </c>
      <c r="P72" s="7" t="s">
        <v>29</v>
      </c>
      <c r="Q72" s="7" t="s">
        <v>29</v>
      </c>
      <c r="R72" s="7" t="s">
        <v>29</v>
      </c>
      <c r="S72" s="7" t="s">
        <v>29</v>
      </c>
    </row>
    <row r="73" spans="2:19">
      <c r="B73" s="7" t="s">
        <v>195</v>
      </c>
      <c r="C73" s="8" t="s">
        <v>195</v>
      </c>
      <c r="D73" s="6" t="str">
        <f>LRTRIM(CONCATENATE(IF(SUMPRODUCT(-- ISNUMBER(SEARCH({"Auto Number"}, $B73))) &gt; 0, $B73, IF(SUMPRODUCT(-- ISNUMBER(SEARCH({"Lookup","Master-Detail"}, $B73))) &gt; 0,$B73 &amp; "(" &amp; $E73 &amp; ")",IF(SUMPRODUCT(-- ISNUMBER(SEARCH({"Formula","Roll-Up Summary"}, $B73))) &gt; 0,$B73 &amp; " (" &amp; $E73 &amp; ")",IF(SUMPRODUCT(-- ISNUMBER(SEARCH({"Content","Currency","Number","Percent","Text","URL"}, $B73))) &gt; 0,$B73 &amp; "(" &amp; $C73 &amp; ")",$B73)))), "  ", TRIM(IF($S73 = "YES", "(External ID)", "") &amp; " " &amp; IF(SUMPRODUCT(-- ISNUMBER(SEARCH({"Unique","Unique Case Insensitive"}, $R73))) &gt; 0, "(" &amp; $R73 &amp; ")", ""))))</f>
        <v>na</v>
      </c>
      <c r="E73" s="7" t="s">
        <v>195</v>
      </c>
      <c r="F73" s="7" t="s">
        <v>195</v>
      </c>
      <c r="G73" s="7" t="s">
        <v>195</v>
      </c>
      <c r="H73" s="7" t="s">
        <v>195</v>
      </c>
      <c r="I73" s="7" t="s">
        <v>195</v>
      </c>
      <c r="J73" s="7" t="s">
        <v>195</v>
      </c>
      <c r="K73" s="7" t="s">
        <v>195</v>
      </c>
      <c r="L73" s="7" t="s">
        <v>195</v>
      </c>
      <c r="M73" s="7" t="s">
        <v>29</v>
      </c>
      <c r="N73" s="7" t="s">
        <v>29</v>
      </c>
      <c r="O73" s="7" t="s">
        <v>29</v>
      </c>
      <c r="P73" s="7" t="s">
        <v>29</v>
      </c>
      <c r="Q73" s="7" t="s">
        <v>29</v>
      </c>
      <c r="R73" s="7" t="s">
        <v>29</v>
      </c>
      <c r="S73" s="7" t="s">
        <v>29</v>
      </c>
    </row>
    <row r="74" spans="2:19">
      <c r="B74" s="7" t="s">
        <v>195</v>
      </c>
      <c r="C74" s="8" t="s">
        <v>195</v>
      </c>
      <c r="D74" s="6" t="str">
        <f>LRTRIM(CONCATENATE(IF(SUMPRODUCT(-- ISNUMBER(SEARCH({"Auto Number"}, $B74))) &gt; 0, $B74, IF(SUMPRODUCT(-- ISNUMBER(SEARCH({"Lookup","Master-Detail"}, $B74))) &gt; 0,$B74 &amp; "(" &amp; $E74 &amp; ")",IF(SUMPRODUCT(-- ISNUMBER(SEARCH({"Formula","Roll-Up Summary"}, $B74))) &gt; 0,$B74 &amp; " (" &amp; $E74 &amp; ")",IF(SUMPRODUCT(-- ISNUMBER(SEARCH({"Content","Currency","Number","Percent","Text","URL"}, $B74))) &gt; 0,$B74 &amp; "(" &amp; $C74 &amp; ")",$B74)))), "  ", TRIM(IF($S74 = "YES", "(External ID)", "") &amp; " " &amp; IF(SUMPRODUCT(-- ISNUMBER(SEARCH({"Unique","Unique Case Insensitive"}, $R74))) &gt; 0, "(" &amp; $R74 &amp; ")", ""))))</f>
        <v>na</v>
      </c>
      <c r="E74" s="7" t="s">
        <v>195</v>
      </c>
      <c r="F74" s="7" t="s">
        <v>195</v>
      </c>
      <c r="G74" s="7" t="s">
        <v>195</v>
      </c>
      <c r="H74" s="7" t="s">
        <v>195</v>
      </c>
      <c r="I74" s="7" t="s">
        <v>195</v>
      </c>
      <c r="J74" s="7" t="s">
        <v>195</v>
      </c>
      <c r="K74" s="7" t="s">
        <v>195</v>
      </c>
      <c r="L74" s="7" t="s">
        <v>195</v>
      </c>
      <c r="M74" s="7" t="s">
        <v>29</v>
      </c>
      <c r="N74" s="7" t="s">
        <v>29</v>
      </c>
      <c r="O74" s="7" t="s">
        <v>29</v>
      </c>
      <c r="P74" s="7" t="s">
        <v>29</v>
      </c>
      <c r="Q74" s="7" t="s">
        <v>29</v>
      </c>
      <c r="R74" s="7" t="s">
        <v>29</v>
      </c>
      <c r="S74" s="7" t="s">
        <v>29</v>
      </c>
    </row>
    <row r="75" spans="2:19">
      <c r="B75" s="7" t="s">
        <v>195</v>
      </c>
      <c r="C75" s="8" t="s">
        <v>195</v>
      </c>
      <c r="D75" s="6" t="str">
        <f>LRTRIM(CONCATENATE(IF(SUMPRODUCT(-- ISNUMBER(SEARCH({"Auto Number"}, $B75))) &gt; 0, $B75, IF(SUMPRODUCT(-- ISNUMBER(SEARCH({"Lookup","Master-Detail"}, $B75))) &gt; 0,$B75 &amp; "(" &amp; $E75 &amp; ")",IF(SUMPRODUCT(-- ISNUMBER(SEARCH({"Formula","Roll-Up Summary"}, $B75))) &gt; 0,$B75 &amp; " (" &amp; $E75 &amp; ")",IF(SUMPRODUCT(-- ISNUMBER(SEARCH({"Content","Currency","Number","Percent","Text","URL"}, $B75))) &gt; 0,$B75 &amp; "(" &amp; $C75 &amp; ")",$B75)))), "  ", TRIM(IF($S75 = "YES", "(External ID)", "") &amp; " " &amp; IF(SUMPRODUCT(-- ISNUMBER(SEARCH({"Unique","Unique Case Insensitive"}, $R75))) &gt; 0, "(" &amp; $R75 &amp; ")", ""))))</f>
        <v>na</v>
      </c>
      <c r="E75" s="7" t="s">
        <v>195</v>
      </c>
      <c r="F75" s="7" t="s">
        <v>195</v>
      </c>
      <c r="G75" s="7" t="s">
        <v>195</v>
      </c>
      <c r="H75" s="7" t="s">
        <v>195</v>
      </c>
      <c r="I75" s="7" t="s">
        <v>195</v>
      </c>
      <c r="J75" s="7" t="s">
        <v>195</v>
      </c>
      <c r="K75" s="7" t="s">
        <v>195</v>
      </c>
      <c r="L75" s="7" t="s">
        <v>195</v>
      </c>
      <c r="M75" s="7" t="s">
        <v>29</v>
      </c>
      <c r="N75" s="7" t="s">
        <v>29</v>
      </c>
      <c r="O75" s="7" t="s">
        <v>29</v>
      </c>
      <c r="P75" s="7" t="s">
        <v>29</v>
      </c>
      <c r="Q75" s="7" t="s">
        <v>29</v>
      </c>
      <c r="R75" s="7" t="s">
        <v>29</v>
      </c>
      <c r="S75" s="7" t="s">
        <v>29</v>
      </c>
    </row>
    <row r="76" spans="2:19">
      <c r="B76" s="7" t="s">
        <v>195</v>
      </c>
      <c r="C76" s="8" t="s">
        <v>195</v>
      </c>
      <c r="D76" s="6" t="str">
        <f>LRTRIM(CONCATENATE(IF(SUMPRODUCT(-- ISNUMBER(SEARCH({"Auto Number"}, $B76))) &gt; 0, $B76, IF(SUMPRODUCT(-- ISNUMBER(SEARCH({"Lookup","Master-Detail"}, $B76))) &gt; 0,$B76 &amp; "(" &amp; $E76 &amp; ")",IF(SUMPRODUCT(-- ISNUMBER(SEARCH({"Formula","Roll-Up Summary"}, $B76))) &gt; 0,$B76 &amp; " (" &amp; $E76 &amp; ")",IF(SUMPRODUCT(-- ISNUMBER(SEARCH({"Content","Currency","Number","Percent","Text","URL"}, $B76))) &gt; 0,$B76 &amp; "(" &amp; $C76 &amp; ")",$B76)))), "  ", TRIM(IF($S76 = "YES", "(External ID)", "") &amp; " " &amp; IF(SUMPRODUCT(-- ISNUMBER(SEARCH({"Unique","Unique Case Insensitive"}, $R76))) &gt; 0, "(" &amp; $R76 &amp; ")", ""))))</f>
        <v>na</v>
      </c>
      <c r="E76" s="7" t="s">
        <v>195</v>
      </c>
      <c r="F76" s="7" t="s">
        <v>195</v>
      </c>
      <c r="G76" s="7" t="s">
        <v>195</v>
      </c>
      <c r="H76" s="7" t="s">
        <v>195</v>
      </c>
      <c r="I76" s="7" t="s">
        <v>195</v>
      </c>
      <c r="J76" s="7" t="s">
        <v>195</v>
      </c>
      <c r="K76" s="7" t="s">
        <v>195</v>
      </c>
      <c r="L76" s="7" t="s">
        <v>195</v>
      </c>
      <c r="M76" s="7" t="s">
        <v>29</v>
      </c>
      <c r="N76" s="7" t="s">
        <v>29</v>
      </c>
      <c r="O76" s="7" t="s">
        <v>29</v>
      </c>
      <c r="P76" s="7" t="s">
        <v>29</v>
      </c>
      <c r="Q76" s="7" t="s">
        <v>29</v>
      </c>
      <c r="R76" s="7" t="s">
        <v>29</v>
      </c>
      <c r="S76" s="7" t="s">
        <v>29</v>
      </c>
    </row>
    <row r="77" spans="2:19">
      <c r="B77" s="7" t="s">
        <v>195</v>
      </c>
      <c r="C77" s="8" t="s">
        <v>195</v>
      </c>
      <c r="D77" s="6" t="str">
        <f>LRTRIM(CONCATENATE(IF(SUMPRODUCT(-- ISNUMBER(SEARCH({"Auto Number"}, $B77))) &gt; 0, $B77, IF(SUMPRODUCT(-- ISNUMBER(SEARCH({"Lookup","Master-Detail"}, $B77))) &gt; 0,$B77 &amp; "(" &amp; $E77 &amp; ")",IF(SUMPRODUCT(-- ISNUMBER(SEARCH({"Formula","Roll-Up Summary"}, $B77))) &gt; 0,$B77 &amp; " (" &amp; $E77 &amp; ")",IF(SUMPRODUCT(-- ISNUMBER(SEARCH({"Content","Currency","Number","Percent","Text","URL"}, $B77))) &gt; 0,$B77 &amp; "(" &amp; $C77 &amp; ")",$B77)))), "  ", TRIM(IF($S77 = "YES", "(External ID)", "") &amp; " " &amp; IF(SUMPRODUCT(-- ISNUMBER(SEARCH({"Unique","Unique Case Insensitive"}, $R77))) &gt; 0, "(" &amp; $R77 &amp; ")", ""))))</f>
        <v>na</v>
      </c>
      <c r="E77" s="7" t="s">
        <v>195</v>
      </c>
      <c r="F77" s="7" t="s">
        <v>195</v>
      </c>
      <c r="G77" s="7" t="s">
        <v>195</v>
      </c>
      <c r="H77" s="7" t="s">
        <v>195</v>
      </c>
      <c r="I77" s="7" t="s">
        <v>195</v>
      </c>
      <c r="J77" s="7" t="s">
        <v>195</v>
      </c>
      <c r="K77" s="7" t="s">
        <v>195</v>
      </c>
      <c r="L77" s="7" t="s">
        <v>195</v>
      </c>
      <c r="M77" s="7" t="s">
        <v>29</v>
      </c>
      <c r="N77" s="7" t="s">
        <v>29</v>
      </c>
      <c r="O77" s="7" t="s">
        <v>29</v>
      </c>
      <c r="P77" s="7" t="s">
        <v>29</v>
      </c>
      <c r="Q77" s="7" t="s">
        <v>29</v>
      </c>
      <c r="R77" s="7" t="s">
        <v>29</v>
      </c>
      <c r="S77" s="7" t="s">
        <v>29</v>
      </c>
    </row>
    <row r="78" spans="2:19">
      <c r="B78" s="7" t="s">
        <v>195</v>
      </c>
      <c r="C78" s="8" t="s">
        <v>195</v>
      </c>
      <c r="D78" s="6" t="str">
        <f>LRTRIM(CONCATENATE(IF(SUMPRODUCT(-- ISNUMBER(SEARCH({"Auto Number"}, $B78))) &gt; 0, $B78, IF(SUMPRODUCT(-- ISNUMBER(SEARCH({"Lookup","Master-Detail"}, $B78))) &gt; 0,$B78 &amp; "(" &amp; $E78 &amp; ")",IF(SUMPRODUCT(-- ISNUMBER(SEARCH({"Formula","Roll-Up Summary"}, $B78))) &gt; 0,$B78 &amp; " (" &amp; $E78 &amp; ")",IF(SUMPRODUCT(-- ISNUMBER(SEARCH({"Content","Currency","Number","Percent","Text","URL"}, $B78))) &gt; 0,$B78 &amp; "(" &amp; $C78 &amp; ")",$B78)))), "  ", TRIM(IF($S78 = "YES", "(External ID)", "") &amp; " " &amp; IF(SUMPRODUCT(-- ISNUMBER(SEARCH({"Unique","Unique Case Insensitive"}, $R78))) &gt; 0, "(" &amp; $R78 &amp; ")", ""))))</f>
        <v>na</v>
      </c>
      <c r="E78" s="7" t="s">
        <v>195</v>
      </c>
      <c r="F78" s="7" t="s">
        <v>195</v>
      </c>
      <c r="G78" s="7" t="s">
        <v>195</v>
      </c>
      <c r="H78" s="7" t="s">
        <v>195</v>
      </c>
      <c r="I78" s="7" t="s">
        <v>195</v>
      </c>
      <c r="J78" s="7" t="s">
        <v>195</v>
      </c>
      <c r="K78" s="7" t="s">
        <v>195</v>
      </c>
      <c r="L78" s="7" t="s">
        <v>195</v>
      </c>
      <c r="M78" s="7" t="s">
        <v>29</v>
      </c>
      <c r="N78" s="7" t="s">
        <v>29</v>
      </c>
      <c r="O78" s="7" t="s">
        <v>29</v>
      </c>
      <c r="P78" s="7" t="s">
        <v>29</v>
      </c>
      <c r="Q78" s="7" t="s">
        <v>29</v>
      </c>
      <c r="R78" s="7" t="s">
        <v>29</v>
      </c>
      <c r="S78" s="7" t="s">
        <v>29</v>
      </c>
    </row>
    <row r="79" spans="2:19">
      <c r="B79" s="7" t="s">
        <v>195</v>
      </c>
      <c r="C79" s="8" t="s">
        <v>195</v>
      </c>
      <c r="D79" s="6" t="str">
        <f>LRTRIM(CONCATENATE(IF(SUMPRODUCT(-- ISNUMBER(SEARCH({"Auto Number"}, $B79))) &gt; 0, $B79, IF(SUMPRODUCT(-- ISNUMBER(SEARCH({"Lookup","Master-Detail"}, $B79))) &gt; 0,$B79 &amp; "(" &amp; $E79 &amp; ")",IF(SUMPRODUCT(-- ISNUMBER(SEARCH({"Formula","Roll-Up Summary"}, $B79))) &gt; 0,$B79 &amp; " (" &amp; $E79 &amp; ")",IF(SUMPRODUCT(-- ISNUMBER(SEARCH({"Content","Currency","Number","Percent","Text","URL"}, $B79))) &gt; 0,$B79 &amp; "(" &amp; $C79 &amp; ")",$B79)))), "  ", TRIM(IF($S79 = "YES", "(External ID)", "") &amp; " " &amp; IF(SUMPRODUCT(-- ISNUMBER(SEARCH({"Unique","Unique Case Insensitive"}, $R79))) &gt; 0, "(" &amp; $R79 &amp; ")", ""))))</f>
        <v>na</v>
      </c>
      <c r="E79" s="7" t="s">
        <v>195</v>
      </c>
      <c r="F79" s="7" t="s">
        <v>195</v>
      </c>
      <c r="G79" s="7" t="s">
        <v>195</v>
      </c>
      <c r="H79" s="7" t="s">
        <v>195</v>
      </c>
      <c r="I79" s="7" t="s">
        <v>195</v>
      </c>
      <c r="J79" s="7" t="s">
        <v>195</v>
      </c>
      <c r="K79" s="7" t="s">
        <v>195</v>
      </c>
      <c r="L79" s="7" t="s">
        <v>195</v>
      </c>
      <c r="M79" s="7" t="s">
        <v>29</v>
      </c>
      <c r="N79" s="7" t="s">
        <v>29</v>
      </c>
      <c r="O79" s="7" t="s">
        <v>29</v>
      </c>
      <c r="P79" s="7" t="s">
        <v>29</v>
      </c>
      <c r="Q79" s="7" t="s">
        <v>29</v>
      </c>
      <c r="R79" s="7" t="s">
        <v>29</v>
      </c>
      <c r="S79" s="7" t="s">
        <v>29</v>
      </c>
    </row>
    <row r="80" spans="2:19">
      <c r="B80" s="7" t="s">
        <v>195</v>
      </c>
      <c r="C80" s="8" t="s">
        <v>195</v>
      </c>
      <c r="D80" s="6" t="str">
        <f>LRTRIM(CONCATENATE(IF(SUMPRODUCT(-- ISNUMBER(SEARCH({"Auto Number"}, $B80))) &gt; 0, $B80, IF(SUMPRODUCT(-- ISNUMBER(SEARCH({"Lookup","Master-Detail"}, $B80))) &gt; 0,$B80 &amp; "(" &amp; $E80 &amp; ")",IF(SUMPRODUCT(-- ISNUMBER(SEARCH({"Formula","Roll-Up Summary"}, $B80))) &gt; 0,$B80 &amp; " (" &amp; $E80 &amp; ")",IF(SUMPRODUCT(-- ISNUMBER(SEARCH({"Content","Currency","Number","Percent","Text","URL"}, $B80))) &gt; 0,$B80 &amp; "(" &amp; $C80 &amp; ")",$B80)))), "  ", TRIM(IF($S80 = "YES", "(External ID)", "") &amp; " " &amp; IF(SUMPRODUCT(-- ISNUMBER(SEARCH({"Unique","Unique Case Insensitive"}, $R80))) &gt; 0, "(" &amp; $R80 &amp; ")", ""))))</f>
        <v>na</v>
      </c>
      <c r="E80" s="7" t="s">
        <v>195</v>
      </c>
      <c r="F80" s="7" t="s">
        <v>195</v>
      </c>
      <c r="G80" s="7" t="s">
        <v>195</v>
      </c>
      <c r="H80" s="7" t="s">
        <v>195</v>
      </c>
      <c r="I80" s="7" t="s">
        <v>195</v>
      </c>
      <c r="J80" s="7" t="s">
        <v>195</v>
      </c>
      <c r="K80" s="7" t="s">
        <v>195</v>
      </c>
      <c r="L80" s="7" t="s">
        <v>195</v>
      </c>
      <c r="M80" s="7" t="s">
        <v>29</v>
      </c>
      <c r="N80" s="7" t="s">
        <v>29</v>
      </c>
      <c r="O80" s="7" t="s">
        <v>29</v>
      </c>
      <c r="P80" s="7" t="s">
        <v>29</v>
      </c>
      <c r="Q80" s="7" t="s">
        <v>29</v>
      </c>
      <c r="R80" s="7" t="s">
        <v>29</v>
      </c>
      <c r="S80" s="7" t="s">
        <v>29</v>
      </c>
    </row>
    <row r="81" spans="2:19">
      <c r="B81" s="7" t="s">
        <v>195</v>
      </c>
      <c r="C81" s="8" t="s">
        <v>195</v>
      </c>
      <c r="D81" s="6" t="str">
        <f>LRTRIM(CONCATENATE(IF(SUMPRODUCT(-- ISNUMBER(SEARCH({"Auto Number"}, $B81))) &gt; 0, $B81, IF(SUMPRODUCT(-- ISNUMBER(SEARCH({"Lookup","Master-Detail"}, $B81))) &gt; 0,$B81 &amp; "(" &amp; $E81 &amp; ")",IF(SUMPRODUCT(-- ISNUMBER(SEARCH({"Formula","Roll-Up Summary"}, $B81))) &gt; 0,$B81 &amp; " (" &amp; $E81 &amp; ")",IF(SUMPRODUCT(-- ISNUMBER(SEARCH({"Content","Currency","Number","Percent","Text","URL"}, $B81))) &gt; 0,$B81 &amp; "(" &amp; $C81 &amp; ")",$B81)))), "  ", TRIM(IF($S81 = "YES", "(External ID)", "") &amp; " " &amp; IF(SUMPRODUCT(-- ISNUMBER(SEARCH({"Unique","Unique Case Insensitive"}, $R81))) &gt; 0, "(" &amp; $R81 &amp; ")", ""))))</f>
        <v>na</v>
      </c>
      <c r="E81" s="7" t="s">
        <v>195</v>
      </c>
      <c r="F81" s="7" t="s">
        <v>195</v>
      </c>
      <c r="G81" s="7" t="s">
        <v>195</v>
      </c>
      <c r="H81" s="7" t="s">
        <v>195</v>
      </c>
      <c r="I81" s="7" t="s">
        <v>195</v>
      </c>
      <c r="J81" s="7" t="s">
        <v>195</v>
      </c>
      <c r="K81" s="7" t="s">
        <v>195</v>
      </c>
      <c r="L81" s="7" t="s">
        <v>195</v>
      </c>
      <c r="M81" s="7" t="s">
        <v>29</v>
      </c>
      <c r="N81" s="7" t="s">
        <v>29</v>
      </c>
      <c r="O81" s="7" t="s">
        <v>29</v>
      </c>
      <c r="P81" s="7" t="s">
        <v>29</v>
      </c>
      <c r="Q81" s="7" t="s">
        <v>29</v>
      </c>
      <c r="R81" s="7" t="s">
        <v>29</v>
      </c>
      <c r="S81" s="7" t="s">
        <v>29</v>
      </c>
    </row>
    <row r="82" spans="2:19">
      <c r="B82" s="7" t="s">
        <v>195</v>
      </c>
      <c r="C82" s="8" t="s">
        <v>195</v>
      </c>
      <c r="D82" s="6" t="str">
        <f>LRTRIM(CONCATENATE(IF(SUMPRODUCT(-- ISNUMBER(SEARCH({"Auto Number"}, $B82))) &gt; 0, $B82, IF(SUMPRODUCT(-- ISNUMBER(SEARCH({"Lookup","Master-Detail"}, $B82))) &gt; 0,$B82 &amp; "(" &amp; $E82 &amp; ")",IF(SUMPRODUCT(-- ISNUMBER(SEARCH({"Formula","Roll-Up Summary"}, $B82))) &gt; 0,$B82 &amp; " (" &amp; $E82 &amp; ")",IF(SUMPRODUCT(-- ISNUMBER(SEARCH({"Content","Currency","Number","Percent","Text","URL"}, $B82))) &gt; 0,$B82 &amp; "(" &amp; $C82 &amp; ")",$B82)))), "  ", TRIM(IF($S82 = "YES", "(External ID)", "") &amp; " " &amp; IF(SUMPRODUCT(-- ISNUMBER(SEARCH({"Unique","Unique Case Insensitive"}, $R82))) &gt; 0, "(" &amp; $R82 &amp; ")", ""))))</f>
        <v>na</v>
      </c>
      <c r="E82" s="7" t="s">
        <v>195</v>
      </c>
      <c r="F82" s="7" t="s">
        <v>195</v>
      </c>
      <c r="G82" s="7" t="s">
        <v>195</v>
      </c>
      <c r="H82" s="7" t="s">
        <v>195</v>
      </c>
      <c r="I82" s="7" t="s">
        <v>195</v>
      </c>
      <c r="J82" s="7" t="s">
        <v>195</v>
      </c>
      <c r="K82" s="7" t="s">
        <v>195</v>
      </c>
      <c r="L82" s="7" t="s">
        <v>195</v>
      </c>
      <c r="M82" s="7" t="s">
        <v>29</v>
      </c>
      <c r="N82" s="7" t="s">
        <v>29</v>
      </c>
      <c r="O82" s="7" t="s">
        <v>29</v>
      </c>
      <c r="P82" s="7" t="s">
        <v>29</v>
      </c>
      <c r="Q82" s="7" t="s">
        <v>29</v>
      </c>
      <c r="R82" s="7" t="s">
        <v>29</v>
      </c>
      <c r="S82" s="7" t="s">
        <v>29</v>
      </c>
    </row>
    <row r="83" spans="2:19">
      <c r="B83" s="7" t="s">
        <v>195</v>
      </c>
      <c r="C83" s="8" t="s">
        <v>195</v>
      </c>
      <c r="D83" s="6" t="str">
        <f>LRTRIM(CONCATENATE(IF(SUMPRODUCT(-- ISNUMBER(SEARCH({"Auto Number"}, $B83))) &gt; 0, $B83, IF(SUMPRODUCT(-- ISNUMBER(SEARCH({"Lookup","Master-Detail"}, $B83))) &gt; 0,$B83 &amp; "(" &amp; $E83 &amp; ")",IF(SUMPRODUCT(-- ISNUMBER(SEARCH({"Formula","Roll-Up Summary"}, $B83))) &gt; 0,$B83 &amp; " (" &amp; $E83 &amp; ")",IF(SUMPRODUCT(-- ISNUMBER(SEARCH({"Content","Currency","Number","Percent","Text","URL"}, $B83))) &gt; 0,$B83 &amp; "(" &amp; $C83 &amp; ")",$B83)))), "  ", TRIM(IF($S83 = "YES", "(External ID)", "") &amp; " " &amp; IF(SUMPRODUCT(-- ISNUMBER(SEARCH({"Unique","Unique Case Insensitive"}, $R83))) &gt; 0, "(" &amp; $R83 &amp; ")", ""))))</f>
        <v>na</v>
      </c>
      <c r="E83" s="7" t="s">
        <v>195</v>
      </c>
      <c r="F83" s="7" t="s">
        <v>195</v>
      </c>
      <c r="G83" s="7" t="s">
        <v>195</v>
      </c>
      <c r="H83" s="7" t="s">
        <v>195</v>
      </c>
      <c r="I83" s="7" t="s">
        <v>195</v>
      </c>
      <c r="J83" s="7" t="s">
        <v>195</v>
      </c>
      <c r="K83" s="7" t="s">
        <v>195</v>
      </c>
      <c r="L83" s="7" t="s">
        <v>195</v>
      </c>
      <c r="M83" s="7" t="s">
        <v>29</v>
      </c>
      <c r="N83" s="7" t="s">
        <v>29</v>
      </c>
      <c r="O83" s="7" t="s">
        <v>29</v>
      </c>
      <c r="P83" s="7" t="s">
        <v>29</v>
      </c>
      <c r="Q83" s="7" t="s">
        <v>29</v>
      </c>
      <c r="R83" s="7" t="s">
        <v>29</v>
      </c>
      <c r="S83" s="7" t="s">
        <v>29</v>
      </c>
    </row>
    <row r="84" spans="2:19">
      <c r="B84" s="7" t="s">
        <v>195</v>
      </c>
      <c r="C84" s="8" t="s">
        <v>195</v>
      </c>
      <c r="D84" s="6" t="str">
        <f>LRTRIM(CONCATENATE(IF(SUMPRODUCT(-- ISNUMBER(SEARCH({"Auto Number"}, $B84))) &gt; 0, $B84, IF(SUMPRODUCT(-- ISNUMBER(SEARCH({"Lookup","Master-Detail"}, $B84))) &gt; 0,$B84 &amp; "(" &amp; $E84 &amp; ")",IF(SUMPRODUCT(-- ISNUMBER(SEARCH({"Formula","Roll-Up Summary"}, $B84))) &gt; 0,$B84 &amp; " (" &amp; $E84 &amp; ")",IF(SUMPRODUCT(-- ISNUMBER(SEARCH({"Content","Currency","Number","Percent","Text","URL"}, $B84))) &gt; 0,$B84 &amp; "(" &amp; $C84 &amp; ")",$B84)))), "  ", TRIM(IF($S84 = "YES", "(External ID)", "") &amp; " " &amp; IF(SUMPRODUCT(-- ISNUMBER(SEARCH({"Unique","Unique Case Insensitive"}, $R84))) &gt; 0, "(" &amp; $R84 &amp; ")", ""))))</f>
        <v>na</v>
      </c>
      <c r="E84" s="7" t="s">
        <v>195</v>
      </c>
      <c r="F84" s="7" t="s">
        <v>195</v>
      </c>
      <c r="G84" s="7" t="s">
        <v>195</v>
      </c>
      <c r="H84" s="7" t="s">
        <v>195</v>
      </c>
      <c r="I84" s="7" t="s">
        <v>195</v>
      </c>
      <c r="J84" s="7" t="s">
        <v>195</v>
      </c>
      <c r="K84" s="7" t="s">
        <v>195</v>
      </c>
      <c r="L84" s="7" t="s">
        <v>195</v>
      </c>
      <c r="M84" s="7" t="s">
        <v>29</v>
      </c>
      <c r="N84" s="7" t="s">
        <v>29</v>
      </c>
      <c r="O84" s="7" t="s">
        <v>29</v>
      </c>
      <c r="P84" s="7" t="s">
        <v>29</v>
      </c>
      <c r="Q84" s="7" t="s">
        <v>29</v>
      </c>
      <c r="R84" s="7" t="s">
        <v>29</v>
      </c>
      <c r="S84" s="7" t="s">
        <v>29</v>
      </c>
    </row>
    <row r="85" spans="2:19">
      <c r="B85" s="7" t="s">
        <v>195</v>
      </c>
      <c r="C85" s="8" t="s">
        <v>195</v>
      </c>
      <c r="D85" s="6" t="str">
        <f>LRTRIM(CONCATENATE(IF(SUMPRODUCT(-- ISNUMBER(SEARCH({"Auto Number"}, $B85))) &gt; 0, $B85, IF(SUMPRODUCT(-- ISNUMBER(SEARCH({"Lookup","Master-Detail"}, $B85))) &gt; 0,$B85 &amp; "(" &amp; $E85 &amp; ")",IF(SUMPRODUCT(-- ISNUMBER(SEARCH({"Formula","Roll-Up Summary"}, $B85))) &gt; 0,$B85 &amp; " (" &amp; $E85 &amp; ")",IF(SUMPRODUCT(-- ISNUMBER(SEARCH({"Content","Currency","Number","Percent","Text","URL"}, $B85))) &gt; 0,$B85 &amp; "(" &amp; $C85 &amp; ")",$B85)))), "  ", TRIM(IF($S85 = "YES", "(External ID)", "") &amp; " " &amp; IF(SUMPRODUCT(-- ISNUMBER(SEARCH({"Unique","Unique Case Insensitive"}, $R85))) &gt; 0, "(" &amp; $R85 &amp; ")", ""))))</f>
        <v>na</v>
      </c>
      <c r="E85" s="7" t="s">
        <v>195</v>
      </c>
      <c r="F85" s="7" t="s">
        <v>195</v>
      </c>
      <c r="G85" s="7" t="s">
        <v>195</v>
      </c>
      <c r="H85" s="7" t="s">
        <v>195</v>
      </c>
      <c r="I85" s="7" t="s">
        <v>195</v>
      </c>
      <c r="J85" s="7" t="s">
        <v>195</v>
      </c>
      <c r="K85" s="7" t="s">
        <v>195</v>
      </c>
      <c r="L85" s="7" t="s">
        <v>195</v>
      </c>
      <c r="M85" s="7" t="s">
        <v>29</v>
      </c>
      <c r="N85" s="7" t="s">
        <v>29</v>
      </c>
      <c r="O85" s="7" t="s">
        <v>29</v>
      </c>
      <c r="P85" s="7" t="s">
        <v>29</v>
      </c>
      <c r="Q85" s="7" t="s">
        <v>29</v>
      </c>
      <c r="R85" s="7" t="s">
        <v>29</v>
      </c>
      <c r="S85" s="7" t="s">
        <v>29</v>
      </c>
    </row>
    <row r="86" spans="2:19">
      <c r="B86" s="7" t="s">
        <v>195</v>
      </c>
      <c r="C86" s="8" t="s">
        <v>195</v>
      </c>
      <c r="D86" s="6" t="str">
        <f>LRTRIM(CONCATENATE(IF(SUMPRODUCT(-- ISNUMBER(SEARCH({"Auto Number"}, $B86))) &gt; 0, $B86, IF(SUMPRODUCT(-- ISNUMBER(SEARCH({"Lookup","Master-Detail"}, $B86))) &gt; 0,$B86 &amp; "(" &amp; $E86 &amp; ")",IF(SUMPRODUCT(-- ISNUMBER(SEARCH({"Formula","Roll-Up Summary"}, $B86))) &gt; 0,$B86 &amp; " (" &amp; $E86 &amp; ")",IF(SUMPRODUCT(-- ISNUMBER(SEARCH({"Content","Currency","Number","Percent","Text","URL"}, $B86))) &gt; 0,$B86 &amp; "(" &amp; $C86 &amp; ")",$B86)))), "  ", TRIM(IF($S86 = "YES", "(External ID)", "") &amp; " " &amp; IF(SUMPRODUCT(-- ISNUMBER(SEARCH({"Unique","Unique Case Insensitive"}, $R86))) &gt; 0, "(" &amp; $R86 &amp; ")", ""))))</f>
        <v>na</v>
      </c>
      <c r="E86" s="7" t="s">
        <v>195</v>
      </c>
      <c r="F86" s="7" t="s">
        <v>195</v>
      </c>
      <c r="G86" s="7" t="s">
        <v>195</v>
      </c>
      <c r="H86" s="7" t="s">
        <v>195</v>
      </c>
      <c r="I86" s="7" t="s">
        <v>195</v>
      </c>
      <c r="J86" s="7" t="s">
        <v>195</v>
      </c>
      <c r="K86" s="7" t="s">
        <v>195</v>
      </c>
      <c r="L86" s="7" t="s">
        <v>195</v>
      </c>
      <c r="M86" s="7" t="s">
        <v>29</v>
      </c>
      <c r="N86" s="7" t="s">
        <v>29</v>
      </c>
      <c r="O86" s="7" t="s">
        <v>29</v>
      </c>
      <c r="P86" s="7" t="s">
        <v>29</v>
      </c>
      <c r="Q86" s="7" t="s">
        <v>29</v>
      </c>
      <c r="R86" s="7" t="s">
        <v>29</v>
      </c>
      <c r="S86" s="7" t="s">
        <v>29</v>
      </c>
    </row>
    <row r="87" spans="2:19">
      <c r="B87" s="7" t="s">
        <v>195</v>
      </c>
      <c r="C87" s="8" t="s">
        <v>195</v>
      </c>
      <c r="D87" s="6" t="str">
        <f>LRTRIM(CONCATENATE(IF(SUMPRODUCT(-- ISNUMBER(SEARCH({"Auto Number"}, $B87))) &gt; 0, $B87, IF(SUMPRODUCT(-- ISNUMBER(SEARCH({"Lookup","Master-Detail"}, $B87))) &gt; 0,$B87 &amp; "(" &amp; $E87 &amp; ")",IF(SUMPRODUCT(-- ISNUMBER(SEARCH({"Formula","Roll-Up Summary"}, $B87))) &gt; 0,$B87 &amp; " (" &amp; $E87 &amp; ")",IF(SUMPRODUCT(-- ISNUMBER(SEARCH({"Content","Currency","Number","Percent","Text","URL"}, $B87))) &gt; 0,$B87 &amp; "(" &amp; $C87 &amp; ")",$B87)))), "  ", TRIM(IF($S87 = "YES", "(External ID)", "") &amp; " " &amp; IF(SUMPRODUCT(-- ISNUMBER(SEARCH({"Unique","Unique Case Insensitive"}, $R87))) &gt; 0, "(" &amp; $R87 &amp; ")", ""))))</f>
        <v>na</v>
      </c>
      <c r="E87" s="7" t="s">
        <v>195</v>
      </c>
      <c r="F87" s="7" t="s">
        <v>195</v>
      </c>
      <c r="G87" s="7" t="s">
        <v>195</v>
      </c>
      <c r="H87" s="7" t="s">
        <v>195</v>
      </c>
      <c r="I87" s="7" t="s">
        <v>195</v>
      </c>
      <c r="J87" s="7" t="s">
        <v>195</v>
      </c>
      <c r="K87" s="7" t="s">
        <v>195</v>
      </c>
      <c r="L87" s="7" t="s">
        <v>195</v>
      </c>
      <c r="M87" s="7" t="s">
        <v>29</v>
      </c>
      <c r="N87" s="7" t="s">
        <v>29</v>
      </c>
      <c r="O87" s="7" t="s">
        <v>29</v>
      </c>
      <c r="P87" s="7" t="s">
        <v>29</v>
      </c>
      <c r="Q87" s="7" t="s">
        <v>29</v>
      </c>
      <c r="R87" s="7" t="s">
        <v>29</v>
      </c>
      <c r="S87" s="7" t="s">
        <v>29</v>
      </c>
    </row>
    <row r="88" spans="2:19">
      <c r="B88" s="7" t="s">
        <v>195</v>
      </c>
      <c r="C88" s="8" t="s">
        <v>195</v>
      </c>
      <c r="D88" s="6" t="str">
        <f>LRTRIM(CONCATENATE(IF(SUMPRODUCT(-- ISNUMBER(SEARCH({"Auto Number"}, $B88))) &gt; 0, $B88, IF(SUMPRODUCT(-- ISNUMBER(SEARCH({"Lookup","Master-Detail"}, $B88))) &gt; 0,$B88 &amp; "(" &amp; $E88 &amp; ")",IF(SUMPRODUCT(-- ISNUMBER(SEARCH({"Formula","Roll-Up Summary"}, $B88))) &gt; 0,$B88 &amp; " (" &amp; $E88 &amp; ")",IF(SUMPRODUCT(-- ISNUMBER(SEARCH({"Content","Currency","Number","Percent","Text","URL"}, $B88))) &gt; 0,$B88 &amp; "(" &amp; $C88 &amp; ")",$B88)))), "  ", TRIM(IF($S88 = "YES", "(External ID)", "") &amp; " " &amp; IF(SUMPRODUCT(-- ISNUMBER(SEARCH({"Unique","Unique Case Insensitive"}, $R88))) &gt; 0, "(" &amp; $R88 &amp; ")", ""))))</f>
        <v>na</v>
      </c>
      <c r="E88" s="7" t="s">
        <v>195</v>
      </c>
      <c r="F88" s="7" t="s">
        <v>195</v>
      </c>
      <c r="G88" s="7" t="s">
        <v>195</v>
      </c>
      <c r="H88" s="7" t="s">
        <v>195</v>
      </c>
      <c r="I88" s="7" t="s">
        <v>195</v>
      </c>
      <c r="J88" s="7" t="s">
        <v>195</v>
      </c>
      <c r="K88" s="7" t="s">
        <v>195</v>
      </c>
      <c r="L88" s="7" t="s">
        <v>195</v>
      </c>
      <c r="M88" s="7" t="s">
        <v>29</v>
      </c>
      <c r="N88" s="7" t="s">
        <v>29</v>
      </c>
      <c r="O88" s="7" t="s">
        <v>29</v>
      </c>
      <c r="P88" s="7" t="s">
        <v>29</v>
      </c>
      <c r="Q88" s="7" t="s">
        <v>29</v>
      </c>
      <c r="R88" s="7" t="s">
        <v>29</v>
      </c>
      <c r="S88" s="7" t="s">
        <v>29</v>
      </c>
    </row>
    <row r="89" spans="2:19">
      <c r="B89" s="7" t="s">
        <v>195</v>
      </c>
      <c r="C89" s="8" t="s">
        <v>195</v>
      </c>
      <c r="D89" s="6" t="str">
        <f>LRTRIM(CONCATENATE(IF(SUMPRODUCT(-- ISNUMBER(SEARCH({"Auto Number"}, $B89))) &gt; 0, $B89, IF(SUMPRODUCT(-- ISNUMBER(SEARCH({"Lookup","Master-Detail"}, $B89))) &gt; 0,$B89 &amp; "(" &amp; $E89 &amp; ")",IF(SUMPRODUCT(-- ISNUMBER(SEARCH({"Formula","Roll-Up Summary"}, $B89))) &gt; 0,$B89 &amp; " (" &amp; $E89 &amp; ")",IF(SUMPRODUCT(-- ISNUMBER(SEARCH({"Content","Currency","Number","Percent","Text","URL"}, $B89))) &gt; 0,$B89 &amp; "(" &amp; $C89 &amp; ")",$B89)))), "  ", TRIM(IF($S89 = "YES", "(External ID)", "") &amp; " " &amp; IF(SUMPRODUCT(-- ISNUMBER(SEARCH({"Unique","Unique Case Insensitive"}, $R89))) &gt; 0, "(" &amp; $R89 &amp; ")", ""))))</f>
        <v>na</v>
      </c>
      <c r="E89" s="7" t="s">
        <v>195</v>
      </c>
      <c r="F89" s="7" t="s">
        <v>195</v>
      </c>
      <c r="G89" s="7" t="s">
        <v>195</v>
      </c>
      <c r="H89" s="7" t="s">
        <v>195</v>
      </c>
      <c r="I89" s="7" t="s">
        <v>195</v>
      </c>
      <c r="J89" s="7" t="s">
        <v>195</v>
      </c>
      <c r="K89" s="7" t="s">
        <v>195</v>
      </c>
      <c r="L89" s="7" t="s">
        <v>195</v>
      </c>
      <c r="M89" s="7" t="s">
        <v>29</v>
      </c>
      <c r="N89" s="7" t="s">
        <v>29</v>
      </c>
      <c r="O89" s="7" t="s">
        <v>29</v>
      </c>
      <c r="P89" s="7" t="s">
        <v>29</v>
      </c>
      <c r="Q89" s="7" t="s">
        <v>29</v>
      </c>
      <c r="R89" s="7" t="s">
        <v>29</v>
      </c>
      <c r="S89" s="7" t="s">
        <v>29</v>
      </c>
    </row>
    <row r="90" spans="2:19">
      <c r="B90" s="7" t="s">
        <v>195</v>
      </c>
      <c r="C90" s="8" t="s">
        <v>195</v>
      </c>
      <c r="D90" s="6" t="str">
        <f>LRTRIM(CONCATENATE(IF(SUMPRODUCT(-- ISNUMBER(SEARCH({"Auto Number"}, $B90))) &gt; 0, $B90, IF(SUMPRODUCT(-- ISNUMBER(SEARCH({"Lookup","Master-Detail"}, $B90))) &gt; 0,$B90 &amp; "(" &amp; $E90 &amp; ")",IF(SUMPRODUCT(-- ISNUMBER(SEARCH({"Formula","Roll-Up Summary"}, $B90))) &gt; 0,$B90 &amp; " (" &amp; $E90 &amp; ")",IF(SUMPRODUCT(-- ISNUMBER(SEARCH({"Content","Currency","Number","Percent","Text","URL"}, $B90))) &gt; 0,$B90 &amp; "(" &amp; $C90 &amp; ")",$B90)))), "  ", TRIM(IF($S90 = "YES", "(External ID)", "") &amp; " " &amp; IF(SUMPRODUCT(-- ISNUMBER(SEARCH({"Unique","Unique Case Insensitive"}, $R90))) &gt; 0, "(" &amp; $R90 &amp; ")", ""))))</f>
        <v>na</v>
      </c>
      <c r="E90" s="7" t="s">
        <v>195</v>
      </c>
      <c r="F90" s="7" t="s">
        <v>195</v>
      </c>
      <c r="G90" s="7" t="s">
        <v>195</v>
      </c>
      <c r="H90" s="7" t="s">
        <v>195</v>
      </c>
      <c r="I90" s="7" t="s">
        <v>195</v>
      </c>
      <c r="J90" s="7" t="s">
        <v>195</v>
      </c>
      <c r="K90" s="7" t="s">
        <v>195</v>
      </c>
      <c r="L90" s="7" t="s">
        <v>195</v>
      </c>
      <c r="M90" s="7" t="s">
        <v>29</v>
      </c>
      <c r="N90" s="7" t="s">
        <v>29</v>
      </c>
      <c r="O90" s="7" t="s">
        <v>29</v>
      </c>
      <c r="P90" s="7" t="s">
        <v>29</v>
      </c>
      <c r="Q90" s="7" t="s">
        <v>29</v>
      </c>
      <c r="R90" s="7" t="s">
        <v>29</v>
      </c>
      <c r="S90" s="7" t="s">
        <v>29</v>
      </c>
    </row>
    <row r="91" spans="2:19">
      <c r="B91" s="7" t="s">
        <v>195</v>
      </c>
      <c r="C91" s="8" t="s">
        <v>195</v>
      </c>
      <c r="D91" s="6" t="str">
        <f>LRTRIM(CONCATENATE(IF(SUMPRODUCT(-- ISNUMBER(SEARCH({"Auto Number"}, $B91))) &gt; 0, $B91, IF(SUMPRODUCT(-- ISNUMBER(SEARCH({"Lookup","Master-Detail"}, $B91))) &gt; 0,$B91 &amp; "(" &amp; $E91 &amp; ")",IF(SUMPRODUCT(-- ISNUMBER(SEARCH({"Formula","Roll-Up Summary"}, $B91))) &gt; 0,$B91 &amp; " (" &amp; $E91 &amp; ")",IF(SUMPRODUCT(-- ISNUMBER(SEARCH({"Content","Currency","Number","Percent","Text","URL"}, $B91))) &gt; 0,$B91 &amp; "(" &amp; $C91 &amp; ")",$B91)))), "  ", TRIM(IF($S91 = "YES", "(External ID)", "") &amp; " " &amp; IF(SUMPRODUCT(-- ISNUMBER(SEARCH({"Unique","Unique Case Insensitive"}, $R91))) &gt; 0, "(" &amp; $R91 &amp; ")", ""))))</f>
        <v>na</v>
      </c>
      <c r="E91" s="7" t="s">
        <v>195</v>
      </c>
      <c r="F91" s="7" t="s">
        <v>195</v>
      </c>
      <c r="G91" s="7" t="s">
        <v>195</v>
      </c>
      <c r="H91" s="7" t="s">
        <v>195</v>
      </c>
      <c r="I91" s="7" t="s">
        <v>195</v>
      </c>
      <c r="J91" s="7" t="s">
        <v>195</v>
      </c>
      <c r="K91" s="7" t="s">
        <v>195</v>
      </c>
      <c r="L91" s="7" t="s">
        <v>195</v>
      </c>
      <c r="M91" s="7" t="s">
        <v>29</v>
      </c>
      <c r="N91" s="7" t="s">
        <v>29</v>
      </c>
      <c r="O91" s="7" t="s">
        <v>29</v>
      </c>
      <c r="P91" s="7" t="s">
        <v>29</v>
      </c>
      <c r="Q91" s="7" t="s">
        <v>29</v>
      </c>
      <c r="R91" s="7" t="s">
        <v>29</v>
      </c>
      <c r="S91" s="7" t="s">
        <v>29</v>
      </c>
    </row>
    <row r="92" spans="2:19">
      <c r="B92" s="7" t="s">
        <v>195</v>
      </c>
      <c r="C92" s="8" t="s">
        <v>195</v>
      </c>
      <c r="D92" s="6" t="str">
        <f>LRTRIM(CONCATENATE(IF(SUMPRODUCT(-- ISNUMBER(SEARCH({"Auto Number"}, $B92))) &gt; 0, $B92, IF(SUMPRODUCT(-- ISNUMBER(SEARCH({"Lookup","Master-Detail"}, $B92))) &gt; 0,$B92 &amp; "(" &amp; $E92 &amp; ")",IF(SUMPRODUCT(-- ISNUMBER(SEARCH({"Formula","Roll-Up Summary"}, $B92))) &gt; 0,$B92 &amp; " (" &amp; $E92 &amp; ")",IF(SUMPRODUCT(-- ISNUMBER(SEARCH({"Content","Currency","Number","Percent","Text","URL"}, $B92))) &gt; 0,$B92 &amp; "(" &amp; $C92 &amp; ")",$B92)))), "  ", TRIM(IF($S92 = "YES", "(External ID)", "") &amp; " " &amp; IF(SUMPRODUCT(-- ISNUMBER(SEARCH({"Unique","Unique Case Insensitive"}, $R92))) &gt; 0, "(" &amp; $R92 &amp; ")", ""))))</f>
        <v>na</v>
      </c>
      <c r="E92" s="7" t="s">
        <v>195</v>
      </c>
      <c r="F92" s="7" t="s">
        <v>195</v>
      </c>
      <c r="G92" s="7" t="s">
        <v>195</v>
      </c>
      <c r="H92" s="7" t="s">
        <v>195</v>
      </c>
      <c r="I92" s="7" t="s">
        <v>195</v>
      </c>
      <c r="J92" s="7" t="s">
        <v>195</v>
      </c>
      <c r="K92" s="7" t="s">
        <v>195</v>
      </c>
      <c r="L92" s="7" t="s">
        <v>195</v>
      </c>
      <c r="M92" s="7" t="s">
        <v>29</v>
      </c>
      <c r="N92" s="7" t="s">
        <v>29</v>
      </c>
      <c r="O92" s="7" t="s">
        <v>29</v>
      </c>
      <c r="P92" s="7" t="s">
        <v>29</v>
      </c>
      <c r="Q92" s="7" t="s">
        <v>29</v>
      </c>
      <c r="R92" s="7" t="s">
        <v>29</v>
      </c>
      <c r="S92" s="7" t="s">
        <v>29</v>
      </c>
    </row>
    <row r="93" spans="2:19">
      <c r="B93" s="7" t="s">
        <v>195</v>
      </c>
      <c r="C93" s="8" t="s">
        <v>195</v>
      </c>
      <c r="D93" s="6" t="str">
        <f>LRTRIM(CONCATENATE(IF(SUMPRODUCT(-- ISNUMBER(SEARCH({"Auto Number"}, $B93))) &gt; 0, $B93, IF(SUMPRODUCT(-- ISNUMBER(SEARCH({"Lookup","Master-Detail"}, $B93))) &gt; 0,$B93 &amp; "(" &amp; $E93 &amp; ")",IF(SUMPRODUCT(-- ISNUMBER(SEARCH({"Formula","Roll-Up Summary"}, $B93))) &gt; 0,$B93 &amp; " (" &amp; $E93 &amp; ")",IF(SUMPRODUCT(-- ISNUMBER(SEARCH({"Content","Currency","Number","Percent","Text","URL"}, $B93))) &gt; 0,$B93 &amp; "(" &amp; $C93 &amp; ")",$B93)))), "  ", TRIM(IF($S93 = "YES", "(External ID)", "") &amp; " " &amp; IF(SUMPRODUCT(-- ISNUMBER(SEARCH({"Unique","Unique Case Insensitive"}, $R93))) &gt; 0, "(" &amp; $R93 &amp; ")", ""))))</f>
        <v>na</v>
      </c>
      <c r="E93" s="7" t="s">
        <v>195</v>
      </c>
      <c r="F93" s="7" t="s">
        <v>195</v>
      </c>
      <c r="G93" s="7" t="s">
        <v>195</v>
      </c>
      <c r="H93" s="7" t="s">
        <v>195</v>
      </c>
      <c r="I93" s="7" t="s">
        <v>195</v>
      </c>
      <c r="J93" s="7" t="s">
        <v>195</v>
      </c>
      <c r="K93" s="7" t="s">
        <v>195</v>
      </c>
      <c r="L93" s="7" t="s">
        <v>195</v>
      </c>
      <c r="M93" s="7" t="s">
        <v>29</v>
      </c>
      <c r="N93" s="7" t="s">
        <v>29</v>
      </c>
      <c r="O93" s="7" t="s">
        <v>29</v>
      </c>
      <c r="P93" s="7" t="s">
        <v>29</v>
      </c>
      <c r="Q93" s="7" t="s">
        <v>29</v>
      </c>
      <c r="R93" s="7" t="s">
        <v>29</v>
      </c>
      <c r="S93" s="7" t="s">
        <v>29</v>
      </c>
    </row>
    <row r="94" spans="2:19">
      <c r="B94" s="7" t="s">
        <v>195</v>
      </c>
      <c r="C94" s="8" t="s">
        <v>195</v>
      </c>
      <c r="D94" s="6" t="str">
        <f>LRTRIM(CONCATENATE(IF(SUMPRODUCT(-- ISNUMBER(SEARCH({"Auto Number"}, $B94))) &gt; 0, $B94, IF(SUMPRODUCT(-- ISNUMBER(SEARCH({"Lookup","Master-Detail"}, $B94))) &gt; 0,$B94 &amp; "(" &amp; $E94 &amp; ")",IF(SUMPRODUCT(-- ISNUMBER(SEARCH({"Formula","Roll-Up Summary"}, $B94))) &gt; 0,$B94 &amp; " (" &amp; $E94 &amp; ")",IF(SUMPRODUCT(-- ISNUMBER(SEARCH({"Content","Currency","Number","Percent","Text","URL"}, $B94))) &gt; 0,$B94 &amp; "(" &amp; $C94 &amp; ")",$B94)))), "  ", TRIM(IF($S94 = "YES", "(External ID)", "") &amp; " " &amp; IF(SUMPRODUCT(-- ISNUMBER(SEARCH({"Unique","Unique Case Insensitive"}, $R94))) &gt; 0, "(" &amp; $R94 &amp; ")", ""))))</f>
        <v>na</v>
      </c>
      <c r="E94" s="7" t="s">
        <v>195</v>
      </c>
      <c r="F94" s="7" t="s">
        <v>195</v>
      </c>
      <c r="G94" s="7" t="s">
        <v>195</v>
      </c>
      <c r="H94" s="7" t="s">
        <v>195</v>
      </c>
      <c r="I94" s="7" t="s">
        <v>195</v>
      </c>
      <c r="J94" s="7" t="s">
        <v>195</v>
      </c>
      <c r="K94" s="7" t="s">
        <v>195</v>
      </c>
      <c r="L94" s="7" t="s">
        <v>195</v>
      </c>
      <c r="M94" s="7" t="s">
        <v>29</v>
      </c>
      <c r="N94" s="7" t="s">
        <v>29</v>
      </c>
      <c r="O94" s="7" t="s">
        <v>29</v>
      </c>
      <c r="P94" s="7" t="s">
        <v>29</v>
      </c>
      <c r="Q94" s="7" t="s">
        <v>29</v>
      </c>
      <c r="R94" s="7" t="s">
        <v>29</v>
      </c>
      <c r="S94" s="7" t="s">
        <v>29</v>
      </c>
    </row>
    <row r="95" spans="2:19">
      <c r="B95" s="7" t="s">
        <v>195</v>
      </c>
      <c r="C95" s="8" t="s">
        <v>195</v>
      </c>
      <c r="D95" s="6" t="str">
        <f>LRTRIM(CONCATENATE(IF(SUMPRODUCT(-- ISNUMBER(SEARCH({"Auto Number"}, $B95))) &gt; 0, $B95, IF(SUMPRODUCT(-- ISNUMBER(SEARCH({"Lookup","Master-Detail"}, $B95))) &gt; 0,$B95 &amp; "(" &amp; $E95 &amp; ")",IF(SUMPRODUCT(-- ISNUMBER(SEARCH({"Formula","Roll-Up Summary"}, $B95))) &gt; 0,$B95 &amp; " (" &amp; $E95 &amp; ")",IF(SUMPRODUCT(-- ISNUMBER(SEARCH({"Content","Currency","Number","Percent","Text","URL"}, $B95))) &gt; 0,$B95 &amp; "(" &amp; $C95 &amp; ")",$B95)))), "  ", TRIM(IF($S95 = "YES", "(External ID)", "") &amp; " " &amp; IF(SUMPRODUCT(-- ISNUMBER(SEARCH({"Unique","Unique Case Insensitive"}, $R95))) &gt; 0, "(" &amp; $R95 &amp; ")", ""))))</f>
        <v>na</v>
      </c>
      <c r="E95" s="7" t="s">
        <v>195</v>
      </c>
      <c r="F95" s="7" t="s">
        <v>195</v>
      </c>
      <c r="G95" s="7" t="s">
        <v>195</v>
      </c>
      <c r="H95" s="7" t="s">
        <v>195</v>
      </c>
      <c r="I95" s="7" t="s">
        <v>195</v>
      </c>
      <c r="J95" s="7" t="s">
        <v>195</v>
      </c>
      <c r="K95" s="7" t="s">
        <v>195</v>
      </c>
      <c r="L95" s="7" t="s">
        <v>195</v>
      </c>
      <c r="M95" s="7" t="s">
        <v>29</v>
      </c>
      <c r="N95" s="7" t="s">
        <v>29</v>
      </c>
      <c r="O95" s="7" t="s">
        <v>29</v>
      </c>
      <c r="P95" s="7" t="s">
        <v>29</v>
      </c>
      <c r="Q95" s="7" t="s">
        <v>29</v>
      </c>
      <c r="R95" s="7" t="s">
        <v>29</v>
      </c>
      <c r="S95" s="7" t="s">
        <v>29</v>
      </c>
    </row>
    <row r="96" spans="2:19">
      <c r="B96" s="7" t="s">
        <v>195</v>
      </c>
      <c r="C96" s="8" t="s">
        <v>195</v>
      </c>
      <c r="D96" s="6" t="str">
        <f>LRTRIM(CONCATENATE(IF(SUMPRODUCT(-- ISNUMBER(SEARCH({"Auto Number"}, $B96))) &gt; 0, $B96, IF(SUMPRODUCT(-- ISNUMBER(SEARCH({"Lookup","Master-Detail"}, $B96))) &gt; 0,$B96 &amp; "(" &amp; $E96 &amp; ")",IF(SUMPRODUCT(-- ISNUMBER(SEARCH({"Formula","Roll-Up Summary"}, $B96))) &gt; 0,$B96 &amp; " (" &amp; $E96 &amp; ")",IF(SUMPRODUCT(-- ISNUMBER(SEARCH({"Content","Currency","Number","Percent","Text","URL"}, $B96))) &gt; 0,$B96 &amp; "(" &amp; $C96 &amp; ")",$B96)))), "  ", TRIM(IF($S96 = "YES", "(External ID)", "") &amp; " " &amp; IF(SUMPRODUCT(-- ISNUMBER(SEARCH({"Unique","Unique Case Insensitive"}, $R96))) &gt; 0, "(" &amp; $R96 &amp; ")", ""))))</f>
        <v>na</v>
      </c>
      <c r="E96" s="7" t="s">
        <v>195</v>
      </c>
      <c r="F96" s="7" t="s">
        <v>195</v>
      </c>
      <c r="G96" s="7" t="s">
        <v>195</v>
      </c>
      <c r="H96" s="7" t="s">
        <v>195</v>
      </c>
      <c r="I96" s="7" t="s">
        <v>195</v>
      </c>
      <c r="J96" s="7" t="s">
        <v>195</v>
      </c>
      <c r="K96" s="7" t="s">
        <v>195</v>
      </c>
      <c r="L96" s="7" t="s">
        <v>195</v>
      </c>
      <c r="M96" s="7" t="s">
        <v>29</v>
      </c>
      <c r="N96" s="7" t="s">
        <v>29</v>
      </c>
      <c r="O96" s="7" t="s">
        <v>29</v>
      </c>
      <c r="P96" s="7" t="s">
        <v>29</v>
      </c>
      <c r="Q96" s="7" t="s">
        <v>29</v>
      </c>
      <c r="R96" s="7" t="s">
        <v>29</v>
      </c>
      <c r="S96" s="7" t="s">
        <v>29</v>
      </c>
    </row>
    <row r="97" spans="2:19">
      <c r="B97" s="7" t="s">
        <v>195</v>
      </c>
      <c r="C97" s="8" t="s">
        <v>195</v>
      </c>
      <c r="D97" s="6" t="str">
        <f>LRTRIM(CONCATENATE(IF(SUMPRODUCT(-- ISNUMBER(SEARCH({"Auto Number"}, $B97))) &gt; 0, $B97, IF(SUMPRODUCT(-- ISNUMBER(SEARCH({"Lookup","Master-Detail"}, $B97))) &gt; 0,$B97 &amp; "(" &amp; $E97 &amp; ")",IF(SUMPRODUCT(-- ISNUMBER(SEARCH({"Formula","Roll-Up Summary"}, $B97))) &gt; 0,$B97 &amp; " (" &amp; $E97 &amp; ")",IF(SUMPRODUCT(-- ISNUMBER(SEARCH({"Content","Currency","Number","Percent","Text","URL"}, $B97))) &gt; 0,$B97 &amp; "(" &amp; $C97 &amp; ")",$B97)))), "  ", TRIM(IF($S97 = "YES", "(External ID)", "") &amp; " " &amp; IF(SUMPRODUCT(-- ISNUMBER(SEARCH({"Unique","Unique Case Insensitive"}, $R97))) &gt; 0, "(" &amp; $R97 &amp; ")", ""))))</f>
        <v>na</v>
      </c>
      <c r="E97" s="7" t="s">
        <v>195</v>
      </c>
      <c r="F97" s="7" t="s">
        <v>195</v>
      </c>
      <c r="G97" s="7" t="s">
        <v>195</v>
      </c>
      <c r="H97" s="7" t="s">
        <v>195</v>
      </c>
      <c r="I97" s="7" t="s">
        <v>195</v>
      </c>
      <c r="J97" s="7" t="s">
        <v>195</v>
      </c>
      <c r="K97" s="7" t="s">
        <v>195</v>
      </c>
      <c r="L97" s="7" t="s">
        <v>195</v>
      </c>
      <c r="M97" s="7" t="s">
        <v>29</v>
      </c>
      <c r="N97" s="7" t="s">
        <v>29</v>
      </c>
      <c r="O97" s="7" t="s">
        <v>29</v>
      </c>
      <c r="P97" s="7" t="s">
        <v>29</v>
      </c>
      <c r="Q97" s="7" t="s">
        <v>29</v>
      </c>
      <c r="R97" s="7" t="s">
        <v>29</v>
      </c>
      <c r="S97" s="7" t="s">
        <v>29</v>
      </c>
    </row>
    <row r="98" spans="2:19">
      <c r="B98" s="7" t="s">
        <v>195</v>
      </c>
      <c r="C98" s="8" t="s">
        <v>195</v>
      </c>
      <c r="D98" s="6" t="str">
        <f>LRTRIM(CONCATENATE(IF(SUMPRODUCT(-- ISNUMBER(SEARCH({"Auto Number"}, $B98))) &gt; 0, $B98, IF(SUMPRODUCT(-- ISNUMBER(SEARCH({"Lookup","Master-Detail"}, $B98))) &gt; 0,$B98 &amp; "(" &amp; $E98 &amp; ")",IF(SUMPRODUCT(-- ISNUMBER(SEARCH({"Formula","Roll-Up Summary"}, $B98))) &gt; 0,$B98 &amp; " (" &amp; $E98 &amp; ")",IF(SUMPRODUCT(-- ISNUMBER(SEARCH({"Content","Currency","Number","Percent","Text","URL"}, $B98))) &gt; 0,$B98 &amp; "(" &amp; $C98 &amp; ")",$B98)))), "  ", TRIM(IF($S98 = "YES", "(External ID)", "") &amp; " " &amp; IF(SUMPRODUCT(-- ISNUMBER(SEARCH({"Unique","Unique Case Insensitive"}, $R98))) &gt; 0, "(" &amp; $R98 &amp; ")", ""))))</f>
        <v>na</v>
      </c>
      <c r="E98" s="7" t="s">
        <v>195</v>
      </c>
      <c r="F98" s="7" t="s">
        <v>195</v>
      </c>
      <c r="G98" s="7" t="s">
        <v>195</v>
      </c>
      <c r="H98" s="7" t="s">
        <v>195</v>
      </c>
      <c r="I98" s="7" t="s">
        <v>195</v>
      </c>
      <c r="J98" s="7" t="s">
        <v>195</v>
      </c>
      <c r="K98" s="7" t="s">
        <v>195</v>
      </c>
      <c r="L98" s="7" t="s">
        <v>195</v>
      </c>
      <c r="M98" s="7" t="s">
        <v>29</v>
      </c>
      <c r="N98" s="7" t="s">
        <v>29</v>
      </c>
      <c r="O98" s="7" t="s">
        <v>29</v>
      </c>
      <c r="P98" s="7" t="s">
        <v>29</v>
      </c>
      <c r="Q98" s="7" t="s">
        <v>29</v>
      </c>
      <c r="R98" s="7" t="s">
        <v>29</v>
      </c>
      <c r="S98" s="7" t="s">
        <v>29</v>
      </c>
    </row>
    <row r="99" spans="2:19">
      <c r="B99" s="7" t="s">
        <v>195</v>
      </c>
      <c r="C99" s="8" t="s">
        <v>195</v>
      </c>
      <c r="D99" s="6" t="str">
        <f>LRTRIM(CONCATENATE(IF(SUMPRODUCT(-- ISNUMBER(SEARCH({"Auto Number"}, $B99))) &gt; 0, $B99, IF(SUMPRODUCT(-- ISNUMBER(SEARCH({"Lookup","Master-Detail"}, $B99))) &gt; 0,$B99 &amp; "(" &amp; $E99 &amp; ")",IF(SUMPRODUCT(-- ISNUMBER(SEARCH({"Formula","Roll-Up Summary"}, $B99))) &gt; 0,$B99 &amp; " (" &amp; $E99 &amp; ")",IF(SUMPRODUCT(-- ISNUMBER(SEARCH({"Content","Currency","Number","Percent","Text","URL"}, $B99))) &gt; 0,$B99 &amp; "(" &amp; $C99 &amp; ")",$B99)))), "  ", TRIM(IF($S99 = "YES", "(External ID)", "") &amp; " " &amp; IF(SUMPRODUCT(-- ISNUMBER(SEARCH({"Unique","Unique Case Insensitive"}, $R99))) &gt; 0, "(" &amp; $R99 &amp; ")", ""))))</f>
        <v>na</v>
      </c>
      <c r="E99" s="7" t="s">
        <v>195</v>
      </c>
      <c r="F99" s="7" t="s">
        <v>195</v>
      </c>
      <c r="G99" s="7" t="s">
        <v>195</v>
      </c>
      <c r="H99" s="7" t="s">
        <v>195</v>
      </c>
      <c r="I99" s="7" t="s">
        <v>195</v>
      </c>
      <c r="J99" s="7" t="s">
        <v>195</v>
      </c>
      <c r="K99" s="7" t="s">
        <v>195</v>
      </c>
      <c r="L99" s="7" t="s">
        <v>195</v>
      </c>
      <c r="M99" s="7" t="s">
        <v>29</v>
      </c>
      <c r="N99" s="7" t="s">
        <v>29</v>
      </c>
      <c r="O99" s="7" t="s">
        <v>29</v>
      </c>
      <c r="P99" s="7" t="s">
        <v>29</v>
      </c>
      <c r="Q99" s="7" t="s">
        <v>29</v>
      </c>
      <c r="R99" s="7" t="s">
        <v>29</v>
      </c>
      <c r="S99" s="7" t="s">
        <v>29</v>
      </c>
    </row>
    <row r="100" spans="2:19">
      <c r="B100" s="7" t="s">
        <v>195</v>
      </c>
      <c r="C100" s="8" t="s">
        <v>195</v>
      </c>
      <c r="D100" s="6" t="str">
        <f>LRTRIM(CONCATENATE(IF(SUMPRODUCT(-- ISNUMBER(SEARCH({"Auto Number"}, $B100))) &gt; 0, $B100, IF(SUMPRODUCT(-- ISNUMBER(SEARCH({"Lookup","Master-Detail"}, $B100))) &gt; 0,$B100 &amp; "(" &amp; $E100 &amp; ")",IF(SUMPRODUCT(-- ISNUMBER(SEARCH({"Formula","Roll-Up Summary"}, $B100))) &gt; 0,$B100 &amp; " (" &amp; $E100 &amp; ")",IF(SUMPRODUCT(-- ISNUMBER(SEARCH({"Content","Currency","Number","Percent","Text","URL"}, $B100))) &gt; 0,$B100 &amp; "(" &amp; $C100 &amp; ")",$B100)))), "  ", TRIM(IF($S100 = "YES", "(External ID)", "") &amp; " " &amp; IF(SUMPRODUCT(-- ISNUMBER(SEARCH({"Unique","Unique Case Insensitive"}, $R100))) &gt; 0, "(" &amp; $R100 &amp; ")", ""))))</f>
        <v>na</v>
      </c>
      <c r="E100" s="7" t="s">
        <v>195</v>
      </c>
      <c r="F100" s="7" t="s">
        <v>195</v>
      </c>
      <c r="G100" s="7" t="s">
        <v>195</v>
      </c>
      <c r="H100" s="7" t="s">
        <v>195</v>
      </c>
      <c r="I100" s="7" t="s">
        <v>195</v>
      </c>
      <c r="J100" s="7" t="s">
        <v>195</v>
      </c>
      <c r="K100" s="7" t="s">
        <v>195</v>
      </c>
      <c r="L100" s="7" t="s">
        <v>195</v>
      </c>
      <c r="M100" s="7" t="s">
        <v>29</v>
      </c>
      <c r="N100" s="7" t="s">
        <v>29</v>
      </c>
      <c r="O100" s="7" t="s">
        <v>29</v>
      </c>
      <c r="P100" s="7" t="s">
        <v>29</v>
      </c>
      <c r="Q100" s="7" t="s">
        <v>29</v>
      </c>
      <c r="R100" s="7" t="s">
        <v>29</v>
      </c>
      <c r="S100" s="7" t="s">
        <v>29</v>
      </c>
    </row>
    <row r="101" spans="2:19">
      <c r="B101" s="7" t="s">
        <v>195</v>
      </c>
      <c r="C101" s="8" t="s">
        <v>195</v>
      </c>
      <c r="D101" s="6" t="str">
        <f>LRTRIM(CONCATENATE(IF(SUMPRODUCT(-- ISNUMBER(SEARCH({"Auto Number"}, $B101))) &gt; 0, $B101, IF(SUMPRODUCT(-- ISNUMBER(SEARCH({"Lookup","Master-Detail"}, $B101))) &gt; 0,$B101 &amp; "(" &amp; $E101 &amp; ")",IF(SUMPRODUCT(-- ISNUMBER(SEARCH({"Formula","Roll-Up Summary"}, $B101))) &gt; 0,$B101 &amp; " (" &amp; $E101 &amp; ")",IF(SUMPRODUCT(-- ISNUMBER(SEARCH({"Content","Currency","Number","Percent","Text","URL"}, $B101))) &gt; 0,$B101 &amp; "(" &amp; $C101 &amp; ")",$B101)))), "  ", TRIM(IF($S101 = "YES", "(External ID)", "") &amp; " " &amp; IF(SUMPRODUCT(-- ISNUMBER(SEARCH({"Unique","Unique Case Insensitive"}, $R101))) &gt; 0, "(" &amp; $R101 &amp; ")", ""))))</f>
        <v>na</v>
      </c>
      <c r="E101" s="7" t="s">
        <v>195</v>
      </c>
      <c r="F101" s="7" t="s">
        <v>195</v>
      </c>
      <c r="G101" s="7" t="s">
        <v>195</v>
      </c>
      <c r="H101" s="7" t="s">
        <v>195</v>
      </c>
      <c r="I101" s="7" t="s">
        <v>195</v>
      </c>
      <c r="J101" s="7" t="s">
        <v>195</v>
      </c>
      <c r="K101" s="7" t="s">
        <v>195</v>
      </c>
      <c r="L101" s="7" t="s">
        <v>195</v>
      </c>
      <c r="M101" s="7" t="s">
        <v>29</v>
      </c>
      <c r="N101" s="7" t="s">
        <v>29</v>
      </c>
      <c r="O101" s="7" t="s">
        <v>29</v>
      </c>
      <c r="P101" s="7" t="s">
        <v>29</v>
      </c>
      <c r="Q101" s="7" t="s">
        <v>29</v>
      </c>
      <c r="R101" s="7" t="s">
        <v>29</v>
      </c>
      <c r="S101" s="7" t="s">
        <v>29</v>
      </c>
    </row>
    <row r="102" spans="2:19">
      <c r="B102" s="7" t="s">
        <v>195</v>
      </c>
      <c r="C102" s="8" t="s">
        <v>195</v>
      </c>
      <c r="D102" s="6" t="str">
        <f>LRTRIM(CONCATENATE(IF(SUMPRODUCT(-- ISNUMBER(SEARCH({"Auto Number"}, $B102))) &gt; 0, $B102, IF(SUMPRODUCT(-- ISNUMBER(SEARCH({"Lookup","Master-Detail"}, $B102))) &gt; 0,$B102 &amp; "(" &amp; $E102 &amp; ")",IF(SUMPRODUCT(-- ISNUMBER(SEARCH({"Formula","Roll-Up Summary"}, $B102))) &gt; 0,$B102 &amp; " (" &amp; $E102 &amp; ")",IF(SUMPRODUCT(-- ISNUMBER(SEARCH({"Content","Currency","Number","Percent","Text","URL"}, $B102))) &gt; 0,$B102 &amp; "(" &amp; $C102 &amp; ")",$B102)))), "  ", TRIM(IF($S102 = "YES", "(External ID)", "") &amp; " " &amp; IF(SUMPRODUCT(-- ISNUMBER(SEARCH({"Unique","Unique Case Insensitive"}, $R102))) &gt; 0, "(" &amp; $R102 &amp; ")", ""))))</f>
        <v>na</v>
      </c>
      <c r="E102" s="7" t="s">
        <v>195</v>
      </c>
      <c r="F102" s="7" t="s">
        <v>195</v>
      </c>
      <c r="G102" s="7" t="s">
        <v>195</v>
      </c>
      <c r="H102" s="7" t="s">
        <v>195</v>
      </c>
      <c r="I102" s="7" t="s">
        <v>195</v>
      </c>
      <c r="J102" s="7" t="s">
        <v>195</v>
      </c>
      <c r="K102" s="7" t="s">
        <v>195</v>
      </c>
      <c r="L102" s="7" t="s">
        <v>195</v>
      </c>
      <c r="M102" s="7" t="s">
        <v>29</v>
      </c>
      <c r="N102" s="7" t="s">
        <v>29</v>
      </c>
      <c r="O102" s="7" t="s">
        <v>29</v>
      </c>
      <c r="P102" s="7" t="s">
        <v>29</v>
      </c>
      <c r="Q102" s="7" t="s">
        <v>29</v>
      </c>
      <c r="R102" s="7" t="s">
        <v>29</v>
      </c>
      <c r="S102" s="7" t="s">
        <v>29</v>
      </c>
    </row>
    <row r="103" spans="2:19">
      <c r="B103" s="7" t="s">
        <v>195</v>
      </c>
      <c r="C103" s="8" t="s">
        <v>195</v>
      </c>
      <c r="D103" s="6" t="str">
        <f>LRTRIM(CONCATENATE(IF(SUMPRODUCT(-- ISNUMBER(SEARCH({"Auto Number"}, $B103))) &gt; 0, $B103, IF(SUMPRODUCT(-- ISNUMBER(SEARCH({"Lookup","Master-Detail"}, $B103))) &gt; 0,$B103 &amp; "(" &amp; $E103 &amp; ")",IF(SUMPRODUCT(-- ISNUMBER(SEARCH({"Formula","Roll-Up Summary"}, $B103))) &gt; 0,$B103 &amp; " (" &amp; $E103 &amp; ")",IF(SUMPRODUCT(-- ISNUMBER(SEARCH({"Content","Currency","Number","Percent","Text","URL"}, $B103))) &gt; 0,$B103 &amp; "(" &amp; $C103 &amp; ")",$B103)))), "  ", TRIM(IF($S103 = "YES", "(External ID)", "") &amp; " " &amp; IF(SUMPRODUCT(-- ISNUMBER(SEARCH({"Unique","Unique Case Insensitive"}, $R103))) &gt; 0, "(" &amp; $R103 &amp; ")", ""))))</f>
        <v>na</v>
      </c>
      <c r="E103" s="7" t="s">
        <v>195</v>
      </c>
      <c r="F103" s="7" t="s">
        <v>195</v>
      </c>
      <c r="G103" s="7" t="s">
        <v>195</v>
      </c>
      <c r="H103" s="7" t="s">
        <v>195</v>
      </c>
      <c r="I103" s="7" t="s">
        <v>195</v>
      </c>
      <c r="J103" s="7" t="s">
        <v>195</v>
      </c>
      <c r="K103" s="7" t="s">
        <v>195</v>
      </c>
      <c r="L103" s="7" t="s">
        <v>195</v>
      </c>
      <c r="M103" s="7" t="s">
        <v>29</v>
      </c>
      <c r="N103" s="7" t="s">
        <v>29</v>
      </c>
      <c r="O103" s="7" t="s">
        <v>29</v>
      </c>
      <c r="P103" s="7" t="s">
        <v>29</v>
      </c>
      <c r="Q103" s="7" t="s">
        <v>29</v>
      </c>
      <c r="R103" s="7" t="s">
        <v>29</v>
      </c>
      <c r="S103" s="7" t="s">
        <v>29</v>
      </c>
    </row>
    <row r="104" spans="2:19">
      <c r="B104" s="7" t="s">
        <v>195</v>
      </c>
      <c r="C104" s="8" t="s">
        <v>195</v>
      </c>
      <c r="D104" s="6" t="str">
        <f>LRTRIM(CONCATENATE(IF(SUMPRODUCT(-- ISNUMBER(SEARCH({"Auto Number"}, $B104))) &gt; 0, $B104, IF(SUMPRODUCT(-- ISNUMBER(SEARCH({"Lookup","Master-Detail"}, $B104))) &gt; 0,$B104 &amp; "(" &amp; $E104 &amp; ")",IF(SUMPRODUCT(-- ISNUMBER(SEARCH({"Formula","Roll-Up Summary"}, $B104))) &gt; 0,$B104 &amp; " (" &amp; $E104 &amp; ")",IF(SUMPRODUCT(-- ISNUMBER(SEARCH({"Content","Currency","Number","Percent","Text","URL"}, $B104))) &gt; 0,$B104 &amp; "(" &amp; $C104 &amp; ")",$B104)))), "  ", TRIM(IF($S104 = "YES", "(External ID)", "") &amp; " " &amp; IF(SUMPRODUCT(-- ISNUMBER(SEARCH({"Unique","Unique Case Insensitive"}, $R104))) &gt; 0, "(" &amp; $R104 &amp; ")", ""))))</f>
        <v>na</v>
      </c>
      <c r="E104" s="7" t="s">
        <v>195</v>
      </c>
      <c r="F104" s="7" t="s">
        <v>195</v>
      </c>
      <c r="G104" s="7" t="s">
        <v>195</v>
      </c>
      <c r="H104" s="7" t="s">
        <v>195</v>
      </c>
      <c r="I104" s="7" t="s">
        <v>195</v>
      </c>
      <c r="J104" s="7" t="s">
        <v>195</v>
      </c>
      <c r="K104" s="7" t="s">
        <v>195</v>
      </c>
      <c r="L104" s="7" t="s">
        <v>195</v>
      </c>
      <c r="M104" s="7" t="s">
        <v>29</v>
      </c>
      <c r="N104" s="7" t="s">
        <v>29</v>
      </c>
      <c r="O104" s="7" t="s">
        <v>29</v>
      </c>
      <c r="P104" s="7" t="s">
        <v>29</v>
      </c>
      <c r="Q104" s="7" t="s">
        <v>29</v>
      </c>
      <c r="R104" s="7" t="s">
        <v>29</v>
      </c>
      <c r="S104" s="7" t="s">
        <v>29</v>
      </c>
    </row>
    <row r="105" spans="2:19">
      <c r="B105" s="7" t="s">
        <v>195</v>
      </c>
      <c r="C105" s="8" t="s">
        <v>195</v>
      </c>
      <c r="D105" s="6" t="str">
        <f>LRTRIM(CONCATENATE(IF(SUMPRODUCT(-- ISNUMBER(SEARCH({"Auto Number"}, $B105))) &gt; 0, $B105, IF(SUMPRODUCT(-- ISNUMBER(SEARCH({"Lookup","Master-Detail"}, $B105))) &gt; 0,$B105 &amp; "(" &amp; $E105 &amp; ")",IF(SUMPRODUCT(-- ISNUMBER(SEARCH({"Formula","Roll-Up Summary"}, $B105))) &gt; 0,$B105 &amp; " (" &amp; $E105 &amp; ")",IF(SUMPRODUCT(-- ISNUMBER(SEARCH({"Content","Currency","Number","Percent","Text","URL"}, $B105))) &gt; 0,$B105 &amp; "(" &amp; $C105 &amp; ")",$B105)))), "  ", TRIM(IF($S105 = "YES", "(External ID)", "") &amp; " " &amp; IF(SUMPRODUCT(-- ISNUMBER(SEARCH({"Unique","Unique Case Insensitive"}, $R105))) &gt; 0, "(" &amp; $R105 &amp; ")", ""))))</f>
        <v>na</v>
      </c>
      <c r="E105" s="7" t="s">
        <v>195</v>
      </c>
      <c r="F105" s="7" t="s">
        <v>195</v>
      </c>
      <c r="G105" s="7" t="s">
        <v>195</v>
      </c>
      <c r="H105" s="7" t="s">
        <v>195</v>
      </c>
      <c r="I105" s="7" t="s">
        <v>195</v>
      </c>
      <c r="J105" s="7" t="s">
        <v>195</v>
      </c>
      <c r="K105" s="7" t="s">
        <v>195</v>
      </c>
      <c r="L105" s="7" t="s">
        <v>195</v>
      </c>
      <c r="M105" s="7" t="s">
        <v>29</v>
      </c>
      <c r="N105" s="7" t="s">
        <v>29</v>
      </c>
      <c r="O105" s="7" t="s">
        <v>29</v>
      </c>
      <c r="P105" s="7" t="s">
        <v>29</v>
      </c>
      <c r="Q105" s="7" t="s">
        <v>29</v>
      </c>
      <c r="R105" s="7" t="s">
        <v>29</v>
      </c>
      <c r="S105" s="7" t="s">
        <v>29</v>
      </c>
    </row>
    <row r="106" spans="2:19">
      <c r="B106" s="7" t="s">
        <v>195</v>
      </c>
      <c r="C106" s="8" t="s">
        <v>195</v>
      </c>
      <c r="D106" s="6" t="str">
        <f>LRTRIM(CONCATENATE(IF(SUMPRODUCT(-- ISNUMBER(SEARCH({"Auto Number"}, $B106))) &gt; 0, $B106, IF(SUMPRODUCT(-- ISNUMBER(SEARCH({"Lookup","Master-Detail"}, $B106))) &gt; 0,$B106 &amp; "(" &amp; $E106 &amp; ")",IF(SUMPRODUCT(-- ISNUMBER(SEARCH({"Formula","Roll-Up Summary"}, $B106))) &gt; 0,$B106 &amp; " (" &amp; $E106 &amp; ")",IF(SUMPRODUCT(-- ISNUMBER(SEARCH({"Content","Currency","Number","Percent","Text","URL"}, $B106))) &gt; 0,$B106 &amp; "(" &amp; $C106 &amp; ")",$B106)))), "  ", TRIM(IF($S106 = "YES", "(External ID)", "") &amp; " " &amp; IF(SUMPRODUCT(-- ISNUMBER(SEARCH({"Unique","Unique Case Insensitive"}, $R106))) &gt; 0, "(" &amp; $R106 &amp; ")", ""))))</f>
        <v>na</v>
      </c>
      <c r="E106" s="7" t="s">
        <v>195</v>
      </c>
      <c r="F106" s="7" t="s">
        <v>195</v>
      </c>
      <c r="G106" s="7" t="s">
        <v>195</v>
      </c>
      <c r="H106" s="7" t="s">
        <v>195</v>
      </c>
      <c r="I106" s="7" t="s">
        <v>195</v>
      </c>
      <c r="J106" s="7" t="s">
        <v>195</v>
      </c>
      <c r="K106" s="7" t="s">
        <v>195</v>
      </c>
      <c r="L106" s="7" t="s">
        <v>195</v>
      </c>
      <c r="M106" s="7" t="s">
        <v>29</v>
      </c>
      <c r="N106" s="7" t="s">
        <v>29</v>
      </c>
      <c r="O106" s="7" t="s">
        <v>29</v>
      </c>
      <c r="P106" s="7" t="s">
        <v>29</v>
      </c>
      <c r="Q106" s="7" t="s">
        <v>29</v>
      </c>
      <c r="R106" s="7" t="s">
        <v>29</v>
      </c>
      <c r="S106" s="7" t="s">
        <v>29</v>
      </c>
    </row>
    <row r="107" spans="2:19">
      <c r="B107" s="7" t="s">
        <v>195</v>
      </c>
      <c r="C107" s="8" t="s">
        <v>195</v>
      </c>
      <c r="D107" s="6" t="str">
        <f>LRTRIM(CONCATENATE(IF(SUMPRODUCT(-- ISNUMBER(SEARCH({"Auto Number"}, $B107))) &gt; 0, $B107, IF(SUMPRODUCT(-- ISNUMBER(SEARCH({"Lookup","Master-Detail"}, $B107))) &gt; 0,$B107 &amp; "(" &amp; $E107 &amp; ")",IF(SUMPRODUCT(-- ISNUMBER(SEARCH({"Formula","Roll-Up Summary"}, $B107))) &gt; 0,$B107 &amp; " (" &amp; $E107 &amp; ")",IF(SUMPRODUCT(-- ISNUMBER(SEARCH({"Content","Currency","Number","Percent","Text","URL"}, $B107))) &gt; 0,$B107 &amp; "(" &amp; $C107 &amp; ")",$B107)))), "  ", TRIM(IF($S107 = "YES", "(External ID)", "") &amp; " " &amp; IF(SUMPRODUCT(-- ISNUMBER(SEARCH({"Unique","Unique Case Insensitive"}, $R107))) &gt; 0, "(" &amp; $R107 &amp; ")", ""))))</f>
        <v>na</v>
      </c>
      <c r="E107" s="7" t="s">
        <v>195</v>
      </c>
      <c r="F107" s="7" t="s">
        <v>195</v>
      </c>
      <c r="G107" s="7" t="s">
        <v>195</v>
      </c>
      <c r="H107" s="7" t="s">
        <v>195</v>
      </c>
      <c r="I107" s="7" t="s">
        <v>195</v>
      </c>
      <c r="J107" s="7" t="s">
        <v>195</v>
      </c>
      <c r="K107" s="7" t="s">
        <v>195</v>
      </c>
      <c r="L107" s="7" t="s">
        <v>195</v>
      </c>
      <c r="M107" s="7" t="s">
        <v>29</v>
      </c>
      <c r="N107" s="7" t="s">
        <v>29</v>
      </c>
      <c r="O107" s="7" t="s">
        <v>29</v>
      </c>
      <c r="P107" s="7" t="s">
        <v>29</v>
      </c>
      <c r="Q107" s="7" t="s">
        <v>29</v>
      </c>
      <c r="R107" s="7" t="s">
        <v>29</v>
      </c>
      <c r="S107" s="7" t="s">
        <v>29</v>
      </c>
    </row>
    <row r="108" spans="2:19">
      <c r="B108" s="7" t="s">
        <v>195</v>
      </c>
      <c r="C108" s="8" t="s">
        <v>195</v>
      </c>
      <c r="D108" s="6" t="str">
        <f>LRTRIM(CONCATENATE(IF(SUMPRODUCT(-- ISNUMBER(SEARCH({"Auto Number"}, $B108))) &gt; 0, $B108, IF(SUMPRODUCT(-- ISNUMBER(SEARCH({"Lookup","Master-Detail"}, $B108))) &gt; 0,$B108 &amp; "(" &amp; $E108 &amp; ")",IF(SUMPRODUCT(-- ISNUMBER(SEARCH({"Formula","Roll-Up Summary"}, $B108))) &gt; 0,$B108 &amp; " (" &amp; $E108 &amp; ")",IF(SUMPRODUCT(-- ISNUMBER(SEARCH({"Content","Currency","Number","Percent","Text","URL"}, $B108))) &gt; 0,$B108 &amp; "(" &amp; $C108 &amp; ")",$B108)))), "  ", TRIM(IF($S108 = "YES", "(External ID)", "") &amp; " " &amp; IF(SUMPRODUCT(-- ISNUMBER(SEARCH({"Unique","Unique Case Insensitive"}, $R108))) &gt; 0, "(" &amp; $R108 &amp; ")", ""))))</f>
        <v>na</v>
      </c>
      <c r="E108" s="7" t="s">
        <v>195</v>
      </c>
      <c r="F108" s="7" t="s">
        <v>195</v>
      </c>
      <c r="G108" s="7" t="s">
        <v>195</v>
      </c>
      <c r="H108" s="7" t="s">
        <v>195</v>
      </c>
      <c r="I108" s="7" t="s">
        <v>195</v>
      </c>
      <c r="J108" s="7" t="s">
        <v>195</v>
      </c>
      <c r="K108" s="7" t="s">
        <v>195</v>
      </c>
      <c r="L108" s="7" t="s">
        <v>195</v>
      </c>
      <c r="M108" s="7" t="s">
        <v>29</v>
      </c>
      <c r="N108" s="7" t="s">
        <v>29</v>
      </c>
      <c r="O108" s="7" t="s">
        <v>29</v>
      </c>
      <c r="P108" s="7" t="s">
        <v>29</v>
      </c>
      <c r="Q108" s="7" t="s">
        <v>29</v>
      </c>
      <c r="R108" s="7" t="s">
        <v>29</v>
      </c>
      <c r="S108" s="7" t="s">
        <v>29</v>
      </c>
    </row>
    <row r="109" spans="2:19">
      <c r="B109" s="7" t="s">
        <v>195</v>
      </c>
      <c r="C109" s="8" t="s">
        <v>195</v>
      </c>
      <c r="D109" s="6" t="str">
        <f>LRTRIM(CONCATENATE(IF(SUMPRODUCT(-- ISNUMBER(SEARCH({"Auto Number"}, $B109))) &gt; 0, $B109, IF(SUMPRODUCT(-- ISNUMBER(SEARCH({"Lookup","Master-Detail"}, $B109))) &gt; 0,$B109 &amp; "(" &amp; $E109 &amp; ")",IF(SUMPRODUCT(-- ISNUMBER(SEARCH({"Formula","Roll-Up Summary"}, $B109))) &gt; 0,$B109 &amp; " (" &amp; $E109 &amp; ")",IF(SUMPRODUCT(-- ISNUMBER(SEARCH({"Content","Currency","Number","Percent","Text","URL"}, $B109))) &gt; 0,$B109 &amp; "(" &amp; $C109 &amp; ")",$B109)))), "  ", TRIM(IF($S109 = "YES", "(External ID)", "") &amp; " " &amp; IF(SUMPRODUCT(-- ISNUMBER(SEARCH({"Unique","Unique Case Insensitive"}, $R109))) &gt; 0, "(" &amp; $R109 &amp; ")", ""))))</f>
        <v>na</v>
      </c>
      <c r="E109" s="7" t="s">
        <v>195</v>
      </c>
      <c r="F109" s="7" t="s">
        <v>195</v>
      </c>
      <c r="G109" s="7" t="s">
        <v>195</v>
      </c>
      <c r="H109" s="7" t="s">
        <v>195</v>
      </c>
      <c r="I109" s="7" t="s">
        <v>195</v>
      </c>
      <c r="J109" s="7" t="s">
        <v>195</v>
      </c>
      <c r="K109" s="7" t="s">
        <v>195</v>
      </c>
      <c r="L109" s="7" t="s">
        <v>195</v>
      </c>
      <c r="M109" s="7" t="s">
        <v>29</v>
      </c>
      <c r="N109" s="7" t="s">
        <v>29</v>
      </c>
      <c r="O109" s="7" t="s">
        <v>29</v>
      </c>
      <c r="P109" s="7" t="s">
        <v>29</v>
      </c>
      <c r="Q109" s="7" t="s">
        <v>29</v>
      </c>
      <c r="R109" s="7" t="s">
        <v>29</v>
      </c>
      <c r="S109" s="7" t="s">
        <v>29</v>
      </c>
    </row>
    <row r="110" spans="2:19">
      <c r="B110" s="7" t="s">
        <v>195</v>
      </c>
      <c r="C110" s="8" t="s">
        <v>195</v>
      </c>
      <c r="D110" s="6" t="str">
        <f>LRTRIM(CONCATENATE(IF(SUMPRODUCT(-- ISNUMBER(SEARCH({"Auto Number"}, $B110))) &gt; 0, $B110, IF(SUMPRODUCT(-- ISNUMBER(SEARCH({"Lookup","Master-Detail"}, $B110))) &gt; 0,$B110 &amp; "(" &amp; $E110 &amp; ")",IF(SUMPRODUCT(-- ISNUMBER(SEARCH({"Formula","Roll-Up Summary"}, $B110))) &gt; 0,$B110 &amp; " (" &amp; $E110 &amp; ")",IF(SUMPRODUCT(-- ISNUMBER(SEARCH({"Content","Currency","Number","Percent","Text","URL"}, $B110))) &gt; 0,$B110 &amp; "(" &amp; $C110 &amp; ")",$B110)))), "  ", TRIM(IF($S110 = "YES", "(External ID)", "") &amp; " " &amp; IF(SUMPRODUCT(-- ISNUMBER(SEARCH({"Unique","Unique Case Insensitive"}, $R110))) &gt; 0, "(" &amp; $R110 &amp; ")", ""))))</f>
        <v>na</v>
      </c>
      <c r="E110" s="7" t="s">
        <v>195</v>
      </c>
      <c r="F110" s="7" t="s">
        <v>195</v>
      </c>
      <c r="G110" s="7" t="s">
        <v>195</v>
      </c>
      <c r="H110" s="7" t="s">
        <v>195</v>
      </c>
      <c r="I110" s="7" t="s">
        <v>195</v>
      </c>
      <c r="J110" s="7" t="s">
        <v>195</v>
      </c>
      <c r="K110" s="7" t="s">
        <v>195</v>
      </c>
      <c r="L110" s="7" t="s">
        <v>195</v>
      </c>
      <c r="M110" s="7" t="s">
        <v>29</v>
      </c>
      <c r="N110" s="7" t="s">
        <v>29</v>
      </c>
      <c r="O110" s="7" t="s">
        <v>29</v>
      </c>
      <c r="P110" s="7" t="s">
        <v>29</v>
      </c>
      <c r="Q110" s="7" t="s">
        <v>29</v>
      </c>
      <c r="R110" s="7" t="s">
        <v>29</v>
      </c>
      <c r="S110" s="7" t="s">
        <v>29</v>
      </c>
    </row>
    <row r="111" spans="2:19">
      <c r="B111" s="7" t="s">
        <v>195</v>
      </c>
      <c r="C111" s="8" t="s">
        <v>195</v>
      </c>
      <c r="D111" s="6" t="str">
        <f>LRTRIM(CONCATENATE(IF(SUMPRODUCT(-- ISNUMBER(SEARCH({"Auto Number"}, $B111))) &gt; 0, $B111, IF(SUMPRODUCT(-- ISNUMBER(SEARCH({"Lookup","Master-Detail"}, $B111))) &gt; 0,$B111 &amp; "(" &amp; $E111 &amp; ")",IF(SUMPRODUCT(-- ISNUMBER(SEARCH({"Formula","Roll-Up Summary"}, $B111))) &gt; 0,$B111 &amp; " (" &amp; $E111 &amp; ")",IF(SUMPRODUCT(-- ISNUMBER(SEARCH({"Content","Currency","Number","Percent","Text","URL"}, $B111))) &gt; 0,$B111 &amp; "(" &amp; $C111 &amp; ")",$B111)))), "  ", TRIM(IF($S111 = "YES", "(External ID)", "") &amp; " " &amp; IF(SUMPRODUCT(-- ISNUMBER(SEARCH({"Unique","Unique Case Insensitive"}, $R111))) &gt; 0, "(" &amp; $R111 &amp; ")", ""))))</f>
        <v>na</v>
      </c>
      <c r="E111" s="7" t="s">
        <v>195</v>
      </c>
      <c r="F111" s="7" t="s">
        <v>195</v>
      </c>
      <c r="G111" s="7" t="s">
        <v>195</v>
      </c>
      <c r="H111" s="7" t="s">
        <v>195</v>
      </c>
      <c r="I111" s="7" t="s">
        <v>195</v>
      </c>
      <c r="J111" s="7" t="s">
        <v>195</v>
      </c>
      <c r="K111" s="7" t="s">
        <v>195</v>
      </c>
      <c r="L111" s="7" t="s">
        <v>195</v>
      </c>
      <c r="M111" s="7" t="s">
        <v>29</v>
      </c>
      <c r="N111" s="7" t="s">
        <v>29</v>
      </c>
      <c r="O111" s="7" t="s">
        <v>29</v>
      </c>
      <c r="P111" s="7" t="s">
        <v>29</v>
      </c>
      <c r="Q111" s="7" t="s">
        <v>29</v>
      </c>
      <c r="R111" s="7" t="s">
        <v>29</v>
      </c>
      <c r="S111" s="7" t="s">
        <v>29</v>
      </c>
    </row>
    <row r="112" spans="2:19">
      <c r="B112" s="7" t="s">
        <v>195</v>
      </c>
      <c r="C112" s="8" t="s">
        <v>195</v>
      </c>
      <c r="D112" s="6" t="str">
        <f>LRTRIM(CONCATENATE(IF(SUMPRODUCT(-- ISNUMBER(SEARCH({"Auto Number"}, $B112))) &gt; 0, $B112, IF(SUMPRODUCT(-- ISNUMBER(SEARCH({"Lookup","Master-Detail"}, $B112))) &gt; 0,$B112 &amp; "(" &amp; $E112 &amp; ")",IF(SUMPRODUCT(-- ISNUMBER(SEARCH({"Formula","Roll-Up Summary"}, $B112))) &gt; 0,$B112 &amp; " (" &amp; $E112 &amp; ")",IF(SUMPRODUCT(-- ISNUMBER(SEARCH({"Content","Currency","Number","Percent","Text","URL"}, $B112))) &gt; 0,$B112 &amp; "(" &amp; $C112 &amp; ")",$B112)))), "  ", TRIM(IF($S112 = "YES", "(External ID)", "") &amp; " " &amp; IF(SUMPRODUCT(-- ISNUMBER(SEARCH({"Unique","Unique Case Insensitive"}, $R112))) &gt; 0, "(" &amp; $R112 &amp; ")", ""))))</f>
        <v>na</v>
      </c>
      <c r="E112" s="7" t="s">
        <v>195</v>
      </c>
      <c r="F112" s="7" t="s">
        <v>195</v>
      </c>
      <c r="G112" s="7" t="s">
        <v>195</v>
      </c>
      <c r="H112" s="7" t="s">
        <v>195</v>
      </c>
      <c r="I112" s="7" t="s">
        <v>195</v>
      </c>
      <c r="J112" s="7" t="s">
        <v>195</v>
      </c>
      <c r="K112" s="7" t="s">
        <v>195</v>
      </c>
      <c r="L112" s="7" t="s">
        <v>195</v>
      </c>
      <c r="M112" s="7" t="s">
        <v>29</v>
      </c>
      <c r="N112" s="7" t="s">
        <v>29</v>
      </c>
      <c r="O112" s="7" t="s">
        <v>29</v>
      </c>
      <c r="P112" s="7" t="s">
        <v>29</v>
      </c>
      <c r="Q112" s="7" t="s">
        <v>29</v>
      </c>
      <c r="R112" s="7" t="s">
        <v>29</v>
      </c>
      <c r="S112" s="7" t="s">
        <v>29</v>
      </c>
    </row>
    <row r="113" spans="2:19">
      <c r="B113" s="7" t="s">
        <v>195</v>
      </c>
      <c r="C113" s="8" t="s">
        <v>195</v>
      </c>
      <c r="D113" s="6" t="str">
        <f>LRTRIM(CONCATENATE(IF(SUMPRODUCT(-- ISNUMBER(SEARCH({"Auto Number"}, $B113))) &gt; 0, $B113, IF(SUMPRODUCT(-- ISNUMBER(SEARCH({"Lookup","Master-Detail"}, $B113))) &gt; 0,$B113 &amp; "(" &amp; $E113 &amp; ")",IF(SUMPRODUCT(-- ISNUMBER(SEARCH({"Formula","Roll-Up Summary"}, $B113))) &gt; 0,$B113 &amp; " (" &amp; $E113 &amp; ")",IF(SUMPRODUCT(-- ISNUMBER(SEARCH({"Content","Currency","Number","Percent","Text","URL"}, $B113))) &gt; 0,$B113 &amp; "(" &amp; $C113 &amp; ")",$B113)))), "  ", TRIM(IF($S113 = "YES", "(External ID)", "") &amp; " " &amp; IF(SUMPRODUCT(-- ISNUMBER(SEARCH({"Unique","Unique Case Insensitive"}, $R113))) &gt; 0, "(" &amp; $R113 &amp; ")", ""))))</f>
        <v>na</v>
      </c>
      <c r="E113" s="7" t="s">
        <v>195</v>
      </c>
      <c r="F113" s="7" t="s">
        <v>195</v>
      </c>
      <c r="G113" s="7" t="s">
        <v>195</v>
      </c>
      <c r="H113" s="7" t="s">
        <v>195</v>
      </c>
      <c r="I113" s="7" t="s">
        <v>195</v>
      </c>
      <c r="J113" s="7" t="s">
        <v>195</v>
      </c>
      <c r="K113" s="7" t="s">
        <v>195</v>
      </c>
      <c r="L113" s="7" t="s">
        <v>195</v>
      </c>
      <c r="M113" s="7" t="s">
        <v>29</v>
      </c>
      <c r="N113" s="7" t="s">
        <v>29</v>
      </c>
      <c r="O113" s="7" t="s">
        <v>29</v>
      </c>
      <c r="P113" s="7" t="s">
        <v>29</v>
      </c>
      <c r="Q113" s="7" t="s">
        <v>29</v>
      </c>
      <c r="R113" s="7" t="s">
        <v>29</v>
      </c>
      <c r="S113" s="7" t="s">
        <v>29</v>
      </c>
    </row>
    <row r="114" spans="2:19">
      <c r="B114" s="7" t="s">
        <v>195</v>
      </c>
      <c r="C114" s="8" t="s">
        <v>195</v>
      </c>
      <c r="D114" s="6" t="str">
        <f>LRTRIM(CONCATENATE(IF(SUMPRODUCT(-- ISNUMBER(SEARCH({"Auto Number"}, $B114))) &gt; 0, $B114, IF(SUMPRODUCT(-- ISNUMBER(SEARCH({"Lookup","Master-Detail"}, $B114))) &gt; 0,$B114 &amp; "(" &amp; $E114 &amp; ")",IF(SUMPRODUCT(-- ISNUMBER(SEARCH({"Formula","Roll-Up Summary"}, $B114))) &gt; 0,$B114 &amp; " (" &amp; $E114 &amp; ")",IF(SUMPRODUCT(-- ISNUMBER(SEARCH({"Content","Currency","Number","Percent","Text","URL"}, $B114))) &gt; 0,$B114 &amp; "(" &amp; $C114 &amp; ")",$B114)))), "  ", TRIM(IF($S114 = "YES", "(External ID)", "") &amp; " " &amp; IF(SUMPRODUCT(-- ISNUMBER(SEARCH({"Unique","Unique Case Insensitive"}, $R114))) &gt; 0, "(" &amp; $R114 &amp; ")", ""))))</f>
        <v>na</v>
      </c>
      <c r="E114" s="7" t="s">
        <v>195</v>
      </c>
      <c r="F114" s="7" t="s">
        <v>195</v>
      </c>
      <c r="G114" s="7" t="s">
        <v>195</v>
      </c>
      <c r="H114" s="7" t="s">
        <v>195</v>
      </c>
      <c r="I114" s="7" t="s">
        <v>195</v>
      </c>
      <c r="J114" s="7" t="s">
        <v>195</v>
      </c>
      <c r="K114" s="7" t="s">
        <v>195</v>
      </c>
      <c r="L114" s="7" t="s">
        <v>195</v>
      </c>
      <c r="M114" s="7" t="s">
        <v>29</v>
      </c>
      <c r="N114" s="7" t="s">
        <v>29</v>
      </c>
      <c r="O114" s="7" t="s">
        <v>29</v>
      </c>
      <c r="P114" s="7" t="s">
        <v>29</v>
      </c>
      <c r="Q114" s="7" t="s">
        <v>29</v>
      </c>
      <c r="R114" s="7" t="s">
        <v>29</v>
      </c>
      <c r="S114" s="7" t="s">
        <v>29</v>
      </c>
    </row>
    <row r="115" spans="2:19">
      <c r="B115" s="7" t="s">
        <v>195</v>
      </c>
      <c r="C115" s="8" t="s">
        <v>195</v>
      </c>
      <c r="D115" s="6" t="str">
        <f>LRTRIM(CONCATENATE(IF(SUMPRODUCT(-- ISNUMBER(SEARCH({"Auto Number"}, $B115))) &gt; 0, $B115, IF(SUMPRODUCT(-- ISNUMBER(SEARCH({"Lookup","Master-Detail"}, $B115))) &gt; 0,$B115 &amp; "(" &amp; $E115 &amp; ")",IF(SUMPRODUCT(-- ISNUMBER(SEARCH({"Formula","Roll-Up Summary"}, $B115))) &gt; 0,$B115 &amp; " (" &amp; $E115 &amp; ")",IF(SUMPRODUCT(-- ISNUMBER(SEARCH({"Content","Currency","Number","Percent","Text","URL"}, $B115))) &gt; 0,$B115 &amp; "(" &amp; $C115 &amp; ")",$B115)))), "  ", TRIM(IF($S115 = "YES", "(External ID)", "") &amp; " " &amp; IF(SUMPRODUCT(-- ISNUMBER(SEARCH({"Unique","Unique Case Insensitive"}, $R115))) &gt; 0, "(" &amp; $R115 &amp; ")", ""))))</f>
        <v>na</v>
      </c>
      <c r="E115" s="7" t="s">
        <v>195</v>
      </c>
      <c r="F115" s="7" t="s">
        <v>195</v>
      </c>
      <c r="G115" s="7" t="s">
        <v>195</v>
      </c>
      <c r="H115" s="7" t="s">
        <v>195</v>
      </c>
      <c r="I115" s="7" t="s">
        <v>195</v>
      </c>
      <c r="J115" s="7" t="s">
        <v>195</v>
      </c>
      <c r="K115" s="7" t="s">
        <v>195</v>
      </c>
      <c r="L115" s="7" t="s">
        <v>195</v>
      </c>
      <c r="M115" s="7" t="s">
        <v>29</v>
      </c>
      <c r="N115" s="7" t="s">
        <v>29</v>
      </c>
      <c r="O115" s="7" t="s">
        <v>29</v>
      </c>
      <c r="P115" s="7" t="s">
        <v>29</v>
      </c>
      <c r="Q115" s="7" t="s">
        <v>29</v>
      </c>
      <c r="R115" s="7" t="s">
        <v>29</v>
      </c>
      <c r="S115" s="7" t="s">
        <v>29</v>
      </c>
    </row>
    <row r="116" spans="2:19">
      <c r="B116" s="7" t="s">
        <v>195</v>
      </c>
      <c r="C116" s="8" t="s">
        <v>195</v>
      </c>
      <c r="D116" s="6" t="str">
        <f>LRTRIM(CONCATENATE(IF(SUMPRODUCT(-- ISNUMBER(SEARCH({"Auto Number"}, $B116))) &gt; 0, $B116, IF(SUMPRODUCT(-- ISNUMBER(SEARCH({"Lookup","Master-Detail"}, $B116))) &gt; 0,$B116 &amp; "(" &amp; $E116 &amp; ")",IF(SUMPRODUCT(-- ISNUMBER(SEARCH({"Formula","Roll-Up Summary"}, $B116))) &gt; 0,$B116 &amp; " (" &amp; $E116 &amp; ")",IF(SUMPRODUCT(-- ISNUMBER(SEARCH({"Content","Currency","Number","Percent","Text","URL"}, $B116))) &gt; 0,$B116 &amp; "(" &amp; $C116 &amp; ")",$B116)))), "  ", TRIM(IF($S116 = "YES", "(External ID)", "") &amp; " " &amp; IF(SUMPRODUCT(-- ISNUMBER(SEARCH({"Unique","Unique Case Insensitive"}, $R116))) &gt; 0, "(" &amp; $R116 &amp; ")", ""))))</f>
        <v>na</v>
      </c>
      <c r="E116" s="7" t="s">
        <v>195</v>
      </c>
      <c r="F116" s="7" t="s">
        <v>195</v>
      </c>
      <c r="G116" s="7" t="s">
        <v>195</v>
      </c>
      <c r="H116" s="7" t="s">
        <v>195</v>
      </c>
      <c r="I116" s="7" t="s">
        <v>195</v>
      </c>
      <c r="J116" s="7" t="s">
        <v>195</v>
      </c>
      <c r="K116" s="7" t="s">
        <v>195</v>
      </c>
      <c r="L116" s="7" t="s">
        <v>195</v>
      </c>
      <c r="M116" s="7" t="s">
        <v>29</v>
      </c>
      <c r="N116" s="7" t="s">
        <v>29</v>
      </c>
      <c r="O116" s="7" t="s">
        <v>29</v>
      </c>
      <c r="P116" s="7" t="s">
        <v>29</v>
      </c>
      <c r="Q116" s="7" t="s">
        <v>29</v>
      </c>
      <c r="R116" s="7" t="s">
        <v>29</v>
      </c>
      <c r="S116" s="7" t="s">
        <v>29</v>
      </c>
    </row>
    <row r="117" spans="2:19">
      <c r="B117" s="7" t="s">
        <v>195</v>
      </c>
      <c r="C117" s="8" t="s">
        <v>195</v>
      </c>
      <c r="D117" s="6" t="str">
        <f>LRTRIM(CONCATENATE(IF(SUMPRODUCT(-- ISNUMBER(SEARCH({"Auto Number"}, $B117))) &gt; 0, $B117, IF(SUMPRODUCT(-- ISNUMBER(SEARCH({"Lookup","Master-Detail"}, $B117))) &gt; 0,$B117 &amp; "(" &amp; $E117 &amp; ")",IF(SUMPRODUCT(-- ISNUMBER(SEARCH({"Formula","Roll-Up Summary"}, $B117))) &gt; 0,$B117 &amp; " (" &amp; $E117 &amp; ")",IF(SUMPRODUCT(-- ISNUMBER(SEARCH({"Content","Currency","Number","Percent","Text","URL"}, $B117))) &gt; 0,$B117 &amp; "(" &amp; $C117 &amp; ")",$B117)))), "  ", TRIM(IF($S117 = "YES", "(External ID)", "") &amp; " " &amp; IF(SUMPRODUCT(-- ISNUMBER(SEARCH({"Unique","Unique Case Insensitive"}, $R117))) &gt; 0, "(" &amp; $R117 &amp; ")", ""))))</f>
        <v>na</v>
      </c>
      <c r="E117" s="7" t="s">
        <v>195</v>
      </c>
      <c r="F117" s="7" t="s">
        <v>195</v>
      </c>
      <c r="G117" s="7" t="s">
        <v>195</v>
      </c>
      <c r="H117" s="7" t="s">
        <v>195</v>
      </c>
      <c r="I117" s="7" t="s">
        <v>195</v>
      </c>
      <c r="J117" s="7" t="s">
        <v>195</v>
      </c>
      <c r="K117" s="7" t="s">
        <v>195</v>
      </c>
      <c r="L117" s="7" t="s">
        <v>195</v>
      </c>
      <c r="M117" s="7" t="s">
        <v>29</v>
      </c>
      <c r="N117" s="7" t="s">
        <v>29</v>
      </c>
      <c r="O117" s="7" t="s">
        <v>29</v>
      </c>
      <c r="P117" s="7" t="s">
        <v>29</v>
      </c>
      <c r="Q117" s="7" t="s">
        <v>29</v>
      </c>
      <c r="R117" s="7" t="s">
        <v>29</v>
      </c>
      <c r="S117" s="7" t="s">
        <v>29</v>
      </c>
    </row>
    <row r="118" spans="2:19">
      <c r="B118" s="7" t="s">
        <v>195</v>
      </c>
      <c r="C118" s="8" t="s">
        <v>195</v>
      </c>
      <c r="D118" s="6" t="str">
        <f>LRTRIM(CONCATENATE(IF(SUMPRODUCT(-- ISNUMBER(SEARCH({"Auto Number"}, $B118))) &gt; 0, $B118, IF(SUMPRODUCT(-- ISNUMBER(SEARCH({"Lookup","Master-Detail"}, $B118))) &gt; 0,$B118 &amp; "(" &amp; $E118 &amp; ")",IF(SUMPRODUCT(-- ISNUMBER(SEARCH({"Formula","Roll-Up Summary"}, $B118))) &gt; 0,$B118 &amp; " (" &amp; $E118 &amp; ")",IF(SUMPRODUCT(-- ISNUMBER(SEARCH({"Content","Currency","Number","Percent","Text","URL"}, $B118))) &gt; 0,$B118 &amp; "(" &amp; $C118 &amp; ")",$B118)))), "  ", TRIM(IF($S118 = "YES", "(External ID)", "") &amp; " " &amp; IF(SUMPRODUCT(-- ISNUMBER(SEARCH({"Unique","Unique Case Insensitive"}, $R118))) &gt; 0, "(" &amp; $R118 &amp; ")", ""))))</f>
        <v>na</v>
      </c>
      <c r="E118" s="7" t="s">
        <v>195</v>
      </c>
      <c r="F118" s="7" t="s">
        <v>195</v>
      </c>
      <c r="G118" s="7" t="s">
        <v>195</v>
      </c>
      <c r="H118" s="7" t="s">
        <v>195</v>
      </c>
      <c r="I118" s="7" t="s">
        <v>195</v>
      </c>
      <c r="J118" s="7" t="s">
        <v>195</v>
      </c>
      <c r="K118" s="7" t="s">
        <v>195</v>
      </c>
      <c r="L118" s="7" t="s">
        <v>195</v>
      </c>
      <c r="M118" s="7" t="s">
        <v>29</v>
      </c>
      <c r="N118" s="7" t="s">
        <v>29</v>
      </c>
      <c r="O118" s="7" t="s">
        <v>29</v>
      </c>
      <c r="P118" s="7" t="s">
        <v>29</v>
      </c>
      <c r="Q118" s="7" t="s">
        <v>29</v>
      </c>
      <c r="R118" s="7" t="s">
        <v>29</v>
      </c>
      <c r="S118" s="7" t="s">
        <v>29</v>
      </c>
    </row>
    <row r="119" spans="2:19">
      <c r="B119" s="7" t="s">
        <v>195</v>
      </c>
      <c r="C119" s="8" t="s">
        <v>195</v>
      </c>
      <c r="D119" s="6" t="str">
        <f>LRTRIM(CONCATENATE(IF(SUMPRODUCT(-- ISNUMBER(SEARCH({"Auto Number"}, $B119))) &gt; 0, $B119, IF(SUMPRODUCT(-- ISNUMBER(SEARCH({"Lookup","Master-Detail"}, $B119))) &gt; 0,$B119 &amp; "(" &amp; $E119 &amp; ")",IF(SUMPRODUCT(-- ISNUMBER(SEARCH({"Formula","Roll-Up Summary"}, $B119))) &gt; 0,$B119 &amp; " (" &amp; $E119 &amp; ")",IF(SUMPRODUCT(-- ISNUMBER(SEARCH({"Content","Currency","Number","Percent","Text","URL"}, $B119))) &gt; 0,$B119 &amp; "(" &amp; $C119 &amp; ")",$B119)))), "  ", TRIM(IF($S119 = "YES", "(External ID)", "") &amp; " " &amp; IF(SUMPRODUCT(-- ISNUMBER(SEARCH({"Unique","Unique Case Insensitive"}, $R119))) &gt; 0, "(" &amp; $R119 &amp; ")", ""))))</f>
        <v>na</v>
      </c>
      <c r="E119" s="7" t="s">
        <v>195</v>
      </c>
      <c r="F119" s="7" t="s">
        <v>195</v>
      </c>
      <c r="G119" s="7" t="s">
        <v>195</v>
      </c>
      <c r="H119" s="7" t="s">
        <v>195</v>
      </c>
      <c r="I119" s="7" t="s">
        <v>195</v>
      </c>
      <c r="J119" s="7" t="s">
        <v>195</v>
      </c>
      <c r="K119" s="7" t="s">
        <v>195</v>
      </c>
      <c r="L119" s="7" t="s">
        <v>195</v>
      </c>
      <c r="M119" s="7" t="s">
        <v>29</v>
      </c>
      <c r="N119" s="7" t="s">
        <v>29</v>
      </c>
      <c r="O119" s="7" t="s">
        <v>29</v>
      </c>
      <c r="P119" s="7" t="s">
        <v>29</v>
      </c>
      <c r="Q119" s="7" t="s">
        <v>29</v>
      </c>
      <c r="R119" s="7" t="s">
        <v>29</v>
      </c>
      <c r="S119" s="7" t="s">
        <v>29</v>
      </c>
    </row>
    <row r="120" spans="2:19">
      <c r="B120" s="7" t="s">
        <v>195</v>
      </c>
      <c r="C120" s="8" t="s">
        <v>195</v>
      </c>
      <c r="D120" s="6" t="str">
        <f>LRTRIM(CONCATENATE(IF(SUMPRODUCT(-- ISNUMBER(SEARCH({"Auto Number"}, $B120))) &gt; 0, $B120, IF(SUMPRODUCT(-- ISNUMBER(SEARCH({"Lookup","Master-Detail"}, $B120))) &gt; 0,$B120 &amp; "(" &amp; $E120 &amp; ")",IF(SUMPRODUCT(-- ISNUMBER(SEARCH({"Formula","Roll-Up Summary"}, $B120))) &gt; 0,$B120 &amp; " (" &amp; $E120 &amp; ")",IF(SUMPRODUCT(-- ISNUMBER(SEARCH({"Content","Currency","Number","Percent","Text","URL"}, $B120))) &gt; 0,$B120 &amp; "(" &amp; $C120 &amp; ")",$B120)))), "  ", TRIM(IF($S120 = "YES", "(External ID)", "") &amp; " " &amp; IF(SUMPRODUCT(-- ISNUMBER(SEARCH({"Unique","Unique Case Insensitive"}, $R120))) &gt; 0, "(" &amp; $R120 &amp; ")", ""))))</f>
        <v>na</v>
      </c>
      <c r="E120" s="7" t="s">
        <v>195</v>
      </c>
      <c r="F120" s="7" t="s">
        <v>195</v>
      </c>
      <c r="G120" s="7" t="s">
        <v>195</v>
      </c>
      <c r="H120" s="7" t="s">
        <v>195</v>
      </c>
      <c r="I120" s="7" t="s">
        <v>195</v>
      </c>
      <c r="J120" s="7" t="s">
        <v>195</v>
      </c>
      <c r="K120" s="7" t="s">
        <v>195</v>
      </c>
      <c r="L120" s="7" t="s">
        <v>195</v>
      </c>
      <c r="M120" s="7" t="s">
        <v>29</v>
      </c>
      <c r="N120" s="7" t="s">
        <v>29</v>
      </c>
      <c r="O120" s="7" t="s">
        <v>29</v>
      </c>
      <c r="P120" s="7" t="s">
        <v>29</v>
      </c>
      <c r="Q120" s="7" t="s">
        <v>29</v>
      </c>
      <c r="R120" s="7" t="s">
        <v>29</v>
      </c>
      <c r="S120" s="7" t="s">
        <v>29</v>
      </c>
    </row>
    <row r="121" spans="2:19">
      <c r="B121" s="7" t="s">
        <v>195</v>
      </c>
      <c r="C121" s="8" t="s">
        <v>195</v>
      </c>
      <c r="D121" s="6" t="str">
        <f>LRTRIM(CONCATENATE(IF(SUMPRODUCT(-- ISNUMBER(SEARCH({"Auto Number"}, $B121))) &gt; 0, $B121, IF(SUMPRODUCT(-- ISNUMBER(SEARCH({"Lookup","Master-Detail"}, $B121))) &gt; 0,$B121 &amp; "(" &amp; $E121 &amp; ")",IF(SUMPRODUCT(-- ISNUMBER(SEARCH({"Formula","Roll-Up Summary"}, $B121))) &gt; 0,$B121 &amp; " (" &amp; $E121 &amp; ")",IF(SUMPRODUCT(-- ISNUMBER(SEARCH({"Content","Currency","Number","Percent","Text","URL"}, $B121))) &gt; 0,$B121 &amp; "(" &amp; $C121 &amp; ")",$B121)))), "  ", TRIM(IF($S121 = "YES", "(External ID)", "") &amp; " " &amp; IF(SUMPRODUCT(-- ISNUMBER(SEARCH({"Unique","Unique Case Insensitive"}, $R121))) &gt; 0, "(" &amp; $R121 &amp; ")", ""))))</f>
        <v>na</v>
      </c>
      <c r="E121" s="7" t="s">
        <v>195</v>
      </c>
      <c r="F121" s="7" t="s">
        <v>195</v>
      </c>
      <c r="G121" s="7" t="s">
        <v>195</v>
      </c>
      <c r="H121" s="7" t="s">
        <v>195</v>
      </c>
      <c r="I121" s="7" t="s">
        <v>195</v>
      </c>
      <c r="J121" s="7" t="s">
        <v>195</v>
      </c>
      <c r="K121" s="7" t="s">
        <v>195</v>
      </c>
      <c r="L121" s="7" t="s">
        <v>195</v>
      </c>
      <c r="M121" s="7" t="s">
        <v>29</v>
      </c>
      <c r="N121" s="7" t="s">
        <v>29</v>
      </c>
      <c r="O121" s="7" t="s">
        <v>29</v>
      </c>
      <c r="P121" s="7" t="s">
        <v>29</v>
      </c>
      <c r="Q121" s="7" t="s">
        <v>29</v>
      </c>
      <c r="R121" s="7" t="s">
        <v>29</v>
      </c>
      <c r="S121" s="7" t="s">
        <v>29</v>
      </c>
    </row>
    <row r="122" spans="2:19">
      <c r="B122" s="7" t="s">
        <v>195</v>
      </c>
      <c r="C122" s="8" t="s">
        <v>195</v>
      </c>
      <c r="D122" s="6" t="str">
        <f>LRTRIM(CONCATENATE(IF(SUMPRODUCT(-- ISNUMBER(SEARCH({"Auto Number"}, $B122))) &gt; 0, $B122, IF(SUMPRODUCT(-- ISNUMBER(SEARCH({"Lookup","Master-Detail"}, $B122))) &gt; 0,$B122 &amp; "(" &amp; $E122 &amp; ")",IF(SUMPRODUCT(-- ISNUMBER(SEARCH({"Formula","Roll-Up Summary"}, $B122))) &gt; 0,$B122 &amp; " (" &amp; $E122 &amp; ")",IF(SUMPRODUCT(-- ISNUMBER(SEARCH({"Content","Currency","Number","Percent","Text","URL"}, $B122))) &gt; 0,$B122 &amp; "(" &amp; $C122 &amp; ")",$B122)))), "  ", TRIM(IF($S122 = "YES", "(External ID)", "") &amp; " " &amp; IF(SUMPRODUCT(-- ISNUMBER(SEARCH({"Unique","Unique Case Insensitive"}, $R122))) &gt; 0, "(" &amp; $R122 &amp; ")", ""))))</f>
        <v>na</v>
      </c>
      <c r="E122" s="7" t="s">
        <v>195</v>
      </c>
      <c r="F122" s="7" t="s">
        <v>195</v>
      </c>
      <c r="G122" s="7" t="s">
        <v>195</v>
      </c>
      <c r="H122" s="7" t="s">
        <v>195</v>
      </c>
      <c r="I122" s="7" t="s">
        <v>195</v>
      </c>
      <c r="J122" s="7" t="s">
        <v>195</v>
      </c>
      <c r="K122" s="7" t="s">
        <v>195</v>
      </c>
      <c r="L122" s="7" t="s">
        <v>195</v>
      </c>
      <c r="M122" s="7" t="s">
        <v>29</v>
      </c>
      <c r="N122" s="7" t="s">
        <v>29</v>
      </c>
      <c r="O122" s="7" t="s">
        <v>29</v>
      </c>
      <c r="P122" s="7" t="s">
        <v>29</v>
      </c>
      <c r="Q122" s="7" t="s">
        <v>29</v>
      </c>
      <c r="R122" s="7" t="s">
        <v>29</v>
      </c>
      <c r="S122" s="7" t="s">
        <v>29</v>
      </c>
    </row>
    <row r="123" spans="2:19">
      <c r="B123" s="7" t="s">
        <v>195</v>
      </c>
      <c r="C123" s="8" t="s">
        <v>195</v>
      </c>
      <c r="D123" s="6" t="str">
        <f>LRTRIM(CONCATENATE(IF(SUMPRODUCT(-- ISNUMBER(SEARCH({"Auto Number"}, $B123))) &gt; 0, $B123, IF(SUMPRODUCT(-- ISNUMBER(SEARCH({"Lookup","Master-Detail"}, $B123))) &gt; 0,$B123 &amp; "(" &amp; $E123 &amp; ")",IF(SUMPRODUCT(-- ISNUMBER(SEARCH({"Formula","Roll-Up Summary"}, $B123))) &gt; 0,$B123 &amp; " (" &amp; $E123 &amp; ")",IF(SUMPRODUCT(-- ISNUMBER(SEARCH({"Content","Currency","Number","Percent","Text","URL"}, $B123))) &gt; 0,$B123 &amp; "(" &amp; $C123 &amp; ")",$B123)))), "  ", TRIM(IF($S123 = "YES", "(External ID)", "") &amp; " " &amp; IF(SUMPRODUCT(-- ISNUMBER(SEARCH({"Unique","Unique Case Insensitive"}, $R123))) &gt; 0, "(" &amp; $R123 &amp; ")", ""))))</f>
        <v>na</v>
      </c>
      <c r="E123" s="7" t="s">
        <v>195</v>
      </c>
      <c r="F123" s="7" t="s">
        <v>195</v>
      </c>
      <c r="G123" s="7" t="s">
        <v>195</v>
      </c>
      <c r="H123" s="7" t="s">
        <v>195</v>
      </c>
      <c r="I123" s="7" t="s">
        <v>195</v>
      </c>
      <c r="J123" s="7" t="s">
        <v>195</v>
      </c>
      <c r="K123" s="7" t="s">
        <v>195</v>
      </c>
      <c r="L123" s="7" t="s">
        <v>195</v>
      </c>
      <c r="M123" s="7" t="s">
        <v>29</v>
      </c>
      <c r="N123" s="7" t="s">
        <v>29</v>
      </c>
      <c r="O123" s="7" t="s">
        <v>29</v>
      </c>
      <c r="P123" s="7" t="s">
        <v>29</v>
      </c>
      <c r="Q123" s="7" t="s">
        <v>29</v>
      </c>
      <c r="R123" s="7" t="s">
        <v>29</v>
      </c>
      <c r="S123" s="7" t="s">
        <v>29</v>
      </c>
    </row>
    <row r="124" spans="2:19">
      <c r="B124" s="7" t="s">
        <v>195</v>
      </c>
      <c r="C124" s="8" t="s">
        <v>195</v>
      </c>
      <c r="D124" s="6" t="str">
        <f>LRTRIM(CONCATENATE(IF(SUMPRODUCT(-- ISNUMBER(SEARCH({"Auto Number"}, $B124))) &gt; 0, $B124, IF(SUMPRODUCT(-- ISNUMBER(SEARCH({"Lookup","Master-Detail"}, $B124))) &gt; 0,$B124 &amp; "(" &amp; $E124 &amp; ")",IF(SUMPRODUCT(-- ISNUMBER(SEARCH({"Formula","Roll-Up Summary"}, $B124))) &gt; 0,$B124 &amp; " (" &amp; $E124 &amp; ")",IF(SUMPRODUCT(-- ISNUMBER(SEARCH({"Content","Currency","Number","Percent","Text","URL"}, $B124))) &gt; 0,$B124 &amp; "(" &amp; $C124 &amp; ")",$B124)))), "  ", TRIM(IF($S124 = "YES", "(External ID)", "") &amp; " " &amp; IF(SUMPRODUCT(-- ISNUMBER(SEARCH({"Unique","Unique Case Insensitive"}, $R124))) &gt; 0, "(" &amp; $R124 &amp; ")", ""))))</f>
        <v>na</v>
      </c>
      <c r="E124" s="7" t="s">
        <v>195</v>
      </c>
      <c r="F124" s="7" t="s">
        <v>195</v>
      </c>
      <c r="G124" s="7" t="s">
        <v>195</v>
      </c>
      <c r="H124" s="7" t="s">
        <v>195</v>
      </c>
      <c r="I124" s="7" t="s">
        <v>195</v>
      </c>
      <c r="J124" s="7" t="s">
        <v>195</v>
      </c>
      <c r="K124" s="7" t="s">
        <v>195</v>
      </c>
      <c r="L124" s="7" t="s">
        <v>195</v>
      </c>
      <c r="M124" s="7" t="s">
        <v>29</v>
      </c>
      <c r="N124" s="7" t="s">
        <v>29</v>
      </c>
      <c r="O124" s="7" t="s">
        <v>29</v>
      </c>
      <c r="P124" s="7" t="s">
        <v>29</v>
      </c>
      <c r="Q124" s="7" t="s">
        <v>29</v>
      </c>
      <c r="R124" s="7" t="s">
        <v>29</v>
      </c>
      <c r="S124" s="7" t="s">
        <v>29</v>
      </c>
    </row>
    <row r="125" spans="2:19">
      <c r="B125" s="7" t="s">
        <v>195</v>
      </c>
      <c r="C125" s="8" t="s">
        <v>195</v>
      </c>
      <c r="D125" s="6" t="str">
        <f>LRTRIM(CONCATENATE(IF(SUMPRODUCT(-- ISNUMBER(SEARCH({"Auto Number"}, $B125))) &gt; 0, $B125, IF(SUMPRODUCT(-- ISNUMBER(SEARCH({"Lookup","Master-Detail"}, $B125))) &gt; 0,$B125 &amp; "(" &amp; $E125 &amp; ")",IF(SUMPRODUCT(-- ISNUMBER(SEARCH({"Formula","Roll-Up Summary"}, $B125))) &gt; 0,$B125 &amp; " (" &amp; $E125 &amp; ")",IF(SUMPRODUCT(-- ISNUMBER(SEARCH({"Content","Currency","Number","Percent","Text","URL"}, $B125))) &gt; 0,$B125 &amp; "(" &amp; $C125 &amp; ")",$B125)))), "  ", TRIM(IF($S125 = "YES", "(External ID)", "") &amp; " " &amp; IF(SUMPRODUCT(-- ISNUMBER(SEARCH({"Unique","Unique Case Insensitive"}, $R125))) &gt; 0, "(" &amp; $R125 &amp; ")", ""))))</f>
        <v>na</v>
      </c>
      <c r="E125" s="7" t="s">
        <v>195</v>
      </c>
      <c r="F125" s="7" t="s">
        <v>195</v>
      </c>
      <c r="G125" s="7" t="s">
        <v>195</v>
      </c>
      <c r="H125" s="7" t="s">
        <v>195</v>
      </c>
      <c r="I125" s="7" t="s">
        <v>195</v>
      </c>
      <c r="J125" s="7" t="s">
        <v>195</v>
      </c>
      <c r="K125" s="7" t="s">
        <v>195</v>
      </c>
      <c r="L125" s="7" t="s">
        <v>195</v>
      </c>
      <c r="M125" s="7" t="s">
        <v>29</v>
      </c>
      <c r="N125" s="7" t="s">
        <v>29</v>
      </c>
      <c r="O125" s="7" t="s">
        <v>29</v>
      </c>
      <c r="P125" s="7" t="s">
        <v>29</v>
      </c>
      <c r="Q125" s="7" t="s">
        <v>29</v>
      </c>
      <c r="R125" s="7" t="s">
        <v>29</v>
      </c>
      <c r="S125" s="7" t="s">
        <v>29</v>
      </c>
    </row>
    <row r="126" spans="2:19">
      <c r="B126" s="7" t="s">
        <v>195</v>
      </c>
      <c r="C126" s="8" t="s">
        <v>195</v>
      </c>
      <c r="D126" s="6" t="str">
        <f>LRTRIM(CONCATENATE(IF(SUMPRODUCT(-- ISNUMBER(SEARCH({"Auto Number"}, $B126))) &gt; 0, $B126, IF(SUMPRODUCT(-- ISNUMBER(SEARCH({"Lookup","Master-Detail"}, $B126))) &gt; 0,$B126 &amp; "(" &amp; $E126 &amp; ")",IF(SUMPRODUCT(-- ISNUMBER(SEARCH({"Formula","Roll-Up Summary"}, $B126))) &gt; 0,$B126 &amp; " (" &amp; $E126 &amp; ")",IF(SUMPRODUCT(-- ISNUMBER(SEARCH({"Content","Currency","Number","Percent","Text","URL"}, $B126))) &gt; 0,$B126 &amp; "(" &amp; $C126 &amp; ")",$B126)))), "  ", TRIM(IF($S126 = "YES", "(External ID)", "") &amp; " " &amp; IF(SUMPRODUCT(-- ISNUMBER(SEARCH({"Unique","Unique Case Insensitive"}, $R126))) &gt; 0, "(" &amp; $R126 &amp; ")", ""))))</f>
        <v>na</v>
      </c>
      <c r="E126" s="7" t="s">
        <v>195</v>
      </c>
      <c r="F126" s="7" t="s">
        <v>195</v>
      </c>
      <c r="G126" s="7" t="s">
        <v>195</v>
      </c>
      <c r="H126" s="7" t="s">
        <v>195</v>
      </c>
      <c r="I126" s="7" t="s">
        <v>195</v>
      </c>
      <c r="J126" s="7" t="s">
        <v>195</v>
      </c>
      <c r="K126" s="7" t="s">
        <v>195</v>
      </c>
      <c r="L126" s="7" t="s">
        <v>195</v>
      </c>
      <c r="M126" s="7" t="s">
        <v>29</v>
      </c>
      <c r="N126" s="7" t="s">
        <v>29</v>
      </c>
      <c r="O126" s="7" t="s">
        <v>29</v>
      </c>
      <c r="P126" s="7" t="s">
        <v>29</v>
      </c>
      <c r="Q126" s="7" t="s">
        <v>29</v>
      </c>
      <c r="R126" s="7" t="s">
        <v>29</v>
      </c>
      <c r="S126" s="7" t="s">
        <v>29</v>
      </c>
    </row>
    <row r="127" spans="2:19">
      <c r="B127" s="7" t="s">
        <v>195</v>
      </c>
      <c r="C127" s="8" t="s">
        <v>195</v>
      </c>
      <c r="D127" s="6" t="str">
        <f>LRTRIM(CONCATENATE(IF(SUMPRODUCT(-- ISNUMBER(SEARCH({"Auto Number"}, $B127))) &gt; 0, $B127, IF(SUMPRODUCT(-- ISNUMBER(SEARCH({"Lookup","Master-Detail"}, $B127))) &gt; 0,$B127 &amp; "(" &amp; $E127 &amp; ")",IF(SUMPRODUCT(-- ISNUMBER(SEARCH({"Formula","Roll-Up Summary"}, $B127))) &gt; 0,$B127 &amp; " (" &amp; $E127 &amp; ")",IF(SUMPRODUCT(-- ISNUMBER(SEARCH({"Content","Currency","Number","Percent","Text","URL"}, $B127))) &gt; 0,$B127 &amp; "(" &amp; $C127 &amp; ")",$B127)))), "  ", TRIM(IF($S127 = "YES", "(External ID)", "") &amp; " " &amp; IF(SUMPRODUCT(-- ISNUMBER(SEARCH({"Unique","Unique Case Insensitive"}, $R127))) &gt; 0, "(" &amp; $R127 &amp; ")", ""))))</f>
        <v>na</v>
      </c>
      <c r="E127" s="7" t="s">
        <v>195</v>
      </c>
      <c r="F127" s="7" t="s">
        <v>195</v>
      </c>
      <c r="G127" s="7" t="s">
        <v>195</v>
      </c>
      <c r="H127" s="7" t="s">
        <v>195</v>
      </c>
      <c r="I127" s="7" t="s">
        <v>195</v>
      </c>
      <c r="J127" s="7" t="s">
        <v>195</v>
      </c>
      <c r="K127" s="7" t="s">
        <v>195</v>
      </c>
      <c r="L127" s="7" t="s">
        <v>195</v>
      </c>
      <c r="M127" s="7" t="s">
        <v>29</v>
      </c>
      <c r="N127" s="7" t="s">
        <v>29</v>
      </c>
      <c r="O127" s="7" t="s">
        <v>29</v>
      </c>
      <c r="P127" s="7" t="s">
        <v>29</v>
      </c>
      <c r="Q127" s="7" t="s">
        <v>29</v>
      </c>
      <c r="R127" s="7" t="s">
        <v>29</v>
      </c>
      <c r="S127" s="7" t="s">
        <v>29</v>
      </c>
    </row>
    <row r="128" spans="2:19">
      <c r="B128" s="7" t="s">
        <v>195</v>
      </c>
      <c r="C128" s="8" t="s">
        <v>195</v>
      </c>
      <c r="D128" s="6" t="str">
        <f>LRTRIM(CONCATENATE(IF(SUMPRODUCT(-- ISNUMBER(SEARCH({"Auto Number"}, $B128))) &gt; 0, $B128, IF(SUMPRODUCT(-- ISNUMBER(SEARCH({"Lookup","Master-Detail"}, $B128))) &gt; 0,$B128 &amp; "(" &amp; $E128 &amp; ")",IF(SUMPRODUCT(-- ISNUMBER(SEARCH({"Formula","Roll-Up Summary"}, $B128))) &gt; 0,$B128 &amp; " (" &amp; $E128 &amp; ")",IF(SUMPRODUCT(-- ISNUMBER(SEARCH({"Content","Currency","Number","Percent","Text","URL"}, $B128))) &gt; 0,$B128 &amp; "(" &amp; $C128 &amp; ")",$B128)))), "  ", TRIM(IF($S128 = "YES", "(External ID)", "") &amp; " " &amp; IF(SUMPRODUCT(-- ISNUMBER(SEARCH({"Unique","Unique Case Insensitive"}, $R128))) &gt; 0, "(" &amp; $R128 &amp; ")", ""))))</f>
        <v>na</v>
      </c>
      <c r="E128" s="7" t="s">
        <v>195</v>
      </c>
      <c r="F128" s="7" t="s">
        <v>195</v>
      </c>
      <c r="G128" s="7" t="s">
        <v>195</v>
      </c>
      <c r="H128" s="7" t="s">
        <v>195</v>
      </c>
      <c r="I128" s="7" t="s">
        <v>195</v>
      </c>
      <c r="J128" s="7" t="s">
        <v>195</v>
      </c>
      <c r="K128" s="7" t="s">
        <v>195</v>
      </c>
      <c r="L128" s="7" t="s">
        <v>195</v>
      </c>
      <c r="M128" s="7" t="s">
        <v>29</v>
      </c>
      <c r="N128" s="7" t="s">
        <v>29</v>
      </c>
      <c r="O128" s="7" t="s">
        <v>29</v>
      </c>
      <c r="P128" s="7" t="s">
        <v>29</v>
      </c>
      <c r="Q128" s="7" t="s">
        <v>29</v>
      </c>
      <c r="R128" s="7" t="s">
        <v>29</v>
      </c>
      <c r="S128" s="7" t="s">
        <v>29</v>
      </c>
    </row>
    <row r="129" spans="2:19">
      <c r="B129" s="7" t="s">
        <v>195</v>
      </c>
      <c r="C129" s="8" t="s">
        <v>195</v>
      </c>
      <c r="D129" s="6" t="str">
        <f>LRTRIM(CONCATENATE(IF(SUMPRODUCT(-- ISNUMBER(SEARCH({"Auto Number"}, $B129))) &gt; 0, $B129, IF(SUMPRODUCT(-- ISNUMBER(SEARCH({"Lookup","Master-Detail"}, $B129))) &gt; 0,$B129 &amp; "(" &amp; $E129 &amp; ")",IF(SUMPRODUCT(-- ISNUMBER(SEARCH({"Formula","Roll-Up Summary"}, $B129))) &gt; 0,$B129 &amp; " (" &amp; $E129 &amp; ")",IF(SUMPRODUCT(-- ISNUMBER(SEARCH({"Content","Currency","Number","Percent","Text","URL"}, $B129))) &gt; 0,$B129 &amp; "(" &amp; $C129 &amp; ")",$B129)))), "  ", TRIM(IF($S129 = "YES", "(External ID)", "") &amp; " " &amp; IF(SUMPRODUCT(-- ISNUMBER(SEARCH({"Unique","Unique Case Insensitive"}, $R129))) &gt; 0, "(" &amp; $R129 &amp; ")", ""))))</f>
        <v>na</v>
      </c>
      <c r="E129" s="7" t="s">
        <v>195</v>
      </c>
      <c r="F129" s="7" t="s">
        <v>195</v>
      </c>
      <c r="G129" s="7" t="s">
        <v>195</v>
      </c>
      <c r="H129" s="7" t="s">
        <v>195</v>
      </c>
      <c r="I129" s="7" t="s">
        <v>195</v>
      </c>
      <c r="J129" s="7" t="s">
        <v>195</v>
      </c>
      <c r="K129" s="7" t="s">
        <v>195</v>
      </c>
      <c r="L129" s="7" t="s">
        <v>195</v>
      </c>
      <c r="M129" s="7" t="s">
        <v>29</v>
      </c>
      <c r="N129" s="7" t="s">
        <v>29</v>
      </c>
      <c r="O129" s="7" t="s">
        <v>29</v>
      </c>
      <c r="P129" s="7" t="s">
        <v>29</v>
      </c>
      <c r="Q129" s="7" t="s">
        <v>29</v>
      </c>
      <c r="R129" s="7" t="s">
        <v>29</v>
      </c>
      <c r="S129" s="7" t="s">
        <v>29</v>
      </c>
    </row>
    <row r="130" spans="2:19">
      <c r="B130" s="7" t="s">
        <v>195</v>
      </c>
      <c r="C130" s="8" t="s">
        <v>195</v>
      </c>
      <c r="D130" s="6" t="str">
        <f>LRTRIM(CONCATENATE(IF(SUMPRODUCT(-- ISNUMBER(SEARCH({"Auto Number"}, $B130))) &gt; 0, $B130, IF(SUMPRODUCT(-- ISNUMBER(SEARCH({"Lookup","Master-Detail"}, $B130))) &gt; 0,$B130 &amp; "(" &amp; $E130 &amp; ")",IF(SUMPRODUCT(-- ISNUMBER(SEARCH({"Formula","Roll-Up Summary"}, $B130))) &gt; 0,$B130 &amp; " (" &amp; $E130 &amp; ")",IF(SUMPRODUCT(-- ISNUMBER(SEARCH({"Content","Currency","Number","Percent","Text","URL"}, $B130))) &gt; 0,$B130 &amp; "(" &amp; $C130 &amp; ")",$B130)))), "  ", TRIM(IF($S130 = "YES", "(External ID)", "") &amp; " " &amp; IF(SUMPRODUCT(-- ISNUMBER(SEARCH({"Unique","Unique Case Insensitive"}, $R130))) &gt; 0, "(" &amp; $R130 &amp; ")", ""))))</f>
        <v>na</v>
      </c>
      <c r="E130" s="7" t="s">
        <v>195</v>
      </c>
      <c r="F130" s="7" t="s">
        <v>195</v>
      </c>
      <c r="G130" s="7" t="s">
        <v>195</v>
      </c>
      <c r="H130" s="7" t="s">
        <v>195</v>
      </c>
      <c r="I130" s="7" t="s">
        <v>195</v>
      </c>
      <c r="J130" s="7" t="s">
        <v>195</v>
      </c>
      <c r="K130" s="7" t="s">
        <v>195</v>
      </c>
      <c r="L130" s="7" t="s">
        <v>195</v>
      </c>
      <c r="M130" s="7" t="s">
        <v>29</v>
      </c>
      <c r="N130" s="7" t="s">
        <v>29</v>
      </c>
      <c r="O130" s="7" t="s">
        <v>29</v>
      </c>
      <c r="P130" s="7" t="s">
        <v>29</v>
      </c>
      <c r="Q130" s="7" t="s">
        <v>29</v>
      </c>
      <c r="R130" s="7" t="s">
        <v>29</v>
      </c>
      <c r="S130" s="7" t="s">
        <v>29</v>
      </c>
    </row>
    <row r="131" spans="2:19">
      <c r="B131" s="7" t="s">
        <v>195</v>
      </c>
      <c r="C131" s="8" t="s">
        <v>195</v>
      </c>
      <c r="D131" s="6" t="str">
        <f>LRTRIM(CONCATENATE(IF(SUMPRODUCT(-- ISNUMBER(SEARCH({"Auto Number"}, $B131))) &gt; 0, $B131, IF(SUMPRODUCT(-- ISNUMBER(SEARCH({"Lookup","Master-Detail"}, $B131))) &gt; 0,$B131 &amp; "(" &amp; $E131 &amp; ")",IF(SUMPRODUCT(-- ISNUMBER(SEARCH({"Formula","Roll-Up Summary"}, $B131))) &gt; 0,$B131 &amp; " (" &amp; $E131 &amp; ")",IF(SUMPRODUCT(-- ISNUMBER(SEARCH({"Content","Currency","Number","Percent","Text","URL"}, $B131))) &gt; 0,$B131 &amp; "(" &amp; $C131 &amp; ")",$B131)))), "  ", TRIM(IF($S131 = "YES", "(External ID)", "") &amp; " " &amp; IF(SUMPRODUCT(-- ISNUMBER(SEARCH({"Unique","Unique Case Insensitive"}, $R131))) &gt; 0, "(" &amp; $R131 &amp; ")", ""))))</f>
        <v>na</v>
      </c>
      <c r="E131" s="7" t="s">
        <v>195</v>
      </c>
      <c r="F131" s="7" t="s">
        <v>195</v>
      </c>
      <c r="G131" s="7" t="s">
        <v>195</v>
      </c>
      <c r="H131" s="7" t="s">
        <v>195</v>
      </c>
      <c r="I131" s="7" t="s">
        <v>195</v>
      </c>
      <c r="J131" s="7" t="s">
        <v>195</v>
      </c>
      <c r="K131" s="7" t="s">
        <v>195</v>
      </c>
      <c r="L131" s="7" t="s">
        <v>195</v>
      </c>
      <c r="M131" s="7" t="s">
        <v>29</v>
      </c>
      <c r="N131" s="7" t="s">
        <v>29</v>
      </c>
      <c r="O131" s="7" t="s">
        <v>29</v>
      </c>
      <c r="P131" s="7" t="s">
        <v>29</v>
      </c>
      <c r="Q131" s="7" t="s">
        <v>29</v>
      </c>
      <c r="R131" s="7" t="s">
        <v>29</v>
      </c>
      <c r="S131" s="7" t="s">
        <v>29</v>
      </c>
    </row>
    <row r="132" spans="2:19">
      <c r="B132" s="7" t="s">
        <v>195</v>
      </c>
      <c r="C132" s="8" t="s">
        <v>195</v>
      </c>
      <c r="D132" s="6" t="str">
        <f>LRTRIM(CONCATENATE(IF(SUMPRODUCT(-- ISNUMBER(SEARCH({"Auto Number"}, $B132))) &gt; 0, $B132, IF(SUMPRODUCT(-- ISNUMBER(SEARCH({"Lookup","Master-Detail"}, $B132))) &gt; 0,$B132 &amp; "(" &amp; $E132 &amp; ")",IF(SUMPRODUCT(-- ISNUMBER(SEARCH({"Formula","Roll-Up Summary"}, $B132))) &gt; 0,$B132 &amp; " (" &amp; $E132 &amp; ")",IF(SUMPRODUCT(-- ISNUMBER(SEARCH({"Content","Currency","Number","Percent","Text","URL"}, $B132))) &gt; 0,$B132 &amp; "(" &amp; $C132 &amp; ")",$B132)))), "  ", TRIM(IF($S132 = "YES", "(External ID)", "") &amp; " " &amp; IF(SUMPRODUCT(-- ISNUMBER(SEARCH({"Unique","Unique Case Insensitive"}, $R132))) &gt; 0, "(" &amp; $R132 &amp; ")", ""))))</f>
        <v>na</v>
      </c>
      <c r="E132" s="7" t="s">
        <v>195</v>
      </c>
      <c r="F132" s="7" t="s">
        <v>195</v>
      </c>
      <c r="G132" s="7" t="s">
        <v>195</v>
      </c>
      <c r="H132" s="7" t="s">
        <v>195</v>
      </c>
      <c r="I132" s="7" t="s">
        <v>195</v>
      </c>
      <c r="J132" s="7" t="s">
        <v>195</v>
      </c>
      <c r="K132" s="7" t="s">
        <v>195</v>
      </c>
      <c r="L132" s="7" t="s">
        <v>195</v>
      </c>
      <c r="M132" s="7" t="s">
        <v>29</v>
      </c>
      <c r="N132" s="7" t="s">
        <v>29</v>
      </c>
      <c r="O132" s="7" t="s">
        <v>29</v>
      </c>
      <c r="P132" s="7" t="s">
        <v>29</v>
      </c>
      <c r="Q132" s="7" t="s">
        <v>29</v>
      </c>
      <c r="R132" s="7" t="s">
        <v>29</v>
      </c>
      <c r="S132" s="7" t="s">
        <v>29</v>
      </c>
    </row>
    <row r="133" spans="2:19">
      <c r="B133" s="7" t="s">
        <v>195</v>
      </c>
      <c r="C133" s="8" t="s">
        <v>195</v>
      </c>
      <c r="D133" s="6" t="str">
        <f>LRTRIM(CONCATENATE(IF(SUMPRODUCT(-- ISNUMBER(SEARCH({"Auto Number"}, $B133))) &gt; 0, $B133, IF(SUMPRODUCT(-- ISNUMBER(SEARCH({"Lookup","Master-Detail"}, $B133))) &gt; 0,$B133 &amp; "(" &amp; $E133 &amp; ")",IF(SUMPRODUCT(-- ISNUMBER(SEARCH({"Formula","Roll-Up Summary"}, $B133))) &gt; 0,$B133 &amp; " (" &amp; $E133 &amp; ")",IF(SUMPRODUCT(-- ISNUMBER(SEARCH({"Content","Currency","Number","Percent","Text","URL"}, $B133))) &gt; 0,$B133 &amp; "(" &amp; $C133 &amp; ")",$B133)))), "  ", TRIM(IF($S133 = "YES", "(External ID)", "") &amp; " " &amp; IF(SUMPRODUCT(-- ISNUMBER(SEARCH({"Unique","Unique Case Insensitive"}, $R133))) &gt; 0, "(" &amp; $R133 &amp; ")", ""))))</f>
        <v>na</v>
      </c>
      <c r="E133" s="7" t="s">
        <v>195</v>
      </c>
      <c r="F133" s="7" t="s">
        <v>195</v>
      </c>
      <c r="G133" s="7" t="s">
        <v>195</v>
      </c>
      <c r="H133" s="7" t="s">
        <v>195</v>
      </c>
      <c r="I133" s="7" t="s">
        <v>195</v>
      </c>
      <c r="J133" s="7" t="s">
        <v>195</v>
      </c>
      <c r="K133" s="7" t="s">
        <v>195</v>
      </c>
      <c r="L133" s="7" t="s">
        <v>195</v>
      </c>
      <c r="M133" s="7" t="s">
        <v>29</v>
      </c>
      <c r="N133" s="7" t="s">
        <v>29</v>
      </c>
      <c r="O133" s="7" t="s">
        <v>29</v>
      </c>
      <c r="P133" s="7" t="s">
        <v>29</v>
      </c>
      <c r="Q133" s="7" t="s">
        <v>29</v>
      </c>
      <c r="R133" s="7" t="s">
        <v>29</v>
      </c>
      <c r="S133" s="7" t="s">
        <v>29</v>
      </c>
    </row>
    <row r="134" spans="2:19">
      <c r="B134" s="7" t="s">
        <v>195</v>
      </c>
      <c r="C134" s="8" t="s">
        <v>195</v>
      </c>
      <c r="D134" s="6" t="str">
        <f>LRTRIM(CONCATENATE(IF(SUMPRODUCT(-- ISNUMBER(SEARCH({"Auto Number"}, $B134))) &gt; 0, $B134, IF(SUMPRODUCT(-- ISNUMBER(SEARCH({"Lookup","Master-Detail"}, $B134))) &gt; 0,$B134 &amp; "(" &amp; $E134 &amp; ")",IF(SUMPRODUCT(-- ISNUMBER(SEARCH({"Formula","Roll-Up Summary"}, $B134))) &gt; 0,$B134 &amp; " (" &amp; $E134 &amp; ")",IF(SUMPRODUCT(-- ISNUMBER(SEARCH({"Content","Currency","Number","Percent","Text","URL"}, $B134))) &gt; 0,$B134 &amp; "(" &amp; $C134 &amp; ")",$B134)))), "  ", TRIM(IF($S134 = "YES", "(External ID)", "") &amp; " " &amp; IF(SUMPRODUCT(-- ISNUMBER(SEARCH({"Unique","Unique Case Insensitive"}, $R134))) &gt; 0, "(" &amp; $R134 &amp; ")", ""))))</f>
        <v>na</v>
      </c>
      <c r="E134" s="7" t="s">
        <v>195</v>
      </c>
      <c r="F134" s="7" t="s">
        <v>195</v>
      </c>
      <c r="G134" s="7" t="s">
        <v>195</v>
      </c>
      <c r="H134" s="7" t="s">
        <v>195</v>
      </c>
      <c r="I134" s="7" t="s">
        <v>195</v>
      </c>
      <c r="J134" s="7" t="s">
        <v>195</v>
      </c>
      <c r="K134" s="7" t="s">
        <v>195</v>
      </c>
      <c r="L134" s="7" t="s">
        <v>195</v>
      </c>
      <c r="M134" s="7" t="s">
        <v>29</v>
      </c>
      <c r="N134" s="7" t="s">
        <v>29</v>
      </c>
      <c r="O134" s="7" t="s">
        <v>29</v>
      </c>
      <c r="P134" s="7" t="s">
        <v>29</v>
      </c>
      <c r="Q134" s="7" t="s">
        <v>29</v>
      </c>
      <c r="R134" s="7" t="s">
        <v>29</v>
      </c>
      <c r="S134" s="7" t="s">
        <v>29</v>
      </c>
    </row>
    <row r="135" spans="2:19">
      <c r="B135" s="7" t="s">
        <v>195</v>
      </c>
      <c r="C135" s="8" t="s">
        <v>195</v>
      </c>
      <c r="D135" s="6" t="str">
        <f>LRTRIM(CONCATENATE(IF(SUMPRODUCT(-- ISNUMBER(SEARCH({"Auto Number"}, $B135))) &gt; 0, $B135, IF(SUMPRODUCT(-- ISNUMBER(SEARCH({"Lookup","Master-Detail"}, $B135))) &gt; 0,$B135 &amp; "(" &amp; $E135 &amp; ")",IF(SUMPRODUCT(-- ISNUMBER(SEARCH({"Formula","Roll-Up Summary"}, $B135))) &gt; 0,$B135 &amp; " (" &amp; $E135 &amp; ")",IF(SUMPRODUCT(-- ISNUMBER(SEARCH({"Content","Currency","Number","Percent","Text","URL"}, $B135))) &gt; 0,$B135 &amp; "(" &amp; $C135 &amp; ")",$B135)))), "  ", TRIM(IF($S135 = "YES", "(External ID)", "") &amp; " " &amp; IF(SUMPRODUCT(-- ISNUMBER(SEARCH({"Unique","Unique Case Insensitive"}, $R135))) &gt; 0, "(" &amp; $R135 &amp; ")", ""))))</f>
        <v>na</v>
      </c>
      <c r="E135" s="7" t="s">
        <v>195</v>
      </c>
      <c r="F135" s="7" t="s">
        <v>195</v>
      </c>
      <c r="G135" s="7" t="s">
        <v>195</v>
      </c>
      <c r="H135" s="7" t="s">
        <v>195</v>
      </c>
      <c r="I135" s="7" t="s">
        <v>195</v>
      </c>
      <c r="J135" s="7" t="s">
        <v>195</v>
      </c>
      <c r="K135" s="7" t="s">
        <v>195</v>
      </c>
      <c r="L135" s="7" t="s">
        <v>195</v>
      </c>
      <c r="M135" s="7" t="s">
        <v>29</v>
      </c>
      <c r="N135" s="7" t="s">
        <v>29</v>
      </c>
      <c r="O135" s="7" t="s">
        <v>29</v>
      </c>
      <c r="P135" s="7" t="s">
        <v>29</v>
      </c>
      <c r="Q135" s="7" t="s">
        <v>29</v>
      </c>
      <c r="R135" s="7" t="s">
        <v>29</v>
      </c>
      <c r="S135" s="7" t="s">
        <v>29</v>
      </c>
    </row>
    <row r="136" spans="2:19">
      <c r="B136" s="7" t="s">
        <v>195</v>
      </c>
      <c r="C136" s="8" t="s">
        <v>195</v>
      </c>
      <c r="D136" s="6" t="str">
        <f>LRTRIM(CONCATENATE(IF(SUMPRODUCT(-- ISNUMBER(SEARCH({"Auto Number"}, $B136))) &gt; 0, $B136, IF(SUMPRODUCT(-- ISNUMBER(SEARCH({"Lookup","Master-Detail"}, $B136))) &gt; 0,$B136 &amp; "(" &amp; $E136 &amp; ")",IF(SUMPRODUCT(-- ISNUMBER(SEARCH({"Formula","Roll-Up Summary"}, $B136))) &gt; 0,$B136 &amp; " (" &amp; $E136 &amp; ")",IF(SUMPRODUCT(-- ISNUMBER(SEARCH({"Content","Currency","Number","Percent","Text","URL"}, $B136))) &gt; 0,$B136 &amp; "(" &amp; $C136 &amp; ")",$B136)))), "  ", TRIM(IF($S136 = "YES", "(External ID)", "") &amp; " " &amp; IF(SUMPRODUCT(-- ISNUMBER(SEARCH({"Unique","Unique Case Insensitive"}, $R136))) &gt; 0, "(" &amp; $R136 &amp; ")", ""))))</f>
        <v>na</v>
      </c>
      <c r="E136" s="7" t="s">
        <v>195</v>
      </c>
      <c r="F136" s="7" t="s">
        <v>195</v>
      </c>
      <c r="G136" s="7" t="s">
        <v>195</v>
      </c>
      <c r="H136" s="7" t="s">
        <v>195</v>
      </c>
      <c r="I136" s="7" t="s">
        <v>195</v>
      </c>
      <c r="J136" s="7" t="s">
        <v>195</v>
      </c>
      <c r="K136" s="7" t="s">
        <v>195</v>
      </c>
      <c r="L136" s="7" t="s">
        <v>195</v>
      </c>
      <c r="M136" s="7" t="s">
        <v>29</v>
      </c>
      <c r="N136" s="7" t="s">
        <v>29</v>
      </c>
      <c r="O136" s="7" t="s">
        <v>29</v>
      </c>
      <c r="P136" s="7" t="s">
        <v>29</v>
      </c>
      <c r="Q136" s="7" t="s">
        <v>29</v>
      </c>
      <c r="R136" s="7" t="s">
        <v>29</v>
      </c>
      <c r="S136" s="7" t="s">
        <v>29</v>
      </c>
    </row>
    <row r="137" spans="2:19">
      <c r="B137" s="7" t="s">
        <v>195</v>
      </c>
      <c r="C137" s="8" t="s">
        <v>195</v>
      </c>
      <c r="D137" s="6" t="str">
        <f>LRTRIM(CONCATENATE(IF(SUMPRODUCT(-- ISNUMBER(SEARCH({"Auto Number"}, $B137))) &gt; 0, $B137, IF(SUMPRODUCT(-- ISNUMBER(SEARCH({"Lookup","Master-Detail"}, $B137))) &gt; 0,$B137 &amp; "(" &amp; $E137 &amp; ")",IF(SUMPRODUCT(-- ISNUMBER(SEARCH({"Formula","Roll-Up Summary"}, $B137))) &gt; 0,$B137 &amp; " (" &amp; $E137 &amp; ")",IF(SUMPRODUCT(-- ISNUMBER(SEARCH({"Content","Currency","Number","Percent","Text","URL"}, $B137))) &gt; 0,$B137 &amp; "(" &amp; $C137 &amp; ")",$B137)))), "  ", TRIM(IF($S137 = "YES", "(External ID)", "") &amp; " " &amp; IF(SUMPRODUCT(-- ISNUMBER(SEARCH({"Unique","Unique Case Insensitive"}, $R137))) &gt; 0, "(" &amp; $R137 &amp; ")", ""))))</f>
        <v>na</v>
      </c>
      <c r="E137" s="7" t="s">
        <v>195</v>
      </c>
      <c r="F137" s="7" t="s">
        <v>195</v>
      </c>
      <c r="G137" s="7" t="s">
        <v>195</v>
      </c>
      <c r="H137" s="7" t="s">
        <v>195</v>
      </c>
      <c r="I137" s="7" t="s">
        <v>195</v>
      </c>
      <c r="J137" s="7" t="s">
        <v>195</v>
      </c>
      <c r="K137" s="7" t="s">
        <v>195</v>
      </c>
      <c r="L137" s="7" t="s">
        <v>195</v>
      </c>
      <c r="M137" s="7" t="s">
        <v>29</v>
      </c>
      <c r="N137" s="7" t="s">
        <v>29</v>
      </c>
      <c r="O137" s="7" t="s">
        <v>29</v>
      </c>
      <c r="P137" s="7" t="s">
        <v>29</v>
      </c>
      <c r="Q137" s="7" t="s">
        <v>29</v>
      </c>
      <c r="R137" s="7" t="s">
        <v>29</v>
      </c>
      <c r="S137" s="7" t="s">
        <v>29</v>
      </c>
    </row>
    <row r="138" spans="2:19">
      <c r="B138" s="7" t="s">
        <v>195</v>
      </c>
      <c r="C138" s="8" t="s">
        <v>195</v>
      </c>
      <c r="D138" s="6" t="str">
        <f>LRTRIM(CONCATENATE(IF(SUMPRODUCT(-- ISNUMBER(SEARCH({"Auto Number"}, $B138))) &gt; 0, $B138, IF(SUMPRODUCT(-- ISNUMBER(SEARCH({"Lookup","Master-Detail"}, $B138))) &gt; 0,$B138 &amp; "(" &amp; $E138 &amp; ")",IF(SUMPRODUCT(-- ISNUMBER(SEARCH({"Formula","Roll-Up Summary"}, $B138))) &gt; 0,$B138 &amp; " (" &amp; $E138 &amp; ")",IF(SUMPRODUCT(-- ISNUMBER(SEARCH({"Content","Currency","Number","Percent","Text","URL"}, $B138))) &gt; 0,$B138 &amp; "(" &amp; $C138 &amp; ")",$B138)))), "  ", TRIM(IF($S138 = "YES", "(External ID)", "") &amp; " " &amp; IF(SUMPRODUCT(-- ISNUMBER(SEARCH({"Unique","Unique Case Insensitive"}, $R138))) &gt; 0, "(" &amp; $R138 &amp; ")", ""))))</f>
        <v>na</v>
      </c>
      <c r="E138" s="7" t="s">
        <v>195</v>
      </c>
      <c r="F138" s="7" t="s">
        <v>195</v>
      </c>
      <c r="G138" s="7" t="s">
        <v>195</v>
      </c>
      <c r="H138" s="7" t="s">
        <v>195</v>
      </c>
      <c r="I138" s="7" t="s">
        <v>195</v>
      </c>
      <c r="J138" s="7" t="s">
        <v>195</v>
      </c>
      <c r="K138" s="7" t="s">
        <v>195</v>
      </c>
      <c r="L138" s="7" t="s">
        <v>195</v>
      </c>
      <c r="M138" s="7" t="s">
        <v>29</v>
      </c>
      <c r="N138" s="7" t="s">
        <v>29</v>
      </c>
      <c r="O138" s="7" t="s">
        <v>29</v>
      </c>
      <c r="P138" s="7" t="s">
        <v>29</v>
      </c>
      <c r="Q138" s="7" t="s">
        <v>29</v>
      </c>
      <c r="R138" s="7" t="s">
        <v>29</v>
      </c>
      <c r="S138" s="7" t="s">
        <v>29</v>
      </c>
    </row>
    <row r="139" spans="2:19">
      <c r="B139" s="7" t="s">
        <v>195</v>
      </c>
      <c r="C139" s="8" t="s">
        <v>195</v>
      </c>
      <c r="D139" s="6" t="str">
        <f>LRTRIM(CONCATENATE(IF(SUMPRODUCT(-- ISNUMBER(SEARCH({"Auto Number"}, $B139))) &gt; 0, $B139, IF(SUMPRODUCT(-- ISNUMBER(SEARCH({"Lookup","Master-Detail"}, $B139))) &gt; 0,$B139 &amp; "(" &amp; $E139 &amp; ")",IF(SUMPRODUCT(-- ISNUMBER(SEARCH({"Formula","Roll-Up Summary"}, $B139))) &gt; 0,$B139 &amp; " (" &amp; $E139 &amp; ")",IF(SUMPRODUCT(-- ISNUMBER(SEARCH({"Content","Currency","Number","Percent","Text","URL"}, $B139))) &gt; 0,$B139 &amp; "(" &amp; $C139 &amp; ")",$B139)))), "  ", TRIM(IF($S139 = "YES", "(External ID)", "") &amp; " " &amp; IF(SUMPRODUCT(-- ISNUMBER(SEARCH({"Unique","Unique Case Insensitive"}, $R139))) &gt; 0, "(" &amp; $R139 &amp; ")", ""))))</f>
        <v>na</v>
      </c>
      <c r="E139" s="7" t="s">
        <v>195</v>
      </c>
      <c r="F139" s="7" t="s">
        <v>195</v>
      </c>
      <c r="G139" s="7" t="s">
        <v>195</v>
      </c>
      <c r="H139" s="7" t="s">
        <v>195</v>
      </c>
      <c r="I139" s="7" t="s">
        <v>195</v>
      </c>
      <c r="J139" s="7" t="s">
        <v>195</v>
      </c>
      <c r="K139" s="7" t="s">
        <v>195</v>
      </c>
      <c r="L139" s="7" t="s">
        <v>195</v>
      </c>
      <c r="M139" s="7" t="s">
        <v>29</v>
      </c>
      <c r="N139" s="7" t="s">
        <v>29</v>
      </c>
      <c r="O139" s="7" t="s">
        <v>29</v>
      </c>
      <c r="P139" s="7" t="s">
        <v>29</v>
      </c>
      <c r="Q139" s="7" t="s">
        <v>29</v>
      </c>
      <c r="R139" s="7" t="s">
        <v>29</v>
      </c>
      <c r="S139" s="7" t="s">
        <v>29</v>
      </c>
    </row>
    <row r="140" spans="2:19">
      <c r="B140" s="7" t="s">
        <v>195</v>
      </c>
      <c r="C140" s="8" t="s">
        <v>195</v>
      </c>
      <c r="D140" s="6" t="str">
        <f>LRTRIM(CONCATENATE(IF(SUMPRODUCT(-- ISNUMBER(SEARCH({"Auto Number"}, $B140))) &gt; 0, $B140, IF(SUMPRODUCT(-- ISNUMBER(SEARCH({"Lookup","Master-Detail"}, $B140))) &gt; 0,$B140 &amp; "(" &amp; $E140 &amp; ")",IF(SUMPRODUCT(-- ISNUMBER(SEARCH({"Formula","Roll-Up Summary"}, $B140))) &gt; 0,$B140 &amp; " (" &amp; $E140 &amp; ")",IF(SUMPRODUCT(-- ISNUMBER(SEARCH({"Content","Currency","Number","Percent","Text","URL"}, $B140))) &gt; 0,$B140 &amp; "(" &amp; $C140 &amp; ")",$B140)))), "  ", TRIM(IF($S140 = "YES", "(External ID)", "") &amp; " " &amp; IF(SUMPRODUCT(-- ISNUMBER(SEARCH({"Unique","Unique Case Insensitive"}, $R140))) &gt; 0, "(" &amp; $R140 &amp; ")", ""))))</f>
        <v>na</v>
      </c>
      <c r="E140" s="7" t="s">
        <v>195</v>
      </c>
      <c r="F140" s="7" t="s">
        <v>195</v>
      </c>
      <c r="G140" s="7" t="s">
        <v>195</v>
      </c>
      <c r="H140" s="7" t="s">
        <v>195</v>
      </c>
      <c r="I140" s="7" t="s">
        <v>195</v>
      </c>
      <c r="J140" s="7" t="s">
        <v>195</v>
      </c>
      <c r="K140" s="7" t="s">
        <v>195</v>
      </c>
      <c r="L140" s="7" t="s">
        <v>195</v>
      </c>
      <c r="M140" s="7" t="s">
        <v>29</v>
      </c>
      <c r="N140" s="7" t="s">
        <v>29</v>
      </c>
      <c r="O140" s="7" t="s">
        <v>29</v>
      </c>
      <c r="P140" s="7" t="s">
        <v>29</v>
      </c>
      <c r="Q140" s="7" t="s">
        <v>29</v>
      </c>
      <c r="R140" s="7" t="s">
        <v>29</v>
      </c>
      <c r="S140" s="7" t="s">
        <v>29</v>
      </c>
    </row>
    <row r="141" spans="2:19">
      <c r="B141" s="7" t="s">
        <v>195</v>
      </c>
      <c r="C141" s="8" t="s">
        <v>195</v>
      </c>
      <c r="D141" s="6" t="str">
        <f>LRTRIM(CONCATENATE(IF(SUMPRODUCT(-- ISNUMBER(SEARCH({"Auto Number"}, $B141))) &gt; 0, $B141, IF(SUMPRODUCT(-- ISNUMBER(SEARCH({"Lookup","Master-Detail"}, $B141))) &gt; 0,$B141 &amp; "(" &amp; $E141 &amp; ")",IF(SUMPRODUCT(-- ISNUMBER(SEARCH({"Formula","Roll-Up Summary"}, $B141))) &gt; 0,$B141 &amp; " (" &amp; $E141 &amp; ")",IF(SUMPRODUCT(-- ISNUMBER(SEARCH({"Content","Currency","Number","Percent","Text","URL"}, $B141))) &gt; 0,$B141 &amp; "(" &amp; $C141 &amp; ")",$B141)))), "  ", TRIM(IF($S141 = "YES", "(External ID)", "") &amp; " " &amp; IF(SUMPRODUCT(-- ISNUMBER(SEARCH({"Unique","Unique Case Insensitive"}, $R141))) &gt; 0, "(" &amp; $R141 &amp; ")", ""))))</f>
        <v>na</v>
      </c>
      <c r="E141" s="7" t="s">
        <v>195</v>
      </c>
      <c r="F141" s="7" t="s">
        <v>195</v>
      </c>
      <c r="G141" s="7" t="s">
        <v>195</v>
      </c>
      <c r="H141" s="7" t="s">
        <v>195</v>
      </c>
      <c r="I141" s="7" t="s">
        <v>195</v>
      </c>
      <c r="J141" s="7" t="s">
        <v>195</v>
      </c>
      <c r="K141" s="7" t="s">
        <v>195</v>
      </c>
      <c r="L141" s="7" t="s">
        <v>195</v>
      </c>
      <c r="M141" s="7" t="s">
        <v>29</v>
      </c>
      <c r="N141" s="7" t="s">
        <v>29</v>
      </c>
      <c r="O141" s="7" t="s">
        <v>29</v>
      </c>
      <c r="P141" s="7" t="s">
        <v>29</v>
      </c>
      <c r="Q141" s="7" t="s">
        <v>29</v>
      </c>
      <c r="R141" s="7" t="s">
        <v>29</v>
      </c>
      <c r="S141" s="7" t="s">
        <v>29</v>
      </c>
    </row>
    <row r="142" spans="2:19">
      <c r="B142" s="7" t="s">
        <v>195</v>
      </c>
      <c r="C142" s="8" t="s">
        <v>195</v>
      </c>
      <c r="D142" s="6" t="str">
        <f>LRTRIM(CONCATENATE(IF(SUMPRODUCT(-- ISNUMBER(SEARCH({"Auto Number"}, $B142))) &gt; 0, $B142, IF(SUMPRODUCT(-- ISNUMBER(SEARCH({"Lookup","Master-Detail"}, $B142))) &gt; 0,$B142 &amp; "(" &amp; $E142 &amp; ")",IF(SUMPRODUCT(-- ISNUMBER(SEARCH({"Formula","Roll-Up Summary"}, $B142))) &gt; 0,$B142 &amp; " (" &amp; $E142 &amp; ")",IF(SUMPRODUCT(-- ISNUMBER(SEARCH({"Content","Currency","Number","Percent","Text","URL"}, $B142))) &gt; 0,$B142 &amp; "(" &amp; $C142 &amp; ")",$B142)))), "  ", TRIM(IF($S142 = "YES", "(External ID)", "") &amp; " " &amp; IF(SUMPRODUCT(-- ISNUMBER(SEARCH({"Unique","Unique Case Insensitive"}, $R142))) &gt; 0, "(" &amp; $R142 &amp; ")", ""))))</f>
        <v>na</v>
      </c>
      <c r="E142" s="7" t="s">
        <v>195</v>
      </c>
      <c r="F142" s="7" t="s">
        <v>195</v>
      </c>
      <c r="G142" s="7" t="s">
        <v>195</v>
      </c>
      <c r="H142" s="7" t="s">
        <v>195</v>
      </c>
      <c r="I142" s="7" t="s">
        <v>195</v>
      </c>
      <c r="J142" s="7" t="s">
        <v>195</v>
      </c>
      <c r="K142" s="7" t="s">
        <v>195</v>
      </c>
      <c r="L142" s="7" t="s">
        <v>195</v>
      </c>
      <c r="M142" s="7" t="s">
        <v>29</v>
      </c>
      <c r="N142" s="7" t="s">
        <v>29</v>
      </c>
      <c r="O142" s="7" t="s">
        <v>29</v>
      </c>
      <c r="P142" s="7" t="s">
        <v>29</v>
      </c>
      <c r="Q142" s="7" t="s">
        <v>29</v>
      </c>
      <c r="R142" s="7" t="s">
        <v>29</v>
      </c>
      <c r="S142" s="7" t="s">
        <v>29</v>
      </c>
    </row>
    <row r="143" spans="2:19">
      <c r="B143" s="7" t="s">
        <v>195</v>
      </c>
      <c r="C143" s="8" t="s">
        <v>195</v>
      </c>
      <c r="D143" s="6" t="str">
        <f>LRTRIM(CONCATENATE(IF(SUMPRODUCT(-- ISNUMBER(SEARCH({"Auto Number"}, $B143))) &gt; 0, $B143, IF(SUMPRODUCT(-- ISNUMBER(SEARCH({"Lookup","Master-Detail"}, $B143))) &gt; 0,$B143 &amp; "(" &amp; $E143 &amp; ")",IF(SUMPRODUCT(-- ISNUMBER(SEARCH({"Formula","Roll-Up Summary"}, $B143))) &gt; 0,$B143 &amp; " (" &amp; $E143 &amp; ")",IF(SUMPRODUCT(-- ISNUMBER(SEARCH({"Content","Currency","Number","Percent","Text","URL"}, $B143))) &gt; 0,$B143 &amp; "(" &amp; $C143 &amp; ")",$B143)))), "  ", TRIM(IF($S143 = "YES", "(External ID)", "") &amp; " " &amp; IF(SUMPRODUCT(-- ISNUMBER(SEARCH({"Unique","Unique Case Insensitive"}, $R143))) &gt; 0, "(" &amp; $R143 &amp; ")", ""))))</f>
        <v>na</v>
      </c>
      <c r="E143" s="7" t="s">
        <v>195</v>
      </c>
      <c r="F143" s="7" t="s">
        <v>195</v>
      </c>
      <c r="G143" s="7" t="s">
        <v>195</v>
      </c>
      <c r="H143" s="7" t="s">
        <v>195</v>
      </c>
      <c r="I143" s="7" t="s">
        <v>195</v>
      </c>
      <c r="J143" s="7" t="s">
        <v>195</v>
      </c>
      <c r="K143" s="7" t="s">
        <v>195</v>
      </c>
      <c r="L143" s="7" t="s">
        <v>195</v>
      </c>
      <c r="M143" s="7" t="s">
        <v>29</v>
      </c>
      <c r="N143" s="7" t="s">
        <v>29</v>
      </c>
      <c r="O143" s="7" t="s">
        <v>29</v>
      </c>
      <c r="P143" s="7" t="s">
        <v>29</v>
      </c>
      <c r="Q143" s="7" t="s">
        <v>29</v>
      </c>
      <c r="R143" s="7" t="s">
        <v>29</v>
      </c>
      <c r="S143" s="7" t="s">
        <v>29</v>
      </c>
    </row>
    <row r="144" spans="2:19">
      <c r="B144" s="7" t="s">
        <v>195</v>
      </c>
      <c r="C144" s="8" t="s">
        <v>195</v>
      </c>
      <c r="D144" s="6" t="str">
        <f>LRTRIM(CONCATENATE(IF(SUMPRODUCT(-- ISNUMBER(SEARCH({"Auto Number"}, $B144))) &gt; 0, $B144, IF(SUMPRODUCT(-- ISNUMBER(SEARCH({"Lookup","Master-Detail"}, $B144))) &gt; 0,$B144 &amp; "(" &amp; $E144 &amp; ")",IF(SUMPRODUCT(-- ISNUMBER(SEARCH({"Formula","Roll-Up Summary"}, $B144))) &gt; 0,$B144 &amp; " (" &amp; $E144 &amp; ")",IF(SUMPRODUCT(-- ISNUMBER(SEARCH({"Content","Currency","Number","Percent","Text","URL"}, $B144))) &gt; 0,$B144 &amp; "(" &amp; $C144 &amp; ")",$B144)))), "  ", TRIM(IF($S144 = "YES", "(External ID)", "") &amp; " " &amp; IF(SUMPRODUCT(-- ISNUMBER(SEARCH({"Unique","Unique Case Insensitive"}, $R144))) &gt; 0, "(" &amp; $R144 &amp; ")", ""))))</f>
        <v>na</v>
      </c>
      <c r="E144" s="7" t="s">
        <v>195</v>
      </c>
      <c r="F144" s="7" t="s">
        <v>195</v>
      </c>
      <c r="G144" s="7" t="s">
        <v>195</v>
      </c>
      <c r="H144" s="7" t="s">
        <v>195</v>
      </c>
      <c r="I144" s="7" t="s">
        <v>195</v>
      </c>
      <c r="J144" s="7" t="s">
        <v>195</v>
      </c>
      <c r="K144" s="7" t="s">
        <v>195</v>
      </c>
      <c r="L144" s="7" t="s">
        <v>195</v>
      </c>
      <c r="M144" s="7" t="s">
        <v>29</v>
      </c>
      <c r="N144" s="7" t="s">
        <v>29</v>
      </c>
      <c r="O144" s="7" t="s">
        <v>29</v>
      </c>
      <c r="P144" s="7" t="s">
        <v>29</v>
      </c>
      <c r="Q144" s="7" t="s">
        <v>29</v>
      </c>
      <c r="R144" s="7" t="s">
        <v>29</v>
      </c>
      <c r="S144" s="7" t="s">
        <v>29</v>
      </c>
    </row>
    <row r="145" spans="2:19">
      <c r="B145" s="7" t="s">
        <v>195</v>
      </c>
      <c r="C145" s="8" t="s">
        <v>195</v>
      </c>
      <c r="D145" s="6" t="str">
        <f>LRTRIM(CONCATENATE(IF(SUMPRODUCT(-- ISNUMBER(SEARCH({"Auto Number"}, $B145))) &gt; 0, $B145, IF(SUMPRODUCT(-- ISNUMBER(SEARCH({"Lookup","Master-Detail"}, $B145))) &gt; 0,$B145 &amp; "(" &amp; $E145 &amp; ")",IF(SUMPRODUCT(-- ISNUMBER(SEARCH({"Formula","Roll-Up Summary"}, $B145))) &gt; 0,$B145 &amp; " (" &amp; $E145 &amp; ")",IF(SUMPRODUCT(-- ISNUMBER(SEARCH({"Content","Currency","Number","Percent","Text","URL"}, $B145))) &gt; 0,$B145 &amp; "(" &amp; $C145 &amp; ")",$B145)))), "  ", TRIM(IF($S145 = "YES", "(External ID)", "") &amp; " " &amp; IF(SUMPRODUCT(-- ISNUMBER(SEARCH({"Unique","Unique Case Insensitive"}, $R145))) &gt; 0, "(" &amp; $R145 &amp; ")", ""))))</f>
        <v>na</v>
      </c>
      <c r="E145" s="7" t="s">
        <v>195</v>
      </c>
      <c r="F145" s="7" t="s">
        <v>195</v>
      </c>
      <c r="G145" s="7" t="s">
        <v>195</v>
      </c>
      <c r="H145" s="7" t="s">
        <v>195</v>
      </c>
      <c r="I145" s="7" t="s">
        <v>195</v>
      </c>
      <c r="J145" s="7" t="s">
        <v>195</v>
      </c>
      <c r="K145" s="7" t="s">
        <v>195</v>
      </c>
      <c r="L145" s="7" t="s">
        <v>195</v>
      </c>
      <c r="M145" s="7" t="s">
        <v>29</v>
      </c>
      <c r="N145" s="7" t="s">
        <v>29</v>
      </c>
      <c r="O145" s="7" t="s">
        <v>29</v>
      </c>
      <c r="P145" s="7" t="s">
        <v>29</v>
      </c>
      <c r="Q145" s="7" t="s">
        <v>29</v>
      </c>
      <c r="R145" s="7" t="s">
        <v>29</v>
      </c>
      <c r="S145" s="7" t="s">
        <v>29</v>
      </c>
    </row>
    <row r="146" spans="2:19">
      <c r="B146" s="7" t="s">
        <v>195</v>
      </c>
      <c r="C146" s="8" t="s">
        <v>195</v>
      </c>
      <c r="D146" s="6" t="str">
        <f>LRTRIM(CONCATENATE(IF(SUMPRODUCT(-- ISNUMBER(SEARCH({"Auto Number"}, $B146))) &gt; 0, $B146, IF(SUMPRODUCT(-- ISNUMBER(SEARCH({"Lookup","Master-Detail"}, $B146))) &gt; 0,$B146 &amp; "(" &amp; $E146 &amp; ")",IF(SUMPRODUCT(-- ISNUMBER(SEARCH({"Formula","Roll-Up Summary"}, $B146))) &gt; 0,$B146 &amp; " (" &amp; $E146 &amp; ")",IF(SUMPRODUCT(-- ISNUMBER(SEARCH({"Content","Currency","Number","Percent","Text","URL"}, $B146))) &gt; 0,$B146 &amp; "(" &amp; $C146 &amp; ")",$B146)))), "  ", TRIM(IF($S146 = "YES", "(External ID)", "") &amp; " " &amp; IF(SUMPRODUCT(-- ISNUMBER(SEARCH({"Unique","Unique Case Insensitive"}, $R146))) &gt; 0, "(" &amp; $R146 &amp; ")", ""))))</f>
        <v>na</v>
      </c>
      <c r="E146" s="7" t="s">
        <v>195</v>
      </c>
      <c r="F146" s="7" t="s">
        <v>195</v>
      </c>
      <c r="G146" s="7" t="s">
        <v>195</v>
      </c>
      <c r="H146" s="7" t="s">
        <v>195</v>
      </c>
      <c r="I146" s="7" t="s">
        <v>195</v>
      </c>
      <c r="J146" s="7" t="s">
        <v>195</v>
      </c>
      <c r="K146" s="7" t="s">
        <v>195</v>
      </c>
      <c r="L146" s="7" t="s">
        <v>195</v>
      </c>
      <c r="M146" s="7" t="s">
        <v>29</v>
      </c>
      <c r="N146" s="7" t="s">
        <v>29</v>
      </c>
      <c r="O146" s="7" t="s">
        <v>29</v>
      </c>
      <c r="P146" s="7" t="s">
        <v>29</v>
      </c>
      <c r="Q146" s="7" t="s">
        <v>29</v>
      </c>
      <c r="R146" s="7" t="s">
        <v>29</v>
      </c>
      <c r="S146" s="7" t="s">
        <v>29</v>
      </c>
    </row>
    <row r="147" spans="2:19">
      <c r="B147" s="7" t="s">
        <v>195</v>
      </c>
      <c r="C147" s="8" t="s">
        <v>195</v>
      </c>
      <c r="D147" s="6" t="str">
        <f>LRTRIM(CONCATENATE(IF(SUMPRODUCT(-- ISNUMBER(SEARCH({"Auto Number"}, $B147))) &gt; 0, $B147, IF(SUMPRODUCT(-- ISNUMBER(SEARCH({"Lookup","Master-Detail"}, $B147))) &gt; 0,$B147 &amp; "(" &amp; $E147 &amp; ")",IF(SUMPRODUCT(-- ISNUMBER(SEARCH({"Formula","Roll-Up Summary"}, $B147))) &gt; 0,$B147 &amp; " (" &amp; $E147 &amp; ")",IF(SUMPRODUCT(-- ISNUMBER(SEARCH({"Content","Currency","Number","Percent","Text","URL"}, $B147))) &gt; 0,$B147 &amp; "(" &amp; $C147 &amp; ")",$B147)))), "  ", TRIM(IF($S147 = "YES", "(External ID)", "") &amp; " " &amp; IF(SUMPRODUCT(-- ISNUMBER(SEARCH({"Unique","Unique Case Insensitive"}, $R147))) &gt; 0, "(" &amp; $R147 &amp; ")", ""))))</f>
        <v>na</v>
      </c>
      <c r="E147" s="7" t="s">
        <v>195</v>
      </c>
      <c r="F147" s="7" t="s">
        <v>195</v>
      </c>
      <c r="G147" s="7" t="s">
        <v>195</v>
      </c>
      <c r="H147" s="7" t="s">
        <v>195</v>
      </c>
      <c r="I147" s="7" t="s">
        <v>195</v>
      </c>
      <c r="J147" s="7" t="s">
        <v>195</v>
      </c>
      <c r="K147" s="7" t="s">
        <v>195</v>
      </c>
      <c r="L147" s="7" t="s">
        <v>195</v>
      </c>
      <c r="M147" s="7" t="s">
        <v>29</v>
      </c>
      <c r="N147" s="7" t="s">
        <v>29</v>
      </c>
      <c r="O147" s="7" t="s">
        <v>29</v>
      </c>
      <c r="P147" s="7" t="s">
        <v>29</v>
      </c>
      <c r="Q147" s="7" t="s">
        <v>29</v>
      </c>
      <c r="R147" s="7" t="s">
        <v>29</v>
      </c>
      <c r="S147" s="7" t="s">
        <v>29</v>
      </c>
    </row>
    <row r="148" spans="2:19">
      <c r="B148" s="7" t="s">
        <v>195</v>
      </c>
      <c r="C148" s="8" t="s">
        <v>195</v>
      </c>
      <c r="D148" s="6" t="str">
        <f>LRTRIM(CONCATENATE(IF(SUMPRODUCT(-- ISNUMBER(SEARCH({"Auto Number"}, $B148))) &gt; 0, $B148, IF(SUMPRODUCT(-- ISNUMBER(SEARCH({"Lookup","Master-Detail"}, $B148))) &gt; 0,$B148 &amp; "(" &amp; $E148 &amp; ")",IF(SUMPRODUCT(-- ISNUMBER(SEARCH({"Formula","Roll-Up Summary"}, $B148))) &gt; 0,$B148 &amp; " (" &amp; $E148 &amp; ")",IF(SUMPRODUCT(-- ISNUMBER(SEARCH({"Content","Currency","Number","Percent","Text","URL"}, $B148))) &gt; 0,$B148 &amp; "(" &amp; $C148 &amp; ")",$B148)))), "  ", TRIM(IF($S148 = "YES", "(External ID)", "") &amp; " " &amp; IF(SUMPRODUCT(-- ISNUMBER(SEARCH({"Unique","Unique Case Insensitive"}, $R148))) &gt; 0, "(" &amp; $R148 &amp; ")", ""))))</f>
        <v>na</v>
      </c>
      <c r="E148" s="7" t="s">
        <v>195</v>
      </c>
      <c r="F148" s="7" t="s">
        <v>195</v>
      </c>
      <c r="G148" s="7" t="s">
        <v>195</v>
      </c>
      <c r="H148" s="7" t="s">
        <v>195</v>
      </c>
      <c r="I148" s="7" t="s">
        <v>195</v>
      </c>
      <c r="J148" s="7" t="s">
        <v>195</v>
      </c>
      <c r="K148" s="7" t="s">
        <v>195</v>
      </c>
      <c r="L148" s="7" t="s">
        <v>195</v>
      </c>
      <c r="M148" s="7" t="s">
        <v>29</v>
      </c>
      <c r="N148" s="7" t="s">
        <v>29</v>
      </c>
      <c r="O148" s="7" t="s">
        <v>29</v>
      </c>
      <c r="P148" s="7" t="s">
        <v>29</v>
      </c>
      <c r="Q148" s="7" t="s">
        <v>29</v>
      </c>
      <c r="R148" s="7" t="s">
        <v>29</v>
      </c>
      <c r="S148" s="7" t="s">
        <v>29</v>
      </c>
    </row>
    <row r="149" spans="2:19">
      <c r="B149" s="7" t="s">
        <v>195</v>
      </c>
      <c r="C149" s="8" t="s">
        <v>195</v>
      </c>
      <c r="D149" s="6" t="str">
        <f>LRTRIM(CONCATENATE(IF(SUMPRODUCT(-- ISNUMBER(SEARCH({"Auto Number"}, $B149))) &gt; 0, $B149, IF(SUMPRODUCT(-- ISNUMBER(SEARCH({"Lookup","Master-Detail"}, $B149))) &gt; 0,$B149 &amp; "(" &amp; $E149 &amp; ")",IF(SUMPRODUCT(-- ISNUMBER(SEARCH({"Formula","Roll-Up Summary"}, $B149))) &gt; 0,$B149 &amp; " (" &amp; $E149 &amp; ")",IF(SUMPRODUCT(-- ISNUMBER(SEARCH({"Content","Currency","Number","Percent","Text","URL"}, $B149))) &gt; 0,$B149 &amp; "(" &amp; $C149 &amp; ")",$B149)))), "  ", TRIM(IF($S149 = "YES", "(External ID)", "") &amp; " " &amp; IF(SUMPRODUCT(-- ISNUMBER(SEARCH({"Unique","Unique Case Insensitive"}, $R149))) &gt; 0, "(" &amp; $R149 &amp; ")", ""))))</f>
        <v>na</v>
      </c>
      <c r="E149" s="7" t="s">
        <v>195</v>
      </c>
      <c r="F149" s="7" t="s">
        <v>195</v>
      </c>
      <c r="G149" s="7" t="s">
        <v>195</v>
      </c>
      <c r="H149" s="7" t="s">
        <v>195</v>
      </c>
      <c r="I149" s="7" t="s">
        <v>195</v>
      </c>
      <c r="J149" s="7" t="s">
        <v>195</v>
      </c>
      <c r="K149" s="7" t="s">
        <v>195</v>
      </c>
      <c r="L149" s="7" t="s">
        <v>195</v>
      </c>
      <c r="M149" s="7" t="s">
        <v>29</v>
      </c>
      <c r="N149" s="7" t="s">
        <v>29</v>
      </c>
      <c r="O149" s="7" t="s">
        <v>29</v>
      </c>
      <c r="P149" s="7" t="s">
        <v>29</v>
      </c>
      <c r="Q149" s="7" t="s">
        <v>29</v>
      </c>
      <c r="R149" s="7" t="s">
        <v>29</v>
      </c>
      <c r="S149" s="7" t="s">
        <v>29</v>
      </c>
    </row>
    <row r="150" spans="2:19">
      <c r="B150" s="7" t="s">
        <v>195</v>
      </c>
      <c r="C150" s="8" t="s">
        <v>195</v>
      </c>
      <c r="D150" s="6" t="str">
        <f>LRTRIM(CONCATENATE(IF(SUMPRODUCT(-- ISNUMBER(SEARCH({"Auto Number"}, $B150))) &gt; 0, $B150, IF(SUMPRODUCT(-- ISNUMBER(SEARCH({"Lookup","Master-Detail"}, $B150))) &gt; 0,$B150 &amp; "(" &amp; $E150 &amp; ")",IF(SUMPRODUCT(-- ISNUMBER(SEARCH({"Formula","Roll-Up Summary"}, $B150))) &gt; 0,$B150 &amp; " (" &amp; $E150 &amp; ")",IF(SUMPRODUCT(-- ISNUMBER(SEARCH({"Content","Currency","Number","Percent","Text","URL"}, $B150))) &gt; 0,$B150 &amp; "(" &amp; $C150 &amp; ")",$B150)))), "  ", TRIM(IF($S150 = "YES", "(External ID)", "") &amp; " " &amp; IF(SUMPRODUCT(-- ISNUMBER(SEARCH({"Unique","Unique Case Insensitive"}, $R150))) &gt; 0, "(" &amp; $R150 &amp; ")", ""))))</f>
        <v>na</v>
      </c>
      <c r="E150" s="7" t="s">
        <v>195</v>
      </c>
      <c r="F150" s="7" t="s">
        <v>195</v>
      </c>
      <c r="G150" s="7" t="s">
        <v>195</v>
      </c>
      <c r="H150" s="7" t="s">
        <v>195</v>
      </c>
      <c r="I150" s="7" t="s">
        <v>195</v>
      </c>
      <c r="J150" s="7" t="s">
        <v>195</v>
      </c>
      <c r="K150" s="7" t="s">
        <v>195</v>
      </c>
      <c r="L150" s="7" t="s">
        <v>195</v>
      </c>
      <c r="M150" s="7" t="s">
        <v>29</v>
      </c>
      <c r="N150" s="7" t="s">
        <v>29</v>
      </c>
      <c r="O150" s="7" t="s">
        <v>29</v>
      </c>
      <c r="P150" s="7" t="s">
        <v>29</v>
      </c>
      <c r="Q150" s="7" t="s">
        <v>29</v>
      </c>
      <c r="R150" s="7" t="s">
        <v>29</v>
      </c>
      <c r="S150" s="7" t="s">
        <v>29</v>
      </c>
    </row>
    <row r="151" spans="2:19">
      <c r="B151" s="7" t="s">
        <v>195</v>
      </c>
      <c r="C151" s="8" t="s">
        <v>195</v>
      </c>
      <c r="D151" s="6" t="str">
        <f>LRTRIM(CONCATENATE(IF(SUMPRODUCT(-- ISNUMBER(SEARCH({"Auto Number"}, $B151))) &gt; 0, $B151, IF(SUMPRODUCT(-- ISNUMBER(SEARCH({"Lookup","Master-Detail"}, $B151))) &gt; 0,$B151 &amp; "(" &amp; $E151 &amp; ")",IF(SUMPRODUCT(-- ISNUMBER(SEARCH({"Formula","Roll-Up Summary"}, $B151))) &gt; 0,$B151 &amp; " (" &amp; $E151 &amp; ")",IF(SUMPRODUCT(-- ISNUMBER(SEARCH({"Content","Currency","Number","Percent","Text","URL"}, $B151))) &gt; 0,$B151 &amp; "(" &amp; $C151 &amp; ")",$B151)))), "  ", TRIM(IF($S151 = "YES", "(External ID)", "") &amp; " " &amp; IF(SUMPRODUCT(-- ISNUMBER(SEARCH({"Unique","Unique Case Insensitive"}, $R151))) &gt; 0, "(" &amp; $R151 &amp; ")", ""))))</f>
        <v>na</v>
      </c>
      <c r="E151" s="7" t="s">
        <v>195</v>
      </c>
      <c r="F151" s="7" t="s">
        <v>195</v>
      </c>
      <c r="G151" s="7" t="s">
        <v>195</v>
      </c>
      <c r="H151" s="7" t="s">
        <v>195</v>
      </c>
      <c r="I151" s="7" t="s">
        <v>195</v>
      </c>
      <c r="J151" s="7" t="s">
        <v>195</v>
      </c>
      <c r="K151" s="7" t="s">
        <v>195</v>
      </c>
      <c r="L151" s="7" t="s">
        <v>195</v>
      </c>
      <c r="M151" s="7" t="s">
        <v>29</v>
      </c>
      <c r="N151" s="7" t="s">
        <v>29</v>
      </c>
      <c r="O151" s="7" t="s">
        <v>29</v>
      </c>
      <c r="P151" s="7" t="s">
        <v>29</v>
      </c>
      <c r="Q151" s="7" t="s">
        <v>29</v>
      </c>
      <c r="R151" s="7" t="s">
        <v>29</v>
      </c>
      <c r="S151" s="7" t="s">
        <v>29</v>
      </c>
    </row>
    <row r="152" spans="2:19">
      <c r="B152" s="7" t="s">
        <v>195</v>
      </c>
      <c r="C152" s="8" t="s">
        <v>195</v>
      </c>
      <c r="D152" s="6" t="str">
        <f>LRTRIM(CONCATENATE(IF(SUMPRODUCT(-- ISNUMBER(SEARCH({"Auto Number"}, $B152))) &gt; 0, $B152, IF(SUMPRODUCT(-- ISNUMBER(SEARCH({"Lookup","Master-Detail"}, $B152))) &gt; 0,$B152 &amp; "(" &amp; $E152 &amp; ")",IF(SUMPRODUCT(-- ISNUMBER(SEARCH({"Formula","Roll-Up Summary"}, $B152))) &gt; 0,$B152 &amp; " (" &amp; $E152 &amp; ")",IF(SUMPRODUCT(-- ISNUMBER(SEARCH({"Content","Currency","Number","Percent","Text","URL"}, $B152))) &gt; 0,$B152 &amp; "(" &amp; $C152 &amp; ")",$B152)))), "  ", TRIM(IF($S152 = "YES", "(External ID)", "") &amp; " " &amp; IF(SUMPRODUCT(-- ISNUMBER(SEARCH({"Unique","Unique Case Insensitive"}, $R152))) &gt; 0, "(" &amp; $R152 &amp; ")", ""))))</f>
        <v>na</v>
      </c>
      <c r="E152" s="7" t="s">
        <v>195</v>
      </c>
      <c r="F152" s="7" t="s">
        <v>195</v>
      </c>
      <c r="G152" s="7" t="s">
        <v>195</v>
      </c>
      <c r="H152" s="7" t="s">
        <v>195</v>
      </c>
      <c r="I152" s="7" t="s">
        <v>195</v>
      </c>
      <c r="J152" s="7" t="s">
        <v>195</v>
      </c>
      <c r="K152" s="7" t="s">
        <v>195</v>
      </c>
      <c r="L152" s="7" t="s">
        <v>195</v>
      </c>
      <c r="M152" s="7" t="s">
        <v>29</v>
      </c>
      <c r="N152" s="7" t="s">
        <v>29</v>
      </c>
      <c r="O152" s="7" t="s">
        <v>29</v>
      </c>
      <c r="P152" s="7" t="s">
        <v>29</v>
      </c>
      <c r="Q152" s="7" t="s">
        <v>29</v>
      </c>
      <c r="R152" s="7" t="s">
        <v>29</v>
      </c>
      <c r="S152" s="7" t="s">
        <v>29</v>
      </c>
    </row>
    <row r="153" spans="2:19">
      <c r="B153" s="7" t="s">
        <v>195</v>
      </c>
      <c r="C153" s="8" t="s">
        <v>195</v>
      </c>
      <c r="D153" s="6" t="str">
        <f>LRTRIM(CONCATENATE(IF(SUMPRODUCT(-- ISNUMBER(SEARCH({"Auto Number"}, $B153))) &gt; 0, $B153, IF(SUMPRODUCT(-- ISNUMBER(SEARCH({"Lookup","Master-Detail"}, $B153))) &gt; 0,$B153 &amp; "(" &amp; $E153 &amp; ")",IF(SUMPRODUCT(-- ISNUMBER(SEARCH({"Formula","Roll-Up Summary"}, $B153))) &gt; 0,$B153 &amp; " (" &amp; $E153 &amp; ")",IF(SUMPRODUCT(-- ISNUMBER(SEARCH({"Content","Currency","Number","Percent","Text","URL"}, $B153))) &gt; 0,$B153 &amp; "(" &amp; $C153 &amp; ")",$B153)))), "  ", TRIM(IF($S153 = "YES", "(External ID)", "") &amp; " " &amp; IF(SUMPRODUCT(-- ISNUMBER(SEARCH({"Unique","Unique Case Insensitive"}, $R153))) &gt; 0, "(" &amp; $R153 &amp; ")", ""))))</f>
        <v>na</v>
      </c>
      <c r="E153" s="7" t="s">
        <v>195</v>
      </c>
      <c r="F153" s="7" t="s">
        <v>195</v>
      </c>
      <c r="G153" s="7" t="s">
        <v>195</v>
      </c>
      <c r="H153" s="7" t="s">
        <v>195</v>
      </c>
      <c r="I153" s="7" t="s">
        <v>195</v>
      </c>
      <c r="J153" s="7" t="s">
        <v>195</v>
      </c>
      <c r="K153" s="7" t="s">
        <v>195</v>
      </c>
      <c r="L153" s="7" t="s">
        <v>195</v>
      </c>
      <c r="M153" s="7" t="s">
        <v>29</v>
      </c>
      <c r="N153" s="7" t="s">
        <v>29</v>
      </c>
      <c r="O153" s="7" t="s">
        <v>29</v>
      </c>
      <c r="P153" s="7" t="s">
        <v>29</v>
      </c>
      <c r="Q153" s="7" t="s">
        <v>29</v>
      </c>
      <c r="R153" s="7" t="s">
        <v>29</v>
      </c>
      <c r="S153" s="7" t="s">
        <v>29</v>
      </c>
    </row>
    <row r="154" spans="2:19">
      <c r="B154" s="7" t="s">
        <v>195</v>
      </c>
      <c r="C154" s="8" t="s">
        <v>195</v>
      </c>
      <c r="D154" s="6" t="str">
        <f>LRTRIM(CONCATENATE(IF(SUMPRODUCT(-- ISNUMBER(SEARCH({"Auto Number"}, $B154))) &gt; 0, $B154, IF(SUMPRODUCT(-- ISNUMBER(SEARCH({"Lookup","Master-Detail"}, $B154))) &gt; 0,$B154 &amp; "(" &amp; $E154 &amp; ")",IF(SUMPRODUCT(-- ISNUMBER(SEARCH({"Formula","Roll-Up Summary"}, $B154))) &gt; 0,$B154 &amp; " (" &amp; $E154 &amp; ")",IF(SUMPRODUCT(-- ISNUMBER(SEARCH({"Content","Currency","Number","Percent","Text","URL"}, $B154))) &gt; 0,$B154 &amp; "(" &amp; $C154 &amp; ")",$B154)))), "  ", TRIM(IF($S154 = "YES", "(External ID)", "") &amp; " " &amp; IF(SUMPRODUCT(-- ISNUMBER(SEARCH({"Unique","Unique Case Insensitive"}, $R154))) &gt; 0, "(" &amp; $R154 &amp; ")", ""))))</f>
        <v>na</v>
      </c>
      <c r="E154" s="7" t="s">
        <v>195</v>
      </c>
      <c r="F154" s="7" t="s">
        <v>195</v>
      </c>
      <c r="G154" s="7" t="s">
        <v>195</v>
      </c>
      <c r="H154" s="7" t="s">
        <v>195</v>
      </c>
      <c r="I154" s="7" t="s">
        <v>195</v>
      </c>
      <c r="J154" s="7" t="s">
        <v>195</v>
      </c>
      <c r="K154" s="7" t="s">
        <v>195</v>
      </c>
      <c r="L154" s="7" t="s">
        <v>195</v>
      </c>
      <c r="M154" s="7" t="s">
        <v>29</v>
      </c>
      <c r="N154" s="7" t="s">
        <v>29</v>
      </c>
      <c r="O154" s="7" t="s">
        <v>29</v>
      </c>
      <c r="P154" s="7" t="s">
        <v>29</v>
      </c>
      <c r="Q154" s="7" t="s">
        <v>29</v>
      </c>
      <c r="R154" s="7" t="s">
        <v>29</v>
      </c>
      <c r="S154" s="7" t="s">
        <v>29</v>
      </c>
    </row>
    <row r="155" spans="2:19">
      <c r="B155" s="7" t="s">
        <v>195</v>
      </c>
      <c r="C155" s="8" t="s">
        <v>195</v>
      </c>
      <c r="D155" s="6" t="str">
        <f>LRTRIM(CONCATENATE(IF(SUMPRODUCT(-- ISNUMBER(SEARCH({"Auto Number"}, $B155))) &gt; 0, $B155, IF(SUMPRODUCT(-- ISNUMBER(SEARCH({"Lookup","Master-Detail"}, $B155))) &gt; 0,$B155 &amp; "(" &amp; $E155 &amp; ")",IF(SUMPRODUCT(-- ISNUMBER(SEARCH({"Formula","Roll-Up Summary"}, $B155))) &gt; 0,$B155 &amp; " (" &amp; $E155 &amp; ")",IF(SUMPRODUCT(-- ISNUMBER(SEARCH({"Content","Currency","Number","Percent","Text","URL"}, $B155))) &gt; 0,$B155 &amp; "(" &amp; $C155 &amp; ")",$B155)))), "  ", TRIM(IF($S155 = "YES", "(External ID)", "") &amp; " " &amp; IF(SUMPRODUCT(-- ISNUMBER(SEARCH({"Unique","Unique Case Insensitive"}, $R155))) &gt; 0, "(" &amp; $R155 &amp; ")", ""))))</f>
        <v>na</v>
      </c>
      <c r="E155" s="7" t="s">
        <v>195</v>
      </c>
      <c r="F155" s="7" t="s">
        <v>195</v>
      </c>
      <c r="G155" s="7" t="s">
        <v>195</v>
      </c>
      <c r="H155" s="7" t="s">
        <v>195</v>
      </c>
      <c r="I155" s="7" t="s">
        <v>195</v>
      </c>
      <c r="J155" s="7" t="s">
        <v>195</v>
      </c>
      <c r="K155" s="7" t="s">
        <v>195</v>
      </c>
      <c r="L155" s="7" t="s">
        <v>195</v>
      </c>
      <c r="M155" s="7" t="s">
        <v>29</v>
      </c>
      <c r="N155" s="7" t="s">
        <v>29</v>
      </c>
      <c r="O155" s="7" t="s">
        <v>29</v>
      </c>
      <c r="P155" s="7" t="s">
        <v>29</v>
      </c>
      <c r="Q155" s="7" t="s">
        <v>29</v>
      </c>
      <c r="R155" s="7" t="s">
        <v>29</v>
      </c>
      <c r="S155" s="7" t="s">
        <v>29</v>
      </c>
    </row>
    <row r="156" spans="2:19">
      <c r="B156" s="7" t="s">
        <v>195</v>
      </c>
      <c r="C156" s="8" t="s">
        <v>195</v>
      </c>
      <c r="D156" s="6" t="str">
        <f>LRTRIM(CONCATENATE(IF(SUMPRODUCT(-- ISNUMBER(SEARCH({"Auto Number"}, $B156))) &gt; 0, $B156, IF(SUMPRODUCT(-- ISNUMBER(SEARCH({"Lookup","Master-Detail"}, $B156))) &gt; 0,$B156 &amp; "(" &amp; $E156 &amp; ")",IF(SUMPRODUCT(-- ISNUMBER(SEARCH({"Formula","Roll-Up Summary"}, $B156))) &gt; 0,$B156 &amp; " (" &amp; $E156 &amp; ")",IF(SUMPRODUCT(-- ISNUMBER(SEARCH({"Content","Currency","Number","Percent","Text","URL"}, $B156))) &gt; 0,$B156 &amp; "(" &amp; $C156 &amp; ")",$B156)))), "  ", TRIM(IF($S156 = "YES", "(External ID)", "") &amp; " " &amp; IF(SUMPRODUCT(-- ISNUMBER(SEARCH({"Unique","Unique Case Insensitive"}, $R156))) &gt; 0, "(" &amp; $R156 &amp; ")", ""))))</f>
        <v>na</v>
      </c>
      <c r="E156" s="7" t="s">
        <v>195</v>
      </c>
      <c r="F156" s="7" t="s">
        <v>195</v>
      </c>
      <c r="G156" s="7" t="s">
        <v>195</v>
      </c>
      <c r="H156" s="7" t="s">
        <v>195</v>
      </c>
      <c r="I156" s="7" t="s">
        <v>195</v>
      </c>
      <c r="J156" s="7" t="s">
        <v>195</v>
      </c>
      <c r="K156" s="7" t="s">
        <v>195</v>
      </c>
      <c r="L156" s="7" t="s">
        <v>195</v>
      </c>
      <c r="M156" s="7" t="s">
        <v>29</v>
      </c>
      <c r="N156" s="7" t="s">
        <v>29</v>
      </c>
      <c r="O156" s="7" t="s">
        <v>29</v>
      </c>
      <c r="P156" s="7" t="s">
        <v>29</v>
      </c>
      <c r="Q156" s="7" t="s">
        <v>29</v>
      </c>
      <c r="R156" s="7" t="s">
        <v>29</v>
      </c>
      <c r="S156" s="7" t="s">
        <v>29</v>
      </c>
    </row>
    <row r="157" spans="2:19">
      <c r="B157" s="7" t="s">
        <v>195</v>
      </c>
      <c r="C157" s="8" t="s">
        <v>195</v>
      </c>
      <c r="D157" s="6" t="str">
        <f>LRTRIM(CONCATENATE(IF(SUMPRODUCT(-- ISNUMBER(SEARCH({"Auto Number"}, $B157))) &gt; 0, $B157, IF(SUMPRODUCT(-- ISNUMBER(SEARCH({"Lookup","Master-Detail"}, $B157))) &gt; 0,$B157 &amp; "(" &amp; $E157 &amp; ")",IF(SUMPRODUCT(-- ISNUMBER(SEARCH({"Formula","Roll-Up Summary"}, $B157))) &gt; 0,$B157 &amp; " (" &amp; $E157 &amp; ")",IF(SUMPRODUCT(-- ISNUMBER(SEARCH({"Content","Currency","Number","Percent","Text","URL"}, $B157))) &gt; 0,$B157 &amp; "(" &amp; $C157 &amp; ")",$B157)))), "  ", TRIM(IF($S157 = "YES", "(External ID)", "") &amp; " " &amp; IF(SUMPRODUCT(-- ISNUMBER(SEARCH({"Unique","Unique Case Insensitive"}, $R157))) &gt; 0, "(" &amp; $R157 &amp; ")", ""))))</f>
        <v>na</v>
      </c>
      <c r="E157" s="7" t="s">
        <v>195</v>
      </c>
      <c r="F157" s="7" t="s">
        <v>195</v>
      </c>
      <c r="G157" s="7" t="s">
        <v>195</v>
      </c>
      <c r="H157" s="7" t="s">
        <v>195</v>
      </c>
      <c r="I157" s="7" t="s">
        <v>195</v>
      </c>
      <c r="J157" s="7" t="s">
        <v>195</v>
      </c>
      <c r="K157" s="7" t="s">
        <v>195</v>
      </c>
      <c r="L157" s="7" t="s">
        <v>195</v>
      </c>
      <c r="M157" s="7" t="s">
        <v>29</v>
      </c>
      <c r="N157" s="7" t="s">
        <v>29</v>
      </c>
      <c r="O157" s="7" t="s">
        <v>29</v>
      </c>
      <c r="P157" s="7" t="s">
        <v>29</v>
      </c>
      <c r="Q157" s="7" t="s">
        <v>29</v>
      </c>
      <c r="R157" s="7" t="s">
        <v>29</v>
      </c>
      <c r="S157" s="7" t="s">
        <v>29</v>
      </c>
    </row>
    <row r="158" spans="2:19">
      <c r="B158" s="7" t="s">
        <v>195</v>
      </c>
      <c r="C158" s="8" t="s">
        <v>195</v>
      </c>
      <c r="D158" s="6" t="str">
        <f>LRTRIM(CONCATENATE(IF(SUMPRODUCT(-- ISNUMBER(SEARCH({"Auto Number"}, $B158))) &gt; 0, $B158, IF(SUMPRODUCT(-- ISNUMBER(SEARCH({"Lookup","Master-Detail"}, $B158))) &gt; 0,$B158 &amp; "(" &amp; $E158 &amp; ")",IF(SUMPRODUCT(-- ISNUMBER(SEARCH({"Formula","Roll-Up Summary"}, $B158))) &gt; 0,$B158 &amp; " (" &amp; $E158 &amp; ")",IF(SUMPRODUCT(-- ISNUMBER(SEARCH({"Content","Currency","Number","Percent","Text","URL"}, $B158))) &gt; 0,$B158 &amp; "(" &amp; $C158 &amp; ")",$B158)))), "  ", TRIM(IF($S158 = "YES", "(External ID)", "") &amp; " " &amp; IF(SUMPRODUCT(-- ISNUMBER(SEARCH({"Unique","Unique Case Insensitive"}, $R158))) &gt; 0, "(" &amp; $R158 &amp; ")", ""))))</f>
        <v>na</v>
      </c>
      <c r="E158" s="7" t="s">
        <v>195</v>
      </c>
      <c r="F158" s="7" t="s">
        <v>195</v>
      </c>
      <c r="G158" s="7" t="s">
        <v>195</v>
      </c>
      <c r="H158" s="7" t="s">
        <v>195</v>
      </c>
      <c r="I158" s="7" t="s">
        <v>195</v>
      </c>
      <c r="J158" s="7" t="s">
        <v>195</v>
      </c>
      <c r="K158" s="7" t="s">
        <v>195</v>
      </c>
      <c r="L158" s="7" t="s">
        <v>195</v>
      </c>
      <c r="M158" s="7" t="s">
        <v>29</v>
      </c>
      <c r="N158" s="7" t="s">
        <v>29</v>
      </c>
      <c r="O158" s="7" t="s">
        <v>29</v>
      </c>
      <c r="P158" s="7" t="s">
        <v>29</v>
      </c>
      <c r="Q158" s="7" t="s">
        <v>29</v>
      </c>
      <c r="R158" s="7" t="s">
        <v>29</v>
      </c>
      <c r="S158" s="7" t="s">
        <v>29</v>
      </c>
    </row>
    <row r="159" spans="2:19">
      <c r="B159" s="7" t="s">
        <v>195</v>
      </c>
      <c r="C159" s="8" t="s">
        <v>195</v>
      </c>
      <c r="D159" s="6" t="str">
        <f>LRTRIM(CONCATENATE(IF(SUMPRODUCT(-- ISNUMBER(SEARCH({"Auto Number"}, $B159))) &gt; 0, $B159, IF(SUMPRODUCT(-- ISNUMBER(SEARCH({"Lookup","Master-Detail"}, $B159))) &gt; 0,$B159 &amp; "(" &amp; $E159 &amp; ")",IF(SUMPRODUCT(-- ISNUMBER(SEARCH({"Formula","Roll-Up Summary"}, $B159))) &gt; 0,$B159 &amp; " (" &amp; $E159 &amp; ")",IF(SUMPRODUCT(-- ISNUMBER(SEARCH({"Content","Currency","Number","Percent","Text","URL"}, $B159))) &gt; 0,$B159 &amp; "(" &amp; $C159 &amp; ")",$B159)))), "  ", TRIM(IF($S159 = "YES", "(External ID)", "") &amp; " " &amp; IF(SUMPRODUCT(-- ISNUMBER(SEARCH({"Unique","Unique Case Insensitive"}, $R159))) &gt; 0, "(" &amp; $R159 &amp; ")", ""))))</f>
        <v>na</v>
      </c>
      <c r="E159" s="7" t="s">
        <v>195</v>
      </c>
      <c r="F159" s="7" t="s">
        <v>195</v>
      </c>
      <c r="G159" s="7" t="s">
        <v>195</v>
      </c>
      <c r="H159" s="7" t="s">
        <v>195</v>
      </c>
      <c r="I159" s="7" t="s">
        <v>195</v>
      </c>
      <c r="J159" s="7" t="s">
        <v>195</v>
      </c>
      <c r="K159" s="7" t="s">
        <v>195</v>
      </c>
      <c r="L159" s="7" t="s">
        <v>195</v>
      </c>
      <c r="M159" s="7" t="s">
        <v>29</v>
      </c>
      <c r="N159" s="7" t="s">
        <v>29</v>
      </c>
      <c r="O159" s="7" t="s">
        <v>29</v>
      </c>
      <c r="P159" s="7" t="s">
        <v>29</v>
      </c>
      <c r="Q159" s="7" t="s">
        <v>29</v>
      </c>
      <c r="R159" s="7" t="s">
        <v>29</v>
      </c>
      <c r="S159" s="7" t="s">
        <v>29</v>
      </c>
    </row>
    <row r="160" spans="2:19">
      <c r="B160" s="7" t="s">
        <v>195</v>
      </c>
      <c r="C160" s="8" t="s">
        <v>195</v>
      </c>
      <c r="D160" s="6" t="str">
        <f>LRTRIM(CONCATENATE(IF(SUMPRODUCT(-- ISNUMBER(SEARCH({"Auto Number"}, $B160))) &gt; 0, $B160, IF(SUMPRODUCT(-- ISNUMBER(SEARCH({"Lookup","Master-Detail"}, $B160))) &gt; 0,$B160 &amp; "(" &amp; $E160 &amp; ")",IF(SUMPRODUCT(-- ISNUMBER(SEARCH({"Formula","Roll-Up Summary"}, $B160))) &gt; 0,$B160 &amp; " (" &amp; $E160 &amp; ")",IF(SUMPRODUCT(-- ISNUMBER(SEARCH({"Content","Currency","Number","Percent","Text","URL"}, $B160))) &gt; 0,$B160 &amp; "(" &amp; $C160 &amp; ")",$B160)))), "  ", TRIM(IF($S160 = "YES", "(External ID)", "") &amp; " " &amp; IF(SUMPRODUCT(-- ISNUMBER(SEARCH({"Unique","Unique Case Insensitive"}, $R160))) &gt; 0, "(" &amp; $R160 &amp; ")", ""))))</f>
        <v>na</v>
      </c>
      <c r="E160" s="7" t="s">
        <v>195</v>
      </c>
      <c r="F160" s="7" t="s">
        <v>195</v>
      </c>
      <c r="G160" s="7" t="s">
        <v>195</v>
      </c>
      <c r="H160" s="7" t="s">
        <v>195</v>
      </c>
      <c r="I160" s="7" t="s">
        <v>195</v>
      </c>
      <c r="J160" s="7" t="s">
        <v>195</v>
      </c>
      <c r="K160" s="7" t="s">
        <v>195</v>
      </c>
      <c r="L160" s="7" t="s">
        <v>195</v>
      </c>
      <c r="M160" s="7" t="s">
        <v>29</v>
      </c>
      <c r="N160" s="7" t="s">
        <v>29</v>
      </c>
      <c r="O160" s="7" t="s">
        <v>29</v>
      </c>
      <c r="P160" s="7" t="s">
        <v>29</v>
      </c>
      <c r="Q160" s="7" t="s">
        <v>29</v>
      </c>
      <c r="R160" s="7" t="s">
        <v>29</v>
      </c>
      <c r="S160" s="7" t="s">
        <v>29</v>
      </c>
    </row>
    <row r="161" spans="2:19">
      <c r="B161" s="7" t="s">
        <v>195</v>
      </c>
      <c r="C161" s="8" t="s">
        <v>195</v>
      </c>
      <c r="D161" s="6" t="str">
        <f>LRTRIM(CONCATENATE(IF(SUMPRODUCT(-- ISNUMBER(SEARCH({"Auto Number"}, $B161))) &gt; 0, $B161, IF(SUMPRODUCT(-- ISNUMBER(SEARCH({"Lookup","Master-Detail"}, $B161))) &gt; 0,$B161 &amp; "(" &amp; $E161 &amp; ")",IF(SUMPRODUCT(-- ISNUMBER(SEARCH({"Formula","Roll-Up Summary"}, $B161))) &gt; 0,$B161 &amp; " (" &amp; $E161 &amp; ")",IF(SUMPRODUCT(-- ISNUMBER(SEARCH({"Content","Currency","Number","Percent","Text","URL"}, $B161))) &gt; 0,$B161 &amp; "(" &amp; $C161 &amp; ")",$B161)))), "  ", TRIM(IF($S161 = "YES", "(External ID)", "") &amp; " " &amp; IF(SUMPRODUCT(-- ISNUMBER(SEARCH({"Unique","Unique Case Insensitive"}, $R161))) &gt; 0, "(" &amp; $R161 &amp; ")", ""))))</f>
        <v>na</v>
      </c>
      <c r="E161" s="7" t="s">
        <v>195</v>
      </c>
      <c r="F161" s="7" t="s">
        <v>195</v>
      </c>
      <c r="G161" s="7" t="s">
        <v>195</v>
      </c>
      <c r="H161" s="7" t="s">
        <v>195</v>
      </c>
      <c r="I161" s="7" t="s">
        <v>195</v>
      </c>
      <c r="J161" s="7" t="s">
        <v>195</v>
      </c>
      <c r="K161" s="7" t="s">
        <v>195</v>
      </c>
      <c r="L161" s="7" t="s">
        <v>195</v>
      </c>
      <c r="M161" s="7" t="s">
        <v>29</v>
      </c>
      <c r="N161" s="7" t="s">
        <v>29</v>
      </c>
      <c r="O161" s="7" t="s">
        <v>29</v>
      </c>
      <c r="P161" s="7" t="s">
        <v>29</v>
      </c>
      <c r="Q161" s="7" t="s">
        <v>29</v>
      </c>
      <c r="R161" s="7" t="s">
        <v>29</v>
      </c>
      <c r="S161" s="7" t="s">
        <v>29</v>
      </c>
    </row>
    <row r="162" spans="2:19">
      <c r="B162" s="7" t="s">
        <v>195</v>
      </c>
      <c r="C162" s="8" t="s">
        <v>195</v>
      </c>
      <c r="D162" s="6" t="str">
        <f>LRTRIM(CONCATENATE(IF(SUMPRODUCT(-- ISNUMBER(SEARCH({"Auto Number"}, $B162))) &gt; 0, $B162, IF(SUMPRODUCT(-- ISNUMBER(SEARCH({"Lookup","Master-Detail"}, $B162))) &gt; 0,$B162 &amp; "(" &amp; $E162 &amp; ")",IF(SUMPRODUCT(-- ISNUMBER(SEARCH({"Formula","Roll-Up Summary"}, $B162))) &gt; 0,$B162 &amp; " (" &amp; $E162 &amp; ")",IF(SUMPRODUCT(-- ISNUMBER(SEARCH({"Content","Currency","Number","Percent","Text","URL"}, $B162))) &gt; 0,$B162 &amp; "(" &amp; $C162 &amp; ")",$B162)))), "  ", TRIM(IF($S162 = "YES", "(External ID)", "") &amp; " " &amp; IF(SUMPRODUCT(-- ISNUMBER(SEARCH({"Unique","Unique Case Insensitive"}, $R162))) &gt; 0, "(" &amp; $R162 &amp; ")", ""))))</f>
        <v>na</v>
      </c>
      <c r="E162" s="7" t="s">
        <v>195</v>
      </c>
      <c r="F162" s="7" t="s">
        <v>195</v>
      </c>
      <c r="G162" s="7" t="s">
        <v>195</v>
      </c>
      <c r="H162" s="7" t="s">
        <v>195</v>
      </c>
      <c r="I162" s="7" t="s">
        <v>195</v>
      </c>
      <c r="J162" s="7" t="s">
        <v>195</v>
      </c>
      <c r="K162" s="7" t="s">
        <v>195</v>
      </c>
      <c r="L162" s="7" t="s">
        <v>195</v>
      </c>
      <c r="M162" s="7" t="s">
        <v>29</v>
      </c>
      <c r="N162" s="7" t="s">
        <v>29</v>
      </c>
      <c r="O162" s="7" t="s">
        <v>29</v>
      </c>
      <c r="P162" s="7" t="s">
        <v>29</v>
      </c>
      <c r="Q162" s="7" t="s">
        <v>29</v>
      </c>
      <c r="R162" s="7" t="s">
        <v>29</v>
      </c>
      <c r="S162" s="7" t="s">
        <v>29</v>
      </c>
    </row>
    <row r="163" spans="2:19">
      <c r="B163" s="7" t="s">
        <v>195</v>
      </c>
      <c r="C163" s="8" t="s">
        <v>195</v>
      </c>
      <c r="D163" s="6" t="str">
        <f>LRTRIM(CONCATENATE(IF(SUMPRODUCT(-- ISNUMBER(SEARCH({"Auto Number"}, $B163))) &gt; 0, $B163, IF(SUMPRODUCT(-- ISNUMBER(SEARCH({"Lookup","Master-Detail"}, $B163))) &gt; 0,$B163 &amp; "(" &amp; $E163 &amp; ")",IF(SUMPRODUCT(-- ISNUMBER(SEARCH({"Formula","Roll-Up Summary"}, $B163))) &gt; 0,$B163 &amp; " (" &amp; $E163 &amp; ")",IF(SUMPRODUCT(-- ISNUMBER(SEARCH({"Content","Currency","Number","Percent","Text","URL"}, $B163))) &gt; 0,$B163 &amp; "(" &amp; $C163 &amp; ")",$B163)))), "  ", TRIM(IF($S163 = "YES", "(External ID)", "") &amp; " " &amp; IF(SUMPRODUCT(-- ISNUMBER(SEARCH({"Unique","Unique Case Insensitive"}, $R163))) &gt; 0, "(" &amp; $R163 &amp; ")", ""))))</f>
        <v>na</v>
      </c>
      <c r="E163" s="7" t="s">
        <v>195</v>
      </c>
      <c r="F163" s="7" t="s">
        <v>195</v>
      </c>
      <c r="G163" s="7" t="s">
        <v>195</v>
      </c>
      <c r="H163" s="7" t="s">
        <v>195</v>
      </c>
      <c r="I163" s="7" t="s">
        <v>195</v>
      </c>
      <c r="J163" s="7" t="s">
        <v>195</v>
      </c>
      <c r="K163" s="7" t="s">
        <v>195</v>
      </c>
      <c r="L163" s="7" t="s">
        <v>195</v>
      </c>
      <c r="M163" s="7" t="s">
        <v>29</v>
      </c>
      <c r="N163" s="7" t="s">
        <v>29</v>
      </c>
      <c r="O163" s="7" t="s">
        <v>29</v>
      </c>
      <c r="P163" s="7" t="s">
        <v>29</v>
      </c>
      <c r="Q163" s="7" t="s">
        <v>29</v>
      </c>
      <c r="R163" s="7" t="s">
        <v>29</v>
      </c>
      <c r="S163" s="7" t="s">
        <v>29</v>
      </c>
    </row>
    <row r="164" spans="2:19">
      <c r="B164" s="7" t="s">
        <v>195</v>
      </c>
      <c r="C164" s="8" t="s">
        <v>195</v>
      </c>
      <c r="D164" s="6" t="str">
        <f>LRTRIM(CONCATENATE(IF(SUMPRODUCT(-- ISNUMBER(SEARCH({"Auto Number"}, $B164))) &gt; 0, $B164, IF(SUMPRODUCT(-- ISNUMBER(SEARCH({"Lookup","Master-Detail"}, $B164))) &gt; 0,$B164 &amp; "(" &amp; $E164 &amp; ")",IF(SUMPRODUCT(-- ISNUMBER(SEARCH({"Formula","Roll-Up Summary"}, $B164))) &gt; 0,$B164 &amp; " (" &amp; $E164 &amp; ")",IF(SUMPRODUCT(-- ISNUMBER(SEARCH({"Content","Currency","Number","Percent","Text","URL"}, $B164))) &gt; 0,$B164 &amp; "(" &amp; $C164 &amp; ")",$B164)))), "  ", TRIM(IF($S164 = "YES", "(External ID)", "") &amp; " " &amp; IF(SUMPRODUCT(-- ISNUMBER(SEARCH({"Unique","Unique Case Insensitive"}, $R164))) &gt; 0, "(" &amp; $R164 &amp; ")", ""))))</f>
        <v>na</v>
      </c>
      <c r="E164" s="7" t="s">
        <v>195</v>
      </c>
      <c r="F164" s="7" t="s">
        <v>195</v>
      </c>
      <c r="G164" s="7" t="s">
        <v>195</v>
      </c>
      <c r="H164" s="7" t="s">
        <v>195</v>
      </c>
      <c r="I164" s="7" t="s">
        <v>195</v>
      </c>
      <c r="J164" s="7" t="s">
        <v>195</v>
      </c>
      <c r="K164" s="7" t="s">
        <v>195</v>
      </c>
      <c r="L164" s="7" t="s">
        <v>195</v>
      </c>
      <c r="M164" s="7" t="s">
        <v>29</v>
      </c>
      <c r="N164" s="7" t="s">
        <v>29</v>
      </c>
      <c r="O164" s="7" t="s">
        <v>29</v>
      </c>
      <c r="P164" s="7" t="s">
        <v>29</v>
      </c>
      <c r="Q164" s="7" t="s">
        <v>29</v>
      </c>
      <c r="R164" s="7" t="s">
        <v>29</v>
      </c>
      <c r="S164" s="7" t="s">
        <v>29</v>
      </c>
    </row>
    <row r="165" spans="2:19">
      <c r="B165" s="7" t="s">
        <v>195</v>
      </c>
      <c r="C165" s="8" t="s">
        <v>195</v>
      </c>
      <c r="D165" s="6" t="str">
        <f>LRTRIM(CONCATENATE(IF(SUMPRODUCT(-- ISNUMBER(SEARCH({"Auto Number"}, $B165))) &gt; 0, $B165, IF(SUMPRODUCT(-- ISNUMBER(SEARCH({"Lookup","Master-Detail"}, $B165))) &gt; 0,$B165 &amp; "(" &amp; $E165 &amp; ")",IF(SUMPRODUCT(-- ISNUMBER(SEARCH({"Formula","Roll-Up Summary"}, $B165))) &gt; 0,$B165 &amp; " (" &amp; $E165 &amp; ")",IF(SUMPRODUCT(-- ISNUMBER(SEARCH({"Content","Currency","Number","Percent","Text","URL"}, $B165))) &gt; 0,$B165 &amp; "(" &amp; $C165 &amp; ")",$B165)))), "  ", TRIM(IF($S165 = "YES", "(External ID)", "") &amp; " " &amp; IF(SUMPRODUCT(-- ISNUMBER(SEARCH({"Unique","Unique Case Insensitive"}, $R165))) &gt; 0, "(" &amp; $R165 &amp; ")", ""))))</f>
        <v>na</v>
      </c>
      <c r="E165" s="7" t="s">
        <v>195</v>
      </c>
      <c r="F165" s="7" t="s">
        <v>195</v>
      </c>
      <c r="G165" s="7" t="s">
        <v>195</v>
      </c>
      <c r="H165" s="7" t="s">
        <v>195</v>
      </c>
      <c r="I165" s="7" t="s">
        <v>195</v>
      </c>
      <c r="J165" s="7" t="s">
        <v>195</v>
      </c>
      <c r="K165" s="7" t="s">
        <v>195</v>
      </c>
      <c r="L165" s="7" t="s">
        <v>195</v>
      </c>
      <c r="M165" s="7" t="s">
        <v>29</v>
      </c>
      <c r="N165" s="7" t="s">
        <v>29</v>
      </c>
      <c r="O165" s="7" t="s">
        <v>29</v>
      </c>
      <c r="P165" s="7" t="s">
        <v>29</v>
      </c>
      <c r="Q165" s="7" t="s">
        <v>29</v>
      </c>
      <c r="R165" s="7" t="s">
        <v>29</v>
      </c>
      <c r="S165" s="7" t="s">
        <v>29</v>
      </c>
    </row>
    <row r="166" spans="2:19">
      <c r="B166" s="7" t="s">
        <v>195</v>
      </c>
      <c r="C166" s="8" t="s">
        <v>195</v>
      </c>
      <c r="D166" s="6" t="str">
        <f>LRTRIM(CONCATENATE(IF(SUMPRODUCT(-- ISNUMBER(SEARCH({"Auto Number"}, $B166))) &gt; 0, $B166, IF(SUMPRODUCT(-- ISNUMBER(SEARCH({"Lookup","Master-Detail"}, $B166))) &gt; 0,$B166 &amp; "(" &amp; $E166 &amp; ")",IF(SUMPRODUCT(-- ISNUMBER(SEARCH({"Formula","Roll-Up Summary"}, $B166))) &gt; 0,$B166 &amp; " (" &amp; $E166 &amp; ")",IF(SUMPRODUCT(-- ISNUMBER(SEARCH({"Content","Currency","Number","Percent","Text","URL"}, $B166))) &gt; 0,$B166 &amp; "(" &amp; $C166 &amp; ")",$B166)))), "  ", TRIM(IF($S166 = "YES", "(External ID)", "") &amp; " " &amp; IF(SUMPRODUCT(-- ISNUMBER(SEARCH({"Unique","Unique Case Insensitive"}, $R166))) &gt; 0, "(" &amp; $R166 &amp; ")", ""))))</f>
        <v>na</v>
      </c>
      <c r="E166" s="7" t="s">
        <v>195</v>
      </c>
      <c r="F166" s="7" t="s">
        <v>195</v>
      </c>
      <c r="G166" s="7" t="s">
        <v>195</v>
      </c>
      <c r="H166" s="7" t="s">
        <v>195</v>
      </c>
      <c r="I166" s="7" t="s">
        <v>195</v>
      </c>
      <c r="J166" s="7" t="s">
        <v>195</v>
      </c>
      <c r="K166" s="7" t="s">
        <v>195</v>
      </c>
      <c r="L166" s="7" t="s">
        <v>195</v>
      </c>
      <c r="M166" s="7" t="s">
        <v>29</v>
      </c>
      <c r="N166" s="7" t="s">
        <v>29</v>
      </c>
      <c r="O166" s="7" t="s">
        <v>29</v>
      </c>
      <c r="P166" s="7" t="s">
        <v>29</v>
      </c>
      <c r="Q166" s="7" t="s">
        <v>29</v>
      </c>
      <c r="R166" s="7" t="s">
        <v>29</v>
      </c>
      <c r="S166" s="7" t="s">
        <v>29</v>
      </c>
    </row>
    <row r="167" spans="2:19">
      <c r="B167" s="7" t="s">
        <v>195</v>
      </c>
      <c r="C167" s="8" t="s">
        <v>195</v>
      </c>
      <c r="D167" s="6" t="str">
        <f>LRTRIM(CONCATENATE(IF(SUMPRODUCT(-- ISNUMBER(SEARCH({"Auto Number"}, $B167))) &gt; 0, $B167, IF(SUMPRODUCT(-- ISNUMBER(SEARCH({"Lookup","Master-Detail"}, $B167))) &gt; 0,$B167 &amp; "(" &amp; $E167 &amp; ")",IF(SUMPRODUCT(-- ISNUMBER(SEARCH({"Formula","Roll-Up Summary"}, $B167))) &gt; 0,$B167 &amp; " (" &amp; $E167 &amp; ")",IF(SUMPRODUCT(-- ISNUMBER(SEARCH({"Content","Currency","Number","Percent","Text","URL"}, $B167))) &gt; 0,$B167 &amp; "(" &amp; $C167 &amp; ")",$B167)))), "  ", TRIM(IF($S167 = "YES", "(External ID)", "") &amp; " " &amp; IF(SUMPRODUCT(-- ISNUMBER(SEARCH({"Unique","Unique Case Insensitive"}, $R167))) &gt; 0, "(" &amp; $R167 &amp; ")", ""))))</f>
        <v>na</v>
      </c>
      <c r="E167" s="7" t="s">
        <v>195</v>
      </c>
      <c r="F167" s="7" t="s">
        <v>195</v>
      </c>
      <c r="G167" s="7" t="s">
        <v>195</v>
      </c>
      <c r="H167" s="7" t="s">
        <v>195</v>
      </c>
      <c r="I167" s="7" t="s">
        <v>195</v>
      </c>
      <c r="J167" s="7" t="s">
        <v>195</v>
      </c>
      <c r="K167" s="7" t="s">
        <v>195</v>
      </c>
      <c r="L167" s="7" t="s">
        <v>195</v>
      </c>
      <c r="M167" s="7" t="s">
        <v>29</v>
      </c>
      <c r="N167" s="7" t="s">
        <v>29</v>
      </c>
      <c r="O167" s="7" t="s">
        <v>29</v>
      </c>
      <c r="P167" s="7" t="s">
        <v>29</v>
      </c>
      <c r="Q167" s="7" t="s">
        <v>29</v>
      </c>
      <c r="R167" s="7" t="s">
        <v>29</v>
      </c>
      <c r="S167" s="7" t="s">
        <v>29</v>
      </c>
    </row>
    <row r="168" spans="2:19">
      <c r="B168" s="7" t="s">
        <v>195</v>
      </c>
      <c r="C168" s="8" t="s">
        <v>195</v>
      </c>
      <c r="D168" s="6" t="str">
        <f>LRTRIM(CONCATENATE(IF(SUMPRODUCT(-- ISNUMBER(SEARCH({"Auto Number"}, $B168))) &gt; 0, $B168, IF(SUMPRODUCT(-- ISNUMBER(SEARCH({"Lookup","Master-Detail"}, $B168))) &gt; 0,$B168 &amp; "(" &amp; $E168 &amp; ")",IF(SUMPRODUCT(-- ISNUMBER(SEARCH({"Formula","Roll-Up Summary"}, $B168))) &gt; 0,$B168 &amp; " (" &amp; $E168 &amp; ")",IF(SUMPRODUCT(-- ISNUMBER(SEARCH({"Content","Currency","Number","Percent","Text","URL"}, $B168))) &gt; 0,$B168 &amp; "(" &amp; $C168 &amp; ")",$B168)))), "  ", TRIM(IF($S168 = "YES", "(External ID)", "") &amp; " " &amp; IF(SUMPRODUCT(-- ISNUMBER(SEARCH({"Unique","Unique Case Insensitive"}, $R168))) &gt; 0, "(" &amp; $R168 &amp; ")", ""))))</f>
        <v>na</v>
      </c>
      <c r="E168" s="7" t="s">
        <v>195</v>
      </c>
      <c r="F168" s="7" t="s">
        <v>195</v>
      </c>
      <c r="G168" s="7" t="s">
        <v>195</v>
      </c>
      <c r="H168" s="7" t="s">
        <v>195</v>
      </c>
      <c r="I168" s="7" t="s">
        <v>195</v>
      </c>
      <c r="J168" s="7" t="s">
        <v>195</v>
      </c>
      <c r="K168" s="7" t="s">
        <v>195</v>
      </c>
      <c r="L168" s="7" t="s">
        <v>195</v>
      </c>
      <c r="M168" s="7" t="s">
        <v>29</v>
      </c>
      <c r="N168" s="7" t="s">
        <v>29</v>
      </c>
      <c r="O168" s="7" t="s">
        <v>29</v>
      </c>
      <c r="P168" s="7" t="s">
        <v>29</v>
      </c>
      <c r="Q168" s="7" t="s">
        <v>29</v>
      </c>
      <c r="R168" s="7" t="s">
        <v>29</v>
      </c>
      <c r="S168" s="7" t="s">
        <v>29</v>
      </c>
    </row>
    <row r="169" spans="2:19">
      <c r="B169" s="7" t="s">
        <v>195</v>
      </c>
      <c r="C169" s="8" t="s">
        <v>195</v>
      </c>
      <c r="D169" s="6" t="str">
        <f>LRTRIM(CONCATENATE(IF(SUMPRODUCT(-- ISNUMBER(SEARCH({"Auto Number"}, $B169))) &gt; 0, $B169, IF(SUMPRODUCT(-- ISNUMBER(SEARCH({"Lookup","Master-Detail"}, $B169))) &gt; 0,$B169 &amp; "(" &amp; $E169 &amp; ")",IF(SUMPRODUCT(-- ISNUMBER(SEARCH({"Formula","Roll-Up Summary"}, $B169))) &gt; 0,$B169 &amp; " (" &amp; $E169 &amp; ")",IF(SUMPRODUCT(-- ISNUMBER(SEARCH({"Content","Currency","Number","Percent","Text","URL"}, $B169))) &gt; 0,$B169 &amp; "(" &amp; $C169 &amp; ")",$B169)))), "  ", TRIM(IF($S169 = "YES", "(External ID)", "") &amp; " " &amp; IF(SUMPRODUCT(-- ISNUMBER(SEARCH({"Unique","Unique Case Insensitive"}, $R169))) &gt; 0, "(" &amp; $R169 &amp; ")", ""))))</f>
        <v>na</v>
      </c>
      <c r="E169" s="7" t="s">
        <v>195</v>
      </c>
      <c r="F169" s="7" t="s">
        <v>195</v>
      </c>
      <c r="G169" s="7" t="s">
        <v>195</v>
      </c>
      <c r="H169" s="7" t="s">
        <v>195</v>
      </c>
      <c r="I169" s="7" t="s">
        <v>195</v>
      </c>
      <c r="J169" s="7" t="s">
        <v>195</v>
      </c>
      <c r="K169" s="7" t="s">
        <v>195</v>
      </c>
      <c r="L169" s="7" t="s">
        <v>195</v>
      </c>
      <c r="M169" s="7" t="s">
        <v>29</v>
      </c>
      <c r="N169" s="7" t="s">
        <v>29</v>
      </c>
      <c r="O169" s="7" t="s">
        <v>29</v>
      </c>
      <c r="P169" s="7" t="s">
        <v>29</v>
      </c>
      <c r="Q169" s="7" t="s">
        <v>29</v>
      </c>
      <c r="R169" s="7" t="s">
        <v>29</v>
      </c>
      <c r="S169" s="7" t="s">
        <v>29</v>
      </c>
    </row>
    <row r="170" spans="2:19">
      <c r="B170" s="7" t="s">
        <v>195</v>
      </c>
      <c r="C170" s="8" t="s">
        <v>195</v>
      </c>
      <c r="D170" s="6" t="str">
        <f>LRTRIM(CONCATENATE(IF(SUMPRODUCT(-- ISNUMBER(SEARCH({"Auto Number"}, $B170))) &gt; 0, $B170, IF(SUMPRODUCT(-- ISNUMBER(SEARCH({"Lookup","Master-Detail"}, $B170))) &gt; 0,$B170 &amp; "(" &amp; $E170 &amp; ")",IF(SUMPRODUCT(-- ISNUMBER(SEARCH({"Formula","Roll-Up Summary"}, $B170))) &gt; 0,$B170 &amp; " (" &amp; $E170 &amp; ")",IF(SUMPRODUCT(-- ISNUMBER(SEARCH({"Content","Currency","Number","Percent","Text","URL"}, $B170))) &gt; 0,$B170 &amp; "(" &amp; $C170 &amp; ")",$B170)))), "  ", TRIM(IF($S170 = "YES", "(External ID)", "") &amp; " " &amp; IF(SUMPRODUCT(-- ISNUMBER(SEARCH({"Unique","Unique Case Insensitive"}, $R170))) &gt; 0, "(" &amp; $R170 &amp; ")", ""))))</f>
        <v>na</v>
      </c>
      <c r="E170" s="7" t="s">
        <v>195</v>
      </c>
      <c r="F170" s="7" t="s">
        <v>195</v>
      </c>
      <c r="G170" s="7" t="s">
        <v>195</v>
      </c>
      <c r="H170" s="7" t="s">
        <v>195</v>
      </c>
      <c r="I170" s="7" t="s">
        <v>195</v>
      </c>
      <c r="J170" s="7" t="s">
        <v>195</v>
      </c>
      <c r="K170" s="7" t="s">
        <v>195</v>
      </c>
      <c r="L170" s="7" t="s">
        <v>195</v>
      </c>
      <c r="M170" s="7" t="s">
        <v>29</v>
      </c>
      <c r="N170" s="7" t="s">
        <v>29</v>
      </c>
      <c r="O170" s="7" t="s">
        <v>29</v>
      </c>
      <c r="P170" s="7" t="s">
        <v>29</v>
      </c>
      <c r="Q170" s="7" t="s">
        <v>29</v>
      </c>
      <c r="R170" s="7" t="s">
        <v>29</v>
      </c>
      <c r="S170" s="7" t="s">
        <v>29</v>
      </c>
    </row>
    <row r="171" spans="2:19">
      <c r="B171" s="7" t="s">
        <v>195</v>
      </c>
      <c r="C171" s="8" t="s">
        <v>195</v>
      </c>
      <c r="D171" s="6" t="str">
        <f>LRTRIM(CONCATENATE(IF(SUMPRODUCT(-- ISNUMBER(SEARCH({"Auto Number"}, $B171))) &gt; 0, $B171, IF(SUMPRODUCT(-- ISNUMBER(SEARCH({"Lookup","Master-Detail"}, $B171))) &gt; 0,$B171 &amp; "(" &amp; $E171 &amp; ")",IF(SUMPRODUCT(-- ISNUMBER(SEARCH({"Formula","Roll-Up Summary"}, $B171))) &gt; 0,$B171 &amp; " (" &amp; $E171 &amp; ")",IF(SUMPRODUCT(-- ISNUMBER(SEARCH({"Content","Currency","Number","Percent","Text","URL"}, $B171))) &gt; 0,$B171 &amp; "(" &amp; $C171 &amp; ")",$B171)))), "  ", TRIM(IF($S171 = "YES", "(External ID)", "") &amp; " " &amp; IF(SUMPRODUCT(-- ISNUMBER(SEARCH({"Unique","Unique Case Insensitive"}, $R171))) &gt; 0, "(" &amp; $R171 &amp; ")", ""))))</f>
        <v>na</v>
      </c>
      <c r="E171" s="7" t="s">
        <v>195</v>
      </c>
      <c r="F171" s="7" t="s">
        <v>195</v>
      </c>
      <c r="G171" s="7" t="s">
        <v>195</v>
      </c>
      <c r="H171" s="7" t="s">
        <v>195</v>
      </c>
      <c r="I171" s="7" t="s">
        <v>195</v>
      </c>
      <c r="J171" s="7" t="s">
        <v>195</v>
      </c>
      <c r="K171" s="7" t="s">
        <v>195</v>
      </c>
      <c r="L171" s="7" t="s">
        <v>195</v>
      </c>
      <c r="M171" s="7" t="s">
        <v>29</v>
      </c>
      <c r="N171" s="7" t="s">
        <v>29</v>
      </c>
      <c r="O171" s="7" t="s">
        <v>29</v>
      </c>
      <c r="P171" s="7" t="s">
        <v>29</v>
      </c>
      <c r="Q171" s="7" t="s">
        <v>29</v>
      </c>
      <c r="R171" s="7" t="s">
        <v>29</v>
      </c>
      <c r="S171" s="7" t="s">
        <v>29</v>
      </c>
    </row>
    <row r="172" spans="2:19">
      <c r="B172" s="7" t="s">
        <v>195</v>
      </c>
      <c r="C172" s="8" t="s">
        <v>195</v>
      </c>
      <c r="D172" s="6" t="str">
        <f>LRTRIM(CONCATENATE(IF(SUMPRODUCT(-- ISNUMBER(SEARCH({"Auto Number"}, $B172))) &gt; 0, $B172, IF(SUMPRODUCT(-- ISNUMBER(SEARCH({"Lookup","Master-Detail"}, $B172))) &gt; 0,$B172 &amp; "(" &amp; $E172 &amp; ")",IF(SUMPRODUCT(-- ISNUMBER(SEARCH({"Formula","Roll-Up Summary"}, $B172))) &gt; 0,$B172 &amp; " (" &amp; $E172 &amp; ")",IF(SUMPRODUCT(-- ISNUMBER(SEARCH({"Content","Currency","Number","Percent","Text","URL"}, $B172))) &gt; 0,$B172 &amp; "(" &amp; $C172 &amp; ")",$B172)))), "  ", TRIM(IF($S172 = "YES", "(External ID)", "") &amp; " " &amp; IF(SUMPRODUCT(-- ISNUMBER(SEARCH({"Unique","Unique Case Insensitive"}, $R172))) &gt; 0, "(" &amp; $R172 &amp; ")", ""))))</f>
        <v>na</v>
      </c>
      <c r="E172" s="7" t="s">
        <v>195</v>
      </c>
      <c r="F172" s="7" t="s">
        <v>195</v>
      </c>
      <c r="G172" s="7" t="s">
        <v>195</v>
      </c>
      <c r="H172" s="7" t="s">
        <v>195</v>
      </c>
      <c r="I172" s="7" t="s">
        <v>195</v>
      </c>
      <c r="J172" s="7" t="s">
        <v>195</v>
      </c>
      <c r="K172" s="7" t="s">
        <v>195</v>
      </c>
      <c r="L172" s="7" t="s">
        <v>195</v>
      </c>
      <c r="M172" s="7" t="s">
        <v>29</v>
      </c>
      <c r="N172" s="7" t="s">
        <v>29</v>
      </c>
      <c r="O172" s="7" t="s">
        <v>29</v>
      </c>
      <c r="P172" s="7" t="s">
        <v>29</v>
      </c>
      <c r="Q172" s="7" t="s">
        <v>29</v>
      </c>
      <c r="R172" s="7" t="s">
        <v>29</v>
      </c>
      <c r="S172" s="7" t="s">
        <v>29</v>
      </c>
    </row>
    <row r="173" spans="2:19">
      <c r="B173" s="7" t="s">
        <v>195</v>
      </c>
      <c r="C173" s="8" t="s">
        <v>195</v>
      </c>
      <c r="D173" s="6" t="str">
        <f>LRTRIM(CONCATENATE(IF(SUMPRODUCT(-- ISNUMBER(SEARCH({"Auto Number"}, $B173))) &gt; 0, $B173, IF(SUMPRODUCT(-- ISNUMBER(SEARCH({"Lookup","Master-Detail"}, $B173))) &gt; 0,$B173 &amp; "(" &amp; $E173 &amp; ")",IF(SUMPRODUCT(-- ISNUMBER(SEARCH({"Formula","Roll-Up Summary"}, $B173))) &gt; 0,$B173 &amp; " (" &amp; $E173 &amp; ")",IF(SUMPRODUCT(-- ISNUMBER(SEARCH({"Content","Currency","Number","Percent","Text","URL"}, $B173))) &gt; 0,$B173 &amp; "(" &amp; $C173 &amp; ")",$B173)))), "  ", TRIM(IF($S173 = "YES", "(External ID)", "") &amp; " " &amp; IF(SUMPRODUCT(-- ISNUMBER(SEARCH({"Unique","Unique Case Insensitive"}, $R173))) &gt; 0, "(" &amp; $R173 &amp; ")", ""))))</f>
        <v>na</v>
      </c>
      <c r="E173" s="7" t="s">
        <v>195</v>
      </c>
      <c r="F173" s="7" t="s">
        <v>195</v>
      </c>
      <c r="G173" s="7" t="s">
        <v>195</v>
      </c>
      <c r="H173" s="7" t="s">
        <v>195</v>
      </c>
      <c r="I173" s="7" t="s">
        <v>195</v>
      </c>
      <c r="J173" s="7" t="s">
        <v>195</v>
      </c>
      <c r="K173" s="7" t="s">
        <v>195</v>
      </c>
      <c r="L173" s="7" t="s">
        <v>195</v>
      </c>
      <c r="M173" s="7" t="s">
        <v>29</v>
      </c>
      <c r="N173" s="7" t="s">
        <v>29</v>
      </c>
      <c r="O173" s="7" t="s">
        <v>29</v>
      </c>
      <c r="P173" s="7" t="s">
        <v>29</v>
      </c>
      <c r="Q173" s="7" t="s">
        <v>29</v>
      </c>
      <c r="R173" s="7" t="s">
        <v>29</v>
      </c>
      <c r="S173" s="7" t="s">
        <v>29</v>
      </c>
    </row>
    <row r="174" spans="2:19">
      <c r="B174" s="7" t="s">
        <v>195</v>
      </c>
      <c r="C174" s="8" t="s">
        <v>195</v>
      </c>
      <c r="D174" s="6" t="str">
        <f>LRTRIM(CONCATENATE(IF(SUMPRODUCT(-- ISNUMBER(SEARCH({"Auto Number"}, $B174))) &gt; 0, $B174, IF(SUMPRODUCT(-- ISNUMBER(SEARCH({"Lookup","Master-Detail"}, $B174))) &gt; 0,$B174 &amp; "(" &amp; $E174 &amp; ")",IF(SUMPRODUCT(-- ISNUMBER(SEARCH({"Formula","Roll-Up Summary"}, $B174))) &gt; 0,$B174 &amp; " (" &amp; $E174 &amp; ")",IF(SUMPRODUCT(-- ISNUMBER(SEARCH({"Content","Currency","Number","Percent","Text","URL"}, $B174))) &gt; 0,$B174 &amp; "(" &amp; $C174 &amp; ")",$B174)))), "  ", TRIM(IF($S174 = "YES", "(External ID)", "") &amp; " " &amp; IF(SUMPRODUCT(-- ISNUMBER(SEARCH({"Unique","Unique Case Insensitive"}, $R174))) &gt; 0, "(" &amp; $R174 &amp; ")", ""))))</f>
        <v>na</v>
      </c>
      <c r="E174" s="7" t="s">
        <v>195</v>
      </c>
      <c r="F174" s="7" t="s">
        <v>195</v>
      </c>
      <c r="G174" s="7" t="s">
        <v>195</v>
      </c>
      <c r="H174" s="7" t="s">
        <v>195</v>
      </c>
      <c r="I174" s="7" t="s">
        <v>195</v>
      </c>
      <c r="J174" s="7" t="s">
        <v>195</v>
      </c>
      <c r="K174" s="7" t="s">
        <v>195</v>
      </c>
      <c r="L174" s="7" t="s">
        <v>195</v>
      </c>
      <c r="M174" s="7" t="s">
        <v>29</v>
      </c>
      <c r="N174" s="7" t="s">
        <v>29</v>
      </c>
      <c r="O174" s="7" t="s">
        <v>29</v>
      </c>
      <c r="P174" s="7" t="s">
        <v>29</v>
      </c>
      <c r="Q174" s="7" t="s">
        <v>29</v>
      </c>
      <c r="R174" s="7" t="s">
        <v>29</v>
      </c>
      <c r="S174" s="7" t="s">
        <v>29</v>
      </c>
    </row>
    <row r="175" spans="2:19">
      <c r="B175" s="7" t="s">
        <v>195</v>
      </c>
      <c r="C175" s="8" t="s">
        <v>195</v>
      </c>
      <c r="D175" s="6" t="str">
        <f>LRTRIM(CONCATENATE(IF(SUMPRODUCT(-- ISNUMBER(SEARCH({"Auto Number"}, $B175))) &gt; 0, $B175, IF(SUMPRODUCT(-- ISNUMBER(SEARCH({"Lookup","Master-Detail"}, $B175))) &gt; 0,$B175 &amp; "(" &amp; $E175 &amp; ")",IF(SUMPRODUCT(-- ISNUMBER(SEARCH({"Formula","Roll-Up Summary"}, $B175))) &gt; 0,$B175 &amp; " (" &amp; $E175 &amp; ")",IF(SUMPRODUCT(-- ISNUMBER(SEARCH({"Content","Currency","Number","Percent","Text","URL"}, $B175))) &gt; 0,$B175 &amp; "(" &amp; $C175 &amp; ")",$B175)))), "  ", TRIM(IF($S175 = "YES", "(External ID)", "") &amp; " " &amp; IF(SUMPRODUCT(-- ISNUMBER(SEARCH({"Unique","Unique Case Insensitive"}, $R175))) &gt; 0, "(" &amp; $R175 &amp; ")", ""))))</f>
        <v>na</v>
      </c>
      <c r="E175" s="7" t="s">
        <v>195</v>
      </c>
      <c r="F175" s="7" t="s">
        <v>195</v>
      </c>
      <c r="G175" s="7" t="s">
        <v>195</v>
      </c>
      <c r="H175" s="7" t="s">
        <v>195</v>
      </c>
      <c r="I175" s="7" t="s">
        <v>195</v>
      </c>
      <c r="J175" s="7" t="s">
        <v>195</v>
      </c>
      <c r="K175" s="7" t="s">
        <v>195</v>
      </c>
      <c r="L175" s="7" t="s">
        <v>195</v>
      </c>
      <c r="M175" s="7" t="s">
        <v>29</v>
      </c>
      <c r="N175" s="7" t="s">
        <v>29</v>
      </c>
      <c r="O175" s="7" t="s">
        <v>29</v>
      </c>
      <c r="P175" s="7" t="s">
        <v>29</v>
      </c>
      <c r="Q175" s="7" t="s">
        <v>29</v>
      </c>
      <c r="R175" s="7" t="s">
        <v>29</v>
      </c>
      <c r="S175" s="7" t="s">
        <v>29</v>
      </c>
    </row>
    <row r="176" spans="2:19">
      <c r="B176" s="7" t="s">
        <v>195</v>
      </c>
      <c r="C176" s="8" t="s">
        <v>195</v>
      </c>
      <c r="D176" s="6" t="str">
        <f>LRTRIM(CONCATENATE(IF(SUMPRODUCT(-- ISNUMBER(SEARCH({"Auto Number"}, $B176))) &gt; 0, $B176, IF(SUMPRODUCT(-- ISNUMBER(SEARCH({"Lookup","Master-Detail"}, $B176))) &gt; 0,$B176 &amp; "(" &amp; $E176 &amp; ")",IF(SUMPRODUCT(-- ISNUMBER(SEARCH({"Formula","Roll-Up Summary"}, $B176))) &gt; 0,$B176 &amp; " (" &amp; $E176 &amp; ")",IF(SUMPRODUCT(-- ISNUMBER(SEARCH({"Content","Currency","Number","Percent","Text","URL"}, $B176))) &gt; 0,$B176 &amp; "(" &amp; $C176 &amp; ")",$B176)))), "  ", TRIM(IF($S176 = "YES", "(External ID)", "") &amp; " " &amp; IF(SUMPRODUCT(-- ISNUMBER(SEARCH({"Unique","Unique Case Insensitive"}, $R176))) &gt; 0, "(" &amp; $R176 &amp; ")", ""))))</f>
        <v>na</v>
      </c>
      <c r="E176" s="7" t="s">
        <v>195</v>
      </c>
      <c r="F176" s="7" t="s">
        <v>195</v>
      </c>
      <c r="G176" s="7" t="s">
        <v>195</v>
      </c>
      <c r="H176" s="7" t="s">
        <v>195</v>
      </c>
      <c r="I176" s="7" t="s">
        <v>195</v>
      </c>
      <c r="J176" s="7" t="s">
        <v>195</v>
      </c>
      <c r="K176" s="7" t="s">
        <v>195</v>
      </c>
      <c r="L176" s="7" t="s">
        <v>195</v>
      </c>
      <c r="M176" s="7" t="s">
        <v>29</v>
      </c>
      <c r="N176" s="7" t="s">
        <v>29</v>
      </c>
      <c r="O176" s="7" t="s">
        <v>29</v>
      </c>
      <c r="P176" s="7" t="s">
        <v>29</v>
      </c>
      <c r="Q176" s="7" t="s">
        <v>29</v>
      </c>
      <c r="R176" s="7" t="s">
        <v>29</v>
      </c>
      <c r="S176" s="7" t="s">
        <v>29</v>
      </c>
    </row>
    <row r="177" spans="2:19">
      <c r="B177" s="7" t="s">
        <v>195</v>
      </c>
      <c r="C177" s="8" t="s">
        <v>195</v>
      </c>
      <c r="D177" s="6" t="str">
        <f>LRTRIM(CONCATENATE(IF(SUMPRODUCT(-- ISNUMBER(SEARCH({"Auto Number"}, $B177))) &gt; 0, $B177, IF(SUMPRODUCT(-- ISNUMBER(SEARCH({"Lookup","Master-Detail"}, $B177))) &gt; 0,$B177 &amp; "(" &amp; $E177 &amp; ")",IF(SUMPRODUCT(-- ISNUMBER(SEARCH({"Formula","Roll-Up Summary"}, $B177))) &gt; 0,$B177 &amp; " (" &amp; $E177 &amp; ")",IF(SUMPRODUCT(-- ISNUMBER(SEARCH({"Content","Currency","Number","Percent","Text","URL"}, $B177))) &gt; 0,$B177 &amp; "(" &amp; $C177 &amp; ")",$B177)))), "  ", TRIM(IF($S177 = "YES", "(External ID)", "") &amp; " " &amp; IF(SUMPRODUCT(-- ISNUMBER(SEARCH({"Unique","Unique Case Insensitive"}, $R177))) &gt; 0, "(" &amp; $R177 &amp; ")", ""))))</f>
        <v>na</v>
      </c>
      <c r="E177" s="7" t="s">
        <v>195</v>
      </c>
      <c r="F177" s="7" t="s">
        <v>195</v>
      </c>
      <c r="G177" s="7" t="s">
        <v>195</v>
      </c>
      <c r="H177" s="7" t="s">
        <v>195</v>
      </c>
      <c r="I177" s="7" t="s">
        <v>195</v>
      </c>
      <c r="J177" s="7" t="s">
        <v>195</v>
      </c>
      <c r="K177" s="7" t="s">
        <v>195</v>
      </c>
      <c r="L177" s="7" t="s">
        <v>195</v>
      </c>
      <c r="M177" s="7" t="s">
        <v>29</v>
      </c>
      <c r="N177" s="7" t="s">
        <v>29</v>
      </c>
      <c r="O177" s="7" t="s">
        <v>29</v>
      </c>
      <c r="P177" s="7" t="s">
        <v>29</v>
      </c>
      <c r="Q177" s="7" t="s">
        <v>29</v>
      </c>
      <c r="R177" s="7" t="s">
        <v>29</v>
      </c>
      <c r="S177" s="7" t="s">
        <v>29</v>
      </c>
    </row>
    <row r="178" spans="2:19">
      <c r="B178" s="7" t="s">
        <v>195</v>
      </c>
      <c r="C178" s="8" t="s">
        <v>195</v>
      </c>
      <c r="D178" s="6" t="str">
        <f>LRTRIM(CONCATENATE(IF(SUMPRODUCT(-- ISNUMBER(SEARCH({"Auto Number"}, $B178))) &gt; 0, $B178, IF(SUMPRODUCT(-- ISNUMBER(SEARCH({"Lookup","Master-Detail"}, $B178))) &gt; 0,$B178 &amp; "(" &amp; $E178 &amp; ")",IF(SUMPRODUCT(-- ISNUMBER(SEARCH({"Formula","Roll-Up Summary"}, $B178))) &gt; 0,$B178 &amp; " (" &amp; $E178 &amp; ")",IF(SUMPRODUCT(-- ISNUMBER(SEARCH({"Content","Currency","Number","Percent","Text","URL"}, $B178))) &gt; 0,$B178 &amp; "(" &amp; $C178 &amp; ")",$B178)))), "  ", TRIM(IF($S178 = "YES", "(External ID)", "") &amp; " " &amp; IF(SUMPRODUCT(-- ISNUMBER(SEARCH({"Unique","Unique Case Insensitive"}, $R178))) &gt; 0, "(" &amp; $R178 &amp; ")", ""))))</f>
        <v>na</v>
      </c>
      <c r="E178" s="7" t="s">
        <v>195</v>
      </c>
      <c r="F178" s="7" t="s">
        <v>195</v>
      </c>
      <c r="G178" s="7" t="s">
        <v>195</v>
      </c>
      <c r="H178" s="7" t="s">
        <v>195</v>
      </c>
      <c r="I178" s="7" t="s">
        <v>195</v>
      </c>
      <c r="J178" s="7" t="s">
        <v>195</v>
      </c>
      <c r="K178" s="7" t="s">
        <v>195</v>
      </c>
      <c r="L178" s="7" t="s">
        <v>195</v>
      </c>
      <c r="M178" s="7" t="s">
        <v>29</v>
      </c>
      <c r="N178" s="7" t="s">
        <v>29</v>
      </c>
      <c r="O178" s="7" t="s">
        <v>29</v>
      </c>
      <c r="P178" s="7" t="s">
        <v>29</v>
      </c>
      <c r="Q178" s="7" t="s">
        <v>29</v>
      </c>
      <c r="R178" s="7" t="s">
        <v>29</v>
      </c>
      <c r="S178" s="7" t="s">
        <v>29</v>
      </c>
    </row>
    <row r="179" spans="2:19">
      <c r="B179" s="7" t="s">
        <v>195</v>
      </c>
      <c r="C179" s="8" t="s">
        <v>195</v>
      </c>
      <c r="D179" s="6" t="str">
        <f>LRTRIM(CONCATENATE(IF(SUMPRODUCT(-- ISNUMBER(SEARCH({"Auto Number"}, $B179))) &gt; 0, $B179, IF(SUMPRODUCT(-- ISNUMBER(SEARCH({"Lookup","Master-Detail"}, $B179))) &gt; 0,$B179 &amp; "(" &amp; $E179 &amp; ")",IF(SUMPRODUCT(-- ISNUMBER(SEARCH({"Formula","Roll-Up Summary"}, $B179))) &gt; 0,$B179 &amp; " (" &amp; $E179 &amp; ")",IF(SUMPRODUCT(-- ISNUMBER(SEARCH({"Content","Currency","Number","Percent","Text","URL"}, $B179))) &gt; 0,$B179 &amp; "(" &amp; $C179 &amp; ")",$B179)))), "  ", TRIM(IF($S179 = "YES", "(External ID)", "") &amp; " " &amp; IF(SUMPRODUCT(-- ISNUMBER(SEARCH({"Unique","Unique Case Insensitive"}, $R179))) &gt; 0, "(" &amp; $R179 &amp; ")", ""))))</f>
        <v>na</v>
      </c>
      <c r="E179" s="7" t="s">
        <v>195</v>
      </c>
      <c r="F179" s="7" t="s">
        <v>195</v>
      </c>
      <c r="G179" s="7" t="s">
        <v>195</v>
      </c>
      <c r="H179" s="7" t="s">
        <v>195</v>
      </c>
      <c r="I179" s="7" t="s">
        <v>195</v>
      </c>
      <c r="J179" s="7" t="s">
        <v>195</v>
      </c>
      <c r="K179" s="7" t="s">
        <v>195</v>
      </c>
      <c r="L179" s="7" t="s">
        <v>195</v>
      </c>
      <c r="M179" s="7" t="s">
        <v>29</v>
      </c>
      <c r="N179" s="7" t="s">
        <v>29</v>
      </c>
      <c r="O179" s="7" t="s">
        <v>29</v>
      </c>
      <c r="P179" s="7" t="s">
        <v>29</v>
      </c>
      <c r="Q179" s="7" t="s">
        <v>29</v>
      </c>
      <c r="R179" s="7" t="s">
        <v>29</v>
      </c>
      <c r="S179" s="7" t="s">
        <v>29</v>
      </c>
    </row>
    <row r="180" spans="2:19">
      <c r="B180" s="7" t="s">
        <v>195</v>
      </c>
      <c r="C180" s="8" t="s">
        <v>195</v>
      </c>
      <c r="D180" s="6" t="str">
        <f>LRTRIM(CONCATENATE(IF(SUMPRODUCT(-- ISNUMBER(SEARCH({"Auto Number"}, $B180))) &gt; 0, $B180, IF(SUMPRODUCT(-- ISNUMBER(SEARCH({"Lookup","Master-Detail"}, $B180))) &gt; 0,$B180 &amp; "(" &amp; $E180 &amp; ")",IF(SUMPRODUCT(-- ISNUMBER(SEARCH({"Formula","Roll-Up Summary"}, $B180))) &gt; 0,$B180 &amp; " (" &amp; $E180 &amp; ")",IF(SUMPRODUCT(-- ISNUMBER(SEARCH({"Content","Currency","Number","Percent","Text","URL"}, $B180))) &gt; 0,$B180 &amp; "(" &amp; $C180 &amp; ")",$B180)))), "  ", TRIM(IF($S180 = "YES", "(External ID)", "") &amp; " " &amp; IF(SUMPRODUCT(-- ISNUMBER(SEARCH({"Unique","Unique Case Insensitive"}, $R180))) &gt; 0, "(" &amp; $R180 &amp; ")", ""))))</f>
        <v>na</v>
      </c>
      <c r="E180" s="7" t="s">
        <v>195</v>
      </c>
      <c r="F180" s="7" t="s">
        <v>195</v>
      </c>
      <c r="G180" s="7" t="s">
        <v>195</v>
      </c>
      <c r="H180" s="7" t="s">
        <v>195</v>
      </c>
      <c r="I180" s="7" t="s">
        <v>195</v>
      </c>
      <c r="J180" s="7" t="s">
        <v>195</v>
      </c>
      <c r="K180" s="7" t="s">
        <v>195</v>
      </c>
      <c r="L180" s="7" t="s">
        <v>195</v>
      </c>
      <c r="M180" s="7" t="s">
        <v>29</v>
      </c>
      <c r="N180" s="7" t="s">
        <v>29</v>
      </c>
      <c r="O180" s="7" t="s">
        <v>29</v>
      </c>
      <c r="P180" s="7" t="s">
        <v>29</v>
      </c>
      <c r="Q180" s="7" t="s">
        <v>29</v>
      </c>
      <c r="R180" s="7" t="s">
        <v>29</v>
      </c>
      <c r="S180" s="7" t="s">
        <v>29</v>
      </c>
    </row>
    <row r="181" spans="2:19">
      <c r="B181" s="7" t="s">
        <v>195</v>
      </c>
      <c r="C181" s="8" t="s">
        <v>195</v>
      </c>
      <c r="D181" s="6" t="str">
        <f>LRTRIM(CONCATENATE(IF(SUMPRODUCT(-- ISNUMBER(SEARCH({"Auto Number"}, $B181))) &gt; 0, $B181, IF(SUMPRODUCT(-- ISNUMBER(SEARCH({"Lookup","Master-Detail"}, $B181))) &gt; 0,$B181 &amp; "(" &amp; $E181 &amp; ")",IF(SUMPRODUCT(-- ISNUMBER(SEARCH({"Formula","Roll-Up Summary"}, $B181))) &gt; 0,$B181 &amp; " (" &amp; $E181 &amp; ")",IF(SUMPRODUCT(-- ISNUMBER(SEARCH({"Content","Currency","Number","Percent","Text","URL"}, $B181))) &gt; 0,$B181 &amp; "(" &amp; $C181 &amp; ")",$B181)))), "  ", TRIM(IF($S181 = "YES", "(External ID)", "") &amp; " " &amp; IF(SUMPRODUCT(-- ISNUMBER(SEARCH({"Unique","Unique Case Insensitive"}, $R181))) &gt; 0, "(" &amp; $R181 &amp; ")", ""))))</f>
        <v>na</v>
      </c>
      <c r="E181" s="7" t="s">
        <v>195</v>
      </c>
      <c r="F181" s="7" t="s">
        <v>195</v>
      </c>
      <c r="G181" s="7" t="s">
        <v>195</v>
      </c>
      <c r="H181" s="7" t="s">
        <v>195</v>
      </c>
      <c r="I181" s="7" t="s">
        <v>195</v>
      </c>
      <c r="J181" s="7" t="s">
        <v>195</v>
      </c>
      <c r="K181" s="7" t="s">
        <v>195</v>
      </c>
      <c r="L181" s="7" t="s">
        <v>195</v>
      </c>
      <c r="M181" s="7" t="s">
        <v>29</v>
      </c>
      <c r="N181" s="7" t="s">
        <v>29</v>
      </c>
      <c r="O181" s="7" t="s">
        <v>29</v>
      </c>
      <c r="P181" s="7" t="s">
        <v>29</v>
      </c>
      <c r="Q181" s="7" t="s">
        <v>29</v>
      </c>
      <c r="R181" s="7" t="s">
        <v>29</v>
      </c>
      <c r="S181" s="7" t="s">
        <v>29</v>
      </c>
    </row>
    <row r="182" spans="2:19">
      <c r="B182" s="7" t="s">
        <v>195</v>
      </c>
      <c r="C182" s="8" t="s">
        <v>195</v>
      </c>
      <c r="D182" s="6" t="str">
        <f>LRTRIM(CONCATENATE(IF(SUMPRODUCT(-- ISNUMBER(SEARCH({"Auto Number"}, $B182))) &gt; 0, $B182, IF(SUMPRODUCT(-- ISNUMBER(SEARCH({"Lookup","Master-Detail"}, $B182))) &gt; 0,$B182 &amp; "(" &amp; $E182 &amp; ")",IF(SUMPRODUCT(-- ISNUMBER(SEARCH({"Formula","Roll-Up Summary"}, $B182))) &gt; 0,$B182 &amp; " (" &amp; $E182 &amp; ")",IF(SUMPRODUCT(-- ISNUMBER(SEARCH({"Content","Currency","Number","Percent","Text","URL"}, $B182))) &gt; 0,$B182 &amp; "(" &amp; $C182 &amp; ")",$B182)))), "  ", TRIM(IF($S182 = "YES", "(External ID)", "") &amp; " " &amp; IF(SUMPRODUCT(-- ISNUMBER(SEARCH({"Unique","Unique Case Insensitive"}, $R182))) &gt; 0, "(" &amp; $R182 &amp; ")", ""))))</f>
        <v>na</v>
      </c>
      <c r="E182" s="7" t="s">
        <v>195</v>
      </c>
      <c r="F182" s="7" t="s">
        <v>195</v>
      </c>
      <c r="G182" s="7" t="s">
        <v>195</v>
      </c>
      <c r="H182" s="7" t="s">
        <v>195</v>
      </c>
      <c r="I182" s="7" t="s">
        <v>195</v>
      </c>
      <c r="J182" s="7" t="s">
        <v>195</v>
      </c>
      <c r="K182" s="7" t="s">
        <v>195</v>
      </c>
      <c r="L182" s="7" t="s">
        <v>195</v>
      </c>
      <c r="M182" s="7" t="s">
        <v>29</v>
      </c>
      <c r="N182" s="7" t="s">
        <v>29</v>
      </c>
      <c r="O182" s="7" t="s">
        <v>29</v>
      </c>
      <c r="P182" s="7" t="s">
        <v>29</v>
      </c>
      <c r="Q182" s="7" t="s">
        <v>29</v>
      </c>
      <c r="R182" s="7" t="s">
        <v>29</v>
      </c>
      <c r="S182" s="7" t="s">
        <v>29</v>
      </c>
    </row>
    <row r="183" spans="2:19">
      <c r="B183" s="7" t="s">
        <v>195</v>
      </c>
      <c r="C183" s="8" t="s">
        <v>195</v>
      </c>
      <c r="D183" s="6" t="str">
        <f>LRTRIM(CONCATENATE(IF(SUMPRODUCT(-- ISNUMBER(SEARCH({"Auto Number"}, $B183))) &gt; 0, $B183, IF(SUMPRODUCT(-- ISNUMBER(SEARCH({"Lookup","Master-Detail"}, $B183))) &gt; 0,$B183 &amp; "(" &amp; $E183 &amp; ")",IF(SUMPRODUCT(-- ISNUMBER(SEARCH({"Formula","Roll-Up Summary"}, $B183))) &gt; 0,$B183 &amp; " (" &amp; $E183 &amp; ")",IF(SUMPRODUCT(-- ISNUMBER(SEARCH({"Content","Currency","Number","Percent","Text","URL"}, $B183))) &gt; 0,$B183 &amp; "(" &amp; $C183 &amp; ")",$B183)))), "  ", TRIM(IF($S183 = "YES", "(External ID)", "") &amp; " " &amp; IF(SUMPRODUCT(-- ISNUMBER(SEARCH({"Unique","Unique Case Insensitive"}, $R183))) &gt; 0, "(" &amp; $R183 &amp; ")", ""))))</f>
        <v>na</v>
      </c>
      <c r="E183" s="7" t="s">
        <v>195</v>
      </c>
      <c r="F183" s="7" t="s">
        <v>195</v>
      </c>
      <c r="G183" s="7" t="s">
        <v>195</v>
      </c>
      <c r="H183" s="7" t="s">
        <v>195</v>
      </c>
      <c r="I183" s="7" t="s">
        <v>195</v>
      </c>
      <c r="J183" s="7" t="s">
        <v>195</v>
      </c>
      <c r="K183" s="7" t="s">
        <v>195</v>
      </c>
      <c r="L183" s="7" t="s">
        <v>195</v>
      </c>
      <c r="M183" s="7" t="s">
        <v>29</v>
      </c>
      <c r="N183" s="7" t="s">
        <v>29</v>
      </c>
      <c r="O183" s="7" t="s">
        <v>29</v>
      </c>
      <c r="P183" s="7" t="s">
        <v>29</v>
      </c>
      <c r="Q183" s="7" t="s">
        <v>29</v>
      </c>
      <c r="R183" s="7" t="s">
        <v>29</v>
      </c>
      <c r="S183" s="7" t="s">
        <v>29</v>
      </c>
    </row>
    <row r="184" spans="2:19">
      <c r="B184" s="7" t="s">
        <v>195</v>
      </c>
      <c r="C184" s="8" t="s">
        <v>195</v>
      </c>
      <c r="D184" s="6" t="str">
        <f>LRTRIM(CONCATENATE(IF(SUMPRODUCT(-- ISNUMBER(SEARCH({"Auto Number"}, $B184))) &gt; 0, $B184, IF(SUMPRODUCT(-- ISNUMBER(SEARCH({"Lookup","Master-Detail"}, $B184))) &gt; 0,$B184 &amp; "(" &amp; $E184 &amp; ")",IF(SUMPRODUCT(-- ISNUMBER(SEARCH({"Formula","Roll-Up Summary"}, $B184))) &gt; 0,$B184 &amp; " (" &amp; $E184 &amp; ")",IF(SUMPRODUCT(-- ISNUMBER(SEARCH({"Content","Currency","Number","Percent","Text","URL"}, $B184))) &gt; 0,$B184 &amp; "(" &amp; $C184 &amp; ")",$B184)))), "  ", TRIM(IF($S184 = "YES", "(External ID)", "") &amp; " " &amp; IF(SUMPRODUCT(-- ISNUMBER(SEARCH({"Unique","Unique Case Insensitive"}, $R184))) &gt; 0, "(" &amp; $R184 &amp; ")", ""))))</f>
        <v>na</v>
      </c>
      <c r="E184" s="7" t="s">
        <v>195</v>
      </c>
      <c r="F184" s="7" t="s">
        <v>195</v>
      </c>
      <c r="G184" s="7" t="s">
        <v>195</v>
      </c>
      <c r="H184" s="7" t="s">
        <v>195</v>
      </c>
      <c r="I184" s="7" t="s">
        <v>195</v>
      </c>
      <c r="J184" s="7" t="s">
        <v>195</v>
      </c>
      <c r="K184" s="7" t="s">
        <v>195</v>
      </c>
      <c r="L184" s="7" t="s">
        <v>195</v>
      </c>
      <c r="M184" s="7" t="s">
        <v>29</v>
      </c>
      <c r="N184" s="7" t="s">
        <v>29</v>
      </c>
      <c r="O184" s="7" t="s">
        <v>29</v>
      </c>
      <c r="P184" s="7" t="s">
        <v>29</v>
      </c>
      <c r="Q184" s="7" t="s">
        <v>29</v>
      </c>
      <c r="R184" s="7" t="s">
        <v>29</v>
      </c>
      <c r="S184" s="7" t="s">
        <v>29</v>
      </c>
    </row>
    <row r="185" spans="2:19">
      <c r="B185" s="7" t="s">
        <v>195</v>
      </c>
      <c r="C185" s="8" t="s">
        <v>195</v>
      </c>
      <c r="D185" s="6" t="str">
        <f>LRTRIM(CONCATENATE(IF(SUMPRODUCT(-- ISNUMBER(SEARCH({"Auto Number"}, $B185))) &gt; 0, $B185, IF(SUMPRODUCT(-- ISNUMBER(SEARCH({"Lookup","Master-Detail"}, $B185))) &gt; 0,$B185 &amp; "(" &amp; $E185 &amp; ")",IF(SUMPRODUCT(-- ISNUMBER(SEARCH({"Formula","Roll-Up Summary"}, $B185))) &gt; 0,$B185 &amp; " (" &amp; $E185 &amp; ")",IF(SUMPRODUCT(-- ISNUMBER(SEARCH({"Content","Currency","Number","Percent","Text","URL"}, $B185))) &gt; 0,$B185 &amp; "(" &amp; $C185 &amp; ")",$B185)))), "  ", TRIM(IF($S185 = "YES", "(External ID)", "") &amp; " " &amp; IF(SUMPRODUCT(-- ISNUMBER(SEARCH({"Unique","Unique Case Insensitive"}, $R185))) &gt; 0, "(" &amp; $R185 &amp; ")", ""))))</f>
        <v>na</v>
      </c>
      <c r="E185" s="7" t="s">
        <v>195</v>
      </c>
      <c r="F185" s="7" t="s">
        <v>195</v>
      </c>
      <c r="G185" s="7" t="s">
        <v>195</v>
      </c>
      <c r="H185" s="7" t="s">
        <v>195</v>
      </c>
      <c r="I185" s="7" t="s">
        <v>195</v>
      </c>
      <c r="J185" s="7" t="s">
        <v>195</v>
      </c>
      <c r="K185" s="7" t="s">
        <v>195</v>
      </c>
      <c r="L185" s="7" t="s">
        <v>195</v>
      </c>
      <c r="M185" s="7" t="s">
        <v>29</v>
      </c>
      <c r="N185" s="7" t="s">
        <v>29</v>
      </c>
      <c r="O185" s="7" t="s">
        <v>29</v>
      </c>
      <c r="P185" s="7" t="s">
        <v>29</v>
      </c>
      <c r="Q185" s="7" t="s">
        <v>29</v>
      </c>
      <c r="R185" s="7" t="s">
        <v>29</v>
      </c>
      <c r="S185" s="7" t="s">
        <v>29</v>
      </c>
    </row>
    <row r="186" spans="2:19">
      <c r="B186" s="7" t="s">
        <v>195</v>
      </c>
      <c r="C186" s="8" t="s">
        <v>195</v>
      </c>
      <c r="D186" s="6" t="str">
        <f>LRTRIM(CONCATENATE(IF(SUMPRODUCT(-- ISNUMBER(SEARCH({"Auto Number"}, $B186))) &gt; 0, $B186, IF(SUMPRODUCT(-- ISNUMBER(SEARCH({"Lookup","Master-Detail"}, $B186))) &gt; 0,$B186 &amp; "(" &amp; $E186 &amp; ")",IF(SUMPRODUCT(-- ISNUMBER(SEARCH({"Formula","Roll-Up Summary"}, $B186))) &gt; 0,$B186 &amp; " (" &amp; $E186 &amp; ")",IF(SUMPRODUCT(-- ISNUMBER(SEARCH({"Content","Currency","Number","Percent","Text","URL"}, $B186))) &gt; 0,$B186 &amp; "(" &amp; $C186 &amp; ")",$B186)))), "  ", TRIM(IF($S186 = "YES", "(External ID)", "") &amp; " " &amp; IF(SUMPRODUCT(-- ISNUMBER(SEARCH({"Unique","Unique Case Insensitive"}, $R186))) &gt; 0, "(" &amp; $R186 &amp; ")", ""))))</f>
        <v>na</v>
      </c>
      <c r="E186" s="7" t="s">
        <v>195</v>
      </c>
      <c r="F186" s="7" t="s">
        <v>195</v>
      </c>
      <c r="G186" s="7" t="s">
        <v>195</v>
      </c>
      <c r="H186" s="7" t="s">
        <v>195</v>
      </c>
      <c r="I186" s="7" t="s">
        <v>195</v>
      </c>
      <c r="J186" s="7" t="s">
        <v>195</v>
      </c>
      <c r="K186" s="7" t="s">
        <v>195</v>
      </c>
      <c r="L186" s="7" t="s">
        <v>195</v>
      </c>
      <c r="M186" s="7" t="s">
        <v>29</v>
      </c>
      <c r="N186" s="7" t="s">
        <v>29</v>
      </c>
      <c r="O186" s="7" t="s">
        <v>29</v>
      </c>
      <c r="P186" s="7" t="s">
        <v>29</v>
      </c>
      <c r="Q186" s="7" t="s">
        <v>29</v>
      </c>
      <c r="R186" s="7" t="s">
        <v>29</v>
      </c>
      <c r="S186" s="7" t="s">
        <v>29</v>
      </c>
    </row>
    <row r="187" spans="2:19">
      <c r="B187" s="7" t="s">
        <v>195</v>
      </c>
      <c r="C187" s="8" t="s">
        <v>195</v>
      </c>
      <c r="D187" s="6" t="str">
        <f>LRTRIM(CONCATENATE(IF(SUMPRODUCT(-- ISNUMBER(SEARCH({"Auto Number"}, $B187))) &gt; 0, $B187, IF(SUMPRODUCT(-- ISNUMBER(SEARCH({"Lookup","Master-Detail"}, $B187))) &gt; 0,$B187 &amp; "(" &amp; $E187 &amp; ")",IF(SUMPRODUCT(-- ISNUMBER(SEARCH({"Formula","Roll-Up Summary"}, $B187))) &gt; 0,$B187 &amp; " (" &amp; $E187 &amp; ")",IF(SUMPRODUCT(-- ISNUMBER(SEARCH({"Content","Currency","Number","Percent","Text","URL"}, $B187))) &gt; 0,$B187 &amp; "(" &amp; $C187 &amp; ")",$B187)))), "  ", TRIM(IF($S187 = "YES", "(External ID)", "") &amp; " " &amp; IF(SUMPRODUCT(-- ISNUMBER(SEARCH({"Unique","Unique Case Insensitive"}, $R187))) &gt; 0, "(" &amp; $R187 &amp; ")", ""))))</f>
        <v>na</v>
      </c>
      <c r="E187" s="7" t="s">
        <v>195</v>
      </c>
      <c r="F187" s="7" t="s">
        <v>195</v>
      </c>
      <c r="G187" s="7" t="s">
        <v>195</v>
      </c>
      <c r="H187" s="7" t="s">
        <v>195</v>
      </c>
      <c r="I187" s="7" t="s">
        <v>195</v>
      </c>
      <c r="J187" s="7" t="s">
        <v>195</v>
      </c>
      <c r="K187" s="7" t="s">
        <v>195</v>
      </c>
      <c r="L187" s="7" t="s">
        <v>195</v>
      </c>
      <c r="M187" s="7" t="s">
        <v>29</v>
      </c>
      <c r="N187" s="7" t="s">
        <v>29</v>
      </c>
      <c r="O187" s="7" t="s">
        <v>29</v>
      </c>
      <c r="P187" s="7" t="s">
        <v>29</v>
      </c>
      <c r="Q187" s="7" t="s">
        <v>29</v>
      </c>
      <c r="R187" s="7" t="s">
        <v>29</v>
      </c>
      <c r="S187" s="7" t="s">
        <v>29</v>
      </c>
    </row>
    <row r="188" spans="2:19">
      <c r="B188" s="7" t="s">
        <v>195</v>
      </c>
      <c r="C188" s="8" t="s">
        <v>195</v>
      </c>
      <c r="D188" s="6" t="str">
        <f>LRTRIM(CONCATENATE(IF(SUMPRODUCT(-- ISNUMBER(SEARCH({"Auto Number"}, $B188))) &gt; 0, $B188, IF(SUMPRODUCT(-- ISNUMBER(SEARCH({"Lookup","Master-Detail"}, $B188))) &gt; 0,$B188 &amp; "(" &amp; $E188 &amp; ")",IF(SUMPRODUCT(-- ISNUMBER(SEARCH({"Formula","Roll-Up Summary"}, $B188))) &gt; 0,$B188 &amp; " (" &amp; $E188 &amp; ")",IF(SUMPRODUCT(-- ISNUMBER(SEARCH({"Content","Currency","Number","Percent","Text","URL"}, $B188))) &gt; 0,$B188 &amp; "(" &amp; $C188 &amp; ")",$B188)))), "  ", TRIM(IF($S188 = "YES", "(External ID)", "") &amp; " " &amp; IF(SUMPRODUCT(-- ISNUMBER(SEARCH({"Unique","Unique Case Insensitive"}, $R188))) &gt; 0, "(" &amp; $R188 &amp; ")", ""))))</f>
        <v>na</v>
      </c>
      <c r="E188" s="7" t="s">
        <v>195</v>
      </c>
      <c r="F188" s="7" t="s">
        <v>195</v>
      </c>
      <c r="G188" s="7" t="s">
        <v>195</v>
      </c>
      <c r="H188" s="7" t="s">
        <v>195</v>
      </c>
      <c r="I188" s="7" t="s">
        <v>195</v>
      </c>
      <c r="J188" s="7" t="s">
        <v>195</v>
      </c>
      <c r="K188" s="7" t="s">
        <v>195</v>
      </c>
      <c r="L188" s="7" t="s">
        <v>195</v>
      </c>
      <c r="M188" s="7" t="s">
        <v>29</v>
      </c>
      <c r="N188" s="7" t="s">
        <v>29</v>
      </c>
      <c r="O188" s="7" t="s">
        <v>29</v>
      </c>
      <c r="P188" s="7" t="s">
        <v>29</v>
      </c>
      <c r="Q188" s="7" t="s">
        <v>29</v>
      </c>
      <c r="R188" s="7" t="s">
        <v>29</v>
      </c>
      <c r="S188" s="7" t="s">
        <v>29</v>
      </c>
    </row>
    <row r="189" spans="2:19">
      <c r="B189" s="7" t="s">
        <v>195</v>
      </c>
      <c r="C189" s="8" t="s">
        <v>195</v>
      </c>
      <c r="D189" s="6" t="str">
        <f>LRTRIM(CONCATENATE(IF(SUMPRODUCT(-- ISNUMBER(SEARCH({"Auto Number"}, $B189))) &gt; 0, $B189, IF(SUMPRODUCT(-- ISNUMBER(SEARCH({"Lookup","Master-Detail"}, $B189))) &gt; 0,$B189 &amp; "(" &amp; $E189 &amp; ")",IF(SUMPRODUCT(-- ISNUMBER(SEARCH({"Formula","Roll-Up Summary"}, $B189))) &gt; 0,$B189 &amp; " (" &amp; $E189 &amp; ")",IF(SUMPRODUCT(-- ISNUMBER(SEARCH({"Content","Currency","Number","Percent","Text","URL"}, $B189))) &gt; 0,$B189 &amp; "(" &amp; $C189 &amp; ")",$B189)))), "  ", TRIM(IF($S189 = "YES", "(External ID)", "") &amp; " " &amp; IF(SUMPRODUCT(-- ISNUMBER(SEARCH({"Unique","Unique Case Insensitive"}, $R189))) &gt; 0, "(" &amp; $R189 &amp; ")", ""))))</f>
        <v>na</v>
      </c>
      <c r="E189" s="7" t="s">
        <v>195</v>
      </c>
      <c r="F189" s="7" t="s">
        <v>195</v>
      </c>
      <c r="G189" s="7" t="s">
        <v>195</v>
      </c>
      <c r="H189" s="7" t="s">
        <v>195</v>
      </c>
      <c r="I189" s="7" t="s">
        <v>195</v>
      </c>
      <c r="J189" s="7" t="s">
        <v>195</v>
      </c>
      <c r="K189" s="7" t="s">
        <v>195</v>
      </c>
      <c r="L189" s="7" t="s">
        <v>195</v>
      </c>
      <c r="M189" s="7" t="s">
        <v>29</v>
      </c>
      <c r="N189" s="7" t="s">
        <v>29</v>
      </c>
      <c r="O189" s="7" t="s">
        <v>29</v>
      </c>
      <c r="P189" s="7" t="s">
        <v>29</v>
      </c>
      <c r="Q189" s="7" t="s">
        <v>29</v>
      </c>
      <c r="R189" s="7" t="s">
        <v>29</v>
      </c>
      <c r="S189" s="7" t="s">
        <v>29</v>
      </c>
    </row>
    <row r="190" spans="2:19">
      <c r="B190" s="7" t="s">
        <v>195</v>
      </c>
      <c r="C190" s="8" t="s">
        <v>195</v>
      </c>
      <c r="D190" s="6" t="str">
        <f>LRTRIM(CONCATENATE(IF(SUMPRODUCT(-- ISNUMBER(SEARCH({"Auto Number"}, $B190))) &gt; 0, $B190, IF(SUMPRODUCT(-- ISNUMBER(SEARCH({"Lookup","Master-Detail"}, $B190))) &gt; 0,$B190 &amp; "(" &amp; $E190 &amp; ")",IF(SUMPRODUCT(-- ISNUMBER(SEARCH({"Formula","Roll-Up Summary"}, $B190))) &gt; 0,$B190 &amp; " (" &amp; $E190 &amp; ")",IF(SUMPRODUCT(-- ISNUMBER(SEARCH({"Content","Currency","Number","Percent","Text","URL"}, $B190))) &gt; 0,$B190 &amp; "(" &amp; $C190 &amp; ")",$B190)))), "  ", TRIM(IF($S190 = "YES", "(External ID)", "") &amp; " " &amp; IF(SUMPRODUCT(-- ISNUMBER(SEARCH({"Unique","Unique Case Insensitive"}, $R190))) &gt; 0, "(" &amp; $R190 &amp; ")", ""))))</f>
        <v>na</v>
      </c>
      <c r="E190" s="7" t="s">
        <v>195</v>
      </c>
      <c r="F190" s="7" t="s">
        <v>195</v>
      </c>
      <c r="G190" s="7" t="s">
        <v>195</v>
      </c>
      <c r="H190" s="7" t="s">
        <v>195</v>
      </c>
      <c r="I190" s="7" t="s">
        <v>195</v>
      </c>
      <c r="J190" s="7" t="s">
        <v>195</v>
      </c>
      <c r="K190" s="7" t="s">
        <v>195</v>
      </c>
      <c r="L190" s="7" t="s">
        <v>195</v>
      </c>
      <c r="M190" s="7" t="s">
        <v>29</v>
      </c>
      <c r="N190" s="7" t="s">
        <v>29</v>
      </c>
      <c r="O190" s="7" t="s">
        <v>29</v>
      </c>
      <c r="P190" s="7" t="s">
        <v>29</v>
      </c>
      <c r="Q190" s="7" t="s">
        <v>29</v>
      </c>
      <c r="R190" s="7" t="s">
        <v>29</v>
      </c>
      <c r="S190" s="7" t="s">
        <v>29</v>
      </c>
    </row>
    <row r="191" spans="2:19">
      <c r="B191" s="7" t="s">
        <v>195</v>
      </c>
      <c r="C191" s="8" t="s">
        <v>195</v>
      </c>
      <c r="D191" s="6" t="str">
        <f>LRTRIM(CONCATENATE(IF(SUMPRODUCT(-- ISNUMBER(SEARCH({"Auto Number"}, $B191))) &gt; 0, $B191, IF(SUMPRODUCT(-- ISNUMBER(SEARCH({"Lookup","Master-Detail"}, $B191))) &gt; 0,$B191 &amp; "(" &amp; $E191 &amp; ")",IF(SUMPRODUCT(-- ISNUMBER(SEARCH({"Formula","Roll-Up Summary"}, $B191))) &gt; 0,$B191 &amp; " (" &amp; $E191 &amp; ")",IF(SUMPRODUCT(-- ISNUMBER(SEARCH({"Content","Currency","Number","Percent","Text","URL"}, $B191))) &gt; 0,$B191 &amp; "(" &amp; $C191 &amp; ")",$B191)))), "  ", TRIM(IF($S191 = "YES", "(External ID)", "") &amp; " " &amp; IF(SUMPRODUCT(-- ISNUMBER(SEARCH({"Unique","Unique Case Insensitive"}, $R191))) &gt; 0, "(" &amp; $R191 &amp; ")", ""))))</f>
        <v>na</v>
      </c>
      <c r="E191" s="7" t="s">
        <v>195</v>
      </c>
      <c r="F191" s="7" t="s">
        <v>195</v>
      </c>
      <c r="G191" s="7" t="s">
        <v>195</v>
      </c>
      <c r="H191" s="7" t="s">
        <v>195</v>
      </c>
      <c r="I191" s="7" t="s">
        <v>195</v>
      </c>
      <c r="J191" s="7" t="s">
        <v>195</v>
      </c>
      <c r="K191" s="7" t="s">
        <v>195</v>
      </c>
      <c r="L191" s="7" t="s">
        <v>195</v>
      </c>
      <c r="M191" s="7" t="s">
        <v>29</v>
      </c>
      <c r="N191" s="7" t="s">
        <v>29</v>
      </c>
      <c r="O191" s="7" t="s">
        <v>29</v>
      </c>
      <c r="P191" s="7" t="s">
        <v>29</v>
      </c>
      <c r="Q191" s="7" t="s">
        <v>29</v>
      </c>
      <c r="R191" s="7" t="s">
        <v>29</v>
      </c>
      <c r="S191" s="7" t="s">
        <v>29</v>
      </c>
    </row>
    <row r="192" spans="2:19">
      <c r="B192" s="7" t="s">
        <v>195</v>
      </c>
      <c r="C192" s="8" t="s">
        <v>195</v>
      </c>
      <c r="D192" s="6" t="str">
        <f>LRTRIM(CONCATENATE(IF(SUMPRODUCT(-- ISNUMBER(SEARCH({"Auto Number"}, $B192))) &gt; 0, $B192, IF(SUMPRODUCT(-- ISNUMBER(SEARCH({"Lookup","Master-Detail"}, $B192))) &gt; 0,$B192 &amp; "(" &amp; $E192 &amp; ")",IF(SUMPRODUCT(-- ISNUMBER(SEARCH({"Formula","Roll-Up Summary"}, $B192))) &gt; 0,$B192 &amp; " (" &amp; $E192 &amp; ")",IF(SUMPRODUCT(-- ISNUMBER(SEARCH({"Content","Currency","Number","Percent","Text","URL"}, $B192))) &gt; 0,$B192 &amp; "(" &amp; $C192 &amp; ")",$B192)))), "  ", TRIM(IF($S192 = "YES", "(External ID)", "") &amp; " " &amp; IF(SUMPRODUCT(-- ISNUMBER(SEARCH({"Unique","Unique Case Insensitive"}, $R192))) &gt; 0, "(" &amp; $R192 &amp; ")", ""))))</f>
        <v>na</v>
      </c>
      <c r="E192" s="7" t="s">
        <v>195</v>
      </c>
      <c r="F192" s="7" t="s">
        <v>195</v>
      </c>
      <c r="G192" s="7" t="s">
        <v>195</v>
      </c>
      <c r="H192" s="7" t="s">
        <v>195</v>
      </c>
      <c r="I192" s="7" t="s">
        <v>195</v>
      </c>
      <c r="J192" s="7" t="s">
        <v>195</v>
      </c>
      <c r="K192" s="7" t="s">
        <v>195</v>
      </c>
      <c r="L192" s="7" t="s">
        <v>195</v>
      </c>
      <c r="M192" s="7" t="s">
        <v>29</v>
      </c>
      <c r="N192" s="7" t="s">
        <v>29</v>
      </c>
      <c r="O192" s="7" t="s">
        <v>29</v>
      </c>
      <c r="P192" s="7" t="s">
        <v>29</v>
      </c>
      <c r="Q192" s="7" t="s">
        <v>29</v>
      </c>
      <c r="R192" s="7" t="s">
        <v>29</v>
      </c>
      <c r="S192" s="7" t="s">
        <v>29</v>
      </c>
    </row>
    <row r="193" spans="2:19">
      <c r="B193" s="7" t="s">
        <v>195</v>
      </c>
      <c r="C193" s="8" t="s">
        <v>195</v>
      </c>
      <c r="D193" s="6" t="str">
        <f>LRTRIM(CONCATENATE(IF(SUMPRODUCT(-- ISNUMBER(SEARCH({"Auto Number"}, $B193))) &gt; 0, $B193, IF(SUMPRODUCT(-- ISNUMBER(SEARCH({"Lookup","Master-Detail"}, $B193))) &gt; 0,$B193 &amp; "(" &amp; $E193 &amp; ")",IF(SUMPRODUCT(-- ISNUMBER(SEARCH({"Formula","Roll-Up Summary"}, $B193))) &gt; 0,$B193 &amp; " (" &amp; $E193 &amp; ")",IF(SUMPRODUCT(-- ISNUMBER(SEARCH({"Content","Currency","Number","Percent","Text","URL"}, $B193))) &gt; 0,$B193 &amp; "(" &amp; $C193 &amp; ")",$B193)))), "  ", TRIM(IF($S193 = "YES", "(External ID)", "") &amp; " " &amp; IF(SUMPRODUCT(-- ISNUMBER(SEARCH({"Unique","Unique Case Insensitive"}, $R193))) &gt; 0, "(" &amp; $R193 &amp; ")", ""))))</f>
        <v>na</v>
      </c>
      <c r="E193" s="7" t="s">
        <v>195</v>
      </c>
      <c r="F193" s="7" t="s">
        <v>195</v>
      </c>
      <c r="G193" s="7" t="s">
        <v>195</v>
      </c>
      <c r="H193" s="7" t="s">
        <v>195</v>
      </c>
      <c r="I193" s="7" t="s">
        <v>195</v>
      </c>
      <c r="J193" s="7" t="s">
        <v>195</v>
      </c>
      <c r="K193" s="7" t="s">
        <v>195</v>
      </c>
      <c r="L193" s="7" t="s">
        <v>195</v>
      </c>
      <c r="M193" s="7" t="s">
        <v>29</v>
      </c>
      <c r="N193" s="7" t="s">
        <v>29</v>
      </c>
      <c r="O193" s="7" t="s">
        <v>29</v>
      </c>
      <c r="P193" s="7" t="s">
        <v>29</v>
      </c>
      <c r="Q193" s="7" t="s">
        <v>29</v>
      </c>
      <c r="R193" s="7" t="s">
        <v>29</v>
      </c>
      <c r="S193" s="7" t="s">
        <v>29</v>
      </c>
    </row>
    <row r="194" spans="2:19">
      <c r="B194" s="7" t="s">
        <v>195</v>
      </c>
      <c r="C194" s="8" t="s">
        <v>195</v>
      </c>
      <c r="D194" s="6" t="str">
        <f>LRTRIM(CONCATENATE(IF(SUMPRODUCT(-- ISNUMBER(SEARCH({"Auto Number"}, $B194))) &gt; 0, $B194, IF(SUMPRODUCT(-- ISNUMBER(SEARCH({"Lookup","Master-Detail"}, $B194))) &gt; 0,$B194 &amp; "(" &amp; $E194 &amp; ")",IF(SUMPRODUCT(-- ISNUMBER(SEARCH({"Formula","Roll-Up Summary"}, $B194))) &gt; 0,$B194 &amp; " (" &amp; $E194 &amp; ")",IF(SUMPRODUCT(-- ISNUMBER(SEARCH({"Content","Currency","Number","Percent","Text","URL"}, $B194))) &gt; 0,$B194 &amp; "(" &amp; $C194 &amp; ")",$B194)))), "  ", TRIM(IF($S194 = "YES", "(External ID)", "") &amp; " " &amp; IF(SUMPRODUCT(-- ISNUMBER(SEARCH({"Unique","Unique Case Insensitive"}, $R194))) &gt; 0, "(" &amp; $R194 &amp; ")", ""))))</f>
        <v>na</v>
      </c>
      <c r="E194" s="7" t="s">
        <v>195</v>
      </c>
      <c r="F194" s="7" t="s">
        <v>195</v>
      </c>
      <c r="G194" s="7" t="s">
        <v>195</v>
      </c>
      <c r="H194" s="7" t="s">
        <v>195</v>
      </c>
      <c r="I194" s="7" t="s">
        <v>195</v>
      </c>
      <c r="J194" s="7" t="s">
        <v>195</v>
      </c>
      <c r="K194" s="7" t="s">
        <v>195</v>
      </c>
      <c r="L194" s="7" t="s">
        <v>195</v>
      </c>
      <c r="M194" s="7" t="s">
        <v>29</v>
      </c>
      <c r="N194" s="7" t="s">
        <v>29</v>
      </c>
      <c r="O194" s="7" t="s">
        <v>29</v>
      </c>
      <c r="P194" s="7" t="s">
        <v>29</v>
      </c>
      <c r="Q194" s="7" t="s">
        <v>29</v>
      </c>
      <c r="R194" s="7" t="s">
        <v>29</v>
      </c>
      <c r="S194" s="7" t="s">
        <v>29</v>
      </c>
    </row>
    <row r="195" spans="2:19">
      <c r="B195" s="7" t="s">
        <v>195</v>
      </c>
      <c r="C195" s="8" t="s">
        <v>195</v>
      </c>
      <c r="D195" s="6" t="str">
        <f>LRTRIM(CONCATENATE(IF(SUMPRODUCT(-- ISNUMBER(SEARCH({"Auto Number"}, $B195))) &gt; 0, $B195, IF(SUMPRODUCT(-- ISNUMBER(SEARCH({"Lookup","Master-Detail"}, $B195))) &gt; 0,$B195 &amp; "(" &amp; $E195 &amp; ")",IF(SUMPRODUCT(-- ISNUMBER(SEARCH({"Formula","Roll-Up Summary"}, $B195))) &gt; 0,$B195 &amp; " (" &amp; $E195 &amp; ")",IF(SUMPRODUCT(-- ISNUMBER(SEARCH({"Content","Currency","Number","Percent","Text","URL"}, $B195))) &gt; 0,$B195 &amp; "(" &amp; $C195 &amp; ")",$B195)))), "  ", TRIM(IF($S195 = "YES", "(External ID)", "") &amp; " " &amp; IF(SUMPRODUCT(-- ISNUMBER(SEARCH({"Unique","Unique Case Insensitive"}, $R195))) &gt; 0, "(" &amp; $R195 &amp; ")", ""))))</f>
        <v>na</v>
      </c>
      <c r="E195" s="7" t="s">
        <v>195</v>
      </c>
      <c r="F195" s="7" t="s">
        <v>195</v>
      </c>
      <c r="G195" s="7" t="s">
        <v>195</v>
      </c>
      <c r="H195" s="7" t="s">
        <v>195</v>
      </c>
      <c r="I195" s="7" t="s">
        <v>195</v>
      </c>
      <c r="J195" s="7" t="s">
        <v>195</v>
      </c>
      <c r="K195" s="7" t="s">
        <v>195</v>
      </c>
      <c r="L195" s="7" t="s">
        <v>195</v>
      </c>
      <c r="M195" s="7" t="s">
        <v>29</v>
      </c>
      <c r="N195" s="7" t="s">
        <v>29</v>
      </c>
      <c r="O195" s="7" t="s">
        <v>29</v>
      </c>
      <c r="P195" s="7" t="s">
        <v>29</v>
      </c>
      <c r="Q195" s="7" t="s">
        <v>29</v>
      </c>
      <c r="R195" s="7" t="s">
        <v>29</v>
      </c>
      <c r="S195" s="7" t="s">
        <v>29</v>
      </c>
    </row>
    <row r="196" spans="2:19">
      <c r="B196" s="7" t="s">
        <v>195</v>
      </c>
      <c r="C196" s="8" t="s">
        <v>195</v>
      </c>
      <c r="D196" s="6" t="str">
        <f>LRTRIM(CONCATENATE(IF(SUMPRODUCT(-- ISNUMBER(SEARCH({"Auto Number"}, $B196))) &gt; 0, $B196, IF(SUMPRODUCT(-- ISNUMBER(SEARCH({"Lookup","Master-Detail"}, $B196))) &gt; 0,$B196 &amp; "(" &amp; $E196 &amp; ")",IF(SUMPRODUCT(-- ISNUMBER(SEARCH({"Formula","Roll-Up Summary"}, $B196))) &gt; 0,$B196 &amp; " (" &amp; $E196 &amp; ")",IF(SUMPRODUCT(-- ISNUMBER(SEARCH({"Content","Currency","Number","Percent","Text","URL"}, $B196))) &gt; 0,$B196 &amp; "(" &amp; $C196 &amp; ")",$B196)))), "  ", TRIM(IF($S196 = "YES", "(External ID)", "") &amp; " " &amp; IF(SUMPRODUCT(-- ISNUMBER(SEARCH({"Unique","Unique Case Insensitive"}, $R196))) &gt; 0, "(" &amp; $R196 &amp; ")", ""))))</f>
        <v>na</v>
      </c>
      <c r="E196" s="7" t="s">
        <v>195</v>
      </c>
      <c r="F196" s="7" t="s">
        <v>195</v>
      </c>
      <c r="G196" s="7" t="s">
        <v>195</v>
      </c>
      <c r="H196" s="7" t="s">
        <v>195</v>
      </c>
      <c r="I196" s="7" t="s">
        <v>195</v>
      </c>
      <c r="J196" s="7" t="s">
        <v>195</v>
      </c>
      <c r="K196" s="7" t="s">
        <v>195</v>
      </c>
      <c r="L196" s="7" t="s">
        <v>195</v>
      </c>
      <c r="M196" s="7" t="s">
        <v>29</v>
      </c>
      <c r="N196" s="7" t="s">
        <v>29</v>
      </c>
      <c r="O196" s="7" t="s">
        <v>29</v>
      </c>
      <c r="P196" s="7" t="s">
        <v>29</v>
      </c>
      <c r="Q196" s="7" t="s">
        <v>29</v>
      </c>
      <c r="R196" s="7" t="s">
        <v>29</v>
      </c>
      <c r="S196" s="7" t="s">
        <v>29</v>
      </c>
    </row>
    <row r="197" spans="2:19">
      <c r="B197" s="7" t="s">
        <v>195</v>
      </c>
      <c r="C197" s="8" t="s">
        <v>195</v>
      </c>
      <c r="D197" s="6" t="str">
        <f>LRTRIM(CONCATENATE(IF(SUMPRODUCT(-- ISNUMBER(SEARCH({"Auto Number"}, $B197))) &gt; 0, $B197, IF(SUMPRODUCT(-- ISNUMBER(SEARCH({"Lookup","Master-Detail"}, $B197))) &gt; 0,$B197 &amp; "(" &amp; $E197 &amp; ")",IF(SUMPRODUCT(-- ISNUMBER(SEARCH({"Formula","Roll-Up Summary"}, $B197))) &gt; 0,$B197 &amp; " (" &amp; $E197 &amp; ")",IF(SUMPRODUCT(-- ISNUMBER(SEARCH({"Content","Currency","Number","Percent","Text","URL"}, $B197))) &gt; 0,$B197 &amp; "(" &amp; $C197 &amp; ")",$B197)))), "  ", TRIM(IF($S197 = "YES", "(External ID)", "") &amp; " " &amp; IF(SUMPRODUCT(-- ISNUMBER(SEARCH({"Unique","Unique Case Insensitive"}, $R197))) &gt; 0, "(" &amp; $R197 &amp; ")", ""))))</f>
        <v>na</v>
      </c>
      <c r="E197" s="7" t="s">
        <v>195</v>
      </c>
      <c r="F197" s="7" t="s">
        <v>195</v>
      </c>
      <c r="G197" s="7" t="s">
        <v>195</v>
      </c>
      <c r="H197" s="7" t="s">
        <v>195</v>
      </c>
      <c r="I197" s="7" t="s">
        <v>195</v>
      </c>
      <c r="J197" s="7" t="s">
        <v>195</v>
      </c>
      <c r="K197" s="7" t="s">
        <v>195</v>
      </c>
      <c r="L197" s="7" t="s">
        <v>195</v>
      </c>
      <c r="M197" s="7" t="s">
        <v>29</v>
      </c>
      <c r="N197" s="7" t="s">
        <v>29</v>
      </c>
      <c r="O197" s="7" t="s">
        <v>29</v>
      </c>
      <c r="P197" s="7" t="s">
        <v>29</v>
      </c>
      <c r="Q197" s="7" t="s">
        <v>29</v>
      </c>
      <c r="R197" s="7" t="s">
        <v>29</v>
      </c>
      <c r="S197" s="7" t="s">
        <v>29</v>
      </c>
    </row>
    <row r="198" spans="2:19">
      <c r="B198" s="7" t="s">
        <v>195</v>
      </c>
      <c r="C198" s="8" t="s">
        <v>195</v>
      </c>
      <c r="D198" s="6" t="str">
        <f>LRTRIM(CONCATENATE(IF(SUMPRODUCT(-- ISNUMBER(SEARCH({"Auto Number"}, $B198))) &gt; 0, $B198, IF(SUMPRODUCT(-- ISNUMBER(SEARCH({"Lookup","Master-Detail"}, $B198))) &gt; 0,$B198 &amp; "(" &amp; $E198 &amp; ")",IF(SUMPRODUCT(-- ISNUMBER(SEARCH({"Formula","Roll-Up Summary"}, $B198))) &gt; 0,$B198 &amp; " (" &amp; $E198 &amp; ")",IF(SUMPRODUCT(-- ISNUMBER(SEARCH({"Content","Currency","Number","Percent","Text","URL"}, $B198))) &gt; 0,$B198 &amp; "(" &amp; $C198 &amp; ")",$B198)))), "  ", TRIM(IF($S198 = "YES", "(External ID)", "") &amp; " " &amp; IF(SUMPRODUCT(-- ISNUMBER(SEARCH({"Unique","Unique Case Insensitive"}, $R198))) &gt; 0, "(" &amp; $R198 &amp; ")", ""))))</f>
        <v>na</v>
      </c>
      <c r="E198" s="7" t="s">
        <v>195</v>
      </c>
      <c r="F198" s="7" t="s">
        <v>195</v>
      </c>
      <c r="G198" s="7" t="s">
        <v>195</v>
      </c>
      <c r="H198" s="7" t="s">
        <v>195</v>
      </c>
      <c r="I198" s="7" t="s">
        <v>195</v>
      </c>
      <c r="J198" s="7" t="s">
        <v>195</v>
      </c>
      <c r="K198" s="7" t="s">
        <v>195</v>
      </c>
      <c r="L198" s="7" t="s">
        <v>195</v>
      </c>
      <c r="M198" s="7" t="s">
        <v>29</v>
      </c>
      <c r="N198" s="7" t="s">
        <v>29</v>
      </c>
      <c r="O198" s="7" t="s">
        <v>29</v>
      </c>
      <c r="P198" s="7" t="s">
        <v>29</v>
      </c>
      <c r="Q198" s="7" t="s">
        <v>29</v>
      </c>
      <c r="R198" s="7" t="s">
        <v>29</v>
      </c>
      <c r="S198" s="7" t="s">
        <v>29</v>
      </c>
    </row>
    <row r="199" spans="2:19">
      <c r="B199" s="7" t="s">
        <v>195</v>
      </c>
      <c r="C199" s="8" t="s">
        <v>195</v>
      </c>
      <c r="D199" s="6" t="str">
        <f>LRTRIM(CONCATENATE(IF(SUMPRODUCT(-- ISNUMBER(SEARCH({"Auto Number"}, $B199))) &gt; 0, $B199, IF(SUMPRODUCT(-- ISNUMBER(SEARCH({"Lookup","Master-Detail"}, $B199))) &gt; 0,$B199 &amp; "(" &amp; $E199 &amp; ")",IF(SUMPRODUCT(-- ISNUMBER(SEARCH({"Formula","Roll-Up Summary"}, $B199))) &gt; 0,$B199 &amp; " (" &amp; $E199 &amp; ")",IF(SUMPRODUCT(-- ISNUMBER(SEARCH({"Content","Currency","Number","Percent","Text","URL"}, $B199))) &gt; 0,$B199 &amp; "(" &amp; $C199 &amp; ")",$B199)))), "  ", TRIM(IF($S199 = "YES", "(External ID)", "") &amp; " " &amp; IF(SUMPRODUCT(-- ISNUMBER(SEARCH({"Unique","Unique Case Insensitive"}, $R199))) &gt; 0, "(" &amp; $R199 &amp; ")", ""))))</f>
        <v>na</v>
      </c>
      <c r="E199" s="7" t="s">
        <v>195</v>
      </c>
      <c r="F199" s="7" t="s">
        <v>195</v>
      </c>
      <c r="G199" s="7" t="s">
        <v>195</v>
      </c>
      <c r="H199" s="7" t="s">
        <v>195</v>
      </c>
      <c r="I199" s="7" t="s">
        <v>195</v>
      </c>
      <c r="J199" s="7" t="s">
        <v>195</v>
      </c>
      <c r="K199" s="7" t="s">
        <v>195</v>
      </c>
      <c r="L199" s="7" t="s">
        <v>195</v>
      </c>
      <c r="M199" s="7" t="s">
        <v>29</v>
      </c>
      <c r="N199" s="7" t="s">
        <v>29</v>
      </c>
      <c r="O199" s="7" t="s">
        <v>29</v>
      </c>
      <c r="P199" s="7" t="s">
        <v>29</v>
      </c>
      <c r="Q199" s="7" t="s">
        <v>29</v>
      </c>
      <c r="R199" s="7" t="s">
        <v>29</v>
      </c>
      <c r="S199" s="7" t="s">
        <v>29</v>
      </c>
    </row>
    <row r="200" spans="2:19">
      <c r="B200" s="7" t="s">
        <v>195</v>
      </c>
      <c r="C200" s="8" t="s">
        <v>195</v>
      </c>
      <c r="D200" s="6" t="str">
        <f>LRTRIM(CONCATENATE(IF(SUMPRODUCT(-- ISNUMBER(SEARCH({"Auto Number"}, $B200))) &gt; 0, $B200, IF(SUMPRODUCT(-- ISNUMBER(SEARCH({"Lookup","Master-Detail"}, $B200))) &gt; 0,$B200 &amp; "(" &amp; $E200 &amp; ")",IF(SUMPRODUCT(-- ISNUMBER(SEARCH({"Formula","Roll-Up Summary"}, $B200))) &gt; 0,$B200 &amp; " (" &amp; $E200 &amp; ")",IF(SUMPRODUCT(-- ISNUMBER(SEARCH({"Content","Currency","Number","Percent","Text","URL"}, $B200))) &gt; 0,$B200 &amp; "(" &amp; $C200 &amp; ")",$B200)))), "  ", TRIM(IF($S200 = "YES", "(External ID)", "") &amp; " " &amp; IF(SUMPRODUCT(-- ISNUMBER(SEARCH({"Unique","Unique Case Insensitive"}, $R200))) &gt; 0, "(" &amp; $R200 &amp; ")", ""))))</f>
        <v>na</v>
      </c>
      <c r="E200" s="7" t="s">
        <v>195</v>
      </c>
      <c r="F200" s="7" t="s">
        <v>195</v>
      </c>
      <c r="G200" s="7" t="s">
        <v>195</v>
      </c>
      <c r="H200" s="7" t="s">
        <v>195</v>
      </c>
      <c r="I200" s="7" t="s">
        <v>195</v>
      </c>
      <c r="J200" s="7" t="s">
        <v>195</v>
      </c>
      <c r="K200" s="7" t="s">
        <v>195</v>
      </c>
      <c r="L200" s="7" t="s">
        <v>195</v>
      </c>
      <c r="M200" s="7" t="s">
        <v>29</v>
      </c>
      <c r="N200" s="7" t="s">
        <v>29</v>
      </c>
      <c r="O200" s="7" t="s">
        <v>29</v>
      </c>
      <c r="P200" s="7" t="s">
        <v>29</v>
      </c>
      <c r="Q200" s="7" t="s">
        <v>29</v>
      </c>
      <c r="R200" s="7" t="s">
        <v>29</v>
      </c>
      <c r="S200" s="7" t="s">
        <v>29</v>
      </c>
    </row>
  </sheetData>
  <sheetProtection formatCells="0" formatColumns="0" formatRows="0" insertColumns="0" insertRows="0" insertHyperlinks="0" deleteColumns="0" deleteRows="0" sort="0" autoFilter="0" pivotTables="0"/>
  <conditionalFormatting sqref="D2:D22">
    <cfRule type="expression" dxfId="21" priority="3">
      <formula>NOT(_xlfn.ISFORMULA($D2))</formula>
    </cfRule>
  </conditionalFormatting>
  <conditionalFormatting sqref="D23">
    <cfRule type="expression" dxfId="20" priority="2">
      <formula>NOT(_xlfn.ISFORMULA($D23))</formula>
    </cfRule>
  </conditionalFormatting>
  <conditionalFormatting sqref="D24:D200">
    <cfRule type="expression" dxfId="19" priority="1">
      <formula>NOT(_xlfn.ISFORMULA($D24))</formula>
    </cfRule>
  </conditionalFormatting>
  <dataValidations count="1">
    <dataValidation allowBlank="1" showInputMessage="1" showErrorMessage="1" sqref="A2:A22"/>
  </dataValidations>
  <pageMargins left="0.7" right="0.7" top="0.75" bottom="0.75" header="0.3" footer="0.3"/>
  <extLst>
    <ext xmlns:x14="http://schemas.microsoft.com/office/spreadsheetml/2009/9/main" uri="{CCE6A557-97BC-4b89-ADB6-D9C93CAAB3DF}">
      <x14:dataValidations xmlns:xm="http://schemas.microsoft.com/office/excel/2006/main" count="15">
        <x14:dataValidation type="list" allowBlank="1" showInputMessage="1" showErrorMessage="1">
          <x14:formula1>
            <xm:f>OFFSET('Reference Fields'!$J$2,0,0,COUNTA('Reference Fields'!$J:$J)-1)</xm:f>
          </x14:formula1>
          <xm:sqref>P2:P200</xm:sqref>
        </x14:dataValidation>
        <x14:dataValidation type="list" allowBlank="1" showInputMessage="1" showErrorMessage="1">
          <x14:formula1>
            <xm:f>OFFSET('Reference Fields'!$J$2,0,0,COUNTA('Reference Fields'!$J:$J)-1)</xm:f>
          </x14:formula1>
          <xm:sqref>M2:M200</xm:sqref>
        </x14:dataValidation>
        <x14:dataValidation type="list" allowBlank="1" showInputMessage="1" showErrorMessage="1">
          <x14:formula1>
            <xm:f>OFFSET('Reference Fields'!$J$2,0,0,COUNTA('Reference Fields'!$J:$J)-1)</xm:f>
          </x14:formula1>
          <xm:sqref>N2:N200</xm:sqref>
        </x14:dataValidation>
        <x14:dataValidation type="list" allowBlank="1" showInputMessage="1" showErrorMessage="1">
          <x14:formula1>
            <xm:f>OFFSET('Reference Fields'!$J$2,0,0,COUNTA('Reference Fields'!$J:$J)-1)</xm:f>
          </x14:formula1>
          <xm:sqref>O2:O200</xm:sqref>
        </x14:dataValidation>
        <x14:dataValidation type="list" allowBlank="1" showInputMessage="1" showErrorMessage="1">
          <x14:formula1>
            <xm:f>OFFSET('Reference Fields'!$J$2,0,0,COUNTA('Reference Fields'!$J:$J)-1)</xm:f>
          </x14:formula1>
          <xm:sqref>Q2:Q200</xm:sqref>
        </x14:dataValidation>
        <x14:dataValidation type="list" allowBlank="1" showInputMessage="1" showErrorMessage="1">
          <x14:formula1>
            <xm:f>OFFSET('Reference Fields'!$J$2,0,0,COUNTA('Reference Fields'!$J:$J)-1)</xm:f>
          </x14:formula1>
          <xm:sqref>S2:S200</xm:sqref>
        </x14:dataValidation>
        <x14:dataValidation type="list" allowBlank="1" showInputMessage="1" showErrorMessage="1">
          <x14:formula1>
            <xm:f>OFFSET('Reference Fields'!$K$2,0,0,COUNTA('Reference Fields'!$K:$K)-1)</xm:f>
          </x14:formula1>
          <xm:sqref>R2:R200</xm:sqref>
        </x14:dataValidation>
        <x14:dataValidation type="list" allowBlank="1" showInputMessage="1" showErrorMessage="1">
          <x14:formula1>
            <xm:f>OFFSET('Reference Fields'!$B$2,0,0,COUNTA('Reference Fields'!$B:$B)-1)</xm:f>
          </x14:formula1>
          <xm:sqref>B2:B200</xm:sqref>
        </x14:dataValidation>
        <x14:dataValidation type="list" allowBlank="1" showInputMessage="1" showErrorMessage="1">
          <x14:formula1>
            <xm:f>OFFSET('Reference Fields'!$D$2,0,0,COUNTA('Reference Fields'!$D:$D)-1)</xm:f>
          </x14:formula1>
          <xm:sqref>F2:F200</xm:sqref>
        </x14:dataValidation>
        <x14:dataValidation type="list" allowBlank="1" showInputMessage="1" showErrorMessage="1">
          <x14:formula1>
            <xm:f>OFFSET('Reference Fields'!$E$2,0,0,COUNTA('Reference Fields'!$E:$E)-1)</xm:f>
          </x14:formula1>
          <xm:sqref>G2:G200</xm:sqref>
        </x14:dataValidation>
        <x14:dataValidation type="list" allowBlank="1" showInputMessage="1" showErrorMessage="1">
          <x14:formula1>
            <xm:f>OFFSET('Reference Fields'!$F$2,0,0,COUNTA('Reference Fields'!$F:$F)-1)</xm:f>
          </x14:formula1>
          <xm:sqref>H2:H200</xm:sqref>
        </x14:dataValidation>
        <x14:dataValidation type="list" allowBlank="1" showInputMessage="1" showErrorMessage="1">
          <x14:formula1>
            <xm:f>OFFSET('Reference Fields'!$F$2,0,0,COUNTA('Reference Fields'!$F:$F)-1)</xm:f>
          </x14:formula1>
          <xm:sqref>I2:I200</xm:sqref>
        </x14:dataValidation>
        <x14:dataValidation type="list" allowBlank="1" showInputMessage="1" showErrorMessage="1">
          <x14:formula1>
            <xm:f>OFFSET('Reference Fields'!$G$2,0,0,COUNTA('Reference Fields'!$G:$G)-1)</xm:f>
          </x14:formula1>
          <xm:sqref>J2:J200</xm:sqref>
        </x14:dataValidation>
        <x14:dataValidation type="list" allowBlank="1" showInputMessage="1" showErrorMessage="1">
          <x14:formula1>
            <xm:f>OFFSET('Reference Fields'!$H$2,0,0,COUNTA('Reference Fields'!$H:$H)-1)</xm:f>
          </x14:formula1>
          <xm:sqref>K2:K200</xm:sqref>
        </x14:dataValidation>
        <x14:dataValidation type="list" allowBlank="1" showInputMessage="1" showErrorMessage="1">
          <x14:formula1>
            <xm:f>OFFSET('Reference Fields'!$I$2,0,0,COUNTA('Reference Fields'!$I:$I)-1)</xm:f>
          </x14:formula1>
          <xm:sqref>L2:L200</xm:sqref>
        </x14:dataValidation>
      </x14:dataValidations>
    </ext>
  </extLst>
</worksheet>
</file>

<file path=xl/worksheets/sheet34.xml><?xml version="1.0" encoding="utf-8"?>
<worksheet xmlns="http://schemas.openxmlformats.org/spreadsheetml/2006/main" xmlns:r="http://schemas.openxmlformats.org/officeDocument/2006/relationships">
  <sheetPr codeName="Sheet37"/>
  <dimension ref="A1:S200"/>
  <sheetViews>
    <sheetView workbookViewId="0">
      <selection activeCell="A2" sqref="A2"/>
    </sheetView>
  </sheetViews>
  <sheetFormatPr defaultRowHeight="14.5"/>
  <cols>
    <col min="1" max="1" width="23.90625" bestFit="1" customWidth="1"/>
  </cols>
  <sheetData>
    <row r="1" spans="1:19">
      <c r="A1" s="1" t="s">
        <v>2</v>
      </c>
      <c r="B1" s="1" t="s">
        <v>1198</v>
      </c>
      <c r="C1" s="1" t="s">
        <v>1199</v>
      </c>
      <c r="D1" s="1" t="s">
        <v>0</v>
      </c>
      <c r="E1" s="1" t="s">
        <v>1</v>
      </c>
      <c r="F1" s="1" t="s">
        <v>30</v>
      </c>
      <c r="G1" s="1" t="s">
        <v>31</v>
      </c>
      <c r="H1" s="1" t="s">
        <v>1262</v>
      </c>
      <c r="I1" s="1" t="s">
        <v>49</v>
      </c>
      <c r="J1" s="1" t="s">
        <v>48</v>
      </c>
      <c r="K1" s="1" t="s">
        <v>54</v>
      </c>
      <c r="L1" s="1" t="s">
        <v>55</v>
      </c>
      <c r="M1" s="1" t="s">
        <v>27</v>
      </c>
      <c r="N1" s="1" t="s">
        <v>175</v>
      </c>
      <c r="O1" s="1" t="s">
        <v>193</v>
      </c>
      <c r="P1" s="1" t="s">
        <v>1221</v>
      </c>
      <c r="Q1" s="1" t="s">
        <v>1264</v>
      </c>
      <c r="R1" s="1" t="s">
        <v>1263</v>
      </c>
      <c r="S1" s="1" t="s">
        <v>1265</v>
      </c>
    </row>
    <row r="2" spans="1:19">
      <c r="A2" s="7" t="s">
        <v>9</v>
      </c>
      <c r="B2" s="7" t="s">
        <v>1218</v>
      </c>
      <c r="C2" s="8">
        <v>50</v>
      </c>
      <c r="D2" s="6" t="str">
        <f>LRTRIM(CONCATENATE(IF(SUMPRODUCT(-- ISNUMBER(SEARCH({"Auto Number"}, $B2))) &gt; 0, $B2, IF(SUMPRODUCT(-- ISNUMBER(SEARCH({"Lookup","Master-Detail"}, $B2))) &gt; 0,$B2 &amp; "(" &amp; $E2 &amp; ")",IF(SUMPRODUCT(-- ISNUMBER(SEARCH({"Formula","Roll-Up Summary"}, $B2))) &gt; 0,$B2 &amp; " (" &amp; $E2 &amp; ")",IF(SUMPRODUCT(-- ISNUMBER(SEARCH({"Content","Currency","Number","Percent","Text","URL"}, $B2))) &gt; 0,$B2 &amp; "(" &amp; $C2 &amp; ")",$B2)))), "  ", TRIM(IF($S2 = "YES", "(External ID)", "") &amp; " " &amp; IF(SUMPRODUCT(-- ISNUMBER(SEARCH({"Unique","Unique Case Insensitive"}, $R2))) &gt; 0, "(" &amp; $R2 &amp; ")", ""))))</f>
        <v>Text(50)</v>
      </c>
      <c r="E2" s="7" t="s">
        <v>195</v>
      </c>
      <c r="F2" s="7" t="s">
        <v>554</v>
      </c>
      <c r="G2" s="7" t="s">
        <v>195</v>
      </c>
      <c r="H2" s="7" t="s">
        <v>195</v>
      </c>
      <c r="I2" s="7" t="s">
        <v>195</v>
      </c>
      <c r="J2" s="7" t="s">
        <v>195</v>
      </c>
      <c r="K2" s="7" t="s">
        <v>195</v>
      </c>
      <c r="L2" s="7" t="s">
        <v>195</v>
      </c>
      <c r="M2" s="7" t="s">
        <v>29</v>
      </c>
      <c r="N2" s="7" t="s">
        <v>29</v>
      </c>
      <c r="O2" s="7" t="s">
        <v>29</v>
      </c>
      <c r="P2" s="7" t="s">
        <v>29</v>
      </c>
      <c r="Q2" s="7" t="s">
        <v>29</v>
      </c>
      <c r="R2" s="7" t="s">
        <v>29</v>
      </c>
      <c r="S2" s="7" t="s">
        <v>29</v>
      </c>
    </row>
    <row r="3" spans="1:19">
      <c r="A3" s="7" t="s">
        <v>11</v>
      </c>
      <c r="B3" s="7" t="s">
        <v>1218</v>
      </c>
      <c r="C3" s="8">
        <v>200</v>
      </c>
      <c r="D3" s="6" t="str">
        <f>LRTRIM(CONCATENATE(IF(SUMPRODUCT(-- ISNUMBER(SEARCH({"Auto Number"}, $B3))) &gt; 0, $B3, IF(SUMPRODUCT(-- ISNUMBER(SEARCH({"Lookup","Master-Detail"}, $B3))) &gt; 0,$B3 &amp; "(" &amp; $E3 &amp; ")",IF(SUMPRODUCT(-- ISNUMBER(SEARCH({"Formula","Roll-Up Summary"}, $B3))) &gt; 0,$B3 &amp; " (" &amp; $E3 &amp; ")",IF(SUMPRODUCT(-- ISNUMBER(SEARCH({"Content","Currency","Number","Percent","Text","URL"}, $B3))) &gt; 0,$B3 &amp; "(" &amp; $C3 &amp; ")",$B3)))), "  ", TRIM(IF($S3 = "YES", "(External ID)", "") &amp; " " &amp; IF(SUMPRODUCT(-- ISNUMBER(SEARCH({"Unique","Unique Case Insensitive"}, $R3))) &gt; 0, "(" &amp; $R3 &amp; ")", ""))))</f>
        <v>Text(200)</v>
      </c>
      <c r="E3" s="7" t="s">
        <v>195</v>
      </c>
      <c r="F3" s="7" t="s">
        <v>555</v>
      </c>
      <c r="G3" s="7" t="s">
        <v>195</v>
      </c>
      <c r="H3" s="7" t="s">
        <v>195</v>
      </c>
      <c r="I3" s="7" t="s">
        <v>195</v>
      </c>
      <c r="J3" s="7" t="s">
        <v>195</v>
      </c>
      <c r="K3" s="7" t="s">
        <v>195</v>
      </c>
      <c r="L3" s="7" t="s">
        <v>195</v>
      </c>
      <c r="M3" s="7" t="s">
        <v>29</v>
      </c>
      <c r="N3" s="7" t="s">
        <v>29</v>
      </c>
      <c r="O3" s="7" t="s">
        <v>29</v>
      </c>
      <c r="P3" s="7" t="s">
        <v>29</v>
      </c>
      <c r="Q3" s="7" t="s">
        <v>29</v>
      </c>
      <c r="R3" s="7" t="s">
        <v>29</v>
      </c>
      <c r="S3" s="7" t="s">
        <v>29</v>
      </c>
    </row>
    <row r="4" spans="1:19">
      <c r="A4" s="7" t="s">
        <v>13</v>
      </c>
      <c r="B4" s="7" t="s">
        <v>1218</v>
      </c>
      <c r="C4" s="8">
        <v>10</v>
      </c>
      <c r="D4" s="6" t="str">
        <f>LRTRIM(CONCATENATE(IF(SUMPRODUCT(-- ISNUMBER(SEARCH({"Auto Number"}, $B4))) &gt; 0, $B4, IF(SUMPRODUCT(-- ISNUMBER(SEARCH({"Lookup","Master-Detail"}, $B4))) &gt; 0,$B4 &amp; "(" &amp; $E4 &amp; ")",IF(SUMPRODUCT(-- ISNUMBER(SEARCH({"Formula","Roll-Up Summary"}, $B4))) &gt; 0,$B4 &amp; " (" &amp; $E4 &amp; ")",IF(SUMPRODUCT(-- ISNUMBER(SEARCH({"Content","Currency","Number","Percent","Text","URL"}, $B4))) &gt; 0,$B4 &amp; "(" &amp; $C4 &amp; ")",$B4)))), "  ", TRIM(IF($S4 = "YES", "(External ID)", "") &amp; " " &amp; IF(SUMPRODUCT(-- ISNUMBER(SEARCH({"Unique","Unique Case Insensitive"}, $R4))) &gt; 0, "(" &amp; $R4 &amp; ")", ""))))</f>
        <v>Text(10)</v>
      </c>
      <c r="E4" s="7" t="s">
        <v>195</v>
      </c>
      <c r="F4" s="7" t="s">
        <v>160</v>
      </c>
      <c r="G4" s="7" t="s">
        <v>195</v>
      </c>
      <c r="H4" s="7" t="s">
        <v>195</v>
      </c>
      <c r="I4" s="7" t="s">
        <v>195</v>
      </c>
      <c r="J4" s="7" t="s">
        <v>195</v>
      </c>
      <c r="K4" s="7" t="s">
        <v>195</v>
      </c>
      <c r="L4" s="7" t="s">
        <v>195</v>
      </c>
      <c r="M4" s="7" t="s">
        <v>29</v>
      </c>
      <c r="N4" s="7" t="s">
        <v>29</v>
      </c>
      <c r="O4" s="7" t="s">
        <v>29</v>
      </c>
      <c r="P4" s="7" t="s">
        <v>29</v>
      </c>
      <c r="Q4" s="7" t="s">
        <v>29</v>
      </c>
      <c r="R4" s="7" t="s">
        <v>29</v>
      </c>
      <c r="S4" s="7" t="s">
        <v>29</v>
      </c>
    </row>
    <row r="5" spans="1:19">
      <c r="A5" s="7" t="s">
        <v>14</v>
      </c>
      <c r="B5" s="7" t="s">
        <v>1204</v>
      </c>
      <c r="C5" s="8">
        <v>0</v>
      </c>
      <c r="D5" s="6" t="str">
        <f>LRTRIM(CONCATENATE(IF(SUMPRODUCT(-- ISNUMBER(SEARCH({"Auto Number"}, $B5))) &gt; 0, $B5, IF(SUMPRODUCT(-- ISNUMBER(SEARCH({"Lookup","Master-Detail"}, $B5))) &gt; 0,$B5 &amp; "(" &amp; $E5 &amp; ")",IF(SUMPRODUCT(-- ISNUMBER(SEARCH({"Formula","Roll-Up Summary"}, $B5))) &gt; 0,$B5 &amp; " (" &amp; $E5 &amp; ")",IF(SUMPRODUCT(-- ISNUMBER(SEARCH({"Content","Currency","Number","Percent","Text","URL"}, $B5))) &gt; 0,$B5 &amp; "(" &amp; $C5 &amp; ")",$B5)))), "  ", TRIM(IF($S5 = "YES", "(External ID)", "") &amp; " " &amp; IF(SUMPRODUCT(-- ISNUMBER(SEARCH({"Unique","Unique Case Insensitive"}, $R5))) &gt; 0, "(" &amp; $R5 &amp; ")", ""))))</f>
        <v>Checkbox</v>
      </c>
      <c r="E5" s="7" t="s">
        <v>195</v>
      </c>
      <c r="F5" s="7" t="s">
        <v>25</v>
      </c>
      <c r="G5" s="7" t="s">
        <v>195</v>
      </c>
      <c r="H5" s="7" t="s">
        <v>195</v>
      </c>
      <c r="I5" s="7" t="s">
        <v>195</v>
      </c>
      <c r="J5" s="7" t="s">
        <v>195</v>
      </c>
      <c r="K5" s="7" t="s">
        <v>195</v>
      </c>
      <c r="L5" s="7" t="s">
        <v>195</v>
      </c>
      <c r="M5" s="7" t="s">
        <v>28</v>
      </c>
      <c r="N5" s="7" t="s">
        <v>29</v>
      </c>
      <c r="O5" s="7" t="s">
        <v>29</v>
      </c>
      <c r="P5" s="7" t="s">
        <v>29</v>
      </c>
      <c r="Q5" s="7" t="s">
        <v>29</v>
      </c>
      <c r="R5" s="7" t="s">
        <v>29</v>
      </c>
      <c r="S5" s="7" t="s">
        <v>29</v>
      </c>
    </row>
    <row r="6" spans="1:19">
      <c r="A6" s="7" t="s">
        <v>87</v>
      </c>
      <c r="B6" s="7" t="s">
        <v>1211</v>
      </c>
      <c r="C6" s="8">
        <v>0</v>
      </c>
      <c r="D6" s="6" t="str">
        <f>LRTRIM(CONCATENATE(IF(SUMPRODUCT(-- ISNUMBER(SEARCH({"Auto Number"}, $B6))) &gt; 0, $B6, IF(SUMPRODUCT(-- ISNUMBER(SEARCH({"Lookup","Master-Detail"}, $B6))) &gt; 0,$B6 &amp; "(" &amp; $E6 &amp; ")",IF(SUMPRODUCT(-- ISNUMBER(SEARCH({"Formula","Roll-Up Summary"}, $B6))) &gt; 0,$B6 &amp; " (" &amp; $E6 &amp; ")",IF(SUMPRODUCT(-- ISNUMBER(SEARCH({"Content","Currency","Number","Percent","Text","URL"}, $B6))) &gt; 0,$B6 &amp; "(" &amp; $C6 &amp; ")",$B6)))), "  ", TRIM(IF($S6 = "YES", "(External ID)", "") &amp; " " &amp; IF(SUMPRODUCT(-- ISNUMBER(SEARCH({"Unique","Unique Case Insensitive"}, $R6))) &gt; 0, "(" &amp; $R6 &amp; ")", ""))))</f>
        <v>Lookup(User,Group)</v>
      </c>
      <c r="E6" s="7" t="s">
        <v>1290</v>
      </c>
      <c r="F6" s="7" t="s">
        <v>195</v>
      </c>
      <c r="G6" s="7" t="s">
        <v>195</v>
      </c>
      <c r="H6" s="7" t="s">
        <v>195</v>
      </c>
      <c r="I6" s="7" t="s">
        <v>195</v>
      </c>
      <c r="J6" s="7" t="s">
        <v>195</v>
      </c>
      <c r="K6" s="7" t="s">
        <v>195</v>
      </c>
      <c r="L6" s="7" t="s">
        <v>195</v>
      </c>
      <c r="M6" s="7" t="s">
        <v>29</v>
      </c>
      <c r="N6" s="7" t="s">
        <v>29</v>
      </c>
      <c r="O6" s="7" t="s">
        <v>29</v>
      </c>
      <c r="P6" s="7" t="s">
        <v>29</v>
      </c>
      <c r="Q6" s="7" t="s">
        <v>29</v>
      </c>
      <c r="R6" s="7" t="s">
        <v>29</v>
      </c>
      <c r="S6" s="7" t="s">
        <v>29</v>
      </c>
    </row>
    <row r="7" spans="1:19">
      <c r="A7" s="7" t="s">
        <v>1700</v>
      </c>
      <c r="B7" s="7" t="s">
        <v>1213</v>
      </c>
      <c r="C7" s="8" t="s">
        <v>1381</v>
      </c>
      <c r="D7" s="6" t="str">
        <f>LRTRIM(CONCATENATE(IF(SUMPRODUCT(-- ISNUMBER(SEARCH({"Auto Number"}, $B7))) &gt; 0, $B7, IF(SUMPRODUCT(-- ISNUMBER(SEARCH({"Lookup","Master-Detail"}, $B7))) &gt; 0,$B7 &amp; "(" &amp; $E7 &amp; ")",IF(SUMPRODUCT(-- ISNUMBER(SEARCH({"Formula","Roll-Up Summary"}, $B7))) &gt; 0,$B7 &amp; " (" &amp; $E7 &amp; ")",IF(SUMPRODUCT(-- ISNUMBER(SEARCH({"Content","Currency","Number","Percent","Text","URL"}, $B7))) &gt; 0,$B7 &amp; "(" &amp; $C7 &amp; ")",$B7)))), "  ", TRIM(IF($S7 = "YES", "(External ID)", "") &amp; " " &amp; IF(SUMPRODUCT(-- ISNUMBER(SEARCH({"Unique","Unique Case Insensitive"}, $R7))) &gt; 0, "(" &amp; $R7 &amp; ")", ""))))</f>
        <v>Number(4, 0)</v>
      </c>
      <c r="E7" s="7" t="s">
        <v>195</v>
      </c>
      <c r="F7" s="7" t="s">
        <v>1723</v>
      </c>
      <c r="G7" s="7" t="s">
        <v>1721</v>
      </c>
      <c r="H7" s="7" t="s">
        <v>195</v>
      </c>
      <c r="I7" s="7" t="s">
        <v>195</v>
      </c>
      <c r="J7" s="7" t="s">
        <v>195</v>
      </c>
      <c r="K7" s="7" t="s">
        <v>195</v>
      </c>
      <c r="L7" s="7" t="s">
        <v>195</v>
      </c>
      <c r="M7" s="7" t="s">
        <v>29</v>
      </c>
      <c r="N7" s="7" t="s">
        <v>29</v>
      </c>
      <c r="O7" s="7" t="s">
        <v>29</v>
      </c>
      <c r="P7" s="7" t="s">
        <v>29</v>
      </c>
      <c r="Q7" s="7" t="s">
        <v>29</v>
      </c>
      <c r="R7" s="7" t="s">
        <v>29</v>
      </c>
      <c r="S7" s="7" t="s">
        <v>29</v>
      </c>
    </row>
    <row r="8" spans="1:19">
      <c r="A8" s="7" t="s">
        <v>1701</v>
      </c>
      <c r="B8" s="7" t="s">
        <v>1213</v>
      </c>
      <c r="C8" s="8" t="s">
        <v>1251</v>
      </c>
      <c r="D8" s="6" t="str">
        <f>LRTRIM(CONCATENATE(IF(SUMPRODUCT(-- ISNUMBER(SEARCH({"Auto Number"}, $B8))) &gt; 0, $B8, IF(SUMPRODUCT(-- ISNUMBER(SEARCH({"Lookup","Master-Detail"}, $B8))) &gt; 0,$B8 &amp; "(" &amp; $E8 &amp; ")",IF(SUMPRODUCT(-- ISNUMBER(SEARCH({"Formula","Roll-Up Summary"}, $B8))) &gt; 0,$B8 &amp; " (" &amp; $E8 &amp; ")",IF(SUMPRODUCT(-- ISNUMBER(SEARCH({"Content","Currency","Number","Percent","Text","URL"}, $B8))) &gt; 0,$B8 &amp; "(" &amp; $C8 &amp; ")",$B8)))), "  ", TRIM(IF($S8 = "YES", "(External ID)", "") &amp; " " &amp; IF(SUMPRODUCT(-- ISNUMBER(SEARCH({"Unique","Unique Case Insensitive"}, $R8))) &gt; 0, "(" &amp; $R8 &amp; ")", ""))))</f>
        <v>Number(2, 0)</v>
      </c>
      <c r="E8" s="7" t="s">
        <v>195</v>
      </c>
      <c r="F8" s="7" t="s">
        <v>1724</v>
      </c>
      <c r="G8" s="7" t="s">
        <v>1722</v>
      </c>
      <c r="H8" s="7" t="s">
        <v>195</v>
      </c>
      <c r="I8" s="7" t="s">
        <v>195</v>
      </c>
      <c r="J8" s="7" t="s">
        <v>195</v>
      </c>
      <c r="K8" s="7" t="s">
        <v>195</v>
      </c>
      <c r="L8" s="7" t="s">
        <v>195</v>
      </c>
      <c r="M8" s="7" t="s">
        <v>29</v>
      </c>
      <c r="N8" s="7" t="s">
        <v>29</v>
      </c>
      <c r="O8" s="7" t="s">
        <v>29</v>
      </c>
      <c r="P8" s="7" t="s">
        <v>29</v>
      </c>
      <c r="Q8" s="7" t="s">
        <v>29</v>
      </c>
      <c r="R8" s="7" t="s">
        <v>29</v>
      </c>
      <c r="S8" s="7" t="s">
        <v>29</v>
      </c>
    </row>
    <row r="9" spans="1:19">
      <c r="A9" s="7" t="s">
        <v>666</v>
      </c>
      <c r="B9" s="7" t="s">
        <v>1206</v>
      </c>
      <c r="C9" s="8" t="s">
        <v>1726</v>
      </c>
      <c r="D9" s="6" t="str">
        <f>LRTRIM(CONCATENATE(IF(SUMPRODUCT(-- ISNUMBER(SEARCH({"Auto Number"}, $B9))) &gt; 0, $B9, IF(SUMPRODUCT(-- ISNUMBER(SEARCH({"Lookup","Master-Detail"}, $B9))) &gt; 0,$B9 &amp; "(" &amp; $E9 &amp; ")",IF(SUMPRODUCT(-- ISNUMBER(SEARCH({"Formula","Roll-Up Summary"}, $B9))) &gt; 0,$B9 &amp; " (" &amp; $E9 &amp; ")",IF(SUMPRODUCT(-- ISNUMBER(SEARCH({"Content","Currency","Number","Percent","Text","URL"}, $B9))) &gt; 0,$B9 &amp; "(" &amp; $C9 &amp; ")",$B9)))), "  ", TRIM(IF($S9 = "YES", "(External ID)", "") &amp; " " &amp; IF(SUMPRODUCT(-- ISNUMBER(SEARCH({"Unique","Unique Case Insensitive"}, $R9))) &gt; 0, "(" &amp; $R9 &amp; ")", ""))))</f>
        <v>Currency(9, 0)</v>
      </c>
      <c r="E9" s="7" t="s">
        <v>195</v>
      </c>
      <c r="F9" s="7" t="s">
        <v>715</v>
      </c>
      <c r="G9" s="7" t="s">
        <v>195</v>
      </c>
      <c r="H9" s="7" t="s">
        <v>195</v>
      </c>
      <c r="I9" s="7" t="s">
        <v>195</v>
      </c>
      <c r="J9" s="7" t="s">
        <v>195</v>
      </c>
      <c r="K9" s="7" t="s">
        <v>195</v>
      </c>
      <c r="L9" s="7" t="s">
        <v>195</v>
      </c>
      <c r="M9" s="7" t="s">
        <v>29</v>
      </c>
      <c r="N9" s="7" t="s">
        <v>29</v>
      </c>
      <c r="O9" s="7" t="s">
        <v>29</v>
      </c>
      <c r="P9" s="7" t="s">
        <v>29</v>
      </c>
      <c r="Q9" s="7" t="s">
        <v>29</v>
      </c>
      <c r="R9" s="7" t="s">
        <v>29</v>
      </c>
      <c r="S9" s="7" t="s">
        <v>29</v>
      </c>
    </row>
    <row r="10" spans="1:19">
      <c r="A10" s="7" t="s">
        <v>1704</v>
      </c>
      <c r="B10" s="7" t="s">
        <v>1206</v>
      </c>
      <c r="C10" s="8" t="s">
        <v>1726</v>
      </c>
      <c r="D10" s="6" t="str">
        <f>LRTRIM(CONCATENATE(IF(SUMPRODUCT(-- ISNUMBER(SEARCH({"Auto Number"}, $B10))) &gt; 0, $B10, IF(SUMPRODUCT(-- ISNUMBER(SEARCH({"Lookup","Master-Detail"}, $B10))) &gt; 0,$B10 &amp; "(" &amp; $E10 &amp; ")",IF(SUMPRODUCT(-- ISNUMBER(SEARCH({"Formula","Roll-Up Summary"}, $B10))) &gt; 0,$B10 &amp; " (" &amp; $E10 &amp; ")",IF(SUMPRODUCT(-- ISNUMBER(SEARCH({"Content","Currency","Number","Percent","Text","URL"}, $B10))) &gt; 0,$B10 &amp; "(" &amp; $C10 &amp; ")",$B10)))), "  ", TRIM(IF($S10 = "YES", "(External ID)", "") &amp; " " &amp; IF(SUMPRODUCT(-- ISNUMBER(SEARCH({"Unique","Unique Case Insensitive"}, $R10))) &gt; 0, "(" &amp; $R10 &amp; ")", ""))))</f>
        <v>Currency(9, 0)</v>
      </c>
      <c r="E10" s="7" t="s">
        <v>195</v>
      </c>
      <c r="F10" s="7" t="s">
        <v>1712</v>
      </c>
      <c r="G10" s="7" t="s">
        <v>195</v>
      </c>
      <c r="H10" s="7" t="s">
        <v>195</v>
      </c>
      <c r="I10" s="7" t="s">
        <v>195</v>
      </c>
      <c r="J10" s="7" t="s">
        <v>195</v>
      </c>
      <c r="K10" s="7" t="s">
        <v>195</v>
      </c>
      <c r="L10" s="7" t="s">
        <v>195</v>
      </c>
      <c r="M10" s="7" t="s">
        <v>29</v>
      </c>
      <c r="N10" s="7" t="s">
        <v>29</v>
      </c>
      <c r="O10" s="7" t="s">
        <v>29</v>
      </c>
      <c r="P10" s="7" t="s">
        <v>29</v>
      </c>
      <c r="Q10" s="7" t="s">
        <v>29</v>
      </c>
      <c r="R10" s="7" t="s">
        <v>29</v>
      </c>
      <c r="S10" s="7" t="s">
        <v>29</v>
      </c>
    </row>
    <row r="11" spans="1:19">
      <c r="A11" s="7" t="s">
        <v>1705</v>
      </c>
      <c r="B11" s="7" t="s">
        <v>1206</v>
      </c>
      <c r="C11" s="8" t="s">
        <v>1726</v>
      </c>
      <c r="D11" s="6" t="str">
        <f>LRTRIM(CONCATENATE(IF(SUMPRODUCT(-- ISNUMBER(SEARCH({"Auto Number"}, $B11))) &gt; 0, $B11, IF(SUMPRODUCT(-- ISNUMBER(SEARCH({"Lookup","Master-Detail"}, $B11))) &gt; 0,$B11 &amp; "(" &amp; $E11 &amp; ")",IF(SUMPRODUCT(-- ISNUMBER(SEARCH({"Formula","Roll-Up Summary"}, $B11))) &gt; 0,$B11 &amp; " (" &amp; $E11 &amp; ")",IF(SUMPRODUCT(-- ISNUMBER(SEARCH({"Content","Currency","Number","Percent","Text","URL"}, $B11))) &gt; 0,$B11 &amp; "(" &amp; $C11 &amp; ")",$B11)))), "  ", TRIM(IF($S11 = "YES", "(External ID)", "") &amp; " " &amp; IF(SUMPRODUCT(-- ISNUMBER(SEARCH({"Unique","Unique Case Insensitive"}, $R11))) &gt; 0, "(" &amp; $R11 &amp; ")", ""))))</f>
        <v>Currency(9, 0)</v>
      </c>
      <c r="E11" s="7" t="s">
        <v>195</v>
      </c>
      <c r="F11" s="7" t="s">
        <v>1713</v>
      </c>
      <c r="G11" s="7" t="s">
        <v>1720</v>
      </c>
      <c r="H11" s="7" t="s">
        <v>195</v>
      </c>
      <c r="I11" s="7" t="s">
        <v>195</v>
      </c>
      <c r="J11" s="7" t="s">
        <v>195</v>
      </c>
      <c r="K11" s="7" t="s">
        <v>195</v>
      </c>
      <c r="L11" s="7" t="s">
        <v>195</v>
      </c>
      <c r="M11" s="7" t="s">
        <v>29</v>
      </c>
      <c r="N11" s="7" t="s">
        <v>29</v>
      </c>
      <c r="O11" s="7" t="s">
        <v>29</v>
      </c>
      <c r="P11" s="7" t="s">
        <v>29</v>
      </c>
      <c r="Q11" s="7" t="s">
        <v>29</v>
      </c>
      <c r="R11" s="7" t="s">
        <v>29</v>
      </c>
      <c r="S11" s="7" t="s">
        <v>29</v>
      </c>
    </row>
    <row r="12" spans="1:19">
      <c r="A12" s="7" t="s">
        <v>1081</v>
      </c>
      <c r="B12" s="7" t="s">
        <v>1213</v>
      </c>
      <c r="C12" s="8" t="s">
        <v>1250</v>
      </c>
      <c r="D12" s="6" t="str">
        <f>LRTRIM(CONCATENATE(IF(SUMPRODUCT(-- ISNUMBER(SEARCH({"Auto Number"}, $B12))) &gt; 0, $B12, IF(SUMPRODUCT(-- ISNUMBER(SEARCH({"Lookup","Master-Detail"}, $B12))) &gt; 0,$B12 &amp; "(" &amp; $E12 &amp; ")",IF(SUMPRODUCT(-- ISNUMBER(SEARCH({"Formula","Roll-Up Summary"}, $B12))) &gt; 0,$B12 &amp; " (" &amp; $E12 &amp; ")",IF(SUMPRODUCT(-- ISNUMBER(SEARCH({"Content","Currency","Number","Percent","Text","URL"}, $B12))) &gt; 0,$B12 &amp; "(" &amp; $C12 &amp; ")",$B12)))), "  ", TRIM(IF($S12 = "YES", "(External ID)", "") &amp; " " &amp; IF(SUMPRODUCT(-- ISNUMBER(SEARCH({"Unique","Unique Case Insensitive"}, $R12))) &gt; 0, "(" &amp; $R12 &amp; ")", ""))))</f>
        <v>Number(18, 0)</v>
      </c>
      <c r="E12" s="7" t="s">
        <v>195</v>
      </c>
      <c r="F12" s="7" t="s">
        <v>1130</v>
      </c>
      <c r="G12" s="7" t="s">
        <v>1175</v>
      </c>
      <c r="H12" s="7" t="s">
        <v>195</v>
      </c>
      <c r="I12" s="7" t="s">
        <v>195</v>
      </c>
      <c r="J12" s="7" t="s">
        <v>195</v>
      </c>
      <c r="K12" s="7" t="s">
        <v>195</v>
      </c>
      <c r="L12" s="7" t="s">
        <v>195</v>
      </c>
      <c r="M12" s="7" t="s">
        <v>29</v>
      </c>
      <c r="N12" s="7" t="s">
        <v>29</v>
      </c>
      <c r="O12" s="7" t="s">
        <v>29</v>
      </c>
      <c r="P12" s="7" t="s">
        <v>29</v>
      </c>
      <c r="Q12" s="7" t="s">
        <v>29</v>
      </c>
      <c r="R12" s="7" t="s">
        <v>29</v>
      </c>
      <c r="S12" s="7" t="s">
        <v>29</v>
      </c>
    </row>
    <row r="13" spans="1:19">
      <c r="B13" s="7" t="s">
        <v>195</v>
      </c>
      <c r="C13" s="8" t="s">
        <v>195</v>
      </c>
      <c r="D13" s="6" t="str">
        <f>LRTRIM(CONCATENATE(IF(SUMPRODUCT(-- ISNUMBER(SEARCH({"Auto Number"}, $B13))) &gt; 0, $B13, IF(SUMPRODUCT(-- ISNUMBER(SEARCH({"Lookup","Master-Detail"}, $B13))) &gt; 0,$B13 &amp; "(" &amp; $E13 &amp; ")",IF(SUMPRODUCT(-- ISNUMBER(SEARCH({"Formula","Roll-Up Summary"}, $B13))) &gt; 0,$B13 &amp; " (" &amp; $E13 &amp; ")",IF(SUMPRODUCT(-- ISNUMBER(SEARCH({"Content","Currency","Number","Percent","Text","URL"}, $B13))) &gt; 0,$B13 &amp; "(" &amp; $C13 &amp; ")",$B13)))), "  ", TRIM(IF($S13 = "YES", "(External ID)", "") &amp; " " &amp; IF(SUMPRODUCT(-- ISNUMBER(SEARCH({"Unique","Unique Case Insensitive"}, $R13))) &gt; 0, "(" &amp; $R13 &amp; ")", ""))))</f>
        <v>na</v>
      </c>
      <c r="E13" s="7" t="s">
        <v>195</v>
      </c>
      <c r="F13" s="7" t="s">
        <v>195</v>
      </c>
      <c r="G13" s="7" t="s">
        <v>195</v>
      </c>
      <c r="H13" s="7" t="s">
        <v>195</v>
      </c>
      <c r="I13" s="7" t="s">
        <v>195</v>
      </c>
      <c r="J13" s="7" t="s">
        <v>195</v>
      </c>
      <c r="K13" s="7" t="s">
        <v>195</v>
      </c>
      <c r="L13" s="7" t="s">
        <v>195</v>
      </c>
      <c r="M13" s="7" t="s">
        <v>29</v>
      </c>
      <c r="N13" s="7" t="s">
        <v>29</v>
      </c>
      <c r="O13" s="7" t="s">
        <v>29</v>
      </c>
      <c r="P13" s="7" t="s">
        <v>29</v>
      </c>
      <c r="Q13" s="7" t="s">
        <v>29</v>
      </c>
      <c r="R13" s="7" t="s">
        <v>29</v>
      </c>
      <c r="S13" s="7" t="s">
        <v>29</v>
      </c>
    </row>
    <row r="14" spans="1:19">
      <c r="B14" s="7" t="s">
        <v>195</v>
      </c>
      <c r="C14" s="8" t="s">
        <v>195</v>
      </c>
      <c r="D14" s="6" t="str">
        <f>LRTRIM(CONCATENATE(IF(SUMPRODUCT(-- ISNUMBER(SEARCH({"Auto Number"}, $B14))) &gt; 0, $B14, IF(SUMPRODUCT(-- ISNUMBER(SEARCH({"Lookup","Master-Detail"}, $B14))) &gt; 0,$B14 &amp; "(" &amp; $E14 &amp; ")",IF(SUMPRODUCT(-- ISNUMBER(SEARCH({"Formula","Roll-Up Summary"}, $B14))) &gt; 0,$B14 &amp; " (" &amp; $E14 &amp; ")",IF(SUMPRODUCT(-- ISNUMBER(SEARCH({"Content","Currency","Number","Percent","Text","URL"}, $B14))) &gt; 0,$B14 &amp; "(" &amp; $C14 &amp; ")",$B14)))), "  ", TRIM(IF($S14 = "YES", "(External ID)", "") &amp; " " &amp; IF(SUMPRODUCT(-- ISNUMBER(SEARCH({"Unique","Unique Case Insensitive"}, $R14))) &gt; 0, "(" &amp; $R14 &amp; ")", ""))))</f>
        <v>na</v>
      </c>
      <c r="E14" s="7" t="s">
        <v>195</v>
      </c>
      <c r="F14" s="7" t="s">
        <v>195</v>
      </c>
      <c r="G14" s="7" t="s">
        <v>195</v>
      </c>
      <c r="H14" s="7" t="s">
        <v>195</v>
      </c>
      <c r="I14" s="7" t="s">
        <v>195</v>
      </c>
      <c r="J14" s="7" t="s">
        <v>195</v>
      </c>
      <c r="K14" s="7" t="s">
        <v>195</v>
      </c>
      <c r="L14" s="7" t="s">
        <v>195</v>
      </c>
      <c r="M14" s="7" t="s">
        <v>29</v>
      </c>
      <c r="N14" s="7" t="s">
        <v>29</v>
      </c>
      <c r="O14" s="7" t="s">
        <v>29</v>
      </c>
      <c r="P14" s="7" t="s">
        <v>29</v>
      </c>
      <c r="Q14" s="7" t="s">
        <v>29</v>
      </c>
      <c r="R14" s="7" t="s">
        <v>29</v>
      </c>
      <c r="S14" s="7" t="s">
        <v>29</v>
      </c>
    </row>
    <row r="15" spans="1:19">
      <c r="B15" s="7" t="s">
        <v>195</v>
      </c>
      <c r="C15" s="8" t="s">
        <v>195</v>
      </c>
      <c r="D15" s="6" t="str">
        <f>LRTRIM(CONCATENATE(IF(SUMPRODUCT(-- ISNUMBER(SEARCH({"Auto Number"}, $B15))) &gt; 0, $B15, IF(SUMPRODUCT(-- ISNUMBER(SEARCH({"Lookup","Master-Detail"}, $B15))) &gt; 0,$B15 &amp; "(" &amp; $E15 &amp; ")",IF(SUMPRODUCT(-- ISNUMBER(SEARCH({"Formula","Roll-Up Summary"}, $B15))) &gt; 0,$B15 &amp; " (" &amp; $E15 &amp; ")",IF(SUMPRODUCT(-- ISNUMBER(SEARCH({"Content","Currency","Number","Percent","Text","URL"}, $B15))) &gt; 0,$B15 &amp; "(" &amp; $C15 &amp; ")",$B15)))), "  ", TRIM(IF($S15 = "YES", "(External ID)", "") &amp; " " &amp; IF(SUMPRODUCT(-- ISNUMBER(SEARCH({"Unique","Unique Case Insensitive"}, $R15))) &gt; 0, "(" &amp; $R15 &amp; ")", ""))))</f>
        <v>na</v>
      </c>
      <c r="E15" s="7" t="s">
        <v>195</v>
      </c>
      <c r="F15" s="7" t="s">
        <v>195</v>
      </c>
      <c r="G15" s="7" t="s">
        <v>195</v>
      </c>
      <c r="H15" s="7" t="s">
        <v>195</v>
      </c>
      <c r="I15" s="7" t="s">
        <v>195</v>
      </c>
      <c r="J15" s="7" t="s">
        <v>195</v>
      </c>
      <c r="K15" s="7" t="s">
        <v>195</v>
      </c>
      <c r="L15" s="7" t="s">
        <v>195</v>
      </c>
      <c r="M15" s="7" t="s">
        <v>29</v>
      </c>
      <c r="N15" s="7" t="s">
        <v>29</v>
      </c>
      <c r="O15" s="7" t="s">
        <v>29</v>
      </c>
      <c r="P15" s="7" t="s">
        <v>29</v>
      </c>
      <c r="Q15" s="7" t="s">
        <v>29</v>
      </c>
      <c r="R15" s="7" t="s">
        <v>29</v>
      </c>
      <c r="S15" s="7" t="s">
        <v>29</v>
      </c>
    </row>
    <row r="16" spans="1:19">
      <c r="B16" s="7" t="s">
        <v>195</v>
      </c>
      <c r="C16" s="8" t="s">
        <v>195</v>
      </c>
      <c r="D16" s="6" t="str">
        <f>LRTRIM(CONCATENATE(IF(SUMPRODUCT(-- ISNUMBER(SEARCH({"Auto Number"}, $B16))) &gt; 0, $B16, IF(SUMPRODUCT(-- ISNUMBER(SEARCH({"Lookup","Master-Detail"}, $B16))) &gt; 0,$B16 &amp; "(" &amp; $E16 &amp; ")",IF(SUMPRODUCT(-- ISNUMBER(SEARCH({"Formula","Roll-Up Summary"}, $B16))) &gt; 0,$B16 &amp; " (" &amp; $E16 &amp; ")",IF(SUMPRODUCT(-- ISNUMBER(SEARCH({"Content","Currency","Number","Percent","Text","URL"}, $B16))) &gt; 0,$B16 &amp; "(" &amp; $C16 &amp; ")",$B16)))), "  ", TRIM(IF($S16 = "YES", "(External ID)", "") &amp; " " &amp; IF(SUMPRODUCT(-- ISNUMBER(SEARCH({"Unique","Unique Case Insensitive"}, $R16))) &gt; 0, "(" &amp; $R16 &amp; ")", ""))))</f>
        <v>na</v>
      </c>
      <c r="E16" s="7" t="s">
        <v>195</v>
      </c>
      <c r="F16" s="7" t="s">
        <v>195</v>
      </c>
      <c r="G16" s="7" t="s">
        <v>195</v>
      </c>
      <c r="H16" s="7" t="s">
        <v>195</v>
      </c>
      <c r="I16" s="7" t="s">
        <v>195</v>
      </c>
      <c r="J16" s="7" t="s">
        <v>195</v>
      </c>
      <c r="K16" s="7" t="s">
        <v>195</v>
      </c>
      <c r="L16" s="7" t="s">
        <v>195</v>
      </c>
      <c r="M16" s="7" t="s">
        <v>29</v>
      </c>
      <c r="N16" s="7" t="s">
        <v>29</v>
      </c>
      <c r="O16" s="7" t="s">
        <v>29</v>
      </c>
      <c r="P16" s="7" t="s">
        <v>29</v>
      </c>
      <c r="Q16" s="7" t="s">
        <v>29</v>
      </c>
      <c r="R16" s="7" t="s">
        <v>29</v>
      </c>
      <c r="S16" s="7" t="s">
        <v>29</v>
      </c>
    </row>
    <row r="17" spans="2:19">
      <c r="B17" s="7" t="s">
        <v>195</v>
      </c>
      <c r="C17" s="8" t="s">
        <v>195</v>
      </c>
      <c r="D17" s="6" t="str">
        <f>LRTRIM(CONCATENATE(IF(SUMPRODUCT(-- ISNUMBER(SEARCH({"Auto Number"}, $B17))) &gt; 0, $B17, IF(SUMPRODUCT(-- ISNUMBER(SEARCH({"Lookup","Master-Detail"}, $B17))) &gt; 0,$B17 &amp; "(" &amp; $E17 &amp; ")",IF(SUMPRODUCT(-- ISNUMBER(SEARCH({"Formula","Roll-Up Summary"}, $B17))) &gt; 0,$B17 &amp; " (" &amp; $E17 &amp; ")",IF(SUMPRODUCT(-- ISNUMBER(SEARCH({"Content","Currency","Number","Percent","Text","URL"}, $B17))) &gt; 0,$B17 &amp; "(" &amp; $C17 &amp; ")",$B17)))), "  ", TRIM(IF($S17 = "YES", "(External ID)", "") &amp; " " &amp; IF(SUMPRODUCT(-- ISNUMBER(SEARCH({"Unique","Unique Case Insensitive"}, $R17))) &gt; 0, "(" &amp; $R17 &amp; ")", ""))))</f>
        <v>na</v>
      </c>
      <c r="E17" s="7" t="s">
        <v>195</v>
      </c>
      <c r="F17" s="7" t="s">
        <v>195</v>
      </c>
      <c r="G17" s="7" t="s">
        <v>195</v>
      </c>
      <c r="H17" s="7" t="s">
        <v>195</v>
      </c>
      <c r="I17" s="7" t="s">
        <v>195</v>
      </c>
      <c r="J17" s="7" t="s">
        <v>195</v>
      </c>
      <c r="K17" s="7" t="s">
        <v>195</v>
      </c>
      <c r="L17" s="7" t="s">
        <v>195</v>
      </c>
      <c r="M17" s="7" t="s">
        <v>29</v>
      </c>
      <c r="N17" s="7" t="s">
        <v>29</v>
      </c>
      <c r="O17" s="7" t="s">
        <v>29</v>
      </c>
      <c r="P17" s="7" t="s">
        <v>29</v>
      </c>
      <c r="Q17" s="7" t="s">
        <v>29</v>
      </c>
      <c r="R17" s="7" t="s">
        <v>29</v>
      </c>
      <c r="S17" s="7" t="s">
        <v>29</v>
      </c>
    </row>
    <row r="18" spans="2:19">
      <c r="B18" s="7" t="s">
        <v>195</v>
      </c>
      <c r="C18" s="8" t="s">
        <v>195</v>
      </c>
      <c r="D18" s="6" t="str">
        <f>LRTRIM(CONCATENATE(IF(SUMPRODUCT(-- ISNUMBER(SEARCH({"Auto Number"}, $B18))) &gt; 0, $B18, IF(SUMPRODUCT(-- ISNUMBER(SEARCH({"Lookup","Master-Detail"}, $B18))) &gt; 0,$B18 &amp; "(" &amp; $E18 &amp; ")",IF(SUMPRODUCT(-- ISNUMBER(SEARCH({"Formula","Roll-Up Summary"}, $B18))) &gt; 0,$B18 &amp; " (" &amp; $E18 &amp; ")",IF(SUMPRODUCT(-- ISNUMBER(SEARCH({"Content","Currency","Number","Percent","Text","URL"}, $B18))) &gt; 0,$B18 &amp; "(" &amp; $C18 &amp; ")",$B18)))), "  ", TRIM(IF($S18 = "YES", "(External ID)", "") &amp; " " &amp; IF(SUMPRODUCT(-- ISNUMBER(SEARCH({"Unique","Unique Case Insensitive"}, $R18))) &gt; 0, "(" &amp; $R18 &amp; ")", ""))))</f>
        <v>na</v>
      </c>
      <c r="E18" s="7" t="s">
        <v>195</v>
      </c>
      <c r="F18" s="7" t="s">
        <v>195</v>
      </c>
      <c r="G18" s="7" t="s">
        <v>195</v>
      </c>
      <c r="H18" s="7" t="s">
        <v>195</v>
      </c>
      <c r="I18" s="7" t="s">
        <v>195</v>
      </c>
      <c r="J18" s="7" t="s">
        <v>195</v>
      </c>
      <c r="K18" s="7" t="s">
        <v>195</v>
      </c>
      <c r="L18" s="7" t="s">
        <v>195</v>
      </c>
      <c r="M18" s="7" t="s">
        <v>29</v>
      </c>
      <c r="N18" s="7" t="s">
        <v>29</v>
      </c>
      <c r="O18" s="7" t="s">
        <v>29</v>
      </c>
      <c r="P18" s="7" t="s">
        <v>29</v>
      </c>
      <c r="Q18" s="7" t="s">
        <v>29</v>
      </c>
      <c r="R18" s="7" t="s">
        <v>29</v>
      </c>
      <c r="S18" s="7" t="s">
        <v>29</v>
      </c>
    </row>
    <row r="19" spans="2:19">
      <c r="B19" s="7" t="s">
        <v>195</v>
      </c>
      <c r="C19" s="8" t="s">
        <v>195</v>
      </c>
      <c r="D19" s="6" t="str">
        <f>LRTRIM(CONCATENATE(IF(SUMPRODUCT(-- ISNUMBER(SEARCH({"Auto Number"}, $B19))) &gt; 0, $B19, IF(SUMPRODUCT(-- ISNUMBER(SEARCH({"Lookup","Master-Detail"}, $B19))) &gt; 0,$B19 &amp; "(" &amp; $E19 &amp; ")",IF(SUMPRODUCT(-- ISNUMBER(SEARCH({"Formula","Roll-Up Summary"}, $B19))) &gt; 0,$B19 &amp; " (" &amp; $E19 &amp; ")",IF(SUMPRODUCT(-- ISNUMBER(SEARCH({"Content","Currency","Number","Percent","Text","URL"}, $B19))) &gt; 0,$B19 &amp; "(" &amp; $C19 &amp; ")",$B19)))), "  ", TRIM(IF($S19 = "YES", "(External ID)", "") &amp; " " &amp; IF(SUMPRODUCT(-- ISNUMBER(SEARCH({"Unique","Unique Case Insensitive"}, $R19))) &gt; 0, "(" &amp; $R19 &amp; ")", ""))))</f>
        <v>na</v>
      </c>
      <c r="E19" s="7" t="s">
        <v>195</v>
      </c>
      <c r="F19" s="7" t="s">
        <v>195</v>
      </c>
      <c r="G19" s="7" t="s">
        <v>195</v>
      </c>
      <c r="H19" s="7" t="s">
        <v>195</v>
      </c>
      <c r="I19" s="7" t="s">
        <v>195</v>
      </c>
      <c r="J19" s="7" t="s">
        <v>195</v>
      </c>
      <c r="K19" s="7" t="s">
        <v>195</v>
      </c>
      <c r="L19" s="7" t="s">
        <v>195</v>
      </c>
      <c r="M19" s="7" t="s">
        <v>29</v>
      </c>
      <c r="N19" s="7" t="s">
        <v>29</v>
      </c>
      <c r="O19" s="7" t="s">
        <v>29</v>
      </c>
      <c r="P19" s="7" t="s">
        <v>29</v>
      </c>
      <c r="Q19" s="7" t="s">
        <v>29</v>
      </c>
      <c r="R19" s="7" t="s">
        <v>29</v>
      </c>
      <c r="S19" s="7" t="s">
        <v>29</v>
      </c>
    </row>
    <row r="20" spans="2:19">
      <c r="B20" s="7" t="s">
        <v>195</v>
      </c>
      <c r="C20" s="8" t="s">
        <v>195</v>
      </c>
      <c r="D20" s="6" t="str">
        <f>LRTRIM(CONCATENATE(IF(SUMPRODUCT(-- ISNUMBER(SEARCH({"Auto Number"}, $B20))) &gt; 0, $B20, IF(SUMPRODUCT(-- ISNUMBER(SEARCH({"Lookup","Master-Detail"}, $B20))) &gt; 0,$B20 &amp; "(" &amp; $E20 &amp; ")",IF(SUMPRODUCT(-- ISNUMBER(SEARCH({"Formula","Roll-Up Summary"}, $B20))) &gt; 0,$B20 &amp; " (" &amp; $E20 &amp; ")",IF(SUMPRODUCT(-- ISNUMBER(SEARCH({"Content","Currency","Number","Percent","Text","URL"}, $B20))) &gt; 0,$B20 &amp; "(" &amp; $C20 &amp; ")",$B20)))), "  ", TRIM(IF($S20 = "YES", "(External ID)", "") &amp; " " &amp; IF(SUMPRODUCT(-- ISNUMBER(SEARCH({"Unique","Unique Case Insensitive"}, $R20))) &gt; 0, "(" &amp; $R20 &amp; ")", ""))))</f>
        <v>na</v>
      </c>
      <c r="E20" s="7" t="s">
        <v>195</v>
      </c>
      <c r="F20" s="7" t="s">
        <v>195</v>
      </c>
      <c r="G20" s="7" t="s">
        <v>195</v>
      </c>
      <c r="H20" s="7" t="s">
        <v>195</v>
      </c>
      <c r="I20" s="7" t="s">
        <v>195</v>
      </c>
      <c r="J20" s="7" t="s">
        <v>195</v>
      </c>
      <c r="K20" s="7" t="s">
        <v>195</v>
      </c>
      <c r="L20" s="7" t="s">
        <v>195</v>
      </c>
      <c r="M20" s="7" t="s">
        <v>29</v>
      </c>
      <c r="N20" s="7" t="s">
        <v>29</v>
      </c>
      <c r="O20" s="7" t="s">
        <v>29</v>
      </c>
      <c r="P20" s="7" t="s">
        <v>29</v>
      </c>
      <c r="Q20" s="7" t="s">
        <v>29</v>
      </c>
      <c r="R20" s="7" t="s">
        <v>29</v>
      </c>
      <c r="S20" s="7" t="s">
        <v>29</v>
      </c>
    </row>
    <row r="21" spans="2:19">
      <c r="B21" s="7" t="s">
        <v>195</v>
      </c>
      <c r="C21" s="8" t="s">
        <v>195</v>
      </c>
      <c r="D21" s="6" t="str">
        <f>LRTRIM(CONCATENATE(IF(SUMPRODUCT(-- ISNUMBER(SEARCH({"Auto Number"}, $B21))) &gt; 0, $B21, IF(SUMPRODUCT(-- ISNUMBER(SEARCH({"Lookup","Master-Detail"}, $B21))) &gt; 0,$B21 &amp; "(" &amp; $E21 &amp; ")",IF(SUMPRODUCT(-- ISNUMBER(SEARCH({"Formula","Roll-Up Summary"}, $B21))) &gt; 0,$B21 &amp; " (" &amp; $E21 &amp; ")",IF(SUMPRODUCT(-- ISNUMBER(SEARCH({"Content","Currency","Number","Percent","Text","URL"}, $B21))) &gt; 0,$B21 &amp; "(" &amp; $C21 &amp; ")",$B21)))), "  ", TRIM(IF($S21 = "YES", "(External ID)", "") &amp; " " &amp; IF(SUMPRODUCT(-- ISNUMBER(SEARCH({"Unique","Unique Case Insensitive"}, $R21))) &gt; 0, "(" &amp; $R21 &amp; ")", ""))))</f>
        <v>na</v>
      </c>
      <c r="E21" s="7" t="s">
        <v>195</v>
      </c>
      <c r="F21" s="7" t="s">
        <v>195</v>
      </c>
      <c r="G21" s="7" t="s">
        <v>195</v>
      </c>
      <c r="H21" s="7" t="s">
        <v>195</v>
      </c>
      <c r="I21" s="7" t="s">
        <v>195</v>
      </c>
      <c r="J21" s="7" t="s">
        <v>195</v>
      </c>
      <c r="K21" s="7" t="s">
        <v>195</v>
      </c>
      <c r="L21" s="7" t="s">
        <v>195</v>
      </c>
      <c r="M21" s="7" t="s">
        <v>29</v>
      </c>
      <c r="N21" s="7" t="s">
        <v>29</v>
      </c>
      <c r="O21" s="7" t="s">
        <v>29</v>
      </c>
      <c r="P21" s="7" t="s">
        <v>29</v>
      </c>
      <c r="Q21" s="7" t="s">
        <v>29</v>
      </c>
      <c r="R21" s="7" t="s">
        <v>29</v>
      </c>
      <c r="S21" s="7" t="s">
        <v>29</v>
      </c>
    </row>
    <row r="22" spans="2:19">
      <c r="B22" s="7" t="s">
        <v>195</v>
      </c>
      <c r="C22" s="8" t="s">
        <v>195</v>
      </c>
      <c r="D22" s="6" t="str">
        <f>LRTRIM(CONCATENATE(IF(SUMPRODUCT(-- ISNUMBER(SEARCH({"Auto Number"}, $B22))) &gt; 0, $B22, IF(SUMPRODUCT(-- ISNUMBER(SEARCH({"Lookup","Master-Detail"}, $B22))) &gt; 0,$B22 &amp; "(" &amp; $E22 &amp; ")",IF(SUMPRODUCT(-- ISNUMBER(SEARCH({"Formula","Roll-Up Summary"}, $B22))) &gt; 0,$B22 &amp; " (" &amp; $E22 &amp; ")",IF(SUMPRODUCT(-- ISNUMBER(SEARCH({"Content","Currency","Number","Percent","Text","URL"}, $B22))) &gt; 0,$B22 &amp; "(" &amp; $C22 &amp; ")",$B22)))), "  ", TRIM(IF($S22 = "YES", "(External ID)", "") &amp; " " &amp; IF(SUMPRODUCT(-- ISNUMBER(SEARCH({"Unique","Unique Case Insensitive"}, $R22))) &gt; 0, "(" &amp; $R22 &amp; ")", ""))))</f>
        <v>na</v>
      </c>
      <c r="E22" s="7" t="s">
        <v>195</v>
      </c>
      <c r="F22" s="7" t="s">
        <v>195</v>
      </c>
      <c r="G22" s="7" t="s">
        <v>195</v>
      </c>
      <c r="H22" s="7" t="s">
        <v>195</v>
      </c>
      <c r="I22" s="7" t="s">
        <v>195</v>
      </c>
      <c r="J22" s="7" t="s">
        <v>195</v>
      </c>
      <c r="K22" s="7" t="s">
        <v>195</v>
      </c>
      <c r="L22" s="7" t="s">
        <v>195</v>
      </c>
      <c r="M22" s="7" t="s">
        <v>29</v>
      </c>
      <c r="N22" s="7" t="s">
        <v>29</v>
      </c>
      <c r="O22" s="7" t="s">
        <v>29</v>
      </c>
      <c r="P22" s="7" t="s">
        <v>29</v>
      </c>
      <c r="Q22" s="7" t="s">
        <v>29</v>
      </c>
      <c r="R22" s="7" t="s">
        <v>29</v>
      </c>
      <c r="S22" s="7" t="s">
        <v>29</v>
      </c>
    </row>
    <row r="23" spans="2:19">
      <c r="B23" s="7" t="s">
        <v>195</v>
      </c>
      <c r="C23" s="8" t="s">
        <v>195</v>
      </c>
      <c r="D23" s="6" t="str">
        <f>LRTRIM(CONCATENATE(IF(SUMPRODUCT(-- ISNUMBER(SEARCH({"Auto Number"}, $B23))) &gt; 0, $B23, IF(SUMPRODUCT(-- ISNUMBER(SEARCH({"Lookup","Master-Detail"}, $B23))) &gt; 0,$B23 &amp; "(" &amp; $E23 &amp; ")",IF(SUMPRODUCT(-- ISNUMBER(SEARCH({"Formula","Roll-Up Summary"}, $B23))) &gt; 0,$B23 &amp; " (" &amp; $E23 &amp; ")",IF(SUMPRODUCT(-- ISNUMBER(SEARCH({"Content","Currency","Number","Percent","Text","URL"}, $B23))) &gt; 0,$B23 &amp; "(" &amp; $C23 &amp; ")",$B23)))), "  ", TRIM(IF($S23 = "YES", "(External ID)", "") &amp; " " &amp; IF(SUMPRODUCT(-- ISNUMBER(SEARCH({"Unique","Unique Case Insensitive"}, $R23))) &gt; 0, "(" &amp; $R23 &amp; ")", ""))))</f>
        <v>na</v>
      </c>
      <c r="E23" s="7" t="s">
        <v>195</v>
      </c>
      <c r="F23" s="7" t="s">
        <v>195</v>
      </c>
      <c r="G23" s="7" t="s">
        <v>195</v>
      </c>
      <c r="H23" s="7" t="s">
        <v>195</v>
      </c>
      <c r="I23" s="7" t="s">
        <v>195</v>
      </c>
      <c r="J23" s="7" t="s">
        <v>195</v>
      </c>
      <c r="K23" s="7" t="s">
        <v>195</v>
      </c>
      <c r="L23" s="7" t="s">
        <v>195</v>
      </c>
      <c r="M23" s="7" t="s">
        <v>29</v>
      </c>
      <c r="N23" s="7" t="s">
        <v>29</v>
      </c>
      <c r="O23" s="7" t="s">
        <v>29</v>
      </c>
      <c r="P23" s="7" t="s">
        <v>29</v>
      </c>
      <c r="Q23" s="7" t="s">
        <v>29</v>
      </c>
      <c r="R23" s="7" t="s">
        <v>29</v>
      </c>
      <c r="S23" s="7" t="s">
        <v>29</v>
      </c>
    </row>
    <row r="24" spans="2:19">
      <c r="B24" s="7" t="s">
        <v>195</v>
      </c>
      <c r="C24" s="8" t="s">
        <v>195</v>
      </c>
      <c r="D24" s="6" t="str">
        <f>LRTRIM(CONCATENATE(IF(SUMPRODUCT(-- ISNUMBER(SEARCH({"Auto Number"}, $B24))) &gt; 0, $B24, IF(SUMPRODUCT(-- ISNUMBER(SEARCH({"Lookup","Master-Detail"}, $B24))) &gt; 0,$B24 &amp; "(" &amp; $E24 &amp; ")",IF(SUMPRODUCT(-- ISNUMBER(SEARCH({"Formula","Roll-Up Summary"}, $B24))) &gt; 0,$B24 &amp; " (" &amp; $E24 &amp; ")",IF(SUMPRODUCT(-- ISNUMBER(SEARCH({"Content","Currency","Number","Percent","Text","URL"}, $B24))) &gt; 0,$B24 &amp; "(" &amp; $C24 &amp; ")",$B24)))), "  ", TRIM(IF($S24 = "YES", "(External ID)", "") &amp; " " &amp; IF(SUMPRODUCT(-- ISNUMBER(SEARCH({"Unique","Unique Case Insensitive"}, $R24))) &gt; 0, "(" &amp; $R24 &amp; ")", ""))))</f>
        <v>na</v>
      </c>
      <c r="E24" s="7" t="s">
        <v>195</v>
      </c>
      <c r="F24" s="7" t="s">
        <v>195</v>
      </c>
      <c r="G24" s="7" t="s">
        <v>195</v>
      </c>
      <c r="H24" s="7" t="s">
        <v>195</v>
      </c>
      <c r="I24" s="7" t="s">
        <v>195</v>
      </c>
      <c r="J24" s="7" t="s">
        <v>195</v>
      </c>
      <c r="K24" s="7" t="s">
        <v>195</v>
      </c>
      <c r="L24" s="7" t="s">
        <v>195</v>
      </c>
      <c r="M24" s="7" t="s">
        <v>29</v>
      </c>
      <c r="N24" s="7" t="s">
        <v>29</v>
      </c>
      <c r="O24" s="7" t="s">
        <v>29</v>
      </c>
      <c r="P24" s="7" t="s">
        <v>29</v>
      </c>
      <c r="Q24" s="7" t="s">
        <v>29</v>
      </c>
      <c r="R24" s="7" t="s">
        <v>29</v>
      </c>
      <c r="S24" s="7" t="s">
        <v>29</v>
      </c>
    </row>
    <row r="25" spans="2:19">
      <c r="B25" s="7" t="s">
        <v>195</v>
      </c>
      <c r="C25" s="8" t="s">
        <v>195</v>
      </c>
      <c r="D25" s="6" t="str">
        <f>LRTRIM(CONCATENATE(IF(SUMPRODUCT(-- ISNUMBER(SEARCH({"Auto Number"}, $B25))) &gt; 0, $B25, IF(SUMPRODUCT(-- ISNUMBER(SEARCH({"Lookup","Master-Detail"}, $B25))) &gt; 0,$B25 &amp; "(" &amp; $E25 &amp; ")",IF(SUMPRODUCT(-- ISNUMBER(SEARCH({"Formula","Roll-Up Summary"}, $B25))) &gt; 0,$B25 &amp; " (" &amp; $E25 &amp; ")",IF(SUMPRODUCT(-- ISNUMBER(SEARCH({"Content","Currency","Number","Percent","Text","URL"}, $B25))) &gt; 0,$B25 &amp; "(" &amp; $C25 &amp; ")",$B25)))), "  ", TRIM(IF($S25 = "YES", "(External ID)", "") &amp; " " &amp; IF(SUMPRODUCT(-- ISNUMBER(SEARCH({"Unique","Unique Case Insensitive"}, $R25))) &gt; 0, "(" &amp; $R25 &amp; ")", ""))))</f>
        <v>na</v>
      </c>
      <c r="E25" s="7" t="s">
        <v>195</v>
      </c>
      <c r="F25" s="7" t="s">
        <v>195</v>
      </c>
      <c r="G25" s="7" t="s">
        <v>195</v>
      </c>
      <c r="H25" s="7" t="s">
        <v>195</v>
      </c>
      <c r="I25" s="7" t="s">
        <v>195</v>
      </c>
      <c r="J25" s="7" t="s">
        <v>195</v>
      </c>
      <c r="K25" s="7" t="s">
        <v>195</v>
      </c>
      <c r="L25" s="7" t="s">
        <v>195</v>
      </c>
      <c r="M25" s="7" t="s">
        <v>29</v>
      </c>
      <c r="N25" s="7" t="s">
        <v>29</v>
      </c>
      <c r="O25" s="7" t="s">
        <v>29</v>
      </c>
      <c r="P25" s="7" t="s">
        <v>29</v>
      </c>
      <c r="Q25" s="7" t="s">
        <v>29</v>
      </c>
      <c r="R25" s="7" t="s">
        <v>29</v>
      </c>
      <c r="S25" s="7" t="s">
        <v>29</v>
      </c>
    </row>
    <row r="26" spans="2:19">
      <c r="B26" s="7" t="s">
        <v>195</v>
      </c>
      <c r="C26" s="8" t="s">
        <v>195</v>
      </c>
      <c r="D26" s="6" t="str">
        <f>LRTRIM(CONCATENATE(IF(SUMPRODUCT(-- ISNUMBER(SEARCH({"Auto Number"}, $B26))) &gt; 0, $B26, IF(SUMPRODUCT(-- ISNUMBER(SEARCH({"Lookup","Master-Detail"}, $B26))) &gt; 0,$B26 &amp; "(" &amp; $E26 &amp; ")",IF(SUMPRODUCT(-- ISNUMBER(SEARCH({"Formula","Roll-Up Summary"}, $B26))) &gt; 0,$B26 &amp; " (" &amp; $E26 &amp; ")",IF(SUMPRODUCT(-- ISNUMBER(SEARCH({"Content","Currency","Number","Percent","Text","URL"}, $B26))) &gt; 0,$B26 &amp; "(" &amp; $C26 &amp; ")",$B26)))), "  ", TRIM(IF($S26 = "YES", "(External ID)", "") &amp; " " &amp; IF(SUMPRODUCT(-- ISNUMBER(SEARCH({"Unique","Unique Case Insensitive"}, $R26))) &gt; 0, "(" &amp; $R26 &amp; ")", ""))))</f>
        <v>na</v>
      </c>
      <c r="E26" s="7" t="s">
        <v>195</v>
      </c>
      <c r="F26" s="7" t="s">
        <v>195</v>
      </c>
      <c r="G26" s="7" t="s">
        <v>195</v>
      </c>
      <c r="H26" s="7" t="s">
        <v>195</v>
      </c>
      <c r="I26" s="7" t="s">
        <v>195</v>
      </c>
      <c r="J26" s="7" t="s">
        <v>195</v>
      </c>
      <c r="K26" s="7" t="s">
        <v>195</v>
      </c>
      <c r="L26" s="7" t="s">
        <v>195</v>
      </c>
      <c r="M26" s="7" t="s">
        <v>29</v>
      </c>
      <c r="N26" s="7" t="s">
        <v>29</v>
      </c>
      <c r="O26" s="7" t="s">
        <v>29</v>
      </c>
      <c r="P26" s="7" t="s">
        <v>29</v>
      </c>
      <c r="Q26" s="7" t="s">
        <v>29</v>
      </c>
      <c r="R26" s="7" t="s">
        <v>29</v>
      </c>
      <c r="S26" s="7" t="s">
        <v>29</v>
      </c>
    </row>
    <row r="27" spans="2:19">
      <c r="B27" s="7" t="s">
        <v>195</v>
      </c>
      <c r="C27" s="8" t="s">
        <v>195</v>
      </c>
      <c r="D27" s="6" t="str">
        <f>LRTRIM(CONCATENATE(IF(SUMPRODUCT(-- ISNUMBER(SEARCH({"Auto Number"}, $B27))) &gt; 0, $B27, IF(SUMPRODUCT(-- ISNUMBER(SEARCH({"Lookup","Master-Detail"}, $B27))) &gt; 0,$B27 &amp; "(" &amp; $E27 &amp; ")",IF(SUMPRODUCT(-- ISNUMBER(SEARCH({"Formula","Roll-Up Summary"}, $B27))) &gt; 0,$B27 &amp; " (" &amp; $E27 &amp; ")",IF(SUMPRODUCT(-- ISNUMBER(SEARCH({"Content","Currency","Number","Percent","Text","URL"}, $B27))) &gt; 0,$B27 &amp; "(" &amp; $C27 &amp; ")",$B27)))), "  ", TRIM(IF($S27 = "YES", "(External ID)", "") &amp; " " &amp; IF(SUMPRODUCT(-- ISNUMBER(SEARCH({"Unique","Unique Case Insensitive"}, $R27))) &gt; 0, "(" &amp; $R27 &amp; ")", ""))))</f>
        <v>na</v>
      </c>
      <c r="E27" s="7" t="s">
        <v>195</v>
      </c>
      <c r="F27" s="7" t="s">
        <v>195</v>
      </c>
      <c r="G27" s="7" t="s">
        <v>195</v>
      </c>
      <c r="H27" s="7" t="s">
        <v>195</v>
      </c>
      <c r="I27" s="7" t="s">
        <v>195</v>
      </c>
      <c r="J27" s="7" t="s">
        <v>195</v>
      </c>
      <c r="K27" s="7" t="s">
        <v>195</v>
      </c>
      <c r="L27" s="7" t="s">
        <v>195</v>
      </c>
      <c r="M27" s="7" t="s">
        <v>29</v>
      </c>
      <c r="N27" s="7" t="s">
        <v>29</v>
      </c>
      <c r="O27" s="7" t="s">
        <v>29</v>
      </c>
      <c r="P27" s="7" t="s">
        <v>29</v>
      </c>
      <c r="Q27" s="7" t="s">
        <v>29</v>
      </c>
      <c r="R27" s="7" t="s">
        <v>29</v>
      </c>
      <c r="S27" s="7" t="s">
        <v>29</v>
      </c>
    </row>
    <row r="28" spans="2:19">
      <c r="B28" s="7" t="s">
        <v>195</v>
      </c>
      <c r="C28" s="8" t="s">
        <v>195</v>
      </c>
      <c r="D28" s="6" t="str">
        <f>LRTRIM(CONCATENATE(IF(SUMPRODUCT(-- ISNUMBER(SEARCH({"Auto Number"}, $B28))) &gt; 0, $B28, IF(SUMPRODUCT(-- ISNUMBER(SEARCH({"Lookup","Master-Detail"}, $B28))) &gt; 0,$B28 &amp; "(" &amp; $E28 &amp; ")",IF(SUMPRODUCT(-- ISNUMBER(SEARCH({"Formula","Roll-Up Summary"}, $B28))) &gt; 0,$B28 &amp; " (" &amp; $E28 &amp; ")",IF(SUMPRODUCT(-- ISNUMBER(SEARCH({"Content","Currency","Number","Percent","Text","URL"}, $B28))) &gt; 0,$B28 &amp; "(" &amp; $C28 &amp; ")",$B28)))), "  ", TRIM(IF($S28 = "YES", "(External ID)", "") &amp; " " &amp; IF(SUMPRODUCT(-- ISNUMBER(SEARCH({"Unique","Unique Case Insensitive"}, $R28))) &gt; 0, "(" &amp; $R28 &amp; ")", ""))))</f>
        <v>na</v>
      </c>
      <c r="E28" s="7" t="s">
        <v>195</v>
      </c>
      <c r="F28" s="7" t="s">
        <v>195</v>
      </c>
      <c r="G28" s="7" t="s">
        <v>195</v>
      </c>
      <c r="H28" s="7" t="s">
        <v>195</v>
      </c>
      <c r="I28" s="7" t="s">
        <v>195</v>
      </c>
      <c r="J28" s="7" t="s">
        <v>195</v>
      </c>
      <c r="K28" s="7" t="s">
        <v>195</v>
      </c>
      <c r="L28" s="7" t="s">
        <v>195</v>
      </c>
      <c r="M28" s="7" t="s">
        <v>29</v>
      </c>
      <c r="N28" s="7" t="s">
        <v>29</v>
      </c>
      <c r="O28" s="7" t="s">
        <v>29</v>
      </c>
      <c r="P28" s="7" t="s">
        <v>29</v>
      </c>
      <c r="Q28" s="7" t="s">
        <v>29</v>
      </c>
      <c r="R28" s="7" t="s">
        <v>29</v>
      </c>
      <c r="S28" s="7" t="s">
        <v>29</v>
      </c>
    </row>
    <row r="29" spans="2:19">
      <c r="B29" s="7" t="s">
        <v>195</v>
      </c>
      <c r="C29" s="8" t="s">
        <v>195</v>
      </c>
      <c r="D29" s="6" t="str">
        <f>LRTRIM(CONCATENATE(IF(SUMPRODUCT(-- ISNUMBER(SEARCH({"Auto Number"}, $B29))) &gt; 0, $B29, IF(SUMPRODUCT(-- ISNUMBER(SEARCH({"Lookup","Master-Detail"}, $B29))) &gt; 0,$B29 &amp; "(" &amp; $E29 &amp; ")",IF(SUMPRODUCT(-- ISNUMBER(SEARCH({"Formula","Roll-Up Summary"}, $B29))) &gt; 0,$B29 &amp; " (" &amp; $E29 &amp; ")",IF(SUMPRODUCT(-- ISNUMBER(SEARCH({"Content","Currency","Number","Percent","Text","URL"}, $B29))) &gt; 0,$B29 &amp; "(" &amp; $C29 &amp; ")",$B29)))), "  ", TRIM(IF($S29 = "YES", "(External ID)", "") &amp; " " &amp; IF(SUMPRODUCT(-- ISNUMBER(SEARCH({"Unique","Unique Case Insensitive"}, $R29))) &gt; 0, "(" &amp; $R29 &amp; ")", ""))))</f>
        <v>na</v>
      </c>
      <c r="E29" s="7" t="s">
        <v>195</v>
      </c>
      <c r="F29" s="7" t="s">
        <v>195</v>
      </c>
      <c r="G29" s="7" t="s">
        <v>195</v>
      </c>
      <c r="H29" s="7" t="s">
        <v>195</v>
      </c>
      <c r="I29" s="7" t="s">
        <v>195</v>
      </c>
      <c r="J29" s="7" t="s">
        <v>195</v>
      </c>
      <c r="K29" s="7" t="s">
        <v>195</v>
      </c>
      <c r="L29" s="7" t="s">
        <v>195</v>
      </c>
      <c r="M29" s="7" t="s">
        <v>29</v>
      </c>
      <c r="N29" s="7" t="s">
        <v>29</v>
      </c>
      <c r="O29" s="7" t="s">
        <v>29</v>
      </c>
      <c r="P29" s="7" t="s">
        <v>29</v>
      </c>
      <c r="Q29" s="7" t="s">
        <v>29</v>
      </c>
      <c r="R29" s="7" t="s">
        <v>29</v>
      </c>
      <c r="S29" s="7" t="s">
        <v>29</v>
      </c>
    </row>
    <row r="30" spans="2:19">
      <c r="B30" s="7" t="s">
        <v>195</v>
      </c>
      <c r="C30" s="8" t="s">
        <v>195</v>
      </c>
      <c r="D30" s="6" t="str">
        <f>LRTRIM(CONCATENATE(IF(SUMPRODUCT(-- ISNUMBER(SEARCH({"Auto Number"}, $B30))) &gt; 0, $B30, IF(SUMPRODUCT(-- ISNUMBER(SEARCH({"Lookup","Master-Detail"}, $B30))) &gt; 0,$B30 &amp; "(" &amp; $E30 &amp; ")",IF(SUMPRODUCT(-- ISNUMBER(SEARCH({"Formula","Roll-Up Summary"}, $B30))) &gt; 0,$B30 &amp; " (" &amp; $E30 &amp; ")",IF(SUMPRODUCT(-- ISNUMBER(SEARCH({"Content","Currency","Number","Percent","Text","URL"}, $B30))) &gt; 0,$B30 &amp; "(" &amp; $C30 &amp; ")",$B30)))), "  ", TRIM(IF($S30 = "YES", "(External ID)", "") &amp; " " &amp; IF(SUMPRODUCT(-- ISNUMBER(SEARCH({"Unique","Unique Case Insensitive"}, $R30))) &gt; 0, "(" &amp; $R30 &amp; ")", ""))))</f>
        <v>na</v>
      </c>
      <c r="E30" s="7" t="s">
        <v>195</v>
      </c>
      <c r="F30" s="7" t="s">
        <v>195</v>
      </c>
      <c r="G30" s="7" t="s">
        <v>195</v>
      </c>
      <c r="H30" s="7" t="s">
        <v>195</v>
      </c>
      <c r="I30" s="7" t="s">
        <v>195</v>
      </c>
      <c r="J30" s="7" t="s">
        <v>195</v>
      </c>
      <c r="K30" s="7" t="s">
        <v>195</v>
      </c>
      <c r="L30" s="7" t="s">
        <v>195</v>
      </c>
      <c r="M30" s="7" t="s">
        <v>29</v>
      </c>
      <c r="N30" s="7" t="s">
        <v>29</v>
      </c>
      <c r="O30" s="7" t="s">
        <v>29</v>
      </c>
      <c r="P30" s="7" t="s">
        <v>29</v>
      </c>
      <c r="Q30" s="7" t="s">
        <v>29</v>
      </c>
      <c r="R30" s="7" t="s">
        <v>29</v>
      </c>
      <c r="S30" s="7" t="s">
        <v>29</v>
      </c>
    </row>
    <row r="31" spans="2:19">
      <c r="B31" s="7" t="s">
        <v>195</v>
      </c>
      <c r="C31" s="8" t="s">
        <v>195</v>
      </c>
      <c r="D31" s="6" t="str">
        <f>LRTRIM(CONCATENATE(IF(SUMPRODUCT(-- ISNUMBER(SEARCH({"Auto Number"}, $B31))) &gt; 0, $B31, IF(SUMPRODUCT(-- ISNUMBER(SEARCH({"Lookup","Master-Detail"}, $B31))) &gt; 0,$B31 &amp; "(" &amp; $E31 &amp; ")",IF(SUMPRODUCT(-- ISNUMBER(SEARCH({"Formula","Roll-Up Summary"}, $B31))) &gt; 0,$B31 &amp; " (" &amp; $E31 &amp; ")",IF(SUMPRODUCT(-- ISNUMBER(SEARCH({"Content","Currency","Number","Percent","Text","URL"}, $B31))) &gt; 0,$B31 &amp; "(" &amp; $C31 &amp; ")",$B31)))), "  ", TRIM(IF($S31 = "YES", "(External ID)", "") &amp; " " &amp; IF(SUMPRODUCT(-- ISNUMBER(SEARCH({"Unique","Unique Case Insensitive"}, $R31))) &gt; 0, "(" &amp; $R31 &amp; ")", ""))))</f>
        <v>na</v>
      </c>
      <c r="E31" s="7" t="s">
        <v>195</v>
      </c>
      <c r="F31" s="7" t="s">
        <v>195</v>
      </c>
      <c r="G31" s="7" t="s">
        <v>195</v>
      </c>
      <c r="H31" s="7" t="s">
        <v>195</v>
      </c>
      <c r="I31" s="7" t="s">
        <v>195</v>
      </c>
      <c r="J31" s="7" t="s">
        <v>195</v>
      </c>
      <c r="K31" s="7" t="s">
        <v>195</v>
      </c>
      <c r="L31" s="7" t="s">
        <v>195</v>
      </c>
      <c r="M31" s="7" t="s">
        <v>29</v>
      </c>
      <c r="N31" s="7" t="s">
        <v>29</v>
      </c>
      <c r="O31" s="7" t="s">
        <v>29</v>
      </c>
      <c r="P31" s="7" t="s">
        <v>29</v>
      </c>
      <c r="Q31" s="7" t="s">
        <v>29</v>
      </c>
      <c r="R31" s="7" t="s">
        <v>29</v>
      </c>
      <c r="S31" s="7" t="s">
        <v>29</v>
      </c>
    </row>
    <row r="32" spans="2:19">
      <c r="B32" s="7" t="s">
        <v>195</v>
      </c>
      <c r="C32" s="8" t="s">
        <v>195</v>
      </c>
      <c r="D32" s="6" t="str">
        <f>LRTRIM(CONCATENATE(IF(SUMPRODUCT(-- ISNUMBER(SEARCH({"Auto Number"}, $B32))) &gt; 0, $B32, IF(SUMPRODUCT(-- ISNUMBER(SEARCH({"Lookup","Master-Detail"}, $B32))) &gt; 0,$B32 &amp; "(" &amp; $E32 &amp; ")",IF(SUMPRODUCT(-- ISNUMBER(SEARCH({"Formula","Roll-Up Summary"}, $B32))) &gt; 0,$B32 &amp; " (" &amp; $E32 &amp; ")",IF(SUMPRODUCT(-- ISNUMBER(SEARCH({"Content","Currency","Number","Percent","Text","URL"}, $B32))) &gt; 0,$B32 &amp; "(" &amp; $C32 &amp; ")",$B32)))), "  ", TRIM(IF($S32 = "YES", "(External ID)", "") &amp; " " &amp; IF(SUMPRODUCT(-- ISNUMBER(SEARCH({"Unique","Unique Case Insensitive"}, $R32))) &gt; 0, "(" &amp; $R32 &amp; ")", ""))))</f>
        <v>na</v>
      </c>
      <c r="E32" s="7" t="s">
        <v>195</v>
      </c>
      <c r="F32" s="7" t="s">
        <v>195</v>
      </c>
      <c r="G32" s="7" t="s">
        <v>195</v>
      </c>
      <c r="H32" s="7" t="s">
        <v>195</v>
      </c>
      <c r="I32" s="7" t="s">
        <v>195</v>
      </c>
      <c r="J32" s="7" t="s">
        <v>195</v>
      </c>
      <c r="K32" s="7" t="s">
        <v>195</v>
      </c>
      <c r="L32" s="7" t="s">
        <v>195</v>
      </c>
      <c r="M32" s="7" t="s">
        <v>29</v>
      </c>
      <c r="N32" s="7" t="s">
        <v>29</v>
      </c>
      <c r="O32" s="7" t="s">
        <v>29</v>
      </c>
      <c r="P32" s="7" t="s">
        <v>29</v>
      </c>
      <c r="Q32" s="7" t="s">
        <v>29</v>
      </c>
      <c r="R32" s="7" t="s">
        <v>29</v>
      </c>
      <c r="S32" s="7" t="s">
        <v>29</v>
      </c>
    </row>
    <row r="33" spans="2:19">
      <c r="B33" s="7" t="s">
        <v>195</v>
      </c>
      <c r="C33" s="8" t="s">
        <v>195</v>
      </c>
      <c r="D33" s="6" t="str">
        <f>LRTRIM(CONCATENATE(IF(SUMPRODUCT(-- ISNUMBER(SEARCH({"Auto Number"}, $B33))) &gt; 0, $B33, IF(SUMPRODUCT(-- ISNUMBER(SEARCH({"Lookup","Master-Detail"}, $B33))) &gt; 0,$B33 &amp; "(" &amp; $E33 &amp; ")",IF(SUMPRODUCT(-- ISNUMBER(SEARCH({"Formula","Roll-Up Summary"}, $B33))) &gt; 0,$B33 &amp; " (" &amp; $E33 &amp; ")",IF(SUMPRODUCT(-- ISNUMBER(SEARCH({"Content","Currency","Number","Percent","Text","URL"}, $B33))) &gt; 0,$B33 &amp; "(" &amp; $C33 &amp; ")",$B33)))), "  ", TRIM(IF($S33 = "YES", "(External ID)", "") &amp; " " &amp; IF(SUMPRODUCT(-- ISNUMBER(SEARCH({"Unique","Unique Case Insensitive"}, $R33))) &gt; 0, "(" &amp; $R33 &amp; ")", ""))))</f>
        <v>na</v>
      </c>
      <c r="E33" s="7" t="s">
        <v>195</v>
      </c>
      <c r="F33" s="7" t="s">
        <v>195</v>
      </c>
      <c r="G33" s="7" t="s">
        <v>195</v>
      </c>
      <c r="H33" s="7" t="s">
        <v>195</v>
      </c>
      <c r="I33" s="7" t="s">
        <v>195</v>
      </c>
      <c r="J33" s="7" t="s">
        <v>195</v>
      </c>
      <c r="K33" s="7" t="s">
        <v>195</v>
      </c>
      <c r="L33" s="7" t="s">
        <v>195</v>
      </c>
      <c r="M33" s="7" t="s">
        <v>29</v>
      </c>
      <c r="N33" s="7" t="s">
        <v>29</v>
      </c>
      <c r="O33" s="7" t="s">
        <v>29</v>
      </c>
      <c r="P33" s="7" t="s">
        <v>29</v>
      </c>
      <c r="Q33" s="7" t="s">
        <v>29</v>
      </c>
      <c r="R33" s="7" t="s">
        <v>29</v>
      </c>
      <c r="S33" s="7" t="s">
        <v>29</v>
      </c>
    </row>
    <row r="34" spans="2:19">
      <c r="B34" s="7" t="s">
        <v>195</v>
      </c>
      <c r="C34" s="8" t="s">
        <v>195</v>
      </c>
      <c r="D34" s="6" t="str">
        <f>LRTRIM(CONCATENATE(IF(SUMPRODUCT(-- ISNUMBER(SEARCH({"Auto Number"}, $B34))) &gt; 0, $B34, IF(SUMPRODUCT(-- ISNUMBER(SEARCH({"Lookup","Master-Detail"}, $B34))) &gt; 0,$B34 &amp; "(" &amp; $E34 &amp; ")",IF(SUMPRODUCT(-- ISNUMBER(SEARCH({"Formula","Roll-Up Summary"}, $B34))) &gt; 0,$B34 &amp; " (" &amp; $E34 &amp; ")",IF(SUMPRODUCT(-- ISNUMBER(SEARCH({"Content","Currency","Number","Percent","Text","URL"}, $B34))) &gt; 0,$B34 &amp; "(" &amp; $C34 &amp; ")",$B34)))), "  ", TRIM(IF($S34 = "YES", "(External ID)", "") &amp; " " &amp; IF(SUMPRODUCT(-- ISNUMBER(SEARCH({"Unique","Unique Case Insensitive"}, $R34))) &gt; 0, "(" &amp; $R34 &amp; ")", ""))))</f>
        <v>na</v>
      </c>
      <c r="E34" s="7" t="s">
        <v>195</v>
      </c>
      <c r="F34" s="7" t="s">
        <v>195</v>
      </c>
      <c r="G34" s="7" t="s">
        <v>195</v>
      </c>
      <c r="H34" s="7" t="s">
        <v>195</v>
      </c>
      <c r="I34" s="7" t="s">
        <v>195</v>
      </c>
      <c r="J34" s="7" t="s">
        <v>195</v>
      </c>
      <c r="K34" s="7" t="s">
        <v>195</v>
      </c>
      <c r="L34" s="7" t="s">
        <v>195</v>
      </c>
      <c r="M34" s="7" t="s">
        <v>29</v>
      </c>
      <c r="N34" s="7" t="s">
        <v>29</v>
      </c>
      <c r="O34" s="7" t="s">
        <v>29</v>
      </c>
      <c r="P34" s="7" t="s">
        <v>29</v>
      </c>
      <c r="Q34" s="7" t="s">
        <v>29</v>
      </c>
      <c r="R34" s="7" t="s">
        <v>29</v>
      </c>
      <c r="S34" s="7" t="s">
        <v>29</v>
      </c>
    </row>
    <row r="35" spans="2:19">
      <c r="B35" s="7" t="s">
        <v>195</v>
      </c>
      <c r="C35" s="8" t="s">
        <v>195</v>
      </c>
      <c r="D35" s="6" t="str">
        <f>LRTRIM(CONCATENATE(IF(SUMPRODUCT(-- ISNUMBER(SEARCH({"Auto Number"}, $B35))) &gt; 0, $B35, IF(SUMPRODUCT(-- ISNUMBER(SEARCH({"Lookup","Master-Detail"}, $B35))) &gt; 0,$B35 &amp; "(" &amp; $E35 &amp; ")",IF(SUMPRODUCT(-- ISNUMBER(SEARCH({"Formula","Roll-Up Summary"}, $B35))) &gt; 0,$B35 &amp; " (" &amp; $E35 &amp; ")",IF(SUMPRODUCT(-- ISNUMBER(SEARCH({"Content","Currency","Number","Percent","Text","URL"}, $B35))) &gt; 0,$B35 &amp; "(" &amp; $C35 &amp; ")",$B35)))), "  ", TRIM(IF($S35 = "YES", "(External ID)", "") &amp; " " &amp; IF(SUMPRODUCT(-- ISNUMBER(SEARCH({"Unique","Unique Case Insensitive"}, $R35))) &gt; 0, "(" &amp; $R35 &amp; ")", ""))))</f>
        <v>na</v>
      </c>
      <c r="E35" s="7" t="s">
        <v>195</v>
      </c>
      <c r="F35" s="7" t="s">
        <v>195</v>
      </c>
      <c r="G35" s="7" t="s">
        <v>195</v>
      </c>
      <c r="H35" s="7" t="s">
        <v>195</v>
      </c>
      <c r="I35" s="7" t="s">
        <v>195</v>
      </c>
      <c r="J35" s="7" t="s">
        <v>195</v>
      </c>
      <c r="K35" s="7" t="s">
        <v>195</v>
      </c>
      <c r="L35" s="7" t="s">
        <v>195</v>
      </c>
      <c r="M35" s="7" t="s">
        <v>29</v>
      </c>
      <c r="N35" s="7" t="s">
        <v>29</v>
      </c>
      <c r="O35" s="7" t="s">
        <v>29</v>
      </c>
      <c r="P35" s="7" t="s">
        <v>29</v>
      </c>
      <c r="Q35" s="7" t="s">
        <v>29</v>
      </c>
      <c r="R35" s="7" t="s">
        <v>29</v>
      </c>
      <c r="S35" s="7" t="s">
        <v>29</v>
      </c>
    </row>
    <row r="36" spans="2:19">
      <c r="B36" s="7" t="s">
        <v>195</v>
      </c>
      <c r="C36" s="8" t="s">
        <v>195</v>
      </c>
      <c r="D36" s="6" t="str">
        <f>LRTRIM(CONCATENATE(IF(SUMPRODUCT(-- ISNUMBER(SEARCH({"Auto Number"}, $B36))) &gt; 0, $B36, IF(SUMPRODUCT(-- ISNUMBER(SEARCH({"Lookup","Master-Detail"}, $B36))) &gt; 0,$B36 &amp; "(" &amp; $E36 &amp; ")",IF(SUMPRODUCT(-- ISNUMBER(SEARCH({"Formula","Roll-Up Summary"}, $B36))) &gt; 0,$B36 &amp; " (" &amp; $E36 &amp; ")",IF(SUMPRODUCT(-- ISNUMBER(SEARCH({"Content","Currency","Number","Percent","Text","URL"}, $B36))) &gt; 0,$B36 &amp; "(" &amp; $C36 &amp; ")",$B36)))), "  ", TRIM(IF($S36 = "YES", "(External ID)", "") &amp; " " &amp; IF(SUMPRODUCT(-- ISNUMBER(SEARCH({"Unique","Unique Case Insensitive"}, $R36))) &gt; 0, "(" &amp; $R36 &amp; ")", ""))))</f>
        <v>na</v>
      </c>
      <c r="E36" s="7" t="s">
        <v>195</v>
      </c>
      <c r="F36" s="7" t="s">
        <v>195</v>
      </c>
      <c r="G36" s="7" t="s">
        <v>195</v>
      </c>
      <c r="H36" s="7" t="s">
        <v>195</v>
      </c>
      <c r="I36" s="7" t="s">
        <v>195</v>
      </c>
      <c r="J36" s="7" t="s">
        <v>195</v>
      </c>
      <c r="K36" s="7" t="s">
        <v>195</v>
      </c>
      <c r="L36" s="7" t="s">
        <v>195</v>
      </c>
      <c r="M36" s="7" t="s">
        <v>29</v>
      </c>
      <c r="N36" s="7" t="s">
        <v>29</v>
      </c>
      <c r="O36" s="7" t="s">
        <v>29</v>
      </c>
      <c r="P36" s="7" t="s">
        <v>29</v>
      </c>
      <c r="Q36" s="7" t="s">
        <v>29</v>
      </c>
      <c r="R36" s="7" t="s">
        <v>29</v>
      </c>
      <c r="S36" s="7" t="s">
        <v>29</v>
      </c>
    </row>
    <row r="37" spans="2:19">
      <c r="B37" s="7" t="s">
        <v>195</v>
      </c>
      <c r="C37" s="8" t="s">
        <v>195</v>
      </c>
      <c r="D37" s="6" t="str">
        <f>LRTRIM(CONCATENATE(IF(SUMPRODUCT(-- ISNUMBER(SEARCH({"Auto Number"}, $B37))) &gt; 0, $B37, IF(SUMPRODUCT(-- ISNUMBER(SEARCH({"Lookup","Master-Detail"}, $B37))) &gt; 0,$B37 &amp; "(" &amp; $E37 &amp; ")",IF(SUMPRODUCT(-- ISNUMBER(SEARCH({"Formula","Roll-Up Summary"}, $B37))) &gt; 0,$B37 &amp; " (" &amp; $E37 &amp; ")",IF(SUMPRODUCT(-- ISNUMBER(SEARCH({"Content","Currency","Number","Percent","Text","URL"}, $B37))) &gt; 0,$B37 &amp; "(" &amp; $C37 &amp; ")",$B37)))), "  ", TRIM(IF($S37 = "YES", "(External ID)", "") &amp; " " &amp; IF(SUMPRODUCT(-- ISNUMBER(SEARCH({"Unique","Unique Case Insensitive"}, $R37))) &gt; 0, "(" &amp; $R37 &amp; ")", ""))))</f>
        <v>na</v>
      </c>
      <c r="E37" s="7" t="s">
        <v>195</v>
      </c>
      <c r="F37" s="7" t="s">
        <v>195</v>
      </c>
      <c r="G37" s="7" t="s">
        <v>195</v>
      </c>
      <c r="H37" s="7" t="s">
        <v>195</v>
      </c>
      <c r="I37" s="7" t="s">
        <v>195</v>
      </c>
      <c r="J37" s="7" t="s">
        <v>195</v>
      </c>
      <c r="K37" s="7" t="s">
        <v>195</v>
      </c>
      <c r="L37" s="7" t="s">
        <v>195</v>
      </c>
      <c r="M37" s="7" t="s">
        <v>29</v>
      </c>
      <c r="N37" s="7" t="s">
        <v>29</v>
      </c>
      <c r="O37" s="7" t="s">
        <v>29</v>
      </c>
      <c r="P37" s="7" t="s">
        <v>29</v>
      </c>
      <c r="Q37" s="7" t="s">
        <v>29</v>
      </c>
      <c r="R37" s="7" t="s">
        <v>29</v>
      </c>
      <c r="S37" s="7" t="s">
        <v>29</v>
      </c>
    </row>
    <row r="38" spans="2:19">
      <c r="B38" s="7" t="s">
        <v>195</v>
      </c>
      <c r="C38" s="8" t="s">
        <v>195</v>
      </c>
      <c r="D38" s="6" t="str">
        <f>LRTRIM(CONCATENATE(IF(SUMPRODUCT(-- ISNUMBER(SEARCH({"Auto Number"}, $B38))) &gt; 0, $B38, IF(SUMPRODUCT(-- ISNUMBER(SEARCH({"Lookup","Master-Detail"}, $B38))) &gt; 0,$B38 &amp; "(" &amp; $E38 &amp; ")",IF(SUMPRODUCT(-- ISNUMBER(SEARCH({"Formula","Roll-Up Summary"}, $B38))) &gt; 0,$B38 &amp; " (" &amp; $E38 &amp; ")",IF(SUMPRODUCT(-- ISNUMBER(SEARCH({"Content","Currency","Number","Percent","Text","URL"}, $B38))) &gt; 0,$B38 &amp; "(" &amp; $C38 &amp; ")",$B38)))), "  ", TRIM(IF($S38 = "YES", "(External ID)", "") &amp; " " &amp; IF(SUMPRODUCT(-- ISNUMBER(SEARCH({"Unique","Unique Case Insensitive"}, $R38))) &gt; 0, "(" &amp; $R38 &amp; ")", ""))))</f>
        <v>na</v>
      </c>
      <c r="E38" s="7" t="s">
        <v>195</v>
      </c>
      <c r="F38" s="7" t="s">
        <v>195</v>
      </c>
      <c r="G38" s="7" t="s">
        <v>195</v>
      </c>
      <c r="H38" s="7" t="s">
        <v>195</v>
      </c>
      <c r="I38" s="7" t="s">
        <v>195</v>
      </c>
      <c r="J38" s="7" t="s">
        <v>195</v>
      </c>
      <c r="K38" s="7" t="s">
        <v>195</v>
      </c>
      <c r="L38" s="7" t="s">
        <v>195</v>
      </c>
      <c r="M38" s="7" t="s">
        <v>29</v>
      </c>
      <c r="N38" s="7" t="s">
        <v>29</v>
      </c>
      <c r="O38" s="7" t="s">
        <v>29</v>
      </c>
      <c r="P38" s="7" t="s">
        <v>29</v>
      </c>
      <c r="Q38" s="7" t="s">
        <v>29</v>
      </c>
      <c r="R38" s="7" t="s">
        <v>29</v>
      </c>
      <c r="S38" s="7" t="s">
        <v>29</v>
      </c>
    </row>
    <row r="39" spans="2:19">
      <c r="B39" s="7" t="s">
        <v>195</v>
      </c>
      <c r="C39" s="8" t="s">
        <v>195</v>
      </c>
      <c r="D39" s="6" t="str">
        <f>LRTRIM(CONCATENATE(IF(SUMPRODUCT(-- ISNUMBER(SEARCH({"Auto Number"}, $B39))) &gt; 0, $B39, IF(SUMPRODUCT(-- ISNUMBER(SEARCH({"Lookup","Master-Detail"}, $B39))) &gt; 0,$B39 &amp; "(" &amp; $E39 &amp; ")",IF(SUMPRODUCT(-- ISNUMBER(SEARCH({"Formula","Roll-Up Summary"}, $B39))) &gt; 0,$B39 &amp; " (" &amp; $E39 &amp; ")",IF(SUMPRODUCT(-- ISNUMBER(SEARCH({"Content","Currency","Number","Percent","Text","URL"}, $B39))) &gt; 0,$B39 &amp; "(" &amp; $C39 &amp; ")",$B39)))), "  ", TRIM(IF($S39 = "YES", "(External ID)", "") &amp; " " &amp; IF(SUMPRODUCT(-- ISNUMBER(SEARCH({"Unique","Unique Case Insensitive"}, $R39))) &gt; 0, "(" &amp; $R39 &amp; ")", ""))))</f>
        <v>na</v>
      </c>
      <c r="E39" s="7" t="s">
        <v>195</v>
      </c>
      <c r="F39" s="7" t="s">
        <v>195</v>
      </c>
      <c r="G39" s="7" t="s">
        <v>195</v>
      </c>
      <c r="H39" s="7" t="s">
        <v>195</v>
      </c>
      <c r="I39" s="7" t="s">
        <v>195</v>
      </c>
      <c r="J39" s="7" t="s">
        <v>195</v>
      </c>
      <c r="K39" s="7" t="s">
        <v>195</v>
      </c>
      <c r="L39" s="7" t="s">
        <v>195</v>
      </c>
      <c r="M39" s="7" t="s">
        <v>29</v>
      </c>
      <c r="N39" s="7" t="s">
        <v>29</v>
      </c>
      <c r="O39" s="7" t="s">
        <v>29</v>
      </c>
      <c r="P39" s="7" t="s">
        <v>29</v>
      </c>
      <c r="Q39" s="7" t="s">
        <v>29</v>
      </c>
      <c r="R39" s="7" t="s">
        <v>29</v>
      </c>
      <c r="S39" s="7" t="s">
        <v>29</v>
      </c>
    </row>
    <row r="40" spans="2:19">
      <c r="B40" s="7" t="s">
        <v>195</v>
      </c>
      <c r="C40" s="8" t="s">
        <v>195</v>
      </c>
      <c r="D40" s="6" t="str">
        <f>LRTRIM(CONCATENATE(IF(SUMPRODUCT(-- ISNUMBER(SEARCH({"Auto Number"}, $B40))) &gt; 0, $B40, IF(SUMPRODUCT(-- ISNUMBER(SEARCH({"Lookup","Master-Detail"}, $B40))) &gt; 0,$B40 &amp; "(" &amp; $E40 &amp; ")",IF(SUMPRODUCT(-- ISNUMBER(SEARCH({"Formula","Roll-Up Summary"}, $B40))) &gt; 0,$B40 &amp; " (" &amp; $E40 &amp; ")",IF(SUMPRODUCT(-- ISNUMBER(SEARCH({"Content","Currency","Number","Percent","Text","URL"}, $B40))) &gt; 0,$B40 &amp; "(" &amp; $C40 &amp; ")",$B40)))), "  ", TRIM(IF($S40 = "YES", "(External ID)", "") &amp; " " &amp; IF(SUMPRODUCT(-- ISNUMBER(SEARCH({"Unique","Unique Case Insensitive"}, $R40))) &gt; 0, "(" &amp; $R40 &amp; ")", ""))))</f>
        <v>na</v>
      </c>
      <c r="E40" s="7" t="s">
        <v>195</v>
      </c>
      <c r="F40" s="7" t="s">
        <v>195</v>
      </c>
      <c r="G40" s="7" t="s">
        <v>195</v>
      </c>
      <c r="H40" s="7" t="s">
        <v>195</v>
      </c>
      <c r="I40" s="7" t="s">
        <v>195</v>
      </c>
      <c r="J40" s="7" t="s">
        <v>195</v>
      </c>
      <c r="K40" s="7" t="s">
        <v>195</v>
      </c>
      <c r="L40" s="7" t="s">
        <v>195</v>
      </c>
      <c r="M40" s="7" t="s">
        <v>29</v>
      </c>
      <c r="N40" s="7" t="s">
        <v>29</v>
      </c>
      <c r="O40" s="7" t="s">
        <v>29</v>
      </c>
      <c r="P40" s="7" t="s">
        <v>29</v>
      </c>
      <c r="Q40" s="7" t="s">
        <v>29</v>
      </c>
      <c r="R40" s="7" t="s">
        <v>29</v>
      </c>
      <c r="S40" s="7" t="s">
        <v>29</v>
      </c>
    </row>
    <row r="41" spans="2:19">
      <c r="B41" s="7" t="s">
        <v>195</v>
      </c>
      <c r="C41" s="8" t="s">
        <v>195</v>
      </c>
      <c r="D41" s="6" t="str">
        <f>LRTRIM(CONCATENATE(IF(SUMPRODUCT(-- ISNUMBER(SEARCH({"Auto Number"}, $B41))) &gt; 0, $B41, IF(SUMPRODUCT(-- ISNUMBER(SEARCH({"Lookup","Master-Detail"}, $B41))) &gt; 0,$B41 &amp; "(" &amp; $E41 &amp; ")",IF(SUMPRODUCT(-- ISNUMBER(SEARCH({"Formula","Roll-Up Summary"}, $B41))) &gt; 0,$B41 &amp; " (" &amp; $E41 &amp; ")",IF(SUMPRODUCT(-- ISNUMBER(SEARCH({"Content","Currency","Number","Percent","Text","URL"}, $B41))) &gt; 0,$B41 &amp; "(" &amp; $C41 &amp; ")",$B41)))), "  ", TRIM(IF($S41 = "YES", "(External ID)", "") &amp; " " &amp; IF(SUMPRODUCT(-- ISNUMBER(SEARCH({"Unique","Unique Case Insensitive"}, $R41))) &gt; 0, "(" &amp; $R41 &amp; ")", ""))))</f>
        <v>na</v>
      </c>
      <c r="E41" s="7" t="s">
        <v>195</v>
      </c>
      <c r="F41" s="7" t="s">
        <v>195</v>
      </c>
      <c r="G41" s="7" t="s">
        <v>195</v>
      </c>
      <c r="H41" s="7" t="s">
        <v>195</v>
      </c>
      <c r="I41" s="7" t="s">
        <v>195</v>
      </c>
      <c r="J41" s="7" t="s">
        <v>195</v>
      </c>
      <c r="K41" s="7" t="s">
        <v>195</v>
      </c>
      <c r="L41" s="7" t="s">
        <v>195</v>
      </c>
      <c r="M41" s="7" t="s">
        <v>29</v>
      </c>
      <c r="N41" s="7" t="s">
        <v>29</v>
      </c>
      <c r="O41" s="7" t="s">
        <v>29</v>
      </c>
      <c r="P41" s="7" t="s">
        <v>29</v>
      </c>
      <c r="Q41" s="7" t="s">
        <v>29</v>
      </c>
      <c r="R41" s="7" t="s">
        <v>29</v>
      </c>
      <c r="S41" s="7" t="s">
        <v>29</v>
      </c>
    </row>
    <row r="42" spans="2:19">
      <c r="B42" s="7" t="s">
        <v>195</v>
      </c>
      <c r="C42" s="8" t="s">
        <v>195</v>
      </c>
      <c r="D42" s="6" t="str">
        <f>LRTRIM(CONCATENATE(IF(SUMPRODUCT(-- ISNUMBER(SEARCH({"Auto Number"}, $B42))) &gt; 0, $B42, IF(SUMPRODUCT(-- ISNUMBER(SEARCH({"Lookup","Master-Detail"}, $B42))) &gt; 0,$B42 &amp; "(" &amp; $E42 &amp; ")",IF(SUMPRODUCT(-- ISNUMBER(SEARCH({"Formula","Roll-Up Summary"}, $B42))) &gt; 0,$B42 &amp; " (" &amp; $E42 &amp; ")",IF(SUMPRODUCT(-- ISNUMBER(SEARCH({"Content","Currency","Number","Percent","Text","URL"}, $B42))) &gt; 0,$B42 &amp; "(" &amp; $C42 &amp; ")",$B42)))), "  ", TRIM(IF($S42 = "YES", "(External ID)", "") &amp; " " &amp; IF(SUMPRODUCT(-- ISNUMBER(SEARCH({"Unique","Unique Case Insensitive"}, $R42))) &gt; 0, "(" &amp; $R42 &amp; ")", ""))))</f>
        <v>na</v>
      </c>
      <c r="E42" s="7" t="s">
        <v>195</v>
      </c>
      <c r="F42" s="7" t="s">
        <v>195</v>
      </c>
      <c r="G42" s="7" t="s">
        <v>195</v>
      </c>
      <c r="H42" s="7" t="s">
        <v>195</v>
      </c>
      <c r="I42" s="7" t="s">
        <v>195</v>
      </c>
      <c r="J42" s="7" t="s">
        <v>195</v>
      </c>
      <c r="K42" s="7" t="s">
        <v>195</v>
      </c>
      <c r="L42" s="7" t="s">
        <v>195</v>
      </c>
      <c r="M42" s="7" t="s">
        <v>29</v>
      </c>
      <c r="N42" s="7" t="s">
        <v>29</v>
      </c>
      <c r="O42" s="7" t="s">
        <v>29</v>
      </c>
      <c r="P42" s="7" t="s">
        <v>29</v>
      </c>
      <c r="Q42" s="7" t="s">
        <v>29</v>
      </c>
      <c r="R42" s="7" t="s">
        <v>29</v>
      </c>
      <c r="S42" s="7" t="s">
        <v>29</v>
      </c>
    </row>
    <row r="43" spans="2:19">
      <c r="B43" s="7" t="s">
        <v>195</v>
      </c>
      <c r="C43" s="8" t="s">
        <v>195</v>
      </c>
      <c r="D43" s="6" t="str">
        <f>LRTRIM(CONCATENATE(IF(SUMPRODUCT(-- ISNUMBER(SEARCH({"Auto Number"}, $B43))) &gt; 0, $B43, IF(SUMPRODUCT(-- ISNUMBER(SEARCH({"Lookup","Master-Detail"}, $B43))) &gt; 0,$B43 &amp; "(" &amp; $E43 &amp; ")",IF(SUMPRODUCT(-- ISNUMBER(SEARCH({"Formula","Roll-Up Summary"}, $B43))) &gt; 0,$B43 &amp; " (" &amp; $E43 &amp; ")",IF(SUMPRODUCT(-- ISNUMBER(SEARCH({"Content","Currency","Number","Percent","Text","URL"}, $B43))) &gt; 0,$B43 &amp; "(" &amp; $C43 &amp; ")",$B43)))), "  ", TRIM(IF($S43 = "YES", "(External ID)", "") &amp; " " &amp; IF(SUMPRODUCT(-- ISNUMBER(SEARCH({"Unique","Unique Case Insensitive"}, $R43))) &gt; 0, "(" &amp; $R43 &amp; ")", ""))))</f>
        <v>na</v>
      </c>
      <c r="E43" s="7" t="s">
        <v>195</v>
      </c>
      <c r="F43" s="7" t="s">
        <v>195</v>
      </c>
      <c r="G43" s="7" t="s">
        <v>195</v>
      </c>
      <c r="H43" s="7" t="s">
        <v>195</v>
      </c>
      <c r="I43" s="7" t="s">
        <v>195</v>
      </c>
      <c r="J43" s="7" t="s">
        <v>195</v>
      </c>
      <c r="K43" s="7" t="s">
        <v>195</v>
      </c>
      <c r="L43" s="7" t="s">
        <v>195</v>
      </c>
      <c r="M43" s="7" t="s">
        <v>29</v>
      </c>
      <c r="N43" s="7" t="s">
        <v>29</v>
      </c>
      <c r="O43" s="7" t="s">
        <v>29</v>
      </c>
      <c r="P43" s="7" t="s">
        <v>29</v>
      </c>
      <c r="Q43" s="7" t="s">
        <v>29</v>
      </c>
      <c r="R43" s="7" t="s">
        <v>29</v>
      </c>
      <c r="S43" s="7" t="s">
        <v>29</v>
      </c>
    </row>
    <row r="44" spans="2:19">
      <c r="B44" s="7" t="s">
        <v>195</v>
      </c>
      <c r="C44" s="8" t="s">
        <v>195</v>
      </c>
      <c r="D44" s="6" t="str">
        <f>LRTRIM(CONCATENATE(IF(SUMPRODUCT(-- ISNUMBER(SEARCH({"Auto Number"}, $B44))) &gt; 0, $B44, IF(SUMPRODUCT(-- ISNUMBER(SEARCH({"Lookup","Master-Detail"}, $B44))) &gt; 0,$B44 &amp; "(" &amp; $E44 &amp; ")",IF(SUMPRODUCT(-- ISNUMBER(SEARCH({"Formula","Roll-Up Summary"}, $B44))) &gt; 0,$B44 &amp; " (" &amp; $E44 &amp; ")",IF(SUMPRODUCT(-- ISNUMBER(SEARCH({"Content","Currency","Number","Percent","Text","URL"}, $B44))) &gt; 0,$B44 &amp; "(" &amp; $C44 &amp; ")",$B44)))), "  ", TRIM(IF($S44 = "YES", "(External ID)", "") &amp; " " &amp; IF(SUMPRODUCT(-- ISNUMBER(SEARCH({"Unique","Unique Case Insensitive"}, $R44))) &gt; 0, "(" &amp; $R44 &amp; ")", ""))))</f>
        <v>na</v>
      </c>
      <c r="E44" s="7" t="s">
        <v>195</v>
      </c>
      <c r="F44" s="7" t="s">
        <v>195</v>
      </c>
      <c r="G44" s="7" t="s">
        <v>195</v>
      </c>
      <c r="H44" s="7" t="s">
        <v>195</v>
      </c>
      <c r="I44" s="7" t="s">
        <v>195</v>
      </c>
      <c r="J44" s="7" t="s">
        <v>195</v>
      </c>
      <c r="K44" s="7" t="s">
        <v>195</v>
      </c>
      <c r="L44" s="7" t="s">
        <v>195</v>
      </c>
      <c r="M44" s="7" t="s">
        <v>29</v>
      </c>
      <c r="N44" s="7" t="s">
        <v>29</v>
      </c>
      <c r="O44" s="7" t="s">
        <v>29</v>
      </c>
      <c r="P44" s="7" t="s">
        <v>29</v>
      </c>
      <c r="Q44" s="7" t="s">
        <v>29</v>
      </c>
      <c r="R44" s="7" t="s">
        <v>29</v>
      </c>
      <c r="S44" s="7" t="s">
        <v>29</v>
      </c>
    </row>
    <row r="45" spans="2:19">
      <c r="B45" s="7" t="s">
        <v>195</v>
      </c>
      <c r="C45" s="8" t="s">
        <v>195</v>
      </c>
      <c r="D45" s="6" t="str">
        <f>LRTRIM(CONCATENATE(IF(SUMPRODUCT(-- ISNUMBER(SEARCH({"Auto Number"}, $B45))) &gt; 0, $B45, IF(SUMPRODUCT(-- ISNUMBER(SEARCH({"Lookup","Master-Detail"}, $B45))) &gt; 0,$B45 &amp; "(" &amp; $E45 &amp; ")",IF(SUMPRODUCT(-- ISNUMBER(SEARCH({"Formula","Roll-Up Summary"}, $B45))) &gt; 0,$B45 &amp; " (" &amp; $E45 &amp; ")",IF(SUMPRODUCT(-- ISNUMBER(SEARCH({"Content","Currency","Number","Percent","Text","URL"}, $B45))) &gt; 0,$B45 &amp; "(" &amp; $C45 &amp; ")",$B45)))), "  ", TRIM(IF($S45 = "YES", "(External ID)", "") &amp; " " &amp; IF(SUMPRODUCT(-- ISNUMBER(SEARCH({"Unique","Unique Case Insensitive"}, $R45))) &gt; 0, "(" &amp; $R45 &amp; ")", ""))))</f>
        <v>na</v>
      </c>
      <c r="E45" s="7" t="s">
        <v>195</v>
      </c>
      <c r="F45" s="7" t="s">
        <v>195</v>
      </c>
      <c r="G45" s="7" t="s">
        <v>195</v>
      </c>
      <c r="H45" s="7" t="s">
        <v>195</v>
      </c>
      <c r="I45" s="7" t="s">
        <v>195</v>
      </c>
      <c r="J45" s="7" t="s">
        <v>195</v>
      </c>
      <c r="K45" s="7" t="s">
        <v>195</v>
      </c>
      <c r="L45" s="7" t="s">
        <v>195</v>
      </c>
      <c r="M45" s="7" t="s">
        <v>29</v>
      </c>
      <c r="N45" s="7" t="s">
        <v>29</v>
      </c>
      <c r="O45" s="7" t="s">
        <v>29</v>
      </c>
      <c r="P45" s="7" t="s">
        <v>29</v>
      </c>
      <c r="Q45" s="7" t="s">
        <v>29</v>
      </c>
      <c r="R45" s="7" t="s">
        <v>29</v>
      </c>
      <c r="S45" s="7" t="s">
        <v>29</v>
      </c>
    </row>
    <row r="46" spans="2:19">
      <c r="B46" s="7" t="s">
        <v>195</v>
      </c>
      <c r="C46" s="8" t="s">
        <v>195</v>
      </c>
      <c r="D46" s="6" t="str">
        <f>LRTRIM(CONCATENATE(IF(SUMPRODUCT(-- ISNUMBER(SEARCH({"Auto Number"}, $B46))) &gt; 0, $B46, IF(SUMPRODUCT(-- ISNUMBER(SEARCH({"Lookup","Master-Detail"}, $B46))) &gt; 0,$B46 &amp; "(" &amp; $E46 &amp; ")",IF(SUMPRODUCT(-- ISNUMBER(SEARCH({"Formula","Roll-Up Summary"}, $B46))) &gt; 0,$B46 &amp; " (" &amp; $E46 &amp; ")",IF(SUMPRODUCT(-- ISNUMBER(SEARCH({"Content","Currency","Number","Percent","Text","URL"}, $B46))) &gt; 0,$B46 &amp; "(" &amp; $C46 &amp; ")",$B46)))), "  ", TRIM(IF($S46 = "YES", "(External ID)", "") &amp; " " &amp; IF(SUMPRODUCT(-- ISNUMBER(SEARCH({"Unique","Unique Case Insensitive"}, $R46))) &gt; 0, "(" &amp; $R46 &amp; ")", ""))))</f>
        <v>na</v>
      </c>
      <c r="E46" s="7" t="s">
        <v>195</v>
      </c>
      <c r="F46" s="7" t="s">
        <v>195</v>
      </c>
      <c r="G46" s="7" t="s">
        <v>195</v>
      </c>
      <c r="H46" s="7" t="s">
        <v>195</v>
      </c>
      <c r="I46" s="7" t="s">
        <v>195</v>
      </c>
      <c r="J46" s="7" t="s">
        <v>195</v>
      </c>
      <c r="K46" s="7" t="s">
        <v>195</v>
      </c>
      <c r="L46" s="7" t="s">
        <v>195</v>
      </c>
      <c r="M46" s="7" t="s">
        <v>29</v>
      </c>
      <c r="N46" s="7" t="s">
        <v>29</v>
      </c>
      <c r="O46" s="7" t="s">
        <v>29</v>
      </c>
      <c r="P46" s="7" t="s">
        <v>29</v>
      </c>
      <c r="Q46" s="7" t="s">
        <v>29</v>
      </c>
      <c r="R46" s="7" t="s">
        <v>29</v>
      </c>
      <c r="S46" s="7" t="s">
        <v>29</v>
      </c>
    </row>
    <row r="47" spans="2:19">
      <c r="B47" s="7" t="s">
        <v>195</v>
      </c>
      <c r="C47" s="8" t="s">
        <v>195</v>
      </c>
      <c r="D47" s="6" t="str">
        <f>LRTRIM(CONCATENATE(IF(SUMPRODUCT(-- ISNUMBER(SEARCH({"Auto Number"}, $B47))) &gt; 0, $B47, IF(SUMPRODUCT(-- ISNUMBER(SEARCH({"Lookup","Master-Detail"}, $B47))) &gt; 0,$B47 &amp; "(" &amp; $E47 &amp; ")",IF(SUMPRODUCT(-- ISNUMBER(SEARCH({"Formula","Roll-Up Summary"}, $B47))) &gt; 0,$B47 &amp; " (" &amp; $E47 &amp; ")",IF(SUMPRODUCT(-- ISNUMBER(SEARCH({"Content","Currency","Number","Percent","Text","URL"}, $B47))) &gt; 0,$B47 &amp; "(" &amp; $C47 &amp; ")",$B47)))), "  ", TRIM(IF($S47 = "YES", "(External ID)", "") &amp; " " &amp; IF(SUMPRODUCT(-- ISNUMBER(SEARCH({"Unique","Unique Case Insensitive"}, $R47))) &gt; 0, "(" &amp; $R47 &amp; ")", ""))))</f>
        <v>na</v>
      </c>
      <c r="E47" s="7" t="s">
        <v>195</v>
      </c>
      <c r="F47" s="7" t="s">
        <v>195</v>
      </c>
      <c r="G47" s="7" t="s">
        <v>195</v>
      </c>
      <c r="H47" s="7" t="s">
        <v>195</v>
      </c>
      <c r="I47" s="7" t="s">
        <v>195</v>
      </c>
      <c r="J47" s="7" t="s">
        <v>195</v>
      </c>
      <c r="K47" s="7" t="s">
        <v>195</v>
      </c>
      <c r="L47" s="7" t="s">
        <v>195</v>
      </c>
      <c r="M47" s="7" t="s">
        <v>29</v>
      </c>
      <c r="N47" s="7" t="s">
        <v>29</v>
      </c>
      <c r="O47" s="7" t="s">
        <v>29</v>
      </c>
      <c r="P47" s="7" t="s">
        <v>29</v>
      </c>
      <c r="Q47" s="7" t="s">
        <v>29</v>
      </c>
      <c r="R47" s="7" t="s">
        <v>29</v>
      </c>
      <c r="S47" s="7" t="s">
        <v>29</v>
      </c>
    </row>
    <row r="48" spans="2:19">
      <c r="B48" s="7" t="s">
        <v>195</v>
      </c>
      <c r="C48" s="8" t="s">
        <v>195</v>
      </c>
      <c r="D48" s="6" t="str">
        <f>LRTRIM(CONCATENATE(IF(SUMPRODUCT(-- ISNUMBER(SEARCH({"Auto Number"}, $B48))) &gt; 0, $B48, IF(SUMPRODUCT(-- ISNUMBER(SEARCH({"Lookup","Master-Detail"}, $B48))) &gt; 0,$B48 &amp; "(" &amp; $E48 &amp; ")",IF(SUMPRODUCT(-- ISNUMBER(SEARCH({"Formula","Roll-Up Summary"}, $B48))) &gt; 0,$B48 &amp; " (" &amp; $E48 &amp; ")",IF(SUMPRODUCT(-- ISNUMBER(SEARCH({"Content","Currency","Number","Percent","Text","URL"}, $B48))) &gt; 0,$B48 &amp; "(" &amp; $C48 &amp; ")",$B48)))), "  ", TRIM(IF($S48 = "YES", "(External ID)", "") &amp; " " &amp; IF(SUMPRODUCT(-- ISNUMBER(SEARCH({"Unique","Unique Case Insensitive"}, $R48))) &gt; 0, "(" &amp; $R48 &amp; ")", ""))))</f>
        <v>na</v>
      </c>
      <c r="E48" s="7" t="s">
        <v>195</v>
      </c>
      <c r="F48" s="7" t="s">
        <v>195</v>
      </c>
      <c r="G48" s="7" t="s">
        <v>195</v>
      </c>
      <c r="H48" s="7" t="s">
        <v>195</v>
      </c>
      <c r="I48" s="7" t="s">
        <v>195</v>
      </c>
      <c r="J48" s="7" t="s">
        <v>195</v>
      </c>
      <c r="K48" s="7" t="s">
        <v>195</v>
      </c>
      <c r="L48" s="7" t="s">
        <v>195</v>
      </c>
      <c r="M48" s="7" t="s">
        <v>29</v>
      </c>
      <c r="N48" s="7" t="s">
        <v>29</v>
      </c>
      <c r="O48" s="7" t="s">
        <v>29</v>
      </c>
      <c r="P48" s="7" t="s">
        <v>29</v>
      </c>
      <c r="Q48" s="7" t="s">
        <v>29</v>
      </c>
      <c r="R48" s="7" t="s">
        <v>29</v>
      </c>
      <c r="S48" s="7" t="s">
        <v>29</v>
      </c>
    </row>
    <row r="49" spans="2:19">
      <c r="B49" s="7" t="s">
        <v>195</v>
      </c>
      <c r="C49" s="8" t="s">
        <v>195</v>
      </c>
      <c r="D49" s="6" t="str">
        <f>LRTRIM(CONCATENATE(IF(SUMPRODUCT(-- ISNUMBER(SEARCH({"Auto Number"}, $B49))) &gt; 0, $B49, IF(SUMPRODUCT(-- ISNUMBER(SEARCH({"Lookup","Master-Detail"}, $B49))) &gt; 0,$B49 &amp; "(" &amp; $E49 &amp; ")",IF(SUMPRODUCT(-- ISNUMBER(SEARCH({"Formula","Roll-Up Summary"}, $B49))) &gt; 0,$B49 &amp; " (" &amp; $E49 &amp; ")",IF(SUMPRODUCT(-- ISNUMBER(SEARCH({"Content","Currency","Number","Percent","Text","URL"}, $B49))) &gt; 0,$B49 &amp; "(" &amp; $C49 &amp; ")",$B49)))), "  ", TRIM(IF($S49 = "YES", "(External ID)", "") &amp; " " &amp; IF(SUMPRODUCT(-- ISNUMBER(SEARCH({"Unique","Unique Case Insensitive"}, $R49))) &gt; 0, "(" &amp; $R49 &amp; ")", ""))))</f>
        <v>na</v>
      </c>
      <c r="E49" s="7" t="s">
        <v>195</v>
      </c>
      <c r="F49" s="7" t="s">
        <v>195</v>
      </c>
      <c r="G49" s="7" t="s">
        <v>195</v>
      </c>
      <c r="H49" s="7" t="s">
        <v>195</v>
      </c>
      <c r="I49" s="7" t="s">
        <v>195</v>
      </c>
      <c r="J49" s="7" t="s">
        <v>195</v>
      </c>
      <c r="K49" s="7" t="s">
        <v>195</v>
      </c>
      <c r="L49" s="7" t="s">
        <v>195</v>
      </c>
      <c r="M49" s="7" t="s">
        <v>29</v>
      </c>
      <c r="N49" s="7" t="s">
        <v>29</v>
      </c>
      <c r="O49" s="7" t="s">
        <v>29</v>
      </c>
      <c r="P49" s="7" t="s">
        <v>29</v>
      </c>
      <c r="Q49" s="7" t="s">
        <v>29</v>
      </c>
      <c r="R49" s="7" t="s">
        <v>29</v>
      </c>
      <c r="S49" s="7" t="s">
        <v>29</v>
      </c>
    </row>
    <row r="50" spans="2:19">
      <c r="B50" s="7" t="s">
        <v>195</v>
      </c>
      <c r="C50" s="8" t="s">
        <v>195</v>
      </c>
      <c r="D50" s="6" t="str">
        <f>LRTRIM(CONCATENATE(IF(SUMPRODUCT(-- ISNUMBER(SEARCH({"Auto Number"}, $B50))) &gt; 0, $B50, IF(SUMPRODUCT(-- ISNUMBER(SEARCH({"Lookup","Master-Detail"}, $B50))) &gt; 0,$B50 &amp; "(" &amp; $E50 &amp; ")",IF(SUMPRODUCT(-- ISNUMBER(SEARCH({"Formula","Roll-Up Summary"}, $B50))) &gt; 0,$B50 &amp; " (" &amp; $E50 &amp; ")",IF(SUMPRODUCT(-- ISNUMBER(SEARCH({"Content","Currency","Number","Percent","Text","URL"}, $B50))) &gt; 0,$B50 &amp; "(" &amp; $C50 &amp; ")",$B50)))), "  ", TRIM(IF($S50 = "YES", "(External ID)", "") &amp; " " &amp; IF(SUMPRODUCT(-- ISNUMBER(SEARCH({"Unique","Unique Case Insensitive"}, $R50))) &gt; 0, "(" &amp; $R50 &amp; ")", ""))))</f>
        <v>na</v>
      </c>
      <c r="E50" s="7" t="s">
        <v>195</v>
      </c>
      <c r="F50" s="7" t="s">
        <v>195</v>
      </c>
      <c r="G50" s="7" t="s">
        <v>195</v>
      </c>
      <c r="H50" s="7" t="s">
        <v>195</v>
      </c>
      <c r="I50" s="7" t="s">
        <v>195</v>
      </c>
      <c r="J50" s="7" t="s">
        <v>195</v>
      </c>
      <c r="K50" s="7" t="s">
        <v>195</v>
      </c>
      <c r="L50" s="7" t="s">
        <v>195</v>
      </c>
      <c r="M50" s="7" t="s">
        <v>29</v>
      </c>
      <c r="N50" s="7" t="s">
        <v>29</v>
      </c>
      <c r="O50" s="7" t="s">
        <v>29</v>
      </c>
      <c r="P50" s="7" t="s">
        <v>29</v>
      </c>
      <c r="Q50" s="7" t="s">
        <v>29</v>
      </c>
      <c r="R50" s="7" t="s">
        <v>29</v>
      </c>
      <c r="S50" s="7" t="s">
        <v>29</v>
      </c>
    </row>
    <row r="51" spans="2:19">
      <c r="B51" s="7" t="s">
        <v>195</v>
      </c>
      <c r="C51" s="8" t="s">
        <v>195</v>
      </c>
      <c r="D51" s="6" t="str">
        <f>LRTRIM(CONCATENATE(IF(SUMPRODUCT(-- ISNUMBER(SEARCH({"Auto Number"}, $B51))) &gt; 0, $B51, IF(SUMPRODUCT(-- ISNUMBER(SEARCH({"Lookup","Master-Detail"}, $B51))) &gt; 0,$B51 &amp; "(" &amp; $E51 &amp; ")",IF(SUMPRODUCT(-- ISNUMBER(SEARCH({"Formula","Roll-Up Summary"}, $B51))) &gt; 0,$B51 &amp; " (" &amp; $E51 &amp; ")",IF(SUMPRODUCT(-- ISNUMBER(SEARCH({"Content","Currency","Number","Percent","Text","URL"}, $B51))) &gt; 0,$B51 &amp; "(" &amp; $C51 &amp; ")",$B51)))), "  ", TRIM(IF($S51 = "YES", "(External ID)", "") &amp; " " &amp; IF(SUMPRODUCT(-- ISNUMBER(SEARCH({"Unique","Unique Case Insensitive"}, $R51))) &gt; 0, "(" &amp; $R51 &amp; ")", ""))))</f>
        <v>na</v>
      </c>
      <c r="E51" s="7" t="s">
        <v>195</v>
      </c>
      <c r="F51" s="7" t="s">
        <v>195</v>
      </c>
      <c r="G51" s="7" t="s">
        <v>195</v>
      </c>
      <c r="H51" s="7" t="s">
        <v>195</v>
      </c>
      <c r="I51" s="7" t="s">
        <v>195</v>
      </c>
      <c r="J51" s="7" t="s">
        <v>195</v>
      </c>
      <c r="K51" s="7" t="s">
        <v>195</v>
      </c>
      <c r="L51" s="7" t="s">
        <v>195</v>
      </c>
      <c r="M51" s="7" t="s">
        <v>29</v>
      </c>
      <c r="N51" s="7" t="s">
        <v>29</v>
      </c>
      <c r="O51" s="7" t="s">
        <v>29</v>
      </c>
      <c r="P51" s="7" t="s">
        <v>29</v>
      </c>
      <c r="Q51" s="7" t="s">
        <v>29</v>
      </c>
      <c r="R51" s="7" t="s">
        <v>29</v>
      </c>
      <c r="S51" s="7" t="s">
        <v>29</v>
      </c>
    </row>
    <row r="52" spans="2:19">
      <c r="B52" s="7" t="s">
        <v>195</v>
      </c>
      <c r="C52" s="8" t="s">
        <v>195</v>
      </c>
      <c r="D52" s="6" t="str">
        <f>LRTRIM(CONCATENATE(IF(SUMPRODUCT(-- ISNUMBER(SEARCH({"Auto Number"}, $B52))) &gt; 0, $B52, IF(SUMPRODUCT(-- ISNUMBER(SEARCH({"Lookup","Master-Detail"}, $B52))) &gt; 0,$B52 &amp; "(" &amp; $E52 &amp; ")",IF(SUMPRODUCT(-- ISNUMBER(SEARCH({"Formula","Roll-Up Summary"}, $B52))) &gt; 0,$B52 &amp; " (" &amp; $E52 &amp; ")",IF(SUMPRODUCT(-- ISNUMBER(SEARCH({"Content","Currency","Number","Percent","Text","URL"}, $B52))) &gt; 0,$B52 &amp; "(" &amp; $C52 &amp; ")",$B52)))), "  ", TRIM(IF($S52 = "YES", "(External ID)", "") &amp; " " &amp; IF(SUMPRODUCT(-- ISNUMBER(SEARCH({"Unique","Unique Case Insensitive"}, $R52))) &gt; 0, "(" &amp; $R52 &amp; ")", ""))))</f>
        <v>na</v>
      </c>
      <c r="E52" s="7" t="s">
        <v>195</v>
      </c>
      <c r="F52" s="7" t="s">
        <v>195</v>
      </c>
      <c r="G52" s="7" t="s">
        <v>195</v>
      </c>
      <c r="H52" s="7" t="s">
        <v>195</v>
      </c>
      <c r="I52" s="7" t="s">
        <v>195</v>
      </c>
      <c r="J52" s="7" t="s">
        <v>195</v>
      </c>
      <c r="K52" s="7" t="s">
        <v>195</v>
      </c>
      <c r="L52" s="7" t="s">
        <v>195</v>
      </c>
      <c r="M52" s="7" t="s">
        <v>29</v>
      </c>
      <c r="N52" s="7" t="s">
        <v>29</v>
      </c>
      <c r="O52" s="7" t="s">
        <v>29</v>
      </c>
      <c r="P52" s="7" t="s">
        <v>29</v>
      </c>
      <c r="Q52" s="7" t="s">
        <v>29</v>
      </c>
      <c r="R52" s="7" t="s">
        <v>29</v>
      </c>
      <c r="S52" s="7" t="s">
        <v>29</v>
      </c>
    </row>
    <row r="53" spans="2:19">
      <c r="B53" s="7" t="s">
        <v>195</v>
      </c>
      <c r="C53" s="8" t="s">
        <v>195</v>
      </c>
      <c r="D53" s="6" t="str">
        <f>LRTRIM(CONCATENATE(IF(SUMPRODUCT(-- ISNUMBER(SEARCH({"Auto Number"}, $B53))) &gt; 0, $B53, IF(SUMPRODUCT(-- ISNUMBER(SEARCH({"Lookup","Master-Detail"}, $B53))) &gt; 0,$B53 &amp; "(" &amp; $E53 &amp; ")",IF(SUMPRODUCT(-- ISNUMBER(SEARCH({"Formula","Roll-Up Summary"}, $B53))) &gt; 0,$B53 &amp; " (" &amp; $E53 &amp; ")",IF(SUMPRODUCT(-- ISNUMBER(SEARCH({"Content","Currency","Number","Percent","Text","URL"}, $B53))) &gt; 0,$B53 &amp; "(" &amp; $C53 &amp; ")",$B53)))), "  ", TRIM(IF($S53 = "YES", "(External ID)", "") &amp; " " &amp; IF(SUMPRODUCT(-- ISNUMBER(SEARCH({"Unique","Unique Case Insensitive"}, $R53))) &gt; 0, "(" &amp; $R53 &amp; ")", ""))))</f>
        <v>na</v>
      </c>
      <c r="E53" s="7" t="s">
        <v>195</v>
      </c>
      <c r="F53" s="7" t="s">
        <v>195</v>
      </c>
      <c r="G53" s="7" t="s">
        <v>195</v>
      </c>
      <c r="H53" s="7" t="s">
        <v>195</v>
      </c>
      <c r="I53" s="7" t="s">
        <v>195</v>
      </c>
      <c r="J53" s="7" t="s">
        <v>195</v>
      </c>
      <c r="K53" s="7" t="s">
        <v>195</v>
      </c>
      <c r="L53" s="7" t="s">
        <v>195</v>
      </c>
      <c r="M53" s="7" t="s">
        <v>29</v>
      </c>
      <c r="N53" s="7" t="s">
        <v>29</v>
      </c>
      <c r="O53" s="7" t="s">
        <v>29</v>
      </c>
      <c r="P53" s="7" t="s">
        <v>29</v>
      </c>
      <c r="Q53" s="7" t="s">
        <v>29</v>
      </c>
      <c r="R53" s="7" t="s">
        <v>29</v>
      </c>
      <c r="S53" s="7" t="s">
        <v>29</v>
      </c>
    </row>
    <row r="54" spans="2:19">
      <c r="B54" s="7" t="s">
        <v>195</v>
      </c>
      <c r="C54" s="8" t="s">
        <v>195</v>
      </c>
      <c r="D54" s="6" t="str">
        <f>LRTRIM(CONCATENATE(IF(SUMPRODUCT(-- ISNUMBER(SEARCH({"Auto Number"}, $B54))) &gt; 0, $B54, IF(SUMPRODUCT(-- ISNUMBER(SEARCH({"Lookup","Master-Detail"}, $B54))) &gt; 0,$B54 &amp; "(" &amp; $E54 &amp; ")",IF(SUMPRODUCT(-- ISNUMBER(SEARCH({"Formula","Roll-Up Summary"}, $B54))) &gt; 0,$B54 &amp; " (" &amp; $E54 &amp; ")",IF(SUMPRODUCT(-- ISNUMBER(SEARCH({"Content","Currency","Number","Percent","Text","URL"}, $B54))) &gt; 0,$B54 &amp; "(" &amp; $C54 &amp; ")",$B54)))), "  ", TRIM(IF($S54 = "YES", "(External ID)", "") &amp; " " &amp; IF(SUMPRODUCT(-- ISNUMBER(SEARCH({"Unique","Unique Case Insensitive"}, $R54))) &gt; 0, "(" &amp; $R54 &amp; ")", ""))))</f>
        <v>na</v>
      </c>
      <c r="E54" s="7" t="s">
        <v>195</v>
      </c>
      <c r="F54" s="7" t="s">
        <v>195</v>
      </c>
      <c r="G54" s="7" t="s">
        <v>195</v>
      </c>
      <c r="H54" s="7" t="s">
        <v>195</v>
      </c>
      <c r="I54" s="7" t="s">
        <v>195</v>
      </c>
      <c r="J54" s="7" t="s">
        <v>195</v>
      </c>
      <c r="K54" s="7" t="s">
        <v>195</v>
      </c>
      <c r="L54" s="7" t="s">
        <v>195</v>
      </c>
      <c r="M54" s="7" t="s">
        <v>29</v>
      </c>
      <c r="N54" s="7" t="s">
        <v>29</v>
      </c>
      <c r="O54" s="7" t="s">
        <v>29</v>
      </c>
      <c r="P54" s="7" t="s">
        <v>29</v>
      </c>
      <c r="Q54" s="7" t="s">
        <v>29</v>
      </c>
      <c r="R54" s="7" t="s">
        <v>29</v>
      </c>
      <c r="S54" s="7" t="s">
        <v>29</v>
      </c>
    </row>
    <row r="55" spans="2:19">
      <c r="B55" s="7" t="s">
        <v>195</v>
      </c>
      <c r="C55" s="8" t="s">
        <v>195</v>
      </c>
      <c r="D55" s="6" t="str">
        <f>LRTRIM(CONCATENATE(IF(SUMPRODUCT(-- ISNUMBER(SEARCH({"Auto Number"}, $B55))) &gt; 0, $B55, IF(SUMPRODUCT(-- ISNUMBER(SEARCH({"Lookup","Master-Detail"}, $B55))) &gt; 0,$B55 &amp; "(" &amp; $E55 &amp; ")",IF(SUMPRODUCT(-- ISNUMBER(SEARCH({"Formula","Roll-Up Summary"}, $B55))) &gt; 0,$B55 &amp; " (" &amp; $E55 &amp; ")",IF(SUMPRODUCT(-- ISNUMBER(SEARCH({"Content","Currency","Number","Percent","Text","URL"}, $B55))) &gt; 0,$B55 &amp; "(" &amp; $C55 &amp; ")",$B55)))), "  ", TRIM(IF($S55 = "YES", "(External ID)", "") &amp; " " &amp; IF(SUMPRODUCT(-- ISNUMBER(SEARCH({"Unique","Unique Case Insensitive"}, $R55))) &gt; 0, "(" &amp; $R55 &amp; ")", ""))))</f>
        <v>na</v>
      </c>
      <c r="E55" s="7" t="s">
        <v>195</v>
      </c>
      <c r="F55" s="7" t="s">
        <v>195</v>
      </c>
      <c r="G55" s="7" t="s">
        <v>195</v>
      </c>
      <c r="H55" s="7" t="s">
        <v>195</v>
      </c>
      <c r="I55" s="7" t="s">
        <v>195</v>
      </c>
      <c r="J55" s="7" t="s">
        <v>195</v>
      </c>
      <c r="K55" s="7" t="s">
        <v>195</v>
      </c>
      <c r="L55" s="7" t="s">
        <v>195</v>
      </c>
      <c r="M55" s="7" t="s">
        <v>29</v>
      </c>
      <c r="N55" s="7" t="s">
        <v>29</v>
      </c>
      <c r="O55" s="7" t="s">
        <v>29</v>
      </c>
      <c r="P55" s="7" t="s">
        <v>29</v>
      </c>
      <c r="Q55" s="7" t="s">
        <v>29</v>
      </c>
      <c r="R55" s="7" t="s">
        <v>29</v>
      </c>
      <c r="S55" s="7" t="s">
        <v>29</v>
      </c>
    </row>
    <row r="56" spans="2:19">
      <c r="B56" s="7" t="s">
        <v>195</v>
      </c>
      <c r="C56" s="8" t="s">
        <v>195</v>
      </c>
      <c r="D56" s="6" t="str">
        <f>LRTRIM(CONCATENATE(IF(SUMPRODUCT(-- ISNUMBER(SEARCH({"Auto Number"}, $B56))) &gt; 0, $B56, IF(SUMPRODUCT(-- ISNUMBER(SEARCH({"Lookup","Master-Detail"}, $B56))) &gt; 0,$B56 &amp; "(" &amp; $E56 &amp; ")",IF(SUMPRODUCT(-- ISNUMBER(SEARCH({"Formula","Roll-Up Summary"}, $B56))) &gt; 0,$B56 &amp; " (" &amp; $E56 &amp; ")",IF(SUMPRODUCT(-- ISNUMBER(SEARCH({"Content","Currency","Number","Percent","Text","URL"}, $B56))) &gt; 0,$B56 &amp; "(" &amp; $C56 &amp; ")",$B56)))), "  ", TRIM(IF($S56 = "YES", "(External ID)", "") &amp; " " &amp; IF(SUMPRODUCT(-- ISNUMBER(SEARCH({"Unique","Unique Case Insensitive"}, $R56))) &gt; 0, "(" &amp; $R56 &amp; ")", ""))))</f>
        <v>na</v>
      </c>
      <c r="E56" s="7" t="s">
        <v>195</v>
      </c>
      <c r="F56" s="7" t="s">
        <v>195</v>
      </c>
      <c r="G56" s="7" t="s">
        <v>195</v>
      </c>
      <c r="H56" s="7" t="s">
        <v>195</v>
      </c>
      <c r="I56" s="7" t="s">
        <v>195</v>
      </c>
      <c r="J56" s="7" t="s">
        <v>195</v>
      </c>
      <c r="K56" s="7" t="s">
        <v>195</v>
      </c>
      <c r="L56" s="7" t="s">
        <v>195</v>
      </c>
      <c r="M56" s="7" t="s">
        <v>29</v>
      </c>
      <c r="N56" s="7" t="s">
        <v>29</v>
      </c>
      <c r="O56" s="7" t="s">
        <v>29</v>
      </c>
      <c r="P56" s="7" t="s">
        <v>29</v>
      </c>
      <c r="Q56" s="7" t="s">
        <v>29</v>
      </c>
      <c r="R56" s="7" t="s">
        <v>29</v>
      </c>
      <c r="S56" s="7" t="s">
        <v>29</v>
      </c>
    </row>
    <row r="57" spans="2:19">
      <c r="B57" s="7" t="s">
        <v>195</v>
      </c>
      <c r="C57" s="8" t="s">
        <v>195</v>
      </c>
      <c r="D57" s="6" t="str">
        <f>LRTRIM(CONCATENATE(IF(SUMPRODUCT(-- ISNUMBER(SEARCH({"Auto Number"}, $B57))) &gt; 0, $B57, IF(SUMPRODUCT(-- ISNUMBER(SEARCH({"Lookup","Master-Detail"}, $B57))) &gt; 0,$B57 &amp; "(" &amp; $E57 &amp; ")",IF(SUMPRODUCT(-- ISNUMBER(SEARCH({"Formula","Roll-Up Summary"}, $B57))) &gt; 0,$B57 &amp; " (" &amp; $E57 &amp; ")",IF(SUMPRODUCT(-- ISNUMBER(SEARCH({"Content","Currency","Number","Percent","Text","URL"}, $B57))) &gt; 0,$B57 &amp; "(" &amp; $C57 &amp; ")",$B57)))), "  ", TRIM(IF($S57 = "YES", "(External ID)", "") &amp; " " &amp; IF(SUMPRODUCT(-- ISNUMBER(SEARCH({"Unique","Unique Case Insensitive"}, $R57))) &gt; 0, "(" &amp; $R57 &amp; ")", ""))))</f>
        <v>na</v>
      </c>
      <c r="E57" s="7" t="s">
        <v>195</v>
      </c>
      <c r="F57" s="7" t="s">
        <v>195</v>
      </c>
      <c r="G57" s="7" t="s">
        <v>195</v>
      </c>
      <c r="H57" s="7" t="s">
        <v>195</v>
      </c>
      <c r="I57" s="7" t="s">
        <v>195</v>
      </c>
      <c r="J57" s="7" t="s">
        <v>195</v>
      </c>
      <c r="K57" s="7" t="s">
        <v>195</v>
      </c>
      <c r="L57" s="7" t="s">
        <v>195</v>
      </c>
      <c r="M57" s="7" t="s">
        <v>29</v>
      </c>
      <c r="N57" s="7" t="s">
        <v>29</v>
      </c>
      <c r="O57" s="7" t="s">
        <v>29</v>
      </c>
      <c r="P57" s="7" t="s">
        <v>29</v>
      </c>
      <c r="Q57" s="7" t="s">
        <v>29</v>
      </c>
      <c r="R57" s="7" t="s">
        <v>29</v>
      </c>
      <c r="S57" s="7" t="s">
        <v>29</v>
      </c>
    </row>
    <row r="58" spans="2:19">
      <c r="B58" s="7" t="s">
        <v>195</v>
      </c>
      <c r="C58" s="8" t="s">
        <v>195</v>
      </c>
      <c r="D58" s="6" t="str">
        <f>LRTRIM(CONCATENATE(IF(SUMPRODUCT(-- ISNUMBER(SEARCH({"Auto Number"}, $B58))) &gt; 0, $B58, IF(SUMPRODUCT(-- ISNUMBER(SEARCH({"Lookup","Master-Detail"}, $B58))) &gt; 0,$B58 &amp; "(" &amp; $E58 &amp; ")",IF(SUMPRODUCT(-- ISNUMBER(SEARCH({"Formula","Roll-Up Summary"}, $B58))) &gt; 0,$B58 &amp; " (" &amp; $E58 &amp; ")",IF(SUMPRODUCT(-- ISNUMBER(SEARCH({"Content","Currency","Number","Percent","Text","URL"}, $B58))) &gt; 0,$B58 &amp; "(" &amp; $C58 &amp; ")",$B58)))), "  ", TRIM(IF($S58 = "YES", "(External ID)", "") &amp; " " &amp; IF(SUMPRODUCT(-- ISNUMBER(SEARCH({"Unique","Unique Case Insensitive"}, $R58))) &gt; 0, "(" &amp; $R58 &amp; ")", ""))))</f>
        <v>na</v>
      </c>
      <c r="E58" s="7" t="s">
        <v>195</v>
      </c>
      <c r="F58" s="7" t="s">
        <v>195</v>
      </c>
      <c r="G58" s="7" t="s">
        <v>195</v>
      </c>
      <c r="H58" s="7" t="s">
        <v>195</v>
      </c>
      <c r="I58" s="7" t="s">
        <v>195</v>
      </c>
      <c r="J58" s="7" t="s">
        <v>195</v>
      </c>
      <c r="K58" s="7" t="s">
        <v>195</v>
      </c>
      <c r="L58" s="7" t="s">
        <v>195</v>
      </c>
      <c r="M58" s="7" t="s">
        <v>29</v>
      </c>
      <c r="N58" s="7" t="s">
        <v>29</v>
      </c>
      <c r="O58" s="7" t="s">
        <v>29</v>
      </c>
      <c r="P58" s="7" t="s">
        <v>29</v>
      </c>
      <c r="Q58" s="7" t="s">
        <v>29</v>
      </c>
      <c r="R58" s="7" t="s">
        <v>29</v>
      </c>
      <c r="S58" s="7" t="s">
        <v>29</v>
      </c>
    </row>
    <row r="59" spans="2:19">
      <c r="B59" s="7" t="s">
        <v>195</v>
      </c>
      <c r="C59" s="8" t="s">
        <v>195</v>
      </c>
      <c r="D59" s="6" t="str">
        <f>LRTRIM(CONCATENATE(IF(SUMPRODUCT(-- ISNUMBER(SEARCH({"Auto Number"}, $B59))) &gt; 0, $B59, IF(SUMPRODUCT(-- ISNUMBER(SEARCH({"Lookup","Master-Detail"}, $B59))) &gt; 0,$B59 &amp; "(" &amp; $E59 &amp; ")",IF(SUMPRODUCT(-- ISNUMBER(SEARCH({"Formula","Roll-Up Summary"}, $B59))) &gt; 0,$B59 &amp; " (" &amp; $E59 &amp; ")",IF(SUMPRODUCT(-- ISNUMBER(SEARCH({"Content","Currency","Number","Percent","Text","URL"}, $B59))) &gt; 0,$B59 &amp; "(" &amp; $C59 &amp; ")",$B59)))), "  ", TRIM(IF($S59 = "YES", "(External ID)", "") &amp; " " &amp; IF(SUMPRODUCT(-- ISNUMBER(SEARCH({"Unique","Unique Case Insensitive"}, $R59))) &gt; 0, "(" &amp; $R59 &amp; ")", ""))))</f>
        <v>na</v>
      </c>
      <c r="E59" s="7" t="s">
        <v>195</v>
      </c>
      <c r="F59" s="7" t="s">
        <v>195</v>
      </c>
      <c r="G59" s="7" t="s">
        <v>195</v>
      </c>
      <c r="H59" s="7" t="s">
        <v>195</v>
      </c>
      <c r="I59" s="7" t="s">
        <v>195</v>
      </c>
      <c r="J59" s="7" t="s">
        <v>195</v>
      </c>
      <c r="K59" s="7" t="s">
        <v>195</v>
      </c>
      <c r="L59" s="7" t="s">
        <v>195</v>
      </c>
      <c r="M59" s="7" t="s">
        <v>29</v>
      </c>
      <c r="N59" s="7" t="s">
        <v>29</v>
      </c>
      <c r="O59" s="7" t="s">
        <v>29</v>
      </c>
      <c r="P59" s="7" t="s">
        <v>29</v>
      </c>
      <c r="Q59" s="7" t="s">
        <v>29</v>
      </c>
      <c r="R59" s="7" t="s">
        <v>29</v>
      </c>
      <c r="S59" s="7" t="s">
        <v>29</v>
      </c>
    </row>
    <row r="60" spans="2:19">
      <c r="B60" s="7" t="s">
        <v>195</v>
      </c>
      <c r="C60" s="8" t="s">
        <v>195</v>
      </c>
      <c r="D60" s="6" t="str">
        <f>LRTRIM(CONCATENATE(IF(SUMPRODUCT(-- ISNUMBER(SEARCH({"Auto Number"}, $B60))) &gt; 0, $B60, IF(SUMPRODUCT(-- ISNUMBER(SEARCH({"Lookup","Master-Detail"}, $B60))) &gt; 0,$B60 &amp; "(" &amp; $E60 &amp; ")",IF(SUMPRODUCT(-- ISNUMBER(SEARCH({"Formula","Roll-Up Summary"}, $B60))) &gt; 0,$B60 &amp; " (" &amp; $E60 &amp; ")",IF(SUMPRODUCT(-- ISNUMBER(SEARCH({"Content","Currency","Number","Percent","Text","URL"}, $B60))) &gt; 0,$B60 &amp; "(" &amp; $C60 &amp; ")",$B60)))), "  ", TRIM(IF($S60 = "YES", "(External ID)", "") &amp; " " &amp; IF(SUMPRODUCT(-- ISNUMBER(SEARCH({"Unique","Unique Case Insensitive"}, $R60))) &gt; 0, "(" &amp; $R60 &amp; ")", ""))))</f>
        <v>na</v>
      </c>
      <c r="E60" s="7" t="s">
        <v>195</v>
      </c>
      <c r="F60" s="7" t="s">
        <v>195</v>
      </c>
      <c r="G60" s="7" t="s">
        <v>195</v>
      </c>
      <c r="H60" s="7" t="s">
        <v>195</v>
      </c>
      <c r="I60" s="7" t="s">
        <v>195</v>
      </c>
      <c r="J60" s="7" t="s">
        <v>195</v>
      </c>
      <c r="K60" s="7" t="s">
        <v>195</v>
      </c>
      <c r="L60" s="7" t="s">
        <v>195</v>
      </c>
      <c r="M60" s="7" t="s">
        <v>29</v>
      </c>
      <c r="N60" s="7" t="s">
        <v>29</v>
      </c>
      <c r="O60" s="7" t="s">
        <v>29</v>
      </c>
      <c r="P60" s="7" t="s">
        <v>29</v>
      </c>
      <c r="Q60" s="7" t="s">
        <v>29</v>
      </c>
      <c r="R60" s="7" t="s">
        <v>29</v>
      </c>
      <c r="S60" s="7" t="s">
        <v>29</v>
      </c>
    </row>
    <row r="61" spans="2:19">
      <c r="B61" s="7" t="s">
        <v>195</v>
      </c>
      <c r="C61" s="8" t="s">
        <v>195</v>
      </c>
      <c r="D61" s="6" t="str">
        <f>LRTRIM(CONCATENATE(IF(SUMPRODUCT(-- ISNUMBER(SEARCH({"Auto Number"}, $B61))) &gt; 0, $B61, IF(SUMPRODUCT(-- ISNUMBER(SEARCH({"Lookup","Master-Detail"}, $B61))) &gt; 0,$B61 &amp; "(" &amp; $E61 &amp; ")",IF(SUMPRODUCT(-- ISNUMBER(SEARCH({"Formula","Roll-Up Summary"}, $B61))) &gt; 0,$B61 &amp; " (" &amp; $E61 &amp; ")",IF(SUMPRODUCT(-- ISNUMBER(SEARCH({"Content","Currency","Number","Percent","Text","URL"}, $B61))) &gt; 0,$B61 &amp; "(" &amp; $C61 &amp; ")",$B61)))), "  ", TRIM(IF($S61 = "YES", "(External ID)", "") &amp; " " &amp; IF(SUMPRODUCT(-- ISNUMBER(SEARCH({"Unique","Unique Case Insensitive"}, $R61))) &gt; 0, "(" &amp; $R61 &amp; ")", ""))))</f>
        <v>na</v>
      </c>
      <c r="E61" s="7" t="s">
        <v>195</v>
      </c>
      <c r="F61" s="7" t="s">
        <v>195</v>
      </c>
      <c r="G61" s="7" t="s">
        <v>195</v>
      </c>
      <c r="H61" s="7" t="s">
        <v>195</v>
      </c>
      <c r="I61" s="7" t="s">
        <v>195</v>
      </c>
      <c r="J61" s="7" t="s">
        <v>195</v>
      </c>
      <c r="K61" s="7" t="s">
        <v>195</v>
      </c>
      <c r="L61" s="7" t="s">
        <v>195</v>
      </c>
      <c r="M61" s="7" t="s">
        <v>29</v>
      </c>
      <c r="N61" s="7" t="s">
        <v>29</v>
      </c>
      <c r="O61" s="7" t="s">
        <v>29</v>
      </c>
      <c r="P61" s="7" t="s">
        <v>29</v>
      </c>
      <c r="Q61" s="7" t="s">
        <v>29</v>
      </c>
      <c r="R61" s="7" t="s">
        <v>29</v>
      </c>
      <c r="S61" s="7" t="s">
        <v>29</v>
      </c>
    </row>
    <row r="62" spans="2:19">
      <c r="B62" s="7" t="s">
        <v>195</v>
      </c>
      <c r="C62" s="8" t="s">
        <v>195</v>
      </c>
      <c r="D62" s="6" t="str">
        <f>LRTRIM(CONCATENATE(IF(SUMPRODUCT(-- ISNUMBER(SEARCH({"Auto Number"}, $B62))) &gt; 0, $B62, IF(SUMPRODUCT(-- ISNUMBER(SEARCH({"Lookup","Master-Detail"}, $B62))) &gt; 0,$B62 &amp; "(" &amp; $E62 &amp; ")",IF(SUMPRODUCT(-- ISNUMBER(SEARCH({"Formula","Roll-Up Summary"}, $B62))) &gt; 0,$B62 &amp; " (" &amp; $E62 &amp; ")",IF(SUMPRODUCT(-- ISNUMBER(SEARCH({"Content","Currency","Number","Percent","Text","URL"}, $B62))) &gt; 0,$B62 &amp; "(" &amp; $C62 &amp; ")",$B62)))), "  ", TRIM(IF($S62 = "YES", "(External ID)", "") &amp; " " &amp; IF(SUMPRODUCT(-- ISNUMBER(SEARCH({"Unique","Unique Case Insensitive"}, $R62))) &gt; 0, "(" &amp; $R62 &amp; ")", ""))))</f>
        <v>na</v>
      </c>
      <c r="E62" s="7" t="s">
        <v>195</v>
      </c>
      <c r="F62" s="7" t="s">
        <v>195</v>
      </c>
      <c r="G62" s="7" t="s">
        <v>195</v>
      </c>
      <c r="H62" s="7" t="s">
        <v>195</v>
      </c>
      <c r="I62" s="7" t="s">
        <v>195</v>
      </c>
      <c r="J62" s="7" t="s">
        <v>195</v>
      </c>
      <c r="K62" s="7" t="s">
        <v>195</v>
      </c>
      <c r="L62" s="7" t="s">
        <v>195</v>
      </c>
      <c r="M62" s="7" t="s">
        <v>29</v>
      </c>
      <c r="N62" s="7" t="s">
        <v>29</v>
      </c>
      <c r="O62" s="7" t="s">
        <v>29</v>
      </c>
      <c r="P62" s="7" t="s">
        <v>29</v>
      </c>
      <c r="Q62" s="7" t="s">
        <v>29</v>
      </c>
      <c r="R62" s="7" t="s">
        <v>29</v>
      </c>
      <c r="S62" s="7" t="s">
        <v>29</v>
      </c>
    </row>
    <row r="63" spans="2:19">
      <c r="B63" s="7" t="s">
        <v>195</v>
      </c>
      <c r="C63" s="8" t="s">
        <v>195</v>
      </c>
      <c r="D63" s="6" t="str">
        <f>LRTRIM(CONCATENATE(IF(SUMPRODUCT(-- ISNUMBER(SEARCH({"Auto Number"}, $B63))) &gt; 0, $B63, IF(SUMPRODUCT(-- ISNUMBER(SEARCH({"Lookup","Master-Detail"}, $B63))) &gt; 0,$B63 &amp; "(" &amp; $E63 &amp; ")",IF(SUMPRODUCT(-- ISNUMBER(SEARCH({"Formula","Roll-Up Summary"}, $B63))) &gt; 0,$B63 &amp; " (" &amp; $E63 &amp; ")",IF(SUMPRODUCT(-- ISNUMBER(SEARCH({"Content","Currency","Number","Percent","Text","URL"}, $B63))) &gt; 0,$B63 &amp; "(" &amp; $C63 &amp; ")",$B63)))), "  ", TRIM(IF($S63 = "YES", "(External ID)", "") &amp; " " &amp; IF(SUMPRODUCT(-- ISNUMBER(SEARCH({"Unique","Unique Case Insensitive"}, $R63))) &gt; 0, "(" &amp; $R63 &amp; ")", ""))))</f>
        <v>na</v>
      </c>
      <c r="E63" s="7" t="s">
        <v>195</v>
      </c>
      <c r="F63" s="7" t="s">
        <v>195</v>
      </c>
      <c r="G63" s="7" t="s">
        <v>195</v>
      </c>
      <c r="H63" s="7" t="s">
        <v>195</v>
      </c>
      <c r="I63" s="7" t="s">
        <v>195</v>
      </c>
      <c r="J63" s="7" t="s">
        <v>195</v>
      </c>
      <c r="K63" s="7" t="s">
        <v>195</v>
      </c>
      <c r="L63" s="7" t="s">
        <v>195</v>
      </c>
      <c r="M63" s="7" t="s">
        <v>29</v>
      </c>
      <c r="N63" s="7" t="s">
        <v>29</v>
      </c>
      <c r="O63" s="7" t="s">
        <v>29</v>
      </c>
      <c r="P63" s="7" t="s">
        <v>29</v>
      </c>
      <c r="Q63" s="7" t="s">
        <v>29</v>
      </c>
      <c r="R63" s="7" t="s">
        <v>29</v>
      </c>
      <c r="S63" s="7" t="s">
        <v>29</v>
      </c>
    </row>
    <row r="64" spans="2:19">
      <c r="B64" s="7" t="s">
        <v>195</v>
      </c>
      <c r="C64" s="8" t="s">
        <v>195</v>
      </c>
      <c r="D64" s="6" t="str">
        <f>LRTRIM(CONCATENATE(IF(SUMPRODUCT(-- ISNUMBER(SEARCH({"Auto Number"}, $B64))) &gt; 0, $B64, IF(SUMPRODUCT(-- ISNUMBER(SEARCH({"Lookup","Master-Detail"}, $B64))) &gt; 0,$B64 &amp; "(" &amp; $E64 &amp; ")",IF(SUMPRODUCT(-- ISNUMBER(SEARCH({"Formula","Roll-Up Summary"}, $B64))) &gt; 0,$B64 &amp; " (" &amp; $E64 &amp; ")",IF(SUMPRODUCT(-- ISNUMBER(SEARCH({"Content","Currency","Number","Percent","Text","URL"}, $B64))) &gt; 0,$B64 &amp; "(" &amp; $C64 &amp; ")",$B64)))), "  ", TRIM(IF($S64 = "YES", "(External ID)", "") &amp; " " &amp; IF(SUMPRODUCT(-- ISNUMBER(SEARCH({"Unique","Unique Case Insensitive"}, $R64))) &gt; 0, "(" &amp; $R64 &amp; ")", ""))))</f>
        <v>na</v>
      </c>
      <c r="E64" s="7" t="s">
        <v>195</v>
      </c>
      <c r="F64" s="7" t="s">
        <v>195</v>
      </c>
      <c r="G64" s="7" t="s">
        <v>195</v>
      </c>
      <c r="H64" s="7" t="s">
        <v>195</v>
      </c>
      <c r="I64" s="7" t="s">
        <v>195</v>
      </c>
      <c r="J64" s="7" t="s">
        <v>195</v>
      </c>
      <c r="K64" s="7" t="s">
        <v>195</v>
      </c>
      <c r="L64" s="7" t="s">
        <v>195</v>
      </c>
      <c r="M64" s="7" t="s">
        <v>29</v>
      </c>
      <c r="N64" s="7" t="s">
        <v>29</v>
      </c>
      <c r="O64" s="7" t="s">
        <v>29</v>
      </c>
      <c r="P64" s="7" t="s">
        <v>29</v>
      </c>
      <c r="Q64" s="7" t="s">
        <v>29</v>
      </c>
      <c r="R64" s="7" t="s">
        <v>29</v>
      </c>
      <c r="S64" s="7" t="s">
        <v>29</v>
      </c>
    </row>
    <row r="65" spans="2:19">
      <c r="B65" s="7" t="s">
        <v>195</v>
      </c>
      <c r="C65" s="8" t="s">
        <v>195</v>
      </c>
      <c r="D65" s="6" t="str">
        <f>LRTRIM(CONCATENATE(IF(SUMPRODUCT(-- ISNUMBER(SEARCH({"Auto Number"}, $B65))) &gt; 0, $B65, IF(SUMPRODUCT(-- ISNUMBER(SEARCH({"Lookup","Master-Detail"}, $B65))) &gt; 0,$B65 &amp; "(" &amp; $E65 &amp; ")",IF(SUMPRODUCT(-- ISNUMBER(SEARCH({"Formula","Roll-Up Summary"}, $B65))) &gt; 0,$B65 &amp; " (" &amp; $E65 &amp; ")",IF(SUMPRODUCT(-- ISNUMBER(SEARCH({"Content","Currency","Number","Percent","Text","URL"}, $B65))) &gt; 0,$B65 &amp; "(" &amp; $C65 &amp; ")",$B65)))), "  ", TRIM(IF($S65 = "YES", "(External ID)", "") &amp; " " &amp; IF(SUMPRODUCT(-- ISNUMBER(SEARCH({"Unique","Unique Case Insensitive"}, $R65))) &gt; 0, "(" &amp; $R65 &amp; ")", ""))))</f>
        <v>na</v>
      </c>
      <c r="E65" s="7" t="s">
        <v>195</v>
      </c>
      <c r="F65" s="7" t="s">
        <v>195</v>
      </c>
      <c r="G65" s="7" t="s">
        <v>195</v>
      </c>
      <c r="H65" s="7" t="s">
        <v>195</v>
      </c>
      <c r="I65" s="7" t="s">
        <v>195</v>
      </c>
      <c r="J65" s="7" t="s">
        <v>195</v>
      </c>
      <c r="K65" s="7" t="s">
        <v>195</v>
      </c>
      <c r="L65" s="7" t="s">
        <v>195</v>
      </c>
      <c r="M65" s="7" t="s">
        <v>29</v>
      </c>
      <c r="N65" s="7" t="s">
        <v>29</v>
      </c>
      <c r="O65" s="7" t="s">
        <v>29</v>
      </c>
      <c r="P65" s="7" t="s">
        <v>29</v>
      </c>
      <c r="Q65" s="7" t="s">
        <v>29</v>
      </c>
      <c r="R65" s="7" t="s">
        <v>29</v>
      </c>
      <c r="S65" s="7" t="s">
        <v>29</v>
      </c>
    </row>
    <row r="66" spans="2:19">
      <c r="B66" s="7" t="s">
        <v>195</v>
      </c>
      <c r="C66" s="8" t="s">
        <v>195</v>
      </c>
      <c r="D66" s="6" t="str">
        <f>LRTRIM(CONCATENATE(IF(SUMPRODUCT(-- ISNUMBER(SEARCH({"Auto Number"}, $B66))) &gt; 0, $B66, IF(SUMPRODUCT(-- ISNUMBER(SEARCH({"Lookup","Master-Detail"}, $B66))) &gt; 0,$B66 &amp; "(" &amp; $E66 &amp; ")",IF(SUMPRODUCT(-- ISNUMBER(SEARCH({"Formula","Roll-Up Summary"}, $B66))) &gt; 0,$B66 &amp; " (" &amp; $E66 &amp; ")",IF(SUMPRODUCT(-- ISNUMBER(SEARCH({"Content","Currency","Number","Percent","Text","URL"}, $B66))) &gt; 0,$B66 &amp; "(" &amp; $C66 &amp; ")",$B66)))), "  ", TRIM(IF($S66 = "YES", "(External ID)", "") &amp; " " &amp; IF(SUMPRODUCT(-- ISNUMBER(SEARCH({"Unique","Unique Case Insensitive"}, $R66))) &gt; 0, "(" &amp; $R66 &amp; ")", ""))))</f>
        <v>na</v>
      </c>
      <c r="E66" s="7" t="s">
        <v>195</v>
      </c>
      <c r="F66" s="7" t="s">
        <v>195</v>
      </c>
      <c r="G66" s="7" t="s">
        <v>195</v>
      </c>
      <c r="H66" s="7" t="s">
        <v>195</v>
      </c>
      <c r="I66" s="7" t="s">
        <v>195</v>
      </c>
      <c r="J66" s="7" t="s">
        <v>195</v>
      </c>
      <c r="K66" s="7" t="s">
        <v>195</v>
      </c>
      <c r="L66" s="7" t="s">
        <v>195</v>
      </c>
      <c r="M66" s="7" t="s">
        <v>29</v>
      </c>
      <c r="N66" s="7" t="s">
        <v>29</v>
      </c>
      <c r="O66" s="7" t="s">
        <v>29</v>
      </c>
      <c r="P66" s="7" t="s">
        <v>29</v>
      </c>
      <c r="Q66" s="7" t="s">
        <v>29</v>
      </c>
      <c r="R66" s="7" t="s">
        <v>29</v>
      </c>
      <c r="S66" s="7" t="s">
        <v>29</v>
      </c>
    </row>
    <row r="67" spans="2:19">
      <c r="B67" s="7" t="s">
        <v>195</v>
      </c>
      <c r="C67" s="8" t="s">
        <v>195</v>
      </c>
      <c r="D67" s="6" t="str">
        <f>LRTRIM(CONCATENATE(IF(SUMPRODUCT(-- ISNUMBER(SEARCH({"Auto Number"}, $B67))) &gt; 0, $B67, IF(SUMPRODUCT(-- ISNUMBER(SEARCH({"Lookup","Master-Detail"}, $B67))) &gt; 0,$B67 &amp; "(" &amp; $E67 &amp; ")",IF(SUMPRODUCT(-- ISNUMBER(SEARCH({"Formula","Roll-Up Summary"}, $B67))) &gt; 0,$B67 &amp; " (" &amp; $E67 &amp; ")",IF(SUMPRODUCT(-- ISNUMBER(SEARCH({"Content","Currency","Number","Percent","Text","URL"}, $B67))) &gt; 0,$B67 &amp; "(" &amp; $C67 &amp; ")",$B67)))), "  ", TRIM(IF($S67 = "YES", "(External ID)", "") &amp; " " &amp; IF(SUMPRODUCT(-- ISNUMBER(SEARCH({"Unique","Unique Case Insensitive"}, $R67))) &gt; 0, "(" &amp; $R67 &amp; ")", ""))))</f>
        <v>na</v>
      </c>
      <c r="E67" s="7" t="s">
        <v>195</v>
      </c>
      <c r="F67" s="7" t="s">
        <v>195</v>
      </c>
      <c r="G67" s="7" t="s">
        <v>195</v>
      </c>
      <c r="H67" s="7" t="s">
        <v>195</v>
      </c>
      <c r="I67" s="7" t="s">
        <v>195</v>
      </c>
      <c r="J67" s="7" t="s">
        <v>195</v>
      </c>
      <c r="K67" s="7" t="s">
        <v>195</v>
      </c>
      <c r="L67" s="7" t="s">
        <v>195</v>
      </c>
      <c r="M67" s="7" t="s">
        <v>29</v>
      </c>
      <c r="N67" s="7" t="s">
        <v>29</v>
      </c>
      <c r="O67" s="7" t="s">
        <v>29</v>
      </c>
      <c r="P67" s="7" t="s">
        <v>29</v>
      </c>
      <c r="Q67" s="7" t="s">
        <v>29</v>
      </c>
      <c r="R67" s="7" t="s">
        <v>29</v>
      </c>
      <c r="S67" s="7" t="s">
        <v>29</v>
      </c>
    </row>
    <row r="68" spans="2:19">
      <c r="B68" s="7" t="s">
        <v>195</v>
      </c>
      <c r="C68" s="8" t="s">
        <v>195</v>
      </c>
      <c r="D68" s="6" t="str">
        <f>LRTRIM(CONCATENATE(IF(SUMPRODUCT(-- ISNUMBER(SEARCH({"Auto Number"}, $B68))) &gt; 0, $B68, IF(SUMPRODUCT(-- ISNUMBER(SEARCH({"Lookup","Master-Detail"}, $B68))) &gt; 0,$B68 &amp; "(" &amp; $E68 &amp; ")",IF(SUMPRODUCT(-- ISNUMBER(SEARCH({"Formula","Roll-Up Summary"}, $B68))) &gt; 0,$B68 &amp; " (" &amp; $E68 &amp; ")",IF(SUMPRODUCT(-- ISNUMBER(SEARCH({"Content","Currency","Number","Percent","Text","URL"}, $B68))) &gt; 0,$B68 &amp; "(" &amp; $C68 &amp; ")",$B68)))), "  ", TRIM(IF($S68 = "YES", "(External ID)", "") &amp; " " &amp; IF(SUMPRODUCT(-- ISNUMBER(SEARCH({"Unique","Unique Case Insensitive"}, $R68))) &gt; 0, "(" &amp; $R68 &amp; ")", ""))))</f>
        <v>na</v>
      </c>
      <c r="E68" s="7" t="s">
        <v>195</v>
      </c>
      <c r="F68" s="7" t="s">
        <v>195</v>
      </c>
      <c r="G68" s="7" t="s">
        <v>195</v>
      </c>
      <c r="H68" s="7" t="s">
        <v>195</v>
      </c>
      <c r="I68" s="7" t="s">
        <v>195</v>
      </c>
      <c r="J68" s="7" t="s">
        <v>195</v>
      </c>
      <c r="K68" s="7" t="s">
        <v>195</v>
      </c>
      <c r="L68" s="7" t="s">
        <v>195</v>
      </c>
      <c r="M68" s="7" t="s">
        <v>29</v>
      </c>
      <c r="N68" s="7" t="s">
        <v>29</v>
      </c>
      <c r="O68" s="7" t="s">
        <v>29</v>
      </c>
      <c r="P68" s="7" t="s">
        <v>29</v>
      </c>
      <c r="Q68" s="7" t="s">
        <v>29</v>
      </c>
      <c r="R68" s="7" t="s">
        <v>29</v>
      </c>
      <c r="S68" s="7" t="s">
        <v>29</v>
      </c>
    </row>
    <row r="69" spans="2:19">
      <c r="B69" s="7" t="s">
        <v>195</v>
      </c>
      <c r="C69" s="8" t="s">
        <v>195</v>
      </c>
      <c r="D69" s="6" t="str">
        <f>LRTRIM(CONCATENATE(IF(SUMPRODUCT(-- ISNUMBER(SEARCH({"Auto Number"}, $B69))) &gt; 0, $B69, IF(SUMPRODUCT(-- ISNUMBER(SEARCH({"Lookup","Master-Detail"}, $B69))) &gt; 0,$B69 &amp; "(" &amp; $E69 &amp; ")",IF(SUMPRODUCT(-- ISNUMBER(SEARCH({"Formula","Roll-Up Summary"}, $B69))) &gt; 0,$B69 &amp; " (" &amp; $E69 &amp; ")",IF(SUMPRODUCT(-- ISNUMBER(SEARCH({"Content","Currency","Number","Percent","Text","URL"}, $B69))) &gt; 0,$B69 &amp; "(" &amp; $C69 &amp; ")",$B69)))), "  ", TRIM(IF($S69 = "YES", "(External ID)", "") &amp; " " &amp; IF(SUMPRODUCT(-- ISNUMBER(SEARCH({"Unique","Unique Case Insensitive"}, $R69))) &gt; 0, "(" &amp; $R69 &amp; ")", ""))))</f>
        <v>na</v>
      </c>
      <c r="E69" s="7" t="s">
        <v>195</v>
      </c>
      <c r="F69" s="7" t="s">
        <v>195</v>
      </c>
      <c r="G69" s="7" t="s">
        <v>195</v>
      </c>
      <c r="H69" s="7" t="s">
        <v>195</v>
      </c>
      <c r="I69" s="7" t="s">
        <v>195</v>
      </c>
      <c r="J69" s="7" t="s">
        <v>195</v>
      </c>
      <c r="K69" s="7" t="s">
        <v>195</v>
      </c>
      <c r="L69" s="7" t="s">
        <v>195</v>
      </c>
      <c r="M69" s="7" t="s">
        <v>29</v>
      </c>
      <c r="N69" s="7" t="s">
        <v>29</v>
      </c>
      <c r="O69" s="7" t="s">
        <v>29</v>
      </c>
      <c r="P69" s="7" t="s">
        <v>29</v>
      </c>
      <c r="Q69" s="7" t="s">
        <v>29</v>
      </c>
      <c r="R69" s="7" t="s">
        <v>29</v>
      </c>
      <c r="S69" s="7" t="s">
        <v>29</v>
      </c>
    </row>
    <row r="70" spans="2:19">
      <c r="B70" s="7" t="s">
        <v>195</v>
      </c>
      <c r="C70" s="8" t="s">
        <v>195</v>
      </c>
      <c r="D70" s="6" t="str">
        <f>LRTRIM(CONCATENATE(IF(SUMPRODUCT(-- ISNUMBER(SEARCH({"Auto Number"}, $B70))) &gt; 0, $B70, IF(SUMPRODUCT(-- ISNUMBER(SEARCH({"Lookup","Master-Detail"}, $B70))) &gt; 0,$B70 &amp; "(" &amp; $E70 &amp; ")",IF(SUMPRODUCT(-- ISNUMBER(SEARCH({"Formula","Roll-Up Summary"}, $B70))) &gt; 0,$B70 &amp; " (" &amp; $E70 &amp; ")",IF(SUMPRODUCT(-- ISNUMBER(SEARCH({"Content","Currency","Number","Percent","Text","URL"}, $B70))) &gt; 0,$B70 &amp; "(" &amp; $C70 &amp; ")",$B70)))), "  ", TRIM(IF($S70 = "YES", "(External ID)", "") &amp; " " &amp; IF(SUMPRODUCT(-- ISNUMBER(SEARCH({"Unique","Unique Case Insensitive"}, $R70))) &gt; 0, "(" &amp; $R70 &amp; ")", ""))))</f>
        <v>na</v>
      </c>
      <c r="E70" s="7" t="s">
        <v>195</v>
      </c>
      <c r="F70" s="7" t="s">
        <v>195</v>
      </c>
      <c r="G70" s="7" t="s">
        <v>195</v>
      </c>
      <c r="H70" s="7" t="s">
        <v>195</v>
      </c>
      <c r="I70" s="7" t="s">
        <v>195</v>
      </c>
      <c r="J70" s="7" t="s">
        <v>195</v>
      </c>
      <c r="K70" s="7" t="s">
        <v>195</v>
      </c>
      <c r="L70" s="7" t="s">
        <v>195</v>
      </c>
      <c r="M70" s="7" t="s">
        <v>29</v>
      </c>
      <c r="N70" s="7" t="s">
        <v>29</v>
      </c>
      <c r="O70" s="7" t="s">
        <v>29</v>
      </c>
      <c r="P70" s="7" t="s">
        <v>29</v>
      </c>
      <c r="Q70" s="7" t="s">
        <v>29</v>
      </c>
      <c r="R70" s="7" t="s">
        <v>29</v>
      </c>
      <c r="S70" s="7" t="s">
        <v>29</v>
      </c>
    </row>
    <row r="71" spans="2:19">
      <c r="B71" s="7" t="s">
        <v>195</v>
      </c>
      <c r="C71" s="8" t="s">
        <v>195</v>
      </c>
      <c r="D71" s="6" t="str">
        <f>LRTRIM(CONCATENATE(IF(SUMPRODUCT(-- ISNUMBER(SEARCH({"Auto Number"}, $B71))) &gt; 0, $B71, IF(SUMPRODUCT(-- ISNUMBER(SEARCH({"Lookup","Master-Detail"}, $B71))) &gt; 0,$B71 &amp; "(" &amp; $E71 &amp; ")",IF(SUMPRODUCT(-- ISNUMBER(SEARCH({"Formula","Roll-Up Summary"}, $B71))) &gt; 0,$B71 &amp; " (" &amp; $E71 &amp; ")",IF(SUMPRODUCT(-- ISNUMBER(SEARCH({"Content","Currency","Number","Percent","Text","URL"}, $B71))) &gt; 0,$B71 &amp; "(" &amp; $C71 &amp; ")",$B71)))), "  ", TRIM(IF($S71 = "YES", "(External ID)", "") &amp; " " &amp; IF(SUMPRODUCT(-- ISNUMBER(SEARCH({"Unique","Unique Case Insensitive"}, $R71))) &gt; 0, "(" &amp; $R71 &amp; ")", ""))))</f>
        <v>na</v>
      </c>
      <c r="E71" s="7" t="s">
        <v>195</v>
      </c>
      <c r="F71" s="7" t="s">
        <v>195</v>
      </c>
      <c r="G71" s="7" t="s">
        <v>195</v>
      </c>
      <c r="H71" s="7" t="s">
        <v>195</v>
      </c>
      <c r="I71" s="7" t="s">
        <v>195</v>
      </c>
      <c r="J71" s="7" t="s">
        <v>195</v>
      </c>
      <c r="K71" s="7" t="s">
        <v>195</v>
      </c>
      <c r="L71" s="7" t="s">
        <v>195</v>
      </c>
      <c r="M71" s="7" t="s">
        <v>29</v>
      </c>
      <c r="N71" s="7" t="s">
        <v>29</v>
      </c>
      <c r="O71" s="7" t="s">
        <v>29</v>
      </c>
      <c r="P71" s="7" t="s">
        <v>29</v>
      </c>
      <c r="Q71" s="7" t="s">
        <v>29</v>
      </c>
      <c r="R71" s="7" t="s">
        <v>29</v>
      </c>
      <c r="S71" s="7" t="s">
        <v>29</v>
      </c>
    </row>
    <row r="72" spans="2:19">
      <c r="B72" s="7" t="s">
        <v>195</v>
      </c>
      <c r="C72" s="8" t="s">
        <v>195</v>
      </c>
      <c r="D72" s="6" t="str">
        <f>LRTRIM(CONCATENATE(IF(SUMPRODUCT(-- ISNUMBER(SEARCH({"Auto Number"}, $B72))) &gt; 0, $B72, IF(SUMPRODUCT(-- ISNUMBER(SEARCH({"Lookup","Master-Detail"}, $B72))) &gt; 0,$B72 &amp; "(" &amp; $E72 &amp; ")",IF(SUMPRODUCT(-- ISNUMBER(SEARCH({"Formula","Roll-Up Summary"}, $B72))) &gt; 0,$B72 &amp; " (" &amp; $E72 &amp; ")",IF(SUMPRODUCT(-- ISNUMBER(SEARCH({"Content","Currency","Number","Percent","Text","URL"}, $B72))) &gt; 0,$B72 &amp; "(" &amp; $C72 &amp; ")",$B72)))), "  ", TRIM(IF($S72 = "YES", "(External ID)", "") &amp; " " &amp; IF(SUMPRODUCT(-- ISNUMBER(SEARCH({"Unique","Unique Case Insensitive"}, $R72))) &gt; 0, "(" &amp; $R72 &amp; ")", ""))))</f>
        <v>na</v>
      </c>
      <c r="E72" s="7" t="s">
        <v>195</v>
      </c>
      <c r="F72" s="7" t="s">
        <v>195</v>
      </c>
      <c r="G72" s="7" t="s">
        <v>195</v>
      </c>
      <c r="H72" s="7" t="s">
        <v>195</v>
      </c>
      <c r="I72" s="7" t="s">
        <v>195</v>
      </c>
      <c r="J72" s="7" t="s">
        <v>195</v>
      </c>
      <c r="K72" s="7" t="s">
        <v>195</v>
      </c>
      <c r="L72" s="7" t="s">
        <v>195</v>
      </c>
      <c r="M72" s="7" t="s">
        <v>29</v>
      </c>
      <c r="N72" s="7" t="s">
        <v>29</v>
      </c>
      <c r="O72" s="7" t="s">
        <v>29</v>
      </c>
      <c r="P72" s="7" t="s">
        <v>29</v>
      </c>
      <c r="Q72" s="7" t="s">
        <v>29</v>
      </c>
      <c r="R72" s="7" t="s">
        <v>29</v>
      </c>
      <c r="S72" s="7" t="s">
        <v>29</v>
      </c>
    </row>
    <row r="73" spans="2:19">
      <c r="B73" s="7" t="s">
        <v>195</v>
      </c>
      <c r="C73" s="8" t="s">
        <v>195</v>
      </c>
      <c r="D73" s="6" t="str">
        <f>LRTRIM(CONCATENATE(IF(SUMPRODUCT(-- ISNUMBER(SEARCH({"Auto Number"}, $B73))) &gt; 0, $B73, IF(SUMPRODUCT(-- ISNUMBER(SEARCH({"Lookup","Master-Detail"}, $B73))) &gt; 0,$B73 &amp; "(" &amp; $E73 &amp; ")",IF(SUMPRODUCT(-- ISNUMBER(SEARCH({"Formula","Roll-Up Summary"}, $B73))) &gt; 0,$B73 &amp; " (" &amp; $E73 &amp; ")",IF(SUMPRODUCT(-- ISNUMBER(SEARCH({"Content","Currency","Number","Percent","Text","URL"}, $B73))) &gt; 0,$B73 &amp; "(" &amp; $C73 &amp; ")",$B73)))), "  ", TRIM(IF($S73 = "YES", "(External ID)", "") &amp; " " &amp; IF(SUMPRODUCT(-- ISNUMBER(SEARCH({"Unique","Unique Case Insensitive"}, $R73))) &gt; 0, "(" &amp; $R73 &amp; ")", ""))))</f>
        <v>na</v>
      </c>
      <c r="E73" s="7" t="s">
        <v>195</v>
      </c>
      <c r="F73" s="7" t="s">
        <v>195</v>
      </c>
      <c r="G73" s="7" t="s">
        <v>195</v>
      </c>
      <c r="H73" s="7" t="s">
        <v>195</v>
      </c>
      <c r="I73" s="7" t="s">
        <v>195</v>
      </c>
      <c r="J73" s="7" t="s">
        <v>195</v>
      </c>
      <c r="K73" s="7" t="s">
        <v>195</v>
      </c>
      <c r="L73" s="7" t="s">
        <v>195</v>
      </c>
      <c r="M73" s="7" t="s">
        <v>29</v>
      </c>
      <c r="N73" s="7" t="s">
        <v>29</v>
      </c>
      <c r="O73" s="7" t="s">
        <v>29</v>
      </c>
      <c r="P73" s="7" t="s">
        <v>29</v>
      </c>
      <c r="Q73" s="7" t="s">
        <v>29</v>
      </c>
      <c r="R73" s="7" t="s">
        <v>29</v>
      </c>
      <c r="S73" s="7" t="s">
        <v>29</v>
      </c>
    </row>
    <row r="74" spans="2:19">
      <c r="B74" s="7" t="s">
        <v>195</v>
      </c>
      <c r="C74" s="8" t="s">
        <v>195</v>
      </c>
      <c r="D74" s="6" t="str">
        <f>LRTRIM(CONCATENATE(IF(SUMPRODUCT(-- ISNUMBER(SEARCH({"Auto Number"}, $B74))) &gt; 0, $B74, IF(SUMPRODUCT(-- ISNUMBER(SEARCH({"Lookup","Master-Detail"}, $B74))) &gt; 0,$B74 &amp; "(" &amp; $E74 &amp; ")",IF(SUMPRODUCT(-- ISNUMBER(SEARCH({"Formula","Roll-Up Summary"}, $B74))) &gt; 0,$B74 &amp; " (" &amp; $E74 &amp; ")",IF(SUMPRODUCT(-- ISNUMBER(SEARCH({"Content","Currency","Number","Percent","Text","URL"}, $B74))) &gt; 0,$B74 &amp; "(" &amp; $C74 &amp; ")",$B74)))), "  ", TRIM(IF($S74 = "YES", "(External ID)", "") &amp; " " &amp; IF(SUMPRODUCT(-- ISNUMBER(SEARCH({"Unique","Unique Case Insensitive"}, $R74))) &gt; 0, "(" &amp; $R74 &amp; ")", ""))))</f>
        <v>na</v>
      </c>
      <c r="E74" s="7" t="s">
        <v>195</v>
      </c>
      <c r="F74" s="7" t="s">
        <v>195</v>
      </c>
      <c r="G74" s="7" t="s">
        <v>195</v>
      </c>
      <c r="H74" s="7" t="s">
        <v>195</v>
      </c>
      <c r="I74" s="7" t="s">
        <v>195</v>
      </c>
      <c r="J74" s="7" t="s">
        <v>195</v>
      </c>
      <c r="K74" s="7" t="s">
        <v>195</v>
      </c>
      <c r="L74" s="7" t="s">
        <v>195</v>
      </c>
      <c r="M74" s="7" t="s">
        <v>29</v>
      </c>
      <c r="N74" s="7" t="s">
        <v>29</v>
      </c>
      <c r="O74" s="7" t="s">
        <v>29</v>
      </c>
      <c r="P74" s="7" t="s">
        <v>29</v>
      </c>
      <c r="Q74" s="7" t="s">
        <v>29</v>
      </c>
      <c r="R74" s="7" t="s">
        <v>29</v>
      </c>
      <c r="S74" s="7" t="s">
        <v>29</v>
      </c>
    </row>
    <row r="75" spans="2:19">
      <c r="B75" s="7" t="s">
        <v>195</v>
      </c>
      <c r="C75" s="8" t="s">
        <v>195</v>
      </c>
      <c r="D75" s="6" t="str">
        <f>LRTRIM(CONCATENATE(IF(SUMPRODUCT(-- ISNUMBER(SEARCH({"Auto Number"}, $B75))) &gt; 0, $B75, IF(SUMPRODUCT(-- ISNUMBER(SEARCH({"Lookup","Master-Detail"}, $B75))) &gt; 0,$B75 &amp; "(" &amp; $E75 &amp; ")",IF(SUMPRODUCT(-- ISNUMBER(SEARCH({"Formula","Roll-Up Summary"}, $B75))) &gt; 0,$B75 &amp; " (" &amp; $E75 &amp; ")",IF(SUMPRODUCT(-- ISNUMBER(SEARCH({"Content","Currency","Number","Percent","Text","URL"}, $B75))) &gt; 0,$B75 &amp; "(" &amp; $C75 &amp; ")",$B75)))), "  ", TRIM(IF($S75 = "YES", "(External ID)", "") &amp; " " &amp; IF(SUMPRODUCT(-- ISNUMBER(SEARCH({"Unique","Unique Case Insensitive"}, $R75))) &gt; 0, "(" &amp; $R75 &amp; ")", ""))))</f>
        <v>na</v>
      </c>
      <c r="E75" s="7" t="s">
        <v>195</v>
      </c>
      <c r="F75" s="7" t="s">
        <v>195</v>
      </c>
      <c r="G75" s="7" t="s">
        <v>195</v>
      </c>
      <c r="H75" s="7" t="s">
        <v>195</v>
      </c>
      <c r="I75" s="7" t="s">
        <v>195</v>
      </c>
      <c r="J75" s="7" t="s">
        <v>195</v>
      </c>
      <c r="K75" s="7" t="s">
        <v>195</v>
      </c>
      <c r="L75" s="7" t="s">
        <v>195</v>
      </c>
      <c r="M75" s="7" t="s">
        <v>29</v>
      </c>
      <c r="N75" s="7" t="s">
        <v>29</v>
      </c>
      <c r="O75" s="7" t="s">
        <v>29</v>
      </c>
      <c r="P75" s="7" t="s">
        <v>29</v>
      </c>
      <c r="Q75" s="7" t="s">
        <v>29</v>
      </c>
      <c r="R75" s="7" t="s">
        <v>29</v>
      </c>
      <c r="S75" s="7" t="s">
        <v>29</v>
      </c>
    </row>
    <row r="76" spans="2:19">
      <c r="B76" s="7" t="s">
        <v>195</v>
      </c>
      <c r="C76" s="8" t="s">
        <v>195</v>
      </c>
      <c r="D76" s="6" t="str">
        <f>LRTRIM(CONCATENATE(IF(SUMPRODUCT(-- ISNUMBER(SEARCH({"Auto Number"}, $B76))) &gt; 0, $B76, IF(SUMPRODUCT(-- ISNUMBER(SEARCH({"Lookup","Master-Detail"}, $B76))) &gt; 0,$B76 &amp; "(" &amp; $E76 &amp; ")",IF(SUMPRODUCT(-- ISNUMBER(SEARCH({"Formula","Roll-Up Summary"}, $B76))) &gt; 0,$B76 &amp; " (" &amp; $E76 &amp; ")",IF(SUMPRODUCT(-- ISNUMBER(SEARCH({"Content","Currency","Number","Percent","Text","URL"}, $B76))) &gt; 0,$B76 &amp; "(" &amp; $C76 &amp; ")",$B76)))), "  ", TRIM(IF($S76 = "YES", "(External ID)", "") &amp; " " &amp; IF(SUMPRODUCT(-- ISNUMBER(SEARCH({"Unique","Unique Case Insensitive"}, $R76))) &gt; 0, "(" &amp; $R76 &amp; ")", ""))))</f>
        <v>na</v>
      </c>
      <c r="E76" s="7" t="s">
        <v>195</v>
      </c>
      <c r="F76" s="7" t="s">
        <v>195</v>
      </c>
      <c r="G76" s="7" t="s">
        <v>195</v>
      </c>
      <c r="H76" s="7" t="s">
        <v>195</v>
      </c>
      <c r="I76" s="7" t="s">
        <v>195</v>
      </c>
      <c r="J76" s="7" t="s">
        <v>195</v>
      </c>
      <c r="K76" s="7" t="s">
        <v>195</v>
      </c>
      <c r="L76" s="7" t="s">
        <v>195</v>
      </c>
      <c r="M76" s="7" t="s">
        <v>29</v>
      </c>
      <c r="N76" s="7" t="s">
        <v>29</v>
      </c>
      <c r="O76" s="7" t="s">
        <v>29</v>
      </c>
      <c r="P76" s="7" t="s">
        <v>29</v>
      </c>
      <c r="Q76" s="7" t="s">
        <v>29</v>
      </c>
      <c r="R76" s="7" t="s">
        <v>29</v>
      </c>
      <c r="S76" s="7" t="s">
        <v>29</v>
      </c>
    </row>
    <row r="77" spans="2:19">
      <c r="B77" s="7" t="s">
        <v>195</v>
      </c>
      <c r="C77" s="8" t="s">
        <v>195</v>
      </c>
      <c r="D77" s="6" t="str">
        <f>LRTRIM(CONCATENATE(IF(SUMPRODUCT(-- ISNUMBER(SEARCH({"Auto Number"}, $B77))) &gt; 0, $B77, IF(SUMPRODUCT(-- ISNUMBER(SEARCH({"Lookup","Master-Detail"}, $B77))) &gt; 0,$B77 &amp; "(" &amp; $E77 &amp; ")",IF(SUMPRODUCT(-- ISNUMBER(SEARCH({"Formula","Roll-Up Summary"}, $B77))) &gt; 0,$B77 &amp; " (" &amp; $E77 &amp; ")",IF(SUMPRODUCT(-- ISNUMBER(SEARCH({"Content","Currency","Number","Percent","Text","URL"}, $B77))) &gt; 0,$B77 &amp; "(" &amp; $C77 &amp; ")",$B77)))), "  ", TRIM(IF($S77 = "YES", "(External ID)", "") &amp; " " &amp; IF(SUMPRODUCT(-- ISNUMBER(SEARCH({"Unique","Unique Case Insensitive"}, $R77))) &gt; 0, "(" &amp; $R77 &amp; ")", ""))))</f>
        <v>na</v>
      </c>
      <c r="E77" s="7" t="s">
        <v>195</v>
      </c>
      <c r="F77" s="7" t="s">
        <v>195</v>
      </c>
      <c r="G77" s="7" t="s">
        <v>195</v>
      </c>
      <c r="H77" s="7" t="s">
        <v>195</v>
      </c>
      <c r="I77" s="7" t="s">
        <v>195</v>
      </c>
      <c r="J77" s="7" t="s">
        <v>195</v>
      </c>
      <c r="K77" s="7" t="s">
        <v>195</v>
      </c>
      <c r="L77" s="7" t="s">
        <v>195</v>
      </c>
      <c r="M77" s="7" t="s">
        <v>29</v>
      </c>
      <c r="N77" s="7" t="s">
        <v>29</v>
      </c>
      <c r="O77" s="7" t="s">
        <v>29</v>
      </c>
      <c r="P77" s="7" t="s">
        <v>29</v>
      </c>
      <c r="Q77" s="7" t="s">
        <v>29</v>
      </c>
      <c r="R77" s="7" t="s">
        <v>29</v>
      </c>
      <c r="S77" s="7" t="s">
        <v>29</v>
      </c>
    </row>
    <row r="78" spans="2:19">
      <c r="B78" s="7" t="s">
        <v>195</v>
      </c>
      <c r="C78" s="8" t="s">
        <v>195</v>
      </c>
      <c r="D78" s="6" t="str">
        <f>LRTRIM(CONCATENATE(IF(SUMPRODUCT(-- ISNUMBER(SEARCH({"Auto Number"}, $B78))) &gt; 0, $B78, IF(SUMPRODUCT(-- ISNUMBER(SEARCH({"Lookup","Master-Detail"}, $B78))) &gt; 0,$B78 &amp; "(" &amp; $E78 &amp; ")",IF(SUMPRODUCT(-- ISNUMBER(SEARCH({"Formula","Roll-Up Summary"}, $B78))) &gt; 0,$B78 &amp; " (" &amp; $E78 &amp; ")",IF(SUMPRODUCT(-- ISNUMBER(SEARCH({"Content","Currency","Number","Percent","Text","URL"}, $B78))) &gt; 0,$B78 &amp; "(" &amp; $C78 &amp; ")",$B78)))), "  ", TRIM(IF($S78 = "YES", "(External ID)", "") &amp; " " &amp; IF(SUMPRODUCT(-- ISNUMBER(SEARCH({"Unique","Unique Case Insensitive"}, $R78))) &gt; 0, "(" &amp; $R78 &amp; ")", ""))))</f>
        <v>na</v>
      </c>
      <c r="E78" s="7" t="s">
        <v>195</v>
      </c>
      <c r="F78" s="7" t="s">
        <v>195</v>
      </c>
      <c r="G78" s="7" t="s">
        <v>195</v>
      </c>
      <c r="H78" s="7" t="s">
        <v>195</v>
      </c>
      <c r="I78" s="7" t="s">
        <v>195</v>
      </c>
      <c r="J78" s="7" t="s">
        <v>195</v>
      </c>
      <c r="K78" s="7" t="s">
        <v>195</v>
      </c>
      <c r="L78" s="7" t="s">
        <v>195</v>
      </c>
      <c r="M78" s="7" t="s">
        <v>29</v>
      </c>
      <c r="N78" s="7" t="s">
        <v>29</v>
      </c>
      <c r="O78" s="7" t="s">
        <v>29</v>
      </c>
      <c r="P78" s="7" t="s">
        <v>29</v>
      </c>
      <c r="Q78" s="7" t="s">
        <v>29</v>
      </c>
      <c r="R78" s="7" t="s">
        <v>29</v>
      </c>
      <c r="S78" s="7" t="s">
        <v>29</v>
      </c>
    </row>
    <row r="79" spans="2:19">
      <c r="B79" s="7" t="s">
        <v>195</v>
      </c>
      <c r="C79" s="8" t="s">
        <v>195</v>
      </c>
      <c r="D79" s="6" t="str">
        <f>LRTRIM(CONCATENATE(IF(SUMPRODUCT(-- ISNUMBER(SEARCH({"Auto Number"}, $B79))) &gt; 0, $B79, IF(SUMPRODUCT(-- ISNUMBER(SEARCH({"Lookup","Master-Detail"}, $B79))) &gt; 0,$B79 &amp; "(" &amp; $E79 &amp; ")",IF(SUMPRODUCT(-- ISNUMBER(SEARCH({"Formula","Roll-Up Summary"}, $B79))) &gt; 0,$B79 &amp; " (" &amp; $E79 &amp; ")",IF(SUMPRODUCT(-- ISNUMBER(SEARCH({"Content","Currency","Number","Percent","Text","URL"}, $B79))) &gt; 0,$B79 &amp; "(" &amp; $C79 &amp; ")",$B79)))), "  ", TRIM(IF($S79 = "YES", "(External ID)", "") &amp; " " &amp; IF(SUMPRODUCT(-- ISNUMBER(SEARCH({"Unique","Unique Case Insensitive"}, $R79))) &gt; 0, "(" &amp; $R79 &amp; ")", ""))))</f>
        <v>na</v>
      </c>
      <c r="E79" s="7" t="s">
        <v>195</v>
      </c>
      <c r="F79" s="7" t="s">
        <v>195</v>
      </c>
      <c r="G79" s="7" t="s">
        <v>195</v>
      </c>
      <c r="H79" s="7" t="s">
        <v>195</v>
      </c>
      <c r="I79" s="7" t="s">
        <v>195</v>
      </c>
      <c r="J79" s="7" t="s">
        <v>195</v>
      </c>
      <c r="K79" s="7" t="s">
        <v>195</v>
      </c>
      <c r="L79" s="7" t="s">
        <v>195</v>
      </c>
      <c r="M79" s="7" t="s">
        <v>29</v>
      </c>
      <c r="N79" s="7" t="s">
        <v>29</v>
      </c>
      <c r="O79" s="7" t="s">
        <v>29</v>
      </c>
      <c r="P79" s="7" t="s">
        <v>29</v>
      </c>
      <c r="Q79" s="7" t="s">
        <v>29</v>
      </c>
      <c r="R79" s="7" t="s">
        <v>29</v>
      </c>
      <c r="S79" s="7" t="s">
        <v>29</v>
      </c>
    </row>
    <row r="80" spans="2:19">
      <c r="B80" s="7" t="s">
        <v>195</v>
      </c>
      <c r="C80" s="8" t="s">
        <v>195</v>
      </c>
      <c r="D80" s="6" t="str">
        <f>LRTRIM(CONCATENATE(IF(SUMPRODUCT(-- ISNUMBER(SEARCH({"Auto Number"}, $B80))) &gt; 0, $B80, IF(SUMPRODUCT(-- ISNUMBER(SEARCH({"Lookup","Master-Detail"}, $B80))) &gt; 0,$B80 &amp; "(" &amp; $E80 &amp; ")",IF(SUMPRODUCT(-- ISNUMBER(SEARCH({"Formula","Roll-Up Summary"}, $B80))) &gt; 0,$B80 &amp; " (" &amp; $E80 &amp; ")",IF(SUMPRODUCT(-- ISNUMBER(SEARCH({"Content","Currency","Number","Percent","Text","URL"}, $B80))) &gt; 0,$B80 &amp; "(" &amp; $C80 &amp; ")",$B80)))), "  ", TRIM(IF($S80 = "YES", "(External ID)", "") &amp; " " &amp; IF(SUMPRODUCT(-- ISNUMBER(SEARCH({"Unique","Unique Case Insensitive"}, $R80))) &gt; 0, "(" &amp; $R80 &amp; ")", ""))))</f>
        <v>na</v>
      </c>
      <c r="E80" s="7" t="s">
        <v>195</v>
      </c>
      <c r="F80" s="7" t="s">
        <v>195</v>
      </c>
      <c r="G80" s="7" t="s">
        <v>195</v>
      </c>
      <c r="H80" s="7" t="s">
        <v>195</v>
      </c>
      <c r="I80" s="7" t="s">
        <v>195</v>
      </c>
      <c r="J80" s="7" t="s">
        <v>195</v>
      </c>
      <c r="K80" s="7" t="s">
        <v>195</v>
      </c>
      <c r="L80" s="7" t="s">
        <v>195</v>
      </c>
      <c r="M80" s="7" t="s">
        <v>29</v>
      </c>
      <c r="N80" s="7" t="s">
        <v>29</v>
      </c>
      <c r="O80" s="7" t="s">
        <v>29</v>
      </c>
      <c r="P80" s="7" t="s">
        <v>29</v>
      </c>
      <c r="Q80" s="7" t="s">
        <v>29</v>
      </c>
      <c r="R80" s="7" t="s">
        <v>29</v>
      </c>
      <c r="S80" s="7" t="s">
        <v>29</v>
      </c>
    </row>
    <row r="81" spans="2:19">
      <c r="B81" s="7" t="s">
        <v>195</v>
      </c>
      <c r="C81" s="8" t="s">
        <v>195</v>
      </c>
      <c r="D81" s="6" t="str">
        <f>LRTRIM(CONCATENATE(IF(SUMPRODUCT(-- ISNUMBER(SEARCH({"Auto Number"}, $B81))) &gt; 0, $B81, IF(SUMPRODUCT(-- ISNUMBER(SEARCH({"Lookup","Master-Detail"}, $B81))) &gt; 0,$B81 &amp; "(" &amp; $E81 &amp; ")",IF(SUMPRODUCT(-- ISNUMBER(SEARCH({"Formula","Roll-Up Summary"}, $B81))) &gt; 0,$B81 &amp; " (" &amp; $E81 &amp; ")",IF(SUMPRODUCT(-- ISNUMBER(SEARCH({"Content","Currency","Number","Percent","Text","URL"}, $B81))) &gt; 0,$B81 &amp; "(" &amp; $C81 &amp; ")",$B81)))), "  ", TRIM(IF($S81 = "YES", "(External ID)", "") &amp; " " &amp; IF(SUMPRODUCT(-- ISNUMBER(SEARCH({"Unique","Unique Case Insensitive"}, $R81))) &gt; 0, "(" &amp; $R81 &amp; ")", ""))))</f>
        <v>na</v>
      </c>
      <c r="E81" s="7" t="s">
        <v>195</v>
      </c>
      <c r="F81" s="7" t="s">
        <v>195</v>
      </c>
      <c r="G81" s="7" t="s">
        <v>195</v>
      </c>
      <c r="H81" s="7" t="s">
        <v>195</v>
      </c>
      <c r="I81" s="7" t="s">
        <v>195</v>
      </c>
      <c r="J81" s="7" t="s">
        <v>195</v>
      </c>
      <c r="K81" s="7" t="s">
        <v>195</v>
      </c>
      <c r="L81" s="7" t="s">
        <v>195</v>
      </c>
      <c r="M81" s="7" t="s">
        <v>29</v>
      </c>
      <c r="N81" s="7" t="s">
        <v>29</v>
      </c>
      <c r="O81" s="7" t="s">
        <v>29</v>
      </c>
      <c r="P81" s="7" t="s">
        <v>29</v>
      </c>
      <c r="Q81" s="7" t="s">
        <v>29</v>
      </c>
      <c r="R81" s="7" t="s">
        <v>29</v>
      </c>
      <c r="S81" s="7" t="s">
        <v>29</v>
      </c>
    </row>
    <row r="82" spans="2:19">
      <c r="B82" s="7" t="s">
        <v>195</v>
      </c>
      <c r="C82" s="8" t="s">
        <v>195</v>
      </c>
      <c r="D82" s="6" t="str">
        <f>LRTRIM(CONCATENATE(IF(SUMPRODUCT(-- ISNUMBER(SEARCH({"Auto Number"}, $B82))) &gt; 0, $B82, IF(SUMPRODUCT(-- ISNUMBER(SEARCH({"Lookup","Master-Detail"}, $B82))) &gt; 0,$B82 &amp; "(" &amp; $E82 &amp; ")",IF(SUMPRODUCT(-- ISNUMBER(SEARCH({"Formula","Roll-Up Summary"}, $B82))) &gt; 0,$B82 &amp; " (" &amp; $E82 &amp; ")",IF(SUMPRODUCT(-- ISNUMBER(SEARCH({"Content","Currency","Number","Percent","Text","URL"}, $B82))) &gt; 0,$B82 &amp; "(" &amp; $C82 &amp; ")",$B82)))), "  ", TRIM(IF($S82 = "YES", "(External ID)", "") &amp; " " &amp; IF(SUMPRODUCT(-- ISNUMBER(SEARCH({"Unique","Unique Case Insensitive"}, $R82))) &gt; 0, "(" &amp; $R82 &amp; ")", ""))))</f>
        <v>na</v>
      </c>
      <c r="E82" s="7" t="s">
        <v>195</v>
      </c>
      <c r="F82" s="7" t="s">
        <v>195</v>
      </c>
      <c r="G82" s="7" t="s">
        <v>195</v>
      </c>
      <c r="H82" s="7" t="s">
        <v>195</v>
      </c>
      <c r="I82" s="7" t="s">
        <v>195</v>
      </c>
      <c r="J82" s="7" t="s">
        <v>195</v>
      </c>
      <c r="K82" s="7" t="s">
        <v>195</v>
      </c>
      <c r="L82" s="7" t="s">
        <v>195</v>
      </c>
      <c r="M82" s="7" t="s">
        <v>29</v>
      </c>
      <c r="N82" s="7" t="s">
        <v>29</v>
      </c>
      <c r="O82" s="7" t="s">
        <v>29</v>
      </c>
      <c r="P82" s="7" t="s">
        <v>29</v>
      </c>
      <c r="Q82" s="7" t="s">
        <v>29</v>
      </c>
      <c r="R82" s="7" t="s">
        <v>29</v>
      </c>
      <c r="S82" s="7" t="s">
        <v>29</v>
      </c>
    </row>
    <row r="83" spans="2:19">
      <c r="B83" s="7" t="s">
        <v>195</v>
      </c>
      <c r="C83" s="8" t="s">
        <v>195</v>
      </c>
      <c r="D83" s="6" t="str">
        <f>LRTRIM(CONCATENATE(IF(SUMPRODUCT(-- ISNUMBER(SEARCH({"Auto Number"}, $B83))) &gt; 0, $B83, IF(SUMPRODUCT(-- ISNUMBER(SEARCH({"Lookup","Master-Detail"}, $B83))) &gt; 0,$B83 &amp; "(" &amp; $E83 &amp; ")",IF(SUMPRODUCT(-- ISNUMBER(SEARCH({"Formula","Roll-Up Summary"}, $B83))) &gt; 0,$B83 &amp; " (" &amp; $E83 &amp; ")",IF(SUMPRODUCT(-- ISNUMBER(SEARCH({"Content","Currency","Number","Percent","Text","URL"}, $B83))) &gt; 0,$B83 &amp; "(" &amp; $C83 &amp; ")",$B83)))), "  ", TRIM(IF($S83 = "YES", "(External ID)", "") &amp; " " &amp; IF(SUMPRODUCT(-- ISNUMBER(SEARCH({"Unique","Unique Case Insensitive"}, $R83))) &gt; 0, "(" &amp; $R83 &amp; ")", ""))))</f>
        <v>na</v>
      </c>
      <c r="E83" s="7" t="s">
        <v>195</v>
      </c>
      <c r="F83" s="7" t="s">
        <v>195</v>
      </c>
      <c r="G83" s="7" t="s">
        <v>195</v>
      </c>
      <c r="H83" s="7" t="s">
        <v>195</v>
      </c>
      <c r="I83" s="7" t="s">
        <v>195</v>
      </c>
      <c r="J83" s="7" t="s">
        <v>195</v>
      </c>
      <c r="K83" s="7" t="s">
        <v>195</v>
      </c>
      <c r="L83" s="7" t="s">
        <v>195</v>
      </c>
      <c r="M83" s="7" t="s">
        <v>29</v>
      </c>
      <c r="N83" s="7" t="s">
        <v>29</v>
      </c>
      <c r="O83" s="7" t="s">
        <v>29</v>
      </c>
      <c r="P83" s="7" t="s">
        <v>29</v>
      </c>
      <c r="Q83" s="7" t="s">
        <v>29</v>
      </c>
      <c r="R83" s="7" t="s">
        <v>29</v>
      </c>
      <c r="S83" s="7" t="s">
        <v>29</v>
      </c>
    </row>
    <row r="84" spans="2:19">
      <c r="B84" s="7" t="s">
        <v>195</v>
      </c>
      <c r="C84" s="8" t="s">
        <v>195</v>
      </c>
      <c r="D84" s="6" t="str">
        <f>LRTRIM(CONCATENATE(IF(SUMPRODUCT(-- ISNUMBER(SEARCH({"Auto Number"}, $B84))) &gt; 0, $B84, IF(SUMPRODUCT(-- ISNUMBER(SEARCH({"Lookup","Master-Detail"}, $B84))) &gt; 0,$B84 &amp; "(" &amp; $E84 &amp; ")",IF(SUMPRODUCT(-- ISNUMBER(SEARCH({"Formula","Roll-Up Summary"}, $B84))) &gt; 0,$B84 &amp; " (" &amp; $E84 &amp; ")",IF(SUMPRODUCT(-- ISNUMBER(SEARCH({"Content","Currency","Number","Percent","Text","URL"}, $B84))) &gt; 0,$B84 &amp; "(" &amp; $C84 &amp; ")",$B84)))), "  ", TRIM(IF($S84 = "YES", "(External ID)", "") &amp; " " &amp; IF(SUMPRODUCT(-- ISNUMBER(SEARCH({"Unique","Unique Case Insensitive"}, $R84))) &gt; 0, "(" &amp; $R84 &amp; ")", ""))))</f>
        <v>na</v>
      </c>
      <c r="E84" s="7" t="s">
        <v>195</v>
      </c>
      <c r="F84" s="7" t="s">
        <v>195</v>
      </c>
      <c r="G84" s="7" t="s">
        <v>195</v>
      </c>
      <c r="H84" s="7" t="s">
        <v>195</v>
      </c>
      <c r="I84" s="7" t="s">
        <v>195</v>
      </c>
      <c r="J84" s="7" t="s">
        <v>195</v>
      </c>
      <c r="K84" s="7" t="s">
        <v>195</v>
      </c>
      <c r="L84" s="7" t="s">
        <v>195</v>
      </c>
      <c r="M84" s="7" t="s">
        <v>29</v>
      </c>
      <c r="N84" s="7" t="s">
        <v>29</v>
      </c>
      <c r="O84" s="7" t="s">
        <v>29</v>
      </c>
      <c r="P84" s="7" t="s">
        <v>29</v>
      </c>
      <c r="Q84" s="7" t="s">
        <v>29</v>
      </c>
      <c r="R84" s="7" t="s">
        <v>29</v>
      </c>
      <c r="S84" s="7" t="s">
        <v>29</v>
      </c>
    </row>
    <row r="85" spans="2:19">
      <c r="B85" s="7" t="s">
        <v>195</v>
      </c>
      <c r="C85" s="8" t="s">
        <v>195</v>
      </c>
      <c r="D85" s="6" t="str">
        <f>LRTRIM(CONCATENATE(IF(SUMPRODUCT(-- ISNUMBER(SEARCH({"Auto Number"}, $B85))) &gt; 0, $B85, IF(SUMPRODUCT(-- ISNUMBER(SEARCH({"Lookup","Master-Detail"}, $B85))) &gt; 0,$B85 &amp; "(" &amp; $E85 &amp; ")",IF(SUMPRODUCT(-- ISNUMBER(SEARCH({"Formula","Roll-Up Summary"}, $B85))) &gt; 0,$B85 &amp; " (" &amp; $E85 &amp; ")",IF(SUMPRODUCT(-- ISNUMBER(SEARCH({"Content","Currency","Number","Percent","Text","URL"}, $B85))) &gt; 0,$B85 &amp; "(" &amp; $C85 &amp; ")",$B85)))), "  ", TRIM(IF($S85 = "YES", "(External ID)", "") &amp; " " &amp; IF(SUMPRODUCT(-- ISNUMBER(SEARCH({"Unique","Unique Case Insensitive"}, $R85))) &gt; 0, "(" &amp; $R85 &amp; ")", ""))))</f>
        <v>na</v>
      </c>
      <c r="E85" s="7" t="s">
        <v>195</v>
      </c>
      <c r="F85" s="7" t="s">
        <v>195</v>
      </c>
      <c r="G85" s="7" t="s">
        <v>195</v>
      </c>
      <c r="H85" s="7" t="s">
        <v>195</v>
      </c>
      <c r="I85" s="7" t="s">
        <v>195</v>
      </c>
      <c r="J85" s="7" t="s">
        <v>195</v>
      </c>
      <c r="K85" s="7" t="s">
        <v>195</v>
      </c>
      <c r="L85" s="7" t="s">
        <v>195</v>
      </c>
      <c r="M85" s="7" t="s">
        <v>29</v>
      </c>
      <c r="N85" s="7" t="s">
        <v>29</v>
      </c>
      <c r="O85" s="7" t="s">
        <v>29</v>
      </c>
      <c r="P85" s="7" t="s">
        <v>29</v>
      </c>
      <c r="Q85" s="7" t="s">
        <v>29</v>
      </c>
      <c r="R85" s="7" t="s">
        <v>29</v>
      </c>
      <c r="S85" s="7" t="s">
        <v>29</v>
      </c>
    </row>
    <row r="86" spans="2:19">
      <c r="B86" s="7" t="s">
        <v>195</v>
      </c>
      <c r="C86" s="8" t="s">
        <v>195</v>
      </c>
      <c r="D86" s="6" t="str">
        <f>LRTRIM(CONCATENATE(IF(SUMPRODUCT(-- ISNUMBER(SEARCH({"Auto Number"}, $B86))) &gt; 0, $B86, IF(SUMPRODUCT(-- ISNUMBER(SEARCH({"Lookup","Master-Detail"}, $B86))) &gt; 0,$B86 &amp; "(" &amp; $E86 &amp; ")",IF(SUMPRODUCT(-- ISNUMBER(SEARCH({"Formula","Roll-Up Summary"}, $B86))) &gt; 0,$B86 &amp; " (" &amp; $E86 &amp; ")",IF(SUMPRODUCT(-- ISNUMBER(SEARCH({"Content","Currency","Number","Percent","Text","URL"}, $B86))) &gt; 0,$B86 &amp; "(" &amp; $C86 &amp; ")",$B86)))), "  ", TRIM(IF($S86 = "YES", "(External ID)", "") &amp; " " &amp; IF(SUMPRODUCT(-- ISNUMBER(SEARCH({"Unique","Unique Case Insensitive"}, $R86))) &gt; 0, "(" &amp; $R86 &amp; ")", ""))))</f>
        <v>na</v>
      </c>
      <c r="E86" s="7" t="s">
        <v>195</v>
      </c>
      <c r="F86" s="7" t="s">
        <v>195</v>
      </c>
      <c r="G86" s="7" t="s">
        <v>195</v>
      </c>
      <c r="H86" s="7" t="s">
        <v>195</v>
      </c>
      <c r="I86" s="7" t="s">
        <v>195</v>
      </c>
      <c r="J86" s="7" t="s">
        <v>195</v>
      </c>
      <c r="K86" s="7" t="s">
        <v>195</v>
      </c>
      <c r="L86" s="7" t="s">
        <v>195</v>
      </c>
      <c r="M86" s="7" t="s">
        <v>29</v>
      </c>
      <c r="N86" s="7" t="s">
        <v>29</v>
      </c>
      <c r="O86" s="7" t="s">
        <v>29</v>
      </c>
      <c r="P86" s="7" t="s">
        <v>29</v>
      </c>
      <c r="Q86" s="7" t="s">
        <v>29</v>
      </c>
      <c r="R86" s="7" t="s">
        <v>29</v>
      </c>
      <c r="S86" s="7" t="s">
        <v>29</v>
      </c>
    </row>
    <row r="87" spans="2:19">
      <c r="B87" s="7" t="s">
        <v>195</v>
      </c>
      <c r="C87" s="8" t="s">
        <v>195</v>
      </c>
      <c r="D87" s="6" t="str">
        <f>LRTRIM(CONCATENATE(IF(SUMPRODUCT(-- ISNUMBER(SEARCH({"Auto Number"}, $B87))) &gt; 0, $B87, IF(SUMPRODUCT(-- ISNUMBER(SEARCH({"Lookup","Master-Detail"}, $B87))) &gt; 0,$B87 &amp; "(" &amp; $E87 &amp; ")",IF(SUMPRODUCT(-- ISNUMBER(SEARCH({"Formula","Roll-Up Summary"}, $B87))) &gt; 0,$B87 &amp; " (" &amp; $E87 &amp; ")",IF(SUMPRODUCT(-- ISNUMBER(SEARCH({"Content","Currency","Number","Percent","Text","URL"}, $B87))) &gt; 0,$B87 &amp; "(" &amp; $C87 &amp; ")",$B87)))), "  ", TRIM(IF($S87 = "YES", "(External ID)", "") &amp; " " &amp; IF(SUMPRODUCT(-- ISNUMBER(SEARCH({"Unique","Unique Case Insensitive"}, $R87))) &gt; 0, "(" &amp; $R87 &amp; ")", ""))))</f>
        <v>na</v>
      </c>
      <c r="E87" s="7" t="s">
        <v>195</v>
      </c>
      <c r="F87" s="7" t="s">
        <v>195</v>
      </c>
      <c r="G87" s="7" t="s">
        <v>195</v>
      </c>
      <c r="H87" s="7" t="s">
        <v>195</v>
      </c>
      <c r="I87" s="7" t="s">
        <v>195</v>
      </c>
      <c r="J87" s="7" t="s">
        <v>195</v>
      </c>
      <c r="K87" s="7" t="s">
        <v>195</v>
      </c>
      <c r="L87" s="7" t="s">
        <v>195</v>
      </c>
      <c r="M87" s="7" t="s">
        <v>29</v>
      </c>
      <c r="N87" s="7" t="s">
        <v>29</v>
      </c>
      <c r="O87" s="7" t="s">
        <v>29</v>
      </c>
      <c r="P87" s="7" t="s">
        <v>29</v>
      </c>
      <c r="Q87" s="7" t="s">
        <v>29</v>
      </c>
      <c r="R87" s="7" t="s">
        <v>29</v>
      </c>
      <c r="S87" s="7" t="s">
        <v>29</v>
      </c>
    </row>
    <row r="88" spans="2:19">
      <c r="B88" s="7" t="s">
        <v>195</v>
      </c>
      <c r="C88" s="8" t="s">
        <v>195</v>
      </c>
      <c r="D88" s="6" t="str">
        <f>LRTRIM(CONCATENATE(IF(SUMPRODUCT(-- ISNUMBER(SEARCH({"Auto Number"}, $B88))) &gt; 0, $B88, IF(SUMPRODUCT(-- ISNUMBER(SEARCH({"Lookup","Master-Detail"}, $B88))) &gt; 0,$B88 &amp; "(" &amp; $E88 &amp; ")",IF(SUMPRODUCT(-- ISNUMBER(SEARCH({"Formula","Roll-Up Summary"}, $B88))) &gt; 0,$B88 &amp; " (" &amp; $E88 &amp; ")",IF(SUMPRODUCT(-- ISNUMBER(SEARCH({"Content","Currency","Number","Percent","Text","URL"}, $B88))) &gt; 0,$B88 &amp; "(" &amp; $C88 &amp; ")",$B88)))), "  ", TRIM(IF($S88 = "YES", "(External ID)", "") &amp; " " &amp; IF(SUMPRODUCT(-- ISNUMBER(SEARCH({"Unique","Unique Case Insensitive"}, $R88))) &gt; 0, "(" &amp; $R88 &amp; ")", ""))))</f>
        <v>na</v>
      </c>
      <c r="E88" s="7" t="s">
        <v>195</v>
      </c>
      <c r="F88" s="7" t="s">
        <v>195</v>
      </c>
      <c r="G88" s="7" t="s">
        <v>195</v>
      </c>
      <c r="H88" s="7" t="s">
        <v>195</v>
      </c>
      <c r="I88" s="7" t="s">
        <v>195</v>
      </c>
      <c r="J88" s="7" t="s">
        <v>195</v>
      </c>
      <c r="K88" s="7" t="s">
        <v>195</v>
      </c>
      <c r="L88" s="7" t="s">
        <v>195</v>
      </c>
      <c r="M88" s="7" t="s">
        <v>29</v>
      </c>
      <c r="N88" s="7" t="s">
        <v>29</v>
      </c>
      <c r="O88" s="7" t="s">
        <v>29</v>
      </c>
      <c r="P88" s="7" t="s">
        <v>29</v>
      </c>
      <c r="Q88" s="7" t="s">
        <v>29</v>
      </c>
      <c r="R88" s="7" t="s">
        <v>29</v>
      </c>
      <c r="S88" s="7" t="s">
        <v>29</v>
      </c>
    </row>
    <row r="89" spans="2:19">
      <c r="B89" s="7" t="s">
        <v>195</v>
      </c>
      <c r="C89" s="8" t="s">
        <v>195</v>
      </c>
      <c r="D89" s="6" t="str">
        <f>LRTRIM(CONCATENATE(IF(SUMPRODUCT(-- ISNUMBER(SEARCH({"Auto Number"}, $B89))) &gt; 0, $B89, IF(SUMPRODUCT(-- ISNUMBER(SEARCH({"Lookup","Master-Detail"}, $B89))) &gt; 0,$B89 &amp; "(" &amp; $E89 &amp; ")",IF(SUMPRODUCT(-- ISNUMBER(SEARCH({"Formula","Roll-Up Summary"}, $B89))) &gt; 0,$B89 &amp; " (" &amp; $E89 &amp; ")",IF(SUMPRODUCT(-- ISNUMBER(SEARCH({"Content","Currency","Number","Percent","Text","URL"}, $B89))) &gt; 0,$B89 &amp; "(" &amp; $C89 &amp; ")",$B89)))), "  ", TRIM(IF($S89 = "YES", "(External ID)", "") &amp; " " &amp; IF(SUMPRODUCT(-- ISNUMBER(SEARCH({"Unique","Unique Case Insensitive"}, $R89))) &gt; 0, "(" &amp; $R89 &amp; ")", ""))))</f>
        <v>na</v>
      </c>
      <c r="E89" s="7" t="s">
        <v>195</v>
      </c>
      <c r="F89" s="7" t="s">
        <v>195</v>
      </c>
      <c r="G89" s="7" t="s">
        <v>195</v>
      </c>
      <c r="H89" s="7" t="s">
        <v>195</v>
      </c>
      <c r="I89" s="7" t="s">
        <v>195</v>
      </c>
      <c r="J89" s="7" t="s">
        <v>195</v>
      </c>
      <c r="K89" s="7" t="s">
        <v>195</v>
      </c>
      <c r="L89" s="7" t="s">
        <v>195</v>
      </c>
      <c r="M89" s="7" t="s">
        <v>29</v>
      </c>
      <c r="N89" s="7" t="s">
        <v>29</v>
      </c>
      <c r="O89" s="7" t="s">
        <v>29</v>
      </c>
      <c r="P89" s="7" t="s">
        <v>29</v>
      </c>
      <c r="Q89" s="7" t="s">
        <v>29</v>
      </c>
      <c r="R89" s="7" t="s">
        <v>29</v>
      </c>
      <c r="S89" s="7" t="s">
        <v>29</v>
      </c>
    </row>
    <row r="90" spans="2:19">
      <c r="B90" s="7" t="s">
        <v>195</v>
      </c>
      <c r="C90" s="8" t="s">
        <v>195</v>
      </c>
      <c r="D90" s="6" t="str">
        <f>LRTRIM(CONCATENATE(IF(SUMPRODUCT(-- ISNUMBER(SEARCH({"Auto Number"}, $B90))) &gt; 0, $B90, IF(SUMPRODUCT(-- ISNUMBER(SEARCH({"Lookup","Master-Detail"}, $B90))) &gt; 0,$B90 &amp; "(" &amp; $E90 &amp; ")",IF(SUMPRODUCT(-- ISNUMBER(SEARCH({"Formula","Roll-Up Summary"}, $B90))) &gt; 0,$B90 &amp; " (" &amp; $E90 &amp; ")",IF(SUMPRODUCT(-- ISNUMBER(SEARCH({"Content","Currency","Number","Percent","Text","URL"}, $B90))) &gt; 0,$B90 &amp; "(" &amp; $C90 &amp; ")",$B90)))), "  ", TRIM(IF($S90 = "YES", "(External ID)", "") &amp; " " &amp; IF(SUMPRODUCT(-- ISNUMBER(SEARCH({"Unique","Unique Case Insensitive"}, $R90))) &gt; 0, "(" &amp; $R90 &amp; ")", ""))))</f>
        <v>na</v>
      </c>
      <c r="E90" s="7" t="s">
        <v>195</v>
      </c>
      <c r="F90" s="7" t="s">
        <v>195</v>
      </c>
      <c r="G90" s="7" t="s">
        <v>195</v>
      </c>
      <c r="H90" s="7" t="s">
        <v>195</v>
      </c>
      <c r="I90" s="7" t="s">
        <v>195</v>
      </c>
      <c r="J90" s="7" t="s">
        <v>195</v>
      </c>
      <c r="K90" s="7" t="s">
        <v>195</v>
      </c>
      <c r="L90" s="7" t="s">
        <v>195</v>
      </c>
      <c r="M90" s="7" t="s">
        <v>29</v>
      </c>
      <c r="N90" s="7" t="s">
        <v>29</v>
      </c>
      <c r="O90" s="7" t="s">
        <v>29</v>
      </c>
      <c r="P90" s="7" t="s">
        <v>29</v>
      </c>
      <c r="Q90" s="7" t="s">
        <v>29</v>
      </c>
      <c r="R90" s="7" t="s">
        <v>29</v>
      </c>
      <c r="S90" s="7" t="s">
        <v>29</v>
      </c>
    </row>
    <row r="91" spans="2:19">
      <c r="B91" s="7" t="s">
        <v>195</v>
      </c>
      <c r="C91" s="8" t="s">
        <v>195</v>
      </c>
      <c r="D91" s="6" t="str">
        <f>LRTRIM(CONCATENATE(IF(SUMPRODUCT(-- ISNUMBER(SEARCH({"Auto Number"}, $B91))) &gt; 0, $B91, IF(SUMPRODUCT(-- ISNUMBER(SEARCH({"Lookup","Master-Detail"}, $B91))) &gt; 0,$B91 &amp; "(" &amp; $E91 &amp; ")",IF(SUMPRODUCT(-- ISNUMBER(SEARCH({"Formula","Roll-Up Summary"}, $B91))) &gt; 0,$B91 &amp; " (" &amp; $E91 &amp; ")",IF(SUMPRODUCT(-- ISNUMBER(SEARCH({"Content","Currency","Number","Percent","Text","URL"}, $B91))) &gt; 0,$B91 &amp; "(" &amp; $C91 &amp; ")",$B91)))), "  ", TRIM(IF($S91 = "YES", "(External ID)", "") &amp; " " &amp; IF(SUMPRODUCT(-- ISNUMBER(SEARCH({"Unique","Unique Case Insensitive"}, $R91))) &gt; 0, "(" &amp; $R91 &amp; ")", ""))))</f>
        <v>na</v>
      </c>
      <c r="E91" s="7" t="s">
        <v>195</v>
      </c>
      <c r="F91" s="7" t="s">
        <v>195</v>
      </c>
      <c r="G91" s="7" t="s">
        <v>195</v>
      </c>
      <c r="H91" s="7" t="s">
        <v>195</v>
      </c>
      <c r="I91" s="7" t="s">
        <v>195</v>
      </c>
      <c r="J91" s="7" t="s">
        <v>195</v>
      </c>
      <c r="K91" s="7" t="s">
        <v>195</v>
      </c>
      <c r="L91" s="7" t="s">
        <v>195</v>
      </c>
      <c r="M91" s="7" t="s">
        <v>29</v>
      </c>
      <c r="N91" s="7" t="s">
        <v>29</v>
      </c>
      <c r="O91" s="7" t="s">
        <v>29</v>
      </c>
      <c r="P91" s="7" t="s">
        <v>29</v>
      </c>
      <c r="Q91" s="7" t="s">
        <v>29</v>
      </c>
      <c r="R91" s="7" t="s">
        <v>29</v>
      </c>
      <c r="S91" s="7" t="s">
        <v>29</v>
      </c>
    </row>
    <row r="92" spans="2:19">
      <c r="B92" s="7" t="s">
        <v>195</v>
      </c>
      <c r="C92" s="8" t="s">
        <v>195</v>
      </c>
      <c r="D92" s="6" t="str">
        <f>LRTRIM(CONCATENATE(IF(SUMPRODUCT(-- ISNUMBER(SEARCH({"Auto Number"}, $B92))) &gt; 0, $B92, IF(SUMPRODUCT(-- ISNUMBER(SEARCH({"Lookup","Master-Detail"}, $B92))) &gt; 0,$B92 &amp; "(" &amp; $E92 &amp; ")",IF(SUMPRODUCT(-- ISNUMBER(SEARCH({"Formula","Roll-Up Summary"}, $B92))) &gt; 0,$B92 &amp; " (" &amp; $E92 &amp; ")",IF(SUMPRODUCT(-- ISNUMBER(SEARCH({"Content","Currency","Number","Percent","Text","URL"}, $B92))) &gt; 0,$B92 &amp; "(" &amp; $C92 &amp; ")",$B92)))), "  ", TRIM(IF($S92 = "YES", "(External ID)", "") &amp; " " &amp; IF(SUMPRODUCT(-- ISNUMBER(SEARCH({"Unique","Unique Case Insensitive"}, $R92))) &gt; 0, "(" &amp; $R92 &amp; ")", ""))))</f>
        <v>na</v>
      </c>
      <c r="E92" s="7" t="s">
        <v>195</v>
      </c>
      <c r="F92" s="7" t="s">
        <v>195</v>
      </c>
      <c r="G92" s="7" t="s">
        <v>195</v>
      </c>
      <c r="H92" s="7" t="s">
        <v>195</v>
      </c>
      <c r="I92" s="7" t="s">
        <v>195</v>
      </c>
      <c r="J92" s="7" t="s">
        <v>195</v>
      </c>
      <c r="K92" s="7" t="s">
        <v>195</v>
      </c>
      <c r="L92" s="7" t="s">
        <v>195</v>
      </c>
      <c r="M92" s="7" t="s">
        <v>29</v>
      </c>
      <c r="N92" s="7" t="s">
        <v>29</v>
      </c>
      <c r="O92" s="7" t="s">
        <v>29</v>
      </c>
      <c r="P92" s="7" t="s">
        <v>29</v>
      </c>
      <c r="Q92" s="7" t="s">
        <v>29</v>
      </c>
      <c r="R92" s="7" t="s">
        <v>29</v>
      </c>
      <c r="S92" s="7" t="s">
        <v>29</v>
      </c>
    </row>
    <row r="93" spans="2:19">
      <c r="B93" s="7" t="s">
        <v>195</v>
      </c>
      <c r="C93" s="8" t="s">
        <v>195</v>
      </c>
      <c r="D93" s="6" t="str">
        <f>LRTRIM(CONCATENATE(IF(SUMPRODUCT(-- ISNUMBER(SEARCH({"Auto Number"}, $B93))) &gt; 0, $B93, IF(SUMPRODUCT(-- ISNUMBER(SEARCH({"Lookup","Master-Detail"}, $B93))) &gt; 0,$B93 &amp; "(" &amp; $E93 &amp; ")",IF(SUMPRODUCT(-- ISNUMBER(SEARCH({"Formula","Roll-Up Summary"}, $B93))) &gt; 0,$B93 &amp; " (" &amp; $E93 &amp; ")",IF(SUMPRODUCT(-- ISNUMBER(SEARCH({"Content","Currency","Number","Percent","Text","URL"}, $B93))) &gt; 0,$B93 &amp; "(" &amp; $C93 &amp; ")",$B93)))), "  ", TRIM(IF($S93 = "YES", "(External ID)", "") &amp; " " &amp; IF(SUMPRODUCT(-- ISNUMBER(SEARCH({"Unique","Unique Case Insensitive"}, $R93))) &gt; 0, "(" &amp; $R93 &amp; ")", ""))))</f>
        <v>na</v>
      </c>
      <c r="E93" s="7" t="s">
        <v>195</v>
      </c>
      <c r="F93" s="7" t="s">
        <v>195</v>
      </c>
      <c r="G93" s="7" t="s">
        <v>195</v>
      </c>
      <c r="H93" s="7" t="s">
        <v>195</v>
      </c>
      <c r="I93" s="7" t="s">
        <v>195</v>
      </c>
      <c r="J93" s="7" t="s">
        <v>195</v>
      </c>
      <c r="K93" s="7" t="s">
        <v>195</v>
      </c>
      <c r="L93" s="7" t="s">
        <v>195</v>
      </c>
      <c r="M93" s="7" t="s">
        <v>29</v>
      </c>
      <c r="N93" s="7" t="s">
        <v>29</v>
      </c>
      <c r="O93" s="7" t="s">
        <v>29</v>
      </c>
      <c r="P93" s="7" t="s">
        <v>29</v>
      </c>
      <c r="Q93" s="7" t="s">
        <v>29</v>
      </c>
      <c r="R93" s="7" t="s">
        <v>29</v>
      </c>
      <c r="S93" s="7" t="s">
        <v>29</v>
      </c>
    </row>
    <row r="94" spans="2:19">
      <c r="B94" s="7" t="s">
        <v>195</v>
      </c>
      <c r="C94" s="8" t="s">
        <v>195</v>
      </c>
      <c r="D94" s="6" t="str">
        <f>LRTRIM(CONCATENATE(IF(SUMPRODUCT(-- ISNUMBER(SEARCH({"Auto Number"}, $B94))) &gt; 0, $B94, IF(SUMPRODUCT(-- ISNUMBER(SEARCH({"Lookup","Master-Detail"}, $B94))) &gt; 0,$B94 &amp; "(" &amp; $E94 &amp; ")",IF(SUMPRODUCT(-- ISNUMBER(SEARCH({"Formula","Roll-Up Summary"}, $B94))) &gt; 0,$B94 &amp; " (" &amp; $E94 &amp; ")",IF(SUMPRODUCT(-- ISNUMBER(SEARCH({"Content","Currency","Number","Percent","Text","URL"}, $B94))) &gt; 0,$B94 &amp; "(" &amp; $C94 &amp; ")",$B94)))), "  ", TRIM(IF($S94 = "YES", "(External ID)", "") &amp; " " &amp; IF(SUMPRODUCT(-- ISNUMBER(SEARCH({"Unique","Unique Case Insensitive"}, $R94))) &gt; 0, "(" &amp; $R94 &amp; ")", ""))))</f>
        <v>na</v>
      </c>
      <c r="E94" s="7" t="s">
        <v>195</v>
      </c>
      <c r="F94" s="7" t="s">
        <v>195</v>
      </c>
      <c r="G94" s="7" t="s">
        <v>195</v>
      </c>
      <c r="H94" s="7" t="s">
        <v>195</v>
      </c>
      <c r="I94" s="7" t="s">
        <v>195</v>
      </c>
      <c r="J94" s="7" t="s">
        <v>195</v>
      </c>
      <c r="K94" s="7" t="s">
        <v>195</v>
      </c>
      <c r="L94" s="7" t="s">
        <v>195</v>
      </c>
      <c r="M94" s="7" t="s">
        <v>29</v>
      </c>
      <c r="N94" s="7" t="s">
        <v>29</v>
      </c>
      <c r="O94" s="7" t="s">
        <v>29</v>
      </c>
      <c r="P94" s="7" t="s">
        <v>29</v>
      </c>
      <c r="Q94" s="7" t="s">
        <v>29</v>
      </c>
      <c r="R94" s="7" t="s">
        <v>29</v>
      </c>
      <c r="S94" s="7" t="s">
        <v>29</v>
      </c>
    </row>
    <row r="95" spans="2:19">
      <c r="B95" s="7" t="s">
        <v>195</v>
      </c>
      <c r="C95" s="8" t="s">
        <v>195</v>
      </c>
      <c r="D95" s="6" t="str">
        <f>LRTRIM(CONCATENATE(IF(SUMPRODUCT(-- ISNUMBER(SEARCH({"Auto Number"}, $B95))) &gt; 0, $B95, IF(SUMPRODUCT(-- ISNUMBER(SEARCH({"Lookup","Master-Detail"}, $B95))) &gt; 0,$B95 &amp; "(" &amp; $E95 &amp; ")",IF(SUMPRODUCT(-- ISNUMBER(SEARCH({"Formula","Roll-Up Summary"}, $B95))) &gt; 0,$B95 &amp; " (" &amp; $E95 &amp; ")",IF(SUMPRODUCT(-- ISNUMBER(SEARCH({"Content","Currency","Number","Percent","Text","URL"}, $B95))) &gt; 0,$B95 &amp; "(" &amp; $C95 &amp; ")",$B95)))), "  ", TRIM(IF($S95 = "YES", "(External ID)", "") &amp; " " &amp; IF(SUMPRODUCT(-- ISNUMBER(SEARCH({"Unique","Unique Case Insensitive"}, $R95))) &gt; 0, "(" &amp; $R95 &amp; ")", ""))))</f>
        <v>na</v>
      </c>
      <c r="E95" s="7" t="s">
        <v>195</v>
      </c>
      <c r="F95" s="7" t="s">
        <v>195</v>
      </c>
      <c r="G95" s="7" t="s">
        <v>195</v>
      </c>
      <c r="H95" s="7" t="s">
        <v>195</v>
      </c>
      <c r="I95" s="7" t="s">
        <v>195</v>
      </c>
      <c r="J95" s="7" t="s">
        <v>195</v>
      </c>
      <c r="K95" s="7" t="s">
        <v>195</v>
      </c>
      <c r="L95" s="7" t="s">
        <v>195</v>
      </c>
      <c r="M95" s="7" t="s">
        <v>29</v>
      </c>
      <c r="N95" s="7" t="s">
        <v>29</v>
      </c>
      <c r="O95" s="7" t="s">
        <v>29</v>
      </c>
      <c r="P95" s="7" t="s">
        <v>29</v>
      </c>
      <c r="Q95" s="7" t="s">
        <v>29</v>
      </c>
      <c r="R95" s="7" t="s">
        <v>29</v>
      </c>
      <c r="S95" s="7" t="s">
        <v>29</v>
      </c>
    </row>
    <row r="96" spans="2:19">
      <c r="B96" s="7" t="s">
        <v>195</v>
      </c>
      <c r="C96" s="8" t="s">
        <v>195</v>
      </c>
      <c r="D96" s="6" t="str">
        <f>LRTRIM(CONCATENATE(IF(SUMPRODUCT(-- ISNUMBER(SEARCH({"Auto Number"}, $B96))) &gt; 0, $B96, IF(SUMPRODUCT(-- ISNUMBER(SEARCH({"Lookup","Master-Detail"}, $B96))) &gt; 0,$B96 &amp; "(" &amp; $E96 &amp; ")",IF(SUMPRODUCT(-- ISNUMBER(SEARCH({"Formula","Roll-Up Summary"}, $B96))) &gt; 0,$B96 &amp; " (" &amp; $E96 &amp; ")",IF(SUMPRODUCT(-- ISNUMBER(SEARCH({"Content","Currency","Number","Percent","Text","URL"}, $B96))) &gt; 0,$B96 &amp; "(" &amp; $C96 &amp; ")",$B96)))), "  ", TRIM(IF($S96 = "YES", "(External ID)", "") &amp; " " &amp; IF(SUMPRODUCT(-- ISNUMBER(SEARCH({"Unique","Unique Case Insensitive"}, $R96))) &gt; 0, "(" &amp; $R96 &amp; ")", ""))))</f>
        <v>na</v>
      </c>
      <c r="E96" s="7" t="s">
        <v>195</v>
      </c>
      <c r="F96" s="7" t="s">
        <v>195</v>
      </c>
      <c r="G96" s="7" t="s">
        <v>195</v>
      </c>
      <c r="H96" s="7" t="s">
        <v>195</v>
      </c>
      <c r="I96" s="7" t="s">
        <v>195</v>
      </c>
      <c r="J96" s="7" t="s">
        <v>195</v>
      </c>
      <c r="K96" s="7" t="s">
        <v>195</v>
      </c>
      <c r="L96" s="7" t="s">
        <v>195</v>
      </c>
      <c r="M96" s="7" t="s">
        <v>29</v>
      </c>
      <c r="N96" s="7" t="s">
        <v>29</v>
      </c>
      <c r="O96" s="7" t="s">
        <v>29</v>
      </c>
      <c r="P96" s="7" t="s">
        <v>29</v>
      </c>
      <c r="Q96" s="7" t="s">
        <v>29</v>
      </c>
      <c r="R96" s="7" t="s">
        <v>29</v>
      </c>
      <c r="S96" s="7" t="s">
        <v>29</v>
      </c>
    </row>
    <row r="97" spans="2:19">
      <c r="B97" s="7" t="s">
        <v>195</v>
      </c>
      <c r="C97" s="8" t="s">
        <v>195</v>
      </c>
      <c r="D97" s="6" t="str">
        <f>LRTRIM(CONCATENATE(IF(SUMPRODUCT(-- ISNUMBER(SEARCH({"Auto Number"}, $B97))) &gt; 0, $B97, IF(SUMPRODUCT(-- ISNUMBER(SEARCH({"Lookup","Master-Detail"}, $B97))) &gt; 0,$B97 &amp; "(" &amp; $E97 &amp; ")",IF(SUMPRODUCT(-- ISNUMBER(SEARCH({"Formula","Roll-Up Summary"}, $B97))) &gt; 0,$B97 &amp; " (" &amp; $E97 &amp; ")",IF(SUMPRODUCT(-- ISNUMBER(SEARCH({"Content","Currency","Number","Percent","Text","URL"}, $B97))) &gt; 0,$B97 &amp; "(" &amp; $C97 &amp; ")",$B97)))), "  ", TRIM(IF($S97 = "YES", "(External ID)", "") &amp; " " &amp; IF(SUMPRODUCT(-- ISNUMBER(SEARCH({"Unique","Unique Case Insensitive"}, $R97))) &gt; 0, "(" &amp; $R97 &amp; ")", ""))))</f>
        <v>na</v>
      </c>
      <c r="E97" s="7" t="s">
        <v>195</v>
      </c>
      <c r="F97" s="7" t="s">
        <v>195</v>
      </c>
      <c r="G97" s="7" t="s">
        <v>195</v>
      </c>
      <c r="H97" s="7" t="s">
        <v>195</v>
      </c>
      <c r="I97" s="7" t="s">
        <v>195</v>
      </c>
      <c r="J97" s="7" t="s">
        <v>195</v>
      </c>
      <c r="K97" s="7" t="s">
        <v>195</v>
      </c>
      <c r="L97" s="7" t="s">
        <v>195</v>
      </c>
      <c r="M97" s="7" t="s">
        <v>29</v>
      </c>
      <c r="N97" s="7" t="s">
        <v>29</v>
      </c>
      <c r="O97" s="7" t="s">
        <v>29</v>
      </c>
      <c r="P97" s="7" t="s">
        <v>29</v>
      </c>
      <c r="Q97" s="7" t="s">
        <v>29</v>
      </c>
      <c r="R97" s="7" t="s">
        <v>29</v>
      </c>
      <c r="S97" s="7" t="s">
        <v>29</v>
      </c>
    </row>
    <row r="98" spans="2:19">
      <c r="B98" s="7" t="s">
        <v>195</v>
      </c>
      <c r="C98" s="8" t="s">
        <v>195</v>
      </c>
      <c r="D98" s="6" t="str">
        <f>LRTRIM(CONCATENATE(IF(SUMPRODUCT(-- ISNUMBER(SEARCH({"Auto Number"}, $B98))) &gt; 0, $B98, IF(SUMPRODUCT(-- ISNUMBER(SEARCH({"Lookup","Master-Detail"}, $B98))) &gt; 0,$B98 &amp; "(" &amp; $E98 &amp; ")",IF(SUMPRODUCT(-- ISNUMBER(SEARCH({"Formula","Roll-Up Summary"}, $B98))) &gt; 0,$B98 &amp; " (" &amp; $E98 &amp; ")",IF(SUMPRODUCT(-- ISNUMBER(SEARCH({"Content","Currency","Number","Percent","Text","URL"}, $B98))) &gt; 0,$B98 &amp; "(" &amp; $C98 &amp; ")",$B98)))), "  ", TRIM(IF($S98 = "YES", "(External ID)", "") &amp; " " &amp; IF(SUMPRODUCT(-- ISNUMBER(SEARCH({"Unique","Unique Case Insensitive"}, $R98))) &gt; 0, "(" &amp; $R98 &amp; ")", ""))))</f>
        <v>na</v>
      </c>
      <c r="E98" s="7" t="s">
        <v>195</v>
      </c>
      <c r="F98" s="7" t="s">
        <v>195</v>
      </c>
      <c r="G98" s="7" t="s">
        <v>195</v>
      </c>
      <c r="H98" s="7" t="s">
        <v>195</v>
      </c>
      <c r="I98" s="7" t="s">
        <v>195</v>
      </c>
      <c r="J98" s="7" t="s">
        <v>195</v>
      </c>
      <c r="K98" s="7" t="s">
        <v>195</v>
      </c>
      <c r="L98" s="7" t="s">
        <v>195</v>
      </c>
      <c r="M98" s="7" t="s">
        <v>29</v>
      </c>
      <c r="N98" s="7" t="s">
        <v>29</v>
      </c>
      <c r="O98" s="7" t="s">
        <v>29</v>
      </c>
      <c r="P98" s="7" t="s">
        <v>29</v>
      </c>
      <c r="Q98" s="7" t="s">
        <v>29</v>
      </c>
      <c r="R98" s="7" t="s">
        <v>29</v>
      </c>
      <c r="S98" s="7" t="s">
        <v>29</v>
      </c>
    </row>
    <row r="99" spans="2:19">
      <c r="B99" s="7" t="s">
        <v>195</v>
      </c>
      <c r="C99" s="8" t="s">
        <v>195</v>
      </c>
      <c r="D99" s="6" t="str">
        <f>LRTRIM(CONCATENATE(IF(SUMPRODUCT(-- ISNUMBER(SEARCH({"Auto Number"}, $B99))) &gt; 0, $B99, IF(SUMPRODUCT(-- ISNUMBER(SEARCH({"Lookup","Master-Detail"}, $B99))) &gt; 0,$B99 &amp; "(" &amp; $E99 &amp; ")",IF(SUMPRODUCT(-- ISNUMBER(SEARCH({"Formula","Roll-Up Summary"}, $B99))) &gt; 0,$B99 &amp; " (" &amp; $E99 &amp; ")",IF(SUMPRODUCT(-- ISNUMBER(SEARCH({"Content","Currency","Number","Percent","Text","URL"}, $B99))) &gt; 0,$B99 &amp; "(" &amp; $C99 &amp; ")",$B99)))), "  ", TRIM(IF($S99 = "YES", "(External ID)", "") &amp; " " &amp; IF(SUMPRODUCT(-- ISNUMBER(SEARCH({"Unique","Unique Case Insensitive"}, $R99))) &gt; 0, "(" &amp; $R99 &amp; ")", ""))))</f>
        <v>na</v>
      </c>
      <c r="E99" s="7" t="s">
        <v>195</v>
      </c>
      <c r="F99" s="7" t="s">
        <v>195</v>
      </c>
      <c r="G99" s="7" t="s">
        <v>195</v>
      </c>
      <c r="H99" s="7" t="s">
        <v>195</v>
      </c>
      <c r="I99" s="7" t="s">
        <v>195</v>
      </c>
      <c r="J99" s="7" t="s">
        <v>195</v>
      </c>
      <c r="K99" s="7" t="s">
        <v>195</v>
      </c>
      <c r="L99" s="7" t="s">
        <v>195</v>
      </c>
      <c r="M99" s="7" t="s">
        <v>29</v>
      </c>
      <c r="N99" s="7" t="s">
        <v>29</v>
      </c>
      <c r="O99" s="7" t="s">
        <v>29</v>
      </c>
      <c r="P99" s="7" t="s">
        <v>29</v>
      </c>
      <c r="Q99" s="7" t="s">
        <v>29</v>
      </c>
      <c r="R99" s="7" t="s">
        <v>29</v>
      </c>
      <c r="S99" s="7" t="s">
        <v>29</v>
      </c>
    </row>
    <row r="100" spans="2:19">
      <c r="B100" s="7" t="s">
        <v>195</v>
      </c>
      <c r="C100" s="8" t="s">
        <v>195</v>
      </c>
      <c r="D100" s="6" t="str">
        <f>LRTRIM(CONCATENATE(IF(SUMPRODUCT(-- ISNUMBER(SEARCH({"Auto Number"}, $B100))) &gt; 0, $B100, IF(SUMPRODUCT(-- ISNUMBER(SEARCH({"Lookup","Master-Detail"}, $B100))) &gt; 0,$B100 &amp; "(" &amp; $E100 &amp; ")",IF(SUMPRODUCT(-- ISNUMBER(SEARCH({"Formula","Roll-Up Summary"}, $B100))) &gt; 0,$B100 &amp; " (" &amp; $E100 &amp; ")",IF(SUMPRODUCT(-- ISNUMBER(SEARCH({"Content","Currency","Number","Percent","Text","URL"}, $B100))) &gt; 0,$B100 &amp; "(" &amp; $C100 &amp; ")",$B100)))), "  ", TRIM(IF($S100 = "YES", "(External ID)", "") &amp; " " &amp; IF(SUMPRODUCT(-- ISNUMBER(SEARCH({"Unique","Unique Case Insensitive"}, $R100))) &gt; 0, "(" &amp; $R100 &amp; ")", ""))))</f>
        <v>na</v>
      </c>
      <c r="E100" s="7" t="s">
        <v>195</v>
      </c>
      <c r="F100" s="7" t="s">
        <v>195</v>
      </c>
      <c r="G100" s="7" t="s">
        <v>195</v>
      </c>
      <c r="H100" s="7" t="s">
        <v>195</v>
      </c>
      <c r="I100" s="7" t="s">
        <v>195</v>
      </c>
      <c r="J100" s="7" t="s">
        <v>195</v>
      </c>
      <c r="K100" s="7" t="s">
        <v>195</v>
      </c>
      <c r="L100" s="7" t="s">
        <v>195</v>
      </c>
      <c r="M100" s="7" t="s">
        <v>29</v>
      </c>
      <c r="N100" s="7" t="s">
        <v>29</v>
      </c>
      <c r="O100" s="7" t="s">
        <v>29</v>
      </c>
      <c r="P100" s="7" t="s">
        <v>29</v>
      </c>
      <c r="Q100" s="7" t="s">
        <v>29</v>
      </c>
      <c r="R100" s="7" t="s">
        <v>29</v>
      </c>
      <c r="S100" s="7" t="s">
        <v>29</v>
      </c>
    </row>
    <row r="101" spans="2:19">
      <c r="B101" s="7" t="s">
        <v>195</v>
      </c>
      <c r="C101" s="8" t="s">
        <v>195</v>
      </c>
      <c r="D101" s="6" t="str">
        <f>LRTRIM(CONCATENATE(IF(SUMPRODUCT(-- ISNUMBER(SEARCH({"Auto Number"}, $B101))) &gt; 0, $B101, IF(SUMPRODUCT(-- ISNUMBER(SEARCH({"Lookup","Master-Detail"}, $B101))) &gt; 0,$B101 &amp; "(" &amp; $E101 &amp; ")",IF(SUMPRODUCT(-- ISNUMBER(SEARCH({"Formula","Roll-Up Summary"}, $B101))) &gt; 0,$B101 &amp; " (" &amp; $E101 &amp; ")",IF(SUMPRODUCT(-- ISNUMBER(SEARCH({"Content","Currency","Number","Percent","Text","URL"}, $B101))) &gt; 0,$B101 &amp; "(" &amp; $C101 &amp; ")",$B101)))), "  ", TRIM(IF($S101 = "YES", "(External ID)", "") &amp; " " &amp; IF(SUMPRODUCT(-- ISNUMBER(SEARCH({"Unique","Unique Case Insensitive"}, $R101))) &gt; 0, "(" &amp; $R101 &amp; ")", ""))))</f>
        <v>na</v>
      </c>
      <c r="E101" s="7" t="s">
        <v>195</v>
      </c>
      <c r="F101" s="7" t="s">
        <v>195</v>
      </c>
      <c r="G101" s="7" t="s">
        <v>195</v>
      </c>
      <c r="H101" s="7" t="s">
        <v>195</v>
      </c>
      <c r="I101" s="7" t="s">
        <v>195</v>
      </c>
      <c r="J101" s="7" t="s">
        <v>195</v>
      </c>
      <c r="K101" s="7" t="s">
        <v>195</v>
      </c>
      <c r="L101" s="7" t="s">
        <v>195</v>
      </c>
      <c r="M101" s="7" t="s">
        <v>29</v>
      </c>
      <c r="N101" s="7" t="s">
        <v>29</v>
      </c>
      <c r="O101" s="7" t="s">
        <v>29</v>
      </c>
      <c r="P101" s="7" t="s">
        <v>29</v>
      </c>
      <c r="Q101" s="7" t="s">
        <v>29</v>
      </c>
      <c r="R101" s="7" t="s">
        <v>29</v>
      </c>
      <c r="S101" s="7" t="s">
        <v>29</v>
      </c>
    </row>
    <row r="102" spans="2:19">
      <c r="B102" s="7" t="s">
        <v>195</v>
      </c>
      <c r="C102" s="8" t="s">
        <v>195</v>
      </c>
      <c r="D102" s="6" t="str">
        <f>LRTRIM(CONCATENATE(IF(SUMPRODUCT(-- ISNUMBER(SEARCH({"Auto Number"}, $B102))) &gt; 0, $B102, IF(SUMPRODUCT(-- ISNUMBER(SEARCH({"Lookup","Master-Detail"}, $B102))) &gt; 0,$B102 &amp; "(" &amp; $E102 &amp; ")",IF(SUMPRODUCT(-- ISNUMBER(SEARCH({"Formula","Roll-Up Summary"}, $B102))) &gt; 0,$B102 &amp; " (" &amp; $E102 &amp; ")",IF(SUMPRODUCT(-- ISNUMBER(SEARCH({"Content","Currency","Number","Percent","Text","URL"}, $B102))) &gt; 0,$B102 &amp; "(" &amp; $C102 &amp; ")",$B102)))), "  ", TRIM(IF($S102 = "YES", "(External ID)", "") &amp; " " &amp; IF(SUMPRODUCT(-- ISNUMBER(SEARCH({"Unique","Unique Case Insensitive"}, $R102))) &gt; 0, "(" &amp; $R102 &amp; ")", ""))))</f>
        <v>na</v>
      </c>
      <c r="E102" s="7" t="s">
        <v>195</v>
      </c>
      <c r="F102" s="7" t="s">
        <v>195</v>
      </c>
      <c r="G102" s="7" t="s">
        <v>195</v>
      </c>
      <c r="H102" s="7" t="s">
        <v>195</v>
      </c>
      <c r="I102" s="7" t="s">
        <v>195</v>
      </c>
      <c r="J102" s="7" t="s">
        <v>195</v>
      </c>
      <c r="K102" s="7" t="s">
        <v>195</v>
      </c>
      <c r="L102" s="7" t="s">
        <v>195</v>
      </c>
      <c r="M102" s="7" t="s">
        <v>29</v>
      </c>
      <c r="N102" s="7" t="s">
        <v>29</v>
      </c>
      <c r="O102" s="7" t="s">
        <v>29</v>
      </c>
      <c r="P102" s="7" t="s">
        <v>29</v>
      </c>
      <c r="Q102" s="7" t="s">
        <v>29</v>
      </c>
      <c r="R102" s="7" t="s">
        <v>29</v>
      </c>
      <c r="S102" s="7" t="s">
        <v>29</v>
      </c>
    </row>
    <row r="103" spans="2:19">
      <c r="B103" s="7" t="s">
        <v>195</v>
      </c>
      <c r="C103" s="8" t="s">
        <v>195</v>
      </c>
      <c r="D103" s="6" t="str">
        <f>LRTRIM(CONCATENATE(IF(SUMPRODUCT(-- ISNUMBER(SEARCH({"Auto Number"}, $B103))) &gt; 0, $B103, IF(SUMPRODUCT(-- ISNUMBER(SEARCH({"Lookup","Master-Detail"}, $B103))) &gt; 0,$B103 &amp; "(" &amp; $E103 &amp; ")",IF(SUMPRODUCT(-- ISNUMBER(SEARCH({"Formula","Roll-Up Summary"}, $B103))) &gt; 0,$B103 &amp; " (" &amp; $E103 &amp; ")",IF(SUMPRODUCT(-- ISNUMBER(SEARCH({"Content","Currency","Number","Percent","Text","URL"}, $B103))) &gt; 0,$B103 &amp; "(" &amp; $C103 &amp; ")",$B103)))), "  ", TRIM(IF($S103 = "YES", "(External ID)", "") &amp; " " &amp; IF(SUMPRODUCT(-- ISNUMBER(SEARCH({"Unique","Unique Case Insensitive"}, $R103))) &gt; 0, "(" &amp; $R103 &amp; ")", ""))))</f>
        <v>na</v>
      </c>
      <c r="E103" s="7" t="s">
        <v>195</v>
      </c>
      <c r="F103" s="7" t="s">
        <v>195</v>
      </c>
      <c r="G103" s="7" t="s">
        <v>195</v>
      </c>
      <c r="H103" s="7" t="s">
        <v>195</v>
      </c>
      <c r="I103" s="7" t="s">
        <v>195</v>
      </c>
      <c r="J103" s="7" t="s">
        <v>195</v>
      </c>
      <c r="K103" s="7" t="s">
        <v>195</v>
      </c>
      <c r="L103" s="7" t="s">
        <v>195</v>
      </c>
      <c r="M103" s="7" t="s">
        <v>29</v>
      </c>
      <c r="N103" s="7" t="s">
        <v>29</v>
      </c>
      <c r="O103" s="7" t="s">
        <v>29</v>
      </c>
      <c r="P103" s="7" t="s">
        <v>29</v>
      </c>
      <c r="Q103" s="7" t="s">
        <v>29</v>
      </c>
      <c r="R103" s="7" t="s">
        <v>29</v>
      </c>
      <c r="S103" s="7" t="s">
        <v>29</v>
      </c>
    </row>
    <row r="104" spans="2:19">
      <c r="B104" s="7" t="s">
        <v>195</v>
      </c>
      <c r="C104" s="8" t="s">
        <v>195</v>
      </c>
      <c r="D104" s="6" t="str">
        <f>LRTRIM(CONCATENATE(IF(SUMPRODUCT(-- ISNUMBER(SEARCH({"Auto Number"}, $B104))) &gt; 0, $B104, IF(SUMPRODUCT(-- ISNUMBER(SEARCH({"Lookup","Master-Detail"}, $B104))) &gt; 0,$B104 &amp; "(" &amp; $E104 &amp; ")",IF(SUMPRODUCT(-- ISNUMBER(SEARCH({"Formula","Roll-Up Summary"}, $B104))) &gt; 0,$B104 &amp; " (" &amp; $E104 &amp; ")",IF(SUMPRODUCT(-- ISNUMBER(SEARCH({"Content","Currency","Number","Percent","Text","URL"}, $B104))) &gt; 0,$B104 &amp; "(" &amp; $C104 &amp; ")",$B104)))), "  ", TRIM(IF($S104 = "YES", "(External ID)", "") &amp; " " &amp; IF(SUMPRODUCT(-- ISNUMBER(SEARCH({"Unique","Unique Case Insensitive"}, $R104))) &gt; 0, "(" &amp; $R104 &amp; ")", ""))))</f>
        <v>na</v>
      </c>
      <c r="E104" s="7" t="s">
        <v>195</v>
      </c>
      <c r="F104" s="7" t="s">
        <v>195</v>
      </c>
      <c r="G104" s="7" t="s">
        <v>195</v>
      </c>
      <c r="H104" s="7" t="s">
        <v>195</v>
      </c>
      <c r="I104" s="7" t="s">
        <v>195</v>
      </c>
      <c r="J104" s="7" t="s">
        <v>195</v>
      </c>
      <c r="K104" s="7" t="s">
        <v>195</v>
      </c>
      <c r="L104" s="7" t="s">
        <v>195</v>
      </c>
      <c r="M104" s="7" t="s">
        <v>29</v>
      </c>
      <c r="N104" s="7" t="s">
        <v>29</v>
      </c>
      <c r="O104" s="7" t="s">
        <v>29</v>
      </c>
      <c r="P104" s="7" t="s">
        <v>29</v>
      </c>
      <c r="Q104" s="7" t="s">
        <v>29</v>
      </c>
      <c r="R104" s="7" t="s">
        <v>29</v>
      </c>
      <c r="S104" s="7" t="s">
        <v>29</v>
      </c>
    </row>
    <row r="105" spans="2:19">
      <c r="B105" s="7" t="s">
        <v>195</v>
      </c>
      <c r="C105" s="8" t="s">
        <v>195</v>
      </c>
      <c r="D105" s="6" t="str">
        <f>LRTRIM(CONCATENATE(IF(SUMPRODUCT(-- ISNUMBER(SEARCH({"Auto Number"}, $B105))) &gt; 0, $B105, IF(SUMPRODUCT(-- ISNUMBER(SEARCH({"Lookup","Master-Detail"}, $B105))) &gt; 0,$B105 &amp; "(" &amp; $E105 &amp; ")",IF(SUMPRODUCT(-- ISNUMBER(SEARCH({"Formula","Roll-Up Summary"}, $B105))) &gt; 0,$B105 &amp; " (" &amp; $E105 &amp; ")",IF(SUMPRODUCT(-- ISNUMBER(SEARCH({"Content","Currency","Number","Percent","Text","URL"}, $B105))) &gt; 0,$B105 &amp; "(" &amp; $C105 &amp; ")",$B105)))), "  ", TRIM(IF($S105 = "YES", "(External ID)", "") &amp; " " &amp; IF(SUMPRODUCT(-- ISNUMBER(SEARCH({"Unique","Unique Case Insensitive"}, $R105))) &gt; 0, "(" &amp; $R105 &amp; ")", ""))))</f>
        <v>na</v>
      </c>
      <c r="E105" s="7" t="s">
        <v>195</v>
      </c>
      <c r="F105" s="7" t="s">
        <v>195</v>
      </c>
      <c r="G105" s="7" t="s">
        <v>195</v>
      </c>
      <c r="H105" s="7" t="s">
        <v>195</v>
      </c>
      <c r="I105" s="7" t="s">
        <v>195</v>
      </c>
      <c r="J105" s="7" t="s">
        <v>195</v>
      </c>
      <c r="K105" s="7" t="s">
        <v>195</v>
      </c>
      <c r="L105" s="7" t="s">
        <v>195</v>
      </c>
      <c r="M105" s="7" t="s">
        <v>29</v>
      </c>
      <c r="N105" s="7" t="s">
        <v>29</v>
      </c>
      <c r="O105" s="7" t="s">
        <v>29</v>
      </c>
      <c r="P105" s="7" t="s">
        <v>29</v>
      </c>
      <c r="Q105" s="7" t="s">
        <v>29</v>
      </c>
      <c r="R105" s="7" t="s">
        <v>29</v>
      </c>
      <c r="S105" s="7" t="s">
        <v>29</v>
      </c>
    </row>
    <row r="106" spans="2:19">
      <c r="B106" s="7" t="s">
        <v>195</v>
      </c>
      <c r="C106" s="8" t="s">
        <v>195</v>
      </c>
      <c r="D106" s="6" t="str">
        <f>LRTRIM(CONCATENATE(IF(SUMPRODUCT(-- ISNUMBER(SEARCH({"Auto Number"}, $B106))) &gt; 0, $B106, IF(SUMPRODUCT(-- ISNUMBER(SEARCH({"Lookup","Master-Detail"}, $B106))) &gt; 0,$B106 &amp; "(" &amp; $E106 &amp; ")",IF(SUMPRODUCT(-- ISNUMBER(SEARCH({"Formula","Roll-Up Summary"}, $B106))) &gt; 0,$B106 &amp; " (" &amp; $E106 &amp; ")",IF(SUMPRODUCT(-- ISNUMBER(SEARCH({"Content","Currency","Number","Percent","Text","URL"}, $B106))) &gt; 0,$B106 &amp; "(" &amp; $C106 &amp; ")",$B106)))), "  ", TRIM(IF($S106 = "YES", "(External ID)", "") &amp; " " &amp; IF(SUMPRODUCT(-- ISNUMBER(SEARCH({"Unique","Unique Case Insensitive"}, $R106))) &gt; 0, "(" &amp; $R106 &amp; ")", ""))))</f>
        <v>na</v>
      </c>
      <c r="E106" s="7" t="s">
        <v>195</v>
      </c>
      <c r="F106" s="7" t="s">
        <v>195</v>
      </c>
      <c r="G106" s="7" t="s">
        <v>195</v>
      </c>
      <c r="H106" s="7" t="s">
        <v>195</v>
      </c>
      <c r="I106" s="7" t="s">
        <v>195</v>
      </c>
      <c r="J106" s="7" t="s">
        <v>195</v>
      </c>
      <c r="K106" s="7" t="s">
        <v>195</v>
      </c>
      <c r="L106" s="7" t="s">
        <v>195</v>
      </c>
      <c r="M106" s="7" t="s">
        <v>29</v>
      </c>
      <c r="N106" s="7" t="s">
        <v>29</v>
      </c>
      <c r="O106" s="7" t="s">
        <v>29</v>
      </c>
      <c r="P106" s="7" t="s">
        <v>29</v>
      </c>
      <c r="Q106" s="7" t="s">
        <v>29</v>
      </c>
      <c r="R106" s="7" t="s">
        <v>29</v>
      </c>
      <c r="S106" s="7" t="s">
        <v>29</v>
      </c>
    </row>
    <row r="107" spans="2:19">
      <c r="B107" s="7" t="s">
        <v>195</v>
      </c>
      <c r="C107" s="8" t="s">
        <v>195</v>
      </c>
      <c r="D107" s="6" t="str">
        <f>LRTRIM(CONCATENATE(IF(SUMPRODUCT(-- ISNUMBER(SEARCH({"Auto Number"}, $B107))) &gt; 0, $B107, IF(SUMPRODUCT(-- ISNUMBER(SEARCH({"Lookup","Master-Detail"}, $B107))) &gt; 0,$B107 &amp; "(" &amp; $E107 &amp; ")",IF(SUMPRODUCT(-- ISNUMBER(SEARCH({"Formula","Roll-Up Summary"}, $B107))) &gt; 0,$B107 &amp; " (" &amp; $E107 &amp; ")",IF(SUMPRODUCT(-- ISNUMBER(SEARCH({"Content","Currency","Number","Percent","Text","URL"}, $B107))) &gt; 0,$B107 &amp; "(" &amp; $C107 &amp; ")",$B107)))), "  ", TRIM(IF($S107 = "YES", "(External ID)", "") &amp; " " &amp; IF(SUMPRODUCT(-- ISNUMBER(SEARCH({"Unique","Unique Case Insensitive"}, $R107))) &gt; 0, "(" &amp; $R107 &amp; ")", ""))))</f>
        <v>na</v>
      </c>
      <c r="E107" s="7" t="s">
        <v>195</v>
      </c>
      <c r="F107" s="7" t="s">
        <v>195</v>
      </c>
      <c r="G107" s="7" t="s">
        <v>195</v>
      </c>
      <c r="H107" s="7" t="s">
        <v>195</v>
      </c>
      <c r="I107" s="7" t="s">
        <v>195</v>
      </c>
      <c r="J107" s="7" t="s">
        <v>195</v>
      </c>
      <c r="K107" s="7" t="s">
        <v>195</v>
      </c>
      <c r="L107" s="7" t="s">
        <v>195</v>
      </c>
      <c r="M107" s="7" t="s">
        <v>29</v>
      </c>
      <c r="N107" s="7" t="s">
        <v>29</v>
      </c>
      <c r="O107" s="7" t="s">
        <v>29</v>
      </c>
      <c r="P107" s="7" t="s">
        <v>29</v>
      </c>
      <c r="Q107" s="7" t="s">
        <v>29</v>
      </c>
      <c r="R107" s="7" t="s">
        <v>29</v>
      </c>
      <c r="S107" s="7" t="s">
        <v>29</v>
      </c>
    </row>
    <row r="108" spans="2:19">
      <c r="B108" s="7" t="s">
        <v>195</v>
      </c>
      <c r="C108" s="8" t="s">
        <v>195</v>
      </c>
      <c r="D108" s="6" t="str">
        <f>LRTRIM(CONCATENATE(IF(SUMPRODUCT(-- ISNUMBER(SEARCH({"Auto Number"}, $B108))) &gt; 0, $B108, IF(SUMPRODUCT(-- ISNUMBER(SEARCH({"Lookup","Master-Detail"}, $B108))) &gt; 0,$B108 &amp; "(" &amp; $E108 &amp; ")",IF(SUMPRODUCT(-- ISNUMBER(SEARCH({"Formula","Roll-Up Summary"}, $B108))) &gt; 0,$B108 &amp; " (" &amp; $E108 &amp; ")",IF(SUMPRODUCT(-- ISNUMBER(SEARCH({"Content","Currency","Number","Percent","Text","URL"}, $B108))) &gt; 0,$B108 &amp; "(" &amp; $C108 &amp; ")",$B108)))), "  ", TRIM(IF($S108 = "YES", "(External ID)", "") &amp; " " &amp; IF(SUMPRODUCT(-- ISNUMBER(SEARCH({"Unique","Unique Case Insensitive"}, $R108))) &gt; 0, "(" &amp; $R108 &amp; ")", ""))))</f>
        <v>na</v>
      </c>
      <c r="E108" s="7" t="s">
        <v>195</v>
      </c>
      <c r="F108" s="7" t="s">
        <v>195</v>
      </c>
      <c r="G108" s="7" t="s">
        <v>195</v>
      </c>
      <c r="H108" s="7" t="s">
        <v>195</v>
      </c>
      <c r="I108" s="7" t="s">
        <v>195</v>
      </c>
      <c r="J108" s="7" t="s">
        <v>195</v>
      </c>
      <c r="K108" s="7" t="s">
        <v>195</v>
      </c>
      <c r="L108" s="7" t="s">
        <v>195</v>
      </c>
      <c r="M108" s="7" t="s">
        <v>29</v>
      </c>
      <c r="N108" s="7" t="s">
        <v>29</v>
      </c>
      <c r="O108" s="7" t="s">
        <v>29</v>
      </c>
      <c r="P108" s="7" t="s">
        <v>29</v>
      </c>
      <c r="Q108" s="7" t="s">
        <v>29</v>
      </c>
      <c r="R108" s="7" t="s">
        <v>29</v>
      </c>
      <c r="S108" s="7" t="s">
        <v>29</v>
      </c>
    </row>
    <row r="109" spans="2:19">
      <c r="B109" s="7" t="s">
        <v>195</v>
      </c>
      <c r="C109" s="8" t="s">
        <v>195</v>
      </c>
      <c r="D109" s="6" t="str">
        <f>LRTRIM(CONCATENATE(IF(SUMPRODUCT(-- ISNUMBER(SEARCH({"Auto Number"}, $B109))) &gt; 0, $B109, IF(SUMPRODUCT(-- ISNUMBER(SEARCH({"Lookup","Master-Detail"}, $B109))) &gt; 0,$B109 &amp; "(" &amp; $E109 &amp; ")",IF(SUMPRODUCT(-- ISNUMBER(SEARCH({"Formula","Roll-Up Summary"}, $B109))) &gt; 0,$B109 &amp; " (" &amp; $E109 &amp; ")",IF(SUMPRODUCT(-- ISNUMBER(SEARCH({"Content","Currency","Number","Percent","Text","URL"}, $B109))) &gt; 0,$B109 &amp; "(" &amp; $C109 &amp; ")",$B109)))), "  ", TRIM(IF($S109 = "YES", "(External ID)", "") &amp; " " &amp; IF(SUMPRODUCT(-- ISNUMBER(SEARCH({"Unique","Unique Case Insensitive"}, $R109))) &gt; 0, "(" &amp; $R109 &amp; ")", ""))))</f>
        <v>na</v>
      </c>
      <c r="E109" s="7" t="s">
        <v>195</v>
      </c>
      <c r="F109" s="7" t="s">
        <v>195</v>
      </c>
      <c r="G109" s="7" t="s">
        <v>195</v>
      </c>
      <c r="H109" s="7" t="s">
        <v>195</v>
      </c>
      <c r="I109" s="7" t="s">
        <v>195</v>
      </c>
      <c r="J109" s="7" t="s">
        <v>195</v>
      </c>
      <c r="K109" s="7" t="s">
        <v>195</v>
      </c>
      <c r="L109" s="7" t="s">
        <v>195</v>
      </c>
      <c r="M109" s="7" t="s">
        <v>29</v>
      </c>
      <c r="N109" s="7" t="s">
        <v>29</v>
      </c>
      <c r="O109" s="7" t="s">
        <v>29</v>
      </c>
      <c r="P109" s="7" t="s">
        <v>29</v>
      </c>
      <c r="Q109" s="7" t="s">
        <v>29</v>
      </c>
      <c r="R109" s="7" t="s">
        <v>29</v>
      </c>
      <c r="S109" s="7" t="s">
        <v>29</v>
      </c>
    </row>
    <row r="110" spans="2:19">
      <c r="B110" s="7" t="s">
        <v>195</v>
      </c>
      <c r="C110" s="8" t="s">
        <v>195</v>
      </c>
      <c r="D110" s="6" t="str">
        <f>LRTRIM(CONCATENATE(IF(SUMPRODUCT(-- ISNUMBER(SEARCH({"Auto Number"}, $B110))) &gt; 0, $B110, IF(SUMPRODUCT(-- ISNUMBER(SEARCH({"Lookup","Master-Detail"}, $B110))) &gt; 0,$B110 &amp; "(" &amp; $E110 &amp; ")",IF(SUMPRODUCT(-- ISNUMBER(SEARCH({"Formula","Roll-Up Summary"}, $B110))) &gt; 0,$B110 &amp; " (" &amp; $E110 &amp; ")",IF(SUMPRODUCT(-- ISNUMBER(SEARCH({"Content","Currency","Number","Percent","Text","URL"}, $B110))) &gt; 0,$B110 &amp; "(" &amp; $C110 &amp; ")",$B110)))), "  ", TRIM(IF($S110 = "YES", "(External ID)", "") &amp; " " &amp; IF(SUMPRODUCT(-- ISNUMBER(SEARCH({"Unique","Unique Case Insensitive"}, $R110))) &gt; 0, "(" &amp; $R110 &amp; ")", ""))))</f>
        <v>na</v>
      </c>
      <c r="E110" s="7" t="s">
        <v>195</v>
      </c>
      <c r="F110" s="7" t="s">
        <v>195</v>
      </c>
      <c r="G110" s="7" t="s">
        <v>195</v>
      </c>
      <c r="H110" s="7" t="s">
        <v>195</v>
      </c>
      <c r="I110" s="7" t="s">
        <v>195</v>
      </c>
      <c r="J110" s="7" t="s">
        <v>195</v>
      </c>
      <c r="K110" s="7" t="s">
        <v>195</v>
      </c>
      <c r="L110" s="7" t="s">
        <v>195</v>
      </c>
      <c r="M110" s="7" t="s">
        <v>29</v>
      </c>
      <c r="N110" s="7" t="s">
        <v>29</v>
      </c>
      <c r="O110" s="7" t="s">
        <v>29</v>
      </c>
      <c r="P110" s="7" t="s">
        <v>29</v>
      </c>
      <c r="Q110" s="7" t="s">
        <v>29</v>
      </c>
      <c r="R110" s="7" t="s">
        <v>29</v>
      </c>
      <c r="S110" s="7" t="s">
        <v>29</v>
      </c>
    </row>
    <row r="111" spans="2:19">
      <c r="B111" s="7" t="s">
        <v>195</v>
      </c>
      <c r="C111" s="8" t="s">
        <v>195</v>
      </c>
      <c r="D111" s="6" t="str">
        <f>LRTRIM(CONCATENATE(IF(SUMPRODUCT(-- ISNUMBER(SEARCH({"Auto Number"}, $B111))) &gt; 0, $B111, IF(SUMPRODUCT(-- ISNUMBER(SEARCH({"Lookup","Master-Detail"}, $B111))) &gt; 0,$B111 &amp; "(" &amp; $E111 &amp; ")",IF(SUMPRODUCT(-- ISNUMBER(SEARCH({"Formula","Roll-Up Summary"}, $B111))) &gt; 0,$B111 &amp; " (" &amp; $E111 &amp; ")",IF(SUMPRODUCT(-- ISNUMBER(SEARCH({"Content","Currency","Number","Percent","Text","URL"}, $B111))) &gt; 0,$B111 &amp; "(" &amp; $C111 &amp; ")",$B111)))), "  ", TRIM(IF($S111 = "YES", "(External ID)", "") &amp; " " &amp; IF(SUMPRODUCT(-- ISNUMBER(SEARCH({"Unique","Unique Case Insensitive"}, $R111))) &gt; 0, "(" &amp; $R111 &amp; ")", ""))))</f>
        <v>na</v>
      </c>
      <c r="E111" s="7" t="s">
        <v>195</v>
      </c>
      <c r="F111" s="7" t="s">
        <v>195</v>
      </c>
      <c r="G111" s="7" t="s">
        <v>195</v>
      </c>
      <c r="H111" s="7" t="s">
        <v>195</v>
      </c>
      <c r="I111" s="7" t="s">
        <v>195</v>
      </c>
      <c r="J111" s="7" t="s">
        <v>195</v>
      </c>
      <c r="K111" s="7" t="s">
        <v>195</v>
      </c>
      <c r="L111" s="7" t="s">
        <v>195</v>
      </c>
      <c r="M111" s="7" t="s">
        <v>29</v>
      </c>
      <c r="N111" s="7" t="s">
        <v>29</v>
      </c>
      <c r="O111" s="7" t="s">
        <v>29</v>
      </c>
      <c r="P111" s="7" t="s">
        <v>29</v>
      </c>
      <c r="Q111" s="7" t="s">
        <v>29</v>
      </c>
      <c r="R111" s="7" t="s">
        <v>29</v>
      </c>
      <c r="S111" s="7" t="s">
        <v>29</v>
      </c>
    </row>
    <row r="112" spans="2:19">
      <c r="B112" s="7" t="s">
        <v>195</v>
      </c>
      <c r="C112" s="8" t="s">
        <v>195</v>
      </c>
      <c r="D112" s="6" t="str">
        <f>LRTRIM(CONCATENATE(IF(SUMPRODUCT(-- ISNUMBER(SEARCH({"Auto Number"}, $B112))) &gt; 0, $B112, IF(SUMPRODUCT(-- ISNUMBER(SEARCH({"Lookup","Master-Detail"}, $B112))) &gt; 0,$B112 &amp; "(" &amp; $E112 &amp; ")",IF(SUMPRODUCT(-- ISNUMBER(SEARCH({"Formula","Roll-Up Summary"}, $B112))) &gt; 0,$B112 &amp; " (" &amp; $E112 &amp; ")",IF(SUMPRODUCT(-- ISNUMBER(SEARCH({"Content","Currency","Number","Percent","Text","URL"}, $B112))) &gt; 0,$B112 &amp; "(" &amp; $C112 &amp; ")",$B112)))), "  ", TRIM(IF($S112 = "YES", "(External ID)", "") &amp; " " &amp; IF(SUMPRODUCT(-- ISNUMBER(SEARCH({"Unique","Unique Case Insensitive"}, $R112))) &gt; 0, "(" &amp; $R112 &amp; ")", ""))))</f>
        <v>na</v>
      </c>
      <c r="E112" s="7" t="s">
        <v>195</v>
      </c>
      <c r="F112" s="7" t="s">
        <v>195</v>
      </c>
      <c r="G112" s="7" t="s">
        <v>195</v>
      </c>
      <c r="H112" s="7" t="s">
        <v>195</v>
      </c>
      <c r="I112" s="7" t="s">
        <v>195</v>
      </c>
      <c r="J112" s="7" t="s">
        <v>195</v>
      </c>
      <c r="K112" s="7" t="s">
        <v>195</v>
      </c>
      <c r="L112" s="7" t="s">
        <v>195</v>
      </c>
      <c r="M112" s="7" t="s">
        <v>29</v>
      </c>
      <c r="N112" s="7" t="s">
        <v>29</v>
      </c>
      <c r="O112" s="7" t="s">
        <v>29</v>
      </c>
      <c r="P112" s="7" t="s">
        <v>29</v>
      </c>
      <c r="Q112" s="7" t="s">
        <v>29</v>
      </c>
      <c r="R112" s="7" t="s">
        <v>29</v>
      </c>
      <c r="S112" s="7" t="s">
        <v>29</v>
      </c>
    </row>
    <row r="113" spans="2:19">
      <c r="B113" s="7" t="s">
        <v>195</v>
      </c>
      <c r="C113" s="8" t="s">
        <v>195</v>
      </c>
      <c r="D113" s="6" t="str">
        <f>LRTRIM(CONCATENATE(IF(SUMPRODUCT(-- ISNUMBER(SEARCH({"Auto Number"}, $B113))) &gt; 0, $B113, IF(SUMPRODUCT(-- ISNUMBER(SEARCH({"Lookup","Master-Detail"}, $B113))) &gt; 0,$B113 &amp; "(" &amp; $E113 &amp; ")",IF(SUMPRODUCT(-- ISNUMBER(SEARCH({"Formula","Roll-Up Summary"}, $B113))) &gt; 0,$B113 &amp; " (" &amp; $E113 &amp; ")",IF(SUMPRODUCT(-- ISNUMBER(SEARCH({"Content","Currency","Number","Percent","Text","URL"}, $B113))) &gt; 0,$B113 &amp; "(" &amp; $C113 &amp; ")",$B113)))), "  ", TRIM(IF($S113 = "YES", "(External ID)", "") &amp; " " &amp; IF(SUMPRODUCT(-- ISNUMBER(SEARCH({"Unique","Unique Case Insensitive"}, $R113))) &gt; 0, "(" &amp; $R113 &amp; ")", ""))))</f>
        <v>na</v>
      </c>
      <c r="E113" s="7" t="s">
        <v>195</v>
      </c>
      <c r="F113" s="7" t="s">
        <v>195</v>
      </c>
      <c r="G113" s="7" t="s">
        <v>195</v>
      </c>
      <c r="H113" s="7" t="s">
        <v>195</v>
      </c>
      <c r="I113" s="7" t="s">
        <v>195</v>
      </c>
      <c r="J113" s="7" t="s">
        <v>195</v>
      </c>
      <c r="K113" s="7" t="s">
        <v>195</v>
      </c>
      <c r="L113" s="7" t="s">
        <v>195</v>
      </c>
      <c r="M113" s="7" t="s">
        <v>29</v>
      </c>
      <c r="N113" s="7" t="s">
        <v>29</v>
      </c>
      <c r="O113" s="7" t="s">
        <v>29</v>
      </c>
      <c r="P113" s="7" t="s">
        <v>29</v>
      </c>
      <c r="Q113" s="7" t="s">
        <v>29</v>
      </c>
      <c r="R113" s="7" t="s">
        <v>29</v>
      </c>
      <c r="S113" s="7" t="s">
        <v>29</v>
      </c>
    </row>
    <row r="114" spans="2:19">
      <c r="B114" s="7" t="s">
        <v>195</v>
      </c>
      <c r="C114" s="8" t="s">
        <v>195</v>
      </c>
      <c r="D114" s="6" t="str">
        <f>LRTRIM(CONCATENATE(IF(SUMPRODUCT(-- ISNUMBER(SEARCH({"Auto Number"}, $B114))) &gt; 0, $B114, IF(SUMPRODUCT(-- ISNUMBER(SEARCH({"Lookup","Master-Detail"}, $B114))) &gt; 0,$B114 &amp; "(" &amp; $E114 &amp; ")",IF(SUMPRODUCT(-- ISNUMBER(SEARCH({"Formula","Roll-Up Summary"}, $B114))) &gt; 0,$B114 &amp; " (" &amp; $E114 &amp; ")",IF(SUMPRODUCT(-- ISNUMBER(SEARCH({"Content","Currency","Number","Percent","Text","URL"}, $B114))) &gt; 0,$B114 &amp; "(" &amp; $C114 &amp; ")",$B114)))), "  ", TRIM(IF($S114 = "YES", "(External ID)", "") &amp; " " &amp; IF(SUMPRODUCT(-- ISNUMBER(SEARCH({"Unique","Unique Case Insensitive"}, $R114))) &gt; 0, "(" &amp; $R114 &amp; ")", ""))))</f>
        <v>na</v>
      </c>
      <c r="E114" s="7" t="s">
        <v>195</v>
      </c>
      <c r="F114" s="7" t="s">
        <v>195</v>
      </c>
      <c r="G114" s="7" t="s">
        <v>195</v>
      </c>
      <c r="H114" s="7" t="s">
        <v>195</v>
      </c>
      <c r="I114" s="7" t="s">
        <v>195</v>
      </c>
      <c r="J114" s="7" t="s">
        <v>195</v>
      </c>
      <c r="K114" s="7" t="s">
        <v>195</v>
      </c>
      <c r="L114" s="7" t="s">
        <v>195</v>
      </c>
      <c r="M114" s="7" t="s">
        <v>29</v>
      </c>
      <c r="N114" s="7" t="s">
        <v>29</v>
      </c>
      <c r="O114" s="7" t="s">
        <v>29</v>
      </c>
      <c r="P114" s="7" t="s">
        <v>29</v>
      </c>
      <c r="Q114" s="7" t="s">
        <v>29</v>
      </c>
      <c r="R114" s="7" t="s">
        <v>29</v>
      </c>
      <c r="S114" s="7" t="s">
        <v>29</v>
      </c>
    </row>
    <row r="115" spans="2:19">
      <c r="B115" s="7" t="s">
        <v>195</v>
      </c>
      <c r="C115" s="8" t="s">
        <v>195</v>
      </c>
      <c r="D115" s="6" t="str">
        <f>LRTRIM(CONCATENATE(IF(SUMPRODUCT(-- ISNUMBER(SEARCH({"Auto Number"}, $B115))) &gt; 0, $B115, IF(SUMPRODUCT(-- ISNUMBER(SEARCH({"Lookup","Master-Detail"}, $B115))) &gt; 0,$B115 &amp; "(" &amp; $E115 &amp; ")",IF(SUMPRODUCT(-- ISNUMBER(SEARCH({"Formula","Roll-Up Summary"}, $B115))) &gt; 0,$B115 &amp; " (" &amp; $E115 &amp; ")",IF(SUMPRODUCT(-- ISNUMBER(SEARCH({"Content","Currency","Number","Percent","Text","URL"}, $B115))) &gt; 0,$B115 &amp; "(" &amp; $C115 &amp; ")",$B115)))), "  ", TRIM(IF($S115 = "YES", "(External ID)", "") &amp; " " &amp; IF(SUMPRODUCT(-- ISNUMBER(SEARCH({"Unique","Unique Case Insensitive"}, $R115))) &gt; 0, "(" &amp; $R115 &amp; ")", ""))))</f>
        <v>na</v>
      </c>
      <c r="E115" s="7" t="s">
        <v>195</v>
      </c>
      <c r="F115" s="7" t="s">
        <v>195</v>
      </c>
      <c r="G115" s="7" t="s">
        <v>195</v>
      </c>
      <c r="H115" s="7" t="s">
        <v>195</v>
      </c>
      <c r="I115" s="7" t="s">
        <v>195</v>
      </c>
      <c r="J115" s="7" t="s">
        <v>195</v>
      </c>
      <c r="K115" s="7" t="s">
        <v>195</v>
      </c>
      <c r="L115" s="7" t="s">
        <v>195</v>
      </c>
      <c r="M115" s="7" t="s">
        <v>29</v>
      </c>
      <c r="N115" s="7" t="s">
        <v>29</v>
      </c>
      <c r="O115" s="7" t="s">
        <v>29</v>
      </c>
      <c r="P115" s="7" t="s">
        <v>29</v>
      </c>
      <c r="Q115" s="7" t="s">
        <v>29</v>
      </c>
      <c r="R115" s="7" t="s">
        <v>29</v>
      </c>
      <c r="S115" s="7" t="s">
        <v>29</v>
      </c>
    </row>
    <row r="116" spans="2:19">
      <c r="B116" s="7" t="s">
        <v>195</v>
      </c>
      <c r="C116" s="8" t="s">
        <v>195</v>
      </c>
      <c r="D116" s="6" t="str">
        <f>LRTRIM(CONCATENATE(IF(SUMPRODUCT(-- ISNUMBER(SEARCH({"Auto Number"}, $B116))) &gt; 0, $B116, IF(SUMPRODUCT(-- ISNUMBER(SEARCH({"Lookup","Master-Detail"}, $B116))) &gt; 0,$B116 &amp; "(" &amp; $E116 &amp; ")",IF(SUMPRODUCT(-- ISNUMBER(SEARCH({"Formula","Roll-Up Summary"}, $B116))) &gt; 0,$B116 &amp; " (" &amp; $E116 &amp; ")",IF(SUMPRODUCT(-- ISNUMBER(SEARCH({"Content","Currency","Number","Percent","Text","URL"}, $B116))) &gt; 0,$B116 &amp; "(" &amp; $C116 &amp; ")",$B116)))), "  ", TRIM(IF($S116 = "YES", "(External ID)", "") &amp; " " &amp; IF(SUMPRODUCT(-- ISNUMBER(SEARCH({"Unique","Unique Case Insensitive"}, $R116))) &gt; 0, "(" &amp; $R116 &amp; ")", ""))))</f>
        <v>na</v>
      </c>
      <c r="E116" s="7" t="s">
        <v>195</v>
      </c>
      <c r="F116" s="7" t="s">
        <v>195</v>
      </c>
      <c r="G116" s="7" t="s">
        <v>195</v>
      </c>
      <c r="H116" s="7" t="s">
        <v>195</v>
      </c>
      <c r="I116" s="7" t="s">
        <v>195</v>
      </c>
      <c r="J116" s="7" t="s">
        <v>195</v>
      </c>
      <c r="K116" s="7" t="s">
        <v>195</v>
      </c>
      <c r="L116" s="7" t="s">
        <v>195</v>
      </c>
      <c r="M116" s="7" t="s">
        <v>29</v>
      </c>
      <c r="N116" s="7" t="s">
        <v>29</v>
      </c>
      <c r="O116" s="7" t="s">
        <v>29</v>
      </c>
      <c r="P116" s="7" t="s">
        <v>29</v>
      </c>
      <c r="Q116" s="7" t="s">
        <v>29</v>
      </c>
      <c r="R116" s="7" t="s">
        <v>29</v>
      </c>
      <c r="S116" s="7" t="s">
        <v>29</v>
      </c>
    </row>
    <row r="117" spans="2:19">
      <c r="B117" s="7" t="s">
        <v>195</v>
      </c>
      <c r="C117" s="8" t="s">
        <v>195</v>
      </c>
      <c r="D117" s="6" t="str">
        <f>LRTRIM(CONCATENATE(IF(SUMPRODUCT(-- ISNUMBER(SEARCH({"Auto Number"}, $B117))) &gt; 0, $B117, IF(SUMPRODUCT(-- ISNUMBER(SEARCH({"Lookup","Master-Detail"}, $B117))) &gt; 0,$B117 &amp; "(" &amp; $E117 &amp; ")",IF(SUMPRODUCT(-- ISNUMBER(SEARCH({"Formula","Roll-Up Summary"}, $B117))) &gt; 0,$B117 &amp; " (" &amp; $E117 &amp; ")",IF(SUMPRODUCT(-- ISNUMBER(SEARCH({"Content","Currency","Number","Percent","Text","URL"}, $B117))) &gt; 0,$B117 &amp; "(" &amp; $C117 &amp; ")",$B117)))), "  ", TRIM(IF($S117 = "YES", "(External ID)", "") &amp; " " &amp; IF(SUMPRODUCT(-- ISNUMBER(SEARCH({"Unique","Unique Case Insensitive"}, $R117))) &gt; 0, "(" &amp; $R117 &amp; ")", ""))))</f>
        <v>na</v>
      </c>
      <c r="E117" s="7" t="s">
        <v>195</v>
      </c>
      <c r="F117" s="7" t="s">
        <v>195</v>
      </c>
      <c r="G117" s="7" t="s">
        <v>195</v>
      </c>
      <c r="H117" s="7" t="s">
        <v>195</v>
      </c>
      <c r="I117" s="7" t="s">
        <v>195</v>
      </c>
      <c r="J117" s="7" t="s">
        <v>195</v>
      </c>
      <c r="K117" s="7" t="s">
        <v>195</v>
      </c>
      <c r="L117" s="7" t="s">
        <v>195</v>
      </c>
      <c r="M117" s="7" t="s">
        <v>29</v>
      </c>
      <c r="N117" s="7" t="s">
        <v>29</v>
      </c>
      <c r="O117" s="7" t="s">
        <v>29</v>
      </c>
      <c r="P117" s="7" t="s">
        <v>29</v>
      </c>
      <c r="Q117" s="7" t="s">
        <v>29</v>
      </c>
      <c r="R117" s="7" t="s">
        <v>29</v>
      </c>
      <c r="S117" s="7" t="s">
        <v>29</v>
      </c>
    </row>
    <row r="118" spans="2:19">
      <c r="B118" s="7" t="s">
        <v>195</v>
      </c>
      <c r="C118" s="8" t="s">
        <v>195</v>
      </c>
      <c r="D118" s="6" t="str">
        <f>LRTRIM(CONCATENATE(IF(SUMPRODUCT(-- ISNUMBER(SEARCH({"Auto Number"}, $B118))) &gt; 0, $B118, IF(SUMPRODUCT(-- ISNUMBER(SEARCH({"Lookup","Master-Detail"}, $B118))) &gt; 0,$B118 &amp; "(" &amp; $E118 &amp; ")",IF(SUMPRODUCT(-- ISNUMBER(SEARCH({"Formula","Roll-Up Summary"}, $B118))) &gt; 0,$B118 &amp; " (" &amp; $E118 &amp; ")",IF(SUMPRODUCT(-- ISNUMBER(SEARCH({"Content","Currency","Number","Percent","Text","URL"}, $B118))) &gt; 0,$B118 &amp; "(" &amp; $C118 &amp; ")",$B118)))), "  ", TRIM(IF($S118 = "YES", "(External ID)", "") &amp; " " &amp; IF(SUMPRODUCT(-- ISNUMBER(SEARCH({"Unique","Unique Case Insensitive"}, $R118))) &gt; 0, "(" &amp; $R118 &amp; ")", ""))))</f>
        <v>na</v>
      </c>
      <c r="E118" s="7" t="s">
        <v>195</v>
      </c>
      <c r="F118" s="7" t="s">
        <v>195</v>
      </c>
      <c r="G118" s="7" t="s">
        <v>195</v>
      </c>
      <c r="H118" s="7" t="s">
        <v>195</v>
      </c>
      <c r="I118" s="7" t="s">
        <v>195</v>
      </c>
      <c r="J118" s="7" t="s">
        <v>195</v>
      </c>
      <c r="K118" s="7" t="s">
        <v>195</v>
      </c>
      <c r="L118" s="7" t="s">
        <v>195</v>
      </c>
      <c r="M118" s="7" t="s">
        <v>29</v>
      </c>
      <c r="N118" s="7" t="s">
        <v>29</v>
      </c>
      <c r="O118" s="7" t="s">
        <v>29</v>
      </c>
      <c r="P118" s="7" t="s">
        <v>29</v>
      </c>
      <c r="Q118" s="7" t="s">
        <v>29</v>
      </c>
      <c r="R118" s="7" t="s">
        <v>29</v>
      </c>
      <c r="S118" s="7" t="s">
        <v>29</v>
      </c>
    </row>
    <row r="119" spans="2:19">
      <c r="B119" s="7" t="s">
        <v>195</v>
      </c>
      <c r="C119" s="8" t="s">
        <v>195</v>
      </c>
      <c r="D119" s="6" t="str">
        <f>LRTRIM(CONCATENATE(IF(SUMPRODUCT(-- ISNUMBER(SEARCH({"Auto Number"}, $B119))) &gt; 0, $B119, IF(SUMPRODUCT(-- ISNUMBER(SEARCH({"Lookup","Master-Detail"}, $B119))) &gt; 0,$B119 &amp; "(" &amp; $E119 &amp; ")",IF(SUMPRODUCT(-- ISNUMBER(SEARCH({"Formula","Roll-Up Summary"}, $B119))) &gt; 0,$B119 &amp; " (" &amp; $E119 &amp; ")",IF(SUMPRODUCT(-- ISNUMBER(SEARCH({"Content","Currency","Number","Percent","Text","URL"}, $B119))) &gt; 0,$B119 &amp; "(" &amp; $C119 &amp; ")",$B119)))), "  ", TRIM(IF($S119 = "YES", "(External ID)", "") &amp; " " &amp; IF(SUMPRODUCT(-- ISNUMBER(SEARCH({"Unique","Unique Case Insensitive"}, $R119))) &gt; 0, "(" &amp; $R119 &amp; ")", ""))))</f>
        <v>na</v>
      </c>
      <c r="E119" s="7" t="s">
        <v>195</v>
      </c>
      <c r="F119" s="7" t="s">
        <v>195</v>
      </c>
      <c r="G119" s="7" t="s">
        <v>195</v>
      </c>
      <c r="H119" s="7" t="s">
        <v>195</v>
      </c>
      <c r="I119" s="7" t="s">
        <v>195</v>
      </c>
      <c r="J119" s="7" t="s">
        <v>195</v>
      </c>
      <c r="K119" s="7" t="s">
        <v>195</v>
      </c>
      <c r="L119" s="7" t="s">
        <v>195</v>
      </c>
      <c r="M119" s="7" t="s">
        <v>29</v>
      </c>
      <c r="N119" s="7" t="s">
        <v>29</v>
      </c>
      <c r="O119" s="7" t="s">
        <v>29</v>
      </c>
      <c r="P119" s="7" t="s">
        <v>29</v>
      </c>
      <c r="Q119" s="7" t="s">
        <v>29</v>
      </c>
      <c r="R119" s="7" t="s">
        <v>29</v>
      </c>
      <c r="S119" s="7" t="s">
        <v>29</v>
      </c>
    </row>
    <row r="120" spans="2:19">
      <c r="B120" s="7" t="s">
        <v>195</v>
      </c>
      <c r="C120" s="8" t="s">
        <v>195</v>
      </c>
      <c r="D120" s="6" t="str">
        <f>LRTRIM(CONCATENATE(IF(SUMPRODUCT(-- ISNUMBER(SEARCH({"Auto Number"}, $B120))) &gt; 0, $B120, IF(SUMPRODUCT(-- ISNUMBER(SEARCH({"Lookup","Master-Detail"}, $B120))) &gt; 0,$B120 &amp; "(" &amp; $E120 &amp; ")",IF(SUMPRODUCT(-- ISNUMBER(SEARCH({"Formula","Roll-Up Summary"}, $B120))) &gt; 0,$B120 &amp; " (" &amp; $E120 &amp; ")",IF(SUMPRODUCT(-- ISNUMBER(SEARCH({"Content","Currency","Number","Percent","Text","URL"}, $B120))) &gt; 0,$B120 &amp; "(" &amp; $C120 &amp; ")",$B120)))), "  ", TRIM(IF($S120 = "YES", "(External ID)", "") &amp; " " &amp; IF(SUMPRODUCT(-- ISNUMBER(SEARCH({"Unique","Unique Case Insensitive"}, $R120))) &gt; 0, "(" &amp; $R120 &amp; ")", ""))))</f>
        <v>na</v>
      </c>
      <c r="E120" s="7" t="s">
        <v>195</v>
      </c>
      <c r="F120" s="7" t="s">
        <v>195</v>
      </c>
      <c r="G120" s="7" t="s">
        <v>195</v>
      </c>
      <c r="H120" s="7" t="s">
        <v>195</v>
      </c>
      <c r="I120" s="7" t="s">
        <v>195</v>
      </c>
      <c r="J120" s="7" t="s">
        <v>195</v>
      </c>
      <c r="K120" s="7" t="s">
        <v>195</v>
      </c>
      <c r="L120" s="7" t="s">
        <v>195</v>
      </c>
      <c r="M120" s="7" t="s">
        <v>29</v>
      </c>
      <c r="N120" s="7" t="s">
        <v>29</v>
      </c>
      <c r="O120" s="7" t="s">
        <v>29</v>
      </c>
      <c r="P120" s="7" t="s">
        <v>29</v>
      </c>
      <c r="Q120" s="7" t="s">
        <v>29</v>
      </c>
      <c r="R120" s="7" t="s">
        <v>29</v>
      </c>
      <c r="S120" s="7" t="s">
        <v>29</v>
      </c>
    </row>
    <row r="121" spans="2:19">
      <c r="B121" s="7" t="s">
        <v>195</v>
      </c>
      <c r="C121" s="8" t="s">
        <v>195</v>
      </c>
      <c r="D121" s="6" t="str">
        <f>LRTRIM(CONCATENATE(IF(SUMPRODUCT(-- ISNUMBER(SEARCH({"Auto Number"}, $B121))) &gt; 0, $B121, IF(SUMPRODUCT(-- ISNUMBER(SEARCH({"Lookup","Master-Detail"}, $B121))) &gt; 0,$B121 &amp; "(" &amp; $E121 &amp; ")",IF(SUMPRODUCT(-- ISNUMBER(SEARCH({"Formula","Roll-Up Summary"}, $B121))) &gt; 0,$B121 &amp; " (" &amp; $E121 &amp; ")",IF(SUMPRODUCT(-- ISNUMBER(SEARCH({"Content","Currency","Number","Percent","Text","URL"}, $B121))) &gt; 0,$B121 &amp; "(" &amp; $C121 &amp; ")",$B121)))), "  ", TRIM(IF($S121 = "YES", "(External ID)", "") &amp; " " &amp; IF(SUMPRODUCT(-- ISNUMBER(SEARCH({"Unique","Unique Case Insensitive"}, $R121))) &gt; 0, "(" &amp; $R121 &amp; ")", ""))))</f>
        <v>na</v>
      </c>
      <c r="E121" s="7" t="s">
        <v>195</v>
      </c>
      <c r="F121" s="7" t="s">
        <v>195</v>
      </c>
      <c r="G121" s="7" t="s">
        <v>195</v>
      </c>
      <c r="H121" s="7" t="s">
        <v>195</v>
      </c>
      <c r="I121" s="7" t="s">
        <v>195</v>
      </c>
      <c r="J121" s="7" t="s">
        <v>195</v>
      </c>
      <c r="K121" s="7" t="s">
        <v>195</v>
      </c>
      <c r="L121" s="7" t="s">
        <v>195</v>
      </c>
      <c r="M121" s="7" t="s">
        <v>29</v>
      </c>
      <c r="N121" s="7" t="s">
        <v>29</v>
      </c>
      <c r="O121" s="7" t="s">
        <v>29</v>
      </c>
      <c r="P121" s="7" t="s">
        <v>29</v>
      </c>
      <c r="Q121" s="7" t="s">
        <v>29</v>
      </c>
      <c r="R121" s="7" t="s">
        <v>29</v>
      </c>
      <c r="S121" s="7" t="s">
        <v>29</v>
      </c>
    </row>
    <row r="122" spans="2:19">
      <c r="B122" s="7" t="s">
        <v>195</v>
      </c>
      <c r="C122" s="8" t="s">
        <v>195</v>
      </c>
      <c r="D122" s="6" t="str">
        <f>LRTRIM(CONCATENATE(IF(SUMPRODUCT(-- ISNUMBER(SEARCH({"Auto Number"}, $B122))) &gt; 0, $B122, IF(SUMPRODUCT(-- ISNUMBER(SEARCH({"Lookup","Master-Detail"}, $B122))) &gt; 0,$B122 &amp; "(" &amp; $E122 &amp; ")",IF(SUMPRODUCT(-- ISNUMBER(SEARCH({"Formula","Roll-Up Summary"}, $B122))) &gt; 0,$B122 &amp; " (" &amp; $E122 &amp; ")",IF(SUMPRODUCT(-- ISNUMBER(SEARCH({"Content","Currency","Number","Percent","Text","URL"}, $B122))) &gt; 0,$B122 &amp; "(" &amp; $C122 &amp; ")",$B122)))), "  ", TRIM(IF($S122 = "YES", "(External ID)", "") &amp; " " &amp; IF(SUMPRODUCT(-- ISNUMBER(SEARCH({"Unique","Unique Case Insensitive"}, $R122))) &gt; 0, "(" &amp; $R122 &amp; ")", ""))))</f>
        <v>na</v>
      </c>
      <c r="E122" s="7" t="s">
        <v>195</v>
      </c>
      <c r="F122" s="7" t="s">
        <v>195</v>
      </c>
      <c r="G122" s="7" t="s">
        <v>195</v>
      </c>
      <c r="H122" s="7" t="s">
        <v>195</v>
      </c>
      <c r="I122" s="7" t="s">
        <v>195</v>
      </c>
      <c r="J122" s="7" t="s">
        <v>195</v>
      </c>
      <c r="K122" s="7" t="s">
        <v>195</v>
      </c>
      <c r="L122" s="7" t="s">
        <v>195</v>
      </c>
      <c r="M122" s="7" t="s">
        <v>29</v>
      </c>
      <c r="N122" s="7" t="s">
        <v>29</v>
      </c>
      <c r="O122" s="7" t="s">
        <v>29</v>
      </c>
      <c r="P122" s="7" t="s">
        <v>29</v>
      </c>
      <c r="Q122" s="7" t="s">
        <v>29</v>
      </c>
      <c r="R122" s="7" t="s">
        <v>29</v>
      </c>
      <c r="S122" s="7" t="s">
        <v>29</v>
      </c>
    </row>
    <row r="123" spans="2:19">
      <c r="B123" s="7" t="s">
        <v>195</v>
      </c>
      <c r="C123" s="8" t="s">
        <v>195</v>
      </c>
      <c r="D123" s="6" t="str">
        <f>LRTRIM(CONCATENATE(IF(SUMPRODUCT(-- ISNUMBER(SEARCH({"Auto Number"}, $B123))) &gt; 0, $B123, IF(SUMPRODUCT(-- ISNUMBER(SEARCH({"Lookup","Master-Detail"}, $B123))) &gt; 0,$B123 &amp; "(" &amp; $E123 &amp; ")",IF(SUMPRODUCT(-- ISNUMBER(SEARCH({"Formula","Roll-Up Summary"}, $B123))) &gt; 0,$B123 &amp; " (" &amp; $E123 &amp; ")",IF(SUMPRODUCT(-- ISNUMBER(SEARCH({"Content","Currency","Number","Percent","Text","URL"}, $B123))) &gt; 0,$B123 &amp; "(" &amp; $C123 &amp; ")",$B123)))), "  ", TRIM(IF($S123 = "YES", "(External ID)", "") &amp; " " &amp; IF(SUMPRODUCT(-- ISNUMBER(SEARCH({"Unique","Unique Case Insensitive"}, $R123))) &gt; 0, "(" &amp; $R123 &amp; ")", ""))))</f>
        <v>na</v>
      </c>
      <c r="E123" s="7" t="s">
        <v>195</v>
      </c>
      <c r="F123" s="7" t="s">
        <v>195</v>
      </c>
      <c r="G123" s="7" t="s">
        <v>195</v>
      </c>
      <c r="H123" s="7" t="s">
        <v>195</v>
      </c>
      <c r="I123" s="7" t="s">
        <v>195</v>
      </c>
      <c r="J123" s="7" t="s">
        <v>195</v>
      </c>
      <c r="K123" s="7" t="s">
        <v>195</v>
      </c>
      <c r="L123" s="7" t="s">
        <v>195</v>
      </c>
      <c r="M123" s="7" t="s">
        <v>29</v>
      </c>
      <c r="N123" s="7" t="s">
        <v>29</v>
      </c>
      <c r="O123" s="7" t="s">
        <v>29</v>
      </c>
      <c r="P123" s="7" t="s">
        <v>29</v>
      </c>
      <c r="Q123" s="7" t="s">
        <v>29</v>
      </c>
      <c r="R123" s="7" t="s">
        <v>29</v>
      </c>
      <c r="S123" s="7" t="s">
        <v>29</v>
      </c>
    </row>
    <row r="124" spans="2:19">
      <c r="B124" s="7" t="s">
        <v>195</v>
      </c>
      <c r="C124" s="8" t="s">
        <v>195</v>
      </c>
      <c r="D124" s="6" t="str">
        <f>LRTRIM(CONCATENATE(IF(SUMPRODUCT(-- ISNUMBER(SEARCH({"Auto Number"}, $B124))) &gt; 0, $B124, IF(SUMPRODUCT(-- ISNUMBER(SEARCH({"Lookup","Master-Detail"}, $B124))) &gt; 0,$B124 &amp; "(" &amp; $E124 &amp; ")",IF(SUMPRODUCT(-- ISNUMBER(SEARCH({"Formula","Roll-Up Summary"}, $B124))) &gt; 0,$B124 &amp; " (" &amp; $E124 &amp; ")",IF(SUMPRODUCT(-- ISNUMBER(SEARCH({"Content","Currency","Number","Percent","Text","URL"}, $B124))) &gt; 0,$B124 &amp; "(" &amp; $C124 &amp; ")",$B124)))), "  ", TRIM(IF($S124 = "YES", "(External ID)", "") &amp; " " &amp; IF(SUMPRODUCT(-- ISNUMBER(SEARCH({"Unique","Unique Case Insensitive"}, $R124))) &gt; 0, "(" &amp; $R124 &amp; ")", ""))))</f>
        <v>na</v>
      </c>
      <c r="E124" s="7" t="s">
        <v>195</v>
      </c>
      <c r="F124" s="7" t="s">
        <v>195</v>
      </c>
      <c r="G124" s="7" t="s">
        <v>195</v>
      </c>
      <c r="H124" s="7" t="s">
        <v>195</v>
      </c>
      <c r="I124" s="7" t="s">
        <v>195</v>
      </c>
      <c r="J124" s="7" t="s">
        <v>195</v>
      </c>
      <c r="K124" s="7" t="s">
        <v>195</v>
      </c>
      <c r="L124" s="7" t="s">
        <v>195</v>
      </c>
      <c r="M124" s="7" t="s">
        <v>29</v>
      </c>
      <c r="N124" s="7" t="s">
        <v>29</v>
      </c>
      <c r="O124" s="7" t="s">
        <v>29</v>
      </c>
      <c r="P124" s="7" t="s">
        <v>29</v>
      </c>
      <c r="Q124" s="7" t="s">
        <v>29</v>
      </c>
      <c r="R124" s="7" t="s">
        <v>29</v>
      </c>
      <c r="S124" s="7" t="s">
        <v>29</v>
      </c>
    </row>
    <row r="125" spans="2:19">
      <c r="B125" s="7" t="s">
        <v>195</v>
      </c>
      <c r="C125" s="8" t="s">
        <v>195</v>
      </c>
      <c r="D125" s="6" t="str">
        <f>LRTRIM(CONCATENATE(IF(SUMPRODUCT(-- ISNUMBER(SEARCH({"Auto Number"}, $B125))) &gt; 0, $B125, IF(SUMPRODUCT(-- ISNUMBER(SEARCH({"Lookup","Master-Detail"}, $B125))) &gt; 0,$B125 &amp; "(" &amp; $E125 &amp; ")",IF(SUMPRODUCT(-- ISNUMBER(SEARCH({"Formula","Roll-Up Summary"}, $B125))) &gt; 0,$B125 &amp; " (" &amp; $E125 &amp; ")",IF(SUMPRODUCT(-- ISNUMBER(SEARCH({"Content","Currency","Number","Percent","Text","URL"}, $B125))) &gt; 0,$B125 &amp; "(" &amp; $C125 &amp; ")",$B125)))), "  ", TRIM(IF($S125 = "YES", "(External ID)", "") &amp; " " &amp; IF(SUMPRODUCT(-- ISNUMBER(SEARCH({"Unique","Unique Case Insensitive"}, $R125))) &gt; 0, "(" &amp; $R125 &amp; ")", ""))))</f>
        <v>na</v>
      </c>
      <c r="E125" s="7" t="s">
        <v>195</v>
      </c>
      <c r="F125" s="7" t="s">
        <v>195</v>
      </c>
      <c r="G125" s="7" t="s">
        <v>195</v>
      </c>
      <c r="H125" s="7" t="s">
        <v>195</v>
      </c>
      <c r="I125" s="7" t="s">
        <v>195</v>
      </c>
      <c r="J125" s="7" t="s">
        <v>195</v>
      </c>
      <c r="K125" s="7" t="s">
        <v>195</v>
      </c>
      <c r="L125" s="7" t="s">
        <v>195</v>
      </c>
      <c r="M125" s="7" t="s">
        <v>29</v>
      </c>
      <c r="N125" s="7" t="s">
        <v>29</v>
      </c>
      <c r="O125" s="7" t="s">
        <v>29</v>
      </c>
      <c r="P125" s="7" t="s">
        <v>29</v>
      </c>
      <c r="Q125" s="7" t="s">
        <v>29</v>
      </c>
      <c r="R125" s="7" t="s">
        <v>29</v>
      </c>
      <c r="S125" s="7" t="s">
        <v>29</v>
      </c>
    </row>
    <row r="126" spans="2:19">
      <c r="B126" s="7" t="s">
        <v>195</v>
      </c>
      <c r="C126" s="8" t="s">
        <v>195</v>
      </c>
      <c r="D126" s="6" t="str">
        <f>LRTRIM(CONCATENATE(IF(SUMPRODUCT(-- ISNUMBER(SEARCH({"Auto Number"}, $B126))) &gt; 0, $B126, IF(SUMPRODUCT(-- ISNUMBER(SEARCH({"Lookup","Master-Detail"}, $B126))) &gt; 0,$B126 &amp; "(" &amp; $E126 &amp; ")",IF(SUMPRODUCT(-- ISNUMBER(SEARCH({"Formula","Roll-Up Summary"}, $B126))) &gt; 0,$B126 &amp; " (" &amp; $E126 &amp; ")",IF(SUMPRODUCT(-- ISNUMBER(SEARCH({"Content","Currency","Number","Percent","Text","URL"}, $B126))) &gt; 0,$B126 &amp; "(" &amp; $C126 &amp; ")",$B126)))), "  ", TRIM(IF($S126 = "YES", "(External ID)", "") &amp; " " &amp; IF(SUMPRODUCT(-- ISNUMBER(SEARCH({"Unique","Unique Case Insensitive"}, $R126))) &gt; 0, "(" &amp; $R126 &amp; ")", ""))))</f>
        <v>na</v>
      </c>
      <c r="E126" s="7" t="s">
        <v>195</v>
      </c>
      <c r="F126" s="7" t="s">
        <v>195</v>
      </c>
      <c r="G126" s="7" t="s">
        <v>195</v>
      </c>
      <c r="H126" s="7" t="s">
        <v>195</v>
      </c>
      <c r="I126" s="7" t="s">
        <v>195</v>
      </c>
      <c r="J126" s="7" t="s">
        <v>195</v>
      </c>
      <c r="K126" s="7" t="s">
        <v>195</v>
      </c>
      <c r="L126" s="7" t="s">
        <v>195</v>
      </c>
      <c r="M126" s="7" t="s">
        <v>29</v>
      </c>
      <c r="N126" s="7" t="s">
        <v>29</v>
      </c>
      <c r="O126" s="7" t="s">
        <v>29</v>
      </c>
      <c r="P126" s="7" t="s">
        <v>29</v>
      </c>
      <c r="Q126" s="7" t="s">
        <v>29</v>
      </c>
      <c r="R126" s="7" t="s">
        <v>29</v>
      </c>
      <c r="S126" s="7" t="s">
        <v>29</v>
      </c>
    </row>
    <row r="127" spans="2:19">
      <c r="B127" s="7" t="s">
        <v>195</v>
      </c>
      <c r="C127" s="8" t="s">
        <v>195</v>
      </c>
      <c r="D127" s="6" t="str">
        <f>LRTRIM(CONCATENATE(IF(SUMPRODUCT(-- ISNUMBER(SEARCH({"Auto Number"}, $B127))) &gt; 0, $B127, IF(SUMPRODUCT(-- ISNUMBER(SEARCH({"Lookup","Master-Detail"}, $B127))) &gt; 0,$B127 &amp; "(" &amp; $E127 &amp; ")",IF(SUMPRODUCT(-- ISNUMBER(SEARCH({"Formula","Roll-Up Summary"}, $B127))) &gt; 0,$B127 &amp; " (" &amp; $E127 &amp; ")",IF(SUMPRODUCT(-- ISNUMBER(SEARCH({"Content","Currency","Number","Percent","Text","URL"}, $B127))) &gt; 0,$B127 &amp; "(" &amp; $C127 &amp; ")",$B127)))), "  ", TRIM(IF($S127 = "YES", "(External ID)", "") &amp; " " &amp; IF(SUMPRODUCT(-- ISNUMBER(SEARCH({"Unique","Unique Case Insensitive"}, $R127))) &gt; 0, "(" &amp; $R127 &amp; ")", ""))))</f>
        <v>na</v>
      </c>
      <c r="E127" s="7" t="s">
        <v>195</v>
      </c>
      <c r="F127" s="7" t="s">
        <v>195</v>
      </c>
      <c r="G127" s="7" t="s">
        <v>195</v>
      </c>
      <c r="H127" s="7" t="s">
        <v>195</v>
      </c>
      <c r="I127" s="7" t="s">
        <v>195</v>
      </c>
      <c r="J127" s="7" t="s">
        <v>195</v>
      </c>
      <c r="K127" s="7" t="s">
        <v>195</v>
      </c>
      <c r="L127" s="7" t="s">
        <v>195</v>
      </c>
      <c r="M127" s="7" t="s">
        <v>29</v>
      </c>
      <c r="N127" s="7" t="s">
        <v>29</v>
      </c>
      <c r="O127" s="7" t="s">
        <v>29</v>
      </c>
      <c r="P127" s="7" t="s">
        <v>29</v>
      </c>
      <c r="Q127" s="7" t="s">
        <v>29</v>
      </c>
      <c r="R127" s="7" t="s">
        <v>29</v>
      </c>
      <c r="S127" s="7" t="s">
        <v>29</v>
      </c>
    </row>
    <row r="128" spans="2:19">
      <c r="B128" s="7" t="s">
        <v>195</v>
      </c>
      <c r="C128" s="8" t="s">
        <v>195</v>
      </c>
      <c r="D128" s="6" t="str">
        <f>LRTRIM(CONCATENATE(IF(SUMPRODUCT(-- ISNUMBER(SEARCH({"Auto Number"}, $B128))) &gt; 0, $B128, IF(SUMPRODUCT(-- ISNUMBER(SEARCH({"Lookup","Master-Detail"}, $B128))) &gt; 0,$B128 &amp; "(" &amp; $E128 &amp; ")",IF(SUMPRODUCT(-- ISNUMBER(SEARCH({"Formula","Roll-Up Summary"}, $B128))) &gt; 0,$B128 &amp; " (" &amp; $E128 &amp; ")",IF(SUMPRODUCT(-- ISNUMBER(SEARCH({"Content","Currency","Number","Percent","Text","URL"}, $B128))) &gt; 0,$B128 &amp; "(" &amp; $C128 &amp; ")",$B128)))), "  ", TRIM(IF($S128 = "YES", "(External ID)", "") &amp; " " &amp; IF(SUMPRODUCT(-- ISNUMBER(SEARCH({"Unique","Unique Case Insensitive"}, $R128))) &gt; 0, "(" &amp; $R128 &amp; ")", ""))))</f>
        <v>na</v>
      </c>
      <c r="E128" s="7" t="s">
        <v>195</v>
      </c>
      <c r="F128" s="7" t="s">
        <v>195</v>
      </c>
      <c r="G128" s="7" t="s">
        <v>195</v>
      </c>
      <c r="H128" s="7" t="s">
        <v>195</v>
      </c>
      <c r="I128" s="7" t="s">
        <v>195</v>
      </c>
      <c r="J128" s="7" t="s">
        <v>195</v>
      </c>
      <c r="K128" s="7" t="s">
        <v>195</v>
      </c>
      <c r="L128" s="7" t="s">
        <v>195</v>
      </c>
      <c r="M128" s="7" t="s">
        <v>29</v>
      </c>
      <c r="N128" s="7" t="s">
        <v>29</v>
      </c>
      <c r="O128" s="7" t="s">
        <v>29</v>
      </c>
      <c r="P128" s="7" t="s">
        <v>29</v>
      </c>
      <c r="Q128" s="7" t="s">
        <v>29</v>
      </c>
      <c r="R128" s="7" t="s">
        <v>29</v>
      </c>
      <c r="S128" s="7" t="s">
        <v>29</v>
      </c>
    </row>
    <row r="129" spans="2:19">
      <c r="B129" s="7" t="s">
        <v>195</v>
      </c>
      <c r="C129" s="8" t="s">
        <v>195</v>
      </c>
      <c r="D129" s="6" t="str">
        <f>LRTRIM(CONCATENATE(IF(SUMPRODUCT(-- ISNUMBER(SEARCH({"Auto Number"}, $B129))) &gt; 0, $B129, IF(SUMPRODUCT(-- ISNUMBER(SEARCH({"Lookup","Master-Detail"}, $B129))) &gt; 0,$B129 &amp; "(" &amp; $E129 &amp; ")",IF(SUMPRODUCT(-- ISNUMBER(SEARCH({"Formula","Roll-Up Summary"}, $B129))) &gt; 0,$B129 &amp; " (" &amp; $E129 &amp; ")",IF(SUMPRODUCT(-- ISNUMBER(SEARCH({"Content","Currency","Number","Percent","Text","URL"}, $B129))) &gt; 0,$B129 &amp; "(" &amp; $C129 &amp; ")",$B129)))), "  ", TRIM(IF($S129 = "YES", "(External ID)", "") &amp; " " &amp; IF(SUMPRODUCT(-- ISNUMBER(SEARCH({"Unique","Unique Case Insensitive"}, $R129))) &gt; 0, "(" &amp; $R129 &amp; ")", ""))))</f>
        <v>na</v>
      </c>
      <c r="E129" s="7" t="s">
        <v>195</v>
      </c>
      <c r="F129" s="7" t="s">
        <v>195</v>
      </c>
      <c r="G129" s="7" t="s">
        <v>195</v>
      </c>
      <c r="H129" s="7" t="s">
        <v>195</v>
      </c>
      <c r="I129" s="7" t="s">
        <v>195</v>
      </c>
      <c r="J129" s="7" t="s">
        <v>195</v>
      </c>
      <c r="K129" s="7" t="s">
        <v>195</v>
      </c>
      <c r="L129" s="7" t="s">
        <v>195</v>
      </c>
      <c r="M129" s="7" t="s">
        <v>29</v>
      </c>
      <c r="N129" s="7" t="s">
        <v>29</v>
      </c>
      <c r="O129" s="7" t="s">
        <v>29</v>
      </c>
      <c r="P129" s="7" t="s">
        <v>29</v>
      </c>
      <c r="Q129" s="7" t="s">
        <v>29</v>
      </c>
      <c r="R129" s="7" t="s">
        <v>29</v>
      </c>
      <c r="S129" s="7" t="s">
        <v>29</v>
      </c>
    </row>
    <row r="130" spans="2:19">
      <c r="B130" s="7" t="s">
        <v>195</v>
      </c>
      <c r="C130" s="8" t="s">
        <v>195</v>
      </c>
      <c r="D130" s="6" t="str">
        <f>LRTRIM(CONCATENATE(IF(SUMPRODUCT(-- ISNUMBER(SEARCH({"Auto Number"}, $B130))) &gt; 0, $B130, IF(SUMPRODUCT(-- ISNUMBER(SEARCH({"Lookup","Master-Detail"}, $B130))) &gt; 0,$B130 &amp; "(" &amp; $E130 &amp; ")",IF(SUMPRODUCT(-- ISNUMBER(SEARCH({"Formula","Roll-Up Summary"}, $B130))) &gt; 0,$B130 &amp; " (" &amp; $E130 &amp; ")",IF(SUMPRODUCT(-- ISNUMBER(SEARCH({"Content","Currency","Number","Percent","Text","URL"}, $B130))) &gt; 0,$B130 &amp; "(" &amp; $C130 &amp; ")",$B130)))), "  ", TRIM(IF($S130 = "YES", "(External ID)", "") &amp; " " &amp; IF(SUMPRODUCT(-- ISNUMBER(SEARCH({"Unique","Unique Case Insensitive"}, $R130))) &gt; 0, "(" &amp; $R130 &amp; ")", ""))))</f>
        <v>na</v>
      </c>
      <c r="E130" s="7" t="s">
        <v>195</v>
      </c>
      <c r="F130" s="7" t="s">
        <v>195</v>
      </c>
      <c r="G130" s="7" t="s">
        <v>195</v>
      </c>
      <c r="H130" s="7" t="s">
        <v>195</v>
      </c>
      <c r="I130" s="7" t="s">
        <v>195</v>
      </c>
      <c r="J130" s="7" t="s">
        <v>195</v>
      </c>
      <c r="K130" s="7" t="s">
        <v>195</v>
      </c>
      <c r="L130" s="7" t="s">
        <v>195</v>
      </c>
      <c r="M130" s="7" t="s">
        <v>29</v>
      </c>
      <c r="N130" s="7" t="s">
        <v>29</v>
      </c>
      <c r="O130" s="7" t="s">
        <v>29</v>
      </c>
      <c r="P130" s="7" t="s">
        <v>29</v>
      </c>
      <c r="Q130" s="7" t="s">
        <v>29</v>
      </c>
      <c r="R130" s="7" t="s">
        <v>29</v>
      </c>
      <c r="S130" s="7" t="s">
        <v>29</v>
      </c>
    </row>
    <row r="131" spans="2:19">
      <c r="B131" s="7" t="s">
        <v>195</v>
      </c>
      <c r="C131" s="8" t="s">
        <v>195</v>
      </c>
      <c r="D131" s="6" t="str">
        <f>LRTRIM(CONCATENATE(IF(SUMPRODUCT(-- ISNUMBER(SEARCH({"Auto Number"}, $B131))) &gt; 0, $B131, IF(SUMPRODUCT(-- ISNUMBER(SEARCH({"Lookup","Master-Detail"}, $B131))) &gt; 0,$B131 &amp; "(" &amp; $E131 &amp; ")",IF(SUMPRODUCT(-- ISNUMBER(SEARCH({"Formula","Roll-Up Summary"}, $B131))) &gt; 0,$B131 &amp; " (" &amp; $E131 &amp; ")",IF(SUMPRODUCT(-- ISNUMBER(SEARCH({"Content","Currency","Number","Percent","Text","URL"}, $B131))) &gt; 0,$B131 &amp; "(" &amp; $C131 &amp; ")",$B131)))), "  ", TRIM(IF($S131 = "YES", "(External ID)", "") &amp; " " &amp; IF(SUMPRODUCT(-- ISNUMBER(SEARCH({"Unique","Unique Case Insensitive"}, $R131))) &gt; 0, "(" &amp; $R131 &amp; ")", ""))))</f>
        <v>na</v>
      </c>
      <c r="E131" s="7" t="s">
        <v>195</v>
      </c>
      <c r="F131" s="7" t="s">
        <v>195</v>
      </c>
      <c r="G131" s="7" t="s">
        <v>195</v>
      </c>
      <c r="H131" s="7" t="s">
        <v>195</v>
      </c>
      <c r="I131" s="7" t="s">
        <v>195</v>
      </c>
      <c r="J131" s="7" t="s">
        <v>195</v>
      </c>
      <c r="K131" s="7" t="s">
        <v>195</v>
      </c>
      <c r="L131" s="7" t="s">
        <v>195</v>
      </c>
      <c r="M131" s="7" t="s">
        <v>29</v>
      </c>
      <c r="N131" s="7" t="s">
        <v>29</v>
      </c>
      <c r="O131" s="7" t="s">
        <v>29</v>
      </c>
      <c r="P131" s="7" t="s">
        <v>29</v>
      </c>
      <c r="Q131" s="7" t="s">
        <v>29</v>
      </c>
      <c r="R131" s="7" t="s">
        <v>29</v>
      </c>
      <c r="S131" s="7" t="s">
        <v>29</v>
      </c>
    </row>
    <row r="132" spans="2:19">
      <c r="B132" s="7" t="s">
        <v>195</v>
      </c>
      <c r="C132" s="8" t="s">
        <v>195</v>
      </c>
      <c r="D132" s="6" t="str">
        <f>LRTRIM(CONCATENATE(IF(SUMPRODUCT(-- ISNUMBER(SEARCH({"Auto Number"}, $B132))) &gt; 0, $B132, IF(SUMPRODUCT(-- ISNUMBER(SEARCH({"Lookup","Master-Detail"}, $B132))) &gt; 0,$B132 &amp; "(" &amp; $E132 &amp; ")",IF(SUMPRODUCT(-- ISNUMBER(SEARCH({"Formula","Roll-Up Summary"}, $B132))) &gt; 0,$B132 &amp; " (" &amp; $E132 &amp; ")",IF(SUMPRODUCT(-- ISNUMBER(SEARCH({"Content","Currency","Number","Percent","Text","URL"}, $B132))) &gt; 0,$B132 &amp; "(" &amp; $C132 &amp; ")",$B132)))), "  ", TRIM(IF($S132 = "YES", "(External ID)", "") &amp; " " &amp; IF(SUMPRODUCT(-- ISNUMBER(SEARCH({"Unique","Unique Case Insensitive"}, $R132))) &gt; 0, "(" &amp; $R132 &amp; ")", ""))))</f>
        <v>na</v>
      </c>
      <c r="E132" s="7" t="s">
        <v>195</v>
      </c>
      <c r="F132" s="7" t="s">
        <v>195</v>
      </c>
      <c r="G132" s="7" t="s">
        <v>195</v>
      </c>
      <c r="H132" s="7" t="s">
        <v>195</v>
      </c>
      <c r="I132" s="7" t="s">
        <v>195</v>
      </c>
      <c r="J132" s="7" t="s">
        <v>195</v>
      </c>
      <c r="K132" s="7" t="s">
        <v>195</v>
      </c>
      <c r="L132" s="7" t="s">
        <v>195</v>
      </c>
      <c r="M132" s="7" t="s">
        <v>29</v>
      </c>
      <c r="N132" s="7" t="s">
        <v>29</v>
      </c>
      <c r="O132" s="7" t="s">
        <v>29</v>
      </c>
      <c r="P132" s="7" t="s">
        <v>29</v>
      </c>
      <c r="Q132" s="7" t="s">
        <v>29</v>
      </c>
      <c r="R132" s="7" t="s">
        <v>29</v>
      </c>
      <c r="S132" s="7" t="s">
        <v>29</v>
      </c>
    </row>
    <row r="133" spans="2:19">
      <c r="B133" s="7" t="s">
        <v>195</v>
      </c>
      <c r="C133" s="8" t="s">
        <v>195</v>
      </c>
      <c r="D133" s="6" t="str">
        <f>LRTRIM(CONCATENATE(IF(SUMPRODUCT(-- ISNUMBER(SEARCH({"Auto Number"}, $B133))) &gt; 0, $B133, IF(SUMPRODUCT(-- ISNUMBER(SEARCH({"Lookup","Master-Detail"}, $B133))) &gt; 0,$B133 &amp; "(" &amp; $E133 &amp; ")",IF(SUMPRODUCT(-- ISNUMBER(SEARCH({"Formula","Roll-Up Summary"}, $B133))) &gt; 0,$B133 &amp; " (" &amp; $E133 &amp; ")",IF(SUMPRODUCT(-- ISNUMBER(SEARCH({"Content","Currency","Number","Percent","Text","URL"}, $B133))) &gt; 0,$B133 &amp; "(" &amp; $C133 &amp; ")",$B133)))), "  ", TRIM(IF($S133 = "YES", "(External ID)", "") &amp; " " &amp; IF(SUMPRODUCT(-- ISNUMBER(SEARCH({"Unique","Unique Case Insensitive"}, $R133))) &gt; 0, "(" &amp; $R133 &amp; ")", ""))))</f>
        <v>na</v>
      </c>
      <c r="E133" s="7" t="s">
        <v>195</v>
      </c>
      <c r="F133" s="7" t="s">
        <v>195</v>
      </c>
      <c r="G133" s="7" t="s">
        <v>195</v>
      </c>
      <c r="H133" s="7" t="s">
        <v>195</v>
      </c>
      <c r="I133" s="7" t="s">
        <v>195</v>
      </c>
      <c r="J133" s="7" t="s">
        <v>195</v>
      </c>
      <c r="K133" s="7" t="s">
        <v>195</v>
      </c>
      <c r="L133" s="7" t="s">
        <v>195</v>
      </c>
      <c r="M133" s="7" t="s">
        <v>29</v>
      </c>
      <c r="N133" s="7" t="s">
        <v>29</v>
      </c>
      <c r="O133" s="7" t="s">
        <v>29</v>
      </c>
      <c r="P133" s="7" t="s">
        <v>29</v>
      </c>
      <c r="Q133" s="7" t="s">
        <v>29</v>
      </c>
      <c r="R133" s="7" t="s">
        <v>29</v>
      </c>
      <c r="S133" s="7" t="s">
        <v>29</v>
      </c>
    </row>
    <row r="134" spans="2:19">
      <c r="B134" s="7" t="s">
        <v>195</v>
      </c>
      <c r="C134" s="8" t="s">
        <v>195</v>
      </c>
      <c r="D134" s="6" t="str">
        <f>LRTRIM(CONCATENATE(IF(SUMPRODUCT(-- ISNUMBER(SEARCH({"Auto Number"}, $B134))) &gt; 0, $B134, IF(SUMPRODUCT(-- ISNUMBER(SEARCH({"Lookup","Master-Detail"}, $B134))) &gt; 0,$B134 &amp; "(" &amp; $E134 &amp; ")",IF(SUMPRODUCT(-- ISNUMBER(SEARCH({"Formula","Roll-Up Summary"}, $B134))) &gt; 0,$B134 &amp; " (" &amp; $E134 &amp; ")",IF(SUMPRODUCT(-- ISNUMBER(SEARCH({"Content","Currency","Number","Percent","Text","URL"}, $B134))) &gt; 0,$B134 &amp; "(" &amp; $C134 &amp; ")",$B134)))), "  ", TRIM(IF($S134 = "YES", "(External ID)", "") &amp; " " &amp; IF(SUMPRODUCT(-- ISNUMBER(SEARCH({"Unique","Unique Case Insensitive"}, $R134))) &gt; 0, "(" &amp; $R134 &amp; ")", ""))))</f>
        <v>na</v>
      </c>
      <c r="E134" s="7" t="s">
        <v>195</v>
      </c>
      <c r="F134" s="7" t="s">
        <v>195</v>
      </c>
      <c r="G134" s="7" t="s">
        <v>195</v>
      </c>
      <c r="H134" s="7" t="s">
        <v>195</v>
      </c>
      <c r="I134" s="7" t="s">
        <v>195</v>
      </c>
      <c r="J134" s="7" t="s">
        <v>195</v>
      </c>
      <c r="K134" s="7" t="s">
        <v>195</v>
      </c>
      <c r="L134" s="7" t="s">
        <v>195</v>
      </c>
      <c r="M134" s="7" t="s">
        <v>29</v>
      </c>
      <c r="N134" s="7" t="s">
        <v>29</v>
      </c>
      <c r="O134" s="7" t="s">
        <v>29</v>
      </c>
      <c r="P134" s="7" t="s">
        <v>29</v>
      </c>
      <c r="Q134" s="7" t="s">
        <v>29</v>
      </c>
      <c r="R134" s="7" t="s">
        <v>29</v>
      </c>
      <c r="S134" s="7" t="s">
        <v>29</v>
      </c>
    </row>
    <row r="135" spans="2:19">
      <c r="B135" s="7" t="s">
        <v>195</v>
      </c>
      <c r="C135" s="8" t="s">
        <v>195</v>
      </c>
      <c r="D135" s="6" t="str">
        <f>LRTRIM(CONCATENATE(IF(SUMPRODUCT(-- ISNUMBER(SEARCH({"Auto Number"}, $B135))) &gt; 0, $B135, IF(SUMPRODUCT(-- ISNUMBER(SEARCH({"Lookup","Master-Detail"}, $B135))) &gt; 0,$B135 &amp; "(" &amp; $E135 &amp; ")",IF(SUMPRODUCT(-- ISNUMBER(SEARCH({"Formula","Roll-Up Summary"}, $B135))) &gt; 0,$B135 &amp; " (" &amp; $E135 &amp; ")",IF(SUMPRODUCT(-- ISNUMBER(SEARCH({"Content","Currency","Number","Percent","Text","URL"}, $B135))) &gt; 0,$B135 &amp; "(" &amp; $C135 &amp; ")",$B135)))), "  ", TRIM(IF($S135 = "YES", "(External ID)", "") &amp; " " &amp; IF(SUMPRODUCT(-- ISNUMBER(SEARCH({"Unique","Unique Case Insensitive"}, $R135))) &gt; 0, "(" &amp; $R135 &amp; ")", ""))))</f>
        <v>na</v>
      </c>
      <c r="E135" s="7" t="s">
        <v>195</v>
      </c>
      <c r="F135" s="7" t="s">
        <v>195</v>
      </c>
      <c r="G135" s="7" t="s">
        <v>195</v>
      </c>
      <c r="H135" s="7" t="s">
        <v>195</v>
      </c>
      <c r="I135" s="7" t="s">
        <v>195</v>
      </c>
      <c r="J135" s="7" t="s">
        <v>195</v>
      </c>
      <c r="K135" s="7" t="s">
        <v>195</v>
      </c>
      <c r="L135" s="7" t="s">
        <v>195</v>
      </c>
      <c r="M135" s="7" t="s">
        <v>29</v>
      </c>
      <c r="N135" s="7" t="s">
        <v>29</v>
      </c>
      <c r="O135" s="7" t="s">
        <v>29</v>
      </c>
      <c r="P135" s="7" t="s">
        <v>29</v>
      </c>
      <c r="Q135" s="7" t="s">
        <v>29</v>
      </c>
      <c r="R135" s="7" t="s">
        <v>29</v>
      </c>
      <c r="S135" s="7" t="s">
        <v>29</v>
      </c>
    </row>
    <row r="136" spans="2:19">
      <c r="B136" s="7" t="s">
        <v>195</v>
      </c>
      <c r="C136" s="8" t="s">
        <v>195</v>
      </c>
      <c r="D136" s="6" t="str">
        <f>LRTRIM(CONCATENATE(IF(SUMPRODUCT(-- ISNUMBER(SEARCH({"Auto Number"}, $B136))) &gt; 0, $B136, IF(SUMPRODUCT(-- ISNUMBER(SEARCH({"Lookup","Master-Detail"}, $B136))) &gt; 0,$B136 &amp; "(" &amp; $E136 &amp; ")",IF(SUMPRODUCT(-- ISNUMBER(SEARCH({"Formula","Roll-Up Summary"}, $B136))) &gt; 0,$B136 &amp; " (" &amp; $E136 &amp; ")",IF(SUMPRODUCT(-- ISNUMBER(SEARCH({"Content","Currency","Number","Percent","Text","URL"}, $B136))) &gt; 0,$B136 &amp; "(" &amp; $C136 &amp; ")",$B136)))), "  ", TRIM(IF($S136 = "YES", "(External ID)", "") &amp; " " &amp; IF(SUMPRODUCT(-- ISNUMBER(SEARCH({"Unique","Unique Case Insensitive"}, $R136))) &gt; 0, "(" &amp; $R136 &amp; ")", ""))))</f>
        <v>na</v>
      </c>
      <c r="E136" s="7" t="s">
        <v>195</v>
      </c>
      <c r="F136" s="7" t="s">
        <v>195</v>
      </c>
      <c r="G136" s="7" t="s">
        <v>195</v>
      </c>
      <c r="H136" s="7" t="s">
        <v>195</v>
      </c>
      <c r="I136" s="7" t="s">
        <v>195</v>
      </c>
      <c r="J136" s="7" t="s">
        <v>195</v>
      </c>
      <c r="K136" s="7" t="s">
        <v>195</v>
      </c>
      <c r="L136" s="7" t="s">
        <v>195</v>
      </c>
      <c r="M136" s="7" t="s">
        <v>29</v>
      </c>
      <c r="N136" s="7" t="s">
        <v>29</v>
      </c>
      <c r="O136" s="7" t="s">
        <v>29</v>
      </c>
      <c r="P136" s="7" t="s">
        <v>29</v>
      </c>
      <c r="Q136" s="7" t="s">
        <v>29</v>
      </c>
      <c r="R136" s="7" t="s">
        <v>29</v>
      </c>
      <c r="S136" s="7" t="s">
        <v>29</v>
      </c>
    </row>
    <row r="137" spans="2:19">
      <c r="B137" s="7" t="s">
        <v>195</v>
      </c>
      <c r="C137" s="8" t="s">
        <v>195</v>
      </c>
      <c r="D137" s="6" t="str">
        <f>LRTRIM(CONCATENATE(IF(SUMPRODUCT(-- ISNUMBER(SEARCH({"Auto Number"}, $B137))) &gt; 0, $B137, IF(SUMPRODUCT(-- ISNUMBER(SEARCH({"Lookup","Master-Detail"}, $B137))) &gt; 0,$B137 &amp; "(" &amp; $E137 &amp; ")",IF(SUMPRODUCT(-- ISNUMBER(SEARCH({"Formula","Roll-Up Summary"}, $B137))) &gt; 0,$B137 &amp; " (" &amp; $E137 &amp; ")",IF(SUMPRODUCT(-- ISNUMBER(SEARCH({"Content","Currency","Number","Percent","Text","URL"}, $B137))) &gt; 0,$B137 &amp; "(" &amp; $C137 &amp; ")",$B137)))), "  ", TRIM(IF($S137 = "YES", "(External ID)", "") &amp; " " &amp; IF(SUMPRODUCT(-- ISNUMBER(SEARCH({"Unique","Unique Case Insensitive"}, $R137))) &gt; 0, "(" &amp; $R137 &amp; ")", ""))))</f>
        <v>na</v>
      </c>
      <c r="E137" s="7" t="s">
        <v>195</v>
      </c>
      <c r="F137" s="7" t="s">
        <v>195</v>
      </c>
      <c r="G137" s="7" t="s">
        <v>195</v>
      </c>
      <c r="H137" s="7" t="s">
        <v>195</v>
      </c>
      <c r="I137" s="7" t="s">
        <v>195</v>
      </c>
      <c r="J137" s="7" t="s">
        <v>195</v>
      </c>
      <c r="K137" s="7" t="s">
        <v>195</v>
      </c>
      <c r="L137" s="7" t="s">
        <v>195</v>
      </c>
      <c r="M137" s="7" t="s">
        <v>29</v>
      </c>
      <c r="N137" s="7" t="s">
        <v>29</v>
      </c>
      <c r="O137" s="7" t="s">
        <v>29</v>
      </c>
      <c r="P137" s="7" t="s">
        <v>29</v>
      </c>
      <c r="Q137" s="7" t="s">
        <v>29</v>
      </c>
      <c r="R137" s="7" t="s">
        <v>29</v>
      </c>
      <c r="S137" s="7" t="s">
        <v>29</v>
      </c>
    </row>
    <row r="138" spans="2:19">
      <c r="B138" s="7" t="s">
        <v>195</v>
      </c>
      <c r="C138" s="8" t="s">
        <v>195</v>
      </c>
      <c r="D138" s="6" t="str">
        <f>LRTRIM(CONCATENATE(IF(SUMPRODUCT(-- ISNUMBER(SEARCH({"Auto Number"}, $B138))) &gt; 0, $B138, IF(SUMPRODUCT(-- ISNUMBER(SEARCH({"Lookup","Master-Detail"}, $B138))) &gt; 0,$B138 &amp; "(" &amp; $E138 &amp; ")",IF(SUMPRODUCT(-- ISNUMBER(SEARCH({"Formula","Roll-Up Summary"}, $B138))) &gt; 0,$B138 &amp; " (" &amp; $E138 &amp; ")",IF(SUMPRODUCT(-- ISNUMBER(SEARCH({"Content","Currency","Number","Percent","Text","URL"}, $B138))) &gt; 0,$B138 &amp; "(" &amp; $C138 &amp; ")",$B138)))), "  ", TRIM(IF($S138 = "YES", "(External ID)", "") &amp; " " &amp; IF(SUMPRODUCT(-- ISNUMBER(SEARCH({"Unique","Unique Case Insensitive"}, $R138))) &gt; 0, "(" &amp; $R138 &amp; ")", ""))))</f>
        <v>na</v>
      </c>
      <c r="E138" s="7" t="s">
        <v>195</v>
      </c>
      <c r="F138" s="7" t="s">
        <v>195</v>
      </c>
      <c r="G138" s="7" t="s">
        <v>195</v>
      </c>
      <c r="H138" s="7" t="s">
        <v>195</v>
      </c>
      <c r="I138" s="7" t="s">
        <v>195</v>
      </c>
      <c r="J138" s="7" t="s">
        <v>195</v>
      </c>
      <c r="K138" s="7" t="s">
        <v>195</v>
      </c>
      <c r="L138" s="7" t="s">
        <v>195</v>
      </c>
      <c r="M138" s="7" t="s">
        <v>29</v>
      </c>
      <c r="N138" s="7" t="s">
        <v>29</v>
      </c>
      <c r="O138" s="7" t="s">
        <v>29</v>
      </c>
      <c r="P138" s="7" t="s">
        <v>29</v>
      </c>
      <c r="Q138" s="7" t="s">
        <v>29</v>
      </c>
      <c r="R138" s="7" t="s">
        <v>29</v>
      </c>
      <c r="S138" s="7" t="s">
        <v>29</v>
      </c>
    </row>
    <row r="139" spans="2:19">
      <c r="B139" s="7" t="s">
        <v>195</v>
      </c>
      <c r="C139" s="8" t="s">
        <v>195</v>
      </c>
      <c r="D139" s="6" t="str">
        <f>LRTRIM(CONCATENATE(IF(SUMPRODUCT(-- ISNUMBER(SEARCH({"Auto Number"}, $B139))) &gt; 0, $B139, IF(SUMPRODUCT(-- ISNUMBER(SEARCH({"Lookup","Master-Detail"}, $B139))) &gt; 0,$B139 &amp; "(" &amp; $E139 &amp; ")",IF(SUMPRODUCT(-- ISNUMBER(SEARCH({"Formula","Roll-Up Summary"}, $B139))) &gt; 0,$B139 &amp; " (" &amp; $E139 &amp; ")",IF(SUMPRODUCT(-- ISNUMBER(SEARCH({"Content","Currency","Number","Percent","Text","URL"}, $B139))) &gt; 0,$B139 &amp; "(" &amp; $C139 &amp; ")",$B139)))), "  ", TRIM(IF($S139 = "YES", "(External ID)", "") &amp; " " &amp; IF(SUMPRODUCT(-- ISNUMBER(SEARCH({"Unique","Unique Case Insensitive"}, $R139))) &gt; 0, "(" &amp; $R139 &amp; ")", ""))))</f>
        <v>na</v>
      </c>
      <c r="E139" s="7" t="s">
        <v>195</v>
      </c>
      <c r="F139" s="7" t="s">
        <v>195</v>
      </c>
      <c r="G139" s="7" t="s">
        <v>195</v>
      </c>
      <c r="H139" s="7" t="s">
        <v>195</v>
      </c>
      <c r="I139" s="7" t="s">
        <v>195</v>
      </c>
      <c r="J139" s="7" t="s">
        <v>195</v>
      </c>
      <c r="K139" s="7" t="s">
        <v>195</v>
      </c>
      <c r="L139" s="7" t="s">
        <v>195</v>
      </c>
      <c r="M139" s="7" t="s">
        <v>29</v>
      </c>
      <c r="N139" s="7" t="s">
        <v>29</v>
      </c>
      <c r="O139" s="7" t="s">
        <v>29</v>
      </c>
      <c r="P139" s="7" t="s">
        <v>29</v>
      </c>
      <c r="Q139" s="7" t="s">
        <v>29</v>
      </c>
      <c r="R139" s="7" t="s">
        <v>29</v>
      </c>
      <c r="S139" s="7" t="s">
        <v>29</v>
      </c>
    </row>
    <row r="140" spans="2:19">
      <c r="B140" s="7" t="s">
        <v>195</v>
      </c>
      <c r="C140" s="8" t="s">
        <v>195</v>
      </c>
      <c r="D140" s="6" t="str">
        <f>LRTRIM(CONCATENATE(IF(SUMPRODUCT(-- ISNUMBER(SEARCH({"Auto Number"}, $B140))) &gt; 0, $B140, IF(SUMPRODUCT(-- ISNUMBER(SEARCH({"Lookup","Master-Detail"}, $B140))) &gt; 0,$B140 &amp; "(" &amp; $E140 &amp; ")",IF(SUMPRODUCT(-- ISNUMBER(SEARCH({"Formula","Roll-Up Summary"}, $B140))) &gt; 0,$B140 &amp; " (" &amp; $E140 &amp; ")",IF(SUMPRODUCT(-- ISNUMBER(SEARCH({"Content","Currency","Number","Percent","Text","URL"}, $B140))) &gt; 0,$B140 &amp; "(" &amp; $C140 &amp; ")",$B140)))), "  ", TRIM(IF($S140 = "YES", "(External ID)", "") &amp; " " &amp; IF(SUMPRODUCT(-- ISNUMBER(SEARCH({"Unique","Unique Case Insensitive"}, $R140))) &gt; 0, "(" &amp; $R140 &amp; ")", ""))))</f>
        <v>na</v>
      </c>
      <c r="E140" s="7" t="s">
        <v>195</v>
      </c>
      <c r="F140" s="7" t="s">
        <v>195</v>
      </c>
      <c r="G140" s="7" t="s">
        <v>195</v>
      </c>
      <c r="H140" s="7" t="s">
        <v>195</v>
      </c>
      <c r="I140" s="7" t="s">
        <v>195</v>
      </c>
      <c r="J140" s="7" t="s">
        <v>195</v>
      </c>
      <c r="K140" s="7" t="s">
        <v>195</v>
      </c>
      <c r="L140" s="7" t="s">
        <v>195</v>
      </c>
      <c r="M140" s="7" t="s">
        <v>29</v>
      </c>
      <c r="N140" s="7" t="s">
        <v>29</v>
      </c>
      <c r="O140" s="7" t="s">
        <v>29</v>
      </c>
      <c r="P140" s="7" t="s">
        <v>29</v>
      </c>
      <c r="Q140" s="7" t="s">
        <v>29</v>
      </c>
      <c r="R140" s="7" t="s">
        <v>29</v>
      </c>
      <c r="S140" s="7" t="s">
        <v>29</v>
      </c>
    </row>
    <row r="141" spans="2:19">
      <c r="B141" s="7" t="s">
        <v>195</v>
      </c>
      <c r="C141" s="8" t="s">
        <v>195</v>
      </c>
      <c r="D141" s="6" t="str">
        <f>LRTRIM(CONCATENATE(IF(SUMPRODUCT(-- ISNUMBER(SEARCH({"Auto Number"}, $B141))) &gt; 0, $B141, IF(SUMPRODUCT(-- ISNUMBER(SEARCH({"Lookup","Master-Detail"}, $B141))) &gt; 0,$B141 &amp; "(" &amp; $E141 &amp; ")",IF(SUMPRODUCT(-- ISNUMBER(SEARCH({"Formula","Roll-Up Summary"}, $B141))) &gt; 0,$B141 &amp; " (" &amp; $E141 &amp; ")",IF(SUMPRODUCT(-- ISNUMBER(SEARCH({"Content","Currency","Number","Percent","Text","URL"}, $B141))) &gt; 0,$B141 &amp; "(" &amp; $C141 &amp; ")",$B141)))), "  ", TRIM(IF($S141 = "YES", "(External ID)", "") &amp; " " &amp; IF(SUMPRODUCT(-- ISNUMBER(SEARCH({"Unique","Unique Case Insensitive"}, $R141))) &gt; 0, "(" &amp; $R141 &amp; ")", ""))))</f>
        <v>na</v>
      </c>
      <c r="E141" s="7" t="s">
        <v>195</v>
      </c>
      <c r="F141" s="7" t="s">
        <v>195</v>
      </c>
      <c r="G141" s="7" t="s">
        <v>195</v>
      </c>
      <c r="H141" s="7" t="s">
        <v>195</v>
      </c>
      <c r="I141" s="7" t="s">
        <v>195</v>
      </c>
      <c r="J141" s="7" t="s">
        <v>195</v>
      </c>
      <c r="K141" s="7" t="s">
        <v>195</v>
      </c>
      <c r="L141" s="7" t="s">
        <v>195</v>
      </c>
      <c r="M141" s="7" t="s">
        <v>29</v>
      </c>
      <c r="N141" s="7" t="s">
        <v>29</v>
      </c>
      <c r="O141" s="7" t="s">
        <v>29</v>
      </c>
      <c r="P141" s="7" t="s">
        <v>29</v>
      </c>
      <c r="Q141" s="7" t="s">
        <v>29</v>
      </c>
      <c r="R141" s="7" t="s">
        <v>29</v>
      </c>
      <c r="S141" s="7" t="s">
        <v>29</v>
      </c>
    </row>
    <row r="142" spans="2:19">
      <c r="B142" s="7" t="s">
        <v>195</v>
      </c>
      <c r="C142" s="8" t="s">
        <v>195</v>
      </c>
      <c r="D142" s="6" t="str">
        <f>LRTRIM(CONCATENATE(IF(SUMPRODUCT(-- ISNUMBER(SEARCH({"Auto Number"}, $B142))) &gt; 0, $B142, IF(SUMPRODUCT(-- ISNUMBER(SEARCH({"Lookup","Master-Detail"}, $B142))) &gt; 0,$B142 &amp; "(" &amp; $E142 &amp; ")",IF(SUMPRODUCT(-- ISNUMBER(SEARCH({"Formula","Roll-Up Summary"}, $B142))) &gt; 0,$B142 &amp; " (" &amp; $E142 &amp; ")",IF(SUMPRODUCT(-- ISNUMBER(SEARCH({"Content","Currency","Number","Percent","Text","URL"}, $B142))) &gt; 0,$B142 &amp; "(" &amp; $C142 &amp; ")",$B142)))), "  ", TRIM(IF($S142 = "YES", "(External ID)", "") &amp; " " &amp; IF(SUMPRODUCT(-- ISNUMBER(SEARCH({"Unique","Unique Case Insensitive"}, $R142))) &gt; 0, "(" &amp; $R142 &amp; ")", ""))))</f>
        <v>na</v>
      </c>
      <c r="E142" s="7" t="s">
        <v>195</v>
      </c>
      <c r="F142" s="7" t="s">
        <v>195</v>
      </c>
      <c r="G142" s="7" t="s">
        <v>195</v>
      </c>
      <c r="H142" s="7" t="s">
        <v>195</v>
      </c>
      <c r="I142" s="7" t="s">
        <v>195</v>
      </c>
      <c r="J142" s="7" t="s">
        <v>195</v>
      </c>
      <c r="K142" s="7" t="s">
        <v>195</v>
      </c>
      <c r="L142" s="7" t="s">
        <v>195</v>
      </c>
      <c r="M142" s="7" t="s">
        <v>29</v>
      </c>
      <c r="N142" s="7" t="s">
        <v>29</v>
      </c>
      <c r="O142" s="7" t="s">
        <v>29</v>
      </c>
      <c r="P142" s="7" t="s">
        <v>29</v>
      </c>
      <c r="Q142" s="7" t="s">
        <v>29</v>
      </c>
      <c r="R142" s="7" t="s">
        <v>29</v>
      </c>
      <c r="S142" s="7" t="s">
        <v>29</v>
      </c>
    </row>
    <row r="143" spans="2:19">
      <c r="B143" s="7" t="s">
        <v>195</v>
      </c>
      <c r="C143" s="8" t="s">
        <v>195</v>
      </c>
      <c r="D143" s="6" t="str">
        <f>LRTRIM(CONCATENATE(IF(SUMPRODUCT(-- ISNUMBER(SEARCH({"Auto Number"}, $B143))) &gt; 0, $B143, IF(SUMPRODUCT(-- ISNUMBER(SEARCH({"Lookup","Master-Detail"}, $B143))) &gt; 0,$B143 &amp; "(" &amp; $E143 &amp; ")",IF(SUMPRODUCT(-- ISNUMBER(SEARCH({"Formula","Roll-Up Summary"}, $B143))) &gt; 0,$B143 &amp; " (" &amp; $E143 &amp; ")",IF(SUMPRODUCT(-- ISNUMBER(SEARCH({"Content","Currency","Number","Percent","Text","URL"}, $B143))) &gt; 0,$B143 &amp; "(" &amp; $C143 &amp; ")",$B143)))), "  ", TRIM(IF($S143 = "YES", "(External ID)", "") &amp; " " &amp; IF(SUMPRODUCT(-- ISNUMBER(SEARCH({"Unique","Unique Case Insensitive"}, $R143))) &gt; 0, "(" &amp; $R143 &amp; ")", ""))))</f>
        <v>na</v>
      </c>
      <c r="E143" s="7" t="s">
        <v>195</v>
      </c>
      <c r="F143" s="7" t="s">
        <v>195</v>
      </c>
      <c r="G143" s="7" t="s">
        <v>195</v>
      </c>
      <c r="H143" s="7" t="s">
        <v>195</v>
      </c>
      <c r="I143" s="7" t="s">
        <v>195</v>
      </c>
      <c r="J143" s="7" t="s">
        <v>195</v>
      </c>
      <c r="K143" s="7" t="s">
        <v>195</v>
      </c>
      <c r="L143" s="7" t="s">
        <v>195</v>
      </c>
      <c r="M143" s="7" t="s">
        <v>29</v>
      </c>
      <c r="N143" s="7" t="s">
        <v>29</v>
      </c>
      <c r="O143" s="7" t="s">
        <v>29</v>
      </c>
      <c r="P143" s="7" t="s">
        <v>29</v>
      </c>
      <c r="Q143" s="7" t="s">
        <v>29</v>
      </c>
      <c r="R143" s="7" t="s">
        <v>29</v>
      </c>
      <c r="S143" s="7" t="s">
        <v>29</v>
      </c>
    </row>
    <row r="144" spans="2:19">
      <c r="B144" s="7" t="s">
        <v>195</v>
      </c>
      <c r="C144" s="8" t="s">
        <v>195</v>
      </c>
      <c r="D144" s="6" t="str">
        <f>LRTRIM(CONCATENATE(IF(SUMPRODUCT(-- ISNUMBER(SEARCH({"Auto Number"}, $B144))) &gt; 0, $B144, IF(SUMPRODUCT(-- ISNUMBER(SEARCH({"Lookup","Master-Detail"}, $B144))) &gt; 0,$B144 &amp; "(" &amp; $E144 &amp; ")",IF(SUMPRODUCT(-- ISNUMBER(SEARCH({"Formula","Roll-Up Summary"}, $B144))) &gt; 0,$B144 &amp; " (" &amp; $E144 &amp; ")",IF(SUMPRODUCT(-- ISNUMBER(SEARCH({"Content","Currency","Number","Percent","Text","URL"}, $B144))) &gt; 0,$B144 &amp; "(" &amp; $C144 &amp; ")",$B144)))), "  ", TRIM(IF($S144 = "YES", "(External ID)", "") &amp; " " &amp; IF(SUMPRODUCT(-- ISNUMBER(SEARCH({"Unique","Unique Case Insensitive"}, $R144))) &gt; 0, "(" &amp; $R144 &amp; ")", ""))))</f>
        <v>na</v>
      </c>
      <c r="E144" s="7" t="s">
        <v>195</v>
      </c>
      <c r="F144" s="7" t="s">
        <v>195</v>
      </c>
      <c r="G144" s="7" t="s">
        <v>195</v>
      </c>
      <c r="H144" s="7" t="s">
        <v>195</v>
      </c>
      <c r="I144" s="7" t="s">
        <v>195</v>
      </c>
      <c r="J144" s="7" t="s">
        <v>195</v>
      </c>
      <c r="K144" s="7" t="s">
        <v>195</v>
      </c>
      <c r="L144" s="7" t="s">
        <v>195</v>
      </c>
      <c r="M144" s="7" t="s">
        <v>29</v>
      </c>
      <c r="N144" s="7" t="s">
        <v>29</v>
      </c>
      <c r="O144" s="7" t="s">
        <v>29</v>
      </c>
      <c r="P144" s="7" t="s">
        <v>29</v>
      </c>
      <c r="Q144" s="7" t="s">
        <v>29</v>
      </c>
      <c r="R144" s="7" t="s">
        <v>29</v>
      </c>
      <c r="S144" s="7" t="s">
        <v>29</v>
      </c>
    </row>
    <row r="145" spans="2:19">
      <c r="B145" s="7" t="s">
        <v>195</v>
      </c>
      <c r="C145" s="8" t="s">
        <v>195</v>
      </c>
      <c r="D145" s="6" t="str">
        <f>LRTRIM(CONCATENATE(IF(SUMPRODUCT(-- ISNUMBER(SEARCH({"Auto Number"}, $B145))) &gt; 0, $B145, IF(SUMPRODUCT(-- ISNUMBER(SEARCH({"Lookup","Master-Detail"}, $B145))) &gt; 0,$B145 &amp; "(" &amp; $E145 &amp; ")",IF(SUMPRODUCT(-- ISNUMBER(SEARCH({"Formula","Roll-Up Summary"}, $B145))) &gt; 0,$B145 &amp; " (" &amp; $E145 &amp; ")",IF(SUMPRODUCT(-- ISNUMBER(SEARCH({"Content","Currency","Number","Percent","Text","URL"}, $B145))) &gt; 0,$B145 &amp; "(" &amp; $C145 &amp; ")",$B145)))), "  ", TRIM(IF($S145 = "YES", "(External ID)", "") &amp; " " &amp; IF(SUMPRODUCT(-- ISNUMBER(SEARCH({"Unique","Unique Case Insensitive"}, $R145))) &gt; 0, "(" &amp; $R145 &amp; ")", ""))))</f>
        <v>na</v>
      </c>
      <c r="E145" s="7" t="s">
        <v>195</v>
      </c>
      <c r="F145" s="7" t="s">
        <v>195</v>
      </c>
      <c r="G145" s="7" t="s">
        <v>195</v>
      </c>
      <c r="H145" s="7" t="s">
        <v>195</v>
      </c>
      <c r="I145" s="7" t="s">
        <v>195</v>
      </c>
      <c r="J145" s="7" t="s">
        <v>195</v>
      </c>
      <c r="K145" s="7" t="s">
        <v>195</v>
      </c>
      <c r="L145" s="7" t="s">
        <v>195</v>
      </c>
      <c r="M145" s="7" t="s">
        <v>29</v>
      </c>
      <c r="N145" s="7" t="s">
        <v>29</v>
      </c>
      <c r="O145" s="7" t="s">
        <v>29</v>
      </c>
      <c r="P145" s="7" t="s">
        <v>29</v>
      </c>
      <c r="Q145" s="7" t="s">
        <v>29</v>
      </c>
      <c r="R145" s="7" t="s">
        <v>29</v>
      </c>
      <c r="S145" s="7" t="s">
        <v>29</v>
      </c>
    </row>
    <row r="146" spans="2:19">
      <c r="B146" s="7" t="s">
        <v>195</v>
      </c>
      <c r="C146" s="8" t="s">
        <v>195</v>
      </c>
      <c r="D146" s="6" t="str">
        <f>LRTRIM(CONCATENATE(IF(SUMPRODUCT(-- ISNUMBER(SEARCH({"Auto Number"}, $B146))) &gt; 0, $B146, IF(SUMPRODUCT(-- ISNUMBER(SEARCH({"Lookup","Master-Detail"}, $B146))) &gt; 0,$B146 &amp; "(" &amp; $E146 &amp; ")",IF(SUMPRODUCT(-- ISNUMBER(SEARCH({"Formula","Roll-Up Summary"}, $B146))) &gt; 0,$B146 &amp; " (" &amp; $E146 &amp; ")",IF(SUMPRODUCT(-- ISNUMBER(SEARCH({"Content","Currency","Number","Percent","Text","URL"}, $B146))) &gt; 0,$B146 &amp; "(" &amp; $C146 &amp; ")",$B146)))), "  ", TRIM(IF($S146 = "YES", "(External ID)", "") &amp; " " &amp; IF(SUMPRODUCT(-- ISNUMBER(SEARCH({"Unique","Unique Case Insensitive"}, $R146))) &gt; 0, "(" &amp; $R146 &amp; ")", ""))))</f>
        <v>na</v>
      </c>
      <c r="E146" s="7" t="s">
        <v>195</v>
      </c>
      <c r="F146" s="7" t="s">
        <v>195</v>
      </c>
      <c r="G146" s="7" t="s">
        <v>195</v>
      </c>
      <c r="H146" s="7" t="s">
        <v>195</v>
      </c>
      <c r="I146" s="7" t="s">
        <v>195</v>
      </c>
      <c r="J146" s="7" t="s">
        <v>195</v>
      </c>
      <c r="K146" s="7" t="s">
        <v>195</v>
      </c>
      <c r="L146" s="7" t="s">
        <v>195</v>
      </c>
      <c r="M146" s="7" t="s">
        <v>29</v>
      </c>
      <c r="N146" s="7" t="s">
        <v>29</v>
      </c>
      <c r="O146" s="7" t="s">
        <v>29</v>
      </c>
      <c r="P146" s="7" t="s">
        <v>29</v>
      </c>
      <c r="Q146" s="7" t="s">
        <v>29</v>
      </c>
      <c r="R146" s="7" t="s">
        <v>29</v>
      </c>
      <c r="S146" s="7" t="s">
        <v>29</v>
      </c>
    </row>
    <row r="147" spans="2:19">
      <c r="B147" s="7" t="s">
        <v>195</v>
      </c>
      <c r="C147" s="8" t="s">
        <v>195</v>
      </c>
      <c r="D147" s="6" t="str">
        <f>LRTRIM(CONCATENATE(IF(SUMPRODUCT(-- ISNUMBER(SEARCH({"Auto Number"}, $B147))) &gt; 0, $B147, IF(SUMPRODUCT(-- ISNUMBER(SEARCH({"Lookup","Master-Detail"}, $B147))) &gt; 0,$B147 &amp; "(" &amp; $E147 &amp; ")",IF(SUMPRODUCT(-- ISNUMBER(SEARCH({"Formula","Roll-Up Summary"}, $B147))) &gt; 0,$B147 &amp; " (" &amp; $E147 &amp; ")",IF(SUMPRODUCT(-- ISNUMBER(SEARCH({"Content","Currency","Number","Percent","Text","URL"}, $B147))) &gt; 0,$B147 &amp; "(" &amp; $C147 &amp; ")",$B147)))), "  ", TRIM(IF($S147 = "YES", "(External ID)", "") &amp; " " &amp; IF(SUMPRODUCT(-- ISNUMBER(SEARCH({"Unique","Unique Case Insensitive"}, $R147))) &gt; 0, "(" &amp; $R147 &amp; ")", ""))))</f>
        <v>na</v>
      </c>
      <c r="E147" s="7" t="s">
        <v>195</v>
      </c>
      <c r="F147" s="7" t="s">
        <v>195</v>
      </c>
      <c r="G147" s="7" t="s">
        <v>195</v>
      </c>
      <c r="H147" s="7" t="s">
        <v>195</v>
      </c>
      <c r="I147" s="7" t="s">
        <v>195</v>
      </c>
      <c r="J147" s="7" t="s">
        <v>195</v>
      </c>
      <c r="K147" s="7" t="s">
        <v>195</v>
      </c>
      <c r="L147" s="7" t="s">
        <v>195</v>
      </c>
      <c r="M147" s="7" t="s">
        <v>29</v>
      </c>
      <c r="N147" s="7" t="s">
        <v>29</v>
      </c>
      <c r="O147" s="7" t="s">
        <v>29</v>
      </c>
      <c r="P147" s="7" t="s">
        <v>29</v>
      </c>
      <c r="Q147" s="7" t="s">
        <v>29</v>
      </c>
      <c r="R147" s="7" t="s">
        <v>29</v>
      </c>
      <c r="S147" s="7" t="s">
        <v>29</v>
      </c>
    </row>
    <row r="148" spans="2:19">
      <c r="B148" s="7" t="s">
        <v>195</v>
      </c>
      <c r="C148" s="8" t="s">
        <v>195</v>
      </c>
      <c r="D148" s="6" t="str">
        <f>LRTRIM(CONCATENATE(IF(SUMPRODUCT(-- ISNUMBER(SEARCH({"Auto Number"}, $B148))) &gt; 0, $B148, IF(SUMPRODUCT(-- ISNUMBER(SEARCH({"Lookup","Master-Detail"}, $B148))) &gt; 0,$B148 &amp; "(" &amp; $E148 &amp; ")",IF(SUMPRODUCT(-- ISNUMBER(SEARCH({"Formula","Roll-Up Summary"}, $B148))) &gt; 0,$B148 &amp; " (" &amp; $E148 &amp; ")",IF(SUMPRODUCT(-- ISNUMBER(SEARCH({"Content","Currency","Number","Percent","Text","URL"}, $B148))) &gt; 0,$B148 &amp; "(" &amp; $C148 &amp; ")",$B148)))), "  ", TRIM(IF($S148 = "YES", "(External ID)", "") &amp; " " &amp; IF(SUMPRODUCT(-- ISNUMBER(SEARCH({"Unique","Unique Case Insensitive"}, $R148))) &gt; 0, "(" &amp; $R148 &amp; ")", ""))))</f>
        <v>na</v>
      </c>
      <c r="E148" s="7" t="s">
        <v>195</v>
      </c>
      <c r="F148" s="7" t="s">
        <v>195</v>
      </c>
      <c r="G148" s="7" t="s">
        <v>195</v>
      </c>
      <c r="H148" s="7" t="s">
        <v>195</v>
      </c>
      <c r="I148" s="7" t="s">
        <v>195</v>
      </c>
      <c r="J148" s="7" t="s">
        <v>195</v>
      </c>
      <c r="K148" s="7" t="s">
        <v>195</v>
      </c>
      <c r="L148" s="7" t="s">
        <v>195</v>
      </c>
      <c r="M148" s="7" t="s">
        <v>29</v>
      </c>
      <c r="N148" s="7" t="s">
        <v>29</v>
      </c>
      <c r="O148" s="7" t="s">
        <v>29</v>
      </c>
      <c r="P148" s="7" t="s">
        <v>29</v>
      </c>
      <c r="Q148" s="7" t="s">
        <v>29</v>
      </c>
      <c r="R148" s="7" t="s">
        <v>29</v>
      </c>
      <c r="S148" s="7" t="s">
        <v>29</v>
      </c>
    </row>
    <row r="149" spans="2:19">
      <c r="B149" s="7" t="s">
        <v>195</v>
      </c>
      <c r="C149" s="8" t="s">
        <v>195</v>
      </c>
      <c r="D149" s="6" t="str">
        <f>LRTRIM(CONCATENATE(IF(SUMPRODUCT(-- ISNUMBER(SEARCH({"Auto Number"}, $B149))) &gt; 0, $B149, IF(SUMPRODUCT(-- ISNUMBER(SEARCH({"Lookup","Master-Detail"}, $B149))) &gt; 0,$B149 &amp; "(" &amp; $E149 &amp; ")",IF(SUMPRODUCT(-- ISNUMBER(SEARCH({"Formula","Roll-Up Summary"}, $B149))) &gt; 0,$B149 &amp; " (" &amp; $E149 &amp; ")",IF(SUMPRODUCT(-- ISNUMBER(SEARCH({"Content","Currency","Number","Percent","Text","URL"}, $B149))) &gt; 0,$B149 &amp; "(" &amp; $C149 &amp; ")",$B149)))), "  ", TRIM(IF($S149 = "YES", "(External ID)", "") &amp; " " &amp; IF(SUMPRODUCT(-- ISNUMBER(SEARCH({"Unique","Unique Case Insensitive"}, $R149))) &gt; 0, "(" &amp; $R149 &amp; ")", ""))))</f>
        <v>na</v>
      </c>
      <c r="E149" s="7" t="s">
        <v>195</v>
      </c>
      <c r="F149" s="7" t="s">
        <v>195</v>
      </c>
      <c r="G149" s="7" t="s">
        <v>195</v>
      </c>
      <c r="H149" s="7" t="s">
        <v>195</v>
      </c>
      <c r="I149" s="7" t="s">
        <v>195</v>
      </c>
      <c r="J149" s="7" t="s">
        <v>195</v>
      </c>
      <c r="K149" s="7" t="s">
        <v>195</v>
      </c>
      <c r="L149" s="7" t="s">
        <v>195</v>
      </c>
      <c r="M149" s="7" t="s">
        <v>29</v>
      </c>
      <c r="N149" s="7" t="s">
        <v>29</v>
      </c>
      <c r="O149" s="7" t="s">
        <v>29</v>
      </c>
      <c r="P149" s="7" t="s">
        <v>29</v>
      </c>
      <c r="Q149" s="7" t="s">
        <v>29</v>
      </c>
      <c r="R149" s="7" t="s">
        <v>29</v>
      </c>
      <c r="S149" s="7" t="s">
        <v>29</v>
      </c>
    </row>
    <row r="150" spans="2:19">
      <c r="B150" s="7" t="s">
        <v>195</v>
      </c>
      <c r="C150" s="8" t="s">
        <v>195</v>
      </c>
      <c r="D150" s="6" t="str">
        <f>LRTRIM(CONCATENATE(IF(SUMPRODUCT(-- ISNUMBER(SEARCH({"Auto Number"}, $B150))) &gt; 0, $B150, IF(SUMPRODUCT(-- ISNUMBER(SEARCH({"Lookup","Master-Detail"}, $B150))) &gt; 0,$B150 &amp; "(" &amp; $E150 &amp; ")",IF(SUMPRODUCT(-- ISNUMBER(SEARCH({"Formula","Roll-Up Summary"}, $B150))) &gt; 0,$B150 &amp; " (" &amp; $E150 &amp; ")",IF(SUMPRODUCT(-- ISNUMBER(SEARCH({"Content","Currency","Number","Percent","Text","URL"}, $B150))) &gt; 0,$B150 &amp; "(" &amp; $C150 &amp; ")",$B150)))), "  ", TRIM(IF($S150 = "YES", "(External ID)", "") &amp; " " &amp; IF(SUMPRODUCT(-- ISNUMBER(SEARCH({"Unique","Unique Case Insensitive"}, $R150))) &gt; 0, "(" &amp; $R150 &amp; ")", ""))))</f>
        <v>na</v>
      </c>
      <c r="E150" s="7" t="s">
        <v>195</v>
      </c>
      <c r="F150" s="7" t="s">
        <v>195</v>
      </c>
      <c r="G150" s="7" t="s">
        <v>195</v>
      </c>
      <c r="H150" s="7" t="s">
        <v>195</v>
      </c>
      <c r="I150" s="7" t="s">
        <v>195</v>
      </c>
      <c r="J150" s="7" t="s">
        <v>195</v>
      </c>
      <c r="K150" s="7" t="s">
        <v>195</v>
      </c>
      <c r="L150" s="7" t="s">
        <v>195</v>
      </c>
      <c r="M150" s="7" t="s">
        <v>29</v>
      </c>
      <c r="N150" s="7" t="s">
        <v>29</v>
      </c>
      <c r="O150" s="7" t="s">
        <v>29</v>
      </c>
      <c r="P150" s="7" t="s">
        <v>29</v>
      </c>
      <c r="Q150" s="7" t="s">
        <v>29</v>
      </c>
      <c r="R150" s="7" t="s">
        <v>29</v>
      </c>
      <c r="S150" s="7" t="s">
        <v>29</v>
      </c>
    </row>
    <row r="151" spans="2:19">
      <c r="B151" s="7" t="s">
        <v>195</v>
      </c>
      <c r="C151" s="8" t="s">
        <v>195</v>
      </c>
      <c r="D151" s="6" t="str">
        <f>LRTRIM(CONCATENATE(IF(SUMPRODUCT(-- ISNUMBER(SEARCH({"Auto Number"}, $B151))) &gt; 0, $B151, IF(SUMPRODUCT(-- ISNUMBER(SEARCH({"Lookup","Master-Detail"}, $B151))) &gt; 0,$B151 &amp; "(" &amp; $E151 &amp; ")",IF(SUMPRODUCT(-- ISNUMBER(SEARCH({"Formula","Roll-Up Summary"}, $B151))) &gt; 0,$B151 &amp; " (" &amp; $E151 &amp; ")",IF(SUMPRODUCT(-- ISNUMBER(SEARCH({"Content","Currency","Number","Percent","Text","URL"}, $B151))) &gt; 0,$B151 &amp; "(" &amp; $C151 &amp; ")",$B151)))), "  ", TRIM(IF($S151 = "YES", "(External ID)", "") &amp; " " &amp; IF(SUMPRODUCT(-- ISNUMBER(SEARCH({"Unique","Unique Case Insensitive"}, $R151))) &gt; 0, "(" &amp; $R151 &amp; ")", ""))))</f>
        <v>na</v>
      </c>
      <c r="E151" s="7" t="s">
        <v>195</v>
      </c>
      <c r="F151" s="7" t="s">
        <v>195</v>
      </c>
      <c r="G151" s="7" t="s">
        <v>195</v>
      </c>
      <c r="H151" s="7" t="s">
        <v>195</v>
      </c>
      <c r="I151" s="7" t="s">
        <v>195</v>
      </c>
      <c r="J151" s="7" t="s">
        <v>195</v>
      </c>
      <c r="K151" s="7" t="s">
        <v>195</v>
      </c>
      <c r="L151" s="7" t="s">
        <v>195</v>
      </c>
      <c r="M151" s="7" t="s">
        <v>29</v>
      </c>
      <c r="N151" s="7" t="s">
        <v>29</v>
      </c>
      <c r="O151" s="7" t="s">
        <v>29</v>
      </c>
      <c r="P151" s="7" t="s">
        <v>29</v>
      </c>
      <c r="Q151" s="7" t="s">
        <v>29</v>
      </c>
      <c r="R151" s="7" t="s">
        <v>29</v>
      </c>
      <c r="S151" s="7" t="s">
        <v>29</v>
      </c>
    </row>
    <row r="152" spans="2:19">
      <c r="B152" s="7" t="s">
        <v>195</v>
      </c>
      <c r="C152" s="8" t="s">
        <v>195</v>
      </c>
      <c r="D152" s="6" t="str">
        <f>LRTRIM(CONCATENATE(IF(SUMPRODUCT(-- ISNUMBER(SEARCH({"Auto Number"}, $B152))) &gt; 0, $B152, IF(SUMPRODUCT(-- ISNUMBER(SEARCH({"Lookup","Master-Detail"}, $B152))) &gt; 0,$B152 &amp; "(" &amp; $E152 &amp; ")",IF(SUMPRODUCT(-- ISNUMBER(SEARCH({"Formula","Roll-Up Summary"}, $B152))) &gt; 0,$B152 &amp; " (" &amp; $E152 &amp; ")",IF(SUMPRODUCT(-- ISNUMBER(SEARCH({"Content","Currency","Number","Percent","Text","URL"}, $B152))) &gt; 0,$B152 &amp; "(" &amp; $C152 &amp; ")",$B152)))), "  ", TRIM(IF($S152 = "YES", "(External ID)", "") &amp; " " &amp; IF(SUMPRODUCT(-- ISNUMBER(SEARCH({"Unique","Unique Case Insensitive"}, $R152))) &gt; 0, "(" &amp; $R152 &amp; ")", ""))))</f>
        <v>na</v>
      </c>
      <c r="E152" s="7" t="s">
        <v>195</v>
      </c>
      <c r="F152" s="7" t="s">
        <v>195</v>
      </c>
      <c r="G152" s="7" t="s">
        <v>195</v>
      </c>
      <c r="H152" s="7" t="s">
        <v>195</v>
      </c>
      <c r="I152" s="7" t="s">
        <v>195</v>
      </c>
      <c r="J152" s="7" t="s">
        <v>195</v>
      </c>
      <c r="K152" s="7" t="s">
        <v>195</v>
      </c>
      <c r="L152" s="7" t="s">
        <v>195</v>
      </c>
      <c r="M152" s="7" t="s">
        <v>29</v>
      </c>
      <c r="N152" s="7" t="s">
        <v>29</v>
      </c>
      <c r="O152" s="7" t="s">
        <v>29</v>
      </c>
      <c r="P152" s="7" t="s">
        <v>29</v>
      </c>
      <c r="Q152" s="7" t="s">
        <v>29</v>
      </c>
      <c r="R152" s="7" t="s">
        <v>29</v>
      </c>
      <c r="S152" s="7" t="s">
        <v>29</v>
      </c>
    </row>
    <row r="153" spans="2:19">
      <c r="B153" s="7" t="s">
        <v>195</v>
      </c>
      <c r="C153" s="8" t="s">
        <v>195</v>
      </c>
      <c r="D153" s="6" t="str">
        <f>LRTRIM(CONCATENATE(IF(SUMPRODUCT(-- ISNUMBER(SEARCH({"Auto Number"}, $B153))) &gt; 0, $B153, IF(SUMPRODUCT(-- ISNUMBER(SEARCH({"Lookup","Master-Detail"}, $B153))) &gt; 0,$B153 &amp; "(" &amp; $E153 &amp; ")",IF(SUMPRODUCT(-- ISNUMBER(SEARCH({"Formula","Roll-Up Summary"}, $B153))) &gt; 0,$B153 &amp; " (" &amp; $E153 &amp; ")",IF(SUMPRODUCT(-- ISNUMBER(SEARCH({"Content","Currency","Number","Percent","Text","URL"}, $B153))) &gt; 0,$B153 &amp; "(" &amp; $C153 &amp; ")",$B153)))), "  ", TRIM(IF($S153 = "YES", "(External ID)", "") &amp; " " &amp; IF(SUMPRODUCT(-- ISNUMBER(SEARCH({"Unique","Unique Case Insensitive"}, $R153))) &gt; 0, "(" &amp; $R153 &amp; ")", ""))))</f>
        <v>na</v>
      </c>
      <c r="E153" s="7" t="s">
        <v>195</v>
      </c>
      <c r="F153" s="7" t="s">
        <v>195</v>
      </c>
      <c r="G153" s="7" t="s">
        <v>195</v>
      </c>
      <c r="H153" s="7" t="s">
        <v>195</v>
      </c>
      <c r="I153" s="7" t="s">
        <v>195</v>
      </c>
      <c r="J153" s="7" t="s">
        <v>195</v>
      </c>
      <c r="K153" s="7" t="s">
        <v>195</v>
      </c>
      <c r="L153" s="7" t="s">
        <v>195</v>
      </c>
      <c r="M153" s="7" t="s">
        <v>29</v>
      </c>
      <c r="N153" s="7" t="s">
        <v>29</v>
      </c>
      <c r="O153" s="7" t="s">
        <v>29</v>
      </c>
      <c r="P153" s="7" t="s">
        <v>29</v>
      </c>
      <c r="Q153" s="7" t="s">
        <v>29</v>
      </c>
      <c r="R153" s="7" t="s">
        <v>29</v>
      </c>
      <c r="S153" s="7" t="s">
        <v>29</v>
      </c>
    </row>
    <row r="154" spans="2:19">
      <c r="B154" s="7" t="s">
        <v>195</v>
      </c>
      <c r="C154" s="8" t="s">
        <v>195</v>
      </c>
      <c r="D154" s="6" t="str">
        <f>LRTRIM(CONCATENATE(IF(SUMPRODUCT(-- ISNUMBER(SEARCH({"Auto Number"}, $B154))) &gt; 0, $B154, IF(SUMPRODUCT(-- ISNUMBER(SEARCH({"Lookup","Master-Detail"}, $B154))) &gt; 0,$B154 &amp; "(" &amp; $E154 &amp; ")",IF(SUMPRODUCT(-- ISNUMBER(SEARCH({"Formula","Roll-Up Summary"}, $B154))) &gt; 0,$B154 &amp; " (" &amp; $E154 &amp; ")",IF(SUMPRODUCT(-- ISNUMBER(SEARCH({"Content","Currency","Number","Percent","Text","URL"}, $B154))) &gt; 0,$B154 &amp; "(" &amp; $C154 &amp; ")",$B154)))), "  ", TRIM(IF($S154 = "YES", "(External ID)", "") &amp; " " &amp; IF(SUMPRODUCT(-- ISNUMBER(SEARCH({"Unique","Unique Case Insensitive"}, $R154))) &gt; 0, "(" &amp; $R154 &amp; ")", ""))))</f>
        <v>na</v>
      </c>
      <c r="E154" s="7" t="s">
        <v>195</v>
      </c>
      <c r="F154" s="7" t="s">
        <v>195</v>
      </c>
      <c r="G154" s="7" t="s">
        <v>195</v>
      </c>
      <c r="H154" s="7" t="s">
        <v>195</v>
      </c>
      <c r="I154" s="7" t="s">
        <v>195</v>
      </c>
      <c r="J154" s="7" t="s">
        <v>195</v>
      </c>
      <c r="K154" s="7" t="s">
        <v>195</v>
      </c>
      <c r="L154" s="7" t="s">
        <v>195</v>
      </c>
      <c r="M154" s="7" t="s">
        <v>29</v>
      </c>
      <c r="N154" s="7" t="s">
        <v>29</v>
      </c>
      <c r="O154" s="7" t="s">
        <v>29</v>
      </c>
      <c r="P154" s="7" t="s">
        <v>29</v>
      </c>
      <c r="Q154" s="7" t="s">
        <v>29</v>
      </c>
      <c r="R154" s="7" t="s">
        <v>29</v>
      </c>
      <c r="S154" s="7" t="s">
        <v>29</v>
      </c>
    </row>
    <row r="155" spans="2:19">
      <c r="B155" s="7" t="s">
        <v>195</v>
      </c>
      <c r="C155" s="8" t="s">
        <v>195</v>
      </c>
      <c r="D155" s="6" t="str">
        <f>LRTRIM(CONCATENATE(IF(SUMPRODUCT(-- ISNUMBER(SEARCH({"Auto Number"}, $B155))) &gt; 0, $B155, IF(SUMPRODUCT(-- ISNUMBER(SEARCH({"Lookup","Master-Detail"}, $B155))) &gt; 0,$B155 &amp; "(" &amp; $E155 &amp; ")",IF(SUMPRODUCT(-- ISNUMBER(SEARCH({"Formula","Roll-Up Summary"}, $B155))) &gt; 0,$B155 &amp; " (" &amp; $E155 &amp; ")",IF(SUMPRODUCT(-- ISNUMBER(SEARCH({"Content","Currency","Number","Percent","Text","URL"}, $B155))) &gt; 0,$B155 &amp; "(" &amp; $C155 &amp; ")",$B155)))), "  ", TRIM(IF($S155 = "YES", "(External ID)", "") &amp; " " &amp; IF(SUMPRODUCT(-- ISNUMBER(SEARCH({"Unique","Unique Case Insensitive"}, $R155))) &gt; 0, "(" &amp; $R155 &amp; ")", ""))))</f>
        <v>na</v>
      </c>
      <c r="E155" s="7" t="s">
        <v>195</v>
      </c>
      <c r="F155" s="7" t="s">
        <v>195</v>
      </c>
      <c r="G155" s="7" t="s">
        <v>195</v>
      </c>
      <c r="H155" s="7" t="s">
        <v>195</v>
      </c>
      <c r="I155" s="7" t="s">
        <v>195</v>
      </c>
      <c r="J155" s="7" t="s">
        <v>195</v>
      </c>
      <c r="K155" s="7" t="s">
        <v>195</v>
      </c>
      <c r="L155" s="7" t="s">
        <v>195</v>
      </c>
      <c r="M155" s="7" t="s">
        <v>29</v>
      </c>
      <c r="N155" s="7" t="s">
        <v>29</v>
      </c>
      <c r="O155" s="7" t="s">
        <v>29</v>
      </c>
      <c r="P155" s="7" t="s">
        <v>29</v>
      </c>
      <c r="Q155" s="7" t="s">
        <v>29</v>
      </c>
      <c r="R155" s="7" t="s">
        <v>29</v>
      </c>
      <c r="S155" s="7" t="s">
        <v>29</v>
      </c>
    </row>
    <row r="156" spans="2:19">
      <c r="B156" s="7" t="s">
        <v>195</v>
      </c>
      <c r="C156" s="8" t="s">
        <v>195</v>
      </c>
      <c r="D156" s="6" t="str">
        <f>LRTRIM(CONCATENATE(IF(SUMPRODUCT(-- ISNUMBER(SEARCH({"Auto Number"}, $B156))) &gt; 0, $B156, IF(SUMPRODUCT(-- ISNUMBER(SEARCH({"Lookup","Master-Detail"}, $B156))) &gt; 0,$B156 &amp; "(" &amp; $E156 &amp; ")",IF(SUMPRODUCT(-- ISNUMBER(SEARCH({"Formula","Roll-Up Summary"}, $B156))) &gt; 0,$B156 &amp; " (" &amp; $E156 &amp; ")",IF(SUMPRODUCT(-- ISNUMBER(SEARCH({"Content","Currency","Number","Percent","Text","URL"}, $B156))) &gt; 0,$B156 &amp; "(" &amp; $C156 &amp; ")",$B156)))), "  ", TRIM(IF($S156 = "YES", "(External ID)", "") &amp; " " &amp; IF(SUMPRODUCT(-- ISNUMBER(SEARCH({"Unique","Unique Case Insensitive"}, $R156))) &gt; 0, "(" &amp; $R156 &amp; ")", ""))))</f>
        <v>na</v>
      </c>
      <c r="E156" s="7" t="s">
        <v>195</v>
      </c>
      <c r="F156" s="7" t="s">
        <v>195</v>
      </c>
      <c r="G156" s="7" t="s">
        <v>195</v>
      </c>
      <c r="H156" s="7" t="s">
        <v>195</v>
      </c>
      <c r="I156" s="7" t="s">
        <v>195</v>
      </c>
      <c r="J156" s="7" t="s">
        <v>195</v>
      </c>
      <c r="K156" s="7" t="s">
        <v>195</v>
      </c>
      <c r="L156" s="7" t="s">
        <v>195</v>
      </c>
      <c r="M156" s="7" t="s">
        <v>29</v>
      </c>
      <c r="N156" s="7" t="s">
        <v>29</v>
      </c>
      <c r="O156" s="7" t="s">
        <v>29</v>
      </c>
      <c r="P156" s="7" t="s">
        <v>29</v>
      </c>
      <c r="Q156" s="7" t="s">
        <v>29</v>
      </c>
      <c r="R156" s="7" t="s">
        <v>29</v>
      </c>
      <c r="S156" s="7" t="s">
        <v>29</v>
      </c>
    </row>
    <row r="157" spans="2:19">
      <c r="B157" s="7" t="s">
        <v>195</v>
      </c>
      <c r="C157" s="8" t="s">
        <v>195</v>
      </c>
      <c r="D157" s="6" t="str">
        <f>LRTRIM(CONCATENATE(IF(SUMPRODUCT(-- ISNUMBER(SEARCH({"Auto Number"}, $B157))) &gt; 0, $B157, IF(SUMPRODUCT(-- ISNUMBER(SEARCH({"Lookup","Master-Detail"}, $B157))) &gt; 0,$B157 &amp; "(" &amp; $E157 &amp; ")",IF(SUMPRODUCT(-- ISNUMBER(SEARCH({"Formula","Roll-Up Summary"}, $B157))) &gt; 0,$B157 &amp; " (" &amp; $E157 &amp; ")",IF(SUMPRODUCT(-- ISNUMBER(SEARCH({"Content","Currency","Number","Percent","Text","URL"}, $B157))) &gt; 0,$B157 &amp; "(" &amp; $C157 &amp; ")",$B157)))), "  ", TRIM(IF($S157 = "YES", "(External ID)", "") &amp; " " &amp; IF(SUMPRODUCT(-- ISNUMBER(SEARCH({"Unique","Unique Case Insensitive"}, $R157))) &gt; 0, "(" &amp; $R157 &amp; ")", ""))))</f>
        <v>na</v>
      </c>
      <c r="E157" s="7" t="s">
        <v>195</v>
      </c>
      <c r="F157" s="7" t="s">
        <v>195</v>
      </c>
      <c r="G157" s="7" t="s">
        <v>195</v>
      </c>
      <c r="H157" s="7" t="s">
        <v>195</v>
      </c>
      <c r="I157" s="7" t="s">
        <v>195</v>
      </c>
      <c r="J157" s="7" t="s">
        <v>195</v>
      </c>
      <c r="K157" s="7" t="s">
        <v>195</v>
      </c>
      <c r="L157" s="7" t="s">
        <v>195</v>
      </c>
      <c r="M157" s="7" t="s">
        <v>29</v>
      </c>
      <c r="N157" s="7" t="s">
        <v>29</v>
      </c>
      <c r="O157" s="7" t="s">
        <v>29</v>
      </c>
      <c r="P157" s="7" t="s">
        <v>29</v>
      </c>
      <c r="Q157" s="7" t="s">
        <v>29</v>
      </c>
      <c r="R157" s="7" t="s">
        <v>29</v>
      </c>
      <c r="S157" s="7" t="s">
        <v>29</v>
      </c>
    </row>
    <row r="158" spans="2:19">
      <c r="B158" s="7" t="s">
        <v>195</v>
      </c>
      <c r="C158" s="8" t="s">
        <v>195</v>
      </c>
      <c r="D158" s="6" t="str">
        <f>LRTRIM(CONCATENATE(IF(SUMPRODUCT(-- ISNUMBER(SEARCH({"Auto Number"}, $B158))) &gt; 0, $B158, IF(SUMPRODUCT(-- ISNUMBER(SEARCH({"Lookup","Master-Detail"}, $B158))) &gt; 0,$B158 &amp; "(" &amp; $E158 &amp; ")",IF(SUMPRODUCT(-- ISNUMBER(SEARCH({"Formula","Roll-Up Summary"}, $B158))) &gt; 0,$B158 &amp; " (" &amp; $E158 &amp; ")",IF(SUMPRODUCT(-- ISNUMBER(SEARCH({"Content","Currency","Number","Percent","Text","URL"}, $B158))) &gt; 0,$B158 &amp; "(" &amp; $C158 &amp; ")",$B158)))), "  ", TRIM(IF($S158 = "YES", "(External ID)", "") &amp; " " &amp; IF(SUMPRODUCT(-- ISNUMBER(SEARCH({"Unique","Unique Case Insensitive"}, $R158))) &gt; 0, "(" &amp; $R158 &amp; ")", ""))))</f>
        <v>na</v>
      </c>
      <c r="E158" s="7" t="s">
        <v>195</v>
      </c>
      <c r="F158" s="7" t="s">
        <v>195</v>
      </c>
      <c r="G158" s="7" t="s">
        <v>195</v>
      </c>
      <c r="H158" s="7" t="s">
        <v>195</v>
      </c>
      <c r="I158" s="7" t="s">
        <v>195</v>
      </c>
      <c r="J158" s="7" t="s">
        <v>195</v>
      </c>
      <c r="K158" s="7" t="s">
        <v>195</v>
      </c>
      <c r="L158" s="7" t="s">
        <v>195</v>
      </c>
      <c r="M158" s="7" t="s">
        <v>29</v>
      </c>
      <c r="N158" s="7" t="s">
        <v>29</v>
      </c>
      <c r="O158" s="7" t="s">
        <v>29</v>
      </c>
      <c r="P158" s="7" t="s">
        <v>29</v>
      </c>
      <c r="Q158" s="7" t="s">
        <v>29</v>
      </c>
      <c r="R158" s="7" t="s">
        <v>29</v>
      </c>
      <c r="S158" s="7" t="s">
        <v>29</v>
      </c>
    </row>
    <row r="159" spans="2:19">
      <c r="B159" s="7" t="s">
        <v>195</v>
      </c>
      <c r="C159" s="8" t="s">
        <v>195</v>
      </c>
      <c r="D159" s="6" t="str">
        <f>LRTRIM(CONCATENATE(IF(SUMPRODUCT(-- ISNUMBER(SEARCH({"Auto Number"}, $B159))) &gt; 0, $B159, IF(SUMPRODUCT(-- ISNUMBER(SEARCH({"Lookup","Master-Detail"}, $B159))) &gt; 0,$B159 &amp; "(" &amp; $E159 &amp; ")",IF(SUMPRODUCT(-- ISNUMBER(SEARCH({"Formula","Roll-Up Summary"}, $B159))) &gt; 0,$B159 &amp; " (" &amp; $E159 &amp; ")",IF(SUMPRODUCT(-- ISNUMBER(SEARCH({"Content","Currency","Number","Percent","Text","URL"}, $B159))) &gt; 0,$B159 &amp; "(" &amp; $C159 &amp; ")",$B159)))), "  ", TRIM(IF($S159 = "YES", "(External ID)", "") &amp; " " &amp; IF(SUMPRODUCT(-- ISNUMBER(SEARCH({"Unique","Unique Case Insensitive"}, $R159))) &gt; 0, "(" &amp; $R159 &amp; ")", ""))))</f>
        <v>na</v>
      </c>
      <c r="E159" s="7" t="s">
        <v>195</v>
      </c>
      <c r="F159" s="7" t="s">
        <v>195</v>
      </c>
      <c r="G159" s="7" t="s">
        <v>195</v>
      </c>
      <c r="H159" s="7" t="s">
        <v>195</v>
      </c>
      <c r="I159" s="7" t="s">
        <v>195</v>
      </c>
      <c r="J159" s="7" t="s">
        <v>195</v>
      </c>
      <c r="K159" s="7" t="s">
        <v>195</v>
      </c>
      <c r="L159" s="7" t="s">
        <v>195</v>
      </c>
      <c r="M159" s="7" t="s">
        <v>29</v>
      </c>
      <c r="N159" s="7" t="s">
        <v>29</v>
      </c>
      <c r="O159" s="7" t="s">
        <v>29</v>
      </c>
      <c r="P159" s="7" t="s">
        <v>29</v>
      </c>
      <c r="Q159" s="7" t="s">
        <v>29</v>
      </c>
      <c r="R159" s="7" t="s">
        <v>29</v>
      </c>
      <c r="S159" s="7" t="s">
        <v>29</v>
      </c>
    </row>
    <row r="160" spans="2:19">
      <c r="B160" s="7" t="s">
        <v>195</v>
      </c>
      <c r="C160" s="8" t="s">
        <v>195</v>
      </c>
      <c r="D160" s="6" t="str">
        <f>LRTRIM(CONCATENATE(IF(SUMPRODUCT(-- ISNUMBER(SEARCH({"Auto Number"}, $B160))) &gt; 0, $B160, IF(SUMPRODUCT(-- ISNUMBER(SEARCH({"Lookup","Master-Detail"}, $B160))) &gt; 0,$B160 &amp; "(" &amp; $E160 &amp; ")",IF(SUMPRODUCT(-- ISNUMBER(SEARCH({"Formula","Roll-Up Summary"}, $B160))) &gt; 0,$B160 &amp; " (" &amp; $E160 &amp; ")",IF(SUMPRODUCT(-- ISNUMBER(SEARCH({"Content","Currency","Number","Percent","Text","URL"}, $B160))) &gt; 0,$B160 &amp; "(" &amp; $C160 &amp; ")",$B160)))), "  ", TRIM(IF($S160 = "YES", "(External ID)", "") &amp; " " &amp; IF(SUMPRODUCT(-- ISNUMBER(SEARCH({"Unique","Unique Case Insensitive"}, $R160))) &gt; 0, "(" &amp; $R160 &amp; ")", ""))))</f>
        <v>na</v>
      </c>
      <c r="E160" s="7" t="s">
        <v>195</v>
      </c>
      <c r="F160" s="7" t="s">
        <v>195</v>
      </c>
      <c r="G160" s="7" t="s">
        <v>195</v>
      </c>
      <c r="H160" s="7" t="s">
        <v>195</v>
      </c>
      <c r="I160" s="7" t="s">
        <v>195</v>
      </c>
      <c r="J160" s="7" t="s">
        <v>195</v>
      </c>
      <c r="K160" s="7" t="s">
        <v>195</v>
      </c>
      <c r="L160" s="7" t="s">
        <v>195</v>
      </c>
      <c r="M160" s="7" t="s">
        <v>29</v>
      </c>
      <c r="N160" s="7" t="s">
        <v>29</v>
      </c>
      <c r="O160" s="7" t="s">
        <v>29</v>
      </c>
      <c r="P160" s="7" t="s">
        <v>29</v>
      </c>
      <c r="Q160" s="7" t="s">
        <v>29</v>
      </c>
      <c r="R160" s="7" t="s">
        <v>29</v>
      </c>
      <c r="S160" s="7" t="s">
        <v>29</v>
      </c>
    </row>
    <row r="161" spans="2:19">
      <c r="B161" s="7" t="s">
        <v>195</v>
      </c>
      <c r="C161" s="8" t="s">
        <v>195</v>
      </c>
      <c r="D161" s="6" t="str">
        <f>LRTRIM(CONCATENATE(IF(SUMPRODUCT(-- ISNUMBER(SEARCH({"Auto Number"}, $B161))) &gt; 0, $B161, IF(SUMPRODUCT(-- ISNUMBER(SEARCH({"Lookup","Master-Detail"}, $B161))) &gt; 0,$B161 &amp; "(" &amp; $E161 &amp; ")",IF(SUMPRODUCT(-- ISNUMBER(SEARCH({"Formula","Roll-Up Summary"}, $B161))) &gt; 0,$B161 &amp; " (" &amp; $E161 &amp; ")",IF(SUMPRODUCT(-- ISNUMBER(SEARCH({"Content","Currency","Number","Percent","Text","URL"}, $B161))) &gt; 0,$B161 &amp; "(" &amp; $C161 &amp; ")",$B161)))), "  ", TRIM(IF($S161 = "YES", "(External ID)", "") &amp; " " &amp; IF(SUMPRODUCT(-- ISNUMBER(SEARCH({"Unique","Unique Case Insensitive"}, $R161))) &gt; 0, "(" &amp; $R161 &amp; ")", ""))))</f>
        <v>na</v>
      </c>
      <c r="E161" s="7" t="s">
        <v>195</v>
      </c>
      <c r="F161" s="7" t="s">
        <v>195</v>
      </c>
      <c r="G161" s="7" t="s">
        <v>195</v>
      </c>
      <c r="H161" s="7" t="s">
        <v>195</v>
      </c>
      <c r="I161" s="7" t="s">
        <v>195</v>
      </c>
      <c r="J161" s="7" t="s">
        <v>195</v>
      </c>
      <c r="K161" s="7" t="s">
        <v>195</v>
      </c>
      <c r="L161" s="7" t="s">
        <v>195</v>
      </c>
      <c r="M161" s="7" t="s">
        <v>29</v>
      </c>
      <c r="N161" s="7" t="s">
        <v>29</v>
      </c>
      <c r="O161" s="7" t="s">
        <v>29</v>
      </c>
      <c r="P161" s="7" t="s">
        <v>29</v>
      </c>
      <c r="Q161" s="7" t="s">
        <v>29</v>
      </c>
      <c r="R161" s="7" t="s">
        <v>29</v>
      </c>
      <c r="S161" s="7" t="s">
        <v>29</v>
      </c>
    </row>
    <row r="162" spans="2:19">
      <c r="B162" s="7" t="s">
        <v>195</v>
      </c>
      <c r="C162" s="8" t="s">
        <v>195</v>
      </c>
      <c r="D162" s="6" t="str">
        <f>LRTRIM(CONCATENATE(IF(SUMPRODUCT(-- ISNUMBER(SEARCH({"Auto Number"}, $B162))) &gt; 0, $B162, IF(SUMPRODUCT(-- ISNUMBER(SEARCH({"Lookup","Master-Detail"}, $B162))) &gt; 0,$B162 &amp; "(" &amp; $E162 &amp; ")",IF(SUMPRODUCT(-- ISNUMBER(SEARCH({"Formula","Roll-Up Summary"}, $B162))) &gt; 0,$B162 &amp; " (" &amp; $E162 &amp; ")",IF(SUMPRODUCT(-- ISNUMBER(SEARCH({"Content","Currency","Number","Percent","Text","URL"}, $B162))) &gt; 0,$B162 &amp; "(" &amp; $C162 &amp; ")",$B162)))), "  ", TRIM(IF($S162 = "YES", "(External ID)", "") &amp; " " &amp; IF(SUMPRODUCT(-- ISNUMBER(SEARCH({"Unique","Unique Case Insensitive"}, $R162))) &gt; 0, "(" &amp; $R162 &amp; ")", ""))))</f>
        <v>na</v>
      </c>
      <c r="E162" s="7" t="s">
        <v>195</v>
      </c>
      <c r="F162" s="7" t="s">
        <v>195</v>
      </c>
      <c r="G162" s="7" t="s">
        <v>195</v>
      </c>
      <c r="H162" s="7" t="s">
        <v>195</v>
      </c>
      <c r="I162" s="7" t="s">
        <v>195</v>
      </c>
      <c r="J162" s="7" t="s">
        <v>195</v>
      </c>
      <c r="K162" s="7" t="s">
        <v>195</v>
      </c>
      <c r="L162" s="7" t="s">
        <v>195</v>
      </c>
      <c r="M162" s="7" t="s">
        <v>29</v>
      </c>
      <c r="N162" s="7" t="s">
        <v>29</v>
      </c>
      <c r="O162" s="7" t="s">
        <v>29</v>
      </c>
      <c r="P162" s="7" t="s">
        <v>29</v>
      </c>
      <c r="Q162" s="7" t="s">
        <v>29</v>
      </c>
      <c r="R162" s="7" t="s">
        <v>29</v>
      </c>
      <c r="S162" s="7" t="s">
        <v>29</v>
      </c>
    </row>
    <row r="163" spans="2:19">
      <c r="B163" s="7" t="s">
        <v>195</v>
      </c>
      <c r="C163" s="8" t="s">
        <v>195</v>
      </c>
      <c r="D163" s="6" t="str">
        <f>LRTRIM(CONCATENATE(IF(SUMPRODUCT(-- ISNUMBER(SEARCH({"Auto Number"}, $B163))) &gt; 0, $B163, IF(SUMPRODUCT(-- ISNUMBER(SEARCH({"Lookup","Master-Detail"}, $B163))) &gt; 0,$B163 &amp; "(" &amp; $E163 &amp; ")",IF(SUMPRODUCT(-- ISNUMBER(SEARCH({"Formula","Roll-Up Summary"}, $B163))) &gt; 0,$B163 &amp; " (" &amp; $E163 &amp; ")",IF(SUMPRODUCT(-- ISNUMBER(SEARCH({"Content","Currency","Number","Percent","Text","URL"}, $B163))) &gt; 0,$B163 &amp; "(" &amp; $C163 &amp; ")",$B163)))), "  ", TRIM(IF($S163 = "YES", "(External ID)", "") &amp; " " &amp; IF(SUMPRODUCT(-- ISNUMBER(SEARCH({"Unique","Unique Case Insensitive"}, $R163))) &gt; 0, "(" &amp; $R163 &amp; ")", ""))))</f>
        <v>na</v>
      </c>
      <c r="E163" s="7" t="s">
        <v>195</v>
      </c>
      <c r="F163" s="7" t="s">
        <v>195</v>
      </c>
      <c r="G163" s="7" t="s">
        <v>195</v>
      </c>
      <c r="H163" s="7" t="s">
        <v>195</v>
      </c>
      <c r="I163" s="7" t="s">
        <v>195</v>
      </c>
      <c r="J163" s="7" t="s">
        <v>195</v>
      </c>
      <c r="K163" s="7" t="s">
        <v>195</v>
      </c>
      <c r="L163" s="7" t="s">
        <v>195</v>
      </c>
      <c r="M163" s="7" t="s">
        <v>29</v>
      </c>
      <c r="N163" s="7" t="s">
        <v>29</v>
      </c>
      <c r="O163" s="7" t="s">
        <v>29</v>
      </c>
      <c r="P163" s="7" t="s">
        <v>29</v>
      </c>
      <c r="Q163" s="7" t="s">
        <v>29</v>
      </c>
      <c r="R163" s="7" t="s">
        <v>29</v>
      </c>
      <c r="S163" s="7" t="s">
        <v>29</v>
      </c>
    </row>
    <row r="164" spans="2:19">
      <c r="B164" s="7" t="s">
        <v>195</v>
      </c>
      <c r="C164" s="8" t="s">
        <v>195</v>
      </c>
      <c r="D164" s="6" t="str">
        <f>LRTRIM(CONCATENATE(IF(SUMPRODUCT(-- ISNUMBER(SEARCH({"Auto Number"}, $B164))) &gt; 0, $B164, IF(SUMPRODUCT(-- ISNUMBER(SEARCH({"Lookup","Master-Detail"}, $B164))) &gt; 0,$B164 &amp; "(" &amp; $E164 &amp; ")",IF(SUMPRODUCT(-- ISNUMBER(SEARCH({"Formula","Roll-Up Summary"}, $B164))) &gt; 0,$B164 &amp; " (" &amp; $E164 &amp; ")",IF(SUMPRODUCT(-- ISNUMBER(SEARCH({"Content","Currency","Number","Percent","Text","URL"}, $B164))) &gt; 0,$B164 &amp; "(" &amp; $C164 &amp; ")",$B164)))), "  ", TRIM(IF($S164 = "YES", "(External ID)", "") &amp; " " &amp; IF(SUMPRODUCT(-- ISNUMBER(SEARCH({"Unique","Unique Case Insensitive"}, $R164))) &gt; 0, "(" &amp; $R164 &amp; ")", ""))))</f>
        <v>na</v>
      </c>
      <c r="E164" s="7" t="s">
        <v>195</v>
      </c>
      <c r="F164" s="7" t="s">
        <v>195</v>
      </c>
      <c r="G164" s="7" t="s">
        <v>195</v>
      </c>
      <c r="H164" s="7" t="s">
        <v>195</v>
      </c>
      <c r="I164" s="7" t="s">
        <v>195</v>
      </c>
      <c r="J164" s="7" t="s">
        <v>195</v>
      </c>
      <c r="K164" s="7" t="s">
        <v>195</v>
      </c>
      <c r="L164" s="7" t="s">
        <v>195</v>
      </c>
      <c r="M164" s="7" t="s">
        <v>29</v>
      </c>
      <c r="N164" s="7" t="s">
        <v>29</v>
      </c>
      <c r="O164" s="7" t="s">
        <v>29</v>
      </c>
      <c r="P164" s="7" t="s">
        <v>29</v>
      </c>
      <c r="Q164" s="7" t="s">
        <v>29</v>
      </c>
      <c r="R164" s="7" t="s">
        <v>29</v>
      </c>
      <c r="S164" s="7" t="s">
        <v>29</v>
      </c>
    </row>
    <row r="165" spans="2:19">
      <c r="B165" s="7" t="s">
        <v>195</v>
      </c>
      <c r="C165" s="8" t="s">
        <v>195</v>
      </c>
      <c r="D165" s="6" t="str">
        <f>LRTRIM(CONCATENATE(IF(SUMPRODUCT(-- ISNUMBER(SEARCH({"Auto Number"}, $B165))) &gt; 0, $B165, IF(SUMPRODUCT(-- ISNUMBER(SEARCH({"Lookup","Master-Detail"}, $B165))) &gt; 0,$B165 &amp; "(" &amp; $E165 &amp; ")",IF(SUMPRODUCT(-- ISNUMBER(SEARCH({"Formula","Roll-Up Summary"}, $B165))) &gt; 0,$B165 &amp; " (" &amp; $E165 &amp; ")",IF(SUMPRODUCT(-- ISNUMBER(SEARCH({"Content","Currency","Number","Percent","Text","URL"}, $B165))) &gt; 0,$B165 &amp; "(" &amp; $C165 &amp; ")",$B165)))), "  ", TRIM(IF($S165 = "YES", "(External ID)", "") &amp; " " &amp; IF(SUMPRODUCT(-- ISNUMBER(SEARCH({"Unique","Unique Case Insensitive"}, $R165))) &gt; 0, "(" &amp; $R165 &amp; ")", ""))))</f>
        <v>na</v>
      </c>
      <c r="E165" s="7" t="s">
        <v>195</v>
      </c>
      <c r="F165" s="7" t="s">
        <v>195</v>
      </c>
      <c r="G165" s="7" t="s">
        <v>195</v>
      </c>
      <c r="H165" s="7" t="s">
        <v>195</v>
      </c>
      <c r="I165" s="7" t="s">
        <v>195</v>
      </c>
      <c r="J165" s="7" t="s">
        <v>195</v>
      </c>
      <c r="K165" s="7" t="s">
        <v>195</v>
      </c>
      <c r="L165" s="7" t="s">
        <v>195</v>
      </c>
      <c r="M165" s="7" t="s">
        <v>29</v>
      </c>
      <c r="N165" s="7" t="s">
        <v>29</v>
      </c>
      <c r="O165" s="7" t="s">
        <v>29</v>
      </c>
      <c r="P165" s="7" t="s">
        <v>29</v>
      </c>
      <c r="Q165" s="7" t="s">
        <v>29</v>
      </c>
      <c r="R165" s="7" t="s">
        <v>29</v>
      </c>
      <c r="S165" s="7" t="s">
        <v>29</v>
      </c>
    </row>
    <row r="166" spans="2:19">
      <c r="B166" s="7" t="s">
        <v>195</v>
      </c>
      <c r="C166" s="8" t="s">
        <v>195</v>
      </c>
      <c r="D166" s="6" t="str">
        <f>LRTRIM(CONCATENATE(IF(SUMPRODUCT(-- ISNUMBER(SEARCH({"Auto Number"}, $B166))) &gt; 0, $B166, IF(SUMPRODUCT(-- ISNUMBER(SEARCH({"Lookup","Master-Detail"}, $B166))) &gt; 0,$B166 &amp; "(" &amp; $E166 &amp; ")",IF(SUMPRODUCT(-- ISNUMBER(SEARCH({"Formula","Roll-Up Summary"}, $B166))) &gt; 0,$B166 &amp; " (" &amp; $E166 &amp; ")",IF(SUMPRODUCT(-- ISNUMBER(SEARCH({"Content","Currency","Number","Percent","Text","URL"}, $B166))) &gt; 0,$B166 &amp; "(" &amp; $C166 &amp; ")",$B166)))), "  ", TRIM(IF($S166 = "YES", "(External ID)", "") &amp; " " &amp; IF(SUMPRODUCT(-- ISNUMBER(SEARCH({"Unique","Unique Case Insensitive"}, $R166))) &gt; 0, "(" &amp; $R166 &amp; ")", ""))))</f>
        <v>na</v>
      </c>
      <c r="E166" s="7" t="s">
        <v>195</v>
      </c>
      <c r="F166" s="7" t="s">
        <v>195</v>
      </c>
      <c r="G166" s="7" t="s">
        <v>195</v>
      </c>
      <c r="H166" s="7" t="s">
        <v>195</v>
      </c>
      <c r="I166" s="7" t="s">
        <v>195</v>
      </c>
      <c r="J166" s="7" t="s">
        <v>195</v>
      </c>
      <c r="K166" s="7" t="s">
        <v>195</v>
      </c>
      <c r="L166" s="7" t="s">
        <v>195</v>
      </c>
      <c r="M166" s="7" t="s">
        <v>29</v>
      </c>
      <c r="N166" s="7" t="s">
        <v>29</v>
      </c>
      <c r="O166" s="7" t="s">
        <v>29</v>
      </c>
      <c r="P166" s="7" t="s">
        <v>29</v>
      </c>
      <c r="Q166" s="7" t="s">
        <v>29</v>
      </c>
      <c r="R166" s="7" t="s">
        <v>29</v>
      </c>
      <c r="S166" s="7" t="s">
        <v>29</v>
      </c>
    </row>
    <row r="167" spans="2:19">
      <c r="B167" s="7" t="s">
        <v>195</v>
      </c>
      <c r="C167" s="8" t="s">
        <v>195</v>
      </c>
      <c r="D167" s="6" t="str">
        <f>LRTRIM(CONCATENATE(IF(SUMPRODUCT(-- ISNUMBER(SEARCH({"Auto Number"}, $B167))) &gt; 0, $B167, IF(SUMPRODUCT(-- ISNUMBER(SEARCH({"Lookup","Master-Detail"}, $B167))) &gt; 0,$B167 &amp; "(" &amp; $E167 &amp; ")",IF(SUMPRODUCT(-- ISNUMBER(SEARCH({"Formula","Roll-Up Summary"}, $B167))) &gt; 0,$B167 &amp; " (" &amp; $E167 &amp; ")",IF(SUMPRODUCT(-- ISNUMBER(SEARCH({"Content","Currency","Number","Percent","Text","URL"}, $B167))) &gt; 0,$B167 &amp; "(" &amp; $C167 &amp; ")",$B167)))), "  ", TRIM(IF($S167 = "YES", "(External ID)", "") &amp; " " &amp; IF(SUMPRODUCT(-- ISNUMBER(SEARCH({"Unique","Unique Case Insensitive"}, $R167))) &gt; 0, "(" &amp; $R167 &amp; ")", ""))))</f>
        <v>na</v>
      </c>
      <c r="E167" s="7" t="s">
        <v>195</v>
      </c>
      <c r="F167" s="7" t="s">
        <v>195</v>
      </c>
      <c r="G167" s="7" t="s">
        <v>195</v>
      </c>
      <c r="H167" s="7" t="s">
        <v>195</v>
      </c>
      <c r="I167" s="7" t="s">
        <v>195</v>
      </c>
      <c r="J167" s="7" t="s">
        <v>195</v>
      </c>
      <c r="K167" s="7" t="s">
        <v>195</v>
      </c>
      <c r="L167" s="7" t="s">
        <v>195</v>
      </c>
      <c r="M167" s="7" t="s">
        <v>29</v>
      </c>
      <c r="N167" s="7" t="s">
        <v>29</v>
      </c>
      <c r="O167" s="7" t="s">
        <v>29</v>
      </c>
      <c r="P167" s="7" t="s">
        <v>29</v>
      </c>
      <c r="Q167" s="7" t="s">
        <v>29</v>
      </c>
      <c r="R167" s="7" t="s">
        <v>29</v>
      </c>
      <c r="S167" s="7" t="s">
        <v>29</v>
      </c>
    </row>
    <row r="168" spans="2:19">
      <c r="B168" s="7" t="s">
        <v>195</v>
      </c>
      <c r="C168" s="8" t="s">
        <v>195</v>
      </c>
      <c r="D168" s="6" t="str">
        <f>LRTRIM(CONCATENATE(IF(SUMPRODUCT(-- ISNUMBER(SEARCH({"Auto Number"}, $B168))) &gt; 0, $B168, IF(SUMPRODUCT(-- ISNUMBER(SEARCH({"Lookup","Master-Detail"}, $B168))) &gt; 0,$B168 &amp; "(" &amp; $E168 &amp; ")",IF(SUMPRODUCT(-- ISNUMBER(SEARCH({"Formula","Roll-Up Summary"}, $B168))) &gt; 0,$B168 &amp; " (" &amp; $E168 &amp; ")",IF(SUMPRODUCT(-- ISNUMBER(SEARCH({"Content","Currency","Number","Percent","Text","URL"}, $B168))) &gt; 0,$B168 &amp; "(" &amp; $C168 &amp; ")",$B168)))), "  ", TRIM(IF($S168 = "YES", "(External ID)", "") &amp; " " &amp; IF(SUMPRODUCT(-- ISNUMBER(SEARCH({"Unique","Unique Case Insensitive"}, $R168))) &gt; 0, "(" &amp; $R168 &amp; ")", ""))))</f>
        <v>na</v>
      </c>
      <c r="E168" s="7" t="s">
        <v>195</v>
      </c>
      <c r="F168" s="7" t="s">
        <v>195</v>
      </c>
      <c r="G168" s="7" t="s">
        <v>195</v>
      </c>
      <c r="H168" s="7" t="s">
        <v>195</v>
      </c>
      <c r="I168" s="7" t="s">
        <v>195</v>
      </c>
      <c r="J168" s="7" t="s">
        <v>195</v>
      </c>
      <c r="K168" s="7" t="s">
        <v>195</v>
      </c>
      <c r="L168" s="7" t="s">
        <v>195</v>
      </c>
      <c r="M168" s="7" t="s">
        <v>29</v>
      </c>
      <c r="N168" s="7" t="s">
        <v>29</v>
      </c>
      <c r="O168" s="7" t="s">
        <v>29</v>
      </c>
      <c r="P168" s="7" t="s">
        <v>29</v>
      </c>
      <c r="Q168" s="7" t="s">
        <v>29</v>
      </c>
      <c r="R168" s="7" t="s">
        <v>29</v>
      </c>
      <c r="S168" s="7" t="s">
        <v>29</v>
      </c>
    </row>
    <row r="169" spans="2:19">
      <c r="B169" s="7" t="s">
        <v>195</v>
      </c>
      <c r="C169" s="8" t="s">
        <v>195</v>
      </c>
      <c r="D169" s="6" t="str">
        <f>LRTRIM(CONCATENATE(IF(SUMPRODUCT(-- ISNUMBER(SEARCH({"Auto Number"}, $B169))) &gt; 0, $B169, IF(SUMPRODUCT(-- ISNUMBER(SEARCH({"Lookup","Master-Detail"}, $B169))) &gt; 0,$B169 &amp; "(" &amp; $E169 &amp; ")",IF(SUMPRODUCT(-- ISNUMBER(SEARCH({"Formula","Roll-Up Summary"}, $B169))) &gt; 0,$B169 &amp; " (" &amp; $E169 &amp; ")",IF(SUMPRODUCT(-- ISNUMBER(SEARCH({"Content","Currency","Number","Percent","Text","URL"}, $B169))) &gt; 0,$B169 &amp; "(" &amp; $C169 &amp; ")",$B169)))), "  ", TRIM(IF($S169 = "YES", "(External ID)", "") &amp; " " &amp; IF(SUMPRODUCT(-- ISNUMBER(SEARCH({"Unique","Unique Case Insensitive"}, $R169))) &gt; 0, "(" &amp; $R169 &amp; ")", ""))))</f>
        <v>na</v>
      </c>
      <c r="E169" s="7" t="s">
        <v>195</v>
      </c>
      <c r="F169" s="7" t="s">
        <v>195</v>
      </c>
      <c r="G169" s="7" t="s">
        <v>195</v>
      </c>
      <c r="H169" s="7" t="s">
        <v>195</v>
      </c>
      <c r="I169" s="7" t="s">
        <v>195</v>
      </c>
      <c r="J169" s="7" t="s">
        <v>195</v>
      </c>
      <c r="K169" s="7" t="s">
        <v>195</v>
      </c>
      <c r="L169" s="7" t="s">
        <v>195</v>
      </c>
      <c r="M169" s="7" t="s">
        <v>29</v>
      </c>
      <c r="N169" s="7" t="s">
        <v>29</v>
      </c>
      <c r="O169" s="7" t="s">
        <v>29</v>
      </c>
      <c r="P169" s="7" t="s">
        <v>29</v>
      </c>
      <c r="Q169" s="7" t="s">
        <v>29</v>
      </c>
      <c r="R169" s="7" t="s">
        <v>29</v>
      </c>
      <c r="S169" s="7" t="s">
        <v>29</v>
      </c>
    </row>
    <row r="170" spans="2:19">
      <c r="B170" s="7" t="s">
        <v>195</v>
      </c>
      <c r="C170" s="8" t="s">
        <v>195</v>
      </c>
      <c r="D170" s="6" t="str">
        <f>LRTRIM(CONCATENATE(IF(SUMPRODUCT(-- ISNUMBER(SEARCH({"Auto Number"}, $B170))) &gt; 0, $B170, IF(SUMPRODUCT(-- ISNUMBER(SEARCH({"Lookup","Master-Detail"}, $B170))) &gt; 0,$B170 &amp; "(" &amp; $E170 &amp; ")",IF(SUMPRODUCT(-- ISNUMBER(SEARCH({"Formula","Roll-Up Summary"}, $B170))) &gt; 0,$B170 &amp; " (" &amp; $E170 &amp; ")",IF(SUMPRODUCT(-- ISNUMBER(SEARCH({"Content","Currency","Number","Percent","Text","URL"}, $B170))) &gt; 0,$B170 &amp; "(" &amp; $C170 &amp; ")",$B170)))), "  ", TRIM(IF($S170 = "YES", "(External ID)", "") &amp; " " &amp; IF(SUMPRODUCT(-- ISNUMBER(SEARCH({"Unique","Unique Case Insensitive"}, $R170))) &gt; 0, "(" &amp; $R170 &amp; ")", ""))))</f>
        <v>na</v>
      </c>
      <c r="E170" s="7" t="s">
        <v>195</v>
      </c>
      <c r="F170" s="7" t="s">
        <v>195</v>
      </c>
      <c r="G170" s="7" t="s">
        <v>195</v>
      </c>
      <c r="H170" s="7" t="s">
        <v>195</v>
      </c>
      <c r="I170" s="7" t="s">
        <v>195</v>
      </c>
      <c r="J170" s="7" t="s">
        <v>195</v>
      </c>
      <c r="K170" s="7" t="s">
        <v>195</v>
      </c>
      <c r="L170" s="7" t="s">
        <v>195</v>
      </c>
      <c r="M170" s="7" t="s">
        <v>29</v>
      </c>
      <c r="N170" s="7" t="s">
        <v>29</v>
      </c>
      <c r="O170" s="7" t="s">
        <v>29</v>
      </c>
      <c r="P170" s="7" t="s">
        <v>29</v>
      </c>
      <c r="Q170" s="7" t="s">
        <v>29</v>
      </c>
      <c r="R170" s="7" t="s">
        <v>29</v>
      </c>
      <c r="S170" s="7" t="s">
        <v>29</v>
      </c>
    </row>
    <row r="171" spans="2:19">
      <c r="B171" s="7" t="s">
        <v>195</v>
      </c>
      <c r="C171" s="8" t="s">
        <v>195</v>
      </c>
      <c r="D171" s="6" t="str">
        <f>LRTRIM(CONCATENATE(IF(SUMPRODUCT(-- ISNUMBER(SEARCH({"Auto Number"}, $B171))) &gt; 0, $B171, IF(SUMPRODUCT(-- ISNUMBER(SEARCH({"Lookup","Master-Detail"}, $B171))) &gt; 0,$B171 &amp; "(" &amp; $E171 &amp; ")",IF(SUMPRODUCT(-- ISNUMBER(SEARCH({"Formula","Roll-Up Summary"}, $B171))) &gt; 0,$B171 &amp; " (" &amp; $E171 &amp; ")",IF(SUMPRODUCT(-- ISNUMBER(SEARCH({"Content","Currency","Number","Percent","Text","URL"}, $B171))) &gt; 0,$B171 &amp; "(" &amp; $C171 &amp; ")",$B171)))), "  ", TRIM(IF($S171 = "YES", "(External ID)", "") &amp; " " &amp; IF(SUMPRODUCT(-- ISNUMBER(SEARCH({"Unique","Unique Case Insensitive"}, $R171))) &gt; 0, "(" &amp; $R171 &amp; ")", ""))))</f>
        <v>na</v>
      </c>
      <c r="E171" s="7" t="s">
        <v>195</v>
      </c>
      <c r="F171" s="7" t="s">
        <v>195</v>
      </c>
      <c r="G171" s="7" t="s">
        <v>195</v>
      </c>
      <c r="H171" s="7" t="s">
        <v>195</v>
      </c>
      <c r="I171" s="7" t="s">
        <v>195</v>
      </c>
      <c r="J171" s="7" t="s">
        <v>195</v>
      </c>
      <c r="K171" s="7" t="s">
        <v>195</v>
      </c>
      <c r="L171" s="7" t="s">
        <v>195</v>
      </c>
      <c r="M171" s="7" t="s">
        <v>29</v>
      </c>
      <c r="N171" s="7" t="s">
        <v>29</v>
      </c>
      <c r="O171" s="7" t="s">
        <v>29</v>
      </c>
      <c r="P171" s="7" t="s">
        <v>29</v>
      </c>
      <c r="Q171" s="7" t="s">
        <v>29</v>
      </c>
      <c r="R171" s="7" t="s">
        <v>29</v>
      </c>
      <c r="S171" s="7" t="s">
        <v>29</v>
      </c>
    </row>
    <row r="172" spans="2:19">
      <c r="B172" s="7" t="s">
        <v>195</v>
      </c>
      <c r="C172" s="8" t="s">
        <v>195</v>
      </c>
      <c r="D172" s="6" t="str">
        <f>LRTRIM(CONCATENATE(IF(SUMPRODUCT(-- ISNUMBER(SEARCH({"Auto Number"}, $B172))) &gt; 0, $B172, IF(SUMPRODUCT(-- ISNUMBER(SEARCH({"Lookup","Master-Detail"}, $B172))) &gt; 0,$B172 &amp; "(" &amp; $E172 &amp; ")",IF(SUMPRODUCT(-- ISNUMBER(SEARCH({"Formula","Roll-Up Summary"}, $B172))) &gt; 0,$B172 &amp; " (" &amp; $E172 &amp; ")",IF(SUMPRODUCT(-- ISNUMBER(SEARCH({"Content","Currency","Number","Percent","Text","URL"}, $B172))) &gt; 0,$B172 &amp; "(" &amp; $C172 &amp; ")",$B172)))), "  ", TRIM(IF($S172 = "YES", "(External ID)", "") &amp; " " &amp; IF(SUMPRODUCT(-- ISNUMBER(SEARCH({"Unique","Unique Case Insensitive"}, $R172))) &gt; 0, "(" &amp; $R172 &amp; ")", ""))))</f>
        <v>na</v>
      </c>
      <c r="E172" s="7" t="s">
        <v>195</v>
      </c>
      <c r="F172" s="7" t="s">
        <v>195</v>
      </c>
      <c r="G172" s="7" t="s">
        <v>195</v>
      </c>
      <c r="H172" s="7" t="s">
        <v>195</v>
      </c>
      <c r="I172" s="7" t="s">
        <v>195</v>
      </c>
      <c r="J172" s="7" t="s">
        <v>195</v>
      </c>
      <c r="K172" s="7" t="s">
        <v>195</v>
      </c>
      <c r="L172" s="7" t="s">
        <v>195</v>
      </c>
      <c r="M172" s="7" t="s">
        <v>29</v>
      </c>
      <c r="N172" s="7" t="s">
        <v>29</v>
      </c>
      <c r="O172" s="7" t="s">
        <v>29</v>
      </c>
      <c r="P172" s="7" t="s">
        <v>29</v>
      </c>
      <c r="Q172" s="7" t="s">
        <v>29</v>
      </c>
      <c r="R172" s="7" t="s">
        <v>29</v>
      </c>
      <c r="S172" s="7" t="s">
        <v>29</v>
      </c>
    </row>
    <row r="173" spans="2:19">
      <c r="B173" s="7" t="s">
        <v>195</v>
      </c>
      <c r="C173" s="8" t="s">
        <v>195</v>
      </c>
      <c r="D173" s="6" t="str">
        <f>LRTRIM(CONCATENATE(IF(SUMPRODUCT(-- ISNUMBER(SEARCH({"Auto Number"}, $B173))) &gt; 0, $B173, IF(SUMPRODUCT(-- ISNUMBER(SEARCH({"Lookup","Master-Detail"}, $B173))) &gt; 0,$B173 &amp; "(" &amp; $E173 &amp; ")",IF(SUMPRODUCT(-- ISNUMBER(SEARCH({"Formula","Roll-Up Summary"}, $B173))) &gt; 0,$B173 &amp; " (" &amp; $E173 &amp; ")",IF(SUMPRODUCT(-- ISNUMBER(SEARCH({"Content","Currency","Number","Percent","Text","URL"}, $B173))) &gt; 0,$B173 &amp; "(" &amp; $C173 &amp; ")",$B173)))), "  ", TRIM(IF($S173 = "YES", "(External ID)", "") &amp; " " &amp; IF(SUMPRODUCT(-- ISNUMBER(SEARCH({"Unique","Unique Case Insensitive"}, $R173))) &gt; 0, "(" &amp; $R173 &amp; ")", ""))))</f>
        <v>na</v>
      </c>
      <c r="E173" s="7" t="s">
        <v>195</v>
      </c>
      <c r="F173" s="7" t="s">
        <v>195</v>
      </c>
      <c r="G173" s="7" t="s">
        <v>195</v>
      </c>
      <c r="H173" s="7" t="s">
        <v>195</v>
      </c>
      <c r="I173" s="7" t="s">
        <v>195</v>
      </c>
      <c r="J173" s="7" t="s">
        <v>195</v>
      </c>
      <c r="K173" s="7" t="s">
        <v>195</v>
      </c>
      <c r="L173" s="7" t="s">
        <v>195</v>
      </c>
      <c r="M173" s="7" t="s">
        <v>29</v>
      </c>
      <c r="N173" s="7" t="s">
        <v>29</v>
      </c>
      <c r="O173" s="7" t="s">
        <v>29</v>
      </c>
      <c r="P173" s="7" t="s">
        <v>29</v>
      </c>
      <c r="Q173" s="7" t="s">
        <v>29</v>
      </c>
      <c r="R173" s="7" t="s">
        <v>29</v>
      </c>
      <c r="S173" s="7" t="s">
        <v>29</v>
      </c>
    </row>
    <row r="174" spans="2:19">
      <c r="B174" s="7" t="s">
        <v>195</v>
      </c>
      <c r="C174" s="8" t="s">
        <v>195</v>
      </c>
      <c r="D174" s="6" t="str">
        <f>LRTRIM(CONCATENATE(IF(SUMPRODUCT(-- ISNUMBER(SEARCH({"Auto Number"}, $B174))) &gt; 0, $B174, IF(SUMPRODUCT(-- ISNUMBER(SEARCH({"Lookup","Master-Detail"}, $B174))) &gt; 0,$B174 &amp; "(" &amp; $E174 &amp; ")",IF(SUMPRODUCT(-- ISNUMBER(SEARCH({"Formula","Roll-Up Summary"}, $B174))) &gt; 0,$B174 &amp; " (" &amp; $E174 &amp; ")",IF(SUMPRODUCT(-- ISNUMBER(SEARCH({"Content","Currency","Number","Percent","Text","URL"}, $B174))) &gt; 0,$B174 &amp; "(" &amp; $C174 &amp; ")",$B174)))), "  ", TRIM(IF($S174 = "YES", "(External ID)", "") &amp; " " &amp; IF(SUMPRODUCT(-- ISNUMBER(SEARCH({"Unique","Unique Case Insensitive"}, $R174))) &gt; 0, "(" &amp; $R174 &amp; ")", ""))))</f>
        <v>na</v>
      </c>
      <c r="E174" s="7" t="s">
        <v>195</v>
      </c>
      <c r="F174" s="7" t="s">
        <v>195</v>
      </c>
      <c r="G174" s="7" t="s">
        <v>195</v>
      </c>
      <c r="H174" s="7" t="s">
        <v>195</v>
      </c>
      <c r="I174" s="7" t="s">
        <v>195</v>
      </c>
      <c r="J174" s="7" t="s">
        <v>195</v>
      </c>
      <c r="K174" s="7" t="s">
        <v>195</v>
      </c>
      <c r="L174" s="7" t="s">
        <v>195</v>
      </c>
      <c r="M174" s="7" t="s">
        <v>29</v>
      </c>
      <c r="N174" s="7" t="s">
        <v>29</v>
      </c>
      <c r="O174" s="7" t="s">
        <v>29</v>
      </c>
      <c r="P174" s="7" t="s">
        <v>29</v>
      </c>
      <c r="Q174" s="7" t="s">
        <v>29</v>
      </c>
      <c r="R174" s="7" t="s">
        <v>29</v>
      </c>
      <c r="S174" s="7" t="s">
        <v>29</v>
      </c>
    </row>
    <row r="175" spans="2:19">
      <c r="B175" s="7" t="s">
        <v>195</v>
      </c>
      <c r="C175" s="8" t="s">
        <v>195</v>
      </c>
      <c r="D175" s="6" t="str">
        <f>LRTRIM(CONCATENATE(IF(SUMPRODUCT(-- ISNUMBER(SEARCH({"Auto Number"}, $B175))) &gt; 0, $B175, IF(SUMPRODUCT(-- ISNUMBER(SEARCH({"Lookup","Master-Detail"}, $B175))) &gt; 0,$B175 &amp; "(" &amp; $E175 &amp; ")",IF(SUMPRODUCT(-- ISNUMBER(SEARCH({"Formula","Roll-Up Summary"}, $B175))) &gt; 0,$B175 &amp; " (" &amp; $E175 &amp; ")",IF(SUMPRODUCT(-- ISNUMBER(SEARCH({"Content","Currency","Number","Percent","Text","URL"}, $B175))) &gt; 0,$B175 &amp; "(" &amp; $C175 &amp; ")",$B175)))), "  ", TRIM(IF($S175 = "YES", "(External ID)", "") &amp; " " &amp; IF(SUMPRODUCT(-- ISNUMBER(SEARCH({"Unique","Unique Case Insensitive"}, $R175))) &gt; 0, "(" &amp; $R175 &amp; ")", ""))))</f>
        <v>na</v>
      </c>
      <c r="E175" s="7" t="s">
        <v>195</v>
      </c>
      <c r="F175" s="7" t="s">
        <v>195</v>
      </c>
      <c r="G175" s="7" t="s">
        <v>195</v>
      </c>
      <c r="H175" s="7" t="s">
        <v>195</v>
      </c>
      <c r="I175" s="7" t="s">
        <v>195</v>
      </c>
      <c r="J175" s="7" t="s">
        <v>195</v>
      </c>
      <c r="K175" s="7" t="s">
        <v>195</v>
      </c>
      <c r="L175" s="7" t="s">
        <v>195</v>
      </c>
      <c r="M175" s="7" t="s">
        <v>29</v>
      </c>
      <c r="N175" s="7" t="s">
        <v>29</v>
      </c>
      <c r="O175" s="7" t="s">
        <v>29</v>
      </c>
      <c r="P175" s="7" t="s">
        <v>29</v>
      </c>
      <c r="Q175" s="7" t="s">
        <v>29</v>
      </c>
      <c r="R175" s="7" t="s">
        <v>29</v>
      </c>
      <c r="S175" s="7" t="s">
        <v>29</v>
      </c>
    </row>
    <row r="176" spans="2:19">
      <c r="B176" s="7" t="s">
        <v>195</v>
      </c>
      <c r="C176" s="8" t="s">
        <v>195</v>
      </c>
      <c r="D176" s="6" t="str">
        <f>LRTRIM(CONCATENATE(IF(SUMPRODUCT(-- ISNUMBER(SEARCH({"Auto Number"}, $B176))) &gt; 0, $B176, IF(SUMPRODUCT(-- ISNUMBER(SEARCH({"Lookup","Master-Detail"}, $B176))) &gt; 0,$B176 &amp; "(" &amp; $E176 &amp; ")",IF(SUMPRODUCT(-- ISNUMBER(SEARCH({"Formula","Roll-Up Summary"}, $B176))) &gt; 0,$B176 &amp; " (" &amp; $E176 &amp; ")",IF(SUMPRODUCT(-- ISNUMBER(SEARCH({"Content","Currency","Number","Percent","Text","URL"}, $B176))) &gt; 0,$B176 &amp; "(" &amp; $C176 &amp; ")",$B176)))), "  ", TRIM(IF($S176 = "YES", "(External ID)", "") &amp; " " &amp; IF(SUMPRODUCT(-- ISNUMBER(SEARCH({"Unique","Unique Case Insensitive"}, $R176))) &gt; 0, "(" &amp; $R176 &amp; ")", ""))))</f>
        <v>na</v>
      </c>
      <c r="E176" s="7" t="s">
        <v>195</v>
      </c>
      <c r="F176" s="7" t="s">
        <v>195</v>
      </c>
      <c r="G176" s="7" t="s">
        <v>195</v>
      </c>
      <c r="H176" s="7" t="s">
        <v>195</v>
      </c>
      <c r="I176" s="7" t="s">
        <v>195</v>
      </c>
      <c r="J176" s="7" t="s">
        <v>195</v>
      </c>
      <c r="K176" s="7" t="s">
        <v>195</v>
      </c>
      <c r="L176" s="7" t="s">
        <v>195</v>
      </c>
      <c r="M176" s="7" t="s">
        <v>29</v>
      </c>
      <c r="N176" s="7" t="s">
        <v>29</v>
      </c>
      <c r="O176" s="7" t="s">
        <v>29</v>
      </c>
      <c r="P176" s="7" t="s">
        <v>29</v>
      </c>
      <c r="Q176" s="7" t="s">
        <v>29</v>
      </c>
      <c r="R176" s="7" t="s">
        <v>29</v>
      </c>
      <c r="S176" s="7" t="s">
        <v>29</v>
      </c>
    </row>
    <row r="177" spans="2:19">
      <c r="B177" s="7" t="s">
        <v>195</v>
      </c>
      <c r="C177" s="8" t="s">
        <v>195</v>
      </c>
      <c r="D177" s="6" t="str">
        <f>LRTRIM(CONCATENATE(IF(SUMPRODUCT(-- ISNUMBER(SEARCH({"Auto Number"}, $B177))) &gt; 0, $B177, IF(SUMPRODUCT(-- ISNUMBER(SEARCH({"Lookup","Master-Detail"}, $B177))) &gt; 0,$B177 &amp; "(" &amp; $E177 &amp; ")",IF(SUMPRODUCT(-- ISNUMBER(SEARCH({"Formula","Roll-Up Summary"}, $B177))) &gt; 0,$B177 &amp; " (" &amp; $E177 &amp; ")",IF(SUMPRODUCT(-- ISNUMBER(SEARCH({"Content","Currency","Number","Percent","Text","URL"}, $B177))) &gt; 0,$B177 &amp; "(" &amp; $C177 &amp; ")",$B177)))), "  ", TRIM(IF($S177 = "YES", "(External ID)", "") &amp; " " &amp; IF(SUMPRODUCT(-- ISNUMBER(SEARCH({"Unique","Unique Case Insensitive"}, $R177))) &gt; 0, "(" &amp; $R177 &amp; ")", ""))))</f>
        <v>na</v>
      </c>
      <c r="E177" s="7" t="s">
        <v>195</v>
      </c>
      <c r="F177" s="7" t="s">
        <v>195</v>
      </c>
      <c r="G177" s="7" t="s">
        <v>195</v>
      </c>
      <c r="H177" s="7" t="s">
        <v>195</v>
      </c>
      <c r="I177" s="7" t="s">
        <v>195</v>
      </c>
      <c r="J177" s="7" t="s">
        <v>195</v>
      </c>
      <c r="K177" s="7" t="s">
        <v>195</v>
      </c>
      <c r="L177" s="7" t="s">
        <v>195</v>
      </c>
      <c r="M177" s="7" t="s">
        <v>29</v>
      </c>
      <c r="N177" s="7" t="s">
        <v>29</v>
      </c>
      <c r="O177" s="7" t="s">
        <v>29</v>
      </c>
      <c r="P177" s="7" t="s">
        <v>29</v>
      </c>
      <c r="Q177" s="7" t="s">
        <v>29</v>
      </c>
      <c r="R177" s="7" t="s">
        <v>29</v>
      </c>
      <c r="S177" s="7" t="s">
        <v>29</v>
      </c>
    </row>
    <row r="178" spans="2:19">
      <c r="B178" s="7" t="s">
        <v>195</v>
      </c>
      <c r="C178" s="8" t="s">
        <v>195</v>
      </c>
      <c r="D178" s="6" t="str">
        <f>LRTRIM(CONCATENATE(IF(SUMPRODUCT(-- ISNUMBER(SEARCH({"Auto Number"}, $B178))) &gt; 0, $B178, IF(SUMPRODUCT(-- ISNUMBER(SEARCH({"Lookup","Master-Detail"}, $B178))) &gt; 0,$B178 &amp; "(" &amp; $E178 &amp; ")",IF(SUMPRODUCT(-- ISNUMBER(SEARCH({"Formula","Roll-Up Summary"}, $B178))) &gt; 0,$B178 &amp; " (" &amp; $E178 &amp; ")",IF(SUMPRODUCT(-- ISNUMBER(SEARCH({"Content","Currency","Number","Percent","Text","URL"}, $B178))) &gt; 0,$B178 &amp; "(" &amp; $C178 &amp; ")",$B178)))), "  ", TRIM(IF($S178 = "YES", "(External ID)", "") &amp; " " &amp; IF(SUMPRODUCT(-- ISNUMBER(SEARCH({"Unique","Unique Case Insensitive"}, $R178))) &gt; 0, "(" &amp; $R178 &amp; ")", ""))))</f>
        <v>na</v>
      </c>
      <c r="E178" s="7" t="s">
        <v>195</v>
      </c>
      <c r="F178" s="7" t="s">
        <v>195</v>
      </c>
      <c r="G178" s="7" t="s">
        <v>195</v>
      </c>
      <c r="H178" s="7" t="s">
        <v>195</v>
      </c>
      <c r="I178" s="7" t="s">
        <v>195</v>
      </c>
      <c r="J178" s="7" t="s">
        <v>195</v>
      </c>
      <c r="K178" s="7" t="s">
        <v>195</v>
      </c>
      <c r="L178" s="7" t="s">
        <v>195</v>
      </c>
      <c r="M178" s="7" t="s">
        <v>29</v>
      </c>
      <c r="N178" s="7" t="s">
        <v>29</v>
      </c>
      <c r="O178" s="7" t="s">
        <v>29</v>
      </c>
      <c r="P178" s="7" t="s">
        <v>29</v>
      </c>
      <c r="Q178" s="7" t="s">
        <v>29</v>
      </c>
      <c r="R178" s="7" t="s">
        <v>29</v>
      </c>
      <c r="S178" s="7" t="s">
        <v>29</v>
      </c>
    </row>
    <row r="179" spans="2:19">
      <c r="B179" s="7" t="s">
        <v>195</v>
      </c>
      <c r="C179" s="8" t="s">
        <v>195</v>
      </c>
      <c r="D179" s="6" t="str">
        <f>LRTRIM(CONCATENATE(IF(SUMPRODUCT(-- ISNUMBER(SEARCH({"Auto Number"}, $B179))) &gt; 0, $B179, IF(SUMPRODUCT(-- ISNUMBER(SEARCH({"Lookup","Master-Detail"}, $B179))) &gt; 0,$B179 &amp; "(" &amp; $E179 &amp; ")",IF(SUMPRODUCT(-- ISNUMBER(SEARCH({"Formula","Roll-Up Summary"}, $B179))) &gt; 0,$B179 &amp; " (" &amp; $E179 &amp; ")",IF(SUMPRODUCT(-- ISNUMBER(SEARCH({"Content","Currency","Number","Percent","Text","URL"}, $B179))) &gt; 0,$B179 &amp; "(" &amp; $C179 &amp; ")",$B179)))), "  ", TRIM(IF($S179 = "YES", "(External ID)", "") &amp; " " &amp; IF(SUMPRODUCT(-- ISNUMBER(SEARCH({"Unique","Unique Case Insensitive"}, $R179))) &gt; 0, "(" &amp; $R179 &amp; ")", ""))))</f>
        <v>na</v>
      </c>
      <c r="E179" s="7" t="s">
        <v>195</v>
      </c>
      <c r="F179" s="7" t="s">
        <v>195</v>
      </c>
      <c r="G179" s="7" t="s">
        <v>195</v>
      </c>
      <c r="H179" s="7" t="s">
        <v>195</v>
      </c>
      <c r="I179" s="7" t="s">
        <v>195</v>
      </c>
      <c r="J179" s="7" t="s">
        <v>195</v>
      </c>
      <c r="K179" s="7" t="s">
        <v>195</v>
      </c>
      <c r="L179" s="7" t="s">
        <v>195</v>
      </c>
      <c r="M179" s="7" t="s">
        <v>29</v>
      </c>
      <c r="N179" s="7" t="s">
        <v>29</v>
      </c>
      <c r="O179" s="7" t="s">
        <v>29</v>
      </c>
      <c r="P179" s="7" t="s">
        <v>29</v>
      </c>
      <c r="Q179" s="7" t="s">
        <v>29</v>
      </c>
      <c r="R179" s="7" t="s">
        <v>29</v>
      </c>
      <c r="S179" s="7" t="s">
        <v>29</v>
      </c>
    </row>
    <row r="180" spans="2:19">
      <c r="B180" s="7" t="s">
        <v>195</v>
      </c>
      <c r="C180" s="8" t="s">
        <v>195</v>
      </c>
      <c r="D180" s="6" t="str">
        <f>LRTRIM(CONCATENATE(IF(SUMPRODUCT(-- ISNUMBER(SEARCH({"Auto Number"}, $B180))) &gt; 0, $B180, IF(SUMPRODUCT(-- ISNUMBER(SEARCH({"Lookup","Master-Detail"}, $B180))) &gt; 0,$B180 &amp; "(" &amp; $E180 &amp; ")",IF(SUMPRODUCT(-- ISNUMBER(SEARCH({"Formula","Roll-Up Summary"}, $B180))) &gt; 0,$B180 &amp; " (" &amp; $E180 &amp; ")",IF(SUMPRODUCT(-- ISNUMBER(SEARCH({"Content","Currency","Number","Percent","Text","URL"}, $B180))) &gt; 0,$B180 &amp; "(" &amp; $C180 &amp; ")",$B180)))), "  ", TRIM(IF($S180 = "YES", "(External ID)", "") &amp; " " &amp; IF(SUMPRODUCT(-- ISNUMBER(SEARCH({"Unique","Unique Case Insensitive"}, $R180))) &gt; 0, "(" &amp; $R180 &amp; ")", ""))))</f>
        <v>na</v>
      </c>
      <c r="E180" s="7" t="s">
        <v>195</v>
      </c>
      <c r="F180" s="7" t="s">
        <v>195</v>
      </c>
      <c r="G180" s="7" t="s">
        <v>195</v>
      </c>
      <c r="H180" s="7" t="s">
        <v>195</v>
      </c>
      <c r="I180" s="7" t="s">
        <v>195</v>
      </c>
      <c r="J180" s="7" t="s">
        <v>195</v>
      </c>
      <c r="K180" s="7" t="s">
        <v>195</v>
      </c>
      <c r="L180" s="7" t="s">
        <v>195</v>
      </c>
      <c r="M180" s="7" t="s">
        <v>29</v>
      </c>
      <c r="N180" s="7" t="s">
        <v>29</v>
      </c>
      <c r="O180" s="7" t="s">
        <v>29</v>
      </c>
      <c r="P180" s="7" t="s">
        <v>29</v>
      </c>
      <c r="Q180" s="7" t="s">
        <v>29</v>
      </c>
      <c r="R180" s="7" t="s">
        <v>29</v>
      </c>
      <c r="S180" s="7" t="s">
        <v>29</v>
      </c>
    </row>
    <row r="181" spans="2:19">
      <c r="B181" s="7" t="s">
        <v>195</v>
      </c>
      <c r="C181" s="8" t="s">
        <v>195</v>
      </c>
      <c r="D181" s="6" t="str">
        <f>LRTRIM(CONCATENATE(IF(SUMPRODUCT(-- ISNUMBER(SEARCH({"Auto Number"}, $B181))) &gt; 0, $B181, IF(SUMPRODUCT(-- ISNUMBER(SEARCH({"Lookup","Master-Detail"}, $B181))) &gt; 0,$B181 &amp; "(" &amp; $E181 &amp; ")",IF(SUMPRODUCT(-- ISNUMBER(SEARCH({"Formula","Roll-Up Summary"}, $B181))) &gt; 0,$B181 &amp; " (" &amp; $E181 &amp; ")",IF(SUMPRODUCT(-- ISNUMBER(SEARCH({"Content","Currency","Number","Percent","Text","URL"}, $B181))) &gt; 0,$B181 &amp; "(" &amp; $C181 &amp; ")",$B181)))), "  ", TRIM(IF($S181 = "YES", "(External ID)", "") &amp; " " &amp; IF(SUMPRODUCT(-- ISNUMBER(SEARCH({"Unique","Unique Case Insensitive"}, $R181))) &gt; 0, "(" &amp; $R181 &amp; ")", ""))))</f>
        <v>na</v>
      </c>
      <c r="E181" s="7" t="s">
        <v>195</v>
      </c>
      <c r="F181" s="7" t="s">
        <v>195</v>
      </c>
      <c r="G181" s="7" t="s">
        <v>195</v>
      </c>
      <c r="H181" s="7" t="s">
        <v>195</v>
      </c>
      <c r="I181" s="7" t="s">
        <v>195</v>
      </c>
      <c r="J181" s="7" t="s">
        <v>195</v>
      </c>
      <c r="K181" s="7" t="s">
        <v>195</v>
      </c>
      <c r="L181" s="7" t="s">
        <v>195</v>
      </c>
      <c r="M181" s="7" t="s">
        <v>29</v>
      </c>
      <c r="N181" s="7" t="s">
        <v>29</v>
      </c>
      <c r="O181" s="7" t="s">
        <v>29</v>
      </c>
      <c r="P181" s="7" t="s">
        <v>29</v>
      </c>
      <c r="Q181" s="7" t="s">
        <v>29</v>
      </c>
      <c r="R181" s="7" t="s">
        <v>29</v>
      </c>
      <c r="S181" s="7" t="s">
        <v>29</v>
      </c>
    </row>
    <row r="182" spans="2:19">
      <c r="B182" s="7" t="s">
        <v>195</v>
      </c>
      <c r="C182" s="8" t="s">
        <v>195</v>
      </c>
      <c r="D182" s="6" t="str">
        <f>LRTRIM(CONCATENATE(IF(SUMPRODUCT(-- ISNUMBER(SEARCH({"Auto Number"}, $B182))) &gt; 0, $B182, IF(SUMPRODUCT(-- ISNUMBER(SEARCH({"Lookup","Master-Detail"}, $B182))) &gt; 0,$B182 &amp; "(" &amp; $E182 &amp; ")",IF(SUMPRODUCT(-- ISNUMBER(SEARCH({"Formula","Roll-Up Summary"}, $B182))) &gt; 0,$B182 &amp; " (" &amp; $E182 &amp; ")",IF(SUMPRODUCT(-- ISNUMBER(SEARCH({"Content","Currency","Number","Percent","Text","URL"}, $B182))) &gt; 0,$B182 &amp; "(" &amp; $C182 &amp; ")",$B182)))), "  ", TRIM(IF($S182 = "YES", "(External ID)", "") &amp; " " &amp; IF(SUMPRODUCT(-- ISNUMBER(SEARCH({"Unique","Unique Case Insensitive"}, $R182))) &gt; 0, "(" &amp; $R182 &amp; ")", ""))))</f>
        <v>na</v>
      </c>
      <c r="E182" s="7" t="s">
        <v>195</v>
      </c>
      <c r="F182" s="7" t="s">
        <v>195</v>
      </c>
      <c r="G182" s="7" t="s">
        <v>195</v>
      </c>
      <c r="H182" s="7" t="s">
        <v>195</v>
      </c>
      <c r="I182" s="7" t="s">
        <v>195</v>
      </c>
      <c r="J182" s="7" t="s">
        <v>195</v>
      </c>
      <c r="K182" s="7" t="s">
        <v>195</v>
      </c>
      <c r="L182" s="7" t="s">
        <v>195</v>
      </c>
      <c r="M182" s="7" t="s">
        <v>29</v>
      </c>
      <c r="N182" s="7" t="s">
        <v>29</v>
      </c>
      <c r="O182" s="7" t="s">
        <v>29</v>
      </c>
      <c r="P182" s="7" t="s">
        <v>29</v>
      </c>
      <c r="Q182" s="7" t="s">
        <v>29</v>
      </c>
      <c r="R182" s="7" t="s">
        <v>29</v>
      </c>
      <c r="S182" s="7" t="s">
        <v>29</v>
      </c>
    </row>
    <row r="183" spans="2:19">
      <c r="B183" s="7" t="s">
        <v>195</v>
      </c>
      <c r="C183" s="8" t="s">
        <v>195</v>
      </c>
      <c r="D183" s="6" t="str">
        <f>LRTRIM(CONCATENATE(IF(SUMPRODUCT(-- ISNUMBER(SEARCH({"Auto Number"}, $B183))) &gt; 0, $B183, IF(SUMPRODUCT(-- ISNUMBER(SEARCH({"Lookup","Master-Detail"}, $B183))) &gt; 0,$B183 &amp; "(" &amp; $E183 &amp; ")",IF(SUMPRODUCT(-- ISNUMBER(SEARCH({"Formula","Roll-Up Summary"}, $B183))) &gt; 0,$B183 &amp; " (" &amp; $E183 &amp; ")",IF(SUMPRODUCT(-- ISNUMBER(SEARCH({"Content","Currency","Number","Percent","Text","URL"}, $B183))) &gt; 0,$B183 &amp; "(" &amp; $C183 &amp; ")",$B183)))), "  ", TRIM(IF($S183 = "YES", "(External ID)", "") &amp; " " &amp; IF(SUMPRODUCT(-- ISNUMBER(SEARCH({"Unique","Unique Case Insensitive"}, $R183))) &gt; 0, "(" &amp; $R183 &amp; ")", ""))))</f>
        <v>na</v>
      </c>
      <c r="E183" s="7" t="s">
        <v>195</v>
      </c>
      <c r="F183" s="7" t="s">
        <v>195</v>
      </c>
      <c r="G183" s="7" t="s">
        <v>195</v>
      </c>
      <c r="H183" s="7" t="s">
        <v>195</v>
      </c>
      <c r="I183" s="7" t="s">
        <v>195</v>
      </c>
      <c r="J183" s="7" t="s">
        <v>195</v>
      </c>
      <c r="K183" s="7" t="s">
        <v>195</v>
      </c>
      <c r="L183" s="7" t="s">
        <v>195</v>
      </c>
      <c r="M183" s="7" t="s">
        <v>29</v>
      </c>
      <c r="N183" s="7" t="s">
        <v>29</v>
      </c>
      <c r="O183" s="7" t="s">
        <v>29</v>
      </c>
      <c r="P183" s="7" t="s">
        <v>29</v>
      </c>
      <c r="Q183" s="7" t="s">
        <v>29</v>
      </c>
      <c r="R183" s="7" t="s">
        <v>29</v>
      </c>
      <c r="S183" s="7" t="s">
        <v>29</v>
      </c>
    </row>
    <row r="184" spans="2:19">
      <c r="B184" s="7" t="s">
        <v>195</v>
      </c>
      <c r="C184" s="8" t="s">
        <v>195</v>
      </c>
      <c r="D184" s="6" t="str">
        <f>LRTRIM(CONCATENATE(IF(SUMPRODUCT(-- ISNUMBER(SEARCH({"Auto Number"}, $B184))) &gt; 0, $B184, IF(SUMPRODUCT(-- ISNUMBER(SEARCH({"Lookup","Master-Detail"}, $B184))) &gt; 0,$B184 &amp; "(" &amp; $E184 &amp; ")",IF(SUMPRODUCT(-- ISNUMBER(SEARCH({"Formula","Roll-Up Summary"}, $B184))) &gt; 0,$B184 &amp; " (" &amp; $E184 &amp; ")",IF(SUMPRODUCT(-- ISNUMBER(SEARCH({"Content","Currency","Number","Percent","Text","URL"}, $B184))) &gt; 0,$B184 &amp; "(" &amp; $C184 &amp; ")",$B184)))), "  ", TRIM(IF($S184 = "YES", "(External ID)", "") &amp; " " &amp; IF(SUMPRODUCT(-- ISNUMBER(SEARCH({"Unique","Unique Case Insensitive"}, $R184))) &gt; 0, "(" &amp; $R184 &amp; ")", ""))))</f>
        <v>na</v>
      </c>
      <c r="E184" s="7" t="s">
        <v>195</v>
      </c>
      <c r="F184" s="7" t="s">
        <v>195</v>
      </c>
      <c r="G184" s="7" t="s">
        <v>195</v>
      </c>
      <c r="H184" s="7" t="s">
        <v>195</v>
      </c>
      <c r="I184" s="7" t="s">
        <v>195</v>
      </c>
      <c r="J184" s="7" t="s">
        <v>195</v>
      </c>
      <c r="K184" s="7" t="s">
        <v>195</v>
      </c>
      <c r="L184" s="7" t="s">
        <v>195</v>
      </c>
      <c r="M184" s="7" t="s">
        <v>29</v>
      </c>
      <c r="N184" s="7" t="s">
        <v>29</v>
      </c>
      <c r="O184" s="7" t="s">
        <v>29</v>
      </c>
      <c r="P184" s="7" t="s">
        <v>29</v>
      </c>
      <c r="Q184" s="7" t="s">
        <v>29</v>
      </c>
      <c r="R184" s="7" t="s">
        <v>29</v>
      </c>
      <c r="S184" s="7" t="s">
        <v>29</v>
      </c>
    </row>
    <row r="185" spans="2:19">
      <c r="B185" s="7" t="s">
        <v>195</v>
      </c>
      <c r="C185" s="8" t="s">
        <v>195</v>
      </c>
      <c r="D185" s="6" t="str">
        <f>LRTRIM(CONCATENATE(IF(SUMPRODUCT(-- ISNUMBER(SEARCH({"Auto Number"}, $B185))) &gt; 0, $B185, IF(SUMPRODUCT(-- ISNUMBER(SEARCH({"Lookup","Master-Detail"}, $B185))) &gt; 0,$B185 &amp; "(" &amp; $E185 &amp; ")",IF(SUMPRODUCT(-- ISNUMBER(SEARCH({"Formula","Roll-Up Summary"}, $B185))) &gt; 0,$B185 &amp; " (" &amp; $E185 &amp; ")",IF(SUMPRODUCT(-- ISNUMBER(SEARCH({"Content","Currency","Number","Percent","Text","URL"}, $B185))) &gt; 0,$B185 &amp; "(" &amp; $C185 &amp; ")",$B185)))), "  ", TRIM(IF($S185 = "YES", "(External ID)", "") &amp; " " &amp; IF(SUMPRODUCT(-- ISNUMBER(SEARCH({"Unique","Unique Case Insensitive"}, $R185))) &gt; 0, "(" &amp; $R185 &amp; ")", ""))))</f>
        <v>na</v>
      </c>
      <c r="E185" s="7" t="s">
        <v>195</v>
      </c>
      <c r="F185" s="7" t="s">
        <v>195</v>
      </c>
      <c r="G185" s="7" t="s">
        <v>195</v>
      </c>
      <c r="H185" s="7" t="s">
        <v>195</v>
      </c>
      <c r="I185" s="7" t="s">
        <v>195</v>
      </c>
      <c r="J185" s="7" t="s">
        <v>195</v>
      </c>
      <c r="K185" s="7" t="s">
        <v>195</v>
      </c>
      <c r="L185" s="7" t="s">
        <v>195</v>
      </c>
      <c r="M185" s="7" t="s">
        <v>29</v>
      </c>
      <c r="N185" s="7" t="s">
        <v>29</v>
      </c>
      <c r="O185" s="7" t="s">
        <v>29</v>
      </c>
      <c r="P185" s="7" t="s">
        <v>29</v>
      </c>
      <c r="Q185" s="7" t="s">
        <v>29</v>
      </c>
      <c r="R185" s="7" t="s">
        <v>29</v>
      </c>
      <c r="S185" s="7" t="s">
        <v>29</v>
      </c>
    </row>
    <row r="186" spans="2:19">
      <c r="B186" s="7" t="s">
        <v>195</v>
      </c>
      <c r="C186" s="8" t="s">
        <v>195</v>
      </c>
      <c r="D186" s="6" t="str">
        <f>LRTRIM(CONCATENATE(IF(SUMPRODUCT(-- ISNUMBER(SEARCH({"Auto Number"}, $B186))) &gt; 0, $B186, IF(SUMPRODUCT(-- ISNUMBER(SEARCH({"Lookup","Master-Detail"}, $B186))) &gt; 0,$B186 &amp; "(" &amp; $E186 &amp; ")",IF(SUMPRODUCT(-- ISNUMBER(SEARCH({"Formula","Roll-Up Summary"}, $B186))) &gt; 0,$B186 &amp; " (" &amp; $E186 &amp; ")",IF(SUMPRODUCT(-- ISNUMBER(SEARCH({"Content","Currency","Number","Percent","Text","URL"}, $B186))) &gt; 0,$B186 &amp; "(" &amp; $C186 &amp; ")",$B186)))), "  ", TRIM(IF($S186 = "YES", "(External ID)", "") &amp; " " &amp; IF(SUMPRODUCT(-- ISNUMBER(SEARCH({"Unique","Unique Case Insensitive"}, $R186))) &gt; 0, "(" &amp; $R186 &amp; ")", ""))))</f>
        <v>na</v>
      </c>
      <c r="E186" s="7" t="s">
        <v>195</v>
      </c>
      <c r="F186" s="7" t="s">
        <v>195</v>
      </c>
      <c r="G186" s="7" t="s">
        <v>195</v>
      </c>
      <c r="H186" s="7" t="s">
        <v>195</v>
      </c>
      <c r="I186" s="7" t="s">
        <v>195</v>
      </c>
      <c r="J186" s="7" t="s">
        <v>195</v>
      </c>
      <c r="K186" s="7" t="s">
        <v>195</v>
      </c>
      <c r="L186" s="7" t="s">
        <v>195</v>
      </c>
      <c r="M186" s="7" t="s">
        <v>29</v>
      </c>
      <c r="N186" s="7" t="s">
        <v>29</v>
      </c>
      <c r="O186" s="7" t="s">
        <v>29</v>
      </c>
      <c r="P186" s="7" t="s">
        <v>29</v>
      </c>
      <c r="Q186" s="7" t="s">
        <v>29</v>
      </c>
      <c r="R186" s="7" t="s">
        <v>29</v>
      </c>
      <c r="S186" s="7" t="s">
        <v>29</v>
      </c>
    </row>
    <row r="187" spans="2:19">
      <c r="B187" s="7" t="s">
        <v>195</v>
      </c>
      <c r="C187" s="8" t="s">
        <v>195</v>
      </c>
      <c r="D187" s="6" t="str">
        <f>LRTRIM(CONCATENATE(IF(SUMPRODUCT(-- ISNUMBER(SEARCH({"Auto Number"}, $B187))) &gt; 0, $B187, IF(SUMPRODUCT(-- ISNUMBER(SEARCH({"Lookup","Master-Detail"}, $B187))) &gt; 0,$B187 &amp; "(" &amp; $E187 &amp; ")",IF(SUMPRODUCT(-- ISNUMBER(SEARCH({"Formula","Roll-Up Summary"}, $B187))) &gt; 0,$B187 &amp; " (" &amp; $E187 &amp; ")",IF(SUMPRODUCT(-- ISNUMBER(SEARCH({"Content","Currency","Number","Percent","Text","URL"}, $B187))) &gt; 0,$B187 &amp; "(" &amp; $C187 &amp; ")",$B187)))), "  ", TRIM(IF($S187 = "YES", "(External ID)", "") &amp; " " &amp; IF(SUMPRODUCT(-- ISNUMBER(SEARCH({"Unique","Unique Case Insensitive"}, $R187))) &gt; 0, "(" &amp; $R187 &amp; ")", ""))))</f>
        <v>na</v>
      </c>
      <c r="E187" s="7" t="s">
        <v>195</v>
      </c>
      <c r="F187" s="7" t="s">
        <v>195</v>
      </c>
      <c r="G187" s="7" t="s">
        <v>195</v>
      </c>
      <c r="H187" s="7" t="s">
        <v>195</v>
      </c>
      <c r="I187" s="7" t="s">
        <v>195</v>
      </c>
      <c r="J187" s="7" t="s">
        <v>195</v>
      </c>
      <c r="K187" s="7" t="s">
        <v>195</v>
      </c>
      <c r="L187" s="7" t="s">
        <v>195</v>
      </c>
      <c r="M187" s="7" t="s">
        <v>29</v>
      </c>
      <c r="N187" s="7" t="s">
        <v>29</v>
      </c>
      <c r="O187" s="7" t="s">
        <v>29</v>
      </c>
      <c r="P187" s="7" t="s">
        <v>29</v>
      </c>
      <c r="Q187" s="7" t="s">
        <v>29</v>
      </c>
      <c r="R187" s="7" t="s">
        <v>29</v>
      </c>
      <c r="S187" s="7" t="s">
        <v>29</v>
      </c>
    </row>
    <row r="188" spans="2:19">
      <c r="B188" s="7" t="s">
        <v>195</v>
      </c>
      <c r="C188" s="8" t="s">
        <v>195</v>
      </c>
      <c r="D188" s="6" t="str">
        <f>LRTRIM(CONCATENATE(IF(SUMPRODUCT(-- ISNUMBER(SEARCH({"Auto Number"}, $B188))) &gt; 0, $B188, IF(SUMPRODUCT(-- ISNUMBER(SEARCH({"Lookup","Master-Detail"}, $B188))) &gt; 0,$B188 &amp; "(" &amp; $E188 &amp; ")",IF(SUMPRODUCT(-- ISNUMBER(SEARCH({"Formula","Roll-Up Summary"}, $B188))) &gt; 0,$B188 &amp; " (" &amp; $E188 &amp; ")",IF(SUMPRODUCT(-- ISNUMBER(SEARCH({"Content","Currency","Number","Percent","Text","URL"}, $B188))) &gt; 0,$B188 &amp; "(" &amp; $C188 &amp; ")",$B188)))), "  ", TRIM(IF($S188 = "YES", "(External ID)", "") &amp; " " &amp; IF(SUMPRODUCT(-- ISNUMBER(SEARCH({"Unique","Unique Case Insensitive"}, $R188))) &gt; 0, "(" &amp; $R188 &amp; ")", ""))))</f>
        <v>na</v>
      </c>
      <c r="E188" s="7" t="s">
        <v>195</v>
      </c>
      <c r="F188" s="7" t="s">
        <v>195</v>
      </c>
      <c r="G188" s="7" t="s">
        <v>195</v>
      </c>
      <c r="H188" s="7" t="s">
        <v>195</v>
      </c>
      <c r="I188" s="7" t="s">
        <v>195</v>
      </c>
      <c r="J188" s="7" t="s">
        <v>195</v>
      </c>
      <c r="K188" s="7" t="s">
        <v>195</v>
      </c>
      <c r="L188" s="7" t="s">
        <v>195</v>
      </c>
      <c r="M188" s="7" t="s">
        <v>29</v>
      </c>
      <c r="N188" s="7" t="s">
        <v>29</v>
      </c>
      <c r="O188" s="7" t="s">
        <v>29</v>
      </c>
      <c r="P188" s="7" t="s">
        <v>29</v>
      </c>
      <c r="Q188" s="7" t="s">
        <v>29</v>
      </c>
      <c r="R188" s="7" t="s">
        <v>29</v>
      </c>
      <c r="S188" s="7" t="s">
        <v>29</v>
      </c>
    </row>
    <row r="189" spans="2:19">
      <c r="B189" s="7" t="s">
        <v>195</v>
      </c>
      <c r="C189" s="8" t="s">
        <v>195</v>
      </c>
      <c r="D189" s="6" t="str">
        <f>LRTRIM(CONCATENATE(IF(SUMPRODUCT(-- ISNUMBER(SEARCH({"Auto Number"}, $B189))) &gt; 0, $B189, IF(SUMPRODUCT(-- ISNUMBER(SEARCH({"Lookup","Master-Detail"}, $B189))) &gt; 0,$B189 &amp; "(" &amp; $E189 &amp; ")",IF(SUMPRODUCT(-- ISNUMBER(SEARCH({"Formula","Roll-Up Summary"}, $B189))) &gt; 0,$B189 &amp; " (" &amp; $E189 &amp; ")",IF(SUMPRODUCT(-- ISNUMBER(SEARCH({"Content","Currency","Number","Percent","Text","URL"}, $B189))) &gt; 0,$B189 &amp; "(" &amp; $C189 &amp; ")",$B189)))), "  ", TRIM(IF($S189 = "YES", "(External ID)", "") &amp; " " &amp; IF(SUMPRODUCT(-- ISNUMBER(SEARCH({"Unique","Unique Case Insensitive"}, $R189))) &gt; 0, "(" &amp; $R189 &amp; ")", ""))))</f>
        <v>na</v>
      </c>
      <c r="E189" s="7" t="s">
        <v>195</v>
      </c>
      <c r="F189" s="7" t="s">
        <v>195</v>
      </c>
      <c r="G189" s="7" t="s">
        <v>195</v>
      </c>
      <c r="H189" s="7" t="s">
        <v>195</v>
      </c>
      <c r="I189" s="7" t="s">
        <v>195</v>
      </c>
      <c r="J189" s="7" t="s">
        <v>195</v>
      </c>
      <c r="K189" s="7" t="s">
        <v>195</v>
      </c>
      <c r="L189" s="7" t="s">
        <v>195</v>
      </c>
      <c r="M189" s="7" t="s">
        <v>29</v>
      </c>
      <c r="N189" s="7" t="s">
        <v>29</v>
      </c>
      <c r="O189" s="7" t="s">
        <v>29</v>
      </c>
      <c r="P189" s="7" t="s">
        <v>29</v>
      </c>
      <c r="Q189" s="7" t="s">
        <v>29</v>
      </c>
      <c r="R189" s="7" t="s">
        <v>29</v>
      </c>
      <c r="S189" s="7" t="s">
        <v>29</v>
      </c>
    </row>
    <row r="190" spans="2:19">
      <c r="B190" s="7" t="s">
        <v>195</v>
      </c>
      <c r="C190" s="8" t="s">
        <v>195</v>
      </c>
      <c r="D190" s="6" t="str">
        <f>LRTRIM(CONCATENATE(IF(SUMPRODUCT(-- ISNUMBER(SEARCH({"Auto Number"}, $B190))) &gt; 0, $B190, IF(SUMPRODUCT(-- ISNUMBER(SEARCH({"Lookup","Master-Detail"}, $B190))) &gt; 0,$B190 &amp; "(" &amp; $E190 &amp; ")",IF(SUMPRODUCT(-- ISNUMBER(SEARCH({"Formula","Roll-Up Summary"}, $B190))) &gt; 0,$B190 &amp; " (" &amp; $E190 &amp; ")",IF(SUMPRODUCT(-- ISNUMBER(SEARCH({"Content","Currency","Number","Percent","Text","URL"}, $B190))) &gt; 0,$B190 &amp; "(" &amp; $C190 &amp; ")",$B190)))), "  ", TRIM(IF($S190 = "YES", "(External ID)", "") &amp; " " &amp; IF(SUMPRODUCT(-- ISNUMBER(SEARCH({"Unique","Unique Case Insensitive"}, $R190))) &gt; 0, "(" &amp; $R190 &amp; ")", ""))))</f>
        <v>na</v>
      </c>
      <c r="E190" s="7" t="s">
        <v>195</v>
      </c>
      <c r="F190" s="7" t="s">
        <v>195</v>
      </c>
      <c r="G190" s="7" t="s">
        <v>195</v>
      </c>
      <c r="H190" s="7" t="s">
        <v>195</v>
      </c>
      <c r="I190" s="7" t="s">
        <v>195</v>
      </c>
      <c r="J190" s="7" t="s">
        <v>195</v>
      </c>
      <c r="K190" s="7" t="s">
        <v>195</v>
      </c>
      <c r="L190" s="7" t="s">
        <v>195</v>
      </c>
      <c r="M190" s="7" t="s">
        <v>29</v>
      </c>
      <c r="N190" s="7" t="s">
        <v>29</v>
      </c>
      <c r="O190" s="7" t="s">
        <v>29</v>
      </c>
      <c r="P190" s="7" t="s">
        <v>29</v>
      </c>
      <c r="Q190" s="7" t="s">
        <v>29</v>
      </c>
      <c r="R190" s="7" t="s">
        <v>29</v>
      </c>
      <c r="S190" s="7" t="s">
        <v>29</v>
      </c>
    </row>
    <row r="191" spans="2:19">
      <c r="B191" s="7" t="s">
        <v>195</v>
      </c>
      <c r="C191" s="8" t="s">
        <v>195</v>
      </c>
      <c r="D191" s="6" t="str">
        <f>LRTRIM(CONCATENATE(IF(SUMPRODUCT(-- ISNUMBER(SEARCH({"Auto Number"}, $B191))) &gt; 0, $B191, IF(SUMPRODUCT(-- ISNUMBER(SEARCH({"Lookup","Master-Detail"}, $B191))) &gt; 0,$B191 &amp; "(" &amp; $E191 &amp; ")",IF(SUMPRODUCT(-- ISNUMBER(SEARCH({"Formula","Roll-Up Summary"}, $B191))) &gt; 0,$B191 &amp; " (" &amp; $E191 &amp; ")",IF(SUMPRODUCT(-- ISNUMBER(SEARCH({"Content","Currency","Number","Percent","Text","URL"}, $B191))) &gt; 0,$B191 &amp; "(" &amp; $C191 &amp; ")",$B191)))), "  ", TRIM(IF($S191 = "YES", "(External ID)", "") &amp; " " &amp; IF(SUMPRODUCT(-- ISNUMBER(SEARCH({"Unique","Unique Case Insensitive"}, $R191))) &gt; 0, "(" &amp; $R191 &amp; ")", ""))))</f>
        <v>na</v>
      </c>
      <c r="E191" s="7" t="s">
        <v>195</v>
      </c>
      <c r="F191" s="7" t="s">
        <v>195</v>
      </c>
      <c r="G191" s="7" t="s">
        <v>195</v>
      </c>
      <c r="H191" s="7" t="s">
        <v>195</v>
      </c>
      <c r="I191" s="7" t="s">
        <v>195</v>
      </c>
      <c r="J191" s="7" t="s">
        <v>195</v>
      </c>
      <c r="K191" s="7" t="s">
        <v>195</v>
      </c>
      <c r="L191" s="7" t="s">
        <v>195</v>
      </c>
      <c r="M191" s="7" t="s">
        <v>29</v>
      </c>
      <c r="N191" s="7" t="s">
        <v>29</v>
      </c>
      <c r="O191" s="7" t="s">
        <v>29</v>
      </c>
      <c r="P191" s="7" t="s">
        <v>29</v>
      </c>
      <c r="Q191" s="7" t="s">
        <v>29</v>
      </c>
      <c r="R191" s="7" t="s">
        <v>29</v>
      </c>
      <c r="S191" s="7" t="s">
        <v>29</v>
      </c>
    </row>
    <row r="192" spans="2:19">
      <c r="B192" s="7" t="s">
        <v>195</v>
      </c>
      <c r="C192" s="8" t="s">
        <v>195</v>
      </c>
      <c r="D192" s="6" t="str">
        <f>LRTRIM(CONCATENATE(IF(SUMPRODUCT(-- ISNUMBER(SEARCH({"Auto Number"}, $B192))) &gt; 0, $B192, IF(SUMPRODUCT(-- ISNUMBER(SEARCH({"Lookup","Master-Detail"}, $B192))) &gt; 0,$B192 &amp; "(" &amp; $E192 &amp; ")",IF(SUMPRODUCT(-- ISNUMBER(SEARCH({"Formula","Roll-Up Summary"}, $B192))) &gt; 0,$B192 &amp; " (" &amp; $E192 &amp; ")",IF(SUMPRODUCT(-- ISNUMBER(SEARCH({"Content","Currency","Number","Percent","Text","URL"}, $B192))) &gt; 0,$B192 &amp; "(" &amp; $C192 &amp; ")",$B192)))), "  ", TRIM(IF($S192 = "YES", "(External ID)", "") &amp; " " &amp; IF(SUMPRODUCT(-- ISNUMBER(SEARCH({"Unique","Unique Case Insensitive"}, $R192))) &gt; 0, "(" &amp; $R192 &amp; ")", ""))))</f>
        <v>na</v>
      </c>
      <c r="E192" s="7" t="s">
        <v>195</v>
      </c>
      <c r="F192" s="7" t="s">
        <v>195</v>
      </c>
      <c r="G192" s="7" t="s">
        <v>195</v>
      </c>
      <c r="H192" s="7" t="s">
        <v>195</v>
      </c>
      <c r="I192" s="7" t="s">
        <v>195</v>
      </c>
      <c r="J192" s="7" t="s">
        <v>195</v>
      </c>
      <c r="K192" s="7" t="s">
        <v>195</v>
      </c>
      <c r="L192" s="7" t="s">
        <v>195</v>
      </c>
      <c r="M192" s="7" t="s">
        <v>29</v>
      </c>
      <c r="N192" s="7" t="s">
        <v>29</v>
      </c>
      <c r="O192" s="7" t="s">
        <v>29</v>
      </c>
      <c r="P192" s="7" t="s">
        <v>29</v>
      </c>
      <c r="Q192" s="7" t="s">
        <v>29</v>
      </c>
      <c r="R192" s="7" t="s">
        <v>29</v>
      </c>
      <c r="S192" s="7" t="s">
        <v>29</v>
      </c>
    </row>
    <row r="193" spans="2:19">
      <c r="B193" s="7" t="s">
        <v>195</v>
      </c>
      <c r="C193" s="8" t="s">
        <v>195</v>
      </c>
      <c r="D193" s="6" t="str">
        <f>LRTRIM(CONCATENATE(IF(SUMPRODUCT(-- ISNUMBER(SEARCH({"Auto Number"}, $B193))) &gt; 0, $B193, IF(SUMPRODUCT(-- ISNUMBER(SEARCH({"Lookup","Master-Detail"}, $B193))) &gt; 0,$B193 &amp; "(" &amp; $E193 &amp; ")",IF(SUMPRODUCT(-- ISNUMBER(SEARCH({"Formula","Roll-Up Summary"}, $B193))) &gt; 0,$B193 &amp; " (" &amp; $E193 &amp; ")",IF(SUMPRODUCT(-- ISNUMBER(SEARCH({"Content","Currency","Number","Percent","Text","URL"}, $B193))) &gt; 0,$B193 &amp; "(" &amp; $C193 &amp; ")",$B193)))), "  ", TRIM(IF($S193 = "YES", "(External ID)", "") &amp; " " &amp; IF(SUMPRODUCT(-- ISNUMBER(SEARCH({"Unique","Unique Case Insensitive"}, $R193))) &gt; 0, "(" &amp; $R193 &amp; ")", ""))))</f>
        <v>na</v>
      </c>
      <c r="E193" s="7" t="s">
        <v>195</v>
      </c>
      <c r="F193" s="7" t="s">
        <v>195</v>
      </c>
      <c r="G193" s="7" t="s">
        <v>195</v>
      </c>
      <c r="H193" s="7" t="s">
        <v>195</v>
      </c>
      <c r="I193" s="7" t="s">
        <v>195</v>
      </c>
      <c r="J193" s="7" t="s">
        <v>195</v>
      </c>
      <c r="K193" s="7" t="s">
        <v>195</v>
      </c>
      <c r="L193" s="7" t="s">
        <v>195</v>
      </c>
      <c r="M193" s="7" t="s">
        <v>29</v>
      </c>
      <c r="N193" s="7" t="s">
        <v>29</v>
      </c>
      <c r="O193" s="7" t="s">
        <v>29</v>
      </c>
      <c r="P193" s="7" t="s">
        <v>29</v>
      </c>
      <c r="Q193" s="7" t="s">
        <v>29</v>
      </c>
      <c r="R193" s="7" t="s">
        <v>29</v>
      </c>
      <c r="S193" s="7" t="s">
        <v>29</v>
      </c>
    </row>
    <row r="194" spans="2:19">
      <c r="B194" s="7" t="s">
        <v>195</v>
      </c>
      <c r="C194" s="8" t="s">
        <v>195</v>
      </c>
      <c r="D194" s="6" t="str">
        <f>LRTRIM(CONCATENATE(IF(SUMPRODUCT(-- ISNUMBER(SEARCH({"Auto Number"}, $B194))) &gt; 0, $B194, IF(SUMPRODUCT(-- ISNUMBER(SEARCH({"Lookup","Master-Detail"}, $B194))) &gt; 0,$B194 &amp; "(" &amp; $E194 &amp; ")",IF(SUMPRODUCT(-- ISNUMBER(SEARCH({"Formula","Roll-Up Summary"}, $B194))) &gt; 0,$B194 &amp; " (" &amp; $E194 &amp; ")",IF(SUMPRODUCT(-- ISNUMBER(SEARCH({"Content","Currency","Number","Percent","Text","URL"}, $B194))) &gt; 0,$B194 &amp; "(" &amp; $C194 &amp; ")",$B194)))), "  ", TRIM(IF($S194 = "YES", "(External ID)", "") &amp; " " &amp; IF(SUMPRODUCT(-- ISNUMBER(SEARCH({"Unique","Unique Case Insensitive"}, $R194))) &gt; 0, "(" &amp; $R194 &amp; ")", ""))))</f>
        <v>na</v>
      </c>
      <c r="E194" s="7" t="s">
        <v>195</v>
      </c>
      <c r="F194" s="7" t="s">
        <v>195</v>
      </c>
      <c r="G194" s="7" t="s">
        <v>195</v>
      </c>
      <c r="H194" s="7" t="s">
        <v>195</v>
      </c>
      <c r="I194" s="7" t="s">
        <v>195</v>
      </c>
      <c r="J194" s="7" t="s">
        <v>195</v>
      </c>
      <c r="K194" s="7" t="s">
        <v>195</v>
      </c>
      <c r="L194" s="7" t="s">
        <v>195</v>
      </c>
      <c r="M194" s="7" t="s">
        <v>29</v>
      </c>
      <c r="N194" s="7" t="s">
        <v>29</v>
      </c>
      <c r="O194" s="7" t="s">
        <v>29</v>
      </c>
      <c r="P194" s="7" t="s">
        <v>29</v>
      </c>
      <c r="Q194" s="7" t="s">
        <v>29</v>
      </c>
      <c r="R194" s="7" t="s">
        <v>29</v>
      </c>
      <c r="S194" s="7" t="s">
        <v>29</v>
      </c>
    </row>
    <row r="195" spans="2:19">
      <c r="B195" s="7" t="s">
        <v>195</v>
      </c>
      <c r="C195" s="8" t="s">
        <v>195</v>
      </c>
      <c r="D195" s="6" t="str">
        <f>LRTRIM(CONCATENATE(IF(SUMPRODUCT(-- ISNUMBER(SEARCH({"Auto Number"}, $B195))) &gt; 0, $B195, IF(SUMPRODUCT(-- ISNUMBER(SEARCH({"Lookup","Master-Detail"}, $B195))) &gt; 0,$B195 &amp; "(" &amp; $E195 &amp; ")",IF(SUMPRODUCT(-- ISNUMBER(SEARCH({"Formula","Roll-Up Summary"}, $B195))) &gt; 0,$B195 &amp; " (" &amp; $E195 &amp; ")",IF(SUMPRODUCT(-- ISNUMBER(SEARCH({"Content","Currency","Number","Percent","Text","URL"}, $B195))) &gt; 0,$B195 &amp; "(" &amp; $C195 &amp; ")",$B195)))), "  ", TRIM(IF($S195 = "YES", "(External ID)", "") &amp; " " &amp; IF(SUMPRODUCT(-- ISNUMBER(SEARCH({"Unique","Unique Case Insensitive"}, $R195))) &gt; 0, "(" &amp; $R195 &amp; ")", ""))))</f>
        <v>na</v>
      </c>
      <c r="E195" s="7" t="s">
        <v>195</v>
      </c>
      <c r="F195" s="7" t="s">
        <v>195</v>
      </c>
      <c r="G195" s="7" t="s">
        <v>195</v>
      </c>
      <c r="H195" s="7" t="s">
        <v>195</v>
      </c>
      <c r="I195" s="7" t="s">
        <v>195</v>
      </c>
      <c r="J195" s="7" t="s">
        <v>195</v>
      </c>
      <c r="K195" s="7" t="s">
        <v>195</v>
      </c>
      <c r="L195" s="7" t="s">
        <v>195</v>
      </c>
      <c r="M195" s="7" t="s">
        <v>29</v>
      </c>
      <c r="N195" s="7" t="s">
        <v>29</v>
      </c>
      <c r="O195" s="7" t="s">
        <v>29</v>
      </c>
      <c r="P195" s="7" t="s">
        <v>29</v>
      </c>
      <c r="Q195" s="7" t="s">
        <v>29</v>
      </c>
      <c r="R195" s="7" t="s">
        <v>29</v>
      </c>
      <c r="S195" s="7" t="s">
        <v>29</v>
      </c>
    </row>
    <row r="196" spans="2:19">
      <c r="B196" s="7" t="s">
        <v>195</v>
      </c>
      <c r="C196" s="8" t="s">
        <v>195</v>
      </c>
      <c r="D196" s="6" t="str">
        <f>LRTRIM(CONCATENATE(IF(SUMPRODUCT(-- ISNUMBER(SEARCH({"Auto Number"}, $B196))) &gt; 0, $B196, IF(SUMPRODUCT(-- ISNUMBER(SEARCH({"Lookup","Master-Detail"}, $B196))) &gt; 0,$B196 &amp; "(" &amp; $E196 &amp; ")",IF(SUMPRODUCT(-- ISNUMBER(SEARCH({"Formula","Roll-Up Summary"}, $B196))) &gt; 0,$B196 &amp; " (" &amp; $E196 &amp; ")",IF(SUMPRODUCT(-- ISNUMBER(SEARCH({"Content","Currency","Number","Percent","Text","URL"}, $B196))) &gt; 0,$B196 &amp; "(" &amp; $C196 &amp; ")",$B196)))), "  ", TRIM(IF($S196 = "YES", "(External ID)", "") &amp; " " &amp; IF(SUMPRODUCT(-- ISNUMBER(SEARCH({"Unique","Unique Case Insensitive"}, $R196))) &gt; 0, "(" &amp; $R196 &amp; ")", ""))))</f>
        <v>na</v>
      </c>
      <c r="E196" s="7" t="s">
        <v>195</v>
      </c>
      <c r="F196" s="7" t="s">
        <v>195</v>
      </c>
      <c r="G196" s="7" t="s">
        <v>195</v>
      </c>
      <c r="H196" s="7" t="s">
        <v>195</v>
      </c>
      <c r="I196" s="7" t="s">
        <v>195</v>
      </c>
      <c r="J196" s="7" t="s">
        <v>195</v>
      </c>
      <c r="K196" s="7" t="s">
        <v>195</v>
      </c>
      <c r="L196" s="7" t="s">
        <v>195</v>
      </c>
      <c r="M196" s="7" t="s">
        <v>29</v>
      </c>
      <c r="N196" s="7" t="s">
        <v>29</v>
      </c>
      <c r="O196" s="7" t="s">
        <v>29</v>
      </c>
      <c r="P196" s="7" t="s">
        <v>29</v>
      </c>
      <c r="Q196" s="7" t="s">
        <v>29</v>
      </c>
      <c r="R196" s="7" t="s">
        <v>29</v>
      </c>
      <c r="S196" s="7" t="s">
        <v>29</v>
      </c>
    </row>
    <row r="197" spans="2:19">
      <c r="B197" s="7" t="s">
        <v>195</v>
      </c>
      <c r="C197" s="8" t="s">
        <v>195</v>
      </c>
      <c r="D197" s="6" t="str">
        <f>LRTRIM(CONCATENATE(IF(SUMPRODUCT(-- ISNUMBER(SEARCH({"Auto Number"}, $B197))) &gt; 0, $B197, IF(SUMPRODUCT(-- ISNUMBER(SEARCH({"Lookup","Master-Detail"}, $B197))) &gt; 0,$B197 &amp; "(" &amp; $E197 &amp; ")",IF(SUMPRODUCT(-- ISNUMBER(SEARCH({"Formula","Roll-Up Summary"}, $B197))) &gt; 0,$B197 &amp; " (" &amp; $E197 &amp; ")",IF(SUMPRODUCT(-- ISNUMBER(SEARCH({"Content","Currency","Number","Percent","Text","URL"}, $B197))) &gt; 0,$B197 &amp; "(" &amp; $C197 &amp; ")",$B197)))), "  ", TRIM(IF($S197 = "YES", "(External ID)", "") &amp; " " &amp; IF(SUMPRODUCT(-- ISNUMBER(SEARCH({"Unique","Unique Case Insensitive"}, $R197))) &gt; 0, "(" &amp; $R197 &amp; ")", ""))))</f>
        <v>na</v>
      </c>
      <c r="E197" s="7" t="s">
        <v>195</v>
      </c>
      <c r="F197" s="7" t="s">
        <v>195</v>
      </c>
      <c r="G197" s="7" t="s">
        <v>195</v>
      </c>
      <c r="H197" s="7" t="s">
        <v>195</v>
      </c>
      <c r="I197" s="7" t="s">
        <v>195</v>
      </c>
      <c r="J197" s="7" t="s">
        <v>195</v>
      </c>
      <c r="K197" s="7" t="s">
        <v>195</v>
      </c>
      <c r="L197" s="7" t="s">
        <v>195</v>
      </c>
      <c r="M197" s="7" t="s">
        <v>29</v>
      </c>
      <c r="N197" s="7" t="s">
        <v>29</v>
      </c>
      <c r="O197" s="7" t="s">
        <v>29</v>
      </c>
      <c r="P197" s="7" t="s">
        <v>29</v>
      </c>
      <c r="Q197" s="7" t="s">
        <v>29</v>
      </c>
      <c r="R197" s="7" t="s">
        <v>29</v>
      </c>
      <c r="S197" s="7" t="s">
        <v>29</v>
      </c>
    </row>
    <row r="198" spans="2:19">
      <c r="B198" s="7" t="s">
        <v>195</v>
      </c>
      <c r="C198" s="8" t="s">
        <v>195</v>
      </c>
      <c r="D198" s="6" t="str">
        <f>LRTRIM(CONCATENATE(IF(SUMPRODUCT(-- ISNUMBER(SEARCH({"Auto Number"}, $B198))) &gt; 0, $B198, IF(SUMPRODUCT(-- ISNUMBER(SEARCH({"Lookup","Master-Detail"}, $B198))) &gt; 0,$B198 &amp; "(" &amp; $E198 &amp; ")",IF(SUMPRODUCT(-- ISNUMBER(SEARCH({"Formula","Roll-Up Summary"}, $B198))) &gt; 0,$B198 &amp; " (" &amp; $E198 &amp; ")",IF(SUMPRODUCT(-- ISNUMBER(SEARCH({"Content","Currency","Number","Percent","Text","URL"}, $B198))) &gt; 0,$B198 &amp; "(" &amp; $C198 &amp; ")",$B198)))), "  ", TRIM(IF($S198 = "YES", "(External ID)", "") &amp; " " &amp; IF(SUMPRODUCT(-- ISNUMBER(SEARCH({"Unique","Unique Case Insensitive"}, $R198))) &gt; 0, "(" &amp; $R198 &amp; ")", ""))))</f>
        <v>na</v>
      </c>
      <c r="E198" s="7" t="s">
        <v>195</v>
      </c>
      <c r="F198" s="7" t="s">
        <v>195</v>
      </c>
      <c r="G198" s="7" t="s">
        <v>195</v>
      </c>
      <c r="H198" s="7" t="s">
        <v>195</v>
      </c>
      <c r="I198" s="7" t="s">
        <v>195</v>
      </c>
      <c r="J198" s="7" t="s">
        <v>195</v>
      </c>
      <c r="K198" s="7" t="s">
        <v>195</v>
      </c>
      <c r="L198" s="7" t="s">
        <v>195</v>
      </c>
      <c r="M198" s="7" t="s">
        <v>29</v>
      </c>
      <c r="N198" s="7" t="s">
        <v>29</v>
      </c>
      <c r="O198" s="7" t="s">
        <v>29</v>
      </c>
      <c r="P198" s="7" t="s">
        <v>29</v>
      </c>
      <c r="Q198" s="7" t="s">
        <v>29</v>
      </c>
      <c r="R198" s="7" t="s">
        <v>29</v>
      </c>
      <c r="S198" s="7" t="s">
        <v>29</v>
      </c>
    </row>
    <row r="199" spans="2:19">
      <c r="B199" s="7" t="s">
        <v>195</v>
      </c>
      <c r="C199" s="8" t="s">
        <v>195</v>
      </c>
      <c r="D199" s="6" t="str">
        <f>LRTRIM(CONCATENATE(IF(SUMPRODUCT(-- ISNUMBER(SEARCH({"Auto Number"}, $B199))) &gt; 0, $B199, IF(SUMPRODUCT(-- ISNUMBER(SEARCH({"Lookup","Master-Detail"}, $B199))) &gt; 0,$B199 &amp; "(" &amp; $E199 &amp; ")",IF(SUMPRODUCT(-- ISNUMBER(SEARCH({"Formula","Roll-Up Summary"}, $B199))) &gt; 0,$B199 &amp; " (" &amp; $E199 &amp; ")",IF(SUMPRODUCT(-- ISNUMBER(SEARCH({"Content","Currency","Number","Percent","Text","URL"}, $B199))) &gt; 0,$B199 &amp; "(" &amp; $C199 &amp; ")",$B199)))), "  ", TRIM(IF($S199 = "YES", "(External ID)", "") &amp; " " &amp; IF(SUMPRODUCT(-- ISNUMBER(SEARCH({"Unique","Unique Case Insensitive"}, $R199))) &gt; 0, "(" &amp; $R199 &amp; ")", ""))))</f>
        <v>na</v>
      </c>
      <c r="E199" s="7" t="s">
        <v>195</v>
      </c>
      <c r="F199" s="7" t="s">
        <v>195</v>
      </c>
      <c r="G199" s="7" t="s">
        <v>195</v>
      </c>
      <c r="H199" s="7" t="s">
        <v>195</v>
      </c>
      <c r="I199" s="7" t="s">
        <v>195</v>
      </c>
      <c r="J199" s="7" t="s">
        <v>195</v>
      </c>
      <c r="K199" s="7" t="s">
        <v>195</v>
      </c>
      <c r="L199" s="7" t="s">
        <v>195</v>
      </c>
      <c r="M199" s="7" t="s">
        <v>29</v>
      </c>
      <c r="N199" s="7" t="s">
        <v>29</v>
      </c>
      <c r="O199" s="7" t="s">
        <v>29</v>
      </c>
      <c r="P199" s="7" t="s">
        <v>29</v>
      </c>
      <c r="Q199" s="7" t="s">
        <v>29</v>
      </c>
      <c r="R199" s="7" t="s">
        <v>29</v>
      </c>
      <c r="S199" s="7" t="s">
        <v>29</v>
      </c>
    </row>
    <row r="200" spans="2:19">
      <c r="B200" s="7" t="s">
        <v>195</v>
      </c>
      <c r="C200" s="8" t="s">
        <v>195</v>
      </c>
      <c r="D200" s="6" t="str">
        <f>LRTRIM(CONCATENATE(IF(SUMPRODUCT(-- ISNUMBER(SEARCH({"Auto Number"}, $B200))) &gt; 0, $B200, IF(SUMPRODUCT(-- ISNUMBER(SEARCH({"Lookup","Master-Detail"}, $B200))) &gt; 0,$B200 &amp; "(" &amp; $E200 &amp; ")",IF(SUMPRODUCT(-- ISNUMBER(SEARCH({"Formula","Roll-Up Summary"}, $B200))) &gt; 0,$B200 &amp; " (" &amp; $E200 &amp; ")",IF(SUMPRODUCT(-- ISNUMBER(SEARCH({"Content","Currency","Number","Percent","Text","URL"}, $B200))) &gt; 0,$B200 &amp; "(" &amp; $C200 &amp; ")",$B200)))), "  ", TRIM(IF($S200 = "YES", "(External ID)", "") &amp; " " &amp; IF(SUMPRODUCT(-- ISNUMBER(SEARCH({"Unique","Unique Case Insensitive"}, $R200))) &gt; 0, "(" &amp; $R200 &amp; ")", ""))))</f>
        <v>na</v>
      </c>
      <c r="E200" s="7" t="s">
        <v>195</v>
      </c>
      <c r="F200" s="7" t="s">
        <v>195</v>
      </c>
      <c r="G200" s="7" t="s">
        <v>195</v>
      </c>
      <c r="H200" s="7" t="s">
        <v>195</v>
      </c>
      <c r="I200" s="7" t="s">
        <v>195</v>
      </c>
      <c r="J200" s="7" t="s">
        <v>195</v>
      </c>
      <c r="K200" s="7" t="s">
        <v>195</v>
      </c>
      <c r="L200" s="7" t="s">
        <v>195</v>
      </c>
      <c r="M200" s="7" t="s">
        <v>29</v>
      </c>
      <c r="N200" s="7" t="s">
        <v>29</v>
      </c>
      <c r="O200" s="7" t="s">
        <v>29</v>
      </c>
      <c r="P200" s="7" t="s">
        <v>29</v>
      </c>
      <c r="Q200" s="7" t="s">
        <v>29</v>
      </c>
      <c r="R200" s="7" t="s">
        <v>29</v>
      </c>
      <c r="S200" s="7" t="s">
        <v>29</v>
      </c>
    </row>
  </sheetData>
  <sheetProtection formatCells="0" formatColumns="0" formatRows="0" insertColumns="0" insertRows="0" insertHyperlinks="0" deleteColumns="0" deleteRows="0" sort="0" autoFilter="0" pivotTables="0"/>
  <conditionalFormatting sqref="D2:D12">
    <cfRule type="expression" dxfId="18" priority="3">
      <formula>NOT(_xlfn.ISFORMULA($D2))</formula>
    </cfRule>
  </conditionalFormatting>
  <conditionalFormatting sqref="D13">
    <cfRule type="expression" dxfId="17" priority="2">
      <formula>NOT(_xlfn.ISFORMULA($D13))</formula>
    </cfRule>
  </conditionalFormatting>
  <conditionalFormatting sqref="D14:D200">
    <cfRule type="expression" dxfId="16" priority="1">
      <formula>NOT(_xlfn.ISFORMULA($D14))</formula>
    </cfRule>
  </conditionalFormatting>
  <dataValidations count="1">
    <dataValidation allowBlank="1" showInputMessage="1" showErrorMessage="1" sqref="A2:A12"/>
  </dataValidations>
  <pageMargins left="0.7" right="0.7" top="0.75" bottom="0.75" header="0.3" footer="0.3"/>
  <extLst>
    <ext xmlns:x14="http://schemas.microsoft.com/office/spreadsheetml/2009/9/main" uri="{CCE6A557-97BC-4b89-ADB6-D9C93CAAB3DF}">
      <x14:dataValidations xmlns:xm="http://schemas.microsoft.com/office/excel/2006/main" count="12">
        <x14:dataValidation type="list" allowBlank="1" showInputMessage="1" showErrorMessage="1">
          <x14:formula1>
            <xm:f>OFFSET('Reference Fields'!$J$2,0,0,COUNTA('Reference Fields'!$J:$J)-1)</xm:f>
          </x14:formula1>
          <xm:sqref>S2:S200</xm:sqref>
        </x14:dataValidation>
        <x14:dataValidation type="list" allowBlank="1" showInputMessage="1" showErrorMessage="1">
          <x14:formula1>
            <xm:f>OFFSET('Reference Fields'!$J$2,0,0,COUNTA('Reference Fields'!$J:$J)-1)</xm:f>
          </x14:formula1>
          <xm:sqref>M2:P200</xm:sqref>
        </x14:dataValidation>
        <x14:dataValidation type="list" allowBlank="1" showInputMessage="1" showErrorMessage="1">
          <x14:formula1>
            <xm:f>OFFSET('Reference Fields'!$J$2,0,0,COUNTA('Reference Fields'!$J:$J)-1)</xm:f>
          </x14:formula1>
          <xm:sqref>Q2:Q200</xm:sqref>
        </x14:dataValidation>
        <x14:dataValidation type="list" allowBlank="1" showInputMessage="1" showErrorMessage="1">
          <x14:formula1>
            <xm:f>OFFSET('Reference Fields'!$K$2,0,0,COUNTA('Reference Fields'!$K:$K)-1)</xm:f>
          </x14:formula1>
          <xm:sqref>R2:R200</xm:sqref>
        </x14:dataValidation>
        <x14:dataValidation type="list" allowBlank="1" showInputMessage="1" showErrorMessage="1">
          <x14:formula1>
            <xm:f>OFFSET('Reference Fields'!$B$2,0,0,COUNTA('Reference Fields'!$B:$B)-1)</xm:f>
          </x14:formula1>
          <xm:sqref>B2:B200</xm:sqref>
        </x14:dataValidation>
        <x14:dataValidation type="list" allowBlank="1" showInputMessage="1" showErrorMessage="1">
          <x14:formula1>
            <xm:f>OFFSET('Reference Fields'!$D$2,0,0,COUNTA('Reference Fields'!$D:$D)-1)</xm:f>
          </x14:formula1>
          <xm:sqref>F2:F200</xm:sqref>
        </x14:dataValidation>
        <x14:dataValidation type="list" allowBlank="1" showInputMessage="1" showErrorMessage="1">
          <x14:formula1>
            <xm:f>OFFSET('Reference Fields'!$E$2,0,0,COUNTA('Reference Fields'!$E:$E)-1)</xm:f>
          </x14:formula1>
          <xm:sqref>G2:G200</xm:sqref>
        </x14:dataValidation>
        <x14:dataValidation type="list" allowBlank="1" showInputMessage="1" showErrorMessage="1">
          <x14:formula1>
            <xm:f>OFFSET('Reference Fields'!$F$2,0,0,COUNTA('Reference Fields'!$F:$F)-1)</xm:f>
          </x14:formula1>
          <xm:sqref>H2:I200</xm:sqref>
        </x14:dataValidation>
        <x14:dataValidation type="list" allowBlank="1" showInputMessage="1" showErrorMessage="1">
          <x14:formula1>
            <xm:f>OFFSET('Reference Fields'!$G$2,0,0,COUNTA('Reference Fields'!$G:$G)-1)</xm:f>
          </x14:formula1>
          <xm:sqref>J2:J200</xm:sqref>
        </x14:dataValidation>
        <x14:dataValidation type="list" allowBlank="1" showInputMessage="1" showErrorMessage="1">
          <x14:formula1>
            <xm:f>OFFSET('Reference Fields'!$H$2,0,0,COUNTA('Reference Fields'!$H:$H)-1)</xm:f>
          </x14:formula1>
          <xm:sqref>K2:K200</xm:sqref>
        </x14:dataValidation>
        <x14:dataValidation type="list" allowBlank="1" showInputMessage="1" showErrorMessage="1">
          <x14:formula1>
            <xm:f>OFFSET('Reference Fields'!$I$2,0,0,COUNTA('Reference Fields'!$I:$I)-1)</xm:f>
          </x14:formula1>
          <xm:sqref>L2:L200</xm:sqref>
        </x14:dataValidation>
        <x14:dataValidation type="list" allowBlank="1" showInputMessage="1" showErrorMessage="1">
          <x14:formula1>
            <xm:f>OFFSET('Reference Fields'!$A$2,0,0,COUNTA('Reference Fields'!A:A)-1)</xm:f>
          </x14:formula1>
          <xm:sqref>A13:A14</xm:sqref>
        </x14:dataValidation>
      </x14:dataValidations>
    </ext>
  </extLst>
</worksheet>
</file>

<file path=xl/worksheets/sheet35.xml><?xml version="1.0" encoding="utf-8"?>
<worksheet xmlns="http://schemas.openxmlformats.org/spreadsheetml/2006/main" xmlns:r="http://schemas.openxmlformats.org/officeDocument/2006/relationships">
  <sheetPr codeName="Sheet24"/>
  <dimension ref="A1:S200"/>
  <sheetViews>
    <sheetView workbookViewId="0">
      <pane ySplit="1" topLeftCell="A2" activePane="bottomLeft" state="frozen"/>
      <selection pane="bottomLeft" activeCell="A2" sqref="A2"/>
    </sheetView>
  </sheetViews>
  <sheetFormatPr defaultRowHeight="14.5"/>
  <cols>
    <col min="1" max="1" width="23" bestFit="1" customWidth="1"/>
    <col min="2" max="2" width="13.54296875" customWidth="1"/>
    <col min="3" max="4" width="8.90625" customWidth="1"/>
    <col min="5" max="5" width="12.6328125" customWidth="1"/>
    <col min="6" max="6" width="15.6328125" bestFit="1" customWidth="1"/>
    <col min="7" max="8" width="15.453125" customWidth="1"/>
    <col min="9" max="9" width="22.6328125" customWidth="1"/>
    <col min="10" max="10" width="23.36328125" customWidth="1"/>
    <col min="11" max="11" width="17.54296875" customWidth="1"/>
    <col min="12" max="12" width="14.08984375" customWidth="1"/>
    <col min="13" max="13" width="10.453125" bestFit="1" customWidth="1"/>
    <col min="14" max="14" width="10.453125" customWidth="1"/>
    <col min="15" max="15" width="12.453125" bestFit="1" customWidth="1"/>
  </cols>
  <sheetData>
    <row r="1" spans="1:19" s="1" customFormat="1">
      <c r="A1" s="1" t="s">
        <v>2</v>
      </c>
      <c r="B1" s="1" t="s">
        <v>1198</v>
      </c>
      <c r="C1" s="1" t="s">
        <v>1199</v>
      </c>
      <c r="D1" s="1" t="s">
        <v>0</v>
      </c>
      <c r="E1" s="1" t="s">
        <v>1</v>
      </c>
      <c r="F1" s="1" t="s">
        <v>30</v>
      </c>
      <c r="G1" s="1" t="s">
        <v>31</v>
      </c>
      <c r="H1" s="1" t="s">
        <v>1262</v>
      </c>
      <c r="I1" s="1" t="s">
        <v>49</v>
      </c>
      <c r="J1" s="1" t="s">
        <v>48</v>
      </c>
      <c r="K1" s="1" t="s">
        <v>54</v>
      </c>
      <c r="L1" s="1" t="s">
        <v>55</v>
      </c>
      <c r="M1" s="1" t="s">
        <v>27</v>
      </c>
      <c r="N1" s="1" t="s">
        <v>175</v>
      </c>
      <c r="O1" s="1" t="s">
        <v>193</v>
      </c>
      <c r="P1" s="1" t="s">
        <v>1221</v>
      </c>
      <c r="Q1" s="1" t="s">
        <v>1264</v>
      </c>
      <c r="R1" s="1" t="s">
        <v>1263</v>
      </c>
      <c r="S1" s="1" t="s">
        <v>1265</v>
      </c>
    </row>
    <row r="2" spans="1:19">
      <c r="A2" s="7" t="s">
        <v>9</v>
      </c>
      <c r="B2" s="7" t="s">
        <v>1218</v>
      </c>
      <c r="C2" s="8">
        <v>50</v>
      </c>
      <c r="D2" s="6" t="str">
        <f>LRTRIM(CONCATENATE(IF(SUMPRODUCT(-- ISNUMBER(SEARCH({"Auto Number"}, $B2))) &gt; 0, $B2, IF(SUMPRODUCT(-- ISNUMBER(SEARCH({"Lookup","Master-Detail"}, $B2))) &gt; 0,$B2 &amp; "(" &amp; $E2 &amp; ")",IF(SUMPRODUCT(-- ISNUMBER(SEARCH({"Formula","Roll-Up Summary"}, $B2))) &gt; 0,$B2 &amp; " (" &amp; $E2 &amp; ")",IF(SUMPRODUCT(-- ISNUMBER(SEARCH({"Content","Currency","Number","Percent","Text","URL"}, $B2))) &gt; 0,$B2 &amp; "(" &amp; $C2 &amp; ")",$B2)))), "  ", TRIM(IF($S2 = "YES", "(External ID)", "") &amp; " " &amp; IF(SUMPRODUCT(-- ISNUMBER(SEARCH({"Unique","Unique Case Insensitive"}, $R2))) &gt; 0, "(" &amp; $R2 &amp; ")", ""))))</f>
        <v>Text(50)</v>
      </c>
      <c r="E2" s="7" t="s">
        <v>195</v>
      </c>
      <c r="F2" s="7" t="s">
        <v>18</v>
      </c>
      <c r="G2" s="7" t="s">
        <v>195</v>
      </c>
      <c r="H2" s="7" t="s">
        <v>195</v>
      </c>
      <c r="I2" s="7" t="s">
        <v>195</v>
      </c>
      <c r="J2" s="7" t="s">
        <v>195</v>
      </c>
      <c r="K2" s="7" t="s">
        <v>195</v>
      </c>
      <c r="L2" s="7" t="s">
        <v>195</v>
      </c>
      <c r="M2" s="7" t="s">
        <v>29</v>
      </c>
      <c r="N2" s="7" t="s">
        <v>29</v>
      </c>
      <c r="O2" s="7" t="s">
        <v>29</v>
      </c>
      <c r="P2" s="7" t="s">
        <v>29</v>
      </c>
      <c r="Q2" s="7" t="s">
        <v>29</v>
      </c>
      <c r="R2" s="7" t="s">
        <v>29</v>
      </c>
      <c r="S2" s="7" t="s">
        <v>29</v>
      </c>
    </row>
    <row r="3" spans="1:19">
      <c r="A3" s="7" t="s">
        <v>69</v>
      </c>
      <c r="B3" s="7" t="s">
        <v>1211</v>
      </c>
      <c r="C3" s="8">
        <v>18</v>
      </c>
      <c r="D3" s="6" t="str">
        <f>LRTRIM(CONCATENATE(IF(SUMPRODUCT(-- ISNUMBER(SEARCH({"Auto Number"}, $B3))) &gt; 0, $B3, IF(SUMPRODUCT(-- ISNUMBER(SEARCH({"Lookup","Master-Detail"}, $B3))) &gt; 0,$B3 &amp; "(" &amp; $E3 &amp; ")",IF(SUMPRODUCT(-- ISNUMBER(SEARCH({"Formula","Roll-Up Summary"}, $B3))) &gt; 0,$B3 &amp; " (" &amp; $E3 &amp; ")",IF(SUMPRODUCT(-- ISNUMBER(SEARCH({"Content","Currency","Number","Percent","Text","URL"}, $B3))) &gt; 0,$B3 &amp; "(" &amp; $C3 &amp; ")",$B3)))), "  ", TRIM(IF($S3 = "YES", "(External ID)", "") &amp; " " &amp; IF(SUMPRODUCT(-- ISNUMBER(SEARCH({"Unique","Unique Case Insensitive"}, $R3))) &gt; 0, "(" &amp; $R3 &amp; ")", ""))))</f>
        <v>Lookup(Broker Consultant Account)</v>
      </c>
      <c r="E3" s="7" t="s">
        <v>122</v>
      </c>
      <c r="F3" s="7" t="s">
        <v>122</v>
      </c>
      <c r="G3" s="7" t="s">
        <v>984</v>
      </c>
      <c r="H3" s="7" t="s">
        <v>195</v>
      </c>
      <c r="I3" s="7" t="s">
        <v>195</v>
      </c>
      <c r="J3" s="7" t="s">
        <v>195</v>
      </c>
      <c r="K3" s="7" t="s">
        <v>195</v>
      </c>
      <c r="L3" s="7" t="s">
        <v>195</v>
      </c>
      <c r="M3" s="7" t="s">
        <v>29</v>
      </c>
      <c r="N3" s="7" t="s">
        <v>29</v>
      </c>
      <c r="O3" s="7" t="s">
        <v>29</v>
      </c>
      <c r="P3" s="7" t="s">
        <v>29</v>
      </c>
      <c r="Q3" s="7" t="s">
        <v>29</v>
      </c>
      <c r="R3" s="7" t="s">
        <v>29</v>
      </c>
      <c r="S3" s="7" t="s">
        <v>29</v>
      </c>
    </row>
    <row r="4" spans="1:19">
      <c r="A4" s="7" t="s">
        <v>279</v>
      </c>
      <c r="B4" s="7" t="s">
        <v>1211</v>
      </c>
      <c r="C4" s="8">
        <v>18</v>
      </c>
      <c r="D4" s="6" t="str">
        <f>LRTRIM(CONCATENATE(IF(SUMPRODUCT(-- ISNUMBER(SEARCH({"Auto Number"}, $B4))) &gt; 0, $B4, IF(SUMPRODUCT(-- ISNUMBER(SEARCH({"Lookup","Master-Detail"}, $B4))) &gt; 0,$B4 &amp; "(" &amp; $E4 &amp; ")",IF(SUMPRODUCT(-- ISNUMBER(SEARCH({"Formula","Roll-Up Summary"}, $B4))) &gt; 0,$B4 &amp; " (" &amp; $E4 &amp; ")",IF(SUMPRODUCT(-- ISNUMBER(SEARCH({"Content","Currency","Number","Percent","Text","URL"}, $B4))) &gt; 0,$B4 &amp; "(" &amp; $C4 &amp; ")",$B4)))), "  ", TRIM(IF($S4 = "YES", "(External ID)", "") &amp; " " &amp; IF(SUMPRODUCT(-- ISNUMBER(SEARCH({"Unique","Unique Case Insensitive"}, $R4))) &gt; 0, "(" &amp; $R4 &amp; ")", ""))))</f>
        <v>Lookup(Account)</v>
      </c>
      <c r="E4" s="7" t="s">
        <v>5</v>
      </c>
      <c r="F4" s="7" t="s">
        <v>981</v>
      </c>
      <c r="G4" s="7" t="s">
        <v>559</v>
      </c>
      <c r="H4" s="7" t="s">
        <v>195</v>
      </c>
      <c r="I4" s="7" t="s">
        <v>195</v>
      </c>
      <c r="J4" s="7" t="s">
        <v>195</v>
      </c>
      <c r="K4" s="7" t="s">
        <v>195</v>
      </c>
      <c r="L4" s="7" t="s">
        <v>195</v>
      </c>
      <c r="M4" s="7" t="s">
        <v>29</v>
      </c>
      <c r="N4" s="7" t="s">
        <v>29</v>
      </c>
      <c r="O4" s="7" t="s">
        <v>29</v>
      </c>
      <c r="P4" s="7" t="s">
        <v>29</v>
      </c>
      <c r="Q4" s="7" t="s">
        <v>29</v>
      </c>
      <c r="R4" s="7" t="s">
        <v>29</v>
      </c>
      <c r="S4" s="7" t="s">
        <v>29</v>
      </c>
    </row>
    <row r="5" spans="1:19">
      <c r="A5" s="7" t="s">
        <v>36</v>
      </c>
      <c r="B5" s="7" t="s">
        <v>1211</v>
      </c>
      <c r="C5" s="8">
        <v>18</v>
      </c>
      <c r="D5" s="6" t="str">
        <f>LRTRIM(CONCATENATE(IF(SUMPRODUCT(-- ISNUMBER(SEARCH({"Auto Number"}, $B5))) &gt; 0, $B5, IF(SUMPRODUCT(-- ISNUMBER(SEARCH({"Lookup","Master-Detail"}, $B5))) &gt; 0,$B5 &amp; "(" &amp; $E5 &amp; ")",IF(SUMPRODUCT(-- ISNUMBER(SEARCH({"Formula","Roll-Up Summary"}, $B5))) &gt; 0,$B5 &amp; " (" &amp; $E5 &amp; ")",IF(SUMPRODUCT(-- ISNUMBER(SEARCH({"Content","Currency","Number","Percent","Text","URL"}, $B5))) &gt; 0,$B5 &amp; "(" &amp; $C5 &amp; ")",$B5)))), "  ", TRIM(IF($S5 = "YES", "(External ID)", "") &amp; " " &amp; IF(SUMPRODUCT(-- ISNUMBER(SEARCH({"Unique","Unique Case Insensitive"}, $R5))) &gt; 0, "(" &amp; $R5 &amp; ")", ""))))</f>
        <v>Lookup(User)</v>
      </c>
      <c r="E5" s="7" t="s">
        <v>7</v>
      </c>
      <c r="F5" s="7" t="s">
        <v>1253</v>
      </c>
      <c r="G5" s="7" t="s">
        <v>195</v>
      </c>
      <c r="H5" s="7" t="s">
        <v>195</v>
      </c>
      <c r="I5" s="7" t="s">
        <v>195</v>
      </c>
      <c r="J5" s="7" t="s">
        <v>195</v>
      </c>
      <c r="K5" s="7" t="s">
        <v>195</v>
      </c>
      <c r="L5" s="7" t="s">
        <v>195</v>
      </c>
      <c r="M5" s="7" t="s">
        <v>29</v>
      </c>
      <c r="N5" s="7" t="s">
        <v>29</v>
      </c>
      <c r="O5" s="7" t="s">
        <v>29</v>
      </c>
      <c r="P5" s="7" t="s">
        <v>29</v>
      </c>
      <c r="Q5" s="7" t="s">
        <v>29</v>
      </c>
      <c r="R5" s="7" t="s">
        <v>29</v>
      </c>
      <c r="S5" s="7" t="s">
        <v>29</v>
      </c>
    </row>
    <row r="6" spans="1:19">
      <c r="A6" s="7" t="s">
        <v>11</v>
      </c>
      <c r="B6" s="7" t="s">
        <v>1218</v>
      </c>
      <c r="C6" s="8">
        <v>200</v>
      </c>
      <c r="D6" s="6" t="str">
        <f>LRTRIM(CONCATENATE(IF(SUMPRODUCT(-- ISNUMBER(SEARCH({"Auto Number"}, $B6))) &gt; 0, $B6, IF(SUMPRODUCT(-- ISNUMBER(SEARCH({"Lookup","Master-Detail"}, $B6))) &gt; 0,$B6 &amp; "(" &amp; $E6 &amp; ")",IF(SUMPRODUCT(-- ISNUMBER(SEARCH({"Formula","Roll-Up Summary"}, $B6))) &gt; 0,$B6 &amp; " (" &amp; $E6 &amp; ")",IF(SUMPRODUCT(-- ISNUMBER(SEARCH({"Content","Currency","Number","Percent","Text","URL"}, $B6))) &gt; 0,$B6 &amp; "(" &amp; $C6 &amp; ")",$B6)))), "  ", TRIM(IF($S6 = "YES", "(External ID)", "") &amp; " " &amp; IF(SUMPRODUCT(-- ISNUMBER(SEARCH({"Unique","Unique Case Insensitive"}, $R6))) &gt; 0, "(" &amp; $R6 &amp; ")", ""))))</f>
        <v>Text(200)</v>
      </c>
      <c r="E6" s="7" t="s">
        <v>195</v>
      </c>
      <c r="F6" s="7" t="s">
        <v>20</v>
      </c>
      <c r="G6" s="7" t="s">
        <v>195</v>
      </c>
      <c r="H6" s="7" t="s">
        <v>195</v>
      </c>
      <c r="I6" s="7" t="s">
        <v>195</v>
      </c>
      <c r="J6" s="7" t="s">
        <v>195</v>
      </c>
      <c r="K6" s="7" t="s">
        <v>195</v>
      </c>
      <c r="L6" s="7" t="s">
        <v>195</v>
      </c>
      <c r="M6" s="7" t="s">
        <v>29</v>
      </c>
      <c r="N6" s="7" t="s">
        <v>29</v>
      </c>
      <c r="O6" s="7" t="s">
        <v>29</v>
      </c>
      <c r="P6" s="7" t="s">
        <v>29</v>
      </c>
      <c r="Q6" s="7" t="s">
        <v>29</v>
      </c>
      <c r="R6" s="7" t="s">
        <v>29</v>
      </c>
      <c r="S6" s="7" t="s">
        <v>29</v>
      </c>
    </row>
    <row r="7" spans="1:19">
      <c r="A7" s="7" t="s">
        <v>13</v>
      </c>
      <c r="B7" s="7" t="s">
        <v>1218</v>
      </c>
      <c r="C7" s="8">
        <v>10</v>
      </c>
      <c r="D7" s="6" t="str">
        <f>LRTRIM(CONCATENATE(IF(SUMPRODUCT(-- ISNUMBER(SEARCH({"Auto Number"}, $B7))) &gt; 0, $B7, IF(SUMPRODUCT(-- ISNUMBER(SEARCH({"Lookup","Master-Detail"}, $B7))) &gt; 0,$B7 &amp; "(" &amp; $E7 &amp; ")",IF(SUMPRODUCT(-- ISNUMBER(SEARCH({"Formula","Roll-Up Summary"}, $B7))) &gt; 0,$B7 &amp; " (" &amp; $E7 &amp; ")",IF(SUMPRODUCT(-- ISNUMBER(SEARCH({"Content","Currency","Number","Percent","Text","URL"}, $B7))) &gt; 0,$B7 &amp; "(" &amp; $C7 &amp; ")",$B7)))), "  ", TRIM(IF($S7 = "YES", "(External ID)", "") &amp; " " &amp; IF(SUMPRODUCT(-- ISNUMBER(SEARCH({"Unique","Unique Case Insensitive"}, $R7))) &gt; 0, "(" &amp; $R7 &amp; ")", ""))))</f>
        <v>Text(10)</v>
      </c>
      <c r="E7" s="7" t="s">
        <v>195</v>
      </c>
      <c r="F7" s="7" t="s">
        <v>24</v>
      </c>
      <c r="G7" s="7" t="s">
        <v>195</v>
      </c>
      <c r="H7" s="7" t="s">
        <v>195</v>
      </c>
      <c r="I7" s="7" t="s">
        <v>195</v>
      </c>
      <c r="J7" s="7" t="s">
        <v>195</v>
      </c>
      <c r="K7" s="7" t="s">
        <v>195</v>
      </c>
      <c r="L7" s="7" t="s">
        <v>195</v>
      </c>
      <c r="M7" s="7" t="s">
        <v>29</v>
      </c>
      <c r="N7" s="7" t="s">
        <v>29</v>
      </c>
      <c r="O7" s="7" t="s">
        <v>29</v>
      </c>
      <c r="P7" s="7" t="s">
        <v>29</v>
      </c>
      <c r="Q7" s="7" t="s">
        <v>29</v>
      </c>
      <c r="R7" s="7" t="s">
        <v>29</v>
      </c>
      <c r="S7" s="7" t="s">
        <v>29</v>
      </c>
    </row>
    <row r="8" spans="1:19">
      <c r="A8" s="7" t="s">
        <v>38</v>
      </c>
      <c r="B8" s="7" t="s">
        <v>1211</v>
      </c>
      <c r="C8" s="8">
        <v>18</v>
      </c>
      <c r="D8" s="6" t="str">
        <f>LRTRIM(CONCATENATE(IF(SUMPRODUCT(-- ISNUMBER(SEARCH({"Auto Number"}, $B8))) &gt; 0, $B8, IF(SUMPRODUCT(-- ISNUMBER(SEARCH({"Lookup","Master-Detail"}, $B8))) &gt; 0,$B8 &amp; "(" &amp; $E8 &amp; ")",IF(SUMPRODUCT(-- ISNUMBER(SEARCH({"Formula","Roll-Up Summary"}, $B8))) &gt; 0,$B8 &amp; " (" &amp; $E8 &amp; ")",IF(SUMPRODUCT(-- ISNUMBER(SEARCH({"Content","Currency","Number","Percent","Text","URL"}, $B8))) &gt; 0,$B8 &amp; "(" &amp; $C8 &amp; ")",$B8)))), "  ", TRIM(IF($S8 = "YES", "(External ID)", "") &amp; " " &amp; IF(SUMPRODUCT(-- ISNUMBER(SEARCH({"Unique","Unique Case Insensitive"}, $R8))) &gt; 0, "(" &amp; $R8 &amp; ")", ""))))</f>
        <v>Lookup(User)</v>
      </c>
      <c r="E8" s="7" t="s">
        <v>7</v>
      </c>
      <c r="F8" s="7" t="s">
        <v>1257</v>
      </c>
      <c r="G8" s="7" t="s">
        <v>195</v>
      </c>
      <c r="H8" s="7" t="s">
        <v>195</v>
      </c>
      <c r="I8" s="7" t="s">
        <v>195</v>
      </c>
      <c r="J8" s="7" t="s">
        <v>195</v>
      </c>
      <c r="K8" s="7" t="s">
        <v>195</v>
      </c>
      <c r="L8" s="7" t="s">
        <v>195</v>
      </c>
      <c r="M8" s="7" t="s">
        <v>28</v>
      </c>
      <c r="N8" s="7" t="s">
        <v>29</v>
      </c>
      <c r="O8" s="7" t="s">
        <v>29</v>
      </c>
      <c r="P8" s="7" t="s">
        <v>29</v>
      </c>
      <c r="Q8" s="7" t="s">
        <v>29</v>
      </c>
      <c r="R8" s="7" t="s">
        <v>29</v>
      </c>
      <c r="S8" s="7" t="s">
        <v>29</v>
      </c>
    </row>
    <row r="9" spans="1:19">
      <c r="A9" s="7" t="s">
        <v>14</v>
      </c>
      <c r="B9" s="7" t="s">
        <v>1204</v>
      </c>
      <c r="C9" s="8">
        <v>0</v>
      </c>
      <c r="D9" s="6" t="str">
        <f>LRTRIM(CONCATENATE(IF(SUMPRODUCT(-- ISNUMBER(SEARCH({"Auto Number"}, $B9))) &gt; 0, $B9, IF(SUMPRODUCT(-- ISNUMBER(SEARCH({"Lookup","Master-Detail"}, $B9))) &gt; 0,$B9 &amp; "(" &amp; $E9 &amp; ")",IF(SUMPRODUCT(-- ISNUMBER(SEARCH({"Formula","Roll-Up Summary"}, $B9))) &gt; 0,$B9 &amp; " (" &amp; $E9 &amp; ")",IF(SUMPRODUCT(-- ISNUMBER(SEARCH({"Content","Currency","Number","Percent","Text","URL"}, $B9))) &gt; 0,$B9 &amp; "(" &amp; $C9 &amp; ")",$B9)))), "  ", TRIM(IF($S9 = "YES", "(External ID)", "") &amp; " " &amp; IF(SUMPRODUCT(-- ISNUMBER(SEARCH({"Unique","Unique Case Insensitive"}, $R9))) &gt; 0, "(" &amp; $R9 &amp; ")", ""))))</f>
        <v>Checkbox</v>
      </c>
      <c r="E9" s="7" t="s">
        <v>195</v>
      </c>
      <c r="F9" s="7" t="s">
        <v>25</v>
      </c>
      <c r="G9" s="7" t="s">
        <v>195</v>
      </c>
      <c r="H9" s="7" t="s">
        <v>195</v>
      </c>
      <c r="I9" s="7" t="s">
        <v>195</v>
      </c>
      <c r="J9" s="7" t="s">
        <v>195</v>
      </c>
      <c r="K9" s="7" t="s">
        <v>195</v>
      </c>
      <c r="L9" s="7" t="s">
        <v>195</v>
      </c>
      <c r="M9" s="7" t="s">
        <v>28</v>
      </c>
      <c r="N9" s="7" t="s">
        <v>29</v>
      </c>
      <c r="O9" s="7" t="s">
        <v>29</v>
      </c>
      <c r="P9" s="7" t="s">
        <v>29</v>
      </c>
      <c r="Q9" s="7" t="s">
        <v>29</v>
      </c>
      <c r="R9" s="7" t="s">
        <v>29</v>
      </c>
      <c r="S9" s="7" t="s">
        <v>29</v>
      </c>
    </row>
    <row r="10" spans="1:19">
      <c r="A10" s="7" t="s">
        <v>2</v>
      </c>
      <c r="B10" s="7" t="s">
        <v>1218</v>
      </c>
      <c r="C10" s="8">
        <v>80</v>
      </c>
      <c r="D10" s="6" t="str">
        <f>LRTRIM(CONCATENATE(IF(SUMPRODUCT(-- ISNUMBER(SEARCH({"Auto Number"}, $B10))) &gt; 0, $B10, IF(SUMPRODUCT(-- ISNUMBER(SEARCH({"Lookup","Master-Detail"}, $B10))) &gt; 0,$B10 &amp; "(" &amp; $E10 &amp; ")",IF(SUMPRODUCT(-- ISNUMBER(SEARCH({"Formula","Roll-Up Summary"}, $B10))) &gt; 0,$B10 &amp; " (" &amp; $E10 &amp; ")",IF(SUMPRODUCT(-- ISNUMBER(SEARCH({"Content","Currency","Number","Percent","Text","URL"}, $B10))) &gt; 0,$B10 &amp; "(" &amp; $C10 &amp; ")",$B10)))), "  ", TRIM(IF($S10 = "YES", "(External ID)", "") &amp; " " &amp; IF(SUMPRODUCT(-- ISNUMBER(SEARCH({"Unique","Unique Case Insensitive"}, $R10))) &gt; 0, "(" &amp; $R10 &amp; ")", ""))))</f>
        <v>Text(80)</v>
      </c>
      <c r="E10" s="7" t="s">
        <v>195</v>
      </c>
      <c r="F10" s="7" t="s">
        <v>325</v>
      </c>
      <c r="G10" s="7" t="s">
        <v>195</v>
      </c>
      <c r="H10" s="7" t="s">
        <v>195</v>
      </c>
      <c r="I10" s="7" t="s">
        <v>195</v>
      </c>
      <c r="J10" s="7" t="s">
        <v>195</v>
      </c>
      <c r="K10" s="7" t="s">
        <v>195</v>
      </c>
      <c r="L10" s="7" t="s">
        <v>195</v>
      </c>
      <c r="M10" s="7" t="s">
        <v>29</v>
      </c>
      <c r="N10" s="7" t="s">
        <v>29</v>
      </c>
      <c r="O10" s="7" t="s">
        <v>29</v>
      </c>
      <c r="P10" s="7" t="s">
        <v>29</v>
      </c>
      <c r="Q10" s="7" t="s">
        <v>29</v>
      </c>
      <c r="R10" s="7" t="s">
        <v>29</v>
      </c>
      <c r="S10" s="7" t="s">
        <v>29</v>
      </c>
    </row>
    <row r="11" spans="1:19">
      <c r="A11" s="7" t="s">
        <v>87</v>
      </c>
      <c r="B11" s="7" t="s">
        <v>1211</v>
      </c>
      <c r="C11" s="8">
        <v>18</v>
      </c>
      <c r="D11" s="6" t="str">
        <f>LRTRIM(CONCATENATE(IF(SUMPRODUCT(-- ISNUMBER(SEARCH({"Auto Number"}, $B11))) &gt; 0, $B11, IF(SUMPRODUCT(-- ISNUMBER(SEARCH({"Lookup","Master-Detail"}, $B11))) &gt; 0,$B11 &amp; "(" &amp; $E11 &amp; ")",IF(SUMPRODUCT(-- ISNUMBER(SEARCH({"Formula","Roll-Up Summary"}, $B11))) &gt; 0,$B11 &amp; " (" &amp; $E11 &amp; ")",IF(SUMPRODUCT(-- ISNUMBER(SEARCH({"Content","Currency","Number","Percent","Text","URL"}, $B11))) &gt; 0,$B11 &amp; "(" &amp; $C11 &amp; ")",$B11)))), "  ", TRIM(IF($S11 = "YES", "(External ID)", "") &amp; " " &amp; IF(SUMPRODUCT(-- ISNUMBER(SEARCH({"Unique","Unique Case Insensitive"}, $R11))) &gt; 0, "(" &amp; $R11 &amp; ")", ""))))</f>
        <v>Lookup(User,Group)</v>
      </c>
      <c r="E11" s="7" t="s">
        <v>1290</v>
      </c>
      <c r="F11" s="7" t="s">
        <v>1292</v>
      </c>
      <c r="G11" s="7" t="s">
        <v>195</v>
      </c>
      <c r="H11" s="7" t="s">
        <v>195</v>
      </c>
      <c r="I11" s="7" t="s">
        <v>195</v>
      </c>
      <c r="J11" s="7" t="s">
        <v>195</v>
      </c>
      <c r="K11" s="7" t="s">
        <v>195</v>
      </c>
      <c r="L11" s="7" t="s">
        <v>195</v>
      </c>
      <c r="M11" s="7" t="s">
        <v>28</v>
      </c>
      <c r="N11" s="7" t="s">
        <v>29</v>
      </c>
      <c r="O11" s="7" t="s">
        <v>29</v>
      </c>
      <c r="P11" s="7" t="s">
        <v>29</v>
      </c>
      <c r="Q11" s="7" t="s">
        <v>29</v>
      </c>
      <c r="R11" s="7" t="s">
        <v>29</v>
      </c>
      <c r="S11" s="7" t="s">
        <v>29</v>
      </c>
    </row>
    <row r="12" spans="1:19">
      <c r="A12" s="7" t="s">
        <v>978</v>
      </c>
      <c r="B12" s="7" t="s">
        <v>1218</v>
      </c>
      <c r="C12" s="8">
        <v>20</v>
      </c>
      <c r="D12" s="6" t="str">
        <f>LRTRIM(CONCATENATE(IF(SUMPRODUCT(-- ISNUMBER(SEARCH({"Auto Number"}, $B12))) &gt; 0, $B12, IF(SUMPRODUCT(-- ISNUMBER(SEARCH({"Lookup","Master-Detail"}, $B12))) &gt; 0,$B12 &amp; "(" &amp; $E12 &amp; ")",IF(SUMPRODUCT(-- ISNUMBER(SEARCH({"Formula","Roll-Up Summary"}, $B12))) &gt; 0,$B12 &amp; " (" &amp; $E12 &amp; ")",IF(SUMPRODUCT(-- ISNUMBER(SEARCH({"Content","Currency","Number","Percent","Text","URL"}, $B12))) &gt; 0,$B12 &amp; "(" &amp; $C12 &amp; ")",$B12)))), "  ", TRIM(IF($S12 = "YES", "(External ID)", "") &amp; " " &amp; IF(SUMPRODUCT(-- ISNUMBER(SEARCH({"Unique","Unique Case Insensitive"}, $R12))) &gt; 0, "(" &amp; $R12 &amp; ")", ""))))</f>
        <v>Text(20)  (External ID)</v>
      </c>
      <c r="E12" s="7" t="s">
        <v>195</v>
      </c>
      <c r="F12" s="7" t="s">
        <v>983</v>
      </c>
      <c r="G12" s="7" t="s">
        <v>985</v>
      </c>
      <c r="H12" s="7" t="s">
        <v>195</v>
      </c>
      <c r="I12" s="7" t="s">
        <v>195</v>
      </c>
      <c r="J12" s="7" t="s">
        <v>195</v>
      </c>
      <c r="K12" s="7" t="s">
        <v>195</v>
      </c>
      <c r="L12" s="7" t="s">
        <v>195</v>
      </c>
      <c r="M12" s="7" t="s">
        <v>29</v>
      </c>
      <c r="N12" s="7" t="s">
        <v>29</v>
      </c>
      <c r="O12" s="7" t="s">
        <v>29</v>
      </c>
      <c r="P12" s="7" t="s">
        <v>29</v>
      </c>
      <c r="Q12" s="7" t="s">
        <v>29</v>
      </c>
      <c r="R12" s="7" t="s">
        <v>29</v>
      </c>
      <c r="S12" s="7" t="s">
        <v>28</v>
      </c>
    </row>
    <row r="13" spans="1:19">
      <c r="A13" s="7" t="s">
        <v>979</v>
      </c>
      <c r="B13" s="7" t="s">
        <v>1215</v>
      </c>
      <c r="C13" s="8">
        <v>255</v>
      </c>
      <c r="D13" s="6" t="str">
        <f>LRTRIM(CONCATENATE(IF(SUMPRODUCT(-- ISNUMBER(SEARCH({"Auto Number"}, $B13))) &gt; 0, $B13, IF(SUMPRODUCT(-- ISNUMBER(SEARCH({"Lookup","Master-Detail"}, $B13))) &gt; 0,$B13 &amp; "(" &amp; $E13 &amp; ")",IF(SUMPRODUCT(-- ISNUMBER(SEARCH({"Formula","Roll-Up Summary"}, $B13))) &gt; 0,$B13 &amp; " (" &amp; $E13 &amp; ")",IF(SUMPRODUCT(-- ISNUMBER(SEARCH({"Content","Currency","Number","Percent","Text","URL"}, $B13))) &gt; 0,$B13 &amp; "(" &amp; $C13 &amp; ")",$B13)))), "  ", TRIM(IF($S13 = "YES", "(External ID)", "") &amp; " " &amp; IF(SUMPRODUCT(-- ISNUMBER(SEARCH({"Unique","Unique Case Insensitive"}, $R13))) &gt; 0, "(" &amp; $R13 &amp; ")", ""))))</f>
        <v>Picklist</v>
      </c>
      <c r="E13" s="7" t="s">
        <v>195</v>
      </c>
      <c r="F13" s="7" t="s">
        <v>308</v>
      </c>
      <c r="G13" s="7" t="s">
        <v>195</v>
      </c>
      <c r="H13" s="7" t="s">
        <v>195</v>
      </c>
      <c r="I13" s="7" t="s">
        <v>980</v>
      </c>
      <c r="J13" s="7" t="s">
        <v>986</v>
      </c>
      <c r="K13" s="7" t="s">
        <v>195</v>
      </c>
      <c r="L13" s="7" t="s">
        <v>195</v>
      </c>
      <c r="M13" s="7" t="s">
        <v>29</v>
      </c>
      <c r="N13" s="7" t="s">
        <v>29</v>
      </c>
      <c r="O13" s="7" t="s">
        <v>29</v>
      </c>
      <c r="P13" s="7" t="s">
        <v>29</v>
      </c>
      <c r="Q13" s="7" t="s">
        <v>29</v>
      </c>
      <c r="R13" s="7" t="s">
        <v>29</v>
      </c>
      <c r="S13" s="7" t="s">
        <v>29</v>
      </c>
    </row>
    <row r="14" spans="1:19">
      <c r="A14" s="7" t="s">
        <v>987</v>
      </c>
      <c r="B14" s="7" t="s">
        <v>195</v>
      </c>
      <c r="C14" s="8" t="s">
        <v>195</v>
      </c>
      <c r="D14" s="6" t="str">
        <f>LRTRIM(CONCATENATE(IF(SUMPRODUCT(-- ISNUMBER(SEARCH({"Auto Number"}, $B14))) &gt; 0, $B14, IF(SUMPRODUCT(-- ISNUMBER(SEARCH({"Lookup","Master-Detail"}, $B14))) &gt; 0,$B14 &amp; "(" &amp; $E14 &amp; ")",IF(SUMPRODUCT(-- ISNUMBER(SEARCH({"Formula","Roll-Up Summary"}, $B14))) &gt; 0,$B14 &amp; " (" &amp; $E14 &amp; ")",IF(SUMPRODUCT(-- ISNUMBER(SEARCH({"Content","Currency","Number","Percent","Text","URL"}, $B14))) &gt; 0,$B14 &amp; "(" &amp; $C14 &amp; ")",$B14)))), "  ", TRIM(IF($S14 = "YES", "(External ID)", "") &amp; " " &amp; IF(SUMPRODUCT(-- ISNUMBER(SEARCH({"Unique","Unique Case Insensitive"}, $R14))) &gt; 0, "(" &amp; $R14 &amp; ")", ""))))</f>
        <v>na</v>
      </c>
      <c r="E14" s="7" t="s">
        <v>195</v>
      </c>
      <c r="F14" s="7" t="s">
        <v>195</v>
      </c>
      <c r="G14" s="7" t="s">
        <v>195</v>
      </c>
      <c r="H14" s="7" t="s">
        <v>195</v>
      </c>
      <c r="I14" s="7" t="s">
        <v>195</v>
      </c>
      <c r="J14" s="7" t="s">
        <v>195</v>
      </c>
      <c r="K14" s="7" t="s">
        <v>195</v>
      </c>
      <c r="L14" s="7" t="s">
        <v>195</v>
      </c>
      <c r="M14" s="7" t="s">
        <v>29</v>
      </c>
      <c r="N14" s="7" t="s">
        <v>28</v>
      </c>
      <c r="O14" s="7" t="s">
        <v>29</v>
      </c>
      <c r="P14" s="7" t="s">
        <v>29</v>
      </c>
      <c r="Q14" s="7" t="s">
        <v>29</v>
      </c>
      <c r="R14" s="7" t="s">
        <v>29</v>
      </c>
      <c r="S14" s="7" t="s">
        <v>29</v>
      </c>
    </row>
    <row r="15" spans="1:19">
      <c r="A15" s="7" t="s">
        <v>988</v>
      </c>
      <c r="B15" s="7" t="s">
        <v>195</v>
      </c>
      <c r="C15" s="8" t="s">
        <v>195</v>
      </c>
      <c r="D15" s="6" t="str">
        <f>LRTRIM(CONCATENATE(IF(SUMPRODUCT(-- ISNUMBER(SEARCH({"Auto Number"}, $B15))) &gt; 0, $B15, IF(SUMPRODUCT(-- ISNUMBER(SEARCH({"Lookup","Master-Detail"}, $B15))) &gt; 0,$B15 &amp; "(" &amp; $E15 &amp; ")",IF(SUMPRODUCT(-- ISNUMBER(SEARCH({"Formula","Roll-Up Summary"}, $B15))) &gt; 0,$B15 &amp; " (" &amp; $E15 &amp; ")",IF(SUMPRODUCT(-- ISNUMBER(SEARCH({"Content","Currency","Number","Percent","Text","URL"}, $B15))) &gt; 0,$B15 &amp; "(" &amp; $C15 &amp; ")",$B15)))), "  ", TRIM(IF($S15 = "YES", "(External ID)", "") &amp; " " &amp; IF(SUMPRODUCT(-- ISNUMBER(SEARCH({"Unique","Unique Case Insensitive"}, $R15))) &gt; 0, "(" &amp; $R15 &amp; ")", ""))))</f>
        <v>na</v>
      </c>
      <c r="E15" s="7" t="s">
        <v>195</v>
      </c>
      <c r="F15" s="7" t="s">
        <v>195</v>
      </c>
      <c r="G15" s="7" t="s">
        <v>195</v>
      </c>
      <c r="H15" s="7" t="s">
        <v>195</v>
      </c>
      <c r="I15" s="7" t="s">
        <v>195</v>
      </c>
      <c r="J15" s="7" t="s">
        <v>195</v>
      </c>
      <c r="K15" s="7" t="s">
        <v>195</v>
      </c>
      <c r="L15" s="7" t="s">
        <v>195</v>
      </c>
      <c r="M15" s="7" t="s">
        <v>29</v>
      </c>
      <c r="N15" s="7" t="s">
        <v>28</v>
      </c>
      <c r="O15" s="7" t="s">
        <v>29</v>
      </c>
      <c r="P15" s="7" t="s">
        <v>29</v>
      </c>
      <c r="Q15" s="7" t="s">
        <v>29</v>
      </c>
      <c r="R15" s="7" t="s">
        <v>29</v>
      </c>
      <c r="S15" s="7" t="s">
        <v>29</v>
      </c>
    </row>
    <row r="16" spans="1:19">
      <c r="A16" s="7" t="s">
        <v>36</v>
      </c>
      <c r="B16" s="7" t="s">
        <v>195</v>
      </c>
      <c r="C16" s="8" t="s">
        <v>195</v>
      </c>
      <c r="D16" s="6" t="str">
        <f>LRTRIM(CONCATENATE(IF(SUMPRODUCT(-- ISNUMBER(SEARCH({"Auto Number"}, $B16))) &gt; 0, $B16, IF(SUMPRODUCT(-- ISNUMBER(SEARCH({"Lookup","Master-Detail"}, $B16))) &gt; 0,$B16 &amp; "(" &amp; $E16 &amp; ")",IF(SUMPRODUCT(-- ISNUMBER(SEARCH({"Formula","Roll-Up Summary"}, $B16))) &gt; 0,$B16 &amp; " (" &amp; $E16 &amp; ")",IF(SUMPRODUCT(-- ISNUMBER(SEARCH({"Content","Currency","Number","Percent","Text","URL"}, $B16))) &gt; 0,$B16 &amp; "(" &amp; $C16 &amp; ")",$B16)))), "  ", TRIM(IF($S16 = "YES", "(External ID)", "") &amp; " " &amp; IF(SUMPRODUCT(-- ISNUMBER(SEARCH({"Unique","Unique Case Insensitive"}, $R16))) &gt; 0, "(" &amp; $R16 &amp; ")", ""))))</f>
        <v>na</v>
      </c>
      <c r="E16" s="7" t="s">
        <v>195</v>
      </c>
      <c r="F16" s="7" t="s">
        <v>195</v>
      </c>
      <c r="G16" s="7" t="s">
        <v>195</v>
      </c>
      <c r="H16" s="7" t="s">
        <v>195</v>
      </c>
      <c r="I16" s="7" t="s">
        <v>195</v>
      </c>
      <c r="J16" s="7" t="s">
        <v>195</v>
      </c>
      <c r="K16" s="7" t="s">
        <v>195</v>
      </c>
      <c r="L16" s="7" t="s">
        <v>195</v>
      </c>
      <c r="M16" s="7" t="s">
        <v>28</v>
      </c>
      <c r="N16" s="7" t="s">
        <v>29</v>
      </c>
      <c r="O16" s="7" t="s">
        <v>29</v>
      </c>
      <c r="P16" s="7" t="s">
        <v>29</v>
      </c>
      <c r="Q16" s="7" t="s">
        <v>29</v>
      </c>
      <c r="R16" s="7" t="s">
        <v>29</v>
      </c>
      <c r="S16" s="7" t="s">
        <v>29</v>
      </c>
    </row>
    <row r="17" spans="1:19">
      <c r="A17" s="7" t="s">
        <v>35</v>
      </c>
      <c r="B17" s="7" t="s">
        <v>195</v>
      </c>
      <c r="C17" s="8" t="s">
        <v>195</v>
      </c>
      <c r="D17" s="6" t="str">
        <f>LRTRIM(CONCATENATE(IF(SUMPRODUCT(-- ISNUMBER(SEARCH({"Auto Number"}, $B17))) &gt; 0, $B17, IF(SUMPRODUCT(-- ISNUMBER(SEARCH({"Lookup","Master-Detail"}, $B17))) &gt; 0,$B17 &amp; "(" &amp; $E17 &amp; ")",IF(SUMPRODUCT(-- ISNUMBER(SEARCH({"Formula","Roll-Up Summary"}, $B17))) &gt; 0,$B17 &amp; " (" &amp; $E17 &amp; ")",IF(SUMPRODUCT(-- ISNUMBER(SEARCH({"Content","Currency","Number","Percent","Text","URL"}, $B17))) &gt; 0,$B17 &amp; "(" &amp; $C17 &amp; ")",$B17)))), "  ", TRIM(IF($S17 = "YES", "(External ID)", "") &amp; " " &amp; IF(SUMPRODUCT(-- ISNUMBER(SEARCH({"Unique","Unique Case Insensitive"}, $R17))) &gt; 0, "(" &amp; $R17 &amp; ")", ""))))</f>
        <v>na</v>
      </c>
      <c r="E17" s="7" t="s">
        <v>195</v>
      </c>
      <c r="F17" s="7" t="s">
        <v>195</v>
      </c>
      <c r="G17" s="7" t="s">
        <v>195</v>
      </c>
      <c r="H17" s="7" t="s">
        <v>195</v>
      </c>
      <c r="I17" s="7" t="s">
        <v>195</v>
      </c>
      <c r="J17" s="7" t="s">
        <v>195</v>
      </c>
      <c r="K17" s="7" t="s">
        <v>195</v>
      </c>
      <c r="L17" s="7" t="s">
        <v>195</v>
      </c>
      <c r="M17" s="7" t="s">
        <v>28</v>
      </c>
      <c r="N17" s="7" t="s">
        <v>29</v>
      </c>
      <c r="O17" s="7" t="s">
        <v>29</v>
      </c>
      <c r="P17" s="7" t="s">
        <v>29</v>
      </c>
      <c r="Q17" s="7" t="s">
        <v>29</v>
      </c>
      <c r="R17" s="7" t="s">
        <v>29</v>
      </c>
      <c r="S17" s="7" t="s">
        <v>29</v>
      </c>
    </row>
    <row r="18" spans="1:19">
      <c r="A18" s="7" t="s">
        <v>34</v>
      </c>
      <c r="B18" s="7" t="s">
        <v>195</v>
      </c>
      <c r="C18" s="8" t="s">
        <v>195</v>
      </c>
      <c r="D18" s="6" t="str">
        <f>LRTRIM(CONCATENATE(IF(SUMPRODUCT(-- ISNUMBER(SEARCH({"Auto Number"}, $B18))) &gt; 0, $B18, IF(SUMPRODUCT(-- ISNUMBER(SEARCH({"Lookup","Master-Detail"}, $B18))) &gt; 0,$B18 &amp; "(" &amp; $E18 &amp; ")",IF(SUMPRODUCT(-- ISNUMBER(SEARCH({"Formula","Roll-Up Summary"}, $B18))) &gt; 0,$B18 &amp; " (" &amp; $E18 &amp; ")",IF(SUMPRODUCT(-- ISNUMBER(SEARCH({"Content","Currency","Number","Percent","Text","URL"}, $B18))) &gt; 0,$B18 &amp; "(" &amp; $C18 &amp; ")",$B18)))), "  ", TRIM(IF($S18 = "YES", "(External ID)", "") &amp; " " &amp; IF(SUMPRODUCT(-- ISNUMBER(SEARCH({"Unique","Unique Case Insensitive"}, $R18))) &gt; 0, "(" &amp; $R18 &amp; ")", ""))))</f>
        <v>na</v>
      </c>
      <c r="E18" s="7" t="s">
        <v>195</v>
      </c>
      <c r="F18" s="7" t="s">
        <v>195</v>
      </c>
      <c r="G18" s="7" t="s">
        <v>195</v>
      </c>
      <c r="H18" s="7" t="s">
        <v>195</v>
      </c>
      <c r="I18" s="7" t="s">
        <v>195</v>
      </c>
      <c r="J18" s="7" t="s">
        <v>195</v>
      </c>
      <c r="K18" s="7" t="s">
        <v>195</v>
      </c>
      <c r="L18" s="7" t="s">
        <v>195</v>
      </c>
      <c r="M18" s="7" t="s">
        <v>28</v>
      </c>
      <c r="N18" s="7" t="s">
        <v>29</v>
      </c>
      <c r="O18" s="7" t="s">
        <v>29</v>
      </c>
      <c r="P18" s="7" t="s">
        <v>29</v>
      </c>
      <c r="Q18" s="7" t="s">
        <v>29</v>
      </c>
      <c r="R18" s="7" t="s">
        <v>29</v>
      </c>
      <c r="S18" s="7" t="s">
        <v>29</v>
      </c>
    </row>
    <row r="19" spans="1:19">
      <c r="A19" s="7" t="s">
        <v>37</v>
      </c>
      <c r="B19" s="7" t="s">
        <v>195</v>
      </c>
      <c r="C19" s="8" t="s">
        <v>195</v>
      </c>
      <c r="D19" s="6" t="str">
        <f>LRTRIM(CONCATENATE(IF(SUMPRODUCT(-- ISNUMBER(SEARCH({"Auto Number"}, $B19))) &gt; 0, $B19, IF(SUMPRODUCT(-- ISNUMBER(SEARCH({"Lookup","Master-Detail"}, $B19))) &gt; 0,$B19 &amp; "(" &amp; $E19 &amp; ")",IF(SUMPRODUCT(-- ISNUMBER(SEARCH({"Formula","Roll-Up Summary"}, $B19))) &gt; 0,$B19 &amp; " (" &amp; $E19 &amp; ")",IF(SUMPRODUCT(-- ISNUMBER(SEARCH({"Content","Currency","Number","Percent","Text","URL"}, $B19))) &gt; 0,$B19 &amp; "(" &amp; $C19 &amp; ")",$B19)))), "  ", TRIM(IF($S19 = "YES", "(External ID)", "") &amp; " " &amp; IF(SUMPRODUCT(-- ISNUMBER(SEARCH({"Unique","Unique Case Insensitive"}, $R19))) &gt; 0, "(" &amp; $R19 &amp; ")", ""))))</f>
        <v>na</v>
      </c>
      <c r="E19" s="7" t="s">
        <v>195</v>
      </c>
      <c r="F19" s="7" t="s">
        <v>195</v>
      </c>
      <c r="G19" s="7" t="s">
        <v>195</v>
      </c>
      <c r="H19" s="7" t="s">
        <v>195</v>
      </c>
      <c r="I19" s="7" t="s">
        <v>195</v>
      </c>
      <c r="J19" s="7" t="s">
        <v>195</v>
      </c>
      <c r="K19" s="7" t="s">
        <v>195</v>
      </c>
      <c r="L19" s="7" t="s">
        <v>195</v>
      </c>
      <c r="M19" s="7" t="s">
        <v>28</v>
      </c>
      <c r="N19" s="7" t="s">
        <v>29</v>
      </c>
      <c r="O19" s="7" t="s">
        <v>29</v>
      </c>
      <c r="P19" s="7" t="s">
        <v>29</v>
      </c>
      <c r="Q19" s="7" t="s">
        <v>29</v>
      </c>
      <c r="R19" s="7" t="s">
        <v>29</v>
      </c>
      <c r="S19" s="7" t="s">
        <v>29</v>
      </c>
    </row>
    <row r="20" spans="1:19">
      <c r="A20" s="7" t="s">
        <v>39</v>
      </c>
      <c r="B20" s="7" t="s">
        <v>195</v>
      </c>
      <c r="C20" s="8" t="s">
        <v>195</v>
      </c>
      <c r="D20" s="6" t="str">
        <f>LRTRIM(CONCATENATE(IF(SUMPRODUCT(-- ISNUMBER(SEARCH({"Auto Number"}, $B20))) &gt; 0, $B20, IF(SUMPRODUCT(-- ISNUMBER(SEARCH({"Lookup","Master-Detail"}, $B20))) &gt; 0,$B20 &amp; "(" &amp; $E20 &amp; ")",IF(SUMPRODUCT(-- ISNUMBER(SEARCH({"Formula","Roll-Up Summary"}, $B20))) &gt; 0,$B20 &amp; " (" &amp; $E20 &amp; ")",IF(SUMPRODUCT(-- ISNUMBER(SEARCH({"Content","Currency","Number","Percent","Text","URL"}, $B20))) &gt; 0,$B20 &amp; "(" &amp; $C20 &amp; ")",$B20)))), "  ", TRIM(IF($S20 = "YES", "(External ID)", "") &amp; " " &amp; IF(SUMPRODUCT(-- ISNUMBER(SEARCH({"Unique","Unique Case Insensitive"}, $R20))) &gt; 0, "(" &amp; $R20 &amp; ")", ""))))</f>
        <v>na</v>
      </c>
      <c r="E20" s="7" t="s">
        <v>195</v>
      </c>
      <c r="F20" s="7" t="s">
        <v>195</v>
      </c>
      <c r="G20" s="7" t="s">
        <v>195</v>
      </c>
      <c r="H20" s="7" t="s">
        <v>195</v>
      </c>
      <c r="I20" s="7" t="s">
        <v>195</v>
      </c>
      <c r="J20" s="7" t="s">
        <v>195</v>
      </c>
      <c r="K20" s="7" t="s">
        <v>195</v>
      </c>
      <c r="L20" s="7" t="s">
        <v>195</v>
      </c>
      <c r="M20" s="7" t="s">
        <v>28</v>
      </c>
      <c r="N20" s="7" t="s">
        <v>29</v>
      </c>
      <c r="O20" s="7" t="s">
        <v>29</v>
      </c>
      <c r="P20" s="7" t="s">
        <v>29</v>
      </c>
      <c r="Q20" s="7" t="s">
        <v>29</v>
      </c>
      <c r="R20" s="7" t="s">
        <v>29</v>
      </c>
      <c r="S20" s="7" t="s">
        <v>29</v>
      </c>
    </row>
    <row r="21" spans="1:19">
      <c r="B21" s="7" t="s">
        <v>195</v>
      </c>
      <c r="C21" s="8" t="s">
        <v>195</v>
      </c>
      <c r="D21" s="6" t="str">
        <f>LRTRIM(CONCATENATE(IF(SUMPRODUCT(-- ISNUMBER(SEARCH({"Auto Number"}, $B21))) &gt; 0, $B21, IF(SUMPRODUCT(-- ISNUMBER(SEARCH({"Lookup","Master-Detail"}, $B21))) &gt; 0,$B21 &amp; "(" &amp; $E21 &amp; ")",IF(SUMPRODUCT(-- ISNUMBER(SEARCH({"Formula","Roll-Up Summary"}, $B21))) &gt; 0,$B21 &amp; " (" &amp; $E21 &amp; ")",IF(SUMPRODUCT(-- ISNUMBER(SEARCH({"Content","Currency","Number","Percent","Text","URL"}, $B21))) &gt; 0,$B21 &amp; "(" &amp; $C21 &amp; ")",$B21)))), "  ", TRIM(IF($S21 = "YES", "(External ID)", "") &amp; " " &amp; IF(SUMPRODUCT(-- ISNUMBER(SEARCH({"Unique","Unique Case Insensitive"}, $R21))) &gt; 0, "(" &amp; $R21 &amp; ")", ""))))</f>
        <v>na</v>
      </c>
      <c r="E21" s="7" t="s">
        <v>195</v>
      </c>
      <c r="F21" s="7" t="s">
        <v>195</v>
      </c>
      <c r="G21" s="7" t="s">
        <v>195</v>
      </c>
      <c r="H21" s="7" t="s">
        <v>195</v>
      </c>
      <c r="I21" s="7" t="s">
        <v>195</v>
      </c>
      <c r="J21" s="7" t="s">
        <v>195</v>
      </c>
      <c r="K21" s="7" t="s">
        <v>195</v>
      </c>
      <c r="L21" s="7" t="s">
        <v>195</v>
      </c>
      <c r="M21" s="7" t="s">
        <v>29</v>
      </c>
      <c r="N21" s="7" t="s">
        <v>29</v>
      </c>
      <c r="O21" s="7" t="s">
        <v>29</v>
      </c>
      <c r="P21" s="7" t="s">
        <v>29</v>
      </c>
      <c r="Q21" s="7" t="s">
        <v>29</v>
      </c>
      <c r="R21" s="7" t="s">
        <v>29</v>
      </c>
      <c r="S21" s="7" t="s">
        <v>29</v>
      </c>
    </row>
    <row r="22" spans="1:19">
      <c r="B22" s="7" t="s">
        <v>195</v>
      </c>
      <c r="C22" s="8" t="s">
        <v>195</v>
      </c>
      <c r="D22" s="6" t="str">
        <f>LRTRIM(CONCATENATE(IF(SUMPRODUCT(-- ISNUMBER(SEARCH({"Auto Number"}, $B22))) &gt; 0, $B22, IF(SUMPRODUCT(-- ISNUMBER(SEARCH({"Lookup","Master-Detail"}, $B22))) &gt; 0,$B22 &amp; "(" &amp; $E22 &amp; ")",IF(SUMPRODUCT(-- ISNUMBER(SEARCH({"Formula","Roll-Up Summary"}, $B22))) &gt; 0,$B22 &amp; " (" &amp; $E22 &amp; ")",IF(SUMPRODUCT(-- ISNUMBER(SEARCH({"Content","Currency","Number","Percent","Text","URL"}, $B22))) &gt; 0,$B22 &amp; "(" &amp; $C22 &amp; ")",$B22)))), "  ", TRIM(IF($S22 = "YES", "(External ID)", "") &amp; " " &amp; IF(SUMPRODUCT(-- ISNUMBER(SEARCH({"Unique","Unique Case Insensitive"}, $R22))) &gt; 0, "(" &amp; $R22 &amp; ")", ""))))</f>
        <v>na</v>
      </c>
      <c r="E22" s="7" t="s">
        <v>195</v>
      </c>
      <c r="F22" s="7" t="s">
        <v>195</v>
      </c>
      <c r="G22" s="7" t="s">
        <v>195</v>
      </c>
      <c r="H22" s="7" t="s">
        <v>195</v>
      </c>
      <c r="I22" s="7" t="s">
        <v>195</v>
      </c>
      <c r="J22" s="7" t="s">
        <v>195</v>
      </c>
      <c r="K22" s="7" t="s">
        <v>195</v>
      </c>
      <c r="L22" s="7" t="s">
        <v>195</v>
      </c>
      <c r="M22" s="7" t="s">
        <v>29</v>
      </c>
      <c r="N22" s="7" t="s">
        <v>29</v>
      </c>
      <c r="O22" s="7" t="s">
        <v>29</v>
      </c>
      <c r="P22" s="7" t="s">
        <v>29</v>
      </c>
      <c r="Q22" s="7" t="s">
        <v>29</v>
      </c>
      <c r="R22" s="7" t="s">
        <v>29</v>
      </c>
      <c r="S22" s="7" t="s">
        <v>29</v>
      </c>
    </row>
    <row r="23" spans="1:19">
      <c r="B23" s="7" t="s">
        <v>195</v>
      </c>
      <c r="C23" s="8" t="s">
        <v>195</v>
      </c>
      <c r="D23" s="6" t="str">
        <f>LRTRIM(CONCATENATE(IF(SUMPRODUCT(-- ISNUMBER(SEARCH({"Auto Number"}, $B23))) &gt; 0, $B23, IF(SUMPRODUCT(-- ISNUMBER(SEARCH({"Lookup","Master-Detail"}, $B23))) &gt; 0,$B23 &amp; "(" &amp; $E23 &amp; ")",IF(SUMPRODUCT(-- ISNUMBER(SEARCH({"Formula","Roll-Up Summary"}, $B23))) &gt; 0,$B23 &amp; " (" &amp; $E23 &amp; ")",IF(SUMPRODUCT(-- ISNUMBER(SEARCH({"Content","Currency","Number","Percent","Text","URL"}, $B23))) &gt; 0,$B23 &amp; "(" &amp; $C23 &amp; ")",$B23)))), "  ", TRIM(IF($S23 = "YES", "(External ID)", "") &amp; " " &amp; IF(SUMPRODUCT(-- ISNUMBER(SEARCH({"Unique","Unique Case Insensitive"}, $R23))) &gt; 0, "(" &amp; $R23 &amp; ")", ""))))</f>
        <v>na</v>
      </c>
      <c r="E23" s="7" t="s">
        <v>195</v>
      </c>
      <c r="F23" s="7" t="s">
        <v>195</v>
      </c>
      <c r="G23" s="7" t="s">
        <v>195</v>
      </c>
      <c r="H23" s="7" t="s">
        <v>195</v>
      </c>
      <c r="I23" s="7" t="s">
        <v>195</v>
      </c>
      <c r="J23" s="7" t="s">
        <v>195</v>
      </c>
      <c r="K23" s="7" t="s">
        <v>195</v>
      </c>
      <c r="L23" s="7" t="s">
        <v>195</v>
      </c>
      <c r="M23" s="7" t="s">
        <v>29</v>
      </c>
      <c r="N23" s="7" t="s">
        <v>29</v>
      </c>
      <c r="O23" s="7" t="s">
        <v>29</v>
      </c>
      <c r="P23" s="7" t="s">
        <v>29</v>
      </c>
      <c r="Q23" s="7" t="s">
        <v>29</v>
      </c>
      <c r="R23" s="7" t="s">
        <v>29</v>
      </c>
      <c r="S23" s="7" t="s">
        <v>29</v>
      </c>
    </row>
    <row r="24" spans="1:19">
      <c r="B24" s="7" t="s">
        <v>195</v>
      </c>
      <c r="C24" s="8" t="s">
        <v>195</v>
      </c>
      <c r="D24" s="6" t="str">
        <f>LRTRIM(CONCATENATE(IF(SUMPRODUCT(-- ISNUMBER(SEARCH({"Auto Number"}, $B24))) &gt; 0, $B24, IF(SUMPRODUCT(-- ISNUMBER(SEARCH({"Lookup","Master-Detail"}, $B24))) &gt; 0,$B24 &amp; "(" &amp; $E24 &amp; ")",IF(SUMPRODUCT(-- ISNUMBER(SEARCH({"Formula","Roll-Up Summary"}, $B24))) &gt; 0,$B24 &amp; " (" &amp; $E24 &amp; ")",IF(SUMPRODUCT(-- ISNUMBER(SEARCH({"Content","Currency","Number","Percent","Text","URL"}, $B24))) &gt; 0,$B24 &amp; "(" &amp; $C24 &amp; ")",$B24)))), "  ", TRIM(IF($S24 = "YES", "(External ID)", "") &amp; " " &amp; IF(SUMPRODUCT(-- ISNUMBER(SEARCH({"Unique","Unique Case Insensitive"}, $R24))) &gt; 0, "(" &amp; $R24 &amp; ")", ""))))</f>
        <v>na</v>
      </c>
      <c r="E24" s="7" t="s">
        <v>195</v>
      </c>
      <c r="F24" s="7" t="s">
        <v>195</v>
      </c>
      <c r="G24" s="7" t="s">
        <v>195</v>
      </c>
      <c r="H24" s="7" t="s">
        <v>195</v>
      </c>
      <c r="I24" s="7" t="s">
        <v>195</v>
      </c>
      <c r="J24" s="7" t="s">
        <v>195</v>
      </c>
      <c r="K24" s="7" t="s">
        <v>195</v>
      </c>
      <c r="L24" s="7" t="s">
        <v>195</v>
      </c>
      <c r="M24" s="7" t="s">
        <v>29</v>
      </c>
      <c r="N24" s="7" t="s">
        <v>29</v>
      </c>
      <c r="O24" s="7" t="s">
        <v>29</v>
      </c>
      <c r="P24" s="7" t="s">
        <v>29</v>
      </c>
      <c r="Q24" s="7" t="s">
        <v>29</v>
      </c>
      <c r="R24" s="7" t="s">
        <v>29</v>
      </c>
      <c r="S24" s="7" t="s">
        <v>29</v>
      </c>
    </row>
    <row r="25" spans="1:19">
      <c r="B25" s="7" t="s">
        <v>195</v>
      </c>
      <c r="C25" s="8" t="s">
        <v>195</v>
      </c>
      <c r="D25" s="6" t="str">
        <f>LRTRIM(CONCATENATE(IF(SUMPRODUCT(-- ISNUMBER(SEARCH({"Auto Number"}, $B25))) &gt; 0, $B25, IF(SUMPRODUCT(-- ISNUMBER(SEARCH({"Lookup","Master-Detail"}, $B25))) &gt; 0,$B25 &amp; "(" &amp; $E25 &amp; ")",IF(SUMPRODUCT(-- ISNUMBER(SEARCH({"Formula","Roll-Up Summary"}, $B25))) &gt; 0,$B25 &amp; " (" &amp; $E25 &amp; ")",IF(SUMPRODUCT(-- ISNUMBER(SEARCH({"Content","Currency","Number","Percent","Text","URL"}, $B25))) &gt; 0,$B25 &amp; "(" &amp; $C25 &amp; ")",$B25)))), "  ", TRIM(IF($S25 = "YES", "(External ID)", "") &amp; " " &amp; IF(SUMPRODUCT(-- ISNUMBER(SEARCH({"Unique","Unique Case Insensitive"}, $R25))) &gt; 0, "(" &amp; $R25 &amp; ")", ""))))</f>
        <v>na</v>
      </c>
      <c r="E25" s="7" t="s">
        <v>195</v>
      </c>
      <c r="F25" s="7" t="s">
        <v>195</v>
      </c>
      <c r="G25" s="7" t="s">
        <v>195</v>
      </c>
      <c r="H25" s="7" t="s">
        <v>195</v>
      </c>
      <c r="I25" s="7" t="s">
        <v>195</v>
      </c>
      <c r="J25" s="7" t="s">
        <v>195</v>
      </c>
      <c r="K25" s="7" t="s">
        <v>195</v>
      </c>
      <c r="L25" s="7" t="s">
        <v>195</v>
      </c>
      <c r="M25" s="7" t="s">
        <v>29</v>
      </c>
      <c r="N25" s="7" t="s">
        <v>29</v>
      </c>
      <c r="O25" s="7" t="s">
        <v>29</v>
      </c>
      <c r="P25" s="7" t="s">
        <v>29</v>
      </c>
      <c r="Q25" s="7" t="s">
        <v>29</v>
      </c>
      <c r="R25" s="7" t="s">
        <v>29</v>
      </c>
      <c r="S25" s="7" t="s">
        <v>29</v>
      </c>
    </row>
    <row r="26" spans="1:19">
      <c r="B26" s="7" t="s">
        <v>195</v>
      </c>
      <c r="C26" s="8" t="s">
        <v>195</v>
      </c>
      <c r="D26" s="6" t="str">
        <f>LRTRIM(CONCATENATE(IF(SUMPRODUCT(-- ISNUMBER(SEARCH({"Auto Number"}, $B26))) &gt; 0, $B26, IF(SUMPRODUCT(-- ISNUMBER(SEARCH({"Lookup","Master-Detail"}, $B26))) &gt; 0,$B26 &amp; "(" &amp; $E26 &amp; ")",IF(SUMPRODUCT(-- ISNUMBER(SEARCH({"Formula","Roll-Up Summary"}, $B26))) &gt; 0,$B26 &amp; " (" &amp; $E26 &amp; ")",IF(SUMPRODUCT(-- ISNUMBER(SEARCH({"Content","Currency","Number","Percent","Text","URL"}, $B26))) &gt; 0,$B26 &amp; "(" &amp; $C26 &amp; ")",$B26)))), "  ", TRIM(IF($S26 = "YES", "(External ID)", "") &amp; " " &amp; IF(SUMPRODUCT(-- ISNUMBER(SEARCH({"Unique","Unique Case Insensitive"}, $R26))) &gt; 0, "(" &amp; $R26 &amp; ")", ""))))</f>
        <v>na</v>
      </c>
      <c r="E26" s="7" t="s">
        <v>195</v>
      </c>
      <c r="F26" s="7" t="s">
        <v>195</v>
      </c>
      <c r="G26" s="7" t="s">
        <v>195</v>
      </c>
      <c r="H26" s="7" t="s">
        <v>195</v>
      </c>
      <c r="I26" s="7" t="s">
        <v>195</v>
      </c>
      <c r="J26" s="7" t="s">
        <v>195</v>
      </c>
      <c r="K26" s="7" t="s">
        <v>195</v>
      </c>
      <c r="L26" s="7" t="s">
        <v>195</v>
      </c>
      <c r="M26" s="7" t="s">
        <v>29</v>
      </c>
      <c r="N26" s="7" t="s">
        <v>29</v>
      </c>
      <c r="O26" s="7" t="s">
        <v>29</v>
      </c>
      <c r="P26" s="7" t="s">
        <v>29</v>
      </c>
      <c r="Q26" s="7" t="s">
        <v>29</v>
      </c>
      <c r="R26" s="7" t="s">
        <v>29</v>
      </c>
      <c r="S26" s="7" t="s">
        <v>29</v>
      </c>
    </row>
    <row r="27" spans="1:19">
      <c r="B27" s="7" t="s">
        <v>195</v>
      </c>
      <c r="C27" s="8" t="s">
        <v>195</v>
      </c>
      <c r="D27" s="6" t="str">
        <f>LRTRIM(CONCATENATE(IF(SUMPRODUCT(-- ISNUMBER(SEARCH({"Auto Number"}, $B27))) &gt; 0, $B27, IF(SUMPRODUCT(-- ISNUMBER(SEARCH({"Lookup","Master-Detail"}, $B27))) &gt; 0,$B27 &amp; "(" &amp; $E27 &amp; ")",IF(SUMPRODUCT(-- ISNUMBER(SEARCH({"Formula","Roll-Up Summary"}, $B27))) &gt; 0,$B27 &amp; " (" &amp; $E27 &amp; ")",IF(SUMPRODUCT(-- ISNUMBER(SEARCH({"Content","Currency","Number","Percent","Text","URL"}, $B27))) &gt; 0,$B27 &amp; "(" &amp; $C27 &amp; ")",$B27)))), "  ", TRIM(IF($S27 = "YES", "(External ID)", "") &amp; " " &amp; IF(SUMPRODUCT(-- ISNUMBER(SEARCH({"Unique","Unique Case Insensitive"}, $R27))) &gt; 0, "(" &amp; $R27 &amp; ")", ""))))</f>
        <v>na</v>
      </c>
      <c r="E27" s="7" t="s">
        <v>195</v>
      </c>
      <c r="F27" s="7" t="s">
        <v>195</v>
      </c>
      <c r="G27" s="7" t="s">
        <v>195</v>
      </c>
      <c r="H27" s="7" t="s">
        <v>195</v>
      </c>
      <c r="I27" s="7" t="s">
        <v>195</v>
      </c>
      <c r="J27" s="7" t="s">
        <v>195</v>
      </c>
      <c r="K27" s="7" t="s">
        <v>195</v>
      </c>
      <c r="L27" s="7" t="s">
        <v>195</v>
      </c>
      <c r="M27" s="7" t="s">
        <v>29</v>
      </c>
      <c r="N27" s="7" t="s">
        <v>29</v>
      </c>
      <c r="O27" s="7" t="s">
        <v>29</v>
      </c>
      <c r="P27" s="7" t="s">
        <v>29</v>
      </c>
      <c r="Q27" s="7" t="s">
        <v>29</v>
      </c>
      <c r="R27" s="7" t="s">
        <v>29</v>
      </c>
      <c r="S27" s="7" t="s">
        <v>29</v>
      </c>
    </row>
    <row r="28" spans="1:19">
      <c r="B28" s="7" t="s">
        <v>195</v>
      </c>
      <c r="C28" s="8" t="s">
        <v>195</v>
      </c>
      <c r="D28" s="6" t="str">
        <f>LRTRIM(CONCATENATE(IF(SUMPRODUCT(-- ISNUMBER(SEARCH({"Auto Number"}, $B28))) &gt; 0, $B28, IF(SUMPRODUCT(-- ISNUMBER(SEARCH({"Lookup","Master-Detail"}, $B28))) &gt; 0,$B28 &amp; "(" &amp; $E28 &amp; ")",IF(SUMPRODUCT(-- ISNUMBER(SEARCH({"Formula","Roll-Up Summary"}, $B28))) &gt; 0,$B28 &amp; " (" &amp; $E28 &amp; ")",IF(SUMPRODUCT(-- ISNUMBER(SEARCH({"Content","Currency","Number","Percent","Text","URL"}, $B28))) &gt; 0,$B28 &amp; "(" &amp; $C28 &amp; ")",$B28)))), "  ", TRIM(IF($S28 = "YES", "(External ID)", "") &amp; " " &amp; IF(SUMPRODUCT(-- ISNUMBER(SEARCH({"Unique","Unique Case Insensitive"}, $R28))) &gt; 0, "(" &amp; $R28 &amp; ")", ""))))</f>
        <v>na</v>
      </c>
      <c r="E28" s="7" t="s">
        <v>195</v>
      </c>
      <c r="F28" s="7" t="s">
        <v>195</v>
      </c>
      <c r="G28" s="7" t="s">
        <v>195</v>
      </c>
      <c r="H28" s="7" t="s">
        <v>195</v>
      </c>
      <c r="I28" s="7" t="s">
        <v>195</v>
      </c>
      <c r="J28" s="7" t="s">
        <v>195</v>
      </c>
      <c r="K28" s="7" t="s">
        <v>195</v>
      </c>
      <c r="L28" s="7" t="s">
        <v>195</v>
      </c>
      <c r="M28" s="7" t="s">
        <v>29</v>
      </c>
      <c r="N28" s="7" t="s">
        <v>29</v>
      </c>
      <c r="O28" s="7" t="s">
        <v>29</v>
      </c>
      <c r="P28" s="7" t="s">
        <v>29</v>
      </c>
      <c r="Q28" s="7" t="s">
        <v>29</v>
      </c>
      <c r="R28" s="7" t="s">
        <v>29</v>
      </c>
      <c r="S28" s="7" t="s">
        <v>29</v>
      </c>
    </row>
    <row r="29" spans="1:19">
      <c r="B29" s="7" t="s">
        <v>195</v>
      </c>
      <c r="C29" s="8" t="s">
        <v>195</v>
      </c>
      <c r="D29" s="6" t="str">
        <f>LRTRIM(CONCATENATE(IF(SUMPRODUCT(-- ISNUMBER(SEARCH({"Auto Number"}, $B29))) &gt; 0, $B29, IF(SUMPRODUCT(-- ISNUMBER(SEARCH({"Lookup","Master-Detail"}, $B29))) &gt; 0,$B29 &amp; "(" &amp; $E29 &amp; ")",IF(SUMPRODUCT(-- ISNUMBER(SEARCH({"Formula","Roll-Up Summary"}, $B29))) &gt; 0,$B29 &amp; " (" &amp; $E29 &amp; ")",IF(SUMPRODUCT(-- ISNUMBER(SEARCH({"Content","Currency","Number","Percent","Text","URL"}, $B29))) &gt; 0,$B29 &amp; "(" &amp; $C29 &amp; ")",$B29)))), "  ", TRIM(IF($S29 = "YES", "(External ID)", "") &amp; " " &amp; IF(SUMPRODUCT(-- ISNUMBER(SEARCH({"Unique","Unique Case Insensitive"}, $R29))) &gt; 0, "(" &amp; $R29 &amp; ")", ""))))</f>
        <v>na</v>
      </c>
      <c r="E29" s="7" t="s">
        <v>195</v>
      </c>
      <c r="F29" s="7" t="s">
        <v>195</v>
      </c>
      <c r="G29" s="7" t="s">
        <v>195</v>
      </c>
      <c r="H29" s="7" t="s">
        <v>195</v>
      </c>
      <c r="I29" s="7" t="s">
        <v>195</v>
      </c>
      <c r="J29" s="7" t="s">
        <v>195</v>
      </c>
      <c r="K29" s="7" t="s">
        <v>195</v>
      </c>
      <c r="L29" s="7" t="s">
        <v>195</v>
      </c>
      <c r="M29" s="7" t="s">
        <v>29</v>
      </c>
      <c r="N29" s="7" t="s">
        <v>29</v>
      </c>
      <c r="O29" s="7" t="s">
        <v>29</v>
      </c>
      <c r="P29" s="7" t="s">
        <v>29</v>
      </c>
      <c r="Q29" s="7" t="s">
        <v>29</v>
      </c>
      <c r="R29" s="7" t="s">
        <v>29</v>
      </c>
      <c r="S29" s="7" t="s">
        <v>29</v>
      </c>
    </row>
    <row r="30" spans="1:19">
      <c r="B30" s="7" t="s">
        <v>195</v>
      </c>
      <c r="C30" s="8" t="s">
        <v>195</v>
      </c>
      <c r="D30" s="6" t="str">
        <f>LRTRIM(CONCATENATE(IF(SUMPRODUCT(-- ISNUMBER(SEARCH({"Auto Number"}, $B30))) &gt; 0, $B30, IF(SUMPRODUCT(-- ISNUMBER(SEARCH({"Lookup","Master-Detail"}, $B30))) &gt; 0,$B30 &amp; "(" &amp; $E30 &amp; ")",IF(SUMPRODUCT(-- ISNUMBER(SEARCH({"Formula","Roll-Up Summary"}, $B30))) &gt; 0,$B30 &amp; " (" &amp; $E30 &amp; ")",IF(SUMPRODUCT(-- ISNUMBER(SEARCH({"Content","Currency","Number","Percent","Text","URL"}, $B30))) &gt; 0,$B30 &amp; "(" &amp; $C30 &amp; ")",$B30)))), "  ", TRIM(IF($S30 = "YES", "(External ID)", "") &amp; " " &amp; IF(SUMPRODUCT(-- ISNUMBER(SEARCH({"Unique","Unique Case Insensitive"}, $R30))) &gt; 0, "(" &amp; $R30 &amp; ")", ""))))</f>
        <v>na</v>
      </c>
      <c r="E30" s="7" t="s">
        <v>195</v>
      </c>
      <c r="F30" s="7" t="s">
        <v>195</v>
      </c>
      <c r="G30" s="7" t="s">
        <v>195</v>
      </c>
      <c r="H30" s="7" t="s">
        <v>195</v>
      </c>
      <c r="I30" s="7" t="s">
        <v>195</v>
      </c>
      <c r="J30" s="7" t="s">
        <v>195</v>
      </c>
      <c r="K30" s="7" t="s">
        <v>195</v>
      </c>
      <c r="L30" s="7" t="s">
        <v>195</v>
      </c>
      <c r="M30" s="7" t="s">
        <v>29</v>
      </c>
      <c r="N30" s="7" t="s">
        <v>29</v>
      </c>
      <c r="O30" s="7" t="s">
        <v>29</v>
      </c>
      <c r="P30" s="7" t="s">
        <v>29</v>
      </c>
      <c r="Q30" s="7" t="s">
        <v>29</v>
      </c>
      <c r="R30" s="7" t="s">
        <v>29</v>
      </c>
      <c r="S30" s="7" t="s">
        <v>29</v>
      </c>
    </row>
    <row r="31" spans="1:19">
      <c r="B31" s="7" t="s">
        <v>195</v>
      </c>
      <c r="C31" s="8" t="s">
        <v>195</v>
      </c>
      <c r="D31" s="6" t="str">
        <f>LRTRIM(CONCATENATE(IF(SUMPRODUCT(-- ISNUMBER(SEARCH({"Auto Number"}, $B31))) &gt; 0, $B31, IF(SUMPRODUCT(-- ISNUMBER(SEARCH({"Lookup","Master-Detail"}, $B31))) &gt; 0,$B31 &amp; "(" &amp; $E31 &amp; ")",IF(SUMPRODUCT(-- ISNUMBER(SEARCH({"Formula","Roll-Up Summary"}, $B31))) &gt; 0,$B31 &amp; " (" &amp; $E31 &amp; ")",IF(SUMPRODUCT(-- ISNUMBER(SEARCH({"Content","Currency","Number","Percent","Text","URL"}, $B31))) &gt; 0,$B31 &amp; "(" &amp; $C31 &amp; ")",$B31)))), "  ", TRIM(IF($S31 = "YES", "(External ID)", "") &amp; " " &amp; IF(SUMPRODUCT(-- ISNUMBER(SEARCH({"Unique","Unique Case Insensitive"}, $R31))) &gt; 0, "(" &amp; $R31 &amp; ")", ""))))</f>
        <v>na</v>
      </c>
      <c r="E31" s="7" t="s">
        <v>195</v>
      </c>
      <c r="F31" s="7" t="s">
        <v>195</v>
      </c>
      <c r="G31" s="7" t="s">
        <v>195</v>
      </c>
      <c r="H31" s="7" t="s">
        <v>195</v>
      </c>
      <c r="I31" s="7" t="s">
        <v>195</v>
      </c>
      <c r="J31" s="7" t="s">
        <v>195</v>
      </c>
      <c r="K31" s="7" t="s">
        <v>195</v>
      </c>
      <c r="L31" s="7" t="s">
        <v>195</v>
      </c>
      <c r="M31" s="7" t="s">
        <v>29</v>
      </c>
      <c r="N31" s="7" t="s">
        <v>29</v>
      </c>
      <c r="O31" s="7" t="s">
        <v>29</v>
      </c>
      <c r="P31" s="7" t="s">
        <v>29</v>
      </c>
      <c r="Q31" s="7" t="s">
        <v>29</v>
      </c>
      <c r="R31" s="7" t="s">
        <v>29</v>
      </c>
      <c r="S31" s="7" t="s">
        <v>29</v>
      </c>
    </row>
    <row r="32" spans="1:19">
      <c r="B32" s="7" t="s">
        <v>195</v>
      </c>
      <c r="C32" s="8" t="s">
        <v>195</v>
      </c>
      <c r="D32" s="6" t="str">
        <f>LRTRIM(CONCATENATE(IF(SUMPRODUCT(-- ISNUMBER(SEARCH({"Auto Number"}, $B32))) &gt; 0, $B32, IF(SUMPRODUCT(-- ISNUMBER(SEARCH({"Lookup","Master-Detail"}, $B32))) &gt; 0,$B32 &amp; "(" &amp; $E32 &amp; ")",IF(SUMPRODUCT(-- ISNUMBER(SEARCH({"Formula","Roll-Up Summary"}, $B32))) &gt; 0,$B32 &amp; " (" &amp; $E32 &amp; ")",IF(SUMPRODUCT(-- ISNUMBER(SEARCH({"Content","Currency","Number","Percent","Text","URL"}, $B32))) &gt; 0,$B32 &amp; "(" &amp; $C32 &amp; ")",$B32)))), "  ", TRIM(IF($S32 = "YES", "(External ID)", "") &amp; " " &amp; IF(SUMPRODUCT(-- ISNUMBER(SEARCH({"Unique","Unique Case Insensitive"}, $R32))) &gt; 0, "(" &amp; $R32 &amp; ")", ""))))</f>
        <v>na</v>
      </c>
      <c r="E32" s="7" t="s">
        <v>195</v>
      </c>
      <c r="F32" s="7" t="s">
        <v>195</v>
      </c>
      <c r="G32" s="7" t="s">
        <v>195</v>
      </c>
      <c r="H32" s="7" t="s">
        <v>195</v>
      </c>
      <c r="I32" s="7" t="s">
        <v>195</v>
      </c>
      <c r="J32" s="7" t="s">
        <v>195</v>
      </c>
      <c r="K32" s="7" t="s">
        <v>195</v>
      </c>
      <c r="L32" s="7" t="s">
        <v>195</v>
      </c>
      <c r="M32" s="7" t="s">
        <v>29</v>
      </c>
      <c r="N32" s="7" t="s">
        <v>29</v>
      </c>
      <c r="O32" s="7" t="s">
        <v>29</v>
      </c>
      <c r="P32" s="7" t="s">
        <v>29</v>
      </c>
      <c r="Q32" s="7" t="s">
        <v>29</v>
      </c>
      <c r="R32" s="7" t="s">
        <v>29</v>
      </c>
      <c r="S32" s="7" t="s">
        <v>29</v>
      </c>
    </row>
    <row r="33" spans="2:19">
      <c r="B33" s="7" t="s">
        <v>195</v>
      </c>
      <c r="C33" s="8" t="s">
        <v>195</v>
      </c>
      <c r="D33" s="6" t="str">
        <f>LRTRIM(CONCATENATE(IF(SUMPRODUCT(-- ISNUMBER(SEARCH({"Auto Number"}, $B33))) &gt; 0, $B33, IF(SUMPRODUCT(-- ISNUMBER(SEARCH({"Lookup","Master-Detail"}, $B33))) &gt; 0,$B33 &amp; "(" &amp; $E33 &amp; ")",IF(SUMPRODUCT(-- ISNUMBER(SEARCH({"Formula","Roll-Up Summary"}, $B33))) &gt; 0,$B33 &amp; " (" &amp; $E33 &amp; ")",IF(SUMPRODUCT(-- ISNUMBER(SEARCH({"Content","Currency","Number","Percent","Text","URL"}, $B33))) &gt; 0,$B33 &amp; "(" &amp; $C33 &amp; ")",$B33)))), "  ", TRIM(IF($S33 = "YES", "(External ID)", "") &amp; " " &amp; IF(SUMPRODUCT(-- ISNUMBER(SEARCH({"Unique","Unique Case Insensitive"}, $R33))) &gt; 0, "(" &amp; $R33 &amp; ")", ""))))</f>
        <v>na</v>
      </c>
      <c r="E33" s="7" t="s">
        <v>195</v>
      </c>
      <c r="F33" s="7" t="s">
        <v>195</v>
      </c>
      <c r="G33" s="7" t="s">
        <v>195</v>
      </c>
      <c r="H33" s="7" t="s">
        <v>195</v>
      </c>
      <c r="I33" s="7" t="s">
        <v>195</v>
      </c>
      <c r="J33" s="7" t="s">
        <v>195</v>
      </c>
      <c r="K33" s="7" t="s">
        <v>195</v>
      </c>
      <c r="L33" s="7" t="s">
        <v>195</v>
      </c>
      <c r="M33" s="7" t="s">
        <v>29</v>
      </c>
      <c r="N33" s="7" t="s">
        <v>29</v>
      </c>
      <c r="O33" s="7" t="s">
        <v>29</v>
      </c>
      <c r="P33" s="7" t="s">
        <v>29</v>
      </c>
      <c r="Q33" s="7" t="s">
        <v>29</v>
      </c>
      <c r="R33" s="7" t="s">
        <v>29</v>
      </c>
      <c r="S33" s="7" t="s">
        <v>29</v>
      </c>
    </row>
    <row r="34" spans="2:19">
      <c r="B34" s="7" t="s">
        <v>195</v>
      </c>
      <c r="C34" s="8" t="s">
        <v>195</v>
      </c>
      <c r="D34" s="6" t="str">
        <f>LRTRIM(CONCATENATE(IF(SUMPRODUCT(-- ISNUMBER(SEARCH({"Auto Number"}, $B34))) &gt; 0, $B34, IF(SUMPRODUCT(-- ISNUMBER(SEARCH({"Lookup","Master-Detail"}, $B34))) &gt; 0,$B34 &amp; "(" &amp; $E34 &amp; ")",IF(SUMPRODUCT(-- ISNUMBER(SEARCH({"Formula","Roll-Up Summary"}, $B34))) &gt; 0,$B34 &amp; " (" &amp; $E34 &amp; ")",IF(SUMPRODUCT(-- ISNUMBER(SEARCH({"Content","Currency","Number","Percent","Text","URL"}, $B34))) &gt; 0,$B34 &amp; "(" &amp; $C34 &amp; ")",$B34)))), "  ", TRIM(IF($S34 = "YES", "(External ID)", "") &amp; " " &amp; IF(SUMPRODUCT(-- ISNUMBER(SEARCH({"Unique","Unique Case Insensitive"}, $R34))) &gt; 0, "(" &amp; $R34 &amp; ")", ""))))</f>
        <v>na</v>
      </c>
      <c r="E34" s="7" t="s">
        <v>195</v>
      </c>
      <c r="F34" s="7" t="s">
        <v>195</v>
      </c>
      <c r="G34" s="7" t="s">
        <v>195</v>
      </c>
      <c r="H34" s="7" t="s">
        <v>195</v>
      </c>
      <c r="I34" s="7" t="s">
        <v>195</v>
      </c>
      <c r="J34" s="7" t="s">
        <v>195</v>
      </c>
      <c r="K34" s="7" t="s">
        <v>195</v>
      </c>
      <c r="L34" s="7" t="s">
        <v>195</v>
      </c>
      <c r="M34" s="7" t="s">
        <v>29</v>
      </c>
      <c r="N34" s="7" t="s">
        <v>29</v>
      </c>
      <c r="O34" s="7" t="s">
        <v>29</v>
      </c>
      <c r="P34" s="7" t="s">
        <v>29</v>
      </c>
      <c r="Q34" s="7" t="s">
        <v>29</v>
      </c>
      <c r="R34" s="7" t="s">
        <v>29</v>
      </c>
      <c r="S34" s="7" t="s">
        <v>29</v>
      </c>
    </row>
    <row r="35" spans="2:19">
      <c r="B35" s="7" t="s">
        <v>195</v>
      </c>
      <c r="C35" s="8" t="s">
        <v>195</v>
      </c>
      <c r="D35" s="6" t="str">
        <f>LRTRIM(CONCATENATE(IF(SUMPRODUCT(-- ISNUMBER(SEARCH({"Auto Number"}, $B35))) &gt; 0, $B35, IF(SUMPRODUCT(-- ISNUMBER(SEARCH({"Lookup","Master-Detail"}, $B35))) &gt; 0,$B35 &amp; "(" &amp; $E35 &amp; ")",IF(SUMPRODUCT(-- ISNUMBER(SEARCH({"Formula","Roll-Up Summary"}, $B35))) &gt; 0,$B35 &amp; " (" &amp; $E35 &amp; ")",IF(SUMPRODUCT(-- ISNUMBER(SEARCH({"Content","Currency","Number","Percent","Text","URL"}, $B35))) &gt; 0,$B35 &amp; "(" &amp; $C35 &amp; ")",$B35)))), "  ", TRIM(IF($S35 = "YES", "(External ID)", "") &amp; " " &amp; IF(SUMPRODUCT(-- ISNUMBER(SEARCH({"Unique","Unique Case Insensitive"}, $R35))) &gt; 0, "(" &amp; $R35 &amp; ")", ""))))</f>
        <v>na</v>
      </c>
      <c r="E35" s="7" t="s">
        <v>195</v>
      </c>
      <c r="F35" s="7" t="s">
        <v>195</v>
      </c>
      <c r="G35" s="7" t="s">
        <v>195</v>
      </c>
      <c r="H35" s="7" t="s">
        <v>195</v>
      </c>
      <c r="I35" s="7" t="s">
        <v>195</v>
      </c>
      <c r="J35" s="7" t="s">
        <v>195</v>
      </c>
      <c r="K35" s="7" t="s">
        <v>195</v>
      </c>
      <c r="L35" s="7" t="s">
        <v>195</v>
      </c>
      <c r="M35" s="7" t="s">
        <v>29</v>
      </c>
      <c r="N35" s="7" t="s">
        <v>29</v>
      </c>
      <c r="O35" s="7" t="s">
        <v>29</v>
      </c>
      <c r="P35" s="7" t="s">
        <v>29</v>
      </c>
      <c r="Q35" s="7" t="s">
        <v>29</v>
      </c>
      <c r="R35" s="7" t="s">
        <v>29</v>
      </c>
      <c r="S35" s="7" t="s">
        <v>29</v>
      </c>
    </row>
    <row r="36" spans="2:19">
      <c r="B36" s="7" t="s">
        <v>195</v>
      </c>
      <c r="C36" s="8" t="s">
        <v>195</v>
      </c>
      <c r="D36" s="6" t="str">
        <f>LRTRIM(CONCATENATE(IF(SUMPRODUCT(-- ISNUMBER(SEARCH({"Auto Number"}, $B36))) &gt; 0, $B36, IF(SUMPRODUCT(-- ISNUMBER(SEARCH({"Lookup","Master-Detail"}, $B36))) &gt; 0,$B36 &amp; "(" &amp; $E36 &amp; ")",IF(SUMPRODUCT(-- ISNUMBER(SEARCH({"Formula","Roll-Up Summary"}, $B36))) &gt; 0,$B36 &amp; " (" &amp; $E36 &amp; ")",IF(SUMPRODUCT(-- ISNUMBER(SEARCH({"Content","Currency","Number","Percent","Text","URL"}, $B36))) &gt; 0,$B36 &amp; "(" &amp; $C36 &amp; ")",$B36)))), "  ", TRIM(IF($S36 = "YES", "(External ID)", "") &amp; " " &amp; IF(SUMPRODUCT(-- ISNUMBER(SEARCH({"Unique","Unique Case Insensitive"}, $R36))) &gt; 0, "(" &amp; $R36 &amp; ")", ""))))</f>
        <v>na</v>
      </c>
      <c r="E36" s="7" t="s">
        <v>195</v>
      </c>
      <c r="F36" s="7" t="s">
        <v>195</v>
      </c>
      <c r="G36" s="7" t="s">
        <v>195</v>
      </c>
      <c r="H36" s="7" t="s">
        <v>195</v>
      </c>
      <c r="I36" s="7" t="s">
        <v>195</v>
      </c>
      <c r="J36" s="7" t="s">
        <v>195</v>
      </c>
      <c r="K36" s="7" t="s">
        <v>195</v>
      </c>
      <c r="L36" s="7" t="s">
        <v>195</v>
      </c>
      <c r="M36" s="7" t="s">
        <v>29</v>
      </c>
      <c r="N36" s="7" t="s">
        <v>29</v>
      </c>
      <c r="O36" s="7" t="s">
        <v>29</v>
      </c>
      <c r="P36" s="7" t="s">
        <v>29</v>
      </c>
      <c r="Q36" s="7" t="s">
        <v>29</v>
      </c>
      <c r="R36" s="7" t="s">
        <v>29</v>
      </c>
      <c r="S36" s="7" t="s">
        <v>29</v>
      </c>
    </row>
    <row r="37" spans="2:19">
      <c r="B37" s="7" t="s">
        <v>195</v>
      </c>
      <c r="C37" s="8" t="s">
        <v>195</v>
      </c>
      <c r="D37" s="6" t="str">
        <f>LRTRIM(CONCATENATE(IF(SUMPRODUCT(-- ISNUMBER(SEARCH({"Auto Number"}, $B37))) &gt; 0, $B37, IF(SUMPRODUCT(-- ISNUMBER(SEARCH({"Lookup","Master-Detail"}, $B37))) &gt; 0,$B37 &amp; "(" &amp; $E37 &amp; ")",IF(SUMPRODUCT(-- ISNUMBER(SEARCH({"Formula","Roll-Up Summary"}, $B37))) &gt; 0,$B37 &amp; " (" &amp; $E37 &amp; ")",IF(SUMPRODUCT(-- ISNUMBER(SEARCH({"Content","Currency","Number","Percent","Text","URL"}, $B37))) &gt; 0,$B37 &amp; "(" &amp; $C37 &amp; ")",$B37)))), "  ", TRIM(IF($S37 = "YES", "(External ID)", "") &amp; " " &amp; IF(SUMPRODUCT(-- ISNUMBER(SEARCH({"Unique","Unique Case Insensitive"}, $R37))) &gt; 0, "(" &amp; $R37 &amp; ")", ""))))</f>
        <v>na</v>
      </c>
      <c r="E37" s="7" t="s">
        <v>195</v>
      </c>
      <c r="F37" s="7" t="s">
        <v>195</v>
      </c>
      <c r="G37" s="7" t="s">
        <v>195</v>
      </c>
      <c r="H37" s="7" t="s">
        <v>195</v>
      </c>
      <c r="I37" s="7" t="s">
        <v>195</v>
      </c>
      <c r="J37" s="7" t="s">
        <v>195</v>
      </c>
      <c r="K37" s="7" t="s">
        <v>195</v>
      </c>
      <c r="L37" s="7" t="s">
        <v>195</v>
      </c>
      <c r="M37" s="7" t="s">
        <v>29</v>
      </c>
      <c r="N37" s="7" t="s">
        <v>29</v>
      </c>
      <c r="O37" s="7" t="s">
        <v>29</v>
      </c>
      <c r="P37" s="7" t="s">
        <v>29</v>
      </c>
      <c r="Q37" s="7" t="s">
        <v>29</v>
      </c>
      <c r="R37" s="7" t="s">
        <v>29</v>
      </c>
      <c r="S37" s="7" t="s">
        <v>29</v>
      </c>
    </row>
    <row r="38" spans="2:19">
      <c r="B38" s="7" t="s">
        <v>195</v>
      </c>
      <c r="C38" s="8" t="s">
        <v>195</v>
      </c>
      <c r="D38" s="6" t="str">
        <f>LRTRIM(CONCATENATE(IF(SUMPRODUCT(-- ISNUMBER(SEARCH({"Auto Number"}, $B38))) &gt; 0, $B38, IF(SUMPRODUCT(-- ISNUMBER(SEARCH({"Lookup","Master-Detail"}, $B38))) &gt; 0,$B38 &amp; "(" &amp; $E38 &amp; ")",IF(SUMPRODUCT(-- ISNUMBER(SEARCH({"Formula","Roll-Up Summary"}, $B38))) &gt; 0,$B38 &amp; " (" &amp; $E38 &amp; ")",IF(SUMPRODUCT(-- ISNUMBER(SEARCH({"Content","Currency","Number","Percent","Text","URL"}, $B38))) &gt; 0,$B38 &amp; "(" &amp; $C38 &amp; ")",$B38)))), "  ", TRIM(IF($S38 = "YES", "(External ID)", "") &amp; " " &amp; IF(SUMPRODUCT(-- ISNUMBER(SEARCH({"Unique","Unique Case Insensitive"}, $R38))) &gt; 0, "(" &amp; $R38 &amp; ")", ""))))</f>
        <v>na</v>
      </c>
      <c r="E38" s="7" t="s">
        <v>195</v>
      </c>
      <c r="F38" s="7" t="s">
        <v>195</v>
      </c>
      <c r="G38" s="7" t="s">
        <v>195</v>
      </c>
      <c r="H38" s="7" t="s">
        <v>195</v>
      </c>
      <c r="I38" s="7" t="s">
        <v>195</v>
      </c>
      <c r="J38" s="7" t="s">
        <v>195</v>
      </c>
      <c r="K38" s="7" t="s">
        <v>195</v>
      </c>
      <c r="L38" s="7" t="s">
        <v>195</v>
      </c>
      <c r="M38" s="7" t="s">
        <v>29</v>
      </c>
      <c r="N38" s="7" t="s">
        <v>29</v>
      </c>
      <c r="O38" s="7" t="s">
        <v>29</v>
      </c>
      <c r="P38" s="7" t="s">
        <v>29</v>
      </c>
      <c r="Q38" s="7" t="s">
        <v>29</v>
      </c>
      <c r="R38" s="7" t="s">
        <v>29</v>
      </c>
      <c r="S38" s="7" t="s">
        <v>29</v>
      </c>
    </row>
    <row r="39" spans="2:19">
      <c r="B39" s="7" t="s">
        <v>195</v>
      </c>
      <c r="C39" s="8" t="s">
        <v>195</v>
      </c>
      <c r="D39" s="6" t="str">
        <f>LRTRIM(CONCATENATE(IF(SUMPRODUCT(-- ISNUMBER(SEARCH({"Auto Number"}, $B39))) &gt; 0, $B39, IF(SUMPRODUCT(-- ISNUMBER(SEARCH({"Lookup","Master-Detail"}, $B39))) &gt; 0,$B39 &amp; "(" &amp; $E39 &amp; ")",IF(SUMPRODUCT(-- ISNUMBER(SEARCH({"Formula","Roll-Up Summary"}, $B39))) &gt; 0,$B39 &amp; " (" &amp; $E39 &amp; ")",IF(SUMPRODUCT(-- ISNUMBER(SEARCH({"Content","Currency","Number","Percent","Text","URL"}, $B39))) &gt; 0,$B39 &amp; "(" &amp; $C39 &amp; ")",$B39)))), "  ", TRIM(IF($S39 = "YES", "(External ID)", "") &amp; " " &amp; IF(SUMPRODUCT(-- ISNUMBER(SEARCH({"Unique","Unique Case Insensitive"}, $R39))) &gt; 0, "(" &amp; $R39 &amp; ")", ""))))</f>
        <v>na</v>
      </c>
      <c r="E39" s="7" t="s">
        <v>195</v>
      </c>
      <c r="F39" s="7" t="s">
        <v>195</v>
      </c>
      <c r="G39" s="7" t="s">
        <v>195</v>
      </c>
      <c r="H39" s="7" t="s">
        <v>195</v>
      </c>
      <c r="I39" s="7" t="s">
        <v>195</v>
      </c>
      <c r="J39" s="7" t="s">
        <v>195</v>
      </c>
      <c r="K39" s="7" t="s">
        <v>195</v>
      </c>
      <c r="L39" s="7" t="s">
        <v>195</v>
      </c>
      <c r="M39" s="7" t="s">
        <v>29</v>
      </c>
      <c r="N39" s="7" t="s">
        <v>29</v>
      </c>
      <c r="O39" s="7" t="s">
        <v>29</v>
      </c>
      <c r="P39" s="7" t="s">
        <v>29</v>
      </c>
      <c r="Q39" s="7" t="s">
        <v>29</v>
      </c>
      <c r="R39" s="7" t="s">
        <v>29</v>
      </c>
      <c r="S39" s="7" t="s">
        <v>29</v>
      </c>
    </row>
    <row r="40" spans="2:19">
      <c r="B40" s="7" t="s">
        <v>195</v>
      </c>
      <c r="C40" s="8" t="s">
        <v>195</v>
      </c>
      <c r="D40" s="6" t="str">
        <f>LRTRIM(CONCATENATE(IF(SUMPRODUCT(-- ISNUMBER(SEARCH({"Auto Number"}, $B40))) &gt; 0, $B40, IF(SUMPRODUCT(-- ISNUMBER(SEARCH({"Lookup","Master-Detail"}, $B40))) &gt; 0,$B40 &amp; "(" &amp; $E40 &amp; ")",IF(SUMPRODUCT(-- ISNUMBER(SEARCH({"Formula","Roll-Up Summary"}, $B40))) &gt; 0,$B40 &amp; " (" &amp; $E40 &amp; ")",IF(SUMPRODUCT(-- ISNUMBER(SEARCH({"Content","Currency","Number","Percent","Text","URL"}, $B40))) &gt; 0,$B40 &amp; "(" &amp; $C40 &amp; ")",$B40)))), "  ", TRIM(IF($S40 = "YES", "(External ID)", "") &amp; " " &amp; IF(SUMPRODUCT(-- ISNUMBER(SEARCH({"Unique","Unique Case Insensitive"}, $R40))) &gt; 0, "(" &amp; $R40 &amp; ")", ""))))</f>
        <v>na</v>
      </c>
      <c r="E40" s="7" t="s">
        <v>195</v>
      </c>
      <c r="F40" s="7" t="s">
        <v>195</v>
      </c>
      <c r="G40" s="7" t="s">
        <v>195</v>
      </c>
      <c r="H40" s="7" t="s">
        <v>195</v>
      </c>
      <c r="I40" s="7" t="s">
        <v>195</v>
      </c>
      <c r="J40" s="7" t="s">
        <v>195</v>
      </c>
      <c r="K40" s="7" t="s">
        <v>195</v>
      </c>
      <c r="L40" s="7" t="s">
        <v>195</v>
      </c>
      <c r="M40" s="7" t="s">
        <v>29</v>
      </c>
      <c r="N40" s="7" t="s">
        <v>29</v>
      </c>
      <c r="O40" s="7" t="s">
        <v>29</v>
      </c>
      <c r="P40" s="7" t="s">
        <v>29</v>
      </c>
      <c r="Q40" s="7" t="s">
        <v>29</v>
      </c>
      <c r="R40" s="7" t="s">
        <v>29</v>
      </c>
      <c r="S40" s="7" t="s">
        <v>29</v>
      </c>
    </row>
    <row r="41" spans="2:19">
      <c r="B41" s="7" t="s">
        <v>195</v>
      </c>
      <c r="C41" s="8" t="s">
        <v>195</v>
      </c>
      <c r="D41" s="6" t="str">
        <f>LRTRIM(CONCATENATE(IF(SUMPRODUCT(-- ISNUMBER(SEARCH({"Auto Number"}, $B41))) &gt; 0, $B41, IF(SUMPRODUCT(-- ISNUMBER(SEARCH({"Lookup","Master-Detail"}, $B41))) &gt; 0,$B41 &amp; "(" &amp; $E41 &amp; ")",IF(SUMPRODUCT(-- ISNUMBER(SEARCH({"Formula","Roll-Up Summary"}, $B41))) &gt; 0,$B41 &amp; " (" &amp; $E41 &amp; ")",IF(SUMPRODUCT(-- ISNUMBER(SEARCH({"Content","Currency","Number","Percent","Text","URL"}, $B41))) &gt; 0,$B41 &amp; "(" &amp; $C41 &amp; ")",$B41)))), "  ", TRIM(IF($S41 = "YES", "(External ID)", "") &amp; " " &amp; IF(SUMPRODUCT(-- ISNUMBER(SEARCH({"Unique","Unique Case Insensitive"}, $R41))) &gt; 0, "(" &amp; $R41 &amp; ")", ""))))</f>
        <v>na</v>
      </c>
      <c r="E41" s="7" t="s">
        <v>195</v>
      </c>
      <c r="F41" s="7" t="s">
        <v>195</v>
      </c>
      <c r="G41" s="7" t="s">
        <v>195</v>
      </c>
      <c r="H41" s="7" t="s">
        <v>195</v>
      </c>
      <c r="I41" s="7" t="s">
        <v>195</v>
      </c>
      <c r="J41" s="7" t="s">
        <v>195</v>
      </c>
      <c r="K41" s="7" t="s">
        <v>195</v>
      </c>
      <c r="L41" s="7" t="s">
        <v>195</v>
      </c>
      <c r="M41" s="7" t="s">
        <v>29</v>
      </c>
      <c r="N41" s="7" t="s">
        <v>29</v>
      </c>
      <c r="O41" s="7" t="s">
        <v>29</v>
      </c>
      <c r="P41" s="7" t="s">
        <v>29</v>
      </c>
      <c r="Q41" s="7" t="s">
        <v>29</v>
      </c>
      <c r="R41" s="7" t="s">
        <v>29</v>
      </c>
      <c r="S41" s="7" t="s">
        <v>29</v>
      </c>
    </row>
    <row r="42" spans="2:19">
      <c r="B42" s="7" t="s">
        <v>195</v>
      </c>
      <c r="C42" s="8" t="s">
        <v>195</v>
      </c>
      <c r="D42" s="6" t="str">
        <f>LRTRIM(CONCATENATE(IF(SUMPRODUCT(-- ISNUMBER(SEARCH({"Auto Number"}, $B42))) &gt; 0, $B42, IF(SUMPRODUCT(-- ISNUMBER(SEARCH({"Lookup","Master-Detail"}, $B42))) &gt; 0,$B42 &amp; "(" &amp; $E42 &amp; ")",IF(SUMPRODUCT(-- ISNUMBER(SEARCH({"Formula","Roll-Up Summary"}, $B42))) &gt; 0,$B42 &amp; " (" &amp; $E42 &amp; ")",IF(SUMPRODUCT(-- ISNUMBER(SEARCH({"Content","Currency","Number","Percent","Text","URL"}, $B42))) &gt; 0,$B42 &amp; "(" &amp; $C42 &amp; ")",$B42)))), "  ", TRIM(IF($S42 = "YES", "(External ID)", "") &amp; " " &amp; IF(SUMPRODUCT(-- ISNUMBER(SEARCH({"Unique","Unique Case Insensitive"}, $R42))) &gt; 0, "(" &amp; $R42 &amp; ")", ""))))</f>
        <v>na</v>
      </c>
      <c r="E42" s="7" t="s">
        <v>195</v>
      </c>
      <c r="F42" s="7" t="s">
        <v>195</v>
      </c>
      <c r="G42" s="7" t="s">
        <v>195</v>
      </c>
      <c r="H42" s="7" t="s">
        <v>195</v>
      </c>
      <c r="I42" s="7" t="s">
        <v>195</v>
      </c>
      <c r="J42" s="7" t="s">
        <v>195</v>
      </c>
      <c r="K42" s="7" t="s">
        <v>195</v>
      </c>
      <c r="L42" s="7" t="s">
        <v>195</v>
      </c>
      <c r="M42" s="7" t="s">
        <v>29</v>
      </c>
      <c r="N42" s="7" t="s">
        <v>29</v>
      </c>
      <c r="O42" s="7" t="s">
        <v>29</v>
      </c>
      <c r="P42" s="7" t="s">
        <v>29</v>
      </c>
      <c r="Q42" s="7" t="s">
        <v>29</v>
      </c>
      <c r="R42" s="7" t="s">
        <v>29</v>
      </c>
      <c r="S42" s="7" t="s">
        <v>29</v>
      </c>
    </row>
    <row r="43" spans="2:19">
      <c r="B43" s="7" t="s">
        <v>195</v>
      </c>
      <c r="C43" s="8" t="s">
        <v>195</v>
      </c>
      <c r="D43" s="6" t="str">
        <f>LRTRIM(CONCATENATE(IF(SUMPRODUCT(-- ISNUMBER(SEARCH({"Auto Number"}, $B43))) &gt; 0, $B43, IF(SUMPRODUCT(-- ISNUMBER(SEARCH({"Lookup","Master-Detail"}, $B43))) &gt; 0,$B43 &amp; "(" &amp; $E43 &amp; ")",IF(SUMPRODUCT(-- ISNUMBER(SEARCH({"Formula","Roll-Up Summary"}, $B43))) &gt; 0,$B43 &amp; " (" &amp; $E43 &amp; ")",IF(SUMPRODUCT(-- ISNUMBER(SEARCH({"Content","Currency","Number","Percent","Text","URL"}, $B43))) &gt; 0,$B43 &amp; "(" &amp; $C43 &amp; ")",$B43)))), "  ", TRIM(IF($S43 = "YES", "(External ID)", "") &amp; " " &amp; IF(SUMPRODUCT(-- ISNUMBER(SEARCH({"Unique","Unique Case Insensitive"}, $R43))) &gt; 0, "(" &amp; $R43 &amp; ")", ""))))</f>
        <v>na</v>
      </c>
      <c r="E43" s="7" t="s">
        <v>195</v>
      </c>
      <c r="F43" s="7" t="s">
        <v>195</v>
      </c>
      <c r="G43" s="7" t="s">
        <v>195</v>
      </c>
      <c r="H43" s="7" t="s">
        <v>195</v>
      </c>
      <c r="I43" s="7" t="s">
        <v>195</v>
      </c>
      <c r="J43" s="7" t="s">
        <v>195</v>
      </c>
      <c r="K43" s="7" t="s">
        <v>195</v>
      </c>
      <c r="L43" s="7" t="s">
        <v>195</v>
      </c>
      <c r="M43" s="7" t="s">
        <v>29</v>
      </c>
      <c r="N43" s="7" t="s">
        <v>29</v>
      </c>
      <c r="O43" s="7" t="s">
        <v>29</v>
      </c>
      <c r="P43" s="7" t="s">
        <v>29</v>
      </c>
      <c r="Q43" s="7" t="s">
        <v>29</v>
      </c>
      <c r="R43" s="7" t="s">
        <v>29</v>
      </c>
      <c r="S43" s="7" t="s">
        <v>29</v>
      </c>
    </row>
    <row r="44" spans="2:19">
      <c r="B44" s="7" t="s">
        <v>195</v>
      </c>
      <c r="C44" s="8" t="s">
        <v>195</v>
      </c>
      <c r="D44" s="6" t="str">
        <f>LRTRIM(CONCATENATE(IF(SUMPRODUCT(-- ISNUMBER(SEARCH({"Auto Number"}, $B44))) &gt; 0, $B44, IF(SUMPRODUCT(-- ISNUMBER(SEARCH({"Lookup","Master-Detail"}, $B44))) &gt; 0,$B44 &amp; "(" &amp; $E44 &amp; ")",IF(SUMPRODUCT(-- ISNUMBER(SEARCH({"Formula","Roll-Up Summary"}, $B44))) &gt; 0,$B44 &amp; " (" &amp; $E44 &amp; ")",IF(SUMPRODUCT(-- ISNUMBER(SEARCH({"Content","Currency","Number","Percent","Text","URL"}, $B44))) &gt; 0,$B44 &amp; "(" &amp; $C44 &amp; ")",$B44)))), "  ", TRIM(IF($S44 = "YES", "(External ID)", "") &amp; " " &amp; IF(SUMPRODUCT(-- ISNUMBER(SEARCH({"Unique","Unique Case Insensitive"}, $R44))) &gt; 0, "(" &amp; $R44 &amp; ")", ""))))</f>
        <v>na</v>
      </c>
      <c r="E44" s="7" t="s">
        <v>195</v>
      </c>
      <c r="F44" s="7" t="s">
        <v>195</v>
      </c>
      <c r="G44" s="7" t="s">
        <v>195</v>
      </c>
      <c r="H44" s="7" t="s">
        <v>195</v>
      </c>
      <c r="I44" s="7" t="s">
        <v>195</v>
      </c>
      <c r="J44" s="7" t="s">
        <v>195</v>
      </c>
      <c r="K44" s="7" t="s">
        <v>195</v>
      </c>
      <c r="L44" s="7" t="s">
        <v>195</v>
      </c>
      <c r="M44" s="7" t="s">
        <v>29</v>
      </c>
      <c r="N44" s="7" t="s">
        <v>29</v>
      </c>
      <c r="O44" s="7" t="s">
        <v>29</v>
      </c>
      <c r="P44" s="7" t="s">
        <v>29</v>
      </c>
      <c r="Q44" s="7" t="s">
        <v>29</v>
      </c>
      <c r="R44" s="7" t="s">
        <v>29</v>
      </c>
      <c r="S44" s="7" t="s">
        <v>29</v>
      </c>
    </row>
    <row r="45" spans="2:19">
      <c r="B45" s="7" t="s">
        <v>195</v>
      </c>
      <c r="C45" s="8" t="s">
        <v>195</v>
      </c>
      <c r="D45" s="6" t="str">
        <f>LRTRIM(CONCATENATE(IF(SUMPRODUCT(-- ISNUMBER(SEARCH({"Auto Number"}, $B45))) &gt; 0, $B45, IF(SUMPRODUCT(-- ISNUMBER(SEARCH({"Lookup","Master-Detail"}, $B45))) &gt; 0,$B45 &amp; "(" &amp; $E45 &amp; ")",IF(SUMPRODUCT(-- ISNUMBER(SEARCH({"Formula","Roll-Up Summary"}, $B45))) &gt; 0,$B45 &amp; " (" &amp; $E45 &amp; ")",IF(SUMPRODUCT(-- ISNUMBER(SEARCH({"Content","Currency","Number","Percent","Text","URL"}, $B45))) &gt; 0,$B45 &amp; "(" &amp; $C45 &amp; ")",$B45)))), "  ", TRIM(IF($S45 = "YES", "(External ID)", "") &amp; " " &amp; IF(SUMPRODUCT(-- ISNUMBER(SEARCH({"Unique","Unique Case Insensitive"}, $R45))) &gt; 0, "(" &amp; $R45 &amp; ")", ""))))</f>
        <v>na</v>
      </c>
      <c r="E45" s="7" t="s">
        <v>195</v>
      </c>
      <c r="F45" s="7" t="s">
        <v>195</v>
      </c>
      <c r="G45" s="7" t="s">
        <v>195</v>
      </c>
      <c r="H45" s="7" t="s">
        <v>195</v>
      </c>
      <c r="I45" s="7" t="s">
        <v>195</v>
      </c>
      <c r="J45" s="7" t="s">
        <v>195</v>
      </c>
      <c r="K45" s="7" t="s">
        <v>195</v>
      </c>
      <c r="L45" s="7" t="s">
        <v>195</v>
      </c>
      <c r="M45" s="7" t="s">
        <v>29</v>
      </c>
      <c r="N45" s="7" t="s">
        <v>29</v>
      </c>
      <c r="O45" s="7" t="s">
        <v>29</v>
      </c>
      <c r="P45" s="7" t="s">
        <v>29</v>
      </c>
      <c r="Q45" s="7" t="s">
        <v>29</v>
      </c>
      <c r="R45" s="7" t="s">
        <v>29</v>
      </c>
      <c r="S45" s="7" t="s">
        <v>29</v>
      </c>
    </row>
    <row r="46" spans="2:19">
      <c r="B46" s="7" t="s">
        <v>195</v>
      </c>
      <c r="C46" s="8" t="s">
        <v>195</v>
      </c>
      <c r="D46" s="6" t="str">
        <f>LRTRIM(CONCATENATE(IF(SUMPRODUCT(-- ISNUMBER(SEARCH({"Auto Number"}, $B46))) &gt; 0, $B46, IF(SUMPRODUCT(-- ISNUMBER(SEARCH({"Lookup","Master-Detail"}, $B46))) &gt; 0,$B46 &amp; "(" &amp; $E46 &amp; ")",IF(SUMPRODUCT(-- ISNUMBER(SEARCH({"Formula","Roll-Up Summary"}, $B46))) &gt; 0,$B46 &amp; " (" &amp; $E46 &amp; ")",IF(SUMPRODUCT(-- ISNUMBER(SEARCH({"Content","Currency","Number","Percent","Text","URL"}, $B46))) &gt; 0,$B46 &amp; "(" &amp; $C46 &amp; ")",$B46)))), "  ", TRIM(IF($S46 = "YES", "(External ID)", "") &amp; " " &amp; IF(SUMPRODUCT(-- ISNUMBER(SEARCH({"Unique","Unique Case Insensitive"}, $R46))) &gt; 0, "(" &amp; $R46 &amp; ")", ""))))</f>
        <v>na</v>
      </c>
      <c r="E46" s="7" t="s">
        <v>195</v>
      </c>
      <c r="F46" s="7" t="s">
        <v>195</v>
      </c>
      <c r="G46" s="7" t="s">
        <v>195</v>
      </c>
      <c r="H46" s="7" t="s">
        <v>195</v>
      </c>
      <c r="I46" s="7" t="s">
        <v>195</v>
      </c>
      <c r="J46" s="7" t="s">
        <v>195</v>
      </c>
      <c r="K46" s="7" t="s">
        <v>195</v>
      </c>
      <c r="L46" s="7" t="s">
        <v>195</v>
      </c>
      <c r="M46" s="7" t="s">
        <v>29</v>
      </c>
      <c r="N46" s="7" t="s">
        <v>29</v>
      </c>
      <c r="O46" s="7" t="s">
        <v>29</v>
      </c>
      <c r="P46" s="7" t="s">
        <v>29</v>
      </c>
      <c r="Q46" s="7" t="s">
        <v>29</v>
      </c>
      <c r="R46" s="7" t="s">
        <v>29</v>
      </c>
      <c r="S46" s="7" t="s">
        <v>29</v>
      </c>
    </row>
    <row r="47" spans="2:19">
      <c r="B47" s="7" t="s">
        <v>195</v>
      </c>
      <c r="C47" s="8" t="s">
        <v>195</v>
      </c>
      <c r="D47" s="6" t="str">
        <f>LRTRIM(CONCATENATE(IF(SUMPRODUCT(-- ISNUMBER(SEARCH({"Auto Number"}, $B47))) &gt; 0, $B47, IF(SUMPRODUCT(-- ISNUMBER(SEARCH({"Lookup","Master-Detail"}, $B47))) &gt; 0,$B47 &amp; "(" &amp; $E47 &amp; ")",IF(SUMPRODUCT(-- ISNUMBER(SEARCH({"Formula","Roll-Up Summary"}, $B47))) &gt; 0,$B47 &amp; " (" &amp; $E47 &amp; ")",IF(SUMPRODUCT(-- ISNUMBER(SEARCH({"Content","Currency","Number","Percent","Text","URL"}, $B47))) &gt; 0,$B47 &amp; "(" &amp; $C47 &amp; ")",$B47)))), "  ", TRIM(IF($S47 = "YES", "(External ID)", "") &amp; " " &amp; IF(SUMPRODUCT(-- ISNUMBER(SEARCH({"Unique","Unique Case Insensitive"}, $R47))) &gt; 0, "(" &amp; $R47 &amp; ")", ""))))</f>
        <v>na</v>
      </c>
      <c r="E47" s="7" t="s">
        <v>195</v>
      </c>
      <c r="F47" s="7" t="s">
        <v>195</v>
      </c>
      <c r="G47" s="7" t="s">
        <v>195</v>
      </c>
      <c r="H47" s="7" t="s">
        <v>195</v>
      </c>
      <c r="I47" s="7" t="s">
        <v>195</v>
      </c>
      <c r="J47" s="7" t="s">
        <v>195</v>
      </c>
      <c r="K47" s="7" t="s">
        <v>195</v>
      </c>
      <c r="L47" s="7" t="s">
        <v>195</v>
      </c>
      <c r="M47" s="7" t="s">
        <v>29</v>
      </c>
      <c r="N47" s="7" t="s">
        <v>29</v>
      </c>
      <c r="O47" s="7" t="s">
        <v>29</v>
      </c>
      <c r="P47" s="7" t="s">
        <v>29</v>
      </c>
      <c r="Q47" s="7" t="s">
        <v>29</v>
      </c>
      <c r="R47" s="7" t="s">
        <v>29</v>
      </c>
      <c r="S47" s="7" t="s">
        <v>29</v>
      </c>
    </row>
    <row r="48" spans="2:19">
      <c r="B48" s="7" t="s">
        <v>195</v>
      </c>
      <c r="C48" s="8" t="s">
        <v>195</v>
      </c>
      <c r="D48" s="6" t="str">
        <f>LRTRIM(CONCATENATE(IF(SUMPRODUCT(-- ISNUMBER(SEARCH({"Auto Number"}, $B48))) &gt; 0, $B48, IF(SUMPRODUCT(-- ISNUMBER(SEARCH({"Lookup","Master-Detail"}, $B48))) &gt; 0,$B48 &amp; "(" &amp; $E48 &amp; ")",IF(SUMPRODUCT(-- ISNUMBER(SEARCH({"Formula","Roll-Up Summary"}, $B48))) &gt; 0,$B48 &amp; " (" &amp; $E48 &amp; ")",IF(SUMPRODUCT(-- ISNUMBER(SEARCH({"Content","Currency","Number","Percent","Text","URL"}, $B48))) &gt; 0,$B48 &amp; "(" &amp; $C48 &amp; ")",$B48)))), "  ", TRIM(IF($S48 = "YES", "(External ID)", "") &amp; " " &amp; IF(SUMPRODUCT(-- ISNUMBER(SEARCH({"Unique","Unique Case Insensitive"}, $R48))) &gt; 0, "(" &amp; $R48 &amp; ")", ""))))</f>
        <v>na</v>
      </c>
      <c r="E48" s="7" t="s">
        <v>195</v>
      </c>
      <c r="F48" s="7" t="s">
        <v>195</v>
      </c>
      <c r="G48" s="7" t="s">
        <v>195</v>
      </c>
      <c r="H48" s="7" t="s">
        <v>195</v>
      </c>
      <c r="I48" s="7" t="s">
        <v>195</v>
      </c>
      <c r="J48" s="7" t="s">
        <v>195</v>
      </c>
      <c r="K48" s="7" t="s">
        <v>195</v>
      </c>
      <c r="L48" s="7" t="s">
        <v>195</v>
      </c>
      <c r="M48" s="7" t="s">
        <v>29</v>
      </c>
      <c r="N48" s="7" t="s">
        <v>29</v>
      </c>
      <c r="O48" s="7" t="s">
        <v>29</v>
      </c>
      <c r="P48" s="7" t="s">
        <v>29</v>
      </c>
      <c r="Q48" s="7" t="s">
        <v>29</v>
      </c>
      <c r="R48" s="7" t="s">
        <v>29</v>
      </c>
      <c r="S48" s="7" t="s">
        <v>29</v>
      </c>
    </row>
    <row r="49" spans="2:19">
      <c r="B49" s="7" t="s">
        <v>195</v>
      </c>
      <c r="C49" s="8" t="s">
        <v>195</v>
      </c>
      <c r="D49" s="6" t="str">
        <f>LRTRIM(CONCATENATE(IF(SUMPRODUCT(-- ISNUMBER(SEARCH({"Auto Number"}, $B49))) &gt; 0, $B49, IF(SUMPRODUCT(-- ISNUMBER(SEARCH({"Lookup","Master-Detail"}, $B49))) &gt; 0,$B49 &amp; "(" &amp; $E49 &amp; ")",IF(SUMPRODUCT(-- ISNUMBER(SEARCH({"Formula","Roll-Up Summary"}, $B49))) &gt; 0,$B49 &amp; " (" &amp; $E49 &amp; ")",IF(SUMPRODUCT(-- ISNUMBER(SEARCH({"Content","Currency","Number","Percent","Text","URL"}, $B49))) &gt; 0,$B49 &amp; "(" &amp; $C49 &amp; ")",$B49)))), "  ", TRIM(IF($S49 = "YES", "(External ID)", "") &amp; " " &amp; IF(SUMPRODUCT(-- ISNUMBER(SEARCH({"Unique","Unique Case Insensitive"}, $R49))) &gt; 0, "(" &amp; $R49 &amp; ")", ""))))</f>
        <v>na</v>
      </c>
      <c r="E49" s="7" t="s">
        <v>195</v>
      </c>
      <c r="F49" s="7" t="s">
        <v>195</v>
      </c>
      <c r="G49" s="7" t="s">
        <v>195</v>
      </c>
      <c r="H49" s="7" t="s">
        <v>195</v>
      </c>
      <c r="I49" s="7" t="s">
        <v>195</v>
      </c>
      <c r="J49" s="7" t="s">
        <v>195</v>
      </c>
      <c r="K49" s="7" t="s">
        <v>195</v>
      </c>
      <c r="L49" s="7" t="s">
        <v>195</v>
      </c>
      <c r="M49" s="7" t="s">
        <v>29</v>
      </c>
      <c r="N49" s="7" t="s">
        <v>29</v>
      </c>
      <c r="O49" s="7" t="s">
        <v>29</v>
      </c>
      <c r="P49" s="7" t="s">
        <v>29</v>
      </c>
      <c r="Q49" s="7" t="s">
        <v>29</v>
      </c>
      <c r="R49" s="7" t="s">
        <v>29</v>
      </c>
      <c r="S49" s="7" t="s">
        <v>29</v>
      </c>
    </row>
    <row r="50" spans="2:19">
      <c r="B50" s="7" t="s">
        <v>195</v>
      </c>
      <c r="C50" s="8" t="s">
        <v>195</v>
      </c>
      <c r="D50" s="6" t="str">
        <f>LRTRIM(CONCATENATE(IF(SUMPRODUCT(-- ISNUMBER(SEARCH({"Auto Number"}, $B50))) &gt; 0, $B50, IF(SUMPRODUCT(-- ISNUMBER(SEARCH({"Lookup","Master-Detail"}, $B50))) &gt; 0,$B50 &amp; "(" &amp; $E50 &amp; ")",IF(SUMPRODUCT(-- ISNUMBER(SEARCH({"Formula","Roll-Up Summary"}, $B50))) &gt; 0,$B50 &amp; " (" &amp; $E50 &amp; ")",IF(SUMPRODUCT(-- ISNUMBER(SEARCH({"Content","Currency","Number","Percent","Text","URL"}, $B50))) &gt; 0,$B50 &amp; "(" &amp; $C50 &amp; ")",$B50)))), "  ", TRIM(IF($S50 = "YES", "(External ID)", "") &amp; " " &amp; IF(SUMPRODUCT(-- ISNUMBER(SEARCH({"Unique","Unique Case Insensitive"}, $R50))) &gt; 0, "(" &amp; $R50 &amp; ")", ""))))</f>
        <v>na</v>
      </c>
      <c r="E50" s="7" t="s">
        <v>195</v>
      </c>
      <c r="F50" s="7" t="s">
        <v>195</v>
      </c>
      <c r="G50" s="7" t="s">
        <v>195</v>
      </c>
      <c r="H50" s="7" t="s">
        <v>195</v>
      </c>
      <c r="I50" s="7" t="s">
        <v>195</v>
      </c>
      <c r="J50" s="7" t="s">
        <v>195</v>
      </c>
      <c r="K50" s="7" t="s">
        <v>195</v>
      </c>
      <c r="L50" s="7" t="s">
        <v>195</v>
      </c>
      <c r="M50" s="7" t="s">
        <v>29</v>
      </c>
      <c r="N50" s="7" t="s">
        <v>29</v>
      </c>
      <c r="O50" s="7" t="s">
        <v>29</v>
      </c>
      <c r="P50" s="7" t="s">
        <v>29</v>
      </c>
      <c r="Q50" s="7" t="s">
        <v>29</v>
      </c>
      <c r="R50" s="7" t="s">
        <v>29</v>
      </c>
      <c r="S50" s="7" t="s">
        <v>29</v>
      </c>
    </row>
    <row r="51" spans="2:19">
      <c r="B51" s="7" t="s">
        <v>195</v>
      </c>
      <c r="C51" s="8" t="s">
        <v>195</v>
      </c>
      <c r="D51" s="6" t="str">
        <f>LRTRIM(CONCATENATE(IF(SUMPRODUCT(-- ISNUMBER(SEARCH({"Auto Number"}, $B51))) &gt; 0, $B51, IF(SUMPRODUCT(-- ISNUMBER(SEARCH({"Lookup","Master-Detail"}, $B51))) &gt; 0,$B51 &amp; "(" &amp; $E51 &amp; ")",IF(SUMPRODUCT(-- ISNUMBER(SEARCH({"Formula","Roll-Up Summary"}, $B51))) &gt; 0,$B51 &amp; " (" &amp; $E51 &amp; ")",IF(SUMPRODUCT(-- ISNUMBER(SEARCH({"Content","Currency","Number","Percent","Text","URL"}, $B51))) &gt; 0,$B51 &amp; "(" &amp; $C51 &amp; ")",$B51)))), "  ", TRIM(IF($S51 = "YES", "(External ID)", "") &amp; " " &amp; IF(SUMPRODUCT(-- ISNUMBER(SEARCH({"Unique","Unique Case Insensitive"}, $R51))) &gt; 0, "(" &amp; $R51 &amp; ")", ""))))</f>
        <v>na</v>
      </c>
      <c r="E51" s="7" t="s">
        <v>195</v>
      </c>
      <c r="F51" s="7" t="s">
        <v>195</v>
      </c>
      <c r="G51" s="7" t="s">
        <v>195</v>
      </c>
      <c r="H51" s="7" t="s">
        <v>195</v>
      </c>
      <c r="I51" s="7" t="s">
        <v>195</v>
      </c>
      <c r="J51" s="7" t="s">
        <v>195</v>
      </c>
      <c r="K51" s="7" t="s">
        <v>195</v>
      </c>
      <c r="L51" s="7" t="s">
        <v>195</v>
      </c>
      <c r="M51" s="7" t="s">
        <v>29</v>
      </c>
      <c r="N51" s="7" t="s">
        <v>29</v>
      </c>
      <c r="O51" s="7" t="s">
        <v>29</v>
      </c>
      <c r="P51" s="7" t="s">
        <v>29</v>
      </c>
      <c r="Q51" s="7" t="s">
        <v>29</v>
      </c>
      <c r="R51" s="7" t="s">
        <v>29</v>
      </c>
      <c r="S51" s="7" t="s">
        <v>29</v>
      </c>
    </row>
    <row r="52" spans="2:19">
      <c r="B52" s="7" t="s">
        <v>195</v>
      </c>
      <c r="C52" s="8" t="s">
        <v>195</v>
      </c>
      <c r="D52" s="6" t="str">
        <f>LRTRIM(CONCATENATE(IF(SUMPRODUCT(-- ISNUMBER(SEARCH({"Auto Number"}, $B52))) &gt; 0, $B52, IF(SUMPRODUCT(-- ISNUMBER(SEARCH({"Lookup","Master-Detail"}, $B52))) &gt; 0,$B52 &amp; "(" &amp; $E52 &amp; ")",IF(SUMPRODUCT(-- ISNUMBER(SEARCH({"Formula","Roll-Up Summary"}, $B52))) &gt; 0,$B52 &amp; " (" &amp; $E52 &amp; ")",IF(SUMPRODUCT(-- ISNUMBER(SEARCH({"Content","Currency","Number","Percent","Text","URL"}, $B52))) &gt; 0,$B52 &amp; "(" &amp; $C52 &amp; ")",$B52)))), "  ", TRIM(IF($S52 = "YES", "(External ID)", "") &amp; " " &amp; IF(SUMPRODUCT(-- ISNUMBER(SEARCH({"Unique","Unique Case Insensitive"}, $R52))) &gt; 0, "(" &amp; $R52 &amp; ")", ""))))</f>
        <v>na</v>
      </c>
      <c r="E52" s="7" t="s">
        <v>195</v>
      </c>
      <c r="F52" s="7" t="s">
        <v>195</v>
      </c>
      <c r="G52" s="7" t="s">
        <v>195</v>
      </c>
      <c r="H52" s="7" t="s">
        <v>195</v>
      </c>
      <c r="I52" s="7" t="s">
        <v>195</v>
      </c>
      <c r="J52" s="7" t="s">
        <v>195</v>
      </c>
      <c r="K52" s="7" t="s">
        <v>195</v>
      </c>
      <c r="L52" s="7" t="s">
        <v>195</v>
      </c>
      <c r="M52" s="7" t="s">
        <v>29</v>
      </c>
      <c r="N52" s="7" t="s">
        <v>29</v>
      </c>
      <c r="O52" s="7" t="s">
        <v>29</v>
      </c>
      <c r="P52" s="7" t="s">
        <v>29</v>
      </c>
      <c r="Q52" s="7" t="s">
        <v>29</v>
      </c>
      <c r="R52" s="7" t="s">
        <v>29</v>
      </c>
      <c r="S52" s="7" t="s">
        <v>29</v>
      </c>
    </row>
    <row r="53" spans="2:19">
      <c r="B53" s="7" t="s">
        <v>195</v>
      </c>
      <c r="C53" s="8" t="s">
        <v>195</v>
      </c>
      <c r="D53" s="6" t="str">
        <f>LRTRIM(CONCATENATE(IF(SUMPRODUCT(-- ISNUMBER(SEARCH({"Auto Number"}, $B53))) &gt; 0, $B53, IF(SUMPRODUCT(-- ISNUMBER(SEARCH({"Lookup","Master-Detail"}, $B53))) &gt; 0,$B53 &amp; "(" &amp; $E53 &amp; ")",IF(SUMPRODUCT(-- ISNUMBER(SEARCH({"Formula","Roll-Up Summary"}, $B53))) &gt; 0,$B53 &amp; " (" &amp; $E53 &amp; ")",IF(SUMPRODUCT(-- ISNUMBER(SEARCH({"Content","Currency","Number","Percent","Text","URL"}, $B53))) &gt; 0,$B53 &amp; "(" &amp; $C53 &amp; ")",$B53)))), "  ", TRIM(IF($S53 = "YES", "(External ID)", "") &amp; " " &amp; IF(SUMPRODUCT(-- ISNUMBER(SEARCH({"Unique","Unique Case Insensitive"}, $R53))) &gt; 0, "(" &amp; $R53 &amp; ")", ""))))</f>
        <v>na</v>
      </c>
      <c r="E53" s="7" t="s">
        <v>195</v>
      </c>
      <c r="F53" s="7" t="s">
        <v>195</v>
      </c>
      <c r="G53" s="7" t="s">
        <v>195</v>
      </c>
      <c r="H53" s="7" t="s">
        <v>195</v>
      </c>
      <c r="I53" s="7" t="s">
        <v>195</v>
      </c>
      <c r="J53" s="7" t="s">
        <v>195</v>
      </c>
      <c r="K53" s="7" t="s">
        <v>195</v>
      </c>
      <c r="L53" s="7" t="s">
        <v>195</v>
      </c>
      <c r="M53" s="7" t="s">
        <v>29</v>
      </c>
      <c r="N53" s="7" t="s">
        <v>29</v>
      </c>
      <c r="O53" s="7" t="s">
        <v>29</v>
      </c>
      <c r="P53" s="7" t="s">
        <v>29</v>
      </c>
      <c r="Q53" s="7" t="s">
        <v>29</v>
      </c>
      <c r="R53" s="7" t="s">
        <v>29</v>
      </c>
      <c r="S53" s="7" t="s">
        <v>29</v>
      </c>
    </row>
    <row r="54" spans="2:19">
      <c r="B54" s="7" t="s">
        <v>195</v>
      </c>
      <c r="C54" s="8" t="s">
        <v>195</v>
      </c>
      <c r="D54" s="6" t="str">
        <f>LRTRIM(CONCATENATE(IF(SUMPRODUCT(-- ISNUMBER(SEARCH({"Auto Number"}, $B54))) &gt; 0, $B54, IF(SUMPRODUCT(-- ISNUMBER(SEARCH({"Lookup","Master-Detail"}, $B54))) &gt; 0,$B54 &amp; "(" &amp; $E54 &amp; ")",IF(SUMPRODUCT(-- ISNUMBER(SEARCH({"Formula","Roll-Up Summary"}, $B54))) &gt; 0,$B54 &amp; " (" &amp; $E54 &amp; ")",IF(SUMPRODUCT(-- ISNUMBER(SEARCH({"Content","Currency","Number","Percent","Text","URL"}, $B54))) &gt; 0,$B54 &amp; "(" &amp; $C54 &amp; ")",$B54)))), "  ", TRIM(IF($S54 = "YES", "(External ID)", "") &amp; " " &amp; IF(SUMPRODUCT(-- ISNUMBER(SEARCH({"Unique","Unique Case Insensitive"}, $R54))) &gt; 0, "(" &amp; $R54 &amp; ")", ""))))</f>
        <v>na</v>
      </c>
      <c r="E54" s="7" t="s">
        <v>195</v>
      </c>
      <c r="F54" s="7" t="s">
        <v>195</v>
      </c>
      <c r="G54" s="7" t="s">
        <v>195</v>
      </c>
      <c r="H54" s="7" t="s">
        <v>195</v>
      </c>
      <c r="I54" s="7" t="s">
        <v>195</v>
      </c>
      <c r="J54" s="7" t="s">
        <v>195</v>
      </c>
      <c r="K54" s="7" t="s">
        <v>195</v>
      </c>
      <c r="L54" s="7" t="s">
        <v>195</v>
      </c>
      <c r="M54" s="7" t="s">
        <v>29</v>
      </c>
      <c r="N54" s="7" t="s">
        <v>29</v>
      </c>
      <c r="O54" s="7" t="s">
        <v>29</v>
      </c>
      <c r="P54" s="7" t="s">
        <v>29</v>
      </c>
      <c r="Q54" s="7" t="s">
        <v>29</v>
      </c>
      <c r="R54" s="7" t="s">
        <v>29</v>
      </c>
      <c r="S54" s="7" t="s">
        <v>29</v>
      </c>
    </row>
    <row r="55" spans="2:19">
      <c r="B55" s="7" t="s">
        <v>195</v>
      </c>
      <c r="C55" s="8" t="s">
        <v>195</v>
      </c>
      <c r="D55" s="6" t="str">
        <f>LRTRIM(CONCATENATE(IF(SUMPRODUCT(-- ISNUMBER(SEARCH({"Auto Number"}, $B55))) &gt; 0, $B55, IF(SUMPRODUCT(-- ISNUMBER(SEARCH({"Lookup","Master-Detail"}, $B55))) &gt; 0,$B55 &amp; "(" &amp; $E55 &amp; ")",IF(SUMPRODUCT(-- ISNUMBER(SEARCH({"Formula","Roll-Up Summary"}, $B55))) &gt; 0,$B55 &amp; " (" &amp; $E55 &amp; ")",IF(SUMPRODUCT(-- ISNUMBER(SEARCH({"Content","Currency","Number","Percent","Text","URL"}, $B55))) &gt; 0,$B55 &amp; "(" &amp; $C55 &amp; ")",$B55)))), "  ", TRIM(IF($S55 = "YES", "(External ID)", "") &amp; " " &amp; IF(SUMPRODUCT(-- ISNUMBER(SEARCH({"Unique","Unique Case Insensitive"}, $R55))) &gt; 0, "(" &amp; $R55 &amp; ")", ""))))</f>
        <v>na</v>
      </c>
      <c r="E55" s="7" t="s">
        <v>195</v>
      </c>
      <c r="F55" s="7" t="s">
        <v>195</v>
      </c>
      <c r="G55" s="7" t="s">
        <v>195</v>
      </c>
      <c r="H55" s="7" t="s">
        <v>195</v>
      </c>
      <c r="I55" s="7" t="s">
        <v>195</v>
      </c>
      <c r="J55" s="7" t="s">
        <v>195</v>
      </c>
      <c r="K55" s="7" t="s">
        <v>195</v>
      </c>
      <c r="L55" s="7" t="s">
        <v>195</v>
      </c>
      <c r="M55" s="7" t="s">
        <v>29</v>
      </c>
      <c r="N55" s="7" t="s">
        <v>29</v>
      </c>
      <c r="O55" s="7" t="s">
        <v>29</v>
      </c>
      <c r="P55" s="7" t="s">
        <v>29</v>
      </c>
      <c r="Q55" s="7" t="s">
        <v>29</v>
      </c>
      <c r="R55" s="7" t="s">
        <v>29</v>
      </c>
      <c r="S55" s="7" t="s">
        <v>29</v>
      </c>
    </row>
    <row r="56" spans="2:19">
      <c r="B56" s="7" t="s">
        <v>195</v>
      </c>
      <c r="C56" s="8" t="s">
        <v>195</v>
      </c>
      <c r="D56" s="6" t="str">
        <f>LRTRIM(CONCATENATE(IF(SUMPRODUCT(-- ISNUMBER(SEARCH({"Auto Number"}, $B56))) &gt; 0, $B56, IF(SUMPRODUCT(-- ISNUMBER(SEARCH({"Lookup","Master-Detail"}, $B56))) &gt; 0,$B56 &amp; "(" &amp; $E56 &amp; ")",IF(SUMPRODUCT(-- ISNUMBER(SEARCH({"Formula","Roll-Up Summary"}, $B56))) &gt; 0,$B56 &amp; " (" &amp; $E56 &amp; ")",IF(SUMPRODUCT(-- ISNUMBER(SEARCH({"Content","Currency","Number","Percent","Text","URL"}, $B56))) &gt; 0,$B56 &amp; "(" &amp; $C56 &amp; ")",$B56)))), "  ", TRIM(IF($S56 = "YES", "(External ID)", "") &amp; " " &amp; IF(SUMPRODUCT(-- ISNUMBER(SEARCH({"Unique","Unique Case Insensitive"}, $R56))) &gt; 0, "(" &amp; $R56 &amp; ")", ""))))</f>
        <v>na</v>
      </c>
      <c r="E56" s="7" t="s">
        <v>195</v>
      </c>
      <c r="F56" s="7" t="s">
        <v>195</v>
      </c>
      <c r="G56" s="7" t="s">
        <v>195</v>
      </c>
      <c r="H56" s="7" t="s">
        <v>195</v>
      </c>
      <c r="I56" s="7" t="s">
        <v>195</v>
      </c>
      <c r="J56" s="7" t="s">
        <v>195</v>
      </c>
      <c r="K56" s="7" t="s">
        <v>195</v>
      </c>
      <c r="L56" s="7" t="s">
        <v>195</v>
      </c>
      <c r="M56" s="7" t="s">
        <v>29</v>
      </c>
      <c r="N56" s="7" t="s">
        <v>29</v>
      </c>
      <c r="O56" s="7" t="s">
        <v>29</v>
      </c>
      <c r="P56" s="7" t="s">
        <v>29</v>
      </c>
      <c r="Q56" s="7" t="s">
        <v>29</v>
      </c>
      <c r="R56" s="7" t="s">
        <v>29</v>
      </c>
      <c r="S56" s="7" t="s">
        <v>29</v>
      </c>
    </row>
    <row r="57" spans="2:19">
      <c r="B57" s="7" t="s">
        <v>195</v>
      </c>
      <c r="C57" s="8" t="s">
        <v>195</v>
      </c>
      <c r="D57" s="6" t="str">
        <f>LRTRIM(CONCATENATE(IF(SUMPRODUCT(-- ISNUMBER(SEARCH({"Auto Number"}, $B57))) &gt; 0, $B57, IF(SUMPRODUCT(-- ISNUMBER(SEARCH({"Lookup","Master-Detail"}, $B57))) &gt; 0,$B57 &amp; "(" &amp; $E57 &amp; ")",IF(SUMPRODUCT(-- ISNUMBER(SEARCH({"Formula","Roll-Up Summary"}, $B57))) &gt; 0,$B57 &amp; " (" &amp; $E57 &amp; ")",IF(SUMPRODUCT(-- ISNUMBER(SEARCH({"Content","Currency","Number","Percent","Text","URL"}, $B57))) &gt; 0,$B57 &amp; "(" &amp; $C57 &amp; ")",$B57)))), "  ", TRIM(IF($S57 = "YES", "(External ID)", "") &amp; " " &amp; IF(SUMPRODUCT(-- ISNUMBER(SEARCH({"Unique","Unique Case Insensitive"}, $R57))) &gt; 0, "(" &amp; $R57 &amp; ")", ""))))</f>
        <v>na</v>
      </c>
      <c r="E57" s="7" t="s">
        <v>195</v>
      </c>
      <c r="F57" s="7" t="s">
        <v>195</v>
      </c>
      <c r="G57" s="7" t="s">
        <v>195</v>
      </c>
      <c r="H57" s="7" t="s">
        <v>195</v>
      </c>
      <c r="I57" s="7" t="s">
        <v>195</v>
      </c>
      <c r="J57" s="7" t="s">
        <v>195</v>
      </c>
      <c r="K57" s="7" t="s">
        <v>195</v>
      </c>
      <c r="L57" s="7" t="s">
        <v>195</v>
      </c>
      <c r="M57" s="7" t="s">
        <v>29</v>
      </c>
      <c r="N57" s="7" t="s">
        <v>29</v>
      </c>
      <c r="O57" s="7" t="s">
        <v>29</v>
      </c>
      <c r="P57" s="7" t="s">
        <v>29</v>
      </c>
      <c r="Q57" s="7" t="s">
        <v>29</v>
      </c>
      <c r="R57" s="7" t="s">
        <v>29</v>
      </c>
      <c r="S57" s="7" t="s">
        <v>29</v>
      </c>
    </row>
    <row r="58" spans="2:19">
      <c r="B58" s="7" t="s">
        <v>195</v>
      </c>
      <c r="C58" s="8" t="s">
        <v>195</v>
      </c>
      <c r="D58" s="6" t="str">
        <f>LRTRIM(CONCATENATE(IF(SUMPRODUCT(-- ISNUMBER(SEARCH({"Auto Number"}, $B58))) &gt; 0, $B58, IF(SUMPRODUCT(-- ISNUMBER(SEARCH({"Lookup","Master-Detail"}, $B58))) &gt; 0,$B58 &amp; "(" &amp; $E58 &amp; ")",IF(SUMPRODUCT(-- ISNUMBER(SEARCH({"Formula","Roll-Up Summary"}, $B58))) &gt; 0,$B58 &amp; " (" &amp; $E58 &amp; ")",IF(SUMPRODUCT(-- ISNUMBER(SEARCH({"Content","Currency","Number","Percent","Text","URL"}, $B58))) &gt; 0,$B58 &amp; "(" &amp; $C58 &amp; ")",$B58)))), "  ", TRIM(IF($S58 = "YES", "(External ID)", "") &amp; " " &amp; IF(SUMPRODUCT(-- ISNUMBER(SEARCH({"Unique","Unique Case Insensitive"}, $R58))) &gt; 0, "(" &amp; $R58 &amp; ")", ""))))</f>
        <v>na</v>
      </c>
      <c r="E58" s="7" t="s">
        <v>195</v>
      </c>
      <c r="F58" s="7" t="s">
        <v>195</v>
      </c>
      <c r="G58" s="7" t="s">
        <v>195</v>
      </c>
      <c r="H58" s="7" t="s">
        <v>195</v>
      </c>
      <c r="I58" s="7" t="s">
        <v>195</v>
      </c>
      <c r="J58" s="7" t="s">
        <v>195</v>
      </c>
      <c r="K58" s="7" t="s">
        <v>195</v>
      </c>
      <c r="L58" s="7" t="s">
        <v>195</v>
      </c>
      <c r="M58" s="7" t="s">
        <v>29</v>
      </c>
      <c r="N58" s="7" t="s">
        <v>29</v>
      </c>
      <c r="O58" s="7" t="s">
        <v>29</v>
      </c>
      <c r="P58" s="7" t="s">
        <v>29</v>
      </c>
      <c r="Q58" s="7" t="s">
        <v>29</v>
      </c>
      <c r="R58" s="7" t="s">
        <v>29</v>
      </c>
      <c r="S58" s="7" t="s">
        <v>29</v>
      </c>
    </row>
    <row r="59" spans="2:19">
      <c r="B59" s="7" t="s">
        <v>195</v>
      </c>
      <c r="C59" s="8" t="s">
        <v>195</v>
      </c>
      <c r="D59" s="6" t="str">
        <f>LRTRIM(CONCATENATE(IF(SUMPRODUCT(-- ISNUMBER(SEARCH({"Auto Number"}, $B59))) &gt; 0, $B59, IF(SUMPRODUCT(-- ISNUMBER(SEARCH({"Lookup","Master-Detail"}, $B59))) &gt; 0,$B59 &amp; "(" &amp; $E59 &amp; ")",IF(SUMPRODUCT(-- ISNUMBER(SEARCH({"Formula","Roll-Up Summary"}, $B59))) &gt; 0,$B59 &amp; " (" &amp; $E59 &amp; ")",IF(SUMPRODUCT(-- ISNUMBER(SEARCH({"Content","Currency","Number","Percent","Text","URL"}, $B59))) &gt; 0,$B59 &amp; "(" &amp; $C59 &amp; ")",$B59)))), "  ", TRIM(IF($S59 = "YES", "(External ID)", "") &amp; " " &amp; IF(SUMPRODUCT(-- ISNUMBER(SEARCH({"Unique","Unique Case Insensitive"}, $R59))) &gt; 0, "(" &amp; $R59 &amp; ")", ""))))</f>
        <v>na</v>
      </c>
      <c r="E59" s="7" t="s">
        <v>195</v>
      </c>
      <c r="F59" s="7" t="s">
        <v>195</v>
      </c>
      <c r="G59" s="7" t="s">
        <v>195</v>
      </c>
      <c r="H59" s="7" t="s">
        <v>195</v>
      </c>
      <c r="I59" s="7" t="s">
        <v>195</v>
      </c>
      <c r="J59" s="7" t="s">
        <v>195</v>
      </c>
      <c r="K59" s="7" t="s">
        <v>195</v>
      </c>
      <c r="L59" s="7" t="s">
        <v>195</v>
      </c>
      <c r="M59" s="7" t="s">
        <v>29</v>
      </c>
      <c r="N59" s="7" t="s">
        <v>29</v>
      </c>
      <c r="O59" s="7" t="s">
        <v>29</v>
      </c>
      <c r="P59" s="7" t="s">
        <v>29</v>
      </c>
      <c r="Q59" s="7" t="s">
        <v>29</v>
      </c>
      <c r="R59" s="7" t="s">
        <v>29</v>
      </c>
      <c r="S59" s="7" t="s">
        <v>29</v>
      </c>
    </row>
    <row r="60" spans="2:19">
      <c r="B60" s="7" t="s">
        <v>195</v>
      </c>
      <c r="C60" s="8" t="s">
        <v>195</v>
      </c>
      <c r="D60" s="6" t="str">
        <f>LRTRIM(CONCATENATE(IF(SUMPRODUCT(-- ISNUMBER(SEARCH({"Auto Number"}, $B60))) &gt; 0, $B60, IF(SUMPRODUCT(-- ISNUMBER(SEARCH({"Lookup","Master-Detail"}, $B60))) &gt; 0,$B60 &amp; "(" &amp; $E60 &amp; ")",IF(SUMPRODUCT(-- ISNUMBER(SEARCH({"Formula","Roll-Up Summary"}, $B60))) &gt; 0,$B60 &amp; " (" &amp; $E60 &amp; ")",IF(SUMPRODUCT(-- ISNUMBER(SEARCH({"Content","Currency","Number","Percent","Text","URL"}, $B60))) &gt; 0,$B60 &amp; "(" &amp; $C60 &amp; ")",$B60)))), "  ", TRIM(IF($S60 = "YES", "(External ID)", "") &amp; " " &amp; IF(SUMPRODUCT(-- ISNUMBER(SEARCH({"Unique","Unique Case Insensitive"}, $R60))) &gt; 0, "(" &amp; $R60 &amp; ")", ""))))</f>
        <v>na</v>
      </c>
      <c r="E60" s="7" t="s">
        <v>195</v>
      </c>
      <c r="F60" s="7" t="s">
        <v>195</v>
      </c>
      <c r="G60" s="7" t="s">
        <v>195</v>
      </c>
      <c r="H60" s="7" t="s">
        <v>195</v>
      </c>
      <c r="I60" s="7" t="s">
        <v>195</v>
      </c>
      <c r="J60" s="7" t="s">
        <v>195</v>
      </c>
      <c r="K60" s="7" t="s">
        <v>195</v>
      </c>
      <c r="L60" s="7" t="s">
        <v>195</v>
      </c>
      <c r="M60" s="7" t="s">
        <v>29</v>
      </c>
      <c r="N60" s="7" t="s">
        <v>29</v>
      </c>
      <c r="O60" s="7" t="s">
        <v>29</v>
      </c>
      <c r="P60" s="7" t="s">
        <v>29</v>
      </c>
      <c r="Q60" s="7" t="s">
        <v>29</v>
      </c>
      <c r="R60" s="7" t="s">
        <v>29</v>
      </c>
      <c r="S60" s="7" t="s">
        <v>29</v>
      </c>
    </row>
    <row r="61" spans="2:19">
      <c r="B61" s="7" t="s">
        <v>195</v>
      </c>
      <c r="C61" s="8" t="s">
        <v>195</v>
      </c>
      <c r="D61" s="6" t="str">
        <f>LRTRIM(CONCATENATE(IF(SUMPRODUCT(-- ISNUMBER(SEARCH({"Auto Number"}, $B61))) &gt; 0, $B61, IF(SUMPRODUCT(-- ISNUMBER(SEARCH({"Lookup","Master-Detail"}, $B61))) &gt; 0,$B61 &amp; "(" &amp; $E61 &amp; ")",IF(SUMPRODUCT(-- ISNUMBER(SEARCH({"Formula","Roll-Up Summary"}, $B61))) &gt; 0,$B61 &amp; " (" &amp; $E61 &amp; ")",IF(SUMPRODUCT(-- ISNUMBER(SEARCH({"Content","Currency","Number","Percent","Text","URL"}, $B61))) &gt; 0,$B61 &amp; "(" &amp; $C61 &amp; ")",$B61)))), "  ", TRIM(IF($S61 = "YES", "(External ID)", "") &amp; " " &amp; IF(SUMPRODUCT(-- ISNUMBER(SEARCH({"Unique","Unique Case Insensitive"}, $R61))) &gt; 0, "(" &amp; $R61 &amp; ")", ""))))</f>
        <v>na</v>
      </c>
      <c r="E61" s="7" t="s">
        <v>195</v>
      </c>
      <c r="F61" s="7" t="s">
        <v>195</v>
      </c>
      <c r="G61" s="7" t="s">
        <v>195</v>
      </c>
      <c r="H61" s="7" t="s">
        <v>195</v>
      </c>
      <c r="I61" s="7" t="s">
        <v>195</v>
      </c>
      <c r="J61" s="7" t="s">
        <v>195</v>
      </c>
      <c r="K61" s="7" t="s">
        <v>195</v>
      </c>
      <c r="L61" s="7" t="s">
        <v>195</v>
      </c>
      <c r="M61" s="7" t="s">
        <v>29</v>
      </c>
      <c r="N61" s="7" t="s">
        <v>29</v>
      </c>
      <c r="O61" s="7" t="s">
        <v>29</v>
      </c>
      <c r="P61" s="7" t="s">
        <v>29</v>
      </c>
      <c r="Q61" s="7" t="s">
        <v>29</v>
      </c>
      <c r="R61" s="7" t="s">
        <v>29</v>
      </c>
      <c r="S61" s="7" t="s">
        <v>29</v>
      </c>
    </row>
    <row r="62" spans="2:19">
      <c r="B62" s="7" t="s">
        <v>195</v>
      </c>
      <c r="C62" s="8" t="s">
        <v>195</v>
      </c>
      <c r="D62" s="6" t="str">
        <f>LRTRIM(CONCATENATE(IF(SUMPRODUCT(-- ISNUMBER(SEARCH({"Auto Number"}, $B62))) &gt; 0, $B62, IF(SUMPRODUCT(-- ISNUMBER(SEARCH({"Lookup","Master-Detail"}, $B62))) &gt; 0,$B62 &amp; "(" &amp; $E62 &amp; ")",IF(SUMPRODUCT(-- ISNUMBER(SEARCH({"Formula","Roll-Up Summary"}, $B62))) &gt; 0,$B62 &amp; " (" &amp; $E62 &amp; ")",IF(SUMPRODUCT(-- ISNUMBER(SEARCH({"Content","Currency","Number","Percent","Text","URL"}, $B62))) &gt; 0,$B62 &amp; "(" &amp; $C62 &amp; ")",$B62)))), "  ", TRIM(IF($S62 = "YES", "(External ID)", "") &amp; " " &amp; IF(SUMPRODUCT(-- ISNUMBER(SEARCH({"Unique","Unique Case Insensitive"}, $R62))) &gt; 0, "(" &amp; $R62 &amp; ")", ""))))</f>
        <v>na</v>
      </c>
      <c r="E62" s="7" t="s">
        <v>195</v>
      </c>
      <c r="F62" s="7" t="s">
        <v>195</v>
      </c>
      <c r="G62" s="7" t="s">
        <v>195</v>
      </c>
      <c r="H62" s="7" t="s">
        <v>195</v>
      </c>
      <c r="I62" s="7" t="s">
        <v>195</v>
      </c>
      <c r="J62" s="7" t="s">
        <v>195</v>
      </c>
      <c r="K62" s="7" t="s">
        <v>195</v>
      </c>
      <c r="L62" s="7" t="s">
        <v>195</v>
      </c>
      <c r="M62" s="7" t="s">
        <v>29</v>
      </c>
      <c r="N62" s="7" t="s">
        <v>29</v>
      </c>
      <c r="O62" s="7" t="s">
        <v>29</v>
      </c>
      <c r="P62" s="7" t="s">
        <v>29</v>
      </c>
      <c r="Q62" s="7" t="s">
        <v>29</v>
      </c>
      <c r="R62" s="7" t="s">
        <v>29</v>
      </c>
      <c r="S62" s="7" t="s">
        <v>29</v>
      </c>
    </row>
    <row r="63" spans="2:19">
      <c r="B63" s="7" t="s">
        <v>195</v>
      </c>
      <c r="C63" s="8" t="s">
        <v>195</v>
      </c>
      <c r="D63" s="6" t="str">
        <f>LRTRIM(CONCATENATE(IF(SUMPRODUCT(-- ISNUMBER(SEARCH({"Auto Number"}, $B63))) &gt; 0, $B63, IF(SUMPRODUCT(-- ISNUMBER(SEARCH({"Lookup","Master-Detail"}, $B63))) &gt; 0,$B63 &amp; "(" &amp; $E63 &amp; ")",IF(SUMPRODUCT(-- ISNUMBER(SEARCH({"Formula","Roll-Up Summary"}, $B63))) &gt; 0,$B63 &amp; " (" &amp; $E63 &amp; ")",IF(SUMPRODUCT(-- ISNUMBER(SEARCH({"Content","Currency","Number","Percent","Text","URL"}, $B63))) &gt; 0,$B63 &amp; "(" &amp; $C63 &amp; ")",$B63)))), "  ", TRIM(IF($S63 = "YES", "(External ID)", "") &amp; " " &amp; IF(SUMPRODUCT(-- ISNUMBER(SEARCH({"Unique","Unique Case Insensitive"}, $R63))) &gt; 0, "(" &amp; $R63 &amp; ")", ""))))</f>
        <v>na</v>
      </c>
      <c r="E63" s="7" t="s">
        <v>195</v>
      </c>
      <c r="F63" s="7" t="s">
        <v>195</v>
      </c>
      <c r="G63" s="7" t="s">
        <v>195</v>
      </c>
      <c r="H63" s="7" t="s">
        <v>195</v>
      </c>
      <c r="I63" s="7" t="s">
        <v>195</v>
      </c>
      <c r="J63" s="7" t="s">
        <v>195</v>
      </c>
      <c r="K63" s="7" t="s">
        <v>195</v>
      </c>
      <c r="L63" s="7" t="s">
        <v>195</v>
      </c>
      <c r="M63" s="7" t="s">
        <v>29</v>
      </c>
      <c r="N63" s="7" t="s">
        <v>29</v>
      </c>
      <c r="O63" s="7" t="s">
        <v>29</v>
      </c>
      <c r="P63" s="7" t="s">
        <v>29</v>
      </c>
      <c r="Q63" s="7" t="s">
        <v>29</v>
      </c>
      <c r="R63" s="7" t="s">
        <v>29</v>
      </c>
      <c r="S63" s="7" t="s">
        <v>29</v>
      </c>
    </row>
    <row r="64" spans="2:19">
      <c r="B64" s="7" t="s">
        <v>195</v>
      </c>
      <c r="C64" s="8" t="s">
        <v>195</v>
      </c>
      <c r="D64" s="6" t="str">
        <f>LRTRIM(CONCATENATE(IF(SUMPRODUCT(-- ISNUMBER(SEARCH({"Auto Number"}, $B64))) &gt; 0, $B64, IF(SUMPRODUCT(-- ISNUMBER(SEARCH({"Lookup","Master-Detail"}, $B64))) &gt; 0,$B64 &amp; "(" &amp; $E64 &amp; ")",IF(SUMPRODUCT(-- ISNUMBER(SEARCH({"Formula","Roll-Up Summary"}, $B64))) &gt; 0,$B64 &amp; " (" &amp; $E64 &amp; ")",IF(SUMPRODUCT(-- ISNUMBER(SEARCH({"Content","Currency","Number","Percent","Text","URL"}, $B64))) &gt; 0,$B64 &amp; "(" &amp; $C64 &amp; ")",$B64)))), "  ", TRIM(IF($S64 = "YES", "(External ID)", "") &amp; " " &amp; IF(SUMPRODUCT(-- ISNUMBER(SEARCH({"Unique","Unique Case Insensitive"}, $R64))) &gt; 0, "(" &amp; $R64 &amp; ")", ""))))</f>
        <v>na</v>
      </c>
      <c r="E64" s="7" t="s">
        <v>195</v>
      </c>
      <c r="F64" s="7" t="s">
        <v>195</v>
      </c>
      <c r="G64" s="7" t="s">
        <v>195</v>
      </c>
      <c r="H64" s="7" t="s">
        <v>195</v>
      </c>
      <c r="I64" s="7" t="s">
        <v>195</v>
      </c>
      <c r="J64" s="7" t="s">
        <v>195</v>
      </c>
      <c r="K64" s="7" t="s">
        <v>195</v>
      </c>
      <c r="L64" s="7" t="s">
        <v>195</v>
      </c>
      <c r="M64" s="7" t="s">
        <v>29</v>
      </c>
      <c r="N64" s="7" t="s">
        <v>29</v>
      </c>
      <c r="O64" s="7" t="s">
        <v>29</v>
      </c>
      <c r="P64" s="7" t="s">
        <v>29</v>
      </c>
      <c r="Q64" s="7" t="s">
        <v>29</v>
      </c>
      <c r="R64" s="7" t="s">
        <v>29</v>
      </c>
      <c r="S64" s="7" t="s">
        <v>29</v>
      </c>
    </row>
    <row r="65" spans="2:19">
      <c r="B65" s="7" t="s">
        <v>195</v>
      </c>
      <c r="C65" s="8" t="s">
        <v>195</v>
      </c>
      <c r="D65" s="6" t="str">
        <f>LRTRIM(CONCATENATE(IF(SUMPRODUCT(-- ISNUMBER(SEARCH({"Auto Number"}, $B65))) &gt; 0, $B65, IF(SUMPRODUCT(-- ISNUMBER(SEARCH({"Lookup","Master-Detail"}, $B65))) &gt; 0,$B65 &amp; "(" &amp; $E65 &amp; ")",IF(SUMPRODUCT(-- ISNUMBER(SEARCH({"Formula","Roll-Up Summary"}, $B65))) &gt; 0,$B65 &amp; " (" &amp; $E65 &amp; ")",IF(SUMPRODUCT(-- ISNUMBER(SEARCH({"Content","Currency","Number","Percent","Text","URL"}, $B65))) &gt; 0,$B65 &amp; "(" &amp; $C65 &amp; ")",$B65)))), "  ", TRIM(IF($S65 = "YES", "(External ID)", "") &amp; " " &amp; IF(SUMPRODUCT(-- ISNUMBER(SEARCH({"Unique","Unique Case Insensitive"}, $R65))) &gt; 0, "(" &amp; $R65 &amp; ")", ""))))</f>
        <v>na</v>
      </c>
      <c r="E65" s="7" t="s">
        <v>195</v>
      </c>
      <c r="F65" s="7" t="s">
        <v>195</v>
      </c>
      <c r="G65" s="7" t="s">
        <v>195</v>
      </c>
      <c r="H65" s="7" t="s">
        <v>195</v>
      </c>
      <c r="I65" s="7" t="s">
        <v>195</v>
      </c>
      <c r="J65" s="7" t="s">
        <v>195</v>
      </c>
      <c r="K65" s="7" t="s">
        <v>195</v>
      </c>
      <c r="L65" s="7" t="s">
        <v>195</v>
      </c>
      <c r="M65" s="7" t="s">
        <v>29</v>
      </c>
      <c r="N65" s="7" t="s">
        <v>29</v>
      </c>
      <c r="O65" s="7" t="s">
        <v>29</v>
      </c>
      <c r="P65" s="7" t="s">
        <v>29</v>
      </c>
      <c r="Q65" s="7" t="s">
        <v>29</v>
      </c>
      <c r="R65" s="7" t="s">
        <v>29</v>
      </c>
      <c r="S65" s="7" t="s">
        <v>29</v>
      </c>
    </row>
    <row r="66" spans="2:19">
      <c r="B66" s="7" t="s">
        <v>195</v>
      </c>
      <c r="C66" s="8" t="s">
        <v>195</v>
      </c>
      <c r="D66" s="6" t="str">
        <f>LRTRIM(CONCATENATE(IF(SUMPRODUCT(-- ISNUMBER(SEARCH({"Auto Number"}, $B66))) &gt; 0, $B66, IF(SUMPRODUCT(-- ISNUMBER(SEARCH({"Lookup","Master-Detail"}, $B66))) &gt; 0,$B66 &amp; "(" &amp; $E66 &amp; ")",IF(SUMPRODUCT(-- ISNUMBER(SEARCH({"Formula","Roll-Up Summary"}, $B66))) &gt; 0,$B66 &amp; " (" &amp; $E66 &amp; ")",IF(SUMPRODUCT(-- ISNUMBER(SEARCH({"Content","Currency","Number","Percent","Text","URL"}, $B66))) &gt; 0,$B66 &amp; "(" &amp; $C66 &amp; ")",$B66)))), "  ", TRIM(IF($S66 = "YES", "(External ID)", "") &amp; " " &amp; IF(SUMPRODUCT(-- ISNUMBER(SEARCH({"Unique","Unique Case Insensitive"}, $R66))) &gt; 0, "(" &amp; $R66 &amp; ")", ""))))</f>
        <v>na</v>
      </c>
      <c r="E66" s="7" t="s">
        <v>195</v>
      </c>
      <c r="F66" s="7" t="s">
        <v>195</v>
      </c>
      <c r="G66" s="7" t="s">
        <v>195</v>
      </c>
      <c r="H66" s="7" t="s">
        <v>195</v>
      </c>
      <c r="I66" s="7" t="s">
        <v>195</v>
      </c>
      <c r="J66" s="7" t="s">
        <v>195</v>
      </c>
      <c r="K66" s="7" t="s">
        <v>195</v>
      </c>
      <c r="L66" s="7" t="s">
        <v>195</v>
      </c>
      <c r="M66" s="7" t="s">
        <v>29</v>
      </c>
      <c r="N66" s="7" t="s">
        <v>29</v>
      </c>
      <c r="O66" s="7" t="s">
        <v>29</v>
      </c>
      <c r="P66" s="7" t="s">
        <v>29</v>
      </c>
      <c r="Q66" s="7" t="s">
        <v>29</v>
      </c>
      <c r="R66" s="7" t="s">
        <v>29</v>
      </c>
      <c r="S66" s="7" t="s">
        <v>29</v>
      </c>
    </row>
    <row r="67" spans="2:19">
      <c r="B67" s="7" t="s">
        <v>195</v>
      </c>
      <c r="C67" s="8" t="s">
        <v>195</v>
      </c>
      <c r="D67" s="6" t="str">
        <f>LRTRIM(CONCATENATE(IF(SUMPRODUCT(-- ISNUMBER(SEARCH({"Auto Number"}, $B67))) &gt; 0, $B67, IF(SUMPRODUCT(-- ISNUMBER(SEARCH({"Lookup","Master-Detail"}, $B67))) &gt; 0,$B67 &amp; "(" &amp; $E67 &amp; ")",IF(SUMPRODUCT(-- ISNUMBER(SEARCH({"Formula","Roll-Up Summary"}, $B67))) &gt; 0,$B67 &amp; " (" &amp; $E67 &amp; ")",IF(SUMPRODUCT(-- ISNUMBER(SEARCH({"Content","Currency","Number","Percent","Text","URL"}, $B67))) &gt; 0,$B67 &amp; "(" &amp; $C67 &amp; ")",$B67)))), "  ", TRIM(IF($S67 = "YES", "(External ID)", "") &amp; " " &amp; IF(SUMPRODUCT(-- ISNUMBER(SEARCH({"Unique","Unique Case Insensitive"}, $R67))) &gt; 0, "(" &amp; $R67 &amp; ")", ""))))</f>
        <v>na</v>
      </c>
      <c r="E67" s="7" t="s">
        <v>195</v>
      </c>
      <c r="F67" s="7" t="s">
        <v>195</v>
      </c>
      <c r="G67" s="7" t="s">
        <v>195</v>
      </c>
      <c r="H67" s="7" t="s">
        <v>195</v>
      </c>
      <c r="I67" s="7" t="s">
        <v>195</v>
      </c>
      <c r="J67" s="7" t="s">
        <v>195</v>
      </c>
      <c r="K67" s="7" t="s">
        <v>195</v>
      </c>
      <c r="L67" s="7" t="s">
        <v>195</v>
      </c>
      <c r="M67" s="7" t="s">
        <v>29</v>
      </c>
      <c r="N67" s="7" t="s">
        <v>29</v>
      </c>
      <c r="O67" s="7" t="s">
        <v>29</v>
      </c>
      <c r="P67" s="7" t="s">
        <v>29</v>
      </c>
      <c r="Q67" s="7" t="s">
        <v>29</v>
      </c>
      <c r="R67" s="7" t="s">
        <v>29</v>
      </c>
      <c r="S67" s="7" t="s">
        <v>29</v>
      </c>
    </row>
    <row r="68" spans="2:19">
      <c r="B68" s="7" t="s">
        <v>195</v>
      </c>
      <c r="C68" s="8" t="s">
        <v>195</v>
      </c>
      <c r="D68" s="6" t="str">
        <f>LRTRIM(CONCATENATE(IF(SUMPRODUCT(-- ISNUMBER(SEARCH({"Auto Number"}, $B68))) &gt; 0, $B68, IF(SUMPRODUCT(-- ISNUMBER(SEARCH({"Lookup","Master-Detail"}, $B68))) &gt; 0,$B68 &amp; "(" &amp; $E68 &amp; ")",IF(SUMPRODUCT(-- ISNUMBER(SEARCH({"Formula","Roll-Up Summary"}, $B68))) &gt; 0,$B68 &amp; " (" &amp; $E68 &amp; ")",IF(SUMPRODUCT(-- ISNUMBER(SEARCH({"Content","Currency","Number","Percent","Text","URL"}, $B68))) &gt; 0,$B68 &amp; "(" &amp; $C68 &amp; ")",$B68)))), "  ", TRIM(IF($S68 = "YES", "(External ID)", "") &amp; " " &amp; IF(SUMPRODUCT(-- ISNUMBER(SEARCH({"Unique","Unique Case Insensitive"}, $R68))) &gt; 0, "(" &amp; $R68 &amp; ")", ""))))</f>
        <v>na</v>
      </c>
      <c r="E68" s="7" t="s">
        <v>195</v>
      </c>
      <c r="F68" s="7" t="s">
        <v>195</v>
      </c>
      <c r="G68" s="7" t="s">
        <v>195</v>
      </c>
      <c r="H68" s="7" t="s">
        <v>195</v>
      </c>
      <c r="I68" s="7" t="s">
        <v>195</v>
      </c>
      <c r="J68" s="7" t="s">
        <v>195</v>
      </c>
      <c r="K68" s="7" t="s">
        <v>195</v>
      </c>
      <c r="L68" s="7" t="s">
        <v>195</v>
      </c>
      <c r="M68" s="7" t="s">
        <v>29</v>
      </c>
      <c r="N68" s="7" t="s">
        <v>29</v>
      </c>
      <c r="O68" s="7" t="s">
        <v>29</v>
      </c>
      <c r="P68" s="7" t="s">
        <v>29</v>
      </c>
      <c r="Q68" s="7" t="s">
        <v>29</v>
      </c>
      <c r="R68" s="7" t="s">
        <v>29</v>
      </c>
      <c r="S68" s="7" t="s">
        <v>29</v>
      </c>
    </row>
    <row r="69" spans="2:19">
      <c r="B69" s="7" t="s">
        <v>195</v>
      </c>
      <c r="C69" s="8" t="s">
        <v>195</v>
      </c>
      <c r="D69" s="6" t="str">
        <f>LRTRIM(CONCATENATE(IF(SUMPRODUCT(-- ISNUMBER(SEARCH({"Auto Number"}, $B69))) &gt; 0, $B69, IF(SUMPRODUCT(-- ISNUMBER(SEARCH({"Lookup","Master-Detail"}, $B69))) &gt; 0,$B69 &amp; "(" &amp; $E69 &amp; ")",IF(SUMPRODUCT(-- ISNUMBER(SEARCH({"Formula","Roll-Up Summary"}, $B69))) &gt; 0,$B69 &amp; " (" &amp; $E69 &amp; ")",IF(SUMPRODUCT(-- ISNUMBER(SEARCH({"Content","Currency","Number","Percent","Text","URL"}, $B69))) &gt; 0,$B69 &amp; "(" &amp; $C69 &amp; ")",$B69)))), "  ", TRIM(IF($S69 = "YES", "(External ID)", "") &amp; " " &amp; IF(SUMPRODUCT(-- ISNUMBER(SEARCH({"Unique","Unique Case Insensitive"}, $R69))) &gt; 0, "(" &amp; $R69 &amp; ")", ""))))</f>
        <v>na</v>
      </c>
      <c r="E69" s="7" t="s">
        <v>195</v>
      </c>
      <c r="F69" s="7" t="s">
        <v>195</v>
      </c>
      <c r="G69" s="7" t="s">
        <v>195</v>
      </c>
      <c r="H69" s="7" t="s">
        <v>195</v>
      </c>
      <c r="I69" s="7" t="s">
        <v>195</v>
      </c>
      <c r="J69" s="7" t="s">
        <v>195</v>
      </c>
      <c r="K69" s="7" t="s">
        <v>195</v>
      </c>
      <c r="L69" s="7" t="s">
        <v>195</v>
      </c>
      <c r="M69" s="7" t="s">
        <v>29</v>
      </c>
      <c r="N69" s="7" t="s">
        <v>29</v>
      </c>
      <c r="O69" s="7" t="s">
        <v>29</v>
      </c>
      <c r="P69" s="7" t="s">
        <v>29</v>
      </c>
      <c r="Q69" s="7" t="s">
        <v>29</v>
      </c>
      <c r="R69" s="7" t="s">
        <v>29</v>
      </c>
      <c r="S69" s="7" t="s">
        <v>29</v>
      </c>
    </row>
    <row r="70" spans="2:19">
      <c r="B70" s="7" t="s">
        <v>195</v>
      </c>
      <c r="C70" s="8" t="s">
        <v>195</v>
      </c>
      <c r="D70" s="6" t="str">
        <f>LRTRIM(CONCATENATE(IF(SUMPRODUCT(-- ISNUMBER(SEARCH({"Auto Number"}, $B70))) &gt; 0, $B70, IF(SUMPRODUCT(-- ISNUMBER(SEARCH({"Lookup","Master-Detail"}, $B70))) &gt; 0,$B70 &amp; "(" &amp; $E70 &amp; ")",IF(SUMPRODUCT(-- ISNUMBER(SEARCH({"Formula","Roll-Up Summary"}, $B70))) &gt; 0,$B70 &amp; " (" &amp; $E70 &amp; ")",IF(SUMPRODUCT(-- ISNUMBER(SEARCH({"Content","Currency","Number","Percent","Text","URL"}, $B70))) &gt; 0,$B70 &amp; "(" &amp; $C70 &amp; ")",$B70)))), "  ", TRIM(IF($S70 = "YES", "(External ID)", "") &amp; " " &amp; IF(SUMPRODUCT(-- ISNUMBER(SEARCH({"Unique","Unique Case Insensitive"}, $R70))) &gt; 0, "(" &amp; $R70 &amp; ")", ""))))</f>
        <v>na</v>
      </c>
      <c r="E70" s="7" t="s">
        <v>195</v>
      </c>
      <c r="F70" s="7" t="s">
        <v>195</v>
      </c>
      <c r="G70" s="7" t="s">
        <v>195</v>
      </c>
      <c r="H70" s="7" t="s">
        <v>195</v>
      </c>
      <c r="I70" s="7" t="s">
        <v>195</v>
      </c>
      <c r="J70" s="7" t="s">
        <v>195</v>
      </c>
      <c r="K70" s="7" t="s">
        <v>195</v>
      </c>
      <c r="L70" s="7" t="s">
        <v>195</v>
      </c>
      <c r="M70" s="7" t="s">
        <v>29</v>
      </c>
      <c r="N70" s="7" t="s">
        <v>29</v>
      </c>
      <c r="O70" s="7" t="s">
        <v>29</v>
      </c>
      <c r="P70" s="7" t="s">
        <v>29</v>
      </c>
      <c r="Q70" s="7" t="s">
        <v>29</v>
      </c>
      <c r="R70" s="7" t="s">
        <v>29</v>
      </c>
      <c r="S70" s="7" t="s">
        <v>29</v>
      </c>
    </row>
    <row r="71" spans="2:19">
      <c r="B71" s="7" t="s">
        <v>195</v>
      </c>
      <c r="C71" s="8" t="s">
        <v>195</v>
      </c>
      <c r="D71" s="6" t="str">
        <f>LRTRIM(CONCATENATE(IF(SUMPRODUCT(-- ISNUMBER(SEARCH({"Auto Number"}, $B71))) &gt; 0, $B71, IF(SUMPRODUCT(-- ISNUMBER(SEARCH({"Lookup","Master-Detail"}, $B71))) &gt; 0,$B71 &amp; "(" &amp; $E71 &amp; ")",IF(SUMPRODUCT(-- ISNUMBER(SEARCH({"Formula","Roll-Up Summary"}, $B71))) &gt; 0,$B71 &amp; " (" &amp; $E71 &amp; ")",IF(SUMPRODUCT(-- ISNUMBER(SEARCH({"Content","Currency","Number","Percent","Text","URL"}, $B71))) &gt; 0,$B71 &amp; "(" &amp; $C71 &amp; ")",$B71)))), "  ", TRIM(IF($S71 = "YES", "(External ID)", "") &amp; " " &amp; IF(SUMPRODUCT(-- ISNUMBER(SEARCH({"Unique","Unique Case Insensitive"}, $R71))) &gt; 0, "(" &amp; $R71 &amp; ")", ""))))</f>
        <v>na</v>
      </c>
      <c r="E71" s="7" t="s">
        <v>195</v>
      </c>
      <c r="F71" s="7" t="s">
        <v>195</v>
      </c>
      <c r="G71" s="7" t="s">
        <v>195</v>
      </c>
      <c r="H71" s="7" t="s">
        <v>195</v>
      </c>
      <c r="I71" s="7" t="s">
        <v>195</v>
      </c>
      <c r="J71" s="7" t="s">
        <v>195</v>
      </c>
      <c r="K71" s="7" t="s">
        <v>195</v>
      </c>
      <c r="L71" s="7" t="s">
        <v>195</v>
      </c>
      <c r="M71" s="7" t="s">
        <v>29</v>
      </c>
      <c r="N71" s="7" t="s">
        <v>29</v>
      </c>
      <c r="O71" s="7" t="s">
        <v>29</v>
      </c>
      <c r="P71" s="7" t="s">
        <v>29</v>
      </c>
      <c r="Q71" s="7" t="s">
        <v>29</v>
      </c>
      <c r="R71" s="7" t="s">
        <v>29</v>
      </c>
      <c r="S71" s="7" t="s">
        <v>29</v>
      </c>
    </row>
    <row r="72" spans="2:19">
      <c r="B72" s="7" t="s">
        <v>195</v>
      </c>
      <c r="C72" s="8" t="s">
        <v>195</v>
      </c>
      <c r="D72" s="6" t="str">
        <f>LRTRIM(CONCATENATE(IF(SUMPRODUCT(-- ISNUMBER(SEARCH({"Auto Number"}, $B72))) &gt; 0, $B72, IF(SUMPRODUCT(-- ISNUMBER(SEARCH({"Lookup","Master-Detail"}, $B72))) &gt; 0,$B72 &amp; "(" &amp; $E72 &amp; ")",IF(SUMPRODUCT(-- ISNUMBER(SEARCH({"Formula","Roll-Up Summary"}, $B72))) &gt; 0,$B72 &amp; " (" &amp; $E72 &amp; ")",IF(SUMPRODUCT(-- ISNUMBER(SEARCH({"Content","Currency","Number","Percent","Text","URL"}, $B72))) &gt; 0,$B72 &amp; "(" &amp; $C72 &amp; ")",$B72)))), "  ", TRIM(IF($S72 = "YES", "(External ID)", "") &amp; " " &amp; IF(SUMPRODUCT(-- ISNUMBER(SEARCH({"Unique","Unique Case Insensitive"}, $R72))) &gt; 0, "(" &amp; $R72 &amp; ")", ""))))</f>
        <v>na</v>
      </c>
      <c r="E72" s="7" t="s">
        <v>195</v>
      </c>
      <c r="F72" s="7" t="s">
        <v>195</v>
      </c>
      <c r="G72" s="7" t="s">
        <v>195</v>
      </c>
      <c r="H72" s="7" t="s">
        <v>195</v>
      </c>
      <c r="I72" s="7" t="s">
        <v>195</v>
      </c>
      <c r="J72" s="7" t="s">
        <v>195</v>
      </c>
      <c r="K72" s="7" t="s">
        <v>195</v>
      </c>
      <c r="L72" s="7" t="s">
        <v>195</v>
      </c>
      <c r="M72" s="7" t="s">
        <v>29</v>
      </c>
      <c r="N72" s="7" t="s">
        <v>29</v>
      </c>
      <c r="O72" s="7" t="s">
        <v>29</v>
      </c>
      <c r="P72" s="7" t="s">
        <v>29</v>
      </c>
      <c r="Q72" s="7" t="s">
        <v>29</v>
      </c>
      <c r="R72" s="7" t="s">
        <v>29</v>
      </c>
      <c r="S72" s="7" t="s">
        <v>29</v>
      </c>
    </row>
    <row r="73" spans="2:19">
      <c r="B73" s="7" t="s">
        <v>195</v>
      </c>
      <c r="C73" s="8" t="s">
        <v>195</v>
      </c>
      <c r="D73" s="6" t="str">
        <f>LRTRIM(CONCATENATE(IF(SUMPRODUCT(-- ISNUMBER(SEARCH({"Auto Number"}, $B73))) &gt; 0, $B73, IF(SUMPRODUCT(-- ISNUMBER(SEARCH({"Lookup","Master-Detail"}, $B73))) &gt; 0,$B73 &amp; "(" &amp; $E73 &amp; ")",IF(SUMPRODUCT(-- ISNUMBER(SEARCH({"Formula","Roll-Up Summary"}, $B73))) &gt; 0,$B73 &amp; " (" &amp; $E73 &amp; ")",IF(SUMPRODUCT(-- ISNUMBER(SEARCH({"Content","Currency","Number","Percent","Text","URL"}, $B73))) &gt; 0,$B73 &amp; "(" &amp; $C73 &amp; ")",$B73)))), "  ", TRIM(IF($S73 = "YES", "(External ID)", "") &amp; " " &amp; IF(SUMPRODUCT(-- ISNUMBER(SEARCH({"Unique","Unique Case Insensitive"}, $R73))) &gt; 0, "(" &amp; $R73 &amp; ")", ""))))</f>
        <v>na</v>
      </c>
      <c r="E73" s="7" t="s">
        <v>195</v>
      </c>
      <c r="F73" s="7" t="s">
        <v>195</v>
      </c>
      <c r="G73" s="7" t="s">
        <v>195</v>
      </c>
      <c r="H73" s="7" t="s">
        <v>195</v>
      </c>
      <c r="I73" s="7" t="s">
        <v>195</v>
      </c>
      <c r="J73" s="7" t="s">
        <v>195</v>
      </c>
      <c r="K73" s="7" t="s">
        <v>195</v>
      </c>
      <c r="L73" s="7" t="s">
        <v>195</v>
      </c>
      <c r="M73" s="7" t="s">
        <v>29</v>
      </c>
      <c r="N73" s="7" t="s">
        <v>29</v>
      </c>
      <c r="O73" s="7" t="s">
        <v>29</v>
      </c>
      <c r="P73" s="7" t="s">
        <v>29</v>
      </c>
      <c r="Q73" s="7" t="s">
        <v>29</v>
      </c>
      <c r="R73" s="7" t="s">
        <v>29</v>
      </c>
      <c r="S73" s="7" t="s">
        <v>29</v>
      </c>
    </row>
    <row r="74" spans="2:19">
      <c r="B74" s="7" t="s">
        <v>195</v>
      </c>
      <c r="C74" s="8" t="s">
        <v>195</v>
      </c>
      <c r="D74" s="6" t="str">
        <f>LRTRIM(CONCATENATE(IF(SUMPRODUCT(-- ISNUMBER(SEARCH({"Auto Number"}, $B74))) &gt; 0, $B74, IF(SUMPRODUCT(-- ISNUMBER(SEARCH({"Lookup","Master-Detail"}, $B74))) &gt; 0,$B74 &amp; "(" &amp; $E74 &amp; ")",IF(SUMPRODUCT(-- ISNUMBER(SEARCH({"Formula","Roll-Up Summary"}, $B74))) &gt; 0,$B74 &amp; " (" &amp; $E74 &amp; ")",IF(SUMPRODUCT(-- ISNUMBER(SEARCH({"Content","Currency","Number","Percent","Text","URL"}, $B74))) &gt; 0,$B74 &amp; "(" &amp; $C74 &amp; ")",$B74)))), "  ", TRIM(IF($S74 = "YES", "(External ID)", "") &amp; " " &amp; IF(SUMPRODUCT(-- ISNUMBER(SEARCH({"Unique","Unique Case Insensitive"}, $R74))) &gt; 0, "(" &amp; $R74 &amp; ")", ""))))</f>
        <v>na</v>
      </c>
      <c r="E74" s="7" t="s">
        <v>195</v>
      </c>
      <c r="F74" s="7" t="s">
        <v>195</v>
      </c>
      <c r="G74" s="7" t="s">
        <v>195</v>
      </c>
      <c r="H74" s="7" t="s">
        <v>195</v>
      </c>
      <c r="I74" s="7" t="s">
        <v>195</v>
      </c>
      <c r="J74" s="7" t="s">
        <v>195</v>
      </c>
      <c r="K74" s="7" t="s">
        <v>195</v>
      </c>
      <c r="L74" s="7" t="s">
        <v>195</v>
      </c>
      <c r="M74" s="7" t="s">
        <v>29</v>
      </c>
      <c r="N74" s="7" t="s">
        <v>29</v>
      </c>
      <c r="O74" s="7" t="s">
        <v>29</v>
      </c>
      <c r="P74" s="7" t="s">
        <v>29</v>
      </c>
      <c r="Q74" s="7" t="s">
        <v>29</v>
      </c>
      <c r="R74" s="7" t="s">
        <v>29</v>
      </c>
      <c r="S74" s="7" t="s">
        <v>29</v>
      </c>
    </row>
    <row r="75" spans="2:19">
      <c r="B75" s="7" t="s">
        <v>195</v>
      </c>
      <c r="C75" s="8" t="s">
        <v>195</v>
      </c>
      <c r="D75" s="6" t="str">
        <f>LRTRIM(CONCATENATE(IF(SUMPRODUCT(-- ISNUMBER(SEARCH({"Auto Number"}, $B75))) &gt; 0, $B75, IF(SUMPRODUCT(-- ISNUMBER(SEARCH({"Lookup","Master-Detail"}, $B75))) &gt; 0,$B75 &amp; "(" &amp; $E75 &amp; ")",IF(SUMPRODUCT(-- ISNUMBER(SEARCH({"Formula","Roll-Up Summary"}, $B75))) &gt; 0,$B75 &amp; " (" &amp; $E75 &amp; ")",IF(SUMPRODUCT(-- ISNUMBER(SEARCH({"Content","Currency","Number","Percent","Text","URL"}, $B75))) &gt; 0,$B75 &amp; "(" &amp; $C75 &amp; ")",$B75)))), "  ", TRIM(IF($S75 = "YES", "(External ID)", "") &amp; " " &amp; IF(SUMPRODUCT(-- ISNUMBER(SEARCH({"Unique","Unique Case Insensitive"}, $R75))) &gt; 0, "(" &amp; $R75 &amp; ")", ""))))</f>
        <v>na</v>
      </c>
      <c r="E75" s="7" t="s">
        <v>195</v>
      </c>
      <c r="F75" s="7" t="s">
        <v>195</v>
      </c>
      <c r="G75" s="7" t="s">
        <v>195</v>
      </c>
      <c r="H75" s="7" t="s">
        <v>195</v>
      </c>
      <c r="I75" s="7" t="s">
        <v>195</v>
      </c>
      <c r="J75" s="7" t="s">
        <v>195</v>
      </c>
      <c r="K75" s="7" t="s">
        <v>195</v>
      </c>
      <c r="L75" s="7" t="s">
        <v>195</v>
      </c>
      <c r="M75" s="7" t="s">
        <v>29</v>
      </c>
      <c r="N75" s="7" t="s">
        <v>29</v>
      </c>
      <c r="O75" s="7" t="s">
        <v>29</v>
      </c>
      <c r="P75" s="7" t="s">
        <v>29</v>
      </c>
      <c r="Q75" s="7" t="s">
        <v>29</v>
      </c>
      <c r="R75" s="7" t="s">
        <v>29</v>
      </c>
      <c r="S75" s="7" t="s">
        <v>29</v>
      </c>
    </row>
    <row r="76" spans="2:19">
      <c r="B76" s="7" t="s">
        <v>195</v>
      </c>
      <c r="C76" s="8" t="s">
        <v>195</v>
      </c>
      <c r="D76" s="6" t="str">
        <f>LRTRIM(CONCATENATE(IF(SUMPRODUCT(-- ISNUMBER(SEARCH({"Auto Number"}, $B76))) &gt; 0, $B76, IF(SUMPRODUCT(-- ISNUMBER(SEARCH({"Lookup","Master-Detail"}, $B76))) &gt; 0,$B76 &amp; "(" &amp; $E76 &amp; ")",IF(SUMPRODUCT(-- ISNUMBER(SEARCH({"Formula","Roll-Up Summary"}, $B76))) &gt; 0,$B76 &amp; " (" &amp; $E76 &amp; ")",IF(SUMPRODUCT(-- ISNUMBER(SEARCH({"Content","Currency","Number","Percent","Text","URL"}, $B76))) &gt; 0,$B76 &amp; "(" &amp; $C76 &amp; ")",$B76)))), "  ", TRIM(IF($S76 = "YES", "(External ID)", "") &amp; " " &amp; IF(SUMPRODUCT(-- ISNUMBER(SEARCH({"Unique","Unique Case Insensitive"}, $R76))) &gt; 0, "(" &amp; $R76 &amp; ")", ""))))</f>
        <v>na</v>
      </c>
      <c r="E76" s="7" t="s">
        <v>195</v>
      </c>
      <c r="F76" s="7" t="s">
        <v>195</v>
      </c>
      <c r="G76" s="7" t="s">
        <v>195</v>
      </c>
      <c r="H76" s="7" t="s">
        <v>195</v>
      </c>
      <c r="I76" s="7" t="s">
        <v>195</v>
      </c>
      <c r="J76" s="7" t="s">
        <v>195</v>
      </c>
      <c r="K76" s="7" t="s">
        <v>195</v>
      </c>
      <c r="L76" s="7" t="s">
        <v>195</v>
      </c>
      <c r="M76" s="7" t="s">
        <v>29</v>
      </c>
      <c r="N76" s="7" t="s">
        <v>29</v>
      </c>
      <c r="O76" s="7" t="s">
        <v>29</v>
      </c>
      <c r="P76" s="7" t="s">
        <v>29</v>
      </c>
      <c r="Q76" s="7" t="s">
        <v>29</v>
      </c>
      <c r="R76" s="7" t="s">
        <v>29</v>
      </c>
      <c r="S76" s="7" t="s">
        <v>29</v>
      </c>
    </row>
    <row r="77" spans="2:19">
      <c r="B77" s="7" t="s">
        <v>195</v>
      </c>
      <c r="C77" s="8" t="s">
        <v>195</v>
      </c>
      <c r="D77" s="6" t="str">
        <f>LRTRIM(CONCATENATE(IF(SUMPRODUCT(-- ISNUMBER(SEARCH({"Auto Number"}, $B77))) &gt; 0, $B77, IF(SUMPRODUCT(-- ISNUMBER(SEARCH({"Lookup","Master-Detail"}, $B77))) &gt; 0,$B77 &amp; "(" &amp; $E77 &amp; ")",IF(SUMPRODUCT(-- ISNUMBER(SEARCH({"Formula","Roll-Up Summary"}, $B77))) &gt; 0,$B77 &amp; " (" &amp; $E77 &amp; ")",IF(SUMPRODUCT(-- ISNUMBER(SEARCH({"Content","Currency","Number","Percent","Text","URL"}, $B77))) &gt; 0,$B77 &amp; "(" &amp; $C77 &amp; ")",$B77)))), "  ", TRIM(IF($S77 = "YES", "(External ID)", "") &amp; " " &amp; IF(SUMPRODUCT(-- ISNUMBER(SEARCH({"Unique","Unique Case Insensitive"}, $R77))) &gt; 0, "(" &amp; $R77 &amp; ")", ""))))</f>
        <v>na</v>
      </c>
      <c r="E77" s="7" t="s">
        <v>195</v>
      </c>
      <c r="F77" s="7" t="s">
        <v>195</v>
      </c>
      <c r="G77" s="7" t="s">
        <v>195</v>
      </c>
      <c r="H77" s="7" t="s">
        <v>195</v>
      </c>
      <c r="I77" s="7" t="s">
        <v>195</v>
      </c>
      <c r="J77" s="7" t="s">
        <v>195</v>
      </c>
      <c r="K77" s="7" t="s">
        <v>195</v>
      </c>
      <c r="L77" s="7" t="s">
        <v>195</v>
      </c>
      <c r="M77" s="7" t="s">
        <v>29</v>
      </c>
      <c r="N77" s="7" t="s">
        <v>29</v>
      </c>
      <c r="O77" s="7" t="s">
        <v>29</v>
      </c>
      <c r="P77" s="7" t="s">
        <v>29</v>
      </c>
      <c r="Q77" s="7" t="s">
        <v>29</v>
      </c>
      <c r="R77" s="7" t="s">
        <v>29</v>
      </c>
      <c r="S77" s="7" t="s">
        <v>29</v>
      </c>
    </row>
    <row r="78" spans="2:19">
      <c r="B78" s="7" t="s">
        <v>195</v>
      </c>
      <c r="C78" s="8" t="s">
        <v>195</v>
      </c>
      <c r="D78" s="6" t="str">
        <f>LRTRIM(CONCATENATE(IF(SUMPRODUCT(-- ISNUMBER(SEARCH({"Auto Number"}, $B78))) &gt; 0, $B78, IF(SUMPRODUCT(-- ISNUMBER(SEARCH({"Lookup","Master-Detail"}, $B78))) &gt; 0,$B78 &amp; "(" &amp; $E78 &amp; ")",IF(SUMPRODUCT(-- ISNUMBER(SEARCH({"Formula","Roll-Up Summary"}, $B78))) &gt; 0,$B78 &amp; " (" &amp; $E78 &amp; ")",IF(SUMPRODUCT(-- ISNUMBER(SEARCH({"Content","Currency","Number","Percent","Text","URL"}, $B78))) &gt; 0,$B78 &amp; "(" &amp; $C78 &amp; ")",$B78)))), "  ", TRIM(IF($S78 = "YES", "(External ID)", "") &amp; " " &amp; IF(SUMPRODUCT(-- ISNUMBER(SEARCH({"Unique","Unique Case Insensitive"}, $R78))) &gt; 0, "(" &amp; $R78 &amp; ")", ""))))</f>
        <v>na</v>
      </c>
      <c r="E78" s="7" t="s">
        <v>195</v>
      </c>
      <c r="F78" s="7" t="s">
        <v>195</v>
      </c>
      <c r="G78" s="7" t="s">
        <v>195</v>
      </c>
      <c r="H78" s="7" t="s">
        <v>195</v>
      </c>
      <c r="I78" s="7" t="s">
        <v>195</v>
      </c>
      <c r="J78" s="7" t="s">
        <v>195</v>
      </c>
      <c r="K78" s="7" t="s">
        <v>195</v>
      </c>
      <c r="L78" s="7" t="s">
        <v>195</v>
      </c>
      <c r="M78" s="7" t="s">
        <v>29</v>
      </c>
      <c r="N78" s="7" t="s">
        <v>29</v>
      </c>
      <c r="O78" s="7" t="s">
        <v>29</v>
      </c>
      <c r="P78" s="7" t="s">
        <v>29</v>
      </c>
      <c r="Q78" s="7" t="s">
        <v>29</v>
      </c>
      <c r="R78" s="7" t="s">
        <v>29</v>
      </c>
      <c r="S78" s="7" t="s">
        <v>29</v>
      </c>
    </row>
    <row r="79" spans="2:19">
      <c r="B79" s="7" t="s">
        <v>195</v>
      </c>
      <c r="C79" s="8" t="s">
        <v>195</v>
      </c>
      <c r="D79" s="6" t="str">
        <f>LRTRIM(CONCATENATE(IF(SUMPRODUCT(-- ISNUMBER(SEARCH({"Auto Number"}, $B79))) &gt; 0, $B79, IF(SUMPRODUCT(-- ISNUMBER(SEARCH({"Lookup","Master-Detail"}, $B79))) &gt; 0,$B79 &amp; "(" &amp; $E79 &amp; ")",IF(SUMPRODUCT(-- ISNUMBER(SEARCH({"Formula","Roll-Up Summary"}, $B79))) &gt; 0,$B79 &amp; " (" &amp; $E79 &amp; ")",IF(SUMPRODUCT(-- ISNUMBER(SEARCH({"Content","Currency","Number","Percent","Text","URL"}, $B79))) &gt; 0,$B79 &amp; "(" &amp; $C79 &amp; ")",$B79)))), "  ", TRIM(IF($S79 = "YES", "(External ID)", "") &amp; " " &amp; IF(SUMPRODUCT(-- ISNUMBER(SEARCH({"Unique","Unique Case Insensitive"}, $R79))) &gt; 0, "(" &amp; $R79 &amp; ")", ""))))</f>
        <v>na</v>
      </c>
      <c r="E79" s="7" t="s">
        <v>195</v>
      </c>
      <c r="F79" s="7" t="s">
        <v>195</v>
      </c>
      <c r="G79" s="7" t="s">
        <v>195</v>
      </c>
      <c r="H79" s="7" t="s">
        <v>195</v>
      </c>
      <c r="I79" s="7" t="s">
        <v>195</v>
      </c>
      <c r="J79" s="7" t="s">
        <v>195</v>
      </c>
      <c r="K79" s="7" t="s">
        <v>195</v>
      </c>
      <c r="L79" s="7" t="s">
        <v>195</v>
      </c>
      <c r="M79" s="7" t="s">
        <v>29</v>
      </c>
      <c r="N79" s="7" t="s">
        <v>29</v>
      </c>
      <c r="O79" s="7" t="s">
        <v>29</v>
      </c>
      <c r="P79" s="7" t="s">
        <v>29</v>
      </c>
      <c r="Q79" s="7" t="s">
        <v>29</v>
      </c>
      <c r="R79" s="7" t="s">
        <v>29</v>
      </c>
      <c r="S79" s="7" t="s">
        <v>29</v>
      </c>
    </row>
    <row r="80" spans="2:19">
      <c r="B80" s="7" t="s">
        <v>195</v>
      </c>
      <c r="C80" s="8" t="s">
        <v>195</v>
      </c>
      <c r="D80" s="6" t="str">
        <f>LRTRIM(CONCATENATE(IF(SUMPRODUCT(-- ISNUMBER(SEARCH({"Auto Number"}, $B80))) &gt; 0, $B80, IF(SUMPRODUCT(-- ISNUMBER(SEARCH({"Lookup","Master-Detail"}, $B80))) &gt; 0,$B80 &amp; "(" &amp; $E80 &amp; ")",IF(SUMPRODUCT(-- ISNUMBER(SEARCH({"Formula","Roll-Up Summary"}, $B80))) &gt; 0,$B80 &amp; " (" &amp; $E80 &amp; ")",IF(SUMPRODUCT(-- ISNUMBER(SEARCH({"Content","Currency","Number","Percent","Text","URL"}, $B80))) &gt; 0,$B80 &amp; "(" &amp; $C80 &amp; ")",$B80)))), "  ", TRIM(IF($S80 = "YES", "(External ID)", "") &amp; " " &amp; IF(SUMPRODUCT(-- ISNUMBER(SEARCH({"Unique","Unique Case Insensitive"}, $R80))) &gt; 0, "(" &amp; $R80 &amp; ")", ""))))</f>
        <v>na</v>
      </c>
      <c r="E80" s="7" t="s">
        <v>195</v>
      </c>
      <c r="F80" s="7" t="s">
        <v>195</v>
      </c>
      <c r="G80" s="7" t="s">
        <v>195</v>
      </c>
      <c r="H80" s="7" t="s">
        <v>195</v>
      </c>
      <c r="I80" s="7" t="s">
        <v>195</v>
      </c>
      <c r="J80" s="7" t="s">
        <v>195</v>
      </c>
      <c r="K80" s="7" t="s">
        <v>195</v>
      </c>
      <c r="L80" s="7" t="s">
        <v>195</v>
      </c>
      <c r="M80" s="7" t="s">
        <v>29</v>
      </c>
      <c r="N80" s="7" t="s">
        <v>29</v>
      </c>
      <c r="O80" s="7" t="s">
        <v>29</v>
      </c>
      <c r="P80" s="7" t="s">
        <v>29</v>
      </c>
      <c r="Q80" s="7" t="s">
        <v>29</v>
      </c>
      <c r="R80" s="7" t="s">
        <v>29</v>
      </c>
      <c r="S80" s="7" t="s">
        <v>29</v>
      </c>
    </row>
    <row r="81" spans="2:19">
      <c r="B81" s="7" t="s">
        <v>195</v>
      </c>
      <c r="C81" s="8" t="s">
        <v>195</v>
      </c>
      <c r="D81" s="6" t="str">
        <f>LRTRIM(CONCATENATE(IF(SUMPRODUCT(-- ISNUMBER(SEARCH({"Auto Number"}, $B81))) &gt; 0, $B81, IF(SUMPRODUCT(-- ISNUMBER(SEARCH({"Lookup","Master-Detail"}, $B81))) &gt; 0,$B81 &amp; "(" &amp; $E81 &amp; ")",IF(SUMPRODUCT(-- ISNUMBER(SEARCH({"Formula","Roll-Up Summary"}, $B81))) &gt; 0,$B81 &amp; " (" &amp; $E81 &amp; ")",IF(SUMPRODUCT(-- ISNUMBER(SEARCH({"Content","Currency","Number","Percent","Text","URL"}, $B81))) &gt; 0,$B81 &amp; "(" &amp; $C81 &amp; ")",$B81)))), "  ", TRIM(IF($S81 = "YES", "(External ID)", "") &amp; " " &amp; IF(SUMPRODUCT(-- ISNUMBER(SEARCH({"Unique","Unique Case Insensitive"}, $R81))) &gt; 0, "(" &amp; $R81 &amp; ")", ""))))</f>
        <v>na</v>
      </c>
      <c r="E81" s="7" t="s">
        <v>195</v>
      </c>
      <c r="F81" s="7" t="s">
        <v>195</v>
      </c>
      <c r="G81" s="7" t="s">
        <v>195</v>
      </c>
      <c r="H81" s="7" t="s">
        <v>195</v>
      </c>
      <c r="I81" s="7" t="s">
        <v>195</v>
      </c>
      <c r="J81" s="7" t="s">
        <v>195</v>
      </c>
      <c r="K81" s="7" t="s">
        <v>195</v>
      </c>
      <c r="L81" s="7" t="s">
        <v>195</v>
      </c>
      <c r="M81" s="7" t="s">
        <v>29</v>
      </c>
      <c r="N81" s="7" t="s">
        <v>29</v>
      </c>
      <c r="O81" s="7" t="s">
        <v>29</v>
      </c>
      <c r="P81" s="7" t="s">
        <v>29</v>
      </c>
      <c r="Q81" s="7" t="s">
        <v>29</v>
      </c>
      <c r="R81" s="7" t="s">
        <v>29</v>
      </c>
      <c r="S81" s="7" t="s">
        <v>29</v>
      </c>
    </row>
    <row r="82" spans="2:19">
      <c r="B82" s="7" t="s">
        <v>195</v>
      </c>
      <c r="C82" s="8" t="s">
        <v>195</v>
      </c>
      <c r="D82" s="6" t="str">
        <f>LRTRIM(CONCATENATE(IF(SUMPRODUCT(-- ISNUMBER(SEARCH({"Auto Number"}, $B82))) &gt; 0, $B82, IF(SUMPRODUCT(-- ISNUMBER(SEARCH({"Lookup","Master-Detail"}, $B82))) &gt; 0,$B82 &amp; "(" &amp; $E82 &amp; ")",IF(SUMPRODUCT(-- ISNUMBER(SEARCH({"Formula","Roll-Up Summary"}, $B82))) &gt; 0,$B82 &amp; " (" &amp; $E82 &amp; ")",IF(SUMPRODUCT(-- ISNUMBER(SEARCH({"Content","Currency","Number","Percent","Text","URL"}, $B82))) &gt; 0,$B82 &amp; "(" &amp; $C82 &amp; ")",$B82)))), "  ", TRIM(IF($S82 = "YES", "(External ID)", "") &amp; " " &amp; IF(SUMPRODUCT(-- ISNUMBER(SEARCH({"Unique","Unique Case Insensitive"}, $R82))) &gt; 0, "(" &amp; $R82 &amp; ")", ""))))</f>
        <v>na</v>
      </c>
      <c r="E82" s="7" t="s">
        <v>195</v>
      </c>
      <c r="F82" s="7" t="s">
        <v>195</v>
      </c>
      <c r="G82" s="7" t="s">
        <v>195</v>
      </c>
      <c r="H82" s="7" t="s">
        <v>195</v>
      </c>
      <c r="I82" s="7" t="s">
        <v>195</v>
      </c>
      <c r="J82" s="7" t="s">
        <v>195</v>
      </c>
      <c r="K82" s="7" t="s">
        <v>195</v>
      </c>
      <c r="L82" s="7" t="s">
        <v>195</v>
      </c>
      <c r="M82" s="7" t="s">
        <v>29</v>
      </c>
      <c r="N82" s="7" t="s">
        <v>29</v>
      </c>
      <c r="O82" s="7" t="s">
        <v>29</v>
      </c>
      <c r="P82" s="7" t="s">
        <v>29</v>
      </c>
      <c r="Q82" s="7" t="s">
        <v>29</v>
      </c>
      <c r="R82" s="7" t="s">
        <v>29</v>
      </c>
      <c r="S82" s="7" t="s">
        <v>29</v>
      </c>
    </row>
    <row r="83" spans="2:19">
      <c r="B83" s="7" t="s">
        <v>195</v>
      </c>
      <c r="C83" s="8" t="s">
        <v>195</v>
      </c>
      <c r="D83" s="6" t="str">
        <f>LRTRIM(CONCATENATE(IF(SUMPRODUCT(-- ISNUMBER(SEARCH({"Auto Number"}, $B83))) &gt; 0, $B83, IF(SUMPRODUCT(-- ISNUMBER(SEARCH({"Lookup","Master-Detail"}, $B83))) &gt; 0,$B83 &amp; "(" &amp; $E83 &amp; ")",IF(SUMPRODUCT(-- ISNUMBER(SEARCH({"Formula","Roll-Up Summary"}, $B83))) &gt; 0,$B83 &amp; " (" &amp; $E83 &amp; ")",IF(SUMPRODUCT(-- ISNUMBER(SEARCH({"Content","Currency","Number","Percent","Text","URL"}, $B83))) &gt; 0,$B83 &amp; "(" &amp; $C83 &amp; ")",$B83)))), "  ", TRIM(IF($S83 = "YES", "(External ID)", "") &amp; " " &amp; IF(SUMPRODUCT(-- ISNUMBER(SEARCH({"Unique","Unique Case Insensitive"}, $R83))) &gt; 0, "(" &amp; $R83 &amp; ")", ""))))</f>
        <v>na</v>
      </c>
      <c r="E83" s="7" t="s">
        <v>195</v>
      </c>
      <c r="F83" s="7" t="s">
        <v>195</v>
      </c>
      <c r="G83" s="7" t="s">
        <v>195</v>
      </c>
      <c r="H83" s="7" t="s">
        <v>195</v>
      </c>
      <c r="I83" s="7" t="s">
        <v>195</v>
      </c>
      <c r="J83" s="7" t="s">
        <v>195</v>
      </c>
      <c r="K83" s="7" t="s">
        <v>195</v>
      </c>
      <c r="L83" s="7" t="s">
        <v>195</v>
      </c>
      <c r="M83" s="7" t="s">
        <v>29</v>
      </c>
      <c r="N83" s="7" t="s">
        <v>29</v>
      </c>
      <c r="O83" s="7" t="s">
        <v>29</v>
      </c>
      <c r="P83" s="7" t="s">
        <v>29</v>
      </c>
      <c r="Q83" s="7" t="s">
        <v>29</v>
      </c>
      <c r="R83" s="7" t="s">
        <v>29</v>
      </c>
      <c r="S83" s="7" t="s">
        <v>29</v>
      </c>
    </row>
    <row r="84" spans="2:19">
      <c r="B84" s="7" t="s">
        <v>195</v>
      </c>
      <c r="C84" s="8" t="s">
        <v>195</v>
      </c>
      <c r="D84" s="6" t="str">
        <f>LRTRIM(CONCATENATE(IF(SUMPRODUCT(-- ISNUMBER(SEARCH({"Auto Number"}, $B84))) &gt; 0, $B84, IF(SUMPRODUCT(-- ISNUMBER(SEARCH({"Lookup","Master-Detail"}, $B84))) &gt; 0,$B84 &amp; "(" &amp; $E84 &amp; ")",IF(SUMPRODUCT(-- ISNUMBER(SEARCH({"Formula","Roll-Up Summary"}, $B84))) &gt; 0,$B84 &amp; " (" &amp; $E84 &amp; ")",IF(SUMPRODUCT(-- ISNUMBER(SEARCH({"Content","Currency","Number","Percent","Text","URL"}, $B84))) &gt; 0,$B84 &amp; "(" &amp; $C84 &amp; ")",$B84)))), "  ", TRIM(IF($S84 = "YES", "(External ID)", "") &amp; " " &amp; IF(SUMPRODUCT(-- ISNUMBER(SEARCH({"Unique","Unique Case Insensitive"}, $R84))) &gt; 0, "(" &amp; $R84 &amp; ")", ""))))</f>
        <v>na</v>
      </c>
      <c r="E84" s="7" t="s">
        <v>195</v>
      </c>
      <c r="F84" s="7" t="s">
        <v>195</v>
      </c>
      <c r="G84" s="7" t="s">
        <v>195</v>
      </c>
      <c r="H84" s="7" t="s">
        <v>195</v>
      </c>
      <c r="I84" s="7" t="s">
        <v>195</v>
      </c>
      <c r="J84" s="7" t="s">
        <v>195</v>
      </c>
      <c r="K84" s="7" t="s">
        <v>195</v>
      </c>
      <c r="L84" s="7" t="s">
        <v>195</v>
      </c>
      <c r="M84" s="7" t="s">
        <v>29</v>
      </c>
      <c r="N84" s="7" t="s">
        <v>29</v>
      </c>
      <c r="O84" s="7" t="s">
        <v>29</v>
      </c>
      <c r="P84" s="7" t="s">
        <v>29</v>
      </c>
      <c r="Q84" s="7" t="s">
        <v>29</v>
      </c>
      <c r="R84" s="7" t="s">
        <v>29</v>
      </c>
      <c r="S84" s="7" t="s">
        <v>29</v>
      </c>
    </row>
    <row r="85" spans="2:19">
      <c r="B85" s="7" t="s">
        <v>195</v>
      </c>
      <c r="C85" s="8" t="s">
        <v>195</v>
      </c>
      <c r="D85" s="6" t="str">
        <f>LRTRIM(CONCATENATE(IF(SUMPRODUCT(-- ISNUMBER(SEARCH({"Auto Number"}, $B85))) &gt; 0, $B85, IF(SUMPRODUCT(-- ISNUMBER(SEARCH({"Lookup","Master-Detail"}, $B85))) &gt; 0,$B85 &amp; "(" &amp; $E85 &amp; ")",IF(SUMPRODUCT(-- ISNUMBER(SEARCH({"Formula","Roll-Up Summary"}, $B85))) &gt; 0,$B85 &amp; " (" &amp; $E85 &amp; ")",IF(SUMPRODUCT(-- ISNUMBER(SEARCH({"Content","Currency","Number","Percent","Text","URL"}, $B85))) &gt; 0,$B85 &amp; "(" &amp; $C85 &amp; ")",$B85)))), "  ", TRIM(IF($S85 = "YES", "(External ID)", "") &amp; " " &amp; IF(SUMPRODUCT(-- ISNUMBER(SEARCH({"Unique","Unique Case Insensitive"}, $R85))) &gt; 0, "(" &amp; $R85 &amp; ")", ""))))</f>
        <v>na</v>
      </c>
      <c r="E85" s="7" t="s">
        <v>195</v>
      </c>
      <c r="F85" s="7" t="s">
        <v>195</v>
      </c>
      <c r="G85" s="7" t="s">
        <v>195</v>
      </c>
      <c r="H85" s="7" t="s">
        <v>195</v>
      </c>
      <c r="I85" s="7" t="s">
        <v>195</v>
      </c>
      <c r="J85" s="7" t="s">
        <v>195</v>
      </c>
      <c r="K85" s="7" t="s">
        <v>195</v>
      </c>
      <c r="L85" s="7" t="s">
        <v>195</v>
      </c>
      <c r="M85" s="7" t="s">
        <v>29</v>
      </c>
      <c r="N85" s="7" t="s">
        <v>29</v>
      </c>
      <c r="O85" s="7" t="s">
        <v>29</v>
      </c>
      <c r="P85" s="7" t="s">
        <v>29</v>
      </c>
      <c r="Q85" s="7" t="s">
        <v>29</v>
      </c>
      <c r="R85" s="7" t="s">
        <v>29</v>
      </c>
      <c r="S85" s="7" t="s">
        <v>29</v>
      </c>
    </row>
    <row r="86" spans="2:19">
      <c r="B86" s="7" t="s">
        <v>195</v>
      </c>
      <c r="C86" s="8" t="s">
        <v>195</v>
      </c>
      <c r="D86" s="6" t="str">
        <f>LRTRIM(CONCATENATE(IF(SUMPRODUCT(-- ISNUMBER(SEARCH({"Auto Number"}, $B86))) &gt; 0, $B86, IF(SUMPRODUCT(-- ISNUMBER(SEARCH({"Lookup","Master-Detail"}, $B86))) &gt; 0,$B86 &amp; "(" &amp; $E86 &amp; ")",IF(SUMPRODUCT(-- ISNUMBER(SEARCH({"Formula","Roll-Up Summary"}, $B86))) &gt; 0,$B86 &amp; " (" &amp; $E86 &amp; ")",IF(SUMPRODUCT(-- ISNUMBER(SEARCH({"Content","Currency","Number","Percent","Text","URL"}, $B86))) &gt; 0,$B86 &amp; "(" &amp; $C86 &amp; ")",$B86)))), "  ", TRIM(IF($S86 = "YES", "(External ID)", "") &amp; " " &amp; IF(SUMPRODUCT(-- ISNUMBER(SEARCH({"Unique","Unique Case Insensitive"}, $R86))) &gt; 0, "(" &amp; $R86 &amp; ")", ""))))</f>
        <v>na</v>
      </c>
      <c r="E86" s="7" t="s">
        <v>195</v>
      </c>
      <c r="F86" s="7" t="s">
        <v>195</v>
      </c>
      <c r="G86" s="7" t="s">
        <v>195</v>
      </c>
      <c r="H86" s="7" t="s">
        <v>195</v>
      </c>
      <c r="I86" s="7" t="s">
        <v>195</v>
      </c>
      <c r="J86" s="7" t="s">
        <v>195</v>
      </c>
      <c r="K86" s="7" t="s">
        <v>195</v>
      </c>
      <c r="L86" s="7" t="s">
        <v>195</v>
      </c>
      <c r="M86" s="7" t="s">
        <v>29</v>
      </c>
      <c r="N86" s="7" t="s">
        <v>29</v>
      </c>
      <c r="O86" s="7" t="s">
        <v>29</v>
      </c>
      <c r="P86" s="7" t="s">
        <v>29</v>
      </c>
      <c r="Q86" s="7" t="s">
        <v>29</v>
      </c>
      <c r="R86" s="7" t="s">
        <v>29</v>
      </c>
      <c r="S86" s="7" t="s">
        <v>29</v>
      </c>
    </row>
    <row r="87" spans="2:19">
      <c r="B87" s="7" t="s">
        <v>195</v>
      </c>
      <c r="C87" s="8" t="s">
        <v>195</v>
      </c>
      <c r="D87" s="6" t="str">
        <f>LRTRIM(CONCATENATE(IF(SUMPRODUCT(-- ISNUMBER(SEARCH({"Auto Number"}, $B87))) &gt; 0, $B87, IF(SUMPRODUCT(-- ISNUMBER(SEARCH({"Lookup","Master-Detail"}, $B87))) &gt; 0,$B87 &amp; "(" &amp; $E87 &amp; ")",IF(SUMPRODUCT(-- ISNUMBER(SEARCH({"Formula","Roll-Up Summary"}, $B87))) &gt; 0,$B87 &amp; " (" &amp; $E87 &amp; ")",IF(SUMPRODUCT(-- ISNUMBER(SEARCH({"Content","Currency","Number","Percent","Text","URL"}, $B87))) &gt; 0,$B87 &amp; "(" &amp; $C87 &amp; ")",$B87)))), "  ", TRIM(IF($S87 = "YES", "(External ID)", "") &amp; " " &amp; IF(SUMPRODUCT(-- ISNUMBER(SEARCH({"Unique","Unique Case Insensitive"}, $R87))) &gt; 0, "(" &amp; $R87 &amp; ")", ""))))</f>
        <v>na</v>
      </c>
      <c r="E87" s="7" t="s">
        <v>195</v>
      </c>
      <c r="F87" s="7" t="s">
        <v>195</v>
      </c>
      <c r="G87" s="7" t="s">
        <v>195</v>
      </c>
      <c r="H87" s="7" t="s">
        <v>195</v>
      </c>
      <c r="I87" s="7" t="s">
        <v>195</v>
      </c>
      <c r="J87" s="7" t="s">
        <v>195</v>
      </c>
      <c r="K87" s="7" t="s">
        <v>195</v>
      </c>
      <c r="L87" s="7" t="s">
        <v>195</v>
      </c>
      <c r="M87" s="7" t="s">
        <v>29</v>
      </c>
      <c r="N87" s="7" t="s">
        <v>29</v>
      </c>
      <c r="O87" s="7" t="s">
        <v>29</v>
      </c>
      <c r="P87" s="7" t="s">
        <v>29</v>
      </c>
      <c r="Q87" s="7" t="s">
        <v>29</v>
      </c>
      <c r="R87" s="7" t="s">
        <v>29</v>
      </c>
      <c r="S87" s="7" t="s">
        <v>29</v>
      </c>
    </row>
    <row r="88" spans="2:19">
      <c r="B88" s="7" t="s">
        <v>195</v>
      </c>
      <c r="C88" s="8" t="s">
        <v>195</v>
      </c>
      <c r="D88" s="6" t="str">
        <f>LRTRIM(CONCATENATE(IF(SUMPRODUCT(-- ISNUMBER(SEARCH({"Auto Number"}, $B88))) &gt; 0, $B88, IF(SUMPRODUCT(-- ISNUMBER(SEARCH({"Lookup","Master-Detail"}, $B88))) &gt; 0,$B88 &amp; "(" &amp; $E88 &amp; ")",IF(SUMPRODUCT(-- ISNUMBER(SEARCH({"Formula","Roll-Up Summary"}, $B88))) &gt; 0,$B88 &amp; " (" &amp; $E88 &amp; ")",IF(SUMPRODUCT(-- ISNUMBER(SEARCH({"Content","Currency","Number","Percent","Text","URL"}, $B88))) &gt; 0,$B88 &amp; "(" &amp; $C88 &amp; ")",$B88)))), "  ", TRIM(IF($S88 = "YES", "(External ID)", "") &amp; " " &amp; IF(SUMPRODUCT(-- ISNUMBER(SEARCH({"Unique","Unique Case Insensitive"}, $R88))) &gt; 0, "(" &amp; $R88 &amp; ")", ""))))</f>
        <v>na</v>
      </c>
      <c r="E88" s="7" t="s">
        <v>195</v>
      </c>
      <c r="F88" s="7" t="s">
        <v>195</v>
      </c>
      <c r="G88" s="7" t="s">
        <v>195</v>
      </c>
      <c r="H88" s="7" t="s">
        <v>195</v>
      </c>
      <c r="I88" s="7" t="s">
        <v>195</v>
      </c>
      <c r="J88" s="7" t="s">
        <v>195</v>
      </c>
      <c r="K88" s="7" t="s">
        <v>195</v>
      </c>
      <c r="L88" s="7" t="s">
        <v>195</v>
      </c>
      <c r="M88" s="7" t="s">
        <v>29</v>
      </c>
      <c r="N88" s="7" t="s">
        <v>29</v>
      </c>
      <c r="O88" s="7" t="s">
        <v>29</v>
      </c>
      <c r="P88" s="7" t="s">
        <v>29</v>
      </c>
      <c r="Q88" s="7" t="s">
        <v>29</v>
      </c>
      <c r="R88" s="7" t="s">
        <v>29</v>
      </c>
      <c r="S88" s="7" t="s">
        <v>29</v>
      </c>
    </row>
    <row r="89" spans="2:19">
      <c r="B89" s="7" t="s">
        <v>195</v>
      </c>
      <c r="C89" s="8" t="s">
        <v>195</v>
      </c>
      <c r="D89" s="6" t="str">
        <f>LRTRIM(CONCATENATE(IF(SUMPRODUCT(-- ISNUMBER(SEARCH({"Auto Number"}, $B89))) &gt; 0, $B89, IF(SUMPRODUCT(-- ISNUMBER(SEARCH({"Lookup","Master-Detail"}, $B89))) &gt; 0,$B89 &amp; "(" &amp; $E89 &amp; ")",IF(SUMPRODUCT(-- ISNUMBER(SEARCH({"Formula","Roll-Up Summary"}, $B89))) &gt; 0,$B89 &amp; " (" &amp; $E89 &amp; ")",IF(SUMPRODUCT(-- ISNUMBER(SEARCH({"Content","Currency","Number","Percent","Text","URL"}, $B89))) &gt; 0,$B89 &amp; "(" &amp; $C89 &amp; ")",$B89)))), "  ", TRIM(IF($S89 = "YES", "(External ID)", "") &amp; " " &amp; IF(SUMPRODUCT(-- ISNUMBER(SEARCH({"Unique","Unique Case Insensitive"}, $R89))) &gt; 0, "(" &amp; $R89 &amp; ")", ""))))</f>
        <v>na</v>
      </c>
      <c r="E89" s="7" t="s">
        <v>195</v>
      </c>
      <c r="F89" s="7" t="s">
        <v>195</v>
      </c>
      <c r="G89" s="7" t="s">
        <v>195</v>
      </c>
      <c r="H89" s="7" t="s">
        <v>195</v>
      </c>
      <c r="I89" s="7" t="s">
        <v>195</v>
      </c>
      <c r="J89" s="7" t="s">
        <v>195</v>
      </c>
      <c r="K89" s="7" t="s">
        <v>195</v>
      </c>
      <c r="L89" s="7" t="s">
        <v>195</v>
      </c>
      <c r="M89" s="7" t="s">
        <v>29</v>
      </c>
      <c r="N89" s="7" t="s">
        <v>29</v>
      </c>
      <c r="O89" s="7" t="s">
        <v>29</v>
      </c>
      <c r="P89" s="7" t="s">
        <v>29</v>
      </c>
      <c r="Q89" s="7" t="s">
        <v>29</v>
      </c>
      <c r="R89" s="7" t="s">
        <v>29</v>
      </c>
      <c r="S89" s="7" t="s">
        <v>29</v>
      </c>
    </row>
    <row r="90" spans="2:19">
      <c r="B90" s="7" t="s">
        <v>195</v>
      </c>
      <c r="C90" s="8" t="s">
        <v>195</v>
      </c>
      <c r="D90" s="6" t="str">
        <f>LRTRIM(CONCATENATE(IF(SUMPRODUCT(-- ISNUMBER(SEARCH({"Auto Number"}, $B90))) &gt; 0, $B90, IF(SUMPRODUCT(-- ISNUMBER(SEARCH({"Lookup","Master-Detail"}, $B90))) &gt; 0,$B90 &amp; "(" &amp; $E90 &amp; ")",IF(SUMPRODUCT(-- ISNUMBER(SEARCH({"Formula","Roll-Up Summary"}, $B90))) &gt; 0,$B90 &amp; " (" &amp; $E90 &amp; ")",IF(SUMPRODUCT(-- ISNUMBER(SEARCH({"Content","Currency","Number","Percent","Text","URL"}, $B90))) &gt; 0,$B90 &amp; "(" &amp; $C90 &amp; ")",$B90)))), "  ", TRIM(IF($S90 = "YES", "(External ID)", "") &amp; " " &amp; IF(SUMPRODUCT(-- ISNUMBER(SEARCH({"Unique","Unique Case Insensitive"}, $R90))) &gt; 0, "(" &amp; $R90 &amp; ")", ""))))</f>
        <v>na</v>
      </c>
      <c r="E90" s="7" t="s">
        <v>195</v>
      </c>
      <c r="F90" s="7" t="s">
        <v>195</v>
      </c>
      <c r="G90" s="7" t="s">
        <v>195</v>
      </c>
      <c r="H90" s="7" t="s">
        <v>195</v>
      </c>
      <c r="I90" s="7" t="s">
        <v>195</v>
      </c>
      <c r="J90" s="7" t="s">
        <v>195</v>
      </c>
      <c r="K90" s="7" t="s">
        <v>195</v>
      </c>
      <c r="L90" s="7" t="s">
        <v>195</v>
      </c>
      <c r="M90" s="7" t="s">
        <v>29</v>
      </c>
      <c r="N90" s="7" t="s">
        <v>29</v>
      </c>
      <c r="O90" s="7" t="s">
        <v>29</v>
      </c>
      <c r="P90" s="7" t="s">
        <v>29</v>
      </c>
      <c r="Q90" s="7" t="s">
        <v>29</v>
      </c>
      <c r="R90" s="7" t="s">
        <v>29</v>
      </c>
      <c r="S90" s="7" t="s">
        <v>29</v>
      </c>
    </row>
    <row r="91" spans="2:19">
      <c r="B91" s="7" t="s">
        <v>195</v>
      </c>
      <c r="C91" s="8" t="s">
        <v>195</v>
      </c>
      <c r="D91" s="6" t="str">
        <f>LRTRIM(CONCATENATE(IF(SUMPRODUCT(-- ISNUMBER(SEARCH({"Auto Number"}, $B91))) &gt; 0, $B91, IF(SUMPRODUCT(-- ISNUMBER(SEARCH({"Lookup","Master-Detail"}, $B91))) &gt; 0,$B91 &amp; "(" &amp; $E91 &amp; ")",IF(SUMPRODUCT(-- ISNUMBER(SEARCH({"Formula","Roll-Up Summary"}, $B91))) &gt; 0,$B91 &amp; " (" &amp; $E91 &amp; ")",IF(SUMPRODUCT(-- ISNUMBER(SEARCH({"Content","Currency","Number","Percent","Text","URL"}, $B91))) &gt; 0,$B91 &amp; "(" &amp; $C91 &amp; ")",$B91)))), "  ", TRIM(IF($S91 = "YES", "(External ID)", "") &amp; " " &amp; IF(SUMPRODUCT(-- ISNUMBER(SEARCH({"Unique","Unique Case Insensitive"}, $R91))) &gt; 0, "(" &amp; $R91 &amp; ")", ""))))</f>
        <v>na</v>
      </c>
      <c r="E91" s="7" t="s">
        <v>195</v>
      </c>
      <c r="F91" s="7" t="s">
        <v>195</v>
      </c>
      <c r="G91" s="7" t="s">
        <v>195</v>
      </c>
      <c r="H91" s="7" t="s">
        <v>195</v>
      </c>
      <c r="I91" s="7" t="s">
        <v>195</v>
      </c>
      <c r="J91" s="7" t="s">
        <v>195</v>
      </c>
      <c r="K91" s="7" t="s">
        <v>195</v>
      </c>
      <c r="L91" s="7" t="s">
        <v>195</v>
      </c>
      <c r="M91" s="7" t="s">
        <v>29</v>
      </c>
      <c r="N91" s="7" t="s">
        <v>29</v>
      </c>
      <c r="O91" s="7" t="s">
        <v>29</v>
      </c>
      <c r="P91" s="7" t="s">
        <v>29</v>
      </c>
      <c r="Q91" s="7" t="s">
        <v>29</v>
      </c>
      <c r="R91" s="7" t="s">
        <v>29</v>
      </c>
      <c r="S91" s="7" t="s">
        <v>29</v>
      </c>
    </row>
    <row r="92" spans="2:19">
      <c r="B92" s="7" t="s">
        <v>195</v>
      </c>
      <c r="C92" s="8" t="s">
        <v>195</v>
      </c>
      <c r="D92" s="6" t="str">
        <f>LRTRIM(CONCATENATE(IF(SUMPRODUCT(-- ISNUMBER(SEARCH({"Auto Number"}, $B92))) &gt; 0, $B92, IF(SUMPRODUCT(-- ISNUMBER(SEARCH({"Lookup","Master-Detail"}, $B92))) &gt; 0,$B92 &amp; "(" &amp; $E92 &amp; ")",IF(SUMPRODUCT(-- ISNUMBER(SEARCH({"Formula","Roll-Up Summary"}, $B92))) &gt; 0,$B92 &amp; " (" &amp; $E92 &amp; ")",IF(SUMPRODUCT(-- ISNUMBER(SEARCH({"Content","Currency","Number","Percent","Text","URL"}, $B92))) &gt; 0,$B92 &amp; "(" &amp; $C92 &amp; ")",$B92)))), "  ", TRIM(IF($S92 = "YES", "(External ID)", "") &amp; " " &amp; IF(SUMPRODUCT(-- ISNUMBER(SEARCH({"Unique","Unique Case Insensitive"}, $R92))) &gt; 0, "(" &amp; $R92 &amp; ")", ""))))</f>
        <v>na</v>
      </c>
      <c r="E92" s="7" t="s">
        <v>195</v>
      </c>
      <c r="F92" s="7" t="s">
        <v>195</v>
      </c>
      <c r="G92" s="7" t="s">
        <v>195</v>
      </c>
      <c r="H92" s="7" t="s">
        <v>195</v>
      </c>
      <c r="I92" s="7" t="s">
        <v>195</v>
      </c>
      <c r="J92" s="7" t="s">
        <v>195</v>
      </c>
      <c r="K92" s="7" t="s">
        <v>195</v>
      </c>
      <c r="L92" s="7" t="s">
        <v>195</v>
      </c>
      <c r="M92" s="7" t="s">
        <v>29</v>
      </c>
      <c r="N92" s="7" t="s">
        <v>29</v>
      </c>
      <c r="O92" s="7" t="s">
        <v>29</v>
      </c>
      <c r="P92" s="7" t="s">
        <v>29</v>
      </c>
      <c r="Q92" s="7" t="s">
        <v>29</v>
      </c>
      <c r="R92" s="7" t="s">
        <v>29</v>
      </c>
      <c r="S92" s="7" t="s">
        <v>29</v>
      </c>
    </row>
    <row r="93" spans="2:19">
      <c r="B93" s="7" t="s">
        <v>195</v>
      </c>
      <c r="C93" s="8" t="s">
        <v>195</v>
      </c>
      <c r="D93" s="6" t="str">
        <f>LRTRIM(CONCATENATE(IF(SUMPRODUCT(-- ISNUMBER(SEARCH({"Auto Number"}, $B93))) &gt; 0, $B93, IF(SUMPRODUCT(-- ISNUMBER(SEARCH({"Lookup","Master-Detail"}, $B93))) &gt; 0,$B93 &amp; "(" &amp; $E93 &amp; ")",IF(SUMPRODUCT(-- ISNUMBER(SEARCH({"Formula","Roll-Up Summary"}, $B93))) &gt; 0,$B93 &amp; " (" &amp; $E93 &amp; ")",IF(SUMPRODUCT(-- ISNUMBER(SEARCH({"Content","Currency","Number","Percent","Text","URL"}, $B93))) &gt; 0,$B93 &amp; "(" &amp; $C93 &amp; ")",$B93)))), "  ", TRIM(IF($S93 = "YES", "(External ID)", "") &amp; " " &amp; IF(SUMPRODUCT(-- ISNUMBER(SEARCH({"Unique","Unique Case Insensitive"}, $R93))) &gt; 0, "(" &amp; $R93 &amp; ")", ""))))</f>
        <v>na</v>
      </c>
      <c r="E93" s="7" t="s">
        <v>195</v>
      </c>
      <c r="F93" s="7" t="s">
        <v>195</v>
      </c>
      <c r="G93" s="7" t="s">
        <v>195</v>
      </c>
      <c r="H93" s="7" t="s">
        <v>195</v>
      </c>
      <c r="I93" s="7" t="s">
        <v>195</v>
      </c>
      <c r="J93" s="7" t="s">
        <v>195</v>
      </c>
      <c r="K93" s="7" t="s">
        <v>195</v>
      </c>
      <c r="L93" s="7" t="s">
        <v>195</v>
      </c>
      <c r="M93" s="7" t="s">
        <v>29</v>
      </c>
      <c r="N93" s="7" t="s">
        <v>29</v>
      </c>
      <c r="O93" s="7" t="s">
        <v>29</v>
      </c>
      <c r="P93" s="7" t="s">
        <v>29</v>
      </c>
      <c r="Q93" s="7" t="s">
        <v>29</v>
      </c>
      <c r="R93" s="7" t="s">
        <v>29</v>
      </c>
      <c r="S93" s="7" t="s">
        <v>29</v>
      </c>
    </row>
    <row r="94" spans="2:19">
      <c r="B94" s="7" t="s">
        <v>195</v>
      </c>
      <c r="C94" s="8" t="s">
        <v>195</v>
      </c>
      <c r="D94" s="6" t="str">
        <f>LRTRIM(CONCATENATE(IF(SUMPRODUCT(-- ISNUMBER(SEARCH({"Auto Number"}, $B94))) &gt; 0, $B94, IF(SUMPRODUCT(-- ISNUMBER(SEARCH({"Lookup","Master-Detail"}, $B94))) &gt; 0,$B94 &amp; "(" &amp; $E94 &amp; ")",IF(SUMPRODUCT(-- ISNUMBER(SEARCH({"Formula","Roll-Up Summary"}, $B94))) &gt; 0,$B94 &amp; " (" &amp; $E94 &amp; ")",IF(SUMPRODUCT(-- ISNUMBER(SEARCH({"Content","Currency","Number","Percent","Text","URL"}, $B94))) &gt; 0,$B94 &amp; "(" &amp; $C94 &amp; ")",$B94)))), "  ", TRIM(IF($S94 = "YES", "(External ID)", "") &amp; " " &amp; IF(SUMPRODUCT(-- ISNUMBER(SEARCH({"Unique","Unique Case Insensitive"}, $R94))) &gt; 0, "(" &amp; $R94 &amp; ")", ""))))</f>
        <v>na</v>
      </c>
      <c r="E94" s="7" t="s">
        <v>195</v>
      </c>
      <c r="F94" s="7" t="s">
        <v>195</v>
      </c>
      <c r="G94" s="7" t="s">
        <v>195</v>
      </c>
      <c r="H94" s="7" t="s">
        <v>195</v>
      </c>
      <c r="I94" s="7" t="s">
        <v>195</v>
      </c>
      <c r="J94" s="7" t="s">
        <v>195</v>
      </c>
      <c r="K94" s="7" t="s">
        <v>195</v>
      </c>
      <c r="L94" s="7" t="s">
        <v>195</v>
      </c>
      <c r="M94" s="7" t="s">
        <v>29</v>
      </c>
      <c r="N94" s="7" t="s">
        <v>29</v>
      </c>
      <c r="O94" s="7" t="s">
        <v>29</v>
      </c>
      <c r="P94" s="7" t="s">
        <v>29</v>
      </c>
      <c r="Q94" s="7" t="s">
        <v>29</v>
      </c>
      <c r="R94" s="7" t="s">
        <v>29</v>
      </c>
      <c r="S94" s="7" t="s">
        <v>29</v>
      </c>
    </row>
    <row r="95" spans="2:19">
      <c r="B95" s="7" t="s">
        <v>195</v>
      </c>
      <c r="C95" s="8" t="s">
        <v>195</v>
      </c>
      <c r="D95" s="6" t="str">
        <f>LRTRIM(CONCATENATE(IF(SUMPRODUCT(-- ISNUMBER(SEARCH({"Auto Number"}, $B95))) &gt; 0, $B95, IF(SUMPRODUCT(-- ISNUMBER(SEARCH({"Lookup","Master-Detail"}, $B95))) &gt; 0,$B95 &amp; "(" &amp; $E95 &amp; ")",IF(SUMPRODUCT(-- ISNUMBER(SEARCH({"Formula","Roll-Up Summary"}, $B95))) &gt; 0,$B95 &amp; " (" &amp; $E95 &amp; ")",IF(SUMPRODUCT(-- ISNUMBER(SEARCH({"Content","Currency","Number","Percent","Text","URL"}, $B95))) &gt; 0,$B95 &amp; "(" &amp; $C95 &amp; ")",$B95)))), "  ", TRIM(IF($S95 = "YES", "(External ID)", "") &amp; " " &amp; IF(SUMPRODUCT(-- ISNUMBER(SEARCH({"Unique","Unique Case Insensitive"}, $R95))) &gt; 0, "(" &amp; $R95 &amp; ")", ""))))</f>
        <v>na</v>
      </c>
      <c r="E95" s="7" t="s">
        <v>195</v>
      </c>
      <c r="F95" s="7" t="s">
        <v>195</v>
      </c>
      <c r="G95" s="7" t="s">
        <v>195</v>
      </c>
      <c r="H95" s="7" t="s">
        <v>195</v>
      </c>
      <c r="I95" s="7" t="s">
        <v>195</v>
      </c>
      <c r="J95" s="7" t="s">
        <v>195</v>
      </c>
      <c r="K95" s="7" t="s">
        <v>195</v>
      </c>
      <c r="L95" s="7" t="s">
        <v>195</v>
      </c>
      <c r="M95" s="7" t="s">
        <v>29</v>
      </c>
      <c r="N95" s="7" t="s">
        <v>29</v>
      </c>
      <c r="O95" s="7" t="s">
        <v>29</v>
      </c>
      <c r="P95" s="7" t="s">
        <v>29</v>
      </c>
      <c r="Q95" s="7" t="s">
        <v>29</v>
      </c>
      <c r="R95" s="7" t="s">
        <v>29</v>
      </c>
      <c r="S95" s="7" t="s">
        <v>29</v>
      </c>
    </row>
    <row r="96" spans="2:19">
      <c r="B96" s="7" t="s">
        <v>195</v>
      </c>
      <c r="C96" s="8" t="s">
        <v>195</v>
      </c>
      <c r="D96" s="6" t="str">
        <f>LRTRIM(CONCATENATE(IF(SUMPRODUCT(-- ISNUMBER(SEARCH({"Auto Number"}, $B96))) &gt; 0, $B96, IF(SUMPRODUCT(-- ISNUMBER(SEARCH({"Lookup","Master-Detail"}, $B96))) &gt; 0,$B96 &amp; "(" &amp; $E96 &amp; ")",IF(SUMPRODUCT(-- ISNUMBER(SEARCH({"Formula","Roll-Up Summary"}, $B96))) &gt; 0,$B96 &amp; " (" &amp; $E96 &amp; ")",IF(SUMPRODUCT(-- ISNUMBER(SEARCH({"Content","Currency","Number","Percent","Text","URL"}, $B96))) &gt; 0,$B96 &amp; "(" &amp; $C96 &amp; ")",$B96)))), "  ", TRIM(IF($S96 = "YES", "(External ID)", "") &amp; " " &amp; IF(SUMPRODUCT(-- ISNUMBER(SEARCH({"Unique","Unique Case Insensitive"}, $R96))) &gt; 0, "(" &amp; $R96 &amp; ")", ""))))</f>
        <v>na</v>
      </c>
      <c r="E96" s="7" t="s">
        <v>195</v>
      </c>
      <c r="F96" s="7" t="s">
        <v>195</v>
      </c>
      <c r="G96" s="7" t="s">
        <v>195</v>
      </c>
      <c r="H96" s="7" t="s">
        <v>195</v>
      </c>
      <c r="I96" s="7" t="s">
        <v>195</v>
      </c>
      <c r="J96" s="7" t="s">
        <v>195</v>
      </c>
      <c r="K96" s="7" t="s">
        <v>195</v>
      </c>
      <c r="L96" s="7" t="s">
        <v>195</v>
      </c>
      <c r="M96" s="7" t="s">
        <v>29</v>
      </c>
      <c r="N96" s="7" t="s">
        <v>29</v>
      </c>
      <c r="O96" s="7" t="s">
        <v>29</v>
      </c>
      <c r="P96" s="7" t="s">
        <v>29</v>
      </c>
      <c r="Q96" s="7" t="s">
        <v>29</v>
      </c>
      <c r="R96" s="7" t="s">
        <v>29</v>
      </c>
      <c r="S96" s="7" t="s">
        <v>29</v>
      </c>
    </row>
    <row r="97" spans="2:19">
      <c r="B97" s="7" t="s">
        <v>195</v>
      </c>
      <c r="C97" s="8" t="s">
        <v>195</v>
      </c>
      <c r="D97" s="6" t="str">
        <f>LRTRIM(CONCATENATE(IF(SUMPRODUCT(-- ISNUMBER(SEARCH({"Auto Number"}, $B97))) &gt; 0, $B97, IF(SUMPRODUCT(-- ISNUMBER(SEARCH({"Lookup","Master-Detail"}, $B97))) &gt; 0,$B97 &amp; "(" &amp; $E97 &amp; ")",IF(SUMPRODUCT(-- ISNUMBER(SEARCH({"Formula","Roll-Up Summary"}, $B97))) &gt; 0,$B97 &amp; " (" &amp; $E97 &amp; ")",IF(SUMPRODUCT(-- ISNUMBER(SEARCH({"Content","Currency","Number","Percent","Text","URL"}, $B97))) &gt; 0,$B97 &amp; "(" &amp; $C97 &amp; ")",$B97)))), "  ", TRIM(IF($S97 = "YES", "(External ID)", "") &amp; " " &amp; IF(SUMPRODUCT(-- ISNUMBER(SEARCH({"Unique","Unique Case Insensitive"}, $R97))) &gt; 0, "(" &amp; $R97 &amp; ")", ""))))</f>
        <v>na</v>
      </c>
      <c r="E97" s="7" t="s">
        <v>195</v>
      </c>
      <c r="F97" s="7" t="s">
        <v>195</v>
      </c>
      <c r="G97" s="7" t="s">
        <v>195</v>
      </c>
      <c r="H97" s="7" t="s">
        <v>195</v>
      </c>
      <c r="I97" s="7" t="s">
        <v>195</v>
      </c>
      <c r="J97" s="7" t="s">
        <v>195</v>
      </c>
      <c r="K97" s="7" t="s">
        <v>195</v>
      </c>
      <c r="L97" s="7" t="s">
        <v>195</v>
      </c>
      <c r="M97" s="7" t="s">
        <v>29</v>
      </c>
      <c r="N97" s="7" t="s">
        <v>29</v>
      </c>
      <c r="O97" s="7" t="s">
        <v>29</v>
      </c>
      <c r="P97" s="7" t="s">
        <v>29</v>
      </c>
      <c r="Q97" s="7" t="s">
        <v>29</v>
      </c>
      <c r="R97" s="7" t="s">
        <v>29</v>
      </c>
      <c r="S97" s="7" t="s">
        <v>29</v>
      </c>
    </row>
    <row r="98" spans="2:19">
      <c r="B98" s="7" t="s">
        <v>195</v>
      </c>
      <c r="C98" s="8" t="s">
        <v>195</v>
      </c>
      <c r="D98" s="6" t="str">
        <f>LRTRIM(CONCATENATE(IF(SUMPRODUCT(-- ISNUMBER(SEARCH({"Auto Number"}, $B98))) &gt; 0, $B98, IF(SUMPRODUCT(-- ISNUMBER(SEARCH({"Lookup","Master-Detail"}, $B98))) &gt; 0,$B98 &amp; "(" &amp; $E98 &amp; ")",IF(SUMPRODUCT(-- ISNUMBER(SEARCH({"Formula","Roll-Up Summary"}, $B98))) &gt; 0,$B98 &amp; " (" &amp; $E98 &amp; ")",IF(SUMPRODUCT(-- ISNUMBER(SEARCH({"Content","Currency","Number","Percent","Text","URL"}, $B98))) &gt; 0,$B98 &amp; "(" &amp; $C98 &amp; ")",$B98)))), "  ", TRIM(IF($S98 = "YES", "(External ID)", "") &amp; " " &amp; IF(SUMPRODUCT(-- ISNUMBER(SEARCH({"Unique","Unique Case Insensitive"}, $R98))) &gt; 0, "(" &amp; $R98 &amp; ")", ""))))</f>
        <v>na</v>
      </c>
      <c r="E98" s="7" t="s">
        <v>195</v>
      </c>
      <c r="F98" s="7" t="s">
        <v>195</v>
      </c>
      <c r="G98" s="7" t="s">
        <v>195</v>
      </c>
      <c r="H98" s="7" t="s">
        <v>195</v>
      </c>
      <c r="I98" s="7" t="s">
        <v>195</v>
      </c>
      <c r="J98" s="7" t="s">
        <v>195</v>
      </c>
      <c r="K98" s="7" t="s">
        <v>195</v>
      </c>
      <c r="L98" s="7" t="s">
        <v>195</v>
      </c>
      <c r="M98" s="7" t="s">
        <v>29</v>
      </c>
      <c r="N98" s="7" t="s">
        <v>29</v>
      </c>
      <c r="O98" s="7" t="s">
        <v>29</v>
      </c>
      <c r="P98" s="7" t="s">
        <v>29</v>
      </c>
      <c r="Q98" s="7" t="s">
        <v>29</v>
      </c>
      <c r="R98" s="7" t="s">
        <v>29</v>
      </c>
      <c r="S98" s="7" t="s">
        <v>29</v>
      </c>
    </row>
    <row r="99" spans="2:19">
      <c r="B99" s="7" t="s">
        <v>195</v>
      </c>
      <c r="C99" s="8" t="s">
        <v>195</v>
      </c>
      <c r="D99" s="6" t="str">
        <f>LRTRIM(CONCATENATE(IF(SUMPRODUCT(-- ISNUMBER(SEARCH({"Auto Number"}, $B99))) &gt; 0, $B99, IF(SUMPRODUCT(-- ISNUMBER(SEARCH({"Lookup","Master-Detail"}, $B99))) &gt; 0,$B99 &amp; "(" &amp; $E99 &amp; ")",IF(SUMPRODUCT(-- ISNUMBER(SEARCH({"Formula","Roll-Up Summary"}, $B99))) &gt; 0,$B99 &amp; " (" &amp; $E99 &amp; ")",IF(SUMPRODUCT(-- ISNUMBER(SEARCH({"Content","Currency","Number","Percent","Text","URL"}, $B99))) &gt; 0,$B99 &amp; "(" &amp; $C99 &amp; ")",$B99)))), "  ", TRIM(IF($S99 = "YES", "(External ID)", "") &amp; " " &amp; IF(SUMPRODUCT(-- ISNUMBER(SEARCH({"Unique","Unique Case Insensitive"}, $R99))) &gt; 0, "(" &amp; $R99 &amp; ")", ""))))</f>
        <v>na</v>
      </c>
      <c r="E99" s="7" t="s">
        <v>195</v>
      </c>
      <c r="F99" s="7" t="s">
        <v>195</v>
      </c>
      <c r="G99" s="7" t="s">
        <v>195</v>
      </c>
      <c r="H99" s="7" t="s">
        <v>195</v>
      </c>
      <c r="I99" s="7" t="s">
        <v>195</v>
      </c>
      <c r="J99" s="7" t="s">
        <v>195</v>
      </c>
      <c r="K99" s="7" t="s">
        <v>195</v>
      </c>
      <c r="L99" s="7" t="s">
        <v>195</v>
      </c>
      <c r="M99" s="7" t="s">
        <v>29</v>
      </c>
      <c r="N99" s="7" t="s">
        <v>29</v>
      </c>
      <c r="O99" s="7" t="s">
        <v>29</v>
      </c>
      <c r="P99" s="7" t="s">
        <v>29</v>
      </c>
      <c r="Q99" s="7" t="s">
        <v>29</v>
      </c>
      <c r="R99" s="7" t="s">
        <v>29</v>
      </c>
      <c r="S99" s="7" t="s">
        <v>29</v>
      </c>
    </row>
    <row r="100" spans="2:19">
      <c r="B100" s="7" t="s">
        <v>195</v>
      </c>
      <c r="C100" s="8" t="s">
        <v>195</v>
      </c>
      <c r="D100" s="6" t="str">
        <f>LRTRIM(CONCATENATE(IF(SUMPRODUCT(-- ISNUMBER(SEARCH({"Auto Number"}, $B100))) &gt; 0, $B100, IF(SUMPRODUCT(-- ISNUMBER(SEARCH({"Lookup","Master-Detail"}, $B100))) &gt; 0,$B100 &amp; "(" &amp; $E100 &amp; ")",IF(SUMPRODUCT(-- ISNUMBER(SEARCH({"Formula","Roll-Up Summary"}, $B100))) &gt; 0,$B100 &amp; " (" &amp; $E100 &amp; ")",IF(SUMPRODUCT(-- ISNUMBER(SEARCH({"Content","Currency","Number","Percent","Text","URL"}, $B100))) &gt; 0,$B100 &amp; "(" &amp; $C100 &amp; ")",$B100)))), "  ", TRIM(IF($S100 = "YES", "(External ID)", "") &amp; " " &amp; IF(SUMPRODUCT(-- ISNUMBER(SEARCH({"Unique","Unique Case Insensitive"}, $R100))) &gt; 0, "(" &amp; $R100 &amp; ")", ""))))</f>
        <v>na</v>
      </c>
      <c r="E100" s="7" t="s">
        <v>195</v>
      </c>
      <c r="F100" s="7" t="s">
        <v>195</v>
      </c>
      <c r="G100" s="7" t="s">
        <v>195</v>
      </c>
      <c r="H100" s="7" t="s">
        <v>195</v>
      </c>
      <c r="I100" s="7" t="s">
        <v>195</v>
      </c>
      <c r="J100" s="7" t="s">
        <v>195</v>
      </c>
      <c r="K100" s="7" t="s">
        <v>195</v>
      </c>
      <c r="L100" s="7" t="s">
        <v>195</v>
      </c>
      <c r="M100" s="7" t="s">
        <v>29</v>
      </c>
      <c r="N100" s="7" t="s">
        <v>29</v>
      </c>
      <c r="O100" s="7" t="s">
        <v>29</v>
      </c>
      <c r="P100" s="7" t="s">
        <v>29</v>
      </c>
      <c r="Q100" s="7" t="s">
        <v>29</v>
      </c>
      <c r="R100" s="7" t="s">
        <v>29</v>
      </c>
      <c r="S100" s="7" t="s">
        <v>29</v>
      </c>
    </row>
    <row r="101" spans="2:19">
      <c r="B101" s="7" t="s">
        <v>195</v>
      </c>
      <c r="C101" s="8" t="s">
        <v>195</v>
      </c>
      <c r="D101" s="6" t="str">
        <f>LRTRIM(CONCATENATE(IF(SUMPRODUCT(-- ISNUMBER(SEARCH({"Auto Number"}, $B101))) &gt; 0, $B101, IF(SUMPRODUCT(-- ISNUMBER(SEARCH({"Lookup","Master-Detail"}, $B101))) &gt; 0,$B101 &amp; "(" &amp; $E101 &amp; ")",IF(SUMPRODUCT(-- ISNUMBER(SEARCH({"Formula","Roll-Up Summary"}, $B101))) &gt; 0,$B101 &amp; " (" &amp; $E101 &amp; ")",IF(SUMPRODUCT(-- ISNUMBER(SEARCH({"Content","Currency","Number","Percent","Text","URL"}, $B101))) &gt; 0,$B101 &amp; "(" &amp; $C101 &amp; ")",$B101)))), "  ", TRIM(IF($S101 = "YES", "(External ID)", "") &amp; " " &amp; IF(SUMPRODUCT(-- ISNUMBER(SEARCH({"Unique","Unique Case Insensitive"}, $R101))) &gt; 0, "(" &amp; $R101 &amp; ")", ""))))</f>
        <v>na</v>
      </c>
      <c r="E101" s="7" t="s">
        <v>195</v>
      </c>
      <c r="F101" s="7" t="s">
        <v>195</v>
      </c>
      <c r="G101" s="7" t="s">
        <v>195</v>
      </c>
      <c r="H101" s="7" t="s">
        <v>195</v>
      </c>
      <c r="I101" s="7" t="s">
        <v>195</v>
      </c>
      <c r="J101" s="7" t="s">
        <v>195</v>
      </c>
      <c r="K101" s="7" t="s">
        <v>195</v>
      </c>
      <c r="L101" s="7" t="s">
        <v>195</v>
      </c>
      <c r="M101" s="7" t="s">
        <v>29</v>
      </c>
      <c r="N101" s="7" t="s">
        <v>29</v>
      </c>
      <c r="O101" s="7" t="s">
        <v>29</v>
      </c>
      <c r="P101" s="7" t="s">
        <v>29</v>
      </c>
      <c r="Q101" s="7" t="s">
        <v>29</v>
      </c>
      <c r="R101" s="7" t="s">
        <v>29</v>
      </c>
      <c r="S101" s="7" t="s">
        <v>29</v>
      </c>
    </row>
    <row r="102" spans="2:19">
      <c r="B102" s="7" t="s">
        <v>195</v>
      </c>
      <c r="C102" s="8" t="s">
        <v>195</v>
      </c>
      <c r="D102" s="6" t="str">
        <f>LRTRIM(CONCATENATE(IF(SUMPRODUCT(-- ISNUMBER(SEARCH({"Auto Number"}, $B102))) &gt; 0, $B102, IF(SUMPRODUCT(-- ISNUMBER(SEARCH({"Lookup","Master-Detail"}, $B102))) &gt; 0,$B102 &amp; "(" &amp; $E102 &amp; ")",IF(SUMPRODUCT(-- ISNUMBER(SEARCH({"Formula","Roll-Up Summary"}, $B102))) &gt; 0,$B102 &amp; " (" &amp; $E102 &amp; ")",IF(SUMPRODUCT(-- ISNUMBER(SEARCH({"Content","Currency","Number","Percent","Text","URL"}, $B102))) &gt; 0,$B102 &amp; "(" &amp; $C102 &amp; ")",$B102)))), "  ", TRIM(IF($S102 = "YES", "(External ID)", "") &amp; " " &amp; IF(SUMPRODUCT(-- ISNUMBER(SEARCH({"Unique","Unique Case Insensitive"}, $R102))) &gt; 0, "(" &amp; $R102 &amp; ")", ""))))</f>
        <v>na</v>
      </c>
      <c r="E102" s="7" t="s">
        <v>195</v>
      </c>
      <c r="F102" s="7" t="s">
        <v>195</v>
      </c>
      <c r="G102" s="7" t="s">
        <v>195</v>
      </c>
      <c r="H102" s="7" t="s">
        <v>195</v>
      </c>
      <c r="I102" s="7" t="s">
        <v>195</v>
      </c>
      <c r="J102" s="7" t="s">
        <v>195</v>
      </c>
      <c r="K102" s="7" t="s">
        <v>195</v>
      </c>
      <c r="L102" s="7" t="s">
        <v>195</v>
      </c>
      <c r="M102" s="7" t="s">
        <v>29</v>
      </c>
      <c r="N102" s="7" t="s">
        <v>29</v>
      </c>
      <c r="O102" s="7" t="s">
        <v>29</v>
      </c>
      <c r="P102" s="7" t="s">
        <v>29</v>
      </c>
      <c r="Q102" s="7" t="s">
        <v>29</v>
      </c>
      <c r="R102" s="7" t="s">
        <v>29</v>
      </c>
      <c r="S102" s="7" t="s">
        <v>29</v>
      </c>
    </row>
    <row r="103" spans="2:19">
      <c r="B103" s="7" t="s">
        <v>195</v>
      </c>
      <c r="C103" s="8" t="s">
        <v>195</v>
      </c>
      <c r="D103" s="6" t="str">
        <f>LRTRIM(CONCATENATE(IF(SUMPRODUCT(-- ISNUMBER(SEARCH({"Auto Number"}, $B103))) &gt; 0, $B103, IF(SUMPRODUCT(-- ISNUMBER(SEARCH({"Lookup","Master-Detail"}, $B103))) &gt; 0,$B103 &amp; "(" &amp; $E103 &amp; ")",IF(SUMPRODUCT(-- ISNUMBER(SEARCH({"Formula","Roll-Up Summary"}, $B103))) &gt; 0,$B103 &amp; " (" &amp; $E103 &amp; ")",IF(SUMPRODUCT(-- ISNUMBER(SEARCH({"Content","Currency","Number","Percent","Text","URL"}, $B103))) &gt; 0,$B103 &amp; "(" &amp; $C103 &amp; ")",$B103)))), "  ", TRIM(IF($S103 = "YES", "(External ID)", "") &amp; " " &amp; IF(SUMPRODUCT(-- ISNUMBER(SEARCH({"Unique","Unique Case Insensitive"}, $R103))) &gt; 0, "(" &amp; $R103 &amp; ")", ""))))</f>
        <v>na</v>
      </c>
      <c r="E103" s="7" t="s">
        <v>195</v>
      </c>
      <c r="F103" s="7" t="s">
        <v>195</v>
      </c>
      <c r="G103" s="7" t="s">
        <v>195</v>
      </c>
      <c r="H103" s="7" t="s">
        <v>195</v>
      </c>
      <c r="I103" s="7" t="s">
        <v>195</v>
      </c>
      <c r="J103" s="7" t="s">
        <v>195</v>
      </c>
      <c r="K103" s="7" t="s">
        <v>195</v>
      </c>
      <c r="L103" s="7" t="s">
        <v>195</v>
      </c>
      <c r="M103" s="7" t="s">
        <v>29</v>
      </c>
      <c r="N103" s="7" t="s">
        <v>29</v>
      </c>
      <c r="O103" s="7" t="s">
        <v>29</v>
      </c>
      <c r="P103" s="7" t="s">
        <v>29</v>
      </c>
      <c r="Q103" s="7" t="s">
        <v>29</v>
      </c>
      <c r="R103" s="7" t="s">
        <v>29</v>
      </c>
      <c r="S103" s="7" t="s">
        <v>29</v>
      </c>
    </row>
    <row r="104" spans="2:19">
      <c r="B104" s="7" t="s">
        <v>195</v>
      </c>
      <c r="C104" s="8" t="s">
        <v>195</v>
      </c>
      <c r="D104" s="6" t="str">
        <f>LRTRIM(CONCATENATE(IF(SUMPRODUCT(-- ISNUMBER(SEARCH({"Auto Number"}, $B104))) &gt; 0, $B104, IF(SUMPRODUCT(-- ISNUMBER(SEARCH({"Lookup","Master-Detail"}, $B104))) &gt; 0,$B104 &amp; "(" &amp; $E104 &amp; ")",IF(SUMPRODUCT(-- ISNUMBER(SEARCH({"Formula","Roll-Up Summary"}, $B104))) &gt; 0,$B104 &amp; " (" &amp; $E104 &amp; ")",IF(SUMPRODUCT(-- ISNUMBER(SEARCH({"Content","Currency","Number","Percent","Text","URL"}, $B104))) &gt; 0,$B104 &amp; "(" &amp; $C104 &amp; ")",$B104)))), "  ", TRIM(IF($S104 = "YES", "(External ID)", "") &amp; " " &amp; IF(SUMPRODUCT(-- ISNUMBER(SEARCH({"Unique","Unique Case Insensitive"}, $R104))) &gt; 0, "(" &amp; $R104 &amp; ")", ""))))</f>
        <v>na</v>
      </c>
      <c r="E104" s="7" t="s">
        <v>195</v>
      </c>
      <c r="F104" s="7" t="s">
        <v>195</v>
      </c>
      <c r="G104" s="7" t="s">
        <v>195</v>
      </c>
      <c r="H104" s="7" t="s">
        <v>195</v>
      </c>
      <c r="I104" s="7" t="s">
        <v>195</v>
      </c>
      <c r="J104" s="7" t="s">
        <v>195</v>
      </c>
      <c r="K104" s="7" t="s">
        <v>195</v>
      </c>
      <c r="L104" s="7" t="s">
        <v>195</v>
      </c>
      <c r="M104" s="7" t="s">
        <v>29</v>
      </c>
      <c r="N104" s="7" t="s">
        <v>29</v>
      </c>
      <c r="O104" s="7" t="s">
        <v>29</v>
      </c>
      <c r="P104" s="7" t="s">
        <v>29</v>
      </c>
      <c r="Q104" s="7" t="s">
        <v>29</v>
      </c>
      <c r="R104" s="7" t="s">
        <v>29</v>
      </c>
      <c r="S104" s="7" t="s">
        <v>29</v>
      </c>
    </row>
    <row r="105" spans="2:19">
      <c r="B105" s="7" t="s">
        <v>195</v>
      </c>
      <c r="C105" s="8" t="s">
        <v>195</v>
      </c>
      <c r="D105" s="6" t="str">
        <f>LRTRIM(CONCATENATE(IF(SUMPRODUCT(-- ISNUMBER(SEARCH({"Auto Number"}, $B105))) &gt; 0, $B105, IF(SUMPRODUCT(-- ISNUMBER(SEARCH({"Lookup","Master-Detail"}, $B105))) &gt; 0,$B105 &amp; "(" &amp; $E105 &amp; ")",IF(SUMPRODUCT(-- ISNUMBER(SEARCH({"Formula","Roll-Up Summary"}, $B105))) &gt; 0,$B105 &amp; " (" &amp; $E105 &amp; ")",IF(SUMPRODUCT(-- ISNUMBER(SEARCH({"Content","Currency","Number","Percent","Text","URL"}, $B105))) &gt; 0,$B105 &amp; "(" &amp; $C105 &amp; ")",$B105)))), "  ", TRIM(IF($S105 = "YES", "(External ID)", "") &amp; " " &amp; IF(SUMPRODUCT(-- ISNUMBER(SEARCH({"Unique","Unique Case Insensitive"}, $R105))) &gt; 0, "(" &amp; $R105 &amp; ")", ""))))</f>
        <v>na</v>
      </c>
      <c r="E105" s="7" t="s">
        <v>195</v>
      </c>
      <c r="F105" s="7" t="s">
        <v>195</v>
      </c>
      <c r="G105" s="7" t="s">
        <v>195</v>
      </c>
      <c r="H105" s="7" t="s">
        <v>195</v>
      </c>
      <c r="I105" s="7" t="s">
        <v>195</v>
      </c>
      <c r="J105" s="7" t="s">
        <v>195</v>
      </c>
      <c r="K105" s="7" t="s">
        <v>195</v>
      </c>
      <c r="L105" s="7" t="s">
        <v>195</v>
      </c>
      <c r="M105" s="7" t="s">
        <v>29</v>
      </c>
      <c r="N105" s="7" t="s">
        <v>29</v>
      </c>
      <c r="O105" s="7" t="s">
        <v>29</v>
      </c>
      <c r="P105" s="7" t="s">
        <v>29</v>
      </c>
      <c r="Q105" s="7" t="s">
        <v>29</v>
      </c>
      <c r="R105" s="7" t="s">
        <v>29</v>
      </c>
      <c r="S105" s="7" t="s">
        <v>29</v>
      </c>
    </row>
    <row r="106" spans="2:19">
      <c r="B106" s="7" t="s">
        <v>195</v>
      </c>
      <c r="C106" s="8" t="s">
        <v>195</v>
      </c>
      <c r="D106" s="6" t="str">
        <f>LRTRIM(CONCATENATE(IF(SUMPRODUCT(-- ISNUMBER(SEARCH({"Auto Number"}, $B106))) &gt; 0, $B106, IF(SUMPRODUCT(-- ISNUMBER(SEARCH({"Lookup","Master-Detail"}, $B106))) &gt; 0,$B106 &amp; "(" &amp; $E106 &amp; ")",IF(SUMPRODUCT(-- ISNUMBER(SEARCH({"Formula","Roll-Up Summary"}, $B106))) &gt; 0,$B106 &amp; " (" &amp; $E106 &amp; ")",IF(SUMPRODUCT(-- ISNUMBER(SEARCH({"Content","Currency","Number","Percent","Text","URL"}, $B106))) &gt; 0,$B106 &amp; "(" &amp; $C106 &amp; ")",$B106)))), "  ", TRIM(IF($S106 = "YES", "(External ID)", "") &amp; " " &amp; IF(SUMPRODUCT(-- ISNUMBER(SEARCH({"Unique","Unique Case Insensitive"}, $R106))) &gt; 0, "(" &amp; $R106 &amp; ")", ""))))</f>
        <v>na</v>
      </c>
      <c r="E106" s="7" t="s">
        <v>195</v>
      </c>
      <c r="F106" s="7" t="s">
        <v>195</v>
      </c>
      <c r="G106" s="7" t="s">
        <v>195</v>
      </c>
      <c r="H106" s="7" t="s">
        <v>195</v>
      </c>
      <c r="I106" s="7" t="s">
        <v>195</v>
      </c>
      <c r="J106" s="7" t="s">
        <v>195</v>
      </c>
      <c r="K106" s="7" t="s">
        <v>195</v>
      </c>
      <c r="L106" s="7" t="s">
        <v>195</v>
      </c>
      <c r="M106" s="7" t="s">
        <v>29</v>
      </c>
      <c r="N106" s="7" t="s">
        <v>29</v>
      </c>
      <c r="O106" s="7" t="s">
        <v>29</v>
      </c>
      <c r="P106" s="7" t="s">
        <v>29</v>
      </c>
      <c r="Q106" s="7" t="s">
        <v>29</v>
      </c>
      <c r="R106" s="7" t="s">
        <v>29</v>
      </c>
      <c r="S106" s="7" t="s">
        <v>29</v>
      </c>
    </row>
    <row r="107" spans="2:19">
      <c r="B107" s="7" t="s">
        <v>195</v>
      </c>
      <c r="C107" s="8" t="s">
        <v>195</v>
      </c>
      <c r="D107" s="6" t="str">
        <f>LRTRIM(CONCATENATE(IF(SUMPRODUCT(-- ISNUMBER(SEARCH({"Auto Number"}, $B107))) &gt; 0, $B107, IF(SUMPRODUCT(-- ISNUMBER(SEARCH({"Lookup","Master-Detail"}, $B107))) &gt; 0,$B107 &amp; "(" &amp; $E107 &amp; ")",IF(SUMPRODUCT(-- ISNUMBER(SEARCH({"Formula","Roll-Up Summary"}, $B107))) &gt; 0,$B107 &amp; " (" &amp; $E107 &amp; ")",IF(SUMPRODUCT(-- ISNUMBER(SEARCH({"Content","Currency","Number","Percent","Text","URL"}, $B107))) &gt; 0,$B107 &amp; "(" &amp; $C107 &amp; ")",$B107)))), "  ", TRIM(IF($S107 = "YES", "(External ID)", "") &amp; " " &amp; IF(SUMPRODUCT(-- ISNUMBER(SEARCH({"Unique","Unique Case Insensitive"}, $R107))) &gt; 0, "(" &amp; $R107 &amp; ")", ""))))</f>
        <v>na</v>
      </c>
      <c r="E107" s="7" t="s">
        <v>195</v>
      </c>
      <c r="F107" s="7" t="s">
        <v>195</v>
      </c>
      <c r="G107" s="7" t="s">
        <v>195</v>
      </c>
      <c r="H107" s="7" t="s">
        <v>195</v>
      </c>
      <c r="I107" s="7" t="s">
        <v>195</v>
      </c>
      <c r="J107" s="7" t="s">
        <v>195</v>
      </c>
      <c r="K107" s="7" t="s">
        <v>195</v>
      </c>
      <c r="L107" s="7" t="s">
        <v>195</v>
      </c>
      <c r="M107" s="7" t="s">
        <v>29</v>
      </c>
      <c r="N107" s="7" t="s">
        <v>29</v>
      </c>
      <c r="O107" s="7" t="s">
        <v>29</v>
      </c>
      <c r="P107" s="7" t="s">
        <v>29</v>
      </c>
      <c r="Q107" s="7" t="s">
        <v>29</v>
      </c>
      <c r="R107" s="7" t="s">
        <v>29</v>
      </c>
      <c r="S107" s="7" t="s">
        <v>29</v>
      </c>
    </row>
    <row r="108" spans="2:19">
      <c r="B108" s="7" t="s">
        <v>195</v>
      </c>
      <c r="C108" s="8" t="s">
        <v>195</v>
      </c>
      <c r="D108" s="6" t="str">
        <f>LRTRIM(CONCATENATE(IF(SUMPRODUCT(-- ISNUMBER(SEARCH({"Auto Number"}, $B108))) &gt; 0, $B108, IF(SUMPRODUCT(-- ISNUMBER(SEARCH({"Lookup","Master-Detail"}, $B108))) &gt; 0,$B108 &amp; "(" &amp; $E108 &amp; ")",IF(SUMPRODUCT(-- ISNUMBER(SEARCH({"Formula","Roll-Up Summary"}, $B108))) &gt; 0,$B108 &amp; " (" &amp; $E108 &amp; ")",IF(SUMPRODUCT(-- ISNUMBER(SEARCH({"Content","Currency","Number","Percent","Text","URL"}, $B108))) &gt; 0,$B108 &amp; "(" &amp; $C108 &amp; ")",$B108)))), "  ", TRIM(IF($S108 = "YES", "(External ID)", "") &amp; " " &amp; IF(SUMPRODUCT(-- ISNUMBER(SEARCH({"Unique","Unique Case Insensitive"}, $R108))) &gt; 0, "(" &amp; $R108 &amp; ")", ""))))</f>
        <v>na</v>
      </c>
      <c r="E108" s="7" t="s">
        <v>195</v>
      </c>
      <c r="F108" s="7" t="s">
        <v>195</v>
      </c>
      <c r="G108" s="7" t="s">
        <v>195</v>
      </c>
      <c r="H108" s="7" t="s">
        <v>195</v>
      </c>
      <c r="I108" s="7" t="s">
        <v>195</v>
      </c>
      <c r="J108" s="7" t="s">
        <v>195</v>
      </c>
      <c r="K108" s="7" t="s">
        <v>195</v>
      </c>
      <c r="L108" s="7" t="s">
        <v>195</v>
      </c>
      <c r="M108" s="7" t="s">
        <v>29</v>
      </c>
      <c r="N108" s="7" t="s">
        <v>29</v>
      </c>
      <c r="O108" s="7" t="s">
        <v>29</v>
      </c>
      <c r="P108" s="7" t="s">
        <v>29</v>
      </c>
      <c r="Q108" s="7" t="s">
        <v>29</v>
      </c>
      <c r="R108" s="7" t="s">
        <v>29</v>
      </c>
      <c r="S108" s="7" t="s">
        <v>29</v>
      </c>
    </row>
    <row r="109" spans="2:19">
      <c r="B109" s="7" t="s">
        <v>195</v>
      </c>
      <c r="C109" s="8" t="s">
        <v>195</v>
      </c>
      <c r="D109" s="6" t="str">
        <f>LRTRIM(CONCATENATE(IF(SUMPRODUCT(-- ISNUMBER(SEARCH({"Auto Number"}, $B109))) &gt; 0, $B109, IF(SUMPRODUCT(-- ISNUMBER(SEARCH({"Lookup","Master-Detail"}, $B109))) &gt; 0,$B109 &amp; "(" &amp; $E109 &amp; ")",IF(SUMPRODUCT(-- ISNUMBER(SEARCH({"Formula","Roll-Up Summary"}, $B109))) &gt; 0,$B109 &amp; " (" &amp; $E109 &amp; ")",IF(SUMPRODUCT(-- ISNUMBER(SEARCH({"Content","Currency","Number","Percent","Text","URL"}, $B109))) &gt; 0,$B109 &amp; "(" &amp; $C109 &amp; ")",$B109)))), "  ", TRIM(IF($S109 = "YES", "(External ID)", "") &amp; " " &amp; IF(SUMPRODUCT(-- ISNUMBER(SEARCH({"Unique","Unique Case Insensitive"}, $R109))) &gt; 0, "(" &amp; $R109 &amp; ")", ""))))</f>
        <v>na</v>
      </c>
      <c r="E109" s="7" t="s">
        <v>195</v>
      </c>
      <c r="F109" s="7" t="s">
        <v>195</v>
      </c>
      <c r="G109" s="7" t="s">
        <v>195</v>
      </c>
      <c r="H109" s="7" t="s">
        <v>195</v>
      </c>
      <c r="I109" s="7" t="s">
        <v>195</v>
      </c>
      <c r="J109" s="7" t="s">
        <v>195</v>
      </c>
      <c r="K109" s="7" t="s">
        <v>195</v>
      </c>
      <c r="L109" s="7" t="s">
        <v>195</v>
      </c>
      <c r="M109" s="7" t="s">
        <v>29</v>
      </c>
      <c r="N109" s="7" t="s">
        <v>29</v>
      </c>
      <c r="O109" s="7" t="s">
        <v>29</v>
      </c>
      <c r="P109" s="7" t="s">
        <v>29</v>
      </c>
      <c r="Q109" s="7" t="s">
        <v>29</v>
      </c>
      <c r="R109" s="7" t="s">
        <v>29</v>
      </c>
      <c r="S109" s="7" t="s">
        <v>29</v>
      </c>
    </row>
    <row r="110" spans="2:19">
      <c r="B110" s="7" t="s">
        <v>195</v>
      </c>
      <c r="C110" s="8" t="s">
        <v>195</v>
      </c>
      <c r="D110" s="6" t="str">
        <f>LRTRIM(CONCATENATE(IF(SUMPRODUCT(-- ISNUMBER(SEARCH({"Auto Number"}, $B110))) &gt; 0, $B110, IF(SUMPRODUCT(-- ISNUMBER(SEARCH({"Lookup","Master-Detail"}, $B110))) &gt; 0,$B110 &amp; "(" &amp; $E110 &amp; ")",IF(SUMPRODUCT(-- ISNUMBER(SEARCH({"Formula","Roll-Up Summary"}, $B110))) &gt; 0,$B110 &amp; " (" &amp; $E110 &amp; ")",IF(SUMPRODUCT(-- ISNUMBER(SEARCH({"Content","Currency","Number","Percent","Text","URL"}, $B110))) &gt; 0,$B110 &amp; "(" &amp; $C110 &amp; ")",$B110)))), "  ", TRIM(IF($S110 = "YES", "(External ID)", "") &amp; " " &amp; IF(SUMPRODUCT(-- ISNUMBER(SEARCH({"Unique","Unique Case Insensitive"}, $R110))) &gt; 0, "(" &amp; $R110 &amp; ")", ""))))</f>
        <v>na</v>
      </c>
      <c r="E110" s="7" t="s">
        <v>195</v>
      </c>
      <c r="F110" s="7" t="s">
        <v>195</v>
      </c>
      <c r="G110" s="7" t="s">
        <v>195</v>
      </c>
      <c r="H110" s="7" t="s">
        <v>195</v>
      </c>
      <c r="I110" s="7" t="s">
        <v>195</v>
      </c>
      <c r="J110" s="7" t="s">
        <v>195</v>
      </c>
      <c r="K110" s="7" t="s">
        <v>195</v>
      </c>
      <c r="L110" s="7" t="s">
        <v>195</v>
      </c>
      <c r="M110" s="7" t="s">
        <v>29</v>
      </c>
      <c r="N110" s="7" t="s">
        <v>29</v>
      </c>
      <c r="O110" s="7" t="s">
        <v>29</v>
      </c>
      <c r="P110" s="7" t="s">
        <v>29</v>
      </c>
      <c r="Q110" s="7" t="s">
        <v>29</v>
      </c>
      <c r="R110" s="7" t="s">
        <v>29</v>
      </c>
      <c r="S110" s="7" t="s">
        <v>29</v>
      </c>
    </row>
    <row r="111" spans="2:19">
      <c r="B111" s="7" t="s">
        <v>195</v>
      </c>
      <c r="C111" s="8" t="s">
        <v>195</v>
      </c>
      <c r="D111" s="6" t="str">
        <f>LRTRIM(CONCATENATE(IF(SUMPRODUCT(-- ISNUMBER(SEARCH({"Auto Number"}, $B111))) &gt; 0, $B111, IF(SUMPRODUCT(-- ISNUMBER(SEARCH({"Lookup","Master-Detail"}, $B111))) &gt; 0,$B111 &amp; "(" &amp; $E111 &amp; ")",IF(SUMPRODUCT(-- ISNUMBER(SEARCH({"Formula","Roll-Up Summary"}, $B111))) &gt; 0,$B111 &amp; " (" &amp; $E111 &amp; ")",IF(SUMPRODUCT(-- ISNUMBER(SEARCH({"Content","Currency","Number","Percent","Text","URL"}, $B111))) &gt; 0,$B111 &amp; "(" &amp; $C111 &amp; ")",$B111)))), "  ", TRIM(IF($S111 = "YES", "(External ID)", "") &amp; " " &amp; IF(SUMPRODUCT(-- ISNUMBER(SEARCH({"Unique","Unique Case Insensitive"}, $R111))) &gt; 0, "(" &amp; $R111 &amp; ")", ""))))</f>
        <v>na</v>
      </c>
      <c r="E111" s="7" t="s">
        <v>195</v>
      </c>
      <c r="F111" s="7" t="s">
        <v>195</v>
      </c>
      <c r="G111" s="7" t="s">
        <v>195</v>
      </c>
      <c r="H111" s="7" t="s">
        <v>195</v>
      </c>
      <c r="I111" s="7" t="s">
        <v>195</v>
      </c>
      <c r="J111" s="7" t="s">
        <v>195</v>
      </c>
      <c r="K111" s="7" t="s">
        <v>195</v>
      </c>
      <c r="L111" s="7" t="s">
        <v>195</v>
      </c>
      <c r="M111" s="7" t="s">
        <v>29</v>
      </c>
      <c r="N111" s="7" t="s">
        <v>29</v>
      </c>
      <c r="O111" s="7" t="s">
        <v>29</v>
      </c>
      <c r="P111" s="7" t="s">
        <v>29</v>
      </c>
      <c r="Q111" s="7" t="s">
        <v>29</v>
      </c>
      <c r="R111" s="7" t="s">
        <v>29</v>
      </c>
      <c r="S111" s="7" t="s">
        <v>29</v>
      </c>
    </row>
    <row r="112" spans="2:19">
      <c r="B112" s="7" t="s">
        <v>195</v>
      </c>
      <c r="C112" s="8" t="s">
        <v>195</v>
      </c>
      <c r="D112" s="6" t="str">
        <f>LRTRIM(CONCATENATE(IF(SUMPRODUCT(-- ISNUMBER(SEARCH({"Auto Number"}, $B112))) &gt; 0, $B112, IF(SUMPRODUCT(-- ISNUMBER(SEARCH({"Lookup","Master-Detail"}, $B112))) &gt; 0,$B112 &amp; "(" &amp; $E112 &amp; ")",IF(SUMPRODUCT(-- ISNUMBER(SEARCH({"Formula","Roll-Up Summary"}, $B112))) &gt; 0,$B112 &amp; " (" &amp; $E112 &amp; ")",IF(SUMPRODUCT(-- ISNUMBER(SEARCH({"Content","Currency","Number","Percent","Text","URL"}, $B112))) &gt; 0,$B112 &amp; "(" &amp; $C112 &amp; ")",$B112)))), "  ", TRIM(IF($S112 = "YES", "(External ID)", "") &amp; " " &amp; IF(SUMPRODUCT(-- ISNUMBER(SEARCH({"Unique","Unique Case Insensitive"}, $R112))) &gt; 0, "(" &amp; $R112 &amp; ")", ""))))</f>
        <v>na</v>
      </c>
      <c r="E112" s="7" t="s">
        <v>195</v>
      </c>
      <c r="F112" s="7" t="s">
        <v>195</v>
      </c>
      <c r="G112" s="7" t="s">
        <v>195</v>
      </c>
      <c r="H112" s="7" t="s">
        <v>195</v>
      </c>
      <c r="I112" s="7" t="s">
        <v>195</v>
      </c>
      <c r="J112" s="7" t="s">
        <v>195</v>
      </c>
      <c r="K112" s="7" t="s">
        <v>195</v>
      </c>
      <c r="L112" s="7" t="s">
        <v>195</v>
      </c>
      <c r="M112" s="7" t="s">
        <v>29</v>
      </c>
      <c r="N112" s="7" t="s">
        <v>29</v>
      </c>
      <c r="O112" s="7" t="s">
        <v>29</v>
      </c>
      <c r="P112" s="7" t="s">
        <v>29</v>
      </c>
      <c r="Q112" s="7" t="s">
        <v>29</v>
      </c>
      <c r="R112" s="7" t="s">
        <v>29</v>
      </c>
      <c r="S112" s="7" t="s">
        <v>29</v>
      </c>
    </row>
    <row r="113" spans="2:19">
      <c r="B113" s="7" t="s">
        <v>195</v>
      </c>
      <c r="C113" s="8" t="s">
        <v>195</v>
      </c>
      <c r="D113" s="6" t="str">
        <f>LRTRIM(CONCATENATE(IF(SUMPRODUCT(-- ISNUMBER(SEARCH({"Auto Number"}, $B113))) &gt; 0, $B113, IF(SUMPRODUCT(-- ISNUMBER(SEARCH({"Lookup","Master-Detail"}, $B113))) &gt; 0,$B113 &amp; "(" &amp; $E113 &amp; ")",IF(SUMPRODUCT(-- ISNUMBER(SEARCH({"Formula","Roll-Up Summary"}, $B113))) &gt; 0,$B113 &amp; " (" &amp; $E113 &amp; ")",IF(SUMPRODUCT(-- ISNUMBER(SEARCH({"Content","Currency","Number","Percent","Text","URL"}, $B113))) &gt; 0,$B113 &amp; "(" &amp; $C113 &amp; ")",$B113)))), "  ", TRIM(IF($S113 = "YES", "(External ID)", "") &amp; " " &amp; IF(SUMPRODUCT(-- ISNUMBER(SEARCH({"Unique","Unique Case Insensitive"}, $R113))) &gt; 0, "(" &amp; $R113 &amp; ")", ""))))</f>
        <v>na</v>
      </c>
      <c r="E113" s="7" t="s">
        <v>195</v>
      </c>
      <c r="F113" s="7" t="s">
        <v>195</v>
      </c>
      <c r="G113" s="7" t="s">
        <v>195</v>
      </c>
      <c r="H113" s="7" t="s">
        <v>195</v>
      </c>
      <c r="I113" s="7" t="s">
        <v>195</v>
      </c>
      <c r="J113" s="7" t="s">
        <v>195</v>
      </c>
      <c r="K113" s="7" t="s">
        <v>195</v>
      </c>
      <c r="L113" s="7" t="s">
        <v>195</v>
      </c>
      <c r="M113" s="7" t="s">
        <v>29</v>
      </c>
      <c r="N113" s="7" t="s">
        <v>29</v>
      </c>
      <c r="O113" s="7" t="s">
        <v>29</v>
      </c>
      <c r="P113" s="7" t="s">
        <v>29</v>
      </c>
      <c r="Q113" s="7" t="s">
        <v>29</v>
      </c>
      <c r="R113" s="7" t="s">
        <v>29</v>
      </c>
      <c r="S113" s="7" t="s">
        <v>29</v>
      </c>
    </row>
    <row r="114" spans="2:19">
      <c r="B114" s="7" t="s">
        <v>195</v>
      </c>
      <c r="C114" s="8" t="s">
        <v>195</v>
      </c>
      <c r="D114" s="6" t="str">
        <f>LRTRIM(CONCATENATE(IF(SUMPRODUCT(-- ISNUMBER(SEARCH({"Auto Number"}, $B114))) &gt; 0, $B114, IF(SUMPRODUCT(-- ISNUMBER(SEARCH({"Lookup","Master-Detail"}, $B114))) &gt; 0,$B114 &amp; "(" &amp; $E114 &amp; ")",IF(SUMPRODUCT(-- ISNUMBER(SEARCH({"Formula","Roll-Up Summary"}, $B114))) &gt; 0,$B114 &amp; " (" &amp; $E114 &amp; ")",IF(SUMPRODUCT(-- ISNUMBER(SEARCH({"Content","Currency","Number","Percent","Text","URL"}, $B114))) &gt; 0,$B114 &amp; "(" &amp; $C114 &amp; ")",$B114)))), "  ", TRIM(IF($S114 = "YES", "(External ID)", "") &amp; " " &amp; IF(SUMPRODUCT(-- ISNUMBER(SEARCH({"Unique","Unique Case Insensitive"}, $R114))) &gt; 0, "(" &amp; $R114 &amp; ")", ""))))</f>
        <v>na</v>
      </c>
      <c r="E114" s="7" t="s">
        <v>195</v>
      </c>
      <c r="F114" s="7" t="s">
        <v>195</v>
      </c>
      <c r="G114" s="7" t="s">
        <v>195</v>
      </c>
      <c r="H114" s="7" t="s">
        <v>195</v>
      </c>
      <c r="I114" s="7" t="s">
        <v>195</v>
      </c>
      <c r="J114" s="7" t="s">
        <v>195</v>
      </c>
      <c r="K114" s="7" t="s">
        <v>195</v>
      </c>
      <c r="L114" s="7" t="s">
        <v>195</v>
      </c>
      <c r="M114" s="7" t="s">
        <v>29</v>
      </c>
      <c r="N114" s="7" t="s">
        <v>29</v>
      </c>
      <c r="O114" s="7" t="s">
        <v>29</v>
      </c>
      <c r="P114" s="7" t="s">
        <v>29</v>
      </c>
      <c r="Q114" s="7" t="s">
        <v>29</v>
      </c>
      <c r="R114" s="7" t="s">
        <v>29</v>
      </c>
      <c r="S114" s="7" t="s">
        <v>29</v>
      </c>
    </row>
    <row r="115" spans="2:19">
      <c r="B115" s="7" t="s">
        <v>195</v>
      </c>
      <c r="C115" s="8" t="s">
        <v>195</v>
      </c>
      <c r="D115" s="6" t="str">
        <f>LRTRIM(CONCATENATE(IF(SUMPRODUCT(-- ISNUMBER(SEARCH({"Auto Number"}, $B115))) &gt; 0, $B115, IF(SUMPRODUCT(-- ISNUMBER(SEARCH({"Lookup","Master-Detail"}, $B115))) &gt; 0,$B115 &amp; "(" &amp; $E115 &amp; ")",IF(SUMPRODUCT(-- ISNUMBER(SEARCH({"Formula","Roll-Up Summary"}, $B115))) &gt; 0,$B115 &amp; " (" &amp; $E115 &amp; ")",IF(SUMPRODUCT(-- ISNUMBER(SEARCH({"Content","Currency","Number","Percent","Text","URL"}, $B115))) &gt; 0,$B115 &amp; "(" &amp; $C115 &amp; ")",$B115)))), "  ", TRIM(IF($S115 = "YES", "(External ID)", "") &amp; " " &amp; IF(SUMPRODUCT(-- ISNUMBER(SEARCH({"Unique","Unique Case Insensitive"}, $R115))) &gt; 0, "(" &amp; $R115 &amp; ")", ""))))</f>
        <v>na</v>
      </c>
      <c r="E115" s="7" t="s">
        <v>195</v>
      </c>
      <c r="F115" s="7" t="s">
        <v>195</v>
      </c>
      <c r="G115" s="7" t="s">
        <v>195</v>
      </c>
      <c r="H115" s="7" t="s">
        <v>195</v>
      </c>
      <c r="I115" s="7" t="s">
        <v>195</v>
      </c>
      <c r="J115" s="7" t="s">
        <v>195</v>
      </c>
      <c r="K115" s="7" t="s">
        <v>195</v>
      </c>
      <c r="L115" s="7" t="s">
        <v>195</v>
      </c>
      <c r="M115" s="7" t="s">
        <v>29</v>
      </c>
      <c r="N115" s="7" t="s">
        <v>29</v>
      </c>
      <c r="O115" s="7" t="s">
        <v>29</v>
      </c>
      <c r="P115" s="7" t="s">
        <v>29</v>
      </c>
      <c r="Q115" s="7" t="s">
        <v>29</v>
      </c>
      <c r="R115" s="7" t="s">
        <v>29</v>
      </c>
      <c r="S115" s="7" t="s">
        <v>29</v>
      </c>
    </row>
    <row r="116" spans="2:19">
      <c r="B116" s="7" t="s">
        <v>195</v>
      </c>
      <c r="C116" s="8" t="s">
        <v>195</v>
      </c>
      <c r="D116" s="6" t="str">
        <f>LRTRIM(CONCATENATE(IF(SUMPRODUCT(-- ISNUMBER(SEARCH({"Auto Number"}, $B116))) &gt; 0, $B116, IF(SUMPRODUCT(-- ISNUMBER(SEARCH({"Lookup","Master-Detail"}, $B116))) &gt; 0,$B116 &amp; "(" &amp; $E116 &amp; ")",IF(SUMPRODUCT(-- ISNUMBER(SEARCH({"Formula","Roll-Up Summary"}, $B116))) &gt; 0,$B116 &amp; " (" &amp; $E116 &amp; ")",IF(SUMPRODUCT(-- ISNUMBER(SEARCH({"Content","Currency","Number","Percent","Text","URL"}, $B116))) &gt; 0,$B116 &amp; "(" &amp; $C116 &amp; ")",$B116)))), "  ", TRIM(IF($S116 = "YES", "(External ID)", "") &amp; " " &amp; IF(SUMPRODUCT(-- ISNUMBER(SEARCH({"Unique","Unique Case Insensitive"}, $R116))) &gt; 0, "(" &amp; $R116 &amp; ")", ""))))</f>
        <v>na</v>
      </c>
      <c r="E116" s="7" t="s">
        <v>195</v>
      </c>
      <c r="F116" s="7" t="s">
        <v>195</v>
      </c>
      <c r="G116" s="7" t="s">
        <v>195</v>
      </c>
      <c r="H116" s="7" t="s">
        <v>195</v>
      </c>
      <c r="I116" s="7" t="s">
        <v>195</v>
      </c>
      <c r="J116" s="7" t="s">
        <v>195</v>
      </c>
      <c r="K116" s="7" t="s">
        <v>195</v>
      </c>
      <c r="L116" s="7" t="s">
        <v>195</v>
      </c>
      <c r="M116" s="7" t="s">
        <v>29</v>
      </c>
      <c r="N116" s="7" t="s">
        <v>29</v>
      </c>
      <c r="O116" s="7" t="s">
        <v>29</v>
      </c>
      <c r="P116" s="7" t="s">
        <v>29</v>
      </c>
      <c r="Q116" s="7" t="s">
        <v>29</v>
      </c>
      <c r="R116" s="7" t="s">
        <v>29</v>
      </c>
      <c r="S116" s="7" t="s">
        <v>29</v>
      </c>
    </row>
    <row r="117" spans="2:19">
      <c r="B117" s="7" t="s">
        <v>195</v>
      </c>
      <c r="C117" s="8" t="s">
        <v>195</v>
      </c>
      <c r="D117" s="6" t="str">
        <f>LRTRIM(CONCATENATE(IF(SUMPRODUCT(-- ISNUMBER(SEARCH({"Auto Number"}, $B117))) &gt; 0, $B117, IF(SUMPRODUCT(-- ISNUMBER(SEARCH({"Lookup","Master-Detail"}, $B117))) &gt; 0,$B117 &amp; "(" &amp; $E117 &amp; ")",IF(SUMPRODUCT(-- ISNUMBER(SEARCH({"Formula","Roll-Up Summary"}, $B117))) &gt; 0,$B117 &amp; " (" &amp; $E117 &amp; ")",IF(SUMPRODUCT(-- ISNUMBER(SEARCH({"Content","Currency","Number","Percent","Text","URL"}, $B117))) &gt; 0,$B117 &amp; "(" &amp; $C117 &amp; ")",$B117)))), "  ", TRIM(IF($S117 = "YES", "(External ID)", "") &amp; " " &amp; IF(SUMPRODUCT(-- ISNUMBER(SEARCH({"Unique","Unique Case Insensitive"}, $R117))) &gt; 0, "(" &amp; $R117 &amp; ")", ""))))</f>
        <v>na</v>
      </c>
      <c r="E117" s="7" t="s">
        <v>195</v>
      </c>
      <c r="F117" s="7" t="s">
        <v>195</v>
      </c>
      <c r="G117" s="7" t="s">
        <v>195</v>
      </c>
      <c r="H117" s="7" t="s">
        <v>195</v>
      </c>
      <c r="I117" s="7" t="s">
        <v>195</v>
      </c>
      <c r="J117" s="7" t="s">
        <v>195</v>
      </c>
      <c r="K117" s="7" t="s">
        <v>195</v>
      </c>
      <c r="L117" s="7" t="s">
        <v>195</v>
      </c>
      <c r="M117" s="7" t="s">
        <v>29</v>
      </c>
      <c r="N117" s="7" t="s">
        <v>29</v>
      </c>
      <c r="O117" s="7" t="s">
        <v>29</v>
      </c>
      <c r="P117" s="7" t="s">
        <v>29</v>
      </c>
      <c r="Q117" s="7" t="s">
        <v>29</v>
      </c>
      <c r="R117" s="7" t="s">
        <v>29</v>
      </c>
      <c r="S117" s="7" t="s">
        <v>29</v>
      </c>
    </row>
    <row r="118" spans="2:19">
      <c r="B118" s="7" t="s">
        <v>195</v>
      </c>
      <c r="C118" s="8" t="s">
        <v>195</v>
      </c>
      <c r="D118" s="6" t="str">
        <f>LRTRIM(CONCATENATE(IF(SUMPRODUCT(-- ISNUMBER(SEARCH({"Auto Number"}, $B118))) &gt; 0, $B118, IF(SUMPRODUCT(-- ISNUMBER(SEARCH({"Lookup","Master-Detail"}, $B118))) &gt; 0,$B118 &amp; "(" &amp; $E118 &amp; ")",IF(SUMPRODUCT(-- ISNUMBER(SEARCH({"Formula","Roll-Up Summary"}, $B118))) &gt; 0,$B118 &amp; " (" &amp; $E118 &amp; ")",IF(SUMPRODUCT(-- ISNUMBER(SEARCH({"Content","Currency","Number","Percent","Text","URL"}, $B118))) &gt; 0,$B118 &amp; "(" &amp; $C118 &amp; ")",$B118)))), "  ", TRIM(IF($S118 = "YES", "(External ID)", "") &amp; " " &amp; IF(SUMPRODUCT(-- ISNUMBER(SEARCH({"Unique","Unique Case Insensitive"}, $R118))) &gt; 0, "(" &amp; $R118 &amp; ")", ""))))</f>
        <v>na</v>
      </c>
      <c r="E118" s="7" t="s">
        <v>195</v>
      </c>
      <c r="F118" s="7" t="s">
        <v>195</v>
      </c>
      <c r="G118" s="7" t="s">
        <v>195</v>
      </c>
      <c r="H118" s="7" t="s">
        <v>195</v>
      </c>
      <c r="I118" s="7" t="s">
        <v>195</v>
      </c>
      <c r="J118" s="7" t="s">
        <v>195</v>
      </c>
      <c r="K118" s="7" t="s">
        <v>195</v>
      </c>
      <c r="L118" s="7" t="s">
        <v>195</v>
      </c>
      <c r="M118" s="7" t="s">
        <v>29</v>
      </c>
      <c r="N118" s="7" t="s">
        <v>29</v>
      </c>
      <c r="O118" s="7" t="s">
        <v>29</v>
      </c>
      <c r="P118" s="7" t="s">
        <v>29</v>
      </c>
      <c r="Q118" s="7" t="s">
        <v>29</v>
      </c>
      <c r="R118" s="7" t="s">
        <v>29</v>
      </c>
      <c r="S118" s="7" t="s">
        <v>29</v>
      </c>
    </row>
    <row r="119" spans="2:19">
      <c r="B119" s="7" t="s">
        <v>195</v>
      </c>
      <c r="C119" s="8" t="s">
        <v>195</v>
      </c>
      <c r="D119" s="6" t="str">
        <f>LRTRIM(CONCATENATE(IF(SUMPRODUCT(-- ISNUMBER(SEARCH({"Auto Number"}, $B119))) &gt; 0, $B119, IF(SUMPRODUCT(-- ISNUMBER(SEARCH({"Lookup","Master-Detail"}, $B119))) &gt; 0,$B119 &amp; "(" &amp; $E119 &amp; ")",IF(SUMPRODUCT(-- ISNUMBER(SEARCH({"Formula","Roll-Up Summary"}, $B119))) &gt; 0,$B119 &amp; " (" &amp; $E119 &amp; ")",IF(SUMPRODUCT(-- ISNUMBER(SEARCH({"Content","Currency","Number","Percent","Text","URL"}, $B119))) &gt; 0,$B119 &amp; "(" &amp; $C119 &amp; ")",$B119)))), "  ", TRIM(IF($S119 = "YES", "(External ID)", "") &amp; " " &amp; IF(SUMPRODUCT(-- ISNUMBER(SEARCH({"Unique","Unique Case Insensitive"}, $R119))) &gt; 0, "(" &amp; $R119 &amp; ")", ""))))</f>
        <v>na</v>
      </c>
      <c r="E119" s="7" t="s">
        <v>195</v>
      </c>
      <c r="F119" s="7" t="s">
        <v>195</v>
      </c>
      <c r="G119" s="7" t="s">
        <v>195</v>
      </c>
      <c r="H119" s="7" t="s">
        <v>195</v>
      </c>
      <c r="I119" s="7" t="s">
        <v>195</v>
      </c>
      <c r="J119" s="7" t="s">
        <v>195</v>
      </c>
      <c r="K119" s="7" t="s">
        <v>195</v>
      </c>
      <c r="L119" s="7" t="s">
        <v>195</v>
      </c>
      <c r="M119" s="7" t="s">
        <v>29</v>
      </c>
      <c r="N119" s="7" t="s">
        <v>29</v>
      </c>
      <c r="O119" s="7" t="s">
        <v>29</v>
      </c>
      <c r="P119" s="7" t="s">
        <v>29</v>
      </c>
      <c r="Q119" s="7" t="s">
        <v>29</v>
      </c>
      <c r="R119" s="7" t="s">
        <v>29</v>
      </c>
      <c r="S119" s="7" t="s">
        <v>29</v>
      </c>
    </row>
    <row r="120" spans="2:19">
      <c r="B120" s="7" t="s">
        <v>195</v>
      </c>
      <c r="C120" s="8" t="s">
        <v>195</v>
      </c>
      <c r="D120" s="6" t="str">
        <f>LRTRIM(CONCATENATE(IF(SUMPRODUCT(-- ISNUMBER(SEARCH({"Auto Number"}, $B120))) &gt; 0, $B120, IF(SUMPRODUCT(-- ISNUMBER(SEARCH({"Lookup","Master-Detail"}, $B120))) &gt; 0,$B120 &amp; "(" &amp; $E120 &amp; ")",IF(SUMPRODUCT(-- ISNUMBER(SEARCH({"Formula","Roll-Up Summary"}, $B120))) &gt; 0,$B120 &amp; " (" &amp; $E120 &amp; ")",IF(SUMPRODUCT(-- ISNUMBER(SEARCH({"Content","Currency","Number","Percent","Text","URL"}, $B120))) &gt; 0,$B120 &amp; "(" &amp; $C120 &amp; ")",$B120)))), "  ", TRIM(IF($S120 = "YES", "(External ID)", "") &amp; " " &amp; IF(SUMPRODUCT(-- ISNUMBER(SEARCH({"Unique","Unique Case Insensitive"}, $R120))) &gt; 0, "(" &amp; $R120 &amp; ")", ""))))</f>
        <v>na</v>
      </c>
      <c r="E120" s="7" t="s">
        <v>195</v>
      </c>
      <c r="F120" s="7" t="s">
        <v>195</v>
      </c>
      <c r="G120" s="7" t="s">
        <v>195</v>
      </c>
      <c r="H120" s="7" t="s">
        <v>195</v>
      </c>
      <c r="I120" s="7" t="s">
        <v>195</v>
      </c>
      <c r="J120" s="7" t="s">
        <v>195</v>
      </c>
      <c r="K120" s="7" t="s">
        <v>195</v>
      </c>
      <c r="L120" s="7" t="s">
        <v>195</v>
      </c>
      <c r="M120" s="7" t="s">
        <v>29</v>
      </c>
      <c r="N120" s="7" t="s">
        <v>29</v>
      </c>
      <c r="O120" s="7" t="s">
        <v>29</v>
      </c>
      <c r="P120" s="7" t="s">
        <v>29</v>
      </c>
      <c r="Q120" s="7" t="s">
        <v>29</v>
      </c>
      <c r="R120" s="7" t="s">
        <v>29</v>
      </c>
      <c r="S120" s="7" t="s">
        <v>29</v>
      </c>
    </row>
    <row r="121" spans="2:19">
      <c r="B121" s="7" t="s">
        <v>195</v>
      </c>
      <c r="C121" s="8" t="s">
        <v>195</v>
      </c>
      <c r="D121" s="6" t="str">
        <f>LRTRIM(CONCATENATE(IF(SUMPRODUCT(-- ISNUMBER(SEARCH({"Auto Number"}, $B121))) &gt; 0, $B121, IF(SUMPRODUCT(-- ISNUMBER(SEARCH({"Lookup","Master-Detail"}, $B121))) &gt; 0,$B121 &amp; "(" &amp; $E121 &amp; ")",IF(SUMPRODUCT(-- ISNUMBER(SEARCH({"Formula","Roll-Up Summary"}, $B121))) &gt; 0,$B121 &amp; " (" &amp; $E121 &amp; ")",IF(SUMPRODUCT(-- ISNUMBER(SEARCH({"Content","Currency","Number","Percent","Text","URL"}, $B121))) &gt; 0,$B121 &amp; "(" &amp; $C121 &amp; ")",$B121)))), "  ", TRIM(IF($S121 = "YES", "(External ID)", "") &amp; " " &amp; IF(SUMPRODUCT(-- ISNUMBER(SEARCH({"Unique","Unique Case Insensitive"}, $R121))) &gt; 0, "(" &amp; $R121 &amp; ")", ""))))</f>
        <v>na</v>
      </c>
      <c r="E121" s="7" t="s">
        <v>195</v>
      </c>
      <c r="F121" s="7" t="s">
        <v>195</v>
      </c>
      <c r="G121" s="7" t="s">
        <v>195</v>
      </c>
      <c r="H121" s="7" t="s">
        <v>195</v>
      </c>
      <c r="I121" s="7" t="s">
        <v>195</v>
      </c>
      <c r="J121" s="7" t="s">
        <v>195</v>
      </c>
      <c r="K121" s="7" t="s">
        <v>195</v>
      </c>
      <c r="L121" s="7" t="s">
        <v>195</v>
      </c>
      <c r="M121" s="7" t="s">
        <v>29</v>
      </c>
      <c r="N121" s="7" t="s">
        <v>29</v>
      </c>
      <c r="O121" s="7" t="s">
        <v>29</v>
      </c>
      <c r="P121" s="7" t="s">
        <v>29</v>
      </c>
      <c r="Q121" s="7" t="s">
        <v>29</v>
      </c>
      <c r="R121" s="7" t="s">
        <v>29</v>
      </c>
      <c r="S121" s="7" t="s">
        <v>29</v>
      </c>
    </row>
    <row r="122" spans="2:19">
      <c r="B122" s="7" t="s">
        <v>195</v>
      </c>
      <c r="C122" s="8" t="s">
        <v>195</v>
      </c>
      <c r="D122" s="6" t="str">
        <f>LRTRIM(CONCATENATE(IF(SUMPRODUCT(-- ISNUMBER(SEARCH({"Auto Number"}, $B122))) &gt; 0, $B122, IF(SUMPRODUCT(-- ISNUMBER(SEARCH({"Lookup","Master-Detail"}, $B122))) &gt; 0,$B122 &amp; "(" &amp; $E122 &amp; ")",IF(SUMPRODUCT(-- ISNUMBER(SEARCH({"Formula","Roll-Up Summary"}, $B122))) &gt; 0,$B122 &amp; " (" &amp; $E122 &amp; ")",IF(SUMPRODUCT(-- ISNUMBER(SEARCH({"Content","Currency","Number","Percent","Text","URL"}, $B122))) &gt; 0,$B122 &amp; "(" &amp; $C122 &amp; ")",$B122)))), "  ", TRIM(IF($S122 = "YES", "(External ID)", "") &amp; " " &amp; IF(SUMPRODUCT(-- ISNUMBER(SEARCH({"Unique","Unique Case Insensitive"}, $R122))) &gt; 0, "(" &amp; $R122 &amp; ")", ""))))</f>
        <v>na</v>
      </c>
      <c r="E122" s="7" t="s">
        <v>195</v>
      </c>
      <c r="F122" s="7" t="s">
        <v>195</v>
      </c>
      <c r="G122" s="7" t="s">
        <v>195</v>
      </c>
      <c r="H122" s="7" t="s">
        <v>195</v>
      </c>
      <c r="I122" s="7" t="s">
        <v>195</v>
      </c>
      <c r="J122" s="7" t="s">
        <v>195</v>
      </c>
      <c r="K122" s="7" t="s">
        <v>195</v>
      </c>
      <c r="L122" s="7" t="s">
        <v>195</v>
      </c>
      <c r="M122" s="7" t="s">
        <v>29</v>
      </c>
      <c r="N122" s="7" t="s">
        <v>29</v>
      </c>
      <c r="O122" s="7" t="s">
        <v>29</v>
      </c>
      <c r="P122" s="7" t="s">
        <v>29</v>
      </c>
      <c r="Q122" s="7" t="s">
        <v>29</v>
      </c>
      <c r="R122" s="7" t="s">
        <v>29</v>
      </c>
      <c r="S122" s="7" t="s">
        <v>29</v>
      </c>
    </row>
    <row r="123" spans="2:19">
      <c r="B123" s="7" t="s">
        <v>195</v>
      </c>
      <c r="C123" s="8" t="s">
        <v>195</v>
      </c>
      <c r="D123" s="6" t="str">
        <f>LRTRIM(CONCATENATE(IF(SUMPRODUCT(-- ISNUMBER(SEARCH({"Auto Number"}, $B123))) &gt; 0, $B123, IF(SUMPRODUCT(-- ISNUMBER(SEARCH({"Lookup","Master-Detail"}, $B123))) &gt; 0,$B123 &amp; "(" &amp; $E123 &amp; ")",IF(SUMPRODUCT(-- ISNUMBER(SEARCH({"Formula","Roll-Up Summary"}, $B123))) &gt; 0,$B123 &amp; " (" &amp; $E123 &amp; ")",IF(SUMPRODUCT(-- ISNUMBER(SEARCH({"Content","Currency","Number","Percent","Text","URL"}, $B123))) &gt; 0,$B123 &amp; "(" &amp; $C123 &amp; ")",$B123)))), "  ", TRIM(IF($S123 = "YES", "(External ID)", "") &amp; " " &amp; IF(SUMPRODUCT(-- ISNUMBER(SEARCH({"Unique","Unique Case Insensitive"}, $R123))) &gt; 0, "(" &amp; $R123 &amp; ")", ""))))</f>
        <v>na</v>
      </c>
      <c r="E123" s="7" t="s">
        <v>195</v>
      </c>
      <c r="F123" s="7" t="s">
        <v>195</v>
      </c>
      <c r="G123" s="7" t="s">
        <v>195</v>
      </c>
      <c r="H123" s="7" t="s">
        <v>195</v>
      </c>
      <c r="I123" s="7" t="s">
        <v>195</v>
      </c>
      <c r="J123" s="7" t="s">
        <v>195</v>
      </c>
      <c r="K123" s="7" t="s">
        <v>195</v>
      </c>
      <c r="L123" s="7" t="s">
        <v>195</v>
      </c>
      <c r="M123" s="7" t="s">
        <v>29</v>
      </c>
      <c r="N123" s="7" t="s">
        <v>29</v>
      </c>
      <c r="O123" s="7" t="s">
        <v>29</v>
      </c>
      <c r="P123" s="7" t="s">
        <v>29</v>
      </c>
      <c r="Q123" s="7" t="s">
        <v>29</v>
      </c>
      <c r="R123" s="7" t="s">
        <v>29</v>
      </c>
      <c r="S123" s="7" t="s">
        <v>29</v>
      </c>
    </row>
    <row r="124" spans="2:19">
      <c r="B124" s="7" t="s">
        <v>195</v>
      </c>
      <c r="C124" s="8" t="s">
        <v>195</v>
      </c>
      <c r="D124" s="6" t="str">
        <f>LRTRIM(CONCATENATE(IF(SUMPRODUCT(-- ISNUMBER(SEARCH({"Auto Number"}, $B124))) &gt; 0, $B124, IF(SUMPRODUCT(-- ISNUMBER(SEARCH({"Lookup","Master-Detail"}, $B124))) &gt; 0,$B124 &amp; "(" &amp; $E124 &amp; ")",IF(SUMPRODUCT(-- ISNUMBER(SEARCH({"Formula","Roll-Up Summary"}, $B124))) &gt; 0,$B124 &amp; " (" &amp; $E124 &amp; ")",IF(SUMPRODUCT(-- ISNUMBER(SEARCH({"Content","Currency","Number","Percent","Text","URL"}, $B124))) &gt; 0,$B124 &amp; "(" &amp; $C124 &amp; ")",$B124)))), "  ", TRIM(IF($S124 = "YES", "(External ID)", "") &amp; " " &amp; IF(SUMPRODUCT(-- ISNUMBER(SEARCH({"Unique","Unique Case Insensitive"}, $R124))) &gt; 0, "(" &amp; $R124 &amp; ")", ""))))</f>
        <v>na</v>
      </c>
      <c r="E124" s="7" t="s">
        <v>195</v>
      </c>
      <c r="F124" s="7" t="s">
        <v>195</v>
      </c>
      <c r="G124" s="7" t="s">
        <v>195</v>
      </c>
      <c r="H124" s="7" t="s">
        <v>195</v>
      </c>
      <c r="I124" s="7" t="s">
        <v>195</v>
      </c>
      <c r="J124" s="7" t="s">
        <v>195</v>
      </c>
      <c r="K124" s="7" t="s">
        <v>195</v>
      </c>
      <c r="L124" s="7" t="s">
        <v>195</v>
      </c>
      <c r="M124" s="7" t="s">
        <v>29</v>
      </c>
      <c r="N124" s="7" t="s">
        <v>29</v>
      </c>
      <c r="O124" s="7" t="s">
        <v>29</v>
      </c>
      <c r="P124" s="7" t="s">
        <v>29</v>
      </c>
      <c r="Q124" s="7" t="s">
        <v>29</v>
      </c>
      <c r="R124" s="7" t="s">
        <v>29</v>
      </c>
      <c r="S124" s="7" t="s">
        <v>29</v>
      </c>
    </row>
    <row r="125" spans="2:19">
      <c r="B125" s="7" t="s">
        <v>195</v>
      </c>
      <c r="C125" s="8" t="s">
        <v>195</v>
      </c>
      <c r="D125" s="6" t="str">
        <f>LRTRIM(CONCATENATE(IF(SUMPRODUCT(-- ISNUMBER(SEARCH({"Auto Number"}, $B125))) &gt; 0, $B125, IF(SUMPRODUCT(-- ISNUMBER(SEARCH({"Lookup","Master-Detail"}, $B125))) &gt; 0,$B125 &amp; "(" &amp; $E125 &amp; ")",IF(SUMPRODUCT(-- ISNUMBER(SEARCH({"Formula","Roll-Up Summary"}, $B125))) &gt; 0,$B125 &amp; " (" &amp; $E125 &amp; ")",IF(SUMPRODUCT(-- ISNUMBER(SEARCH({"Content","Currency","Number","Percent","Text","URL"}, $B125))) &gt; 0,$B125 &amp; "(" &amp; $C125 &amp; ")",$B125)))), "  ", TRIM(IF($S125 = "YES", "(External ID)", "") &amp; " " &amp; IF(SUMPRODUCT(-- ISNUMBER(SEARCH({"Unique","Unique Case Insensitive"}, $R125))) &gt; 0, "(" &amp; $R125 &amp; ")", ""))))</f>
        <v>na</v>
      </c>
      <c r="E125" s="7" t="s">
        <v>195</v>
      </c>
      <c r="F125" s="7" t="s">
        <v>195</v>
      </c>
      <c r="G125" s="7" t="s">
        <v>195</v>
      </c>
      <c r="H125" s="7" t="s">
        <v>195</v>
      </c>
      <c r="I125" s="7" t="s">
        <v>195</v>
      </c>
      <c r="J125" s="7" t="s">
        <v>195</v>
      </c>
      <c r="K125" s="7" t="s">
        <v>195</v>
      </c>
      <c r="L125" s="7" t="s">
        <v>195</v>
      </c>
      <c r="M125" s="7" t="s">
        <v>29</v>
      </c>
      <c r="N125" s="7" t="s">
        <v>29</v>
      </c>
      <c r="O125" s="7" t="s">
        <v>29</v>
      </c>
      <c r="P125" s="7" t="s">
        <v>29</v>
      </c>
      <c r="Q125" s="7" t="s">
        <v>29</v>
      </c>
      <c r="R125" s="7" t="s">
        <v>29</v>
      </c>
      <c r="S125" s="7" t="s">
        <v>29</v>
      </c>
    </row>
    <row r="126" spans="2:19">
      <c r="B126" s="7" t="s">
        <v>195</v>
      </c>
      <c r="C126" s="8" t="s">
        <v>195</v>
      </c>
      <c r="D126" s="6" t="str">
        <f>LRTRIM(CONCATENATE(IF(SUMPRODUCT(-- ISNUMBER(SEARCH({"Auto Number"}, $B126))) &gt; 0, $B126, IF(SUMPRODUCT(-- ISNUMBER(SEARCH({"Lookup","Master-Detail"}, $B126))) &gt; 0,$B126 &amp; "(" &amp; $E126 &amp; ")",IF(SUMPRODUCT(-- ISNUMBER(SEARCH({"Formula","Roll-Up Summary"}, $B126))) &gt; 0,$B126 &amp; " (" &amp; $E126 &amp; ")",IF(SUMPRODUCT(-- ISNUMBER(SEARCH({"Content","Currency","Number","Percent","Text","URL"}, $B126))) &gt; 0,$B126 &amp; "(" &amp; $C126 &amp; ")",$B126)))), "  ", TRIM(IF($S126 = "YES", "(External ID)", "") &amp; " " &amp; IF(SUMPRODUCT(-- ISNUMBER(SEARCH({"Unique","Unique Case Insensitive"}, $R126))) &gt; 0, "(" &amp; $R126 &amp; ")", ""))))</f>
        <v>na</v>
      </c>
      <c r="E126" s="7" t="s">
        <v>195</v>
      </c>
      <c r="F126" s="7" t="s">
        <v>195</v>
      </c>
      <c r="G126" s="7" t="s">
        <v>195</v>
      </c>
      <c r="H126" s="7" t="s">
        <v>195</v>
      </c>
      <c r="I126" s="7" t="s">
        <v>195</v>
      </c>
      <c r="J126" s="7" t="s">
        <v>195</v>
      </c>
      <c r="K126" s="7" t="s">
        <v>195</v>
      </c>
      <c r="L126" s="7" t="s">
        <v>195</v>
      </c>
      <c r="M126" s="7" t="s">
        <v>29</v>
      </c>
      <c r="N126" s="7" t="s">
        <v>29</v>
      </c>
      <c r="O126" s="7" t="s">
        <v>29</v>
      </c>
      <c r="P126" s="7" t="s">
        <v>29</v>
      </c>
      <c r="Q126" s="7" t="s">
        <v>29</v>
      </c>
      <c r="R126" s="7" t="s">
        <v>29</v>
      </c>
      <c r="S126" s="7" t="s">
        <v>29</v>
      </c>
    </row>
    <row r="127" spans="2:19">
      <c r="B127" s="7" t="s">
        <v>195</v>
      </c>
      <c r="C127" s="8" t="s">
        <v>195</v>
      </c>
      <c r="D127" s="6" t="str">
        <f>LRTRIM(CONCATENATE(IF(SUMPRODUCT(-- ISNUMBER(SEARCH({"Auto Number"}, $B127))) &gt; 0, $B127, IF(SUMPRODUCT(-- ISNUMBER(SEARCH({"Lookup","Master-Detail"}, $B127))) &gt; 0,$B127 &amp; "(" &amp; $E127 &amp; ")",IF(SUMPRODUCT(-- ISNUMBER(SEARCH({"Formula","Roll-Up Summary"}, $B127))) &gt; 0,$B127 &amp; " (" &amp; $E127 &amp; ")",IF(SUMPRODUCT(-- ISNUMBER(SEARCH({"Content","Currency","Number","Percent","Text","URL"}, $B127))) &gt; 0,$B127 &amp; "(" &amp; $C127 &amp; ")",$B127)))), "  ", TRIM(IF($S127 = "YES", "(External ID)", "") &amp; " " &amp; IF(SUMPRODUCT(-- ISNUMBER(SEARCH({"Unique","Unique Case Insensitive"}, $R127))) &gt; 0, "(" &amp; $R127 &amp; ")", ""))))</f>
        <v>na</v>
      </c>
      <c r="E127" s="7" t="s">
        <v>195</v>
      </c>
      <c r="F127" s="7" t="s">
        <v>195</v>
      </c>
      <c r="G127" s="7" t="s">
        <v>195</v>
      </c>
      <c r="H127" s="7" t="s">
        <v>195</v>
      </c>
      <c r="I127" s="7" t="s">
        <v>195</v>
      </c>
      <c r="J127" s="7" t="s">
        <v>195</v>
      </c>
      <c r="K127" s="7" t="s">
        <v>195</v>
      </c>
      <c r="L127" s="7" t="s">
        <v>195</v>
      </c>
      <c r="M127" s="7" t="s">
        <v>29</v>
      </c>
      <c r="N127" s="7" t="s">
        <v>29</v>
      </c>
      <c r="O127" s="7" t="s">
        <v>29</v>
      </c>
      <c r="P127" s="7" t="s">
        <v>29</v>
      </c>
      <c r="Q127" s="7" t="s">
        <v>29</v>
      </c>
      <c r="R127" s="7" t="s">
        <v>29</v>
      </c>
      <c r="S127" s="7" t="s">
        <v>29</v>
      </c>
    </row>
    <row r="128" spans="2:19">
      <c r="B128" s="7" t="s">
        <v>195</v>
      </c>
      <c r="C128" s="8" t="s">
        <v>195</v>
      </c>
      <c r="D128" s="6" t="str">
        <f>LRTRIM(CONCATENATE(IF(SUMPRODUCT(-- ISNUMBER(SEARCH({"Auto Number"}, $B128))) &gt; 0, $B128, IF(SUMPRODUCT(-- ISNUMBER(SEARCH({"Lookup","Master-Detail"}, $B128))) &gt; 0,$B128 &amp; "(" &amp; $E128 &amp; ")",IF(SUMPRODUCT(-- ISNUMBER(SEARCH({"Formula","Roll-Up Summary"}, $B128))) &gt; 0,$B128 &amp; " (" &amp; $E128 &amp; ")",IF(SUMPRODUCT(-- ISNUMBER(SEARCH({"Content","Currency","Number","Percent","Text","URL"}, $B128))) &gt; 0,$B128 &amp; "(" &amp; $C128 &amp; ")",$B128)))), "  ", TRIM(IF($S128 = "YES", "(External ID)", "") &amp; " " &amp; IF(SUMPRODUCT(-- ISNUMBER(SEARCH({"Unique","Unique Case Insensitive"}, $R128))) &gt; 0, "(" &amp; $R128 &amp; ")", ""))))</f>
        <v>na</v>
      </c>
      <c r="E128" s="7" t="s">
        <v>195</v>
      </c>
      <c r="F128" s="7" t="s">
        <v>195</v>
      </c>
      <c r="G128" s="7" t="s">
        <v>195</v>
      </c>
      <c r="H128" s="7" t="s">
        <v>195</v>
      </c>
      <c r="I128" s="7" t="s">
        <v>195</v>
      </c>
      <c r="J128" s="7" t="s">
        <v>195</v>
      </c>
      <c r="K128" s="7" t="s">
        <v>195</v>
      </c>
      <c r="L128" s="7" t="s">
        <v>195</v>
      </c>
      <c r="M128" s="7" t="s">
        <v>29</v>
      </c>
      <c r="N128" s="7" t="s">
        <v>29</v>
      </c>
      <c r="O128" s="7" t="s">
        <v>29</v>
      </c>
      <c r="P128" s="7" t="s">
        <v>29</v>
      </c>
      <c r="Q128" s="7" t="s">
        <v>29</v>
      </c>
      <c r="R128" s="7" t="s">
        <v>29</v>
      </c>
      <c r="S128" s="7" t="s">
        <v>29</v>
      </c>
    </row>
    <row r="129" spans="2:19">
      <c r="B129" s="7" t="s">
        <v>195</v>
      </c>
      <c r="C129" s="8" t="s">
        <v>195</v>
      </c>
      <c r="D129" s="6" t="str">
        <f>LRTRIM(CONCATENATE(IF(SUMPRODUCT(-- ISNUMBER(SEARCH({"Auto Number"}, $B129))) &gt; 0, $B129, IF(SUMPRODUCT(-- ISNUMBER(SEARCH({"Lookup","Master-Detail"}, $B129))) &gt; 0,$B129 &amp; "(" &amp; $E129 &amp; ")",IF(SUMPRODUCT(-- ISNUMBER(SEARCH({"Formula","Roll-Up Summary"}, $B129))) &gt; 0,$B129 &amp; " (" &amp; $E129 &amp; ")",IF(SUMPRODUCT(-- ISNUMBER(SEARCH({"Content","Currency","Number","Percent","Text","URL"}, $B129))) &gt; 0,$B129 &amp; "(" &amp; $C129 &amp; ")",$B129)))), "  ", TRIM(IF($S129 = "YES", "(External ID)", "") &amp; " " &amp; IF(SUMPRODUCT(-- ISNUMBER(SEARCH({"Unique","Unique Case Insensitive"}, $R129))) &gt; 0, "(" &amp; $R129 &amp; ")", ""))))</f>
        <v>na</v>
      </c>
      <c r="E129" s="7" t="s">
        <v>195</v>
      </c>
      <c r="F129" s="7" t="s">
        <v>195</v>
      </c>
      <c r="G129" s="7" t="s">
        <v>195</v>
      </c>
      <c r="H129" s="7" t="s">
        <v>195</v>
      </c>
      <c r="I129" s="7" t="s">
        <v>195</v>
      </c>
      <c r="J129" s="7" t="s">
        <v>195</v>
      </c>
      <c r="K129" s="7" t="s">
        <v>195</v>
      </c>
      <c r="L129" s="7" t="s">
        <v>195</v>
      </c>
      <c r="M129" s="7" t="s">
        <v>29</v>
      </c>
      <c r="N129" s="7" t="s">
        <v>29</v>
      </c>
      <c r="O129" s="7" t="s">
        <v>29</v>
      </c>
      <c r="P129" s="7" t="s">
        <v>29</v>
      </c>
      <c r="Q129" s="7" t="s">
        <v>29</v>
      </c>
      <c r="R129" s="7" t="s">
        <v>29</v>
      </c>
      <c r="S129" s="7" t="s">
        <v>29</v>
      </c>
    </row>
    <row r="130" spans="2:19">
      <c r="B130" s="7" t="s">
        <v>195</v>
      </c>
      <c r="C130" s="8" t="s">
        <v>195</v>
      </c>
      <c r="D130" s="6" t="str">
        <f>LRTRIM(CONCATENATE(IF(SUMPRODUCT(-- ISNUMBER(SEARCH({"Auto Number"}, $B130))) &gt; 0, $B130, IF(SUMPRODUCT(-- ISNUMBER(SEARCH({"Lookup","Master-Detail"}, $B130))) &gt; 0,$B130 &amp; "(" &amp; $E130 &amp; ")",IF(SUMPRODUCT(-- ISNUMBER(SEARCH({"Formula","Roll-Up Summary"}, $B130))) &gt; 0,$B130 &amp; " (" &amp; $E130 &amp; ")",IF(SUMPRODUCT(-- ISNUMBER(SEARCH({"Content","Currency","Number","Percent","Text","URL"}, $B130))) &gt; 0,$B130 &amp; "(" &amp; $C130 &amp; ")",$B130)))), "  ", TRIM(IF($S130 = "YES", "(External ID)", "") &amp; " " &amp; IF(SUMPRODUCT(-- ISNUMBER(SEARCH({"Unique","Unique Case Insensitive"}, $R130))) &gt; 0, "(" &amp; $R130 &amp; ")", ""))))</f>
        <v>na</v>
      </c>
      <c r="E130" s="7" t="s">
        <v>195</v>
      </c>
      <c r="F130" s="7" t="s">
        <v>195</v>
      </c>
      <c r="G130" s="7" t="s">
        <v>195</v>
      </c>
      <c r="H130" s="7" t="s">
        <v>195</v>
      </c>
      <c r="I130" s="7" t="s">
        <v>195</v>
      </c>
      <c r="J130" s="7" t="s">
        <v>195</v>
      </c>
      <c r="K130" s="7" t="s">
        <v>195</v>
      </c>
      <c r="L130" s="7" t="s">
        <v>195</v>
      </c>
      <c r="M130" s="7" t="s">
        <v>29</v>
      </c>
      <c r="N130" s="7" t="s">
        <v>29</v>
      </c>
      <c r="O130" s="7" t="s">
        <v>29</v>
      </c>
      <c r="P130" s="7" t="s">
        <v>29</v>
      </c>
      <c r="Q130" s="7" t="s">
        <v>29</v>
      </c>
      <c r="R130" s="7" t="s">
        <v>29</v>
      </c>
      <c r="S130" s="7" t="s">
        <v>29</v>
      </c>
    </row>
    <row r="131" spans="2:19">
      <c r="B131" s="7" t="s">
        <v>195</v>
      </c>
      <c r="C131" s="8" t="s">
        <v>195</v>
      </c>
      <c r="D131" s="6" t="str">
        <f>LRTRIM(CONCATENATE(IF(SUMPRODUCT(-- ISNUMBER(SEARCH({"Auto Number"}, $B131))) &gt; 0, $B131, IF(SUMPRODUCT(-- ISNUMBER(SEARCH({"Lookup","Master-Detail"}, $B131))) &gt; 0,$B131 &amp; "(" &amp; $E131 &amp; ")",IF(SUMPRODUCT(-- ISNUMBER(SEARCH({"Formula","Roll-Up Summary"}, $B131))) &gt; 0,$B131 &amp; " (" &amp; $E131 &amp; ")",IF(SUMPRODUCT(-- ISNUMBER(SEARCH({"Content","Currency","Number","Percent","Text","URL"}, $B131))) &gt; 0,$B131 &amp; "(" &amp; $C131 &amp; ")",$B131)))), "  ", TRIM(IF($S131 = "YES", "(External ID)", "") &amp; " " &amp; IF(SUMPRODUCT(-- ISNUMBER(SEARCH({"Unique","Unique Case Insensitive"}, $R131))) &gt; 0, "(" &amp; $R131 &amp; ")", ""))))</f>
        <v>na</v>
      </c>
      <c r="E131" s="7" t="s">
        <v>195</v>
      </c>
      <c r="F131" s="7" t="s">
        <v>195</v>
      </c>
      <c r="G131" s="7" t="s">
        <v>195</v>
      </c>
      <c r="H131" s="7" t="s">
        <v>195</v>
      </c>
      <c r="I131" s="7" t="s">
        <v>195</v>
      </c>
      <c r="J131" s="7" t="s">
        <v>195</v>
      </c>
      <c r="K131" s="7" t="s">
        <v>195</v>
      </c>
      <c r="L131" s="7" t="s">
        <v>195</v>
      </c>
      <c r="M131" s="7" t="s">
        <v>29</v>
      </c>
      <c r="N131" s="7" t="s">
        <v>29</v>
      </c>
      <c r="O131" s="7" t="s">
        <v>29</v>
      </c>
      <c r="P131" s="7" t="s">
        <v>29</v>
      </c>
      <c r="Q131" s="7" t="s">
        <v>29</v>
      </c>
      <c r="R131" s="7" t="s">
        <v>29</v>
      </c>
      <c r="S131" s="7" t="s">
        <v>29</v>
      </c>
    </row>
    <row r="132" spans="2:19">
      <c r="B132" s="7" t="s">
        <v>195</v>
      </c>
      <c r="C132" s="8" t="s">
        <v>195</v>
      </c>
      <c r="D132" s="6" t="str">
        <f>LRTRIM(CONCATENATE(IF(SUMPRODUCT(-- ISNUMBER(SEARCH({"Auto Number"}, $B132))) &gt; 0, $B132, IF(SUMPRODUCT(-- ISNUMBER(SEARCH({"Lookup","Master-Detail"}, $B132))) &gt; 0,$B132 &amp; "(" &amp; $E132 &amp; ")",IF(SUMPRODUCT(-- ISNUMBER(SEARCH({"Formula","Roll-Up Summary"}, $B132))) &gt; 0,$B132 &amp; " (" &amp; $E132 &amp; ")",IF(SUMPRODUCT(-- ISNUMBER(SEARCH({"Content","Currency","Number","Percent","Text","URL"}, $B132))) &gt; 0,$B132 &amp; "(" &amp; $C132 &amp; ")",$B132)))), "  ", TRIM(IF($S132 = "YES", "(External ID)", "") &amp; " " &amp; IF(SUMPRODUCT(-- ISNUMBER(SEARCH({"Unique","Unique Case Insensitive"}, $R132))) &gt; 0, "(" &amp; $R132 &amp; ")", ""))))</f>
        <v>na</v>
      </c>
      <c r="E132" s="7" t="s">
        <v>195</v>
      </c>
      <c r="F132" s="7" t="s">
        <v>195</v>
      </c>
      <c r="G132" s="7" t="s">
        <v>195</v>
      </c>
      <c r="H132" s="7" t="s">
        <v>195</v>
      </c>
      <c r="I132" s="7" t="s">
        <v>195</v>
      </c>
      <c r="J132" s="7" t="s">
        <v>195</v>
      </c>
      <c r="K132" s="7" t="s">
        <v>195</v>
      </c>
      <c r="L132" s="7" t="s">
        <v>195</v>
      </c>
      <c r="M132" s="7" t="s">
        <v>29</v>
      </c>
      <c r="N132" s="7" t="s">
        <v>29</v>
      </c>
      <c r="O132" s="7" t="s">
        <v>29</v>
      </c>
      <c r="P132" s="7" t="s">
        <v>29</v>
      </c>
      <c r="Q132" s="7" t="s">
        <v>29</v>
      </c>
      <c r="R132" s="7" t="s">
        <v>29</v>
      </c>
      <c r="S132" s="7" t="s">
        <v>29</v>
      </c>
    </row>
    <row r="133" spans="2:19">
      <c r="B133" s="7" t="s">
        <v>195</v>
      </c>
      <c r="C133" s="8" t="s">
        <v>195</v>
      </c>
      <c r="D133" s="6" t="str">
        <f>LRTRIM(CONCATENATE(IF(SUMPRODUCT(-- ISNUMBER(SEARCH({"Auto Number"}, $B133))) &gt; 0, $B133, IF(SUMPRODUCT(-- ISNUMBER(SEARCH({"Lookup","Master-Detail"}, $B133))) &gt; 0,$B133 &amp; "(" &amp; $E133 &amp; ")",IF(SUMPRODUCT(-- ISNUMBER(SEARCH({"Formula","Roll-Up Summary"}, $B133))) &gt; 0,$B133 &amp; " (" &amp; $E133 &amp; ")",IF(SUMPRODUCT(-- ISNUMBER(SEARCH({"Content","Currency","Number","Percent","Text","URL"}, $B133))) &gt; 0,$B133 &amp; "(" &amp; $C133 &amp; ")",$B133)))), "  ", TRIM(IF($S133 = "YES", "(External ID)", "") &amp; " " &amp; IF(SUMPRODUCT(-- ISNUMBER(SEARCH({"Unique","Unique Case Insensitive"}, $R133))) &gt; 0, "(" &amp; $R133 &amp; ")", ""))))</f>
        <v>na</v>
      </c>
      <c r="E133" s="7" t="s">
        <v>195</v>
      </c>
      <c r="F133" s="7" t="s">
        <v>195</v>
      </c>
      <c r="G133" s="7" t="s">
        <v>195</v>
      </c>
      <c r="H133" s="7" t="s">
        <v>195</v>
      </c>
      <c r="I133" s="7" t="s">
        <v>195</v>
      </c>
      <c r="J133" s="7" t="s">
        <v>195</v>
      </c>
      <c r="K133" s="7" t="s">
        <v>195</v>
      </c>
      <c r="L133" s="7" t="s">
        <v>195</v>
      </c>
      <c r="M133" s="7" t="s">
        <v>29</v>
      </c>
      <c r="N133" s="7" t="s">
        <v>29</v>
      </c>
      <c r="O133" s="7" t="s">
        <v>29</v>
      </c>
      <c r="P133" s="7" t="s">
        <v>29</v>
      </c>
      <c r="Q133" s="7" t="s">
        <v>29</v>
      </c>
      <c r="R133" s="7" t="s">
        <v>29</v>
      </c>
      <c r="S133" s="7" t="s">
        <v>29</v>
      </c>
    </row>
    <row r="134" spans="2:19">
      <c r="B134" s="7" t="s">
        <v>195</v>
      </c>
      <c r="C134" s="8" t="s">
        <v>195</v>
      </c>
      <c r="D134" s="6" t="str">
        <f>LRTRIM(CONCATENATE(IF(SUMPRODUCT(-- ISNUMBER(SEARCH({"Auto Number"}, $B134))) &gt; 0, $B134, IF(SUMPRODUCT(-- ISNUMBER(SEARCH({"Lookup","Master-Detail"}, $B134))) &gt; 0,$B134 &amp; "(" &amp; $E134 &amp; ")",IF(SUMPRODUCT(-- ISNUMBER(SEARCH({"Formula","Roll-Up Summary"}, $B134))) &gt; 0,$B134 &amp; " (" &amp; $E134 &amp; ")",IF(SUMPRODUCT(-- ISNUMBER(SEARCH({"Content","Currency","Number","Percent","Text","URL"}, $B134))) &gt; 0,$B134 &amp; "(" &amp; $C134 &amp; ")",$B134)))), "  ", TRIM(IF($S134 = "YES", "(External ID)", "") &amp; " " &amp; IF(SUMPRODUCT(-- ISNUMBER(SEARCH({"Unique","Unique Case Insensitive"}, $R134))) &gt; 0, "(" &amp; $R134 &amp; ")", ""))))</f>
        <v>na</v>
      </c>
      <c r="E134" s="7" t="s">
        <v>195</v>
      </c>
      <c r="F134" s="7" t="s">
        <v>195</v>
      </c>
      <c r="G134" s="7" t="s">
        <v>195</v>
      </c>
      <c r="H134" s="7" t="s">
        <v>195</v>
      </c>
      <c r="I134" s="7" t="s">
        <v>195</v>
      </c>
      <c r="J134" s="7" t="s">
        <v>195</v>
      </c>
      <c r="K134" s="7" t="s">
        <v>195</v>
      </c>
      <c r="L134" s="7" t="s">
        <v>195</v>
      </c>
      <c r="M134" s="7" t="s">
        <v>29</v>
      </c>
      <c r="N134" s="7" t="s">
        <v>29</v>
      </c>
      <c r="O134" s="7" t="s">
        <v>29</v>
      </c>
      <c r="P134" s="7" t="s">
        <v>29</v>
      </c>
      <c r="Q134" s="7" t="s">
        <v>29</v>
      </c>
      <c r="R134" s="7" t="s">
        <v>29</v>
      </c>
      <c r="S134" s="7" t="s">
        <v>29</v>
      </c>
    </row>
    <row r="135" spans="2:19">
      <c r="B135" s="7" t="s">
        <v>195</v>
      </c>
      <c r="C135" s="8" t="s">
        <v>195</v>
      </c>
      <c r="D135" s="6" t="str">
        <f>LRTRIM(CONCATENATE(IF(SUMPRODUCT(-- ISNUMBER(SEARCH({"Auto Number"}, $B135))) &gt; 0, $B135, IF(SUMPRODUCT(-- ISNUMBER(SEARCH({"Lookup","Master-Detail"}, $B135))) &gt; 0,$B135 &amp; "(" &amp; $E135 &amp; ")",IF(SUMPRODUCT(-- ISNUMBER(SEARCH({"Formula","Roll-Up Summary"}, $B135))) &gt; 0,$B135 &amp; " (" &amp; $E135 &amp; ")",IF(SUMPRODUCT(-- ISNUMBER(SEARCH({"Content","Currency","Number","Percent","Text","URL"}, $B135))) &gt; 0,$B135 &amp; "(" &amp; $C135 &amp; ")",$B135)))), "  ", TRIM(IF($S135 = "YES", "(External ID)", "") &amp; " " &amp; IF(SUMPRODUCT(-- ISNUMBER(SEARCH({"Unique","Unique Case Insensitive"}, $R135))) &gt; 0, "(" &amp; $R135 &amp; ")", ""))))</f>
        <v>na</v>
      </c>
      <c r="E135" s="7" t="s">
        <v>195</v>
      </c>
      <c r="F135" s="7" t="s">
        <v>195</v>
      </c>
      <c r="G135" s="7" t="s">
        <v>195</v>
      </c>
      <c r="H135" s="7" t="s">
        <v>195</v>
      </c>
      <c r="I135" s="7" t="s">
        <v>195</v>
      </c>
      <c r="J135" s="7" t="s">
        <v>195</v>
      </c>
      <c r="K135" s="7" t="s">
        <v>195</v>
      </c>
      <c r="L135" s="7" t="s">
        <v>195</v>
      </c>
      <c r="M135" s="7" t="s">
        <v>29</v>
      </c>
      <c r="N135" s="7" t="s">
        <v>29</v>
      </c>
      <c r="O135" s="7" t="s">
        <v>29</v>
      </c>
      <c r="P135" s="7" t="s">
        <v>29</v>
      </c>
      <c r="Q135" s="7" t="s">
        <v>29</v>
      </c>
      <c r="R135" s="7" t="s">
        <v>29</v>
      </c>
      <c r="S135" s="7" t="s">
        <v>29</v>
      </c>
    </row>
    <row r="136" spans="2:19">
      <c r="B136" s="7" t="s">
        <v>195</v>
      </c>
      <c r="C136" s="8" t="s">
        <v>195</v>
      </c>
      <c r="D136" s="6" t="str">
        <f>LRTRIM(CONCATENATE(IF(SUMPRODUCT(-- ISNUMBER(SEARCH({"Auto Number"}, $B136))) &gt; 0, $B136, IF(SUMPRODUCT(-- ISNUMBER(SEARCH({"Lookup","Master-Detail"}, $B136))) &gt; 0,$B136 &amp; "(" &amp; $E136 &amp; ")",IF(SUMPRODUCT(-- ISNUMBER(SEARCH({"Formula","Roll-Up Summary"}, $B136))) &gt; 0,$B136 &amp; " (" &amp; $E136 &amp; ")",IF(SUMPRODUCT(-- ISNUMBER(SEARCH({"Content","Currency","Number","Percent","Text","URL"}, $B136))) &gt; 0,$B136 &amp; "(" &amp; $C136 &amp; ")",$B136)))), "  ", TRIM(IF($S136 = "YES", "(External ID)", "") &amp; " " &amp; IF(SUMPRODUCT(-- ISNUMBER(SEARCH({"Unique","Unique Case Insensitive"}, $R136))) &gt; 0, "(" &amp; $R136 &amp; ")", ""))))</f>
        <v>na</v>
      </c>
      <c r="E136" s="7" t="s">
        <v>195</v>
      </c>
      <c r="F136" s="7" t="s">
        <v>195</v>
      </c>
      <c r="G136" s="7" t="s">
        <v>195</v>
      </c>
      <c r="H136" s="7" t="s">
        <v>195</v>
      </c>
      <c r="I136" s="7" t="s">
        <v>195</v>
      </c>
      <c r="J136" s="7" t="s">
        <v>195</v>
      </c>
      <c r="K136" s="7" t="s">
        <v>195</v>
      </c>
      <c r="L136" s="7" t="s">
        <v>195</v>
      </c>
      <c r="M136" s="7" t="s">
        <v>29</v>
      </c>
      <c r="N136" s="7" t="s">
        <v>29</v>
      </c>
      <c r="O136" s="7" t="s">
        <v>29</v>
      </c>
      <c r="P136" s="7" t="s">
        <v>29</v>
      </c>
      <c r="Q136" s="7" t="s">
        <v>29</v>
      </c>
      <c r="R136" s="7" t="s">
        <v>29</v>
      </c>
      <c r="S136" s="7" t="s">
        <v>29</v>
      </c>
    </row>
    <row r="137" spans="2:19">
      <c r="B137" s="7" t="s">
        <v>195</v>
      </c>
      <c r="C137" s="8" t="s">
        <v>195</v>
      </c>
      <c r="D137" s="6" t="str">
        <f>LRTRIM(CONCATENATE(IF(SUMPRODUCT(-- ISNUMBER(SEARCH({"Auto Number"}, $B137))) &gt; 0, $B137, IF(SUMPRODUCT(-- ISNUMBER(SEARCH({"Lookup","Master-Detail"}, $B137))) &gt; 0,$B137 &amp; "(" &amp; $E137 &amp; ")",IF(SUMPRODUCT(-- ISNUMBER(SEARCH({"Formula","Roll-Up Summary"}, $B137))) &gt; 0,$B137 &amp; " (" &amp; $E137 &amp; ")",IF(SUMPRODUCT(-- ISNUMBER(SEARCH({"Content","Currency","Number","Percent","Text","URL"}, $B137))) &gt; 0,$B137 &amp; "(" &amp; $C137 &amp; ")",$B137)))), "  ", TRIM(IF($S137 = "YES", "(External ID)", "") &amp; " " &amp; IF(SUMPRODUCT(-- ISNUMBER(SEARCH({"Unique","Unique Case Insensitive"}, $R137))) &gt; 0, "(" &amp; $R137 &amp; ")", ""))))</f>
        <v>na</v>
      </c>
      <c r="E137" s="7" t="s">
        <v>195</v>
      </c>
      <c r="F137" s="7" t="s">
        <v>195</v>
      </c>
      <c r="G137" s="7" t="s">
        <v>195</v>
      </c>
      <c r="H137" s="7" t="s">
        <v>195</v>
      </c>
      <c r="I137" s="7" t="s">
        <v>195</v>
      </c>
      <c r="J137" s="7" t="s">
        <v>195</v>
      </c>
      <c r="K137" s="7" t="s">
        <v>195</v>
      </c>
      <c r="L137" s="7" t="s">
        <v>195</v>
      </c>
      <c r="M137" s="7" t="s">
        <v>29</v>
      </c>
      <c r="N137" s="7" t="s">
        <v>29</v>
      </c>
      <c r="O137" s="7" t="s">
        <v>29</v>
      </c>
      <c r="P137" s="7" t="s">
        <v>29</v>
      </c>
      <c r="Q137" s="7" t="s">
        <v>29</v>
      </c>
      <c r="R137" s="7" t="s">
        <v>29</v>
      </c>
      <c r="S137" s="7" t="s">
        <v>29</v>
      </c>
    </row>
    <row r="138" spans="2:19">
      <c r="B138" s="7" t="s">
        <v>195</v>
      </c>
      <c r="C138" s="8" t="s">
        <v>195</v>
      </c>
      <c r="D138" s="6" t="str">
        <f>LRTRIM(CONCATENATE(IF(SUMPRODUCT(-- ISNUMBER(SEARCH({"Auto Number"}, $B138))) &gt; 0, $B138, IF(SUMPRODUCT(-- ISNUMBER(SEARCH({"Lookup","Master-Detail"}, $B138))) &gt; 0,$B138 &amp; "(" &amp; $E138 &amp; ")",IF(SUMPRODUCT(-- ISNUMBER(SEARCH({"Formula","Roll-Up Summary"}, $B138))) &gt; 0,$B138 &amp; " (" &amp; $E138 &amp; ")",IF(SUMPRODUCT(-- ISNUMBER(SEARCH({"Content","Currency","Number","Percent","Text","URL"}, $B138))) &gt; 0,$B138 &amp; "(" &amp; $C138 &amp; ")",$B138)))), "  ", TRIM(IF($S138 = "YES", "(External ID)", "") &amp; " " &amp; IF(SUMPRODUCT(-- ISNUMBER(SEARCH({"Unique","Unique Case Insensitive"}, $R138))) &gt; 0, "(" &amp; $R138 &amp; ")", ""))))</f>
        <v>na</v>
      </c>
      <c r="E138" s="7" t="s">
        <v>195</v>
      </c>
      <c r="F138" s="7" t="s">
        <v>195</v>
      </c>
      <c r="G138" s="7" t="s">
        <v>195</v>
      </c>
      <c r="H138" s="7" t="s">
        <v>195</v>
      </c>
      <c r="I138" s="7" t="s">
        <v>195</v>
      </c>
      <c r="J138" s="7" t="s">
        <v>195</v>
      </c>
      <c r="K138" s="7" t="s">
        <v>195</v>
      </c>
      <c r="L138" s="7" t="s">
        <v>195</v>
      </c>
      <c r="M138" s="7" t="s">
        <v>29</v>
      </c>
      <c r="N138" s="7" t="s">
        <v>29</v>
      </c>
      <c r="O138" s="7" t="s">
        <v>29</v>
      </c>
      <c r="P138" s="7" t="s">
        <v>29</v>
      </c>
      <c r="Q138" s="7" t="s">
        <v>29</v>
      </c>
      <c r="R138" s="7" t="s">
        <v>29</v>
      </c>
      <c r="S138" s="7" t="s">
        <v>29</v>
      </c>
    </row>
    <row r="139" spans="2:19">
      <c r="B139" s="7" t="s">
        <v>195</v>
      </c>
      <c r="C139" s="8" t="s">
        <v>195</v>
      </c>
      <c r="D139" s="6" t="str">
        <f>LRTRIM(CONCATENATE(IF(SUMPRODUCT(-- ISNUMBER(SEARCH({"Auto Number"}, $B139))) &gt; 0, $B139, IF(SUMPRODUCT(-- ISNUMBER(SEARCH({"Lookup","Master-Detail"}, $B139))) &gt; 0,$B139 &amp; "(" &amp; $E139 &amp; ")",IF(SUMPRODUCT(-- ISNUMBER(SEARCH({"Formula","Roll-Up Summary"}, $B139))) &gt; 0,$B139 &amp; " (" &amp; $E139 &amp; ")",IF(SUMPRODUCT(-- ISNUMBER(SEARCH({"Content","Currency","Number","Percent","Text","URL"}, $B139))) &gt; 0,$B139 &amp; "(" &amp; $C139 &amp; ")",$B139)))), "  ", TRIM(IF($S139 = "YES", "(External ID)", "") &amp; " " &amp; IF(SUMPRODUCT(-- ISNUMBER(SEARCH({"Unique","Unique Case Insensitive"}, $R139))) &gt; 0, "(" &amp; $R139 &amp; ")", ""))))</f>
        <v>na</v>
      </c>
      <c r="E139" s="7" t="s">
        <v>195</v>
      </c>
      <c r="F139" s="7" t="s">
        <v>195</v>
      </c>
      <c r="G139" s="7" t="s">
        <v>195</v>
      </c>
      <c r="H139" s="7" t="s">
        <v>195</v>
      </c>
      <c r="I139" s="7" t="s">
        <v>195</v>
      </c>
      <c r="J139" s="7" t="s">
        <v>195</v>
      </c>
      <c r="K139" s="7" t="s">
        <v>195</v>
      </c>
      <c r="L139" s="7" t="s">
        <v>195</v>
      </c>
      <c r="M139" s="7" t="s">
        <v>29</v>
      </c>
      <c r="N139" s="7" t="s">
        <v>29</v>
      </c>
      <c r="O139" s="7" t="s">
        <v>29</v>
      </c>
      <c r="P139" s="7" t="s">
        <v>29</v>
      </c>
      <c r="Q139" s="7" t="s">
        <v>29</v>
      </c>
      <c r="R139" s="7" t="s">
        <v>29</v>
      </c>
      <c r="S139" s="7" t="s">
        <v>29</v>
      </c>
    </row>
    <row r="140" spans="2:19">
      <c r="B140" s="7" t="s">
        <v>195</v>
      </c>
      <c r="C140" s="8" t="s">
        <v>195</v>
      </c>
      <c r="D140" s="6" t="str">
        <f>LRTRIM(CONCATENATE(IF(SUMPRODUCT(-- ISNUMBER(SEARCH({"Auto Number"}, $B140))) &gt; 0, $B140, IF(SUMPRODUCT(-- ISNUMBER(SEARCH({"Lookup","Master-Detail"}, $B140))) &gt; 0,$B140 &amp; "(" &amp; $E140 &amp; ")",IF(SUMPRODUCT(-- ISNUMBER(SEARCH({"Formula","Roll-Up Summary"}, $B140))) &gt; 0,$B140 &amp; " (" &amp; $E140 &amp; ")",IF(SUMPRODUCT(-- ISNUMBER(SEARCH({"Content","Currency","Number","Percent","Text","URL"}, $B140))) &gt; 0,$B140 &amp; "(" &amp; $C140 &amp; ")",$B140)))), "  ", TRIM(IF($S140 = "YES", "(External ID)", "") &amp; " " &amp; IF(SUMPRODUCT(-- ISNUMBER(SEARCH({"Unique","Unique Case Insensitive"}, $R140))) &gt; 0, "(" &amp; $R140 &amp; ")", ""))))</f>
        <v>na</v>
      </c>
      <c r="E140" s="7" t="s">
        <v>195</v>
      </c>
      <c r="F140" s="7" t="s">
        <v>195</v>
      </c>
      <c r="G140" s="7" t="s">
        <v>195</v>
      </c>
      <c r="H140" s="7" t="s">
        <v>195</v>
      </c>
      <c r="I140" s="7" t="s">
        <v>195</v>
      </c>
      <c r="J140" s="7" t="s">
        <v>195</v>
      </c>
      <c r="K140" s="7" t="s">
        <v>195</v>
      </c>
      <c r="L140" s="7" t="s">
        <v>195</v>
      </c>
      <c r="M140" s="7" t="s">
        <v>29</v>
      </c>
      <c r="N140" s="7" t="s">
        <v>29</v>
      </c>
      <c r="O140" s="7" t="s">
        <v>29</v>
      </c>
      <c r="P140" s="7" t="s">
        <v>29</v>
      </c>
      <c r="Q140" s="7" t="s">
        <v>29</v>
      </c>
      <c r="R140" s="7" t="s">
        <v>29</v>
      </c>
      <c r="S140" s="7" t="s">
        <v>29</v>
      </c>
    </row>
    <row r="141" spans="2:19">
      <c r="B141" s="7" t="s">
        <v>195</v>
      </c>
      <c r="C141" s="8" t="s">
        <v>195</v>
      </c>
      <c r="D141" s="6" t="str">
        <f>LRTRIM(CONCATENATE(IF(SUMPRODUCT(-- ISNUMBER(SEARCH({"Auto Number"}, $B141))) &gt; 0, $B141, IF(SUMPRODUCT(-- ISNUMBER(SEARCH({"Lookup","Master-Detail"}, $B141))) &gt; 0,$B141 &amp; "(" &amp; $E141 &amp; ")",IF(SUMPRODUCT(-- ISNUMBER(SEARCH({"Formula","Roll-Up Summary"}, $B141))) &gt; 0,$B141 &amp; " (" &amp; $E141 &amp; ")",IF(SUMPRODUCT(-- ISNUMBER(SEARCH({"Content","Currency","Number","Percent","Text","URL"}, $B141))) &gt; 0,$B141 &amp; "(" &amp; $C141 &amp; ")",$B141)))), "  ", TRIM(IF($S141 = "YES", "(External ID)", "") &amp; " " &amp; IF(SUMPRODUCT(-- ISNUMBER(SEARCH({"Unique","Unique Case Insensitive"}, $R141))) &gt; 0, "(" &amp; $R141 &amp; ")", ""))))</f>
        <v>na</v>
      </c>
      <c r="E141" s="7" t="s">
        <v>195</v>
      </c>
      <c r="F141" s="7" t="s">
        <v>195</v>
      </c>
      <c r="G141" s="7" t="s">
        <v>195</v>
      </c>
      <c r="H141" s="7" t="s">
        <v>195</v>
      </c>
      <c r="I141" s="7" t="s">
        <v>195</v>
      </c>
      <c r="J141" s="7" t="s">
        <v>195</v>
      </c>
      <c r="K141" s="7" t="s">
        <v>195</v>
      </c>
      <c r="L141" s="7" t="s">
        <v>195</v>
      </c>
      <c r="M141" s="7" t="s">
        <v>29</v>
      </c>
      <c r="N141" s="7" t="s">
        <v>29</v>
      </c>
      <c r="O141" s="7" t="s">
        <v>29</v>
      </c>
      <c r="P141" s="7" t="s">
        <v>29</v>
      </c>
      <c r="Q141" s="7" t="s">
        <v>29</v>
      </c>
      <c r="R141" s="7" t="s">
        <v>29</v>
      </c>
      <c r="S141" s="7" t="s">
        <v>29</v>
      </c>
    </row>
    <row r="142" spans="2:19">
      <c r="B142" s="7" t="s">
        <v>195</v>
      </c>
      <c r="C142" s="8" t="s">
        <v>195</v>
      </c>
      <c r="D142" s="6" t="str">
        <f>LRTRIM(CONCATENATE(IF(SUMPRODUCT(-- ISNUMBER(SEARCH({"Auto Number"}, $B142))) &gt; 0, $B142, IF(SUMPRODUCT(-- ISNUMBER(SEARCH({"Lookup","Master-Detail"}, $B142))) &gt; 0,$B142 &amp; "(" &amp; $E142 &amp; ")",IF(SUMPRODUCT(-- ISNUMBER(SEARCH({"Formula","Roll-Up Summary"}, $B142))) &gt; 0,$B142 &amp; " (" &amp; $E142 &amp; ")",IF(SUMPRODUCT(-- ISNUMBER(SEARCH({"Content","Currency","Number","Percent","Text","URL"}, $B142))) &gt; 0,$B142 &amp; "(" &amp; $C142 &amp; ")",$B142)))), "  ", TRIM(IF($S142 = "YES", "(External ID)", "") &amp; " " &amp; IF(SUMPRODUCT(-- ISNUMBER(SEARCH({"Unique","Unique Case Insensitive"}, $R142))) &gt; 0, "(" &amp; $R142 &amp; ")", ""))))</f>
        <v>na</v>
      </c>
      <c r="E142" s="7" t="s">
        <v>195</v>
      </c>
      <c r="F142" s="7" t="s">
        <v>195</v>
      </c>
      <c r="G142" s="7" t="s">
        <v>195</v>
      </c>
      <c r="H142" s="7" t="s">
        <v>195</v>
      </c>
      <c r="I142" s="7" t="s">
        <v>195</v>
      </c>
      <c r="J142" s="7" t="s">
        <v>195</v>
      </c>
      <c r="K142" s="7" t="s">
        <v>195</v>
      </c>
      <c r="L142" s="7" t="s">
        <v>195</v>
      </c>
      <c r="M142" s="7" t="s">
        <v>29</v>
      </c>
      <c r="N142" s="7" t="s">
        <v>29</v>
      </c>
      <c r="O142" s="7" t="s">
        <v>29</v>
      </c>
      <c r="P142" s="7" t="s">
        <v>29</v>
      </c>
      <c r="Q142" s="7" t="s">
        <v>29</v>
      </c>
      <c r="R142" s="7" t="s">
        <v>29</v>
      </c>
      <c r="S142" s="7" t="s">
        <v>29</v>
      </c>
    </row>
    <row r="143" spans="2:19">
      <c r="B143" s="7" t="s">
        <v>195</v>
      </c>
      <c r="C143" s="8" t="s">
        <v>195</v>
      </c>
      <c r="D143" s="6" t="str">
        <f>LRTRIM(CONCATENATE(IF(SUMPRODUCT(-- ISNUMBER(SEARCH({"Auto Number"}, $B143))) &gt; 0, $B143, IF(SUMPRODUCT(-- ISNUMBER(SEARCH({"Lookup","Master-Detail"}, $B143))) &gt; 0,$B143 &amp; "(" &amp; $E143 &amp; ")",IF(SUMPRODUCT(-- ISNUMBER(SEARCH({"Formula","Roll-Up Summary"}, $B143))) &gt; 0,$B143 &amp; " (" &amp; $E143 &amp; ")",IF(SUMPRODUCT(-- ISNUMBER(SEARCH({"Content","Currency","Number","Percent","Text","URL"}, $B143))) &gt; 0,$B143 &amp; "(" &amp; $C143 &amp; ")",$B143)))), "  ", TRIM(IF($S143 = "YES", "(External ID)", "") &amp; " " &amp; IF(SUMPRODUCT(-- ISNUMBER(SEARCH({"Unique","Unique Case Insensitive"}, $R143))) &gt; 0, "(" &amp; $R143 &amp; ")", ""))))</f>
        <v>na</v>
      </c>
      <c r="E143" s="7" t="s">
        <v>195</v>
      </c>
      <c r="F143" s="7" t="s">
        <v>195</v>
      </c>
      <c r="G143" s="7" t="s">
        <v>195</v>
      </c>
      <c r="H143" s="7" t="s">
        <v>195</v>
      </c>
      <c r="I143" s="7" t="s">
        <v>195</v>
      </c>
      <c r="J143" s="7" t="s">
        <v>195</v>
      </c>
      <c r="K143" s="7" t="s">
        <v>195</v>
      </c>
      <c r="L143" s="7" t="s">
        <v>195</v>
      </c>
      <c r="M143" s="7" t="s">
        <v>29</v>
      </c>
      <c r="N143" s="7" t="s">
        <v>29</v>
      </c>
      <c r="O143" s="7" t="s">
        <v>29</v>
      </c>
      <c r="P143" s="7" t="s">
        <v>29</v>
      </c>
      <c r="Q143" s="7" t="s">
        <v>29</v>
      </c>
      <c r="R143" s="7" t="s">
        <v>29</v>
      </c>
      <c r="S143" s="7" t="s">
        <v>29</v>
      </c>
    </row>
    <row r="144" spans="2:19">
      <c r="B144" s="7" t="s">
        <v>195</v>
      </c>
      <c r="C144" s="8" t="s">
        <v>195</v>
      </c>
      <c r="D144" s="6" t="str">
        <f>LRTRIM(CONCATENATE(IF(SUMPRODUCT(-- ISNUMBER(SEARCH({"Auto Number"}, $B144))) &gt; 0, $B144, IF(SUMPRODUCT(-- ISNUMBER(SEARCH({"Lookup","Master-Detail"}, $B144))) &gt; 0,$B144 &amp; "(" &amp; $E144 &amp; ")",IF(SUMPRODUCT(-- ISNUMBER(SEARCH({"Formula","Roll-Up Summary"}, $B144))) &gt; 0,$B144 &amp; " (" &amp; $E144 &amp; ")",IF(SUMPRODUCT(-- ISNUMBER(SEARCH({"Content","Currency","Number","Percent","Text","URL"}, $B144))) &gt; 0,$B144 &amp; "(" &amp; $C144 &amp; ")",$B144)))), "  ", TRIM(IF($S144 = "YES", "(External ID)", "") &amp; " " &amp; IF(SUMPRODUCT(-- ISNUMBER(SEARCH({"Unique","Unique Case Insensitive"}, $R144))) &gt; 0, "(" &amp; $R144 &amp; ")", ""))))</f>
        <v>na</v>
      </c>
      <c r="E144" s="7" t="s">
        <v>195</v>
      </c>
      <c r="F144" s="7" t="s">
        <v>195</v>
      </c>
      <c r="G144" s="7" t="s">
        <v>195</v>
      </c>
      <c r="H144" s="7" t="s">
        <v>195</v>
      </c>
      <c r="I144" s="7" t="s">
        <v>195</v>
      </c>
      <c r="J144" s="7" t="s">
        <v>195</v>
      </c>
      <c r="K144" s="7" t="s">
        <v>195</v>
      </c>
      <c r="L144" s="7" t="s">
        <v>195</v>
      </c>
      <c r="M144" s="7" t="s">
        <v>29</v>
      </c>
      <c r="N144" s="7" t="s">
        <v>29</v>
      </c>
      <c r="O144" s="7" t="s">
        <v>29</v>
      </c>
      <c r="P144" s="7" t="s">
        <v>29</v>
      </c>
      <c r="Q144" s="7" t="s">
        <v>29</v>
      </c>
      <c r="R144" s="7" t="s">
        <v>29</v>
      </c>
      <c r="S144" s="7" t="s">
        <v>29</v>
      </c>
    </row>
    <row r="145" spans="2:19">
      <c r="B145" s="7" t="s">
        <v>195</v>
      </c>
      <c r="C145" s="8" t="s">
        <v>195</v>
      </c>
      <c r="D145" s="6" t="str">
        <f>LRTRIM(CONCATENATE(IF(SUMPRODUCT(-- ISNUMBER(SEARCH({"Auto Number"}, $B145))) &gt; 0, $B145, IF(SUMPRODUCT(-- ISNUMBER(SEARCH({"Lookup","Master-Detail"}, $B145))) &gt; 0,$B145 &amp; "(" &amp; $E145 &amp; ")",IF(SUMPRODUCT(-- ISNUMBER(SEARCH({"Formula","Roll-Up Summary"}, $B145))) &gt; 0,$B145 &amp; " (" &amp; $E145 &amp; ")",IF(SUMPRODUCT(-- ISNUMBER(SEARCH({"Content","Currency","Number","Percent","Text","URL"}, $B145))) &gt; 0,$B145 &amp; "(" &amp; $C145 &amp; ")",$B145)))), "  ", TRIM(IF($S145 = "YES", "(External ID)", "") &amp; " " &amp; IF(SUMPRODUCT(-- ISNUMBER(SEARCH({"Unique","Unique Case Insensitive"}, $R145))) &gt; 0, "(" &amp; $R145 &amp; ")", ""))))</f>
        <v>na</v>
      </c>
      <c r="E145" s="7" t="s">
        <v>195</v>
      </c>
      <c r="F145" s="7" t="s">
        <v>195</v>
      </c>
      <c r="G145" s="7" t="s">
        <v>195</v>
      </c>
      <c r="H145" s="7" t="s">
        <v>195</v>
      </c>
      <c r="I145" s="7" t="s">
        <v>195</v>
      </c>
      <c r="J145" s="7" t="s">
        <v>195</v>
      </c>
      <c r="K145" s="7" t="s">
        <v>195</v>
      </c>
      <c r="L145" s="7" t="s">
        <v>195</v>
      </c>
      <c r="M145" s="7" t="s">
        <v>29</v>
      </c>
      <c r="N145" s="7" t="s">
        <v>29</v>
      </c>
      <c r="O145" s="7" t="s">
        <v>29</v>
      </c>
      <c r="P145" s="7" t="s">
        <v>29</v>
      </c>
      <c r="Q145" s="7" t="s">
        <v>29</v>
      </c>
      <c r="R145" s="7" t="s">
        <v>29</v>
      </c>
      <c r="S145" s="7" t="s">
        <v>29</v>
      </c>
    </row>
    <row r="146" spans="2:19">
      <c r="B146" s="7" t="s">
        <v>195</v>
      </c>
      <c r="C146" s="8" t="s">
        <v>195</v>
      </c>
      <c r="D146" s="6" t="str">
        <f>LRTRIM(CONCATENATE(IF(SUMPRODUCT(-- ISNUMBER(SEARCH({"Auto Number"}, $B146))) &gt; 0, $B146, IF(SUMPRODUCT(-- ISNUMBER(SEARCH({"Lookup","Master-Detail"}, $B146))) &gt; 0,$B146 &amp; "(" &amp; $E146 &amp; ")",IF(SUMPRODUCT(-- ISNUMBER(SEARCH({"Formula","Roll-Up Summary"}, $B146))) &gt; 0,$B146 &amp; " (" &amp; $E146 &amp; ")",IF(SUMPRODUCT(-- ISNUMBER(SEARCH({"Content","Currency","Number","Percent","Text","URL"}, $B146))) &gt; 0,$B146 &amp; "(" &amp; $C146 &amp; ")",$B146)))), "  ", TRIM(IF($S146 = "YES", "(External ID)", "") &amp; " " &amp; IF(SUMPRODUCT(-- ISNUMBER(SEARCH({"Unique","Unique Case Insensitive"}, $R146))) &gt; 0, "(" &amp; $R146 &amp; ")", ""))))</f>
        <v>na</v>
      </c>
      <c r="E146" s="7" t="s">
        <v>195</v>
      </c>
      <c r="F146" s="7" t="s">
        <v>195</v>
      </c>
      <c r="G146" s="7" t="s">
        <v>195</v>
      </c>
      <c r="H146" s="7" t="s">
        <v>195</v>
      </c>
      <c r="I146" s="7" t="s">
        <v>195</v>
      </c>
      <c r="J146" s="7" t="s">
        <v>195</v>
      </c>
      <c r="K146" s="7" t="s">
        <v>195</v>
      </c>
      <c r="L146" s="7" t="s">
        <v>195</v>
      </c>
      <c r="M146" s="7" t="s">
        <v>29</v>
      </c>
      <c r="N146" s="7" t="s">
        <v>29</v>
      </c>
      <c r="O146" s="7" t="s">
        <v>29</v>
      </c>
      <c r="P146" s="7" t="s">
        <v>29</v>
      </c>
      <c r="Q146" s="7" t="s">
        <v>29</v>
      </c>
      <c r="R146" s="7" t="s">
        <v>29</v>
      </c>
      <c r="S146" s="7" t="s">
        <v>29</v>
      </c>
    </row>
    <row r="147" spans="2:19">
      <c r="B147" s="7" t="s">
        <v>195</v>
      </c>
      <c r="C147" s="8" t="s">
        <v>195</v>
      </c>
      <c r="D147" s="6" t="str">
        <f>LRTRIM(CONCATENATE(IF(SUMPRODUCT(-- ISNUMBER(SEARCH({"Auto Number"}, $B147))) &gt; 0, $B147, IF(SUMPRODUCT(-- ISNUMBER(SEARCH({"Lookup","Master-Detail"}, $B147))) &gt; 0,$B147 &amp; "(" &amp; $E147 &amp; ")",IF(SUMPRODUCT(-- ISNUMBER(SEARCH({"Formula","Roll-Up Summary"}, $B147))) &gt; 0,$B147 &amp; " (" &amp; $E147 &amp; ")",IF(SUMPRODUCT(-- ISNUMBER(SEARCH({"Content","Currency","Number","Percent","Text","URL"}, $B147))) &gt; 0,$B147 &amp; "(" &amp; $C147 &amp; ")",$B147)))), "  ", TRIM(IF($S147 = "YES", "(External ID)", "") &amp; " " &amp; IF(SUMPRODUCT(-- ISNUMBER(SEARCH({"Unique","Unique Case Insensitive"}, $R147))) &gt; 0, "(" &amp; $R147 &amp; ")", ""))))</f>
        <v>na</v>
      </c>
      <c r="E147" s="7" t="s">
        <v>195</v>
      </c>
      <c r="F147" s="7" t="s">
        <v>195</v>
      </c>
      <c r="G147" s="7" t="s">
        <v>195</v>
      </c>
      <c r="H147" s="7" t="s">
        <v>195</v>
      </c>
      <c r="I147" s="7" t="s">
        <v>195</v>
      </c>
      <c r="J147" s="7" t="s">
        <v>195</v>
      </c>
      <c r="K147" s="7" t="s">
        <v>195</v>
      </c>
      <c r="L147" s="7" t="s">
        <v>195</v>
      </c>
      <c r="M147" s="7" t="s">
        <v>29</v>
      </c>
      <c r="N147" s="7" t="s">
        <v>29</v>
      </c>
      <c r="O147" s="7" t="s">
        <v>29</v>
      </c>
      <c r="P147" s="7" t="s">
        <v>29</v>
      </c>
      <c r="Q147" s="7" t="s">
        <v>29</v>
      </c>
      <c r="R147" s="7" t="s">
        <v>29</v>
      </c>
      <c r="S147" s="7" t="s">
        <v>29</v>
      </c>
    </row>
    <row r="148" spans="2:19">
      <c r="B148" s="7" t="s">
        <v>195</v>
      </c>
      <c r="C148" s="8" t="s">
        <v>195</v>
      </c>
      <c r="D148" s="6" t="str">
        <f>LRTRIM(CONCATENATE(IF(SUMPRODUCT(-- ISNUMBER(SEARCH({"Auto Number"}, $B148))) &gt; 0, $B148, IF(SUMPRODUCT(-- ISNUMBER(SEARCH({"Lookup","Master-Detail"}, $B148))) &gt; 0,$B148 &amp; "(" &amp; $E148 &amp; ")",IF(SUMPRODUCT(-- ISNUMBER(SEARCH({"Formula","Roll-Up Summary"}, $B148))) &gt; 0,$B148 &amp; " (" &amp; $E148 &amp; ")",IF(SUMPRODUCT(-- ISNUMBER(SEARCH({"Content","Currency","Number","Percent","Text","URL"}, $B148))) &gt; 0,$B148 &amp; "(" &amp; $C148 &amp; ")",$B148)))), "  ", TRIM(IF($S148 = "YES", "(External ID)", "") &amp; " " &amp; IF(SUMPRODUCT(-- ISNUMBER(SEARCH({"Unique","Unique Case Insensitive"}, $R148))) &gt; 0, "(" &amp; $R148 &amp; ")", ""))))</f>
        <v>na</v>
      </c>
      <c r="E148" s="7" t="s">
        <v>195</v>
      </c>
      <c r="F148" s="7" t="s">
        <v>195</v>
      </c>
      <c r="G148" s="7" t="s">
        <v>195</v>
      </c>
      <c r="H148" s="7" t="s">
        <v>195</v>
      </c>
      <c r="I148" s="7" t="s">
        <v>195</v>
      </c>
      <c r="J148" s="7" t="s">
        <v>195</v>
      </c>
      <c r="K148" s="7" t="s">
        <v>195</v>
      </c>
      <c r="L148" s="7" t="s">
        <v>195</v>
      </c>
      <c r="M148" s="7" t="s">
        <v>29</v>
      </c>
      <c r="N148" s="7" t="s">
        <v>29</v>
      </c>
      <c r="O148" s="7" t="s">
        <v>29</v>
      </c>
      <c r="P148" s="7" t="s">
        <v>29</v>
      </c>
      <c r="Q148" s="7" t="s">
        <v>29</v>
      </c>
      <c r="R148" s="7" t="s">
        <v>29</v>
      </c>
      <c r="S148" s="7" t="s">
        <v>29</v>
      </c>
    </row>
    <row r="149" spans="2:19">
      <c r="B149" s="7" t="s">
        <v>195</v>
      </c>
      <c r="C149" s="8" t="s">
        <v>195</v>
      </c>
      <c r="D149" s="6" t="str">
        <f>LRTRIM(CONCATENATE(IF(SUMPRODUCT(-- ISNUMBER(SEARCH({"Auto Number"}, $B149))) &gt; 0, $B149, IF(SUMPRODUCT(-- ISNUMBER(SEARCH({"Lookup","Master-Detail"}, $B149))) &gt; 0,$B149 &amp; "(" &amp; $E149 &amp; ")",IF(SUMPRODUCT(-- ISNUMBER(SEARCH({"Formula","Roll-Up Summary"}, $B149))) &gt; 0,$B149 &amp; " (" &amp; $E149 &amp; ")",IF(SUMPRODUCT(-- ISNUMBER(SEARCH({"Content","Currency","Number","Percent","Text","URL"}, $B149))) &gt; 0,$B149 &amp; "(" &amp; $C149 &amp; ")",$B149)))), "  ", TRIM(IF($S149 = "YES", "(External ID)", "") &amp; " " &amp; IF(SUMPRODUCT(-- ISNUMBER(SEARCH({"Unique","Unique Case Insensitive"}, $R149))) &gt; 0, "(" &amp; $R149 &amp; ")", ""))))</f>
        <v>na</v>
      </c>
      <c r="E149" s="7" t="s">
        <v>195</v>
      </c>
      <c r="F149" s="7" t="s">
        <v>195</v>
      </c>
      <c r="G149" s="7" t="s">
        <v>195</v>
      </c>
      <c r="H149" s="7" t="s">
        <v>195</v>
      </c>
      <c r="I149" s="7" t="s">
        <v>195</v>
      </c>
      <c r="J149" s="7" t="s">
        <v>195</v>
      </c>
      <c r="K149" s="7" t="s">
        <v>195</v>
      </c>
      <c r="L149" s="7" t="s">
        <v>195</v>
      </c>
      <c r="M149" s="7" t="s">
        <v>29</v>
      </c>
      <c r="N149" s="7" t="s">
        <v>29</v>
      </c>
      <c r="O149" s="7" t="s">
        <v>29</v>
      </c>
      <c r="P149" s="7" t="s">
        <v>29</v>
      </c>
      <c r="Q149" s="7" t="s">
        <v>29</v>
      </c>
      <c r="R149" s="7" t="s">
        <v>29</v>
      </c>
      <c r="S149" s="7" t="s">
        <v>29</v>
      </c>
    </row>
    <row r="150" spans="2:19">
      <c r="B150" s="7" t="s">
        <v>195</v>
      </c>
      <c r="C150" s="8" t="s">
        <v>195</v>
      </c>
      <c r="D150" s="6" t="str">
        <f>LRTRIM(CONCATENATE(IF(SUMPRODUCT(-- ISNUMBER(SEARCH({"Auto Number"}, $B150))) &gt; 0, $B150, IF(SUMPRODUCT(-- ISNUMBER(SEARCH({"Lookup","Master-Detail"}, $B150))) &gt; 0,$B150 &amp; "(" &amp; $E150 &amp; ")",IF(SUMPRODUCT(-- ISNUMBER(SEARCH({"Formula","Roll-Up Summary"}, $B150))) &gt; 0,$B150 &amp; " (" &amp; $E150 &amp; ")",IF(SUMPRODUCT(-- ISNUMBER(SEARCH({"Content","Currency","Number","Percent","Text","URL"}, $B150))) &gt; 0,$B150 &amp; "(" &amp; $C150 &amp; ")",$B150)))), "  ", TRIM(IF($S150 = "YES", "(External ID)", "") &amp; " " &amp; IF(SUMPRODUCT(-- ISNUMBER(SEARCH({"Unique","Unique Case Insensitive"}, $R150))) &gt; 0, "(" &amp; $R150 &amp; ")", ""))))</f>
        <v>na</v>
      </c>
      <c r="E150" s="7" t="s">
        <v>195</v>
      </c>
      <c r="F150" s="7" t="s">
        <v>195</v>
      </c>
      <c r="G150" s="7" t="s">
        <v>195</v>
      </c>
      <c r="H150" s="7" t="s">
        <v>195</v>
      </c>
      <c r="I150" s="7" t="s">
        <v>195</v>
      </c>
      <c r="J150" s="7" t="s">
        <v>195</v>
      </c>
      <c r="K150" s="7" t="s">
        <v>195</v>
      </c>
      <c r="L150" s="7" t="s">
        <v>195</v>
      </c>
      <c r="M150" s="7" t="s">
        <v>29</v>
      </c>
      <c r="N150" s="7" t="s">
        <v>29</v>
      </c>
      <c r="O150" s="7" t="s">
        <v>29</v>
      </c>
      <c r="P150" s="7" t="s">
        <v>29</v>
      </c>
      <c r="Q150" s="7" t="s">
        <v>29</v>
      </c>
      <c r="R150" s="7" t="s">
        <v>29</v>
      </c>
      <c r="S150" s="7" t="s">
        <v>29</v>
      </c>
    </row>
    <row r="151" spans="2:19">
      <c r="B151" s="7" t="s">
        <v>195</v>
      </c>
      <c r="C151" s="8" t="s">
        <v>195</v>
      </c>
      <c r="D151" s="6" t="str">
        <f>LRTRIM(CONCATENATE(IF(SUMPRODUCT(-- ISNUMBER(SEARCH({"Auto Number"}, $B151))) &gt; 0, $B151, IF(SUMPRODUCT(-- ISNUMBER(SEARCH({"Lookup","Master-Detail"}, $B151))) &gt; 0,$B151 &amp; "(" &amp; $E151 &amp; ")",IF(SUMPRODUCT(-- ISNUMBER(SEARCH({"Formula","Roll-Up Summary"}, $B151))) &gt; 0,$B151 &amp; " (" &amp; $E151 &amp; ")",IF(SUMPRODUCT(-- ISNUMBER(SEARCH({"Content","Currency","Number","Percent","Text","URL"}, $B151))) &gt; 0,$B151 &amp; "(" &amp; $C151 &amp; ")",$B151)))), "  ", TRIM(IF($S151 = "YES", "(External ID)", "") &amp; " " &amp; IF(SUMPRODUCT(-- ISNUMBER(SEARCH({"Unique","Unique Case Insensitive"}, $R151))) &gt; 0, "(" &amp; $R151 &amp; ")", ""))))</f>
        <v>na</v>
      </c>
      <c r="E151" s="7" t="s">
        <v>195</v>
      </c>
      <c r="F151" s="7" t="s">
        <v>195</v>
      </c>
      <c r="G151" s="7" t="s">
        <v>195</v>
      </c>
      <c r="H151" s="7" t="s">
        <v>195</v>
      </c>
      <c r="I151" s="7" t="s">
        <v>195</v>
      </c>
      <c r="J151" s="7" t="s">
        <v>195</v>
      </c>
      <c r="K151" s="7" t="s">
        <v>195</v>
      </c>
      <c r="L151" s="7" t="s">
        <v>195</v>
      </c>
      <c r="M151" s="7" t="s">
        <v>29</v>
      </c>
      <c r="N151" s="7" t="s">
        <v>29</v>
      </c>
      <c r="O151" s="7" t="s">
        <v>29</v>
      </c>
      <c r="P151" s="7" t="s">
        <v>29</v>
      </c>
      <c r="Q151" s="7" t="s">
        <v>29</v>
      </c>
      <c r="R151" s="7" t="s">
        <v>29</v>
      </c>
      <c r="S151" s="7" t="s">
        <v>29</v>
      </c>
    </row>
    <row r="152" spans="2:19">
      <c r="B152" s="7" t="s">
        <v>195</v>
      </c>
      <c r="C152" s="8" t="s">
        <v>195</v>
      </c>
      <c r="D152" s="6" t="str">
        <f>LRTRIM(CONCATENATE(IF(SUMPRODUCT(-- ISNUMBER(SEARCH({"Auto Number"}, $B152))) &gt; 0, $B152, IF(SUMPRODUCT(-- ISNUMBER(SEARCH({"Lookup","Master-Detail"}, $B152))) &gt; 0,$B152 &amp; "(" &amp; $E152 &amp; ")",IF(SUMPRODUCT(-- ISNUMBER(SEARCH({"Formula","Roll-Up Summary"}, $B152))) &gt; 0,$B152 &amp; " (" &amp; $E152 &amp; ")",IF(SUMPRODUCT(-- ISNUMBER(SEARCH({"Content","Currency","Number","Percent","Text","URL"}, $B152))) &gt; 0,$B152 &amp; "(" &amp; $C152 &amp; ")",$B152)))), "  ", TRIM(IF($S152 = "YES", "(External ID)", "") &amp; " " &amp; IF(SUMPRODUCT(-- ISNUMBER(SEARCH({"Unique","Unique Case Insensitive"}, $R152))) &gt; 0, "(" &amp; $R152 &amp; ")", ""))))</f>
        <v>na</v>
      </c>
      <c r="E152" s="7" t="s">
        <v>195</v>
      </c>
      <c r="F152" s="7" t="s">
        <v>195</v>
      </c>
      <c r="G152" s="7" t="s">
        <v>195</v>
      </c>
      <c r="H152" s="7" t="s">
        <v>195</v>
      </c>
      <c r="I152" s="7" t="s">
        <v>195</v>
      </c>
      <c r="J152" s="7" t="s">
        <v>195</v>
      </c>
      <c r="K152" s="7" t="s">
        <v>195</v>
      </c>
      <c r="L152" s="7" t="s">
        <v>195</v>
      </c>
      <c r="M152" s="7" t="s">
        <v>29</v>
      </c>
      <c r="N152" s="7" t="s">
        <v>29</v>
      </c>
      <c r="O152" s="7" t="s">
        <v>29</v>
      </c>
      <c r="P152" s="7" t="s">
        <v>29</v>
      </c>
      <c r="Q152" s="7" t="s">
        <v>29</v>
      </c>
      <c r="R152" s="7" t="s">
        <v>29</v>
      </c>
      <c r="S152" s="7" t="s">
        <v>29</v>
      </c>
    </row>
    <row r="153" spans="2:19">
      <c r="B153" s="7" t="s">
        <v>195</v>
      </c>
      <c r="C153" s="8" t="s">
        <v>195</v>
      </c>
      <c r="D153" s="6" t="str">
        <f>LRTRIM(CONCATENATE(IF(SUMPRODUCT(-- ISNUMBER(SEARCH({"Auto Number"}, $B153))) &gt; 0, $B153, IF(SUMPRODUCT(-- ISNUMBER(SEARCH({"Lookup","Master-Detail"}, $B153))) &gt; 0,$B153 &amp; "(" &amp; $E153 &amp; ")",IF(SUMPRODUCT(-- ISNUMBER(SEARCH({"Formula","Roll-Up Summary"}, $B153))) &gt; 0,$B153 &amp; " (" &amp; $E153 &amp; ")",IF(SUMPRODUCT(-- ISNUMBER(SEARCH({"Content","Currency","Number","Percent","Text","URL"}, $B153))) &gt; 0,$B153 &amp; "(" &amp; $C153 &amp; ")",$B153)))), "  ", TRIM(IF($S153 = "YES", "(External ID)", "") &amp; " " &amp; IF(SUMPRODUCT(-- ISNUMBER(SEARCH({"Unique","Unique Case Insensitive"}, $R153))) &gt; 0, "(" &amp; $R153 &amp; ")", ""))))</f>
        <v>na</v>
      </c>
      <c r="E153" s="7" t="s">
        <v>195</v>
      </c>
      <c r="F153" s="7" t="s">
        <v>195</v>
      </c>
      <c r="G153" s="7" t="s">
        <v>195</v>
      </c>
      <c r="H153" s="7" t="s">
        <v>195</v>
      </c>
      <c r="I153" s="7" t="s">
        <v>195</v>
      </c>
      <c r="J153" s="7" t="s">
        <v>195</v>
      </c>
      <c r="K153" s="7" t="s">
        <v>195</v>
      </c>
      <c r="L153" s="7" t="s">
        <v>195</v>
      </c>
      <c r="M153" s="7" t="s">
        <v>29</v>
      </c>
      <c r="N153" s="7" t="s">
        <v>29</v>
      </c>
      <c r="O153" s="7" t="s">
        <v>29</v>
      </c>
      <c r="P153" s="7" t="s">
        <v>29</v>
      </c>
      <c r="Q153" s="7" t="s">
        <v>29</v>
      </c>
      <c r="R153" s="7" t="s">
        <v>29</v>
      </c>
      <c r="S153" s="7" t="s">
        <v>29</v>
      </c>
    </row>
    <row r="154" spans="2:19">
      <c r="B154" s="7" t="s">
        <v>195</v>
      </c>
      <c r="C154" s="8" t="s">
        <v>195</v>
      </c>
      <c r="D154" s="6" t="str">
        <f>LRTRIM(CONCATENATE(IF(SUMPRODUCT(-- ISNUMBER(SEARCH({"Auto Number"}, $B154))) &gt; 0, $B154, IF(SUMPRODUCT(-- ISNUMBER(SEARCH({"Lookup","Master-Detail"}, $B154))) &gt; 0,$B154 &amp; "(" &amp; $E154 &amp; ")",IF(SUMPRODUCT(-- ISNUMBER(SEARCH({"Formula","Roll-Up Summary"}, $B154))) &gt; 0,$B154 &amp; " (" &amp; $E154 &amp; ")",IF(SUMPRODUCT(-- ISNUMBER(SEARCH({"Content","Currency","Number","Percent","Text","URL"}, $B154))) &gt; 0,$B154 &amp; "(" &amp; $C154 &amp; ")",$B154)))), "  ", TRIM(IF($S154 = "YES", "(External ID)", "") &amp; " " &amp; IF(SUMPRODUCT(-- ISNUMBER(SEARCH({"Unique","Unique Case Insensitive"}, $R154))) &gt; 0, "(" &amp; $R154 &amp; ")", ""))))</f>
        <v>na</v>
      </c>
      <c r="E154" s="7" t="s">
        <v>195</v>
      </c>
      <c r="F154" s="7" t="s">
        <v>195</v>
      </c>
      <c r="G154" s="7" t="s">
        <v>195</v>
      </c>
      <c r="H154" s="7" t="s">
        <v>195</v>
      </c>
      <c r="I154" s="7" t="s">
        <v>195</v>
      </c>
      <c r="J154" s="7" t="s">
        <v>195</v>
      </c>
      <c r="K154" s="7" t="s">
        <v>195</v>
      </c>
      <c r="L154" s="7" t="s">
        <v>195</v>
      </c>
      <c r="M154" s="7" t="s">
        <v>29</v>
      </c>
      <c r="N154" s="7" t="s">
        <v>29</v>
      </c>
      <c r="O154" s="7" t="s">
        <v>29</v>
      </c>
      <c r="P154" s="7" t="s">
        <v>29</v>
      </c>
      <c r="Q154" s="7" t="s">
        <v>29</v>
      </c>
      <c r="R154" s="7" t="s">
        <v>29</v>
      </c>
      <c r="S154" s="7" t="s">
        <v>29</v>
      </c>
    </row>
    <row r="155" spans="2:19">
      <c r="B155" s="7" t="s">
        <v>195</v>
      </c>
      <c r="C155" s="8" t="s">
        <v>195</v>
      </c>
      <c r="D155" s="6" t="str">
        <f>LRTRIM(CONCATENATE(IF(SUMPRODUCT(-- ISNUMBER(SEARCH({"Auto Number"}, $B155))) &gt; 0, $B155, IF(SUMPRODUCT(-- ISNUMBER(SEARCH({"Lookup","Master-Detail"}, $B155))) &gt; 0,$B155 &amp; "(" &amp; $E155 &amp; ")",IF(SUMPRODUCT(-- ISNUMBER(SEARCH({"Formula","Roll-Up Summary"}, $B155))) &gt; 0,$B155 &amp; " (" &amp; $E155 &amp; ")",IF(SUMPRODUCT(-- ISNUMBER(SEARCH({"Content","Currency","Number","Percent","Text","URL"}, $B155))) &gt; 0,$B155 &amp; "(" &amp; $C155 &amp; ")",$B155)))), "  ", TRIM(IF($S155 = "YES", "(External ID)", "") &amp; " " &amp; IF(SUMPRODUCT(-- ISNUMBER(SEARCH({"Unique","Unique Case Insensitive"}, $R155))) &gt; 0, "(" &amp; $R155 &amp; ")", ""))))</f>
        <v>na</v>
      </c>
      <c r="E155" s="7" t="s">
        <v>195</v>
      </c>
      <c r="F155" s="7" t="s">
        <v>195</v>
      </c>
      <c r="G155" s="7" t="s">
        <v>195</v>
      </c>
      <c r="H155" s="7" t="s">
        <v>195</v>
      </c>
      <c r="I155" s="7" t="s">
        <v>195</v>
      </c>
      <c r="J155" s="7" t="s">
        <v>195</v>
      </c>
      <c r="K155" s="7" t="s">
        <v>195</v>
      </c>
      <c r="L155" s="7" t="s">
        <v>195</v>
      </c>
      <c r="M155" s="7" t="s">
        <v>29</v>
      </c>
      <c r="N155" s="7" t="s">
        <v>29</v>
      </c>
      <c r="O155" s="7" t="s">
        <v>29</v>
      </c>
      <c r="P155" s="7" t="s">
        <v>29</v>
      </c>
      <c r="Q155" s="7" t="s">
        <v>29</v>
      </c>
      <c r="R155" s="7" t="s">
        <v>29</v>
      </c>
      <c r="S155" s="7" t="s">
        <v>29</v>
      </c>
    </row>
    <row r="156" spans="2:19">
      <c r="B156" s="7" t="s">
        <v>195</v>
      </c>
      <c r="C156" s="8" t="s">
        <v>195</v>
      </c>
      <c r="D156" s="6" t="str">
        <f>LRTRIM(CONCATENATE(IF(SUMPRODUCT(-- ISNUMBER(SEARCH({"Auto Number"}, $B156))) &gt; 0, $B156, IF(SUMPRODUCT(-- ISNUMBER(SEARCH({"Lookup","Master-Detail"}, $B156))) &gt; 0,$B156 &amp; "(" &amp; $E156 &amp; ")",IF(SUMPRODUCT(-- ISNUMBER(SEARCH({"Formula","Roll-Up Summary"}, $B156))) &gt; 0,$B156 &amp; " (" &amp; $E156 &amp; ")",IF(SUMPRODUCT(-- ISNUMBER(SEARCH({"Content","Currency","Number","Percent","Text","URL"}, $B156))) &gt; 0,$B156 &amp; "(" &amp; $C156 &amp; ")",$B156)))), "  ", TRIM(IF($S156 = "YES", "(External ID)", "") &amp; " " &amp; IF(SUMPRODUCT(-- ISNUMBER(SEARCH({"Unique","Unique Case Insensitive"}, $R156))) &gt; 0, "(" &amp; $R156 &amp; ")", ""))))</f>
        <v>na</v>
      </c>
      <c r="E156" s="7" t="s">
        <v>195</v>
      </c>
      <c r="F156" s="7" t="s">
        <v>195</v>
      </c>
      <c r="G156" s="7" t="s">
        <v>195</v>
      </c>
      <c r="H156" s="7" t="s">
        <v>195</v>
      </c>
      <c r="I156" s="7" t="s">
        <v>195</v>
      </c>
      <c r="J156" s="7" t="s">
        <v>195</v>
      </c>
      <c r="K156" s="7" t="s">
        <v>195</v>
      </c>
      <c r="L156" s="7" t="s">
        <v>195</v>
      </c>
      <c r="M156" s="7" t="s">
        <v>29</v>
      </c>
      <c r="N156" s="7" t="s">
        <v>29</v>
      </c>
      <c r="O156" s="7" t="s">
        <v>29</v>
      </c>
      <c r="P156" s="7" t="s">
        <v>29</v>
      </c>
      <c r="Q156" s="7" t="s">
        <v>29</v>
      </c>
      <c r="R156" s="7" t="s">
        <v>29</v>
      </c>
      <c r="S156" s="7" t="s">
        <v>29</v>
      </c>
    </row>
    <row r="157" spans="2:19">
      <c r="B157" s="7" t="s">
        <v>195</v>
      </c>
      <c r="C157" s="8" t="s">
        <v>195</v>
      </c>
      <c r="D157" s="6" t="str">
        <f>LRTRIM(CONCATENATE(IF(SUMPRODUCT(-- ISNUMBER(SEARCH({"Auto Number"}, $B157))) &gt; 0, $B157, IF(SUMPRODUCT(-- ISNUMBER(SEARCH({"Lookup","Master-Detail"}, $B157))) &gt; 0,$B157 &amp; "(" &amp; $E157 &amp; ")",IF(SUMPRODUCT(-- ISNUMBER(SEARCH({"Formula","Roll-Up Summary"}, $B157))) &gt; 0,$B157 &amp; " (" &amp; $E157 &amp; ")",IF(SUMPRODUCT(-- ISNUMBER(SEARCH({"Content","Currency","Number","Percent","Text","URL"}, $B157))) &gt; 0,$B157 &amp; "(" &amp; $C157 &amp; ")",$B157)))), "  ", TRIM(IF($S157 = "YES", "(External ID)", "") &amp; " " &amp; IF(SUMPRODUCT(-- ISNUMBER(SEARCH({"Unique","Unique Case Insensitive"}, $R157))) &gt; 0, "(" &amp; $R157 &amp; ")", ""))))</f>
        <v>na</v>
      </c>
      <c r="E157" s="7" t="s">
        <v>195</v>
      </c>
      <c r="F157" s="7" t="s">
        <v>195</v>
      </c>
      <c r="G157" s="7" t="s">
        <v>195</v>
      </c>
      <c r="H157" s="7" t="s">
        <v>195</v>
      </c>
      <c r="I157" s="7" t="s">
        <v>195</v>
      </c>
      <c r="J157" s="7" t="s">
        <v>195</v>
      </c>
      <c r="K157" s="7" t="s">
        <v>195</v>
      </c>
      <c r="L157" s="7" t="s">
        <v>195</v>
      </c>
      <c r="M157" s="7" t="s">
        <v>29</v>
      </c>
      <c r="N157" s="7" t="s">
        <v>29</v>
      </c>
      <c r="O157" s="7" t="s">
        <v>29</v>
      </c>
      <c r="P157" s="7" t="s">
        <v>29</v>
      </c>
      <c r="Q157" s="7" t="s">
        <v>29</v>
      </c>
      <c r="R157" s="7" t="s">
        <v>29</v>
      </c>
      <c r="S157" s="7" t="s">
        <v>29</v>
      </c>
    </row>
    <row r="158" spans="2:19">
      <c r="B158" s="7" t="s">
        <v>195</v>
      </c>
      <c r="C158" s="8" t="s">
        <v>195</v>
      </c>
      <c r="D158" s="6" t="str">
        <f>LRTRIM(CONCATENATE(IF(SUMPRODUCT(-- ISNUMBER(SEARCH({"Auto Number"}, $B158))) &gt; 0, $B158, IF(SUMPRODUCT(-- ISNUMBER(SEARCH({"Lookup","Master-Detail"}, $B158))) &gt; 0,$B158 &amp; "(" &amp; $E158 &amp; ")",IF(SUMPRODUCT(-- ISNUMBER(SEARCH({"Formula","Roll-Up Summary"}, $B158))) &gt; 0,$B158 &amp; " (" &amp; $E158 &amp; ")",IF(SUMPRODUCT(-- ISNUMBER(SEARCH({"Content","Currency","Number","Percent","Text","URL"}, $B158))) &gt; 0,$B158 &amp; "(" &amp; $C158 &amp; ")",$B158)))), "  ", TRIM(IF($S158 = "YES", "(External ID)", "") &amp; " " &amp; IF(SUMPRODUCT(-- ISNUMBER(SEARCH({"Unique","Unique Case Insensitive"}, $R158))) &gt; 0, "(" &amp; $R158 &amp; ")", ""))))</f>
        <v>na</v>
      </c>
      <c r="E158" s="7" t="s">
        <v>195</v>
      </c>
      <c r="F158" s="7" t="s">
        <v>195</v>
      </c>
      <c r="G158" s="7" t="s">
        <v>195</v>
      </c>
      <c r="H158" s="7" t="s">
        <v>195</v>
      </c>
      <c r="I158" s="7" t="s">
        <v>195</v>
      </c>
      <c r="J158" s="7" t="s">
        <v>195</v>
      </c>
      <c r="K158" s="7" t="s">
        <v>195</v>
      </c>
      <c r="L158" s="7" t="s">
        <v>195</v>
      </c>
      <c r="M158" s="7" t="s">
        <v>29</v>
      </c>
      <c r="N158" s="7" t="s">
        <v>29</v>
      </c>
      <c r="O158" s="7" t="s">
        <v>29</v>
      </c>
      <c r="P158" s="7" t="s">
        <v>29</v>
      </c>
      <c r="Q158" s="7" t="s">
        <v>29</v>
      </c>
      <c r="R158" s="7" t="s">
        <v>29</v>
      </c>
      <c r="S158" s="7" t="s">
        <v>29</v>
      </c>
    </row>
    <row r="159" spans="2:19">
      <c r="B159" s="7" t="s">
        <v>195</v>
      </c>
      <c r="C159" s="8" t="s">
        <v>195</v>
      </c>
      <c r="D159" s="6" t="str">
        <f>LRTRIM(CONCATENATE(IF(SUMPRODUCT(-- ISNUMBER(SEARCH({"Auto Number"}, $B159))) &gt; 0, $B159, IF(SUMPRODUCT(-- ISNUMBER(SEARCH({"Lookup","Master-Detail"}, $B159))) &gt; 0,$B159 &amp; "(" &amp; $E159 &amp; ")",IF(SUMPRODUCT(-- ISNUMBER(SEARCH({"Formula","Roll-Up Summary"}, $B159))) &gt; 0,$B159 &amp; " (" &amp; $E159 &amp; ")",IF(SUMPRODUCT(-- ISNUMBER(SEARCH({"Content","Currency","Number","Percent","Text","URL"}, $B159))) &gt; 0,$B159 &amp; "(" &amp; $C159 &amp; ")",$B159)))), "  ", TRIM(IF($S159 = "YES", "(External ID)", "") &amp; " " &amp; IF(SUMPRODUCT(-- ISNUMBER(SEARCH({"Unique","Unique Case Insensitive"}, $R159))) &gt; 0, "(" &amp; $R159 &amp; ")", ""))))</f>
        <v>na</v>
      </c>
      <c r="E159" s="7" t="s">
        <v>195</v>
      </c>
      <c r="F159" s="7" t="s">
        <v>195</v>
      </c>
      <c r="G159" s="7" t="s">
        <v>195</v>
      </c>
      <c r="H159" s="7" t="s">
        <v>195</v>
      </c>
      <c r="I159" s="7" t="s">
        <v>195</v>
      </c>
      <c r="J159" s="7" t="s">
        <v>195</v>
      </c>
      <c r="K159" s="7" t="s">
        <v>195</v>
      </c>
      <c r="L159" s="7" t="s">
        <v>195</v>
      </c>
      <c r="M159" s="7" t="s">
        <v>29</v>
      </c>
      <c r="N159" s="7" t="s">
        <v>29</v>
      </c>
      <c r="O159" s="7" t="s">
        <v>29</v>
      </c>
      <c r="P159" s="7" t="s">
        <v>29</v>
      </c>
      <c r="Q159" s="7" t="s">
        <v>29</v>
      </c>
      <c r="R159" s="7" t="s">
        <v>29</v>
      </c>
      <c r="S159" s="7" t="s">
        <v>29</v>
      </c>
    </row>
    <row r="160" spans="2:19">
      <c r="B160" s="7" t="s">
        <v>195</v>
      </c>
      <c r="C160" s="8" t="s">
        <v>195</v>
      </c>
      <c r="D160" s="6" t="str">
        <f>LRTRIM(CONCATENATE(IF(SUMPRODUCT(-- ISNUMBER(SEARCH({"Auto Number"}, $B160))) &gt; 0, $B160, IF(SUMPRODUCT(-- ISNUMBER(SEARCH({"Lookup","Master-Detail"}, $B160))) &gt; 0,$B160 &amp; "(" &amp; $E160 &amp; ")",IF(SUMPRODUCT(-- ISNUMBER(SEARCH({"Formula","Roll-Up Summary"}, $B160))) &gt; 0,$B160 &amp; " (" &amp; $E160 &amp; ")",IF(SUMPRODUCT(-- ISNUMBER(SEARCH({"Content","Currency","Number","Percent","Text","URL"}, $B160))) &gt; 0,$B160 &amp; "(" &amp; $C160 &amp; ")",$B160)))), "  ", TRIM(IF($S160 = "YES", "(External ID)", "") &amp; " " &amp; IF(SUMPRODUCT(-- ISNUMBER(SEARCH({"Unique","Unique Case Insensitive"}, $R160))) &gt; 0, "(" &amp; $R160 &amp; ")", ""))))</f>
        <v>na</v>
      </c>
      <c r="E160" s="7" t="s">
        <v>195</v>
      </c>
      <c r="F160" s="7" t="s">
        <v>195</v>
      </c>
      <c r="G160" s="7" t="s">
        <v>195</v>
      </c>
      <c r="H160" s="7" t="s">
        <v>195</v>
      </c>
      <c r="I160" s="7" t="s">
        <v>195</v>
      </c>
      <c r="J160" s="7" t="s">
        <v>195</v>
      </c>
      <c r="K160" s="7" t="s">
        <v>195</v>
      </c>
      <c r="L160" s="7" t="s">
        <v>195</v>
      </c>
      <c r="M160" s="7" t="s">
        <v>29</v>
      </c>
      <c r="N160" s="7" t="s">
        <v>29</v>
      </c>
      <c r="O160" s="7" t="s">
        <v>29</v>
      </c>
      <c r="P160" s="7" t="s">
        <v>29</v>
      </c>
      <c r="Q160" s="7" t="s">
        <v>29</v>
      </c>
      <c r="R160" s="7" t="s">
        <v>29</v>
      </c>
      <c r="S160" s="7" t="s">
        <v>29</v>
      </c>
    </row>
    <row r="161" spans="2:19">
      <c r="B161" s="7" t="s">
        <v>195</v>
      </c>
      <c r="C161" s="8" t="s">
        <v>195</v>
      </c>
      <c r="D161" s="6" t="str">
        <f>LRTRIM(CONCATENATE(IF(SUMPRODUCT(-- ISNUMBER(SEARCH({"Auto Number"}, $B161))) &gt; 0, $B161, IF(SUMPRODUCT(-- ISNUMBER(SEARCH({"Lookup","Master-Detail"}, $B161))) &gt; 0,$B161 &amp; "(" &amp; $E161 &amp; ")",IF(SUMPRODUCT(-- ISNUMBER(SEARCH({"Formula","Roll-Up Summary"}, $B161))) &gt; 0,$B161 &amp; " (" &amp; $E161 &amp; ")",IF(SUMPRODUCT(-- ISNUMBER(SEARCH({"Content","Currency","Number","Percent","Text","URL"}, $B161))) &gt; 0,$B161 &amp; "(" &amp; $C161 &amp; ")",$B161)))), "  ", TRIM(IF($S161 = "YES", "(External ID)", "") &amp; " " &amp; IF(SUMPRODUCT(-- ISNUMBER(SEARCH({"Unique","Unique Case Insensitive"}, $R161))) &gt; 0, "(" &amp; $R161 &amp; ")", ""))))</f>
        <v>na</v>
      </c>
      <c r="E161" s="7" t="s">
        <v>195</v>
      </c>
      <c r="F161" s="7" t="s">
        <v>195</v>
      </c>
      <c r="G161" s="7" t="s">
        <v>195</v>
      </c>
      <c r="H161" s="7" t="s">
        <v>195</v>
      </c>
      <c r="I161" s="7" t="s">
        <v>195</v>
      </c>
      <c r="J161" s="7" t="s">
        <v>195</v>
      </c>
      <c r="K161" s="7" t="s">
        <v>195</v>
      </c>
      <c r="L161" s="7" t="s">
        <v>195</v>
      </c>
      <c r="M161" s="7" t="s">
        <v>29</v>
      </c>
      <c r="N161" s="7" t="s">
        <v>29</v>
      </c>
      <c r="O161" s="7" t="s">
        <v>29</v>
      </c>
      <c r="P161" s="7" t="s">
        <v>29</v>
      </c>
      <c r="Q161" s="7" t="s">
        <v>29</v>
      </c>
      <c r="R161" s="7" t="s">
        <v>29</v>
      </c>
      <c r="S161" s="7" t="s">
        <v>29</v>
      </c>
    </row>
    <row r="162" spans="2:19">
      <c r="B162" s="7" t="s">
        <v>195</v>
      </c>
      <c r="C162" s="8" t="s">
        <v>195</v>
      </c>
      <c r="D162" s="6" t="str">
        <f>LRTRIM(CONCATENATE(IF(SUMPRODUCT(-- ISNUMBER(SEARCH({"Auto Number"}, $B162))) &gt; 0, $B162, IF(SUMPRODUCT(-- ISNUMBER(SEARCH({"Lookup","Master-Detail"}, $B162))) &gt; 0,$B162 &amp; "(" &amp; $E162 &amp; ")",IF(SUMPRODUCT(-- ISNUMBER(SEARCH({"Formula","Roll-Up Summary"}, $B162))) &gt; 0,$B162 &amp; " (" &amp; $E162 &amp; ")",IF(SUMPRODUCT(-- ISNUMBER(SEARCH({"Content","Currency","Number","Percent","Text","URL"}, $B162))) &gt; 0,$B162 &amp; "(" &amp; $C162 &amp; ")",$B162)))), "  ", TRIM(IF($S162 = "YES", "(External ID)", "") &amp; " " &amp; IF(SUMPRODUCT(-- ISNUMBER(SEARCH({"Unique","Unique Case Insensitive"}, $R162))) &gt; 0, "(" &amp; $R162 &amp; ")", ""))))</f>
        <v>na</v>
      </c>
      <c r="E162" s="7" t="s">
        <v>195</v>
      </c>
      <c r="F162" s="7" t="s">
        <v>195</v>
      </c>
      <c r="G162" s="7" t="s">
        <v>195</v>
      </c>
      <c r="H162" s="7" t="s">
        <v>195</v>
      </c>
      <c r="I162" s="7" t="s">
        <v>195</v>
      </c>
      <c r="J162" s="7" t="s">
        <v>195</v>
      </c>
      <c r="K162" s="7" t="s">
        <v>195</v>
      </c>
      <c r="L162" s="7" t="s">
        <v>195</v>
      </c>
      <c r="M162" s="7" t="s">
        <v>29</v>
      </c>
      <c r="N162" s="7" t="s">
        <v>29</v>
      </c>
      <c r="O162" s="7" t="s">
        <v>29</v>
      </c>
      <c r="P162" s="7" t="s">
        <v>29</v>
      </c>
      <c r="Q162" s="7" t="s">
        <v>29</v>
      </c>
      <c r="R162" s="7" t="s">
        <v>29</v>
      </c>
      <c r="S162" s="7" t="s">
        <v>29</v>
      </c>
    </row>
    <row r="163" spans="2:19">
      <c r="B163" s="7" t="s">
        <v>195</v>
      </c>
      <c r="C163" s="8" t="s">
        <v>195</v>
      </c>
      <c r="D163" s="6" t="str">
        <f>LRTRIM(CONCATENATE(IF(SUMPRODUCT(-- ISNUMBER(SEARCH({"Auto Number"}, $B163))) &gt; 0, $B163, IF(SUMPRODUCT(-- ISNUMBER(SEARCH({"Lookup","Master-Detail"}, $B163))) &gt; 0,$B163 &amp; "(" &amp; $E163 &amp; ")",IF(SUMPRODUCT(-- ISNUMBER(SEARCH({"Formula","Roll-Up Summary"}, $B163))) &gt; 0,$B163 &amp; " (" &amp; $E163 &amp; ")",IF(SUMPRODUCT(-- ISNUMBER(SEARCH({"Content","Currency","Number","Percent","Text","URL"}, $B163))) &gt; 0,$B163 &amp; "(" &amp; $C163 &amp; ")",$B163)))), "  ", TRIM(IF($S163 = "YES", "(External ID)", "") &amp; " " &amp; IF(SUMPRODUCT(-- ISNUMBER(SEARCH({"Unique","Unique Case Insensitive"}, $R163))) &gt; 0, "(" &amp; $R163 &amp; ")", ""))))</f>
        <v>na</v>
      </c>
      <c r="E163" s="7" t="s">
        <v>195</v>
      </c>
      <c r="F163" s="7" t="s">
        <v>195</v>
      </c>
      <c r="G163" s="7" t="s">
        <v>195</v>
      </c>
      <c r="H163" s="7" t="s">
        <v>195</v>
      </c>
      <c r="I163" s="7" t="s">
        <v>195</v>
      </c>
      <c r="J163" s="7" t="s">
        <v>195</v>
      </c>
      <c r="K163" s="7" t="s">
        <v>195</v>
      </c>
      <c r="L163" s="7" t="s">
        <v>195</v>
      </c>
      <c r="M163" s="7" t="s">
        <v>29</v>
      </c>
      <c r="N163" s="7" t="s">
        <v>29</v>
      </c>
      <c r="O163" s="7" t="s">
        <v>29</v>
      </c>
      <c r="P163" s="7" t="s">
        <v>29</v>
      </c>
      <c r="Q163" s="7" t="s">
        <v>29</v>
      </c>
      <c r="R163" s="7" t="s">
        <v>29</v>
      </c>
      <c r="S163" s="7" t="s">
        <v>29</v>
      </c>
    </row>
    <row r="164" spans="2:19">
      <c r="B164" s="7" t="s">
        <v>195</v>
      </c>
      <c r="C164" s="8" t="s">
        <v>195</v>
      </c>
      <c r="D164" s="6" t="str">
        <f>LRTRIM(CONCATENATE(IF(SUMPRODUCT(-- ISNUMBER(SEARCH({"Auto Number"}, $B164))) &gt; 0, $B164, IF(SUMPRODUCT(-- ISNUMBER(SEARCH({"Lookup","Master-Detail"}, $B164))) &gt; 0,$B164 &amp; "(" &amp; $E164 &amp; ")",IF(SUMPRODUCT(-- ISNUMBER(SEARCH({"Formula","Roll-Up Summary"}, $B164))) &gt; 0,$B164 &amp; " (" &amp; $E164 &amp; ")",IF(SUMPRODUCT(-- ISNUMBER(SEARCH({"Content","Currency","Number","Percent","Text","URL"}, $B164))) &gt; 0,$B164 &amp; "(" &amp; $C164 &amp; ")",$B164)))), "  ", TRIM(IF($S164 = "YES", "(External ID)", "") &amp; " " &amp; IF(SUMPRODUCT(-- ISNUMBER(SEARCH({"Unique","Unique Case Insensitive"}, $R164))) &gt; 0, "(" &amp; $R164 &amp; ")", ""))))</f>
        <v>na</v>
      </c>
      <c r="E164" s="7" t="s">
        <v>195</v>
      </c>
      <c r="F164" s="7" t="s">
        <v>195</v>
      </c>
      <c r="G164" s="7" t="s">
        <v>195</v>
      </c>
      <c r="H164" s="7" t="s">
        <v>195</v>
      </c>
      <c r="I164" s="7" t="s">
        <v>195</v>
      </c>
      <c r="J164" s="7" t="s">
        <v>195</v>
      </c>
      <c r="K164" s="7" t="s">
        <v>195</v>
      </c>
      <c r="L164" s="7" t="s">
        <v>195</v>
      </c>
      <c r="M164" s="7" t="s">
        <v>29</v>
      </c>
      <c r="N164" s="7" t="s">
        <v>29</v>
      </c>
      <c r="O164" s="7" t="s">
        <v>29</v>
      </c>
      <c r="P164" s="7" t="s">
        <v>29</v>
      </c>
      <c r="Q164" s="7" t="s">
        <v>29</v>
      </c>
      <c r="R164" s="7" t="s">
        <v>29</v>
      </c>
      <c r="S164" s="7" t="s">
        <v>29</v>
      </c>
    </row>
    <row r="165" spans="2:19">
      <c r="B165" s="7" t="s">
        <v>195</v>
      </c>
      <c r="C165" s="8" t="s">
        <v>195</v>
      </c>
      <c r="D165" s="6" t="str">
        <f>LRTRIM(CONCATENATE(IF(SUMPRODUCT(-- ISNUMBER(SEARCH({"Auto Number"}, $B165))) &gt; 0, $B165, IF(SUMPRODUCT(-- ISNUMBER(SEARCH({"Lookup","Master-Detail"}, $B165))) &gt; 0,$B165 &amp; "(" &amp; $E165 &amp; ")",IF(SUMPRODUCT(-- ISNUMBER(SEARCH({"Formula","Roll-Up Summary"}, $B165))) &gt; 0,$B165 &amp; " (" &amp; $E165 &amp; ")",IF(SUMPRODUCT(-- ISNUMBER(SEARCH({"Content","Currency","Number","Percent","Text","URL"}, $B165))) &gt; 0,$B165 &amp; "(" &amp; $C165 &amp; ")",$B165)))), "  ", TRIM(IF($S165 = "YES", "(External ID)", "") &amp; " " &amp; IF(SUMPRODUCT(-- ISNUMBER(SEARCH({"Unique","Unique Case Insensitive"}, $R165))) &gt; 0, "(" &amp; $R165 &amp; ")", ""))))</f>
        <v>na</v>
      </c>
      <c r="E165" s="7" t="s">
        <v>195</v>
      </c>
      <c r="F165" s="7" t="s">
        <v>195</v>
      </c>
      <c r="G165" s="7" t="s">
        <v>195</v>
      </c>
      <c r="H165" s="7" t="s">
        <v>195</v>
      </c>
      <c r="I165" s="7" t="s">
        <v>195</v>
      </c>
      <c r="J165" s="7" t="s">
        <v>195</v>
      </c>
      <c r="K165" s="7" t="s">
        <v>195</v>
      </c>
      <c r="L165" s="7" t="s">
        <v>195</v>
      </c>
      <c r="M165" s="7" t="s">
        <v>29</v>
      </c>
      <c r="N165" s="7" t="s">
        <v>29</v>
      </c>
      <c r="O165" s="7" t="s">
        <v>29</v>
      </c>
      <c r="P165" s="7" t="s">
        <v>29</v>
      </c>
      <c r="Q165" s="7" t="s">
        <v>29</v>
      </c>
      <c r="R165" s="7" t="s">
        <v>29</v>
      </c>
      <c r="S165" s="7" t="s">
        <v>29</v>
      </c>
    </row>
    <row r="166" spans="2:19">
      <c r="B166" s="7" t="s">
        <v>195</v>
      </c>
      <c r="C166" s="8" t="s">
        <v>195</v>
      </c>
      <c r="D166" s="6" t="str">
        <f>LRTRIM(CONCATENATE(IF(SUMPRODUCT(-- ISNUMBER(SEARCH({"Auto Number"}, $B166))) &gt; 0, $B166, IF(SUMPRODUCT(-- ISNUMBER(SEARCH({"Lookup","Master-Detail"}, $B166))) &gt; 0,$B166 &amp; "(" &amp; $E166 &amp; ")",IF(SUMPRODUCT(-- ISNUMBER(SEARCH({"Formula","Roll-Up Summary"}, $B166))) &gt; 0,$B166 &amp; " (" &amp; $E166 &amp; ")",IF(SUMPRODUCT(-- ISNUMBER(SEARCH({"Content","Currency","Number","Percent","Text","URL"}, $B166))) &gt; 0,$B166 &amp; "(" &amp; $C166 &amp; ")",$B166)))), "  ", TRIM(IF($S166 = "YES", "(External ID)", "") &amp; " " &amp; IF(SUMPRODUCT(-- ISNUMBER(SEARCH({"Unique","Unique Case Insensitive"}, $R166))) &gt; 0, "(" &amp; $R166 &amp; ")", ""))))</f>
        <v>na</v>
      </c>
      <c r="E166" s="7" t="s">
        <v>195</v>
      </c>
      <c r="F166" s="7" t="s">
        <v>195</v>
      </c>
      <c r="G166" s="7" t="s">
        <v>195</v>
      </c>
      <c r="H166" s="7" t="s">
        <v>195</v>
      </c>
      <c r="I166" s="7" t="s">
        <v>195</v>
      </c>
      <c r="J166" s="7" t="s">
        <v>195</v>
      </c>
      <c r="K166" s="7" t="s">
        <v>195</v>
      </c>
      <c r="L166" s="7" t="s">
        <v>195</v>
      </c>
      <c r="M166" s="7" t="s">
        <v>29</v>
      </c>
      <c r="N166" s="7" t="s">
        <v>29</v>
      </c>
      <c r="O166" s="7" t="s">
        <v>29</v>
      </c>
      <c r="P166" s="7" t="s">
        <v>29</v>
      </c>
      <c r="Q166" s="7" t="s">
        <v>29</v>
      </c>
      <c r="R166" s="7" t="s">
        <v>29</v>
      </c>
      <c r="S166" s="7" t="s">
        <v>29</v>
      </c>
    </row>
    <row r="167" spans="2:19">
      <c r="B167" s="7" t="s">
        <v>195</v>
      </c>
      <c r="C167" s="8" t="s">
        <v>195</v>
      </c>
      <c r="D167" s="6" t="str">
        <f>LRTRIM(CONCATENATE(IF(SUMPRODUCT(-- ISNUMBER(SEARCH({"Auto Number"}, $B167))) &gt; 0, $B167, IF(SUMPRODUCT(-- ISNUMBER(SEARCH({"Lookup","Master-Detail"}, $B167))) &gt; 0,$B167 &amp; "(" &amp; $E167 &amp; ")",IF(SUMPRODUCT(-- ISNUMBER(SEARCH({"Formula","Roll-Up Summary"}, $B167))) &gt; 0,$B167 &amp; " (" &amp; $E167 &amp; ")",IF(SUMPRODUCT(-- ISNUMBER(SEARCH({"Content","Currency","Number","Percent","Text","URL"}, $B167))) &gt; 0,$B167 &amp; "(" &amp; $C167 &amp; ")",$B167)))), "  ", TRIM(IF($S167 = "YES", "(External ID)", "") &amp; " " &amp; IF(SUMPRODUCT(-- ISNUMBER(SEARCH({"Unique","Unique Case Insensitive"}, $R167))) &gt; 0, "(" &amp; $R167 &amp; ")", ""))))</f>
        <v>na</v>
      </c>
      <c r="E167" s="7" t="s">
        <v>195</v>
      </c>
      <c r="F167" s="7" t="s">
        <v>195</v>
      </c>
      <c r="G167" s="7" t="s">
        <v>195</v>
      </c>
      <c r="H167" s="7" t="s">
        <v>195</v>
      </c>
      <c r="I167" s="7" t="s">
        <v>195</v>
      </c>
      <c r="J167" s="7" t="s">
        <v>195</v>
      </c>
      <c r="K167" s="7" t="s">
        <v>195</v>
      </c>
      <c r="L167" s="7" t="s">
        <v>195</v>
      </c>
      <c r="M167" s="7" t="s">
        <v>29</v>
      </c>
      <c r="N167" s="7" t="s">
        <v>29</v>
      </c>
      <c r="O167" s="7" t="s">
        <v>29</v>
      </c>
      <c r="P167" s="7" t="s">
        <v>29</v>
      </c>
      <c r="Q167" s="7" t="s">
        <v>29</v>
      </c>
      <c r="R167" s="7" t="s">
        <v>29</v>
      </c>
      <c r="S167" s="7" t="s">
        <v>29</v>
      </c>
    </row>
    <row r="168" spans="2:19">
      <c r="B168" s="7" t="s">
        <v>195</v>
      </c>
      <c r="C168" s="8" t="s">
        <v>195</v>
      </c>
      <c r="D168" s="6" t="str">
        <f>LRTRIM(CONCATENATE(IF(SUMPRODUCT(-- ISNUMBER(SEARCH({"Auto Number"}, $B168))) &gt; 0, $B168, IF(SUMPRODUCT(-- ISNUMBER(SEARCH({"Lookup","Master-Detail"}, $B168))) &gt; 0,$B168 &amp; "(" &amp; $E168 &amp; ")",IF(SUMPRODUCT(-- ISNUMBER(SEARCH({"Formula","Roll-Up Summary"}, $B168))) &gt; 0,$B168 &amp; " (" &amp; $E168 &amp; ")",IF(SUMPRODUCT(-- ISNUMBER(SEARCH({"Content","Currency","Number","Percent","Text","URL"}, $B168))) &gt; 0,$B168 &amp; "(" &amp; $C168 &amp; ")",$B168)))), "  ", TRIM(IF($S168 = "YES", "(External ID)", "") &amp; " " &amp; IF(SUMPRODUCT(-- ISNUMBER(SEARCH({"Unique","Unique Case Insensitive"}, $R168))) &gt; 0, "(" &amp; $R168 &amp; ")", ""))))</f>
        <v>na</v>
      </c>
      <c r="E168" s="7" t="s">
        <v>195</v>
      </c>
      <c r="F168" s="7" t="s">
        <v>195</v>
      </c>
      <c r="G168" s="7" t="s">
        <v>195</v>
      </c>
      <c r="H168" s="7" t="s">
        <v>195</v>
      </c>
      <c r="I168" s="7" t="s">
        <v>195</v>
      </c>
      <c r="J168" s="7" t="s">
        <v>195</v>
      </c>
      <c r="K168" s="7" t="s">
        <v>195</v>
      </c>
      <c r="L168" s="7" t="s">
        <v>195</v>
      </c>
      <c r="M168" s="7" t="s">
        <v>29</v>
      </c>
      <c r="N168" s="7" t="s">
        <v>29</v>
      </c>
      <c r="O168" s="7" t="s">
        <v>29</v>
      </c>
      <c r="P168" s="7" t="s">
        <v>29</v>
      </c>
      <c r="Q168" s="7" t="s">
        <v>29</v>
      </c>
      <c r="R168" s="7" t="s">
        <v>29</v>
      </c>
      <c r="S168" s="7" t="s">
        <v>29</v>
      </c>
    </row>
    <row r="169" spans="2:19">
      <c r="B169" s="7" t="s">
        <v>195</v>
      </c>
      <c r="C169" s="8" t="s">
        <v>195</v>
      </c>
      <c r="D169" s="6" t="str">
        <f>LRTRIM(CONCATENATE(IF(SUMPRODUCT(-- ISNUMBER(SEARCH({"Auto Number"}, $B169))) &gt; 0, $B169, IF(SUMPRODUCT(-- ISNUMBER(SEARCH({"Lookup","Master-Detail"}, $B169))) &gt; 0,$B169 &amp; "(" &amp; $E169 &amp; ")",IF(SUMPRODUCT(-- ISNUMBER(SEARCH({"Formula","Roll-Up Summary"}, $B169))) &gt; 0,$B169 &amp; " (" &amp; $E169 &amp; ")",IF(SUMPRODUCT(-- ISNUMBER(SEARCH({"Content","Currency","Number","Percent","Text","URL"}, $B169))) &gt; 0,$B169 &amp; "(" &amp; $C169 &amp; ")",$B169)))), "  ", TRIM(IF($S169 = "YES", "(External ID)", "") &amp; " " &amp; IF(SUMPRODUCT(-- ISNUMBER(SEARCH({"Unique","Unique Case Insensitive"}, $R169))) &gt; 0, "(" &amp; $R169 &amp; ")", ""))))</f>
        <v>na</v>
      </c>
      <c r="E169" s="7" t="s">
        <v>195</v>
      </c>
      <c r="F169" s="7" t="s">
        <v>195</v>
      </c>
      <c r="G169" s="7" t="s">
        <v>195</v>
      </c>
      <c r="H169" s="7" t="s">
        <v>195</v>
      </c>
      <c r="I169" s="7" t="s">
        <v>195</v>
      </c>
      <c r="J169" s="7" t="s">
        <v>195</v>
      </c>
      <c r="K169" s="7" t="s">
        <v>195</v>
      </c>
      <c r="L169" s="7" t="s">
        <v>195</v>
      </c>
      <c r="M169" s="7" t="s">
        <v>29</v>
      </c>
      <c r="N169" s="7" t="s">
        <v>29</v>
      </c>
      <c r="O169" s="7" t="s">
        <v>29</v>
      </c>
      <c r="P169" s="7" t="s">
        <v>29</v>
      </c>
      <c r="Q169" s="7" t="s">
        <v>29</v>
      </c>
      <c r="R169" s="7" t="s">
        <v>29</v>
      </c>
      <c r="S169" s="7" t="s">
        <v>29</v>
      </c>
    </row>
    <row r="170" spans="2:19">
      <c r="B170" s="7" t="s">
        <v>195</v>
      </c>
      <c r="C170" s="8" t="s">
        <v>195</v>
      </c>
      <c r="D170" s="6" t="str">
        <f>LRTRIM(CONCATENATE(IF(SUMPRODUCT(-- ISNUMBER(SEARCH({"Auto Number"}, $B170))) &gt; 0, $B170, IF(SUMPRODUCT(-- ISNUMBER(SEARCH({"Lookup","Master-Detail"}, $B170))) &gt; 0,$B170 &amp; "(" &amp; $E170 &amp; ")",IF(SUMPRODUCT(-- ISNUMBER(SEARCH({"Formula","Roll-Up Summary"}, $B170))) &gt; 0,$B170 &amp; " (" &amp; $E170 &amp; ")",IF(SUMPRODUCT(-- ISNUMBER(SEARCH({"Content","Currency","Number","Percent","Text","URL"}, $B170))) &gt; 0,$B170 &amp; "(" &amp; $C170 &amp; ")",$B170)))), "  ", TRIM(IF($S170 = "YES", "(External ID)", "") &amp; " " &amp; IF(SUMPRODUCT(-- ISNUMBER(SEARCH({"Unique","Unique Case Insensitive"}, $R170))) &gt; 0, "(" &amp; $R170 &amp; ")", ""))))</f>
        <v>na</v>
      </c>
      <c r="E170" s="7" t="s">
        <v>195</v>
      </c>
      <c r="F170" s="7" t="s">
        <v>195</v>
      </c>
      <c r="G170" s="7" t="s">
        <v>195</v>
      </c>
      <c r="H170" s="7" t="s">
        <v>195</v>
      </c>
      <c r="I170" s="7" t="s">
        <v>195</v>
      </c>
      <c r="J170" s="7" t="s">
        <v>195</v>
      </c>
      <c r="K170" s="7" t="s">
        <v>195</v>
      </c>
      <c r="L170" s="7" t="s">
        <v>195</v>
      </c>
      <c r="M170" s="7" t="s">
        <v>29</v>
      </c>
      <c r="N170" s="7" t="s">
        <v>29</v>
      </c>
      <c r="O170" s="7" t="s">
        <v>29</v>
      </c>
      <c r="P170" s="7" t="s">
        <v>29</v>
      </c>
      <c r="Q170" s="7" t="s">
        <v>29</v>
      </c>
      <c r="R170" s="7" t="s">
        <v>29</v>
      </c>
      <c r="S170" s="7" t="s">
        <v>29</v>
      </c>
    </row>
    <row r="171" spans="2:19">
      <c r="B171" s="7" t="s">
        <v>195</v>
      </c>
      <c r="C171" s="8" t="s">
        <v>195</v>
      </c>
      <c r="D171" s="6" t="str">
        <f>LRTRIM(CONCATENATE(IF(SUMPRODUCT(-- ISNUMBER(SEARCH({"Auto Number"}, $B171))) &gt; 0, $B171, IF(SUMPRODUCT(-- ISNUMBER(SEARCH({"Lookup","Master-Detail"}, $B171))) &gt; 0,$B171 &amp; "(" &amp; $E171 &amp; ")",IF(SUMPRODUCT(-- ISNUMBER(SEARCH({"Formula","Roll-Up Summary"}, $B171))) &gt; 0,$B171 &amp; " (" &amp; $E171 &amp; ")",IF(SUMPRODUCT(-- ISNUMBER(SEARCH({"Content","Currency","Number","Percent","Text","URL"}, $B171))) &gt; 0,$B171 &amp; "(" &amp; $C171 &amp; ")",$B171)))), "  ", TRIM(IF($S171 = "YES", "(External ID)", "") &amp; " " &amp; IF(SUMPRODUCT(-- ISNUMBER(SEARCH({"Unique","Unique Case Insensitive"}, $R171))) &gt; 0, "(" &amp; $R171 &amp; ")", ""))))</f>
        <v>na</v>
      </c>
      <c r="E171" s="7" t="s">
        <v>195</v>
      </c>
      <c r="F171" s="7" t="s">
        <v>195</v>
      </c>
      <c r="G171" s="7" t="s">
        <v>195</v>
      </c>
      <c r="H171" s="7" t="s">
        <v>195</v>
      </c>
      <c r="I171" s="7" t="s">
        <v>195</v>
      </c>
      <c r="J171" s="7" t="s">
        <v>195</v>
      </c>
      <c r="K171" s="7" t="s">
        <v>195</v>
      </c>
      <c r="L171" s="7" t="s">
        <v>195</v>
      </c>
      <c r="M171" s="7" t="s">
        <v>29</v>
      </c>
      <c r="N171" s="7" t="s">
        <v>29</v>
      </c>
      <c r="O171" s="7" t="s">
        <v>29</v>
      </c>
      <c r="P171" s="7" t="s">
        <v>29</v>
      </c>
      <c r="Q171" s="7" t="s">
        <v>29</v>
      </c>
      <c r="R171" s="7" t="s">
        <v>29</v>
      </c>
      <c r="S171" s="7" t="s">
        <v>29</v>
      </c>
    </row>
    <row r="172" spans="2:19">
      <c r="B172" s="7" t="s">
        <v>195</v>
      </c>
      <c r="C172" s="8" t="s">
        <v>195</v>
      </c>
      <c r="D172" s="6" t="str">
        <f>LRTRIM(CONCATENATE(IF(SUMPRODUCT(-- ISNUMBER(SEARCH({"Auto Number"}, $B172))) &gt; 0, $B172, IF(SUMPRODUCT(-- ISNUMBER(SEARCH({"Lookup","Master-Detail"}, $B172))) &gt; 0,$B172 &amp; "(" &amp; $E172 &amp; ")",IF(SUMPRODUCT(-- ISNUMBER(SEARCH({"Formula","Roll-Up Summary"}, $B172))) &gt; 0,$B172 &amp; " (" &amp; $E172 &amp; ")",IF(SUMPRODUCT(-- ISNUMBER(SEARCH({"Content","Currency","Number","Percent","Text","URL"}, $B172))) &gt; 0,$B172 &amp; "(" &amp; $C172 &amp; ")",$B172)))), "  ", TRIM(IF($S172 = "YES", "(External ID)", "") &amp; " " &amp; IF(SUMPRODUCT(-- ISNUMBER(SEARCH({"Unique","Unique Case Insensitive"}, $R172))) &gt; 0, "(" &amp; $R172 &amp; ")", ""))))</f>
        <v>na</v>
      </c>
      <c r="E172" s="7" t="s">
        <v>195</v>
      </c>
      <c r="F172" s="7" t="s">
        <v>195</v>
      </c>
      <c r="G172" s="7" t="s">
        <v>195</v>
      </c>
      <c r="H172" s="7" t="s">
        <v>195</v>
      </c>
      <c r="I172" s="7" t="s">
        <v>195</v>
      </c>
      <c r="J172" s="7" t="s">
        <v>195</v>
      </c>
      <c r="K172" s="7" t="s">
        <v>195</v>
      </c>
      <c r="L172" s="7" t="s">
        <v>195</v>
      </c>
      <c r="M172" s="7" t="s">
        <v>29</v>
      </c>
      <c r="N172" s="7" t="s">
        <v>29</v>
      </c>
      <c r="O172" s="7" t="s">
        <v>29</v>
      </c>
      <c r="P172" s="7" t="s">
        <v>29</v>
      </c>
      <c r="Q172" s="7" t="s">
        <v>29</v>
      </c>
      <c r="R172" s="7" t="s">
        <v>29</v>
      </c>
      <c r="S172" s="7" t="s">
        <v>29</v>
      </c>
    </row>
    <row r="173" spans="2:19">
      <c r="B173" s="7" t="s">
        <v>195</v>
      </c>
      <c r="C173" s="8" t="s">
        <v>195</v>
      </c>
      <c r="D173" s="6" t="str">
        <f>LRTRIM(CONCATENATE(IF(SUMPRODUCT(-- ISNUMBER(SEARCH({"Auto Number"}, $B173))) &gt; 0, $B173, IF(SUMPRODUCT(-- ISNUMBER(SEARCH({"Lookup","Master-Detail"}, $B173))) &gt; 0,$B173 &amp; "(" &amp; $E173 &amp; ")",IF(SUMPRODUCT(-- ISNUMBER(SEARCH({"Formula","Roll-Up Summary"}, $B173))) &gt; 0,$B173 &amp; " (" &amp; $E173 &amp; ")",IF(SUMPRODUCT(-- ISNUMBER(SEARCH({"Content","Currency","Number","Percent","Text","URL"}, $B173))) &gt; 0,$B173 &amp; "(" &amp; $C173 &amp; ")",$B173)))), "  ", TRIM(IF($S173 = "YES", "(External ID)", "") &amp; " " &amp; IF(SUMPRODUCT(-- ISNUMBER(SEARCH({"Unique","Unique Case Insensitive"}, $R173))) &gt; 0, "(" &amp; $R173 &amp; ")", ""))))</f>
        <v>na</v>
      </c>
      <c r="E173" s="7" t="s">
        <v>195</v>
      </c>
      <c r="F173" s="7" t="s">
        <v>195</v>
      </c>
      <c r="G173" s="7" t="s">
        <v>195</v>
      </c>
      <c r="H173" s="7" t="s">
        <v>195</v>
      </c>
      <c r="I173" s="7" t="s">
        <v>195</v>
      </c>
      <c r="J173" s="7" t="s">
        <v>195</v>
      </c>
      <c r="K173" s="7" t="s">
        <v>195</v>
      </c>
      <c r="L173" s="7" t="s">
        <v>195</v>
      </c>
      <c r="M173" s="7" t="s">
        <v>29</v>
      </c>
      <c r="N173" s="7" t="s">
        <v>29</v>
      </c>
      <c r="O173" s="7" t="s">
        <v>29</v>
      </c>
      <c r="P173" s="7" t="s">
        <v>29</v>
      </c>
      <c r="Q173" s="7" t="s">
        <v>29</v>
      </c>
      <c r="R173" s="7" t="s">
        <v>29</v>
      </c>
      <c r="S173" s="7" t="s">
        <v>29</v>
      </c>
    </row>
    <row r="174" spans="2:19">
      <c r="B174" s="7" t="s">
        <v>195</v>
      </c>
      <c r="C174" s="8" t="s">
        <v>195</v>
      </c>
      <c r="D174" s="6" t="str">
        <f>LRTRIM(CONCATENATE(IF(SUMPRODUCT(-- ISNUMBER(SEARCH({"Auto Number"}, $B174))) &gt; 0, $B174, IF(SUMPRODUCT(-- ISNUMBER(SEARCH({"Lookup","Master-Detail"}, $B174))) &gt; 0,$B174 &amp; "(" &amp; $E174 &amp; ")",IF(SUMPRODUCT(-- ISNUMBER(SEARCH({"Formula","Roll-Up Summary"}, $B174))) &gt; 0,$B174 &amp; " (" &amp; $E174 &amp; ")",IF(SUMPRODUCT(-- ISNUMBER(SEARCH({"Content","Currency","Number","Percent","Text","URL"}, $B174))) &gt; 0,$B174 &amp; "(" &amp; $C174 &amp; ")",$B174)))), "  ", TRIM(IF($S174 = "YES", "(External ID)", "") &amp; " " &amp; IF(SUMPRODUCT(-- ISNUMBER(SEARCH({"Unique","Unique Case Insensitive"}, $R174))) &gt; 0, "(" &amp; $R174 &amp; ")", ""))))</f>
        <v>na</v>
      </c>
      <c r="E174" s="7" t="s">
        <v>195</v>
      </c>
      <c r="F174" s="7" t="s">
        <v>195</v>
      </c>
      <c r="G174" s="7" t="s">
        <v>195</v>
      </c>
      <c r="H174" s="7" t="s">
        <v>195</v>
      </c>
      <c r="I174" s="7" t="s">
        <v>195</v>
      </c>
      <c r="J174" s="7" t="s">
        <v>195</v>
      </c>
      <c r="K174" s="7" t="s">
        <v>195</v>
      </c>
      <c r="L174" s="7" t="s">
        <v>195</v>
      </c>
      <c r="M174" s="7" t="s">
        <v>29</v>
      </c>
      <c r="N174" s="7" t="s">
        <v>29</v>
      </c>
      <c r="O174" s="7" t="s">
        <v>29</v>
      </c>
      <c r="P174" s="7" t="s">
        <v>29</v>
      </c>
      <c r="Q174" s="7" t="s">
        <v>29</v>
      </c>
      <c r="R174" s="7" t="s">
        <v>29</v>
      </c>
      <c r="S174" s="7" t="s">
        <v>29</v>
      </c>
    </row>
    <row r="175" spans="2:19">
      <c r="B175" s="7" t="s">
        <v>195</v>
      </c>
      <c r="C175" s="8" t="s">
        <v>195</v>
      </c>
      <c r="D175" s="6" t="str">
        <f>LRTRIM(CONCATENATE(IF(SUMPRODUCT(-- ISNUMBER(SEARCH({"Auto Number"}, $B175))) &gt; 0, $B175, IF(SUMPRODUCT(-- ISNUMBER(SEARCH({"Lookup","Master-Detail"}, $B175))) &gt; 0,$B175 &amp; "(" &amp; $E175 &amp; ")",IF(SUMPRODUCT(-- ISNUMBER(SEARCH({"Formula","Roll-Up Summary"}, $B175))) &gt; 0,$B175 &amp; " (" &amp; $E175 &amp; ")",IF(SUMPRODUCT(-- ISNUMBER(SEARCH({"Content","Currency","Number","Percent","Text","URL"}, $B175))) &gt; 0,$B175 &amp; "(" &amp; $C175 &amp; ")",$B175)))), "  ", TRIM(IF($S175 = "YES", "(External ID)", "") &amp; " " &amp; IF(SUMPRODUCT(-- ISNUMBER(SEARCH({"Unique","Unique Case Insensitive"}, $R175))) &gt; 0, "(" &amp; $R175 &amp; ")", ""))))</f>
        <v>na</v>
      </c>
      <c r="E175" s="7" t="s">
        <v>195</v>
      </c>
      <c r="F175" s="7" t="s">
        <v>195</v>
      </c>
      <c r="G175" s="7" t="s">
        <v>195</v>
      </c>
      <c r="H175" s="7" t="s">
        <v>195</v>
      </c>
      <c r="I175" s="7" t="s">
        <v>195</v>
      </c>
      <c r="J175" s="7" t="s">
        <v>195</v>
      </c>
      <c r="K175" s="7" t="s">
        <v>195</v>
      </c>
      <c r="L175" s="7" t="s">
        <v>195</v>
      </c>
      <c r="M175" s="7" t="s">
        <v>29</v>
      </c>
      <c r="N175" s="7" t="s">
        <v>29</v>
      </c>
      <c r="O175" s="7" t="s">
        <v>29</v>
      </c>
      <c r="P175" s="7" t="s">
        <v>29</v>
      </c>
      <c r="Q175" s="7" t="s">
        <v>29</v>
      </c>
      <c r="R175" s="7" t="s">
        <v>29</v>
      </c>
      <c r="S175" s="7" t="s">
        <v>29</v>
      </c>
    </row>
    <row r="176" spans="2:19">
      <c r="B176" s="7" t="s">
        <v>195</v>
      </c>
      <c r="C176" s="8" t="s">
        <v>195</v>
      </c>
      <c r="D176" s="6" t="str">
        <f>LRTRIM(CONCATENATE(IF(SUMPRODUCT(-- ISNUMBER(SEARCH({"Auto Number"}, $B176))) &gt; 0, $B176, IF(SUMPRODUCT(-- ISNUMBER(SEARCH({"Lookup","Master-Detail"}, $B176))) &gt; 0,$B176 &amp; "(" &amp; $E176 &amp; ")",IF(SUMPRODUCT(-- ISNUMBER(SEARCH({"Formula","Roll-Up Summary"}, $B176))) &gt; 0,$B176 &amp; " (" &amp; $E176 &amp; ")",IF(SUMPRODUCT(-- ISNUMBER(SEARCH({"Content","Currency","Number","Percent","Text","URL"}, $B176))) &gt; 0,$B176 &amp; "(" &amp; $C176 &amp; ")",$B176)))), "  ", TRIM(IF($S176 = "YES", "(External ID)", "") &amp; " " &amp; IF(SUMPRODUCT(-- ISNUMBER(SEARCH({"Unique","Unique Case Insensitive"}, $R176))) &gt; 0, "(" &amp; $R176 &amp; ")", ""))))</f>
        <v>na</v>
      </c>
      <c r="E176" s="7" t="s">
        <v>195</v>
      </c>
      <c r="F176" s="7" t="s">
        <v>195</v>
      </c>
      <c r="G176" s="7" t="s">
        <v>195</v>
      </c>
      <c r="H176" s="7" t="s">
        <v>195</v>
      </c>
      <c r="I176" s="7" t="s">
        <v>195</v>
      </c>
      <c r="J176" s="7" t="s">
        <v>195</v>
      </c>
      <c r="K176" s="7" t="s">
        <v>195</v>
      </c>
      <c r="L176" s="7" t="s">
        <v>195</v>
      </c>
      <c r="M176" s="7" t="s">
        <v>29</v>
      </c>
      <c r="N176" s="7" t="s">
        <v>29</v>
      </c>
      <c r="O176" s="7" t="s">
        <v>29</v>
      </c>
      <c r="P176" s="7" t="s">
        <v>29</v>
      </c>
      <c r="Q176" s="7" t="s">
        <v>29</v>
      </c>
      <c r="R176" s="7" t="s">
        <v>29</v>
      </c>
      <c r="S176" s="7" t="s">
        <v>29</v>
      </c>
    </row>
    <row r="177" spans="2:19">
      <c r="B177" s="7" t="s">
        <v>195</v>
      </c>
      <c r="C177" s="8" t="s">
        <v>195</v>
      </c>
      <c r="D177" s="6" t="str">
        <f>LRTRIM(CONCATENATE(IF(SUMPRODUCT(-- ISNUMBER(SEARCH({"Auto Number"}, $B177))) &gt; 0, $B177, IF(SUMPRODUCT(-- ISNUMBER(SEARCH({"Lookup","Master-Detail"}, $B177))) &gt; 0,$B177 &amp; "(" &amp; $E177 &amp; ")",IF(SUMPRODUCT(-- ISNUMBER(SEARCH({"Formula","Roll-Up Summary"}, $B177))) &gt; 0,$B177 &amp; " (" &amp; $E177 &amp; ")",IF(SUMPRODUCT(-- ISNUMBER(SEARCH({"Content","Currency","Number","Percent","Text","URL"}, $B177))) &gt; 0,$B177 &amp; "(" &amp; $C177 &amp; ")",$B177)))), "  ", TRIM(IF($S177 = "YES", "(External ID)", "") &amp; " " &amp; IF(SUMPRODUCT(-- ISNUMBER(SEARCH({"Unique","Unique Case Insensitive"}, $R177))) &gt; 0, "(" &amp; $R177 &amp; ")", ""))))</f>
        <v>na</v>
      </c>
      <c r="E177" s="7" t="s">
        <v>195</v>
      </c>
      <c r="F177" s="7" t="s">
        <v>195</v>
      </c>
      <c r="G177" s="7" t="s">
        <v>195</v>
      </c>
      <c r="H177" s="7" t="s">
        <v>195</v>
      </c>
      <c r="I177" s="7" t="s">
        <v>195</v>
      </c>
      <c r="J177" s="7" t="s">
        <v>195</v>
      </c>
      <c r="K177" s="7" t="s">
        <v>195</v>
      </c>
      <c r="L177" s="7" t="s">
        <v>195</v>
      </c>
      <c r="M177" s="7" t="s">
        <v>29</v>
      </c>
      <c r="N177" s="7" t="s">
        <v>29</v>
      </c>
      <c r="O177" s="7" t="s">
        <v>29</v>
      </c>
      <c r="P177" s="7" t="s">
        <v>29</v>
      </c>
      <c r="Q177" s="7" t="s">
        <v>29</v>
      </c>
      <c r="R177" s="7" t="s">
        <v>29</v>
      </c>
      <c r="S177" s="7" t="s">
        <v>29</v>
      </c>
    </row>
    <row r="178" spans="2:19">
      <c r="B178" s="7" t="s">
        <v>195</v>
      </c>
      <c r="C178" s="8" t="s">
        <v>195</v>
      </c>
      <c r="D178" s="6" t="str">
        <f>LRTRIM(CONCATENATE(IF(SUMPRODUCT(-- ISNUMBER(SEARCH({"Auto Number"}, $B178))) &gt; 0, $B178, IF(SUMPRODUCT(-- ISNUMBER(SEARCH({"Lookup","Master-Detail"}, $B178))) &gt; 0,$B178 &amp; "(" &amp; $E178 &amp; ")",IF(SUMPRODUCT(-- ISNUMBER(SEARCH({"Formula","Roll-Up Summary"}, $B178))) &gt; 0,$B178 &amp; " (" &amp; $E178 &amp; ")",IF(SUMPRODUCT(-- ISNUMBER(SEARCH({"Content","Currency","Number","Percent","Text","URL"}, $B178))) &gt; 0,$B178 &amp; "(" &amp; $C178 &amp; ")",$B178)))), "  ", TRIM(IF($S178 = "YES", "(External ID)", "") &amp; " " &amp; IF(SUMPRODUCT(-- ISNUMBER(SEARCH({"Unique","Unique Case Insensitive"}, $R178))) &gt; 0, "(" &amp; $R178 &amp; ")", ""))))</f>
        <v>na</v>
      </c>
      <c r="E178" s="7" t="s">
        <v>195</v>
      </c>
      <c r="F178" s="7" t="s">
        <v>195</v>
      </c>
      <c r="G178" s="7" t="s">
        <v>195</v>
      </c>
      <c r="H178" s="7" t="s">
        <v>195</v>
      </c>
      <c r="I178" s="7" t="s">
        <v>195</v>
      </c>
      <c r="J178" s="7" t="s">
        <v>195</v>
      </c>
      <c r="K178" s="7" t="s">
        <v>195</v>
      </c>
      <c r="L178" s="7" t="s">
        <v>195</v>
      </c>
      <c r="M178" s="7" t="s">
        <v>29</v>
      </c>
      <c r="N178" s="7" t="s">
        <v>29</v>
      </c>
      <c r="O178" s="7" t="s">
        <v>29</v>
      </c>
      <c r="P178" s="7" t="s">
        <v>29</v>
      </c>
      <c r="Q178" s="7" t="s">
        <v>29</v>
      </c>
      <c r="R178" s="7" t="s">
        <v>29</v>
      </c>
      <c r="S178" s="7" t="s">
        <v>29</v>
      </c>
    </row>
    <row r="179" spans="2:19">
      <c r="B179" s="7" t="s">
        <v>195</v>
      </c>
      <c r="C179" s="8" t="s">
        <v>195</v>
      </c>
      <c r="D179" s="6" t="str">
        <f>LRTRIM(CONCATENATE(IF(SUMPRODUCT(-- ISNUMBER(SEARCH({"Auto Number"}, $B179))) &gt; 0, $B179, IF(SUMPRODUCT(-- ISNUMBER(SEARCH({"Lookup","Master-Detail"}, $B179))) &gt; 0,$B179 &amp; "(" &amp; $E179 &amp; ")",IF(SUMPRODUCT(-- ISNUMBER(SEARCH({"Formula","Roll-Up Summary"}, $B179))) &gt; 0,$B179 &amp; " (" &amp; $E179 &amp; ")",IF(SUMPRODUCT(-- ISNUMBER(SEARCH({"Content","Currency","Number","Percent","Text","URL"}, $B179))) &gt; 0,$B179 &amp; "(" &amp; $C179 &amp; ")",$B179)))), "  ", TRIM(IF($S179 = "YES", "(External ID)", "") &amp; " " &amp; IF(SUMPRODUCT(-- ISNUMBER(SEARCH({"Unique","Unique Case Insensitive"}, $R179))) &gt; 0, "(" &amp; $R179 &amp; ")", ""))))</f>
        <v>na</v>
      </c>
      <c r="E179" s="7" t="s">
        <v>195</v>
      </c>
      <c r="F179" s="7" t="s">
        <v>195</v>
      </c>
      <c r="G179" s="7" t="s">
        <v>195</v>
      </c>
      <c r="H179" s="7" t="s">
        <v>195</v>
      </c>
      <c r="I179" s="7" t="s">
        <v>195</v>
      </c>
      <c r="J179" s="7" t="s">
        <v>195</v>
      </c>
      <c r="K179" s="7" t="s">
        <v>195</v>
      </c>
      <c r="L179" s="7" t="s">
        <v>195</v>
      </c>
      <c r="M179" s="7" t="s">
        <v>29</v>
      </c>
      <c r="N179" s="7" t="s">
        <v>29</v>
      </c>
      <c r="O179" s="7" t="s">
        <v>29</v>
      </c>
      <c r="P179" s="7" t="s">
        <v>29</v>
      </c>
      <c r="Q179" s="7" t="s">
        <v>29</v>
      </c>
      <c r="R179" s="7" t="s">
        <v>29</v>
      </c>
      <c r="S179" s="7" t="s">
        <v>29</v>
      </c>
    </row>
    <row r="180" spans="2:19">
      <c r="B180" s="7" t="s">
        <v>195</v>
      </c>
      <c r="C180" s="8" t="s">
        <v>195</v>
      </c>
      <c r="D180" s="6" t="str">
        <f>LRTRIM(CONCATENATE(IF(SUMPRODUCT(-- ISNUMBER(SEARCH({"Auto Number"}, $B180))) &gt; 0, $B180, IF(SUMPRODUCT(-- ISNUMBER(SEARCH({"Lookup","Master-Detail"}, $B180))) &gt; 0,$B180 &amp; "(" &amp; $E180 &amp; ")",IF(SUMPRODUCT(-- ISNUMBER(SEARCH({"Formula","Roll-Up Summary"}, $B180))) &gt; 0,$B180 &amp; " (" &amp; $E180 &amp; ")",IF(SUMPRODUCT(-- ISNUMBER(SEARCH({"Content","Currency","Number","Percent","Text","URL"}, $B180))) &gt; 0,$B180 &amp; "(" &amp; $C180 &amp; ")",$B180)))), "  ", TRIM(IF($S180 = "YES", "(External ID)", "") &amp; " " &amp; IF(SUMPRODUCT(-- ISNUMBER(SEARCH({"Unique","Unique Case Insensitive"}, $R180))) &gt; 0, "(" &amp; $R180 &amp; ")", ""))))</f>
        <v>na</v>
      </c>
      <c r="E180" s="7" t="s">
        <v>195</v>
      </c>
      <c r="F180" s="7" t="s">
        <v>195</v>
      </c>
      <c r="G180" s="7" t="s">
        <v>195</v>
      </c>
      <c r="H180" s="7" t="s">
        <v>195</v>
      </c>
      <c r="I180" s="7" t="s">
        <v>195</v>
      </c>
      <c r="J180" s="7" t="s">
        <v>195</v>
      </c>
      <c r="K180" s="7" t="s">
        <v>195</v>
      </c>
      <c r="L180" s="7" t="s">
        <v>195</v>
      </c>
      <c r="M180" s="7" t="s">
        <v>29</v>
      </c>
      <c r="N180" s="7" t="s">
        <v>29</v>
      </c>
      <c r="O180" s="7" t="s">
        <v>29</v>
      </c>
      <c r="P180" s="7" t="s">
        <v>29</v>
      </c>
      <c r="Q180" s="7" t="s">
        <v>29</v>
      </c>
      <c r="R180" s="7" t="s">
        <v>29</v>
      </c>
      <c r="S180" s="7" t="s">
        <v>29</v>
      </c>
    </row>
    <row r="181" spans="2:19">
      <c r="B181" s="7" t="s">
        <v>195</v>
      </c>
      <c r="C181" s="8" t="s">
        <v>195</v>
      </c>
      <c r="D181" s="6" t="str">
        <f>LRTRIM(CONCATENATE(IF(SUMPRODUCT(-- ISNUMBER(SEARCH({"Auto Number"}, $B181))) &gt; 0, $B181, IF(SUMPRODUCT(-- ISNUMBER(SEARCH({"Lookup","Master-Detail"}, $B181))) &gt; 0,$B181 &amp; "(" &amp; $E181 &amp; ")",IF(SUMPRODUCT(-- ISNUMBER(SEARCH({"Formula","Roll-Up Summary"}, $B181))) &gt; 0,$B181 &amp; " (" &amp; $E181 &amp; ")",IF(SUMPRODUCT(-- ISNUMBER(SEARCH({"Content","Currency","Number","Percent","Text","URL"}, $B181))) &gt; 0,$B181 &amp; "(" &amp; $C181 &amp; ")",$B181)))), "  ", TRIM(IF($S181 = "YES", "(External ID)", "") &amp; " " &amp; IF(SUMPRODUCT(-- ISNUMBER(SEARCH({"Unique","Unique Case Insensitive"}, $R181))) &gt; 0, "(" &amp; $R181 &amp; ")", ""))))</f>
        <v>na</v>
      </c>
      <c r="E181" s="7" t="s">
        <v>195</v>
      </c>
      <c r="F181" s="7" t="s">
        <v>195</v>
      </c>
      <c r="G181" s="7" t="s">
        <v>195</v>
      </c>
      <c r="H181" s="7" t="s">
        <v>195</v>
      </c>
      <c r="I181" s="7" t="s">
        <v>195</v>
      </c>
      <c r="J181" s="7" t="s">
        <v>195</v>
      </c>
      <c r="K181" s="7" t="s">
        <v>195</v>
      </c>
      <c r="L181" s="7" t="s">
        <v>195</v>
      </c>
      <c r="M181" s="7" t="s">
        <v>29</v>
      </c>
      <c r="N181" s="7" t="s">
        <v>29</v>
      </c>
      <c r="O181" s="7" t="s">
        <v>29</v>
      </c>
      <c r="P181" s="7" t="s">
        <v>29</v>
      </c>
      <c r="Q181" s="7" t="s">
        <v>29</v>
      </c>
      <c r="R181" s="7" t="s">
        <v>29</v>
      </c>
      <c r="S181" s="7" t="s">
        <v>29</v>
      </c>
    </row>
    <row r="182" spans="2:19">
      <c r="B182" s="7" t="s">
        <v>195</v>
      </c>
      <c r="C182" s="8" t="s">
        <v>195</v>
      </c>
      <c r="D182" s="6" t="str">
        <f>LRTRIM(CONCATENATE(IF(SUMPRODUCT(-- ISNUMBER(SEARCH({"Auto Number"}, $B182))) &gt; 0, $B182, IF(SUMPRODUCT(-- ISNUMBER(SEARCH({"Lookup","Master-Detail"}, $B182))) &gt; 0,$B182 &amp; "(" &amp; $E182 &amp; ")",IF(SUMPRODUCT(-- ISNUMBER(SEARCH({"Formula","Roll-Up Summary"}, $B182))) &gt; 0,$B182 &amp; " (" &amp; $E182 &amp; ")",IF(SUMPRODUCT(-- ISNUMBER(SEARCH({"Content","Currency","Number","Percent","Text","URL"}, $B182))) &gt; 0,$B182 &amp; "(" &amp; $C182 &amp; ")",$B182)))), "  ", TRIM(IF($S182 = "YES", "(External ID)", "") &amp; " " &amp; IF(SUMPRODUCT(-- ISNUMBER(SEARCH({"Unique","Unique Case Insensitive"}, $R182))) &gt; 0, "(" &amp; $R182 &amp; ")", ""))))</f>
        <v>na</v>
      </c>
      <c r="E182" s="7" t="s">
        <v>195</v>
      </c>
      <c r="F182" s="7" t="s">
        <v>195</v>
      </c>
      <c r="G182" s="7" t="s">
        <v>195</v>
      </c>
      <c r="H182" s="7" t="s">
        <v>195</v>
      </c>
      <c r="I182" s="7" t="s">
        <v>195</v>
      </c>
      <c r="J182" s="7" t="s">
        <v>195</v>
      </c>
      <c r="K182" s="7" t="s">
        <v>195</v>
      </c>
      <c r="L182" s="7" t="s">
        <v>195</v>
      </c>
      <c r="M182" s="7" t="s">
        <v>29</v>
      </c>
      <c r="N182" s="7" t="s">
        <v>29</v>
      </c>
      <c r="O182" s="7" t="s">
        <v>29</v>
      </c>
      <c r="P182" s="7" t="s">
        <v>29</v>
      </c>
      <c r="Q182" s="7" t="s">
        <v>29</v>
      </c>
      <c r="R182" s="7" t="s">
        <v>29</v>
      </c>
      <c r="S182" s="7" t="s">
        <v>29</v>
      </c>
    </row>
    <row r="183" spans="2:19">
      <c r="B183" s="7" t="s">
        <v>195</v>
      </c>
      <c r="C183" s="8" t="s">
        <v>195</v>
      </c>
      <c r="D183" s="6" t="str">
        <f>LRTRIM(CONCATENATE(IF(SUMPRODUCT(-- ISNUMBER(SEARCH({"Auto Number"}, $B183))) &gt; 0, $B183, IF(SUMPRODUCT(-- ISNUMBER(SEARCH({"Lookup","Master-Detail"}, $B183))) &gt; 0,$B183 &amp; "(" &amp; $E183 &amp; ")",IF(SUMPRODUCT(-- ISNUMBER(SEARCH({"Formula","Roll-Up Summary"}, $B183))) &gt; 0,$B183 &amp; " (" &amp; $E183 &amp; ")",IF(SUMPRODUCT(-- ISNUMBER(SEARCH({"Content","Currency","Number","Percent","Text","URL"}, $B183))) &gt; 0,$B183 &amp; "(" &amp; $C183 &amp; ")",$B183)))), "  ", TRIM(IF($S183 = "YES", "(External ID)", "") &amp; " " &amp; IF(SUMPRODUCT(-- ISNUMBER(SEARCH({"Unique","Unique Case Insensitive"}, $R183))) &gt; 0, "(" &amp; $R183 &amp; ")", ""))))</f>
        <v>na</v>
      </c>
      <c r="E183" s="7" t="s">
        <v>195</v>
      </c>
      <c r="F183" s="7" t="s">
        <v>195</v>
      </c>
      <c r="G183" s="7" t="s">
        <v>195</v>
      </c>
      <c r="H183" s="7" t="s">
        <v>195</v>
      </c>
      <c r="I183" s="7" t="s">
        <v>195</v>
      </c>
      <c r="J183" s="7" t="s">
        <v>195</v>
      </c>
      <c r="K183" s="7" t="s">
        <v>195</v>
      </c>
      <c r="L183" s="7" t="s">
        <v>195</v>
      </c>
      <c r="M183" s="7" t="s">
        <v>29</v>
      </c>
      <c r="N183" s="7" t="s">
        <v>29</v>
      </c>
      <c r="O183" s="7" t="s">
        <v>29</v>
      </c>
      <c r="P183" s="7" t="s">
        <v>29</v>
      </c>
      <c r="Q183" s="7" t="s">
        <v>29</v>
      </c>
      <c r="R183" s="7" t="s">
        <v>29</v>
      </c>
      <c r="S183" s="7" t="s">
        <v>29</v>
      </c>
    </row>
    <row r="184" spans="2:19">
      <c r="B184" s="7" t="s">
        <v>195</v>
      </c>
      <c r="C184" s="8" t="s">
        <v>195</v>
      </c>
      <c r="D184" s="6" t="str">
        <f>LRTRIM(CONCATENATE(IF(SUMPRODUCT(-- ISNUMBER(SEARCH({"Auto Number"}, $B184))) &gt; 0, $B184, IF(SUMPRODUCT(-- ISNUMBER(SEARCH({"Lookup","Master-Detail"}, $B184))) &gt; 0,$B184 &amp; "(" &amp; $E184 &amp; ")",IF(SUMPRODUCT(-- ISNUMBER(SEARCH({"Formula","Roll-Up Summary"}, $B184))) &gt; 0,$B184 &amp; " (" &amp; $E184 &amp; ")",IF(SUMPRODUCT(-- ISNUMBER(SEARCH({"Content","Currency","Number","Percent","Text","URL"}, $B184))) &gt; 0,$B184 &amp; "(" &amp; $C184 &amp; ")",$B184)))), "  ", TRIM(IF($S184 = "YES", "(External ID)", "") &amp; " " &amp; IF(SUMPRODUCT(-- ISNUMBER(SEARCH({"Unique","Unique Case Insensitive"}, $R184))) &gt; 0, "(" &amp; $R184 &amp; ")", ""))))</f>
        <v>na</v>
      </c>
      <c r="E184" s="7" t="s">
        <v>195</v>
      </c>
      <c r="F184" s="7" t="s">
        <v>195</v>
      </c>
      <c r="G184" s="7" t="s">
        <v>195</v>
      </c>
      <c r="H184" s="7" t="s">
        <v>195</v>
      </c>
      <c r="I184" s="7" t="s">
        <v>195</v>
      </c>
      <c r="J184" s="7" t="s">
        <v>195</v>
      </c>
      <c r="K184" s="7" t="s">
        <v>195</v>
      </c>
      <c r="L184" s="7" t="s">
        <v>195</v>
      </c>
      <c r="M184" s="7" t="s">
        <v>29</v>
      </c>
      <c r="N184" s="7" t="s">
        <v>29</v>
      </c>
      <c r="O184" s="7" t="s">
        <v>29</v>
      </c>
      <c r="P184" s="7" t="s">
        <v>29</v>
      </c>
      <c r="Q184" s="7" t="s">
        <v>29</v>
      </c>
      <c r="R184" s="7" t="s">
        <v>29</v>
      </c>
      <c r="S184" s="7" t="s">
        <v>29</v>
      </c>
    </row>
    <row r="185" spans="2:19">
      <c r="B185" s="7" t="s">
        <v>195</v>
      </c>
      <c r="C185" s="8" t="s">
        <v>195</v>
      </c>
      <c r="D185" s="6" t="str">
        <f>LRTRIM(CONCATENATE(IF(SUMPRODUCT(-- ISNUMBER(SEARCH({"Auto Number"}, $B185))) &gt; 0, $B185, IF(SUMPRODUCT(-- ISNUMBER(SEARCH({"Lookup","Master-Detail"}, $B185))) &gt; 0,$B185 &amp; "(" &amp; $E185 &amp; ")",IF(SUMPRODUCT(-- ISNUMBER(SEARCH({"Formula","Roll-Up Summary"}, $B185))) &gt; 0,$B185 &amp; " (" &amp; $E185 &amp; ")",IF(SUMPRODUCT(-- ISNUMBER(SEARCH({"Content","Currency","Number","Percent","Text","URL"}, $B185))) &gt; 0,$B185 &amp; "(" &amp; $C185 &amp; ")",$B185)))), "  ", TRIM(IF($S185 = "YES", "(External ID)", "") &amp; " " &amp; IF(SUMPRODUCT(-- ISNUMBER(SEARCH({"Unique","Unique Case Insensitive"}, $R185))) &gt; 0, "(" &amp; $R185 &amp; ")", ""))))</f>
        <v>na</v>
      </c>
      <c r="E185" s="7" t="s">
        <v>195</v>
      </c>
      <c r="F185" s="7" t="s">
        <v>195</v>
      </c>
      <c r="G185" s="7" t="s">
        <v>195</v>
      </c>
      <c r="H185" s="7" t="s">
        <v>195</v>
      </c>
      <c r="I185" s="7" t="s">
        <v>195</v>
      </c>
      <c r="J185" s="7" t="s">
        <v>195</v>
      </c>
      <c r="K185" s="7" t="s">
        <v>195</v>
      </c>
      <c r="L185" s="7" t="s">
        <v>195</v>
      </c>
      <c r="M185" s="7" t="s">
        <v>29</v>
      </c>
      <c r="N185" s="7" t="s">
        <v>29</v>
      </c>
      <c r="O185" s="7" t="s">
        <v>29</v>
      </c>
      <c r="P185" s="7" t="s">
        <v>29</v>
      </c>
      <c r="Q185" s="7" t="s">
        <v>29</v>
      </c>
      <c r="R185" s="7" t="s">
        <v>29</v>
      </c>
      <c r="S185" s="7" t="s">
        <v>29</v>
      </c>
    </row>
    <row r="186" spans="2:19">
      <c r="B186" s="7" t="s">
        <v>195</v>
      </c>
      <c r="C186" s="8" t="s">
        <v>195</v>
      </c>
      <c r="D186" s="6" t="str">
        <f>LRTRIM(CONCATENATE(IF(SUMPRODUCT(-- ISNUMBER(SEARCH({"Auto Number"}, $B186))) &gt; 0, $B186, IF(SUMPRODUCT(-- ISNUMBER(SEARCH({"Lookup","Master-Detail"}, $B186))) &gt; 0,$B186 &amp; "(" &amp; $E186 &amp; ")",IF(SUMPRODUCT(-- ISNUMBER(SEARCH({"Formula","Roll-Up Summary"}, $B186))) &gt; 0,$B186 &amp; " (" &amp; $E186 &amp; ")",IF(SUMPRODUCT(-- ISNUMBER(SEARCH({"Content","Currency","Number","Percent","Text","URL"}, $B186))) &gt; 0,$B186 &amp; "(" &amp; $C186 &amp; ")",$B186)))), "  ", TRIM(IF($S186 = "YES", "(External ID)", "") &amp; " " &amp; IF(SUMPRODUCT(-- ISNUMBER(SEARCH({"Unique","Unique Case Insensitive"}, $R186))) &gt; 0, "(" &amp; $R186 &amp; ")", ""))))</f>
        <v>na</v>
      </c>
      <c r="E186" s="7" t="s">
        <v>195</v>
      </c>
      <c r="F186" s="7" t="s">
        <v>195</v>
      </c>
      <c r="G186" s="7" t="s">
        <v>195</v>
      </c>
      <c r="H186" s="7" t="s">
        <v>195</v>
      </c>
      <c r="I186" s="7" t="s">
        <v>195</v>
      </c>
      <c r="J186" s="7" t="s">
        <v>195</v>
      </c>
      <c r="K186" s="7" t="s">
        <v>195</v>
      </c>
      <c r="L186" s="7" t="s">
        <v>195</v>
      </c>
      <c r="M186" s="7" t="s">
        <v>29</v>
      </c>
      <c r="N186" s="7" t="s">
        <v>29</v>
      </c>
      <c r="O186" s="7" t="s">
        <v>29</v>
      </c>
      <c r="P186" s="7" t="s">
        <v>29</v>
      </c>
      <c r="Q186" s="7" t="s">
        <v>29</v>
      </c>
      <c r="R186" s="7" t="s">
        <v>29</v>
      </c>
      <c r="S186" s="7" t="s">
        <v>29</v>
      </c>
    </row>
    <row r="187" spans="2:19">
      <c r="B187" s="7" t="s">
        <v>195</v>
      </c>
      <c r="C187" s="8" t="s">
        <v>195</v>
      </c>
      <c r="D187" s="6" t="str">
        <f>LRTRIM(CONCATENATE(IF(SUMPRODUCT(-- ISNUMBER(SEARCH({"Auto Number"}, $B187))) &gt; 0, $B187, IF(SUMPRODUCT(-- ISNUMBER(SEARCH({"Lookup","Master-Detail"}, $B187))) &gt; 0,$B187 &amp; "(" &amp; $E187 &amp; ")",IF(SUMPRODUCT(-- ISNUMBER(SEARCH({"Formula","Roll-Up Summary"}, $B187))) &gt; 0,$B187 &amp; " (" &amp; $E187 &amp; ")",IF(SUMPRODUCT(-- ISNUMBER(SEARCH({"Content","Currency","Number","Percent","Text","URL"}, $B187))) &gt; 0,$B187 &amp; "(" &amp; $C187 &amp; ")",$B187)))), "  ", TRIM(IF($S187 = "YES", "(External ID)", "") &amp; " " &amp; IF(SUMPRODUCT(-- ISNUMBER(SEARCH({"Unique","Unique Case Insensitive"}, $R187))) &gt; 0, "(" &amp; $R187 &amp; ")", ""))))</f>
        <v>na</v>
      </c>
      <c r="E187" s="7" t="s">
        <v>195</v>
      </c>
      <c r="F187" s="7" t="s">
        <v>195</v>
      </c>
      <c r="G187" s="7" t="s">
        <v>195</v>
      </c>
      <c r="H187" s="7" t="s">
        <v>195</v>
      </c>
      <c r="I187" s="7" t="s">
        <v>195</v>
      </c>
      <c r="J187" s="7" t="s">
        <v>195</v>
      </c>
      <c r="K187" s="7" t="s">
        <v>195</v>
      </c>
      <c r="L187" s="7" t="s">
        <v>195</v>
      </c>
      <c r="M187" s="7" t="s">
        <v>29</v>
      </c>
      <c r="N187" s="7" t="s">
        <v>29</v>
      </c>
      <c r="O187" s="7" t="s">
        <v>29</v>
      </c>
      <c r="P187" s="7" t="s">
        <v>29</v>
      </c>
      <c r="Q187" s="7" t="s">
        <v>29</v>
      </c>
      <c r="R187" s="7" t="s">
        <v>29</v>
      </c>
      <c r="S187" s="7" t="s">
        <v>29</v>
      </c>
    </row>
    <row r="188" spans="2:19">
      <c r="B188" s="7" t="s">
        <v>195</v>
      </c>
      <c r="C188" s="8" t="s">
        <v>195</v>
      </c>
      <c r="D188" s="6" t="str">
        <f>LRTRIM(CONCATENATE(IF(SUMPRODUCT(-- ISNUMBER(SEARCH({"Auto Number"}, $B188))) &gt; 0, $B188, IF(SUMPRODUCT(-- ISNUMBER(SEARCH({"Lookup","Master-Detail"}, $B188))) &gt; 0,$B188 &amp; "(" &amp; $E188 &amp; ")",IF(SUMPRODUCT(-- ISNUMBER(SEARCH({"Formula","Roll-Up Summary"}, $B188))) &gt; 0,$B188 &amp; " (" &amp; $E188 &amp; ")",IF(SUMPRODUCT(-- ISNUMBER(SEARCH({"Content","Currency","Number","Percent","Text","URL"}, $B188))) &gt; 0,$B188 &amp; "(" &amp; $C188 &amp; ")",$B188)))), "  ", TRIM(IF($S188 = "YES", "(External ID)", "") &amp; " " &amp; IF(SUMPRODUCT(-- ISNUMBER(SEARCH({"Unique","Unique Case Insensitive"}, $R188))) &gt; 0, "(" &amp; $R188 &amp; ")", ""))))</f>
        <v>na</v>
      </c>
      <c r="E188" s="7" t="s">
        <v>195</v>
      </c>
      <c r="F188" s="7" t="s">
        <v>195</v>
      </c>
      <c r="G188" s="7" t="s">
        <v>195</v>
      </c>
      <c r="H188" s="7" t="s">
        <v>195</v>
      </c>
      <c r="I188" s="7" t="s">
        <v>195</v>
      </c>
      <c r="J188" s="7" t="s">
        <v>195</v>
      </c>
      <c r="K188" s="7" t="s">
        <v>195</v>
      </c>
      <c r="L188" s="7" t="s">
        <v>195</v>
      </c>
      <c r="M188" s="7" t="s">
        <v>29</v>
      </c>
      <c r="N188" s="7" t="s">
        <v>29</v>
      </c>
      <c r="O188" s="7" t="s">
        <v>29</v>
      </c>
      <c r="P188" s="7" t="s">
        <v>29</v>
      </c>
      <c r="Q188" s="7" t="s">
        <v>29</v>
      </c>
      <c r="R188" s="7" t="s">
        <v>29</v>
      </c>
      <c r="S188" s="7" t="s">
        <v>29</v>
      </c>
    </row>
    <row r="189" spans="2:19">
      <c r="B189" s="7" t="s">
        <v>195</v>
      </c>
      <c r="C189" s="8" t="s">
        <v>195</v>
      </c>
      <c r="D189" s="6" t="str">
        <f>LRTRIM(CONCATENATE(IF(SUMPRODUCT(-- ISNUMBER(SEARCH({"Auto Number"}, $B189))) &gt; 0, $B189, IF(SUMPRODUCT(-- ISNUMBER(SEARCH({"Lookup","Master-Detail"}, $B189))) &gt; 0,$B189 &amp; "(" &amp; $E189 &amp; ")",IF(SUMPRODUCT(-- ISNUMBER(SEARCH({"Formula","Roll-Up Summary"}, $B189))) &gt; 0,$B189 &amp; " (" &amp; $E189 &amp; ")",IF(SUMPRODUCT(-- ISNUMBER(SEARCH({"Content","Currency","Number","Percent","Text","URL"}, $B189))) &gt; 0,$B189 &amp; "(" &amp; $C189 &amp; ")",$B189)))), "  ", TRIM(IF($S189 = "YES", "(External ID)", "") &amp; " " &amp; IF(SUMPRODUCT(-- ISNUMBER(SEARCH({"Unique","Unique Case Insensitive"}, $R189))) &gt; 0, "(" &amp; $R189 &amp; ")", ""))))</f>
        <v>na</v>
      </c>
      <c r="E189" s="7" t="s">
        <v>195</v>
      </c>
      <c r="F189" s="7" t="s">
        <v>195</v>
      </c>
      <c r="G189" s="7" t="s">
        <v>195</v>
      </c>
      <c r="H189" s="7" t="s">
        <v>195</v>
      </c>
      <c r="I189" s="7" t="s">
        <v>195</v>
      </c>
      <c r="J189" s="7" t="s">
        <v>195</v>
      </c>
      <c r="K189" s="7" t="s">
        <v>195</v>
      </c>
      <c r="L189" s="7" t="s">
        <v>195</v>
      </c>
      <c r="M189" s="7" t="s">
        <v>29</v>
      </c>
      <c r="N189" s="7" t="s">
        <v>29</v>
      </c>
      <c r="O189" s="7" t="s">
        <v>29</v>
      </c>
      <c r="P189" s="7" t="s">
        <v>29</v>
      </c>
      <c r="Q189" s="7" t="s">
        <v>29</v>
      </c>
      <c r="R189" s="7" t="s">
        <v>29</v>
      </c>
      <c r="S189" s="7" t="s">
        <v>29</v>
      </c>
    </row>
    <row r="190" spans="2:19">
      <c r="B190" s="7" t="s">
        <v>195</v>
      </c>
      <c r="C190" s="8" t="s">
        <v>195</v>
      </c>
      <c r="D190" s="6" t="str">
        <f>LRTRIM(CONCATENATE(IF(SUMPRODUCT(-- ISNUMBER(SEARCH({"Auto Number"}, $B190))) &gt; 0, $B190, IF(SUMPRODUCT(-- ISNUMBER(SEARCH({"Lookup","Master-Detail"}, $B190))) &gt; 0,$B190 &amp; "(" &amp; $E190 &amp; ")",IF(SUMPRODUCT(-- ISNUMBER(SEARCH({"Formula","Roll-Up Summary"}, $B190))) &gt; 0,$B190 &amp; " (" &amp; $E190 &amp; ")",IF(SUMPRODUCT(-- ISNUMBER(SEARCH({"Content","Currency","Number","Percent","Text","URL"}, $B190))) &gt; 0,$B190 &amp; "(" &amp; $C190 &amp; ")",$B190)))), "  ", TRIM(IF($S190 = "YES", "(External ID)", "") &amp; " " &amp; IF(SUMPRODUCT(-- ISNUMBER(SEARCH({"Unique","Unique Case Insensitive"}, $R190))) &gt; 0, "(" &amp; $R190 &amp; ")", ""))))</f>
        <v>na</v>
      </c>
      <c r="E190" s="7" t="s">
        <v>195</v>
      </c>
      <c r="F190" s="7" t="s">
        <v>195</v>
      </c>
      <c r="G190" s="7" t="s">
        <v>195</v>
      </c>
      <c r="H190" s="7" t="s">
        <v>195</v>
      </c>
      <c r="I190" s="7" t="s">
        <v>195</v>
      </c>
      <c r="J190" s="7" t="s">
        <v>195</v>
      </c>
      <c r="K190" s="7" t="s">
        <v>195</v>
      </c>
      <c r="L190" s="7" t="s">
        <v>195</v>
      </c>
      <c r="M190" s="7" t="s">
        <v>29</v>
      </c>
      <c r="N190" s="7" t="s">
        <v>29</v>
      </c>
      <c r="O190" s="7" t="s">
        <v>29</v>
      </c>
      <c r="P190" s="7" t="s">
        <v>29</v>
      </c>
      <c r="Q190" s="7" t="s">
        <v>29</v>
      </c>
      <c r="R190" s="7" t="s">
        <v>29</v>
      </c>
      <c r="S190" s="7" t="s">
        <v>29</v>
      </c>
    </row>
    <row r="191" spans="2:19">
      <c r="B191" s="7" t="s">
        <v>195</v>
      </c>
      <c r="C191" s="8" t="s">
        <v>195</v>
      </c>
      <c r="D191" s="6" t="str">
        <f>LRTRIM(CONCATENATE(IF(SUMPRODUCT(-- ISNUMBER(SEARCH({"Auto Number"}, $B191))) &gt; 0, $B191, IF(SUMPRODUCT(-- ISNUMBER(SEARCH({"Lookup","Master-Detail"}, $B191))) &gt; 0,$B191 &amp; "(" &amp; $E191 &amp; ")",IF(SUMPRODUCT(-- ISNUMBER(SEARCH({"Formula","Roll-Up Summary"}, $B191))) &gt; 0,$B191 &amp; " (" &amp; $E191 &amp; ")",IF(SUMPRODUCT(-- ISNUMBER(SEARCH({"Content","Currency","Number","Percent","Text","URL"}, $B191))) &gt; 0,$B191 &amp; "(" &amp; $C191 &amp; ")",$B191)))), "  ", TRIM(IF($S191 = "YES", "(External ID)", "") &amp; " " &amp; IF(SUMPRODUCT(-- ISNUMBER(SEARCH({"Unique","Unique Case Insensitive"}, $R191))) &gt; 0, "(" &amp; $R191 &amp; ")", ""))))</f>
        <v>na</v>
      </c>
      <c r="E191" s="7" t="s">
        <v>195</v>
      </c>
      <c r="F191" s="7" t="s">
        <v>195</v>
      </c>
      <c r="G191" s="7" t="s">
        <v>195</v>
      </c>
      <c r="H191" s="7" t="s">
        <v>195</v>
      </c>
      <c r="I191" s="7" t="s">
        <v>195</v>
      </c>
      <c r="J191" s="7" t="s">
        <v>195</v>
      </c>
      <c r="K191" s="7" t="s">
        <v>195</v>
      </c>
      <c r="L191" s="7" t="s">
        <v>195</v>
      </c>
      <c r="M191" s="7" t="s">
        <v>29</v>
      </c>
      <c r="N191" s="7" t="s">
        <v>29</v>
      </c>
      <c r="O191" s="7" t="s">
        <v>29</v>
      </c>
      <c r="P191" s="7" t="s">
        <v>29</v>
      </c>
      <c r="Q191" s="7" t="s">
        <v>29</v>
      </c>
      <c r="R191" s="7" t="s">
        <v>29</v>
      </c>
      <c r="S191" s="7" t="s">
        <v>29</v>
      </c>
    </row>
    <row r="192" spans="2:19">
      <c r="B192" s="7" t="s">
        <v>195</v>
      </c>
      <c r="C192" s="8" t="s">
        <v>195</v>
      </c>
      <c r="D192" s="6" t="str">
        <f>LRTRIM(CONCATENATE(IF(SUMPRODUCT(-- ISNUMBER(SEARCH({"Auto Number"}, $B192))) &gt; 0, $B192, IF(SUMPRODUCT(-- ISNUMBER(SEARCH({"Lookup","Master-Detail"}, $B192))) &gt; 0,$B192 &amp; "(" &amp; $E192 &amp; ")",IF(SUMPRODUCT(-- ISNUMBER(SEARCH({"Formula","Roll-Up Summary"}, $B192))) &gt; 0,$B192 &amp; " (" &amp; $E192 &amp; ")",IF(SUMPRODUCT(-- ISNUMBER(SEARCH({"Content","Currency","Number","Percent","Text","URL"}, $B192))) &gt; 0,$B192 &amp; "(" &amp; $C192 &amp; ")",$B192)))), "  ", TRIM(IF($S192 = "YES", "(External ID)", "") &amp; " " &amp; IF(SUMPRODUCT(-- ISNUMBER(SEARCH({"Unique","Unique Case Insensitive"}, $R192))) &gt; 0, "(" &amp; $R192 &amp; ")", ""))))</f>
        <v>na</v>
      </c>
      <c r="E192" s="7" t="s">
        <v>195</v>
      </c>
      <c r="F192" s="7" t="s">
        <v>195</v>
      </c>
      <c r="G192" s="7" t="s">
        <v>195</v>
      </c>
      <c r="H192" s="7" t="s">
        <v>195</v>
      </c>
      <c r="I192" s="7" t="s">
        <v>195</v>
      </c>
      <c r="J192" s="7" t="s">
        <v>195</v>
      </c>
      <c r="K192" s="7" t="s">
        <v>195</v>
      </c>
      <c r="L192" s="7" t="s">
        <v>195</v>
      </c>
      <c r="M192" s="7" t="s">
        <v>29</v>
      </c>
      <c r="N192" s="7" t="s">
        <v>29</v>
      </c>
      <c r="O192" s="7" t="s">
        <v>29</v>
      </c>
      <c r="P192" s="7" t="s">
        <v>29</v>
      </c>
      <c r="Q192" s="7" t="s">
        <v>29</v>
      </c>
      <c r="R192" s="7" t="s">
        <v>29</v>
      </c>
      <c r="S192" s="7" t="s">
        <v>29</v>
      </c>
    </row>
    <row r="193" spans="2:19">
      <c r="B193" s="7" t="s">
        <v>195</v>
      </c>
      <c r="C193" s="8" t="s">
        <v>195</v>
      </c>
      <c r="D193" s="6" t="str">
        <f>LRTRIM(CONCATENATE(IF(SUMPRODUCT(-- ISNUMBER(SEARCH({"Auto Number"}, $B193))) &gt; 0, $B193, IF(SUMPRODUCT(-- ISNUMBER(SEARCH({"Lookup","Master-Detail"}, $B193))) &gt; 0,$B193 &amp; "(" &amp; $E193 &amp; ")",IF(SUMPRODUCT(-- ISNUMBER(SEARCH({"Formula","Roll-Up Summary"}, $B193))) &gt; 0,$B193 &amp; " (" &amp; $E193 &amp; ")",IF(SUMPRODUCT(-- ISNUMBER(SEARCH({"Content","Currency","Number","Percent","Text","URL"}, $B193))) &gt; 0,$B193 &amp; "(" &amp; $C193 &amp; ")",$B193)))), "  ", TRIM(IF($S193 = "YES", "(External ID)", "") &amp; " " &amp; IF(SUMPRODUCT(-- ISNUMBER(SEARCH({"Unique","Unique Case Insensitive"}, $R193))) &gt; 0, "(" &amp; $R193 &amp; ")", ""))))</f>
        <v>na</v>
      </c>
      <c r="E193" s="7" t="s">
        <v>195</v>
      </c>
      <c r="F193" s="7" t="s">
        <v>195</v>
      </c>
      <c r="G193" s="7" t="s">
        <v>195</v>
      </c>
      <c r="H193" s="7" t="s">
        <v>195</v>
      </c>
      <c r="I193" s="7" t="s">
        <v>195</v>
      </c>
      <c r="J193" s="7" t="s">
        <v>195</v>
      </c>
      <c r="K193" s="7" t="s">
        <v>195</v>
      </c>
      <c r="L193" s="7" t="s">
        <v>195</v>
      </c>
      <c r="M193" s="7" t="s">
        <v>29</v>
      </c>
      <c r="N193" s="7" t="s">
        <v>29</v>
      </c>
      <c r="O193" s="7" t="s">
        <v>29</v>
      </c>
      <c r="P193" s="7" t="s">
        <v>29</v>
      </c>
      <c r="Q193" s="7" t="s">
        <v>29</v>
      </c>
      <c r="R193" s="7" t="s">
        <v>29</v>
      </c>
      <c r="S193" s="7" t="s">
        <v>29</v>
      </c>
    </row>
    <row r="194" spans="2:19">
      <c r="B194" s="7" t="s">
        <v>195</v>
      </c>
      <c r="C194" s="8" t="s">
        <v>195</v>
      </c>
      <c r="D194" s="6" t="str">
        <f>LRTRIM(CONCATENATE(IF(SUMPRODUCT(-- ISNUMBER(SEARCH({"Auto Number"}, $B194))) &gt; 0, $B194, IF(SUMPRODUCT(-- ISNUMBER(SEARCH({"Lookup","Master-Detail"}, $B194))) &gt; 0,$B194 &amp; "(" &amp; $E194 &amp; ")",IF(SUMPRODUCT(-- ISNUMBER(SEARCH({"Formula","Roll-Up Summary"}, $B194))) &gt; 0,$B194 &amp; " (" &amp; $E194 &amp; ")",IF(SUMPRODUCT(-- ISNUMBER(SEARCH({"Content","Currency","Number","Percent","Text","URL"}, $B194))) &gt; 0,$B194 &amp; "(" &amp; $C194 &amp; ")",$B194)))), "  ", TRIM(IF($S194 = "YES", "(External ID)", "") &amp; " " &amp; IF(SUMPRODUCT(-- ISNUMBER(SEARCH({"Unique","Unique Case Insensitive"}, $R194))) &gt; 0, "(" &amp; $R194 &amp; ")", ""))))</f>
        <v>na</v>
      </c>
      <c r="E194" s="7" t="s">
        <v>195</v>
      </c>
      <c r="F194" s="7" t="s">
        <v>195</v>
      </c>
      <c r="G194" s="7" t="s">
        <v>195</v>
      </c>
      <c r="H194" s="7" t="s">
        <v>195</v>
      </c>
      <c r="I194" s="7" t="s">
        <v>195</v>
      </c>
      <c r="J194" s="7" t="s">
        <v>195</v>
      </c>
      <c r="K194" s="7" t="s">
        <v>195</v>
      </c>
      <c r="L194" s="7" t="s">
        <v>195</v>
      </c>
      <c r="M194" s="7" t="s">
        <v>29</v>
      </c>
      <c r="N194" s="7" t="s">
        <v>29</v>
      </c>
      <c r="O194" s="7" t="s">
        <v>29</v>
      </c>
      <c r="P194" s="7" t="s">
        <v>29</v>
      </c>
      <c r="Q194" s="7" t="s">
        <v>29</v>
      </c>
      <c r="R194" s="7" t="s">
        <v>29</v>
      </c>
      <c r="S194" s="7" t="s">
        <v>29</v>
      </c>
    </row>
    <row r="195" spans="2:19">
      <c r="B195" s="7" t="s">
        <v>195</v>
      </c>
      <c r="C195" s="8" t="s">
        <v>195</v>
      </c>
      <c r="D195" s="6" t="str">
        <f>LRTRIM(CONCATENATE(IF(SUMPRODUCT(-- ISNUMBER(SEARCH({"Auto Number"}, $B195))) &gt; 0, $B195, IF(SUMPRODUCT(-- ISNUMBER(SEARCH({"Lookup","Master-Detail"}, $B195))) &gt; 0,$B195 &amp; "(" &amp; $E195 &amp; ")",IF(SUMPRODUCT(-- ISNUMBER(SEARCH({"Formula","Roll-Up Summary"}, $B195))) &gt; 0,$B195 &amp; " (" &amp; $E195 &amp; ")",IF(SUMPRODUCT(-- ISNUMBER(SEARCH({"Content","Currency","Number","Percent","Text","URL"}, $B195))) &gt; 0,$B195 &amp; "(" &amp; $C195 &amp; ")",$B195)))), "  ", TRIM(IF($S195 = "YES", "(External ID)", "") &amp; " " &amp; IF(SUMPRODUCT(-- ISNUMBER(SEARCH({"Unique","Unique Case Insensitive"}, $R195))) &gt; 0, "(" &amp; $R195 &amp; ")", ""))))</f>
        <v>na</v>
      </c>
      <c r="E195" s="7" t="s">
        <v>195</v>
      </c>
      <c r="F195" s="7" t="s">
        <v>195</v>
      </c>
      <c r="G195" s="7" t="s">
        <v>195</v>
      </c>
      <c r="H195" s="7" t="s">
        <v>195</v>
      </c>
      <c r="I195" s="7" t="s">
        <v>195</v>
      </c>
      <c r="J195" s="7" t="s">
        <v>195</v>
      </c>
      <c r="K195" s="7" t="s">
        <v>195</v>
      </c>
      <c r="L195" s="7" t="s">
        <v>195</v>
      </c>
      <c r="M195" s="7" t="s">
        <v>29</v>
      </c>
      <c r="N195" s="7" t="s">
        <v>29</v>
      </c>
      <c r="O195" s="7" t="s">
        <v>29</v>
      </c>
      <c r="P195" s="7" t="s">
        <v>29</v>
      </c>
      <c r="Q195" s="7" t="s">
        <v>29</v>
      </c>
      <c r="R195" s="7" t="s">
        <v>29</v>
      </c>
      <c r="S195" s="7" t="s">
        <v>29</v>
      </c>
    </row>
    <row r="196" spans="2:19">
      <c r="B196" s="7" t="s">
        <v>195</v>
      </c>
      <c r="C196" s="8" t="s">
        <v>195</v>
      </c>
      <c r="D196" s="6" t="str">
        <f>LRTRIM(CONCATENATE(IF(SUMPRODUCT(-- ISNUMBER(SEARCH({"Auto Number"}, $B196))) &gt; 0, $B196, IF(SUMPRODUCT(-- ISNUMBER(SEARCH({"Lookup","Master-Detail"}, $B196))) &gt; 0,$B196 &amp; "(" &amp; $E196 &amp; ")",IF(SUMPRODUCT(-- ISNUMBER(SEARCH({"Formula","Roll-Up Summary"}, $B196))) &gt; 0,$B196 &amp; " (" &amp; $E196 &amp; ")",IF(SUMPRODUCT(-- ISNUMBER(SEARCH({"Content","Currency","Number","Percent","Text","URL"}, $B196))) &gt; 0,$B196 &amp; "(" &amp; $C196 &amp; ")",$B196)))), "  ", TRIM(IF($S196 = "YES", "(External ID)", "") &amp; " " &amp; IF(SUMPRODUCT(-- ISNUMBER(SEARCH({"Unique","Unique Case Insensitive"}, $R196))) &gt; 0, "(" &amp; $R196 &amp; ")", ""))))</f>
        <v>na</v>
      </c>
      <c r="E196" s="7" t="s">
        <v>195</v>
      </c>
      <c r="F196" s="7" t="s">
        <v>195</v>
      </c>
      <c r="G196" s="7" t="s">
        <v>195</v>
      </c>
      <c r="H196" s="7" t="s">
        <v>195</v>
      </c>
      <c r="I196" s="7" t="s">
        <v>195</v>
      </c>
      <c r="J196" s="7" t="s">
        <v>195</v>
      </c>
      <c r="K196" s="7" t="s">
        <v>195</v>
      </c>
      <c r="L196" s="7" t="s">
        <v>195</v>
      </c>
      <c r="M196" s="7" t="s">
        <v>29</v>
      </c>
      <c r="N196" s="7" t="s">
        <v>29</v>
      </c>
      <c r="O196" s="7" t="s">
        <v>29</v>
      </c>
      <c r="P196" s="7" t="s">
        <v>29</v>
      </c>
      <c r="Q196" s="7" t="s">
        <v>29</v>
      </c>
      <c r="R196" s="7" t="s">
        <v>29</v>
      </c>
      <c r="S196" s="7" t="s">
        <v>29</v>
      </c>
    </row>
    <row r="197" spans="2:19">
      <c r="B197" s="7" t="s">
        <v>195</v>
      </c>
      <c r="C197" s="8" t="s">
        <v>195</v>
      </c>
      <c r="D197" s="6" t="str">
        <f>LRTRIM(CONCATENATE(IF(SUMPRODUCT(-- ISNUMBER(SEARCH({"Auto Number"}, $B197))) &gt; 0, $B197, IF(SUMPRODUCT(-- ISNUMBER(SEARCH({"Lookup","Master-Detail"}, $B197))) &gt; 0,$B197 &amp; "(" &amp; $E197 &amp; ")",IF(SUMPRODUCT(-- ISNUMBER(SEARCH({"Formula","Roll-Up Summary"}, $B197))) &gt; 0,$B197 &amp; " (" &amp; $E197 &amp; ")",IF(SUMPRODUCT(-- ISNUMBER(SEARCH({"Content","Currency","Number","Percent","Text","URL"}, $B197))) &gt; 0,$B197 &amp; "(" &amp; $C197 &amp; ")",$B197)))), "  ", TRIM(IF($S197 = "YES", "(External ID)", "") &amp; " " &amp; IF(SUMPRODUCT(-- ISNUMBER(SEARCH({"Unique","Unique Case Insensitive"}, $R197))) &gt; 0, "(" &amp; $R197 &amp; ")", ""))))</f>
        <v>na</v>
      </c>
      <c r="E197" s="7" t="s">
        <v>195</v>
      </c>
      <c r="F197" s="7" t="s">
        <v>195</v>
      </c>
      <c r="G197" s="7" t="s">
        <v>195</v>
      </c>
      <c r="H197" s="7" t="s">
        <v>195</v>
      </c>
      <c r="I197" s="7" t="s">
        <v>195</v>
      </c>
      <c r="J197" s="7" t="s">
        <v>195</v>
      </c>
      <c r="K197" s="7" t="s">
        <v>195</v>
      </c>
      <c r="L197" s="7" t="s">
        <v>195</v>
      </c>
      <c r="M197" s="7" t="s">
        <v>29</v>
      </c>
      <c r="N197" s="7" t="s">
        <v>29</v>
      </c>
      <c r="O197" s="7" t="s">
        <v>29</v>
      </c>
      <c r="P197" s="7" t="s">
        <v>29</v>
      </c>
      <c r="Q197" s="7" t="s">
        <v>29</v>
      </c>
      <c r="R197" s="7" t="s">
        <v>29</v>
      </c>
      <c r="S197" s="7" t="s">
        <v>29</v>
      </c>
    </row>
    <row r="198" spans="2:19">
      <c r="B198" s="7" t="s">
        <v>195</v>
      </c>
      <c r="C198" s="8" t="s">
        <v>195</v>
      </c>
      <c r="D198" s="6" t="str">
        <f>LRTRIM(CONCATENATE(IF(SUMPRODUCT(-- ISNUMBER(SEARCH({"Auto Number"}, $B198))) &gt; 0, $B198, IF(SUMPRODUCT(-- ISNUMBER(SEARCH({"Lookup","Master-Detail"}, $B198))) &gt; 0,$B198 &amp; "(" &amp; $E198 &amp; ")",IF(SUMPRODUCT(-- ISNUMBER(SEARCH({"Formula","Roll-Up Summary"}, $B198))) &gt; 0,$B198 &amp; " (" &amp; $E198 &amp; ")",IF(SUMPRODUCT(-- ISNUMBER(SEARCH({"Content","Currency","Number","Percent","Text","URL"}, $B198))) &gt; 0,$B198 &amp; "(" &amp; $C198 &amp; ")",$B198)))), "  ", TRIM(IF($S198 = "YES", "(External ID)", "") &amp; " " &amp; IF(SUMPRODUCT(-- ISNUMBER(SEARCH({"Unique","Unique Case Insensitive"}, $R198))) &gt; 0, "(" &amp; $R198 &amp; ")", ""))))</f>
        <v>na</v>
      </c>
      <c r="E198" s="7" t="s">
        <v>195</v>
      </c>
      <c r="F198" s="7" t="s">
        <v>195</v>
      </c>
      <c r="G198" s="7" t="s">
        <v>195</v>
      </c>
      <c r="H198" s="7" t="s">
        <v>195</v>
      </c>
      <c r="I198" s="7" t="s">
        <v>195</v>
      </c>
      <c r="J198" s="7" t="s">
        <v>195</v>
      </c>
      <c r="K198" s="7" t="s">
        <v>195</v>
      </c>
      <c r="L198" s="7" t="s">
        <v>195</v>
      </c>
      <c r="M198" s="7" t="s">
        <v>29</v>
      </c>
      <c r="N198" s="7" t="s">
        <v>29</v>
      </c>
      <c r="O198" s="7" t="s">
        <v>29</v>
      </c>
      <c r="P198" s="7" t="s">
        <v>29</v>
      </c>
      <c r="Q198" s="7" t="s">
        <v>29</v>
      </c>
      <c r="R198" s="7" t="s">
        <v>29</v>
      </c>
      <c r="S198" s="7" t="s">
        <v>29</v>
      </c>
    </row>
    <row r="199" spans="2:19">
      <c r="B199" s="7" t="s">
        <v>195</v>
      </c>
      <c r="C199" s="8" t="s">
        <v>195</v>
      </c>
      <c r="D199" s="6" t="str">
        <f>LRTRIM(CONCATENATE(IF(SUMPRODUCT(-- ISNUMBER(SEARCH({"Auto Number"}, $B199))) &gt; 0, $B199, IF(SUMPRODUCT(-- ISNUMBER(SEARCH({"Lookup","Master-Detail"}, $B199))) &gt; 0,$B199 &amp; "(" &amp; $E199 &amp; ")",IF(SUMPRODUCT(-- ISNUMBER(SEARCH({"Formula","Roll-Up Summary"}, $B199))) &gt; 0,$B199 &amp; " (" &amp; $E199 &amp; ")",IF(SUMPRODUCT(-- ISNUMBER(SEARCH({"Content","Currency","Number","Percent","Text","URL"}, $B199))) &gt; 0,$B199 &amp; "(" &amp; $C199 &amp; ")",$B199)))), "  ", TRIM(IF($S199 = "YES", "(External ID)", "") &amp; " " &amp; IF(SUMPRODUCT(-- ISNUMBER(SEARCH({"Unique","Unique Case Insensitive"}, $R199))) &gt; 0, "(" &amp; $R199 &amp; ")", ""))))</f>
        <v>na</v>
      </c>
      <c r="E199" s="7" t="s">
        <v>195</v>
      </c>
      <c r="F199" s="7" t="s">
        <v>195</v>
      </c>
      <c r="G199" s="7" t="s">
        <v>195</v>
      </c>
      <c r="H199" s="7" t="s">
        <v>195</v>
      </c>
      <c r="I199" s="7" t="s">
        <v>195</v>
      </c>
      <c r="J199" s="7" t="s">
        <v>195</v>
      </c>
      <c r="K199" s="7" t="s">
        <v>195</v>
      </c>
      <c r="L199" s="7" t="s">
        <v>195</v>
      </c>
      <c r="M199" s="7" t="s">
        <v>29</v>
      </c>
      <c r="N199" s="7" t="s">
        <v>29</v>
      </c>
      <c r="O199" s="7" t="s">
        <v>29</v>
      </c>
      <c r="P199" s="7" t="s">
        <v>29</v>
      </c>
      <c r="Q199" s="7" t="s">
        <v>29</v>
      </c>
      <c r="R199" s="7" t="s">
        <v>29</v>
      </c>
      <c r="S199" s="7" t="s">
        <v>29</v>
      </c>
    </row>
    <row r="200" spans="2:19">
      <c r="B200" s="7" t="s">
        <v>195</v>
      </c>
      <c r="C200" s="8" t="s">
        <v>195</v>
      </c>
      <c r="D200" s="6" t="str">
        <f>LRTRIM(CONCATENATE(IF(SUMPRODUCT(-- ISNUMBER(SEARCH({"Auto Number"}, $B200))) &gt; 0, $B200, IF(SUMPRODUCT(-- ISNUMBER(SEARCH({"Lookup","Master-Detail"}, $B200))) &gt; 0,$B200 &amp; "(" &amp; $E200 &amp; ")",IF(SUMPRODUCT(-- ISNUMBER(SEARCH({"Formula","Roll-Up Summary"}, $B200))) &gt; 0,$B200 &amp; " (" &amp; $E200 &amp; ")",IF(SUMPRODUCT(-- ISNUMBER(SEARCH({"Content","Currency","Number","Percent","Text","URL"}, $B200))) &gt; 0,$B200 &amp; "(" &amp; $C200 &amp; ")",$B200)))), "  ", TRIM(IF($S200 = "YES", "(External ID)", "") &amp; " " &amp; IF(SUMPRODUCT(-- ISNUMBER(SEARCH({"Unique","Unique Case Insensitive"}, $R200))) &gt; 0, "(" &amp; $R200 &amp; ")", ""))))</f>
        <v>na</v>
      </c>
      <c r="E200" s="7" t="s">
        <v>195</v>
      </c>
      <c r="F200" s="7" t="s">
        <v>195</v>
      </c>
      <c r="G200" s="7" t="s">
        <v>195</v>
      </c>
      <c r="H200" s="7" t="s">
        <v>195</v>
      </c>
      <c r="I200" s="7" t="s">
        <v>195</v>
      </c>
      <c r="J200" s="7" t="s">
        <v>195</v>
      </c>
      <c r="K200" s="7" t="s">
        <v>195</v>
      </c>
      <c r="L200" s="7" t="s">
        <v>195</v>
      </c>
      <c r="M200" s="7" t="s">
        <v>29</v>
      </c>
      <c r="N200" s="7" t="s">
        <v>29</v>
      </c>
      <c r="O200" s="7" t="s">
        <v>29</v>
      </c>
      <c r="P200" s="7" t="s">
        <v>29</v>
      </c>
      <c r="Q200" s="7" t="s">
        <v>29</v>
      </c>
      <c r="R200" s="7" t="s">
        <v>29</v>
      </c>
      <c r="S200" s="7" t="s">
        <v>29</v>
      </c>
    </row>
  </sheetData>
  <sheetProtection formatCells="0" formatColumns="0" formatRows="0" insertColumns="0" insertRows="0" insertHyperlinks="0" deleteColumns="0" deleteRows="0" sort="0" autoFilter="0" pivotTables="0"/>
  <conditionalFormatting sqref="D2:D20">
    <cfRule type="expression" dxfId="15" priority="3">
      <formula>NOT(_xlfn.ISFORMULA($D2))</formula>
    </cfRule>
  </conditionalFormatting>
  <conditionalFormatting sqref="D21">
    <cfRule type="expression" dxfId="14" priority="2">
      <formula>NOT(_xlfn.ISFORMULA($D21))</formula>
    </cfRule>
  </conditionalFormatting>
  <conditionalFormatting sqref="D22:D200">
    <cfRule type="expression" dxfId="13" priority="1">
      <formula>NOT(_xlfn.ISFORMULA($D22))</formula>
    </cfRule>
  </conditionalFormatting>
  <dataValidations count="1">
    <dataValidation allowBlank="1" showInputMessage="1" showErrorMessage="1" sqref="A2:A20"/>
  </dataValidations>
  <pageMargins left="0.7" right="0.7" top="0.75" bottom="0.75" header="0.3" footer="0.3"/>
  <extLst>
    <ext xmlns:x14="http://schemas.microsoft.com/office/spreadsheetml/2009/9/main" uri="{CCE6A557-97BC-4b89-ADB6-D9C93CAAB3DF}">
      <x14:dataValidations xmlns:xm="http://schemas.microsoft.com/office/excel/2006/main" count="15">
        <x14:dataValidation type="list" allowBlank="1" showInputMessage="1" showErrorMessage="1">
          <x14:formula1>
            <xm:f>OFFSET('Reference Fields'!$J$2,0,0,COUNTA('Reference Fields'!$J:$J)-1)</xm:f>
          </x14:formula1>
          <xm:sqref>Q2:Q200</xm:sqref>
        </x14:dataValidation>
        <x14:dataValidation type="list" allowBlank="1" showInputMessage="1" showErrorMessage="1">
          <x14:formula1>
            <xm:f>OFFSET('Reference Fields'!$J$2,0,0,COUNTA('Reference Fields'!$J:$J)-1)</xm:f>
          </x14:formula1>
          <xm:sqref>M2:M200</xm:sqref>
        </x14:dataValidation>
        <x14:dataValidation type="list" allowBlank="1" showInputMessage="1" showErrorMessage="1">
          <x14:formula1>
            <xm:f>OFFSET('Reference Fields'!$J$2,0,0,COUNTA('Reference Fields'!$J:$J)-1)</xm:f>
          </x14:formula1>
          <xm:sqref>N2:N200</xm:sqref>
        </x14:dataValidation>
        <x14:dataValidation type="list" allowBlank="1" showInputMessage="1" showErrorMessage="1">
          <x14:formula1>
            <xm:f>OFFSET('Reference Fields'!$J$2,0,0,COUNTA('Reference Fields'!$J:$J)-1)</xm:f>
          </x14:formula1>
          <xm:sqref>O2:O200</xm:sqref>
        </x14:dataValidation>
        <x14:dataValidation type="list" allowBlank="1" showInputMessage="1" showErrorMessage="1">
          <x14:formula1>
            <xm:f>OFFSET('Reference Fields'!$J$2,0,0,COUNTA('Reference Fields'!$J:$J)-1)</xm:f>
          </x14:formula1>
          <xm:sqref>P2:P200</xm:sqref>
        </x14:dataValidation>
        <x14:dataValidation type="list" allowBlank="1" showInputMessage="1" showErrorMessage="1">
          <x14:formula1>
            <xm:f>OFFSET('Reference Fields'!$J$2,0,0,COUNTA('Reference Fields'!$J:$J)-1)</xm:f>
          </x14:formula1>
          <xm:sqref>S2:S200</xm:sqref>
        </x14:dataValidation>
        <x14:dataValidation type="list" allowBlank="1" showInputMessage="1" showErrorMessage="1">
          <x14:formula1>
            <xm:f>OFFSET('Reference Fields'!$K$2,0,0,COUNTA('Reference Fields'!$K:$K)-1)</xm:f>
          </x14:formula1>
          <xm:sqref>R2:R200</xm:sqref>
        </x14:dataValidation>
        <x14:dataValidation type="list" allowBlank="1" showInputMessage="1" showErrorMessage="1">
          <x14:formula1>
            <xm:f>OFFSET('Reference Fields'!$B$2,0,0,COUNTA('Reference Fields'!$B:$B)-1)</xm:f>
          </x14:formula1>
          <xm:sqref>B2:B200</xm:sqref>
        </x14:dataValidation>
        <x14:dataValidation type="list" allowBlank="1" showInputMessage="1" showErrorMessage="1">
          <x14:formula1>
            <xm:f>OFFSET('Reference Fields'!$D$2,0,0,COUNTA('Reference Fields'!$D:$D)-1)</xm:f>
          </x14:formula1>
          <xm:sqref>F2:F200</xm:sqref>
        </x14:dataValidation>
        <x14:dataValidation type="list" allowBlank="1" showInputMessage="1" showErrorMessage="1">
          <x14:formula1>
            <xm:f>OFFSET('Reference Fields'!$E$2,0,0,COUNTA('Reference Fields'!$E:$E)-1)</xm:f>
          </x14:formula1>
          <xm:sqref>G2:G200</xm:sqref>
        </x14:dataValidation>
        <x14:dataValidation type="list" allowBlank="1" showInputMessage="1" showErrorMessage="1">
          <x14:formula1>
            <xm:f>OFFSET('Reference Fields'!$F$2,0,0,COUNTA('Reference Fields'!$F:$F)-1)</xm:f>
          </x14:formula1>
          <xm:sqref>H2:H200</xm:sqref>
        </x14:dataValidation>
        <x14:dataValidation type="list" allowBlank="1" showInputMessage="1" showErrorMessage="1">
          <x14:formula1>
            <xm:f>OFFSET('Reference Fields'!$F$2,0,0,COUNTA('Reference Fields'!$F:$F)-1)</xm:f>
          </x14:formula1>
          <xm:sqref>I2:I200</xm:sqref>
        </x14:dataValidation>
        <x14:dataValidation type="list" allowBlank="1" showInputMessage="1" showErrorMessage="1">
          <x14:formula1>
            <xm:f>OFFSET('Reference Fields'!$G$2,0,0,COUNTA('Reference Fields'!$G:$G)-1)</xm:f>
          </x14:formula1>
          <xm:sqref>J2:J200</xm:sqref>
        </x14:dataValidation>
        <x14:dataValidation type="list" allowBlank="1" showInputMessage="1" showErrorMessage="1">
          <x14:formula1>
            <xm:f>OFFSET('Reference Fields'!$H$2,0,0,COUNTA('Reference Fields'!$H:$H)-1)</xm:f>
          </x14:formula1>
          <xm:sqref>K2:K200</xm:sqref>
        </x14:dataValidation>
        <x14:dataValidation type="list" allowBlank="1" showInputMessage="1" showErrorMessage="1">
          <x14:formula1>
            <xm:f>OFFSET('Reference Fields'!$I$2,0,0,COUNTA('Reference Fields'!$I:$I)-1)</xm:f>
          </x14:formula1>
          <xm:sqref>L2:L200</xm:sqref>
        </x14:dataValidation>
      </x14:dataValidations>
    </ext>
  </extLst>
</worksheet>
</file>

<file path=xl/worksheets/sheet36.xml><?xml version="1.0" encoding="utf-8"?>
<worksheet xmlns="http://schemas.openxmlformats.org/spreadsheetml/2006/main" xmlns:r="http://schemas.openxmlformats.org/officeDocument/2006/relationships">
  <sheetPr codeName="Sheet25"/>
  <dimension ref="A1:S200"/>
  <sheetViews>
    <sheetView workbookViewId="0">
      <pane ySplit="1" topLeftCell="A2" activePane="bottomLeft" state="frozen"/>
      <selection pane="bottomLeft" activeCell="A2" sqref="A2"/>
    </sheetView>
  </sheetViews>
  <sheetFormatPr defaultRowHeight="14.5"/>
  <cols>
    <col min="1" max="1" width="23" bestFit="1" customWidth="1"/>
    <col min="2" max="2" width="13.54296875" customWidth="1"/>
    <col min="3" max="4" width="8.90625" customWidth="1"/>
    <col min="5" max="5" width="12.6328125" customWidth="1"/>
    <col min="6" max="6" width="15.6328125" bestFit="1" customWidth="1"/>
    <col min="7" max="8" width="15.453125" customWidth="1"/>
    <col min="9" max="9" width="22.6328125" customWidth="1"/>
    <col min="10" max="10" width="23.36328125" customWidth="1"/>
    <col min="11" max="11" width="17.54296875" customWidth="1"/>
    <col min="12" max="12" width="14.08984375" customWidth="1"/>
    <col min="13" max="13" width="10.453125" bestFit="1" customWidth="1"/>
    <col min="14" max="14" width="10.453125" customWidth="1"/>
    <col min="15" max="15" width="12.453125" bestFit="1" customWidth="1"/>
  </cols>
  <sheetData>
    <row r="1" spans="1:19" s="1" customFormat="1">
      <c r="A1" s="1" t="s">
        <v>2</v>
      </c>
      <c r="B1" s="1" t="s">
        <v>1198</v>
      </c>
      <c r="C1" s="1" t="s">
        <v>1199</v>
      </c>
      <c r="D1" s="1" t="s">
        <v>0</v>
      </c>
      <c r="E1" s="1" t="s">
        <v>1</v>
      </c>
      <c r="F1" s="1" t="s">
        <v>30</v>
      </c>
      <c r="G1" s="1" t="s">
        <v>31</v>
      </c>
      <c r="H1" s="1" t="s">
        <v>1262</v>
      </c>
      <c r="I1" s="1" t="s">
        <v>49</v>
      </c>
      <c r="J1" s="1" t="s">
        <v>48</v>
      </c>
      <c r="K1" s="1" t="s">
        <v>54</v>
      </c>
      <c r="L1" s="1" t="s">
        <v>55</v>
      </c>
      <c r="M1" s="1" t="s">
        <v>27</v>
      </c>
      <c r="N1" s="1" t="s">
        <v>175</v>
      </c>
      <c r="O1" s="1" t="s">
        <v>193</v>
      </c>
      <c r="P1" s="1" t="s">
        <v>1221</v>
      </c>
      <c r="Q1" s="1" t="s">
        <v>1264</v>
      </c>
      <c r="R1" s="1" t="s">
        <v>1263</v>
      </c>
      <c r="S1" s="1" t="s">
        <v>1265</v>
      </c>
    </row>
    <row r="2" spans="1:19">
      <c r="A2" s="7" t="s">
        <v>194</v>
      </c>
      <c r="B2" s="7" t="s">
        <v>1212</v>
      </c>
      <c r="C2" s="8">
        <v>18</v>
      </c>
      <c r="D2" s="6" t="str">
        <f>LRTRIM(CONCATENATE(IF(SUMPRODUCT(-- ISNUMBER(SEARCH({"Auto Number"}, $B2))) &gt; 0, $B2, IF(SUMPRODUCT(-- ISNUMBER(SEARCH({"Lookup","Master-Detail"}, $B2))) &gt; 0,$B2 &amp; "(" &amp; $E2 &amp; ")",IF(SUMPRODUCT(-- ISNUMBER(SEARCH({"Formula","Roll-Up Summary"}, $B2))) &gt; 0,$B2 &amp; " (" &amp; $E2 &amp; ")",IF(SUMPRODUCT(-- ISNUMBER(SEARCH({"Content","Currency","Number","Percent","Text","URL"}, $B2))) &gt; 0,$B2 &amp; "(" &amp; $C2 &amp; ")",$B2)))), "  ", TRIM(IF($S2 = "YES", "(External ID)", "") &amp; " " &amp; IF(SUMPRODUCT(-- ISNUMBER(SEARCH({"Unique","Unique Case Insensitive"}, $R2))) &gt; 0, "(" &amp; $R2 &amp; ")", ""))))</f>
        <v>Master-Detail(Account)</v>
      </c>
      <c r="E2" s="7" t="s">
        <v>5</v>
      </c>
      <c r="F2" s="7" t="s">
        <v>1011</v>
      </c>
      <c r="G2" s="7" t="s">
        <v>559</v>
      </c>
      <c r="H2" s="7" t="s">
        <v>195</v>
      </c>
      <c r="I2" s="7" t="s">
        <v>195</v>
      </c>
      <c r="J2" s="7" t="s">
        <v>195</v>
      </c>
      <c r="K2" s="7" t="s">
        <v>195</v>
      </c>
      <c r="L2" s="7" t="s">
        <v>195</v>
      </c>
      <c r="M2" s="7" t="s">
        <v>28</v>
      </c>
      <c r="N2" s="7" t="s">
        <v>29</v>
      </c>
      <c r="O2" s="7" t="s">
        <v>29</v>
      </c>
      <c r="P2" s="7" t="s">
        <v>29</v>
      </c>
      <c r="Q2" s="7" t="s">
        <v>29</v>
      </c>
      <c r="R2" s="7" t="s">
        <v>29</v>
      </c>
      <c r="S2" s="7" t="s">
        <v>29</v>
      </c>
    </row>
    <row r="3" spans="1:19">
      <c r="A3" s="7" t="s">
        <v>997</v>
      </c>
      <c r="B3" s="7" t="s">
        <v>1216</v>
      </c>
      <c r="C3" s="8">
        <v>4099</v>
      </c>
      <c r="D3" s="6" t="str">
        <f>LRTRIM(CONCATENATE(IF(SUMPRODUCT(-- ISNUMBER(SEARCH({"Auto Number"}, $B3))) &gt; 0, $B3, IF(SUMPRODUCT(-- ISNUMBER(SEARCH({"Lookup","Master-Detail"}, $B3))) &gt; 0,$B3 &amp; "(" &amp; $E3 &amp; ")",IF(SUMPRODUCT(-- ISNUMBER(SEARCH({"Formula","Roll-Up Summary"}, $B3))) &gt; 0,$B3 &amp; " (" &amp; $E3 &amp; ")",IF(SUMPRODUCT(-- ISNUMBER(SEARCH({"Content","Currency","Number","Percent","Text","URL"}, $B3))) &gt; 0,$B3 &amp; "(" &amp; $C3 &amp; ")",$B3)))), "  ", TRIM(IF($S3 = "YES", "(External ID)", "") &amp; " " &amp; IF(SUMPRODUCT(-- ISNUMBER(SEARCH({"Unique","Unique Case Insensitive"}, $R3))) &gt; 0, "(" &amp; $R3 &amp; ")", ""))))</f>
        <v>Picklist (Multi-Select)</v>
      </c>
      <c r="E3" s="7" t="s">
        <v>195</v>
      </c>
      <c r="F3" s="7" t="s">
        <v>1012</v>
      </c>
      <c r="G3" s="7" t="s">
        <v>1026</v>
      </c>
      <c r="H3" s="7" t="s">
        <v>195</v>
      </c>
      <c r="I3" s="7" t="s">
        <v>1775</v>
      </c>
      <c r="J3" s="7" t="s">
        <v>195</v>
      </c>
      <c r="K3" s="7" t="s">
        <v>989</v>
      </c>
      <c r="L3" s="7" t="s">
        <v>195</v>
      </c>
      <c r="M3" s="7" t="s">
        <v>29</v>
      </c>
      <c r="N3" s="7" t="s">
        <v>29</v>
      </c>
      <c r="O3" s="7" t="s">
        <v>29</v>
      </c>
      <c r="P3" s="7" t="s">
        <v>29</v>
      </c>
      <c r="Q3" s="7" t="s">
        <v>29</v>
      </c>
      <c r="R3" s="7" t="s">
        <v>29</v>
      </c>
      <c r="S3" s="7" t="s">
        <v>29</v>
      </c>
    </row>
    <row r="4" spans="1:19">
      <c r="A4" s="7" t="s">
        <v>9</v>
      </c>
      <c r="B4" s="7" t="s">
        <v>1218</v>
      </c>
      <c r="C4" s="8">
        <v>50</v>
      </c>
      <c r="D4" s="6" t="str">
        <f>LRTRIM(CONCATENATE(IF(SUMPRODUCT(-- ISNUMBER(SEARCH({"Auto Number"}, $B4))) &gt; 0, $B4, IF(SUMPRODUCT(-- ISNUMBER(SEARCH({"Lookup","Master-Detail"}, $B4))) &gt; 0,$B4 &amp; "(" &amp; $E4 &amp; ")",IF(SUMPRODUCT(-- ISNUMBER(SEARCH({"Formula","Roll-Up Summary"}, $B4))) &gt; 0,$B4 &amp; " (" &amp; $E4 &amp; ")",IF(SUMPRODUCT(-- ISNUMBER(SEARCH({"Content","Currency","Number","Percent","Text","URL"}, $B4))) &gt; 0,$B4 &amp; "(" &amp; $C4 &amp; ")",$B4)))), "  ", TRIM(IF($S4 = "YES", "(External ID)", "") &amp; " " &amp; IF(SUMPRODUCT(-- ISNUMBER(SEARCH({"Unique","Unique Case Insensitive"}, $R4))) &gt; 0, "(" &amp; $R4 &amp; ")", ""))))</f>
        <v>Text(50)</v>
      </c>
      <c r="E4" s="7" t="s">
        <v>195</v>
      </c>
      <c r="F4" s="7" t="s">
        <v>18</v>
      </c>
      <c r="G4" s="7" t="s">
        <v>195</v>
      </c>
      <c r="H4" s="7" t="s">
        <v>195</v>
      </c>
      <c r="I4" s="7" t="s">
        <v>195</v>
      </c>
      <c r="J4" s="7" t="s">
        <v>195</v>
      </c>
      <c r="K4" s="7" t="s">
        <v>195</v>
      </c>
      <c r="L4" s="7" t="s">
        <v>195</v>
      </c>
      <c r="M4" s="7" t="s">
        <v>29</v>
      </c>
      <c r="N4" s="7" t="s">
        <v>29</v>
      </c>
      <c r="O4" s="7" t="s">
        <v>29</v>
      </c>
      <c r="P4" s="7" t="s">
        <v>29</v>
      </c>
      <c r="Q4" s="7" t="s">
        <v>29</v>
      </c>
      <c r="R4" s="7" t="s">
        <v>29</v>
      </c>
      <c r="S4" s="7" t="s">
        <v>29</v>
      </c>
    </row>
    <row r="5" spans="1:19">
      <c r="A5" s="7" t="s">
        <v>1739</v>
      </c>
      <c r="B5" s="7" t="s">
        <v>195</v>
      </c>
      <c r="C5" s="8" t="s">
        <v>195</v>
      </c>
      <c r="D5" s="6" t="str">
        <f>LRTRIM(CONCATENATE(IF(SUMPRODUCT(-- ISNUMBER(SEARCH({"Auto Number"}, $B5))) &gt; 0, $B5, IF(SUMPRODUCT(-- ISNUMBER(SEARCH({"Lookup","Master-Detail"}, $B5))) &gt; 0,$B5 &amp; "(" &amp; $E5 &amp; ")",IF(SUMPRODUCT(-- ISNUMBER(SEARCH({"Formula","Roll-Up Summary"}, $B5))) &gt; 0,$B5 &amp; " (" &amp; $E5 &amp; ")",IF(SUMPRODUCT(-- ISNUMBER(SEARCH({"Content","Currency","Number","Percent","Text","URL"}, $B5))) &gt; 0,$B5 &amp; "(" &amp; $C5 &amp; ")",$B5)))), "  ", TRIM(IF($S5 = "YES", "(External ID)", "") &amp; " " &amp; IF(SUMPRODUCT(-- ISNUMBER(SEARCH({"Unique","Unique Case Insensitive"}, $R5))) &gt; 0, "(" &amp; $R5 &amp; ")", ""))))</f>
        <v>na</v>
      </c>
      <c r="E5" s="7" t="s">
        <v>195</v>
      </c>
      <c r="F5" s="7" t="s">
        <v>1750</v>
      </c>
      <c r="G5" s="7" t="s">
        <v>1758</v>
      </c>
      <c r="H5" s="7" t="s">
        <v>195</v>
      </c>
      <c r="I5" s="7" t="s">
        <v>1766</v>
      </c>
      <c r="J5" s="7" t="s">
        <v>195</v>
      </c>
      <c r="K5" s="7" t="s">
        <v>195</v>
      </c>
      <c r="L5" s="7" t="s">
        <v>195</v>
      </c>
      <c r="M5" s="7" t="s">
        <v>29</v>
      </c>
      <c r="N5" s="7" t="s">
        <v>29</v>
      </c>
      <c r="O5" s="7" t="s">
        <v>29</v>
      </c>
      <c r="P5" s="7" t="s">
        <v>29</v>
      </c>
      <c r="Q5" s="7" t="s">
        <v>29</v>
      </c>
      <c r="R5" s="7" t="s">
        <v>29</v>
      </c>
      <c r="S5" s="7" t="s">
        <v>29</v>
      </c>
    </row>
    <row r="6" spans="1:19">
      <c r="A6" s="7" t="s">
        <v>998</v>
      </c>
      <c r="B6" s="7" t="s">
        <v>1204</v>
      </c>
      <c r="C6" s="8">
        <v>0</v>
      </c>
      <c r="D6" s="6" t="str">
        <f>LRTRIM(CONCATENATE(IF(SUMPRODUCT(-- ISNUMBER(SEARCH({"Auto Number"}, $B6))) &gt; 0, $B6, IF(SUMPRODUCT(-- ISNUMBER(SEARCH({"Lookup","Master-Detail"}, $B6))) &gt; 0,$B6 &amp; "(" &amp; $E6 &amp; ")",IF(SUMPRODUCT(-- ISNUMBER(SEARCH({"Formula","Roll-Up Summary"}, $B6))) &gt; 0,$B6 &amp; " (" &amp; $E6 &amp; ")",IF(SUMPRODUCT(-- ISNUMBER(SEARCH({"Content","Currency","Number","Percent","Text","URL"}, $B6))) &gt; 0,$B6 &amp; "(" &amp; $C6 &amp; ")",$B6)))), "  ", TRIM(IF($S6 = "YES", "(External ID)", "") &amp; " " &amp; IF(SUMPRODUCT(-- ISNUMBER(SEARCH({"Unique","Unique Case Insensitive"}, $R6))) &gt; 0, "(" &amp; $R6 &amp; ")", ""))))</f>
        <v>Checkbox</v>
      </c>
      <c r="E6" s="7" t="s">
        <v>195</v>
      </c>
      <c r="F6" s="7" t="s">
        <v>808</v>
      </c>
      <c r="G6" s="7" t="s">
        <v>808</v>
      </c>
      <c r="H6" s="7" t="s">
        <v>195</v>
      </c>
      <c r="I6" s="7" t="s">
        <v>195</v>
      </c>
      <c r="J6" s="7" t="s">
        <v>195</v>
      </c>
      <c r="K6" s="7" t="s">
        <v>195</v>
      </c>
      <c r="L6" s="7" t="s">
        <v>195</v>
      </c>
      <c r="M6" s="7" t="s">
        <v>28</v>
      </c>
      <c r="N6" s="7" t="s">
        <v>29</v>
      </c>
      <c r="O6" s="7" t="s">
        <v>29</v>
      </c>
      <c r="P6" s="7" t="s">
        <v>29</v>
      </c>
      <c r="Q6" s="7" t="s">
        <v>29</v>
      </c>
      <c r="R6" s="7" t="s">
        <v>29</v>
      </c>
      <c r="S6" s="7" t="s">
        <v>29</v>
      </c>
    </row>
    <row r="7" spans="1:19">
      <c r="A7" s="7" t="s">
        <v>999</v>
      </c>
      <c r="B7" s="7" t="s">
        <v>1215</v>
      </c>
      <c r="C7" s="8">
        <v>255</v>
      </c>
      <c r="D7" s="6" t="str">
        <f>LRTRIM(CONCATENATE(IF(SUMPRODUCT(-- ISNUMBER(SEARCH({"Auto Number"}, $B7))) &gt; 0, $B7, IF(SUMPRODUCT(-- ISNUMBER(SEARCH({"Lookup","Master-Detail"}, $B7))) &gt; 0,$B7 &amp; "(" &amp; $E7 &amp; ")",IF(SUMPRODUCT(-- ISNUMBER(SEARCH({"Formula","Roll-Up Summary"}, $B7))) &gt; 0,$B7 &amp; " (" &amp; $E7 &amp; ")",IF(SUMPRODUCT(-- ISNUMBER(SEARCH({"Content","Currency","Number","Percent","Text","URL"}, $B7))) &gt; 0,$B7 &amp; "(" &amp; $C7 &amp; ")",$B7)))), "  ", TRIM(IF($S7 = "YES", "(External ID)", "") &amp; " " &amp; IF(SUMPRODUCT(-- ISNUMBER(SEARCH({"Unique","Unique Case Insensitive"}, $R7))) &gt; 0, "(" &amp; $R7 &amp; ")", ""))))</f>
        <v>Picklist</v>
      </c>
      <c r="E7" s="7" t="s">
        <v>195</v>
      </c>
      <c r="F7" s="7" t="s">
        <v>1013</v>
      </c>
      <c r="G7" s="7" t="s">
        <v>1013</v>
      </c>
      <c r="H7" s="7" t="s">
        <v>195</v>
      </c>
      <c r="I7" s="7" t="s">
        <v>1728</v>
      </c>
      <c r="J7" s="7" t="s">
        <v>195</v>
      </c>
      <c r="K7" s="7" t="s">
        <v>195</v>
      </c>
      <c r="L7" s="7" t="s">
        <v>195</v>
      </c>
      <c r="M7" s="7" t="s">
        <v>29</v>
      </c>
      <c r="N7" s="7" t="s">
        <v>29</v>
      </c>
      <c r="O7" s="7" t="s">
        <v>29</v>
      </c>
      <c r="P7" s="7" t="s">
        <v>29</v>
      </c>
      <c r="Q7" s="7" t="s">
        <v>29</v>
      </c>
      <c r="R7" s="7" t="s">
        <v>29</v>
      </c>
      <c r="S7" s="7" t="s">
        <v>29</v>
      </c>
    </row>
    <row r="8" spans="1:19">
      <c r="A8" s="7" t="s">
        <v>1000</v>
      </c>
      <c r="B8" s="7" t="s">
        <v>1215</v>
      </c>
      <c r="C8" s="8">
        <v>255</v>
      </c>
      <c r="D8" s="6" t="str">
        <f>LRTRIM(CONCATENATE(IF(SUMPRODUCT(-- ISNUMBER(SEARCH({"Auto Number"}, $B8))) &gt; 0, $B8, IF(SUMPRODUCT(-- ISNUMBER(SEARCH({"Lookup","Master-Detail"}, $B8))) &gt; 0,$B8 &amp; "(" &amp; $E8 &amp; ")",IF(SUMPRODUCT(-- ISNUMBER(SEARCH({"Formula","Roll-Up Summary"}, $B8))) &gt; 0,$B8 &amp; " (" &amp; $E8 &amp; ")",IF(SUMPRODUCT(-- ISNUMBER(SEARCH({"Content","Currency","Number","Percent","Text","URL"}, $B8))) &gt; 0,$B8 &amp; "(" &amp; $C8 &amp; ")",$B8)))), "  ", TRIM(IF($S8 = "YES", "(External ID)", "") &amp; " " &amp; IF(SUMPRODUCT(-- ISNUMBER(SEARCH({"Unique","Unique Case Insensitive"}, $R8))) &gt; 0, "(" &amp; $R8 &amp; ")", ""))))</f>
        <v>Picklist</v>
      </c>
      <c r="E8" s="7" t="s">
        <v>195</v>
      </c>
      <c r="F8" s="7" t="s">
        <v>1014</v>
      </c>
      <c r="G8" s="7" t="s">
        <v>1027</v>
      </c>
      <c r="H8" s="7" t="s">
        <v>195</v>
      </c>
      <c r="I8" s="7" t="s">
        <v>995</v>
      </c>
      <c r="J8" s="7" t="s">
        <v>195</v>
      </c>
      <c r="K8" s="7" t="s">
        <v>195</v>
      </c>
      <c r="L8" s="7" t="s">
        <v>195</v>
      </c>
      <c r="M8" s="7" t="s">
        <v>29</v>
      </c>
      <c r="N8" s="7" t="s">
        <v>29</v>
      </c>
      <c r="O8" s="7" t="s">
        <v>29</v>
      </c>
      <c r="P8" s="7" t="s">
        <v>29</v>
      </c>
      <c r="Q8" s="7" t="s">
        <v>29</v>
      </c>
      <c r="R8" s="7" t="s">
        <v>29</v>
      </c>
      <c r="S8" s="7" t="s">
        <v>29</v>
      </c>
    </row>
    <row r="9" spans="1:19">
      <c r="A9" s="7" t="s">
        <v>1001</v>
      </c>
      <c r="B9" s="7" t="s">
        <v>1215</v>
      </c>
      <c r="C9" s="8">
        <v>255</v>
      </c>
      <c r="D9" s="6" t="str">
        <f>LRTRIM(CONCATENATE(IF(SUMPRODUCT(-- ISNUMBER(SEARCH({"Auto Number"}, $B9))) &gt; 0, $B9, IF(SUMPRODUCT(-- ISNUMBER(SEARCH({"Lookup","Master-Detail"}, $B9))) &gt; 0,$B9 &amp; "(" &amp; $E9 &amp; ")",IF(SUMPRODUCT(-- ISNUMBER(SEARCH({"Formula","Roll-Up Summary"}, $B9))) &gt; 0,$B9 &amp; " (" &amp; $E9 &amp; ")",IF(SUMPRODUCT(-- ISNUMBER(SEARCH({"Content","Currency","Number","Percent","Text","URL"}, $B9))) &gt; 0,$B9 &amp; "(" &amp; $C9 &amp; ")",$B9)))), "  ", TRIM(IF($S9 = "YES", "(External ID)", "") &amp; " " &amp; IF(SUMPRODUCT(-- ISNUMBER(SEARCH({"Unique","Unique Case Insensitive"}, $R9))) &gt; 0, "(" &amp; $R9 &amp; ")", ""))))</f>
        <v>Picklist</v>
      </c>
      <c r="E9" s="7" t="s">
        <v>195</v>
      </c>
      <c r="F9" s="7" t="s">
        <v>1015</v>
      </c>
      <c r="G9" s="7" t="s">
        <v>1028</v>
      </c>
      <c r="H9" s="7" t="s">
        <v>195</v>
      </c>
      <c r="I9" s="7" t="s">
        <v>995</v>
      </c>
      <c r="J9" s="7" t="s">
        <v>195</v>
      </c>
      <c r="K9" s="7" t="s">
        <v>195</v>
      </c>
      <c r="L9" s="7" t="s">
        <v>195</v>
      </c>
      <c r="M9" s="7" t="s">
        <v>29</v>
      </c>
      <c r="N9" s="7" t="s">
        <v>29</v>
      </c>
      <c r="O9" s="7" t="s">
        <v>29</v>
      </c>
      <c r="P9" s="7" t="s">
        <v>29</v>
      </c>
      <c r="Q9" s="7" t="s">
        <v>29</v>
      </c>
      <c r="R9" s="7" t="s">
        <v>29</v>
      </c>
      <c r="S9" s="7" t="s">
        <v>29</v>
      </c>
    </row>
    <row r="10" spans="1:19">
      <c r="A10" s="7" t="s">
        <v>1002</v>
      </c>
      <c r="B10" s="7" t="s">
        <v>1215</v>
      </c>
      <c r="C10" s="8">
        <v>255</v>
      </c>
      <c r="D10" s="6" t="str">
        <f>LRTRIM(CONCATENATE(IF(SUMPRODUCT(-- ISNUMBER(SEARCH({"Auto Number"}, $B10))) &gt; 0, $B10, IF(SUMPRODUCT(-- ISNUMBER(SEARCH({"Lookup","Master-Detail"}, $B10))) &gt; 0,$B10 &amp; "(" &amp; $E10 &amp; ")",IF(SUMPRODUCT(-- ISNUMBER(SEARCH({"Formula","Roll-Up Summary"}, $B10))) &gt; 0,$B10 &amp; " (" &amp; $E10 &amp; ")",IF(SUMPRODUCT(-- ISNUMBER(SEARCH({"Content","Currency","Number","Percent","Text","URL"}, $B10))) &gt; 0,$B10 &amp; "(" &amp; $C10 &amp; ")",$B10)))), "  ", TRIM(IF($S10 = "YES", "(External ID)", "") &amp; " " &amp; IF(SUMPRODUCT(-- ISNUMBER(SEARCH({"Unique","Unique Case Insensitive"}, $R10))) &gt; 0, "(" &amp; $R10 &amp; ")", ""))))</f>
        <v>Picklist</v>
      </c>
      <c r="E10" s="7" t="s">
        <v>195</v>
      </c>
      <c r="F10" s="7" t="s">
        <v>1016</v>
      </c>
      <c r="G10" s="7" t="s">
        <v>1029</v>
      </c>
      <c r="H10" s="7" t="s">
        <v>195</v>
      </c>
      <c r="I10" s="7" t="s">
        <v>995</v>
      </c>
      <c r="J10" s="7" t="s">
        <v>195</v>
      </c>
      <c r="K10" s="7" t="s">
        <v>195</v>
      </c>
      <c r="L10" s="7" t="s">
        <v>195</v>
      </c>
      <c r="M10" s="7" t="s">
        <v>29</v>
      </c>
      <c r="N10" s="7" t="s">
        <v>29</v>
      </c>
      <c r="O10" s="7" t="s">
        <v>29</v>
      </c>
      <c r="P10" s="7" t="s">
        <v>29</v>
      </c>
      <c r="Q10" s="7" t="s">
        <v>29</v>
      </c>
      <c r="R10" s="7" t="s">
        <v>29</v>
      </c>
      <c r="S10" s="7" t="s">
        <v>29</v>
      </c>
    </row>
    <row r="11" spans="1:19">
      <c r="A11" s="7" t="s">
        <v>1003</v>
      </c>
      <c r="B11" s="7" t="s">
        <v>1215</v>
      </c>
      <c r="C11" s="8">
        <v>255</v>
      </c>
      <c r="D11" s="6" t="str">
        <f>LRTRIM(CONCATENATE(IF(SUMPRODUCT(-- ISNUMBER(SEARCH({"Auto Number"}, $B11))) &gt; 0, $B11, IF(SUMPRODUCT(-- ISNUMBER(SEARCH({"Lookup","Master-Detail"}, $B11))) &gt; 0,$B11 &amp; "(" &amp; $E11 &amp; ")",IF(SUMPRODUCT(-- ISNUMBER(SEARCH({"Formula","Roll-Up Summary"}, $B11))) &gt; 0,$B11 &amp; " (" &amp; $E11 &amp; ")",IF(SUMPRODUCT(-- ISNUMBER(SEARCH({"Content","Currency","Number","Percent","Text","URL"}, $B11))) &gt; 0,$B11 &amp; "(" &amp; $C11 &amp; ")",$B11)))), "  ", TRIM(IF($S11 = "YES", "(External ID)", "") &amp; " " &amp; IF(SUMPRODUCT(-- ISNUMBER(SEARCH({"Unique","Unique Case Insensitive"}, $R11))) &gt; 0, "(" &amp; $R11 &amp; ")", ""))))</f>
        <v>Picklist</v>
      </c>
      <c r="E11" s="7" t="s">
        <v>195</v>
      </c>
      <c r="F11" s="7" t="s">
        <v>1017</v>
      </c>
      <c r="G11" s="7" t="s">
        <v>1030</v>
      </c>
      <c r="H11" s="7" t="s">
        <v>195</v>
      </c>
      <c r="I11" s="7" t="s">
        <v>995</v>
      </c>
      <c r="J11" s="7" t="s">
        <v>195</v>
      </c>
      <c r="K11" s="7" t="s">
        <v>195</v>
      </c>
      <c r="L11" s="7" t="s">
        <v>195</v>
      </c>
      <c r="M11" s="7" t="s">
        <v>29</v>
      </c>
      <c r="N11" s="7" t="s">
        <v>29</v>
      </c>
      <c r="O11" s="7" t="s">
        <v>29</v>
      </c>
      <c r="P11" s="7" t="s">
        <v>29</v>
      </c>
      <c r="Q11" s="7" t="s">
        <v>29</v>
      </c>
      <c r="R11" s="7" t="s">
        <v>29</v>
      </c>
      <c r="S11" s="7" t="s">
        <v>29</v>
      </c>
    </row>
    <row r="12" spans="1:19">
      <c r="A12" s="7" t="s">
        <v>1004</v>
      </c>
      <c r="B12" s="7" t="s">
        <v>1216</v>
      </c>
      <c r="C12" s="8">
        <v>4099</v>
      </c>
      <c r="D12" s="6" t="str">
        <f>LRTRIM(CONCATENATE(IF(SUMPRODUCT(-- ISNUMBER(SEARCH({"Auto Number"}, $B12))) &gt; 0, $B12, IF(SUMPRODUCT(-- ISNUMBER(SEARCH({"Lookup","Master-Detail"}, $B12))) &gt; 0,$B12 &amp; "(" &amp; $E12 &amp; ")",IF(SUMPRODUCT(-- ISNUMBER(SEARCH({"Formula","Roll-Up Summary"}, $B12))) &gt; 0,$B12 &amp; " (" &amp; $E12 &amp; ")",IF(SUMPRODUCT(-- ISNUMBER(SEARCH({"Content","Currency","Number","Percent","Text","URL"}, $B12))) &gt; 0,$B12 &amp; "(" &amp; $C12 &amp; ")",$B12)))), "  ", TRIM(IF($S12 = "YES", "(External ID)", "") &amp; " " &amp; IF(SUMPRODUCT(-- ISNUMBER(SEARCH({"Unique","Unique Case Insensitive"}, $R12))) &gt; 0, "(" &amp; $R12 &amp; ")", ""))))</f>
        <v>Picklist (Multi-Select)</v>
      </c>
      <c r="E12" s="7" t="s">
        <v>195</v>
      </c>
      <c r="F12" s="7" t="s">
        <v>1018</v>
      </c>
      <c r="G12" s="7" t="s">
        <v>1031</v>
      </c>
      <c r="H12" s="7" t="s">
        <v>195</v>
      </c>
      <c r="I12" s="7" t="s">
        <v>1774</v>
      </c>
      <c r="J12" s="7" t="s">
        <v>195</v>
      </c>
      <c r="K12" s="7" t="s">
        <v>990</v>
      </c>
      <c r="L12" s="7" t="s">
        <v>195</v>
      </c>
      <c r="M12" s="7" t="s">
        <v>29</v>
      </c>
      <c r="N12" s="7" t="s">
        <v>29</v>
      </c>
      <c r="O12" s="7" t="s">
        <v>29</v>
      </c>
      <c r="P12" s="7" t="s">
        <v>29</v>
      </c>
      <c r="Q12" s="7" t="s">
        <v>29</v>
      </c>
      <c r="R12" s="7" t="s">
        <v>29</v>
      </c>
      <c r="S12" s="7" t="s">
        <v>29</v>
      </c>
    </row>
    <row r="13" spans="1:19">
      <c r="A13" s="7" t="s">
        <v>1005</v>
      </c>
      <c r="B13" s="7" t="s">
        <v>1216</v>
      </c>
      <c r="C13" s="8">
        <v>4099</v>
      </c>
      <c r="D13" s="6" t="str">
        <f>LRTRIM(CONCATENATE(IF(SUMPRODUCT(-- ISNUMBER(SEARCH({"Auto Number"}, $B13))) &gt; 0, $B13, IF(SUMPRODUCT(-- ISNUMBER(SEARCH({"Lookup","Master-Detail"}, $B13))) &gt; 0,$B13 &amp; "(" &amp; $E13 &amp; ")",IF(SUMPRODUCT(-- ISNUMBER(SEARCH({"Formula","Roll-Up Summary"}, $B13))) &gt; 0,$B13 &amp; " (" &amp; $E13 &amp; ")",IF(SUMPRODUCT(-- ISNUMBER(SEARCH({"Content","Currency","Number","Percent","Text","URL"}, $B13))) &gt; 0,$B13 &amp; "(" &amp; $C13 &amp; ")",$B13)))), "  ", TRIM(IF($S13 = "YES", "(External ID)", "") &amp; " " &amp; IF(SUMPRODUCT(-- ISNUMBER(SEARCH({"Unique","Unique Case Insensitive"}, $R13))) &gt; 0, "(" &amp; $R13 &amp; ")", ""))))</f>
        <v>Picklist (Multi-Select)</v>
      </c>
      <c r="E13" s="7" t="s">
        <v>195</v>
      </c>
      <c r="F13" s="7" t="s">
        <v>1019</v>
      </c>
      <c r="G13" s="7" t="s">
        <v>1032</v>
      </c>
      <c r="H13" s="7" t="s">
        <v>195</v>
      </c>
      <c r="I13" s="7" t="s">
        <v>1773</v>
      </c>
      <c r="J13" s="7" t="s">
        <v>195</v>
      </c>
      <c r="K13" s="7" t="s">
        <v>991</v>
      </c>
      <c r="L13" s="7" t="s">
        <v>195</v>
      </c>
      <c r="M13" s="7" t="s">
        <v>29</v>
      </c>
      <c r="N13" s="7" t="s">
        <v>29</v>
      </c>
      <c r="O13" s="7" t="s">
        <v>29</v>
      </c>
      <c r="P13" s="7" t="s">
        <v>29</v>
      </c>
      <c r="Q13" s="7" t="s">
        <v>29</v>
      </c>
      <c r="R13" s="7" t="s">
        <v>29</v>
      </c>
      <c r="S13" s="7" t="s">
        <v>29</v>
      </c>
    </row>
    <row r="14" spans="1:19">
      <c r="A14" s="7" t="s">
        <v>1740</v>
      </c>
      <c r="B14" s="7" t="s">
        <v>1215</v>
      </c>
      <c r="C14" s="8" t="s">
        <v>195</v>
      </c>
      <c r="D14" s="6" t="str">
        <f>LRTRIM(CONCATENATE(IF(SUMPRODUCT(-- ISNUMBER(SEARCH({"Auto Number"}, $B14))) &gt; 0, $B14, IF(SUMPRODUCT(-- ISNUMBER(SEARCH({"Lookup","Master-Detail"}, $B14))) &gt; 0,$B14 &amp; "(" &amp; $E14 &amp; ")",IF(SUMPRODUCT(-- ISNUMBER(SEARCH({"Formula","Roll-Up Summary"}, $B14))) &gt; 0,$B14 &amp; " (" &amp; $E14 &amp; ")",IF(SUMPRODUCT(-- ISNUMBER(SEARCH({"Content","Currency","Number","Percent","Text","URL"}, $B14))) &gt; 0,$B14 &amp; "(" &amp; $C14 &amp; ")",$B14)))), "  ", TRIM(IF($S14 = "YES", "(External ID)", "") &amp; " " &amp; IF(SUMPRODUCT(-- ISNUMBER(SEARCH({"Unique","Unique Case Insensitive"}, $R14))) &gt; 0, "(" &amp; $R14 &amp; ")", ""))))</f>
        <v>Picklist</v>
      </c>
      <c r="E14" s="7" t="s">
        <v>195</v>
      </c>
      <c r="F14" s="7" t="s">
        <v>1749</v>
      </c>
      <c r="G14" s="7" t="s">
        <v>1752</v>
      </c>
      <c r="H14" s="7" t="s">
        <v>195</v>
      </c>
      <c r="I14" s="7" t="s">
        <v>1771</v>
      </c>
      <c r="J14" s="7" t="s">
        <v>195</v>
      </c>
      <c r="K14" s="7" t="s">
        <v>195</v>
      </c>
      <c r="L14" s="7" t="s">
        <v>195</v>
      </c>
      <c r="M14" s="7" t="s">
        <v>29</v>
      </c>
      <c r="N14" s="7" t="s">
        <v>29</v>
      </c>
      <c r="O14" s="7" t="s">
        <v>29</v>
      </c>
      <c r="P14" s="7" t="s">
        <v>29</v>
      </c>
      <c r="Q14" s="7" t="s">
        <v>29</v>
      </c>
      <c r="R14" s="7" t="s">
        <v>29</v>
      </c>
      <c r="S14" s="7" t="s">
        <v>29</v>
      </c>
    </row>
    <row r="15" spans="1:19">
      <c r="A15" s="7" t="s">
        <v>11</v>
      </c>
      <c r="B15" s="7" t="s">
        <v>1218</v>
      </c>
      <c r="C15" s="8">
        <v>200</v>
      </c>
      <c r="D15" s="6" t="str">
        <f>LRTRIM(CONCATENATE(IF(SUMPRODUCT(-- ISNUMBER(SEARCH({"Auto Number"}, $B15))) &gt; 0, $B15, IF(SUMPRODUCT(-- ISNUMBER(SEARCH({"Lookup","Master-Detail"}, $B15))) &gt; 0,$B15 &amp; "(" &amp; $E15 &amp; ")",IF(SUMPRODUCT(-- ISNUMBER(SEARCH({"Formula","Roll-Up Summary"}, $B15))) &gt; 0,$B15 &amp; " (" &amp; $E15 &amp; ")",IF(SUMPRODUCT(-- ISNUMBER(SEARCH({"Content","Currency","Number","Percent","Text","URL"}, $B15))) &gt; 0,$B15 &amp; "(" &amp; $C15 &amp; ")",$B15)))), "  ", TRIM(IF($S15 = "YES", "(External ID)", "") &amp; " " &amp; IF(SUMPRODUCT(-- ISNUMBER(SEARCH({"Unique","Unique Case Insensitive"}, $R15))) &gt; 0, "(" &amp; $R15 &amp; ")", ""))))</f>
        <v>Text(200)</v>
      </c>
      <c r="E15" s="7" t="s">
        <v>195</v>
      </c>
      <c r="F15" s="7" t="s">
        <v>20</v>
      </c>
      <c r="G15" s="7" t="s">
        <v>195</v>
      </c>
      <c r="H15" s="7" t="s">
        <v>195</v>
      </c>
      <c r="I15" s="7" t="s">
        <v>195</v>
      </c>
      <c r="J15" s="7" t="s">
        <v>195</v>
      </c>
      <c r="K15" s="7" t="s">
        <v>195</v>
      </c>
      <c r="L15" s="7" t="s">
        <v>195</v>
      </c>
      <c r="M15" s="7" t="s">
        <v>29</v>
      </c>
      <c r="N15" s="7" t="s">
        <v>29</v>
      </c>
      <c r="O15" s="7" t="s">
        <v>29</v>
      </c>
      <c r="P15" s="7" t="s">
        <v>29</v>
      </c>
      <c r="Q15" s="7" t="s">
        <v>29</v>
      </c>
      <c r="R15" s="7" t="s">
        <v>29</v>
      </c>
      <c r="S15" s="7" t="s">
        <v>29</v>
      </c>
    </row>
    <row r="16" spans="1:19">
      <c r="A16" s="7" t="s">
        <v>1741</v>
      </c>
      <c r="B16" s="7" t="s">
        <v>1215</v>
      </c>
      <c r="C16" s="8" t="s">
        <v>195</v>
      </c>
      <c r="D16" s="6" t="str">
        <f>LRTRIM(CONCATENATE(IF(SUMPRODUCT(-- ISNUMBER(SEARCH({"Auto Number"}, $B16))) &gt; 0, $B16, IF(SUMPRODUCT(-- ISNUMBER(SEARCH({"Lookup","Master-Detail"}, $B16))) &gt; 0,$B16 &amp; "(" &amp; $E16 &amp; ")",IF(SUMPRODUCT(-- ISNUMBER(SEARCH({"Formula","Roll-Up Summary"}, $B16))) &gt; 0,$B16 &amp; " (" &amp; $E16 &amp; ")",IF(SUMPRODUCT(-- ISNUMBER(SEARCH({"Content","Currency","Number","Percent","Text","URL"}, $B16))) &gt; 0,$B16 &amp; "(" &amp; $C16 &amp; ")",$B16)))), "  ", TRIM(IF($S16 = "YES", "(External ID)", "") &amp; " " &amp; IF(SUMPRODUCT(-- ISNUMBER(SEARCH({"Unique","Unique Case Insensitive"}, $R16))) &gt; 0, "(" &amp; $R16 &amp; ")", ""))))</f>
        <v>Picklist</v>
      </c>
      <c r="E16" s="7" t="s">
        <v>195</v>
      </c>
      <c r="F16" s="7" t="s">
        <v>1748</v>
      </c>
      <c r="G16" s="7" t="s">
        <v>1753</v>
      </c>
      <c r="H16" s="7" t="s">
        <v>195</v>
      </c>
      <c r="I16" s="7" t="s">
        <v>1769</v>
      </c>
      <c r="J16" s="7" t="s">
        <v>195</v>
      </c>
      <c r="K16" s="7" t="s">
        <v>195</v>
      </c>
      <c r="L16" s="7" t="s">
        <v>195</v>
      </c>
      <c r="M16" s="7" t="s">
        <v>29</v>
      </c>
      <c r="N16" s="7" t="s">
        <v>29</v>
      </c>
      <c r="O16" s="7" t="s">
        <v>29</v>
      </c>
      <c r="P16" s="7" t="s">
        <v>29</v>
      </c>
      <c r="Q16" s="7" t="s">
        <v>29</v>
      </c>
      <c r="R16" s="7" t="s">
        <v>29</v>
      </c>
      <c r="S16" s="7" t="s">
        <v>29</v>
      </c>
    </row>
    <row r="17" spans="1:19">
      <c r="A17" s="7" t="s">
        <v>13</v>
      </c>
      <c r="B17" s="7" t="s">
        <v>1218</v>
      </c>
      <c r="C17" s="8">
        <v>10</v>
      </c>
      <c r="D17" s="6" t="str">
        <f>LRTRIM(CONCATENATE(IF(SUMPRODUCT(-- ISNUMBER(SEARCH({"Auto Number"}, $B17))) &gt; 0, $B17, IF(SUMPRODUCT(-- ISNUMBER(SEARCH({"Lookup","Master-Detail"}, $B17))) &gt; 0,$B17 &amp; "(" &amp; $E17 &amp; ")",IF(SUMPRODUCT(-- ISNUMBER(SEARCH({"Formula","Roll-Up Summary"}, $B17))) &gt; 0,$B17 &amp; " (" &amp; $E17 &amp; ")",IF(SUMPRODUCT(-- ISNUMBER(SEARCH({"Content","Currency","Number","Percent","Text","URL"}, $B17))) &gt; 0,$B17 &amp; "(" &amp; $C17 &amp; ")",$B17)))), "  ", TRIM(IF($S17 = "YES", "(External ID)", "") &amp; " " &amp; IF(SUMPRODUCT(-- ISNUMBER(SEARCH({"Unique","Unique Case Insensitive"}, $R17))) &gt; 0, "(" &amp; $R17 &amp; ")", ""))))</f>
        <v>Text(10)</v>
      </c>
      <c r="E17" s="7" t="s">
        <v>195</v>
      </c>
      <c r="F17" s="7" t="s">
        <v>24</v>
      </c>
      <c r="G17" s="7" t="s">
        <v>160</v>
      </c>
      <c r="H17" s="7" t="s">
        <v>195</v>
      </c>
      <c r="I17" s="7" t="s">
        <v>195</v>
      </c>
      <c r="J17" s="7" t="s">
        <v>195</v>
      </c>
      <c r="K17" s="7" t="s">
        <v>195</v>
      </c>
      <c r="L17" s="7" t="s">
        <v>195</v>
      </c>
      <c r="M17" s="7" t="s">
        <v>29</v>
      </c>
      <c r="N17" s="7" t="s">
        <v>29</v>
      </c>
      <c r="O17" s="7" t="s">
        <v>29</v>
      </c>
      <c r="P17" s="7" t="s">
        <v>29</v>
      </c>
      <c r="Q17" s="7" t="s">
        <v>29</v>
      </c>
      <c r="R17" s="7" t="s">
        <v>29</v>
      </c>
      <c r="S17" s="7" t="s">
        <v>29</v>
      </c>
    </row>
    <row r="18" spans="1:19">
      <c r="A18" s="7" t="s">
        <v>1006</v>
      </c>
      <c r="B18" s="7" t="s">
        <v>1216</v>
      </c>
      <c r="C18" s="8">
        <v>4099</v>
      </c>
      <c r="D18" s="6" t="str">
        <f>LRTRIM(CONCATENATE(IF(SUMPRODUCT(-- ISNUMBER(SEARCH({"Auto Number"}, $B18))) &gt; 0, $B18, IF(SUMPRODUCT(-- ISNUMBER(SEARCH({"Lookup","Master-Detail"}, $B18))) &gt; 0,$B18 &amp; "(" &amp; $E18 &amp; ")",IF(SUMPRODUCT(-- ISNUMBER(SEARCH({"Formula","Roll-Up Summary"}, $B18))) &gt; 0,$B18 &amp; " (" &amp; $E18 &amp; ")",IF(SUMPRODUCT(-- ISNUMBER(SEARCH({"Content","Currency","Number","Percent","Text","URL"}, $B18))) &gt; 0,$B18 &amp; "(" &amp; $C18 &amp; ")",$B18)))), "  ", TRIM(IF($S18 = "YES", "(External ID)", "") &amp; " " &amp; IF(SUMPRODUCT(-- ISNUMBER(SEARCH({"Unique","Unique Case Insensitive"}, $R18))) &gt; 0, "(" &amp; $R18 &amp; ")", ""))))</f>
        <v>Picklist (Multi-Select)</v>
      </c>
      <c r="E18" s="7" t="s">
        <v>195</v>
      </c>
      <c r="F18" s="7" t="s">
        <v>1020</v>
      </c>
      <c r="G18" s="7" t="s">
        <v>1033</v>
      </c>
      <c r="H18" s="7" t="s">
        <v>195</v>
      </c>
      <c r="I18" s="7" t="s">
        <v>1772</v>
      </c>
      <c r="J18" s="7" t="s">
        <v>195</v>
      </c>
      <c r="K18" s="7" t="s">
        <v>195</v>
      </c>
      <c r="L18" s="7" t="s">
        <v>195</v>
      </c>
      <c r="M18" s="7" t="s">
        <v>29</v>
      </c>
      <c r="N18" s="7" t="s">
        <v>29</v>
      </c>
      <c r="O18" s="7" t="s">
        <v>29</v>
      </c>
      <c r="P18" s="7" t="s">
        <v>29</v>
      </c>
      <c r="Q18" s="7" t="s">
        <v>29</v>
      </c>
      <c r="R18" s="7" t="s">
        <v>29</v>
      </c>
      <c r="S18" s="7" t="s">
        <v>29</v>
      </c>
    </row>
    <row r="19" spans="1:19">
      <c r="A19" s="7" t="s">
        <v>14</v>
      </c>
      <c r="B19" s="7" t="s">
        <v>1204</v>
      </c>
      <c r="C19" s="8">
        <v>0</v>
      </c>
      <c r="D19" s="6" t="str">
        <f>LRTRIM(CONCATENATE(IF(SUMPRODUCT(-- ISNUMBER(SEARCH({"Auto Number"}, $B19))) &gt; 0, $B19, IF(SUMPRODUCT(-- ISNUMBER(SEARCH({"Lookup","Master-Detail"}, $B19))) &gt; 0,$B19 &amp; "(" &amp; $E19 &amp; ")",IF(SUMPRODUCT(-- ISNUMBER(SEARCH({"Formula","Roll-Up Summary"}, $B19))) &gt; 0,$B19 &amp; " (" &amp; $E19 &amp; ")",IF(SUMPRODUCT(-- ISNUMBER(SEARCH({"Content","Currency","Number","Percent","Text","URL"}, $B19))) &gt; 0,$B19 &amp; "(" &amp; $C19 &amp; ")",$B19)))), "  ", TRIM(IF($S19 = "YES", "(External ID)", "") &amp; " " &amp; IF(SUMPRODUCT(-- ISNUMBER(SEARCH({"Unique","Unique Case Insensitive"}, $R19))) &gt; 0, "(" &amp; $R19 &amp; ")", ""))))</f>
        <v>Checkbox</v>
      </c>
      <c r="E19" s="7" t="s">
        <v>195</v>
      </c>
      <c r="F19" s="7" t="s">
        <v>25</v>
      </c>
      <c r="G19" s="7" t="s">
        <v>195</v>
      </c>
      <c r="H19" s="7" t="s">
        <v>195</v>
      </c>
      <c r="I19" s="7" t="s">
        <v>195</v>
      </c>
      <c r="J19" s="7" t="s">
        <v>195</v>
      </c>
      <c r="K19" s="7" t="s">
        <v>195</v>
      </c>
      <c r="L19" s="7" t="s">
        <v>195</v>
      </c>
      <c r="M19" s="7" t="s">
        <v>28</v>
      </c>
      <c r="N19" s="7" t="s">
        <v>29</v>
      </c>
      <c r="O19" s="7" t="s">
        <v>29</v>
      </c>
      <c r="P19" s="7" t="s">
        <v>29</v>
      </c>
      <c r="Q19" s="7" t="s">
        <v>29</v>
      </c>
      <c r="R19" s="7" t="s">
        <v>29</v>
      </c>
      <c r="S19" s="7" t="s">
        <v>29</v>
      </c>
    </row>
    <row r="20" spans="1:19">
      <c r="A20" s="7" t="s">
        <v>2</v>
      </c>
      <c r="B20" s="7" t="s">
        <v>1218</v>
      </c>
      <c r="C20" s="8">
        <v>80</v>
      </c>
      <c r="D20" s="6" t="str">
        <f>LRTRIM(CONCATENATE(IF(SUMPRODUCT(-- ISNUMBER(SEARCH({"Auto Number"}, $B20))) &gt; 0, $B20, IF(SUMPRODUCT(-- ISNUMBER(SEARCH({"Lookup","Master-Detail"}, $B20))) &gt; 0,$B20 &amp; "(" &amp; $E20 &amp; ")",IF(SUMPRODUCT(-- ISNUMBER(SEARCH({"Formula","Roll-Up Summary"}, $B20))) &gt; 0,$B20 &amp; " (" &amp; $E20 &amp; ")",IF(SUMPRODUCT(-- ISNUMBER(SEARCH({"Content","Currency","Number","Percent","Text","URL"}, $B20))) &gt; 0,$B20 &amp; "(" &amp; $C20 &amp; ")",$B20)))), "  ", TRIM(IF($S20 = "YES", "(External ID)", "") &amp; " " &amp; IF(SUMPRODUCT(-- ISNUMBER(SEARCH({"Unique","Unique Case Insensitive"}, $R20))) &gt; 0, "(" &amp; $R20 &amp; ")", ""))))</f>
        <v>Text(80)</v>
      </c>
      <c r="E20" s="7" t="s">
        <v>195</v>
      </c>
      <c r="F20" s="7" t="s">
        <v>1021</v>
      </c>
      <c r="G20" s="7" t="s">
        <v>195</v>
      </c>
      <c r="H20" s="7" t="s">
        <v>195</v>
      </c>
      <c r="I20" s="7" t="s">
        <v>195</v>
      </c>
      <c r="J20" s="7" t="s">
        <v>195</v>
      </c>
      <c r="K20" s="7" t="s">
        <v>195</v>
      </c>
      <c r="L20" s="7" t="s">
        <v>195</v>
      </c>
      <c r="M20" s="7" t="s">
        <v>29</v>
      </c>
      <c r="N20" s="7" t="s">
        <v>29</v>
      </c>
      <c r="O20" s="7" t="s">
        <v>29</v>
      </c>
      <c r="P20" s="7" t="s">
        <v>29</v>
      </c>
      <c r="Q20" s="7" t="s">
        <v>29</v>
      </c>
      <c r="R20" s="7" t="s">
        <v>29</v>
      </c>
      <c r="S20" s="7" t="s">
        <v>29</v>
      </c>
    </row>
    <row r="21" spans="1:19">
      <c r="A21" s="7" t="s">
        <v>1007</v>
      </c>
      <c r="B21" s="7" t="s">
        <v>1215</v>
      </c>
      <c r="C21" s="8">
        <v>255</v>
      </c>
      <c r="D21" s="6" t="str">
        <f>LRTRIM(CONCATENATE(IF(SUMPRODUCT(-- ISNUMBER(SEARCH({"Auto Number"}, $B21))) &gt; 0, $B21, IF(SUMPRODUCT(-- ISNUMBER(SEARCH({"Lookup","Master-Detail"}, $B21))) &gt; 0,$B21 &amp; "(" &amp; $E21 &amp; ")",IF(SUMPRODUCT(-- ISNUMBER(SEARCH({"Formula","Roll-Up Summary"}, $B21))) &gt; 0,$B21 &amp; " (" &amp; $E21 &amp; ")",IF(SUMPRODUCT(-- ISNUMBER(SEARCH({"Content","Currency","Number","Percent","Text","URL"}, $B21))) &gt; 0,$B21 &amp; "(" &amp; $C21 &amp; ")",$B21)))), "  ", TRIM(IF($S21 = "YES", "(External ID)", "") &amp; " " &amp; IF(SUMPRODUCT(-- ISNUMBER(SEARCH({"Unique","Unique Case Insensitive"}, $R21))) &gt; 0, "(" &amp; $R21 &amp; ")", ""))))</f>
        <v>Picklist</v>
      </c>
      <c r="E21" s="7" t="s">
        <v>195</v>
      </c>
      <c r="F21" s="7" t="s">
        <v>1022</v>
      </c>
      <c r="G21" s="7" t="s">
        <v>1034</v>
      </c>
      <c r="H21" s="7" t="s">
        <v>195</v>
      </c>
      <c r="I21" s="7" t="s">
        <v>43</v>
      </c>
      <c r="J21" s="7" t="s">
        <v>195</v>
      </c>
      <c r="K21" s="7" t="s">
        <v>195</v>
      </c>
      <c r="L21" s="7" t="s">
        <v>195</v>
      </c>
      <c r="M21" s="7" t="s">
        <v>29</v>
      </c>
      <c r="N21" s="7" t="s">
        <v>29</v>
      </c>
      <c r="O21" s="7" t="s">
        <v>29</v>
      </c>
      <c r="P21" s="7" t="s">
        <v>29</v>
      </c>
      <c r="Q21" s="7" t="s">
        <v>29</v>
      </c>
      <c r="R21" s="7" t="s">
        <v>29</v>
      </c>
      <c r="S21" s="7" t="s">
        <v>29</v>
      </c>
    </row>
    <row r="22" spans="1:19">
      <c r="A22" s="7" t="s">
        <v>1742</v>
      </c>
      <c r="B22" s="7" t="s">
        <v>1215</v>
      </c>
      <c r="C22" s="8" t="s">
        <v>195</v>
      </c>
      <c r="D22" s="6" t="str">
        <f>LRTRIM(CONCATENATE(IF(SUMPRODUCT(-- ISNUMBER(SEARCH({"Auto Number"}, $B22))) &gt; 0, $B22, IF(SUMPRODUCT(-- ISNUMBER(SEARCH({"Lookup","Master-Detail"}, $B22))) &gt; 0,$B22 &amp; "(" &amp; $E22 &amp; ")",IF(SUMPRODUCT(-- ISNUMBER(SEARCH({"Formula","Roll-Up Summary"}, $B22))) &gt; 0,$B22 &amp; " (" &amp; $E22 &amp; ")",IF(SUMPRODUCT(-- ISNUMBER(SEARCH({"Content","Currency","Number","Percent","Text","URL"}, $B22))) &gt; 0,$B22 &amp; "(" &amp; $C22 &amp; ")",$B22)))), "  ", TRIM(IF($S22 = "YES", "(External ID)", "") &amp; " " &amp; IF(SUMPRODUCT(-- ISNUMBER(SEARCH({"Unique","Unique Case Insensitive"}, $R22))) &gt; 0, "(" &amp; $R22 &amp; ")", ""))))</f>
        <v>Picklist</v>
      </c>
      <c r="E22" s="7" t="s">
        <v>195</v>
      </c>
      <c r="F22" s="7" t="s">
        <v>1745</v>
      </c>
      <c r="G22" s="7" t="s">
        <v>1757</v>
      </c>
      <c r="H22" s="7" t="s">
        <v>195</v>
      </c>
      <c r="I22" s="7" t="s">
        <v>1768</v>
      </c>
      <c r="J22" s="7" t="s">
        <v>195</v>
      </c>
      <c r="K22" s="7" t="s">
        <v>195</v>
      </c>
      <c r="L22" s="7" t="s">
        <v>195</v>
      </c>
      <c r="M22" s="7" t="s">
        <v>29</v>
      </c>
      <c r="N22" s="7" t="s">
        <v>29</v>
      </c>
      <c r="O22" s="7" t="s">
        <v>29</v>
      </c>
      <c r="P22" s="7" t="s">
        <v>29</v>
      </c>
      <c r="Q22" s="7" t="s">
        <v>29</v>
      </c>
      <c r="R22" s="7" t="s">
        <v>29</v>
      </c>
      <c r="S22" s="7" t="s">
        <v>29</v>
      </c>
    </row>
    <row r="23" spans="1:19">
      <c r="A23" s="7" t="s">
        <v>1743</v>
      </c>
      <c r="B23" s="7" t="s">
        <v>1216</v>
      </c>
      <c r="C23" s="8" t="s">
        <v>195</v>
      </c>
      <c r="D23" s="6" t="str">
        <f>LRTRIM(CONCATENATE(IF(SUMPRODUCT(-- ISNUMBER(SEARCH({"Auto Number"}, $B23))) &gt; 0, $B23, IF(SUMPRODUCT(-- ISNUMBER(SEARCH({"Lookup","Master-Detail"}, $B23))) &gt; 0,$B23 &amp; "(" &amp; $E23 &amp; ")",IF(SUMPRODUCT(-- ISNUMBER(SEARCH({"Formula","Roll-Up Summary"}, $B23))) &gt; 0,$B23 &amp; " (" &amp; $E23 &amp; ")",IF(SUMPRODUCT(-- ISNUMBER(SEARCH({"Content","Currency","Number","Percent","Text","URL"}, $B23))) &gt; 0,$B23 &amp; "(" &amp; $C23 &amp; ")",$B23)))), "  ", TRIM(IF($S23 = "YES", "(External ID)", "") &amp; " " &amp; IF(SUMPRODUCT(-- ISNUMBER(SEARCH({"Unique","Unique Case Insensitive"}, $R23))) &gt; 0, "(" &amp; $R23 &amp; ")", ""))))</f>
        <v>Picklist (Multi-Select)</v>
      </c>
      <c r="E23" s="7" t="s">
        <v>195</v>
      </c>
      <c r="F23" s="7" t="s">
        <v>1746</v>
      </c>
      <c r="G23" s="7" t="s">
        <v>195</v>
      </c>
      <c r="H23" s="7" t="s">
        <v>195</v>
      </c>
      <c r="I23" s="7" t="s">
        <v>1767</v>
      </c>
      <c r="J23" s="7" t="s">
        <v>195</v>
      </c>
      <c r="K23" s="7" t="s">
        <v>195</v>
      </c>
      <c r="L23" s="7" t="s">
        <v>195</v>
      </c>
      <c r="M23" s="7" t="s">
        <v>29</v>
      </c>
      <c r="N23" s="7" t="s">
        <v>29</v>
      </c>
      <c r="O23" s="7" t="s">
        <v>29</v>
      </c>
      <c r="P23" s="7" t="s">
        <v>29</v>
      </c>
      <c r="Q23" s="7" t="s">
        <v>29</v>
      </c>
      <c r="R23" s="7" t="s">
        <v>29</v>
      </c>
      <c r="S23" s="7" t="s">
        <v>29</v>
      </c>
    </row>
    <row r="24" spans="1:19">
      <c r="A24" s="7" t="s">
        <v>1008</v>
      </c>
      <c r="B24" s="7" t="s">
        <v>1218</v>
      </c>
      <c r="C24" s="8">
        <v>255</v>
      </c>
      <c r="D24" s="6" t="str">
        <f>LRTRIM(CONCATENATE(IF(SUMPRODUCT(-- ISNUMBER(SEARCH({"Auto Number"}, $B24))) &gt; 0, $B24, IF(SUMPRODUCT(-- ISNUMBER(SEARCH({"Lookup","Master-Detail"}, $B24))) &gt; 0,$B24 &amp; "(" &amp; $E24 &amp; ")",IF(SUMPRODUCT(-- ISNUMBER(SEARCH({"Formula","Roll-Up Summary"}, $B24))) &gt; 0,$B24 &amp; " (" &amp; $E24 &amp; ")",IF(SUMPRODUCT(-- ISNUMBER(SEARCH({"Content","Currency","Number","Percent","Text","URL"}, $B24))) &gt; 0,$B24 &amp; "(" &amp; $C24 &amp; ")",$B24)))), "  ", TRIM(IF($S24 = "YES", "(External ID)", "") &amp; " " &amp; IF(SUMPRODUCT(-- ISNUMBER(SEARCH({"Unique","Unique Case Insensitive"}, $R24))) &gt; 0, "(" &amp; $R24 &amp; ")", ""))))</f>
        <v>Text(255)  (External ID) (Unique Case Insensitive)</v>
      </c>
      <c r="E24" s="7" t="s">
        <v>195</v>
      </c>
      <c r="F24" s="7" t="s">
        <v>1023</v>
      </c>
      <c r="G24" s="7" t="s">
        <v>1671</v>
      </c>
      <c r="H24" s="7" t="s">
        <v>195</v>
      </c>
      <c r="I24" s="7" t="s">
        <v>195</v>
      </c>
      <c r="J24" s="7" t="s">
        <v>195</v>
      </c>
      <c r="K24" s="7" t="s">
        <v>195</v>
      </c>
      <c r="L24" s="7" t="s">
        <v>195</v>
      </c>
      <c r="M24" s="7" t="s">
        <v>29</v>
      </c>
      <c r="N24" s="7" t="s">
        <v>29</v>
      </c>
      <c r="O24" s="7" t="s">
        <v>29</v>
      </c>
      <c r="P24" s="7" t="s">
        <v>29</v>
      </c>
      <c r="Q24" s="7" t="s">
        <v>29</v>
      </c>
      <c r="R24" s="7" t="s">
        <v>1271</v>
      </c>
      <c r="S24" s="7" t="s">
        <v>28</v>
      </c>
    </row>
    <row r="25" spans="1:19">
      <c r="A25" s="7" t="s">
        <v>1009</v>
      </c>
      <c r="B25" s="7" t="s">
        <v>1216</v>
      </c>
      <c r="C25" s="8">
        <v>4099</v>
      </c>
      <c r="D25" s="6" t="str">
        <f>LRTRIM(CONCATENATE(IF(SUMPRODUCT(-- ISNUMBER(SEARCH({"Auto Number"}, $B25))) &gt; 0, $B25, IF(SUMPRODUCT(-- ISNUMBER(SEARCH({"Lookup","Master-Detail"}, $B25))) &gt; 0,$B25 &amp; "(" &amp; $E25 &amp; ")",IF(SUMPRODUCT(-- ISNUMBER(SEARCH({"Formula","Roll-Up Summary"}, $B25))) &gt; 0,$B25 &amp; " (" &amp; $E25 &amp; ")",IF(SUMPRODUCT(-- ISNUMBER(SEARCH({"Content","Currency","Number","Percent","Text","URL"}, $B25))) &gt; 0,$B25 &amp; "(" &amp; $C25 &amp; ")",$B25)))), "  ", TRIM(IF($S25 = "YES", "(External ID)", "") &amp; " " &amp; IF(SUMPRODUCT(-- ISNUMBER(SEARCH({"Unique","Unique Case Insensitive"}, $R25))) &gt; 0, "(" &amp; $R25 &amp; ")", ""))))</f>
        <v>Picklist (Multi-Select)</v>
      </c>
      <c r="E25" s="7" t="s">
        <v>195</v>
      </c>
      <c r="F25" s="7" t="s">
        <v>1024</v>
      </c>
      <c r="G25" s="7" t="s">
        <v>1035</v>
      </c>
      <c r="H25" s="7" t="s">
        <v>195</v>
      </c>
      <c r="I25" s="7" t="s">
        <v>1770</v>
      </c>
      <c r="J25" s="7" t="s">
        <v>195</v>
      </c>
      <c r="K25" s="7" t="s">
        <v>993</v>
      </c>
      <c r="L25" s="7" t="s">
        <v>195</v>
      </c>
      <c r="M25" s="7" t="s">
        <v>29</v>
      </c>
      <c r="N25" s="7" t="s">
        <v>29</v>
      </c>
      <c r="O25" s="7" t="s">
        <v>29</v>
      </c>
      <c r="P25" s="7" t="s">
        <v>29</v>
      </c>
      <c r="Q25" s="7" t="s">
        <v>29</v>
      </c>
      <c r="R25" s="7" t="s">
        <v>29</v>
      </c>
      <c r="S25" s="7" t="s">
        <v>29</v>
      </c>
    </row>
    <row r="26" spans="1:19">
      <c r="A26" s="7" t="s">
        <v>1010</v>
      </c>
      <c r="B26" s="7" t="s">
        <v>1216</v>
      </c>
      <c r="C26" s="8">
        <v>4099</v>
      </c>
      <c r="D26" s="6" t="str">
        <f>LRTRIM(CONCATENATE(IF(SUMPRODUCT(-- ISNUMBER(SEARCH({"Auto Number"}, $B26))) &gt; 0, $B26, IF(SUMPRODUCT(-- ISNUMBER(SEARCH({"Lookup","Master-Detail"}, $B26))) &gt; 0,$B26 &amp; "(" &amp; $E26 &amp; ")",IF(SUMPRODUCT(-- ISNUMBER(SEARCH({"Formula","Roll-Up Summary"}, $B26))) &gt; 0,$B26 &amp; " (" &amp; $E26 &amp; ")",IF(SUMPRODUCT(-- ISNUMBER(SEARCH({"Content","Currency","Number","Percent","Text","URL"}, $B26))) &gt; 0,$B26 &amp; "(" &amp; $C26 &amp; ")",$B26)))), "  ", TRIM(IF($S26 = "YES", "(External ID)", "") &amp; " " &amp; IF(SUMPRODUCT(-- ISNUMBER(SEARCH({"Unique","Unique Case Insensitive"}, $R26))) &gt; 0, "(" &amp; $R26 &amp; ")", ""))))</f>
        <v>Picklist (Multi-Select)</v>
      </c>
      <c r="E26" s="7" t="s">
        <v>195</v>
      </c>
      <c r="F26" s="7" t="s">
        <v>1025</v>
      </c>
      <c r="G26" s="7" t="s">
        <v>1036</v>
      </c>
      <c r="H26" s="7" t="s">
        <v>195</v>
      </c>
      <c r="I26" s="7" t="s">
        <v>195</v>
      </c>
      <c r="J26" s="7" t="s">
        <v>195</v>
      </c>
      <c r="K26" s="7" t="s">
        <v>994</v>
      </c>
      <c r="L26" s="7" t="s">
        <v>195</v>
      </c>
      <c r="M26" s="7" t="s">
        <v>29</v>
      </c>
      <c r="N26" s="7" t="s">
        <v>29</v>
      </c>
      <c r="O26" s="7" t="s">
        <v>29</v>
      </c>
      <c r="P26" s="7" t="s">
        <v>29</v>
      </c>
      <c r="Q26" s="7" t="s">
        <v>29</v>
      </c>
      <c r="R26" s="7" t="s">
        <v>29</v>
      </c>
      <c r="S26" s="7" t="s">
        <v>29</v>
      </c>
    </row>
    <row r="27" spans="1:19">
      <c r="A27" s="7" t="s">
        <v>294</v>
      </c>
      <c r="B27" s="7" t="s">
        <v>195</v>
      </c>
      <c r="C27" s="8" t="s">
        <v>195</v>
      </c>
      <c r="D27" s="6" t="str">
        <f>LRTRIM(CONCATENATE(IF(SUMPRODUCT(-- ISNUMBER(SEARCH({"Auto Number"}, $B27))) &gt; 0, $B27, IF(SUMPRODUCT(-- ISNUMBER(SEARCH({"Lookup","Master-Detail"}, $B27))) &gt; 0,$B27 &amp; "(" &amp; $E27 &amp; ")",IF(SUMPRODUCT(-- ISNUMBER(SEARCH({"Formula","Roll-Up Summary"}, $B27))) &gt; 0,$B27 &amp; " (" &amp; $E27 &amp; ")",IF(SUMPRODUCT(-- ISNUMBER(SEARCH({"Content","Currency","Number","Percent","Text","URL"}, $B27))) &gt; 0,$B27 &amp; "(" &amp; $C27 &amp; ")",$B27)))), "  ", TRIM(IF($S27 = "YES", "(External ID)", "") &amp; " " &amp; IF(SUMPRODUCT(-- ISNUMBER(SEARCH({"Unique","Unique Case Insensitive"}, $R27))) &gt; 0, "(" &amp; $R27 &amp; ")", ""))))</f>
        <v>na</v>
      </c>
      <c r="E27" s="7" t="s">
        <v>195</v>
      </c>
      <c r="F27" s="7" t="s">
        <v>195</v>
      </c>
      <c r="G27" s="7" t="s">
        <v>195</v>
      </c>
      <c r="H27" s="7" t="s">
        <v>195</v>
      </c>
      <c r="I27" s="7" t="s">
        <v>195</v>
      </c>
      <c r="J27" s="7" t="s">
        <v>195</v>
      </c>
      <c r="K27" s="7" t="s">
        <v>195</v>
      </c>
      <c r="L27" s="7" t="s">
        <v>195</v>
      </c>
      <c r="M27" s="7" t="s">
        <v>29</v>
      </c>
      <c r="N27" s="7" t="s">
        <v>28</v>
      </c>
      <c r="O27" s="7" t="s">
        <v>29</v>
      </c>
      <c r="P27" s="7" t="s">
        <v>29</v>
      </c>
      <c r="Q27" s="7" t="s">
        <v>29</v>
      </c>
      <c r="R27" s="7" t="s">
        <v>29</v>
      </c>
      <c r="S27" s="7" t="s">
        <v>29</v>
      </c>
    </row>
    <row r="28" spans="1:19">
      <c r="A28" s="7" t="s">
        <v>36</v>
      </c>
      <c r="B28" s="7" t="s">
        <v>195</v>
      </c>
      <c r="C28" s="8" t="s">
        <v>195</v>
      </c>
      <c r="D28" s="6" t="str">
        <f>LRTRIM(CONCATENATE(IF(SUMPRODUCT(-- ISNUMBER(SEARCH({"Auto Number"}, $B28))) &gt; 0, $B28, IF(SUMPRODUCT(-- ISNUMBER(SEARCH({"Lookup","Master-Detail"}, $B28))) &gt; 0,$B28 &amp; "(" &amp; $E28 &amp; ")",IF(SUMPRODUCT(-- ISNUMBER(SEARCH({"Formula","Roll-Up Summary"}, $B28))) &gt; 0,$B28 &amp; " (" &amp; $E28 &amp; ")",IF(SUMPRODUCT(-- ISNUMBER(SEARCH({"Content","Currency","Number","Percent","Text","URL"}, $B28))) &gt; 0,$B28 &amp; "(" &amp; $C28 &amp; ")",$B28)))), "  ", TRIM(IF($S28 = "YES", "(External ID)", "") &amp; " " &amp; IF(SUMPRODUCT(-- ISNUMBER(SEARCH({"Unique","Unique Case Insensitive"}, $R28))) &gt; 0, "(" &amp; $R28 &amp; ")", ""))))</f>
        <v>na</v>
      </c>
      <c r="E28" s="7" t="s">
        <v>195</v>
      </c>
      <c r="F28" s="7" t="s">
        <v>195</v>
      </c>
      <c r="G28" s="7" t="s">
        <v>195</v>
      </c>
      <c r="H28" s="7" t="s">
        <v>195</v>
      </c>
      <c r="I28" s="7" t="s">
        <v>195</v>
      </c>
      <c r="J28" s="7" t="s">
        <v>195</v>
      </c>
      <c r="K28" s="7" t="s">
        <v>195</v>
      </c>
      <c r="L28" s="7" t="s">
        <v>195</v>
      </c>
      <c r="M28" s="7" t="s">
        <v>28</v>
      </c>
      <c r="N28" s="7" t="s">
        <v>29</v>
      </c>
      <c r="O28" s="7" t="s">
        <v>29</v>
      </c>
      <c r="P28" s="7" t="s">
        <v>29</v>
      </c>
      <c r="Q28" s="7" t="s">
        <v>29</v>
      </c>
      <c r="R28" s="7" t="s">
        <v>29</v>
      </c>
      <c r="S28" s="7" t="s">
        <v>29</v>
      </c>
    </row>
    <row r="29" spans="1:19">
      <c r="A29" s="7" t="s">
        <v>35</v>
      </c>
      <c r="B29" s="7" t="s">
        <v>195</v>
      </c>
      <c r="C29" s="8" t="s">
        <v>195</v>
      </c>
      <c r="D29" s="6" t="str">
        <f>LRTRIM(CONCATENATE(IF(SUMPRODUCT(-- ISNUMBER(SEARCH({"Auto Number"}, $B29))) &gt; 0, $B29, IF(SUMPRODUCT(-- ISNUMBER(SEARCH({"Lookup","Master-Detail"}, $B29))) &gt; 0,$B29 &amp; "(" &amp; $E29 &amp; ")",IF(SUMPRODUCT(-- ISNUMBER(SEARCH({"Formula","Roll-Up Summary"}, $B29))) &gt; 0,$B29 &amp; " (" &amp; $E29 &amp; ")",IF(SUMPRODUCT(-- ISNUMBER(SEARCH({"Content","Currency","Number","Percent","Text","URL"}, $B29))) &gt; 0,$B29 &amp; "(" &amp; $C29 &amp; ")",$B29)))), "  ", TRIM(IF($S29 = "YES", "(External ID)", "") &amp; " " &amp; IF(SUMPRODUCT(-- ISNUMBER(SEARCH({"Unique","Unique Case Insensitive"}, $R29))) &gt; 0, "(" &amp; $R29 &amp; ")", ""))))</f>
        <v>na</v>
      </c>
      <c r="E29" s="7" t="s">
        <v>195</v>
      </c>
      <c r="F29" s="7" t="s">
        <v>195</v>
      </c>
      <c r="G29" s="7" t="s">
        <v>195</v>
      </c>
      <c r="H29" s="7" t="s">
        <v>195</v>
      </c>
      <c r="I29" s="7" t="s">
        <v>195</v>
      </c>
      <c r="J29" s="7" t="s">
        <v>195</v>
      </c>
      <c r="K29" s="7" t="s">
        <v>195</v>
      </c>
      <c r="L29" s="7" t="s">
        <v>195</v>
      </c>
      <c r="M29" s="7" t="s">
        <v>28</v>
      </c>
      <c r="N29" s="7" t="s">
        <v>29</v>
      </c>
      <c r="O29" s="7" t="s">
        <v>29</v>
      </c>
      <c r="P29" s="7" t="s">
        <v>29</v>
      </c>
      <c r="Q29" s="7" t="s">
        <v>29</v>
      </c>
      <c r="R29" s="7" t="s">
        <v>29</v>
      </c>
      <c r="S29" s="7" t="s">
        <v>29</v>
      </c>
    </row>
    <row r="30" spans="1:19">
      <c r="A30" s="7" t="s">
        <v>1691</v>
      </c>
      <c r="B30" s="7" t="s">
        <v>1204</v>
      </c>
      <c r="C30" s="8" t="s">
        <v>195</v>
      </c>
      <c r="D30" s="6" t="str">
        <f>LRTRIM(CONCATENATE(IF(SUMPRODUCT(-- ISNUMBER(SEARCH({"Auto Number"}, $B30))) &gt; 0, $B30, IF(SUMPRODUCT(-- ISNUMBER(SEARCH({"Lookup","Master-Detail"}, $B30))) &gt; 0,$B30 &amp; "(" &amp; $E30 &amp; ")",IF(SUMPRODUCT(-- ISNUMBER(SEARCH({"Formula","Roll-Up Summary"}, $B30))) &gt; 0,$B30 &amp; " (" &amp; $E30 &amp; ")",IF(SUMPRODUCT(-- ISNUMBER(SEARCH({"Content","Currency","Number","Percent","Text","URL"}, $B30))) &gt; 0,$B30 &amp; "(" &amp; $C30 &amp; ")",$B30)))), "  ", TRIM(IF($S30 = "YES", "(External ID)", "") &amp; " " &amp; IF(SUMPRODUCT(-- ISNUMBER(SEARCH({"Unique","Unique Case Insensitive"}, $R30))) &gt; 0, "(" &amp; $R30 &amp; ")", ""))))</f>
        <v>Checkbox</v>
      </c>
      <c r="E30" s="7" t="s">
        <v>195</v>
      </c>
      <c r="F30" s="7" t="s">
        <v>1747</v>
      </c>
      <c r="G30" s="7" t="s">
        <v>1754</v>
      </c>
      <c r="H30" s="7" t="s">
        <v>195</v>
      </c>
      <c r="I30" s="7" t="s">
        <v>195</v>
      </c>
      <c r="J30" s="7" t="s">
        <v>195</v>
      </c>
      <c r="K30" s="7" t="s">
        <v>195</v>
      </c>
      <c r="L30" s="7" t="s">
        <v>195</v>
      </c>
      <c r="M30" s="7" t="s">
        <v>28</v>
      </c>
      <c r="N30" s="7" t="s">
        <v>29</v>
      </c>
      <c r="O30" s="7" t="s">
        <v>29</v>
      </c>
      <c r="P30" s="7" t="s">
        <v>29</v>
      </c>
      <c r="Q30" s="7" t="s">
        <v>29</v>
      </c>
      <c r="R30" s="7" t="s">
        <v>29</v>
      </c>
      <c r="S30" s="7" t="s">
        <v>29</v>
      </c>
    </row>
    <row r="31" spans="1:19">
      <c r="A31" s="7" t="s">
        <v>34</v>
      </c>
      <c r="B31" s="7" t="s">
        <v>195</v>
      </c>
      <c r="C31" s="8" t="s">
        <v>195</v>
      </c>
      <c r="D31" s="6" t="str">
        <f>LRTRIM(CONCATENATE(IF(SUMPRODUCT(-- ISNUMBER(SEARCH({"Auto Number"}, $B31))) &gt; 0, $B31, IF(SUMPRODUCT(-- ISNUMBER(SEARCH({"Lookup","Master-Detail"}, $B31))) &gt; 0,$B31 &amp; "(" &amp; $E31 &amp; ")",IF(SUMPRODUCT(-- ISNUMBER(SEARCH({"Formula","Roll-Up Summary"}, $B31))) &gt; 0,$B31 &amp; " (" &amp; $E31 &amp; ")",IF(SUMPRODUCT(-- ISNUMBER(SEARCH({"Content","Currency","Number","Percent","Text","URL"}, $B31))) &gt; 0,$B31 &amp; "(" &amp; $C31 &amp; ")",$B31)))), "  ", TRIM(IF($S31 = "YES", "(External ID)", "") &amp; " " &amp; IF(SUMPRODUCT(-- ISNUMBER(SEARCH({"Unique","Unique Case Insensitive"}, $R31))) &gt; 0, "(" &amp; $R31 &amp; ")", ""))))</f>
        <v>na</v>
      </c>
      <c r="E31" s="7" t="s">
        <v>195</v>
      </c>
      <c r="F31" s="7" t="s">
        <v>195</v>
      </c>
      <c r="G31" s="7" t="s">
        <v>195</v>
      </c>
      <c r="H31" s="7" t="s">
        <v>195</v>
      </c>
      <c r="I31" s="7" t="s">
        <v>195</v>
      </c>
      <c r="J31" s="7" t="s">
        <v>195</v>
      </c>
      <c r="K31" s="7" t="s">
        <v>195</v>
      </c>
      <c r="L31" s="7" t="s">
        <v>195</v>
      </c>
      <c r="M31" s="7" t="s">
        <v>28</v>
      </c>
      <c r="N31" s="7" t="s">
        <v>29</v>
      </c>
      <c r="O31" s="7" t="s">
        <v>29</v>
      </c>
      <c r="P31" s="7" t="s">
        <v>29</v>
      </c>
      <c r="Q31" s="7" t="s">
        <v>29</v>
      </c>
      <c r="R31" s="7" t="s">
        <v>29</v>
      </c>
      <c r="S31" s="7" t="s">
        <v>29</v>
      </c>
    </row>
    <row r="32" spans="1:19">
      <c r="A32" s="7" t="s">
        <v>1690</v>
      </c>
      <c r="B32" s="7" t="s">
        <v>1204</v>
      </c>
      <c r="C32" s="8" t="s">
        <v>195</v>
      </c>
      <c r="D32" s="6" t="str">
        <f>LRTRIM(CONCATENATE(IF(SUMPRODUCT(-- ISNUMBER(SEARCH({"Auto Number"}, $B32))) &gt; 0, $B32, IF(SUMPRODUCT(-- ISNUMBER(SEARCH({"Lookup","Master-Detail"}, $B32))) &gt; 0,$B32 &amp; "(" &amp; $E32 &amp; ")",IF(SUMPRODUCT(-- ISNUMBER(SEARCH({"Formula","Roll-Up Summary"}, $B32))) &gt; 0,$B32 &amp; " (" &amp; $E32 &amp; ")",IF(SUMPRODUCT(-- ISNUMBER(SEARCH({"Content","Currency","Number","Percent","Text","URL"}, $B32))) &gt; 0,$B32 &amp; "(" &amp; $C32 &amp; ")",$B32)))), "  ", TRIM(IF($S32 = "YES", "(External ID)", "") &amp; " " &amp; IF(SUMPRODUCT(-- ISNUMBER(SEARCH({"Unique","Unique Case Insensitive"}, $R32))) &gt; 0, "(" &amp; $R32 &amp; ")", ""))))</f>
        <v>Checkbox</v>
      </c>
      <c r="E32" s="7" t="s">
        <v>195</v>
      </c>
      <c r="F32" s="7" t="s">
        <v>1738</v>
      </c>
      <c r="G32" s="7" t="s">
        <v>1756</v>
      </c>
      <c r="H32" s="7" t="s">
        <v>195</v>
      </c>
      <c r="I32" s="7" t="s">
        <v>195</v>
      </c>
      <c r="J32" s="7" t="s">
        <v>195</v>
      </c>
      <c r="K32" s="7" t="s">
        <v>195</v>
      </c>
      <c r="L32" s="7" t="s">
        <v>195</v>
      </c>
      <c r="M32" s="7" t="s">
        <v>28</v>
      </c>
      <c r="N32" s="7" t="s">
        <v>29</v>
      </c>
      <c r="O32" s="7" t="s">
        <v>29</v>
      </c>
      <c r="P32" s="7" t="s">
        <v>29</v>
      </c>
      <c r="Q32" s="7" t="s">
        <v>29</v>
      </c>
      <c r="R32" s="7" t="s">
        <v>29</v>
      </c>
      <c r="S32" s="7" t="s">
        <v>29</v>
      </c>
    </row>
    <row r="33" spans="1:19">
      <c r="A33" s="7" t="s">
        <v>38</v>
      </c>
      <c r="B33" s="7" t="s">
        <v>195</v>
      </c>
      <c r="C33" s="8" t="s">
        <v>195</v>
      </c>
      <c r="D33" s="6" t="str">
        <f>LRTRIM(CONCATENATE(IF(SUMPRODUCT(-- ISNUMBER(SEARCH({"Auto Number"}, $B33))) &gt; 0, $B33, IF(SUMPRODUCT(-- ISNUMBER(SEARCH({"Lookup","Master-Detail"}, $B33))) &gt; 0,$B33 &amp; "(" &amp; $E33 &amp; ")",IF(SUMPRODUCT(-- ISNUMBER(SEARCH({"Formula","Roll-Up Summary"}, $B33))) &gt; 0,$B33 &amp; " (" &amp; $E33 &amp; ")",IF(SUMPRODUCT(-- ISNUMBER(SEARCH({"Content","Currency","Number","Percent","Text","URL"}, $B33))) &gt; 0,$B33 &amp; "(" &amp; $C33 &amp; ")",$B33)))), "  ", TRIM(IF($S33 = "YES", "(External ID)", "") &amp; " " &amp; IF(SUMPRODUCT(-- ISNUMBER(SEARCH({"Unique","Unique Case Insensitive"}, $R33))) &gt; 0, "(" &amp; $R33 &amp; ")", ""))))</f>
        <v>na</v>
      </c>
      <c r="E33" s="7" t="s">
        <v>195</v>
      </c>
      <c r="F33" s="7" t="s">
        <v>195</v>
      </c>
      <c r="G33" s="7" t="s">
        <v>195</v>
      </c>
      <c r="H33" s="7" t="s">
        <v>195</v>
      </c>
      <c r="I33" s="7" t="s">
        <v>195</v>
      </c>
      <c r="J33" s="7" t="s">
        <v>195</v>
      </c>
      <c r="K33" s="7" t="s">
        <v>195</v>
      </c>
      <c r="L33" s="7" t="s">
        <v>195</v>
      </c>
      <c r="M33" s="7" t="s">
        <v>28</v>
      </c>
      <c r="N33" s="7" t="s">
        <v>29</v>
      </c>
      <c r="O33" s="7" t="s">
        <v>29</v>
      </c>
      <c r="P33" s="7" t="s">
        <v>29</v>
      </c>
      <c r="Q33" s="7" t="s">
        <v>29</v>
      </c>
      <c r="R33" s="7" t="s">
        <v>29</v>
      </c>
      <c r="S33" s="7" t="s">
        <v>29</v>
      </c>
    </row>
    <row r="34" spans="1:19">
      <c r="A34" s="7" t="s">
        <v>37</v>
      </c>
      <c r="B34" s="7" t="s">
        <v>195</v>
      </c>
      <c r="C34" s="8" t="s">
        <v>195</v>
      </c>
      <c r="D34" s="6" t="str">
        <f>LRTRIM(CONCATENATE(IF(SUMPRODUCT(-- ISNUMBER(SEARCH({"Auto Number"}, $B34))) &gt; 0, $B34, IF(SUMPRODUCT(-- ISNUMBER(SEARCH({"Lookup","Master-Detail"}, $B34))) &gt; 0,$B34 &amp; "(" &amp; $E34 &amp; ")",IF(SUMPRODUCT(-- ISNUMBER(SEARCH({"Formula","Roll-Up Summary"}, $B34))) &gt; 0,$B34 &amp; " (" &amp; $E34 &amp; ")",IF(SUMPRODUCT(-- ISNUMBER(SEARCH({"Content","Currency","Number","Percent","Text","URL"}, $B34))) &gt; 0,$B34 &amp; "(" &amp; $C34 &amp; ")",$B34)))), "  ", TRIM(IF($S34 = "YES", "(External ID)", "") &amp; " " &amp; IF(SUMPRODUCT(-- ISNUMBER(SEARCH({"Unique","Unique Case Insensitive"}, $R34))) &gt; 0, "(" &amp; $R34 &amp; ")", ""))))</f>
        <v>na</v>
      </c>
      <c r="E34" s="7" t="s">
        <v>195</v>
      </c>
      <c r="F34" s="7" t="s">
        <v>195</v>
      </c>
      <c r="G34" s="7" t="s">
        <v>195</v>
      </c>
      <c r="H34" s="7" t="s">
        <v>195</v>
      </c>
      <c r="I34" s="7" t="s">
        <v>195</v>
      </c>
      <c r="J34" s="7" t="s">
        <v>195</v>
      </c>
      <c r="K34" s="7" t="s">
        <v>195</v>
      </c>
      <c r="L34" s="7" t="s">
        <v>195</v>
      </c>
      <c r="M34" s="7" t="s">
        <v>28</v>
      </c>
      <c r="N34" s="7" t="s">
        <v>29</v>
      </c>
      <c r="O34" s="7" t="s">
        <v>29</v>
      </c>
      <c r="P34" s="7" t="s">
        <v>29</v>
      </c>
      <c r="Q34" s="7" t="s">
        <v>29</v>
      </c>
      <c r="R34" s="7" t="s">
        <v>29</v>
      </c>
      <c r="S34" s="7" t="s">
        <v>29</v>
      </c>
    </row>
    <row r="35" spans="1:19">
      <c r="A35" s="7" t="s">
        <v>39</v>
      </c>
      <c r="B35" s="7" t="s">
        <v>195</v>
      </c>
      <c r="C35" s="8" t="s">
        <v>195</v>
      </c>
      <c r="D35" s="6" t="str">
        <f>LRTRIM(CONCATENATE(IF(SUMPRODUCT(-- ISNUMBER(SEARCH({"Auto Number"}, $B35))) &gt; 0, $B35, IF(SUMPRODUCT(-- ISNUMBER(SEARCH({"Lookup","Master-Detail"}, $B35))) &gt; 0,$B35 &amp; "(" &amp; $E35 &amp; ")",IF(SUMPRODUCT(-- ISNUMBER(SEARCH({"Formula","Roll-Up Summary"}, $B35))) &gt; 0,$B35 &amp; " (" &amp; $E35 &amp; ")",IF(SUMPRODUCT(-- ISNUMBER(SEARCH({"Content","Currency","Number","Percent","Text","URL"}, $B35))) &gt; 0,$B35 &amp; "(" &amp; $C35 &amp; ")",$B35)))), "  ", TRIM(IF($S35 = "YES", "(External ID)", "") &amp; " " &amp; IF(SUMPRODUCT(-- ISNUMBER(SEARCH({"Unique","Unique Case Insensitive"}, $R35))) &gt; 0, "(" &amp; $R35 &amp; ")", ""))))</f>
        <v>na</v>
      </c>
      <c r="E35" s="7" t="s">
        <v>195</v>
      </c>
      <c r="F35" s="7" t="s">
        <v>195</v>
      </c>
      <c r="G35" s="7" t="s">
        <v>195</v>
      </c>
      <c r="H35" s="7" t="s">
        <v>195</v>
      </c>
      <c r="I35" s="7" t="s">
        <v>195</v>
      </c>
      <c r="J35" s="7" t="s">
        <v>195</v>
      </c>
      <c r="K35" s="7" t="s">
        <v>195</v>
      </c>
      <c r="L35" s="7" t="s">
        <v>195</v>
      </c>
      <c r="M35" s="7" t="s">
        <v>28</v>
      </c>
      <c r="N35" s="7" t="s">
        <v>29</v>
      </c>
      <c r="O35" s="7" t="s">
        <v>29</v>
      </c>
      <c r="P35" s="7" t="s">
        <v>29</v>
      </c>
      <c r="Q35" s="7" t="s">
        <v>29</v>
      </c>
      <c r="R35" s="7" t="s">
        <v>29</v>
      </c>
      <c r="S35" s="7" t="s">
        <v>29</v>
      </c>
    </row>
    <row r="36" spans="1:19">
      <c r="B36" s="7" t="s">
        <v>195</v>
      </c>
      <c r="C36" s="8" t="s">
        <v>195</v>
      </c>
      <c r="D36" s="6" t="str">
        <f>LRTRIM(CONCATENATE(IF(SUMPRODUCT(-- ISNUMBER(SEARCH({"Auto Number"}, $B36))) &gt; 0, $B36, IF(SUMPRODUCT(-- ISNUMBER(SEARCH({"Lookup","Master-Detail"}, $B36))) &gt; 0,$B36 &amp; "(" &amp; $E36 &amp; ")",IF(SUMPRODUCT(-- ISNUMBER(SEARCH({"Formula","Roll-Up Summary"}, $B36))) &gt; 0,$B36 &amp; " (" &amp; $E36 &amp; ")",IF(SUMPRODUCT(-- ISNUMBER(SEARCH({"Content","Currency","Number","Percent","Text","URL"}, $B36))) &gt; 0,$B36 &amp; "(" &amp; $C36 &amp; ")",$B36)))), "  ", TRIM(IF($S36 = "YES", "(External ID)", "") &amp; " " &amp; IF(SUMPRODUCT(-- ISNUMBER(SEARCH({"Unique","Unique Case Insensitive"}, $R36))) &gt; 0, "(" &amp; $R36 &amp; ")", ""))))</f>
        <v>na</v>
      </c>
      <c r="E36" s="7" t="s">
        <v>195</v>
      </c>
      <c r="F36" s="7" t="s">
        <v>195</v>
      </c>
      <c r="G36" s="7" t="s">
        <v>195</v>
      </c>
      <c r="H36" s="7" t="s">
        <v>195</v>
      </c>
      <c r="I36" s="7" t="s">
        <v>195</v>
      </c>
      <c r="J36" s="7" t="s">
        <v>195</v>
      </c>
      <c r="K36" s="7" t="s">
        <v>195</v>
      </c>
      <c r="L36" s="7" t="s">
        <v>195</v>
      </c>
      <c r="M36" s="7" t="s">
        <v>29</v>
      </c>
      <c r="N36" s="7" t="s">
        <v>29</v>
      </c>
      <c r="O36" s="7" t="s">
        <v>29</v>
      </c>
      <c r="P36" s="7" t="s">
        <v>29</v>
      </c>
      <c r="Q36" s="7" t="s">
        <v>29</v>
      </c>
      <c r="R36" s="7" t="s">
        <v>29</v>
      </c>
      <c r="S36" s="7" t="s">
        <v>29</v>
      </c>
    </row>
    <row r="37" spans="1:19">
      <c r="B37" s="7" t="s">
        <v>195</v>
      </c>
      <c r="C37" s="8" t="s">
        <v>195</v>
      </c>
      <c r="D37" s="6" t="str">
        <f>LRTRIM(CONCATENATE(IF(SUMPRODUCT(-- ISNUMBER(SEARCH({"Auto Number"}, $B37))) &gt; 0, $B37, IF(SUMPRODUCT(-- ISNUMBER(SEARCH({"Lookup","Master-Detail"}, $B37))) &gt; 0,$B37 &amp; "(" &amp; $E37 &amp; ")",IF(SUMPRODUCT(-- ISNUMBER(SEARCH({"Formula","Roll-Up Summary"}, $B37))) &gt; 0,$B37 &amp; " (" &amp; $E37 &amp; ")",IF(SUMPRODUCT(-- ISNUMBER(SEARCH({"Content","Currency","Number","Percent","Text","URL"}, $B37))) &gt; 0,$B37 &amp; "(" &amp; $C37 &amp; ")",$B37)))), "  ", TRIM(IF($S37 = "YES", "(External ID)", "") &amp; " " &amp; IF(SUMPRODUCT(-- ISNUMBER(SEARCH({"Unique","Unique Case Insensitive"}, $R37))) &gt; 0, "(" &amp; $R37 &amp; ")", ""))))</f>
        <v>na</v>
      </c>
      <c r="E37" s="7" t="s">
        <v>195</v>
      </c>
      <c r="F37" s="7" t="s">
        <v>195</v>
      </c>
      <c r="G37" s="7" t="s">
        <v>195</v>
      </c>
      <c r="H37" s="7" t="s">
        <v>195</v>
      </c>
      <c r="I37" s="7" t="s">
        <v>195</v>
      </c>
      <c r="J37" s="7" t="s">
        <v>195</v>
      </c>
      <c r="K37" s="7" t="s">
        <v>195</v>
      </c>
      <c r="L37" s="7" t="s">
        <v>195</v>
      </c>
      <c r="M37" s="7" t="s">
        <v>29</v>
      </c>
      <c r="N37" s="7" t="s">
        <v>29</v>
      </c>
      <c r="O37" s="7" t="s">
        <v>29</v>
      </c>
      <c r="P37" s="7" t="s">
        <v>29</v>
      </c>
      <c r="Q37" s="7" t="s">
        <v>29</v>
      </c>
      <c r="R37" s="7" t="s">
        <v>29</v>
      </c>
      <c r="S37" s="7" t="s">
        <v>29</v>
      </c>
    </row>
    <row r="38" spans="1:19">
      <c r="B38" s="7" t="s">
        <v>195</v>
      </c>
      <c r="C38" s="8" t="s">
        <v>195</v>
      </c>
      <c r="D38" s="6" t="str">
        <f>LRTRIM(CONCATENATE(IF(SUMPRODUCT(-- ISNUMBER(SEARCH({"Auto Number"}, $B38))) &gt; 0, $B38, IF(SUMPRODUCT(-- ISNUMBER(SEARCH({"Lookup","Master-Detail"}, $B38))) &gt; 0,$B38 &amp; "(" &amp; $E38 &amp; ")",IF(SUMPRODUCT(-- ISNUMBER(SEARCH({"Formula","Roll-Up Summary"}, $B38))) &gt; 0,$B38 &amp; " (" &amp; $E38 &amp; ")",IF(SUMPRODUCT(-- ISNUMBER(SEARCH({"Content","Currency","Number","Percent","Text","URL"}, $B38))) &gt; 0,$B38 &amp; "(" &amp; $C38 &amp; ")",$B38)))), "  ", TRIM(IF($S38 = "YES", "(External ID)", "") &amp; " " &amp; IF(SUMPRODUCT(-- ISNUMBER(SEARCH({"Unique","Unique Case Insensitive"}, $R38))) &gt; 0, "(" &amp; $R38 &amp; ")", ""))))</f>
        <v>na</v>
      </c>
      <c r="E38" s="7" t="s">
        <v>195</v>
      </c>
      <c r="F38" s="7" t="s">
        <v>195</v>
      </c>
      <c r="G38" s="7" t="s">
        <v>195</v>
      </c>
      <c r="H38" s="7" t="s">
        <v>195</v>
      </c>
      <c r="I38" s="7" t="s">
        <v>195</v>
      </c>
      <c r="J38" s="7" t="s">
        <v>195</v>
      </c>
      <c r="K38" s="7" t="s">
        <v>195</v>
      </c>
      <c r="L38" s="7" t="s">
        <v>195</v>
      </c>
      <c r="M38" s="7" t="s">
        <v>29</v>
      </c>
      <c r="N38" s="7" t="s">
        <v>29</v>
      </c>
      <c r="O38" s="7" t="s">
        <v>29</v>
      </c>
      <c r="P38" s="7" t="s">
        <v>29</v>
      </c>
      <c r="Q38" s="7" t="s">
        <v>29</v>
      </c>
      <c r="R38" s="7" t="s">
        <v>29</v>
      </c>
      <c r="S38" s="7" t="s">
        <v>29</v>
      </c>
    </row>
    <row r="39" spans="1:19">
      <c r="B39" s="7" t="s">
        <v>195</v>
      </c>
      <c r="C39" s="8" t="s">
        <v>195</v>
      </c>
      <c r="D39" s="6" t="str">
        <f>LRTRIM(CONCATENATE(IF(SUMPRODUCT(-- ISNUMBER(SEARCH({"Auto Number"}, $B39))) &gt; 0, $B39, IF(SUMPRODUCT(-- ISNUMBER(SEARCH({"Lookup","Master-Detail"}, $B39))) &gt; 0,$B39 &amp; "(" &amp; $E39 &amp; ")",IF(SUMPRODUCT(-- ISNUMBER(SEARCH({"Formula","Roll-Up Summary"}, $B39))) &gt; 0,$B39 &amp; " (" &amp; $E39 &amp; ")",IF(SUMPRODUCT(-- ISNUMBER(SEARCH({"Content","Currency","Number","Percent","Text","URL"}, $B39))) &gt; 0,$B39 &amp; "(" &amp; $C39 &amp; ")",$B39)))), "  ", TRIM(IF($S39 = "YES", "(External ID)", "") &amp; " " &amp; IF(SUMPRODUCT(-- ISNUMBER(SEARCH({"Unique","Unique Case Insensitive"}, $R39))) &gt; 0, "(" &amp; $R39 &amp; ")", ""))))</f>
        <v>na</v>
      </c>
      <c r="E39" s="7" t="s">
        <v>195</v>
      </c>
      <c r="F39" s="7" t="s">
        <v>195</v>
      </c>
      <c r="G39" s="7" t="s">
        <v>195</v>
      </c>
      <c r="H39" s="7" t="s">
        <v>195</v>
      </c>
      <c r="I39" s="7" t="s">
        <v>195</v>
      </c>
      <c r="J39" s="7" t="s">
        <v>195</v>
      </c>
      <c r="K39" s="7" t="s">
        <v>195</v>
      </c>
      <c r="L39" s="7" t="s">
        <v>195</v>
      </c>
      <c r="M39" s="7" t="s">
        <v>29</v>
      </c>
      <c r="N39" s="7" t="s">
        <v>29</v>
      </c>
      <c r="O39" s="7" t="s">
        <v>29</v>
      </c>
      <c r="P39" s="7" t="s">
        <v>29</v>
      </c>
      <c r="Q39" s="7" t="s">
        <v>29</v>
      </c>
      <c r="R39" s="7" t="s">
        <v>29</v>
      </c>
      <c r="S39" s="7" t="s">
        <v>29</v>
      </c>
    </row>
    <row r="40" spans="1:19">
      <c r="B40" s="7" t="s">
        <v>195</v>
      </c>
      <c r="C40" s="8" t="s">
        <v>195</v>
      </c>
      <c r="D40" s="6" t="str">
        <f>LRTRIM(CONCATENATE(IF(SUMPRODUCT(-- ISNUMBER(SEARCH({"Auto Number"}, $B40))) &gt; 0, $B40, IF(SUMPRODUCT(-- ISNUMBER(SEARCH({"Lookup","Master-Detail"}, $B40))) &gt; 0,$B40 &amp; "(" &amp; $E40 &amp; ")",IF(SUMPRODUCT(-- ISNUMBER(SEARCH({"Formula","Roll-Up Summary"}, $B40))) &gt; 0,$B40 &amp; " (" &amp; $E40 &amp; ")",IF(SUMPRODUCT(-- ISNUMBER(SEARCH({"Content","Currency","Number","Percent","Text","URL"}, $B40))) &gt; 0,$B40 &amp; "(" &amp; $C40 &amp; ")",$B40)))), "  ", TRIM(IF($S40 = "YES", "(External ID)", "") &amp; " " &amp; IF(SUMPRODUCT(-- ISNUMBER(SEARCH({"Unique","Unique Case Insensitive"}, $R40))) &gt; 0, "(" &amp; $R40 &amp; ")", ""))))</f>
        <v>na</v>
      </c>
      <c r="E40" s="7" t="s">
        <v>195</v>
      </c>
      <c r="F40" s="7" t="s">
        <v>195</v>
      </c>
      <c r="G40" s="7" t="s">
        <v>195</v>
      </c>
      <c r="H40" s="7" t="s">
        <v>195</v>
      </c>
      <c r="I40" s="7" t="s">
        <v>195</v>
      </c>
      <c r="J40" s="7" t="s">
        <v>195</v>
      </c>
      <c r="K40" s="7" t="s">
        <v>195</v>
      </c>
      <c r="L40" s="7" t="s">
        <v>195</v>
      </c>
      <c r="M40" s="7" t="s">
        <v>29</v>
      </c>
      <c r="N40" s="7" t="s">
        <v>29</v>
      </c>
      <c r="O40" s="7" t="s">
        <v>29</v>
      </c>
      <c r="P40" s="7" t="s">
        <v>29</v>
      </c>
      <c r="Q40" s="7" t="s">
        <v>29</v>
      </c>
      <c r="R40" s="7" t="s">
        <v>29</v>
      </c>
      <c r="S40" s="7" t="s">
        <v>29</v>
      </c>
    </row>
    <row r="41" spans="1:19">
      <c r="B41" s="7" t="s">
        <v>195</v>
      </c>
      <c r="C41" s="8" t="s">
        <v>195</v>
      </c>
      <c r="D41" s="6" t="str">
        <f>LRTRIM(CONCATENATE(IF(SUMPRODUCT(-- ISNUMBER(SEARCH({"Auto Number"}, $B41))) &gt; 0, $B41, IF(SUMPRODUCT(-- ISNUMBER(SEARCH({"Lookup","Master-Detail"}, $B41))) &gt; 0,$B41 &amp; "(" &amp; $E41 &amp; ")",IF(SUMPRODUCT(-- ISNUMBER(SEARCH({"Formula","Roll-Up Summary"}, $B41))) &gt; 0,$B41 &amp; " (" &amp; $E41 &amp; ")",IF(SUMPRODUCT(-- ISNUMBER(SEARCH({"Content","Currency","Number","Percent","Text","URL"}, $B41))) &gt; 0,$B41 &amp; "(" &amp; $C41 &amp; ")",$B41)))), "  ", TRIM(IF($S41 = "YES", "(External ID)", "") &amp; " " &amp; IF(SUMPRODUCT(-- ISNUMBER(SEARCH({"Unique","Unique Case Insensitive"}, $R41))) &gt; 0, "(" &amp; $R41 &amp; ")", ""))))</f>
        <v>na</v>
      </c>
      <c r="E41" s="7" t="s">
        <v>195</v>
      </c>
      <c r="F41" s="7" t="s">
        <v>195</v>
      </c>
      <c r="G41" s="7" t="s">
        <v>195</v>
      </c>
      <c r="H41" s="7" t="s">
        <v>195</v>
      </c>
      <c r="I41" s="7" t="s">
        <v>195</v>
      </c>
      <c r="J41" s="7" t="s">
        <v>195</v>
      </c>
      <c r="K41" s="7" t="s">
        <v>195</v>
      </c>
      <c r="L41" s="7" t="s">
        <v>195</v>
      </c>
      <c r="M41" s="7" t="s">
        <v>29</v>
      </c>
      <c r="N41" s="7" t="s">
        <v>29</v>
      </c>
      <c r="O41" s="7" t="s">
        <v>29</v>
      </c>
      <c r="P41" s="7" t="s">
        <v>29</v>
      </c>
      <c r="Q41" s="7" t="s">
        <v>29</v>
      </c>
      <c r="R41" s="7" t="s">
        <v>29</v>
      </c>
      <c r="S41" s="7" t="s">
        <v>29</v>
      </c>
    </row>
    <row r="42" spans="1:19">
      <c r="B42" s="7" t="s">
        <v>195</v>
      </c>
      <c r="C42" s="8" t="s">
        <v>195</v>
      </c>
      <c r="D42" s="6" t="str">
        <f>LRTRIM(CONCATENATE(IF(SUMPRODUCT(-- ISNUMBER(SEARCH({"Auto Number"}, $B42))) &gt; 0, $B42, IF(SUMPRODUCT(-- ISNUMBER(SEARCH({"Lookup","Master-Detail"}, $B42))) &gt; 0,$B42 &amp; "(" &amp; $E42 &amp; ")",IF(SUMPRODUCT(-- ISNUMBER(SEARCH({"Formula","Roll-Up Summary"}, $B42))) &gt; 0,$B42 &amp; " (" &amp; $E42 &amp; ")",IF(SUMPRODUCT(-- ISNUMBER(SEARCH({"Content","Currency","Number","Percent","Text","URL"}, $B42))) &gt; 0,$B42 &amp; "(" &amp; $C42 &amp; ")",$B42)))), "  ", TRIM(IF($S42 = "YES", "(External ID)", "") &amp; " " &amp; IF(SUMPRODUCT(-- ISNUMBER(SEARCH({"Unique","Unique Case Insensitive"}, $R42))) &gt; 0, "(" &amp; $R42 &amp; ")", ""))))</f>
        <v>na</v>
      </c>
      <c r="E42" s="7" t="s">
        <v>195</v>
      </c>
      <c r="F42" s="7" t="s">
        <v>195</v>
      </c>
      <c r="G42" s="7" t="s">
        <v>195</v>
      </c>
      <c r="H42" s="7" t="s">
        <v>195</v>
      </c>
      <c r="I42" s="7" t="s">
        <v>195</v>
      </c>
      <c r="J42" s="7" t="s">
        <v>195</v>
      </c>
      <c r="K42" s="7" t="s">
        <v>195</v>
      </c>
      <c r="L42" s="7" t="s">
        <v>195</v>
      </c>
      <c r="M42" s="7" t="s">
        <v>29</v>
      </c>
      <c r="N42" s="7" t="s">
        <v>29</v>
      </c>
      <c r="O42" s="7" t="s">
        <v>29</v>
      </c>
      <c r="P42" s="7" t="s">
        <v>29</v>
      </c>
      <c r="Q42" s="7" t="s">
        <v>29</v>
      </c>
      <c r="R42" s="7" t="s">
        <v>29</v>
      </c>
      <c r="S42" s="7" t="s">
        <v>29</v>
      </c>
    </row>
    <row r="43" spans="1:19">
      <c r="B43" s="7" t="s">
        <v>195</v>
      </c>
      <c r="C43" s="8" t="s">
        <v>195</v>
      </c>
      <c r="D43" s="6" t="str">
        <f>LRTRIM(CONCATENATE(IF(SUMPRODUCT(-- ISNUMBER(SEARCH({"Auto Number"}, $B43))) &gt; 0, $B43, IF(SUMPRODUCT(-- ISNUMBER(SEARCH({"Lookup","Master-Detail"}, $B43))) &gt; 0,$B43 &amp; "(" &amp; $E43 &amp; ")",IF(SUMPRODUCT(-- ISNUMBER(SEARCH({"Formula","Roll-Up Summary"}, $B43))) &gt; 0,$B43 &amp; " (" &amp; $E43 &amp; ")",IF(SUMPRODUCT(-- ISNUMBER(SEARCH({"Content","Currency","Number","Percent","Text","URL"}, $B43))) &gt; 0,$B43 &amp; "(" &amp; $C43 &amp; ")",$B43)))), "  ", TRIM(IF($S43 = "YES", "(External ID)", "") &amp; " " &amp; IF(SUMPRODUCT(-- ISNUMBER(SEARCH({"Unique","Unique Case Insensitive"}, $R43))) &gt; 0, "(" &amp; $R43 &amp; ")", ""))))</f>
        <v>na</v>
      </c>
      <c r="E43" s="7" t="s">
        <v>195</v>
      </c>
      <c r="F43" s="7" t="s">
        <v>195</v>
      </c>
      <c r="G43" s="7" t="s">
        <v>195</v>
      </c>
      <c r="H43" s="7" t="s">
        <v>195</v>
      </c>
      <c r="I43" s="7" t="s">
        <v>195</v>
      </c>
      <c r="J43" s="7" t="s">
        <v>195</v>
      </c>
      <c r="K43" s="7" t="s">
        <v>195</v>
      </c>
      <c r="L43" s="7" t="s">
        <v>195</v>
      </c>
      <c r="M43" s="7" t="s">
        <v>29</v>
      </c>
      <c r="N43" s="7" t="s">
        <v>29</v>
      </c>
      <c r="O43" s="7" t="s">
        <v>29</v>
      </c>
      <c r="P43" s="7" t="s">
        <v>29</v>
      </c>
      <c r="Q43" s="7" t="s">
        <v>29</v>
      </c>
      <c r="R43" s="7" t="s">
        <v>29</v>
      </c>
      <c r="S43" s="7" t="s">
        <v>29</v>
      </c>
    </row>
    <row r="44" spans="1:19">
      <c r="B44" s="7" t="s">
        <v>195</v>
      </c>
      <c r="C44" s="8" t="s">
        <v>195</v>
      </c>
      <c r="D44" s="6" t="str">
        <f>LRTRIM(CONCATENATE(IF(SUMPRODUCT(-- ISNUMBER(SEARCH({"Auto Number"}, $B44))) &gt; 0, $B44, IF(SUMPRODUCT(-- ISNUMBER(SEARCH({"Lookup","Master-Detail"}, $B44))) &gt; 0,$B44 &amp; "(" &amp; $E44 &amp; ")",IF(SUMPRODUCT(-- ISNUMBER(SEARCH({"Formula","Roll-Up Summary"}, $B44))) &gt; 0,$B44 &amp; " (" &amp; $E44 &amp; ")",IF(SUMPRODUCT(-- ISNUMBER(SEARCH({"Content","Currency","Number","Percent","Text","URL"}, $B44))) &gt; 0,$B44 &amp; "(" &amp; $C44 &amp; ")",$B44)))), "  ", TRIM(IF($S44 = "YES", "(External ID)", "") &amp; " " &amp; IF(SUMPRODUCT(-- ISNUMBER(SEARCH({"Unique","Unique Case Insensitive"}, $R44))) &gt; 0, "(" &amp; $R44 &amp; ")", ""))))</f>
        <v>na</v>
      </c>
      <c r="E44" s="7" t="s">
        <v>195</v>
      </c>
      <c r="F44" s="7" t="s">
        <v>195</v>
      </c>
      <c r="G44" s="7" t="s">
        <v>195</v>
      </c>
      <c r="H44" s="7" t="s">
        <v>195</v>
      </c>
      <c r="I44" s="7" t="s">
        <v>195</v>
      </c>
      <c r="J44" s="7" t="s">
        <v>195</v>
      </c>
      <c r="K44" s="7" t="s">
        <v>195</v>
      </c>
      <c r="L44" s="7" t="s">
        <v>195</v>
      </c>
      <c r="M44" s="7" t="s">
        <v>29</v>
      </c>
      <c r="N44" s="7" t="s">
        <v>29</v>
      </c>
      <c r="O44" s="7" t="s">
        <v>29</v>
      </c>
      <c r="P44" s="7" t="s">
        <v>29</v>
      </c>
      <c r="Q44" s="7" t="s">
        <v>29</v>
      </c>
      <c r="R44" s="7" t="s">
        <v>29</v>
      </c>
      <c r="S44" s="7" t="s">
        <v>29</v>
      </c>
    </row>
    <row r="45" spans="1:19">
      <c r="B45" s="7" t="s">
        <v>195</v>
      </c>
      <c r="C45" s="8" t="s">
        <v>195</v>
      </c>
      <c r="D45" s="6" t="str">
        <f>LRTRIM(CONCATENATE(IF(SUMPRODUCT(-- ISNUMBER(SEARCH({"Auto Number"}, $B45))) &gt; 0, $B45, IF(SUMPRODUCT(-- ISNUMBER(SEARCH({"Lookup","Master-Detail"}, $B45))) &gt; 0,$B45 &amp; "(" &amp; $E45 &amp; ")",IF(SUMPRODUCT(-- ISNUMBER(SEARCH({"Formula","Roll-Up Summary"}, $B45))) &gt; 0,$B45 &amp; " (" &amp; $E45 &amp; ")",IF(SUMPRODUCT(-- ISNUMBER(SEARCH({"Content","Currency","Number","Percent","Text","URL"}, $B45))) &gt; 0,$B45 &amp; "(" &amp; $C45 &amp; ")",$B45)))), "  ", TRIM(IF($S45 = "YES", "(External ID)", "") &amp; " " &amp; IF(SUMPRODUCT(-- ISNUMBER(SEARCH({"Unique","Unique Case Insensitive"}, $R45))) &gt; 0, "(" &amp; $R45 &amp; ")", ""))))</f>
        <v>na</v>
      </c>
      <c r="E45" s="7" t="s">
        <v>195</v>
      </c>
      <c r="F45" s="7" t="s">
        <v>195</v>
      </c>
      <c r="G45" s="7" t="s">
        <v>195</v>
      </c>
      <c r="H45" s="7" t="s">
        <v>195</v>
      </c>
      <c r="I45" s="7" t="s">
        <v>195</v>
      </c>
      <c r="J45" s="7" t="s">
        <v>195</v>
      </c>
      <c r="K45" s="7" t="s">
        <v>195</v>
      </c>
      <c r="L45" s="7" t="s">
        <v>195</v>
      </c>
      <c r="M45" s="7" t="s">
        <v>29</v>
      </c>
      <c r="N45" s="7" t="s">
        <v>29</v>
      </c>
      <c r="O45" s="7" t="s">
        <v>29</v>
      </c>
      <c r="P45" s="7" t="s">
        <v>29</v>
      </c>
      <c r="Q45" s="7" t="s">
        <v>29</v>
      </c>
      <c r="R45" s="7" t="s">
        <v>29</v>
      </c>
      <c r="S45" s="7" t="s">
        <v>29</v>
      </c>
    </row>
    <row r="46" spans="1:19">
      <c r="B46" s="7" t="s">
        <v>195</v>
      </c>
      <c r="C46" s="8" t="s">
        <v>195</v>
      </c>
      <c r="D46" s="6" t="str">
        <f>LRTRIM(CONCATENATE(IF(SUMPRODUCT(-- ISNUMBER(SEARCH({"Auto Number"}, $B46))) &gt; 0, $B46, IF(SUMPRODUCT(-- ISNUMBER(SEARCH({"Lookup","Master-Detail"}, $B46))) &gt; 0,$B46 &amp; "(" &amp; $E46 &amp; ")",IF(SUMPRODUCT(-- ISNUMBER(SEARCH({"Formula","Roll-Up Summary"}, $B46))) &gt; 0,$B46 &amp; " (" &amp; $E46 &amp; ")",IF(SUMPRODUCT(-- ISNUMBER(SEARCH({"Content","Currency","Number","Percent","Text","URL"}, $B46))) &gt; 0,$B46 &amp; "(" &amp; $C46 &amp; ")",$B46)))), "  ", TRIM(IF($S46 = "YES", "(External ID)", "") &amp; " " &amp; IF(SUMPRODUCT(-- ISNUMBER(SEARCH({"Unique","Unique Case Insensitive"}, $R46))) &gt; 0, "(" &amp; $R46 &amp; ")", ""))))</f>
        <v>na</v>
      </c>
      <c r="E46" s="7" t="s">
        <v>195</v>
      </c>
      <c r="F46" s="7" t="s">
        <v>195</v>
      </c>
      <c r="G46" s="7" t="s">
        <v>195</v>
      </c>
      <c r="H46" s="7" t="s">
        <v>195</v>
      </c>
      <c r="I46" s="7" t="s">
        <v>195</v>
      </c>
      <c r="J46" s="7" t="s">
        <v>195</v>
      </c>
      <c r="K46" s="7" t="s">
        <v>195</v>
      </c>
      <c r="L46" s="7" t="s">
        <v>195</v>
      </c>
      <c r="M46" s="7" t="s">
        <v>29</v>
      </c>
      <c r="N46" s="7" t="s">
        <v>29</v>
      </c>
      <c r="O46" s="7" t="s">
        <v>29</v>
      </c>
      <c r="P46" s="7" t="s">
        <v>29</v>
      </c>
      <c r="Q46" s="7" t="s">
        <v>29</v>
      </c>
      <c r="R46" s="7" t="s">
        <v>29</v>
      </c>
      <c r="S46" s="7" t="s">
        <v>29</v>
      </c>
    </row>
    <row r="47" spans="1:19">
      <c r="B47" s="7" t="s">
        <v>195</v>
      </c>
      <c r="C47" s="8" t="s">
        <v>195</v>
      </c>
      <c r="D47" s="6" t="str">
        <f>LRTRIM(CONCATENATE(IF(SUMPRODUCT(-- ISNUMBER(SEARCH({"Auto Number"}, $B47))) &gt; 0, $B47, IF(SUMPRODUCT(-- ISNUMBER(SEARCH({"Lookup","Master-Detail"}, $B47))) &gt; 0,$B47 &amp; "(" &amp; $E47 &amp; ")",IF(SUMPRODUCT(-- ISNUMBER(SEARCH({"Formula","Roll-Up Summary"}, $B47))) &gt; 0,$B47 &amp; " (" &amp; $E47 &amp; ")",IF(SUMPRODUCT(-- ISNUMBER(SEARCH({"Content","Currency","Number","Percent","Text","URL"}, $B47))) &gt; 0,$B47 &amp; "(" &amp; $C47 &amp; ")",$B47)))), "  ", TRIM(IF($S47 = "YES", "(External ID)", "") &amp; " " &amp; IF(SUMPRODUCT(-- ISNUMBER(SEARCH({"Unique","Unique Case Insensitive"}, $R47))) &gt; 0, "(" &amp; $R47 &amp; ")", ""))))</f>
        <v>na</v>
      </c>
      <c r="E47" s="7" t="s">
        <v>195</v>
      </c>
      <c r="F47" s="7" t="s">
        <v>195</v>
      </c>
      <c r="G47" s="7" t="s">
        <v>195</v>
      </c>
      <c r="H47" s="7" t="s">
        <v>195</v>
      </c>
      <c r="I47" s="7" t="s">
        <v>195</v>
      </c>
      <c r="J47" s="7" t="s">
        <v>195</v>
      </c>
      <c r="K47" s="7" t="s">
        <v>195</v>
      </c>
      <c r="L47" s="7" t="s">
        <v>195</v>
      </c>
      <c r="M47" s="7" t="s">
        <v>29</v>
      </c>
      <c r="N47" s="7" t="s">
        <v>29</v>
      </c>
      <c r="O47" s="7" t="s">
        <v>29</v>
      </c>
      <c r="P47" s="7" t="s">
        <v>29</v>
      </c>
      <c r="Q47" s="7" t="s">
        <v>29</v>
      </c>
      <c r="R47" s="7" t="s">
        <v>29</v>
      </c>
      <c r="S47" s="7" t="s">
        <v>29</v>
      </c>
    </row>
    <row r="48" spans="1:19">
      <c r="B48" s="7" t="s">
        <v>195</v>
      </c>
      <c r="C48" s="8" t="s">
        <v>195</v>
      </c>
      <c r="D48" s="6" t="str">
        <f>LRTRIM(CONCATENATE(IF(SUMPRODUCT(-- ISNUMBER(SEARCH({"Auto Number"}, $B48))) &gt; 0, $B48, IF(SUMPRODUCT(-- ISNUMBER(SEARCH({"Lookup","Master-Detail"}, $B48))) &gt; 0,$B48 &amp; "(" &amp; $E48 &amp; ")",IF(SUMPRODUCT(-- ISNUMBER(SEARCH({"Formula","Roll-Up Summary"}, $B48))) &gt; 0,$B48 &amp; " (" &amp; $E48 &amp; ")",IF(SUMPRODUCT(-- ISNUMBER(SEARCH({"Content","Currency","Number","Percent","Text","URL"}, $B48))) &gt; 0,$B48 &amp; "(" &amp; $C48 &amp; ")",$B48)))), "  ", TRIM(IF($S48 = "YES", "(External ID)", "") &amp; " " &amp; IF(SUMPRODUCT(-- ISNUMBER(SEARCH({"Unique","Unique Case Insensitive"}, $R48))) &gt; 0, "(" &amp; $R48 &amp; ")", ""))))</f>
        <v>na</v>
      </c>
      <c r="E48" s="7" t="s">
        <v>195</v>
      </c>
      <c r="F48" s="7" t="s">
        <v>195</v>
      </c>
      <c r="G48" s="7" t="s">
        <v>195</v>
      </c>
      <c r="H48" s="7" t="s">
        <v>195</v>
      </c>
      <c r="I48" s="7" t="s">
        <v>195</v>
      </c>
      <c r="J48" s="7" t="s">
        <v>195</v>
      </c>
      <c r="K48" s="7" t="s">
        <v>195</v>
      </c>
      <c r="L48" s="7" t="s">
        <v>195</v>
      </c>
      <c r="M48" s="7" t="s">
        <v>29</v>
      </c>
      <c r="N48" s="7" t="s">
        <v>29</v>
      </c>
      <c r="O48" s="7" t="s">
        <v>29</v>
      </c>
      <c r="P48" s="7" t="s">
        <v>29</v>
      </c>
      <c r="Q48" s="7" t="s">
        <v>29</v>
      </c>
      <c r="R48" s="7" t="s">
        <v>29</v>
      </c>
      <c r="S48" s="7" t="s">
        <v>29</v>
      </c>
    </row>
    <row r="49" spans="2:19">
      <c r="B49" s="7" t="s">
        <v>195</v>
      </c>
      <c r="C49" s="8" t="s">
        <v>195</v>
      </c>
      <c r="D49" s="6" t="str">
        <f>LRTRIM(CONCATENATE(IF(SUMPRODUCT(-- ISNUMBER(SEARCH({"Auto Number"}, $B49))) &gt; 0, $B49, IF(SUMPRODUCT(-- ISNUMBER(SEARCH({"Lookup","Master-Detail"}, $B49))) &gt; 0,$B49 &amp; "(" &amp; $E49 &amp; ")",IF(SUMPRODUCT(-- ISNUMBER(SEARCH({"Formula","Roll-Up Summary"}, $B49))) &gt; 0,$B49 &amp; " (" &amp; $E49 &amp; ")",IF(SUMPRODUCT(-- ISNUMBER(SEARCH({"Content","Currency","Number","Percent","Text","URL"}, $B49))) &gt; 0,$B49 &amp; "(" &amp; $C49 &amp; ")",$B49)))), "  ", TRIM(IF($S49 = "YES", "(External ID)", "") &amp; " " &amp; IF(SUMPRODUCT(-- ISNUMBER(SEARCH({"Unique","Unique Case Insensitive"}, $R49))) &gt; 0, "(" &amp; $R49 &amp; ")", ""))))</f>
        <v>na</v>
      </c>
      <c r="E49" s="7" t="s">
        <v>195</v>
      </c>
      <c r="F49" s="7" t="s">
        <v>195</v>
      </c>
      <c r="G49" s="7" t="s">
        <v>195</v>
      </c>
      <c r="H49" s="7" t="s">
        <v>195</v>
      </c>
      <c r="I49" s="7" t="s">
        <v>195</v>
      </c>
      <c r="J49" s="7" t="s">
        <v>195</v>
      </c>
      <c r="K49" s="7" t="s">
        <v>195</v>
      </c>
      <c r="L49" s="7" t="s">
        <v>195</v>
      </c>
      <c r="M49" s="7" t="s">
        <v>29</v>
      </c>
      <c r="N49" s="7" t="s">
        <v>29</v>
      </c>
      <c r="O49" s="7" t="s">
        <v>29</v>
      </c>
      <c r="P49" s="7" t="s">
        <v>29</v>
      </c>
      <c r="Q49" s="7" t="s">
        <v>29</v>
      </c>
      <c r="R49" s="7" t="s">
        <v>29</v>
      </c>
      <c r="S49" s="7" t="s">
        <v>29</v>
      </c>
    </row>
    <row r="50" spans="2:19">
      <c r="B50" s="7" t="s">
        <v>195</v>
      </c>
      <c r="C50" s="8" t="s">
        <v>195</v>
      </c>
      <c r="D50" s="6" t="str">
        <f>LRTRIM(CONCATENATE(IF(SUMPRODUCT(-- ISNUMBER(SEARCH({"Auto Number"}, $B50))) &gt; 0, $B50, IF(SUMPRODUCT(-- ISNUMBER(SEARCH({"Lookup","Master-Detail"}, $B50))) &gt; 0,$B50 &amp; "(" &amp; $E50 &amp; ")",IF(SUMPRODUCT(-- ISNUMBER(SEARCH({"Formula","Roll-Up Summary"}, $B50))) &gt; 0,$B50 &amp; " (" &amp; $E50 &amp; ")",IF(SUMPRODUCT(-- ISNUMBER(SEARCH({"Content","Currency","Number","Percent","Text","URL"}, $B50))) &gt; 0,$B50 &amp; "(" &amp; $C50 &amp; ")",$B50)))), "  ", TRIM(IF($S50 = "YES", "(External ID)", "") &amp; " " &amp; IF(SUMPRODUCT(-- ISNUMBER(SEARCH({"Unique","Unique Case Insensitive"}, $R50))) &gt; 0, "(" &amp; $R50 &amp; ")", ""))))</f>
        <v>na</v>
      </c>
      <c r="E50" s="7" t="s">
        <v>195</v>
      </c>
      <c r="F50" s="7" t="s">
        <v>195</v>
      </c>
      <c r="G50" s="7" t="s">
        <v>195</v>
      </c>
      <c r="H50" s="7" t="s">
        <v>195</v>
      </c>
      <c r="I50" s="7" t="s">
        <v>195</v>
      </c>
      <c r="J50" s="7" t="s">
        <v>195</v>
      </c>
      <c r="K50" s="7" t="s">
        <v>195</v>
      </c>
      <c r="L50" s="7" t="s">
        <v>195</v>
      </c>
      <c r="M50" s="7" t="s">
        <v>29</v>
      </c>
      <c r="N50" s="7" t="s">
        <v>29</v>
      </c>
      <c r="O50" s="7" t="s">
        <v>29</v>
      </c>
      <c r="P50" s="7" t="s">
        <v>29</v>
      </c>
      <c r="Q50" s="7" t="s">
        <v>29</v>
      </c>
      <c r="R50" s="7" t="s">
        <v>29</v>
      </c>
      <c r="S50" s="7" t="s">
        <v>29</v>
      </c>
    </row>
    <row r="51" spans="2:19">
      <c r="B51" s="7" t="s">
        <v>195</v>
      </c>
      <c r="C51" s="8" t="s">
        <v>195</v>
      </c>
      <c r="D51" s="6" t="str">
        <f>LRTRIM(CONCATENATE(IF(SUMPRODUCT(-- ISNUMBER(SEARCH({"Auto Number"}, $B51))) &gt; 0, $B51, IF(SUMPRODUCT(-- ISNUMBER(SEARCH({"Lookup","Master-Detail"}, $B51))) &gt; 0,$B51 &amp; "(" &amp; $E51 &amp; ")",IF(SUMPRODUCT(-- ISNUMBER(SEARCH({"Formula","Roll-Up Summary"}, $B51))) &gt; 0,$B51 &amp; " (" &amp; $E51 &amp; ")",IF(SUMPRODUCT(-- ISNUMBER(SEARCH({"Content","Currency","Number","Percent","Text","URL"}, $B51))) &gt; 0,$B51 &amp; "(" &amp; $C51 &amp; ")",$B51)))), "  ", TRIM(IF($S51 = "YES", "(External ID)", "") &amp; " " &amp; IF(SUMPRODUCT(-- ISNUMBER(SEARCH({"Unique","Unique Case Insensitive"}, $R51))) &gt; 0, "(" &amp; $R51 &amp; ")", ""))))</f>
        <v>na</v>
      </c>
      <c r="E51" s="7" t="s">
        <v>195</v>
      </c>
      <c r="F51" s="7" t="s">
        <v>195</v>
      </c>
      <c r="G51" s="7" t="s">
        <v>195</v>
      </c>
      <c r="H51" s="7" t="s">
        <v>195</v>
      </c>
      <c r="I51" s="7" t="s">
        <v>195</v>
      </c>
      <c r="J51" s="7" t="s">
        <v>195</v>
      </c>
      <c r="K51" s="7" t="s">
        <v>195</v>
      </c>
      <c r="L51" s="7" t="s">
        <v>195</v>
      </c>
      <c r="M51" s="7" t="s">
        <v>29</v>
      </c>
      <c r="N51" s="7" t="s">
        <v>29</v>
      </c>
      <c r="O51" s="7" t="s">
        <v>29</v>
      </c>
      <c r="P51" s="7" t="s">
        <v>29</v>
      </c>
      <c r="Q51" s="7" t="s">
        <v>29</v>
      </c>
      <c r="R51" s="7" t="s">
        <v>29</v>
      </c>
      <c r="S51" s="7" t="s">
        <v>29</v>
      </c>
    </row>
    <row r="52" spans="2:19">
      <c r="B52" s="7" t="s">
        <v>195</v>
      </c>
      <c r="C52" s="8" t="s">
        <v>195</v>
      </c>
      <c r="D52" s="6" t="str">
        <f>LRTRIM(CONCATENATE(IF(SUMPRODUCT(-- ISNUMBER(SEARCH({"Auto Number"}, $B52))) &gt; 0, $B52, IF(SUMPRODUCT(-- ISNUMBER(SEARCH({"Lookup","Master-Detail"}, $B52))) &gt; 0,$B52 &amp; "(" &amp; $E52 &amp; ")",IF(SUMPRODUCT(-- ISNUMBER(SEARCH({"Formula","Roll-Up Summary"}, $B52))) &gt; 0,$B52 &amp; " (" &amp; $E52 &amp; ")",IF(SUMPRODUCT(-- ISNUMBER(SEARCH({"Content","Currency","Number","Percent","Text","URL"}, $B52))) &gt; 0,$B52 &amp; "(" &amp; $C52 &amp; ")",$B52)))), "  ", TRIM(IF($S52 = "YES", "(External ID)", "") &amp; " " &amp; IF(SUMPRODUCT(-- ISNUMBER(SEARCH({"Unique","Unique Case Insensitive"}, $R52))) &gt; 0, "(" &amp; $R52 &amp; ")", ""))))</f>
        <v>na</v>
      </c>
      <c r="E52" s="7" t="s">
        <v>195</v>
      </c>
      <c r="F52" s="7" t="s">
        <v>195</v>
      </c>
      <c r="G52" s="7" t="s">
        <v>195</v>
      </c>
      <c r="H52" s="7" t="s">
        <v>195</v>
      </c>
      <c r="I52" s="7" t="s">
        <v>195</v>
      </c>
      <c r="J52" s="7" t="s">
        <v>195</v>
      </c>
      <c r="K52" s="7" t="s">
        <v>195</v>
      </c>
      <c r="L52" s="7" t="s">
        <v>195</v>
      </c>
      <c r="M52" s="7" t="s">
        <v>29</v>
      </c>
      <c r="N52" s="7" t="s">
        <v>29</v>
      </c>
      <c r="O52" s="7" t="s">
        <v>29</v>
      </c>
      <c r="P52" s="7" t="s">
        <v>29</v>
      </c>
      <c r="Q52" s="7" t="s">
        <v>29</v>
      </c>
      <c r="R52" s="7" t="s">
        <v>29</v>
      </c>
      <c r="S52" s="7" t="s">
        <v>29</v>
      </c>
    </row>
    <row r="53" spans="2:19">
      <c r="B53" s="7" t="s">
        <v>195</v>
      </c>
      <c r="C53" s="8" t="s">
        <v>195</v>
      </c>
      <c r="D53" s="6" t="str">
        <f>LRTRIM(CONCATENATE(IF(SUMPRODUCT(-- ISNUMBER(SEARCH({"Auto Number"}, $B53))) &gt; 0, $B53, IF(SUMPRODUCT(-- ISNUMBER(SEARCH({"Lookup","Master-Detail"}, $B53))) &gt; 0,$B53 &amp; "(" &amp; $E53 &amp; ")",IF(SUMPRODUCT(-- ISNUMBER(SEARCH({"Formula","Roll-Up Summary"}, $B53))) &gt; 0,$B53 &amp; " (" &amp; $E53 &amp; ")",IF(SUMPRODUCT(-- ISNUMBER(SEARCH({"Content","Currency","Number","Percent","Text","URL"}, $B53))) &gt; 0,$B53 &amp; "(" &amp; $C53 &amp; ")",$B53)))), "  ", TRIM(IF($S53 = "YES", "(External ID)", "") &amp; " " &amp; IF(SUMPRODUCT(-- ISNUMBER(SEARCH({"Unique","Unique Case Insensitive"}, $R53))) &gt; 0, "(" &amp; $R53 &amp; ")", ""))))</f>
        <v>na</v>
      </c>
      <c r="E53" s="7" t="s">
        <v>195</v>
      </c>
      <c r="F53" s="7" t="s">
        <v>195</v>
      </c>
      <c r="G53" s="7" t="s">
        <v>195</v>
      </c>
      <c r="H53" s="7" t="s">
        <v>195</v>
      </c>
      <c r="I53" s="7" t="s">
        <v>195</v>
      </c>
      <c r="J53" s="7" t="s">
        <v>195</v>
      </c>
      <c r="K53" s="7" t="s">
        <v>195</v>
      </c>
      <c r="L53" s="7" t="s">
        <v>195</v>
      </c>
      <c r="M53" s="7" t="s">
        <v>29</v>
      </c>
      <c r="N53" s="7" t="s">
        <v>29</v>
      </c>
      <c r="O53" s="7" t="s">
        <v>29</v>
      </c>
      <c r="P53" s="7" t="s">
        <v>29</v>
      </c>
      <c r="Q53" s="7" t="s">
        <v>29</v>
      </c>
      <c r="R53" s="7" t="s">
        <v>29</v>
      </c>
      <c r="S53" s="7" t="s">
        <v>29</v>
      </c>
    </row>
    <row r="54" spans="2:19">
      <c r="B54" s="7" t="s">
        <v>195</v>
      </c>
      <c r="C54" s="8" t="s">
        <v>195</v>
      </c>
      <c r="D54" s="6" t="str">
        <f>LRTRIM(CONCATENATE(IF(SUMPRODUCT(-- ISNUMBER(SEARCH({"Auto Number"}, $B54))) &gt; 0, $B54, IF(SUMPRODUCT(-- ISNUMBER(SEARCH({"Lookup","Master-Detail"}, $B54))) &gt; 0,$B54 &amp; "(" &amp; $E54 &amp; ")",IF(SUMPRODUCT(-- ISNUMBER(SEARCH({"Formula","Roll-Up Summary"}, $B54))) &gt; 0,$B54 &amp; " (" &amp; $E54 &amp; ")",IF(SUMPRODUCT(-- ISNUMBER(SEARCH({"Content","Currency","Number","Percent","Text","URL"}, $B54))) &gt; 0,$B54 &amp; "(" &amp; $C54 &amp; ")",$B54)))), "  ", TRIM(IF($S54 = "YES", "(External ID)", "") &amp; " " &amp; IF(SUMPRODUCT(-- ISNUMBER(SEARCH({"Unique","Unique Case Insensitive"}, $R54))) &gt; 0, "(" &amp; $R54 &amp; ")", ""))))</f>
        <v>na</v>
      </c>
      <c r="E54" s="7" t="s">
        <v>195</v>
      </c>
      <c r="F54" s="7" t="s">
        <v>195</v>
      </c>
      <c r="G54" s="7" t="s">
        <v>195</v>
      </c>
      <c r="H54" s="7" t="s">
        <v>195</v>
      </c>
      <c r="I54" s="7" t="s">
        <v>195</v>
      </c>
      <c r="J54" s="7" t="s">
        <v>195</v>
      </c>
      <c r="K54" s="7" t="s">
        <v>195</v>
      </c>
      <c r="L54" s="7" t="s">
        <v>195</v>
      </c>
      <c r="M54" s="7" t="s">
        <v>29</v>
      </c>
      <c r="N54" s="7" t="s">
        <v>29</v>
      </c>
      <c r="O54" s="7" t="s">
        <v>29</v>
      </c>
      <c r="P54" s="7" t="s">
        <v>29</v>
      </c>
      <c r="Q54" s="7" t="s">
        <v>29</v>
      </c>
      <c r="R54" s="7" t="s">
        <v>29</v>
      </c>
      <c r="S54" s="7" t="s">
        <v>29</v>
      </c>
    </row>
    <row r="55" spans="2:19">
      <c r="B55" s="7" t="s">
        <v>195</v>
      </c>
      <c r="C55" s="8" t="s">
        <v>195</v>
      </c>
      <c r="D55" s="6" t="str">
        <f>LRTRIM(CONCATENATE(IF(SUMPRODUCT(-- ISNUMBER(SEARCH({"Auto Number"}, $B55))) &gt; 0, $B55, IF(SUMPRODUCT(-- ISNUMBER(SEARCH({"Lookup","Master-Detail"}, $B55))) &gt; 0,$B55 &amp; "(" &amp; $E55 &amp; ")",IF(SUMPRODUCT(-- ISNUMBER(SEARCH({"Formula","Roll-Up Summary"}, $B55))) &gt; 0,$B55 &amp; " (" &amp; $E55 &amp; ")",IF(SUMPRODUCT(-- ISNUMBER(SEARCH({"Content","Currency","Number","Percent","Text","URL"}, $B55))) &gt; 0,$B55 &amp; "(" &amp; $C55 &amp; ")",$B55)))), "  ", TRIM(IF($S55 = "YES", "(External ID)", "") &amp; " " &amp; IF(SUMPRODUCT(-- ISNUMBER(SEARCH({"Unique","Unique Case Insensitive"}, $R55))) &gt; 0, "(" &amp; $R55 &amp; ")", ""))))</f>
        <v>na</v>
      </c>
      <c r="E55" s="7" t="s">
        <v>195</v>
      </c>
      <c r="F55" s="7" t="s">
        <v>195</v>
      </c>
      <c r="G55" s="7" t="s">
        <v>195</v>
      </c>
      <c r="H55" s="7" t="s">
        <v>195</v>
      </c>
      <c r="I55" s="7" t="s">
        <v>195</v>
      </c>
      <c r="J55" s="7" t="s">
        <v>195</v>
      </c>
      <c r="K55" s="7" t="s">
        <v>195</v>
      </c>
      <c r="L55" s="7" t="s">
        <v>195</v>
      </c>
      <c r="M55" s="7" t="s">
        <v>29</v>
      </c>
      <c r="N55" s="7" t="s">
        <v>29</v>
      </c>
      <c r="O55" s="7" t="s">
        <v>29</v>
      </c>
      <c r="P55" s="7" t="s">
        <v>29</v>
      </c>
      <c r="Q55" s="7" t="s">
        <v>29</v>
      </c>
      <c r="R55" s="7" t="s">
        <v>29</v>
      </c>
      <c r="S55" s="7" t="s">
        <v>29</v>
      </c>
    </row>
    <row r="56" spans="2:19">
      <c r="B56" s="7" t="s">
        <v>195</v>
      </c>
      <c r="C56" s="8" t="s">
        <v>195</v>
      </c>
      <c r="D56" s="6" t="str">
        <f>LRTRIM(CONCATENATE(IF(SUMPRODUCT(-- ISNUMBER(SEARCH({"Auto Number"}, $B56))) &gt; 0, $B56, IF(SUMPRODUCT(-- ISNUMBER(SEARCH({"Lookup","Master-Detail"}, $B56))) &gt; 0,$B56 &amp; "(" &amp; $E56 &amp; ")",IF(SUMPRODUCT(-- ISNUMBER(SEARCH({"Formula","Roll-Up Summary"}, $B56))) &gt; 0,$B56 &amp; " (" &amp; $E56 &amp; ")",IF(SUMPRODUCT(-- ISNUMBER(SEARCH({"Content","Currency","Number","Percent","Text","URL"}, $B56))) &gt; 0,$B56 &amp; "(" &amp; $C56 &amp; ")",$B56)))), "  ", TRIM(IF($S56 = "YES", "(External ID)", "") &amp; " " &amp; IF(SUMPRODUCT(-- ISNUMBER(SEARCH({"Unique","Unique Case Insensitive"}, $R56))) &gt; 0, "(" &amp; $R56 &amp; ")", ""))))</f>
        <v>na</v>
      </c>
      <c r="E56" s="7" t="s">
        <v>195</v>
      </c>
      <c r="F56" s="7" t="s">
        <v>195</v>
      </c>
      <c r="G56" s="7" t="s">
        <v>195</v>
      </c>
      <c r="H56" s="7" t="s">
        <v>195</v>
      </c>
      <c r="I56" s="7" t="s">
        <v>195</v>
      </c>
      <c r="J56" s="7" t="s">
        <v>195</v>
      </c>
      <c r="K56" s="7" t="s">
        <v>195</v>
      </c>
      <c r="L56" s="7" t="s">
        <v>195</v>
      </c>
      <c r="M56" s="7" t="s">
        <v>29</v>
      </c>
      <c r="N56" s="7" t="s">
        <v>29</v>
      </c>
      <c r="O56" s="7" t="s">
        <v>29</v>
      </c>
      <c r="P56" s="7" t="s">
        <v>29</v>
      </c>
      <c r="Q56" s="7" t="s">
        <v>29</v>
      </c>
      <c r="R56" s="7" t="s">
        <v>29</v>
      </c>
      <c r="S56" s="7" t="s">
        <v>29</v>
      </c>
    </row>
    <row r="57" spans="2:19">
      <c r="B57" s="7" t="s">
        <v>195</v>
      </c>
      <c r="C57" s="8" t="s">
        <v>195</v>
      </c>
      <c r="D57" s="6" t="str">
        <f>LRTRIM(CONCATENATE(IF(SUMPRODUCT(-- ISNUMBER(SEARCH({"Auto Number"}, $B57))) &gt; 0, $B57, IF(SUMPRODUCT(-- ISNUMBER(SEARCH({"Lookup","Master-Detail"}, $B57))) &gt; 0,$B57 &amp; "(" &amp; $E57 &amp; ")",IF(SUMPRODUCT(-- ISNUMBER(SEARCH({"Formula","Roll-Up Summary"}, $B57))) &gt; 0,$B57 &amp; " (" &amp; $E57 &amp; ")",IF(SUMPRODUCT(-- ISNUMBER(SEARCH({"Content","Currency","Number","Percent","Text","URL"}, $B57))) &gt; 0,$B57 &amp; "(" &amp; $C57 &amp; ")",$B57)))), "  ", TRIM(IF($S57 = "YES", "(External ID)", "") &amp; " " &amp; IF(SUMPRODUCT(-- ISNUMBER(SEARCH({"Unique","Unique Case Insensitive"}, $R57))) &gt; 0, "(" &amp; $R57 &amp; ")", ""))))</f>
        <v>na</v>
      </c>
      <c r="E57" s="7" t="s">
        <v>195</v>
      </c>
      <c r="F57" s="7" t="s">
        <v>195</v>
      </c>
      <c r="G57" s="7" t="s">
        <v>195</v>
      </c>
      <c r="H57" s="7" t="s">
        <v>195</v>
      </c>
      <c r="I57" s="7" t="s">
        <v>195</v>
      </c>
      <c r="J57" s="7" t="s">
        <v>195</v>
      </c>
      <c r="K57" s="7" t="s">
        <v>195</v>
      </c>
      <c r="L57" s="7" t="s">
        <v>195</v>
      </c>
      <c r="M57" s="7" t="s">
        <v>29</v>
      </c>
      <c r="N57" s="7" t="s">
        <v>29</v>
      </c>
      <c r="O57" s="7" t="s">
        <v>29</v>
      </c>
      <c r="P57" s="7" t="s">
        <v>29</v>
      </c>
      <c r="Q57" s="7" t="s">
        <v>29</v>
      </c>
      <c r="R57" s="7" t="s">
        <v>29</v>
      </c>
      <c r="S57" s="7" t="s">
        <v>29</v>
      </c>
    </row>
    <row r="58" spans="2:19">
      <c r="B58" s="7" t="s">
        <v>195</v>
      </c>
      <c r="C58" s="8" t="s">
        <v>195</v>
      </c>
      <c r="D58" s="6" t="str">
        <f>LRTRIM(CONCATENATE(IF(SUMPRODUCT(-- ISNUMBER(SEARCH({"Auto Number"}, $B58))) &gt; 0, $B58, IF(SUMPRODUCT(-- ISNUMBER(SEARCH({"Lookup","Master-Detail"}, $B58))) &gt; 0,$B58 &amp; "(" &amp; $E58 &amp; ")",IF(SUMPRODUCT(-- ISNUMBER(SEARCH({"Formula","Roll-Up Summary"}, $B58))) &gt; 0,$B58 &amp; " (" &amp; $E58 &amp; ")",IF(SUMPRODUCT(-- ISNUMBER(SEARCH({"Content","Currency","Number","Percent","Text","URL"}, $B58))) &gt; 0,$B58 &amp; "(" &amp; $C58 &amp; ")",$B58)))), "  ", TRIM(IF($S58 = "YES", "(External ID)", "") &amp; " " &amp; IF(SUMPRODUCT(-- ISNUMBER(SEARCH({"Unique","Unique Case Insensitive"}, $R58))) &gt; 0, "(" &amp; $R58 &amp; ")", ""))))</f>
        <v>na</v>
      </c>
      <c r="E58" s="7" t="s">
        <v>195</v>
      </c>
      <c r="F58" s="7" t="s">
        <v>195</v>
      </c>
      <c r="G58" s="7" t="s">
        <v>195</v>
      </c>
      <c r="H58" s="7" t="s">
        <v>195</v>
      </c>
      <c r="I58" s="7" t="s">
        <v>195</v>
      </c>
      <c r="J58" s="7" t="s">
        <v>195</v>
      </c>
      <c r="K58" s="7" t="s">
        <v>195</v>
      </c>
      <c r="L58" s="7" t="s">
        <v>195</v>
      </c>
      <c r="M58" s="7" t="s">
        <v>29</v>
      </c>
      <c r="N58" s="7" t="s">
        <v>29</v>
      </c>
      <c r="O58" s="7" t="s">
        <v>29</v>
      </c>
      <c r="P58" s="7" t="s">
        <v>29</v>
      </c>
      <c r="Q58" s="7" t="s">
        <v>29</v>
      </c>
      <c r="R58" s="7" t="s">
        <v>29</v>
      </c>
      <c r="S58" s="7" t="s">
        <v>29</v>
      </c>
    </row>
    <row r="59" spans="2:19">
      <c r="B59" s="7" t="s">
        <v>195</v>
      </c>
      <c r="C59" s="8" t="s">
        <v>195</v>
      </c>
      <c r="D59" s="6" t="str">
        <f>LRTRIM(CONCATENATE(IF(SUMPRODUCT(-- ISNUMBER(SEARCH({"Auto Number"}, $B59))) &gt; 0, $B59, IF(SUMPRODUCT(-- ISNUMBER(SEARCH({"Lookup","Master-Detail"}, $B59))) &gt; 0,$B59 &amp; "(" &amp; $E59 &amp; ")",IF(SUMPRODUCT(-- ISNUMBER(SEARCH({"Formula","Roll-Up Summary"}, $B59))) &gt; 0,$B59 &amp; " (" &amp; $E59 &amp; ")",IF(SUMPRODUCT(-- ISNUMBER(SEARCH({"Content","Currency","Number","Percent","Text","URL"}, $B59))) &gt; 0,$B59 &amp; "(" &amp; $C59 &amp; ")",$B59)))), "  ", TRIM(IF($S59 = "YES", "(External ID)", "") &amp; " " &amp; IF(SUMPRODUCT(-- ISNUMBER(SEARCH({"Unique","Unique Case Insensitive"}, $R59))) &gt; 0, "(" &amp; $R59 &amp; ")", ""))))</f>
        <v>na</v>
      </c>
      <c r="E59" s="7" t="s">
        <v>195</v>
      </c>
      <c r="F59" s="7" t="s">
        <v>195</v>
      </c>
      <c r="G59" s="7" t="s">
        <v>195</v>
      </c>
      <c r="H59" s="7" t="s">
        <v>195</v>
      </c>
      <c r="I59" s="7" t="s">
        <v>195</v>
      </c>
      <c r="J59" s="7" t="s">
        <v>195</v>
      </c>
      <c r="K59" s="7" t="s">
        <v>195</v>
      </c>
      <c r="L59" s="7" t="s">
        <v>195</v>
      </c>
      <c r="M59" s="7" t="s">
        <v>29</v>
      </c>
      <c r="N59" s="7" t="s">
        <v>29</v>
      </c>
      <c r="O59" s="7" t="s">
        <v>29</v>
      </c>
      <c r="P59" s="7" t="s">
        <v>29</v>
      </c>
      <c r="Q59" s="7" t="s">
        <v>29</v>
      </c>
      <c r="R59" s="7" t="s">
        <v>29</v>
      </c>
      <c r="S59" s="7" t="s">
        <v>29</v>
      </c>
    </row>
    <row r="60" spans="2:19">
      <c r="B60" s="7" t="s">
        <v>195</v>
      </c>
      <c r="C60" s="8" t="s">
        <v>195</v>
      </c>
      <c r="D60" s="6" t="str">
        <f>LRTRIM(CONCATENATE(IF(SUMPRODUCT(-- ISNUMBER(SEARCH({"Auto Number"}, $B60))) &gt; 0, $B60, IF(SUMPRODUCT(-- ISNUMBER(SEARCH({"Lookup","Master-Detail"}, $B60))) &gt; 0,$B60 &amp; "(" &amp; $E60 &amp; ")",IF(SUMPRODUCT(-- ISNUMBER(SEARCH({"Formula","Roll-Up Summary"}, $B60))) &gt; 0,$B60 &amp; " (" &amp; $E60 &amp; ")",IF(SUMPRODUCT(-- ISNUMBER(SEARCH({"Content","Currency","Number","Percent","Text","URL"}, $B60))) &gt; 0,$B60 &amp; "(" &amp; $C60 &amp; ")",$B60)))), "  ", TRIM(IF($S60 = "YES", "(External ID)", "") &amp; " " &amp; IF(SUMPRODUCT(-- ISNUMBER(SEARCH({"Unique","Unique Case Insensitive"}, $R60))) &gt; 0, "(" &amp; $R60 &amp; ")", ""))))</f>
        <v>na</v>
      </c>
      <c r="E60" s="7" t="s">
        <v>195</v>
      </c>
      <c r="F60" s="7" t="s">
        <v>195</v>
      </c>
      <c r="G60" s="7" t="s">
        <v>195</v>
      </c>
      <c r="H60" s="7" t="s">
        <v>195</v>
      </c>
      <c r="I60" s="7" t="s">
        <v>195</v>
      </c>
      <c r="J60" s="7" t="s">
        <v>195</v>
      </c>
      <c r="K60" s="7" t="s">
        <v>195</v>
      </c>
      <c r="L60" s="7" t="s">
        <v>195</v>
      </c>
      <c r="M60" s="7" t="s">
        <v>29</v>
      </c>
      <c r="N60" s="7" t="s">
        <v>29</v>
      </c>
      <c r="O60" s="7" t="s">
        <v>29</v>
      </c>
      <c r="P60" s="7" t="s">
        <v>29</v>
      </c>
      <c r="Q60" s="7" t="s">
        <v>29</v>
      </c>
      <c r="R60" s="7" t="s">
        <v>29</v>
      </c>
      <c r="S60" s="7" t="s">
        <v>29</v>
      </c>
    </row>
    <row r="61" spans="2:19">
      <c r="B61" s="7" t="s">
        <v>195</v>
      </c>
      <c r="C61" s="8" t="s">
        <v>195</v>
      </c>
      <c r="D61" s="6" t="str">
        <f>LRTRIM(CONCATENATE(IF(SUMPRODUCT(-- ISNUMBER(SEARCH({"Auto Number"}, $B61))) &gt; 0, $B61, IF(SUMPRODUCT(-- ISNUMBER(SEARCH({"Lookup","Master-Detail"}, $B61))) &gt; 0,$B61 &amp; "(" &amp; $E61 &amp; ")",IF(SUMPRODUCT(-- ISNUMBER(SEARCH({"Formula","Roll-Up Summary"}, $B61))) &gt; 0,$B61 &amp; " (" &amp; $E61 &amp; ")",IF(SUMPRODUCT(-- ISNUMBER(SEARCH({"Content","Currency","Number","Percent","Text","URL"}, $B61))) &gt; 0,$B61 &amp; "(" &amp; $C61 &amp; ")",$B61)))), "  ", TRIM(IF($S61 = "YES", "(External ID)", "") &amp; " " &amp; IF(SUMPRODUCT(-- ISNUMBER(SEARCH({"Unique","Unique Case Insensitive"}, $R61))) &gt; 0, "(" &amp; $R61 &amp; ")", ""))))</f>
        <v>na</v>
      </c>
      <c r="E61" s="7" t="s">
        <v>195</v>
      </c>
      <c r="F61" s="7" t="s">
        <v>195</v>
      </c>
      <c r="G61" s="7" t="s">
        <v>195</v>
      </c>
      <c r="H61" s="7" t="s">
        <v>195</v>
      </c>
      <c r="I61" s="7" t="s">
        <v>195</v>
      </c>
      <c r="J61" s="7" t="s">
        <v>195</v>
      </c>
      <c r="K61" s="7" t="s">
        <v>195</v>
      </c>
      <c r="L61" s="7" t="s">
        <v>195</v>
      </c>
      <c r="M61" s="7" t="s">
        <v>29</v>
      </c>
      <c r="N61" s="7" t="s">
        <v>29</v>
      </c>
      <c r="O61" s="7" t="s">
        <v>29</v>
      </c>
      <c r="P61" s="7" t="s">
        <v>29</v>
      </c>
      <c r="Q61" s="7" t="s">
        <v>29</v>
      </c>
      <c r="R61" s="7" t="s">
        <v>29</v>
      </c>
      <c r="S61" s="7" t="s">
        <v>29</v>
      </c>
    </row>
    <row r="62" spans="2:19">
      <c r="B62" s="7" t="s">
        <v>195</v>
      </c>
      <c r="C62" s="8" t="s">
        <v>195</v>
      </c>
      <c r="D62" s="6" t="str">
        <f>LRTRIM(CONCATENATE(IF(SUMPRODUCT(-- ISNUMBER(SEARCH({"Auto Number"}, $B62))) &gt; 0, $B62, IF(SUMPRODUCT(-- ISNUMBER(SEARCH({"Lookup","Master-Detail"}, $B62))) &gt; 0,$B62 &amp; "(" &amp; $E62 &amp; ")",IF(SUMPRODUCT(-- ISNUMBER(SEARCH({"Formula","Roll-Up Summary"}, $B62))) &gt; 0,$B62 &amp; " (" &amp; $E62 &amp; ")",IF(SUMPRODUCT(-- ISNUMBER(SEARCH({"Content","Currency","Number","Percent","Text","URL"}, $B62))) &gt; 0,$B62 &amp; "(" &amp; $C62 &amp; ")",$B62)))), "  ", TRIM(IF($S62 = "YES", "(External ID)", "") &amp; " " &amp; IF(SUMPRODUCT(-- ISNUMBER(SEARCH({"Unique","Unique Case Insensitive"}, $R62))) &gt; 0, "(" &amp; $R62 &amp; ")", ""))))</f>
        <v>na</v>
      </c>
      <c r="E62" s="7" t="s">
        <v>195</v>
      </c>
      <c r="F62" s="7" t="s">
        <v>195</v>
      </c>
      <c r="G62" s="7" t="s">
        <v>195</v>
      </c>
      <c r="H62" s="7" t="s">
        <v>195</v>
      </c>
      <c r="I62" s="7" t="s">
        <v>195</v>
      </c>
      <c r="J62" s="7" t="s">
        <v>195</v>
      </c>
      <c r="K62" s="7" t="s">
        <v>195</v>
      </c>
      <c r="L62" s="7" t="s">
        <v>195</v>
      </c>
      <c r="M62" s="7" t="s">
        <v>29</v>
      </c>
      <c r="N62" s="7" t="s">
        <v>29</v>
      </c>
      <c r="O62" s="7" t="s">
        <v>29</v>
      </c>
      <c r="P62" s="7" t="s">
        <v>29</v>
      </c>
      <c r="Q62" s="7" t="s">
        <v>29</v>
      </c>
      <c r="R62" s="7" t="s">
        <v>29</v>
      </c>
      <c r="S62" s="7" t="s">
        <v>29</v>
      </c>
    </row>
    <row r="63" spans="2:19">
      <c r="B63" s="7" t="s">
        <v>195</v>
      </c>
      <c r="C63" s="8" t="s">
        <v>195</v>
      </c>
      <c r="D63" s="6" t="str">
        <f>LRTRIM(CONCATENATE(IF(SUMPRODUCT(-- ISNUMBER(SEARCH({"Auto Number"}, $B63))) &gt; 0, $B63, IF(SUMPRODUCT(-- ISNUMBER(SEARCH({"Lookup","Master-Detail"}, $B63))) &gt; 0,$B63 &amp; "(" &amp; $E63 &amp; ")",IF(SUMPRODUCT(-- ISNUMBER(SEARCH({"Formula","Roll-Up Summary"}, $B63))) &gt; 0,$B63 &amp; " (" &amp; $E63 &amp; ")",IF(SUMPRODUCT(-- ISNUMBER(SEARCH({"Content","Currency","Number","Percent","Text","URL"}, $B63))) &gt; 0,$B63 &amp; "(" &amp; $C63 &amp; ")",$B63)))), "  ", TRIM(IF($S63 = "YES", "(External ID)", "") &amp; " " &amp; IF(SUMPRODUCT(-- ISNUMBER(SEARCH({"Unique","Unique Case Insensitive"}, $R63))) &gt; 0, "(" &amp; $R63 &amp; ")", ""))))</f>
        <v>na</v>
      </c>
      <c r="E63" s="7" t="s">
        <v>195</v>
      </c>
      <c r="F63" s="7" t="s">
        <v>195</v>
      </c>
      <c r="G63" s="7" t="s">
        <v>195</v>
      </c>
      <c r="H63" s="7" t="s">
        <v>195</v>
      </c>
      <c r="I63" s="7" t="s">
        <v>195</v>
      </c>
      <c r="J63" s="7" t="s">
        <v>195</v>
      </c>
      <c r="K63" s="7" t="s">
        <v>195</v>
      </c>
      <c r="L63" s="7" t="s">
        <v>195</v>
      </c>
      <c r="M63" s="7" t="s">
        <v>29</v>
      </c>
      <c r="N63" s="7" t="s">
        <v>29</v>
      </c>
      <c r="O63" s="7" t="s">
        <v>29</v>
      </c>
      <c r="P63" s="7" t="s">
        <v>29</v>
      </c>
      <c r="Q63" s="7" t="s">
        <v>29</v>
      </c>
      <c r="R63" s="7" t="s">
        <v>29</v>
      </c>
      <c r="S63" s="7" t="s">
        <v>29</v>
      </c>
    </row>
    <row r="64" spans="2:19">
      <c r="B64" s="7" t="s">
        <v>195</v>
      </c>
      <c r="C64" s="8" t="s">
        <v>195</v>
      </c>
      <c r="D64" s="6" t="str">
        <f>LRTRIM(CONCATENATE(IF(SUMPRODUCT(-- ISNUMBER(SEARCH({"Auto Number"}, $B64))) &gt; 0, $B64, IF(SUMPRODUCT(-- ISNUMBER(SEARCH({"Lookup","Master-Detail"}, $B64))) &gt; 0,$B64 &amp; "(" &amp; $E64 &amp; ")",IF(SUMPRODUCT(-- ISNUMBER(SEARCH({"Formula","Roll-Up Summary"}, $B64))) &gt; 0,$B64 &amp; " (" &amp; $E64 &amp; ")",IF(SUMPRODUCT(-- ISNUMBER(SEARCH({"Content","Currency","Number","Percent","Text","URL"}, $B64))) &gt; 0,$B64 &amp; "(" &amp; $C64 &amp; ")",$B64)))), "  ", TRIM(IF($S64 = "YES", "(External ID)", "") &amp; " " &amp; IF(SUMPRODUCT(-- ISNUMBER(SEARCH({"Unique","Unique Case Insensitive"}, $R64))) &gt; 0, "(" &amp; $R64 &amp; ")", ""))))</f>
        <v>na</v>
      </c>
      <c r="E64" s="7" t="s">
        <v>195</v>
      </c>
      <c r="F64" s="7" t="s">
        <v>195</v>
      </c>
      <c r="G64" s="7" t="s">
        <v>195</v>
      </c>
      <c r="H64" s="7" t="s">
        <v>195</v>
      </c>
      <c r="I64" s="7" t="s">
        <v>195</v>
      </c>
      <c r="J64" s="7" t="s">
        <v>195</v>
      </c>
      <c r="K64" s="7" t="s">
        <v>195</v>
      </c>
      <c r="L64" s="7" t="s">
        <v>195</v>
      </c>
      <c r="M64" s="7" t="s">
        <v>29</v>
      </c>
      <c r="N64" s="7" t="s">
        <v>29</v>
      </c>
      <c r="O64" s="7" t="s">
        <v>29</v>
      </c>
      <c r="P64" s="7" t="s">
        <v>29</v>
      </c>
      <c r="Q64" s="7" t="s">
        <v>29</v>
      </c>
      <c r="R64" s="7" t="s">
        <v>29</v>
      </c>
      <c r="S64" s="7" t="s">
        <v>29</v>
      </c>
    </row>
    <row r="65" spans="2:19">
      <c r="B65" s="7" t="s">
        <v>195</v>
      </c>
      <c r="C65" s="8" t="s">
        <v>195</v>
      </c>
      <c r="D65" s="6" t="str">
        <f>LRTRIM(CONCATENATE(IF(SUMPRODUCT(-- ISNUMBER(SEARCH({"Auto Number"}, $B65))) &gt; 0, $B65, IF(SUMPRODUCT(-- ISNUMBER(SEARCH({"Lookup","Master-Detail"}, $B65))) &gt; 0,$B65 &amp; "(" &amp; $E65 &amp; ")",IF(SUMPRODUCT(-- ISNUMBER(SEARCH({"Formula","Roll-Up Summary"}, $B65))) &gt; 0,$B65 &amp; " (" &amp; $E65 &amp; ")",IF(SUMPRODUCT(-- ISNUMBER(SEARCH({"Content","Currency","Number","Percent","Text","URL"}, $B65))) &gt; 0,$B65 &amp; "(" &amp; $C65 &amp; ")",$B65)))), "  ", TRIM(IF($S65 = "YES", "(External ID)", "") &amp; " " &amp; IF(SUMPRODUCT(-- ISNUMBER(SEARCH({"Unique","Unique Case Insensitive"}, $R65))) &gt; 0, "(" &amp; $R65 &amp; ")", ""))))</f>
        <v>na</v>
      </c>
      <c r="E65" s="7" t="s">
        <v>195</v>
      </c>
      <c r="F65" s="7" t="s">
        <v>195</v>
      </c>
      <c r="G65" s="7" t="s">
        <v>195</v>
      </c>
      <c r="H65" s="7" t="s">
        <v>195</v>
      </c>
      <c r="I65" s="7" t="s">
        <v>195</v>
      </c>
      <c r="J65" s="7" t="s">
        <v>195</v>
      </c>
      <c r="K65" s="7" t="s">
        <v>195</v>
      </c>
      <c r="L65" s="7" t="s">
        <v>195</v>
      </c>
      <c r="M65" s="7" t="s">
        <v>29</v>
      </c>
      <c r="N65" s="7" t="s">
        <v>29</v>
      </c>
      <c r="O65" s="7" t="s">
        <v>29</v>
      </c>
      <c r="P65" s="7" t="s">
        <v>29</v>
      </c>
      <c r="Q65" s="7" t="s">
        <v>29</v>
      </c>
      <c r="R65" s="7" t="s">
        <v>29</v>
      </c>
      <c r="S65" s="7" t="s">
        <v>29</v>
      </c>
    </row>
    <row r="66" spans="2:19">
      <c r="B66" s="7" t="s">
        <v>195</v>
      </c>
      <c r="C66" s="8" t="s">
        <v>195</v>
      </c>
      <c r="D66" s="6" t="str">
        <f>LRTRIM(CONCATENATE(IF(SUMPRODUCT(-- ISNUMBER(SEARCH({"Auto Number"}, $B66))) &gt; 0, $B66, IF(SUMPRODUCT(-- ISNUMBER(SEARCH({"Lookup","Master-Detail"}, $B66))) &gt; 0,$B66 &amp; "(" &amp; $E66 &amp; ")",IF(SUMPRODUCT(-- ISNUMBER(SEARCH({"Formula","Roll-Up Summary"}, $B66))) &gt; 0,$B66 &amp; " (" &amp; $E66 &amp; ")",IF(SUMPRODUCT(-- ISNUMBER(SEARCH({"Content","Currency","Number","Percent","Text","URL"}, $B66))) &gt; 0,$B66 &amp; "(" &amp; $C66 &amp; ")",$B66)))), "  ", TRIM(IF($S66 = "YES", "(External ID)", "") &amp; " " &amp; IF(SUMPRODUCT(-- ISNUMBER(SEARCH({"Unique","Unique Case Insensitive"}, $R66))) &gt; 0, "(" &amp; $R66 &amp; ")", ""))))</f>
        <v>na</v>
      </c>
      <c r="E66" s="7" t="s">
        <v>195</v>
      </c>
      <c r="F66" s="7" t="s">
        <v>195</v>
      </c>
      <c r="G66" s="7" t="s">
        <v>195</v>
      </c>
      <c r="H66" s="7" t="s">
        <v>195</v>
      </c>
      <c r="I66" s="7" t="s">
        <v>195</v>
      </c>
      <c r="J66" s="7" t="s">
        <v>195</v>
      </c>
      <c r="K66" s="7" t="s">
        <v>195</v>
      </c>
      <c r="L66" s="7" t="s">
        <v>195</v>
      </c>
      <c r="M66" s="7" t="s">
        <v>29</v>
      </c>
      <c r="N66" s="7" t="s">
        <v>29</v>
      </c>
      <c r="O66" s="7" t="s">
        <v>29</v>
      </c>
      <c r="P66" s="7" t="s">
        <v>29</v>
      </c>
      <c r="Q66" s="7" t="s">
        <v>29</v>
      </c>
      <c r="R66" s="7" t="s">
        <v>29</v>
      </c>
      <c r="S66" s="7" t="s">
        <v>29</v>
      </c>
    </row>
    <row r="67" spans="2:19">
      <c r="B67" s="7" t="s">
        <v>195</v>
      </c>
      <c r="C67" s="8" t="s">
        <v>195</v>
      </c>
      <c r="D67" s="6" t="str">
        <f>LRTRIM(CONCATENATE(IF(SUMPRODUCT(-- ISNUMBER(SEARCH({"Auto Number"}, $B67))) &gt; 0, $B67, IF(SUMPRODUCT(-- ISNUMBER(SEARCH({"Lookup","Master-Detail"}, $B67))) &gt; 0,$B67 &amp; "(" &amp; $E67 &amp; ")",IF(SUMPRODUCT(-- ISNUMBER(SEARCH({"Formula","Roll-Up Summary"}, $B67))) &gt; 0,$B67 &amp; " (" &amp; $E67 &amp; ")",IF(SUMPRODUCT(-- ISNUMBER(SEARCH({"Content","Currency","Number","Percent","Text","URL"}, $B67))) &gt; 0,$B67 &amp; "(" &amp; $C67 &amp; ")",$B67)))), "  ", TRIM(IF($S67 = "YES", "(External ID)", "") &amp; " " &amp; IF(SUMPRODUCT(-- ISNUMBER(SEARCH({"Unique","Unique Case Insensitive"}, $R67))) &gt; 0, "(" &amp; $R67 &amp; ")", ""))))</f>
        <v>na</v>
      </c>
      <c r="E67" s="7" t="s">
        <v>195</v>
      </c>
      <c r="F67" s="7" t="s">
        <v>195</v>
      </c>
      <c r="G67" s="7" t="s">
        <v>195</v>
      </c>
      <c r="H67" s="7" t="s">
        <v>195</v>
      </c>
      <c r="I67" s="7" t="s">
        <v>195</v>
      </c>
      <c r="J67" s="7" t="s">
        <v>195</v>
      </c>
      <c r="K67" s="7" t="s">
        <v>195</v>
      </c>
      <c r="L67" s="7" t="s">
        <v>195</v>
      </c>
      <c r="M67" s="7" t="s">
        <v>29</v>
      </c>
      <c r="N67" s="7" t="s">
        <v>29</v>
      </c>
      <c r="O67" s="7" t="s">
        <v>29</v>
      </c>
      <c r="P67" s="7" t="s">
        <v>29</v>
      </c>
      <c r="Q67" s="7" t="s">
        <v>29</v>
      </c>
      <c r="R67" s="7" t="s">
        <v>29</v>
      </c>
      <c r="S67" s="7" t="s">
        <v>29</v>
      </c>
    </row>
    <row r="68" spans="2:19">
      <c r="B68" s="7" t="s">
        <v>195</v>
      </c>
      <c r="C68" s="8" t="s">
        <v>195</v>
      </c>
      <c r="D68" s="6" t="str">
        <f>LRTRIM(CONCATENATE(IF(SUMPRODUCT(-- ISNUMBER(SEARCH({"Auto Number"}, $B68))) &gt; 0, $B68, IF(SUMPRODUCT(-- ISNUMBER(SEARCH({"Lookup","Master-Detail"}, $B68))) &gt; 0,$B68 &amp; "(" &amp; $E68 &amp; ")",IF(SUMPRODUCT(-- ISNUMBER(SEARCH({"Formula","Roll-Up Summary"}, $B68))) &gt; 0,$B68 &amp; " (" &amp; $E68 &amp; ")",IF(SUMPRODUCT(-- ISNUMBER(SEARCH({"Content","Currency","Number","Percent","Text","URL"}, $B68))) &gt; 0,$B68 &amp; "(" &amp; $C68 &amp; ")",$B68)))), "  ", TRIM(IF($S68 = "YES", "(External ID)", "") &amp; " " &amp; IF(SUMPRODUCT(-- ISNUMBER(SEARCH({"Unique","Unique Case Insensitive"}, $R68))) &gt; 0, "(" &amp; $R68 &amp; ")", ""))))</f>
        <v>na</v>
      </c>
      <c r="E68" s="7" t="s">
        <v>195</v>
      </c>
      <c r="F68" s="7" t="s">
        <v>195</v>
      </c>
      <c r="G68" s="7" t="s">
        <v>195</v>
      </c>
      <c r="H68" s="7" t="s">
        <v>195</v>
      </c>
      <c r="I68" s="7" t="s">
        <v>195</v>
      </c>
      <c r="J68" s="7" t="s">
        <v>195</v>
      </c>
      <c r="K68" s="7" t="s">
        <v>195</v>
      </c>
      <c r="L68" s="7" t="s">
        <v>195</v>
      </c>
      <c r="M68" s="7" t="s">
        <v>29</v>
      </c>
      <c r="N68" s="7" t="s">
        <v>29</v>
      </c>
      <c r="O68" s="7" t="s">
        <v>29</v>
      </c>
      <c r="P68" s="7" t="s">
        <v>29</v>
      </c>
      <c r="Q68" s="7" t="s">
        <v>29</v>
      </c>
      <c r="R68" s="7" t="s">
        <v>29</v>
      </c>
      <c r="S68" s="7" t="s">
        <v>29</v>
      </c>
    </row>
    <row r="69" spans="2:19">
      <c r="B69" s="7" t="s">
        <v>195</v>
      </c>
      <c r="C69" s="8" t="s">
        <v>195</v>
      </c>
      <c r="D69" s="6" t="str">
        <f>LRTRIM(CONCATENATE(IF(SUMPRODUCT(-- ISNUMBER(SEARCH({"Auto Number"}, $B69))) &gt; 0, $B69, IF(SUMPRODUCT(-- ISNUMBER(SEARCH({"Lookup","Master-Detail"}, $B69))) &gt; 0,$B69 &amp; "(" &amp; $E69 &amp; ")",IF(SUMPRODUCT(-- ISNUMBER(SEARCH({"Formula","Roll-Up Summary"}, $B69))) &gt; 0,$B69 &amp; " (" &amp; $E69 &amp; ")",IF(SUMPRODUCT(-- ISNUMBER(SEARCH({"Content","Currency","Number","Percent","Text","URL"}, $B69))) &gt; 0,$B69 &amp; "(" &amp; $C69 &amp; ")",$B69)))), "  ", TRIM(IF($S69 = "YES", "(External ID)", "") &amp; " " &amp; IF(SUMPRODUCT(-- ISNUMBER(SEARCH({"Unique","Unique Case Insensitive"}, $R69))) &gt; 0, "(" &amp; $R69 &amp; ")", ""))))</f>
        <v>na</v>
      </c>
      <c r="E69" s="7" t="s">
        <v>195</v>
      </c>
      <c r="F69" s="7" t="s">
        <v>195</v>
      </c>
      <c r="G69" s="7" t="s">
        <v>195</v>
      </c>
      <c r="H69" s="7" t="s">
        <v>195</v>
      </c>
      <c r="I69" s="7" t="s">
        <v>195</v>
      </c>
      <c r="J69" s="7" t="s">
        <v>195</v>
      </c>
      <c r="K69" s="7" t="s">
        <v>195</v>
      </c>
      <c r="L69" s="7" t="s">
        <v>195</v>
      </c>
      <c r="M69" s="7" t="s">
        <v>29</v>
      </c>
      <c r="N69" s="7" t="s">
        <v>29</v>
      </c>
      <c r="O69" s="7" t="s">
        <v>29</v>
      </c>
      <c r="P69" s="7" t="s">
        <v>29</v>
      </c>
      <c r="Q69" s="7" t="s">
        <v>29</v>
      </c>
      <c r="R69" s="7" t="s">
        <v>29</v>
      </c>
      <c r="S69" s="7" t="s">
        <v>29</v>
      </c>
    </row>
    <row r="70" spans="2:19">
      <c r="B70" s="7" t="s">
        <v>195</v>
      </c>
      <c r="C70" s="8" t="s">
        <v>195</v>
      </c>
      <c r="D70" s="6" t="str">
        <f>LRTRIM(CONCATENATE(IF(SUMPRODUCT(-- ISNUMBER(SEARCH({"Auto Number"}, $B70))) &gt; 0, $B70, IF(SUMPRODUCT(-- ISNUMBER(SEARCH({"Lookup","Master-Detail"}, $B70))) &gt; 0,$B70 &amp; "(" &amp; $E70 &amp; ")",IF(SUMPRODUCT(-- ISNUMBER(SEARCH({"Formula","Roll-Up Summary"}, $B70))) &gt; 0,$B70 &amp; " (" &amp; $E70 &amp; ")",IF(SUMPRODUCT(-- ISNUMBER(SEARCH({"Content","Currency","Number","Percent","Text","URL"}, $B70))) &gt; 0,$B70 &amp; "(" &amp; $C70 &amp; ")",$B70)))), "  ", TRIM(IF($S70 = "YES", "(External ID)", "") &amp; " " &amp; IF(SUMPRODUCT(-- ISNUMBER(SEARCH({"Unique","Unique Case Insensitive"}, $R70))) &gt; 0, "(" &amp; $R70 &amp; ")", ""))))</f>
        <v>na</v>
      </c>
      <c r="E70" s="7" t="s">
        <v>195</v>
      </c>
      <c r="F70" s="7" t="s">
        <v>195</v>
      </c>
      <c r="G70" s="7" t="s">
        <v>195</v>
      </c>
      <c r="H70" s="7" t="s">
        <v>195</v>
      </c>
      <c r="I70" s="7" t="s">
        <v>195</v>
      </c>
      <c r="J70" s="7" t="s">
        <v>195</v>
      </c>
      <c r="K70" s="7" t="s">
        <v>195</v>
      </c>
      <c r="L70" s="7" t="s">
        <v>195</v>
      </c>
      <c r="M70" s="7" t="s">
        <v>29</v>
      </c>
      <c r="N70" s="7" t="s">
        <v>29</v>
      </c>
      <c r="O70" s="7" t="s">
        <v>29</v>
      </c>
      <c r="P70" s="7" t="s">
        <v>29</v>
      </c>
      <c r="Q70" s="7" t="s">
        <v>29</v>
      </c>
      <c r="R70" s="7" t="s">
        <v>29</v>
      </c>
      <c r="S70" s="7" t="s">
        <v>29</v>
      </c>
    </row>
    <row r="71" spans="2:19">
      <c r="B71" s="7" t="s">
        <v>195</v>
      </c>
      <c r="C71" s="8" t="s">
        <v>195</v>
      </c>
      <c r="D71" s="6" t="str">
        <f>LRTRIM(CONCATENATE(IF(SUMPRODUCT(-- ISNUMBER(SEARCH({"Auto Number"}, $B71))) &gt; 0, $B71, IF(SUMPRODUCT(-- ISNUMBER(SEARCH({"Lookup","Master-Detail"}, $B71))) &gt; 0,$B71 &amp; "(" &amp; $E71 &amp; ")",IF(SUMPRODUCT(-- ISNUMBER(SEARCH({"Formula","Roll-Up Summary"}, $B71))) &gt; 0,$B71 &amp; " (" &amp; $E71 &amp; ")",IF(SUMPRODUCT(-- ISNUMBER(SEARCH({"Content","Currency","Number","Percent","Text","URL"}, $B71))) &gt; 0,$B71 &amp; "(" &amp; $C71 &amp; ")",$B71)))), "  ", TRIM(IF($S71 = "YES", "(External ID)", "") &amp; " " &amp; IF(SUMPRODUCT(-- ISNUMBER(SEARCH({"Unique","Unique Case Insensitive"}, $R71))) &gt; 0, "(" &amp; $R71 &amp; ")", ""))))</f>
        <v>na</v>
      </c>
      <c r="E71" s="7" t="s">
        <v>195</v>
      </c>
      <c r="F71" s="7" t="s">
        <v>195</v>
      </c>
      <c r="G71" s="7" t="s">
        <v>195</v>
      </c>
      <c r="H71" s="7" t="s">
        <v>195</v>
      </c>
      <c r="I71" s="7" t="s">
        <v>195</v>
      </c>
      <c r="J71" s="7" t="s">
        <v>195</v>
      </c>
      <c r="K71" s="7" t="s">
        <v>195</v>
      </c>
      <c r="L71" s="7" t="s">
        <v>195</v>
      </c>
      <c r="M71" s="7" t="s">
        <v>29</v>
      </c>
      <c r="N71" s="7" t="s">
        <v>29</v>
      </c>
      <c r="O71" s="7" t="s">
        <v>29</v>
      </c>
      <c r="P71" s="7" t="s">
        <v>29</v>
      </c>
      <c r="Q71" s="7" t="s">
        <v>29</v>
      </c>
      <c r="R71" s="7" t="s">
        <v>29</v>
      </c>
      <c r="S71" s="7" t="s">
        <v>29</v>
      </c>
    </row>
    <row r="72" spans="2:19">
      <c r="B72" s="7" t="s">
        <v>195</v>
      </c>
      <c r="C72" s="8" t="s">
        <v>195</v>
      </c>
      <c r="D72" s="6" t="str">
        <f>LRTRIM(CONCATENATE(IF(SUMPRODUCT(-- ISNUMBER(SEARCH({"Auto Number"}, $B72))) &gt; 0, $B72, IF(SUMPRODUCT(-- ISNUMBER(SEARCH({"Lookup","Master-Detail"}, $B72))) &gt; 0,$B72 &amp; "(" &amp; $E72 &amp; ")",IF(SUMPRODUCT(-- ISNUMBER(SEARCH({"Formula","Roll-Up Summary"}, $B72))) &gt; 0,$B72 &amp; " (" &amp; $E72 &amp; ")",IF(SUMPRODUCT(-- ISNUMBER(SEARCH({"Content","Currency","Number","Percent","Text","URL"}, $B72))) &gt; 0,$B72 &amp; "(" &amp; $C72 &amp; ")",$B72)))), "  ", TRIM(IF($S72 = "YES", "(External ID)", "") &amp; " " &amp; IF(SUMPRODUCT(-- ISNUMBER(SEARCH({"Unique","Unique Case Insensitive"}, $R72))) &gt; 0, "(" &amp; $R72 &amp; ")", ""))))</f>
        <v>na</v>
      </c>
      <c r="E72" s="7" t="s">
        <v>195</v>
      </c>
      <c r="F72" s="7" t="s">
        <v>195</v>
      </c>
      <c r="G72" s="7" t="s">
        <v>195</v>
      </c>
      <c r="H72" s="7" t="s">
        <v>195</v>
      </c>
      <c r="I72" s="7" t="s">
        <v>195</v>
      </c>
      <c r="J72" s="7" t="s">
        <v>195</v>
      </c>
      <c r="K72" s="7" t="s">
        <v>195</v>
      </c>
      <c r="L72" s="7" t="s">
        <v>195</v>
      </c>
      <c r="M72" s="7" t="s">
        <v>29</v>
      </c>
      <c r="N72" s="7" t="s">
        <v>29</v>
      </c>
      <c r="O72" s="7" t="s">
        <v>29</v>
      </c>
      <c r="P72" s="7" t="s">
        <v>29</v>
      </c>
      <c r="Q72" s="7" t="s">
        <v>29</v>
      </c>
      <c r="R72" s="7" t="s">
        <v>29</v>
      </c>
      <c r="S72" s="7" t="s">
        <v>29</v>
      </c>
    </row>
    <row r="73" spans="2:19">
      <c r="B73" s="7" t="s">
        <v>195</v>
      </c>
      <c r="C73" s="8" t="s">
        <v>195</v>
      </c>
      <c r="D73" s="6" t="str">
        <f>LRTRIM(CONCATENATE(IF(SUMPRODUCT(-- ISNUMBER(SEARCH({"Auto Number"}, $B73))) &gt; 0, $B73, IF(SUMPRODUCT(-- ISNUMBER(SEARCH({"Lookup","Master-Detail"}, $B73))) &gt; 0,$B73 &amp; "(" &amp; $E73 &amp; ")",IF(SUMPRODUCT(-- ISNUMBER(SEARCH({"Formula","Roll-Up Summary"}, $B73))) &gt; 0,$B73 &amp; " (" &amp; $E73 &amp; ")",IF(SUMPRODUCT(-- ISNUMBER(SEARCH({"Content","Currency","Number","Percent","Text","URL"}, $B73))) &gt; 0,$B73 &amp; "(" &amp; $C73 &amp; ")",$B73)))), "  ", TRIM(IF($S73 = "YES", "(External ID)", "") &amp; " " &amp; IF(SUMPRODUCT(-- ISNUMBER(SEARCH({"Unique","Unique Case Insensitive"}, $R73))) &gt; 0, "(" &amp; $R73 &amp; ")", ""))))</f>
        <v>na</v>
      </c>
      <c r="E73" s="7" t="s">
        <v>195</v>
      </c>
      <c r="F73" s="7" t="s">
        <v>195</v>
      </c>
      <c r="G73" s="7" t="s">
        <v>195</v>
      </c>
      <c r="H73" s="7" t="s">
        <v>195</v>
      </c>
      <c r="I73" s="7" t="s">
        <v>195</v>
      </c>
      <c r="J73" s="7" t="s">
        <v>195</v>
      </c>
      <c r="K73" s="7" t="s">
        <v>195</v>
      </c>
      <c r="L73" s="7" t="s">
        <v>195</v>
      </c>
      <c r="M73" s="7" t="s">
        <v>29</v>
      </c>
      <c r="N73" s="7" t="s">
        <v>29</v>
      </c>
      <c r="O73" s="7" t="s">
        <v>29</v>
      </c>
      <c r="P73" s="7" t="s">
        <v>29</v>
      </c>
      <c r="Q73" s="7" t="s">
        <v>29</v>
      </c>
      <c r="R73" s="7" t="s">
        <v>29</v>
      </c>
      <c r="S73" s="7" t="s">
        <v>29</v>
      </c>
    </row>
    <row r="74" spans="2:19">
      <c r="B74" s="7" t="s">
        <v>195</v>
      </c>
      <c r="C74" s="8" t="s">
        <v>195</v>
      </c>
      <c r="D74" s="6" t="str">
        <f>LRTRIM(CONCATENATE(IF(SUMPRODUCT(-- ISNUMBER(SEARCH({"Auto Number"}, $B74))) &gt; 0, $B74, IF(SUMPRODUCT(-- ISNUMBER(SEARCH({"Lookup","Master-Detail"}, $B74))) &gt; 0,$B74 &amp; "(" &amp; $E74 &amp; ")",IF(SUMPRODUCT(-- ISNUMBER(SEARCH({"Formula","Roll-Up Summary"}, $B74))) &gt; 0,$B74 &amp; " (" &amp; $E74 &amp; ")",IF(SUMPRODUCT(-- ISNUMBER(SEARCH({"Content","Currency","Number","Percent","Text","URL"}, $B74))) &gt; 0,$B74 &amp; "(" &amp; $C74 &amp; ")",$B74)))), "  ", TRIM(IF($S74 = "YES", "(External ID)", "") &amp; " " &amp; IF(SUMPRODUCT(-- ISNUMBER(SEARCH({"Unique","Unique Case Insensitive"}, $R74))) &gt; 0, "(" &amp; $R74 &amp; ")", ""))))</f>
        <v>na</v>
      </c>
      <c r="E74" s="7" t="s">
        <v>195</v>
      </c>
      <c r="F74" s="7" t="s">
        <v>195</v>
      </c>
      <c r="G74" s="7" t="s">
        <v>195</v>
      </c>
      <c r="H74" s="7" t="s">
        <v>195</v>
      </c>
      <c r="I74" s="7" t="s">
        <v>195</v>
      </c>
      <c r="J74" s="7" t="s">
        <v>195</v>
      </c>
      <c r="K74" s="7" t="s">
        <v>195</v>
      </c>
      <c r="L74" s="7" t="s">
        <v>195</v>
      </c>
      <c r="M74" s="7" t="s">
        <v>29</v>
      </c>
      <c r="N74" s="7" t="s">
        <v>29</v>
      </c>
      <c r="O74" s="7" t="s">
        <v>29</v>
      </c>
      <c r="P74" s="7" t="s">
        <v>29</v>
      </c>
      <c r="Q74" s="7" t="s">
        <v>29</v>
      </c>
      <c r="R74" s="7" t="s">
        <v>29</v>
      </c>
      <c r="S74" s="7" t="s">
        <v>29</v>
      </c>
    </row>
    <row r="75" spans="2:19">
      <c r="B75" s="7" t="s">
        <v>195</v>
      </c>
      <c r="C75" s="8" t="s">
        <v>195</v>
      </c>
      <c r="D75" s="6" t="str">
        <f>LRTRIM(CONCATENATE(IF(SUMPRODUCT(-- ISNUMBER(SEARCH({"Auto Number"}, $B75))) &gt; 0, $B75, IF(SUMPRODUCT(-- ISNUMBER(SEARCH({"Lookup","Master-Detail"}, $B75))) &gt; 0,$B75 &amp; "(" &amp; $E75 &amp; ")",IF(SUMPRODUCT(-- ISNUMBER(SEARCH({"Formula","Roll-Up Summary"}, $B75))) &gt; 0,$B75 &amp; " (" &amp; $E75 &amp; ")",IF(SUMPRODUCT(-- ISNUMBER(SEARCH({"Content","Currency","Number","Percent","Text","URL"}, $B75))) &gt; 0,$B75 &amp; "(" &amp; $C75 &amp; ")",$B75)))), "  ", TRIM(IF($S75 = "YES", "(External ID)", "") &amp; " " &amp; IF(SUMPRODUCT(-- ISNUMBER(SEARCH({"Unique","Unique Case Insensitive"}, $R75))) &gt; 0, "(" &amp; $R75 &amp; ")", ""))))</f>
        <v>na</v>
      </c>
      <c r="E75" s="7" t="s">
        <v>195</v>
      </c>
      <c r="F75" s="7" t="s">
        <v>195</v>
      </c>
      <c r="G75" s="7" t="s">
        <v>195</v>
      </c>
      <c r="H75" s="7" t="s">
        <v>195</v>
      </c>
      <c r="I75" s="7" t="s">
        <v>195</v>
      </c>
      <c r="J75" s="7" t="s">
        <v>195</v>
      </c>
      <c r="K75" s="7" t="s">
        <v>195</v>
      </c>
      <c r="L75" s="7" t="s">
        <v>195</v>
      </c>
      <c r="M75" s="7" t="s">
        <v>29</v>
      </c>
      <c r="N75" s="7" t="s">
        <v>29</v>
      </c>
      <c r="O75" s="7" t="s">
        <v>29</v>
      </c>
      <c r="P75" s="7" t="s">
        <v>29</v>
      </c>
      <c r="Q75" s="7" t="s">
        <v>29</v>
      </c>
      <c r="R75" s="7" t="s">
        <v>29</v>
      </c>
      <c r="S75" s="7" t="s">
        <v>29</v>
      </c>
    </row>
    <row r="76" spans="2:19">
      <c r="B76" s="7" t="s">
        <v>195</v>
      </c>
      <c r="C76" s="8" t="s">
        <v>195</v>
      </c>
      <c r="D76" s="6" t="str">
        <f>LRTRIM(CONCATENATE(IF(SUMPRODUCT(-- ISNUMBER(SEARCH({"Auto Number"}, $B76))) &gt; 0, $B76, IF(SUMPRODUCT(-- ISNUMBER(SEARCH({"Lookup","Master-Detail"}, $B76))) &gt; 0,$B76 &amp; "(" &amp; $E76 &amp; ")",IF(SUMPRODUCT(-- ISNUMBER(SEARCH({"Formula","Roll-Up Summary"}, $B76))) &gt; 0,$B76 &amp; " (" &amp; $E76 &amp; ")",IF(SUMPRODUCT(-- ISNUMBER(SEARCH({"Content","Currency","Number","Percent","Text","URL"}, $B76))) &gt; 0,$B76 &amp; "(" &amp; $C76 &amp; ")",$B76)))), "  ", TRIM(IF($S76 = "YES", "(External ID)", "") &amp; " " &amp; IF(SUMPRODUCT(-- ISNUMBER(SEARCH({"Unique","Unique Case Insensitive"}, $R76))) &gt; 0, "(" &amp; $R76 &amp; ")", ""))))</f>
        <v>na</v>
      </c>
      <c r="E76" s="7" t="s">
        <v>195</v>
      </c>
      <c r="F76" s="7" t="s">
        <v>195</v>
      </c>
      <c r="G76" s="7" t="s">
        <v>195</v>
      </c>
      <c r="H76" s="7" t="s">
        <v>195</v>
      </c>
      <c r="I76" s="7" t="s">
        <v>195</v>
      </c>
      <c r="J76" s="7" t="s">
        <v>195</v>
      </c>
      <c r="K76" s="7" t="s">
        <v>195</v>
      </c>
      <c r="L76" s="7" t="s">
        <v>195</v>
      </c>
      <c r="M76" s="7" t="s">
        <v>29</v>
      </c>
      <c r="N76" s="7" t="s">
        <v>29</v>
      </c>
      <c r="O76" s="7" t="s">
        <v>29</v>
      </c>
      <c r="P76" s="7" t="s">
        <v>29</v>
      </c>
      <c r="Q76" s="7" t="s">
        <v>29</v>
      </c>
      <c r="R76" s="7" t="s">
        <v>29</v>
      </c>
      <c r="S76" s="7" t="s">
        <v>29</v>
      </c>
    </row>
    <row r="77" spans="2:19">
      <c r="B77" s="7" t="s">
        <v>195</v>
      </c>
      <c r="C77" s="8" t="s">
        <v>195</v>
      </c>
      <c r="D77" s="6" t="str">
        <f>LRTRIM(CONCATENATE(IF(SUMPRODUCT(-- ISNUMBER(SEARCH({"Auto Number"}, $B77))) &gt; 0, $B77, IF(SUMPRODUCT(-- ISNUMBER(SEARCH({"Lookup","Master-Detail"}, $B77))) &gt; 0,$B77 &amp; "(" &amp; $E77 &amp; ")",IF(SUMPRODUCT(-- ISNUMBER(SEARCH({"Formula","Roll-Up Summary"}, $B77))) &gt; 0,$B77 &amp; " (" &amp; $E77 &amp; ")",IF(SUMPRODUCT(-- ISNUMBER(SEARCH({"Content","Currency","Number","Percent","Text","URL"}, $B77))) &gt; 0,$B77 &amp; "(" &amp; $C77 &amp; ")",$B77)))), "  ", TRIM(IF($S77 = "YES", "(External ID)", "") &amp; " " &amp; IF(SUMPRODUCT(-- ISNUMBER(SEARCH({"Unique","Unique Case Insensitive"}, $R77))) &gt; 0, "(" &amp; $R77 &amp; ")", ""))))</f>
        <v>na</v>
      </c>
      <c r="E77" s="7" t="s">
        <v>195</v>
      </c>
      <c r="F77" s="7" t="s">
        <v>195</v>
      </c>
      <c r="G77" s="7" t="s">
        <v>195</v>
      </c>
      <c r="H77" s="7" t="s">
        <v>195</v>
      </c>
      <c r="I77" s="7" t="s">
        <v>195</v>
      </c>
      <c r="J77" s="7" t="s">
        <v>195</v>
      </c>
      <c r="K77" s="7" t="s">
        <v>195</v>
      </c>
      <c r="L77" s="7" t="s">
        <v>195</v>
      </c>
      <c r="M77" s="7" t="s">
        <v>29</v>
      </c>
      <c r="N77" s="7" t="s">
        <v>29</v>
      </c>
      <c r="O77" s="7" t="s">
        <v>29</v>
      </c>
      <c r="P77" s="7" t="s">
        <v>29</v>
      </c>
      <c r="Q77" s="7" t="s">
        <v>29</v>
      </c>
      <c r="R77" s="7" t="s">
        <v>29</v>
      </c>
      <c r="S77" s="7" t="s">
        <v>29</v>
      </c>
    </row>
    <row r="78" spans="2:19">
      <c r="B78" s="7" t="s">
        <v>195</v>
      </c>
      <c r="C78" s="8" t="s">
        <v>195</v>
      </c>
      <c r="D78" s="6" t="str">
        <f>LRTRIM(CONCATENATE(IF(SUMPRODUCT(-- ISNUMBER(SEARCH({"Auto Number"}, $B78))) &gt; 0, $B78, IF(SUMPRODUCT(-- ISNUMBER(SEARCH({"Lookup","Master-Detail"}, $B78))) &gt; 0,$B78 &amp; "(" &amp; $E78 &amp; ")",IF(SUMPRODUCT(-- ISNUMBER(SEARCH({"Formula","Roll-Up Summary"}, $B78))) &gt; 0,$B78 &amp; " (" &amp; $E78 &amp; ")",IF(SUMPRODUCT(-- ISNUMBER(SEARCH({"Content","Currency","Number","Percent","Text","URL"}, $B78))) &gt; 0,$B78 &amp; "(" &amp; $C78 &amp; ")",$B78)))), "  ", TRIM(IF($S78 = "YES", "(External ID)", "") &amp; " " &amp; IF(SUMPRODUCT(-- ISNUMBER(SEARCH({"Unique","Unique Case Insensitive"}, $R78))) &gt; 0, "(" &amp; $R78 &amp; ")", ""))))</f>
        <v>na</v>
      </c>
      <c r="E78" s="7" t="s">
        <v>195</v>
      </c>
      <c r="F78" s="7" t="s">
        <v>195</v>
      </c>
      <c r="G78" s="7" t="s">
        <v>195</v>
      </c>
      <c r="H78" s="7" t="s">
        <v>195</v>
      </c>
      <c r="I78" s="7" t="s">
        <v>195</v>
      </c>
      <c r="J78" s="7" t="s">
        <v>195</v>
      </c>
      <c r="K78" s="7" t="s">
        <v>195</v>
      </c>
      <c r="L78" s="7" t="s">
        <v>195</v>
      </c>
      <c r="M78" s="7" t="s">
        <v>29</v>
      </c>
      <c r="N78" s="7" t="s">
        <v>29</v>
      </c>
      <c r="O78" s="7" t="s">
        <v>29</v>
      </c>
      <c r="P78" s="7" t="s">
        <v>29</v>
      </c>
      <c r="Q78" s="7" t="s">
        <v>29</v>
      </c>
      <c r="R78" s="7" t="s">
        <v>29</v>
      </c>
      <c r="S78" s="7" t="s">
        <v>29</v>
      </c>
    </row>
    <row r="79" spans="2:19">
      <c r="B79" s="7" t="s">
        <v>195</v>
      </c>
      <c r="C79" s="8" t="s">
        <v>195</v>
      </c>
      <c r="D79" s="6" t="str">
        <f>LRTRIM(CONCATENATE(IF(SUMPRODUCT(-- ISNUMBER(SEARCH({"Auto Number"}, $B79))) &gt; 0, $B79, IF(SUMPRODUCT(-- ISNUMBER(SEARCH({"Lookup","Master-Detail"}, $B79))) &gt; 0,$B79 &amp; "(" &amp; $E79 &amp; ")",IF(SUMPRODUCT(-- ISNUMBER(SEARCH({"Formula","Roll-Up Summary"}, $B79))) &gt; 0,$B79 &amp; " (" &amp; $E79 &amp; ")",IF(SUMPRODUCT(-- ISNUMBER(SEARCH({"Content","Currency","Number","Percent","Text","URL"}, $B79))) &gt; 0,$B79 &amp; "(" &amp; $C79 &amp; ")",$B79)))), "  ", TRIM(IF($S79 = "YES", "(External ID)", "") &amp; " " &amp; IF(SUMPRODUCT(-- ISNUMBER(SEARCH({"Unique","Unique Case Insensitive"}, $R79))) &gt; 0, "(" &amp; $R79 &amp; ")", ""))))</f>
        <v>na</v>
      </c>
      <c r="E79" s="7" t="s">
        <v>195</v>
      </c>
      <c r="F79" s="7" t="s">
        <v>195</v>
      </c>
      <c r="G79" s="7" t="s">
        <v>195</v>
      </c>
      <c r="H79" s="7" t="s">
        <v>195</v>
      </c>
      <c r="I79" s="7" t="s">
        <v>195</v>
      </c>
      <c r="J79" s="7" t="s">
        <v>195</v>
      </c>
      <c r="K79" s="7" t="s">
        <v>195</v>
      </c>
      <c r="L79" s="7" t="s">
        <v>195</v>
      </c>
      <c r="M79" s="7" t="s">
        <v>29</v>
      </c>
      <c r="N79" s="7" t="s">
        <v>29</v>
      </c>
      <c r="O79" s="7" t="s">
        <v>29</v>
      </c>
      <c r="P79" s="7" t="s">
        <v>29</v>
      </c>
      <c r="Q79" s="7" t="s">
        <v>29</v>
      </c>
      <c r="R79" s="7" t="s">
        <v>29</v>
      </c>
      <c r="S79" s="7" t="s">
        <v>29</v>
      </c>
    </row>
    <row r="80" spans="2:19">
      <c r="B80" s="7" t="s">
        <v>195</v>
      </c>
      <c r="C80" s="8" t="s">
        <v>195</v>
      </c>
      <c r="D80" s="6" t="str">
        <f>LRTRIM(CONCATENATE(IF(SUMPRODUCT(-- ISNUMBER(SEARCH({"Auto Number"}, $B80))) &gt; 0, $B80, IF(SUMPRODUCT(-- ISNUMBER(SEARCH({"Lookup","Master-Detail"}, $B80))) &gt; 0,$B80 &amp; "(" &amp; $E80 &amp; ")",IF(SUMPRODUCT(-- ISNUMBER(SEARCH({"Formula","Roll-Up Summary"}, $B80))) &gt; 0,$B80 &amp; " (" &amp; $E80 &amp; ")",IF(SUMPRODUCT(-- ISNUMBER(SEARCH({"Content","Currency","Number","Percent","Text","URL"}, $B80))) &gt; 0,$B80 &amp; "(" &amp; $C80 &amp; ")",$B80)))), "  ", TRIM(IF($S80 = "YES", "(External ID)", "") &amp; " " &amp; IF(SUMPRODUCT(-- ISNUMBER(SEARCH({"Unique","Unique Case Insensitive"}, $R80))) &gt; 0, "(" &amp; $R80 &amp; ")", ""))))</f>
        <v>na</v>
      </c>
      <c r="E80" s="7" t="s">
        <v>195</v>
      </c>
      <c r="F80" s="7" t="s">
        <v>195</v>
      </c>
      <c r="G80" s="7" t="s">
        <v>195</v>
      </c>
      <c r="H80" s="7" t="s">
        <v>195</v>
      </c>
      <c r="I80" s="7" t="s">
        <v>195</v>
      </c>
      <c r="J80" s="7" t="s">
        <v>195</v>
      </c>
      <c r="K80" s="7" t="s">
        <v>195</v>
      </c>
      <c r="L80" s="7" t="s">
        <v>195</v>
      </c>
      <c r="M80" s="7" t="s">
        <v>29</v>
      </c>
      <c r="N80" s="7" t="s">
        <v>29</v>
      </c>
      <c r="O80" s="7" t="s">
        <v>29</v>
      </c>
      <c r="P80" s="7" t="s">
        <v>29</v>
      </c>
      <c r="Q80" s="7" t="s">
        <v>29</v>
      </c>
      <c r="R80" s="7" t="s">
        <v>29</v>
      </c>
      <c r="S80" s="7" t="s">
        <v>29</v>
      </c>
    </row>
    <row r="81" spans="2:19">
      <c r="B81" s="7" t="s">
        <v>195</v>
      </c>
      <c r="C81" s="8" t="s">
        <v>195</v>
      </c>
      <c r="D81" s="6" t="str">
        <f>LRTRIM(CONCATENATE(IF(SUMPRODUCT(-- ISNUMBER(SEARCH({"Auto Number"}, $B81))) &gt; 0, $B81, IF(SUMPRODUCT(-- ISNUMBER(SEARCH({"Lookup","Master-Detail"}, $B81))) &gt; 0,$B81 &amp; "(" &amp; $E81 &amp; ")",IF(SUMPRODUCT(-- ISNUMBER(SEARCH({"Formula","Roll-Up Summary"}, $B81))) &gt; 0,$B81 &amp; " (" &amp; $E81 &amp; ")",IF(SUMPRODUCT(-- ISNUMBER(SEARCH({"Content","Currency","Number","Percent","Text","URL"}, $B81))) &gt; 0,$B81 &amp; "(" &amp; $C81 &amp; ")",$B81)))), "  ", TRIM(IF($S81 = "YES", "(External ID)", "") &amp; " " &amp; IF(SUMPRODUCT(-- ISNUMBER(SEARCH({"Unique","Unique Case Insensitive"}, $R81))) &gt; 0, "(" &amp; $R81 &amp; ")", ""))))</f>
        <v>na</v>
      </c>
      <c r="E81" s="7" t="s">
        <v>195</v>
      </c>
      <c r="F81" s="7" t="s">
        <v>195</v>
      </c>
      <c r="G81" s="7" t="s">
        <v>195</v>
      </c>
      <c r="H81" s="7" t="s">
        <v>195</v>
      </c>
      <c r="I81" s="7" t="s">
        <v>195</v>
      </c>
      <c r="J81" s="7" t="s">
        <v>195</v>
      </c>
      <c r="K81" s="7" t="s">
        <v>195</v>
      </c>
      <c r="L81" s="7" t="s">
        <v>195</v>
      </c>
      <c r="M81" s="7" t="s">
        <v>29</v>
      </c>
      <c r="N81" s="7" t="s">
        <v>29</v>
      </c>
      <c r="O81" s="7" t="s">
        <v>29</v>
      </c>
      <c r="P81" s="7" t="s">
        <v>29</v>
      </c>
      <c r="Q81" s="7" t="s">
        <v>29</v>
      </c>
      <c r="R81" s="7" t="s">
        <v>29</v>
      </c>
      <c r="S81" s="7" t="s">
        <v>29</v>
      </c>
    </row>
    <row r="82" spans="2:19">
      <c r="B82" s="7" t="s">
        <v>195</v>
      </c>
      <c r="C82" s="8" t="s">
        <v>195</v>
      </c>
      <c r="D82" s="6" t="str">
        <f>LRTRIM(CONCATENATE(IF(SUMPRODUCT(-- ISNUMBER(SEARCH({"Auto Number"}, $B82))) &gt; 0, $B82, IF(SUMPRODUCT(-- ISNUMBER(SEARCH({"Lookup","Master-Detail"}, $B82))) &gt; 0,$B82 &amp; "(" &amp; $E82 &amp; ")",IF(SUMPRODUCT(-- ISNUMBER(SEARCH({"Formula","Roll-Up Summary"}, $B82))) &gt; 0,$B82 &amp; " (" &amp; $E82 &amp; ")",IF(SUMPRODUCT(-- ISNUMBER(SEARCH({"Content","Currency","Number","Percent","Text","URL"}, $B82))) &gt; 0,$B82 &amp; "(" &amp; $C82 &amp; ")",$B82)))), "  ", TRIM(IF($S82 = "YES", "(External ID)", "") &amp; " " &amp; IF(SUMPRODUCT(-- ISNUMBER(SEARCH({"Unique","Unique Case Insensitive"}, $R82))) &gt; 0, "(" &amp; $R82 &amp; ")", ""))))</f>
        <v>na</v>
      </c>
      <c r="E82" s="7" t="s">
        <v>195</v>
      </c>
      <c r="F82" s="7" t="s">
        <v>195</v>
      </c>
      <c r="G82" s="7" t="s">
        <v>195</v>
      </c>
      <c r="H82" s="7" t="s">
        <v>195</v>
      </c>
      <c r="I82" s="7" t="s">
        <v>195</v>
      </c>
      <c r="J82" s="7" t="s">
        <v>195</v>
      </c>
      <c r="K82" s="7" t="s">
        <v>195</v>
      </c>
      <c r="L82" s="7" t="s">
        <v>195</v>
      </c>
      <c r="M82" s="7" t="s">
        <v>29</v>
      </c>
      <c r="N82" s="7" t="s">
        <v>29</v>
      </c>
      <c r="O82" s="7" t="s">
        <v>29</v>
      </c>
      <c r="P82" s="7" t="s">
        <v>29</v>
      </c>
      <c r="Q82" s="7" t="s">
        <v>29</v>
      </c>
      <c r="R82" s="7" t="s">
        <v>29</v>
      </c>
      <c r="S82" s="7" t="s">
        <v>29</v>
      </c>
    </row>
    <row r="83" spans="2:19">
      <c r="B83" s="7" t="s">
        <v>195</v>
      </c>
      <c r="C83" s="8" t="s">
        <v>195</v>
      </c>
      <c r="D83" s="6" t="str">
        <f>LRTRIM(CONCATENATE(IF(SUMPRODUCT(-- ISNUMBER(SEARCH({"Auto Number"}, $B83))) &gt; 0, $B83, IF(SUMPRODUCT(-- ISNUMBER(SEARCH({"Lookup","Master-Detail"}, $B83))) &gt; 0,$B83 &amp; "(" &amp; $E83 &amp; ")",IF(SUMPRODUCT(-- ISNUMBER(SEARCH({"Formula","Roll-Up Summary"}, $B83))) &gt; 0,$B83 &amp; " (" &amp; $E83 &amp; ")",IF(SUMPRODUCT(-- ISNUMBER(SEARCH({"Content","Currency","Number","Percent","Text","URL"}, $B83))) &gt; 0,$B83 &amp; "(" &amp; $C83 &amp; ")",$B83)))), "  ", TRIM(IF($S83 = "YES", "(External ID)", "") &amp; " " &amp; IF(SUMPRODUCT(-- ISNUMBER(SEARCH({"Unique","Unique Case Insensitive"}, $R83))) &gt; 0, "(" &amp; $R83 &amp; ")", ""))))</f>
        <v>na</v>
      </c>
      <c r="E83" s="7" t="s">
        <v>195</v>
      </c>
      <c r="F83" s="7" t="s">
        <v>195</v>
      </c>
      <c r="G83" s="7" t="s">
        <v>195</v>
      </c>
      <c r="H83" s="7" t="s">
        <v>195</v>
      </c>
      <c r="I83" s="7" t="s">
        <v>195</v>
      </c>
      <c r="J83" s="7" t="s">
        <v>195</v>
      </c>
      <c r="K83" s="7" t="s">
        <v>195</v>
      </c>
      <c r="L83" s="7" t="s">
        <v>195</v>
      </c>
      <c r="M83" s="7" t="s">
        <v>29</v>
      </c>
      <c r="N83" s="7" t="s">
        <v>29</v>
      </c>
      <c r="O83" s="7" t="s">
        <v>29</v>
      </c>
      <c r="P83" s="7" t="s">
        <v>29</v>
      </c>
      <c r="Q83" s="7" t="s">
        <v>29</v>
      </c>
      <c r="R83" s="7" t="s">
        <v>29</v>
      </c>
      <c r="S83" s="7" t="s">
        <v>29</v>
      </c>
    </row>
    <row r="84" spans="2:19">
      <c r="B84" s="7" t="s">
        <v>195</v>
      </c>
      <c r="C84" s="8" t="s">
        <v>195</v>
      </c>
      <c r="D84" s="6" t="str">
        <f>LRTRIM(CONCATENATE(IF(SUMPRODUCT(-- ISNUMBER(SEARCH({"Auto Number"}, $B84))) &gt; 0, $B84, IF(SUMPRODUCT(-- ISNUMBER(SEARCH({"Lookup","Master-Detail"}, $B84))) &gt; 0,$B84 &amp; "(" &amp; $E84 &amp; ")",IF(SUMPRODUCT(-- ISNUMBER(SEARCH({"Formula","Roll-Up Summary"}, $B84))) &gt; 0,$B84 &amp; " (" &amp; $E84 &amp; ")",IF(SUMPRODUCT(-- ISNUMBER(SEARCH({"Content","Currency","Number","Percent","Text","URL"}, $B84))) &gt; 0,$B84 &amp; "(" &amp; $C84 &amp; ")",$B84)))), "  ", TRIM(IF($S84 = "YES", "(External ID)", "") &amp; " " &amp; IF(SUMPRODUCT(-- ISNUMBER(SEARCH({"Unique","Unique Case Insensitive"}, $R84))) &gt; 0, "(" &amp; $R84 &amp; ")", ""))))</f>
        <v>na</v>
      </c>
      <c r="E84" s="7" t="s">
        <v>195</v>
      </c>
      <c r="F84" s="7" t="s">
        <v>195</v>
      </c>
      <c r="G84" s="7" t="s">
        <v>195</v>
      </c>
      <c r="H84" s="7" t="s">
        <v>195</v>
      </c>
      <c r="I84" s="7" t="s">
        <v>195</v>
      </c>
      <c r="J84" s="7" t="s">
        <v>195</v>
      </c>
      <c r="K84" s="7" t="s">
        <v>195</v>
      </c>
      <c r="L84" s="7" t="s">
        <v>195</v>
      </c>
      <c r="M84" s="7" t="s">
        <v>29</v>
      </c>
      <c r="N84" s="7" t="s">
        <v>29</v>
      </c>
      <c r="O84" s="7" t="s">
        <v>29</v>
      </c>
      <c r="P84" s="7" t="s">
        <v>29</v>
      </c>
      <c r="Q84" s="7" t="s">
        <v>29</v>
      </c>
      <c r="R84" s="7" t="s">
        <v>29</v>
      </c>
      <c r="S84" s="7" t="s">
        <v>29</v>
      </c>
    </row>
    <row r="85" spans="2:19">
      <c r="B85" s="7" t="s">
        <v>195</v>
      </c>
      <c r="C85" s="8" t="s">
        <v>195</v>
      </c>
      <c r="D85" s="6" t="str">
        <f>LRTRIM(CONCATENATE(IF(SUMPRODUCT(-- ISNUMBER(SEARCH({"Auto Number"}, $B85))) &gt; 0, $B85, IF(SUMPRODUCT(-- ISNUMBER(SEARCH({"Lookup","Master-Detail"}, $B85))) &gt; 0,$B85 &amp; "(" &amp; $E85 &amp; ")",IF(SUMPRODUCT(-- ISNUMBER(SEARCH({"Formula","Roll-Up Summary"}, $B85))) &gt; 0,$B85 &amp; " (" &amp; $E85 &amp; ")",IF(SUMPRODUCT(-- ISNUMBER(SEARCH({"Content","Currency","Number","Percent","Text","URL"}, $B85))) &gt; 0,$B85 &amp; "(" &amp; $C85 &amp; ")",$B85)))), "  ", TRIM(IF($S85 = "YES", "(External ID)", "") &amp; " " &amp; IF(SUMPRODUCT(-- ISNUMBER(SEARCH({"Unique","Unique Case Insensitive"}, $R85))) &gt; 0, "(" &amp; $R85 &amp; ")", ""))))</f>
        <v>na</v>
      </c>
      <c r="E85" s="7" t="s">
        <v>195</v>
      </c>
      <c r="F85" s="7" t="s">
        <v>195</v>
      </c>
      <c r="G85" s="7" t="s">
        <v>195</v>
      </c>
      <c r="H85" s="7" t="s">
        <v>195</v>
      </c>
      <c r="I85" s="7" t="s">
        <v>195</v>
      </c>
      <c r="J85" s="7" t="s">
        <v>195</v>
      </c>
      <c r="K85" s="7" t="s">
        <v>195</v>
      </c>
      <c r="L85" s="7" t="s">
        <v>195</v>
      </c>
      <c r="M85" s="7" t="s">
        <v>29</v>
      </c>
      <c r="N85" s="7" t="s">
        <v>29</v>
      </c>
      <c r="O85" s="7" t="s">
        <v>29</v>
      </c>
      <c r="P85" s="7" t="s">
        <v>29</v>
      </c>
      <c r="Q85" s="7" t="s">
        <v>29</v>
      </c>
      <c r="R85" s="7" t="s">
        <v>29</v>
      </c>
      <c r="S85" s="7" t="s">
        <v>29</v>
      </c>
    </row>
    <row r="86" spans="2:19">
      <c r="B86" s="7" t="s">
        <v>195</v>
      </c>
      <c r="C86" s="8" t="s">
        <v>195</v>
      </c>
      <c r="D86" s="6" t="str">
        <f>LRTRIM(CONCATENATE(IF(SUMPRODUCT(-- ISNUMBER(SEARCH({"Auto Number"}, $B86))) &gt; 0, $B86, IF(SUMPRODUCT(-- ISNUMBER(SEARCH({"Lookup","Master-Detail"}, $B86))) &gt; 0,$B86 &amp; "(" &amp; $E86 &amp; ")",IF(SUMPRODUCT(-- ISNUMBER(SEARCH({"Formula","Roll-Up Summary"}, $B86))) &gt; 0,$B86 &amp; " (" &amp; $E86 &amp; ")",IF(SUMPRODUCT(-- ISNUMBER(SEARCH({"Content","Currency","Number","Percent","Text","URL"}, $B86))) &gt; 0,$B86 &amp; "(" &amp; $C86 &amp; ")",$B86)))), "  ", TRIM(IF($S86 = "YES", "(External ID)", "") &amp; " " &amp; IF(SUMPRODUCT(-- ISNUMBER(SEARCH({"Unique","Unique Case Insensitive"}, $R86))) &gt; 0, "(" &amp; $R86 &amp; ")", ""))))</f>
        <v>na</v>
      </c>
      <c r="E86" s="7" t="s">
        <v>195</v>
      </c>
      <c r="F86" s="7" t="s">
        <v>195</v>
      </c>
      <c r="G86" s="7" t="s">
        <v>195</v>
      </c>
      <c r="H86" s="7" t="s">
        <v>195</v>
      </c>
      <c r="I86" s="7" t="s">
        <v>195</v>
      </c>
      <c r="J86" s="7" t="s">
        <v>195</v>
      </c>
      <c r="K86" s="7" t="s">
        <v>195</v>
      </c>
      <c r="L86" s="7" t="s">
        <v>195</v>
      </c>
      <c r="M86" s="7" t="s">
        <v>29</v>
      </c>
      <c r="N86" s="7" t="s">
        <v>29</v>
      </c>
      <c r="O86" s="7" t="s">
        <v>29</v>
      </c>
      <c r="P86" s="7" t="s">
        <v>29</v>
      </c>
      <c r="Q86" s="7" t="s">
        <v>29</v>
      </c>
      <c r="R86" s="7" t="s">
        <v>29</v>
      </c>
      <c r="S86" s="7" t="s">
        <v>29</v>
      </c>
    </row>
    <row r="87" spans="2:19">
      <c r="B87" s="7" t="s">
        <v>195</v>
      </c>
      <c r="C87" s="8" t="s">
        <v>195</v>
      </c>
      <c r="D87" s="6" t="str">
        <f>LRTRIM(CONCATENATE(IF(SUMPRODUCT(-- ISNUMBER(SEARCH({"Auto Number"}, $B87))) &gt; 0, $B87, IF(SUMPRODUCT(-- ISNUMBER(SEARCH({"Lookup","Master-Detail"}, $B87))) &gt; 0,$B87 &amp; "(" &amp; $E87 &amp; ")",IF(SUMPRODUCT(-- ISNUMBER(SEARCH({"Formula","Roll-Up Summary"}, $B87))) &gt; 0,$B87 &amp; " (" &amp; $E87 &amp; ")",IF(SUMPRODUCT(-- ISNUMBER(SEARCH({"Content","Currency","Number","Percent","Text","URL"}, $B87))) &gt; 0,$B87 &amp; "(" &amp; $C87 &amp; ")",$B87)))), "  ", TRIM(IF($S87 = "YES", "(External ID)", "") &amp; " " &amp; IF(SUMPRODUCT(-- ISNUMBER(SEARCH({"Unique","Unique Case Insensitive"}, $R87))) &gt; 0, "(" &amp; $R87 &amp; ")", ""))))</f>
        <v>na</v>
      </c>
      <c r="E87" s="7" t="s">
        <v>195</v>
      </c>
      <c r="F87" s="7" t="s">
        <v>195</v>
      </c>
      <c r="G87" s="7" t="s">
        <v>195</v>
      </c>
      <c r="H87" s="7" t="s">
        <v>195</v>
      </c>
      <c r="I87" s="7" t="s">
        <v>195</v>
      </c>
      <c r="J87" s="7" t="s">
        <v>195</v>
      </c>
      <c r="K87" s="7" t="s">
        <v>195</v>
      </c>
      <c r="L87" s="7" t="s">
        <v>195</v>
      </c>
      <c r="M87" s="7" t="s">
        <v>29</v>
      </c>
      <c r="N87" s="7" t="s">
        <v>29</v>
      </c>
      <c r="O87" s="7" t="s">
        <v>29</v>
      </c>
      <c r="P87" s="7" t="s">
        <v>29</v>
      </c>
      <c r="Q87" s="7" t="s">
        <v>29</v>
      </c>
      <c r="R87" s="7" t="s">
        <v>29</v>
      </c>
      <c r="S87" s="7" t="s">
        <v>29</v>
      </c>
    </row>
    <row r="88" spans="2:19">
      <c r="B88" s="7" t="s">
        <v>195</v>
      </c>
      <c r="C88" s="8" t="s">
        <v>195</v>
      </c>
      <c r="D88" s="6" t="str">
        <f>LRTRIM(CONCATENATE(IF(SUMPRODUCT(-- ISNUMBER(SEARCH({"Auto Number"}, $B88))) &gt; 0, $B88, IF(SUMPRODUCT(-- ISNUMBER(SEARCH({"Lookup","Master-Detail"}, $B88))) &gt; 0,$B88 &amp; "(" &amp; $E88 &amp; ")",IF(SUMPRODUCT(-- ISNUMBER(SEARCH({"Formula","Roll-Up Summary"}, $B88))) &gt; 0,$B88 &amp; " (" &amp; $E88 &amp; ")",IF(SUMPRODUCT(-- ISNUMBER(SEARCH({"Content","Currency","Number","Percent","Text","URL"}, $B88))) &gt; 0,$B88 &amp; "(" &amp; $C88 &amp; ")",$B88)))), "  ", TRIM(IF($S88 = "YES", "(External ID)", "") &amp; " " &amp; IF(SUMPRODUCT(-- ISNUMBER(SEARCH({"Unique","Unique Case Insensitive"}, $R88))) &gt; 0, "(" &amp; $R88 &amp; ")", ""))))</f>
        <v>na</v>
      </c>
      <c r="E88" s="7" t="s">
        <v>195</v>
      </c>
      <c r="F88" s="7" t="s">
        <v>195</v>
      </c>
      <c r="G88" s="7" t="s">
        <v>195</v>
      </c>
      <c r="H88" s="7" t="s">
        <v>195</v>
      </c>
      <c r="I88" s="7" t="s">
        <v>195</v>
      </c>
      <c r="J88" s="7" t="s">
        <v>195</v>
      </c>
      <c r="K88" s="7" t="s">
        <v>195</v>
      </c>
      <c r="L88" s="7" t="s">
        <v>195</v>
      </c>
      <c r="M88" s="7" t="s">
        <v>29</v>
      </c>
      <c r="N88" s="7" t="s">
        <v>29</v>
      </c>
      <c r="O88" s="7" t="s">
        <v>29</v>
      </c>
      <c r="P88" s="7" t="s">
        <v>29</v>
      </c>
      <c r="Q88" s="7" t="s">
        <v>29</v>
      </c>
      <c r="R88" s="7" t="s">
        <v>29</v>
      </c>
      <c r="S88" s="7" t="s">
        <v>29</v>
      </c>
    </row>
    <row r="89" spans="2:19">
      <c r="B89" s="7" t="s">
        <v>195</v>
      </c>
      <c r="C89" s="8" t="s">
        <v>195</v>
      </c>
      <c r="D89" s="6" t="str">
        <f>LRTRIM(CONCATENATE(IF(SUMPRODUCT(-- ISNUMBER(SEARCH({"Auto Number"}, $B89))) &gt; 0, $B89, IF(SUMPRODUCT(-- ISNUMBER(SEARCH({"Lookup","Master-Detail"}, $B89))) &gt; 0,$B89 &amp; "(" &amp; $E89 &amp; ")",IF(SUMPRODUCT(-- ISNUMBER(SEARCH({"Formula","Roll-Up Summary"}, $B89))) &gt; 0,$B89 &amp; " (" &amp; $E89 &amp; ")",IF(SUMPRODUCT(-- ISNUMBER(SEARCH({"Content","Currency","Number","Percent","Text","URL"}, $B89))) &gt; 0,$B89 &amp; "(" &amp; $C89 &amp; ")",$B89)))), "  ", TRIM(IF($S89 = "YES", "(External ID)", "") &amp; " " &amp; IF(SUMPRODUCT(-- ISNUMBER(SEARCH({"Unique","Unique Case Insensitive"}, $R89))) &gt; 0, "(" &amp; $R89 &amp; ")", ""))))</f>
        <v>na</v>
      </c>
      <c r="E89" s="7" t="s">
        <v>195</v>
      </c>
      <c r="F89" s="7" t="s">
        <v>195</v>
      </c>
      <c r="G89" s="7" t="s">
        <v>195</v>
      </c>
      <c r="H89" s="7" t="s">
        <v>195</v>
      </c>
      <c r="I89" s="7" t="s">
        <v>195</v>
      </c>
      <c r="J89" s="7" t="s">
        <v>195</v>
      </c>
      <c r="K89" s="7" t="s">
        <v>195</v>
      </c>
      <c r="L89" s="7" t="s">
        <v>195</v>
      </c>
      <c r="M89" s="7" t="s">
        <v>29</v>
      </c>
      <c r="N89" s="7" t="s">
        <v>29</v>
      </c>
      <c r="O89" s="7" t="s">
        <v>29</v>
      </c>
      <c r="P89" s="7" t="s">
        <v>29</v>
      </c>
      <c r="Q89" s="7" t="s">
        <v>29</v>
      </c>
      <c r="R89" s="7" t="s">
        <v>29</v>
      </c>
      <c r="S89" s="7" t="s">
        <v>29</v>
      </c>
    </row>
    <row r="90" spans="2:19">
      <c r="B90" s="7" t="s">
        <v>195</v>
      </c>
      <c r="C90" s="8" t="s">
        <v>195</v>
      </c>
      <c r="D90" s="6" t="str">
        <f>LRTRIM(CONCATENATE(IF(SUMPRODUCT(-- ISNUMBER(SEARCH({"Auto Number"}, $B90))) &gt; 0, $B90, IF(SUMPRODUCT(-- ISNUMBER(SEARCH({"Lookup","Master-Detail"}, $B90))) &gt; 0,$B90 &amp; "(" &amp; $E90 &amp; ")",IF(SUMPRODUCT(-- ISNUMBER(SEARCH({"Formula","Roll-Up Summary"}, $B90))) &gt; 0,$B90 &amp; " (" &amp; $E90 &amp; ")",IF(SUMPRODUCT(-- ISNUMBER(SEARCH({"Content","Currency","Number","Percent","Text","URL"}, $B90))) &gt; 0,$B90 &amp; "(" &amp; $C90 &amp; ")",$B90)))), "  ", TRIM(IF($S90 = "YES", "(External ID)", "") &amp; " " &amp; IF(SUMPRODUCT(-- ISNUMBER(SEARCH({"Unique","Unique Case Insensitive"}, $R90))) &gt; 0, "(" &amp; $R90 &amp; ")", ""))))</f>
        <v>na</v>
      </c>
      <c r="E90" s="7" t="s">
        <v>195</v>
      </c>
      <c r="F90" s="7" t="s">
        <v>195</v>
      </c>
      <c r="G90" s="7" t="s">
        <v>195</v>
      </c>
      <c r="H90" s="7" t="s">
        <v>195</v>
      </c>
      <c r="I90" s="7" t="s">
        <v>195</v>
      </c>
      <c r="J90" s="7" t="s">
        <v>195</v>
      </c>
      <c r="K90" s="7" t="s">
        <v>195</v>
      </c>
      <c r="L90" s="7" t="s">
        <v>195</v>
      </c>
      <c r="M90" s="7" t="s">
        <v>29</v>
      </c>
      <c r="N90" s="7" t="s">
        <v>29</v>
      </c>
      <c r="O90" s="7" t="s">
        <v>29</v>
      </c>
      <c r="P90" s="7" t="s">
        <v>29</v>
      </c>
      <c r="Q90" s="7" t="s">
        <v>29</v>
      </c>
      <c r="R90" s="7" t="s">
        <v>29</v>
      </c>
      <c r="S90" s="7" t="s">
        <v>29</v>
      </c>
    </row>
    <row r="91" spans="2:19">
      <c r="B91" s="7" t="s">
        <v>195</v>
      </c>
      <c r="C91" s="8" t="s">
        <v>195</v>
      </c>
      <c r="D91" s="6" t="str">
        <f>LRTRIM(CONCATENATE(IF(SUMPRODUCT(-- ISNUMBER(SEARCH({"Auto Number"}, $B91))) &gt; 0, $B91, IF(SUMPRODUCT(-- ISNUMBER(SEARCH({"Lookup","Master-Detail"}, $B91))) &gt; 0,$B91 &amp; "(" &amp; $E91 &amp; ")",IF(SUMPRODUCT(-- ISNUMBER(SEARCH({"Formula","Roll-Up Summary"}, $B91))) &gt; 0,$B91 &amp; " (" &amp; $E91 &amp; ")",IF(SUMPRODUCT(-- ISNUMBER(SEARCH({"Content","Currency","Number","Percent","Text","URL"}, $B91))) &gt; 0,$B91 &amp; "(" &amp; $C91 &amp; ")",$B91)))), "  ", TRIM(IF($S91 = "YES", "(External ID)", "") &amp; " " &amp; IF(SUMPRODUCT(-- ISNUMBER(SEARCH({"Unique","Unique Case Insensitive"}, $R91))) &gt; 0, "(" &amp; $R91 &amp; ")", ""))))</f>
        <v>na</v>
      </c>
      <c r="E91" s="7" t="s">
        <v>195</v>
      </c>
      <c r="F91" s="7" t="s">
        <v>195</v>
      </c>
      <c r="G91" s="7" t="s">
        <v>195</v>
      </c>
      <c r="H91" s="7" t="s">
        <v>195</v>
      </c>
      <c r="I91" s="7" t="s">
        <v>195</v>
      </c>
      <c r="J91" s="7" t="s">
        <v>195</v>
      </c>
      <c r="K91" s="7" t="s">
        <v>195</v>
      </c>
      <c r="L91" s="7" t="s">
        <v>195</v>
      </c>
      <c r="M91" s="7" t="s">
        <v>29</v>
      </c>
      <c r="N91" s="7" t="s">
        <v>29</v>
      </c>
      <c r="O91" s="7" t="s">
        <v>29</v>
      </c>
      <c r="P91" s="7" t="s">
        <v>29</v>
      </c>
      <c r="Q91" s="7" t="s">
        <v>29</v>
      </c>
      <c r="R91" s="7" t="s">
        <v>29</v>
      </c>
      <c r="S91" s="7" t="s">
        <v>29</v>
      </c>
    </row>
    <row r="92" spans="2:19">
      <c r="B92" s="7" t="s">
        <v>195</v>
      </c>
      <c r="C92" s="8" t="s">
        <v>195</v>
      </c>
      <c r="D92" s="6" t="str">
        <f>LRTRIM(CONCATENATE(IF(SUMPRODUCT(-- ISNUMBER(SEARCH({"Auto Number"}, $B92))) &gt; 0, $B92, IF(SUMPRODUCT(-- ISNUMBER(SEARCH({"Lookup","Master-Detail"}, $B92))) &gt; 0,$B92 &amp; "(" &amp; $E92 &amp; ")",IF(SUMPRODUCT(-- ISNUMBER(SEARCH({"Formula","Roll-Up Summary"}, $B92))) &gt; 0,$B92 &amp; " (" &amp; $E92 &amp; ")",IF(SUMPRODUCT(-- ISNUMBER(SEARCH({"Content","Currency","Number","Percent","Text","URL"}, $B92))) &gt; 0,$B92 &amp; "(" &amp; $C92 &amp; ")",$B92)))), "  ", TRIM(IF($S92 = "YES", "(External ID)", "") &amp; " " &amp; IF(SUMPRODUCT(-- ISNUMBER(SEARCH({"Unique","Unique Case Insensitive"}, $R92))) &gt; 0, "(" &amp; $R92 &amp; ")", ""))))</f>
        <v>na</v>
      </c>
      <c r="E92" s="7" t="s">
        <v>195</v>
      </c>
      <c r="F92" s="7" t="s">
        <v>195</v>
      </c>
      <c r="G92" s="7" t="s">
        <v>195</v>
      </c>
      <c r="H92" s="7" t="s">
        <v>195</v>
      </c>
      <c r="I92" s="7" t="s">
        <v>195</v>
      </c>
      <c r="J92" s="7" t="s">
        <v>195</v>
      </c>
      <c r="K92" s="7" t="s">
        <v>195</v>
      </c>
      <c r="L92" s="7" t="s">
        <v>195</v>
      </c>
      <c r="M92" s="7" t="s">
        <v>29</v>
      </c>
      <c r="N92" s="7" t="s">
        <v>29</v>
      </c>
      <c r="O92" s="7" t="s">
        <v>29</v>
      </c>
      <c r="P92" s="7" t="s">
        <v>29</v>
      </c>
      <c r="Q92" s="7" t="s">
        <v>29</v>
      </c>
      <c r="R92" s="7" t="s">
        <v>29</v>
      </c>
      <c r="S92" s="7" t="s">
        <v>29</v>
      </c>
    </row>
    <row r="93" spans="2:19">
      <c r="B93" s="7" t="s">
        <v>195</v>
      </c>
      <c r="C93" s="8" t="s">
        <v>195</v>
      </c>
      <c r="D93" s="6" t="str">
        <f>LRTRIM(CONCATENATE(IF(SUMPRODUCT(-- ISNUMBER(SEARCH({"Auto Number"}, $B93))) &gt; 0, $B93, IF(SUMPRODUCT(-- ISNUMBER(SEARCH({"Lookup","Master-Detail"}, $B93))) &gt; 0,$B93 &amp; "(" &amp; $E93 &amp; ")",IF(SUMPRODUCT(-- ISNUMBER(SEARCH({"Formula","Roll-Up Summary"}, $B93))) &gt; 0,$B93 &amp; " (" &amp; $E93 &amp; ")",IF(SUMPRODUCT(-- ISNUMBER(SEARCH({"Content","Currency","Number","Percent","Text","URL"}, $B93))) &gt; 0,$B93 &amp; "(" &amp; $C93 &amp; ")",$B93)))), "  ", TRIM(IF($S93 = "YES", "(External ID)", "") &amp; " " &amp; IF(SUMPRODUCT(-- ISNUMBER(SEARCH({"Unique","Unique Case Insensitive"}, $R93))) &gt; 0, "(" &amp; $R93 &amp; ")", ""))))</f>
        <v>na</v>
      </c>
      <c r="E93" s="7" t="s">
        <v>195</v>
      </c>
      <c r="F93" s="7" t="s">
        <v>195</v>
      </c>
      <c r="G93" s="7" t="s">
        <v>195</v>
      </c>
      <c r="H93" s="7" t="s">
        <v>195</v>
      </c>
      <c r="I93" s="7" t="s">
        <v>195</v>
      </c>
      <c r="J93" s="7" t="s">
        <v>195</v>
      </c>
      <c r="K93" s="7" t="s">
        <v>195</v>
      </c>
      <c r="L93" s="7" t="s">
        <v>195</v>
      </c>
      <c r="M93" s="7" t="s">
        <v>29</v>
      </c>
      <c r="N93" s="7" t="s">
        <v>29</v>
      </c>
      <c r="O93" s="7" t="s">
        <v>29</v>
      </c>
      <c r="P93" s="7" t="s">
        <v>29</v>
      </c>
      <c r="Q93" s="7" t="s">
        <v>29</v>
      </c>
      <c r="R93" s="7" t="s">
        <v>29</v>
      </c>
      <c r="S93" s="7" t="s">
        <v>29</v>
      </c>
    </row>
    <row r="94" spans="2:19">
      <c r="B94" s="7" t="s">
        <v>195</v>
      </c>
      <c r="C94" s="8" t="s">
        <v>195</v>
      </c>
      <c r="D94" s="6" t="str">
        <f>LRTRIM(CONCATENATE(IF(SUMPRODUCT(-- ISNUMBER(SEARCH({"Auto Number"}, $B94))) &gt; 0, $B94, IF(SUMPRODUCT(-- ISNUMBER(SEARCH({"Lookup","Master-Detail"}, $B94))) &gt; 0,$B94 &amp; "(" &amp; $E94 &amp; ")",IF(SUMPRODUCT(-- ISNUMBER(SEARCH({"Formula","Roll-Up Summary"}, $B94))) &gt; 0,$B94 &amp; " (" &amp; $E94 &amp; ")",IF(SUMPRODUCT(-- ISNUMBER(SEARCH({"Content","Currency","Number","Percent","Text","URL"}, $B94))) &gt; 0,$B94 &amp; "(" &amp; $C94 &amp; ")",$B94)))), "  ", TRIM(IF($S94 = "YES", "(External ID)", "") &amp; " " &amp; IF(SUMPRODUCT(-- ISNUMBER(SEARCH({"Unique","Unique Case Insensitive"}, $R94))) &gt; 0, "(" &amp; $R94 &amp; ")", ""))))</f>
        <v>na</v>
      </c>
      <c r="E94" s="7" t="s">
        <v>195</v>
      </c>
      <c r="F94" s="7" t="s">
        <v>195</v>
      </c>
      <c r="G94" s="7" t="s">
        <v>195</v>
      </c>
      <c r="H94" s="7" t="s">
        <v>195</v>
      </c>
      <c r="I94" s="7" t="s">
        <v>195</v>
      </c>
      <c r="J94" s="7" t="s">
        <v>195</v>
      </c>
      <c r="K94" s="7" t="s">
        <v>195</v>
      </c>
      <c r="L94" s="7" t="s">
        <v>195</v>
      </c>
      <c r="M94" s="7" t="s">
        <v>29</v>
      </c>
      <c r="N94" s="7" t="s">
        <v>29</v>
      </c>
      <c r="O94" s="7" t="s">
        <v>29</v>
      </c>
      <c r="P94" s="7" t="s">
        <v>29</v>
      </c>
      <c r="Q94" s="7" t="s">
        <v>29</v>
      </c>
      <c r="R94" s="7" t="s">
        <v>29</v>
      </c>
      <c r="S94" s="7" t="s">
        <v>29</v>
      </c>
    </row>
    <row r="95" spans="2:19">
      <c r="B95" s="7" t="s">
        <v>195</v>
      </c>
      <c r="C95" s="8" t="s">
        <v>195</v>
      </c>
      <c r="D95" s="6" t="str">
        <f>LRTRIM(CONCATENATE(IF(SUMPRODUCT(-- ISNUMBER(SEARCH({"Auto Number"}, $B95))) &gt; 0, $B95, IF(SUMPRODUCT(-- ISNUMBER(SEARCH({"Lookup","Master-Detail"}, $B95))) &gt; 0,$B95 &amp; "(" &amp; $E95 &amp; ")",IF(SUMPRODUCT(-- ISNUMBER(SEARCH({"Formula","Roll-Up Summary"}, $B95))) &gt; 0,$B95 &amp; " (" &amp; $E95 &amp; ")",IF(SUMPRODUCT(-- ISNUMBER(SEARCH({"Content","Currency","Number","Percent","Text","URL"}, $B95))) &gt; 0,$B95 &amp; "(" &amp; $C95 &amp; ")",$B95)))), "  ", TRIM(IF($S95 = "YES", "(External ID)", "") &amp; " " &amp; IF(SUMPRODUCT(-- ISNUMBER(SEARCH({"Unique","Unique Case Insensitive"}, $R95))) &gt; 0, "(" &amp; $R95 &amp; ")", ""))))</f>
        <v>na</v>
      </c>
      <c r="E95" s="7" t="s">
        <v>195</v>
      </c>
      <c r="F95" s="7" t="s">
        <v>195</v>
      </c>
      <c r="G95" s="7" t="s">
        <v>195</v>
      </c>
      <c r="H95" s="7" t="s">
        <v>195</v>
      </c>
      <c r="I95" s="7" t="s">
        <v>195</v>
      </c>
      <c r="J95" s="7" t="s">
        <v>195</v>
      </c>
      <c r="K95" s="7" t="s">
        <v>195</v>
      </c>
      <c r="L95" s="7" t="s">
        <v>195</v>
      </c>
      <c r="M95" s="7" t="s">
        <v>29</v>
      </c>
      <c r="N95" s="7" t="s">
        <v>29</v>
      </c>
      <c r="O95" s="7" t="s">
        <v>29</v>
      </c>
      <c r="P95" s="7" t="s">
        <v>29</v>
      </c>
      <c r="Q95" s="7" t="s">
        <v>29</v>
      </c>
      <c r="R95" s="7" t="s">
        <v>29</v>
      </c>
      <c r="S95" s="7" t="s">
        <v>29</v>
      </c>
    </row>
    <row r="96" spans="2:19">
      <c r="B96" s="7" t="s">
        <v>195</v>
      </c>
      <c r="C96" s="8" t="s">
        <v>195</v>
      </c>
      <c r="D96" s="6" t="str">
        <f>LRTRIM(CONCATENATE(IF(SUMPRODUCT(-- ISNUMBER(SEARCH({"Auto Number"}, $B96))) &gt; 0, $B96, IF(SUMPRODUCT(-- ISNUMBER(SEARCH({"Lookup","Master-Detail"}, $B96))) &gt; 0,$B96 &amp; "(" &amp; $E96 &amp; ")",IF(SUMPRODUCT(-- ISNUMBER(SEARCH({"Formula","Roll-Up Summary"}, $B96))) &gt; 0,$B96 &amp; " (" &amp; $E96 &amp; ")",IF(SUMPRODUCT(-- ISNUMBER(SEARCH({"Content","Currency","Number","Percent","Text","URL"}, $B96))) &gt; 0,$B96 &amp; "(" &amp; $C96 &amp; ")",$B96)))), "  ", TRIM(IF($S96 = "YES", "(External ID)", "") &amp; " " &amp; IF(SUMPRODUCT(-- ISNUMBER(SEARCH({"Unique","Unique Case Insensitive"}, $R96))) &gt; 0, "(" &amp; $R96 &amp; ")", ""))))</f>
        <v>na</v>
      </c>
      <c r="E96" s="7" t="s">
        <v>195</v>
      </c>
      <c r="F96" s="7" t="s">
        <v>195</v>
      </c>
      <c r="G96" s="7" t="s">
        <v>195</v>
      </c>
      <c r="H96" s="7" t="s">
        <v>195</v>
      </c>
      <c r="I96" s="7" t="s">
        <v>195</v>
      </c>
      <c r="J96" s="7" t="s">
        <v>195</v>
      </c>
      <c r="K96" s="7" t="s">
        <v>195</v>
      </c>
      <c r="L96" s="7" t="s">
        <v>195</v>
      </c>
      <c r="M96" s="7" t="s">
        <v>29</v>
      </c>
      <c r="N96" s="7" t="s">
        <v>29</v>
      </c>
      <c r="O96" s="7" t="s">
        <v>29</v>
      </c>
      <c r="P96" s="7" t="s">
        <v>29</v>
      </c>
      <c r="Q96" s="7" t="s">
        <v>29</v>
      </c>
      <c r="R96" s="7" t="s">
        <v>29</v>
      </c>
      <c r="S96" s="7" t="s">
        <v>29</v>
      </c>
    </row>
    <row r="97" spans="2:19">
      <c r="B97" s="7" t="s">
        <v>195</v>
      </c>
      <c r="C97" s="8" t="s">
        <v>195</v>
      </c>
      <c r="D97" s="6" t="str">
        <f>LRTRIM(CONCATENATE(IF(SUMPRODUCT(-- ISNUMBER(SEARCH({"Auto Number"}, $B97))) &gt; 0, $B97, IF(SUMPRODUCT(-- ISNUMBER(SEARCH({"Lookup","Master-Detail"}, $B97))) &gt; 0,$B97 &amp; "(" &amp; $E97 &amp; ")",IF(SUMPRODUCT(-- ISNUMBER(SEARCH({"Formula","Roll-Up Summary"}, $B97))) &gt; 0,$B97 &amp; " (" &amp; $E97 &amp; ")",IF(SUMPRODUCT(-- ISNUMBER(SEARCH({"Content","Currency","Number","Percent","Text","URL"}, $B97))) &gt; 0,$B97 &amp; "(" &amp; $C97 &amp; ")",$B97)))), "  ", TRIM(IF($S97 = "YES", "(External ID)", "") &amp; " " &amp; IF(SUMPRODUCT(-- ISNUMBER(SEARCH({"Unique","Unique Case Insensitive"}, $R97))) &gt; 0, "(" &amp; $R97 &amp; ")", ""))))</f>
        <v>na</v>
      </c>
      <c r="E97" s="7" t="s">
        <v>195</v>
      </c>
      <c r="F97" s="7" t="s">
        <v>195</v>
      </c>
      <c r="G97" s="7" t="s">
        <v>195</v>
      </c>
      <c r="H97" s="7" t="s">
        <v>195</v>
      </c>
      <c r="I97" s="7" t="s">
        <v>195</v>
      </c>
      <c r="J97" s="7" t="s">
        <v>195</v>
      </c>
      <c r="K97" s="7" t="s">
        <v>195</v>
      </c>
      <c r="L97" s="7" t="s">
        <v>195</v>
      </c>
      <c r="M97" s="7" t="s">
        <v>29</v>
      </c>
      <c r="N97" s="7" t="s">
        <v>29</v>
      </c>
      <c r="O97" s="7" t="s">
        <v>29</v>
      </c>
      <c r="P97" s="7" t="s">
        <v>29</v>
      </c>
      <c r="Q97" s="7" t="s">
        <v>29</v>
      </c>
      <c r="R97" s="7" t="s">
        <v>29</v>
      </c>
      <c r="S97" s="7" t="s">
        <v>29</v>
      </c>
    </row>
    <row r="98" spans="2:19">
      <c r="B98" s="7" t="s">
        <v>195</v>
      </c>
      <c r="C98" s="8" t="s">
        <v>195</v>
      </c>
      <c r="D98" s="6" t="str">
        <f>LRTRIM(CONCATENATE(IF(SUMPRODUCT(-- ISNUMBER(SEARCH({"Auto Number"}, $B98))) &gt; 0, $B98, IF(SUMPRODUCT(-- ISNUMBER(SEARCH({"Lookup","Master-Detail"}, $B98))) &gt; 0,$B98 &amp; "(" &amp; $E98 &amp; ")",IF(SUMPRODUCT(-- ISNUMBER(SEARCH({"Formula","Roll-Up Summary"}, $B98))) &gt; 0,$B98 &amp; " (" &amp; $E98 &amp; ")",IF(SUMPRODUCT(-- ISNUMBER(SEARCH({"Content","Currency","Number","Percent","Text","URL"}, $B98))) &gt; 0,$B98 &amp; "(" &amp; $C98 &amp; ")",$B98)))), "  ", TRIM(IF($S98 = "YES", "(External ID)", "") &amp; " " &amp; IF(SUMPRODUCT(-- ISNUMBER(SEARCH({"Unique","Unique Case Insensitive"}, $R98))) &gt; 0, "(" &amp; $R98 &amp; ")", ""))))</f>
        <v>na</v>
      </c>
      <c r="E98" s="7" t="s">
        <v>195</v>
      </c>
      <c r="F98" s="7" t="s">
        <v>195</v>
      </c>
      <c r="G98" s="7" t="s">
        <v>195</v>
      </c>
      <c r="H98" s="7" t="s">
        <v>195</v>
      </c>
      <c r="I98" s="7" t="s">
        <v>195</v>
      </c>
      <c r="J98" s="7" t="s">
        <v>195</v>
      </c>
      <c r="K98" s="7" t="s">
        <v>195</v>
      </c>
      <c r="L98" s="7" t="s">
        <v>195</v>
      </c>
      <c r="M98" s="7" t="s">
        <v>29</v>
      </c>
      <c r="N98" s="7" t="s">
        <v>29</v>
      </c>
      <c r="O98" s="7" t="s">
        <v>29</v>
      </c>
      <c r="P98" s="7" t="s">
        <v>29</v>
      </c>
      <c r="Q98" s="7" t="s">
        <v>29</v>
      </c>
      <c r="R98" s="7" t="s">
        <v>29</v>
      </c>
      <c r="S98" s="7" t="s">
        <v>29</v>
      </c>
    </row>
    <row r="99" spans="2:19">
      <c r="B99" s="7" t="s">
        <v>195</v>
      </c>
      <c r="C99" s="8" t="s">
        <v>195</v>
      </c>
      <c r="D99" s="6" t="str">
        <f>LRTRIM(CONCATENATE(IF(SUMPRODUCT(-- ISNUMBER(SEARCH({"Auto Number"}, $B99))) &gt; 0, $B99, IF(SUMPRODUCT(-- ISNUMBER(SEARCH({"Lookup","Master-Detail"}, $B99))) &gt; 0,$B99 &amp; "(" &amp; $E99 &amp; ")",IF(SUMPRODUCT(-- ISNUMBER(SEARCH({"Formula","Roll-Up Summary"}, $B99))) &gt; 0,$B99 &amp; " (" &amp; $E99 &amp; ")",IF(SUMPRODUCT(-- ISNUMBER(SEARCH({"Content","Currency","Number","Percent","Text","URL"}, $B99))) &gt; 0,$B99 &amp; "(" &amp; $C99 &amp; ")",$B99)))), "  ", TRIM(IF($S99 = "YES", "(External ID)", "") &amp; " " &amp; IF(SUMPRODUCT(-- ISNUMBER(SEARCH({"Unique","Unique Case Insensitive"}, $R99))) &gt; 0, "(" &amp; $R99 &amp; ")", ""))))</f>
        <v>na</v>
      </c>
      <c r="E99" s="7" t="s">
        <v>195</v>
      </c>
      <c r="F99" s="7" t="s">
        <v>195</v>
      </c>
      <c r="G99" s="7" t="s">
        <v>195</v>
      </c>
      <c r="H99" s="7" t="s">
        <v>195</v>
      </c>
      <c r="I99" s="7" t="s">
        <v>195</v>
      </c>
      <c r="J99" s="7" t="s">
        <v>195</v>
      </c>
      <c r="K99" s="7" t="s">
        <v>195</v>
      </c>
      <c r="L99" s="7" t="s">
        <v>195</v>
      </c>
      <c r="M99" s="7" t="s">
        <v>29</v>
      </c>
      <c r="N99" s="7" t="s">
        <v>29</v>
      </c>
      <c r="O99" s="7" t="s">
        <v>29</v>
      </c>
      <c r="P99" s="7" t="s">
        <v>29</v>
      </c>
      <c r="Q99" s="7" t="s">
        <v>29</v>
      </c>
      <c r="R99" s="7" t="s">
        <v>29</v>
      </c>
      <c r="S99" s="7" t="s">
        <v>29</v>
      </c>
    </row>
    <row r="100" spans="2:19">
      <c r="B100" s="7" t="s">
        <v>195</v>
      </c>
      <c r="C100" s="8" t="s">
        <v>195</v>
      </c>
      <c r="D100" s="6" t="str">
        <f>LRTRIM(CONCATENATE(IF(SUMPRODUCT(-- ISNUMBER(SEARCH({"Auto Number"}, $B100))) &gt; 0, $B100, IF(SUMPRODUCT(-- ISNUMBER(SEARCH({"Lookup","Master-Detail"}, $B100))) &gt; 0,$B100 &amp; "(" &amp; $E100 &amp; ")",IF(SUMPRODUCT(-- ISNUMBER(SEARCH({"Formula","Roll-Up Summary"}, $B100))) &gt; 0,$B100 &amp; " (" &amp; $E100 &amp; ")",IF(SUMPRODUCT(-- ISNUMBER(SEARCH({"Content","Currency","Number","Percent","Text","URL"}, $B100))) &gt; 0,$B100 &amp; "(" &amp; $C100 &amp; ")",$B100)))), "  ", TRIM(IF($S100 = "YES", "(External ID)", "") &amp; " " &amp; IF(SUMPRODUCT(-- ISNUMBER(SEARCH({"Unique","Unique Case Insensitive"}, $R100))) &gt; 0, "(" &amp; $R100 &amp; ")", ""))))</f>
        <v>na</v>
      </c>
      <c r="E100" s="7" t="s">
        <v>195</v>
      </c>
      <c r="F100" s="7" t="s">
        <v>195</v>
      </c>
      <c r="G100" s="7" t="s">
        <v>195</v>
      </c>
      <c r="H100" s="7" t="s">
        <v>195</v>
      </c>
      <c r="I100" s="7" t="s">
        <v>195</v>
      </c>
      <c r="J100" s="7" t="s">
        <v>195</v>
      </c>
      <c r="K100" s="7" t="s">
        <v>195</v>
      </c>
      <c r="L100" s="7" t="s">
        <v>195</v>
      </c>
      <c r="M100" s="7" t="s">
        <v>29</v>
      </c>
      <c r="N100" s="7" t="s">
        <v>29</v>
      </c>
      <c r="O100" s="7" t="s">
        <v>29</v>
      </c>
      <c r="P100" s="7" t="s">
        <v>29</v>
      </c>
      <c r="Q100" s="7" t="s">
        <v>29</v>
      </c>
      <c r="R100" s="7" t="s">
        <v>29</v>
      </c>
      <c r="S100" s="7" t="s">
        <v>29</v>
      </c>
    </row>
    <row r="101" spans="2:19">
      <c r="B101" s="7" t="s">
        <v>195</v>
      </c>
      <c r="C101" s="8" t="s">
        <v>195</v>
      </c>
      <c r="D101" s="6" t="str">
        <f>LRTRIM(CONCATENATE(IF(SUMPRODUCT(-- ISNUMBER(SEARCH({"Auto Number"}, $B101))) &gt; 0, $B101, IF(SUMPRODUCT(-- ISNUMBER(SEARCH({"Lookup","Master-Detail"}, $B101))) &gt; 0,$B101 &amp; "(" &amp; $E101 &amp; ")",IF(SUMPRODUCT(-- ISNUMBER(SEARCH({"Formula","Roll-Up Summary"}, $B101))) &gt; 0,$B101 &amp; " (" &amp; $E101 &amp; ")",IF(SUMPRODUCT(-- ISNUMBER(SEARCH({"Content","Currency","Number","Percent","Text","URL"}, $B101))) &gt; 0,$B101 &amp; "(" &amp; $C101 &amp; ")",$B101)))), "  ", TRIM(IF($S101 = "YES", "(External ID)", "") &amp; " " &amp; IF(SUMPRODUCT(-- ISNUMBER(SEARCH({"Unique","Unique Case Insensitive"}, $R101))) &gt; 0, "(" &amp; $R101 &amp; ")", ""))))</f>
        <v>na</v>
      </c>
      <c r="E101" s="7" t="s">
        <v>195</v>
      </c>
      <c r="F101" s="7" t="s">
        <v>195</v>
      </c>
      <c r="G101" s="7" t="s">
        <v>195</v>
      </c>
      <c r="H101" s="7" t="s">
        <v>195</v>
      </c>
      <c r="I101" s="7" t="s">
        <v>195</v>
      </c>
      <c r="J101" s="7" t="s">
        <v>195</v>
      </c>
      <c r="K101" s="7" t="s">
        <v>195</v>
      </c>
      <c r="L101" s="7" t="s">
        <v>195</v>
      </c>
      <c r="M101" s="7" t="s">
        <v>29</v>
      </c>
      <c r="N101" s="7" t="s">
        <v>29</v>
      </c>
      <c r="O101" s="7" t="s">
        <v>29</v>
      </c>
      <c r="P101" s="7" t="s">
        <v>29</v>
      </c>
      <c r="Q101" s="7" t="s">
        <v>29</v>
      </c>
      <c r="R101" s="7" t="s">
        <v>29</v>
      </c>
      <c r="S101" s="7" t="s">
        <v>29</v>
      </c>
    </row>
    <row r="102" spans="2:19">
      <c r="B102" s="7" t="s">
        <v>195</v>
      </c>
      <c r="C102" s="8" t="s">
        <v>195</v>
      </c>
      <c r="D102" s="6" t="str">
        <f>LRTRIM(CONCATENATE(IF(SUMPRODUCT(-- ISNUMBER(SEARCH({"Auto Number"}, $B102))) &gt; 0, $B102, IF(SUMPRODUCT(-- ISNUMBER(SEARCH({"Lookup","Master-Detail"}, $B102))) &gt; 0,$B102 &amp; "(" &amp; $E102 &amp; ")",IF(SUMPRODUCT(-- ISNUMBER(SEARCH({"Formula","Roll-Up Summary"}, $B102))) &gt; 0,$B102 &amp; " (" &amp; $E102 &amp; ")",IF(SUMPRODUCT(-- ISNUMBER(SEARCH({"Content","Currency","Number","Percent","Text","URL"}, $B102))) &gt; 0,$B102 &amp; "(" &amp; $C102 &amp; ")",$B102)))), "  ", TRIM(IF($S102 = "YES", "(External ID)", "") &amp; " " &amp; IF(SUMPRODUCT(-- ISNUMBER(SEARCH({"Unique","Unique Case Insensitive"}, $R102))) &gt; 0, "(" &amp; $R102 &amp; ")", ""))))</f>
        <v>na</v>
      </c>
      <c r="E102" s="7" t="s">
        <v>195</v>
      </c>
      <c r="F102" s="7" t="s">
        <v>195</v>
      </c>
      <c r="G102" s="7" t="s">
        <v>195</v>
      </c>
      <c r="H102" s="7" t="s">
        <v>195</v>
      </c>
      <c r="I102" s="7" t="s">
        <v>195</v>
      </c>
      <c r="J102" s="7" t="s">
        <v>195</v>
      </c>
      <c r="K102" s="7" t="s">
        <v>195</v>
      </c>
      <c r="L102" s="7" t="s">
        <v>195</v>
      </c>
      <c r="M102" s="7" t="s">
        <v>29</v>
      </c>
      <c r="N102" s="7" t="s">
        <v>29</v>
      </c>
      <c r="O102" s="7" t="s">
        <v>29</v>
      </c>
      <c r="P102" s="7" t="s">
        <v>29</v>
      </c>
      <c r="Q102" s="7" t="s">
        <v>29</v>
      </c>
      <c r="R102" s="7" t="s">
        <v>29</v>
      </c>
      <c r="S102" s="7" t="s">
        <v>29</v>
      </c>
    </row>
    <row r="103" spans="2:19">
      <c r="B103" s="7" t="s">
        <v>195</v>
      </c>
      <c r="C103" s="8" t="s">
        <v>195</v>
      </c>
      <c r="D103" s="6" t="str">
        <f>LRTRIM(CONCATENATE(IF(SUMPRODUCT(-- ISNUMBER(SEARCH({"Auto Number"}, $B103))) &gt; 0, $B103, IF(SUMPRODUCT(-- ISNUMBER(SEARCH({"Lookup","Master-Detail"}, $B103))) &gt; 0,$B103 &amp; "(" &amp; $E103 &amp; ")",IF(SUMPRODUCT(-- ISNUMBER(SEARCH({"Formula","Roll-Up Summary"}, $B103))) &gt; 0,$B103 &amp; " (" &amp; $E103 &amp; ")",IF(SUMPRODUCT(-- ISNUMBER(SEARCH({"Content","Currency","Number","Percent","Text","URL"}, $B103))) &gt; 0,$B103 &amp; "(" &amp; $C103 &amp; ")",$B103)))), "  ", TRIM(IF($S103 = "YES", "(External ID)", "") &amp; " " &amp; IF(SUMPRODUCT(-- ISNUMBER(SEARCH({"Unique","Unique Case Insensitive"}, $R103))) &gt; 0, "(" &amp; $R103 &amp; ")", ""))))</f>
        <v>na</v>
      </c>
      <c r="E103" s="7" t="s">
        <v>195</v>
      </c>
      <c r="F103" s="7" t="s">
        <v>195</v>
      </c>
      <c r="G103" s="7" t="s">
        <v>195</v>
      </c>
      <c r="H103" s="7" t="s">
        <v>195</v>
      </c>
      <c r="I103" s="7" t="s">
        <v>195</v>
      </c>
      <c r="J103" s="7" t="s">
        <v>195</v>
      </c>
      <c r="K103" s="7" t="s">
        <v>195</v>
      </c>
      <c r="L103" s="7" t="s">
        <v>195</v>
      </c>
      <c r="M103" s="7" t="s">
        <v>29</v>
      </c>
      <c r="N103" s="7" t="s">
        <v>29</v>
      </c>
      <c r="O103" s="7" t="s">
        <v>29</v>
      </c>
      <c r="P103" s="7" t="s">
        <v>29</v>
      </c>
      <c r="Q103" s="7" t="s">
        <v>29</v>
      </c>
      <c r="R103" s="7" t="s">
        <v>29</v>
      </c>
      <c r="S103" s="7" t="s">
        <v>29</v>
      </c>
    </row>
    <row r="104" spans="2:19">
      <c r="B104" s="7" t="s">
        <v>195</v>
      </c>
      <c r="C104" s="8" t="s">
        <v>195</v>
      </c>
      <c r="D104" s="6" t="str">
        <f>LRTRIM(CONCATENATE(IF(SUMPRODUCT(-- ISNUMBER(SEARCH({"Auto Number"}, $B104))) &gt; 0, $B104, IF(SUMPRODUCT(-- ISNUMBER(SEARCH({"Lookup","Master-Detail"}, $B104))) &gt; 0,$B104 &amp; "(" &amp; $E104 &amp; ")",IF(SUMPRODUCT(-- ISNUMBER(SEARCH({"Formula","Roll-Up Summary"}, $B104))) &gt; 0,$B104 &amp; " (" &amp; $E104 &amp; ")",IF(SUMPRODUCT(-- ISNUMBER(SEARCH({"Content","Currency","Number","Percent","Text","URL"}, $B104))) &gt; 0,$B104 &amp; "(" &amp; $C104 &amp; ")",$B104)))), "  ", TRIM(IF($S104 = "YES", "(External ID)", "") &amp; " " &amp; IF(SUMPRODUCT(-- ISNUMBER(SEARCH({"Unique","Unique Case Insensitive"}, $R104))) &gt; 0, "(" &amp; $R104 &amp; ")", ""))))</f>
        <v>na</v>
      </c>
      <c r="E104" s="7" t="s">
        <v>195</v>
      </c>
      <c r="F104" s="7" t="s">
        <v>195</v>
      </c>
      <c r="G104" s="7" t="s">
        <v>195</v>
      </c>
      <c r="H104" s="7" t="s">
        <v>195</v>
      </c>
      <c r="I104" s="7" t="s">
        <v>195</v>
      </c>
      <c r="J104" s="7" t="s">
        <v>195</v>
      </c>
      <c r="K104" s="7" t="s">
        <v>195</v>
      </c>
      <c r="L104" s="7" t="s">
        <v>195</v>
      </c>
      <c r="M104" s="7" t="s">
        <v>29</v>
      </c>
      <c r="N104" s="7" t="s">
        <v>29</v>
      </c>
      <c r="O104" s="7" t="s">
        <v>29</v>
      </c>
      <c r="P104" s="7" t="s">
        <v>29</v>
      </c>
      <c r="Q104" s="7" t="s">
        <v>29</v>
      </c>
      <c r="R104" s="7" t="s">
        <v>29</v>
      </c>
      <c r="S104" s="7" t="s">
        <v>29</v>
      </c>
    </row>
    <row r="105" spans="2:19">
      <c r="B105" s="7" t="s">
        <v>195</v>
      </c>
      <c r="C105" s="8" t="s">
        <v>195</v>
      </c>
      <c r="D105" s="6" t="str">
        <f>LRTRIM(CONCATENATE(IF(SUMPRODUCT(-- ISNUMBER(SEARCH({"Auto Number"}, $B105))) &gt; 0, $B105, IF(SUMPRODUCT(-- ISNUMBER(SEARCH({"Lookup","Master-Detail"}, $B105))) &gt; 0,$B105 &amp; "(" &amp; $E105 &amp; ")",IF(SUMPRODUCT(-- ISNUMBER(SEARCH({"Formula","Roll-Up Summary"}, $B105))) &gt; 0,$B105 &amp; " (" &amp; $E105 &amp; ")",IF(SUMPRODUCT(-- ISNUMBER(SEARCH({"Content","Currency","Number","Percent","Text","URL"}, $B105))) &gt; 0,$B105 &amp; "(" &amp; $C105 &amp; ")",$B105)))), "  ", TRIM(IF($S105 = "YES", "(External ID)", "") &amp; " " &amp; IF(SUMPRODUCT(-- ISNUMBER(SEARCH({"Unique","Unique Case Insensitive"}, $R105))) &gt; 0, "(" &amp; $R105 &amp; ")", ""))))</f>
        <v>na</v>
      </c>
      <c r="E105" s="7" t="s">
        <v>195</v>
      </c>
      <c r="F105" s="7" t="s">
        <v>195</v>
      </c>
      <c r="G105" s="7" t="s">
        <v>195</v>
      </c>
      <c r="H105" s="7" t="s">
        <v>195</v>
      </c>
      <c r="I105" s="7" t="s">
        <v>195</v>
      </c>
      <c r="J105" s="7" t="s">
        <v>195</v>
      </c>
      <c r="K105" s="7" t="s">
        <v>195</v>
      </c>
      <c r="L105" s="7" t="s">
        <v>195</v>
      </c>
      <c r="M105" s="7" t="s">
        <v>29</v>
      </c>
      <c r="N105" s="7" t="s">
        <v>29</v>
      </c>
      <c r="O105" s="7" t="s">
        <v>29</v>
      </c>
      <c r="P105" s="7" t="s">
        <v>29</v>
      </c>
      <c r="Q105" s="7" t="s">
        <v>29</v>
      </c>
      <c r="R105" s="7" t="s">
        <v>29</v>
      </c>
      <c r="S105" s="7" t="s">
        <v>29</v>
      </c>
    </row>
    <row r="106" spans="2:19">
      <c r="B106" s="7" t="s">
        <v>195</v>
      </c>
      <c r="C106" s="8" t="s">
        <v>195</v>
      </c>
      <c r="D106" s="6" t="str">
        <f>LRTRIM(CONCATENATE(IF(SUMPRODUCT(-- ISNUMBER(SEARCH({"Auto Number"}, $B106))) &gt; 0, $B106, IF(SUMPRODUCT(-- ISNUMBER(SEARCH({"Lookup","Master-Detail"}, $B106))) &gt; 0,$B106 &amp; "(" &amp; $E106 &amp; ")",IF(SUMPRODUCT(-- ISNUMBER(SEARCH({"Formula","Roll-Up Summary"}, $B106))) &gt; 0,$B106 &amp; " (" &amp; $E106 &amp; ")",IF(SUMPRODUCT(-- ISNUMBER(SEARCH({"Content","Currency","Number","Percent","Text","URL"}, $B106))) &gt; 0,$B106 &amp; "(" &amp; $C106 &amp; ")",$B106)))), "  ", TRIM(IF($S106 = "YES", "(External ID)", "") &amp; " " &amp; IF(SUMPRODUCT(-- ISNUMBER(SEARCH({"Unique","Unique Case Insensitive"}, $R106))) &gt; 0, "(" &amp; $R106 &amp; ")", ""))))</f>
        <v>na</v>
      </c>
      <c r="E106" s="7" t="s">
        <v>195</v>
      </c>
      <c r="F106" s="7" t="s">
        <v>195</v>
      </c>
      <c r="G106" s="7" t="s">
        <v>195</v>
      </c>
      <c r="H106" s="7" t="s">
        <v>195</v>
      </c>
      <c r="I106" s="7" t="s">
        <v>195</v>
      </c>
      <c r="J106" s="7" t="s">
        <v>195</v>
      </c>
      <c r="K106" s="7" t="s">
        <v>195</v>
      </c>
      <c r="L106" s="7" t="s">
        <v>195</v>
      </c>
      <c r="M106" s="7" t="s">
        <v>29</v>
      </c>
      <c r="N106" s="7" t="s">
        <v>29</v>
      </c>
      <c r="O106" s="7" t="s">
        <v>29</v>
      </c>
      <c r="P106" s="7" t="s">
        <v>29</v>
      </c>
      <c r="Q106" s="7" t="s">
        <v>29</v>
      </c>
      <c r="R106" s="7" t="s">
        <v>29</v>
      </c>
      <c r="S106" s="7" t="s">
        <v>29</v>
      </c>
    </row>
    <row r="107" spans="2:19">
      <c r="B107" s="7" t="s">
        <v>195</v>
      </c>
      <c r="C107" s="8" t="s">
        <v>195</v>
      </c>
      <c r="D107" s="6" t="str">
        <f>LRTRIM(CONCATENATE(IF(SUMPRODUCT(-- ISNUMBER(SEARCH({"Auto Number"}, $B107))) &gt; 0, $B107, IF(SUMPRODUCT(-- ISNUMBER(SEARCH({"Lookup","Master-Detail"}, $B107))) &gt; 0,$B107 &amp; "(" &amp; $E107 &amp; ")",IF(SUMPRODUCT(-- ISNUMBER(SEARCH({"Formula","Roll-Up Summary"}, $B107))) &gt; 0,$B107 &amp; " (" &amp; $E107 &amp; ")",IF(SUMPRODUCT(-- ISNUMBER(SEARCH({"Content","Currency","Number","Percent","Text","URL"}, $B107))) &gt; 0,$B107 &amp; "(" &amp; $C107 &amp; ")",$B107)))), "  ", TRIM(IF($S107 = "YES", "(External ID)", "") &amp; " " &amp; IF(SUMPRODUCT(-- ISNUMBER(SEARCH({"Unique","Unique Case Insensitive"}, $R107))) &gt; 0, "(" &amp; $R107 &amp; ")", ""))))</f>
        <v>na</v>
      </c>
      <c r="E107" s="7" t="s">
        <v>195</v>
      </c>
      <c r="F107" s="7" t="s">
        <v>195</v>
      </c>
      <c r="G107" s="7" t="s">
        <v>195</v>
      </c>
      <c r="H107" s="7" t="s">
        <v>195</v>
      </c>
      <c r="I107" s="7" t="s">
        <v>195</v>
      </c>
      <c r="J107" s="7" t="s">
        <v>195</v>
      </c>
      <c r="K107" s="7" t="s">
        <v>195</v>
      </c>
      <c r="L107" s="7" t="s">
        <v>195</v>
      </c>
      <c r="M107" s="7" t="s">
        <v>29</v>
      </c>
      <c r="N107" s="7" t="s">
        <v>29</v>
      </c>
      <c r="O107" s="7" t="s">
        <v>29</v>
      </c>
      <c r="P107" s="7" t="s">
        <v>29</v>
      </c>
      <c r="Q107" s="7" t="s">
        <v>29</v>
      </c>
      <c r="R107" s="7" t="s">
        <v>29</v>
      </c>
      <c r="S107" s="7" t="s">
        <v>29</v>
      </c>
    </row>
    <row r="108" spans="2:19">
      <c r="B108" s="7" t="s">
        <v>195</v>
      </c>
      <c r="C108" s="8" t="s">
        <v>195</v>
      </c>
      <c r="D108" s="6" t="str">
        <f>LRTRIM(CONCATENATE(IF(SUMPRODUCT(-- ISNUMBER(SEARCH({"Auto Number"}, $B108))) &gt; 0, $B108, IF(SUMPRODUCT(-- ISNUMBER(SEARCH({"Lookup","Master-Detail"}, $B108))) &gt; 0,$B108 &amp; "(" &amp; $E108 &amp; ")",IF(SUMPRODUCT(-- ISNUMBER(SEARCH({"Formula","Roll-Up Summary"}, $B108))) &gt; 0,$B108 &amp; " (" &amp; $E108 &amp; ")",IF(SUMPRODUCT(-- ISNUMBER(SEARCH({"Content","Currency","Number","Percent","Text","URL"}, $B108))) &gt; 0,$B108 &amp; "(" &amp; $C108 &amp; ")",$B108)))), "  ", TRIM(IF($S108 = "YES", "(External ID)", "") &amp; " " &amp; IF(SUMPRODUCT(-- ISNUMBER(SEARCH({"Unique","Unique Case Insensitive"}, $R108))) &gt; 0, "(" &amp; $R108 &amp; ")", ""))))</f>
        <v>na</v>
      </c>
      <c r="E108" s="7" t="s">
        <v>195</v>
      </c>
      <c r="F108" s="7" t="s">
        <v>195</v>
      </c>
      <c r="G108" s="7" t="s">
        <v>195</v>
      </c>
      <c r="H108" s="7" t="s">
        <v>195</v>
      </c>
      <c r="I108" s="7" t="s">
        <v>195</v>
      </c>
      <c r="J108" s="7" t="s">
        <v>195</v>
      </c>
      <c r="K108" s="7" t="s">
        <v>195</v>
      </c>
      <c r="L108" s="7" t="s">
        <v>195</v>
      </c>
      <c r="M108" s="7" t="s">
        <v>29</v>
      </c>
      <c r="N108" s="7" t="s">
        <v>29</v>
      </c>
      <c r="O108" s="7" t="s">
        <v>29</v>
      </c>
      <c r="P108" s="7" t="s">
        <v>29</v>
      </c>
      <c r="Q108" s="7" t="s">
        <v>29</v>
      </c>
      <c r="R108" s="7" t="s">
        <v>29</v>
      </c>
      <c r="S108" s="7" t="s">
        <v>29</v>
      </c>
    </row>
    <row r="109" spans="2:19">
      <c r="B109" s="7" t="s">
        <v>195</v>
      </c>
      <c r="C109" s="8" t="s">
        <v>195</v>
      </c>
      <c r="D109" s="6" t="str">
        <f>LRTRIM(CONCATENATE(IF(SUMPRODUCT(-- ISNUMBER(SEARCH({"Auto Number"}, $B109))) &gt; 0, $B109, IF(SUMPRODUCT(-- ISNUMBER(SEARCH({"Lookup","Master-Detail"}, $B109))) &gt; 0,$B109 &amp; "(" &amp; $E109 &amp; ")",IF(SUMPRODUCT(-- ISNUMBER(SEARCH({"Formula","Roll-Up Summary"}, $B109))) &gt; 0,$B109 &amp; " (" &amp; $E109 &amp; ")",IF(SUMPRODUCT(-- ISNUMBER(SEARCH({"Content","Currency","Number","Percent","Text","URL"}, $B109))) &gt; 0,$B109 &amp; "(" &amp; $C109 &amp; ")",$B109)))), "  ", TRIM(IF($S109 = "YES", "(External ID)", "") &amp; " " &amp; IF(SUMPRODUCT(-- ISNUMBER(SEARCH({"Unique","Unique Case Insensitive"}, $R109))) &gt; 0, "(" &amp; $R109 &amp; ")", ""))))</f>
        <v>na</v>
      </c>
      <c r="E109" s="7" t="s">
        <v>195</v>
      </c>
      <c r="F109" s="7" t="s">
        <v>195</v>
      </c>
      <c r="G109" s="7" t="s">
        <v>195</v>
      </c>
      <c r="H109" s="7" t="s">
        <v>195</v>
      </c>
      <c r="I109" s="7" t="s">
        <v>195</v>
      </c>
      <c r="J109" s="7" t="s">
        <v>195</v>
      </c>
      <c r="K109" s="7" t="s">
        <v>195</v>
      </c>
      <c r="L109" s="7" t="s">
        <v>195</v>
      </c>
      <c r="M109" s="7" t="s">
        <v>29</v>
      </c>
      <c r="N109" s="7" t="s">
        <v>29</v>
      </c>
      <c r="O109" s="7" t="s">
        <v>29</v>
      </c>
      <c r="P109" s="7" t="s">
        <v>29</v>
      </c>
      <c r="Q109" s="7" t="s">
        <v>29</v>
      </c>
      <c r="R109" s="7" t="s">
        <v>29</v>
      </c>
      <c r="S109" s="7" t="s">
        <v>29</v>
      </c>
    </row>
    <row r="110" spans="2:19">
      <c r="B110" s="7" t="s">
        <v>195</v>
      </c>
      <c r="C110" s="8" t="s">
        <v>195</v>
      </c>
      <c r="D110" s="6" t="str">
        <f>LRTRIM(CONCATENATE(IF(SUMPRODUCT(-- ISNUMBER(SEARCH({"Auto Number"}, $B110))) &gt; 0, $B110, IF(SUMPRODUCT(-- ISNUMBER(SEARCH({"Lookup","Master-Detail"}, $B110))) &gt; 0,$B110 &amp; "(" &amp; $E110 &amp; ")",IF(SUMPRODUCT(-- ISNUMBER(SEARCH({"Formula","Roll-Up Summary"}, $B110))) &gt; 0,$B110 &amp; " (" &amp; $E110 &amp; ")",IF(SUMPRODUCT(-- ISNUMBER(SEARCH({"Content","Currency","Number","Percent","Text","URL"}, $B110))) &gt; 0,$B110 &amp; "(" &amp; $C110 &amp; ")",$B110)))), "  ", TRIM(IF($S110 = "YES", "(External ID)", "") &amp; " " &amp; IF(SUMPRODUCT(-- ISNUMBER(SEARCH({"Unique","Unique Case Insensitive"}, $R110))) &gt; 0, "(" &amp; $R110 &amp; ")", ""))))</f>
        <v>na</v>
      </c>
      <c r="E110" s="7" t="s">
        <v>195</v>
      </c>
      <c r="F110" s="7" t="s">
        <v>195</v>
      </c>
      <c r="G110" s="7" t="s">
        <v>195</v>
      </c>
      <c r="H110" s="7" t="s">
        <v>195</v>
      </c>
      <c r="I110" s="7" t="s">
        <v>195</v>
      </c>
      <c r="J110" s="7" t="s">
        <v>195</v>
      </c>
      <c r="K110" s="7" t="s">
        <v>195</v>
      </c>
      <c r="L110" s="7" t="s">
        <v>195</v>
      </c>
      <c r="M110" s="7" t="s">
        <v>29</v>
      </c>
      <c r="N110" s="7" t="s">
        <v>29</v>
      </c>
      <c r="O110" s="7" t="s">
        <v>29</v>
      </c>
      <c r="P110" s="7" t="s">
        <v>29</v>
      </c>
      <c r="Q110" s="7" t="s">
        <v>29</v>
      </c>
      <c r="R110" s="7" t="s">
        <v>29</v>
      </c>
      <c r="S110" s="7" t="s">
        <v>29</v>
      </c>
    </row>
    <row r="111" spans="2:19">
      <c r="B111" s="7" t="s">
        <v>195</v>
      </c>
      <c r="C111" s="8" t="s">
        <v>195</v>
      </c>
      <c r="D111" s="6" t="str">
        <f>LRTRIM(CONCATENATE(IF(SUMPRODUCT(-- ISNUMBER(SEARCH({"Auto Number"}, $B111))) &gt; 0, $B111, IF(SUMPRODUCT(-- ISNUMBER(SEARCH({"Lookup","Master-Detail"}, $B111))) &gt; 0,$B111 &amp; "(" &amp; $E111 &amp; ")",IF(SUMPRODUCT(-- ISNUMBER(SEARCH({"Formula","Roll-Up Summary"}, $B111))) &gt; 0,$B111 &amp; " (" &amp; $E111 &amp; ")",IF(SUMPRODUCT(-- ISNUMBER(SEARCH({"Content","Currency","Number","Percent","Text","URL"}, $B111))) &gt; 0,$B111 &amp; "(" &amp; $C111 &amp; ")",$B111)))), "  ", TRIM(IF($S111 = "YES", "(External ID)", "") &amp; " " &amp; IF(SUMPRODUCT(-- ISNUMBER(SEARCH({"Unique","Unique Case Insensitive"}, $R111))) &gt; 0, "(" &amp; $R111 &amp; ")", ""))))</f>
        <v>na</v>
      </c>
      <c r="E111" s="7" t="s">
        <v>195</v>
      </c>
      <c r="F111" s="7" t="s">
        <v>195</v>
      </c>
      <c r="G111" s="7" t="s">
        <v>195</v>
      </c>
      <c r="H111" s="7" t="s">
        <v>195</v>
      </c>
      <c r="I111" s="7" t="s">
        <v>195</v>
      </c>
      <c r="J111" s="7" t="s">
        <v>195</v>
      </c>
      <c r="K111" s="7" t="s">
        <v>195</v>
      </c>
      <c r="L111" s="7" t="s">
        <v>195</v>
      </c>
      <c r="M111" s="7" t="s">
        <v>29</v>
      </c>
      <c r="N111" s="7" t="s">
        <v>29</v>
      </c>
      <c r="O111" s="7" t="s">
        <v>29</v>
      </c>
      <c r="P111" s="7" t="s">
        <v>29</v>
      </c>
      <c r="Q111" s="7" t="s">
        <v>29</v>
      </c>
      <c r="R111" s="7" t="s">
        <v>29</v>
      </c>
      <c r="S111" s="7" t="s">
        <v>29</v>
      </c>
    </row>
    <row r="112" spans="2:19">
      <c r="B112" s="7" t="s">
        <v>195</v>
      </c>
      <c r="C112" s="8" t="s">
        <v>195</v>
      </c>
      <c r="D112" s="6" t="str">
        <f>LRTRIM(CONCATENATE(IF(SUMPRODUCT(-- ISNUMBER(SEARCH({"Auto Number"}, $B112))) &gt; 0, $B112, IF(SUMPRODUCT(-- ISNUMBER(SEARCH({"Lookup","Master-Detail"}, $B112))) &gt; 0,$B112 &amp; "(" &amp; $E112 &amp; ")",IF(SUMPRODUCT(-- ISNUMBER(SEARCH({"Formula","Roll-Up Summary"}, $B112))) &gt; 0,$B112 &amp; " (" &amp; $E112 &amp; ")",IF(SUMPRODUCT(-- ISNUMBER(SEARCH({"Content","Currency","Number","Percent","Text","URL"}, $B112))) &gt; 0,$B112 &amp; "(" &amp; $C112 &amp; ")",$B112)))), "  ", TRIM(IF($S112 = "YES", "(External ID)", "") &amp; " " &amp; IF(SUMPRODUCT(-- ISNUMBER(SEARCH({"Unique","Unique Case Insensitive"}, $R112))) &gt; 0, "(" &amp; $R112 &amp; ")", ""))))</f>
        <v>na</v>
      </c>
      <c r="E112" s="7" t="s">
        <v>195</v>
      </c>
      <c r="F112" s="7" t="s">
        <v>195</v>
      </c>
      <c r="G112" s="7" t="s">
        <v>195</v>
      </c>
      <c r="H112" s="7" t="s">
        <v>195</v>
      </c>
      <c r="I112" s="7" t="s">
        <v>195</v>
      </c>
      <c r="J112" s="7" t="s">
        <v>195</v>
      </c>
      <c r="K112" s="7" t="s">
        <v>195</v>
      </c>
      <c r="L112" s="7" t="s">
        <v>195</v>
      </c>
      <c r="M112" s="7" t="s">
        <v>29</v>
      </c>
      <c r="N112" s="7" t="s">
        <v>29</v>
      </c>
      <c r="O112" s="7" t="s">
        <v>29</v>
      </c>
      <c r="P112" s="7" t="s">
        <v>29</v>
      </c>
      <c r="Q112" s="7" t="s">
        <v>29</v>
      </c>
      <c r="R112" s="7" t="s">
        <v>29</v>
      </c>
      <c r="S112" s="7" t="s">
        <v>29</v>
      </c>
    </row>
    <row r="113" spans="2:19">
      <c r="B113" s="7" t="s">
        <v>195</v>
      </c>
      <c r="C113" s="8" t="s">
        <v>195</v>
      </c>
      <c r="D113" s="6" t="str">
        <f>LRTRIM(CONCATENATE(IF(SUMPRODUCT(-- ISNUMBER(SEARCH({"Auto Number"}, $B113))) &gt; 0, $B113, IF(SUMPRODUCT(-- ISNUMBER(SEARCH({"Lookup","Master-Detail"}, $B113))) &gt; 0,$B113 &amp; "(" &amp; $E113 &amp; ")",IF(SUMPRODUCT(-- ISNUMBER(SEARCH({"Formula","Roll-Up Summary"}, $B113))) &gt; 0,$B113 &amp; " (" &amp; $E113 &amp; ")",IF(SUMPRODUCT(-- ISNUMBER(SEARCH({"Content","Currency","Number","Percent","Text","URL"}, $B113))) &gt; 0,$B113 &amp; "(" &amp; $C113 &amp; ")",$B113)))), "  ", TRIM(IF($S113 = "YES", "(External ID)", "") &amp; " " &amp; IF(SUMPRODUCT(-- ISNUMBER(SEARCH({"Unique","Unique Case Insensitive"}, $R113))) &gt; 0, "(" &amp; $R113 &amp; ")", ""))))</f>
        <v>na</v>
      </c>
      <c r="E113" s="7" t="s">
        <v>195</v>
      </c>
      <c r="F113" s="7" t="s">
        <v>195</v>
      </c>
      <c r="G113" s="7" t="s">
        <v>195</v>
      </c>
      <c r="H113" s="7" t="s">
        <v>195</v>
      </c>
      <c r="I113" s="7" t="s">
        <v>195</v>
      </c>
      <c r="J113" s="7" t="s">
        <v>195</v>
      </c>
      <c r="K113" s="7" t="s">
        <v>195</v>
      </c>
      <c r="L113" s="7" t="s">
        <v>195</v>
      </c>
      <c r="M113" s="7" t="s">
        <v>29</v>
      </c>
      <c r="N113" s="7" t="s">
        <v>29</v>
      </c>
      <c r="O113" s="7" t="s">
        <v>29</v>
      </c>
      <c r="P113" s="7" t="s">
        <v>29</v>
      </c>
      <c r="Q113" s="7" t="s">
        <v>29</v>
      </c>
      <c r="R113" s="7" t="s">
        <v>29</v>
      </c>
      <c r="S113" s="7" t="s">
        <v>29</v>
      </c>
    </row>
    <row r="114" spans="2:19">
      <c r="B114" s="7" t="s">
        <v>195</v>
      </c>
      <c r="C114" s="8" t="s">
        <v>195</v>
      </c>
      <c r="D114" s="6" t="str">
        <f>LRTRIM(CONCATENATE(IF(SUMPRODUCT(-- ISNUMBER(SEARCH({"Auto Number"}, $B114))) &gt; 0, $B114, IF(SUMPRODUCT(-- ISNUMBER(SEARCH({"Lookup","Master-Detail"}, $B114))) &gt; 0,$B114 &amp; "(" &amp; $E114 &amp; ")",IF(SUMPRODUCT(-- ISNUMBER(SEARCH({"Formula","Roll-Up Summary"}, $B114))) &gt; 0,$B114 &amp; " (" &amp; $E114 &amp; ")",IF(SUMPRODUCT(-- ISNUMBER(SEARCH({"Content","Currency","Number","Percent","Text","URL"}, $B114))) &gt; 0,$B114 &amp; "(" &amp; $C114 &amp; ")",$B114)))), "  ", TRIM(IF($S114 = "YES", "(External ID)", "") &amp; " " &amp; IF(SUMPRODUCT(-- ISNUMBER(SEARCH({"Unique","Unique Case Insensitive"}, $R114))) &gt; 0, "(" &amp; $R114 &amp; ")", ""))))</f>
        <v>na</v>
      </c>
      <c r="E114" s="7" t="s">
        <v>195</v>
      </c>
      <c r="F114" s="7" t="s">
        <v>195</v>
      </c>
      <c r="G114" s="7" t="s">
        <v>195</v>
      </c>
      <c r="H114" s="7" t="s">
        <v>195</v>
      </c>
      <c r="I114" s="7" t="s">
        <v>195</v>
      </c>
      <c r="J114" s="7" t="s">
        <v>195</v>
      </c>
      <c r="K114" s="7" t="s">
        <v>195</v>
      </c>
      <c r="L114" s="7" t="s">
        <v>195</v>
      </c>
      <c r="M114" s="7" t="s">
        <v>29</v>
      </c>
      <c r="N114" s="7" t="s">
        <v>29</v>
      </c>
      <c r="O114" s="7" t="s">
        <v>29</v>
      </c>
      <c r="P114" s="7" t="s">
        <v>29</v>
      </c>
      <c r="Q114" s="7" t="s">
        <v>29</v>
      </c>
      <c r="R114" s="7" t="s">
        <v>29</v>
      </c>
      <c r="S114" s="7" t="s">
        <v>29</v>
      </c>
    </row>
    <row r="115" spans="2:19">
      <c r="B115" s="7" t="s">
        <v>195</v>
      </c>
      <c r="C115" s="8" t="s">
        <v>195</v>
      </c>
      <c r="D115" s="6" t="str">
        <f>LRTRIM(CONCATENATE(IF(SUMPRODUCT(-- ISNUMBER(SEARCH({"Auto Number"}, $B115))) &gt; 0, $B115, IF(SUMPRODUCT(-- ISNUMBER(SEARCH({"Lookup","Master-Detail"}, $B115))) &gt; 0,$B115 &amp; "(" &amp; $E115 &amp; ")",IF(SUMPRODUCT(-- ISNUMBER(SEARCH({"Formula","Roll-Up Summary"}, $B115))) &gt; 0,$B115 &amp; " (" &amp; $E115 &amp; ")",IF(SUMPRODUCT(-- ISNUMBER(SEARCH({"Content","Currency","Number","Percent","Text","URL"}, $B115))) &gt; 0,$B115 &amp; "(" &amp; $C115 &amp; ")",$B115)))), "  ", TRIM(IF($S115 = "YES", "(External ID)", "") &amp; " " &amp; IF(SUMPRODUCT(-- ISNUMBER(SEARCH({"Unique","Unique Case Insensitive"}, $R115))) &gt; 0, "(" &amp; $R115 &amp; ")", ""))))</f>
        <v>na</v>
      </c>
      <c r="E115" s="7" t="s">
        <v>195</v>
      </c>
      <c r="F115" s="7" t="s">
        <v>195</v>
      </c>
      <c r="G115" s="7" t="s">
        <v>195</v>
      </c>
      <c r="H115" s="7" t="s">
        <v>195</v>
      </c>
      <c r="I115" s="7" t="s">
        <v>195</v>
      </c>
      <c r="J115" s="7" t="s">
        <v>195</v>
      </c>
      <c r="K115" s="7" t="s">
        <v>195</v>
      </c>
      <c r="L115" s="7" t="s">
        <v>195</v>
      </c>
      <c r="M115" s="7" t="s">
        <v>29</v>
      </c>
      <c r="N115" s="7" t="s">
        <v>29</v>
      </c>
      <c r="O115" s="7" t="s">
        <v>29</v>
      </c>
      <c r="P115" s="7" t="s">
        <v>29</v>
      </c>
      <c r="Q115" s="7" t="s">
        <v>29</v>
      </c>
      <c r="R115" s="7" t="s">
        <v>29</v>
      </c>
      <c r="S115" s="7" t="s">
        <v>29</v>
      </c>
    </row>
    <row r="116" spans="2:19">
      <c r="B116" s="7" t="s">
        <v>195</v>
      </c>
      <c r="C116" s="8" t="s">
        <v>195</v>
      </c>
      <c r="D116" s="6" t="str">
        <f>LRTRIM(CONCATENATE(IF(SUMPRODUCT(-- ISNUMBER(SEARCH({"Auto Number"}, $B116))) &gt; 0, $B116, IF(SUMPRODUCT(-- ISNUMBER(SEARCH({"Lookup","Master-Detail"}, $B116))) &gt; 0,$B116 &amp; "(" &amp; $E116 &amp; ")",IF(SUMPRODUCT(-- ISNUMBER(SEARCH({"Formula","Roll-Up Summary"}, $B116))) &gt; 0,$B116 &amp; " (" &amp; $E116 &amp; ")",IF(SUMPRODUCT(-- ISNUMBER(SEARCH({"Content","Currency","Number","Percent","Text","URL"}, $B116))) &gt; 0,$B116 &amp; "(" &amp; $C116 &amp; ")",$B116)))), "  ", TRIM(IF($S116 = "YES", "(External ID)", "") &amp; " " &amp; IF(SUMPRODUCT(-- ISNUMBER(SEARCH({"Unique","Unique Case Insensitive"}, $R116))) &gt; 0, "(" &amp; $R116 &amp; ")", ""))))</f>
        <v>na</v>
      </c>
      <c r="E116" s="7" t="s">
        <v>195</v>
      </c>
      <c r="F116" s="7" t="s">
        <v>195</v>
      </c>
      <c r="G116" s="7" t="s">
        <v>195</v>
      </c>
      <c r="H116" s="7" t="s">
        <v>195</v>
      </c>
      <c r="I116" s="7" t="s">
        <v>195</v>
      </c>
      <c r="J116" s="7" t="s">
        <v>195</v>
      </c>
      <c r="K116" s="7" t="s">
        <v>195</v>
      </c>
      <c r="L116" s="7" t="s">
        <v>195</v>
      </c>
      <c r="M116" s="7" t="s">
        <v>29</v>
      </c>
      <c r="N116" s="7" t="s">
        <v>29</v>
      </c>
      <c r="O116" s="7" t="s">
        <v>29</v>
      </c>
      <c r="P116" s="7" t="s">
        <v>29</v>
      </c>
      <c r="Q116" s="7" t="s">
        <v>29</v>
      </c>
      <c r="R116" s="7" t="s">
        <v>29</v>
      </c>
      <c r="S116" s="7" t="s">
        <v>29</v>
      </c>
    </row>
    <row r="117" spans="2:19">
      <c r="B117" s="7" t="s">
        <v>195</v>
      </c>
      <c r="C117" s="8" t="s">
        <v>195</v>
      </c>
      <c r="D117" s="6" t="str">
        <f>LRTRIM(CONCATENATE(IF(SUMPRODUCT(-- ISNUMBER(SEARCH({"Auto Number"}, $B117))) &gt; 0, $B117, IF(SUMPRODUCT(-- ISNUMBER(SEARCH({"Lookup","Master-Detail"}, $B117))) &gt; 0,$B117 &amp; "(" &amp; $E117 &amp; ")",IF(SUMPRODUCT(-- ISNUMBER(SEARCH({"Formula","Roll-Up Summary"}, $B117))) &gt; 0,$B117 &amp; " (" &amp; $E117 &amp; ")",IF(SUMPRODUCT(-- ISNUMBER(SEARCH({"Content","Currency","Number","Percent","Text","URL"}, $B117))) &gt; 0,$B117 &amp; "(" &amp; $C117 &amp; ")",$B117)))), "  ", TRIM(IF($S117 = "YES", "(External ID)", "") &amp; " " &amp; IF(SUMPRODUCT(-- ISNUMBER(SEARCH({"Unique","Unique Case Insensitive"}, $R117))) &gt; 0, "(" &amp; $R117 &amp; ")", ""))))</f>
        <v>na</v>
      </c>
      <c r="E117" s="7" t="s">
        <v>195</v>
      </c>
      <c r="F117" s="7" t="s">
        <v>195</v>
      </c>
      <c r="G117" s="7" t="s">
        <v>195</v>
      </c>
      <c r="H117" s="7" t="s">
        <v>195</v>
      </c>
      <c r="I117" s="7" t="s">
        <v>195</v>
      </c>
      <c r="J117" s="7" t="s">
        <v>195</v>
      </c>
      <c r="K117" s="7" t="s">
        <v>195</v>
      </c>
      <c r="L117" s="7" t="s">
        <v>195</v>
      </c>
      <c r="M117" s="7" t="s">
        <v>29</v>
      </c>
      <c r="N117" s="7" t="s">
        <v>29</v>
      </c>
      <c r="O117" s="7" t="s">
        <v>29</v>
      </c>
      <c r="P117" s="7" t="s">
        <v>29</v>
      </c>
      <c r="Q117" s="7" t="s">
        <v>29</v>
      </c>
      <c r="R117" s="7" t="s">
        <v>29</v>
      </c>
      <c r="S117" s="7" t="s">
        <v>29</v>
      </c>
    </row>
    <row r="118" spans="2:19">
      <c r="B118" s="7" t="s">
        <v>195</v>
      </c>
      <c r="C118" s="8" t="s">
        <v>195</v>
      </c>
      <c r="D118" s="6" t="str">
        <f>LRTRIM(CONCATENATE(IF(SUMPRODUCT(-- ISNUMBER(SEARCH({"Auto Number"}, $B118))) &gt; 0, $B118, IF(SUMPRODUCT(-- ISNUMBER(SEARCH({"Lookup","Master-Detail"}, $B118))) &gt; 0,$B118 &amp; "(" &amp; $E118 &amp; ")",IF(SUMPRODUCT(-- ISNUMBER(SEARCH({"Formula","Roll-Up Summary"}, $B118))) &gt; 0,$B118 &amp; " (" &amp; $E118 &amp; ")",IF(SUMPRODUCT(-- ISNUMBER(SEARCH({"Content","Currency","Number","Percent","Text","URL"}, $B118))) &gt; 0,$B118 &amp; "(" &amp; $C118 &amp; ")",$B118)))), "  ", TRIM(IF($S118 = "YES", "(External ID)", "") &amp; " " &amp; IF(SUMPRODUCT(-- ISNUMBER(SEARCH({"Unique","Unique Case Insensitive"}, $R118))) &gt; 0, "(" &amp; $R118 &amp; ")", ""))))</f>
        <v>na</v>
      </c>
      <c r="E118" s="7" t="s">
        <v>195</v>
      </c>
      <c r="F118" s="7" t="s">
        <v>195</v>
      </c>
      <c r="G118" s="7" t="s">
        <v>195</v>
      </c>
      <c r="H118" s="7" t="s">
        <v>195</v>
      </c>
      <c r="I118" s="7" t="s">
        <v>195</v>
      </c>
      <c r="J118" s="7" t="s">
        <v>195</v>
      </c>
      <c r="K118" s="7" t="s">
        <v>195</v>
      </c>
      <c r="L118" s="7" t="s">
        <v>195</v>
      </c>
      <c r="M118" s="7" t="s">
        <v>29</v>
      </c>
      <c r="N118" s="7" t="s">
        <v>29</v>
      </c>
      <c r="O118" s="7" t="s">
        <v>29</v>
      </c>
      <c r="P118" s="7" t="s">
        <v>29</v>
      </c>
      <c r="Q118" s="7" t="s">
        <v>29</v>
      </c>
      <c r="R118" s="7" t="s">
        <v>29</v>
      </c>
      <c r="S118" s="7" t="s">
        <v>29</v>
      </c>
    </row>
    <row r="119" spans="2:19">
      <c r="B119" s="7" t="s">
        <v>195</v>
      </c>
      <c r="C119" s="8" t="s">
        <v>195</v>
      </c>
      <c r="D119" s="6" t="str">
        <f>LRTRIM(CONCATENATE(IF(SUMPRODUCT(-- ISNUMBER(SEARCH({"Auto Number"}, $B119))) &gt; 0, $B119, IF(SUMPRODUCT(-- ISNUMBER(SEARCH({"Lookup","Master-Detail"}, $B119))) &gt; 0,$B119 &amp; "(" &amp; $E119 &amp; ")",IF(SUMPRODUCT(-- ISNUMBER(SEARCH({"Formula","Roll-Up Summary"}, $B119))) &gt; 0,$B119 &amp; " (" &amp; $E119 &amp; ")",IF(SUMPRODUCT(-- ISNUMBER(SEARCH({"Content","Currency","Number","Percent","Text","URL"}, $B119))) &gt; 0,$B119 &amp; "(" &amp; $C119 &amp; ")",$B119)))), "  ", TRIM(IF($S119 = "YES", "(External ID)", "") &amp; " " &amp; IF(SUMPRODUCT(-- ISNUMBER(SEARCH({"Unique","Unique Case Insensitive"}, $R119))) &gt; 0, "(" &amp; $R119 &amp; ")", ""))))</f>
        <v>na</v>
      </c>
      <c r="E119" s="7" t="s">
        <v>195</v>
      </c>
      <c r="F119" s="7" t="s">
        <v>195</v>
      </c>
      <c r="G119" s="7" t="s">
        <v>195</v>
      </c>
      <c r="H119" s="7" t="s">
        <v>195</v>
      </c>
      <c r="I119" s="7" t="s">
        <v>195</v>
      </c>
      <c r="J119" s="7" t="s">
        <v>195</v>
      </c>
      <c r="K119" s="7" t="s">
        <v>195</v>
      </c>
      <c r="L119" s="7" t="s">
        <v>195</v>
      </c>
      <c r="M119" s="7" t="s">
        <v>29</v>
      </c>
      <c r="N119" s="7" t="s">
        <v>29</v>
      </c>
      <c r="O119" s="7" t="s">
        <v>29</v>
      </c>
      <c r="P119" s="7" t="s">
        <v>29</v>
      </c>
      <c r="Q119" s="7" t="s">
        <v>29</v>
      </c>
      <c r="R119" s="7" t="s">
        <v>29</v>
      </c>
      <c r="S119" s="7" t="s">
        <v>29</v>
      </c>
    </row>
    <row r="120" spans="2:19">
      <c r="B120" s="7" t="s">
        <v>195</v>
      </c>
      <c r="C120" s="8" t="s">
        <v>195</v>
      </c>
      <c r="D120" s="6" t="str">
        <f>LRTRIM(CONCATENATE(IF(SUMPRODUCT(-- ISNUMBER(SEARCH({"Auto Number"}, $B120))) &gt; 0, $B120, IF(SUMPRODUCT(-- ISNUMBER(SEARCH({"Lookup","Master-Detail"}, $B120))) &gt; 0,$B120 &amp; "(" &amp; $E120 &amp; ")",IF(SUMPRODUCT(-- ISNUMBER(SEARCH({"Formula","Roll-Up Summary"}, $B120))) &gt; 0,$B120 &amp; " (" &amp; $E120 &amp; ")",IF(SUMPRODUCT(-- ISNUMBER(SEARCH({"Content","Currency","Number","Percent","Text","URL"}, $B120))) &gt; 0,$B120 &amp; "(" &amp; $C120 &amp; ")",$B120)))), "  ", TRIM(IF($S120 = "YES", "(External ID)", "") &amp; " " &amp; IF(SUMPRODUCT(-- ISNUMBER(SEARCH({"Unique","Unique Case Insensitive"}, $R120))) &gt; 0, "(" &amp; $R120 &amp; ")", ""))))</f>
        <v>na</v>
      </c>
      <c r="E120" s="7" t="s">
        <v>195</v>
      </c>
      <c r="F120" s="7" t="s">
        <v>195</v>
      </c>
      <c r="G120" s="7" t="s">
        <v>195</v>
      </c>
      <c r="H120" s="7" t="s">
        <v>195</v>
      </c>
      <c r="I120" s="7" t="s">
        <v>195</v>
      </c>
      <c r="J120" s="7" t="s">
        <v>195</v>
      </c>
      <c r="K120" s="7" t="s">
        <v>195</v>
      </c>
      <c r="L120" s="7" t="s">
        <v>195</v>
      </c>
      <c r="M120" s="7" t="s">
        <v>29</v>
      </c>
      <c r="N120" s="7" t="s">
        <v>29</v>
      </c>
      <c r="O120" s="7" t="s">
        <v>29</v>
      </c>
      <c r="P120" s="7" t="s">
        <v>29</v>
      </c>
      <c r="Q120" s="7" t="s">
        <v>29</v>
      </c>
      <c r="R120" s="7" t="s">
        <v>29</v>
      </c>
      <c r="S120" s="7" t="s">
        <v>29</v>
      </c>
    </row>
    <row r="121" spans="2:19">
      <c r="B121" s="7" t="s">
        <v>195</v>
      </c>
      <c r="C121" s="8" t="s">
        <v>195</v>
      </c>
      <c r="D121" s="6" t="str">
        <f>LRTRIM(CONCATENATE(IF(SUMPRODUCT(-- ISNUMBER(SEARCH({"Auto Number"}, $B121))) &gt; 0, $B121, IF(SUMPRODUCT(-- ISNUMBER(SEARCH({"Lookup","Master-Detail"}, $B121))) &gt; 0,$B121 &amp; "(" &amp; $E121 &amp; ")",IF(SUMPRODUCT(-- ISNUMBER(SEARCH({"Formula","Roll-Up Summary"}, $B121))) &gt; 0,$B121 &amp; " (" &amp; $E121 &amp; ")",IF(SUMPRODUCT(-- ISNUMBER(SEARCH({"Content","Currency","Number","Percent","Text","URL"}, $B121))) &gt; 0,$B121 &amp; "(" &amp; $C121 &amp; ")",$B121)))), "  ", TRIM(IF($S121 = "YES", "(External ID)", "") &amp; " " &amp; IF(SUMPRODUCT(-- ISNUMBER(SEARCH({"Unique","Unique Case Insensitive"}, $R121))) &gt; 0, "(" &amp; $R121 &amp; ")", ""))))</f>
        <v>na</v>
      </c>
      <c r="E121" s="7" t="s">
        <v>195</v>
      </c>
      <c r="F121" s="7" t="s">
        <v>195</v>
      </c>
      <c r="G121" s="7" t="s">
        <v>195</v>
      </c>
      <c r="H121" s="7" t="s">
        <v>195</v>
      </c>
      <c r="I121" s="7" t="s">
        <v>195</v>
      </c>
      <c r="J121" s="7" t="s">
        <v>195</v>
      </c>
      <c r="K121" s="7" t="s">
        <v>195</v>
      </c>
      <c r="L121" s="7" t="s">
        <v>195</v>
      </c>
      <c r="M121" s="7" t="s">
        <v>29</v>
      </c>
      <c r="N121" s="7" t="s">
        <v>29</v>
      </c>
      <c r="O121" s="7" t="s">
        <v>29</v>
      </c>
      <c r="P121" s="7" t="s">
        <v>29</v>
      </c>
      <c r="Q121" s="7" t="s">
        <v>29</v>
      </c>
      <c r="R121" s="7" t="s">
        <v>29</v>
      </c>
      <c r="S121" s="7" t="s">
        <v>29</v>
      </c>
    </row>
    <row r="122" spans="2:19">
      <c r="B122" s="7" t="s">
        <v>195</v>
      </c>
      <c r="C122" s="8" t="s">
        <v>195</v>
      </c>
      <c r="D122" s="6" t="str">
        <f>LRTRIM(CONCATENATE(IF(SUMPRODUCT(-- ISNUMBER(SEARCH({"Auto Number"}, $B122))) &gt; 0, $B122, IF(SUMPRODUCT(-- ISNUMBER(SEARCH({"Lookup","Master-Detail"}, $B122))) &gt; 0,$B122 &amp; "(" &amp; $E122 &amp; ")",IF(SUMPRODUCT(-- ISNUMBER(SEARCH({"Formula","Roll-Up Summary"}, $B122))) &gt; 0,$B122 &amp; " (" &amp; $E122 &amp; ")",IF(SUMPRODUCT(-- ISNUMBER(SEARCH({"Content","Currency","Number","Percent","Text","URL"}, $B122))) &gt; 0,$B122 &amp; "(" &amp; $C122 &amp; ")",$B122)))), "  ", TRIM(IF($S122 = "YES", "(External ID)", "") &amp; " " &amp; IF(SUMPRODUCT(-- ISNUMBER(SEARCH({"Unique","Unique Case Insensitive"}, $R122))) &gt; 0, "(" &amp; $R122 &amp; ")", ""))))</f>
        <v>na</v>
      </c>
      <c r="E122" s="7" t="s">
        <v>195</v>
      </c>
      <c r="F122" s="7" t="s">
        <v>195</v>
      </c>
      <c r="G122" s="7" t="s">
        <v>195</v>
      </c>
      <c r="H122" s="7" t="s">
        <v>195</v>
      </c>
      <c r="I122" s="7" t="s">
        <v>195</v>
      </c>
      <c r="J122" s="7" t="s">
        <v>195</v>
      </c>
      <c r="K122" s="7" t="s">
        <v>195</v>
      </c>
      <c r="L122" s="7" t="s">
        <v>195</v>
      </c>
      <c r="M122" s="7" t="s">
        <v>29</v>
      </c>
      <c r="N122" s="7" t="s">
        <v>29</v>
      </c>
      <c r="O122" s="7" t="s">
        <v>29</v>
      </c>
      <c r="P122" s="7" t="s">
        <v>29</v>
      </c>
      <c r="Q122" s="7" t="s">
        <v>29</v>
      </c>
      <c r="R122" s="7" t="s">
        <v>29</v>
      </c>
      <c r="S122" s="7" t="s">
        <v>29</v>
      </c>
    </row>
    <row r="123" spans="2:19">
      <c r="B123" s="7" t="s">
        <v>195</v>
      </c>
      <c r="C123" s="8" t="s">
        <v>195</v>
      </c>
      <c r="D123" s="6" t="str">
        <f>LRTRIM(CONCATENATE(IF(SUMPRODUCT(-- ISNUMBER(SEARCH({"Auto Number"}, $B123))) &gt; 0, $B123, IF(SUMPRODUCT(-- ISNUMBER(SEARCH({"Lookup","Master-Detail"}, $B123))) &gt; 0,$B123 &amp; "(" &amp; $E123 &amp; ")",IF(SUMPRODUCT(-- ISNUMBER(SEARCH({"Formula","Roll-Up Summary"}, $B123))) &gt; 0,$B123 &amp; " (" &amp; $E123 &amp; ")",IF(SUMPRODUCT(-- ISNUMBER(SEARCH({"Content","Currency","Number","Percent","Text","URL"}, $B123))) &gt; 0,$B123 &amp; "(" &amp; $C123 &amp; ")",$B123)))), "  ", TRIM(IF($S123 = "YES", "(External ID)", "") &amp; " " &amp; IF(SUMPRODUCT(-- ISNUMBER(SEARCH({"Unique","Unique Case Insensitive"}, $R123))) &gt; 0, "(" &amp; $R123 &amp; ")", ""))))</f>
        <v>na</v>
      </c>
      <c r="E123" s="7" t="s">
        <v>195</v>
      </c>
      <c r="F123" s="7" t="s">
        <v>195</v>
      </c>
      <c r="G123" s="7" t="s">
        <v>195</v>
      </c>
      <c r="H123" s="7" t="s">
        <v>195</v>
      </c>
      <c r="I123" s="7" t="s">
        <v>195</v>
      </c>
      <c r="J123" s="7" t="s">
        <v>195</v>
      </c>
      <c r="K123" s="7" t="s">
        <v>195</v>
      </c>
      <c r="L123" s="7" t="s">
        <v>195</v>
      </c>
      <c r="M123" s="7" t="s">
        <v>29</v>
      </c>
      <c r="N123" s="7" t="s">
        <v>29</v>
      </c>
      <c r="O123" s="7" t="s">
        <v>29</v>
      </c>
      <c r="P123" s="7" t="s">
        <v>29</v>
      </c>
      <c r="Q123" s="7" t="s">
        <v>29</v>
      </c>
      <c r="R123" s="7" t="s">
        <v>29</v>
      </c>
      <c r="S123" s="7" t="s">
        <v>29</v>
      </c>
    </row>
    <row r="124" spans="2:19">
      <c r="B124" s="7" t="s">
        <v>195</v>
      </c>
      <c r="C124" s="8" t="s">
        <v>195</v>
      </c>
      <c r="D124" s="6" t="str">
        <f>LRTRIM(CONCATENATE(IF(SUMPRODUCT(-- ISNUMBER(SEARCH({"Auto Number"}, $B124))) &gt; 0, $B124, IF(SUMPRODUCT(-- ISNUMBER(SEARCH({"Lookup","Master-Detail"}, $B124))) &gt; 0,$B124 &amp; "(" &amp; $E124 &amp; ")",IF(SUMPRODUCT(-- ISNUMBER(SEARCH({"Formula","Roll-Up Summary"}, $B124))) &gt; 0,$B124 &amp; " (" &amp; $E124 &amp; ")",IF(SUMPRODUCT(-- ISNUMBER(SEARCH({"Content","Currency","Number","Percent","Text","URL"}, $B124))) &gt; 0,$B124 &amp; "(" &amp; $C124 &amp; ")",$B124)))), "  ", TRIM(IF($S124 = "YES", "(External ID)", "") &amp; " " &amp; IF(SUMPRODUCT(-- ISNUMBER(SEARCH({"Unique","Unique Case Insensitive"}, $R124))) &gt; 0, "(" &amp; $R124 &amp; ")", ""))))</f>
        <v>na</v>
      </c>
      <c r="E124" s="7" t="s">
        <v>195</v>
      </c>
      <c r="F124" s="7" t="s">
        <v>195</v>
      </c>
      <c r="G124" s="7" t="s">
        <v>195</v>
      </c>
      <c r="H124" s="7" t="s">
        <v>195</v>
      </c>
      <c r="I124" s="7" t="s">
        <v>195</v>
      </c>
      <c r="J124" s="7" t="s">
        <v>195</v>
      </c>
      <c r="K124" s="7" t="s">
        <v>195</v>
      </c>
      <c r="L124" s="7" t="s">
        <v>195</v>
      </c>
      <c r="M124" s="7" t="s">
        <v>29</v>
      </c>
      <c r="N124" s="7" t="s">
        <v>29</v>
      </c>
      <c r="O124" s="7" t="s">
        <v>29</v>
      </c>
      <c r="P124" s="7" t="s">
        <v>29</v>
      </c>
      <c r="Q124" s="7" t="s">
        <v>29</v>
      </c>
      <c r="R124" s="7" t="s">
        <v>29</v>
      </c>
      <c r="S124" s="7" t="s">
        <v>29</v>
      </c>
    </row>
    <row r="125" spans="2:19">
      <c r="B125" s="7" t="s">
        <v>195</v>
      </c>
      <c r="C125" s="8" t="s">
        <v>195</v>
      </c>
      <c r="D125" s="6" t="str">
        <f>LRTRIM(CONCATENATE(IF(SUMPRODUCT(-- ISNUMBER(SEARCH({"Auto Number"}, $B125))) &gt; 0, $B125, IF(SUMPRODUCT(-- ISNUMBER(SEARCH({"Lookup","Master-Detail"}, $B125))) &gt; 0,$B125 &amp; "(" &amp; $E125 &amp; ")",IF(SUMPRODUCT(-- ISNUMBER(SEARCH({"Formula","Roll-Up Summary"}, $B125))) &gt; 0,$B125 &amp; " (" &amp; $E125 &amp; ")",IF(SUMPRODUCT(-- ISNUMBER(SEARCH({"Content","Currency","Number","Percent","Text","URL"}, $B125))) &gt; 0,$B125 &amp; "(" &amp; $C125 &amp; ")",$B125)))), "  ", TRIM(IF($S125 = "YES", "(External ID)", "") &amp; " " &amp; IF(SUMPRODUCT(-- ISNUMBER(SEARCH({"Unique","Unique Case Insensitive"}, $R125))) &gt; 0, "(" &amp; $R125 &amp; ")", ""))))</f>
        <v>na</v>
      </c>
      <c r="E125" s="7" t="s">
        <v>195</v>
      </c>
      <c r="F125" s="7" t="s">
        <v>195</v>
      </c>
      <c r="G125" s="7" t="s">
        <v>195</v>
      </c>
      <c r="H125" s="7" t="s">
        <v>195</v>
      </c>
      <c r="I125" s="7" t="s">
        <v>195</v>
      </c>
      <c r="J125" s="7" t="s">
        <v>195</v>
      </c>
      <c r="K125" s="7" t="s">
        <v>195</v>
      </c>
      <c r="L125" s="7" t="s">
        <v>195</v>
      </c>
      <c r="M125" s="7" t="s">
        <v>29</v>
      </c>
      <c r="N125" s="7" t="s">
        <v>29</v>
      </c>
      <c r="O125" s="7" t="s">
        <v>29</v>
      </c>
      <c r="P125" s="7" t="s">
        <v>29</v>
      </c>
      <c r="Q125" s="7" t="s">
        <v>29</v>
      </c>
      <c r="R125" s="7" t="s">
        <v>29</v>
      </c>
      <c r="S125" s="7" t="s">
        <v>29</v>
      </c>
    </row>
    <row r="126" spans="2:19">
      <c r="B126" s="7" t="s">
        <v>195</v>
      </c>
      <c r="C126" s="8" t="s">
        <v>195</v>
      </c>
      <c r="D126" s="6" t="str">
        <f>LRTRIM(CONCATENATE(IF(SUMPRODUCT(-- ISNUMBER(SEARCH({"Auto Number"}, $B126))) &gt; 0, $B126, IF(SUMPRODUCT(-- ISNUMBER(SEARCH({"Lookup","Master-Detail"}, $B126))) &gt; 0,$B126 &amp; "(" &amp; $E126 &amp; ")",IF(SUMPRODUCT(-- ISNUMBER(SEARCH({"Formula","Roll-Up Summary"}, $B126))) &gt; 0,$B126 &amp; " (" &amp; $E126 &amp; ")",IF(SUMPRODUCT(-- ISNUMBER(SEARCH({"Content","Currency","Number","Percent","Text","URL"}, $B126))) &gt; 0,$B126 &amp; "(" &amp; $C126 &amp; ")",$B126)))), "  ", TRIM(IF($S126 = "YES", "(External ID)", "") &amp; " " &amp; IF(SUMPRODUCT(-- ISNUMBER(SEARCH({"Unique","Unique Case Insensitive"}, $R126))) &gt; 0, "(" &amp; $R126 &amp; ")", ""))))</f>
        <v>na</v>
      </c>
      <c r="E126" s="7" t="s">
        <v>195</v>
      </c>
      <c r="F126" s="7" t="s">
        <v>195</v>
      </c>
      <c r="G126" s="7" t="s">
        <v>195</v>
      </c>
      <c r="H126" s="7" t="s">
        <v>195</v>
      </c>
      <c r="I126" s="7" t="s">
        <v>195</v>
      </c>
      <c r="J126" s="7" t="s">
        <v>195</v>
      </c>
      <c r="K126" s="7" t="s">
        <v>195</v>
      </c>
      <c r="L126" s="7" t="s">
        <v>195</v>
      </c>
      <c r="M126" s="7" t="s">
        <v>29</v>
      </c>
      <c r="N126" s="7" t="s">
        <v>29</v>
      </c>
      <c r="O126" s="7" t="s">
        <v>29</v>
      </c>
      <c r="P126" s="7" t="s">
        <v>29</v>
      </c>
      <c r="Q126" s="7" t="s">
        <v>29</v>
      </c>
      <c r="R126" s="7" t="s">
        <v>29</v>
      </c>
      <c r="S126" s="7" t="s">
        <v>29</v>
      </c>
    </row>
    <row r="127" spans="2:19">
      <c r="B127" s="7" t="s">
        <v>195</v>
      </c>
      <c r="C127" s="8" t="s">
        <v>195</v>
      </c>
      <c r="D127" s="6" t="str">
        <f>LRTRIM(CONCATENATE(IF(SUMPRODUCT(-- ISNUMBER(SEARCH({"Auto Number"}, $B127))) &gt; 0, $B127, IF(SUMPRODUCT(-- ISNUMBER(SEARCH({"Lookup","Master-Detail"}, $B127))) &gt; 0,$B127 &amp; "(" &amp; $E127 &amp; ")",IF(SUMPRODUCT(-- ISNUMBER(SEARCH({"Formula","Roll-Up Summary"}, $B127))) &gt; 0,$B127 &amp; " (" &amp; $E127 &amp; ")",IF(SUMPRODUCT(-- ISNUMBER(SEARCH({"Content","Currency","Number","Percent","Text","URL"}, $B127))) &gt; 0,$B127 &amp; "(" &amp; $C127 &amp; ")",$B127)))), "  ", TRIM(IF($S127 = "YES", "(External ID)", "") &amp; " " &amp; IF(SUMPRODUCT(-- ISNUMBER(SEARCH({"Unique","Unique Case Insensitive"}, $R127))) &gt; 0, "(" &amp; $R127 &amp; ")", ""))))</f>
        <v>na</v>
      </c>
      <c r="E127" s="7" t="s">
        <v>195</v>
      </c>
      <c r="F127" s="7" t="s">
        <v>195</v>
      </c>
      <c r="G127" s="7" t="s">
        <v>195</v>
      </c>
      <c r="H127" s="7" t="s">
        <v>195</v>
      </c>
      <c r="I127" s="7" t="s">
        <v>195</v>
      </c>
      <c r="J127" s="7" t="s">
        <v>195</v>
      </c>
      <c r="K127" s="7" t="s">
        <v>195</v>
      </c>
      <c r="L127" s="7" t="s">
        <v>195</v>
      </c>
      <c r="M127" s="7" t="s">
        <v>29</v>
      </c>
      <c r="N127" s="7" t="s">
        <v>29</v>
      </c>
      <c r="O127" s="7" t="s">
        <v>29</v>
      </c>
      <c r="P127" s="7" t="s">
        <v>29</v>
      </c>
      <c r="Q127" s="7" t="s">
        <v>29</v>
      </c>
      <c r="R127" s="7" t="s">
        <v>29</v>
      </c>
      <c r="S127" s="7" t="s">
        <v>29</v>
      </c>
    </row>
    <row r="128" spans="2:19">
      <c r="B128" s="7" t="s">
        <v>195</v>
      </c>
      <c r="C128" s="8" t="s">
        <v>195</v>
      </c>
      <c r="D128" s="6" t="str">
        <f>LRTRIM(CONCATENATE(IF(SUMPRODUCT(-- ISNUMBER(SEARCH({"Auto Number"}, $B128))) &gt; 0, $B128, IF(SUMPRODUCT(-- ISNUMBER(SEARCH({"Lookup","Master-Detail"}, $B128))) &gt; 0,$B128 &amp; "(" &amp; $E128 &amp; ")",IF(SUMPRODUCT(-- ISNUMBER(SEARCH({"Formula","Roll-Up Summary"}, $B128))) &gt; 0,$B128 &amp; " (" &amp; $E128 &amp; ")",IF(SUMPRODUCT(-- ISNUMBER(SEARCH({"Content","Currency","Number","Percent","Text","URL"}, $B128))) &gt; 0,$B128 &amp; "(" &amp; $C128 &amp; ")",$B128)))), "  ", TRIM(IF($S128 = "YES", "(External ID)", "") &amp; " " &amp; IF(SUMPRODUCT(-- ISNUMBER(SEARCH({"Unique","Unique Case Insensitive"}, $R128))) &gt; 0, "(" &amp; $R128 &amp; ")", ""))))</f>
        <v>na</v>
      </c>
      <c r="E128" s="7" t="s">
        <v>195</v>
      </c>
      <c r="F128" s="7" t="s">
        <v>195</v>
      </c>
      <c r="G128" s="7" t="s">
        <v>195</v>
      </c>
      <c r="H128" s="7" t="s">
        <v>195</v>
      </c>
      <c r="I128" s="7" t="s">
        <v>195</v>
      </c>
      <c r="J128" s="7" t="s">
        <v>195</v>
      </c>
      <c r="K128" s="7" t="s">
        <v>195</v>
      </c>
      <c r="L128" s="7" t="s">
        <v>195</v>
      </c>
      <c r="M128" s="7" t="s">
        <v>29</v>
      </c>
      <c r="N128" s="7" t="s">
        <v>29</v>
      </c>
      <c r="O128" s="7" t="s">
        <v>29</v>
      </c>
      <c r="P128" s="7" t="s">
        <v>29</v>
      </c>
      <c r="Q128" s="7" t="s">
        <v>29</v>
      </c>
      <c r="R128" s="7" t="s">
        <v>29</v>
      </c>
      <c r="S128" s="7" t="s">
        <v>29</v>
      </c>
    </row>
    <row r="129" spans="2:19">
      <c r="B129" s="7" t="s">
        <v>195</v>
      </c>
      <c r="C129" s="8" t="s">
        <v>195</v>
      </c>
      <c r="D129" s="6" t="str">
        <f>LRTRIM(CONCATENATE(IF(SUMPRODUCT(-- ISNUMBER(SEARCH({"Auto Number"}, $B129))) &gt; 0, $B129, IF(SUMPRODUCT(-- ISNUMBER(SEARCH({"Lookup","Master-Detail"}, $B129))) &gt; 0,$B129 &amp; "(" &amp; $E129 &amp; ")",IF(SUMPRODUCT(-- ISNUMBER(SEARCH({"Formula","Roll-Up Summary"}, $B129))) &gt; 0,$B129 &amp; " (" &amp; $E129 &amp; ")",IF(SUMPRODUCT(-- ISNUMBER(SEARCH({"Content","Currency","Number","Percent","Text","URL"}, $B129))) &gt; 0,$B129 &amp; "(" &amp; $C129 &amp; ")",$B129)))), "  ", TRIM(IF($S129 = "YES", "(External ID)", "") &amp; " " &amp; IF(SUMPRODUCT(-- ISNUMBER(SEARCH({"Unique","Unique Case Insensitive"}, $R129))) &gt; 0, "(" &amp; $R129 &amp; ")", ""))))</f>
        <v>na</v>
      </c>
      <c r="E129" s="7" t="s">
        <v>195</v>
      </c>
      <c r="F129" s="7" t="s">
        <v>195</v>
      </c>
      <c r="G129" s="7" t="s">
        <v>195</v>
      </c>
      <c r="H129" s="7" t="s">
        <v>195</v>
      </c>
      <c r="I129" s="7" t="s">
        <v>195</v>
      </c>
      <c r="J129" s="7" t="s">
        <v>195</v>
      </c>
      <c r="K129" s="7" t="s">
        <v>195</v>
      </c>
      <c r="L129" s="7" t="s">
        <v>195</v>
      </c>
      <c r="M129" s="7" t="s">
        <v>29</v>
      </c>
      <c r="N129" s="7" t="s">
        <v>29</v>
      </c>
      <c r="O129" s="7" t="s">
        <v>29</v>
      </c>
      <c r="P129" s="7" t="s">
        <v>29</v>
      </c>
      <c r="Q129" s="7" t="s">
        <v>29</v>
      </c>
      <c r="R129" s="7" t="s">
        <v>29</v>
      </c>
      <c r="S129" s="7" t="s">
        <v>29</v>
      </c>
    </row>
    <row r="130" spans="2:19">
      <c r="B130" s="7" t="s">
        <v>195</v>
      </c>
      <c r="C130" s="8" t="s">
        <v>195</v>
      </c>
      <c r="D130" s="6" t="str">
        <f>LRTRIM(CONCATENATE(IF(SUMPRODUCT(-- ISNUMBER(SEARCH({"Auto Number"}, $B130))) &gt; 0, $B130, IF(SUMPRODUCT(-- ISNUMBER(SEARCH({"Lookup","Master-Detail"}, $B130))) &gt; 0,$B130 &amp; "(" &amp; $E130 &amp; ")",IF(SUMPRODUCT(-- ISNUMBER(SEARCH({"Formula","Roll-Up Summary"}, $B130))) &gt; 0,$B130 &amp; " (" &amp; $E130 &amp; ")",IF(SUMPRODUCT(-- ISNUMBER(SEARCH({"Content","Currency","Number","Percent","Text","URL"}, $B130))) &gt; 0,$B130 &amp; "(" &amp; $C130 &amp; ")",$B130)))), "  ", TRIM(IF($S130 = "YES", "(External ID)", "") &amp; " " &amp; IF(SUMPRODUCT(-- ISNUMBER(SEARCH({"Unique","Unique Case Insensitive"}, $R130))) &gt; 0, "(" &amp; $R130 &amp; ")", ""))))</f>
        <v>na</v>
      </c>
      <c r="E130" s="7" t="s">
        <v>195</v>
      </c>
      <c r="F130" s="7" t="s">
        <v>195</v>
      </c>
      <c r="G130" s="7" t="s">
        <v>195</v>
      </c>
      <c r="H130" s="7" t="s">
        <v>195</v>
      </c>
      <c r="I130" s="7" t="s">
        <v>195</v>
      </c>
      <c r="J130" s="7" t="s">
        <v>195</v>
      </c>
      <c r="K130" s="7" t="s">
        <v>195</v>
      </c>
      <c r="L130" s="7" t="s">
        <v>195</v>
      </c>
      <c r="M130" s="7" t="s">
        <v>29</v>
      </c>
      <c r="N130" s="7" t="s">
        <v>29</v>
      </c>
      <c r="O130" s="7" t="s">
        <v>29</v>
      </c>
      <c r="P130" s="7" t="s">
        <v>29</v>
      </c>
      <c r="Q130" s="7" t="s">
        <v>29</v>
      </c>
      <c r="R130" s="7" t="s">
        <v>29</v>
      </c>
      <c r="S130" s="7" t="s">
        <v>29</v>
      </c>
    </row>
    <row r="131" spans="2:19">
      <c r="B131" s="7" t="s">
        <v>195</v>
      </c>
      <c r="C131" s="8" t="s">
        <v>195</v>
      </c>
      <c r="D131" s="6" t="str">
        <f>LRTRIM(CONCATENATE(IF(SUMPRODUCT(-- ISNUMBER(SEARCH({"Auto Number"}, $B131))) &gt; 0, $B131, IF(SUMPRODUCT(-- ISNUMBER(SEARCH({"Lookup","Master-Detail"}, $B131))) &gt; 0,$B131 &amp; "(" &amp; $E131 &amp; ")",IF(SUMPRODUCT(-- ISNUMBER(SEARCH({"Formula","Roll-Up Summary"}, $B131))) &gt; 0,$B131 &amp; " (" &amp; $E131 &amp; ")",IF(SUMPRODUCT(-- ISNUMBER(SEARCH({"Content","Currency","Number","Percent","Text","URL"}, $B131))) &gt; 0,$B131 &amp; "(" &amp; $C131 &amp; ")",$B131)))), "  ", TRIM(IF($S131 = "YES", "(External ID)", "") &amp; " " &amp; IF(SUMPRODUCT(-- ISNUMBER(SEARCH({"Unique","Unique Case Insensitive"}, $R131))) &gt; 0, "(" &amp; $R131 &amp; ")", ""))))</f>
        <v>na</v>
      </c>
      <c r="E131" s="7" t="s">
        <v>195</v>
      </c>
      <c r="F131" s="7" t="s">
        <v>195</v>
      </c>
      <c r="G131" s="7" t="s">
        <v>195</v>
      </c>
      <c r="H131" s="7" t="s">
        <v>195</v>
      </c>
      <c r="I131" s="7" t="s">
        <v>195</v>
      </c>
      <c r="J131" s="7" t="s">
        <v>195</v>
      </c>
      <c r="K131" s="7" t="s">
        <v>195</v>
      </c>
      <c r="L131" s="7" t="s">
        <v>195</v>
      </c>
      <c r="M131" s="7" t="s">
        <v>29</v>
      </c>
      <c r="N131" s="7" t="s">
        <v>29</v>
      </c>
      <c r="O131" s="7" t="s">
        <v>29</v>
      </c>
      <c r="P131" s="7" t="s">
        <v>29</v>
      </c>
      <c r="Q131" s="7" t="s">
        <v>29</v>
      </c>
      <c r="R131" s="7" t="s">
        <v>29</v>
      </c>
      <c r="S131" s="7" t="s">
        <v>29</v>
      </c>
    </row>
    <row r="132" spans="2:19">
      <c r="B132" s="7" t="s">
        <v>195</v>
      </c>
      <c r="C132" s="8" t="s">
        <v>195</v>
      </c>
      <c r="D132" s="6" t="str">
        <f>LRTRIM(CONCATENATE(IF(SUMPRODUCT(-- ISNUMBER(SEARCH({"Auto Number"}, $B132))) &gt; 0, $B132, IF(SUMPRODUCT(-- ISNUMBER(SEARCH({"Lookup","Master-Detail"}, $B132))) &gt; 0,$B132 &amp; "(" &amp; $E132 &amp; ")",IF(SUMPRODUCT(-- ISNUMBER(SEARCH({"Formula","Roll-Up Summary"}, $B132))) &gt; 0,$B132 &amp; " (" &amp; $E132 &amp; ")",IF(SUMPRODUCT(-- ISNUMBER(SEARCH({"Content","Currency","Number","Percent","Text","URL"}, $B132))) &gt; 0,$B132 &amp; "(" &amp; $C132 &amp; ")",$B132)))), "  ", TRIM(IF($S132 = "YES", "(External ID)", "") &amp; " " &amp; IF(SUMPRODUCT(-- ISNUMBER(SEARCH({"Unique","Unique Case Insensitive"}, $R132))) &gt; 0, "(" &amp; $R132 &amp; ")", ""))))</f>
        <v>na</v>
      </c>
      <c r="E132" s="7" t="s">
        <v>195</v>
      </c>
      <c r="F132" s="7" t="s">
        <v>195</v>
      </c>
      <c r="G132" s="7" t="s">
        <v>195</v>
      </c>
      <c r="H132" s="7" t="s">
        <v>195</v>
      </c>
      <c r="I132" s="7" t="s">
        <v>195</v>
      </c>
      <c r="J132" s="7" t="s">
        <v>195</v>
      </c>
      <c r="K132" s="7" t="s">
        <v>195</v>
      </c>
      <c r="L132" s="7" t="s">
        <v>195</v>
      </c>
      <c r="M132" s="7" t="s">
        <v>29</v>
      </c>
      <c r="N132" s="7" t="s">
        <v>29</v>
      </c>
      <c r="O132" s="7" t="s">
        <v>29</v>
      </c>
      <c r="P132" s="7" t="s">
        <v>29</v>
      </c>
      <c r="Q132" s="7" t="s">
        <v>29</v>
      </c>
      <c r="R132" s="7" t="s">
        <v>29</v>
      </c>
      <c r="S132" s="7" t="s">
        <v>29</v>
      </c>
    </row>
    <row r="133" spans="2:19">
      <c r="B133" s="7" t="s">
        <v>195</v>
      </c>
      <c r="C133" s="8" t="s">
        <v>195</v>
      </c>
      <c r="D133" s="6" t="str">
        <f>LRTRIM(CONCATENATE(IF(SUMPRODUCT(-- ISNUMBER(SEARCH({"Auto Number"}, $B133))) &gt; 0, $B133, IF(SUMPRODUCT(-- ISNUMBER(SEARCH({"Lookup","Master-Detail"}, $B133))) &gt; 0,$B133 &amp; "(" &amp; $E133 &amp; ")",IF(SUMPRODUCT(-- ISNUMBER(SEARCH({"Formula","Roll-Up Summary"}, $B133))) &gt; 0,$B133 &amp; " (" &amp; $E133 &amp; ")",IF(SUMPRODUCT(-- ISNUMBER(SEARCH({"Content","Currency","Number","Percent","Text","URL"}, $B133))) &gt; 0,$B133 &amp; "(" &amp; $C133 &amp; ")",$B133)))), "  ", TRIM(IF($S133 = "YES", "(External ID)", "") &amp; " " &amp; IF(SUMPRODUCT(-- ISNUMBER(SEARCH({"Unique","Unique Case Insensitive"}, $R133))) &gt; 0, "(" &amp; $R133 &amp; ")", ""))))</f>
        <v>na</v>
      </c>
      <c r="E133" s="7" t="s">
        <v>195</v>
      </c>
      <c r="F133" s="7" t="s">
        <v>195</v>
      </c>
      <c r="G133" s="7" t="s">
        <v>195</v>
      </c>
      <c r="H133" s="7" t="s">
        <v>195</v>
      </c>
      <c r="I133" s="7" t="s">
        <v>195</v>
      </c>
      <c r="J133" s="7" t="s">
        <v>195</v>
      </c>
      <c r="K133" s="7" t="s">
        <v>195</v>
      </c>
      <c r="L133" s="7" t="s">
        <v>195</v>
      </c>
      <c r="M133" s="7" t="s">
        <v>29</v>
      </c>
      <c r="N133" s="7" t="s">
        <v>29</v>
      </c>
      <c r="O133" s="7" t="s">
        <v>29</v>
      </c>
      <c r="P133" s="7" t="s">
        <v>29</v>
      </c>
      <c r="Q133" s="7" t="s">
        <v>29</v>
      </c>
      <c r="R133" s="7" t="s">
        <v>29</v>
      </c>
      <c r="S133" s="7" t="s">
        <v>29</v>
      </c>
    </row>
    <row r="134" spans="2:19">
      <c r="B134" s="7" t="s">
        <v>195</v>
      </c>
      <c r="C134" s="8" t="s">
        <v>195</v>
      </c>
      <c r="D134" s="6" t="str">
        <f>LRTRIM(CONCATENATE(IF(SUMPRODUCT(-- ISNUMBER(SEARCH({"Auto Number"}, $B134))) &gt; 0, $B134, IF(SUMPRODUCT(-- ISNUMBER(SEARCH({"Lookup","Master-Detail"}, $B134))) &gt; 0,$B134 &amp; "(" &amp; $E134 &amp; ")",IF(SUMPRODUCT(-- ISNUMBER(SEARCH({"Formula","Roll-Up Summary"}, $B134))) &gt; 0,$B134 &amp; " (" &amp; $E134 &amp; ")",IF(SUMPRODUCT(-- ISNUMBER(SEARCH({"Content","Currency","Number","Percent","Text","URL"}, $B134))) &gt; 0,$B134 &amp; "(" &amp; $C134 &amp; ")",$B134)))), "  ", TRIM(IF($S134 = "YES", "(External ID)", "") &amp; " " &amp; IF(SUMPRODUCT(-- ISNUMBER(SEARCH({"Unique","Unique Case Insensitive"}, $R134))) &gt; 0, "(" &amp; $R134 &amp; ")", ""))))</f>
        <v>na</v>
      </c>
      <c r="E134" s="7" t="s">
        <v>195</v>
      </c>
      <c r="F134" s="7" t="s">
        <v>195</v>
      </c>
      <c r="G134" s="7" t="s">
        <v>195</v>
      </c>
      <c r="H134" s="7" t="s">
        <v>195</v>
      </c>
      <c r="I134" s="7" t="s">
        <v>195</v>
      </c>
      <c r="J134" s="7" t="s">
        <v>195</v>
      </c>
      <c r="K134" s="7" t="s">
        <v>195</v>
      </c>
      <c r="L134" s="7" t="s">
        <v>195</v>
      </c>
      <c r="M134" s="7" t="s">
        <v>29</v>
      </c>
      <c r="N134" s="7" t="s">
        <v>29</v>
      </c>
      <c r="O134" s="7" t="s">
        <v>29</v>
      </c>
      <c r="P134" s="7" t="s">
        <v>29</v>
      </c>
      <c r="Q134" s="7" t="s">
        <v>29</v>
      </c>
      <c r="R134" s="7" t="s">
        <v>29</v>
      </c>
      <c r="S134" s="7" t="s">
        <v>29</v>
      </c>
    </row>
    <row r="135" spans="2:19">
      <c r="B135" s="7" t="s">
        <v>195</v>
      </c>
      <c r="C135" s="8" t="s">
        <v>195</v>
      </c>
      <c r="D135" s="6" t="str">
        <f>LRTRIM(CONCATENATE(IF(SUMPRODUCT(-- ISNUMBER(SEARCH({"Auto Number"}, $B135))) &gt; 0, $B135, IF(SUMPRODUCT(-- ISNUMBER(SEARCH({"Lookup","Master-Detail"}, $B135))) &gt; 0,$B135 &amp; "(" &amp; $E135 &amp; ")",IF(SUMPRODUCT(-- ISNUMBER(SEARCH({"Formula","Roll-Up Summary"}, $B135))) &gt; 0,$B135 &amp; " (" &amp; $E135 &amp; ")",IF(SUMPRODUCT(-- ISNUMBER(SEARCH({"Content","Currency","Number","Percent","Text","URL"}, $B135))) &gt; 0,$B135 &amp; "(" &amp; $C135 &amp; ")",$B135)))), "  ", TRIM(IF($S135 = "YES", "(External ID)", "") &amp; " " &amp; IF(SUMPRODUCT(-- ISNUMBER(SEARCH({"Unique","Unique Case Insensitive"}, $R135))) &gt; 0, "(" &amp; $R135 &amp; ")", ""))))</f>
        <v>na</v>
      </c>
      <c r="E135" s="7" t="s">
        <v>195</v>
      </c>
      <c r="F135" s="7" t="s">
        <v>195</v>
      </c>
      <c r="G135" s="7" t="s">
        <v>195</v>
      </c>
      <c r="H135" s="7" t="s">
        <v>195</v>
      </c>
      <c r="I135" s="7" t="s">
        <v>195</v>
      </c>
      <c r="J135" s="7" t="s">
        <v>195</v>
      </c>
      <c r="K135" s="7" t="s">
        <v>195</v>
      </c>
      <c r="L135" s="7" t="s">
        <v>195</v>
      </c>
      <c r="M135" s="7" t="s">
        <v>29</v>
      </c>
      <c r="N135" s="7" t="s">
        <v>29</v>
      </c>
      <c r="O135" s="7" t="s">
        <v>29</v>
      </c>
      <c r="P135" s="7" t="s">
        <v>29</v>
      </c>
      <c r="Q135" s="7" t="s">
        <v>29</v>
      </c>
      <c r="R135" s="7" t="s">
        <v>29</v>
      </c>
      <c r="S135" s="7" t="s">
        <v>29</v>
      </c>
    </row>
    <row r="136" spans="2:19">
      <c r="B136" s="7" t="s">
        <v>195</v>
      </c>
      <c r="C136" s="8" t="s">
        <v>195</v>
      </c>
      <c r="D136" s="6" t="str">
        <f>LRTRIM(CONCATENATE(IF(SUMPRODUCT(-- ISNUMBER(SEARCH({"Auto Number"}, $B136))) &gt; 0, $B136, IF(SUMPRODUCT(-- ISNUMBER(SEARCH({"Lookup","Master-Detail"}, $B136))) &gt; 0,$B136 &amp; "(" &amp; $E136 &amp; ")",IF(SUMPRODUCT(-- ISNUMBER(SEARCH({"Formula","Roll-Up Summary"}, $B136))) &gt; 0,$B136 &amp; " (" &amp; $E136 &amp; ")",IF(SUMPRODUCT(-- ISNUMBER(SEARCH({"Content","Currency","Number","Percent","Text","URL"}, $B136))) &gt; 0,$B136 &amp; "(" &amp; $C136 &amp; ")",$B136)))), "  ", TRIM(IF($S136 = "YES", "(External ID)", "") &amp; " " &amp; IF(SUMPRODUCT(-- ISNUMBER(SEARCH({"Unique","Unique Case Insensitive"}, $R136))) &gt; 0, "(" &amp; $R136 &amp; ")", ""))))</f>
        <v>na</v>
      </c>
      <c r="E136" s="7" t="s">
        <v>195</v>
      </c>
      <c r="F136" s="7" t="s">
        <v>195</v>
      </c>
      <c r="G136" s="7" t="s">
        <v>195</v>
      </c>
      <c r="H136" s="7" t="s">
        <v>195</v>
      </c>
      <c r="I136" s="7" t="s">
        <v>195</v>
      </c>
      <c r="J136" s="7" t="s">
        <v>195</v>
      </c>
      <c r="K136" s="7" t="s">
        <v>195</v>
      </c>
      <c r="L136" s="7" t="s">
        <v>195</v>
      </c>
      <c r="M136" s="7" t="s">
        <v>29</v>
      </c>
      <c r="N136" s="7" t="s">
        <v>29</v>
      </c>
      <c r="O136" s="7" t="s">
        <v>29</v>
      </c>
      <c r="P136" s="7" t="s">
        <v>29</v>
      </c>
      <c r="Q136" s="7" t="s">
        <v>29</v>
      </c>
      <c r="R136" s="7" t="s">
        <v>29</v>
      </c>
      <c r="S136" s="7" t="s">
        <v>29</v>
      </c>
    </row>
    <row r="137" spans="2:19">
      <c r="B137" s="7" t="s">
        <v>195</v>
      </c>
      <c r="C137" s="8" t="s">
        <v>195</v>
      </c>
      <c r="D137" s="6" t="str">
        <f>LRTRIM(CONCATENATE(IF(SUMPRODUCT(-- ISNUMBER(SEARCH({"Auto Number"}, $B137))) &gt; 0, $B137, IF(SUMPRODUCT(-- ISNUMBER(SEARCH({"Lookup","Master-Detail"}, $B137))) &gt; 0,$B137 &amp; "(" &amp; $E137 &amp; ")",IF(SUMPRODUCT(-- ISNUMBER(SEARCH({"Formula","Roll-Up Summary"}, $B137))) &gt; 0,$B137 &amp; " (" &amp; $E137 &amp; ")",IF(SUMPRODUCT(-- ISNUMBER(SEARCH({"Content","Currency","Number","Percent","Text","URL"}, $B137))) &gt; 0,$B137 &amp; "(" &amp; $C137 &amp; ")",$B137)))), "  ", TRIM(IF($S137 = "YES", "(External ID)", "") &amp; " " &amp; IF(SUMPRODUCT(-- ISNUMBER(SEARCH({"Unique","Unique Case Insensitive"}, $R137))) &gt; 0, "(" &amp; $R137 &amp; ")", ""))))</f>
        <v>na</v>
      </c>
      <c r="E137" s="7" t="s">
        <v>195</v>
      </c>
      <c r="F137" s="7" t="s">
        <v>195</v>
      </c>
      <c r="G137" s="7" t="s">
        <v>195</v>
      </c>
      <c r="H137" s="7" t="s">
        <v>195</v>
      </c>
      <c r="I137" s="7" t="s">
        <v>195</v>
      </c>
      <c r="J137" s="7" t="s">
        <v>195</v>
      </c>
      <c r="K137" s="7" t="s">
        <v>195</v>
      </c>
      <c r="L137" s="7" t="s">
        <v>195</v>
      </c>
      <c r="M137" s="7" t="s">
        <v>29</v>
      </c>
      <c r="N137" s="7" t="s">
        <v>29</v>
      </c>
      <c r="O137" s="7" t="s">
        <v>29</v>
      </c>
      <c r="P137" s="7" t="s">
        <v>29</v>
      </c>
      <c r="Q137" s="7" t="s">
        <v>29</v>
      </c>
      <c r="R137" s="7" t="s">
        <v>29</v>
      </c>
      <c r="S137" s="7" t="s">
        <v>29</v>
      </c>
    </row>
    <row r="138" spans="2:19">
      <c r="B138" s="7" t="s">
        <v>195</v>
      </c>
      <c r="C138" s="8" t="s">
        <v>195</v>
      </c>
      <c r="D138" s="6" t="str">
        <f>LRTRIM(CONCATENATE(IF(SUMPRODUCT(-- ISNUMBER(SEARCH({"Auto Number"}, $B138))) &gt; 0, $B138, IF(SUMPRODUCT(-- ISNUMBER(SEARCH({"Lookup","Master-Detail"}, $B138))) &gt; 0,$B138 &amp; "(" &amp; $E138 &amp; ")",IF(SUMPRODUCT(-- ISNUMBER(SEARCH({"Formula","Roll-Up Summary"}, $B138))) &gt; 0,$B138 &amp; " (" &amp; $E138 &amp; ")",IF(SUMPRODUCT(-- ISNUMBER(SEARCH({"Content","Currency","Number","Percent","Text","URL"}, $B138))) &gt; 0,$B138 &amp; "(" &amp; $C138 &amp; ")",$B138)))), "  ", TRIM(IF($S138 = "YES", "(External ID)", "") &amp; " " &amp; IF(SUMPRODUCT(-- ISNUMBER(SEARCH({"Unique","Unique Case Insensitive"}, $R138))) &gt; 0, "(" &amp; $R138 &amp; ")", ""))))</f>
        <v>na</v>
      </c>
      <c r="E138" s="7" t="s">
        <v>195</v>
      </c>
      <c r="F138" s="7" t="s">
        <v>195</v>
      </c>
      <c r="G138" s="7" t="s">
        <v>195</v>
      </c>
      <c r="H138" s="7" t="s">
        <v>195</v>
      </c>
      <c r="I138" s="7" t="s">
        <v>195</v>
      </c>
      <c r="J138" s="7" t="s">
        <v>195</v>
      </c>
      <c r="K138" s="7" t="s">
        <v>195</v>
      </c>
      <c r="L138" s="7" t="s">
        <v>195</v>
      </c>
      <c r="M138" s="7" t="s">
        <v>29</v>
      </c>
      <c r="N138" s="7" t="s">
        <v>29</v>
      </c>
      <c r="O138" s="7" t="s">
        <v>29</v>
      </c>
      <c r="P138" s="7" t="s">
        <v>29</v>
      </c>
      <c r="Q138" s="7" t="s">
        <v>29</v>
      </c>
      <c r="R138" s="7" t="s">
        <v>29</v>
      </c>
      <c r="S138" s="7" t="s">
        <v>29</v>
      </c>
    </row>
    <row r="139" spans="2:19">
      <c r="B139" s="7" t="s">
        <v>195</v>
      </c>
      <c r="C139" s="8" t="s">
        <v>195</v>
      </c>
      <c r="D139" s="6" t="str">
        <f>LRTRIM(CONCATENATE(IF(SUMPRODUCT(-- ISNUMBER(SEARCH({"Auto Number"}, $B139))) &gt; 0, $B139, IF(SUMPRODUCT(-- ISNUMBER(SEARCH({"Lookup","Master-Detail"}, $B139))) &gt; 0,$B139 &amp; "(" &amp; $E139 &amp; ")",IF(SUMPRODUCT(-- ISNUMBER(SEARCH({"Formula","Roll-Up Summary"}, $B139))) &gt; 0,$B139 &amp; " (" &amp; $E139 &amp; ")",IF(SUMPRODUCT(-- ISNUMBER(SEARCH({"Content","Currency","Number","Percent","Text","URL"}, $B139))) &gt; 0,$B139 &amp; "(" &amp; $C139 &amp; ")",$B139)))), "  ", TRIM(IF($S139 = "YES", "(External ID)", "") &amp; " " &amp; IF(SUMPRODUCT(-- ISNUMBER(SEARCH({"Unique","Unique Case Insensitive"}, $R139))) &gt; 0, "(" &amp; $R139 &amp; ")", ""))))</f>
        <v>na</v>
      </c>
      <c r="E139" s="7" t="s">
        <v>195</v>
      </c>
      <c r="F139" s="7" t="s">
        <v>195</v>
      </c>
      <c r="G139" s="7" t="s">
        <v>195</v>
      </c>
      <c r="H139" s="7" t="s">
        <v>195</v>
      </c>
      <c r="I139" s="7" t="s">
        <v>195</v>
      </c>
      <c r="J139" s="7" t="s">
        <v>195</v>
      </c>
      <c r="K139" s="7" t="s">
        <v>195</v>
      </c>
      <c r="L139" s="7" t="s">
        <v>195</v>
      </c>
      <c r="M139" s="7" t="s">
        <v>29</v>
      </c>
      <c r="N139" s="7" t="s">
        <v>29</v>
      </c>
      <c r="O139" s="7" t="s">
        <v>29</v>
      </c>
      <c r="P139" s="7" t="s">
        <v>29</v>
      </c>
      <c r="Q139" s="7" t="s">
        <v>29</v>
      </c>
      <c r="R139" s="7" t="s">
        <v>29</v>
      </c>
      <c r="S139" s="7" t="s">
        <v>29</v>
      </c>
    </row>
    <row r="140" spans="2:19">
      <c r="B140" s="7" t="s">
        <v>195</v>
      </c>
      <c r="C140" s="8" t="s">
        <v>195</v>
      </c>
      <c r="D140" s="6" t="str">
        <f>LRTRIM(CONCATENATE(IF(SUMPRODUCT(-- ISNUMBER(SEARCH({"Auto Number"}, $B140))) &gt; 0, $B140, IF(SUMPRODUCT(-- ISNUMBER(SEARCH({"Lookup","Master-Detail"}, $B140))) &gt; 0,$B140 &amp; "(" &amp; $E140 &amp; ")",IF(SUMPRODUCT(-- ISNUMBER(SEARCH({"Formula","Roll-Up Summary"}, $B140))) &gt; 0,$B140 &amp; " (" &amp; $E140 &amp; ")",IF(SUMPRODUCT(-- ISNUMBER(SEARCH({"Content","Currency","Number","Percent","Text","URL"}, $B140))) &gt; 0,$B140 &amp; "(" &amp; $C140 &amp; ")",$B140)))), "  ", TRIM(IF($S140 = "YES", "(External ID)", "") &amp; " " &amp; IF(SUMPRODUCT(-- ISNUMBER(SEARCH({"Unique","Unique Case Insensitive"}, $R140))) &gt; 0, "(" &amp; $R140 &amp; ")", ""))))</f>
        <v>na</v>
      </c>
      <c r="E140" s="7" t="s">
        <v>195</v>
      </c>
      <c r="F140" s="7" t="s">
        <v>195</v>
      </c>
      <c r="G140" s="7" t="s">
        <v>195</v>
      </c>
      <c r="H140" s="7" t="s">
        <v>195</v>
      </c>
      <c r="I140" s="7" t="s">
        <v>195</v>
      </c>
      <c r="J140" s="7" t="s">
        <v>195</v>
      </c>
      <c r="K140" s="7" t="s">
        <v>195</v>
      </c>
      <c r="L140" s="7" t="s">
        <v>195</v>
      </c>
      <c r="M140" s="7" t="s">
        <v>29</v>
      </c>
      <c r="N140" s="7" t="s">
        <v>29</v>
      </c>
      <c r="O140" s="7" t="s">
        <v>29</v>
      </c>
      <c r="P140" s="7" t="s">
        <v>29</v>
      </c>
      <c r="Q140" s="7" t="s">
        <v>29</v>
      </c>
      <c r="R140" s="7" t="s">
        <v>29</v>
      </c>
      <c r="S140" s="7" t="s">
        <v>29</v>
      </c>
    </row>
    <row r="141" spans="2:19">
      <c r="B141" s="7" t="s">
        <v>195</v>
      </c>
      <c r="C141" s="8" t="s">
        <v>195</v>
      </c>
      <c r="D141" s="6" t="str">
        <f>LRTRIM(CONCATENATE(IF(SUMPRODUCT(-- ISNUMBER(SEARCH({"Auto Number"}, $B141))) &gt; 0, $B141, IF(SUMPRODUCT(-- ISNUMBER(SEARCH({"Lookup","Master-Detail"}, $B141))) &gt; 0,$B141 &amp; "(" &amp; $E141 &amp; ")",IF(SUMPRODUCT(-- ISNUMBER(SEARCH({"Formula","Roll-Up Summary"}, $B141))) &gt; 0,$B141 &amp; " (" &amp; $E141 &amp; ")",IF(SUMPRODUCT(-- ISNUMBER(SEARCH({"Content","Currency","Number","Percent","Text","URL"}, $B141))) &gt; 0,$B141 &amp; "(" &amp; $C141 &amp; ")",$B141)))), "  ", TRIM(IF($S141 = "YES", "(External ID)", "") &amp; " " &amp; IF(SUMPRODUCT(-- ISNUMBER(SEARCH({"Unique","Unique Case Insensitive"}, $R141))) &gt; 0, "(" &amp; $R141 &amp; ")", ""))))</f>
        <v>na</v>
      </c>
      <c r="E141" s="7" t="s">
        <v>195</v>
      </c>
      <c r="F141" s="7" t="s">
        <v>195</v>
      </c>
      <c r="G141" s="7" t="s">
        <v>195</v>
      </c>
      <c r="H141" s="7" t="s">
        <v>195</v>
      </c>
      <c r="I141" s="7" t="s">
        <v>195</v>
      </c>
      <c r="J141" s="7" t="s">
        <v>195</v>
      </c>
      <c r="K141" s="7" t="s">
        <v>195</v>
      </c>
      <c r="L141" s="7" t="s">
        <v>195</v>
      </c>
      <c r="M141" s="7" t="s">
        <v>29</v>
      </c>
      <c r="N141" s="7" t="s">
        <v>29</v>
      </c>
      <c r="O141" s="7" t="s">
        <v>29</v>
      </c>
      <c r="P141" s="7" t="s">
        <v>29</v>
      </c>
      <c r="Q141" s="7" t="s">
        <v>29</v>
      </c>
      <c r="R141" s="7" t="s">
        <v>29</v>
      </c>
      <c r="S141" s="7" t="s">
        <v>29</v>
      </c>
    </row>
    <row r="142" spans="2:19">
      <c r="B142" s="7" t="s">
        <v>195</v>
      </c>
      <c r="C142" s="8" t="s">
        <v>195</v>
      </c>
      <c r="D142" s="6" t="str">
        <f>LRTRIM(CONCATENATE(IF(SUMPRODUCT(-- ISNUMBER(SEARCH({"Auto Number"}, $B142))) &gt; 0, $B142, IF(SUMPRODUCT(-- ISNUMBER(SEARCH({"Lookup","Master-Detail"}, $B142))) &gt; 0,$B142 &amp; "(" &amp; $E142 &amp; ")",IF(SUMPRODUCT(-- ISNUMBER(SEARCH({"Formula","Roll-Up Summary"}, $B142))) &gt; 0,$B142 &amp; " (" &amp; $E142 &amp; ")",IF(SUMPRODUCT(-- ISNUMBER(SEARCH({"Content","Currency","Number","Percent","Text","URL"}, $B142))) &gt; 0,$B142 &amp; "(" &amp; $C142 &amp; ")",$B142)))), "  ", TRIM(IF($S142 = "YES", "(External ID)", "") &amp; " " &amp; IF(SUMPRODUCT(-- ISNUMBER(SEARCH({"Unique","Unique Case Insensitive"}, $R142))) &gt; 0, "(" &amp; $R142 &amp; ")", ""))))</f>
        <v>na</v>
      </c>
      <c r="E142" s="7" t="s">
        <v>195</v>
      </c>
      <c r="F142" s="7" t="s">
        <v>195</v>
      </c>
      <c r="G142" s="7" t="s">
        <v>195</v>
      </c>
      <c r="H142" s="7" t="s">
        <v>195</v>
      </c>
      <c r="I142" s="7" t="s">
        <v>195</v>
      </c>
      <c r="J142" s="7" t="s">
        <v>195</v>
      </c>
      <c r="K142" s="7" t="s">
        <v>195</v>
      </c>
      <c r="L142" s="7" t="s">
        <v>195</v>
      </c>
      <c r="M142" s="7" t="s">
        <v>29</v>
      </c>
      <c r="N142" s="7" t="s">
        <v>29</v>
      </c>
      <c r="O142" s="7" t="s">
        <v>29</v>
      </c>
      <c r="P142" s="7" t="s">
        <v>29</v>
      </c>
      <c r="Q142" s="7" t="s">
        <v>29</v>
      </c>
      <c r="R142" s="7" t="s">
        <v>29</v>
      </c>
      <c r="S142" s="7" t="s">
        <v>29</v>
      </c>
    </row>
    <row r="143" spans="2:19">
      <c r="B143" s="7" t="s">
        <v>195</v>
      </c>
      <c r="C143" s="8" t="s">
        <v>195</v>
      </c>
      <c r="D143" s="6" t="str">
        <f>LRTRIM(CONCATENATE(IF(SUMPRODUCT(-- ISNUMBER(SEARCH({"Auto Number"}, $B143))) &gt; 0, $B143, IF(SUMPRODUCT(-- ISNUMBER(SEARCH({"Lookup","Master-Detail"}, $B143))) &gt; 0,$B143 &amp; "(" &amp; $E143 &amp; ")",IF(SUMPRODUCT(-- ISNUMBER(SEARCH({"Formula","Roll-Up Summary"}, $B143))) &gt; 0,$B143 &amp; " (" &amp; $E143 &amp; ")",IF(SUMPRODUCT(-- ISNUMBER(SEARCH({"Content","Currency","Number","Percent","Text","URL"}, $B143))) &gt; 0,$B143 &amp; "(" &amp; $C143 &amp; ")",$B143)))), "  ", TRIM(IF($S143 = "YES", "(External ID)", "") &amp; " " &amp; IF(SUMPRODUCT(-- ISNUMBER(SEARCH({"Unique","Unique Case Insensitive"}, $R143))) &gt; 0, "(" &amp; $R143 &amp; ")", ""))))</f>
        <v>na</v>
      </c>
      <c r="E143" s="7" t="s">
        <v>195</v>
      </c>
      <c r="F143" s="7" t="s">
        <v>195</v>
      </c>
      <c r="G143" s="7" t="s">
        <v>195</v>
      </c>
      <c r="H143" s="7" t="s">
        <v>195</v>
      </c>
      <c r="I143" s="7" t="s">
        <v>195</v>
      </c>
      <c r="J143" s="7" t="s">
        <v>195</v>
      </c>
      <c r="K143" s="7" t="s">
        <v>195</v>
      </c>
      <c r="L143" s="7" t="s">
        <v>195</v>
      </c>
      <c r="M143" s="7" t="s">
        <v>29</v>
      </c>
      <c r="N143" s="7" t="s">
        <v>29</v>
      </c>
      <c r="O143" s="7" t="s">
        <v>29</v>
      </c>
      <c r="P143" s="7" t="s">
        <v>29</v>
      </c>
      <c r="Q143" s="7" t="s">
        <v>29</v>
      </c>
      <c r="R143" s="7" t="s">
        <v>29</v>
      </c>
      <c r="S143" s="7" t="s">
        <v>29</v>
      </c>
    </row>
    <row r="144" spans="2:19">
      <c r="B144" s="7" t="s">
        <v>195</v>
      </c>
      <c r="C144" s="8" t="s">
        <v>195</v>
      </c>
      <c r="D144" s="6" t="str">
        <f>LRTRIM(CONCATENATE(IF(SUMPRODUCT(-- ISNUMBER(SEARCH({"Auto Number"}, $B144))) &gt; 0, $B144, IF(SUMPRODUCT(-- ISNUMBER(SEARCH({"Lookup","Master-Detail"}, $B144))) &gt; 0,$B144 &amp; "(" &amp; $E144 &amp; ")",IF(SUMPRODUCT(-- ISNUMBER(SEARCH({"Formula","Roll-Up Summary"}, $B144))) &gt; 0,$B144 &amp; " (" &amp; $E144 &amp; ")",IF(SUMPRODUCT(-- ISNUMBER(SEARCH({"Content","Currency","Number","Percent","Text","URL"}, $B144))) &gt; 0,$B144 &amp; "(" &amp; $C144 &amp; ")",$B144)))), "  ", TRIM(IF($S144 = "YES", "(External ID)", "") &amp; " " &amp; IF(SUMPRODUCT(-- ISNUMBER(SEARCH({"Unique","Unique Case Insensitive"}, $R144))) &gt; 0, "(" &amp; $R144 &amp; ")", ""))))</f>
        <v>na</v>
      </c>
      <c r="E144" s="7" t="s">
        <v>195</v>
      </c>
      <c r="F144" s="7" t="s">
        <v>195</v>
      </c>
      <c r="G144" s="7" t="s">
        <v>195</v>
      </c>
      <c r="H144" s="7" t="s">
        <v>195</v>
      </c>
      <c r="I144" s="7" t="s">
        <v>195</v>
      </c>
      <c r="J144" s="7" t="s">
        <v>195</v>
      </c>
      <c r="K144" s="7" t="s">
        <v>195</v>
      </c>
      <c r="L144" s="7" t="s">
        <v>195</v>
      </c>
      <c r="M144" s="7" t="s">
        <v>29</v>
      </c>
      <c r="N144" s="7" t="s">
        <v>29</v>
      </c>
      <c r="O144" s="7" t="s">
        <v>29</v>
      </c>
      <c r="P144" s="7" t="s">
        <v>29</v>
      </c>
      <c r="Q144" s="7" t="s">
        <v>29</v>
      </c>
      <c r="R144" s="7" t="s">
        <v>29</v>
      </c>
      <c r="S144" s="7" t="s">
        <v>29</v>
      </c>
    </row>
    <row r="145" spans="2:19">
      <c r="B145" s="7" t="s">
        <v>195</v>
      </c>
      <c r="C145" s="8" t="s">
        <v>195</v>
      </c>
      <c r="D145" s="6" t="str">
        <f>LRTRIM(CONCATENATE(IF(SUMPRODUCT(-- ISNUMBER(SEARCH({"Auto Number"}, $B145))) &gt; 0, $B145, IF(SUMPRODUCT(-- ISNUMBER(SEARCH({"Lookup","Master-Detail"}, $B145))) &gt; 0,$B145 &amp; "(" &amp; $E145 &amp; ")",IF(SUMPRODUCT(-- ISNUMBER(SEARCH({"Formula","Roll-Up Summary"}, $B145))) &gt; 0,$B145 &amp; " (" &amp; $E145 &amp; ")",IF(SUMPRODUCT(-- ISNUMBER(SEARCH({"Content","Currency","Number","Percent","Text","URL"}, $B145))) &gt; 0,$B145 &amp; "(" &amp; $C145 &amp; ")",$B145)))), "  ", TRIM(IF($S145 = "YES", "(External ID)", "") &amp; " " &amp; IF(SUMPRODUCT(-- ISNUMBER(SEARCH({"Unique","Unique Case Insensitive"}, $R145))) &gt; 0, "(" &amp; $R145 &amp; ")", ""))))</f>
        <v>na</v>
      </c>
      <c r="E145" s="7" t="s">
        <v>195</v>
      </c>
      <c r="F145" s="7" t="s">
        <v>195</v>
      </c>
      <c r="G145" s="7" t="s">
        <v>195</v>
      </c>
      <c r="H145" s="7" t="s">
        <v>195</v>
      </c>
      <c r="I145" s="7" t="s">
        <v>195</v>
      </c>
      <c r="J145" s="7" t="s">
        <v>195</v>
      </c>
      <c r="K145" s="7" t="s">
        <v>195</v>
      </c>
      <c r="L145" s="7" t="s">
        <v>195</v>
      </c>
      <c r="M145" s="7" t="s">
        <v>29</v>
      </c>
      <c r="N145" s="7" t="s">
        <v>29</v>
      </c>
      <c r="O145" s="7" t="s">
        <v>29</v>
      </c>
      <c r="P145" s="7" t="s">
        <v>29</v>
      </c>
      <c r="Q145" s="7" t="s">
        <v>29</v>
      </c>
      <c r="R145" s="7" t="s">
        <v>29</v>
      </c>
      <c r="S145" s="7" t="s">
        <v>29</v>
      </c>
    </row>
    <row r="146" spans="2:19">
      <c r="B146" s="7" t="s">
        <v>195</v>
      </c>
      <c r="C146" s="8" t="s">
        <v>195</v>
      </c>
      <c r="D146" s="6" t="str">
        <f>LRTRIM(CONCATENATE(IF(SUMPRODUCT(-- ISNUMBER(SEARCH({"Auto Number"}, $B146))) &gt; 0, $B146, IF(SUMPRODUCT(-- ISNUMBER(SEARCH({"Lookup","Master-Detail"}, $B146))) &gt; 0,$B146 &amp; "(" &amp; $E146 &amp; ")",IF(SUMPRODUCT(-- ISNUMBER(SEARCH({"Formula","Roll-Up Summary"}, $B146))) &gt; 0,$B146 &amp; " (" &amp; $E146 &amp; ")",IF(SUMPRODUCT(-- ISNUMBER(SEARCH({"Content","Currency","Number","Percent","Text","URL"}, $B146))) &gt; 0,$B146 &amp; "(" &amp; $C146 &amp; ")",$B146)))), "  ", TRIM(IF($S146 = "YES", "(External ID)", "") &amp; " " &amp; IF(SUMPRODUCT(-- ISNUMBER(SEARCH({"Unique","Unique Case Insensitive"}, $R146))) &gt; 0, "(" &amp; $R146 &amp; ")", ""))))</f>
        <v>na</v>
      </c>
      <c r="E146" s="7" t="s">
        <v>195</v>
      </c>
      <c r="F146" s="7" t="s">
        <v>195</v>
      </c>
      <c r="G146" s="7" t="s">
        <v>195</v>
      </c>
      <c r="H146" s="7" t="s">
        <v>195</v>
      </c>
      <c r="I146" s="7" t="s">
        <v>195</v>
      </c>
      <c r="J146" s="7" t="s">
        <v>195</v>
      </c>
      <c r="K146" s="7" t="s">
        <v>195</v>
      </c>
      <c r="L146" s="7" t="s">
        <v>195</v>
      </c>
      <c r="M146" s="7" t="s">
        <v>29</v>
      </c>
      <c r="N146" s="7" t="s">
        <v>29</v>
      </c>
      <c r="O146" s="7" t="s">
        <v>29</v>
      </c>
      <c r="P146" s="7" t="s">
        <v>29</v>
      </c>
      <c r="Q146" s="7" t="s">
        <v>29</v>
      </c>
      <c r="R146" s="7" t="s">
        <v>29</v>
      </c>
      <c r="S146" s="7" t="s">
        <v>29</v>
      </c>
    </row>
    <row r="147" spans="2:19">
      <c r="B147" s="7" t="s">
        <v>195</v>
      </c>
      <c r="C147" s="8" t="s">
        <v>195</v>
      </c>
      <c r="D147" s="6" t="str">
        <f>LRTRIM(CONCATENATE(IF(SUMPRODUCT(-- ISNUMBER(SEARCH({"Auto Number"}, $B147))) &gt; 0, $B147, IF(SUMPRODUCT(-- ISNUMBER(SEARCH({"Lookup","Master-Detail"}, $B147))) &gt; 0,$B147 &amp; "(" &amp; $E147 &amp; ")",IF(SUMPRODUCT(-- ISNUMBER(SEARCH({"Formula","Roll-Up Summary"}, $B147))) &gt; 0,$B147 &amp; " (" &amp; $E147 &amp; ")",IF(SUMPRODUCT(-- ISNUMBER(SEARCH({"Content","Currency","Number","Percent","Text","URL"}, $B147))) &gt; 0,$B147 &amp; "(" &amp; $C147 &amp; ")",$B147)))), "  ", TRIM(IF($S147 = "YES", "(External ID)", "") &amp; " " &amp; IF(SUMPRODUCT(-- ISNUMBER(SEARCH({"Unique","Unique Case Insensitive"}, $R147))) &gt; 0, "(" &amp; $R147 &amp; ")", ""))))</f>
        <v>na</v>
      </c>
      <c r="E147" s="7" t="s">
        <v>195</v>
      </c>
      <c r="F147" s="7" t="s">
        <v>195</v>
      </c>
      <c r="G147" s="7" t="s">
        <v>195</v>
      </c>
      <c r="H147" s="7" t="s">
        <v>195</v>
      </c>
      <c r="I147" s="7" t="s">
        <v>195</v>
      </c>
      <c r="J147" s="7" t="s">
        <v>195</v>
      </c>
      <c r="K147" s="7" t="s">
        <v>195</v>
      </c>
      <c r="L147" s="7" t="s">
        <v>195</v>
      </c>
      <c r="M147" s="7" t="s">
        <v>29</v>
      </c>
      <c r="N147" s="7" t="s">
        <v>29</v>
      </c>
      <c r="O147" s="7" t="s">
        <v>29</v>
      </c>
      <c r="P147" s="7" t="s">
        <v>29</v>
      </c>
      <c r="Q147" s="7" t="s">
        <v>29</v>
      </c>
      <c r="R147" s="7" t="s">
        <v>29</v>
      </c>
      <c r="S147" s="7" t="s">
        <v>29</v>
      </c>
    </row>
    <row r="148" spans="2:19">
      <c r="B148" s="7" t="s">
        <v>195</v>
      </c>
      <c r="C148" s="8" t="s">
        <v>195</v>
      </c>
      <c r="D148" s="6" t="str">
        <f>LRTRIM(CONCATENATE(IF(SUMPRODUCT(-- ISNUMBER(SEARCH({"Auto Number"}, $B148))) &gt; 0, $B148, IF(SUMPRODUCT(-- ISNUMBER(SEARCH({"Lookup","Master-Detail"}, $B148))) &gt; 0,$B148 &amp; "(" &amp; $E148 &amp; ")",IF(SUMPRODUCT(-- ISNUMBER(SEARCH({"Formula","Roll-Up Summary"}, $B148))) &gt; 0,$B148 &amp; " (" &amp; $E148 &amp; ")",IF(SUMPRODUCT(-- ISNUMBER(SEARCH({"Content","Currency","Number","Percent","Text","URL"}, $B148))) &gt; 0,$B148 &amp; "(" &amp; $C148 &amp; ")",$B148)))), "  ", TRIM(IF($S148 = "YES", "(External ID)", "") &amp; " " &amp; IF(SUMPRODUCT(-- ISNUMBER(SEARCH({"Unique","Unique Case Insensitive"}, $R148))) &gt; 0, "(" &amp; $R148 &amp; ")", ""))))</f>
        <v>na</v>
      </c>
      <c r="E148" s="7" t="s">
        <v>195</v>
      </c>
      <c r="F148" s="7" t="s">
        <v>195</v>
      </c>
      <c r="G148" s="7" t="s">
        <v>195</v>
      </c>
      <c r="H148" s="7" t="s">
        <v>195</v>
      </c>
      <c r="I148" s="7" t="s">
        <v>195</v>
      </c>
      <c r="J148" s="7" t="s">
        <v>195</v>
      </c>
      <c r="K148" s="7" t="s">
        <v>195</v>
      </c>
      <c r="L148" s="7" t="s">
        <v>195</v>
      </c>
      <c r="M148" s="7" t="s">
        <v>29</v>
      </c>
      <c r="N148" s="7" t="s">
        <v>29</v>
      </c>
      <c r="O148" s="7" t="s">
        <v>29</v>
      </c>
      <c r="P148" s="7" t="s">
        <v>29</v>
      </c>
      <c r="Q148" s="7" t="s">
        <v>29</v>
      </c>
      <c r="R148" s="7" t="s">
        <v>29</v>
      </c>
      <c r="S148" s="7" t="s">
        <v>29</v>
      </c>
    </row>
    <row r="149" spans="2:19">
      <c r="B149" s="7" t="s">
        <v>195</v>
      </c>
      <c r="C149" s="8" t="s">
        <v>195</v>
      </c>
      <c r="D149" s="6" t="str">
        <f>LRTRIM(CONCATENATE(IF(SUMPRODUCT(-- ISNUMBER(SEARCH({"Auto Number"}, $B149))) &gt; 0, $B149, IF(SUMPRODUCT(-- ISNUMBER(SEARCH({"Lookup","Master-Detail"}, $B149))) &gt; 0,$B149 &amp; "(" &amp; $E149 &amp; ")",IF(SUMPRODUCT(-- ISNUMBER(SEARCH({"Formula","Roll-Up Summary"}, $B149))) &gt; 0,$B149 &amp; " (" &amp; $E149 &amp; ")",IF(SUMPRODUCT(-- ISNUMBER(SEARCH({"Content","Currency","Number","Percent","Text","URL"}, $B149))) &gt; 0,$B149 &amp; "(" &amp; $C149 &amp; ")",$B149)))), "  ", TRIM(IF($S149 = "YES", "(External ID)", "") &amp; " " &amp; IF(SUMPRODUCT(-- ISNUMBER(SEARCH({"Unique","Unique Case Insensitive"}, $R149))) &gt; 0, "(" &amp; $R149 &amp; ")", ""))))</f>
        <v>na</v>
      </c>
      <c r="E149" s="7" t="s">
        <v>195</v>
      </c>
      <c r="F149" s="7" t="s">
        <v>195</v>
      </c>
      <c r="G149" s="7" t="s">
        <v>195</v>
      </c>
      <c r="H149" s="7" t="s">
        <v>195</v>
      </c>
      <c r="I149" s="7" t="s">
        <v>195</v>
      </c>
      <c r="J149" s="7" t="s">
        <v>195</v>
      </c>
      <c r="K149" s="7" t="s">
        <v>195</v>
      </c>
      <c r="L149" s="7" t="s">
        <v>195</v>
      </c>
      <c r="M149" s="7" t="s">
        <v>29</v>
      </c>
      <c r="N149" s="7" t="s">
        <v>29</v>
      </c>
      <c r="O149" s="7" t="s">
        <v>29</v>
      </c>
      <c r="P149" s="7" t="s">
        <v>29</v>
      </c>
      <c r="Q149" s="7" t="s">
        <v>29</v>
      </c>
      <c r="R149" s="7" t="s">
        <v>29</v>
      </c>
      <c r="S149" s="7" t="s">
        <v>29</v>
      </c>
    </row>
    <row r="150" spans="2:19">
      <c r="B150" s="7" t="s">
        <v>195</v>
      </c>
      <c r="C150" s="8" t="s">
        <v>195</v>
      </c>
      <c r="D150" s="6" t="str">
        <f>LRTRIM(CONCATENATE(IF(SUMPRODUCT(-- ISNUMBER(SEARCH({"Auto Number"}, $B150))) &gt; 0, $B150, IF(SUMPRODUCT(-- ISNUMBER(SEARCH({"Lookup","Master-Detail"}, $B150))) &gt; 0,$B150 &amp; "(" &amp; $E150 &amp; ")",IF(SUMPRODUCT(-- ISNUMBER(SEARCH({"Formula","Roll-Up Summary"}, $B150))) &gt; 0,$B150 &amp; " (" &amp; $E150 &amp; ")",IF(SUMPRODUCT(-- ISNUMBER(SEARCH({"Content","Currency","Number","Percent","Text","URL"}, $B150))) &gt; 0,$B150 &amp; "(" &amp; $C150 &amp; ")",$B150)))), "  ", TRIM(IF($S150 = "YES", "(External ID)", "") &amp; " " &amp; IF(SUMPRODUCT(-- ISNUMBER(SEARCH({"Unique","Unique Case Insensitive"}, $R150))) &gt; 0, "(" &amp; $R150 &amp; ")", ""))))</f>
        <v>na</v>
      </c>
      <c r="E150" s="7" t="s">
        <v>195</v>
      </c>
      <c r="F150" s="7" t="s">
        <v>195</v>
      </c>
      <c r="G150" s="7" t="s">
        <v>195</v>
      </c>
      <c r="H150" s="7" t="s">
        <v>195</v>
      </c>
      <c r="I150" s="7" t="s">
        <v>195</v>
      </c>
      <c r="J150" s="7" t="s">
        <v>195</v>
      </c>
      <c r="K150" s="7" t="s">
        <v>195</v>
      </c>
      <c r="L150" s="7" t="s">
        <v>195</v>
      </c>
      <c r="M150" s="7" t="s">
        <v>29</v>
      </c>
      <c r="N150" s="7" t="s">
        <v>29</v>
      </c>
      <c r="O150" s="7" t="s">
        <v>29</v>
      </c>
      <c r="P150" s="7" t="s">
        <v>29</v>
      </c>
      <c r="Q150" s="7" t="s">
        <v>29</v>
      </c>
      <c r="R150" s="7" t="s">
        <v>29</v>
      </c>
      <c r="S150" s="7" t="s">
        <v>29</v>
      </c>
    </row>
    <row r="151" spans="2:19">
      <c r="B151" s="7" t="s">
        <v>195</v>
      </c>
      <c r="C151" s="8" t="s">
        <v>195</v>
      </c>
      <c r="D151" s="6" t="str">
        <f>LRTRIM(CONCATENATE(IF(SUMPRODUCT(-- ISNUMBER(SEARCH({"Auto Number"}, $B151))) &gt; 0, $B151, IF(SUMPRODUCT(-- ISNUMBER(SEARCH({"Lookup","Master-Detail"}, $B151))) &gt; 0,$B151 &amp; "(" &amp; $E151 &amp; ")",IF(SUMPRODUCT(-- ISNUMBER(SEARCH({"Formula","Roll-Up Summary"}, $B151))) &gt; 0,$B151 &amp; " (" &amp; $E151 &amp; ")",IF(SUMPRODUCT(-- ISNUMBER(SEARCH({"Content","Currency","Number","Percent","Text","URL"}, $B151))) &gt; 0,$B151 &amp; "(" &amp; $C151 &amp; ")",$B151)))), "  ", TRIM(IF($S151 = "YES", "(External ID)", "") &amp; " " &amp; IF(SUMPRODUCT(-- ISNUMBER(SEARCH({"Unique","Unique Case Insensitive"}, $R151))) &gt; 0, "(" &amp; $R151 &amp; ")", ""))))</f>
        <v>na</v>
      </c>
      <c r="E151" s="7" t="s">
        <v>195</v>
      </c>
      <c r="F151" s="7" t="s">
        <v>195</v>
      </c>
      <c r="G151" s="7" t="s">
        <v>195</v>
      </c>
      <c r="H151" s="7" t="s">
        <v>195</v>
      </c>
      <c r="I151" s="7" t="s">
        <v>195</v>
      </c>
      <c r="J151" s="7" t="s">
        <v>195</v>
      </c>
      <c r="K151" s="7" t="s">
        <v>195</v>
      </c>
      <c r="L151" s="7" t="s">
        <v>195</v>
      </c>
      <c r="M151" s="7" t="s">
        <v>29</v>
      </c>
      <c r="N151" s="7" t="s">
        <v>29</v>
      </c>
      <c r="O151" s="7" t="s">
        <v>29</v>
      </c>
      <c r="P151" s="7" t="s">
        <v>29</v>
      </c>
      <c r="Q151" s="7" t="s">
        <v>29</v>
      </c>
      <c r="R151" s="7" t="s">
        <v>29</v>
      </c>
      <c r="S151" s="7" t="s">
        <v>29</v>
      </c>
    </row>
    <row r="152" spans="2:19">
      <c r="B152" s="7" t="s">
        <v>195</v>
      </c>
      <c r="C152" s="8" t="s">
        <v>195</v>
      </c>
      <c r="D152" s="6" t="str">
        <f>LRTRIM(CONCATENATE(IF(SUMPRODUCT(-- ISNUMBER(SEARCH({"Auto Number"}, $B152))) &gt; 0, $B152, IF(SUMPRODUCT(-- ISNUMBER(SEARCH({"Lookup","Master-Detail"}, $B152))) &gt; 0,$B152 &amp; "(" &amp; $E152 &amp; ")",IF(SUMPRODUCT(-- ISNUMBER(SEARCH({"Formula","Roll-Up Summary"}, $B152))) &gt; 0,$B152 &amp; " (" &amp; $E152 &amp; ")",IF(SUMPRODUCT(-- ISNUMBER(SEARCH({"Content","Currency","Number","Percent","Text","URL"}, $B152))) &gt; 0,$B152 &amp; "(" &amp; $C152 &amp; ")",$B152)))), "  ", TRIM(IF($S152 = "YES", "(External ID)", "") &amp; " " &amp; IF(SUMPRODUCT(-- ISNUMBER(SEARCH({"Unique","Unique Case Insensitive"}, $R152))) &gt; 0, "(" &amp; $R152 &amp; ")", ""))))</f>
        <v>na</v>
      </c>
      <c r="E152" s="7" t="s">
        <v>195</v>
      </c>
      <c r="F152" s="7" t="s">
        <v>195</v>
      </c>
      <c r="G152" s="7" t="s">
        <v>195</v>
      </c>
      <c r="H152" s="7" t="s">
        <v>195</v>
      </c>
      <c r="I152" s="7" t="s">
        <v>195</v>
      </c>
      <c r="J152" s="7" t="s">
        <v>195</v>
      </c>
      <c r="K152" s="7" t="s">
        <v>195</v>
      </c>
      <c r="L152" s="7" t="s">
        <v>195</v>
      </c>
      <c r="M152" s="7" t="s">
        <v>29</v>
      </c>
      <c r="N152" s="7" t="s">
        <v>29</v>
      </c>
      <c r="O152" s="7" t="s">
        <v>29</v>
      </c>
      <c r="P152" s="7" t="s">
        <v>29</v>
      </c>
      <c r="Q152" s="7" t="s">
        <v>29</v>
      </c>
      <c r="R152" s="7" t="s">
        <v>29</v>
      </c>
      <c r="S152" s="7" t="s">
        <v>29</v>
      </c>
    </row>
    <row r="153" spans="2:19">
      <c r="B153" s="7" t="s">
        <v>195</v>
      </c>
      <c r="C153" s="8" t="s">
        <v>195</v>
      </c>
      <c r="D153" s="6" t="str">
        <f>LRTRIM(CONCATENATE(IF(SUMPRODUCT(-- ISNUMBER(SEARCH({"Auto Number"}, $B153))) &gt; 0, $B153, IF(SUMPRODUCT(-- ISNUMBER(SEARCH({"Lookup","Master-Detail"}, $B153))) &gt; 0,$B153 &amp; "(" &amp; $E153 &amp; ")",IF(SUMPRODUCT(-- ISNUMBER(SEARCH({"Formula","Roll-Up Summary"}, $B153))) &gt; 0,$B153 &amp; " (" &amp; $E153 &amp; ")",IF(SUMPRODUCT(-- ISNUMBER(SEARCH({"Content","Currency","Number","Percent","Text","URL"}, $B153))) &gt; 0,$B153 &amp; "(" &amp; $C153 &amp; ")",$B153)))), "  ", TRIM(IF($S153 = "YES", "(External ID)", "") &amp; " " &amp; IF(SUMPRODUCT(-- ISNUMBER(SEARCH({"Unique","Unique Case Insensitive"}, $R153))) &gt; 0, "(" &amp; $R153 &amp; ")", ""))))</f>
        <v>na</v>
      </c>
      <c r="E153" s="7" t="s">
        <v>195</v>
      </c>
      <c r="F153" s="7" t="s">
        <v>195</v>
      </c>
      <c r="G153" s="7" t="s">
        <v>195</v>
      </c>
      <c r="H153" s="7" t="s">
        <v>195</v>
      </c>
      <c r="I153" s="7" t="s">
        <v>195</v>
      </c>
      <c r="J153" s="7" t="s">
        <v>195</v>
      </c>
      <c r="K153" s="7" t="s">
        <v>195</v>
      </c>
      <c r="L153" s="7" t="s">
        <v>195</v>
      </c>
      <c r="M153" s="7" t="s">
        <v>29</v>
      </c>
      <c r="N153" s="7" t="s">
        <v>29</v>
      </c>
      <c r="O153" s="7" t="s">
        <v>29</v>
      </c>
      <c r="P153" s="7" t="s">
        <v>29</v>
      </c>
      <c r="Q153" s="7" t="s">
        <v>29</v>
      </c>
      <c r="R153" s="7" t="s">
        <v>29</v>
      </c>
      <c r="S153" s="7" t="s">
        <v>29</v>
      </c>
    </row>
    <row r="154" spans="2:19">
      <c r="B154" s="7" t="s">
        <v>195</v>
      </c>
      <c r="C154" s="8" t="s">
        <v>195</v>
      </c>
      <c r="D154" s="6" t="str">
        <f>LRTRIM(CONCATENATE(IF(SUMPRODUCT(-- ISNUMBER(SEARCH({"Auto Number"}, $B154))) &gt; 0, $B154, IF(SUMPRODUCT(-- ISNUMBER(SEARCH({"Lookup","Master-Detail"}, $B154))) &gt; 0,$B154 &amp; "(" &amp; $E154 &amp; ")",IF(SUMPRODUCT(-- ISNUMBER(SEARCH({"Formula","Roll-Up Summary"}, $B154))) &gt; 0,$B154 &amp; " (" &amp; $E154 &amp; ")",IF(SUMPRODUCT(-- ISNUMBER(SEARCH({"Content","Currency","Number","Percent","Text","URL"}, $B154))) &gt; 0,$B154 &amp; "(" &amp; $C154 &amp; ")",$B154)))), "  ", TRIM(IF($S154 = "YES", "(External ID)", "") &amp; " " &amp; IF(SUMPRODUCT(-- ISNUMBER(SEARCH({"Unique","Unique Case Insensitive"}, $R154))) &gt; 0, "(" &amp; $R154 &amp; ")", ""))))</f>
        <v>na</v>
      </c>
      <c r="E154" s="7" t="s">
        <v>195</v>
      </c>
      <c r="F154" s="7" t="s">
        <v>195</v>
      </c>
      <c r="G154" s="7" t="s">
        <v>195</v>
      </c>
      <c r="H154" s="7" t="s">
        <v>195</v>
      </c>
      <c r="I154" s="7" t="s">
        <v>195</v>
      </c>
      <c r="J154" s="7" t="s">
        <v>195</v>
      </c>
      <c r="K154" s="7" t="s">
        <v>195</v>
      </c>
      <c r="L154" s="7" t="s">
        <v>195</v>
      </c>
      <c r="M154" s="7" t="s">
        <v>29</v>
      </c>
      <c r="N154" s="7" t="s">
        <v>29</v>
      </c>
      <c r="O154" s="7" t="s">
        <v>29</v>
      </c>
      <c r="P154" s="7" t="s">
        <v>29</v>
      </c>
      <c r="Q154" s="7" t="s">
        <v>29</v>
      </c>
      <c r="R154" s="7" t="s">
        <v>29</v>
      </c>
      <c r="S154" s="7" t="s">
        <v>29</v>
      </c>
    </row>
    <row r="155" spans="2:19">
      <c r="B155" s="7" t="s">
        <v>195</v>
      </c>
      <c r="C155" s="8" t="s">
        <v>195</v>
      </c>
      <c r="D155" s="6" t="str">
        <f>LRTRIM(CONCATENATE(IF(SUMPRODUCT(-- ISNUMBER(SEARCH({"Auto Number"}, $B155))) &gt; 0, $B155, IF(SUMPRODUCT(-- ISNUMBER(SEARCH({"Lookup","Master-Detail"}, $B155))) &gt; 0,$B155 &amp; "(" &amp; $E155 &amp; ")",IF(SUMPRODUCT(-- ISNUMBER(SEARCH({"Formula","Roll-Up Summary"}, $B155))) &gt; 0,$B155 &amp; " (" &amp; $E155 &amp; ")",IF(SUMPRODUCT(-- ISNUMBER(SEARCH({"Content","Currency","Number","Percent","Text","URL"}, $B155))) &gt; 0,$B155 &amp; "(" &amp; $C155 &amp; ")",$B155)))), "  ", TRIM(IF($S155 = "YES", "(External ID)", "") &amp; " " &amp; IF(SUMPRODUCT(-- ISNUMBER(SEARCH({"Unique","Unique Case Insensitive"}, $R155))) &gt; 0, "(" &amp; $R155 &amp; ")", ""))))</f>
        <v>na</v>
      </c>
      <c r="E155" s="7" t="s">
        <v>195</v>
      </c>
      <c r="F155" s="7" t="s">
        <v>195</v>
      </c>
      <c r="G155" s="7" t="s">
        <v>195</v>
      </c>
      <c r="H155" s="7" t="s">
        <v>195</v>
      </c>
      <c r="I155" s="7" t="s">
        <v>195</v>
      </c>
      <c r="J155" s="7" t="s">
        <v>195</v>
      </c>
      <c r="K155" s="7" t="s">
        <v>195</v>
      </c>
      <c r="L155" s="7" t="s">
        <v>195</v>
      </c>
      <c r="M155" s="7" t="s">
        <v>29</v>
      </c>
      <c r="N155" s="7" t="s">
        <v>29</v>
      </c>
      <c r="O155" s="7" t="s">
        <v>29</v>
      </c>
      <c r="P155" s="7" t="s">
        <v>29</v>
      </c>
      <c r="Q155" s="7" t="s">
        <v>29</v>
      </c>
      <c r="R155" s="7" t="s">
        <v>29</v>
      </c>
      <c r="S155" s="7" t="s">
        <v>29</v>
      </c>
    </row>
    <row r="156" spans="2:19">
      <c r="B156" s="7" t="s">
        <v>195</v>
      </c>
      <c r="C156" s="8" t="s">
        <v>195</v>
      </c>
      <c r="D156" s="6" t="str">
        <f>LRTRIM(CONCATENATE(IF(SUMPRODUCT(-- ISNUMBER(SEARCH({"Auto Number"}, $B156))) &gt; 0, $B156, IF(SUMPRODUCT(-- ISNUMBER(SEARCH({"Lookup","Master-Detail"}, $B156))) &gt; 0,$B156 &amp; "(" &amp; $E156 &amp; ")",IF(SUMPRODUCT(-- ISNUMBER(SEARCH({"Formula","Roll-Up Summary"}, $B156))) &gt; 0,$B156 &amp; " (" &amp; $E156 &amp; ")",IF(SUMPRODUCT(-- ISNUMBER(SEARCH({"Content","Currency","Number","Percent","Text","URL"}, $B156))) &gt; 0,$B156 &amp; "(" &amp; $C156 &amp; ")",$B156)))), "  ", TRIM(IF($S156 = "YES", "(External ID)", "") &amp; " " &amp; IF(SUMPRODUCT(-- ISNUMBER(SEARCH({"Unique","Unique Case Insensitive"}, $R156))) &gt; 0, "(" &amp; $R156 &amp; ")", ""))))</f>
        <v>na</v>
      </c>
      <c r="E156" s="7" t="s">
        <v>195</v>
      </c>
      <c r="F156" s="7" t="s">
        <v>195</v>
      </c>
      <c r="G156" s="7" t="s">
        <v>195</v>
      </c>
      <c r="H156" s="7" t="s">
        <v>195</v>
      </c>
      <c r="I156" s="7" t="s">
        <v>195</v>
      </c>
      <c r="J156" s="7" t="s">
        <v>195</v>
      </c>
      <c r="K156" s="7" t="s">
        <v>195</v>
      </c>
      <c r="L156" s="7" t="s">
        <v>195</v>
      </c>
      <c r="M156" s="7" t="s">
        <v>29</v>
      </c>
      <c r="N156" s="7" t="s">
        <v>29</v>
      </c>
      <c r="O156" s="7" t="s">
        <v>29</v>
      </c>
      <c r="P156" s="7" t="s">
        <v>29</v>
      </c>
      <c r="Q156" s="7" t="s">
        <v>29</v>
      </c>
      <c r="R156" s="7" t="s">
        <v>29</v>
      </c>
      <c r="S156" s="7" t="s">
        <v>29</v>
      </c>
    </row>
    <row r="157" spans="2:19">
      <c r="B157" s="7" t="s">
        <v>195</v>
      </c>
      <c r="C157" s="8" t="s">
        <v>195</v>
      </c>
      <c r="D157" s="6" t="str">
        <f>LRTRIM(CONCATENATE(IF(SUMPRODUCT(-- ISNUMBER(SEARCH({"Auto Number"}, $B157))) &gt; 0, $B157, IF(SUMPRODUCT(-- ISNUMBER(SEARCH({"Lookup","Master-Detail"}, $B157))) &gt; 0,$B157 &amp; "(" &amp; $E157 &amp; ")",IF(SUMPRODUCT(-- ISNUMBER(SEARCH({"Formula","Roll-Up Summary"}, $B157))) &gt; 0,$B157 &amp; " (" &amp; $E157 &amp; ")",IF(SUMPRODUCT(-- ISNUMBER(SEARCH({"Content","Currency","Number","Percent","Text","URL"}, $B157))) &gt; 0,$B157 &amp; "(" &amp; $C157 &amp; ")",$B157)))), "  ", TRIM(IF($S157 = "YES", "(External ID)", "") &amp; " " &amp; IF(SUMPRODUCT(-- ISNUMBER(SEARCH({"Unique","Unique Case Insensitive"}, $R157))) &gt; 0, "(" &amp; $R157 &amp; ")", ""))))</f>
        <v>na</v>
      </c>
      <c r="E157" s="7" t="s">
        <v>195</v>
      </c>
      <c r="F157" s="7" t="s">
        <v>195</v>
      </c>
      <c r="G157" s="7" t="s">
        <v>195</v>
      </c>
      <c r="H157" s="7" t="s">
        <v>195</v>
      </c>
      <c r="I157" s="7" t="s">
        <v>195</v>
      </c>
      <c r="J157" s="7" t="s">
        <v>195</v>
      </c>
      <c r="K157" s="7" t="s">
        <v>195</v>
      </c>
      <c r="L157" s="7" t="s">
        <v>195</v>
      </c>
      <c r="M157" s="7" t="s">
        <v>29</v>
      </c>
      <c r="N157" s="7" t="s">
        <v>29</v>
      </c>
      <c r="O157" s="7" t="s">
        <v>29</v>
      </c>
      <c r="P157" s="7" t="s">
        <v>29</v>
      </c>
      <c r="Q157" s="7" t="s">
        <v>29</v>
      </c>
      <c r="R157" s="7" t="s">
        <v>29</v>
      </c>
      <c r="S157" s="7" t="s">
        <v>29</v>
      </c>
    </row>
    <row r="158" spans="2:19">
      <c r="B158" s="7" t="s">
        <v>195</v>
      </c>
      <c r="C158" s="8" t="s">
        <v>195</v>
      </c>
      <c r="D158" s="6" t="str">
        <f>LRTRIM(CONCATENATE(IF(SUMPRODUCT(-- ISNUMBER(SEARCH({"Auto Number"}, $B158))) &gt; 0, $B158, IF(SUMPRODUCT(-- ISNUMBER(SEARCH({"Lookup","Master-Detail"}, $B158))) &gt; 0,$B158 &amp; "(" &amp; $E158 &amp; ")",IF(SUMPRODUCT(-- ISNUMBER(SEARCH({"Formula","Roll-Up Summary"}, $B158))) &gt; 0,$B158 &amp; " (" &amp; $E158 &amp; ")",IF(SUMPRODUCT(-- ISNUMBER(SEARCH({"Content","Currency","Number","Percent","Text","URL"}, $B158))) &gt; 0,$B158 &amp; "(" &amp; $C158 &amp; ")",$B158)))), "  ", TRIM(IF($S158 = "YES", "(External ID)", "") &amp; " " &amp; IF(SUMPRODUCT(-- ISNUMBER(SEARCH({"Unique","Unique Case Insensitive"}, $R158))) &gt; 0, "(" &amp; $R158 &amp; ")", ""))))</f>
        <v>na</v>
      </c>
      <c r="E158" s="7" t="s">
        <v>195</v>
      </c>
      <c r="F158" s="7" t="s">
        <v>195</v>
      </c>
      <c r="G158" s="7" t="s">
        <v>195</v>
      </c>
      <c r="H158" s="7" t="s">
        <v>195</v>
      </c>
      <c r="I158" s="7" t="s">
        <v>195</v>
      </c>
      <c r="J158" s="7" t="s">
        <v>195</v>
      </c>
      <c r="K158" s="7" t="s">
        <v>195</v>
      </c>
      <c r="L158" s="7" t="s">
        <v>195</v>
      </c>
      <c r="M158" s="7" t="s">
        <v>29</v>
      </c>
      <c r="N158" s="7" t="s">
        <v>29</v>
      </c>
      <c r="O158" s="7" t="s">
        <v>29</v>
      </c>
      <c r="P158" s="7" t="s">
        <v>29</v>
      </c>
      <c r="Q158" s="7" t="s">
        <v>29</v>
      </c>
      <c r="R158" s="7" t="s">
        <v>29</v>
      </c>
      <c r="S158" s="7" t="s">
        <v>29</v>
      </c>
    </row>
    <row r="159" spans="2:19">
      <c r="B159" s="7" t="s">
        <v>195</v>
      </c>
      <c r="C159" s="8" t="s">
        <v>195</v>
      </c>
      <c r="D159" s="6" t="str">
        <f>LRTRIM(CONCATENATE(IF(SUMPRODUCT(-- ISNUMBER(SEARCH({"Auto Number"}, $B159))) &gt; 0, $B159, IF(SUMPRODUCT(-- ISNUMBER(SEARCH({"Lookup","Master-Detail"}, $B159))) &gt; 0,$B159 &amp; "(" &amp; $E159 &amp; ")",IF(SUMPRODUCT(-- ISNUMBER(SEARCH({"Formula","Roll-Up Summary"}, $B159))) &gt; 0,$B159 &amp; " (" &amp; $E159 &amp; ")",IF(SUMPRODUCT(-- ISNUMBER(SEARCH({"Content","Currency","Number","Percent","Text","URL"}, $B159))) &gt; 0,$B159 &amp; "(" &amp; $C159 &amp; ")",$B159)))), "  ", TRIM(IF($S159 = "YES", "(External ID)", "") &amp; " " &amp; IF(SUMPRODUCT(-- ISNUMBER(SEARCH({"Unique","Unique Case Insensitive"}, $R159))) &gt; 0, "(" &amp; $R159 &amp; ")", ""))))</f>
        <v>na</v>
      </c>
      <c r="E159" s="7" t="s">
        <v>195</v>
      </c>
      <c r="F159" s="7" t="s">
        <v>195</v>
      </c>
      <c r="G159" s="7" t="s">
        <v>195</v>
      </c>
      <c r="H159" s="7" t="s">
        <v>195</v>
      </c>
      <c r="I159" s="7" t="s">
        <v>195</v>
      </c>
      <c r="J159" s="7" t="s">
        <v>195</v>
      </c>
      <c r="K159" s="7" t="s">
        <v>195</v>
      </c>
      <c r="L159" s="7" t="s">
        <v>195</v>
      </c>
      <c r="M159" s="7" t="s">
        <v>29</v>
      </c>
      <c r="N159" s="7" t="s">
        <v>29</v>
      </c>
      <c r="O159" s="7" t="s">
        <v>29</v>
      </c>
      <c r="P159" s="7" t="s">
        <v>29</v>
      </c>
      <c r="Q159" s="7" t="s">
        <v>29</v>
      </c>
      <c r="R159" s="7" t="s">
        <v>29</v>
      </c>
      <c r="S159" s="7" t="s">
        <v>29</v>
      </c>
    </row>
    <row r="160" spans="2:19">
      <c r="B160" s="7" t="s">
        <v>195</v>
      </c>
      <c r="C160" s="8" t="s">
        <v>195</v>
      </c>
      <c r="D160" s="6" t="str">
        <f>LRTRIM(CONCATENATE(IF(SUMPRODUCT(-- ISNUMBER(SEARCH({"Auto Number"}, $B160))) &gt; 0, $B160, IF(SUMPRODUCT(-- ISNUMBER(SEARCH({"Lookup","Master-Detail"}, $B160))) &gt; 0,$B160 &amp; "(" &amp; $E160 &amp; ")",IF(SUMPRODUCT(-- ISNUMBER(SEARCH({"Formula","Roll-Up Summary"}, $B160))) &gt; 0,$B160 &amp; " (" &amp; $E160 &amp; ")",IF(SUMPRODUCT(-- ISNUMBER(SEARCH({"Content","Currency","Number","Percent","Text","URL"}, $B160))) &gt; 0,$B160 &amp; "(" &amp; $C160 &amp; ")",$B160)))), "  ", TRIM(IF($S160 = "YES", "(External ID)", "") &amp; " " &amp; IF(SUMPRODUCT(-- ISNUMBER(SEARCH({"Unique","Unique Case Insensitive"}, $R160))) &gt; 0, "(" &amp; $R160 &amp; ")", ""))))</f>
        <v>na</v>
      </c>
      <c r="E160" s="7" t="s">
        <v>195</v>
      </c>
      <c r="F160" s="7" t="s">
        <v>195</v>
      </c>
      <c r="G160" s="7" t="s">
        <v>195</v>
      </c>
      <c r="H160" s="7" t="s">
        <v>195</v>
      </c>
      <c r="I160" s="7" t="s">
        <v>195</v>
      </c>
      <c r="J160" s="7" t="s">
        <v>195</v>
      </c>
      <c r="K160" s="7" t="s">
        <v>195</v>
      </c>
      <c r="L160" s="7" t="s">
        <v>195</v>
      </c>
      <c r="M160" s="7" t="s">
        <v>29</v>
      </c>
      <c r="N160" s="7" t="s">
        <v>29</v>
      </c>
      <c r="O160" s="7" t="s">
        <v>29</v>
      </c>
      <c r="P160" s="7" t="s">
        <v>29</v>
      </c>
      <c r="Q160" s="7" t="s">
        <v>29</v>
      </c>
      <c r="R160" s="7" t="s">
        <v>29</v>
      </c>
      <c r="S160" s="7" t="s">
        <v>29</v>
      </c>
    </row>
    <row r="161" spans="2:19">
      <c r="B161" s="7" t="s">
        <v>195</v>
      </c>
      <c r="C161" s="8" t="s">
        <v>195</v>
      </c>
      <c r="D161" s="6" t="str">
        <f>LRTRIM(CONCATENATE(IF(SUMPRODUCT(-- ISNUMBER(SEARCH({"Auto Number"}, $B161))) &gt; 0, $B161, IF(SUMPRODUCT(-- ISNUMBER(SEARCH({"Lookup","Master-Detail"}, $B161))) &gt; 0,$B161 &amp; "(" &amp; $E161 &amp; ")",IF(SUMPRODUCT(-- ISNUMBER(SEARCH({"Formula","Roll-Up Summary"}, $B161))) &gt; 0,$B161 &amp; " (" &amp; $E161 &amp; ")",IF(SUMPRODUCT(-- ISNUMBER(SEARCH({"Content","Currency","Number","Percent","Text","URL"}, $B161))) &gt; 0,$B161 &amp; "(" &amp; $C161 &amp; ")",$B161)))), "  ", TRIM(IF($S161 = "YES", "(External ID)", "") &amp; " " &amp; IF(SUMPRODUCT(-- ISNUMBER(SEARCH({"Unique","Unique Case Insensitive"}, $R161))) &gt; 0, "(" &amp; $R161 &amp; ")", ""))))</f>
        <v>na</v>
      </c>
      <c r="E161" s="7" t="s">
        <v>195</v>
      </c>
      <c r="F161" s="7" t="s">
        <v>195</v>
      </c>
      <c r="G161" s="7" t="s">
        <v>195</v>
      </c>
      <c r="H161" s="7" t="s">
        <v>195</v>
      </c>
      <c r="I161" s="7" t="s">
        <v>195</v>
      </c>
      <c r="J161" s="7" t="s">
        <v>195</v>
      </c>
      <c r="K161" s="7" t="s">
        <v>195</v>
      </c>
      <c r="L161" s="7" t="s">
        <v>195</v>
      </c>
      <c r="M161" s="7" t="s">
        <v>29</v>
      </c>
      <c r="N161" s="7" t="s">
        <v>29</v>
      </c>
      <c r="O161" s="7" t="s">
        <v>29</v>
      </c>
      <c r="P161" s="7" t="s">
        <v>29</v>
      </c>
      <c r="Q161" s="7" t="s">
        <v>29</v>
      </c>
      <c r="R161" s="7" t="s">
        <v>29</v>
      </c>
      <c r="S161" s="7" t="s">
        <v>29</v>
      </c>
    </row>
    <row r="162" spans="2:19">
      <c r="B162" s="7" t="s">
        <v>195</v>
      </c>
      <c r="C162" s="8" t="s">
        <v>195</v>
      </c>
      <c r="D162" s="6" t="str">
        <f>LRTRIM(CONCATENATE(IF(SUMPRODUCT(-- ISNUMBER(SEARCH({"Auto Number"}, $B162))) &gt; 0, $B162, IF(SUMPRODUCT(-- ISNUMBER(SEARCH({"Lookup","Master-Detail"}, $B162))) &gt; 0,$B162 &amp; "(" &amp; $E162 &amp; ")",IF(SUMPRODUCT(-- ISNUMBER(SEARCH({"Formula","Roll-Up Summary"}, $B162))) &gt; 0,$B162 &amp; " (" &amp; $E162 &amp; ")",IF(SUMPRODUCT(-- ISNUMBER(SEARCH({"Content","Currency","Number","Percent","Text","URL"}, $B162))) &gt; 0,$B162 &amp; "(" &amp; $C162 &amp; ")",$B162)))), "  ", TRIM(IF($S162 = "YES", "(External ID)", "") &amp; " " &amp; IF(SUMPRODUCT(-- ISNUMBER(SEARCH({"Unique","Unique Case Insensitive"}, $R162))) &gt; 0, "(" &amp; $R162 &amp; ")", ""))))</f>
        <v>na</v>
      </c>
      <c r="E162" s="7" t="s">
        <v>195</v>
      </c>
      <c r="F162" s="7" t="s">
        <v>195</v>
      </c>
      <c r="G162" s="7" t="s">
        <v>195</v>
      </c>
      <c r="H162" s="7" t="s">
        <v>195</v>
      </c>
      <c r="I162" s="7" t="s">
        <v>195</v>
      </c>
      <c r="J162" s="7" t="s">
        <v>195</v>
      </c>
      <c r="K162" s="7" t="s">
        <v>195</v>
      </c>
      <c r="L162" s="7" t="s">
        <v>195</v>
      </c>
      <c r="M162" s="7" t="s">
        <v>29</v>
      </c>
      <c r="N162" s="7" t="s">
        <v>29</v>
      </c>
      <c r="O162" s="7" t="s">
        <v>29</v>
      </c>
      <c r="P162" s="7" t="s">
        <v>29</v>
      </c>
      <c r="Q162" s="7" t="s">
        <v>29</v>
      </c>
      <c r="R162" s="7" t="s">
        <v>29</v>
      </c>
      <c r="S162" s="7" t="s">
        <v>29</v>
      </c>
    </row>
    <row r="163" spans="2:19">
      <c r="B163" s="7" t="s">
        <v>195</v>
      </c>
      <c r="C163" s="8" t="s">
        <v>195</v>
      </c>
      <c r="D163" s="6" t="str">
        <f>LRTRIM(CONCATENATE(IF(SUMPRODUCT(-- ISNUMBER(SEARCH({"Auto Number"}, $B163))) &gt; 0, $B163, IF(SUMPRODUCT(-- ISNUMBER(SEARCH({"Lookup","Master-Detail"}, $B163))) &gt; 0,$B163 &amp; "(" &amp; $E163 &amp; ")",IF(SUMPRODUCT(-- ISNUMBER(SEARCH({"Formula","Roll-Up Summary"}, $B163))) &gt; 0,$B163 &amp; " (" &amp; $E163 &amp; ")",IF(SUMPRODUCT(-- ISNUMBER(SEARCH({"Content","Currency","Number","Percent","Text","URL"}, $B163))) &gt; 0,$B163 &amp; "(" &amp; $C163 &amp; ")",$B163)))), "  ", TRIM(IF($S163 = "YES", "(External ID)", "") &amp; " " &amp; IF(SUMPRODUCT(-- ISNUMBER(SEARCH({"Unique","Unique Case Insensitive"}, $R163))) &gt; 0, "(" &amp; $R163 &amp; ")", ""))))</f>
        <v>na</v>
      </c>
      <c r="E163" s="7" t="s">
        <v>195</v>
      </c>
      <c r="F163" s="7" t="s">
        <v>195</v>
      </c>
      <c r="G163" s="7" t="s">
        <v>195</v>
      </c>
      <c r="H163" s="7" t="s">
        <v>195</v>
      </c>
      <c r="I163" s="7" t="s">
        <v>195</v>
      </c>
      <c r="J163" s="7" t="s">
        <v>195</v>
      </c>
      <c r="K163" s="7" t="s">
        <v>195</v>
      </c>
      <c r="L163" s="7" t="s">
        <v>195</v>
      </c>
      <c r="M163" s="7" t="s">
        <v>29</v>
      </c>
      <c r="N163" s="7" t="s">
        <v>29</v>
      </c>
      <c r="O163" s="7" t="s">
        <v>29</v>
      </c>
      <c r="P163" s="7" t="s">
        <v>29</v>
      </c>
      <c r="Q163" s="7" t="s">
        <v>29</v>
      </c>
      <c r="R163" s="7" t="s">
        <v>29</v>
      </c>
      <c r="S163" s="7" t="s">
        <v>29</v>
      </c>
    </row>
    <row r="164" spans="2:19">
      <c r="B164" s="7" t="s">
        <v>195</v>
      </c>
      <c r="C164" s="8" t="s">
        <v>195</v>
      </c>
      <c r="D164" s="6" t="str">
        <f>LRTRIM(CONCATENATE(IF(SUMPRODUCT(-- ISNUMBER(SEARCH({"Auto Number"}, $B164))) &gt; 0, $B164, IF(SUMPRODUCT(-- ISNUMBER(SEARCH({"Lookup","Master-Detail"}, $B164))) &gt; 0,$B164 &amp; "(" &amp; $E164 &amp; ")",IF(SUMPRODUCT(-- ISNUMBER(SEARCH({"Formula","Roll-Up Summary"}, $B164))) &gt; 0,$B164 &amp; " (" &amp; $E164 &amp; ")",IF(SUMPRODUCT(-- ISNUMBER(SEARCH({"Content","Currency","Number","Percent","Text","URL"}, $B164))) &gt; 0,$B164 &amp; "(" &amp; $C164 &amp; ")",$B164)))), "  ", TRIM(IF($S164 = "YES", "(External ID)", "") &amp; " " &amp; IF(SUMPRODUCT(-- ISNUMBER(SEARCH({"Unique","Unique Case Insensitive"}, $R164))) &gt; 0, "(" &amp; $R164 &amp; ")", ""))))</f>
        <v>na</v>
      </c>
      <c r="E164" s="7" t="s">
        <v>195</v>
      </c>
      <c r="F164" s="7" t="s">
        <v>195</v>
      </c>
      <c r="G164" s="7" t="s">
        <v>195</v>
      </c>
      <c r="H164" s="7" t="s">
        <v>195</v>
      </c>
      <c r="I164" s="7" t="s">
        <v>195</v>
      </c>
      <c r="J164" s="7" t="s">
        <v>195</v>
      </c>
      <c r="K164" s="7" t="s">
        <v>195</v>
      </c>
      <c r="L164" s="7" t="s">
        <v>195</v>
      </c>
      <c r="M164" s="7" t="s">
        <v>29</v>
      </c>
      <c r="N164" s="7" t="s">
        <v>29</v>
      </c>
      <c r="O164" s="7" t="s">
        <v>29</v>
      </c>
      <c r="P164" s="7" t="s">
        <v>29</v>
      </c>
      <c r="Q164" s="7" t="s">
        <v>29</v>
      </c>
      <c r="R164" s="7" t="s">
        <v>29</v>
      </c>
      <c r="S164" s="7" t="s">
        <v>29</v>
      </c>
    </row>
    <row r="165" spans="2:19">
      <c r="B165" s="7" t="s">
        <v>195</v>
      </c>
      <c r="C165" s="8" t="s">
        <v>195</v>
      </c>
      <c r="D165" s="6" t="str">
        <f>LRTRIM(CONCATENATE(IF(SUMPRODUCT(-- ISNUMBER(SEARCH({"Auto Number"}, $B165))) &gt; 0, $B165, IF(SUMPRODUCT(-- ISNUMBER(SEARCH({"Lookup","Master-Detail"}, $B165))) &gt; 0,$B165 &amp; "(" &amp; $E165 &amp; ")",IF(SUMPRODUCT(-- ISNUMBER(SEARCH({"Formula","Roll-Up Summary"}, $B165))) &gt; 0,$B165 &amp; " (" &amp; $E165 &amp; ")",IF(SUMPRODUCT(-- ISNUMBER(SEARCH({"Content","Currency","Number","Percent","Text","URL"}, $B165))) &gt; 0,$B165 &amp; "(" &amp; $C165 &amp; ")",$B165)))), "  ", TRIM(IF($S165 = "YES", "(External ID)", "") &amp; " " &amp; IF(SUMPRODUCT(-- ISNUMBER(SEARCH({"Unique","Unique Case Insensitive"}, $R165))) &gt; 0, "(" &amp; $R165 &amp; ")", ""))))</f>
        <v>na</v>
      </c>
      <c r="E165" s="7" t="s">
        <v>195</v>
      </c>
      <c r="F165" s="7" t="s">
        <v>195</v>
      </c>
      <c r="G165" s="7" t="s">
        <v>195</v>
      </c>
      <c r="H165" s="7" t="s">
        <v>195</v>
      </c>
      <c r="I165" s="7" t="s">
        <v>195</v>
      </c>
      <c r="J165" s="7" t="s">
        <v>195</v>
      </c>
      <c r="K165" s="7" t="s">
        <v>195</v>
      </c>
      <c r="L165" s="7" t="s">
        <v>195</v>
      </c>
      <c r="M165" s="7" t="s">
        <v>29</v>
      </c>
      <c r="N165" s="7" t="s">
        <v>29</v>
      </c>
      <c r="O165" s="7" t="s">
        <v>29</v>
      </c>
      <c r="P165" s="7" t="s">
        <v>29</v>
      </c>
      <c r="Q165" s="7" t="s">
        <v>29</v>
      </c>
      <c r="R165" s="7" t="s">
        <v>29</v>
      </c>
      <c r="S165" s="7" t="s">
        <v>29</v>
      </c>
    </row>
    <row r="166" spans="2:19">
      <c r="B166" s="7" t="s">
        <v>195</v>
      </c>
      <c r="C166" s="8" t="s">
        <v>195</v>
      </c>
      <c r="D166" s="6" t="str">
        <f>LRTRIM(CONCATENATE(IF(SUMPRODUCT(-- ISNUMBER(SEARCH({"Auto Number"}, $B166))) &gt; 0, $B166, IF(SUMPRODUCT(-- ISNUMBER(SEARCH({"Lookup","Master-Detail"}, $B166))) &gt; 0,$B166 &amp; "(" &amp; $E166 &amp; ")",IF(SUMPRODUCT(-- ISNUMBER(SEARCH({"Formula","Roll-Up Summary"}, $B166))) &gt; 0,$B166 &amp; " (" &amp; $E166 &amp; ")",IF(SUMPRODUCT(-- ISNUMBER(SEARCH({"Content","Currency","Number","Percent","Text","URL"}, $B166))) &gt; 0,$B166 &amp; "(" &amp; $C166 &amp; ")",$B166)))), "  ", TRIM(IF($S166 = "YES", "(External ID)", "") &amp; " " &amp; IF(SUMPRODUCT(-- ISNUMBER(SEARCH({"Unique","Unique Case Insensitive"}, $R166))) &gt; 0, "(" &amp; $R166 &amp; ")", ""))))</f>
        <v>na</v>
      </c>
      <c r="E166" s="7" t="s">
        <v>195</v>
      </c>
      <c r="F166" s="7" t="s">
        <v>195</v>
      </c>
      <c r="G166" s="7" t="s">
        <v>195</v>
      </c>
      <c r="H166" s="7" t="s">
        <v>195</v>
      </c>
      <c r="I166" s="7" t="s">
        <v>195</v>
      </c>
      <c r="J166" s="7" t="s">
        <v>195</v>
      </c>
      <c r="K166" s="7" t="s">
        <v>195</v>
      </c>
      <c r="L166" s="7" t="s">
        <v>195</v>
      </c>
      <c r="M166" s="7" t="s">
        <v>29</v>
      </c>
      <c r="N166" s="7" t="s">
        <v>29</v>
      </c>
      <c r="O166" s="7" t="s">
        <v>29</v>
      </c>
      <c r="P166" s="7" t="s">
        <v>29</v>
      </c>
      <c r="Q166" s="7" t="s">
        <v>29</v>
      </c>
      <c r="R166" s="7" t="s">
        <v>29</v>
      </c>
      <c r="S166" s="7" t="s">
        <v>29</v>
      </c>
    </row>
    <row r="167" spans="2:19">
      <c r="B167" s="7" t="s">
        <v>195</v>
      </c>
      <c r="C167" s="8" t="s">
        <v>195</v>
      </c>
      <c r="D167" s="6" t="str">
        <f>LRTRIM(CONCATENATE(IF(SUMPRODUCT(-- ISNUMBER(SEARCH({"Auto Number"}, $B167))) &gt; 0, $B167, IF(SUMPRODUCT(-- ISNUMBER(SEARCH({"Lookup","Master-Detail"}, $B167))) &gt; 0,$B167 &amp; "(" &amp; $E167 &amp; ")",IF(SUMPRODUCT(-- ISNUMBER(SEARCH({"Formula","Roll-Up Summary"}, $B167))) &gt; 0,$B167 &amp; " (" &amp; $E167 &amp; ")",IF(SUMPRODUCT(-- ISNUMBER(SEARCH({"Content","Currency","Number","Percent","Text","URL"}, $B167))) &gt; 0,$B167 &amp; "(" &amp; $C167 &amp; ")",$B167)))), "  ", TRIM(IF($S167 = "YES", "(External ID)", "") &amp; " " &amp; IF(SUMPRODUCT(-- ISNUMBER(SEARCH({"Unique","Unique Case Insensitive"}, $R167))) &gt; 0, "(" &amp; $R167 &amp; ")", ""))))</f>
        <v>na</v>
      </c>
      <c r="E167" s="7" t="s">
        <v>195</v>
      </c>
      <c r="F167" s="7" t="s">
        <v>195</v>
      </c>
      <c r="G167" s="7" t="s">
        <v>195</v>
      </c>
      <c r="H167" s="7" t="s">
        <v>195</v>
      </c>
      <c r="I167" s="7" t="s">
        <v>195</v>
      </c>
      <c r="J167" s="7" t="s">
        <v>195</v>
      </c>
      <c r="K167" s="7" t="s">
        <v>195</v>
      </c>
      <c r="L167" s="7" t="s">
        <v>195</v>
      </c>
      <c r="M167" s="7" t="s">
        <v>29</v>
      </c>
      <c r="N167" s="7" t="s">
        <v>29</v>
      </c>
      <c r="O167" s="7" t="s">
        <v>29</v>
      </c>
      <c r="P167" s="7" t="s">
        <v>29</v>
      </c>
      <c r="Q167" s="7" t="s">
        <v>29</v>
      </c>
      <c r="R167" s="7" t="s">
        <v>29</v>
      </c>
      <c r="S167" s="7" t="s">
        <v>29</v>
      </c>
    </row>
    <row r="168" spans="2:19">
      <c r="B168" s="7" t="s">
        <v>195</v>
      </c>
      <c r="C168" s="8" t="s">
        <v>195</v>
      </c>
      <c r="D168" s="6" t="str">
        <f>LRTRIM(CONCATENATE(IF(SUMPRODUCT(-- ISNUMBER(SEARCH({"Auto Number"}, $B168))) &gt; 0, $B168, IF(SUMPRODUCT(-- ISNUMBER(SEARCH({"Lookup","Master-Detail"}, $B168))) &gt; 0,$B168 &amp; "(" &amp; $E168 &amp; ")",IF(SUMPRODUCT(-- ISNUMBER(SEARCH({"Formula","Roll-Up Summary"}, $B168))) &gt; 0,$B168 &amp; " (" &amp; $E168 &amp; ")",IF(SUMPRODUCT(-- ISNUMBER(SEARCH({"Content","Currency","Number","Percent","Text","URL"}, $B168))) &gt; 0,$B168 &amp; "(" &amp; $C168 &amp; ")",$B168)))), "  ", TRIM(IF($S168 = "YES", "(External ID)", "") &amp; " " &amp; IF(SUMPRODUCT(-- ISNUMBER(SEARCH({"Unique","Unique Case Insensitive"}, $R168))) &gt; 0, "(" &amp; $R168 &amp; ")", ""))))</f>
        <v>na</v>
      </c>
      <c r="E168" s="7" t="s">
        <v>195</v>
      </c>
      <c r="F168" s="7" t="s">
        <v>195</v>
      </c>
      <c r="G168" s="7" t="s">
        <v>195</v>
      </c>
      <c r="H168" s="7" t="s">
        <v>195</v>
      </c>
      <c r="I168" s="7" t="s">
        <v>195</v>
      </c>
      <c r="J168" s="7" t="s">
        <v>195</v>
      </c>
      <c r="K168" s="7" t="s">
        <v>195</v>
      </c>
      <c r="L168" s="7" t="s">
        <v>195</v>
      </c>
      <c r="M168" s="7" t="s">
        <v>29</v>
      </c>
      <c r="N168" s="7" t="s">
        <v>29</v>
      </c>
      <c r="O168" s="7" t="s">
        <v>29</v>
      </c>
      <c r="P168" s="7" t="s">
        <v>29</v>
      </c>
      <c r="Q168" s="7" t="s">
        <v>29</v>
      </c>
      <c r="R168" s="7" t="s">
        <v>29</v>
      </c>
      <c r="S168" s="7" t="s">
        <v>29</v>
      </c>
    </row>
    <row r="169" spans="2:19">
      <c r="B169" s="7" t="s">
        <v>195</v>
      </c>
      <c r="C169" s="8" t="s">
        <v>195</v>
      </c>
      <c r="D169" s="6" t="str">
        <f>LRTRIM(CONCATENATE(IF(SUMPRODUCT(-- ISNUMBER(SEARCH({"Auto Number"}, $B169))) &gt; 0, $B169, IF(SUMPRODUCT(-- ISNUMBER(SEARCH({"Lookup","Master-Detail"}, $B169))) &gt; 0,$B169 &amp; "(" &amp; $E169 &amp; ")",IF(SUMPRODUCT(-- ISNUMBER(SEARCH({"Formula","Roll-Up Summary"}, $B169))) &gt; 0,$B169 &amp; " (" &amp; $E169 &amp; ")",IF(SUMPRODUCT(-- ISNUMBER(SEARCH({"Content","Currency","Number","Percent","Text","URL"}, $B169))) &gt; 0,$B169 &amp; "(" &amp; $C169 &amp; ")",$B169)))), "  ", TRIM(IF($S169 = "YES", "(External ID)", "") &amp; " " &amp; IF(SUMPRODUCT(-- ISNUMBER(SEARCH({"Unique","Unique Case Insensitive"}, $R169))) &gt; 0, "(" &amp; $R169 &amp; ")", ""))))</f>
        <v>na</v>
      </c>
      <c r="E169" s="7" t="s">
        <v>195</v>
      </c>
      <c r="F169" s="7" t="s">
        <v>195</v>
      </c>
      <c r="G169" s="7" t="s">
        <v>195</v>
      </c>
      <c r="H169" s="7" t="s">
        <v>195</v>
      </c>
      <c r="I169" s="7" t="s">
        <v>195</v>
      </c>
      <c r="J169" s="7" t="s">
        <v>195</v>
      </c>
      <c r="K169" s="7" t="s">
        <v>195</v>
      </c>
      <c r="L169" s="7" t="s">
        <v>195</v>
      </c>
      <c r="M169" s="7" t="s">
        <v>29</v>
      </c>
      <c r="N169" s="7" t="s">
        <v>29</v>
      </c>
      <c r="O169" s="7" t="s">
        <v>29</v>
      </c>
      <c r="P169" s="7" t="s">
        <v>29</v>
      </c>
      <c r="Q169" s="7" t="s">
        <v>29</v>
      </c>
      <c r="R169" s="7" t="s">
        <v>29</v>
      </c>
      <c r="S169" s="7" t="s">
        <v>29</v>
      </c>
    </row>
    <row r="170" spans="2:19">
      <c r="B170" s="7" t="s">
        <v>195</v>
      </c>
      <c r="C170" s="8" t="s">
        <v>195</v>
      </c>
      <c r="D170" s="6" t="str">
        <f>LRTRIM(CONCATENATE(IF(SUMPRODUCT(-- ISNUMBER(SEARCH({"Auto Number"}, $B170))) &gt; 0, $B170, IF(SUMPRODUCT(-- ISNUMBER(SEARCH({"Lookup","Master-Detail"}, $B170))) &gt; 0,$B170 &amp; "(" &amp; $E170 &amp; ")",IF(SUMPRODUCT(-- ISNUMBER(SEARCH({"Formula","Roll-Up Summary"}, $B170))) &gt; 0,$B170 &amp; " (" &amp; $E170 &amp; ")",IF(SUMPRODUCT(-- ISNUMBER(SEARCH({"Content","Currency","Number","Percent","Text","URL"}, $B170))) &gt; 0,$B170 &amp; "(" &amp; $C170 &amp; ")",$B170)))), "  ", TRIM(IF($S170 = "YES", "(External ID)", "") &amp; " " &amp; IF(SUMPRODUCT(-- ISNUMBER(SEARCH({"Unique","Unique Case Insensitive"}, $R170))) &gt; 0, "(" &amp; $R170 &amp; ")", ""))))</f>
        <v>na</v>
      </c>
      <c r="E170" s="7" t="s">
        <v>195</v>
      </c>
      <c r="F170" s="7" t="s">
        <v>195</v>
      </c>
      <c r="G170" s="7" t="s">
        <v>195</v>
      </c>
      <c r="H170" s="7" t="s">
        <v>195</v>
      </c>
      <c r="I170" s="7" t="s">
        <v>195</v>
      </c>
      <c r="J170" s="7" t="s">
        <v>195</v>
      </c>
      <c r="K170" s="7" t="s">
        <v>195</v>
      </c>
      <c r="L170" s="7" t="s">
        <v>195</v>
      </c>
      <c r="M170" s="7" t="s">
        <v>29</v>
      </c>
      <c r="N170" s="7" t="s">
        <v>29</v>
      </c>
      <c r="O170" s="7" t="s">
        <v>29</v>
      </c>
      <c r="P170" s="7" t="s">
        <v>29</v>
      </c>
      <c r="Q170" s="7" t="s">
        <v>29</v>
      </c>
      <c r="R170" s="7" t="s">
        <v>29</v>
      </c>
      <c r="S170" s="7" t="s">
        <v>29</v>
      </c>
    </row>
    <row r="171" spans="2:19">
      <c r="B171" s="7" t="s">
        <v>195</v>
      </c>
      <c r="C171" s="8" t="s">
        <v>195</v>
      </c>
      <c r="D171" s="6" t="str">
        <f>LRTRIM(CONCATENATE(IF(SUMPRODUCT(-- ISNUMBER(SEARCH({"Auto Number"}, $B171))) &gt; 0, $B171, IF(SUMPRODUCT(-- ISNUMBER(SEARCH({"Lookup","Master-Detail"}, $B171))) &gt; 0,$B171 &amp; "(" &amp; $E171 &amp; ")",IF(SUMPRODUCT(-- ISNUMBER(SEARCH({"Formula","Roll-Up Summary"}, $B171))) &gt; 0,$B171 &amp; " (" &amp; $E171 &amp; ")",IF(SUMPRODUCT(-- ISNUMBER(SEARCH({"Content","Currency","Number","Percent","Text","URL"}, $B171))) &gt; 0,$B171 &amp; "(" &amp; $C171 &amp; ")",$B171)))), "  ", TRIM(IF($S171 = "YES", "(External ID)", "") &amp; " " &amp; IF(SUMPRODUCT(-- ISNUMBER(SEARCH({"Unique","Unique Case Insensitive"}, $R171))) &gt; 0, "(" &amp; $R171 &amp; ")", ""))))</f>
        <v>na</v>
      </c>
      <c r="E171" s="7" t="s">
        <v>195</v>
      </c>
      <c r="F171" s="7" t="s">
        <v>195</v>
      </c>
      <c r="G171" s="7" t="s">
        <v>195</v>
      </c>
      <c r="H171" s="7" t="s">
        <v>195</v>
      </c>
      <c r="I171" s="7" t="s">
        <v>195</v>
      </c>
      <c r="J171" s="7" t="s">
        <v>195</v>
      </c>
      <c r="K171" s="7" t="s">
        <v>195</v>
      </c>
      <c r="L171" s="7" t="s">
        <v>195</v>
      </c>
      <c r="M171" s="7" t="s">
        <v>29</v>
      </c>
      <c r="N171" s="7" t="s">
        <v>29</v>
      </c>
      <c r="O171" s="7" t="s">
        <v>29</v>
      </c>
      <c r="P171" s="7" t="s">
        <v>29</v>
      </c>
      <c r="Q171" s="7" t="s">
        <v>29</v>
      </c>
      <c r="R171" s="7" t="s">
        <v>29</v>
      </c>
      <c r="S171" s="7" t="s">
        <v>29</v>
      </c>
    </row>
    <row r="172" spans="2:19">
      <c r="B172" s="7" t="s">
        <v>195</v>
      </c>
      <c r="C172" s="8" t="s">
        <v>195</v>
      </c>
      <c r="D172" s="6" t="str">
        <f>LRTRIM(CONCATENATE(IF(SUMPRODUCT(-- ISNUMBER(SEARCH({"Auto Number"}, $B172))) &gt; 0, $B172, IF(SUMPRODUCT(-- ISNUMBER(SEARCH({"Lookup","Master-Detail"}, $B172))) &gt; 0,$B172 &amp; "(" &amp; $E172 &amp; ")",IF(SUMPRODUCT(-- ISNUMBER(SEARCH({"Formula","Roll-Up Summary"}, $B172))) &gt; 0,$B172 &amp; " (" &amp; $E172 &amp; ")",IF(SUMPRODUCT(-- ISNUMBER(SEARCH({"Content","Currency","Number","Percent","Text","URL"}, $B172))) &gt; 0,$B172 &amp; "(" &amp; $C172 &amp; ")",$B172)))), "  ", TRIM(IF($S172 = "YES", "(External ID)", "") &amp; " " &amp; IF(SUMPRODUCT(-- ISNUMBER(SEARCH({"Unique","Unique Case Insensitive"}, $R172))) &gt; 0, "(" &amp; $R172 &amp; ")", ""))))</f>
        <v>na</v>
      </c>
      <c r="E172" s="7" t="s">
        <v>195</v>
      </c>
      <c r="F172" s="7" t="s">
        <v>195</v>
      </c>
      <c r="G172" s="7" t="s">
        <v>195</v>
      </c>
      <c r="H172" s="7" t="s">
        <v>195</v>
      </c>
      <c r="I172" s="7" t="s">
        <v>195</v>
      </c>
      <c r="J172" s="7" t="s">
        <v>195</v>
      </c>
      <c r="K172" s="7" t="s">
        <v>195</v>
      </c>
      <c r="L172" s="7" t="s">
        <v>195</v>
      </c>
      <c r="M172" s="7" t="s">
        <v>29</v>
      </c>
      <c r="N172" s="7" t="s">
        <v>29</v>
      </c>
      <c r="O172" s="7" t="s">
        <v>29</v>
      </c>
      <c r="P172" s="7" t="s">
        <v>29</v>
      </c>
      <c r="Q172" s="7" t="s">
        <v>29</v>
      </c>
      <c r="R172" s="7" t="s">
        <v>29</v>
      </c>
      <c r="S172" s="7" t="s">
        <v>29</v>
      </c>
    </row>
    <row r="173" spans="2:19">
      <c r="B173" s="7" t="s">
        <v>195</v>
      </c>
      <c r="C173" s="8" t="s">
        <v>195</v>
      </c>
      <c r="D173" s="6" t="str">
        <f>LRTRIM(CONCATENATE(IF(SUMPRODUCT(-- ISNUMBER(SEARCH({"Auto Number"}, $B173))) &gt; 0, $B173, IF(SUMPRODUCT(-- ISNUMBER(SEARCH({"Lookup","Master-Detail"}, $B173))) &gt; 0,$B173 &amp; "(" &amp; $E173 &amp; ")",IF(SUMPRODUCT(-- ISNUMBER(SEARCH({"Formula","Roll-Up Summary"}, $B173))) &gt; 0,$B173 &amp; " (" &amp; $E173 &amp; ")",IF(SUMPRODUCT(-- ISNUMBER(SEARCH({"Content","Currency","Number","Percent","Text","URL"}, $B173))) &gt; 0,$B173 &amp; "(" &amp; $C173 &amp; ")",$B173)))), "  ", TRIM(IF($S173 = "YES", "(External ID)", "") &amp; " " &amp; IF(SUMPRODUCT(-- ISNUMBER(SEARCH({"Unique","Unique Case Insensitive"}, $R173))) &gt; 0, "(" &amp; $R173 &amp; ")", ""))))</f>
        <v>na</v>
      </c>
      <c r="E173" s="7" t="s">
        <v>195</v>
      </c>
      <c r="F173" s="7" t="s">
        <v>195</v>
      </c>
      <c r="G173" s="7" t="s">
        <v>195</v>
      </c>
      <c r="H173" s="7" t="s">
        <v>195</v>
      </c>
      <c r="I173" s="7" t="s">
        <v>195</v>
      </c>
      <c r="J173" s="7" t="s">
        <v>195</v>
      </c>
      <c r="K173" s="7" t="s">
        <v>195</v>
      </c>
      <c r="L173" s="7" t="s">
        <v>195</v>
      </c>
      <c r="M173" s="7" t="s">
        <v>29</v>
      </c>
      <c r="N173" s="7" t="s">
        <v>29</v>
      </c>
      <c r="O173" s="7" t="s">
        <v>29</v>
      </c>
      <c r="P173" s="7" t="s">
        <v>29</v>
      </c>
      <c r="Q173" s="7" t="s">
        <v>29</v>
      </c>
      <c r="R173" s="7" t="s">
        <v>29</v>
      </c>
      <c r="S173" s="7" t="s">
        <v>29</v>
      </c>
    </row>
    <row r="174" spans="2:19">
      <c r="B174" s="7" t="s">
        <v>195</v>
      </c>
      <c r="C174" s="8" t="s">
        <v>195</v>
      </c>
      <c r="D174" s="6" t="str">
        <f>LRTRIM(CONCATENATE(IF(SUMPRODUCT(-- ISNUMBER(SEARCH({"Auto Number"}, $B174))) &gt; 0, $B174, IF(SUMPRODUCT(-- ISNUMBER(SEARCH({"Lookup","Master-Detail"}, $B174))) &gt; 0,$B174 &amp; "(" &amp; $E174 &amp; ")",IF(SUMPRODUCT(-- ISNUMBER(SEARCH({"Formula","Roll-Up Summary"}, $B174))) &gt; 0,$B174 &amp; " (" &amp; $E174 &amp; ")",IF(SUMPRODUCT(-- ISNUMBER(SEARCH({"Content","Currency","Number","Percent","Text","URL"}, $B174))) &gt; 0,$B174 &amp; "(" &amp; $C174 &amp; ")",$B174)))), "  ", TRIM(IF($S174 = "YES", "(External ID)", "") &amp; " " &amp; IF(SUMPRODUCT(-- ISNUMBER(SEARCH({"Unique","Unique Case Insensitive"}, $R174))) &gt; 0, "(" &amp; $R174 &amp; ")", ""))))</f>
        <v>na</v>
      </c>
      <c r="E174" s="7" t="s">
        <v>195</v>
      </c>
      <c r="F174" s="7" t="s">
        <v>195</v>
      </c>
      <c r="G174" s="7" t="s">
        <v>195</v>
      </c>
      <c r="H174" s="7" t="s">
        <v>195</v>
      </c>
      <c r="I174" s="7" t="s">
        <v>195</v>
      </c>
      <c r="J174" s="7" t="s">
        <v>195</v>
      </c>
      <c r="K174" s="7" t="s">
        <v>195</v>
      </c>
      <c r="L174" s="7" t="s">
        <v>195</v>
      </c>
      <c r="M174" s="7" t="s">
        <v>29</v>
      </c>
      <c r="N174" s="7" t="s">
        <v>29</v>
      </c>
      <c r="O174" s="7" t="s">
        <v>29</v>
      </c>
      <c r="P174" s="7" t="s">
        <v>29</v>
      </c>
      <c r="Q174" s="7" t="s">
        <v>29</v>
      </c>
      <c r="R174" s="7" t="s">
        <v>29</v>
      </c>
      <c r="S174" s="7" t="s">
        <v>29</v>
      </c>
    </row>
    <row r="175" spans="2:19">
      <c r="B175" s="7" t="s">
        <v>195</v>
      </c>
      <c r="C175" s="8" t="s">
        <v>195</v>
      </c>
      <c r="D175" s="6" t="str">
        <f>LRTRIM(CONCATENATE(IF(SUMPRODUCT(-- ISNUMBER(SEARCH({"Auto Number"}, $B175))) &gt; 0, $B175, IF(SUMPRODUCT(-- ISNUMBER(SEARCH({"Lookup","Master-Detail"}, $B175))) &gt; 0,$B175 &amp; "(" &amp; $E175 &amp; ")",IF(SUMPRODUCT(-- ISNUMBER(SEARCH({"Formula","Roll-Up Summary"}, $B175))) &gt; 0,$B175 &amp; " (" &amp; $E175 &amp; ")",IF(SUMPRODUCT(-- ISNUMBER(SEARCH({"Content","Currency","Number","Percent","Text","URL"}, $B175))) &gt; 0,$B175 &amp; "(" &amp; $C175 &amp; ")",$B175)))), "  ", TRIM(IF($S175 = "YES", "(External ID)", "") &amp; " " &amp; IF(SUMPRODUCT(-- ISNUMBER(SEARCH({"Unique","Unique Case Insensitive"}, $R175))) &gt; 0, "(" &amp; $R175 &amp; ")", ""))))</f>
        <v>na</v>
      </c>
      <c r="E175" s="7" t="s">
        <v>195</v>
      </c>
      <c r="F175" s="7" t="s">
        <v>195</v>
      </c>
      <c r="G175" s="7" t="s">
        <v>195</v>
      </c>
      <c r="H175" s="7" t="s">
        <v>195</v>
      </c>
      <c r="I175" s="7" t="s">
        <v>195</v>
      </c>
      <c r="J175" s="7" t="s">
        <v>195</v>
      </c>
      <c r="K175" s="7" t="s">
        <v>195</v>
      </c>
      <c r="L175" s="7" t="s">
        <v>195</v>
      </c>
      <c r="M175" s="7" t="s">
        <v>29</v>
      </c>
      <c r="N175" s="7" t="s">
        <v>29</v>
      </c>
      <c r="O175" s="7" t="s">
        <v>29</v>
      </c>
      <c r="P175" s="7" t="s">
        <v>29</v>
      </c>
      <c r="Q175" s="7" t="s">
        <v>29</v>
      </c>
      <c r="R175" s="7" t="s">
        <v>29</v>
      </c>
      <c r="S175" s="7" t="s">
        <v>29</v>
      </c>
    </row>
    <row r="176" spans="2:19">
      <c r="B176" s="7" t="s">
        <v>195</v>
      </c>
      <c r="C176" s="8" t="s">
        <v>195</v>
      </c>
      <c r="D176" s="6" t="str">
        <f>LRTRIM(CONCATENATE(IF(SUMPRODUCT(-- ISNUMBER(SEARCH({"Auto Number"}, $B176))) &gt; 0, $B176, IF(SUMPRODUCT(-- ISNUMBER(SEARCH({"Lookup","Master-Detail"}, $B176))) &gt; 0,$B176 &amp; "(" &amp; $E176 &amp; ")",IF(SUMPRODUCT(-- ISNUMBER(SEARCH({"Formula","Roll-Up Summary"}, $B176))) &gt; 0,$B176 &amp; " (" &amp; $E176 &amp; ")",IF(SUMPRODUCT(-- ISNUMBER(SEARCH({"Content","Currency","Number","Percent","Text","URL"}, $B176))) &gt; 0,$B176 &amp; "(" &amp; $C176 &amp; ")",$B176)))), "  ", TRIM(IF($S176 = "YES", "(External ID)", "") &amp; " " &amp; IF(SUMPRODUCT(-- ISNUMBER(SEARCH({"Unique","Unique Case Insensitive"}, $R176))) &gt; 0, "(" &amp; $R176 &amp; ")", ""))))</f>
        <v>na</v>
      </c>
      <c r="E176" s="7" t="s">
        <v>195</v>
      </c>
      <c r="F176" s="7" t="s">
        <v>195</v>
      </c>
      <c r="G176" s="7" t="s">
        <v>195</v>
      </c>
      <c r="H176" s="7" t="s">
        <v>195</v>
      </c>
      <c r="I176" s="7" t="s">
        <v>195</v>
      </c>
      <c r="J176" s="7" t="s">
        <v>195</v>
      </c>
      <c r="K176" s="7" t="s">
        <v>195</v>
      </c>
      <c r="L176" s="7" t="s">
        <v>195</v>
      </c>
      <c r="M176" s="7" t="s">
        <v>29</v>
      </c>
      <c r="N176" s="7" t="s">
        <v>29</v>
      </c>
      <c r="O176" s="7" t="s">
        <v>29</v>
      </c>
      <c r="P176" s="7" t="s">
        <v>29</v>
      </c>
      <c r="Q176" s="7" t="s">
        <v>29</v>
      </c>
      <c r="R176" s="7" t="s">
        <v>29</v>
      </c>
      <c r="S176" s="7" t="s">
        <v>29</v>
      </c>
    </row>
    <row r="177" spans="2:19">
      <c r="B177" s="7" t="s">
        <v>195</v>
      </c>
      <c r="C177" s="8" t="s">
        <v>195</v>
      </c>
      <c r="D177" s="6" t="str">
        <f>LRTRIM(CONCATENATE(IF(SUMPRODUCT(-- ISNUMBER(SEARCH({"Auto Number"}, $B177))) &gt; 0, $B177, IF(SUMPRODUCT(-- ISNUMBER(SEARCH({"Lookup","Master-Detail"}, $B177))) &gt; 0,$B177 &amp; "(" &amp; $E177 &amp; ")",IF(SUMPRODUCT(-- ISNUMBER(SEARCH({"Formula","Roll-Up Summary"}, $B177))) &gt; 0,$B177 &amp; " (" &amp; $E177 &amp; ")",IF(SUMPRODUCT(-- ISNUMBER(SEARCH({"Content","Currency","Number","Percent","Text","URL"}, $B177))) &gt; 0,$B177 &amp; "(" &amp; $C177 &amp; ")",$B177)))), "  ", TRIM(IF($S177 = "YES", "(External ID)", "") &amp; " " &amp; IF(SUMPRODUCT(-- ISNUMBER(SEARCH({"Unique","Unique Case Insensitive"}, $R177))) &gt; 0, "(" &amp; $R177 &amp; ")", ""))))</f>
        <v>na</v>
      </c>
      <c r="E177" s="7" t="s">
        <v>195</v>
      </c>
      <c r="F177" s="7" t="s">
        <v>195</v>
      </c>
      <c r="G177" s="7" t="s">
        <v>195</v>
      </c>
      <c r="H177" s="7" t="s">
        <v>195</v>
      </c>
      <c r="I177" s="7" t="s">
        <v>195</v>
      </c>
      <c r="J177" s="7" t="s">
        <v>195</v>
      </c>
      <c r="K177" s="7" t="s">
        <v>195</v>
      </c>
      <c r="L177" s="7" t="s">
        <v>195</v>
      </c>
      <c r="M177" s="7" t="s">
        <v>29</v>
      </c>
      <c r="N177" s="7" t="s">
        <v>29</v>
      </c>
      <c r="O177" s="7" t="s">
        <v>29</v>
      </c>
      <c r="P177" s="7" t="s">
        <v>29</v>
      </c>
      <c r="Q177" s="7" t="s">
        <v>29</v>
      </c>
      <c r="R177" s="7" t="s">
        <v>29</v>
      </c>
      <c r="S177" s="7" t="s">
        <v>29</v>
      </c>
    </row>
    <row r="178" spans="2:19">
      <c r="B178" s="7" t="s">
        <v>195</v>
      </c>
      <c r="C178" s="8" t="s">
        <v>195</v>
      </c>
      <c r="D178" s="6" t="str">
        <f>LRTRIM(CONCATENATE(IF(SUMPRODUCT(-- ISNUMBER(SEARCH({"Auto Number"}, $B178))) &gt; 0, $B178, IF(SUMPRODUCT(-- ISNUMBER(SEARCH({"Lookup","Master-Detail"}, $B178))) &gt; 0,$B178 &amp; "(" &amp; $E178 &amp; ")",IF(SUMPRODUCT(-- ISNUMBER(SEARCH({"Formula","Roll-Up Summary"}, $B178))) &gt; 0,$B178 &amp; " (" &amp; $E178 &amp; ")",IF(SUMPRODUCT(-- ISNUMBER(SEARCH({"Content","Currency","Number","Percent","Text","URL"}, $B178))) &gt; 0,$B178 &amp; "(" &amp; $C178 &amp; ")",$B178)))), "  ", TRIM(IF($S178 = "YES", "(External ID)", "") &amp; " " &amp; IF(SUMPRODUCT(-- ISNUMBER(SEARCH({"Unique","Unique Case Insensitive"}, $R178))) &gt; 0, "(" &amp; $R178 &amp; ")", ""))))</f>
        <v>na</v>
      </c>
      <c r="E178" s="7" t="s">
        <v>195</v>
      </c>
      <c r="F178" s="7" t="s">
        <v>195</v>
      </c>
      <c r="G178" s="7" t="s">
        <v>195</v>
      </c>
      <c r="H178" s="7" t="s">
        <v>195</v>
      </c>
      <c r="I178" s="7" t="s">
        <v>195</v>
      </c>
      <c r="J178" s="7" t="s">
        <v>195</v>
      </c>
      <c r="K178" s="7" t="s">
        <v>195</v>
      </c>
      <c r="L178" s="7" t="s">
        <v>195</v>
      </c>
      <c r="M178" s="7" t="s">
        <v>29</v>
      </c>
      <c r="N178" s="7" t="s">
        <v>29</v>
      </c>
      <c r="O178" s="7" t="s">
        <v>29</v>
      </c>
      <c r="P178" s="7" t="s">
        <v>29</v>
      </c>
      <c r="Q178" s="7" t="s">
        <v>29</v>
      </c>
      <c r="R178" s="7" t="s">
        <v>29</v>
      </c>
      <c r="S178" s="7" t="s">
        <v>29</v>
      </c>
    </row>
    <row r="179" spans="2:19">
      <c r="B179" s="7" t="s">
        <v>195</v>
      </c>
      <c r="C179" s="8" t="s">
        <v>195</v>
      </c>
      <c r="D179" s="6" t="str">
        <f>LRTRIM(CONCATENATE(IF(SUMPRODUCT(-- ISNUMBER(SEARCH({"Auto Number"}, $B179))) &gt; 0, $B179, IF(SUMPRODUCT(-- ISNUMBER(SEARCH({"Lookup","Master-Detail"}, $B179))) &gt; 0,$B179 &amp; "(" &amp; $E179 &amp; ")",IF(SUMPRODUCT(-- ISNUMBER(SEARCH({"Formula","Roll-Up Summary"}, $B179))) &gt; 0,$B179 &amp; " (" &amp; $E179 &amp; ")",IF(SUMPRODUCT(-- ISNUMBER(SEARCH({"Content","Currency","Number","Percent","Text","URL"}, $B179))) &gt; 0,$B179 &amp; "(" &amp; $C179 &amp; ")",$B179)))), "  ", TRIM(IF($S179 = "YES", "(External ID)", "") &amp; " " &amp; IF(SUMPRODUCT(-- ISNUMBER(SEARCH({"Unique","Unique Case Insensitive"}, $R179))) &gt; 0, "(" &amp; $R179 &amp; ")", ""))))</f>
        <v>na</v>
      </c>
      <c r="E179" s="7" t="s">
        <v>195</v>
      </c>
      <c r="F179" s="7" t="s">
        <v>195</v>
      </c>
      <c r="G179" s="7" t="s">
        <v>195</v>
      </c>
      <c r="H179" s="7" t="s">
        <v>195</v>
      </c>
      <c r="I179" s="7" t="s">
        <v>195</v>
      </c>
      <c r="J179" s="7" t="s">
        <v>195</v>
      </c>
      <c r="K179" s="7" t="s">
        <v>195</v>
      </c>
      <c r="L179" s="7" t="s">
        <v>195</v>
      </c>
      <c r="M179" s="7" t="s">
        <v>29</v>
      </c>
      <c r="N179" s="7" t="s">
        <v>29</v>
      </c>
      <c r="O179" s="7" t="s">
        <v>29</v>
      </c>
      <c r="P179" s="7" t="s">
        <v>29</v>
      </c>
      <c r="Q179" s="7" t="s">
        <v>29</v>
      </c>
      <c r="R179" s="7" t="s">
        <v>29</v>
      </c>
      <c r="S179" s="7" t="s">
        <v>29</v>
      </c>
    </row>
    <row r="180" spans="2:19">
      <c r="B180" s="7" t="s">
        <v>195</v>
      </c>
      <c r="C180" s="8" t="s">
        <v>195</v>
      </c>
      <c r="D180" s="6" t="str">
        <f>LRTRIM(CONCATENATE(IF(SUMPRODUCT(-- ISNUMBER(SEARCH({"Auto Number"}, $B180))) &gt; 0, $B180, IF(SUMPRODUCT(-- ISNUMBER(SEARCH({"Lookup","Master-Detail"}, $B180))) &gt; 0,$B180 &amp; "(" &amp; $E180 &amp; ")",IF(SUMPRODUCT(-- ISNUMBER(SEARCH({"Formula","Roll-Up Summary"}, $B180))) &gt; 0,$B180 &amp; " (" &amp; $E180 &amp; ")",IF(SUMPRODUCT(-- ISNUMBER(SEARCH({"Content","Currency","Number","Percent","Text","URL"}, $B180))) &gt; 0,$B180 &amp; "(" &amp; $C180 &amp; ")",$B180)))), "  ", TRIM(IF($S180 = "YES", "(External ID)", "") &amp; " " &amp; IF(SUMPRODUCT(-- ISNUMBER(SEARCH({"Unique","Unique Case Insensitive"}, $R180))) &gt; 0, "(" &amp; $R180 &amp; ")", ""))))</f>
        <v>na</v>
      </c>
      <c r="E180" s="7" t="s">
        <v>195</v>
      </c>
      <c r="F180" s="7" t="s">
        <v>195</v>
      </c>
      <c r="G180" s="7" t="s">
        <v>195</v>
      </c>
      <c r="H180" s="7" t="s">
        <v>195</v>
      </c>
      <c r="I180" s="7" t="s">
        <v>195</v>
      </c>
      <c r="J180" s="7" t="s">
        <v>195</v>
      </c>
      <c r="K180" s="7" t="s">
        <v>195</v>
      </c>
      <c r="L180" s="7" t="s">
        <v>195</v>
      </c>
      <c r="M180" s="7" t="s">
        <v>29</v>
      </c>
      <c r="N180" s="7" t="s">
        <v>29</v>
      </c>
      <c r="O180" s="7" t="s">
        <v>29</v>
      </c>
      <c r="P180" s="7" t="s">
        <v>29</v>
      </c>
      <c r="Q180" s="7" t="s">
        <v>29</v>
      </c>
      <c r="R180" s="7" t="s">
        <v>29</v>
      </c>
      <c r="S180" s="7" t="s">
        <v>29</v>
      </c>
    </row>
    <row r="181" spans="2:19">
      <c r="B181" s="7" t="s">
        <v>195</v>
      </c>
      <c r="C181" s="8" t="s">
        <v>195</v>
      </c>
      <c r="D181" s="6" t="str">
        <f>LRTRIM(CONCATENATE(IF(SUMPRODUCT(-- ISNUMBER(SEARCH({"Auto Number"}, $B181))) &gt; 0, $B181, IF(SUMPRODUCT(-- ISNUMBER(SEARCH({"Lookup","Master-Detail"}, $B181))) &gt; 0,$B181 &amp; "(" &amp; $E181 &amp; ")",IF(SUMPRODUCT(-- ISNUMBER(SEARCH({"Formula","Roll-Up Summary"}, $B181))) &gt; 0,$B181 &amp; " (" &amp; $E181 &amp; ")",IF(SUMPRODUCT(-- ISNUMBER(SEARCH({"Content","Currency","Number","Percent","Text","URL"}, $B181))) &gt; 0,$B181 &amp; "(" &amp; $C181 &amp; ")",$B181)))), "  ", TRIM(IF($S181 = "YES", "(External ID)", "") &amp; " " &amp; IF(SUMPRODUCT(-- ISNUMBER(SEARCH({"Unique","Unique Case Insensitive"}, $R181))) &gt; 0, "(" &amp; $R181 &amp; ")", ""))))</f>
        <v>na</v>
      </c>
      <c r="E181" s="7" t="s">
        <v>195</v>
      </c>
      <c r="F181" s="7" t="s">
        <v>195</v>
      </c>
      <c r="G181" s="7" t="s">
        <v>195</v>
      </c>
      <c r="H181" s="7" t="s">
        <v>195</v>
      </c>
      <c r="I181" s="7" t="s">
        <v>195</v>
      </c>
      <c r="J181" s="7" t="s">
        <v>195</v>
      </c>
      <c r="K181" s="7" t="s">
        <v>195</v>
      </c>
      <c r="L181" s="7" t="s">
        <v>195</v>
      </c>
      <c r="M181" s="7" t="s">
        <v>29</v>
      </c>
      <c r="N181" s="7" t="s">
        <v>29</v>
      </c>
      <c r="O181" s="7" t="s">
        <v>29</v>
      </c>
      <c r="P181" s="7" t="s">
        <v>29</v>
      </c>
      <c r="Q181" s="7" t="s">
        <v>29</v>
      </c>
      <c r="R181" s="7" t="s">
        <v>29</v>
      </c>
      <c r="S181" s="7" t="s">
        <v>29</v>
      </c>
    </row>
    <row r="182" spans="2:19">
      <c r="B182" s="7" t="s">
        <v>195</v>
      </c>
      <c r="C182" s="8" t="s">
        <v>195</v>
      </c>
      <c r="D182" s="6" t="str">
        <f>LRTRIM(CONCATENATE(IF(SUMPRODUCT(-- ISNUMBER(SEARCH({"Auto Number"}, $B182))) &gt; 0, $B182, IF(SUMPRODUCT(-- ISNUMBER(SEARCH({"Lookup","Master-Detail"}, $B182))) &gt; 0,$B182 &amp; "(" &amp; $E182 &amp; ")",IF(SUMPRODUCT(-- ISNUMBER(SEARCH({"Formula","Roll-Up Summary"}, $B182))) &gt; 0,$B182 &amp; " (" &amp; $E182 &amp; ")",IF(SUMPRODUCT(-- ISNUMBER(SEARCH({"Content","Currency","Number","Percent","Text","URL"}, $B182))) &gt; 0,$B182 &amp; "(" &amp; $C182 &amp; ")",$B182)))), "  ", TRIM(IF($S182 = "YES", "(External ID)", "") &amp; " " &amp; IF(SUMPRODUCT(-- ISNUMBER(SEARCH({"Unique","Unique Case Insensitive"}, $R182))) &gt; 0, "(" &amp; $R182 &amp; ")", ""))))</f>
        <v>na</v>
      </c>
      <c r="E182" s="7" t="s">
        <v>195</v>
      </c>
      <c r="F182" s="7" t="s">
        <v>195</v>
      </c>
      <c r="G182" s="7" t="s">
        <v>195</v>
      </c>
      <c r="H182" s="7" t="s">
        <v>195</v>
      </c>
      <c r="I182" s="7" t="s">
        <v>195</v>
      </c>
      <c r="J182" s="7" t="s">
        <v>195</v>
      </c>
      <c r="K182" s="7" t="s">
        <v>195</v>
      </c>
      <c r="L182" s="7" t="s">
        <v>195</v>
      </c>
      <c r="M182" s="7" t="s">
        <v>29</v>
      </c>
      <c r="N182" s="7" t="s">
        <v>29</v>
      </c>
      <c r="O182" s="7" t="s">
        <v>29</v>
      </c>
      <c r="P182" s="7" t="s">
        <v>29</v>
      </c>
      <c r="Q182" s="7" t="s">
        <v>29</v>
      </c>
      <c r="R182" s="7" t="s">
        <v>29</v>
      </c>
      <c r="S182" s="7" t="s">
        <v>29</v>
      </c>
    </row>
    <row r="183" spans="2:19">
      <c r="B183" s="7" t="s">
        <v>195</v>
      </c>
      <c r="C183" s="8" t="s">
        <v>195</v>
      </c>
      <c r="D183" s="6" t="str">
        <f>LRTRIM(CONCATENATE(IF(SUMPRODUCT(-- ISNUMBER(SEARCH({"Auto Number"}, $B183))) &gt; 0, $B183, IF(SUMPRODUCT(-- ISNUMBER(SEARCH({"Lookup","Master-Detail"}, $B183))) &gt; 0,$B183 &amp; "(" &amp; $E183 &amp; ")",IF(SUMPRODUCT(-- ISNUMBER(SEARCH({"Formula","Roll-Up Summary"}, $B183))) &gt; 0,$B183 &amp; " (" &amp; $E183 &amp; ")",IF(SUMPRODUCT(-- ISNUMBER(SEARCH({"Content","Currency","Number","Percent","Text","URL"}, $B183))) &gt; 0,$B183 &amp; "(" &amp; $C183 &amp; ")",$B183)))), "  ", TRIM(IF($S183 = "YES", "(External ID)", "") &amp; " " &amp; IF(SUMPRODUCT(-- ISNUMBER(SEARCH({"Unique","Unique Case Insensitive"}, $R183))) &gt; 0, "(" &amp; $R183 &amp; ")", ""))))</f>
        <v>na</v>
      </c>
      <c r="E183" s="7" t="s">
        <v>195</v>
      </c>
      <c r="F183" s="7" t="s">
        <v>195</v>
      </c>
      <c r="G183" s="7" t="s">
        <v>195</v>
      </c>
      <c r="H183" s="7" t="s">
        <v>195</v>
      </c>
      <c r="I183" s="7" t="s">
        <v>195</v>
      </c>
      <c r="J183" s="7" t="s">
        <v>195</v>
      </c>
      <c r="K183" s="7" t="s">
        <v>195</v>
      </c>
      <c r="L183" s="7" t="s">
        <v>195</v>
      </c>
      <c r="M183" s="7" t="s">
        <v>29</v>
      </c>
      <c r="N183" s="7" t="s">
        <v>29</v>
      </c>
      <c r="O183" s="7" t="s">
        <v>29</v>
      </c>
      <c r="P183" s="7" t="s">
        <v>29</v>
      </c>
      <c r="Q183" s="7" t="s">
        <v>29</v>
      </c>
      <c r="R183" s="7" t="s">
        <v>29</v>
      </c>
      <c r="S183" s="7" t="s">
        <v>29</v>
      </c>
    </row>
    <row r="184" spans="2:19">
      <c r="B184" s="7" t="s">
        <v>195</v>
      </c>
      <c r="C184" s="8" t="s">
        <v>195</v>
      </c>
      <c r="D184" s="6" t="str">
        <f>LRTRIM(CONCATENATE(IF(SUMPRODUCT(-- ISNUMBER(SEARCH({"Auto Number"}, $B184))) &gt; 0, $B184, IF(SUMPRODUCT(-- ISNUMBER(SEARCH({"Lookup","Master-Detail"}, $B184))) &gt; 0,$B184 &amp; "(" &amp; $E184 &amp; ")",IF(SUMPRODUCT(-- ISNUMBER(SEARCH({"Formula","Roll-Up Summary"}, $B184))) &gt; 0,$B184 &amp; " (" &amp; $E184 &amp; ")",IF(SUMPRODUCT(-- ISNUMBER(SEARCH({"Content","Currency","Number","Percent","Text","URL"}, $B184))) &gt; 0,$B184 &amp; "(" &amp; $C184 &amp; ")",$B184)))), "  ", TRIM(IF($S184 = "YES", "(External ID)", "") &amp; " " &amp; IF(SUMPRODUCT(-- ISNUMBER(SEARCH({"Unique","Unique Case Insensitive"}, $R184))) &gt; 0, "(" &amp; $R184 &amp; ")", ""))))</f>
        <v>na</v>
      </c>
      <c r="E184" s="7" t="s">
        <v>195</v>
      </c>
      <c r="F184" s="7" t="s">
        <v>195</v>
      </c>
      <c r="G184" s="7" t="s">
        <v>195</v>
      </c>
      <c r="H184" s="7" t="s">
        <v>195</v>
      </c>
      <c r="I184" s="7" t="s">
        <v>195</v>
      </c>
      <c r="J184" s="7" t="s">
        <v>195</v>
      </c>
      <c r="K184" s="7" t="s">
        <v>195</v>
      </c>
      <c r="L184" s="7" t="s">
        <v>195</v>
      </c>
      <c r="M184" s="7" t="s">
        <v>29</v>
      </c>
      <c r="N184" s="7" t="s">
        <v>29</v>
      </c>
      <c r="O184" s="7" t="s">
        <v>29</v>
      </c>
      <c r="P184" s="7" t="s">
        <v>29</v>
      </c>
      <c r="Q184" s="7" t="s">
        <v>29</v>
      </c>
      <c r="R184" s="7" t="s">
        <v>29</v>
      </c>
      <c r="S184" s="7" t="s">
        <v>29</v>
      </c>
    </row>
    <row r="185" spans="2:19">
      <c r="B185" s="7" t="s">
        <v>195</v>
      </c>
      <c r="C185" s="8" t="s">
        <v>195</v>
      </c>
      <c r="D185" s="6" t="str">
        <f>LRTRIM(CONCATENATE(IF(SUMPRODUCT(-- ISNUMBER(SEARCH({"Auto Number"}, $B185))) &gt; 0, $B185, IF(SUMPRODUCT(-- ISNUMBER(SEARCH({"Lookup","Master-Detail"}, $B185))) &gt; 0,$B185 &amp; "(" &amp; $E185 &amp; ")",IF(SUMPRODUCT(-- ISNUMBER(SEARCH({"Formula","Roll-Up Summary"}, $B185))) &gt; 0,$B185 &amp; " (" &amp; $E185 &amp; ")",IF(SUMPRODUCT(-- ISNUMBER(SEARCH({"Content","Currency","Number","Percent","Text","URL"}, $B185))) &gt; 0,$B185 &amp; "(" &amp; $C185 &amp; ")",$B185)))), "  ", TRIM(IF($S185 = "YES", "(External ID)", "") &amp; " " &amp; IF(SUMPRODUCT(-- ISNUMBER(SEARCH({"Unique","Unique Case Insensitive"}, $R185))) &gt; 0, "(" &amp; $R185 &amp; ")", ""))))</f>
        <v>na</v>
      </c>
      <c r="E185" s="7" t="s">
        <v>195</v>
      </c>
      <c r="F185" s="7" t="s">
        <v>195</v>
      </c>
      <c r="G185" s="7" t="s">
        <v>195</v>
      </c>
      <c r="H185" s="7" t="s">
        <v>195</v>
      </c>
      <c r="I185" s="7" t="s">
        <v>195</v>
      </c>
      <c r="J185" s="7" t="s">
        <v>195</v>
      </c>
      <c r="K185" s="7" t="s">
        <v>195</v>
      </c>
      <c r="L185" s="7" t="s">
        <v>195</v>
      </c>
      <c r="M185" s="7" t="s">
        <v>29</v>
      </c>
      <c r="N185" s="7" t="s">
        <v>29</v>
      </c>
      <c r="O185" s="7" t="s">
        <v>29</v>
      </c>
      <c r="P185" s="7" t="s">
        <v>29</v>
      </c>
      <c r="Q185" s="7" t="s">
        <v>29</v>
      </c>
      <c r="R185" s="7" t="s">
        <v>29</v>
      </c>
      <c r="S185" s="7" t="s">
        <v>29</v>
      </c>
    </row>
    <row r="186" spans="2:19">
      <c r="B186" s="7" t="s">
        <v>195</v>
      </c>
      <c r="C186" s="8" t="s">
        <v>195</v>
      </c>
      <c r="D186" s="6" t="str">
        <f>LRTRIM(CONCATENATE(IF(SUMPRODUCT(-- ISNUMBER(SEARCH({"Auto Number"}, $B186))) &gt; 0, $B186, IF(SUMPRODUCT(-- ISNUMBER(SEARCH({"Lookup","Master-Detail"}, $B186))) &gt; 0,$B186 &amp; "(" &amp; $E186 &amp; ")",IF(SUMPRODUCT(-- ISNUMBER(SEARCH({"Formula","Roll-Up Summary"}, $B186))) &gt; 0,$B186 &amp; " (" &amp; $E186 &amp; ")",IF(SUMPRODUCT(-- ISNUMBER(SEARCH({"Content","Currency","Number","Percent","Text","URL"}, $B186))) &gt; 0,$B186 &amp; "(" &amp; $C186 &amp; ")",$B186)))), "  ", TRIM(IF($S186 = "YES", "(External ID)", "") &amp; " " &amp; IF(SUMPRODUCT(-- ISNUMBER(SEARCH({"Unique","Unique Case Insensitive"}, $R186))) &gt; 0, "(" &amp; $R186 &amp; ")", ""))))</f>
        <v>na</v>
      </c>
      <c r="E186" s="7" t="s">
        <v>195</v>
      </c>
      <c r="F186" s="7" t="s">
        <v>195</v>
      </c>
      <c r="G186" s="7" t="s">
        <v>195</v>
      </c>
      <c r="H186" s="7" t="s">
        <v>195</v>
      </c>
      <c r="I186" s="7" t="s">
        <v>195</v>
      </c>
      <c r="J186" s="7" t="s">
        <v>195</v>
      </c>
      <c r="K186" s="7" t="s">
        <v>195</v>
      </c>
      <c r="L186" s="7" t="s">
        <v>195</v>
      </c>
      <c r="M186" s="7" t="s">
        <v>29</v>
      </c>
      <c r="N186" s="7" t="s">
        <v>29</v>
      </c>
      <c r="O186" s="7" t="s">
        <v>29</v>
      </c>
      <c r="P186" s="7" t="s">
        <v>29</v>
      </c>
      <c r="Q186" s="7" t="s">
        <v>29</v>
      </c>
      <c r="R186" s="7" t="s">
        <v>29</v>
      </c>
      <c r="S186" s="7" t="s">
        <v>29</v>
      </c>
    </row>
    <row r="187" spans="2:19">
      <c r="B187" s="7" t="s">
        <v>195</v>
      </c>
      <c r="C187" s="8" t="s">
        <v>195</v>
      </c>
      <c r="D187" s="6" t="str">
        <f>LRTRIM(CONCATENATE(IF(SUMPRODUCT(-- ISNUMBER(SEARCH({"Auto Number"}, $B187))) &gt; 0, $B187, IF(SUMPRODUCT(-- ISNUMBER(SEARCH({"Lookup","Master-Detail"}, $B187))) &gt; 0,$B187 &amp; "(" &amp; $E187 &amp; ")",IF(SUMPRODUCT(-- ISNUMBER(SEARCH({"Formula","Roll-Up Summary"}, $B187))) &gt; 0,$B187 &amp; " (" &amp; $E187 &amp; ")",IF(SUMPRODUCT(-- ISNUMBER(SEARCH({"Content","Currency","Number","Percent","Text","URL"}, $B187))) &gt; 0,$B187 &amp; "(" &amp; $C187 &amp; ")",$B187)))), "  ", TRIM(IF($S187 = "YES", "(External ID)", "") &amp; " " &amp; IF(SUMPRODUCT(-- ISNUMBER(SEARCH({"Unique","Unique Case Insensitive"}, $R187))) &gt; 0, "(" &amp; $R187 &amp; ")", ""))))</f>
        <v>na</v>
      </c>
      <c r="E187" s="7" t="s">
        <v>195</v>
      </c>
      <c r="F187" s="7" t="s">
        <v>195</v>
      </c>
      <c r="G187" s="7" t="s">
        <v>195</v>
      </c>
      <c r="H187" s="7" t="s">
        <v>195</v>
      </c>
      <c r="I187" s="7" t="s">
        <v>195</v>
      </c>
      <c r="J187" s="7" t="s">
        <v>195</v>
      </c>
      <c r="K187" s="7" t="s">
        <v>195</v>
      </c>
      <c r="L187" s="7" t="s">
        <v>195</v>
      </c>
      <c r="M187" s="7" t="s">
        <v>29</v>
      </c>
      <c r="N187" s="7" t="s">
        <v>29</v>
      </c>
      <c r="O187" s="7" t="s">
        <v>29</v>
      </c>
      <c r="P187" s="7" t="s">
        <v>29</v>
      </c>
      <c r="Q187" s="7" t="s">
        <v>29</v>
      </c>
      <c r="R187" s="7" t="s">
        <v>29</v>
      </c>
      <c r="S187" s="7" t="s">
        <v>29</v>
      </c>
    </row>
    <row r="188" spans="2:19">
      <c r="B188" s="7" t="s">
        <v>195</v>
      </c>
      <c r="C188" s="8" t="s">
        <v>195</v>
      </c>
      <c r="D188" s="6" t="str">
        <f>LRTRIM(CONCATENATE(IF(SUMPRODUCT(-- ISNUMBER(SEARCH({"Auto Number"}, $B188))) &gt; 0, $B188, IF(SUMPRODUCT(-- ISNUMBER(SEARCH({"Lookup","Master-Detail"}, $B188))) &gt; 0,$B188 &amp; "(" &amp; $E188 &amp; ")",IF(SUMPRODUCT(-- ISNUMBER(SEARCH({"Formula","Roll-Up Summary"}, $B188))) &gt; 0,$B188 &amp; " (" &amp; $E188 &amp; ")",IF(SUMPRODUCT(-- ISNUMBER(SEARCH({"Content","Currency","Number","Percent","Text","URL"}, $B188))) &gt; 0,$B188 &amp; "(" &amp; $C188 &amp; ")",$B188)))), "  ", TRIM(IF($S188 = "YES", "(External ID)", "") &amp; " " &amp; IF(SUMPRODUCT(-- ISNUMBER(SEARCH({"Unique","Unique Case Insensitive"}, $R188))) &gt; 0, "(" &amp; $R188 &amp; ")", ""))))</f>
        <v>na</v>
      </c>
      <c r="E188" s="7" t="s">
        <v>195</v>
      </c>
      <c r="F188" s="7" t="s">
        <v>195</v>
      </c>
      <c r="G188" s="7" t="s">
        <v>195</v>
      </c>
      <c r="H188" s="7" t="s">
        <v>195</v>
      </c>
      <c r="I188" s="7" t="s">
        <v>195</v>
      </c>
      <c r="J188" s="7" t="s">
        <v>195</v>
      </c>
      <c r="K188" s="7" t="s">
        <v>195</v>
      </c>
      <c r="L188" s="7" t="s">
        <v>195</v>
      </c>
      <c r="M188" s="7" t="s">
        <v>29</v>
      </c>
      <c r="N188" s="7" t="s">
        <v>29</v>
      </c>
      <c r="O188" s="7" t="s">
        <v>29</v>
      </c>
      <c r="P188" s="7" t="s">
        <v>29</v>
      </c>
      <c r="Q188" s="7" t="s">
        <v>29</v>
      </c>
      <c r="R188" s="7" t="s">
        <v>29</v>
      </c>
      <c r="S188" s="7" t="s">
        <v>29</v>
      </c>
    </row>
    <row r="189" spans="2:19">
      <c r="B189" s="7" t="s">
        <v>195</v>
      </c>
      <c r="C189" s="8" t="s">
        <v>195</v>
      </c>
      <c r="D189" s="6" t="str">
        <f>LRTRIM(CONCATENATE(IF(SUMPRODUCT(-- ISNUMBER(SEARCH({"Auto Number"}, $B189))) &gt; 0, $B189, IF(SUMPRODUCT(-- ISNUMBER(SEARCH({"Lookup","Master-Detail"}, $B189))) &gt; 0,$B189 &amp; "(" &amp; $E189 &amp; ")",IF(SUMPRODUCT(-- ISNUMBER(SEARCH({"Formula","Roll-Up Summary"}, $B189))) &gt; 0,$B189 &amp; " (" &amp; $E189 &amp; ")",IF(SUMPRODUCT(-- ISNUMBER(SEARCH({"Content","Currency","Number","Percent","Text","URL"}, $B189))) &gt; 0,$B189 &amp; "(" &amp; $C189 &amp; ")",$B189)))), "  ", TRIM(IF($S189 = "YES", "(External ID)", "") &amp; " " &amp; IF(SUMPRODUCT(-- ISNUMBER(SEARCH({"Unique","Unique Case Insensitive"}, $R189))) &gt; 0, "(" &amp; $R189 &amp; ")", ""))))</f>
        <v>na</v>
      </c>
      <c r="E189" s="7" t="s">
        <v>195</v>
      </c>
      <c r="F189" s="7" t="s">
        <v>195</v>
      </c>
      <c r="G189" s="7" t="s">
        <v>195</v>
      </c>
      <c r="H189" s="7" t="s">
        <v>195</v>
      </c>
      <c r="I189" s="7" t="s">
        <v>195</v>
      </c>
      <c r="J189" s="7" t="s">
        <v>195</v>
      </c>
      <c r="K189" s="7" t="s">
        <v>195</v>
      </c>
      <c r="L189" s="7" t="s">
        <v>195</v>
      </c>
      <c r="M189" s="7" t="s">
        <v>29</v>
      </c>
      <c r="N189" s="7" t="s">
        <v>29</v>
      </c>
      <c r="O189" s="7" t="s">
        <v>29</v>
      </c>
      <c r="P189" s="7" t="s">
        <v>29</v>
      </c>
      <c r="Q189" s="7" t="s">
        <v>29</v>
      </c>
      <c r="R189" s="7" t="s">
        <v>29</v>
      </c>
      <c r="S189" s="7" t="s">
        <v>29</v>
      </c>
    </row>
    <row r="190" spans="2:19">
      <c r="B190" s="7" t="s">
        <v>195</v>
      </c>
      <c r="C190" s="8" t="s">
        <v>195</v>
      </c>
      <c r="D190" s="6" t="str">
        <f>LRTRIM(CONCATENATE(IF(SUMPRODUCT(-- ISNUMBER(SEARCH({"Auto Number"}, $B190))) &gt; 0, $B190, IF(SUMPRODUCT(-- ISNUMBER(SEARCH({"Lookup","Master-Detail"}, $B190))) &gt; 0,$B190 &amp; "(" &amp; $E190 &amp; ")",IF(SUMPRODUCT(-- ISNUMBER(SEARCH({"Formula","Roll-Up Summary"}, $B190))) &gt; 0,$B190 &amp; " (" &amp; $E190 &amp; ")",IF(SUMPRODUCT(-- ISNUMBER(SEARCH({"Content","Currency","Number","Percent","Text","URL"}, $B190))) &gt; 0,$B190 &amp; "(" &amp; $C190 &amp; ")",$B190)))), "  ", TRIM(IF($S190 = "YES", "(External ID)", "") &amp; " " &amp; IF(SUMPRODUCT(-- ISNUMBER(SEARCH({"Unique","Unique Case Insensitive"}, $R190))) &gt; 0, "(" &amp; $R190 &amp; ")", ""))))</f>
        <v>na</v>
      </c>
      <c r="E190" s="7" t="s">
        <v>195</v>
      </c>
      <c r="F190" s="7" t="s">
        <v>195</v>
      </c>
      <c r="G190" s="7" t="s">
        <v>195</v>
      </c>
      <c r="H190" s="7" t="s">
        <v>195</v>
      </c>
      <c r="I190" s="7" t="s">
        <v>195</v>
      </c>
      <c r="J190" s="7" t="s">
        <v>195</v>
      </c>
      <c r="K190" s="7" t="s">
        <v>195</v>
      </c>
      <c r="L190" s="7" t="s">
        <v>195</v>
      </c>
      <c r="M190" s="7" t="s">
        <v>29</v>
      </c>
      <c r="N190" s="7" t="s">
        <v>29</v>
      </c>
      <c r="O190" s="7" t="s">
        <v>29</v>
      </c>
      <c r="P190" s="7" t="s">
        <v>29</v>
      </c>
      <c r="Q190" s="7" t="s">
        <v>29</v>
      </c>
      <c r="R190" s="7" t="s">
        <v>29</v>
      </c>
      <c r="S190" s="7" t="s">
        <v>29</v>
      </c>
    </row>
    <row r="191" spans="2:19">
      <c r="B191" s="7" t="s">
        <v>195</v>
      </c>
      <c r="C191" s="8" t="s">
        <v>195</v>
      </c>
      <c r="D191" s="6" t="str">
        <f>LRTRIM(CONCATENATE(IF(SUMPRODUCT(-- ISNUMBER(SEARCH({"Auto Number"}, $B191))) &gt; 0, $B191, IF(SUMPRODUCT(-- ISNUMBER(SEARCH({"Lookup","Master-Detail"}, $B191))) &gt; 0,$B191 &amp; "(" &amp; $E191 &amp; ")",IF(SUMPRODUCT(-- ISNUMBER(SEARCH({"Formula","Roll-Up Summary"}, $B191))) &gt; 0,$B191 &amp; " (" &amp; $E191 &amp; ")",IF(SUMPRODUCT(-- ISNUMBER(SEARCH({"Content","Currency","Number","Percent","Text","URL"}, $B191))) &gt; 0,$B191 &amp; "(" &amp; $C191 &amp; ")",$B191)))), "  ", TRIM(IF($S191 = "YES", "(External ID)", "") &amp; " " &amp; IF(SUMPRODUCT(-- ISNUMBER(SEARCH({"Unique","Unique Case Insensitive"}, $R191))) &gt; 0, "(" &amp; $R191 &amp; ")", ""))))</f>
        <v>na</v>
      </c>
      <c r="E191" s="7" t="s">
        <v>195</v>
      </c>
      <c r="F191" s="7" t="s">
        <v>195</v>
      </c>
      <c r="G191" s="7" t="s">
        <v>195</v>
      </c>
      <c r="H191" s="7" t="s">
        <v>195</v>
      </c>
      <c r="I191" s="7" t="s">
        <v>195</v>
      </c>
      <c r="J191" s="7" t="s">
        <v>195</v>
      </c>
      <c r="K191" s="7" t="s">
        <v>195</v>
      </c>
      <c r="L191" s="7" t="s">
        <v>195</v>
      </c>
      <c r="M191" s="7" t="s">
        <v>29</v>
      </c>
      <c r="N191" s="7" t="s">
        <v>29</v>
      </c>
      <c r="O191" s="7" t="s">
        <v>29</v>
      </c>
      <c r="P191" s="7" t="s">
        <v>29</v>
      </c>
      <c r="Q191" s="7" t="s">
        <v>29</v>
      </c>
      <c r="R191" s="7" t="s">
        <v>29</v>
      </c>
      <c r="S191" s="7" t="s">
        <v>29</v>
      </c>
    </row>
    <row r="192" spans="2:19">
      <c r="B192" s="7" t="s">
        <v>195</v>
      </c>
      <c r="C192" s="8" t="s">
        <v>195</v>
      </c>
      <c r="D192" s="6" t="str">
        <f>LRTRIM(CONCATENATE(IF(SUMPRODUCT(-- ISNUMBER(SEARCH({"Auto Number"}, $B192))) &gt; 0, $B192, IF(SUMPRODUCT(-- ISNUMBER(SEARCH({"Lookup","Master-Detail"}, $B192))) &gt; 0,$B192 &amp; "(" &amp; $E192 &amp; ")",IF(SUMPRODUCT(-- ISNUMBER(SEARCH({"Formula","Roll-Up Summary"}, $B192))) &gt; 0,$B192 &amp; " (" &amp; $E192 &amp; ")",IF(SUMPRODUCT(-- ISNUMBER(SEARCH({"Content","Currency","Number","Percent","Text","URL"}, $B192))) &gt; 0,$B192 &amp; "(" &amp; $C192 &amp; ")",$B192)))), "  ", TRIM(IF($S192 = "YES", "(External ID)", "") &amp; " " &amp; IF(SUMPRODUCT(-- ISNUMBER(SEARCH({"Unique","Unique Case Insensitive"}, $R192))) &gt; 0, "(" &amp; $R192 &amp; ")", ""))))</f>
        <v>na</v>
      </c>
      <c r="E192" s="7" t="s">
        <v>195</v>
      </c>
      <c r="F192" s="7" t="s">
        <v>195</v>
      </c>
      <c r="G192" s="7" t="s">
        <v>195</v>
      </c>
      <c r="H192" s="7" t="s">
        <v>195</v>
      </c>
      <c r="I192" s="7" t="s">
        <v>195</v>
      </c>
      <c r="J192" s="7" t="s">
        <v>195</v>
      </c>
      <c r="K192" s="7" t="s">
        <v>195</v>
      </c>
      <c r="L192" s="7" t="s">
        <v>195</v>
      </c>
      <c r="M192" s="7" t="s">
        <v>29</v>
      </c>
      <c r="N192" s="7" t="s">
        <v>29</v>
      </c>
      <c r="O192" s="7" t="s">
        <v>29</v>
      </c>
      <c r="P192" s="7" t="s">
        <v>29</v>
      </c>
      <c r="Q192" s="7" t="s">
        <v>29</v>
      </c>
      <c r="R192" s="7" t="s">
        <v>29</v>
      </c>
      <c r="S192" s="7" t="s">
        <v>29</v>
      </c>
    </row>
    <row r="193" spans="2:19">
      <c r="B193" s="7" t="s">
        <v>195</v>
      </c>
      <c r="C193" s="8" t="s">
        <v>195</v>
      </c>
      <c r="D193" s="6" t="str">
        <f>LRTRIM(CONCATENATE(IF(SUMPRODUCT(-- ISNUMBER(SEARCH({"Auto Number"}, $B193))) &gt; 0, $B193, IF(SUMPRODUCT(-- ISNUMBER(SEARCH({"Lookup","Master-Detail"}, $B193))) &gt; 0,$B193 &amp; "(" &amp; $E193 &amp; ")",IF(SUMPRODUCT(-- ISNUMBER(SEARCH({"Formula","Roll-Up Summary"}, $B193))) &gt; 0,$B193 &amp; " (" &amp; $E193 &amp; ")",IF(SUMPRODUCT(-- ISNUMBER(SEARCH({"Content","Currency","Number","Percent","Text","URL"}, $B193))) &gt; 0,$B193 &amp; "(" &amp; $C193 &amp; ")",$B193)))), "  ", TRIM(IF($S193 = "YES", "(External ID)", "") &amp; " " &amp; IF(SUMPRODUCT(-- ISNUMBER(SEARCH({"Unique","Unique Case Insensitive"}, $R193))) &gt; 0, "(" &amp; $R193 &amp; ")", ""))))</f>
        <v>na</v>
      </c>
      <c r="E193" s="7" t="s">
        <v>195</v>
      </c>
      <c r="F193" s="7" t="s">
        <v>195</v>
      </c>
      <c r="G193" s="7" t="s">
        <v>195</v>
      </c>
      <c r="H193" s="7" t="s">
        <v>195</v>
      </c>
      <c r="I193" s="7" t="s">
        <v>195</v>
      </c>
      <c r="J193" s="7" t="s">
        <v>195</v>
      </c>
      <c r="K193" s="7" t="s">
        <v>195</v>
      </c>
      <c r="L193" s="7" t="s">
        <v>195</v>
      </c>
      <c r="M193" s="7" t="s">
        <v>29</v>
      </c>
      <c r="N193" s="7" t="s">
        <v>29</v>
      </c>
      <c r="O193" s="7" t="s">
        <v>29</v>
      </c>
      <c r="P193" s="7" t="s">
        <v>29</v>
      </c>
      <c r="Q193" s="7" t="s">
        <v>29</v>
      </c>
      <c r="R193" s="7" t="s">
        <v>29</v>
      </c>
      <c r="S193" s="7" t="s">
        <v>29</v>
      </c>
    </row>
    <row r="194" spans="2:19">
      <c r="B194" s="7" t="s">
        <v>195</v>
      </c>
      <c r="C194" s="8" t="s">
        <v>195</v>
      </c>
      <c r="D194" s="6" t="str">
        <f>LRTRIM(CONCATENATE(IF(SUMPRODUCT(-- ISNUMBER(SEARCH({"Auto Number"}, $B194))) &gt; 0, $B194, IF(SUMPRODUCT(-- ISNUMBER(SEARCH({"Lookup","Master-Detail"}, $B194))) &gt; 0,$B194 &amp; "(" &amp; $E194 &amp; ")",IF(SUMPRODUCT(-- ISNUMBER(SEARCH({"Formula","Roll-Up Summary"}, $B194))) &gt; 0,$B194 &amp; " (" &amp; $E194 &amp; ")",IF(SUMPRODUCT(-- ISNUMBER(SEARCH({"Content","Currency","Number","Percent","Text","URL"}, $B194))) &gt; 0,$B194 &amp; "(" &amp; $C194 &amp; ")",$B194)))), "  ", TRIM(IF($S194 = "YES", "(External ID)", "") &amp; " " &amp; IF(SUMPRODUCT(-- ISNUMBER(SEARCH({"Unique","Unique Case Insensitive"}, $R194))) &gt; 0, "(" &amp; $R194 &amp; ")", ""))))</f>
        <v>na</v>
      </c>
      <c r="E194" s="7" t="s">
        <v>195</v>
      </c>
      <c r="F194" s="7" t="s">
        <v>195</v>
      </c>
      <c r="G194" s="7" t="s">
        <v>195</v>
      </c>
      <c r="H194" s="7" t="s">
        <v>195</v>
      </c>
      <c r="I194" s="7" t="s">
        <v>195</v>
      </c>
      <c r="J194" s="7" t="s">
        <v>195</v>
      </c>
      <c r="K194" s="7" t="s">
        <v>195</v>
      </c>
      <c r="L194" s="7" t="s">
        <v>195</v>
      </c>
      <c r="M194" s="7" t="s">
        <v>29</v>
      </c>
      <c r="N194" s="7" t="s">
        <v>29</v>
      </c>
      <c r="O194" s="7" t="s">
        <v>29</v>
      </c>
      <c r="P194" s="7" t="s">
        <v>29</v>
      </c>
      <c r="Q194" s="7" t="s">
        <v>29</v>
      </c>
      <c r="R194" s="7" t="s">
        <v>29</v>
      </c>
      <c r="S194" s="7" t="s">
        <v>29</v>
      </c>
    </row>
    <row r="195" spans="2:19">
      <c r="B195" s="7" t="s">
        <v>195</v>
      </c>
      <c r="C195" s="8" t="s">
        <v>195</v>
      </c>
      <c r="D195" s="6" t="str">
        <f>LRTRIM(CONCATENATE(IF(SUMPRODUCT(-- ISNUMBER(SEARCH({"Auto Number"}, $B195))) &gt; 0, $B195, IF(SUMPRODUCT(-- ISNUMBER(SEARCH({"Lookup","Master-Detail"}, $B195))) &gt; 0,$B195 &amp; "(" &amp; $E195 &amp; ")",IF(SUMPRODUCT(-- ISNUMBER(SEARCH({"Formula","Roll-Up Summary"}, $B195))) &gt; 0,$B195 &amp; " (" &amp; $E195 &amp; ")",IF(SUMPRODUCT(-- ISNUMBER(SEARCH({"Content","Currency","Number","Percent","Text","URL"}, $B195))) &gt; 0,$B195 &amp; "(" &amp; $C195 &amp; ")",$B195)))), "  ", TRIM(IF($S195 = "YES", "(External ID)", "") &amp; " " &amp; IF(SUMPRODUCT(-- ISNUMBER(SEARCH({"Unique","Unique Case Insensitive"}, $R195))) &gt; 0, "(" &amp; $R195 &amp; ")", ""))))</f>
        <v>na</v>
      </c>
      <c r="E195" s="7" t="s">
        <v>195</v>
      </c>
      <c r="F195" s="7" t="s">
        <v>195</v>
      </c>
      <c r="G195" s="7" t="s">
        <v>195</v>
      </c>
      <c r="H195" s="7" t="s">
        <v>195</v>
      </c>
      <c r="I195" s="7" t="s">
        <v>195</v>
      </c>
      <c r="J195" s="7" t="s">
        <v>195</v>
      </c>
      <c r="K195" s="7" t="s">
        <v>195</v>
      </c>
      <c r="L195" s="7" t="s">
        <v>195</v>
      </c>
      <c r="M195" s="7" t="s">
        <v>29</v>
      </c>
      <c r="N195" s="7" t="s">
        <v>29</v>
      </c>
      <c r="O195" s="7" t="s">
        <v>29</v>
      </c>
      <c r="P195" s="7" t="s">
        <v>29</v>
      </c>
      <c r="Q195" s="7" t="s">
        <v>29</v>
      </c>
      <c r="R195" s="7" t="s">
        <v>29</v>
      </c>
      <c r="S195" s="7" t="s">
        <v>29</v>
      </c>
    </row>
    <row r="196" spans="2:19">
      <c r="B196" s="7" t="s">
        <v>195</v>
      </c>
      <c r="C196" s="8" t="s">
        <v>195</v>
      </c>
      <c r="D196" s="6" t="str">
        <f>LRTRIM(CONCATENATE(IF(SUMPRODUCT(-- ISNUMBER(SEARCH({"Auto Number"}, $B196))) &gt; 0, $B196, IF(SUMPRODUCT(-- ISNUMBER(SEARCH({"Lookup","Master-Detail"}, $B196))) &gt; 0,$B196 &amp; "(" &amp; $E196 &amp; ")",IF(SUMPRODUCT(-- ISNUMBER(SEARCH({"Formula","Roll-Up Summary"}, $B196))) &gt; 0,$B196 &amp; " (" &amp; $E196 &amp; ")",IF(SUMPRODUCT(-- ISNUMBER(SEARCH({"Content","Currency","Number","Percent","Text","URL"}, $B196))) &gt; 0,$B196 &amp; "(" &amp; $C196 &amp; ")",$B196)))), "  ", TRIM(IF($S196 = "YES", "(External ID)", "") &amp; " " &amp; IF(SUMPRODUCT(-- ISNUMBER(SEARCH({"Unique","Unique Case Insensitive"}, $R196))) &gt; 0, "(" &amp; $R196 &amp; ")", ""))))</f>
        <v>na</v>
      </c>
      <c r="E196" s="7" t="s">
        <v>195</v>
      </c>
      <c r="F196" s="7" t="s">
        <v>195</v>
      </c>
      <c r="G196" s="7" t="s">
        <v>195</v>
      </c>
      <c r="H196" s="7" t="s">
        <v>195</v>
      </c>
      <c r="I196" s="7" t="s">
        <v>195</v>
      </c>
      <c r="J196" s="7" t="s">
        <v>195</v>
      </c>
      <c r="K196" s="7" t="s">
        <v>195</v>
      </c>
      <c r="L196" s="7" t="s">
        <v>195</v>
      </c>
      <c r="M196" s="7" t="s">
        <v>29</v>
      </c>
      <c r="N196" s="7" t="s">
        <v>29</v>
      </c>
      <c r="O196" s="7" t="s">
        <v>29</v>
      </c>
      <c r="P196" s="7" t="s">
        <v>29</v>
      </c>
      <c r="Q196" s="7" t="s">
        <v>29</v>
      </c>
      <c r="R196" s="7" t="s">
        <v>29</v>
      </c>
      <c r="S196" s="7" t="s">
        <v>29</v>
      </c>
    </row>
    <row r="197" spans="2:19">
      <c r="B197" s="7" t="s">
        <v>195</v>
      </c>
      <c r="C197" s="8" t="s">
        <v>195</v>
      </c>
      <c r="D197" s="6" t="str">
        <f>LRTRIM(CONCATENATE(IF(SUMPRODUCT(-- ISNUMBER(SEARCH({"Auto Number"}, $B197))) &gt; 0, $B197, IF(SUMPRODUCT(-- ISNUMBER(SEARCH({"Lookup","Master-Detail"}, $B197))) &gt; 0,$B197 &amp; "(" &amp; $E197 &amp; ")",IF(SUMPRODUCT(-- ISNUMBER(SEARCH({"Formula","Roll-Up Summary"}, $B197))) &gt; 0,$B197 &amp; " (" &amp; $E197 &amp; ")",IF(SUMPRODUCT(-- ISNUMBER(SEARCH({"Content","Currency","Number","Percent","Text","URL"}, $B197))) &gt; 0,$B197 &amp; "(" &amp; $C197 &amp; ")",$B197)))), "  ", TRIM(IF($S197 = "YES", "(External ID)", "") &amp; " " &amp; IF(SUMPRODUCT(-- ISNUMBER(SEARCH({"Unique","Unique Case Insensitive"}, $R197))) &gt; 0, "(" &amp; $R197 &amp; ")", ""))))</f>
        <v>na</v>
      </c>
      <c r="E197" s="7" t="s">
        <v>195</v>
      </c>
      <c r="F197" s="7" t="s">
        <v>195</v>
      </c>
      <c r="G197" s="7" t="s">
        <v>195</v>
      </c>
      <c r="H197" s="7" t="s">
        <v>195</v>
      </c>
      <c r="I197" s="7" t="s">
        <v>195</v>
      </c>
      <c r="J197" s="7" t="s">
        <v>195</v>
      </c>
      <c r="K197" s="7" t="s">
        <v>195</v>
      </c>
      <c r="L197" s="7" t="s">
        <v>195</v>
      </c>
      <c r="M197" s="7" t="s">
        <v>29</v>
      </c>
      <c r="N197" s="7" t="s">
        <v>29</v>
      </c>
      <c r="O197" s="7" t="s">
        <v>29</v>
      </c>
      <c r="P197" s="7" t="s">
        <v>29</v>
      </c>
      <c r="Q197" s="7" t="s">
        <v>29</v>
      </c>
      <c r="R197" s="7" t="s">
        <v>29</v>
      </c>
      <c r="S197" s="7" t="s">
        <v>29</v>
      </c>
    </row>
    <row r="198" spans="2:19">
      <c r="B198" s="7" t="s">
        <v>195</v>
      </c>
      <c r="C198" s="8" t="s">
        <v>195</v>
      </c>
      <c r="D198" s="6" t="str">
        <f>LRTRIM(CONCATENATE(IF(SUMPRODUCT(-- ISNUMBER(SEARCH({"Auto Number"}, $B198))) &gt; 0, $B198, IF(SUMPRODUCT(-- ISNUMBER(SEARCH({"Lookup","Master-Detail"}, $B198))) &gt; 0,$B198 &amp; "(" &amp; $E198 &amp; ")",IF(SUMPRODUCT(-- ISNUMBER(SEARCH({"Formula","Roll-Up Summary"}, $B198))) &gt; 0,$B198 &amp; " (" &amp; $E198 &amp; ")",IF(SUMPRODUCT(-- ISNUMBER(SEARCH({"Content","Currency","Number","Percent","Text","URL"}, $B198))) &gt; 0,$B198 &amp; "(" &amp; $C198 &amp; ")",$B198)))), "  ", TRIM(IF($S198 = "YES", "(External ID)", "") &amp; " " &amp; IF(SUMPRODUCT(-- ISNUMBER(SEARCH({"Unique","Unique Case Insensitive"}, $R198))) &gt; 0, "(" &amp; $R198 &amp; ")", ""))))</f>
        <v>na</v>
      </c>
      <c r="E198" s="7" t="s">
        <v>195</v>
      </c>
      <c r="F198" s="7" t="s">
        <v>195</v>
      </c>
      <c r="G198" s="7" t="s">
        <v>195</v>
      </c>
      <c r="H198" s="7" t="s">
        <v>195</v>
      </c>
      <c r="I198" s="7" t="s">
        <v>195</v>
      </c>
      <c r="J198" s="7" t="s">
        <v>195</v>
      </c>
      <c r="K198" s="7" t="s">
        <v>195</v>
      </c>
      <c r="L198" s="7" t="s">
        <v>195</v>
      </c>
      <c r="M198" s="7" t="s">
        <v>29</v>
      </c>
      <c r="N198" s="7" t="s">
        <v>29</v>
      </c>
      <c r="O198" s="7" t="s">
        <v>29</v>
      </c>
      <c r="P198" s="7" t="s">
        <v>29</v>
      </c>
      <c r="Q198" s="7" t="s">
        <v>29</v>
      </c>
      <c r="R198" s="7" t="s">
        <v>29</v>
      </c>
      <c r="S198" s="7" t="s">
        <v>29</v>
      </c>
    </row>
    <row r="199" spans="2:19">
      <c r="B199" s="7" t="s">
        <v>195</v>
      </c>
      <c r="C199" s="8" t="s">
        <v>195</v>
      </c>
      <c r="D199" s="6" t="str">
        <f>LRTRIM(CONCATENATE(IF(SUMPRODUCT(-- ISNUMBER(SEARCH({"Auto Number"}, $B199))) &gt; 0, $B199, IF(SUMPRODUCT(-- ISNUMBER(SEARCH({"Lookup","Master-Detail"}, $B199))) &gt; 0,$B199 &amp; "(" &amp; $E199 &amp; ")",IF(SUMPRODUCT(-- ISNUMBER(SEARCH({"Formula","Roll-Up Summary"}, $B199))) &gt; 0,$B199 &amp; " (" &amp; $E199 &amp; ")",IF(SUMPRODUCT(-- ISNUMBER(SEARCH({"Content","Currency","Number","Percent","Text","URL"}, $B199))) &gt; 0,$B199 &amp; "(" &amp; $C199 &amp; ")",$B199)))), "  ", TRIM(IF($S199 = "YES", "(External ID)", "") &amp; " " &amp; IF(SUMPRODUCT(-- ISNUMBER(SEARCH({"Unique","Unique Case Insensitive"}, $R199))) &gt; 0, "(" &amp; $R199 &amp; ")", ""))))</f>
        <v>na</v>
      </c>
      <c r="E199" s="7" t="s">
        <v>195</v>
      </c>
      <c r="F199" s="7" t="s">
        <v>195</v>
      </c>
      <c r="G199" s="7" t="s">
        <v>195</v>
      </c>
      <c r="H199" s="7" t="s">
        <v>195</v>
      </c>
      <c r="I199" s="7" t="s">
        <v>195</v>
      </c>
      <c r="J199" s="7" t="s">
        <v>195</v>
      </c>
      <c r="K199" s="7" t="s">
        <v>195</v>
      </c>
      <c r="L199" s="7" t="s">
        <v>195</v>
      </c>
      <c r="M199" s="7" t="s">
        <v>29</v>
      </c>
      <c r="N199" s="7" t="s">
        <v>29</v>
      </c>
      <c r="O199" s="7" t="s">
        <v>29</v>
      </c>
      <c r="P199" s="7" t="s">
        <v>29</v>
      </c>
      <c r="Q199" s="7" t="s">
        <v>29</v>
      </c>
      <c r="R199" s="7" t="s">
        <v>29</v>
      </c>
      <c r="S199" s="7" t="s">
        <v>29</v>
      </c>
    </row>
    <row r="200" spans="2:19">
      <c r="B200" s="7" t="s">
        <v>195</v>
      </c>
      <c r="C200" s="8" t="s">
        <v>195</v>
      </c>
      <c r="D200" s="6" t="str">
        <f>LRTRIM(CONCATENATE(IF(SUMPRODUCT(-- ISNUMBER(SEARCH({"Auto Number"}, $B200))) &gt; 0, $B200, IF(SUMPRODUCT(-- ISNUMBER(SEARCH({"Lookup","Master-Detail"}, $B200))) &gt; 0,$B200 &amp; "(" &amp; $E200 &amp; ")",IF(SUMPRODUCT(-- ISNUMBER(SEARCH({"Formula","Roll-Up Summary"}, $B200))) &gt; 0,$B200 &amp; " (" &amp; $E200 &amp; ")",IF(SUMPRODUCT(-- ISNUMBER(SEARCH({"Content","Currency","Number","Percent","Text","URL"}, $B200))) &gt; 0,$B200 &amp; "(" &amp; $C200 &amp; ")",$B200)))), "  ", TRIM(IF($S200 = "YES", "(External ID)", "") &amp; " " &amp; IF(SUMPRODUCT(-- ISNUMBER(SEARCH({"Unique","Unique Case Insensitive"}, $R200))) &gt; 0, "(" &amp; $R200 &amp; ")", ""))))</f>
        <v>na</v>
      </c>
      <c r="E200" s="7" t="s">
        <v>195</v>
      </c>
      <c r="F200" s="7" t="s">
        <v>195</v>
      </c>
      <c r="G200" s="7" t="s">
        <v>195</v>
      </c>
      <c r="H200" s="7" t="s">
        <v>195</v>
      </c>
      <c r="I200" s="7" t="s">
        <v>195</v>
      </c>
      <c r="J200" s="7" t="s">
        <v>195</v>
      </c>
      <c r="K200" s="7" t="s">
        <v>195</v>
      </c>
      <c r="L200" s="7" t="s">
        <v>195</v>
      </c>
      <c r="M200" s="7" t="s">
        <v>29</v>
      </c>
      <c r="N200" s="7" t="s">
        <v>29</v>
      </c>
      <c r="O200" s="7" t="s">
        <v>29</v>
      </c>
      <c r="P200" s="7" t="s">
        <v>29</v>
      </c>
      <c r="Q200" s="7" t="s">
        <v>29</v>
      </c>
      <c r="R200" s="7" t="s">
        <v>29</v>
      </c>
      <c r="S200" s="7" t="s">
        <v>29</v>
      </c>
    </row>
  </sheetData>
  <sheetProtection formatCells="0" formatColumns="0" formatRows="0" insertColumns="0" insertRows="0" insertHyperlinks="0" deleteColumns="0" deleteRows="0" sort="0" autoFilter="0" pivotTables="0"/>
  <conditionalFormatting sqref="D2:D35">
    <cfRule type="expression" dxfId="12" priority="3">
      <formula>NOT(_xlfn.ISFORMULA($D2))</formula>
    </cfRule>
  </conditionalFormatting>
  <conditionalFormatting sqref="D36">
    <cfRule type="expression" dxfId="11" priority="2">
      <formula>NOT(_xlfn.ISFORMULA($D36))</formula>
    </cfRule>
  </conditionalFormatting>
  <conditionalFormatting sqref="D37:D200">
    <cfRule type="expression" dxfId="10" priority="1">
      <formula>NOT(_xlfn.ISFORMULA($D37))</formula>
    </cfRule>
  </conditionalFormatting>
  <dataValidations count="1">
    <dataValidation allowBlank="1" showInputMessage="1" showErrorMessage="1" sqref="A2:A35"/>
  </dataValidations>
  <pageMargins left="0.7" right="0.7" top="0.75" bottom="0.75" header="0.3" footer="0.3"/>
  <extLst>
    <ext xmlns:x14="http://schemas.microsoft.com/office/spreadsheetml/2009/9/main" uri="{CCE6A557-97BC-4b89-ADB6-D9C93CAAB3DF}">
      <x14:dataValidations xmlns:xm="http://schemas.microsoft.com/office/excel/2006/main" count="15">
        <x14:dataValidation type="list" allowBlank="1" showInputMessage="1" showErrorMessage="1">
          <x14:formula1>
            <xm:f>OFFSET('Reference Fields'!$J$2,0,0,COUNTA('Reference Fields'!$J:$J)-1)</xm:f>
          </x14:formula1>
          <xm:sqref>Q2:Q200</xm:sqref>
        </x14:dataValidation>
        <x14:dataValidation type="list" allowBlank="1" showInputMessage="1" showErrorMessage="1">
          <x14:formula1>
            <xm:f>OFFSET('Reference Fields'!$J$2,0,0,COUNTA('Reference Fields'!$J:$J)-1)</xm:f>
          </x14:formula1>
          <xm:sqref>M2:M200</xm:sqref>
        </x14:dataValidation>
        <x14:dataValidation type="list" allowBlank="1" showInputMessage="1" showErrorMessage="1">
          <x14:formula1>
            <xm:f>OFFSET('Reference Fields'!$J$2,0,0,COUNTA('Reference Fields'!$J:$J)-1)</xm:f>
          </x14:formula1>
          <xm:sqref>N2:N200</xm:sqref>
        </x14:dataValidation>
        <x14:dataValidation type="list" allowBlank="1" showInputMessage="1" showErrorMessage="1">
          <x14:formula1>
            <xm:f>OFFSET('Reference Fields'!$J$2,0,0,COUNTA('Reference Fields'!$J:$J)-1)</xm:f>
          </x14:formula1>
          <xm:sqref>O2:O200</xm:sqref>
        </x14:dataValidation>
        <x14:dataValidation type="list" allowBlank="1" showInputMessage="1" showErrorMessage="1">
          <x14:formula1>
            <xm:f>OFFSET('Reference Fields'!$J$2,0,0,COUNTA('Reference Fields'!$J:$J)-1)</xm:f>
          </x14:formula1>
          <xm:sqref>P2:P200</xm:sqref>
        </x14:dataValidation>
        <x14:dataValidation type="list" allowBlank="1" showInputMessage="1" showErrorMessage="1">
          <x14:formula1>
            <xm:f>OFFSET('Reference Fields'!$J$2,0,0,COUNTA('Reference Fields'!$J:$J)-1)</xm:f>
          </x14:formula1>
          <xm:sqref>S2:S200</xm:sqref>
        </x14:dataValidation>
        <x14:dataValidation type="list" allowBlank="1" showInputMessage="1" showErrorMessage="1">
          <x14:formula1>
            <xm:f>OFFSET('Reference Fields'!$K$2,0,0,COUNTA('Reference Fields'!$K:$K)-1)</xm:f>
          </x14:formula1>
          <xm:sqref>R2:R200</xm:sqref>
        </x14:dataValidation>
        <x14:dataValidation type="list" allowBlank="1" showInputMessage="1" showErrorMessage="1">
          <x14:formula1>
            <xm:f>OFFSET('Reference Fields'!$B$2,0,0,COUNTA('Reference Fields'!$B:$B)-1)</xm:f>
          </x14:formula1>
          <xm:sqref>B2:B200</xm:sqref>
        </x14:dataValidation>
        <x14:dataValidation type="list" allowBlank="1" showInputMessage="1" showErrorMessage="1">
          <x14:formula1>
            <xm:f>OFFSET('Reference Fields'!$D$2,0,0,COUNTA('Reference Fields'!$D:$D)-1)</xm:f>
          </x14:formula1>
          <xm:sqref>F2:F200</xm:sqref>
        </x14:dataValidation>
        <x14:dataValidation type="list" allowBlank="1" showInputMessage="1" showErrorMessage="1">
          <x14:formula1>
            <xm:f>OFFSET('Reference Fields'!$E$2,0,0,COUNTA('Reference Fields'!$E:$E)-1)</xm:f>
          </x14:formula1>
          <xm:sqref>G2:G200</xm:sqref>
        </x14:dataValidation>
        <x14:dataValidation type="list" allowBlank="1" showInputMessage="1" showErrorMessage="1">
          <x14:formula1>
            <xm:f>OFFSET('Reference Fields'!$F$2,0,0,COUNTA('Reference Fields'!$F:$F)-1)</xm:f>
          </x14:formula1>
          <xm:sqref>H2:H200</xm:sqref>
        </x14:dataValidation>
        <x14:dataValidation type="list" allowBlank="1" showInputMessage="1" showErrorMessage="1">
          <x14:formula1>
            <xm:f>OFFSET('Reference Fields'!$F$2,0,0,COUNTA('Reference Fields'!$F:$F)-1)</xm:f>
          </x14:formula1>
          <xm:sqref>I2:I200</xm:sqref>
        </x14:dataValidation>
        <x14:dataValidation type="list" allowBlank="1" showInputMessage="1" showErrorMessage="1">
          <x14:formula1>
            <xm:f>OFFSET('Reference Fields'!$G$2,0,0,COUNTA('Reference Fields'!$G:$G)-1)</xm:f>
          </x14:formula1>
          <xm:sqref>J2:J200</xm:sqref>
        </x14:dataValidation>
        <x14:dataValidation type="list" allowBlank="1" showInputMessage="1" showErrorMessage="1">
          <x14:formula1>
            <xm:f>OFFSET('Reference Fields'!$H$2,0,0,COUNTA('Reference Fields'!$H:$H)-1)</xm:f>
          </x14:formula1>
          <xm:sqref>K2:K200</xm:sqref>
        </x14:dataValidation>
        <x14:dataValidation type="list" allowBlank="1" showInputMessage="1" showErrorMessage="1">
          <x14:formula1>
            <xm:f>OFFSET('Reference Fields'!$I$2,0,0,COUNTA('Reference Fields'!$I:$I)-1)</xm:f>
          </x14:formula1>
          <xm:sqref>L2:L200</xm:sqref>
        </x14:dataValidation>
      </x14:dataValidations>
    </ext>
  </extLst>
</worksheet>
</file>

<file path=xl/worksheets/sheet37.xml><?xml version="1.0" encoding="utf-8"?>
<worksheet xmlns="http://schemas.openxmlformats.org/spreadsheetml/2006/main" xmlns:r="http://schemas.openxmlformats.org/officeDocument/2006/relationships">
  <sheetPr codeName="Sheet26"/>
  <dimension ref="A1:S200"/>
  <sheetViews>
    <sheetView workbookViewId="0">
      <pane ySplit="1" topLeftCell="A2" activePane="bottomLeft" state="frozen"/>
      <selection pane="bottomLeft" activeCell="A2" sqref="A2"/>
    </sheetView>
  </sheetViews>
  <sheetFormatPr defaultRowHeight="14.5"/>
  <cols>
    <col min="1" max="1" width="23" bestFit="1" customWidth="1"/>
    <col min="2" max="2" width="13.54296875" customWidth="1"/>
    <col min="3" max="4" width="8.90625" customWidth="1"/>
    <col min="5" max="5" width="12.6328125" customWidth="1"/>
    <col min="6" max="6" width="15.6328125" bestFit="1" customWidth="1"/>
    <col min="7" max="8" width="15.453125" customWidth="1"/>
    <col min="9" max="9" width="22.6328125" customWidth="1"/>
    <col min="10" max="10" width="23.36328125" customWidth="1"/>
    <col min="11" max="11" width="17.54296875" customWidth="1"/>
    <col min="12" max="12" width="14.08984375" customWidth="1"/>
    <col min="13" max="13" width="10.453125" bestFit="1" customWidth="1"/>
    <col min="14" max="14" width="10.453125" customWidth="1"/>
    <col min="15" max="15" width="12.453125" bestFit="1" customWidth="1"/>
  </cols>
  <sheetData>
    <row r="1" spans="1:19" s="1" customFormat="1">
      <c r="A1" s="1" t="s">
        <v>2</v>
      </c>
      <c r="B1" s="1" t="s">
        <v>1198</v>
      </c>
      <c r="C1" s="1" t="s">
        <v>1199</v>
      </c>
      <c r="D1" s="1" t="s">
        <v>0</v>
      </c>
      <c r="E1" s="1" t="s">
        <v>1</v>
      </c>
      <c r="F1" s="1" t="s">
        <v>30</v>
      </c>
      <c r="G1" s="1" t="s">
        <v>31</v>
      </c>
      <c r="H1" s="1" t="s">
        <v>1262</v>
      </c>
      <c r="I1" s="1" t="s">
        <v>49</v>
      </c>
      <c r="J1" s="1" t="s">
        <v>48</v>
      </c>
      <c r="K1" s="1" t="s">
        <v>54</v>
      </c>
      <c r="L1" s="1" t="s">
        <v>55</v>
      </c>
      <c r="M1" s="1" t="s">
        <v>27</v>
      </c>
      <c r="N1" s="1" t="s">
        <v>175</v>
      </c>
      <c r="O1" s="1" t="s">
        <v>193</v>
      </c>
      <c r="P1" s="1" t="s">
        <v>1221</v>
      </c>
      <c r="Q1" s="1" t="s">
        <v>1264</v>
      </c>
      <c r="R1" s="1" t="s">
        <v>1263</v>
      </c>
      <c r="S1" s="1" t="s">
        <v>1265</v>
      </c>
    </row>
    <row r="2" spans="1:19">
      <c r="A2" s="7" t="s">
        <v>666</v>
      </c>
      <c r="B2" s="7" t="s">
        <v>1206</v>
      </c>
      <c r="C2" s="8" t="s">
        <v>1726</v>
      </c>
      <c r="D2" s="6" t="str">
        <f>LRTRIM(CONCATENATE(IF(SUMPRODUCT(-- ISNUMBER(SEARCH({"Auto Number"}, $B2))) &gt; 0, $B2, IF(SUMPRODUCT(-- ISNUMBER(SEARCH({"Lookup","Master-Detail"}, $B2))) &gt; 0,$B2 &amp; "(" &amp; $E2 &amp; ")",IF(SUMPRODUCT(-- ISNUMBER(SEARCH({"Formula","Roll-Up Summary"}, $B2))) &gt; 0,$B2 &amp; " (" &amp; $E2 &amp; ")",IF(SUMPRODUCT(-- ISNUMBER(SEARCH({"Content","Currency","Number","Percent","Text","URL"}, $B2))) &gt; 0,$B2 &amp; "(" &amp; $C2 &amp; ")",$B2)))), "  ", TRIM(IF($S2 = "YES", "(External ID)", "") &amp; " " &amp; IF(SUMPRODUCT(-- ISNUMBER(SEARCH({"Unique","Unique Case Insensitive"}, $R2))) &gt; 0, "(" &amp; $R2 &amp; ")", ""))))</f>
        <v>Currency(9, 0)</v>
      </c>
      <c r="E2" s="7" t="s">
        <v>195</v>
      </c>
      <c r="F2" s="7" t="s">
        <v>715</v>
      </c>
      <c r="G2" s="7" t="s">
        <v>1133</v>
      </c>
      <c r="H2" s="7" t="s">
        <v>195</v>
      </c>
      <c r="I2" s="7" t="s">
        <v>195</v>
      </c>
      <c r="J2" s="7" t="s">
        <v>195</v>
      </c>
      <c r="K2" s="7" t="s">
        <v>195</v>
      </c>
      <c r="L2" s="7" t="s">
        <v>195</v>
      </c>
      <c r="M2" s="7" t="s">
        <v>29</v>
      </c>
      <c r="N2" s="7" t="s">
        <v>29</v>
      </c>
      <c r="O2" s="7" t="s">
        <v>29</v>
      </c>
      <c r="P2" s="7" t="s">
        <v>29</v>
      </c>
      <c r="Q2" s="7" t="s">
        <v>29</v>
      </c>
      <c r="R2" s="7" t="s">
        <v>29</v>
      </c>
      <c r="S2" s="7" t="s">
        <v>29</v>
      </c>
    </row>
    <row r="3" spans="1:19">
      <c r="A3" s="7" t="s">
        <v>1037</v>
      </c>
      <c r="B3" s="7" t="s">
        <v>1206</v>
      </c>
      <c r="C3" s="8" t="s">
        <v>1726</v>
      </c>
      <c r="D3" s="6" t="str">
        <f>LRTRIM(CONCATENATE(IF(SUMPRODUCT(-- ISNUMBER(SEARCH({"Auto Number"}, $B3))) &gt; 0, $B3, IF(SUMPRODUCT(-- ISNUMBER(SEARCH({"Lookup","Master-Detail"}, $B3))) &gt; 0,$B3 &amp; "(" &amp; $E3 &amp; ")",IF(SUMPRODUCT(-- ISNUMBER(SEARCH({"Formula","Roll-Up Summary"}, $B3))) &gt; 0,$B3 &amp; " (" &amp; $E3 &amp; ")",IF(SUMPRODUCT(-- ISNUMBER(SEARCH({"Content","Currency","Number","Percent","Text","URL"}, $B3))) &gt; 0,$B3 &amp; "(" &amp; $C3 &amp; ")",$B3)))), "  ", TRIM(IF($S3 = "YES", "(External ID)", "") &amp; " " &amp; IF(SUMPRODUCT(-- ISNUMBER(SEARCH({"Unique","Unique Case Insensitive"}, $R3))) &gt; 0, "(" &amp; $R3 &amp; ")", ""))))</f>
        <v>Currency(9, 0)</v>
      </c>
      <c r="E3" s="7" t="s">
        <v>195</v>
      </c>
      <c r="F3" s="7" t="s">
        <v>1086</v>
      </c>
      <c r="G3" s="7" t="s">
        <v>195</v>
      </c>
      <c r="H3" s="7" t="s">
        <v>195</v>
      </c>
      <c r="I3" s="7" t="s">
        <v>195</v>
      </c>
      <c r="J3" s="7" t="s">
        <v>195</v>
      </c>
      <c r="K3" s="7" t="s">
        <v>195</v>
      </c>
      <c r="L3" s="7" t="s">
        <v>195</v>
      </c>
      <c r="M3" s="7" t="s">
        <v>29</v>
      </c>
      <c r="N3" s="7" t="s">
        <v>29</v>
      </c>
      <c r="O3" s="7" t="s">
        <v>29</v>
      </c>
      <c r="P3" s="7" t="s">
        <v>29</v>
      </c>
      <c r="Q3" s="7" t="s">
        <v>29</v>
      </c>
      <c r="R3" s="7" t="s">
        <v>29</v>
      </c>
      <c r="S3" s="7" t="s">
        <v>29</v>
      </c>
    </row>
    <row r="4" spans="1:19">
      <c r="A4" s="7" t="s">
        <v>1038</v>
      </c>
      <c r="B4" s="7" t="s">
        <v>1206</v>
      </c>
      <c r="C4" s="8" t="s">
        <v>1726</v>
      </c>
      <c r="D4" s="6" t="str">
        <f>LRTRIM(CONCATENATE(IF(SUMPRODUCT(-- ISNUMBER(SEARCH({"Auto Number"}, $B4))) &gt; 0, $B4, IF(SUMPRODUCT(-- ISNUMBER(SEARCH({"Lookup","Master-Detail"}, $B4))) &gt; 0,$B4 &amp; "(" &amp; $E4 &amp; ")",IF(SUMPRODUCT(-- ISNUMBER(SEARCH({"Formula","Roll-Up Summary"}, $B4))) &gt; 0,$B4 &amp; " (" &amp; $E4 &amp; ")",IF(SUMPRODUCT(-- ISNUMBER(SEARCH({"Content","Currency","Number","Percent","Text","URL"}, $B4))) &gt; 0,$B4 &amp; "(" &amp; $C4 &amp; ")",$B4)))), "  ", TRIM(IF($S4 = "YES", "(External ID)", "") &amp; " " &amp; IF(SUMPRODUCT(-- ISNUMBER(SEARCH({"Unique","Unique Case Insensitive"}, $R4))) &gt; 0, "(" &amp; $R4 &amp; ")", ""))))</f>
        <v>Currency(9, 0)</v>
      </c>
      <c r="E4" s="7" t="s">
        <v>195</v>
      </c>
      <c r="F4" s="7" t="s">
        <v>1087</v>
      </c>
      <c r="G4" s="7" t="s">
        <v>1134</v>
      </c>
      <c r="H4" s="7" t="s">
        <v>195</v>
      </c>
      <c r="I4" s="7" t="s">
        <v>195</v>
      </c>
      <c r="J4" s="7" t="s">
        <v>195</v>
      </c>
      <c r="K4" s="7" t="s">
        <v>195</v>
      </c>
      <c r="L4" s="7" t="s">
        <v>195</v>
      </c>
      <c r="M4" s="7" t="s">
        <v>29</v>
      </c>
      <c r="N4" s="7" t="s">
        <v>29</v>
      </c>
      <c r="O4" s="7" t="s">
        <v>29</v>
      </c>
      <c r="P4" s="7" t="s">
        <v>29</v>
      </c>
      <c r="Q4" s="7" t="s">
        <v>29</v>
      </c>
      <c r="R4" s="7" t="s">
        <v>29</v>
      </c>
      <c r="S4" s="7" t="s">
        <v>29</v>
      </c>
    </row>
    <row r="5" spans="1:19">
      <c r="A5" s="7" t="s">
        <v>1039</v>
      </c>
      <c r="B5" s="7" t="s">
        <v>1206</v>
      </c>
      <c r="C5" s="8" t="s">
        <v>1726</v>
      </c>
      <c r="D5" s="6" t="str">
        <f>LRTRIM(CONCATENATE(IF(SUMPRODUCT(-- ISNUMBER(SEARCH({"Auto Number"}, $B5))) &gt; 0, $B5, IF(SUMPRODUCT(-- ISNUMBER(SEARCH({"Lookup","Master-Detail"}, $B5))) &gt; 0,$B5 &amp; "(" &amp; $E5 &amp; ")",IF(SUMPRODUCT(-- ISNUMBER(SEARCH({"Formula","Roll-Up Summary"}, $B5))) &gt; 0,$B5 &amp; " (" &amp; $E5 &amp; ")",IF(SUMPRODUCT(-- ISNUMBER(SEARCH({"Content","Currency","Number","Percent","Text","URL"}, $B5))) &gt; 0,$B5 &amp; "(" &amp; $C5 &amp; ")",$B5)))), "  ", TRIM(IF($S5 = "YES", "(External ID)", "") &amp; " " &amp; IF(SUMPRODUCT(-- ISNUMBER(SEARCH({"Unique","Unique Case Insensitive"}, $R5))) &gt; 0, "(" &amp; $R5 &amp; ")", ""))))</f>
        <v>Currency(9, 0)</v>
      </c>
      <c r="E5" s="7" t="s">
        <v>195</v>
      </c>
      <c r="F5" s="7" t="s">
        <v>1088</v>
      </c>
      <c r="G5" s="7" t="s">
        <v>1135</v>
      </c>
      <c r="H5" s="7" t="s">
        <v>195</v>
      </c>
      <c r="I5" s="7" t="s">
        <v>195</v>
      </c>
      <c r="J5" s="7" t="s">
        <v>195</v>
      </c>
      <c r="K5" s="7" t="s">
        <v>195</v>
      </c>
      <c r="L5" s="7" t="s">
        <v>195</v>
      </c>
      <c r="M5" s="7" t="s">
        <v>29</v>
      </c>
      <c r="N5" s="7" t="s">
        <v>29</v>
      </c>
      <c r="O5" s="7" t="s">
        <v>29</v>
      </c>
      <c r="P5" s="7" t="s">
        <v>29</v>
      </c>
      <c r="Q5" s="7" t="s">
        <v>29</v>
      </c>
      <c r="R5" s="7" t="s">
        <v>29</v>
      </c>
      <c r="S5" s="7" t="s">
        <v>29</v>
      </c>
    </row>
    <row r="6" spans="1:19">
      <c r="A6" s="7" t="s">
        <v>1040</v>
      </c>
      <c r="B6" s="7" t="s">
        <v>1206</v>
      </c>
      <c r="C6" s="8" t="s">
        <v>1726</v>
      </c>
      <c r="D6" s="6" t="str">
        <f>LRTRIM(CONCATENATE(IF(SUMPRODUCT(-- ISNUMBER(SEARCH({"Auto Number"}, $B6))) &gt; 0, $B6, IF(SUMPRODUCT(-- ISNUMBER(SEARCH({"Lookup","Master-Detail"}, $B6))) &gt; 0,$B6 &amp; "(" &amp; $E6 &amp; ")",IF(SUMPRODUCT(-- ISNUMBER(SEARCH({"Formula","Roll-Up Summary"}, $B6))) &gt; 0,$B6 &amp; " (" &amp; $E6 &amp; ")",IF(SUMPRODUCT(-- ISNUMBER(SEARCH({"Content","Currency","Number","Percent","Text","URL"}, $B6))) &gt; 0,$B6 &amp; "(" &amp; $C6 &amp; ")",$B6)))), "  ", TRIM(IF($S6 = "YES", "(External ID)", "") &amp; " " &amp; IF(SUMPRODUCT(-- ISNUMBER(SEARCH({"Unique","Unique Case Insensitive"}, $R6))) &gt; 0, "(" &amp; $R6 &amp; ")", ""))))</f>
        <v>Currency(9, 0)</v>
      </c>
      <c r="E6" s="7" t="s">
        <v>195</v>
      </c>
      <c r="F6" s="7" t="s">
        <v>1089</v>
      </c>
      <c r="G6" s="7" t="s">
        <v>1136</v>
      </c>
      <c r="H6" s="7" t="s">
        <v>195</v>
      </c>
      <c r="I6" s="7" t="s">
        <v>195</v>
      </c>
      <c r="J6" s="7" t="s">
        <v>195</v>
      </c>
      <c r="K6" s="7" t="s">
        <v>195</v>
      </c>
      <c r="L6" s="7" t="s">
        <v>195</v>
      </c>
      <c r="M6" s="7" t="s">
        <v>29</v>
      </c>
      <c r="N6" s="7" t="s">
        <v>29</v>
      </c>
      <c r="O6" s="7" t="s">
        <v>29</v>
      </c>
      <c r="P6" s="7" t="s">
        <v>29</v>
      </c>
      <c r="Q6" s="7" t="s">
        <v>29</v>
      </c>
      <c r="R6" s="7" t="s">
        <v>29</v>
      </c>
      <c r="S6" s="7" t="s">
        <v>29</v>
      </c>
    </row>
    <row r="7" spans="1:19">
      <c r="A7" s="7" t="s">
        <v>1041</v>
      </c>
      <c r="B7" s="7" t="s">
        <v>1206</v>
      </c>
      <c r="C7" s="8" t="s">
        <v>1726</v>
      </c>
      <c r="D7" s="6" t="str">
        <f>LRTRIM(CONCATENATE(IF(SUMPRODUCT(-- ISNUMBER(SEARCH({"Auto Number"}, $B7))) &gt; 0, $B7, IF(SUMPRODUCT(-- ISNUMBER(SEARCH({"Lookup","Master-Detail"}, $B7))) &gt; 0,$B7 &amp; "(" &amp; $E7 &amp; ")",IF(SUMPRODUCT(-- ISNUMBER(SEARCH({"Formula","Roll-Up Summary"}, $B7))) &gt; 0,$B7 &amp; " (" &amp; $E7 &amp; ")",IF(SUMPRODUCT(-- ISNUMBER(SEARCH({"Content","Currency","Number","Percent","Text","URL"}, $B7))) &gt; 0,$B7 &amp; "(" &amp; $C7 &amp; ")",$B7)))), "  ", TRIM(IF($S7 = "YES", "(External ID)", "") &amp; " " &amp; IF(SUMPRODUCT(-- ISNUMBER(SEARCH({"Unique","Unique Case Insensitive"}, $R7))) &gt; 0, "(" &amp; $R7 &amp; ")", ""))))</f>
        <v>Currency(9, 0)</v>
      </c>
      <c r="E7" s="7" t="s">
        <v>195</v>
      </c>
      <c r="F7" s="7" t="s">
        <v>1090</v>
      </c>
      <c r="G7" s="7" t="s">
        <v>1137</v>
      </c>
      <c r="H7" s="7" t="s">
        <v>195</v>
      </c>
      <c r="I7" s="7" t="s">
        <v>195</v>
      </c>
      <c r="J7" s="7" t="s">
        <v>195</v>
      </c>
      <c r="K7" s="7" t="s">
        <v>195</v>
      </c>
      <c r="L7" s="7" t="s">
        <v>195</v>
      </c>
      <c r="M7" s="7" t="s">
        <v>29</v>
      </c>
      <c r="N7" s="7" t="s">
        <v>29</v>
      </c>
      <c r="O7" s="7" t="s">
        <v>29</v>
      </c>
      <c r="P7" s="7" t="s">
        <v>29</v>
      </c>
      <c r="Q7" s="7" t="s">
        <v>29</v>
      </c>
      <c r="R7" s="7" t="s">
        <v>29</v>
      </c>
      <c r="S7" s="7" t="s">
        <v>29</v>
      </c>
    </row>
    <row r="8" spans="1:19">
      <c r="A8" s="7" t="s">
        <v>1042</v>
      </c>
      <c r="B8" s="7" t="s">
        <v>1206</v>
      </c>
      <c r="C8" s="8" t="s">
        <v>1726</v>
      </c>
      <c r="D8" s="6" t="str">
        <f>LRTRIM(CONCATENATE(IF(SUMPRODUCT(-- ISNUMBER(SEARCH({"Auto Number"}, $B8))) &gt; 0, $B8, IF(SUMPRODUCT(-- ISNUMBER(SEARCH({"Lookup","Master-Detail"}, $B8))) &gt; 0,$B8 &amp; "(" &amp; $E8 &amp; ")",IF(SUMPRODUCT(-- ISNUMBER(SEARCH({"Formula","Roll-Up Summary"}, $B8))) &gt; 0,$B8 &amp; " (" &amp; $E8 &amp; ")",IF(SUMPRODUCT(-- ISNUMBER(SEARCH({"Content","Currency","Number","Percent","Text","URL"}, $B8))) &gt; 0,$B8 &amp; "(" &amp; $C8 &amp; ")",$B8)))), "  ", TRIM(IF($S8 = "YES", "(External ID)", "") &amp; " " &amp; IF(SUMPRODUCT(-- ISNUMBER(SEARCH({"Unique","Unique Case Insensitive"}, $R8))) &gt; 0, "(" &amp; $R8 &amp; ")", ""))))</f>
        <v>Currency(9, 0)</v>
      </c>
      <c r="E8" s="7" t="s">
        <v>195</v>
      </c>
      <c r="F8" s="7" t="s">
        <v>1091</v>
      </c>
      <c r="G8" s="7" t="s">
        <v>1138</v>
      </c>
      <c r="H8" s="7" t="s">
        <v>195</v>
      </c>
      <c r="I8" s="7" t="s">
        <v>195</v>
      </c>
      <c r="J8" s="7" t="s">
        <v>195</v>
      </c>
      <c r="K8" s="7" t="s">
        <v>195</v>
      </c>
      <c r="L8" s="7" t="s">
        <v>195</v>
      </c>
      <c r="M8" s="7" t="s">
        <v>29</v>
      </c>
      <c r="N8" s="7" t="s">
        <v>29</v>
      </c>
      <c r="O8" s="7" t="s">
        <v>29</v>
      </c>
      <c r="P8" s="7" t="s">
        <v>29</v>
      </c>
      <c r="Q8" s="7" t="s">
        <v>29</v>
      </c>
      <c r="R8" s="7" t="s">
        <v>29</v>
      </c>
      <c r="S8" s="7" t="s">
        <v>29</v>
      </c>
    </row>
    <row r="9" spans="1:19">
      <c r="A9" s="7" t="s">
        <v>1043</v>
      </c>
      <c r="B9" s="7" t="s">
        <v>1206</v>
      </c>
      <c r="C9" s="8" t="s">
        <v>1726</v>
      </c>
      <c r="D9" s="6" t="str">
        <f>LRTRIM(CONCATENATE(IF(SUMPRODUCT(-- ISNUMBER(SEARCH({"Auto Number"}, $B9))) &gt; 0, $B9, IF(SUMPRODUCT(-- ISNUMBER(SEARCH({"Lookup","Master-Detail"}, $B9))) &gt; 0,$B9 &amp; "(" &amp; $E9 &amp; ")",IF(SUMPRODUCT(-- ISNUMBER(SEARCH({"Formula","Roll-Up Summary"}, $B9))) &gt; 0,$B9 &amp; " (" &amp; $E9 &amp; ")",IF(SUMPRODUCT(-- ISNUMBER(SEARCH({"Content","Currency","Number","Percent","Text","URL"}, $B9))) &gt; 0,$B9 &amp; "(" &amp; $C9 &amp; ")",$B9)))), "  ", TRIM(IF($S9 = "YES", "(External ID)", "") &amp; " " &amp; IF(SUMPRODUCT(-- ISNUMBER(SEARCH({"Unique","Unique Case Insensitive"}, $R9))) &gt; 0, "(" &amp; $R9 &amp; ")", ""))))</f>
        <v>Currency(9, 0)</v>
      </c>
      <c r="E9" s="7" t="s">
        <v>195</v>
      </c>
      <c r="F9" s="7" t="s">
        <v>1092</v>
      </c>
      <c r="G9" s="7" t="s">
        <v>1139</v>
      </c>
      <c r="H9" s="7" t="s">
        <v>195</v>
      </c>
      <c r="I9" s="7" t="s">
        <v>195</v>
      </c>
      <c r="J9" s="7" t="s">
        <v>195</v>
      </c>
      <c r="K9" s="7" t="s">
        <v>195</v>
      </c>
      <c r="L9" s="7" t="s">
        <v>195</v>
      </c>
      <c r="M9" s="7" t="s">
        <v>29</v>
      </c>
      <c r="N9" s="7" t="s">
        <v>29</v>
      </c>
      <c r="O9" s="7" t="s">
        <v>29</v>
      </c>
      <c r="P9" s="7" t="s">
        <v>29</v>
      </c>
      <c r="Q9" s="7" t="s">
        <v>29</v>
      </c>
      <c r="R9" s="7" t="s">
        <v>29</v>
      </c>
      <c r="S9" s="7" t="s">
        <v>29</v>
      </c>
    </row>
    <row r="10" spans="1:19">
      <c r="A10" s="7" t="s">
        <v>1044</v>
      </c>
      <c r="B10" s="7" t="s">
        <v>1206</v>
      </c>
      <c r="C10" s="8" t="s">
        <v>1726</v>
      </c>
      <c r="D10" s="6" t="str">
        <f>LRTRIM(CONCATENATE(IF(SUMPRODUCT(-- ISNUMBER(SEARCH({"Auto Number"}, $B10))) &gt; 0, $B10, IF(SUMPRODUCT(-- ISNUMBER(SEARCH({"Lookup","Master-Detail"}, $B10))) &gt; 0,$B10 &amp; "(" &amp; $E10 &amp; ")",IF(SUMPRODUCT(-- ISNUMBER(SEARCH({"Formula","Roll-Up Summary"}, $B10))) &gt; 0,$B10 &amp; " (" &amp; $E10 &amp; ")",IF(SUMPRODUCT(-- ISNUMBER(SEARCH({"Content","Currency","Number","Percent","Text","URL"}, $B10))) &gt; 0,$B10 &amp; "(" &amp; $C10 &amp; ")",$B10)))), "  ", TRIM(IF($S10 = "YES", "(External ID)", "") &amp; " " &amp; IF(SUMPRODUCT(-- ISNUMBER(SEARCH({"Unique","Unique Case Insensitive"}, $R10))) &gt; 0, "(" &amp; $R10 &amp; ")", ""))))</f>
        <v>Currency(9, 0)</v>
      </c>
      <c r="E10" s="7" t="s">
        <v>195</v>
      </c>
      <c r="F10" s="7" t="s">
        <v>1093</v>
      </c>
      <c r="G10" s="7" t="s">
        <v>1140</v>
      </c>
      <c r="H10" s="7" t="s">
        <v>195</v>
      </c>
      <c r="I10" s="7" t="s">
        <v>195</v>
      </c>
      <c r="J10" s="7" t="s">
        <v>195</v>
      </c>
      <c r="K10" s="7" t="s">
        <v>195</v>
      </c>
      <c r="L10" s="7" t="s">
        <v>195</v>
      </c>
      <c r="M10" s="7" t="s">
        <v>29</v>
      </c>
      <c r="N10" s="7" t="s">
        <v>29</v>
      </c>
      <c r="O10" s="7" t="s">
        <v>29</v>
      </c>
      <c r="P10" s="7" t="s">
        <v>29</v>
      </c>
      <c r="Q10" s="7" t="s">
        <v>29</v>
      </c>
      <c r="R10" s="7" t="s">
        <v>29</v>
      </c>
      <c r="S10" s="7" t="s">
        <v>29</v>
      </c>
    </row>
    <row r="11" spans="1:19">
      <c r="A11" s="7" t="s">
        <v>1045</v>
      </c>
      <c r="B11" s="7" t="s">
        <v>1206</v>
      </c>
      <c r="C11" s="8" t="s">
        <v>1726</v>
      </c>
      <c r="D11" s="6" t="str">
        <f>LRTRIM(CONCATENATE(IF(SUMPRODUCT(-- ISNUMBER(SEARCH({"Auto Number"}, $B11))) &gt; 0, $B11, IF(SUMPRODUCT(-- ISNUMBER(SEARCH({"Lookup","Master-Detail"}, $B11))) &gt; 0,$B11 &amp; "(" &amp; $E11 &amp; ")",IF(SUMPRODUCT(-- ISNUMBER(SEARCH({"Formula","Roll-Up Summary"}, $B11))) &gt; 0,$B11 &amp; " (" &amp; $E11 &amp; ")",IF(SUMPRODUCT(-- ISNUMBER(SEARCH({"Content","Currency","Number","Percent","Text","URL"}, $B11))) &gt; 0,$B11 &amp; "(" &amp; $C11 &amp; ")",$B11)))), "  ", TRIM(IF($S11 = "YES", "(External ID)", "") &amp; " " &amp; IF(SUMPRODUCT(-- ISNUMBER(SEARCH({"Unique","Unique Case Insensitive"}, $R11))) &gt; 0, "(" &amp; $R11 &amp; ")", ""))))</f>
        <v>Currency(9, 0)</v>
      </c>
      <c r="E11" s="7" t="s">
        <v>195</v>
      </c>
      <c r="F11" s="7" t="s">
        <v>1094</v>
      </c>
      <c r="G11" s="7" t="s">
        <v>1141</v>
      </c>
      <c r="H11" s="7" t="s">
        <v>195</v>
      </c>
      <c r="I11" s="7" t="s">
        <v>195</v>
      </c>
      <c r="J11" s="7" t="s">
        <v>195</v>
      </c>
      <c r="K11" s="7" t="s">
        <v>195</v>
      </c>
      <c r="L11" s="7" t="s">
        <v>195</v>
      </c>
      <c r="M11" s="7" t="s">
        <v>29</v>
      </c>
      <c r="N11" s="7" t="s">
        <v>29</v>
      </c>
      <c r="O11" s="7" t="s">
        <v>29</v>
      </c>
      <c r="P11" s="7" t="s">
        <v>29</v>
      </c>
      <c r="Q11" s="7" t="s">
        <v>29</v>
      </c>
      <c r="R11" s="7" t="s">
        <v>29</v>
      </c>
      <c r="S11" s="7" t="s">
        <v>29</v>
      </c>
    </row>
    <row r="12" spans="1:19">
      <c r="A12" s="7" t="s">
        <v>1046</v>
      </c>
      <c r="B12" s="7" t="s">
        <v>1206</v>
      </c>
      <c r="C12" s="8" t="s">
        <v>1726</v>
      </c>
      <c r="D12" s="6" t="str">
        <f>LRTRIM(CONCATENATE(IF(SUMPRODUCT(-- ISNUMBER(SEARCH({"Auto Number"}, $B12))) &gt; 0, $B12, IF(SUMPRODUCT(-- ISNUMBER(SEARCH({"Lookup","Master-Detail"}, $B12))) &gt; 0,$B12 &amp; "(" &amp; $E12 &amp; ")",IF(SUMPRODUCT(-- ISNUMBER(SEARCH({"Formula","Roll-Up Summary"}, $B12))) &gt; 0,$B12 &amp; " (" &amp; $E12 &amp; ")",IF(SUMPRODUCT(-- ISNUMBER(SEARCH({"Content","Currency","Number","Percent","Text","URL"}, $B12))) &gt; 0,$B12 &amp; "(" &amp; $C12 &amp; ")",$B12)))), "  ", TRIM(IF($S12 = "YES", "(External ID)", "") &amp; " " &amp; IF(SUMPRODUCT(-- ISNUMBER(SEARCH({"Unique","Unique Case Insensitive"}, $R12))) &gt; 0, "(" &amp; $R12 &amp; ")", ""))))</f>
        <v>Currency(9, 0)</v>
      </c>
      <c r="E12" s="7" t="s">
        <v>195</v>
      </c>
      <c r="F12" s="7" t="s">
        <v>1095</v>
      </c>
      <c r="G12" s="7" t="s">
        <v>1142</v>
      </c>
      <c r="H12" s="7" t="s">
        <v>195</v>
      </c>
      <c r="I12" s="7" t="s">
        <v>195</v>
      </c>
      <c r="J12" s="7" t="s">
        <v>195</v>
      </c>
      <c r="K12" s="7" t="s">
        <v>195</v>
      </c>
      <c r="L12" s="7" t="s">
        <v>195</v>
      </c>
      <c r="M12" s="7" t="s">
        <v>29</v>
      </c>
      <c r="N12" s="7" t="s">
        <v>29</v>
      </c>
      <c r="O12" s="7" t="s">
        <v>29</v>
      </c>
      <c r="P12" s="7" t="s">
        <v>29</v>
      </c>
      <c r="Q12" s="7" t="s">
        <v>29</v>
      </c>
      <c r="R12" s="7" t="s">
        <v>29</v>
      </c>
      <c r="S12" s="7" t="s">
        <v>29</v>
      </c>
    </row>
    <row r="13" spans="1:19">
      <c r="A13" s="7" t="s">
        <v>1047</v>
      </c>
      <c r="B13" s="7" t="s">
        <v>1206</v>
      </c>
      <c r="C13" s="8" t="s">
        <v>1726</v>
      </c>
      <c r="D13" s="6" t="str">
        <f>LRTRIM(CONCATENATE(IF(SUMPRODUCT(-- ISNUMBER(SEARCH({"Auto Number"}, $B13))) &gt; 0, $B13, IF(SUMPRODUCT(-- ISNUMBER(SEARCH({"Lookup","Master-Detail"}, $B13))) &gt; 0,$B13 &amp; "(" &amp; $E13 &amp; ")",IF(SUMPRODUCT(-- ISNUMBER(SEARCH({"Formula","Roll-Up Summary"}, $B13))) &gt; 0,$B13 &amp; " (" &amp; $E13 &amp; ")",IF(SUMPRODUCT(-- ISNUMBER(SEARCH({"Content","Currency","Number","Percent","Text","URL"}, $B13))) &gt; 0,$B13 &amp; "(" &amp; $C13 &amp; ")",$B13)))), "  ", TRIM(IF($S13 = "YES", "(External ID)", "") &amp; " " &amp; IF(SUMPRODUCT(-- ISNUMBER(SEARCH({"Unique","Unique Case Insensitive"}, $R13))) &gt; 0, "(" &amp; $R13 &amp; ")", ""))))</f>
        <v>Currency(9, 0)</v>
      </c>
      <c r="E13" s="7" t="s">
        <v>195</v>
      </c>
      <c r="F13" s="7" t="s">
        <v>1096</v>
      </c>
      <c r="G13" s="7" t="s">
        <v>1143</v>
      </c>
      <c r="H13" s="7" t="s">
        <v>195</v>
      </c>
      <c r="I13" s="7" t="s">
        <v>195</v>
      </c>
      <c r="J13" s="7" t="s">
        <v>195</v>
      </c>
      <c r="K13" s="7" t="s">
        <v>195</v>
      </c>
      <c r="L13" s="7" t="s">
        <v>195</v>
      </c>
      <c r="M13" s="7" t="s">
        <v>29</v>
      </c>
      <c r="N13" s="7" t="s">
        <v>29</v>
      </c>
      <c r="O13" s="7" t="s">
        <v>29</v>
      </c>
      <c r="P13" s="7" t="s">
        <v>29</v>
      </c>
      <c r="Q13" s="7" t="s">
        <v>29</v>
      </c>
      <c r="R13" s="7" t="s">
        <v>29</v>
      </c>
      <c r="S13" s="7" t="s">
        <v>29</v>
      </c>
    </row>
    <row r="14" spans="1:19">
      <c r="A14" s="7" t="s">
        <v>670</v>
      </c>
      <c r="B14" s="7" t="s">
        <v>1206</v>
      </c>
      <c r="C14" s="8" t="s">
        <v>1726</v>
      </c>
      <c r="D14" s="6" t="str">
        <f>LRTRIM(CONCATENATE(IF(SUMPRODUCT(-- ISNUMBER(SEARCH({"Auto Number"}, $B14))) &gt; 0, $B14, IF(SUMPRODUCT(-- ISNUMBER(SEARCH({"Lookup","Master-Detail"}, $B14))) &gt; 0,$B14 &amp; "(" &amp; $E14 &amp; ")",IF(SUMPRODUCT(-- ISNUMBER(SEARCH({"Formula","Roll-Up Summary"}, $B14))) &gt; 0,$B14 &amp; " (" &amp; $E14 &amp; ")",IF(SUMPRODUCT(-- ISNUMBER(SEARCH({"Content","Currency","Number","Percent","Text","URL"}, $B14))) &gt; 0,$B14 &amp; "(" &amp; $C14 &amp; ")",$B14)))), "  ", TRIM(IF($S14 = "YES", "(External ID)", "") &amp; " " &amp; IF(SUMPRODUCT(-- ISNUMBER(SEARCH({"Unique","Unique Case Insensitive"}, $R14))) &gt; 0, "(" &amp; $R14 &amp; ")", ""))))</f>
        <v>Currency(9, 0)</v>
      </c>
      <c r="E14" s="7" t="s">
        <v>195</v>
      </c>
      <c r="F14" s="7" t="s">
        <v>719</v>
      </c>
      <c r="G14" s="7" t="s">
        <v>1144</v>
      </c>
      <c r="H14" s="7" t="s">
        <v>195</v>
      </c>
      <c r="I14" s="7" t="s">
        <v>195</v>
      </c>
      <c r="J14" s="7" t="s">
        <v>195</v>
      </c>
      <c r="K14" s="7" t="s">
        <v>195</v>
      </c>
      <c r="L14" s="7" t="s">
        <v>195</v>
      </c>
      <c r="M14" s="7" t="s">
        <v>29</v>
      </c>
      <c r="N14" s="7" t="s">
        <v>29</v>
      </c>
      <c r="O14" s="7" t="s">
        <v>29</v>
      </c>
      <c r="P14" s="7" t="s">
        <v>29</v>
      </c>
      <c r="Q14" s="7" t="s">
        <v>29</v>
      </c>
      <c r="R14" s="7" t="s">
        <v>29</v>
      </c>
      <c r="S14" s="7" t="s">
        <v>29</v>
      </c>
    </row>
    <row r="15" spans="1:19">
      <c r="A15" s="7" t="s">
        <v>1048</v>
      </c>
      <c r="B15" s="7" t="s">
        <v>1206</v>
      </c>
      <c r="C15" s="8" t="s">
        <v>1726</v>
      </c>
      <c r="D15" s="6" t="str">
        <f>LRTRIM(CONCATENATE(IF(SUMPRODUCT(-- ISNUMBER(SEARCH({"Auto Number"}, $B15))) &gt; 0, $B15, IF(SUMPRODUCT(-- ISNUMBER(SEARCH({"Lookup","Master-Detail"}, $B15))) &gt; 0,$B15 &amp; "(" &amp; $E15 &amp; ")",IF(SUMPRODUCT(-- ISNUMBER(SEARCH({"Formula","Roll-Up Summary"}, $B15))) &gt; 0,$B15 &amp; " (" &amp; $E15 &amp; ")",IF(SUMPRODUCT(-- ISNUMBER(SEARCH({"Content","Currency","Number","Percent","Text","URL"}, $B15))) &gt; 0,$B15 &amp; "(" &amp; $C15 &amp; ")",$B15)))), "  ", TRIM(IF($S15 = "YES", "(External ID)", "") &amp; " " &amp; IF(SUMPRODUCT(-- ISNUMBER(SEARCH({"Unique","Unique Case Insensitive"}, $R15))) &gt; 0, "(" &amp; $R15 &amp; ")", ""))))</f>
        <v>Currency(9, 0)</v>
      </c>
      <c r="E15" s="7" t="s">
        <v>195</v>
      </c>
      <c r="F15" s="7" t="s">
        <v>1097</v>
      </c>
      <c r="G15" s="7" t="s">
        <v>195</v>
      </c>
      <c r="H15" s="7" t="s">
        <v>195</v>
      </c>
      <c r="I15" s="7" t="s">
        <v>195</v>
      </c>
      <c r="J15" s="7" t="s">
        <v>195</v>
      </c>
      <c r="K15" s="7" t="s">
        <v>195</v>
      </c>
      <c r="L15" s="7" t="s">
        <v>195</v>
      </c>
      <c r="M15" s="7" t="s">
        <v>29</v>
      </c>
      <c r="N15" s="7" t="s">
        <v>29</v>
      </c>
      <c r="O15" s="7" t="s">
        <v>29</v>
      </c>
      <c r="P15" s="7" t="s">
        <v>29</v>
      </c>
      <c r="Q15" s="7" t="s">
        <v>29</v>
      </c>
      <c r="R15" s="7" t="s">
        <v>29</v>
      </c>
      <c r="S15" s="7" t="s">
        <v>29</v>
      </c>
    </row>
    <row r="16" spans="1:19">
      <c r="A16" s="7" t="s">
        <v>1049</v>
      </c>
      <c r="B16" s="7" t="s">
        <v>1206</v>
      </c>
      <c r="C16" s="8" t="s">
        <v>1726</v>
      </c>
      <c r="D16" s="6" t="str">
        <f>LRTRIM(CONCATENATE(IF(SUMPRODUCT(-- ISNUMBER(SEARCH({"Auto Number"}, $B16))) &gt; 0, $B16, IF(SUMPRODUCT(-- ISNUMBER(SEARCH({"Lookup","Master-Detail"}, $B16))) &gt; 0,$B16 &amp; "(" &amp; $E16 &amp; ")",IF(SUMPRODUCT(-- ISNUMBER(SEARCH({"Formula","Roll-Up Summary"}, $B16))) &gt; 0,$B16 &amp; " (" &amp; $E16 &amp; ")",IF(SUMPRODUCT(-- ISNUMBER(SEARCH({"Content","Currency","Number","Percent","Text","URL"}, $B16))) &gt; 0,$B16 &amp; "(" &amp; $C16 &amp; ")",$B16)))), "  ", TRIM(IF($S16 = "YES", "(External ID)", "") &amp; " " &amp; IF(SUMPRODUCT(-- ISNUMBER(SEARCH({"Unique","Unique Case Insensitive"}, $R16))) &gt; 0, "(" &amp; $R16 &amp; ")", ""))))</f>
        <v>Currency(9, 0)</v>
      </c>
      <c r="E16" s="7" t="s">
        <v>195</v>
      </c>
      <c r="F16" s="7" t="s">
        <v>1098</v>
      </c>
      <c r="G16" s="7" t="s">
        <v>1145</v>
      </c>
      <c r="H16" s="7" t="s">
        <v>195</v>
      </c>
      <c r="I16" s="7" t="s">
        <v>195</v>
      </c>
      <c r="J16" s="7" t="s">
        <v>195</v>
      </c>
      <c r="K16" s="7" t="s">
        <v>195</v>
      </c>
      <c r="L16" s="7" t="s">
        <v>195</v>
      </c>
      <c r="M16" s="7" t="s">
        <v>29</v>
      </c>
      <c r="N16" s="7" t="s">
        <v>29</v>
      </c>
      <c r="O16" s="7" t="s">
        <v>29</v>
      </c>
      <c r="P16" s="7" t="s">
        <v>29</v>
      </c>
      <c r="Q16" s="7" t="s">
        <v>29</v>
      </c>
      <c r="R16" s="7" t="s">
        <v>29</v>
      </c>
      <c r="S16" s="7" t="s">
        <v>29</v>
      </c>
    </row>
    <row r="17" spans="1:19">
      <c r="A17" s="7" t="s">
        <v>1050</v>
      </c>
      <c r="B17" s="7" t="s">
        <v>1206</v>
      </c>
      <c r="C17" s="8" t="s">
        <v>1726</v>
      </c>
      <c r="D17" s="6" t="str">
        <f>LRTRIM(CONCATENATE(IF(SUMPRODUCT(-- ISNUMBER(SEARCH({"Auto Number"}, $B17))) &gt; 0, $B17, IF(SUMPRODUCT(-- ISNUMBER(SEARCH({"Lookup","Master-Detail"}, $B17))) &gt; 0,$B17 &amp; "(" &amp; $E17 &amp; ")",IF(SUMPRODUCT(-- ISNUMBER(SEARCH({"Formula","Roll-Up Summary"}, $B17))) &gt; 0,$B17 &amp; " (" &amp; $E17 &amp; ")",IF(SUMPRODUCT(-- ISNUMBER(SEARCH({"Content","Currency","Number","Percent","Text","URL"}, $B17))) &gt; 0,$B17 &amp; "(" &amp; $C17 &amp; ")",$B17)))), "  ", TRIM(IF($S17 = "YES", "(External ID)", "") &amp; " " &amp; IF(SUMPRODUCT(-- ISNUMBER(SEARCH({"Unique","Unique Case Insensitive"}, $R17))) &gt; 0, "(" &amp; $R17 &amp; ")", ""))))</f>
        <v>Currency(9, 0)</v>
      </c>
      <c r="E17" s="7" t="s">
        <v>195</v>
      </c>
      <c r="F17" s="7" t="s">
        <v>1099</v>
      </c>
      <c r="G17" s="7" t="s">
        <v>1146</v>
      </c>
      <c r="H17" s="7" t="s">
        <v>195</v>
      </c>
      <c r="I17" s="7" t="s">
        <v>195</v>
      </c>
      <c r="J17" s="7" t="s">
        <v>195</v>
      </c>
      <c r="K17" s="7" t="s">
        <v>195</v>
      </c>
      <c r="L17" s="7" t="s">
        <v>195</v>
      </c>
      <c r="M17" s="7" t="s">
        <v>29</v>
      </c>
      <c r="N17" s="7" t="s">
        <v>29</v>
      </c>
      <c r="O17" s="7" t="s">
        <v>29</v>
      </c>
      <c r="P17" s="7" t="s">
        <v>29</v>
      </c>
      <c r="Q17" s="7" t="s">
        <v>29</v>
      </c>
      <c r="R17" s="7" t="s">
        <v>29</v>
      </c>
      <c r="S17" s="7" t="s">
        <v>29</v>
      </c>
    </row>
    <row r="18" spans="1:19">
      <c r="A18" s="7" t="s">
        <v>1051</v>
      </c>
      <c r="B18" s="7" t="s">
        <v>1206</v>
      </c>
      <c r="C18" s="8" t="s">
        <v>1726</v>
      </c>
      <c r="D18" s="6" t="str">
        <f>LRTRIM(CONCATENATE(IF(SUMPRODUCT(-- ISNUMBER(SEARCH({"Auto Number"}, $B18))) &gt; 0, $B18, IF(SUMPRODUCT(-- ISNUMBER(SEARCH({"Lookup","Master-Detail"}, $B18))) &gt; 0,$B18 &amp; "(" &amp; $E18 &amp; ")",IF(SUMPRODUCT(-- ISNUMBER(SEARCH({"Formula","Roll-Up Summary"}, $B18))) &gt; 0,$B18 &amp; " (" &amp; $E18 &amp; ")",IF(SUMPRODUCT(-- ISNUMBER(SEARCH({"Content","Currency","Number","Percent","Text","URL"}, $B18))) &gt; 0,$B18 &amp; "(" &amp; $C18 &amp; ")",$B18)))), "  ", TRIM(IF($S18 = "YES", "(External ID)", "") &amp; " " &amp; IF(SUMPRODUCT(-- ISNUMBER(SEARCH({"Unique","Unique Case Insensitive"}, $R18))) &gt; 0, "(" &amp; $R18 &amp; ")", ""))))</f>
        <v>Currency(9, 0)</v>
      </c>
      <c r="E18" s="7" t="s">
        <v>195</v>
      </c>
      <c r="F18" s="7" t="s">
        <v>1100</v>
      </c>
      <c r="G18" s="7" t="s">
        <v>1147</v>
      </c>
      <c r="H18" s="7" t="s">
        <v>195</v>
      </c>
      <c r="I18" s="7" t="s">
        <v>195</v>
      </c>
      <c r="J18" s="7" t="s">
        <v>195</v>
      </c>
      <c r="K18" s="7" t="s">
        <v>195</v>
      </c>
      <c r="L18" s="7" t="s">
        <v>195</v>
      </c>
      <c r="M18" s="7" t="s">
        <v>29</v>
      </c>
      <c r="N18" s="7" t="s">
        <v>29</v>
      </c>
      <c r="O18" s="7" t="s">
        <v>29</v>
      </c>
      <c r="P18" s="7" t="s">
        <v>29</v>
      </c>
      <c r="Q18" s="7" t="s">
        <v>29</v>
      </c>
      <c r="R18" s="7" t="s">
        <v>29</v>
      </c>
      <c r="S18" s="7" t="s">
        <v>29</v>
      </c>
    </row>
    <row r="19" spans="1:19">
      <c r="A19" s="7" t="s">
        <v>1052</v>
      </c>
      <c r="B19" s="7" t="s">
        <v>1206</v>
      </c>
      <c r="C19" s="8" t="s">
        <v>1726</v>
      </c>
      <c r="D19" s="6" t="str">
        <f>LRTRIM(CONCATENATE(IF(SUMPRODUCT(-- ISNUMBER(SEARCH({"Auto Number"}, $B19))) &gt; 0, $B19, IF(SUMPRODUCT(-- ISNUMBER(SEARCH({"Lookup","Master-Detail"}, $B19))) &gt; 0,$B19 &amp; "(" &amp; $E19 &amp; ")",IF(SUMPRODUCT(-- ISNUMBER(SEARCH({"Formula","Roll-Up Summary"}, $B19))) &gt; 0,$B19 &amp; " (" &amp; $E19 &amp; ")",IF(SUMPRODUCT(-- ISNUMBER(SEARCH({"Content","Currency","Number","Percent","Text","URL"}, $B19))) &gt; 0,$B19 &amp; "(" &amp; $C19 &amp; ")",$B19)))), "  ", TRIM(IF($S19 = "YES", "(External ID)", "") &amp; " " &amp; IF(SUMPRODUCT(-- ISNUMBER(SEARCH({"Unique","Unique Case Insensitive"}, $R19))) &gt; 0, "(" &amp; $R19 &amp; ")", ""))))</f>
        <v>Currency(9, 0)</v>
      </c>
      <c r="E19" s="7" t="s">
        <v>195</v>
      </c>
      <c r="F19" s="7" t="s">
        <v>1101</v>
      </c>
      <c r="G19" s="7" t="s">
        <v>1148</v>
      </c>
      <c r="H19" s="7" t="s">
        <v>195</v>
      </c>
      <c r="I19" s="7" t="s">
        <v>195</v>
      </c>
      <c r="J19" s="7" t="s">
        <v>195</v>
      </c>
      <c r="K19" s="7" t="s">
        <v>195</v>
      </c>
      <c r="L19" s="7" t="s">
        <v>195</v>
      </c>
      <c r="M19" s="7" t="s">
        <v>29</v>
      </c>
      <c r="N19" s="7" t="s">
        <v>29</v>
      </c>
      <c r="O19" s="7" t="s">
        <v>29</v>
      </c>
      <c r="P19" s="7" t="s">
        <v>29</v>
      </c>
      <c r="Q19" s="7" t="s">
        <v>29</v>
      </c>
      <c r="R19" s="7" t="s">
        <v>29</v>
      </c>
      <c r="S19" s="7" t="s">
        <v>29</v>
      </c>
    </row>
    <row r="20" spans="1:19">
      <c r="A20" s="7" t="s">
        <v>1053</v>
      </c>
      <c r="B20" s="7" t="s">
        <v>1206</v>
      </c>
      <c r="C20" s="8" t="s">
        <v>1726</v>
      </c>
      <c r="D20" s="6" t="str">
        <f>LRTRIM(CONCATENATE(IF(SUMPRODUCT(-- ISNUMBER(SEARCH({"Auto Number"}, $B20))) &gt; 0, $B20, IF(SUMPRODUCT(-- ISNUMBER(SEARCH({"Lookup","Master-Detail"}, $B20))) &gt; 0,$B20 &amp; "(" &amp; $E20 &amp; ")",IF(SUMPRODUCT(-- ISNUMBER(SEARCH({"Formula","Roll-Up Summary"}, $B20))) &gt; 0,$B20 &amp; " (" &amp; $E20 &amp; ")",IF(SUMPRODUCT(-- ISNUMBER(SEARCH({"Content","Currency","Number","Percent","Text","URL"}, $B20))) &gt; 0,$B20 &amp; "(" &amp; $C20 &amp; ")",$B20)))), "  ", TRIM(IF($S20 = "YES", "(External ID)", "") &amp; " " &amp; IF(SUMPRODUCT(-- ISNUMBER(SEARCH({"Unique","Unique Case Insensitive"}, $R20))) &gt; 0, "(" &amp; $R20 &amp; ")", ""))))</f>
        <v>Currency(9, 0)</v>
      </c>
      <c r="E20" s="7" t="s">
        <v>195</v>
      </c>
      <c r="F20" s="7" t="s">
        <v>1102</v>
      </c>
      <c r="G20" s="7" t="s">
        <v>1149</v>
      </c>
      <c r="H20" s="7" t="s">
        <v>195</v>
      </c>
      <c r="I20" s="7" t="s">
        <v>195</v>
      </c>
      <c r="J20" s="7" t="s">
        <v>195</v>
      </c>
      <c r="K20" s="7" t="s">
        <v>195</v>
      </c>
      <c r="L20" s="7" t="s">
        <v>195</v>
      </c>
      <c r="M20" s="7" t="s">
        <v>29</v>
      </c>
      <c r="N20" s="7" t="s">
        <v>29</v>
      </c>
      <c r="O20" s="7" t="s">
        <v>29</v>
      </c>
      <c r="P20" s="7" t="s">
        <v>29</v>
      </c>
      <c r="Q20" s="7" t="s">
        <v>29</v>
      </c>
      <c r="R20" s="7" t="s">
        <v>29</v>
      </c>
      <c r="S20" s="7" t="s">
        <v>29</v>
      </c>
    </row>
    <row r="21" spans="1:19">
      <c r="A21" s="7" t="s">
        <v>1054</v>
      </c>
      <c r="B21" s="7" t="s">
        <v>1206</v>
      </c>
      <c r="C21" s="8" t="s">
        <v>1726</v>
      </c>
      <c r="D21" s="6" t="str">
        <f>LRTRIM(CONCATENATE(IF(SUMPRODUCT(-- ISNUMBER(SEARCH({"Auto Number"}, $B21))) &gt; 0, $B21, IF(SUMPRODUCT(-- ISNUMBER(SEARCH({"Lookup","Master-Detail"}, $B21))) &gt; 0,$B21 &amp; "(" &amp; $E21 &amp; ")",IF(SUMPRODUCT(-- ISNUMBER(SEARCH({"Formula","Roll-Up Summary"}, $B21))) &gt; 0,$B21 &amp; " (" &amp; $E21 &amp; ")",IF(SUMPRODUCT(-- ISNUMBER(SEARCH({"Content","Currency","Number","Percent","Text","URL"}, $B21))) &gt; 0,$B21 &amp; "(" &amp; $C21 &amp; ")",$B21)))), "  ", TRIM(IF($S21 = "YES", "(External ID)", "") &amp; " " &amp; IF(SUMPRODUCT(-- ISNUMBER(SEARCH({"Unique","Unique Case Insensitive"}, $R21))) &gt; 0, "(" &amp; $R21 &amp; ")", ""))))</f>
        <v>Currency(9, 0)</v>
      </c>
      <c r="E21" s="7" t="s">
        <v>195</v>
      </c>
      <c r="F21" s="7" t="s">
        <v>1103</v>
      </c>
      <c r="G21" s="7" t="s">
        <v>1150</v>
      </c>
      <c r="H21" s="7" t="s">
        <v>195</v>
      </c>
      <c r="I21" s="7" t="s">
        <v>195</v>
      </c>
      <c r="J21" s="7" t="s">
        <v>195</v>
      </c>
      <c r="K21" s="7" t="s">
        <v>195</v>
      </c>
      <c r="L21" s="7" t="s">
        <v>195</v>
      </c>
      <c r="M21" s="7" t="s">
        <v>29</v>
      </c>
      <c r="N21" s="7" t="s">
        <v>29</v>
      </c>
      <c r="O21" s="7" t="s">
        <v>29</v>
      </c>
      <c r="P21" s="7" t="s">
        <v>29</v>
      </c>
      <c r="Q21" s="7" t="s">
        <v>29</v>
      </c>
      <c r="R21" s="7" t="s">
        <v>29</v>
      </c>
      <c r="S21" s="7" t="s">
        <v>29</v>
      </c>
    </row>
    <row r="22" spans="1:19">
      <c r="A22" s="7" t="s">
        <v>1055</v>
      </c>
      <c r="B22" s="7" t="s">
        <v>1206</v>
      </c>
      <c r="C22" s="8" t="s">
        <v>1726</v>
      </c>
      <c r="D22" s="6" t="str">
        <f>LRTRIM(CONCATENATE(IF(SUMPRODUCT(-- ISNUMBER(SEARCH({"Auto Number"}, $B22))) &gt; 0, $B22, IF(SUMPRODUCT(-- ISNUMBER(SEARCH({"Lookup","Master-Detail"}, $B22))) &gt; 0,$B22 &amp; "(" &amp; $E22 &amp; ")",IF(SUMPRODUCT(-- ISNUMBER(SEARCH({"Formula","Roll-Up Summary"}, $B22))) &gt; 0,$B22 &amp; " (" &amp; $E22 &amp; ")",IF(SUMPRODUCT(-- ISNUMBER(SEARCH({"Content","Currency","Number","Percent","Text","URL"}, $B22))) &gt; 0,$B22 &amp; "(" &amp; $C22 &amp; ")",$B22)))), "  ", TRIM(IF($S22 = "YES", "(External ID)", "") &amp; " " &amp; IF(SUMPRODUCT(-- ISNUMBER(SEARCH({"Unique","Unique Case Insensitive"}, $R22))) &gt; 0, "(" &amp; $R22 &amp; ")", ""))))</f>
        <v>Currency(9, 0)</v>
      </c>
      <c r="E22" s="7" t="s">
        <v>195</v>
      </c>
      <c r="F22" s="7" t="s">
        <v>1104</v>
      </c>
      <c r="G22" s="7" t="s">
        <v>1151</v>
      </c>
      <c r="H22" s="7" t="s">
        <v>195</v>
      </c>
      <c r="I22" s="7" t="s">
        <v>195</v>
      </c>
      <c r="J22" s="7" t="s">
        <v>195</v>
      </c>
      <c r="K22" s="7" t="s">
        <v>195</v>
      </c>
      <c r="L22" s="7" t="s">
        <v>195</v>
      </c>
      <c r="M22" s="7" t="s">
        <v>29</v>
      </c>
      <c r="N22" s="7" t="s">
        <v>29</v>
      </c>
      <c r="O22" s="7" t="s">
        <v>29</v>
      </c>
      <c r="P22" s="7" t="s">
        <v>29</v>
      </c>
      <c r="Q22" s="7" t="s">
        <v>29</v>
      </c>
      <c r="R22" s="7" t="s">
        <v>29</v>
      </c>
      <c r="S22" s="7" t="s">
        <v>29</v>
      </c>
    </row>
    <row r="23" spans="1:19">
      <c r="A23" s="7" t="s">
        <v>1056</v>
      </c>
      <c r="B23" s="7" t="s">
        <v>1206</v>
      </c>
      <c r="C23" s="8" t="s">
        <v>1726</v>
      </c>
      <c r="D23" s="6" t="str">
        <f>LRTRIM(CONCATENATE(IF(SUMPRODUCT(-- ISNUMBER(SEARCH({"Auto Number"}, $B23))) &gt; 0, $B23, IF(SUMPRODUCT(-- ISNUMBER(SEARCH({"Lookup","Master-Detail"}, $B23))) &gt; 0,$B23 &amp; "(" &amp; $E23 &amp; ")",IF(SUMPRODUCT(-- ISNUMBER(SEARCH({"Formula","Roll-Up Summary"}, $B23))) &gt; 0,$B23 &amp; " (" &amp; $E23 &amp; ")",IF(SUMPRODUCT(-- ISNUMBER(SEARCH({"Content","Currency","Number","Percent","Text","URL"}, $B23))) &gt; 0,$B23 &amp; "(" &amp; $C23 &amp; ")",$B23)))), "  ", TRIM(IF($S23 = "YES", "(External ID)", "") &amp; " " &amp; IF(SUMPRODUCT(-- ISNUMBER(SEARCH({"Unique","Unique Case Insensitive"}, $R23))) &gt; 0, "(" &amp; $R23 &amp; ")", ""))))</f>
        <v>Currency(9, 0)</v>
      </c>
      <c r="E23" s="7" t="s">
        <v>195</v>
      </c>
      <c r="F23" s="7" t="s">
        <v>1105</v>
      </c>
      <c r="G23" s="7" t="s">
        <v>1152</v>
      </c>
      <c r="H23" s="7" t="s">
        <v>195</v>
      </c>
      <c r="I23" s="7" t="s">
        <v>195</v>
      </c>
      <c r="J23" s="7" t="s">
        <v>195</v>
      </c>
      <c r="K23" s="7" t="s">
        <v>195</v>
      </c>
      <c r="L23" s="7" t="s">
        <v>195</v>
      </c>
      <c r="M23" s="7" t="s">
        <v>29</v>
      </c>
      <c r="N23" s="7" t="s">
        <v>29</v>
      </c>
      <c r="O23" s="7" t="s">
        <v>29</v>
      </c>
      <c r="P23" s="7" t="s">
        <v>29</v>
      </c>
      <c r="Q23" s="7" t="s">
        <v>29</v>
      </c>
      <c r="R23" s="7" t="s">
        <v>29</v>
      </c>
      <c r="S23" s="7" t="s">
        <v>29</v>
      </c>
    </row>
    <row r="24" spans="1:19">
      <c r="A24" s="7" t="s">
        <v>1057</v>
      </c>
      <c r="B24" s="7" t="s">
        <v>1206</v>
      </c>
      <c r="C24" s="8" t="s">
        <v>1726</v>
      </c>
      <c r="D24" s="6" t="str">
        <f>LRTRIM(CONCATENATE(IF(SUMPRODUCT(-- ISNUMBER(SEARCH({"Auto Number"}, $B24))) &gt; 0, $B24, IF(SUMPRODUCT(-- ISNUMBER(SEARCH({"Lookup","Master-Detail"}, $B24))) &gt; 0,$B24 &amp; "(" &amp; $E24 &amp; ")",IF(SUMPRODUCT(-- ISNUMBER(SEARCH({"Formula","Roll-Up Summary"}, $B24))) &gt; 0,$B24 &amp; " (" &amp; $E24 &amp; ")",IF(SUMPRODUCT(-- ISNUMBER(SEARCH({"Content","Currency","Number","Percent","Text","URL"}, $B24))) &gt; 0,$B24 &amp; "(" &amp; $C24 &amp; ")",$B24)))), "  ", TRIM(IF($S24 = "YES", "(External ID)", "") &amp; " " &amp; IF(SUMPRODUCT(-- ISNUMBER(SEARCH({"Unique","Unique Case Insensitive"}, $R24))) &gt; 0, "(" &amp; $R24 &amp; ")", ""))))</f>
        <v>Currency(9, 0)</v>
      </c>
      <c r="E24" s="7" t="s">
        <v>195</v>
      </c>
      <c r="F24" s="7" t="s">
        <v>1106</v>
      </c>
      <c r="G24" s="7" t="s">
        <v>1153</v>
      </c>
      <c r="H24" s="7" t="s">
        <v>195</v>
      </c>
      <c r="I24" s="7" t="s">
        <v>195</v>
      </c>
      <c r="J24" s="7" t="s">
        <v>195</v>
      </c>
      <c r="K24" s="7" t="s">
        <v>195</v>
      </c>
      <c r="L24" s="7" t="s">
        <v>195</v>
      </c>
      <c r="M24" s="7" t="s">
        <v>29</v>
      </c>
      <c r="N24" s="7" t="s">
        <v>29</v>
      </c>
      <c r="O24" s="7" t="s">
        <v>29</v>
      </c>
      <c r="P24" s="7" t="s">
        <v>29</v>
      </c>
      <c r="Q24" s="7" t="s">
        <v>29</v>
      </c>
      <c r="R24" s="7" t="s">
        <v>29</v>
      </c>
      <c r="S24" s="7" t="s">
        <v>29</v>
      </c>
    </row>
    <row r="25" spans="1:19">
      <c r="A25" s="7" t="s">
        <v>9</v>
      </c>
      <c r="B25" s="7" t="s">
        <v>1218</v>
      </c>
      <c r="C25" s="8">
        <v>50</v>
      </c>
      <c r="D25" s="6" t="str">
        <f>LRTRIM(CONCATENATE(IF(SUMPRODUCT(-- ISNUMBER(SEARCH({"Auto Number"}, $B25))) &gt; 0, $B25, IF(SUMPRODUCT(-- ISNUMBER(SEARCH({"Lookup","Master-Detail"}, $B25))) &gt; 0,$B25 &amp; "(" &amp; $E25 &amp; ")",IF(SUMPRODUCT(-- ISNUMBER(SEARCH({"Formula","Roll-Up Summary"}, $B25))) &gt; 0,$B25 &amp; " (" &amp; $E25 &amp; ")",IF(SUMPRODUCT(-- ISNUMBER(SEARCH({"Content","Currency","Number","Percent","Text","URL"}, $B25))) &gt; 0,$B25 &amp; "(" &amp; $C25 &amp; ")",$B25)))), "  ", TRIM(IF($S25 = "YES", "(External ID)", "") &amp; " " &amp; IF(SUMPRODUCT(-- ISNUMBER(SEARCH({"Unique","Unique Case Insensitive"}, $R25))) &gt; 0, "(" &amp; $R25 &amp; ")", ""))))</f>
        <v>Text(50)</v>
      </c>
      <c r="E25" s="7" t="s">
        <v>195</v>
      </c>
      <c r="F25" s="7" t="s">
        <v>18</v>
      </c>
      <c r="G25" s="7" t="s">
        <v>195</v>
      </c>
      <c r="H25" s="7" t="s">
        <v>195</v>
      </c>
      <c r="I25" s="7" t="s">
        <v>195</v>
      </c>
      <c r="J25" s="7" t="s">
        <v>195</v>
      </c>
      <c r="K25" s="7" t="s">
        <v>195</v>
      </c>
      <c r="L25" s="7" t="s">
        <v>195</v>
      </c>
      <c r="M25" s="7" t="s">
        <v>29</v>
      </c>
      <c r="N25" s="7" t="s">
        <v>29</v>
      </c>
      <c r="O25" s="7" t="s">
        <v>29</v>
      </c>
      <c r="P25" s="7" t="s">
        <v>29</v>
      </c>
      <c r="Q25" s="7" t="s">
        <v>29</v>
      </c>
      <c r="R25" s="7" t="s">
        <v>29</v>
      </c>
      <c r="S25" s="7" t="s">
        <v>29</v>
      </c>
    </row>
    <row r="26" spans="1:19">
      <c r="A26" s="7" t="s">
        <v>69</v>
      </c>
      <c r="B26" s="7" t="s">
        <v>1211</v>
      </c>
      <c r="C26" s="8">
        <v>18</v>
      </c>
      <c r="D26" s="6" t="str">
        <f>LRTRIM(CONCATENATE(IF(SUMPRODUCT(-- ISNUMBER(SEARCH({"Auto Number"}, $B26))) &gt; 0, $B26, IF(SUMPRODUCT(-- ISNUMBER(SEARCH({"Lookup","Master-Detail"}, $B26))) &gt; 0,$B26 &amp; "(" &amp; $E26 &amp; ")",IF(SUMPRODUCT(-- ISNUMBER(SEARCH({"Formula","Roll-Up Summary"}, $B26))) &gt; 0,$B26 &amp; " (" &amp; $E26 &amp; ")",IF(SUMPRODUCT(-- ISNUMBER(SEARCH({"Content","Currency","Number","Percent","Text","URL"}, $B26))) &gt; 0,$B26 &amp; "(" &amp; $C26 &amp; ")",$B26)))), "  ", TRIM(IF($S26 = "YES", "(External ID)", "") &amp; " " &amp; IF(SUMPRODUCT(-- ISNUMBER(SEARCH({"Unique","Unique Case Insensitive"}, $R26))) &gt; 0, "(" &amp; $R26 &amp; ")", ""))))</f>
        <v>Lookup(Broker Consultant Account)</v>
      </c>
      <c r="E26" s="7" t="s">
        <v>122</v>
      </c>
      <c r="F26" s="7" t="s">
        <v>122</v>
      </c>
      <c r="G26" s="7" t="s">
        <v>195</v>
      </c>
      <c r="H26" s="7" t="s">
        <v>195</v>
      </c>
      <c r="I26" s="7" t="s">
        <v>195</v>
      </c>
      <c r="J26" s="7" t="s">
        <v>195</v>
      </c>
      <c r="K26" s="7" t="s">
        <v>195</v>
      </c>
      <c r="L26" s="7" t="s">
        <v>195</v>
      </c>
      <c r="M26" s="7" t="s">
        <v>29</v>
      </c>
      <c r="N26" s="7" t="s">
        <v>29</v>
      </c>
      <c r="O26" s="7" t="s">
        <v>29</v>
      </c>
      <c r="P26" s="7" t="s">
        <v>29</v>
      </c>
      <c r="Q26" s="7" t="s">
        <v>29</v>
      </c>
      <c r="R26" s="7" t="s">
        <v>29</v>
      </c>
      <c r="S26" s="7" t="s">
        <v>29</v>
      </c>
    </row>
    <row r="27" spans="1:19">
      <c r="A27" s="7" t="s">
        <v>279</v>
      </c>
      <c r="B27" s="7" t="s">
        <v>1211</v>
      </c>
      <c r="C27" s="8">
        <v>18</v>
      </c>
      <c r="D27" s="6" t="str">
        <f>LRTRIM(CONCATENATE(IF(SUMPRODUCT(-- ISNUMBER(SEARCH({"Auto Number"}, $B27))) &gt; 0, $B27, IF(SUMPRODUCT(-- ISNUMBER(SEARCH({"Lookup","Master-Detail"}, $B27))) &gt; 0,$B27 &amp; "(" &amp; $E27 &amp; ")",IF(SUMPRODUCT(-- ISNUMBER(SEARCH({"Formula","Roll-Up Summary"}, $B27))) &gt; 0,$B27 &amp; " (" &amp; $E27 &amp; ")",IF(SUMPRODUCT(-- ISNUMBER(SEARCH({"Content","Currency","Number","Percent","Text","URL"}, $B27))) &gt; 0,$B27 &amp; "(" &amp; $C27 &amp; ")",$B27)))), "  ", TRIM(IF($S27 = "YES", "(External ID)", "") &amp; " " &amp; IF(SUMPRODUCT(-- ISNUMBER(SEARCH({"Unique","Unique Case Insensitive"}, $R27))) &gt; 0, "(" &amp; $R27 &amp; ")", ""))))</f>
        <v>Lookup(Account)</v>
      </c>
      <c r="E27" s="7" t="s">
        <v>5</v>
      </c>
      <c r="F27" s="7" t="s">
        <v>981</v>
      </c>
      <c r="G27" s="7" t="s">
        <v>559</v>
      </c>
      <c r="H27" s="7" t="s">
        <v>195</v>
      </c>
      <c r="I27" s="7" t="s">
        <v>195</v>
      </c>
      <c r="J27" s="7" t="s">
        <v>195</v>
      </c>
      <c r="K27" s="7" t="s">
        <v>195</v>
      </c>
      <c r="L27" s="7" t="s">
        <v>195</v>
      </c>
      <c r="M27" s="7" t="s">
        <v>29</v>
      </c>
      <c r="N27" s="7" t="s">
        <v>29</v>
      </c>
      <c r="O27" s="7" t="s">
        <v>29</v>
      </c>
      <c r="P27" s="7" t="s">
        <v>29</v>
      </c>
      <c r="Q27" s="7" t="s">
        <v>29</v>
      </c>
      <c r="R27" s="7" t="s">
        <v>29</v>
      </c>
      <c r="S27" s="7" t="s">
        <v>29</v>
      </c>
    </row>
    <row r="28" spans="1:19">
      <c r="A28" s="7" t="s">
        <v>1058</v>
      </c>
      <c r="B28" s="7" t="s">
        <v>1213</v>
      </c>
      <c r="C28" s="8" t="s">
        <v>1267</v>
      </c>
      <c r="D28" s="6" t="str">
        <f>LRTRIM(CONCATENATE(IF(SUMPRODUCT(-- ISNUMBER(SEARCH({"Auto Number"}, $B28))) &gt; 0, $B28, IF(SUMPRODUCT(-- ISNUMBER(SEARCH({"Lookup","Master-Detail"}, $B28))) &gt; 0,$B28 &amp; "(" &amp; $E28 &amp; ")",IF(SUMPRODUCT(-- ISNUMBER(SEARCH({"Formula","Roll-Up Summary"}, $B28))) &gt; 0,$B28 &amp; " (" &amp; $E28 &amp; ")",IF(SUMPRODUCT(-- ISNUMBER(SEARCH({"Content","Currency","Number","Percent","Text","URL"}, $B28))) &gt; 0,$B28 &amp; "(" &amp; $C28 &amp; ")",$B28)))), "  ", TRIM(IF($S28 = "YES", "(External ID)", "") &amp; " " &amp; IF(SUMPRODUCT(-- ISNUMBER(SEARCH({"Unique","Unique Case Insensitive"}, $R28))) &gt; 0, "(" &amp; $R28 &amp; ")", ""))))</f>
        <v>Number(6, 0)</v>
      </c>
      <c r="E28" s="7" t="s">
        <v>195</v>
      </c>
      <c r="F28" s="7" t="s">
        <v>1107</v>
      </c>
      <c r="G28" s="7" t="s">
        <v>195</v>
      </c>
      <c r="H28" s="7" t="s">
        <v>195</v>
      </c>
      <c r="I28" s="7" t="s">
        <v>195</v>
      </c>
      <c r="J28" s="7" t="s">
        <v>195</v>
      </c>
      <c r="K28" s="7" t="s">
        <v>195</v>
      </c>
      <c r="L28" s="7" t="s">
        <v>195</v>
      </c>
      <c r="M28" s="7" t="s">
        <v>29</v>
      </c>
      <c r="N28" s="7" t="s">
        <v>29</v>
      </c>
      <c r="O28" s="7" t="s">
        <v>29</v>
      </c>
      <c r="P28" s="7" t="s">
        <v>29</v>
      </c>
      <c r="Q28" s="7" t="s">
        <v>29</v>
      </c>
      <c r="R28" s="7" t="s">
        <v>29</v>
      </c>
      <c r="S28" s="7" t="s">
        <v>29</v>
      </c>
    </row>
    <row r="29" spans="1:19">
      <c r="A29" s="7" t="s">
        <v>1059</v>
      </c>
      <c r="B29" s="7" t="s">
        <v>1213</v>
      </c>
      <c r="C29" s="8" t="s">
        <v>1267</v>
      </c>
      <c r="D29" s="6" t="str">
        <f>LRTRIM(CONCATENATE(IF(SUMPRODUCT(-- ISNUMBER(SEARCH({"Auto Number"}, $B29))) &gt; 0, $B29, IF(SUMPRODUCT(-- ISNUMBER(SEARCH({"Lookup","Master-Detail"}, $B29))) &gt; 0,$B29 &amp; "(" &amp; $E29 &amp; ")",IF(SUMPRODUCT(-- ISNUMBER(SEARCH({"Formula","Roll-Up Summary"}, $B29))) &gt; 0,$B29 &amp; " (" &amp; $E29 &amp; ")",IF(SUMPRODUCT(-- ISNUMBER(SEARCH({"Content","Currency","Number","Percent","Text","URL"}, $B29))) &gt; 0,$B29 &amp; "(" &amp; $C29 &amp; ")",$B29)))), "  ", TRIM(IF($S29 = "YES", "(External ID)", "") &amp; " " &amp; IF(SUMPRODUCT(-- ISNUMBER(SEARCH({"Unique","Unique Case Insensitive"}, $R29))) &gt; 0, "(" &amp; $R29 &amp; ")", ""))))</f>
        <v>Number(6, 0)</v>
      </c>
      <c r="E29" s="7" t="s">
        <v>195</v>
      </c>
      <c r="F29" s="7" t="s">
        <v>1108</v>
      </c>
      <c r="G29" s="7" t="s">
        <v>1154</v>
      </c>
      <c r="H29" s="7" t="s">
        <v>195</v>
      </c>
      <c r="I29" s="7" t="s">
        <v>195</v>
      </c>
      <c r="J29" s="7" t="s">
        <v>195</v>
      </c>
      <c r="K29" s="7" t="s">
        <v>195</v>
      </c>
      <c r="L29" s="7" t="s">
        <v>195</v>
      </c>
      <c r="M29" s="7" t="s">
        <v>29</v>
      </c>
      <c r="N29" s="7" t="s">
        <v>29</v>
      </c>
      <c r="O29" s="7" t="s">
        <v>29</v>
      </c>
      <c r="P29" s="7" t="s">
        <v>29</v>
      </c>
      <c r="Q29" s="7" t="s">
        <v>29</v>
      </c>
      <c r="R29" s="7" t="s">
        <v>29</v>
      </c>
      <c r="S29" s="7" t="s">
        <v>29</v>
      </c>
    </row>
    <row r="30" spans="1:19">
      <c r="A30" s="7" t="s">
        <v>1060</v>
      </c>
      <c r="B30" s="7" t="s">
        <v>1213</v>
      </c>
      <c r="C30" s="8" t="s">
        <v>1267</v>
      </c>
      <c r="D30" s="6" t="str">
        <f>LRTRIM(CONCATENATE(IF(SUMPRODUCT(-- ISNUMBER(SEARCH({"Auto Number"}, $B30))) &gt; 0, $B30, IF(SUMPRODUCT(-- ISNUMBER(SEARCH({"Lookup","Master-Detail"}, $B30))) &gt; 0,$B30 &amp; "(" &amp; $E30 &amp; ")",IF(SUMPRODUCT(-- ISNUMBER(SEARCH({"Formula","Roll-Up Summary"}, $B30))) &gt; 0,$B30 &amp; " (" &amp; $E30 &amp; ")",IF(SUMPRODUCT(-- ISNUMBER(SEARCH({"Content","Currency","Number","Percent","Text","URL"}, $B30))) &gt; 0,$B30 &amp; "(" &amp; $C30 &amp; ")",$B30)))), "  ", TRIM(IF($S30 = "YES", "(External ID)", "") &amp; " " &amp; IF(SUMPRODUCT(-- ISNUMBER(SEARCH({"Unique","Unique Case Insensitive"}, $R30))) &gt; 0, "(" &amp; $R30 &amp; ")", ""))))</f>
        <v>Number(6, 0)</v>
      </c>
      <c r="E30" s="7" t="s">
        <v>195</v>
      </c>
      <c r="F30" s="7" t="s">
        <v>1109</v>
      </c>
      <c r="G30" s="7" t="s">
        <v>1155</v>
      </c>
      <c r="H30" s="7" t="s">
        <v>195</v>
      </c>
      <c r="I30" s="7" t="s">
        <v>195</v>
      </c>
      <c r="J30" s="7" t="s">
        <v>195</v>
      </c>
      <c r="K30" s="7" t="s">
        <v>195</v>
      </c>
      <c r="L30" s="7" t="s">
        <v>195</v>
      </c>
      <c r="M30" s="7" t="s">
        <v>29</v>
      </c>
      <c r="N30" s="7" t="s">
        <v>29</v>
      </c>
      <c r="O30" s="7" t="s">
        <v>29</v>
      </c>
      <c r="P30" s="7" t="s">
        <v>29</v>
      </c>
      <c r="Q30" s="7" t="s">
        <v>29</v>
      </c>
      <c r="R30" s="7" t="s">
        <v>29</v>
      </c>
      <c r="S30" s="7" t="s">
        <v>29</v>
      </c>
    </row>
    <row r="31" spans="1:19">
      <c r="A31" s="7" t="s">
        <v>1061</v>
      </c>
      <c r="B31" s="7" t="s">
        <v>1213</v>
      </c>
      <c r="C31" s="8" t="s">
        <v>1267</v>
      </c>
      <c r="D31" s="6" t="str">
        <f>LRTRIM(CONCATENATE(IF(SUMPRODUCT(-- ISNUMBER(SEARCH({"Auto Number"}, $B31))) &gt; 0, $B31, IF(SUMPRODUCT(-- ISNUMBER(SEARCH({"Lookup","Master-Detail"}, $B31))) &gt; 0,$B31 &amp; "(" &amp; $E31 &amp; ")",IF(SUMPRODUCT(-- ISNUMBER(SEARCH({"Formula","Roll-Up Summary"}, $B31))) &gt; 0,$B31 &amp; " (" &amp; $E31 &amp; ")",IF(SUMPRODUCT(-- ISNUMBER(SEARCH({"Content","Currency","Number","Percent","Text","URL"}, $B31))) &gt; 0,$B31 &amp; "(" &amp; $C31 &amp; ")",$B31)))), "  ", TRIM(IF($S31 = "YES", "(External ID)", "") &amp; " " &amp; IF(SUMPRODUCT(-- ISNUMBER(SEARCH({"Unique","Unique Case Insensitive"}, $R31))) &gt; 0, "(" &amp; $R31 &amp; ")", ""))))</f>
        <v>Number(6, 0)</v>
      </c>
      <c r="E31" s="7" t="s">
        <v>195</v>
      </c>
      <c r="F31" s="7" t="s">
        <v>1110</v>
      </c>
      <c r="G31" s="7" t="s">
        <v>1156</v>
      </c>
      <c r="H31" s="7" t="s">
        <v>195</v>
      </c>
      <c r="I31" s="7" t="s">
        <v>195</v>
      </c>
      <c r="J31" s="7" t="s">
        <v>195</v>
      </c>
      <c r="K31" s="7" t="s">
        <v>195</v>
      </c>
      <c r="L31" s="7" t="s">
        <v>195</v>
      </c>
      <c r="M31" s="7" t="s">
        <v>29</v>
      </c>
      <c r="N31" s="7" t="s">
        <v>29</v>
      </c>
      <c r="O31" s="7" t="s">
        <v>29</v>
      </c>
      <c r="P31" s="7" t="s">
        <v>29</v>
      </c>
      <c r="Q31" s="7" t="s">
        <v>29</v>
      </c>
      <c r="R31" s="7" t="s">
        <v>29</v>
      </c>
      <c r="S31" s="7" t="s">
        <v>29</v>
      </c>
    </row>
    <row r="32" spans="1:19">
      <c r="A32" s="7" t="s">
        <v>1062</v>
      </c>
      <c r="B32" s="7" t="s">
        <v>1213</v>
      </c>
      <c r="C32" s="8" t="s">
        <v>1267</v>
      </c>
      <c r="D32" s="6" t="str">
        <f>LRTRIM(CONCATENATE(IF(SUMPRODUCT(-- ISNUMBER(SEARCH({"Auto Number"}, $B32))) &gt; 0, $B32, IF(SUMPRODUCT(-- ISNUMBER(SEARCH({"Lookup","Master-Detail"}, $B32))) &gt; 0,$B32 &amp; "(" &amp; $E32 &amp; ")",IF(SUMPRODUCT(-- ISNUMBER(SEARCH({"Formula","Roll-Up Summary"}, $B32))) &gt; 0,$B32 &amp; " (" &amp; $E32 &amp; ")",IF(SUMPRODUCT(-- ISNUMBER(SEARCH({"Content","Currency","Number","Percent","Text","URL"}, $B32))) &gt; 0,$B32 &amp; "(" &amp; $C32 &amp; ")",$B32)))), "  ", TRIM(IF($S32 = "YES", "(External ID)", "") &amp; " " &amp; IF(SUMPRODUCT(-- ISNUMBER(SEARCH({"Unique","Unique Case Insensitive"}, $R32))) &gt; 0, "(" &amp; $R32 &amp; ")", ""))))</f>
        <v>Number(6, 0)</v>
      </c>
      <c r="E32" s="7" t="s">
        <v>195</v>
      </c>
      <c r="F32" s="7" t="s">
        <v>1111</v>
      </c>
      <c r="G32" s="7" t="s">
        <v>1157</v>
      </c>
      <c r="H32" s="7" t="s">
        <v>195</v>
      </c>
      <c r="I32" s="7" t="s">
        <v>195</v>
      </c>
      <c r="J32" s="7" t="s">
        <v>195</v>
      </c>
      <c r="K32" s="7" t="s">
        <v>195</v>
      </c>
      <c r="L32" s="7" t="s">
        <v>195</v>
      </c>
      <c r="M32" s="7" t="s">
        <v>29</v>
      </c>
      <c r="N32" s="7" t="s">
        <v>29</v>
      </c>
      <c r="O32" s="7" t="s">
        <v>29</v>
      </c>
      <c r="P32" s="7" t="s">
        <v>29</v>
      </c>
      <c r="Q32" s="7" t="s">
        <v>29</v>
      </c>
      <c r="R32" s="7" t="s">
        <v>29</v>
      </c>
      <c r="S32" s="7" t="s">
        <v>29</v>
      </c>
    </row>
    <row r="33" spans="1:19">
      <c r="A33" s="7" t="s">
        <v>1063</v>
      </c>
      <c r="B33" s="7" t="s">
        <v>1213</v>
      </c>
      <c r="C33" s="8" t="s">
        <v>1267</v>
      </c>
      <c r="D33" s="6" t="str">
        <f>LRTRIM(CONCATENATE(IF(SUMPRODUCT(-- ISNUMBER(SEARCH({"Auto Number"}, $B33))) &gt; 0, $B33, IF(SUMPRODUCT(-- ISNUMBER(SEARCH({"Lookup","Master-Detail"}, $B33))) &gt; 0,$B33 &amp; "(" &amp; $E33 &amp; ")",IF(SUMPRODUCT(-- ISNUMBER(SEARCH({"Formula","Roll-Up Summary"}, $B33))) &gt; 0,$B33 &amp; " (" &amp; $E33 &amp; ")",IF(SUMPRODUCT(-- ISNUMBER(SEARCH({"Content","Currency","Number","Percent","Text","URL"}, $B33))) &gt; 0,$B33 &amp; "(" &amp; $C33 &amp; ")",$B33)))), "  ", TRIM(IF($S33 = "YES", "(External ID)", "") &amp; " " &amp; IF(SUMPRODUCT(-- ISNUMBER(SEARCH({"Unique","Unique Case Insensitive"}, $R33))) &gt; 0, "(" &amp; $R33 &amp; ")", ""))))</f>
        <v>Number(6, 0)</v>
      </c>
      <c r="E33" s="7" t="s">
        <v>195</v>
      </c>
      <c r="F33" s="7" t="s">
        <v>1112</v>
      </c>
      <c r="G33" s="7" t="s">
        <v>1158</v>
      </c>
      <c r="H33" s="7" t="s">
        <v>195</v>
      </c>
      <c r="I33" s="7" t="s">
        <v>195</v>
      </c>
      <c r="J33" s="7" t="s">
        <v>195</v>
      </c>
      <c r="K33" s="7" t="s">
        <v>195</v>
      </c>
      <c r="L33" s="7" t="s">
        <v>195</v>
      </c>
      <c r="M33" s="7" t="s">
        <v>29</v>
      </c>
      <c r="N33" s="7" t="s">
        <v>29</v>
      </c>
      <c r="O33" s="7" t="s">
        <v>29</v>
      </c>
      <c r="P33" s="7" t="s">
        <v>29</v>
      </c>
      <c r="Q33" s="7" t="s">
        <v>29</v>
      </c>
      <c r="R33" s="7" t="s">
        <v>29</v>
      </c>
      <c r="S33" s="7" t="s">
        <v>29</v>
      </c>
    </row>
    <row r="34" spans="1:19">
      <c r="A34" s="7" t="s">
        <v>1064</v>
      </c>
      <c r="B34" s="7" t="s">
        <v>1213</v>
      </c>
      <c r="C34" s="8" t="s">
        <v>1267</v>
      </c>
      <c r="D34" s="6" t="str">
        <f>LRTRIM(CONCATENATE(IF(SUMPRODUCT(-- ISNUMBER(SEARCH({"Auto Number"}, $B34))) &gt; 0, $B34, IF(SUMPRODUCT(-- ISNUMBER(SEARCH({"Lookup","Master-Detail"}, $B34))) &gt; 0,$B34 &amp; "(" &amp; $E34 &amp; ")",IF(SUMPRODUCT(-- ISNUMBER(SEARCH({"Formula","Roll-Up Summary"}, $B34))) &gt; 0,$B34 &amp; " (" &amp; $E34 &amp; ")",IF(SUMPRODUCT(-- ISNUMBER(SEARCH({"Content","Currency","Number","Percent","Text","URL"}, $B34))) &gt; 0,$B34 &amp; "(" &amp; $C34 &amp; ")",$B34)))), "  ", TRIM(IF($S34 = "YES", "(External ID)", "") &amp; " " &amp; IF(SUMPRODUCT(-- ISNUMBER(SEARCH({"Unique","Unique Case Insensitive"}, $R34))) &gt; 0, "(" &amp; $R34 &amp; ")", ""))))</f>
        <v>Number(6, 0)</v>
      </c>
      <c r="E34" s="7" t="s">
        <v>195</v>
      </c>
      <c r="F34" s="7" t="s">
        <v>1113</v>
      </c>
      <c r="G34" s="7" t="s">
        <v>1159</v>
      </c>
      <c r="H34" s="7" t="s">
        <v>195</v>
      </c>
      <c r="I34" s="7" t="s">
        <v>195</v>
      </c>
      <c r="J34" s="7" t="s">
        <v>195</v>
      </c>
      <c r="K34" s="7" t="s">
        <v>195</v>
      </c>
      <c r="L34" s="7" t="s">
        <v>195</v>
      </c>
      <c r="M34" s="7" t="s">
        <v>29</v>
      </c>
      <c r="N34" s="7" t="s">
        <v>29</v>
      </c>
      <c r="O34" s="7" t="s">
        <v>29</v>
      </c>
      <c r="P34" s="7" t="s">
        <v>29</v>
      </c>
      <c r="Q34" s="7" t="s">
        <v>29</v>
      </c>
      <c r="R34" s="7" t="s">
        <v>29</v>
      </c>
      <c r="S34" s="7" t="s">
        <v>29</v>
      </c>
    </row>
    <row r="35" spans="1:19">
      <c r="A35" s="7" t="s">
        <v>1065</v>
      </c>
      <c r="B35" s="7" t="s">
        <v>1213</v>
      </c>
      <c r="C35" s="8" t="s">
        <v>1267</v>
      </c>
      <c r="D35" s="6" t="str">
        <f>LRTRIM(CONCATENATE(IF(SUMPRODUCT(-- ISNUMBER(SEARCH({"Auto Number"}, $B35))) &gt; 0, $B35, IF(SUMPRODUCT(-- ISNUMBER(SEARCH({"Lookup","Master-Detail"}, $B35))) &gt; 0,$B35 &amp; "(" &amp; $E35 &amp; ")",IF(SUMPRODUCT(-- ISNUMBER(SEARCH({"Formula","Roll-Up Summary"}, $B35))) &gt; 0,$B35 &amp; " (" &amp; $E35 &amp; ")",IF(SUMPRODUCT(-- ISNUMBER(SEARCH({"Content","Currency","Number","Percent","Text","URL"}, $B35))) &gt; 0,$B35 &amp; "(" &amp; $C35 &amp; ")",$B35)))), "  ", TRIM(IF($S35 = "YES", "(External ID)", "") &amp; " " &amp; IF(SUMPRODUCT(-- ISNUMBER(SEARCH({"Unique","Unique Case Insensitive"}, $R35))) &gt; 0, "(" &amp; $R35 &amp; ")", ""))))</f>
        <v>Number(6, 0)</v>
      </c>
      <c r="E35" s="7" t="s">
        <v>195</v>
      </c>
      <c r="F35" s="7" t="s">
        <v>1114</v>
      </c>
      <c r="G35" s="7" t="s">
        <v>1160</v>
      </c>
      <c r="H35" s="7" t="s">
        <v>195</v>
      </c>
      <c r="I35" s="7" t="s">
        <v>195</v>
      </c>
      <c r="J35" s="7" t="s">
        <v>195</v>
      </c>
      <c r="K35" s="7" t="s">
        <v>195</v>
      </c>
      <c r="L35" s="7" t="s">
        <v>195</v>
      </c>
      <c r="M35" s="7" t="s">
        <v>29</v>
      </c>
      <c r="N35" s="7" t="s">
        <v>29</v>
      </c>
      <c r="O35" s="7" t="s">
        <v>29</v>
      </c>
      <c r="P35" s="7" t="s">
        <v>29</v>
      </c>
      <c r="Q35" s="7" t="s">
        <v>29</v>
      </c>
      <c r="R35" s="7" t="s">
        <v>29</v>
      </c>
      <c r="S35" s="7" t="s">
        <v>29</v>
      </c>
    </row>
    <row r="36" spans="1:19">
      <c r="A36" s="7" t="s">
        <v>1066</v>
      </c>
      <c r="B36" s="7" t="s">
        <v>1213</v>
      </c>
      <c r="C36" s="8" t="s">
        <v>1267</v>
      </c>
      <c r="D36" s="6" t="str">
        <f>LRTRIM(CONCATENATE(IF(SUMPRODUCT(-- ISNUMBER(SEARCH({"Auto Number"}, $B36))) &gt; 0, $B36, IF(SUMPRODUCT(-- ISNUMBER(SEARCH({"Lookup","Master-Detail"}, $B36))) &gt; 0,$B36 &amp; "(" &amp; $E36 &amp; ")",IF(SUMPRODUCT(-- ISNUMBER(SEARCH({"Formula","Roll-Up Summary"}, $B36))) &gt; 0,$B36 &amp; " (" &amp; $E36 &amp; ")",IF(SUMPRODUCT(-- ISNUMBER(SEARCH({"Content","Currency","Number","Percent","Text","URL"}, $B36))) &gt; 0,$B36 &amp; "(" &amp; $C36 &amp; ")",$B36)))), "  ", TRIM(IF($S36 = "YES", "(External ID)", "") &amp; " " &amp; IF(SUMPRODUCT(-- ISNUMBER(SEARCH({"Unique","Unique Case Insensitive"}, $R36))) &gt; 0, "(" &amp; $R36 &amp; ")", ""))))</f>
        <v>Number(6, 0)</v>
      </c>
      <c r="E36" s="7" t="s">
        <v>195</v>
      </c>
      <c r="F36" s="7" t="s">
        <v>1115</v>
      </c>
      <c r="G36" s="7" t="s">
        <v>1161</v>
      </c>
      <c r="H36" s="7" t="s">
        <v>195</v>
      </c>
      <c r="I36" s="7" t="s">
        <v>195</v>
      </c>
      <c r="J36" s="7" t="s">
        <v>195</v>
      </c>
      <c r="K36" s="7" t="s">
        <v>195</v>
      </c>
      <c r="L36" s="7" t="s">
        <v>195</v>
      </c>
      <c r="M36" s="7" t="s">
        <v>29</v>
      </c>
      <c r="N36" s="7" t="s">
        <v>29</v>
      </c>
      <c r="O36" s="7" t="s">
        <v>29</v>
      </c>
      <c r="P36" s="7" t="s">
        <v>29</v>
      </c>
      <c r="Q36" s="7" t="s">
        <v>29</v>
      </c>
      <c r="R36" s="7" t="s">
        <v>29</v>
      </c>
      <c r="S36" s="7" t="s">
        <v>29</v>
      </c>
    </row>
    <row r="37" spans="1:19">
      <c r="A37" s="7" t="s">
        <v>1067</v>
      </c>
      <c r="B37" s="7" t="s">
        <v>1213</v>
      </c>
      <c r="C37" s="8" t="s">
        <v>1267</v>
      </c>
      <c r="D37" s="6" t="str">
        <f>LRTRIM(CONCATENATE(IF(SUMPRODUCT(-- ISNUMBER(SEARCH({"Auto Number"}, $B37))) &gt; 0, $B37, IF(SUMPRODUCT(-- ISNUMBER(SEARCH({"Lookup","Master-Detail"}, $B37))) &gt; 0,$B37 &amp; "(" &amp; $E37 &amp; ")",IF(SUMPRODUCT(-- ISNUMBER(SEARCH({"Formula","Roll-Up Summary"}, $B37))) &gt; 0,$B37 &amp; " (" &amp; $E37 &amp; ")",IF(SUMPRODUCT(-- ISNUMBER(SEARCH({"Content","Currency","Number","Percent","Text","URL"}, $B37))) &gt; 0,$B37 &amp; "(" &amp; $C37 &amp; ")",$B37)))), "  ", TRIM(IF($S37 = "YES", "(External ID)", "") &amp; " " &amp; IF(SUMPRODUCT(-- ISNUMBER(SEARCH({"Unique","Unique Case Insensitive"}, $R37))) &gt; 0, "(" &amp; $R37 &amp; ")", ""))))</f>
        <v>Number(6, 0)</v>
      </c>
      <c r="E37" s="7" t="s">
        <v>195</v>
      </c>
      <c r="F37" s="7" t="s">
        <v>1116</v>
      </c>
      <c r="G37" s="7" t="s">
        <v>1162</v>
      </c>
      <c r="H37" s="7" t="s">
        <v>195</v>
      </c>
      <c r="I37" s="7" t="s">
        <v>195</v>
      </c>
      <c r="J37" s="7" t="s">
        <v>195</v>
      </c>
      <c r="K37" s="7" t="s">
        <v>195</v>
      </c>
      <c r="L37" s="7" t="s">
        <v>195</v>
      </c>
      <c r="M37" s="7" t="s">
        <v>29</v>
      </c>
      <c r="N37" s="7" t="s">
        <v>29</v>
      </c>
      <c r="O37" s="7" t="s">
        <v>29</v>
      </c>
      <c r="P37" s="7" t="s">
        <v>29</v>
      </c>
      <c r="Q37" s="7" t="s">
        <v>29</v>
      </c>
      <c r="R37" s="7" t="s">
        <v>29</v>
      </c>
      <c r="S37" s="7" t="s">
        <v>29</v>
      </c>
    </row>
    <row r="38" spans="1:19">
      <c r="A38" s="7" t="s">
        <v>1068</v>
      </c>
      <c r="B38" s="7" t="s">
        <v>1213</v>
      </c>
      <c r="C38" s="8" t="s">
        <v>1267</v>
      </c>
      <c r="D38" s="6" t="str">
        <f>LRTRIM(CONCATENATE(IF(SUMPRODUCT(-- ISNUMBER(SEARCH({"Auto Number"}, $B38))) &gt; 0, $B38, IF(SUMPRODUCT(-- ISNUMBER(SEARCH({"Lookup","Master-Detail"}, $B38))) &gt; 0,$B38 &amp; "(" &amp; $E38 &amp; ")",IF(SUMPRODUCT(-- ISNUMBER(SEARCH({"Formula","Roll-Up Summary"}, $B38))) &gt; 0,$B38 &amp; " (" &amp; $E38 &amp; ")",IF(SUMPRODUCT(-- ISNUMBER(SEARCH({"Content","Currency","Number","Percent","Text","URL"}, $B38))) &gt; 0,$B38 &amp; "(" &amp; $C38 &amp; ")",$B38)))), "  ", TRIM(IF($S38 = "YES", "(External ID)", "") &amp; " " &amp; IF(SUMPRODUCT(-- ISNUMBER(SEARCH({"Unique","Unique Case Insensitive"}, $R38))) &gt; 0, "(" &amp; $R38 &amp; ")", ""))))</f>
        <v>Number(6, 0)</v>
      </c>
      <c r="E38" s="7" t="s">
        <v>195</v>
      </c>
      <c r="F38" s="7" t="s">
        <v>1117</v>
      </c>
      <c r="G38" s="7" t="s">
        <v>1163</v>
      </c>
      <c r="H38" s="7" t="s">
        <v>195</v>
      </c>
      <c r="I38" s="7" t="s">
        <v>195</v>
      </c>
      <c r="J38" s="7" t="s">
        <v>195</v>
      </c>
      <c r="K38" s="7" t="s">
        <v>195</v>
      </c>
      <c r="L38" s="7" t="s">
        <v>195</v>
      </c>
      <c r="M38" s="7" t="s">
        <v>29</v>
      </c>
      <c r="N38" s="7" t="s">
        <v>29</v>
      </c>
      <c r="O38" s="7" t="s">
        <v>29</v>
      </c>
      <c r="P38" s="7" t="s">
        <v>29</v>
      </c>
      <c r="Q38" s="7" t="s">
        <v>29</v>
      </c>
      <c r="R38" s="7" t="s">
        <v>29</v>
      </c>
      <c r="S38" s="7" t="s">
        <v>29</v>
      </c>
    </row>
    <row r="39" spans="1:19">
      <c r="A39" s="7" t="s">
        <v>11</v>
      </c>
      <c r="B39" s="7" t="s">
        <v>1218</v>
      </c>
      <c r="C39" s="8">
        <v>200</v>
      </c>
      <c r="D39" s="6" t="str">
        <f>LRTRIM(CONCATENATE(IF(SUMPRODUCT(-- ISNUMBER(SEARCH({"Auto Number"}, $B39))) &gt; 0, $B39, IF(SUMPRODUCT(-- ISNUMBER(SEARCH({"Lookup","Master-Detail"}, $B39))) &gt; 0,$B39 &amp; "(" &amp; $E39 &amp; ")",IF(SUMPRODUCT(-- ISNUMBER(SEARCH({"Formula","Roll-Up Summary"}, $B39))) &gt; 0,$B39 &amp; " (" &amp; $E39 &amp; ")",IF(SUMPRODUCT(-- ISNUMBER(SEARCH({"Content","Currency","Number","Percent","Text","URL"}, $B39))) &gt; 0,$B39 &amp; "(" &amp; $C39 &amp; ")",$B39)))), "  ", TRIM(IF($S39 = "YES", "(External ID)", "") &amp; " " &amp; IF(SUMPRODUCT(-- ISNUMBER(SEARCH({"Unique","Unique Case Insensitive"}, $R39))) &gt; 0, "(" &amp; $R39 &amp; ")", ""))))</f>
        <v>Text(200)</v>
      </c>
      <c r="E39" s="7" t="s">
        <v>195</v>
      </c>
      <c r="F39" s="7" t="s">
        <v>20</v>
      </c>
      <c r="G39" s="7" t="s">
        <v>195</v>
      </c>
      <c r="H39" s="7" t="s">
        <v>195</v>
      </c>
      <c r="I39" s="7" t="s">
        <v>195</v>
      </c>
      <c r="J39" s="7" t="s">
        <v>195</v>
      </c>
      <c r="K39" s="7" t="s">
        <v>195</v>
      </c>
      <c r="L39" s="7" t="s">
        <v>195</v>
      </c>
      <c r="M39" s="7" t="s">
        <v>29</v>
      </c>
      <c r="N39" s="7" t="s">
        <v>29</v>
      </c>
      <c r="O39" s="7" t="s">
        <v>29</v>
      </c>
      <c r="P39" s="7" t="s">
        <v>29</v>
      </c>
      <c r="Q39" s="7" t="s">
        <v>29</v>
      </c>
      <c r="R39" s="7" t="s">
        <v>29</v>
      </c>
      <c r="S39" s="7" t="s">
        <v>29</v>
      </c>
    </row>
    <row r="40" spans="1:19">
      <c r="A40" s="7" t="s">
        <v>1069</v>
      </c>
      <c r="B40" s="7" t="s">
        <v>386</v>
      </c>
      <c r="C40" s="8">
        <v>0</v>
      </c>
      <c r="D40" s="6" t="str">
        <f>LRTRIM(CONCATENATE(IF(SUMPRODUCT(-- ISNUMBER(SEARCH({"Auto Number"}, $B40))) &gt; 0, $B40, IF(SUMPRODUCT(-- ISNUMBER(SEARCH({"Lookup","Master-Detail"}, $B40))) &gt; 0,$B40 &amp; "(" &amp; $E40 &amp; ")",IF(SUMPRODUCT(-- ISNUMBER(SEARCH({"Formula","Roll-Up Summary"}, $B40))) &gt; 0,$B40 &amp; " (" &amp; $E40 &amp; ")",IF(SUMPRODUCT(-- ISNUMBER(SEARCH({"Content","Currency","Number","Percent","Text","URL"}, $B40))) &gt; 0,$B40 &amp; "(" &amp; $C40 &amp; ")",$B40)))), "  ", TRIM(IF($S40 = "YES", "(External ID)", "") &amp; " " &amp; IF(SUMPRODUCT(-- ISNUMBER(SEARCH({"Unique","Unique Case Insensitive"}, $R40))) &gt; 0, "(" &amp; $R40 &amp; ")", ""))))</f>
        <v>Date</v>
      </c>
      <c r="E40" s="7" t="s">
        <v>195</v>
      </c>
      <c r="F40" s="7" t="s">
        <v>386</v>
      </c>
      <c r="G40" s="7" t="s">
        <v>1164</v>
      </c>
      <c r="H40" s="7" t="s">
        <v>195</v>
      </c>
      <c r="I40" s="7" t="s">
        <v>195</v>
      </c>
      <c r="J40" s="7" t="s">
        <v>195</v>
      </c>
      <c r="K40" s="7" t="s">
        <v>195</v>
      </c>
      <c r="L40" s="7" t="s">
        <v>195</v>
      </c>
      <c r="M40" s="7" t="s">
        <v>29</v>
      </c>
      <c r="N40" s="7" t="s">
        <v>29</v>
      </c>
      <c r="O40" s="7" t="s">
        <v>29</v>
      </c>
      <c r="P40" s="7" t="s">
        <v>29</v>
      </c>
      <c r="Q40" s="7" t="s">
        <v>29</v>
      </c>
      <c r="R40" s="7" t="s">
        <v>29</v>
      </c>
      <c r="S40" s="7" t="s">
        <v>29</v>
      </c>
    </row>
    <row r="41" spans="1:19">
      <c r="A41" s="7" t="s">
        <v>13</v>
      </c>
      <c r="B41" s="7" t="s">
        <v>1218</v>
      </c>
      <c r="C41" s="8">
        <v>10</v>
      </c>
      <c r="D41" s="6" t="str">
        <f>LRTRIM(CONCATENATE(IF(SUMPRODUCT(-- ISNUMBER(SEARCH({"Auto Number"}, $B41))) &gt; 0, $B41, IF(SUMPRODUCT(-- ISNUMBER(SEARCH({"Lookup","Master-Detail"}, $B41))) &gt; 0,$B41 &amp; "(" &amp; $E41 &amp; ")",IF(SUMPRODUCT(-- ISNUMBER(SEARCH({"Formula","Roll-Up Summary"}, $B41))) &gt; 0,$B41 &amp; " (" &amp; $E41 &amp; ")",IF(SUMPRODUCT(-- ISNUMBER(SEARCH({"Content","Currency","Number","Percent","Text","URL"}, $B41))) &gt; 0,$B41 &amp; "(" &amp; $C41 &amp; ")",$B41)))), "  ", TRIM(IF($S41 = "YES", "(External ID)", "") &amp; " " &amp; IF(SUMPRODUCT(-- ISNUMBER(SEARCH({"Unique","Unique Case Insensitive"}, $R41))) &gt; 0, "(" &amp; $R41 &amp; ")", ""))))</f>
        <v>Text(10)</v>
      </c>
      <c r="E41" s="7" t="s">
        <v>195</v>
      </c>
      <c r="F41" s="7" t="s">
        <v>160</v>
      </c>
      <c r="G41" s="7" t="s">
        <v>195</v>
      </c>
      <c r="H41" s="7" t="s">
        <v>195</v>
      </c>
      <c r="I41" s="7" t="s">
        <v>195</v>
      </c>
      <c r="J41" s="7" t="s">
        <v>195</v>
      </c>
      <c r="K41" s="7" t="s">
        <v>195</v>
      </c>
      <c r="L41" s="7" t="s">
        <v>195</v>
      </c>
      <c r="M41" s="7" t="s">
        <v>29</v>
      </c>
      <c r="N41" s="7" t="s">
        <v>29</v>
      </c>
      <c r="O41" s="7" t="s">
        <v>29</v>
      </c>
      <c r="P41" s="7" t="s">
        <v>29</v>
      </c>
      <c r="Q41" s="7" t="s">
        <v>29</v>
      </c>
      <c r="R41" s="7" t="s">
        <v>29</v>
      </c>
      <c r="S41" s="7" t="s">
        <v>29</v>
      </c>
    </row>
    <row r="42" spans="1:19">
      <c r="A42" s="7" t="s">
        <v>14</v>
      </c>
      <c r="B42" s="7" t="s">
        <v>1204</v>
      </c>
      <c r="C42" s="8">
        <v>0</v>
      </c>
      <c r="D42" s="6" t="str">
        <f>LRTRIM(CONCATENATE(IF(SUMPRODUCT(-- ISNUMBER(SEARCH({"Auto Number"}, $B42))) &gt; 0, $B42, IF(SUMPRODUCT(-- ISNUMBER(SEARCH({"Lookup","Master-Detail"}, $B42))) &gt; 0,$B42 &amp; "(" &amp; $E42 &amp; ")",IF(SUMPRODUCT(-- ISNUMBER(SEARCH({"Formula","Roll-Up Summary"}, $B42))) &gt; 0,$B42 &amp; " (" &amp; $E42 &amp; ")",IF(SUMPRODUCT(-- ISNUMBER(SEARCH({"Content","Currency","Number","Percent","Text","URL"}, $B42))) &gt; 0,$B42 &amp; "(" &amp; $C42 &amp; ")",$B42)))), "  ", TRIM(IF($S42 = "YES", "(External ID)", "") &amp; " " &amp; IF(SUMPRODUCT(-- ISNUMBER(SEARCH({"Unique","Unique Case Insensitive"}, $R42))) &gt; 0, "(" &amp; $R42 &amp; ")", ""))))</f>
        <v>Checkbox</v>
      </c>
      <c r="E42" s="7" t="s">
        <v>195</v>
      </c>
      <c r="F42" s="7" t="s">
        <v>25</v>
      </c>
      <c r="G42" s="7" t="s">
        <v>195</v>
      </c>
      <c r="H42" s="7" t="s">
        <v>195</v>
      </c>
      <c r="I42" s="7" t="s">
        <v>195</v>
      </c>
      <c r="J42" s="7" t="s">
        <v>195</v>
      </c>
      <c r="K42" s="7" t="s">
        <v>195</v>
      </c>
      <c r="L42" s="7" t="s">
        <v>195</v>
      </c>
      <c r="M42" s="7" t="s">
        <v>28</v>
      </c>
      <c r="N42" s="7" t="s">
        <v>29</v>
      </c>
      <c r="O42" s="7" t="s">
        <v>29</v>
      </c>
      <c r="P42" s="7" t="s">
        <v>29</v>
      </c>
      <c r="Q42" s="7" t="s">
        <v>29</v>
      </c>
      <c r="R42" s="7" t="s">
        <v>29</v>
      </c>
      <c r="S42" s="7" t="s">
        <v>29</v>
      </c>
    </row>
    <row r="43" spans="1:19">
      <c r="A43" s="7" t="s">
        <v>2</v>
      </c>
      <c r="B43" s="7" t="s">
        <v>1218</v>
      </c>
      <c r="C43" s="8">
        <v>80</v>
      </c>
      <c r="D43" s="6" t="str">
        <f>LRTRIM(CONCATENATE(IF(SUMPRODUCT(-- ISNUMBER(SEARCH({"Auto Number"}, $B43))) &gt; 0, $B43, IF(SUMPRODUCT(-- ISNUMBER(SEARCH({"Lookup","Master-Detail"}, $B43))) &gt; 0,$B43 &amp; "(" &amp; $E43 &amp; ")",IF(SUMPRODUCT(-- ISNUMBER(SEARCH({"Formula","Roll-Up Summary"}, $B43))) &gt; 0,$B43 &amp; " (" &amp; $E43 &amp; ")",IF(SUMPRODUCT(-- ISNUMBER(SEARCH({"Content","Currency","Number","Percent","Text","URL"}, $B43))) &gt; 0,$B43 &amp; "(" &amp; $C43 &amp; ")",$B43)))), "  ", TRIM(IF($S43 = "YES", "(External ID)", "") &amp; " " &amp; IF(SUMPRODUCT(-- ISNUMBER(SEARCH({"Unique","Unique Case Insensitive"}, $R43))) &gt; 0, "(" &amp; $R43 &amp; ")", ""))))</f>
        <v>Text(80)</v>
      </c>
      <c r="E43" s="7" t="s">
        <v>195</v>
      </c>
      <c r="F43" s="7" t="s">
        <v>1118</v>
      </c>
      <c r="G43" s="7" t="s">
        <v>195</v>
      </c>
      <c r="H43" s="7" t="s">
        <v>195</v>
      </c>
      <c r="I43" s="7" t="s">
        <v>195</v>
      </c>
      <c r="J43" s="7" t="s">
        <v>195</v>
      </c>
      <c r="K43" s="7" t="s">
        <v>195</v>
      </c>
      <c r="L43" s="7" t="s">
        <v>195</v>
      </c>
      <c r="M43" s="7" t="s">
        <v>29</v>
      </c>
      <c r="N43" s="7" t="s">
        <v>29</v>
      </c>
      <c r="O43" s="7" t="s">
        <v>29</v>
      </c>
      <c r="P43" s="7" t="s">
        <v>29</v>
      </c>
      <c r="Q43" s="7" t="s">
        <v>29</v>
      </c>
      <c r="R43" s="7" t="s">
        <v>29</v>
      </c>
      <c r="S43" s="7" t="s">
        <v>29</v>
      </c>
    </row>
    <row r="44" spans="1:19">
      <c r="A44" s="7" t="s">
        <v>87</v>
      </c>
      <c r="B44" s="7" t="s">
        <v>1211</v>
      </c>
      <c r="C44" s="8">
        <v>18</v>
      </c>
      <c r="D44" s="6" t="str">
        <f>LRTRIM(CONCATENATE(IF(SUMPRODUCT(-- ISNUMBER(SEARCH({"Auto Number"}, $B44))) &gt; 0, $B44, IF(SUMPRODUCT(-- ISNUMBER(SEARCH({"Lookup","Master-Detail"}, $B44))) &gt; 0,$B44 &amp; "(" &amp; $E44 &amp; ")",IF(SUMPRODUCT(-- ISNUMBER(SEARCH({"Formula","Roll-Up Summary"}, $B44))) &gt; 0,$B44 &amp; " (" &amp; $E44 &amp; ")",IF(SUMPRODUCT(-- ISNUMBER(SEARCH({"Content","Currency","Number","Percent","Text","URL"}, $B44))) &gt; 0,$B44 &amp; "(" &amp; $C44 &amp; ")",$B44)))), "  ", TRIM(IF($S44 = "YES", "(External ID)", "") &amp; " " &amp; IF(SUMPRODUCT(-- ISNUMBER(SEARCH({"Unique","Unique Case Insensitive"}, $R44))) &gt; 0, "(" &amp; $R44 &amp; ")", ""))))</f>
        <v>Lookup(User,Group)</v>
      </c>
      <c r="E44" s="7" t="s">
        <v>1290</v>
      </c>
      <c r="F44" s="7" t="s">
        <v>1292</v>
      </c>
      <c r="G44" s="7" t="s">
        <v>195</v>
      </c>
      <c r="H44" s="7" t="s">
        <v>195</v>
      </c>
      <c r="I44" s="7" t="s">
        <v>195</v>
      </c>
      <c r="J44" s="7" t="s">
        <v>195</v>
      </c>
      <c r="K44" s="7" t="s">
        <v>195</v>
      </c>
      <c r="L44" s="7" t="s">
        <v>195</v>
      </c>
      <c r="M44" s="7" t="s">
        <v>28</v>
      </c>
      <c r="N44" s="7" t="s">
        <v>29</v>
      </c>
      <c r="O44" s="7" t="s">
        <v>29</v>
      </c>
      <c r="P44" s="7" t="s">
        <v>29</v>
      </c>
      <c r="Q44" s="7" t="s">
        <v>29</v>
      </c>
      <c r="R44" s="7" t="s">
        <v>29</v>
      </c>
      <c r="S44" s="7" t="s">
        <v>29</v>
      </c>
    </row>
    <row r="45" spans="1:19">
      <c r="A45" s="7" t="s">
        <v>1070</v>
      </c>
      <c r="B45" s="7" t="s">
        <v>1206</v>
      </c>
      <c r="C45" s="8" t="s">
        <v>1726</v>
      </c>
      <c r="D45" s="6" t="str">
        <f>LRTRIM(CONCATENATE(IF(SUMPRODUCT(-- ISNUMBER(SEARCH({"Auto Number"}, $B45))) &gt; 0, $B45, IF(SUMPRODUCT(-- ISNUMBER(SEARCH({"Lookup","Master-Detail"}, $B45))) &gt; 0,$B45 &amp; "(" &amp; $E45 &amp; ")",IF(SUMPRODUCT(-- ISNUMBER(SEARCH({"Formula","Roll-Up Summary"}, $B45))) &gt; 0,$B45 &amp; " (" &amp; $E45 &amp; ")",IF(SUMPRODUCT(-- ISNUMBER(SEARCH({"Content","Currency","Number","Percent","Text","URL"}, $B45))) &gt; 0,$B45 &amp; "(" &amp; $C45 &amp; ")",$B45)))), "  ", TRIM(IF($S45 = "YES", "(External ID)", "") &amp; " " &amp; IF(SUMPRODUCT(-- ISNUMBER(SEARCH({"Unique","Unique Case Insensitive"}, $R45))) &gt; 0, "(" &amp; $R45 &amp; ")", ""))))</f>
        <v>Currency(9, 0)</v>
      </c>
      <c r="E45" s="7" t="s">
        <v>195</v>
      </c>
      <c r="F45" s="7" t="s">
        <v>1119</v>
      </c>
      <c r="G45" s="7" t="s">
        <v>1165</v>
      </c>
      <c r="H45" s="7" t="s">
        <v>195</v>
      </c>
      <c r="I45" s="7" t="s">
        <v>195</v>
      </c>
      <c r="J45" s="7" t="s">
        <v>195</v>
      </c>
      <c r="K45" s="7" t="s">
        <v>195</v>
      </c>
      <c r="L45" s="7" t="s">
        <v>195</v>
      </c>
      <c r="M45" s="7" t="s">
        <v>29</v>
      </c>
      <c r="N45" s="7" t="s">
        <v>29</v>
      </c>
      <c r="O45" s="7" t="s">
        <v>29</v>
      </c>
      <c r="P45" s="7" t="s">
        <v>29</v>
      </c>
      <c r="Q45" s="7" t="s">
        <v>29</v>
      </c>
      <c r="R45" s="7" t="s">
        <v>29</v>
      </c>
      <c r="S45" s="7" t="s">
        <v>29</v>
      </c>
    </row>
    <row r="46" spans="1:19">
      <c r="A46" s="7" t="s">
        <v>1071</v>
      </c>
      <c r="B46" s="7" t="s">
        <v>1206</v>
      </c>
      <c r="C46" s="8" t="s">
        <v>1726</v>
      </c>
      <c r="D46" s="6" t="str">
        <f>LRTRIM(CONCATENATE(IF(SUMPRODUCT(-- ISNUMBER(SEARCH({"Auto Number"}, $B46))) &gt; 0, $B46, IF(SUMPRODUCT(-- ISNUMBER(SEARCH({"Lookup","Master-Detail"}, $B46))) &gt; 0,$B46 &amp; "(" &amp; $E46 &amp; ")",IF(SUMPRODUCT(-- ISNUMBER(SEARCH({"Formula","Roll-Up Summary"}, $B46))) &gt; 0,$B46 &amp; " (" &amp; $E46 &amp; ")",IF(SUMPRODUCT(-- ISNUMBER(SEARCH({"Content","Currency","Number","Percent","Text","URL"}, $B46))) &gt; 0,$B46 &amp; "(" &amp; $C46 &amp; ")",$B46)))), "  ", TRIM(IF($S46 = "YES", "(External ID)", "") &amp; " " &amp; IF(SUMPRODUCT(-- ISNUMBER(SEARCH({"Unique","Unique Case Insensitive"}, $R46))) &gt; 0, "(" &amp; $R46 &amp; ")", ""))))</f>
        <v>Currency(9, 0)</v>
      </c>
      <c r="E46" s="7" t="s">
        <v>195</v>
      </c>
      <c r="F46" s="7" t="s">
        <v>1120</v>
      </c>
      <c r="G46" s="7" t="s">
        <v>195</v>
      </c>
      <c r="H46" s="7" t="s">
        <v>195</v>
      </c>
      <c r="I46" s="7" t="s">
        <v>195</v>
      </c>
      <c r="J46" s="7" t="s">
        <v>195</v>
      </c>
      <c r="K46" s="7" t="s">
        <v>195</v>
      </c>
      <c r="L46" s="7" t="s">
        <v>195</v>
      </c>
      <c r="M46" s="7" t="s">
        <v>29</v>
      </c>
      <c r="N46" s="7" t="s">
        <v>29</v>
      </c>
      <c r="O46" s="7" t="s">
        <v>29</v>
      </c>
      <c r="P46" s="7" t="s">
        <v>29</v>
      </c>
      <c r="Q46" s="7" t="s">
        <v>29</v>
      </c>
      <c r="R46" s="7" t="s">
        <v>29</v>
      </c>
      <c r="S46" s="7" t="s">
        <v>29</v>
      </c>
    </row>
    <row r="47" spans="1:19">
      <c r="A47" s="7" t="s">
        <v>1072</v>
      </c>
      <c r="B47" s="7" t="s">
        <v>1206</v>
      </c>
      <c r="C47" s="8" t="s">
        <v>1726</v>
      </c>
      <c r="D47" s="6" t="str">
        <f>LRTRIM(CONCATENATE(IF(SUMPRODUCT(-- ISNUMBER(SEARCH({"Auto Number"}, $B47))) &gt; 0, $B47, IF(SUMPRODUCT(-- ISNUMBER(SEARCH({"Lookup","Master-Detail"}, $B47))) &gt; 0,$B47 &amp; "(" &amp; $E47 &amp; ")",IF(SUMPRODUCT(-- ISNUMBER(SEARCH({"Formula","Roll-Up Summary"}, $B47))) &gt; 0,$B47 &amp; " (" &amp; $E47 &amp; ")",IF(SUMPRODUCT(-- ISNUMBER(SEARCH({"Content","Currency","Number","Percent","Text","URL"}, $B47))) &gt; 0,$B47 &amp; "(" &amp; $C47 &amp; ")",$B47)))), "  ", TRIM(IF($S47 = "YES", "(External ID)", "") &amp; " " &amp; IF(SUMPRODUCT(-- ISNUMBER(SEARCH({"Unique","Unique Case Insensitive"}, $R47))) &gt; 0, "(" &amp; $R47 &amp; ")", ""))))</f>
        <v>Currency(9, 0)</v>
      </c>
      <c r="E47" s="7" t="s">
        <v>195</v>
      </c>
      <c r="F47" s="7" t="s">
        <v>1121</v>
      </c>
      <c r="G47" s="7" t="s">
        <v>1166</v>
      </c>
      <c r="H47" s="7" t="s">
        <v>195</v>
      </c>
      <c r="I47" s="7" t="s">
        <v>195</v>
      </c>
      <c r="J47" s="7" t="s">
        <v>195</v>
      </c>
      <c r="K47" s="7" t="s">
        <v>195</v>
      </c>
      <c r="L47" s="7" t="s">
        <v>195</v>
      </c>
      <c r="M47" s="7" t="s">
        <v>29</v>
      </c>
      <c r="N47" s="7" t="s">
        <v>29</v>
      </c>
      <c r="O47" s="7" t="s">
        <v>29</v>
      </c>
      <c r="P47" s="7" t="s">
        <v>29</v>
      </c>
      <c r="Q47" s="7" t="s">
        <v>29</v>
      </c>
      <c r="R47" s="7" t="s">
        <v>29</v>
      </c>
      <c r="S47" s="7" t="s">
        <v>29</v>
      </c>
    </row>
    <row r="48" spans="1:19">
      <c r="A48" s="7" t="s">
        <v>1073</v>
      </c>
      <c r="B48" s="7" t="s">
        <v>1206</v>
      </c>
      <c r="C48" s="8" t="s">
        <v>1726</v>
      </c>
      <c r="D48" s="6" t="str">
        <f>LRTRIM(CONCATENATE(IF(SUMPRODUCT(-- ISNUMBER(SEARCH({"Auto Number"}, $B48))) &gt; 0, $B48, IF(SUMPRODUCT(-- ISNUMBER(SEARCH({"Lookup","Master-Detail"}, $B48))) &gt; 0,$B48 &amp; "(" &amp; $E48 &amp; ")",IF(SUMPRODUCT(-- ISNUMBER(SEARCH({"Formula","Roll-Up Summary"}, $B48))) &gt; 0,$B48 &amp; " (" &amp; $E48 &amp; ")",IF(SUMPRODUCT(-- ISNUMBER(SEARCH({"Content","Currency","Number","Percent","Text","URL"}, $B48))) &gt; 0,$B48 &amp; "(" &amp; $C48 &amp; ")",$B48)))), "  ", TRIM(IF($S48 = "YES", "(External ID)", "") &amp; " " &amp; IF(SUMPRODUCT(-- ISNUMBER(SEARCH({"Unique","Unique Case Insensitive"}, $R48))) &gt; 0, "(" &amp; $R48 &amp; ")", ""))))</f>
        <v>Currency(9, 0)</v>
      </c>
      <c r="E48" s="7" t="s">
        <v>195</v>
      </c>
      <c r="F48" s="7" t="s">
        <v>1122</v>
      </c>
      <c r="G48" s="7" t="s">
        <v>1167</v>
      </c>
      <c r="H48" s="7" t="s">
        <v>195</v>
      </c>
      <c r="I48" s="7" t="s">
        <v>195</v>
      </c>
      <c r="J48" s="7" t="s">
        <v>195</v>
      </c>
      <c r="K48" s="7" t="s">
        <v>195</v>
      </c>
      <c r="L48" s="7" t="s">
        <v>195</v>
      </c>
      <c r="M48" s="7" t="s">
        <v>29</v>
      </c>
      <c r="N48" s="7" t="s">
        <v>29</v>
      </c>
      <c r="O48" s="7" t="s">
        <v>29</v>
      </c>
      <c r="P48" s="7" t="s">
        <v>29</v>
      </c>
      <c r="Q48" s="7" t="s">
        <v>29</v>
      </c>
      <c r="R48" s="7" t="s">
        <v>29</v>
      </c>
      <c r="S48" s="7" t="s">
        <v>29</v>
      </c>
    </row>
    <row r="49" spans="1:19">
      <c r="A49" s="7" t="s">
        <v>1074</v>
      </c>
      <c r="B49" s="7" t="s">
        <v>1206</v>
      </c>
      <c r="C49" s="8" t="s">
        <v>1726</v>
      </c>
      <c r="D49" s="6" t="str">
        <f>LRTRIM(CONCATENATE(IF(SUMPRODUCT(-- ISNUMBER(SEARCH({"Auto Number"}, $B49))) &gt; 0, $B49, IF(SUMPRODUCT(-- ISNUMBER(SEARCH({"Lookup","Master-Detail"}, $B49))) &gt; 0,$B49 &amp; "(" &amp; $E49 &amp; ")",IF(SUMPRODUCT(-- ISNUMBER(SEARCH({"Formula","Roll-Up Summary"}, $B49))) &gt; 0,$B49 &amp; " (" &amp; $E49 &amp; ")",IF(SUMPRODUCT(-- ISNUMBER(SEARCH({"Content","Currency","Number","Percent","Text","URL"}, $B49))) &gt; 0,$B49 &amp; "(" &amp; $C49 &amp; ")",$B49)))), "  ", TRIM(IF($S49 = "YES", "(External ID)", "") &amp; " " &amp; IF(SUMPRODUCT(-- ISNUMBER(SEARCH({"Unique","Unique Case Insensitive"}, $R49))) &gt; 0, "(" &amp; $R49 &amp; ")", ""))))</f>
        <v>Currency(9, 0)</v>
      </c>
      <c r="E49" s="7" t="s">
        <v>195</v>
      </c>
      <c r="F49" s="7" t="s">
        <v>1123</v>
      </c>
      <c r="G49" s="7" t="s">
        <v>1168</v>
      </c>
      <c r="H49" s="7" t="s">
        <v>195</v>
      </c>
      <c r="I49" s="7" t="s">
        <v>195</v>
      </c>
      <c r="J49" s="7" t="s">
        <v>195</v>
      </c>
      <c r="K49" s="7" t="s">
        <v>195</v>
      </c>
      <c r="L49" s="7" t="s">
        <v>195</v>
      </c>
      <c r="M49" s="7" t="s">
        <v>29</v>
      </c>
      <c r="N49" s="7" t="s">
        <v>29</v>
      </c>
      <c r="O49" s="7" t="s">
        <v>29</v>
      </c>
      <c r="P49" s="7" t="s">
        <v>29</v>
      </c>
      <c r="Q49" s="7" t="s">
        <v>29</v>
      </c>
      <c r="R49" s="7" t="s">
        <v>29</v>
      </c>
      <c r="S49" s="7" t="s">
        <v>29</v>
      </c>
    </row>
    <row r="50" spans="1:19">
      <c r="A50" s="7" t="s">
        <v>1075</v>
      </c>
      <c r="B50" s="7" t="s">
        <v>1206</v>
      </c>
      <c r="C50" s="8" t="s">
        <v>1726</v>
      </c>
      <c r="D50" s="6" t="str">
        <f>LRTRIM(CONCATENATE(IF(SUMPRODUCT(-- ISNUMBER(SEARCH({"Auto Number"}, $B50))) &gt; 0, $B50, IF(SUMPRODUCT(-- ISNUMBER(SEARCH({"Lookup","Master-Detail"}, $B50))) &gt; 0,$B50 &amp; "(" &amp; $E50 &amp; ")",IF(SUMPRODUCT(-- ISNUMBER(SEARCH({"Formula","Roll-Up Summary"}, $B50))) &gt; 0,$B50 &amp; " (" &amp; $E50 &amp; ")",IF(SUMPRODUCT(-- ISNUMBER(SEARCH({"Content","Currency","Number","Percent","Text","URL"}, $B50))) &gt; 0,$B50 &amp; "(" &amp; $C50 &amp; ")",$B50)))), "  ", TRIM(IF($S50 = "YES", "(External ID)", "") &amp; " " &amp; IF(SUMPRODUCT(-- ISNUMBER(SEARCH({"Unique","Unique Case Insensitive"}, $R50))) &gt; 0, "(" &amp; $R50 &amp; ")", ""))))</f>
        <v>Currency(9, 0)</v>
      </c>
      <c r="E50" s="7" t="s">
        <v>195</v>
      </c>
      <c r="F50" s="7" t="s">
        <v>1124</v>
      </c>
      <c r="G50" s="7" t="s">
        <v>1169</v>
      </c>
      <c r="H50" s="7" t="s">
        <v>195</v>
      </c>
      <c r="I50" s="7" t="s">
        <v>195</v>
      </c>
      <c r="J50" s="7" t="s">
        <v>195</v>
      </c>
      <c r="K50" s="7" t="s">
        <v>195</v>
      </c>
      <c r="L50" s="7" t="s">
        <v>195</v>
      </c>
      <c r="M50" s="7" t="s">
        <v>29</v>
      </c>
      <c r="N50" s="7" t="s">
        <v>29</v>
      </c>
      <c r="O50" s="7" t="s">
        <v>29</v>
      </c>
      <c r="P50" s="7" t="s">
        <v>29</v>
      </c>
      <c r="Q50" s="7" t="s">
        <v>29</v>
      </c>
      <c r="R50" s="7" t="s">
        <v>29</v>
      </c>
      <c r="S50" s="7" t="s">
        <v>29</v>
      </c>
    </row>
    <row r="51" spans="1:19">
      <c r="A51" s="7" t="s">
        <v>1076</v>
      </c>
      <c r="B51" s="7" t="s">
        <v>1206</v>
      </c>
      <c r="C51" s="8" t="s">
        <v>1726</v>
      </c>
      <c r="D51" s="6" t="str">
        <f>LRTRIM(CONCATENATE(IF(SUMPRODUCT(-- ISNUMBER(SEARCH({"Auto Number"}, $B51))) &gt; 0, $B51, IF(SUMPRODUCT(-- ISNUMBER(SEARCH({"Lookup","Master-Detail"}, $B51))) &gt; 0,$B51 &amp; "(" &amp; $E51 &amp; ")",IF(SUMPRODUCT(-- ISNUMBER(SEARCH({"Formula","Roll-Up Summary"}, $B51))) &gt; 0,$B51 &amp; " (" &amp; $E51 &amp; ")",IF(SUMPRODUCT(-- ISNUMBER(SEARCH({"Content","Currency","Number","Percent","Text","URL"}, $B51))) &gt; 0,$B51 &amp; "(" &amp; $C51 &amp; ")",$B51)))), "  ", TRIM(IF($S51 = "YES", "(External ID)", "") &amp; " " &amp; IF(SUMPRODUCT(-- ISNUMBER(SEARCH({"Unique","Unique Case Insensitive"}, $R51))) &gt; 0, "(" &amp; $R51 &amp; ")", ""))))</f>
        <v>Currency(9, 0)</v>
      </c>
      <c r="E51" s="7" t="s">
        <v>195</v>
      </c>
      <c r="F51" s="7" t="s">
        <v>1125</v>
      </c>
      <c r="G51" s="7" t="s">
        <v>1170</v>
      </c>
      <c r="H51" s="7" t="s">
        <v>195</v>
      </c>
      <c r="I51" s="7" t="s">
        <v>195</v>
      </c>
      <c r="J51" s="7" t="s">
        <v>195</v>
      </c>
      <c r="K51" s="7" t="s">
        <v>195</v>
      </c>
      <c r="L51" s="7" t="s">
        <v>195</v>
      </c>
      <c r="M51" s="7" t="s">
        <v>29</v>
      </c>
      <c r="N51" s="7" t="s">
        <v>29</v>
      </c>
      <c r="O51" s="7" t="s">
        <v>29</v>
      </c>
      <c r="P51" s="7" t="s">
        <v>29</v>
      </c>
      <c r="Q51" s="7" t="s">
        <v>29</v>
      </c>
      <c r="R51" s="7" t="s">
        <v>29</v>
      </c>
      <c r="S51" s="7" t="s">
        <v>29</v>
      </c>
    </row>
    <row r="52" spans="1:19">
      <c r="A52" s="7" t="s">
        <v>1077</v>
      </c>
      <c r="B52" s="7" t="s">
        <v>1206</v>
      </c>
      <c r="C52" s="8" t="s">
        <v>1726</v>
      </c>
      <c r="D52" s="6" t="str">
        <f>LRTRIM(CONCATENATE(IF(SUMPRODUCT(-- ISNUMBER(SEARCH({"Auto Number"}, $B52))) &gt; 0, $B52, IF(SUMPRODUCT(-- ISNUMBER(SEARCH({"Lookup","Master-Detail"}, $B52))) &gt; 0,$B52 &amp; "(" &amp; $E52 &amp; ")",IF(SUMPRODUCT(-- ISNUMBER(SEARCH({"Formula","Roll-Up Summary"}, $B52))) &gt; 0,$B52 &amp; " (" &amp; $E52 &amp; ")",IF(SUMPRODUCT(-- ISNUMBER(SEARCH({"Content","Currency","Number","Percent","Text","URL"}, $B52))) &gt; 0,$B52 &amp; "(" &amp; $C52 &amp; ")",$B52)))), "  ", TRIM(IF($S52 = "YES", "(External ID)", "") &amp; " " &amp; IF(SUMPRODUCT(-- ISNUMBER(SEARCH({"Unique","Unique Case Insensitive"}, $R52))) &gt; 0, "(" &amp; $R52 &amp; ")", ""))))</f>
        <v>Currency(9, 0)</v>
      </c>
      <c r="E52" s="7" t="s">
        <v>195</v>
      </c>
      <c r="F52" s="7" t="s">
        <v>1126</v>
      </c>
      <c r="G52" s="7" t="s">
        <v>1171</v>
      </c>
      <c r="H52" s="7" t="s">
        <v>195</v>
      </c>
      <c r="I52" s="7" t="s">
        <v>195</v>
      </c>
      <c r="J52" s="7" t="s">
        <v>195</v>
      </c>
      <c r="K52" s="7" t="s">
        <v>195</v>
      </c>
      <c r="L52" s="7" t="s">
        <v>195</v>
      </c>
      <c r="M52" s="7" t="s">
        <v>29</v>
      </c>
      <c r="N52" s="7" t="s">
        <v>29</v>
      </c>
      <c r="O52" s="7" t="s">
        <v>29</v>
      </c>
      <c r="P52" s="7" t="s">
        <v>29</v>
      </c>
      <c r="Q52" s="7" t="s">
        <v>29</v>
      </c>
      <c r="R52" s="7" t="s">
        <v>29</v>
      </c>
      <c r="S52" s="7" t="s">
        <v>29</v>
      </c>
    </row>
    <row r="53" spans="1:19">
      <c r="A53" s="7" t="s">
        <v>1078</v>
      </c>
      <c r="B53" s="7" t="s">
        <v>1206</v>
      </c>
      <c r="C53" s="8" t="s">
        <v>1726</v>
      </c>
      <c r="D53" s="6" t="str">
        <f>LRTRIM(CONCATENATE(IF(SUMPRODUCT(-- ISNUMBER(SEARCH({"Auto Number"}, $B53))) &gt; 0, $B53, IF(SUMPRODUCT(-- ISNUMBER(SEARCH({"Lookup","Master-Detail"}, $B53))) &gt; 0,$B53 &amp; "(" &amp; $E53 &amp; ")",IF(SUMPRODUCT(-- ISNUMBER(SEARCH({"Formula","Roll-Up Summary"}, $B53))) &gt; 0,$B53 &amp; " (" &amp; $E53 &amp; ")",IF(SUMPRODUCT(-- ISNUMBER(SEARCH({"Content","Currency","Number","Percent","Text","URL"}, $B53))) &gt; 0,$B53 &amp; "(" &amp; $C53 &amp; ")",$B53)))), "  ", TRIM(IF($S53 = "YES", "(External ID)", "") &amp; " " &amp; IF(SUMPRODUCT(-- ISNUMBER(SEARCH({"Unique","Unique Case Insensitive"}, $R53))) &gt; 0, "(" &amp; $R53 &amp; ")", ""))))</f>
        <v>Currency(9, 0)</v>
      </c>
      <c r="E53" s="7" t="s">
        <v>195</v>
      </c>
      <c r="F53" s="7" t="s">
        <v>1127</v>
      </c>
      <c r="G53" s="7" t="s">
        <v>1172</v>
      </c>
      <c r="H53" s="7" t="s">
        <v>195</v>
      </c>
      <c r="I53" s="7" t="s">
        <v>195</v>
      </c>
      <c r="J53" s="7" t="s">
        <v>195</v>
      </c>
      <c r="K53" s="7" t="s">
        <v>195</v>
      </c>
      <c r="L53" s="7" t="s">
        <v>195</v>
      </c>
      <c r="M53" s="7" t="s">
        <v>29</v>
      </c>
      <c r="N53" s="7" t="s">
        <v>29</v>
      </c>
      <c r="O53" s="7" t="s">
        <v>29</v>
      </c>
      <c r="P53" s="7" t="s">
        <v>29</v>
      </c>
      <c r="Q53" s="7" t="s">
        <v>29</v>
      </c>
      <c r="R53" s="7" t="s">
        <v>29</v>
      </c>
      <c r="S53" s="7" t="s">
        <v>29</v>
      </c>
    </row>
    <row r="54" spans="1:19">
      <c r="A54" s="7" t="s">
        <v>1079</v>
      </c>
      <c r="B54" s="7" t="s">
        <v>1206</v>
      </c>
      <c r="C54" s="8" t="s">
        <v>1726</v>
      </c>
      <c r="D54" s="6" t="str">
        <f>LRTRIM(CONCATENATE(IF(SUMPRODUCT(-- ISNUMBER(SEARCH({"Auto Number"}, $B54))) &gt; 0, $B54, IF(SUMPRODUCT(-- ISNUMBER(SEARCH({"Lookup","Master-Detail"}, $B54))) &gt; 0,$B54 &amp; "(" &amp; $E54 &amp; ")",IF(SUMPRODUCT(-- ISNUMBER(SEARCH({"Formula","Roll-Up Summary"}, $B54))) &gt; 0,$B54 &amp; " (" &amp; $E54 &amp; ")",IF(SUMPRODUCT(-- ISNUMBER(SEARCH({"Content","Currency","Number","Percent","Text","URL"}, $B54))) &gt; 0,$B54 &amp; "(" &amp; $C54 &amp; ")",$B54)))), "  ", TRIM(IF($S54 = "YES", "(External ID)", "") &amp; " " &amp; IF(SUMPRODUCT(-- ISNUMBER(SEARCH({"Unique","Unique Case Insensitive"}, $R54))) &gt; 0, "(" &amp; $R54 &amp; ")", ""))))</f>
        <v>Currency(9, 0)</v>
      </c>
      <c r="E54" s="7" t="s">
        <v>195</v>
      </c>
      <c r="F54" s="7" t="s">
        <v>1128</v>
      </c>
      <c r="G54" s="7" t="s">
        <v>1173</v>
      </c>
      <c r="H54" s="7" t="s">
        <v>195</v>
      </c>
      <c r="I54" s="7" t="s">
        <v>195</v>
      </c>
      <c r="J54" s="7" t="s">
        <v>195</v>
      </c>
      <c r="K54" s="7" t="s">
        <v>195</v>
      </c>
      <c r="L54" s="7" t="s">
        <v>195</v>
      </c>
      <c r="M54" s="7" t="s">
        <v>29</v>
      </c>
      <c r="N54" s="7" t="s">
        <v>29</v>
      </c>
      <c r="O54" s="7" t="s">
        <v>29</v>
      </c>
      <c r="P54" s="7" t="s">
        <v>29</v>
      </c>
      <c r="Q54" s="7" t="s">
        <v>29</v>
      </c>
      <c r="R54" s="7" t="s">
        <v>29</v>
      </c>
      <c r="S54" s="7" t="s">
        <v>29</v>
      </c>
    </row>
    <row r="55" spans="1:19">
      <c r="A55" s="7" t="s">
        <v>1080</v>
      </c>
      <c r="B55" s="7" t="s">
        <v>1206</v>
      </c>
      <c r="C55" s="8" t="s">
        <v>1726</v>
      </c>
      <c r="D55" s="6" t="str">
        <f>LRTRIM(CONCATENATE(IF(SUMPRODUCT(-- ISNUMBER(SEARCH({"Auto Number"}, $B55))) &gt; 0, $B55, IF(SUMPRODUCT(-- ISNUMBER(SEARCH({"Lookup","Master-Detail"}, $B55))) &gt; 0,$B55 &amp; "(" &amp; $E55 &amp; ")",IF(SUMPRODUCT(-- ISNUMBER(SEARCH({"Formula","Roll-Up Summary"}, $B55))) &gt; 0,$B55 &amp; " (" &amp; $E55 &amp; ")",IF(SUMPRODUCT(-- ISNUMBER(SEARCH({"Content","Currency","Number","Percent","Text","URL"}, $B55))) &gt; 0,$B55 &amp; "(" &amp; $C55 &amp; ")",$B55)))), "  ", TRIM(IF($S55 = "YES", "(External ID)", "") &amp; " " &amp; IF(SUMPRODUCT(-- ISNUMBER(SEARCH({"Unique","Unique Case Insensitive"}, $R55))) &gt; 0, "(" &amp; $R55 &amp; ")", ""))))</f>
        <v>Currency(9, 0)</v>
      </c>
      <c r="E55" s="7" t="s">
        <v>195</v>
      </c>
      <c r="F55" s="7" t="s">
        <v>1129</v>
      </c>
      <c r="G55" s="7" t="s">
        <v>1174</v>
      </c>
      <c r="H55" s="7" t="s">
        <v>195</v>
      </c>
      <c r="I55" s="7" t="s">
        <v>195</v>
      </c>
      <c r="J55" s="7" t="s">
        <v>195</v>
      </c>
      <c r="K55" s="7" t="s">
        <v>195</v>
      </c>
      <c r="L55" s="7" t="s">
        <v>195</v>
      </c>
      <c r="M55" s="7" t="s">
        <v>29</v>
      </c>
      <c r="N55" s="7" t="s">
        <v>29</v>
      </c>
      <c r="O55" s="7" t="s">
        <v>29</v>
      </c>
      <c r="P55" s="7" t="s">
        <v>29</v>
      </c>
      <c r="Q55" s="7" t="s">
        <v>29</v>
      </c>
      <c r="R55" s="7" t="s">
        <v>29</v>
      </c>
      <c r="S55" s="7" t="s">
        <v>29</v>
      </c>
    </row>
    <row r="56" spans="1:19">
      <c r="A56" s="7" t="s">
        <v>1081</v>
      </c>
      <c r="B56" s="7" t="s">
        <v>1213</v>
      </c>
      <c r="C56" s="8" t="s">
        <v>1250</v>
      </c>
      <c r="D56" s="6" t="str">
        <f>LRTRIM(CONCATENATE(IF(SUMPRODUCT(-- ISNUMBER(SEARCH({"Auto Number"}, $B56))) &gt; 0, $B56, IF(SUMPRODUCT(-- ISNUMBER(SEARCH({"Lookup","Master-Detail"}, $B56))) &gt; 0,$B56 &amp; "(" &amp; $E56 &amp; ")",IF(SUMPRODUCT(-- ISNUMBER(SEARCH({"Formula","Roll-Up Summary"}, $B56))) &gt; 0,$B56 &amp; " (" &amp; $E56 &amp; ")",IF(SUMPRODUCT(-- ISNUMBER(SEARCH({"Content","Currency","Number","Percent","Text","URL"}, $B56))) &gt; 0,$B56 &amp; "(" &amp; $C56 &amp; ")",$B56)))), "  ", TRIM(IF($S56 = "YES", "(External ID)", "") &amp; " " &amp; IF(SUMPRODUCT(-- ISNUMBER(SEARCH({"Unique","Unique Case Insensitive"}, $R56))) &gt; 0, "(" &amp; $R56 &amp; ")", ""))))</f>
        <v>Number(18, 0)</v>
      </c>
      <c r="E56" s="7" t="s">
        <v>195</v>
      </c>
      <c r="F56" s="7" t="s">
        <v>1130</v>
      </c>
      <c r="G56" s="7" t="s">
        <v>1175</v>
      </c>
      <c r="H56" s="7" t="s">
        <v>195</v>
      </c>
      <c r="I56" s="7" t="s">
        <v>195</v>
      </c>
      <c r="J56" s="7" t="s">
        <v>195</v>
      </c>
      <c r="K56" s="7" t="s">
        <v>195</v>
      </c>
      <c r="L56" s="7" t="s">
        <v>195</v>
      </c>
      <c r="M56" s="7" t="s">
        <v>29</v>
      </c>
      <c r="N56" s="7" t="s">
        <v>29</v>
      </c>
      <c r="O56" s="7" t="s">
        <v>29</v>
      </c>
      <c r="P56" s="7" t="s">
        <v>29</v>
      </c>
      <c r="Q56" s="7" t="s">
        <v>29</v>
      </c>
      <c r="R56" s="7" t="s">
        <v>29</v>
      </c>
      <c r="S56" s="7" t="s">
        <v>29</v>
      </c>
    </row>
    <row r="57" spans="1:19">
      <c r="A57" s="7" t="s">
        <v>1082</v>
      </c>
      <c r="B57" s="7" t="s">
        <v>1211</v>
      </c>
      <c r="C57" s="8">
        <v>18</v>
      </c>
      <c r="D57" s="6" t="str">
        <f>LRTRIM(CONCATENATE(IF(SUMPRODUCT(-- ISNUMBER(SEARCH({"Auto Number"}, $B57))) &gt; 0, $B57, IF(SUMPRODUCT(-- ISNUMBER(SEARCH({"Lookup","Master-Detail"}, $B57))) &gt; 0,$B57 &amp; "(" &amp; $E57 &amp; ")",IF(SUMPRODUCT(-- ISNUMBER(SEARCH({"Formula","Roll-Up Summary"}, $B57))) &gt; 0,$B57 &amp; " (" &amp; $E57 &amp; ")",IF(SUMPRODUCT(-- ISNUMBER(SEARCH({"Content","Currency","Number","Percent","Text","URL"}, $B57))) &gt; 0,$B57 &amp; "(" &amp; $C57 &amp; ")",$B57)))), "  ", TRIM(IF($S57 = "YES", "(External ID)", "") &amp; " " &amp; IF(SUMPRODUCT(-- ISNUMBER(SEARCH({"Unique","Unique Case Insensitive"}, $R57))) &gt; 0, "(" &amp; $R57 &amp; ")", ""))))</f>
        <v>Lookup(User)</v>
      </c>
      <c r="E57" s="7" t="s">
        <v>7</v>
      </c>
      <c r="F57" s="7" t="s">
        <v>126</v>
      </c>
      <c r="G57" s="7" t="s">
        <v>158</v>
      </c>
      <c r="H57" s="7" t="s">
        <v>195</v>
      </c>
      <c r="I57" s="7" t="s">
        <v>195</v>
      </c>
      <c r="J57" s="7" t="s">
        <v>195</v>
      </c>
      <c r="K57" s="7" t="s">
        <v>195</v>
      </c>
      <c r="L57" s="7" t="s">
        <v>195</v>
      </c>
      <c r="M57" s="7" t="s">
        <v>29</v>
      </c>
      <c r="N57" s="7" t="s">
        <v>29</v>
      </c>
      <c r="O57" s="7" t="s">
        <v>29</v>
      </c>
      <c r="P57" s="7" t="s">
        <v>29</v>
      </c>
      <c r="Q57" s="7" t="s">
        <v>29</v>
      </c>
      <c r="R57" s="7" t="s">
        <v>29</v>
      </c>
      <c r="S57" s="7" t="s">
        <v>29</v>
      </c>
    </row>
    <row r="58" spans="1:19">
      <c r="A58" s="7" t="s">
        <v>1083</v>
      </c>
      <c r="B58" s="7" t="s">
        <v>1218</v>
      </c>
      <c r="C58" s="8">
        <v>255</v>
      </c>
      <c r="D58" s="6" t="str">
        <f>LRTRIM(CONCATENATE(IF(SUMPRODUCT(-- ISNUMBER(SEARCH({"Auto Number"}, $B58))) &gt; 0, $B58, IF(SUMPRODUCT(-- ISNUMBER(SEARCH({"Lookup","Master-Detail"}, $B58))) &gt; 0,$B58 &amp; "(" &amp; $E58 &amp; ")",IF(SUMPRODUCT(-- ISNUMBER(SEARCH({"Formula","Roll-Up Summary"}, $B58))) &gt; 0,$B58 &amp; " (" &amp; $E58 &amp; ")",IF(SUMPRODUCT(-- ISNUMBER(SEARCH({"Content","Currency","Number","Percent","Text","URL"}, $B58))) &gt; 0,$B58 &amp; "(" &amp; $C58 &amp; ")",$B58)))), "  ", TRIM(IF($S58 = "YES", "(External ID)", "") &amp; " " &amp; IF(SUMPRODUCT(-- ISNUMBER(SEARCH({"Unique","Unique Case Insensitive"}, $R58))) &gt; 0, "(" &amp; $R58 &amp; ")", ""))))</f>
        <v>Text(255)  (External ID) (Unique Case Insensitive)</v>
      </c>
      <c r="E58" s="7" t="s">
        <v>195</v>
      </c>
      <c r="F58" s="7" t="s">
        <v>1131</v>
      </c>
      <c r="G58" s="7" t="s">
        <v>195</v>
      </c>
      <c r="H58" s="7" t="s">
        <v>195</v>
      </c>
      <c r="I58" s="7" t="s">
        <v>195</v>
      </c>
      <c r="J58" s="7" t="s">
        <v>195</v>
      </c>
      <c r="K58" s="7" t="s">
        <v>195</v>
      </c>
      <c r="L58" s="7" t="s">
        <v>195</v>
      </c>
      <c r="M58" s="7" t="s">
        <v>29</v>
      </c>
      <c r="N58" s="7" t="s">
        <v>29</v>
      </c>
      <c r="O58" s="7" t="s">
        <v>29</v>
      </c>
      <c r="P58" s="7" t="s">
        <v>29</v>
      </c>
      <c r="Q58" s="7" t="s">
        <v>29</v>
      </c>
      <c r="R58" s="7" t="s">
        <v>1271</v>
      </c>
      <c r="S58" s="7" t="s">
        <v>28</v>
      </c>
    </row>
    <row r="59" spans="1:19">
      <c r="A59" s="7" t="s">
        <v>1084</v>
      </c>
      <c r="B59" s="7" t="s">
        <v>1215</v>
      </c>
      <c r="C59" s="8">
        <v>255</v>
      </c>
      <c r="D59" s="6" t="str">
        <f>LRTRIM(CONCATENATE(IF(SUMPRODUCT(-- ISNUMBER(SEARCH({"Auto Number"}, $B59))) &gt; 0, $B59, IF(SUMPRODUCT(-- ISNUMBER(SEARCH({"Lookup","Master-Detail"}, $B59))) &gt; 0,$B59 &amp; "(" &amp; $E59 &amp; ")",IF(SUMPRODUCT(-- ISNUMBER(SEARCH({"Formula","Roll-Up Summary"}, $B59))) &gt; 0,$B59 &amp; " (" &amp; $E59 &amp; ")",IF(SUMPRODUCT(-- ISNUMBER(SEARCH({"Content","Currency","Number","Percent","Text","URL"}, $B59))) &gt; 0,$B59 &amp; "(" &amp; $C59 &amp; ")",$B59)))), "  ", TRIM(IF($S59 = "YES", "(External ID)", "") &amp; " " &amp; IF(SUMPRODUCT(-- ISNUMBER(SEARCH({"Unique","Unique Case Insensitive"}, $R59))) &gt; 0, "(" &amp; $R59 &amp; ")", ""))))</f>
        <v>Picklist</v>
      </c>
      <c r="E59" s="7" t="s">
        <v>195</v>
      </c>
      <c r="F59" s="7" t="s">
        <v>1132</v>
      </c>
      <c r="G59" s="7" t="s">
        <v>195</v>
      </c>
      <c r="H59" s="7" t="s">
        <v>195</v>
      </c>
      <c r="I59" s="7" t="s">
        <v>1085</v>
      </c>
      <c r="J59" s="7" t="s">
        <v>195</v>
      </c>
      <c r="K59" s="7" t="s">
        <v>195</v>
      </c>
      <c r="L59" s="7" t="s">
        <v>195</v>
      </c>
      <c r="M59" s="7" t="s">
        <v>29</v>
      </c>
      <c r="N59" s="7" t="s">
        <v>29</v>
      </c>
      <c r="O59" s="7" t="s">
        <v>29</v>
      </c>
      <c r="P59" s="7" t="s">
        <v>29</v>
      </c>
      <c r="Q59" s="7" t="s">
        <v>29</v>
      </c>
      <c r="R59" s="7" t="s">
        <v>29</v>
      </c>
      <c r="S59" s="7" t="s">
        <v>29</v>
      </c>
    </row>
    <row r="60" spans="1:19">
      <c r="A60" s="7" t="s">
        <v>667</v>
      </c>
      <c r="B60" s="7" t="s">
        <v>195</v>
      </c>
      <c r="C60" s="8" t="s">
        <v>195</v>
      </c>
      <c r="D60" s="6" t="str">
        <f>LRTRIM(CONCATENATE(IF(SUMPRODUCT(-- ISNUMBER(SEARCH({"Auto Number"}, $B60))) &gt; 0, $B60, IF(SUMPRODUCT(-- ISNUMBER(SEARCH({"Lookup","Master-Detail"}, $B60))) &gt; 0,$B60 &amp; "(" &amp; $E60 &amp; ")",IF(SUMPRODUCT(-- ISNUMBER(SEARCH({"Formula","Roll-Up Summary"}, $B60))) &gt; 0,$B60 &amp; " (" &amp; $E60 &amp; ")",IF(SUMPRODUCT(-- ISNUMBER(SEARCH({"Content","Currency","Number","Percent","Text","URL"}, $B60))) &gt; 0,$B60 &amp; "(" &amp; $C60 &amp; ")",$B60)))), "  ", TRIM(IF($S60 = "YES", "(External ID)", "") &amp; " " &amp; IF(SUMPRODUCT(-- ISNUMBER(SEARCH({"Unique","Unique Case Insensitive"}, $R60))) &gt; 0, "(" &amp; $R60 &amp; ")", ""))))</f>
        <v>na</v>
      </c>
      <c r="E60" s="7" t="s">
        <v>195</v>
      </c>
      <c r="F60" s="7" t="s">
        <v>195</v>
      </c>
      <c r="G60" s="7" t="s">
        <v>195</v>
      </c>
      <c r="H60" s="7" t="s">
        <v>195</v>
      </c>
      <c r="I60" s="7" t="s">
        <v>195</v>
      </c>
      <c r="J60" s="7" t="s">
        <v>195</v>
      </c>
      <c r="K60" s="7" t="s">
        <v>195</v>
      </c>
      <c r="L60" s="7" t="s">
        <v>195</v>
      </c>
      <c r="M60" s="7" t="s">
        <v>29</v>
      </c>
      <c r="N60" s="7" t="s">
        <v>28</v>
      </c>
      <c r="O60" s="7" t="s">
        <v>29</v>
      </c>
      <c r="P60" s="7" t="s">
        <v>29</v>
      </c>
      <c r="Q60" s="7" t="s">
        <v>29</v>
      </c>
      <c r="R60" s="7" t="s">
        <v>29</v>
      </c>
      <c r="S60" s="7" t="s">
        <v>29</v>
      </c>
    </row>
    <row r="61" spans="1:19">
      <c r="A61" s="7" t="s">
        <v>1176</v>
      </c>
      <c r="B61" s="7" t="s">
        <v>195</v>
      </c>
      <c r="C61" s="8" t="s">
        <v>195</v>
      </c>
      <c r="D61" s="6" t="str">
        <f>LRTRIM(CONCATENATE(IF(SUMPRODUCT(-- ISNUMBER(SEARCH({"Auto Number"}, $B61))) &gt; 0, $B61, IF(SUMPRODUCT(-- ISNUMBER(SEARCH({"Lookup","Master-Detail"}, $B61))) &gt; 0,$B61 &amp; "(" &amp; $E61 &amp; ")",IF(SUMPRODUCT(-- ISNUMBER(SEARCH({"Formula","Roll-Up Summary"}, $B61))) &gt; 0,$B61 &amp; " (" &amp; $E61 &amp; ")",IF(SUMPRODUCT(-- ISNUMBER(SEARCH({"Content","Currency","Number","Percent","Text","URL"}, $B61))) &gt; 0,$B61 &amp; "(" &amp; $C61 &amp; ")",$B61)))), "  ", TRIM(IF($S61 = "YES", "(External ID)", "") &amp; " " &amp; IF(SUMPRODUCT(-- ISNUMBER(SEARCH({"Unique","Unique Case Insensitive"}, $R61))) &gt; 0, "(" &amp; $R61 &amp; ")", ""))))</f>
        <v>na</v>
      </c>
      <c r="E61" s="7" t="s">
        <v>195</v>
      </c>
      <c r="F61" s="7" t="s">
        <v>195</v>
      </c>
      <c r="G61" s="7" t="s">
        <v>195</v>
      </c>
      <c r="H61" s="7" t="s">
        <v>195</v>
      </c>
      <c r="I61" s="7" t="s">
        <v>195</v>
      </c>
      <c r="J61" s="7" t="s">
        <v>195</v>
      </c>
      <c r="K61" s="7" t="s">
        <v>195</v>
      </c>
      <c r="L61" s="7" t="s">
        <v>195</v>
      </c>
      <c r="M61" s="7" t="s">
        <v>29</v>
      </c>
      <c r="N61" s="7" t="s">
        <v>28</v>
      </c>
      <c r="O61" s="7" t="s">
        <v>29</v>
      </c>
      <c r="P61" s="7" t="s">
        <v>29</v>
      </c>
      <c r="Q61" s="7" t="s">
        <v>29</v>
      </c>
      <c r="R61" s="7" t="s">
        <v>29</v>
      </c>
      <c r="S61" s="7" t="s">
        <v>29</v>
      </c>
    </row>
    <row r="62" spans="1:19">
      <c r="A62" s="7" t="s">
        <v>1177</v>
      </c>
      <c r="B62" s="7" t="s">
        <v>195</v>
      </c>
      <c r="C62" s="8" t="s">
        <v>195</v>
      </c>
      <c r="D62" s="6" t="str">
        <f>LRTRIM(CONCATENATE(IF(SUMPRODUCT(-- ISNUMBER(SEARCH({"Auto Number"}, $B62))) &gt; 0, $B62, IF(SUMPRODUCT(-- ISNUMBER(SEARCH({"Lookup","Master-Detail"}, $B62))) &gt; 0,$B62 &amp; "(" &amp; $E62 &amp; ")",IF(SUMPRODUCT(-- ISNUMBER(SEARCH({"Formula","Roll-Up Summary"}, $B62))) &gt; 0,$B62 &amp; " (" &amp; $E62 &amp; ")",IF(SUMPRODUCT(-- ISNUMBER(SEARCH({"Content","Currency","Number","Percent","Text","URL"}, $B62))) &gt; 0,$B62 &amp; "(" &amp; $C62 &amp; ")",$B62)))), "  ", TRIM(IF($S62 = "YES", "(External ID)", "") &amp; " " &amp; IF(SUMPRODUCT(-- ISNUMBER(SEARCH({"Unique","Unique Case Insensitive"}, $R62))) &gt; 0, "(" &amp; $R62 &amp; ")", ""))))</f>
        <v>na</v>
      </c>
      <c r="E62" s="7" t="s">
        <v>195</v>
      </c>
      <c r="F62" s="7" t="s">
        <v>195</v>
      </c>
      <c r="G62" s="7" t="s">
        <v>195</v>
      </c>
      <c r="H62" s="7" t="s">
        <v>195</v>
      </c>
      <c r="I62" s="7" t="s">
        <v>195</v>
      </c>
      <c r="J62" s="7" t="s">
        <v>195</v>
      </c>
      <c r="K62" s="7" t="s">
        <v>195</v>
      </c>
      <c r="L62" s="7" t="s">
        <v>195</v>
      </c>
      <c r="M62" s="7" t="s">
        <v>29</v>
      </c>
      <c r="N62" s="7" t="s">
        <v>28</v>
      </c>
      <c r="O62" s="7" t="s">
        <v>29</v>
      </c>
      <c r="P62" s="7" t="s">
        <v>29</v>
      </c>
      <c r="Q62" s="7" t="s">
        <v>29</v>
      </c>
      <c r="R62" s="7" t="s">
        <v>29</v>
      </c>
      <c r="S62" s="7" t="s">
        <v>29</v>
      </c>
    </row>
    <row r="63" spans="1:19">
      <c r="A63" s="7" t="s">
        <v>36</v>
      </c>
      <c r="B63" s="7" t="s">
        <v>195</v>
      </c>
      <c r="C63" s="8" t="s">
        <v>195</v>
      </c>
      <c r="D63" s="6" t="str">
        <f>LRTRIM(CONCATENATE(IF(SUMPRODUCT(-- ISNUMBER(SEARCH({"Auto Number"}, $B63))) &gt; 0, $B63, IF(SUMPRODUCT(-- ISNUMBER(SEARCH({"Lookup","Master-Detail"}, $B63))) &gt; 0,$B63 &amp; "(" &amp; $E63 &amp; ")",IF(SUMPRODUCT(-- ISNUMBER(SEARCH({"Formula","Roll-Up Summary"}, $B63))) &gt; 0,$B63 &amp; " (" &amp; $E63 &amp; ")",IF(SUMPRODUCT(-- ISNUMBER(SEARCH({"Content","Currency","Number","Percent","Text","URL"}, $B63))) &gt; 0,$B63 &amp; "(" &amp; $C63 &amp; ")",$B63)))), "  ", TRIM(IF($S63 = "YES", "(External ID)", "") &amp; " " &amp; IF(SUMPRODUCT(-- ISNUMBER(SEARCH({"Unique","Unique Case Insensitive"}, $R63))) &gt; 0, "(" &amp; $R63 &amp; ")", ""))))</f>
        <v>na</v>
      </c>
      <c r="E63" s="7" t="s">
        <v>195</v>
      </c>
      <c r="F63" s="7" t="s">
        <v>195</v>
      </c>
      <c r="G63" s="7" t="s">
        <v>195</v>
      </c>
      <c r="H63" s="7" t="s">
        <v>195</v>
      </c>
      <c r="I63" s="7" t="s">
        <v>195</v>
      </c>
      <c r="J63" s="7" t="s">
        <v>195</v>
      </c>
      <c r="K63" s="7" t="s">
        <v>195</v>
      </c>
      <c r="L63" s="7" t="s">
        <v>195</v>
      </c>
      <c r="M63" s="7" t="s">
        <v>28</v>
      </c>
      <c r="N63" s="7" t="s">
        <v>29</v>
      </c>
      <c r="O63" s="7" t="s">
        <v>29</v>
      </c>
      <c r="P63" s="7" t="s">
        <v>29</v>
      </c>
      <c r="Q63" s="7" t="s">
        <v>29</v>
      </c>
      <c r="R63" s="7" t="s">
        <v>29</v>
      </c>
      <c r="S63" s="7" t="s">
        <v>29</v>
      </c>
    </row>
    <row r="64" spans="1:19">
      <c r="A64" s="7" t="s">
        <v>35</v>
      </c>
      <c r="B64" s="7" t="s">
        <v>195</v>
      </c>
      <c r="C64" s="8" t="s">
        <v>195</v>
      </c>
      <c r="D64" s="6" t="str">
        <f>LRTRIM(CONCATENATE(IF(SUMPRODUCT(-- ISNUMBER(SEARCH({"Auto Number"}, $B64))) &gt; 0, $B64, IF(SUMPRODUCT(-- ISNUMBER(SEARCH({"Lookup","Master-Detail"}, $B64))) &gt; 0,$B64 &amp; "(" &amp; $E64 &amp; ")",IF(SUMPRODUCT(-- ISNUMBER(SEARCH({"Formula","Roll-Up Summary"}, $B64))) &gt; 0,$B64 &amp; " (" &amp; $E64 &amp; ")",IF(SUMPRODUCT(-- ISNUMBER(SEARCH({"Content","Currency","Number","Percent","Text","URL"}, $B64))) &gt; 0,$B64 &amp; "(" &amp; $C64 &amp; ")",$B64)))), "  ", TRIM(IF($S64 = "YES", "(External ID)", "") &amp; " " &amp; IF(SUMPRODUCT(-- ISNUMBER(SEARCH({"Unique","Unique Case Insensitive"}, $R64))) &gt; 0, "(" &amp; $R64 &amp; ")", ""))))</f>
        <v>na</v>
      </c>
      <c r="E64" s="7" t="s">
        <v>195</v>
      </c>
      <c r="F64" s="7" t="s">
        <v>195</v>
      </c>
      <c r="G64" s="7" t="s">
        <v>195</v>
      </c>
      <c r="H64" s="7" t="s">
        <v>195</v>
      </c>
      <c r="I64" s="7" t="s">
        <v>195</v>
      </c>
      <c r="J64" s="7" t="s">
        <v>195</v>
      </c>
      <c r="K64" s="7" t="s">
        <v>195</v>
      </c>
      <c r="L64" s="7" t="s">
        <v>195</v>
      </c>
      <c r="M64" s="7" t="s">
        <v>28</v>
      </c>
      <c r="N64" s="7" t="s">
        <v>29</v>
      </c>
      <c r="O64" s="7" t="s">
        <v>29</v>
      </c>
      <c r="P64" s="7" t="s">
        <v>29</v>
      </c>
      <c r="Q64" s="7" t="s">
        <v>29</v>
      </c>
      <c r="R64" s="7" t="s">
        <v>29</v>
      </c>
      <c r="S64" s="7" t="s">
        <v>29</v>
      </c>
    </row>
    <row r="65" spans="1:19">
      <c r="A65" s="7" t="s">
        <v>34</v>
      </c>
      <c r="B65" s="7" t="s">
        <v>195</v>
      </c>
      <c r="C65" s="8" t="s">
        <v>195</v>
      </c>
      <c r="D65" s="6" t="str">
        <f>LRTRIM(CONCATENATE(IF(SUMPRODUCT(-- ISNUMBER(SEARCH({"Auto Number"}, $B65))) &gt; 0, $B65, IF(SUMPRODUCT(-- ISNUMBER(SEARCH({"Lookup","Master-Detail"}, $B65))) &gt; 0,$B65 &amp; "(" &amp; $E65 &amp; ")",IF(SUMPRODUCT(-- ISNUMBER(SEARCH({"Formula","Roll-Up Summary"}, $B65))) &gt; 0,$B65 &amp; " (" &amp; $E65 &amp; ")",IF(SUMPRODUCT(-- ISNUMBER(SEARCH({"Content","Currency","Number","Percent","Text","URL"}, $B65))) &gt; 0,$B65 &amp; "(" &amp; $C65 &amp; ")",$B65)))), "  ", TRIM(IF($S65 = "YES", "(External ID)", "") &amp; " " &amp; IF(SUMPRODUCT(-- ISNUMBER(SEARCH({"Unique","Unique Case Insensitive"}, $R65))) &gt; 0, "(" &amp; $R65 &amp; ")", ""))))</f>
        <v>na</v>
      </c>
      <c r="E65" s="7" t="s">
        <v>195</v>
      </c>
      <c r="F65" s="7" t="s">
        <v>195</v>
      </c>
      <c r="G65" s="7" t="s">
        <v>195</v>
      </c>
      <c r="H65" s="7" t="s">
        <v>195</v>
      </c>
      <c r="I65" s="7" t="s">
        <v>195</v>
      </c>
      <c r="J65" s="7" t="s">
        <v>195</v>
      </c>
      <c r="K65" s="7" t="s">
        <v>195</v>
      </c>
      <c r="L65" s="7" t="s">
        <v>195</v>
      </c>
      <c r="M65" s="7" t="s">
        <v>28</v>
      </c>
      <c r="N65" s="7" t="s">
        <v>29</v>
      </c>
      <c r="O65" s="7" t="s">
        <v>29</v>
      </c>
      <c r="P65" s="7" t="s">
        <v>29</v>
      </c>
      <c r="Q65" s="7" t="s">
        <v>29</v>
      </c>
      <c r="R65" s="7" t="s">
        <v>29</v>
      </c>
      <c r="S65" s="7" t="s">
        <v>29</v>
      </c>
    </row>
    <row r="66" spans="1:19">
      <c r="A66" s="7" t="s">
        <v>38</v>
      </c>
      <c r="B66" s="7" t="s">
        <v>195</v>
      </c>
      <c r="C66" s="8" t="s">
        <v>195</v>
      </c>
      <c r="D66" s="6" t="str">
        <f>LRTRIM(CONCATENATE(IF(SUMPRODUCT(-- ISNUMBER(SEARCH({"Auto Number"}, $B66))) &gt; 0, $B66, IF(SUMPRODUCT(-- ISNUMBER(SEARCH({"Lookup","Master-Detail"}, $B66))) &gt; 0,$B66 &amp; "(" &amp; $E66 &amp; ")",IF(SUMPRODUCT(-- ISNUMBER(SEARCH({"Formula","Roll-Up Summary"}, $B66))) &gt; 0,$B66 &amp; " (" &amp; $E66 &amp; ")",IF(SUMPRODUCT(-- ISNUMBER(SEARCH({"Content","Currency","Number","Percent","Text","URL"}, $B66))) &gt; 0,$B66 &amp; "(" &amp; $C66 &amp; ")",$B66)))), "  ", TRIM(IF($S66 = "YES", "(External ID)", "") &amp; " " &amp; IF(SUMPRODUCT(-- ISNUMBER(SEARCH({"Unique","Unique Case Insensitive"}, $R66))) &gt; 0, "(" &amp; $R66 &amp; ")", ""))))</f>
        <v>na</v>
      </c>
      <c r="E66" s="7" t="s">
        <v>195</v>
      </c>
      <c r="F66" s="7" t="s">
        <v>195</v>
      </c>
      <c r="G66" s="7" t="s">
        <v>195</v>
      </c>
      <c r="H66" s="7" t="s">
        <v>195</v>
      </c>
      <c r="I66" s="7" t="s">
        <v>195</v>
      </c>
      <c r="J66" s="7" t="s">
        <v>195</v>
      </c>
      <c r="K66" s="7" t="s">
        <v>195</v>
      </c>
      <c r="L66" s="7" t="s">
        <v>195</v>
      </c>
      <c r="M66" s="7" t="s">
        <v>28</v>
      </c>
      <c r="N66" s="7" t="s">
        <v>29</v>
      </c>
      <c r="O66" s="7" t="s">
        <v>29</v>
      </c>
      <c r="P66" s="7" t="s">
        <v>29</v>
      </c>
      <c r="Q66" s="7" t="s">
        <v>29</v>
      </c>
      <c r="R66" s="7" t="s">
        <v>29</v>
      </c>
      <c r="S66" s="7" t="s">
        <v>29</v>
      </c>
    </row>
    <row r="67" spans="1:19">
      <c r="A67" s="7" t="s">
        <v>37</v>
      </c>
      <c r="B67" s="7" t="s">
        <v>195</v>
      </c>
      <c r="C67" s="8" t="s">
        <v>195</v>
      </c>
      <c r="D67" s="6" t="str">
        <f>LRTRIM(CONCATENATE(IF(SUMPRODUCT(-- ISNUMBER(SEARCH({"Auto Number"}, $B67))) &gt; 0, $B67, IF(SUMPRODUCT(-- ISNUMBER(SEARCH({"Lookup","Master-Detail"}, $B67))) &gt; 0,$B67 &amp; "(" &amp; $E67 &amp; ")",IF(SUMPRODUCT(-- ISNUMBER(SEARCH({"Formula","Roll-Up Summary"}, $B67))) &gt; 0,$B67 &amp; " (" &amp; $E67 &amp; ")",IF(SUMPRODUCT(-- ISNUMBER(SEARCH({"Content","Currency","Number","Percent","Text","URL"}, $B67))) &gt; 0,$B67 &amp; "(" &amp; $C67 &amp; ")",$B67)))), "  ", TRIM(IF($S67 = "YES", "(External ID)", "") &amp; " " &amp; IF(SUMPRODUCT(-- ISNUMBER(SEARCH({"Unique","Unique Case Insensitive"}, $R67))) &gt; 0, "(" &amp; $R67 &amp; ")", ""))))</f>
        <v>na</v>
      </c>
      <c r="E67" s="7" t="s">
        <v>195</v>
      </c>
      <c r="F67" s="7" t="s">
        <v>195</v>
      </c>
      <c r="G67" s="7" t="s">
        <v>195</v>
      </c>
      <c r="H67" s="7" t="s">
        <v>195</v>
      </c>
      <c r="I67" s="7" t="s">
        <v>195</v>
      </c>
      <c r="J67" s="7" t="s">
        <v>195</v>
      </c>
      <c r="K67" s="7" t="s">
        <v>195</v>
      </c>
      <c r="L67" s="7" t="s">
        <v>195</v>
      </c>
      <c r="M67" s="7" t="s">
        <v>28</v>
      </c>
      <c r="N67" s="7" t="s">
        <v>29</v>
      </c>
      <c r="O67" s="7" t="s">
        <v>29</v>
      </c>
      <c r="P67" s="7" t="s">
        <v>29</v>
      </c>
      <c r="Q67" s="7" t="s">
        <v>29</v>
      </c>
      <c r="R67" s="7" t="s">
        <v>29</v>
      </c>
      <c r="S67" s="7" t="s">
        <v>29</v>
      </c>
    </row>
    <row r="68" spans="1:19">
      <c r="A68" s="7" t="s">
        <v>39</v>
      </c>
      <c r="B68" s="7" t="s">
        <v>195</v>
      </c>
      <c r="C68" s="8" t="s">
        <v>195</v>
      </c>
      <c r="D68" s="6" t="str">
        <f>LRTRIM(CONCATENATE(IF(SUMPRODUCT(-- ISNUMBER(SEARCH({"Auto Number"}, $B68))) &gt; 0, $B68, IF(SUMPRODUCT(-- ISNUMBER(SEARCH({"Lookup","Master-Detail"}, $B68))) &gt; 0,$B68 &amp; "(" &amp; $E68 &amp; ")",IF(SUMPRODUCT(-- ISNUMBER(SEARCH({"Formula","Roll-Up Summary"}, $B68))) &gt; 0,$B68 &amp; " (" &amp; $E68 &amp; ")",IF(SUMPRODUCT(-- ISNUMBER(SEARCH({"Content","Currency","Number","Percent","Text","URL"}, $B68))) &gt; 0,$B68 &amp; "(" &amp; $C68 &amp; ")",$B68)))), "  ", TRIM(IF($S68 = "YES", "(External ID)", "") &amp; " " &amp; IF(SUMPRODUCT(-- ISNUMBER(SEARCH({"Unique","Unique Case Insensitive"}, $R68))) &gt; 0, "(" &amp; $R68 &amp; ")", ""))))</f>
        <v>na</v>
      </c>
      <c r="E68" s="7" t="s">
        <v>195</v>
      </c>
      <c r="F68" s="7" t="s">
        <v>195</v>
      </c>
      <c r="G68" s="7" t="s">
        <v>195</v>
      </c>
      <c r="H68" s="7" t="s">
        <v>195</v>
      </c>
      <c r="I68" s="7" t="s">
        <v>195</v>
      </c>
      <c r="J68" s="7" t="s">
        <v>195</v>
      </c>
      <c r="K68" s="7" t="s">
        <v>195</v>
      </c>
      <c r="L68" s="7" t="s">
        <v>195</v>
      </c>
      <c r="M68" s="7" t="s">
        <v>28</v>
      </c>
      <c r="N68" s="7" t="s">
        <v>29</v>
      </c>
      <c r="O68" s="7" t="s">
        <v>29</v>
      </c>
      <c r="P68" s="7" t="s">
        <v>29</v>
      </c>
      <c r="Q68" s="7" t="s">
        <v>29</v>
      </c>
      <c r="R68" s="7" t="s">
        <v>29</v>
      </c>
      <c r="S68" s="7" t="s">
        <v>29</v>
      </c>
    </row>
    <row r="69" spans="1:19">
      <c r="B69" s="7" t="s">
        <v>195</v>
      </c>
      <c r="C69" s="8" t="s">
        <v>195</v>
      </c>
      <c r="D69" s="6" t="str">
        <f>LRTRIM(CONCATENATE(IF(SUMPRODUCT(-- ISNUMBER(SEARCH({"Auto Number"}, $B69))) &gt; 0, $B69, IF(SUMPRODUCT(-- ISNUMBER(SEARCH({"Lookup","Master-Detail"}, $B69))) &gt; 0,$B69 &amp; "(" &amp; $E69 &amp; ")",IF(SUMPRODUCT(-- ISNUMBER(SEARCH({"Formula","Roll-Up Summary"}, $B69))) &gt; 0,$B69 &amp; " (" &amp; $E69 &amp; ")",IF(SUMPRODUCT(-- ISNUMBER(SEARCH({"Content","Currency","Number","Percent","Text","URL"}, $B69))) &gt; 0,$B69 &amp; "(" &amp; $C69 &amp; ")",$B69)))), "  ", TRIM(IF($S69 = "YES", "(External ID)", "") &amp; " " &amp; IF(SUMPRODUCT(-- ISNUMBER(SEARCH({"Unique","Unique Case Insensitive"}, $R69))) &gt; 0, "(" &amp; $R69 &amp; ")", ""))))</f>
        <v>na</v>
      </c>
      <c r="E69" s="7" t="s">
        <v>195</v>
      </c>
      <c r="F69" s="7" t="s">
        <v>195</v>
      </c>
      <c r="G69" s="7" t="s">
        <v>195</v>
      </c>
      <c r="H69" s="7" t="s">
        <v>195</v>
      </c>
      <c r="I69" s="7" t="s">
        <v>195</v>
      </c>
      <c r="J69" s="7" t="s">
        <v>195</v>
      </c>
      <c r="K69" s="7" t="s">
        <v>195</v>
      </c>
      <c r="L69" s="7" t="s">
        <v>195</v>
      </c>
      <c r="M69" s="7" t="s">
        <v>29</v>
      </c>
      <c r="N69" s="7" t="s">
        <v>29</v>
      </c>
      <c r="O69" s="7" t="s">
        <v>29</v>
      </c>
      <c r="P69" s="7" t="s">
        <v>29</v>
      </c>
      <c r="Q69" s="7" t="s">
        <v>29</v>
      </c>
      <c r="R69" s="7" t="s">
        <v>29</v>
      </c>
      <c r="S69" s="7" t="s">
        <v>29</v>
      </c>
    </row>
    <row r="70" spans="1:19">
      <c r="B70" s="7" t="s">
        <v>195</v>
      </c>
      <c r="C70" s="8" t="s">
        <v>195</v>
      </c>
      <c r="D70" s="6" t="str">
        <f>LRTRIM(CONCATENATE(IF(SUMPRODUCT(-- ISNUMBER(SEARCH({"Auto Number"}, $B70))) &gt; 0, $B70, IF(SUMPRODUCT(-- ISNUMBER(SEARCH({"Lookup","Master-Detail"}, $B70))) &gt; 0,$B70 &amp; "(" &amp; $E70 &amp; ")",IF(SUMPRODUCT(-- ISNUMBER(SEARCH({"Formula","Roll-Up Summary"}, $B70))) &gt; 0,$B70 &amp; " (" &amp; $E70 &amp; ")",IF(SUMPRODUCT(-- ISNUMBER(SEARCH({"Content","Currency","Number","Percent","Text","URL"}, $B70))) &gt; 0,$B70 &amp; "(" &amp; $C70 &amp; ")",$B70)))), "  ", TRIM(IF($S70 = "YES", "(External ID)", "") &amp; " " &amp; IF(SUMPRODUCT(-- ISNUMBER(SEARCH({"Unique","Unique Case Insensitive"}, $R70))) &gt; 0, "(" &amp; $R70 &amp; ")", ""))))</f>
        <v>na</v>
      </c>
      <c r="E70" s="7" t="s">
        <v>195</v>
      </c>
      <c r="F70" s="7" t="s">
        <v>195</v>
      </c>
      <c r="G70" s="7" t="s">
        <v>195</v>
      </c>
      <c r="H70" s="7" t="s">
        <v>195</v>
      </c>
      <c r="I70" s="7" t="s">
        <v>195</v>
      </c>
      <c r="J70" s="7" t="s">
        <v>195</v>
      </c>
      <c r="K70" s="7" t="s">
        <v>195</v>
      </c>
      <c r="L70" s="7" t="s">
        <v>195</v>
      </c>
      <c r="M70" s="7" t="s">
        <v>29</v>
      </c>
      <c r="N70" s="7" t="s">
        <v>29</v>
      </c>
      <c r="O70" s="7" t="s">
        <v>29</v>
      </c>
      <c r="P70" s="7" t="s">
        <v>29</v>
      </c>
      <c r="Q70" s="7" t="s">
        <v>29</v>
      </c>
      <c r="R70" s="7" t="s">
        <v>29</v>
      </c>
      <c r="S70" s="7" t="s">
        <v>29</v>
      </c>
    </row>
    <row r="71" spans="1:19">
      <c r="B71" s="7" t="s">
        <v>195</v>
      </c>
      <c r="C71" s="8" t="s">
        <v>195</v>
      </c>
      <c r="D71" s="6" t="str">
        <f>LRTRIM(CONCATENATE(IF(SUMPRODUCT(-- ISNUMBER(SEARCH({"Auto Number"}, $B71))) &gt; 0, $B71, IF(SUMPRODUCT(-- ISNUMBER(SEARCH({"Lookup","Master-Detail"}, $B71))) &gt; 0,$B71 &amp; "(" &amp; $E71 &amp; ")",IF(SUMPRODUCT(-- ISNUMBER(SEARCH({"Formula","Roll-Up Summary"}, $B71))) &gt; 0,$B71 &amp; " (" &amp; $E71 &amp; ")",IF(SUMPRODUCT(-- ISNUMBER(SEARCH({"Content","Currency","Number","Percent","Text","URL"}, $B71))) &gt; 0,$B71 &amp; "(" &amp; $C71 &amp; ")",$B71)))), "  ", TRIM(IF($S71 = "YES", "(External ID)", "") &amp; " " &amp; IF(SUMPRODUCT(-- ISNUMBER(SEARCH({"Unique","Unique Case Insensitive"}, $R71))) &gt; 0, "(" &amp; $R71 &amp; ")", ""))))</f>
        <v>na</v>
      </c>
      <c r="E71" s="7" t="s">
        <v>195</v>
      </c>
      <c r="F71" s="7" t="s">
        <v>195</v>
      </c>
      <c r="G71" s="7" t="s">
        <v>195</v>
      </c>
      <c r="H71" s="7" t="s">
        <v>195</v>
      </c>
      <c r="I71" s="7" t="s">
        <v>195</v>
      </c>
      <c r="J71" s="7" t="s">
        <v>195</v>
      </c>
      <c r="K71" s="7" t="s">
        <v>195</v>
      </c>
      <c r="L71" s="7" t="s">
        <v>195</v>
      </c>
      <c r="M71" s="7" t="s">
        <v>29</v>
      </c>
      <c r="N71" s="7" t="s">
        <v>29</v>
      </c>
      <c r="O71" s="7" t="s">
        <v>29</v>
      </c>
      <c r="P71" s="7" t="s">
        <v>29</v>
      </c>
      <c r="Q71" s="7" t="s">
        <v>29</v>
      </c>
      <c r="R71" s="7" t="s">
        <v>29</v>
      </c>
      <c r="S71" s="7" t="s">
        <v>29</v>
      </c>
    </row>
    <row r="72" spans="1:19">
      <c r="B72" s="7" t="s">
        <v>195</v>
      </c>
      <c r="C72" s="8" t="s">
        <v>195</v>
      </c>
      <c r="D72" s="6" t="str">
        <f>LRTRIM(CONCATENATE(IF(SUMPRODUCT(-- ISNUMBER(SEARCH({"Auto Number"}, $B72))) &gt; 0, $B72, IF(SUMPRODUCT(-- ISNUMBER(SEARCH({"Lookup","Master-Detail"}, $B72))) &gt; 0,$B72 &amp; "(" &amp; $E72 &amp; ")",IF(SUMPRODUCT(-- ISNUMBER(SEARCH({"Formula","Roll-Up Summary"}, $B72))) &gt; 0,$B72 &amp; " (" &amp; $E72 &amp; ")",IF(SUMPRODUCT(-- ISNUMBER(SEARCH({"Content","Currency","Number","Percent","Text","URL"}, $B72))) &gt; 0,$B72 &amp; "(" &amp; $C72 &amp; ")",$B72)))), "  ", TRIM(IF($S72 = "YES", "(External ID)", "") &amp; " " &amp; IF(SUMPRODUCT(-- ISNUMBER(SEARCH({"Unique","Unique Case Insensitive"}, $R72))) &gt; 0, "(" &amp; $R72 &amp; ")", ""))))</f>
        <v>na</v>
      </c>
      <c r="E72" s="7" t="s">
        <v>195</v>
      </c>
      <c r="F72" s="7" t="s">
        <v>195</v>
      </c>
      <c r="G72" s="7" t="s">
        <v>195</v>
      </c>
      <c r="H72" s="7" t="s">
        <v>195</v>
      </c>
      <c r="I72" s="7" t="s">
        <v>195</v>
      </c>
      <c r="J72" s="7" t="s">
        <v>195</v>
      </c>
      <c r="K72" s="7" t="s">
        <v>195</v>
      </c>
      <c r="L72" s="7" t="s">
        <v>195</v>
      </c>
      <c r="M72" s="7" t="s">
        <v>29</v>
      </c>
      <c r="N72" s="7" t="s">
        <v>29</v>
      </c>
      <c r="O72" s="7" t="s">
        <v>29</v>
      </c>
      <c r="P72" s="7" t="s">
        <v>29</v>
      </c>
      <c r="Q72" s="7" t="s">
        <v>29</v>
      </c>
      <c r="R72" s="7" t="s">
        <v>29</v>
      </c>
      <c r="S72" s="7" t="s">
        <v>29</v>
      </c>
    </row>
    <row r="73" spans="1:19">
      <c r="B73" s="7" t="s">
        <v>195</v>
      </c>
      <c r="C73" s="8" t="s">
        <v>195</v>
      </c>
      <c r="D73" s="6" t="str">
        <f>LRTRIM(CONCATENATE(IF(SUMPRODUCT(-- ISNUMBER(SEARCH({"Auto Number"}, $B73))) &gt; 0, $B73, IF(SUMPRODUCT(-- ISNUMBER(SEARCH({"Lookup","Master-Detail"}, $B73))) &gt; 0,$B73 &amp; "(" &amp; $E73 &amp; ")",IF(SUMPRODUCT(-- ISNUMBER(SEARCH({"Formula","Roll-Up Summary"}, $B73))) &gt; 0,$B73 &amp; " (" &amp; $E73 &amp; ")",IF(SUMPRODUCT(-- ISNUMBER(SEARCH({"Content","Currency","Number","Percent","Text","URL"}, $B73))) &gt; 0,$B73 &amp; "(" &amp; $C73 &amp; ")",$B73)))), "  ", TRIM(IF($S73 = "YES", "(External ID)", "") &amp; " " &amp; IF(SUMPRODUCT(-- ISNUMBER(SEARCH({"Unique","Unique Case Insensitive"}, $R73))) &gt; 0, "(" &amp; $R73 &amp; ")", ""))))</f>
        <v>na</v>
      </c>
      <c r="E73" s="7" t="s">
        <v>195</v>
      </c>
      <c r="F73" s="7" t="s">
        <v>195</v>
      </c>
      <c r="G73" s="7" t="s">
        <v>195</v>
      </c>
      <c r="H73" s="7" t="s">
        <v>195</v>
      </c>
      <c r="I73" s="7" t="s">
        <v>195</v>
      </c>
      <c r="J73" s="7" t="s">
        <v>195</v>
      </c>
      <c r="K73" s="7" t="s">
        <v>195</v>
      </c>
      <c r="L73" s="7" t="s">
        <v>195</v>
      </c>
      <c r="M73" s="7" t="s">
        <v>29</v>
      </c>
      <c r="N73" s="7" t="s">
        <v>29</v>
      </c>
      <c r="O73" s="7" t="s">
        <v>29</v>
      </c>
      <c r="P73" s="7" t="s">
        <v>29</v>
      </c>
      <c r="Q73" s="7" t="s">
        <v>29</v>
      </c>
      <c r="R73" s="7" t="s">
        <v>29</v>
      </c>
      <c r="S73" s="7" t="s">
        <v>29</v>
      </c>
    </row>
    <row r="74" spans="1:19">
      <c r="B74" s="7" t="s">
        <v>195</v>
      </c>
      <c r="C74" s="8" t="s">
        <v>195</v>
      </c>
      <c r="D74" s="6" t="str">
        <f>LRTRIM(CONCATENATE(IF(SUMPRODUCT(-- ISNUMBER(SEARCH({"Auto Number"}, $B74))) &gt; 0, $B74, IF(SUMPRODUCT(-- ISNUMBER(SEARCH({"Lookup","Master-Detail"}, $B74))) &gt; 0,$B74 &amp; "(" &amp; $E74 &amp; ")",IF(SUMPRODUCT(-- ISNUMBER(SEARCH({"Formula","Roll-Up Summary"}, $B74))) &gt; 0,$B74 &amp; " (" &amp; $E74 &amp; ")",IF(SUMPRODUCT(-- ISNUMBER(SEARCH({"Content","Currency","Number","Percent","Text","URL"}, $B74))) &gt; 0,$B74 &amp; "(" &amp; $C74 &amp; ")",$B74)))), "  ", TRIM(IF($S74 = "YES", "(External ID)", "") &amp; " " &amp; IF(SUMPRODUCT(-- ISNUMBER(SEARCH({"Unique","Unique Case Insensitive"}, $R74))) &gt; 0, "(" &amp; $R74 &amp; ")", ""))))</f>
        <v>na</v>
      </c>
      <c r="E74" s="7" t="s">
        <v>195</v>
      </c>
      <c r="F74" s="7" t="s">
        <v>195</v>
      </c>
      <c r="G74" s="7" t="s">
        <v>195</v>
      </c>
      <c r="H74" s="7" t="s">
        <v>195</v>
      </c>
      <c r="I74" s="7" t="s">
        <v>195</v>
      </c>
      <c r="J74" s="7" t="s">
        <v>195</v>
      </c>
      <c r="K74" s="7" t="s">
        <v>195</v>
      </c>
      <c r="L74" s="7" t="s">
        <v>195</v>
      </c>
      <c r="M74" s="7" t="s">
        <v>29</v>
      </c>
      <c r="N74" s="7" t="s">
        <v>29</v>
      </c>
      <c r="O74" s="7" t="s">
        <v>29</v>
      </c>
      <c r="P74" s="7" t="s">
        <v>29</v>
      </c>
      <c r="Q74" s="7" t="s">
        <v>29</v>
      </c>
      <c r="R74" s="7" t="s">
        <v>29</v>
      </c>
      <c r="S74" s="7" t="s">
        <v>29</v>
      </c>
    </row>
    <row r="75" spans="1:19">
      <c r="B75" s="7" t="s">
        <v>195</v>
      </c>
      <c r="C75" s="8" t="s">
        <v>195</v>
      </c>
      <c r="D75" s="6" t="str">
        <f>LRTRIM(CONCATENATE(IF(SUMPRODUCT(-- ISNUMBER(SEARCH({"Auto Number"}, $B75))) &gt; 0, $B75, IF(SUMPRODUCT(-- ISNUMBER(SEARCH({"Lookup","Master-Detail"}, $B75))) &gt; 0,$B75 &amp; "(" &amp; $E75 &amp; ")",IF(SUMPRODUCT(-- ISNUMBER(SEARCH({"Formula","Roll-Up Summary"}, $B75))) &gt; 0,$B75 &amp; " (" &amp; $E75 &amp; ")",IF(SUMPRODUCT(-- ISNUMBER(SEARCH({"Content","Currency","Number","Percent","Text","URL"}, $B75))) &gt; 0,$B75 &amp; "(" &amp; $C75 &amp; ")",$B75)))), "  ", TRIM(IF($S75 = "YES", "(External ID)", "") &amp; " " &amp; IF(SUMPRODUCT(-- ISNUMBER(SEARCH({"Unique","Unique Case Insensitive"}, $R75))) &gt; 0, "(" &amp; $R75 &amp; ")", ""))))</f>
        <v>na</v>
      </c>
      <c r="E75" s="7" t="s">
        <v>195</v>
      </c>
      <c r="F75" s="7" t="s">
        <v>195</v>
      </c>
      <c r="G75" s="7" t="s">
        <v>195</v>
      </c>
      <c r="H75" s="7" t="s">
        <v>195</v>
      </c>
      <c r="I75" s="7" t="s">
        <v>195</v>
      </c>
      <c r="J75" s="7" t="s">
        <v>195</v>
      </c>
      <c r="K75" s="7" t="s">
        <v>195</v>
      </c>
      <c r="L75" s="7" t="s">
        <v>195</v>
      </c>
      <c r="M75" s="7" t="s">
        <v>29</v>
      </c>
      <c r="N75" s="7" t="s">
        <v>29</v>
      </c>
      <c r="O75" s="7" t="s">
        <v>29</v>
      </c>
      <c r="P75" s="7" t="s">
        <v>29</v>
      </c>
      <c r="Q75" s="7" t="s">
        <v>29</v>
      </c>
      <c r="R75" s="7" t="s">
        <v>29</v>
      </c>
      <c r="S75" s="7" t="s">
        <v>29</v>
      </c>
    </row>
    <row r="76" spans="1:19">
      <c r="B76" s="7" t="s">
        <v>195</v>
      </c>
      <c r="C76" s="8" t="s">
        <v>195</v>
      </c>
      <c r="D76" s="6" t="str">
        <f>LRTRIM(CONCATENATE(IF(SUMPRODUCT(-- ISNUMBER(SEARCH({"Auto Number"}, $B76))) &gt; 0, $B76, IF(SUMPRODUCT(-- ISNUMBER(SEARCH({"Lookup","Master-Detail"}, $B76))) &gt; 0,$B76 &amp; "(" &amp; $E76 &amp; ")",IF(SUMPRODUCT(-- ISNUMBER(SEARCH({"Formula","Roll-Up Summary"}, $B76))) &gt; 0,$B76 &amp; " (" &amp; $E76 &amp; ")",IF(SUMPRODUCT(-- ISNUMBER(SEARCH({"Content","Currency","Number","Percent","Text","URL"}, $B76))) &gt; 0,$B76 &amp; "(" &amp; $C76 &amp; ")",$B76)))), "  ", TRIM(IF($S76 = "YES", "(External ID)", "") &amp; " " &amp; IF(SUMPRODUCT(-- ISNUMBER(SEARCH({"Unique","Unique Case Insensitive"}, $R76))) &gt; 0, "(" &amp; $R76 &amp; ")", ""))))</f>
        <v>na</v>
      </c>
      <c r="E76" s="7" t="s">
        <v>195</v>
      </c>
      <c r="F76" s="7" t="s">
        <v>195</v>
      </c>
      <c r="G76" s="7" t="s">
        <v>195</v>
      </c>
      <c r="H76" s="7" t="s">
        <v>195</v>
      </c>
      <c r="I76" s="7" t="s">
        <v>195</v>
      </c>
      <c r="J76" s="7" t="s">
        <v>195</v>
      </c>
      <c r="K76" s="7" t="s">
        <v>195</v>
      </c>
      <c r="L76" s="7" t="s">
        <v>195</v>
      </c>
      <c r="M76" s="7" t="s">
        <v>29</v>
      </c>
      <c r="N76" s="7" t="s">
        <v>29</v>
      </c>
      <c r="O76" s="7" t="s">
        <v>29</v>
      </c>
      <c r="P76" s="7" t="s">
        <v>29</v>
      </c>
      <c r="Q76" s="7" t="s">
        <v>29</v>
      </c>
      <c r="R76" s="7" t="s">
        <v>29</v>
      </c>
      <c r="S76" s="7" t="s">
        <v>29</v>
      </c>
    </row>
    <row r="77" spans="1:19">
      <c r="B77" s="7" t="s">
        <v>195</v>
      </c>
      <c r="C77" s="8" t="s">
        <v>195</v>
      </c>
      <c r="D77" s="6" t="str">
        <f>LRTRIM(CONCATENATE(IF(SUMPRODUCT(-- ISNUMBER(SEARCH({"Auto Number"}, $B77))) &gt; 0, $B77, IF(SUMPRODUCT(-- ISNUMBER(SEARCH({"Lookup","Master-Detail"}, $B77))) &gt; 0,$B77 &amp; "(" &amp; $E77 &amp; ")",IF(SUMPRODUCT(-- ISNUMBER(SEARCH({"Formula","Roll-Up Summary"}, $B77))) &gt; 0,$B77 &amp; " (" &amp; $E77 &amp; ")",IF(SUMPRODUCT(-- ISNUMBER(SEARCH({"Content","Currency","Number","Percent","Text","URL"}, $B77))) &gt; 0,$B77 &amp; "(" &amp; $C77 &amp; ")",$B77)))), "  ", TRIM(IF($S77 = "YES", "(External ID)", "") &amp; " " &amp; IF(SUMPRODUCT(-- ISNUMBER(SEARCH({"Unique","Unique Case Insensitive"}, $R77))) &gt; 0, "(" &amp; $R77 &amp; ")", ""))))</f>
        <v>na</v>
      </c>
      <c r="E77" s="7" t="s">
        <v>195</v>
      </c>
      <c r="F77" s="7" t="s">
        <v>195</v>
      </c>
      <c r="G77" s="7" t="s">
        <v>195</v>
      </c>
      <c r="H77" s="7" t="s">
        <v>195</v>
      </c>
      <c r="I77" s="7" t="s">
        <v>195</v>
      </c>
      <c r="J77" s="7" t="s">
        <v>195</v>
      </c>
      <c r="K77" s="7" t="s">
        <v>195</v>
      </c>
      <c r="L77" s="7" t="s">
        <v>195</v>
      </c>
      <c r="M77" s="7" t="s">
        <v>29</v>
      </c>
      <c r="N77" s="7" t="s">
        <v>29</v>
      </c>
      <c r="O77" s="7" t="s">
        <v>29</v>
      </c>
      <c r="P77" s="7" t="s">
        <v>29</v>
      </c>
      <c r="Q77" s="7" t="s">
        <v>29</v>
      </c>
      <c r="R77" s="7" t="s">
        <v>29</v>
      </c>
      <c r="S77" s="7" t="s">
        <v>29</v>
      </c>
    </row>
    <row r="78" spans="1:19">
      <c r="B78" s="7" t="s">
        <v>195</v>
      </c>
      <c r="C78" s="8" t="s">
        <v>195</v>
      </c>
      <c r="D78" s="6" t="str">
        <f>LRTRIM(CONCATENATE(IF(SUMPRODUCT(-- ISNUMBER(SEARCH({"Auto Number"}, $B78))) &gt; 0, $B78, IF(SUMPRODUCT(-- ISNUMBER(SEARCH({"Lookup","Master-Detail"}, $B78))) &gt; 0,$B78 &amp; "(" &amp; $E78 &amp; ")",IF(SUMPRODUCT(-- ISNUMBER(SEARCH({"Formula","Roll-Up Summary"}, $B78))) &gt; 0,$B78 &amp; " (" &amp; $E78 &amp; ")",IF(SUMPRODUCT(-- ISNUMBER(SEARCH({"Content","Currency","Number","Percent","Text","URL"}, $B78))) &gt; 0,$B78 &amp; "(" &amp; $C78 &amp; ")",$B78)))), "  ", TRIM(IF($S78 = "YES", "(External ID)", "") &amp; " " &amp; IF(SUMPRODUCT(-- ISNUMBER(SEARCH({"Unique","Unique Case Insensitive"}, $R78))) &gt; 0, "(" &amp; $R78 &amp; ")", ""))))</f>
        <v>na</v>
      </c>
      <c r="E78" s="7" t="s">
        <v>195</v>
      </c>
      <c r="F78" s="7" t="s">
        <v>195</v>
      </c>
      <c r="G78" s="7" t="s">
        <v>195</v>
      </c>
      <c r="H78" s="7" t="s">
        <v>195</v>
      </c>
      <c r="I78" s="7" t="s">
        <v>195</v>
      </c>
      <c r="J78" s="7" t="s">
        <v>195</v>
      </c>
      <c r="K78" s="7" t="s">
        <v>195</v>
      </c>
      <c r="L78" s="7" t="s">
        <v>195</v>
      </c>
      <c r="M78" s="7" t="s">
        <v>29</v>
      </c>
      <c r="N78" s="7" t="s">
        <v>29</v>
      </c>
      <c r="O78" s="7" t="s">
        <v>29</v>
      </c>
      <c r="P78" s="7" t="s">
        <v>29</v>
      </c>
      <c r="Q78" s="7" t="s">
        <v>29</v>
      </c>
      <c r="R78" s="7" t="s">
        <v>29</v>
      </c>
      <c r="S78" s="7" t="s">
        <v>29</v>
      </c>
    </row>
    <row r="79" spans="1:19">
      <c r="B79" s="7" t="s">
        <v>195</v>
      </c>
      <c r="C79" s="8" t="s">
        <v>195</v>
      </c>
      <c r="D79" s="6" t="str">
        <f>LRTRIM(CONCATENATE(IF(SUMPRODUCT(-- ISNUMBER(SEARCH({"Auto Number"}, $B79))) &gt; 0, $B79, IF(SUMPRODUCT(-- ISNUMBER(SEARCH({"Lookup","Master-Detail"}, $B79))) &gt; 0,$B79 &amp; "(" &amp; $E79 &amp; ")",IF(SUMPRODUCT(-- ISNUMBER(SEARCH({"Formula","Roll-Up Summary"}, $B79))) &gt; 0,$B79 &amp; " (" &amp; $E79 &amp; ")",IF(SUMPRODUCT(-- ISNUMBER(SEARCH({"Content","Currency","Number","Percent","Text","URL"}, $B79))) &gt; 0,$B79 &amp; "(" &amp; $C79 &amp; ")",$B79)))), "  ", TRIM(IF($S79 = "YES", "(External ID)", "") &amp; " " &amp; IF(SUMPRODUCT(-- ISNUMBER(SEARCH({"Unique","Unique Case Insensitive"}, $R79))) &gt; 0, "(" &amp; $R79 &amp; ")", ""))))</f>
        <v>na</v>
      </c>
      <c r="E79" s="7" t="s">
        <v>195</v>
      </c>
      <c r="F79" s="7" t="s">
        <v>195</v>
      </c>
      <c r="G79" s="7" t="s">
        <v>195</v>
      </c>
      <c r="H79" s="7" t="s">
        <v>195</v>
      </c>
      <c r="I79" s="7" t="s">
        <v>195</v>
      </c>
      <c r="J79" s="7" t="s">
        <v>195</v>
      </c>
      <c r="K79" s="7" t="s">
        <v>195</v>
      </c>
      <c r="L79" s="7" t="s">
        <v>195</v>
      </c>
      <c r="M79" s="7" t="s">
        <v>29</v>
      </c>
      <c r="N79" s="7" t="s">
        <v>29</v>
      </c>
      <c r="O79" s="7" t="s">
        <v>29</v>
      </c>
      <c r="P79" s="7" t="s">
        <v>29</v>
      </c>
      <c r="Q79" s="7" t="s">
        <v>29</v>
      </c>
      <c r="R79" s="7" t="s">
        <v>29</v>
      </c>
      <c r="S79" s="7" t="s">
        <v>29</v>
      </c>
    </row>
    <row r="80" spans="1:19">
      <c r="B80" s="7" t="s">
        <v>195</v>
      </c>
      <c r="C80" s="8" t="s">
        <v>195</v>
      </c>
      <c r="D80" s="6" t="str">
        <f>LRTRIM(CONCATENATE(IF(SUMPRODUCT(-- ISNUMBER(SEARCH({"Auto Number"}, $B80))) &gt; 0, $B80, IF(SUMPRODUCT(-- ISNUMBER(SEARCH({"Lookup","Master-Detail"}, $B80))) &gt; 0,$B80 &amp; "(" &amp; $E80 &amp; ")",IF(SUMPRODUCT(-- ISNUMBER(SEARCH({"Formula","Roll-Up Summary"}, $B80))) &gt; 0,$B80 &amp; " (" &amp; $E80 &amp; ")",IF(SUMPRODUCT(-- ISNUMBER(SEARCH({"Content","Currency","Number","Percent","Text","URL"}, $B80))) &gt; 0,$B80 &amp; "(" &amp; $C80 &amp; ")",$B80)))), "  ", TRIM(IF($S80 = "YES", "(External ID)", "") &amp; " " &amp; IF(SUMPRODUCT(-- ISNUMBER(SEARCH({"Unique","Unique Case Insensitive"}, $R80))) &gt; 0, "(" &amp; $R80 &amp; ")", ""))))</f>
        <v>na</v>
      </c>
      <c r="E80" s="7" t="s">
        <v>195</v>
      </c>
      <c r="F80" s="7" t="s">
        <v>195</v>
      </c>
      <c r="G80" s="7" t="s">
        <v>195</v>
      </c>
      <c r="H80" s="7" t="s">
        <v>195</v>
      </c>
      <c r="I80" s="7" t="s">
        <v>195</v>
      </c>
      <c r="J80" s="7" t="s">
        <v>195</v>
      </c>
      <c r="K80" s="7" t="s">
        <v>195</v>
      </c>
      <c r="L80" s="7" t="s">
        <v>195</v>
      </c>
      <c r="M80" s="7" t="s">
        <v>29</v>
      </c>
      <c r="N80" s="7" t="s">
        <v>29</v>
      </c>
      <c r="O80" s="7" t="s">
        <v>29</v>
      </c>
      <c r="P80" s="7" t="s">
        <v>29</v>
      </c>
      <c r="Q80" s="7" t="s">
        <v>29</v>
      </c>
      <c r="R80" s="7" t="s">
        <v>29</v>
      </c>
      <c r="S80" s="7" t="s">
        <v>29</v>
      </c>
    </row>
    <row r="81" spans="2:19">
      <c r="B81" s="7" t="s">
        <v>195</v>
      </c>
      <c r="C81" s="8" t="s">
        <v>195</v>
      </c>
      <c r="D81" s="6" t="str">
        <f>LRTRIM(CONCATENATE(IF(SUMPRODUCT(-- ISNUMBER(SEARCH({"Auto Number"}, $B81))) &gt; 0, $B81, IF(SUMPRODUCT(-- ISNUMBER(SEARCH({"Lookup","Master-Detail"}, $B81))) &gt; 0,$B81 &amp; "(" &amp; $E81 &amp; ")",IF(SUMPRODUCT(-- ISNUMBER(SEARCH({"Formula","Roll-Up Summary"}, $B81))) &gt; 0,$B81 &amp; " (" &amp; $E81 &amp; ")",IF(SUMPRODUCT(-- ISNUMBER(SEARCH({"Content","Currency","Number","Percent","Text","URL"}, $B81))) &gt; 0,$B81 &amp; "(" &amp; $C81 &amp; ")",$B81)))), "  ", TRIM(IF($S81 = "YES", "(External ID)", "") &amp; " " &amp; IF(SUMPRODUCT(-- ISNUMBER(SEARCH({"Unique","Unique Case Insensitive"}, $R81))) &gt; 0, "(" &amp; $R81 &amp; ")", ""))))</f>
        <v>na</v>
      </c>
      <c r="E81" s="7" t="s">
        <v>195</v>
      </c>
      <c r="F81" s="7" t="s">
        <v>195</v>
      </c>
      <c r="G81" s="7" t="s">
        <v>195</v>
      </c>
      <c r="H81" s="7" t="s">
        <v>195</v>
      </c>
      <c r="I81" s="7" t="s">
        <v>195</v>
      </c>
      <c r="J81" s="7" t="s">
        <v>195</v>
      </c>
      <c r="K81" s="7" t="s">
        <v>195</v>
      </c>
      <c r="L81" s="7" t="s">
        <v>195</v>
      </c>
      <c r="M81" s="7" t="s">
        <v>29</v>
      </c>
      <c r="N81" s="7" t="s">
        <v>29</v>
      </c>
      <c r="O81" s="7" t="s">
        <v>29</v>
      </c>
      <c r="P81" s="7" t="s">
        <v>29</v>
      </c>
      <c r="Q81" s="7" t="s">
        <v>29</v>
      </c>
      <c r="R81" s="7" t="s">
        <v>29</v>
      </c>
      <c r="S81" s="7" t="s">
        <v>29</v>
      </c>
    </row>
    <row r="82" spans="2:19">
      <c r="B82" s="7" t="s">
        <v>195</v>
      </c>
      <c r="C82" s="8" t="s">
        <v>195</v>
      </c>
      <c r="D82" s="6" t="str">
        <f>LRTRIM(CONCATENATE(IF(SUMPRODUCT(-- ISNUMBER(SEARCH({"Auto Number"}, $B82))) &gt; 0, $B82, IF(SUMPRODUCT(-- ISNUMBER(SEARCH({"Lookup","Master-Detail"}, $B82))) &gt; 0,$B82 &amp; "(" &amp; $E82 &amp; ")",IF(SUMPRODUCT(-- ISNUMBER(SEARCH({"Formula","Roll-Up Summary"}, $B82))) &gt; 0,$B82 &amp; " (" &amp; $E82 &amp; ")",IF(SUMPRODUCT(-- ISNUMBER(SEARCH({"Content","Currency","Number","Percent","Text","URL"}, $B82))) &gt; 0,$B82 &amp; "(" &amp; $C82 &amp; ")",$B82)))), "  ", TRIM(IF($S82 = "YES", "(External ID)", "") &amp; " " &amp; IF(SUMPRODUCT(-- ISNUMBER(SEARCH({"Unique","Unique Case Insensitive"}, $R82))) &gt; 0, "(" &amp; $R82 &amp; ")", ""))))</f>
        <v>na</v>
      </c>
      <c r="E82" s="7" t="s">
        <v>195</v>
      </c>
      <c r="F82" s="7" t="s">
        <v>195</v>
      </c>
      <c r="G82" s="7" t="s">
        <v>195</v>
      </c>
      <c r="H82" s="7" t="s">
        <v>195</v>
      </c>
      <c r="I82" s="7" t="s">
        <v>195</v>
      </c>
      <c r="J82" s="7" t="s">
        <v>195</v>
      </c>
      <c r="K82" s="7" t="s">
        <v>195</v>
      </c>
      <c r="L82" s="7" t="s">
        <v>195</v>
      </c>
      <c r="M82" s="7" t="s">
        <v>29</v>
      </c>
      <c r="N82" s="7" t="s">
        <v>29</v>
      </c>
      <c r="O82" s="7" t="s">
        <v>29</v>
      </c>
      <c r="P82" s="7" t="s">
        <v>29</v>
      </c>
      <c r="Q82" s="7" t="s">
        <v>29</v>
      </c>
      <c r="R82" s="7" t="s">
        <v>29</v>
      </c>
      <c r="S82" s="7" t="s">
        <v>29</v>
      </c>
    </row>
    <row r="83" spans="2:19">
      <c r="B83" s="7" t="s">
        <v>195</v>
      </c>
      <c r="C83" s="8" t="s">
        <v>195</v>
      </c>
      <c r="D83" s="6" t="str">
        <f>LRTRIM(CONCATENATE(IF(SUMPRODUCT(-- ISNUMBER(SEARCH({"Auto Number"}, $B83))) &gt; 0, $B83, IF(SUMPRODUCT(-- ISNUMBER(SEARCH({"Lookup","Master-Detail"}, $B83))) &gt; 0,$B83 &amp; "(" &amp; $E83 &amp; ")",IF(SUMPRODUCT(-- ISNUMBER(SEARCH({"Formula","Roll-Up Summary"}, $B83))) &gt; 0,$B83 &amp; " (" &amp; $E83 &amp; ")",IF(SUMPRODUCT(-- ISNUMBER(SEARCH({"Content","Currency","Number","Percent","Text","URL"}, $B83))) &gt; 0,$B83 &amp; "(" &amp; $C83 &amp; ")",$B83)))), "  ", TRIM(IF($S83 = "YES", "(External ID)", "") &amp; " " &amp; IF(SUMPRODUCT(-- ISNUMBER(SEARCH({"Unique","Unique Case Insensitive"}, $R83))) &gt; 0, "(" &amp; $R83 &amp; ")", ""))))</f>
        <v>na</v>
      </c>
      <c r="E83" s="7" t="s">
        <v>195</v>
      </c>
      <c r="F83" s="7" t="s">
        <v>195</v>
      </c>
      <c r="G83" s="7" t="s">
        <v>195</v>
      </c>
      <c r="H83" s="7" t="s">
        <v>195</v>
      </c>
      <c r="I83" s="7" t="s">
        <v>195</v>
      </c>
      <c r="J83" s="7" t="s">
        <v>195</v>
      </c>
      <c r="K83" s="7" t="s">
        <v>195</v>
      </c>
      <c r="L83" s="7" t="s">
        <v>195</v>
      </c>
      <c r="M83" s="7" t="s">
        <v>29</v>
      </c>
      <c r="N83" s="7" t="s">
        <v>29</v>
      </c>
      <c r="O83" s="7" t="s">
        <v>29</v>
      </c>
      <c r="P83" s="7" t="s">
        <v>29</v>
      </c>
      <c r="Q83" s="7" t="s">
        <v>29</v>
      </c>
      <c r="R83" s="7" t="s">
        <v>29</v>
      </c>
      <c r="S83" s="7" t="s">
        <v>29</v>
      </c>
    </row>
    <row r="84" spans="2:19">
      <c r="B84" s="7" t="s">
        <v>195</v>
      </c>
      <c r="C84" s="8" t="s">
        <v>195</v>
      </c>
      <c r="D84" s="6" t="str">
        <f>LRTRIM(CONCATENATE(IF(SUMPRODUCT(-- ISNUMBER(SEARCH({"Auto Number"}, $B84))) &gt; 0, $B84, IF(SUMPRODUCT(-- ISNUMBER(SEARCH({"Lookup","Master-Detail"}, $B84))) &gt; 0,$B84 &amp; "(" &amp; $E84 &amp; ")",IF(SUMPRODUCT(-- ISNUMBER(SEARCH({"Formula","Roll-Up Summary"}, $B84))) &gt; 0,$B84 &amp; " (" &amp; $E84 &amp; ")",IF(SUMPRODUCT(-- ISNUMBER(SEARCH({"Content","Currency","Number","Percent","Text","URL"}, $B84))) &gt; 0,$B84 &amp; "(" &amp; $C84 &amp; ")",$B84)))), "  ", TRIM(IF($S84 = "YES", "(External ID)", "") &amp; " " &amp; IF(SUMPRODUCT(-- ISNUMBER(SEARCH({"Unique","Unique Case Insensitive"}, $R84))) &gt; 0, "(" &amp; $R84 &amp; ")", ""))))</f>
        <v>na</v>
      </c>
      <c r="E84" s="7" t="s">
        <v>195</v>
      </c>
      <c r="F84" s="7" t="s">
        <v>195</v>
      </c>
      <c r="G84" s="7" t="s">
        <v>195</v>
      </c>
      <c r="H84" s="7" t="s">
        <v>195</v>
      </c>
      <c r="I84" s="7" t="s">
        <v>195</v>
      </c>
      <c r="J84" s="7" t="s">
        <v>195</v>
      </c>
      <c r="K84" s="7" t="s">
        <v>195</v>
      </c>
      <c r="L84" s="7" t="s">
        <v>195</v>
      </c>
      <c r="M84" s="7" t="s">
        <v>29</v>
      </c>
      <c r="N84" s="7" t="s">
        <v>29</v>
      </c>
      <c r="O84" s="7" t="s">
        <v>29</v>
      </c>
      <c r="P84" s="7" t="s">
        <v>29</v>
      </c>
      <c r="Q84" s="7" t="s">
        <v>29</v>
      </c>
      <c r="R84" s="7" t="s">
        <v>29</v>
      </c>
      <c r="S84" s="7" t="s">
        <v>29</v>
      </c>
    </row>
    <row r="85" spans="2:19">
      <c r="B85" s="7" t="s">
        <v>195</v>
      </c>
      <c r="C85" s="8" t="s">
        <v>195</v>
      </c>
      <c r="D85" s="6" t="str">
        <f>LRTRIM(CONCATENATE(IF(SUMPRODUCT(-- ISNUMBER(SEARCH({"Auto Number"}, $B85))) &gt; 0, $B85, IF(SUMPRODUCT(-- ISNUMBER(SEARCH({"Lookup","Master-Detail"}, $B85))) &gt; 0,$B85 &amp; "(" &amp; $E85 &amp; ")",IF(SUMPRODUCT(-- ISNUMBER(SEARCH({"Formula","Roll-Up Summary"}, $B85))) &gt; 0,$B85 &amp; " (" &amp; $E85 &amp; ")",IF(SUMPRODUCT(-- ISNUMBER(SEARCH({"Content","Currency","Number","Percent","Text","URL"}, $B85))) &gt; 0,$B85 &amp; "(" &amp; $C85 &amp; ")",$B85)))), "  ", TRIM(IF($S85 = "YES", "(External ID)", "") &amp; " " &amp; IF(SUMPRODUCT(-- ISNUMBER(SEARCH({"Unique","Unique Case Insensitive"}, $R85))) &gt; 0, "(" &amp; $R85 &amp; ")", ""))))</f>
        <v>na</v>
      </c>
      <c r="E85" s="7" t="s">
        <v>195</v>
      </c>
      <c r="F85" s="7" t="s">
        <v>195</v>
      </c>
      <c r="G85" s="7" t="s">
        <v>195</v>
      </c>
      <c r="H85" s="7" t="s">
        <v>195</v>
      </c>
      <c r="I85" s="7" t="s">
        <v>195</v>
      </c>
      <c r="J85" s="7" t="s">
        <v>195</v>
      </c>
      <c r="K85" s="7" t="s">
        <v>195</v>
      </c>
      <c r="L85" s="7" t="s">
        <v>195</v>
      </c>
      <c r="M85" s="7" t="s">
        <v>29</v>
      </c>
      <c r="N85" s="7" t="s">
        <v>29</v>
      </c>
      <c r="O85" s="7" t="s">
        <v>29</v>
      </c>
      <c r="P85" s="7" t="s">
        <v>29</v>
      </c>
      <c r="Q85" s="7" t="s">
        <v>29</v>
      </c>
      <c r="R85" s="7" t="s">
        <v>29</v>
      </c>
      <c r="S85" s="7" t="s">
        <v>29</v>
      </c>
    </row>
    <row r="86" spans="2:19">
      <c r="B86" s="7" t="s">
        <v>195</v>
      </c>
      <c r="C86" s="8" t="s">
        <v>195</v>
      </c>
      <c r="D86" s="6" t="str">
        <f>LRTRIM(CONCATENATE(IF(SUMPRODUCT(-- ISNUMBER(SEARCH({"Auto Number"}, $B86))) &gt; 0, $B86, IF(SUMPRODUCT(-- ISNUMBER(SEARCH({"Lookup","Master-Detail"}, $B86))) &gt; 0,$B86 &amp; "(" &amp; $E86 &amp; ")",IF(SUMPRODUCT(-- ISNUMBER(SEARCH({"Formula","Roll-Up Summary"}, $B86))) &gt; 0,$B86 &amp; " (" &amp; $E86 &amp; ")",IF(SUMPRODUCT(-- ISNUMBER(SEARCH({"Content","Currency","Number","Percent","Text","URL"}, $B86))) &gt; 0,$B86 &amp; "(" &amp; $C86 &amp; ")",$B86)))), "  ", TRIM(IF($S86 = "YES", "(External ID)", "") &amp; " " &amp; IF(SUMPRODUCT(-- ISNUMBER(SEARCH({"Unique","Unique Case Insensitive"}, $R86))) &gt; 0, "(" &amp; $R86 &amp; ")", ""))))</f>
        <v>na</v>
      </c>
      <c r="E86" s="7" t="s">
        <v>195</v>
      </c>
      <c r="F86" s="7" t="s">
        <v>195</v>
      </c>
      <c r="G86" s="7" t="s">
        <v>195</v>
      </c>
      <c r="H86" s="7" t="s">
        <v>195</v>
      </c>
      <c r="I86" s="7" t="s">
        <v>195</v>
      </c>
      <c r="J86" s="7" t="s">
        <v>195</v>
      </c>
      <c r="K86" s="7" t="s">
        <v>195</v>
      </c>
      <c r="L86" s="7" t="s">
        <v>195</v>
      </c>
      <c r="M86" s="7" t="s">
        <v>29</v>
      </c>
      <c r="N86" s="7" t="s">
        <v>29</v>
      </c>
      <c r="O86" s="7" t="s">
        <v>29</v>
      </c>
      <c r="P86" s="7" t="s">
        <v>29</v>
      </c>
      <c r="Q86" s="7" t="s">
        <v>29</v>
      </c>
      <c r="R86" s="7" t="s">
        <v>29</v>
      </c>
      <c r="S86" s="7" t="s">
        <v>29</v>
      </c>
    </row>
    <row r="87" spans="2:19">
      <c r="B87" s="7" t="s">
        <v>195</v>
      </c>
      <c r="C87" s="8" t="s">
        <v>195</v>
      </c>
      <c r="D87" s="6" t="str">
        <f>LRTRIM(CONCATENATE(IF(SUMPRODUCT(-- ISNUMBER(SEARCH({"Auto Number"}, $B87))) &gt; 0, $B87, IF(SUMPRODUCT(-- ISNUMBER(SEARCH({"Lookup","Master-Detail"}, $B87))) &gt; 0,$B87 &amp; "(" &amp; $E87 &amp; ")",IF(SUMPRODUCT(-- ISNUMBER(SEARCH({"Formula","Roll-Up Summary"}, $B87))) &gt; 0,$B87 &amp; " (" &amp; $E87 &amp; ")",IF(SUMPRODUCT(-- ISNUMBER(SEARCH({"Content","Currency","Number","Percent","Text","URL"}, $B87))) &gt; 0,$B87 &amp; "(" &amp; $C87 &amp; ")",$B87)))), "  ", TRIM(IF($S87 = "YES", "(External ID)", "") &amp; " " &amp; IF(SUMPRODUCT(-- ISNUMBER(SEARCH({"Unique","Unique Case Insensitive"}, $R87))) &gt; 0, "(" &amp; $R87 &amp; ")", ""))))</f>
        <v>na</v>
      </c>
      <c r="E87" s="7" t="s">
        <v>195</v>
      </c>
      <c r="F87" s="7" t="s">
        <v>195</v>
      </c>
      <c r="G87" s="7" t="s">
        <v>195</v>
      </c>
      <c r="H87" s="7" t="s">
        <v>195</v>
      </c>
      <c r="I87" s="7" t="s">
        <v>195</v>
      </c>
      <c r="J87" s="7" t="s">
        <v>195</v>
      </c>
      <c r="K87" s="7" t="s">
        <v>195</v>
      </c>
      <c r="L87" s="7" t="s">
        <v>195</v>
      </c>
      <c r="M87" s="7" t="s">
        <v>29</v>
      </c>
      <c r="N87" s="7" t="s">
        <v>29</v>
      </c>
      <c r="O87" s="7" t="s">
        <v>29</v>
      </c>
      <c r="P87" s="7" t="s">
        <v>29</v>
      </c>
      <c r="Q87" s="7" t="s">
        <v>29</v>
      </c>
      <c r="R87" s="7" t="s">
        <v>29</v>
      </c>
      <c r="S87" s="7" t="s">
        <v>29</v>
      </c>
    </row>
    <row r="88" spans="2:19">
      <c r="B88" s="7" t="s">
        <v>195</v>
      </c>
      <c r="C88" s="8" t="s">
        <v>195</v>
      </c>
      <c r="D88" s="6" t="str">
        <f>LRTRIM(CONCATENATE(IF(SUMPRODUCT(-- ISNUMBER(SEARCH({"Auto Number"}, $B88))) &gt; 0, $B88, IF(SUMPRODUCT(-- ISNUMBER(SEARCH({"Lookup","Master-Detail"}, $B88))) &gt; 0,$B88 &amp; "(" &amp; $E88 &amp; ")",IF(SUMPRODUCT(-- ISNUMBER(SEARCH({"Formula","Roll-Up Summary"}, $B88))) &gt; 0,$B88 &amp; " (" &amp; $E88 &amp; ")",IF(SUMPRODUCT(-- ISNUMBER(SEARCH({"Content","Currency","Number","Percent","Text","URL"}, $B88))) &gt; 0,$B88 &amp; "(" &amp; $C88 &amp; ")",$B88)))), "  ", TRIM(IF($S88 = "YES", "(External ID)", "") &amp; " " &amp; IF(SUMPRODUCT(-- ISNUMBER(SEARCH({"Unique","Unique Case Insensitive"}, $R88))) &gt; 0, "(" &amp; $R88 &amp; ")", ""))))</f>
        <v>na</v>
      </c>
      <c r="E88" s="7" t="s">
        <v>195</v>
      </c>
      <c r="F88" s="7" t="s">
        <v>195</v>
      </c>
      <c r="G88" s="7" t="s">
        <v>195</v>
      </c>
      <c r="H88" s="7" t="s">
        <v>195</v>
      </c>
      <c r="I88" s="7" t="s">
        <v>195</v>
      </c>
      <c r="J88" s="7" t="s">
        <v>195</v>
      </c>
      <c r="K88" s="7" t="s">
        <v>195</v>
      </c>
      <c r="L88" s="7" t="s">
        <v>195</v>
      </c>
      <c r="M88" s="7" t="s">
        <v>29</v>
      </c>
      <c r="N88" s="7" t="s">
        <v>29</v>
      </c>
      <c r="O88" s="7" t="s">
        <v>29</v>
      </c>
      <c r="P88" s="7" t="s">
        <v>29</v>
      </c>
      <c r="Q88" s="7" t="s">
        <v>29</v>
      </c>
      <c r="R88" s="7" t="s">
        <v>29</v>
      </c>
      <c r="S88" s="7" t="s">
        <v>29</v>
      </c>
    </row>
    <row r="89" spans="2:19">
      <c r="B89" s="7" t="s">
        <v>195</v>
      </c>
      <c r="C89" s="8" t="s">
        <v>195</v>
      </c>
      <c r="D89" s="6" t="str">
        <f>LRTRIM(CONCATENATE(IF(SUMPRODUCT(-- ISNUMBER(SEARCH({"Auto Number"}, $B89))) &gt; 0, $B89, IF(SUMPRODUCT(-- ISNUMBER(SEARCH({"Lookup","Master-Detail"}, $B89))) &gt; 0,$B89 &amp; "(" &amp; $E89 &amp; ")",IF(SUMPRODUCT(-- ISNUMBER(SEARCH({"Formula","Roll-Up Summary"}, $B89))) &gt; 0,$B89 &amp; " (" &amp; $E89 &amp; ")",IF(SUMPRODUCT(-- ISNUMBER(SEARCH({"Content","Currency","Number","Percent","Text","URL"}, $B89))) &gt; 0,$B89 &amp; "(" &amp; $C89 &amp; ")",$B89)))), "  ", TRIM(IF($S89 = "YES", "(External ID)", "") &amp; " " &amp; IF(SUMPRODUCT(-- ISNUMBER(SEARCH({"Unique","Unique Case Insensitive"}, $R89))) &gt; 0, "(" &amp; $R89 &amp; ")", ""))))</f>
        <v>na</v>
      </c>
      <c r="E89" s="7" t="s">
        <v>195</v>
      </c>
      <c r="F89" s="7" t="s">
        <v>195</v>
      </c>
      <c r="G89" s="7" t="s">
        <v>195</v>
      </c>
      <c r="H89" s="7" t="s">
        <v>195</v>
      </c>
      <c r="I89" s="7" t="s">
        <v>195</v>
      </c>
      <c r="J89" s="7" t="s">
        <v>195</v>
      </c>
      <c r="K89" s="7" t="s">
        <v>195</v>
      </c>
      <c r="L89" s="7" t="s">
        <v>195</v>
      </c>
      <c r="M89" s="7" t="s">
        <v>29</v>
      </c>
      <c r="N89" s="7" t="s">
        <v>29</v>
      </c>
      <c r="O89" s="7" t="s">
        <v>29</v>
      </c>
      <c r="P89" s="7" t="s">
        <v>29</v>
      </c>
      <c r="Q89" s="7" t="s">
        <v>29</v>
      </c>
      <c r="R89" s="7" t="s">
        <v>29</v>
      </c>
      <c r="S89" s="7" t="s">
        <v>29</v>
      </c>
    </row>
    <row r="90" spans="2:19">
      <c r="B90" s="7" t="s">
        <v>195</v>
      </c>
      <c r="C90" s="8" t="s">
        <v>195</v>
      </c>
      <c r="D90" s="6" t="str">
        <f>LRTRIM(CONCATENATE(IF(SUMPRODUCT(-- ISNUMBER(SEARCH({"Auto Number"}, $B90))) &gt; 0, $B90, IF(SUMPRODUCT(-- ISNUMBER(SEARCH({"Lookup","Master-Detail"}, $B90))) &gt; 0,$B90 &amp; "(" &amp; $E90 &amp; ")",IF(SUMPRODUCT(-- ISNUMBER(SEARCH({"Formula","Roll-Up Summary"}, $B90))) &gt; 0,$B90 &amp; " (" &amp; $E90 &amp; ")",IF(SUMPRODUCT(-- ISNUMBER(SEARCH({"Content","Currency","Number","Percent","Text","URL"}, $B90))) &gt; 0,$B90 &amp; "(" &amp; $C90 &amp; ")",$B90)))), "  ", TRIM(IF($S90 = "YES", "(External ID)", "") &amp; " " &amp; IF(SUMPRODUCT(-- ISNUMBER(SEARCH({"Unique","Unique Case Insensitive"}, $R90))) &gt; 0, "(" &amp; $R90 &amp; ")", ""))))</f>
        <v>na</v>
      </c>
      <c r="E90" s="7" t="s">
        <v>195</v>
      </c>
      <c r="F90" s="7" t="s">
        <v>195</v>
      </c>
      <c r="G90" s="7" t="s">
        <v>195</v>
      </c>
      <c r="H90" s="7" t="s">
        <v>195</v>
      </c>
      <c r="I90" s="7" t="s">
        <v>195</v>
      </c>
      <c r="J90" s="7" t="s">
        <v>195</v>
      </c>
      <c r="K90" s="7" t="s">
        <v>195</v>
      </c>
      <c r="L90" s="7" t="s">
        <v>195</v>
      </c>
      <c r="M90" s="7" t="s">
        <v>29</v>
      </c>
      <c r="N90" s="7" t="s">
        <v>29</v>
      </c>
      <c r="O90" s="7" t="s">
        <v>29</v>
      </c>
      <c r="P90" s="7" t="s">
        <v>29</v>
      </c>
      <c r="Q90" s="7" t="s">
        <v>29</v>
      </c>
      <c r="R90" s="7" t="s">
        <v>29</v>
      </c>
      <c r="S90" s="7" t="s">
        <v>29</v>
      </c>
    </row>
    <row r="91" spans="2:19">
      <c r="B91" s="7" t="s">
        <v>195</v>
      </c>
      <c r="C91" s="8" t="s">
        <v>195</v>
      </c>
      <c r="D91" s="6" t="str">
        <f>LRTRIM(CONCATENATE(IF(SUMPRODUCT(-- ISNUMBER(SEARCH({"Auto Number"}, $B91))) &gt; 0, $B91, IF(SUMPRODUCT(-- ISNUMBER(SEARCH({"Lookup","Master-Detail"}, $B91))) &gt; 0,$B91 &amp; "(" &amp; $E91 &amp; ")",IF(SUMPRODUCT(-- ISNUMBER(SEARCH({"Formula","Roll-Up Summary"}, $B91))) &gt; 0,$B91 &amp; " (" &amp; $E91 &amp; ")",IF(SUMPRODUCT(-- ISNUMBER(SEARCH({"Content","Currency","Number","Percent","Text","URL"}, $B91))) &gt; 0,$B91 &amp; "(" &amp; $C91 &amp; ")",$B91)))), "  ", TRIM(IF($S91 = "YES", "(External ID)", "") &amp; " " &amp; IF(SUMPRODUCT(-- ISNUMBER(SEARCH({"Unique","Unique Case Insensitive"}, $R91))) &gt; 0, "(" &amp; $R91 &amp; ")", ""))))</f>
        <v>na</v>
      </c>
      <c r="E91" s="7" t="s">
        <v>195</v>
      </c>
      <c r="F91" s="7" t="s">
        <v>195</v>
      </c>
      <c r="G91" s="7" t="s">
        <v>195</v>
      </c>
      <c r="H91" s="7" t="s">
        <v>195</v>
      </c>
      <c r="I91" s="7" t="s">
        <v>195</v>
      </c>
      <c r="J91" s="7" t="s">
        <v>195</v>
      </c>
      <c r="K91" s="7" t="s">
        <v>195</v>
      </c>
      <c r="L91" s="7" t="s">
        <v>195</v>
      </c>
      <c r="M91" s="7" t="s">
        <v>29</v>
      </c>
      <c r="N91" s="7" t="s">
        <v>29</v>
      </c>
      <c r="O91" s="7" t="s">
        <v>29</v>
      </c>
      <c r="P91" s="7" t="s">
        <v>29</v>
      </c>
      <c r="Q91" s="7" t="s">
        <v>29</v>
      </c>
      <c r="R91" s="7" t="s">
        <v>29</v>
      </c>
      <c r="S91" s="7" t="s">
        <v>29</v>
      </c>
    </row>
    <row r="92" spans="2:19">
      <c r="B92" s="7" t="s">
        <v>195</v>
      </c>
      <c r="C92" s="8" t="s">
        <v>195</v>
      </c>
      <c r="D92" s="6" t="str">
        <f>LRTRIM(CONCATENATE(IF(SUMPRODUCT(-- ISNUMBER(SEARCH({"Auto Number"}, $B92))) &gt; 0, $B92, IF(SUMPRODUCT(-- ISNUMBER(SEARCH({"Lookup","Master-Detail"}, $B92))) &gt; 0,$B92 &amp; "(" &amp; $E92 &amp; ")",IF(SUMPRODUCT(-- ISNUMBER(SEARCH({"Formula","Roll-Up Summary"}, $B92))) &gt; 0,$B92 &amp; " (" &amp; $E92 &amp; ")",IF(SUMPRODUCT(-- ISNUMBER(SEARCH({"Content","Currency","Number","Percent","Text","URL"}, $B92))) &gt; 0,$B92 &amp; "(" &amp; $C92 &amp; ")",$B92)))), "  ", TRIM(IF($S92 = "YES", "(External ID)", "") &amp; " " &amp; IF(SUMPRODUCT(-- ISNUMBER(SEARCH({"Unique","Unique Case Insensitive"}, $R92))) &gt; 0, "(" &amp; $R92 &amp; ")", ""))))</f>
        <v>na</v>
      </c>
      <c r="E92" s="7" t="s">
        <v>195</v>
      </c>
      <c r="F92" s="7" t="s">
        <v>195</v>
      </c>
      <c r="G92" s="7" t="s">
        <v>195</v>
      </c>
      <c r="H92" s="7" t="s">
        <v>195</v>
      </c>
      <c r="I92" s="7" t="s">
        <v>195</v>
      </c>
      <c r="J92" s="7" t="s">
        <v>195</v>
      </c>
      <c r="K92" s="7" t="s">
        <v>195</v>
      </c>
      <c r="L92" s="7" t="s">
        <v>195</v>
      </c>
      <c r="M92" s="7" t="s">
        <v>29</v>
      </c>
      <c r="N92" s="7" t="s">
        <v>29</v>
      </c>
      <c r="O92" s="7" t="s">
        <v>29</v>
      </c>
      <c r="P92" s="7" t="s">
        <v>29</v>
      </c>
      <c r="Q92" s="7" t="s">
        <v>29</v>
      </c>
      <c r="R92" s="7" t="s">
        <v>29</v>
      </c>
      <c r="S92" s="7" t="s">
        <v>29</v>
      </c>
    </row>
    <row r="93" spans="2:19">
      <c r="B93" s="7" t="s">
        <v>195</v>
      </c>
      <c r="C93" s="8" t="s">
        <v>195</v>
      </c>
      <c r="D93" s="6" t="str">
        <f>LRTRIM(CONCATENATE(IF(SUMPRODUCT(-- ISNUMBER(SEARCH({"Auto Number"}, $B93))) &gt; 0, $B93, IF(SUMPRODUCT(-- ISNUMBER(SEARCH({"Lookup","Master-Detail"}, $B93))) &gt; 0,$B93 &amp; "(" &amp; $E93 &amp; ")",IF(SUMPRODUCT(-- ISNUMBER(SEARCH({"Formula","Roll-Up Summary"}, $B93))) &gt; 0,$B93 &amp; " (" &amp; $E93 &amp; ")",IF(SUMPRODUCT(-- ISNUMBER(SEARCH({"Content","Currency","Number","Percent","Text","URL"}, $B93))) &gt; 0,$B93 &amp; "(" &amp; $C93 &amp; ")",$B93)))), "  ", TRIM(IF($S93 = "YES", "(External ID)", "") &amp; " " &amp; IF(SUMPRODUCT(-- ISNUMBER(SEARCH({"Unique","Unique Case Insensitive"}, $R93))) &gt; 0, "(" &amp; $R93 &amp; ")", ""))))</f>
        <v>na</v>
      </c>
      <c r="E93" s="7" t="s">
        <v>195</v>
      </c>
      <c r="F93" s="7" t="s">
        <v>195</v>
      </c>
      <c r="G93" s="7" t="s">
        <v>195</v>
      </c>
      <c r="H93" s="7" t="s">
        <v>195</v>
      </c>
      <c r="I93" s="7" t="s">
        <v>195</v>
      </c>
      <c r="J93" s="7" t="s">
        <v>195</v>
      </c>
      <c r="K93" s="7" t="s">
        <v>195</v>
      </c>
      <c r="L93" s="7" t="s">
        <v>195</v>
      </c>
      <c r="M93" s="7" t="s">
        <v>29</v>
      </c>
      <c r="N93" s="7" t="s">
        <v>29</v>
      </c>
      <c r="O93" s="7" t="s">
        <v>29</v>
      </c>
      <c r="P93" s="7" t="s">
        <v>29</v>
      </c>
      <c r="Q93" s="7" t="s">
        <v>29</v>
      </c>
      <c r="R93" s="7" t="s">
        <v>29</v>
      </c>
      <c r="S93" s="7" t="s">
        <v>29</v>
      </c>
    </row>
    <row r="94" spans="2:19">
      <c r="B94" s="7" t="s">
        <v>195</v>
      </c>
      <c r="C94" s="8" t="s">
        <v>195</v>
      </c>
      <c r="D94" s="6" t="str">
        <f>LRTRIM(CONCATENATE(IF(SUMPRODUCT(-- ISNUMBER(SEARCH({"Auto Number"}, $B94))) &gt; 0, $B94, IF(SUMPRODUCT(-- ISNUMBER(SEARCH({"Lookup","Master-Detail"}, $B94))) &gt; 0,$B94 &amp; "(" &amp; $E94 &amp; ")",IF(SUMPRODUCT(-- ISNUMBER(SEARCH({"Formula","Roll-Up Summary"}, $B94))) &gt; 0,$B94 &amp; " (" &amp; $E94 &amp; ")",IF(SUMPRODUCT(-- ISNUMBER(SEARCH({"Content","Currency","Number","Percent","Text","URL"}, $B94))) &gt; 0,$B94 &amp; "(" &amp; $C94 &amp; ")",$B94)))), "  ", TRIM(IF($S94 = "YES", "(External ID)", "") &amp; " " &amp; IF(SUMPRODUCT(-- ISNUMBER(SEARCH({"Unique","Unique Case Insensitive"}, $R94))) &gt; 0, "(" &amp; $R94 &amp; ")", ""))))</f>
        <v>na</v>
      </c>
      <c r="E94" s="7" t="s">
        <v>195</v>
      </c>
      <c r="F94" s="7" t="s">
        <v>195</v>
      </c>
      <c r="G94" s="7" t="s">
        <v>195</v>
      </c>
      <c r="H94" s="7" t="s">
        <v>195</v>
      </c>
      <c r="I94" s="7" t="s">
        <v>195</v>
      </c>
      <c r="J94" s="7" t="s">
        <v>195</v>
      </c>
      <c r="K94" s="7" t="s">
        <v>195</v>
      </c>
      <c r="L94" s="7" t="s">
        <v>195</v>
      </c>
      <c r="M94" s="7" t="s">
        <v>29</v>
      </c>
      <c r="N94" s="7" t="s">
        <v>29</v>
      </c>
      <c r="O94" s="7" t="s">
        <v>29</v>
      </c>
      <c r="P94" s="7" t="s">
        <v>29</v>
      </c>
      <c r="Q94" s="7" t="s">
        <v>29</v>
      </c>
      <c r="R94" s="7" t="s">
        <v>29</v>
      </c>
      <c r="S94" s="7" t="s">
        <v>29</v>
      </c>
    </row>
    <row r="95" spans="2:19">
      <c r="B95" s="7" t="s">
        <v>195</v>
      </c>
      <c r="C95" s="8" t="s">
        <v>195</v>
      </c>
      <c r="D95" s="6" t="str">
        <f>LRTRIM(CONCATENATE(IF(SUMPRODUCT(-- ISNUMBER(SEARCH({"Auto Number"}, $B95))) &gt; 0, $B95, IF(SUMPRODUCT(-- ISNUMBER(SEARCH({"Lookup","Master-Detail"}, $B95))) &gt; 0,$B95 &amp; "(" &amp; $E95 &amp; ")",IF(SUMPRODUCT(-- ISNUMBER(SEARCH({"Formula","Roll-Up Summary"}, $B95))) &gt; 0,$B95 &amp; " (" &amp; $E95 &amp; ")",IF(SUMPRODUCT(-- ISNUMBER(SEARCH({"Content","Currency","Number","Percent","Text","URL"}, $B95))) &gt; 0,$B95 &amp; "(" &amp; $C95 &amp; ")",$B95)))), "  ", TRIM(IF($S95 = "YES", "(External ID)", "") &amp; " " &amp; IF(SUMPRODUCT(-- ISNUMBER(SEARCH({"Unique","Unique Case Insensitive"}, $R95))) &gt; 0, "(" &amp; $R95 &amp; ")", ""))))</f>
        <v>na</v>
      </c>
      <c r="E95" s="7" t="s">
        <v>195</v>
      </c>
      <c r="F95" s="7" t="s">
        <v>195</v>
      </c>
      <c r="G95" s="7" t="s">
        <v>195</v>
      </c>
      <c r="H95" s="7" t="s">
        <v>195</v>
      </c>
      <c r="I95" s="7" t="s">
        <v>195</v>
      </c>
      <c r="J95" s="7" t="s">
        <v>195</v>
      </c>
      <c r="K95" s="7" t="s">
        <v>195</v>
      </c>
      <c r="L95" s="7" t="s">
        <v>195</v>
      </c>
      <c r="M95" s="7" t="s">
        <v>29</v>
      </c>
      <c r="N95" s="7" t="s">
        <v>29</v>
      </c>
      <c r="O95" s="7" t="s">
        <v>29</v>
      </c>
      <c r="P95" s="7" t="s">
        <v>29</v>
      </c>
      <c r="Q95" s="7" t="s">
        <v>29</v>
      </c>
      <c r="R95" s="7" t="s">
        <v>29</v>
      </c>
      <c r="S95" s="7" t="s">
        <v>29</v>
      </c>
    </row>
    <row r="96" spans="2:19">
      <c r="B96" s="7" t="s">
        <v>195</v>
      </c>
      <c r="C96" s="8" t="s">
        <v>195</v>
      </c>
      <c r="D96" s="6" t="str">
        <f>LRTRIM(CONCATENATE(IF(SUMPRODUCT(-- ISNUMBER(SEARCH({"Auto Number"}, $B96))) &gt; 0, $B96, IF(SUMPRODUCT(-- ISNUMBER(SEARCH({"Lookup","Master-Detail"}, $B96))) &gt; 0,$B96 &amp; "(" &amp; $E96 &amp; ")",IF(SUMPRODUCT(-- ISNUMBER(SEARCH({"Formula","Roll-Up Summary"}, $B96))) &gt; 0,$B96 &amp; " (" &amp; $E96 &amp; ")",IF(SUMPRODUCT(-- ISNUMBER(SEARCH({"Content","Currency","Number","Percent","Text","URL"}, $B96))) &gt; 0,$B96 &amp; "(" &amp; $C96 &amp; ")",$B96)))), "  ", TRIM(IF($S96 = "YES", "(External ID)", "") &amp; " " &amp; IF(SUMPRODUCT(-- ISNUMBER(SEARCH({"Unique","Unique Case Insensitive"}, $R96))) &gt; 0, "(" &amp; $R96 &amp; ")", ""))))</f>
        <v>na</v>
      </c>
      <c r="E96" s="7" t="s">
        <v>195</v>
      </c>
      <c r="F96" s="7" t="s">
        <v>195</v>
      </c>
      <c r="G96" s="7" t="s">
        <v>195</v>
      </c>
      <c r="H96" s="7" t="s">
        <v>195</v>
      </c>
      <c r="I96" s="7" t="s">
        <v>195</v>
      </c>
      <c r="J96" s="7" t="s">
        <v>195</v>
      </c>
      <c r="K96" s="7" t="s">
        <v>195</v>
      </c>
      <c r="L96" s="7" t="s">
        <v>195</v>
      </c>
      <c r="M96" s="7" t="s">
        <v>29</v>
      </c>
      <c r="N96" s="7" t="s">
        <v>29</v>
      </c>
      <c r="O96" s="7" t="s">
        <v>29</v>
      </c>
      <c r="P96" s="7" t="s">
        <v>29</v>
      </c>
      <c r="Q96" s="7" t="s">
        <v>29</v>
      </c>
      <c r="R96" s="7" t="s">
        <v>29</v>
      </c>
      <c r="S96" s="7" t="s">
        <v>29</v>
      </c>
    </row>
    <row r="97" spans="2:19">
      <c r="B97" s="7" t="s">
        <v>195</v>
      </c>
      <c r="C97" s="8" t="s">
        <v>195</v>
      </c>
      <c r="D97" s="6" t="str">
        <f>LRTRIM(CONCATENATE(IF(SUMPRODUCT(-- ISNUMBER(SEARCH({"Auto Number"}, $B97))) &gt; 0, $B97, IF(SUMPRODUCT(-- ISNUMBER(SEARCH({"Lookup","Master-Detail"}, $B97))) &gt; 0,$B97 &amp; "(" &amp; $E97 &amp; ")",IF(SUMPRODUCT(-- ISNUMBER(SEARCH({"Formula","Roll-Up Summary"}, $B97))) &gt; 0,$B97 &amp; " (" &amp; $E97 &amp; ")",IF(SUMPRODUCT(-- ISNUMBER(SEARCH({"Content","Currency","Number","Percent","Text","URL"}, $B97))) &gt; 0,$B97 &amp; "(" &amp; $C97 &amp; ")",$B97)))), "  ", TRIM(IF($S97 = "YES", "(External ID)", "") &amp; " " &amp; IF(SUMPRODUCT(-- ISNUMBER(SEARCH({"Unique","Unique Case Insensitive"}, $R97))) &gt; 0, "(" &amp; $R97 &amp; ")", ""))))</f>
        <v>na</v>
      </c>
      <c r="E97" s="7" t="s">
        <v>195</v>
      </c>
      <c r="F97" s="7" t="s">
        <v>195</v>
      </c>
      <c r="G97" s="7" t="s">
        <v>195</v>
      </c>
      <c r="H97" s="7" t="s">
        <v>195</v>
      </c>
      <c r="I97" s="7" t="s">
        <v>195</v>
      </c>
      <c r="J97" s="7" t="s">
        <v>195</v>
      </c>
      <c r="K97" s="7" t="s">
        <v>195</v>
      </c>
      <c r="L97" s="7" t="s">
        <v>195</v>
      </c>
      <c r="M97" s="7" t="s">
        <v>29</v>
      </c>
      <c r="N97" s="7" t="s">
        <v>29</v>
      </c>
      <c r="O97" s="7" t="s">
        <v>29</v>
      </c>
      <c r="P97" s="7" t="s">
        <v>29</v>
      </c>
      <c r="Q97" s="7" t="s">
        <v>29</v>
      </c>
      <c r="R97" s="7" t="s">
        <v>29</v>
      </c>
      <c r="S97" s="7" t="s">
        <v>29</v>
      </c>
    </row>
    <row r="98" spans="2:19">
      <c r="B98" s="7" t="s">
        <v>195</v>
      </c>
      <c r="C98" s="8" t="s">
        <v>195</v>
      </c>
      <c r="D98" s="6" t="str">
        <f>LRTRIM(CONCATENATE(IF(SUMPRODUCT(-- ISNUMBER(SEARCH({"Auto Number"}, $B98))) &gt; 0, $B98, IF(SUMPRODUCT(-- ISNUMBER(SEARCH({"Lookup","Master-Detail"}, $B98))) &gt; 0,$B98 &amp; "(" &amp; $E98 &amp; ")",IF(SUMPRODUCT(-- ISNUMBER(SEARCH({"Formula","Roll-Up Summary"}, $B98))) &gt; 0,$B98 &amp; " (" &amp; $E98 &amp; ")",IF(SUMPRODUCT(-- ISNUMBER(SEARCH({"Content","Currency","Number","Percent","Text","URL"}, $B98))) &gt; 0,$B98 &amp; "(" &amp; $C98 &amp; ")",$B98)))), "  ", TRIM(IF($S98 = "YES", "(External ID)", "") &amp; " " &amp; IF(SUMPRODUCT(-- ISNUMBER(SEARCH({"Unique","Unique Case Insensitive"}, $R98))) &gt; 0, "(" &amp; $R98 &amp; ")", ""))))</f>
        <v>na</v>
      </c>
      <c r="E98" s="7" t="s">
        <v>195</v>
      </c>
      <c r="F98" s="7" t="s">
        <v>195</v>
      </c>
      <c r="G98" s="7" t="s">
        <v>195</v>
      </c>
      <c r="H98" s="7" t="s">
        <v>195</v>
      </c>
      <c r="I98" s="7" t="s">
        <v>195</v>
      </c>
      <c r="J98" s="7" t="s">
        <v>195</v>
      </c>
      <c r="K98" s="7" t="s">
        <v>195</v>
      </c>
      <c r="L98" s="7" t="s">
        <v>195</v>
      </c>
      <c r="M98" s="7" t="s">
        <v>29</v>
      </c>
      <c r="N98" s="7" t="s">
        <v>29</v>
      </c>
      <c r="O98" s="7" t="s">
        <v>29</v>
      </c>
      <c r="P98" s="7" t="s">
        <v>29</v>
      </c>
      <c r="Q98" s="7" t="s">
        <v>29</v>
      </c>
      <c r="R98" s="7" t="s">
        <v>29</v>
      </c>
      <c r="S98" s="7" t="s">
        <v>29</v>
      </c>
    </row>
    <row r="99" spans="2:19">
      <c r="B99" s="7" t="s">
        <v>195</v>
      </c>
      <c r="C99" s="8" t="s">
        <v>195</v>
      </c>
      <c r="D99" s="6" t="str">
        <f>LRTRIM(CONCATENATE(IF(SUMPRODUCT(-- ISNUMBER(SEARCH({"Auto Number"}, $B99))) &gt; 0, $B99, IF(SUMPRODUCT(-- ISNUMBER(SEARCH({"Lookup","Master-Detail"}, $B99))) &gt; 0,$B99 &amp; "(" &amp; $E99 &amp; ")",IF(SUMPRODUCT(-- ISNUMBER(SEARCH({"Formula","Roll-Up Summary"}, $B99))) &gt; 0,$B99 &amp; " (" &amp; $E99 &amp; ")",IF(SUMPRODUCT(-- ISNUMBER(SEARCH({"Content","Currency","Number","Percent","Text","URL"}, $B99))) &gt; 0,$B99 &amp; "(" &amp; $C99 &amp; ")",$B99)))), "  ", TRIM(IF($S99 = "YES", "(External ID)", "") &amp; " " &amp; IF(SUMPRODUCT(-- ISNUMBER(SEARCH({"Unique","Unique Case Insensitive"}, $R99))) &gt; 0, "(" &amp; $R99 &amp; ")", ""))))</f>
        <v>na</v>
      </c>
      <c r="E99" s="7" t="s">
        <v>195</v>
      </c>
      <c r="F99" s="7" t="s">
        <v>195</v>
      </c>
      <c r="G99" s="7" t="s">
        <v>195</v>
      </c>
      <c r="H99" s="7" t="s">
        <v>195</v>
      </c>
      <c r="I99" s="7" t="s">
        <v>195</v>
      </c>
      <c r="J99" s="7" t="s">
        <v>195</v>
      </c>
      <c r="K99" s="7" t="s">
        <v>195</v>
      </c>
      <c r="L99" s="7" t="s">
        <v>195</v>
      </c>
      <c r="M99" s="7" t="s">
        <v>29</v>
      </c>
      <c r="N99" s="7" t="s">
        <v>29</v>
      </c>
      <c r="O99" s="7" t="s">
        <v>29</v>
      </c>
      <c r="P99" s="7" t="s">
        <v>29</v>
      </c>
      <c r="Q99" s="7" t="s">
        <v>29</v>
      </c>
      <c r="R99" s="7" t="s">
        <v>29</v>
      </c>
      <c r="S99" s="7" t="s">
        <v>29</v>
      </c>
    </row>
    <row r="100" spans="2:19">
      <c r="B100" s="7" t="s">
        <v>195</v>
      </c>
      <c r="C100" s="8" t="s">
        <v>195</v>
      </c>
      <c r="D100" s="6" t="str">
        <f>LRTRIM(CONCATENATE(IF(SUMPRODUCT(-- ISNUMBER(SEARCH({"Auto Number"}, $B100))) &gt; 0, $B100, IF(SUMPRODUCT(-- ISNUMBER(SEARCH({"Lookup","Master-Detail"}, $B100))) &gt; 0,$B100 &amp; "(" &amp; $E100 &amp; ")",IF(SUMPRODUCT(-- ISNUMBER(SEARCH({"Formula","Roll-Up Summary"}, $B100))) &gt; 0,$B100 &amp; " (" &amp; $E100 &amp; ")",IF(SUMPRODUCT(-- ISNUMBER(SEARCH({"Content","Currency","Number","Percent","Text","URL"}, $B100))) &gt; 0,$B100 &amp; "(" &amp; $C100 &amp; ")",$B100)))), "  ", TRIM(IF($S100 = "YES", "(External ID)", "") &amp; " " &amp; IF(SUMPRODUCT(-- ISNUMBER(SEARCH({"Unique","Unique Case Insensitive"}, $R100))) &gt; 0, "(" &amp; $R100 &amp; ")", ""))))</f>
        <v>na</v>
      </c>
      <c r="E100" s="7" t="s">
        <v>195</v>
      </c>
      <c r="F100" s="7" t="s">
        <v>195</v>
      </c>
      <c r="G100" s="7" t="s">
        <v>195</v>
      </c>
      <c r="H100" s="7" t="s">
        <v>195</v>
      </c>
      <c r="I100" s="7" t="s">
        <v>195</v>
      </c>
      <c r="J100" s="7" t="s">
        <v>195</v>
      </c>
      <c r="K100" s="7" t="s">
        <v>195</v>
      </c>
      <c r="L100" s="7" t="s">
        <v>195</v>
      </c>
      <c r="M100" s="7" t="s">
        <v>29</v>
      </c>
      <c r="N100" s="7" t="s">
        <v>29</v>
      </c>
      <c r="O100" s="7" t="s">
        <v>29</v>
      </c>
      <c r="P100" s="7" t="s">
        <v>29</v>
      </c>
      <c r="Q100" s="7" t="s">
        <v>29</v>
      </c>
      <c r="R100" s="7" t="s">
        <v>29</v>
      </c>
      <c r="S100" s="7" t="s">
        <v>29</v>
      </c>
    </row>
    <row r="101" spans="2:19">
      <c r="B101" s="7" t="s">
        <v>195</v>
      </c>
      <c r="C101" s="8" t="s">
        <v>195</v>
      </c>
      <c r="D101" s="6" t="str">
        <f>LRTRIM(CONCATENATE(IF(SUMPRODUCT(-- ISNUMBER(SEARCH({"Auto Number"}, $B101))) &gt; 0, $B101, IF(SUMPRODUCT(-- ISNUMBER(SEARCH({"Lookup","Master-Detail"}, $B101))) &gt; 0,$B101 &amp; "(" &amp; $E101 &amp; ")",IF(SUMPRODUCT(-- ISNUMBER(SEARCH({"Formula","Roll-Up Summary"}, $B101))) &gt; 0,$B101 &amp; " (" &amp; $E101 &amp; ")",IF(SUMPRODUCT(-- ISNUMBER(SEARCH({"Content","Currency","Number","Percent","Text","URL"}, $B101))) &gt; 0,$B101 &amp; "(" &amp; $C101 &amp; ")",$B101)))), "  ", TRIM(IF($S101 = "YES", "(External ID)", "") &amp; " " &amp; IF(SUMPRODUCT(-- ISNUMBER(SEARCH({"Unique","Unique Case Insensitive"}, $R101))) &gt; 0, "(" &amp; $R101 &amp; ")", ""))))</f>
        <v>na</v>
      </c>
      <c r="E101" s="7" t="s">
        <v>195</v>
      </c>
      <c r="F101" s="7" t="s">
        <v>195</v>
      </c>
      <c r="G101" s="7" t="s">
        <v>195</v>
      </c>
      <c r="H101" s="7" t="s">
        <v>195</v>
      </c>
      <c r="I101" s="7" t="s">
        <v>195</v>
      </c>
      <c r="J101" s="7" t="s">
        <v>195</v>
      </c>
      <c r="K101" s="7" t="s">
        <v>195</v>
      </c>
      <c r="L101" s="7" t="s">
        <v>195</v>
      </c>
      <c r="M101" s="7" t="s">
        <v>29</v>
      </c>
      <c r="N101" s="7" t="s">
        <v>29</v>
      </c>
      <c r="O101" s="7" t="s">
        <v>29</v>
      </c>
      <c r="P101" s="7" t="s">
        <v>29</v>
      </c>
      <c r="Q101" s="7" t="s">
        <v>29</v>
      </c>
      <c r="R101" s="7" t="s">
        <v>29</v>
      </c>
      <c r="S101" s="7" t="s">
        <v>29</v>
      </c>
    </row>
    <row r="102" spans="2:19">
      <c r="B102" s="7" t="s">
        <v>195</v>
      </c>
      <c r="C102" s="8" t="s">
        <v>195</v>
      </c>
      <c r="D102" s="6" t="str">
        <f>LRTRIM(CONCATENATE(IF(SUMPRODUCT(-- ISNUMBER(SEARCH({"Auto Number"}, $B102))) &gt; 0, $B102, IF(SUMPRODUCT(-- ISNUMBER(SEARCH({"Lookup","Master-Detail"}, $B102))) &gt; 0,$B102 &amp; "(" &amp; $E102 &amp; ")",IF(SUMPRODUCT(-- ISNUMBER(SEARCH({"Formula","Roll-Up Summary"}, $B102))) &gt; 0,$B102 &amp; " (" &amp; $E102 &amp; ")",IF(SUMPRODUCT(-- ISNUMBER(SEARCH({"Content","Currency","Number","Percent","Text","URL"}, $B102))) &gt; 0,$B102 &amp; "(" &amp; $C102 &amp; ")",$B102)))), "  ", TRIM(IF($S102 = "YES", "(External ID)", "") &amp; " " &amp; IF(SUMPRODUCT(-- ISNUMBER(SEARCH({"Unique","Unique Case Insensitive"}, $R102))) &gt; 0, "(" &amp; $R102 &amp; ")", ""))))</f>
        <v>na</v>
      </c>
      <c r="E102" s="7" t="s">
        <v>195</v>
      </c>
      <c r="F102" s="7" t="s">
        <v>195</v>
      </c>
      <c r="G102" s="7" t="s">
        <v>195</v>
      </c>
      <c r="H102" s="7" t="s">
        <v>195</v>
      </c>
      <c r="I102" s="7" t="s">
        <v>195</v>
      </c>
      <c r="J102" s="7" t="s">
        <v>195</v>
      </c>
      <c r="K102" s="7" t="s">
        <v>195</v>
      </c>
      <c r="L102" s="7" t="s">
        <v>195</v>
      </c>
      <c r="M102" s="7" t="s">
        <v>29</v>
      </c>
      <c r="N102" s="7" t="s">
        <v>29</v>
      </c>
      <c r="O102" s="7" t="s">
        <v>29</v>
      </c>
      <c r="P102" s="7" t="s">
        <v>29</v>
      </c>
      <c r="Q102" s="7" t="s">
        <v>29</v>
      </c>
      <c r="R102" s="7" t="s">
        <v>29</v>
      </c>
      <c r="S102" s="7" t="s">
        <v>29</v>
      </c>
    </row>
    <row r="103" spans="2:19">
      <c r="B103" s="7" t="s">
        <v>195</v>
      </c>
      <c r="C103" s="8" t="s">
        <v>195</v>
      </c>
      <c r="D103" s="6" t="str">
        <f>LRTRIM(CONCATENATE(IF(SUMPRODUCT(-- ISNUMBER(SEARCH({"Auto Number"}, $B103))) &gt; 0, $B103, IF(SUMPRODUCT(-- ISNUMBER(SEARCH({"Lookup","Master-Detail"}, $B103))) &gt; 0,$B103 &amp; "(" &amp; $E103 &amp; ")",IF(SUMPRODUCT(-- ISNUMBER(SEARCH({"Formula","Roll-Up Summary"}, $B103))) &gt; 0,$B103 &amp; " (" &amp; $E103 &amp; ")",IF(SUMPRODUCT(-- ISNUMBER(SEARCH({"Content","Currency","Number","Percent","Text","URL"}, $B103))) &gt; 0,$B103 &amp; "(" &amp; $C103 &amp; ")",$B103)))), "  ", TRIM(IF($S103 = "YES", "(External ID)", "") &amp; " " &amp; IF(SUMPRODUCT(-- ISNUMBER(SEARCH({"Unique","Unique Case Insensitive"}, $R103))) &gt; 0, "(" &amp; $R103 &amp; ")", ""))))</f>
        <v>na</v>
      </c>
      <c r="E103" s="7" t="s">
        <v>195</v>
      </c>
      <c r="F103" s="7" t="s">
        <v>195</v>
      </c>
      <c r="G103" s="7" t="s">
        <v>195</v>
      </c>
      <c r="H103" s="7" t="s">
        <v>195</v>
      </c>
      <c r="I103" s="7" t="s">
        <v>195</v>
      </c>
      <c r="J103" s="7" t="s">
        <v>195</v>
      </c>
      <c r="K103" s="7" t="s">
        <v>195</v>
      </c>
      <c r="L103" s="7" t="s">
        <v>195</v>
      </c>
      <c r="M103" s="7" t="s">
        <v>29</v>
      </c>
      <c r="N103" s="7" t="s">
        <v>29</v>
      </c>
      <c r="O103" s="7" t="s">
        <v>29</v>
      </c>
      <c r="P103" s="7" t="s">
        <v>29</v>
      </c>
      <c r="Q103" s="7" t="s">
        <v>29</v>
      </c>
      <c r="R103" s="7" t="s">
        <v>29</v>
      </c>
      <c r="S103" s="7" t="s">
        <v>29</v>
      </c>
    </row>
    <row r="104" spans="2:19">
      <c r="B104" s="7" t="s">
        <v>195</v>
      </c>
      <c r="C104" s="8" t="s">
        <v>195</v>
      </c>
      <c r="D104" s="6" t="str">
        <f>LRTRIM(CONCATENATE(IF(SUMPRODUCT(-- ISNUMBER(SEARCH({"Auto Number"}, $B104))) &gt; 0, $B104, IF(SUMPRODUCT(-- ISNUMBER(SEARCH({"Lookup","Master-Detail"}, $B104))) &gt; 0,$B104 &amp; "(" &amp; $E104 &amp; ")",IF(SUMPRODUCT(-- ISNUMBER(SEARCH({"Formula","Roll-Up Summary"}, $B104))) &gt; 0,$B104 &amp; " (" &amp; $E104 &amp; ")",IF(SUMPRODUCT(-- ISNUMBER(SEARCH({"Content","Currency","Number","Percent","Text","URL"}, $B104))) &gt; 0,$B104 &amp; "(" &amp; $C104 &amp; ")",$B104)))), "  ", TRIM(IF($S104 = "YES", "(External ID)", "") &amp; " " &amp; IF(SUMPRODUCT(-- ISNUMBER(SEARCH({"Unique","Unique Case Insensitive"}, $R104))) &gt; 0, "(" &amp; $R104 &amp; ")", ""))))</f>
        <v>na</v>
      </c>
      <c r="E104" s="7" t="s">
        <v>195</v>
      </c>
      <c r="F104" s="7" t="s">
        <v>195</v>
      </c>
      <c r="G104" s="7" t="s">
        <v>195</v>
      </c>
      <c r="H104" s="7" t="s">
        <v>195</v>
      </c>
      <c r="I104" s="7" t="s">
        <v>195</v>
      </c>
      <c r="J104" s="7" t="s">
        <v>195</v>
      </c>
      <c r="K104" s="7" t="s">
        <v>195</v>
      </c>
      <c r="L104" s="7" t="s">
        <v>195</v>
      </c>
      <c r="M104" s="7" t="s">
        <v>29</v>
      </c>
      <c r="N104" s="7" t="s">
        <v>29</v>
      </c>
      <c r="O104" s="7" t="s">
        <v>29</v>
      </c>
      <c r="P104" s="7" t="s">
        <v>29</v>
      </c>
      <c r="Q104" s="7" t="s">
        <v>29</v>
      </c>
      <c r="R104" s="7" t="s">
        <v>29</v>
      </c>
      <c r="S104" s="7" t="s">
        <v>29</v>
      </c>
    </row>
    <row r="105" spans="2:19">
      <c r="B105" s="7" t="s">
        <v>195</v>
      </c>
      <c r="C105" s="8" t="s">
        <v>195</v>
      </c>
      <c r="D105" s="6" t="str">
        <f>LRTRIM(CONCATENATE(IF(SUMPRODUCT(-- ISNUMBER(SEARCH({"Auto Number"}, $B105))) &gt; 0, $B105, IF(SUMPRODUCT(-- ISNUMBER(SEARCH({"Lookup","Master-Detail"}, $B105))) &gt; 0,$B105 &amp; "(" &amp; $E105 &amp; ")",IF(SUMPRODUCT(-- ISNUMBER(SEARCH({"Formula","Roll-Up Summary"}, $B105))) &gt; 0,$B105 &amp; " (" &amp; $E105 &amp; ")",IF(SUMPRODUCT(-- ISNUMBER(SEARCH({"Content","Currency","Number","Percent","Text","URL"}, $B105))) &gt; 0,$B105 &amp; "(" &amp; $C105 &amp; ")",$B105)))), "  ", TRIM(IF($S105 = "YES", "(External ID)", "") &amp; " " &amp; IF(SUMPRODUCT(-- ISNUMBER(SEARCH({"Unique","Unique Case Insensitive"}, $R105))) &gt; 0, "(" &amp; $R105 &amp; ")", ""))))</f>
        <v>na</v>
      </c>
      <c r="E105" s="7" t="s">
        <v>195</v>
      </c>
      <c r="F105" s="7" t="s">
        <v>195</v>
      </c>
      <c r="G105" s="7" t="s">
        <v>195</v>
      </c>
      <c r="H105" s="7" t="s">
        <v>195</v>
      </c>
      <c r="I105" s="7" t="s">
        <v>195</v>
      </c>
      <c r="J105" s="7" t="s">
        <v>195</v>
      </c>
      <c r="K105" s="7" t="s">
        <v>195</v>
      </c>
      <c r="L105" s="7" t="s">
        <v>195</v>
      </c>
      <c r="M105" s="7" t="s">
        <v>29</v>
      </c>
      <c r="N105" s="7" t="s">
        <v>29</v>
      </c>
      <c r="O105" s="7" t="s">
        <v>29</v>
      </c>
      <c r="P105" s="7" t="s">
        <v>29</v>
      </c>
      <c r="Q105" s="7" t="s">
        <v>29</v>
      </c>
      <c r="R105" s="7" t="s">
        <v>29</v>
      </c>
      <c r="S105" s="7" t="s">
        <v>29</v>
      </c>
    </row>
    <row r="106" spans="2:19">
      <c r="B106" s="7" t="s">
        <v>195</v>
      </c>
      <c r="C106" s="8" t="s">
        <v>195</v>
      </c>
      <c r="D106" s="6" t="str">
        <f>LRTRIM(CONCATENATE(IF(SUMPRODUCT(-- ISNUMBER(SEARCH({"Auto Number"}, $B106))) &gt; 0, $B106, IF(SUMPRODUCT(-- ISNUMBER(SEARCH({"Lookup","Master-Detail"}, $B106))) &gt; 0,$B106 &amp; "(" &amp; $E106 &amp; ")",IF(SUMPRODUCT(-- ISNUMBER(SEARCH({"Formula","Roll-Up Summary"}, $B106))) &gt; 0,$B106 &amp; " (" &amp; $E106 &amp; ")",IF(SUMPRODUCT(-- ISNUMBER(SEARCH({"Content","Currency","Number","Percent","Text","URL"}, $B106))) &gt; 0,$B106 &amp; "(" &amp; $C106 &amp; ")",$B106)))), "  ", TRIM(IF($S106 = "YES", "(External ID)", "") &amp; " " &amp; IF(SUMPRODUCT(-- ISNUMBER(SEARCH({"Unique","Unique Case Insensitive"}, $R106))) &gt; 0, "(" &amp; $R106 &amp; ")", ""))))</f>
        <v>na</v>
      </c>
      <c r="E106" s="7" t="s">
        <v>195</v>
      </c>
      <c r="F106" s="7" t="s">
        <v>195</v>
      </c>
      <c r="G106" s="7" t="s">
        <v>195</v>
      </c>
      <c r="H106" s="7" t="s">
        <v>195</v>
      </c>
      <c r="I106" s="7" t="s">
        <v>195</v>
      </c>
      <c r="J106" s="7" t="s">
        <v>195</v>
      </c>
      <c r="K106" s="7" t="s">
        <v>195</v>
      </c>
      <c r="L106" s="7" t="s">
        <v>195</v>
      </c>
      <c r="M106" s="7" t="s">
        <v>29</v>
      </c>
      <c r="N106" s="7" t="s">
        <v>29</v>
      </c>
      <c r="O106" s="7" t="s">
        <v>29</v>
      </c>
      <c r="P106" s="7" t="s">
        <v>29</v>
      </c>
      <c r="Q106" s="7" t="s">
        <v>29</v>
      </c>
      <c r="R106" s="7" t="s">
        <v>29</v>
      </c>
      <c r="S106" s="7" t="s">
        <v>29</v>
      </c>
    </row>
    <row r="107" spans="2:19">
      <c r="B107" s="7" t="s">
        <v>195</v>
      </c>
      <c r="C107" s="8" t="s">
        <v>195</v>
      </c>
      <c r="D107" s="6" t="str">
        <f>LRTRIM(CONCATENATE(IF(SUMPRODUCT(-- ISNUMBER(SEARCH({"Auto Number"}, $B107))) &gt; 0, $B107, IF(SUMPRODUCT(-- ISNUMBER(SEARCH({"Lookup","Master-Detail"}, $B107))) &gt; 0,$B107 &amp; "(" &amp; $E107 &amp; ")",IF(SUMPRODUCT(-- ISNUMBER(SEARCH({"Formula","Roll-Up Summary"}, $B107))) &gt; 0,$B107 &amp; " (" &amp; $E107 &amp; ")",IF(SUMPRODUCT(-- ISNUMBER(SEARCH({"Content","Currency","Number","Percent","Text","URL"}, $B107))) &gt; 0,$B107 &amp; "(" &amp; $C107 &amp; ")",$B107)))), "  ", TRIM(IF($S107 = "YES", "(External ID)", "") &amp; " " &amp; IF(SUMPRODUCT(-- ISNUMBER(SEARCH({"Unique","Unique Case Insensitive"}, $R107))) &gt; 0, "(" &amp; $R107 &amp; ")", ""))))</f>
        <v>na</v>
      </c>
      <c r="E107" s="7" t="s">
        <v>195</v>
      </c>
      <c r="F107" s="7" t="s">
        <v>195</v>
      </c>
      <c r="G107" s="7" t="s">
        <v>195</v>
      </c>
      <c r="H107" s="7" t="s">
        <v>195</v>
      </c>
      <c r="I107" s="7" t="s">
        <v>195</v>
      </c>
      <c r="J107" s="7" t="s">
        <v>195</v>
      </c>
      <c r="K107" s="7" t="s">
        <v>195</v>
      </c>
      <c r="L107" s="7" t="s">
        <v>195</v>
      </c>
      <c r="M107" s="7" t="s">
        <v>29</v>
      </c>
      <c r="N107" s="7" t="s">
        <v>29</v>
      </c>
      <c r="O107" s="7" t="s">
        <v>29</v>
      </c>
      <c r="P107" s="7" t="s">
        <v>29</v>
      </c>
      <c r="Q107" s="7" t="s">
        <v>29</v>
      </c>
      <c r="R107" s="7" t="s">
        <v>29</v>
      </c>
      <c r="S107" s="7" t="s">
        <v>29</v>
      </c>
    </row>
    <row r="108" spans="2:19">
      <c r="B108" s="7" t="s">
        <v>195</v>
      </c>
      <c r="C108" s="8" t="s">
        <v>195</v>
      </c>
      <c r="D108" s="6" t="str">
        <f>LRTRIM(CONCATENATE(IF(SUMPRODUCT(-- ISNUMBER(SEARCH({"Auto Number"}, $B108))) &gt; 0, $B108, IF(SUMPRODUCT(-- ISNUMBER(SEARCH({"Lookup","Master-Detail"}, $B108))) &gt; 0,$B108 &amp; "(" &amp; $E108 &amp; ")",IF(SUMPRODUCT(-- ISNUMBER(SEARCH({"Formula","Roll-Up Summary"}, $B108))) &gt; 0,$B108 &amp; " (" &amp; $E108 &amp; ")",IF(SUMPRODUCT(-- ISNUMBER(SEARCH({"Content","Currency","Number","Percent","Text","URL"}, $B108))) &gt; 0,$B108 &amp; "(" &amp; $C108 &amp; ")",$B108)))), "  ", TRIM(IF($S108 = "YES", "(External ID)", "") &amp; " " &amp; IF(SUMPRODUCT(-- ISNUMBER(SEARCH({"Unique","Unique Case Insensitive"}, $R108))) &gt; 0, "(" &amp; $R108 &amp; ")", ""))))</f>
        <v>na</v>
      </c>
      <c r="E108" s="7" t="s">
        <v>195</v>
      </c>
      <c r="F108" s="7" t="s">
        <v>195</v>
      </c>
      <c r="G108" s="7" t="s">
        <v>195</v>
      </c>
      <c r="H108" s="7" t="s">
        <v>195</v>
      </c>
      <c r="I108" s="7" t="s">
        <v>195</v>
      </c>
      <c r="J108" s="7" t="s">
        <v>195</v>
      </c>
      <c r="K108" s="7" t="s">
        <v>195</v>
      </c>
      <c r="L108" s="7" t="s">
        <v>195</v>
      </c>
      <c r="M108" s="7" t="s">
        <v>29</v>
      </c>
      <c r="N108" s="7" t="s">
        <v>29</v>
      </c>
      <c r="O108" s="7" t="s">
        <v>29</v>
      </c>
      <c r="P108" s="7" t="s">
        <v>29</v>
      </c>
      <c r="Q108" s="7" t="s">
        <v>29</v>
      </c>
      <c r="R108" s="7" t="s">
        <v>29</v>
      </c>
      <c r="S108" s="7" t="s">
        <v>29</v>
      </c>
    </row>
    <row r="109" spans="2:19">
      <c r="B109" s="7" t="s">
        <v>195</v>
      </c>
      <c r="C109" s="8" t="s">
        <v>195</v>
      </c>
      <c r="D109" s="6" t="str">
        <f>LRTRIM(CONCATENATE(IF(SUMPRODUCT(-- ISNUMBER(SEARCH({"Auto Number"}, $B109))) &gt; 0, $B109, IF(SUMPRODUCT(-- ISNUMBER(SEARCH({"Lookup","Master-Detail"}, $B109))) &gt; 0,$B109 &amp; "(" &amp; $E109 &amp; ")",IF(SUMPRODUCT(-- ISNUMBER(SEARCH({"Formula","Roll-Up Summary"}, $B109))) &gt; 0,$B109 &amp; " (" &amp; $E109 &amp; ")",IF(SUMPRODUCT(-- ISNUMBER(SEARCH({"Content","Currency","Number","Percent","Text","URL"}, $B109))) &gt; 0,$B109 &amp; "(" &amp; $C109 &amp; ")",$B109)))), "  ", TRIM(IF($S109 = "YES", "(External ID)", "") &amp; " " &amp; IF(SUMPRODUCT(-- ISNUMBER(SEARCH({"Unique","Unique Case Insensitive"}, $R109))) &gt; 0, "(" &amp; $R109 &amp; ")", ""))))</f>
        <v>na</v>
      </c>
      <c r="E109" s="7" t="s">
        <v>195</v>
      </c>
      <c r="F109" s="7" t="s">
        <v>195</v>
      </c>
      <c r="G109" s="7" t="s">
        <v>195</v>
      </c>
      <c r="H109" s="7" t="s">
        <v>195</v>
      </c>
      <c r="I109" s="7" t="s">
        <v>195</v>
      </c>
      <c r="J109" s="7" t="s">
        <v>195</v>
      </c>
      <c r="K109" s="7" t="s">
        <v>195</v>
      </c>
      <c r="L109" s="7" t="s">
        <v>195</v>
      </c>
      <c r="M109" s="7" t="s">
        <v>29</v>
      </c>
      <c r="N109" s="7" t="s">
        <v>29</v>
      </c>
      <c r="O109" s="7" t="s">
        <v>29</v>
      </c>
      <c r="P109" s="7" t="s">
        <v>29</v>
      </c>
      <c r="Q109" s="7" t="s">
        <v>29</v>
      </c>
      <c r="R109" s="7" t="s">
        <v>29</v>
      </c>
      <c r="S109" s="7" t="s">
        <v>29</v>
      </c>
    </row>
    <row r="110" spans="2:19">
      <c r="B110" s="7" t="s">
        <v>195</v>
      </c>
      <c r="C110" s="8" t="s">
        <v>195</v>
      </c>
      <c r="D110" s="6" t="str">
        <f>LRTRIM(CONCATENATE(IF(SUMPRODUCT(-- ISNUMBER(SEARCH({"Auto Number"}, $B110))) &gt; 0, $B110, IF(SUMPRODUCT(-- ISNUMBER(SEARCH({"Lookup","Master-Detail"}, $B110))) &gt; 0,$B110 &amp; "(" &amp; $E110 &amp; ")",IF(SUMPRODUCT(-- ISNUMBER(SEARCH({"Formula","Roll-Up Summary"}, $B110))) &gt; 0,$B110 &amp; " (" &amp; $E110 &amp; ")",IF(SUMPRODUCT(-- ISNUMBER(SEARCH({"Content","Currency","Number","Percent","Text","URL"}, $B110))) &gt; 0,$B110 &amp; "(" &amp; $C110 &amp; ")",$B110)))), "  ", TRIM(IF($S110 = "YES", "(External ID)", "") &amp; " " &amp; IF(SUMPRODUCT(-- ISNUMBER(SEARCH({"Unique","Unique Case Insensitive"}, $R110))) &gt; 0, "(" &amp; $R110 &amp; ")", ""))))</f>
        <v>na</v>
      </c>
      <c r="E110" s="7" t="s">
        <v>195</v>
      </c>
      <c r="F110" s="7" t="s">
        <v>195</v>
      </c>
      <c r="G110" s="7" t="s">
        <v>195</v>
      </c>
      <c r="H110" s="7" t="s">
        <v>195</v>
      </c>
      <c r="I110" s="7" t="s">
        <v>195</v>
      </c>
      <c r="J110" s="7" t="s">
        <v>195</v>
      </c>
      <c r="K110" s="7" t="s">
        <v>195</v>
      </c>
      <c r="L110" s="7" t="s">
        <v>195</v>
      </c>
      <c r="M110" s="7" t="s">
        <v>29</v>
      </c>
      <c r="N110" s="7" t="s">
        <v>29</v>
      </c>
      <c r="O110" s="7" t="s">
        <v>29</v>
      </c>
      <c r="P110" s="7" t="s">
        <v>29</v>
      </c>
      <c r="Q110" s="7" t="s">
        <v>29</v>
      </c>
      <c r="R110" s="7" t="s">
        <v>29</v>
      </c>
      <c r="S110" s="7" t="s">
        <v>29</v>
      </c>
    </row>
    <row r="111" spans="2:19">
      <c r="B111" s="7" t="s">
        <v>195</v>
      </c>
      <c r="C111" s="8" t="s">
        <v>195</v>
      </c>
      <c r="D111" s="6" t="str">
        <f>LRTRIM(CONCATENATE(IF(SUMPRODUCT(-- ISNUMBER(SEARCH({"Auto Number"}, $B111))) &gt; 0, $B111, IF(SUMPRODUCT(-- ISNUMBER(SEARCH({"Lookup","Master-Detail"}, $B111))) &gt; 0,$B111 &amp; "(" &amp; $E111 &amp; ")",IF(SUMPRODUCT(-- ISNUMBER(SEARCH({"Formula","Roll-Up Summary"}, $B111))) &gt; 0,$B111 &amp; " (" &amp; $E111 &amp; ")",IF(SUMPRODUCT(-- ISNUMBER(SEARCH({"Content","Currency","Number","Percent","Text","URL"}, $B111))) &gt; 0,$B111 &amp; "(" &amp; $C111 &amp; ")",$B111)))), "  ", TRIM(IF($S111 = "YES", "(External ID)", "") &amp; " " &amp; IF(SUMPRODUCT(-- ISNUMBER(SEARCH({"Unique","Unique Case Insensitive"}, $R111))) &gt; 0, "(" &amp; $R111 &amp; ")", ""))))</f>
        <v>na</v>
      </c>
      <c r="E111" s="7" t="s">
        <v>195</v>
      </c>
      <c r="F111" s="7" t="s">
        <v>195</v>
      </c>
      <c r="G111" s="7" t="s">
        <v>195</v>
      </c>
      <c r="H111" s="7" t="s">
        <v>195</v>
      </c>
      <c r="I111" s="7" t="s">
        <v>195</v>
      </c>
      <c r="J111" s="7" t="s">
        <v>195</v>
      </c>
      <c r="K111" s="7" t="s">
        <v>195</v>
      </c>
      <c r="L111" s="7" t="s">
        <v>195</v>
      </c>
      <c r="M111" s="7" t="s">
        <v>29</v>
      </c>
      <c r="N111" s="7" t="s">
        <v>29</v>
      </c>
      <c r="O111" s="7" t="s">
        <v>29</v>
      </c>
      <c r="P111" s="7" t="s">
        <v>29</v>
      </c>
      <c r="Q111" s="7" t="s">
        <v>29</v>
      </c>
      <c r="R111" s="7" t="s">
        <v>29</v>
      </c>
      <c r="S111" s="7" t="s">
        <v>29</v>
      </c>
    </row>
    <row r="112" spans="2:19">
      <c r="B112" s="7" t="s">
        <v>195</v>
      </c>
      <c r="C112" s="8" t="s">
        <v>195</v>
      </c>
      <c r="D112" s="6" t="str">
        <f>LRTRIM(CONCATENATE(IF(SUMPRODUCT(-- ISNUMBER(SEARCH({"Auto Number"}, $B112))) &gt; 0, $B112, IF(SUMPRODUCT(-- ISNUMBER(SEARCH({"Lookup","Master-Detail"}, $B112))) &gt; 0,$B112 &amp; "(" &amp; $E112 &amp; ")",IF(SUMPRODUCT(-- ISNUMBER(SEARCH({"Formula","Roll-Up Summary"}, $B112))) &gt; 0,$B112 &amp; " (" &amp; $E112 &amp; ")",IF(SUMPRODUCT(-- ISNUMBER(SEARCH({"Content","Currency","Number","Percent","Text","URL"}, $B112))) &gt; 0,$B112 &amp; "(" &amp; $C112 &amp; ")",$B112)))), "  ", TRIM(IF($S112 = "YES", "(External ID)", "") &amp; " " &amp; IF(SUMPRODUCT(-- ISNUMBER(SEARCH({"Unique","Unique Case Insensitive"}, $R112))) &gt; 0, "(" &amp; $R112 &amp; ")", ""))))</f>
        <v>na</v>
      </c>
      <c r="E112" s="7" t="s">
        <v>195</v>
      </c>
      <c r="F112" s="7" t="s">
        <v>195</v>
      </c>
      <c r="G112" s="7" t="s">
        <v>195</v>
      </c>
      <c r="H112" s="7" t="s">
        <v>195</v>
      </c>
      <c r="I112" s="7" t="s">
        <v>195</v>
      </c>
      <c r="J112" s="7" t="s">
        <v>195</v>
      </c>
      <c r="K112" s="7" t="s">
        <v>195</v>
      </c>
      <c r="L112" s="7" t="s">
        <v>195</v>
      </c>
      <c r="M112" s="7" t="s">
        <v>29</v>
      </c>
      <c r="N112" s="7" t="s">
        <v>29</v>
      </c>
      <c r="O112" s="7" t="s">
        <v>29</v>
      </c>
      <c r="P112" s="7" t="s">
        <v>29</v>
      </c>
      <c r="Q112" s="7" t="s">
        <v>29</v>
      </c>
      <c r="R112" s="7" t="s">
        <v>29</v>
      </c>
      <c r="S112" s="7" t="s">
        <v>29</v>
      </c>
    </row>
    <row r="113" spans="2:19">
      <c r="B113" s="7" t="s">
        <v>195</v>
      </c>
      <c r="C113" s="8" t="s">
        <v>195</v>
      </c>
      <c r="D113" s="6" t="str">
        <f>LRTRIM(CONCATENATE(IF(SUMPRODUCT(-- ISNUMBER(SEARCH({"Auto Number"}, $B113))) &gt; 0, $B113, IF(SUMPRODUCT(-- ISNUMBER(SEARCH({"Lookup","Master-Detail"}, $B113))) &gt; 0,$B113 &amp; "(" &amp; $E113 &amp; ")",IF(SUMPRODUCT(-- ISNUMBER(SEARCH({"Formula","Roll-Up Summary"}, $B113))) &gt; 0,$B113 &amp; " (" &amp; $E113 &amp; ")",IF(SUMPRODUCT(-- ISNUMBER(SEARCH({"Content","Currency","Number","Percent","Text","URL"}, $B113))) &gt; 0,$B113 &amp; "(" &amp; $C113 &amp; ")",$B113)))), "  ", TRIM(IF($S113 = "YES", "(External ID)", "") &amp; " " &amp; IF(SUMPRODUCT(-- ISNUMBER(SEARCH({"Unique","Unique Case Insensitive"}, $R113))) &gt; 0, "(" &amp; $R113 &amp; ")", ""))))</f>
        <v>na</v>
      </c>
      <c r="E113" s="7" t="s">
        <v>195</v>
      </c>
      <c r="F113" s="7" t="s">
        <v>195</v>
      </c>
      <c r="G113" s="7" t="s">
        <v>195</v>
      </c>
      <c r="H113" s="7" t="s">
        <v>195</v>
      </c>
      <c r="I113" s="7" t="s">
        <v>195</v>
      </c>
      <c r="J113" s="7" t="s">
        <v>195</v>
      </c>
      <c r="K113" s="7" t="s">
        <v>195</v>
      </c>
      <c r="L113" s="7" t="s">
        <v>195</v>
      </c>
      <c r="M113" s="7" t="s">
        <v>29</v>
      </c>
      <c r="N113" s="7" t="s">
        <v>29</v>
      </c>
      <c r="O113" s="7" t="s">
        <v>29</v>
      </c>
      <c r="P113" s="7" t="s">
        <v>29</v>
      </c>
      <c r="Q113" s="7" t="s">
        <v>29</v>
      </c>
      <c r="R113" s="7" t="s">
        <v>29</v>
      </c>
      <c r="S113" s="7" t="s">
        <v>29</v>
      </c>
    </row>
    <row r="114" spans="2:19">
      <c r="B114" s="7" t="s">
        <v>195</v>
      </c>
      <c r="C114" s="8" t="s">
        <v>195</v>
      </c>
      <c r="D114" s="6" t="str">
        <f>LRTRIM(CONCATENATE(IF(SUMPRODUCT(-- ISNUMBER(SEARCH({"Auto Number"}, $B114))) &gt; 0, $B114, IF(SUMPRODUCT(-- ISNUMBER(SEARCH({"Lookup","Master-Detail"}, $B114))) &gt; 0,$B114 &amp; "(" &amp; $E114 &amp; ")",IF(SUMPRODUCT(-- ISNUMBER(SEARCH({"Formula","Roll-Up Summary"}, $B114))) &gt; 0,$B114 &amp; " (" &amp; $E114 &amp; ")",IF(SUMPRODUCT(-- ISNUMBER(SEARCH({"Content","Currency","Number","Percent","Text","URL"}, $B114))) &gt; 0,$B114 &amp; "(" &amp; $C114 &amp; ")",$B114)))), "  ", TRIM(IF($S114 = "YES", "(External ID)", "") &amp; " " &amp; IF(SUMPRODUCT(-- ISNUMBER(SEARCH({"Unique","Unique Case Insensitive"}, $R114))) &gt; 0, "(" &amp; $R114 &amp; ")", ""))))</f>
        <v>na</v>
      </c>
      <c r="E114" s="7" t="s">
        <v>195</v>
      </c>
      <c r="F114" s="7" t="s">
        <v>195</v>
      </c>
      <c r="G114" s="7" t="s">
        <v>195</v>
      </c>
      <c r="H114" s="7" t="s">
        <v>195</v>
      </c>
      <c r="I114" s="7" t="s">
        <v>195</v>
      </c>
      <c r="J114" s="7" t="s">
        <v>195</v>
      </c>
      <c r="K114" s="7" t="s">
        <v>195</v>
      </c>
      <c r="L114" s="7" t="s">
        <v>195</v>
      </c>
      <c r="M114" s="7" t="s">
        <v>29</v>
      </c>
      <c r="N114" s="7" t="s">
        <v>29</v>
      </c>
      <c r="O114" s="7" t="s">
        <v>29</v>
      </c>
      <c r="P114" s="7" t="s">
        <v>29</v>
      </c>
      <c r="Q114" s="7" t="s">
        <v>29</v>
      </c>
      <c r="R114" s="7" t="s">
        <v>29</v>
      </c>
      <c r="S114" s="7" t="s">
        <v>29</v>
      </c>
    </row>
    <row r="115" spans="2:19">
      <c r="B115" s="7" t="s">
        <v>195</v>
      </c>
      <c r="C115" s="8" t="s">
        <v>195</v>
      </c>
      <c r="D115" s="6" t="str">
        <f>LRTRIM(CONCATENATE(IF(SUMPRODUCT(-- ISNUMBER(SEARCH({"Auto Number"}, $B115))) &gt; 0, $B115, IF(SUMPRODUCT(-- ISNUMBER(SEARCH({"Lookup","Master-Detail"}, $B115))) &gt; 0,$B115 &amp; "(" &amp; $E115 &amp; ")",IF(SUMPRODUCT(-- ISNUMBER(SEARCH({"Formula","Roll-Up Summary"}, $B115))) &gt; 0,$B115 &amp; " (" &amp; $E115 &amp; ")",IF(SUMPRODUCT(-- ISNUMBER(SEARCH({"Content","Currency","Number","Percent","Text","URL"}, $B115))) &gt; 0,$B115 &amp; "(" &amp; $C115 &amp; ")",$B115)))), "  ", TRIM(IF($S115 = "YES", "(External ID)", "") &amp; " " &amp; IF(SUMPRODUCT(-- ISNUMBER(SEARCH({"Unique","Unique Case Insensitive"}, $R115))) &gt; 0, "(" &amp; $R115 &amp; ")", ""))))</f>
        <v>na</v>
      </c>
      <c r="E115" s="7" t="s">
        <v>195</v>
      </c>
      <c r="F115" s="7" t="s">
        <v>195</v>
      </c>
      <c r="G115" s="7" t="s">
        <v>195</v>
      </c>
      <c r="H115" s="7" t="s">
        <v>195</v>
      </c>
      <c r="I115" s="7" t="s">
        <v>195</v>
      </c>
      <c r="J115" s="7" t="s">
        <v>195</v>
      </c>
      <c r="K115" s="7" t="s">
        <v>195</v>
      </c>
      <c r="L115" s="7" t="s">
        <v>195</v>
      </c>
      <c r="M115" s="7" t="s">
        <v>29</v>
      </c>
      <c r="N115" s="7" t="s">
        <v>29</v>
      </c>
      <c r="O115" s="7" t="s">
        <v>29</v>
      </c>
      <c r="P115" s="7" t="s">
        <v>29</v>
      </c>
      <c r="Q115" s="7" t="s">
        <v>29</v>
      </c>
      <c r="R115" s="7" t="s">
        <v>29</v>
      </c>
      <c r="S115" s="7" t="s">
        <v>29</v>
      </c>
    </row>
    <row r="116" spans="2:19">
      <c r="B116" s="7" t="s">
        <v>195</v>
      </c>
      <c r="C116" s="8" t="s">
        <v>195</v>
      </c>
      <c r="D116" s="6" t="str">
        <f>LRTRIM(CONCATENATE(IF(SUMPRODUCT(-- ISNUMBER(SEARCH({"Auto Number"}, $B116))) &gt; 0, $B116, IF(SUMPRODUCT(-- ISNUMBER(SEARCH({"Lookup","Master-Detail"}, $B116))) &gt; 0,$B116 &amp; "(" &amp; $E116 &amp; ")",IF(SUMPRODUCT(-- ISNUMBER(SEARCH({"Formula","Roll-Up Summary"}, $B116))) &gt; 0,$B116 &amp; " (" &amp; $E116 &amp; ")",IF(SUMPRODUCT(-- ISNUMBER(SEARCH({"Content","Currency","Number","Percent","Text","URL"}, $B116))) &gt; 0,$B116 &amp; "(" &amp; $C116 &amp; ")",$B116)))), "  ", TRIM(IF($S116 = "YES", "(External ID)", "") &amp; " " &amp; IF(SUMPRODUCT(-- ISNUMBER(SEARCH({"Unique","Unique Case Insensitive"}, $R116))) &gt; 0, "(" &amp; $R116 &amp; ")", ""))))</f>
        <v>na</v>
      </c>
      <c r="E116" s="7" t="s">
        <v>195</v>
      </c>
      <c r="F116" s="7" t="s">
        <v>195</v>
      </c>
      <c r="G116" s="7" t="s">
        <v>195</v>
      </c>
      <c r="H116" s="7" t="s">
        <v>195</v>
      </c>
      <c r="I116" s="7" t="s">
        <v>195</v>
      </c>
      <c r="J116" s="7" t="s">
        <v>195</v>
      </c>
      <c r="K116" s="7" t="s">
        <v>195</v>
      </c>
      <c r="L116" s="7" t="s">
        <v>195</v>
      </c>
      <c r="M116" s="7" t="s">
        <v>29</v>
      </c>
      <c r="N116" s="7" t="s">
        <v>29</v>
      </c>
      <c r="O116" s="7" t="s">
        <v>29</v>
      </c>
      <c r="P116" s="7" t="s">
        <v>29</v>
      </c>
      <c r="Q116" s="7" t="s">
        <v>29</v>
      </c>
      <c r="R116" s="7" t="s">
        <v>29</v>
      </c>
      <c r="S116" s="7" t="s">
        <v>29</v>
      </c>
    </row>
    <row r="117" spans="2:19">
      <c r="B117" s="7" t="s">
        <v>195</v>
      </c>
      <c r="C117" s="8" t="s">
        <v>195</v>
      </c>
      <c r="D117" s="6" t="str">
        <f>LRTRIM(CONCATENATE(IF(SUMPRODUCT(-- ISNUMBER(SEARCH({"Auto Number"}, $B117))) &gt; 0, $B117, IF(SUMPRODUCT(-- ISNUMBER(SEARCH({"Lookup","Master-Detail"}, $B117))) &gt; 0,$B117 &amp; "(" &amp; $E117 &amp; ")",IF(SUMPRODUCT(-- ISNUMBER(SEARCH({"Formula","Roll-Up Summary"}, $B117))) &gt; 0,$B117 &amp; " (" &amp; $E117 &amp; ")",IF(SUMPRODUCT(-- ISNUMBER(SEARCH({"Content","Currency","Number","Percent","Text","URL"}, $B117))) &gt; 0,$B117 &amp; "(" &amp; $C117 &amp; ")",$B117)))), "  ", TRIM(IF($S117 = "YES", "(External ID)", "") &amp; " " &amp; IF(SUMPRODUCT(-- ISNUMBER(SEARCH({"Unique","Unique Case Insensitive"}, $R117))) &gt; 0, "(" &amp; $R117 &amp; ")", ""))))</f>
        <v>na</v>
      </c>
      <c r="E117" s="7" t="s">
        <v>195</v>
      </c>
      <c r="F117" s="7" t="s">
        <v>195</v>
      </c>
      <c r="G117" s="7" t="s">
        <v>195</v>
      </c>
      <c r="H117" s="7" t="s">
        <v>195</v>
      </c>
      <c r="I117" s="7" t="s">
        <v>195</v>
      </c>
      <c r="J117" s="7" t="s">
        <v>195</v>
      </c>
      <c r="K117" s="7" t="s">
        <v>195</v>
      </c>
      <c r="L117" s="7" t="s">
        <v>195</v>
      </c>
      <c r="M117" s="7" t="s">
        <v>29</v>
      </c>
      <c r="N117" s="7" t="s">
        <v>29</v>
      </c>
      <c r="O117" s="7" t="s">
        <v>29</v>
      </c>
      <c r="P117" s="7" t="s">
        <v>29</v>
      </c>
      <c r="Q117" s="7" t="s">
        <v>29</v>
      </c>
      <c r="R117" s="7" t="s">
        <v>29</v>
      </c>
      <c r="S117" s="7" t="s">
        <v>29</v>
      </c>
    </row>
    <row r="118" spans="2:19">
      <c r="B118" s="7" t="s">
        <v>195</v>
      </c>
      <c r="C118" s="8" t="s">
        <v>195</v>
      </c>
      <c r="D118" s="6" t="str">
        <f>LRTRIM(CONCATENATE(IF(SUMPRODUCT(-- ISNUMBER(SEARCH({"Auto Number"}, $B118))) &gt; 0, $B118, IF(SUMPRODUCT(-- ISNUMBER(SEARCH({"Lookup","Master-Detail"}, $B118))) &gt; 0,$B118 &amp; "(" &amp; $E118 &amp; ")",IF(SUMPRODUCT(-- ISNUMBER(SEARCH({"Formula","Roll-Up Summary"}, $B118))) &gt; 0,$B118 &amp; " (" &amp; $E118 &amp; ")",IF(SUMPRODUCT(-- ISNUMBER(SEARCH({"Content","Currency","Number","Percent","Text","URL"}, $B118))) &gt; 0,$B118 &amp; "(" &amp; $C118 &amp; ")",$B118)))), "  ", TRIM(IF($S118 = "YES", "(External ID)", "") &amp; " " &amp; IF(SUMPRODUCT(-- ISNUMBER(SEARCH({"Unique","Unique Case Insensitive"}, $R118))) &gt; 0, "(" &amp; $R118 &amp; ")", ""))))</f>
        <v>na</v>
      </c>
      <c r="E118" s="7" t="s">
        <v>195</v>
      </c>
      <c r="F118" s="7" t="s">
        <v>195</v>
      </c>
      <c r="G118" s="7" t="s">
        <v>195</v>
      </c>
      <c r="H118" s="7" t="s">
        <v>195</v>
      </c>
      <c r="I118" s="7" t="s">
        <v>195</v>
      </c>
      <c r="J118" s="7" t="s">
        <v>195</v>
      </c>
      <c r="K118" s="7" t="s">
        <v>195</v>
      </c>
      <c r="L118" s="7" t="s">
        <v>195</v>
      </c>
      <c r="M118" s="7" t="s">
        <v>29</v>
      </c>
      <c r="N118" s="7" t="s">
        <v>29</v>
      </c>
      <c r="O118" s="7" t="s">
        <v>29</v>
      </c>
      <c r="P118" s="7" t="s">
        <v>29</v>
      </c>
      <c r="Q118" s="7" t="s">
        <v>29</v>
      </c>
      <c r="R118" s="7" t="s">
        <v>29</v>
      </c>
      <c r="S118" s="7" t="s">
        <v>29</v>
      </c>
    </row>
    <row r="119" spans="2:19">
      <c r="B119" s="7" t="s">
        <v>195</v>
      </c>
      <c r="C119" s="8" t="s">
        <v>195</v>
      </c>
      <c r="D119" s="6" t="str">
        <f>LRTRIM(CONCATENATE(IF(SUMPRODUCT(-- ISNUMBER(SEARCH({"Auto Number"}, $B119))) &gt; 0, $B119, IF(SUMPRODUCT(-- ISNUMBER(SEARCH({"Lookup","Master-Detail"}, $B119))) &gt; 0,$B119 &amp; "(" &amp; $E119 &amp; ")",IF(SUMPRODUCT(-- ISNUMBER(SEARCH({"Formula","Roll-Up Summary"}, $B119))) &gt; 0,$B119 &amp; " (" &amp; $E119 &amp; ")",IF(SUMPRODUCT(-- ISNUMBER(SEARCH({"Content","Currency","Number","Percent","Text","URL"}, $B119))) &gt; 0,$B119 &amp; "(" &amp; $C119 &amp; ")",$B119)))), "  ", TRIM(IF($S119 = "YES", "(External ID)", "") &amp; " " &amp; IF(SUMPRODUCT(-- ISNUMBER(SEARCH({"Unique","Unique Case Insensitive"}, $R119))) &gt; 0, "(" &amp; $R119 &amp; ")", ""))))</f>
        <v>na</v>
      </c>
      <c r="E119" s="7" t="s">
        <v>195</v>
      </c>
      <c r="F119" s="7" t="s">
        <v>195</v>
      </c>
      <c r="G119" s="7" t="s">
        <v>195</v>
      </c>
      <c r="H119" s="7" t="s">
        <v>195</v>
      </c>
      <c r="I119" s="7" t="s">
        <v>195</v>
      </c>
      <c r="J119" s="7" t="s">
        <v>195</v>
      </c>
      <c r="K119" s="7" t="s">
        <v>195</v>
      </c>
      <c r="L119" s="7" t="s">
        <v>195</v>
      </c>
      <c r="M119" s="7" t="s">
        <v>29</v>
      </c>
      <c r="N119" s="7" t="s">
        <v>29</v>
      </c>
      <c r="O119" s="7" t="s">
        <v>29</v>
      </c>
      <c r="P119" s="7" t="s">
        <v>29</v>
      </c>
      <c r="Q119" s="7" t="s">
        <v>29</v>
      </c>
      <c r="R119" s="7" t="s">
        <v>29</v>
      </c>
      <c r="S119" s="7" t="s">
        <v>29</v>
      </c>
    </row>
    <row r="120" spans="2:19">
      <c r="B120" s="7" t="s">
        <v>195</v>
      </c>
      <c r="C120" s="8" t="s">
        <v>195</v>
      </c>
      <c r="D120" s="6" t="str">
        <f>LRTRIM(CONCATENATE(IF(SUMPRODUCT(-- ISNUMBER(SEARCH({"Auto Number"}, $B120))) &gt; 0, $B120, IF(SUMPRODUCT(-- ISNUMBER(SEARCH({"Lookup","Master-Detail"}, $B120))) &gt; 0,$B120 &amp; "(" &amp; $E120 &amp; ")",IF(SUMPRODUCT(-- ISNUMBER(SEARCH({"Formula","Roll-Up Summary"}, $B120))) &gt; 0,$B120 &amp; " (" &amp; $E120 &amp; ")",IF(SUMPRODUCT(-- ISNUMBER(SEARCH({"Content","Currency","Number","Percent","Text","URL"}, $B120))) &gt; 0,$B120 &amp; "(" &amp; $C120 &amp; ")",$B120)))), "  ", TRIM(IF($S120 = "YES", "(External ID)", "") &amp; " " &amp; IF(SUMPRODUCT(-- ISNUMBER(SEARCH({"Unique","Unique Case Insensitive"}, $R120))) &gt; 0, "(" &amp; $R120 &amp; ")", ""))))</f>
        <v>na</v>
      </c>
      <c r="E120" s="7" t="s">
        <v>195</v>
      </c>
      <c r="F120" s="7" t="s">
        <v>195</v>
      </c>
      <c r="G120" s="7" t="s">
        <v>195</v>
      </c>
      <c r="H120" s="7" t="s">
        <v>195</v>
      </c>
      <c r="I120" s="7" t="s">
        <v>195</v>
      </c>
      <c r="J120" s="7" t="s">
        <v>195</v>
      </c>
      <c r="K120" s="7" t="s">
        <v>195</v>
      </c>
      <c r="L120" s="7" t="s">
        <v>195</v>
      </c>
      <c r="M120" s="7" t="s">
        <v>29</v>
      </c>
      <c r="N120" s="7" t="s">
        <v>29</v>
      </c>
      <c r="O120" s="7" t="s">
        <v>29</v>
      </c>
      <c r="P120" s="7" t="s">
        <v>29</v>
      </c>
      <c r="Q120" s="7" t="s">
        <v>29</v>
      </c>
      <c r="R120" s="7" t="s">
        <v>29</v>
      </c>
      <c r="S120" s="7" t="s">
        <v>29</v>
      </c>
    </row>
    <row r="121" spans="2:19">
      <c r="B121" s="7" t="s">
        <v>195</v>
      </c>
      <c r="C121" s="8" t="s">
        <v>195</v>
      </c>
      <c r="D121" s="6" t="str">
        <f>LRTRIM(CONCATENATE(IF(SUMPRODUCT(-- ISNUMBER(SEARCH({"Auto Number"}, $B121))) &gt; 0, $B121, IF(SUMPRODUCT(-- ISNUMBER(SEARCH({"Lookup","Master-Detail"}, $B121))) &gt; 0,$B121 &amp; "(" &amp; $E121 &amp; ")",IF(SUMPRODUCT(-- ISNUMBER(SEARCH({"Formula","Roll-Up Summary"}, $B121))) &gt; 0,$B121 &amp; " (" &amp; $E121 &amp; ")",IF(SUMPRODUCT(-- ISNUMBER(SEARCH({"Content","Currency","Number","Percent","Text","URL"}, $B121))) &gt; 0,$B121 &amp; "(" &amp; $C121 &amp; ")",$B121)))), "  ", TRIM(IF($S121 = "YES", "(External ID)", "") &amp; " " &amp; IF(SUMPRODUCT(-- ISNUMBER(SEARCH({"Unique","Unique Case Insensitive"}, $R121))) &gt; 0, "(" &amp; $R121 &amp; ")", ""))))</f>
        <v>na</v>
      </c>
      <c r="E121" s="7" t="s">
        <v>195</v>
      </c>
      <c r="F121" s="7" t="s">
        <v>195</v>
      </c>
      <c r="G121" s="7" t="s">
        <v>195</v>
      </c>
      <c r="H121" s="7" t="s">
        <v>195</v>
      </c>
      <c r="I121" s="7" t="s">
        <v>195</v>
      </c>
      <c r="J121" s="7" t="s">
        <v>195</v>
      </c>
      <c r="K121" s="7" t="s">
        <v>195</v>
      </c>
      <c r="L121" s="7" t="s">
        <v>195</v>
      </c>
      <c r="M121" s="7" t="s">
        <v>29</v>
      </c>
      <c r="N121" s="7" t="s">
        <v>29</v>
      </c>
      <c r="O121" s="7" t="s">
        <v>29</v>
      </c>
      <c r="P121" s="7" t="s">
        <v>29</v>
      </c>
      <c r="Q121" s="7" t="s">
        <v>29</v>
      </c>
      <c r="R121" s="7" t="s">
        <v>29</v>
      </c>
      <c r="S121" s="7" t="s">
        <v>29</v>
      </c>
    </row>
    <row r="122" spans="2:19">
      <c r="B122" s="7" t="s">
        <v>195</v>
      </c>
      <c r="C122" s="8" t="s">
        <v>195</v>
      </c>
      <c r="D122" s="6" t="str">
        <f>LRTRIM(CONCATENATE(IF(SUMPRODUCT(-- ISNUMBER(SEARCH({"Auto Number"}, $B122))) &gt; 0, $B122, IF(SUMPRODUCT(-- ISNUMBER(SEARCH({"Lookup","Master-Detail"}, $B122))) &gt; 0,$B122 &amp; "(" &amp; $E122 &amp; ")",IF(SUMPRODUCT(-- ISNUMBER(SEARCH({"Formula","Roll-Up Summary"}, $B122))) &gt; 0,$B122 &amp; " (" &amp; $E122 &amp; ")",IF(SUMPRODUCT(-- ISNUMBER(SEARCH({"Content","Currency","Number","Percent","Text","URL"}, $B122))) &gt; 0,$B122 &amp; "(" &amp; $C122 &amp; ")",$B122)))), "  ", TRIM(IF($S122 = "YES", "(External ID)", "") &amp; " " &amp; IF(SUMPRODUCT(-- ISNUMBER(SEARCH({"Unique","Unique Case Insensitive"}, $R122))) &gt; 0, "(" &amp; $R122 &amp; ")", ""))))</f>
        <v>na</v>
      </c>
      <c r="E122" s="7" t="s">
        <v>195</v>
      </c>
      <c r="F122" s="7" t="s">
        <v>195</v>
      </c>
      <c r="G122" s="7" t="s">
        <v>195</v>
      </c>
      <c r="H122" s="7" t="s">
        <v>195</v>
      </c>
      <c r="I122" s="7" t="s">
        <v>195</v>
      </c>
      <c r="J122" s="7" t="s">
        <v>195</v>
      </c>
      <c r="K122" s="7" t="s">
        <v>195</v>
      </c>
      <c r="L122" s="7" t="s">
        <v>195</v>
      </c>
      <c r="M122" s="7" t="s">
        <v>29</v>
      </c>
      <c r="N122" s="7" t="s">
        <v>29</v>
      </c>
      <c r="O122" s="7" t="s">
        <v>29</v>
      </c>
      <c r="P122" s="7" t="s">
        <v>29</v>
      </c>
      <c r="Q122" s="7" t="s">
        <v>29</v>
      </c>
      <c r="R122" s="7" t="s">
        <v>29</v>
      </c>
      <c r="S122" s="7" t="s">
        <v>29</v>
      </c>
    </row>
    <row r="123" spans="2:19">
      <c r="B123" s="7" t="s">
        <v>195</v>
      </c>
      <c r="C123" s="8" t="s">
        <v>195</v>
      </c>
      <c r="D123" s="6" t="str">
        <f>LRTRIM(CONCATENATE(IF(SUMPRODUCT(-- ISNUMBER(SEARCH({"Auto Number"}, $B123))) &gt; 0, $B123, IF(SUMPRODUCT(-- ISNUMBER(SEARCH({"Lookup","Master-Detail"}, $B123))) &gt; 0,$B123 &amp; "(" &amp; $E123 &amp; ")",IF(SUMPRODUCT(-- ISNUMBER(SEARCH({"Formula","Roll-Up Summary"}, $B123))) &gt; 0,$B123 &amp; " (" &amp; $E123 &amp; ")",IF(SUMPRODUCT(-- ISNUMBER(SEARCH({"Content","Currency","Number","Percent","Text","URL"}, $B123))) &gt; 0,$B123 &amp; "(" &amp; $C123 &amp; ")",$B123)))), "  ", TRIM(IF($S123 = "YES", "(External ID)", "") &amp; " " &amp; IF(SUMPRODUCT(-- ISNUMBER(SEARCH({"Unique","Unique Case Insensitive"}, $R123))) &gt; 0, "(" &amp; $R123 &amp; ")", ""))))</f>
        <v>na</v>
      </c>
      <c r="E123" s="7" t="s">
        <v>195</v>
      </c>
      <c r="F123" s="7" t="s">
        <v>195</v>
      </c>
      <c r="G123" s="7" t="s">
        <v>195</v>
      </c>
      <c r="H123" s="7" t="s">
        <v>195</v>
      </c>
      <c r="I123" s="7" t="s">
        <v>195</v>
      </c>
      <c r="J123" s="7" t="s">
        <v>195</v>
      </c>
      <c r="K123" s="7" t="s">
        <v>195</v>
      </c>
      <c r="L123" s="7" t="s">
        <v>195</v>
      </c>
      <c r="M123" s="7" t="s">
        <v>29</v>
      </c>
      <c r="N123" s="7" t="s">
        <v>29</v>
      </c>
      <c r="O123" s="7" t="s">
        <v>29</v>
      </c>
      <c r="P123" s="7" t="s">
        <v>29</v>
      </c>
      <c r="Q123" s="7" t="s">
        <v>29</v>
      </c>
      <c r="R123" s="7" t="s">
        <v>29</v>
      </c>
      <c r="S123" s="7" t="s">
        <v>29</v>
      </c>
    </row>
    <row r="124" spans="2:19">
      <c r="B124" s="7" t="s">
        <v>195</v>
      </c>
      <c r="C124" s="8" t="s">
        <v>195</v>
      </c>
      <c r="D124" s="6" t="str">
        <f>LRTRIM(CONCATENATE(IF(SUMPRODUCT(-- ISNUMBER(SEARCH({"Auto Number"}, $B124))) &gt; 0, $B124, IF(SUMPRODUCT(-- ISNUMBER(SEARCH({"Lookup","Master-Detail"}, $B124))) &gt; 0,$B124 &amp; "(" &amp; $E124 &amp; ")",IF(SUMPRODUCT(-- ISNUMBER(SEARCH({"Formula","Roll-Up Summary"}, $B124))) &gt; 0,$B124 &amp; " (" &amp; $E124 &amp; ")",IF(SUMPRODUCT(-- ISNUMBER(SEARCH({"Content","Currency","Number","Percent","Text","URL"}, $B124))) &gt; 0,$B124 &amp; "(" &amp; $C124 &amp; ")",$B124)))), "  ", TRIM(IF($S124 = "YES", "(External ID)", "") &amp; " " &amp; IF(SUMPRODUCT(-- ISNUMBER(SEARCH({"Unique","Unique Case Insensitive"}, $R124))) &gt; 0, "(" &amp; $R124 &amp; ")", ""))))</f>
        <v>na</v>
      </c>
      <c r="E124" s="7" t="s">
        <v>195</v>
      </c>
      <c r="F124" s="7" t="s">
        <v>195</v>
      </c>
      <c r="G124" s="7" t="s">
        <v>195</v>
      </c>
      <c r="H124" s="7" t="s">
        <v>195</v>
      </c>
      <c r="I124" s="7" t="s">
        <v>195</v>
      </c>
      <c r="J124" s="7" t="s">
        <v>195</v>
      </c>
      <c r="K124" s="7" t="s">
        <v>195</v>
      </c>
      <c r="L124" s="7" t="s">
        <v>195</v>
      </c>
      <c r="M124" s="7" t="s">
        <v>29</v>
      </c>
      <c r="N124" s="7" t="s">
        <v>29</v>
      </c>
      <c r="O124" s="7" t="s">
        <v>29</v>
      </c>
      <c r="P124" s="7" t="s">
        <v>29</v>
      </c>
      <c r="Q124" s="7" t="s">
        <v>29</v>
      </c>
      <c r="R124" s="7" t="s">
        <v>29</v>
      </c>
      <c r="S124" s="7" t="s">
        <v>29</v>
      </c>
    </row>
    <row r="125" spans="2:19">
      <c r="B125" s="7" t="s">
        <v>195</v>
      </c>
      <c r="C125" s="8" t="s">
        <v>195</v>
      </c>
      <c r="D125" s="6" t="str">
        <f>LRTRIM(CONCATENATE(IF(SUMPRODUCT(-- ISNUMBER(SEARCH({"Auto Number"}, $B125))) &gt; 0, $B125, IF(SUMPRODUCT(-- ISNUMBER(SEARCH({"Lookup","Master-Detail"}, $B125))) &gt; 0,$B125 &amp; "(" &amp; $E125 &amp; ")",IF(SUMPRODUCT(-- ISNUMBER(SEARCH({"Formula","Roll-Up Summary"}, $B125))) &gt; 0,$B125 &amp; " (" &amp; $E125 &amp; ")",IF(SUMPRODUCT(-- ISNUMBER(SEARCH({"Content","Currency","Number","Percent","Text","URL"}, $B125))) &gt; 0,$B125 &amp; "(" &amp; $C125 &amp; ")",$B125)))), "  ", TRIM(IF($S125 = "YES", "(External ID)", "") &amp; " " &amp; IF(SUMPRODUCT(-- ISNUMBER(SEARCH({"Unique","Unique Case Insensitive"}, $R125))) &gt; 0, "(" &amp; $R125 &amp; ")", ""))))</f>
        <v>na</v>
      </c>
      <c r="E125" s="7" t="s">
        <v>195</v>
      </c>
      <c r="F125" s="7" t="s">
        <v>195</v>
      </c>
      <c r="G125" s="7" t="s">
        <v>195</v>
      </c>
      <c r="H125" s="7" t="s">
        <v>195</v>
      </c>
      <c r="I125" s="7" t="s">
        <v>195</v>
      </c>
      <c r="J125" s="7" t="s">
        <v>195</v>
      </c>
      <c r="K125" s="7" t="s">
        <v>195</v>
      </c>
      <c r="L125" s="7" t="s">
        <v>195</v>
      </c>
      <c r="M125" s="7" t="s">
        <v>29</v>
      </c>
      <c r="N125" s="7" t="s">
        <v>29</v>
      </c>
      <c r="O125" s="7" t="s">
        <v>29</v>
      </c>
      <c r="P125" s="7" t="s">
        <v>29</v>
      </c>
      <c r="Q125" s="7" t="s">
        <v>29</v>
      </c>
      <c r="R125" s="7" t="s">
        <v>29</v>
      </c>
      <c r="S125" s="7" t="s">
        <v>29</v>
      </c>
    </row>
    <row r="126" spans="2:19">
      <c r="B126" s="7" t="s">
        <v>195</v>
      </c>
      <c r="C126" s="8" t="s">
        <v>195</v>
      </c>
      <c r="D126" s="6" t="str">
        <f>LRTRIM(CONCATENATE(IF(SUMPRODUCT(-- ISNUMBER(SEARCH({"Auto Number"}, $B126))) &gt; 0, $B126, IF(SUMPRODUCT(-- ISNUMBER(SEARCH({"Lookup","Master-Detail"}, $B126))) &gt; 0,$B126 &amp; "(" &amp; $E126 &amp; ")",IF(SUMPRODUCT(-- ISNUMBER(SEARCH({"Formula","Roll-Up Summary"}, $B126))) &gt; 0,$B126 &amp; " (" &amp; $E126 &amp; ")",IF(SUMPRODUCT(-- ISNUMBER(SEARCH({"Content","Currency","Number","Percent","Text","URL"}, $B126))) &gt; 0,$B126 &amp; "(" &amp; $C126 &amp; ")",$B126)))), "  ", TRIM(IF($S126 = "YES", "(External ID)", "") &amp; " " &amp; IF(SUMPRODUCT(-- ISNUMBER(SEARCH({"Unique","Unique Case Insensitive"}, $R126))) &gt; 0, "(" &amp; $R126 &amp; ")", ""))))</f>
        <v>na</v>
      </c>
      <c r="E126" s="7" t="s">
        <v>195</v>
      </c>
      <c r="F126" s="7" t="s">
        <v>195</v>
      </c>
      <c r="G126" s="7" t="s">
        <v>195</v>
      </c>
      <c r="H126" s="7" t="s">
        <v>195</v>
      </c>
      <c r="I126" s="7" t="s">
        <v>195</v>
      </c>
      <c r="J126" s="7" t="s">
        <v>195</v>
      </c>
      <c r="K126" s="7" t="s">
        <v>195</v>
      </c>
      <c r="L126" s="7" t="s">
        <v>195</v>
      </c>
      <c r="M126" s="7" t="s">
        <v>29</v>
      </c>
      <c r="N126" s="7" t="s">
        <v>29</v>
      </c>
      <c r="O126" s="7" t="s">
        <v>29</v>
      </c>
      <c r="P126" s="7" t="s">
        <v>29</v>
      </c>
      <c r="Q126" s="7" t="s">
        <v>29</v>
      </c>
      <c r="R126" s="7" t="s">
        <v>29</v>
      </c>
      <c r="S126" s="7" t="s">
        <v>29</v>
      </c>
    </row>
    <row r="127" spans="2:19">
      <c r="B127" s="7" t="s">
        <v>195</v>
      </c>
      <c r="C127" s="8" t="s">
        <v>195</v>
      </c>
      <c r="D127" s="6" t="str">
        <f>LRTRIM(CONCATENATE(IF(SUMPRODUCT(-- ISNUMBER(SEARCH({"Auto Number"}, $B127))) &gt; 0, $B127, IF(SUMPRODUCT(-- ISNUMBER(SEARCH({"Lookup","Master-Detail"}, $B127))) &gt; 0,$B127 &amp; "(" &amp; $E127 &amp; ")",IF(SUMPRODUCT(-- ISNUMBER(SEARCH({"Formula","Roll-Up Summary"}, $B127))) &gt; 0,$B127 &amp; " (" &amp; $E127 &amp; ")",IF(SUMPRODUCT(-- ISNUMBER(SEARCH({"Content","Currency","Number","Percent","Text","URL"}, $B127))) &gt; 0,$B127 &amp; "(" &amp; $C127 &amp; ")",$B127)))), "  ", TRIM(IF($S127 = "YES", "(External ID)", "") &amp; " " &amp; IF(SUMPRODUCT(-- ISNUMBER(SEARCH({"Unique","Unique Case Insensitive"}, $R127))) &gt; 0, "(" &amp; $R127 &amp; ")", ""))))</f>
        <v>na</v>
      </c>
      <c r="E127" s="7" t="s">
        <v>195</v>
      </c>
      <c r="F127" s="7" t="s">
        <v>195</v>
      </c>
      <c r="G127" s="7" t="s">
        <v>195</v>
      </c>
      <c r="H127" s="7" t="s">
        <v>195</v>
      </c>
      <c r="I127" s="7" t="s">
        <v>195</v>
      </c>
      <c r="J127" s="7" t="s">
        <v>195</v>
      </c>
      <c r="K127" s="7" t="s">
        <v>195</v>
      </c>
      <c r="L127" s="7" t="s">
        <v>195</v>
      </c>
      <c r="M127" s="7" t="s">
        <v>29</v>
      </c>
      <c r="N127" s="7" t="s">
        <v>29</v>
      </c>
      <c r="O127" s="7" t="s">
        <v>29</v>
      </c>
      <c r="P127" s="7" t="s">
        <v>29</v>
      </c>
      <c r="Q127" s="7" t="s">
        <v>29</v>
      </c>
      <c r="R127" s="7" t="s">
        <v>29</v>
      </c>
      <c r="S127" s="7" t="s">
        <v>29</v>
      </c>
    </row>
    <row r="128" spans="2:19">
      <c r="B128" s="7" t="s">
        <v>195</v>
      </c>
      <c r="C128" s="8" t="s">
        <v>195</v>
      </c>
      <c r="D128" s="6" t="str">
        <f>LRTRIM(CONCATENATE(IF(SUMPRODUCT(-- ISNUMBER(SEARCH({"Auto Number"}, $B128))) &gt; 0, $B128, IF(SUMPRODUCT(-- ISNUMBER(SEARCH({"Lookup","Master-Detail"}, $B128))) &gt; 0,$B128 &amp; "(" &amp; $E128 &amp; ")",IF(SUMPRODUCT(-- ISNUMBER(SEARCH({"Formula","Roll-Up Summary"}, $B128))) &gt; 0,$B128 &amp; " (" &amp; $E128 &amp; ")",IF(SUMPRODUCT(-- ISNUMBER(SEARCH({"Content","Currency","Number","Percent","Text","URL"}, $B128))) &gt; 0,$B128 &amp; "(" &amp; $C128 &amp; ")",$B128)))), "  ", TRIM(IF($S128 = "YES", "(External ID)", "") &amp; " " &amp; IF(SUMPRODUCT(-- ISNUMBER(SEARCH({"Unique","Unique Case Insensitive"}, $R128))) &gt; 0, "(" &amp; $R128 &amp; ")", ""))))</f>
        <v>na</v>
      </c>
      <c r="E128" s="7" t="s">
        <v>195</v>
      </c>
      <c r="F128" s="7" t="s">
        <v>195</v>
      </c>
      <c r="G128" s="7" t="s">
        <v>195</v>
      </c>
      <c r="H128" s="7" t="s">
        <v>195</v>
      </c>
      <c r="I128" s="7" t="s">
        <v>195</v>
      </c>
      <c r="J128" s="7" t="s">
        <v>195</v>
      </c>
      <c r="K128" s="7" t="s">
        <v>195</v>
      </c>
      <c r="L128" s="7" t="s">
        <v>195</v>
      </c>
      <c r="M128" s="7" t="s">
        <v>29</v>
      </c>
      <c r="N128" s="7" t="s">
        <v>29</v>
      </c>
      <c r="O128" s="7" t="s">
        <v>29</v>
      </c>
      <c r="P128" s="7" t="s">
        <v>29</v>
      </c>
      <c r="Q128" s="7" t="s">
        <v>29</v>
      </c>
      <c r="R128" s="7" t="s">
        <v>29</v>
      </c>
      <c r="S128" s="7" t="s">
        <v>29</v>
      </c>
    </row>
    <row r="129" spans="2:19">
      <c r="B129" s="7" t="s">
        <v>195</v>
      </c>
      <c r="C129" s="8" t="s">
        <v>195</v>
      </c>
      <c r="D129" s="6" t="str">
        <f>LRTRIM(CONCATENATE(IF(SUMPRODUCT(-- ISNUMBER(SEARCH({"Auto Number"}, $B129))) &gt; 0, $B129, IF(SUMPRODUCT(-- ISNUMBER(SEARCH({"Lookup","Master-Detail"}, $B129))) &gt; 0,$B129 &amp; "(" &amp; $E129 &amp; ")",IF(SUMPRODUCT(-- ISNUMBER(SEARCH({"Formula","Roll-Up Summary"}, $B129))) &gt; 0,$B129 &amp; " (" &amp; $E129 &amp; ")",IF(SUMPRODUCT(-- ISNUMBER(SEARCH({"Content","Currency","Number","Percent","Text","URL"}, $B129))) &gt; 0,$B129 &amp; "(" &amp; $C129 &amp; ")",$B129)))), "  ", TRIM(IF($S129 = "YES", "(External ID)", "") &amp; " " &amp; IF(SUMPRODUCT(-- ISNUMBER(SEARCH({"Unique","Unique Case Insensitive"}, $R129))) &gt; 0, "(" &amp; $R129 &amp; ")", ""))))</f>
        <v>na</v>
      </c>
      <c r="E129" s="7" t="s">
        <v>195</v>
      </c>
      <c r="F129" s="7" t="s">
        <v>195</v>
      </c>
      <c r="G129" s="7" t="s">
        <v>195</v>
      </c>
      <c r="H129" s="7" t="s">
        <v>195</v>
      </c>
      <c r="I129" s="7" t="s">
        <v>195</v>
      </c>
      <c r="J129" s="7" t="s">
        <v>195</v>
      </c>
      <c r="K129" s="7" t="s">
        <v>195</v>
      </c>
      <c r="L129" s="7" t="s">
        <v>195</v>
      </c>
      <c r="M129" s="7" t="s">
        <v>29</v>
      </c>
      <c r="N129" s="7" t="s">
        <v>29</v>
      </c>
      <c r="O129" s="7" t="s">
        <v>29</v>
      </c>
      <c r="P129" s="7" t="s">
        <v>29</v>
      </c>
      <c r="Q129" s="7" t="s">
        <v>29</v>
      </c>
      <c r="R129" s="7" t="s">
        <v>29</v>
      </c>
      <c r="S129" s="7" t="s">
        <v>29</v>
      </c>
    </row>
    <row r="130" spans="2:19">
      <c r="B130" s="7" t="s">
        <v>195</v>
      </c>
      <c r="C130" s="8" t="s">
        <v>195</v>
      </c>
      <c r="D130" s="6" t="str">
        <f>LRTRIM(CONCATENATE(IF(SUMPRODUCT(-- ISNUMBER(SEARCH({"Auto Number"}, $B130))) &gt; 0, $B130, IF(SUMPRODUCT(-- ISNUMBER(SEARCH({"Lookup","Master-Detail"}, $B130))) &gt; 0,$B130 &amp; "(" &amp; $E130 &amp; ")",IF(SUMPRODUCT(-- ISNUMBER(SEARCH({"Formula","Roll-Up Summary"}, $B130))) &gt; 0,$B130 &amp; " (" &amp; $E130 &amp; ")",IF(SUMPRODUCT(-- ISNUMBER(SEARCH({"Content","Currency","Number","Percent","Text","URL"}, $B130))) &gt; 0,$B130 &amp; "(" &amp; $C130 &amp; ")",$B130)))), "  ", TRIM(IF($S130 = "YES", "(External ID)", "") &amp; " " &amp; IF(SUMPRODUCT(-- ISNUMBER(SEARCH({"Unique","Unique Case Insensitive"}, $R130))) &gt; 0, "(" &amp; $R130 &amp; ")", ""))))</f>
        <v>na</v>
      </c>
      <c r="E130" s="7" t="s">
        <v>195</v>
      </c>
      <c r="F130" s="7" t="s">
        <v>195</v>
      </c>
      <c r="G130" s="7" t="s">
        <v>195</v>
      </c>
      <c r="H130" s="7" t="s">
        <v>195</v>
      </c>
      <c r="I130" s="7" t="s">
        <v>195</v>
      </c>
      <c r="J130" s="7" t="s">
        <v>195</v>
      </c>
      <c r="K130" s="7" t="s">
        <v>195</v>
      </c>
      <c r="L130" s="7" t="s">
        <v>195</v>
      </c>
      <c r="M130" s="7" t="s">
        <v>29</v>
      </c>
      <c r="N130" s="7" t="s">
        <v>29</v>
      </c>
      <c r="O130" s="7" t="s">
        <v>29</v>
      </c>
      <c r="P130" s="7" t="s">
        <v>29</v>
      </c>
      <c r="Q130" s="7" t="s">
        <v>29</v>
      </c>
      <c r="R130" s="7" t="s">
        <v>29</v>
      </c>
      <c r="S130" s="7" t="s">
        <v>29</v>
      </c>
    </row>
    <row r="131" spans="2:19">
      <c r="B131" s="7" t="s">
        <v>195</v>
      </c>
      <c r="C131" s="8" t="s">
        <v>195</v>
      </c>
      <c r="D131" s="6" t="str">
        <f>LRTRIM(CONCATENATE(IF(SUMPRODUCT(-- ISNUMBER(SEARCH({"Auto Number"}, $B131))) &gt; 0, $B131, IF(SUMPRODUCT(-- ISNUMBER(SEARCH({"Lookup","Master-Detail"}, $B131))) &gt; 0,$B131 &amp; "(" &amp; $E131 &amp; ")",IF(SUMPRODUCT(-- ISNUMBER(SEARCH({"Formula","Roll-Up Summary"}, $B131))) &gt; 0,$B131 &amp; " (" &amp; $E131 &amp; ")",IF(SUMPRODUCT(-- ISNUMBER(SEARCH({"Content","Currency","Number","Percent","Text","URL"}, $B131))) &gt; 0,$B131 &amp; "(" &amp; $C131 &amp; ")",$B131)))), "  ", TRIM(IF($S131 = "YES", "(External ID)", "") &amp; " " &amp; IF(SUMPRODUCT(-- ISNUMBER(SEARCH({"Unique","Unique Case Insensitive"}, $R131))) &gt; 0, "(" &amp; $R131 &amp; ")", ""))))</f>
        <v>na</v>
      </c>
      <c r="E131" s="7" t="s">
        <v>195</v>
      </c>
      <c r="F131" s="7" t="s">
        <v>195</v>
      </c>
      <c r="G131" s="7" t="s">
        <v>195</v>
      </c>
      <c r="H131" s="7" t="s">
        <v>195</v>
      </c>
      <c r="I131" s="7" t="s">
        <v>195</v>
      </c>
      <c r="J131" s="7" t="s">
        <v>195</v>
      </c>
      <c r="K131" s="7" t="s">
        <v>195</v>
      </c>
      <c r="L131" s="7" t="s">
        <v>195</v>
      </c>
      <c r="M131" s="7" t="s">
        <v>29</v>
      </c>
      <c r="N131" s="7" t="s">
        <v>29</v>
      </c>
      <c r="O131" s="7" t="s">
        <v>29</v>
      </c>
      <c r="P131" s="7" t="s">
        <v>29</v>
      </c>
      <c r="Q131" s="7" t="s">
        <v>29</v>
      </c>
      <c r="R131" s="7" t="s">
        <v>29</v>
      </c>
      <c r="S131" s="7" t="s">
        <v>29</v>
      </c>
    </row>
    <row r="132" spans="2:19">
      <c r="B132" s="7" t="s">
        <v>195</v>
      </c>
      <c r="C132" s="8" t="s">
        <v>195</v>
      </c>
      <c r="D132" s="6" t="str">
        <f>LRTRIM(CONCATENATE(IF(SUMPRODUCT(-- ISNUMBER(SEARCH({"Auto Number"}, $B132))) &gt; 0, $B132, IF(SUMPRODUCT(-- ISNUMBER(SEARCH({"Lookup","Master-Detail"}, $B132))) &gt; 0,$B132 &amp; "(" &amp; $E132 &amp; ")",IF(SUMPRODUCT(-- ISNUMBER(SEARCH({"Formula","Roll-Up Summary"}, $B132))) &gt; 0,$B132 &amp; " (" &amp; $E132 &amp; ")",IF(SUMPRODUCT(-- ISNUMBER(SEARCH({"Content","Currency","Number","Percent","Text","URL"}, $B132))) &gt; 0,$B132 &amp; "(" &amp; $C132 &amp; ")",$B132)))), "  ", TRIM(IF($S132 = "YES", "(External ID)", "") &amp; " " &amp; IF(SUMPRODUCT(-- ISNUMBER(SEARCH({"Unique","Unique Case Insensitive"}, $R132))) &gt; 0, "(" &amp; $R132 &amp; ")", ""))))</f>
        <v>na</v>
      </c>
      <c r="E132" s="7" t="s">
        <v>195</v>
      </c>
      <c r="F132" s="7" t="s">
        <v>195</v>
      </c>
      <c r="G132" s="7" t="s">
        <v>195</v>
      </c>
      <c r="H132" s="7" t="s">
        <v>195</v>
      </c>
      <c r="I132" s="7" t="s">
        <v>195</v>
      </c>
      <c r="J132" s="7" t="s">
        <v>195</v>
      </c>
      <c r="K132" s="7" t="s">
        <v>195</v>
      </c>
      <c r="L132" s="7" t="s">
        <v>195</v>
      </c>
      <c r="M132" s="7" t="s">
        <v>29</v>
      </c>
      <c r="N132" s="7" t="s">
        <v>29</v>
      </c>
      <c r="O132" s="7" t="s">
        <v>29</v>
      </c>
      <c r="P132" s="7" t="s">
        <v>29</v>
      </c>
      <c r="Q132" s="7" t="s">
        <v>29</v>
      </c>
      <c r="R132" s="7" t="s">
        <v>29</v>
      </c>
      <c r="S132" s="7" t="s">
        <v>29</v>
      </c>
    </row>
    <row r="133" spans="2:19">
      <c r="B133" s="7" t="s">
        <v>195</v>
      </c>
      <c r="C133" s="8" t="s">
        <v>195</v>
      </c>
      <c r="D133" s="6" t="str">
        <f>LRTRIM(CONCATENATE(IF(SUMPRODUCT(-- ISNUMBER(SEARCH({"Auto Number"}, $B133))) &gt; 0, $B133, IF(SUMPRODUCT(-- ISNUMBER(SEARCH({"Lookup","Master-Detail"}, $B133))) &gt; 0,$B133 &amp; "(" &amp; $E133 &amp; ")",IF(SUMPRODUCT(-- ISNUMBER(SEARCH({"Formula","Roll-Up Summary"}, $B133))) &gt; 0,$B133 &amp; " (" &amp; $E133 &amp; ")",IF(SUMPRODUCT(-- ISNUMBER(SEARCH({"Content","Currency","Number","Percent","Text","URL"}, $B133))) &gt; 0,$B133 &amp; "(" &amp; $C133 &amp; ")",$B133)))), "  ", TRIM(IF($S133 = "YES", "(External ID)", "") &amp; " " &amp; IF(SUMPRODUCT(-- ISNUMBER(SEARCH({"Unique","Unique Case Insensitive"}, $R133))) &gt; 0, "(" &amp; $R133 &amp; ")", ""))))</f>
        <v>na</v>
      </c>
      <c r="E133" s="7" t="s">
        <v>195</v>
      </c>
      <c r="F133" s="7" t="s">
        <v>195</v>
      </c>
      <c r="G133" s="7" t="s">
        <v>195</v>
      </c>
      <c r="H133" s="7" t="s">
        <v>195</v>
      </c>
      <c r="I133" s="7" t="s">
        <v>195</v>
      </c>
      <c r="J133" s="7" t="s">
        <v>195</v>
      </c>
      <c r="K133" s="7" t="s">
        <v>195</v>
      </c>
      <c r="L133" s="7" t="s">
        <v>195</v>
      </c>
      <c r="M133" s="7" t="s">
        <v>29</v>
      </c>
      <c r="N133" s="7" t="s">
        <v>29</v>
      </c>
      <c r="O133" s="7" t="s">
        <v>29</v>
      </c>
      <c r="P133" s="7" t="s">
        <v>29</v>
      </c>
      <c r="Q133" s="7" t="s">
        <v>29</v>
      </c>
      <c r="R133" s="7" t="s">
        <v>29</v>
      </c>
      <c r="S133" s="7" t="s">
        <v>29</v>
      </c>
    </row>
    <row r="134" spans="2:19">
      <c r="B134" s="7" t="s">
        <v>195</v>
      </c>
      <c r="C134" s="8" t="s">
        <v>195</v>
      </c>
      <c r="D134" s="6" t="str">
        <f>LRTRIM(CONCATENATE(IF(SUMPRODUCT(-- ISNUMBER(SEARCH({"Auto Number"}, $B134))) &gt; 0, $B134, IF(SUMPRODUCT(-- ISNUMBER(SEARCH({"Lookup","Master-Detail"}, $B134))) &gt; 0,$B134 &amp; "(" &amp; $E134 &amp; ")",IF(SUMPRODUCT(-- ISNUMBER(SEARCH({"Formula","Roll-Up Summary"}, $B134))) &gt; 0,$B134 &amp; " (" &amp; $E134 &amp; ")",IF(SUMPRODUCT(-- ISNUMBER(SEARCH({"Content","Currency","Number","Percent","Text","URL"}, $B134))) &gt; 0,$B134 &amp; "(" &amp; $C134 &amp; ")",$B134)))), "  ", TRIM(IF($S134 = "YES", "(External ID)", "") &amp; " " &amp; IF(SUMPRODUCT(-- ISNUMBER(SEARCH({"Unique","Unique Case Insensitive"}, $R134))) &gt; 0, "(" &amp; $R134 &amp; ")", ""))))</f>
        <v>na</v>
      </c>
      <c r="E134" s="7" t="s">
        <v>195</v>
      </c>
      <c r="F134" s="7" t="s">
        <v>195</v>
      </c>
      <c r="G134" s="7" t="s">
        <v>195</v>
      </c>
      <c r="H134" s="7" t="s">
        <v>195</v>
      </c>
      <c r="I134" s="7" t="s">
        <v>195</v>
      </c>
      <c r="J134" s="7" t="s">
        <v>195</v>
      </c>
      <c r="K134" s="7" t="s">
        <v>195</v>
      </c>
      <c r="L134" s="7" t="s">
        <v>195</v>
      </c>
      <c r="M134" s="7" t="s">
        <v>29</v>
      </c>
      <c r="N134" s="7" t="s">
        <v>29</v>
      </c>
      <c r="O134" s="7" t="s">
        <v>29</v>
      </c>
      <c r="P134" s="7" t="s">
        <v>29</v>
      </c>
      <c r="Q134" s="7" t="s">
        <v>29</v>
      </c>
      <c r="R134" s="7" t="s">
        <v>29</v>
      </c>
      <c r="S134" s="7" t="s">
        <v>29</v>
      </c>
    </row>
    <row r="135" spans="2:19">
      <c r="B135" s="7" t="s">
        <v>195</v>
      </c>
      <c r="C135" s="8" t="s">
        <v>195</v>
      </c>
      <c r="D135" s="6" t="str">
        <f>LRTRIM(CONCATENATE(IF(SUMPRODUCT(-- ISNUMBER(SEARCH({"Auto Number"}, $B135))) &gt; 0, $B135, IF(SUMPRODUCT(-- ISNUMBER(SEARCH({"Lookup","Master-Detail"}, $B135))) &gt; 0,$B135 &amp; "(" &amp; $E135 &amp; ")",IF(SUMPRODUCT(-- ISNUMBER(SEARCH({"Formula","Roll-Up Summary"}, $B135))) &gt; 0,$B135 &amp; " (" &amp; $E135 &amp; ")",IF(SUMPRODUCT(-- ISNUMBER(SEARCH({"Content","Currency","Number","Percent","Text","URL"}, $B135))) &gt; 0,$B135 &amp; "(" &amp; $C135 &amp; ")",$B135)))), "  ", TRIM(IF($S135 = "YES", "(External ID)", "") &amp; " " &amp; IF(SUMPRODUCT(-- ISNUMBER(SEARCH({"Unique","Unique Case Insensitive"}, $R135))) &gt; 0, "(" &amp; $R135 &amp; ")", ""))))</f>
        <v>na</v>
      </c>
      <c r="E135" s="7" t="s">
        <v>195</v>
      </c>
      <c r="F135" s="7" t="s">
        <v>195</v>
      </c>
      <c r="G135" s="7" t="s">
        <v>195</v>
      </c>
      <c r="H135" s="7" t="s">
        <v>195</v>
      </c>
      <c r="I135" s="7" t="s">
        <v>195</v>
      </c>
      <c r="J135" s="7" t="s">
        <v>195</v>
      </c>
      <c r="K135" s="7" t="s">
        <v>195</v>
      </c>
      <c r="L135" s="7" t="s">
        <v>195</v>
      </c>
      <c r="M135" s="7" t="s">
        <v>29</v>
      </c>
      <c r="N135" s="7" t="s">
        <v>29</v>
      </c>
      <c r="O135" s="7" t="s">
        <v>29</v>
      </c>
      <c r="P135" s="7" t="s">
        <v>29</v>
      </c>
      <c r="Q135" s="7" t="s">
        <v>29</v>
      </c>
      <c r="R135" s="7" t="s">
        <v>29</v>
      </c>
      <c r="S135" s="7" t="s">
        <v>29</v>
      </c>
    </row>
    <row r="136" spans="2:19">
      <c r="B136" s="7" t="s">
        <v>195</v>
      </c>
      <c r="C136" s="8" t="s">
        <v>195</v>
      </c>
      <c r="D136" s="6" t="str">
        <f>LRTRIM(CONCATENATE(IF(SUMPRODUCT(-- ISNUMBER(SEARCH({"Auto Number"}, $B136))) &gt; 0, $B136, IF(SUMPRODUCT(-- ISNUMBER(SEARCH({"Lookup","Master-Detail"}, $B136))) &gt; 0,$B136 &amp; "(" &amp; $E136 &amp; ")",IF(SUMPRODUCT(-- ISNUMBER(SEARCH({"Formula","Roll-Up Summary"}, $B136))) &gt; 0,$B136 &amp; " (" &amp; $E136 &amp; ")",IF(SUMPRODUCT(-- ISNUMBER(SEARCH({"Content","Currency","Number","Percent","Text","URL"}, $B136))) &gt; 0,$B136 &amp; "(" &amp; $C136 &amp; ")",$B136)))), "  ", TRIM(IF($S136 = "YES", "(External ID)", "") &amp; " " &amp; IF(SUMPRODUCT(-- ISNUMBER(SEARCH({"Unique","Unique Case Insensitive"}, $R136))) &gt; 0, "(" &amp; $R136 &amp; ")", ""))))</f>
        <v>na</v>
      </c>
      <c r="E136" s="7" t="s">
        <v>195</v>
      </c>
      <c r="F136" s="7" t="s">
        <v>195</v>
      </c>
      <c r="G136" s="7" t="s">
        <v>195</v>
      </c>
      <c r="H136" s="7" t="s">
        <v>195</v>
      </c>
      <c r="I136" s="7" t="s">
        <v>195</v>
      </c>
      <c r="J136" s="7" t="s">
        <v>195</v>
      </c>
      <c r="K136" s="7" t="s">
        <v>195</v>
      </c>
      <c r="L136" s="7" t="s">
        <v>195</v>
      </c>
      <c r="M136" s="7" t="s">
        <v>29</v>
      </c>
      <c r="N136" s="7" t="s">
        <v>29</v>
      </c>
      <c r="O136" s="7" t="s">
        <v>29</v>
      </c>
      <c r="P136" s="7" t="s">
        <v>29</v>
      </c>
      <c r="Q136" s="7" t="s">
        <v>29</v>
      </c>
      <c r="R136" s="7" t="s">
        <v>29</v>
      </c>
      <c r="S136" s="7" t="s">
        <v>29</v>
      </c>
    </row>
    <row r="137" spans="2:19">
      <c r="B137" s="7" t="s">
        <v>195</v>
      </c>
      <c r="C137" s="8" t="s">
        <v>195</v>
      </c>
      <c r="D137" s="6" t="str">
        <f>LRTRIM(CONCATENATE(IF(SUMPRODUCT(-- ISNUMBER(SEARCH({"Auto Number"}, $B137))) &gt; 0, $B137, IF(SUMPRODUCT(-- ISNUMBER(SEARCH({"Lookup","Master-Detail"}, $B137))) &gt; 0,$B137 &amp; "(" &amp; $E137 &amp; ")",IF(SUMPRODUCT(-- ISNUMBER(SEARCH({"Formula","Roll-Up Summary"}, $B137))) &gt; 0,$B137 &amp; " (" &amp; $E137 &amp; ")",IF(SUMPRODUCT(-- ISNUMBER(SEARCH({"Content","Currency","Number","Percent","Text","URL"}, $B137))) &gt; 0,$B137 &amp; "(" &amp; $C137 &amp; ")",$B137)))), "  ", TRIM(IF($S137 = "YES", "(External ID)", "") &amp; " " &amp; IF(SUMPRODUCT(-- ISNUMBER(SEARCH({"Unique","Unique Case Insensitive"}, $R137))) &gt; 0, "(" &amp; $R137 &amp; ")", ""))))</f>
        <v>na</v>
      </c>
      <c r="E137" s="7" t="s">
        <v>195</v>
      </c>
      <c r="F137" s="7" t="s">
        <v>195</v>
      </c>
      <c r="G137" s="7" t="s">
        <v>195</v>
      </c>
      <c r="H137" s="7" t="s">
        <v>195</v>
      </c>
      <c r="I137" s="7" t="s">
        <v>195</v>
      </c>
      <c r="J137" s="7" t="s">
        <v>195</v>
      </c>
      <c r="K137" s="7" t="s">
        <v>195</v>
      </c>
      <c r="L137" s="7" t="s">
        <v>195</v>
      </c>
      <c r="M137" s="7" t="s">
        <v>29</v>
      </c>
      <c r="N137" s="7" t="s">
        <v>29</v>
      </c>
      <c r="O137" s="7" t="s">
        <v>29</v>
      </c>
      <c r="P137" s="7" t="s">
        <v>29</v>
      </c>
      <c r="Q137" s="7" t="s">
        <v>29</v>
      </c>
      <c r="R137" s="7" t="s">
        <v>29</v>
      </c>
      <c r="S137" s="7" t="s">
        <v>29</v>
      </c>
    </row>
    <row r="138" spans="2:19">
      <c r="B138" s="7" t="s">
        <v>195</v>
      </c>
      <c r="C138" s="8" t="s">
        <v>195</v>
      </c>
      <c r="D138" s="6" t="str">
        <f>LRTRIM(CONCATENATE(IF(SUMPRODUCT(-- ISNUMBER(SEARCH({"Auto Number"}, $B138))) &gt; 0, $B138, IF(SUMPRODUCT(-- ISNUMBER(SEARCH({"Lookup","Master-Detail"}, $B138))) &gt; 0,$B138 &amp; "(" &amp; $E138 &amp; ")",IF(SUMPRODUCT(-- ISNUMBER(SEARCH({"Formula","Roll-Up Summary"}, $B138))) &gt; 0,$B138 &amp; " (" &amp; $E138 &amp; ")",IF(SUMPRODUCT(-- ISNUMBER(SEARCH({"Content","Currency","Number","Percent","Text","URL"}, $B138))) &gt; 0,$B138 &amp; "(" &amp; $C138 &amp; ")",$B138)))), "  ", TRIM(IF($S138 = "YES", "(External ID)", "") &amp; " " &amp; IF(SUMPRODUCT(-- ISNUMBER(SEARCH({"Unique","Unique Case Insensitive"}, $R138))) &gt; 0, "(" &amp; $R138 &amp; ")", ""))))</f>
        <v>na</v>
      </c>
      <c r="E138" s="7" t="s">
        <v>195</v>
      </c>
      <c r="F138" s="7" t="s">
        <v>195</v>
      </c>
      <c r="G138" s="7" t="s">
        <v>195</v>
      </c>
      <c r="H138" s="7" t="s">
        <v>195</v>
      </c>
      <c r="I138" s="7" t="s">
        <v>195</v>
      </c>
      <c r="J138" s="7" t="s">
        <v>195</v>
      </c>
      <c r="K138" s="7" t="s">
        <v>195</v>
      </c>
      <c r="L138" s="7" t="s">
        <v>195</v>
      </c>
      <c r="M138" s="7" t="s">
        <v>29</v>
      </c>
      <c r="N138" s="7" t="s">
        <v>29</v>
      </c>
      <c r="O138" s="7" t="s">
        <v>29</v>
      </c>
      <c r="P138" s="7" t="s">
        <v>29</v>
      </c>
      <c r="Q138" s="7" t="s">
        <v>29</v>
      </c>
      <c r="R138" s="7" t="s">
        <v>29</v>
      </c>
      <c r="S138" s="7" t="s">
        <v>29</v>
      </c>
    </row>
    <row r="139" spans="2:19">
      <c r="B139" s="7" t="s">
        <v>195</v>
      </c>
      <c r="C139" s="8" t="s">
        <v>195</v>
      </c>
      <c r="D139" s="6" t="str">
        <f>LRTRIM(CONCATENATE(IF(SUMPRODUCT(-- ISNUMBER(SEARCH({"Auto Number"}, $B139))) &gt; 0, $B139, IF(SUMPRODUCT(-- ISNUMBER(SEARCH({"Lookup","Master-Detail"}, $B139))) &gt; 0,$B139 &amp; "(" &amp; $E139 &amp; ")",IF(SUMPRODUCT(-- ISNUMBER(SEARCH({"Formula","Roll-Up Summary"}, $B139))) &gt; 0,$B139 &amp; " (" &amp; $E139 &amp; ")",IF(SUMPRODUCT(-- ISNUMBER(SEARCH({"Content","Currency","Number","Percent","Text","URL"}, $B139))) &gt; 0,$B139 &amp; "(" &amp; $C139 &amp; ")",$B139)))), "  ", TRIM(IF($S139 = "YES", "(External ID)", "") &amp; " " &amp; IF(SUMPRODUCT(-- ISNUMBER(SEARCH({"Unique","Unique Case Insensitive"}, $R139))) &gt; 0, "(" &amp; $R139 &amp; ")", ""))))</f>
        <v>na</v>
      </c>
      <c r="E139" s="7" t="s">
        <v>195</v>
      </c>
      <c r="F139" s="7" t="s">
        <v>195</v>
      </c>
      <c r="G139" s="7" t="s">
        <v>195</v>
      </c>
      <c r="H139" s="7" t="s">
        <v>195</v>
      </c>
      <c r="I139" s="7" t="s">
        <v>195</v>
      </c>
      <c r="J139" s="7" t="s">
        <v>195</v>
      </c>
      <c r="K139" s="7" t="s">
        <v>195</v>
      </c>
      <c r="L139" s="7" t="s">
        <v>195</v>
      </c>
      <c r="M139" s="7" t="s">
        <v>29</v>
      </c>
      <c r="N139" s="7" t="s">
        <v>29</v>
      </c>
      <c r="O139" s="7" t="s">
        <v>29</v>
      </c>
      <c r="P139" s="7" t="s">
        <v>29</v>
      </c>
      <c r="Q139" s="7" t="s">
        <v>29</v>
      </c>
      <c r="R139" s="7" t="s">
        <v>29</v>
      </c>
      <c r="S139" s="7" t="s">
        <v>29</v>
      </c>
    </row>
    <row r="140" spans="2:19">
      <c r="B140" s="7" t="s">
        <v>195</v>
      </c>
      <c r="C140" s="8" t="s">
        <v>195</v>
      </c>
      <c r="D140" s="6" t="str">
        <f>LRTRIM(CONCATENATE(IF(SUMPRODUCT(-- ISNUMBER(SEARCH({"Auto Number"}, $B140))) &gt; 0, $B140, IF(SUMPRODUCT(-- ISNUMBER(SEARCH({"Lookup","Master-Detail"}, $B140))) &gt; 0,$B140 &amp; "(" &amp; $E140 &amp; ")",IF(SUMPRODUCT(-- ISNUMBER(SEARCH({"Formula","Roll-Up Summary"}, $B140))) &gt; 0,$B140 &amp; " (" &amp; $E140 &amp; ")",IF(SUMPRODUCT(-- ISNUMBER(SEARCH({"Content","Currency","Number","Percent","Text","URL"}, $B140))) &gt; 0,$B140 &amp; "(" &amp; $C140 &amp; ")",$B140)))), "  ", TRIM(IF($S140 = "YES", "(External ID)", "") &amp; " " &amp; IF(SUMPRODUCT(-- ISNUMBER(SEARCH({"Unique","Unique Case Insensitive"}, $R140))) &gt; 0, "(" &amp; $R140 &amp; ")", ""))))</f>
        <v>na</v>
      </c>
      <c r="E140" s="7" t="s">
        <v>195</v>
      </c>
      <c r="F140" s="7" t="s">
        <v>195</v>
      </c>
      <c r="G140" s="7" t="s">
        <v>195</v>
      </c>
      <c r="H140" s="7" t="s">
        <v>195</v>
      </c>
      <c r="I140" s="7" t="s">
        <v>195</v>
      </c>
      <c r="J140" s="7" t="s">
        <v>195</v>
      </c>
      <c r="K140" s="7" t="s">
        <v>195</v>
      </c>
      <c r="L140" s="7" t="s">
        <v>195</v>
      </c>
      <c r="M140" s="7" t="s">
        <v>29</v>
      </c>
      <c r="N140" s="7" t="s">
        <v>29</v>
      </c>
      <c r="O140" s="7" t="s">
        <v>29</v>
      </c>
      <c r="P140" s="7" t="s">
        <v>29</v>
      </c>
      <c r="Q140" s="7" t="s">
        <v>29</v>
      </c>
      <c r="R140" s="7" t="s">
        <v>29</v>
      </c>
      <c r="S140" s="7" t="s">
        <v>29</v>
      </c>
    </row>
    <row r="141" spans="2:19">
      <c r="B141" s="7" t="s">
        <v>195</v>
      </c>
      <c r="C141" s="8" t="s">
        <v>195</v>
      </c>
      <c r="D141" s="6" t="str">
        <f>LRTRIM(CONCATENATE(IF(SUMPRODUCT(-- ISNUMBER(SEARCH({"Auto Number"}, $B141))) &gt; 0, $B141, IF(SUMPRODUCT(-- ISNUMBER(SEARCH({"Lookup","Master-Detail"}, $B141))) &gt; 0,$B141 &amp; "(" &amp; $E141 &amp; ")",IF(SUMPRODUCT(-- ISNUMBER(SEARCH({"Formula","Roll-Up Summary"}, $B141))) &gt; 0,$B141 &amp; " (" &amp; $E141 &amp; ")",IF(SUMPRODUCT(-- ISNUMBER(SEARCH({"Content","Currency","Number","Percent","Text","URL"}, $B141))) &gt; 0,$B141 &amp; "(" &amp; $C141 &amp; ")",$B141)))), "  ", TRIM(IF($S141 = "YES", "(External ID)", "") &amp; " " &amp; IF(SUMPRODUCT(-- ISNUMBER(SEARCH({"Unique","Unique Case Insensitive"}, $R141))) &gt; 0, "(" &amp; $R141 &amp; ")", ""))))</f>
        <v>na</v>
      </c>
      <c r="E141" s="7" t="s">
        <v>195</v>
      </c>
      <c r="F141" s="7" t="s">
        <v>195</v>
      </c>
      <c r="G141" s="7" t="s">
        <v>195</v>
      </c>
      <c r="H141" s="7" t="s">
        <v>195</v>
      </c>
      <c r="I141" s="7" t="s">
        <v>195</v>
      </c>
      <c r="J141" s="7" t="s">
        <v>195</v>
      </c>
      <c r="K141" s="7" t="s">
        <v>195</v>
      </c>
      <c r="L141" s="7" t="s">
        <v>195</v>
      </c>
      <c r="M141" s="7" t="s">
        <v>29</v>
      </c>
      <c r="N141" s="7" t="s">
        <v>29</v>
      </c>
      <c r="O141" s="7" t="s">
        <v>29</v>
      </c>
      <c r="P141" s="7" t="s">
        <v>29</v>
      </c>
      <c r="Q141" s="7" t="s">
        <v>29</v>
      </c>
      <c r="R141" s="7" t="s">
        <v>29</v>
      </c>
      <c r="S141" s="7" t="s">
        <v>29</v>
      </c>
    </row>
    <row r="142" spans="2:19">
      <c r="B142" s="7" t="s">
        <v>195</v>
      </c>
      <c r="C142" s="8" t="s">
        <v>195</v>
      </c>
      <c r="D142" s="6" t="str">
        <f>LRTRIM(CONCATENATE(IF(SUMPRODUCT(-- ISNUMBER(SEARCH({"Auto Number"}, $B142))) &gt; 0, $B142, IF(SUMPRODUCT(-- ISNUMBER(SEARCH({"Lookup","Master-Detail"}, $B142))) &gt; 0,$B142 &amp; "(" &amp; $E142 &amp; ")",IF(SUMPRODUCT(-- ISNUMBER(SEARCH({"Formula","Roll-Up Summary"}, $B142))) &gt; 0,$B142 &amp; " (" &amp; $E142 &amp; ")",IF(SUMPRODUCT(-- ISNUMBER(SEARCH({"Content","Currency","Number","Percent","Text","URL"}, $B142))) &gt; 0,$B142 &amp; "(" &amp; $C142 &amp; ")",$B142)))), "  ", TRIM(IF($S142 = "YES", "(External ID)", "") &amp; " " &amp; IF(SUMPRODUCT(-- ISNUMBER(SEARCH({"Unique","Unique Case Insensitive"}, $R142))) &gt; 0, "(" &amp; $R142 &amp; ")", ""))))</f>
        <v>na</v>
      </c>
      <c r="E142" s="7" t="s">
        <v>195</v>
      </c>
      <c r="F142" s="7" t="s">
        <v>195</v>
      </c>
      <c r="G142" s="7" t="s">
        <v>195</v>
      </c>
      <c r="H142" s="7" t="s">
        <v>195</v>
      </c>
      <c r="I142" s="7" t="s">
        <v>195</v>
      </c>
      <c r="J142" s="7" t="s">
        <v>195</v>
      </c>
      <c r="K142" s="7" t="s">
        <v>195</v>
      </c>
      <c r="L142" s="7" t="s">
        <v>195</v>
      </c>
      <c r="M142" s="7" t="s">
        <v>29</v>
      </c>
      <c r="N142" s="7" t="s">
        <v>29</v>
      </c>
      <c r="O142" s="7" t="s">
        <v>29</v>
      </c>
      <c r="P142" s="7" t="s">
        <v>29</v>
      </c>
      <c r="Q142" s="7" t="s">
        <v>29</v>
      </c>
      <c r="R142" s="7" t="s">
        <v>29</v>
      </c>
      <c r="S142" s="7" t="s">
        <v>29</v>
      </c>
    </row>
    <row r="143" spans="2:19">
      <c r="B143" s="7" t="s">
        <v>195</v>
      </c>
      <c r="C143" s="8" t="s">
        <v>195</v>
      </c>
      <c r="D143" s="6" t="str">
        <f>LRTRIM(CONCATENATE(IF(SUMPRODUCT(-- ISNUMBER(SEARCH({"Auto Number"}, $B143))) &gt; 0, $B143, IF(SUMPRODUCT(-- ISNUMBER(SEARCH({"Lookup","Master-Detail"}, $B143))) &gt; 0,$B143 &amp; "(" &amp; $E143 &amp; ")",IF(SUMPRODUCT(-- ISNUMBER(SEARCH({"Formula","Roll-Up Summary"}, $B143))) &gt; 0,$B143 &amp; " (" &amp; $E143 &amp; ")",IF(SUMPRODUCT(-- ISNUMBER(SEARCH({"Content","Currency","Number","Percent","Text","URL"}, $B143))) &gt; 0,$B143 &amp; "(" &amp; $C143 &amp; ")",$B143)))), "  ", TRIM(IF($S143 = "YES", "(External ID)", "") &amp; " " &amp; IF(SUMPRODUCT(-- ISNUMBER(SEARCH({"Unique","Unique Case Insensitive"}, $R143))) &gt; 0, "(" &amp; $R143 &amp; ")", ""))))</f>
        <v>na</v>
      </c>
      <c r="E143" s="7" t="s">
        <v>195</v>
      </c>
      <c r="F143" s="7" t="s">
        <v>195</v>
      </c>
      <c r="G143" s="7" t="s">
        <v>195</v>
      </c>
      <c r="H143" s="7" t="s">
        <v>195</v>
      </c>
      <c r="I143" s="7" t="s">
        <v>195</v>
      </c>
      <c r="J143" s="7" t="s">
        <v>195</v>
      </c>
      <c r="K143" s="7" t="s">
        <v>195</v>
      </c>
      <c r="L143" s="7" t="s">
        <v>195</v>
      </c>
      <c r="M143" s="7" t="s">
        <v>29</v>
      </c>
      <c r="N143" s="7" t="s">
        <v>29</v>
      </c>
      <c r="O143" s="7" t="s">
        <v>29</v>
      </c>
      <c r="P143" s="7" t="s">
        <v>29</v>
      </c>
      <c r="Q143" s="7" t="s">
        <v>29</v>
      </c>
      <c r="R143" s="7" t="s">
        <v>29</v>
      </c>
      <c r="S143" s="7" t="s">
        <v>29</v>
      </c>
    </row>
    <row r="144" spans="2:19">
      <c r="B144" s="7" t="s">
        <v>195</v>
      </c>
      <c r="C144" s="8" t="s">
        <v>195</v>
      </c>
      <c r="D144" s="6" t="str">
        <f>LRTRIM(CONCATENATE(IF(SUMPRODUCT(-- ISNUMBER(SEARCH({"Auto Number"}, $B144))) &gt; 0, $B144, IF(SUMPRODUCT(-- ISNUMBER(SEARCH({"Lookup","Master-Detail"}, $B144))) &gt; 0,$B144 &amp; "(" &amp; $E144 &amp; ")",IF(SUMPRODUCT(-- ISNUMBER(SEARCH({"Formula","Roll-Up Summary"}, $B144))) &gt; 0,$B144 &amp; " (" &amp; $E144 &amp; ")",IF(SUMPRODUCT(-- ISNUMBER(SEARCH({"Content","Currency","Number","Percent","Text","URL"}, $B144))) &gt; 0,$B144 &amp; "(" &amp; $C144 &amp; ")",$B144)))), "  ", TRIM(IF($S144 = "YES", "(External ID)", "") &amp; " " &amp; IF(SUMPRODUCT(-- ISNUMBER(SEARCH({"Unique","Unique Case Insensitive"}, $R144))) &gt; 0, "(" &amp; $R144 &amp; ")", ""))))</f>
        <v>na</v>
      </c>
      <c r="E144" s="7" t="s">
        <v>195</v>
      </c>
      <c r="F144" s="7" t="s">
        <v>195</v>
      </c>
      <c r="G144" s="7" t="s">
        <v>195</v>
      </c>
      <c r="H144" s="7" t="s">
        <v>195</v>
      </c>
      <c r="I144" s="7" t="s">
        <v>195</v>
      </c>
      <c r="J144" s="7" t="s">
        <v>195</v>
      </c>
      <c r="K144" s="7" t="s">
        <v>195</v>
      </c>
      <c r="L144" s="7" t="s">
        <v>195</v>
      </c>
      <c r="M144" s="7" t="s">
        <v>29</v>
      </c>
      <c r="N144" s="7" t="s">
        <v>29</v>
      </c>
      <c r="O144" s="7" t="s">
        <v>29</v>
      </c>
      <c r="P144" s="7" t="s">
        <v>29</v>
      </c>
      <c r="Q144" s="7" t="s">
        <v>29</v>
      </c>
      <c r="R144" s="7" t="s">
        <v>29</v>
      </c>
      <c r="S144" s="7" t="s">
        <v>29</v>
      </c>
    </row>
    <row r="145" spans="2:19">
      <c r="B145" s="7" t="s">
        <v>195</v>
      </c>
      <c r="C145" s="8" t="s">
        <v>195</v>
      </c>
      <c r="D145" s="6" t="str">
        <f>LRTRIM(CONCATENATE(IF(SUMPRODUCT(-- ISNUMBER(SEARCH({"Auto Number"}, $B145))) &gt; 0, $B145, IF(SUMPRODUCT(-- ISNUMBER(SEARCH({"Lookup","Master-Detail"}, $B145))) &gt; 0,$B145 &amp; "(" &amp; $E145 &amp; ")",IF(SUMPRODUCT(-- ISNUMBER(SEARCH({"Formula","Roll-Up Summary"}, $B145))) &gt; 0,$B145 &amp; " (" &amp; $E145 &amp; ")",IF(SUMPRODUCT(-- ISNUMBER(SEARCH({"Content","Currency","Number","Percent","Text","URL"}, $B145))) &gt; 0,$B145 &amp; "(" &amp; $C145 &amp; ")",$B145)))), "  ", TRIM(IF($S145 = "YES", "(External ID)", "") &amp; " " &amp; IF(SUMPRODUCT(-- ISNUMBER(SEARCH({"Unique","Unique Case Insensitive"}, $R145))) &gt; 0, "(" &amp; $R145 &amp; ")", ""))))</f>
        <v>na</v>
      </c>
      <c r="E145" s="7" t="s">
        <v>195</v>
      </c>
      <c r="F145" s="7" t="s">
        <v>195</v>
      </c>
      <c r="G145" s="7" t="s">
        <v>195</v>
      </c>
      <c r="H145" s="7" t="s">
        <v>195</v>
      </c>
      <c r="I145" s="7" t="s">
        <v>195</v>
      </c>
      <c r="J145" s="7" t="s">
        <v>195</v>
      </c>
      <c r="K145" s="7" t="s">
        <v>195</v>
      </c>
      <c r="L145" s="7" t="s">
        <v>195</v>
      </c>
      <c r="M145" s="7" t="s">
        <v>29</v>
      </c>
      <c r="N145" s="7" t="s">
        <v>29</v>
      </c>
      <c r="O145" s="7" t="s">
        <v>29</v>
      </c>
      <c r="P145" s="7" t="s">
        <v>29</v>
      </c>
      <c r="Q145" s="7" t="s">
        <v>29</v>
      </c>
      <c r="R145" s="7" t="s">
        <v>29</v>
      </c>
      <c r="S145" s="7" t="s">
        <v>29</v>
      </c>
    </row>
    <row r="146" spans="2:19">
      <c r="B146" s="7" t="s">
        <v>195</v>
      </c>
      <c r="C146" s="8" t="s">
        <v>195</v>
      </c>
      <c r="D146" s="6" t="str">
        <f>LRTRIM(CONCATENATE(IF(SUMPRODUCT(-- ISNUMBER(SEARCH({"Auto Number"}, $B146))) &gt; 0, $B146, IF(SUMPRODUCT(-- ISNUMBER(SEARCH({"Lookup","Master-Detail"}, $B146))) &gt; 0,$B146 &amp; "(" &amp; $E146 &amp; ")",IF(SUMPRODUCT(-- ISNUMBER(SEARCH({"Formula","Roll-Up Summary"}, $B146))) &gt; 0,$B146 &amp; " (" &amp; $E146 &amp; ")",IF(SUMPRODUCT(-- ISNUMBER(SEARCH({"Content","Currency","Number","Percent","Text","URL"}, $B146))) &gt; 0,$B146 &amp; "(" &amp; $C146 &amp; ")",$B146)))), "  ", TRIM(IF($S146 = "YES", "(External ID)", "") &amp; " " &amp; IF(SUMPRODUCT(-- ISNUMBER(SEARCH({"Unique","Unique Case Insensitive"}, $R146))) &gt; 0, "(" &amp; $R146 &amp; ")", ""))))</f>
        <v>na</v>
      </c>
      <c r="E146" s="7" t="s">
        <v>195</v>
      </c>
      <c r="F146" s="7" t="s">
        <v>195</v>
      </c>
      <c r="G146" s="7" t="s">
        <v>195</v>
      </c>
      <c r="H146" s="7" t="s">
        <v>195</v>
      </c>
      <c r="I146" s="7" t="s">
        <v>195</v>
      </c>
      <c r="J146" s="7" t="s">
        <v>195</v>
      </c>
      <c r="K146" s="7" t="s">
        <v>195</v>
      </c>
      <c r="L146" s="7" t="s">
        <v>195</v>
      </c>
      <c r="M146" s="7" t="s">
        <v>29</v>
      </c>
      <c r="N146" s="7" t="s">
        <v>29</v>
      </c>
      <c r="O146" s="7" t="s">
        <v>29</v>
      </c>
      <c r="P146" s="7" t="s">
        <v>29</v>
      </c>
      <c r="Q146" s="7" t="s">
        <v>29</v>
      </c>
      <c r="R146" s="7" t="s">
        <v>29</v>
      </c>
      <c r="S146" s="7" t="s">
        <v>29</v>
      </c>
    </row>
    <row r="147" spans="2:19">
      <c r="B147" s="7" t="s">
        <v>195</v>
      </c>
      <c r="C147" s="8" t="s">
        <v>195</v>
      </c>
      <c r="D147" s="6" t="str">
        <f>LRTRIM(CONCATENATE(IF(SUMPRODUCT(-- ISNUMBER(SEARCH({"Auto Number"}, $B147))) &gt; 0, $B147, IF(SUMPRODUCT(-- ISNUMBER(SEARCH({"Lookup","Master-Detail"}, $B147))) &gt; 0,$B147 &amp; "(" &amp; $E147 &amp; ")",IF(SUMPRODUCT(-- ISNUMBER(SEARCH({"Formula","Roll-Up Summary"}, $B147))) &gt; 0,$B147 &amp; " (" &amp; $E147 &amp; ")",IF(SUMPRODUCT(-- ISNUMBER(SEARCH({"Content","Currency","Number","Percent","Text","URL"}, $B147))) &gt; 0,$B147 &amp; "(" &amp; $C147 &amp; ")",$B147)))), "  ", TRIM(IF($S147 = "YES", "(External ID)", "") &amp; " " &amp; IF(SUMPRODUCT(-- ISNUMBER(SEARCH({"Unique","Unique Case Insensitive"}, $R147))) &gt; 0, "(" &amp; $R147 &amp; ")", ""))))</f>
        <v>na</v>
      </c>
      <c r="E147" s="7" t="s">
        <v>195</v>
      </c>
      <c r="F147" s="7" t="s">
        <v>195</v>
      </c>
      <c r="G147" s="7" t="s">
        <v>195</v>
      </c>
      <c r="H147" s="7" t="s">
        <v>195</v>
      </c>
      <c r="I147" s="7" t="s">
        <v>195</v>
      </c>
      <c r="J147" s="7" t="s">
        <v>195</v>
      </c>
      <c r="K147" s="7" t="s">
        <v>195</v>
      </c>
      <c r="L147" s="7" t="s">
        <v>195</v>
      </c>
      <c r="M147" s="7" t="s">
        <v>29</v>
      </c>
      <c r="N147" s="7" t="s">
        <v>29</v>
      </c>
      <c r="O147" s="7" t="s">
        <v>29</v>
      </c>
      <c r="P147" s="7" t="s">
        <v>29</v>
      </c>
      <c r="Q147" s="7" t="s">
        <v>29</v>
      </c>
      <c r="R147" s="7" t="s">
        <v>29</v>
      </c>
      <c r="S147" s="7" t="s">
        <v>29</v>
      </c>
    </row>
    <row r="148" spans="2:19">
      <c r="B148" s="7" t="s">
        <v>195</v>
      </c>
      <c r="C148" s="8" t="s">
        <v>195</v>
      </c>
      <c r="D148" s="6" t="str">
        <f>LRTRIM(CONCATENATE(IF(SUMPRODUCT(-- ISNUMBER(SEARCH({"Auto Number"}, $B148))) &gt; 0, $B148, IF(SUMPRODUCT(-- ISNUMBER(SEARCH({"Lookup","Master-Detail"}, $B148))) &gt; 0,$B148 &amp; "(" &amp; $E148 &amp; ")",IF(SUMPRODUCT(-- ISNUMBER(SEARCH({"Formula","Roll-Up Summary"}, $B148))) &gt; 0,$B148 &amp; " (" &amp; $E148 &amp; ")",IF(SUMPRODUCT(-- ISNUMBER(SEARCH({"Content","Currency","Number","Percent","Text","URL"}, $B148))) &gt; 0,$B148 &amp; "(" &amp; $C148 &amp; ")",$B148)))), "  ", TRIM(IF($S148 = "YES", "(External ID)", "") &amp; " " &amp; IF(SUMPRODUCT(-- ISNUMBER(SEARCH({"Unique","Unique Case Insensitive"}, $R148))) &gt; 0, "(" &amp; $R148 &amp; ")", ""))))</f>
        <v>na</v>
      </c>
      <c r="E148" s="7" t="s">
        <v>195</v>
      </c>
      <c r="F148" s="7" t="s">
        <v>195</v>
      </c>
      <c r="G148" s="7" t="s">
        <v>195</v>
      </c>
      <c r="H148" s="7" t="s">
        <v>195</v>
      </c>
      <c r="I148" s="7" t="s">
        <v>195</v>
      </c>
      <c r="J148" s="7" t="s">
        <v>195</v>
      </c>
      <c r="K148" s="7" t="s">
        <v>195</v>
      </c>
      <c r="L148" s="7" t="s">
        <v>195</v>
      </c>
      <c r="M148" s="7" t="s">
        <v>29</v>
      </c>
      <c r="N148" s="7" t="s">
        <v>29</v>
      </c>
      <c r="O148" s="7" t="s">
        <v>29</v>
      </c>
      <c r="P148" s="7" t="s">
        <v>29</v>
      </c>
      <c r="Q148" s="7" t="s">
        <v>29</v>
      </c>
      <c r="R148" s="7" t="s">
        <v>29</v>
      </c>
      <c r="S148" s="7" t="s">
        <v>29</v>
      </c>
    </row>
    <row r="149" spans="2:19">
      <c r="B149" s="7" t="s">
        <v>195</v>
      </c>
      <c r="C149" s="8" t="s">
        <v>195</v>
      </c>
      <c r="D149" s="6" t="str">
        <f>LRTRIM(CONCATENATE(IF(SUMPRODUCT(-- ISNUMBER(SEARCH({"Auto Number"}, $B149))) &gt; 0, $B149, IF(SUMPRODUCT(-- ISNUMBER(SEARCH({"Lookup","Master-Detail"}, $B149))) &gt; 0,$B149 &amp; "(" &amp; $E149 &amp; ")",IF(SUMPRODUCT(-- ISNUMBER(SEARCH({"Formula","Roll-Up Summary"}, $B149))) &gt; 0,$B149 &amp; " (" &amp; $E149 &amp; ")",IF(SUMPRODUCT(-- ISNUMBER(SEARCH({"Content","Currency","Number","Percent","Text","URL"}, $B149))) &gt; 0,$B149 &amp; "(" &amp; $C149 &amp; ")",$B149)))), "  ", TRIM(IF($S149 = "YES", "(External ID)", "") &amp; " " &amp; IF(SUMPRODUCT(-- ISNUMBER(SEARCH({"Unique","Unique Case Insensitive"}, $R149))) &gt; 0, "(" &amp; $R149 &amp; ")", ""))))</f>
        <v>na</v>
      </c>
      <c r="E149" s="7" t="s">
        <v>195</v>
      </c>
      <c r="F149" s="7" t="s">
        <v>195</v>
      </c>
      <c r="G149" s="7" t="s">
        <v>195</v>
      </c>
      <c r="H149" s="7" t="s">
        <v>195</v>
      </c>
      <c r="I149" s="7" t="s">
        <v>195</v>
      </c>
      <c r="J149" s="7" t="s">
        <v>195</v>
      </c>
      <c r="K149" s="7" t="s">
        <v>195</v>
      </c>
      <c r="L149" s="7" t="s">
        <v>195</v>
      </c>
      <c r="M149" s="7" t="s">
        <v>29</v>
      </c>
      <c r="N149" s="7" t="s">
        <v>29</v>
      </c>
      <c r="O149" s="7" t="s">
        <v>29</v>
      </c>
      <c r="P149" s="7" t="s">
        <v>29</v>
      </c>
      <c r="Q149" s="7" t="s">
        <v>29</v>
      </c>
      <c r="R149" s="7" t="s">
        <v>29</v>
      </c>
      <c r="S149" s="7" t="s">
        <v>29</v>
      </c>
    </row>
    <row r="150" spans="2:19">
      <c r="B150" s="7" t="s">
        <v>195</v>
      </c>
      <c r="C150" s="8" t="s">
        <v>195</v>
      </c>
      <c r="D150" s="6" t="str">
        <f>LRTRIM(CONCATENATE(IF(SUMPRODUCT(-- ISNUMBER(SEARCH({"Auto Number"}, $B150))) &gt; 0, $B150, IF(SUMPRODUCT(-- ISNUMBER(SEARCH({"Lookup","Master-Detail"}, $B150))) &gt; 0,$B150 &amp; "(" &amp; $E150 &amp; ")",IF(SUMPRODUCT(-- ISNUMBER(SEARCH({"Formula","Roll-Up Summary"}, $B150))) &gt; 0,$B150 &amp; " (" &amp; $E150 &amp; ")",IF(SUMPRODUCT(-- ISNUMBER(SEARCH({"Content","Currency","Number","Percent","Text","URL"}, $B150))) &gt; 0,$B150 &amp; "(" &amp; $C150 &amp; ")",$B150)))), "  ", TRIM(IF($S150 = "YES", "(External ID)", "") &amp; " " &amp; IF(SUMPRODUCT(-- ISNUMBER(SEARCH({"Unique","Unique Case Insensitive"}, $R150))) &gt; 0, "(" &amp; $R150 &amp; ")", ""))))</f>
        <v>na</v>
      </c>
      <c r="E150" s="7" t="s">
        <v>195</v>
      </c>
      <c r="F150" s="7" t="s">
        <v>195</v>
      </c>
      <c r="G150" s="7" t="s">
        <v>195</v>
      </c>
      <c r="H150" s="7" t="s">
        <v>195</v>
      </c>
      <c r="I150" s="7" t="s">
        <v>195</v>
      </c>
      <c r="J150" s="7" t="s">
        <v>195</v>
      </c>
      <c r="K150" s="7" t="s">
        <v>195</v>
      </c>
      <c r="L150" s="7" t="s">
        <v>195</v>
      </c>
      <c r="M150" s="7" t="s">
        <v>29</v>
      </c>
      <c r="N150" s="7" t="s">
        <v>29</v>
      </c>
      <c r="O150" s="7" t="s">
        <v>29</v>
      </c>
      <c r="P150" s="7" t="s">
        <v>29</v>
      </c>
      <c r="Q150" s="7" t="s">
        <v>29</v>
      </c>
      <c r="R150" s="7" t="s">
        <v>29</v>
      </c>
      <c r="S150" s="7" t="s">
        <v>29</v>
      </c>
    </row>
    <row r="151" spans="2:19">
      <c r="B151" s="7" t="s">
        <v>195</v>
      </c>
      <c r="C151" s="8" t="s">
        <v>195</v>
      </c>
      <c r="D151" s="6" t="str">
        <f>LRTRIM(CONCATENATE(IF(SUMPRODUCT(-- ISNUMBER(SEARCH({"Auto Number"}, $B151))) &gt; 0, $B151, IF(SUMPRODUCT(-- ISNUMBER(SEARCH({"Lookup","Master-Detail"}, $B151))) &gt; 0,$B151 &amp; "(" &amp; $E151 &amp; ")",IF(SUMPRODUCT(-- ISNUMBER(SEARCH({"Formula","Roll-Up Summary"}, $B151))) &gt; 0,$B151 &amp; " (" &amp; $E151 &amp; ")",IF(SUMPRODUCT(-- ISNUMBER(SEARCH({"Content","Currency","Number","Percent","Text","URL"}, $B151))) &gt; 0,$B151 &amp; "(" &amp; $C151 &amp; ")",$B151)))), "  ", TRIM(IF($S151 = "YES", "(External ID)", "") &amp; " " &amp; IF(SUMPRODUCT(-- ISNUMBER(SEARCH({"Unique","Unique Case Insensitive"}, $R151))) &gt; 0, "(" &amp; $R151 &amp; ")", ""))))</f>
        <v>na</v>
      </c>
      <c r="E151" s="7" t="s">
        <v>195</v>
      </c>
      <c r="F151" s="7" t="s">
        <v>195</v>
      </c>
      <c r="G151" s="7" t="s">
        <v>195</v>
      </c>
      <c r="H151" s="7" t="s">
        <v>195</v>
      </c>
      <c r="I151" s="7" t="s">
        <v>195</v>
      </c>
      <c r="J151" s="7" t="s">
        <v>195</v>
      </c>
      <c r="K151" s="7" t="s">
        <v>195</v>
      </c>
      <c r="L151" s="7" t="s">
        <v>195</v>
      </c>
      <c r="M151" s="7" t="s">
        <v>29</v>
      </c>
      <c r="N151" s="7" t="s">
        <v>29</v>
      </c>
      <c r="O151" s="7" t="s">
        <v>29</v>
      </c>
      <c r="P151" s="7" t="s">
        <v>29</v>
      </c>
      <c r="Q151" s="7" t="s">
        <v>29</v>
      </c>
      <c r="R151" s="7" t="s">
        <v>29</v>
      </c>
      <c r="S151" s="7" t="s">
        <v>29</v>
      </c>
    </row>
    <row r="152" spans="2:19">
      <c r="B152" s="7" t="s">
        <v>195</v>
      </c>
      <c r="C152" s="8" t="s">
        <v>195</v>
      </c>
      <c r="D152" s="6" t="str">
        <f>LRTRIM(CONCATENATE(IF(SUMPRODUCT(-- ISNUMBER(SEARCH({"Auto Number"}, $B152))) &gt; 0, $B152, IF(SUMPRODUCT(-- ISNUMBER(SEARCH({"Lookup","Master-Detail"}, $B152))) &gt; 0,$B152 &amp; "(" &amp; $E152 &amp; ")",IF(SUMPRODUCT(-- ISNUMBER(SEARCH({"Formula","Roll-Up Summary"}, $B152))) &gt; 0,$B152 &amp; " (" &amp; $E152 &amp; ")",IF(SUMPRODUCT(-- ISNUMBER(SEARCH({"Content","Currency","Number","Percent","Text","URL"}, $B152))) &gt; 0,$B152 &amp; "(" &amp; $C152 &amp; ")",$B152)))), "  ", TRIM(IF($S152 = "YES", "(External ID)", "") &amp; " " &amp; IF(SUMPRODUCT(-- ISNUMBER(SEARCH({"Unique","Unique Case Insensitive"}, $R152))) &gt; 0, "(" &amp; $R152 &amp; ")", ""))))</f>
        <v>na</v>
      </c>
      <c r="E152" s="7" t="s">
        <v>195</v>
      </c>
      <c r="F152" s="7" t="s">
        <v>195</v>
      </c>
      <c r="G152" s="7" t="s">
        <v>195</v>
      </c>
      <c r="H152" s="7" t="s">
        <v>195</v>
      </c>
      <c r="I152" s="7" t="s">
        <v>195</v>
      </c>
      <c r="J152" s="7" t="s">
        <v>195</v>
      </c>
      <c r="K152" s="7" t="s">
        <v>195</v>
      </c>
      <c r="L152" s="7" t="s">
        <v>195</v>
      </c>
      <c r="M152" s="7" t="s">
        <v>29</v>
      </c>
      <c r="N152" s="7" t="s">
        <v>29</v>
      </c>
      <c r="O152" s="7" t="s">
        <v>29</v>
      </c>
      <c r="P152" s="7" t="s">
        <v>29</v>
      </c>
      <c r="Q152" s="7" t="s">
        <v>29</v>
      </c>
      <c r="R152" s="7" t="s">
        <v>29</v>
      </c>
      <c r="S152" s="7" t="s">
        <v>29</v>
      </c>
    </row>
    <row r="153" spans="2:19">
      <c r="B153" s="7" t="s">
        <v>195</v>
      </c>
      <c r="C153" s="8" t="s">
        <v>195</v>
      </c>
      <c r="D153" s="6" t="str">
        <f>LRTRIM(CONCATENATE(IF(SUMPRODUCT(-- ISNUMBER(SEARCH({"Auto Number"}, $B153))) &gt; 0, $B153, IF(SUMPRODUCT(-- ISNUMBER(SEARCH({"Lookup","Master-Detail"}, $B153))) &gt; 0,$B153 &amp; "(" &amp; $E153 &amp; ")",IF(SUMPRODUCT(-- ISNUMBER(SEARCH({"Formula","Roll-Up Summary"}, $B153))) &gt; 0,$B153 &amp; " (" &amp; $E153 &amp; ")",IF(SUMPRODUCT(-- ISNUMBER(SEARCH({"Content","Currency","Number","Percent","Text","URL"}, $B153))) &gt; 0,$B153 &amp; "(" &amp; $C153 &amp; ")",$B153)))), "  ", TRIM(IF($S153 = "YES", "(External ID)", "") &amp; " " &amp; IF(SUMPRODUCT(-- ISNUMBER(SEARCH({"Unique","Unique Case Insensitive"}, $R153))) &gt; 0, "(" &amp; $R153 &amp; ")", ""))))</f>
        <v>na</v>
      </c>
      <c r="E153" s="7" t="s">
        <v>195</v>
      </c>
      <c r="F153" s="7" t="s">
        <v>195</v>
      </c>
      <c r="G153" s="7" t="s">
        <v>195</v>
      </c>
      <c r="H153" s="7" t="s">
        <v>195</v>
      </c>
      <c r="I153" s="7" t="s">
        <v>195</v>
      </c>
      <c r="J153" s="7" t="s">
        <v>195</v>
      </c>
      <c r="K153" s="7" t="s">
        <v>195</v>
      </c>
      <c r="L153" s="7" t="s">
        <v>195</v>
      </c>
      <c r="M153" s="7" t="s">
        <v>29</v>
      </c>
      <c r="N153" s="7" t="s">
        <v>29</v>
      </c>
      <c r="O153" s="7" t="s">
        <v>29</v>
      </c>
      <c r="P153" s="7" t="s">
        <v>29</v>
      </c>
      <c r="Q153" s="7" t="s">
        <v>29</v>
      </c>
      <c r="R153" s="7" t="s">
        <v>29</v>
      </c>
      <c r="S153" s="7" t="s">
        <v>29</v>
      </c>
    </row>
    <row r="154" spans="2:19">
      <c r="B154" s="7" t="s">
        <v>195</v>
      </c>
      <c r="C154" s="8" t="s">
        <v>195</v>
      </c>
      <c r="D154" s="6" t="str">
        <f>LRTRIM(CONCATENATE(IF(SUMPRODUCT(-- ISNUMBER(SEARCH({"Auto Number"}, $B154))) &gt; 0, $B154, IF(SUMPRODUCT(-- ISNUMBER(SEARCH({"Lookup","Master-Detail"}, $B154))) &gt; 0,$B154 &amp; "(" &amp; $E154 &amp; ")",IF(SUMPRODUCT(-- ISNUMBER(SEARCH({"Formula","Roll-Up Summary"}, $B154))) &gt; 0,$B154 &amp; " (" &amp; $E154 &amp; ")",IF(SUMPRODUCT(-- ISNUMBER(SEARCH({"Content","Currency","Number","Percent","Text","URL"}, $B154))) &gt; 0,$B154 &amp; "(" &amp; $C154 &amp; ")",$B154)))), "  ", TRIM(IF($S154 = "YES", "(External ID)", "") &amp; " " &amp; IF(SUMPRODUCT(-- ISNUMBER(SEARCH({"Unique","Unique Case Insensitive"}, $R154))) &gt; 0, "(" &amp; $R154 &amp; ")", ""))))</f>
        <v>na</v>
      </c>
      <c r="E154" s="7" t="s">
        <v>195</v>
      </c>
      <c r="F154" s="7" t="s">
        <v>195</v>
      </c>
      <c r="G154" s="7" t="s">
        <v>195</v>
      </c>
      <c r="H154" s="7" t="s">
        <v>195</v>
      </c>
      <c r="I154" s="7" t="s">
        <v>195</v>
      </c>
      <c r="J154" s="7" t="s">
        <v>195</v>
      </c>
      <c r="K154" s="7" t="s">
        <v>195</v>
      </c>
      <c r="L154" s="7" t="s">
        <v>195</v>
      </c>
      <c r="M154" s="7" t="s">
        <v>29</v>
      </c>
      <c r="N154" s="7" t="s">
        <v>29</v>
      </c>
      <c r="O154" s="7" t="s">
        <v>29</v>
      </c>
      <c r="P154" s="7" t="s">
        <v>29</v>
      </c>
      <c r="Q154" s="7" t="s">
        <v>29</v>
      </c>
      <c r="R154" s="7" t="s">
        <v>29</v>
      </c>
      <c r="S154" s="7" t="s">
        <v>29</v>
      </c>
    </row>
    <row r="155" spans="2:19">
      <c r="B155" s="7" t="s">
        <v>195</v>
      </c>
      <c r="C155" s="8" t="s">
        <v>195</v>
      </c>
      <c r="D155" s="6" t="str">
        <f>LRTRIM(CONCATENATE(IF(SUMPRODUCT(-- ISNUMBER(SEARCH({"Auto Number"}, $B155))) &gt; 0, $B155, IF(SUMPRODUCT(-- ISNUMBER(SEARCH({"Lookup","Master-Detail"}, $B155))) &gt; 0,$B155 &amp; "(" &amp; $E155 &amp; ")",IF(SUMPRODUCT(-- ISNUMBER(SEARCH({"Formula","Roll-Up Summary"}, $B155))) &gt; 0,$B155 &amp; " (" &amp; $E155 &amp; ")",IF(SUMPRODUCT(-- ISNUMBER(SEARCH({"Content","Currency","Number","Percent","Text","URL"}, $B155))) &gt; 0,$B155 &amp; "(" &amp; $C155 &amp; ")",$B155)))), "  ", TRIM(IF($S155 = "YES", "(External ID)", "") &amp; " " &amp; IF(SUMPRODUCT(-- ISNUMBER(SEARCH({"Unique","Unique Case Insensitive"}, $R155))) &gt; 0, "(" &amp; $R155 &amp; ")", ""))))</f>
        <v>na</v>
      </c>
      <c r="E155" s="7" t="s">
        <v>195</v>
      </c>
      <c r="F155" s="7" t="s">
        <v>195</v>
      </c>
      <c r="G155" s="7" t="s">
        <v>195</v>
      </c>
      <c r="H155" s="7" t="s">
        <v>195</v>
      </c>
      <c r="I155" s="7" t="s">
        <v>195</v>
      </c>
      <c r="J155" s="7" t="s">
        <v>195</v>
      </c>
      <c r="K155" s="7" t="s">
        <v>195</v>
      </c>
      <c r="L155" s="7" t="s">
        <v>195</v>
      </c>
      <c r="M155" s="7" t="s">
        <v>29</v>
      </c>
      <c r="N155" s="7" t="s">
        <v>29</v>
      </c>
      <c r="O155" s="7" t="s">
        <v>29</v>
      </c>
      <c r="P155" s="7" t="s">
        <v>29</v>
      </c>
      <c r="Q155" s="7" t="s">
        <v>29</v>
      </c>
      <c r="R155" s="7" t="s">
        <v>29</v>
      </c>
      <c r="S155" s="7" t="s">
        <v>29</v>
      </c>
    </row>
    <row r="156" spans="2:19">
      <c r="B156" s="7" t="s">
        <v>195</v>
      </c>
      <c r="C156" s="8" t="s">
        <v>195</v>
      </c>
      <c r="D156" s="6" t="str">
        <f>LRTRIM(CONCATENATE(IF(SUMPRODUCT(-- ISNUMBER(SEARCH({"Auto Number"}, $B156))) &gt; 0, $B156, IF(SUMPRODUCT(-- ISNUMBER(SEARCH({"Lookup","Master-Detail"}, $B156))) &gt; 0,$B156 &amp; "(" &amp; $E156 &amp; ")",IF(SUMPRODUCT(-- ISNUMBER(SEARCH({"Formula","Roll-Up Summary"}, $B156))) &gt; 0,$B156 &amp; " (" &amp; $E156 &amp; ")",IF(SUMPRODUCT(-- ISNUMBER(SEARCH({"Content","Currency","Number","Percent","Text","URL"}, $B156))) &gt; 0,$B156 &amp; "(" &amp; $C156 &amp; ")",$B156)))), "  ", TRIM(IF($S156 = "YES", "(External ID)", "") &amp; " " &amp; IF(SUMPRODUCT(-- ISNUMBER(SEARCH({"Unique","Unique Case Insensitive"}, $R156))) &gt; 0, "(" &amp; $R156 &amp; ")", ""))))</f>
        <v>na</v>
      </c>
      <c r="E156" s="7" t="s">
        <v>195</v>
      </c>
      <c r="F156" s="7" t="s">
        <v>195</v>
      </c>
      <c r="G156" s="7" t="s">
        <v>195</v>
      </c>
      <c r="H156" s="7" t="s">
        <v>195</v>
      </c>
      <c r="I156" s="7" t="s">
        <v>195</v>
      </c>
      <c r="J156" s="7" t="s">
        <v>195</v>
      </c>
      <c r="K156" s="7" t="s">
        <v>195</v>
      </c>
      <c r="L156" s="7" t="s">
        <v>195</v>
      </c>
      <c r="M156" s="7" t="s">
        <v>29</v>
      </c>
      <c r="N156" s="7" t="s">
        <v>29</v>
      </c>
      <c r="O156" s="7" t="s">
        <v>29</v>
      </c>
      <c r="P156" s="7" t="s">
        <v>29</v>
      </c>
      <c r="Q156" s="7" t="s">
        <v>29</v>
      </c>
      <c r="R156" s="7" t="s">
        <v>29</v>
      </c>
      <c r="S156" s="7" t="s">
        <v>29</v>
      </c>
    </row>
    <row r="157" spans="2:19">
      <c r="B157" s="7" t="s">
        <v>195</v>
      </c>
      <c r="C157" s="8" t="s">
        <v>195</v>
      </c>
      <c r="D157" s="6" t="str">
        <f>LRTRIM(CONCATENATE(IF(SUMPRODUCT(-- ISNUMBER(SEARCH({"Auto Number"}, $B157))) &gt; 0, $B157, IF(SUMPRODUCT(-- ISNUMBER(SEARCH({"Lookup","Master-Detail"}, $B157))) &gt; 0,$B157 &amp; "(" &amp; $E157 &amp; ")",IF(SUMPRODUCT(-- ISNUMBER(SEARCH({"Formula","Roll-Up Summary"}, $B157))) &gt; 0,$B157 &amp; " (" &amp; $E157 &amp; ")",IF(SUMPRODUCT(-- ISNUMBER(SEARCH({"Content","Currency","Number","Percent","Text","URL"}, $B157))) &gt; 0,$B157 &amp; "(" &amp; $C157 &amp; ")",$B157)))), "  ", TRIM(IF($S157 = "YES", "(External ID)", "") &amp; " " &amp; IF(SUMPRODUCT(-- ISNUMBER(SEARCH({"Unique","Unique Case Insensitive"}, $R157))) &gt; 0, "(" &amp; $R157 &amp; ")", ""))))</f>
        <v>na</v>
      </c>
      <c r="E157" s="7" t="s">
        <v>195</v>
      </c>
      <c r="F157" s="7" t="s">
        <v>195</v>
      </c>
      <c r="G157" s="7" t="s">
        <v>195</v>
      </c>
      <c r="H157" s="7" t="s">
        <v>195</v>
      </c>
      <c r="I157" s="7" t="s">
        <v>195</v>
      </c>
      <c r="J157" s="7" t="s">
        <v>195</v>
      </c>
      <c r="K157" s="7" t="s">
        <v>195</v>
      </c>
      <c r="L157" s="7" t="s">
        <v>195</v>
      </c>
      <c r="M157" s="7" t="s">
        <v>29</v>
      </c>
      <c r="N157" s="7" t="s">
        <v>29</v>
      </c>
      <c r="O157" s="7" t="s">
        <v>29</v>
      </c>
      <c r="P157" s="7" t="s">
        <v>29</v>
      </c>
      <c r="Q157" s="7" t="s">
        <v>29</v>
      </c>
      <c r="R157" s="7" t="s">
        <v>29</v>
      </c>
      <c r="S157" s="7" t="s">
        <v>29</v>
      </c>
    </row>
    <row r="158" spans="2:19">
      <c r="B158" s="7" t="s">
        <v>195</v>
      </c>
      <c r="C158" s="8" t="s">
        <v>195</v>
      </c>
      <c r="D158" s="6" t="str">
        <f>LRTRIM(CONCATENATE(IF(SUMPRODUCT(-- ISNUMBER(SEARCH({"Auto Number"}, $B158))) &gt; 0, $B158, IF(SUMPRODUCT(-- ISNUMBER(SEARCH({"Lookup","Master-Detail"}, $B158))) &gt; 0,$B158 &amp; "(" &amp; $E158 &amp; ")",IF(SUMPRODUCT(-- ISNUMBER(SEARCH({"Formula","Roll-Up Summary"}, $B158))) &gt; 0,$B158 &amp; " (" &amp; $E158 &amp; ")",IF(SUMPRODUCT(-- ISNUMBER(SEARCH({"Content","Currency","Number","Percent","Text","URL"}, $B158))) &gt; 0,$B158 &amp; "(" &amp; $C158 &amp; ")",$B158)))), "  ", TRIM(IF($S158 = "YES", "(External ID)", "") &amp; " " &amp; IF(SUMPRODUCT(-- ISNUMBER(SEARCH({"Unique","Unique Case Insensitive"}, $R158))) &gt; 0, "(" &amp; $R158 &amp; ")", ""))))</f>
        <v>na</v>
      </c>
      <c r="E158" s="7" t="s">
        <v>195</v>
      </c>
      <c r="F158" s="7" t="s">
        <v>195</v>
      </c>
      <c r="G158" s="7" t="s">
        <v>195</v>
      </c>
      <c r="H158" s="7" t="s">
        <v>195</v>
      </c>
      <c r="I158" s="7" t="s">
        <v>195</v>
      </c>
      <c r="J158" s="7" t="s">
        <v>195</v>
      </c>
      <c r="K158" s="7" t="s">
        <v>195</v>
      </c>
      <c r="L158" s="7" t="s">
        <v>195</v>
      </c>
      <c r="M158" s="7" t="s">
        <v>29</v>
      </c>
      <c r="N158" s="7" t="s">
        <v>29</v>
      </c>
      <c r="O158" s="7" t="s">
        <v>29</v>
      </c>
      <c r="P158" s="7" t="s">
        <v>29</v>
      </c>
      <c r="Q158" s="7" t="s">
        <v>29</v>
      </c>
      <c r="R158" s="7" t="s">
        <v>29</v>
      </c>
      <c r="S158" s="7" t="s">
        <v>29</v>
      </c>
    </row>
    <row r="159" spans="2:19">
      <c r="B159" s="7" t="s">
        <v>195</v>
      </c>
      <c r="C159" s="8" t="s">
        <v>195</v>
      </c>
      <c r="D159" s="6" t="str">
        <f>LRTRIM(CONCATENATE(IF(SUMPRODUCT(-- ISNUMBER(SEARCH({"Auto Number"}, $B159))) &gt; 0, $B159, IF(SUMPRODUCT(-- ISNUMBER(SEARCH({"Lookup","Master-Detail"}, $B159))) &gt; 0,$B159 &amp; "(" &amp; $E159 &amp; ")",IF(SUMPRODUCT(-- ISNUMBER(SEARCH({"Formula","Roll-Up Summary"}, $B159))) &gt; 0,$B159 &amp; " (" &amp; $E159 &amp; ")",IF(SUMPRODUCT(-- ISNUMBER(SEARCH({"Content","Currency","Number","Percent","Text","URL"}, $B159))) &gt; 0,$B159 &amp; "(" &amp; $C159 &amp; ")",$B159)))), "  ", TRIM(IF($S159 = "YES", "(External ID)", "") &amp; " " &amp; IF(SUMPRODUCT(-- ISNUMBER(SEARCH({"Unique","Unique Case Insensitive"}, $R159))) &gt; 0, "(" &amp; $R159 &amp; ")", ""))))</f>
        <v>na</v>
      </c>
      <c r="E159" s="7" t="s">
        <v>195</v>
      </c>
      <c r="F159" s="7" t="s">
        <v>195</v>
      </c>
      <c r="G159" s="7" t="s">
        <v>195</v>
      </c>
      <c r="H159" s="7" t="s">
        <v>195</v>
      </c>
      <c r="I159" s="7" t="s">
        <v>195</v>
      </c>
      <c r="J159" s="7" t="s">
        <v>195</v>
      </c>
      <c r="K159" s="7" t="s">
        <v>195</v>
      </c>
      <c r="L159" s="7" t="s">
        <v>195</v>
      </c>
      <c r="M159" s="7" t="s">
        <v>29</v>
      </c>
      <c r="N159" s="7" t="s">
        <v>29</v>
      </c>
      <c r="O159" s="7" t="s">
        <v>29</v>
      </c>
      <c r="P159" s="7" t="s">
        <v>29</v>
      </c>
      <c r="Q159" s="7" t="s">
        <v>29</v>
      </c>
      <c r="R159" s="7" t="s">
        <v>29</v>
      </c>
      <c r="S159" s="7" t="s">
        <v>29</v>
      </c>
    </row>
    <row r="160" spans="2:19">
      <c r="B160" s="7" t="s">
        <v>195</v>
      </c>
      <c r="C160" s="8" t="s">
        <v>195</v>
      </c>
      <c r="D160" s="6" t="str">
        <f>LRTRIM(CONCATENATE(IF(SUMPRODUCT(-- ISNUMBER(SEARCH({"Auto Number"}, $B160))) &gt; 0, $B160, IF(SUMPRODUCT(-- ISNUMBER(SEARCH({"Lookup","Master-Detail"}, $B160))) &gt; 0,$B160 &amp; "(" &amp; $E160 &amp; ")",IF(SUMPRODUCT(-- ISNUMBER(SEARCH({"Formula","Roll-Up Summary"}, $B160))) &gt; 0,$B160 &amp; " (" &amp; $E160 &amp; ")",IF(SUMPRODUCT(-- ISNUMBER(SEARCH({"Content","Currency","Number","Percent","Text","URL"}, $B160))) &gt; 0,$B160 &amp; "(" &amp; $C160 &amp; ")",$B160)))), "  ", TRIM(IF($S160 = "YES", "(External ID)", "") &amp; " " &amp; IF(SUMPRODUCT(-- ISNUMBER(SEARCH({"Unique","Unique Case Insensitive"}, $R160))) &gt; 0, "(" &amp; $R160 &amp; ")", ""))))</f>
        <v>na</v>
      </c>
      <c r="E160" s="7" t="s">
        <v>195</v>
      </c>
      <c r="F160" s="7" t="s">
        <v>195</v>
      </c>
      <c r="G160" s="7" t="s">
        <v>195</v>
      </c>
      <c r="H160" s="7" t="s">
        <v>195</v>
      </c>
      <c r="I160" s="7" t="s">
        <v>195</v>
      </c>
      <c r="J160" s="7" t="s">
        <v>195</v>
      </c>
      <c r="K160" s="7" t="s">
        <v>195</v>
      </c>
      <c r="L160" s="7" t="s">
        <v>195</v>
      </c>
      <c r="M160" s="7" t="s">
        <v>29</v>
      </c>
      <c r="N160" s="7" t="s">
        <v>29</v>
      </c>
      <c r="O160" s="7" t="s">
        <v>29</v>
      </c>
      <c r="P160" s="7" t="s">
        <v>29</v>
      </c>
      <c r="Q160" s="7" t="s">
        <v>29</v>
      </c>
      <c r="R160" s="7" t="s">
        <v>29</v>
      </c>
      <c r="S160" s="7" t="s">
        <v>29</v>
      </c>
    </row>
    <row r="161" spans="2:19">
      <c r="B161" s="7" t="s">
        <v>195</v>
      </c>
      <c r="C161" s="8" t="s">
        <v>195</v>
      </c>
      <c r="D161" s="6" t="str">
        <f>LRTRIM(CONCATENATE(IF(SUMPRODUCT(-- ISNUMBER(SEARCH({"Auto Number"}, $B161))) &gt; 0, $B161, IF(SUMPRODUCT(-- ISNUMBER(SEARCH({"Lookup","Master-Detail"}, $B161))) &gt; 0,$B161 &amp; "(" &amp; $E161 &amp; ")",IF(SUMPRODUCT(-- ISNUMBER(SEARCH({"Formula","Roll-Up Summary"}, $B161))) &gt; 0,$B161 &amp; " (" &amp; $E161 &amp; ")",IF(SUMPRODUCT(-- ISNUMBER(SEARCH({"Content","Currency","Number","Percent","Text","URL"}, $B161))) &gt; 0,$B161 &amp; "(" &amp; $C161 &amp; ")",$B161)))), "  ", TRIM(IF($S161 = "YES", "(External ID)", "") &amp; " " &amp; IF(SUMPRODUCT(-- ISNUMBER(SEARCH({"Unique","Unique Case Insensitive"}, $R161))) &gt; 0, "(" &amp; $R161 &amp; ")", ""))))</f>
        <v>na</v>
      </c>
      <c r="E161" s="7" t="s">
        <v>195</v>
      </c>
      <c r="F161" s="7" t="s">
        <v>195</v>
      </c>
      <c r="G161" s="7" t="s">
        <v>195</v>
      </c>
      <c r="H161" s="7" t="s">
        <v>195</v>
      </c>
      <c r="I161" s="7" t="s">
        <v>195</v>
      </c>
      <c r="J161" s="7" t="s">
        <v>195</v>
      </c>
      <c r="K161" s="7" t="s">
        <v>195</v>
      </c>
      <c r="L161" s="7" t="s">
        <v>195</v>
      </c>
      <c r="M161" s="7" t="s">
        <v>29</v>
      </c>
      <c r="N161" s="7" t="s">
        <v>29</v>
      </c>
      <c r="O161" s="7" t="s">
        <v>29</v>
      </c>
      <c r="P161" s="7" t="s">
        <v>29</v>
      </c>
      <c r="Q161" s="7" t="s">
        <v>29</v>
      </c>
      <c r="R161" s="7" t="s">
        <v>29</v>
      </c>
      <c r="S161" s="7" t="s">
        <v>29</v>
      </c>
    </row>
    <row r="162" spans="2:19">
      <c r="B162" s="7" t="s">
        <v>195</v>
      </c>
      <c r="C162" s="8" t="s">
        <v>195</v>
      </c>
      <c r="D162" s="6" t="str">
        <f>LRTRIM(CONCATENATE(IF(SUMPRODUCT(-- ISNUMBER(SEARCH({"Auto Number"}, $B162))) &gt; 0, $B162, IF(SUMPRODUCT(-- ISNUMBER(SEARCH({"Lookup","Master-Detail"}, $B162))) &gt; 0,$B162 &amp; "(" &amp; $E162 &amp; ")",IF(SUMPRODUCT(-- ISNUMBER(SEARCH({"Formula","Roll-Up Summary"}, $B162))) &gt; 0,$B162 &amp; " (" &amp; $E162 &amp; ")",IF(SUMPRODUCT(-- ISNUMBER(SEARCH({"Content","Currency","Number","Percent","Text","URL"}, $B162))) &gt; 0,$B162 &amp; "(" &amp; $C162 &amp; ")",$B162)))), "  ", TRIM(IF($S162 = "YES", "(External ID)", "") &amp; " " &amp; IF(SUMPRODUCT(-- ISNUMBER(SEARCH({"Unique","Unique Case Insensitive"}, $R162))) &gt; 0, "(" &amp; $R162 &amp; ")", ""))))</f>
        <v>na</v>
      </c>
      <c r="E162" s="7" t="s">
        <v>195</v>
      </c>
      <c r="F162" s="7" t="s">
        <v>195</v>
      </c>
      <c r="G162" s="7" t="s">
        <v>195</v>
      </c>
      <c r="H162" s="7" t="s">
        <v>195</v>
      </c>
      <c r="I162" s="7" t="s">
        <v>195</v>
      </c>
      <c r="J162" s="7" t="s">
        <v>195</v>
      </c>
      <c r="K162" s="7" t="s">
        <v>195</v>
      </c>
      <c r="L162" s="7" t="s">
        <v>195</v>
      </c>
      <c r="M162" s="7" t="s">
        <v>29</v>
      </c>
      <c r="N162" s="7" t="s">
        <v>29</v>
      </c>
      <c r="O162" s="7" t="s">
        <v>29</v>
      </c>
      <c r="P162" s="7" t="s">
        <v>29</v>
      </c>
      <c r="Q162" s="7" t="s">
        <v>29</v>
      </c>
      <c r="R162" s="7" t="s">
        <v>29</v>
      </c>
      <c r="S162" s="7" t="s">
        <v>29</v>
      </c>
    </row>
    <row r="163" spans="2:19">
      <c r="B163" s="7" t="s">
        <v>195</v>
      </c>
      <c r="C163" s="8" t="s">
        <v>195</v>
      </c>
      <c r="D163" s="6" t="str">
        <f>LRTRIM(CONCATENATE(IF(SUMPRODUCT(-- ISNUMBER(SEARCH({"Auto Number"}, $B163))) &gt; 0, $B163, IF(SUMPRODUCT(-- ISNUMBER(SEARCH({"Lookup","Master-Detail"}, $B163))) &gt; 0,$B163 &amp; "(" &amp; $E163 &amp; ")",IF(SUMPRODUCT(-- ISNUMBER(SEARCH({"Formula","Roll-Up Summary"}, $B163))) &gt; 0,$B163 &amp; " (" &amp; $E163 &amp; ")",IF(SUMPRODUCT(-- ISNUMBER(SEARCH({"Content","Currency","Number","Percent","Text","URL"}, $B163))) &gt; 0,$B163 &amp; "(" &amp; $C163 &amp; ")",$B163)))), "  ", TRIM(IF($S163 = "YES", "(External ID)", "") &amp; " " &amp; IF(SUMPRODUCT(-- ISNUMBER(SEARCH({"Unique","Unique Case Insensitive"}, $R163))) &gt; 0, "(" &amp; $R163 &amp; ")", ""))))</f>
        <v>na</v>
      </c>
      <c r="E163" s="7" t="s">
        <v>195</v>
      </c>
      <c r="F163" s="7" t="s">
        <v>195</v>
      </c>
      <c r="G163" s="7" t="s">
        <v>195</v>
      </c>
      <c r="H163" s="7" t="s">
        <v>195</v>
      </c>
      <c r="I163" s="7" t="s">
        <v>195</v>
      </c>
      <c r="J163" s="7" t="s">
        <v>195</v>
      </c>
      <c r="K163" s="7" t="s">
        <v>195</v>
      </c>
      <c r="L163" s="7" t="s">
        <v>195</v>
      </c>
      <c r="M163" s="7" t="s">
        <v>29</v>
      </c>
      <c r="N163" s="7" t="s">
        <v>29</v>
      </c>
      <c r="O163" s="7" t="s">
        <v>29</v>
      </c>
      <c r="P163" s="7" t="s">
        <v>29</v>
      </c>
      <c r="Q163" s="7" t="s">
        <v>29</v>
      </c>
      <c r="R163" s="7" t="s">
        <v>29</v>
      </c>
      <c r="S163" s="7" t="s">
        <v>29</v>
      </c>
    </row>
    <row r="164" spans="2:19">
      <c r="B164" s="7" t="s">
        <v>195</v>
      </c>
      <c r="C164" s="8" t="s">
        <v>195</v>
      </c>
      <c r="D164" s="6" t="str">
        <f>LRTRIM(CONCATENATE(IF(SUMPRODUCT(-- ISNUMBER(SEARCH({"Auto Number"}, $B164))) &gt; 0, $B164, IF(SUMPRODUCT(-- ISNUMBER(SEARCH({"Lookup","Master-Detail"}, $B164))) &gt; 0,$B164 &amp; "(" &amp; $E164 &amp; ")",IF(SUMPRODUCT(-- ISNUMBER(SEARCH({"Formula","Roll-Up Summary"}, $B164))) &gt; 0,$B164 &amp; " (" &amp; $E164 &amp; ")",IF(SUMPRODUCT(-- ISNUMBER(SEARCH({"Content","Currency","Number","Percent","Text","URL"}, $B164))) &gt; 0,$B164 &amp; "(" &amp; $C164 &amp; ")",$B164)))), "  ", TRIM(IF($S164 = "YES", "(External ID)", "") &amp; " " &amp; IF(SUMPRODUCT(-- ISNUMBER(SEARCH({"Unique","Unique Case Insensitive"}, $R164))) &gt; 0, "(" &amp; $R164 &amp; ")", ""))))</f>
        <v>na</v>
      </c>
      <c r="E164" s="7" t="s">
        <v>195</v>
      </c>
      <c r="F164" s="7" t="s">
        <v>195</v>
      </c>
      <c r="G164" s="7" t="s">
        <v>195</v>
      </c>
      <c r="H164" s="7" t="s">
        <v>195</v>
      </c>
      <c r="I164" s="7" t="s">
        <v>195</v>
      </c>
      <c r="J164" s="7" t="s">
        <v>195</v>
      </c>
      <c r="K164" s="7" t="s">
        <v>195</v>
      </c>
      <c r="L164" s="7" t="s">
        <v>195</v>
      </c>
      <c r="M164" s="7" t="s">
        <v>29</v>
      </c>
      <c r="N164" s="7" t="s">
        <v>29</v>
      </c>
      <c r="O164" s="7" t="s">
        <v>29</v>
      </c>
      <c r="P164" s="7" t="s">
        <v>29</v>
      </c>
      <c r="Q164" s="7" t="s">
        <v>29</v>
      </c>
      <c r="R164" s="7" t="s">
        <v>29</v>
      </c>
      <c r="S164" s="7" t="s">
        <v>29</v>
      </c>
    </row>
    <row r="165" spans="2:19">
      <c r="B165" s="7" t="s">
        <v>195</v>
      </c>
      <c r="C165" s="8" t="s">
        <v>195</v>
      </c>
      <c r="D165" s="6" t="str">
        <f>LRTRIM(CONCATENATE(IF(SUMPRODUCT(-- ISNUMBER(SEARCH({"Auto Number"}, $B165))) &gt; 0, $B165, IF(SUMPRODUCT(-- ISNUMBER(SEARCH({"Lookup","Master-Detail"}, $B165))) &gt; 0,$B165 &amp; "(" &amp; $E165 &amp; ")",IF(SUMPRODUCT(-- ISNUMBER(SEARCH({"Formula","Roll-Up Summary"}, $B165))) &gt; 0,$B165 &amp; " (" &amp; $E165 &amp; ")",IF(SUMPRODUCT(-- ISNUMBER(SEARCH({"Content","Currency","Number","Percent","Text","URL"}, $B165))) &gt; 0,$B165 &amp; "(" &amp; $C165 &amp; ")",$B165)))), "  ", TRIM(IF($S165 = "YES", "(External ID)", "") &amp; " " &amp; IF(SUMPRODUCT(-- ISNUMBER(SEARCH({"Unique","Unique Case Insensitive"}, $R165))) &gt; 0, "(" &amp; $R165 &amp; ")", ""))))</f>
        <v>na</v>
      </c>
      <c r="E165" s="7" t="s">
        <v>195</v>
      </c>
      <c r="F165" s="7" t="s">
        <v>195</v>
      </c>
      <c r="G165" s="7" t="s">
        <v>195</v>
      </c>
      <c r="H165" s="7" t="s">
        <v>195</v>
      </c>
      <c r="I165" s="7" t="s">
        <v>195</v>
      </c>
      <c r="J165" s="7" t="s">
        <v>195</v>
      </c>
      <c r="K165" s="7" t="s">
        <v>195</v>
      </c>
      <c r="L165" s="7" t="s">
        <v>195</v>
      </c>
      <c r="M165" s="7" t="s">
        <v>29</v>
      </c>
      <c r="N165" s="7" t="s">
        <v>29</v>
      </c>
      <c r="O165" s="7" t="s">
        <v>29</v>
      </c>
      <c r="P165" s="7" t="s">
        <v>29</v>
      </c>
      <c r="Q165" s="7" t="s">
        <v>29</v>
      </c>
      <c r="R165" s="7" t="s">
        <v>29</v>
      </c>
      <c r="S165" s="7" t="s">
        <v>29</v>
      </c>
    </row>
    <row r="166" spans="2:19">
      <c r="B166" s="7" t="s">
        <v>195</v>
      </c>
      <c r="C166" s="8" t="s">
        <v>195</v>
      </c>
      <c r="D166" s="6" t="str">
        <f>LRTRIM(CONCATENATE(IF(SUMPRODUCT(-- ISNUMBER(SEARCH({"Auto Number"}, $B166))) &gt; 0, $B166, IF(SUMPRODUCT(-- ISNUMBER(SEARCH({"Lookup","Master-Detail"}, $B166))) &gt; 0,$B166 &amp; "(" &amp; $E166 &amp; ")",IF(SUMPRODUCT(-- ISNUMBER(SEARCH({"Formula","Roll-Up Summary"}, $B166))) &gt; 0,$B166 &amp; " (" &amp; $E166 &amp; ")",IF(SUMPRODUCT(-- ISNUMBER(SEARCH({"Content","Currency","Number","Percent","Text","URL"}, $B166))) &gt; 0,$B166 &amp; "(" &amp; $C166 &amp; ")",$B166)))), "  ", TRIM(IF($S166 = "YES", "(External ID)", "") &amp; " " &amp; IF(SUMPRODUCT(-- ISNUMBER(SEARCH({"Unique","Unique Case Insensitive"}, $R166))) &gt; 0, "(" &amp; $R166 &amp; ")", ""))))</f>
        <v>na</v>
      </c>
      <c r="E166" s="7" t="s">
        <v>195</v>
      </c>
      <c r="F166" s="7" t="s">
        <v>195</v>
      </c>
      <c r="G166" s="7" t="s">
        <v>195</v>
      </c>
      <c r="H166" s="7" t="s">
        <v>195</v>
      </c>
      <c r="I166" s="7" t="s">
        <v>195</v>
      </c>
      <c r="J166" s="7" t="s">
        <v>195</v>
      </c>
      <c r="K166" s="7" t="s">
        <v>195</v>
      </c>
      <c r="L166" s="7" t="s">
        <v>195</v>
      </c>
      <c r="M166" s="7" t="s">
        <v>29</v>
      </c>
      <c r="N166" s="7" t="s">
        <v>29</v>
      </c>
      <c r="O166" s="7" t="s">
        <v>29</v>
      </c>
      <c r="P166" s="7" t="s">
        <v>29</v>
      </c>
      <c r="Q166" s="7" t="s">
        <v>29</v>
      </c>
      <c r="R166" s="7" t="s">
        <v>29</v>
      </c>
      <c r="S166" s="7" t="s">
        <v>29</v>
      </c>
    </row>
    <row r="167" spans="2:19">
      <c r="B167" s="7" t="s">
        <v>195</v>
      </c>
      <c r="C167" s="8" t="s">
        <v>195</v>
      </c>
      <c r="D167" s="6" t="str">
        <f>LRTRIM(CONCATENATE(IF(SUMPRODUCT(-- ISNUMBER(SEARCH({"Auto Number"}, $B167))) &gt; 0, $B167, IF(SUMPRODUCT(-- ISNUMBER(SEARCH({"Lookup","Master-Detail"}, $B167))) &gt; 0,$B167 &amp; "(" &amp; $E167 &amp; ")",IF(SUMPRODUCT(-- ISNUMBER(SEARCH({"Formula","Roll-Up Summary"}, $B167))) &gt; 0,$B167 &amp; " (" &amp; $E167 &amp; ")",IF(SUMPRODUCT(-- ISNUMBER(SEARCH({"Content","Currency","Number","Percent","Text","URL"}, $B167))) &gt; 0,$B167 &amp; "(" &amp; $C167 &amp; ")",$B167)))), "  ", TRIM(IF($S167 = "YES", "(External ID)", "") &amp; " " &amp; IF(SUMPRODUCT(-- ISNUMBER(SEARCH({"Unique","Unique Case Insensitive"}, $R167))) &gt; 0, "(" &amp; $R167 &amp; ")", ""))))</f>
        <v>na</v>
      </c>
      <c r="E167" s="7" t="s">
        <v>195</v>
      </c>
      <c r="F167" s="7" t="s">
        <v>195</v>
      </c>
      <c r="G167" s="7" t="s">
        <v>195</v>
      </c>
      <c r="H167" s="7" t="s">
        <v>195</v>
      </c>
      <c r="I167" s="7" t="s">
        <v>195</v>
      </c>
      <c r="J167" s="7" t="s">
        <v>195</v>
      </c>
      <c r="K167" s="7" t="s">
        <v>195</v>
      </c>
      <c r="L167" s="7" t="s">
        <v>195</v>
      </c>
      <c r="M167" s="7" t="s">
        <v>29</v>
      </c>
      <c r="N167" s="7" t="s">
        <v>29</v>
      </c>
      <c r="O167" s="7" t="s">
        <v>29</v>
      </c>
      <c r="P167" s="7" t="s">
        <v>29</v>
      </c>
      <c r="Q167" s="7" t="s">
        <v>29</v>
      </c>
      <c r="R167" s="7" t="s">
        <v>29</v>
      </c>
      <c r="S167" s="7" t="s">
        <v>29</v>
      </c>
    </row>
    <row r="168" spans="2:19">
      <c r="B168" s="7" t="s">
        <v>195</v>
      </c>
      <c r="C168" s="8" t="s">
        <v>195</v>
      </c>
      <c r="D168" s="6" t="str">
        <f>LRTRIM(CONCATENATE(IF(SUMPRODUCT(-- ISNUMBER(SEARCH({"Auto Number"}, $B168))) &gt; 0, $B168, IF(SUMPRODUCT(-- ISNUMBER(SEARCH({"Lookup","Master-Detail"}, $B168))) &gt; 0,$B168 &amp; "(" &amp; $E168 &amp; ")",IF(SUMPRODUCT(-- ISNUMBER(SEARCH({"Formula","Roll-Up Summary"}, $B168))) &gt; 0,$B168 &amp; " (" &amp; $E168 &amp; ")",IF(SUMPRODUCT(-- ISNUMBER(SEARCH({"Content","Currency","Number","Percent","Text","URL"}, $B168))) &gt; 0,$B168 &amp; "(" &amp; $C168 &amp; ")",$B168)))), "  ", TRIM(IF($S168 = "YES", "(External ID)", "") &amp; " " &amp; IF(SUMPRODUCT(-- ISNUMBER(SEARCH({"Unique","Unique Case Insensitive"}, $R168))) &gt; 0, "(" &amp; $R168 &amp; ")", ""))))</f>
        <v>na</v>
      </c>
      <c r="E168" s="7" t="s">
        <v>195</v>
      </c>
      <c r="F168" s="7" t="s">
        <v>195</v>
      </c>
      <c r="G168" s="7" t="s">
        <v>195</v>
      </c>
      <c r="H168" s="7" t="s">
        <v>195</v>
      </c>
      <c r="I168" s="7" t="s">
        <v>195</v>
      </c>
      <c r="J168" s="7" t="s">
        <v>195</v>
      </c>
      <c r="K168" s="7" t="s">
        <v>195</v>
      </c>
      <c r="L168" s="7" t="s">
        <v>195</v>
      </c>
      <c r="M168" s="7" t="s">
        <v>29</v>
      </c>
      <c r="N168" s="7" t="s">
        <v>29</v>
      </c>
      <c r="O168" s="7" t="s">
        <v>29</v>
      </c>
      <c r="P168" s="7" t="s">
        <v>29</v>
      </c>
      <c r="Q168" s="7" t="s">
        <v>29</v>
      </c>
      <c r="R168" s="7" t="s">
        <v>29</v>
      </c>
      <c r="S168" s="7" t="s">
        <v>29</v>
      </c>
    </row>
    <row r="169" spans="2:19">
      <c r="B169" s="7" t="s">
        <v>195</v>
      </c>
      <c r="C169" s="8" t="s">
        <v>195</v>
      </c>
      <c r="D169" s="6" t="str">
        <f>LRTRIM(CONCATENATE(IF(SUMPRODUCT(-- ISNUMBER(SEARCH({"Auto Number"}, $B169))) &gt; 0, $B169, IF(SUMPRODUCT(-- ISNUMBER(SEARCH({"Lookup","Master-Detail"}, $B169))) &gt; 0,$B169 &amp; "(" &amp; $E169 &amp; ")",IF(SUMPRODUCT(-- ISNUMBER(SEARCH({"Formula","Roll-Up Summary"}, $B169))) &gt; 0,$B169 &amp; " (" &amp; $E169 &amp; ")",IF(SUMPRODUCT(-- ISNUMBER(SEARCH({"Content","Currency","Number","Percent","Text","URL"}, $B169))) &gt; 0,$B169 &amp; "(" &amp; $C169 &amp; ")",$B169)))), "  ", TRIM(IF($S169 = "YES", "(External ID)", "") &amp; " " &amp; IF(SUMPRODUCT(-- ISNUMBER(SEARCH({"Unique","Unique Case Insensitive"}, $R169))) &gt; 0, "(" &amp; $R169 &amp; ")", ""))))</f>
        <v>na</v>
      </c>
      <c r="E169" s="7" t="s">
        <v>195</v>
      </c>
      <c r="F169" s="7" t="s">
        <v>195</v>
      </c>
      <c r="G169" s="7" t="s">
        <v>195</v>
      </c>
      <c r="H169" s="7" t="s">
        <v>195</v>
      </c>
      <c r="I169" s="7" t="s">
        <v>195</v>
      </c>
      <c r="J169" s="7" t="s">
        <v>195</v>
      </c>
      <c r="K169" s="7" t="s">
        <v>195</v>
      </c>
      <c r="L169" s="7" t="s">
        <v>195</v>
      </c>
      <c r="M169" s="7" t="s">
        <v>29</v>
      </c>
      <c r="N169" s="7" t="s">
        <v>29</v>
      </c>
      <c r="O169" s="7" t="s">
        <v>29</v>
      </c>
      <c r="P169" s="7" t="s">
        <v>29</v>
      </c>
      <c r="Q169" s="7" t="s">
        <v>29</v>
      </c>
      <c r="R169" s="7" t="s">
        <v>29</v>
      </c>
      <c r="S169" s="7" t="s">
        <v>29</v>
      </c>
    </row>
    <row r="170" spans="2:19">
      <c r="B170" s="7" t="s">
        <v>195</v>
      </c>
      <c r="C170" s="8" t="s">
        <v>195</v>
      </c>
      <c r="D170" s="6" t="str">
        <f>LRTRIM(CONCATENATE(IF(SUMPRODUCT(-- ISNUMBER(SEARCH({"Auto Number"}, $B170))) &gt; 0, $B170, IF(SUMPRODUCT(-- ISNUMBER(SEARCH({"Lookup","Master-Detail"}, $B170))) &gt; 0,$B170 &amp; "(" &amp; $E170 &amp; ")",IF(SUMPRODUCT(-- ISNUMBER(SEARCH({"Formula","Roll-Up Summary"}, $B170))) &gt; 0,$B170 &amp; " (" &amp; $E170 &amp; ")",IF(SUMPRODUCT(-- ISNUMBER(SEARCH({"Content","Currency","Number","Percent","Text","URL"}, $B170))) &gt; 0,$B170 &amp; "(" &amp; $C170 &amp; ")",$B170)))), "  ", TRIM(IF($S170 = "YES", "(External ID)", "") &amp; " " &amp; IF(SUMPRODUCT(-- ISNUMBER(SEARCH({"Unique","Unique Case Insensitive"}, $R170))) &gt; 0, "(" &amp; $R170 &amp; ")", ""))))</f>
        <v>na</v>
      </c>
      <c r="E170" s="7" t="s">
        <v>195</v>
      </c>
      <c r="F170" s="7" t="s">
        <v>195</v>
      </c>
      <c r="G170" s="7" t="s">
        <v>195</v>
      </c>
      <c r="H170" s="7" t="s">
        <v>195</v>
      </c>
      <c r="I170" s="7" t="s">
        <v>195</v>
      </c>
      <c r="J170" s="7" t="s">
        <v>195</v>
      </c>
      <c r="K170" s="7" t="s">
        <v>195</v>
      </c>
      <c r="L170" s="7" t="s">
        <v>195</v>
      </c>
      <c r="M170" s="7" t="s">
        <v>29</v>
      </c>
      <c r="N170" s="7" t="s">
        <v>29</v>
      </c>
      <c r="O170" s="7" t="s">
        <v>29</v>
      </c>
      <c r="P170" s="7" t="s">
        <v>29</v>
      </c>
      <c r="Q170" s="7" t="s">
        <v>29</v>
      </c>
      <c r="R170" s="7" t="s">
        <v>29</v>
      </c>
      <c r="S170" s="7" t="s">
        <v>29</v>
      </c>
    </row>
    <row r="171" spans="2:19">
      <c r="B171" s="7" t="s">
        <v>195</v>
      </c>
      <c r="C171" s="8" t="s">
        <v>195</v>
      </c>
      <c r="D171" s="6" t="str">
        <f>LRTRIM(CONCATENATE(IF(SUMPRODUCT(-- ISNUMBER(SEARCH({"Auto Number"}, $B171))) &gt; 0, $B171, IF(SUMPRODUCT(-- ISNUMBER(SEARCH({"Lookup","Master-Detail"}, $B171))) &gt; 0,$B171 &amp; "(" &amp; $E171 &amp; ")",IF(SUMPRODUCT(-- ISNUMBER(SEARCH({"Formula","Roll-Up Summary"}, $B171))) &gt; 0,$B171 &amp; " (" &amp; $E171 &amp; ")",IF(SUMPRODUCT(-- ISNUMBER(SEARCH({"Content","Currency","Number","Percent","Text","URL"}, $B171))) &gt; 0,$B171 &amp; "(" &amp; $C171 &amp; ")",$B171)))), "  ", TRIM(IF($S171 = "YES", "(External ID)", "") &amp; " " &amp; IF(SUMPRODUCT(-- ISNUMBER(SEARCH({"Unique","Unique Case Insensitive"}, $R171))) &gt; 0, "(" &amp; $R171 &amp; ")", ""))))</f>
        <v>na</v>
      </c>
      <c r="E171" s="7" t="s">
        <v>195</v>
      </c>
      <c r="F171" s="7" t="s">
        <v>195</v>
      </c>
      <c r="G171" s="7" t="s">
        <v>195</v>
      </c>
      <c r="H171" s="7" t="s">
        <v>195</v>
      </c>
      <c r="I171" s="7" t="s">
        <v>195</v>
      </c>
      <c r="J171" s="7" t="s">
        <v>195</v>
      </c>
      <c r="K171" s="7" t="s">
        <v>195</v>
      </c>
      <c r="L171" s="7" t="s">
        <v>195</v>
      </c>
      <c r="M171" s="7" t="s">
        <v>29</v>
      </c>
      <c r="N171" s="7" t="s">
        <v>29</v>
      </c>
      <c r="O171" s="7" t="s">
        <v>29</v>
      </c>
      <c r="P171" s="7" t="s">
        <v>29</v>
      </c>
      <c r="Q171" s="7" t="s">
        <v>29</v>
      </c>
      <c r="R171" s="7" t="s">
        <v>29</v>
      </c>
      <c r="S171" s="7" t="s">
        <v>29</v>
      </c>
    </row>
    <row r="172" spans="2:19">
      <c r="B172" s="7" t="s">
        <v>195</v>
      </c>
      <c r="C172" s="8" t="s">
        <v>195</v>
      </c>
      <c r="D172" s="6" t="str">
        <f>LRTRIM(CONCATENATE(IF(SUMPRODUCT(-- ISNUMBER(SEARCH({"Auto Number"}, $B172))) &gt; 0, $B172, IF(SUMPRODUCT(-- ISNUMBER(SEARCH({"Lookup","Master-Detail"}, $B172))) &gt; 0,$B172 &amp; "(" &amp; $E172 &amp; ")",IF(SUMPRODUCT(-- ISNUMBER(SEARCH({"Formula","Roll-Up Summary"}, $B172))) &gt; 0,$B172 &amp; " (" &amp; $E172 &amp; ")",IF(SUMPRODUCT(-- ISNUMBER(SEARCH({"Content","Currency","Number","Percent","Text","URL"}, $B172))) &gt; 0,$B172 &amp; "(" &amp; $C172 &amp; ")",$B172)))), "  ", TRIM(IF($S172 = "YES", "(External ID)", "") &amp; " " &amp; IF(SUMPRODUCT(-- ISNUMBER(SEARCH({"Unique","Unique Case Insensitive"}, $R172))) &gt; 0, "(" &amp; $R172 &amp; ")", ""))))</f>
        <v>na</v>
      </c>
      <c r="E172" s="7" t="s">
        <v>195</v>
      </c>
      <c r="F172" s="7" t="s">
        <v>195</v>
      </c>
      <c r="G172" s="7" t="s">
        <v>195</v>
      </c>
      <c r="H172" s="7" t="s">
        <v>195</v>
      </c>
      <c r="I172" s="7" t="s">
        <v>195</v>
      </c>
      <c r="J172" s="7" t="s">
        <v>195</v>
      </c>
      <c r="K172" s="7" t="s">
        <v>195</v>
      </c>
      <c r="L172" s="7" t="s">
        <v>195</v>
      </c>
      <c r="M172" s="7" t="s">
        <v>29</v>
      </c>
      <c r="N172" s="7" t="s">
        <v>29</v>
      </c>
      <c r="O172" s="7" t="s">
        <v>29</v>
      </c>
      <c r="P172" s="7" t="s">
        <v>29</v>
      </c>
      <c r="Q172" s="7" t="s">
        <v>29</v>
      </c>
      <c r="R172" s="7" t="s">
        <v>29</v>
      </c>
      <c r="S172" s="7" t="s">
        <v>29</v>
      </c>
    </row>
    <row r="173" spans="2:19">
      <c r="B173" s="7" t="s">
        <v>195</v>
      </c>
      <c r="C173" s="8" t="s">
        <v>195</v>
      </c>
      <c r="D173" s="6" t="str">
        <f>LRTRIM(CONCATENATE(IF(SUMPRODUCT(-- ISNUMBER(SEARCH({"Auto Number"}, $B173))) &gt; 0, $B173, IF(SUMPRODUCT(-- ISNUMBER(SEARCH({"Lookup","Master-Detail"}, $B173))) &gt; 0,$B173 &amp; "(" &amp; $E173 &amp; ")",IF(SUMPRODUCT(-- ISNUMBER(SEARCH({"Formula","Roll-Up Summary"}, $B173))) &gt; 0,$B173 &amp; " (" &amp; $E173 &amp; ")",IF(SUMPRODUCT(-- ISNUMBER(SEARCH({"Content","Currency","Number","Percent","Text","URL"}, $B173))) &gt; 0,$B173 &amp; "(" &amp; $C173 &amp; ")",$B173)))), "  ", TRIM(IF($S173 = "YES", "(External ID)", "") &amp; " " &amp; IF(SUMPRODUCT(-- ISNUMBER(SEARCH({"Unique","Unique Case Insensitive"}, $R173))) &gt; 0, "(" &amp; $R173 &amp; ")", ""))))</f>
        <v>na</v>
      </c>
      <c r="E173" s="7" t="s">
        <v>195</v>
      </c>
      <c r="F173" s="7" t="s">
        <v>195</v>
      </c>
      <c r="G173" s="7" t="s">
        <v>195</v>
      </c>
      <c r="H173" s="7" t="s">
        <v>195</v>
      </c>
      <c r="I173" s="7" t="s">
        <v>195</v>
      </c>
      <c r="J173" s="7" t="s">
        <v>195</v>
      </c>
      <c r="K173" s="7" t="s">
        <v>195</v>
      </c>
      <c r="L173" s="7" t="s">
        <v>195</v>
      </c>
      <c r="M173" s="7" t="s">
        <v>29</v>
      </c>
      <c r="N173" s="7" t="s">
        <v>29</v>
      </c>
      <c r="O173" s="7" t="s">
        <v>29</v>
      </c>
      <c r="P173" s="7" t="s">
        <v>29</v>
      </c>
      <c r="Q173" s="7" t="s">
        <v>29</v>
      </c>
      <c r="R173" s="7" t="s">
        <v>29</v>
      </c>
      <c r="S173" s="7" t="s">
        <v>29</v>
      </c>
    </row>
    <row r="174" spans="2:19">
      <c r="B174" s="7" t="s">
        <v>195</v>
      </c>
      <c r="C174" s="8" t="s">
        <v>195</v>
      </c>
      <c r="D174" s="6" t="str">
        <f>LRTRIM(CONCATENATE(IF(SUMPRODUCT(-- ISNUMBER(SEARCH({"Auto Number"}, $B174))) &gt; 0, $B174, IF(SUMPRODUCT(-- ISNUMBER(SEARCH({"Lookup","Master-Detail"}, $B174))) &gt; 0,$B174 &amp; "(" &amp; $E174 &amp; ")",IF(SUMPRODUCT(-- ISNUMBER(SEARCH({"Formula","Roll-Up Summary"}, $B174))) &gt; 0,$B174 &amp; " (" &amp; $E174 &amp; ")",IF(SUMPRODUCT(-- ISNUMBER(SEARCH({"Content","Currency","Number","Percent","Text","URL"}, $B174))) &gt; 0,$B174 &amp; "(" &amp; $C174 &amp; ")",$B174)))), "  ", TRIM(IF($S174 = "YES", "(External ID)", "") &amp; " " &amp; IF(SUMPRODUCT(-- ISNUMBER(SEARCH({"Unique","Unique Case Insensitive"}, $R174))) &gt; 0, "(" &amp; $R174 &amp; ")", ""))))</f>
        <v>na</v>
      </c>
      <c r="E174" s="7" t="s">
        <v>195</v>
      </c>
      <c r="F174" s="7" t="s">
        <v>195</v>
      </c>
      <c r="G174" s="7" t="s">
        <v>195</v>
      </c>
      <c r="H174" s="7" t="s">
        <v>195</v>
      </c>
      <c r="I174" s="7" t="s">
        <v>195</v>
      </c>
      <c r="J174" s="7" t="s">
        <v>195</v>
      </c>
      <c r="K174" s="7" t="s">
        <v>195</v>
      </c>
      <c r="L174" s="7" t="s">
        <v>195</v>
      </c>
      <c r="M174" s="7" t="s">
        <v>29</v>
      </c>
      <c r="N174" s="7" t="s">
        <v>29</v>
      </c>
      <c r="O174" s="7" t="s">
        <v>29</v>
      </c>
      <c r="P174" s="7" t="s">
        <v>29</v>
      </c>
      <c r="Q174" s="7" t="s">
        <v>29</v>
      </c>
      <c r="R174" s="7" t="s">
        <v>29</v>
      </c>
      <c r="S174" s="7" t="s">
        <v>29</v>
      </c>
    </row>
    <row r="175" spans="2:19">
      <c r="B175" s="7" t="s">
        <v>195</v>
      </c>
      <c r="C175" s="8" t="s">
        <v>195</v>
      </c>
      <c r="D175" s="6" t="str">
        <f>LRTRIM(CONCATENATE(IF(SUMPRODUCT(-- ISNUMBER(SEARCH({"Auto Number"}, $B175))) &gt; 0, $B175, IF(SUMPRODUCT(-- ISNUMBER(SEARCH({"Lookup","Master-Detail"}, $B175))) &gt; 0,$B175 &amp; "(" &amp; $E175 &amp; ")",IF(SUMPRODUCT(-- ISNUMBER(SEARCH({"Formula","Roll-Up Summary"}, $B175))) &gt; 0,$B175 &amp; " (" &amp; $E175 &amp; ")",IF(SUMPRODUCT(-- ISNUMBER(SEARCH({"Content","Currency","Number","Percent","Text","URL"}, $B175))) &gt; 0,$B175 &amp; "(" &amp; $C175 &amp; ")",$B175)))), "  ", TRIM(IF($S175 = "YES", "(External ID)", "") &amp; " " &amp; IF(SUMPRODUCT(-- ISNUMBER(SEARCH({"Unique","Unique Case Insensitive"}, $R175))) &gt; 0, "(" &amp; $R175 &amp; ")", ""))))</f>
        <v>na</v>
      </c>
      <c r="E175" s="7" t="s">
        <v>195</v>
      </c>
      <c r="F175" s="7" t="s">
        <v>195</v>
      </c>
      <c r="G175" s="7" t="s">
        <v>195</v>
      </c>
      <c r="H175" s="7" t="s">
        <v>195</v>
      </c>
      <c r="I175" s="7" t="s">
        <v>195</v>
      </c>
      <c r="J175" s="7" t="s">
        <v>195</v>
      </c>
      <c r="K175" s="7" t="s">
        <v>195</v>
      </c>
      <c r="L175" s="7" t="s">
        <v>195</v>
      </c>
      <c r="M175" s="7" t="s">
        <v>29</v>
      </c>
      <c r="N175" s="7" t="s">
        <v>29</v>
      </c>
      <c r="O175" s="7" t="s">
        <v>29</v>
      </c>
      <c r="P175" s="7" t="s">
        <v>29</v>
      </c>
      <c r="Q175" s="7" t="s">
        <v>29</v>
      </c>
      <c r="R175" s="7" t="s">
        <v>29</v>
      </c>
      <c r="S175" s="7" t="s">
        <v>29</v>
      </c>
    </row>
    <row r="176" spans="2:19">
      <c r="B176" s="7" t="s">
        <v>195</v>
      </c>
      <c r="C176" s="8" t="s">
        <v>195</v>
      </c>
      <c r="D176" s="6" t="str">
        <f>LRTRIM(CONCATENATE(IF(SUMPRODUCT(-- ISNUMBER(SEARCH({"Auto Number"}, $B176))) &gt; 0, $B176, IF(SUMPRODUCT(-- ISNUMBER(SEARCH({"Lookup","Master-Detail"}, $B176))) &gt; 0,$B176 &amp; "(" &amp; $E176 &amp; ")",IF(SUMPRODUCT(-- ISNUMBER(SEARCH({"Formula","Roll-Up Summary"}, $B176))) &gt; 0,$B176 &amp; " (" &amp; $E176 &amp; ")",IF(SUMPRODUCT(-- ISNUMBER(SEARCH({"Content","Currency","Number","Percent","Text","URL"}, $B176))) &gt; 0,$B176 &amp; "(" &amp; $C176 &amp; ")",$B176)))), "  ", TRIM(IF($S176 = "YES", "(External ID)", "") &amp; " " &amp; IF(SUMPRODUCT(-- ISNUMBER(SEARCH({"Unique","Unique Case Insensitive"}, $R176))) &gt; 0, "(" &amp; $R176 &amp; ")", ""))))</f>
        <v>na</v>
      </c>
      <c r="E176" s="7" t="s">
        <v>195</v>
      </c>
      <c r="F176" s="7" t="s">
        <v>195</v>
      </c>
      <c r="G176" s="7" t="s">
        <v>195</v>
      </c>
      <c r="H176" s="7" t="s">
        <v>195</v>
      </c>
      <c r="I176" s="7" t="s">
        <v>195</v>
      </c>
      <c r="J176" s="7" t="s">
        <v>195</v>
      </c>
      <c r="K176" s="7" t="s">
        <v>195</v>
      </c>
      <c r="L176" s="7" t="s">
        <v>195</v>
      </c>
      <c r="M176" s="7" t="s">
        <v>29</v>
      </c>
      <c r="N176" s="7" t="s">
        <v>29</v>
      </c>
      <c r="O176" s="7" t="s">
        <v>29</v>
      </c>
      <c r="P176" s="7" t="s">
        <v>29</v>
      </c>
      <c r="Q176" s="7" t="s">
        <v>29</v>
      </c>
      <c r="R176" s="7" t="s">
        <v>29</v>
      </c>
      <c r="S176" s="7" t="s">
        <v>29</v>
      </c>
    </row>
    <row r="177" spans="2:19">
      <c r="B177" s="7" t="s">
        <v>195</v>
      </c>
      <c r="C177" s="8" t="s">
        <v>195</v>
      </c>
      <c r="D177" s="6" t="str">
        <f>LRTRIM(CONCATENATE(IF(SUMPRODUCT(-- ISNUMBER(SEARCH({"Auto Number"}, $B177))) &gt; 0, $B177, IF(SUMPRODUCT(-- ISNUMBER(SEARCH({"Lookup","Master-Detail"}, $B177))) &gt; 0,$B177 &amp; "(" &amp; $E177 &amp; ")",IF(SUMPRODUCT(-- ISNUMBER(SEARCH({"Formula","Roll-Up Summary"}, $B177))) &gt; 0,$B177 &amp; " (" &amp; $E177 &amp; ")",IF(SUMPRODUCT(-- ISNUMBER(SEARCH({"Content","Currency","Number","Percent","Text","URL"}, $B177))) &gt; 0,$B177 &amp; "(" &amp; $C177 &amp; ")",$B177)))), "  ", TRIM(IF($S177 = "YES", "(External ID)", "") &amp; " " &amp; IF(SUMPRODUCT(-- ISNUMBER(SEARCH({"Unique","Unique Case Insensitive"}, $R177))) &gt; 0, "(" &amp; $R177 &amp; ")", ""))))</f>
        <v>na</v>
      </c>
      <c r="E177" s="7" t="s">
        <v>195</v>
      </c>
      <c r="F177" s="7" t="s">
        <v>195</v>
      </c>
      <c r="G177" s="7" t="s">
        <v>195</v>
      </c>
      <c r="H177" s="7" t="s">
        <v>195</v>
      </c>
      <c r="I177" s="7" t="s">
        <v>195</v>
      </c>
      <c r="J177" s="7" t="s">
        <v>195</v>
      </c>
      <c r="K177" s="7" t="s">
        <v>195</v>
      </c>
      <c r="L177" s="7" t="s">
        <v>195</v>
      </c>
      <c r="M177" s="7" t="s">
        <v>29</v>
      </c>
      <c r="N177" s="7" t="s">
        <v>29</v>
      </c>
      <c r="O177" s="7" t="s">
        <v>29</v>
      </c>
      <c r="P177" s="7" t="s">
        <v>29</v>
      </c>
      <c r="Q177" s="7" t="s">
        <v>29</v>
      </c>
      <c r="R177" s="7" t="s">
        <v>29</v>
      </c>
      <c r="S177" s="7" t="s">
        <v>29</v>
      </c>
    </row>
    <row r="178" spans="2:19">
      <c r="B178" s="7" t="s">
        <v>195</v>
      </c>
      <c r="C178" s="8" t="s">
        <v>195</v>
      </c>
      <c r="D178" s="6" t="str">
        <f>LRTRIM(CONCATENATE(IF(SUMPRODUCT(-- ISNUMBER(SEARCH({"Auto Number"}, $B178))) &gt; 0, $B178, IF(SUMPRODUCT(-- ISNUMBER(SEARCH({"Lookup","Master-Detail"}, $B178))) &gt; 0,$B178 &amp; "(" &amp; $E178 &amp; ")",IF(SUMPRODUCT(-- ISNUMBER(SEARCH({"Formula","Roll-Up Summary"}, $B178))) &gt; 0,$B178 &amp; " (" &amp; $E178 &amp; ")",IF(SUMPRODUCT(-- ISNUMBER(SEARCH({"Content","Currency","Number","Percent","Text","URL"}, $B178))) &gt; 0,$B178 &amp; "(" &amp; $C178 &amp; ")",$B178)))), "  ", TRIM(IF($S178 = "YES", "(External ID)", "") &amp; " " &amp; IF(SUMPRODUCT(-- ISNUMBER(SEARCH({"Unique","Unique Case Insensitive"}, $R178))) &gt; 0, "(" &amp; $R178 &amp; ")", ""))))</f>
        <v>na</v>
      </c>
      <c r="E178" s="7" t="s">
        <v>195</v>
      </c>
      <c r="F178" s="7" t="s">
        <v>195</v>
      </c>
      <c r="G178" s="7" t="s">
        <v>195</v>
      </c>
      <c r="H178" s="7" t="s">
        <v>195</v>
      </c>
      <c r="I178" s="7" t="s">
        <v>195</v>
      </c>
      <c r="J178" s="7" t="s">
        <v>195</v>
      </c>
      <c r="K178" s="7" t="s">
        <v>195</v>
      </c>
      <c r="L178" s="7" t="s">
        <v>195</v>
      </c>
      <c r="M178" s="7" t="s">
        <v>29</v>
      </c>
      <c r="N178" s="7" t="s">
        <v>29</v>
      </c>
      <c r="O178" s="7" t="s">
        <v>29</v>
      </c>
      <c r="P178" s="7" t="s">
        <v>29</v>
      </c>
      <c r="Q178" s="7" t="s">
        <v>29</v>
      </c>
      <c r="R178" s="7" t="s">
        <v>29</v>
      </c>
      <c r="S178" s="7" t="s">
        <v>29</v>
      </c>
    </row>
    <row r="179" spans="2:19">
      <c r="B179" s="7" t="s">
        <v>195</v>
      </c>
      <c r="C179" s="8" t="s">
        <v>195</v>
      </c>
      <c r="D179" s="6" t="str">
        <f>LRTRIM(CONCATENATE(IF(SUMPRODUCT(-- ISNUMBER(SEARCH({"Auto Number"}, $B179))) &gt; 0, $B179, IF(SUMPRODUCT(-- ISNUMBER(SEARCH({"Lookup","Master-Detail"}, $B179))) &gt; 0,$B179 &amp; "(" &amp; $E179 &amp; ")",IF(SUMPRODUCT(-- ISNUMBER(SEARCH({"Formula","Roll-Up Summary"}, $B179))) &gt; 0,$B179 &amp; " (" &amp; $E179 &amp; ")",IF(SUMPRODUCT(-- ISNUMBER(SEARCH({"Content","Currency","Number","Percent","Text","URL"}, $B179))) &gt; 0,$B179 &amp; "(" &amp; $C179 &amp; ")",$B179)))), "  ", TRIM(IF($S179 = "YES", "(External ID)", "") &amp; " " &amp; IF(SUMPRODUCT(-- ISNUMBER(SEARCH({"Unique","Unique Case Insensitive"}, $R179))) &gt; 0, "(" &amp; $R179 &amp; ")", ""))))</f>
        <v>na</v>
      </c>
      <c r="E179" s="7" t="s">
        <v>195</v>
      </c>
      <c r="F179" s="7" t="s">
        <v>195</v>
      </c>
      <c r="G179" s="7" t="s">
        <v>195</v>
      </c>
      <c r="H179" s="7" t="s">
        <v>195</v>
      </c>
      <c r="I179" s="7" t="s">
        <v>195</v>
      </c>
      <c r="J179" s="7" t="s">
        <v>195</v>
      </c>
      <c r="K179" s="7" t="s">
        <v>195</v>
      </c>
      <c r="L179" s="7" t="s">
        <v>195</v>
      </c>
      <c r="M179" s="7" t="s">
        <v>29</v>
      </c>
      <c r="N179" s="7" t="s">
        <v>29</v>
      </c>
      <c r="O179" s="7" t="s">
        <v>29</v>
      </c>
      <c r="P179" s="7" t="s">
        <v>29</v>
      </c>
      <c r="Q179" s="7" t="s">
        <v>29</v>
      </c>
      <c r="R179" s="7" t="s">
        <v>29</v>
      </c>
      <c r="S179" s="7" t="s">
        <v>29</v>
      </c>
    </row>
    <row r="180" spans="2:19">
      <c r="B180" s="7" t="s">
        <v>195</v>
      </c>
      <c r="C180" s="8" t="s">
        <v>195</v>
      </c>
      <c r="D180" s="6" t="str">
        <f>LRTRIM(CONCATENATE(IF(SUMPRODUCT(-- ISNUMBER(SEARCH({"Auto Number"}, $B180))) &gt; 0, $B180, IF(SUMPRODUCT(-- ISNUMBER(SEARCH({"Lookup","Master-Detail"}, $B180))) &gt; 0,$B180 &amp; "(" &amp; $E180 &amp; ")",IF(SUMPRODUCT(-- ISNUMBER(SEARCH({"Formula","Roll-Up Summary"}, $B180))) &gt; 0,$B180 &amp; " (" &amp; $E180 &amp; ")",IF(SUMPRODUCT(-- ISNUMBER(SEARCH({"Content","Currency","Number","Percent","Text","URL"}, $B180))) &gt; 0,$B180 &amp; "(" &amp; $C180 &amp; ")",$B180)))), "  ", TRIM(IF($S180 = "YES", "(External ID)", "") &amp; " " &amp; IF(SUMPRODUCT(-- ISNUMBER(SEARCH({"Unique","Unique Case Insensitive"}, $R180))) &gt; 0, "(" &amp; $R180 &amp; ")", ""))))</f>
        <v>na</v>
      </c>
      <c r="E180" s="7" t="s">
        <v>195</v>
      </c>
      <c r="F180" s="7" t="s">
        <v>195</v>
      </c>
      <c r="G180" s="7" t="s">
        <v>195</v>
      </c>
      <c r="H180" s="7" t="s">
        <v>195</v>
      </c>
      <c r="I180" s="7" t="s">
        <v>195</v>
      </c>
      <c r="J180" s="7" t="s">
        <v>195</v>
      </c>
      <c r="K180" s="7" t="s">
        <v>195</v>
      </c>
      <c r="L180" s="7" t="s">
        <v>195</v>
      </c>
      <c r="M180" s="7" t="s">
        <v>29</v>
      </c>
      <c r="N180" s="7" t="s">
        <v>29</v>
      </c>
      <c r="O180" s="7" t="s">
        <v>29</v>
      </c>
      <c r="P180" s="7" t="s">
        <v>29</v>
      </c>
      <c r="Q180" s="7" t="s">
        <v>29</v>
      </c>
      <c r="R180" s="7" t="s">
        <v>29</v>
      </c>
      <c r="S180" s="7" t="s">
        <v>29</v>
      </c>
    </row>
    <row r="181" spans="2:19">
      <c r="B181" s="7" t="s">
        <v>195</v>
      </c>
      <c r="C181" s="8" t="s">
        <v>195</v>
      </c>
      <c r="D181" s="6" t="str">
        <f>LRTRIM(CONCATENATE(IF(SUMPRODUCT(-- ISNUMBER(SEARCH({"Auto Number"}, $B181))) &gt; 0, $B181, IF(SUMPRODUCT(-- ISNUMBER(SEARCH({"Lookup","Master-Detail"}, $B181))) &gt; 0,$B181 &amp; "(" &amp; $E181 &amp; ")",IF(SUMPRODUCT(-- ISNUMBER(SEARCH({"Formula","Roll-Up Summary"}, $B181))) &gt; 0,$B181 &amp; " (" &amp; $E181 &amp; ")",IF(SUMPRODUCT(-- ISNUMBER(SEARCH({"Content","Currency","Number","Percent","Text","URL"}, $B181))) &gt; 0,$B181 &amp; "(" &amp; $C181 &amp; ")",$B181)))), "  ", TRIM(IF($S181 = "YES", "(External ID)", "") &amp; " " &amp; IF(SUMPRODUCT(-- ISNUMBER(SEARCH({"Unique","Unique Case Insensitive"}, $R181))) &gt; 0, "(" &amp; $R181 &amp; ")", ""))))</f>
        <v>na</v>
      </c>
      <c r="E181" s="7" t="s">
        <v>195</v>
      </c>
      <c r="F181" s="7" t="s">
        <v>195</v>
      </c>
      <c r="G181" s="7" t="s">
        <v>195</v>
      </c>
      <c r="H181" s="7" t="s">
        <v>195</v>
      </c>
      <c r="I181" s="7" t="s">
        <v>195</v>
      </c>
      <c r="J181" s="7" t="s">
        <v>195</v>
      </c>
      <c r="K181" s="7" t="s">
        <v>195</v>
      </c>
      <c r="L181" s="7" t="s">
        <v>195</v>
      </c>
      <c r="M181" s="7" t="s">
        <v>29</v>
      </c>
      <c r="N181" s="7" t="s">
        <v>29</v>
      </c>
      <c r="O181" s="7" t="s">
        <v>29</v>
      </c>
      <c r="P181" s="7" t="s">
        <v>29</v>
      </c>
      <c r="Q181" s="7" t="s">
        <v>29</v>
      </c>
      <c r="R181" s="7" t="s">
        <v>29</v>
      </c>
      <c r="S181" s="7" t="s">
        <v>29</v>
      </c>
    </row>
    <row r="182" spans="2:19">
      <c r="B182" s="7" t="s">
        <v>195</v>
      </c>
      <c r="C182" s="8" t="s">
        <v>195</v>
      </c>
      <c r="D182" s="6" t="str">
        <f>LRTRIM(CONCATENATE(IF(SUMPRODUCT(-- ISNUMBER(SEARCH({"Auto Number"}, $B182))) &gt; 0, $B182, IF(SUMPRODUCT(-- ISNUMBER(SEARCH({"Lookup","Master-Detail"}, $B182))) &gt; 0,$B182 &amp; "(" &amp; $E182 &amp; ")",IF(SUMPRODUCT(-- ISNUMBER(SEARCH({"Formula","Roll-Up Summary"}, $B182))) &gt; 0,$B182 &amp; " (" &amp; $E182 &amp; ")",IF(SUMPRODUCT(-- ISNUMBER(SEARCH({"Content","Currency","Number","Percent","Text","URL"}, $B182))) &gt; 0,$B182 &amp; "(" &amp; $C182 &amp; ")",$B182)))), "  ", TRIM(IF($S182 = "YES", "(External ID)", "") &amp; " " &amp; IF(SUMPRODUCT(-- ISNUMBER(SEARCH({"Unique","Unique Case Insensitive"}, $R182))) &gt; 0, "(" &amp; $R182 &amp; ")", ""))))</f>
        <v>na</v>
      </c>
      <c r="E182" s="7" t="s">
        <v>195</v>
      </c>
      <c r="F182" s="7" t="s">
        <v>195</v>
      </c>
      <c r="G182" s="7" t="s">
        <v>195</v>
      </c>
      <c r="H182" s="7" t="s">
        <v>195</v>
      </c>
      <c r="I182" s="7" t="s">
        <v>195</v>
      </c>
      <c r="J182" s="7" t="s">
        <v>195</v>
      </c>
      <c r="K182" s="7" t="s">
        <v>195</v>
      </c>
      <c r="L182" s="7" t="s">
        <v>195</v>
      </c>
      <c r="M182" s="7" t="s">
        <v>29</v>
      </c>
      <c r="N182" s="7" t="s">
        <v>29</v>
      </c>
      <c r="O182" s="7" t="s">
        <v>29</v>
      </c>
      <c r="P182" s="7" t="s">
        <v>29</v>
      </c>
      <c r="Q182" s="7" t="s">
        <v>29</v>
      </c>
      <c r="R182" s="7" t="s">
        <v>29</v>
      </c>
      <c r="S182" s="7" t="s">
        <v>29</v>
      </c>
    </row>
    <row r="183" spans="2:19">
      <c r="B183" s="7" t="s">
        <v>195</v>
      </c>
      <c r="C183" s="8" t="s">
        <v>195</v>
      </c>
      <c r="D183" s="6" t="str">
        <f>LRTRIM(CONCATENATE(IF(SUMPRODUCT(-- ISNUMBER(SEARCH({"Auto Number"}, $B183))) &gt; 0, $B183, IF(SUMPRODUCT(-- ISNUMBER(SEARCH({"Lookup","Master-Detail"}, $B183))) &gt; 0,$B183 &amp; "(" &amp; $E183 &amp; ")",IF(SUMPRODUCT(-- ISNUMBER(SEARCH({"Formula","Roll-Up Summary"}, $B183))) &gt; 0,$B183 &amp; " (" &amp; $E183 &amp; ")",IF(SUMPRODUCT(-- ISNUMBER(SEARCH({"Content","Currency","Number","Percent","Text","URL"}, $B183))) &gt; 0,$B183 &amp; "(" &amp; $C183 &amp; ")",$B183)))), "  ", TRIM(IF($S183 = "YES", "(External ID)", "") &amp; " " &amp; IF(SUMPRODUCT(-- ISNUMBER(SEARCH({"Unique","Unique Case Insensitive"}, $R183))) &gt; 0, "(" &amp; $R183 &amp; ")", ""))))</f>
        <v>na</v>
      </c>
      <c r="E183" s="7" t="s">
        <v>195</v>
      </c>
      <c r="F183" s="7" t="s">
        <v>195</v>
      </c>
      <c r="G183" s="7" t="s">
        <v>195</v>
      </c>
      <c r="H183" s="7" t="s">
        <v>195</v>
      </c>
      <c r="I183" s="7" t="s">
        <v>195</v>
      </c>
      <c r="J183" s="7" t="s">
        <v>195</v>
      </c>
      <c r="K183" s="7" t="s">
        <v>195</v>
      </c>
      <c r="L183" s="7" t="s">
        <v>195</v>
      </c>
      <c r="M183" s="7" t="s">
        <v>29</v>
      </c>
      <c r="N183" s="7" t="s">
        <v>29</v>
      </c>
      <c r="O183" s="7" t="s">
        <v>29</v>
      </c>
      <c r="P183" s="7" t="s">
        <v>29</v>
      </c>
      <c r="Q183" s="7" t="s">
        <v>29</v>
      </c>
      <c r="R183" s="7" t="s">
        <v>29</v>
      </c>
      <c r="S183" s="7" t="s">
        <v>29</v>
      </c>
    </row>
    <row r="184" spans="2:19">
      <c r="B184" s="7" t="s">
        <v>195</v>
      </c>
      <c r="C184" s="8" t="s">
        <v>195</v>
      </c>
      <c r="D184" s="6" t="str">
        <f>LRTRIM(CONCATENATE(IF(SUMPRODUCT(-- ISNUMBER(SEARCH({"Auto Number"}, $B184))) &gt; 0, $B184, IF(SUMPRODUCT(-- ISNUMBER(SEARCH({"Lookup","Master-Detail"}, $B184))) &gt; 0,$B184 &amp; "(" &amp; $E184 &amp; ")",IF(SUMPRODUCT(-- ISNUMBER(SEARCH({"Formula","Roll-Up Summary"}, $B184))) &gt; 0,$B184 &amp; " (" &amp; $E184 &amp; ")",IF(SUMPRODUCT(-- ISNUMBER(SEARCH({"Content","Currency","Number","Percent","Text","URL"}, $B184))) &gt; 0,$B184 &amp; "(" &amp; $C184 &amp; ")",$B184)))), "  ", TRIM(IF($S184 = "YES", "(External ID)", "") &amp; " " &amp; IF(SUMPRODUCT(-- ISNUMBER(SEARCH({"Unique","Unique Case Insensitive"}, $R184))) &gt; 0, "(" &amp; $R184 &amp; ")", ""))))</f>
        <v>na</v>
      </c>
      <c r="E184" s="7" t="s">
        <v>195</v>
      </c>
      <c r="F184" s="7" t="s">
        <v>195</v>
      </c>
      <c r="G184" s="7" t="s">
        <v>195</v>
      </c>
      <c r="H184" s="7" t="s">
        <v>195</v>
      </c>
      <c r="I184" s="7" t="s">
        <v>195</v>
      </c>
      <c r="J184" s="7" t="s">
        <v>195</v>
      </c>
      <c r="K184" s="7" t="s">
        <v>195</v>
      </c>
      <c r="L184" s="7" t="s">
        <v>195</v>
      </c>
      <c r="M184" s="7" t="s">
        <v>29</v>
      </c>
      <c r="N184" s="7" t="s">
        <v>29</v>
      </c>
      <c r="O184" s="7" t="s">
        <v>29</v>
      </c>
      <c r="P184" s="7" t="s">
        <v>29</v>
      </c>
      <c r="Q184" s="7" t="s">
        <v>29</v>
      </c>
      <c r="R184" s="7" t="s">
        <v>29</v>
      </c>
      <c r="S184" s="7" t="s">
        <v>29</v>
      </c>
    </row>
    <row r="185" spans="2:19">
      <c r="B185" s="7" t="s">
        <v>195</v>
      </c>
      <c r="C185" s="8" t="s">
        <v>195</v>
      </c>
      <c r="D185" s="6" t="str">
        <f>LRTRIM(CONCATENATE(IF(SUMPRODUCT(-- ISNUMBER(SEARCH({"Auto Number"}, $B185))) &gt; 0, $B185, IF(SUMPRODUCT(-- ISNUMBER(SEARCH({"Lookup","Master-Detail"}, $B185))) &gt; 0,$B185 &amp; "(" &amp; $E185 &amp; ")",IF(SUMPRODUCT(-- ISNUMBER(SEARCH({"Formula","Roll-Up Summary"}, $B185))) &gt; 0,$B185 &amp; " (" &amp; $E185 &amp; ")",IF(SUMPRODUCT(-- ISNUMBER(SEARCH({"Content","Currency","Number","Percent","Text","URL"}, $B185))) &gt; 0,$B185 &amp; "(" &amp; $C185 &amp; ")",$B185)))), "  ", TRIM(IF($S185 = "YES", "(External ID)", "") &amp; " " &amp; IF(SUMPRODUCT(-- ISNUMBER(SEARCH({"Unique","Unique Case Insensitive"}, $R185))) &gt; 0, "(" &amp; $R185 &amp; ")", ""))))</f>
        <v>na</v>
      </c>
      <c r="E185" s="7" t="s">
        <v>195</v>
      </c>
      <c r="F185" s="7" t="s">
        <v>195</v>
      </c>
      <c r="G185" s="7" t="s">
        <v>195</v>
      </c>
      <c r="H185" s="7" t="s">
        <v>195</v>
      </c>
      <c r="I185" s="7" t="s">
        <v>195</v>
      </c>
      <c r="J185" s="7" t="s">
        <v>195</v>
      </c>
      <c r="K185" s="7" t="s">
        <v>195</v>
      </c>
      <c r="L185" s="7" t="s">
        <v>195</v>
      </c>
      <c r="M185" s="7" t="s">
        <v>29</v>
      </c>
      <c r="N185" s="7" t="s">
        <v>29</v>
      </c>
      <c r="O185" s="7" t="s">
        <v>29</v>
      </c>
      <c r="P185" s="7" t="s">
        <v>29</v>
      </c>
      <c r="Q185" s="7" t="s">
        <v>29</v>
      </c>
      <c r="R185" s="7" t="s">
        <v>29</v>
      </c>
      <c r="S185" s="7" t="s">
        <v>29</v>
      </c>
    </row>
    <row r="186" spans="2:19">
      <c r="B186" s="7" t="s">
        <v>195</v>
      </c>
      <c r="C186" s="8" t="s">
        <v>195</v>
      </c>
      <c r="D186" s="6" t="str">
        <f>LRTRIM(CONCATENATE(IF(SUMPRODUCT(-- ISNUMBER(SEARCH({"Auto Number"}, $B186))) &gt; 0, $B186, IF(SUMPRODUCT(-- ISNUMBER(SEARCH({"Lookup","Master-Detail"}, $B186))) &gt; 0,$B186 &amp; "(" &amp; $E186 &amp; ")",IF(SUMPRODUCT(-- ISNUMBER(SEARCH({"Formula","Roll-Up Summary"}, $B186))) &gt; 0,$B186 &amp; " (" &amp; $E186 &amp; ")",IF(SUMPRODUCT(-- ISNUMBER(SEARCH({"Content","Currency","Number","Percent","Text","URL"}, $B186))) &gt; 0,$B186 &amp; "(" &amp; $C186 &amp; ")",$B186)))), "  ", TRIM(IF($S186 = "YES", "(External ID)", "") &amp; " " &amp; IF(SUMPRODUCT(-- ISNUMBER(SEARCH({"Unique","Unique Case Insensitive"}, $R186))) &gt; 0, "(" &amp; $R186 &amp; ")", ""))))</f>
        <v>na</v>
      </c>
      <c r="E186" s="7" t="s">
        <v>195</v>
      </c>
      <c r="F186" s="7" t="s">
        <v>195</v>
      </c>
      <c r="G186" s="7" t="s">
        <v>195</v>
      </c>
      <c r="H186" s="7" t="s">
        <v>195</v>
      </c>
      <c r="I186" s="7" t="s">
        <v>195</v>
      </c>
      <c r="J186" s="7" t="s">
        <v>195</v>
      </c>
      <c r="K186" s="7" t="s">
        <v>195</v>
      </c>
      <c r="L186" s="7" t="s">
        <v>195</v>
      </c>
      <c r="M186" s="7" t="s">
        <v>29</v>
      </c>
      <c r="N186" s="7" t="s">
        <v>29</v>
      </c>
      <c r="O186" s="7" t="s">
        <v>29</v>
      </c>
      <c r="P186" s="7" t="s">
        <v>29</v>
      </c>
      <c r="Q186" s="7" t="s">
        <v>29</v>
      </c>
      <c r="R186" s="7" t="s">
        <v>29</v>
      </c>
      <c r="S186" s="7" t="s">
        <v>29</v>
      </c>
    </row>
    <row r="187" spans="2:19">
      <c r="B187" s="7" t="s">
        <v>195</v>
      </c>
      <c r="C187" s="8" t="s">
        <v>195</v>
      </c>
      <c r="D187" s="6" t="str">
        <f>LRTRIM(CONCATENATE(IF(SUMPRODUCT(-- ISNUMBER(SEARCH({"Auto Number"}, $B187))) &gt; 0, $B187, IF(SUMPRODUCT(-- ISNUMBER(SEARCH({"Lookup","Master-Detail"}, $B187))) &gt; 0,$B187 &amp; "(" &amp; $E187 &amp; ")",IF(SUMPRODUCT(-- ISNUMBER(SEARCH({"Formula","Roll-Up Summary"}, $B187))) &gt; 0,$B187 &amp; " (" &amp; $E187 &amp; ")",IF(SUMPRODUCT(-- ISNUMBER(SEARCH({"Content","Currency","Number","Percent","Text","URL"}, $B187))) &gt; 0,$B187 &amp; "(" &amp; $C187 &amp; ")",$B187)))), "  ", TRIM(IF($S187 = "YES", "(External ID)", "") &amp; " " &amp; IF(SUMPRODUCT(-- ISNUMBER(SEARCH({"Unique","Unique Case Insensitive"}, $R187))) &gt; 0, "(" &amp; $R187 &amp; ")", ""))))</f>
        <v>na</v>
      </c>
      <c r="E187" s="7" t="s">
        <v>195</v>
      </c>
      <c r="F187" s="7" t="s">
        <v>195</v>
      </c>
      <c r="G187" s="7" t="s">
        <v>195</v>
      </c>
      <c r="H187" s="7" t="s">
        <v>195</v>
      </c>
      <c r="I187" s="7" t="s">
        <v>195</v>
      </c>
      <c r="J187" s="7" t="s">
        <v>195</v>
      </c>
      <c r="K187" s="7" t="s">
        <v>195</v>
      </c>
      <c r="L187" s="7" t="s">
        <v>195</v>
      </c>
      <c r="M187" s="7" t="s">
        <v>29</v>
      </c>
      <c r="N187" s="7" t="s">
        <v>29</v>
      </c>
      <c r="O187" s="7" t="s">
        <v>29</v>
      </c>
      <c r="P187" s="7" t="s">
        <v>29</v>
      </c>
      <c r="Q187" s="7" t="s">
        <v>29</v>
      </c>
      <c r="R187" s="7" t="s">
        <v>29</v>
      </c>
      <c r="S187" s="7" t="s">
        <v>29</v>
      </c>
    </row>
    <row r="188" spans="2:19">
      <c r="B188" s="7" t="s">
        <v>195</v>
      </c>
      <c r="C188" s="8" t="s">
        <v>195</v>
      </c>
      <c r="D188" s="6" t="str">
        <f>LRTRIM(CONCATENATE(IF(SUMPRODUCT(-- ISNUMBER(SEARCH({"Auto Number"}, $B188))) &gt; 0, $B188, IF(SUMPRODUCT(-- ISNUMBER(SEARCH({"Lookup","Master-Detail"}, $B188))) &gt; 0,$B188 &amp; "(" &amp; $E188 &amp; ")",IF(SUMPRODUCT(-- ISNUMBER(SEARCH({"Formula","Roll-Up Summary"}, $B188))) &gt; 0,$B188 &amp; " (" &amp; $E188 &amp; ")",IF(SUMPRODUCT(-- ISNUMBER(SEARCH({"Content","Currency","Number","Percent","Text","URL"}, $B188))) &gt; 0,$B188 &amp; "(" &amp; $C188 &amp; ")",$B188)))), "  ", TRIM(IF($S188 = "YES", "(External ID)", "") &amp; " " &amp; IF(SUMPRODUCT(-- ISNUMBER(SEARCH({"Unique","Unique Case Insensitive"}, $R188))) &gt; 0, "(" &amp; $R188 &amp; ")", ""))))</f>
        <v>na</v>
      </c>
      <c r="E188" s="7" t="s">
        <v>195</v>
      </c>
      <c r="F188" s="7" t="s">
        <v>195</v>
      </c>
      <c r="G188" s="7" t="s">
        <v>195</v>
      </c>
      <c r="H188" s="7" t="s">
        <v>195</v>
      </c>
      <c r="I188" s="7" t="s">
        <v>195</v>
      </c>
      <c r="J188" s="7" t="s">
        <v>195</v>
      </c>
      <c r="K188" s="7" t="s">
        <v>195</v>
      </c>
      <c r="L188" s="7" t="s">
        <v>195</v>
      </c>
      <c r="M188" s="7" t="s">
        <v>29</v>
      </c>
      <c r="N188" s="7" t="s">
        <v>29</v>
      </c>
      <c r="O188" s="7" t="s">
        <v>29</v>
      </c>
      <c r="P188" s="7" t="s">
        <v>29</v>
      </c>
      <c r="Q188" s="7" t="s">
        <v>29</v>
      </c>
      <c r="R188" s="7" t="s">
        <v>29</v>
      </c>
      <c r="S188" s="7" t="s">
        <v>29</v>
      </c>
    </row>
    <row r="189" spans="2:19">
      <c r="B189" s="7" t="s">
        <v>195</v>
      </c>
      <c r="C189" s="8" t="s">
        <v>195</v>
      </c>
      <c r="D189" s="6" t="str">
        <f>LRTRIM(CONCATENATE(IF(SUMPRODUCT(-- ISNUMBER(SEARCH({"Auto Number"}, $B189))) &gt; 0, $B189, IF(SUMPRODUCT(-- ISNUMBER(SEARCH({"Lookup","Master-Detail"}, $B189))) &gt; 0,$B189 &amp; "(" &amp; $E189 &amp; ")",IF(SUMPRODUCT(-- ISNUMBER(SEARCH({"Formula","Roll-Up Summary"}, $B189))) &gt; 0,$B189 &amp; " (" &amp; $E189 &amp; ")",IF(SUMPRODUCT(-- ISNUMBER(SEARCH({"Content","Currency","Number","Percent","Text","URL"}, $B189))) &gt; 0,$B189 &amp; "(" &amp; $C189 &amp; ")",$B189)))), "  ", TRIM(IF($S189 = "YES", "(External ID)", "") &amp; " " &amp; IF(SUMPRODUCT(-- ISNUMBER(SEARCH({"Unique","Unique Case Insensitive"}, $R189))) &gt; 0, "(" &amp; $R189 &amp; ")", ""))))</f>
        <v>na</v>
      </c>
      <c r="E189" s="7" t="s">
        <v>195</v>
      </c>
      <c r="F189" s="7" t="s">
        <v>195</v>
      </c>
      <c r="G189" s="7" t="s">
        <v>195</v>
      </c>
      <c r="H189" s="7" t="s">
        <v>195</v>
      </c>
      <c r="I189" s="7" t="s">
        <v>195</v>
      </c>
      <c r="J189" s="7" t="s">
        <v>195</v>
      </c>
      <c r="K189" s="7" t="s">
        <v>195</v>
      </c>
      <c r="L189" s="7" t="s">
        <v>195</v>
      </c>
      <c r="M189" s="7" t="s">
        <v>29</v>
      </c>
      <c r="N189" s="7" t="s">
        <v>29</v>
      </c>
      <c r="O189" s="7" t="s">
        <v>29</v>
      </c>
      <c r="P189" s="7" t="s">
        <v>29</v>
      </c>
      <c r="Q189" s="7" t="s">
        <v>29</v>
      </c>
      <c r="R189" s="7" t="s">
        <v>29</v>
      </c>
      <c r="S189" s="7" t="s">
        <v>29</v>
      </c>
    </row>
    <row r="190" spans="2:19">
      <c r="B190" s="7" t="s">
        <v>195</v>
      </c>
      <c r="C190" s="8" t="s">
        <v>195</v>
      </c>
      <c r="D190" s="6" t="str">
        <f>LRTRIM(CONCATENATE(IF(SUMPRODUCT(-- ISNUMBER(SEARCH({"Auto Number"}, $B190))) &gt; 0, $B190, IF(SUMPRODUCT(-- ISNUMBER(SEARCH({"Lookup","Master-Detail"}, $B190))) &gt; 0,$B190 &amp; "(" &amp; $E190 &amp; ")",IF(SUMPRODUCT(-- ISNUMBER(SEARCH({"Formula","Roll-Up Summary"}, $B190))) &gt; 0,$B190 &amp; " (" &amp; $E190 &amp; ")",IF(SUMPRODUCT(-- ISNUMBER(SEARCH({"Content","Currency","Number","Percent","Text","URL"}, $B190))) &gt; 0,$B190 &amp; "(" &amp; $C190 &amp; ")",$B190)))), "  ", TRIM(IF($S190 = "YES", "(External ID)", "") &amp; " " &amp; IF(SUMPRODUCT(-- ISNUMBER(SEARCH({"Unique","Unique Case Insensitive"}, $R190))) &gt; 0, "(" &amp; $R190 &amp; ")", ""))))</f>
        <v>na</v>
      </c>
      <c r="E190" s="7" t="s">
        <v>195</v>
      </c>
      <c r="F190" s="7" t="s">
        <v>195</v>
      </c>
      <c r="G190" s="7" t="s">
        <v>195</v>
      </c>
      <c r="H190" s="7" t="s">
        <v>195</v>
      </c>
      <c r="I190" s="7" t="s">
        <v>195</v>
      </c>
      <c r="J190" s="7" t="s">
        <v>195</v>
      </c>
      <c r="K190" s="7" t="s">
        <v>195</v>
      </c>
      <c r="L190" s="7" t="s">
        <v>195</v>
      </c>
      <c r="M190" s="7" t="s">
        <v>29</v>
      </c>
      <c r="N190" s="7" t="s">
        <v>29</v>
      </c>
      <c r="O190" s="7" t="s">
        <v>29</v>
      </c>
      <c r="P190" s="7" t="s">
        <v>29</v>
      </c>
      <c r="Q190" s="7" t="s">
        <v>29</v>
      </c>
      <c r="R190" s="7" t="s">
        <v>29</v>
      </c>
      <c r="S190" s="7" t="s">
        <v>29</v>
      </c>
    </row>
    <row r="191" spans="2:19">
      <c r="B191" s="7" t="s">
        <v>195</v>
      </c>
      <c r="C191" s="8" t="s">
        <v>195</v>
      </c>
      <c r="D191" s="6" t="str">
        <f>LRTRIM(CONCATENATE(IF(SUMPRODUCT(-- ISNUMBER(SEARCH({"Auto Number"}, $B191))) &gt; 0, $B191, IF(SUMPRODUCT(-- ISNUMBER(SEARCH({"Lookup","Master-Detail"}, $B191))) &gt; 0,$B191 &amp; "(" &amp; $E191 &amp; ")",IF(SUMPRODUCT(-- ISNUMBER(SEARCH({"Formula","Roll-Up Summary"}, $B191))) &gt; 0,$B191 &amp; " (" &amp; $E191 &amp; ")",IF(SUMPRODUCT(-- ISNUMBER(SEARCH({"Content","Currency","Number","Percent","Text","URL"}, $B191))) &gt; 0,$B191 &amp; "(" &amp; $C191 &amp; ")",$B191)))), "  ", TRIM(IF($S191 = "YES", "(External ID)", "") &amp; " " &amp; IF(SUMPRODUCT(-- ISNUMBER(SEARCH({"Unique","Unique Case Insensitive"}, $R191))) &gt; 0, "(" &amp; $R191 &amp; ")", ""))))</f>
        <v>na</v>
      </c>
      <c r="E191" s="7" t="s">
        <v>195</v>
      </c>
      <c r="F191" s="7" t="s">
        <v>195</v>
      </c>
      <c r="G191" s="7" t="s">
        <v>195</v>
      </c>
      <c r="H191" s="7" t="s">
        <v>195</v>
      </c>
      <c r="I191" s="7" t="s">
        <v>195</v>
      </c>
      <c r="J191" s="7" t="s">
        <v>195</v>
      </c>
      <c r="K191" s="7" t="s">
        <v>195</v>
      </c>
      <c r="L191" s="7" t="s">
        <v>195</v>
      </c>
      <c r="M191" s="7" t="s">
        <v>29</v>
      </c>
      <c r="N191" s="7" t="s">
        <v>29</v>
      </c>
      <c r="O191" s="7" t="s">
        <v>29</v>
      </c>
      <c r="P191" s="7" t="s">
        <v>29</v>
      </c>
      <c r="Q191" s="7" t="s">
        <v>29</v>
      </c>
      <c r="R191" s="7" t="s">
        <v>29</v>
      </c>
      <c r="S191" s="7" t="s">
        <v>29</v>
      </c>
    </row>
    <row r="192" spans="2:19">
      <c r="B192" s="7" t="s">
        <v>195</v>
      </c>
      <c r="C192" s="8" t="s">
        <v>195</v>
      </c>
      <c r="D192" s="6" t="str">
        <f>LRTRIM(CONCATENATE(IF(SUMPRODUCT(-- ISNUMBER(SEARCH({"Auto Number"}, $B192))) &gt; 0, $B192, IF(SUMPRODUCT(-- ISNUMBER(SEARCH({"Lookup","Master-Detail"}, $B192))) &gt; 0,$B192 &amp; "(" &amp; $E192 &amp; ")",IF(SUMPRODUCT(-- ISNUMBER(SEARCH({"Formula","Roll-Up Summary"}, $B192))) &gt; 0,$B192 &amp; " (" &amp; $E192 &amp; ")",IF(SUMPRODUCT(-- ISNUMBER(SEARCH({"Content","Currency","Number","Percent","Text","URL"}, $B192))) &gt; 0,$B192 &amp; "(" &amp; $C192 &amp; ")",$B192)))), "  ", TRIM(IF($S192 = "YES", "(External ID)", "") &amp; " " &amp; IF(SUMPRODUCT(-- ISNUMBER(SEARCH({"Unique","Unique Case Insensitive"}, $R192))) &gt; 0, "(" &amp; $R192 &amp; ")", ""))))</f>
        <v>na</v>
      </c>
      <c r="E192" s="7" t="s">
        <v>195</v>
      </c>
      <c r="F192" s="7" t="s">
        <v>195</v>
      </c>
      <c r="G192" s="7" t="s">
        <v>195</v>
      </c>
      <c r="H192" s="7" t="s">
        <v>195</v>
      </c>
      <c r="I192" s="7" t="s">
        <v>195</v>
      </c>
      <c r="J192" s="7" t="s">
        <v>195</v>
      </c>
      <c r="K192" s="7" t="s">
        <v>195</v>
      </c>
      <c r="L192" s="7" t="s">
        <v>195</v>
      </c>
      <c r="M192" s="7" t="s">
        <v>29</v>
      </c>
      <c r="N192" s="7" t="s">
        <v>29</v>
      </c>
      <c r="O192" s="7" t="s">
        <v>29</v>
      </c>
      <c r="P192" s="7" t="s">
        <v>29</v>
      </c>
      <c r="Q192" s="7" t="s">
        <v>29</v>
      </c>
      <c r="R192" s="7" t="s">
        <v>29</v>
      </c>
      <c r="S192" s="7" t="s">
        <v>29</v>
      </c>
    </row>
    <row r="193" spans="2:19">
      <c r="B193" s="7" t="s">
        <v>195</v>
      </c>
      <c r="C193" s="8" t="s">
        <v>195</v>
      </c>
      <c r="D193" s="6" t="str">
        <f>LRTRIM(CONCATENATE(IF(SUMPRODUCT(-- ISNUMBER(SEARCH({"Auto Number"}, $B193))) &gt; 0, $B193, IF(SUMPRODUCT(-- ISNUMBER(SEARCH({"Lookup","Master-Detail"}, $B193))) &gt; 0,$B193 &amp; "(" &amp; $E193 &amp; ")",IF(SUMPRODUCT(-- ISNUMBER(SEARCH({"Formula","Roll-Up Summary"}, $B193))) &gt; 0,$B193 &amp; " (" &amp; $E193 &amp; ")",IF(SUMPRODUCT(-- ISNUMBER(SEARCH({"Content","Currency","Number","Percent","Text","URL"}, $B193))) &gt; 0,$B193 &amp; "(" &amp; $C193 &amp; ")",$B193)))), "  ", TRIM(IF($S193 = "YES", "(External ID)", "") &amp; " " &amp; IF(SUMPRODUCT(-- ISNUMBER(SEARCH({"Unique","Unique Case Insensitive"}, $R193))) &gt; 0, "(" &amp; $R193 &amp; ")", ""))))</f>
        <v>na</v>
      </c>
      <c r="E193" s="7" t="s">
        <v>195</v>
      </c>
      <c r="F193" s="7" t="s">
        <v>195</v>
      </c>
      <c r="G193" s="7" t="s">
        <v>195</v>
      </c>
      <c r="H193" s="7" t="s">
        <v>195</v>
      </c>
      <c r="I193" s="7" t="s">
        <v>195</v>
      </c>
      <c r="J193" s="7" t="s">
        <v>195</v>
      </c>
      <c r="K193" s="7" t="s">
        <v>195</v>
      </c>
      <c r="L193" s="7" t="s">
        <v>195</v>
      </c>
      <c r="M193" s="7" t="s">
        <v>29</v>
      </c>
      <c r="N193" s="7" t="s">
        <v>29</v>
      </c>
      <c r="O193" s="7" t="s">
        <v>29</v>
      </c>
      <c r="P193" s="7" t="s">
        <v>29</v>
      </c>
      <c r="Q193" s="7" t="s">
        <v>29</v>
      </c>
      <c r="R193" s="7" t="s">
        <v>29</v>
      </c>
      <c r="S193" s="7" t="s">
        <v>29</v>
      </c>
    </row>
    <row r="194" spans="2:19">
      <c r="B194" s="7" t="s">
        <v>195</v>
      </c>
      <c r="C194" s="8" t="s">
        <v>195</v>
      </c>
      <c r="D194" s="6" t="str">
        <f>LRTRIM(CONCATENATE(IF(SUMPRODUCT(-- ISNUMBER(SEARCH({"Auto Number"}, $B194))) &gt; 0, $B194, IF(SUMPRODUCT(-- ISNUMBER(SEARCH({"Lookup","Master-Detail"}, $B194))) &gt; 0,$B194 &amp; "(" &amp; $E194 &amp; ")",IF(SUMPRODUCT(-- ISNUMBER(SEARCH({"Formula","Roll-Up Summary"}, $B194))) &gt; 0,$B194 &amp; " (" &amp; $E194 &amp; ")",IF(SUMPRODUCT(-- ISNUMBER(SEARCH({"Content","Currency","Number","Percent","Text","URL"}, $B194))) &gt; 0,$B194 &amp; "(" &amp; $C194 &amp; ")",$B194)))), "  ", TRIM(IF($S194 = "YES", "(External ID)", "") &amp; " " &amp; IF(SUMPRODUCT(-- ISNUMBER(SEARCH({"Unique","Unique Case Insensitive"}, $R194))) &gt; 0, "(" &amp; $R194 &amp; ")", ""))))</f>
        <v>na</v>
      </c>
      <c r="E194" s="7" t="s">
        <v>195</v>
      </c>
      <c r="F194" s="7" t="s">
        <v>195</v>
      </c>
      <c r="G194" s="7" t="s">
        <v>195</v>
      </c>
      <c r="H194" s="7" t="s">
        <v>195</v>
      </c>
      <c r="I194" s="7" t="s">
        <v>195</v>
      </c>
      <c r="J194" s="7" t="s">
        <v>195</v>
      </c>
      <c r="K194" s="7" t="s">
        <v>195</v>
      </c>
      <c r="L194" s="7" t="s">
        <v>195</v>
      </c>
      <c r="M194" s="7" t="s">
        <v>29</v>
      </c>
      <c r="N194" s="7" t="s">
        <v>29</v>
      </c>
      <c r="O194" s="7" t="s">
        <v>29</v>
      </c>
      <c r="P194" s="7" t="s">
        <v>29</v>
      </c>
      <c r="Q194" s="7" t="s">
        <v>29</v>
      </c>
      <c r="R194" s="7" t="s">
        <v>29</v>
      </c>
      <c r="S194" s="7" t="s">
        <v>29</v>
      </c>
    </row>
    <row r="195" spans="2:19">
      <c r="B195" s="7" t="s">
        <v>195</v>
      </c>
      <c r="C195" s="8" t="s">
        <v>195</v>
      </c>
      <c r="D195" s="6" t="str">
        <f>LRTRIM(CONCATENATE(IF(SUMPRODUCT(-- ISNUMBER(SEARCH({"Auto Number"}, $B195))) &gt; 0, $B195, IF(SUMPRODUCT(-- ISNUMBER(SEARCH({"Lookup","Master-Detail"}, $B195))) &gt; 0,$B195 &amp; "(" &amp; $E195 &amp; ")",IF(SUMPRODUCT(-- ISNUMBER(SEARCH({"Formula","Roll-Up Summary"}, $B195))) &gt; 0,$B195 &amp; " (" &amp; $E195 &amp; ")",IF(SUMPRODUCT(-- ISNUMBER(SEARCH({"Content","Currency","Number","Percent","Text","URL"}, $B195))) &gt; 0,$B195 &amp; "(" &amp; $C195 &amp; ")",$B195)))), "  ", TRIM(IF($S195 = "YES", "(External ID)", "") &amp; " " &amp; IF(SUMPRODUCT(-- ISNUMBER(SEARCH({"Unique","Unique Case Insensitive"}, $R195))) &gt; 0, "(" &amp; $R195 &amp; ")", ""))))</f>
        <v>na</v>
      </c>
      <c r="E195" s="7" t="s">
        <v>195</v>
      </c>
      <c r="F195" s="7" t="s">
        <v>195</v>
      </c>
      <c r="G195" s="7" t="s">
        <v>195</v>
      </c>
      <c r="H195" s="7" t="s">
        <v>195</v>
      </c>
      <c r="I195" s="7" t="s">
        <v>195</v>
      </c>
      <c r="J195" s="7" t="s">
        <v>195</v>
      </c>
      <c r="K195" s="7" t="s">
        <v>195</v>
      </c>
      <c r="L195" s="7" t="s">
        <v>195</v>
      </c>
      <c r="M195" s="7" t="s">
        <v>29</v>
      </c>
      <c r="N195" s="7" t="s">
        <v>29</v>
      </c>
      <c r="O195" s="7" t="s">
        <v>29</v>
      </c>
      <c r="P195" s="7" t="s">
        <v>29</v>
      </c>
      <c r="Q195" s="7" t="s">
        <v>29</v>
      </c>
      <c r="R195" s="7" t="s">
        <v>29</v>
      </c>
      <c r="S195" s="7" t="s">
        <v>29</v>
      </c>
    </row>
    <row r="196" spans="2:19">
      <c r="B196" s="7" t="s">
        <v>195</v>
      </c>
      <c r="C196" s="8" t="s">
        <v>195</v>
      </c>
      <c r="D196" s="6" t="str">
        <f>LRTRIM(CONCATENATE(IF(SUMPRODUCT(-- ISNUMBER(SEARCH({"Auto Number"}, $B196))) &gt; 0, $B196, IF(SUMPRODUCT(-- ISNUMBER(SEARCH({"Lookup","Master-Detail"}, $B196))) &gt; 0,$B196 &amp; "(" &amp; $E196 &amp; ")",IF(SUMPRODUCT(-- ISNUMBER(SEARCH({"Formula","Roll-Up Summary"}, $B196))) &gt; 0,$B196 &amp; " (" &amp; $E196 &amp; ")",IF(SUMPRODUCT(-- ISNUMBER(SEARCH({"Content","Currency","Number","Percent","Text","URL"}, $B196))) &gt; 0,$B196 &amp; "(" &amp; $C196 &amp; ")",$B196)))), "  ", TRIM(IF($S196 = "YES", "(External ID)", "") &amp; " " &amp; IF(SUMPRODUCT(-- ISNUMBER(SEARCH({"Unique","Unique Case Insensitive"}, $R196))) &gt; 0, "(" &amp; $R196 &amp; ")", ""))))</f>
        <v>na</v>
      </c>
      <c r="E196" s="7" t="s">
        <v>195</v>
      </c>
      <c r="F196" s="7" t="s">
        <v>195</v>
      </c>
      <c r="G196" s="7" t="s">
        <v>195</v>
      </c>
      <c r="H196" s="7" t="s">
        <v>195</v>
      </c>
      <c r="I196" s="7" t="s">
        <v>195</v>
      </c>
      <c r="J196" s="7" t="s">
        <v>195</v>
      </c>
      <c r="K196" s="7" t="s">
        <v>195</v>
      </c>
      <c r="L196" s="7" t="s">
        <v>195</v>
      </c>
      <c r="M196" s="7" t="s">
        <v>29</v>
      </c>
      <c r="N196" s="7" t="s">
        <v>29</v>
      </c>
      <c r="O196" s="7" t="s">
        <v>29</v>
      </c>
      <c r="P196" s="7" t="s">
        <v>29</v>
      </c>
      <c r="Q196" s="7" t="s">
        <v>29</v>
      </c>
      <c r="R196" s="7" t="s">
        <v>29</v>
      </c>
      <c r="S196" s="7" t="s">
        <v>29</v>
      </c>
    </row>
    <row r="197" spans="2:19">
      <c r="B197" s="7" t="s">
        <v>195</v>
      </c>
      <c r="C197" s="8" t="s">
        <v>195</v>
      </c>
      <c r="D197" s="6" t="str">
        <f>LRTRIM(CONCATENATE(IF(SUMPRODUCT(-- ISNUMBER(SEARCH({"Auto Number"}, $B197))) &gt; 0, $B197, IF(SUMPRODUCT(-- ISNUMBER(SEARCH({"Lookup","Master-Detail"}, $B197))) &gt; 0,$B197 &amp; "(" &amp; $E197 &amp; ")",IF(SUMPRODUCT(-- ISNUMBER(SEARCH({"Formula","Roll-Up Summary"}, $B197))) &gt; 0,$B197 &amp; " (" &amp; $E197 &amp; ")",IF(SUMPRODUCT(-- ISNUMBER(SEARCH({"Content","Currency","Number","Percent","Text","URL"}, $B197))) &gt; 0,$B197 &amp; "(" &amp; $C197 &amp; ")",$B197)))), "  ", TRIM(IF($S197 = "YES", "(External ID)", "") &amp; " " &amp; IF(SUMPRODUCT(-- ISNUMBER(SEARCH({"Unique","Unique Case Insensitive"}, $R197))) &gt; 0, "(" &amp; $R197 &amp; ")", ""))))</f>
        <v>na</v>
      </c>
      <c r="E197" s="7" t="s">
        <v>195</v>
      </c>
      <c r="F197" s="7" t="s">
        <v>195</v>
      </c>
      <c r="G197" s="7" t="s">
        <v>195</v>
      </c>
      <c r="H197" s="7" t="s">
        <v>195</v>
      </c>
      <c r="I197" s="7" t="s">
        <v>195</v>
      </c>
      <c r="J197" s="7" t="s">
        <v>195</v>
      </c>
      <c r="K197" s="7" t="s">
        <v>195</v>
      </c>
      <c r="L197" s="7" t="s">
        <v>195</v>
      </c>
      <c r="M197" s="7" t="s">
        <v>29</v>
      </c>
      <c r="N197" s="7" t="s">
        <v>29</v>
      </c>
      <c r="O197" s="7" t="s">
        <v>29</v>
      </c>
      <c r="P197" s="7" t="s">
        <v>29</v>
      </c>
      <c r="Q197" s="7" t="s">
        <v>29</v>
      </c>
      <c r="R197" s="7" t="s">
        <v>29</v>
      </c>
      <c r="S197" s="7" t="s">
        <v>29</v>
      </c>
    </row>
    <row r="198" spans="2:19">
      <c r="B198" s="7" t="s">
        <v>195</v>
      </c>
      <c r="C198" s="8" t="s">
        <v>195</v>
      </c>
      <c r="D198" s="6" t="str">
        <f>LRTRIM(CONCATENATE(IF(SUMPRODUCT(-- ISNUMBER(SEARCH({"Auto Number"}, $B198))) &gt; 0, $B198, IF(SUMPRODUCT(-- ISNUMBER(SEARCH({"Lookup","Master-Detail"}, $B198))) &gt; 0,$B198 &amp; "(" &amp; $E198 &amp; ")",IF(SUMPRODUCT(-- ISNUMBER(SEARCH({"Formula","Roll-Up Summary"}, $B198))) &gt; 0,$B198 &amp; " (" &amp; $E198 &amp; ")",IF(SUMPRODUCT(-- ISNUMBER(SEARCH({"Content","Currency","Number","Percent","Text","URL"}, $B198))) &gt; 0,$B198 &amp; "(" &amp; $C198 &amp; ")",$B198)))), "  ", TRIM(IF($S198 = "YES", "(External ID)", "") &amp; " " &amp; IF(SUMPRODUCT(-- ISNUMBER(SEARCH({"Unique","Unique Case Insensitive"}, $R198))) &gt; 0, "(" &amp; $R198 &amp; ")", ""))))</f>
        <v>na</v>
      </c>
      <c r="E198" s="7" t="s">
        <v>195</v>
      </c>
      <c r="F198" s="7" t="s">
        <v>195</v>
      </c>
      <c r="G198" s="7" t="s">
        <v>195</v>
      </c>
      <c r="H198" s="7" t="s">
        <v>195</v>
      </c>
      <c r="I198" s="7" t="s">
        <v>195</v>
      </c>
      <c r="J198" s="7" t="s">
        <v>195</v>
      </c>
      <c r="K198" s="7" t="s">
        <v>195</v>
      </c>
      <c r="L198" s="7" t="s">
        <v>195</v>
      </c>
      <c r="M198" s="7" t="s">
        <v>29</v>
      </c>
      <c r="N198" s="7" t="s">
        <v>29</v>
      </c>
      <c r="O198" s="7" t="s">
        <v>29</v>
      </c>
      <c r="P198" s="7" t="s">
        <v>29</v>
      </c>
      <c r="Q198" s="7" t="s">
        <v>29</v>
      </c>
      <c r="R198" s="7" t="s">
        <v>29</v>
      </c>
      <c r="S198" s="7" t="s">
        <v>29</v>
      </c>
    </row>
    <row r="199" spans="2:19">
      <c r="B199" s="7" t="s">
        <v>195</v>
      </c>
      <c r="C199" s="8" t="s">
        <v>195</v>
      </c>
      <c r="D199" s="6" t="str">
        <f>LRTRIM(CONCATENATE(IF(SUMPRODUCT(-- ISNUMBER(SEARCH({"Auto Number"}, $B199))) &gt; 0, $B199, IF(SUMPRODUCT(-- ISNUMBER(SEARCH({"Lookup","Master-Detail"}, $B199))) &gt; 0,$B199 &amp; "(" &amp; $E199 &amp; ")",IF(SUMPRODUCT(-- ISNUMBER(SEARCH({"Formula","Roll-Up Summary"}, $B199))) &gt; 0,$B199 &amp; " (" &amp; $E199 &amp; ")",IF(SUMPRODUCT(-- ISNUMBER(SEARCH({"Content","Currency","Number","Percent","Text","URL"}, $B199))) &gt; 0,$B199 &amp; "(" &amp; $C199 &amp; ")",$B199)))), "  ", TRIM(IF($S199 = "YES", "(External ID)", "") &amp; " " &amp; IF(SUMPRODUCT(-- ISNUMBER(SEARCH({"Unique","Unique Case Insensitive"}, $R199))) &gt; 0, "(" &amp; $R199 &amp; ")", ""))))</f>
        <v>na</v>
      </c>
      <c r="E199" s="7" t="s">
        <v>195</v>
      </c>
      <c r="F199" s="7" t="s">
        <v>195</v>
      </c>
      <c r="G199" s="7" t="s">
        <v>195</v>
      </c>
      <c r="H199" s="7" t="s">
        <v>195</v>
      </c>
      <c r="I199" s="7" t="s">
        <v>195</v>
      </c>
      <c r="J199" s="7" t="s">
        <v>195</v>
      </c>
      <c r="K199" s="7" t="s">
        <v>195</v>
      </c>
      <c r="L199" s="7" t="s">
        <v>195</v>
      </c>
      <c r="M199" s="7" t="s">
        <v>29</v>
      </c>
      <c r="N199" s="7" t="s">
        <v>29</v>
      </c>
      <c r="O199" s="7" t="s">
        <v>29</v>
      </c>
      <c r="P199" s="7" t="s">
        <v>29</v>
      </c>
      <c r="Q199" s="7" t="s">
        <v>29</v>
      </c>
      <c r="R199" s="7" t="s">
        <v>29</v>
      </c>
      <c r="S199" s="7" t="s">
        <v>29</v>
      </c>
    </row>
    <row r="200" spans="2:19">
      <c r="B200" s="7" t="s">
        <v>195</v>
      </c>
      <c r="C200" s="8" t="s">
        <v>195</v>
      </c>
      <c r="D200" s="6" t="str">
        <f>LRTRIM(CONCATENATE(IF(SUMPRODUCT(-- ISNUMBER(SEARCH({"Auto Number"}, $B200))) &gt; 0, $B200, IF(SUMPRODUCT(-- ISNUMBER(SEARCH({"Lookup","Master-Detail"}, $B200))) &gt; 0,$B200 &amp; "(" &amp; $E200 &amp; ")",IF(SUMPRODUCT(-- ISNUMBER(SEARCH({"Formula","Roll-Up Summary"}, $B200))) &gt; 0,$B200 &amp; " (" &amp; $E200 &amp; ")",IF(SUMPRODUCT(-- ISNUMBER(SEARCH({"Content","Currency","Number","Percent","Text","URL"}, $B200))) &gt; 0,$B200 &amp; "(" &amp; $C200 &amp; ")",$B200)))), "  ", TRIM(IF($S200 = "YES", "(External ID)", "") &amp; " " &amp; IF(SUMPRODUCT(-- ISNUMBER(SEARCH({"Unique","Unique Case Insensitive"}, $R200))) &gt; 0, "(" &amp; $R200 &amp; ")", ""))))</f>
        <v>na</v>
      </c>
      <c r="E200" s="7" t="s">
        <v>195</v>
      </c>
      <c r="F200" s="7" t="s">
        <v>195</v>
      </c>
      <c r="G200" s="7" t="s">
        <v>195</v>
      </c>
      <c r="H200" s="7" t="s">
        <v>195</v>
      </c>
      <c r="I200" s="7" t="s">
        <v>195</v>
      </c>
      <c r="J200" s="7" t="s">
        <v>195</v>
      </c>
      <c r="K200" s="7" t="s">
        <v>195</v>
      </c>
      <c r="L200" s="7" t="s">
        <v>195</v>
      </c>
      <c r="M200" s="7" t="s">
        <v>29</v>
      </c>
      <c r="N200" s="7" t="s">
        <v>29</v>
      </c>
      <c r="O200" s="7" t="s">
        <v>29</v>
      </c>
      <c r="P200" s="7" t="s">
        <v>29</v>
      </c>
      <c r="Q200" s="7" t="s">
        <v>29</v>
      </c>
      <c r="R200" s="7" t="s">
        <v>29</v>
      </c>
      <c r="S200" s="7" t="s">
        <v>29</v>
      </c>
    </row>
  </sheetData>
  <sheetProtection formatCells="0" formatColumns="0" formatRows="0" insertColumns="0" insertRows="0" insertHyperlinks="0" deleteColumns="0" deleteRows="0" sort="0" autoFilter="0" pivotTables="0"/>
  <conditionalFormatting sqref="D2:D68">
    <cfRule type="expression" dxfId="9" priority="3">
      <formula>NOT(_xlfn.ISFORMULA($D2))</formula>
    </cfRule>
  </conditionalFormatting>
  <conditionalFormatting sqref="D69">
    <cfRule type="expression" dxfId="8" priority="2">
      <formula>NOT(_xlfn.ISFORMULA($D69))</formula>
    </cfRule>
  </conditionalFormatting>
  <conditionalFormatting sqref="D70:D200">
    <cfRule type="expression" dxfId="7" priority="1">
      <formula>NOT(_xlfn.ISFORMULA($D70))</formula>
    </cfRule>
  </conditionalFormatting>
  <dataValidations count="1">
    <dataValidation allowBlank="1" showInputMessage="1" showErrorMessage="1" sqref="A2:A68"/>
  </dataValidations>
  <pageMargins left="0.7" right="0.7" top="0.75" bottom="0.75" header="0.3" footer="0.3"/>
  <extLst>
    <ext xmlns:x14="http://schemas.microsoft.com/office/spreadsheetml/2009/9/main" uri="{CCE6A557-97BC-4b89-ADB6-D9C93CAAB3DF}">
      <x14:dataValidations xmlns:xm="http://schemas.microsoft.com/office/excel/2006/main" count="15">
        <x14:dataValidation type="list" allowBlank="1" showInputMessage="1" showErrorMessage="1">
          <x14:formula1>
            <xm:f>OFFSET('Reference Fields'!$J$2,0,0,COUNTA('Reference Fields'!$J:$J)-1)</xm:f>
          </x14:formula1>
          <xm:sqref>Q2:Q200</xm:sqref>
        </x14:dataValidation>
        <x14:dataValidation type="list" allowBlank="1" showInputMessage="1" showErrorMessage="1">
          <x14:formula1>
            <xm:f>OFFSET('Reference Fields'!$J$2,0,0,COUNTA('Reference Fields'!$J:$J)-1)</xm:f>
          </x14:formula1>
          <xm:sqref>M2:M200</xm:sqref>
        </x14:dataValidation>
        <x14:dataValidation type="list" allowBlank="1" showInputMessage="1" showErrorMessage="1">
          <x14:formula1>
            <xm:f>OFFSET('Reference Fields'!$J$2,0,0,COUNTA('Reference Fields'!$J:$J)-1)</xm:f>
          </x14:formula1>
          <xm:sqref>N2:N200</xm:sqref>
        </x14:dataValidation>
        <x14:dataValidation type="list" allowBlank="1" showInputMessage="1" showErrorMessage="1">
          <x14:formula1>
            <xm:f>OFFSET('Reference Fields'!$J$2,0,0,COUNTA('Reference Fields'!$J:$J)-1)</xm:f>
          </x14:formula1>
          <xm:sqref>O2:O200</xm:sqref>
        </x14:dataValidation>
        <x14:dataValidation type="list" allowBlank="1" showInputMessage="1" showErrorMessage="1">
          <x14:formula1>
            <xm:f>OFFSET('Reference Fields'!$J$2,0,0,COUNTA('Reference Fields'!$J:$J)-1)</xm:f>
          </x14:formula1>
          <xm:sqref>P2:P200</xm:sqref>
        </x14:dataValidation>
        <x14:dataValidation type="list" allowBlank="1" showInputMessage="1" showErrorMessage="1">
          <x14:formula1>
            <xm:f>OFFSET('Reference Fields'!$J$2,0,0,COUNTA('Reference Fields'!$J:$J)-1)</xm:f>
          </x14:formula1>
          <xm:sqref>S2:S200</xm:sqref>
        </x14:dataValidation>
        <x14:dataValidation type="list" allowBlank="1" showInputMessage="1" showErrorMessage="1">
          <x14:formula1>
            <xm:f>OFFSET('Reference Fields'!$K$2,0,0,COUNTA('Reference Fields'!$K:$K)-1)</xm:f>
          </x14:formula1>
          <xm:sqref>R2:R200</xm:sqref>
        </x14:dataValidation>
        <x14:dataValidation type="list" allowBlank="1" showInputMessage="1" showErrorMessage="1">
          <x14:formula1>
            <xm:f>OFFSET('Reference Fields'!$B$2,0,0,COUNTA('Reference Fields'!$B:$B)-1)</xm:f>
          </x14:formula1>
          <xm:sqref>B2:B200</xm:sqref>
        </x14:dataValidation>
        <x14:dataValidation type="list" allowBlank="1" showInputMessage="1" showErrorMessage="1">
          <x14:formula1>
            <xm:f>OFFSET('Reference Fields'!$D$2,0,0,COUNTA('Reference Fields'!$D:$D)-1)</xm:f>
          </x14:formula1>
          <xm:sqref>F2:F200</xm:sqref>
        </x14:dataValidation>
        <x14:dataValidation type="list" allowBlank="1" showInputMessage="1" showErrorMessage="1">
          <x14:formula1>
            <xm:f>OFFSET('Reference Fields'!$E$2,0,0,COUNTA('Reference Fields'!$E:$E)-1)</xm:f>
          </x14:formula1>
          <xm:sqref>G2:G200</xm:sqref>
        </x14:dataValidation>
        <x14:dataValidation type="list" allowBlank="1" showInputMessage="1" showErrorMessage="1">
          <x14:formula1>
            <xm:f>OFFSET('Reference Fields'!$F$2,0,0,COUNTA('Reference Fields'!$F:$F)-1)</xm:f>
          </x14:formula1>
          <xm:sqref>H2:H200</xm:sqref>
        </x14:dataValidation>
        <x14:dataValidation type="list" allowBlank="1" showInputMessage="1" showErrorMessage="1">
          <x14:formula1>
            <xm:f>OFFSET('Reference Fields'!$F$2,0,0,COUNTA('Reference Fields'!$F:$F)-1)</xm:f>
          </x14:formula1>
          <xm:sqref>I2:I200</xm:sqref>
        </x14:dataValidation>
        <x14:dataValidation type="list" allowBlank="1" showInputMessage="1" showErrorMessage="1">
          <x14:formula1>
            <xm:f>OFFSET('Reference Fields'!$G$2,0,0,COUNTA('Reference Fields'!$G:$G)-1)</xm:f>
          </x14:formula1>
          <xm:sqref>J2:J200</xm:sqref>
        </x14:dataValidation>
        <x14:dataValidation type="list" allowBlank="1" showInputMessage="1" showErrorMessage="1">
          <x14:formula1>
            <xm:f>OFFSET('Reference Fields'!$H$2,0,0,COUNTA('Reference Fields'!$H:$H)-1)</xm:f>
          </x14:formula1>
          <xm:sqref>K2:K200</xm:sqref>
        </x14:dataValidation>
        <x14:dataValidation type="list" allowBlank="1" showInputMessage="1" showErrorMessage="1">
          <x14:formula1>
            <xm:f>OFFSET('Reference Fields'!$I$2,0,0,COUNTA('Reference Fields'!$I:$I)-1)</xm:f>
          </x14:formula1>
          <xm:sqref>L2:L200</xm:sqref>
        </x14:dataValidation>
      </x14:dataValidations>
    </ext>
  </extLst>
</worksheet>
</file>

<file path=xl/worksheets/sheet38.xml><?xml version="1.0" encoding="utf-8"?>
<worksheet xmlns="http://schemas.openxmlformats.org/spreadsheetml/2006/main" xmlns:r="http://schemas.openxmlformats.org/officeDocument/2006/relationships">
  <sheetPr codeName="Sheet27"/>
  <dimension ref="A1:S200"/>
  <sheetViews>
    <sheetView workbookViewId="0">
      <pane ySplit="1" topLeftCell="A2" activePane="bottomLeft" state="frozen"/>
      <selection pane="bottomLeft" activeCell="A2" sqref="A2"/>
    </sheetView>
  </sheetViews>
  <sheetFormatPr defaultRowHeight="14.5"/>
  <cols>
    <col min="1" max="1" width="23" bestFit="1" customWidth="1"/>
    <col min="2" max="2" width="13.54296875" customWidth="1"/>
    <col min="3" max="4" width="8.90625" customWidth="1"/>
    <col min="5" max="5" width="12.6328125" customWidth="1"/>
    <col min="6" max="6" width="15.6328125" bestFit="1" customWidth="1"/>
    <col min="7" max="8" width="15.453125" customWidth="1"/>
    <col min="9" max="9" width="22.6328125" customWidth="1"/>
    <col min="10" max="10" width="23.36328125" customWidth="1"/>
    <col min="11" max="11" width="17.54296875" customWidth="1"/>
    <col min="12" max="12" width="14.08984375" customWidth="1"/>
    <col min="13" max="13" width="10.453125" bestFit="1" customWidth="1"/>
    <col min="14" max="14" width="10.453125" customWidth="1"/>
    <col min="15" max="15" width="12.453125" bestFit="1" customWidth="1"/>
  </cols>
  <sheetData>
    <row r="1" spans="1:19" s="1" customFormat="1">
      <c r="A1" s="1" t="s">
        <v>2</v>
      </c>
      <c r="B1" s="1" t="s">
        <v>1198</v>
      </c>
      <c r="C1" s="1" t="s">
        <v>1199</v>
      </c>
      <c r="D1" s="1" t="s">
        <v>0</v>
      </c>
      <c r="E1" s="1" t="s">
        <v>1</v>
      </c>
      <c r="F1" s="1" t="s">
        <v>30</v>
      </c>
      <c r="G1" s="1" t="s">
        <v>31</v>
      </c>
      <c r="H1" s="1" t="s">
        <v>1262</v>
      </c>
      <c r="I1" s="1" t="s">
        <v>49</v>
      </c>
      <c r="J1" s="1" t="s">
        <v>48</v>
      </c>
      <c r="K1" s="1" t="s">
        <v>54</v>
      </c>
      <c r="L1" s="1" t="s">
        <v>55</v>
      </c>
      <c r="M1" s="1" t="s">
        <v>27</v>
      </c>
      <c r="N1" s="1" t="s">
        <v>175</v>
      </c>
      <c r="O1" s="1" t="s">
        <v>193</v>
      </c>
      <c r="P1" s="1" t="s">
        <v>1221</v>
      </c>
      <c r="Q1" s="1" t="s">
        <v>1264</v>
      </c>
      <c r="R1" s="1" t="s">
        <v>1263</v>
      </c>
      <c r="S1" s="1" t="s">
        <v>1265</v>
      </c>
    </row>
    <row r="2" spans="1:19">
      <c r="A2" s="7" t="s">
        <v>1178</v>
      </c>
      <c r="B2" s="7" t="s">
        <v>1215</v>
      </c>
      <c r="C2" s="8">
        <v>255</v>
      </c>
      <c r="D2" s="6" t="str">
        <f>LRTRIM(CONCATENATE(IF(SUMPRODUCT(-- ISNUMBER(SEARCH({"Auto Number"}, $B2))) &gt; 0, $B2, IF(SUMPRODUCT(-- ISNUMBER(SEARCH({"Lookup","Master-Detail"}, $B2))) &gt; 0,$B2 &amp; "(" &amp; $E2 &amp; ")",IF(SUMPRODUCT(-- ISNUMBER(SEARCH({"Formula","Roll-Up Summary"}, $B2))) &gt; 0,$B2 &amp; " (" &amp; $E2 &amp; ")",IF(SUMPRODUCT(-- ISNUMBER(SEARCH({"Content","Currency","Number","Percent","Text","URL"}, $B2))) &gt; 0,$B2 &amp; "(" &amp; $C2 &amp; ")",$B2)))), "  ", TRIM(IF($S2 = "YES", "(External ID)", "") &amp; " " &amp; IF(SUMPRODUCT(-- ISNUMBER(SEARCH({"Unique","Unique Case Insensitive"}, $R2))) &gt; 0, "(" &amp; $R2 &amp; ")", ""))))</f>
        <v>Picklist</v>
      </c>
      <c r="E2" s="7" t="s">
        <v>195</v>
      </c>
      <c r="F2" s="7" t="s">
        <v>1180</v>
      </c>
      <c r="G2" s="7" t="s">
        <v>1181</v>
      </c>
      <c r="H2" s="7" t="s">
        <v>195</v>
      </c>
      <c r="I2" s="7" t="s">
        <v>1727</v>
      </c>
      <c r="J2" s="7" t="s">
        <v>195</v>
      </c>
      <c r="K2" s="7" t="s">
        <v>195</v>
      </c>
      <c r="L2" s="7" t="s">
        <v>195</v>
      </c>
      <c r="M2" s="7" t="s">
        <v>29</v>
      </c>
      <c r="N2" s="7" t="s">
        <v>29</v>
      </c>
      <c r="O2" s="7" t="s">
        <v>29</v>
      </c>
      <c r="P2" s="7" t="s">
        <v>29</v>
      </c>
      <c r="Q2" s="7" t="s">
        <v>29</v>
      </c>
      <c r="R2" s="7" t="s">
        <v>29</v>
      </c>
      <c r="S2" s="7" t="s">
        <v>29</v>
      </c>
    </row>
    <row r="3" spans="1:19">
      <c r="A3" s="7" t="s">
        <v>1179</v>
      </c>
      <c r="B3" s="7" t="s">
        <v>1218</v>
      </c>
      <c r="C3" s="8">
        <v>80</v>
      </c>
      <c r="D3" s="6" t="str">
        <f>LRTRIM(CONCATENATE(IF(SUMPRODUCT(-- ISNUMBER(SEARCH({"Auto Number"}, $B3))) &gt; 0, $B3, IF(SUMPRODUCT(-- ISNUMBER(SEARCH({"Lookup","Master-Detail"}, $B3))) &gt; 0,$B3 &amp; "(" &amp; $E3 &amp; ")",IF(SUMPRODUCT(-- ISNUMBER(SEARCH({"Formula","Roll-Up Summary"}, $B3))) &gt; 0,$B3 &amp; " (" &amp; $E3 &amp; ")",IF(SUMPRODUCT(-- ISNUMBER(SEARCH({"Content","Currency","Number","Percent","Text","URL"}, $B3))) &gt; 0,$B3 &amp; "(" &amp; $C3 &amp; ")",$B3)))), "  ", TRIM(IF($S3 = "YES", "(External ID)", "") &amp; " " &amp; IF(SUMPRODUCT(-- ISNUMBER(SEARCH({"Unique","Unique Case Insensitive"}, $R3))) &gt; 0, "(" &amp; $R3 &amp; ")", ""))))</f>
        <v>Text(80)</v>
      </c>
      <c r="E3" s="7" t="s">
        <v>195</v>
      </c>
      <c r="F3" s="7" t="s">
        <v>195</v>
      </c>
      <c r="G3" s="7" t="s">
        <v>195</v>
      </c>
      <c r="H3" s="7" t="s">
        <v>195</v>
      </c>
      <c r="I3" s="7" t="s">
        <v>195</v>
      </c>
      <c r="J3" s="7" t="s">
        <v>195</v>
      </c>
      <c r="K3" s="7" t="s">
        <v>195</v>
      </c>
      <c r="L3" s="7" t="s">
        <v>195</v>
      </c>
      <c r="M3" s="7" t="s">
        <v>29</v>
      </c>
      <c r="N3" s="7" t="s">
        <v>29</v>
      </c>
      <c r="O3" s="7" t="s">
        <v>29</v>
      </c>
      <c r="P3" s="7" t="s">
        <v>29</v>
      </c>
      <c r="Q3" s="7" t="s">
        <v>29</v>
      </c>
      <c r="R3" s="7" t="s">
        <v>29</v>
      </c>
      <c r="S3" s="7" t="s">
        <v>29</v>
      </c>
    </row>
    <row r="4" spans="1:19">
      <c r="A4" s="7" t="s">
        <v>13</v>
      </c>
      <c r="B4" s="7" t="s">
        <v>195</v>
      </c>
      <c r="C4" s="8" t="s">
        <v>195</v>
      </c>
      <c r="D4" s="6" t="str">
        <f>LRTRIM(CONCATENATE(IF(SUMPRODUCT(-- ISNUMBER(SEARCH({"Auto Number"}, $B4))) &gt; 0, $B4, IF(SUMPRODUCT(-- ISNUMBER(SEARCH({"Lookup","Master-Detail"}, $B4))) &gt; 0,$B4 &amp; "(" &amp; $E4 &amp; ")",IF(SUMPRODUCT(-- ISNUMBER(SEARCH({"Formula","Roll-Up Summary"}, $B4))) &gt; 0,$B4 &amp; " (" &amp; $E4 &amp; ")",IF(SUMPRODUCT(-- ISNUMBER(SEARCH({"Content","Currency","Number","Percent","Text","URL"}, $B4))) &gt; 0,$B4 &amp; "(" &amp; $C4 &amp; ")",$B4)))), "  ", TRIM(IF($S4 = "YES", "(External ID)", "") &amp; " " &amp; IF(SUMPRODUCT(-- ISNUMBER(SEARCH({"Unique","Unique Case Insensitive"}, $R4))) &gt; 0, "(" &amp; $R4 &amp; ")", ""))))</f>
        <v>na</v>
      </c>
      <c r="E4" s="7" t="s">
        <v>195</v>
      </c>
      <c r="F4" s="7" t="s">
        <v>195</v>
      </c>
      <c r="G4" s="7" t="s">
        <v>195</v>
      </c>
      <c r="H4" s="7" t="s">
        <v>195</v>
      </c>
      <c r="I4" s="7" t="s">
        <v>195</v>
      </c>
      <c r="J4" s="7" t="s">
        <v>195</v>
      </c>
      <c r="K4" s="7" t="s">
        <v>195</v>
      </c>
      <c r="L4" s="7" t="s">
        <v>195</v>
      </c>
      <c r="M4" s="7" t="s">
        <v>29</v>
      </c>
      <c r="N4" s="7" t="s">
        <v>28</v>
      </c>
      <c r="O4" s="7" t="s">
        <v>29</v>
      </c>
      <c r="P4" s="7" t="s">
        <v>29</v>
      </c>
      <c r="Q4" s="7" t="s">
        <v>29</v>
      </c>
      <c r="R4" s="7" t="s">
        <v>29</v>
      </c>
      <c r="S4" s="7" t="s">
        <v>29</v>
      </c>
    </row>
    <row r="5" spans="1:19">
      <c r="A5" s="7" t="s">
        <v>1182</v>
      </c>
      <c r="B5" s="7" t="s">
        <v>195</v>
      </c>
      <c r="C5" s="8" t="s">
        <v>195</v>
      </c>
      <c r="D5" s="6" t="str">
        <f>LRTRIM(CONCATENATE(IF(SUMPRODUCT(-- ISNUMBER(SEARCH({"Auto Number"}, $B5))) &gt; 0, $B5, IF(SUMPRODUCT(-- ISNUMBER(SEARCH({"Lookup","Master-Detail"}, $B5))) &gt; 0,$B5 &amp; "(" &amp; $E5 &amp; ")",IF(SUMPRODUCT(-- ISNUMBER(SEARCH({"Formula","Roll-Up Summary"}, $B5))) &gt; 0,$B5 &amp; " (" &amp; $E5 &amp; ")",IF(SUMPRODUCT(-- ISNUMBER(SEARCH({"Content","Currency","Number","Percent","Text","URL"}, $B5))) &gt; 0,$B5 &amp; "(" &amp; $C5 &amp; ")",$B5)))), "  ", TRIM(IF($S5 = "YES", "(External ID)", "") &amp; " " &amp; IF(SUMPRODUCT(-- ISNUMBER(SEARCH({"Unique","Unique Case Insensitive"}, $R5))) &gt; 0, "(" &amp; $R5 &amp; ")", ""))))</f>
        <v>na</v>
      </c>
      <c r="E5" s="7" t="s">
        <v>195</v>
      </c>
      <c r="F5" s="7" t="s">
        <v>195</v>
      </c>
      <c r="G5" s="7" t="s">
        <v>195</v>
      </c>
      <c r="H5" s="7" t="s">
        <v>195</v>
      </c>
      <c r="I5" s="7" t="s">
        <v>195</v>
      </c>
      <c r="J5" s="7" t="s">
        <v>195</v>
      </c>
      <c r="K5" s="7" t="s">
        <v>195</v>
      </c>
      <c r="L5" s="7" t="s">
        <v>195</v>
      </c>
      <c r="M5" s="7" t="s">
        <v>28</v>
      </c>
      <c r="N5" s="7" t="s">
        <v>29</v>
      </c>
      <c r="O5" s="7" t="s">
        <v>29</v>
      </c>
      <c r="P5" s="7" t="s">
        <v>29</v>
      </c>
      <c r="Q5" s="7" t="s">
        <v>29</v>
      </c>
      <c r="R5" s="7" t="s">
        <v>29</v>
      </c>
      <c r="S5" s="7" t="s">
        <v>29</v>
      </c>
    </row>
    <row r="6" spans="1:19">
      <c r="A6" s="7" t="s">
        <v>1183</v>
      </c>
      <c r="B6" s="7" t="s">
        <v>195</v>
      </c>
      <c r="C6" s="8" t="s">
        <v>195</v>
      </c>
      <c r="D6" s="6" t="str">
        <f>LRTRIM(CONCATENATE(IF(SUMPRODUCT(-- ISNUMBER(SEARCH({"Auto Number"}, $B6))) &gt; 0, $B6, IF(SUMPRODUCT(-- ISNUMBER(SEARCH({"Lookup","Master-Detail"}, $B6))) &gt; 0,$B6 &amp; "(" &amp; $E6 &amp; ")",IF(SUMPRODUCT(-- ISNUMBER(SEARCH({"Formula","Roll-Up Summary"}, $B6))) &gt; 0,$B6 &amp; " (" &amp; $E6 &amp; ")",IF(SUMPRODUCT(-- ISNUMBER(SEARCH({"Content","Currency","Number","Percent","Text","URL"}, $B6))) &gt; 0,$B6 &amp; "(" &amp; $C6 &amp; ")",$B6)))), "  ", TRIM(IF($S6 = "YES", "(External ID)", "") &amp; " " &amp; IF(SUMPRODUCT(-- ISNUMBER(SEARCH({"Unique","Unique Case Insensitive"}, $R6))) &gt; 0, "(" &amp; $R6 &amp; ")", ""))))</f>
        <v>na</v>
      </c>
      <c r="E6" s="7" t="s">
        <v>195</v>
      </c>
      <c r="F6" s="7" t="s">
        <v>195</v>
      </c>
      <c r="G6" s="7" t="s">
        <v>195</v>
      </c>
      <c r="H6" s="7" t="s">
        <v>195</v>
      </c>
      <c r="I6" s="7" t="s">
        <v>195</v>
      </c>
      <c r="J6" s="7" t="s">
        <v>195</v>
      </c>
      <c r="K6" s="7" t="s">
        <v>195</v>
      </c>
      <c r="L6" s="7" t="s">
        <v>195</v>
      </c>
      <c r="M6" s="7" t="s">
        <v>28</v>
      </c>
      <c r="N6" s="7" t="s">
        <v>29</v>
      </c>
      <c r="O6" s="7" t="s">
        <v>29</v>
      </c>
      <c r="P6" s="7" t="s">
        <v>29</v>
      </c>
      <c r="Q6" s="7" t="s">
        <v>29</v>
      </c>
      <c r="R6" s="7" t="s">
        <v>29</v>
      </c>
      <c r="S6" s="7" t="s">
        <v>29</v>
      </c>
    </row>
    <row r="7" spans="1:19">
      <c r="A7" s="7" t="s">
        <v>36</v>
      </c>
      <c r="B7" s="7" t="s">
        <v>195</v>
      </c>
      <c r="C7" s="8" t="s">
        <v>195</v>
      </c>
      <c r="D7" s="6" t="str">
        <f>LRTRIM(CONCATENATE(IF(SUMPRODUCT(-- ISNUMBER(SEARCH({"Auto Number"}, $B7))) &gt; 0, $B7, IF(SUMPRODUCT(-- ISNUMBER(SEARCH({"Lookup","Master-Detail"}, $B7))) &gt; 0,$B7 &amp; "(" &amp; $E7 &amp; ")",IF(SUMPRODUCT(-- ISNUMBER(SEARCH({"Formula","Roll-Up Summary"}, $B7))) &gt; 0,$B7 &amp; " (" &amp; $E7 &amp; ")",IF(SUMPRODUCT(-- ISNUMBER(SEARCH({"Content","Currency","Number","Percent","Text","URL"}, $B7))) &gt; 0,$B7 &amp; "(" &amp; $C7 &amp; ")",$B7)))), "  ", TRIM(IF($S7 = "YES", "(External ID)", "") &amp; " " &amp; IF(SUMPRODUCT(-- ISNUMBER(SEARCH({"Unique","Unique Case Insensitive"}, $R7))) &gt; 0, "(" &amp; $R7 &amp; ")", ""))))</f>
        <v>na</v>
      </c>
      <c r="E7" s="7" t="s">
        <v>195</v>
      </c>
      <c r="F7" s="7" t="s">
        <v>195</v>
      </c>
      <c r="G7" s="7" t="s">
        <v>195</v>
      </c>
      <c r="H7" s="7" t="s">
        <v>195</v>
      </c>
      <c r="I7" s="7" t="s">
        <v>195</v>
      </c>
      <c r="J7" s="7" t="s">
        <v>195</v>
      </c>
      <c r="K7" s="7" t="s">
        <v>195</v>
      </c>
      <c r="L7" s="7" t="s">
        <v>195</v>
      </c>
      <c r="M7" s="7" t="s">
        <v>28</v>
      </c>
      <c r="N7" s="7" t="s">
        <v>29</v>
      </c>
      <c r="O7" s="7" t="s">
        <v>29</v>
      </c>
      <c r="P7" s="7" t="s">
        <v>29</v>
      </c>
      <c r="Q7" s="7" t="s">
        <v>29</v>
      </c>
      <c r="R7" s="7" t="s">
        <v>29</v>
      </c>
      <c r="S7" s="7" t="s">
        <v>29</v>
      </c>
    </row>
    <row r="8" spans="1:19">
      <c r="A8" s="7" t="s">
        <v>35</v>
      </c>
      <c r="B8" s="7" t="s">
        <v>195</v>
      </c>
      <c r="C8" s="8" t="s">
        <v>195</v>
      </c>
      <c r="D8" s="6" t="str">
        <f>LRTRIM(CONCATENATE(IF(SUMPRODUCT(-- ISNUMBER(SEARCH({"Auto Number"}, $B8))) &gt; 0, $B8, IF(SUMPRODUCT(-- ISNUMBER(SEARCH({"Lookup","Master-Detail"}, $B8))) &gt; 0,$B8 &amp; "(" &amp; $E8 &amp; ")",IF(SUMPRODUCT(-- ISNUMBER(SEARCH({"Formula","Roll-Up Summary"}, $B8))) &gt; 0,$B8 &amp; " (" &amp; $E8 &amp; ")",IF(SUMPRODUCT(-- ISNUMBER(SEARCH({"Content","Currency","Number","Percent","Text","URL"}, $B8))) &gt; 0,$B8 &amp; "(" &amp; $C8 &amp; ")",$B8)))), "  ", TRIM(IF($S8 = "YES", "(External ID)", "") &amp; " " &amp; IF(SUMPRODUCT(-- ISNUMBER(SEARCH({"Unique","Unique Case Insensitive"}, $R8))) &gt; 0, "(" &amp; $R8 &amp; ")", ""))))</f>
        <v>na</v>
      </c>
      <c r="E8" s="7" t="s">
        <v>195</v>
      </c>
      <c r="F8" s="7" t="s">
        <v>195</v>
      </c>
      <c r="G8" s="7" t="s">
        <v>195</v>
      </c>
      <c r="H8" s="7" t="s">
        <v>195</v>
      </c>
      <c r="I8" s="7" t="s">
        <v>195</v>
      </c>
      <c r="J8" s="7" t="s">
        <v>195</v>
      </c>
      <c r="K8" s="7" t="s">
        <v>195</v>
      </c>
      <c r="L8" s="7" t="s">
        <v>195</v>
      </c>
      <c r="M8" s="7" t="s">
        <v>28</v>
      </c>
      <c r="N8" s="7" t="s">
        <v>29</v>
      </c>
      <c r="O8" s="7" t="s">
        <v>29</v>
      </c>
      <c r="P8" s="7" t="s">
        <v>29</v>
      </c>
      <c r="Q8" s="7" t="s">
        <v>29</v>
      </c>
      <c r="R8" s="7" t="s">
        <v>29</v>
      </c>
      <c r="S8" s="7" t="s">
        <v>29</v>
      </c>
    </row>
    <row r="9" spans="1:19">
      <c r="A9" s="7" t="s">
        <v>1184</v>
      </c>
      <c r="B9" s="7" t="s">
        <v>195</v>
      </c>
      <c r="C9" s="8" t="s">
        <v>195</v>
      </c>
      <c r="D9" s="6" t="str">
        <f>LRTRIM(CONCATENATE(IF(SUMPRODUCT(-- ISNUMBER(SEARCH({"Auto Number"}, $B9))) &gt; 0, $B9, IF(SUMPRODUCT(-- ISNUMBER(SEARCH({"Lookup","Master-Detail"}, $B9))) &gt; 0,$B9 &amp; "(" &amp; $E9 &amp; ")",IF(SUMPRODUCT(-- ISNUMBER(SEARCH({"Formula","Roll-Up Summary"}, $B9))) &gt; 0,$B9 &amp; " (" &amp; $E9 &amp; ")",IF(SUMPRODUCT(-- ISNUMBER(SEARCH({"Content","Currency","Number","Percent","Text","URL"}, $B9))) &gt; 0,$B9 &amp; "(" &amp; $C9 &amp; ")",$B9)))), "  ", TRIM(IF($S9 = "YES", "(External ID)", "") &amp; " " &amp; IF(SUMPRODUCT(-- ISNUMBER(SEARCH({"Unique","Unique Case Insensitive"}, $R9))) &gt; 0, "(" &amp; $R9 &amp; ")", ""))))</f>
        <v>na</v>
      </c>
      <c r="E9" s="7" t="s">
        <v>195</v>
      </c>
      <c r="F9" s="7" t="s">
        <v>195</v>
      </c>
      <c r="G9" s="7" t="s">
        <v>195</v>
      </c>
      <c r="H9" s="7" t="s">
        <v>195</v>
      </c>
      <c r="I9" s="7" t="s">
        <v>1759</v>
      </c>
      <c r="J9" s="7" t="s">
        <v>195</v>
      </c>
      <c r="K9" s="7" t="s">
        <v>195</v>
      </c>
      <c r="L9" s="7" t="s">
        <v>195</v>
      </c>
      <c r="M9" s="7" t="s">
        <v>28</v>
      </c>
      <c r="N9" s="7" t="s">
        <v>29</v>
      </c>
      <c r="O9" s="7" t="s">
        <v>29</v>
      </c>
      <c r="P9" s="7" t="s">
        <v>29</v>
      </c>
      <c r="Q9" s="7" t="s">
        <v>29</v>
      </c>
      <c r="R9" s="7" t="s">
        <v>29</v>
      </c>
      <c r="S9" s="7" t="s">
        <v>29</v>
      </c>
    </row>
    <row r="10" spans="1:19">
      <c r="A10" s="7" t="s">
        <v>1185</v>
      </c>
      <c r="B10" s="7" t="s">
        <v>195</v>
      </c>
      <c r="C10" s="8" t="s">
        <v>195</v>
      </c>
      <c r="D10" s="6" t="str">
        <f>LRTRIM(CONCATENATE(IF(SUMPRODUCT(-- ISNUMBER(SEARCH({"Auto Number"}, $B10))) &gt; 0, $B10, IF(SUMPRODUCT(-- ISNUMBER(SEARCH({"Lookup","Master-Detail"}, $B10))) &gt; 0,$B10 &amp; "(" &amp; $E10 &amp; ")",IF(SUMPRODUCT(-- ISNUMBER(SEARCH({"Formula","Roll-Up Summary"}, $B10))) &gt; 0,$B10 &amp; " (" &amp; $E10 &amp; ")",IF(SUMPRODUCT(-- ISNUMBER(SEARCH({"Content","Currency","Number","Percent","Text","URL"}, $B10))) &gt; 0,$B10 &amp; "(" &amp; $C10 &amp; ")",$B10)))), "  ", TRIM(IF($S10 = "YES", "(External ID)", "") &amp; " " &amp; IF(SUMPRODUCT(-- ISNUMBER(SEARCH({"Unique","Unique Case Insensitive"}, $R10))) &gt; 0, "(" &amp; $R10 &amp; ")", ""))))</f>
        <v>na</v>
      </c>
      <c r="E10" s="7" t="s">
        <v>195</v>
      </c>
      <c r="F10" s="7" t="s">
        <v>195</v>
      </c>
      <c r="G10" s="7" t="s">
        <v>195</v>
      </c>
      <c r="H10" s="7" t="s">
        <v>195</v>
      </c>
      <c r="I10" s="7" t="s">
        <v>1760</v>
      </c>
      <c r="J10" s="7" t="s">
        <v>195</v>
      </c>
      <c r="K10" s="7" t="s">
        <v>195</v>
      </c>
      <c r="L10" s="7" t="s">
        <v>195</v>
      </c>
      <c r="M10" s="7" t="s">
        <v>28</v>
      </c>
      <c r="N10" s="7" t="s">
        <v>29</v>
      </c>
      <c r="O10" s="7" t="s">
        <v>29</v>
      </c>
      <c r="P10" s="7" t="s">
        <v>29</v>
      </c>
      <c r="Q10" s="7" t="s">
        <v>29</v>
      </c>
      <c r="R10" s="7" t="s">
        <v>29</v>
      </c>
      <c r="S10" s="7" t="s">
        <v>29</v>
      </c>
    </row>
    <row r="11" spans="1:19">
      <c r="A11" s="7" t="s">
        <v>142</v>
      </c>
      <c r="B11" s="7" t="s">
        <v>195</v>
      </c>
      <c r="C11" s="8" t="s">
        <v>195</v>
      </c>
      <c r="D11" s="6" t="str">
        <f>LRTRIM(CONCATENATE(IF(SUMPRODUCT(-- ISNUMBER(SEARCH({"Auto Number"}, $B11))) &gt; 0, $B11, IF(SUMPRODUCT(-- ISNUMBER(SEARCH({"Lookup","Master-Detail"}, $B11))) &gt; 0,$B11 &amp; "(" &amp; $E11 &amp; ")",IF(SUMPRODUCT(-- ISNUMBER(SEARCH({"Formula","Roll-Up Summary"}, $B11))) &gt; 0,$B11 &amp; " (" &amp; $E11 &amp; ")",IF(SUMPRODUCT(-- ISNUMBER(SEARCH({"Content","Currency","Number","Percent","Text","URL"}, $B11))) &gt; 0,$B11 &amp; "(" &amp; $C11 &amp; ")",$B11)))), "  ", TRIM(IF($S11 = "YES", "(External ID)", "") &amp; " " &amp; IF(SUMPRODUCT(-- ISNUMBER(SEARCH({"Unique","Unique Case Insensitive"}, $R11))) &gt; 0, "(" &amp; $R11 &amp; ")", ""))))</f>
        <v>na</v>
      </c>
      <c r="E11" s="7" t="s">
        <v>195</v>
      </c>
      <c r="F11" s="7" t="s">
        <v>195</v>
      </c>
      <c r="G11" s="7" t="s">
        <v>195</v>
      </c>
      <c r="H11" s="7" t="s">
        <v>195</v>
      </c>
      <c r="I11" s="7" t="s">
        <v>195</v>
      </c>
      <c r="J11" s="7" t="s">
        <v>195</v>
      </c>
      <c r="K11" s="7" t="s">
        <v>195</v>
      </c>
      <c r="L11" s="7" t="s">
        <v>195</v>
      </c>
      <c r="M11" s="7" t="s">
        <v>28</v>
      </c>
      <c r="N11" s="7" t="s">
        <v>29</v>
      </c>
      <c r="O11" s="7" t="s">
        <v>29</v>
      </c>
      <c r="P11" s="7" t="s">
        <v>29</v>
      </c>
      <c r="Q11" s="7" t="s">
        <v>29</v>
      </c>
      <c r="R11" s="7" t="s">
        <v>29</v>
      </c>
      <c r="S11" s="7" t="s">
        <v>29</v>
      </c>
    </row>
    <row r="12" spans="1:19">
      <c r="A12" s="7" t="s">
        <v>1186</v>
      </c>
      <c r="B12" s="7" t="s">
        <v>195</v>
      </c>
      <c r="C12" s="8" t="s">
        <v>195</v>
      </c>
      <c r="D12" s="6" t="str">
        <f>LRTRIM(CONCATENATE(IF(SUMPRODUCT(-- ISNUMBER(SEARCH({"Auto Number"}, $B12))) &gt; 0, $B12, IF(SUMPRODUCT(-- ISNUMBER(SEARCH({"Lookup","Master-Detail"}, $B12))) &gt; 0,$B12 &amp; "(" &amp; $E12 &amp; ")",IF(SUMPRODUCT(-- ISNUMBER(SEARCH({"Formula","Roll-Up Summary"}, $B12))) &gt; 0,$B12 &amp; " (" &amp; $E12 &amp; ")",IF(SUMPRODUCT(-- ISNUMBER(SEARCH({"Content","Currency","Number","Percent","Text","URL"}, $B12))) &gt; 0,$B12 &amp; "(" &amp; $C12 &amp; ")",$B12)))), "  ", TRIM(IF($S12 = "YES", "(External ID)", "") &amp; " " &amp; IF(SUMPRODUCT(-- ISNUMBER(SEARCH({"Unique","Unique Case Insensitive"}, $R12))) &gt; 0, "(" &amp; $R12 &amp; ")", ""))))</f>
        <v>na</v>
      </c>
      <c r="E12" s="7" t="s">
        <v>195</v>
      </c>
      <c r="F12" s="7" t="s">
        <v>195</v>
      </c>
      <c r="G12" s="7" t="s">
        <v>195</v>
      </c>
      <c r="H12" s="7" t="s">
        <v>195</v>
      </c>
      <c r="I12" s="7" t="s">
        <v>1763</v>
      </c>
      <c r="J12" s="7" t="s">
        <v>195</v>
      </c>
      <c r="K12" s="7" t="s">
        <v>195</v>
      </c>
      <c r="L12" s="7" t="s">
        <v>195</v>
      </c>
      <c r="M12" s="7" t="s">
        <v>28</v>
      </c>
      <c r="N12" s="7" t="s">
        <v>29</v>
      </c>
      <c r="O12" s="7" t="s">
        <v>29</v>
      </c>
      <c r="P12" s="7" t="s">
        <v>29</v>
      </c>
      <c r="Q12" s="7" t="s">
        <v>29</v>
      </c>
      <c r="R12" s="7" t="s">
        <v>29</v>
      </c>
      <c r="S12" s="7" t="s">
        <v>29</v>
      </c>
    </row>
    <row r="13" spans="1:19">
      <c r="A13" s="7" t="s">
        <v>1187</v>
      </c>
      <c r="B13" s="7" t="s">
        <v>195</v>
      </c>
      <c r="C13" s="8" t="s">
        <v>195</v>
      </c>
      <c r="D13" s="6" t="str">
        <f>LRTRIM(CONCATENATE(IF(SUMPRODUCT(-- ISNUMBER(SEARCH({"Auto Number"}, $B13))) &gt; 0, $B13, IF(SUMPRODUCT(-- ISNUMBER(SEARCH({"Lookup","Master-Detail"}, $B13))) &gt; 0,$B13 &amp; "(" &amp; $E13 &amp; ")",IF(SUMPRODUCT(-- ISNUMBER(SEARCH({"Formula","Roll-Up Summary"}, $B13))) &gt; 0,$B13 &amp; " (" &amp; $E13 &amp; ")",IF(SUMPRODUCT(-- ISNUMBER(SEARCH({"Content","Currency","Number","Percent","Text","URL"}, $B13))) &gt; 0,$B13 &amp; "(" &amp; $C13 &amp; ")",$B13)))), "  ", TRIM(IF($S13 = "YES", "(External ID)", "") &amp; " " &amp; IF(SUMPRODUCT(-- ISNUMBER(SEARCH({"Unique","Unique Case Insensitive"}, $R13))) &gt; 0, "(" &amp; $R13 &amp; ")", ""))))</f>
        <v>na</v>
      </c>
      <c r="E13" s="7" t="s">
        <v>195</v>
      </c>
      <c r="F13" s="7" t="s">
        <v>195</v>
      </c>
      <c r="G13" s="7" t="s">
        <v>195</v>
      </c>
      <c r="H13" s="7" t="s">
        <v>195</v>
      </c>
      <c r="I13" s="7" t="s">
        <v>195</v>
      </c>
      <c r="J13" s="7" t="s">
        <v>195</v>
      </c>
      <c r="K13" s="7" t="s">
        <v>195</v>
      </c>
      <c r="L13" s="7" t="s">
        <v>195</v>
      </c>
      <c r="M13" s="7" t="s">
        <v>28</v>
      </c>
      <c r="N13" s="7" t="s">
        <v>29</v>
      </c>
      <c r="O13" s="7" t="s">
        <v>29</v>
      </c>
      <c r="P13" s="7" t="s">
        <v>29</v>
      </c>
      <c r="Q13" s="7" t="s">
        <v>29</v>
      </c>
      <c r="R13" s="7" t="s">
        <v>29</v>
      </c>
      <c r="S13" s="7" t="s">
        <v>29</v>
      </c>
    </row>
    <row r="14" spans="1:19">
      <c r="A14" s="7" t="s">
        <v>1697</v>
      </c>
      <c r="B14" s="7" t="s">
        <v>195</v>
      </c>
      <c r="C14" s="8" t="s">
        <v>195</v>
      </c>
      <c r="D14" s="6" t="str">
        <f>LRTRIM(CONCATENATE(IF(SUMPRODUCT(-- ISNUMBER(SEARCH({"Auto Number"}, $B14))) &gt; 0, $B14, IF(SUMPRODUCT(-- ISNUMBER(SEARCH({"Lookup","Master-Detail"}, $B14))) &gt; 0,$B14 &amp; "(" &amp; $E14 &amp; ")",IF(SUMPRODUCT(-- ISNUMBER(SEARCH({"Formula","Roll-Up Summary"}, $B14))) &gt; 0,$B14 &amp; " (" &amp; $E14 &amp; ")",IF(SUMPRODUCT(-- ISNUMBER(SEARCH({"Content","Currency","Number","Percent","Text","URL"}, $B14))) &gt; 0,$B14 &amp; "(" &amp; $C14 &amp; ")",$B14)))), "  ", TRIM(IF($S14 = "YES", "(External ID)", "") &amp; " " &amp; IF(SUMPRODUCT(-- ISNUMBER(SEARCH({"Unique","Unique Case Insensitive"}, $R14))) &gt; 0, "(" &amp; $R14 &amp; ")", ""))))</f>
        <v>na</v>
      </c>
      <c r="E14" s="7" t="s">
        <v>195</v>
      </c>
      <c r="F14" s="7" t="s">
        <v>195</v>
      </c>
      <c r="G14" s="7" t="s">
        <v>195</v>
      </c>
      <c r="H14" s="7" t="s">
        <v>195</v>
      </c>
      <c r="I14" s="7" t="s">
        <v>1287</v>
      </c>
      <c r="J14" s="7" t="s">
        <v>195</v>
      </c>
      <c r="K14" s="7" t="s">
        <v>195</v>
      </c>
      <c r="L14" s="7" t="s">
        <v>195</v>
      </c>
      <c r="M14" s="7" t="s">
        <v>29</v>
      </c>
      <c r="N14" s="7" t="s">
        <v>29</v>
      </c>
      <c r="O14" s="7" t="s">
        <v>29</v>
      </c>
      <c r="P14" s="7" t="s">
        <v>29</v>
      </c>
      <c r="Q14" s="7" t="s">
        <v>29</v>
      </c>
      <c r="R14" s="7" t="s">
        <v>29</v>
      </c>
      <c r="S14" s="7" t="s">
        <v>29</v>
      </c>
    </row>
    <row r="15" spans="1:19">
      <c r="A15" s="7" t="s">
        <v>1492</v>
      </c>
      <c r="B15" s="7" t="s">
        <v>1218</v>
      </c>
      <c r="C15" s="8">
        <v>100</v>
      </c>
      <c r="D15" s="6" t="str">
        <f>LRTRIM(CONCATENATE(IF(SUMPRODUCT(-- ISNUMBER(SEARCH({"Auto Number"}, $B15))) &gt; 0, $B15, IF(SUMPRODUCT(-- ISNUMBER(SEARCH({"Lookup","Master-Detail"}, $B15))) &gt; 0,$B15 &amp; "(" &amp; $E15 &amp; ")",IF(SUMPRODUCT(-- ISNUMBER(SEARCH({"Formula","Roll-Up Summary"}, $B15))) &gt; 0,$B15 &amp; " (" &amp; $E15 &amp; ")",IF(SUMPRODUCT(-- ISNUMBER(SEARCH({"Content","Currency","Number","Percent","Text","URL"}, $B15))) &gt; 0,$B15 &amp; "(" &amp; $C15 &amp; ")",$B15)))), "  ", TRIM(IF($S15 = "YES", "(External ID)", "") &amp; " " &amp; IF(SUMPRODUCT(-- ISNUMBER(SEARCH({"Unique","Unique Case Insensitive"}, $R15))) &gt; 0, "(" &amp; $R15 &amp; ")", ""))))</f>
        <v>Text(100)</v>
      </c>
      <c r="E15" s="7" t="s">
        <v>195</v>
      </c>
      <c r="F15" s="7" t="s">
        <v>1731</v>
      </c>
      <c r="G15" s="7" t="s">
        <v>1732</v>
      </c>
      <c r="H15" s="7" t="s">
        <v>195</v>
      </c>
      <c r="I15" s="7" t="s">
        <v>195</v>
      </c>
      <c r="J15" s="7" t="s">
        <v>195</v>
      </c>
      <c r="K15" s="7" t="s">
        <v>195</v>
      </c>
      <c r="L15" s="7" t="s">
        <v>195</v>
      </c>
      <c r="M15" s="7" t="s">
        <v>29</v>
      </c>
      <c r="N15" s="7" t="s">
        <v>29</v>
      </c>
      <c r="O15" s="7" t="s">
        <v>29</v>
      </c>
      <c r="P15" s="7" t="s">
        <v>29</v>
      </c>
      <c r="Q15" s="7" t="s">
        <v>29</v>
      </c>
      <c r="R15" s="7" t="s">
        <v>29</v>
      </c>
      <c r="S15" s="7" t="s">
        <v>29</v>
      </c>
    </row>
    <row r="16" spans="1:19">
      <c r="A16" s="7" t="s">
        <v>1491</v>
      </c>
      <c r="B16" s="7" t="s">
        <v>1218</v>
      </c>
      <c r="C16" s="8">
        <v>100</v>
      </c>
      <c r="D16" s="6" t="str">
        <f>LRTRIM(CONCATENATE(IF(SUMPRODUCT(-- ISNUMBER(SEARCH({"Auto Number"}, $B16))) &gt; 0, $B16, IF(SUMPRODUCT(-- ISNUMBER(SEARCH({"Lookup","Master-Detail"}, $B16))) &gt; 0,$B16 &amp; "(" &amp; $E16 &amp; ")",IF(SUMPRODUCT(-- ISNUMBER(SEARCH({"Formula","Roll-Up Summary"}, $B16))) &gt; 0,$B16 &amp; " (" &amp; $E16 &amp; ")",IF(SUMPRODUCT(-- ISNUMBER(SEARCH({"Content","Currency","Number","Percent","Text","URL"}, $B16))) &gt; 0,$B16 &amp; "(" &amp; $C16 &amp; ")",$B16)))), "  ", TRIM(IF($S16 = "YES", "(External ID)", "") &amp; " " &amp; IF(SUMPRODUCT(-- ISNUMBER(SEARCH({"Unique","Unique Case Insensitive"}, $R16))) &gt; 0, "(" &amp; $R16 &amp; ")", ""))))</f>
        <v>Text(100)</v>
      </c>
      <c r="E16" s="7" t="s">
        <v>195</v>
      </c>
      <c r="F16" s="7" t="s">
        <v>1730</v>
      </c>
      <c r="G16" s="7" t="s">
        <v>1733</v>
      </c>
      <c r="H16" s="7" t="s">
        <v>195</v>
      </c>
      <c r="I16" s="7" t="s">
        <v>195</v>
      </c>
      <c r="J16" s="7" t="s">
        <v>195</v>
      </c>
      <c r="K16" s="7" t="s">
        <v>195</v>
      </c>
      <c r="L16" s="7" t="s">
        <v>195</v>
      </c>
      <c r="M16" s="7" t="s">
        <v>29</v>
      </c>
      <c r="N16" s="7" t="s">
        <v>29</v>
      </c>
      <c r="O16" s="7" t="s">
        <v>29</v>
      </c>
      <c r="P16" s="7" t="s">
        <v>29</v>
      </c>
      <c r="Q16" s="7" t="s">
        <v>29</v>
      </c>
      <c r="R16" s="7" t="s">
        <v>29</v>
      </c>
      <c r="S16" s="7" t="s">
        <v>29</v>
      </c>
    </row>
    <row r="17" spans="1:19">
      <c r="A17" s="7" t="s">
        <v>1188</v>
      </c>
      <c r="B17" s="7" t="s">
        <v>195</v>
      </c>
      <c r="C17" s="8" t="s">
        <v>195</v>
      </c>
      <c r="D17" s="6" t="str">
        <f>LRTRIM(CONCATENATE(IF(SUMPRODUCT(-- ISNUMBER(SEARCH({"Auto Number"}, $B17))) &gt; 0, $B17, IF(SUMPRODUCT(-- ISNUMBER(SEARCH({"Lookup","Master-Detail"}, $B17))) &gt; 0,$B17 &amp; "(" &amp; $E17 &amp; ")",IF(SUMPRODUCT(-- ISNUMBER(SEARCH({"Formula","Roll-Up Summary"}, $B17))) &gt; 0,$B17 &amp; " (" &amp; $E17 &amp; ")",IF(SUMPRODUCT(-- ISNUMBER(SEARCH({"Content","Currency","Number","Percent","Text","URL"}, $B17))) &gt; 0,$B17 &amp; "(" &amp; $C17 &amp; ")",$B17)))), "  ", TRIM(IF($S17 = "YES", "(External ID)", "") &amp; " " &amp; IF(SUMPRODUCT(-- ISNUMBER(SEARCH({"Unique","Unique Case Insensitive"}, $R17))) &gt; 0, "(" &amp; $R17 &amp; ")", ""))))</f>
        <v>na</v>
      </c>
      <c r="E17" s="7" t="s">
        <v>195</v>
      </c>
      <c r="F17" s="7" t="s">
        <v>195</v>
      </c>
      <c r="G17" s="7" t="s">
        <v>195</v>
      </c>
      <c r="H17" s="7" t="s">
        <v>195</v>
      </c>
      <c r="I17" s="7" t="s">
        <v>195</v>
      </c>
      <c r="J17" s="7" t="s">
        <v>195</v>
      </c>
      <c r="K17" s="7" t="s">
        <v>195</v>
      </c>
      <c r="L17" s="7" t="s">
        <v>195</v>
      </c>
      <c r="M17" s="7" t="s">
        <v>28</v>
      </c>
      <c r="N17" s="7" t="s">
        <v>29</v>
      </c>
      <c r="O17" s="7" t="s">
        <v>29</v>
      </c>
      <c r="P17" s="7" t="s">
        <v>29</v>
      </c>
      <c r="Q17" s="7" t="s">
        <v>29</v>
      </c>
      <c r="R17" s="7" t="s">
        <v>29</v>
      </c>
      <c r="S17" s="7" t="s">
        <v>29</v>
      </c>
    </row>
    <row r="18" spans="1:19">
      <c r="A18" s="7" t="s">
        <v>33</v>
      </c>
      <c r="B18" s="7" t="s">
        <v>195</v>
      </c>
      <c r="C18" s="8" t="s">
        <v>195</v>
      </c>
      <c r="D18" s="6" t="str">
        <f>LRTRIM(CONCATENATE(IF(SUMPRODUCT(-- ISNUMBER(SEARCH({"Auto Number"}, $B18))) &gt; 0, $B18, IF(SUMPRODUCT(-- ISNUMBER(SEARCH({"Lookup","Master-Detail"}, $B18))) &gt; 0,$B18 &amp; "(" &amp; $E18 &amp; ")",IF(SUMPRODUCT(-- ISNUMBER(SEARCH({"Formula","Roll-Up Summary"}, $B18))) &gt; 0,$B18 &amp; " (" &amp; $E18 &amp; ")",IF(SUMPRODUCT(-- ISNUMBER(SEARCH({"Content","Currency","Number","Percent","Text","URL"}, $B18))) &gt; 0,$B18 &amp; "(" &amp; $C18 &amp; ")",$B18)))), "  ", TRIM(IF($S18 = "YES", "(External ID)", "") &amp; " " &amp; IF(SUMPRODUCT(-- ISNUMBER(SEARCH({"Unique","Unique Case Insensitive"}, $R18))) &gt; 0, "(" &amp; $R18 &amp; ")", ""))))</f>
        <v>na</v>
      </c>
      <c r="E18" s="7" t="s">
        <v>195</v>
      </c>
      <c r="F18" s="7" t="s">
        <v>195</v>
      </c>
      <c r="G18" s="7" t="s">
        <v>195</v>
      </c>
      <c r="H18" s="7" t="s">
        <v>195</v>
      </c>
      <c r="I18" s="7" t="s">
        <v>195</v>
      </c>
      <c r="J18" s="7" t="s">
        <v>195</v>
      </c>
      <c r="K18" s="7" t="s">
        <v>195</v>
      </c>
      <c r="L18" s="7" t="s">
        <v>195</v>
      </c>
      <c r="M18" s="7" t="s">
        <v>28</v>
      </c>
      <c r="N18" s="7" t="s">
        <v>29</v>
      </c>
      <c r="O18" s="7" t="s">
        <v>29</v>
      </c>
      <c r="P18" s="7" t="s">
        <v>29</v>
      </c>
      <c r="Q18" s="7" t="s">
        <v>29</v>
      </c>
      <c r="R18" s="7" t="s">
        <v>29</v>
      </c>
      <c r="S18" s="7" t="s">
        <v>29</v>
      </c>
    </row>
    <row r="19" spans="1:19">
      <c r="A19" s="7" t="s">
        <v>1189</v>
      </c>
      <c r="B19" s="7" t="s">
        <v>195</v>
      </c>
      <c r="C19" s="8" t="s">
        <v>195</v>
      </c>
      <c r="D19" s="6" t="str">
        <f>LRTRIM(CONCATENATE(IF(SUMPRODUCT(-- ISNUMBER(SEARCH({"Auto Number"}, $B19))) &gt; 0, $B19, IF(SUMPRODUCT(-- ISNUMBER(SEARCH({"Lookup","Master-Detail"}, $B19))) &gt; 0,$B19 &amp; "(" &amp; $E19 &amp; ")",IF(SUMPRODUCT(-- ISNUMBER(SEARCH({"Formula","Roll-Up Summary"}, $B19))) &gt; 0,$B19 &amp; " (" &amp; $E19 &amp; ")",IF(SUMPRODUCT(-- ISNUMBER(SEARCH({"Content","Currency","Number","Percent","Text","URL"}, $B19))) &gt; 0,$B19 &amp; "(" &amp; $C19 &amp; ")",$B19)))), "  ", TRIM(IF($S19 = "YES", "(External ID)", "") &amp; " " &amp; IF(SUMPRODUCT(-- ISNUMBER(SEARCH({"Unique","Unique Case Insensitive"}, $R19))) &gt; 0, "(" &amp; $R19 &amp; ")", ""))))</f>
        <v>na</v>
      </c>
      <c r="E19" s="7" t="s">
        <v>195</v>
      </c>
      <c r="F19" s="7" t="s">
        <v>195</v>
      </c>
      <c r="G19" s="7" t="s">
        <v>195</v>
      </c>
      <c r="H19" s="7" t="s">
        <v>195</v>
      </c>
      <c r="I19" s="7" t="s">
        <v>195</v>
      </c>
      <c r="J19" s="7" t="s">
        <v>195</v>
      </c>
      <c r="K19" s="7" t="s">
        <v>195</v>
      </c>
      <c r="L19" s="7" t="s">
        <v>195</v>
      </c>
      <c r="M19" s="7" t="s">
        <v>28</v>
      </c>
      <c r="N19" s="7" t="s">
        <v>29</v>
      </c>
      <c r="O19" s="7" t="s">
        <v>29</v>
      </c>
      <c r="P19" s="7" t="s">
        <v>29</v>
      </c>
      <c r="Q19" s="7" t="s">
        <v>29</v>
      </c>
      <c r="R19" s="7" t="s">
        <v>29</v>
      </c>
      <c r="S19" s="7" t="s">
        <v>29</v>
      </c>
    </row>
    <row r="20" spans="1:19">
      <c r="A20" s="7" t="s">
        <v>1190</v>
      </c>
      <c r="B20" s="7" t="s">
        <v>195</v>
      </c>
      <c r="C20" s="8" t="s">
        <v>195</v>
      </c>
      <c r="D20" s="6" t="str">
        <f>LRTRIM(CONCATENATE(IF(SUMPRODUCT(-- ISNUMBER(SEARCH({"Auto Number"}, $B20))) &gt; 0, $B20, IF(SUMPRODUCT(-- ISNUMBER(SEARCH({"Lookup","Master-Detail"}, $B20))) &gt; 0,$B20 &amp; "(" &amp; $E20 &amp; ")",IF(SUMPRODUCT(-- ISNUMBER(SEARCH({"Formula","Roll-Up Summary"}, $B20))) &gt; 0,$B20 &amp; " (" &amp; $E20 &amp; ")",IF(SUMPRODUCT(-- ISNUMBER(SEARCH({"Content","Currency","Number","Percent","Text","URL"}, $B20))) &gt; 0,$B20 &amp; "(" &amp; $C20 &amp; ")",$B20)))), "  ", TRIM(IF($S20 = "YES", "(External ID)", "") &amp; " " &amp; IF(SUMPRODUCT(-- ISNUMBER(SEARCH({"Unique","Unique Case Insensitive"}, $R20))) &gt; 0, "(" &amp; $R20 &amp; ")", ""))))</f>
        <v>na</v>
      </c>
      <c r="E20" s="7" t="s">
        <v>195</v>
      </c>
      <c r="F20" s="7" t="s">
        <v>195</v>
      </c>
      <c r="G20" s="7" t="s">
        <v>195</v>
      </c>
      <c r="H20" s="7" t="s">
        <v>195</v>
      </c>
      <c r="I20" s="7" t="s">
        <v>195</v>
      </c>
      <c r="J20" s="7" t="s">
        <v>195</v>
      </c>
      <c r="K20" s="7" t="s">
        <v>195</v>
      </c>
      <c r="L20" s="7" t="s">
        <v>195</v>
      </c>
      <c r="M20" s="7" t="s">
        <v>28</v>
      </c>
      <c r="N20" s="7" t="s">
        <v>29</v>
      </c>
      <c r="O20" s="7" t="s">
        <v>29</v>
      </c>
      <c r="P20" s="7" t="s">
        <v>29</v>
      </c>
      <c r="Q20" s="7" t="s">
        <v>29</v>
      </c>
      <c r="R20" s="7" t="s">
        <v>29</v>
      </c>
      <c r="S20" s="7" t="s">
        <v>29</v>
      </c>
    </row>
    <row r="21" spans="1:19">
      <c r="A21" s="7" t="s">
        <v>1191</v>
      </c>
      <c r="B21" s="7" t="s">
        <v>195</v>
      </c>
      <c r="C21" s="8" t="s">
        <v>195</v>
      </c>
      <c r="D21" s="6" t="str">
        <f>LRTRIM(CONCATENATE(IF(SUMPRODUCT(-- ISNUMBER(SEARCH({"Auto Number"}, $B21))) &gt; 0, $B21, IF(SUMPRODUCT(-- ISNUMBER(SEARCH({"Lookup","Master-Detail"}, $B21))) &gt; 0,$B21 &amp; "(" &amp; $E21 &amp; ")",IF(SUMPRODUCT(-- ISNUMBER(SEARCH({"Formula","Roll-Up Summary"}, $B21))) &gt; 0,$B21 &amp; " (" &amp; $E21 &amp; ")",IF(SUMPRODUCT(-- ISNUMBER(SEARCH({"Content","Currency","Number","Percent","Text","URL"}, $B21))) &gt; 0,$B21 &amp; "(" &amp; $C21 &amp; ")",$B21)))), "  ", TRIM(IF($S21 = "YES", "(External ID)", "") &amp; " " &amp; IF(SUMPRODUCT(-- ISNUMBER(SEARCH({"Unique","Unique Case Insensitive"}, $R21))) &gt; 0, "(" &amp; $R21 &amp; ")", ""))))</f>
        <v>na</v>
      </c>
      <c r="E21" s="7" t="s">
        <v>195</v>
      </c>
      <c r="F21" s="7" t="s">
        <v>195</v>
      </c>
      <c r="G21" s="7" t="s">
        <v>195</v>
      </c>
      <c r="H21" s="7" t="s">
        <v>195</v>
      </c>
      <c r="I21" s="7" t="s">
        <v>1761</v>
      </c>
      <c r="J21" s="7" t="s">
        <v>195</v>
      </c>
      <c r="K21" s="7" t="s">
        <v>195</v>
      </c>
      <c r="L21" s="7" t="s">
        <v>195</v>
      </c>
      <c r="M21" s="7" t="s">
        <v>28</v>
      </c>
      <c r="N21" s="7" t="s">
        <v>29</v>
      </c>
      <c r="O21" s="7" t="s">
        <v>29</v>
      </c>
      <c r="P21" s="7" t="s">
        <v>29</v>
      </c>
      <c r="Q21" s="7" t="s">
        <v>29</v>
      </c>
      <c r="R21" s="7" t="s">
        <v>29</v>
      </c>
      <c r="S21" s="7" t="s">
        <v>29</v>
      </c>
    </row>
    <row r="22" spans="1:19">
      <c r="A22" s="7" t="s">
        <v>38</v>
      </c>
      <c r="B22" s="7" t="s">
        <v>195</v>
      </c>
      <c r="C22" s="8" t="s">
        <v>195</v>
      </c>
      <c r="D22" s="6" t="str">
        <f>LRTRIM(CONCATENATE(IF(SUMPRODUCT(-- ISNUMBER(SEARCH({"Auto Number"}, $B22))) &gt; 0, $B22, IF(SUMPRODUCT(-- ISNUMBER(SEARCH({"Lookup","Master-Detail"}, $B22))) &gt; 0,$B22 &amp; "(" &amp; $E22 &amp; ")",IF(SUMPRODUCT(-- ISNUMBER(SEARCH({"Formula","Roll-Up Summary"}, $B22))) &gt; 0,$B22 &amp; " (" &amp; $E22 &amp; ")",IF(SUMPRODUCT(-- ISNUMBER(SEARCH({"Content","Currency","Number","Percent","Text","URL"}, $B22))) &gt; 0,$B22 &amp; "(" &amp; $C22 &amp; ")",$B22)))), "  ", TRIM(IF($S22 = "YES", "(External ID)", "") &amp; " " &amp; IF(SUMPRODUCT(-- ISNUMBER(SEARCH({"Unique","Unique Case Insensitive"}, $R22))) &gt; 0, "(" &amp; $R22 &amp; ")", ""))))</f>
        <v>na</v>
      </c>
      <c r="E22" s="7" t="s">
        <v>195</v>
      </c>
      <c r="F22" s="7" t="s">
        <v>195</v>
      </c>
      <c r="G22" s="7" t="s">
        <v>195</v>
      </c>
      <c r="H22" s="7" t="s">
        <v>195</v>
      </c>
      <c r="I22" s="7" t="s">
        <v>195</v>
      </c>
      <c r="J22" s="7" t="s">
        <v>195</v>
      </c>
      <c r="K22" s="7" t="s">
        <v>195</v>
      </c>
      <c r="L22" s="7" t="s">
        <v>195</v>
      </c>
      <c r="M22" s="7" t="s">
        <v>28</v>
      </c>
      <c r="N22" s="7" t="s">
        <v>29</v>
      </c>
      <c r="O22" s="7" t="s">
        <v>29</v>
      </c>
      <c r="P22" s="7" t="s">
        <v>29</v>
      </c>
      <c r="Q22" s="7" t="s">
        <v>29</v>
      </c>
      <c r="R22" s="7" t="s">
        <v>29</v>
      </c>
      <c r="S22" s="7" t="s">
        <v>29</v>
      </c>
    </row>
    <row r="23" spans="1:19">
      <c r="A23" s="7" t="s">
        <v>37</v>
      </c>
      <c r="B23" s="7" t="s">
        <v>195</v>
      </c>
      <c r="C23" s="8" t="s">
        <v>195</v>
      </c>
      <c r="D23" s="6" t="str">
        <f>LRTRIM(CONCATENATE(IF(SUMPRODUCT(-- ISNUMBER(SEARCH({"Auto Number"}, $B23))) &gt; 0, $B23, IF(SUMPRODUCT(-- ISNUMBER(SEARCH({"Lookup","Master-Detail"}, $B23))) &gt; 0,$B23 &amp; "(" &amp; $E23 &amp; ")",IF(SUMPRODUCT(-- ISNUMBER(SEARCH({"Formula","Roll-Up Summary"}, $B23))) &gt; 0,$B23 &amp; " (" &amp; $E23 &amp; ")",IF(SUMPRODUCT(-- ISNUMBER(SEARCH({"Content","Currency","Number","Percent","Text","URL"}, $B23))) &gt; 0,$B23 &amp; "(" &amp; $C23 &amp; ")",$B23)))), "  ", TRIM(IF($S23 = "YES", "(External ID)", "") &amp; " " &amp; IF(SUMPRODUCT(-- ISNUMBER(SEARCH({"Unique","Unique Case Insensitive"}, $R23))) &gt; 0, "(" &amp; $R23 &amp; ")", ""))))</f>
        <v>na</v>
      </c>
      <c r="E23" s="7" t="s">
        <v>195</v>
      </c>
      <c r="F23" s="7" t="s">
        <v>195</v>
      </c>
      <c r="G23" s="7" t="s">
        <v>195</v>
      </c>
      <c r="H23" s="7" t="s">
        <v>195</v>
      </c>
      <c r="I23" s="7" t="s">
        <v>195</v>
      </c>
      <c r="J23" s="7" t="s">
        <v>195</v>
      </c>
      <c r="K23" s="7" t="s">
        <v>195</v>
      </c>
      <c r="L23" s="7" t="s">
        <v>195</v>
      </c>
      <c r="M23" s="7" t="s">
        <v>28</v>
      </c>
      <c r="N23" s="7" t="s">
        <v>29</v>
      </c>
      <c r="O23" s="7" t="s">
        <v>29</v>
      </c>
      <c r="P23" s="7" t="s">
        <v>29</v>
      </c>
      <c r="Q23" s="7" t="s">
        <v>29</v>
      </c>
      <c r="R23" s="7" t="s">
        <v>29</v>
      </c>
      <c r="S23" s="7" t="s">
        <v>29</v>
      </c>
    </row>
    <row r="24" spans="1:19">
      <c r="A24" s="7" t="s">
        <v>1192</v>
      </c>
      <c r="B24" s="7" t="s">
        <v>195</v>
      </c>
      <c r="C24" s="8" t="s">
        <v>195</v>
      </c>
      <c r="D24" s="6" t="str">
        <f>LRTRIM(CONCATENATE(IF(SUMPRODUCT(-- ISNUMBER(SEARCH({"Auto Number"}, $B24))) &gt; 0, $B24, IF(SUMPRODUCT(-- ISNUMBER(SEARCH({"Lookup","Master-Detail"}, $B24))) &gt; 0,$B24 &amp; "(" &amp; $E24 &amp; ")",IF(SUMPRODUCT(-- ISNUMBER(SEARCH({"Formula","Roll-Up Summary"}, $B24))) &gt; 0,$B24 &amp; " (" &amp; $E24 &amp; ")",IF(SUMPRODUCT(-- ISNUMBER(SEARCH({"Content","Currency","Number","Percent","Text","URL"}, $B24))) &gt; 0,$B24 &amp; "(" &amp; $C24 &amp; ")",$B24)))), "  ", TRIM(IF($S24 = "YES", "(External ID)", "") &amp; " " &amp; IF(SUMPRODUCT(-- ISNUMBER(SEARCH({"Unique","Unique Case Insensitive"}, $R24))) &gt; 0, "(" &amp; $R24 &amp; ")", ""))))</f>
        <v>na</v>
      </c>
      <c r="E24" s="7" t="s">
        <v>195</v>
      </c>
      <c r="F24" s="7" t="s">
        <v>195</v>
      </c>
      <c r="G24" s="7" t="s">
        <v>195</v>
      </c>
      <c r="H24" s="7" t="s">
        <v>195</v>
      </c>
      <c r="I24" s="7" t="s">
        <v>1764</v>
      </c>
      <c r="J24" s="7" t="s">
        <v>195</v>
      </c>
      <c r="K24" s="7" t="s">
        <v>195</v>
      </c>
      <c r="L24" s="7" t="s">
        <v>195</v>
      </c>
      <c r="M24" s="7" t="s">
        <v>28</v>
      </c>
      <c r="N24" s="7" t="s">
        <v>29</v>
      </c>
      <c r="O24" s="7" t="s">
        <v>29</v>
      </c>
      <c r="P24" s="7" t="s">
        <v>29</v>
      </c>
      <c r="Q24" s="7" t="s">
        <v>29</v>
      </c>
      <c r="R24" s="7" t="s">
        <v>29</v>
      </c>
      <c r="S24" s="7" t="s">
        <v>29</v>
      </c>
    </row>
    <row r="25" spans="1:19">
      <c r="A25" s="7" t="s">
        <v>2</v>
      </c>
      <c r="B25" s="7" t="s">
        <v>195</v>
      </c>
      <c r="C25" s="8" t="s">
        <v>195</v>
      </c>
      <c r="D25" s="6" t="str">
        <f>LRTRIM(CONCATENATE(IF(SUMPRODUCT(-- ISNUMBER(SEARCH({"Auto Number"}, $B25))) &gt; 0, $B25, IF(SUMPRODUCT(-- ISNUMBER(SEARCH({"Lookup","Master-Detail"}, $B25))) &gt; 0,$B25 &amp; "(" &amp; $E25 &amp; ")",IF(SUMPRODUCT(-- ISNUMBER(SEARCH({"Formula","Roll-Up Summary"}, $B25))) &gt; 0,$B25 &amp; " (" &amp; $E25 &amp; ")",IF(SUMPRODUCT(-- ISNUMBER(SEARCH({"Content","Currency","Number","Percent","Text","URL"}, $B25))) &gt; 0,$B25 &amp; "(" &amp; $C25 &amp; ")",$B25)))), "  ", TRIM(IF($S25 = "YES", "(External ID)", "") &amp; " " &amp; IF(SUMPRODUCT(-- ISNUMBER(SEARCH({"Unique","Unique Case Insensitive"}, $R25))) &gt; 0, "(" &amp; $R25 &amp; ")", ""))))</f>
        <v>na</v>
      </c>
      <c r="E25" s="7" t="s">
        <v>195</v>
      </c>
      <c r="F25" s="7" t="s">
        <v>195</v>
      </c>
      <c r="G25" s="7" t="s">
        <v>195</v>
      </c>
      <c r="H25" s="7" t="s">
        <v>195</v>
      </c>
      <c r="I25" s="7" t="s">
        <v>195</v>
      </c>
      <c r="J25" s="7" t="s">
        <v>195</v>
      </c>
      <c r="K25" s="7" t="s">
        <v>195</v>
      </c>
      <c r="L25" s="7" t="s">
        <v>195</v>
      </c>
      <c r="M25" s="7" t="s">
        <v>28</v>
      </c>
      <c r="N25" s="7" t="s">
        <v>29</v>
      </c>
      <c r="O25" s="7" t="s">
        <v>29</v>
      </c>
      <c r="P25" s="7" t="s">
        <v>29</v>
      </c>
      <c r="Q25" s="7" t="s">
        <v>29</v>
      </c>
      <c r="R25" s="7" t="s">
        <v>29</v>
      </c>
      <c r="S25" s="7" t="s">
        <v>29</v>
      </c>
    </row>
    <row r="26" spans="1:19">
      <c r="A26" s="7" t="s">
        <v>1193</v>
      </c>
      <c r="B26" s="7" t="s">
        <v>195</v>
      </c>
      <c r="C26" s="8" t="s">
        <v>195</v>
      </c>
      <c r="D26" s="6" t="str">
        <f>LRTRIM(CONCATENATE(IF(SUMPRODUCT(-- ISNUMBER(SEARCH({"Auto Number"}, $B26))) &gt; 0, $B26, IF(SUMPRODUCT(-- ISNUMBER(SEARCH({"Lookup","Master-Detail"}, $B26))) &gt; 0,$B26 &amp; "(" &amp; $E26 &amp; ")",IF(SUMPRODUCT(-- ISNUMBER(SEARCH({"Formula","Roll-Up Summary"}, $B26))) &gt; 0,$B26 &amp; " (" &amp; $E26 &amp; ")",IF(SUMPRODUCT(-- ISNUMBER(SEARCH({"Content","Currency","Number","Percent","Text","URL"}, $B26))) &gt; 0,$B26 &amp; "(" &amp; $C26 &amp; ")",$B26)))), "  ", TRIM(IF($S26 = "YES", "(External ID)", "") &amp; " " &amp; IF(SUMPRODUCT(-- ISNUMBER(SEARCH({"Unique","Unique Case Insensitive"}, $R26))) &gt; 0, "(" &amp; $R26 &amp; ")", ""))))</f>
        <v>na</v>
      </c>
      <c r="E26" s="7" t="s">
        <v>195</v>
      </c>
      <c r="F26" s="7" t="s">
        <v>195</v>
      </c>
      <c r="G26" s="7" t="s">
        <v>195</v>
      </c>
      <c r="H26" s="7" t="s">
        <v>195</v>
      </c>
      <c r="I26" s="7" t="s">
        <v>195</v>
      </c>
      <c r="J26" s="7" t="s">
        <v>195</v>
      </c>
      <c r="K26" s="7" t="s">
        <v>195</v>
      </c>
      <c r="L26" s="7" t="s">
        <v>195</v>
      </c>
      <c r="M26" s="7" t="s">
        <v>28</v>
      </c>
      <c r="N26" s="7" t="s">
        <v>29</v>
      </c>
      <c r="O26" s="7" t="s">
        <v>29</v>
      </c>
      <c r="P26" s="7" t="s">
        <v>29</v>
      </c>
      <c r="Q26" s="7" t="s">
        <v>29</v>
      </c>
      <c r="R26" s="7" t="s">
        <v>29</v>
      </c>
      <c r="S26" s="7" t="s">
        <v>29</v>
      </c>
    </row>
    <row r="27" spans="1:19">
      <c r="A27" s="7" t="s">
        <v>1194</v>
      </c>
      <c r="B27" s="7" t="s">
        <v>195</v>
      </c>
      <c r="C27" s="8" t="s">
        <v>195</v>
      </c>
      <c r="D27" s="6" t="str">
        <f>LRTRIM(CONCATENATE(IF(SUMPRODUCT(-- ISNUMBER(SEARCH({"Auto Number"}, $B27))) &gt; 0, $B27, IF(SUMPRODUCT(-- ISNUMBER(SEARCH({"Lookup","Master-Detail"}, $B27))) &gt; 0,$B27 &amp; "(" &amp; $E27 &amp; ")",IF(SUMPRODUCT(-- ISNUMBER(SEARCH({"Formula","Roll-Up Summary"}, $B27))) &gt; 0,$B27 &amp; " (" &amp; $E27 &amp; ")",IF(SUMPRODUCT(-- ISNUMBER(SEARCH({"Content","Currency","Number","Percent","Text","URL"}, $B27))) &gt; 0,$B27 &amp; "(" &amp; $C27 &amp; ")",$B27)))), "  ", TRIM(IF($S27 = "YES", "(External ID)", "") &amp; " " &amp; IF(SUMPRODUCT(-- ISNUMBER(SEARCH({"Unique","Unique Case Insensitive"}, $R27))) &gt; 0, "(" &amp; $R27 &amp; ")", ""))))</f>
        <v>na</v>
      </c>
      <c r="E27" s="7" t="s">
        <v>195</v>
      </c>
      <c r="F27" s="7" t="s">
        <v>195</v>
      </c>
      <c r="G27" s="7" t="s">
        <v>195</v>
      </c>
      <c r="H27" s="7" t="s">
        <v>195</v>
      </c>
      <c r="I27" s="7" t="s">
        <v>195</v>
      </c>
      <c r="J27" s="7" t="s">
        <v>195</v>
      </c>
      <c r="K27" s="7" t="s">
        <v>195</v>
      </c>
      <c r="L27" s="7" t="s">
        <v>195</v>
      </c>
      <c r="M27" s="7" t="s">
        <v>28</v>
      </c>
      <c r="N27" s="7" t="s">
        <v>29</v>
      </c>
      <c r="O27" s="7" t="s">
        <v>29</v>
      </c>
      <c r="P27" s="7" t="s">
        <v>29</v>
      </c>
      <c r="Q27" s="7" t="s">
        <v>29</v>
      </c>
      <c r="R27" s="7" t="s">
        <v>29</v>
      </c>
      <c r="S27" s="7" t="s">
        <v>29</v>
      </c>
    </row>
    <row r="28" spans="1:19">
      <c r="A28" s="7" t="s">
        <v>1195</v>
      </c>
      <c r="B28" s="7" t="s">
        <v>195</v>
      </c>
      <c r="C28" s="8" t="s">
        <v>195</v>
      </c>
      <c r="D28" s="6" t="str">
        <f>LRTRIM(CONCATENATE(IF(SUMPRODUCT(-- ISNUMBER(SEARCH({"Auto Number"}, $B28))) &gt; 0, $B28, IF(SUMPRODUCT(-- ISNUMBER(SEARCH({"Lookup","Master-Detail"}, $B28))) &gt; 0,$B28 &amp; "(" &amp; $E28 &amp; ")",IF(SUMPRODUCT(-- ISNUMBER(SEARCH({"Formula","Roll-Up Summary"}, $B28))) &gt; 0,$B28 &amp; " (" &amp; $E28 &amp; ")",IF(SUMPRODUCT(-- ISNUMBER(SEARCH({"Content","Currency","Number","Percent","Text","URL"}, $B28))) &gt; 0,$B28 &amp; "(" &amp; $C28 &amp; ")",$B28)))), "  ", TRIM(IF($S28 = "YES", "(External ID)", "") &amp; " " &amp; IF(SUMPRODUCT(-- ISNUMBER(SEARCH({"Unique","Unique Case Insensitive"}, $R28))) &gt; 0, "(" &amp; $R28 &amp; ")", ""))))</f>
        <v>na</v>
      </c>
      <c r="E28" s="7" t="s">
        <v>195</v>
      </c>
      <c r="F28" s="7" t="s">
        <v>195</v>
      </c>
      <c r="G28" s="7" t="s">
        <v>195</v>
      </c>
      <c r="H28" s="7" t="s">
        <v>195</v>
      </c>
      <c r="I28" s="7" t="s">
        <v>195</v>
      </c>
      <c r="J28" s="7" t="s">
        <v>195</v>
      </c>
      <c r="K28" s="7" t="s">
        <v>195</v>
      </c>
      <c r="L28" s="7" t="s">
        <v>195</v>
      </c>
      <c r="M28" s="7" t="s">
        <v>28</v>
      </c>
      <c r="N28" s="7" t="s">
        <v>29</v>
      </c>
      <c r="O28" s="7" t="s">
        <v>29</v>
      </c>
      <c r="P28" s="7" t="s">
        <v>29</v>
      </c>
      <c r="Q28" s="7" t="s">
        <v>29</v>
      </c>
      <c r="R28" s="7" t="s">
        <v>29</v>
      </c>
      <c r="S28" s="7" t="s">
        <v>29</v>
      </c>
    </row>
    <row r="29" spans="1:19">
      <c r="A29" s="7" t="s">
        <v>39</v>
      </c>
      <c r="B29" s="7" t="s">
        <v>195</v>
      </c>
      <c r="C29" s="8" t="s">
        <v>195</v>
      </c>
      <c r="D29" s="6" t="str">
        <f>LRTRIM(CONCATENATE(IF(SUMPRODUCT(-- ISNUMBER(SEARCH({"Auto Number"}, $B29))) &gt; 0, $B29, IF(SUMPRODUCT(-- ISNUMBER(SEARCH({"Lookup","Master-Detail"}, $B29))) &gt; 0,$B29 &amp; "(" &amp; $E29 &amp; ")",IF(SUMPRODUCT(-- ISNUMBER(SEARCH({"Formula","Roll-Up Summary"}, $B29))) &gt; 0,$B29 &amp; " (" &amp; $E29 &amp; ")",IF(SUMPRODUCT(-- ISNUMBER(SEARCH({"Content","Currency","Number","Percent","Text","URL"}, $B29))) &gt; 0,$B29 &amp; "(" &amp; $C29 &amp; ")",$B29)))), "  ", TRIM(IF($S29 = "YES", "(External ID)", "") &amp; " " &amp; IF(SUMPRODUCT(-- ISNUMBER(SEARCH({"Unique","Unique Case Insensitive"}, $R29))) &gt; 0, "(" &amp; $R29 &amp; ")", ""))))</f>
        <v>na</v>
      </c>
      <c r="E29" s="7" t="s">
        <v>195</v>
      </c>
      <c r="F29" s="7" t="s">
        <v>195</v>
      </c>
      <c r="G29" s="7" t="s">
        <v>195</v>
      </c>
      <c r="H29" s="7" t="s">
        <v>195</v>
      </c>
      <c r="I29" s="7" t="s">
        <v>195</v>
      </c>
      <c r="J29" s="7" t="s">
        <v>195</v>
      </c>
      <c r="K29" s="7" t="s">
        <v>195</v>
      </c>
      <c r="L29" s="7" t="s">
        <v>195</v>
      </c>
      <c r="M29" s="7" t="s">
        <v>28</v>
      </c>
      <c r="N29" s="7" t="s">
        <v>29</v>
      </c>
      <c r="O29" s="7" t="s">
        <v>29</v>
      </c>
      <c r="P29" s="7" t="s">
        <v>29</v>
      </c>
      <c r="Q29" s="7" t="s">
        <v>29</v>
      </c>
      <c r="R29" s="7" t="s">
        <v>29</v>
      </c>
      <c r="S29" s="7" t="s">
        <v>29</v>
      </c>
    </row>
    <row r="30" spans="1:19">
      <c r="A30" s="7" t="s">
        <v>1196</v>
      </c>
      <c r="B30" s="7" t="s">
        <v>195</v>
      </c>
      <c r="C30" s="8" t="s">
        <v>195</v>
      </c>
      <c r="D30" s="6" t="str">
        <f>LRTRIM(CONCATENATE(IF(SUMPRODUCT(-- ISNUMBER(SEARCH({"Auto Number"}, $B30))) &gt; 0, $B30, IF(SUMPRODUCT(-- ISNUMBER(SEARCH({"Lookup","Master-Detail"}, $B30))) &gt; 0,$B30 &amp; "(" &amp; $E30 &amp; ")",IF(SUMPRODUCT(-- ISNUMBER(SEARCH({"Formula","Roll-Up Summary"}, $B30))) &gt; 0,$B30 &amp; " (" &amp; $E30 &amp; ")",IF(SUMPRODUCT(-- ISNUMBER(SEARCH({"Content","Currency","Number","Percent","Text","URL"}, $B30))) &gt; 0,$B30 &amp; "(" &amp; $C30 &amp; ")",$B30)))), "  ", TRIM(IF($S30 = "YES", "(External ID)", "") &amp; " " &amp; IF(SUMPRODUCT(-- ISNUMBER(SEARCH({"Unique","Unique Case Insensitive"}, $R30))) &gt; 0, "(" &amp; $R30 &amp; ")", ""))))</f>
        <v>na</v>
      </c>
      <c r="E30" s="7" t="s">
        <v>195</v>
      </c>
      <c r="F30" s="7" t="s">
        <v>195</v>
      </c>
      <c r="G30" s="7" t="s">
        <v>195</v>
      </c>
      <c r="H30" s="7" t="s">
        <v>195</v>
      </c>
      <c r="I30" s="7" t="s">
        <v>1765</v>
      </c>
      <c r="J30" s="7" t="s">
        <v>195</v>
      </c>
      <c r="K30" s="7" t="s">
        <v>195</v>
      </c>
      <c r="L30" s="7" t="s">
        <v>195</v>
      </c>
      <c r="M30" s="7" t="s">
        <v>28</v>
      </c>
      <c r="N30" s="7" t="s">
        <v>29</v>
      </c>
      <c r="O30" s="7" t="s">
        <v>29</v>
      </c>
      <c r="P30" s="7" t="s">
        <v>29</v>
      </c>
      <c r="Q30" s="7" t="s">
        <v>29</v>
      </c>
      <c r="R30" s="7" t="s">
        <v>29</v>
      </c>
      <c r="S30" s="7" t="s">
        <v>29</v>
      </c>
    </row>
    <row r="31" spans="1:19">
      <c r="A31" s="7" t="s">
        <v>1197</v>
      </c>
      <c r="B31" s="7" t="s">
        <v>195</v>
      </c>
      <c r="C31" s="8" t="s">
        <v>195</v>
      </c>
      <c r="D31" s="6" t="str">
        <f>LRTRIM(CONCATENATE(IF(SUMPRODUCT(-- ISNUMBER(SEARCH({"Auto Number"}, $B31))) &gt; 0, $B31, IF(SUMPRODUCT(-- ISNUMBER(SEARCH({"Lookup","Master-Detail"}, $B31))) &gt; 0,$B31 &amp; "(" &amp; $E31 &amp; ")",IF(SUMPRODUCT(-- ISNUMBER(SEARCH({"Formula","Roll-Up Summary"}, $B31))) &gt; 0,$B31 &amp; " (" &amp; $E31 &amp; ")",IF(SUMPRODUCT(-- ISNUMBER(SEARCH({"Content","Currency","Number","Percent","Text","URL"}, $B31))) &gt; 0,$B31 &amp; "(" &amp; $C31 &amp; ")",$B31)))), "  ", TRIM(IF($S31 = "YES", "(External ID)", "") &amp; " " &amp; IF(SUMPRODUCT(-- ISNUMBER(SEARCH({"Unique","Unique Case Insensitive"}, $R31))) &gt; 0, "(" &amp; $R31 &amp; ")", ""))))</f>
        <v>na</v>
      </c>
      <c r="E31" s="7" t="s">
        <v>195</v>
      </c>
      <c r="F31" s="7" t="s">
        <v>195</v>
      </c>
      <c r="G31" s="7" t="s">
        <v>195</v>
      </c>
      <c r="H31" s="7" t="s">
        <v>195</v>
      </c>
      <c r="I31" s="7" t="s">
        <v>195</v>
      </c>
      <c r="J31" s="7" t="s">
        <v>195</v>
      </c>
      <c r="K31" s="7" t="s">
        <v>195</v>
      </c>
      <c r="L31" s="7" t="s">
        <v>195</v>
      </c>
      <c r="M31" s="7" t="s">
        <v>28</v>
      </c>
      <c r="N31" s="7" t="s">
        <v>29</v>
      </c>
      <c r="O31" s="7" t="s">
        <v>29</v>
      </c>
      <c r="P31" s="7" t="s">
        <v>29</v>
      </c>
      <c r="Q31" s="7" t="s">
        <v>29</v>
      </c>
      <c r="R31" s="7" t="s">
        <v>29</v>
      </c>
      <c r="S31" s="7" t="s">
        <v>29</v>
      </c>
    </row>
    <row r="32" spans="1:19">
      <c r="A32" s="7" t="s">
        <v>1729</v>
      </c>
      <c r="B32" s="7" t="s">
        <v>195</v>
      </c>
      <c r="C32" s="8" t="s">
        <v>195</v>
      </c>
      <c r="D32" s="6" t="str">
        <f>LRTRIM(CONCATENATE(IF(SUMPRODUCT(-- ISNUMBER(SEARCH({"Auto Number"}, $B32))) &gt; 0, $B32, IF(SUMPRODUCT(-- ISNUMBER(SEARCH({"Lookup","Master-Detail"}, $B32))) &gt; 0,$B32 &amp; "(" &amp; $E32 &amp; ")",IF(SUMPRODUCT(-- ISNUMBER(SEARCH({"Formula","Roll-Up Summary"}, $B32))) &gt; 0,$B32 &amp; " (" &amp; $E32 &amp; ")",IF(SUMPRODUCT(-- ISNUMBER(SEARCH({"Content","Currency","Number","Percent","Text","URL"}, $B32))) &gt; 0,$B32 &amp; "(" &amp; $C32 &amp; ")",$B32)))), "  ", TRIM(IF($S32 = "YES", "(External ID)", "") &amp; " " &amp; IF(SUMPRODUCT(-- ISNUMBER(SEARCH({"Unique","Unique Case Insensitive"}, $R32))) &gt; 0, "(" &amp; $R32 &amp; ")", ""))))</f>
        <v>na</v>
      </c>
      <c r="E32" s="7" t="s">
        <v>195</v>
      </c>
      <c r="F32" s="7" t="s">
        <v>195</v>
      </c>
      <c r="G32" s="7" t="s">
        <v>195</v>
      </c>
      <c r="H32" s="7" t="s">
        <v>195</v>
      </c>
      <c r="I32" s="7" t="s">
        <v>1762</v>
      </c>
      <c r="J32" s="7" t="s">
        <v>195</v>
      </c>
      <c r="K32" s="7" t="s">
        <v>195</v>
      </c>
      <c r="L32" s="7" t="s">
        <v>195</v>
      </c>
      <c r="M32" s="7" t="s">
        <v>29</v>
      </c>
      <c r="N32" s="7" t="s">
        <v>29</v>
      </c>
      <c r="O32" s="7" t="s">
        <v>29</v>
      </c>
      <c r="P32" s="7" t="s">
        <v>29</v>
      </c>
      <c r="Q32" s="7" t="s">
        <v>29</v>
      </c>
      <c r="R32" s="7" t="s">
        <v>29</v>
      </c>
      <c r="S32" s="7" t="s">
        <v>29</v>
      </c>
    </row>
    <row r="33" spans="2:19">
      <c r="B33" s="7" t="s">
        <v>195</v>
      </c>
      <c r="C33" s="8" t="s">
        <v>195</v>
      </c>
      <c r="D33" s="6" t="str">
        <f>LRTRIM(CONCATENATE(IF(SUMPRODUCT(-- ISNUMBER(SEARCH({"Auto Number"}, $B33))) &gt; 0, $B33, IF(SUMPRODUCT(-- ISNUMBER(SEARCH({"Lookup","Master-Detail"}, $B33))) &gt; 0,$B33 &amp; "(" &amp; $E33 &amp; ")",IF(SUMPRODUCT(-- ISNUMBER(SEARCH({"Formula","Roll-Up Summary"}, $B33))) &gt; 0,$B33 &amp; " (" &amp; $E33 &amp; ")",IF(SUMPRODUCT(-- ISNUMBER(SEARCH({"Content","Currency","Number","Percent","Text","URL"}, $B33))) &gt; 0,$B33 &amp; "(" &amp; $C33 &amp; ")",$B33)))), "  ", TRIM(IF($S33 = "YES", "(External ID)", "") &amp; " " &amp; IF(SUMPRODUCT(-- ISNUMBER(SEARCH({"Unique","Unique Case Insensitive"}, $R33))) &gt; 0, "(" &amp; $R33 &amp; ")", ""))))</f>
        <v>na</v>
      </c>
      <c r="E33" s="7" t="s">
        <v>195</v>
      </c>
      <c r="F33" s="7" t="s">
        <v>195</v>
      </c>
      <c r="G33" s="7" t="s">
        <v>195</v>
      </c>
      <c r="H33" s="7" t="s">
        <v>195</v>
      </c>
      <c r="I33" s="7" t="s">
        <v>195</v>
      </c>
      <c r="J33" s="7" t="s">
        <v>195</v>
      </c>
      <c r="K33" s="7" t="s">
        <v>195</v>
      </c>
      <c r="L33" s="7" t="s">
        <v>195</v>
      </c>
      <c r="M33" s="7" t="s">
        <v>29</v>
      </c>
      <c r="N33" s="7" t="s">
        <v>29</v>
      </c>
      <c r="O33" s="7" t="s">
        <v>29</v>
      </c>
      <c r="P33" s="7" t="s">
        <v>29</v>
      </c>
      <c r="Q33" s="7" t="s">
        <v>29</v>
      </c>
      <c r="R33" s="7" t="s">
        <v>29</v>
      </c>
      <c r="S33" s="7" t="s">
        <v>29</v>
      </c>
    </row>
    <row r="34" spans="2:19">
      <c r="B34" s="7" t="s">
        <v>195</v>
      </c>
      <c r="C34" s="8" t="s">
        <v>195</v>
      </c>
      <c r="D34" s="6" t="str">
        <f>LRTRIM(CONCATENATE(IF(SUMPRODUCT(-- ISNUMBER(SEARCH({"Auto Number"}, $B34))) &gt; 0, $B34, IF(SUMPRODUCT(-- ISNUMBER(SEARCH({"Lookup","Master-Detail"}, $B34))) &gt; 0,$B34 &amp; "(" &amp; $E34 &amp; ")",IF(SUMPRODUCT(-- ISNUMBER(SEARCH({"Formula","Roll-Up Summary"}, $B34))) &gt; 0,$B34 &amp; " (" &amp; $E34 &amp; ")",IF(SUMPRODUCT(-- ISNUMBER(SEARCH({"Content","Currency","Number","Percent","Text","URL"}, $B34))) &gt; 0,$B34 &amp; "(" &amp; $C34 &amp; ")",$B34)))), "  ", TRIM(IF($S34 = "YES", "(External ID)", "") &amp; " " &amp; IF(SUMPRODUCT(-- ISNUMBER(SEARCH({"Unique","Unique Case Insensitive"}, $R34))) &gt; 0, "(" &amp; $R34 &amp; ")", ""))))</f>
        <v>na</v>
      </c>
      <c r="E34" s="7" t="s">
        <v>195</v>
      </c>
      <c r="F34" s="7" t="s">
        <v>195</v>
      </c>
      <c r="G34" s="7" t="s">
        <v>195</v>
      </c>
      <c r="H34" s="7" t="s">
        <v>195</v>
      </c>
      <c r="I34" s="7" t="s">
        <v>195</v>
      </c>
      <c r="J34" s="7" t="s">
        <v>195</v>
      </c>
      <c r="K34" s="7" t="s">
        <v>195</v>
      </c>
      <c r="L34" s="7" t="s">
        <v>195</v>
      </c>
      <c r="M34" s="7" t="s">
        <v>29</v>
      </c>
      <c r="N34" s="7" t="s">
        <v>29</v>
      </c>
      <c r="O34" s="7" t="s">
        <v>29</v>
      </c>
      <c r="P34" s="7" t="s">
        <v>29</v>
      </c>
      <c r="Q34" s="7" t="s">
        <v>29</v>
      </c>
      <c r="R34" s="7" t="s">
        <v>29</v>
      </c>
      <c r="S34" s="7" t="s">
        <v>29</v>
      </c>
    </row>
    <row r="35" spans="2:19">
      <c r="B35" s="7" t="s">
        <v>195</v>
      </c>
      <c r="C35" s="8" t="s">
        <v>195</v>
      </c>
      <c r="D35" s="6" t="str">
        <f>LRTRIM(CONCATENATE(IF(SUMPRODUCT(-- ISNUMBER(SEARCH({"Auto Number"}, $B35))) &gt; 0, $B35, IF(SUMPRODUCT(-- ISNUMBER(SEARCH({"Lookup","Master-Detail"}, $B35))) &gt; 0,$B35 &amp; "(" &amp; $E35 &amp; ")",IF(SUMPRODUCT(-- ISNUMBER(SEARCH({"Formula","Roll-Up Summary"}, $B35))) &gt; 0,$B35 &amp; " (" &amp; $E35 &amp; ")",IF(SUMPRODUCT(-- ISNUMBER(SEARCH({"Content","Currency","Number","Percent","Text","URL"}, $B35))) &gt; 0,$B35 &amp; "(" &amp; $C35 &amp; ")",$B35)))), "  ", TRIM(IF($S35 = "YES", "(External ID)", "") &amp; " " &amp; IF(SUMPRODUCT(-- ISNUMBER(SEARCH({"Unique","Unique Case Insensitive"}, $R35))) &gt; 0, "(" &amp; $R35 &amp; ")", ""))))</f>
        <v>na</v>
      </c>
      <c r="E35" s="7" t="s">
        <v>195</v>
      </c>
      <c r="F35" s="7" t="s">
        <v>195</v>
      </c>
      <c r="G35" s="7" t="s">
        <v>195</v>
      </c>
      <c r="H35" s="7" t="s">
        <v>195</v>
      </c>
      <c r="I35" s="7" t="s">
        <v>195</v>
      </c>
      <c r="J35" s="7" t="s">
        <v>195</v>
      </c>
      <c r="K35" s="7" t="s">
        <v>195</v>
      </c>
      <c r="L35" s="7" t="s">
        <v>195</v>
      </c>
      <c r="M35" s="7" t="s">
        <v>29</v>
      </c>
      <c r="N35" s="7" t="s">
        <v>29</v>
      </c>
      <c r="O35" s="7" t="s">
        <v>29</v>
      </c>
      <c r="P35" s="7" t="s">
        <v>29</v>
      </c>
      <c r="Q35" s="7" t="s">
        <v>29</v>
      </c>
      <c r="R35" s="7" t="s">
        <v>29</v>
      </c>
      <c r="S35" s="7" t="s">
        <v>29</v>
      </c>
    </row>
    <row r="36" spans="2:19">
      <c r="B36" s="7" t="s">
        <v>195</v>
      </c>
      <c r="C36" s="8" t="s">
        <v>195</v>
      </c>
      <c r="D36" s="6" t="str">
        <f>LRTRIM(CONCATENATE(IF(SUMPRODUCT(-- ISNUMBER(SEARCH({"Auto Number"}, $B36))) &gt; 0, $B36, IF(SUMPRODUCT(-- ISNUMBER(SEARCH({"Lookup","Master-Detail"}, $B36))) &gt; 0,$B36 &amp; "(" &amp; $E36 &amp; ")",IF(SUMPRODUCT(-- ISNUMBER(SEARCH({"Formula","Roll-Up Summary"}, $B36))) &gt; 0,$B36 &amp; " (" &amp; $E36 &amp; ")",IF(SUMPRODUCT(-- ISNUMBER(SEARCH({"Content","Currency","Number","Percent","Text","URL"}, $B36))) &gt; 0,$B36 &amp; "(" &amp; $C36 &amp; ")",$B36)))), "  ", TRIM(IF($S36 = "YES", "(External ID)", "") &amp; " " &amp; IF(SUMPRODUCT(-- ISNUMBER(SEARCH({"Unique","Unique Case Insensitive"}, $R36))) &gt; 0, "(" &amp; $R36 &amp; ")", ""))))</f>
        <v>na</v>
      </c>
      <c r="E36" s="7" t="s">
        <v>195</v>
      </c>
      <c r="F36" s="7" t="s">
        <v>195</v>
      </c>
      <c r="G36" s="7" t="s">
        <v>195</v>
      </c>
      <c r="H36" s="7" t="s">
        <v>195</v>
      </c>
      <c r="I36" s="7" t="s">
        <v>195</v>
      </c>
      <c r="J36" s="7" t="s">
        <v>195</v>
      </c>
      <c r="K36" s="7" t="s">
        <v>195</v>
      </c>
      <c r="L36" s="7" t="s">
        <v>195</v>
      </c>
      <c r="M36" s="7" t="s">
        <v>29</v>
      </c>
      <c r="N36" s="7" t="s">
        <v>29</v>
      </c>
      <c r="O36" s="7" t="s">
        <v>29</v>
      </c>
      <c r="P36" s="7" t="s">
        <v>29</v>
      </c>
      <c r="Q36" s="7" t="s">
        <v>29</v>
      </c>
      <c r="R36" s="7" t="s">
        <v>29</v>
      </c>
      <c r="S36" s="7" t="s">
        <v>29</v>
      </c>
    </row>
    <row r="37" spans="2:19">
      <c r="B37" s="7" t="s">
        <v>195</v>
      </c>
      <c r="C37" s="8" t="s">
        <v>195</v>
      </c>
      <c r="D37" s="6" t="str">
        <f>LRTRIM(CONCATENATE(IF(SUMPRODUCT(-- ISNUMBER(SEARCH({"Auto Number"}, $B37))) &gt; 0, $B37, IF(SUMPRODUCT(-- ISNUMBER(SEARCH({"Lookup","Master-Detail"}, $B37))) &gt; 0,$B37 &amp; "(" &amp; $E37 &amp; ")",IF(SUMPRODUCT(-- ISNUMBER(SEARCH({"Formula","Roll-Up Summary"}, $B37))) &gt; 0,$B37 &amp; " (" &amp; $E37 &amp; ")",IF(SUMPRODUCT(-- ISNUMBER(SEARCH({"Content","Currency","Number","Percent","Text","URL"}, $B37))) &gt; 0,$B37 &amp; "(" &amp; $C37 &amp; ")",$B37)))), "  ", TRIM(IF($S37 = "YES", "(External ID)", "") &amp; " " &amp; IF(SUMPRODUCT(-- ISNUMBER(SEARCH({"Unique","Unique Case Insensitive"}, $R37))) &gt; 0, "(" &amp; $R37 &amp; ")", ""))))</f>
        <v>na</v>
      </c>
      <c r="E37" s="7" t="s">
        <v>195</v>
      </c>
      <c r="F37" s="7" t="s">
        <v>195</v>
      </c>
      <c r="G37" s="7" t="s">
        <v>195</v>
      </c>
      <c r="H37" s="7" t="s">
        <v>195</v>
      </c>
      <c r="I37" s="7" t="s">
        <v>195</v>
      </c>
      <c r="J37" s="7" t="s">
        <v>195</v>
      </c>
      <c r="K37" s="7" t="s">
        <v>195</v>
      </c>
      <c r="L37" s="7" t="s">
        <v>195</v>
      </c>
      <c r="M37" s="7" t="s">
        <v>29</v>
      </c>
      <c r="N37" s="7" t="s">
        <v>29</v>
      </c>
      <c r="O37" s="7" t="s">
        <v>29</v>
      </c>
      <c r="P37" s="7" t="s">
        <v>29</v>
      </c>
      <c r="Q37" s="7" t="s">
        <v>29</v>
      </c>
      <c r="R37" s="7" t="s">
        <v>29</v>
      </c>
      <c r="S37" s="7" t="s">
        <v>29</v>
      </c>
    </row>
    <row r="38" spans="2:19">
      <c r="B38" s="7" t="s">
        <v>195</v>
      </c>
      <c r="C38" s="8" t="s">
        <v>195</v>
      </c>
      <c r="D38" s="6" t="str">
        <f>LRTRIM(CONCATENATE(IF(SUMPRODUCT(-- ISNUMBER(SEARCH({"Auto Number"}, $B38))) &gt; 0, $B38, IF(SUMPRODUCT(-- ISNUMBER(SEARCH({"Lookup","Master-Detail"}, $B38))) &gt; 0,$B38 &amp; "(" &amp; $E38 &amp; ")",IF(SUMPRODUCT(-- ISNUMBER(SEARCH({"Formula","Roll-Up Summary"}, $B38))) &gt; 0,$B38 &amp; " (" &amp; $E38 &amp; ")",IF(SUMPRODUCT(-- ISNUMBER(SEARCH({"Content","Currency","Number","Percent","Text","URL"}, $B38))) &gt; 0,$B38 &amp; "(" &amp; $C38 &amp; ")",$B38)))), "  ", TRIM(IF($S38 = "YES", "(External ID)", "") &amp; " " &amp; IF(SUMPRODUCT(-- ISNUMBER(SEARCH({"Unique","Unique Case Insensitive"}, $R38))) &gt; 0, "(" &amp; $R38 &amp; ")", ""))))</f>
        <v>na</v>
      </c>
      <c r="E38" s="7" t="s">
        <v>195</v>
      </c>
      <c r="F38" s="7" t="s">
        <v>195</v>
      </c>
      <c r="G38" s="7" t="s">
        <v>195</v>
      </c>
      <c r="H38" s="7" t="s">
        <v>195</v>
      </c>
      <c r="I38" s="7" t="s">
        <v>195</v>
      </c>
      <c r="J38" s="7" t="s">
        <v>195</v>
      </c>
      <c r="K38" s="7" t="s">
        <v>195</v>
      </c>
      <c r="L38" s="7" t="s">
        <v>195</v>
      </c>
      <c r="M38" s="7" t="s">
        <v>29</v>
      </c>
      <c r="N38" s="7" t="s">
        <v>29</v>
      </c>
      <c r="O38" s="7" t="s">
        <v>29</v>
      </c>
      <c r="P38" s="7" t="s">
        <v>29</v>
      </c>
      <c r="Q38" s="7" t="s">
        <v>29</v>
      </c>
      <c r="R38" s="7" t="s">
        <v>29</v>
      </c>
      <c r="S38" s="7" t="s">
        <v>29</v>
      </c>
    </row>
    <row r="39" spans="2:19">
      <c r="B39" s="7" t="s">
        <v>195</v>
      </c>
      <c r="C39" s="8" t="s">
        <v>195</v>
      </c>
      <c r="D39" s="6" t="str">
        <f>LRTRIM(CONCATENATE(IF(SUMPRODUCT(-- ISNUMBER(SEARCH({"Auto Number"}, $B39))) &gt; 0, $B39, IF(SUMPRODUCT(-- ISNUMBER(SEARCH({"Lookup","Master-Detail"}, $B39))) &gt; 0,$B39 &amp; "(" &amp; $E39 &amp; ")",IF(SUMPRODUCT(-- ISNUMBER(SEARCH({"Formula","Roll-Up Summary"}, $B39))) &gt; 0,$B39 &amp; " (" &amp; $E39 &amp; ")",IF(SUMPRODUCT(-- ISNUMBER(SEARCH({"Content","Currency","Number","Percent","Text","URL"}, $B39))) &gt; 0,$B39 &amp; "(" &amp; $C39 &amp; ")",$B39)))), "  ", TRIM(IF($S39 = "YES", "(External ID)", "") &amp; " " &amp; IF(SUMPRODUCT(-- ISNUMBER(SEARCH({"Unique","Unique Case Insensitive"}, $R39))) &gt; 0, "(" &amp; $R39 &amp; ")", ""))))</f>
        <v>na</v>
      </c>
      <c r="E39" s="7" t="s">
        <v>195</v>
      </c>
      <c r="F39" s="7" t="s">
        <v>195</v>
      </c>
      <c r="G39" s="7" t="s">
        <v>195</v>
      </c>
      <c r="H39" s="7" t="s">
        <v>195</v>
      </c>
      <c r="I39" s="7" t="s">
        <v>195</v>
      </c>
      <c r="J39" s="7" t="s">
        <v>195</v>
      </c>
      <c r="K39" s="7" t="s">
        <v>195</v>
      </c>
      <c r="L39" s="7" t="s">
        <v>195</v>
      </c>
      <c r="M39" s="7" t="s">
        <v>29</v>
      </c>
      <c r="N39" s="7" t="s">
        <v>29</v>
      </c>
      <c r="O39" s="7" t="s">
        <v>29</v>
      </c>
      <c r="P39" s="7" t="s">
        <v>29</v>
      </c>
      <c r="Q39" s="7" t="s">
        <v>29</v>
      </c>
      <c r="R39" s="7" t="s">
        <v>29</v>
      </c>
      <c r="S39" s="7" t="s">
        <v>29</v>
      </c>
    </row>
    <row r="40" spans="2:19">
      <c r="B40" s="7" t="s">
        <v>195</v>
      </c>
      <c r="C40" s="8" t="s">
        <v>195</v>
      </c>
      <c r="D40" s="6" t="str">
        <f>LRTRIM(CONCATENATE(IF(SUMPRODUCT(-- ISNUMBER(SEARCH({"Auto Number"}, $B40))) &gt; 0, $B40, IF(SUMPRODUCT(-- ISNUMBER(SEARCH({"Lookup","Master-Detail"}, $B40))) &gt; 0,$B40 &amp; "(" &amp; $E40 &amp; ")",IF(SUMPRODUCT(-- ISNUMBER(SEARCH({"Formula","Roll-Up Summary"}, $B40))) &gt; 0,$B40 &amp; " (" &amp; $E40 &amp; ")",IF(SUMPRODUCT(-- ISNUMBER(SEARCH({"Content","Currency","Number","Percent","Text","URL"}, $B40))) &gt; 0,$B40 &amp; "(" &amp; $C40 &amp; ")",$B40)))), "  ", TRIM(IF($S40 = "YES", "(External ID)", "") &amp; " " &amp; IF(SUMPRODUCT(-- ISNUMBER(SEARCH({"Unique","Unique Case Insensitive"}, $R40))) &gt; 0, "(" &amp; $R40 &amp; ")", ""))))</f>
        <v>na</v>
      </c>
      <c r="E40" s="7" t="s">
        <v>195</v>
      </c>
      <c r="F40" s="7" t="s">
        <v>195</v>
      </c>
      <c r="G40" s="7" t="s">
        <v>195</v>
      </c>
      <c r="H40" s="7" t="s">
        <v>195</v>
      </c>
      <c r="I40" s="7" t="s">
        <v>195</v>
      </c>
      <c r="J40" s="7" t="s">
        <v>195</v>
      </c>
      <c r="K40" s="7" t="s">
        <v>195</v>
      </c>
      <c r="L40" s="7" t="s">
        <v>195</v>
      </c>
      <c r="M40" s="7" t="s">
        <v>29</v>
      </c>
      <c r="N40" s="7" t="s">
        <v>29</v>
      </c>
      <c r="O40" s="7" t="s">
        <v>29</v>
      </c>
      <c r="P40" s="7" t="s">
        <v>29</v>
      </c>
      <c r="Q40" s="7" t="s">
        <v>29</v>
      </c>
      <c r="R40" s="7" t="s">
        <v>29</v>
      </c>
      <c r="S40" s="7" t="s">
        <v>29</v>
      </c>
    </row>
    <row r="41" spans="2:19">
      <c r="B41" s="7" t="s">
        <v>195</v>
      </c>
      <c r="C41" s="8" t="s">
        <v>195</v>
      </c>
      <c r="D41" s="6" t="str">
        <f>LRTRIM(CONCATENATE(IF(SUMPRODUCT(-- ISNUMBER(SEARCH({"Auto Number"}, $B41))) &gt; 0, $B41, IF(SUMPRODUCT(-- ISNUMBER(SEARCH({"Lookup","Master-Detail"}, $B41))) &gt; 0,$B41 &amp; "(" &amp; $E41 &amp; ")",IF(SUMPRODUCT(-- ISNUMBER(SEARCH({"Formula","Roll-Up Summary"}, $B41))) &gt; 0,$B41 &amp; " (" &amp; $E41 &amp; ")",IF(SUMPRODUCT(-- ISNUMBER(SEARCH({"Content","Currency","Number","Percent","Text","URL"}, $B41))) &gt; 0,$B41 &amp; "(" &amp; $C41 &amp; ")",$B41)))), "  ", TRIM(IF($S41 = "YES", "(External ID)", "") &amp; " " &amp; IF(SUMPRODUCT(-- ISNUMBER(SEARCH({"Unique","Unique Case Insensitive"}, $R41))) &gt; 0, "(" &amp; $R41 &amp; ")", ""))))</f>
        <v>na</v>
      </c>
      <c r="E41" s="7" t="s">
        <v>195</v>
      </c>
      <c r="F41" s="7" t="s">
        <v>195</v>
      </c>
      <c r="G41" s="7" t="s">
        <v>195</v>
      </c>
      <c r="H41" s="7" t="s">
        <v>195</v>
      </c>
      <c r="I41" s="7" t="s">
        <v>195</v>
      </c>
      <c r="J41" s="7" t="s">
        <v>195</v>
      </c>
      <c r="K41" s="7" t="s">
        <v>195</v>
      </c>
      <c r="L41" s="7" t="s">
        <v>195</v>
      </c>
      <c r="M41" s="7" t="s">
        <v>29</v>
      </c>
      <c r="N41" s="7" t="s">
        <v>29</v>
      </c>
      <c r="O41" s="7" t="s">
        <v>29</v>
      </c>
      <c r="P41" s="7" t="s">
        <v>29</v>
      </c>
      <c r="Q41" s="7" t="s">
        <v>29</v>
      </c>
      <c r="R41" s="7" t="s">
        <v>29</v>
      </c>
      <c r="S41" s="7" t="s">
        <v>29</v>
      </c>
    </row>
    <row r="42" spans="2:19">
      <c r="B42" s="7" t="s">
        <v>195</v>
      </c>
      <c r="C42" s="8" t="s">
        <v>195</v>
      </c>
      <c r="D42" s="6" t="str">
        <f>LRTRIM(CONCATENATE(IF(SUMPRODUCT(-- ISNUMBER(SEARCH({"Auto Number"}, $B42))) &gt; 0, $B42, IF(SUMPRODUCT(-- ISNUMBER(SEARCH({"Lookup","Master-Detail"}, $B42))) &gt; 0,$B42 &amp; "(" &amp; $E42 &amp; ")",IF(SUMPRODUCT(-- ISNUMBER(SEARCH({"Formula","Roll-Up Summary"}, $B42))) &gt; 0,$B42 &amp; " (" &amp; $E42 &amp; ")",IF(SUMPRODUCT(-- ISNUMBER(SEARCH({"Content","Currency","Number","Percent","Text","URL"}, $B42))) &gt; 0,$B42 &amp; "(" &amp; $C42 &amp; ")",$B42)))), "  ", TRIM(IF($S42 = "YES", "(External ID)", "") &amp; " " &amp; IF(SUMPRODUCT(-- ISNUMBER(SEARCH({"Unique","Unique Case Insensitive"}, $R42))) &gt; 0, "(" &amp; $R42 &amp; ")", ""))))</f>
        <v>na</v>
      </c>
      <c r="E42" s="7" t="s">
        <v>195</v>
      </c>
      <c r="F42" s="7" t="s">
        <v>195</v>
      </c>
      <c r="G42" s="7" t="s">
        <v>195</v>
      </c>
      <c r="H42" s="7" t="s">
        <v>195</v>
      </c>
      <c r="I42" s="7" t="s">
        <v>195</v>
      </c>
      <c r="J42" s="7" t="s">
        <v>195</v>
      </c>
      <c r="K42" s="7" t="s">
        <v>195</v>
      </c>
      <c r="L42" s="7" t="s">
        <v>195</v>
      </c>
      <c r="M42" s="7" t="s">
        <v>29</v>
      </c>
      <c r="N42" s="7" t="s">
        <v>29</v>
      </c>
      <c r="O42" s="7" t="s">
        <v>29</v>
      </c>
      <c r="P42" s="7" t="s">
        <v>29</v>
      </c>
      <c r="Q42" s="7" t="s">
        <v>29</v>
      </c>
      <c r="R42" s="7" t="s">
        <v>29</v>
      </c>
      <c r="S42" s="7" t="s">
        <v>29</v>
      </c>
    </row>
    <row r="43" spans="2:19">
      <c r="B43" s="7" t="s">
        <v>195</v>
      </c>
      <c r="C43" s="8" t="s">
        <v>195</v>
      </c>
      <c r="D43" s="6" t="str">
        <f>LRTRIM(CONCATENATE(IF(SUMPRODUCT(-- ISNUMBER(SEARCH({"Auto Number"}, $B43))) &gt; 0, $B43, IF(SUMPRODUCT(-- ISNUMBER(SEARCH({"Lookup","Master-Detail"}, $B43))) &gt; 0,$B43 &amp; "(" &amp; $E43 &amp; ")",IF(SUMPRODUCT(-- ISNUMBER(SEARCH({"Formula","Roll-Up Summary"}, $B43))) &gt; 0,$B43 &amp; " (" &amp; $E43 &amp; ")",IF(SUMPRODUCT(-- ISNUMBER(SEARCH({"Content","Currency","Number","Percent","Text","URL"}, $B43))) &gt; 0,$B43 &amp; "(" &amp; $C43 &amp; ")",$B43)))), "  ", TRIM(IF($S43 = "YES", "(External ID)", "") &amp; " " &amp; IF(SUMPRODUCT(-- ISNUMBER(SEARCH({"Unique","Unique Case Insensitive"}, $R43))) &gt; 0, "(" &amp; $R43 &amp; ")", ""))))</f>
        <v>na</v>
      </c>
      <c r="E43" s="7" t="s">
        <v>195</v>
      </c>
      <c r="F43" s="7" t="s">
        <v>195</v>
      </c>
      <c r="G43" s="7" t="s">
        <v>195</v>
      </c>
      <c r="H43" s="7" t="s">
        <v>195</v>
      </c>
      <c r="I43" s="7" t="s">
        <v>195</v>
      </c>
      <c r="J43" s="7" t="s">
        <v>195</v>
      </c>
      <c r="K43" s="7" t="s">
        <v>195</v>
      </c>
      <c r="L43" s="7" t="s">
        <v>195</v>
      </c>
      <c r="M43" s="7" t="s">
        <v>29</v>
      </c>
      <c r="N43" s="7" t="s">
        <v>29</v>
      </c>
      <c r="O43" s="7" t="s">
        <v>29</v>
      </c>
      <c r="P43" s="7" t="s">
        <v>29</v>
      </c>
      <c r="Q43" s="7" t="s">
        <v>29</v>
      </c>
      <c r="R43" s="7" t="s">
        <v>29</v>
      </c>
      <c r="S43" s="7" t="s">
        <v>29</v>
      </c>
    </row>
    <row r="44" spans="2:19">
      <c r="B44" s="7" t="s">
        <v>195</v>
      </c>
      <c r="C44" s="8" t="s">
        <v>195</v>
      </c>
      <c r="D44" s="6" t="str">
        <f>LRTRIM(CONCATENATE(IF(SUMPRODUCT(-- ISNUMBER(SEARCH({"Auto Number"}, $B44))) &gt; 0, $B44, IF(SUMPRODUCT(-- ISNUMBER(SEARCH({"Lookup","Master-Detail"}, $B44))) &gt; 0,$B44 &amp; "(" &amp; $E44 &amp; ")",IF(SUMPRODUCT(-- ISNUMBER(SEARCH({"Formula","Roll-Up Summary"}, $B44))) &gt; 0,$B44 &amp; " (" &amp; $E44 &amp; ")",IF(SUMPRODUCT(-- ISNUMBER(SEARCH({"Content","Currency","Number","Percent","Text","URL"}, $B44))) &gt; 0,$B44 &amp; "(" &amp; $C44 &amp; ")",$B44)))), "  ", TRIM(IF($S44 = "YES", "(External ID)", "") &amp; " " &amp; IF(SUMPRODUCT(-- ISNUMBER(SEARCH({"Unique","Unique Case Insensitive"}, $R44))) &gt; 0, "(" &amp; $R44 &amp; ")", ""))))</f>
        <v>na</v>
      </c>
      <c r="E44" s="7" t="s">
        <v>195</v>
      </c>
      <c r="F44" s="7" t="s">
        <v>195</v>
      </c>
      <c r="G44" s="7" t="s">
        <v>195</v>
      </c>
      <c r="H44" s="7" t="s">
        <v>195</v>
      </c>
      <c r="I44" s="7" t="s">
        <v>195</v>
      </c>
      <c r="J44" s="7" t="s">
        <v>195</v>
      </c>
      <c r="K44" s="7" t="s">
        <v>195</v>
      </c>
      <c r="L44" s="7" t="s">
        <v>195</v>
      </c>
      <c r="M44" s="7" t="s">
        <v>29</v>
      </c>
      <c r="N44" s="7" t="s">
        <v>29</v>
      </c>
      <c r="O44" s="7" t="s">
        <v>29</v>
      </c>
      <c r="P44" s="7" t="s">
        <v>29</v>
      </c>
      <c r="Q44" s="7" t="s">
        <v>29</v>
      </c>
      <c r="R44" s="7" t="s">
        <v>29</v>
      </c>
      <c r="S44" s="7" t="s">
        <v>29</v>
      </c>
    </row>
    <row r="45" spans="2:19">
      <c r="B45" s="7" t="s">
        <v>195</v>
      </c>
      <c r="C45" s="8" t="s">
        <v>195</v>
      </c>
      <c r="D45" s="6" t="str">
        <f>LRTRIM(CONCATENATE(IF(SUMPRODUCT(-- ISNUMBER(SEARCH({"Auto Number"}, $B45))) &gt; 0, $B45, IF(SUMPRODUCT(-- ISNUMBER(SEARCH({"Lookup","Master-Detail"}, $B45))) &gt; 0,$B45 &amp; "(" &amp; $E45 &amp; ")",IF(SUMPRODUCT(-- ISNUMBER(SEARCH({"Formula","Roll-Up Summary"}, $B45))) &gt; 0,$B45 &amp; " (" &amp; $E45 &amp; ")",IF(SUMPRODUCT(-- ISNUMBER(SEARCH({"Content","Currency","Number","Percent","Text","URL"}, $B45))) &gt; 0,$B45 &amp; "(" &amp; $C45 &amp; ")",$B45)))), "  ", TRIM(IF($S45 = "YES", "(External ID)", "") &amp; " " &amp; IF(SUMPRODUCT(-- ISNUMBER(SEARCH({"Unique","Unique Case Insensitive"}, $R45))) &gt; 0, "(" &amp; $R45 &amp; ")", ""))))</f>
        <v>na</v>
      </c>
      <c r="E45" s="7" t="s">
        <v>195</v>
      </c>
      <c r="F45" s="7" t="s">
        <v>195</v>
      </c>
      <c r="G45" s="7" t="s">
        <v>195</v>
      </c>
      <c r="H45" s="7" t="s">
        <v>195</v>
      </c>
      <c r="I45" s="7" t="s">
        <v>195</v>
      </c>
      <c r="J45" s="7" t="s">
        <v>195</v>
      </c>
      <c r="K45" s="7" t="s">
        <v>195</v>
      </c>
      <c r="L45" s="7" t="s">
        <v>195</v>
      </c>
      <c r="M45" s="7" t="s">
        <v>29</v>
      </c>
      <c r="N45" s="7" t="s">
        <v>29</v>
      </c>
      <c r="O45" s="7" t="s">
        <v>29</v>
      </c>
      <c r="P45" s="7" t="s">
        <v>29</v>
      </c>
      <c r="Q45" s="7" t="s">
        <v>29</v>
      </c>
      <c r="R45" s="7" t="s">
        <v>29</v>
      </c>
      <c r="S45" s="7" t="s">
        <v>29</v>
      </c>
    </row>
    <row r="46" spans="2:19">
      <c r="B46" s="7" t="s">
        <v>195</v>
      </c>
      <c r="C46" s="8" t="s">
        <v>195</v>
      </c>
      <c r="D46" s="6" t="str">
        <f>LRTRIM(CONCATENATE(IF(SUMPRODUCT(-- ISNUMBER(SEARCH({"Auto Number"}, $B46))) &gt; 0, $B46, IF(SUMPRODUCT(-- ISNUMBER(SEARCH({"Lookup","Master-Detail"}, $B46))) &gt; 0,$B46 &amp; "(" &amp; $E46 &amp; ")",IF(SUMPRODUCT(-- ISNUMBER(SEARCH({"Formula","Roll-Up Summary"}, $B46))) &gt; 0,$B46 &amp; " (" &amp; $E46 &amp; ")",IF(SUMPRODUCT(-- ISNUMBER(SEARCH({"Content","Currency","Number","Percent","Text","URL"}, $B46))) &gt; 0,$B46 &amp; "(" &amp; $C46 &amp; ")",$B46)))), "  ", TRIM(IF($S46 = "YES", "(External ID)", "") &amp; " " &amp; IF(SUMPRODUCT(-- ISNUMBER(SEARCH({"Unique","Unique Case Insensitive"}, $R46))) &gt; 0, "(" &amp; $R46 &amp; ")", ""))))</f>
        <v>na</v>
      </c>
      <c r="E46" s="7" t="s">
        <v>195</v>
      </c>
      <c r="F46" s="7" t="s">
        <v>195</v>
      </c>
      <c r="G46" s="7" t="s">
        <v>195</v>
      </c>
      <c r="H46" s="7" t="s">
        <v>195</v>
      </c>
      <c r="I46" s="7" t="s">
        <v>195</v>
      </c>
      <c r="J46" s="7" t="s">
        <v>195</v>
      </c>
      <c r="K46" s="7" t="s">
        <v>195</v>
      </c>
      <c r="L46" s="7" t="s">
        <v>195</v>
      </c>
      <c r="M46" s="7" t="s">
        <v>29</v>
      </c>
      <c r="N46" s="7" t="s">
        <v>29</v>
      </c>
      <c r="O46" s="7" t="s">
        <v>29</v>
      </c>
      <c r="P46" s="7" t="s">
        <v>29</v>
      </c>
      <c r="Q46" s="7" t="s">
        <v>29</v>
      </c>
      <c r="R46" s="7" t="s">
        <v>29</v>
      </c>
      <c r="S46" s="7" t="s">
        <v>29</v>
      </c>
    </row>
    <row r="47" spans="2:19">
      <c r="B47" s="7" t="s">
        <v>195</v>
      </c>
      <c r="C47" s="8" t="s">
        <v>195</v>
      </c>
      <c r="D47" s="6" t="str">
        <f>LRTRIM(CONCATENATE(IF(SUMPRODUCT(-- ISNUMBER(SEARCH({"Auto Number"}, $B47))) &gt; 0, $B47, IF(SUMPRODUCT(-- ISNUMBER(SEARCH({"Lookup","Master-Detail"}, $B47))) &gt; 0,$B47 &amp; "(" &amp; $E47 &amp; ")",IF(SUMPRODUCT(-- ISNUMBER(SEARCH({"Formula","Roll-Up Summary"}, $B47))) &gt; 0,$B47 &amp; " (" &amp; $E47 &amp; ")",IF(SUMPRODUCT(-- ISNUMBER(SEARCH({"Content","Currency","Number","Percent","Text","URL"}, $B47))) &gt; 0,$B47 &amp; "(" &amp; $C47 &amp; ")",$B47)))), "  ", TRIM(IF($S47 = "YES", "(External ID)", "") &amp; " " &amp; IF(SUMPRODUCT(-- ISNUMBER(SEARCH({"Unique","Unique Case Insensitive"}, $R47))) &gt; 0, "(" &amp; $R47 &amp; ")", ""))))</f>
        <v>na</v>
      </c>
      <c r="E47" s="7" t="s">
        <v>195</v>
      </c>
      <c r="F47" s="7" t="s">
        <v>195</v>
      </c>
      <c r="G47" s="7" t="s">
        <v>195</v>
      </c>
      <c r="H47" s="7" t="s">
        <v>195</v>
      </c>
      <c r="I47" s="7" t="s">
        <v>195</v>
      </c>
      <c r="J47" s="7" t="s">
        <v>195</v>
      </c>
      <c r="K47" s="7" t="s">
        <v>195</v>
      </c>
      <c r="L47" s="7" t="s">
        <v>195</v>
      </c>
      <c r="M47" s="7" t="s">
        <v>29</v>
      </c>
      <c r="N47" s="7" t="s">
        <v>29</v>
      </c>
      <c r="O47" s="7" t="s">
        <v>29</v>
      </c>
      <c r="P47" s="7" t="s">
        <v>29</v>
      </c>
      <c r="Q47" s="7" t="s">
        <v>29</v>
      </c>
      <c r="R47" s="7" t="s">
        <v>29</v>
      </c>
      <c r="S47" s="7" t="s">
        <v>29</v>
      </c>
    </row>
    <row r="48" spans="2:19">
      <c r="B48" s="7" t="s">
        <v>195</v>
      </c>
      <c r="C48" s="8" t="s">
        <v>195</v>
      </c>
      <c r="D48" s="6" t="str">
        <f>LRTRIM(CONCATENATE(IF(SUMPRODUCT(-- ISNUMBER(SEARCH({"Auto Number"}, $B48))) &gt; 0, $B48, IF(SUMPRODUCT(-- ISNUMBER(SEARCH({"Lookup","Master-Detail"}, $B48))) &gt; 0,$B48 &amp; "(" &amp; $E48 &amp; ")",IF(SUMPRODUCT(-- ISNUMBER(SEARCH({"Formula","Roll-Up Summary"}, $B48))) &gt; 0,$B48 &amp; " (" &amp; $E48 &amp; ")",IF(SUMPRODUCT(-- ISNUMBER(SEARCH({"Content","Currency","Number","Percent","Text","URL"}, $B48))) &gt; 0,$B48 &amp; "(" &amp; $C48 &amp; ")",$B48)))), "  ", TRIM(IF($S48 = "YES", "(External ID)", "") &amp; " " &amp; IF(SUMPRODUCT(-- ISNUMBER(SEARCH({"Unique","Unique Case Insensitive"}, $R48))) &gt; 0, "(" &amp; $R48 &amp; ")", ""))))</f>
        <v>na</v>
      </c>
      <c r="E48" s="7" t="s">
        <v>195</v>
      </c>
      <c r="F48" s="7" t="s">
        <v>195</v>
      </c>
      <c r="G48" s="7" t="s">
        <v>195</v>
      </c>
      <c r="H48" s="7" t="s">
        <v>195</v>
      </c>
      <c r="I48" s="7" t="s">
        <v>195</v>
      </c>
      <c r="J48" s="7" t="s">
        <v>195</v>
      </c>
      <c r="K48" s="7" t="s">
        <v>195</v>
      </c>
      <c r="L48" s="7" t="s">
        <v>195</v>
      </c>
      <c r="M48" s="7" t="s">
        <v>29</v>
      </c>
      <c r="N48" s="7" t="s">
        <v>29</v>
      </c>
      <c r="O48" s="7" t="s">
        <v>29</v>
      </c>
      <c r="P48" s="7" t="s">
        <v>29</v>
      </c>
      <c r="Q48" s="7" t="s">
        <v>29</v>
      </c>
      <c r="R48" s="7" t="s">
        <v>29</v>
      </c>
      <c r="S48" s="7" t="s">
        <v>29</v>
      </c>
    </row>
    <row r="49" spans="2:19">
      <c r="B49" s="7" t="s">
        <v>195</v>
      </c>
      <c r="C49" s="8" t="s">
        <v>195</v>
      </c>
      <c r="D49" s="6" t="str">
        <f>LRTRIM(CONCATENATE(IF(SUMPRODUCT(-- ISNUMBER(SEARCH({"Auto Number"}, $B49))) &gt; 0, $B49, IF(SUMPRODUCT(-- ISNUMBER(SEARCH({"Lookup","Master-Detail"}, $B49))) &gt; 0,$B49 &amp; "(" &amp; $E49 &amp; ")",IF(SUMPRODUCT(-- ISNUMBER(SEARCH({"Formula","Roll-Up Summary"}, $B49))) &gt; 0,$B49 &amp; " (" &amp; $E49 &amp; ")",IF(SUMPRODUCT(-- ISNUMBER(SEARCH({"Content","Currency","Number","Percent","Text","URL"}, $B49))) &gt; 0,$B49 &amp; "(" &amp; $C49 &amp; ")",$B49)))), "  ", TRIM(IF($S49 = "YES", "(External ID)", "") &amp; " " &amp; IF(SUMPRODUCT(-- ISNUMBER(SEARCH({"Unique","Unique Case Insensitive"}, $R49))) &gt; 0, "(" &amp; $R49 &amp; ")", ""))))</f>
        <v>na</v>
      </c>
      <c r="E49" s="7" t="s">
        <v>195</v>
      </c>
      <c r="F49" s="7" t="s">
        <v>195</v>
      </c>
      <c r="G49" s="7" t="s">
        <v>195</v>
      </c>
      <c r="H49" s="7" t="s">
        <v>195</v>
      </c>
      <c r="I49" s="7" t="s">
        <v>195</v>
      </c>
      <c r="J49" s="7" t="s">
        <v>195</v>
      </c>
      <c r="K49" s="7" t="s">
        <v>195</v>
      </c>
      <c r="L49" s="7" t="s">
        <v>195</v>
      </c>
      <c r="M49" s="7" t="s">
        <v>29</v>
      </c>
      <c r="N49" s="7" t="s">
        <v>29</v>
      </c>
      <c r="O49" s="7" t="s">
        <v>29</v>
      </c>
      <c r="P49" s="7" t="s">
        <v>29</v>
      </c>
      <c r="Q49" s="7" t="s">
        <v>29</v>
      </c>
      <c r="R49" s="7" t="s">
        <v>29</v>
      </c>
      <c r="S49" s="7" t="s">
        <v>29</v>
      </c>
    </row>
    <row r="50" spans="2:19">
      <c r="B50" s="7" t="s">
        <v>195</v>
      </c>
      <c r="C50" s="8" t="s">
        <v>195</v>
      </c>
      <c r="D50" s="6" t="str">
        <f>LRTRIM(CONCATENATE(IF(SUMPRODUCT(-- ISNUMBER(SEARCH({"Auto Number"}, $B50))) &gt; 0, $B50, IF(SUMPRODUCT(-- ISNUMBER(SEARCH({"Lookup","Master-Detail"}, $B50))) &gt; 0,$B50 &amp; "(" &amp; $E50 &amp; ")",IF(SUMPRODUCT(-- ISNUMBER(SEARCH({"Formula","Roll-Up Summary"}, $B50))) &gt; 0,$B50 &amp; " (" &amp; $E50 &amp; ")",IF(SUMPRODUCT(-- ISNUMBER(SEARCH({"Content","Currency","Number","Percent","Text","URL"}, $B50))) &gt; 0,$B50 &amp; "(" &amp; $C50 &amp; ")",$B50)))), "  ", TRIM(IF($S50 = "YES", "(External ID)", "") &amp; " " &amp; IF(SUMPRODUCT(-- ISNUMBER(SEARCH({"Unique","Unique Case Insensitive"}, $R50))) &gt; 0, "(" &amp; $R50 &amp; ")", ""))))</f>
        <v>na</v>
      </c>
      <c r="E50" s="7" t="s">
        <v>195</v>
      </c>
      <c r="F50" s="7" t="s">
        <v>195</v>
      </c>
      <c r="G50" s="7" t="s">
        <v>195</v>
      </c>
      <c r="H50" s="7" t="s">
        <v>195</v>
      </c>
      <c r="I50" s="7" t="s">
        <v>195</v>
      </c>
      <c r="J50" s="7" t="s">
        <v>195</v>
      </c>
      <c r="K50" s="7" t="s">
        <v>195</v>
      </c>
      <c r="L50" s="7" t="s">
        <v>195</v>
      </c>
      <c r="M50" s="7" t="s">
        <v>29</v>
      </c>
      <c r="N50" s="7" t="s">
        <v>29</v>
      </c>
      <c r="O50" s="7" t="s">
        <v>29</v>
      </c>
      <c r="P50" s="7" t="s">
        <v>29</v>
      </c>
      <c r="Q50" s="7" t="s">
        <v>29</v>
      </c>
      <c r="R50" s="7" t="s">
        <v>29</v>
      </c>
      <c r="S50" s="7" t="s">
        <v>29</v>
      </c>
    </row>
    <row r="51" spans="2:19">
      <c r="B51" s="7" t="s">
        <v>195</v>
      </c>
      <c r="C51" s="8" t="s">
        <v>195</v>
      </c>
      <c r="D51" s="6" t="str">
        <f>LRTRIM(CONCATENATE(IF(SUMPRODUCT(-- ISNUMBER(SEARCH({"Auto Number"}, $B51))) &gt; 0, $B51, IF(SUMPRODUCT(-- ISNUMBER(SEARCH({"Lookup","Master-Detail"}, $B51))) &gt; 0,$B51 &amp; "(" &amp; $E51 &amp; ")",IF(SUMPRODUCT(-- ISNUMBER(SEARCH({"Formula","Roll-Up Summary"}, $B51))) &gt; 0,$B51 &amp; " (" &amp; $E51 &amp; ")",IF(SUMPRODUCT(-- ISNUMBER(SEARCH({"Content","Currency","Number","Percent","Text","URL"}, $B51))) &gt; 0,$B51 &amp; "(" &amp; $C51 &amp; ")",$B51)))), "  ", TRIM(IF($S51 = "YES", "(External ID)", "") &amp; " " &amp; IF(SUMPRODUCT(-- ISNUMBER(SEARCH({"Unique","Unique Case Insensitive"}, $R51))) &gt; 0, "(" &amp; $R51 &amp; ")", ""))))</f>
        <v>na</v>
      </c>
      <c r="E51" s="7" t="s">
        <v>195</v>
      </c>
      <c r="F51" s="7" t="s">
        <v>195</v>
      </c>
      <c r="G51" s="7" t="s">
        <v>195</v>
      </c>
      <c r="H51" s="7" t="s">
        <v>195</v>
      </c>
      <c r="I51" s="7" t="s">
        <v>195</v>
      </c>
      <c r="J51" s="7" t="s">
        <v>195</v>
      </c>
      <c r="K51" s="7" t="s">
        <v>195</v>
      </c>
      <c r="L51" s="7" t="s">
        <v>195</v>
      </c>
      <c r="M51" s="7" t="s">
        <v>29</v>
      </c>
      <c r="N51" s="7" t="s">
        <v>29</v>
      </c>
      <c r="O51" s="7" t="s">
        <v>29</v>
      </c>
      <c r="P51" s="7" t="s">
        <v>29</v>
      </c>
      <c r="Q51" s="7" t="s">
        <v>29</v>
      </c>
      <c r="R51" s="7" t="s">
        <v>29</v>
      </c>
      <c r="S51" s="7" t="s">
        <v>29</v>
      </c>
    </row>
    <row r="52" spans="2:19">
      <c r="B52" s="7" t="s">
        <v>195</v>
      </c>
      <c r="C52" s="8" t="s">
        <v>195</v>
      </c>
      <c r="D52" s="6" t="str">
        <f>LRTRIM(CONCATENATE(IF(SUMPRODUCT(-- ISNUMBER(SEARCH({"Auto Number"}, $B52))) &gt; 0, $B52, IF(SUMPRODUCT(-- ISNUMBER(SEARCH({"Lookup","Master-Detail"}, $B52))) &gt; 0,$B52 &amp; "(" &amp; $E52 &amp; ")",IF(SUMPRODUCT(-- ISNUMBER(SEARCH({"Formula","Roll-Up Summary"}, $B52))) &gt; 0,$B52 &amp; " (" &amp; $E52 &amp; ")",IF(SUMPRODUCT(-- ISNUMBER(SEARCH({"Content","Currency","Number","Percent","Text","URL"}, $B52))) &gt; 0,$B52 &amp; "(" &amp; $C52 &amp; ")",$B52)))), "  ", TRIM(IF($S52 = "YES", "(External ID)", "") &amp; " " &amp; IF(SUMPRODUCT(-- ISNUMBER(SEARCH({"Unique","Unique Case Insensitive"}, $R52))) &gt; 0, "(" &amp; $R52 &amp; ")", ""))))</f>
        <v>na</v>
      </c>
      <c r="E52" s="7" t="s">
        <v>195</v>
      </c>
      <c r="F52" s="7" t="s">
        <v>195</v>
      </c>
      <c r="G52" s="7" t="s">
        <v>195</v>
      </c>
      <c r="H52" s="7" t="s">
        <v>195</v>
      </c>
      <c r="I52" s="7" t="s">
        <v>195</v>
      </c>
      <c r="J52" s="7" t="s">
        <v>195</v>
      </c>
      <c r="K52" s="7" t="s">
        <v>195</v>
      </c>
      <c r="L52" s="7" t="s">
        <v>195</v>
      </c>
      <c r="M52" s="7" t="s">
        <v>29</v>
      </c>
      <c r="N52" s="7" t="s">
        <v>29</v>
      </c>
      <c r="O52" s="7" t="s">
        <v>29</v>
      </c>
      <c r="P52" s="7" t="s">
        <v>29</v>
      </c>
      <c r="Q52" s="7" t="s">
        <v>29</v>
      </c>
      <c r="R52" s="7" t="s">
        <v>29</v>
      </c>
      <c r="S52" s="7" t="s">
        <v>29</v>
      </c>
    </row>
    <row r="53" spans="2:19">
      <c r="B53" s="7" t="s">
        <v>195</v>
      </c>
      <c r="C53" s="8" t="s">
        <v>195</v>
      </c>
      <c r="D53" s="6" t="str">
        <f>LRTRIM(CONCATENATE(IF(SUMPRODUCT(-- ISNUMBER(SEARCH({"Auto Number"}, $B53))) &gt; 0, $B53, IF(SUMPRODUCT(-- ISNUMBER(SEARCH({"Lookup","Master-Detail"}, $B53))) &gt; 0,$B53 &amp; "(" &amp; $E53 &amp; ")",IF(SUMPRODUCT(-- ISNUMBER(SEARCH({"Formula","Roll-Up Summary"}, $B53))) &gt; 0,$B53 &amp; " (" &amp; $E53 &amp; ")",IF(SUMPRODUCT(-- ISNUMBER(SEARCH({"Content","Currency","Number","Percent","Text","URL"}, $B53))) &gt; 0,$B53 &amp; "(" &amp; $C53 &amp; ")",$B53)))), "  ", TRIM(IF($S53 = "YES", "(External ID)", "") &amp; " " &amp; IF(SUMPRODUCT(-- ISNUMBER(SEARCH({"Unique","Unique Case Insensitive"}, $R53))) &gt; 0, "(" &amp; $R53 &amp; ")", ""))))</f>
        <v>na</v>
      </c>
      <c r="E53" s="7" t="s">
        <v>195</v>
      </c>
      <c r="F53" s="7" t="s">
        <v>195</v>
      </c>
      <c r="G53" s="7" t="s">
        <v>195</v>
      </c>
      <c r="H53" s="7" t="s">
        <v>195</v>
      </c>
      <c r="I53" s="7" t="s">
        <v>195</v>
      </c>
      <c r="J53" s="7" t="s">
        <v>195</v>
      </c>
      <c r="K53" s="7" t="s">
        <v>195</v>
      </c>
      <c r="L53" s="7" t="s">
        <v>195</v>
      </c>
      <c r="M53" s="7" t="s">
        <v>29</v>
      </c>
      <c r="N53" s="7" t="s">
        <v>29</v>
      </c>
      <c r="O53" s="7" t="s">
        <v>29</v>
      </c>
      <c r="P53" s="7" t="s">
        <v>29</v>
      </c>
      <c r="Q53" s="7" t="s">
        <v>29</v>
      </c>
      <c r="R53" s="7" t="s">
        <v>29</v>
      </c>
      <c r="S53" s="7" t="s">
        <v>29</v>
      </c>
    </row>
    <row r="54" spans="2:19">
      <c r="B54" s="7" t="s">
        <v>195</v>
      </c>
      <c r="C54" s="8" t="s">
        <v>195</v>
      </c>
      <c r="D54" s="6" t="str">
        <f>LRTRIM(CONCATENATE(IF(SUMPRODUCT(-- ISNUMBER(SEARCH({"Auto Number"}, $B54))) &gt; 0, $B54, IF(SUMPRODUCT(-- ISNUMBER(SEARCH({"Lookup","Master-Detail"}, $B54))) &gt; 0,$B54 &amp; "(" &amp; $E54 &amp; ")",IF(SUMPRODUCT(-- ISNUMBER(SEARCH({"Formula","Roll-Up Summary"}, $B54))) &gt; 0,$B54 &amp; " (" &amp; $E54 &amp; ")",IF(SUMPRODUCT(-- ISNUMBER(SEARCH({"Content","Currency","Number","Percent","Text","URL"}, $B54))) &gt; 0,$B54 &amp; "(" &amp; $C54 &amp; ")",$B54)))), "  ", TRIM(IF($S54 = "YES", "(External ID)", "") &amp; " " &amp; IF(SUMPRODUCT(-- ISNUMBER(SEARCH({"Unique","Unique Case Insensitive"}, $R54))) &gt; 0, "(" &amp; $R54 &amp; ")", ""))))</f>
        <v>na</v>
      </c>
      <c r="E54" s="7" t="s">
        <v>195</v>
      </c>
      <c r="F54" s="7" t="s">
        <v>195</v>
      </c>
      <c r="G54" s="7" t="s">
        <v>195</v>
      </c>
      <c r="H54" s="7" t="s">
        <v>195</v>
      </c>
      <c r="I54" s="7" t="s">
        <v>195</v>
      </c>
      <c r="J54" s="7" t="s">
        <v>195</v>
      </c>
      <c r="K54" s="7" t="s">
        <v>195</v>
      </c>
      <c r="L54" s="7" t="s">
        <v>195</v>
      </c>
      <c r="M54" s="7" t="s">
        <v>29</v>
      </c>
      <c r="N54" s="7" t="s">
        <v>29</v>
      </c>
      <c r="O54" s="7" t="s">
        <v>29</v>
      </c>
      <c r="P54" s="7" t="s">
        <v>29</v>
      </c>
      <c r="Q54" s="7" t="s">
        <v>29</v>
      </c>
      <c r="R54" s="7" t="s">
        <v>29</v>
      </c>
      <c r="S54" s="7" t="s">
        <v>29</v>
      </c>
    </row>
    <row r="55" spans="2:19">
      <c r="B55" s="7" t="s">
        <v>195</v>
      </c>
      <c r="C55" s="8" t="s">
        <v>195</v>
      </c>
      <c r="D55" s="6" t="str">
        <f>LRTRIM(CONCATENATE(IF(SUMPRODUCT(-- ISNUMBER(SEARCH({"Auto Number"}, $B55))) &gt; 0, $B55, IF(SUMPRODUCT(-- ISNUMBER(SEARCH({"Lookup","Master-Detail"}, $B55))) &gt; 0,$B55 &amp; "(" &amp; $E55 &amp; ")",IF(SUMPRODUCT(-- ISNUMBER(SEARCH({"Formula","Roll-Up Summary"}, $B55))) &gt; 0,$B55 &amp; " (" &amp; $E55 &amp; ")",IF(SUMPRODUCT(-- ISNUMBER(SEARCH({"Content","Currency","Number","Percent","Text","URL"}, $B55))) &gt; 0,$B55 &amp; "(" &amp; $C55 &amp; ")",$B55)))), "  ", TRIM(IF($S55 = "YES", "(External ID)", "") &amp; " " &amp; IF(SUMPRODUCT(-- ISNUMBER(SEARCH({"Unique","Unique Case Insensitive"}, $R55))) &gt; 0, "(" &amp; $R55 &amp; ")", ""))))</f>
        <v>na</v>
      </c>
      <c r="E55" s="7" t="s">
        <v>195</v>
      </c>
      <c r="F55" s="7" t="s">
        <v>195</v>
      </c>
      <c r="G55" s="7" t="s">
        <v>195</v>
      </c>
      <c r="H55" s="7" t="s">
        <v>195</v>
      </c>
      <c r="I55" s="7" t="s">
        <v>195</v>
      </c>
      <c r="J55" s="7" t="s">
        <v>195</v>
      </c>
      <c r="K55" s="7" t="s">
        <v>195</v>
      </c>
      <c r="L55" s="7" t="s">
        <v>195</v>
      </c>
      <c r="M55" s="7" t="s">
        <v>29</v>
      </c>
      <c r="N55" s="7" t="s">
        <v>29</v>
      </c>
      <c r="O55" s="7" t="s">
        <v>29</v>
      </c>
      <c r="P55" s="7" t="s">
        <v>29</v>
      </c>
      <c r="Q55" s="7" t="s">
        <v>29</v>
      </c>
      <c r="R55" s="7" t="s">
        <v>29</v>
      </c>
      <c r="S55" s="7" t="s">
        <v>29</v>
      </c>
    </row>
    <row r="56" spans="2:19">
      <c r="B56" s="7" t="s">
        <v>195</v>
      </c>
      <c r="C56" s="8" t="s">
        <v>195</v>
      </c>
      <c r="D56" s="6" t="str">
        <f>LRTRIM(CONCATENATE(IF(SUMPRODUCT(-- ISNUMBER(SEARCH({"Auto Number"}, $B56))) &gt; 0, $B56, IF(SUMPRODUCT(-- ISNUMBER(SEARCH({"Lookup","Master-Detail"}, $B56))) &gt; 0,$B56 &amp; "(" &amp; $E56 &amp; ")",IF(SUMPRODUCT(-- ISNUMBER(SEARCH({"Formula","Roll-Up Summary"}, $B56))) &gt; 0,$B56 &amp; " (" &amp; $E56 &amp; ")",IF(SUMPRODUCT(-- ISNUMBER(SEARCH({"Content","Currency","Number","Percent","Text","URL"}, $B56))) &gt; 0,$B56 &amp; "(" &amp; $C56 &amp; ")",$B56)))), "  ", TRIM(IF($S56 = "YES", "(External ID)", "") &amp; " " &amp; IF(SUMPRODUCT(-- ISNUMBER(SEARCH({"Unique","Unique Case Insensitive"}, $R56))) &gt; 0, "(" &amp; $R56 &amp; ")", ""))))</f>
        <v>na</v>
      </c>
      <c r="E56" s="7" t="s">
        <v>195</v>
      </c>
      <c r="F56" s="7" t="s">
        <v>195</v>
      </c>
      <c r="G56" s="7" t="s">
        <v>195</v>
      </c>
      <c r="H56" s="7" t="s">
        <v>195</v>
      </c>
      <c r="I56" s="7" t="s">
        <v>195</v>
      </c>
      <c r="J56" s="7" t="s">
        <v>195</v>
      </c>
      <c r="K56" s="7" t="s">
        <v>195</v>
      </c>
      <c r="L56" s="7" t="s">
        <v>195</v>
      </c>
      <c r="M56" s="7" t="s">
        <v>29</v>
      </c>
      <c r="N56" s="7" t="s">
        <v>29</v>
      </c>
      <c r="O56" s="7" t="s">
        <v>29</v>
      </c>
      <c r="P56" s="7" t="s">
        <v>29</v>
      </c>
      <c r="Q56" s="7" t="s">
        <v>29</v>
      </c>
      <c r="R56" s="7" t="s">
        <v>29</v>
      </c>
      <c r="S56" s="7" t="s">
        <v>29</v>
      </c>
    </row>
    <row r="57" spans="2:19">
      <c r="B57" s="7" t="s">
        <v>195</v>
      </c>
      <c r="C57" s="8" t="s">
        <v>195</v>
      </c>
      <c r="D57" s="6" t="str">
        <f>LRTRIM(CONCATENATE(IF(SUMPRODUCT(-- ISNUMBER(SEARCH({"Auto Number"}, $B57))) &gt; 0, $B57, IF(SUMPRODUCT(-- ISNUMBER(SEARCH({"Lookup","Master-Detail"}, $B57))) &gt; 0,$B57 &amp; "(" &amp; $E57 &amp; ")",IF(SUMPRODUCT(-- ISNUMBER(SEARCH({"Formula","Roll-Up Summary"}, $B57))) &gt; 0,$B57 &amp; " (" &amp; $E57 &amp; ")",IF(SUMPRODUCT(-- ISNUMBER(SEARCH({"Content","Currency","Number","Percent","Text","URL"}, $B57))) &gt; 0,$B57 &amp; "(" &amp; $C57 &amp; ")",$B57)))), "  ", TRIM(IF($S57 = "YES", "(External ID)", "") &amp; " " &amp; IF(SUMPRODUCT(-- ISNUMBER(SEARCH({"Unique","Unique Case Insensitive"}, $R57))) &gt; 0, "(" &amp; $R57 &amp; ")", ""))))</f>
        <v>na</v>
      </c>
      <c r="E57" s="7" t="s">
        <v>195</v>
      </c>
      <c r="F57" s="7" t="s">
        <v>195</v>
      </c>
      <c r="G57" s="7" t="s">
        <v>195</v>
      </c>
      <c r="H57" s="7" t="s">
        <v>195</v>
      </c>
      <c r="I57" s="7" t="s">
        <v>195</v>
      </c>
      <c r="J57" s="7" t="s">
        <v>195</v>
      </c>
      <c r="K57" s="7" t="s">
        <v>195</v>
      </c>
      <c r="L57" s="7" t="s">
        <v>195</v>
      </c>
      <c r="M57" s="7" t="s">
        <v>29</v>
      </c>
      <c r="N57" s="7" t="s">
        <v>29</v>
      </c>
      <c r="O57" s="7" t="s">
        <v>29</v>
      </c>
      <c r="P57" s="7" t="s">
        <v>29</v>
      </c>
      <c r="Q57" s="7" t="s">
        <v>29</v>
      </c>
      <c r="R57" s="7" t="s">
        <v>29</v>
      </c>
      <c r="S57" s="7" t="s">
        <v>29</v>
      </c>
    </row>
    <row r="58" spans="2:19">
      <c r="B58" s="7" t="s">
        <v>195</v>
      </c>
      <c r="C58" s="8" t="s">
        <v>195</v>
      </c>
      <c r="D58" s="6" t="str">
        <f>LRTRIM(CONCATENATE(IF(SUMPRODUCT(-- ISNUMBER(SEARCH({"Auto Number"}, $B58))) &gt; 0, $B58, IF(SUMPRODUCT(-- ISNUMBER(SEARCH({"Lookup","Master-Detail"}, $B58))) &gt; 0,$B58 &amp; "(" &amp; $E58 &amp; ")",IF(SUMPRODUCT(-- ISNUMBER(SEARCH({"Formula","Roll-Up Summary"}, $B58))) &gt; 0,$B58 &amp; " (" &amp; $E58 &amp; ")",IF(SUMPRODUCT(-- ISNUMBER(SEARCH({"Content","Currency","Number","Percent","Text","URL"}, $B58))) &gt; 0,$B58 &amp; "(" &amp; $C58 &amp; ")",$B58)))), "  ", TRIM(IF($S58 = "YES", "(External ID)", "") &amp; " " &amp; IF(SUMPRODUCT(-- ISNUMBER(SEARCH({"Unique","Unique Case Insensitive"}, $R58))) &gt; 0, "(" &amp; $R58 &amp; ")", ""))))</f>
        <v>na</v>
      </c>
      <c r="E58" s="7" t="s">
        <v>195</v>
      </c>
      <c r="F58" s="7" t="s">
        <v>195</v>
      </c>
      <c r="G58" s="7" t="s">
        <v>195</v>
      </c>
      <c r="H58" s="7" t="s">
        <v>195</v>
      </c>
      <c r="I58" s="7" t="s">
        <v>195</v>
      </c>
      <c r="J58" s="7" t="s">
        <v>195</v>
      </c>
      <c r="K58" s="7" t="s">
        <v>195</v>
      </c>
      <c r="L58" s="7" t="s">
        <v>195</v>
      </c>
      <c r="M58" s="7" t="s">
        <v>29</v>
      </c>
      <c r="N58" s="7" t="s">
        <v>29</v>
      </c>
      <c r="O58" s="7" t="s">
        <v>29</v>
      </c>
      <c r="P58" s="7" t="s">
        <v>29</v>
      </c>
      <c r="Q58" s="7" t="s">
        <v>29</v>
      </c>
      <c r="R58" s="7" t="s">
        <v>29</v>
      </c>
      <c r="S58" s="7" t="s">
        <v>29</v>
      </c>
    </row>
    <row r="59" spans="2:19">
      <c r="B59" s="7" t="s">
        <v>195</v>
      </c>
      <c r="C59" s="8" t="s">
        <v>195</v>
      </c>
      <c r="D59" s="6" t="str">
        <f>LRTRIM(CONCATENATE(IF(SUMPRODUCT(-- ISNUMBER(SEARCH({"Auto Number"}, $B59))) &gt; 0, $B59, IF(SUMPRODUCT(-- ISNUMBER(SEARCH({"Lookup","Master-Detail"}, $B59))) &gt; 0,$B59 &amp; "(" &amp; $E59 &amp; ")",IF(SUMPRODUCT(-- ISNUMBER(SEARCH({"Formula","Roll-Up Summary"}, $B59))) &gt; 0,$B59 &amp; " (" &amp; $E59 &amp; ")",IF(SUMPRODUCT(-- ISNUMBER(SEARCH({"Content","Currency","Number","Percent","Text","URL"}, $B59))) &gt; 0,$B59 &amp; "(" &amp; $C59 &amp; ")",$B59)))), "  ", TRIM(IF($S59 = "YES", "(External ID)", "") &amp; " " &amp; IF(SUMPRODUCT(-- ISNUMBER(SEARCH({"Unique","Unique Case Insensitive"}, $R59))) &gt; 0, "(" &amp; $R59 &amp; ")", ""))))</f>
        <v>na</v>
      </c>
      <c r="E59" s="7" t="s">
        <v>195</v>
      </c>
      <c r="F59" s="7" t="s">
        <v>195</v>
      </c>
      <c r="G59" s="7" t="s">
        <v>195</v>
      </c>
      <c r="H59" s="7" t="s">
        <v>195</v>
      </c>
      <c r="I59" s="7" t="s">
        <v>195</v>
      </c>
      <c r="J59" s="7" t="s">
        <v>195</v>
      </c>
      <c r="K59" s="7" t="s">
        <v>195</v>
      </c>
      <c r="L59" s="7" t="s">
        <v>195</v>
      </c>
      <c r="M59" s="7" t="s">
        <v>29</v>
      </c>
      <c r="N59" s="7" t="s">
        <v>29</v>
      </c>
      <c r="O59" s="7" t="s">
        <v>29</v>
      </c>
      <c r="P59" s="7" t="s">
        <v>29</v>
      </c>
      <c r="Q59" s="7" t="s">
        <v>29</v>
      </c>
      <c r="R59" s="7" t="s">
        <v>29</v>
      </c>
      <c r="S59" s="7" t="s">
        <v>29</v>
      </c>
    </row>
    <row r="60" spans="2:19">
      <c r="B60" s="7" t="s">
        <v>195</v>
      </c>
      <c r="C60" s="8" t="s">
        <v>195</v>
      </c>
      <c r="D60" s="6" t="str">
        <f>LRTRIM(CONCATENATE(IF(SUMPRODUCT(-- ISNUMBER(SEARCH({"Auto Number"}, $B60))) &gt; 0, $B60, IF(SUMPRODUCT(-- ISNUMBER(SEARCH({"Lookup","Master-Detail"}, $B60))) &gt; 0,$B60 &amp; "(" &amp; $E60 &amp; ")",IF(SUMPRODUCT(-- ISNUMBER(SEARCH({"Formula","Roll-Up Summary"}, $B60))) &gt; 0,$B60 &amp; " (" &amp; $E60 &amp; ")",IF(SUMPRODUCT(-- ISNUMBER(SEARCH({"Content","Currency","Number","Percent","Text","URL"}, $B60))) &gt; 0,$B60 &amp; "(" &amp; $C60 &amp; ")",$B60)))), "  ", TRIM(IF($S60 = "YES", "(External ID)", "") &amp; " " &amp; IF(SUMPRODUCT(-- ISNUMBER(SEARCH({"Unique","Unique Case Insensitive"}, $R60))) &gt; 0, "(" &amp; $R60 &amp; ")", ""))))</f>
        <v>na</v>
      </c>
      <c r="E60" s="7" t="s">
        <v>195</v>
      </c>
      <c r="F60" s="7" t="s">
        <v>195</v>
      </c>
      <c r="G60" s="7" t="s">
        <v>195</v>
      </c>
      <c r="H60" s="7" t="s">
        <v>195</v>
      </c>
      <c r="I60" s="7" t="s">
        <v>195</v>
      </c>
      <c r="J60" s="7" t="s">
        <v>195</v>
      </c>
      <c r="K60" s="7" t="s">
        <v>195</v>
      </c>
      <c r="L60" s="7" t="s">
        <v>195</v>
      </c>
      <c r="M60" s="7" t="s">
        <v>29</v>
      </c>
      <c r="N60" s="7" t="s">
        <v>29</v>
      </c>
      <c r="O60" s="7" t="s">
        <v>29</v>
      </c>
      <c r="P60" s="7" t="s">
        <v>29</v>
      </c>
      <c r="Q60" s="7" t="s">
        <v>29</v>
      </c>
      <c r="R60" s="7" t="s">
        <v>29</v>
      </c>
      <c r="S60" s="7" t="s">
        <v>29</v>
      </c>
    </row>
    <row r="61" spans="2:19">
      <c r="B61" s="7" t="s">
        <v>195</v>
      </c>
      <c r="C61" s="8" t="s">
        <v>195</v>
      </c>
      <c r="D61" s="6" t="str">
        <f>LRTRIM(CONCATENATE(IF(SUMPRODUCT(-- ISNUMBER(SEARCH({"Auto Number"}, $B61))) &gt; 0, $B61, IF(SUMPRODUCT(-- ISNUMBER(SEARCH({"Lookup","Master-Detail"}, $B61))) &gt; 0,$B61 &amp; "(" &amp; $E61 &amp; ")",IF(SUMPRODUCT(-- ISNUMBER(SEARCH({"Formula","Roll-Up Summary"}, $B61))) &gt; 0,$B61 &amp; " (" &amp; $E61 &amp; ")",IF(SUMPRODUCT(-- ISNUMBER(SEARCH({"Content","Currency","Number","Percent","Text","URL"}, $B61))) &gt; 0,$B61 &amp; "(" &amp; $C61 &amp; ")",$B61)))), "  ", TRIM(IF($S61 = "YES", "(External ID)", "") &amp; " " &amp; IF(SUMPRODUCT(-- ISNUMBER(SEARCH({"Unique","Unique Case Insensitive"}, $R61))) &gt; 0, "(" &amp; $R61 &amp; ")", ""))))</f>
        <v>na</v>
      </c>
      <c r="E61" s="7" t="s">
        <v>195</v>
      </c>
      <c r="F61" s="7" t="s">
        <v>195</v>
      </c>
      <c r="G61" s="7" t="s">
        <v>195</v>
      </c>
      <c r="H61" s="7" t="s">
        <v>195</v>
      </c>
      <c r="I61" s="7" t="s">
        <v>195</v>
      </c>
      <c r="J61" s="7" t="s">
        <v>195</v>
      </c>
      <c r="K61" s="7" t="s">
        <v>195</v>
      </c>
      <c r="L61" s="7" t="s">
        <v>195</v>
      </c>
      <c r="M61" s="7" t="s">
        <v>29</v>
      </c>
      <c r="N61" s="7" t="s">
        <v>29</v>
      </c>
      <c r="O61" s="7" t="s">
        <v>29</v>
      </c>
      <c r="P61" s="7" t="s">
        <v>29</v>
      </c>
      <c r="Q61" s="7" t="s">
        <v>29</v>
      </c>
      <c r="R61" s="7" t="s">
        <v>29</v>
      </c>
      <c r="S61" s="7" t="s">
        <v>29</v>
      </c>
    </row>
    <row r="62" spans="2:19">
      <c r="B62" s="7" t="s">
        <v>195</v>
      </c>
      <c r="C62" s="8" t="s">
        <v>195</v>
      </c>
      <c r="D62" s="6" t="str">
        <f>LRTRIM(CONCATENATE(IF(SUMPRODUCT(-- ISNUMBER(SEARCH({"Auto Number"}, $B62))) &gt; 0, $B62, IF(SUMPRODUCT(-- ISNUMBER(SEARCH({"Lookup","Master-Detail"}, $B62))) &gt; 0,$B62 &amp; "(" &amp; $E62 &amp; ")",IF(SUMPRODUCT(-- ISNUMBER(SEARCH({"Formula","Roll-Up Summary"}, $B62))) &gt; 0,$B62 &amp; " (" &amp; $E62 &amp; ")",IF(SUMPRODUCT(-- ISNUMBER(SEARCH({"Content","Currency","Number","Percent","Text","URL"}, $B62))) &gt; 0,$B62 &amp; "(" &amp; $C62 &amp; ")",$B62)))), "  ", TRIM(IF($S62 = "YES", "(External ID)", "") &amp; " " &amp; IF(SUMPRODUCT(-- ISNUMBER(SEARCH({"Unique","Unique Case Insensitive"}, $R62))) &gt; 0, "(" &amp; $R62 &amp; ")", ""))))</f>
        <v>na</v>
      </c>
      <c r="E62" s="7" t="s">
        <v>195</v>
      </c>
      <c r="F62" s="7" t="s">
        <v>195</v>
      </c>
      <c r="G62" s="7" t="s">
        <v>195</v>
      </c>
      <c r="H62" s="7" t="s">
        <v>195</v>
      </c>
      <c r="I62" s="7" t="s">
        <v>195</v>
      </c>
      <c r="J62" s="7" t="s">
        <v>195</v>
      </c>
      <c r="K62" s="7" t="s">
        <v>195</v>
      </c>
      <c r="L62" s="7" t="s">
        <v>195</v>
      </c>
      <c r="M62" s="7" t="s">
        <v>29</v>
      </c>
      <c r="N62" s="7" t="s">
        <v>29</v>
      </c>
      <c r="O62" s="7" t="s">
        <v>29</v>
      </c>
      <c r="P62" s="7" t="s">
        <v>29</v>
      </c>
      <c r="Q62" s="7" t="s">
        <v>29</v>
      </c>
      <c r="R62" s="7" t="s">
        <v>29</v>
      </c>
      <c r="S62" s="7" t="s">
        <v>29</v>
      </c>
    </row>
    <row r="63" spans="2:19">
      <c r="B63" s="7" t="s">
        <v>195</v>
      </c>
      <c r="C63" s="8" t="s">
        <v>195</v>
      </c>
      <c r="D63" s="6" t="str">
        <f>LRTRIM(CONCATENATE(IF(SUMPRODUCT(-- ISNUMBER(SEARCH({"Auto Number"}, $B63))) &gt; 0, $B63, IF(SUMPRODUCT(-- ISNUMBER(SEARCH({"Lookup","Master-Detail"}, $B63))) &gt; 0,$B63 &amp; "(" &amp; $E63 &amp; ")",IF(SUMPRODUCT(-- ISNUMBER(SEARCH({"Formula","Roll-Up Summary"}, $B63))) &gt; 0,$B63 &amp; " (" &amp; $E63 &amp; ")",IF(SUMPRODUCT(-- ISNUMBER(SEARCH({"Content","Currency","Number","Percent","Text","URL"}, $B63))) &gt; 0,$B63 &amp; "(" &amp; $C63 &amp; ")",$B63)))), "  ", TRIM(IF($S63 = "YES", "(External ID)", "") &amp; " " &amp; IF(SUMPRODUCT(-- ISNUMBER(SEARCH({"Unique","Unique Case Insensitive"}, $R63))) &gt; 0, "(" &amp; $R63 &amp; ")", ""))))</f>
        <v>na</v>
      </c>
      <c r="E63" s="7" t="s">
        <v>195</v>
      </c>
      <c r="F63" s="7" t="s">
        <v>195</v>
      </c>
      <c r="G63" s="7" t="s">
        <v>195</v>
      </c>
      <c r="H63" s="7" t="s">
        <v>195</v>
      </c>
      <c r="I63" s="7" t="s">
        <v>195</v>
      </c>
      <c r="J63" s="7" t="s">
        <v>195</v>
      </c>
      <c r="K63" s="7" t="s">
        <v>195</v>
      </c>
      <c r="L63" s="7" t="s">
        <v>195</v>
      </c>
      <c r="M63" s="7" t="s">
        <v>29</v>
      </c>
      <c r="N63" s="7" t="s">
        <v>29</v>
      </c>
      <c r="O63" s="7" t="s">
        <v>29</v>
      </c>
      <c r="P63" s="7" t="s">
        <v>29</v>
      </c>
      <c r="Q63" s="7" t="s">
        <v>29</v>
      </c>
      <c r="R63" s="7" t="s">
        <v>29</v>
      </c>
      <c r="S63" s="7" t="s">
        <v>29</v>
      </c>
    </row>
    <row r="64" spans="2:19">
      <c r="B64" s="7" t="s">
        <v>195</v>
      </c>
      <c r="C64" s="8" t="s">
        <v>195</v>
      </c>
      <c r="D64" s="6" t="str">
        <f>LRTRIM(CONCATENATE(IF(SUMPRODUCT(-- ISNUMBER(SEARCH({"Auto Number"}, $B64))) &gt; 0, $B64, IF(SUMPRODUCT(-- ISNUMBER(SEARCH({"Lookup","Master-Detail"}, $B64))) &gt; 0,$B64 &amp; "(" &amp; $E64 &amp; ")",IF(SUMPRODUCT(-- ISNUMBER(SEARCH({"Formula","Roll-Up Summary"}, $B64))) &gt; 0,$B64 &amp; " (" &amp; $E64 &amp; ")",IF(SUMPRODUCT(-- ISNUMBER(SEARCH({"Content","Currency","Number","Percent","Text","URL"}, $B64))) &gt; 0,$B64 &amp; "(" &amp; $C64 &amp; ")",$B64)))), "  ", TRIM(IF($S64 = "YES", "(External ID)", "") &amp; " " &amp; IF(SUMPRODUCT(-- ISNUMBER(SEARCH({"Unique","Unique Case Insensitive"}, $R64))) &gt; 0, "(" &amp; $R64 &amp; ")", ""))))</f>
        <v>na</v>
      </c>
      <c r="E64" s="7" t="s">
        <v>195</v>
      </c>
      <c r="F64" s="7" t="s">
        <v>195</v>
      </c>
      <c r="G64" s="7" t="s">
        <v>195</v>
      </c>
      <c r="H64" s="7" t="s">
        <v>195</v>
      </c>
      <c r="I64" s="7" t="s">
        <v>195</v>
      </c>
      <c r="J64" s="7" t="s">
        <v>195</v>
      </c>
      <c r="K64" s="7" t="s">
        <v>195</v>
      </c>
      <c r="L64" s="7" t="s">
        <v>195</v>
      </c>
      <c r="M64" s="7" t="s">
        <v>29</v>
      </c>
      <c r="N64" s="7" t="s">
        <v>29</v>
      </c>
      <c r="O64" s="7" t="s">
        <v>29</v>
      </c>
      <c r="P64" s="7" t="s">
        <v>29</v>
      </c>
      <c r="Q64" s="7" t="s">
        <v>29</v>
      </c>
      <c r="R64" s="7" t="s">
        <v>29</v>
      </c>
      <c r="S64" s="7" t="s">
        <v>29</v>
      </c>
    </row>
    <row r="65" spans="2:19">
      <c r="B65" s="7" t="s">
        <v>195</v>
      </c>
      <c r="C65" s="8" t="s">
        <v>195</v>
      </c>
      <c r="D65" s="6" t="str">
        <f>LRTRIM(CONCATENATE(IF(SUMPRODUCT(-- ISNUMBER(SEARCH({"Auto Number"}, $B65))) &gt; 0, $B65, IF(SUMPRODUCT(-- ISNUMBER(SEARCH({"Lookup","Master-Detail"}, $B65))) &gt; 0,$B65 &amp; "(" &amp; $E65 &amp; ")",IF(SUMPRODUCT(-- ISNUMBER(SEARCH({"Formula","Roll-Up Summary"}, $B65))) &gt; 0,$B65 &amp; " (" &amp; $E65 &amp; ")",IF(SUMPRODUCT(-- ISNUMBER(SEARCH({"Content","Currency","Number","Percent","Text","URL"}, $B65))) &gt; 0,$B65 &amp; "(" &amp; $C65 &amp; ")",$B65)))), "  ", TRIM(IF($S65 = "YES", "(External ID)", "") &amp; " " &amp; IF(SUMPRODUCT(-- ISNUMBER(SEARCH({"Unique","Unique Case Insensitive"}, $R65))) &gt; 0, "(" &amp; $R65 &amp; ")", ""))))</f>
        <v>na</v>
      </c>
      <c r="E65" s="7" t="s">
        <v>195</v>
      </c>
      <c r="F65" s="7" t="s">
        <v>195</v>
      </c>
      <c r="G65" s="7" t="s">
        <v>195</v>
      </c>
      <c r="H65" s="7" t="s">
        <v>195</v>
      </c>
      <c r="I65" s="7" t="s">
        <v>195</v>
      </c>
      <c r="J65" s="7" t="s">
        <v>195</v>
      </c>
      <c r="K65" s="7" t="s">
        <v>195</v>
      </c>
      <c r="L65" s="7" t="s">
        <v>195</v>
      </c>
      <c r="M65" s="7" t="s">
        <v>29</v>
      </c>
      <c r="N65" s="7" t="s">
        <v>29</v>
      </c>
      <c r="O65" s="7" t="s">
        <v>29</v>
      </c>
      <c r="P65" s="7" t="s">
        <v>29</v>
      </c>
      <c r="Q65" s="7" t="s">
        <v>29</v>
      </c>
      <c r="R65" s="7" t="s">
        <v>29</v>
      </c>
      <c r="S65" s="7" t="s">
        <v>29</v>
      </c>
    </row>
    <row r="66" spans="2:19">
      <c r="B66" s="7" t="s">
        <v>195</v>
      </c>
      <c r="C66" s="8" t="s">
        <v>195</v>
      </c>
      <c r="D66" s="6" t="str">
        <f>LRTRIM(CONCATENATE(IF(SUMPRODUCT(-- ISNUMBER(SEARCH({"Auto Number"}, $B66))) &gt; 0, $B66, IF(SUMPRODUCT(-- ISNUMBER(SEARCH({"Lookup","Master-Detail"}, $B66))) &gt; 0,$B66 &amp; "(" &amp; $E66 &amp; ")",IF(SUMPRODUCT(-- ISNUMBER(SEARCH({"Formula","Roll-Up Summary"}, $B66))) &gt; 0,$B66 &amp; " (" &amp; $E66 &amp; ")",IF(SUMPRODUCT(-- ISNUMBER(SEARCH({"Content","Currency","Number","Percent","Text","URL"}, $B66))) &gt; 0,$B66 &amp; "(" &amp; $C66 &amp; ")",$B66)))), "  ", TRIM(IF($S66 = "YES", "(External ID)", "") &amp; " " &amp; IF(SUMPRODUCT(-- ISNUMBER(SEARCH({"Unique","Unique Case Insensitive"}, $R66))) &gt; 0, "(" &amp; $R66 &amp; ")", ""))))</f>
        <v>na</v>
      </c>
      <c r="E66" s="7" t="s">
        <v>195</v>
      </c>
      <c r="F66" s="7" t="s">
        <v>195</v>
      </c>
      <c r="G66" s="7" t="s">
        <v>195</v>
      </c>
      <c r="H66" s="7" t="s">
        <v>195</v>
      </c>
      <c r="I66" s="7" t="s">
        <v>195</v>
      </c>
      <c r="J66" s="7" t="s">
        <v>195</v>
      </c>
      <c r="K66" s="7" t="s">
        <v>195</v>
      </c>
      <c r="L66" s="7" t="s">
        <v>195</v>
      </c>
      <c r="M66" s="7" t="s">
        <v>29</v>
      </c>
      <c r="N66" s="7" t="s">
        <v>29</v>
      </c>
      <c r="O66" s="7" t="s">
        <v>29</v>
      </c>
      <c r="P66" s="7" t="s">
        <v>29</v>
      </c>
      <c r="Q66" s="7" t="s">
        <v>29</v>
      </c>
      <c r="R66" s="7" t="s">
        <v>29</v>
      </c>
      <c r="S66" s="7" t="s">
        <v>29</v>
      </c>
    </row>
    <row r="67" spans="2:19">
      <c r="B67" s="7" t="s">
        <v>195</v>
      </c>
      <c r="C67" s="8" t="s">
        <v>195</v>
      </c>
      <c r="D67" s="6" t="str">
        <f>LRTRIM(CONCATENATE(IF(SUMPRODUCT(-- ISNUMBER(SEARCH({"Auto Number"}, $B67))) &gt; 0, $B67, IF(SUMPRODUCT(-- ISNUMBER(SEARCH({"Lookup","Master-Detail"}, $B67))) &gt; 0,$B67 &amp; "(" &amp; $E67 &amp; ")",IF(SUMPRODUCT(-- ISNUMBER(SEARCH({"Formula","Roll-Up Summary"}, $B67))) &gt; 0,$B67 &amp; " (" &amp; $E67 &amp; ")",IF(SUMPRODUCT(-- ISNUMBER(SEARCH({"Content","Currency","Number","Percent","Text","URL"}, $B67))) &gt; 0,$B67 &amp; "(" &amp; $C67 &amp; ")",$B67)))), "  ", TRIM(IF($S67 = "YES", "(External ID)", "") &amp; " " &amp; IF(SUMPRODUCT(-- ISNUMBER(SEARCH({"Unique","Unique Case Insensitive"}, $R67))) &gt; 0, "(" &amp; $R67 &amp; ")", ""))))</f>
        <v>na</v>
      </c>
      <c r="E67" s="7" t="s">
        <v>195</v>
      </c>
      <c r="F67" s="7" t="s">
        <v>195</v>
      </c>
      <c r="G67" s="7" t="s">
        <v>195</v>
      </c>
      <c r="H67" s="7" t="s">
        <v>195</v>
      </c>
      <c r="I67" s="7" t="s">
        <v>195</v>
      </c>
      <c r="J67" s="7" t="s">
        <v>195</v>
      </c>
      <c r="K67" s="7" t="s">
        <v>195</v>
      </c>
      <c r="L67" s="7" t="s">
        <v>195</v>
      </c>
      <c r="M67" s="7" t="s">
        <v>29</v>
      </c>
      <c r="N67" s="7" t="s">
        <v>29</v>
      </c>
      <c r="O67" s="7" t="s">
        <v>29</v>
      </c>
      <c r="P67" s="7" t="s">
        <v>29</v>
      </c>
      <c r="Q67" s="7" t="s">
        <v>29</v>
      </c>
      <c r="R67" s="7" t="s">
        <v>29</v>
      </c>
      <c r="S67" s="7" t="s">
        <v>29</v>
      </c>
    </row>
    <row r="68" spans="2:19">
      <c r="B68" s="7" t="s">
        <v>195</v>
      </c>
      <c r="C68" s="8" t="s">
        <v>195</v>
      </c>
      <c r="D68" s="6" t="str">
        <f>LRTRIM(CONCATENATE(IF(SUMPRODUCT(-- ISNUMBER(SEARCH({"Auto Number"}, $B68))) &gt; 0, $B68, IF(SUMPRODUCT(-- ISNUMBER(SEARCH({"Lookup","Master-Detail"}, $B68))) &gt; 0,$B68 &amp; "(" &amp; $E68 &amp; ")",IF(SUMPRODUCT(-- ISNUMBER(SEARCH({"Formula","Roll-Up Summary"}, $B68))) &gt; 0,$B68 &amp; " (" &amp; $E68 &amp; ")",IF(SUMPRODUCT(-- ISNUMBER(SEARCH({"Content","Currency","Number","Percent","Text","URL"}, $B68))) &gt; 0,$B68 &amp; "(" &amp; $C68 &amp; ")",$B68)))), "  ", TRIM(IF($S68 = "YES", "(External ID)", "") &amp; " " &amp; IF(SUMPRODUCT(-- ISNUMBER(SEARCH({"Unique","Unique Case Insensitive"}, $R68))) &gt; 0, "(" &amp; $R68 &amp; ")", ""))))</f>
        <v>na</v>
      </c>
      <c r="E68" s="7" t="s">
        <v>195</v>
      </c>
      <c r="F68" s="7" t="s">
        <v>195</v>
      </c>
      <c r="G68" s="7" t="s">
        <v>195</v>
      </c>
      <c r="H68" s="7" t="s">
        <v>195</v>
      </c>
      <c r="I68" s="7" t="s">
        <v>195</v>
      </c>
      <c r="J68" s="7" t="s">
        <v>195</v>
      </c>
      <c r="K68" s="7" t="s">
        <v>195</v>
      </c>
      <c r="L68" s="7" t="s">
        <v>195</v>
      </c>
      <c r="M68" s="7" t="s">
        <v>29</v>
      </c>
      <c r="N68" s="7" t="s">
        <v>29</v>
      </c>
      <c r="O68" s="7" t="s">
        <v>29</v>
      </c>
      <c r="P68" s="7" t="s">
        <v>29</v>
      </c>
      <c r="Q68" s="7" t="s">
        <v>29</v>
      </c>
      <c r="R68" s="7" t="s">
        <v>29</v>
      </c>
      <c r="S68" s="7" t="s">
        <v>29</v>
      </c>
    </row>
    <row r="69" spans="2:19">
      <c r="B69" s="7" t="s">
        <v>195</v>
      </c>
      <c r="C69" s="8" t="s">
        <v>195</v>
      </c>
      <c r="D69" s="6" t="str">
        <f>LRTRIM(CONCATENATE(IF(SUMPRODUCT(-- ISNUMBER(SEARCH({"Auto Number"}, $B69))) &gt; 0, $B69, IF(SUMPRODUCT(-- ISNUMBER(SEARCH({"Lookup","Master-Detail"}, $B69))) &gt; 0,$B69 &amp; "(" &amp; $E69 &amp; ")",IF(SUMPRODUCT(-- ISNUMBER(SEARCH({"Formula","Roll-Up Summary"}, $B69))) &gt; 0,$B69 &amp; " (" &amp; $E69 &amp; ")",IF(SUMPRODUCT(-- ISNUMBER(SEARCH({"Content","Currency","Number","Percent","Text","URL"}, $B69))) &gt; 0,$B69 &amp; "(" &amp; $C69 &amp; ")",$B69)))), "  ", TRIM(IF($S69 = "YES", "(External ID)", "") &amp; " " &amp; IF(SUMPRODUCT(-- ISNUMBER(SEARCH({"Unique","Unique Case Insensitive"}, $R69))) &gt; 0, "(" &amp; $R69 &amp; ")", ""))))</f>
        <v>na</v>
      </c>
      <c r="E69" s="7" t="s">
        <v>195</v>
      </c>
      <c r="F69" s="7" t="s">
        <v>195</v>
      </c>
      <c r="G69" s="7" t="s">
        <v>195</v>
      </c>
      <c r="H69" s="7" t="s">
        <v>195</v>
      </c>
      <c r="I69" s="7" t="s">
        <v>195</v>
      </c>
      <c r="J69" s="7" t="s">
        <v>195</v>
      </c>
      <c r="K69" s="7" t="s">
        <v>195</v>
      </c>
      <c r="L69" s="7" t="s">
        <v>195</v>
      </c>
      <c r="M69" s="7" t="s">
        <v>29</v>
      </c>
      <c r="N69" s="7" t="s">
        <v>29</v>
      </c>
      <c r="O69" s="7" t="s">
        <v>29</v>
      </c>
      <c r="P69" s="7" t="s">
        <v>29</v>
      </c>
      <c r="Q69" s="7" t="s">
        <v>29</v>
      </c>
      <c r="R69" s="7" t="s">
        <v>29</v>
      </c>
      <c r="S69" s="7" t="s">
        <v>29</v>
      </c>
    </row>
    <row r="70" spans="2:19">
      <c r="B70" s="7" t="s">
        <v>195</v>
      </c>
      <c r="C70" s="8" t="s">
        <v>195</v>
      </c>
      <c r="D70" s="6" t="str">
        <f>LRTRIM(CONCATENATE(IF(SUMPRODUCT(-- ISNUMBER(SEARCH({"Auto Number"}, $B70))) &gt; 0, $B70, IF(SUMPRODUCT(-- ISNUMBER(SEARCH({"Lookup","Master-Detail"}, $B70))) &gt; 0,$B70 &amp; "(" &amp; $E70 &amp; ")",IF(SUMPRODUCT(-- ISNUMBER(SEARCH({"Formula","Roll-Up Summary"}, $B70))) &gt; 0,$B70 &amp; " (" &amp; $E70 &amp; ")",IF(SUMPRODUCT(-- ISNUMBER(SEARCH({"Content","Currency","Number","Percent","Text","URL"}, $B70))) &gt; 0,$B70 &amp; "(" &amp; $C70 &amp; ")",$B70)))), "  ", TRIM(IF($S70 = "YES", "(External ID)", "") &amp; " " &amp; IF(SUMPRODUCT(-- ISNUMBER(SEARCH({"Unique","Unique Case Insensitive"}, $R70))) &gt; 0, "(" &amp; $R70 &amp; ")", ""))))</f>
        <v>na</v>
      </c>
      <c r="E70" s="7" t="s">
        <v>195</v>
      </c>
      <c r="F70" s="7" t="s">
        <v>195</v>
      </c>
      <c r="G70" s="7" t="s">
        <v>195</v>
      </c>
      <c r="H70" s="7" t="s">
        <v>195</v>
      </c>
      <c r="I70" s="7" t="s">
        <v>195</v>
      </c>
      <c r="J70" s="7" t="s">
        <v>195</v>
      </c>
      <c r="K70" s="7" t="s">
        <v>195</v>
      </c>
      <c r="L70" s="7" t="s">
        <v>195</v>
      </c>
      <c r="M70" s="7" t="s">
        <v>29</v>
      </c>
      <c r="N70" s="7" t="s">
        <v>29</v>
      </c>
      <c r="O70" s="7" t="s">
        <v>29</v>
      </c>
      <c r="P70" s="7" t="s">
        <v>29</v>
      </c>
      <c r="Q70" s="7" t="s">
        <v>29</v>
      </c>
      <c r="R70" s="7" t="s">
        <v>29</v>
      </c>
      <c r="S70" s="7" t="s">
        <v>29</v>
      </c>
    </row>
    <row r="71" spans="2:19">
      <c r="B71" s="7" t="s">
        <v>195</v>
      </c>
      <c r="C71" s="8" t="s">
        <v>195</v>
      </c>
      <c r="D71" s="6" t="str">
        <f>LRTRIM(CONCATENATE(IF(SUMPRODUCT(-- ISNUMBER(SEARCH({"Auto Number"}, $B71))) &gt; 0, $B71, IF(SUMPRODUCT(-- ISNUMBER(SEARCH({"Lookup","Master-Detail"}, $B71))) &gt; 0,$B71 &amp; "(" &amp; $E71 &amp; ")",IF(SUMPRODUCT(-- ISNUMBER(SEARCH({"Formula","Roll-Up Summary"}, $B71))) &gt; 0,$B71 &amp; " (" &amp; $E71 &amp; ")",IF(SUMPRODUCT(-- ISNUMBER(SEARCH({"Content","Currency","Number","Percent","Text","URL"}, $B71))) &gt; 0,$B71 &amp; "(" &amp; $C71 &amp; ")",$B71)))), "  ", TRIM(IF($S71 = "YES", "(External ID)", "") &amp; " " &amp; IF(SUMPRODUCT(-- ISNUMBER(SEARCH({"Unique","Unique Case Insensitive"}, $R71))) &gt; 0, "(" &amp; $R71 &amp; ")", ""))))</f>
        <v>na</v>
      </c>
      <c r="E71" s="7" t="s">
        <v>195</v>
      </c>
      <c r="F71" s="7" t="s">
        <v>195</v>
      </c>
      <c r="G71" s="7" t="s">
        <v>195</v>
      </c>
      <c r="H71" s="7" t="s">
        <v>195</v>
      </c>
      <c r="I71" s="7" t="s">
        <v>195</v>
      </c>
      <c r="J71" s="7" t="s">
        <v>195</v>
      </c>
      <c r="K71" s="7" t="s">
        <v>195</v>
      </c>
      <c r="L71" s="7" t="s">
        <v>195</v>
      </c>
      <c r="M71" s="7" t="s">
        <v>29</v>
      </c>
      <c r="N71" s="7" t="s">
        <v>29</v>
      </c>
      <c r="O71" s="7" t="s">
        <v>29</v>
      </c>
      <c r="P71" s="7" t="s">
        <v>29</v>
      </c>
      <c r="Q71" s="7" t="s">
        <v>29</v>
      </c>
      <c r="R71" s="7" t="s">
        <v>29</v>
      </c>
      <c r="S71" s="7" t="s">
        <v>29</v>
      </c>
    </row>
    <row r="72" spans="2:19">
      <c r="B72" s="7" t="s">
        <v>195</v>
      </c>
      <c r="C72" s="8" t="s">
        <v>195</v>
      </c>
      <c r="D72" s="6" t="str">
        <f>LRTRIM(CONCATENATE(IF(SUMPRODUCT(-- ISNUMBER(SEARCH({"Auto Number"}, $B72))) &gt; 0, $B72, IF(SUMPRODUCT(-- ISNUMBER(SEARCH({"Lookup","Master-Detail"}, $B72))) &gt; 0,$B72 &amp; "(" &amp; $E72 &amp; ")",IF(SUMPRODUCT(-- ISNUMBER(SEARCH({"Formula","Roll-Up Summary"}, $B72))) &gt; 0,$B72 &amp; " (" &amp; $E72 &amp; ")",IF(SUMPRODUCT(-- ISNUMBER(SEARCH({"Content","Currency","Number","Percent","Text","URL"}, $B72))) &gt; 0,$B72 &amp; "(" &amp; $C72 &amp; ")",$B72)))), "  ", TRIM(IF($S72 = "YES", "(External ID)", "") &amp; " " &amp; IF(SUMPRODUCT(-- ISNUMBER(SEARCH({"Unique","Unique Case Insensitive"}, $R72))) &gt; 0, "(" &amp; $R72 &amp; ")", ""))))</f>
        <v>na</v>
      </c>
      <c r="E72" s="7" t="s">
        <v>195</v>
      </c>
      <c r="F72" s="7" t="s">
        <v>195</v>
      </c>
      <c r="G72" s="7" t="s">
        <v>195</v>
      </c>
      <c r="H72" s="7" t="s">
        <v>195</v>
      </c>
      <c r="I72" s="7" t="s">
        <v>195</v>
      </c>
      <c r="J72" s="7" t="s">
        <v>195</v>
      </c>
      <c r="K72" s="7" t="s">
        <v>195</v>
      </c>
      <c r="L72" s="7" t="s">
        <v>195</v>
      </c>
      <c r="M72" s="7" t="s">
        <v>29</v>
      </c>
      <c r="N72" s="7" t="s">
        <v>29</v>
      </c>
      <c r="O72" s="7" t="s">
        <v>29</v>
      </c>
      <c r="P72" s="7" t="s">
        <v>29</v>
      </c>
      <c r="Q72" s="7" t="s">
        <v>29</v>
      </c>
      <c r="R72" s="7" t="s">
        <v>29</v>
      </c>
      <c r="S72" s="7" t="s">
        <v>29</v>
      </c>
    </row>
    <row r="73" spans="2:19">
      <c r="B73" s="7" t="s">
        <v>195</v>
      </c>
      <c r="C73" s="8" t="s">
        <v>195</v>
      </c>
      <c r="D73" s="6" t="str">
        <f>LRTRIM(CONCATENATE(IF(SUMPRODUCT(-- ISNUMBER(SEARCH({"Auto Number"}, $B73))) &gt; 0, $B73, IF(SUMPRODUCT(-- ISNUMBER(SEARCH({"Lookup","Master-Detail"}, $B73))) &gt; 0,$B73 &amp; "(" &amp; $E73 &amp; ")",IF(SUMPRODUCT(-- ISNUMBER(SEARCH({"Formula","Roll-Up Summary"}, $B73))) &gt; 0,$B73 &amp; " (" &amp; $E73 &amp; ")",IF(SUMPRODUCT(-- ISNUMBER(SEARCH({"Content","Currency","Number","Percent","Text","URL"}, $B73))) &gt; 0,$B73 &amp; "(" &amp; $C73 &amp; ")",$B73)))), "  ", TRIM(IF($S73 = "YES", "(External ID)", "") &amp; " " &amp; IF(SUMPRODUCT(-- ISNUMBER(SEARCH({"Unique","Unique Case Insensitive"}, $R73))) &gt; 0, "(" &amp; $R73 &amp; ")", ""))))</f>
        <v>na</v>
      </c>
      <c r="E73" s="7" t="s">
        <v>195</v>
      </c>
      <c r="F73" s="7" t="s">
        <v>195</v>
      </c>
      <c r="G73" s="7" t="s">
        <v>195</v>
      </c>
      <c r="H73" s="7" t="s">
        <v>195</v>
      </c>
      <c r="I73" s="7" t="s">
        <v>195</v>
      </c>
      <c r="J73" s="7" t="s">
        <v>195</v>
      </c>
      <c r="K73" s="7" t="s">
        <v>195</v>
      </c>
      <c r="L73" s="7" t="s">
        <v>195</v>
      </c>
      <c r="M73" s="7" t="s">
        <v>29</v>
      </c>
      <c r="N73" s="7" t="s">
        <v>29</v>
      </c>
      <c r="O73" s="7" t="s">
        <v>29</v>
      </c>
      <c r="P73" s="7" t="s">
        <v>29</v>
      </c>
      <c r="Q73" s="7" t="s">
        <v>29</v>
      </c>
      <c r="R73" s="7" t="s">
        <v>29</v>
      </c>
      <c r="S73" s="7" t="s">
        <v>29</v>
      </c>
    </row>
    <row r="74" spans="2:19">
      <c r="B74" s="7" t="s">
        <v>195</v>
      </c>
      <c r="C74" s="8" t="s">
        <v>195</v>
      </c>
      <c r="D74" s="6" t="str">
        <f>LRTRIM(CONCATENATE(IF(SUMPRODUCT(-- ISNUMBER(SEARCH({"Auto Number"}, $B74))) &gt; 0, $B74, IF(SUMPRODUCT(-- ISNUMBER(SEARCH({"Lookup","Master-Detail"}, $B74))) &gt; 0,$B74 &amp; "(" &amp; $E74 &amp; ")",IF(SUMPRODUCT(-- ISNUMBER(SEARCH({"Formula","Roll-Up Summary"}, $B74))) &gt; 0,$B74 &amp; " (" &amp; $E74 &amp; ")",IF(SUMPRODUCT(-- ISNUMBER(SEARCH({"Content","Currency","Number","Percent","Text","URL"}, $B74))) &gt; 0,$B74 &amp; "(" &amp; $C74 &amp; ")",$B74)))), "  ", TRIM(IF($S74 = "YES", "(External ID)", "") &amp; " " &amp; IF(SUMPRODUCT(-- ISNUMBER(SEARCH({"Unique","Unique Case Insensitive"}, $R74))) &gt; 0, "(" &amp; $R74 &amp; ")", ""))))</f>
        <v>na</v>
      </c>
      <c r="E74" s="7" t="s">
        <v>195</v>
      </c>
      <c r="F74" s="7" t="s">
        <v>195</v>
      </c>
      <c r="G74" s="7" t="s">
        <v>195</v>
      </c>
      <c r="H74" s="7" t="s">
        <v>195</v>
      </c>
      <c r="I74" s="7" t="s">
        <v>195</v>
      </c>
      <c r="J74" s="7" t="s">
        <v>195</v>
      </c>
      <c r="K74" s="7" t="s">
        <v>195</v>
      </c>
      <c r="L74" s="7" t="s">
        <v>195</v>
      </c>
      <c r="M74" s="7" t="s">
        <v>29</v>
      </c>
      <c r="N74" s="7" t="s">
        <v>29</v>
      </c>
      <c r="O74" s="7" t="s">
        <v>29</v>
      </c>
      <c r="P74" s="7" t="s">
        <v>29</v>
      </c>
      <c r="Q74" s="7" t="s">
        <v>29</v>
      </c>
      <c r="R74" s="7" t="s">
        <v>29</v>
      </c>
      <c r="S74" s="7" t="s">
        <v>29</v>
      </c>
    </row>
    <row r="75" spans="2:19">
      <c r="B75" s="7" t="s">
        <v>195</v>
      </c>
      <c r="C75" s="8" t="s">
        <v>195</v>
      </c>
      <c r="D75" s="6" t="str">
        <f>LRTRIM(CONCATENATE(IF(SUMPRODUCT(-- ISNUMBER(SEARCH({"Auto Number"}, $B75))) &gt; 0, $B75, IF(SUMPRODUCT(-- ISNUMBER(SEARCH({"Lookup","Master-Detail"}, $B75))) &gt; 0,$B75 &amp; "(" &amp; $E75 &amp; ")",IF(SUMPRODUCT(-- ISNUMBER(SEARCH({"Formula","Roll-Up Summary"}, $B75))) &gt; 0,$B75 &amp; " (" &amp; $E75 &amp; ")",IF(SUMPRODUCT(-- ISNUMBER(SEARCH({"Content","Currency","Number","Percent","Text","URL"}, $B75))) &gt; 0,$B75 &amp; "(" &amp; $C75 &amp; ")",$B75)))), "  ", TRIM(IF($S75 = "YES", "(External ID)", "") &amp; " " &amp; IF(SUMPRODUCT(-- ISNUMBER(SEARCH({"Unique","Unique Case Insensitive"}, $R75))) &gt; 0, "(" &amp; $R75 &amp; ")", ""))))</f>
        <v>na</v>
      </c>
      <c r="E75" s="7" t="s">
        <v>195</v>
      </c>
      <c r="F75" s="7" t="s">
        <v>195</v>
      </c>
      <c r="G75" s="7" t="s">
        <v>195</v>
      </c>
      <c r="H75" s="7" t="s">
        <v>195</v>
      </c>
      <c r="I75" s="7" t="s">
        <v>195</v>
      </c>
      <c r="J75" s="7" t="s">
        <v>195</v>
      </c>
      <c r="K75" s="7" t="s">
        <v>195</v>
      </c>
      <c r="L75" s="7" t="s">
        <v>195</v>
      </c>
      <c r="M75" s="7" t="s">
        <v>29</v>
      </c>
      <c r="N75" s="7" t="s">
        <v>29</v>
      </c>
      <c r="O75" s="7" t="s">
        <v>29</v>
      </c>
      <c r="P75" s="7" t="s">
        <v>29</v>
      </c>
      <c r="Q75" s="7" t="s">
        <v>29</v>
      </c>
      <c r="R75" s="7" t="s">
        <v>29</v>
      </c>
      <c r="S75" s="7" t="s">
        <v>29</v>
      </c>
    </row>
    <row r="76" spans="2:19">
      <c r="B76" s="7" t="s">
        <v>195</v>
      </c>
      <c r="C76" s="8" t="s">
        <v>195</v>
      </c>
      <c r="D76" s="6" t="str">
        <f>LRTRIM(CONCATENATE(IF(SUMPRODUCT(-- ISNUMBER(SEARCH({"Auto Number"}, $B76))) &gt; 0, $B76, IF(SUMPRODUCT(-- ISNUMBER(SEARCH({"Lookup","Master-Detail"}, $B76))) &gt; 0,$B76 &amp; "(" &amp; $E76 &amp; ")",IF(SUMPRODUCT(-- ISNUMBER(SEARCH({"Formula","Roll-Up Summary"}, $B76))) &gt; 0,$B76 &amp; " (" &amp; $E76 &amp; ")",IF(SUMPRODUCT(-- ISNUMBER(SEARCH({"Content","Currency","Number","Percent","Text","URL"}, $B76))) &gt; 0,$B76 &amp; "(" &amp; $C76 &amp; ")",$B76)))), "  ", TRIM(IF($S76 = "YES", "(External ID)", "") &amp; " " &amp; IF(SUMPRODUCT(-- ISNUMBER(SEARCH({"Unique","Unique Case Insensitive"}, $R76))) &gt; 0, "(" &amp; $R76 &amp; ")", ""))))</f>
        <v>na</v>
      </c>
      <c r="E76" s="7" t="s">
        <v>195</v>
      </c>
      <c r="F76" s="7" t="s">
        <v>195</v>
      </c>
      <c r="G76" s="7" t="s">
        <v>195</v>
      </c>
      <c r="H76" s="7" t="s">
        <v>195</v>
      </c>
      <c r="I76" s="7" t="s">
        <v>195</v>
      </c>
      <c r="J76" s="7" t="s">
        <v>195</v>
      </c>
      <c r="K76" s="7" t="s">
        <v>195</v>
      </c>
      <c r="L76" s="7" t="s">
        <v>195</v>
      </c>
      <c r="M76" s="7" t="s">
        <v>29</v>
      </c>
      <c r="N76" s="7" t="s">
        <v>29</v>
      </c>
      <c r="O76" s="7" t="s">
        <v>29</v>
      </c>
      <c r="P76" s="7" t="s">
        <v>29</v>
      </c>
      <c r="Q76" s="7" t="s">
        <v>29</v>
      </c>
      <c r="R76" s="7" t="s">
        <v>29</v>
      </c>
      <c r="S76" s="7" t="s">
        <v>29</v>
      </c>
    </row>
    <row r="77" spans="2:19">
      <c r="B77" s="7" t="s">
        <v>195</v>
      </c>
      <c r="C77" s="8" t="s">
        <v>195</v>
      </c>
      <c r="D77" s="6" t="str">
        <f>LRTRIM(CONCATENATE(IF(SUMPRODUCT(-- ISNUMBER(SEARCH({"Auto Number"}, $B77))) &gt; 0, $B77, IF(SUMPRODUCT(-- ISNUMBER(SEARCH({"Lookup","Master-Detail"}, $B77))) &gt; 0,$B77 &amp; "(" &amp; $E77 &amp; ")",IF(SUMPRODUCT(-- ISNUMBER(SEARCH({"Formula","Roll-Up Summary"}, $B77))) &gt; 0,$B77 &amp; " (" &amp; $E77 &amp; ")",IF(SUMPRODUCT(-- ISNUMBER(SEARCH({"Content","Currency","Number","Percent","Text","URL"}, $B77))) &gt; 0,$B77 &amp; "(" &amp; $C77 &amp; ")",$B77)))), "  ", TRIM(IF($S77 = "YES", "(External ID)", "") &amp; " " &amp; IF(SUMPRODUCT(-- ISNUMBER(SEARCH({"Unique","Unique Case Insensitive"}, $R77))) &gt; 0, "(" &amp; $R77 &amp; ")", ""))))</f>
        <v>na</v>
      </c>
      <c r="E77" s="7" t="s">
        <v>195</v>
      </c>
      <c r="F77" s="7" t="s">
        <v>195</v>
      </c>
      <c r="G77" s="7" t="s">
        <v>195</v>
      </c>
      <c r="H77" s="7" t="s">
        <v>195</v>
      </c>
      <c r="I77" s="7" t="s">
        <v>195</v>
      </c>
      <c r="J77" s="7" t="s">
        <v>195</v>
      </c>
      <c r="K77" s="7" t="s">
        <v>195</v>
      </c>
      <c r="L77" s="7" t="s">
        <v>195</v>
      </c>
      <c r="M77" s="7" t="s">
        <v>29</v>
      </c>
      <c r="N77" s="7" t="s">
        <v>29</v>
      </c>
      <c r="O77" s="7" t="s">
        <v>29</v>
      </c>
      <c r="P77" s="7" t="s">
        <v>29</v>
      </c>
      <c r="Q77" s="7" t="s">
        <v>29</v>
      </c>
      <c r="R77" s="7" t="s">
        <v>29</v>
      </c>
      <c r="S77" s="7" t="s">
        <v>29</v>
      </c>
    </row>
    <row r="78" spans="2:19">
      <c r="B78" s="7" t="s">
        <v>195</v>
      </c>
      <c r="C78" s="8" t="s">
        <v>195</v>
      </c>
      <c r="D78" s="6" t="str">
        <f>LRTRIM(CONCATENATE(IF(SUMPRODUCT(-- ISNUMBER(SEARCH({"Auto Number"}, $B78))) &gt; 0, $B78, IF(SUMPRODUCT(-- ISNUMBER(SEARCH({"Lookup","Master-Detail"}, $B78))) &gt; 0,$B78 &amp; "(" &amp; $E78 &amp; ")",IF(SUMPRODUCT(-- ISNUMBER(SEARCH({"Formula","Roll-Up Summary"}, $B78))) &gt; 0,$B78 &amp; " (" &amp; $E78 &amp; ")",IF(SUMPRODUCT(-- ISNUMBER(SEARCH({"Content","Currency","Number","Percent","Text","URL"}, $B78))) &gt; 0,$B78 &amp; "(" &amp; $C78 &amp; ")",$B78)))), "  ", TRIM(IF($S78 = "YES", "(External ID)", "") &amp; " " &amp; IF(SUMPRODUCT(-- ISNUMBER(SEARCH({"Unique","Unique Case Insensitive"}, $R78))) &gt; 0, "(" &amp; $R78 &amp; ")", ""))))</f>
        <v>na</v>
      </c>
      <c r="E78" s="7" t="s">
        <v>195</v>
      </c>
      <c r="F78" s="7" t="s">
        <v>195</v>
      </c>
      <c r="G78" s="7" t="s">
        <v>195</v>
      </c>
      <c r="H78" s="7" t="s">
        <v>195</v>
      </c>
      <c r="I78" s="7" t="s">
        <v>195</v>
      </c>
      <c r="J78" s="7" t="s">
        <v>195</v>
      </c>
      <c r="K78" s="7" t="s">
        <v>195</v>
      </c>
      <c r="L78" s="7" t="s">
        <v>195</v>
      </c>
      <c r="M78" s="7" t="s">
        <v>29</v>
      </c>
      <c r="N78" s="7" t="s">
        <v>29</v>
      </c>
      <c r="O78" s="7" t="s">
        <v>29</v>
      </c>
      <c r="P78" s="7" t="s">
        <v>29</v>
      </c>
      <c r="Q78" s="7" t="s">
        <v>29</v>
      </c>
      <c r="R78" s="7" t="s">
        <v>29</v>
      </c>
      <c r="S78" s="7" t="s">
        <v>29</v>
      </c>
    </row>
    <row r="79" spans="2:19">
      <c r="B79" s="7" t="s">
        <v>195</v>
      </c>
      <c r="C79" s="8" t="s">
        <v>195</v>
      </c>
      <c r="D79" s="6" t="str">
        <f>LRTRIM(CONCATENATE(IF(SUMPRODUCT(-- ISNUMBER(SEARCH({"Auto Number"}, $B79))) &gt; 0, $B79, IF(SUMPRODUCT(-- ISNUMBER(SEARCH({"Lookup","Master-Detail"}, $B79))) &gt; 0,$B79 &amp; "(" &amp; $E79 &amp; ")",IF(SUMPRODUCT(-- ISNUMBER(SEARCH({"Formula","Roll-Up Summary"}, $B79))) &gt; 0,$B79 &amp; " (" &amp; $E79 &amp; ")",IF(SUMPRODUCT(-- ISNUMBER(SEARCH({"Content","Currency","Number","Percent","Text","URL"}, $B79))) &gt; 0,$B79 &amp; "(" &amp; $C79 &amp; ")",$B79)))), "  ", TRIM(IF($S79 = "YES", "(External ID)", "") &amp; " " &amp; IF(SUMPRODUCT(-- ISNUMBER(SEARCH({"Unique","Unique Case Insensitive"}, $R79))) &gt; 0, "(" &amp; $R79 &amp; ")", ""))))</f>
        <v>na</v>
      </c>
      <c r="E79" s="7" t="s">
        <v>195</v>
      </c>
      <c r="F79" s="7" t="s">
        <v>195</v>
      </c>
      <c r="G79" s="7" t="s">
        <v>195</v>
      </c>
      <c r="H79" s="7" t="s">
        <v>195</v>
      </c>
      <c r="I79" s="7" t="s">
        <v>195</v>
      </c>
      <c r="J79" s="7" t="s">
        <v>195</v>
      </c>
      <c r="K79" s="7" t="s">
        <v>195</v>
      </c>
      <c r="L79" s="7" t="s">
        <v>195</v>
      </c>
      <c r="M79" s="7" t="s">
        <v>29</v>
      </c>
      <c r="N79" s="7" t="s">
        <v>29</v>
      </c>
      <c r="O79" s="7" t="s">
        <v>29</v>
      </c>
      <c r="P79" s="7" t="s">
        <v>29</v>
      </c>
      <c r="Q79" s="7" t="s">
        <v>29</v>
      </c>
      <c r="R79" s="7" t="s">
        <v>29</v>
      </c>
      <c r="S79" s="7" t="s">
        <v>29</v>
      </c>
    </row>
    <row r="80" spans="2:19">
      <c r="B80" s="7" t="s">
        <v>195</v>
      </c>
      <c r="C80" s="8" t="s">
        <v>195</v>
      </c>
      <c r="D80" s="6" t="str">
        <f>LRTRIM(CONCATENATE(IF(SUMPRODUCT(-- ISNUMBER(SEARCH({"Auto Number"}, $B80))) &gt; 0, $B80, IF(SUMPRODUCT(-- ISNUMBER(SEARCH({"Lookup","Master-Detail"}, $B80))) &gt; 0,$B80 &amp; "(" &amp; $E80 &amp; ")",IF(SUMPRODUCT(-- ISNUMBER(SEARCH({"Formula","Roll-Up Summary"}, $B80))) &gt; 0,$B80 &amp; " (" &amp; $E80 &amp; ")",IF(SUMPRODUCT(-- ISNUMBER(SEARCH({"Content","Currency","Number","Percent","Text","URL"}, $B80))) &gt; 0,$B80 &amp; "(" &amp; $C80 &amp; ")",$B80)))), "  ", TRIM(IF($S80 = "YES", "(External ID)", "") &amp; " " &amp; IF(SUMPRODUCT(-- ISNUMBER(SEARCH({"Unique","Unique Case Insensitive"}, $R80))) &gt; 0, "(" &amp; $R80 &amp; ")", ""))))</f>
        <v>na</v>
      </c>
      <c r="E80" s="7" t="s">
        <v>195</v>
      </c>
      <c r="F80" s="7" t="s">
        <v>195</v>
      </c>
      <c r="G80" s="7" t="s">
        <v>195</v>
      </c>
      <c r="H80" s="7" t="s">
        <v>195</v>
      </c>
      <c r="I80" s="7" t="s">
        <v>195</v>
      </c>
      <c r="J80" s="7" t="s">
        <v>195</v>
      </c>
      <c r="K80" s="7" t="s">
        <v>195</v>
      </c>
      <c r="L80" s="7" t="s">
        <v>195</v>
      </c>
      <c r="M80" s="7" t="s">
        <v>29</v>
      </c>
      <c r="N80" s="7" t="s">
        <v>29</v>
      </c>
      <c r="O80" s="7" t="s">
        <v>29</v>
      </c>
      <c r="P80" s="7" t="s">
        <v>29</v>
      </c>
      <c r="Q80" s="7" t="s">
        <v>29</v>
      </c>
      <c r="R80" s="7" t="s">
        <v>29</v>
      </c>
      <c r="S80" s="7" t="s">
        <v>29</v>
      </c>
    </row>
    <row r="81" spans="2:19">
      <c r="B81" s="7" t="s">
        <v>195</v>
      </c>
      <c r="C81" s="8" t="s">
        <v>195</v>
      </c>
      <c r="D81" s="6" t="str">
        <f>LRTRIM(CONCATENATE(IF(SUMPRODUCT(-- ISNUMBER(SEARCH({"Auto Number"}, $B81))) &gt; 0, $B81, IF(SUMPRODUCT(-- ISNUMBER(SEARCH({"Lookup","Master-Detail"}, $B81))) &gt; 0,$B81 &amp; "(" &amp; $E81 &amp; ")",IF(SUMPRODUCT(-- ISNUMBER(SEARCH({"Formula","Roll-Up Summary"}, $B81))) &gt; 0,$B81 &amp; " (" &amp; $E81 &amp; ")",IF(SUMPRODUCT(-- ISNUMBER(SEARCH({"Content","Currency","Number","Percent","Text","URL"}, $B81))) &gt; 0,$B81 &amp; "(" &amp; $C81 &amp; ")",$B81)))), "  ", TRIM(IF($S81 = "YES", "(External ID)", "") &amp; " " &amp; IF(SUMPRODUCT(-- ISNUMBER(SEARCH({"Unique","Unique Case Insensitive"}, $R81))) &gt; 0, "(" &amp; $R81 &amp; ")", ""))))</f>
        <v>na</v>
      </c>
      <c r="E81" s="7" t="s">
        <v>195</v>
      </c>
      <c r="F81" s="7" t="s">
        <v>195</v>
      </c>
      <c r="G81" s="7" t="s">
        <v>195</v>
      </c>
      <c r="H81" s="7" t="s">
        <v>195</v>
      </c>
      <c r="I81" s="7" t="s">
        <v>195</v>
      </c>
      <c r="J81" s="7" t="s">
        <v>195</v>
      </c>
      <c r="K81" s="7" t="s">
        <v>195</v>
      </c>
      <c r="L81" s="7" t="s">
        <v>195</v>
      </c>
      <c r="M81" s="7" t="s">
        <v>29</v>
      </c>
      <c r="N81" s="7" t="s">
        <v>29</v>
      </c>
      <c r="O81" s="7" t="s">
        <v>29</v>
      </c>
      <c r="P81" s="7" t="s">
        <v>29</v>
      </c>
      <c r="Q81" s="7" t="s">
        <v>29</v>
      </c>
      <c r="R81" s="7" t="s">
        <v>29</v>
      </c>
      <c r="S81" s="7" t="s">
        <v>29</v>
      </c>
    </row>
    <row r="82" spans="2:19">
      <c r="B82" s="7" t="s">
        <v>195</v>
      </c>
      <c r="C82" s="8" t="s">
        <v>195</v>
      </c>
      <c r="D82" s="6" t="str">
        <f>LRTRIM(CONCATENATE(IF(SUMPRODUCT(-- ISNUMBER(SEARCH({"Auto Number"}, $B82))) &gt; 0, $B82, IF(SUMPRODUCT(-- ISNUMBER(SEARCH({"Lookup","Master-Detail"}, $B82))) &gt; 0,$B82 &amp; "(" &amp; $E82 &amp; ")",IF(SUMPRODUCT(-- ISNUMBER(SEARCH({"Formula","Roll-Up Summary"}, $B82))) &gt; 0,$B82 &amp; " (" &amp; $E82 &amp; ")",IF(SUMPRODUCT(-- ISNUMBER(SEARCH({"Content","Currency","Number","Percent","Text","URL"}, $B82))) &gt; 0,$B82 &amp; "(" &amp; $C82 &amp; ")",$B82)))), "  ", TRIM(IF($S82 = "YES", "(External ID)", "") &amp; " " &amp; IF(SUMPRODUCT(-- ISNUMBER(SEARCH({"Unique","Unique Case Insensitive"}, $R82))) &gt; 0, "(" &amp; $R82 &amp; ")", ""))))</f>
        <v>na</v>
      </c>
      <c r="E82" s="7" t="s">
        <v>195</v>
      </c>
      <c r="F82" s="7" t="s">
        <v>195</v>
      </c>
      <c r="G82" s="7" t="s">
        <v>195</v>
      </c>
      <c r="H82" s="7" t="s">
        <v>195</v>
      </c>
      <c r="I82" s="7" t="s">
        <v>195</v>
      </c>
      <c r="J82" s="7" t="s">
        <v>195</v>
      </c>
      <c r="K82" s="7" t="s">
        <v>195</v>
      </c>
      <c r="L82" s="7" t="s">
        <v>195</v>
      </c>
      <c r="M82" s="7" t="s">
        <v>29</v>
      </c>
      <c r="N82" s="7" t="s">
        <v>29</v>
      </c>
      <c r="O82" s="7" t="s">
        <v>29</v>
      </c>
      <c r="P82" s="7" t="s">
        <v>29</v>
      </c>
      <c r="Q82" s="7" t="s">
        <v>29</v>
      </c>
      <c r="R82" s="7" t="s">
        <v>29</v>
      </c>
      <c r="S82" s="7" t="s">
        <v>29</v>
      </c>
    </row>
    <row r="83" spans="2:19">
      <c r="B83" s="7" t="s">
        <v>195</v>
      </c>
      <c r="C83" s="8" t="s">
        <v>195</v>
      </c>
      <c r="D83" s="6" t="str">
        <f>LRTRIM(CONCATENATE(IF(SUMPRODUCT(-- ISNUMBER(SEARCH({"Auto Number"}, $B83))) &gt; 0, $B83, IF(SUMPRODUCT(-- ISNUMBER(SEARCH({"Lookup","Master-Detail"}, $B83))) &gt; 0,$B83 &amp; "(" &amp; $E83 &amp; ")",IF(SUMPRODUCT(-- ISNUMBER(SEARCH({"Formula","Roll-Up Summary"}, $B83))) &gt; 0,$B83 &amp; " (" &amp; $E83 &amp; ")",IF(SUMPRODUCT(-- ISNUMBER(SEARCH({"Content","Currency","Number","Percent","Text","URL"}, $B83))) &gt; 0,$B83 &amp; "(" &amp; $C83 &amp; ")",$B83)))), "  ", TRIM(IF($S83 = "YES", "(External ID)", "") &amp; " " &amp; IF(SUMPRODUCT(-- ISNUMBER(SEARCH({"Unique","Unique Case Insensitive"}, $R83))) &gt; 0, "(" &amp; $R83 &amp; ")", ""))))</f>
        <v>na</v>
      </c>
      <c r="E83" s="7" t="s">
        <v>195</v>
      </c>
      <c r="F83" s="7" t="s">
        <v>195</v>
      </c>
      <c r="G83" s="7" t="s">
        <v>195</v>
      </c>
      <c r="H83" s="7" t="s">
        <v>195</v>
      </c>
      <c r="I83" s="7" t="s">
        <v>195</v>
      </c>
      <c r="J83" s="7" t="s">
        <v>195</v>
      </c>
      <c r="K83" s="7" t="s">
        <v>195</v>
      </c>
      <c r="L83" s="7" t="s">
        <v>195</v>
      </c>
      <c r="M83" s="7" t="s">
        <v>29</v>
      </c>
      <c r="N83" s="7" t="s">
        <v>29</v>
      </c>
      <c r="O83" s="7" t="s">
        <v>29</v>
      </c>
      <c r="P83" s="7" t="s">
        <v>29</v>
      </c>
      <c r="Q83" s="7" t="s">
        <v>29</v>
      </c>
      <c r="R83" s="7" t="s">
        <v>29</v>
      </c>
      <c r="S83" s="7" t="s">
        <v>29</v>
      </c>
    </row>
    <row r="84" spans="2:19">
      <c r="B84" s="7" t="s">
        <v>195</v>
      </c>
      <c r="C84" s="8" t="s">
        <v>195</v>
      </c>
      <c r="D84" s="6" t="str">
        <f>LRTRIM(CONCATENATE(IF(SUMPRODUCT(-- ISNUMBER(SEARCH({"Auto Number"}, $B84))) &gt; 0, $B84, IF(SUMPRODUCT(-- ISNUMBER(SEARCH({"Lookup","Master-Detail"}, $B84))) &gt; 0,$B84 &amp; "(" &amp; $E84 &amp; ")",IF(SUMPRODUCT(-- ISNUMBER(SEARCH({"Formula","Roll-Up Summary"}, $B84))) &gt; 0,$B84 &amp; " (" &amp; $E84 &amp; ")",IF(SUMPRODUCT(-- ISNUMBER(SEARCH({"Content","Currency","Number","Percent","Text","URL"}, $B84))) &gt; 0,$B84 &amp; "(" &amp; $C84 &amp; ")",$B84)))), "  ", TRIM(IF($S84 = "YES", "(External ID)", "") &amp; " " &amp; IF(SUMPRODUCT(-- ISNUMBER(SEARCH({"Unique","Unique Case Insensitive"}, $R84))) &gt; 0, "(" &amp; $R84 &amp; ")", ""))))</f>
        <v>na</v>
      </c>
      <c r="E84" s="7" t="s">
        <v>195</v>
      </c>
      <c r="F84" s="7" t="s">
        <v>195</v>
      </c>
      <c r="G84" s="7" t="s">
        <v>195</v>
      </c>
      <c r="H84" s="7" t="s">
        <v>195</v>
      </c>
      <c r="I84" s="7" t="s">
        <v>195</v>
      </c>
      <c r="J84" s="7" t="s">
        <v>195</v>
      </c>
      <c r="K84" s="7" t="s">
        <v>195</v>
      </c>
      <c r="L84" s="7" t="s">
        <v>195</v>
      </c>
      <c r="M84" s="7" t="s">
        <v>29</v>
      </c>
      <c r="N84" s="7" t="s">
        <v>29</v>
      </c>
      <c r="O84" s="7" t="s">
        <v>29</v>
      </c>
      <c r="P84" s="7" t="s">
        <v>29</v>
      </c>
      <c r="Q84" s="7" t="s">
        <v>29</v>
      </c>
      <c r="R84" s="7" t="s">
        <v>29</v>
      </c>
      <c r="S84" s="7" t="s">
        <v>29</v>
      </c>
    </row>
    <row r="85" spans="2:19">
      <c r="B85" s="7" t="s">
        <v>195</v>
      </c>
      <c r="C85" s="8" t="s">
        <v>195</v>
      </c>
      <c r="D85" s="6" t="str">
        <f>LRTRIM(CONCATENATE(IF(SUMPRODUCT(-- ISNUMBER(SEARCH({"Auto Number"}, $B85))) &gt; 0, $B85, IF(SUMPRODUCT(-- ISNUMBER(SEARCH({"Lookup","Master-Detail"}, $B85))) &gt; 0,$B85 &amp; "(" &amp; $E85 &amp; ")",IF(SUMPRODUCT(-- ISNUMBER(SEARCH({"Formula","Roll-Up Summary"}, $B85))) &gt; 0,$B85 &amp; " (" &amp; $E85 &amp; ")",IF(SUMPRODUCT(-- ISNUMBER(SEARCH({"Content","Currency","Number","Percent","Text","URL"}, $B85))) &gt; 0,$B85 &amp; "(" &amp; $C85 &amp; ")",$B85)))), "  ", TRIM(IF($S85 = "YES", "(External ID)", "") &amp; " " &amp; IF(SUMPRODUCT(-- ISNUMBER(SEARCH({"Unique","Unique Case Insensitive"}, $R85))) &gt; 0, "(" &amp; $R85 &amp; ")", ""))))</f>
        <v>na</v>
      </c>
      <c r="E85" s="7" t="s">
        <v>195</v>
      </c>
      <c r="F85" s="7" t="s">
        <v>195</v>
      </c>
      <c r="G85" s="7" t="s">
        <v>195</v>
      </c>
      <c r="H85" s="7" t="s">
        <v>195</v>
      </c>
      <c r="I85" s="7" t="s">
        <v>195</v>
      </c>
      <c r="J85" s="7" t="s">
        <v>195</v>
      </c>
      <c r="K85" s="7" t="s">
        <v>195</v>
      </c>
      <c r="L85" s="7" t="s">
        <v>195</v>
      </c>
      <c r="M85" s="7" t="s">
        <v>29</v>
      </c>
      <c r="N85" s="7" t="s">
        <v>29</v>
      </c>
      <c r="O85" s="7" t="s">
        <v>29</v>
      </c>
      <c r="P85" s="7" t="s">
        <v>29</v>
      </c>
      <c r="Q85" s="7" t="s">
        <v>29</v>
      </c>
      <c r="R85" s="7" t="s">
        <v>29</v>
      </c>
      <c r="S85" s="7" t="s">
        <v>29</v>
      </c>
    </row>
    <row r="86" spans="2:19">
      <c r="B86" s="7" t="s">
        <v>195</v>
      </c>
      <c r="C86" s="8" t="s">
        <v>195</v>
      </c>
      <c r="D86" s="6" t="str">
        <f>LRTRIM(CONCATENATE(IF(SUMPRODUCT(-- ISNUMBER(SEARCH({"Auto Number"}, $B86))) &gt; 0, $B86, IF(SUMPRODUCT(-- ISNUMBER(SEARCH({"Lookup","Master-Detail"}, $B86))) &gt; 0,$B86 &amp; "(" &amp; $E86 &amp; ")",IF(SUMPRODUCT(-- ISNUMBER(SEARCH({"Formula","Roll-Up Summary"}, $B86))) &gt; 0,$B86 &amp; " (" &amp; $E86 &amp; ")",IF(SUMPRODUCT(-- ISNUMBER(SEARCH({"Content","Currency","Number","Percent","Text","URL"}, $B86))) &gt; 0,$B86 &amp; "(" &amp; $C86 &amp; ")",$B86)))), "  ", TRIM(IF($S86 = "YES", "(External ID)", "") &amp; " " &amp; IF(SUMPRODUCT(-- ISNUMBER(SEARCH({"Unique","Unique Case Insensitive"}, $R86))) &gt; 0, "(" &amp; $R86 &amp; ")", ""))))</f>
        <v>na</v>
      </c>
      <c r="E86" s="7" t="s">
        <v>195</v>
      </c>
      <c r="F86" s="7" t="s">
        <v>195</v>
      </c>
      <c r="G86" s="7" t="s">
        <v>195</v>
      </c>
      <c r="H86" s="7" t="s">
        <v>195</v>
      </c>
      <c r="I86" s="7" t="s">
        <v>195</v>
      </c>
      <c r="J86" s="7" t="s">
        <v>195</v>
      </c>
      <c r="K86" s="7" t="s">
        <v>195</v>
      </c>
      <c r="L86" s="7" t="s">
        <v>195</v>
      </c>
      <c r="M86" s="7" t="s">
        <v>29</v>
      </c>
      <c r="N86" s="7" t="s">
        <v>29</v>
      </c>
      <c r="O86" s="7" t="s">
        <v>29</v>
      </c>
      <c r="P86" s="7" t="s">
        <v>29</v>
      </c>
      <c r="Q86" s="7" t="s">
        <v>29</v>
      </c>
      <c r="R86" s="7" t="s">
        <v>29</v>
      </c>
      <c r="S86" s="7" t="s">
        <v>29</v>
      </c>
    </row>
    <row r="87" spans="2:19">
      <c r="B87" s="7" t="s">
        <v>195</v>
      </c>
      <c r="C87" s="8" t="s">
        <v>195</v>
      </c>
      <c r="D87" s="6" t="str">
        <f>LRTRIM(CONCATENATE(IF(SUMPRODUCT(-- ISNUMBER(SEARCH({"Auto Number"}, $B87))) &gt; 0, $B87, IF(SUMPRODUCT(-- ISNUMBER(SEARCH({"Lookup","Master-Detail"}, $B87))) &gt; 0,$B87 &amp; "(" &amp; $E87 &amp; ")",IF(SUMPRODUCT(-- ISNUMBER(SEARCH({"Formula","Roll-Up Summary"}, $B87))) &gt; 0,$B87 &amp; " (" &amp; $E87 &amp; ")",IF(SUMPRODUCT(-- ISNUMBER(SEARCH({"Content","Currency","Number","Percent","Text","URL"}, $B87))) &gt; 0,$B87 &amp; "(" &amp; $C87 &amp; ")",$B87)))), "  ", TRIM(IF($S87 = "YES", "(External ID)", "") &amp; " " &amp; IF(SUMPRODUCT(-- ISNUMBER(SEARCH({"Unique","Unique Case Insensitive"}, $R87))) &gt; 0, "(" &amp; $R87 &amp; ")", ""))))</f>
        <v>na</v>
      </c>
      <c r="E87" s="7" t="s">
        <v>195</v>
      </c>
      <c r="F87" s="7" t="s">
        <v>195</v>
      </c>
      <c r="G87" s="7" t="s">
        <v>195</v>
      </c>
      <c r="H87" s="7" t="s">
        <v>195</v>
      </c>
      <c r="I87" s="7" t="s">
        <v>195</v>
      </c>
      <c r="J87" s="7" t="s">
        <v>195</v>
      </c>
      <c r="K87" s="7" t="s">
        <v>195</v>
      </c>
      <c r="L87" s="7" t="s">
        <v>195</v>
      </c>
      <c r="M87" s="7" t="s">
        <v>29</v>
      </c>
      <c r="N87" s="7" t="s">
        <v>29</v>
      </c>
      <c r="O87" s="7" t="s">
        <v>29</v>
      </c>
      <c r="P87" s="7" t="s">
        <v>29</v>
      </c>
      <c r="Q87" s="7" t="s">
        <v>29</v>
      </c>
      <c r="R87" s="7" t="s">
        <v>29</v>
      </c>
      <c r="S87" s="7" t="s">
        <v>29</v>
      </c>
    </row>
    <row r="88" spans="2:19">
      <c r="B88" s="7" t="s">
        <v>195</v>
      </c>
      <c r="C88" s="8" t="s">
        <v>195</v>
      </c>
      <c r="D88" s="6" t="str">
        <f>LRTRIM(CONCATENATE(IF(SUMPRODUCT(-- ISNUMBER(SEARCH({"Auto Number"}, $B88))) &gt; 0, $B88, IF(SUMPRODUCT(-- ISNUMBER(SEARCH({"Lookup","Master-Detail"}, $B88))) &gt; 0,$B88 &amp; "(" &amp; $E88 &amp; ")",IF(SUMPRODUCT(-- ISNUMBER(SEARCH({"Formula","Roll-Up Summary"}, $B88))) &gt; 0,$B88 &amp; " (" &amp; $E88 &amp; ")",IF(SUMPRODUCT(-- ISNUMBER(SEARCH({"Content","Currency","Number","Percent","Text","URL"}, $B88))) &gt; 0,$B88 &amp; "(" &amp; $C88 &amp; ")",$B88)))), "  ", TRIM(IF($S88 = "YES", "(External ID)", "") &amp; " " &amp; IF(SUMPRODUCT(-- ISNUMBER(SEARCH({"Unique","Unique Case Insensitive"}, $R88))) &gt; 0, "(" &amp; $R88 &amp; ")", ""))))</f>
        <v>na</v>
      </c>
      <c r="E88" s="7" t="s">
        <v>195</v>
      </c>
      <c r="F88" s="7" t="s">
        <v>195</v>
      </c>
      <c r="G88" s="7" t="s">
        <v>195</v>
      </c>
      <c r="H88" s="7" t="s">
        <v>195</v>
      </c>
      <c r="I88" s="7" t="s">
        <v>195</v>
      </c>
      <c r="J88" s="7" t="s">
        <v>195</v>
      </c>
      <c r="K88" s="7" t="s">
        <v>195</v>
      </c>
      <c r="L88" s="7" t="s">
        <v>195</v>
      </c>
      <c r="M88" s="7" t="s">
        <v>29</v>
      </c>
      <c r="N88" s="7" t="s">
        <v>29</v>
      </c>
      <c r="O88" s="7" t="s">
        <v>29</v>
      </c>
      <c r="P88" s="7" t="s">
        <v>29</v>
      </c>
      <c r="Q88" s="7" t="s">
        <v>29</v>
      </c>
      <c r="R88" s="7" t="s">
        <v>29</v>
      </c>
      <c r="S88" s="7" t="s">
        <v>29</v>
      </c>
    </row>
    <row r="89" spans="2:19">
      <c r="B89" s="7" t="s">
        <v>195</v>
      </c>
      <c r="C89" s="8" t="s">
        <v>195</v>
      </c>
      <c r="D89" s="6" t="str">
        <f>LRTRIM(CONCATENATE(IF(SUMPRODUCT(-- ISNUMBER(SEARCH({"Auto Number"}, $B89))) &gt; 0, $B89, IF(SUMPRODUCT(-- ISNUMBER(SEARCH({"Lookup","Master-Detail"}, $B89))) &gt; 0,$B89 &amp; "(" &amp; $E89 &amp; ")",IF(SUMPRODUCT(-- ISNUMBER(SEARCH({"Formula","Roll-Up Summary"}, $B89))) &gt; 0,$B89 &amp; " (" &amp; $E89 &amp; ")",IF(SUMPRODUCT(-- ISNUMBER(SEARCH({"Content","Currency","Number","Percent","Text","URL"}, $B89))) &gt; 0,$B89 &amp; "(" &amp; $C89 &amp; ")",$B89)))), "  ", TRIM(IF($S89 = "YES", "(External ID)", "") &amp; " " &amp; IF(SUMPRODUCT(-- ISNUMBER(SEARCH({"Unique","Unique Case Insensitive"}, $R89))) &gt; 0, "(" &amp; $R89 &amp; ")", ""))))</f>
        <v>na</v>
      </c>
      <c r="E89" s="7" t="s">
        <v>195</v>
      </c>
      <c r="F89" s="7" t="s">
        <v>195</v>
      </c>
      <c r="G89" s="7" t="s">
        <v>195</v>
      </c>
      <c r="H89" s="7" t="s">
        <v>195</v>
      </c>
      <c r="I89" s="7" t="s">
        <v>195</v>
      </c>
      <c r="J89" s="7" t="s">
        <v>195</v>
      </c>
      <c r="K89" s="7" t="s">
        <v>195</v>
      </c>
      <c r="L89" s="7" t="s">
        <v>195</v>
      </c>
      <c r="M89" s="7" t="s">
        <v>29</v>
      </c>
      <c r="N89" s="7" t="s">
        <v>29</v>
      </c>
      <c r="O89" s="7" t="s">
        <v>29</v>
      </c>
      <c r="P89" s="7" t="s">
        <v>29</v>
      </c>
      <c r="Q89" s="7" t="s">
        <v>29</v>
      </c>
      <c r="R89" s="7" t="s">
        <v>29</v>
      </c>
      <c r="S89" s="7" t="s">
        <v>29</v>
      </c>
    </row>
    <row r="90" spans="2:19">
      <c r="B90" s="7" t="s">
        <v>195</v>
      </c>
      <c r="C90" s="8" t="s">
        <v>195</v>
      </c>
      <c r="D90" s="6" t="str">
        <f>LRTRIM(CONCATENATE(IF(SUMPRODUCT(-- ISNUMBER(SEARCH({"Auto Number"}, $B90))) &gt; 0, $B90, IF(SUMPRODUCT(-- ISNUMBER(SEARCH({"Lookup","Master-Detail"}, $B90))) &gt; 0,$B90 &amp; "(" &amp; $E90 &amp; ")",IF(SUMPRODUCT(-- ISNUMBER(SEARCH({"Formula","Roll-Up Summary"}, $B90))) &gt; 0,$B90 &amp; " (" &amp; $E90 &amp; ")",IF(SUMPRODUCT(-- ISNUMBER(SEARCH({"Content","Currency","Number","Percent","Text","URL"}, $B90))) &gt; 0,$B90 &amp; "(" &amp; $C90 &amp; ")",$B90)))), "  ", TRIM(IF($S90 = "YES", "(External ID)", "") &amp; " " &amp; IF(SUMPRODUCT(-- ISNUMBER(SEARCH({"Unique","Unique Case Insensitive"}, $R90))) &gt; 0, "(" &amp; $R90 &amp; ")", ""))))</f>
        <v>na</v>
      </c>
      <c r="E90" s="7" t="s">
        <v>195</v>
      </c>
      <c r="F90" s="7" t="s">
        <v>195</v>
      </c>
      <c r="G90" s="7" t="s">
        <v>195</v>
      </c>
      <c r="H90" s="7" t="s">
        <v>195</v>
      </c>
      <c r="I90" s="7" t="s">
        <v>195</v>
      </c>
      <c r="J90" s="7" t="s">
        <v>195</v>
      </c>
      <c r="K90" s="7" t="s">
        <v>195</v>
      </c>
      <c r="L90" s="7" t="s">
        <v>195</v>
      </c>
      <c r="M90" s="7" t="s">
        <v>29</v>
      </c>
      <c r="N90" s="7" t="s">
        <v>29</v>
      </c>
      <c r="O90" s="7" t="s">
        <v>29</v>
      </c>
      <c r="P90" s="7" t="s">
        <v>29</v>
      </c>
      <c r="Q90" s="7" t="s">
        <v>29</v>
      </c>
      <c r="R90" s="7" t="s">
        <v>29</v>
      </c>
      <c r="S90" s="7" t="s">
        <v>29</v>
      </c>
    </row>
    <row r="91" spans="2:19">
      <c r="B91" s="7" t="s">
        <v>195</v>
      </c>
      <c r="C91" s="8" t="s">
        <v>195</v>
      </c>
      <c r="D91" s="6" t="str">
        <f>LRTRIM(CONCATENATE(IF(SUMPRODUCT(-- ISNUMBER(SEARCH({"Auto Number"}, $B91))) &gt; 0, $B91, IF(SUMPRODUCT(-- ISNUMBER(SEARCH({"Lookup","Master-Detail"}, $B91))) &gt; 0,$B91 &amp; "(" &amp; $E91 &amp; ")",IF(SUMPRODUCT(-- ISNUMBER(SEARCH({"Formula","Roll-Up Summary"}, $B91))) &gt; 0,$B91 &amp; " (" &amp; $E91 &amp; ")",IF(SUMPRODUCT(-- ISNUMBER(SEARCH({"Content","Currency","Number","Percent","Text","URL"}, $B91))) &gt; 0,$B91 &amp; "(" &amp; $C91 &amp; ")",$B91)))), "  ", TRIM(IF($S91 = "YES", "(External ID)", "") &amp; " " &amp; IF(SUMPRODUCT(-- ISNUMBER(SEARCH({"Unique","Unique Case Insensitive"}, $R91))) &gt; 0, "(" &amp; $R91 &amp; ")", ""))))</f>
        <v>na</v>
      </c>
      <c r="E91" s="7" t="s">
        <v>195</v>
      </c>
      <c r="F91" s="7" t="s">
        <v>195</v>
      </c>
      <c r="G91" s="7" t="s">
        <v>195</v>
      </c>
      <c r="H91" s="7" t="s">
        <v>195</v>
      </c>
      <c r="I91" s="7" t="s">
        <v>195</v>
      </c>
      <c r="J91" s="7" t="s">
        <v>195</v>
      </c>
      <c r="K91" s="7" t="s">
        <v>195</v>
      </c>
      <c r="L91" s="7" t="s">
        <v>195</v>
      </c>
      <c r="M91" s="7" t="s">
        <v>29</v>
      </c>
      <c r="N91" s="7" t="s">
        <v>29</v>
      </c>
      <c r="O91" s="7" t="s">
        <v>29</v>
      </c>
      <c r="P91" s="7" t="s">
        <v>29</v>
      </c>
      <c r="Q91" s="7" t="s">
        <v>29</v>
      </c>
      <c r="R91" s="7" t="s">
        <v>29</v>
      </c>
      <c r="S91" s="7" t="s">
        <v>29</v>
      </c>
    </row>
    <row r="92" spans="2:19">
      <c r="B92" s="7" t="s">
        <v>195</v>
      </c>
      <c r="C92" s="8" t="s">
        <v>195</v>
      </c>
      <c r="D92" s="6" t="str">
        <f>LRTRIM(CONCATENATE(IF(SUMPRODUCT(-- ISNUMBER(SEARCH({"Auto Number"}, $B92))) &gt; 0, $B92, IF(SUMPRODUCT(-- ISNUMBER(SEARCH({"Lookup","Master-Detail"}, $B92))) &gt; 0,$B92 &amp; "(" &amp; $E92 &amp; ")",IF(SUMPRODUCT(-- ISNUMBER(SEARCH({"Formula","Roll-Up Summary"}, $B92))) &gt; 0,$B92 &amp; " (" &amp; $E92 &amp; ")",IF(SUMPRODUCT(-- ISNUMBER(SEARCH({"Content","Currency","Number","Percent","Text","URL"}, $B92))) &gt; 0,$B92 &amp; "(" &amp; $C92 &amp; ")",$B92)))), "  ", TRIM(IF($S92 = "YES", "(External ID)", "") &amp; " " &amp; IF(SUMPRODUCT(-- ISNUMBER(SEARCH({"Unique","Unique Case Insensitive"}, $R92))) &gt; 0, "(" &amp; $R92 &amp; ")", ""))))</f>
        <v>na</v>
      </c>
      <c r="E92" s="7" t="s">
        <v>195</v>
      </c>
      <c r="F92" s="7" t="s">
        <v>195</v>
      </c>
      <c r="G92" s="7" t="s">
        <v>195</v>
      </c>
      <c r="H92" s="7" t="s">
        <v>195</v>
      </c>
      <c r="I92" s="7" t="s">
        <v>195</v>
      </c>
      <c r="J92" s="7" t="s">
        <v>195</v>
      </c>
      <c r="K92" s="7" t="s">
        <v>195</v>
      </c>
      <c r="L92" s="7" t="s">
        <v>195</v>
      </c>
      <c r="M92" s="7" t="s">
        <v>29</v>
      </c>
      <c r="N92" s="7" t="s">
        <v>29</v>
      </c>
      <c r="O92" s="7" t="s">
        <v>29</v>
      </c>
      <c r="P92" s="7" t="s">
        <v>29</v>
      </c>
      <c r="Q92" s="7" t="s">
        <v>29</v>
      </c>
      <c r="R92" s="7" t="s">
        <v>29</v>
      </c>
      <c r="S92" s="7" t="s">
        <v>29</v>
      </c>
    </row>
    <row r="93" spans="2:19">
      <c r="B93" s="7" t="s">
        <v>195</v>
      </c>
      <c r="C93" s="8" t="s">
        <v>195</v>
      </c>
      <c r="D93" s="6" t="str">
        <f>LRTRIM(CONCATENATE(IF(SUMPRODUCT(-- ISNUMBER(SEARCH({"Auto Number"}, $B93))) &gt; 0, $B93, IF(SUMPRODUCT(-- ISNUMBER(SEARCH({"Lookup","Master-Detail"}, $B93))) &gt; 0,$B93 &amp; "(" &amp; $E93 &amp; ")",IF(SUMPRODUCT(-- ISNUMBER(SEARCH({"Formula","Roll-Up Summary"}, $B93))) &gt; 0,$B93 &amp; " (" &amp; $E93 &amp; ")",IF(SUMPRODUCT(-- ISNUMBER(SEARCH({"Content","Currency","Number","Percent","Text","URL"}, $B93))) &gt; 0,$B93 &amp; "(" &amp; $C93 &amp; ")",$B93)))), "  ", TRIM(IF($S93 = "YES", "(External ID)", "") &amp; " " &amp; IF(SUMPRODUCT(-- ISNUMBER(SEARCH({"Unique","Unique Case Insensitive"}, $R93))) &gt; 0, "(" &amp; $R93 &amp; ")", ""))))</f>
        <v>na</v>
      </c>
      <c r="E93" s="7" t="s">
        <v>195</v>
      </c>
      <c r="F93" s="7" t="s">
        <v>195</v>
      </c>
      <c r="G93" s="7" t="s">
        <v>195</v>
      </c>
      <c r="H93" s="7" t="s">
        <v>195</v>
      </c>
      <c r="I93" s="7" t="s">
        <v>195</v>
      </c>
      <c r="J93" s="7" t="s">
        <v>195</v>
      </c>
      <c r="K93" s="7" t="s">
        <v>195</v>
      </c>
      <c r="L93" s="7" t="s">
        <v>195</v>
      </c>
      <c r="M93" s="7" t="s">
        <v>29</v>
      </c>
      <c r="N93" s="7" t="s">
        <v>29</v>
      </c>
      <c r="O93" s="7" t="s">
        <v>29</v>
      </c>
      <c r="P93" s="7" t="s">
        <v>29</v>
      </c>
      <c r="Q93" s="7" t="s">
        <v>29</v>
      </c>
      <c r="R93" s="7" t="s">
        <v>29</v>
      </c>
      <c r="S93" s="7" t="s">
        <v>29</v>
      </c>
    </row>
    <row r="94" spans="2:19">
      <c r="B94" s="7" t="s">
        <v>195</v>
      </c>
      <c r="C94" s="8" t="s">
        <v>195</v>
      </c>
      <c r="D94" s="6" t="str">
        <f>LRTRIM(CONCATENATE(IF(SUMPRODUCT(-- ISNUMBER(SEARCH({"Auto Number"}, $B94))) &gt; 0, $B94, IF(SUMPRODUCT(-- ISNUMBER(SEARCH({"Lookup","Master-Detail"}, $B94))) &gt; 0,$B94 &amp; "(" &amp; $E94 &amp; ")",IF(SUMPRODUCT(-- ISNUMBER(SEARCH({"Formula","Roll-Up Summary"}, $B94))) &gt; 0,$B94 &amp; " (" &amp; $E94 &amp; ")",IF(SUMPRODUCT(-- ISNUMBER(SEARCH({"Content","Currency","Number","Percent","Text","URL"}, $B94))) &gt; 0,$B94 &amp; "(" &amp; $C94 &amp; ")",$B94)))), "  ", TRIM(IF($S94 = "YES", "(External ID)", "") &amp; " " &amp; IF(SUMPRODUCT(-- ISNUMBER(SEARCH({"Unique","Unique Case Insensitive"}, $R94))) &gt; 0, "(" &amp; $R94 &amp; ")", ""))))</f>
        <v>na</v>
      </c>
      <c r="E94" s="7" t="s">
        <v>195</v>
      </c>
      <c r="F94" s="7" t="s">
        <v>195</v>
      </c>
      <c r="G94" s="7" t="s">
        <v>195</v>
      </c>
      <c r="H94" s="7" t="s">
        <v>195</v>
      </c>
      <c r="I94" s="7" t="s">
        <v>195</v>
      </c>
      <c r="J94" s="7" t="s">
        <v>195</v>
      </c>
      <c r="K94" s="7" t="s">
        <v>195</v>
      </c>
      <c r="L94" s="7" t="s">
        <v>195</v>
      </c>
      <c r="M94" s="7" t="s">
        <v>29</v>
      </c>
      <c r="N94" s="7" t="s">
        <v>29</v>
      </c>
      <c r="O94" s="7" t="s">
        <v>29</v>
      </c>
      <c r="P94" s="7" t="s">
        <v>29</v>
      </c>
      <c r="Q94" s="7" t="s">
        <v>29</v>
      </c>
      <c r="R94" s="7" t="s">
        <v>29</v>
      </c>
      <c r="S94" s="7" t="s">
        <v>29</v>
      </c>
    </row>
    <row r="95" spans="2:19">
      <c r="B95" s="7" t="s">
        <v>195</v>
      </c>
      <c r="C95" s="8" t="s">
        <v>195</v>
      </c>
      <c r="D95" s="6" t="str">
        <f>LRTRIM(CONCATENATE(IF(SUMPRODUCT(-- ISNUMBER(SEARCH({"Auto Number"}, $B95))) &gt; 0, $B95, IF(SUMPRODUCT(-- ISNUMBER(SEARCH({"Lookup","Master-Detail"}, $B95))) &gt; 0,$B95 &amp; "(" &amp; $E95 &amp; ")",IF(SUMPRODUCT(-- ISNUMBER(SEARCH({"Formula","Roll-Up Summary"}, $B95))) &gt; 0,$B95 &amp; " (" &amp; $E95 &amp; ")",IF(SUMPRODUCT(-- ISNUMBER(SEARCH({"Content","Currency","Number","Percent","Text","URL"}, $B95))) &gt; 0,$B95 &amp; "(" &amp; $C95 &amp; ")",$B95)))), "  ", TRIM(IF($S95 = "YES", "(External ID)", "") &amp; " " &amp; IF(SUMPRODUCT(-- ISNUMBER(SEARCH({"Unique","Unique Case Insensitive"}, $R95))) &gt; 0, "(" &amp; $R95 &amp; ")", ""))))</f>
        <v>na</v>
      </c>
      <c r="E95" s="7" t="s">
        <v>195</v>
      </c>
      <c r="F95" s="7" t="s">
        <v>195</v>
      </c>
      <c r="G95" s="7" t="s">
        <v>195</v>
      </c>
      <c r="H95" s="7" t="s">
        <v>195</v>
      </c>
      <c r="I95" s="7" t="s">
        <v>195</v>
      </c>
      <c r="J95" s="7" t="s">
        <v>195</v>
      </c>
      <c r="K95" s="7" t="s">
        <v>195</v>
      </c>
      <c r="L95" s="7" t="s">
        <v>195</v>
      </c>
      <c r="M95" s="7" t="s">
        <v>29</v>
      </c>
      <c r="N95" s="7" t="s">
        <v>29</v>
      </c>
      <c r="O95" s="7" t="s">
        <v>29</v>
      </c>
      <c r="P95" s="7" t="s">
        <v>29</v>
      </c>
      <c r="Q95" s="7" t="s">
        <v>29</v>
      </c>
      <c r="R95" s="7" t="s">
        <v>29</v>
      </c>
      <c r="S95" s="7" t="s">
        <v>29</v>
      </c>
    </row>
    <row r="96" spans="2:19">
      <c r="B96" s="7" t="s">
        <v>195</v>
      </c>
      <c r="C96" s="8" t="s">
        <v>195</v>
      </c>
      <c r="D96" s="6" t="str">
        <f>LRTRIM(CONCATENATE(IF(SUMPRODUCT(-- ISNUMBER(SEARCH({"Auto Number"}, $B96))) &gt; 0, $B96, IF(SUMPRODUCT(-- ISNUMBER(SEARCH({"Lookup","Master-Detail"}, $B96))) &gt; 0,$B96 &amp; "(" &amp; $E96 &amp; ")",IF(SUMPRODUCT(-- ISNUMBER(SEARCH({"Formula","Roll-Up Summary"}, $B96))) &gt; 0,$B96 &amp; " (" &amp; $E96 &amp; ")",IF(SUMPRODUCT(-- ISNUMBER(SEARCH({"Content","Currency","Number","Percent","Text","URL"}, $B96))) &gt; 0,$B96 &amp; "(" &amp; $C96 &amp; ")",$B96)))), "  ", TRIM(IF($S96 = "YES", "(External ID)", "") &amp; " " &amp; IF(SUMPRODUCT(-- ISNUMBER(SEARCH({"Unique","Unique Case Insensitive"}, $R96))) &gt; 0, "(" &amp; $R96 &amp; ")", ""))))</f>
        <v>na</v>
      </c>
      <c r="E96" s="7" t="s">
        <v>195</v>
      </c>
      <c r="F96" s="7" t="s">
        <v>195</v>
      </c>
      <c r="G96" s="7" t="s">
        <v>195</v>
      </c>
      <c r="H96" s="7" t="s">
        <v>195</v>
      </c>
      <c r="I96" s="7" t="s">
        <v>195</v>
      </c>
      <c r="J96" s="7" t="s">
        <v>195</v>
      </c>
      <c r="K96" s="7" t="s">
        <v>195</v>
      </c>
      <c r="L96" s="7" t="s">
        <v>195</v>
      </c>
      <c r="M96" s="7" t="s">
        <v>29</v>
      </c>
      <c r="N96" s="7" t="s">
        <v>29</v>
      </c>
      <c r="O96" s="7" t="s">
        <v>29</v>
      </c>
      <c r="P96" s="7" t="s">
        <v>29</v>
      </c>
      <c r="Q96" s="7" t="s">
        <v>29</v>
      </c>
      <c r="R96" s="7" t="s">
        <v>29</v>
      </c>
      <c r="S96" s="7" t="s">
        <v>29</v>
      </c>
    </row>
    <row r="97" spans="2:19">
      <c r="B97" s="7" t="s">
        <v>195</v>
      </c>
      <c r="C97" s="8" t="s">
        <v>195</v>
      </c>
      <c r="D97" s="6" t="str">
        <f>LRTRIM(CONCATENATE(IF(SUMPRODUCT(-- ISNUMBER(SEARCH({"Auto Number"}, $B97))) &gt; 0, $B97, IF(SUMPRODUCT(-- ISNUMBER(SEARCH({"Lookup","Master-Detail"}, $B97))) &gt; 0,$B97 &amp; "(" &amp; $E97 &amp; ")",IF(SUMPRODUCT(-- ISNUMBER(SEARCH({"Formula","Roll-Up Summary"}, $B97))) &gt; 0,$B97 &amp; " (" &amp; $E97 &amp; ")",IF(SUMPRODUCT(-- ISNUMBER(SEARCH({"Content","Currency","Number","Percent","Text","URL"}, $B97))) &gt; 0,$B97 &amp; "(" &amp; $C97 &amp; ")",$B97)))), "  ", TRIM(IF($S97 = "YES", "(External ID)", "") &amp; " " &amp; IF(SUMPRODUCT(-- ISNUMBER(SEARCH({"Unique","Unique Case Insensitive"}, $R97))) &gt; 0, "(" &amp; $R97 &amp; ")", ""))))</f>
        <v>na</v>
      </c>
      <c r="E97" s="7" t="s">
        <v>195</v>
      </c>
      <c r="F97" s="7" t="s">
        <v>195</v>
      </c>
      <c r="G97" s="7" t="s">
        <v>195</v>
      </c>
      <c r="H97" s="7" t="s">
        <v>195</v>
      </c>
      <c r="I97" s="7" t="s">
        <v>195</v>
      </c>
      <c r="J97" s="7" t="s">
        <v>195</v>
      </c>
      <c r="K97" s="7" t="s">
        <v>195</v>
      </c>
      <c r="L97" s="7" t="s">
        <v>195</v>
      </c>
      <c r="M97" s="7" t="s">
        <v>29</v>
      </c>
      <c r="N97" s="7" t="s">
        <v>29</v>
      </c>
      <c r="O97" s="7" t="s">
        <v>29</v>
      </c>
      <c r="P97" s="7" t="s">
        <v>29</v>
      </c>
      <c r="Q97" s="7" t="s">
        <v>29</v>
      </c>
      <c r="R97" s="7" t="s">
        <v>29</v>
      </c>
      <c r="S97" s="7" t="s">
        <v>29</v>
      </c>
    </row>
    <row r="98" spans="2:19">
      <c r="B98" s="7" t="s">
        <v>195</v>
      </c>
      <c r="C98" s="8" t="s">
        <v>195</v>
      </c>
      <c r="D98" s="6" t="str">
        <f>LRTRIM(CONCATENATE(IF(SUMPRODUCT(-- ISNUMBER(SEARCH({"Auto Number"}, $B98))) &gt; 0, $B98, IF(SUMPRODUCT(-- ISNUMBER(SEARCH({"Lookup","Master-Detail"}, $B98))) &gt; 0,$B98 &amp; "(" &amp; $E98 &amp; ")",IF(SUMPRODUCT(-- ISNUMBER(SEARCH({"Formula","Roll-Up Summary"}, $B98))) &gt; 0,$B98 &amp; " (" &amp; $E98 &amp; ")",IF(SUMPRODUCT(-- ISNUMBER(SEARCH({"Content","Currency","Number","Percent","Text","URL"}, $B98))) &gt; 0,$B98 &amp; "(" &amp; $C98 &amp; ")",$B98)))), "  ", TRIM(IF($S98 = "YES", "(External ID)", "") &amp; " " &amp; IF(SUMPRODUCT(-- ISNUMBER(SEARCH({"Unique","Unique Case Insensitive"}, $R98))) &gt; 0, "(" &amp; $R98 &amp; ")", ""))))</f>
        <v>na</v>
      </c>
      <c r="E98" s="7" t="s">
        <v>195</v>
      </c>
      <c r="F98" s="7" t="s">
        <v>195</v>
      </c>
      <c r="G98" s="7" t="s">
        <v>195</v>
      </c>
      <c r="H98" s="7" t="s">
        <v>195</v>
      </c>
      <c r="I98" s="7" t="s">
        <v>195</v>
      </c>
      <c r="J98" s="7" t="s">
        <v>195</v>
      </c>
      <c r="K98" s="7" t="s">
        <v>195</v>
      </c>
      <c r="L98" s="7" t="s">
        <v>195</v>
      </c>
      <c r="M98" s="7" t="s">
        <v>29</v>
      </c>
      <c r="N98" s="7" t="s">
        <v>29</v>
      </c>
      <c r="O98" s="7" t="s">
        <v>29</v>
      </c>
      <c r="P98" s="7" t="s">
        <v>29</v>
      </c>
      <c r="Q98" s="7" t="s">
        <v>29</v>
      </c>
      <c r="R98" s="7" t="s">
        <v>29</v>
      </c>
      <c r="S98" s="7" t="s">
        <v>29</v>
      </c>
    </row>
    <row r="99" spans="2:19">
      <c r="B99" s="7" t="s">
        <v>195</v>
      </c>
      <c r="C99" s="8" t="s">
        <v>195</v>
      </c>
      <c r="D99" s="6" t="str">
        <f>LRTRIM(CONCATENATE(IF(SUMPRODUCT(-- ISNUMBER(SEARCH({"Auto Number"}, $B99))) &gt; 0, $B99, IF(SUMPRODUCT(-- ISNUMBER(SEARCH({"Lookup","Master-Detail"}, $B99))) &gt; 0,$B99 &amp; "(" &amp; $E99 &amp; ")",IF(SUMPRODUCT(-- ISNUMBER(SEARCH({"Formula","Roll-Up Summary"}, $B99))) &gt; 0,$B99 &amp; " (" &amp; $E99 &amp; ")",IF(SUMPRODUCT(-- ISNUMBER(SEARCH({"Content","Currency","Number","Percent","Text","URL"}, $B99))) &gt; 0,$B99 &amp; "(" &amp; $C99 &amp; ")",$B99)))), "  ", TRIM(IF($S99 = "YES", "(External ID)", "") &amp; " " &amp; IF(SUMPRODUCT(-- ISNUMBER(SEARCH({"Unique","Unique Case Insensitive"}, $R99))) &gt; 0, "(" &amp; $R99 &amp; ")", ""))))</f>
        <v>na</v>
      </c>
      <c r="E99" s="7" t="s">
        <v>195</v>
      </c>
      <c r="F99" s="7" t="s">
        <v>195</v>
      </c>
      <c r="G99" s="7" t="s">
        <v>195</v>
      </c>
      <c r="H99" s="7" t="s">
        <v>195</v>
      </c>
      <c r="I99" s="7" t="s">
        <v>195</v>
      </c>
      <c r="J99" s="7" t="s">
        <v>195</v>
      </c>
      <c r="K99" s="7" t="s">
        <v>195</v>
      </c>
      <c r="L99" s="7" t="s">
        <v>195</v>
      </c>
      <c r="M99" s="7" t="s">
        <v>29</v>
      </c>
      <c r="N99" s="7" t="s">
        <v>29</v>
      </c>
      <c r="O99" s="7" t="s">
        <v>29</v>
      </c>
      <c r="P99" s="7" t="s">
        <v>29</v>
      </c>
      <c r="Q99" s="7" t="s">
        <v>29</v>
      </c>
      <c r="R99" s="7" t="s">
        <v>29</v>
      </c>
      <c r="S99" s="7" t="s">
        <v>29</v>
      </c>
    </row>
    <row r="100" spans="2:19">
      <c r="B100" s="7" t="s">
        <v>195</v>
      </c>
      <c r="C100" s="8" t="s">
        <v>195</v>
      </c>
      <c r="D100" s="6" t="str">
        <f>LRTRIM(CONCATENATE(IF(SUMPRODUCT(-- ISNUMBER(SEARCH({"Auto Number"}, $B100))) &gt; 0, $B100, IF(SUMPRODUCT(-- ISNUMBER(SEARCH({"Lookup","Master-Detail"}, $B100))) &gt; 0,$B100 &amp; "(" &amp; $E100 &amp; ")",IF(SUMPRODUCT(-- ISNUMBER(SEARCH({"Formula","Roll-Up Summary"}, $B100))) &gt; 0,$B100 &amp; " (" &amp; $E100 &amp; ")",IF(SUMPRODUCT(-- ISNUMBER(SEARCH({"Content","Currency","Number","Percent","Text","URL"}, $B100))) &gt; 0,$B100 &amp; "(" &amp; $C100 &amp; ")",$B100)))), "  ", TRIM(IF($S100 = "YES", "(External ID)", "") &amp; " " &amp; IF(SUMPRODUCT(-- ISNUMBER(SEARCH({"Unique","Unique Case Insensitive"}, $R100))) &gt; 0, "(" &amp; $R100 &amp; ")", ""))))</f>
        <v>na</v>
      </c>
      <c r="E100" s="7" t="s">
        <v>195</v>
      </c>
      <c r="F100" s="7" t="s">
        <v>195</v>
      </c>
      <c r="G100" s="7" t="s">
        <v>195</v>
      </c>
      <c r="H100" s="7" t="s">
        <v>195</v>
      </c>
      <c r="I100" s="7" t="s">
        <v>195</v>
      </c>
      <c r="J100" s="7" t="s">
        <v>195</v>
      </c>
      <c r="K100" s="7" t="s">
        <v>195</v>
      </c>
      <c r="L100" s="7" t="s">
        <v>195</v>
      </c>
      <c r="M100" s="7" t="s">
        <v>29</v>
      </c>
      <c r="N100" s="7" t="s">
        <v>29</v>
      </c>
      <c r="O100" s="7" t="s">
        <v>29</v>
      </c>
      <c r="P100" s="7" t="s">
        <v>29</v>
      </c>
      <c r="Q100" s="7" t="s">
        <v>29</v>
      </c>
      <c r="R100" s="7" t="s">
        <v>29</v>
      </c>
      <c r="S100" s="7" t="s">
        <v>29</v>
      </c>
    </row>
    <row r="101" spans="2:19">
      <c r="B101" s="7" t="s">
        <v>195</v>
      </c>
      <c r="C101" s="8" t="s">
        <v>195</v>
      </c>
      <c r="D101" s="6" t="str">
        <f>LRTRIM(CONCATENATE(IF(SUMPRODUCT(-- ISNUMBER(SEARCH({"Auto Number"}, $B101))) &gt; 0, $B101, IF(SUMPRODUCT(-- ISNUMBER(SEARCH({"Lookup","Master-Detail"}, $B101))) &gt; 0,$B101 &amp; "(" &amp; $E101 &amp; ")",IF(SUMPRODUCT(-- ISNUMBER(SEARCH({"Formula","Roll-Up Summary"}, $B101))) &gt; 0,$B101 &amp; " (" &amp; $E101 &amp; ")",IF(SUMPRODUCT(-- ISNUMBER(SEARCH({"Content","Currency","Number","Percent","Text","URL"}, $B101))) &gt; 0,$B101 &amp; "(" &amp; $C101 &amp; ")",$B101)))), "  ", TRIM(IF($S101 = "YES", "(External ID)", "") &amp; " " &amp; IF(SUMPRODUCT(-- ISNUMBER(SEARCH({"Unique","Unique Case Insensitive"}, $R101))) &gt; 0, "(" &amp; $R101 &amp; ")", ""))))</f>
        <v>na</v>
      </c>
      <c r="E101" s="7" t="s">
        <v>195</v>
      </c>
      <c r="F101" s="7" t="s">
        <v>195</v>
      </c>
      <c r="G101" s="7" t="s">
        <v>195</v>
      </c>
      <c r="H101" s="7" t="s">
        <v>195</v>
      </c>
      <c r="I101" s="7" t="s">
        <v>195</v>
      </c>
      <c r="J101" s="7" t="s">
        <v>195</v>
      </c>
      <c r="K101" s="7" t="s">
        <v>195</v>
      </c>
      <c r="L101" s="7" t="s">
        <v>195</v>
      </c>
      <c r="M101" s="7" t="s">
        <v>29</v>
      </c>
      <c r="N101" s="7" t="s">
        <v>29</v>
      </c>
      <c r="O101" s="7" t="s">
        <v>29</v>
      </c>
      <c r="P101" s="7" t="s">
        <v>29</v>
      </c>
      <c r="Q101" s="7" t="s">
        <v>29</v>
      </c>
      <c r="R101" s="7" t="s">
        <v>29</v>
      </c>
      <c r="S101" s="7" t="s">
        <v>29</v>
      </c>
    </row>
    <row r="102" spans="2:19">
      <c r="B102" s="7" t="s">
        <v>195</v>
      </c>
      <c r="C102" s="8" t="s">
        <v>195</v>
      </c>
      <c r="D102" s="6" t="str">
        <f>LRTRIM(CONCATENATE(IF(SUMPRODUCT(-- ISNUMBER(SEARCH({"Auto Number"}, $B102))) &gt; 0, $B102, IF(SUMPRODUCT(-- ISNUMBER(SEARCH({"Lookup","Master-Detail"}, $B102))) &gt; 0,$B102 &amp; "(" &amp; $E102 &amp; ")",IF(SUMPRODUCT(-- ISNUMBER(SEARCH({"Formula","Roll-Up Summary"}, $B102))) &gt; 0,$B102 &amp; " (" &amp; $E102 &amp; ")",IF(SUMPRODUCT(-- ISNUMBER(SEARCH({"Content","Currency","Number","Percent","Text","URL"}, $B102))) &gt; 0,$B102 &amp; "(" &amp; $C102 &amp; ")",$B102)))), "  ", TRIM(IF($S102 = "YES", "(External ID)", "") &amp; " " &amp; IF(SUMPRODUCT(-- ISNUMBER(SEARCH({"Unique","Unique Case Insensitive"}, $R102))) &gt; 0, "(" &amp; $R102 &amp; ")", ""))))</f>
        <v>na</v>
      </c>
      <c r="E102" s="7" t="s">
        <v>195</v>
      </c>
      <c r="F102" s="7" t="s">
        <v>195</v>
      </c>
      <c r="G102" s="7" t="s">
        <v>195</v>
      </c>
      <c r="H102" s="7" t="s">
        <v>195</v>
      </c>
      <c r="I102" s="7" t="s">
        <v>195</v>
      </c>
      <c r="J102" s="7" t="s">
        <v>195</v>
      </c>
      <c r="K102" s="7" t="s">
        <v>195</v>
      </c>
      <c r="L102" s="7" t="s">
        <v>195</v>
      </c>
      <c r="M102" s="7" t="s">
        <v>29</v>
      </c>
      <c r="N102" s="7" t="s">
        <v>29</v>
      </c>
      <c r="O102" s="7" t="s">
        <v>29</v>
      </c>
      <c r="P102" s="7" t="s">
        <v>29</v>
      </c>
      <c r="Q102" s="7" t="s">
        <v>29</v>
      </c>
      <c r="R102" s="7" t="s">
        <v>29</v>
      </c>
      <c r="S102" s="7" t="s">
        <v>29</v>
      </c>
    </row>
    <row r="103" spans="2:19">
      <c r="B103" s="7" t="s">
        <v>195</v>
      </c>
      <c r="C103" s="8" t="s">
        <v>195</v>
      </c>
      <c r="D103" s="6" t="str">
        <f>LRTRIM(CONCATENATE(IF(SUMPRODUCT(-- ISNUMBER(SEARCH({"Auto Number"}, $B103))) &gt; 0, $B103, IF(SUMPRODUCT(-- ISNUMBER(SEARCH({"Lookup","Master-Detail"}, $B103))) &gt; 0,$B103 &amp; "(" &amp; $E103 &amp; ")",IF(SUMPRODUCT(-- ISNUMBER(SEARCH({"Formula","Roll-Up Summary"}, $B103))) &gt; 0,$B103 &amp; " (" &amp; $E103 &amp; ")",IF(SUMPRODUCT(-- ISNUMBER(SEARCH({"Content","Currency","Number","Percent","Text","URL"}, $B103))) &gt; 0,$B103 &amp; "(" &amp; $C103 &amp; ")",$B103)))), "  ", TRIM(IF($S103 = "YES", "(External ID)", "") &amp; " " &amp; IF(SUMPRODUCT(-- ISNUMBER(SEARCH({"Unique","Unique Case Insensitive"}, $R103))) &gt; 0, "(" &amp; $R103 &amp; ")", ""))))</f>
        <v>na</v>
      </c>
      <c r="E103" s="7" t="s">
        <v>195</v>
      </c>
      <c r="F103" s="7" t="s">
        <v>195</v>
      </c>
      <c r="G103" s="7" t="s">
        <v>195</v>
      </c>
      <c r="H103" s="7" t="s">
        <v>195</v>
      </c>
      <c r="I103" s="7" t="s">
        <v>195</v>
      </c>
      <c r="J103" s="7" t="s">
        <v>195</v>
      </c>
      <c r="K103" s="7" t="s">
        <v>195</v>
      </c>
      <c r="L103" s="7" t="s">
        <v>195</v>
      </c>
      <c r="M103" s="7" t="s">
        <v>29</v>
      </c>
      <c r="N103" s="7" t="s">
        <v>29</v>
      </c>
      <c r="O103" s="7" t="s">
        <v>29</v>
      </c>
      <c r="P103" s="7" t="s">
        <v>29</v>
      </c>
      <c r="Q103" s="7" t="s">
        <v>29</v>
      </c>
      <c r="R103" s="7" t="s">
        <v>29</v>
      </c>
      <c r="S103" s="7" t="s">
        <v>29</v>
      </c>
    </row>
    <row r="104" spans="2:19">
      <c r="B104" s="7" t="s">
        <v>195</v>
      </c>
      <c r="C104" s="8" t="s">
        <v>195</v>
      </c>
      <c r="D104" s="6" t="str">
        <f>LRTRIM(CONCATENATE(IF(SUMPRODUCT(-- ISNUMBER(SEARCH({"Auto Number"}, $B104))) &gt; 0, $B104, IF(SUMPRODUCT(-- ISNUMBER(SEARCH({"Lookup","Master-Detail"}, $B104))) &gt; 0,$B104 &amp; "(" &amp; $E104 &amp; ")",IF(SUMPRODUCT(-- ISNUMBER(SEARCH({"Formula","Roll-Up Summary"}, $B104))) &gt; 0,$B104 &amp; " (" &amp; $E104 &amp; ")",IF(SUMPRODUCT(-- ISNUMBER(SEARCH({"Content","Currency","Number","Percent","Text","URL"}, $B104))) &gt; 0,$B104 &amp; "(" &amp; $C104 &amp; ")",$B104)))), "  ", TRIM(IF($S104 = "YES", "(External ID)", "") &amp; " " &amp; IF(SUMPRODUCT(-- ISNUMBER(SEARCH({"Unique","Unique Case Insensitive"}, $R104))) &gt; 0, "(" &amp; $R104 &amp; ")", ""))))</f>
        <v>na</v>
      </c>
      <c r="E104" s="7" t="s">
        <v>195</v>
      </c>
      <c r="F104" s="7" t="s">
        <v>195</v>
      </c>
      <c r="G104" s="7" t="s">
        <v>195</v>
      </c>
      <c r="H104" s="7" t="s">
        <v>195</v>
      </c>
      <c r="I104" s="7" t="s">
        <v>195</v>
      </c>
      <c r="J104" s="7" t="s">
        <v>195</v>
      </c>
      <c r="K104" s="7" t="s">
        <v>195</v>
      </c>
      <c r="L104" s="7" t="s">
        <v>195</v>
      </c>
      <c r="M104" s="7" t="s">
        <v>29</v>
      </c>
      <c r="N104" s="7" t="s">
        <v>29</v>
      </c>
      <c r="O104" s="7" t="s">
        <v>29</v>
      </c>
      <c r="P104" s="7" t="s">
        <v>29</v>
      </c>
      <c r="Q104" s="7" t="s">
        <v>29</v>
      </c>
      <c r="R104" s="7" t="s">
        <v>29</v>
      </c>
      <c r="S104" s="7" t="s">
        <v>29</v>
      </c>
    </row>
    <row r="105" spans="2:19">
      <c r="B105" s="7" t="s">
        <v>195</v>
      </c>
      <c r="C105" s="8" t="s">
        <v>195</v>
      </c>
      <c r="D105" s="6" t="str">
        <f>LRTRIM(CONCATENATE(IF(SUMPRODUCT(-- ISNUMBER(SEARCH({"Auto Number"}, $B105))) &gt; 0, $B105, IF(SUMPRODUCT(-- ISNUMBER(SEARCH({"Lookup","Master-Detail"}, $B105))) &gt; 0,$B105 &amp; "(" &amp; $E105 &amp; ")",IF(SUMPRODUCT(-- ISNUMBER(SEARCH({"Formula","Roll-Up Summary"}, $B105))) &gt; 0,$B105 &amp; " (" &amp; $E105 &amp; ")",IF(SUMPRODUCT(-- ISNUMBER(SEARCH({"Content","Currency","Number","Percent","Text","URL"}, $B105))) &gt; 0,$B105 &amp; "(" &amp; $C105 &amp; ")",$B105)))), "  ", TRIM(IF($S105 = "YES", "(External ID)", "") &amp; " " &amp; IF(SUMPRODUCT(-- ISNUMBER(SEARCH({"Unique","Unique Case Insensitive"}, $R105))) &gt; 0, "(" &amp; $R105 &amp; ")", ""))))</f>
        <v>na</v>
      </c>
      <c r="E105" s="7" t="s">
        <v>195</v>
      </c>
      <c r="F105" s="7" t="s">
        <v>195</v>
      </c>
      <c r="G105" s="7" t="s">
        <v>195</v>
      </c>
      <c r="H105" s="7" t="s">
        <v>195</v>
      </c>
      <c r="I105" s="7" t="s">
        <v>195</v>
      </c>
      <c r="J105" s="7" t="s">
        <v>195</v>
      </c>
      <c r="K105" s="7" t="s">
        <v>195</v>
      </c>
      <c r="L105" s="7" t="s">
        <v>195</v>
      </c>
      <c r="M105" s="7" t="s">
        <v>29</v>
      </c>
      <c r="N105" s="7" t="s">
        <v>29</v>
      </c>
      <c r="O105" s="7" t="s">
        <v>29</v>
      </c>
      <c r="P105" s="7" t="s">
        <v>29</v>
      </c>
      <c r="Q105" s="7" t="s">
        <v>29</v>
      </c>
      <c r="R105" s="7" t="s">
        <v>29</v>
      </c>
      <c r="S105" s="7" t="s">
        <v>29</v>
      </c>
    </row>
    <row r="106" spans="2:19">
      <c r="B106" s="7" t="s">
        <v>195</v>
      </c>
      <c r="C106" s="8" t="s">
        <v>195</v>
      </c>
      <c r="D106" s="6" t="str">
        <f>LRTRIM(CONCATENATE(IF(SUMPRODUCT(-- ISNUMBER(SEARCH({"Auto Number"}, $B106))) &gt; 0, $B106, IF(SUMPRODUCT(-- ISNUMBER(SEARCH({"Lookup","Master-Detail"}, $B106))) &gt; 0,$B106 &amp; "(" &amp; $E106 &amp; ")",IF(SUMPRODUCT(-- ISNUMBER(SEARCH({"Formula","Roll-Up Summary"}, $B106))) &gt; 0,$B106 &amp; " (" &amp; $E106 &amp; ")",IF(SUMPRODUCT(-- ISNUMBER(SEARCH({"Content","Currency","Number","Percent","Text","URL"}, $B106))) &gt; 0,$B106 &amp; "(" &amp; $C106 &amp; ")",$B106)))), "  ", TRIM(IF($S106 = "YES", "(External ID)", "") &amp; " " &amp; IF(SUMPRODUCT(-- ISNUMBER(SEARCH({"Unique","Unique Case Insensitive"}, $R106))) &gt; 0, "(" &amp; $R106 &amp; ")", ""))))</f>
        <v>na</v>
      </c>
      <c r="E106" s="7" t="s">
        <v>195</v>
      </c>
      <c r="F106" s="7" t="s">
        <v>195</v>
      </c>
      <c r="G106" s="7" t="s">
        <v>195</v>
      </c>
      <c r="H106" s="7" t="s">
        <v>195</v>
      </c>
      <c r="I106" s="7" t="s">
        <v>195</v>
      </c>
      <c r="J106" s="7" t="s">
        <v>195</v>
      </c>
      <c r="K106" s="7" t="s">
        <v>195</v>
      </c>
      <c r="L106" s="7" t="s">
        <v>195</v>
      </c>
      <c r="M106" s="7" t="s">
        <v>29</v>
      </c>
      <c r="N106" s="7" t="s">
        <v>29</v>
      </c>
      <c r="O106" s="7" t="s">
        <v>29</v>
      </c>
      <c r="P106" s="7" t="s">
        <v>29</v>
      </c>
      <c r="Q106" s="7" t="s">
        <v>29</v>
      </c>
      <c r="R106" s="7" t="s">
        <v>29</v>
      </c>
      <c r="S106" s="7" t="s">
        <v>29</v>
      </c>
    </row>
    <row r="107" spans="2:19">
      <c r="B107" s="7" t="s">
        <v>195</v>
      </c>
      <c r="C107" s="8" t="s">
        <v>195</v>
      </c>
      <c r="D107" s="6" t="str">
        <f>LRTRIM(CONCATENATE(IF(SUMPRODUCT(-- ISNUMBER(SEARCH({"Auto Number"}, $B107))) &gt; 0, $B107, IF(SUMPRODUCT(-- ISNUMBER(SEARCH({"Lookup","Master-Detail"}, $B107))) &gt; 0,$B107 &amp; "(" &amp; $E107 &amp; ")",IF(SUMPRODUCT(-- ISNUMBER(SEARCH({"Formula","Roll-Up Summary"}, $B107))) &gt; 0,$B107 &amp; " (" &amp; $E107 &amp; ")",IF(SUMPRODUCT(-- ISNUMBER(SEARCH({"Content","Currency","Number","Percent","Text","URL"}, $B107))) &gt; 0,$B107 &amp; "(" &amp; $C107 &amp; ")",$B107)))), "  ", TRIM(IF($S107 = "YES", "(External ID)", "") &amp; " " &amp; IF(SUMPRODUCT(-- ISNUMBER(SEARCH({"Unique","Unique Case Insensitive"}, $R107))) &gt; 0, "(" &amp; $R107 &amp; ")", ""))))</f>
        <v>na</v>
      </c>
      <c r="E107" s="7" t="s">
        <v>195</v>
      </c>
      <c r="F107" s="7" t="s">
        <v>195</v>
      </c>
      <c r="G107" s="7" t="s">
        <v>195</v>
      </c>
      <c r="H107" s="7" t="s">
        <v>195</v>
      </c>
      <c r="I107" s="7" t="s">
        <v>195</v>
      </c>
      <c r="J107" s="7" t="s">
        <v>195</v>
      </c>
      <c r="K107" s="7" t="s">
        <v>195</v>
      </c>
      <c r="L107" s="7" t="s">
        <v>195</v>
      </c>
      <c r="M107" s="7" t="s">
        <v>29</v>
      </c>
      <c r="N107" s="7" t="s">
        <v>29</v>
      </c>
      <c r="O107" s="7" t="s">
        <v>29</v>
      </c>
      <c r="P107" s="7" t="s">
        <v>29</v>
      </c>
      <c r="Q107" s="7" t="s">
        <v>29</v>
      </c>
      <c r="R107" s="7" t="s">
        <v>29</v>
      </c>
      <c r="S107" s="7" t="s">
        <v>29</v>
      </c>
    </row>
    <row r="108" spans="2:19">
      <c r="B108" s="7" t="s">
        <v>195</v>
      </c>
      <c r="C108" s="8" t="s">
        <v>195</v>
      </c>
      <c r="D108" s="6" t="str">
        <f>LRTRIM(CONCATENATE(IF(SUMPRODUCT(-- ISNUMBER(SEARCH({"Auto Number"}, $B108))) &gt; 0, $B108, IF(SUMPRODUCT(-- ISNUMBER(SEARCH({"Lookup","Master-Detail"}, $B108))) &gt; 0,$B108 &amp; "(" &amp; $E108 &amp; ")",IF(SUMPRODUCT(-- ISNUMBER(SEARCH({"Formula","Roll-Up Summary"}, $B108))) &gt; 0,$B108 &amp; " (" &amp; $E108 &amp; ")",IF(SUMPRODUCT(-- ISNUMBER(SEARCH({"Content","Currency","Number","Percent","Text","URL"}, $B108))) &gt; 0,$B108 &amp; "(" &amp; $C108 &amp; ")",$B108)))), "  ", TRIM(IF($S108 = "YES", "(External ID)", "") &amp; " " &amp; IF(SUMPRODUCT(-- ISNUMBER(SEARCH({"Unique","Unique Case Insensitive"}, $R108))) &gt; 0, "(" &amp; $R108 &amp; ")", ""))))</f>
        <v>na</v>
      </c>
      <c r="E108" s="7" t="s">
        <v>195</v>
      </c>
      <c r="F108" s="7" t="s">
        <v>195</v>
      </c>
      <c r="G108" s="7" t="s">
        <v>195</v>
      </c>
      <c r="H108" s="7" t="s">
        <v>195</v>
      </c>
      <c r="I108" s="7" t="s">
        <v>195</v>
      </c>
      <c r="J108" s="7" t="s">
        <v>195</v>
      </c>
      <c r="K108" s="7" t="s">
        <v>195</v>
      </c>
      <c r="L108" s="7" t="s">
        <v>195</v>
      </c>
      <c r="M108" s="7" t="s">
        <v>29</v>
      </c>
      <c r="N108" s="7" t="s">
        <v>29</v>
      </c>
      <c r="O108" s="7" t="s">
        <v>29</v>
      </c>
      <c r="P108" s="7" t="s">
        <v>29</v>
      </c>
      <c r="Q108" s="7" t="s">
        <v>29</v>
      </c>
      <c r="R108" s="7" t="s">
        <v>29</v>
      </c>
      <c r="S108" s="7" t="s">
        <v>29</v>
      </c>
    </row>
    <row r="109" spans="2:19">
      <c r="B109" s="7" t="s">
        <v>195</v>
      </c>
      <c r="C109" s="8" t="s">
        <v>195</v>
      </c>
      <c r="D109" s="6" t="str">
        <f>LRTRIM(CONCATENATE(IF(SUMPRODUCT(-- ISNUMBER(SEARCH({"Auto Number"}, $B109))) &gt; 0, $B109, IF(SUMPRODUCT(-- ISNUMBER(SEARCH({"Lookup","Master-Detail"}, $B109))) &gt; 0,$B109 &amp; "(" &amp; $E109 &amp; ")",IF(SUMPRODUCT(-- ISNUMBER(SEARCH({"Formula","Roll-Up Summary"}, $B109))) &gt; 0,$B109 &amp; " (" &amp; $E109 &amp; ")",IF(SUMPRODUCT(-- ISNUMBER(SEARCH({"Content","Currency","Number","Percent","Text","URL"}, $B109))) &gt; 0,$B109 &amp; "(" &amp; $C109 &amp; ")",$B109)))), "  ", TRIM(IF($S109 = "YES", "(External ID)", "") &amp; " " &amp; IF(SUMPRODUCT(-- ISNUMBER(SEARCH({"Unique","Unique Case Insensitive"}, $R109))) &gt; 0, "(" &amp; $R109 &amp; ")", ""))))</f>
        <v>na</v>
      </c>
      <c r="E109" s="7" t="s">
        <v>195</v>
      </c>
      <c r="F109" s="7" t="s">
        <v>195</v>
      </c>
      <c r="G109" s="7" t="s">
        <v>195</v>
      </c>
      <c r="H109" s="7" t="s">
        <v>195</v>
      </c>
      <c r="I109" s="7" t="s">
        <v>195</v>
      </c>
      <c r="J109" s="7" t="s">
        <v>195</v>
      </c>
      <c r="K109" s="7" t="s">
        <v>195</v>
      </c>
      <c r="L109" s="7" t="s">
        <v>195</v>
      </c>
      <c r="M109" s="7" t="s">
        <v>29</v>
      </c>
      <c r="N109" s="7" t="s">
        <v>29</v>
      </c>
      <c r="O109" s="7" t="s">
        <v>29</v>
      </c>
      <c r="P109" s="7" t="s">
        <v>29</v>
      </c>
      <c r="Q109" s="7" t="s">
        <v>29</v>
      </c>
      <c r="R109" s="7" t="s">
        <v>29</v>
      </c>
      <c r="S109" s="7" t="s">
        <v>29</v>
      </c>
    </row>
    <row r="110" spans="2:19">
      <c r="B110" s="7" t="s">
        <v>195</v>
      </c>
      <c r="C110" s="8" t="s">
        <v>195</v>
      </c>
      <c r="D110" s="6" t="str">
        <f>LRTRIM(CONCATENATE(IF(SUMPRODUCT(-- ISNUMBER(SEARCH({"Auto Number"}, $B110))) &gt; 0, $B110, IF(SUMPRODUCT(-- ISNUMBER(SEARCH({"Lookup","Master-Detail"}, $B110))) &gt; 0,$B110 &amp; "(" &amp; $E110 &amp; ")",IF(SUMPRODUCT(-- ISNUMBER(SEARCH({"Formula","Roll-Up Summary"}, $B110))) &gt; 0,$B110 &amp; " (" &amp; $E110 &amp; ")",IF(SUMPRODUCT(-- ISNUMBER(SEARCH({"Content","Currency","Number","Percent","Text","URL"}, $B110))) &gt; 0,$B110 &amp; "(" &amp; $C110 &amp; ")",$B110)))), "  ", TRIM(IF($S110 = "YES", "(External ID)", "") &amp; " " &amp; IF(SUMPRODUCT(-- ISNUMBER(SEARCH({"Unique","Unique Case Insensitive"}, $R110))) &gt; 0, "(" &amp; $R110 &amp; ")", ""))))</f>
        <v>na</v>
      </c>
      <c r="E110" s="7" t="s">
        <v>195</v>
      </c>
      <c r="F110" s="7" t="s">
        <v>195</v>
      </c>
      <c r="G110" s="7" t="s">
        <v>195</v>
      </c>
      <c r="H110" s="7" t="s">
        <v>195</v>
      </c>
      <c r="I110" s="7" t="s">
        <v>195</v>
      </c>
      <c r="J110" s="7" t="s">
        <v>195</v>
      </c>
      <c r="K110" s="7" t="s">
        <v>195</v>
      </c>
      <c r="L110" s="7" t="s">
        <v>195</v>
      </c>
      <c r="M110" s="7" t="s">
        <v>29</v>
      </c>
      <c r="N110" s="7" t="s">
        <v>29</v>
      </c>
      <c r="O110" s="7" t="s">
        <v>29</v>
      </c>
      <c r="P110" s="7" t="s">
        <v>29</v>
      </c>
      <c r="Q110" s="7" t="s">
        <v>29</v>
      </c>
      <c r="R110" s="7" t="s">
        <v>29</v>
      </c>
      <c r="S110" s="7" t="s">
        <v>29</v>
      </c>
    </row>
    <row r="111" spans="2:19">
      <c r="B111" s="7" t="s">
        <v>195</v>
      </c>
      <c r="C111" s="8" t="s">
        <v>195</v>
      </c>
      <c r="D111" s="6" t="str">
        <f>LRTRIM(CONCATENATE(IF(SUMPRODUCT(-- ISNUMBER(SEARCH({"Auto Number"}, $B111))) &gt; 0, $B111, IF(SUMPRODUCT(-- ISNUMBER(SEARCH({"Lookup","Master-Detail"}, $B111))) &gt; 0,$B111 &amp; "(" &amp; $E111 &amp; ")",IF(SUMPRODUCT(-- ISNUMBER(SEARCH({"Formula","Roll-Up Summary"}, $B111))) &gt; 0,$B111 &amp; " (" &amp; $E111 &amp; ")",IF(SUMPRODUCT(-- ISNUMBER(SEARCH({"Content","Currency","Number","Percent","Text","URL"}, $B111))) &gt; 0,$B111 &amp; "(" &amp; $C111 &amp; ")",$B111)))), "  ", TRIM(IF($S111 = "YES", "(External ID)", "") &amp; " " &amp; IF(SUMPRODUCT(-- ISNUMBER(SEARCH({"Unique","Unique Case Insensitive"}, $R111))) &gt; 0, "(" &amp; $R111 &amp; ")", ""))))</f>
        <v>na</v>
      </c>
      <c r="E111" s="7" t="s">
        <v>195</v>
      </c>
      <c r="F111" s="7" t="s">
        <v>195</v>
      </c>
      <c r="G111" s="7" t="s">
        <v>195</v>
      </c>
      <c r="H111" s="7" t="s">
        <v>195</v>
      </c>
      <c r="I111" s="7" t="s">
        <v>195</v>
      </c>
      <c r="J111" s="7" t="s">
        <v>195</v>
      </c>
      <c r="K111" s="7" t="s">
        <v>195</v>
      </c>
      <c r="L111" s="7" t="s">
        <v>195</v>
      </c>
      <c r="M111" s="7" t="s">
        <v>29</v>
      </c>
      <c r="N111" s="7" t="s">
        <v>29</v>
      </c>
      <c r="O111" s="7" t="s">
        <v>29</v>
      </c>
      <c r="P111" s="7" t="s">
        <v>29</v>
      </c>
      <c r="Q111" s="7" t="s">
        <v>29</v>
      </c>
      <c r="R111" s="7" t="s">
        <v>29</v>
      </c>
      <c r="S111" s="7" t="s">
        <v>29</v>
      </c>
    </row>
    <row r="112" spans="2:19">
      <c r="B112" s="7" t="s">
        <v>195</v>
      </c>
      <c r="C112" s="8" t="s">
        <v>195</v>
      </c>
      <c r="D112" s="6" t="str">
        <f>LRTRIM(CONCATENATE(IF(SUMPRODUCT(-- ISNUMBER(SEARCH({"Auto Number"}, $B112))) &gt; 0, $B112, IF(SUMPRODUCT(-- ISNUMBER(SEARCH({"Lookup","Master-Detail"}, $B112))) &gt; 0,$B112 &amp; "(" &amp; $E112 &amp; ")",IF(SUMPRODUCT(-- ISNUMBER(SEARCH({"Formula","Roll-Up Summary"}, $B112))) &gt; 0,$B112 &amp; " (" &amp; $E112 &amp; ")",IF(SUMPRODUCT(-- ISNUMBER(SEARCH({"Content","Currency","Number","Percent","Text","URL"}, $B112))) &gt; 0,$B112 &amp; "(" &amp; $C112 &amp; ")",$B112)))), "  ", TRIM(IF($S112 = "YES", "(External ID)", "") &amp; " " &amp; IF(SUMPRODUCT(-- ISNUMBER(SEARCH({"Unique","Unique Case Insensitive"}, $R112))) &gt; 0, "(" &amp; $R112 &amp; ")", ""))))</f>
        <v>na</v>
      </c>
      <c r="E112" s="7" t="s">
        <v>195</v>
      </c>
      <c r="F112" s="7" t="s">
        <v>195</v>
      </c>
      <c r="G112" s="7" t="s">
        <v>195</v>
      </c>
      <c r="H112" s="7" t="s">
        <v>195</v>
      </c>
      <c r="I112" s="7" t="s">
        <v>195</v>
      </c>
      <c r="J112" s="7" t="s">
        <v>195</v>
      </c>
      <c r="K112" s="7" t="s">
        <v>195</v>
      </c>
      <c r="L112" s="7" t="s">
        <v>195</v>
      </c>
      <c r="M112" s="7" t="s">
        <v>29</v>
      </c>
      <c r="N112" s="7" t="s">
        <v>29</v>
      </c>
      <c r="O112" s="7" t="s">
        <v>29</v>
      </c>
      <c r="P112" s="7" t="s">
        <v>29</v>
      </c>
      <c r="Q112" s="7" t="s">
        <v>29</v>
      </c>
      <c r="R112" s="7" t="s">
        <v>29</v>
      </c>
      <c r="S112" s="7" t="s">
        <v>29</v>
      </c>
    </row>
    <row r="113" spans="2:19">
      <c r="B113" s="7" t="s">
        <v>195</v>
      </c>
      <c r="C113" s="8" t="s">
        <v>195</v>
      </c>
      <c r="D113" s="6" t="str">
        <f>LRTRIM(CONCATENATE(IF(SUMPRODUCT(-- ISNUMBER(SEARCH({"Auto Number"}, $B113))) &gt; 0, $B113, IF(SUMPRODUCT(-- ISNUMBER(SEARCH({"Lookup","Master-Detail"}, $B113))) &gt; 0,$B113 &amp; "(" &amp; $E113 &amp; ")",IF(SUMPRODUCT(-- ISNUMBER(SEARCH({"Formula","Roll-Up Summary"}, $B113))) &gt; 0,$B113 &amp; " (" &amp; $E113 &amp; ")",IF(SUMPRODUCT(-- ISNUMBER(SEARCH({"Content","Currency","Number","Percent","Text","URL"}, $B113))) &gt; 0,$B113 &amp; "(" &amp; $C113 &amp; ")",$B113)))), "  ", TRIM(IF($S113 = "YES", "(External ID)", "") &amp; " " &amp; IF(SUMPRODUCT(-- ISNUMBER(SEARCH({"Unique","Unique Case Insensitive"}, $R113))) &gt; 0, "(" &amp; $R113 &amp; ")", ""))))</f>
        <v>na</v>
      </c>
      <c r="E113" s="7" t="s">
        <v>195</v>
      </c>
      <c r="F113" s="7" t="s">
        <v>195</v>
      </c>
      <c r="G113" s="7" t="s">
        <v>195</v>
      </c>
      <c r="H113" s="7" t="s">
        <v>195</v>
      </c>
      <c r="I113" s="7" t="s">
        <v>195</v>
      </c>
      <c r="J113" s="7" t="s">
        <v>195</v>
      </c>
      <c r="K113" s="7" t="s">
        <v>195</v>
      </c>
      <c r="L113" s="7" t="s">
        <v>195</v>
      </c>
      <c r="M113" s="7" t="s">
        <v>29</v>
      </c>
      <c r="N113" s="7" t="s">
        <v>29</v>
      </c>
      <c r="O113" s="7" t="s">
        <v>29</v>
      </c>
      <c r="P113" s="7" t="s">
        <v>29</v>
      </c>
      <c r="Q113" s="7" t="s">
        <v>29</v>
      </c>
      <c r="R113" s="7" t="s">
        <v>29</v>
      </c>
      <c r="S113" s="7" t="s">
        <v>29</v>
      </c>
    </row>
    <row r="114" spans="2:19">
      <c r="B114" s="7" t="s">
        <v>195</v>
      </c>
      <c r="C114" s="8" t="s">
        <v>195</v>
      </c>
      <c r="D114" s="6" t="str">
        <f>LRTRIM(CONCATENATE(IF(SUMPRODUCT(-- ISNUMBER(SEARCH({"Auto Number"}, $B114))) &gt; 0, $B114, IF(SUMPRODUCT(-- ISNUMBER(SEARCH({"Lookup","Master-Detail"}, $B114))) &gt; 0,$B114 &amp; "(" &amp; $E114 &amp; ")",IF(SUMPRODUCT(-- ISNUMBER(SEARCH({"Formula","Roll-Up Summary"}, $B114))) &gt; 0,$B114 &amp; " (" &amp; $E114 &amp; ")",IF(SUMPRODUCT(-- ISNUMBER(SEARCH({"Content","Currency","Number","Percent","Text","URL"}, $B114))) &gt; 0,$B114 &amp; "(" &amp; $C114 &amp; ")",$B114)))), "  ", TRIM(IF($S114 = "YES", "(External ID)", "") &amp; " " &amp; IF(SUMPRODUCT(-- ISNUMBER(SEARCH({"Unique","Unique Case Insensitive"}, $R114))) &gt; 0, "(" &amp; $R114 &amp; ")", ""))))</f>
        <v>na</v>
      </c>
      <c r="E114" s="7" t="s">
        <v>195</v>
      </c>
      <c r="F114" s="7" t="s">
        <v>195</v>
      </c>
      <c r="G114" s="7" t="s">
        <v>195</v>
      </c>
      <c r="H114" s="7" t="s">
        <v>195</v>
      </c>
      <c r="I114" s="7" t="s">
        <v>195</v>
      </c>
      <c r="J114" s="7" t="s">
        <v>195</v>
      </c>
      <c r="K114" s="7" t="s">
        <v>195</v>
      </c>
      <c r="L114" s="7" t="s">
        <v>195</v>
      </c>
      <c r="M114" s="7" t="s">
        <v>29</v>
      </c>
      <c r="N114" s="7" t="s">
        <v>29</v>
      </c>
      <c r="O114" s="7" t="s">
        <v>29</v>
      </c>
      <c r="P114" s="7" t="s">
        <v>29</v>
      </c>
      <c r="Q114" s="7" t="s">
        <v>29</v>
      </c>
      <c r="R114" s="7" t="s">
        <v>29</v>
      </c>
      <c r="S114" s="7" t="s">
        <v>29</v>
      </c>
    </row>
    <row r="115" spans="2:19">
      <c r="B115" s="7" t="s">
        <v>195</v>
      </c>
      <c r="C115" s="8" t="s">
        <v>195</v>
      </c>
      <c r="D115" s="6" t="str">
        <f>LRTRIM(CONCATENATE(IF(SUMPRODUCT(-- ISNUMBER(SEARCH({"Auto Number"}, $B115))) &gt; 0, $B115, IF(SUMPRODUCT(-- ISNUMBER(SEARCH({"Lookup","Master-Detail"}, $B115))) &gt; 0,$B115 &amp; "(" &amp; $E115 &amp; ")",IF(SUMPRODUCT(-- ISNUMBER(SEARCH({"Formula","Roll-Up Summary"}, $B115))) &gt; 0,$B115 &amp; " (" &amp; $E115 &amp; ")",IF(SUMPRODUCT(-- ISNUMBER(SEARCH({"Content","Currency","Number","Percent","Text","URL"}, $B115))) &gt; 0,$B115 &amp; "(" &amp; $C115 &amp; ")",$B115)))), "  ", TRIM(IF($S115 = "YES", "(External ID)", "") &amp; " " &amp; IF(SUMPRODUCT(-- ISNUMBER(SEARCH({"Unique","Unique Case Insensitive"}, $R115))) &gt; 0, "(" &amp; $R115 &amp; ")", ""))))</f>
        <v>na</v>
      </c>
      <c r="E115" s="7" t="s">
        <v>195</v>
      </c>
      <c r="F115" s="7" t="s">
        <v>195</v>
      </c>
      <c r="G115" s="7" t="s">
        <v>195</v>
      </c>
      <c r="H115" s="7" t="s">
        <v>195</v>
      </c>
      <c r="I115" s="7" t="s">
        <v>195</v>
      </c>
      <c r="J115" s="7" t="s">
        <v>195</v>
      </c>
      <c r="K115" s="7" t="s">
        <v>195</v>
      </c>
      <c r="L115" s="7" t="s">
        <v>195</v>
      </c>
      <c r="M115" s="7" t="s">
        <v>29</v>
      </c>
      <c r="N115" s="7" t="s">
        <v>29</v>
      </c>
      <c r="O115" s="7" t="s">
        <v>29</v>
      </c>
      <c r="P115" s="7" t="s">
        <v>29</v>
      </c>
      <c r="Q115" s="7" t="s">
        <v>29</v>
      </c>
      <c r="R115" s="7" t="s">
        <v>29</v>
      </c>
      <c r="S115" s="7" t="s">
        <v>29</v>
      </c>
    </row>
    <row r="116" spans="2:19">
      <c r="B116" s="7" t="s">
        <v>195</v>
      </c>
      <c r="C116" s="8" t="s">
        <v>195</v>
      </c>
      <c r="D116" s="6" t="str">
        <f>LRTRIM(CONCATENATE(IF(SUMPRODUCT(-- ISNUMBER(SEARCH({"Auto Number"}, $B116))) &gt; 0, $B116, IF(SUMPRODUCT(-- ISNUMBER(SEARCH({"Lookup","Master-Detail"}, $B116))) &gt; 0,$B116 &amp; "(" &amp; $E116 &amp; ")",IF(SUMPRODUCT(-- ISNUMBER(SEARCH({"Formula","Roll-Up Summary"}, $B116))) &gt; 0,$B116 &amp; " (" &amp; $E116 &amp; ")",IF(SUMPRODUCT(-- ISNUMBER(SEARCH({"Content","Currency","Number","Percent","Text","URL"}, $B116))) &gt; 0,$B116 &amp; "(" &amp; $C116 &amp; ")",$B116)))), "  ", TRIM(IF($S116 = "YES", "(External ID)", "") &amp; " " &amp; IF(SUMPRODUCT(-- ISNUMBER(SEARCH({"Unique","Unique Case Insensitive"}, $R116))) &gt; 0, "(" &amp; $R116 &amp; ")", ""))))</f>
        <v>na</v>
      </c>
      <c r="E116" s="7" t="s">
        <v>195</v>
      </c>
      <c r="F116" s="7" t="s">
        <v>195</v>
      </c>
      <c r="G116" s="7" t="s">
        <v>195</v>
      </c>
      <c r="H116" s="7" t="s">
        <v>195</v>
      </c>
      <c r="I116" s="7" t="s">
        <v>195</v>
      </c>
      <c r="J116" s="7" t="s">
        <v>195</v>
      </c>
      <c r="K116" s="7" t="s">
        <v>195</v>
      </c>
      <c r="L116" s="7" t="s">
        <v>195</v>
      </c>
      <c r="M116" s="7" t="s">
        <v>29</v>
      </c>
      <c r="N116" s="7" t="s">
        <v>29</v>
      </c>
      <c r="O116" s="7" t="s">
        <v>29</v>
      </c>
      <c r="P116" s="7" t="s">
        <v>29</v>
      </c>
      <c r="Q116" s="7" t="s">
        <v>29</v>
      </c>
      <c r="R116" s="7" t="s">
        <v>29</v>
      </c>
      <c r="S116" s="7" t="s">
        <v>29</v>
      </c>
    </row>
    <row r="117" spans="2:19">
      <c r="B117" s="7" t="s">
        <v>195</v>
      </c>
      <c r="C117" s="8" t="s">
        <v>195</v>
      </c>
      <c r="D117" s="6" t="str">
        <f>LRTRIM(CONCATENATE(IF(SUMPRODUCT(-- ISNUMBER(SEARCH({"Auto Number"}, $B117))) &gt; 0, $B117, IF(SUMPRODUCT(-- ISNUMBER(SEARCH({"Lookup","Master-Detail"}, $B117))) &gt; 0,$B117 &amp; "(" &amp; $E117 &amp; ")",IF(SUMPRODUCT(-- ISNUMBER(SEARCH({"Formula","Roll-Up Summary"}, $B117))) &gt; 0,$B117 &amp; " (" &amp; $E117 &amp; ")",IF(SUMPRODUCT(-- ISNUMBER(SEARCH({"Content","Currency","Number","Percent","Text","URL"}, $B117))) &gt; 0,$B117 &amp; "(" &amp; $C117 &amp; ")",$B117)))), "  ", TRIM(IF($S117 = "YES", "(External ID)", "") &amp; " " &amp; IF(SUMPRODUCT(-- ISNUMBER(SEARCH({"Unique","Unique Case Insensitive"}, $R117))) &gt; 0, "(" &amp; $R117 &amp; ")", ""))))</f>
        <v>na</v>
      </c>
      <c r="E117" s="7" t="s">
        <v>195</v>
      </c>
      <c r="F117" s="7" t="s">
        <v>195</v>
      </c>
      <c r="G117" s="7" t="s">
        <v>195</v>
      </c>
      <c r="H117" s="7" t="s">
        <v>195</v>
      </c>
      <c r="I117" s="7" t="s">
        <v>195</v>
      </c>
      <c r="J117" s="7" t="s">
        <v>195</v>
      </c>
      <c r="K117" s="7" t="s">
        <v>195</v>
      </c>
      <c r="L117" s="7" t="s">
        <v>195</v>
      </c>
      <c r="M117" s="7" t="s">
        <v>29</v>
      </c>
      <c r="N117" s="7" t="s">
        <v>29</v>
      </c>
      <c r="O117" s="7" t="s">
        <v>29</v>
      </c>
      <c r="P117" s="7" t="s">
        <v>29</v>
      </c>
      <c r="Q117" s="7" t="s">
        <v>29</v>
      </c>
      <c r="R117" s="7" t="s">
        <v>29</v>
      </c>
      <c r="S117" s="7" t="s">
        <v>29</v>
      </c>
    </row>
    <row r="118" spans="2:19">
      <c r="B118" s="7" t="s">
        <v>195</v>
      </c>
      <c r="C118" s="8" t="s">
        <v>195</v>
      </c>
      <c r="D118" s="6" t="str">
        <f>LRTRIM(CONCATENATE(IF(SUMPRODUCT(-- ISNUMBER(SEARCH({"Auto Number"}, $B118))) &gt; 0, $B118, IF(SUMPRODUCT(-- ISNUMBER(SEARCH({"Lookup","Master-Detail"}, $B118))) &gt; 0,$B118 &amp; "(" &amp; $E118 &amp; ")",IF(SUMPRODUCT(-- ISNUMBER(SEARCH({"Formula","Roll-Up Summary"}, $B118))) &gt; 0,$B118 &amp; " (" &amp; $E118 &amp; ")",IF(SUMPRODUCT(-- ISNUMBER(SEARCH({"Content","Currency","Number","Percent","Text","URL"}, $B118))) &gt; 0,$B118 &amp; "(" &amp; $C118 &amp; ")",$B118)))), "  ", TRIM(IF($S118 = "YES", "(External ID)", "") &amp; " " &amp; IF(SUMPRODUCT(-- ISNUMBER(SEARCH({"Unique","Unique Case Insensitive"}, $R118))) &gt; 0, "(" &amp; $R118 &amp; ")", ""))))</f>
        <v>na</v>
      </c>
      <c r="E118" s="7" t="s">
        <v>195</v>
      </c>
      <c r="F118" s="7" t="s">
        <v>195</v>
      </c>
      <c r="G118" s="7" t="s">
        <v>195</v>
      </c>
      <c r="H118" s="7" t="s">
        <v>195</v>
      </c>
      <c r="I118" s="7" t="s">
        <v>195</v>
      </c>
      <c r="J118" s="7" t="s">
        <v>195</v>
      </c>
      <c r="K118" s="7" t="s">
        <v>195</v>
      </c>
      <c r="L118" s="7" t="s">
        <v>195</v>
      </c>
      <c r="M118" s="7" t="s">
        <v>29</v>
      </c>
      <c r="N118" s="7" t="s">
        <v>29</v>
      </c>
      <c r="O118" s="7" t="s">
        <v>29</v>
      </c>
      <c r="P118" s="7" t="s">
        <v>29</v>
      </c>
      <c r="Q118" s="7" t="s">
        <v>29</v>
      </c>
      <c r="R118" s="7" t="s">
        <v>29</v>
      </c>
      <c r="S118" s="7" t="s">
        <v>29</v>
      </c>
    </row>
    <row r="119" spans="2:19">
      <c r="B119" s="7" t="s">
        <v>195</v>
      </c>
      <c r="C119" s="8" t="s">
        <v>195</v>
      </c>
      <c r="D119" s="6" t="str">
        <f>LRTRIM(CONCATENATE(IF(SUMPRODUCT(-- ISNUMBER(SEARCH({"Auto Number"}, $B119))) &gt; 0, $B119, IF(SUMPRODUCT(-- ISNUMBER(SEARCH({"Lookup","Master-Detail"}, $B119))) &gt; 0,$B119 &amp; "(" &amp; $E119 &amp; ")",IF(SUMPRODUCT(-- ISNUMBER(SEARCH({"Formula","Roll-Up Summary"}, $B119))) &gt; 0,$B119 &amp; " (" &amp; $E119 &amp; ")",IF(SUMPRODUCT(-- ISNUMBER(SEARCH({"Content","Currency","Number","Percent","Text","URL"}, $B119))) &gt; 0,$B119 &amp; "(" &amp; $C119 &amp; ")",$B119)))), "  ", TRIM(IF($S119 = "YES", "(External ID)", "") &amp; " " &amp; IF(SUMPRODUCT(-- ISNUMBER(SEARCH({"Unique","Unique Case Insensitive"}, $R119))) &gt; 0, "(" &amp; $R119 &amp; ")", ""))))</f>
        <v>na</v>
      </c>
      <c r="E119" s="7" t="s">
        <v>195</v>
      </c>
      <c r="F119" s="7" t="s">
        <v>195</v>
      </c>
      <c r="G119" s="7" t="s">
        <v>195</v>
      </c>
      <c r="H119" s="7" t="s">
        <v>195</v>
      </c>
      <c r="I119" s="7" t="s">
        <v>195</v>
      </c>
      <c r="J119" s="7" t="s">
        <v>195</v>
      </c>
      <c r="K119" s="7" t="s">
        <v>195</v>
      </c>
      <c r="L119" s="7" t="s">
        <v>195</v>
      </c>
      <c r="M119" s="7" t="s">
        <v>29</v>
      </c>
      <c r="N119" s="7" t="s">
        <v>29</v>
      </c>
      <c r="O119" s="7" t="s">
        <v>29</v>
      </c>
      <c r="P119" s="7" t="s">
        <v>29</v>
      </c>
      <c r="Q119" s="7" t="s">
        <v>29</v>
      </c>
      <c r="R119" s="7" t="s">
        <v>29</v>
      </c>
      <c r="S119" s="7" t="s">
        <v>29</v>
      </c>
    </row>
    <row r="120" spans="2:19">
      <c r="B120" s="7" t="s">
        <v>195</v>
      </c>
      <c r="C120" s="8" t="s">
        <v>195</v>
      </c>
      <c r="D120" s="6" t="str">
        <f>LRTRIM(CONCATENATE(IF(SUMPRODUCT(-- ISNUMBER(SEARCH({"Auto Number"}, $B120))) &gt; 0, $B120, IF(SUMPRODUCT(-- ISNUMBER(SEARCH({"Lookup","Master-Detail"}, $B120))) &gt; 0,$B120 &amp; "(" &amp; $E120 &amp; ")",IF(SUMPRODUCT(-- ISNUMBER(SEARCH({"Formula","Roll-Up Summary"}, $B120))) &gt; 0,$B120 &amp; " (" &amp; $E120 &amp; ")",IF(SUMPRODUCT(-- ISNUMBER(SEARCH({"Content","Currency","Number","Percent","Text","URL"}, $B120))) &gt; 0,$B120 &amp; "(" &amp; $C120 &amp; ")",$B120)))), "  ", TRIM(IF($S120 = "YES", "(External ID)", "") &amp; " " &amp; IF(SUMPRODUCT(-- ISNUMBER(SEARCH({"Unique","Unique Case Insensitive"}, $R120))) &gt; 0, "(" &amp; $R120 &amp; ")", ""))))</f>
        <v>na</v>
      </c>
      <c r="E120" s="7" t="s">
        <v>195</v>
      </c>
      <c r="F120" s="7" t="s">
        <v>195</v>
      </c>
      <c r="G120" s="7" t="s">
        <v>195</v>
      </c>
      <c r="H120" s="7" t="s">
        <v>195</v>
      </c>
      <c r="I120" s="7" t="s">
        <v>195</v>
      </c>
      <c r="J120" s="7" t="s">
        <v>195</v>
      </c>
      <c r="K120" s="7" t="s">
        <v>195</v>
      </c>
      <c r="L120" s="7" t="s">
        <v>195</v>
      </c>
      <c r="M120" s="7" t="s">
        <v>29</v>
      </c>
      <c r="N120" s="7" t="s">
        <v>29</v>
      </c>
      <c r="O120" s="7" t="s">
        <v>29</v>
      </c>
      <c r="P120" s="7" t="s">
        <v>29</v>
      </c>
      <c r="Q120" s="7" t="s">
        <v>29</v>
      </c>
      <c r="R120" s="7" t="s">
        <v>29</v>
      </c>
      <c r="S120" s="7" t="s">
        <v>29</v>
      </c>
    </row>
    <row r="121" spans="2:19">
      <c r="B121" s="7" t="s">
        <v>195</v>
      </c>
      <c r="C121" s="8" t="s">
        <v>195</v>
      </c>
      <c r="D121" s="6" t="str">
        <f>LRTRIM(CONCATENATE(IF(SUMPRODUCT(-- ISNUMBER(SEARCH({"Auto Number"}, $B121))) &gt; 0, $B121, IF(SUMPRODUCT(-- ISNUMBER(SEARCH({"Lookup","Master-Detail"}, $B121))) &gt; 0,$B121 &amp; "(" &amp; $E121 &amp; ")",IF(SUMPRODUCT(-- ISNUMBER(SEARCH({"Formula","Roll-Up Summary"}, $B121))) &gt; 0,$B121 &amp; " (" &amp; $E121 &amp; ")",IF(SUMPRODUCT(-- ISNUMBER(SEARCH({"Content","Currency","Number","Percent","Text","URL"}, $B121))) &gt; 0,$B121 &amp; "(" &amp; $C121 &amp; ")",$B121)))), "  ", TRIM(IF($S121 = "YES", "(External ID)", "") &amp; " " &amp; IF(SUMPRODUCT(-- ISNUMBER(SEARCH({"Unique","Unique Case Insensitive"}, $R121))) &gt; 0, "(" &amp; $R121 &amp; ")", ""))))</f>
        <v>na</v>
      </c>
      <c r="E121" s="7" t="s">
        <v>195</v>
      </c>
      <c r="F121" s="7" t="s">
        <v>195</v>
      </c>
      <c r="G121" s="7" t="s">
        <v>195</v>
      </c>
      <c r="H121" s="7" t="s">
        <v>195</v>
      </c>
      <c r="I121" s="7" t="s">
        <v>195</v>
      </c>
      <c r="J121" s="7" t="s">
        <v>195</v>
      </c>
      <c r="K121" s="7" t="s">
        <v>195</v>
      </c>
      <c r="L121" s="7" t="s">
        <v>195</v>
      </c>
      <c r="M121" s="7" t="s">
        <v>29</v>
      </c>
      <c r="N121" s="7" t="s">
        <v>29</v>
      </c>
      <c r="O121" s="7" t="s">
        <v>29</v>
      </c>
      <c r="P121" s="7" t="s">
        <v>29</v>
      </c>
      <c r="Q121" s="7" t="s">
        <v>29</v>
      </c>
      <c r="R121" s="7" t="s">
        <v>29</v>
      </c>
      <c r="S121" s="7" t="s">
        <v>29</v>
      </c>
    </row>
    <row r="122" spans="2:19">
      <c r="B122" s="7" t="s">
        <v>195</v>
      </c>
      <c r="C122" s="8" t="s">
        <v>195</v>
      </c>
      <c r="D122" s="6" t="str">
        <f>LRTRIM(CONCATENATE(IF(SUMPRODUCT(-- ISNUMBER(SEARCH({"Auto Number"}, $B122))) &gt; 0, $B122, IF(SUMPRODUCT(-- ISNUMBER(SEARCH({"Lookup","Master-Detail"}, $B122))) &gt; 0,$B122 &amp; "(" &amp; $E122 &amp; ")",IF(SUMPRODUCT(-- ISNUMBER(SEARCH({"Formula","Roll-Up Summary"}, $B122))) &gt; 0,$B122 &amp; " (" &amp; $E122 &amp; ")",IF(SUMPRODUCT(-- ISNUMBER(SEARCH({"Content","Currency","Number","Percent","Text","URL"}, $B122))) &gt; 0,$B122 &amp; "(" &amp; $C122 &amp; ")",$B122)))), "  ", TRIM(IF($S122 = "YES", "(External ID)", "") &amp; " " &amp; IF(SUMPRODUCT(-- ISNUMBER(SEARCH({"Unique","Unique Case Insensitive"}, $R122))) &gt; 0, "(" &amp; $R122 &amp; ")", ""))))</f>
        <v>na</v>
      </c>
      <c r="E122" s="7" t="s">
        <v>195</v>
      </c>
      <c r="F122" s="7" t="s">
        <v>195</v>
      </c>
      <c r="G122" s="7" t="s">
        <v>195</v>
      </c>
      <c r="H122" s="7" t="s">
        <v>195</v>
      </c>
      <c r="I122" s="7" t="s">
        <v>195</v>
      </c>
      <c r="J122" s="7" t="s">
        <v>195</v>
      </c>
      <c r="K122" s="7" t="s">
        <v>195</v>
      </c>
      <c r="L122" s="7" t="s">
        <v>195</v>
      </c>
      <c r="M122" s="7" t="s">
        <v>29</v>
      </c>
      <c r="N122" s="7" t="s">
        <v>29</v>
      </c>
      <c r="O122" s="7" t="s">
        <v>29</v>
      </c>
      <c r="P122" s="7" t="s">
        <v>29</v>
      </c>
      <c r="Q122" s="7" t="s">
        <v>29</v>
      </c>
      <c r="R122" s="7" t="s">
        <v>29</v>
      </c>
      <c r="S122" s="7" t="s">
        <v>29</v>
      </c>
    </row>
    <row r="123" spans="2:19">
      <c r="B123" s="7" t="s">
        <v>195</v>
      </c>
      <c r="C123" s="8" t="s">
        <v>195</v>
      </c>
      <c r="D123" s="6" t="str">
        <f>LRTRIM(CONCATENATE(IF(SUMPRODUCT(-- ISNUMBER(SEARCH({"Auto Number"}, $B123))) &gt; 0, $B123, IF(SUMPRODUCT(-- ISNUMBER(SEARCH({"Lookup","Master-Detail"}, $B123))) &gt; 0,$B123 &amp; "(" &amp; $E123 &amp; ")",IF(SUMPRODUCT(-- ISNUMBER(SEARCH({"Formula","Roll-Up Summary"}, $B123))) &gt; 0,$B123 &amp; " (" &amp; $E123 &amp; ")",IF(SUMPRODUCT(-- ISNUMBER(SEARCH({"Content","Currency","Number","Percent","Text","URL"}, $B123))) &gt; 0,$B123 &amp; "(" &amp; $C123 &amp; ")",$B123)))), "  ", TRIM(IF($S123 = "YES", "(External ID)", "") &amp; " " &amp; IF(SUMPRODUCT(-- ISNUMBER(SEARCH({"Unique","Unique Case Insensitive"}, $R123))) &gt; 0, "(" &amp; $R123 &amp; ")", ""))))</f>
        <v>na</v>
      </c>
      <c r="E123" s="7" t="s">
        <v>195</v>
      </c>
      <c r="F123" s="7" t="s">
        <v>195</v>
      </c>
      <c r="G123" s="7" t="s">
        <v>195</v>
      </c>
      <c r="H123" s="7" t="s">
        <v>195</v>
      </c>
      <c r="I123" s="7" t="s">
        <v>195</v>
      </c>
      <c r="J123" s="7" t="s">
        <v>195</v>
      </c>
      <c r="K123" s="7" t="s">
        <v>195</v>
      </c>
      <c r="L123" s="7" t="s">
        <v>195</v>
      </c>
      <c r="M123" s="7" t="s">
        <v>29</v>
      </c>
      <c r="N123" s="7" t="s">
        <v>29</v>
      </c>
      <c r="O123" s="7" t="s">
        <v>29</v>
      </c>
      <c r="P123" s="7" t="s">
        <v>29</v>
      </c>
      <c r="Q123" s="7" t="s">
        <v>29</v>
      </c>
      <c r="R123" s="7" t="s">
        <v>29</v>
      </c>
      <c r="S123" s="7" t="s">
        <v>29</v>
      </c>
    </row>
    <row r="124" spans="2:19">
      <c r="B124" s="7" t="s">
        <v>195</v>
      </c>
      <c r="C124" s="8" t="s">
        <v>195</v>
      </c>
      <c r="D124" s="6" t="str">
        <f>LRTRIM(CONCATENATE(IF(SUMPRODUCT(-- ISNUMBER(SEARCH({"Auto Number"}, $B124))) &gt; 0, $B124, IF(SUMPRODUCT(-- ISNUMBER(SEARCH({"Lookup","Master-Detail"}, $B124))) &gt; 0,$B124 &amp; "(" &amp; $E124 &amp; ")",IF(SUMPRODUCT(-- ISNUMBER(SEARCH({"Formula","Roll-Up Summary"}, $B124))) &gt; 0,$B124 &amp; " (" &amp; $E124 &amp; ")",IF(SUMPRODUCT(-- ISNUMBER(SEARCH({"Content","Currency","Number","Percent","Text","URL"}, $B124))) &gt; 0,$B124 &amp; "(" &amp; $C124 &amp; ")",$B124)))), "  ", TRIM(IF($S124 = "YES", "(External ID)", "") &amp; " " &amp; IF(SUMPRODUCT(-- ISNUMBER(SEARCH({"Unique","Unique Case Insensitive"}, $R124))) &gt; 0, "(" &amp; $R124 &amp; ")", ""))))</f>
        <v>na</v>
      </c>
      <c r="E124" s="7" t="s">
        <v>195</v>
      </c>
      <c r="F124" s="7" t="s">
        <v>195</v>
      </c>
      <c r="G124" s="7" t="s">
        <v>195</v>
      </c>
      <c r="H124" s="7" t="s">
        <v>195</v>
      </c>
      <c r="I124" s="7" t="s">
        <v>195</v>
      </c>
      <c r="J124" s="7" t="s">
        <v>195</v>
      </c>
      <c r="K124" s="7" t="s">
        <v>195</v>
      </c>
      <c r="L124" s="7" t="s">
        <v>195</v>
      </c>
      <c r="M124" s="7" t="s">
        <v>29</v>
      </c>
      <c r="N124" s="7" t="s">
        <v>29</v>
      </c>
      <c r="O124" s="7" t="s">
        <v>29</v>
      </c>
      <c r="P124" s="7" t="s">
        <v>29</v>
      </c>
      <c r="Q124" s="7" t="s">
        <v>29</v>
      </c>
      <c r="R124" s="7" t="s">
        <v>29</v>
      </c>
      <c r="S124" s="7" t="s">
        <v>29</v>
      </c>
    </row>
    <row r="125" spans="2:19">
      <c r="B125" s="7" t="s">
        <v>195</v>
      </c>
      <c r="C125" s="8" t="s">
        <v>195</v>
      </c>
      <c r="D125" s="6" t="str">
        <f>LRTRIM(CONCATENATE(IF(SUMPRODUCT(-- ISNUMBER(SEARCH({"Auto Number"}, $B125))) &gt; 0, $B125, IF(SUMPRODUCT(-- ISNUMBER(SEARCH({"Lookup","Master-Detail"}, $B125))) &gt; 0,$B125 &amp; "(" &amp; $E125 &amp; ")",IF(SUMPRODUCT(-- ISNUMBER(SEARCH({"Formula","Roll-Up Summary"}, $B125))) &gt; 0,$B125 &amp; " (" &amp; $E125 &amp; ")",IF(SUMPRODUCT(-- ISNUMBER(SEARCH({"Content","Currency","Number","Percent","Text","URL"}, $B125))) &gt; 0,$B125 &amp; "(" &amp; $C125 &amp; ")",$B125)))), "  ", TRIM(IF($S125 = "YES", "(External ID)", "") &amp; " " &amp; IF(SUMPRODUCT(-- ISNUMBER(SEARCH({"Unique","Unique Case Insensitive"}, $R125))) &gt; 0, "(" &amp; $R125 &amp; ")", ""))))</f>
        <v>na</v>
      </c>
      <c r="E125" s="7" t="s">
        <v>195</v>
      </c>
      <c r="F125" s="7" t="s">
        <v>195</v>
      </c>
      <c r="G125" s="7" t="s">
        <v>195</v>
      </c>
      <c r="H125" s="7" t="s">
        <v>195</v>
      </c>
      <c r="I125" s="7" t="s">
        <v>195</v>
      </c>
      <c r="J125" s="7" t="s">
        <v>195</v>
      </c>
      <c r="K125" s="7" t="s">
        <v>195</v>
      </c>
      <c r="L125" s="7" t="s">
        <v>195</v>
      </c>
      <c r="M125" s="7" t="s">
        <v>29</v>
      </c>
      <c r="N125" s="7" t="s">
        <v>29</v>
      </c>
      <c r="O125" s="7" t="s">
        <v>29</v>
      </c>
      <c r="P125" s="7" t="s">
        <v>29</v>
      </c>
      <c r="Q125" s="7" t="s">
        <v>29</v>
      </c>
      <c r="R125" s="7" t="s">
        <v>29</v>
      </c>
      <c r="S125" s="7" t="s">
        <v>29</v>
      </c>
    </row>
    <row r="126" spans="2:19">
      <c r="B126" s="7" t="s">
        <v>195</v>
      </c>
      <c r="C126" s="8" t="s">
        <v>195</v>
      </c>
      <c r="D126" s="6" t="str">
        <f>LRTRIM(CONCATENATE(IF(SUMPRODUCT(-- ISNUMBER(SEARCH({"Auto Number"}, $B126))) &gt; 0, $B126, IF(SUMPRODUCT(-- ISNUMBER(SEARCH({"Lookup","Master-Detail"}, $B126))) &gt; 0,$B126 &amp; "(" &amp; $E126 &amp; ")",IF(SUMPRODUCT(-- ISNUMBER(SEARCH({"Formula","Roll-Up Summary"}, $B126))) &gt; 0,$B126 &amp; " (" &amp; $E126 &amp; ")",IF(SUMPRODUCT(-- ISNUMBER(SEARCH({"Content","Currency","Number","Percent","Text","URL"}, $B126))) &gt; 0,$B126 &amp; "(" &amp; $C126 &amp; ")",$B126)))), "  ", TRIM(IF($S126 = "YES", "(External ID)", "") &amp; " " &amp; IF(SUMPRODUCT(-- ISNUMBER(SEARCH({"Unique","Unique Case Insensitive"}, $R126))) &gt; 0, "(" &amp; $R126 &amp; ")", ""))))</f>
        <v>na</v>
      </c>
      <c r="E126" s="7" t="s">
        <v>195</v>
      </c>
      <c r="F126" s="7" t="s">
        <v>195</v>
      </c>
      <c r="G126" s="7" t="s">
        <v>195</v>
      </c>
      <c r="H126" s="7" t="s">
        <v>195</v>
      </c>
      <c r="I126" s="7" t="s">
        <v>195</v>
      </c>
      <c r="J126" s="7" t="s">
        <v>195</v>
      </c>
      <c r="K126" s="7" t="s">
        <v>195</v>
      </c>
      <c r="L126" s="7" t="s">
        <v>195</v>
      </c>
      <c r="M126" s="7" t="s">
        <v>29</v>
      </c>
      <c r="N126" s="7" t="s">
        <v>29</v>
      </c>
      <c r="O126" s="7" t="s">
        <v>29</v>
      </c>
      <c r="P126" s="7" t="s">
        <v>29</v>
      </c>
      <c r="Q126" s="7" t="s">
        <v>29</v>
      </c>
      <c r="R126" s="7" t="s">
        <v>29</v>
      </c>
      <c r="S126" s="7" t="s">
        <v>29</v>
      </c>
    </row>
    <row r="127" spans="2:19">
      <c r="B127" s="7" t="s">
        <v>195</v>
      </c>
      <c r="C127" s="8" t="s">
        <v>195</v>
      </c>
      <c r="D127" s="6" t="str">
        <f>LRTRIM(CONCATENATE(IF(SUMPRODUCT(-- ISNUMBER(SEARCH({"Auto Number"}, $B127))) &gt; 0, $B127, IF(SUMPRODUCT(-- ISNUMBER(SEARCH({"Lookup","Master-Detail"}, $B127))) &gt; 0,$B127 &amp; "(" &amp; $E127 &amp; ")",IF(SUMPRODUCT(-- ISNUMBER(SEARCH({"Formula","Roll-Up Summary"}, $B127))) &gt; 0,$B127 &amp; " (" &amp; $E127 &amp; ")",IF(SUMPRODUCT(-- ISNUMBER(SEARCH({"Content","Currency","Number","Percent","Text","URL"}, $B127))) &gt; 0,$B127 &amp; "(" &amp; $C127 &amp; ")",$B127)))), "  ", TRIM(IF($S127 = "YES", "(External ID)", "") &amp; " " &amp; IF(SUMPRODUCT(-- ISNUMBER(SEARCH({"Unique","Unique Case Insensitive"}, $R127))) &gt; 0, "(" &amp; $R127 &amp; ")", ""))))</f>
        <v>na</v>
      </c>
      <c r="E127" s="7" t="s">
        <v>195</v>
      </c>
      <c r="F127" s="7" t="s">
        <v>195</v>
      </c>
      <c r="G127" s="7" t="s">
        <v>195</v>
      </c>
      <c r="H127" s="7" t="s">
        <v>195</v>
      </c>
      <c r="I127" s="7" t="s">
        <v>195</v>
      </c>
      <c r="J127" s="7" t="s">
        <v>195</v>
      </c>
      <c r="K127" s="7" t="s">
        <v>195</v>
      </c>
      <c r="L127" s="7" t="s">
        <v>195</v>
      </c>
      <c r="M127" s="7" t="s">
        <v>29</v>
      </c>
      <c r="N127" s="7" t="s">
        <v>29</v>
      </c>
      <c r="O127" s="7" t="s">
        <v>29</v>
      </c>
      <c r="P127" s="7" t="s">
        <v>29</v>
      </c>
      <c r="Q127" s="7" t="s">
        <v>29</v>
      </c>
      <c r="R127" s="7" t="s">
        <v>29</v>
      </c>
      <c r="S127" s="7" t="s">
        <v>29</v>
      </c>
    </row>
    <row r="128" spans="2:19">
      <c r="B128" s="7" t="s">
        <v>195</v>
      </c>
      <c r="C128" s="8" t="s">
        <v>195</v>
      </c>
      <c r="D128" s="6" t="str">
        <f>LRTRIM(CONCATENATE(IF(SUMPRODUCT(-- ISNUMBER(SEARCH({"Auto Number"}, $B128))) &gt; 0, $B128, IF(SUMPRODUCT(-- ISNUMBER(SEARCH({"Lookup","Master-Detail"}, $B128))) &gt; 0,$B128 &amp; "(" &amp; $E128 &amp; ")",IF(SUMPRODUCT(-- ISNUMBER(SEARCH({"Formula","Roll-Up Summary"}, $B128))) &gt; 0,$B128 &amp; " (" &amp; $E128 &amp; ")",IF(SUMPRODUCT(-- ISNUMBER(SEARCH({"Content","Currency","Number","Percent","Text","URL"}, $B128))) &gt; 0,$B128 &amp; "(" &amp; $C128 &amp; ")",$B128)))), "  ", TRIM(IF($S128 = "YES", "(External ID)", "") &amp; " " &amp; IF(SUMPRODUCT(-- ISNUMBER(SEARCH({"Unique","Unique Case Insensitive"}, $R128))) &gt; 0, "(" &amp; $R128 &amp; ")", ""))))</f>
        <v>na</v>
      </c>
      <c r="E128" s="7" t="s">
        <v>195</v>
      </c>
      <c r="F128" s="7" t="s">
        <v>195</v>
      </c>
      <c r="G128" s="7" t="s">
        <v>195</v>
      </c>
      <c r="H128" s="7" t="s">
        <v>195</v>
      </c>
      <c r="I128" s="7" t="s">
        <v>195</v>
      </c>
      <c r="J128" s="7" t="s">
        <v>195</v>
      </c>
      <c r="K128" s="7" t="s">
        <v>195</v>
      </c>
      <c r="L128" s="7" t="s">
        <v>195</v>
      </c>
      <c r="M128" s="7" t="s">
        <v>29</v>
      </c>
      <c r="N128" s="7" t="s">
        <v>29</v>
      </c>
      <c r="O128" s="7" t="s">
        <v>29</v>
      </c>
      <c r="P128" s="7" t="s">
        <v>29</v>
      </c>
      <c r="Q128" s="7" t="s">
        <v>29</v>
      </c>
      <c r="R128" s="7" t="s">
        <v>29</v>
      </c>
      <c r="S128" s="7" t="s">
        <v>29</v>
      </c>
    </row>
    <row r="129" spans="2:19">
      <c r="B129" s="7" t="s">
        <v>195</v>
      </c>
      <c r="C129" s="8" t="s">
        <v>195</v>
      </c>
      <c r="D129" s="6" t="str">
        <f>LRTRIM(CONCATENATE(IF(SUMPRODUCT(-- ISNUMBER(SEARCH({"Auto Number"}, $B129))) &gt; 0, $B129, IF(SUMPRODUCT(-- ISNUMBER(SEARCH({"Lookup","Master-Detail"}, $B129))) &gt; 0,$B129 &amp; "(" &amp; $E129 &amp; ")",IF(SUMPRODUCT(-- ISNUMBER(SEARCH({"Formula","Roll-Up Summary"}, $B129))) &gt; 0,$B129 &amp; " (" &amp; $E129 &amp; ")",IF(SUMPRODUCT(-- ISNUMBER(SEARCH({"Content","Currency","Number","Percent","Text","URL"}, $B129))) &gt; 0,$B129 &amp; "(" &amp; $C129 &amp; ")",$B129)))), "  ", TRIM(IF($S129 = "YES", "(External ID)", "") &amp; " " &amp; IF(SUMPRODUCT(-- ISNUMBER(SEARCH({"Unique","Unique Case Insensitive"}, $R129))) &gt; 0, "(" &amp; $R129 &amp; ")", ""))))</f>
        <v>na</v>
      </c>
      <c r="E129" s="7" t="s">
        <v>195</v>
      </c>
      <c r="F129" s="7" t="s">
        <v>195</v>
      </c>
      <c r="G129" s="7" t="s">
        <v>195</v>
      </c>
      <c r="H129" s="7" t="s">
        <v>195</v>
      </c>
      <c r="I129" s="7" t="s">
        <v>195</v>
      </c>
      <c r="J129" s="7" t="s">
        <v>195</v>
      </c>
      <c r="K129" s="7" t="s">
        <v>195</v>
      </c>
      <c r="L129" s="7" t="s">
        <v>195</v>
      </c>
      <c r="M129" s="7" t="s">
        <v>29</v>
      </c>
      <c r="N129" s="7" t="s">
        <v>29</v>
      </c>
      <c r="O129" s="7" t="s">
        <v>29</v>
      </c>
      <c r="P129" s="7" t="s">
        <v>29</v>
      </c>
      <c r="Q129" s="7" t="s">
        <v>29</v>
      </c>
      <c r="R129" s="7" t="s">
        <v>29</v>
      </c>
      <c r="S129" s="7" t="s">
        <v>29</v>
      </c>
    </row>
    <row r="130" spans="2:19">
      <c r="B130" s="7" t="s">
        <v>195</v>
      </c>
      <c r="C130" s="8" t="s">
        <v>195</v>
      </c>
      <c r="D130" s="6" t="str">
        <f>LRTRIM(CONCATENATE(IF(SUMPRODUCT(-- ISNUMBER(SEARCH({"Auto Number"}, $B130))) &gt; 0, $B130, IF(SUMPRODUCT(-- ISNUMBER(SEARCH({"Lookup","Master-Detail"}, $B130))) &gt; 0,$B130 &amp; "(" &amp; $E130 &amp; ")",IF(SUMPRODUCT(-- ISNUMBER(SEARCH({"Formula","Roll-Up Summary"}, $B130))) &gt; 0,$B130 &amp; " (" &amp; $E130 &amp; ")",IF(SUMPRODUCT(-- ISNUMBER(SEARCH({"Content","Currency","Number","Percent","Text","URL"}, $B130))) &gt; 0,$B130 &amp; "(" &amp; $C130 &amp; ")",$B130)))), "  ", TRIM(IF($S130 = "YES", "(External ID)", "") &amp; " " &amp; IF(SUMPRODUCT(-- ISNUMBER(SEARCH({"Unique","Unique Case Insensitive"}, $R130))) &gt; 0, "(" &amp; $R130 &amp; ")", ""))))</f>
        <v>na</v>
      </c>
      <c r="E130" s="7" t="s">
        <v>195</v>
      </c>
      <c r="F130" s="7" t="s">
        <v>195</v>
      </c>
      <c r="G130" s="7" t="s">
        <v>195</v>
      </c>
      <c r="H130" s="7" t="s">
        <v>195</v>
      </c>
      <c r="I130" s="7" t="s">
        <v>195</v>
      </c>
      <c r="J130" s="7" t="s">
        <v>195</v>
      </c>
      <c r="K130" s="7" t="s">
        <v>195</v>
      </c>
      <c r="L130" s="7" t="s">
        <v>195</v>
      </c>
      <c r="M130" s="7" t="s">
        <v>29</v>
      </c>
      <c r="N130" s="7" t="s">
        <v>29</v>
      </c>
      <c r="O130" s="7" t="s">
        <v>29</v>
      </c>
      <c r="P130" s="7" t="s">
        <v>29</v>
      </c>
      <c r="Q130" s="7" t="s">
        <v>29</v>
      </c>
      <c r="R130" s="7" t="s">
        <v>29</v>
      </c>
      <c r="S130" s="7" t="s">
        <v>29</v>
      </c>
    </row>
    <row r="131" spans="2:19">
      <c r="B131" s="7" t="s">
        <v>195</v>
      </c>
      <c r="C131" s="8" t="s">
        <v>195</v>
      </c>
      <c r="D131" s="6" t="str">
        <f>LRTRIM(CONCATENATE(IF(SUMPRODUCT(-- ISNUMBER(SEARCH({"Auto Number"}, $B131))) &gt; 0, $B131, IF(SUMPRODUCT(-- ISNUMBER(SEARCH({"Lookup","Master-Detail"}, $B131))) &gt; 0,$B131 &amp; "(" &amp; $E131 &amp; ")",IF(SUMPRODUCT(-- ISNUMBER(SEARCH({"Formula","Roll-Up Summary"}, $B131))) &gt; 0,$B131 &amp; " (" &amp; $E131 &amp; ")",IF(SUMPRODUCT(-- ISNUMBER(SEARCH({"Content","Currency","Number","Percent","Text","URL"}, $B131))) &gt; 0,$B131 &amp; "(" &amp; $C131 &amp; ")",$B131)))), "  ", TRIM(IF($S131 = "YES", "(External ID)", "") &amp; " " &amp; IF(SUMPRODUCT(-- ISNUMBER(SEARCH({"Unique","Unique Case Insensitive"}, $R131))) &gt; 0, "(" &amp; $R131 &amp; ")", ""))))</f>
        <v>na</v>
      </c>
      <c r="E131" s="7" t="s">
        <v>195</v>
      </c>
      <c r="F131" s="7" t="s">
        <v>195</v>
      </c>
      <c r="G131" s="7" t="s">
        <v>195</v>
      </c>
      <c r="H131" s="7" t="s">
        <v>195</v>
      </c>
      <c r="I131" s="7" t="s">
        <v>195</v>
      </c>
      <c r="J131" s="7" t="s">
        <v>195</v>
      </c>
      <c r="K131" s="7" t="s">
        <v>195</v>
      </c>
      <c r="L131" s="7" t="s">
        <v>195</v>
      </c>
      <c r="M131" s="7" t="s">
        <v>29</v>
      </c>
      <c r="N131" s="7" t="s">
        <v>29</v>
      </c>
      <c r="O131" s="7" t="s">
        <v>29</v>
      </c>
      <c r="P131" s="7" t="s">
        <v>29</v>
      </c>
      <c r="Q131" s="7" t="s">
        <v>29</v>
      </c>
      <c r="R131" s="7" t="s">
        <v>29</v>
      </c>
      <c r="S131" s="7" t="s">
        <v>29</v>
      </c>
    </row>
    <row r="132" spans="2:19">
      <c r="B132" s="7" t="s">
        <v>195</v>
      </c>
      <c r="C132" s="8" t="s">
        <v>195</v>
      </c>
      <c r="D132" s="6" t="str">
        <f>LRTRIM(CONCATENATE(IF(SUMPRODUCT(-- ISNUMBER(SEARCH({"Auto Number"}, $B132))) &gt; 0, $B132, IF(SUMPRODUCT(-- ISNUMBER(SEARCH({"Lookup","Master-Detail"}, $B132))) &gt; 0,$B132 &amp; "(" &amp; $E132 &amp; ")",IF(SUMPRODUCT(-- ISNUMBER(SEARCH({"Formula","Roll-Up Summary"}, $B132))) &gt; 0,$B132 &amp; " (" &amp; $E132 &amp; ")",IF(SUMPRODUCT(-- ISNUMBER(SEARCH({"Content","Currency","Number","Percent","Text","URL"}, $B132))) &gt; 0,$B132 &amp; "(" &amp; $C132 &amp; ")",$B132)))), "  ", TRIM(IF($S132 = "YES", "(External ID)", "") &amp; " " &amp; IF(SUMPRODUCT(-- ISNUMBER(SEARCH({"Unique","Unique Case Insensitive"}, $R132))) &gt; 0, "(" &amp; $R132 &amp; ")", ""))))</f>
        <v>na</v>
      </c>
      <c r="E132" s="7" t="s">
        <v>195</v>
      </c>
      <c r="F132" s="7" t="s">
        <v>195</v>
      </c>
      <c r="G132" s="7" t="s">
        <v>195</v>
      </c>
      <c r="H132" s="7" t="s">
        <v>195</v>
      </c>
      <c r="I132" s="7" t="s">
        <v>195</v>
      </c>
      <c r="J132" s="7" t="s">
        <v>195</v>
      </c>
      <c r="K132" s="7" t="s">
        <v>195</v>
      </c>
      <c r="L132" s="7" t="s">
        <v>195</v>
      </c>
      <c r="M132" s="7" t="s">
        <v>29</v>
      </c>
      <c r="N132" s="7" t="s">
        <v>29</v>
      </c>
      <c r="O132" s="7" t="s">
        <v>29</v>
      </c>
      <c r="P132" s="7" t="s">
        <v>29</v>
      </c>
      <c r="Q132" s="7" t="s">
        <v>29</v>
      </c>
      <c r="R132" s="7" t="s">
        <v>29</v>
      </c>
      <c r="S132" s="7" t="s">
        <v>29</v>
      </c>
    </row>
    <row r="133" spans="2:19">
      <c r="B133" s="7" t="s">
        <v>195</v>
      </c>
      <c r="C133" s="8" t="s">
        <v>195</v>
      </c>
      <c r="D133" s="6" t="str">
        <f>LRTRIM(CONCATENATE(IF(SUMPRODUCT(-- ISNUMBER(SEARCH({"Auto Number"}, $B133))) &gt; 0, $B133, IF(SUMPRODUCT(-- ISNUMBER(SEARCH({"Lookup","Master-Detail"}, $B133))) &gt; 0,$B133 &amp; "(" &amp; $E133 &amp; ")",IF(SUMPRODUCT(-- ISNUMBER(SEARCH({"Formula","Roll-Up Summary"}, $B133))) &gt; 0,$B133 &amp; " (" &amp; $E133 &amp; ")",IF(SUMPRODUCT(-- ISNUMBER(SEARCH({"Content","Currency","Number","Percent","Text","URL"}, $B133))) &gt; 0,$B133 &amp; "(" &amp; $C133 &amp; ")",$B133)))), "  ", TRIM(IF($S133 = "YES", "(External ID)", "") &amp; " " &amp; IF(SUMPRODUCT(-- ISNUMBER(SEARCH({"Unique","Unique Case Insensitive"}, $R133))) &gt; 0, "(" &amp; $R133 &amp; ")", ""))))</f>
        <v>na</v>
      </c>
      <c r="E133" s="7" t="s">
        <v>195</v>
      </c>
      <c r="F133" s="7" t="s">
        <v>195</v>
      </c>
      <c r="G133" s="7" t="s">
        <v>195</v>
      </c>
      <c r="H133" s="7" t="s">
        <v>195</v>
      </c>
      <c r="I133" s="7" t="s">
        <v>195</v>
      </c>
      <c r="J133" s="7" t="s">
        <v>195</v>
      </c>
      <c r="K133" s="7" t="s">
        <v>195</v>
      </c>
      <c r="L133" s="7" t="s">
        <v>195</v>
      </c>
      <c r="M133" s="7" t="s">
        <v>29</v>
      </c>
      <c r="N133" s="7" t="s">
        <v>29</v>
      </c>
      <c r="O133" s="7" t="s">
        <v>29</v>
      </c>
      <c r="P133" s="7" t="s">
        <v>29</v>
      </c>
      <c r="Q133" s="7" t="s">
        <v>29</v>
      </c>
      <c r="R133" s="7" t="s">
        <v>29</v>
      </c>
      <c r="S133" s="7" t="s">
        <v>29</v>
      </c>
    </row>
    <row r="134" spans="2:19">
      <c r="B134" s="7" t="s">
        <v>195</v>
      </c>
      <c r="C134" s="8" t="s">
        <v>195</v>
      </c>
      <c r="D134" s="6" t="str">
        <f>LRTRIM(CONCATENATE(IF(SUMPRODUCT(-- ISNUMBER(SEARCH({"Auto Number"}, $B134))) &gt; 0, $B134, IF(SUMPRODUCT(-- ISNUMBER(SEARCH({"Lookup","Master-Detail"}, $B134))) &gt; 0,$B134 &amp; "(" &amp; $E134 &amp; ")",IF(SUMPRODUCT(-- ISNUMBER(SEARCH({"Formula","Roll-Up Summary"}, $B134))) &gt; 0,$B134 &amp; " (" &amp; $E134 &amp; ")",IF(SUMPRODUCT(-- ISNUMBER(SEARCH({"Content","Currency","Number","Percent","Text","URL"}, $B134))) &gt; 0,$B134 &amp; "(" &amp; $C134 &amp; ")",$B134)))), "  ", TRIM(IF($S134 = "YES", "(External ID)", "") &amp; " " &amp; IF(SUMPRODUCT(-- ISNUMBER(SEARCH({"Unique","Unique Case Insensitive"}, $R134))) &gt; 0, "(" &amp; $R134 &amp; ")", ""))))</f>
        <v>na</v>
      </c>
      <c r="E134" s="7" t="s">
        <v>195</v>
      </c>
      <c r="F134" s="7" t="s">
        <v>195</v>
      </c>
      <c r="G134" s="7" t="s">
        <v>195</v>
      </c>
      <c r="H134" s="7" t="s">
        <v>195</v>
      </c>
      <c r="I134" s="7" t="s">
        <v>195</v>
      </c>
      <c r="J134" s="7" t="s">
        <v>195</v>
      </c>
      <c r="K134" s="7" t="s">
        <v>195</v>
      </c>
      <c r="L134" s="7" t="s">
        <v>195</v>
      </c>
      <c r="M134" s="7" t="s">
        <v>29</v>
      </c>
      <c r="N134" s="7" t="s">
        <v>29</v>
      </c>
      <c r="O134" s="7" t="s">
        <v>29</v>
      </c>
      <c r="P134" s="7" t="s">
        <v>29</v>
      </c>
      <c r="Q134" s="7" t="s">
        <v>29</v>
      </c>
      <c r="R134" s="7" t="s">
        <v>29</v>
      </c>
      <c r="S134" s="7" t="s">
        <v>29</v>
      </c>
    </row>
    <row r="135" spans="2:19">
      <c r="B135" s="7" t="s">
        <v>195</v>
      </c>
      <c r="C135" s="8" t="s">
        <v>195</v>
      </c>
      <c r="D135" s="6" t="str">
        <f>LRTRIM(CONCATENATE(IF(SUMPRODUCT(-- ISNUMBER(SEARCH({"Auto Number"}, $B135))) &gt; 0, $B135, IF(SUMPRODUCT(-- ISNUMBER(SEARCH({"Lookup","Master-Detail"}, $B135))) &gt; 0,$B135 &amp; "(" &amp; $E135 &amp; ")",IF(SUMPRODUCT(-- ISNUMBER(SEARCH({"Formula","Roll-Up Summary"}, $B135))) &gt; 0,$B135 &amp; " (" &amp; $E135 &amp; ")",IF(SUMPRODUCT(-- ISNUMBER(SEARCH({"Content","Currency","Number","Percent","Text","URL"}, $B135))) &gt; 0,$B135 &amp; "(" &amp; $C135 &amp; ")",$B135)))), "  ", TRIM(IF($S135 = "YES", "(External ID)", "") &amp; " " &amp; IF(SUMPRODUCT(-- ISNUMBER(SEARCH({"Unique","Unique Case Insensitive"}, $R135))) &gt; 0, "(" &amp; $R135 &amp; ")", ""))))</f>
        <v>na</v>
      </c>
      <c r="E135" s="7" t="s">
        <v>195</v>
      </c>
      <c r="F135" s="7" t="s">
        <v>195</v>
      </c>
      <c r="G135" s="7" t="s">
        <v>195</v>
      </c>
      <c r="H135" s="7" t="s">
        <v>195</v>
      </c>
      <c r="I135" s="7" t="s">
        <v>195</v>
      </c>
      <c r="J135" s="7" t="s">
        <v>195</v>
      </c>
      <c r="K135" s="7" t="s">
        <v>195</v>
      </c>
      <c r="L135" s="7" t="s">
        <v>195</v>
      </c>
      <c r="M135" s="7" t="s">
        <v>29</v>
      </c>
      <c r="N135" s="7" t="s">
        <v>29</v>
      </c>
      <c r="O135" s="7" t="s">
        <v>29</v>
      </c>
      <c r="P135" s="7" t="s">
        <v>29</v>
      </c>
      <c r="Q135" s="7" t="s">
        <v>29</v>
      </c>
      <c r="R135" s="7" t="s">
        <v>29</v>
      </c>
      <c r="S135" s="7" t="s">
        <v>29</v>
      </c>
    </row>
    <row r="136" spans="2:19">
      <c r="B136" s="7" t="s">
        <v>195</v>
      </c>
      <c r="C136" s="8" t="s">
        <v>195</v>
      </c>
      <c r="D136" s="6" t="str">
        <f>LRTRIM(CONCATENATE(IF(SUMPRODUCT(-- ISNUMBER(SEARCH({"Auto Number"}, $B136))) &gt; 0, $B136, IF(SUMPRODUCT(-- ISNUMBER(SEARCH({"Lookup","Master-Detail"}, $B136))) &gt; 0,$B136 &amp; "(" &amp; $E136 &amp; ")",IF(SUMPRODUCT(-- ISNUMBER(SEARCH({"Formula","Roll-Up Summary"}, $B136))) &gt; 0,$B136 &amp; " (" &amp; $E136 &amp; ")",IF(SUMPRODUCT(-- ISNUMBER(SEARCH({"Content","Currency","Number","Percent","Text","URL"}, $B136))) &gt; 0,$B136 &amp; "(" &amp; $C136 &amp; ")",$B136)))), "  ", TRIM(IF($S136 = "YES", "(External ID)", "") &amp; " " &amp; IF(SUMPRODUCT(-- ISNUMBER(SEARCH({"Unique","Unique Case Insensitive"}, $R136))) &gt; 0, "(" &amp; $R136 &amp; ")", ""))))</f>
        <v>na</v>
      </c>
      <c r="E136" s="7" t="s">
        <v>195</v>
      </c>
      <c r="F136" s="7" t="s">
        <v>195</v>
      </c>
      <c r="G136" s="7" t="s">
        <v>195</v>
      </c>
      <c r="H136" s="7" t="s">
        <v>195</v>
      </c>
      <c r="I136" s="7" t="s">
        <v>195</v>
      </c>
      <c r="J136" s="7" t="s">
        <v>195</v>
      </c>
      <c r="K136" s="7" t="s">
        <v>195</v>
      </c>
      <c r="L136" s="7" t="s">
        <v>195</v>
      </c>
      <c r="M136" s="7" t="s">
        <v>29</v>
      </c>
      <c r="N136" s="7" t="s">
        <v>29</v>
      </c>
      <c r="O136" s="7" t="s">
        <v>29</v>
      </c>
      <c r="P136" s="7" t="s">
        <v>29</v>
      </c>
      <c r="Q136" s="7" t="s">
        <v>29</v>
      </c>
      <c r="R136" s="7" t="s">
        <v>29</v>
      </c>
      <c r="S136" s="7" t="s">
        <v>29</v>
      </c>
    </row>
    <row r="137" spans="2:19">
      <c r="B137" s="7" t="s">
        <v>195</v>
      </c>
      <c r="C137" s="8" t="s">
        <v>195</v>
      </c>
      <c r="D137" s="6" t="str">
        <f>LRTRIM(CONCATENATE(IF(SUMPRODUCT(-- ISNUMBER(SEARCH({"Auto Number"}, $B137))) &gt; 0, $B137, IF(SUMPRODUCT(-- ISNUMBER(SEARCH({"Lookup","Master-Detail"}, $B137))) &gt; 0,$B137 &amp; "(" &amp; $E137 &amp; ")",IF(SUMPRODUCT(-- ISNUMBER(SEARCH({"Formula","Roll-Up Summary"}, $B137))) &gt; 0,$B137 &amp; " (" &amp; $E137 &amp; ")",IF(SUMPRODUCT(-- ISNUMBER(SEARCH({"Content","Currency","Number","Percent","Text","URL"}, $B137))) &gt; 0,$B137 &amp; "(" &amp; $C137 &amp; ")",$B137)))), "  ", TRIM(IF($S137 = "YES", "(External ID)", "") &amp; " " &amp; IF(SUMPRODUCT(-- ISNUMBER(SEARCH({"Unique","Unique Case Insensitive"}, $R137))) &gt; 0, "(" &amp; $R137 &amp; ")", ""))))</f>
        <v>na</v>
      </c>
      <c r="E137" s="7" t="s">
        <v>195</v>
      </c>
      <c r="F137" s="7" t="s">
        <v>195</v>
      </c>
      <c r="G137" s="7" t="s">
        <v>195</v>
      </c>
      <c r="H137" s="7" t="s">
        <v>195</v>
      </c>
      <c r="I137" s="7" t="s">
        <v>195</v>
      </c>
      <c r="J137" s="7" t="s">
        <v>195</v>
      </c>
      <c r="K137" s="7" t="s">
        <v>195</v>
      </c>
      <c r="L137" s="7" t="s">
        <v>195</v>
      </c>
      <c r="M137" s="7" t="s">
        <v>29</v>
      </c>
      <c r="N137" s="7" t="s">
        <v>29</v>
      </c>
      <c r="O137" s="7" t="s">
        <v>29</v>
      </c>
      <c r="P137" s="7" t="s">
        <v>29</v>
      </c>
      <c r="Q137" s="7" t="s">
        <v>29</v>
      </c>
      <c r="R137" s="7" t="s">
        <v>29</v>
      </c>
      <c r="S137" s="7" t="s">
        <v>29</v>
      </c>
    </row>
    <row r="138" spans="2:19">
      <c r="B138" s="7" t="s">
        <v>195</v>
      </c>
      <c r="C138" s="8" t="s">
        <v>195</v>
      </c>
      <c r="D138" s="6" t="str">
        <f>LRTRIM(CONCATENATE(IF(SUMPRODUCT(-- ISNUMBER(SEARCH({"Auto Number"}, $B138))) &gt; 0, $B138, IF(SUMPRODUCT(-- ISNUMBER(SEARCH({"Lookup","Master-Detail"}, $B138))) &gt; 0,$B138 &amp; "(" &amp; $E138 &amp; ")",IF(SUMPRODUCT(-- ISNUMBER(SEARCH({"Formula","Roll-Up Summary"}, $B138))) &gt; 0,$B138 &amp; " (" &amp; $E138 &amp; ")",IF(SUMPRODUCT(-- ISNUMBER(SEARCH({"Content","Currency","Number","Percent","Text","URL"}, $B138))) &gt; 0,$B138 &amp; "(" &amp; $C138 &amp; ")",$B138)))), "  ", TRIM(IF($S138 = "YES", "(External ID)", "") &amp; " " &amp; IF(SUMPRODUCT(-- ISNUMBER(SEARCH({"Unique","Unique Case Insensitive"}, $R138))) &gt; 0, "(" &amp; $R138 &amp; ")", ""))))</f>
        <v>na</v>
      </c>
      <c r="E138" s="7" t="s">
        <v>195</v>
      </c>
      <c r="F138" s="7" t="s">
        <v>195</v>
      </c>
      <c r="G138" s="7" t="s">
        <v>195</v>
      </c>
      <c r="H138" s="7" t="s">
        <v>195</v>
      </c>
      <c r="I138" s="7" t="s">
        <v>195</v>
      </c>
      <c r="J138" s="7" t="s">
        <v>195</v>
      </c>
      <c r="K138" s="7" t="s">
        <v>195</v>
      </c>
      <c r="L138" s="7" t="s">
        <v>195</v>
      </c>
      <c r="M138" s="7" t="s">
        <v>29</v>
      </c>
      <c r="N138" s="7" t="s">
        <v>29</v>
      </c>
      <c r="O138" s="7" t="s">
        <v>29</v>
      </c>
      <c r="P138" s="7" t="s">
        <v>29</v>
      </c>
      <c r="Q138" s="7" t="s">
        <v>29</v>
      </c>
      <c r="R138" s="7" t="s">
        <v>29</v>
      </c>
      <c r="S138" s="7" t="s">
        <v>29</v>
      </c>
    </row>
    <row r="139" spans="2:19">
      <c r="B139" s="7" t="s">
        <v>195</v>
      </c>
      <c r="C139" s="8" t="s">
        <v>195</v>
      </c>
      <c r="D139" s="6" t="str">
        <f>LRTRIM(CONCATENATE(IF(SUMPRODUCT(-- ISNUMBER(SEARCH({"Auto Number"}, $B139))) &gt; 0, $B139, IF(SUMPRODUCT(-- ISNUMBER(SEARCH({"Lookup","Master-Detail"}, $B139))) &gt; 0,$B139 &amp; "(" &amp; $E139 &amp; ")",IF(SUMPRODUCT(-- ISNUMBER(SEARCH({"Formula","Roll-Up Summary"}, $B139))) &gt; 0,$B139 &amp; " (" &amp; $E139 &amp; ")",IF(SUMPRODUCT(-- ISNUMBER(SEARCH({"Content","Currency","Number","Percent","Text","URL"}, $B139))) &gt; 0,$B139 &amp; "(" &amp; $C139 &amp; ")",$B139)))), "  ", TRIM(IF($S139 = "YES", "(External ID)", "") &amp; " " &amp; IF(SUMPRODUCT(-- ISNUMBER(SEARCH({"Unique","Unique Case Insensitive"}, $R139))) &gt; 0, "(" &amp; $R139 &amp; ")", ""))))</f>
        <v>na</v>
      </c>
      <c r="E139" s="7" t="s">
        <v>195</v>
      </c>
      <c r="F139" s="7" t="s">
        <v>195</v>
      </c>
      <c r="G139" s="7" t="s">
        <v>195</v>
      </c>
      <c r="H139" s="7" t="s">
        <v>195</v>
      </c>
      <c r="I139" s="7" t="s">
        <v>195</v>
      </c>
      <c r="J139" s="7" t="s">
        <v>195</v>
      </c>
      <c r="K139" s="7" t="s">
        <v>195</v>
      </c>
      <c r="L139" s="7" t="s">
        <v>195</v>
      </c>
      <c r="M139" s="7" t="s">
        <v>29</v>
      </c>
      <c r="N139" s="7" t="s">
        <v>29</v>
      </c>
      <c r="O139" s="7" t="s">
        <v>29</v>
      </c>
      <c r="P139" s="7" t="s">
        <v>29</v>
      </c>
      <c r="Q139" s="7" t="s">
        <v>29</v>
      </c>
      <c r="R139" s="7" t="s">
        <v>29</v>
      </c>
      <c r="S139" s="7" t="s">
        <v>29</v>
      </c>
    </row>
    <row r="140" spans="2:19">
      <c r="B140" s="7" t="s">
        <v>195</v>
      </c>
      <c r="C140" s="8" t="s">
        <v>195</v>
      </c>
      <c r="D140" s="6" t="str">
        <f>LRTRIM(CONCATENATE(IF(SUMPRODUCT(-- ISNUMBER(SEARCH({"Auto Number"}, $B140))) &gt; 0, $B140, IF(SUMPRODUCT(-- ISNUMBER(SEARCH({"Lookup","Master-Detail"}, $B140))) &gt; 0,$B140 &amp; "(" &amp; $E140 &amp; ")",IF(SUMPRODUCT(-- ISNUMBER(SEARCH({"Formula","Roll-Up Summary"}, $B140))) &gt; 0,$B140 &amp; " (" &amp; $E140 &amp; ")",IF(SUMPRODUCT(-- ISNUMBER(SEARCH({"Content","Currency","Number","Percent","Text","URL"}, $B140))) &gt; 0,$B140 &amp; "(" &amp; $C140 &amp; ")",$B140)))), "  ", TRIM(IF($S140 = "YES", "(External ID)", "") &amp; " " &amp; IF(SUMPRODUCT(-- ISNUMBER(SEARCH({"Unique","Unique Case Insensitive"}, $R140))) &gt; 0, "(" &amp; $R140 &amp; ")", ""))))</f>
        <v>na</v>
      </c>
      <c r="E140" s="7" t="s">
        <v>195</v>
      </c>
      <c r="F140" s="7" t="s">
        <v>195</v>
      </c>
      <c r="G140" s="7" t="s">
        <v>195</v>
      </c>
      <c r="H140" s="7" t="s">
        <v>195</v>
      </c>
      <c r="I140" s="7" t="s">
        <v>195</v>
      </c>
      <c r="J140" s="7" t="s">
        <v>195</v>
      </c>
      <c r="K140" s="7" t="s">
        <v>195</v>
      </c>
      <c r="L140" s="7" t="s">
        <v>195</v>
      </c>
      <c r="M140" s="7" t="s">
        <v>29</v>
      </c>
      <c r="N140" s="7" t="s">
        <v>29</v>
      </c>
      <c r="O140" s="7" t="s">
        <v>29</v>
      </c>
      <c r="P140" s="7" t="s">
        <v>29</v>
      </c>
      <c r="Q140" s="7" t="s">
        <v>29</v>
      </c>
      <c r="R140" s="7" t="s">
        <v>29</v>
      </c>
      <c r="S140" s="7" t="s">
        <v>29</v>
      </c>
    </row>
    <row r="141" spans="2:19">
      <c r="B141" s="7" t="s">
        <v>195</v>
      </c>
      <c r="C141" s="8" t="s">
        <v>195</v>
      </c>
      <c r="D141" s="6" t="str">
        <f>LRTRIM(CONCATENATE(IF(SUMPRODUCT(-- ISNUMBER(SEARCH({"Auto Number"}, $B141))) &gt; 0, $B141, IF(SUMPRODUCT(-- ISNUMBER(SEARCH({"Lookup","Master-Detail"}, $B141))) &gt; 0,$B141 &amp; "(" &amp; $E141 &amp; ")",IF(SUMPRODUCT(-- ISNUMBER(SEARCH({"Formula","Roll-Up Summary"}, $B141))) &gt; 0,$B141 &amp; " (" &amp; $E141 &amp; ")",IF(SUMPRODUCT(-- ISNUMBER(SEARCH({"Content","Currency","Number","Percent","Text","URL"}, $B141))) &gt; 0,$B141 &amp; "(" &amp; $C141 &amp; ")",$B141)))), "  ", TRIM(IF($S141 = "YES", "(External ID)", "") &amp; " " &amp; IF(SUMPRODUCT(-- ISNUMBER(SEARCH({"Unique","Unique Case Insensitive"}, $R141))) &gt; 0, "(" &amp; $R141 &amp; ")", ""))))</f>
        <v>na</v>
      </c>
      <c r="E141" s="7" t="s">
        <v>195</v>
      </c>
      <c r="F141" s="7" t="s">
        <v>195</v>
      </c>
      <c r="G141" s="7" t="s">
        <v>195</v>
      </c>
      <c r="H141" s="7" t="s">
        <v>195</v>
      </c>
      <c r="I141" s="7" t="s">
        <v>195</v>
      </c>
      <c r="J141" s="7" t="s">
        <v>195</v>
      </c>
      <c r="K141" s="7" t="s">
        <v>195</v>
      </c>
      <c r="L141" s="7" t="s">
        <v>195</v>
      </c>
      <c r="M141" s="7" t="s">
        <v>29</v>
      </c>
      <c r="N141" s="7" t="s">
        <v>29</v>
      </c>
      <c r="O141" s="7" t="s">
        <v>29</v>
      </c>
      <c r="P141" s="7" t="s">
        <v>29</v>
      </c>
      <c r="Q141" s="7" t="s">
        <v>29</v>
      </c>
      <c r="R141" s="7" t="s">
        <v>29</v>
      </c>
      <c r="S141" s="7" t="s">
        <v>29</v>
      </c>
    </row>
    <row r="142" spans="2:19">
      <c r="B142" s="7" t="s">
        <v>195</v>
      </c>
      <c r="C142" s="8" t="s">
        <v>195</v>
      </c>
      <c r="D142" s="6" t="str">
        <f>LRTRIM(CONCATENATE(IF(SUMPRODUCT(-- ISNUMBER(SEARCH({"Auto Number"}, $B142))) &gt; 0, $B142, IF(SUMPRODUCT(-- ISNUMBER(SEARCH({"Lookup","Master-Detail"}, $B142))) &gt; 0,$B142 &amp; "(" &amp; $E142 &amp; ")",IF(SUMPRODUCT(-- ISNUMBER(SEARCH({"Formula","Roll-Up Summary"}, $B142))) &gt; 0,$B142 &amp; " (" &amp; $E142 &amp; ")",IF(SUMPRODUCT(-- ISNUMBER(SEARCH({"Content","Currency","Number","Percent","Text","URL"}, $B142))) &gt; 0,$B142 &amp; "(" &amp; $C142 &amp; ")",$B142)))), "  ", TRIM(IF($S142 = "YES", "(External ID)", "") &amp; " " &amp; IF(SUMPRODUCT(-- ISNUMBER(SEARCH({"Unique","Unique Case Insensitive"}, $R142))) &gt; 0, "(" &amp; $R142 &amp; ")", ""))))</f>
        <v>na</v>
      </c>
      <c r="E142" s="7" t="s">
        <v>195</v>
      </c>
      <c r="F142" s="7" t="s">
        <v>195</v>
      </c>
      <c r="G142" s="7" t="s">
        <v>195</v>
      </c>
      <c r="H142" s="7" t="s">
        <v>195</v>
      </c>
      <c r="I142" s="7" t="s">
        <v>195</v>
      </c>
      <c r="J142" s="7" t="s">
        <v>195</v>
      </c>
      <c r="K142" s="7" t="s">
        <v>195</v>
      </c>
      <c r="L142" s="7" t="s">
        <v>195</v>
      </c>
      <c r="M142" s="7" t="s">
        <v>29</v>
      </c>
      <c r="N142" s="7" t="s">
        <v>29</v>
      </c>
      <c r="O142" s="7" t="s">
        <v>29</v>
      </c>
      <c r="P142" s="7" t="s">
        <v>29</v>
      </c>
      <c r="Q142" s="7" t="s">
        <v>29</v>
      </c>
      <c r="R142" s="7" t="s">
        <v>29</v>
      </c>
      <c r="S142" s="7" t="s">
        <v>29</v>
      </c>
    </row>
    <row r="143" spans="2:19">
      <c r="B143" s="7" t="s">
        <v>195</v>
      </c>
      <c r="C143" s="8" t="s">
        <v>195</v>
      </c>
      <c r="D143" s="6" t="str">
        <f>LRTRIM(CONCATENATE(IF(SUMPRODUCT(-- ISNUMBER(SEARCH({"Auto Number"}, $B143))) &gt; 0, $B143, IF(SUMPRODUCT(-- ISNUMBER(SEARCH({"Lookup","Master-Detail"}, $B143))) &gt; 0,$B143 &amp; "(" &amp; $E143 &amp; ")",IF(SUMPRODUCT(-- ISNUMBER(SEARCH({"Formula","Roll-Up Summary"}, $B143))) &gt; 0,$B143 &amp; " (" &amp; $E143 &amp; ")",IF(SUMPRODUCT(-- ISNUMBER(SEARCH({"Content","Currency","Number","Percent","Text","URL"}, $B143))) &gt; 0,$B143 &amp; "(" &amp; $C143 &amp; ")",$B143)))), "  ", TRIM(IF($S143 = "YES", "(External ID)", "") &amp; " " &amp; IF(SUMPRODUCT(-- ISNUMBER(SEARCH({"Unique","Unique Case Insensitive"}, $R143))) &gt; 0, "(" &amp; $R143 &amp; ")", ""))))</f>
        <v>na</v>
      </c>
      <c r="E143" s="7" t="s">
        <v>195</v>
      </c>
      <c r="F143" s="7" t="s">
        <v>195</v>
      </c>
      <c r="G143" s="7" t="s">
        <v>195</v>
      </c>
      <c r="H143" s="7" t="s">
        <v>195</v>
      </c>
      <c r="I143" s="7" t="s">
        <v>195</v>
      </c>
      <c r="J143" s="7" t="s">
        <v>195</v>
      </c>
      <c r="K143" s="7" t="s">
        <v>195</v>
      </c>
      <c r="L143" s="7" t="s">
        <v>195</v>
      </c>
      <c r="M143" s="7" t="s">
        <v>29</v>
      </c>
      <c r="N143" s="7" t="s">
        <v>29</v>
      </c>
      <c r="O143" s="7" t="s">
        <v>29</v>
      </c>
      <c r="P143" s="7" t="s">
        <v>29</v>
      </c>
      <c r="Q143" s="7" t="s">
        <v>29</v>
      </c>
      <c r="R143" s="7" t="s">
        <v>29</v>
      </c>
      <c r="S143" s="7" t="s">
        <v>29</v>
      </c>
    </row>
    <row r="144" spans="2:19">
      <c r="B144" s="7" t="s">
        <v>195</v>
      </c>
      <c r="C144" s="8" t="s">
        <v>195</v>
      </c>
      <c r="D144" s="6" t="str">
        <f>LRTRIM(CONCATENATE(IF(SUMPRODUCT(-- ISNUMBER(SEARCH({"Auto Number"}, $B144))) &gt; 0, $B144, IF(SUMPRODUCT(-- ISNUMBER(SEARCH({"Lookup","Master-Detail"}, $B144))) &gt; 0,$B144 &amp; "(" &amp; $E144 &amp; ")",IF(SUMPRODUCT(-- ISNUMBER(SEARCH({"Formula","Roll-Up Summary"}, $B144))) &gt; 0,$B144 &amp; " (" &amp; $E144 &amp; ")",IF(SUMPRODUCT(-- ISNUMBER(SEARCH({"Content","Currency","Number","Percent","Text","URL"}, $B144))) &gt; 0,$B144 &amp; "(" &amp; $C144 &amp; ")",$B144)))), "  ", TRIM(IF($S144 = "YES", "(External ID)", "") &amp; " " &amp; IF(SUMPRODUCT(-- ISNUMBER(SEARCH({"Unique","Unique Case Insensitive"}, $R144))) &gt; 0, "(" &amp; $R144 &amp; ")", ""))))</f>
        <v>na</v>
      </c>
      <c r="E144" s="7" t="s">
        <v>195</v>
      </c>
      <c r="F144" s="7" t="s">
        <v>195</v>
      </c>
      <c r="G144" s="7" t="s">
        <v>195</v>
      </c>
      <c r="H144" s="7" t="s">
        <v>195</v>
      </c>
      <c r="I144" s="7" t="s">
        <v>195</v>
      </c>
      <c r="J144" s="7" t="s">
        <v>195</v>
      </c>
      <c r="K144" s="7" t="s">
        <v>195</v>
      </c>
      <c r="L144" s="7" t="s">
        <v>195</v>
      </c>
      <c r="M144" s="7" t="s">
        <v>29</v>
      </c>
      <c r="N144" s="7" t="s">
        <v>29</v>
      </c>
      <c r="O144" s="7" t="s">
        <v>29</v>
      </c>
      <c r="P144" s="7" t="s">
        <v>29</v>
      </c>
      <c r="Q144" s="7" t="s">
        <v>29</v>
      </c>
      <c r="R144" s="7" t="s">
        <v>29</v>
      </c>
      <c r="S144" s="7" t="s">
        <v>29</v>
      </c>
    </row>
    <row r="145" spans="2:19">
      <c r="B145" s="7" t="s">
        <v>195</v>
      </c>
      <c r="C145" s="8" t="s">
        <v>195</v>
      </c>
      <c r="D145" s="6" t="str">
        <f>LRTRIM(CONCATENATE(IF(SUMPRODUCT(-- ISNUMBER(SEARCH({"Auto Number"}, $B145))) &gt; 0, $B145, IF(SUMPRODUCT(-- ISNUMBER(SEARCH({"Lookup","Master-Detail"}, $B145))) &gt; 0,$B145 &amp; "(" &amp; $E145 &amp; ")",IF(SUMPRODUCT(-- ISNUMBER(SEARCH({"Formula","Roll-Up Summary"}, $B145))) &gt; 0,$B145 &amp; " (" &amp; $E145 &amp; ")",IF(SUMPRODUCT(-- ISNUMBER(SEARCH({"Content","Currency","Number","Percent","Text","URL"}, $B145))) &gt; 0,$B145 &amp; "(" &amp; $C145 &amp; ")",$B145)))), "  ", TRIM(IF($S145 = "YES", "(External ID)", "") &amp; " " &amp; IF(SUMPRODUCT(-- ISNUMBER(SEARCH({"Unique","Unique Case Insensitive"}, $R145))) &gt; 0, "(" &amp; $R145 &amp; ")", ""))))</f>
        <v>na</v>
      </c>
      <c r="E145" s="7" t="s">
        <v>195</v>
      </c>
      <c r="F145" s="7" t="s">
        <v>195</v>
      </c>
      <c r="G145" s="7" t="s">
        <v>195</v>
      </c>
      <c r="H145" s="7" t="s">
        <v>195</v>
      </c>
      <c r="I145" s="7" t="s">
        <v>195</v>
      </c>
      <c r="J145" s="7" t="s">
        <v>195</v>
      </c>
      <c r="K145" s="7" t="s">
        <v>195</v>
      </c>
      <c r="L145" s="7" t="s">
        <v>195</v>
      </c>
      <c r="M145" s="7" t="s">
        <v>29</v>
      </c>
      <c r="N145" s="7" t="s">
        <v>29</v>
      </c>
      <c r="O145" s="7" t="s">
        <v>29</v>
      </c>
      <c r="P145" s="7" t="s">
        <v>29</v>
      </c>
      <c r="Q145" s="7" t="s">
        <v>29</v>
      </c>
      <c r="R145" s="7" t="s">
        <v>29</v>
      </c>
      <c r="S145" s="7" t="s">
        <v>29</v>
      </c>
    </row>
    <row r="146" spans="2:19">
      <c r="B146" s="7" t="s">
        <v>195</v>
      </c>
      <c r="C146" s="8" t="s">
        <v>195</v>
      </c>
      <c r="D146" s="6" t="str">
        <f>LRTRIM(CONCATENATE(IF(SUMPRODUCT(-- ISNUMBER(SEARCH({"Auto Number"}, $B146))) &gt; 0, $B146, IF(SUMPRODUCT(-- ISNUMBER(SEARCH({"Lookup","Master-Detail"}, $B146))) &gt; 0,$B146 &amp; "(" &amp; $E146 &amp; ")",IF(SUMPRODUCT(-- ISNUMBER(SEARCH({"Formula","Roll-Up Summary"}, $B146))) &gt; 0,$B146 &amp; " (" &amp; $E146 &amp; ")",IF(SUMPRODUCT(-- ISNUMBER(SEARCH({"Content","Currency","Number","Percent","Text","URL"}, $B146))) &gt; 0,$B146 &amp; "(" &amp; $C146 &amp; ")",$B146)))), "  ", TRIM(IF($S146 = "YES", "(External ID)", "") &amp; " " &amp; IF(SUMPRODUCT(-- ISNUMBER(SEARCH({"Unique","Unique Case Insensitive"}, $R146))) &gt; 0, "(" &amp; $R146 &amp; ")", ""))))</f>
        <v>na</v>
      </c>
      <c r="E146" s="7" t="s">
        <v>195</v>
      </c>
      <c r="F146" s="7" t="s">
        <v>195</v>
      </c>
      <c r="G146" s="7" t="s">
        <v>195</v>
      </c>
      <c r="H146" s="7" t="s">
        <v>195</v>
      </c>
      <c r="I146" s="7" t="s">
        <v>195</v>
      </c>
      <c r="J146" s="7" t="s">
        <v>195</v>
      </c>
      <c r="K146" s="7" t="s">
        <v>195</v>
      </c>
      <c r="L146" s="7" t="s">
        <v>195</v>
      </c>
      <c r="M146" s="7" t="s">
        <v>29</v>
      </c>
      <c r="N146" s="7" t="s">
        <v>29</v>
      </c>
      <c r="O146" s="7" t="s">
        <v>29</v>
      </c>
      <c r="P146" s="7" t="s">
        <v>29</v>
      </c>
      <c r="Q146" s="7" t="s">
        <v>29</v>
      </c>
      <c r="R146" s="7" t="s">
        <v>29</v>
      </c>
      <c r="S146" s="7" t="s">
        <v>29</v>
      </c>
    </row>
    <row r="147" spans="2:19">
      <c r="B147" s="7" t="s">
        <v>195</v>
      </c>
      <c r="C147" s="8" t="s">
        <v>195</v>
      </c>
      <c r="D147" s="6" t="str">
        <f>LRTRIM(CONCATENATE(IF(SUMPRODUCT(-- ISNUMBER(SEARCH({"Auto Number"}, $B147))) &gt; 0, $B147, IF(SUMPRODUCT(-- ISNUMBER(SEARCH({"Lookup","Master-Detail"}, $B147))) &gt; 0,$B147 &amp; "(" &amp; $E147 &amp; ")",IF(SUMPRODUCT(-- ISNUMBER(SEARCH({"Formula","Roll-Up Summary"}, $B147))) &gt; 0,$B147 &amp; " (" &amp; $E147 &amp; ")",IF(SUMPRODUCT(-- ISNUMBER(SEARCH({"Content","Currency","Number","Percent","Text","URL"}, $B147))) &gt; 0,$B147 &amp; "(" &amp; $C147 &amp; ")",$B147)))), "  ", TRIM(IF($S147 = "YES", "(External ID)", "") &amp; " " &amp; IF(SUMPRODUCT(-- ISNUMBER(SEARCH({"Unique","Unique Case Insensitive"}, $R147))) &gt; 0, "(" &amp; $R147 &amp; ")", ""))))</f>
        <v>na</v>
      </c>
      <c r="E147" s="7" t="s">
        <v>195</v>
      </c>
      <c r="F147" s="7" t="s">
        <v>195</v>
      </c>
      <c r="G147" s="7" t="s">
        <v>195</v>
      </c>
      <c r="H147" s="7" t="s">
        <v>195</v>
      </c>
      <c r="I147" s="7" t="s">
        <v>195</v>
      </c>
      <c r="J147" s="7" t="s">
        <v>195</v>
      </c>
      <c r="K147" s="7" t="s">
        <v>195</v>
      </c>
      <c r="L147" s="7" t="s">
        <v>195</v>
      </c>
      <c r="M147" s="7" t="s">
        <v>29</v>
      </c>
      <c r="N147" s="7" t="s">
        <v>29</v>
      </c>
      <c r="O147" s="7" t="s">
        <v>29</v>
      </c>
      <c r="P147" s="7" t="s">
        <v>29</v>
      </c>
      <c r="Q147" s="7" t="s">
        <v>29</v>
      </c>
      <c r="R147" s="7" t="s">
        <v>29</v>
      </c>
      <c r="S147" s="7" t="s">
        <v>29</v>
      </c>
    </row>
    <row r="148" spans="2:19">
      <c r="B148" s="7" t="s">
        <v>195</v>
      </c>
      <c r="C148" s="8" t="s">
        <v>195</v>
      </c>
      <c r="D148" s="6" t="str">
        <f>LRTRIM(CONCATENATE(IF(SUMPRODUCT(-- ISNUMBER(SEARCH({"Auto Number"}, $B148))) &gt; 0, $B148, IF(SUMPRODUCT(-- ISNUMBER(SEARCH({"Lookup","Master-Detail"}, $B148))) &gt; 0,$B148 &amp; "(" &amp; $E148 &amp; ")",IF(SUMPRODUCT(-- ISNUMBER(SEARCH({"Formula","Roll-Up Summary"}, $B148))) &gt; 0,$B148 &amp; " (" &amp; $E148 &amp; ")",IF(SUMPRODUCT(-- ISNUMBER(SEARCH({"Content","Currency","Number","Percent","Text","URL"}, $B148))) &gt; 0,$B148 &amp; "(" &amp; $C148 &amp; ")",$B148)))), "  ", TRIM(IF($S148 = "YES", "(External ID)", "") &amp; " " &amp; IF(SUMPRODUCT(-- ISNUMBER(SEARCH({"Unique","Unique Case Insensitive"}, $R148))) &gt; 0, "(" &amp; $R148 &amp; ")", ""))))</f>
        <v>na</v>
      </c>
      <c r="E148" s="7" t="s">
        <v>195</v>
      </c>
      <c r="F148" s="7" t="s">
        <v>195</v>
      </c>
      <c r="G148" s="7" t="s">
        <v>195</v>
      </c>
      <c r="H148" s="7" t="s">
        <v>195</v>
      </c>
      <c r="I148" s="7" t="s">
        <v>195</v>
      </c>
      <c r="J148" s="7" t="s">
        <v>195</v>
      </c>
      <c r="K148" s="7" t="s">
        <v>195</v>
      </c>
      <c r="L148" s="7" t="s">
        <v>195</v>
      </c>
      <c r="M148" s="7" t="s">
        <v>29</v>
      </c>
      <c r="N148" s="7" t="s">
        <v>29</v>
      </c>
      <c r="O148" s="7" t="s">
        <v>29</v>
      </c>
      <c r="P148" s="7" t="s">
        <v>29</v>
      </c>
      <c r="Q148" s="7" t="s">
        <v>29</v>
      </c>
      <c r="R148" s="7" t="s">
        <v>29</v>
      </c>
      <c r="S148" s="7" t="s">
        <v>29</v>
      </c>
    </row>
    <row r="149" spans="2:19">
      <c r="B149" s="7" t="s">
        <v>195</v>
      </c>
      <c r="C149" s="8" t="s">
        <v>195</v>
      </c>
      <c r="D149" s="6" t="str">
        <f>LRTRIM(CONCATENATE(IF(SUMPRODUCT(-- ISNUMBER(SEARCH({"Auto Number"}, $B149))) &gt; 0, $B149, IF(SUMPRODUCT(-- ISNUMBER(SEARCH({"Lookup","Master-Detail"}, $B149))) &gt; 0,$B149 &amp; "(" &amp; $E149 &amp; ")",IF(SUMPRODUCT(-- ISNUMBER(SEARCH({"Formula","Roll-Up Summary"}, $B149))) &gt; 0,$B149 &amp; " (" &amp; $E149 &amp; ")",IF(SUMPRODUCT(-- ISNUMBER(SEARCH({"Content","Currency","Number","Percent","Text","URL"}, $B149))) &gt; 0,$B149 &amp; "(" &amp; $C149 &amp; ")",$B149)))), "  ", TRIM(IF($S149 = "YES", "(External ID)", "") &amp; " " &amp; IF(SUMPRODUCT(-- ISNUMBER(SEARCH({"Unique","Unique Case Insensitive"}, $R149))) &gt; 0, "(" &amp; $R149 &amp; ")", ""))))</f>
        <v>na</v>
      </c>
      <c r="E149" s="7" t="s">
        <v>195</v>
      </c>
      <c r="F149" s="7" t="s">
        <v>195</v>
      </c>
      <c r="G149" s="7" t="s">
        <v>195</v>
      </c>
      <c r="H149" s="7" t="s">
        <v>195</v>
      </c>
      <c r="I149" s="7" t="s">
        <v>195</v>
      </c>
      <c r="J149" s="7" t="s">
        <v>195</v>
      </c>
      <c r="K149" s="7" t="s">
        <v>195</v>
      </c>
      <c r="L149" s="7" t="s">
        <v>195</v>
      </c>
      <c r="M149" s="7" t="s">
        <v>29</v>
      </c>
      <c r="N149" s="7" t="s">
        <v>29</v>
      </c>
      <c r="O149" s="7" t="s">
        <v>29</v>
      </c>
      <c r="P149" s="7" t="s">
        <v>29</v>
      </c>
      <c r="Q149" s="7" t="s">
        <v>29</v>
      </c>
      <c r="R149" s="7" t="s">
        <v>29</v>
      </c>
      <c r="S149" s="7" t="s">
        <v>29</v>
      </c>
    </row>
    <row r="150" spans="2:19">
      <c r="B150" s="7" t="s">
        <v>195</v>
      </c>
      <c r="C150" s="8" t="s">
        <v>195</v>
      </c>
      <c r="D150" s="6" t="str">
        <f>LRTRIM(CONCATENATE(IF(SUMPRODUCT(-- ISNUMBER(SEARCH({"Auto Number"}, $B150))) &gt; 0, $B150, IF(SUMPRODUCT(-- ISNUMBER(SEARCH({"Lookup","Master-Detail"}, $B150))) &gt; 0,$B150 &amp; "(" &amp; $E150 &amp; ")",IF(SUMPRODUCT(-- ISNUMBER(SEARCH({"Formula","Roll-Up Summary"}, $B150))) &gt; 0,$B150 &amp; " (" &amp; $E150 &amp; ")",IF(SUMPRODUCT(-- ISNUMBER(SEARCH({"Content","Currency","Number","Percent","Text","URL"}, $B150))) &gt; 0,$B150 &amp; "(" &amp; $C150 &amp; ")",$B150)))), "  ", TRIM(IF($S150 = "YES", "(External ID)", "") &amp; " " &amp; IF(SUMPRODUCT(-- ISNUMBER(SEARCH({"Unique","Unique Case Insensitive"}, $R150))) &gt; 0, "(" &amp; $R150 &amp; ")", ""))))</f>
        <v>na</v>
      </c>
      <c r="E150" s="7" t="s">
        <v>195</v>
      </c>
      <c r="F150" s="7" t="s">
        <v>195</v>
      </c>
      <c r="G150" s="7" t="s">
        <v>195</v>
      </c>
      <c r="H150" s="7" t="s">
        <v>195</v>
      </c>
      <c r="I150" s="7" t="s">
        <v>195</v>
      </c>
      <c r="J150" s="7" t="s">
        <v>195</v>
      </c>
      <c r="K150" s="7" t="s">
        <v>195</v>
      </c>
      <c r="L150" s="7" t="s">
        <v>195</v>
      </c>
      <c r="M150" s="7" t="s">
        <v>29</v>
      </c>
      <c r="N150" s="7" t="s">
        <v>29</v>
      </c>
      <c r="O150" s="7" t="s">
        <v>29</v>
      </c>
      <c r="P150" s="7" t="s">
        <v>29</v>
      </c>
      <c r="Q150" s="7" t="s">
        <v>29</v>
      </c>
      <c r="R150" s="7" t="s">
        <v>29</v>
      </c>
      <c r="S150" s="7" t="s">
        <v>29</v>
      </c>
    </row>
    <row r="151" spans="2:19">
      <c r="B151" s="7" t="s">
        <v>195</v>
      </c>
      <c r="C151" s="8" t="s">
        <v>195</v>
      </c>
      <c r="D151" s="6" t="str">
        <f>LRTRIM(CONCATENATE(IF(SUMPRODUCT(-- ISNUMBER(SEARCH({"Auto Number"}, $B151))) &gt; 0, $B151, IF(SUMPRODUCT(-- ISNUMBER(SEARCH({"Lookup","Master-Detail"}, $B151))) &gt; 0,$B151 &amp; "(" &amp; $E151 &amp; ")",IF(SUMPRODUCT(-- ISNUMBER(SEARCH({"Formula","Roll-Up Summary"}, $B151))) &gt; 0,$B151 &amp; " (" &amp; $E151 &amp; ")",IF(SUMPRODUCT(-- ISNUMBER(SEARCH({"Content","Currency","Number","Percent","Text","URL"}, $B151))) &gt; 0,$B151 &amp; "(" &amp; $C151 &amp; ")",$B151)))), "  ", TRIM(IF($S151 = "YES", "(External ID)", "") &amp; " " &amp; IF(SUMPRODUCT(-- ISNUMBER(SEARCH({"Unique","Unique Case Insensitive"}, $R151))) &gt; 0, "(" &amp; $R151 &amp; ")", ""))))</f>
        <v>na</v>
      </c>
      <c r="E151" s="7" t="s">
        <v>195</v>
      </c>
      <c r="F151" s="7" t="s">
        <v>195</v>
      </c>
      <c r="G151" s="7" t="s">
        <v>195</v>
      </c>
      <c r="H151" s="7" t="s">
        <v>195</v>
      </c>
      <c r="I151" s="7" t="s">
        <v>195</v>
      </c>
      <c r="J151" s="7" t="s">
        <v>195</v>
      </c>
      <c r="K151" s="7" t="s">
        <v>195</v>
      </c>
      <c r="L151" s="7" t="s">
        <v>195</v>
      </c>
      <c r="M151" s="7" t="s">
        <v>29</v>
      </c>
      <c r="N151" s="7" t="s">
        <v>29</v>
      </c>
      <c r="O151" s="7" t="s">
        <v>29</v>
      </c>
      <c r="P151" s="7" t="s">
        <v>29</v>
      </c>
      <c r="Q151" s="7" t="s">
        <v>29</v>
      </c>
      <c r="R151" s="7" t="s">
        <v>29</v>
      </c>
      <c r="S151" s="7" t="s">
        <v>29</v>
      </c>
    </row>
    <row r="152" spans="2:19">
      <c r="B152" s="7" t="s">
        <v>195</v>
      </c>
      <c r="C152" s="8" t="s">
        <v>195</v>
      </c>
      <c r="D152" s="6" t="str">
        <f>LRTRIM(CONCATENATE(IF(SUMPRODUCT(-- ISNUMBER(SEARCH({"Auto Number"}, $B152))) &gt; 0, $B152, IF(SUMPRODUCT(-- ISNUMBER(SEARCH({"Lookup","Master-Detail"}, $B152))) &gt; 0,$B152 &amp; "(" &amp; $E152 &amp; ")",IF(SUMPRODUCT(-- ISNUMBER(SEARCH({"Formula","Roll-Up Summary"}, $B152))) &gt; 0,$B152 &amp; " (" &amp; $E152 &amp; ")",IF(SUMPRODUCT(-- ISNUMBER(SEARCH({"Content","Currency","Number","Percent","Text","URL"}, $B152))) &gt; 0,$B152 &amp; "(" &amp; $C152 &amp; ")",$B152)))), "  ", TRIM(IF($S152 = "YES", "(External ID)", "") &amp; " " &amp; IF(SUMPRODUCT(-- ISNUMBER(SEARCH({"Unique","Unique Case Insensitive"}, $R152))) &gt; 0, "(" &amp; $R152 &amp; ")", ""))))</f>
        <v>na</v>
      </c>
      <c r="E152" s="7" t="s">
        <v>195</v>
      </c>
      <c r="F152" s="7" t="s">
        <v>195</v>
      </c>
      <c r="G152" s="7" t="s">
        <v>195</v>
      </c>
      <c r="H152" s="7" t="s">
        <v>195</v>
      </c>
      <c r="I152" s="7" t="s">
        <v>195</v>
      </c>
      <c r="J152" s="7" t="s">
        <v>195</v>
      </c>
      <c r="K152" s="7" t="s">
        <v>195</v>
      </c>
      <c r="L152" s="7" t="s">
        <v>195</v>
      </c>
      <c r="M152" s="7" t="s">
        <v>29</v>
      </c>
      <c r="N152" s="7" t="s">
        <v>29</v>
      </c>
      <c r="O152" s="7" t="s">
        <v>29</v>
      </c>
      <c r="P152" s="7" t="s">
        <v>29</v>
      </c>
      <c r="Q152" s="7" t="s">
        <v>29</v>
      </c>
      <c r="R152" s="7" t="s">
        <v>29</v>
      </c>
      <c r="S152" s="7" t="s">
        <v>29</v>
      </c>
    </row>
    <row r="153" spans="2:19">
      <c r="B153" s="7" t="s">
        <v>195</v>
      </c>
      <c r="C153" s="8" t="s">
        <v>195</v>
      </c>
      <c r="D153" s="6" t="str">
        <f>LRTRIM(CONCATENATE(IF(SUMPRODUCT(-- ISNUMBER(SEARCH({"Auto Number"}, $B153))) &gt; 0, $B153, IF(SUMPRODUCT(-- ISNUMBER(SEARCH({"Lookup","Master-Detail"}, $B153))) &gt; 0,$B153 &amp; "(" &amp; $E153 &amp; ")",IF(SUMPRODUCT(-- ISNUMBER(SEARCH({"Formula","Roll-Up Summary"}, $B153))) &gt; 0,$B153 &amp; " (" &amp; $E153 &amp; ")",IF(SUMPRODUCT(-- ISNUMBER(SEARCH({"Content","Currency","Number","Percent","Text","URL"}, $B153))) &gt; 0,$B153 &amp; "(" &amp; $C153 &amp; ")",$B153)))), "  ", TRIM(IF($S153 = "YES", "(External ID)", "") &amp; " " &amp; IF(SUMPRODUCT(-- ISNUMBER(SEARCH({"Unique","Unique Case Insensitive"}, $R153))) &gt; 0, "(" &amp; $R153 &amp; ")", ""))))</f>
        <v>na</v>
      </c>
      <c r="E153" s="7" t="s">
        <v>195</v>
      </c>
      <c r="F153" s="7" t="s">
        <v>195</v>
      </c>
      <c r="G153" s="7" t="s">
        <v>195</v>
      </c>
      <c r="H153" s="7" t="s">
        <v>195</v>
      </c>
      <c r="I153" s="7" t="s">
        <v>195</v>
      </c>
      <c r="J153" s="7" t="s">
        <v>195</v>
      </c>
      <c r="K153" s="7" t="s">
        <v>195</v>
      </c>
      <c r="L153" s="7" t="s">
        <v>195</v>
      </c>
      <c r="M153" s="7" t="s">
        <v>29</v>
      </c>
      <c r="N153" s="7" t="s">
        <v>29</v>
      </c>
      <c r="O153" s="7" t="s">
        <v>29</v>
      </c>
      <c r="P153" s="7" t="s">
        <v>29</v>
      </c>
      <c r="Q153" s="7" t="s">
        <v>29</v>
      </c>
      <c r="R153" s="7" t="s">
        <v>29</v>
      </c>
      <c r="S153" s="7" t="s">
        <v>29</v>
      </c>
    </row>
    <row r="154" spans="2:19">
      <c r="B154" s="7" t="s">
        <v>195</v>
      </c>
      <c r="C154" s="8" t="s">
        <v>195</v>
      </c>
      <c r="D154" s="6" t="str">
        <f>LRTRIM(CONCATENATE(IF(SUMPRODUCT(-- ISNUMBER(SEARCH({"Auto Number"}, $B154))) &gt; 0, $B154, IF(SUMPRODUCT(-- ISNUMBER(SEARCH({"Lookup","Master-Detail"}, $B154))) &gt; 0,$B154 &amp; "(" &amp; $E154 &amp; ")",IF(SUMPRODUCT(-- ISNUMBER(SEARCH({"Formula","Roll-Up Summary"}, $B154))) &gt; 0,$B154 &amp; " (" &amp; $E154 &amp; ")",IF(SUMPRODUCT(-- ISNUMBER(SEARCH({"Content","Currency","Number","Percent","Text","URL"}, $B154))) &gt; 0,$B154 &amp; "(" &amp; $C154 &amp; ")",$B154)))), "  ", TRIM(IF($S154 = "YES", "(External ID)", "") &amp; " " &amp; IF(SUMPRODUCT(-- ISNUMBER(SEARCH({"Unique","Unique Case Insensitive"}, $R154))) &gt; 0, "(" &amp; $R154 &amp; ")", ""))))</f>
        <v>na</v>
      </c>
      <c r="E154" s="7" t="s">
        <v>195</v>
      </c>
      <c r="F154" s="7" t="s">
        <v>195</v>
      </c>
      <c r="G154" s="7" t="s">
        <v>195</v>
      </c>
      <c r="H154" s="7" t="s">
        <v>195</v>
      </c>
      <c r="I154" s="7" t="s">
        <v>195</v>
      </c>
      <c r="J154" s="7" t="s">
        <v>195</v>
      </c>
      <c r="K154" s="7" t="s">
        <v>195</v>
      </c>
      <c r="L154" s="7" t="s">
        <v>195</v>
      </c>
      <c r="M154" s="7" t="s">
        <v>29</v>
      </c>
      <c r="N154" s="7" t="s">
        <v>29</v>
      </c>
      <c r="O154" s="7" t="s">
        <v>29</v>
      </c>
      <c r="P154" s="7" t="s">
        <v>29</v>
      </c>
      <c r="Q154" s="7" t="s">
        <v>29</v>
      </c>
      <c r="R154" s="7" t="s">
        <v>29</v>
      </c>
      <c r="S154" s="7" t="s">
        <v>29</v>
      </c>
    </row>
    <row r="155" spans="2:19">
      <c r="B155" s="7" t="s">
        <v>195</v>
      </c>
      <c r="C155" s="8" t="s">
        <v>195</v>
      </c>
      <c r="D155" s="6" t="str">
        <f>LRTRIM(CONCATENATE(IF(SUMPRODUCT(-- ISNUMBER(SEARCH({"Auto Number"}, $B155))) &gt; 0, $B155, IF(SUMPRODUCT(-- ISNUMBER(SEARCH({"Lookup","Master-Detail"}, $B155))) &gt; 0,$B155 &amp; "(" &amp; $E155 &amp; ")",IF(SUMPRODUCT(-- ISNUMBER(SEARCH({"Formula","Roll-Up Summary"}, $B155))) &gt; 0,$B155 &amp; " (" &amp; $E155 &amp; ")",IF(SUMPRODUCT(-- ISNUMBER(SEARCH({"Content","Currency","Number","Percent","Text","URL"}, $B155))) &gt; 0,$B155 &amp; "(" &amp; $C155 &amp; ")",$B155)))), "  ", TRIM(IF($S155 = "YES", "(External ID)", "") &amp; " " &amp; IF(SUMPRODUCT(-- ISNUMBER(SEARCH({"Unique","Unique Case Insensitive"}, $R155))) &gt; 0, "(" &amp; $R155 &amp; ")", ""))))</f>
        <v>na</v>
      </c>
      <c r="E155" s="7" t="s">
        <v>195</v>
      </c>
      <c r="F155" s="7" t="s">
        <v>195</v>
      </c>
      <c r="G155" s="7" t="s">
        <v>195</v>
      </c>
      <c r="H155" s="7" t="s">
        <v>195</v>
      </c>
      <c r="I155" s="7" t="s">
        <v>195</v>
      </c>
      <c r="J155" s="7" t="s">
        <v>195</v>
      </c>
      <c r="K155" s="7" t="s">
        <v>195</v>
      </c>
      <c r="L155" s="7" t="s">
        <v>195</v>
      </c>
      <c r="M155" s="7" t="s">
        <v>29</v>
      </c>
      <c r="N155" s="7" t="s">
        <v>29</v>
      </c>
      <c r="O155" s="7" t="s">
        <v>29</v>
      </c>
      <c r="P155" s="7" t="s">
        <v>29</v>
      </c>
      <c r="Q155" s="7" t="s">
        <v>29</v>
      </c>
      <c r="R155" s="7" t="s">
        <v>29</v>
      </c>
      <c r="S155" s="7" t="s">
        <v>29</v>
      </c>
    </row>
    <row r="156" spans="2:19">
      <c r="B156" s="7" t="s">
        <v>195</v>
      </c>
      <c r="C156" s="8" t="s">
        <v>195</v>
      </c>
      <c r="D156" s="6" t="str">
        <f>LRTRIM(CONCATENATE(IF(SUMPRODUCT(-- ISNUMBER(SEARCH({"Auto Number"}, $B156))) &gt; 0, $B156, IF(SUMPRODUCT(-- ISNUMBER(SEARCH({"Lookup","Master-Detail"}, $B156))) &gt; 0,$B156 &amp; "(" &amp; $E156 &amp; ")",IF(SUMPRODUCT(-- ISNUMBER(SEARCH({"Formula","Roll-Up Summary"}, $B156))) &gt; 0,$B156 &amp; " (" &amp; $E156 &amp; ")",IF(SUMPRODUCT(-- ISNUMBER(SEARCH({"Content","Currency","Number","Percent","Text","URL"}, $B156))) &gt; 0,$B156 &amp; "(" &amp; $C156 &amp; ")",$B156)))), "  ", TRIM(IF($S156 = "YES", "(External ID)", "") &amp; " " &amp; IF(SUMPRODUCT(-- ISNUMBER(SEARCH({"Unique","Unique Case Insensitive"}, $R156))) &gt; 0, "(" &amp; $R156 &amp; ")", ""))))</f>
        <v>na</v>
      </c>
      <c r="E156" s="7" t="s">
        <v>195</v>
      </c>
      <c r="F156" s="7" t="s">
        <v>195</v>
      </c>
      <c r="G156" s="7" t="s">
        <v>195</v>
      </c>
      <c r="H156" s="7" t="s">
        <v>195</v>
      </c>
      <c r="I156" s="7" t="s">
        <v>195</v>
      </c>
      <c r="J156" s="7" t="s">
        <v>195</v>
      </c>
      <c r="K156" s="7" t="s">
        <v>195</v>
      </c>
      <c r="L156" s="7" t="s">
        <v>195</v>
      </c>
      <c r="M156" s="7" t="s">
        <v>29</v>
      </c>
      <c r="N156" s="7" t="s">
        <v>29</v>
      </c>
      <c r="O156" s="7" t="s">
        <v>29</v>
      </c>
      <c r="P156" s="7" t="s">
        <v>29</v>
      </c>
      <c r="Q156" s="7" t="s">
        <v>29</v>
      </c>
      <c r="R156" s="7" t="s">
        <v>29</v>
      </c>
      <c r="S156" s="7" t="s">
        <v>29</v>
      </c>
    </row>
    <row r="157" spans="2:19">
      <c r="B157" s="7" t="s">
        <v>195</v>
      </c>
      <c r="C157" s="8" t="s">
        <v>195</v>
      </c>
      <c r="D157" s="6" t="str">
        <f>LRTRIM(CONCATENATE(IF(SUMPRODUCT(-- ISNUMBER(SEARCH({"Auto Number"}, $B157))) &gt; 0, $B157, IF(SUMPRODUCT(-- ISNUMBER(SEARCH({"Lookup","Master-Detail"}, $B157))) &gt; 0,$B157 &amp; "(" &amp; $E157 &amp; ")",IF(SUMPRODUCT(-- ISNUMBER(SEARCH({"Formula","Roll-Up Summary"}, $B157))) &gt; 0,$B157 &amp; " (" &amp; $E157 &amp; ")",IF(SUMPRODUCT(-- ISNUMBER(SEARCH({"Content","Currency","Number","Percent","Text","URL"}, $B157))) &gt; 0,$B157 &amp; "(" &amp; $C157 &amp; ")",$B157)))), "  ", TRIM(IF($S157 = "YES", "(External ID)", "") &amp; " " &amp; IF(SUMPRODUCT(-- ISNUMBER(SEARCH({"Unique","Unique Case Insensitive"}, $R157))) &gt; 0, "(" &amp; $R157 &amp; ")", ""))))</f>
        <v>na</v>
      </c>
      <c r="E157" s="7" t="s">
        <v>195</v>
      </c>
      <c r="F157" s="7" t="s">
        <v>195</v>
      </c>
      <c r="G157" s="7" t="s">
        <v>195</v>
      </c>
      <c r="H157" s="7" t="s">
        <v>195</v>
      </c>
      <c r="I157" s="7" t="s">
        <v>195</v>
      </c>
      <c r="J157" s="7" t="s">
        <v>195</v>
      </c>
      <c r="K157" s="7" t="s">
        <v>195</v>
      </c>
      <c r="L157" s="7" t="s">
        <v>195</v>
      </c>
      <c r="M157" s="7" t="s">
        <v>29</v>
      </c>
      <c r="N157" s="7" t="s">
        <v>29</v>
      </c>
      <c r="O157" s="7" t="s">
        <v>29</v>
      </c>
      <c r="P157" s="7" t="s">
        <v>29</v>
      </c>
      <c r="Q157" s="7" t="s">
        <v>29</v>
      </c>
      <c r="R157" s="7" t="s">
        <v>29</v>
      </c>
      <c r="S157" s="7" t="s">
        <v>29</v>
      </c>
    </row>
    <row r="158" spans="2:19">
      <c r="B158" s="7" t="s">
        <v>195</v>
      </c>
      <c r="C158" s="8" t="s">
        <v>195</v>
      </c>
      <c r="D158" s="6" t="str">
        <f>LRTRIM(CONCATENATE(IF(SUMPRODUCT(-- ISNUMBER(SEARCH({"Auto Number"}, $B158))) &gt; 0, $B158, IF(SUMPRODUCT(-- ISNUMBER(SEARCH({"Lookup","Master-Detail"}, $B158))) &gt; 0,$B158 &amp; "(" &amp; $E158 &amp; ")",IF(SUMPRODUCT(-- ISNUMBER(SEARCH({"Formula","Roll-Up Summary"}, $B158))) &gt; 0,$B158 &amp; " (" &amp; $E158 &amp; ")",IF(SUMPRODUCT(-- ISNUMBER(SEARCH({"Content","Currency","Number","Percent","Text","URL"}, $B158))) &gt; 0,$B158 &amp; "(" &amp; $C158 &amp; ")",$B158)))), "  ", TRIM(IF($S158 = "YES", "(External ID)", "") &amp; " " &amp; IF(SUMPRODUCT(-- ISNUMBER(SEARCH({"Unique","Unique Case Insensitive"}, $R158))) &gt; 0, "(" &amp; $R158 &amp; ")", ""))))</f>
        <v>na</v>
      </c>
      <c r="E158" s="7" t="s">
        <v>195</v>
      </c>
      <c r="F158" s="7" t="s">
        <v>195</v>
      </c>
      <c r="G158" s="7" t="s">
        <v>195</v>
      </c>
      <c r="H158" s="7" t="s">
        <v>195</v>
      </c>
      <c r="I158" s="7" t="s">
        <v>195</v>
      </c>
      <c r="J158" s="7" t="s">
        <v>195</v>
      </c>
      <c r="K158" s="7" t="s">
        <v>195</v>
      </c>
      <c r="L158" s="7" t="s">
        <v>195</v>
      </c>
      <c r="M158" s="7" t="s">
        <v>29</v>
      </c>
      <c r="N158" s="7" t="s">
        <v>29</v>
      </c>
      <c r="O158" s="7" t="s">
        <v>29</v>
      </c>
      <c r="P158" s="7" t="s">
        <v>29</v>
      </c>
      <c r="Q158" s="7" t="s">
        <v>29</v>
      </c>
      <c r="R158" s="7" t="s">
        <v>29</v>
      </c>
      <c r="S158" s="7" t="s">
        <v>29</v>
      </c>
    </row>
    <row r="159" spans="2:19">
      <c r="B159" s="7" t="s">
        <v>195</v>
      </c>
      <c r="C159" s="8" t="s">
        <v>195</v>
      </c>
      <c r="D159" s="6" t="str">
        <f>LRTRIM(CONCATENATE(IF(SUMPRODUCT(-- ISNUMBER(SEARCH({"Auto Number"}, $B159))) &gt; 0, $B159, IF(SUMPRODUCT(-- ISNUMBER(SEARCH({"Lookup","Master-Detail"}, $B159))) &gt; 0,$B159 &amp; "(" &amp; $E159 &amp; ")",IF(SUMPRODUCT(-- ISNUMBER(SEARCH({"Formula","Roll-Up Summary"}, $B159))) &gt; 0,$B159 &amp; " (" &amp; $E159 &amp; ")",IF(SUMPRODUCT(-- ISNUMBER(SEARCH({"Content","Currency","Number","Percent","Text","URL"}, $B159))) &gt; 0,$B159 &amp; "(" &amp; $C159 &amp; ")",$B159)))), "  ", TRIM(IF($S159 = "YES", "(External ID)", "") &amp; " " &amp; IF(SUMPRODUCT(-- ISNUMBER(SEARCH({"Unique","Unique Case Insensitive"}, $R159))) &gt; 0, "(" &amp; $R159 &amp; ")", ""))))</f>
        <v>na</v>
      </c>
      <c r="E159" s="7" t="s">
        <v>195</v>
      </c>
      <c r="F159" s="7" t="s">
        <v>195</v>
      </c>
      <c r="G159" s="7" t="s">
        <v>195</v>
      </c>
      <c r="H159" s="7" t="s">
        <v>195</v>
      </c>
      <c r="I159" s="7" t="s">
        <v>195</v>
      </c>
      <c r="J159" s="7" t="s">
        <v>195</v>
      </c>
      <c r="K159" s="7" t="s">
        <v>195</v>
      </c>
      <c r="L159" s="7" t="s">
        <v>195</v>
      </c>
      <c r="M159" s="7" t="s">
        <v>29</v>
      </c>
      <c r="N159" s="7" t="s">
        <v>29</v>
      </c>
      <c r="O159" s="7" t="s">
        <v>29</v>
      </c>
      <c r="P159" s="7" t="s">
        <v>29</v>
      </c>
      <c r="Q159" s="7" t="s">
        <v>29</v>
      </c>
      <c r="R159" s="7" t="s">
        <v>29</v>
      </c>
      <c r="S159" s="7" t="s">
        <v>29</v>
      </c>
    </row>
    <row r="160" spans="2:19">
      <c r="B160" s="7" t="s">
        <v>195</v>
      </c>
      <c r="C160" s="8" t="s">
        <v>195</v>
      </c>
      <c r="D160" s="6" t="str">
        <f>LRTRIM(CONCATENATE(IF(SUMPRODUCT(-- ISNUMBER(SEARCH({"Auto Number"}, $B160))) &gt; 0, $B160, IF(SUMPRODUCT(-- ISNUMBER(SEARCH({"Lookup","Master-Detail"}, $B160))) &gt; 0,$B160 &amp; "(" &amp; $E160 &amp; ")",IF(SUMPRODUCT(-- ISNUMBER(SEARCH({"Formula","Roll-Up Summary"}, $B160))) &gt; 0,$B160 &amp; " (" &amp; $E160 &amp; ")",IF(SUMPRODUCT(-- ISNUMBER(SEARCH({"Content","Currency","Number","Percent","Text","URL"}, $B160))) &gt; 0,$B160 &amp; "(" &amp; $C160 &amp; ")",$B160)))), "  ", TRIM(IF($S160 = "YES", "(External ID)", "") &amp; " " &amp; IF(SUMPRODUCT(-- ISNUMBER(SEARCH({"Unique","Unique Case Insensitive"}, $R160))) &gt; 0, "(" &amp; $R160 &amp; ")", ""))))</f>
        <v>na</v>
      </c>
      <c r="E160" s="7" t="s">
        <v>195</v>
      </c>
      <c r="F160" s="7" t="s">
        <v>195</v>
      </c>
      <c r="G160" s="7" t="s">
        <v>195</v>
      </c>
      <c r="H160" s="7" t="s">
        <v>195</v>
      </c>
      <c r="I160" s="7" t="s">
        <v>195</v>
      </c>
      <c r="J160" s="7" t="s">
        <v>195</v>
      </c>
      <c r="K160" s="7" t="s">
        <v>195</v>
      </c>
      <c r="L160" s="7" t="s">
        <v>195</v>
      </c>
      <c r="M160" s="7" t="s">
        <v>29</v>
      </c>
      <c r="N160" s="7" t="s">
        <v>29</v>
      </c>
      <c r="O160" s="7" t="s">
        <v>29</v>
      </c>
      <c r="P160" s="7" t="s">
        <v>29</v>
      </c>
      <c r="Q160" s="7" t="s">
        <v>29</v>
      </c>
      <c r="R160" s="7" t="s">
        <v>29</v>
      </c>
      <c r="S160" s="7" t="s">
        <v>29</v>
      </c>
    </row>
    <row r="161" spans="2:19">
      <c r="B161" s="7" t="s">
        <v>195</v>
      </c>
      <c r="C161" s="8" t="s">
        <v>195</v>
      </c>
      <c r="D161" s="6" t="str">
        <f>LRTRIM(CONCATENATE(IF(SUMPRODUCT(-- ISNUMBER(SEARCH({"Auto Number"}, $B161))) &gt; 0, $B161, IF(SUMPRODUCT(-- ISNUMBER(SEARCH({"Lookup","Master-Detail"}, $B161))) &gt; 0,$B161 &amp; "(" &amp; $E161 &amp; ")",IF(SUMPRODUCT(-- ISNUMBER(SEARCH({"Formula","Roll-Up Summary"}, $B161))) &gt; 0,$B161 &amp; " (" &amp; $E161 &amp; ")",IF(SUMPRODUCT(-- ISNUMBER(SEARCH({"Content","Currency","Number","Percent","Text","URL"}, $B161))) &gt; 0,$B161 &amp; "(" &amp; $C161 &amp; ")",$B161)))), "  ", TRIM(IF($S161 = "YES", "(External ID)", "") &amp; " " &amp; IF(SUMPRODUCT(-- ISNUMBER(SEARCH({"Unique","Unique Case Insensitive"}, $R161))) &gt; 0, "(" &amp; $R161 &amp; ")", ""))))</f>
        <v>na</v>
      </c>
      <c r="E161" s="7" t="s">
        <v>195</v>
      </c>
      <c r="F161" s="7" t="s">
        <v>195</v>
      </c>
      <c r="G161" s="7" t="s">
        <v>195</v>
      </c>
      <c r="H161" s="7" t="s">
        <v>195</v>
      </c>
      <c r="I161" s="7" t="s">
        <v>195</v>
      </c>
      <c r="J161" s="7" t="s">
        <v>195</v>
      </c>
      <c r="K161" s="7" t="s">
        <v>195</v>
      </c>
      <c r="L161" s="7" t="s">
        <v>195</v>
      </c>
      <c r="M161" s="7" t="s">
        <v>29</v>
      </c>
      <c r="N161" s="7" t="s">
        <v>29</v>
      </c>
      <c r="O161" s="7" t="s">
        <v>29</v>
      </c>
      <c r="P161" s="7" t="s">
        <v>29</v>
      </c>
      <c r="Q161" s="7" t="s">
        <v>29</v>
      </c>
      <c r="R161" s="7" t="s">
        <v>29</v>
      </c>
      <c r="S161" s="7" t="s">
        <v>29</v>
      </c>
    </row>
    <row r="162" spans="2:19">
      <c r="B162" s="7" t="s">
        <v>195</v>
      </c>
      <c r="C162" s="8" t="s">
        <v>195</v>
      </c>
      <c r="D162" s="6" t="str">
        <f>LRTRIM(CONCATENATE(IF(SUMPRODUCT(-- ISNUMBER(SEARCH({"Auto Number"}, $B162))) &gt; 0, $B162, IF(SUMPRODUCT(-- ISNUMBER(SEARCH({"Lookup","Master-Detail"}, $B162))) &gt; 0,$B162 &amp; "(" &amp; $E162 &amp; ")",IF(SUMPRODUCT(-- ISNUMBER(SEARCH({"Formula","Roll-Up Summary"}, $B162))) &gt; 0,$B162 &amp; " (" &amp; $E162 &amp; ")",IF(SUMPRODUCT(-- ISNUMBER(SEARCH({"Content","Currency","Number","Percent","Text","URL"}, $B162))) &gt; 0,$B162 &amp; "(" &amp; $C162 &amp; ")",$B162)))), "  ", TRIM(IF($S162 = "YES", "(External ID)", "") &amp; " " &amp; IF(SUMPRODUCT(-- ISNUMBER(SEARCH({"Unique","Unique Case Insensitive"}, $R162))) &gt; 0, "(" &amp; $R162 &amp; ")", ""))))</f>
        <v>na</v>
      </c>
      <c r="E162" s="7" t="s">
        <v>195</v>
      </c>
      <c r="F162" s="7" t="s">
        <v>195</v>
      </c>
      <c r="G162" s="7" t="s">
        <v>195</v>
      </c>
      <c r="H162" s="7" t="s">
        <v>195</v>
      </c>
      <c r="I162" s="7" t="s">
        <v>195</v>
      </c>
      <c r="J162" s="7" t="s">
        <v>195</v>
      </c>
      <c r="K162" s="7" t="s">
        <v>195</v>
      </c>
      <c r="L162" s="7" t="s">
        <v>195</v>
      </c>
      <c r="M162" s="7" t="s">
        <v>29</v>
      </c>
      <c r="N162" s="7" t="s">
        <v>29</v>
      </c>
      <c r="O162" s="7" t="s">
        <v>29</v>
      </c>
      <c r="P162" s="7" t="s">
        <v>29</v>
      </c>
      <c r="Q162" s="7" t="s">
        <v>29</v>
      </c>
      <c r="R162" s="7" t="s">
        <v>29</v>
      </c>
      <c r="S162" s="7" t="s">
        <v>29</v>
      </c>
    </row>
    <row r="163" spans="2:19">
      <c r="B163" s="7" t="s">
        <v>195</v>
      </c>
      <c r="C163" s="8" t="s">
        <v>195</v>
      </c>
      <c r="D163" s="6" t="str">
        <f>LRTRIM(CONCATENATE(IF(SUMPRODUCT(-- ISNUMBER(SEARCH({"Auto Number"}, $B163))) &gt; 0, $B163, IF(SUMPRODUCT(-- ISNUMBER(SEARCH({"Lookup","Master-Detail"}, $B163))) &gt; 0,$B163 &amp; "(" &amp; $E163 &amp; ")",IF(SUMPRODUCT(-- ISNUMBER(SEARCH({"Formula","Roll-Up Summary"}, $B163))) &gt; 0,$B163 &amp; " (" &amp; $E163 &amp; ")",IF(SUMPRODUCT(-- ISNUMBER(SEARCH({"Content","Currency","Number","Percent","Text","URL"}, $B163))) &gt; 0,$B163 &amp; "(" &amp; $C163 &amp; ")",$B163)))), "  ", TRIM(IF($S163 = "YES", "(External ID)", "") &amp; " " &amp; IF(SUMPRODUCT(-- ISNUMBER(SEARCH({"Unique","Unique Case Insensitive"}, $R163))) &gt; 0, "(" &amp; $R163 &amp; ")", ""))))</f>
        <v>na</v>
      </c>
      <c r="E163" s="7" t="s">
        <v>195</v>
      </c>
      <c r="F163" s="7" t="s">
        <v>195</v>
      </c>
      <c r="G163" s="7" t="s">
        <v>195</v>
      </c>
      <c r="H163" s="7" t="s">
        <v>195</v>
      </c>
      <c r="I163" s="7" t="s">
        <v>195</v>
      </c>
      <c r="J163" s="7" t="s">
        <v>195</v>
      </c>
      <c r="K163" s="7" t="s">
        <v>195</v>
      </c>
      <c r="L163" s="7" t="s">
        <v>195</v>
      </c>
      <c r="M163" s="7" t="s">
        <v>29</v>
      </c>
      <c r="N163" s="7" t="s">
        <v>29</v>
      </c>
      <c r="O163" s="7" t="s">
        <v>29</v>
      </c>
      <c r="P163" s="7" t="s">
        <v>29</v>
      </c>
      <c r="Q163" s="7" t="s">
        <v>29</v>
      </c>
      <c r="R163" s="7" t="s">
        <v>29</v>
      </c>
      <c r="S163" s="7" t="s">
        <v>29</v>
      </c>
    </row>
    <row r="164" spans="2:19">
      <c r="B164" s="7" t="s">
        <v>195</v>
      </c>
      <c r="C164" s="8" t="s">
        <v>195</v>
      </c>
      <c r="D164" s="6" t="str">
        <f>LRTRIM(CONCATENATE(IF(SUMPRODUCT(-- ISNUMBER(SEARCH({"Auto Number"}, $B164))) &gt; 0, $B164, IF(SUMPRODUCT(-- ISNUMBER(SEARCH({"Lookup","Master-Detail"}, $B164))) &gt; 0,$B164 &amp; "(" &amp; $E164 &amp; ")",IF(SUMPRODUCT(-- ISNUMBER(SEARCH({"Formula","Roll-Up Summary"}, $B164))) &gt; 0,$B164 &amp; " (" &amp; $E164 &amp; ")",IF(SUMPRODUCT(-- ISNUMBER(SEARCH({"Content","Currency","Number","Percent","Text","URL"}, $B164))) &gt; 0,$B164 &amp; "(" &amp; $C164 &amp; ")",$B164)))), "  ", TRIM(IF($S164 = "YES", "(External ID)", "") &amp; " " &amp; IF(SUMPRODUCT(-- ISNUMBER(SEARCH({"Unique","Unique Case Insensitive"}, $R164))) &gt; 0, "(" &amp; $R164 &amp; ")", ""))))</f>
        <v>na</v>
      </c>
      <c r="E164" s="7" t="s">
        <v>195</v>
      </c>
      <c r="F164" s="7" t="s">
        <v>195</v>
      </c>
      <c r="G164" s="7" t="s">
        <v>195</v>
      </c>
      <c r="H164" s="7" t="s">
        <v>195</v>
      </c>
      <c r="I164" s="7" t="s">
        <v>195</v>
      </c>
      <c r="J164" s="7" t="s">
        <v>195</v>
      </c>
      <c r="K164" s="7" t="s">
        <v>195</v>
      </c>
      <c r="L164" s="7" t="s">
        <v>195</v>
      </c>
      <c r="M164" s="7" t="s">
        <v>29</v>
      </c>
      <c r="N164" s="7" t="s">
        <v>29</v>
      </c>
      <c r="O164" s="7" t="s">
        <v>29</v>
      </c>
      <c r="P164" s="7" t="s">
        <v>29</v>
      </c>
      <c r="Q164" s="7" t="s">
        <v>29</v>
      </c>
      <c r="R164" s="7" t="s">
        <v>29</v>
      </c>
      <c r="S164" s="7" t="s">
        <v>29</v>
      </c>
    </row>
    <row r="165" spans="2:19">
      <c r="B165" s="7" t="s">
        <v>195</v>
      </c>
      <c r="C165" s="8" t="s">
        <v>195</v>
      </c>
      <c r="D165" s="6" t="str">
        <f>LRTRIM(CONCATENATE(IF(SUMPRODUCT(-- ISNUMBER(SEARCH({"Auto Number"}, $B165))) &gt; 0, $B165, IF(SUMPRODUCT(-- ISNUMBER(SEARCH({"Lookup","Master-Detail"}, $B165))) &gt; 0,$B165 &amp; "(" &amp; $E165 &amp; ")",IF(SUMPRODUCT(-- ISNUMBER(SEARCH({"Formula","Roll-Up Summary"}, $B165))) &gt; 0,$B165 &amp; " (" &amp; $E165 &amp; ")",IF(SUMPRODUCT(-- ISNUMBER(SEARCH({"Content","Currency","Number","Percent","Text","URL"}, $B165))) &gt; 0,$B165 &amp; "(" &amp; $C165 &amp; ")",$B165)))), "  ", TRIM(IF($S165 = "YES", "(External ID)", "") &amp; " " &amp; IF(SUMPRODUCT(-- ISNUMBER(SEARCH({"Unique","Unique Case Insensitive"}, $R165))) &gt; 0, "(" &amp; $R165 &amp; ")", ""))))</f>
        <v>na</v>
      </c>
      <c r="E165" s="7" t="s">
        <v>195</v>
      </c>
      <c r="F165" s="7" t="s">
        <v>195</v>
      </c>
      <c r="G165" s="7" t="s">
        <v>195</v>
      </c>
      <c r="H165" s="7" t="s">
        <v>195</v>
      </c>
      <c r="I165" s="7" t="s">
        <v>195</v>
      </c>
      <c r="J165" s="7" t="s">
        <v>195</v>
      </c>
      <c r="K165" s="7" t="s">
        <v>195</v>
      </c>
      <c r="L165" s="7" t="s">
        <v>195</v>
      </c>
      <c r="M165" s="7" t="s">
        <v>29</v>
      </c>
      <c r="N165" s="7" t="s">
        <v>29</v>
      </c>
      <c r="O165" s="7" t="s">
        <v>29</v>
      </c>
      <c r="P165" s="7" t="s">
        <v>29</v>
      </c>
      <c r="Q165" s="7" t="s">
        <v>29</v>
      </c>
      <c r="R165" s="7" t="s">
        <v>29</v>
      </c>
      <c r="S165" s="7" t="s">
        <v>29</v>
      </c>
    </row>
    <row r="166" spans="2:19">
      <c r="B166" s="7" t="s">
        <v>195</v>
      </c>
      <c r="C166" s="8" t="s">
        <v>195</v>
      </c>
      <c r="D166" s="6" t="str">
        <f>LRTRIM(CONCATENATE(IF(SUMPRODUCT(-- ISNUMBER(SEARCH({"Auto Number"}, $B166))) &gt; 0, $B166, IF(SUMPRODUCT(-- ISNUMBER(SEARCH({"Lookup","Master-Detail"}, $B166))) &gt; 0,$B166 &amp; "(" &amp; $E166 &amp; ")",IF(SUMPRODUCT(-- ISNUMBER(SEARCH({"Formula","Roll-Up Summary"}, $B166))) &gt; 0,$B166 &amp; " (" &amp; $E166 &amp; ")",IF(SUMPRODUCT(-- ISNUMBER(SEARCH({"Content","Currency","Number","Percent","Text","URL"}, $B166))) &gt; 0,$B166 &amp; "(" &amp; $C166 &amp; ")",$B166)))), "  ", TRIM(IF($S166 = "YES", "(External ID)", "") &amp; " " &amp; IF(SUMPRODUCT(-- ISNUMBER(SEARCH({"Unique","Unique Case Insensitive"}, $R166))) &gt; 0, "(" &amp; $R166 &amp; ")", ""))))</f>
        <v>na</v>
      </c>
      <c r="E166" s="7" t="s">
        <v>195</v>
      </c>
      <c r="F166" s="7" t="s">
        <v>195</v>
      </c>
      <c r="G166" s="7" t="s">
        <v>195</v>
      </c>
      <c r="H166" s="7" t="s">
        <v>195</v>
      </c>
      <c r="I166" s="7" t="s">
        <v>195</v>
      </c>
      <c r="J166" s="7" t="s">
        <v>195</v>
      </c>
      <c r="K166" s="7" t="s">
        <v>195</v>
      </c>
      <c r="L166" s="7" t="s">
        <v>195</v>
      </c>
      <c r="M166" s="7" t="s">
        <v>29</v>
      </c>
      <c r="N166" s="7" t="s">
        <v>29</v>
      </c>
      <c r="O166" s="7" t="s">
        <v>29</v>
      </c>
      <c r="P166" s="7" t="s">
        <v>29</v>
      </c>
      <c r="Q166" s="7" t="s">
        <v>29</v>
      </c>
      <c r="R166" s="7" t="s">
        <v>29</v>
      </c>
      <c r="S166" s="7" t="s">
        <v>29</v>
      </c>
    </row>
    <row r="167" spans="2:19">
      <c r="B167" s="7" t="s">
        <v>195</v>
      </c>
      <c r="C167" s="8" t="s">
        <v>195</v>
      </c>
      <c r="D167" s="6" t="str">
        <f>LRTRIM(CONCATENATE(IF(SUMPRODUCT(-- ISNUMBER(SEARCH({"Auto Number"}, $B167))) &gt; 0, $B167, IF(SUMPRODUCT(-- ISNUMBER(SEARCH({"Lookup","Master-Detail"}, $B167))) &gt; 0,$B167 &amp; "(" &amp; $E167 &amp; ")",IF(SUMPRODUCT(-- ISNUMBER(SEARCH({"Formula","Roll-Up Summary"}, $B167))) &gt; 0,$B167 &amp; " (" &amp; $E167 &amp; ")",IF(SUMPRODUCT(-- ISNUMBER(SEARCH({"Content","Currency","Number","Percent","Text","URL"}, $B167))) &gt; 0,$B167 &amp; "(" &amp; $C167 &amp; ")",$B167)))), "  ", TRIM(IF($S167 = "YES", "(External ID)", "") &amp; " " &amp; IF(SUMPRODUCT(-- ISNUMBER(SEARCH({"Unique","Unique Case Insensitive"}, $R167))) &gt; 0, "(" &amp; $R167 &amp; ")", ""))))</f>
        <v>na</v>
      </c>
      <c r="E167" s="7" t="s">
        <v>195</v>
      </c>
      <c r="F167" s="7" t="s">
        <v>195</v>
      </c>
      <c r="G167" s="7" t="s">
        <v>195</v>
      </c>
      <c r="H167" s="7" t="s">
        <v>195</v>
      </c>
      <c r="I167" s="7" t="s">
        <v>195</v>
      </c>
      <c r="J167" s="7" t="s">
        <v>195</v>
      </c>
      <c r="K167" s="7" t="s">
        <v>195</v>
      </c>
      <c r="L167" s="7" t="s">
        <v>195</v>
      </c>
      <c r="M167" s="7" t="s">
        <v>29</v>
      </c>
      <c r="N167" s="7" t="s">
        <v>29</v>
      </c>
      <c r="O167" s="7" t="s">
        <v>29</v>
      </c>
      <c r="P167" s="7" t="s">
        <v>29</v>
      </c>
      <c r="Q167" s="7" t="s">
        <v>29</v>
      </c>
      <c r="R167" s="7" t="s">
        <v>29</v>
      </c>
      <c r="S167" s="7" t="s">
        <v>29</v>
      </c>
    </row>
    <row r="168" spans="2:19">
      <c r="B168" s="7" t="s">
        <v>195</v>
      </c>
      <c r="C168" s="8" t="s">
        <v>195</v>
      </c>
      <c r="D168" s="6" t="str">
        <f>LRTRIM(CONCATENATE(IF(SUMPRODUCT(-- ISNUMBER(SEARCH({"Auto Number"}, $B168))) &gt; 0, $B168, IF(SUMPRODUCT(-- ISNUMBER(SEARCH({"Lookup","Master-Detail"}, $B168))) &gt; 0,$B168 &amp; "(" &amp; $E168 &amp; ")",IF(SUMPRODUCT(-- ISNUMBER(SEARCH({"Formula","Roll-Up Summary"}, $B168))) &gt; 0,$B168 &amp; " (" &amp; $E168 &amp; ")",IF(SUMPRODUCT(-- ISNUMBER(SEARCH({"Content","Currency","Number","Percent","Text","URL"}, $B168))) &gt; 0,$B168 &amp; "(" &amp; $C168 &amp; ")",$B168)))), "  ", TRIM(IF($S168 = "YES", "(External ID)", "") &amp; " " &amp; IF(SUMPRODUCT(-- ISNUMBER(SEARCH({"Unique","Unique Case Insensitive"}, $R168))) &gt; 0, "(" &amp; $R168 &amp; ")", ""))))</f>
        <v>na</v>
      </c>
      <c r="E168" s="7" t="s">
        <v>195</v>
      </c>
      <c r="F168" s="7" t="s">
        <v>195</v>
      </c>
      <c r="G168" s="7" t="s">
        <v>195</v>
      </c>
      <c r="H168" s="7" t="s">
        <v>195</v>
      </c>
      <c r="I168" s="7" t="s">
        <v>195</v>
      </c>
      <c r="J168" s="7" t="s">
        <v>195</v>
      </c>
      <c r="K168" s="7" t="s">
        <v>195</v>
      </c>
      <c r="L168" s="7" t="s">
        <v>195</v>
      </c>
      <c r="M168" s="7" t="s">
        <v>29</v>
      </c>
      <c r="N168" s="7" t="s">
        <v>29</v>
      </c>
      <c r="O168" s="7" t="s">
        <v>29</v>
      </c>
      <c r="P168" s="7" t="s">
        <v>29</v>
      </c>
      <c r="Q168" s="7" t="s">
        <v>29</v>
      </c>
      <c r="R168" s="7" t="s">
        <v>29</v>
      </c>
      <c r="S168" s="7" t="s">
        <v>29</v>
      </c>
    </row>
    <row r="169" spans="2:19">
      <c r="B169" s="7" t="s">
        <v>195</v>
      </c>
      <c r="C169" s="8" t="s">
        <v>195</v>
      </c>
      <c r="D169" s="6" t="str">
        <f>LRTRIM(CONCATENATE(IF(SUMPRODUCT(-- ISNUMBER(SEARCH({"Auto Number"}, $B169))) &gt; 0, $B169, IF(SUMPRODUCT(-- ISNUMBER(SEARCH({"Lookup","Master-Detail"}, $B169))) &gt; 0,$B169 &amp; "(" &amp; $E169 &amp; ")",IF(SUMPRODUCT(-- ISNUMBER(SEARCH({"Formula","Roll-Up Summary"}, $B169))) &gt; 0,$B169 &amp; " (" &amp; $E169 &amp; ")",IF(SUMPRODUCT(-- ISNUMBER(SEARCH({"Content","Currency","Number","Percent","Text","URL"}, $B169))) &gt; 0,$B169 &amp; "(" &amp; $C169 &amp; ")",$B169)))), "  ", TRIM(IF($S169 = "YES", "(External ID)", "") &amp; " " &amp; IF(SUMPRODUCT(-- ISNUMBER(SEARCH({"Unique","Unique Case Insensitive"}, $R169))) &gt; 0, "(" &amp; $R169 &amp; ")", ""))))</f>
        <v>na</v>
      </c>
      <c r="E169" s="7" t="s">
        <v>195</v>
      </c>
      <c r="F169" s="7" t="s">
        <v>195</v>
      </c>
      <c r="G169" s="7" t="s">
        <v>195</v>
      </c>
      <c r="H169" s="7" t="s">
        <v>195</v>
      </c>
      <c r="I169" s="7" t="s">
        <v>195</v>
      </c>
      <c r="J169" s="7" t="s">
        <v>195</v>
      </c>
      <c r="K169" s="7" t="s">
        <v>195</v>
      </c>
      <c r="L169" s="7" t="s">
        <v>195</v>
      </c>
      <c r="M169" s="7" t="s">
        <v>29</v>
      </c>
      <c r="N169" s="7" t="s">
        <v>29</v>
      </c>
      <c r="O169" s="7" t="s">
        <v>29</v>
      </c>
      <c r="P169" s="7" t="s">
        <v>29</v>
      </c>
      <c r="Q169" s="7" t="s">
        <v>29</v>
      </c>
      <c r="R169" s="7" t="s">
        <v>29</v>
      </c>
      <c r="S169" s="7" t="s">
        <v>29</v>
      </c>
    </row>
    <row r="170" spans="2:19">
      <c r="B170" s="7" t="s">
        <v>195</v>
      </c>
      <c r="C170" s="8" t="s">
        <v>195</v>
      </c>
      <c r="D170" s="6" t="str">
        <f>LRTRIM(CONCATENATE(IF(SUMPRODUCT(-- ISNUMBER(SEARCH({"Auto Number"}, $B170))) &gt; 0, $B170, IF(SUMPRODUCT(-- ISNUMBER(SEARCH({"Lookup","Master-Detail"}, $B170))) &gt; 0,$B170 &amp; "(" &amp; $E170 &amp; ")",IF(SUMPRODUCT(-- ISNUMBER(SEARCH({"Formula","Roll-Up Summary"}, $B170))) &gt; 0,$B170 &amp; " (" &amp; $E170 &amp; ")",IF(SUMPRODUCT(-- ISNUMBER(SEARCH({"Content","Currency","Number","Percent","Text","URL"}, $B170))) &gt; 0,$B170 &amp; "(" &amp; $C170 &amp; ")",$B170)))), "  ", TRIM(IF($S170 = "YES", "(External ID)", "") &amp; " " &amp; IF(SUMPRODUCT(-- ISNUMBER(SEARCH({"Unique","Unique Case Insensitive"}, $R170))) &gt; 0, "(" &amp; $R170 &amp; ")", ""))))</f>
        <v>na</v>
      </c>
      <c r="E170" s="7" t="s">
        <v>195</v>
      </c>
      <c r="F170" s="7" t="s">
        <v>195</v>
      </c>
      <c r="G170" s="7" t="s">
        <v>195</v>
      </c>
      <c r="H170" s="7" t="s">
        <v>195</v>
      </c>
      <c r="I170" s="7" t="s">
        <v>195</v>
      </c>
      <c r="J170" s="7" t="s">
        <v>195</v>
      </c>
      <c r="K170" s="7" t="s">
        <v>195</v>
      </c>
      <c r="L170" s="7" t="s">
        <v>195</v>
      </c>
      <c r="M170" s="7" t="s">
        <v>29</v>
      </c>
      <c r="N170" s="7" t="s">
        <v>29</v>
      </c>
      <c r="O170" s="7" t="s">
        <v>29</v>
      </c>
      <c r="P170" s="7" t="s">
        <v>29</v>
      </c>
      <c r="Q170" s="7" t="s">
        <v>29</v>
      </c>
      <c r="R170" s="7" t="s">
        <v>29</v>
      </c>
      <c r="S170" s="7" t="s">
        <v>29</v>
      </c>
    </row>
    <row r="171" spans="2:19">
      <c r="B171" s="7" t="s">
        <v>195</v>
      </c>
      <c r="C171" s="8" t="s">
        <v>195</v>
      </c>
      <c r="D171" s="6" t="str">
        <f>LRTRIM(CONCATENATE(IF(SUMPRODUCT(-- ISNUMBER(SEARCH({"Auto Number"}, $B171))) &gt; 0, $B171, IF(SUMPRODUCT(-- ISNUMBER(SEARCH({"Lookup","Master-Detail"}, $B171))) &gt; 0,$B171 &amp; "(" &amp; $E171 &amp; ")",IF(SUMPRODUCT(-- ISNUMBER(SEARCH({"Formula","Roll-Up Summary"}, $B171))) &gt; 0,$B171 &amp; " (" &amp; $E171 &amp; ")",IF(SUMPRODUCT(-- ISNUMBER(SEARCH({"Content","Currency","Number","Percent","Text","URL"}, $B171))) &gt; 0,$B171 &amp; "(" &amp; $C171 &amp; ")",$B171)))), "  ", TRIM(IF($S171 = "YES", "(External ID)", "") &amp; " " &amp; IF(SUMPRODUCT(-- ISNUMBER(SEARCH({"Unique","Unique Case Insensitive"}, $R171))) &gt; 0, "(" &amp; $R171 &amp; ")", ""))))</f>
        <v>na</v>
      </c>
      <c r="E171" s="7" t="s">
        <v>195</v>
      </c>
      <c r="F171" s="7" t="s">
        <v>195</v>
      </c>
      <c r="G171" s="7" t="s">
        <v>195</v>
      </c>
      <c r="H171" s="7" t="s">
        <v>195</v>
      </c>
      <c r="I171" s="7" t="s">
        <v>195</v>
      </c>
      <c r="J171" s="7" t="s">
        <v>195</v>
      </c>
      <c r="K171" s="7" t="s">
        <v>195</v>
      </c>
      <c r="L171" s="7" t="s">
        <v>195</v>
      </c>
      <c r="M171" s="7" t="s">
        <v>29</v>
      </c>
      <c r="N171" s="7" t="s">
        <v>29</v>
      </c>
      <c r="O171" s="7" t="s">
        <v>29</v>
      </c>
      <c r="P171" s="7" t="s">
        <v>29</v>
      </c>
      <c r="Q171" s="7" t="s">
        <v>29</v>
      </c>
      <c r="R171" s="7" t="s">
        <v>29</v>
      </c>
      <c r="S171" s="7" t="s">
        <v>29</v>
      </c>
    </row>
    <row r="172" spans="2:19">
      <c r="B172" s="7" t="s">
        <v>195</v>
      </c>
      <c r="C172" s="8" t="s">
        <v>195</v>
      </c>
      <c r="D172" s="6" t="str">
        <f>LRTRIM(CONCATENATE(IF(SUMPRODUCT(-- ISNUMBER(SEARCH({"Auto Number"}, $B172))) &gt; 0, $B172, IF(SUMPRODUCT(-- ISNUMBER(SEARCH({"Lookup","Master-Detail"}, $B172))) &gt; 0,$B172 &amp; "(" &amp; $E172 &amp; ")",IF(SUMPRODUCT(-- ISNUMBER(SEARCH({"Formula","Roll-Up Summary"}, $B172))) &gt; 0,$B172 &amp; " (" &amp; $E172 &amp; ")",IF(SUMPRODUCT(-- ISNUMBER(SEARCH({"Content","Currency","Number","Percent","Text","URL"}, $B172))) &gt; 0,$B172 &amp; "(" &amp; $C172 &amp; ")",$B172)))), "  ", TRIM(IF($S172 = "YES", "(External ID)", "") &amp; " " &amp; IF(SUMPRODUCT(-- ISNUMBER(SEARCH({"Unique","Unique Case Insensitive"}, $R172))) &gt; 0, "(" &amp; $R172 &amp; ")", ""))))</f>
        <v>na</v>
      </c>
      <c r="E172" s="7" t="s">
        <v>195</v>
      </c>
      <c r="F172" s="7" t="s">
        <v>195</v>
      </c>
      <c r="G172" s="7" t="s">
        <v>195</v>
      </c>
      <c r="H172" s="7" t="s">
        <v>195</v>
      </c>
      <c r="I172" s="7" t="s">
        <v>195</v>
      </c>
      <c r="J172" s="7" t="s">
        <v>195</v>
      </c>
      <c r="K172" s="7" t="s">
        <v>195</v>
      </c>
      <c r="L172" s="7" t="s">
        <v>195</v>
      </c>
      <c r="M172" s="7" t="s">
        <v>29</v>
      </c>
      <c r="N172" s="7" t="s">
        <v>29</v>
      </c>
      <c r="O172" s="7" t="s">
        <v>29</v>
      </c>
      <c r="P172" s="7" t="s">
        <v>29</v>
      </c>
      <c r="Q172" s="7" t="s">
        <v>29</v>
      </c>
      <c r="R172" s="7" t="s">
        <v>29</v>
      </c>
      <c r="S172" s="7" t="s">
        <v>29</v>
      </c>
    </row>
    <row r="173" spans="2:19">
      <c r="B173" s="7" t="s">
        <v>195</v>
      </c>
      <c r="C173" s="8" t="s">
        <v>195</v>
      </c>
      <c r="D173" s="6" t="str">
        <f>LRTRIM(CONCATENATE(IF(SUMPRODUCT(-- ISNUMBER(SEARCH({"Auto Number"}, $B173))) &gt; 0, $B173, IF(SUMPRODUCT(-- ISNUMBER(SEARCH({"Lookup","Master-Detail"}, $B173))) &gt; 0,$B173 &amp; "(" &amp; $E173 &amp; ")",IF(SUMPRODUCT(-- ISNUMBER(SEARCH({"Formula","Roll-Up Summary"}, $B173))) &gt; 0,$B173 &amp; " (" &amp; $E173 &amp; ")",IF(SUMPRODUCT(-- ISNUMBER(SEARCH({"Content","Currency","Number","Percent","Text","URL"}, $B173))) &gt; 0,$B173 &amp; "(" &amp; $C173 &amp; ")",$B173)))), "  ", TRIM(IF($S173 = "YES", "(External ID)", "") &amp; " " &amp; IF(SUMPRODUCT(-- ISNUMBER(SEARCH({"Unique","Unique Case Insensitive"}, $R173))) &gt; 0, "(" &amp; $R173 &amp; ")", ""))))</f>
        <v>na</v>
      </c>
      <c r="E173" s="7" t="s">
        <v>195</v>
      </c>
      <c r="F173" s="7" t="s">
        <v>195</v>
      </c>
      <c r="G173" s="7" t="s">
        <v>195</v>
      </c>
      <c r="H173" s="7" t="s">
        <v>195</v>
      </c>
      <c r="I173" s="7" t="s">
        <v>195</v>
      </c>
      <c r="J173" s="7" t="s">
        <v>195</v>
      </c>
      <c r="K173" s="7" t="s">
        <v>195</v>
      </c>
      <c r="L173" s="7" t="s">
        <v>195</v>
      </c>
      <c r="M173" s="7" t="s">
        <v>29</v>
      </c>
      <c r="N173" s="7" t="s">
        <v>29</v>
      </c>
      <c r="O173" s="7" t="s">
        <v>29</v>
      </c>
      <c r="P173" s="7" t="s">
        <v>29</v>
      </c>
      <c r="Q173" s="7" t="s">
        <v>29</v>
      </c>
      <c r="R173" s="7" t="s">
        <v>29</v>
      </c>
      <c r="S173" s="7" t="s">
        <v>29</v>
      </c>
    </row>
    <row r="174" spans="2:19">
      <c r="B174" s="7" t="s">
        <v>195</v>
      </c>
      <c r="C174" s="8" t="s">
        <v>195</v>
      </c>
      <c r="D174" s="6" t="str">
        <f>LRTRIM(CONCATENATE(IF(SUMPRODUCT(-- ISNUMBER(SEARCH({"Auto Number"}, $B174))) &gt; 0, $B174, IF(SUMPRODUCT(-- ISNUMBER(SEARCH({"Lookup","Master-Detail"}, $B174))) &gt; 0,$B174 &amp; "(" &amp; $E174 &amp; ")",IF(SUMPRODUCT(-- ISNUMBER(SEARCH({"Formula","Roll-Up Summary"}, $B174))) &gt; 0,$B174 &amp; " (" &amp; $E174 &amp; ")",IF(SUMPRODUCT(-- ISNUMBER(SEARCH({"Content","Currency","Number","Percent","Text","URL"}, $B174))) &gt; 0,$B174 &amp; "(" &amp; $C174 &amp; ")",$B174)))), "  ", TRIM(IF($S174 = "YES", "(External ID)", "") &amp; " " &amp; IF(SUMPRODUCT(-- ISNUMBER(SEARCH({"Unique","Unique Case Insensitive"}, $R174))) &gt; 0, "(" &amp; $R174 &amp; ")", ""))))</f>
        <v>na</v>
      </c>
      <c r="E174" s="7" t="s">
        <v>195</v>
      </c>
      <c r="F174" s="7" t="s">
        <v>195</v>
      </c>
      <c r="G174" s="7" t="s">
        <v>195</v>
      </c>
      <c r="H174" s="7" t="s">
        <v>195</v>
      </c>
      <c r="I174" s="7" t="s">
        <v>195</v>
      </c>
      <c r="J174" s="7" t="s">
        <v>195</v>
      </c>
      <c r="K174" s="7" t="s">
        <v>195</v>
      </c>
      <c r="L174" s="7" t="s">
        <v>195</v>
      </c>
      <c r="M174" s="7" t="s">
        <v>29</v>
      </c>
      <c r="N174" s="7" t="s">
        <v>29</v>
      </c>
      <c r="O174" s="7" t="s">
        <v>29</v>
      </c>
      <c r="P174" s="7" t="s">
        <v>29</v>
      </c>
      <c r="Q174" s="7" t="s">
        <v>29</v>
      </c>
      <c r="R174" s="7" t="s">
        <v>29</v>
      </c>
      <c r="S174" s="7" t="s">
        <v>29</v>
      </c>
    </row>
    <row r="175" spans="2:19">
      <c r="B175" s="7" t="s">
        <v>195</v>
      </c>
      <c r="C175" s="8" t="s">
        <v>195</v>
      </c>
      <c r="D175" s="6" t="str">
        <f>LRTRIM(CONCATENATE(IF(SUMPRODUCT(-- ISNUMBER(SEARCH({"Auto Number"}, $B175))) &gt; 0, $B175, IF(SUMPRODUCT(-- ISNUMBER(SEARCH({"Lookup","Master-Detail"}, $B175))) &gt; 0,$B175 &amp; "(" &amp; $E175 &amp; ")",IF(SUMPRODUCT(-- ISNUMBER(SEARCH({"Formula","Roll-Up Summary"}, $B175))) &gt; 0,$B175 &amp; " (" &amp; $E175 &amp; ")",IF(SUMPRODUCT(-- ISNUMBER(SEARCH({"Content","Currency","Number","Percent","Text","URL"}, $B175))) &gt; 0,$B175 &amp; "(" &amp; $C175 &amp; ")",$B175)))), "  ", TRIM(IF($S175 = "YES", "(External ID)", "") &amp; " " &amp; IF(SUMPRODUCT(-- ISNUMBER(SEARCH({"Unique","Unique Case Insensitive"}, $R175))) &gt; 0, "(" &amp; $R175 &amp; ")", ""))))</f>
        <v>na</v>
      </c>
      <c r="E175" s="7" t="s">
        <v>195</v>
      </c>
      <c r="F175" s="7" t="s">
        <v>195</v>
      </c>
      <c r="G175" s="7" t="s">
        <v>195</v>
      </c>
      <c r="H175" s="7" t="s">
        <v>195</v>
      </c>
      <c r="I175" s="7" t="s">
        <v>195</v>
      </c>
      <c r="J175" s="7" t="s">
        <v>195</v>
      </c>
      <c r="K175" s="7" t="s">
        <v>195</v>
      </c>
      <c r="L175" s="7" t="s">
        <v>195</v>
      </c>
      <c r="M175" s="7" t="s">
        <v>29</v>
      </c>
      <c r="N175" s="7" t="s">
        <v>29</v>
      </c>
      <c r="O175" s="7" t="s">
        <v>29</v>
      </c>
      <c r="P175" s="7" t="s">
        <v>29</v>
      </c>
      <c r="Q175" s="7" t="s">
        <v>29</v>
      </c>
      <c r="R175" s="7" t="s">
        <v>29</v>
      </c>
      <c r="S175" s="7" t="s">
        <v>29</v>
      </c>
    </row>
    <row r="176" spans="2:19">
      <c r="B176" s="7" t="s">
        <v>195</v>
      </c>
      <c r="C176" s="8" t="s">
        <v>195</v>
      </c>
      <c r="D176" s="6" t="str">
        <f>LRTRIM(CONCATENATE(IF(SUMPRODUCT(-- ISNUMBER(SEARCH({"Auto Number"}, $B176))) &gt; 0, $B176, IF(SUMPRODUCT(-- ISNUMBER(SEARCH({"Lookup","Master-Detail"}, $B176))) &gt; 0,$B176 &amp; "(" &amp; $E176 &amp; ")",IF(SUMPRODUCT(-- ISNUMBER(SEARCH({"Formula","Roll-Up Summary"}, $B176))) &gt; 0,$B176 &amp; " (" &amp; $E176 &amp; ")",IF(SUMPRODUCT(-- ISNUMBER(SEARCH({"Content","Currency","Number","Percent","Text","URL"}, $B176))) &gt; 0,$B176 &amp; "(" &amp; $C176 &amp; ")",$B176)))), "  ", TRIM(IF($S176 = "YES", "(External ID)", "") &amp; " " &amp; IF(SUMPRODUCT(-- ISNUMBER(SEARCH({"Unique","Unique Case Insensitive"}, $R176))) &gt; 0, "(" &amp; $R176 &amp; ")", ""))))</f>
        <v>na</v>
      </c>
      <c r="E176" s="7" t="s">
        <v>195</v>
      </c>
      <c r="F176" s="7" t="s">
        <v>195</v>
      </c>
      <c r="G176" s="7" t="s">
        <v>195</v>
      </c>
      <c r="H176" s="7" t="s">
        <v>195</v>
      </c>
      <c r="I176" s="7" t="s">
        <v>195</v>
      </c>
      <c r="J176" s="7" t="s">
        <v>195</v>
      </c>
      <c r="K176" s="7" t="s">
        <v>195</v>
      </c>
      <c r="L176" s="7" t="s">
        <v>195</v>
      </c>
      <c r="M176" s="7" t="s">
        <v>29</v>
      </c>
      <c r="N176" s="7" t="s">
        <v>29</v>
      </c>
      <c r="O176" s="7" t="s">
        <v>29</v>
      </c>
      <c r="P176" s="7" t="s">
        <v>29</v>
      </c>
      <c r="Q176" s="7" t="s">
        <v>29</v>
      </c>
      <c r="R176" s="7" t="s">
        <v>29</v>
      </c>
      <c r="S176" s="7" t="s">
        <v>29</v>
      </c>
    </row>
    <row r="177" spans="2:19">
      <c r="B177" s="7" t="s">
        <v>195</v>
      </c>
      <c r="C177" s="8" t="s">
        <v>195</v>
      </c>
      <c r="D177" s="6" t="str">
        <f>LRTRIM(CONCATENATE(IF(SUMPRODUCT(-- ISNUMBER(SEARCH({"Auto Number"}, $B177))) &gt; 0, $B177, IF(SUMPRODUCT(-- ISNUMBER(SEARCH({"Lookup","Master-Detail"}, $B177))) &gt; 0,$B177 &amp; "(" &amp; $E177 &amp; ")",IF(SUMPRODUCT(-- ISNUMBER(SEARCH({"Formula","Roll-Up Summary"}, $B177))) &gt; 0,$B177 &amp; " (" &amp; $E177 &amp; ")",IF(SUMPRODUCT(-- ISNUMBER(SEARCH({"Content","Currency","Number","Percent","Text","URL"}, $B177))) &gt; 0,$B177 &amp; "(" &amp; $C177 &amp; ")",$B177)))), "  ", TRIM(IF($S177 = "YES", "(External ID)", "") &amp; " " &amp; IF(SUMPRODUCT(-- ISNUMBER(SEARCH({"Unique","Unique Case Insensitive"}, $R177))) &gt; 0, "(" &amp; $R177 &amp; ")", ""))))</f>
        <v>na</v>
      </c>
      <c r="E177" s="7" t="s">
        <v>195</v>
      </c>
      <c r="F177" s="7" t="s">
        <v>195</v>
      </c>
      <c r="G177" s="7" t="s">
        <v>195</v>
      </c>
      <c r="H177" s="7" t="s">
        <v>195</v>
      </c>
      <c r="I177" s="7" t="s">
        <v>195</v>
      </c>
      <c r="J177" s="7" t="s">
        <v>195</v>
      </c>
      <c r="K177" s="7" t="s">
        <v>195</v>
      </c>
      <c r="L177" s="7" t="s">
        <v>195</v>
      </c>
      <c r="M177" s="7" t="s">
        <v>29</v>
      </c>
      <c r="N177" s="7" t="s">
        <v>29</v>
      </c>
      <c r="O177" s="7" t="s">
        <v>29</v>
      </c>
      <c r="P177" s="7" t="s">
        <v>29</v>
      </c>
      <c r="Q177" s="7" t="s">
        <v>29</v>
      </c>
      <c r="R177" s="7" t="s">
        <v>29</v>
      </c>
      <c r="S177" s="7" t="s">
        <v>29</v>
      </c>
    </row>
    <row r="178" spans="2:19">
      <c r="B178" s="7" t="s">
        <v>195</v>
      </c>
      <c r="C178" s="8" t="s">
        <v>195</v>
      </c>
      <c r="D178" s="6" t="str">
        <f>LRTRIM(CONCATENATE(IF(SUMPRODUCT(-- ISNUMBER(SEARCH({"Auto Number"}, $B178))) &gt; 0, $B178, IF(SUMPRODUCT(-- ISNUMBER(SEARCH({"Lookup","Master-Detail"}, $B178))) &gt; 0,$B178 &amp; "(" &amp; $E178 &amp; ")",IF(SUMPRODUCT(-- ISNUMBER(SEARCH({"Formula","Roll-Up Summary"}, $B178))) &gt; 0,$B178 &amp; " (" &amp; $E178 &amp; ")",IF(SUMPRODUCT(-- ISNUMBER(SEARCH({"Content","Currency","Number","Percent","Text","URL"}, $B178))) &gt; 0,$B178 &amp; "(" &amp; $C178 &amp; ")",$B178)))), "  ", TRIM(IF($S178 = "YES", "(External ID)", "") &amp; " " &amp; IF(SUMPRODUCT(-- ISNUMBER(SEARCH({"Unique","Unique Case Insensitive"}, $R178))) &gt; 0, "(" &amp; $R178 &amp; ")", ""))))</f>
        <v>na</v>
      </c>
      <c r="E178" s="7" t="s">
        <v>195</v>
      </c>
      <c r="F178" s="7" t="s">
        <v>195</v>
      </c>
      <c r="G178" s="7" t="s">
        <v>195</v>
      </c>
      <c r="H178" s="7" t="s">
        <v>195</v>
      </c>
      <c r="I178" s="7" t="s">
        <v>195</v>
      </c>
      <c r="J178" s="7" t="s">
        <v>195</v>
      </c>
      <c r="K178" s="7" t="s">
        <v>195</v>
      </c>
      <c r="L178" s="7" t="s">
        <v>195</v>
      </c>
      <c r="M178" s="7" t="s">
        <v>29</v>
      </c>
      <c r="N178" s="7" t="s">
        <v>29</v>
      </c>
      <c r="O178" s="7" t="s">
        <v>29</v>
      </c>
      <c r="P178" s="7" t="s">
        <v>29</v>
      </c>
      <c r="Q178" s="7" t="s">
        <v>29</v>
      </c>
      <c r="R178" s="7" t="s">
        <v>29</v>
      </c>
      <c r="S178" s="7" t="s">
        <v>29</v>
      </c>
    </row>
    <row r="179" spans="2:19">
      <c r="B179" s="7" t="s">
        <v>195</v>
      </c>
      <c r="C179" s="8" t="s">
        <v>195</v>
      </c>
      <c r="D179" s="6" t="str">
        <f>LRTRIM(CONCATENATE(IF(SUMPRODUCT(-- ISNUMBER(SEARCH({"Auto Number"}, $B179))) &gt; 0, $B179, IF(SUMPRODUCT(-- ISNUMBER(SEARCH({"Lookup","Master-Detail"}, $B179))) &gt; 0,$B179 &amp; "(" &amp; $E179 &amp; ")",IF(SUMPRODUCT(-- ISNUMBER(SEARCH({"Formula","Roll-Up Summary"}, $B179))) &gt; 0,$B179 &amp; " (" &amp; $E179 &amp; ")",IF(SUMPRODUCT(-- ISNUMBER(SEARCH({"Content","Currency","Number","Percent","Text","URL"}, $B179))) &gt; 0,$B179 &amp; "(" &amp; $C179 &amp; ")",$B179)))), "  ", TRIM(IF($S179 = "YES", "(External ID)", "") &amp; " " &amp; IF(SUMPRODUCT(-- ISNUMBER(SEARCH({"Unique","Unique Case Insensitive"}, $R179))) &gt; 0, "(" &amp; $R179 &amp; ")", ""))))</f>
        <v>na</v>
      </c>
      <c r="E179" s="7" t="s">
        <v>195</v>
      </c>
      <c r="F179" s="7" t="s">
        <v>195</v>
      </c>
      <c r="G179" s="7" t="s">
        <v>195</v>
      </c>
      <c r="H179" s="7" t="s">
        <v>195</v>
      </c>
      <c r="I179" s="7" t="s">
        <v>195</v>
      </c>
      <c r="J179" s="7" t="s">
        <v>195</v>
      </c>
      <c r="K179" s="7" t="s">
        <v>195</v>
      </c>
      <c r="L179" s="7" t="s">
        <v>195</v>
      </c>
      <c r="M179" s="7" t="s">
        <v>29</v>
      </c>
      <c r="N179" s="7" t="s">
        <v>29</v>
      </c>
      <c r="O179" s="7" t="s">
        <v>29</v>
      </c>
      <c r="P179" s="7" t="s">
        <v>29</v>
      </c>
      <c r="Q179" s="7" t="s">
        <v>29</v>
      </c>
      <c r="R179" s="7" t="s">
        <v>29</v>
      </c>
      <c r="S179" s="7" t="s">
        <v>29</v>
      </c>
    </row>
    <row r="180" spans="2:19">
      <c r="B180" s="7" t="s">
        <v>195</v>
      </c>
      <c r="C180" s="8" t="s">
        <v>195</v>
      </c>
      <c r="D180" s="6" t="str">
        <f>LRTRIM(CONCATENATE(IF(SUMPRODUCT(-- ISNUMBER(SEARCH({"Auto Number"}, $B180))) &gt; 0, $B180, IF(SUMPRODUCT(-- ISNUMBER(SEARCH({"Lookup","Master-Detail"}, $B180))) &gt; 0,$B180 &amp; "(" &amp; $E180 &amp; ")",IF(SUMPRODUCT(-- ISNUMBER(SEARCH({"Formula","Roll-Up Summary"}, $B180))) &gt; 0,$B180 &amp; " (" &amp; $E180 &amp; ")",IF(SUMPRODUCT(-- ISNUMBER(SEARCH({"Content","Currency","Number","Percent","Text","URL"}, $B180))) &gt; 0,$B180 &amp; "(" &amp; $C180 &amp; ")",$B180)))), "  ", TRIM(IF($S180 = "YES", "(External ID)", "") &amp; " " &amp; IF(SUMPRODUCT(-- ISNUMBER(SEARCH({"Unique","Unique Case Insensitive"}, $R180))) &gt; 0, "(" &amp; $R180 &amp; ")", ""))))</f>
        <v>na</v>
      </c>
      <c r="E180" s="7" t="s">
        <v>195</v>
      </c>
      <c r="F180" s="7" t="s">
        <v>195</v>
      </c>
      <c r="G180" s="7" t="s">
        <v>195</v>
      </c>
      <c r="H180" s="7" t="s">
        <v>195</v>
      </c>
      <c r="I180" s="7" t="s">
        <v>195</v>
      </c>
      <c r="J180" s="7" t="s">
        <v>195</v>
      </c>
      <c r="K180" s="7" t="s">
        <v>195</v>
      </c>
      <c r="L180" s="7" t="s">
        <v>195</v>
      </c>
      <c r="M180" s="7" t="s">
        <v>29</v>
      </c>
      <c r="N180" s="7" t="s">
        <v>29</v>
      </c>
      <c r="O180" s="7" t="s">
        <v>29</v>
      </c>
      <c r="P180" s="7" t="s">
        <v>29</v>
      </c>
      <c r="Q180" s="7" t="s">
        <v>29</v>
      </c>
      <c r="R180" s="7" t="s">
        <v>29</v>
      </c>
      <c r="S180" s="7" t="s">
        <v>29</v>
      </c>
    </row>
    <row r="181" spans="2:19">
      <c r="B181" s="7" t="s">
        <v>195</v>
      </c>
      <c r="C181" s="8" t="s">
        <v>195</v>
      </c>
      <c r="D181" s="6" t="str">
        <f>LRTRIM(CONCATENATE(IF(SUMPRODUCT(-- ISNUMBER(SEARCH({"Auto Number"}, $B181))) &gt; 0, $B181, IF(SUMPRODUCT(-- ISNUMBER(SEARCH({"Lookup","Master-Detail"}, $B181))) &gt; 0,$B181 &amp; "(" &amp; $E181 &amp; ")",IF(SUMPRODUCT(-- ISNUMBER(SEARCH({"Formula","Roll-Up Summary"}, $B181))) &gt; 0,$B181 &amp; " (" &amp; $E181 &amp; ")",IF(SUMPRODUCT(-- ISNUMBER(SEARCH({"Content","Currency","Number","Percent","Text","URL"}, $B181))) &gt; 0,$B181 &amp; "(" &amp; $C181 &amp; ")",$B181)))), "  ", TRIM(IF($S181 = "YES", "(External ID)", "") &amp; " " &amp; IF(SUMPRODUCT(-- ISNUMBER(SEARCH({"Unique","Unique Case Insensitive"}, $R181))) &gt; 0, "(" &amp; $R181 &amp; ")", ""))))</f>
        <v>na</v>
      </c>
      <c r="E181" s="7" t="s">
        <v>195</v>
      </c>
      <c r="F181" s="7" t="s">
        <v>195</v>
      </c>
      <c r="G181" s="7" t="s">
        <v>195</v>
      </c>
      <c r="H181" s="7" t="s">
        <v>195</v>
      </c>
      <c r="I181" s="7" t="s">
        <v>195</v>
      </c>
      <c r="J181" s="7" t="s">
        <v>195</v>
      </c>
      <c r="K181" s="7" t="s">
        <v>195</v>
      </c>
      <c r="L181" s="7" t="s">
        <v>195</v>
      </c>
      <c r="M181" s="7" t="s">
        <v>29</v>
      </c>
      <c r="N181" s="7" t="s">
        <v>29</v>
      </c>
      <c r="O181" s="7" t="s">
        <v>29</v>
      </c>
      <c r="P181" s="7" t="s">
        <v>29</v>
      </c>
      <c r="Q181" s="7" t="s">
        <v>29</v>
      </c>
      <c r="R181" s="7" t="s">
        <v>29</v>
      </c>
      <c r="S181" s="7" t="s">
        <v>29</v>
      </c>
    </row>
    <row r="182" spans="2:19">
      <c r="B182" s="7" t="s">
        <v>195</v>
      </c>
      <c r="C182" s="8" t="s">
        <v>195</v>
      </c>
      <c r="D182" s="6" t="str">
        <f>LRTRIM(CONCATENATE(IF(SUMPRODUCT(-- ISNUMBER(SEARCH({"Auto Number"}, $B182))) &gt; 0, $B182, IF(SUMPRODUCT(-- ISNUMBER(SEARCH({"Lookup","Master-Detail"}, $B182))) &gt; 0,$B182 &amp; "(" &amp; $E182 &amp; ")",IF(SUMPRODUCT(-- ISNUMBER(SEARCH({"Formula","Roll-Up Summary"}, $B182))) &gt; 0,$B182 &amp; " (" &amp; $E182 &amp; ")",IF(SUMPRODUCT(-- ISNUMBER(SEARCH({"Content","Currency","Number","Percent","Text","URL"}, $B182))) &gt; 0,$B182 &amp; "(" &amp; $C182 &amp; ")",$B182)))), "  ", TRIM(IF($S182 = "YES", "(External ID)", "") &amp; " " &amp; IF(SUMPRODUCT(-- ISNUMBER(SEARCH({"Unique","Unique Case Insensitive"}, $R182))) &gt; 0, "(" &amp; $R182 &amp; ")", ""))))</f>
        <v>na</v>
      </c>
      <c r="E182" s="7" t="s">
        <v>195</v>
      </c>
      <c r="F182" s="7" t="s">
        <v>195</v>
      </c>
      <c r="G182" s="7" t="s">
        <v>195</v>
      </c>
      <c r="H182" s="7" t="s">
        <v>195</v>
      </c>
      <c r="I182" s="7" t="s">
        <v>195</v>
      </c>
      <c r="J182" s="7" t="s">
        <v>195</v>
      </c>
      <c r="K182" s="7" t="s">
        <v>195</v>
      </c>
      <c r="L182" s="7" t="s">
        <v>195</v>
      </c>
      <c r="M182" s="7" t="s">
        <v>29</v>
      </c>
      <c r="N182" s="7" t="s">
        <v>29</v>
      </c>
      <c r="O182" s="7" t="s">
        <v>29</v>
      </c>
      <c r="P182" s="7" t="s">
        <v>29</v>
      </c>
      <c r="Q182" s="7" t="s">
        <v>29</v>
      </c>
      <c r="R182" s="7" t="s">
        <v>29</v>
      </c>
      <c r="S182" s="7" t="s">
        <v>29</v>
      </c>
    </row>
    <row r="183" spans="2:19">
      <c r="B183" s="7" t="s">
        <v>195</v>
      </c>
      <c r="C183" s="8" t="s">
        <v>195</v>
      </c>
      <c r="D183" s="6" t="str">
        <f>LRTRIM(CONCATENATE(IF(SUMPRODUCT(-- ISNUMBER(SEARCH({"Auto Number"}, $B183))) &gt; 0, $B183, IF(SUMPRODUCT(-- ISNUMBER(SEARCH({"Lookup","Master-Detail"}, $B183))) &gt; 0,$B183 &amp; "(" &amp; $E183 &amp; ")",IF(SUMPRODUCT(-- ISNUMBER(SEARCH({"Formula","Roll-Up Summary"}, $B183))) &gt; 0,$B183 &amp; " (" &amp; $E183 &amp; ")",IF(SUMPRODUCT(-- ISNUMBER(SEARCH({"Content","Currency","Number","Percent","Text","URL"}, $B183))) &gt; 0,$B183 &amp; "(" &amp; $C183 &amp; ")",$B183)))), "  ", TRIM(IF($S183 = "YES", "(External ID)", "") &amp; " " &amp; IF(SUMPRODUCT(-- ISNUMBER(SEARCH({"Unique","Unique Case Insensitive"}, $R183))) &gt; 0, "(" &amp; $R183 &amp; ")", ""))))</f>
        <v>na</v>
      </c>
      <c r="E183" s="7" t="s">
        <v>195</v>
      </c>
      <c r="F183" s="7" t="s">
        <v>195</v>
      </c>
      <c r="G183" s="7" t="s">
        <v>195</v>
      </c>
      <c r="H183" s="7" t="s">
        <v>195</v>
      </c>
      <c r="I183" s="7" t="s">
        <v>195</v>
      </c>
      <c r="J183" s="7" t="s">
        <v>195</v>
      </c>
      <c r="K183" s="7" t="s">
        <v>195</v>
      </c>
      <c r="L183" s="7" t="s">
        <v>195</v>
      </c>
      <c r="M183" s="7" t="s">
        <v>29</v>
      </c>
      <c r="N183" s="7" t="s">
        <v>29</v>
      </c>
      <c r="O183" s="7" t="s">
        <v>29</v>
      </c>
      <c r="P183" s="7" t="s">
        <v>29</v>
      </c>
      <c r="Q183" s="7" t="s">
        <v>29</v>
      </c>
      <c r="R183" s="7" t="s">
        <v>29</v>
      </c>
      <c r="S183" s="7" t="s">
        <v>29</v>
      </c>
    </row>
    <row r="184" spans="2:19">
      <c r="B184" s="7" t="s">
        <v>195</v>
      </c>
      <c r="C184" s="8" t="s">
        <v>195</v>
      </c>
      <c r="D184" s="6" t="str">
        <f>LRTRIM(CONCATENATE(IF(SUMPRODUCT(-- ISNUMBER(SEARCH({"Auto Number"}, $B184))) &gt; 0, $B184, IF(SUMPRODUCT(-- ISNUMBER(SEARCH({"Lookup","Master-Detail"}, $B184))) &gt; 0,$B184 &amp; "(" &amp; $E184 &amp; ")",IF(SUMPRODUCT(-- ISNUMBER(SEARCH({"Formula","Roll-Up Summary"}, $B184))) &gt; 0,$B184 &amp; " (" &amp; $E184 &amp; ")",IF(SUMPRODUCT(-- ISNUMBER(SEARCH({"Content","Currency","Number","Percent","Text","URL"}, $B184))) &gt; 0,$B184 &amp; "(" &amp; $C184 &amp; ")",$B184)))), "  ", TRIM(IF($S184 = "YES", "(External ID)", "") &amp; " " &amp; IF(SUMPRODUCT(-- ISNUMBER(SEARCH({"Unique","Unique Case Insensitive"}, $R184))) &gt; 0, "(" &amp; $R184 &amp; ")", ""))))</f>
        <v>na</v>
      </c>
      <c r="E184" s="7" t="s">
        <v>195</v>
      </c>
      <c r="F184" s="7" t="s">
        <v>195</v>
      </c>
      <c r="G184" s="7" t="s">
        <v>195</v>
      </c>
      <c r="H184" s="7" t="s">
        <v>195</v>
      </c>
      <c r="I184" s="7" t="s">
        <v>195</v>
      </c>
      <c r="J184" s="7" t="s">
        <v>195</v>
      </c>
      <c r="K184" s="7" t="s">
        <v>195</v>
      </c>
      <c r="L184" s="7" t="s">
        <v>195</v>
      </c>
      <c r="M184" s="7" t="s">
        <v>29</v>
      </c>
      <c r="N184" s="7" t="s">
        <v>29</v>
      </c>
      <c r="O184" s="7" t="s">
        <v>29</v>
      </c>
      <c r="P184" s="7" t="s">
        <v>29</v>
      </c>
      <c r="Q184" s="7" t="s">
        <v>29</v>
      </c>
      <c r="R184" s="7" t="s">
        <v>29</v>
      </c>
      <c r="S184" s="7" t="s">
        <v>29</v>
      </c>
    </row>
    <row r="185" spans="2:19">
      <c r="B185" s="7" t="s">
        <v>195</v>
      </c>
      <c r="C185" s="8" t="s">
        <v>195</v>
      </c>
      <c r="D185" s="6" t="str">
        <f>LRTRIM(CONCATENATE(IF(SUMPRODUCT(-- ISNUMBER(SEARCH({"Auto Number"}, $B185))) &gt; 0, $B185, IF(SUMPRODUCT(-- ISNUMBER(SEARCH({"Lookup","Master-Detail"}, $B185))) &gt; 0,$B185 &amp; "(" &amp; $E185 &amp; ")",IF(SUMPRODUCT(-- ISNUMBER(SEARCH({"Formula","Roll-Up Summary"}, $B185))) &gt; 0,$B185 &amp; " (" &amp; $E185 &amp; ")",IF(SUMPRODUCT(-- ISNUMBER(SEARCH({"Content","Currency","Number","Percent","Text","URL"}, $B185))) &gt; 0,$B185 &amp; "(" &amp; $C185 &amp; ")",$B185)))), "  ", TRIM(IF($S185 = "YES", "(External ID)", "") &amp; " " &amp; IF(SUMPRODUCT(-- ISNUMBER(SEARCH({"Unique","Unique Case Insensitive"}, $R185))) &gt; 0, "(" &amp; $R185 &amp; ")", ""))))</f>
        <v>na</v>
      </c>
      <c r="E185" s="7" t="s">
        <v>195</v>
      </c>
      <c r="F185" s="7" t="s">
        <v>195</v>
      </c>
      <c r="G185" s="7" t="s">
        <v>195</v>
      </c>
      <c r="H185" s="7" t="s">
        <v>195</v>
      </c>
      <c r="I185" s="7" t="s">
        <v>195</v>
      </c>
      <c r="J185" s="7" t="s">
        <v>195</v>
      </c>
      <c r="K185" s="7" t="s">
        <v>195</v>
      </c>
      <c r="L185" s="7" t="s">
        <v>195</v>
      </c>
      <c r="M185" s="7" t="s">
        <v>29</v>
      </c>
      <c r="N185" s="7" t="s">
        <v>29</v>
      </c>
      <c r="O185" s="7" t="s">
        <v>29</v>
      </c>
      <c r="P185" s="7" t="s">
        <v>29</v>
      </c>
      <c r="Q185" s="7" t="s">
        <v>29</v>
      </c>
      <c r="R185" s="7" t="s">
        <v>29</v>
      </c>
      <c r="S185" s="7" t="s">
        <v>29</v>
      </c>
    </row>
    <row r="186" spans="2:19">
      <c r="B186" s="7" t="s">
        <v>195</v>
      </c>
      <c r="C186" s="8" t="s">
        <v>195</v>
      </c>
      <c r="D186" s="6" t="str">
        <f>LRTRIM(CONCATENATE(IF(SUMPRODUCT(-- ISNUMBER(SEARCH({"Auto Number"}, $B186))) &gt; 0, $B186, IF(SUMPRODUCT(-- ISNUMBER(SEARCH({"Lookup","Master-Detail"}, $B186))) &gt; 0,$B186 &amp; "(" &amp; $E186 &amp; ")",IF(SUMPRODUCT(-- ISNUMBER(SEARCH({"Formula","Roll-Up Summary"}, $B186))) &gt; 0,$B186 &amp; " (" &amp; $E186 &amp; ")",IF(SUMPRODUCT(-- ISNUMBER(SEARCH({"Content","Currency","Number","Percent","Text","URL"}, $B186))) &gt; 0,$B186 &amp; "(" &amp; $C186 &amp; ")",$B186)))), "  ", TRIM(IF($S186 = "YES", "(External ID)", "") &amp; " " &amp; IF(SUMPRODUCT(-- ISNUMBER(SEARCH({"Unique","Unique Case Insensitive"}, $R186))) &gt; 0, "(" &amp; $R186 &amp; ")", ""))))</f>
        <v>na</v>
      </c>
      <c r="E186" s="7" t="s">
        <v>195</v>
      </c>
      <c r="F186" s="7" t="s">
        <v>195</v>
      </c>
      <c r="G186" s="7" t="s">
        <v>195</v>
      </c>
      <c r="H186" s="7" t="s">
        <v>195</v>
      </c>
      <c r="I186" s="7" t="s">
        <v>195</v>
      </c>
      <c r="J186" s="7" t="s">
        <v>195</v>
      </c>
      <c r="K186" s="7" t="s">
        <v>195</v>
      </c>
      <c r="L186" s="7" t="s">
        <v>195</v>
      </c>
      <c r="M186" s="7" t="s">
        <v>29</v>
      </c>
      <c r="N186" s="7" t="s">
        <v>29</v>
      </c>
      <c r="O186" s="7" t="s">
        <v>29</v>
      </c>
      <c r="P186" s="7" t="s">
        <v>29</v>
      </c>
      <c r="Q186" s="7" t="s">
        <v>29</v>
      </c>
      <c r="R186" s="7" t="s">
        <v>29</v>
      </c>
      <c r="S186" s="7" t="s">
        <v>29</v>
      </c>
    </row>
    <row r="187" spans="2:19">
      <c r="B187" s="7" t="s">
        <v>195</v>
      </c>
      <c r="C187" s="8" t="s">
        <v>195</v>
      </c>
      <c r="D187" s="6" t="str">
        <f>LRTRIM(CONCATENATE(IF(SUMPRODUCT(-- ISNUMBER(SEARCH({"Auto Number"}, $B187))) &gt; 0, $B187, IF(SUMPRODUCT(-- ISNUMBER(SEARCH({"Lookup","Master-Detail"}, $B187))) &gt; 0,$B187 &amp; "(" &amp; $E187 &amp; ")",IF(SUMPRODUCT(-- ISNUMBER(SEARCH({"Formula","Roll-Up Summary"}, $B187))) &gt; 0,$B187 &amp; " (" &amp; $E187 &amp; ")",IF(SUMPRODUCT(-- ISNUMBER(SEARCH({"Content","Currency","Number","Percent","Text","URL"}, $B187))) &gt; 0,$B187 &amp; "(" &amp; $C187 &amp; ")",$B187)))), "  ", TRIM(IF($S187 = "YES", "(External ID)", "") &amp; " " &amp; IF(SUMPRODUCT(-- ISNUMBER(SEARCH({"Unique","Unique Case Insensitive"}, $R187))) &gt; 0, "(" &amp; $R187 &amp; ")", ""))))</f>
        <v>na</v>
      </c>
      <c r="E187" s="7" t="s">
        <v>195</v>
      </c>
      <c r="F187" s="7" t="s">
        <v>195</v>
      </c>
      <c r="G187" s="7" t="s">
        <v>195</v>
      </c>
      <c r="H187" s="7" t="s">
        <v>195</v>
      </c>
      <c r="I187" s="7" t="s">
        <v>195</v>
      </c>
      <c r="J187" s="7" t="s">
        <v>195</v>
      </c>
      <c r="K187" s="7" t="s">
        <v>195</v>
      </c>
      <c r="L187" s="7" t="s">
        <v>195</v>
      </c>
      <c r="M187" s="7" t="s">
        <v>29</v>
      </c>
      <c r="N187" s="7" t="s">
        <v>29</v>
      </c>
      <c r="O187" s="7" t="s">
        <v>29</v>
      </c>
      <c r="P187" s="7" t="s">
        <v>29</v>
      </c>
      <c r="Q187" s="7" t="s">
        <v>29</v>
      </c>
      <c r="R187" s="7" t="s">
        <v>29</v>
      </c>
      <c r="S187" s="7" t="s">
        <v>29</v>
      </c>
    </row>
    <row r="188" spans="2:19">
      <c r="B188" s="7" t="s">
        <v>195</v>
      </c>
      <c r="C188" s="8" t="s">
        <v>195</v>
      </c>
      <c r="D188" s="6" t="str">
        <f>LRTRIM(CONCATENATE(IF(SUMPRODUCT(-- ISNUMBER(SEARCH({"Auto Number"}, $B188))) &gt; 0, $B188, IF(SUMPRODUCT(-- ISNUMBER(SEARCH({"Lookup","Master-Detail"}, $B188))) &gt; 0,$B188 &amp; "(" &amp; $E188 &amp; ")",IF(SUMPRODUCT(-- ISNUMBER(SEARCH({"Formula","Roll-Up Summary"}, $B188))) &gt; 0,$B188 &amp; " (" &amp; $E188 &amp; ")",IF(SUMPRODUCT(-- ISNUMBER(SEARCH({"Content","Currency","Number","Percent","Text","URL"}, $B188))) &gt; 0,$B188 &amp; "(" &amp; $C188 &amp; ")",$B188)))), "  ", TRIM(IF($S188 = "YES", "(External ID)", "") &amp; " " &amp; IF(SUMPRODUCT(-- ISNUMBER(SEARCH({"Unique","Unique Case Insensitive"}, $R188))) &gt; 0, "(" &amp; $R188 &amp; ")", ""))))</f>
        <v>na</v>
      </c>
      <c r="E188" s="7" t="s">
        <v>195</v>
      </c>
      <c r="F188" s="7" t="s">
        <v>195</v>
      </c>
      <c r="G188" s="7" t="s">
        <v>195</v>
      </c>
      <c r="H188" s="7" t="s">
        <v>195</v>
      </c>
      <c r="I188" s="7" t="s">
        <v>195</v>
      </c>
      <c r="J188" s="7" t="s">
        <v>195</v>
      </c>
      <c r="K188" s="7" t="s">
        <v>195</v>
      </c>
      <c r="L188" s="7" t="s">
        <v>195</v>
      </c>
      <c r="M188" s="7" t="s">
        <v>29</v>
      </c>
      <c r="N188" s="7" t="s">
        <v>29</v>
      </c>
      <c r="O188" s="7" t="s">
        <v>29</v>
      </c>
      <c r="P188" s="7" t="s">
        <v>29</v>
      </c>
      <c r="Q188" s="7" t="s">
        <v>29</v>
      </c>
      <c r="R188" s="7" t="s">
        <v>29</v>
      </c>
      <c r="S188" s="7" t="s">
        <v>29</v>
      </c>
    </row>
    <row r="189" spans="2:19">
      <c r="B189" s="7" t="s">
        <v>195</v>
      </c>
      <c r="C189" s="8" t="s">
        <v>195</v>
      </c>
      <c r="D189" s="6" t="str">
        <f>LRTRIM(CONCATENATE(IF(SUMPRODUCT(-- ISNUMBER(SEARCH({"Auto Number"}, $B189))) &gt; 0, $B189, IF(SUMPRODUCT(-- ISNUMBER(SEARCH({"Lookup","Master-Detail"}, $B189))) &gt; 0,$B189 &amp; "(" &amp; $E189 &amp; ")",IF(SUMPRODUCT(-- ISNUMBER(SEARCH({"Formula","Roll-Up Summary"}, $B189))) &gt; 0,$B189 &amp; " (" &amp; $E189 &amp; ")",IF(SUMPRODUCT(-- ISNUMBER(SEARCH({"Content","Currency","Number","Percent","Text","URL"}, $B189))) &gt; 0,$B189 &amp; "(" &amp; $C189 &amp; ")",$B189)))), "  ", TRIM(IF($S189 = "YES", "(External ID)", "") &amp; " " &amp; IF(SUMPRODUCT(-- ISNUMBER(SEARCH({"Unique","Unique Case Insensitive"}, $R189))) &gt; 0, "(" &amp; $R189 &amp; ")", ""))))</f>
        <v>na</v>
      </c>
      <c r="E189" s="7" t="s">
        <v>195</v>
      </c>
      <c r="F189" s="7" t="s">
        <v>195</v>
      </c>
      <c r="G189" s="7" t="s">
        <v>195</v>
      </c>
      <c r="H189" s="7" t="s">
        <v>195</v>
      </c>
      <c r="I189" s="7" t="s">
        <v>195</v>
      </c>
      <c r="J189" s="7" t="s">
        <v>195</v>
      </c>
      <c r="K189" s="7" t="s">
        <v>195</v>
      </c>
      <c r="L189" s="7" t="s">
        <v>195</v>
      </c>
      <c r="M189" s="7" t="s">
        <v>29</v>
      </c>
      <c r="N189" s="7" t="s">
        <v>29</v>
      </c>
      <c r="O189" s="7" t="s">
        <v>29</v>
      </c>
      <c r="P189" s="7" t="s">
        <v>29</v>
      </c>
      <c r="Q189" s="7" t="s">
        <v>29</v>
      </c>
      <c r="R189" s="7" t="s">
        <v>29</v>
      </c>
      <c r="S189" s="7" t="s">
        <v>29</v>
      </c>
    </row>
    <row r="190" spans="2:19">
      <c r="B190" s="7" t="s">
        <v>195</v>
      </c>
      <c r="C190" s="8" t="s">
        <v>195</v>
      </c>
      <c r="D190" s="6" t="str">
        <f>LRTRIM(CONCATENATE(IF(SUMPRODUCT(-- ISNUMBER(SEARCH({"Auto Number"}, $B190))) &gt; 0, $B190, IF(SUMPRODUCT(-- ISNUMBER(SEARCH({"Lookup","Master-Detail"}, $B190))) &gt; 0,$B190 &amp; "(" &amp; $E190 &amp; ")",IF(SUMPRODUCT(-- ISNUMBER(SEARCH({"Formula","Roll-Up Summary"}, $B190))) &gt; 0,$B190 &amp; " (" &amp; $E190 &amp; ")",IF(SUMPRODUCT(-- ISNUMBER(SEARCH({"Content","Currency","Number","Percent","Text","URL"}, $B190))) &gt; 0,$B190 &amp; "(" &amp; $C190 &amp; ")",$B190)))), "  ", TRIM(IF($S190 = "YES", "(External ID)", "") &amp; " " &amp; IF(SUMPRODUCT(-- ISNUMBER(SEARCH({"Unique","Unique Case Insensitive"}, $R190))) &gt; 0, "(" &amp; $R190 &amp; ")", ""))))</f>
        <v>na</v>
      </c>
      <c r="E190" s="7" t="s">
        <v>195</v>
      </c>
      <c r="F190" s="7" t="s">
        <v>195</v>
      </c>
      <c r="G190" s="7" t="s">
        <v>195</v>
      </c>
      <c r="H190" s="7" t="s">
        <v>195</v>
      </c>
      <c r="I190" s="7" t="s">
        <v>195</v>
      </c>
      <c r="J190" s="7" t="s">
        <v>195</v>
      </c>
      <c r="K190" s="7" t="s">
        <v>195</v>
      </c>
      <c r="L190" s="7" t="s">
        <v>195</v>
      </c>
      <c r="M190" s="7" t="s">
        <v>29</v>
      </c>
      <c r="N190" s="7" t="s">
        <v>29</v>
      </c>
      <c r="O190" s="7" t="s">
        <v>29</v>
      </c>
      <c r="P190" s="7" t="s">
        <v>29</v>
      </c>
      <c r="Q190" s="7" t="s">
        <v>29</v>
      </c>
      <c r="R190" s="7" t="s">
        <v>29</v>
      </c>
      <c r="S190" s="7" t="s">
        <v>29</v>
      </c>
    </row>
    <row r="191" spans="2:19">
      <c r="B191" s="7" t="s">
        <v>195</v>
      </c>
      <c r="C191" s="8" t="s">
        <v>195</v>
      </c>
      <c r="D191" s="6" t="str">
        <f>LRTRIM(CONCATENATE(IF(SUMPRODUCT(-- ISNUMBER(SEARCH({"Auto Number"}, $B191))) &gt; 0, $B191, IF(SUMPRODUCT(-- ISNUMBER(SEARCH({"Lookup","Master-Detail"}, $B191))) &gt; 0,$B191 &amp; "(" &amp; $E191 &amp; ")",IF(SUMPRODUCT(-- ISNUMBER(SEARCH({"Formula","Roll-Up Summary"}, $B191))) &gt; 0,$B191 &amp; " (" &amp; $E191 &amp; ")",IF(SUMPRODUCT(-- ISNUMBER(SEARCH({"Content","Currency","Number","Percent","Text","URL"}, $B191))) &gt; 0,$B191 &amp; "(" &amp; $C191 &amp; ")",$B191)))), "  ", TRIM(IF($S191 = "YES", "(External ID)", "") &amp; " " &amp; IF(SUMPRODUCT(-- ISNUMBER(SEARCH({"Unique","Unique Case Insensitive"}, $R191))) &gt; 0, "(" &amp; $R191 &amp; ")", ""))))</f>
        <v>na</v>
      </c>
      <c r="E191" s="7" t="s">
        <v>195</v>
      </c>
      <c r="F191" s="7" t="s">
        <v>195</v>
      </c>
      <c r="G191" s="7" t="s">
        <v>195</v>
      </c>
      <c r="H191" s="7" t="s">
        <v>195</v>
      </c>
      <c r="I191" s="7" t="s">
        <v>195</v>
      </c>
      <c r="J191" s="7" t="s">
        <v>195</v>
      </c>
      <c r="K191" s="7" t="s">
        <v>195</v>
      </c>
      <c r="L191" s="7" t="s">
        <v>195</v>
      </c>
      <c r="M191" s="7" t="s">
        <v>29</v>
      </c>
      <c r="N191" s="7" t="s">
        <v>29</v>
      </c>
      <c r="O191" s="7" t="s">
        <v>29</v>
      </c>
      <c r="P191" s="7" t="s">
        <v>29</v>
      </c>
      <c r="Q191" s="7" t="s">
        <v>29</v>
      </c>
      <c r="R191" s="7" t="s">
        <v>29</v>
      </c>
      <c r="S191" s="7" t="s">
        <v>29</v>
      </c>
    </row>
    <row r="192" spans="2:19">
      <c r="B192" s="7" t="s">
        <v>195</v>
      </c>
      <c r="C192" s="8" t="s">
        <v>195</v>
      </c>
      <c r="D192" s="6" t="str">
        <f>LRTRIM(CONCATENATE(IF(SUMPRODUCT(-- ISNUMBER(SEARCH({"Auto Number"}, $B192))) &gt; 0, $B192, IF(SUMPRODUCT(-- ISNUMBER(SEARCH({"Lookup","Master-Detail"}, $B192))) &gt; 0,$B192 &amp; "(" &amp; $E192 &amp; ")",IF(SUMPRODUCT(-- ISNUMBER(SEARCH({"Formula","Roll-Up Summary"}, $B192))) &gt; 0,$B192 &amp; " (" &amp; $E192 &amp; ")",IF(SUMPRODUCT(-- ISNUMBER(SEARCH({"Content","Currency","Number","Percent","Text","URL"}, $B192))) &gt; 0,$B192 &amp; "(" &amp; $C192 &amp; ")",$B192)))), "  ", TRIM(IF($S192 = "YES", "(External ID)", "") &amp; " " &amp; IF(SUMPRODUCT(-- ISNUMBER(SEARCH({"Unique","Unique Case Insensitive"}, $R192))) &gt; 0, "(" &amp; $R192 &amp; ")", ""))))</f>
        <v>na</v>
      </c>
      <c r="E192" s="7" t="s">
        <v>195</v>
      </c>
      <c r="F192" s="7" t="s">
        <v>195</v>
      </c>
      <c r="G192" s="7" t="s">
        <v>195</v>
      </c>
      <c r="H192" s="7" t="s">
        <v>195</v>
      </c>
      <c r="I192" s="7" t="s">
        <v>195</v>
      </c>
      <c r="J192" s="7" t="s">
        <v>195</v>
      </c>
      <c r="K192" s="7" t="s">
        <v>195</v>
      </c>
      <c r="L192" s="7" t="s">
        <v>195</v>
      </c>
      <c r="M192" s="7" t="s">
        <v>29</v>
      </c>
      <c r="N192" s="7" t="s">
        <v>29</v>
      </c>
      <c r="O192" s="7" t="s">
        <v>29</v>
      </c>
      <c r="P192" s="7" t="s">
        <v>29</v>
      </c>
      <c r="Q192" s="7" t="s">
        <v>29</v>
      </c>
      <c r="R192" s="7" t="s">
        <v>29</v>
      </c>
      <c r="S192" s="7" t="s">
        <v>29</v>
      </c>
    </row>
    <row r="193" spans="2:19">
      <c r="B193" s="7" t="s">
        <v>195</v>
      </c>
      <c r="C193" s="8" t="s">
        <v>195</v>
      </c>
      <c r="D193" s="6" t="str">
        <f>LRTRIM(CONCATENATE(IF(SUMPRODUCT(-- ISNUMBER(SEARCH({"Auto Number"}, $B193))) &gt; 0, $B193, IF(SUMPRODUCT(-- ISNUMBER(SEARCH({"Lookup","Master-Detail"}, $B193))) &gt; 0,$B193 &amp; "(" &amp; $E193 &amp; ")",IF(SUMPRODUCT(-- ISNUMBER(SEARCH({"Formula","Roll-Up Summary"}, $B193))) &gt; 0,$B193 &amp; " (" &amp; $E193 &amp; ")",IF(SUMPRODUCT(-- ISNUMBER(SEARCH({"Content","Currency","Number","Percent","Text","URL"}, $B193))) &gt; 0,$B193 &amp; "(" &amp; $C193 &amp; ")",$B193)))), "  ", TRIM(IF($S193 = "YES", "(External ID)", "") &amp; " " &amp; IF(SUMPRODUCT(-- ISNUMBER(SEARCH({"Unique","Unique Case Insensitive"}, $R193))) &gt; 0, "(" &amp; $R193 &amp; ")", ""))))</f>
        <v>na</v>
      </c>
      <c r="E193" s="7" t="s">
        <v>195</v>
      </c>
      <c r="F193" s="7" t="s">
        <v>195</v>
      </c>
      <c r="G193" s="7" t="s">
        <v>195</v>
      </c>
      <c r="H193" s="7" t="s">
        <v>195</v>
      </c>
      <c r="I193" s="7" t="s">
        <v>195</v>
      </c>
      <c r="J193" s="7" t="s">
        <v>195</v>
      </c>
      <c r="K193" s="7" t="s">
        <v>195</v>
      </c>
      <c r="L193" s="7" t="s">
        <v>195</v>
      </c>
      <c r="M193" s="7" t="s">
        <v>29</v>
      </c>
      <c r="N193" s="7" t="s">
        <v>29</v>
      </c>
      <c r="O193" s="7" t="s">
        <v>29</v>
      </c>
      <c r="P193" s="7" t="s">
        <v>29</v>
      </c>
      <c r="Q193" s="7" t="s">
        <v>29</v>
      </c>
      <c r="R193" s="7" t="s">
        <v>29</v>
      </c>
      <c r="S193" s="7" t="s">
        <v>29</v>
      </c>
    </row>
    <row r="194" spans="2:19">
      <c r="B194" s="7" t="s">
        <v>195</v>
      </c>
      <c r="C194" s="8" t="s">
        <v>195</v>
      </c>
      <c r="D194" s="6" t="str">
        <f>LRTRIM(CONCATENATE(IF(SUMPRODUCT(-- ISNUMBER(SEARCH({"Auto Number"}, $B194))) &gt; 0, $B194, IF(SUMPRODUCT(-- ISNUMBER(SEARCH({"Lookup","Master-Detail"}, $B194))) &gt; 0,$B194 &amp; "(" &amp; $E194 &amp; ")",IF(SUMPRODUCT(-- ISNUMBER(SEARCH({"Formula","Roll-Up Summary"}, $B194))) &gt; 0,$B194 &amp; " (" &amp; $E194 &amp; ")",IF(SUMPRODUCT(-- ISNUMBER(SEARCH({"Content","Currency","Number","Percent","Text","URL"}, $B194))) &gt; 0,$B194 &amp; "(" &amp; $C194 &amp; ")",$B194)))), "  ", TRIM(IF($S194 = "YES", "(External ID)", "") &amp; " " &amp; IF(SUMPRODUCT(-- ISNUMBER(SEARCH({"Unique","Unique Case Insensitive"}, $R194))) &gt; 0, "(" &amp; $R194 &amp; ")", ""))))</f>
        <v>na</v>
      </c>
      <c r="E194" s="7" t="s">
        <v>195</v>
      </c>
      <c r="F194" s="7" t="s">
        <v>195</v>
      </c>
      <c r="G194" s="7" t="s">
        <v>195</v>
      </c>
      <c r="H194" s="7" t="s">
        <v>195</v>
      </c>
      <c r="I194" s="7" t="s">
        <v>195</v>
      </c>
      <c r="J194" s="7" t="s">
        <v>195</v>
      </c>
      <c r="K194" s="7" t="s">
        <v>195</v>
      </c>
      <c r="L194" s="7" t="s">
        <v>195</v>
      </c>
      <c r="M194" s="7" t="s">
        <v>29</v>
      </c>
      <c r="N194" s="7" t="s">
        <v>29</v>
      </c>
      <c r="O194" s="7" t="s">
        <v>29</v>
      </c>
      <c r="P194" s="7" t="s">
        <v>29</v>
      </c>
      <c r="Q194" s="7" t="s">
        <v>29</v>
      </c>
      <c r="R194" s="7" t="s">
        <v>29</v>
      </c>
      <c r="S194" s="7" t="s">
        <v>29</v>
      </c>
    </row>
    <row r="195" spans="2:19">
      <c r="B195" s="7" t="s">
        <v>195</v>
      </c>
      <c r="C195" s="8" t="s">
        <v>195</v>
      </c>
      <c r="D195" s="6" t="str">
        <f>LRTRIM(CONCATENATE(IF(SUMPRODUCT(-- ISNUMBER(SEARCH({"Auto Number"}, $B195))) &gt; 0, $B195, IF(SUMPRODUCT(-- ISNUMBER(SEARCH({"Lookup","Master-Detail"}, $B195))) &gt; 0,$B195 &amp; "(" &amp; $E195 &amp; ")",IF(SUMPRODUCT(-- ISNUMBER(SEARCH({"Formula","Roll-Up Summary"}, $B195))) &gt; 0,$B195 &amp; " (" &amp; $E195 &amp; ")",IF(SUMPRODUCT(-- ISNUMBER(SEARCH({"Content","Currency","Number","Percent","Text","URL"}, $B195))) &gt; 0,$B195 &amp; "(" &amp; $C195 &amp; ")",$B195)))), "  ", TRIM(IF($S195 = "YES", "(External ID)", "") &amp; " " &amp; IF(SUMPRODUCT(-- ISNUMBER(SEARCH({"Unique","Unique Case Insensitive"}, $R195))) &gt; 0, "(" &amp; $R195 &amp; ")", ""))))</f>
        <v>na</v>
      </c>
      <c r="E195" s="7" t="s">
        <v>195</v>
      </c>
      <c r="F195" s="7" t="s">
        <v>195</v>
      </c>
      <c r="G195" s="7" t="s">
        <v>195</v>
      </c>
      <c r="H195" s="7" t="s">
        <v>195</v>
      </c>
      <c r="I195" s="7" t="s">
        <v>195</v>
      </c>
      <c r="J195" s="7" t="s">
        <v>195</v>
      </c>
      <c r="K195" s="7" t="s">
        <v>195</v>
      </c>
      <c r="L195" s="7" t="s">
        <v>195</v>
      </c>
      <c r="M195" s="7" t="s">
        <v>29</v>
      </c>
      <c r="N195" s="7" t="s">
        <v>29</v>
      </c>
      <c r="O195" s="7" t="s">
        <v>29</v>
      </c>
      <c r="P195" s="7" t="s">
        <v>29</v>
      </c>
      <c r="Q195" s="7" t="s">
        <v>29</v>
      </c>
      <c r="R195" s="7" t="s">
        <v>29</v>
      </c>
      <c r="S195" s="7" t="s">
        <v>29</v>
      </c>
    </row>
    <row r="196" spans="2:19">
      <c r="B196" s="7" t="s">
        <v>195</v>
      </c>
      <c r="C196" s="8" t="s">
        <v>195</v>
      </c>
      <c r="D196" s="6" t="str">
        <f>LRTRIM(CONCATENATE(IF(SUMPRODUCT(-- ISNUMBER(SEARCH({"Auto Number"}, $B196))) &gt; 0, $B196, IF(SUMPRODUCT(-- ISNUMBER(SEARCH({"Lookup","Master-Detail"}, $B196))) &gt; 0,$B196 &amp; "(" &amp; $E196 &amp; ")",IF(SUMPRODUCT(-- ISNUMBER(SEARCH({"Formula","Roll-Up Summary"}, $B196))) &gt; 0,$B196 &amp; " (" &amp; $E196 &amp; ")",IF(SUMPRODUCT(-- ISNUMBER(SEARCH({"Content","Currency","Number","Percent","Text","URL"}, $B196))) &gt; 0,$B196 &amp; "(" &amp; $C196 &amp; ")",$B196)))), "  ", TRIM(IF($S196 = "YES", "(External ID)", "") &amp; " " &amp; IF(SUMPRODUCT(-- ISNUMBER(SEARCH({"Unique","Unique Case Insensitive"}, $R196))) &gt; 0, "(" &amp; $R196 &amp; ")", ""))))</f>
        <v>na</v>
      </c>
      <c r="E196" s="7" t="s">
        <v>195</v>
      </c>
      <c r="F196" s="7" t="s">
        <v>195</v>
      </c>
      <c r="G196" s="7" t="s">
        <v>195</v>
      </c>
      <c r="H196" s="7" t="s">
        <v>195</v>
      </c>
      <c r="I196" s="7" t="s">
        <v>195</v>
      </c>
      <c r="J196" s="7" t="s">
        <v>195</v>
      </c>
      <c r="K196" s="7" t="s">
        <v>195</v>
      </c>
      <c r="L196" s="7" t="s">
        <v>195</v>
      </c>
      <c r="M196" s="7" t="s">
        <v>29</v>
      </c>
      <c r="N196" s="7" t="s">
        <v>29</v>
      </c>
      <c r="O196" s="7" t="s">
        <v>29</v>
      </c>
      <c r="P196" s="7" t="s">
        <v>29</v>
      </c>
      <c r="Q196" s="7" t="s">
        <v>29</v>
      </c>
      <c r="R196" s="7" t="s">
        <v>29</v>
      </c>
      <c r="S196" s="7" t="s">
        <v>29</v>
      </c>
    </row>
    <row r="197" spans="2:19">
      <c r="B197" s="7" t="s">
        <v>195</v>
      </c>
      <c r="C197" s="8" t="s">
        <v>195</v>
      </c>
      <c r="D197" s="6" t="str">
        <f>LRTRIM(CONCATENATE(IF(SUMPRODUCT(-- ISNUMBER(SEARCH({"Auto Number"}, $B197))) &gt; 0, $B197, IF(SUMPRODUCT(-- ISNUMBER(SEARCH({"Lookup","Master-Detail"}, $B197))) &gt; 0,$B197 &amp; "(" &amp; $E197 &amp; ")",IF(SUMPRODUCT(-- ISNUMBER(SEARCH({"Formula","Roll-Up Summary"}, $B197))) &gt; 0,$B197 &amp; " (" &amp; $E197 &amp; ")",IF(SUMPRODUCT(-- ISNUMBER(SEARCH({"Content","Currency","Number","Percent","Text","URL"}, $B197))) &gt; 0,$B197 &amp; "(" &amp; $C197 &amp; ")",$B197)))), "  ", TRIM(IF($S197 = "YES", "(External ID)", "") &amp; " " &amp; IF(SUMPRODUCT(-- ISNUMBER(SEARCH({"Unique","Unique Case Insensitive"}, $R197))) &gt; 0, "(" &amp; $R197 &amp; ")", ""))))</f>
        <v>na</v>
      </c>
      <c r="E197" s="7" t="s">
        <v>195</v>
      </c>
      <c r="F197" s="7" t="s">
        <v>195</v>
      </c>
      <c r="G197" s="7" t="s">
        <v>195</v>
      </c>
      <c r="H197" s="7" t="s">
        <v>195</v>
      </c>
      <c r="I197" s="7" t="s">
        <v>195</v>
      </c>
      <c r="J197" s="7" t="s">
        <v>195</v>
      </c>
      <c r="K197" s="7" t="s">
        <v>195</v>
      </c>
      <c r="L197" s="7" t="s">
        <v>195</v>
      </c>
      <c r="M197" s="7" t="s">
        <v>29</v>
      </c>
      <c r="N197" s="7" t="s">
        <v>29</v>
      </c>
      <c r="O197" s="7" t="s">
        <v>29</v>
      </c>
      <c r="P197" s="7" t="s">
        <v>29</v>
      </c>
      <c r="Q197" s="7" t="s">
        <v>29</v>
      </c>
      <c r="R197" s="7" t="s">
        <v>29</v>
      </c>
      <c r="S197" s="7" t="s">
        <v>29</v>
      </c>
    </row>
    <row r="198" spans="2:19">
      <c r="B198" s="7" t="s">
        <v>195</v>
      </c>
      <c r="C198" s="8" t="s">
        <v>195</v>
      </c>
      <c r="D198" s="6" t="str">
        <f>LRTRIM(CONCATENATE(IF(SUMPRODUCT(-- ISNUMBER(SEARCH({"Auto Number"}, $B198))) &gt; 0, $B198, IF(SUMPRODUCT(-- ISNUMBER(SEARCH({"Lookup","Master-Detail"}, $B198))) &gt; 0,$B198 &amp; "(" &amp; $E198 &amp; ")",IF(SUMPRODUCT(-- ISNUMBER(SEARCH({"Formula","Roll-Up Summary"}, $B198))) &gt; 0,$B198 &amp; " (" &amp; $E198 &amp; ")",IF(SUMPRODUCT(-- ISNUMBER(SEARCH({"Content","Currency","Number","Percent","Text","URL"}, $B198))) &gt; 0,$B198 &amp; "(" &amp; $C198 &amp; ")",$B198)))), "  ", TRIM(IF($S198 = "YES", "(External ID)", "") &amp; " " &amp; IF(SUMPRODUCT(-- ISNUMBER(SEARCH({"Unique","Unique Case Insensitive"}, $R198))) &gt; 0, "(" &amp; $R198 &amp; ")", ""))))</f>
        <v>na</v>
      </c>
      <c r="E198" s="7" t="s">
        <v>195</v>
      </c>
      <c r="F198" s="7" t="s">
        <v>195</v>
      </c>
      <c r="G198" s="7" t="s">
        <v>195</v>
      </c>
      <c r="H198" s="7" t="s">
        <v>195</v>
      </c>
      <c r="I198" s="7" t="s">
        <v>195</v>
      </c>
      <c r="J198" s="7" t="s">
        <v>195</v>
      </c>
      <c r="K198" s="7" t="s">
        <v>195</v>
      </c>
      <c r="L198" s="7" t="s">
        <v>195</v>
      </c>
      <c r="M198" s="7" t="s">
        <v>29</v>
      </c>
      <c r="N198" s="7" t="s">
        <v>29</v>
      </c>
      <c r="O198" s="7" t="s">
        <v>29</v>
      </c>
      <c r="P198" s="7" t="s">
        <v>29</v>
      </c>
      <c r="Q198" s="7" t="s">
        <v>29</v>
      </c>
      <c r="R198" s="7" t="s">
        <v>29</v>
      </c>
      <c r="S198" s="7" t="s">
        <v>29</v>
      </c>
    </row>
    <row r="199" spans="2:19">
      <c r="B199" s="7" t="s">
        <v>195</v>
      </c>
      <c r="C199" s="8" t="s">
        <v>195</v>
      </c>
      <c r="D199" s="6" t="str">
        <f>LRTRIM(CONCATENATE(IF(SUMPRODUCT(-- ISNUMBER(SEARCH({"Auto Number"}, $B199))) &gt; 0, $B199, IF(SUMPRODUCT(-- ISNUMBER(SEARCH({"Lookup","Master-Detail"}, $B199))) &gt; 0,$B199 &amp; "(" &amp; $E199 &amp; ")",IF(SUMPRODUCT(-- ISNUMBER(SEARCH({"Formula","Roll-Up Summary"}, $B199))) &gt; 0,$B199 &amp; " (" &amp; $E199 &amp; ")",IF(SUMPRODUCT(-- ISNUMBER(SEARCH({"Content","Currency","Number","Percent","Text","URL"}, $B199))) &gt; 0,$B199 &amp; "(" &amp; $C199 &amp; ")",$B199)))), "  ", TRIM(IF($S199 = "YES", "(External ID)", "") &amp; " " &amp; IF(SUMPRODUCT(-- ISNUMBER(SEARCH({"Unique","Unique Case Insensitive"}, $R199))) &gt; 0, "(" &amp; $R199 &amp; ")", ""))))</f>
        <v>na</v>
      </c>
      <c r="E199" s="7" t="s">
        <v>195</v>
      </c>
      <c r="F199" s="7" t="s">
        <v>195</v>
      </c>
      <c r="G199" s="7" t="s">
        <v>195</v>
      </c>
      <c r="H199" s="7" t="s">
        <v>195</v>
      </c>
      <c r="I199" s="7" t="s">
        <v>195</v>
      </c>
      <c r="J199" s="7" t="s">
        <v>195</v>
      </c>
      <c r="K199" s="7" t="s">
        <v>195</v>
      </c>
      <c r="L199" s="7" t="s">
        <v>195</v>
      </c>
      <c r="M199" s="7" t="s">
        <v>29</v>
      </c>
      <c r="N199" s="7" t="s">
        <v>29</v>
      </c>
      <c r="O199" s="7" t="s">
        <v>29</v>
      </c>
      <c r="P199" s="7" t="s">
        <v>29</v>
      </c>
      <c r="Q199" s="7" t="s">
        <v>29</v>
      </c>
      <c r="R199" s="7" t="s">
        <v>29</v>
      </c>
      <c r="S199" s="7" t="s">
        <v>29</v>
      </c>
    </row>
    <row r="200" spans="2:19">
      <c r="B200" s="7" t="s">
        <v>195</v>
      </c>
      <c r="C200" s="8" t="s">
        <v>195</v>
      </c>
      <c r="D200" s="6" t="str">
        <f>LRTRIM(CONCATENATE(IF(SUMPRODUCT(-- ISNUMBER(SEARCH({"Auto Number"}, $B200))) &gt; 0, $B200, IF(SUMPRODUCT(-- ISNUMBER(SEARCH({"Lookup","Master-Detail"}, $B200))) &gt; 0,$B200 &amp; "(" &amp; $E200 &amp; ")",IF(SUMPRODUCT(-- ISNUMBER(SEARCH({"Formula","Roll-Up Summary"}, $B200))) &gt; 0,$B200 &amp; " (" &amp; $E200 &amp; ")",IF(SUMPRODUCT(-- ISNUMBER(SEARCH({"Content","Currency","Number","Percent","Text","URL"}, $B200))) &gt; 0,$B200 &amp; "(" &amp; $C200 &amp; ")",$B200)))), "  ", TRIM(IF($S200 = "YES", "(External ID)", "") &amp; " " &amp; IF(SUMPRODUCT(-- ISNUMBER(SEARCH({"Unique","Unique Case Insensitive"}, $R200))) &gt; 0, "(" &amp; $R200 &amp; ")", ""))))</f>
        <v>na</v>
      </c>
      <c r="E200" s="7" t="s">
        <v>195</v>
      </c>
      <c r="F200" s="7" t="s">
        <v>195</v>
      </c>
      <c r="G200" s="7" t="s">
        <v>195</v>
      </c>
      <c r="H200" s="7" t="s">
        <v>195</v>
      </c>
      <c r="I200" s="7" t="s">
        <v>195</v>
      </c>
      <c r="J200" s="7" t="s">
        <v>195</v>
      </c>
      <c r="K200" s="7" t="s">
        <v>195</v>
      </c>
      <c r="L200" s="7" t="s">
        <v>195</v>
      </c>
      <c r="M200" s="7" t="s">
        <v>29</v>
      </c>
      <c r="N200" s="7" t="s">
        <v>29</v>
      </c>
      <c r="O200" s="7" t="s">
        <v>29</v>
      </c>
      <c r="P200" s="7" t="s">
        <v>29</v>
      </c>
      <c r="Q200" s="7" t="s">
        <v>29</v>
      </c>
      <c r="R200" s="7" t="s">
        <v>29</v>
      </c>
      <c r="S200" s="7" t="s">
        <v>29</v>
      </c>
    </row>
  </sheetData>
  <sheetProtection formatCells="0" formatColumns="0" formatRows="0" insertColumns="0" insertRows="0" insertHyperlinks="0" deleteColumns="0" deleteRows="0" sort="0" autoFilter="0" pivotTables="0"/>
  <conditionalFormatting sqref="D2:D32">
    <cfRule type="expression" dxfId="6" priority="3">
      <formula>NOT(_xlfn.ISFORMULA($D2))</formula>
    </cfRule>
  </conditionalFormatting>
  <conditionalFormatting sqref="D33">
    <cfRule type="expression" dxfId="5" priority="2">
      <formula>NOT(_xlfn.ISFORMULA($D33))</formula>
    </cfRule>
  </conditionalFormatting>
  <conditionalFormatting sqref="D34:D200">
    <cfRule type="expression" dxfId="4" priority="1">
      <formula>NOT(_xlfn.ISFORMULA($D34))</formula>
    </cfRule>
  </conditionalFormatting>
  <dataValidations count="1">
    <dataValidation allowBlank="1" showInputMessage="1" showErrorMessage="1" sqref="A2:A32"/>
  </dataValidations>
  <pageMargins left="0.7" right="0.7" top="0.75" bottom="0.75" header="0.3" footer="0.3"/>
  <extLst>
    <ext xmlns:x14="http://schemas.microsoft.com/office/spreadsheetml/2009/9/main" uri="{CCE6A557-97BC-4b89-ADB6-D9C93CAAB3DF}">
      <x14:dataValidations xmlns:xm="http://schemas.microsoft.com/office/excel/2006/main" count="10">
        <x14:dataValidation type="list" allowBlank="1" showInputMessage="1" showErrorMessage="1">
          <x14:formula1>
            <xm:f>OFFSET('Reference Fields'!$J$2,0,0,COUNTA('Reference Fields'!$J:$J)-1)</xm:f>
          </x14:formula1>
          <xm:sqref>M2:Q200</xm:sqref>
        </x14:dataValidation>
        <x14:dataValidation type="list" allowBlank="1" showInputMessage="1" showErrorMessage="1">
          <x14:formula1>
            <xm:f>OFFSET('Reference Fields'!$J$2,0,0,COUNTA('Reference Fields'!$J:$J)-1)</xm:f>
          </x14:formula1>
          <xm:sqref>S2:S200</xm:sqref>
        </x14:dataValidation>
        <x14:dataValidation type="list" allowBlank="1" showInputMessage="1" showErrorMessage="1">
          <x14:formula1>
            <xm:f>OFFSET('Reference Fields'!$K$2,0,0,COUNTA('Reference Fields'!$K:$K)-1)</xm:f>
          </x14:formula1>
          <xm:sqref>R2:R200</xm:sqref>
        </x14:dataValidation>
        <x14:dataValidation type="list" allowBlank="1" showInputMessage="1" showErrorMessage="1">
          <x14:formula1>
            <xm:f>OFFSET('Reference Fields'!$B$2,0,0,COUNTA('Reference Fields'!$B:$B)-1)</xm:f>
          </x14:formula1>
          <xm:sqref>B2:B200</xm:sqref>
        </x14:dataValidation>
        <x14:dataValidation type="list" allowBlank="1" showInputMessage="1" showErrorMessage="1">
          <x14:formula1>
            <xm:f>OFFSET('Reference Fields'!$D$2,0,0,COUNTA('Reference Fields'!$D:$D)-1)</xm:f>
          </x14:formula1>
          <xm:sqref>F2:F200</xm:sqref>
        </x14:dataValidation>
        <x14:dataValidation type="list" allowBlank="1" showInputMessage="1" showErrorMessage="1">
          <x14:formula1>
            <xm:f>OFFSET('Reference Fields'!$E$2,0,0,COUNTA('Reference Fields'!$E:$E)-1)</xm:f>
          </x14:formula1>
          <xm:sqref>G2:G200</xm:sqref>
        </x14:dataValidation>
        <x14:dataValidation type="list" allowBlank="1" showInputMessage="1" showErrorMessage="1">
          <x14:formula1>
            <xm:f>OFFSET('Reference Fields'!$F$2,0,0,COUNTA('Reference Fields'!$F:$F)-1)</xm:f>
          </x14:formula1>
          <xm:sqref>H2:I200</xm:sqref>
        </x14:dataValidation>
        <x14:dataValidation type="list" allowBlank="1" showInputMessage="1" showErrorMessage="1">
          <x14:formula1>
            <xm:f>OFFSET('Reference Fields'!$G$2,0,0,COUNTA('Reference Fields'!$G:$G)-1)</xm:f>
          </x14:formula1>
          <xm:sqref>J2:J200</xm:sqref>
        </x14:dataValidation>
        <x14:dataValidation type="list" allowBlank="1" showInputMessage="1" showErrorMessage="1">
          <x14:formula1>
            <xm:f>OFFSET('Reference Fields'!$H$2,0,0,COUNTA('Reference Fields'!$H:$H)-1)</xm:f>
          </x14:formula1>
          <xm:sqref>K2:K200</xm:sqref>
        </x14:dataValidation>
        <x14:dataValidation type="list" allowBlank="1" showInputMessage="1" showErrorMessage="1">
          <x14:formula1>
            <xm:f>OFFSET('Reference Fields'!$I$2,0,0,COUNTA('Reference Fields'!$I:$I)-1)</xm:f>
          </x14:formula1>
          <xm:sqref>L2:L200</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38</vt:i4>
      </vt:variant>
    </vt:vector>
  </HeadingPairs>
  <TitlesOfParts>
    <vt:vector size="38" baseType="lpstr">
      <vt:lpstr>Reference Fields</vt:lpstr>
      <vt:lpstr>Account</vt:lpstr>
      <vt:lpstr>AccountContactRelation</vt:lpstr>
      <vt:lpstr>AccountTeamMember</vt:lpstr>
      <vt:lpstr>Agreement_Line_Item__c</vt:lpstr>
      <vt:lpstr>Broker_Consultant_Account__c</vt:lpstr>
      <vt:lpstr>Campaign</vt:lpstr>
      <vt:lpstr>CampaignEventSession__c</vt:lpstr>
      <vt:lpstr>CampaignEventSessionRegistratio</vt:lpstr>
      <vt:lpstr>CampaignEventSlot__c</vt:lpstr>
      <vt:lpstr>CampaignMember</vt:lpstr>
      <vt:lpstr>Commission_Agreement__c</vt:lpstr>
      <vt:lpstr>Commission_Payment__c</vt:lpstr>
      <vt:lpstr>Competitors__c</vt:lpstr>
      <vt:lpstr>Contact</vt:lpstr>
      <vt:lpstr>Contract</vt:lpstr>
      <vt:lpstr>Event</vt:lpstr>
      <vt:lpstr>GoToWebinarRequestJob__c</vt:lpstr>
      <vt:lpstr>GoToWebinarSession__c</vt:lpstr>
      <vt:lpstr>IHK_Number__c</vt:lpstr>
      <vt:lpstr>Individual</vt:lpstr>
      <vt:lpstr>iSuite_Task__c</vt:lpstr>
      <vt:lpstr>Lead</vt:lpstr>
      <vt:lpstr>Opportunity</vt:lpstr>
      <vt:lpstr>OpportunityLineItem</vt:lpstr>
      <vt:lpstr>OrgControlPanel__c</vt:lpstr>
      <vt:lpstr>Policy_Application__c</vt:lpstr>
      <vt:lpstr>Policy_Contact_Relationship__c</vt:lpstr>
      <vt:lpstr>Pricebook2</vt:lpstr>
      <vt:lpstr>PricebookEntry</vt:lpstr>
      <vt:lpstr>Product2</vt:lpstr>
      <vt:lpstr>Region__c</vt:lpstr>
      <vt:lpstr>SalesReport__c</vt:lpstr>
      <vt:lpstr>SalesReportTarget__c</vt:lpstr>
      <vt:lpstr>Statement_Broker__c</vt:lpstr>
      <vt:lpstr>Strategic_Data__c</vt:lpstr>
      <vt:lpstr>Target__c</vt:lpstr>
      <vt:lpstr>User</vt:lpstr>
    </vt:vector>
  </TitlesOfParts>
  <Company>Workstation Services</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2020-01-20T14:25:23Z</dcterms:created>
  <dc:creator>McDonald, Ann</dc:creator>
  <cp:lastModifiedBy>Windows User</cp:lastModifiedBy>
  <dcterms:modified xsi:type="dcterms:W3CDTF">2020-06-23T12:01:55Z</dcterms:modified>
</cp:coreProperties>
</file>